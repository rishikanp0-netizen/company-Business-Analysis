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VDA" sheetId="1" state="visible" r:id="rId3"/>
    <sheet name="APPLE" sheetId="2" state="visible" r:id="rId4"/>
    <sheet name="GOOGL" sheetId="3" state="visible" r:id="rId5"/>
    <sheet name="MSFT " sheetId="4" state="visible" r:id="rId6"/>
    <sheet name="AMZN" sheetId="5" state="visible" r:id="rId7"/>
    <sheet name="TSM" sheetId="6" state="visible" r:id="rId8"/>
    <sheet name="META" sheetId="7" state="visible" r:id="rId9"/>
    <sheet name="AVGO" sheetId="8" state="visible" r:id="rId10"/>
    <sheet name="TSLA" sheetId="9" state="visible" r:id="rId11"/>
    <sheet name="RELIANCE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Times New Roman"/>
      <family val="1"/>
      <charset val="1"/>
    </font>
    <font>
      <sz val="11"/>
      <color theme="1"/>
      <name val="Times New Roman"/>
      <family val="1"/>
      <charset val="1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2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3.65234375" defaultRowHeight="15.75" customHeight="true" zeroHeight="false" outlineLevelRow="0" outlineLevelCol="0"/>
  <cols>
    <col collapsed="false" customWidth="false" hidden="false" outlineLevel="0" max="16384" min="1" style="1" width="23.65"/>
  </cols>
  <sheetData>
    <row r="1" customFormat="false" ht="15.75" hidden="false" customHeight="false" outlineLevel="0" collapsed="false">
      <c r="A1" s="2" t="str">
        <f aca="false">IFERROR(__xludf.dummyfunction("GOOGLEFINANCE(""NVDA"" , ""ALL"" , DATE(2021,1,1) , TODAY()) "),"Date")</f>
        <v>Date</v>
      </c>
      <c r="B1" s="2" t="str">
        <f aca="false">IFERROR(__xludf.dummyfunction("""COMPUTED_VALUE"""),"Open")</f>
        <v>Open</v>
      </c>
      <c r="C1" s="2" t="str">
        <f aca="false">IFERROR(__xludf.dummyfunction("""COMPUTED_VALUE"""),"High")</f>
        <v>High</v>
      </c>
      <c r="D1" s="2" t="str">
        <f aca="false">IFERROR(__xludf.dummyfunction("""COMPUTED_VALUE"""),"Low")</f>
        <v>Low</v>
      </c>
      <c r="E1" s="2" t="str">
        <f aca="false">IFERROR(__xludf.dummyfunction("""COMPUTED_VALUE"""),"Close")</f>
        <v>Close</v>
      </c>
      <c r="F1" s="2" t="str">
        <f aca="false">IFERROR(__xludf.dummyfunction("""COMPUTED_VALUE"""),"Volume")</f>
        <v>Volume</v>
      </c>
    </row>
    <row r="2" customFormat="false" ht="15.75" hidden="false" customHeight="false" outlineLevel="0" collapsed="false">
      <c r="A2" s="3" t="n">
        <f aca="false">IFERROR(__xludf.dummyfunction("""COMPUTED_VALUE"""),44200.6666666667)</f>
        <v>44200.6666666667</v>
      </c>
      <c r="B2" s="2" t="n">
        <f aca="false">IFERROR(__xludf.dummyfunction("""COMPUTED_VALUE"""),13.1)</f>
        <v>13.1</v>
      </c>
      <c r="C2" s="2" t="n">
        <f aca="false">IFERROR(__xludf.dummyfunction("""COMPUTED_VALUE"""),13.65)</f>
        <v>13.65</v>
      </c>
      <c r="D2" s="2" t="n">
        <f aca="false">IFERROR(__xludf.dummyfunction("""COMPUTED_VALUE"""),12.96)</f>
        <v>12.96</v>
      </c>
      <c r="E2" s="2" t="n">
        <f aca="false">IFERROR(__xludf.dummyfunction("""COMPUTED_VALUE"""),13.11)</f>
        <v>13.11</v>
      </c>
      <c r="F2" s="2" t="n">
        <f aca="false">IFERROR(__xludf.dummyfunction("""COMPUTED_VALUE"""),14016045)</f>
        <v>14016045</v>
      </c>
    </row>
    <row r="3" customFormat="false" ht="15.75" hidden="false" customHeight="false" outlineLevel="0" collapsed="false">
      <c r="A3" s="3" t="n">
        <f aca="false">IFERROR(__xludf.dummyfunction("""COMPUTED_VALUE"""),44201.6666666667)</f>
        <v>44201.6666666667</v>
      </c>
      <c r="B3" s="2" t="n">
        <f aca="false">IFERROR(__xludf.dummyfunction("""COMPUTED_VALUE"""),13.1)</f>
        <v>13.1</v>
      </c>
      <c r="C3" s="2" t="n">
        <f aca="false">IFERROR(__xludf.dummyfunction("""COMPUTED_VALUE"""),13.44)</f>
        <v>13.44</v>
      </c>
      <c r="D3" s="2" t="n">
        <f aca="false">IFERROR(__xludf.dummyfunction("""COMPUTED_VALUE"""),13.09)</f>
        <v>13.09</v>
      </c>
      <c r="E3" s="2" t="n">
        <f aca="false">IFERROR(__xludf.dummyfunction("""COMPUTED_VALUE"""),13.4)</f>
        <v>13.4</v>
      </c>
      <c r="F3" s="2" t="n">
        <f aca="false">IFERROR(__xludf.dummyfunction("""COMPUTED_VALUE"""),8068998)</f>
        <v>8068998</v>
      </c>
    </row>
    <row r="4" customFormat="false" ht="15.75" hidden="false" customHeight="false" outlineLevel="0" collapsed="false">
      <c r="A4" s="3" t="n">
        <f aca="false">IFERROR(__xludf.dummyfunction("""COMPUTED_VALUE"""),44202.6666666667)</f>
        <v>44202.6666666667</v>
      </c>
      <c r="B4" s="2" t="n">
        <f aca="false">IFERROR(__xludf.dummyfunction("""COMPUTED_VALUE"""),13.22)</f>
        <v>13.22</v>
      </c>
      <c r="C4" s="2" t="n">
        <f aca="false">IFERROR(__xludf.dummyfunction("""COMPUTED_VALUE"""),13.25)</f>
        <v>13.25</v>
      </c>
      <c r="D4" s="2" t="n">
        <f aca="false">IFERROR(__xludf.dummyfunction("""COMPUTED_VALUE"""),12.59)</f>
        <v>12.59</v>
      </c>
      <c r="E4" s="2" t="n">
        <f aca="false">IFERROR(__xludf.dummyfunction("""COMPUTED_VALUE"""),12.61)</f>
        <v>12.61</v>
      </c>
      <c r="F4" s="2" t="n">
        <f aca="false">IFERROR(__xludf.dummyfunction("""COMPUTED_VALUE"""),14510575)</f>
        <v>14510575</v>
      </c>
    </row>
    <row r="5" customFormat="false" ht="15.75" hidden="false" customHeight="false" outlineLevel="0" collapsed="false">
      <c r="A5" s="3" t="n">
        <f aca="false">IFERROR(__xludf.dummyfunction("""COMPUTED_VALUE"""),44203.6666666667)</f>
        <v>44203.6666666667</v>
      </c>
      <c r="B5" s="2" t="n">
        <f aca="false">IFERROR(__xludf.dummyfunction("""COMPUTED_VALUE"""),12.97)</f>
        <v>12.97</v>
      </c>
      <c r="C5" s="2" t="n">
        <f aca="false">IFERROR(__xludf.dummyfunction("""COMPUTED_VALUE"""),13.38)</f>
        <v>13.38</v>
      </c>
      <c r="D5" s="2" t="n">
        <f aca="false">IFERROR(__xludf.dummyfunction("""COMPUTED_VALUE"""),12.89)</f>
        <v>12.89</v>
      </c>
      <c r="E5" s="2" t="n">
        <f aca="false">IFERROR(__xludf.dummyfunction("""COMPUTED_VALUE"""),13.34)</f>
        <v>13.34</v>
      </c>
      <c r="F5" s="2" t="n">
        <f aca="false">IFERROR(__xludf.dummyfunction("""COMPUTED_VALUE"""),11537037)</f>
        <v>11537037</v>
      </c>
    </row>
    <row r="6" customFormat="false" ht="15.75" hidden="false" customHeight="false" outlineLevel="0" collapsed="false">
      <c r="A6" s="3" t="n">
        <f aca="false">IFERROR(__xludf.dummyfunction("""COMPUTED_VALUE"""),44204.6666666667)</f>
        <v>44204.6666666667</v>
      </c>
      <c r="B6" s="2" t="n">
        <f aca="false">IFERROR(__xludf.dummyfunction("""COMPUTED_VALUE"""),13.36)</f>
        <v>13.36</v>
      </c>
      <c r="C6" s="2" t="n">
        <f aca="false">IFERROR(__xludf.dummyfunction("""COMPUTED_VALUE"""),13.42)</f>
        <v>13.42</v>
      </c>
      <c r="D6" s="2" t="n">
        <f aca="false">IFERROR(__xludf.dummyfunction("""COMPUTED_VALUE"""),13.04)</f>
        <v>13.04</v>
      </c>
      <c r="E6" s="2" t="n">
        <f aca="false">IFERROR(__xludf.dummyfunction("""COMPUTED_VALUE"""),13.28)</f>
        <v>13.28</v>
      </c>
      <c r="F6" s="2" t="n">
        <f aca="false">IFERROR(__xludf.dummyfunction("""COMPUTED_VALUE"""),7313215)</f>
        <v>7313215</v>
      </c>
    </row>
    <row r="7" customFormat="false" ht="15.75" hidden="false" customHeight="false" outlineLevel="0" collapsed="false">
      <c r="A7" s="3" t="n">
        <f aca="false">IFERROR(__xludf.dummyfunction("""COMPUTED_VALUE"""),44207.6666666667)</f>
        <v>44207.6666666667</v>
      </c>
      <c r="B7" s="2" t="n">
        <f aca="false">IFERROR(__xludf.dummyfunction("""COMPUTED_VALUE"""),13.42)</f>
        <v>13.42</v>
      </c>
      <c r="C7" s="2" t="n">
        <f aca="false">IFERROR(__xludf.dummyfunction("""COMPUTED_VALUE"""),13.96)</f>
        <v>13.96</v>
      </c>
      <c r="D7" s="2" t="n">
        <f aca="false">IFERROR(__xludf.dummyfunction("""COMPUTED_VALUE"""),13.36)</f>
        <v>13.36</v>
      </c>
      <c r="E7" s="2" t="n">
        <f aca="false">IFERROR(__xludf.dummyfunction("""COMPUTED_VALUE"""),13.62)</f>
        <v>13.62</v>
      </c>
      <c r="F7" s="2" t="n">
        <f aca="false">IFERROR(__xludf.dummyfunction("""COMPUTED_VALUE"""),12975720)</f>
        <v>12975720</v>
      </c>
    </row>
    <row r="8" customFormat="false" ht="15.75" hidden="false" customHeight="false" outlineLevel="0" collapsed="false">
      <c r="A8" s="3" t="n">
        <f aca="false">IFERROR(__xludf.dummyfunction("""COMPUTED_VALUE"""),44208.6666666667)</f>
        <v>44208.6666666667</v>
      </c>
      <c r="B8" s="2" t="n">
        <f aca="false">IFERROR(__xludf.dummyfunction("""COMPUTED_VALUE"""),13.75)</f>
        <v>13.75</v>
      </c>
      <c r="C8" s="2" t="n">
        <f aca="false">IFERROR(__xludf.dummyfunction("""COMPUTED_VALUE"""),13.75)</f>
        <v>13.75</v>
      </c>
      <c r="D8" s="2" t="n">
        <f aca="false">IFERROR(__xludf.dummyfunction("""COMPUTED_VALUE"""),13.35)</f>
        <v>13.35</v>
      </c>
      <c r="E8" s="2" t="n">
        <f aca="false">IFERROR(__xludf.dummyfunction("""COMPUTED_VALUE"""),13.48)</f>
        <v>13.48</v>
      </c>
      <c r="F8" s="2" t="n">
        <f aca="false">IFERROR(__xludf.dummyfunction("""COMPUTED_VALUE"""),7286943)</f>
        <v>7286943</v>
      </c>
    </row>
    <row r="9" customFormat="false" ht="15.75" hidden="false" customHeight="false" outlineLevel="0" collapsed="false">
      <c r="A9" s="3" t="n">
        <f aca="false">IFERROR(__xludf.dummyfunction("""COMPUTED_VALUE"""),44209.6666666667)</f>
        <v>44209.6666666667</v>
      </c>
      <c r="B9" s="2" t="n">
        <f aca="false">IFERROR(__xludf.dummyfunction("""COMPUTED_VALUE"""),13.49)</f>
        <v>13.49</v>
      </c>
      <c r="C9" s="2" t="n">
        <f aca="false">IFERROR(__xludf.dummyfunction("""COMPUTED_VALUE"""),13.62)</f>
        <v>13.62</v>
      </c>
      <c r="D9" s="2" t="n">
        <f aca="false">IFERROR(__xludf.dummyfunction("""COMPUTED_VALUE"""),13.39)</f>
        <v>13.39</v>
      </c>
      <c r="E9" s="2" t="n">
        <f aca="false">IFERROR(__xludf.dummyfunction("""COMPUTED_VALUE"""),13.53)</f>
        <v>13.53</v>
      </c>
      <c r="F9" s="2" t="n">
        <f aca="false">IFERROR(__xludf.dummyfunction("""COMPUTED_VALUE"""),5250711)</f>
        <v>5250711</v>
      </c>
    </row>
    <row r="10" customFormat="false" ht="15.75" hidden="false" customHeight="false" outlineLevel="0" collapsed="false">
      <c r="A10" s="3" t="n">
        <f aca="false">IFERROR(__xludf.dummyfunction("""COMPUTED_VALUE"""),44210.6666666667)</f>
        <v>44210.6666666667</v>
      </c>
      <c r="B10" s="2" t="n">
        <f aca="false">IFERROR(__xludf.dummyfunction("""COMPUTED_VALUE"""),13.58)</f>
        <v>13.58</v>
      </c>
      <c r="C10" s="2" t="n">
        <f aca="false">IFERROR(__xludf.dummyfunction("""COMPUTED_VALUE"""),13.6)</f>
        <v>13.6</v>
      </c>
      <c r="D10" s="2" t="n">
        <f aca="false">IFERROR(__xludf.dummyfunction("""COMPUTED_VALUE"""),13.18)</f>
        <v>13.18</v>
      </c>
      <c r="E10" s="2" t="n">
        <f aca="false">IFERROR(__xludf.dummyfunction("""COMPUTED_VALUE"""),13.2)</f>
        <v>13.2</v>
      </c>
      <c r="F10" s="2" t="n">
        <f aca="false">IFERROR(__xludf.dummyfunction("""COMPUTED_VALUE"""),7078007)</f>
        <v>7078007</v>
      </c>
    </row>
    <row r="11" customFormat="false" ht="15.75" hidden="false" customHeight="false" outlineLevel="0" collapsed="false">
      <c r="A11" s="3" t="n">
        <f aca="false">IFERROR(__xludf.dummyfunction("""COMPUTED_VALUE"""),44211.6666666667)</f>
        <v>44211.6666666667</v>
      </c>
      <c r="B11" s="2" t="n">
        <f aca="false">IFERROR(__xludf.dummyfunction("""COMPUTED_VALUE"""),13.23)</f>
        <v>13.23</v>
      </c>
      <c r="C11" s="2" t="n">
        <f aca="false">IFERROR(__xludf.dummyfunction("""COMPUTED_VALUE"""),13.33)</f>
        <v>13.33</v>
      </c>
      <c r="D11" s="2" t="n">
        <f aca="false">IFERROR(__xludf.dummyfunction("""COMPUTED_VALUE"""),12.85)</f>
        <v>12.85</v>
      </c>
      <c r="E11" s="2" t="n">
        <f aca="false">IFERROR(__xludf.dummyfunction("""COMPUTED_VALUE"""),12.86)</f>
        <v>12.86</v>
      </c>
      <c r="F11" s="2" t="n">
        <f aca="false">IFERROR(__xludf.dummyfunction("""COMPUTED_VALUE"""),6944532)</f>
        <v>6944532</v>
      </c>
    </row>
    <row r="12" customFormat="false" ht="15.75" hidden="false" customHeight="false" outlineLevel="0" collapsed="false">
      <c r="A12" s="3" t="n">
        <f aca="false">IFERROR(__xludf.dummyfunction("""COMPUTED_VALUE"""),44215.6666666667)</f>
        <v>44215.6666666667</v>
      </c>
      <c r="B12" s="2" t="n">
        <f aca="false">IFERROR(__xludf.dummyfunction("""COMPUTED_VALUE"""),13.02)</f>
        <v>13.02</v>
      </c>
      <c r="C12" s="2" t="n">
        <f aca="false">IFERROR(__xludf.dummyfunction("""COMPUTED_VALUE"""),13.09)</f>
        <v>13.09</v>
      </c>
      <c r="D12" s="2" t="n">
        <f aca="false">IFERROR(__xludf.dummyfunction("""COMPUTED_VALUE"""),12.84)</f>
        <v>12.84</v>
      </c>
      <c r="E12" s="2" t="n">
        <f aca="false">IFERROR(__xludf.dummyfunction("""COMPUTED_VALUE"""),13.03)</f>
        <v>13.03</v>
      </c>
      <c r="F12" s="2" t="n">
        <f aca="false">IFERROR(__xludf.dummyfunction("""COMPUTED_VALUE"""),5654672)</f>
        <v>5654672</v>
      </c>
    </row>
    <row r="13" customFormat="false" ht="15.75" hidden="false" customHeight="false" outlineLevel="0" collapsed="false">
      <c r="A13" s="3" t="n">
        <f aca="false">IFERROR(__xludf.dummyfunction("""COMPUTED_VALUE"""),44216.6666666667)</f>
        <v>44216.6666666667</v>
      </c>
      <c r="B13" s="2" t="n">
        <f aca="false">IFERROR(__xludf.dummyfunction("""COMPUTED_VALUE"""),13.11)</f>
        <v>13.11</v>
      </c>
      <c r="C13" s="2" t="n">
        <f aca="false">IFERROR(__xludf.dummyfunction("""COMPUTED_VALUE"""),13.43)</f>
        <v>13.43</v>
      </c>
      <c r="D13" s="2" t="n">
        <f aca="false">IFERROR(__xludf.dummyfunction("""COMPUTED_VALUE"""),13.06)</f>
        <v>13.06</v>
      </c>
      <c r="E13" s="2" t="n">
        <f aca="false">IFERROR(__xludf.dummyfunction("""COMPUTED_VALUE"""),13.37)</f>
        <v>13.37</v>
      </c>
      <c r="F13" s="2" t="n">
        <f aca="false">IFERROR(__xludf.dummyfunction("""COMPUTED_VALUE"""),6464272)</f>
        <v>6464272</v>
      </c>
    </row>
    <row r="14" customFormat="false" ht="15.75" hidden="false" customHeight="false" outlineLevel="0" collapsed="false">
      <c r="A14" s="3" t="n">
        <f aca="false">IFERROR(__xludf.dummyfunction("""COMPUTED_VALUE"""),44217.6666666667)</f>
        <v>44217.6666666667</v>
      </c>
      <c r="B14" s="2" t="n">
        <f aca="false">IFERROR(__xludf.dummyfunction("""COMPUTED_VALUE"""),13.42)</f>
        <v>13.42</v>
      </c>
      <c r="C14" s="2" t="n">
        <f aca="false">IFERROR(__xludf.dummyfunction("""COMPUTED_VALUE"""),14)</f>
        <v>14</v>
      </c>
      <c r="D14" s="2" t="n">
        <f aca="false">IFERROR(__xludf.dummyfunction("""COMPUTED_VALUE"""),13.25)</f>
        <v>13.25</v>
      </c>
      <c r="E14" s="2" t="n">
        <f aca="false">IFERROR(__xludf.dummyfunction("""COMPUTED_VALUE"""),13.87)</f>
        <v>13.87</v>
      </c>
      <c r="F14" s="2" t="n">
        <f aca="false">IFERROR(__xludf.dummyfunction("""COMPUTED_VALUE"""),8458490)</f>
        <v>8458490</v>
      </c>
    </row>
    <row r="15" customFormat="false" ht="15.75" hidden="false" customHeight="false" outlineLevel="0" collapsed="false">
      <c r="A15" s="3" t="n">
        <f aca="false">IFERROR(__xludf.dummyfunction("""COMPUTED_VALUE"""),44218.6666666667)</f>
        <v>44218.6666666667</v>
      </c>
      <c r="B15" s="2" t="n">
        <f aca="false">IFERROR(__xludf.dummyfunction("""COMPUTED_VALUE"""),13.74)</f>
        <v>13.74</v>
      </c>
      <c r="C15" s="2" t="n">
        <f aca="false">IFERROR(__xludf.dummyfunction("""COMPUTED_VALUE"""),13.84)</f>
        <v>13.84</v>
      </c>
      <c r="D15" s="2" t="n">
        <f aca="false">IFERROR(__xludf.dummyfunction("""COMPUTED_VALUE"""),13.63)</f>
        <v>13.63</v>
      </c>
      <c r="E15" s="2" t="n">
        <f aca="false">IFERROR(__xludf.dummyfunction("""COMPUTED_VALUE"""),13.71)</f>
        <v>13.71</v>
      </c>
      <c r="F15" s="2" t="n">
        <f aca="false">IFERROR(__xludf.dummyfunction("""COMPUTED_VALUE"""),6170464)</f>
        <v>6170464</v>
      </c>
    </row>
    <row r="16" customFormat="false" ht="15.75" hidden="false" customHeight="false" outlineLevel="0" collapsed="false">
      <c r="A16" s="3" t="n">
        <f aca="false">IFERROR(__xludf.dummyfunction("""COMPUTED_VALUE"""),44221.6666666667)</f>
        <v>44221.6666666667</v>
      </c>
      <c r="B16" s="2" t="n">
        <f aca="false">IFERROR(__xludf.dummyfunction("""COMPUTED_VALUE"""),13.78)</f>
        <v>13.78</v>
      </c>
      <c r="C16" s="2" t="n">
        <f aca="false">IFERROR(__xludf.dummyfunction("""COMPUTED_VALUE"""),13.83)</f>
        <v>13.83</v>
      </c>
      <c r="D16" s="2" t="n">
        <f aca="false">IFERROR(__xludf.dummyfunction("""COMPUTED_VALUE"""),13.24)</f>
        <v>13.24</v>
      </c>
      <c r="E16" s="2" t="n">
        <f aca="false">IFERROR(__xludf.dummyfunction("""COMPUTED_VALUE"""),13.65)</f>
        <v>13.65</v>
      </c>
      <c r="F16" s="2" t="n">
        <f aca="false">IFERROR(__xludf.dummyfunction("""COMPUTED_VALUE"""),6277779)</f>
        <v>6277779</v>
      </c>
    </row>
    <row r="17" customFormat="false" ht="15.75" hidden="false" customHeight="false" outlineLevel="0" collapsed="false">
      <c r="A17" s="3" t="n">
        <f aca="false">IFERROR(__xludf.dummyfunction("""COMPUTED_VALUE"""),44222.6666666667)</f>
        <v>44222.6666666667</v>
      </c>
      <c r="B17" s="2" t="n">
        <f aca="false">IFERROR(__xludf.dummyfunction("""COMPUTED_VALUE"""),13.58)</f>
        <v>13.58</v>
      </c>
      <c r="C17" s="2" t="n">
        <f aca="false">IFERROR(__xludf.dummyfunction("""COMPUTED_VALUE"""),13.64)</f>
        <v>13.64</v>
      </c>
      <c r="D17" s="2" t="n">
        <f aca="false">IFERROR(__xludf.dummyfunction("""COMPUTED_VALUE"""),13.39)</f>
        <v>13.39</v>
      </c>
      <c r="E17" s="2" t="n">
        <f aca="false">IFERROR(__xludf.dummyfunction("""COMPUTED_VALUE"""),13.44)</f>
        <v>13.44</v>
      </c>
      <c r="F17" s="2" t="n">
        <f aca="false">IFERROR(__xludf.dummyfunction("""COMPUTED_VALUE"""),4099510)</f>
        <v>4099510</v>
      </c>
    </row>
    <row r="18" customFormat="false" ht="15.75" hidden="false" customHeight="false" outlineLevel="0" collapsed="false">
      <c r="A18" s="3" t="n">
        <f aca="false">IFERROR(__xludf.dummyfunction("""COMPUTED_VALUE"""),44223.6666666667)</f>
        <v>44223.6666666667</v>
      </c>
      <c r="B18" s="2" t="n">
        <f aca="false">IFERROR(__xludf.dummyfunction("""COMPUTED_VALUE"""),13.23)</f>
        <v>13.23</v>
      </c>
      <c r="C18" s="2" t="n">
        <f aca="false">IFERROR(__xludf.dummyfunction("""COMPUTED_VALUE"""),13.23)</f>
        <v>13.23</v>
      </c>
      <c r="D18" s="2" t="n">
        <f aca="false">IFERROR(__xludf.dummyfunction("""COMPUTED_VALUE"""),12.79)</f>
        <v>12.79</v>
      </c>
      <c r="E18" s="2" t="n">
        <f aca="false">IFERROR(__xludf.dummyfunction("""COMPUTED_VALUE"""),12.92)</f>
        <v>12.92</v>
      </c>
      <c r="F18" s="2" t="n">
        <f aca="false">IFERROR(__xludf.dummyfunction("""COMPUTED_VALUE"""),9281821)</f>
        <v>9281821</v>
      </c>
    </row>
    <row r="19" customFormat="false" ht="15.75" hidden="false" customHeight="false" outlineLevel="0" collapsed="false">
      <c r="A19" s="3" t="n">
        <f aca="false">IFERROR(__xludf.dummyfunction("""COMPUTED_VALUE"""),44224.6666666667)</f>
        <v>44224.6666666667</v>
      </c>
      <c r="B19" s="2" t="n">
        <f aca="false">IFERROR(__xludf.dummyfunction("""COMPUTED_VALUE"""),13)</f>
        <v>13</v>
      </c>
      <c r="C19" s="2" t="n">
        <f aca="false">IFERROR(__xludf.dummyfunction("""COMPUTED_VALUE"""),13.34)</f>
        <v>13.34</v>
      </c>
      <c r="D19" s="2" t="n">
        <f aca="false">IFERROR(__xludf.dummyfunction("""COMPUTED_VALUE"""),12.96)</f>
        <v>12.96</v>
      </c>
      <c r="E19" s="2" t="n">
        <f aca="false">IFERROR(__xludf.dummyfunction("""COMPUTED_VALUE"""),13.05)</f>
        <v>13.05</v>
      </c>
      <c r="F19" s="2" t="n">
        <f aca="false">IFERROR(__xludf.dummyfunction("""COMPUTED_VALUE"""),5707899)</f>
        <v>5707899</v>
      </c>
    </row>
    <row r="20" customFormat="false" ht="15.75" hidden="false" customHeight="false" outlineLevel="0" collapsed="false">
      <c r="A20" s="3" t="n">
        <f aca="false">IFERROR(__xludf.dummyfunction("""COMPUTED_VALUE"""),44225.6666666667)</f>
        <v>44225.6666666667</v>
      </c>
      <c r="B20" s="2" t="n">
        <f aca="false">IFERROR(__xludf.dummyfunction("""COMPUTED_VALUE"""),13.08)</f>
        <v>13.08</v>
      </c>
      <c r="C20" s="2" t="n">
        <f aca="false">IFERROR(__xludf.dummyfunction("""COMPUTED_VALUE"""),13.33)</f>
        <v>13.33</v>
      </c>
      <c r="D20" s="2" t="n">
        <f aca="false">IFERROR(__xludf.dummyfunction("""COMPUTED_VALUE"""),12.91)</f>
        <v>12.91</v>
      </c>
      <c r="E20" s="2" t="n">
        <f aca="false">IFERROR(__xludf.dummyfunction("""COMPUTED_VALUE"""),12.99)</f>
        <v>12.99</v>
      </c>
      <c r="F20" s="2" t="n">
        <f aca="false">IFERROR(__xludf.dummyfunction("""COMPUTED_VALUE"""),6788801)</f>
        <v>6788801</v>
      </c>
    </row>
    <row r="21" customFormat="false" ht="15.75" hidden="false" customHeight="false" outlineLevel="0" collapsed="false">
      <c r="A21" s="3" t="n">
        <f aca="false">IFERROR(__xludf.dummyfunction("""COMPUTED_VALUE"""),44228.6666666667)</f>
        <v>44228.6666666667</v>
      </c>
      <c r="B21" s="2" t="n">
        <f aca="false">IFERROR(__xludf.dummyfunction("""COMPUTED_VALUE"""),13.05)</f>
        <v>13.05</v>
      </c>
      <c r="C21" s="2" t="n">
        <f aca="false">IFERROR(__xludf.dummyfunction("""COMPUTED_VALUE"""),13.27)</f>
        <v>13.27</v>
      </c>
      <c r="D21" s="2" t="n">
        <f aca="false">IFERROR(__xludf.dummyfunction("""COMPUTED_VALUE"""),12.9)</f>
        <v>12.9</v>
      </c>
      <c r="E21" s="2" t="n">
        <f aca="false">IFERROR(__xludf.dummyfunction("""COMPUTED_VALUE"""),13.24)</f>
        <v>13.24</v>
      </c>
      <c r="F21" s="2" t="n">
        <f aca="false">IFERROR(__xludf.dummyfunction("""COMPUTED_VALUE"""),5430108)</f>
        <v>5430108</v>
      </c>
    </row>
    <row r="22" customFormat="false" ht="15.75" hidden="false" customHeight="false" outlineLevel="0" collapsed="false">
      <c r="A22" s="3" t="n">
        <f aca="false">IFERROR(__xludf.dummyfunction("""COMPUTED_VALUE"""),44229.6666666667)</f>
        <v>44229.6666666667</v>
      </c>
      <c r="B22" s="2" t="n">
        <f aca="false">IFERROR(__xludf.dummyfunction("""COMPUTED_VALUE"""),13.4)</f>
        <v>13.4</v>
      </c>
      <c r="C22" s="2" t="n">
        <f aca="false">IFERROR(__xludf.dummyfunction("""COMPUTED_VALUE"""),13.57)</f>
        <v>13.57</v>
      </c>
      <c r="D22" s="2" t="n">
        <f aca="false">IFERROR(__xludf.dummyfunction("""COMPUTED_VALUE"""),13.29)</f>
        <v>13.29</v>
      </c>
      <c r="E22" s="2" t="n">
        <f aca="false">IFERROR(__xludf.dummyfunction("""COMPUTED_VALUE"""),13.56)</f>
        <v>13.56</v>
      </c>
      <c r="F22" s="2" t="n">
        <f aca="false">IFERROR(__xludf.dummyfunction("""COMPUTED_VALUE"""),5510957)</f>
        <v>5510957</v>
      </c>
    </row>
    <row r="23" customFormat="false" ht="15.75" hidden="false" customHeight="false" outlineLevel="0" collapsed="false">
      <c r="A23" s="3" t="n">
        <f aca="false">IFERROR(__xludf.dummyfunction("""COMPUTED_VALUE"""),44230.6666666667)</f>
        <v>44230.6666666667</v>
      </c>
      <c r="B23" s="2" t="n">
        <f aca="false">IFERROR(__xludf.dummyfunction("""COMPUTED_VALUE"""),13.64)</f>
        <v>13.64</v>
      </c>
      <c r="C23" s="2" t="n">
        <f aca="false">IFERROR(__xludf.dummyfunction("""COMPUTED_VALUE"""),13.93)</f>
        <v>13.93</v>
      </c>
      <c r="D23" s="2" t="n">
        <f aca="false">IFERROR(__xludf.dummyfunction("""COMPUTED_VALUE"""),13.52)</f>
        <v>13.52</v>
      </c>
      <c r="E23" s="2" t="n">
        <f aca="false">IFERROR(__xludf.dummyfunction("""COMPUTED_VALUE"""),13.53)</f>
        <v>13.53</v>
      </c>
      <c r="F23" s="2" t="n">
        <f aca="false">IFERROR(__xludf.dummyfunction("""COMPUTED_VALUE"""),6135232)</f>
        <v>6135232</v>
      </c>
    </row>
    <row r="24" customFormat="false" ht="15.75" hidden="false" customHeight="false" outlineLevel="0" collapsed="false">
      <c r="A24" s="3" t="n">
        <f aca="false">IFERROR(__xludf.dummyfunction("""COMPUTED_VALUE"""),44231.6666666667)</f>
        <v>44231.6666666667</v>
      </c>
      <c r="B24" s="2" t="n">
        <f aca="false">IFERROR(__xludf.dummyfunction("""COMPUTED_VALUE"""),13.53)</f>
        <v>13.53</v>
      </c>
      <c r="C24" s="2" t="n">
        <f aca="false">IFERROR(__xludf.dummyfunction("""COMPUTED_VALUE"""),13.67)</f>
        <v>13.67</v>
      </c>
      <c r="D24" s="2" t="n">
        <f aca="false">IFERROR(__xludf.dummyfunction("""COMPUTED_VALUE"""),13.34)</f>
        <v>13.34</v>
      </c>
      <c r="E24" s="2" t="n">
        <f aca="false">IFERROR(__xludf.dummyfunction("""COMPUTED_VALUE"""),13.66)</f>
        <v>13.66</v>
      </c>
      <c r="F24" s="2" t="n">
        <f aca="false">IFERROR(__xludf.dummyfunction("""COMPUTED_VALUE"""),5033462)</f>
        <v>5033462</v>
      </c>
    </row>
    <row r="25" customFormat="false" ht="15.75" hidden="false" customHeight="false" outlineLevel="0" collapsed="false">
      <c r="A25" s="3" t="n">
        <f aca="false">IFERROR(__xludf.dummyfunction("""COMPUTED_VALUE"""),44232.6666666667)</f>
        <v>44232.6666666667</v>
      </c>
      <c r="B25" s="2" t="n">
        <f aca="false">IFERROR(__xludf.dummyfunction("""COMPUTED_VALUE"""),13.73)</f>
        <v>13.73</v>
      </c>
      <c r="C25" s="2" t="n">
        <f aca="false">IFERROR(__xludf.dummyfunction("""COMPUTED_VALUE"""),13.74)</f>
        <v>13.74</v>
      </c>
      <c r="D25" s="2" t="n">
        <f aca="false">IFERROR(__xludf.dummyfunction("""COMPUTED_VALUE"""),13.55)</f>
        <v>13.55</v>
      </c>
      <c r="E25" s="2" t="n">
        <f aca="false">IFERROR(__xludf.dummyfunction("""COMPUTED_VALUE"""),13.59)</f>
        <v>13.59</v>
      </c>
      <c r="F25" s="2" t="n">
        <f aca="false">IFERROR(__xludf.dummyfunction("""COMPUTED_VALUE"""),4228841)</f>
        <v>4228841</v>
      </c>
    </row>
    <row r="26" customFormat="false" ht="15.75" hidden="false" customHeight="false" outlineLevel="0" collapsed="false">
      <c r="A26" s="3" t="n">
        <f aca="false">IFERROR(__xludf.dummyfunction("""COMPUTED_VALUE"""),44235.6666666667)</f>
        <v>44235.6666666667</v>
      </c>
      <c r="B26" s="2" t="n">
        <f aca="false">IFERROR(__xludf.dummyfunction("""COMPUTED_VALUE"""),13.73)</f>
        <v>13.73</v>
      </c>
      <c r="C26" s="2" t="n">
        <f aca="false">IFERROR(__xludf.dummyfunction("""COMPUTED_VALUE"""),14.47)</f>
        <v>14.47</v>
      </c>
      <c r="D26" s="2" t="n">
        <f aca="false">IFERROR(__xludf.dummyfunction("""COMPUTED_VALUE"""),13.73)</f>
        <v>13.73</v>
      </c>
      <c r="E26" s="2" t="n">
        <f aca="false">IFERROR(__xludf.dummyfunction("""COMPUTED_VALUE"""),14.44)</f>
        <v>14.44</v>
      </c>
      <c r="F26" s="2" t="n">
        <f aca="false">IFERROR(__xludf.dummyfunction("""COMPUTED_VALUE"""),10865571)</f>
        <v>10865571</v>
      </c>
    </row>
    <row r="27" customFormat="false" ht="15.75" hidden="false" customHeight="false" outlineLevel="0" collapsed="false">
      <c r="A27" s="3" t="n">
        <f aca="false">IFERROR(__xludf.dummyfunction("""COMPUTED_VALUE"""),44236.6666666667)</f>
        <v>44236.6666666667</v>
      </c>
      <c r="B27" s="2" t="n">
        <f aca="false">IFERROR(__xludf.dummyfunction("""COMPUTED_VALUE"""),14.34)</f>
        <v>14.34</v>
      </c>
      <c r="C27" s="2" t="n">
        <f aca="false">IFERROR(__xludf.dummyfunction("""COMPUTED_VALUE"""),14.58)</f>
        <v>14.58</v>
      </c>
      <c r="D27" s="2" t="n">
        <f aca="false">IFERROR(__xludf.dummyfunction("""COMPUTED_VALUE"""),14.22)</f>
        <v>14.22</v>
      </c>
      <c r="E27" s="2" t="n">
        <f aca="false">IFERROR(__xludf.dummyfunction("""COMPUTED_VALUE"""),14.26)</f>
        <v>14.26</v>
      </c>
      <c r="F27" s="2" t="n">
        <f aca="false">IFERROR(__xludf.dummyfunction("""COMPUTED_VALUE"""),7189003)</f>
        <v>7189003</v>
      </c>
    </row>
    <row r="28" customFormat="false" ht="15.75" hidden="false" customHeight="false" outlineLevel="0" collapsed="false">
      <c r="A28" s="3" t="n">
        <f aca="false">IFERROR(__xludf.dummyfunction("""COMPUTED_VALUE"""),44237.6666666667)</f>
        <v>44237.6666666667</v>
      </c>
      <c r="B28" s="2" t="n">
        <f aca="false">IFERROR(__xludf.dummyfunction("""COMPUTED_VALUE"""),14.46)</f>
        <v>14.46</v>
      </c>
      <c r="C28" s="2" t="n">
        <f aca="false">IFERROR(__xludf.dummyfunction("""COMPUTED_VALUE"""),14.91)</f>
        <v>14.91</v>
      </c>
      <c r="D28" s="2" t="n">
        <f aca="false">IFERROR(__xludf.dummyfunction("""COMPUTED_VALUE"""),14.34)</f>
        <v>14.34</v>
      </c>
      <c r="E28" s="2" t="n">
        <f aca="false">IFERROR(__xludf.dummyfunction("""COMPUTED_VALUE"""),14.76)</f>
        <v>14.76</v>
      </c>
      <c r="F28" s="2" t="n">
        <f aca="false">IFERROR(__xludf.dummyfunction("""COMPUTED_VALUE"""),12133808)</f>
        <v>12133808</v>
      </c>
    </row>
    <row r="29" customFormat="false" ht="15.75" hidden="false" customHeight="false" outlineLevel="0" collapsed="false">
      <c r="A29" s="3" t="n">
        <f aca="false">IFERROR(__xludf.dummyfunction("""COMPUTED_VALUE"""),44238.6666666667)</f>
        <v>44238.6666666667</v>
      </c>
      <c r="B29" s="2" t="n">
        <f aca="false">IFERROR(__xludf.dummyfunction("""COMPUTED_VALUE"""),14.98)</f>
        <v>14.98</v>
      </c>
      <c r="C29" s="2" t="n">
        <f aca="false">IFERROR(__xludf.dummyfunction("""COMPUTED_VALUE"""),15.27)</f>
        <v>15.27</v>
      </c>
      <c r="D29" s="2" t="n">
        <f aca="false">IFERROR(__xludf.dummyfunction("""COMPUTED_VALUE"""),14.93)</f>
        <v>14.93</v>
      </c>
      <c r="E29" s="2" t="n">
        <f aca="false">IFERROR(__xludf.dummyfunction("""COMPUTED_VALUE"""),15.25)</f>
        <v>15.25</v>
      </c>
      <c r="F29" s="2" t="n">
        <f aca="false">IFERROR(__xludf.dummyfunction("""COMPUTED_VALUE"""),11270693)</f>
        <v>11270693</v>
      </c>
    </row>
    <row r="30" customFormat="false" ht="15.75" hidden="false" customHeight="false" outlineLevel="0" collapsed="false">
      <c r="A30" s="3" t="n">
        <f aca="false">IFERROR(__xludf.dummyfunction("""COMPUTED_VALUE"""),44239.6666666667)</f>
        <v>44239.6666666667</v>
      </c>
      <c r="B30" s="2" t="n">
        <f aca="false">IFERROR(__xludf.dummyfunction("""COMPUTED_VALUE"""),15.05)</f>
        <v>15.05</v>
      </c>
      <c r="C30" s="2" t="n">
        <f aca="false">IFERROR(__xludf.dummyfunction("""COMPUTED_VALUE"""),15.29)</f>
        <v>15.29</v>
      </c>
      <c r="D30" s="2" t="n">
        <f aca="false">IFERROR(__xludf.dummyfunction("""COMPUTED_VALUE"""),14.78)</f>
        <v>14.78</v>
      </c>
      <c r="E30" s="2" t="n">
        <f aca="false">IFERROR(__xludf.dummyfunction("""COMPUTED_VALUE"""),14.96)</f>
        <v>14.96</v>
      </c>
      <c r="F30" s="2" t="n">
        <f aca="false">IFERROR(__xludf.dummyfunction("""COMPUTED_VALUE"""),9368937)</f>
        <v>9368937</v>
      </c>
    </row>
    <row r="31" customFormat="false" ht="15.75" hidden="false" customHeight="false" outlineLevel="0" collapsed="false">
      <c r="A31" s="3" t="n">
        <f aca="false">IFERROR(__xludf.dummyfunction("""COMPUTED_VALUE"""),44243.6666666667)</f>
        <v>44243.6666666667</v>
      </c>
      <c r="B31" s="2" t="n">
        <f aca="false">IFERROR(__xludf.dummyfunction("""COMPUTED_VALUE"""),15.06)</f>
        <v>15.06</v>
      </c>
      <c r="C31" s="2" t="n">
        <f aca="false">IFERROR(__xludf.dummyfunction("""COMPUTED_VALUE"""),15.37)</f>
        <v>15.37</v>
      </c>
      <c r="D31" s="2" t="n">
        <f aca="false">IFERROR(__xludf.dummyfunction("""COMPUTED_VALUE"""),14.95)</f>
        <v>14.95</v>
      </c>
      <c r="E31" s="2" t="n">
        <f aca="false">IFERROR(__xludf.dummyfunction("""COMPUTED_VALUE"""),15.33)</f>
        <v>15.33</v>
      </c>
      <c r="F31" s="2" t="n">
        <f aca="false">IFERROR(__xludf.dummyfunction("""COMPUTED_VALUE"""),8048988)</f>
        <v>8048988</v>
      </c>
    </row>
    <row r="32" customFormat="false" ht="15.75" hidden="false" customHeight="false" outlineLevel="0" collapsed="false">
      <c r="A32" s="3" t="n">
        <f aca="false">IFERROR(__xludf.dummyfunction("""COMPUTED_VALUE"""),44244.6666666667)</f>
        <v>44244.6666666667</v>
      </c>
      <c r="B32" s="2" t="n">
        <f aca="false">IFERROR(__xludf.dummyfunction("""COMPUTED_VALUE"""),15.17)</f>
        <v>15.17</v>
      </c>
      <c r="C32" s="2" t="n">
        <f aca="false">IFERROR(__xludf.dummyfunction("""COMPUTED_VALUE"""),15.22)</f>
        <v>15.22</v>
      </c>
      <c r="D32" s="2" t="n">
        <f aca="false">IFERROR(__xludf.dummyfunction("""COMPUTED_VALUE"""),14.78)</f>
        <v>14.78</v>
      </c>
      <c r="E32" s="2" t="n">
        <f aca="false">IFERROR(__xludf.dummyfunction("""COMPUTED_VALUE"""),14.91)</f>
        <v>14.91</v>
      </c>
      <c r="F32" s="2" t="n">
        <f aca="false">IFERROR(__xludf.dummyfunction("""COMPUTED_VALUE"""),6892467)</f>
        <v>6892467</v>
      </c>
    </row>
    <row r="33" customFormat="false" ht="15.75" hidden="false" customHeight="false" outlineLevel="0" collapsed="false">
      <c r="A33" s="3" t="n">
        <f aca="false">IFERROR(__xludf.dummyfunction("""COMPUTED_VALUE"""),44245.6666666667)</f>
        <v>44245.6666666667</v>
      </c>
      <c r="B33" s="2" t="n">
        <f aca="false">IFERROR(__xludf.dummyfunction("""COMPUTED_VALUE"""),14.73)</f>
        <v>14.73</v>
      </c>
      <c r="C33" s="2" t="n">
        <f aca="false">IFERROR(__xludf.dummyfunction("""COMPUTED_VALUE"""),14.87)</f>
        <v>14.87</v>
      </c>
      <c r="D33" s="2" t="n">
        <f aca="false">IFERROR(__xludf.dummyfunction("""COMPUTED_VALUE"""),14.58)</f>
        <v>14.58</v>
      </c>
      <c r="E33" s="2" t="n">
        <f aca="false">IFERROR(__xludf.dummyfunction("""COMPUTED_VALUE"""),14.83)</f>
        <v>14.83</v>
      </c>
      <c r="F33" s="2" t="n">
        <f aca="false">IFERROR(__xludf.dummyfunction("""COMPUTED_VALUE"""),5852020)</f>
        <v>5852020</v>
      </c>
    </row>
    <row r="34" customFormat="false" ht="15.75" hidden="false" customHeight="false" outlineLevel="0" collapsed="false">
      <c r="A34" s="3" t="n">
        <f aca="false">IFERROR(__xludf.dummyfunction("""COMPUTED_VALUE"""),44246.6666666667)</f>
        <v>44246.6666666667</v>
      </c>
      <c r="B34" s="2" t="n">
        <f aca="false">IFERROR(__xludf.dummyfunction("""COMPUTED_VALUE"""),15.02)</f>
        <v>15.02</v>
      </c>
      <c r="C34" s="2" t="n">
        <f aca="false">IFERROR(__xludf.dummyfunction("""COMPUTED_VALUE"""),15.18)</f>
        <v>15.18</v>
      </c>
      <c r="D34" s="2" t="n">
        <f aca="false">IFERROR(__xludf.dummyfunction("""COMPUTED_VALUE"""),14.85)</f>
        <v>14.85</v>
      </c>
      <c r="E34" s="2" t="n">
        <f aca="false">IFERROR(__xludf.dummyfunction("""COMPUTED_VALUE"""),14.93)</f>
        <v>14.93</v>
      </c>
      <c r="F34" s="2" t="n">
        <f aca="false">IFERROR(__xludf.dummyfunction("""COMPUTED_VALUE"""),6793103)</f>
        <v>6793103</v>
      </c>
    </row>
    <row r="35" customFormat="false" ht="15.75" hidden="false" customHeight="false" outlineLevel="0" collapsed="false">
      <c r="A35" s="3" t="n">
        <f aca="false">IFERROR(__xludf.dummyfunction("""COMPUTED_VALUE"""),44249.6666666667)</f>
        <v>44249.6666666667</v>
      </c>
      <c r="B35" s="2" t="n">
        <f aca="false">IFERROR(__xludf.dummyfunction("""COMPUTED_VALUE"""),14.77)</f>
        <v>14.77</v>
      </c>
      <c r="C35" s="2" t="n">
        <f aca="false">IFERROR(__xludf.dummyfunction("""COMPUTED_VALUE"""),15.13)</f>
        <v>15.13</v>
      </c>
      <c r="D35" s="2" t="n">
        <f aca="false">IFERROR(__xludf.dummyfunction("""COMPUTED_VALUE"""),14.33)</f>
        <v>14.33</v>
      </c>
      <c r="E35" s="2" t="n">
        <f aca="false">IFERROR(__xludf.dummyfunction("""COMPUTED_VALUE"""),14.36)</f>
        <v>14.36</v>
      </c>
      <c r="F35" s="2" t="n">
        <f aca="false">IFERROR(__xludf.dummyfunction("""COMPUTED_VALUE"""),8147139)</f>
        <v>8147139</v>
      </c>
    </row>
    <row r="36" customFormat="false" ht="15.75" hidden="false" customHeight="false" outlineLevel="0" collapsed="false">
      <c r="A36" s="3" t="n">
        <f aca="false">IFERROR(__xludf.dummyfunction("""COMPUTED_VALUE"""),44250.6666666667)</f>
        <v>44250.6666666667</v>
      </c>
      <c r="B36" s="2" t="n">
        <f aca="false">IFERROR(__xludf.dummyfunction("""COMPUTED_VALUE"""),14.08)</f>
        <v>14.08</v>
      </c>
      <c r="C36" s="2" t="n">
        <f aca="false">IFERROR(__xludf.dummyfunction("""COMPUTED_VALUE"""),14.24)</f>
        <v>14.24</v>
      </c>
      <c r="D36" s="2" t="n">
        <f aca="false">IFERROR(__xludf.dummyfunction("""COMPUTED_VALUE"""),13.39)</f>
        <v>13.39</v>
      </c>
      <c r="E36" s="2" t="n">
        <f aca="false">IFERROR(__xludf.dummyfunction("""COMPUTED_VALUE"""),14.14)</f>
        <v>14.14</v>
      </c>
      <c r="F36" s="2" t="n">
        <f aca="false">IFERROR(__xludf.dummyfunction("""COMPUTED_VALUE"""),9794483)</f>
        <v>9794483</v>
      </c>
    </row>
    <row r="37" customFormat="false" ht="15.75" hidden="false" customHeight="false" outlineLevel="0" collapsed="false">
      <c r="A37" s="3" t="n">
        <f aca="false">IFERROR(__xludf.dummyfunction("""COMPUTED_VALUE"""),44251.6666666667)</f>
        <v>44251.6666666667</v>
      </c>
      <c r="B37" s="2" t="n">
        <f aca="false">IFERROR(__xludf.dummyfunction("""COMPUTED_VALUE"""),14.12)</f>
        <v>14.12</v>
      </c>
      <c r="C37" s="2" t="n">
        <f aca="false">IFERROR(__xludf.dummyfunction("""COMPUTED_VALUE"""),14.51)</f>
        <v>14.51</v>
      </c>
      <c r="D37" s="2" t="n">
        <f aca="false">IFERROR(__xludf.dummyfunction("""COMPUTED_VALUE"""),13.76)</f>
        <v>13.76</v>
      </c>
      <c r="E37" s="2" t="n">
        <f aca="false">IFERROR(__xludf.dummyfunction("""COMPUTED_VALUE"""),14.5)</f>
        <v>14.5</v>
      </c>
      <c r="F37" s="2" t="n">
        <f aca="false">IFERROR(__xludf.dummyfunction("""COMPUTED_VALUE"""),11207977)</f>
        <v>11207977</v>
      </c>
    </row>
    <row r="38" customFormat="false" ht="15.75" hidden="false" customHeight="false" outlineLevel="0" collapsed="false">
      <c r="A38" s="3" t="n">
        <f aca="false">IFERROR(__xludf.dummyfunction("""COMPUTED_VALUE"""),44252.6666666667)</f>
        <v>44252.6666666667</v>
      </c>
      <c r="B38" s="2" t="n">
        <f aca="false">IFERROR(__xludf.dummyfunction("""COMPUTED_VALUE"""),14.05)</f>
        <v>14.05</v>
      </c>
      <c r="C38" s="2" t="n">
        <f aca="false">IFERROR(__xludf.dummyfunction("""COMPUTED_VALUE"""),14.37)</f>
        <v>14.37</v>
      </c>
      <c r="D38" s="2" t="n">
        <f aca="false">IFERROR(__xludf.dummyfunction("""COMPUTED_VALUE"""),13.22)</f>
        <v>13.22</v>
      </c>
      <c r="E38" s="2" t="n">
        <f aca="false">IFERROR(__xludf.dummyfunction("""COMPUTED_VALUE"""),13.31)</f>
        <v>13.31</v>
      </c>
      <c r="F38" s="2" t="n">
        <f aca="false">IFERROR(__xludf.dummyfunction("""COMPUTED_VALUE"""),20610901)</f>
        <v>20610901</v>
      </c>
    </row>
    <row r="39" customFormat="false" ht="15.75" hidden="false" customHeight="false" outlineLevel="0" collapsed="false">
      <c r="A39" s="3" t="n">
        <f aca="false">IFERROR(__xludf.dummyfunction("""COMPUTED_VALUE"""),44253.6666666667)</f>
        <v>44253.6666666667</v>
      </c>
      <c r="B39" s="2" t="n">
        <f aca="false">IFERROR(__xludf.dummyfunction("""COMPUTED_VALUE"""),13.75)</f>
        <v>13.75</v>
      </c>
      <c r="C39" s="2" t="n">
        <f aca="false">IFERROR(__xludf.dummyfunction("""COMPUTED_VALUE"""),13.85)</f>
        <v>13.85</v>
      </c>
      <c r="D39" s="2" t="n">
        <f aca="false">IFERROR(__xludf.dummyfunction("""COMPUTED_VALUE"""),13.36)</f>
        <v>13.36</v>
      </c>
      <c r="E39" s="2" t="n">
        <f aca="false">IFERROR(__xludf.dummyfunction("""COMPUTED_VALUE"""),13.71)</f>
        <v>13.71</v>
      </c>
      <c r="F39" s="2" t="n">
        <f aca="false">IFERROR(__xludf.dummyfunction("""COMPUTED_VALUE"""),12523260)</f>
        <v>12523260</v>
      </c>
    </row>
    <row r="40" customFormat="false" ht="15.75" hidden="false" customHeight="false" outlineLevel="0" collapsed="false">
      <c r="A40" s="3" t="n">
        <f aca="false">IFERROR(__xludf.dummyfunction("""COMPUTED_VALUE"""),44256.6666666667)</f>
        <v>44256.6666666667</v>
      </c>
      <c r="B40" s="2" t="n">
        <f aca="false">IFERROR(__xludf.dummyfunction("""COMPUTED_VALUE"""),13.88)</f>
        <v>13.88</v>
      </c>
      <c r="C40" s="2" t="n">
        <f aca="false">IFERROR(__xludf.dummyfunction("""COMPUTED_VALUE"""),13.93)</f>
        <v>13.93</v>
      </c>
      <c r="D40" s="2" t="n">
        <f aca="false">IFERROR(__xludf.dummyfunction("""COMPUTED_VALUE"""),13.55)</f>
        <v>13.55</v>
      </c>
      <c r="E40" s="2" t="n">
        <f aca="false">IFERROR(__xludf.dummyfunction("""COMPUTED_VALUE"""),13.84)</f>
        <v>13.84</v>
      </c>
      <c r="F40" s="2" t="n">
        <f aca="false">IFERROR(__xludf.dummyfunction("""COMPUTED_VALUE"""),8829575)</f>
        <v>8829575</v>
      </c>
    </row>
    <row r="41" customFormat="false" ht="15.75" hidden="false" customHeight="false" outlineLevel="0" collapsed="false">
      <c r="A41" s="3" t="n">
        <f aca="false">IFERROR(__xludf.dummyfunction("""COMPUTED_VALUE"""),44257.6666666667)</f>
        <v>44257.6666666667</v>
      </c>
      <c r="B41" s="2" t="n">
        <f aca="false">IFERROR(__xludf.dummyfunction("""COMPUTED_VALUE"""),13.9)</f>
        <v>13.9</v>
      </c>
      <c r="C41" s="2" t="n">
        <f aca="false">IFERROR(__xludf.dummyfunction("""COMPUTED_VALUE"""),13.92)</f>
        <v>13.92</v>
      </c>
      <c r="D41" s="2" t="n">
        <f aca="false">IFERROR(__xludf.dummyfunction("""COMPUTED_VALUE"""),13.4)</f>
        <v>13.4</v>
      </c>
      <c r="E41" s="2" t="n">
        <f aca="false">IFERROR(__xludf.dummyfunction("""COMPUTED_VALUE"""),13.41)</f>
        <v>13.41</v>
      </c>
      <c r="F41" s="2" t="n">
        <f aca="false">IFERROR(__xludf.dummyfunction("""COMPUTED_VALUE"""),6602853)</f>
        <v>6602853</v>
      </c>
    </row>
    <row r="42" customFormat="false" ht="15.75" hidden="false" customHeight="false" outlineLevel="0" collapsed="false">
      <c r="A42" s="3" t="n">
        <f aca="false">IFERROR(__xludf.dummyfunction("""COMPUTED_VALUE"""),44258.6666666667)</f>
        <v>44258.6666666667</v>
      </c>
      <c r="B42" s="2" t="n">
        <f aca="false">IFERROR(__xludf.dummyfunction("""COMPUTED_VALUE"""),13.43)</f>
        <v>13.43</v>
      </c>
      <c r="C42" s="2" t="n">
        <f aca="false">IFERROR(__xludf.dummyfunction("""COMPUTED_VALUE"""),13.45)</f>
        <v>13.45</v>
      </c>
      <c r="D42" s="2" t="n">
        <f aca="false">IFERROR(__xludf.dummyfunction("""COMPUTED_VALUE"""),12.8)</f>
        <v>12.8</v>
      </c>
      <c r="E42" s="2" t="n">
        <f aca="false">IFERROR(__xludf.dummyfunction("""COMPUTED_VALUE"""),12.8)</f>
        <v>12.8</v>
      </c>
      <c r="F42" s="2" t="n">
        <f aca="false">IFERROR(__xludf.dummyfunction("""COMPUTED_VALUE"""),9439757)</f>
        <v>9439757</v>
      </c>
    </row>
    <row r="43" customFormat="false" ht="15.75" hidden="false" customHeight="false" outlineLevel="0" collapsed="false">
      <c r="A43" s="3" t="n">
        <f aca="false">IFERROR(__xludf.dummyfunction("""COMPUTED_VALUE"""),44259.6666666667)</f>
        <v>44259.6666666667</v>
      </c>
      <c r="B43" s="2" t="n">
        <f aca="false">IFERROR(__xludf.dummyfunction("""COMPUTED_VALUE"""),12.8)</f>
        <v>12.8</v>
      </c>
      <c r="C43" s="2" t="n">
        <f aca="false">IFERROR(__xludf.dummyfunction("""COMPUTED_VALUE"""),12.98)</f>
        <v>12.98</v>
      </c>
      <c r="D43" s="2" t="n">
        <f aca="false">IFERROR(__xludf.dummyfunction("""COMPUTED_VALUE"""),12.08)</f>
        <v>12.08</v>
      </c>
      <c r="E43" s="2" t="n">
        <f aca="false">IFERROR(__xludf.dummyfunction("""COMPUTED_VALUE"""),12.37)</f>
        <v>12.37</v>
      </c>
      <c r="F43" s="2" t="n">
        <f aca="false">IFERROR(__xludf.dummyfunction("""COMPUTED_VALUE"""),14333629)</f>
        <v>14333629</v>
      </c>
    </row>
    <row r="44" customFormat="false" ht="15.75" hidden="false" customHeight="false" outlineLevel="0" collapsed="false">
      <c r="A44" s="3" t="n">
        <f aca="false">IFERROR(__xludf.dummyfunction("""COMPUTED_VALUE"""),44260.6666666667)</f>
        <v>44260.6666666667</v>
      </c>
      <c r="B44" s="2" t="n">
        <f aca="false">IFERROR(__xludf.dummyfunction("""COMPUTED_VALUE"""),12.55)</f>
        <v>12.55</v>
      </c>
      <c r="C44" s="2" t="n">
        <f aca="false">IFERROR(__xludf.dummyfunction("""COMPUTED_VALUE"""),12.55)</f>
        <v>12.55</v>
      </c>
      <c r="D44" s="2" t="n">
        <f aca="false">IFERROR(__xludf.dummyfunction("""COMPUTED_VALUE"""),11.68)</f>
        <v>11.68</v>
      </c>
      <c r="E44" s="2" t="n">
        <f aca="false">IFERROR(__xludf.dummyfunction("""COMPUTED_VALUE"""),12.46)</f>
        <v>12.46</v>
      </c>
      <c r="F44" s="2" t="n">
        <f aca="false">IFERROR(__xludf.dummyfunction("""COMPUTED_VALUE"""),13570971)</f>
        <v>13570971</v>
      </c>
    </row>
    <row r="45" customFormat="false" ht="15.75" hidden="false" customHeight="false" outlineLevel="0" collapsed="false">
      <c r="A45" s="3" t="n">
        <f aca="false">IFERROR(__xludf.dummyfunction("""COMPUTED_VALUE"""),44263.6666666667)</f>
        <v>44263.6666666667</v>
      </c>
      <c r="B45" s="2" t="n">
        <f aca="false">IFERROR(__xludf.dummyfunction("""COMPUTED_VALUE"""),12.45)</f>
        <v>12.45</v>
      </c>
      <c r="C45" s="2" t="n">
        <f aca="false">IFERROR(__xludf.dummyfunction("""COMPUTED_VALUE"""),12.47)</f>
        <v>12.47</v>
      </c>
      <c r="D45" s="2" t="n">
        <f aca="false">IFERROR(__xludf.dummyfunction("""COMPUTED_VALUE"""),11.57)</f>
        <v>11.57</v>
      </c>
      <c r="E45" s="2" t="n">
        <f aca="false">IFERROR(__xludf.dummyfunction("""COMPUTED_VALUE"""),11.59)</f>
        <v>11.59</v>
      </c>
      <c r="F45" s="2" t="n">
        <f aca="false">IFERROR(__xludf.dummyfunction("""COMPUTED_VALUE"""),13577792)</f>
        <v>13577792</v>
      </c>
    </row>
    <row r="46" customFormat="false" ht="15.75" hidden="false" customHeight="false" outlineLevel="0" collapsed="false">
      <c r="A46" s="3" t="n">
        <f aca="false">IFERROR(__xludf.dummyfunction("""COMPUTED_VALUE"""),44264.6666666667)</f>
        <v>44264.6666666667</v>
      </c>
      <c r="B46" s="2" t="n">
        <f aca="false">IFERROR(__xludf.dummyfunction("""COMPUTED_VALUE"""),12.13)</f>
        <v>12.13</v>
      </c>
      <c r="C46" s="2" t="n">
        <f aca="false">IFERROR(__xludf.dummyfunction("""COMPUTED_VALUE"""),12.62)</f>
        <v>12.62</v>
      </c>
      <c r="D46" s="2" t="n">
        <f aca="false">IFERROR(__xludf.dummyfunction("""COMPUTED_VALUE"""),12.06)</f>
        <v>12.06</v>
      </c>
      <c r="E46" s="2" t="n">
        <f aca="false">IFERROR(__xludf.dummyfunction("""COMPUTED_VALUE"""),12.52)</f>
        <v>12.52</v>
      </c>
      <c r="F46" s="2" t="n">
        <f aca="false">IFERROR(__xludf.dummyfunction("""COMPUTED_VALUE"""),13045638)</f>
        <v>13045638</v>
      </c>
    </row>
    <row r="47" customFormat="false" ht="15.75" hidden="false" customHeight="false" outlineLevel="0" collapsed="false">
      <c r="A47" s="3" t="n">
        <f aca="false">IFERROR(__xludf.dummyfunction("""COMPUTED_VALUE"""),44265.6666666667)</f>
        <v>44265.6666666667</v>
      </c>
      <c r="B47" s="2" t="n">
        <f aca="false">IFERROR(__xludf.dummyfunction("""COMPUTED_VALUE"""),12.84)</f>
        <v>12.84</v>
      </c>
      <c r="C47" s="2" t="n">
        <f aca="false">IFERROR(__xludf.dummyfunction("""COMPUTED_VALUE"""),12.98)</f>
        <v>12.98</v>
      </c>
      <c r="D47" s="2" t="n">
        <f aca="false">IFERROR(__xludf.dummyfunction("""COMPUTED_VALUE"""),12.46)</f>
        <v>12.46</v>
      </c>
      <c r="E47" s="2" t="n">
        <f aca="false">IFERROR(__xludf.dummyfunction("""COMPUTED_VALUE"""),12.47)</f>
        <v>12.47</v>
      </c>
      <c r="F47" s="2" t="n">
        <f aca="false">IFERROR(__xludf.dummyfunction("""COMPUTED_VALUE"""),9609414)</f>
        <v>9609414</v>
      </c>
    </row>
    <row r="48" customFormat="false" ht="15.75" hidden="false" customHeight="false" outlineLevel="0" collapsed="false">
      <c r="A48" s="3" t="n">
        <f aca="false">IFERROR(__xludf.dummyfunction("""COMPUTED_VALUE"""),44266.6666666667)</f>
        <v>44266.6666666667</v>
      </c>
      <c r="B48" s="2" t="n">
        <f aca="false">IFERROR(__xludf.dummyfunction("""COMPUTED_VALUE"""),12.95)</f>
        <v>12.95</v>
      </c>
      <c r="C48" s="2" t="n">
        <f aca="false">IFERROR(__xludf.dummyfunction("""COMPUTED_VALUE"""),13.05)</f>
        <v>13.05</v>
      </c>
      <c r="D48" s="2" t="n">
        <f aca="false">IFERROR(__xludf.dummyfunction("""COMPUTED_VALUE"""),12.73)</f>
        <v>12.73</v>
      </c>
      <c r="E48" s="2" t="n">
        <f aca="false">IFERROR(__xludf.dummyfunction("""COMPUTED_VALUE"""),12.99)</f>
        <v>12.99</v>
      </c>
      <c r="F48" s="2" t="n">
        <f aca="false">IFERROR(__xludf.dummyfunction("""COMPUTED_VALUE"""),7497857)</f>
        <v>7497857</v>
      </c>
    </row>
    <row r="49" customFormat="false" ht="15.75" hidden="false" customHeight="false" outlineLevel="0" collapsed="false">
      <c r="A49" s="3" t="n">
        <f aca="false">IFERROR(__xludf.dummyfunction("""COMPUTED_VALUE"""),44267.6666666667)</f>
        <v>44267.6666666667</v>
      </c>
      <c r="B49" s="2" t="n">
        <f aca="false">IFERROR(__xludf.dummyfunction("""COMPUTED_VALUE"""),12.65)</f>
        <v>12.65</v>
      </c>
      <c r="C49" s="2" t="n">
        <f aca="false">IFERROR(__xludf.dummyfunction("""COMPUTED_VALUE"""),12.89)</f>
        <v>12.89</v>
      </c>
      <c r="D49" s="2" t="n">
        <f aca="false">IFERROR(__xludf.dummyfunction("""COMPUTED_VALUE"""),12.59)</f>
        <v>12.59</v>
      </c>
      <c r="E49" s="2" t="n">
        <f aca="false">IFERROR(__xludf.dummyfunction("""COMPUTED_VALUE"""),12.86)</f>
        <v>12.86</v>
      </c>
      <c r="F49" s="2" t="n">
        <f aca="false">IFERROR(__xludf.dummyfunction("""COMPUTED_VALUE"""),6099099)</f>
        <v>6099099</v>
      </c>
    </row>
    <row r="50" customFormat="false" ht="15.75" hidden="false" customHeight="false" outlineLevel="0" collapsed="false">
      <c r="A50" s="3" t="n">
        <f aca="false">IFERROR(__xludf.dummyfunction("""COMPUTED_VALUE"""),44270.6666666667)</f>
        <v>44270.6666666667</v>
      </c>
      <c r="B50" s="2" t="n">
        <f aca="false">IFERROR(__xludf.dummyfunction("""COMPUTED_VALUE"""),12.86)</f>
        <v>12.86</v>
      </c>
      <c r="C50" s="2" t="n">
        <f aca="false">IFERROR(__xludf.dummyfunction("""COMPUTED_VALUE"""),13.21)</f>
        <v>13.21</v>
      </c>
      <c r="D50" s="2" t="n">
        <f aca="false">IFERROR(__xludf.dummyfunction("""COMPUTED_VALUE"""),12.77)</f>
        <v>12.77</v>
      </c>
      <c r="E50" s="2" t="n">
        <f aca="false">IFERROR(__xludf.dummyfunction("""COMPUTED_VALUE"""),13.19)</f>
        <v>13.19</v>
      </c>
      <c r="F50" s="2" t="n">
        <f aca="false">IFERROR(__xludf.dummyfunction("""COMPUTED_VALUE"""),5563011)</f>
        <v>5563011</v>
      </c>
    </row>
    <row r="51" customFormat="false" ht="15.75" hidden="false" customHeight="false" outlineLevel="0" collapsed="false">
      <c r="A51" s="3" t="n">
        <f aca="false">IFERROR(__xludf.dummyfunction("""COMPUTED_VALUE"""),44271.6666666667)</f>
        <v>44271.6666666667</v>
      </c>
      <c r="B51" s="2" t="n">
        <f aca="false">IFERROR(__xludf.dummyfunction("""COMPUTED_VALUE"""),13.36)</f>
        <v>13.36</v>
      </c>
      <c r="C51" s="2" t="n">
        <f aca="false">IFERROR(__xludf.dummyfunction("""COMPUTED_VALUE"""),13.51)</f>
        <v>13.51</v>
      </c>
      <c r="D51" s="2" t="n">
        <f aca="false">IFERROR(__xludf.dummyfunction("""COMPUTED_VALUE"""),13.12)</f>
        <v>13.12</v>
      </c>
      <c r="E51" s="2" t="n">
        <f aca="false">IFERROR(__xludf.dummyfunction("""COMPUTED_VALUE"""),13.29)</f>
        <v>13.29</v>
      </c>
      <c r="F51" s="2" t="n">
        <f aca="false">IFERROR(__xludf.dummyfunction("""COMPUTED_VALUE"""),6803240)</f>
        <v>6803240</v>
      </c>
    </row>
    <row r="52" customFormat="false" ht="15.75" hidden="false" customHeight="false" outlineLevel="0" collapsed="false">
      <c r="A52" s="3" t="n">
        <f aca="false">IFERROR(__xludf.dummyfunction("""COMPUTED_VALUE"""),44272.6666666667)</f>
        <v>44272.6666666667</v>
      </c>
      <c r="B52" s="2" t="n">
        <f aca="false">IFERROR(__xludf.dummyfunction("""COMPUTED_VALUE"""),13.04)</f>
        <v>13.04</v>
      </c>
      <c r="C52" s="2" t="n">
        <f aca="false">IFERROR(__xludf.dummyfunction("""COMPUTED_VALUE"""),13.45)</f>
        <v>13.45</v>
      </c>
      <c r="D52" s="2" t="n">
        <f aca="false">IFERROR(__xludf.dummyfunction("""COMPUTED_VALUE"""),12.99)</f>
        <v>12.99</v>
      </c>
      <c r="E52" s="2" t="n">
        <f aca="false">IFERROR(__xludf.dummyfunction("""COMPUTED_VALUE"""),13.34)</f>
        <v>13.34</v>
      </c>
      <c r="F52" s="2" t="n">
        <f aca="false">IFERROR(__xludf.dummyfunction("""COMPUTED_VALUE"""),6096605)</f>
        <v>6096605</v>
      </c>
    </row>
    <row r="53" customFormat="false" ht="15.75" hidden="false" customHeight="false" outlineLevel="0" collapsed="false">
      <c r="A53" s="3" t="n">
        <f aca="false">IFERROR(__xludf.dummyfunction("""COMPUTED_VALUE"""),44273.6666666667)</f>
        <v>44273.6666666667</v>
      </c>
      <c r="B53" s="2" t="n">
        <f aca="false">IFERROR(__xludf.dummyfunction("""COMPUTED_VALUE"""),13.14)</f>
        <v>13.14</v>
      </c>
      <c r="C53" s="2" t="n">
        <f aca="false">IFERROR(__xludf.dummyfunction("""COMPUTED_VALUE"""),13.18)</f>
        <v>13.18</v>
      </c>
      <c r="D53" s="2" t="n">
        <f aca="false">IFERROR(__xludf.dummyfunction("""COMPUTED_VALUE"""),12.72)</f>
        <v>12.72</v>
      </c>
      <c r="E53" s="2" t="n">
        <f aca="false">IFERROR(__xludf.dummyfunction("""COMPUTED_VALUE"""),12.72)</f>
        <v>12.72</v>
      </c>
      <c r="F53" s="2" t="n">
        <f aca="false">IFERROR(__xludf.dummyfunction("""COMPUTED_VALUE"""),7354702)</f>
        <v>7354702</v>
      </c>
    </row>
    <row r="54" customFormat="false" ht="15.75" hidden="false" customHeight="false" outlineLevel="0" collapsed="false">
      <c r="A54" s="3" t="n">
        <f aca="false">IFERROR(__xludf.dummyfunction("""COMPUTED_VALUE"""),44274.6666666667)</f>
        <v>44274.6666666667</v>
      </c>
      <c r="B54" s="2" t="n">
        <f aca="false">IFERROR(__xludf.dummyfunction("""COMPUTED_VALUE"""),12.75)</f>
        <v>12.75</v>
      </c>
      <c r="C54" s="2" t="n">
        <f aca="false">IFERROR(__xludf.dummyfunction("""COMPUTED_VALUE"""),12.92)</f>
        <v>12.92</v>
      </c>
      <c r="D54" s="2" t="n">
        <f aca="false">IFERROR(__xludf.dummyfunction("""COMPUTED_VALUE"""),12.61)</f>
        <v>12.61</v>
      </c>
      <c r="E54" s="2" t="n">
        <f aca="false">IFERROR(__xludf.dummyfunction("""COMPUTED_VALUE"""),12.85)</f>
        <v>12.85</v>
      </c>
      <c r="F54" s="2" t="n">
        <f aca="false">IFERROR(__xludf.dummyfunction("""COMPUTED_VALUE"""),7480174)</f>
        <v>7480174</v>
      </c>
    </row>
    <row r="55" customFormat="false" ht="15.75" hidden="false" customHeight="false" outlineLevel="0" collapsed="false">
      <c r="A55" s="3" t="n">
        <f aca="false">IFERROR(__xludf.dummyfunction("""COMPUTED_VALUE"""),44277.6666666667)</f>
        <v>44277.6666666667</v>
      </c>
      <c r="B55" s="2" t="n">
        <f aca="false">IFERROR(__xludf.dummyfunction("""COMPUTED_VALUE"""),12.91)</f>
        <v>12.91</v>
      </c>
      <c r="C55" s="2" t="n">
        <f aca="false">IFERROR(__xludf.dummyfunction("""COMPUTED_VALUE"""),13.39)</f>
        <v>13.39</v>
      </c>
      <c r="D55" s="2" t="n">
        <f aca="false">IFERROR(__xludf.dummyfunction("""COMPUTED_VALUE"""),12.91)</f>
        <v>12.91</v>
      </c>
      <c r="E55" s="2" t="n">
        <f aca="false">IFERROR(__xludf.dummyfunction("""COMPUTED_VALUE"""),13.19)</f>
        <v>13.19</v>
      </c>
      <c r="F55" s="2" t="n">
        <f aca="false">IFERROR(__xludf.dummyfunction("""COMPUTED_VALUE"""),7445077)</f>
        <v>7445077</v>
      </c>
    </row>
    <row r="56" customFormat="false" ht="15.75" hidden="false" customHeight="false" outlineLevel="0" collapsed="false">
      <c r="A56" s="3" t="n">
        <f aca="false">IFERROR(__xludf.dummyfunction("""COMPUTED_VALUE"""),44278.6666666667)</f>
        <v>44278.6666666667</v>
      </c>
      <c r="B56" s="2" t="n">
        <f aca="false">IFERROR(__xludf.dummyfunction("""COMPUTED_VALUE"""),13.25)</f>
        <v>13.25</v>
      </c>
      <c r="C56" s="2" t="n">
        <f aca="false">IFERROR(__xludf.dummyfunction("""COMPUTED_VALUE"""),13.34)</f>
        <v>13.34</v>
      </c>
      <c r="D56" s="2" t="n">
        <f aca="false">IFERROR(__xludf.dummyfunction("""COMPUTED_VALUE"""),13.02)</f>
        <v>13.02</v>
      </c>
      <c r="E56" s="2" t="n">
        <f aca="false">IFERROR(__xludf.dummyfunction("""COMPUTED_VALUE"""),13.07)</f>
        <v>13.07</v>
      </c>
      <c r="F56" s="2" t="n">
        <f aca="false">IFERROR(__xludf.dummyfunction("""COMPUTED_VALUE"""),5551152)</f>
        <v>5551152</v>
      </c>
    </row>
    <row r="57" customFormat="false" ht="15.75" hidden="false" customHeight="false" outlineLevel="0" collapsed="false">
      <c r="A57" s="3" t="n">
        <f aca="false">IFERROR(__xludf.dummyfunction("""COMPUTED_VALUE"""),44279.6666666667)</f>
        <v>44279.6666666667</v>
      </c>
      <c r="B57" s="2" t="n">
        <f aca="false">IFERROR(__xludf.dummyfunction("""COMPUTED_VALUE"""),13.15)</f>
        <v>13.15</v>
      </c>
      <c r="C57" s="2" t="n">
        <f aca="false">IFERROR(__xludf.dummyfunction("""COMPUTED_VALUE"""),13.16)</f>
        <v>13.16</v>
      </c>
      <c r="D57" s="2" t="n">
        <f aca="false">IFERROR(__xludf.dummyfunction("""COMPUTED_VALUE"""),12.64)</f>
        <v>12.64</v>
      </c>
      <c r="E57" s="2" t="n">
        <f aca="false">IFERROR(__xludf.dummyfunction("""COMPUTED_VALUE"""),12.64)</f>
        <v>12.64</v>
      </c>
      <c r="F57" s="2" t="n">
        <f aca="false">IFERROR(__xludf.dummyfunction("""COMPUTED_VALUE"""),6145963)</f>
        <v>6145963</v>
      </c>
    </row>
    <row r="58" customFormat="false" ht="15.75" hidden="false" customHeight="false" outlineLevel="0" collapsed="false">
      <c r="A58" s="3" t="n">
        <f aca="false">IFERROR(__xludf.dummyfunction("""COMPUTED_VALUE"""),44280.6666666667)</f>
        <v>44280.6666666667</v>
      </c>
      <c r="B58" s="2" t="n">
        <f aca="false">IFERROR(__xludf.dummyfunction("""COMPUTED_VALUE"""),12.5)</f>
        <v>12.5</v>
      </c>
      <c r="C58" s="2" t="n">
        <f aca="false">IFERROR(__xludf.dummyfunction("""COMPUTED_VALUE"""),12.71)</f>
        <v>12.71</v>
      </c>
      <c r="D58" s="2" t="n">
        <f aca="false">IFERROR(__xludf.dummyfunction("""COMPUTED_VALUE"""),12.27)</f>
        <v>12.27</v>
      </c>
      <c r="E58" s="2" t="n">
        <f aca="false">IFERROR(__xludf.dummyfunction("""COMPUTED_VALUE"""),12.54)</f>
        <v>12.54</v>
      </c>
      <c r="F58" s="2" t="n">
        <f aca="false">IFERROR(__xludf.dummyfunction("""COMPUTED_VALUE"""),7378614)</f>
        <v>7378614</v>
      </c>
    </row>
    <row r="59" customFormat="false" ht="15.75" hidden="false" customHeight="false" outlineLevel="0" collapsed="false">
      <c r="A59" s="3" t="n">
        <f aca="false">IFERROR(__xludf.dummyfunction("""COMPUTED_VALUE"""),44281.6666666667)</f>
        <v>44281.6666666667</v>
      </c>
      <c r="B59" s="2" t="n">
        <f aca="false">IFERROR(__xludf.dummyfunction("""COMPUTED_VALUE"""),12.55)</f>
        <v>12.55</v>
      </c>
      <c r="C59" s="2" t="n">
        <f aca="false">IFERROR(__xludf.dummyfunction("""COMPUTED_VALUE"""),12.86)</f>
        <v>12.86</v>
      </c>
      <c r="D59" s="2" t="n">
        <f aca="false">IFERROR(__xludf.dummyfunction("""COMPUTED_VALUE"""),12.37)</f>
        <v>12.37</v>
      </c>
      <c r="E59" s="2" t="n">
        <f aca="false">IFERROR(__xludf.dummyfunction("""COMPUTED_VALUE"""),12.84)</f>
        <v>12.84</v>
      </c>
      <c r="F59" s="2" t="n">
        <f aca="false">IFERROR(__xludf.dummyfunction("""COMPUTED_VALUE"""),9099224)</f>
        <v>9099224</v>
      </c>
    </row>
    <row r="60" customFormat="false" ht="15.75" hidden="false" customHeight="false" outlineLevel="0" collapsed="false">
      <c r="A60" s="3" t="n">
        <f aca="false">IFERROR(__xludf.dummyfunction("""COMPUTED_VALUE"""),44284.6666666667)</f>
        <v>44284.6666666667</v>
      </c>
      <c r="B60" s="2" t="n">
        <f aca="false">IFERROR(__xludf.dummyfunction("""COMPUTED_VALUE"""),12.82)</f>
        <v>12.82</v>
      </c>
      <c r="C60" s="2" t="n">
        <f aca="false">IFERROR(__xludf.dummyfunction("""COMPUTED_VALUE"""),13.06)</f>
        <v>13.06</v>
      </c>
      <c r="D60" s="2" t="n">
        <f aca="false">IFERROR(__xludf.dummyfunction("""COMPUTED_VALUE"""),12.7)</f>
        <v>12.7</v>
      </c>
      <c r="E60" s="2" t="n">
        <f aca="false">IFERROR(__xludf.dummyfunction("""COMPUTED_VALUE"""),12.95)</f>
        <v>12.95</v>
      </c>
      <c r="F60" s="2" t="n">
        <f aca="false">IFERROR(__xludf.dummyfunction("""COMPUTED_VALUE"""),6837997)</f>
        <v>6837997</v>
      </c>
    </row>
    <row r="61" customFormat="false" ht="15.75" hidden="false" customHeight="false" outlineLevel="0" collapsed="false">
      <c r="A61" s="3" t="n">
        <f aca="false">IFERROR(__xludf.dummyfunction("""COMPUTED_VALUE"""),44285.6666666667)</f>
        <v>44285.6666666667</v>
      </c>
      <c r="B61" s="2" t="n">
        <f aca="false">IFERROR(__xludf.dummyfunction("""COMPUTED_VALUE"""),12.84)</f>
        <v>12.84</v>
      </c>
      <c r="C61" s="2" t="n">
        <f aca="false">IFERROR(__xludf.dummyfunction("""COMPUTED_VALUE"""),12.98)</f>
        <v>12.98</v>
      </c>
      <c r="D61" s="2" t="n">
        <f aca="false">IFERROR(__xludf.dummyfunction("""COMPUTED_VALUE"""),12.71)</f>
        <v>12.71</v>
      </c>
      <c r="E61" s="2" t="n">
        <f aca="false">IFERROR(__xludf.dummyfunction("""COMPUTED_VALUE"""),12.87)</f>
        <v>12.87</v>
      </c>
      <c r="F61" s="2" t="n">
        <f aca="false">IFERROR(__xludf.dummyfunction("""COMPUTED_VALUE"""),5005062)</f>
        <v>5005062</v>
      </c>
    </row>
    <row r="62" customFormat="false" ht="15.75" hidden="false" customHeight="false" outlineLevel="0" collapsed="false">
      <c r="A62" s="3" t="n">
        <f aca="false">IFERROR(__xludf.dummyfunction("""COMPUTED_VALUE"""),44286.6666666667)</f>
        <v>44286.6666666667</v>
      </c>
      <c r="B62" s="2" t="n">
        <f aca="false">IFERROR(__xludf.dummyfunction("""COMPUTED_VALUE"""),13.02)</f>
        <v>13.02</v>
      </c>
      <c r="C62" s="2" t="n">
        <f aca="false">IFERROR(__xludf.dummyfunction("""COMPUTED_VALUE"""),13.47)</f>
        <v>13.47</v>
      </c>
      <c r="D62" s="2" t="n">
        <f aca="false">IFERROR(__xludf.dummyfunction("""COMPUTED_VALUE"""),12.98)</f>
        <v>12.98</v>
      </c>
      <c r="E62" s="2" t="n">
        <f aca="false">IFERROR(__xludf.dummyfunction("""COMPUTED_VALUE"""),13.35)</f>
        <v>13.35</v>
      </c>
      <c r="F62" s="2" t="n">
        <f aca="false">IFERROR(__xludf.dummyfunction("""COMPUTED_VALUE"""),7869438)</f>
        <v>7869438</v>
      </c>
    </row>
    <row r="63" customFormat="false" ht="15.75" hidden="false" customHeight="false" outlineLevel="0" collapsed="false">
      <c r="A63" s="3" t="n">
        <f aca="false">IFERROR(__xludf.dummyfunction("""COMPUTED_VALUE"""),44287.6666666667)</f>
        <v>44287.6666666667</v>
      </c>
      <c r="B63" s="2" t="n">
        <f aca="false">IFERROR(__xludf.dummyfunction("""COMPUTED_VALUE"""),13.57)</f>
        <v>13.57</v>
      </c>
      <c r="C63" s="2" t="n">
        <f aca="false">IFERROR(__xludf.dummyfunction("""COMPUTED_VALUE"""),13.87)</f>
        <v>13.87</v>
      </c>
      <c r="D63" s="2" t="n">
        <f aca="false">IFERROR(__xludf.dummyfunction("""COMPUTED_VALUE"""),13.51)</f>
        <v>13.51</v>
      </c>
      <c r="E63" s="2" t="n">
        <f aca="false">IFERROR(__xludf.dummyfunction("""COMPUTED_VALUE"""),13.81)</f>
        <v>13.81</v>
      </c>
      <c r="F63" s="2" t="n">
        <f aca="false">IFERROR(__xludf.dummyfunction("""COMPUTED_VALUE"""),7706865)</f>
        <v>7706865</v>
      </c>
    </row>
    <row r="64" customFormat="false" ht="15.75" hidden="false" customHeight="false" outlineLevel="0" collapsed="false">
      <c r="A64" s="3" t="n">
        <f aca="false">IFERROR(__xludf.dummyfunction("""COMPUTED_VALUE"""),44291.6666666667)</f>
        <v>44291.6666666667</v>
      </c>
      <c r="B64" s="2" t="n">
        <f aca="false">IFERROR(__xludf.dummyfunction("""COMPUTED_VALUE"""),13.87)</f>
        <v>13.87</v>
      </c>
      <c r="C64" s="2" t="n">
        <f aca="false">IFERROR(__xludf.dummyfunction("""COMPUTED_VALUE"""),14.01)</f>
        <v>14.01</v>
      </c>
      <c r="D64" s="2" t="n">
        <f aca="false">IFERROR(__xludf.dummyfunction("""COMPUTED_VALUE"""),13.73)</f>
        <v>13.73</v>
      </c>
      <c r="E64" s="2" t="n">
        <f aca="false">IFERROR(__xludf.dummyfunction("""COMPUTED_VALUE"""),13.99)</f>
        <v>13.99</v>
      </c>
      <c r="F64" s="2" t="n">
        <f aca="false">IFERROR(__xludf.dummyfunction("""COMPUTED_VALUE"""),6391785)</f>
        <v>6391785</v>
      </c>
    </row>
    <row r="65" customFormat="false" ht="15.75" hidden="false" customHeight="false" outlineLevel="0" collapsed="false">
      <c r="A65" s="3" t="n">
        <f aca="false">IFERROR(__xludf.dummyfunction("""COMPUTED_VALUE"""),44292.6666666667)</f>
        <v>44292.6666666667</v>
      </c>
      <c r="B65" s="2" t="n">
        <f aca="false">IFERROR(__xludf.dummyfunction("""COMPUTED_VALUE"""),14)</f>
        <v>14</v>
      </c>
      <c r="C65" s="2" t="n">
        <f aca="false">IFERROR(__xludf.dummyfunction("""COMPUTED_VALUE"""),14.05)</f>
        <v>14.05</v>
      </c>
      <c r="D65" s="2" t="n">
        <f aca="false">IFERROR(__xludf.dummyfunction("""COMPUTED_VALUE"""),13.77)</f>
        <v>13.77</v>
      </c>
      <c r="E65" s="2" t="n">
        <f aca="false">IFERROR(__xludf.dummyfunction("""COMPUTED_VALUE"""),13.86)</f>
        <v>13.86</v>
      </c>
      <c r="F65" s="2" t="n">
        <f aca="false">IFERROR(__xludf.dummyfunction("""COMPUTED_VALUE"""),4793649)</f>
        <v>4793649</v>
      </c>
    </row>
    <row r="66" customFormat="false" ht="15.75" hidden="false" customHeight="false" outlineLevel="0" collapsed="false">
      <c r="A66" s="3" t="n">
        <f aca="false">IFERROR(__xludf.dummyfunction("""COMPUTED_VALUE"""),44293.6666666667)</f>
        <v>44293.6666666667</v>
      </c>
      <c r="B66" s="2" t="n">
        <f aca="false">IFERROR(__xludf.dummyfunction("""COMPUTED_VALUE"""),13.88)</f>
        <v>13.88</v>
      </c>
      <c r="C66" s="2" t="n">
        <f aca="false">IFERROR(__xludf.dummyfunction("""COMPUTED_VALUE"""),14.24)</f>
        <v>14.24</v>
      </c>
      <c r="D66" s="2" t="n">
        <f aca="false">IFERROR(__xludf.dummyfunction("""COMPUTED_VALUE"""),13.71)</f>
        <v>13.71</v>
      </c>
      <c r="E66" s="2" t="n">
        <f aca="false">IFERROR(__xludf.dummyfunction("""COMPUTED_VALUE"""),14.14)</f>
        <v>14.14</v>
      </c>
      <c r="F66" s="2" t="n">
        <f aca="false">IFERROR(__xludf.dummyfunction("""COMPUTED_VALUE"""),6282109)</f>
        <v>6282109</v>
      </c>
    </row>
    <row r="67" customFormat="false" ht="15.75" hidden="false" customHeight="false" outlineLevel="0" collapsed="false">
      <c r="A67" s="3" t="n">
        <f aca="false">IFERROR(__xludf.dummyfunction("""COMPUTED_VALUE"""),44294.6666666667)</f>
        <v>44294.6666666667</v>
      </c>
      <c r="B67" s="2" t="n">
        <f aca="false">IFERROR(__xludf.dummyfunction("""COMPUTED_VALUE"""),14.25)</f>
        <v>14.25</v>
      </c>
      <c r="C67" s="2" t="n">
        <f aca="false">IFERROR(__xludf.dummyfunction("""COMPUTED_VALUE"""),14.47)</f>
        <v>14.47</v>
      </c>
      <c r="D67" s="2" t="n">
        <f aca="false">IFERROR(__xludf.dummyfunction("""COMPUTED_VALUE"""),14.25)</f>
        <v>14.25</v>
      </c>
      <c r="E67" s="2" t="n">
        <f aca="false">IFERROR(__xludf.dummyfunction("""COMPUTED_VALUE"""),14.32)</f>
        <v>14.32</v>
      </c>
      <c r="F67" s="2" t="n">
        <f aca="false">IFERROR(__xludf.dummyfunction("""COMPUTED_VALUE"""),6110373)</f>
        <v>6110373</v>
      </c>
    </row>
    <row r="68" customFormat="false" ht="15.75" hidden="false" customHeight="false" outlineLevel="0" collapsed="false">
      <c r="A68" s="3" t="n">
        <f aca="false">IFERROR(__xludf.dummyfunction("""COMPUTED_VALUE"""),44295.6666666667)</f>
        <v>44295.6666666667</v>
      </c>
      <c r="B68" s="2" t="n">
        <f aca="false">IFERROR(__xludf.dummyfunction("""COMPUTED_VALUE"""),14.21)</f>
        <v>14.21</v>
      </c>
      <c r="C68" s="2" t="n">
        <f aca="false">IFERROR(__xludf.dummyfunction("""COMPUTED_VALUE"""),14.41)</f>
        <v>14.41</v>
      </c>
      <c r="D68" s="2" t="n">
        <f aca="false">IFERROR(__xludf.dummyfunction("""COMPUTED_VALUE"""),14.18)</f>
        <v>14.18</v>
      </c>
      <c r="E68" s="2" t="n">
        <f aca="false">IFERROR(__xludf.dummyfunction("""COMPUTED_VALUE"""),14.4)</f>
        <v>14.4</v>
      </c>
      <c r="F68" s="2" t="n">
        <f aca="false">IFERROR(__xludf.dummyfunction("""COMPUTED_VALUE"""),4879272)</f>
        <v>4879272</v>
      </c>
    </row>
    <row r="69" customFormat="false" ht="15.75" hidden="false" customHeight="false" outlineLevel="0" collapsed="false">
      <c r="A69" s="3" t="n">
        <f aca="false">IFERROR(__xludf.dummyfunction("""COMPUTED_VALUE"""),44298.6666666667)</f>
        <v>44298.6666666667</v>
      </c>
      <c r="B69" s="2" t="n">
        <f aca="false">IFERROR(__xludf.dummyfunction("""COMPUTED_VALUE"""),14.29)</f>
        <v>14.29</v>
      </c>
      <c r="C69" s="2" t="n">
        <f aca="false">IFERROR(__xludf.dummyfunction("""COMPUTED_VALUE"""),15.35)</f>
        <v>15.35</v>
      </c>
      <c r="D69" s="2" t="n">
        <f aca="false">IFERROR(__xludf.dummyfunction("""COMPUTED_VALUE"""),14.14)</f>
        <v>14.14</v>
      </c>
      <c r="E69" s="2" t="n">
        <f aca="false">IFERROR(__xludf.dummyfunction("""COMPUTED_VALUE"""),15.21)</f>
        <v>15.21</v>
      </c>
      <c r="F69" s="2" t="n">
        <f aca="false">IFERROR(__xludf.dummyfunction("""COMPUTED_VALUE"""),21733050)</f>
        <v>21733050</v>
      </c>
    </row>
    <row r="70" customFormat="false" ht="15.75" hidden="false" customHeight="false" outlineLevel="0" collapsed="false">
      <c r="A70" s="3" t="n">
        <f aca="false">IFERROR(__xludf.dummyfunction("""COMPUTED_VALUE"""),44299.6666666667)</f>
        <v>44299.6666666667</v>
      </c>
      <c r="B70" s="2" t="n">
        <f aca="false">IFERROR(__xludf.dummyfunction("""COMPUTED_VALUE"""),15.23)</f>
        <v>15.23</v>
      </c>
      <c r="C70" s="2" t="n">
        <f aca="false">IFERROR(__xludf.dummyfunction("""COMPUTED_VALUE"""),15.7)</f>
        <v>15.7</v>
      </c>
      <c r="D70" s="2" t="n">
        <f aca="false">IFERROR(__xludf.dummyfunction("""COMPUTED_VALUE"""),15.13)</f>
        <v>15.13</v>
      </c>
      <c r="E70" s="2" t="n">
        <f aca="false">IFERROR(__xludf.dummyfunction("""COMPUTED_VALUE"""),15.68)</f>
        <v>15.68</v>
      </c>
      <c r="F70" s="2" t="n">
        <f aca="false">IFERROR(__xludf.dummyfunction("""COMPUTED_VALUE"""),16905297)</f>
        <v>16905297</v>
      </c>
    </row>
    <row r="71" customFormat="false" ht="15.75" hidden="false" customHeight="false" outlineLevel="0" collapsed="false">
      <c r="A71" s="3" t="n">
        <f aca="false">IFERROR(__xludf.dummyfunction("""COMPUTED_VALUE"""),44300.6666666667)</f>
        <v>44300.6666666667</v>
      </c>
      <c r="B71" s="2" t="n">
        <f aca="false">IFERROR(__xludf.dummyfunction("""COMPUTED_VALUE"""),15.63)</f>
        <v>15.63</v>
      </c>
      <c r="C71" s="2" t="n">
        <f aca="false">IFERROR(__xludf.dummyfunction("""COMPUTED_VALUE"""),15.72)</f>
        <v>15.72</v>
      </c>
      <c r="D71" s="2" t="n">
        <f aca="false">IFERROR(__xludf.dummyfunction("""COMPUTED_VALUE"""),15.23)</f>
        <v>15.23</v>
      </c>
      <c r="E71" s="2" t="n">
        <f aca="false">IFERROR(__xludf.dummyfunction("""COMPUTED_VALUE"""),15.28)</f>
        <v>15.28</v>
      </c>
      <c r="F71" s="2" t="n">
        <f aca="false">IFERROR(__xludf.dummyfunction("""COMPUTED_VALUE"""),9637548)</f>
        <v>9637548</v>
      </c>
    </row>
    <row r="72" customFormat="false" ht="15.75" hidden="false" customHeight="false" outlineLevel="0" collapsed="false">
      <c r="A72" s="3" t="n">
        <f aca="false">IFERROR(__xludf.dummyfunction("""COMPUTED_VALUE"""),44301.6666666667)</f>
        <v>44301.6666666667</v>
      </c>
      <c r="B72" s="2" t="n">
        <f aca="false">IFERROR(__xludf.dummyfunction("""COMPUTED_VALUE"""),15.66)</f>
        <v>15.66</v>
      </c>
      <c r="C72" s="2" t="n">
        <f aca="false">IFERROR(__xludf.dummyfunction("""COMPUTED_VALUE"""),16.21)</f>
        <v>16.21</v>
      </c>
      <c r="D72" s="2" t="n">
        <f aca="false">IFERROR(__xludf.dummyfunction("""COMPUTED_VALUE"""),15.63)</f>
        <v>15.63</v>
      </c>
      <c r="E72" s="2" t="n">
        <f aca="false">IFERROR(__xludf.dummyfunction("""COMPUTED_VALUE"""),16.14)</f>
        <v>16.14</v>
      </c>
      <c r="F72" s="2" t="n">
        <f aca="false">IFERROR(__xludf.dummyfunction("""COMPUTED_VALUE"""),14962017)</f>
        <v>14962017</v>
      </c>
    </row>
    <row r="73" customFormat="false" ht="15.75" hidden="false" customHeight="false" outlineLevel="0" collapsed="false">
      <c r="A73" s="3" t="n">
        <f aca="false">IFERROR(__xludf.dummyfunction("""COMPUTED_VALUE"""),44302.6666666667)</f>
        <v>44302.6666666667</v>
      </c>
      <c r="B73" s="2" t="n">
        <f aca="false">IFERROR(__xludf.dummyfunction("""COMPUTED_VALUE"""),16.05)</f>
        <v>16.05</v>
      </c>
      <c r="C73" s="2" t="n">
        <f aca="false">IFERROR(__xludf.dummyfunction("""COMPUTED_VALUE"""),16.17)</f>
        <v>16.17</v>
      </c>
      <c r="D73" s="2" t="n">
        <f aca="false">IFERROR(__xludf.dummyfunction("""COMPUTED_VALUE"""),15.87)</f>
        <v>15.87</v>
      </c>
      <c r="E73" s="2" t="n">
        <f aca="false">IFERROR(__xludf.dummyfunction("""COMPUTED_VALUE"""),15.91)</f>
        <v>15.91</v>
      </c>
      <c r="F73" s="2" t="n">
        <f aca="false">IFERROR(__xludf.dummyfunction("""COMPUTED_VALUE"""),8380189)</f>
        <v>8380189</v>
      </c>
    </row>
    <row r="74" customFormat="false" ht="15.75" hidden="false" customHeight="false" outlineLevel="0" collapsed="false">
      <c r="A74" s="3" t="n">
        <f aca="false">IFERROR(__xludf.dummyfunction("""COMPUTED_VALUE"""),44305.6666666667)</f>
        <v>44305.6666666667</v>
      </c>
      <c r="B74" s="2" t="n">
        <f aca="false">IFERROR(__xludf.dummyfunction("""COMPUTED_VALUE"""),15.54)</f>
        <v>15.54</v>
      </c>
      <c r="C74" s="2" t="n">
        <f aca="false">IFERROR(__xludf.dummyfunction("""COMPUTED_VALUE"""),15.81)</f>
        <v>15.81</v>
      </c>
      <c r="D74" s="2" t="n">
        <f aca="false">IFERROR(__xludf.dummyfunction("""COMPUTED_VALUE"""),15.23)</f>
        <v>15.23</v>
      </c>
      <c r="E74" s="2" t="n">
        <f aca="false">IFERROR(__xludf.dummyfunction("""COMPUTED_VALUE"""),15.36)</f>
        <v>15.36</v>
      </c>
      <c r="F74" s="2" t="n">
        <f aca="false">IFERROR(__xludf.dummyfunction("""COMPUTED_VALUE"""),10110452)</f>
        <v>10110452</v>
      </c>
    </row>
    <row r="75" customFormat="false" ht="15.75" hidden="false" customHeight="false" outlineLevel="0" collapsed="false">
      <c r="A75" s="3" t="n">
        <f aca="false">IFERROR(__xludf.dummyfunction("""COMPUTED_VALUE"""),44306.6666666667)</f>
        <v>44306.6666666667</v>
      </c>
      <c r="B75" s="2" t="n">
        <f aca="false">IFERROR(__xludf.dummyfunction("""COMPUTED_VALUE"""),15.32)</f>
        <v>15.32</v>
      </c>
      <c r="C75" s="2" t="n">
        <f aca="false">IFERROR(__xludf.dummyfunction("""COMPUTED_VALUE"""),15.5)</f>
        <v>15.5</v>
      </c>
      <c r="D75" s="2" t="n">
        <f aca="false">IFERROR(__xludf.dummyfunction("""COMPUTED_VALUE"""),14.96)</f>
        <v>14.96</v>
      </c>
      <c r="E75" s="2" t="n">
        <f aca="false">IFERROR(__xludf.dummyfunction("""COMPUTED_VALUE"""),15.17)</f>
        <v>15.17</v>
      </c>
      <c r="F75" s="2" t="n">
        <f aca="false">IFERROR(__xludf.dummyfunction("""COMPUTED_VALUE"""),8353326)</f>
        <v>8353326</v>
      </c>
    </row>
    <row r="76" customFormat="false" ht="15.75" hidden="false" customHeight="false" outlineLevel="0" collapsed="false">
      <c r="A76" s="3" t="n">
        <f aca="false">IFERROR(__xludf.dummyfunction("""COMPUTED_VALUE"""),44307.6666666667)</f>
        <v>44307.6666666667</v>
      </c>
      <c r="B76" s="2" t="n">
        <f aca="false">IFERROR(__xludf.dummyfunction("""COMPUTED_VALUE"""),15.12)</f>
        <v>15.12</v>
      </c>
      <c r="C76" s="2" t="n">
        <f aca="false">IFERROR(__xludf.dummyfunction("""COMPUTED_VALUE"""),15.36)</f>
        <v>15.36</v>
      </c>
      <c r="D76" s="2" t="n">
        <f aca="false">IFERROR(__xludf.dummyfunction("""COMPUTED_VALUE"""),15.1)</f>
        <v>15.1</v>
      </c>
      <c r="E76" s="2" t="n">
        <f aca="false">IFERROR(__xludf.dummyfunction("""COMPUTED_VALUE"""),15.36)</f>
        <v>15.36</v>
      </c>
      <c r="F76" s="2" t="n">
        <f aca="false">IFERROR(__xludf.dummyfunction("""COMPUTED_VALUE"""),5419426)</f>
        <v>5419426</v>
      </c>
    </row>
    <row r="77" customFormat="false" ht="15.75" hidden="false" customHeight="false" outlineLevel="0" collapsed="false">
      <c r="A77" s="3" t="n">
        <f aca="false">IFERROR(__xludf.dummyfunction("""COMPUTED_VALUE"""),44308.6666666667)</f>
        <v>44308.6666666667</v>
      </c>
      <c r="B77" s="2" t="n">
        <f aca="false">IFERROR(__xludf.dummyfunction("""COMPUTED_VALUE"""),15.38)</f>
        <v>15.38</v>
      </c>
      <c r="C77" s="2" t="n">
        <f aca="false">IFERROR(__xludf.dummyfunction("""COMPUTED_VALUE"""),15.44)</f>
        <v>15.44</v>
      </c>
      <c r="D77" s="2" t="n">
        <f aca="false">IFERROR(__xludf.dummyfunction("""COMPUTED_VALUE"""),14.78)</f>
        <v>14.78</v>
      </c>
      <c r="E77" s="2" t="n">
        <f aca="false">IFERROR(__xludf.dummyfunction("""COMPUTED_VALUE"""),14.85)</f>
        <v>14.85</v>
      </c>
      <c r="F77" s="2" t="n">
        <f aca="false">IFERROR(__xludf.dummyfunction("""COMPUTED_VALUE"""),6944657)</f>
        <v>6944657</v>
      </c>
    </row>
    <row r="78" customFormat="false" ht="15.75" hidden="false" customHeight="false" outlineLevel="0" collapsed="false">
      <c r="A78" s="3" t="n">
        <f aca="false">IFERROR(__xludf.dummyfunction("""COMPUTED_VALUE"""),44309.6666666667)</f>
        <v>44309.6666666667</v>
      </c>
      <c r="B78" s="2" t="n">
        <f aca="false">IFERROR(__xludf.dummyfunction("""COMPUTED_VALUE"""),14.93)</f>
        <v>14.93</v>
      </c>
      <c r="C78" s="2" t="n">
        <f aca="false">IFERROR(__xludf.dummyfunction("""COMPUTED_VALUE"""),15.33)</f>
        <v>15.33</v>
      </c>
      <c r="D78" s="2" t="n">
        <f aca="false">IFERROR(__xludf.dummyfunction("""COMPUTED_VALUE"""),14.9)</f>
        <v>14.9</v>
      </c>
      <c r="E78" s="2" t="n">
        <f aca="false">IFERROR(__xludf.dummyfunction("""COMPUTED_VALUE"""),15.27)</f>
        <v>15.27</v>
      </c>
      <c r="F78" s="2" t="n">
        <f aca="false">IFERROR(__xludf.dummyfunction("""COMPUTED_VALUE"""),5694305)</f>
        <v>5694305</v>
      </c>
    </row>
    <row r="79" customFormat="false" ht="15.75" hidden="false" customHeight="false" outlineLevel="0" collapsed="false">
      <c r="A79" s="3" t="n">
        <f aca="false">IFERROR(__xludf.dummyfunction("""COMPUTED_VALUE"""),44312.6666666667)</f>
        <v>44312.6666666667</v>
      </c>
      <c r="B79" s="2" t="n">
        <f aca="false">IFERROR(__xludf.dummyfunction("""COMPUTED_VALUE"""),15.19)</f>
        <v>15.19</v>
      </c>
      <c r="C79" s="2" t="n">
        <f aca="false">IFERROR(__xludf.dummyfunction("""COMPUTED_VALUE"""),15.48)</f>
        <v>15.48</v>
      </c>
      <c r="D79" s="2" t="n">
        <f aca="false">IFERROR(__xludf.dummyfunction("""COMPUTED_VALUE"""),15.13)</f>
        <v>15.13</v>
      </c>
      <c r="E79" s="2" t="n">
        <f aca="false">IFERROR(__xludf.dummyfunction("""COMPUTED_VALUE"""),15.48)</f>
        <v>15.48</v>
      </c>
      <c r="F79" s="2" t="n">
        <f aca="false">IFERROR(__xludf.dummyfunction("""COMPUTED_VALUE"""),4944927)</f>
        <v>4944927</v>
      </c>
    </row>
    <row r="80" customFormat="false" ht="15.75" hidden="false" customHeight="false" outlineLevel="0" collapsed="false">
      <c r="A80" s="3" t="n">
        <f aca="false">IFERROR(__xludf.dummyfunction("""COMPUTED_VALUE"""),44313.6666666667)</f>
        <v>44313.6666666667</v>
      </c>
      <c r="B80" s="2" t="n">
        <f aca="false">IFERROR(__xludf.dummyfunction("""COMPUTED_VALUE"""),15.58)</f>
        <v>15.58</v>
      </c>
      <c r="C80" s="2" t="n">
        <f aca="false">IFERROR(__xludf.dummyfunction("""COMPUTED_VALUE"""),15.67)</f>
        <v>15.67</v>
      </c>
      <c r="D80" s="2" t="n">
        <f aca="false">IFERROR(__xludf.dummyfunction("""COMPUTED_VALUE"""),15.35)</f>
        <v>15.35</v>
      </c>
      <c r="E80" s="2" t="n">
        <f aca="false">IFERROR(__xludf.dummyfunction("""COMPUTED_VALUE"""),15.38)</f>
        <v>15.38</v>
      </c>
      <c r="F80" s="2" t="n">
        <f aca="false">IFERROR(__xludf.dummyfunction("""COMPUTED_VALUE"""),4114325)</f>
        <v>4114325</v>
      </c>
    </row>
    <row r="81" customFormat="false" ht="15.75" hidden="false" customHeight="false" outlineLevel="0" collapsed="false">
      <c r="A81" s="3" t="n">
        <f aca="false">IFERROR(__xludf.dummyfunction("""COMPUTED_VALUE"""),44314.6666666667)</f>
        <v>44314.6666666667</v>
      </c>
      <c r="B81" s="2" t="n">
        <f aca="false">IFERROR(__xludf.dummyfunction("""COMPUTED_VALUE"""),15.36)</f>
        <v>15.36</v>
      </c>
      <c r="C81" s="2" t="n">
        <f aca="false">IFERROR(__xludf.dummyfunction("""COMPUTED_VALUE"""),15.53)</f>
        <v>15.53</v>
      </c>
      <c r="D81" s="2" t="n">
        <f aca="false">IFERROR(__xludf.dummyfunction("""COMPUTED_VALUE"""),15.22)</f>
        <v>15.22</v>
      </c>
      <c r="E81" s="2" t="n">
        <f aca="false">IFERROR(__xludf.dummyfunction("""COMPUTED_VALUE"""),15.28)</f>
        <v>15.28</v>
      </c>
      <c r="F81" s="2" t="n">
        <f aca="false">IFERROR(__xludf.dummyfunction("""COMPUTED_VALUE"""),5235405)</f>
        <v>5235405</v>
      </c>
    </row>
    <row r="82" customFormat="false" ht="15.75" hidden="false" customHeight="false" outlineLevel="0" collapsed="false">
      <c r="A82" s="3" t="n">
        <f aca="false">IFERROR(__xludf.dummyfunction("""COMPUTED_VALUE"""),44315.6666666667)</f>
        <v>44315.6666666667</v>
      </c>
      <c r="B82" s="2" t="n">
        <f aca="false">IFERROR(__xludf.dummyfunction("""COMPUTED_VALUE"""),15.4)</f>
        <v>15.4</v>
      </c>
      <c r="C82" s="2" t="n">
        <f aca="false">IFERROR(__xludf.dummyfunction("""COMPUTED_VALUE"""),15.44)</f>
        <v>15.44</v>
      </c>
      <c r="D82" s="2" t="n">
        <f aca="false">IFERROR(__xludf.dummyfunction("""COMPUTED_VALUE"""),15.07)</f>
        <v>15.07</v>
      </c>
      <c r="E82" s="2" t="n">
        <f aca="false">IFERROR(__xludf.dummyfunction("""COMPUTED_VALUE"""),15.32)</f>
        <v>15.32</v>
      </c>
      <c r="F82" s="2" t="n">
        <f aca="false">IFERROR(__xludf.dummyfunction("""COMPUTED_VALUE"""),4329912)</f>
        <v>4329912</v>
      </c>
    </row>
    <row r="83" customFormat="false" ht="15.75" hidden="false" customHeight="false" outlineLevel="0" collapsed="false">
      <c r="A83" s="3" t="n">
        <f aca="false">IFERROR(__xludf.dummyfunction("""COMPUTED_VALUE"""),44316.6666666667)</f>
        <v>44316.6666666667</v>
      </c>
      <c r="B83" s="2" t="n">
        <f aca="false">IFERROR(__xludf.dummyfunction("""COMPUTED_VALUE"""),15.17)</f>
        <v>15.17</v>
      </c>
      <c r="C83" s="2" t="n">
        <f aca="false">IFERROR(__xludf.dummyfunction("""COMPUTED_VALUE"""),15.36)</f>
        <v>15.36</v>
      </c>
      <c r="D83" s="2" t="n">
        <f aca="false">IFERROR(__xludf.dummyfunction("""COMPUTED_VALUE"""),15)</f>
        <v>15</v>
      </c>
      <c r="E83" s="2" t="n">
        <f aca="false">IFERROR(__xludf.dummyfunction("""COMPUTED_VALUE"""),15.01)</f>
        <v>15.01</v>
      </c>
      <c r="F83" s="2" t="n">
        <f aca="false">IFERROR(__xludf.dummyfunction("""COMPUTED_VALUE"""),5047752)</f>
        <v>5047752</v>
      </c>
    </row>
    <row r="84" customFormat="false" ht="15.75" hidden="false" customHeight="false" outlineLevel="0" collapsed="false">
      <c r="A84" s="3" t="n">
        <f aca="false">IFERROR(__xludf.dummyfunction("""COMPUTED_VALUE"""),44319.6666666667)</f>
        <v>44319.6666666667</v>
      </c>
      <c r="B84" s="2" t="n">
        <f aca="false">IFERROR(__xludf.dummyfunction("""COMPUTED_VALUE"""),15.13)</f>
        <v>15.13</v>
      </c>
      <c r="C84" s="2" t="n">
        <f aca="false">IFERROR(__xludf.dummyfunction("""COMPUTED_VALUE"""),15.25)</f>
        <v>15.25</v>
      </c>
      <c r="D84" s="2" t="n">
        <f aca="false">IFERROR(__xludf.dummyfunction("""COMPUTED_VALUE"""),14.79)</f>
        <v>14.79</v>
      </c>
      <c r="E84" s="2" t="n">
        <f aca="false">IFERROR(__xludf.dummyfunction("""COMPUTED_VALUE"""),14.84)</f>
        <v>14.84</v>
      </c>
      <c r="F84" s="2" t="n">
        <f aca="false">IFERROR(__xludf.dummyfunction("""COMPUTED_VALUE"""),5097796)</f>
        <v>5097796</v>
      </c>
    </row>
    <row r="85" customFormat="false" ht="15.75" hidden="false" customHeight="false" outlineLevel="0" collapsed="false">
      <c r="A85" s="3" t="n">
        <f aca="false">IFERROR(__xludf.dummyfunction("""COMPUTED_VALUE"""),44320.6666666667)</f>
        <v>44320.6666666667</v>
      </c>
      <c r="B85" s="2" t="n">
        <f aca="false">IFERROR(__xludf.dummyfunction("""COMPUTED_VALUE"""),14.64)</f>
        <v>14.64</v>
      </c>
      <c r="C85" s="2" t="n">
        <f aca="false">IFERROR(__xludf.dummyfunction("""COMPUTED_VALUE"""),14.64)</f>
        <v>14.64</v>
      </c>
      <c r="D85" s="2" t="n">
        <f aca="false">IFERROR(__xludf.dummyfunction("""COMPUTED_VALUE"""),14.01)</f>
        <v>14.01</v>
      </c>
      <c r="E85" s="2" t="n">
        <f aca="false">IFERROR(__xludf.dummyfunction("""COMPUTED_VALUE"""),14.35)</f>
        <v>14.35</v>
      </c>
      <c r="F85" s="2" t="n">
        <f aca="false">IFERROR(__xludf.dummyfunction("""COMPUTED_VALUE"""),10133120)</f>
        <v>10133120</v>
      </c>
    </row>
    <row r="86" customFormat="false" ht="15.75" hidden="false" customHeight="false" outlineLevel="0" collapsed="false">
      <c r="A86" s="3" t="n">
        <f aca="false">IFERROR(__xludf.dummyfunction("""COMPUTED_VALUE"""),44321.6666666667)</f>
        <v>44321.6666666667</v>
      </c>
      <c r="B86" s="2" t="n">
        <f aca="false">IFERROR(__xludf.dummyfunction("""COMPUTED_VALUE"""),14.71)</f>
        <v>14.71</v>
      </c>
      <c r="C86" s="2" t="n">
        <f aca="false">IFERROR(__xludf.dummyfunction("""COMPUTED_VALUE"""),14.81)</f>
        <v>14.81</v>
      </c>
      <c r="D86" s="2" t="n">
        <f aca="false">IFERROR(__xludf.dummyfunction("""COMPUTED_VALUE"""),14.39)</f>
        <v>14.39</v>
      </c>
      <c r="E86" s="2" t="n">
        <f aca="false">IFERROR(__xludf.dummyfunction("""COMPUTED_VALUE"""),14.46)</f>
        <v>14.46</v>
      </c>
      <c r="F86" s="2" t="n">
        <f aca="false">IFERROR(__xludf.dummyfunction("""COMPUTED_VALUE"""),7300576)</f>
        <v>7300576</v>
      </c>
    </row>
    <row r="87" customFormat="false" ht="15.75" hidden="false" customHeight="false" outlineLevel="0" collapsed="false">
      <c r="A87" s="3" t="n">
        <f aca="false">IFERROR(__xludf.dummyfunction("""COMPUTED_VALUE"""),44322.6666666667)</f>
        <v>44322.6666666667</v>
      </c>
      <c r="B87" s="2" t="n">
        <f aca="false">IFERROR(__xludf.dummyfunction("""COMPUTED_VALUE"""),14.5)</f>
        <v>14.5</v>
      </c>
      <c r="C87" s="2" t="n">
        <f aca="false">IFERROR(__xludf.dummyfunction("""COMPUTED_VALUE"""),14.57)</f>
        <v>14.57</v>
      </c>
      <c r="D87" s="2" t="n">
        <f aca="false">IFERROR(__xludf.dummyfunction("""COMPUTED_VALUE"""),14.22)</f>
        <v>14.22</v>
      </c>
      <c r="E87" s="2" t="n">
        <f aca="false">IFERROR(__xludf.dummyfunction("""COMPUTED_VALUE"""),14.52)</f>
        <v>14.52</v>
      </c>
      <c r="F87" s="2" t="n">
        <f aca="false">IFERROR(__xludf.dummyfunction("""COMPUTED_VALUE"""),4834523)</f>
        <v>4834523</v>
      </c>
    </row>
    <row r="88" customFormat="false" ht="15.75" hidden="false" customHeight="false" outlineLevel="0" collapsed="false">
      <c r="A88" s="3" t="n">
        <f aca="false">IFERROR(__xludf.dummyfunction("""COMPUTED_VALUE"""),44323.6666666667)</f>
        <v>44323.6666666667</v>
      </c>
      <c r="B88" s="2" t="n">
        <f aca="false">IFERROR(__xludf.dummyfunction("""COMPUTED_VALUE"""),14.81)</f>
        <v>14.81</v>
      </c>
      <c r="C88" s="2" t="n">
        <f aca="false">IFERROR(__xludf.dummyfunction("""COMPUTED_VALUE"""),14.97)</f>
        <v>14.97</v>
      </c>
      <c r="D88" s="2" t="n">
        <f aca="false">IFERROR(__xludf.dummyfunction("""COMPUTED_VALUE"""),14.67)</f>
        <v>14.67</v>
      </c>
      <c r="E88" s="2" t="n">
        <f aca="false">IFERROR(__xludf.dummyfunction("""COMPUTED_VALUE"""),14.81)</f>
        <v>14.81</v>
      </c>
      <c r="F88" s="2" t="n">
        <f aca="false">IFERROR(__xludf.dummyfunction("""COMPUTED_VALUE"""),5733183)</f>
        <v>5733183</v>
      </c>
    </row>
    <row r="89" customFormat="false" ht="15.75" hidden="false" customHeight="false" outlineLevel="0" collapsed="false">
      <c r="A89" s="3" t="n">
        <f aca="false">IFERROR(__xludf.dummyfunction("""COMPUTED_VALUE"""),44326.6666666667)</f>
        <v>44326.6666666667</v>
      </c>
      <c r="B89" s="2" t="n">
        <f aca="false">IFERROR(__xludf.dummyfunction("""COMPUTED_VALUE"""),14.79)</f>
        <v>14.79</v>
      </c>
      <c r="C89" s="2" t="n">
        <f aca="false">IFERROR(__xludf.dummyfunction("""COMPUTED_VALUE"""),14.81)</f>
        <v>14.81</v>
      </c>
      <c r="D89" s="2" t="n">
        <f aca="false">IFERROR(__xludf.dummyfunction("""COMPUTED_VALUE"""),14.25)</f>
        <v>14.25</v>
      </c>
      <c r="E89" s="2" t="n">
        <f aca="false">IFERROR(__xludf.dummyfunction("""COMPUTED_VALUE"""),14.27)</f>
        <v>14.27</v>
      </c>
      <c r="F89" s="2" t="n">
        <f aca="false">IFERROR(__xludf.dummyfunction("""COMPUTED_VALUE"""),6722595)</f>
        <v>6722595</v>
      </c>
    </row>
    <row r="90" customFormat="false" ht="15.75" hidden="false" customHeight="false" outlineLevel="0" collapsed="false">
      <c r="A90" s="3" t="n">
        <f aca="false">IFERROR(__xludf.dummyfunction("""COMPUTED_VALUE"""),44327.6666666667)</f>
        <v>44327.6666666667</v>
      </c>
      <c r="B90" s="2" t="n">
        <f aca="false">IFERROR(__xludf.dummyfunction("""COMPUTED_VALUE"""),13.83)</f>
        <v>13.83</v>
      </c>
      <c r="C90" s="2" t="n">
        <f aca="false">IFERROR(__xludf.dummyfunction("""COMPUTED_VALUE"""),14.35)</f>
        <v>14.35</v>
      </c>
      <c r="D90" s="2" t="n">
        <f aca="false">IFERROR(__xludf.dummyfunction("""COMPUTED_VALUE"""),13.75)</f>
        <v>13.75</v>
      </c>
      <c r="E90" s="2" t="n">
        <f aca="false">IFERROR(__xludf.dummyfunction("""COMPUTED_VALUE"""),14.31)</f>
        <v>14.31</v>
      </c>
      <c r="F90" s="2" t="n">
        <f aca="false">IFERROR(__xludf.dummyfunction("""COMPUTED_VALUE"""),7139634)</f>
        <v>7139634</v>
      </c>
    </row>
    <row r="91" customFormat="false" ht="15.75" hidden="false" customHeight="false" outlineLevel="0" collapsed="false">
      <c r="A91" s="3" t="n">
        <f aca="false">IFERROR(__xludf.dummyfunction("""COMPUTED_VALUE"""),44328.6666666667)</f>
        <v>44328.6666666667</v>
      </c>
      <c r="B91" s="2" t="n">
        <f aca="false">IFERROR(__xludf.dummyfunction("""COMPUTED_VALUE"""),14.01)</f>
        <v>14.01</v>
      </c>
      <c r="C91" s="2" t="n">
        <f aca="false">IFERROR(__xludf.dummyfunction("""COMPUTED_VALUE"""),14.26)</f>
        <v>14.26</v>
      </c>
      <c r="D91" s="2" t="n">
        <f aca="false">IFERROR(__xludf.dummyfunction("""COMPUTED_VALUE"""),13.71)</f>
        <v>13.71</v>
      </c>
      <c r="E91" s="2" t="n">
        <f aca="false">IFERROR(__xludf.dummyfunction("""COMPUTED_VALUE"""),13.76)</f>
        <v>13.76</v>
      </c>
      <c r="F91" s="2" t="n">
        <f aca="false">IFERROR(__xludf.dummyfunction("""COMPUTED_VALUE"""),7585233)</f>
        <v>7585233</v>
      </c>
    </row>
    <row r="92" customFormat="false" ht="15.75" hidden="false" customHeight="false" outlineLevel="0" collapsed="false">
      <c r="A92" s="3" t="n">
        <f aca="false">IFERROR(__xludf.dummyfunction("""COMPUTED_VALUE"""),44329.6666666667)</f>
        <v>44329.6666666667</v>
      </c>
      <c r="B92" s="2" t="n">
        <f aca="false">IFERROR(__xludf.dummyfunction("""COMPUTED_VALUE"""),14.03)</f>
        <v>14.03</v>
      </c>
      <c r="C92" s="2" t="n">
        <f aca="false">IFERROR(__xludf.dummyfunction("""COMPUTED_VALUE"""),14.08)</f>
        <v>14.08</v>
      </c>
      <c r="D92" s="2" t="n">
        <f aca="false">IFERROR(__xludf.dummyfunction("""COMPUTED_VALUE"""),13.46)</f>
        <v>13.46</v>
      </c>
      <c r="E92" s="2" t="n">
        <f aca="false">IFERROR(__xludf.dummyfunction("""COMPUTED_VALUE"""),13.67)</f>
        <v>13.67</v>
      </c>
      <c r="F92" s="2" t="n">
        <f aca="false">IFERROR(__xludf.dummyfunction("""COMPUTED_VALUE"""),7143187)</f>
        <v>7143187</v>
      </c>
    </row>
    <row r="93" customFormat="false" ht="15.75" hidden="false" customHeight="false" outlineLevel="0" collapsed="false">
      <c r="A93" s="3" t="n">
        <f aca="false">IFERROR(__xludf.dummyfunction("""COMPUTED_VALUE"""),44330.6666666667)</f>
        <v>44330.6666666667</v>
      </c>
      <c r="B93" s="2" t="n">
        <f aca="false">IFERROR(__xludf.dummyfunction("""COMPUTED_VALUE"""),13.89)</f>
        <v>13.89</v>
      </c>
      <c r="C93" s="2" t="n">
        <f aca="false">IFERROR(__xludf.dummyfunction("""COMPUTED_VALUE"""),14.33)</f>
        <v>14.33</v>
      </c>
      <c r="D93" s="2" t="n">
        <f aca="false">IFERROR(__xludf.dummyfunction("""COMPUTED_VALUE"""),13.75)</f>
        <v>13.75</v>
      </c>
      <c r="E93" s="2" t="n">
        <f aca="false">IFERROR(__xludf.dummyfunction("""COMPUTED_VALUE"""),14.24)</f>
        <v>14.24</v>
      </c>
      <c r="F93" s="2" t="n">
        <f aca="false">IFERROR(__xludf.dummyfunction("""COMPUTED_VALUE"""),6465375)</f>
        <v>6465375</v>
      </c>
    </row>
    <row r="94" customFormat="false" ht="15.75" hidden="false" customHeight="false" outlineLevel="0" collapsed="false">
      <c r="A94" s="3" t="n">
        <f aca="false">IFERROR(__xludf.dummyfunction("""COMPUTED_VALUE"""),44333.6666666667)</f>
        <v>44333.6666666667</v>
      </c>
      <c r="B94" s="2" t="n">
        <f aca="false">IFERROR(__xludf.dummyfunction("""COMPUTED_VALUE"""),14.16)</f>
        <v>14.16</v>
      </c>
      <c r="C94" s="2" t="n">
        <f aca="false">IFERROR(__xludf.dummyfunction("""COMPUTED_VALUE"""),14.17)</f>
        <v>14.17</v>
      </c>
      <c r="D94" s="2" t="n">
        <f aca="false">IFERROR(__xludf.dummyfunction("""COMPUTED_VALUE"""),13.85)</f>
        <v>13.85</v>
      </c>
      <c r="E94" s="2" t="n">
        <f aca="false">IFERROR(__xludf.dummyfunction("""COMPUTED_VALUE"""),14.17)</f>
        <v>14.17</v>
      </c>
      <c r="F94" s="2" t="n">
        <f aca="false">IFERROR(__xludf.dummyfunction("""COMPUTED_VALUE"""),5424521)</f>
        <v>5424521</v>
      </c>
    </row>
    <row r="95" customFormat="false" ht="15.75" hidden="false" customHeight="false" outlineLevel="0" collapsed="false">
      <c r="A95" s="3" t="n">
        <f aca="false">IFERROR(__xludf.dummyfunction("""COMPUTED_VALUE"""),44334.6666666667)</f>
        <v>44334.6666666667</v>
      </c>
      <c r="B95" s="2" t="n">
        <f aca="false">IFERROR(__xludf.dummyfunction("""COMPUTED_VALUE"""),14.27)</f>
        <v>14.27</v>
      </c>
      <c r="C95" s="2" t="n">
        <f aca="false">IFERROR(__xludf.dummyfunction("""COMPUTED_VALUE"""),14.4)</f>
        <v>14.4</v>
      </c>
      <c r="D95" s="2" t="n">
        <f aca="false">IFERROR(__xludf.dummyfunction("""COMPUTED_VALUE"""),14)</f>
        <v>14</v>
      </c>
      <c r="E95" s="2" t="n">
        <f aca="false">IFERROR(__xludf.dummyfunction("""COMPUTED_VALUE"""),14.02)</f>
        <v>14.02</v>
      </c>
      <c r="F95" s="2" t="n">
        <f aca="false">IFERROR(__xludf.dummyfunction("""COMPUTED_VALUE"""),4656356)</f>
        <v>4656356</v>
      </c>
    </row>
    <row r="96" customFormat="false" ht="15.75" hidden="false" customHeight="false" outlineLevel="0" collapsed="false">
      <c r="A96" s="3" t="n">
        <f aca="false">IFERROR(__xludf.dummyfunction("""COMPUTED_VALUE"""),44335.6666666667)</f>
        <v>44335.6666666667</v>
      </c>
      <c r="B96" s="2" t="n">
        <f aca="false">IFERROR(__xludf.dummyfunction("""COMPUTED_VALUE"""),13.57)</f>
        <v>13.57</v>
      </c>
      <c r="C96" s="2" t="n">
        <f aca="false">IFERROR(__xludf.dummyfunction("""COMPUTED_VALUE"""),14.08)</f>
        <v>14.08</v>
      </c>
      <c r="D96" s="2" t="n">
        <f aca="false">IFERROR(__xludf.dummyfunction("""COMPUTED_VALUE"""),13.54)</f>
        <v>13.54</v>
      </c>
      <c r="E96" s="2" t="n">
        <f aca="false">IFERROR(__xludf.dummyfunction("""COMPUTED_VALUE"""),14.07)</f>
        <v>14.07</v>
      </c>
      <c r="F96" s="2" t="n">
        <f aca="false">IFERROR(__xludf.dummyfunction("""COMPUTED_VALUE"""),8599984)</f>
        <v>8599984</v>
      </c>
    </row>
    <row r="97" customFormat="false" ht="15.75" hidden="false" customHeight="false" outlineLevel="0" collapsed="false">
      <c r="A97" s="3" t="n">
        <f aca="false">IFERROR(__xludf.dummyfunction("""COMPUTED_VALUE"""),44336.6666666667)</f>
        <v>44336.6666666667</v>
      </c>
      <c r="B97" s="2" t="n">
        <f aca="false">IFERROR(__xludf.dummyfunction("""COMPUTED_VALUE"""),14.3)</f>
        <v>14.3</v>
      </c>
      <c r="C97" s="2" t="n">
        <f aca="false">IFERROR(__xludf.dummyfunction("""COMPUTED_VALUE"""),14.68)</f>
        <v>14.68</v>
      </c>
      <c r="D97" s="2" t="n">
        <f aca="false">IFERROR(__xludf.dummyfunction("""COMPUTED_VALUE"""),14.27)</f>
        <v>14.27</v>
      </c>
      <c r="E97" s="2" t="n">
        <f aca="false">IFERROR(__xludf.dummyfunction("""COMPUTED_VALUE"""),14.61)</f>
        <v>14.61</v>
      </c>
      <c r="F97" s="2" t="n">
        <f aca="false">IFERROR(__xludf.dummyfunction("""COMPUTED_VALUE"""),8039798)</f>
        <v>8039798</v>
      </c>
    </row>
    <row r="98" customFormat="false" ht="15.75" hidden="false" customHeight="false" outlineLevel="0" collapsed="false">
      <c r="A98" s="3" t="n">
        <f aca="false">IFERROR(__xludf.dummyfunction("""COMPUTED_VALUE"""),44337.6666666667)</f>
        <v>44337.6666666667</v>
      </c>
      <c r="B98" s="2" t="n">
        <f aca="false">IFERROR(__xludf.dummyfunction("""COMPUTED_VALUE"""),15.16)</f>
        <v>15.16</v>
      </c>
      <c r="C98" s="2" t="n">
        <f aca="false">IFERROR(__xludf.dummyfunction("""COMPUTED_VALUE"""),15.22)</f>
        <v>15.22</v>
      </c>
      <c r="D98" s="2" t="n">
        <f aca="false">IFERROR(__xludf.dummyfunction("""COMPUTED_VALUE"""),14.87)</f>
        <v>14.87</v>
      </c>
      <c r="E98" s="2" t="n">
        <f aca="false">IFERROR(__xludf.dummyfunction("""COMPUTED_VALUE"""),14.99)</f>
        <v>14.99</v>
      </c>
      <c r="F98" s="2" t="n">
        <f aca="false">IFERROR(__xludf.dummyfunction("""COMPUTED_VALUE"""),16824800)</f>
        <v>16824800</v>
      </c>
    </row>
    <row r="99" customFormat="false" ht="15.75" hidden="false" customHeight="false" outlineLevel="0" collapsed="false">
      <c r="A99" s="3" t="n">
        <f aca="false">IFERROR(__xludf.dummyfunction("""COMPUTED_VALUE"""),44340.6666666667)</f>
        <v>44340.6666666667</v>
      </c>
      <c r="B99" s="2" t="n">
        <f aca="false">IFERROR(__xludf.dummyfunction("""COMPUTED_VALUE"""),15.21)</f>
        <v>15.21</v>
      </c>
      <c r="C99" s="2" t="n">
        <f aca="false">IFERROR(__xludf.dummyfunction("""COMPUTED_VALUE"""),15.75)</f>
        <v>15.75</v>
      </c>
      <c r="D99" s="2" t="n">
        <f aca="false">IFERROR(__xludf.dummyfunction("""COMPUTED_VALUE"""),15.18)</f>
        <v>15.18</v>
      </c>
      <c r="E99" s="2" t="n">
        <f aca="false">IFERROR(__xludf.dummyfunction("""COMPUTED_VALUE"""),15.61)</f>
        <v>15.61</v>
      </c>
      <c r="F99" s="2" t="n">
        <f aca="false">IFERROR(__xludf.dummyfunction("""COMPUTED_VALUE"""),13870405)</f>
        <v>13870405</v>
      </c>
    </row>
    <row r="100" customFormat="false" ht="15.75" hidden="false" customHeight="false" outlineLevel="0" collapsed="false">
      <c r="A100" s="3" t="n">
        <f aca="false">IFERROR(__xludf.dummyfunction("""COMPUTED_VALUE"""),44341.6666666667)</f>
        <v>44341.6666666667</v>
      </c>
      <c r="B100" s="2" t="n">
        <f aca="false">IFERROR(__xludf.dummyfunction("""COMPUTED_VALUE"""),15.77)</f>
        <v>15.77</v>
      </c>
      <c r="C100" s="2" t="n">
        <f aca="false">IFERROR(__xludf.dummyfunction("""COMPUTED_VALUE"""),15.82)</f>
        <v>15.82</v>
      </c>
      <c r="D100" s="2" t="n">
        <f aca="false">IFERROR(__xludf.dummyfunction("""COMPUTED_VALUE"""),15.48)</f>
        <v>15.48</v>
      </c>
      <c r="E100" s="2" t="n">
        <f aca="false">IFERROR(__xludf.dummyfunction("""COMPUTED_VALUE"""),15.65)</f>
        <v>15.65</v>
      </c>
      <c r="F100" s="2" t="n">
        <f aca="false">IFERROR(__xludf.dummyfunction("""COMPUTED_VALUE"""),10885172)</f>
        <v>10885172</v>
      </c>
    </row>
    <row r="101" customFormat="false" ht="15.75" hidden="false" customHeight="false" outlineLevel="0" collapsed="false">
      <c r="A101" s="3" t="n">
        <f aca="false">IFERROR(__xludf.dummyfunction("""COMPUTED_VALUE"""),44342.6666666667)</f>
        <v>44342.6666666667</v>
      </c>
      <c r="B101" s="2" t="n">
        <f aca="false">IFERROR(__xludf.dummyfunction("""COMPUTED_VALUE"""),15.73)</f>
        <v>15.73</v>
      </c>
      <c r="C101" s="2" t="n">
        <f aca="false">IFERROR(__xludf.dummyfunction("""COMPUTED_VALUE"""),15.79)</f>
        <v>15.79</v>
      </c>
      <c r="D101" s="2" t="n">
        <f aca="false">IFERROR(__xludf.dummyfunction("""COMPUTED_VALUE"""),15.59)</f>
        <v>15.59</v>
      </c>
      <c r="E101" s="2" t="n">
        <f aca="false">IFERROR(__xludf.dummyfunction("""COMPUTED_VALUE"""),15.7)</f>
        <v>15.7</v>
      </c>
      <c r="F101" s="2" t="n">
        <f aca="false">IFERROR(__xludf.dummyfunction("""COMPUTED_VALUE"""),9260966)</f>
        <v>9260966</v>
      </c>
    </row>
    <row r="102" customFormat="false" ht="15.75" hidden="false" customHeight="false" outlineLevel="0" collapsed="false">
      <c r="A102" s="3" t="n">
        <f aca="false">IFERROR(__xludf.dummyfunction("""COMPUTED_VALUE"""),44343.6666666667)</f>
        <v>44343.6666666667</v>
      </c>
      <c r="B102" s="2" t="n">
        <f aca="false">IFERROR(__xludf.dummyfunction("""COMPUTED_VALUE"""),15.7)</f>
        <v>15.7</v>
      </c>
      <c r="C102" s="2" t="n">
        <f aca="false">IFERROR(__xludf.dummyfunction("""COMPUTED_VALUE"""),15.75)</f>
        <v>15.75</v>
      </c>
      <c r="D102" s="2" t="n">
        <f aca="false">IFERROR(__xludf.dummyfunction("""COMPUTED_VALUE"""),15.46)</f>
        <v>15.46</v>
      </c>
      <c r="E102" s="2" t="n">
        <f aca="false">IFERROR(__xludf.dummyfunction("""COMPUTED_VALUE"""),15.49)</f>
        <v>15.49</v>
      </c>
      <c r="F102" s="2" t="n">
        <f aca="false">IFERROR(__xludf.dummyfunction("""COMPUTED_VALUE"""),14536880)</f>
        <v>14536880</v>
      </c>
    </row>
    <row r="103" customFormat="false" ht="15.75" hidden="false" customHeight="false" outlineLevel="0" collapsed="false">
      <c r="A103" s="3" t="n">
        <f aca="false">IFERROR(__xludf.dummyfunction("""COMPUTED_VALUE"""),44344.6666666667)</f>
        <v>44344.6666666667</v>
      </c>
      <c r="B103" s="2" t="n">
        <f aca="false">IFERROR(__xludf.dummyfunction("""COMPUTED_VALUE"""),15.5)</f>
        <v>15.5</v>
      </c>
      <c r="C103" s="2" t="n">
        <f aca="false">IFERROR(__xludf.dummyfunction("""COMPUTED_VALUE"""),16.28)</f>
        <v>16.28</v>
      </c>
      <c r="D103" s="2" t="n">
        <f aca="false">IFERROR(__xludf.dummyfunction("""COMPUTED_VALUE"""),15.5)</f>
        <v>15.5</v>
      </c>
      <c r="E103" s="2" t="n">
        <f aca="false">IFERROR(__xludf.dummyfunction("""COMPUTED_VALUE"""),16.24)</f>
        <v>16.24</v>
      </c>
      <c r="F103" s="2" t="n">
        <f aca="false">IFERROR(__xludf.dummyfunction("""COMPUTED_VALUE"""),16113390)</f>
        <v>16113390</v>
      </c>
    </row>
    <row r="104" customFormat="false" ht="15.75" hidden="false" customHeight="false" outlineLevel="0" collapsed="false">
      <c r="A104" s="3" t="n">
        <f aca="false">IFERROR(__xludf.dummyfunction("""COMPUTED_VALUE"""),44348.6666666667)</f>
        <v>44348.6666666667</v>
      </c>
      <c r="B104" s="2" t="n">
        <f aca="false">IFERROR(__xludf.dummyfunction("""COMPUTED_VALUE"""),16.27)</f>
        <v>16.27</v>
      </c>
      <c r="C104" s="2" t="n">
        <f aca="false">IFERROR(__xludf.dummyfunction("""COMPUTED_VALUE"""),16.39)</f>
        <v>16.39</v>
      </c>
      <c r="D104" s="2" t="n">
        <f aca="false">IFERROR(__xludf.dummyfunction("""COMPUTED_VALUE"""),15.9)</f>
        <v>15.9</v>
      </c>
      <c r="E104" s="2" t="n">
        <f aca="false">IFERROR(__xludf.dummyfunction("""COMPUTED_VALUE"""),16.26)</f>
        <v>16.26</v>
      </c>
      <c r="F104" s="2" t="n">
        <f aca="false">IFERROR(__xludf.dummyfunction("""COMPUTED_VALUE"""),11820075)</f>
        <v>11820075</v>
      </c>
    </row>
    <row r="105" customFormat="false" ht="15.75" hidden="false" customHeight="false" outlineLevel="0" collapsed="false">
      <c r="A105" s="3" t="n">
        <f aca="false">IFERROR(__xludf.dummyfunction("""COMPUTED_VALUE"""),44349.6666666667)</f>
        <v>44349.6666666667</v>
      </c>
      <c r="B105" s="2" t="n">
        <f aca="false">IFERROR(__xludf.dummyfunction("""COMPUTED_VALUE"""),16.25)</f>
        <v>16.25</v>
      </c>
      <c r="C105" s="2" t="n">
        <f aca="false">IFERROR(__xludf.dummyfunction("""COMPUTED_VALUE"""),16.92)</f>
        <v>16.92</v>
      </c>
      <c r="D105" s="2" t="n">
        <f aca="false">IFERROR(__xludf.dummyfunction("""COMPUTED_VALUE"""),16.24)</f>
        <v>16.24</v>
      </c>
      <c r="E105" s="2" t="n">
        <f aca="false">IFERROR(__xludf.dummyfunction("""COMPUTED_VALUE"""),16.78)</f>
        <v>16.78</v>
      </c>
      <c r="F105" s="2" t="n">
        <f aca="false">IFERROR(__xludf.dummyfunction("""COMPUTED_VALUE"""),14854189)</f>
        <v>14854189</v>
      </c>
    </row>
    <row r="106" customFormat="false" ht="15.75" hidden="false" customHeight="false" outlineLevel="0" collapsed="false">
      <c r="A106" s="3" t="n">
        <f aca="false">IFERROR(__xludf.dummyfunction("""COMPUTED_VALUE"""),44350.6666666667)</f>
        <v>44350.6666666667</v>
      </c>
      <c r="B106" s="2" t="n">
        <f aca="false">IFERROR(__xludf.dummyfunction("""COMPUTED_VALUE"""),16.7)</f>
        <v>16.7</v>
      </c>
      <c r="C106" s="2" t="n">
        <f aca="false">IFERROR(__xludf.dummyfunction("""COMPUTED_VALUE"""),17.26)</f>
        <v>17.26</v>
      </c>
      <c r="D106" s="2" t="n">
        <f aca="false">IFERROR(__xludf.dummyfunction("""COMPUTED_VALUE"""),16.58)</f>
        <v>16.58</v>
      </c>
      <c r="E106" s="2" t="n">
        <f aca="false">IFERROR(__xludf.dummyfunction("""COMPUTED_VALUE"""),16.97)</f>
        <v>16.97</v>
      </c>
      <c r="F106" s="2" t="n">
        <f aca="false">IFERROR(__xludf.dummyfunction("""COMPUTED_VALUE"""),14500170)</f>
        <v>14500170</v>
      </c>
    </row>
    <row r="107" customFormat="false" ht="15.75" hidden="false" customHeight="false" outlineLevel="0" collapsed="false">
      <c r="A107" s="3" t="n">
        <f aca="false">IFERROR(__xludf.dummyfunction("""COMPUTED_VALUE"""),44351.6666666667)</f>
        <v>44351.6666666667</v>
      </c>
      <c r="B107" s="2" t="n">
        <f aca="false">IFERROR(__xludf.dummyfunction("""COMPUTED_VALUE"""),17.11)</f>
        <v>17.11</v>
      </c>
      <c r="C107" s="2" t="n">
        <f aca="false">IFERROR(__xludf.dummyfunction("""COMPUTED_VALUE"""),17.66)</f>
        <v>17.66</v>
      </c>
      <c r="D107" s="2" t="n">
        <f aca="false">IFERROR(__xludf.dummyfunction("""COMPUTED_VALUE"""),17.1)</f>
        <v>17.1</v>
      </c>
      <c r="E107" s="2" t="n">
        <f aca="false">IFERROR(__xludf.dummyfunction("""COMPUTED_VALUE"""),17.58)</f>
        <v>17.58</v>
      </c>
      <c r="F107" s="2" t="n">
        <f aca="false">IFERROR(__xludf.dummyfunction("""COMPUTED_VALUE"""),15428007)</f>
        <v>15428007</v>
      </c>
    </row>
    <row r="108" customFormat="false" ht="15.75" hidden="false" customHeight="false" outlineLevel="0" collapsed="false">
      <c r="A108" s="3" t="n">
        <f aca="false">IFERROR(__xludf.dummyfunction("""COMPUTED_VALUE"""),44354.6666666667)</f>
        <v>44354.6666666667</v>
      </c>
      <c r="B108" s="2" t="n">
        <f aca="false">IFERROR(__xludf.dummyfunction("""COMPUTED_VALUE"""),17.57)</f>
        <v>17.57</v>
      </c>
      <c r="C108" s="2" t="n">
        <f aca="false">IFERROR(__xludf.dummyfunction("""COMPUTED_VALUE"""),17.81)</f>
        <v>17.81</v>
      </c>
      <c r="D108" s="2" t="n">
        <f aca="false">IFERROR(__xludf.dummyfunction("""COMPUTED_VALUE"""),17.19)</f>
        <v>17.19</v>
      </c>
      <c r="E108" s="2" t="n">
        <f aca="false">IFERROR(__xludf.dummyfunction("""COMPUTED_VALUE"""),17.62)</f>
        <v>17.62</v>
      </c>
      <c r="F108" s="2" t="n">
        <f aca="false">IFERROR(__xludf.dummyfunction("""COMPUTED_VALUE"""),14393873)</f>
        <v>14393873</v>
      </c>
    </row>
    <row r="109" customFormat="false" ht="15.75" hidden="false" customHeight="false" outlineLevel="0" collapsed="false">
      <c r="A109" s="3" t="n">
        <f aca="false">IFERROR(__xludf.dummyfunction("""COMPUTED_VALUE"""),44355.6666666667)</f>
        <v>44355.6666666667</v>
      </c>
      <c r="B109" s="2" t="n">
        <f aca="false">IFERROR(__xludf.dummyfunction("""COMPUTED_VALUE"""),17.53)</f>
        <v>17.53</v>
      </c>
      <c r="C109" s="2" t="n">
        <f aca="false">IFERROR(__xludf.dummyfunction("""COMPUTED_VALUE"""),17.62)</f>
        <v>17.62</v>
      </c>
      <c r="D109" s="2" t="n">
        <f aca="false">IFERROR(__xludf.dummyfunction("""COMPUTED_VALUE"""),17.25)</f>
        <v>17.25</v>
      </c>
      <c r="E109" s="2" t="n">
        <f aca="false">IFERROR(__xludf.dummyfunction("""COMPUTED_VALUE"""),17.46)</f>
        <v>17.46</v>
      </c>
      <c r="F109" s="2" t="n">
        <f aca="false">IFERROR(__xludf.dummyfunction("""COMPUTED_VALUE"""),8096169)</f>
        <v>8096169</v>
      </c>
    </row>
    <row r="110" customFormat="false" ht="15.75" hidden="false" customHeight="false" outlineLevel="0" collapsed="false">
      <c r="A110" s="3" t="n">
        <f aca="false">IFERROR(__xludf.dummyfunction("""COMPUTED_VALUE"""),44356.6666666667)</f>
        <v>44356.6666666667</v>
      </c>
      <c r="B110" s="2" t="n">
        <f aca="false">IFERROR(__xludf.dummyfunction("""COMPUTED_VALUE"""),17.52)</f>
        <v>17.52</v>
      </c>
      <c r="C110" s="2" t="n">
        <f aca="false">IFERROR(__xludf.dummyfunction("""COMPUTED_VALUE"""),17.58)</f>
        <v>17.58</v>
      </c>
      <c r="D110" s="2" t="n">
        <f aca="false">IFERROR(__xludf.dummyfunction("""COMPUTED_VALUE"""),17.26)</f>
        <v>17.26</v>
      </c>
      <c r="E110" s="2" t="n">
        <f aca="false">IFERROR(__xludf.dummyfunction("""COMPUTED_VALUE"""),17.36)</f>
        <v>17.36</v>
      </c>
      <c r="F110" s="2" t="n">
        <f aca="false">IFERROR(__xludf.dummyfunction("""COMPUTED_VALUE"""),9541437)</f>
        <v>9541437</v>
      </c>
    </row>
    <row r="111" customFormat="false" ht="15.75" hidden="false" customHeight="false" outlineLevel="0" collapsed="false">
      <c r="A111" s="3" t="n">
        <f aca="false">IFERROR(__xludf.dummyfunction("""COMPUTED_VALUE"""),44357.6666666667)</f>
        <v>44357.6666666667</v>
      </c>
      <c r="B111" s="2" t="n">
        <f aca="false">IFERROR(__xludf.dummyfunction("""COMPUTED_VALUE"""),17.35)</f>
        <v>17.35</v>
      </c>
      <c r="C111" s="2" t="n">
        <f aca="false">IFERROR(__xludf.dummyfunction("""COMPUTED_VALUE"""),17.49)</f>
        <v>17.49</v>
      </c>
      <c r="D111" s="2" t="n">
        <f aca="false">IFERROR(__xludf.dummyfunction("""COMPUTED_VALUE"""),17.18)</f>
        <v>17.18</v>
      </c>
      <c r="E111" s="2" t="n">
        <f aca="false">IFERROR(__xludf.dummyfunction("""COMPUTED_VALUE"""),17.43)</f>
        <v>17.43</v>
      </c>
      <c r="F111" s="2" t="n">
        <f aca="false">IFERROR(__xludf.dummyfunction("""COMPUTED_VALUE"""),7194261)</f>
        <v>7194261</v>
      </c>
    </row>
    <row r="112" customFormat="false" ht="15.75" hidden="false" customHeight="false" outlineLevel="0" collapsed="false">
      <c r="A112" s="3" t="n">
        <f aca="false">IFERROR(__xludf.dummyfunction("""COMPUTED_VALUE"""),44358.6666666667)</f>
        <v>44358.6666666667</v>
      </c>
      <c r="B112" s="2" t="n">
        <f aca="false">IFERROR(__xludf.dummyfunction("""COMPUTED_VALUE"""),17.48)</f>
        <v>17.48</v>
      </c>
      <c r="C112" s="2" t="n">
        <f aca="false">IFERROR(__xludf.dummyfunction("""COMPUTED_VALUE"""),17.94)</f>
        <v>17.94</v>
      </c>
      <c r="D112" s="2" t="n">
        <f aca="false">IFERROR(__xludf.dummyfunction("""COMPUTED_VALUE"""),17.44)</f>
        <v>17.44</v>
      </c>
      <c r="E112" s="2" t="n">
        <f aca="false">IFERROR(__xludf.dummyfunction("""COMPUTED_VALUE"""),17.83)</f>
        <v>17.83</v>
      </c>
      <c r="F112" s="2" t="n">
        <f aca="false">IFERROR(__xludf.dummyfunction("""COMPUTED_VALUE"""),10407691)</f>
        <v>10407691</v>
      </c>
    </row>
    <row r="113" customFormat="false" ht="15.75" hidden="false" customHeight="false" outlineLevel="0" collapsed="false">
      <c r="A113" s="3" t="n">
        <f aca="false">IFERROR(__xludf.dummyfunction("""COMPUTED_VALUE"""),44361.6666666667)</f>
        <v>44361.6666666667</v>
      </c>
      <c r="B113" s="2" t="n">
        <f aca="false">IFERROR(__xludf.dummyfunction("""COMPUTED_VALUE"""),17.91)</f>
        <v>17.91</v>
      </c>
      <c r="C113" s="2" t="n">
        <f aca="false">IFERROR(__xludf.dummyfunction("""COMPUTED_VALUE"""),18.04)</f>
        <v>18.04</v>
      </c>
      <c r="D113" s="2" t="n">
        <f aca="false">IFERROR(__xludf.dummyfunction("""COMPUTED_VALUE"""),17.66)</f>
        <v>17.66</v>
      </c>
      <c r="E113" s="2" t="n">
        <f aca="false">IFERROR(__xludf.dummyfunction("""COMPUTED_VALUE"""),18.02)</f>
        <v>18.02</v>
      </c>
      <c r="F113" s="2" t="n">
        <f aca="false">IFERROR(__xludf.dummyfunction("""COMPUTED_VALUE"""),8034357)</f>
        <v>8034357</v>
      </c>
    </row>
    <row r="114" customFormat="false" ht="15.75" hidden="false" customHeight="false" outlineLevel="0" collapsed="false">
      <c r="A114" s="3" t="n">
        <f aca="false">IFERROR(__xludf.dummyfunction("""COMPUTED_VALUE"""),44362.6666666667)</f>
        <v>44362.6666666667</v>
      </c>
      <c r="B114" s="2" t="n">
        <f aca="false">IFERROR(__xludf.dummyfunction("""COMPUTED_VALUE"""),17.92)</f>
        <v>17.92</v>
      </c>
      <c r="C114" s="2" t="n">
        <f aca="false">IFERROR(__xludf.dummyfunction("""COMPUTED_VALUE"""),18.02)</f>
        <v>18.02</v>
      </c>
      <c r="D114" s="2" t="n">
        <f aca="false">IFERROR(__xludf.dummyfunction("""COMPUTED_VALUE"""),17.73)</f>
        <v>17.73</v>
      </c>
      <c r="E114" s="2" t="n">
        <f aca="false">IFERROR(__xludf.dummyfunction("""COMPUTED_VALUE"""),17.79)</f>
        <v>17.79</v>
      </c>
      <c r="F114" s="2" t="n">
        <f aca="false">IFERROR(__xludf.dummyfunction("""COMPUTED_VALUE"""),6075761)</f>
        <v>6075761</v>
      </c>
    </row>
    <row r="115" customFormat="false" ht="15.75" hidden="false" customHeight="false" outlineLevel="0" collapsed="false">
      <c r="A115" s="3" t="n">
        <f aca="false">IFERROR(__xludf.dummyfunction("""COMPUTED_VALUE"""),44363.6666666667)</f>
        <v>44363.6666666667</v>
      </c>
      <c r="B115" s="2" t="n">
        <f aca="false">IFERROR(__xludf.dummyfunction("""COMPUTED_VALUE"""),17.79)</f>
        <v>17.79</v>
      </c>
      <c r="C115" s="2" t="n">
        <f aca="false">IFERROR(__xludf.dummyfunction("""COMPUTED_VALUE"""),17.95)</f>
        <v>17.95</v>
      </c>
      <c r="D115" s="2" t="n">
        <f aca="false">IFERROR(__xludf.dummyfunction("""COMPUTED_VALUE"""),17.58)</f>
        <v>17.58</v>
      </c>
      <c r="E115" s="2" t="n">
        <f aca="false">IFERROR(__xludf.dummyfunction("""COMPUTED_VALUE"""),17.81)</f>
        <v>17.81</v>
      </c>
      <c r="F115" s="2" t="n">
        <f aca="false">IFERROR(__xludf.dummyfunction("""COMPUTED_VALUE"""),7678065)</f>
        <v>7678065</v>
      </c>
    </row>
    <row r="116" customFormat="false" ht="15.75" hidden="false" customHeight="false" outlineLevel="0" collapsed="false">
      <c r="A116" s="3" t="n">
        <f aca="false">IFERROR(__xludf.dummyfunction("""COMPUTED_VALUE"""),44364.6666666667)</f>
        <v>44364.6666666667</v>
      </c>
      <c r="B116" s="2" t="n">
        <f aca="false">IFERROR(__xludf.dummyfunction("""COMPUTED_VALUE"""),17.77)</f>
        <v>17.77</v>
      </c>
      <c r="C116" s="2" t="n">
        <f aca="false">IFERROR(__xludf.dummyfunction("""COMPUTED_VALUE"""),18.84)</f>
        <v>18.84</v>
      </c>
      <c r="D116" s="2" t="n">
        <f aca="false">IFERROR(__xludf.dummyfunction("""COMPUTED_VALUE"""),17.76)</f>
        <v>17.76</v>
      </c>
      <c r="E116" s="2" t="n">
        <f aca="false">IFERROR(__xludf.dummyfunction("""COMPUTED_VALUE"""),18.66)</f>
        <v>18.66</v>
      </c>
      <c r="F116" s="2" t="n">
        <f aca="false">IFERROR(__xludf.dummyfunction("""COMPUTED_VALUE"""),20241372)</f>
        <v>20241372</v>
      </c>
    </row>
    <row r="117" customFormat="false" ht="15.75" hidden="false" customHeight="false" outlineLevel="0" collapsed="false">
      <c r="A117" s="3" t="n">
        <f aca="false">IFERROR(__xludf.dummyfunction("""COMPUTED_VALUE"""),44365.6666666667)</f>
        <v>44365.6666666667</v>
      </c>
      <c r="B117" s="2" t="n">
        <f aca="false">IFERROR(__xludf.dummyfunction("""COMPUTED_VALUE"""),18.78)</f>
        <v>18.78</v>
      </c>
      <c r="C117" s="2" t="n">
        <f aca="false">IFERROR(__xludf.dummyfunction("""COMPUTED_VALUE"""),19.38)</f>
        <v>19.38</v>
      </c>
      <c r="D117" s="2" t="n">
        <f aca="false">IFERROR(__xludf.dummyfunction("""COMPUTED_VALUE"""),18.58)</f>
        <v>18.58</v>
      </c>
      <c r="E117" s="2" t="n">
        <f aca="false">IFERROR(__xludf.dummyfunction("""COMPUTED_VALUE"""),18.64)</f>
        <v>18.64</v>
      </c>
      <c r="F117" s="2" t="n">
        <f aca="false">IFERROR(__xludf.dummyfunction("""COMPUTED_VALUE"""),24221357)</f>
        <v>24221357</v>
      </c>
    </row>
    <row r="118" customFormat="false" ht="15.75" hidden="false" customHeight="false" outlineLevel="0" collapsed="false">
      <c r="A118" s="3" t="n">
        <f aca="false">IFERROR(__xludf.dummyfunction("""COMPUTED_VALUE"""),44368.6666666667)</f>
        <v>44368.6666666667</v>
      </c>
      <c r="B118" s="2" t="n">
        <f aca="false">IFERROR(__xludf.dummyfunction("""COMPUTED_VALUE"""),18.44)</f>
        <v>18.44</v>
      </c>
      <c r="C118" s="2" t="n">
        <f aca="false">IFERROR(__xludf.dummyfunction("""COMPUTED_VALUE"""),18.54)</f>
        <v>18.54</v>
      </c>
      <c r="D118" s="2" t="n">
        <f aca="false">IFERROR(__xludf.dummyfunction("""COMPUTED_VALUE"""),17.82)</f>
        <v>17.82</v>
      </c>
      <c r="E118" s="2" t="n">
        <f aca="false">IFERROR(__xludf.dummyfunction("""COMPUTED_VALUE"""),18.43)</f>
        <v>18.43</v>
      </c>
      <c r="F118" s="2" t="n">
        <f aca="false">IFERROR(__xludf.dummyfunction("""COMPUTED_VALUE"""),16809554)</f>
        <v>16809554</v>
      </c>
    </row>
    <row r="119" customFormat="false" ht="15.75" hidden="false" customHeight="false" outlineLevel="0" collapsed="false">
      <c r="A119" s="3" t="n">
        <f aca="false">IFERROR(__xludf.dummyfunction("""COMPUTED_VALUE"""),44369.6666666667)</f>
        <v>44369.6666666667</v>
      </c>
      <c r="B119" s="2" t="n">
        <f aca="false">IFERROR(__xludf.dummyfunction("""COMPUTED_VALUE"""),18.47)</f>
        <v>18.47</v>
      </c>
      <c r="C119" s="2" t="n">
        <f aca="false">IFERROR(__xludf.dummyfunction("""COMPUTED_VALUE"""),18.96)</f>
        <v>18.96</v>
      </c>
      <c r="D119" s="2" t="n">
        <f aca="false">IFERROR(__xludf.dummyfunction("""COMPUTED_VALUE"""),18.39)</f>
        <v>18.39</v>
      </c>
      <c r="E119" s="2" t="n">
        <f aca="false">IFERROR(__xludf.dummyfunction("""COMPUTED_VALUE"""),18.89)</f>
        <v>18.89</v>
      </c>
      <c r="F119" s="2" t="n">
        <f aca="false">IFERROR(__xludf.dummyfunction("""COMPUTED_VALUE"""),14503639)</f>
        <v>14503639</v>
      </c>
    </row>
    <row r="120" customFormat="false" ht="15.75" hidden="false" customHeight="false" outlineLevel="0" collapsed="false">
      <c r="A120" s="3" t="n">
        <f aca="false">IFERROR(__xludf.dummyfunction("""COMPUTED_VALUE"""),44370.6666666667)</f>
        <v>44370.6666666667</v>
      </c>
      <c r="B120" s="2" t="n">
        <f aca="false">IFERROR(__xludf.dummyfunction("""COMPUTED_VALUE"""),19.01)</f>
        <v>19.01</v>
      </c>
      <c r="C120" s="2" t="n">
        <f aca="false">IFERROR(__xludf.dummyfunction("""COMPUTED_VALUE"""),19.15)</f>
        <v>19.15</v>
      </c>
      <c r="D120" s="2" t="n">
        <f aca="false">IFERROR(__xludf.dummyfunction("""COMPUTED_VALUE"""),18.91)</f>
        <v>18.91</v>
      </c>
      <c r="E120" s="2" t="n">
        <f aca="false">IFERROR(__xludf.dummyfunction("""COMPUTED_VALUE"""),19.06)</f>
        <v>19.06</v>
      </c>
      <c r="F120" s="2" t="n">
        <f aca="false">IFERROR(__xludf.dummyfunction("""COMPUTED_VALUE"""),8308926)</f>
        <v>8308926</v>
      </c>
    </row>
    <row r="121" customFormat="false" ht="15.75" hidden="false" customHeight="false" outlineLevel="0" collapsed="false">
      <c r="A121" s="3" t="n">
        <f aca="false">IFERROR(__xludf.dummyfunction("""COMPUTED_VALUE"""),44371.6666666667)</f>
        <v>44371.6666666667</v>
      </c>
      <c r="B121" s="2" t="n">
        <f aca="false">IFERROR(__xludf.dummyfunction("""COMPUTED_VALUE"""),19.23)</f>
        <v>19.23</v>
      </c>
      <c r="C121" s="2" t="n">
        <f aca="false">IFERROR(__xludf.dummyfunction("""COMPUTED_VALUE"""),19.42)</f>
        <v>19.42</v>
      </c>
      <c r="D121" s="2" t="n">
        <f aca="false">IFERROR(__xludf.dummyfunction("""COMPUTED_VALUE"""),19.09)</f>
        <v>19.09</v>
      </c>
      <c r="E121" s="2" t="n">
        <f aca="false">IFERROR(__xludf.dummyfunction("""COMPUTED_VALUE"""),19.21)</f>
        <v>19.21</v>
      </c>
      <c r="F121" s="2" t="n">
        <f aca="false">IFERROR(__xludf.dummyfunction("""COMPUTED_VALUE"""),8023060)</f>
        <v>8023060</v>
      </c>
    </row>
    <row r="122" customFormat="false" ht="15.75" hidden="false" customHeight="false" outlineLevel="0" collapsed="false">
      <c r="A122" s="3" t="n">
        <f aca="false">IFERROR(__xludf.dummyfunction("""COMPUTED_VALUE"""),44372.6666666667)</f>
        <v>44372.6666666667</v>
      </c>
      <c r="B122" s="2" t="n">
        <f aca="false">IFERROR(__xludf.dummyfunction("""COMPUTED_VALUE"""),19.28)</f>
        <v>19.28</v>
      </c>
      <c r="C122" s="2" t="n">
        <f aca="false">IFERROR(__xludf.dummyfunction("""COMPUTED_VALUE"""),19.35)</f>
        <v>19.35</v>
      </c>
      <c r="D122" s="2" t="n">
        <f aca="false">IFERROR(__xludf.dummyfunction("""COMPUTED_VALUE"""),18.89)</f>
        <v>18.89</v>
      </c>
      <c r="E122" s="2" t="n">
        <f aca="false">IFERROR(__xludf.dummyfunction("""COMPUTED_VALUE"""),19.03)</f>
        <v>19.03</v>
      </c>
      <c r="F122" s="2" t="n">
        <f aca="false">IFERROR(__xludf.dummyfunction("""COMPUTED_VALUE"""),6959148)</f>
        <v>6959148</v>
      </c>
    </row>
    <row r="123" customFormat="false" ht="15.75" hidden="false" customHeight="false" outlineLevel="0" collapsed="false">
      <c r="A123" s="3" t="n">
        <f aca="false">IFERROR(__xludf.dummyfunction("""COMPUTED_VALUE"""),44375.6666666667)</f>
        <v>44375.6666666667</v>
      </c>
      <c r="B123" s="2" t="n">
        <f aca="false">IFERROR(__xludf.dummyfunction("""COMPUTED_VALUE"""),19.36)</f>
        <v>19.36</v>
      </c>
      <c r="C123" s="2" t="n">
        <f aca="false">IFERROR(__xludf.dummyfunction("""COMPUTED_VALUE"""),20.08)</f>
        <v>20.08</v>
      </c>
      <c r="D123" s="2" t="n">
        <f aca="false">IFERROR(__xludf.dummyfunction("""COMPUTED_VALUE"""),19.32)</f>
        <v>19.32</v>
      </c>
      <c r="E123" s="2" t="n">
        <f aca="false">IFERROR(__xludf.dummyfunction("""COMPUTED_VALUE"""),19.99)</f>
        <v>19.99</v>
      </c>
      <c r="F123" s="2" t="n">
        <f aca="false">IFERROR(__xludf.dummyfunction("""COMPUTED_VALUE"""),12385914)</f>
        <v>12385914</v>
      </c>
    </row>
    <row r="124" customFormat="false" ht="15.75" hidden="false" customHeight="false" outlineLevel="0" collapsed="false">
      <c r="A124" s="3" t="n">
        <f aca="false">IFERROR(__xludf.dummyfunction("""COMPUTED_VALUE"""),44376.6666666667)</f>
        <v>44376.6666666667</v>
      </c>
      <c r="B124" s="2" t="n">
        <f aca="false">IFERROR(__xludf.dummyfunction("""COMPUTED_VALUE"""),19.88)</f>
        <v>19.88</v>
      </c>
      <c r="C124" s="2" t="n">
        <f aca="false">IFERROR(__xludf.dummyfunction("""COMPUTED_VALUE"""),20.1)</f>
        <v>20.1</v>
      </c>
      <c r="D124" s="2" t="n">
        <f aca="false">IFERROR(__xludf.dummyfunction("""COMPUTED_VALUE"""),19.66)</f>
        <v>19.66</v>
      </c>
      <c r="E124" s="2" t="n">
        <f aca="false">IFERROR(__xludf.dummyfunction("""COMPUTED_VALUE"""),20.03)</f>
        <v>20.03</v>
      </c>
      <c r="F124" s="2" t="n">
        <f aca="false">IFERROR(__xludf.dummyfunction("""COMPUTED_VALUE"""),9190846)</f>
        <v>9190846</v>
      </c>
    </row>
    <row r="125" customFormat="false" ht="15.75" hidden="false" customHeight="false" outlineLevel="0" collapsed="false">
      <c r="A125" s="3" t="n">
        <f aca="false">IFERROR(__xludf.dummyfunction("""COMPUTED_VALUE"""),44377.6666666667)</f>
        <v>44377.6666666667</v>
      </c>
      <c r="B125" s="2" t="n">
        <f aca="false">IFERROR(__xludf.dummyfunction("""COMPUTED_VALUE"""),20)</f>
        <v>20</v>
      </c>
      <c r="C125" s="2" t="n">
        <f aca="false">IFERROR(__xludf.dummyfunction("""COMPUTED_VALUE"""),20.16)</f>
        <v>20.16</v>
      </c>
      <c r="D125" s="2" t="n">
        <f aca="false">IFERROR(__xludf.dummyfunction("""COMPUTED_VALUE"""),19.86)</f>
        <v>19.86</v>
      </c>
      <c r="E125" s="2" t="n">
        <f aca="false">IFERROR(__xludf.dummyfunction("""COMPUTED_VALUE"""),20)</f>
        <v>20</v>
      </c>
      <c r="F125" s="2" t="n">
        <f aca="false">IFERROR(__xludf.dummyfunction("""COMPUTED_VALUE"""),8164154)</f>
        <v>8164154</v>
      </c>
    </row>
    <row r="126" customFormat="false" ht="15.75" hidden="false" customHeight="false" outlineLevel="0" collapsed="false">
      <c r="A126" s="3" t="n">
        <f aca="false">IFERROR(__xludf.dummyfunction("""COMPUTED_VALUE"""),44378.6666666667)</f>
        <v>44378.6666666667</v>
      </c>
      <c r="B126" s="2" t="n">
        <f aca="false">IFERROR(__xludf.dummyfunction("""COMPUTED_VALUE"""),20.13)</f>
        <v>20.13</v>
      </c>
      <c r="C126" s="2" t="n">
        <f aca="false">IFERROR(__xludf.dummyfunction("""COMPUTED_VALUE"""),20.46)</f>
        <v>20.46</v>
      </c>
      <c r="D126" s="2" t="n">
        <f aca="false">IFERROR(__xludf.dummyfunction("""COMPUTED_VALUE"""),20.02)</f>
        <v>20.02</v>
      </c>
      <c r="E126" s="2" t="n">
        <f aca="false">IFERROR(__xludf.dummyfunction("""COMPUTED_VALUE"""),20.21)</f>
        <v>20.21</v>
      </c>
      <c r="F126" s="2" t="n">
        <f aca="false">IFERROR(__xludf.dummyfunction("""COMPUTED_VALUE"""),12003374)</f>
        <v>12003374</v>
      </c>
    </row>
    <row r="127" customFormat="false" ht="15.75" hidden="false" customHeight="false" outlineLevel="0" collapsed="false">
      <c r="A127" s="3" t="n">
        <f aca="false">IFERROR(__xludf.dummyfunction("""COMPUTED_VALUE"""),44379.6666666667)</f>
        <v>44379.6666666667</v>
      </c>
      <c r="B127" s="2" t="n">
        <f aca="false">IFERROR(__xludf.dummyfunction("""COMPUTED_VALUE"""),20.44)</f>
        <v>20.44</v>
      </c>
      <c r="C127" s="2" t="n">
        <f aca="false">IFERROR(__xludf.dummyfunction("""COMPUTED_VALUE"""),20.51)</f>
        <v>20.51</v>
      </c>
      <c r="D127" s="2" t="n">
        <f aca="false">IFERROR(__xludf.dummyfunction("""COMPUTED_VALUE"""),20.29)</f>
        <v>20.29</v>
      </c>
      <c r="E127" s="2" t="n">
        <f aca="false">IFERROR(__xludf.dummyfunction("""COMPUTED_VALUE"""),20.49)</f>
        <v>20.49</v>
      </c>
      <c r="F127" s="2" t="n">
        <f aca="false">IFERROR(__xludf.dummyfunction("""COMPUTED_VALUE"""),8584917)</f>
        <v>8584917</v>
      </c>
    </row>
    <row r="128" customFormat="false" ht="15.75" hidden="false" customHeight="false" outlineLevel="0" collapsed="false">
      <c r="A128" s="3" t="n">
        <f aca="false">IFERROR(__xludf.dummyfunction("""COMPUTED_VALUE"""),44383.6666666667)</f>
        <v>44383.6666666667</v>
      </c>
      <c r="B128" s="2" t="n">
        <f aca="false">IFERROR(__xludf.dummyfunction("""COMPUTED_VALUE"""),20.74)</f>
        <v>20.74</v>
      </c>
      <c r="C128" s="2" t="n">
        <f aca="false">IFERROR(__xludf.dummyfunction("""COMPUTED_VALUE"""),20.84)</f>
        <v>20.84</v>
      </c>
      <c r="D128" s="2" t="n">
        <f aca="false">IFERROR(__xludf.dummyfunction("""COMPUTED_VALUE"""),20.35)</f>
        <v>20.35</v>
      </c>
      <c r="E128" s="2" t="n">
        <f aca="false">IFERROR(__xludf.dummyfunction("""COMPUTED_VALUE"""),20.7)</f>
        <v>20.7</v>
      </c>
      <c r="F128" s="2" t="n">
        <f aca="false">IFERROR(__xludf.dummyfunction("""COMPUTED_VALUE"""),11167687)</f>
        <v>11167687</v>
      </c>
    </row>
    <row r="129" customFormat="false" ht="15.75" hidden="false" customHeight="false" outlineLevel="0" collapsed="false">
      <c r="A129" s="3" t="n">
        <f aca="false">IFERROR(__xludf.dummyfunction("""COMPUTED_VALUE"""),44384.6666666667)</f>
        <v>44384.6666666667</v>
      </c>
      <c r="B129" s="2" t="n">
        <f aca="false">IFERROR(__xludf.dummyfunction("""COMPUTED_VALUE"""),20.85)</f>
        <v>20.85</v>
      </c>
      <c r="C129" s="2" t="n">
        <f aca="false">IFERROR(__xludf.dummyfunction("""COMPUTED_VALUE"""),20.88)</f>
        <v>20.88</v>
      </c>
      <c r="D129" s="2" t="n">
        <f aca="false">IFERROR(__xludf.dummyfunction("""COMPUTED_VALUE"""),20.33)</f>
        <v>20.33</v>
      </c>
      <c r="E129" s="2" t="n">
        <f aca="false">IFERROR(__xludf.dummyfunction("""COMPUTED_VALUE"""),20.37)</f>
        <v>20.37</v>
      </c>
      <c r="F129" s="2" t="n">
        <f aca="false">IFERROR(__xludf.dummyfunction("""COMPUTED_VALUE"""),10460682)</f>
        <v>10460682</v>
      </c>
    </row>
    <row r="130" customFormat="false" ht="15.75" hidden="false" customHeight="false" outlineLevel="0" collapsed="false">
      <c r="A130" s="3" t="n">
        <f aca="false">IFERROR(__xludf.dummyfunction("""COMPUTED_VALUE"""),44385.6666666667)</f>
        <v>44385.6666666667</v>
      </c>
      <c r="B130" s="2" t="n">
        <f aca="false">IFERROR(__xludf.dummyfunction("""COMPUTED_VALUE"""),19.86)</f>
        <v>19.86</v>
      </c>
      <c r="C130" s="2" t="n">
        <f aca="false">IFERROR(__xludf.dummyfunction("""COMPUTED_VALUE"""),20.13)</f>
        <v>20.13</v>
      </c>
      <c r="D130" s="2" t="n">
        <f aca="false">IFERROR(__xludf.dummyfunction("""COMPUTED_VALUE"""),19.7)</f>
        <v>19.7</v>
      </c>
      <c r="E130" s="2" t="n">
        <f aca="false">IFERROR(__xludf.dummyfunction("""COMPUTED_VALUE"""),19.9)</f>
        <v>19.9</v>
      </c>
      <c r="F130" s="2" t="n">
        <f aca="false">IFERROR(__xludf.dummyfunction("""COMPUTED_VALUE"""),12582492)</f>
        <v>12582492</v>
      </c>
    </row>
    <row r="131" customFormat="false" ht="15.75" hidden="false" customHeight="false" outlineLevel="0" collapsed="false">
      <c r="A131" s="3" t="n">
        <f aca="false">IFERROR(__xludf.dummyfunction("""COMPUTED_VALUE"""),44386.6666666667)</f>
        <v>44386.6666666667</v>
      </c>
      <c r="B131" s="2" t="n">
        <f aca="false">IFERROR(__xludf.dummyfunction("""COMPUTED_VALUE"""),19.96)</f>
        <v>19.96</v>
      </c>
      <c r="C131" s="2" t="n">
        <f aca="false">IFERROR(__xludf.dummyfunction("""COMPUTED_VALUE"""),20.08)</f>
        <v>20.08</v>
      </c>
      <c r="D131" s="2" t="n">
        <f aca="false">IFERROR(__xludf.dummyfunction("""COMPUTED_VALUE"""),19.75)</f>
        <v>19.75</v>
      </c>
      <c r="E131" s="2" t="n">
        <f aca="false">IFERROR(__xludf.dummyfunction("""COMPUTED_VALUE"""),20.05)</f>
        <v>20.05</v>
      </c>
      <c r="F131" s="2" t="n">
        <f aca="false">IFERROR(__xludf.dummyfunction("""COMPUTED_VALUE"""),7415567)</f>
        <v>7415567</v>
      </c>
    </row>
    <row r="132" customFormat="false" ht="15.75" hidden="false" customHeight="false" outlineLevel="0" collapsed="false">
      <c r="A132" s="3" t="n">
        <f aca="false">IFERROR(__xludf.dummyfunction("""COMPUTED_VALUE"""),44389.6666666667)</f>
        <v>44389.6666666667</v>
      </c>
      <c r="B132" s="2" t="n">
        <f aca="false">IFERROR(__xludf.dummyfunction("""COMPUTED_VALUE"""),20.24)</f>
        <v>20.24</v>
      </c>
      <c r="C132" s="2" t="n">
        <f aca="false">IFERROR(__xludf.dummyfunction("""COMPUTED_VALUE"""),20.53)</f>
        <v>20.53</v>
      </c>
      <c r="D132" s="2" t="n">
        <f aca="false">IFERROR(__xludf.dummyfunction("""COMPUTED_VALUE"""),20.19)</f>
        <v>20.19</v>
      </c>
      <c r="E132" s="2" t="n">
        <f aca="false">IFERROR(__xludf.dummyfunction("""COMPUTED_VALUE"""),20.51)</f>
        <v>20.51</v>
      </c>
      <c r="F132" s="2" t="n">
        <f aca="false">IFERROR(__xludf.dummyfunction("""COMPUTED_VALUE"""),8049619)</f>
        <v>8049619</v>
      </c>
    </row>
    <row r="133" customFormat="false" ht="15.75" hidden="false" customHeight="false" outlineLevel="0" collapsed="false">
      <c r="A133" s="3" t="n">
        <f aca="false">IFERROR(__xludf.dummyfunction("""COMPUTED_VALUE"""),44390.6666666667)</f>
        <v>44390.6666666667</v>
      </c>
      <c r="B133" s="2" t="n">
        <f aca="false">IFERROR(__xludf.dummyfunction("""COMPUTED_VALUE"""),20.4)</f>
        <v>20.4</v>
      </c>
      <c r="C133" s="2" t="n">
        <f aca="false">IFERROR(__xludf.dummyfunction("""COMPUTED_VALUE"""),20.46)</f>
        <v>20.46</v>
      </c>
      <c r="D133" s="2" t="n">
        <f aca="false">IFERROR(__xludf.dummyfunction("""COMPUTED_VALUE"""),20.11)</f>
        <v>20.11</v>
      </c>
      <c r="E133" s="2" t="n">
        <f aca="false">IFERROR(__xludf.dummyfunction("""COMPUTED_VALUE"""),20.25)</f>
        <v>20.25</v>
      </c>
      <c r="F133" s="2" t="n">
        <f aca="false">IFERROR(__xludf.dummyfunction("""COMPUTED_VALUE"""),7267658)</f>
        <v>7267658</v>
      </c>
    </row>
    <row r="134" customFormat="false" ht="15.75" hidden="false" customHeight="false" outlineLevel="0" collapsed="false">
      <c r="A134" s="3" t="n">
        <f aca="false">IFERROR(__xludf.dummyfunction("""COMPUTED_VALUE"""),44391.6666666667)</f>
        <v>44391.6666666667</v>
      </c>
      <c r="B134" s="2" t="n">
        <f aca="false">IFERROR(__xludf.dummyfunction("""COMPUTED_VALUE"""),20.36)</f>
        <v>20.36</v>
      </c>
      <c r="C134" s="2" t="n">
        <f aca="false">IFERROR(__xludf.dummyfunction("""COMPUTED_VALUE"""),20.42)</f>
        <v>20.42</v>
      </c>
      <c r="D134" s="2" t="n">
        <f aca="false">IFERROR(__xludf.dummyfunction("""COMPUTED_VALUE"""),19.75)</f>
        <v>19.75</v>
      </c>
      <c r="E134" s="2" t="n">
        <f aca="false">IFERROR(__xludf.dummyfunction("""COMPUTED_VALUE"""),19.84)</f>
        <v>19.84</v>
      </c>
      <c r="F134" s="2" t="n">
        <f aca="false">IFERROR(__xludf.dummyfunction("""COMPUTED_VALUE"""),9502480)</f>
        <v>9502480</v>
      </c>
    </row>
    <row r="135" customFormat="false" ht="15.75" hidden="false" customHeight="false" outlineLevel="0" collapsed="false">
      <c r="A135" s="3" t="n">
        <f aca="false">IFERROR(__xludf.dummyfunction("""COMPUTED_VALUE"""),44392.6666666667)</f>
        <v>44392.6666666667</v>
      </c>
      <c r="B135" s="2" t="n">
        <f aca="false">IFERROR(__xludf.dummyfunction("""COMPUTED_VALUE"""),19.81)</f>
        <v>19.81</v>
      </c>
      <c r="C135" s="2" t="n">
        <f aca="false">IFERROR(__xludf.dummyfunction("""COMPUTED_VALUE"""),19.85)</f>
        <v>19.85</v>
      </c>
      <c r="D135" s="2" t="n">
        <f aca="false">IFERROR(__xludf.dummyfunction("""COMPUTED_VALUE"""),18.86)</f>
        <v>18.86</v>
      </c>
      <c r="E135" s="2" t="n">
        <f aca="false">IFERROR(__xludf.dummyfunction("""COMPUTED_VALUE"""),18.97)</f>
        <v>18.97</v>
      </c>
      <c r="F135" s="2" t="n">
        <f aca="false">IFERROR(__xludf.dummyfunction("""COMPUTED_VALUE"""),13764113)</f>
        <v>13764113</v>
      </c>
    </row>
    <row r="136" customFormat="false" ht="15.75" hidden="false" customHeight="false" outlineLevel="0" collapsed="false">
      <c r="A136" s="3" t="n">
        <f aca="false">IFERROR(__xludf.dummyfunction("""COMPUTED_VALUE"""),44393.6666666667)</f>
        <v>44393.6666666667</v>
      </c>
      <c r="B136" s="2" t="n">
        <f aca="false">IFERROR(__xludf.dummyfunction("""COMPUTED_VALUE"""),19.03)</f>
        <v>19.03</v>
      </c>
      <c r="C136" s="2" t="n">
        <f aca="false">IFERROR(__xludf.dummyfunction("""COMPUTED_VALUE"""),19.16)</f>
        <v>19.16</v>
      </c>
      <c r="D136" s="2" t="n">
        <f aca="false">IFERROR(__xludf.dummyfunction("""COMPUTED_VALUE"""),18.07)</f>
        <v>18.07</v>
      </c>
      <c r="E136" s="2" t="n">
        <f aca="false">IFERROR(__xludf.dummyfunction("""COMPUTED_VALUE"""),18.16)</f>
        <v>18.16</v>
      </c>
      <c r="F136" s="2" t="n">
        <f aca="false">IFERROR(__xludf.dummyfunction("""COMPUTED_VALUE"""),17205566)</f>
        <v>17205566</v>
      </c>
    </row>
    <row r="137" customFormat="false" ht="15.75" hidden="false" customHeight="false" outlineLevel="0" collapsed="false">
      <c r="A137" s="3" t="n">
        <f aca="false">IFERROR(__xludf.dummyfunction("""COMPUTED_VALUE"""),44396.6666666667)</f>
        <v>44396.6666666667</v>
      </c>
      <c r="B137" s="2" t="n">
        <f aca="false">IFERROR(__xludf.dummyfunction("""COMPUTED_VALUE"""),17.92)</f>
        <v>17.92</v>
      </c>
      <c r="C137" s="2" t="n">
        <f aca="false">IFERROR(__xludf.dummyfunction("""COMPUTED_VALUE"""),19.04)</f>
        <v>19.04</v>
      </c>
      <c r="D137" s="2" t="n">
        <f aca="false">IFERROR(__xludf.dummyfunction("""COMPUTED_VALUE"""),17.87)</f>
        <v>17.87</v>
      </c>
      <c r="E137" s="2" t="n">
        <f aca="false">IFERROR(__xludf.dummyfunction("""COMPUTED_VALUE"""),18.78)</f>
        <v>18.78</v>
      </c>
      <c r="F137" s="2" t="n">
        <f aca="false">IFERROR(__xludf.dummyfunction("""COMPUTED_VALUE"""),18726469)</f>
        <v>18726469</v>
      </c>
    </row>
    <row r="138" customFormat="false" ht="15.75" hidden="false" customHeight="false" outlineLevel="0" collapsed="false">
      <c r="A138" s="3" t="n">
        <f aca="false">IFERROR(__xludf.dummyfunction("""COMPUTED_VALUE"""),44397.6666666667)</f>
        <v>44397.6666666667</v>
      </c>
      <c r="B138" s="2" t="n">
        <f aca="false">IFERROR(__xludf.dummyfunction("""COMPUTED_VALUE"""),18.73)</f>
        <v>18.73</v>
      </c>
      <c r="C138" s="2" t="n">
        <f aca="false">IFERROR(__xludf.dummyfunction("""COMPUTED_VALUE"""),18.84)</f>
        <v>18.84</v>
      </c>
      <c r="D138" s="2" t="n">
        <f aca="false">IFERROR(__xludf.dummyfunction("""COMPUTED_VALUE"""),18.16)</f>
        <v>18.16</v>
      </c>
      <c r="E138" s="2" t="n">
        <f aca="false">IFERROR(__xludf.dummyfunction("""COMPUTED_VALUE"""),18.61)</f>
        <v>18.61</v>
      </c>
      <c r="F138" s="2" t="n">
        <f aca="false">IFERROR(__xludf.dummyfunction("""COMPUTED_VALUE"""),43468654)</f>
        <v>43468654</v>
      </c>
    </row>
    <row r="139" customFormat="false" ht="15.75" hidden="false" customHeight="false" outlineLevel="0" collapsed="false">
      <c r="A139" s="3" t="n">
        <f aca="false">IFERROR(__xludf.dummyfunction("""COMPUTED_VALUE"""),44398.6666666667)</f>
        <v>44398.6666666667</v>
      </c>
      <c r="B139" s="2" t="n">
        <f aca="false">IFERROR(__xludf.dummyfunction("""COMPUTED_VALUE"""),18.88)</f>
        <v>18.88</v>
      </c>
      <c r="C139" s="2" t="n">
        <f aca="false">IFERROR(__xludf.dummyfunction("""COMPUTED_VALUE"""),19.53)</f>
        <v>19.53</v>
      </c>
      <c r="D139" s="2" t="n">
        <f aca="false">IFERROR(__xludf.dummyfunction("""COMPUTED_VALUE"""),18.74)</f>
        <v>18.74</v>
      </c>
      <c r="E139" s="2" t="n">
        <f aca="false">IFERROR(__xludf.dummyfunction("""COMPUTED_VALUE"""),19.41)</f>
        <v>19.41</v>
      </c>
      <c r="F139" s="2" t="n">
        <f aca="false">IFERROR(__xludf.dummyfunction("""COMPUTED_VALUE"""),37101736)</f>
        <v>37101736</v>
      </c>
    </row>
    <row r="140" customFormat="false" ht="15.75" hidden="false" customHeight="false" outlineLevel="0" collapsed="false">
      <c r="A140" s="3" t="n">
        <f aca="false">IFERROR(__xludf.dummyfunction("""COMPUTED_VALUE"""),44399.6666666667)</f>
        <v>44399.6666666667</v>
      </c>
      <c r="B140" s="2" t="n">
        <f aca="false">IFERROR(__xludf.dummyfunction("""COMPUTED_VALUE"""),19.64)</f>
        <v>19.64</v>
      </c>
      <c r="C140" s="2" t="n">
        <f aca="false">IFERROR(__xludf.dummyfunction("""COMPUTED_VALUE"""),19.89)</f>
        <v>19.89</v>
      </c>
      <c r="D140" s="2" t="n">
        <f aca="false">IFERROR(__xludf.dummyfunction("""COMPUTED_VALUE"""),19.28)</f>
        <v>19.28</v>
      </c>
      <c r="E140" s="2" t="n">
        <f aca="false">IFERROR(__xludf.dummyfunction("""COMPUTED_VALUE"""),19.59)</f>
        <v>19.59</v>
      </c>
      <c r="F140" s="2" t="n">
        <f aca="false">IFERROR(__xludf.dummyfunction("""COMPUTED_VALUE"""),32382595)</f>
        <v>32382595</v>
      </c>
    </row>
    <row r="141" customFormat="false" ht="15.75" hidden="false" customHeight="false" outlineLevel="0" collapsed="false">
      <c r="A141" s="3" t="n">
        <f aca="false">IFERROR(__xludf.dummyfunction("""COMPUTED_VALUE"""),44400.6666666667)</f>
        <v>44400.6666666667</v>
      </c>
      <c r="B141" s="2" t="n">
        <f aca="false">IFERROR(__xludf.dummyfunction("""COMPUTED_VALUE"""),19.66)</f>
        <v>19.66</v>
      </c>
      <c r="C141" s="2" t="n">
        <f aca="false">IFERROR(__xludf.dummyfunction("""COMPUTED_VALUE"""),19.7)</f>
        <v>19.7</v>
      </c>
      <c r="D141" s="2" t="n">
        <f aca="false">IFERROR(__xludf.dummyfunction("""COMPUTED_VALUE"""),19.25)</f>
        <v>19.25</v>
      </c>
      <c r="E141" s="2" t="n">
        <f aca="false">IFERROR(__xludf.dummyfunction("""COMPUTED_VALUE"""),19.56)</f>
        <v>19.56</v>
      </c>
      <c r="F141" s="2" t="n">
        <f aca="false">IFERROR(__xludf.dummyfunction("""COMPUTED_VALUE"""),19567198)</f>
        <v>19567198</v>
      </c>
    </row>
    <row r="142" customFormat="false" ht="15.75" hidden="false" customHeight="false" outlineLevel="0" collapsed="false">
      <c r="A142" s="3" t="n">
        <f aca="false">IFERROR(__xludf.dummyfunction("""COMPUTED_VALUE"""),44403.6666666667)</f>
        <v>44403.6666666667</v>
      </c>
      <c r="B142" s="2" t="n">
        <f aca="false">IFERROR(__xludf.dummyfunction("""COMPUTED_VALUE"""),19.31)</f>
        <v>19.31</v>
      </c>
      <c r="C142" s="2" t="n">
        <f aca="false">IFERROR(__xludf.dummyfunction("""COMPUTED_VALUE"""),19.44)</f>
        <v>19.44</v>
      </c>
      <c r="D142" s="2" t="n">
        <f aca="false">IFERROR(__xludf.dummyfunction("""COMPUTED_VALUE"""),18.91)</f>
        <v>18.91</v>
      </c>
      <c r="E142" s="2" t="n">
        <f aca="false">IFERROR(__xludf.dummyfunction("""COMPUTED_VALUE"""),19.29)</f>
        <v>19.29</v>
      </c>
      <c r="F142" s="2" t="n">
        <f aca="false">IFERROR(__xludf.dummyfunction("""COMPUTED_VALUE"""),20394316)</f>
        <v>20394316</v>
      </c>
    </row>
    <row r="143" customFormat="false" ht="15.75" hidden="false" customHeight="false" outlineLevel="0" collapsed="false">
      <c r="A143" s="3" t="n">
        <f aca="false">IFERROR(__xludf.dummyfunction("""COMPUTED_VALUE"""),44404.6666666667)</f>
        <v>44404.6666666667</v>
      </c>
      <c r="B143" s="2" t="n">
        <f aca="false">IFERROR(__xludf.dummyfunction("""COMPUTED_VALUE"""),19.27)</f>
        <v>19.27</v>
      </c>
      <c r="C143" s="2" t="n">
        <f aca="false">IFERROR(__xludf.dummyfunction("""COMPUTED_VALUE"""),19.62)</f>
        <v>19.62</v>
      </c>
      <c r="D143" s="2" t="n">
        <f aca="false">IFERROR(__xludf.dummyfunction("""COMPUTED_VALUE"""),18.74)</f>
        <v>18.74</v>
      </c>
      <c r="E143" s="2" t="n">
        <f aca="false">IFERROR(__xludf.dummyfunction("""COMPUTED_VALUE"""),19.21)</f>
        <v>19.21</v>
      </c>
      <c r="F143" s="2" t="n">
        <f aca="false">IFERROR(__xludf.dummyfunction("""COMPUTED_VALUE"""),24886258)</f>
        <v>24886258</v>
      </c>
    </row>
    <row r="144" customFormat="false" ht="15.75" hidden="false" customHeight="false" outlineLevel="0" collapsed="false">
      <c r="A144" s="3" t="n">
        <f aca="false">IFERROR(__xludf.dummyfunction("""COMPUTED_VALUE"""),44405.6666666667)</f>
        <v>44405.6666666667</v>
      </c>
      <c r="B144" s="2" t="n">
        <f aca="false">IFERROR(__xludf.dummyfunction("""COMPUTED_VALUE"""),19.32)</f>
        <v>19.32</v>
      </c>
      <c r="C144" s="2" t="n">
        <f aca="false">IFERROR(__xludf.dummyfunction("""COMPUTED_VALUE"""),19.65)</f>
        <v>19.65</v>
      </c>
      <c r="D144" s="2" t="n">
        <f aca="false">IFERROR(__xludf.dummyfunction("""COMPUTED_VALUE"""),19)</f>
        <v>19</v>
      </c>
      <c r="E144" s="2" t="n">
        <f aca="false">IFERROR(__xludf.dummyfunction("""COMPUTED_VALUE"""),19.5)</f>
        <v>19.5</v>
      </c>
      <c r="F144" s="2" t="n">
        <f aca="false">IFERROR(__xludf.dummyfunction("""COMPUTED_VALUE"""),20219115)</f>
        <v>20219115</v>
      </c>
    </row>
    <row r="145" customFormat="false" ht="15.75" hidden="false" customHeight="false" outlineLevel="0" collapsed="false">
      <c r="A145" s="3" t="n">
        <f aca="false">IFERROR(__xludf.dummyfunction("""COMPUTED_VALUE"""),44406.6666666667)</f>
        <v>44406.6666666667</v>
      </c>
      <c r="B145" s="2" t="n">
        <f aca="false">IFERROR(__xludf.dummyfunction("""COMPUTED_VALUE"""),19.52)</f>
        <v>19.52</v>
      </c>
      <c r="C145" s="2" t="n">
        <f aca="false">IFERROR(__xludf.dummyfunction("""COMPUTED_VALUE"""),19.85)</f>
        <v>19.85</v>
      </c>
      <c r="D145" s="2" t="n">
        <f aca="false">IFERROR(__xludf.dummyfunction("""COMPUTED_VALUE"""),19.33)</f>
        <v>19.33</v>
      </c>
      <c r="E145" s="2" t="n">
        <f aca="false">IFERROR(__xludf.dummyfunction("""COMPUTED_VALUE"""),19.66)</f>
        <v>19.66</v>
      </c>
      <c r="F145" s="2" t="n">
        <f aca="false">IFERROR(__xludf.dummyfunction("""COMPUTED_VALUE"""),19078088)</f>
        <v>19078088</v>
      </c>
    </row>
    <row r="146" customFormat="false" ht="15.75" hidden="false" customHeight="false" outlineLevel="0" collapsed="false">
      <c r="A146" s="3" t="n">
        <f aca="false">IFERROR(__xludf.dummyfunction("""COMPUTED_VALUE"""),44407.6666666667)</f>
        <v>44407.6666666667</v>
      </c>
      <c r="B146" s="2" t="n">
        <f aca="false">IFERROR(__xludf.dummyfunction("""COMPUTED_VALUE"""),19.42)</f>
        <v>19.42</v>
      </c>
      <c r="C146" s="2" t="n">
        <f aca="false">IFERROR(__xludf.dummyfunction("""COMPUTED_VALUE"""),19.63)</f>
        <v>19.63</v>
      </c>
      <c r="D146" s="2" t="n">
        <f aca="false">IFERROR(__xludf.dummyfunction("""COMPUTED_VALUE"""),19.26)</f>
        <v>19.26</v>
      </c>
      <c r="E146" s="2" t="n">
        <f aca="false">IFERROR(__xludf.dummyfunction("""COMPUTED_VALUE"""),19.5)</f>
        <v>19.5</v>
      </c>
      <c r="F146" s="2" t="n">
        <f aca="false">IFERROR(__xludf.dummyfunction("""COMPUTED_VALUE"""),18349746)</f>
        <v>18349746</v>
      </c>
    </row>
    <row r="147" customFormat="false" ht="15.75" hidden="false" customHeight="false" outlineLevel="0" collapsed="false">
      <c r="A147" s="3" t="n">
        <f aca="false">IFERROR(__xludf.dummyfunction("""COMPUTED_VALUE"""),44410.6666666667)</f>
        <v>44410.6666666667</v>
      </c>
      <c r="B147" s="2" t="n">
        <f aca="false">IFERROR(__xludf.dummyfunction("""COMPUTED_VALUE"""),19.7)</f>
        <v>19.7</v>
      </c>
      <c r="C147" s="2" t="n">
        <f aca="false">IFERROR(__xludf.dummyfunction("""COMPUTED_VALUE"""),19.96)</f>
        <v>19.96</v>
      </c>
      <c r="D147" s="2" t="n">
        <f aca="false">IFERROR(__xludf.dummyfunction("""COMPUTED_VALUE"""),19.36)</f>
        <v>19.36</v>
      </c>
      <c r="E147" s="2" t="n">
        <f aca="false">IFERROR(__xludf.dummyfunction("""COMPUTED_VALUE"""),19.75)</f>
        <v>19.75</v>
      </c>
      <c r="F147" s="2" t="n">
        <f aca="false">IFERROR(__xludf.dummyfunction("""COMPUTED_VALUE"""),21744397)</f>
        <v>21744397</v>
      </c>
    </row>
    <row r="148" customFormat="false" ht="15.75" hidden="false" customHeight="false" outlineLevel="0" collapsed="false">
      <c r="A148" s="3" t="n">
        <f aca="false">IFERROR(__xludf.dummyfunction("""COMPUTED_VALUE"""),44411.6666666667)</f>
        <v>44411.6666666667</v>
      </c>
      <c r="B148" s="2" t="n">
        <f aca="false">IFERROR(__xludf.dummyfunction("""COMPUTED_VALUE"""),19.74)</f>
        <v>19.74</v>
      </c>
      <c r="C148" s="2" t="n">
        <f aca="false">IFERROR(__xludf.dummyfunction("""COMPUTED_VALUE"""),20.22)</f>
        <v>20.22</v>
      </c>
      <c r="D148" s="2" t="n">
        <f aca="false">IFERROR(__xludf.dummyfunction("""COMPUTED_VALUE"""),19.22)</f>
        <v>19.22</v>
      </c>
      <c r="E148" s="2" t="n">
        <f aca="false">IFERROR(__xludf.dummyfunction("""COMPUTED_VALUE"""),19.82)</f>
        <v>19.82</v>
      </c>
      <c r="F148" s="2" t="n">
        <f aca="false">IFERROR(__xludf.dummyfunction("""COMPUTED_VALUE"""),30181074)</f>
        <v>30181074</v>
      </c>
    </row>
    <row r="149" customFormat="false" ht="15.75" hidden="false" customHeight="false" outlineLevel="0" collapsed="false">
      <c r="A149" s="3" t="n">
        <f aca="false">IFERROR(__xludf.dummyfunction("""COMPUTED_VALUE"""),44412.6666666667)</f>
        <v>44412.6666666667</v>
      </c>
      <c r="B149" s="2" t="n">
        <f aca="false">IFERROR(__xludf.dummyfunction("""COMPUTED_VALUE"""),19.99)</f>
        <v>19.99</v>
      </c>
      <c r="C149" s="2" t="n">
        <f aca="false">IFERROR(__xludf.dummyfunction("""COMPUTED_VALUE"""),20.32)</f>
        <v>20.32</v>
      </c>
      <c r="D149" s="2" t="n">
        <f aca="false">IFERROR(__xludf.dummyfunction("""COMPUTED_VALUE"""),19.83)</f>
        <v>19.83</v>
      </c>
      <c r="E149" s="2" t="n">
        <f aca="false">IFERROR(__xludf.dummyfunction("""COMPUTED_VALUE"""),20.27)</f>
        <v>20.27</v>
      </c>
      <c r="F149" s="2" t="n">
        <f aca="false">IFERROR(__xludf.dummyfunction("""COMPUTED_VALUE"""),23130940)</f>
        <v>23130940</v>
      </c>
    </row>
    <row r="150" customFormat="false" ht="15.75" hidden="false" customHeight="false" outlineLevel="0" collapsed="false">
      <c r="A150" s="3" t="n">
        <f aca="false">IFERROR(__xludf.dummyfunction("""COMPUTED_VALUE"""),44413.6666666667)</f>
        <v>44413.6666666667</v>
      </c>
      <c r="B150" s="2" t="n">
        <f aca="false">IFERROR(__xludf.dummyfunction("""COMPUTED_VALUE"""),20.5)</f>
        <v>20.5</v>
      </c>
      <c r="C150" s="2" t="n">
        <f aca="false">IFERROR(__xludf.dummyfunction("""COMPUTED_VALUE"""),20.73)</f>
        <v>20.73</v>
      </c>
      <c r="D150" s="2" t="n">
        <f aca="false">IFERROR(__xludf.dummyfunction("""COMPUTED_VALUE"""),20.34)</f>
        <v>20.34</v>
      </c>
      <c r="E150" s="2" t="n">
        <f aca="false">IFERROR(__xludf.dummyfunction("""COMPUTED_VALUE"""),20.64)</f>
        <v>20.64</v>
      </c>
      <c r="F150" s="2" t="n">
        <f aca="false">IFERROR(__xludf.dummyfunction("""COMPUTED_VALUE"""),21143537)</f>
        <v>21143537</v>
      </c>
    </row>
    <row r="151" customFormat="false" ht="15.75" hidden="false" customHeight="false" outlineLevel="0" collapsed="false">
      <c r="A151" s="3" t="n">
        <f aca="false">IFERROR(__xludf.dummyfunction("""COMPUTED_VALUE"""),44414.6666666667)</f>
        <v>44414.6666666667</v>
      </c>
      <c r="B151" s="2" t="n">
        <f aca="false">IFERROR(__xludf.dummyfunction("""COMPUTED_VALUE"""),20.52)</f>
        <v>20.52</v>
      </c>
      <c r="C151" s="2" t="n">
        <f aca="false">IFERROR(__xludf.dummyfunction("""COMPUTED_VALUE"""),20.57)</f>
        <v>20.57</v>
      </c>
      <c r="D151" s="2" t="n">
        <f aca="false">IFERROR(__xludf.dummyfunction("""COMPUTED_VALUE"""),20.21)</f>
        <v>20.21</v>
      </c>
      <c r="E151" s="2" t="n">
        <f aca="false">IFERROR(__xludf.dummyfunction("""COMPUTED_VALUE"""),20.37)</f>
        <v>20.37</v>
      </c>
      <c r="F151" s="2" t="n">
        <f aca="false">IFERROR(__xludf.dummyfunction("""COMPUTED_VALUE"""),17849661)</f>
        <v>17849661</v>
      </c>
    </row>
    <row r="152" customFormat="false" ht="15.75" hidden="false" customHeight="false" outlineLevel="0" collapsed="false">
      <c r="A152" s="3" t="n">
        <f aca="false">IFERROR(__xludf.dummyfunction("""COMPUTED_VALUE"""),44417.6666666667)</f>
        <v>44417.6666666667</v>
      </c>
      <c r="B152" s="2" t="n">
        <f aca="false">IFERROR(__xludf.dummyfunction("""COMPUTED_VALUE"""),20.45)</f>
        <v>20.45</v>
      </c>
      <c r="C152" s="2" t="n">
        <f aca="false">IFERROR(__xludf.dummyfunction("""COMPUTED_VALUE"""),20.51)</f>
        <v>20.51</v>
      </c>
      <c r="D152" s="2" t="n">
        <f aca="false">IFERROR(__xludf.dummyfunction("""COMPUTED_VALUE"""),20.14)</f>
        <v>20.14</v>
      </c>
      <c r="E152" s="2" t="n">
        <f aca="false">IFERROR(__xludf.dummyfunction("""COMPUTED_VALUE"""),20.3)</f>
        <v>20.3</v>
      </c>
      <c r="F152" s="2" t="n">
        <f aca="false">IFERROR(__xludf.dummyfunction("""COMPUTED_VALUE"""),14644310)</f>
        <v>14644310</v>
      </c>
    </row>
    <row r="153" customFormat="false" ht="15.75" hidden="false" customHeight="false" outlineLevel="0" collapsed="false">
      <c r="A153" s="3" t="n">
        <f aca="false">IFERROR(__xludf.dummyfunction("""COMPUTED_VALUE"""),44418.6666666667)</f>
        <v>44418.6666666667</v>
      </c>
      <c r="B153" s="2" t="n">
        <f aca="false">IFERROR(__xludf.dummyfunction("""COMPUTED_VALUE"""),20.32)</f>
        <v>20.32</v>
      </c>
      <c r="C153" s="2" t="n">
        <f aca="false">IFERROR(__xludf.dummyfunction("""COMPUTED_VALUE"""),20.43)</f>
        <v>20.43</v>
      </c>
      <c r="D153" s="2" t="n">
        <f aca="false">IFERROR(__xludf.dummyfunction("""COMPUTED_VALUE"""),19.83)</f>
        <v>19.83</v>
      </c>
      <c r="E153" s="2" t="n">
        <f aca="false">IFERROR(__xludf.dummyfunction("""COMPUTED_VALUE"""),19.94)</f>
        <v>19.94</v>
      </c>
      <c r="F153" s="2" t="n">
        <f aca="false">IFERROR(__xludf.dummyfunction("""COMPUTED_VALUE"""),17923778)</f>
        <v>17923778</v>
      </c>
    </row>
    <row r="154" customFormat="false" ht="15.75" hidden="false" customHeight="false" outlineLevel="0" collapsed="false">
      <c r="A154" s="3" t="n">
        <f aca="false">IFERROR(__xludf.dummyfunction("""COMPUTED_VALUE"""),44419.6666666667)</f>
        <v>44419.6666666667</v>
      </c>
      <c r="B154" s="2" t="n">
        <f aca="false">IFERROR(__xludf.dummyfunction("""COMPUTED_VALUE"""),20.04)</f>
        <v>20.04</v>
      </c>
      <c r="C154" s="2" t="n">
        <f aca="false">IFERROR(__xludf.dummyfunction("""COMPUTED_VALUE"""),20.05)</f>
        <v>20.05</v>
      </c>
      <c r="D154" s="2" t="n">
        <f aca="false">IFERROR(__xludf.dummyfunction("""COMPUTED_VALUE"""),19.43)</f>
        <v>19.43</v>
      </c>
      <c r="E154" s="2" t="n">
        <f aca="false">IFERROR(__xludf.dummyfunction("""COMPUTED_VALUE"""),19.7)</f>
        <v>19.7</v>
      </c>
      <c r="F154" s="2" t="n">
        <f aca="false">IFERROR(__xludf.dummyfunction("""COMPUTED_VALUE"""),18592484)</f>
        <v>18592484</v>
      </c>
    </row>
    <row r="155" customFormat="false" ht="15.75" hidden="false" customHeight="false" outlineLevel="0" collapsed="false">
      <c r="A155" s="3" t="n">
        <f aca="false">IFERROR(__xludf.dummyfunction("""COMPUTED_VALUE"""),44420.6666666667)</f>
        <v>44420.6666666667</v>
      </c>
      <c r="B155" s="2" t="n">
        <f aca="false">IFERROR(__xludf.dummyfunction("""COMPUTED_VALUE"""),19.87)</f>
        <v>19.87</v>
      </c>
      <c r="C155" s="2" t="n">
        <f aca="false">IFERROR(__xludf.dummyfunction("""COMPUTED_VALUE"""),20.03)</f>
        <v>20.03</v>
      </c>
      <c r="D155" s="2" t="n">
        <f aca="false">IFERROR(__xludf.dummyfunction("""COMPUTED_VALUE"""),19.62)</f>
        <v>19.62</v>
      </c>
      <c r="E155" s="2" t="n">
        <f aca="false">IFERROR(__xludf.dummyfunction("""COMPUTED_VALUE"""),19.91)</f>
        <v>19.91</v>
      </c>
      <c r="F155" s="2" t="n">
        <f aca="false">IFERROR(__xludf.dummyfunction("""COMPUTED_VALUE"""),15186155)</f>
        <v>15186155</v>
      </c>
    </row>
    <row r="156" customFormat="false" ht="15.75" hidden="false" customHeight="false" outlineLevel="0" collapsed="false">
      <c r="A156" s="3" t="n">
        <f aca="false">IFERROR(__xludf.dummyfunction("""COMPUTED_VALUE"""),44421.6666666667)</f>
        <v>44421.6666666667</v>
      </c>
      <c r="B156" s="2" t="n">
        <f aca="false">IFERROR(__xludf.dummyfunction("""COMPUTED_VALUE"""),19.91)</f>
        <v>19.91</v>
      </c>
      <c r="C156" s="2" t="n">
        <f aca="false">IFERROR(__xludf.dummyfunction("""COMPUTED_VALUE"""),20.21)</f>
        <v>20.21</v>
      </c>
      <c r="D156" s="2" t="n">
        <f aca="false">IFERROR(__xludf.dummyfunction("""COMPUTED_VALUE"""),19.85)</f>
        <v>19.85</v>
      </c>
      <c r="E156" s="2" t="n">
        <f aca="false">IFERROR(__xludf.dummyfunction("""COMPUTED_VALUE"""),20.19)</f>
        <v>20.19</v>
      </c>
      <c r="F156" s="2" t="n">
        <f aca="false">IFERROR(__xludf.dummyfunction("""COMPUTED_VALUE"""),18306286)</f>
        <v>18306286</v>
      </c>
    </row>
    <row r="157" customFormat="false" ht="15.75" hidden="false" customHeight="false" outlineLevel="0" collapsed="false">
      <c r="A157" s="3" t="n">
        <f aca="false">IFERROR(__xludf.dummyfunction("""COMPUTED_VALUE"""),44424.6666666667)</f>
        <v>44424.6666666667</v>
      </c>
      <c r="B157" s="2" t="n">
        <f aca="false">IFERROR(__xludf.dummyfunction("""COMPUTED_VALUE"""),20.14)</f>
        <v>20.14</v>
      </c>
      <c r="C157" s="2" t="n">
        <f aca="false">IFERROR(__xludf.dummyfunction("""COMPUTED_VALUE"""),20.29)</f>
        <v>20.29</v>
      </c>
      <c r="D157" s="2" t="n">
        <f aca="false">IFERROR(__xludf.dummyfunction("""COMPUTED_VALUE"""),19.45)</f>
        <v>19.45</v>
      </c>
      <c r="E157" s="2" t="n">
        <f aca="false">IFERROR(__xludf.dummyfunction("""COMPUTED_VALUE"""),19.95)</f>
        <v>19.95</v>
      </c>
      <c r="F157" s="2" t="n">
        <f aca="false">IFERROR(__xludf.dummyfunction("""COMPUTED_VALUE"""),21115280)</f>
        <v>21115280</v>
      </c>
    </row>
    <row r="158" customFormat="false" ht="15.75" hidden="false" customHeight="false" outlineLevel="0" collapsed="false">
      <c r="A158" s="3" t="n">
        <f aca="false">IFERROR(__xludf.dummyfunction("""COMPUTED_VALUE"""),44425.6666666667)</f>
        <v>44425.6666666667</v>
      </c>
      <c r="B158" s="2" t="n">
        <f aca="false">IFERROR(__xludf.dummyfunction("""COMPUTED_VALUE"""),19.68)</f>
        <v>19.68</v>
      </c>
      <c r="C158" s="2" t="n">
        <f aca="false">IFERROR(__xludf.dummyfunction("""COMPUTED_VALUE"""),19.77)</f>
        <v>19.77</v>
      </c>
      <c r="D158" s="2" t="n">
        <f aca="false">IFERROR(__xludf.dummyfunction("""COMPUTED_VALUE"""),19.27)</f>
        <v>19.27</v>
      </c>
      <c r="E158" s="2" t="n">
        <f aca="false">IFERROR(__xludf.dummyfunction("""COMPUTED_VALUE"""),19.46)</f>
        <v>19.46</v>
      </c>
      <c r="F158" s="2" t="n">
        <f aca="false">IFERROR(__xludf.dummyfunction("""COMPUTED_VALUE"""),20458485)</f>
        <v>20458485</v>
      </c>
    </row>
    <row r="159" customFormat="false" ht="15.75" hidden="false" customHeight="false" outlineLevel="0" collapsed="false">
      <c r="A159" s="3" t="n">
        <f aca="false">IFERROR(__xludf.dummyfunction("""COMPUTED_VALUE"""),44426.6666666667)</f>
        <v>44426.6666666667</v>
      </c>
      <c r="B159" s="2" t="n">
        <f aca="false">IFERROR(__xludf.dummyfunction("""COMPUTED_VALUE"""),19.5)</f>
        <v>19.5</v>
      </c>
      <c r="C159" s="2" t="n">
        <f aca="false">IFERROR(__xludf.dummyfunction("""COMPUTED_VALUE"""),19.63)</f>
        <v>19.63</v>
      </c>
      <c r="D159" s="2" t="n">
        <f aca="false">IFERROR(__xludf.dummyfunction("""COMPUTED_VALUE"""),19)</f>
        <v>19</v>
      </c>
      <c r="E159" s="2" t="n">
        <f aca="false">IFERROR(__xludf.dummyfunction("""COMPUTED_VALUE"""),19.04)</f>
        <v>19.04</v>
      </c>
      <c r="F159" s="2" t="n">
        <f aca="false">IFERROR(__xludf.dummyfunction("""COMPUTED_VALUE"""),28591348)</f>
        <v>28591348</v>
      </c>
    </row>
    <row r="160" customFormat="false" ht="15.75" hidden="false" customHeight="false" outlineLevel="0" collapsed="false">
      <c r="A160" s="3" t="n">
        <f aca="false">IFERROR(__xludf.dummyfunction("""COMPUTED_VALUE"""),44427.6666666667)</f>
        <v>44427.6666666667</v>
      </c>
      <c r="B160" s="2" t="n">
        <f aca="false">IFERROR(__xludf.dummyfunction("""COMPUTED_VALUE"""),19.49)</f>
        <v>19.49</v>
      </c>
      <c r="C160" s="2" t="n">
        <f aca="false">IFERROR(__xludf.dummyfunction("""COMPUTED_VALUE"""),20.5)</f>
        <v>20.5</v>
      </c>
      <c r="D160" s="2" t="n">
        <f aca="false">IFERROR(__xludf.dummyfunction("""COMPUTED_VALUE"""),18.76)</f>
        <v>18.76</v>
      </c>
      <c r="E160" s="2" t="n">
        <f aca="false">IFERROR(__xludf.dummyfunction("""COMPUTED_VALUE"""),19.8)</f>
        <v>19.8</v>
      </c>
      <c r="F160" s="2" t="n">
        <f aca="false">IFERROR(__xludf.dummyfunction("""COMPUTED_VALUE"""),76655477)</f>
        <v>76655477</v>
      </c>
    </row>
    <row r="161" customFormat="false" ht="15.75" hidden="false" customHeight="false" outlineLevel="0" collapsed="false">
      <c r="A161" s="3" t="n">
        <f aca="false">IFERROR(__xludf.dummyfunction("""COMPUTED_VALUE"""),44428.6666666667)</f>
        <v>44428.6666666667</v>
      </c>
      <c r="B161" s="2" t="n">
        <f aca="false">IFERROR(__xludf.dummyfunction("""COMPUTED_VALUE"""),19.99)</f>
        <v>19.99</v>
      </c>
      <c r="C161" s="2" t="n">
        <f aca="false">IFERROR(__xludf.dummyfunction("""COMPUTED_VALUE"""),20.87)</f>
        <v>20.87</v>
      </c>
      <c r="D161" s="2" t="n">
        <f aca="false">IFERROR(__xludf.dummyfunction("""COMPUTED_VALUE"""),19.93)</f>
        <v>19.93</v>
      </c>
      <c r="E161" s="2" t="n">
        <f aca="false">IFERROR(__xludf.dummyfunction("""COMPUTED_VALUE"""),20.82)</f>
        <v>20.82</v>
      </c>
      <c r="F161" s="2" t="n">
        <f aca="false">IFERROR(__xludf.dummyfunction("""COMPUTED_VALUE"""),67574131)</f>
        <v>67574131</v>
      </c>
    </row>
    <row r="162" customFormat="false" ht="15.75" hidden="false" customHeight="false" outlineLevel="0" collapsed="false">
      <c r="A162" s="3" t="n">
        <f aca="false">IFERROR(__xludf.dummyfunction("""COMPUTED_VALUE"""),44431.6666666667)</f>
        <v>44431.6666666667</v>
      </c>
      <c r="B162" s="2" t="n">
        <f aca="false">IFERROR(__xludf.dummyfunction("""COMPUTED_VALUE"""),20.97)</f>
        <v>20.97</v>
      </c>
      <c r="C162" s="2" t="n">
        <f aca="false">IFERROR(__xludf.dummyfunction("""COMPUTED_VALUE"""),22)</f>
        <v>22</v>
      </c>
      <c r="D162" s="2" t="n">
        <f aca="false">IFERROR(__xludf.dummyfunction("""COMPUTED_VALUE"""),20.95)</f>
        <v>20.95</v>
      </c>
      <c r="E162" s="2" t="n">
        <f aca="false">IFERROR(__xludf.dummyfunction("""COMPUTED_VALUE"""),21.96)</f>
        <v>21.96</v>
      </c>
      <c r="F162" s="2" t="n">
        <f aca="false">IFERROR(__xludf.dummyfunction("""COMPUTED_VALUE"""),57580658)</f>
        <v>57580658</v>
      </c>
    </row>
    <row r="163" customFormat="false" ht="15.75" hidden="false" customHeight="false" outlineLevel="0" collapsed="false">
      <c r="A163" s="3" t="n">
        <f aca="false">IFERROR(__xludf.dummyfunction("""COMPUTED_VALUE"""),44432.6666666667)</f>
        <v>44432.6666666667</v>
      </c>
      <c r="B163" s="2" t="n">
        <f aca="false">IFERROR(__xludf.dummyfunction("""COMPUTED_VALUE"""),21.75)</f>
        <v>21.75</v>
      </c>
      <c r="C163" s="2" t="n">
        <f aca="false">IFERROR(__xludf.dummyfunction("""COMPUTED_VALUE"""),21.96)</f>
        <v>21.96</v>
      </c>
      <c r="D163" s="2" t="n">
        <f aca="false">IFERROR(__xludf.dummyfunction("""COMPUTED_VALUE"""),21.54)</f>
        <v>21.54</v>
      </c>
      <c r="E163" s="2" t="n">
        <f aca="false">IFERROR(__xludf.dummyfunction("""COMPUTED_VALUE"""),21.79)</f>
        <v>21.79</v>
      </c>
      <c r="F163" s="2" t="n">
        <f aca="false">IFERROR(__xludf.dummyfunction("""COMPUTED_VALUE"""),29729892)</f>
        <v>29729892</v>
      </c>
    </row>
    <row r="164" customFormat="false" ht="15.75" hidden="false" customHeight="false" outlineLevel="0" collapsed="false">
      <c r="A164" s="3" t="n">
        <f aca="false">IFERROR(__xludf.dummyfunction("""COMPUTED_VALUE"""),44433.6666666667)</f>
        <v>44433.6666666667</v>
      </c>
      <c r="B164" s="2" t="n">
        <f aca="false">IFERROR(__xludf.dummyfunction("""COMPUTED_VALUE"""),21.74)</f>
        <v>21.74</v>
      </c>
      <c r="C164" s="2" t="n">
        <f aca="false">IFERROR(__xludf.dummyfunction("""COMPUTED_VALUE"""),22.47)</f>
        <v>22.47</v>
      </c>
      <c r="D164" s="2" t="n">
        <f aca="false">IFERROR(__xludf.dummyfunction("""COMPUTED_VALUE"""),21.72)</f>
        <v>21.72</v>
      </c>
      <c r="E164" s="2" t="n">
        <f aca="false">IFERROR(__xludf.dummyfunction("""COMPUTED_VALUE"""),22.21)</f>
        <v>22.21</v>
      </c>
      <c r="F164" s="2" t="n">
        <f aca="false">IFERROR(__xludf.dummyfunction("""COMPUTED_VALUE"""),34770104)</f>
        <v>34770104</v>
      </c>
    </row>
    <row r="165" customFormat="false" ht="15.75" hidden="false" customHeight="false" outlineLevel="0" collapsed="false">
      <c r="A165" s="3" t="n">
        <f aca="false">IFERROR(__xludf.dummyfunction("""COMPUTED_VALUE"""),44434.6666666667)</f>
        <v>44434.6666666667</v>
      </c>
      <c r="B165" s="2" t="n">
        <f aca="false">IFERROR(__xludf.dummyfunction("""COMPUTED_VALUE"""),22.2)</f>
        <v>22.2</v>
      </c>
      <c r="C165" s="2" t="n">
        <f aca="false">IFERROR(__xludf.dummyfunction("""COMPUTED_VALUE"""),22.34)</f>
        <v>22.34</v>
      </c>
      <c r="D165" s="2" t="n">
        <f aca="false">IFERROR(__xludf.dummyfunction("""COMPUTED_VALUE"""),21.79)</f>
        <v>21.79</v>
      </c>
      <c r="E165" s="2" t="n">
        <f aca="false">IFERROR(__xludf.dummyfunction("""COMPUTED_VALUE"""),22.07)</f>
        <v>22.07</v>
      </c>
      <c r="F165" s="2" t="n">
        <f aca="false">IFERROR(__xludf.dummyfunction("""COMPUTED_VALUE"""),23794042)</f>
        <v>23794042</v>
      </c>
    </row>
    <row r="166" customFormat="false" ht="15.75" hidden="false" customHeight="false" outlineLevel="0" collapsed="false">
      <c r="A166" s="3" t="n">
        <f aca="false">IFERROR(__xludf.dummyfunction("""COMPUTED_VALUE"""),44435.6666666667)</f>
        <v>44435.6666666667</v>
      </c>
      <c r="B166" s="2" t="n">
        <f aca="false">IFERROR(__xludf.dummyfunction("""COMPUTED_VALUE"""),22.18)</f>
        <v>22.18</v>
      </c>
      <c r="C166" s="2" t="n">
        <f aca="false">IFERROR(__xludf.dummyfunction("""COMPUTED_VALUE"""),22.72)</f>
        <v>22.72</v>
      </c>
      <c r="D166" s="2" t="n">
        <f aca="false">IFERROR(__xludf.dummyfunction("""COMPUTED_VALUE"""),22.17)</f>
        <v>22.17</v>
      </c>
      <c r="E166" s="2" t="n">
        <f aca="false">IFERROR(__xludf.dummyfunction("""COMPUTED_VALUE"""),22.64)</f>
        <v>22.64</v>
      </c>
      <c r="F166" s="2" t="n">
        <f aca="false">IFERROR(__xludf.dummyfunction("""COMPUTED_VALUE"""),30472219)</f>
        <v>30472219</v>
      </c>
    </row>
    <row r="167" customFormat="false" ht="15.75" hidden="false" customHeight="false" outlineLevel="0" collapsed="false">
      <c r="A167" s="3" t="n">
        <f aca="false">IFERROR(__xludf.dummyfunction("""COMPUTED_VALUE"""),44438.6666666667)</f>
        <v>44438.6666666667</v>
      </c>
      <c r="B167" s="2" t="n">
        <f aca="false">IFERROR(__xludf.dummyfunction("""COMPUTED_VALUE"""),22.83)</f>
        <v>22.83</v>
      </c>
      <c r="C167" s="2" t="n">
        <f aca="false">IFERROR(__xludf.dummyfunction("""COMPUTED_VALUE"""),23.04)</f>
        <v>23.04</v>
      </c>
      <c r="D167" s="2" t="n">
        <f aca="false">IFERROR(__xludf.dummyfunction("""COMPUTED_VALUE"""),22.55)</f>
        <v>22.55</v>
      </c>
      <c r="E167" s="2" t="n">
        <f aca="false">IFERROR(__xludf.dummyfunction("""COMPUTED_VALUE"""),22.69)</f>
        <v>22.69</v>
      </c>
      <c r="F167" s="2" t="n">
        <f aca="false">IFERROR(__xludf.dummyfunction("""COMPUTED_VALUE"""),26257990)</f>
        <v>26257990</v>
      </c>
    </row>
    <row r="168" customFormat="false" ht="15.75" hidden="false" customHeight="false" outlineLevel="0" collapsed="false">
      <c r="A168" s="3" t="n">
        <f aca="false">IFERROR(__xludf.dummyfunction("""COMPUTED_VALUE"""),44439.6666666667)</f>
        <v>44439.6666666667</v>
      </c>
      <c r="B168" s="2" t="n">
        <f aca="false">IFERROR(__xludf.dummyfunction("""COMPUTED_VALUE"""),22.7)</f>
        <v>22.7</v>
      </c>
      <c r="C168" s="2" t="n">
        <f aca="false">IFERROR(__xludf.dummyfunction("""COMPUTED_VALUE"""),22.7)</f>
        <v>22.7</v>
      </c>
      <c r="D168" s="2" t="n">
        <f aca="false">IFERROR(__xludf.dummyfunction("""COMPUTED_VALUE"""),22.12)</f>
        <v>22.12</v>
      </c>
      <c r="E168" s="2" t="n">
        <f aca="false">IFERROR(__xludf.dummyfunction("""COMPUTED_VALUE"""),22.39)</f>
        <v>22.39</v>
      </c>
      <c r="F168" s="2" t="n">
        <f aca="false">IFERROR(__xludf.dummyfunction("""COMPUTED_VALUE"""),25984968)</f>
        <v>25984968</v>
      </c>
    </row>
    <row r="169" customFormat="false" ht="15.75" hidden="false" customHeight="false" outlineLevel="0" collapsed="false">
      <c r="A169" s="3" t="n">
        <f aca="false">IFERROR(__xludf.dummyfunction("""COMPUTED_VALUE"""),44440.6666666667)</f>
        <v>44440.6666666667</v>
      </c>
      <c r="B169" s="2" t="n">
        <f aca="false">IFERROR(__xludf.dummyfunction("""COMPUTED_VALUE"""),22.49)</f>
        <v>22.49</v>
      </c>
      <c r="C169" s="2" t="n">
        <f aca="false">IFERROR(__xludf.dummyfunction("""COMPUTED_VALUE"""),22.7)</f>
        <v>22.7</v>
      </c>
      <c r="D169" s="2" t="n">
        <f aca="false">IFERROR(__xludf.dummyfunction("""COMPUTED_VALUE"""),22.36)</f>
        <v>22.36</v>
      </c>
      <c r="E169" s="2" t="n">
        <f aca="false">IFERROR(__xludf.dummyfunction("""COMPUTED_VALUE"""),22.44)</f>
        <v>22.44</v>
      </c>
      <c r="F169" s="2" t="n">
        <f aca="false">IFERROR(__xludf.dummyfunction("""COMPUTED_VALUE"""),20176695)</f>
        <v>20176695</v>
      </c>
    </row>
    <row r="170" customFormat="false" ht="15.75" hidden="false" customHeight="false" outlineLevel="0" collapsed="false">
      <c r="A170" s="3" t="n">
        <f aca="false">IFERROR(__xludf.dummyfunction("""COMPUTED_VALUE"""),44441.6666666667)</f>
        <v>44441.6666666667</v>
      </c>
      <c r="B170" s="2" t="n">
        <f aca="false">IFERROR(__xludf.dummyfunction("""COMPUTED_VALUE"""),22.52)</f>
        <v>22.52</v>
      </c>
      <c r="C170" s="2" t="n">
        <f aca="false">IFERROR(__xludf.dummyfunction("""COMPUTED_VALUE"""),22.59)</f>
        <v>22.59</v>
      </c>
      <c r="D170" s="2" t="n">
        <f aca="false">IFERROR(__xludf.dummyfunction("""COMPUTED_VALUE"""),22.29)</f>
        <v>22.29</v>
      </c>
      <c r="E170" s="2" t="n">
        <f aca="false">IFERROR(__xludf.dummyfunction("""COMPUTED_VALUE"""),22.4)</f>
        <v>22.4</v>
      </c>
      <c r="F170" s="2" t="n">
        <f aca="false">IFERROR(__xludf.dummyfunction("""COMPUTED_VALUE"""),18810957)</f>
        <v>18810957</v>
      </c>
    </row>
    <row r="171" customFormat="false" ht="15.75" hidden="false" customHeight="false" outlineLevel="0" collapsed="false">
      <c r="A171" s="3" t="n">
        <f aca="false">IFERROR(__xludf.dummyfunction("""COMPUTED_VALUE"""),44442.6666666667)</f>
        <v>44442.6666666667</v>
      </c>
      <c r="B171" s="2" t="n">
        <f aca="false">IFERROR(__xludf.dummyfunction("""COMPUTED_VALUE"""),22.33)</f>
        <v>22.33</v>
      </c>
      <c r="C171" s="2" t="n">
        <f aca="false">IFERROR(__xludf.dummyfunction("""COMPUTED_VALUE"""),22.99)</f>
        <v>22.99</v>
      </c>
      <c r="D171" s="2" t="n">
        <f aca="false">IFERROR(__xludf.dummyfunction("""COMPUTED_VALUE"""),22.2)</f>
        <v>22.2</v>
      </c>
      <c r="E171" s="2" t="n">
        <f aca="false">IFERROR(__xludf.dummyfunction("""COMPUTED_VALUE"""),22.84)</f>
        <v>22.84</v>
      </c>
      <c r="F171" s="2" t="n">
        <f aca="false">IFERROR(__xludf.dummyfunction("""COMPUTED_VALUE"""),28083198)</f>
        <v>28083198</v>
      </c>
    </row>
    <row r="172" customFormat="false" ht="15.75" hidden="false" customHeight="false" outlineLevel="0" collapsed="false">
      <c r="A172" s="3" t="n">
        <f aca="false">IFERROR(__xludf.dummyfunction("""COMPUTED_VALUE"""),44446.6666666667)</f>
        <v>44446.6666666667</v>
      </c>
      <c r="B172" s="2" t="n">
        <f aca="false">IFERROR(__xludf.dummyfunction("""COMPUTED_VALUE"""),22.83)</f>
        <v>22.83</v>
      </c>
      <c r="C172" s="2" t="n">
        <f aca="false">IFERROR(__xludf.dummyfunction("""COMPUTED_VALUE"""),22.9)</f>
        <v>22.9</v>
      </c>
      <c r="D172" s="2" t="n">
        <f aca="false">IFERROR(__xludf.dummyfunction("""COMPUTED_VALUE"""),22.52)</f>
        <v>22.52</v>
      </c>
      <c r="E172" s="2" t="n">
        <f aca="false">IFERROR(__xludf.dummyfunction("""COMPUTED_VALUE"""),22.66)</f>
        <v>22.66</v>
      </c>
      <c r="F172" s="2" t="n">
        <f aca="false">IFERROR(__xludf.dummyfunction("""COMPUTED_VALUE"""),19810716)</f>
        <v>19810716</v>
      </c>
    </row>
    <row r="173" customFormat="false" ht="15.75" hidden="false" customHeight="false" outlineLevel="0" collapsed="false">
      <c r="A173" s="3" t="n">
        <f aca="false">IFERROR(__xludf.dummyfunction("""COMPUTED_VALUE"""),44447.6666666667)</f>
        <v>44447.6666666667</v>
      </c>
      <c r="B173" s="2" t="n">
        <f aca="false">IFERROR(__xludf.dummyfunction("""COMPUTED_VALUE"""),22.51)</f>
        <v>22.51</v>
      </c>
      <c r="C173" s="2" t="n">
        <f aca="false">IFERROR(__xludf.dummyfunction("""COMPUTED_VALUE"""),22.61)</f>
        <v>22.61</v>
      </c>
      <c r="D173" s="2" t="n">
        <f aca="false">IFERROR(__xludf.dummyfunction("""COMPUTED_VALUE"""),21.98)</f>
        <v>21.98</v>
      </c>
      <c r="E173" s="2" t="n">
        <f aca="false">IFERROR(__xludf.dummyfunction("""COMPUTED_VALUE"""),22.34)</f>
        <v>22.34</v>
      </c>
      <c r="F173" s="2" t="n">
        <f aca="false">IFERROR(__xludf.dummyfunction("""COMPUTED_VALUE"""),25443421)</f>
        <v>25443421</v>
      </c>
    </row>
    <row r="174" customFormat="false" ht="15.75" hidden="false" customHeight="false" outlineLevel="0" collapsed="false">
      <c r="A174" s="3" t="n">
        <f aca="false">IFERROR(__xludf.dummyfunction("""COMPUTED_VALUE"""),44448.6666666667)</f>
        <v>44448.6666666667</v>
      </c>
      <c r="B174" s="2" t="n">
        <f aca="false">IFERROR(__xludf.dummyfunction("""COMPUTED_VALUE"""),22.31)</f>
        <v>22.31</v>
      </c>
      <c r="C174" s="2" t="n">
        <f aca="false">IFERROR(__xludf.dummyfunction("""COMPUTED_VALUE"""),22.54)</f>
        <v>22.54</v>
      </c>
      <c r="D174" s="2" t="n">
        <f aca="false">IFERROR(__xludf.dummyfunction("""COMPUTED_VALUE"""),22.13)</f>
        <v>22.13</v>
      </c>
      <c r="E174" s="2" t="n">
        <f aca="false">IFERROR(__xludf.dummyfunction("""COMPUTED_VALUE"""),22.18)</f>
        <v>22.18</v>
      </c>
      <c r="F174" s="2" t="n">
        <f aca="false">IFERROR(__xludf.dummyfunction("""COMPUTED_VALUE"""),19685601)</f>
        <v>19685601</v>
      </c>
    </row>
    <row r="175" customFormat="false" ht="15.75" hidden="false" customHeight="false" outlineLevel="0" collapsed="false">
      <c r="A175" s="3" t="n">
        <f aca="false">IFERROR(__xludf.dummyfunction("""COMPUTED_VALUE"""),44449.6666666667)</f>
        <v>44449.6666666667</v>
      </c>
      <c r="B175" s="2" t="n">
        <f aca="false">IFERROR(__xludf.dummyfunction("""COMPUTED_VALUE"""),22.35)</f>
        <v>22.35</v>
      </c>
      <c r="C175" s="2" t="n">
        <f aca="false">IFERROR(__xludf.dummyfunction("""COMPUTED_VALUE"""),22.63)</f>
        <v>22.63</v>
      </c>
      <c r="D175" s="2" t="n">
        <f aca="false">IFERROR(__xludf.dummyfunction("""COMPUTED_VALUE"""),22.27)</f>
        <v>22.27</v>
      </c>
      <c r="E175" s="2" t="n">
        <f aca="false">IFERROR(__xludf.dummyfunction("""COMPUTED_VALUE"""),22.48)</f>
        <v>22.48</v>
      </c>
      <c r="F175" s="2" t="n">
        <f aca="false">IFERROR(__xludf.dummyfunction("""COMPUTED_VALUE"""),24837574)</f>
        <v>24837574</v>
      </c>
    </row>
    <row r="176" customFormat="false" ht="15.75" hidden="false" customHeight="false" outlineLevel="0" collapsed="false">
      <c r="A176" s="3" t="n">
        <f aca="false">IFERROR(__xludf.dummyfunction("""COMPUTED_VALUE"""),44452.6666666667)</f>
        <v>44452.6666666667</v>
      </c>
      <c r="B176" s="2" t="n">
        <f aca="false">IFERROR(__xludf.dummyfunction("""COMPUTED_VALUE"""),22.68)</f>
        <v>22.68</v>
      </c>
      <c r="C176" s="2" t="n">
        <f aca="false">IFERROR(__xludf.dummyfunction("""COMPUTED_VALUE"""),22.96)</f>
        <v>22.96</v>
      </c>
      <c r="D176" s="2" t="n">
        <f aca="false">IFERROR(__xludf.dummyfunction("""COMPUTED_VALUE"""),21.86)</f>
        <v>21.86</v>
      </c>
      <c r="E176" s="2" t="n">
        <f aca="false">IFERROR(__xludf.dummyfunction("""COMPUTED_VALUE"""),22.15)</f>
        <v>22.15</v>
      </c>
      <c r="F176" s="2" t="n">
        <f aca="false">IFERROR(__xludf.dummyfunction("""COMPUTED_VALUE"""),29749990)</f>
        <v>29749990</v>
      </c>
    </row>
    <row r="177" customFormat="false" ht="15.75" hidden="false" customHeight="false" outlineLevel="0" collapsed="false">
      <c r="A177" s="3" t="n">
        <f aca="false">IFERROR(__xludf.dummyfunction("""COMPUTED_VALUE"""),44453.6666666667)</f>
        <v>44453.6666666667</v>
      </c>
      <c r="B177" s="2" t="n">
        <f aca="false">IFERROR(__xludf.dummyfunction("""COMPUTED_VALUE"""),22.28)</f>
        <v>22.28</v>
      </c>
      <c r="C177" s="2" t="n">
        <f aca="false">IFERROR(__xludf.dummyfunction("""COMPUTED_VALUE"""),22.41)</f>
        <v>22.41</v>
      </c>
      <c r="D177" s="2" t="n">
        <f aca="false">IFERROR(__xludf.dummyfunction("""COMPUTED_VALUE"""),22.09)</f>
        <v>22.09</v>
      </c>
      <c r="E177" s="2" t="n">
        <f aca="false">IFERROR(__xludf.dummyfunction("""COMPUTED_VALUE"""),22.24)</f>
        <v>22.24</v>
      </c>
      <c r="F177" s="2" t="n">
        <f aca="false">IFERROR(__xludf.dummyfunction("""COMPUTED_VALUE"""),19975460)</f>
        <v>19975460</v>
      </c>
    </row>
    <row r="178" customFormat="false" ht="15.75" hidden="false" customHeight="false" outlineLevel="0" collapsed="false">
      <c r="A178" s="3" t="n">
        <f aca="false">IFERROR(__xludf.dummyfunction("""COMPUTED_VALUE"""),44454.6666666667)</f>
        <v>44454.6666666667</v>
      </c>
      <c r="B178" s="2" t="n">
        <f aca="false">IFERROR(__xludf.dummyfunction("""COMPUTED_VALUE"""),22.31)</f>
        <v>22.31</v>
      </c>
      <c r="C178" s="2" t="n">
        <f aca="false">IFERROR(__xludf.dummyfunction("""COMPUTED_VALUE"""),22.37)</f>
        <v>22.37</v>
      </c>
      <c r="D178" s="2" t="n">
        <f aca="false">IFERROR(__xludf.dummyfunction("""COMPUTED_VALUE"""),21.97)</f>
        <v>21.97</v>
      </c>
      <c r="E178" s="2" t="n">
        <f aca="false">IFERROR(__xludf.dummyfunction("""COMPUTED_VALUE"""),22.34)</f>
        <v>22.34</v>
      </c>
      <c r="F178" s="2" t="n">
        <f aca="false">IFERROR(__xludf.dummyfunction("""COMPUTED_VALUE"""),16653801)</f>
        <v>16653801</v>
      </c>
    </row>
    <row r="179" customFormat="false" ht="15.75" hidden="false" customHeight="false" outlineLevel="0" collapsed="false">
      <c r="A179" s="3" t="n">
        <f aca="false">IFERROR(__xludf.dummyfunction("""COMPUTED_VALUE"""),44455.6666666667)</f>
        <v>44455.6666666667</v>
      </c>
      <c r="B179" s="2" t="n">
        <f aca="false">IFERROR(__xludf.dummyfunction("""COMPUTED_VALUE"""),22.18)</f>
        <v>22.18</v>
      </c>
      <c r="C179" s="2" t="n">
        <f aca="false">IFERROR(__xludf.dummyfunction("""COMPUTED_VALUE"""),22.28)</f>
        <v>22.28</v>
      </c>
      <c r="D179" s="2" t="n">
        <f aca="false">IFERROR(__xludf.dummyfunction("""COMPUTED_VALUE"""),21.93)</f>
        <v>21.93</v>
      </c>
      <c r="E179" s="2" t="n">
        <f aca="false">IFERROR(__xludf.dummyfunction("""COMPUTED_VALUE"""),22.24)</f>
        <v>22.24</v>
      </c>
      <c r="F179" s="2" t="n">
        <f aca="false">IFERROR(__xludf.dummyfunction("""COMPUTED_VALUE"""),15603344)</f>
        <v>15603344</v>
      </c>
    </row>
    <row r="180" customFormat="false" ht="15.75" hidden="false" customHeight="false" outlineLevel="0" collapsed="false">
      <c r="A180" s="3" t="n">
        <f aca="false">IFERROR(__xludf.dummyfunction("""COMPUTED_VALUE"""),44456.6666666667)</f>
        <v>44456.6666666667</v>
      </c>
      <c r="B180" s="2" t="n">
        <f aca="false">IFERROR(__xludf.dummyfunction("""COMPUTED_VALUE"""),22.3)</f>
        <v>22.3</v>
      </c>
      <c r="C180" s="2" t="n">
        <f aca="false">IFERROR(__xludf.dummyfunction("""COMPUTED_VALUE"""),22.32)</f>
        <v>22.32</v>
      </c>
      <c r="D180" s="2" t="n">
        <f aca="false">IFERROR(__xludf.dummyfunction("""COMPUTED_VALUE"""),21.83)</f>
        <v>21.83</v>
      </c>
      <c r="E180" s="2" t="n">
        <f aca="false">IFERROR(__xludf.dummyfunction("""COMPUTED_VALUE"""),21.9)</f>
        <v>21.9</v>
      </c>
      <c r="F180" s="2" t="n">
        <f aca="false">IFERROR(__xludf.dummyfunction("""COMPUTED_VALUE"""),29450284)</f>
        <v>29450284</v>
      </c>
    </row>
    <row r="181" customFormat="false" ht="15.75" hidden="false" customHeight="false" outlineLevel="0" collapsed="false">
      <c r="A181" s="3" t="n">
        <f aca="false">IFERROR(__xludf.dummyfunction("""COMPUTED_VALUE"""),44459.6666666667)</f>
        <v>44459.6666666667</v>
      </c>
      <c r="B181" s="2" t="n">
        <f aca="false">IFERROR(__xludf.dummyfunction("""COMPUTED_VALUE"""),21.15)</f>
        <v>21.15</v>
      </c>
      <c r="C181" s="2" t="n">
        <f aca="false">IFERROR(__xludf.dummyfunction("""COMPUTED_VALUE"""),21.43)</f>
        <v>21.43</v>
      </c>
      <c r="D181" s="2" t="n">
        <f aca="false">IFERROR(__xludf.dummyfunction("""COMPUTED_VALUE"""),20.66)</f>
        <v>20.66</v>
      </c>
      <c r="E181" s="2" t="n">
        <f aca="false">IFERROR(__xludf.dummyfunction("""COMPUTED_VALUE"""),21.11)</f>
        <v>21.11</v>
      </c>
      <c r="F181" s="2" t="n">
        <f aca="false">IFERROR(__xludf.dummyfunction("""COMPUTED_VALUE"""),34944045)</f>
        <v>34944045</v>
      </c>
    </row>
    <row r="182" customFormat="false" ht="15.75" hidden="false" customHeight="false" outlineLevel="0" collapsed="false">
      <c r="A182" s="3" t="n">
        <f aca="false">IFERROR(__xludf.dummyfunction("""COMPUTED_VALUE"""),44460.6666666667)</f>
        <v>44460.6666666667</v>
      </c>
      <c r="B182" s="2" t="n">
        <f aca="false">IFERROR(__xludf.dummyfunction("""COMPUTED_VALUE"""),21.42)</f>
        <v>21.42</v>
      </c>
      <c r="C182" s="2" t="n">
        <f aca="false">IFERROR(__xludf.dummyfunction("""COMPUTED_VALUE"""),21.43)</f>
        <v>21.43</v>
      </c>
      <c r="D182" s="2" t="n">
        <f aca="false">IFERROR(__xludf.dummyfunction("""COMPUTED_VALUE"""),20.95)</f>
        <v>20.95</v>
      </c>
      <c r="E182" s="2" t="n">
        <f aca="false">IFERROR(__xludf.dummyfunction("""COMPUTED_VALUE"""),21.25)</f>
        <v>21.25</v>
      </c>
      <c r="F182" s="2" t="n">
        <f aca="false">IFERROR(__xludf.dummyfunction("""COMPUTED_VALUE"""),20468810)</f>
        <v>20468810</v>
      </c>
    </row>
    <row r="183" customFormat="false" ht="15.75" hidden="false" customHeight="false" outlineLevel="0" collapsed="false">
      <c r="A183" s="3" t="n">
        <f aca="false">IFERROR(__xludf.dummyfunction("""COMPUTED_VALUE"""),44461.6666666667)</f>
        <v>44461.6666666667</v>
      </c>
      <c r="B183" s="2" t="n">
        <f aca="false">IFERROR(__xludf.dummyfunction("""COMPUTED_VALUE"""),21.37)</f>
        <v>21.37</v>
      </c>
      <c r="C183" s="2" t="n">
        <f aca="false">IFERROR(__xludf.dummyfunction("""COMPUTED_VALUE"""),21.96)</f>
        <v>21.96</v>
      </c>
      <c r="D183" s="2" t="n">
        <f aca="false">IFERROR(__xludf.dummyfunction("""COMPUTED_VALUE"""),21.2)</f>
        <v>21.2</v>
      </c>
      <c r="E183" s="2" t="n">
        <f aca="false">IFERROR(__xludf.dummyfunction("""COMPUTED_VALUE"""),21.94)</f>
        <v>21.94</v>
      </c>
      <c r="F183" s="2" t="n">
        <f aca="false">IFERROR(__xludf.dummyfunction("""COMPUTED_VALUE"""),26872556)</f>
        <v>26872556</v>
      </c>
    </row>
    <row r="184" customFormat="false" ht="15.75" hidden="false" customHeight="false" outlineLevel="0" collapsed="false">
      <c r="A184" s="3" t="n">
        <f aca="false">IFERROR(__xludf.dummyfunction("""COMPUTED_VALUE"""),44462.6666666667)</f>
        <v>44462.6666666667</v>
      </c>
      <c r="B184" s="2" t="n">
        <f aca="false">IFERROR(__xludf.dummyfunction("""COMPUTED_VALUE"""),22.14)</f>
        <v>22.14</v>
      </c>
      <c r="C184" s="2" t="n">
        <f aca="false">IFERROR(__xludf.dummyfunction("""COMPUTED_VALUE"""),22.53)</f>
        <v>22.53</v>
      </c>
      <c r="D184" s="2" t="n">
        <f aca="false">IFERROR(__xludf.dummyfunction("""COMPUTED_VALUE"""),21.89)</f>
        <v>21.89</v>
      </c>
      <c r="E184" s="2" t="n">
        <f aca="false">IFERROR(__xludf.dummyfunction("""COMPUTED_VALUE"""),22.48)</f>
        <v>22.48</v>
      </c>
      <c r="F184" s="2" t="n">
        <f aca="false">IFERROR(__xludf.dummyfunction("""COMPUTED_VALUE"""),24855491)</f>
        <v>24855491</v>
      </c>
    </row>
    <row r="185" customFormat="false" ht="15.75" hidden="false" customHeight="false" outlineLevel="0" collapsed="false">
      <c r="A185" s="3" t="n">
        <f aca="false">IFERROR(__xludf.dummyfunction("""COMPUTED_VALUE"""),44463.6666666667)</f>
        <v>44463.6666666667</v>
      </c>
      <c r="B185" s="2" t="n">
        <f aca="false">IFERROR(__xludf.dummyfunction("""COMPUTED_VALUE"""),22.07)</f>
        <v>22.07</v>
      </c>
      <c r="C185" s="2" t="n">
        <f aca="false">IFERROR(__xludf.dummyfunction("""COMPUTED_VALUE"""),22.15)</f>
        <v>22.15</v>
      </c>
      <c r="D185" s="2" t="n">
        <f aca="false">IFERROR(__xludf.dummyfunction("""COMPUTED_VALUE"""),21.86)</f>
        <v>21.86</v>
      </c>
      <c r="E185" s="2" t="n">
        <f aca="false">IFERROR(__xludf.dummyfunction("""COMPUTED_VALUE"""),22.08)</f>
        <v>22.08</v>
      </c>
      <c r="F185" s="2" t="n">
        <f aca="false">IFERROR(__xludf.dummyfunction("""COMPUTED_VALUE"""),21765545)</f>
        <v>21765545</v>
      </c>
    </row>
    <row r="186" customFormat="false" ht="15.75" hidden="false" customHeight="false" outlineLevel="0" collapsed="false">
      <c r="A186" s="3" t="n">
        <f aca="false">IFERROR(__xludf.dummyfunction("""COMPUTED_VALUE"""),44466.6666666667)</f>
        <v>44466.6666666667</v>
      </c>
      <c r="B186" s="2" t="n">
        <f aca="false">IFERROR(__xludf.dummyfunction("""COMPUTED_VALUE"""),21.71)</f>
        <v>21.71</v>
      </c>
      <c r="C186" s="2" t="n">
        <f aca="false">IFERROR(__xludf.dummyfunction("""COMPUTED_VALUE"""),21.8)</f>
        <v>21.8</v>
      </c>
      <c r="D186" s="2" t="n">
        <f aca="false">IFERROR(__xludf.dummyfunction("""COMPUTED_VALUE"""),21.33)</f>
        <v>21.33</v>
      </c>
      <c r="E186" s="2" t="n">
        <f aca="false">IFERROR(__xludf.dummyfunction("""COMPUTED_VALUE"""),21.66)</f>
        <v>21.66</v>
      </c>
      <c r="F186" s="2" t="n">
        <f aca="false">IFERROR(__xludf.dummyfunction("""COMPUTED_VALUE"""),24521514)</f>
        <v>24521514</v>
      </c>
    </row>
    <row r="187" customFormat="false" ht="15.75" hidden="false" customHeight="false" outlineLevel="0" collapsed="false">
      <c r="A187" s="3" t="n">
        <f aca="false">IFERROR(__xludf.dummyfunction("""COMPUTED_VALUE"""),44467.6666666667)</f>
        <v>44467.6666666667</v>
      </c>
      <c r="B187" s="2" t="n">
        <f aca="false">IFERROR(__xludf.dummyfunction("""COMPUTED_VALUE"""),21.21)</f>
        <v>21.21</v>
      </c>
      <c r="C187" s="2" t="n">
        <f aca="false">IFERROR(__xludf.dummyfunction("""COMPUTED_VALUE"""),21.42)</f>
        <v>21.42</v>
      </c>
      <c r="D187" s="2" t="n">
        <f aca="false">IFERROR(__xludf.dummyfunction("""COMPUTED_VALUE"""),20.65)</f>
        <v>20.65</v>
      </c>
      <c r="E187" s="2" t="n">
        <f aca="false">IFERROR(__xludf.dummyfunction("""COMPUTED_VALUE"""),20.7)</f>
        <v>20.7</v>
      </c>
      <c r="F187" s="2" t="n">
        <f aca="false">IFERROR(__xludf.dummyfunction("""COMPUTED_VALUE"""),34306895)</f>
        <v>34306895</v>
      </c>
    </row>
    <row r="188" customFormat="false" ht="15.75" hidden="false" customHeight="false" outlineLevel="0" collapsed="false">
      <c r="A188" s="3" t="n">
        <f aca="false">IFERROR(__xludf.dummyfunction("""COMPUTED_VALUE"""),44468.6666666667)</f>
        <v>44468.6666666667</v>
      </c>
      <c r="B188" s="2" t="n">
        <f aca="false">IFERROR(__xludf.dummyfunction("""COMPUTED_VALUE"""),20.94)</f>
        <v>20.94</v>
      </c>
      <c r="C188" s="2" t="n">
        <f aca="false">IFERROR(__xludf.dummyfunction("""COMPUTED_VALUE"""),21.02)</f>
        <v>21.02</v>
      </c>
      <c r="D188" s="2" t="n">
        <f aca="false">IFERROR(__xludf.dummyfunction("""COMPUTED_VALUE"""),20.47)</f>
        <v>20.47</v>
      </c>
      <c r="E188" s="2" t="n">
        <f aca="false">IFERROR(__xludf.dummyfunction("""COMPUTED_VALUE"""),20.52)</f>
        <v>20.52</v>
      </c>
      <c r="F188" s="2" t="n">
        <f aca="false">IFERROR(__xludf.dummyfunction("""COMPUTED_VALUE"""),21839363)</f>
        <v>21839363</v>
      </c>
    </row>
    <row r="189" customFormat="false" ht="15.75" hidden="false" customHeight="false" outlineLevel="0" collapsed="false">
      <c r="A189" s="3" t="n">
        <f aca="false">IFERROR(__xludf.dummyfunction("""COMPUTED_VALUE"""),44469.6666666667)</f>
        <v>44469.6666666667</v>
      </c>
      <c r="B189" s="2" t="n">
        <f aca="false">IFERROR(__xludf.dummyfunction("""COMPUTED_VALUE"""),20.77)</f>
        <v>20.77</v>
      </c>
      <c r="C189" s="2" t="n">
        <f aca="false">IFERROR(__xludf.dummyfunction("""COMPUTED_VALUE"""),21.07)</f>
        <v>21.07</v>
      </c>
      <c r="D189" s="2" t="n">
        <f aca="false">IFERROR(__xludf.dummyfunction("""COMPUTED_VALUE"""),20.69)</f>
        <v>20.69</v>
      </c>
      <c r="E189" s="2" t="n">
        <f aca="false">IFERROR(__xludf.dummyfunction("""COMPUTED_VALUE"""),20.72)</f>
        <v>20.72</v>
      </c>
      <c r="F189" s="2" t="n">
        <f aca="false">IFERROR(__xludf.dummyfunction("""COMPUTED_VALUE"""),22100912)</f>
        <v>22100912</v>
      </c>
    </row>
    <row r="190" customFormat="false" ht="15.75" hidden="false" customHeight="false" outlineLevel="0" collapsed="false">
      <c r="A190" s="3" t="n">
        <f aca="false">IFERROR(__xludf.dummyfunction("""COMPUTED_VALUE"""),44470.6666666667)</f>
        <v>44470.6666666667</v>
      </c>
      <c r="B190" s="2" t="n">
        <f aca="false">IFERROR(__xludf.dummyfunction("""COMPUTED_VALUE"""),20.75)</f>
        <v>20.75</v>
      </c>
      <c r="C190" s="2" t="n">
        <f aca="false">IFERROR(__xludf.dummyfunction("""COMPUTED_VALUE"""),20.86)</f>
        <v>20.86</v>
      </c>
      <c r="D190" s="2" t="n">
        <f aca="false">IFERROR(__xludf.dummyfunction("""COMPUTED_VALUE"""),20.2)</f>
        <v>20.2</v>
      </c>
      <c r="E190" s="2" t="n">
        <f aca="false">IFERROR(__xludf.dummyfunction("""COMPUTED_VALUE"""),20.74)</f>
        <v>20.74</v>
      </c>
      <c r="F190" s="2" t="n">
        <f aca="false">IFERROR(__xludf.dummyfunction("""COMPUTED_VALUE"""),24097796)</f>
        <v>24097796</v>
      </c>
    </row>
    <row r="191" customFormat="false" ht="15.75" hidden="false" customHeight="false" outlineLevel="0" collapsed="false">
      <c r="A191" s="3" t="n">
        <f aca="false">IFERROR(__xludf.dummyfunction("""COMPUTED_VALUE"""),44473.6666666667)</f>
        <v>44473.6666666667</v>
      </c>
      <c r="B191" s="2" t="n">
        <f aca="false">IFERROR(__xludf.dummyfunction("""COMPUTED_VALUE"""),20.5)</f>
        <v>20.5</v>
      </c>
      <c r="C191" s="2" t="n">
        <f aca="false">IFERROR(__xludf.dummyfunction("""COMPUTED_VALUE"""),20.54)</f>
        <v>20.54</v>
      </c>
      <c r="D191" s="2" t="n">
        <f aca="false">IFERROR(__xludf.dummyfunction("""COMPUTED_VALUE"""),19.56)</f>
        <v>19.56</v>
      </c>
      <c r="E191" s="2" t="n">
        <f aca="false">IFERROR(__xludf.dummyfunction("""COMPUTED_VALUE"""),19.73)</f>
        <v>19.73</v>
      </c>
      <c r="F191" s="2" t="n">
        <f aca="false">IFERROR(__xludf.dummyfunction("""COMPUTED_VALUE"""),34563497)</f>
        <v>34563497</v>
      </c>
    </row>
    <row r="192" customFormat="false" ht="15.75" hidden="false" customHeight="false" outlineLevel="0" collapsed="false">
      <c r="A192" s="3" t="n">
        <f aca="false">IFERROR(__xludf.dummyfunction("""COMPUTED_VALUE"""),44474.6666666667)</f>
        <v>44474.6666666667</v>
      </c>
      <c r="B192" s="2" t="n">
        <f aca="false">IFERROR(__xludf.dummyfunction("""COMPUTED_VALUE"""),19.95)</f>
        <v>19.95</v>
      </c>
      <c r="C192" s="2" t="n">
        <f aca="false">IFERROR(__xludf.dummyfunction("""COMPUTED_VALUE"""),20.65)</f>
        <v>20.65</v>
      </c>
      <c r="D192" s="2" t="n">
        <f aca="false">IFERROR(__xludf.dummyfunction("""COMPUTED_VALUE"""),19.85)</f>
        <v>19.85</v>
      </c>
      <c r="E192" s="2" t="n">
        <f aca="false">IFERROR(__xludf.dummyfunction("""COMPUTED_VALUE"""),20.45)</f>
        <v>20.45</v>
      </c>
      <c r="F192" s="2" t="n">
        <f aca="false">IFERROR(__xludf.dummyfunction("""COMPUTED_VALUE"""),27928165)</f>
        <v>27928165</v>
      </c>
    </row>
    <row r="193" customFormat="false" ht="15.75" hidden="false" customHeight="false" outlineLevel="0" collapsed="false">
      <c r="A193" s="3" t="n">
        <f aca="false">IFERROR(__xludf.dummyfunction("""COMPUTED_VALUE"""),44475.6666666667)</f>
        <v>44475.6666666667</v>
      </c>
      <c r="B193" s="2" t="n">
        <f aca="false">IFERROR(__xludf.dummyfunction("""COMPUTED_VALUE"""),20.12)</f>
        <v>20.12</v>
      </c>
      <c r="C193" s="2" t="n">
        <f aca="false">IFERROR(__xludf.dummyfunction("""COMPUTED_VALUE"""),20.72)</f>
        <v>20.72</v>
      </c>
      <c r="D193" s="2" t="n">
        <f aca="false">IFERROR(__xludf.dummyfunction("""COMPUTED_VALUE"""),20.08)</f>
        <v>20.08</v>
      </c>
      <c r="E193" s="2" t="n">
        <f aca="false">IFERROR(__xludf.dummyfunction("""COMPUTED_VALUE"""),20.7)</f>
        <v>20.7</v>
      </c>
      <c r="F193" s="2" t="n">
        <f aca="false">IFERROR(__xludf.dummyfunction("""COMPUTED_VALUE"""),29720175)</f>
        <v>29720175</v>
      </c>
    </row>
    <row r="194" customFormat="false" ht="15.75" hidden="false" customHeight="false" outlineLevel="0" collapsed="false">
      <c r="A194" s="3" t="n">
        <f aca="false">IFERROR(__xludf.dummyfunction("""COMPUTED_VALUE"""),44476.6666666667)</f>
        <v>44476.6666666667</v>
      </c>
      <c r="B194" s="2" t="n">
        <f aca="false">IFERROR(__xludf.dummyfunction("""COMPUTED_VALUE"""),21.09)</f>
        <v>21.09</v>
      </c>
      <c r="C194" s="2" t="n">
        <f aca="false">IFERROR(__xludf.dummyfunction("""COMPUTED_VALUE"""),21.32)</f>
        <v>21.32</v>
      </c>
      <c r="D194" s="2" t="n">
        <f aca="false">IFERROR(__xludf.dummyfunction("""COMPUTED_VALUE"""),20.97)</f>
        <v>20.97</v>
      </c>
      <c r="E194" s="2" t="n">
        <f aca="false">IFERROR(__xludf.dummyfunction("""COMPUTED_VALUE"""),21.08)</f>
        <v>21.08</v>
      </c>
      <c r="F194" s="2" t="n">
        <f aca="false">IFERROR(__xludf.dummyfunction("""COMPUTED_VALUE"""),25691893)</f>
        <v>25691893</v>
      </c>
    </row>
    <row r="195" customFormat="false" ht="15.75" hidden="false" customHeight="false" outlineLevel="0" collapsed="false">
      <c r="A195" s="3" t="n">
        <f aca="false">IFERROR(__xludf.dummyfunction("""COMPUTED_VALUE"""),44477.6666666667)</f>
        <v>44477.6666666667</v>
      </c>
      <c r="B195" s="2" t="n">
        <f aca="false">IFERROR(__xludf.dummyfunction("""COMPUTED_VALUE"""),21.1)</f>
        <v>21.1</v>
      </c>
      <c r="C195" s="2" t="n">
        <f aca="false">IFERROR(__xludf.dummyfunction("""COMPUTED_VALUE"""),21.21)</f>
        <v>21.21</v>
      </c>
      <c r="D195" s="2" t="n">
        <f aca="false">IFERROR(__xludf.dummyfunction("""COMPUTED_VALUE"""),20.78)</f>
        <v>20.78</v>
      </c>
      <c r="E195" s="2" t="n">
        <f aca="false">IFERROR(__xludf.dummyfunction("""COMPUTED_VALUE"""),20.83)</f>
        <v>20.83</v>
      </c>
      <c r="F195" s="2" t="n">
        <f aca="false">IFERROR(__xludf.dummyfunction("""COMPUTED_VALUE"""),15125791)</f>
        <v>15125791</v>
      </c>
    </row>
    <row r="196" customFormat="false" ht="15.75" hidden="false" customHeight="false" outlineLevel="0" collapsed="false">
      <c r="A196" s="3" t="n">
        <f aca="false">IFERROR(__xludf.dummyfunction("""COMPUTED_VALUE"""),44480.6666666667)</f>
        <v>44480.6666666667</v>
      </c>
      <c r="B196" s="2" t="n">
        <f aca="false">IFERROR(__xludf.dummyfunction("""COMPUTED_VALUE"""),20.58)</f>
        <v>20.58</v>
      </c>
      <c r="C196" s="2" t="n">
        <f aca="false">IFERROR(__xludf.dummyfunction("""COMPUTED_VALUE"""),21.06)</f>
        <v>21.06</v>
      </c>
      <c r="D196" s="2" t="n">
        <f aca="false">IFERROR(__xludf.dummyfunction("""COMPUTED_VALUE"""),20.51)</f>
        <v>20.51</v>
      </c>
      <c r="E196" s="2" t="n">
        <f aca="false">IFERROR(__xludf.dummyfunction("""COMPUTED_VALUE"""),20.7)</f>
        <v>20.7</v>
      </c>
      <c r="F196" s="2" t="n">
        <f aca="false">IFERROR(__xludf.dummyfunction("""COMPUTED_VALUE"""),16338754)</f>
        <v>16338754</v>
      </c>
    </row>
    <row r="197" customFormat="false" ht="15.75" hidden="false" customHeight="false" outlineLevel="0" collapsed="false">
      <c r="A197" s="3" t="n">
        <f aca="false">IFERROR(__xludf.dummyfunction("""COMPUTED_VALUE"""),44481.6666666667)</f>
        <v>44481.6666666667</v>
      </c>
      <c r="B197" s="2" t="n">
        <f aca="false">IFERROR(__xludf.dummyfunction("""COMPUTED_VALUE"""),20.83)</f>
        <v>20.83</v>
      </c>
      <c r="C197" s="2" t="n">
        <f aca="false">IFERROR(__xludf.dummyfunction("""COMPUTED_VALUE"""),21.06)</f>
        <v>21.06</v>
      </c>
      <c r="D197" s="2" t="n">
        <f aca="false">IFERROR(__xludf.dummyfunction("""COMPUTED_VALUE"""),20.53)</f>
        <v>20.53</v>
      </c>
      <c r="E197" s="2" t="n">
        <f aca="false">IFERROR(__xludf.dummyfunction("""COMPUTED_VALUE"""),20.67)</f>
        <v>20.67</v>
      </c>
      <c r="F197" s="2" t="n">
        <f aca="false">IFERROR(__xludf.dummyfunction("""COMPUTED_VALUE"""),16213354)</f>
        <v>16213354</v>
      </c>
    </row>
    <row r="198" customFormat="false" ht="15.75" hidden="false" customHeight="false" outlineLevel="0" collapsed="false">
      <c r="A198" s="3" t="n">
        <f aca="false">IFERROR(__xludf.dummyfunction("""COMPUTED_VALUE"""),44482.6666666667)</f>
        <v>44482.6666666667</v>
      </c>
      <c r="B198" s="2" t="n">
        <f aca="false">IFERROR(__xludf.dummyfunction("""COMPUTED_VALUE"""),20.92)</f>
        <v>20.92</v>
      </c>
      <c r="C198" s="2" t="n">
        <f aca="false">IFERROR(__xludf.dummyfunction("""COMPUTED_VALUE"""),20.99)</f>
        <v>20.99</v>
      </c>
      <c r="D198" s="2" t="n">
        <f aca="false">IFERROR(__xludf.dummyfunction("""COMPUTED_VALUE"""),20.71)</f>
        <v>20.71</v>
      </c>
      <c r="E198" s="2" t="n">
        <f aca="false">IFERROR(__xludf.dummyfunction("""COMPUTED_VALUE"""),20.94)</f>
        <v>20.94</v>
      </c>
      <c r="F198" s="2" t="n">
        <f aca="false">IFERROR(__xludf.dummyfunction("""COMPUTED_VALUE"""),18065188)</f>
        <v>18065188</v>
      </c>
    </row>
    <row r="199" customFormat="false" ht="15.75" hidden="false" customHeight="false" outlineLevel="0" collapsed="false">
      <c r="A199" s="3" t="n">
        <f aca="false">IFERROR(__xludf.dummyfunction("""COMPUTED_VALUE"""),44483.6666666667)</f>
        <v>44483.6666666667</v>
      </c>
      <c r="B199" s="2" t="n">
        <f aca="false">IFERROR(__xludf.dummyfunction("""COMPUTED_VALUE"""),21.29)</f>
        <v>21.29</v>
      </c>
      <c r="C199" s="2" t="n">
        <f aca="false">IFERROR(__xludf.dummyfunction("""COMPUTED_VALUE"""),21.76)</f>
        <v>21.76</v>
      </c>
      <c r="D199" s="2" t="n">
        <f aca="false">IFERROR(__xludf.dummyfunction("""COMPUTED_VALUE"""),21.12)</f>
        <v>21.12</v>
      </c>
      <c r="E199" s="2" t="n">
        <f aca="false">IFERROR(__xludf.dummyfunction("""COMPUTED_VALUE"""),21.75)</f>
        <v>21.75</v>
      </c>
      <c r="F199" s="2" t="n">
        <f aca="false">IFERROR(__xludf.dummyfunction("""COMPUTED_VALUE"""),24358881)</f>
        <v>24358881</v>
      </c>
    </row>
    <row r="200" customFormat="false" ht="15.75" hidden="false" customHeight="false" outlineLevel="0" collapsed="false">
      <c r="A200" s="3" t="n">
        <f aca="false">IFERROR(__xludf.dummyfunction("""COMPUTED_VALUE"""),44484.6666666667)</f>
        <v>44484.6666666667</v>
      </c>
      <c r="B200" s="2" t="n">
        <f aca="false">IFERROR(__xludf.dummyfunction("""COMPUTED_VALUE"""),21.81)</f>
        <v>21.81</v>
      </c>
      <c r="C200" s="2" t="n">
        <f aca="false">IFERROR(__xludf.dummyfunction("""COMPUTED_VALUE"""),21.93)</f>
        <v>21.93</v>
      </c>
      <c r="D200" s="2" t="n">
        <f aca="false">IFERROR(__xludf.dummyfunction("""COMPUTED_VALUE"""),21.66)</f>
        <v>21.66</v>
      </c>
      <c r="E200" s="2" t="n">
        <f aca="false">IFERROR(__xludf.dummyfunction("""COMPUTED_VALUE"""),21.86)</f>
        <v>21.86</v>
      </c>
      <c r="F200" s="2" t="n">
        <f aca="false">IFERROR(__xludf.dummyfunction("""COMPUTED_VALUE"""),22699401)</f>
        <v>22699401</v>
      </c>
    </row>
    <row r="201" customFormat="false" ht="15.75" hidden="false" customHeight="false" outlineLevel="0" collapsed="false">
      <c r="A201" s="3" t="n">
        <f aca="false">IFERROR(__xludf.dummyfunction("""COMPUTED_VALUE"""),44487.6666666667)</f>
        <v>44487.6666666667</v>
      </c>
      <c r="B201" s="2" t="n">
        <f aca="false">IFERROR(__xludf.dummyfunction("""COMPUTED_VALUE"""),21.75)</f>
        <v>21.75</v>
      </c>
      <c r="C201" s="2" t="n">
        <f aca="false">IFERROR(__xludf.dummyfunction("""COMPUTED_VALUE"""),22.29)</f>
        <v>22.29</v>
      </c>
      <c r="D201" s="2" t="n">
        <f aca="false">IFERROR(__xludf.dummyfunction("""COMPUTED_VALUE"""),21.64)</f>
        <v>21.64</v>
      </c>
      <c r="E201" s="2" t="n">
        <f aca="false">IFERROR(__xludf.dummyfunction("""COMPUTED_VALUE"""),22.22)</f>
        <v>22.22</v>
      </c>
      <c r="F201" s="2" t="n">
        <f aca="false">IFERROR(__xludf.dummyfunction("""COMPUTED_VALUE"""),18949356)</f>
        <v>18949356</v>
      </c>
    </row>
    <row r="202" customFormat="false" ht="15.75" hidden="false" customHeight="false" outlineLevel="0" collapsed="false">
      <c r="A202" s="3" t="n">
        <f aca="false">IFERROR(__xludf.dummyfunction("""COMPUTED_VALUE"""),44488.6666666667)</f>
        <v>44488.6666666667</v>
      </c>
      <c r="B202" s="2" t="n">
        <f aca="false">IFERROR(__xludf.dummyfunction("""COMPUTED_VALUE"""),22.28)</f>
        <v>22.28</v>
      </c>
      <c r="C202" s="2" t="n">
        <f aca="false">IFERROR(__xludf.dummyfunction("""COMPUTED_VALUE"""),22.38)</f>
        <v>22.38</v>
      </c>
      <c r="D202" s="2" t="n">
        <f aca="false">IFERROR(__xludf.dummyfunction("""COMPUTED_VALUE"""),22.04)</f>
        <v>22.04</v>
      </c>
      <c r="E202" s="2" t="n">
        <f aca="false">IFERROR(__xludf.dummyfunction("""COMPUTED_VALUE"""),22.29)</f>
        <v>22.29</v>
      </c>
      <c r="F202" s="2" t="n">
        <f aca="false">IFERROR(__xludf.dummyfunction("""COMPUTED_VALUE"""),16147329)</f>
        <v>16147329</v>
      </c>
    </row>
    <row r="203" customFormat="false" ht="15.75" hidden="false" customHeight="false" outlineLevel="0" collapsed="false">
      <c r="A203" s="3" t="n">
        <f aca="false">IFERROR(__xludf.dummyfunction("""COMPUTED_VALUE"""),44489.6666666667)</f>
        <v>44489.6666666667</v>
      </c>
      <c r="B203" s="2" t="n">
        <f aca="false">IFERROR(__xludf.dummyfunction("""COMPUTED_VALUE"""),22.3)</f>
        <v>22.3</v>
      </c>
      <c r="C203" s="2" t="n">
        <f aca="false">IFERROR(__xludf.dummyfunction("""COMPUTED_VALUE"""),22.43)</f>
        <v>22.43</v>
      </c>
      <c r="D203" s="2" t="n">
        <f aca="false">IFERROR(__xludf.dummyfunction("""COMPUTED_VALUE"""),21.98)</f>
        <v>21.98</v>
      </c>
      <c r="E203" s="2" t="n">
        <f aca="false">IFERROR(__xludf.dummyfunction("""COMPUTED_VALUE"""),22.1)</f>
        <v>22.1</v>
      </c>
      <c r="F203" s="2" t="n">
        <f aca="false">IFERROR(__xludf.dummyfunction("""COMPUTED_VALUE"""),14627594)</f>
        <v>14627594</v>
      </c>
    </row>
    <row r="204" customFormat="false" ht="15.75" hidden="false" customHeight="false" outlineLevel="0" collapsed="false">
      <c r="A204" s="3" t="n">
        <f aca="false">IFERROR(__xludf.dummyfunction("""COMPUTED_VALUE"""),44490.6666666667)</f>
        <v>44490.6666666667</v>
      </c>
      <c r="B204" s="2" t="n">
        <f aca="false">IFERROR(__xludf.dummyfunction("""COMPUTED_VALUE"""),22.1)</f>
        <v>22.1</v>
      </c>
      <c r="C204" s="2" t="n">
        <f aca="false">IFERROR(__xludf.dummyfunction("""COMPUTED_VALUE"""),22.71)</f>
        <v>22.71</v>
      </c>
      <c r="D204" s="2" t="n">
        <f aca="false">IFERROR(__xludf.dummyfunction("""COMPUTED_VALUE"""),22.08)</f>
        <v>22.08</v>
      </c>
      <c r="E204" s="2" t="n">
        <f aca="false">IFERROR(__xludf.dummyfunction("""COMPUTED_VALUE"""),22.69)</f>
        <v>22.69</v>
      </c>
      <c r="F204" s="2" t="n">
        <f aca="false">IFERROR(__xludf.dummyfunction("""COMPUTED_VALUE"""),18759032)</f>
        <v>18759032</v>
      </c>
    </row>
    <row r="205" customFormat="false" ht="15.75" hidden="false" customHeight="false" outlineLevel="0" collapsed="false">
      <c r="A205" s="3" t="n">
        <f aca="false">IFERROR(__xludf.dummyfunction("""COMPUTED_VALUE"""),44491.6666666667)</f>
        <v>44491.6666666667</v>
      </c>
      <c r="B205" s="2" t="n">
        <f aca="false">IFERROR(__xludf.dummyfunction("""COMPUTED_VALUE"""),22.82)</f>
        <v>22.82</v>
      </c>
      <c r="C205" s="2" t="n">
        <f aca="false">IFERROR(__xludf.dummyfunction("""COMPUTED_VALUE"""),23.13)</f>
        <v>23.13</v>
      </c>
      <c r="D205" s="2" t="n">
        <f aca="false">IFERROR(__xludf.dummyfunction("""COMPUTED_VALUE"""),22.56)</f>
        <v>22.56</v>
      </c>
      <c r="E205" s="2" t="n">
        <f aca="false">IFERROR(__xludf.dummyfunction("""COMPUTED_VALUE"""),22.73)</f>
        <v>22.73</v>
      </c>
      <c r="F205" s="2" t="n">
        <f aca="false">IFERROR(__xludf.dummyfunction("""COMPUTED_VALUE"""),24938379)</f>
        <v>24938379</v>
      </c>
    </row>
    <row r="206" customFormat="false" ht="15.75" hidden="false" customHeight="false" outlineLevel="0" collapsed="false">
      <c r="A206" s="3" t="n">
        <f aca="false">IFERROR(__xludf.dummyfunction("""COMPUTED_VALUE"""),44494.6666666667)</f>
        <v>44494.6666666667</v>
      </c>
      <c r="B206" s="2" t="n">
        <f aca="false">IFERROR(__xludf.dummyfunction("""COMPUTED_VALUE"""),22.97)</f>
        <v>22.97</v>
      </c>
      <c r="C206" s="2" t="n">
        <f aca="false">IFERROR(__xludf.dummyfunction("""COMPUTED_VALUE"""),23.35)</f>
        <v>23.35</v>
      </c>
      <c r="D206" s="2" t="n">
        <f aca="false">IFERROR(__xludf.dummyfunction("""COMPUTED_VALUE"""),22.77)</f>
        <v>22.77</v>
      </c>
      <c r="E206" s="2" t="n">
        <f aca="false">IFERROR(__xludf.dummyfunction("""COMPUTED_VALUE"""),23.17)</f>
        <v>23.17</v>
      </c>
      <c r="F206" s="2" t="n">
        <f aca="false">IFERROR(__xludf.dummyfunction("""COMPUTED_VALUE"""),23023483)</f>
        <v>23023483</v>
      </c>
    </row>
    <row r="207" customFormat="false" ht="15.75" hidden="false" customHeight="false" outlineLevel="0" collapsed="false">
      <c r="A207" s="3" t="n">
        <f aca="false">IFERROR(__xludf.dummyfunction("""COMPUTED_VALUE"""),44495.6666666667)</f>
        <v>44495.6666666667</v>
      </c>
      <c r="B207" s="2" t="n">
        <f aca="false">IFERROR(__xludf.dummyfunction("""COMPUTED_VALUE"""),23.99)</f>
        <v>23.99</v>
      </c>
      <c r="C207" s="2" t="n">
        <f aca="false">IFERROR(__xludf.dummyfunction("""COMPUTED_VALUE"""),25.26)</f>
        <v>25.26</v>
      </c>
      <c r="D207" s="2" t="n">
        <f aca="false">IFERROR(__xludf.dummyfunction("""COMPUTED_VALUE"""),23.92)</f>
        <v>23.92</v>
      </c>
      <c r="E207" s="2" t="n">
        <f aca="false">IFERROR(__xludf.dummyfunction("""COMPUTED_VALUE"""),24.72)</f>
        <v>24.72</v>
      </c>
      <c r="F207" s="2" t="n">
        <f aca="false">IFERROR(__xludf.dummyfunction("""COMPUTED_VALUE"""),48589830)</f>
        <v>48589830</v>
      </c>
    </row>
    <row r="208" customFormat="false" ht="15.75" hidden="false" customHeight="false" outlineLevel="0" collapsed="false">
      <c r="A208" s="3" t="n">
        <f aca="false">IFERROR(__xludf.dummyfunction("""COMPUTED_VALUE"""),44496.6666666667)</f>
        <v>44496.6666666667</v>
      </c>
      <c r="B208" s="2" t="n">
        <f aca="false">IFERROR(__xludf.dummyfunction("""COMPUTED_VALUE"""),24.47)</f>
        <v>24.47</v>
      </c>
      <c r="C208" s="2" t="n">
        <f aca="false">IFERROR(__xludf.dummyfunction("""COMPUTED_VALUE"""),25.09)</f>
        <v>25.09</v>
      </c>
      <c r="D208" s="2" t="n">
        <f aca="false">IFERROR(__xludf.dummyfunction("""COMPUTED_VALUE"""),24.28)</f>
        <v>24.28</v>
      </c>
      <c r="E208" s="2" t="n">
        <f aca="false">IFERROR(__xludf.dummyfunction("""COMPUTED_VALUE"""),24.45)</f>
        <v>24.45</v>
      </c>
      <c r="F208" s="2" t="n">
        <f aca="false">IFERROR(__xludf.dummyfunction("""COMPUTED_VALUE"""),24598989)</f>
        <v>24598989</v>
      </c>
    </row>
    <row r="209" customFormat="false" ht="15.75" hidden="false" customHeight="false" outlineLevel="0" collapsed="false">
      <c r="A209" s="3" t="n">
        <f aca="false">IFERROR(__xludf.dummyfunction("""COMPUTED_VALUE"""),44497.6666666667)</f>
        <v>44497.6666666667</v>
      </c>
      <c r="B209" s="2" t="n">
        <f aca="false">IFERROR(__xludf.dummyfunction("""COMPUTED_VALUE"""),24.88)</f>
        <v>24.88</v>
      </c>
      <c r="C209" s="2" t="n">
        <f aca="false">IFERROR(__xludf.dummyfunction("""COMPUTED_VALUE"""),24.95)</f>
        <v>24.95</v>
      </c>
      <c r="D209" s="2" t="n">
        <f aca="false">IFERROR(__xludf.dummyfunction("""COMPUTED_VALUE"""),24.52)</f>
        <v>24.52</v>
      </c>
      <c r="E209" s="2" t="n">
        <f aca="false">IFERROR(__xludf.dummyfunction("""COMPUTED_VALUE"""),24.94)</f>
        <v>24.94</v>
      </c>
      <c r="F209" s="2" t="n">
        <f aca="false">IFERROR(__xludf.dummyfunction("""COMPUTED_VALUE"""),23420431)</f>
        <v>23420431</v>
      </c>
    </row>
    <row r="210" customFormat="false" ht="15.75" hidden="false" customHeight="false" outlineLevel="0" collapsed="false">
      <c r="A210" s="3" t="n">
        <f aca="false">IFERROR(__xludf.dummyfunction("""COMPUTED_VALUE"""),44498.6666666667)</f>
        <v>44498.6666666667</v>
      </c>
      <c r="B210" s="2" t="n">
        <f aca="false">IFERROR(__xludf.dummyfunction("""COMPUTED_VALUE"""),25)</f>
        <v>25</v>
      </c>
      <c r="C210" s="2" t="n">
        <f aca="false">IFERROR(__xludf.dummyfunction("""COMPUTED_VALUE"""),25.71)</f>
        <v>25.71</v>
      </c>
      <c r="D210" s="2" t="n">
        <f aca="false">IFERROR(__xludf.dummyfunction("""COMPUTED_VALUE"""),25)</f>
        <v>25</v>
      </c>
      <c r="E210" s="2" t="n">
        <f aca="false">IFERROR(__xludf.dummyfunction("""COMPUTED_VALUE"""),25.57)</f>
        <v>25.57</v>
      </c>
      <c r="F210" s="2" t="n">
        <f aca="false">IFERROR(__xludf.dummyfunction("""COMPUTED_VALUE"""),29250284)</f>
        <v>29250284</v>
      </c>
    </row>
    <row r="211" customFormat="false" ht="15.75" hidden="false" customHeight="false" outlineLevel="0" collapsed="false">
      <c r="A211" s="3" t="n">
        <f aca="false">IFERROR(__xludf.dummyfunction("""COMPUTED_VALUE"""),44501.6666666667)</f>
        <v>44501.6666666667</v>
      </c>
      <c r="B211" s="2" t="n">
        <f aca="false">IFERROR(__xludf.dummyfunction("""COMPUTED_VALUE"""),25.65)</f>
        <v>25.65</v>
      </c>
      <c r="C211" s="2" t="n">
        <f aca="false">IFERROR(__xludf.dummyfunction("""COMPUTED_VALUE"""),25.89)</f>
        <v>25.89</v>
      </c>
      <c r="D211" s="2" t="n">
        <f aca="false">IFERROR(__xludf.dummyfunction("""COMPUTED_VALUE"""),25.23)</f>
        <v>25.23</v>
      </c>
      <c r="E211" s="2" t="n">
        <f aca="false">IFERROR(__xludf.dummyfunction("""COMPUTED_VALUE"""),25.83)</f>
        <v>25.83</v>
      </c>
      <c r="F211" s="2" t="n">
        <f aca="false">IFERROR(__xludf.dummyfunction("""COMPUTED_VALUE"""),26573976)</f>
        <v>26573976</v>
      </c>
    </row>
    <row r="212" customFormat="false" ht="15.75" hidden="false" customHeight="false" outlineLevel="0" collapsed="false">
      <c r="A212" s="3" t="n">
        <f aca="false">IFERROR(__xludf.dummyfunction("""COMPUTED_VALUE"""),44502.6666666667)</f>
        <v>44502.6666666667</v>
      </c>
      <c r="B212" s="2" t="n">
        <f aca="false">IFERROR(__xludf.dummyfunction("""COMPUTED_VALUE"""),25.82)</f>
        <v>25.82</v>
      </c>
      <c r="C212" s="2" t="n">
        <f aca="false">IFERROR(__xludf.dummyfunction("""COMPUTED_VALUE"""),26.68)</f>
        <v>26.68</v>
      </c>
      <c r="D212" s="2" t="n">
        <f aca="false">IFERROR(__xludf.dummyfunction("""COMPUTED_VALUE"""),25.8)</f>
        <v>25.8</v>
      </c>
      <c r="E212" s="2" t="n">
        <f aca="false">IFERROR(__xludf.dummyfunction("""COMPUTED_VALUE"""),26.4)</f>
        <v>26.4</v>
      </c>
      <c r="F212" s="2" t="n">
        <f aca="false">IFERROR(__xludf.dummyfunction("""COMPUTED_VALUE"""),29411239)</f>
        <v>29411239</v>
      </c>
    </row>
    <row r="213" customFormat="false" ht="15.75" hidden="false" customHeight="false" outlineLevel="0" collapsed="false">
      <c r="A213" s="3" t="n">
        <f aca="false">IFERROR(__xludf.dummyfunction("""COMPUTED_VALUE"""),44503.6666666667)</f>
        <v>44503.6666666667</v>
      </c>
      <c r="B213" s="2" t="n">
        <f aca="false">IFERROR(__xludf.dummyfunction("""COMPUTED_VALUE"""),26.67)</f>
        <v>26.67</v>
      </c>
      <c r="C213" s="2" t="n">
        <f aca="false">IFERROR(__xludf.dummyfunction("""COMPUTED_VALUE"""),26.78)</f>
        <v>26.78</v>
      </c>
      <c r="D213" s="2" t="n">
        <f aca="false">IFERROR(__xludf.dummyfunction("""COMPUTED_VALUE"""),26.24)</f>
        <v>26.24</v>
      </c>
      <c r="E213" s="2" t="n">
        <f aca="false">IFERROR(__xludf.dummyfunction("""COMPUTED_VALUE"""),26.6)</f>
        <v>26.6</v>
      </c>
      <c r="F213" s="2" t="n">
        <f aca="false">IFERROR(__xludf.dummyfunction("""COMPUTED_VALUE"""),23991033)</f>
        <v>23991033</v>
      </c>
    </row>
    <row r="214" customFormat="false" ht="15.75" hidden="false" customHeight="false" outlineLevel="0" collapsed="false">
      <c r="A214" s="3" t="n">
        <f aca="false">IFERROR(__xludf.dummyfunction("""COMPUTED_VALUE"""),44504.6666666667)</f>
        <v>44504.6666666667</v>
      </c>
      <c r="B214" s="2" t="n">
        <f aca="false">IFERROR(__xludf.dummyfunction("""COMPUTED_VALUE"""),27.23)</f>
        <v>27.23</v>
      </c>
      <c r="C214" s="2" t="n">
        <f aca="false">IFERROR(__xludf.dummyfunction("""COMPUTED_VALUE"""),31.37)</f>
        <v>31.37</v>
      </c>
      <c r="D214" s="2" t="n">
        <f aca="false">IFERROR(__xludf.dummyfunction("""COMPUTED_VALUE"""),27.12)</f>
        <v>27.12</v>
      </c>
      <c r="E214" s="2" t="n">
        <f aca="false">IFERROR(__xludf.dummyfunction("""COMPUTED_VALUE"""),29.8)</f>
        <v>29.8</v>
      </c>
      <c r="F214" s="2" t="n">
        <f aca="false">IFERROR(__xludf.dummyfunction("""COMPUTED_VALUE"""),115363115)</f>
        <v>115363115</v>
      </c>
    </row>
    <row r="215" customFormat="false" ht="15.75" hidden="false" customHeight="false" outlineLevel="0" collapsed="false">
      <c r="A215" s="3" t="n">
        <f aca="false">IFERROR(__xludf.dummyfunction("""COMPUTED_VALUE"""),44505.6666666667)</f>
        <v>44505.6666666667</v>
      </c>
      <c r="B215" s="2" t="n">
        <f aca="false">IFERROR(__xludf.dummyfunction("""COMPUTED_VALUE"""),30.19)</f>
        <v>30.19</v>
      </c>
      <c r="C215" s="2" t="n">
        <f aca="false">IFERROR(__xludf.dummyfunction("""COMPUTED_VALUE"""),31.4)</f>
        <v>31.4</v>
      </c>
      <c r="D215" s="2" t="n">
        <f aca="false">IFERROR(__xludf.dummyfunction("""COMPUTED_VALUE"""),29.41)</f>
        <v>29.41</v>
      </c>
      <c r="E215" s="2" t="n">
        <f aca="false">IFERROR(__xludf.dummyfunction("""COMPUTED_VALUE"""),29.75)</f>
        <v>29.75</v>
      </c>
      <c r="F215" s="2" t="n">
        <f aca="false">IFERROR(__xludf.dummyfunction("""COMPUTED_VALUE"""),85126015)</f>
        <v>85126015</v>
      </c>
    </row>
    <row r="216" customFormat="false" ht="15.75" hidden="false" customHeight="false" outlineLevel="0" collapsed="false">
      <c r="A216" s="3" t="n">
        <f aca="false">IFERROR(__xludf.dummyfunction("""COMPUTED_VALUE"""),44508.6666666667)</f>
        <v>44508.6666666667</v>
      </c>
      <c r="B216" s="2" t="n">
        <f aca="false">IFERROR(__xludf.dummyfunction("""COMPUTED_VALUE"""),30.15)</f>
        <v>30.15</v>
      </c>
      <c r="C216" s="2" t="n">
        <f aca="false">IFERROR(__xludf.dummyfunction("""COMPUTED_VALUE"""),31.1)</f>
        <v>31.1</v>
      </c>
      <c r="D216" s="2" t="n">
        <f aca="false">IFERROR(__xludf.dummyfunction("""COMPUTED_VALUE"""),29.91)</f>
        <v>29.91</v>
      </c>
      <c r="E216" s="2" t="n">
        <f aca="false">IFERROR(__xludf.dummyfunction("""COMPUTED_VALUE"""),30.8)</f>
        <v>30.8</v>
      </c>
      <c r="F216" s="2" t="n">
        <f aca="false">IFERROR(__xludf.dummyfunction("""COMPUTED_VALUE"""),50310093)</f>
        <v>50310093</v>
      </c>
    </row>
    <row r="217" customFormat="false" ht="15.75" hidden="false" customHeight="false" outlineLevel="0" collapsed="false">
      <c r="A217" s="3" t="n">
        <f aca="false">IFERROR(__xludf.dummyfunction("""COMPUTED_VALUE"""),44509.6666666667)</f>
        <v>44509.6666666667</v>
      </c>
      <c r="B217" s="2" t="n">
        <f aca="false">IFERROR(__xludf.dummyfunction("""COMPUTED_VALUE"""),32.28)</f>
        <v>32.28</v>
      </c>
      <c r="C217" s="2" t="n">
        <f aca="false">IFERROR(__xludf.dummyfunction("""COMPUTED_VALUE"""),32.31)</f>
        <v>32.31</v>
      </c>
      <c r="D217" s="2" t="n">
        <f aca="false">IFERROR(__xludf.dummyfunction("""COMPUTED_VALUE"""),29.96)</f>
        <v>29.96</v>
      </c>
      <c r="E217" s="2" t="n">
        <f aca="false">IFERROR(__xludf.dummyfunction("""COMPUTED_VALUE"""),30.66)</f>
        <v>30.66</v>
      </c>
      <c r="F217" s="2" t="n">
        <f aca="false">IFERROR(__xludf.dummyfunction("""COMPUTED_VALUE"""),64674621)</f>
        <v>64674621</v>
      </c>
    </row>
    <row r="218" customFormat="false" ht="15.75" hidden="false" customHeight="false" outlineLevel="0" collapsed="false">
      <c r="A218" s="3" t="n">
        <f aca="false">IFERROR(__xludf.dummyfunction("""COMPUTED_VALUE"""),44510.6666666667)</f>
        <v>44510.6666666667</v>
      </c>
      <c r="B218" s="2" t="n">
        <f aca="false">IFERROR(__xludf.dummyfunction("""COMPUTED_VALUE"""),29.36)</f>
        <v>29.36</v>
      </c>
      <c r="C218" s="2" t="n">
        <f aca="false">IFERROR(__xludf.dummyfunction("""COMPUTED_VALUE"""),30.85)</f>
        <v>30.85</v>
      </c>
      <c r="D218" s="2" t="n">
        <f aca="false">IFERROR(__xludf.dummyfunction("""COMPUTED_VALUE"""),28.78)</f>
        <v>28.78</v>
      </c>
      <c r="E218" s="2" t="n">
        <f aca="false">IFERROR(__xludf.dummyfunction("""COMPUTED_VALUE"""),29.46)</f>
        <v>29.46</v>
      </c>
      <c r="F218" s="2" t="n">
        <f aca="false">IFERROR(__xludf.dummyfunction("""COMPUTED_VALUE"""),63620572)</f>
        <v>63620572</v>
      </c>
    </row>
    <row r="219" customFormat="false" ht="15.75" hidden="false" customHeight="false" outlineLevel="0" collapsed="false">
      <c r="A219" s="3" t="n">
        <f aca="false">IFERROR(__xludf.dummyfunction("""COMPUTED_VALUE"""),44511.6666666667)</f>
        <v>44511.6666666667</v>
      </c>
      <c r="B219" s="2" t="n">
        <f aca="false">IFERROR(__xludf.dummyfunction("""COMPUTED_VALUE"""),30.47)</f>
        <v>30.47</v>
      </c>
      <c r="C219" s="2" t="n">
        <f aca="false">IFERROR(__xludf.dummyfunction("""COMPUTED_VALUE"""),30.59)</f>
        <v>30.59</v>
      </c>
      <c r="D219" s="2" t="n">
        <f aca="false">IFERROR(__xludf.dummyfunction("""COMPUTED_VALUE"""),29.78)</f>
        <v>29.78</v>
      </c>
      <c r="E219" s="2" t="n">
        <f aca="false">IFERROR(__xludf.dummyfunction("""COMPUTED_VALUE"""),30.39)</f>
        <v>30.39</v>
      </c>
      <c r="F219" s="2" t="n">
        <f aca="false">IFERROR(__xludf.dummyfunction("""COMPUTED_VALUE"""),33217211)</f>
        <v>33217211</v>
      </c>
    </row>
    <row r="220" customFormat="false" ht="15.75" hidden="false" customHeight="false" outlineLevel="0" collapsed="false">
      <c r="A220" s="3" t="n">
        <f aca="false">IFERROR(__xludf.dummyfunction("""COMPUTED_VALUE"""),44512.6666666667)</f>
        <v>44512.6666666667</v>
      </c>
      <c r="B220" s="2" t="n">
        <f aca="false">IFERROR(__xludf.dummyfunction("""COMPUTED_VALUE"""),30.01)</f>
        <v>30.01</v>
      </c>
      <c r="C220" s="2" t="n">
        <f aca="false">IFERROR(__xludf.dummyfunction("""COMPUTED_VALUE"""),30.68)</f>
        <v>30.68</v>
      </c>
      <c r="D220" s="2" t="n">
        <f aca="false">IFERROR(__xludf.dummyfunction("""COMPUTED_VALUE"""),29.63)</f>
        <v>29.63</v>
      </c>
      <c r="E220" s="2" t="n">
        <f aca="false">IFERROR(__xludf.dummyfunction("""COMPUTED_VALUE"""),30.39)</f>
        <v>30.39</v>
      </c>
      <c r="F220" s="2" t="n">
        <f aca="false">IFERROR(__xludf.dummyfunction("""COMPUTED_VALUE"""),41305428)</f>
        <v>41305428</v>
      </c>
    </row>
    <row r="221" customFormat="false" ht="15.75" hidden="false" customHeight="false" outlineLevel="0" collapsed="false">
      <c r="A221" s="3" t="n">
        <f aca="false">IFERROR(__xludf.dummyfunction("""COMPUTED_VALUE"""),44515.6666666667)</f>
        <v>44515.6666666667</v>
      </c>
      <c r="B221" s="2" t="n">
        <f aca="false">IFERROR(__xludf.dummyfunction("""COMPUTED_VALUE"""),30.55)</f>
        <v>30.55</v>
      </c>
      <c r="C221" s="2" t="n">
        <f aca="false">IFERROR(__xludf.dummyfunction("""COMPUTED_VALUE"""),30.64)</f>
        <v>30.64</v>
      </c>
      <c r="D221" s="2" t="n">
        <f aca="false">IFERROR(__xludf.dummyfunction("""COMPUTED_VALUE"""),29.25)</f>
        <v>29.25</v>
      </c>
      <c r="E221" s="2" t="n">
        <f aca="false">IFERROR(__xludf.dummyfunction("""COMPUTED_VALUE"""),30.03)</f>
        <v>30.03</v>
      </c>
      <c r="F221" s="2" t="n">
        <f aca="false">IFERROR(__xludf.dummyfunction("""COMPUTED_VALUE"""),38490900)</f>
        <v>38490900</v>
      </c>
    </row>
    <row r="222" customFormat="false" ht="15.75" hidden="false" customHeight="false" outlineLevel="0" collapsed="false">
      <c r="A222" s="3" t="n">
        <f aca="false">IFERROR(__xludf.dummyfunction("""COMPUTED_VALUE"""),44516.6666666667)</f>
        <v>44516.6666666667</v>
      </c>
      <c r="B222" s="2" t="n">
        <f aca="false">IFERROR(__xludf.dummyfunction("""COMPUTED_VALUE"""),29.76)</f>
        <v>29.76</v>
      </c>
      <c r="C222" s="2" t="n">
        <f aca="false">IFERROR(__xludf.dummyfunction("""COMPUTED_VALUE"""),30.39)</f>
        <v>30.39</v>
      </c>
      <c r="D222" s="2" t="n">
        <f aca="false">IFERROR(__xludf.dummyfunction("""COMPUTED_VALUE"""),29.71)</f>
        <v>29.71</v>
      </c>
      <c r="E222" s="2" t="n">
        <f aca="false">IFERROR(__xludf.dummyfunction("""COMPUTED_VALUE"""),30.2)</f>
        <v>30.2</v>
      </c>
      <c r="F222" s="2" t="n">
        <f aca="false">IFERROR(__xludf.dummyfunction("""COMPUTED_VALUE"""),26448367)</f>
        <v>26448367</v>
      </c>
    </row>
    <row r="223" customFormat="false" ht="15.75" hidden="false" customHeight="false" outlineLevel="0" collapsed="false">
      <c r="A223" s="3" t="n">
        <f aca="false">IFERROR(__xludf.dummyfunction("""COMPUTED_VALUE"""),44517.6666666667)</f>
        <v>44517.6666666667</v>
      </c>
      <c r="B223" s="2" t="n">
        <f aca="false">IFERROR(__xludf.dummyfunction("""COMPUTED_VALUE"""),30.42)</f>
        <v>30.42</v>
      </c>
      <c r="C223" s="2" t="n">
        <f aca="false">IFERROR(__xludf.dummyfunction("""COMPUTED_VALUE"""),30.51)</f>
        <v>30.51</v>
      </c>
      <c r="D223" s="2" t="n">
        <f aca="false">IFERROR(__xludf.dummyfunction("""COMPUTED_VALUE"""),28.8)</f>
        <v>28.8</v>
      </c>
      <c r="E223" s="2" t="n">
        <f aca="false">IFERROR(__xludf.dummyfunction("""COMPUTED_VALUE"""),29.26)</f>
        <v>29.26</v>
      </c>
      <c r="F223" s="2" t="n">
        <f aca="false">IFERROR(__xludf.dummyfunction("""COMPUTED_VALUE"""),42850799)</f>
        <v>42850799</v>
      </c>
    </row>
    <row r="224" customFormat="false" ht="15.75" hidden="false" customHeight="false" outlineLevel="0" collapsed="false">
      <c r="A224" s="3" t="n">
        <f aca="false">IFERROR(__xludf.dummyfunction("""COMPUTED_VALUE"""),44518.6666666667)</f>
        <v>44518.6666666667</v>
      </c>
      <c r="B224" s="2" t="n">
        <f aca="false">IFERROR(__xludf.dummyfunction("""COMPUTED_VALUE"""),32.37)</f>
        <v>32.37</v>
      </c>
      <c r="C224" s="2" t="n">
        <f aca="false">IFERROR(__xludf.dummyfunction("""COMPUTED_VALUE"""),32.76)</f>
        <v>32.76</v>
      </c>
      <c r="D224" s="2" t="n">
        <f aca="false">IFERROR(__xludf.dummyfunction("""COMPUTED_VALUE"""),31.32)</f>
        <v>31.32</v>
      </c>
      <c r="E224" s="2" t="n">
        <f aca="false">IFERROR(__xludf.dummyfunction("""COMPUTED_VALUE"""),31.68)</f>
        <v>31.68</v>
      </c>
      <c r="F224" s="2" t="n">
        <f aca="false">IFERROR(__xludf.dummyfunction("""COMPUTED_VALUE"""),78171075)</f>
        <v>78171075</v>
      </c>
    </row>
    <row r="225" customFormat="false" ht="15.75" hidden="false" customHeight="false" outlineLevel="0" collapsed="false">
      <c r="A225" s="3" t="n">
        <f aca="false">IFERROR(__xludf.dummyfunction("""COMPUTED_VALUE"""),44519.6666666667)</f>
        <v>44519.6666666667</v>
      </c>
      <c r="B225" s="2" t="n">
        <f aca="false">IFERROR(__xludf.dummyfunction("""COMPUTED_VALUE"""),32.24)</f>
        <v>32.24</v>
      </c>
      <c r="C225" s="2" t="n">
        <f aca="false">IFERROR(__xludf.dummyfunction("""COMPUTED_VALUE"""),33.09)</f>
        <v>33.09</v>
      </c>
      <c r="D225" s="2" t="n">
        <f aca="false">IFERROR(__xludf.dummyfunction("""COMPUTED_VALUE"""),31.91)</f>
        <v>31.91</v>
      </c>
      <c r="E225" s="2" t="n">
        <f aca="false">IFERROR(__xludf.dummyfunction("""COMPUTED_VALUE"""),32.99)</f>
        <v>32.99</v>
      </c>
      <c r="F225" s="2" t="n">
        <f aca="false">IFERROR(__xludf.dummyfunction("""COMPUTED_VALUE"""),53386665)</f>
        <v>53386665</v>
      </c>
    </row>
    <row r="226" customFormat="false" ht="15.75" hidden="false" customHeight="false" outlineLevel="0" collapsed="false">
      <c r="A226" s="3" t="n">
        <f aca="false">IFERROR(__xludf.dummyfunction("""COMPUTED_VALUE"""),44522.6666666667)</f>
        <v>44522.6666666667</v>
      </c>
      <c r="B226" s="2" t="n">
        <f aca="false">IFERROR(__xludf.dummyfunction("""COMPUTED_VALUE"""),33.52)</f>
        <v>33.52</v>
      </c>
      <c r="C226" s="2" t="n">
        <f aca="false">IFERROR(__xludf.dummyfunction("""COMPUTED_VALUE"""),34.65)</f>
        <v>34.65</v>
      </c>
      <c r="D226" s="2" t="n">
        <f aca="false">IFERROR(__xludf.dummyfunction("""COMPUTED_VALUE"""),31.9)</f>
        <v>31.9</v>
      </c>
      <c r="E226" s="2" t="n">
        <f aca="false">IFERROR(__xludf.dummyfunction("""COMPUTED_VALUE"""),31.96)</f>
        <v>31.96</v>
      </c>
      <c r="F226" s="2" t="n">
        <f aca="false">IFERROR(__xludf.dummyfunction("""COMPUTED_VALUE"""),75433524)</f>
        <v>75433524</v>
      </c>
    </row>
    <row r="227" customFormat="false" ht="15.75" hidden="false" customHeight="false" outlineLevel="0" collapsed="false">
      <c r="A227" s="3" t="n">
        <f aca="false">IFERROR(__xludf.dummyfunction("""COMPUTED_VALUE"""),44523.6666666667)</f>
        <v>44523.6666666667</v>
      </c>
      <c r="B227" s="2" t="n">
        <f aca="false">IFERROR(__xludf.dummyfunction("""COMPUTED_VALUE"""),31.54)</f>
        <v>31.54</v>
      </c>
      <c r="C227" s="2" t="n">
        <f aca="false">IFERROR(__xludf.dummyfunction("""COMPUTED_VALUE"""),32.36)</f>
        <v>32.36</v>
      </c>
      <c r="D227" s="2" t="n">
        <f aca="false">IFERROR(__xludf.dummyfunction("""COMPUTED_VALUE"""),30.88)</f>
        <v>30.88</v>
      </c>
      <c r="E227" s="2" t="n">
        <f aca="false">IFERROR(__xludf.dummyfunction("""COMPUTED_VALUE"""),31.75)</f>
        <v>31.75</v>
      </c>
      <c r="F227" s="2" t="n">
        <f aca="false">IFERROR(__xludf.dummyfunction("""COMPUTED_VALUE"""),53216270)</f>
        <v>53216270</v>
      </c>
    </row>
    <row r="228" customFormat="false" ht="15.75" hidden="false" customHeight="false" outlineLevel="0" collapsed="false">
      <c r="A228" s="3" t="n">
        <f aca="false">IFERROR(__xludf.dummyfunction("""COMPUTED_VALUE"""),44524.6666666667)</f>
        <v>44524.6666666667</v>
      </c>
      <c r="B228" s="2" t="n">
        <f aca="false">IFERROR(__xludf.dummyfunction("""COMPUTED_VALUE"""),31.46)</f>
        <v>31.46</v>
      </c>
      <c r="C228" s="2" t="n">
        <f aca="false">IFERROR(__xludf.dummyfunction("""COMPUTED_VALUE"""),32.85)</f>
        <v>32.85</v>
      </c>
      <c r="D228" s="2" t="n">
        <f aca="false">IFERROR(__xludf.dummyfunction("""COMPUTED_VALUE"""),30.93)</f>
        <v>30.93</v>
      </c>
      <c r="E228" s="2" t="n">
        <f aca="false">IFERROR(__xludf.dummyfunction("""COMPUTED_VALUE"""),32.67)</f>
        <v>32.67</v>
      </c>
      <c r="F228" s="2" t="n">
        <f aca="false">IFERROR(__xludf.dummyfunction("""COMPUTED_VALUE"""),43516226)</f>
        <v>43516226</v>
      </c>
    </row>
    <row r="229" customFormat="false" ht="15.75" hidden="false" customHeight="false" outlineLevel="0" collapsed="false">
      <c r="A229" s="3" t="n">
        <f aca="false">IFERROR(__xludf.dummyfunction("""COMPUTED_VALUE"""),44526.5416666667)</f>
        <v>44526.5416666667</v>
      </c>
      <c r="B229" s="2" t="n">
        <f aca="false">IFERROR(__xludf.dummyfunction("""COMPUTED_VALUE"""),32.6)</f>
        <v>32.6</v>
      </c>
      <c r="C229" s="2" t="n">
        <f aca="false">IFERROR(__xludf.dummyfunction("""COMPUTED_VALUE"""),32.71)</f>
        <v>32.71</v>
      </c>
      <c r="D229" s="2" t="n">
        <f aca="false">IFERROR(__xludf.dummyfunction("""COMPUTED_VALUE"""),31.35)</f>
        <v>31.35</v>
      </c>
      <c r="E229" s="2" t="n">
        <f aca="false">IFERROR(__xludf.dummyfunction("""COMPUTED_VALUE"""),31.5)</f>
        <v>31.5</v>
      </c>
      <c r="F229" s="2" t="n">
        <f aca="false">IFERROR(__xludf.dummyfunction("""COMPUTED_VALUE"""),28306886)</f>
        <v>28306886</v>
      </c>
    </row>
    <row r="230" customFormat="false" ht="15.75" hidden="false" customHeight="false" outlineLevel="0" collapsed="false">
      <c r="A230" s="3" t="n">
        <f aca="false">IFERROR(__xludf.dummyfunction("""COMPUTED_VALUE"""),44529.6666666667)</f>
        <v>44529.6666666667</v>
      </c>
      <c r="B230" s="2" t="n">
        <f aca="false">IFERROR(__xludf.dummyfunction("""COMPUTED_VALUE"""),32.37)</f>
        <v>32.37</v>
      </c>
      <c r="C230" s="2" t="n">
        <f aca="false">IFERROR(__xludf.dummyfunction("""COMPUTED_VALUE"""),33.41)</f>
        <v>33.41</v>
      </c>
      <c r="D230" s="2" t="n">
        <f aca="false">IFERROR(__xludf.dummyfunction("""COMPUTED_VALUE"""),32.04)</f>
        <v>32.04</v>
      </c>
      <c r="E230" s="2" t="n">
        <f aca="false">IFERROR(__xludf.dummyfunction("""COMPUTED_VALUE"""),33.38)</f>
        <v>33.38</v>
      </c>
      <c r="F230" s="2" t="n">
        <f aca="false">IFERROR(__xludf.dummyfunction("""COMPUTED_VALUE"""),45496398)</f>
        <v>45496398</v>
      </c>
    </row>
    <row r="231" customFormat="false" ht="15.75" hidden="false" customHeight="false" outlineLevel="0" collapsed="false">
      <c r="A231" s="3" t="n">
        <f aca="false">IFERROR(__xludf.dummyfunction("""COMPUTED_VALUE"""),44530.6666666667)</f>
        <v>44530.6666666667</v>
      </c>
      <c r="B231" s="2" t="n">
        <f aca="false">IFERROR(__xludf.dummyfunction("""COMPUTED_VALUE"""),33.17)</f>
        <v>33.17</v>
      </c>
      <c r="C231" s="2" t="n">
        <f aca="false">IFERROR(__xludf.dummyfunction("""COMPUTED_VALUE"""),33.35)</f>
        <v>33.35</v>
      </c>
      <c r="D231" s="2" t="n">
        <f aca="false">IFERROR(__xludf.dummyfunction("""COMPUTED_VALUE"""),31.86)</f>
        <v>31.86</v>
      </c>
      <c r="E231" s="2" t="n">
        <f aca="false">IFERROR(__xludf.dummyfunction("""COMPUTED_VALUE"""),32.68)</f>
        <v>32.68</v>
      </c>
      <c r="F231" s="2" t="n">
        <f aca="false">IFERROR(__xludf.dummyfunction("""COMPUTED_VALUE"""),62206647)</f>
        <v>62206647</v>
      </c>
    </row>
    <row r="232" customFormat="false" ht="15.75" hidden="false" customHeight="false" outlineLevel="0" collapsed="false">
      <c r="A232" s="3" t="n">
        <f aca="false">IFERROR(__xludf.dummyfunction("""COMPUTED_VALUE"""),44531.6666666667)</f>
        <v>44531.6666666667</v>
      </c>
      <c r="B232" s="2" t="n">
        <f aca="false">IFERROR(__xludf.dummyfunction("""COMPUTED_VALUE"""),33.22)</f>
        <v>33.22</v>
      </c>
      <c r="C232" s="2" t="n">
        <f aca="false">IFERROR(__xludf.dummyfunction("""COMPUTED_VALUE"""),33.29)</f>
        <v>33.29</v>
      </c>
      <c r="D232" s="2" t="n">
        <f aca="false">IFERROR(__xludf.dummyfunction("""COMPUTED_VALUE"""),31.38)</f>
        <v>31.38</v>
      </c>
      <c r="E232" s="2" t="n">
        <f aca="false">IFERROR(__xludf.dummyfunction("""COMPUTED_VALUE"""),31.44)</f>
        <v>31.44</v>
      </c>
      <c r="F232" s="2" t="n">
        <f aca="false">IFERROR(__xludf.dummyfunction("""COMPUTED_VALUE"""),48580204)</f>
        <v>48580204</v>
      </c>
    </row>
    <row r="233" customFormat="false" ht="15.75" hidden="false" customHeight="false" outlineLevel="0" collapsed="false">
      <c r="A233" s="3" t="n">
        <f aca="false">IFERROR(__xludf.dummyfunction("""COMPUTED_VALUE"""),44532.6666666667)</f>
        <v>44532.6666666667</v>
      </c>
      <c r="B233" s="2" t="n">
        <f aca="false">IFERROR(__xludf.dummyfunction("""COMPUTED_VALUE"""),31.21)</f>
        <v>31.21</v>
      </c>
      <c r="C233" s="2" t="n">
        <f aca="false">IFERROR(__xludf.dummyfunction("""COMPUTED_VALUE"""),32.48)</f>
        <v>32.48</v>
      </c>
      <c r="D233" s="2" t="n">
        <f aca="false">IFERROR(__xludf.dummyfunction("""COMPUTED_VALUE"""),31.03)</f>
        <v>31.03</v>
      </c>
      <c r="E233" s="2" t="n">
        <f aca="false">IFERROR(__xludf.dummyfunction("""COMPUTED_VALUE"""),32.13)</f>
        <v>32.13</v>
      </c>
      <c r="F233" s="2" t="n">
        <f aca="false">IFERROR(__xludf.dummyfunction("""COMPUTED_VALUE"""),47289033)</f>
        <v>47289033</v>
      </c>
    </row>
    <row r="234" customFormat="false" ht="15.75" hidden="false" customHeight="false" outlineLevel="0" collapsed="false">
      <c r="A234" s="3" t="n">
        <f aca="false">IFERROR(__xludf.dummyfunction("""COMPUTED_VALUE"""),44533.6666666667)</f>
        <v>44533.6666666667</v>
      </c>
      <c r="B234" s="2" t="n">
        <f aca="false">IFERROR(__xludf.dummyfunction("""COMPUTED_VALUE"""),32)</f>
        <v>32</v>
      </c>
      <c r="C234" s="2" t="n">
        <f aca="false">IFERROR(__xludf.dummyfunction("""COMPUTED_VALUE"""),32.13)</f>
        <v>32.13</v>
      </c>
      <c r="D234" s="2" t="n">
        <f aca="false">IFERROR(__xludf.dummyfunction("""COMPUTED_VALUE"""),30.13)</f>
        <v>30.13</v>
      </c>
      <c r="E234" s="2" t="n">
        <f aca="false">IFERROR(__xludf.dummyfunction("""COMPUTED_VALUE"""),30.69)</f>
        <v>30.69</v>
      </c>
      <c r="F234" s="2" t="n">
        <f aca="false">IFERROR(__xludf.dummyfunction("""COMPUTED_VALUE"""),54432505)</f>
        <v>54432505</v>
      </c>
    </row>
    <row r="235" customFormat="false" ht="15.75" hidden="false" customHeight="false" outlineLevel="0" collapsed="false">
      <c r="A235" s="3" t="n">
        <f aca="false">IFERROR(__xludf.dummyfunction("""COMPUTED_VALUE"""),44536.6666666667)</f>
        <v>44536.6666666667</v>
      </c>
      <c r="B235" s="2" t="n">
        <f aca="false">IFERROR(__xludf.dummyfunction("""COMPUTED_VALUE"""),29.88)</f>
        <v>29.88</v>
      </c>
      <c r="C235" s="2" t="n">
        <f aca="false">IFERROR(__xludf.dummyfunction("""COMPUTED_VALUE"""),30.24)</f>
        <v>30.24</v>
      </c>
      <c r="D235" s="2" t="n">
        <f aca="false">IFERROR(__xludf.dummyfunction("""COMPUTED_VALUE"""),28.04)</f>
        <v>28.04</v>
      </c>
      <c r="E235" s="2" t="n">
        <f aca="false">IFERROR(__xludf.dummyfunction("""COMPUTED_VALUE"""),30.04)</f>
        <v>30.04</v>
      </c>
      <c r="F235" s="2" t="n">
        <f aca="false">IFERROR(__xludf.dummyfunction("""COMPUTED_VALUE"""),65893845)</f>
        <v>65893845</v>
      </c>
    </row>
    <row r="236" customFormat="false" ht="15.75" hidden="false" customHeight="false" outlineLevel="0" collapsed="false">
      <c r="A236" s="3" t="n">
        <f aca="false">IFERROR(__xludf.dummyfunction("""COMPUTED_VALUE"""),44537.6666666667)</f>
        <v>44537.6666666667</v>
      </c>
      <c r="B236" s="2" t="n">
        <f aca="false">IFERROR(__xludf.dummyfunction("""COMPUTED_VALUE"""),30.96)</f>
        <v>30.96</v>
      </c>
      <c r="C236" s="2" t="n">
        <f aca="false">IFERROR(__xludf.dummyfunction("""COMPUTED_VALUE"""),32.45)</f>
        <v>32.45</v>
      </c>
      <c r="D236" s="2" t="n">
        <f aca="false">IFERROR(__xludf.dummyfunction("""COMPUTED_VALUE"""),30.65)</f>
        <v>30.65</v>
      </c>
      <c r="E236" s="2" t="n">
        <f aca="false">IFERROR(__xludf.dummyfunction("""COMPUTED_VALUE"""),32.43)</f>
        <v>32.43</v>
      </c>
      <c r="F236" s="2" t="n">
        <f aca="false">IFERROR(__xludf.dummyfunction("""COMPUTED_VALUE"""),59305348)</f>
        <v>59305348</v>
      </c>
    </row>
    <row r="237" customFormat="false" ht="15.75" hidden="false" customHeight="false" outlineLevel="0" collapsed="false">
      <c r="A237" s="3" t="n">
        <f aca="false">IFERROR(__xludf.dummyfunction("""COMPUTED_VALUE"""),44538.6666666667)</f>
        <v>44538.6666666667</v>
      </c>
      <c r="B237" s="2" t="n">
        <f aca="false">IFERROR(__xludf.dummyfunction("""COMPUTED_VALUE"""),32)</f>
        <v>32</v>
      </c>
      <c r="C237" s="2" t="n">
        <f aca="false">IFERROR(__xludf.dummyfunction("""COMPUTED_VALUE"""),32.29)</f>
        <v>32.29</v>
      </c>
      <c r="D237" s="2" t="n">
        <f aca="false">IFERROR(__xludf.dummyfunction("""COMPUTED_VALUE"""),31.42)</f>
        <v>31.42</v>
      </c>
      <c r="E237" s="2" t="n">
        <f aca="false">IFERROR(__xludf.dummyfunction("""COMPUTED_VALUE"""),31.83)</f>
        <v>31.83</v>
      </c>
      <c r="F237" s="2" t="n">
        <f aca="false">IFERROR(__xludf.dummyfunction("""COMPUTED_VALUE"""),47555145)</f>
        <v>47555145</v>
      </c>
    </row>
    <row r="238" customFormat="false" ht="15.75" hidden="false" customHeight="false" outlineLevel="0" collapsed="false">
      <c r="A238" s="3" t="n">
        <f aca="false">IFERROR(__xludf.dummyfunction("""COMPUTED_VALUE"""),44539.6666666667)</f>
        <v>44539.6666666667</v>
      </c>
      <c r="B238" s="2" t="n">
        <f aca="false">IFERROR(__xludf.dummyfunction("""COMPUTED_VALUE"""),31.73)</f>
        <v>31.73</v>
      </c>
      <c r="C238" s="2" t="n">
        <f aca="false">IFERROR(__xludf.dummyfunction("""COMPUTED_VALUE"""),32.21)</f>
        <v>32.21</v>
      </c>
      <c r="D238" s="2" t="n">
        <f aca="false">IFERROR(__xludf.dummyfunction("""COMPUTED_VALUE"""),30.43)</f>
        <v>30.43</v>
      </c>
      <c r="E238" s="2" t="n">
        <f aca="false">IFERROR(__xludf.dummyfunction("""COMPUTED_VALUE"""),30.49)</f>
        <v>30.49</v>
      </c>
      <c r="F238" s="2" t="n">
        <f aca="false">IFERROR(__xludf.dummyfunction("""COMPUTED_VALUE"""),48850716)</f>
        <v>48850716</v>
      </c>
    </row>
    <row r="239" customFormat="false" ht="15.75" hidden="false" customHeight="false" outlineLevel="0" collapsed="false">
      <c r="A239" s="3" t="n">
        <f aca="false">IFERROR(__xludf.dummyfunction("""COMPUTED_VALUE"""),44540.6666666667)</f>
        <v>44540.6666666667</v>
      </c>
      <c r="B239" s="2" t="n">
        <f aca="false">IFERROR(__xludf.dummyfunction("""COMPUTED_VALUE"""),31.15)</f>
        <v>31.15</v>
      </c>
      <c r="C239" s="2" t="n">
        <f aca="false">IFERROR(__xludf.dummyfunction("""COMPUTED_VALUE"""),31.31)</f>
        <v>31.31</v>
      </c>
      <c r="D239" s="2" t="n">
        <f aca="false">IFERROR(__xludf.dummyfunction("""COMPUTED_VALUE"""),29.86)</f>
        <v>29.86</v>
      </c>
      <c r="E239" s="2" t="n">
        <f aca="false">IFERROR(__xludf.dummyfunction("""COMPUTED_VALUE"""),30.2)</f>
        <v>30.2</v>
      </c>
      <c r="F239" s="2" t="n">
        <f aca="false">IFERROR(__xludf.dummyfunction("""COMPUTED_VALUE"""),48882509)</f>
        <v>48882509</v>
      </c>
    </row>
    <row r="240" customFormat="false" ht="15.75" hidden="false" customHeight="false" outlineLevel="0" collapsed="false">
      <c r="A240" s="3" t="n">
        <f aca="false">IFERROR(__xludf.dummyfunction("""COMPUTED_VALUE"""),44543.6666666667)</f>
        <v>44543.6666666667</v>
      </c>
      <c r="B240" s="2" t="n">
        <f aca="false">IFERROR(__xludf.dummyfunction("""COMPUTED_VALUE"""),30.25)</f>
        <v>30.25</v>
      </c>
      <c r="C240" s="2" t="n">
        <f aca="false">IFERROR(__xludf.dummyfunction("""COMPUTED_VALUE"""),30.29)</f>
        <v>30.29</v>
      </c>
      <c r="D240" s="2" t="n">
        <f aca="false">IFERROR(__xludf.dummyfunction("""COMPUTED_VALUE"""),28.12)</f>
        <v>28.12</v>
      </c>
      <c r="E240" s="2" t="n">
        <f aca="false">IFERROR(__xludf.dummyfunction("""COMPUTED_VALUE"""),28.16)</f>
        <v>28.16</v>
      </c>
      <c r="F240" s="2" t="n">
        <f aca="false">IFERROR(__xludf.dummyfunction("""COMPUTED_VALUE"""),59834366)</f>
        <v>59834366</v>
      </c>
    </row>
    <row r="241" customFormat="false" ht="15.75" hidden="false" customHeight="false" outlineLevel="0" collapsed="false">
      <c r="A241" s="3" t="n">
        <f aca="false">IFERROR(__xludf.dummyfunction("""COMPUTED_VALUE"""),44544.6666666667)</f>
        <v>44544.6666666667</v>
      </c>
      <c r="B241" s="2" t="n">
        <f aca="false">IFERROR(__xludf.dummyfunction("""COMPUTED_VALUE"""),27.7)</f>
        <v>27.7</v>
      </c>
      <c r="C241" s="2" t="n">
        <f aca="false">IFERROR(__xludf.dummyfunction("""COMPUTED_VALUE"""),28.68)</f>
        <v>28.68</v>
      </c>
      <c r="D241" s="2" t="n">
        <f aca="false">IFERROR(__xludf.dummyfunction("""COMPUTED_VALUE"""),27.25)</f>
        <v>27.25</v>
      </c>
      <c r="E241" s="2" t="n">
        <f aca="false">IFERROR(__xludf.dummyfunction("""COMPUTED_VALUE"""),28.34)</f>
        <v>28.34</v>
      </c>
      <c r="F241" s="2" t="n">
        <f aca="false">IFERROR(__xludf.dummyfunction("""COMPUTED_VALUE"""),66703537)</f>
        <v>66703537</v>
      </c>
    </row>
    <row r="242" customFormat="false" ht="15.75" hidden="false" customHeight="false" outlineLevel="0" collapsed="false">
      <c r="A242" s="3" t="n">
        <f aca="false">IFERROR(__xludf.dummyfunction("""COMPUTED_VALUE"""),44545.6666666667)</f>
        <v>44545.6666666667</v>
      </c>
      <c r="B242" s="2" t="n">
        <f aca="false">IFERROR(__xludf.dummyfunction("""COMPUTED_VALUE"""),28.4)</f>
        <v>28.4</v>
      </c>
      <c r="C242" s="2" t="n">
        <f aca="false">IFERROR(__xludf.dummyfunction("""COMPUTED_VALUE"""),30.5)</f>
        <v>30.5</v>
      </c>
      <c r="D242" s="2" t="n">
        <f aca="false">IFERROR(__xludf.dummyfunction("""COMPUTED_VALUE"""),27.84)</f>
        <v>27.84</v>
      </c>
      <c r="E242" s="2" t="n">
        <f aca="false">IFERROR(__xludf.dummyfunction("""COMPUTED_VALUE"""),30.46)</f>
        <v>30.46</v>
      </c>
      <c r="F242" s="2" t="n">
        <f aca="false">IFERROR(__xludf.dummyfunction("""COMPUTED_VALUE"""),69829688)</f>
        <v>69829688</v>
      </c>
    </row>
    <row r="243" customFormat="false" ht="15.75" hidden="false" customHeight="false" outlineLevel="0" collapsed="false">
      <c r="A243" s="3" t="n">
        <f aca="false">IFERROR(__xludf.dummyfunction("""COMPUTED_VALUE"""),44546.6666666667)</f>
        <v>44546.6666666667</v>
      </c>
      <c r="B243" s="2" t="n">
        <f aca="false">IFERROR(__xludf.dummyfunction("""COMPUTED_VALUE"""),31.15)</f>
        <v>31.15</v>
      </c>
      <c r="C243" s="2" t="n">
        <f aca="false">IFERROR(__xludf.dummyfunction("""COMPUTED_VALUE"""),31.16)</f>
        <v>31.16</v>
      </c>
      <c r="D243" s="2" t="n">
        <f aca="false">IFERROR(__xludf.dummyfunction("""COMPUTED_VALUE"""),28.09)</f>
        <v>28.09</v>
      </c>
      <c r="E243" s="2" t="n">
        <f aca="false">IFERROR(__xludf.dummyfunction("""COMPUTED_VALUE"""),28.39)</f>
        <v>28.39</v>
      </c>
      <c r="F243" s="2" t="n">
        <f aca="false">IFERROR(__xludf.dummyfunction("""COMPUTED_VALUE"""),70736595)</f>
        <v>70736595</v>
      </c>
    </row>
    <row r="244" customFormat="false" ht="15.75" hidden="false" customHeight="false" outlineLevel="0" collapsed="false">
      <c r="A244" s="3" t="n">
        <f aca="false">IFERROR(__xludf.dummyfunction("""COMPUTED_VALUE"""),44547.6666666667)</f>
        <v>44547.6666666667</v>
      </c>
      <c r="B244" s="2" t="n">
        <f aca="false">IFERROR(__xludf.dummyfunction("""COMPUTED_VALUE"""),27.99)</f>
        <v>27.99</v>
      </c>
      <c r="C244" s="2" t="n">
        <f aca="false">IFERROR(__xludf.dummyfunction("""COMPUTED_VALUE"""),28.92)</f>
        <v>28.92</v>
      </c>
      <c r="D244" s="2" t="n">
        <f aca="false">IFERROR(__xludf.dummyfunction("""COMPUTED_VALUE"""),27.76)</f>
        <v>27.76</v>
      </c>
      <c r="E244" s="2" t="n">
        <f aca="false">IFERROR(__xludf.dummyfunction("""COMPUTED_VALUE"""),27.8)</f>
        <v>27.8</v>
      </c>
      <c r="F244" s="2" t="n">
        <f aca="false">IFERROR(__xludf.dummyfunction("""COMPUTED_VALUE"""),71662239)</f>
        <v>71662239</v>
      </c>
    </row>
    <row r="245" customFormat="false" ht="15.75" hidden="false" customHeight="false" outlineLevel="0" collapsed="false">
      <c r="A245" s="3" t="n">
        <f aca="false">IFERROR(__xludf.dummyfunction("""COMPUTED_VALUE"""),44550.6666666667)</f>
        <v>44550.6666666667</v>
      </c>
      <c r="B245" s="2" t="n">
        <f aca="false">IFERROR(__xludf.dummyfunction("""COMPUTED_VALUE"""),27.31)</f>
        <v>27.31</v>
      </c>
      <c r="C245" s="2" t="n">
        <f aca="false">IFERROR(__xludf.dummyfunction("""COMPUTED_VALUE"""),28.14)</f>
        <v>28.14</v>
      </c>
      <c r="D245" s="2" t="n">
        <f aca="false">IFERROR(__xludf.dummyfunction("""COMPUTED_VALUE"""),27.15)</f>
        <v>27.15</v>
      </c>
      <c r="E245" s="2" t="n">
        <f aca="false">IFERROR(__xludf.dummyfunction("""COMPUTED_VALUE"""),27.72)</f>
        <v>27.72</v>
      </c>
      <c r="F245" s="2" t="n">
        <f aca="false">IFERROR(__xludf.dummyfunction("""COMPUTED_VALUE"""),46184676)</f>
        <v>46184676</v>
      </c>
    </row>
    <row r="246" customFormat="false" ht="15.75" hidden="false" customHeight="false" outlineLevel="0" collapsed="false">
      <c r="A246" s="3" t="n">
        <f aca="false">IFERROR(__xludf.dummyfunction("""COMPUTED_VALUE"""),44551.6666666667)</f>
        <v>44551.6666666667</v>
      </c>
      <c r="B246" s="2" t="n">
        <f aca="false">IFERROR(__xludf.dummyfunction("""COMPUTED_VALUE"""),28.37)</f>
        <v>28.37</v>
      </c>
      <c r="C246" s="2" t="n">
        <f aca="false">IFERROR(__xludf.dummyfunction("""COMPUTED_VALUE"""),29.12)</f>
        <v>29.12</v>
      </c>
      <c r="D246" s="2" t="n">
        <f aca="false">IFERROR(__xludf.dummyfunction("""COMPUTED_VALUE"""),27.4)</f>
        <v>27.4</v>
      </c>
      <c r="E246" s="2" t="n">
        <f aca="false">IFERROR(__xludf.dummyfunction("""COMPUTED_VALUE"""),29.08)</f>
        <v>29.08</v>
      </c>
      <c r="F246" s="2" t="n">
        <f aca="false">IFERROR(__xludf.dummyfunction("""COMPUTED_VALUE"""),52438494)</f>
        <v>52438494</v>
      </c>
    </row>
    <row r="247" customFormat="false" ht="15.75" hidden="false" customHeight="false" outlineLevel="0" collapsed="false">
      <c r="A247" s="3" t="n">
        <f aca="false">IFERROR(__xludf.dummyfunction("""COMPUTED_VALUE"""),44552.6666666667)</f>
        <v>44552.6666666667</v>
      </c>
      <c r="B247" s="2" t="n">
        <f aca="false">IFERROR(__xludf.dummyfunction("""COMPUTED_VALUE"""),28.89)</f>
        <v>28.89</v>
      </c>
      <c r="C247" s="2" t="n">
        <f aca="false">IFERROR(__xludf.dummyfunction("""COMPUTED_VALUE"""),29.56)</f>
        <v>29.56</v>
      </c>
      <c r="D247" s="2" t="n">
        <f aca="false">IFERROR(__xludf.dummyfunction("""COMPUTED_VALUE"""),28.45)</f>
        <v>28.45</v>
      </c>
      <c r="E247" s="2" t="n">
        <f aca="false">IFERROR(__xludf.dummyfunction("""COMPUTED_VALUE"""),29.4)</f>
        <v>29.4</v>
      </c>
      <c r="F247" s="2" t="n">
        <f aca="false">IFERROR(__xludf.dummyfunction("""COMPUTED_VALUE"""),39518438)</f>
        <v>39518438</v>
      </c>
    </row>
    <row r="248" customFormat="false" ht="15.75" hidden="false" customHeight="false" outlineLevel="0" collapsed="false">
      <c r="A248" s="3" t="n">
        <f aca="false">IFERROR(__xludf.dummyfunction("""COMPUTED_VALUE"""),44553.6666666667)</f>
        <v>44553.6666666667</v>
      </c>
      <c r="B248" s="2" t="n">
        <f aca="false">IFERROR(__xludf.dummyfunction("""COMPUTED_VALUE"""),29.76)</f>
        <v>29.76</v>
      </c>
      <c r="C248" s="2" t="n">
        <f aca="false">IFERROR(__xludf.dummyfunction("""COMPUTED_VALUE"""),30.06)</f>
        <v>30.06</v>
      </c>
      <c r="D248" s="2" t="n">
        <f aca="false">IFERROR(__xludf.dummyfunction("""COMPUTED_VALUE"""),29.43)</f>
        <v>29.43</v>
      </c>
      <c r="E248" s="2" t="n">
        <f aca="false">IFERROR(__xludf.dummyfunction("""COMPUTED_VALUE"""),29.64)</f>
        <v>29.64</v>
      </c>
      <c r="F248" s="2" t="n">
        <f aca="false">IFERROR(__xludf.dummyfunction("""COMPUTED_VALUE"""),34302174)</f>
        <v>34302174</v>
      </c>
    </row>
    <row r="249" customFormat="false" ht="15.75" hidden="false" customHeight="false" outlineLevel="0" collapsed="false">
      <c r="A249" s="3" t="n">
        <f aca="false">IFERROR(__xludf.dummyfunction("""COMPUTED_VALUE"""),44557.6666666667)</f>
        <v>44557.6666666667</v>
      </c>
      <c r="B249" s="2" t="n">
        <f aca="false">IFERROR(__xludf.dummyfunction("""COMPUTED_VALUE"""),29.66)</f>
        <v>29.66</v>
      </c>
      <c r="C249" s="2" t="n">
        <f aca="false">IFERROR(__xludf.dummyfunction("""COMPUTED_VALUE"""),31.09)</f>
        <v>31.09</v>
      </c>
      <c r="D249" s="2" t="n">
        <f aca="false">IFERROR(__xludf.dummyfunction("""COMPUTED_VALUE"""),29.64)</f>
        <v>29.64</v>
      </c>
      <c r="E249" s="2" t="n">
        <f aca="false">IFERROR(__xludf.dummyfunction("""COMPUTED_VALUE"""),30.95)</f>
        <v>30.95</v>
      </c>
      <c r="F249" s="2" t="n">
        <f aca="false">IFERROR(__xludf.dummyfunction("""COMPUTED_VALUE"""),40368587)</f>
        <v>40368587</v>
      </c>
    </row>
    <row r="250" customFormat="false" ht="15.75" hidden="false" customHeight="false" outlineLevel="0" collapsed="false">
      <c r="A250" s="3" t="n">
        <f aca="false">IFERROR(__xludf.dummyfunction("""COMPUTED_VALUE"""),44558.6666666667)</f>
        <v>44558.6666666667</v>
      </c>
      <c r="B250" s="2" t="n">
        <f aca="false">IFERROR(__xludf.dummyfunction("""COMPUTED_VALUE"""),31.31)</f>
        <v>31.31</v>
      </c>
      <c r="C250" s="2" t="n">
        <f aca="false">IFERROR(__xludf.dummyfunction("""COMPUTED_VALUE"""),31.33)</f>
        <v>31.33</v>
      </c>
      <c r="D250" s="2" t="n">
        <f aca="false">IFERROR(__xludf.dummyfunction("""COMPUTED_VALUE"""),30.01)</f>
        <v>30.01</v>
      </c>
      <c r="E250" s="2" t="n">
        <f aca="false">IFERROR(__xludf.dummyfunction("""COMPUTED_VALUE"""),30.32)</f>
        <v>30.32</v>
      </c>
      <c r="F250" s="2" t="n">
        <f aca="false">IFERROR(__xludf.dummyfunction("""COMPUTED_VALUE"""),42059121)</f>
        <v>42059121</v>
      </c>
    </row>
    <row r="251" customFormat="false" ht="15.75" hidden="false" customHeight="false" outlineLevel="0" collapsed="false">
      <c r="A251" s="3" t="n">
        <f aca="false">IFERROR(__xludf.dummyfunction("""COMPUTED_VALUE"""),44559.6666666667)</f>
        <v>44559.6666666667</v>
      </c>
      <c r="B251" s="2" t="n">
        <f aca="false">IFERROR(__xludf.dummyfunction("""COMPUTED_VALUE"""),30.27)</f>
        <v>30.27</v>
      </c>
      <c r="C251" s="2" t="n">
        <f aca="false">IFERROR(__xludf.dummyfunction("""COMPUTED_VALUE"""),30.55)</f>
        <v>30.55</v>
      </c>
      <c r="D251" s="2" t="n">
        <f aca="false">IFERROR(__xludf.dummyfunction("""COMPUTED_VALUE"""),29.37)</f>
        <v>29.37</v>
      </c>
      <c r="E251" s="2" t="n">
        <f aca="false">IFERROR(__xludf.dummyfunction("""COMPUTED_VALUE"""),30)</f>
        <v>30</v>
      </c>
      <c r="F251" s="2" t="n">
        <f aca="false">IFERROR(__xludf.dummyfunction("""COMPUTED_VALUE"""),34313928)</f>
        <v>34313928</v>
      </c>
    </row>
    <row r="252" customFormat="false" ht="15.75" hidden="false" customHeight="false" outlineLevel="0" collapsed="false">
      <c r="A252" s="3" t="n">
        <f aca="false">IFERROR(__xludf.dummyfunction("""COMPUTED_VALUE"""),44560.6666666667)</f>
        <v>44560.6666666667</v>
      </c>
      <c r="B252" s="2" t="n">
        <f aca="false">IFERROR(__xludf.dummyfunction("""COMPUTED_VALUE"""),29.83)</f>
        <v>29.83</v>
      </c>
      <c r="C252" s="2" t="n">
        <f aca="false">IFERROR(__xludf.dummyfunction("""COMPUTED_VALUE"""),30.46)</f>
        <v>30.46</v>
      </c>
      <c r="D252" s="2" t="n">
        <f aca="false">IFERROR(__xludf.dummyfunction("""COMPUTED_VALUE"""),29.54)</f>
        <v>29.54</v>
      </c>
      <c r="E252" s="2" t="n">
        <f aca="false">IFERROR(__xludf.dummyfunction("""COMPUTED_VALUE"""),29.59)</f>
        <v>29.59</v>
      </c>
      <c r="F252" s="2" t="n">
        <f aca="false">IFERROR(__xludf.dummyfunction("""COMPUTED_VALUE"""),30886422)</f>
        <v>30886422</v>
      </c>
    </row>
    <row r="253" customFormat="false" ht="15.75" hidden="false" customHeight="false" outlineLevel="0" collapsed="false">
      <c r="A253" s="3" t="n">
        <f aca="false">IFERROR(__xludf.dummyfunction("""COMPUTED_VALUE"""),44561.6666666667)</f>
        <v>44561.6666666667</v>
      </c>
      <c r="B253" s="2" t="n">
        <f aca="false">IFERROR(__xludf.dummyfunction("""COMPUTED_VALUE"""),29.67)</f>
        <v>29.67</v>
      </c>
      <c r="C253" s="2" t="n">
        <f aca="false">IFERROR(__xludf.dummyfunction("""COMPUTED_VALUE"""),30.03)</f>
        <v>30.03</v>
      </c>
      <c r="D253" s="2" t="n">
        <f aca="false">IFERROR(__xludf.dummyfunction("""COMPUTED_VALUE"""),29.33)</f>
        <v>29.33</v>
      </c>
      <c r="E253" s="2" t="n">
        <f aca="false">IFERROR(__xludf.dummyfunction("""COMPUTED_VALUE"""),29.41)</f>
        <v>29.41</v>
      </c>
      <c r="F253" s="2" t="n">
        <f aca="false">IFERROR(__xludf.dummyfunction("""COMPUTED_VALUE"""),26652991)</f>
        <v>26652991</v>
      </c>
    </row>
    <row r="254" customFormat="false" ht="15.75" hidden="false" customHeight="false" outlineLevel="0" collapsed="false">
      <c r="A254" s="3" t="n">
        <f aca="false">IFERROR(__xludf.dummyfunction("""COMPUTED_VALUE"""),44564.6666666667)</f>
        <v>44564.6666666667</v>
      </c>
      <c r="B254" s="2" t="n">
        <f aca="false">IFERROR(__xludf.dummyfunction("""COMPUTED_VALUE"""),29.82)</f>
        <v>29.82</v>
      </c>
      <c r="C254" s="2" t="n">
        <f aca="false">IFERROR(__xludf.dummyfunction("""COMPUTED_VALUE"""),30.71)</f>
        <v>30.71</v>
      </c>
      <c r="D254" s="2" t="n">
        <f aca="false">IFERROR(__xludf.dummyfunction("""COMPUTED_VALUE"""),29.79)</f>
        <v>29.79</v>
      </c>
      <c r="E254" s="2" t="n">
        <f aca="false">IFERROR(__xludf.dummyfunction("""COMPUTED_VALUE"""),30.12)</f>
        <v>30.12</v>
      </c>
      <c r="F254" s="2" t="n">
        <f aca="false">IFERROR(__xludf.dummyfunction("""COMPUTED_VALUE"""),39240294)</f>
        <v>39240294</v>
      </c>
    </row>
    <row r="255" customFormat="false" ht="15.75" hidden="false" customHeight="false" outlineLevel="0" collapsed="false">
      <c r="A255" s="3" t="n">
        <f aca="false">IFERROR(__xludf.dummyfunction("""COMPUTED_VALUE"""),44565.6666666667)</f>
        <v>44565.6666666667</v>
      </c>
      <c r="B255" s="2" t="n">
        <f aca="false">IFERROR(__xludf.dummyfunction("""COMPUTED_VALUE"""),30.28)</f>
        <v>30.28</v>
      </c>
      <c r="C255" s="2" t="n">
        <f aca="false">IFERROR(__xludf.dummyfunction("""COMPUTED_VALUE"""),30.47)</f>
        <v>30.47</v>
      </c>
      <c r="D255" s="2" t="n">
        <f aca="false">IFERROR(__xludf.dummyfunction("""COMPUTED_VALUE"""),28.35)</f>
        <v>28.35</v>
      </c>
      <c r="E255" s="2" t="n">
        <f aca="false">IFERROR(__xludf.dummyfunction("""COMPUTED_VALUE"""),29.29)</f>
        <v>29.29</v>
      </c>
      <c r="F255" s="2" t="n">
        <f aca="false">IFERROR(__xludf.dummyfunction("""COMPUTED_VALUE"""),52715440)</f>
        <v>52715440</v>
      </c>
    </row>
    <row r="256" customFormat="false" ht="15.75" hidden="false" customHeight="false" outlineLevel="0" collapsed="false">
      <c r="A256" s="3" t="n">
        <f aca="false">IFERROR(__xludf.dummyfunction("""COMPUTED_VALUE"""),44566.6666666667)</f>
        <v>44566.6666666667</v>
      </c>
      <c r="B256" s="2" t="n">
        <f aca="false">IFERROR(__xludf.dummyfunction("""COMPUTED_VALUE"""),28.95)</f>
        <v>28.95</v>
      </c>
      <c r="C256" s="2" t="n">
        <f aca="false">IFERROR(__xludf.dummyfunction("""COMPUTED_VALUE"""),29.42)</f>
        <v>29.42</v>
      </c>
      <c r="D256" s="2" t="n">
        <f aca="false">IFERROR(__xludf.dummyfunction("""COMPUTED_VALUE"""),27.53)</f>
        <v>27.53</v>
      </c>
      <c r="E256" s="2" t="n">
        <f aca="false">IFERROR(__xludf.dummyfunction("""COMPUTED_VALUE"""),27.6)</f>
        <v>27.6</v>
      </c>
      <c r="F256" s="2" t="n">
        <f aca="false">IFERROR(__xludf.dummyfunction("""COMPUTED_VALUE"""),49806388)</f>
        <v>49806388</v>
      </c>
    </row>
    <row r="257" customFormat="false" ht="15.75" hidden="false" customHeight="false" outlineLevel="0" collapsed="false">
      <c r="A257" s="3" t="n">
        <f aca="false">IFERROR(__xludf.dummyfunction("""COMPUTED_VALUE"""),44567.6666666667)</f>
        <v>44567.6666666667</v>
      </c>
      <c r="B257" s="2" t="n">
        <f aca="false">IFERROR(__xludf.dummyfunction("""COMPUTED_VALUE"""),27.64)</f>
        <v>27.64</v>
      </c>
      <c r="C257" s="2" t="n">
        <f aca="false">IFERROR(__xludf.dummyfunction("""COMPUTED_VALUE"""),28.44)</f>
        <v>28.44</v>
      </c>
      <c r="D257" s="2" t="n">
        <f aca="false">IFERROR(__xludf.dummyfunction("""COMPUTED_VALUE"""),27.07)</f>
        <v>27.07</v>
      </c>
      <c r="E257" s="2" t="n">
        <f aca="false">IFERROR(__xludf.dummyfunction("""COMPUTED_VALUE"""),28.18)</f>
        <v>28.18</v>
      </c>
      <c r="F257" s="2" t="n">
        <f aca="false">IFERROR(__xludf.dummyfunction("""COMPUTED_VALUE"""),45418637)</f>
        <v>45418637</v>
      </c>
    </row>
    <row r="258" customFormat="false" ht="15.75" hidden="false" customHeight="false" outlineLevel="0" collapsed="false">
      <c r="A258" s="3" t="n">
        <f aca="false">IFERROR(__xludf.dummyfunction("""COMPUTED_VALUE"""),44568.6666666667)</f>
        <v>44568.6666666667</v>
      </c>
      <c r="B258" s="2" t="n">
        <f aca="false">IFERROR(__xludf.dummyfunction("""COMPUTED_VALUE"""),28.14)</f>
        <v>28.14</v>
      </c>
      <c r="C258" s="2" t="n">
        <f aca="false">IFERROR(__xludf.dummyfunction("""COMPUTED_VALUE"""),28.42)</f>
        <v>28.42</v>
      </c>
      <c r="D258" s="2" t="n">
        <f aca="false">IFERROR(__xludf.dummyfunction("""COMPUTED_VALUE"""),27.06)</f>
        <v>27.06</v>
      </c>
      <c r="E258" s="2" t="n">
        <f aca="false">IFERROR(__xludf.dummyfunction("""COMPUTED_VALUE"""),27.25)</f>
        <v>27.25</v>
      </c>
      <c r="F258" s="2" t="n">
        <f aca="false">IFERROR(__xludf.dummyfunction("""COMPUTED_VALUE"""),40993851)</f>
        <v>40993851</v>
      </c>
    </row>
    <row r="259" customFormat="false" ht="15.75" hidden="false" customHeight="false" outlineLevel="0" collapsed="false">
      <c r="A259" s="3" t="n">
        <f aca="false">IFERROR(__xludf.dummyfunction("""COMPUTED_VALUE"""),44571.6666666667)</f>
        <v>44571.6666666667</v>
      </c>
      <c r="B259" s="2" t="n">
        <f aca="false">IFERROR(__xludf.dummyfunction("""COMPUTED_VALUE"""),26.58)</f>
        <v>26.58</v>
      </c>
      <c r="C259" s="2" t="n">
        <f aca="false">IFERROR(__xludf.dummyfunction("""COMPUTED_VALUE"""),27.47)</f>
        <v>27.47</v>
      </c>
      <c r="D259" s="2" t="n">
        <f aca="false">IFERROR(__xludf.dummyfunction("""COMPUTED_VALUE"""),25.64)</f>
        <v>25.64</v>
      </c>
      <c r="E259" s="2" t="n">
        <f aca="false">IFERROR(__xludf.dummyfunction("""COMPUTED_VALUE"""),27.4)</f>
        <v>27.4</v>
      </c>
      <c r="F259" s="2" t="n">
        <f aca="false">IFERROR(__xludf.dummyfunction("""COMPUTED_VALUE"""),59468095)</f>
        <v>59468095</v>
      </c>
    </row>
    <row r="260" customFormat="false" ht="15.75" hidden="false" customHeight="false" outlineLevel="0" collapsed="false">
      <c r="A260" s="3" t="n">
        <f aca="false">IFERROR(__xludf.dummyfunction("""COMPUTED_VALUE"""),44572.6666666667)</f>
        <v>44572.6666666667</v>
      </c>
      <c r="B260" s="2" t="n">
        <f aca="false">IFERROR(__xludf.dummyfunction("""COMPUTED_VALUE"""),27.32)</f>
        <v>27.32</v>
      </c>
      <c r="C260" s="2" t="n">
        <f aca="false">IFERROR(__xludf.dummyfunction("""COMPUTED_VALUE"""),28.07)</f>
        <v>28.07</v>
      </c>
      <c r="D260" s="2" t="n">
        <f aca="false">IFERROR(__xludf.dummyfunction("""COMPUTED_VALUE"""),26.84)</f>
        <v>26.84</v>
      </c>
      <c r="E260" s="2" t="n">
        <f aca="false">IFERROR(__xludf.dummyfunction("""COMPUTED_VALUE"""),27.82)</f>
        <v>27.82</v>
      </c>
      <c r="F260" s="2" t="n">
        <f aca="false">IFERROR(__xludf.dummyfunction("""COMPUTED_VALUE"""),40408929)</f>
        <v>40408929</v>
      </c>
    </row>
    <row r="261" customFormat="false" ht="15.75" hidden="false" customHeight="false" outlineLevel="0" collapsed="false">
      <c r="A261" s="3" t="n">
        <f aca="false">IFERROR(__xludf.dummyfunction("""COMPUTED_VALUE"""),44573.6666666667)</f>
        <v>44573.6666666667</v>
      </c>
      <c r="B261" s="2" t="n">
        <f aca="false">IFERROR(__xludf.dummyfunction("""COMPUTED_VALUE"""),28.07)</f>
        <v>28.07</v>
      </c>
      <c r="C261" s="2" t="n">
        <f aca="false">IFERROR(__xludf.dummyfunction("""COMPUTED_VALUE"""),28.6)</f>
        <v>28.6</v>
      </c>
      <c r="D261" s="2" t="n">
        <f aca="false">IFERROR(__xludf.dummyfunction("""COMPUTED_VALUE"""),27.61)</f>
        <v>27.61</v>
      </c>
      <c r="E261" s="2" t="n">
        <f aca="false">IFERROR(__xludf.dummyfunction("""COMPUTED_VALUE"""),28)</f>
        <v>28</v>
      </c>
      <c r="F261" s="2" t="n">
        <f aca="false">IFERROR(__xludf.dummyfunction("""COMPUTED_VALUE"""),38341348)</f>
        <v>38341348</v>
      </c>
    </row>
    <row r="262" customFormat="false" ht="15.75" hidden="false" customHeight="false" outlineLevel="0" collapsed="false">
      <c r="A262" s="3" t="n">
        <f aca="false">IFERROR(__xludf.dummyfunction("""COMPUTED_VALUE"""),44574.6666666667)</f>
        <v>44574.6666666667</v>
      </c>
      <c r="B262" s="2" t="n">
        <f aca="false">IFERROR(__xludf.dummyfunction("""COMPUTED_VALUE"""),28.38)</f>
        <v>28.38</v>
      </c>
      <c r="C262" s="2" t="n">
        <f aca="false">IFERROR(__xludf.dummyfunction("""COMPUTED_VALUE"""),28.48)</f>
        <v>28.48</v>
      </c>
      <c r="D262" s="2" t="n">
        <f aca="false">IFERROR(__xludf.dummyfunction("""COMPUTED_VALUE"""),26.5)</f>
        <v>26.5</v>
      </c>
      <c r="E262" s="2" t="n">
        <f aca="false">IFERROR(__xludf.dummyfunction("""COMPUTED_VALUE"""),26.58)</f>
        <v>26.58</v>
      </c>
      <c r="F262" s="2" t="n">
        <f aca="false">IFERROR(__xludf.dummyfunction("""COMPUTED_VALUE"""),53886809)</f>
        <v>53886809</v>
      </c>
    </row>
    <row r="263" customFormat="false" ht="15.75" hidden="false" customHeight="false" outlineLevel="0" collapsed="false">
      <c r="A263" s="3" t="n">
        <f aca="false">IFERROR(__xludf.dummyfunction("""COMPUTED_VALUE"""),44575.6666666667)</f>
        <v>44575.6666666667</v>
      </c>
      <c r="B263" s="2" t="n">
        <f aca="false">IFERROR(__xludf.dummyfunction("""COMPUTED_VALUE"""),26.3)</f>
        <v>26.3</v>
      </c>
      <c r="C263" s="2" t="n">
        <f aca="false">IFERROR(__xludf.dummyfunction("""COMPUTED_VALUE"""),27.2)</f>
        <v>27.2</v>
      </c>
      <c r="D263" s="2" t="n">
        <f aca="false">IFERROR(__xludf.dummyfunction("""COMPUTED_VALUE"""),26.21)</f>
        <v>26.21</v>
      </c>
      <c r="E263" s="2" t="n">
        <f aca="false">IFERROR(__xludf.dummyfunction("""COMPUTED_VALUE"""),26.94)</f>
        <v>26.94</v>
      </c>
      <c r="F263" s="2" t="n">
        <f aca="false">IFERROR(__xludf.dummyfunction("""COMPUTED_VALUE"""),39583235)</f>
        <v>39583235</v>
      </c>
    </row>
    <row r="264" customFormat="false" ht="15.75" hidden="false" customHeight="false" outlineLevel="0" collapsed="false">
      <c r="A264" s="3" t="n">
        <f aca="false">IFERROR(__xludf.dummyfunction("""COMPUTED_VALUE"""),44579.6666666667)</f>
        <v>44579.6666666667</v>
      </c>
      <c r="B264" s="2" t="n">
        <f aca="false">IFERROR(__xludf.dummyfunction("""COMPUTED_VALUE"""),26.26)</f>
        <v>26.26</v>
      </c>
      <c r="C264" s="2" t="n">
        <f aca="false">IFERROR(__xludf.dummyfunction("""COMPUTED_VALUE"""),26.64)</f>
        <v>26.64</v>
      </c>
      <c r="D264" s="2" t="n">
        <f aca="false">IFERROR(__xludf.dummyfunction("""COMPUTED_VALUE"""),25.77)</f>
        <v>25.77</v>
      </c>
      <c r="E264" s="2" t="n">
        <f aca="false">IFERROR(__xludf.dummyfunction("""COMPUTED_VALUE"""),25.9)</f>
        <v>25.9</v>
      </c>
      <c r="F264" s="2" t="n">
        <f aca="false">IFERROR(__xludf.dummyfunction("""COMPUTED_VALUE"""),42530617)</f>
        <v>42530617</v>
      </c>
    </row>
    <row r="265" customFormat="false" ht="15.75" hidden="false" customHeight="false" outlineLevel="0" collapsed="false">
      <c r="A265" s="3" t="n">
        <f aca="false">IFERROR(__xludf.dummyfunction("""COMPUTED_VALUE"""),44580.6666666667)</f>
        <v>44580.6666666667</v>
      </c>
      <c r="B265" s="2" t="n">
        <f aca="false">IFERROR(__xludf.dummyfunction("""COMPUTED_VALUE"""),26.08)</f>
        <v>26.08</v>
      </c>
      <c r="C265" s="2" t="n">
        <f aca="false">IFERROR(__xludf.dummyfunction("""COMPUTED_VALUE"""),26.54)</f>
        <v>26.54</v>
      </c>
      <c r="D265" s="2" t="n">
        <f aca="false">IFERROR(__xludf.dummyfunction("""COMPUTED_VALUE"""),25.05)</f>
        <v>25.05</v>
      </c>
      <c r="E265" s="2" t="n">
        <f aca="false">IFERROR(__xludf.dummyfunction("""COMPUTED_VALUE"""),25.07)</f>
        <v>25.07</v>
      </c>
      <c r="F265" s="2" t="n">
        <f aca="false">IFERROR(__xludf.dummyfunction("""COMPUTED_VALUE"""),48831451)</f>
        <v>48831451</v>
      </c>
    </row>
    <row r="266" customFormat="false" ht="15.75" hidden="false" customHeight="false" outlineLevel="0" collapsed="false">
      <c r="A266" s="3" t="n">
        <f aca="false">IFERROR(__xludf.dummyfunction("""COMPUTED_VALUE"""),44581.6666666667)</f>
        <v>44581.6666666667</v>
      </c>
      <c r="B266" s="2" t="n">
        <f aca="false">IFERROR(__xludf.dummyfunction("""COMPUTED_VALUE"""),25.3)</f>
        <v>25.3</v>
      </c>
      <c r="C266" s="2" t="n">
        <f aca="false">IFERROR(__xludf.dummyfunction("""COMPUTED_VALUE"""),25.58)</f>
        <v>25.58</v>
      </c>
      <c r="D266" s="2" t="n">
        <f aca="false">IFERROR(__xludf.dummyfunction("""COMPUTED_VALUE"""),24.08)</f>
        <v>24.08</v>
      </c>
      <c r="E266" s="2" t="n">
        <f aca="false">IFERROR(__xludf.dummyfunction("""COMPUTED_VALUE"""),24.15)</f>
        <v>24.15</v>
      </c>
      <c r="F266" s="2" t="n">
        <f aca="false">IFERROR(__xludf.dummyfunction("""COMPUTED_VALUE"""),43518073)</f>
        <v>43518073</v>
      </c>
    </row>
    <row r="267" customFormat="false" ht="15.75" hidden="false" customHeight="false" outlineLevel="0" collapsed="false">
      <c r="A267" s="3" t="n">
        <f aca="false">IFERROR(__xludf.dummyfunction("""COMPUTED_VALUE"""),44582.6666666667)</f>
        <v>44582.6666666667</v>
      </c>
      <c r="B267" s="2" t="n">
        <f aca="false">IFERROR(__xludf.dummyfunction("""COMPUTED_VALUE"""),23.51)</f>
        <v>23.51</v>
      </c>
      <c r="C267" s="2" t="n">
        <f aca="false">IFERROR(__xludf.dummyfunction("""COMPUTED_VALUE"""),24.82)</f>
        <v>24.82</v>
      </c>
      <c r="D267" s="2" t="n">
        <f aca="false">IFERROR(__xludf.dummyfunction("""COMPUTED_VALUE"""),23.26)</f>
        <v>23.26</v>
      </c>
      <c r="E267" s="2" t="n">
        <f aca="false">IFERROR(__xludf.dummyfunction("""COMPUTED_VALUE"""),23.37)</f>
        <v>23.37</v>
      </c>
      <c r="F267" s="2" t="n">
        <f aca="false">IFERROR(__xludf.dummyfunction("""COMPUTED_VALUE"""),71895784)</f>
        <v>71895784</v>
      </c>
    </row>
    <row r="268" customFormat="false" ht="15.75" hidden="false" customHeight="false" outlineLevel="0" collapsed="false">
      <c r="A268" s="3" t="n">
        <f aca="false">IFERROR(__xludf.dummyfunction("""COMPUTED_VALUE"""),44585.6666666667)</f>
        <v>44585.6666666667</v>
      </c>
      <c r="B268" s="2" t="n">
        <f aca="false">IFERROR(__xludf.dummyfunction("""COMPUTED_VALUE"""),22.33)</f>
        <v>22.33</v>
      </c>
      <c r="C268" s="2" t="n">
        <f aca="false">IFERROR(__xludf.dummyfunction("""COMPUTED_VALUE"""),23.38)</f>
        <v>23.38</v>
      </c>
      <c r="D268" s="2" t="n">
        <f aca="false">IFERROR(__xludf.dummyfunction("""COMPUTED_VALUE"""),20.89)</f>
        <v>20.89</v>
      </c>
      <c r="E268" s="2" t="n">
        <f aca="false">IFERROR(__xludf.dummyfunction("""COMPUTED_VALUE"""),23.37)</f>
        <v>23.37</v>
      </c>
      <c r="F268" s="2" t="n">
        <f aca="false">IFERROR(__xludf.dummyfunction("""COMPUTED_VALUE"""),91581063)</f>
        <v>91581063</v>
      </c>
    </row>
    <row r="269" customFormat="false" ht="15.75" hidden="false" customHeight="false" outlineLevel="0" collapsed="false">
      <c r="A269" s="3" t="n">
        <f aca="false">IFERROR(__xludf.dummyfunction("""COMPUTED_VALUE"""),44586.6666666667)</f>
        <v>44586.6666666667</v>
      </c>
      <c r="B269" s="2" t="n">
        <f aca="false">IFERROR(__xludf.dummyfunction("""COMPUTED_VALUE"""),22.55)</f>
        <v>22.55</v>
      </c>
      <c r="C269" s="2" t="n">
        <f aca="false">IFERROR(__xludf.dummyfunction("""COMPUTED_VALUE"""),22.94)</f>
        <v>22.94</v>
      </c>
      <c r="D269" s="2" t="n">
        <f aca="false">IFERROR(__xludf.dummyfunction("""COMPUTED_VALUE"""),22)</f>
        <v>22</v>
      </c>
      <c r="E269" s="2" t="n">
        <f aca="false">IFERROR(__xludf.dummyfunction("""COMPUTED_VALUE"""),22.32)</f>
        <v>22.32</v>
      </c>
      <c r="F269" s="2" t="n">
        <f aca="false">IFERROR(__xludf.dummyfunction("""COMPUTED_VALUE"""),66461636)</f>
        <v>66461636</v>
      </c>
    </row>
    <row r="270" customFormat="false" ht="15.75" hidden="false" customHeight="false" outlineLevel="0" collapsed="false">
      <c r="A270" s="3" t="n">
        <f aca="false">IFERROR(__xludf.dummyfunction("""COMPUTED_VALUE"""),44587.6666666667)</f>
        <v>44587.6666666667</v>
      </c>
      <c r="B270" s="2" t="n">
        <f aca="false">IFERROR(__xludf.dummyfunction("""COMPUTED_VALUE"""),23.24)</f>
        <v>23.24</v>
      </c>
      <c r="C270" s="2" t="n">
        <f aca="false">IFERROR(__xludf.dummyfunction("""COMPUTED_VALUE"""),24.06)</f>
        <v>24.06</v>
      </c>
      <c r="D270" s="2" t="n">
        <f aca="false">IFERROR(__xludf.dummyfunction("""COMPUTED_VALUE"""),22.3)</f>
        <v>22.3</v>
      </c>
      <c r="E270" s="2" t="n">
        <f aca="false">IFERROR(__xludf.dummyfunction("""COMPUTED_VALUE"""),22.77)</f>
        <v>22.77</v>
      </c>
      <c r="F270" s="2" t="n">
        <f aca="false">IFERROR(__xludf.dummyfunction("""COMPUTED_VALUE"""),75595873)</f>
        <v>75595873</v>
      </c>
    </row>
    <row r="271" customFormat="false" ht="15.75" hidden="false" customHeight="false" outlineLevel="0" collapsed="false">
      <c r="A271" s="3" t="n">
        <f aca="false">IFERROR(__xludf.dummyfunction("""COMPUTED_VALUE"""),44588.6666666667)</f>
        <v>44588.6666666667</v>
      </c>
      <c r="B271" s="2" t="n">
        <f aca="false">IFERROR(__xludf.dummyfunction("""COMPUTED_VALUE"""),23.57)</f>
        <v>23.57</v>
      </c>
      <c r="C271" s="2" t="n">
        <f aca="false">IFERROR(__xludf.dummyfunction("""COMPUTED_VALUE"""),24)</f>
        <v>24</v>
      </c>
      <c r="D271" s="2" t="n">
        <f aca="false">IFERROR(__xludf.dummyfunction("""COMPUTED_VALUE"""),21.68)</f>
        <v>21.68</v>
      </c>
      <c r="E271" s="2" t="n">
        <f aca="false">IFERROR(__xludf.dummyfunction("""COMPUTED_VALUE"""),21.94)</f>
        <v>21.94</v>
      </c>
      <c r="F271" s="2" t="n">
        <f aca="false">IFERROR(__xludf.dummyfunction("""COMPUTED_VALUE"""),57335272)</f>
        <v>57335272</v>
      </c>
    </row>
    <row r="272" customFormat="false" ht="15.75" hidden="false" customHeight="false" outlineLevel="0" collapsed="false">
      <c r="A272" s="3" t="n">
        <f aca="false">IFERROR(__xludf.dummyfunction("""COMPUTED_VALUE"""),44589.6666666667)</f>
        <v>44589.6666666667</v>
      </c>
      <c r="B272" s="2" t="n">
        <f aca="false">IFERROR(__xludf.dummyfunction("""COMPUTED_VALUE"""),22.01)</f>
        <v>22.01</v>
      </c>
      <c r="C272" s="2" t="n">
        <f aca="false">IFERROR(__xludf.dummyfunction("""COMPUTED_VALUE"""),22.86)</f>
        <v>22.86</v>
      </c>
      <c r="D272" s="2" t="n">
        <f aca="false">IFERROR(__xludf.dummyfunction("""COMPUTED_VALUE"""),21.3)</f>
        <v>21.3</v>
      </c>
      <c r="E272" s="2" t="n">
        <f aca="false">IFERROR(__xludf.dummyfunction("""COMPUTED_VALUE"""),22.84)</f>
        <v>22.84</v>
      </c>
      <c r="F272" s="2" t="n">
        <f aca="false">IFERROR(__xludf.dummyfunction("""COMPUTED_VALUE"""),54377425)</f>
        <v>54377425</v>
      </c>
    </row>
    <row r="273" customFormat="false" ht="15.75" hidden="false" customHeight="false" outlineLevel="0" collapsed="false">
      <c r="A273" s="3" t="n">
        <f aca="false">IFERROR(__xludf.dummyfunction("""COMPUTED_VALUE"""),44592.6666666667)</f>
        <v>44592.6666666667</v>
      </c>
      <c r="B273" s="2" t="n">
        <f aca="false">IFERROR(__xludf.dummyfunction("""COMPUTED_VALUE"""),23.18)</f>
        <v>23.18</v>
      </c>
      <c r="C273" s="2" t="n">
        <f aca="false">IFERROR(__xludf.dummyfunction("""COMPUTED_VALUE"""),24.51)</f>
        <v>24.51</v>
      </c>
      <c r="D273" s="2" t="n">
        <f aca="false">IFERROR(__xludf.dummyfunction("""COMPUTED_VALUE"""),23.05)</f>
        <v>23.05</v>
      </c>
      <c r="E273" s="2" t="n">
        <f aca="false">IFERROR(__xludf.dummyfunction("""COMPUTED_VALUE"""),24.49)</f>
        <v>24.49</v>
      </c>
      <c r="F273" s="2" t="n">
        <f aca="false">IFERROR(__xludf.dummyfunction("""COMPUTED_VALUE"""),56467968)</f>
        <v>56467968</v>
      </c>
    </row>
    <row r="274" customFormat="false" ht="15.75" hidden="false" customHeight="false" outlineLevel="0" collapsed="false">
      <c r="A274" s="3" t="n">
        <f aca="false">IFERROR(__xludf.dummyfunction("""COMPUTED_VALUE"""),44593.6666666667)</f>
        <v>44593.6666666667</v>
      </c>
      <c r="B274" s="2" t="n">
        <f aca="false">IFERROR(__xludf.dummyfunction("""COMPUTED_VALUE"""),25.1)</f>
        <v>25.1</v>
      </c>
      <c r="C274" s="2" t="n">
        <f aca="false">IFERROR(__xludf.dummyfunction("""COMPUTED_VALUE"""),25.15)</f>
        <v>25.15</v>
      </c>
      <c r="D274" s="2" t="n">
        <f aca="false">IFERROR(__xludf.dummyfunction("""COMPUTED_VALUE"""),23.89)</f>
        <v>23.89</v>
      </c>
      <c r="E274" s="2" t="n">
        <f aca="false">IFERROR(__xludf.dummyfunction("""COMPUTED_VALUE"""),24.64)</f>
        <v>24.64</v>
      </c>
      <c r="F274" s="2" t="n">
        <f aca="false">IFERROR(__xludf.dummyfunction("""COMPUTED_VALUE"""),51892517)</f>
        <v>51892517</v>
      </c>
    </row>
    <row r="275" customFormat="false" ht="15.75" hidden="false" customHeight="false" outlineLevel="0" collapsed="false">
      <c r="A275" s="3" t="n">
        <f aca="false">IFERROR(__xludf.dummyfunction("""COMPUTED_VALUE"""),44594.6666666667)</f>
        <v>44594.6666666667</v>
      </c>
      <c r="B275" s="2" t="n">
        <f aca="false">IFERROR(__xludf.dummyfunction("""COMPUTED_VALUE"""),25.79)</f>
        <v>25.79</v>
      </c>
      <c r="C275" s="2" t="n">
        <f aca="false">IFERROR(__xludf.dummyfunction("""COMPUTED_VALUE"""),25.82)</f>
        <v>25.82</v>
      </c>
      <c r="D275" s="2" t="n">
        <f aca="false">IFERROR(__xludf.dummyfunction("""COMPUTED_VALUE"""),24.55)</f>
        <v>24.55</v>
      </c>
      <c r="E275" s="2" t="n">
        <f aca="false">IFERROR(__xludf.dummyfunction("""COMPUTED_VALUE"""),25.24)</f>
        <v>25.24</v>
      </c>
      <c r="F275" s="2" t="n">
        <f aca="false">IFERROR(__xludf.dummyfunction("""COMPUTED_VALUE"""),54341941)</f>
        <v>54341941</v>
      </c>
    </row>
    <row r="276" customFormat="false" ht="15.75" hidden="false" customHeight="false" outlineLevel="0" collapsed="false">
      <c r="A276" s="3" t="n">
        <f aca="false">IFERROR(__xludf.dummyfunction("""COMPUTED_VALUE"""),44595.6666666667)</f>
        <v>44595.6666666667</v>
      </c>
      <c r="B276" s="2" t="n">
        <f aca="false">IFERROR(__xludf.dummyfunction("""COMPUTED_VALUE"""),24.46)</f>
        <v>24.46</v>
      </c>
      <c r="C276" s="2" t="n">
        <f aca="false">IFERROR(__xludf.dummyfunction("""COMPUTED_VALUE"""),25.08)</f>
        <v>25.08</v>
      </c>
      <c r="D276" s="2" t="n">
        <f aca="false">IFERROR(__xludf.dummyfunction("""COMPUTED_VALUE"""),23.78)</f>
        <v>23.78</v>
      </c>
      <c r="E276" s="2" t="n">
        <f aca="false">IFERROR(__xludf.dummyfunction("""COMPUTED_VALUE"""),23.95)</f>
        <v>23.95</v>
      </c>
      <c r="F276" s="2" t="n">
        <f aca="false">IFERROR(__xludf.dummyfunction("""COMPUTED_VALUE"""),41017778)</f>
        <v>41017778</v>
      </c>
    </row>
    <row r="277" customFormat="false" ht="15.75" hidden="false" customHeight="false" outlineLevel="0" collapsed="false">
      <c r="A277" s="3" t="n">
        <f aca="false">IFERROR(__xludf.dummyfunction("""COMPUTED_VALUE"""),44596.6666666667)</f>
        <v>44596.6666666667</v>
      </c>
      <c r="B277" s="2" t="n">
        <f aca="false">IFERROR(__xludf.dummyfunction("""COMPUTED_VALUE"""),23.97)</f>
        <v>23.97</v>
      </c>
      <c r="C277" s="2" t="n">
        <f aca="false">IFERROR(__xludf.dummyfunction("""COMPUTED_VALUE"""),24.64)</f>
        <v>24.64</v>
      </c>
      <c r="D277" s="2" t="n">
        <f aca="false">IFERROR(__xludf.dummyfunction("""COMPUTED_VALUE"""),23.63)</f>
        <v>23.63</v>
      </c>
      <c r="E277" s="2" t="n">
        <f aca="false">IFERROR(__xludf.dummyfunction("""COMPUTED_VALUE"""),24.32)</f>
        <v>24.32</v>
      </c>
      <c r="F277" s="2" t="n">
        <f aca="false">IFERROR(__xludf.dummyfunction("""COMPUTED_VALUE"""),35482850)</f>
        <v>35482850</v>
      </c>
    </row>
    <row r="278" customFormat="false" ht="15.75" hidden="false" customHeight="false" outlineLevel="0" collapsed="false">
      <c r="A278" s="3" t="n">
        <f aca="false">IFERROR(__xludf.dummyfunction("""COMPUTED_VALUE"""),44599.6666666667)</f>
        <v>44599.6666666667</v>
      </c>
      <c r="B278" s="2" t="n">
        <f aca="false">IFERROR(__xludf.dummyfunction("""COMPUTED_VALUE"""),24.37)</f>
        <v>24.37</v>
      </c>
      <c r="C278" s="2" t="n">
        <f aca="false">IFERROR(__xludf.dummyfunction("""COMPUTED_VALUE"""),25.18)</f>
        <v>25.18</v>
      </c>
      <c r="D278" s="2" t="n">
        <f aca="false">IFERROR(__xludf.dummyfunction("""COMPUTED_VALUE"""),24.2)</f>
        <v>24.2</v>
      </c>
      <c r="E278" s="2" t="n">
        <f aca="false">IFERROR(__xludf.dummyfunction("""COMPUTED_VALUE"""),24.73)</f>
        <v>24.73</v>
      </c>
      <c r="F278" s="2" t="n">
        <f aca="false">IFERROR(__xludf.dummyfunction("""COMPUTED_VALUE"""),37686750)</f>
        <v>37686750</v>
      </c>
    </row>
    <row r="279" customFormat="false" ht="15.75" hidden="false" customHeight="false" outlineLevel="0" collapsed="false">
      <c r="A279" s="3" t="n">
        <f aca="false">IFERROR(__xludf.dummyfunction("""COMPUTED_VALUE"""),44600.6666666667)</f>
        <v>44600.6666666667</v>
      </c>
      <c r="B279" s="2" t="n">
        <f aca="false">IFERROR(__xludf.dummyfunction("""COMPUTED_VALUE"""),24.36)</f>
        <v>24.36</v>
      </c>
      <c r="C279" s="2" t="n">
        <f aca="false">IFERROR(__xludf.dummyfunction("""COMPUTED_VALUE"""),25.23)</f>
        <v>25.23</v>
      </c>
      <c r="D279" s="2" t="n">
        <f aca="false">IFERROR(__xludf.dummyfunction("""COMPUTED_VALUE"""),23.98)</f>
        <v>23.98</v>
      </c>
      <c r="E279" s="2" t="n">
        <f aca="false">IFERROR(__xludf.dummyfunction("""COMPUTED_VALUE"""),25.11)</f>
        <v>25.11</v>
      </c>
      <c r="F279" s="2" t="n">
        <f aca="false">IFERROR(__xludf.dummyfunction("""COMPUTED_VALUE"""),41035864)</f>
        <v>41035864</v>
      </c>
    </row>
    <row r="280" customFormat="false" ht="15.75" hidden="false" customHeight="false" outlineLevel="0" collapsed="false">
      <c r="A280" s="3" t="n">
        <f aca="false">IFERROR(__xludf.dummyfunction("""COMPUTED_VALUE"""),44601.6666666667)</f>
        <v>44601.6666666667</v>
      </c>
      <c r="B280" s="2" t="n">
        <f aca="false">IFERROR(__xludf.dummyfunction("""COMPUTED_VALUE"""),25.62)</f>
        <v>25.62</v>
      </c>
      <c r="C280" s="2" t="n">
        <f aca="false">IFERROR(__xludf.dummyfunction("""COMPUTED_VALUE"""),26.73)</f>
        <v>26.73</v>
      </c>
      <c r="D280" s="2" t="n">
        <f aca="false">IFERROR(__xludf.dummyfunction("""COMPUTED_VALUE"""),25.35)</f>
        <v>25.35</v>
      </c>
      <c r="E280" s="2" t="n">
        <f aca="false">IFERROR(__xludf.dummyfunction("""COMPUTED_VALUE"""),26.71)</f>
        <v>26.71</v>
      </c>
      <c r="F280" s="2" t="n">
        <f aca="false">IFERROR(__xludf.dummyfunction("""COMPUTED_VALUE"""),52428166)</f>
        <v>52428166</v>
      </c>
    </row>
    <row r="281" customFormat="false" ht="15.75" hidden="false" customHeight="false" outlineLevel="0" collapsed="false">
      <c r="A281" s="3" t="n">
        <f aca="false">IFERROR(__xludf.dummyfunction("""COMPUTED_VALUE"""),44602.6666666667)</f>
        <v>44602.6666666667</v>
      </c>
      <c r="B281" s="2" t="n">
        <f aca="false">IFERROR(__xludf.dummyfunction("""COMPUTED_VALUE"""),26)</f>
        <v>26</v>
      </c>
      <c r="C281" s="2" t="n">
        <f aca="false">IFERROR(__xludf.dummyfunction("""COMPUTED_VALUE"""),26.92)</f>
        <v>26.92</v>
      </c>
      <c r="D281" s="2" t="n">
        <f aca="false">IFERROR(__xludf.dummyfunction("""COMPUTED_VALUE"""),25.6)</f>
        <v>25.6</v>
      </c>
      <c r="E281" s="2" t="n">
        <f aca="false">IFERROR(__xludf.dummyfunction("""COMPUTED_VALUE"""),25.82)</f>
        <v>25.82</v>
      </c>
      <c r="F281" s="2" t="n">
        <f aca="false">IFERROR(__xludf.dummyfunction("""COMPUTED_VALUE"""),51319972)</f>
        <v>51319972</v>
      </c>
    </row>
    <row r="282" customFormat="false" ht="15.75" hidden="false" customHeight="false" outlineLevel="0" collapsed="false">
      <c r="A282" s="3" t="n">
        <f aca="false">IFERROR(__xludf.dummyfunction("""COMPUTED_VALUE"""),44603.6666666667)</f>
        <v>44603.6666666667</v>
      </c>
      <c r="B282" s="2" t="n">
        <f aca="false">IFERROR(__xludf.dummyfunction("""COMPUTED_VALUE"""),25.92)</f>
        <v>25.92</v>
      </c>
      <c r="C282" s="2" t="n">
        <f aca="false">IFERROR(__xludf.dummyfunction("""COMPUTED_VALUE"""),26.15)</f>
        <v>26.15</v>
      </c>
      <c r="D282" s="2" t="n">
        <f aca="false">IFERROR(__xludf.dummyfunction("""COMPUTED_VALUE"""),23.77)</f>
        <v>23.77</v>
      </c>
      <c r="E282" s="2" t="n">
        <f aca="false">IFERROR(__xludf.dummyfunction("""COMPUTED_VALUE"""),23.95)</f>
        <v>23.95</v>
      </c>
      <c r="F282" s="2" t="n">
        <f aca="false">IFERROR(__xludf.dummyfunction("""COMPUTED_VALUE"""),60547198)</f>
        <v>60547198</v>
      </c>
    </row>
    <row r="283" customFormat="false" ht="15.75" hidden="false" customHeight="false" outlineLevel="0" collapsed="false">
      <c r="A283" s="3" t="n">
        <f aca="false">IFERROR(__xludf.dummyfunction("""COMPUTED_VALUE"""),44606.6666666667)</f>
        <v>44606.6666666667</v>
      </c>
      <c r="B283" s="2" t="n">
        <f aca="false">IFERROR(__xludf.dummyfunction("""COMPUTED_VALUE"""),23.93)</f>
        <v>23.93</v>
      </c>
      <c r="C283" s="2" t="n">
        <f aca="false">IFERROR(__xludf.dummyfunction("""COMPUTED_VALUE"""),24.88)</f>
        <v>24.88</v>
      </c>
      <c r="D283" s="2" t="n">
        <f aca="false">IFERROR(__xludf.dummyfunction("""COMPUTED_VALUE"""),23.76)</f>
        <v>23.76</v>
      </c>
      <c r="E283" s="2" t="n">
        <f aca="false">IFERROR(__xludf.dummyfunction("""COMPUTED_VALUE"""),24.27)</f>
        <v>24.27</v>
      </c>
      <c r="F283" s="2" t="n">
        <f aca="false">IFERROR(__xludf.dummyfunction("""COMPUTED_VALUE"""),44042443)</f>
        <v>44042443</v>
      </c>
    </row>
    <row r="284" customFormat="false" ht="15.75" hidden="false" customHeight="false" outlineLevel="0" collapsed="false">
      <c r="A284" s="3" t="n">
        <f aca="false">IFERROR(__xludf.dummyfunction("""COMPUTED_VALUE"""),44607.6666666667)</f>
        <v>44607.6666666667</v>
      </c>
      <c r="B284" s="2" t="n">
        <f aca="false">IFERROR(__xludf.dummyfunction("""COMPUTED_VALUE"""),24.95)</f>
        <v>24.95</v>
      </c>
      <c r="C284" s="2" t="n">
        <f aca="false">IFERROR(__xludf.dummyfunction("""COMPUTED_VALUE"""),26.55)</f>
        <v>26.55</v>
      </c>
      <c r="D284" s="2" t="n">
        <f aca="false">IFERROR(__xludf.dummyfunction("""COMPUTED_VALUE"""),24.78)</f>
        <v>24.78</v>
      </c>
      <c r="E284" s="2" t="n">
        <f aca="false">IFERROR(__xludf.dummyfunction("""COMPUTED_VALUE"""),26.5)</f>
        <v>26.5</v>
      </c>
      <c r="F284" s="2" t="n">
        <f aca="false">IFERROR(__xludf.dummyfunction("""COMPUTED_VALUE"""),70175280)</f>
        <v>70175280</v>
      </c>
    </row>
    <row r="285" customFormat="false" ht="15.75" hidden="false" customHeight="false" outlineLevel="0" collapsed="false">
      <c r="A285" s="3" t="n">
        <f aca="false">IFERROR(__xludf.dummyfunction("""COMPUTED_VALUE"""),44608.6666666667)</f>
        <v>44608.6666666667</v>
      </c>
      <c r="B285" s="2" t="n">
        <f aca="false">IFERROR(__xludf.dummyfunction("""COMPUTED_VALUE"""),26.26)</f>
        <v>26.26</v>
      </c>
      <c r="C285" s="2" t="n">
        <f aca="false">IFERROR(__xludf.dummyfunction("""COMPUTED_VALUE"""),26.58)</f>
        <v>26.58</v>
      </c>
      <c r="D285" s="2" t="n">
        <f aca="false">IFERROR(__xludf.dummyfunction("""COMPUTED_VALUE"""),25.55)</f>
        <v>25.55</v>
      </c>
      <c r="E285" s="2" t="n">
        <f aca="false">IFERROR(__xludf.dummyfunction("""COMPUTED_VALUE"""),26.51)</f>
        <v>26.51</v>
      </c>
      <c r="F285" s="2" t="n">
        <f aca="false">IFERROR(__xludf.dummyfunction("""COMPUTED_VALUE"""),73267633)</f>
        <v>73267633</v>
      </c>
    </row>
    <row r="286" customFormat="false" ht="15.75" hidden="false" customHeight="false" outlineLevel="0" collapsed="false">
      <c r="A286" s="3" t="n">
        <f aca="false">IFERROR(__xludf.dummyfunction("""COMPUTED_VALUE"""),44609.6666666667)</f>
        <v>44609.6666666667</v>
      </c>
      <c r="B286" s="2" t="n">
        <f aca="false">IFERROR(__xludf.dummyfunction("""COMPUTED_VALUE"""),25.63)</f>
        <v>25.63</v>
      </c>
      <c r="C286" s="2" t="n">
        <f aca="false">IFERROR(__xludf.dummyfunction("""COMPUTED_VALUE"""),25.79)</f>
        <v>25.79</v>
      </c>
      <c r="D286" s="2" t="n">
        <f aca="false">IFERROR(__xludf.dummyfunction("""COMPUTED_VALUE"""),24.17)</f>
        <v>24.17</v>
      </c>
      <c r="E286" s="2" t="n">
        <f aca="false">IFERROR(__xludf.dummyfunction("""COMPUTED_VALUE"""),24.51)</f>
        <v>24.51</v>
      </c>
      <c r="F286" s="2" t="n">
        <f aca="false">IFERROR(__xludf.dummyfunction("""COMPUTED_VALUE"""),81059508)</f>
        <v>81059508</v>
      </c>
    </row>
    <row r="287" customFormat="false" ht="15.75" hidden="false" customHeight="false" outlineLevel="0" collapsed="false">
      <c r="A287" s="3" t="n">
        <f aca="false">IFERROR(__xludf.dummyfunction("""COMPUTED_VALUE"""),44610.6666666667)</f>
        <v>44610.6666666667</v>
      </c>
      <c r="B287" s="2" t="n">
        <f aca="false">IFERROR(__xludf.dummyfunction("""COMPUTED_VALUE"""),24.67)</f>
        <v>24.67</v>
      </c>
      <c r="C287" s="2" t="n">
        <f aca="false">IFERROR(__xludf.dummyfunction("""COMPUTED_VALUE"""),24.99)</f>
        <v>24.99</v>
      </c>
      <c r="D287" s="2" t="n">
        <f aca="false">IFERROR(__xludf.dummyfunction("""COMPUTED_VALUE"""),23.1)</f>
        <v>23.1</v>
      </c>
      <c r="E287" s="2" t="n">
        <f aca="false">IFERROR(__xludf.dummyfunction("""COMPUTED_VALUE"""),23.64)</f>
        <v>23.64</v>
      </c>
      <c r="F287" s="2" t="n">
        <f aca="false">IFERROR(__xludf.dummyfunction("""COMPUTED_VALUE"""),76125491)</f>
        <v>76125491</v>
      </c>
    </row>
    <row r="288" customFormat="false" ht="15.75" hidden="false" customHeight="false" outlineLevel="0" collapsed="false">
      <c r="A288" s="3" t="n">
        <f aca="false">IFERROR(__xludf.dummyfunction("""COMPUTED_VALUE"""),44614.6666666667)</f>
        <v>44614.6666666667</v>
      </c>
      <c r="B288" s="2" t="n">
        <f aca="false">IFERROR(__xludf.dummyfunction("""COMPUTED_VALUE"""),23.04)</f>
        <v>23.04</v>
      </c>
      <c r="C288" s="2" t="n">
        <f aca="false">IFERROR(__xludf.dummyfunction("""COMPUTED_VALUE"""),24.06)</f>
        <v>24.06</v>
      </c>
      <c r="D288" s="2" t="n">
        <f aca="false">IFERROR(__xludf.dummyfunction("""COMPUTED_VALUE"""),23)</f>
        <v>23</v>
      </c>
      <c r="E288" s="2" t="n">
        <f aca="false">IFERROR(__xludf.dummyfunction("""COMPUTED_VALUE"""),23.39)</f>
        <v>23.39</v>
      </c>
      <c r="F288" s="2" t="n">
        <f aca="false">IFERROR(__xludf.dummyfunction("""COMPUTED_VALUE"""),63342244)</f>
        <v>63342244</v>
      </c>
    </row>
    <row r="289" customFormat="false" ht="15.75" hidden="false" customHeight="false" outlineLevel="0" collapsed="false">
      <c r="A289" s="3" t="n">
        <f aca="false">IFERROR(__xludf.dummyfunction("""COMPUTED_VALUE"""),44615.6666666667)</f>
        <v>44615.6666666667</v>
      </c>
      <c r="B289" s="2" t="n">
        <f aca="false">IFERROR(__xludf.dummyfunction("""COMPUTED_VALUE"""),23.8)</f>
        <v>23.8</v>
      </c>
      <c r="C289" s="2" t="n">
        <f aca="false">IFERROR(__xludf.dummyfunction("""COMPUTED_VALUE"""),24.15)</f>
        <v>24.15</v>
      </c>
      <c r="D289" s="2" t="n">
        <f aca="false">IFERROR(__xludf.dummyfunction("""COMPUTED_VALUE"""),22.3)</f>
        <v>22.3</v>
      </c>
      <c r="E289" s="2" t="n">
        <f aca="false">IFERROR(__xludf.dummyfunction("""COMPUTED_VALUE"""),22.39)</f>
        <v>22.39</v>
      </c>
      <c r="F289" s="2" t="n">
        <f aca="false">IFERROR(__xludf.dummyfunction("""COMPUTED_VALUE"""),56651077)</f>
        <v>56651077</v>
      </c>
    </row>
    <row r="290" customFormat="false" ht="15.75" hidden="false" customHeight="false" outlineLevel="0" collapsed="false">
      <c r="A290" s="3" t="n">
        <f aca="false">IFERROR(__xludf.dummyfunction("""COMPUTED_VALUE"""),44616.6666666667)</f>
        <v>44616.6666666667</v>
      </c>
      <c r="B290" s="2" t="n">
        <f aca="false">IFERROR(__xludf.dummyfunction("""COMPUTED_VALUE"""),21.02)</f>
        <v>21.02</v>
      </c>
      <c r="C290" s="2" t="n">
        <f aca="false">IFERROR(__xludf.dummyfunction("""COMPUTED_VALUE"""),23.8)</f>
        <v>23.8</v>
      </c>
      <c r="D290" s="2" t="n">
        <f aca="false">IFERROR(__xludf.dummyfunction("""COMPUTED_VALUE"""),20.89)</f>
        <v>20.89</v>
      </c>
      <c r="E290" s="2" t="n">
        <f aca="false">IFERROR(__xludf.dummyfunction("""COMPUTED_VALUE"""),23.75)</f>
        <v>23.75</v>
      </c>
      <c r="F290" s="2" t="n">
        <f aca="false">IFERROR(__xludf.dummyfunction("""COMPUTED_VALUE"""),73580063)</f>
        <v>73580063</v>
      </c>
    </row>
    <row r="291" customFormat="false" ht="15.75" hidden="false" customHeight="false" outlineLevel="0" collapsed="false">
      <c r="A291" s="3" t="n">
        <f aca="false">IFERROR(__xludf.dummyfunction("""COMPUTED_VALUE"""),44617.6666666667)</f>
        <v>44617.6666666667</v>
      </c>
      <c r="B291" s="2" t="n">
        <f aca="false">IFERROR(__xludf.dummyfunction("""COMPUTED_VALUE"""),23.72)</f>
        <v>23.72</v>
      </c>
      <c r="C291" s="2" t="n">
        <f aca="false">IFERROR(__xludf.dummyfunction("""COMPUTED_VALUE"""),24.22)</f>
        <v>24.22</v>
      </c>
      <c r="D291" s="2" t="n">
        <f aca="false">IFERROR(__xludf.dummyfunction("""COMPUTED_VALUE"""),23.38)</f>
        <v>23.38</v>
      </c>
      <c r="E291" s="2" t="n">
        <f aca="false">IFERROR(__xludf.dummyfunction("""COMPUTED_VALUE"""),24.16)</f>
        <v>24.16</v>
      </c>
      <c r="F291" s="2" t="n">
        <f aca="false">IFERROR(__xludf.dummyfunction("""COMPUTED_VALUE"""),52886551)</f>
        <v>52886551</v>
      </c>
    </row>
    <row r="292" customFormat="false" ht="15.75" hidden="false" customHeight="false" outlineLevel="0" collapsed="false">
      <c r="A292" s="3" t="n">
        <f aca="false">IFERROR(__xludf.dummyfunction("""COMPUTED_VALUE"""),44620.6666666667)</f>
        <v>44620.6666666667</v>
      </c>
      <c r="B292" s="2" t="n">
        <f aca="false">IFERROR(__xludf.dummyfunction("""COMPUTED_VALUE"""),23.99)</f>
        <v>23.99</v>
      </c>
      <c r="C292" s="2" t="n">
        <f aca="false">IFERROR(__xludf.dummyfunction("""COMPUTED_VALUE"""),24.67)</f>
        <v>24.67</v>
      </c>
      <c r="D292" s="2" t="n">
        <f aca="false">IFERROR(__xludf.dummyfunction("""COMPUTED_VALUE"""),23.71)</f>
        <v>23.71</v>
      </c>
      <c r="E292" s="2" t="n">
        <f aca="false">IFERROR(__xludf.dummyfunction("""COMPUTED_VALUE"""),24.39)</f>
        <v>24.39</v>
      </c>
      <c r="F292" s="2" t="n">
        <f aca="false">IFERROR(__xludf.dummyfunction("""COMPUTED_VALUE"""),47731861)</f>
        <v>47731861</v>
      </c>
    </row>
    <row r="293" customFormat="false" ht="15.75" hidden="false" customHeight="false" outlineLevel="0" collapsed="false">
      <c r="A293" s="3" t="n">
        <f aca="false">IFERROR(__xludf.dummyfunction("""COMPUTED_VALUE"""),44621.6666666667)</f>
        <v>44621.6666666667</v>
      </c>
      <c r="B293" s="2" t="n">
        <f aca="false">IFERROR(__xludf.dummyfunction("""COMPUTED_VALUE"""),24.29)</f>
        <v>24.29</v>
      </c>
      <c r="C293" s="2" t="n">
        <f aca="false">IFERROR(__xludf.dummyfunction("""COMPUTED_VALUE"""),24.38)</f>
        <v>24.38</v>
      </c>
      <c r="D293" s="2" t="n">
        <f aca="false">IFERROR(__xludf.dummyfunction("""COMPUTED_VALUE"""),23.13)</f>
        <v>23.13</v>
      </c>
      <c r="E293" s="2" t="n">
        <f aca="false">IFERROR(__xludf.dummyfunction("""COMPUTED_VALUE"""),23.48)</f>
        <v>23.48</v>
      </c>
      <c r="F293" s="2" t="n">
        <f aca="false">IFERROR(__xludf.dummyfunction("""COMPUTED_VALUE"""),41205598)</f>
        <v>41205598</v>
      </c>
    </row>
    <row r="294" customFormat="false" ht="15.75" hidden="false" customHeight="false" outlineLevel="0" collapsed="false">
      <c r="A294" s="3" t="n">
        <f aca="false">IFERROR(__xludf.dummyfunction("""COMPUTED_VALUE"""),44622.6666666667)</f>
        <v>44622.6666666667</v>
      </c>
      <c r="B294" s="2" t="n">
        <f aca="false">IFERROR(__xludf.dummyfunction("""COMPUTED_VALUE"""),23.76)</f>
        <v>23.76</v>
      </c>
      <c r="C294" s="2" t="n">
        <f aca="false">IFERROR(__xludf.dummyfunction("""COMPUTED_VALUE"""),24.41)</f>
        <v>24.41</v>
      </c>
      <c r="D294" s="2" t="n">
        <f aca="false">IFERROR(__xludf.dummyfunction("""COMPUTED_VALUE"""),23.42)</f>
        <v>23.42</v>
      </c>
      <c r="E294" s="2" t="n">
        <f aca="false">IFERROR(__xludf.dummyfunction("""COMPUTED_VALUE"""),24.22)</f>
        <v>24.22</v>
      </c>
      <c r="F294" s="2" t="n">
        <f aca="false">IFERROR(__xludf.dummyfunction("""COMPUTED_VALUE"""),38964185)</f>
        <v>38964185</v>
      </c>
    </row>
    <row r="295" customFormat="false" ht="15.75" hidden="false" customHeight="false" outlineLevel="0" collapsed="false">
      <c r="A295" s="3" t="n">
        <f aca="false">IFERROR(__xludf.dummyfunction("""COMPUTED_VALUE"""),44623.6666666667)</f>
        <v>44623.6666666667</v>
      </c>
      <c r="B295" s="2" t="n">
        <f aca="false">IFERROR(__xludf.dummyfunction("""COMPUTED_VALUE"""),24.26)</f>
        <v>24.26</v>
      </c>
      <c r="C295" s="2" t="n">
        <f aca="false">IFERROR(__xludf.dummyfunction("""COMPUTED_VALUE"""),24.33)</f>
        <v>24.33</v>
      </c>
      <c r="D295" s="2" t="n">
        <f aca="false">IFERROR(__xludf.dummyfunction("""COMPUTED_VALUE"""),23.47)</f>
        <v>23.47</v>
      </c>
      <c r="E295" s="2" t="n">
        <f aca="false">IFERROR(__xludf.dummyfunction("""COMPUTED_VALUE"""),23.71)</f>
        <v>23.71</v>
      </c>
      <c r="F295" s="2" t="n">
        <f aca="false">IFERROR(__xludf.dummyfunction("""COMPUTED_VALUE"""),36509504)</f>
        <v>36509504</v>
      </c>
    </row>
    <row r="296" customFormat="false" ht="15.75" hidden="false" customHeight="false" outlineLevel="0" collapsed="false">
      <c r="A296" s="3" t="n">
        <f aca="false">IFERROR(__xludf.dummyfunction("""COMPUTED_VALUE"""),44624.6666666667)</f>
        <v>44624.6666666667</v>
      </c>
      <c r="B296" s="2" t="n">
        <f aca="false">IFERROR(__xludf.dummyfunction("""COMPUTED_VALUE"""),23.38)</f>
        <v>23.38</v>
      </c>
      <c r="C296" s="2" t="n">
        <f aca="false">IFERROR(__xludf.dummyfunction("""COMPUTED_VALUE"""),23.68)</f>
        <v>23.68</v>
      </c>
      <c r="D296" s="2" t="n">
        <f aca="false">IFERROR(__xludf.dummyfunction("""COMPUTED_VALUE"""),22.48)</f>
        <v>22.48</v>
      </c>
      <c r="E296" s="2" t="n">
        <f aca="false">IFERROR(__xludf.dummyfunction("""COMPUTED_VALUE"""),22.94)</f>
        <v>22.94</v>
      </c>
      <c r="F296" s="2" t="n">
        <f aca="false">IFERROR(__xludf.dummyfunction("""COMPUTED_VALUE"""),43201070)</f>
        <v>43201070</v>
      </c>
    </row>
    <row r="297" customFormat="false" ht="15.75" hidden="false" customHeight="false" outlineLevel="0" collapsed="false">
      <c r="A297" s="3" t="n">
        <f aca="false">IFERROR(__xludf.dummyfunction("""COMPUTED_VALUE"""),44627.6666666667)</f>
        <v>44627.6666666667</v>
      </c>
      <c r="B297" s="2" t="n">
        <f aca="false">IFERROR(__xludf.dummyfunction("""COMPUTED_VALUE"""),22.82)</f>
        <v>22.82</v>
      </c>
      <c r="C297" s="2" t="n">
        <f aca="false">IFERROR(__xludf.dummyfunction("""COMPUTED_VALUE"""),23.03)</f>
        <v>23.03</v>
      </c>
      <c r="D297" s="2" t="n">
        <f aca="false">IFERROR(__xludf.dummyfunction("""COMPUTED_VALUE"""),21.33)</f>
        <v>21.33</v>
      </c>
      <c r="E297" s="2" t="n">
        <f aca="false">IFERROR(__xludf.dummyfunction("""COMPUTED_VALUE"""),21.35)</f>
        <v>21.35</v>
      </c>
      <c r="F297" s="2" t="n">
        <f aca="false">IFERROR(__xludf.dummyfunction("""COMPUTED_VALUE"""),45082089)</f>
        <v>45082089</v>
      </c>
    </row>
    <row r="298" customFormat="false" ht="15.75" hidden="false" customHeight="false" outlineLevel="0" collapsed="false">
      <c r="A298" s="3" t="n">
        <f aca="false">IFERROR(__xludf.dummyfunction("""COMPUTED_VALUE"""),44628.6666666667)</f>
        <v>44628.6666666667</v>
      </c>
      <c r="B298" s="2" t="n">
        <f aca="false">IFERROR(__xludf.dummyfunction("""COMPUTED_VALUE"""),21.31)</f>
        <v>21.31</v>
      </c>
      <c r="C298" s="2" t="n">
        <f aca="false">IFERROR(__xludf.dummyfunction("""COMPUTED_VALUE"""),22.37)</f>
        <v>22.37</v>
      </c>
      <c r="D298" s="2" t="n">
        <f aca="false">IFERROR(__xludf.dummyfunction("""COMPUTED_VALUE"""),20.65)</f>
        <v>20.65</v>
      </c>
      <c r="E298" s="2" t="n">
        <f aca="false">IFERROR(__xludf.dummyfunction("""COMPUTED_VALUE"""),21.51)</f>
        <v>21.51</v>
      </c>
      <c r="F298" s="2" t="n">
        <f aca="false">IFERROR(__xludf.dummyfunction("""COMPUTED_VALUE"""),55746719)</f>
        <v>55746719</v>
      </c>
    </row>
    <row r="299" customFormat="false" ht="15.75" hidden="false" customHeight="false" outlineLevel="0" collapsed="false">
      <c r="A299" s="3" t="n">
        <f aca="false">IFERROR(__xludf.dummyfunction("""COMPUTED_VALUE"""),44629.6666666667)</f>
        <v>44629.6666666667</v>
      </c>
      <c r="B299" s="2" t="n">
        <f aca="false">IFERROR(__xludf.dummyfunction("""COMPUTED_VALUE"""),22.39)</f>
        <v>22.39</v>
      </c>
      <c r="C299" s="2" t="n">
        <f aca="false">IFERROR(__xludf.dummyfunction("""COMPUTED_VALUE"""),23.22)</f>
        <v>23.22</v>
      </c>
      <c r="D299" s="2" t="n">
        <f aca="false">IFERROR(__xludf.dummyfunction("""COMPUTED_VALUE"""),22.25)</f>
        <v>22.25</v>
      </c>
      <c r="E299" s="2" t="n">
        <f aca="false">IFERROR(__xludf.dummyfunction("""COMPUTED_VALUE"""),23.01)</f>
        <v>23.01</v>
      </c>
      <c r="F299" s="2" t="n">
        <f aca="false">IFERROR(__xludf.dummyfunction("""COMPUTED_VALUE"""),49274195)</f>
        <v>49274195</v>
      </c>
    </row>
    <row r="300" customFormat="false" ht="15.75" hidden="false" customHeight="false" outlineLevel="0" collapsed="false">
      <c r="A300" s="3" t="n">
        <f aca="false">IFERROR(__xludf.dummyfunction("""COMPUTED_VALUE"""),44630.6666666667)</f>
        <v>44630.6666666667</v>
      </c>
      <c r="B300" s="2" t="n">
        <f aca="false">IFERROR(__xludf.dummyfunction("""COMPUTED_VALUE"""),22.53)</f>
        <v>22.53</v>
      </c>
      <c r="C300" s="2" t="n">
        <f aca="false">IFERROR(__xludf.dummyfunction("""COMPUTED_VALUE"""),22.79)</f>
        <v>22.79</v>
      </c>
      <c r="D300" s="2" t="n">
        <f aca="false">IFERROR(__xludf.dummyfunction("""COMPUTED_VALUE"""),21.88)</f>
        <v>21.88</v>
      </c>
      <c r="E300" s="2" t="n">
        <f aca="false">IFERROR(__xludf.dummyfunction("""COMPUTED_VALUE"""),22.66)</f>
        <v>22.66</v>
      </c>
      <c r="F300" s="2" t="n">
        <f aca="false">IFERROR(__xludf.dummyfunction("""COMPUTED_VALUE"""),42806565)</f>
        <v>42806565</v>
      </c>
    </row>
    <row r="301" customFormat="false" ht="15.75" hidden="false" customHeight="false" outlineLevel="0" collapsed="false">
      <c r="A301" s="3" t="n">
        <f aca="false">IFERROR(__xludf.dummyfunction("""COMPUTED_VALUE"""),44631.6666666667)</f>
        <v>44631.6666666667</v>
      </c>
      <c r="B301" s="2" t="n">
        <f aca="false">IFERROR(__xludf.dummyfunction("""COMPUTED_VALUE"""),23.02)</f>
        <v>23.02</v>
      </c>
      <c r="C301" s="2" t="n">
        <f aca="false">IFERROR(__xludf.dummyfunction("""COMPUTED_VALUE"""),23.15)</f>
        <v>23.15</v>
      </c>
      <c r="D301" s="2" t="n">
        <f aca="false">IFERROR(__xludf.dummyfunction("""COMPUTED_VALUE"""),22.05)</f>
        <v>22.05</v>
      </c>
      <c r="E301" s="2" t="n">
        <f aca="false">IFERROR(__xludf.dummyfunction("""COMPUTED_VALUE"""),22.1)</f>
        <v>22.1</v>
      </c>
      <c r="F301" s="2" t="n">
        <f aca="false">IFERROR(__xludf.dummyfunction("""COMPUTED_VALUE"""),36720857)</f>
        <v>36720857</v>
      </c>
    </row>
    <row r="302" customFormat="false" ht="15.75" hidden="false" customHeight="false" outlineLevel="0" collapsed="false">
      <c r="A302" s="3" t="n">
        <f aca="false">IFERROR(__xludf.dummyfunction("""COMPUTED_VALUE"""),44634.6666666667)</f>
        <v>44634.6666666667</v>
      </c>
      <c r="B302" s="2" t="n">
        <f aca="false">IFERROR(__xludf.dummyfunction("""COMPUTED_VALUE"""),21.87)</f>
        <v>21.87</v>
      </c>
      <c r="C302" s="2" t="n">
        <f aca="false">IFERROR(__xludf.dummyfunction("""COMPUTED_VALUE"""),22.26)</f>
        <v>22.26</v>
      </c>
      <c r="D302" s="2" t="n">
        <f aca="false">IFERROR(__xludf.dummyfunction("""COMPUTED_VALUE"""),21.16)</f>
        <v>21.16</v>
      </c>
      <c r="E302" s="2" t="n">
        <f aca="false">IFERROR(__xludf.dummyfunction("""COMPUTED_VALUE"""),21.33)</f>
        <v>21.33</v>
      </c>
      <c r="F302" s="2" t="n">
        <f aca="false">IFERROR(__xludf.dummyfunction("""COMPUTED_VALUE"""),38535424)</f>
        <v>38535424</v>
      </c>
    </row>
    <row r="303" customFormat="false" ht="15.75" hidden="false" customHeight="false" outlineLevel="0" collapsed="false">
      <c r="A303" s="3" t="n">
        <f aca="false">IFERROR(__xludf.dummyfunction("""COMPUTED_VALUE"""),44635.6666666667)</f>
        <v>44635.6666666667</v>
      </c>
      <c r="B303" s="2" t="n">
        <f aca="false">IFERROR(__xludf.dummyfunction("""COMPUTED_VALUE"""),21.52)</f>
        <v>21.52</v>
      </c>
      <c r="C303" s="2" t="n">
        <f aca="false">IFERROR(__xludf.dummyfunction("""COMPUTED_VALUE"""),23.04)</f>
        <v>23.04</v>
      </c>
      <c r="D303" s="2" t="n">
        <f aca="false">IFERROR(__xludf.dummyfunction("""COMPUTED_VALUE"""),21.32)</f>
        <v>21.32</v>
      </c>
      <c r="E303" s="2" t="n">
        <f aca="false">IFERROR(__xludf.dummyfunction("""COMPUTED_VALUE"""),22.97)</f>
        <v>22.97</v>
      </c>
      <c r="F303" s="2" t="n">
        <f aca="false">IFERROR(__xludf.dummyfunction("""COMPUTED_VALUE"""),49199569)</f>
        <v>49199569</v>
      </c>
    </row>
    <row r="304" customFormat="false" ht="15.75" hidden="false" customHeight="false" outlineLevel="0" collapsed="false">
      <c r="A304" s="3" t="n">
        <f aca="false">IFERROR(__xludf.dummyfunction("""COMPUTED_VALUE"""),44636.6666666667)</f>
        <v>44636.6666666667</v>
      </c>
      <c r="B304" s="2" t="n">
        <f aca="false">IFERROR(__xludf.dummyfunction("""COMPUTED_VALUE"""),23.5)</f>
        <v>23.5</v>
      </c>
      <c r="C304" s="2" t="n">
        <f aca="false">IFERROR(__xludf.dummyfunction("""COMPUTED_VALUE"""),24.6)</f>
        <v>24.6</v>
      </c>
      <c r="D304" s="2" t="n">
        <f aca="false">IFERROR(__xludf.dummyfunction("""COMPUTED_VALUE"""),23.17)</f>
        <v>23.17</v>
      </c>
      <c r="E304" s="2" t="n">
        <f aca="false">IFERROR(__xludf.dummyfunction("""COMPUTED_VALUE"""),24.5)</f>
        <v>24.5</v>
      </c>
      <c r="F304" s="2" t="n">
        <f aca="false">IFERROR(__xludf.dummyfunction("""COMPUTED_VALUE"""),67142174)</f>
        <v>67142174</v>
      </c>
    </row>
    <row r="305" customFormat="false" ht="15.75" hidden="false" customHeight="false" outlineLevel="0" collapsed="false">
      <c r="A305" s="3" t="n">
        <f aca="false">IFERROR(__xludf.dummyfunction("""COMPUTED_VALUE"""),44637.6666666667)</f>
        <v>44637.6666666667</v>
      </c>
      <c r="B305" s="2" t="n">
        <f aca="false">IFERROR(__xludf.dummyfunction("""COMPUTED_VALUE"""),24.12)</f>
        <v>24.12</v>
      </c>
      <c r="C305" s="2" t="n">
        <f aca="false">IFERROR(__xludf.dummyfunction("""COMPUTED_VALUE"""),24.84)</f>
        <v>24.84</v>
      </c>
      <c r="D305" s="2" t="n">
        <f aca="false">IFERROR(__xludf.dummyfunction("""COMPUTED_VALUE"""),23.91)</f>
        <v>23.91</v>
      </c>
      <c r="E305" s="2" t="n">
        <f aca="false">IFERROR(__xludf.dummyfunction("""COMPUTED_VALUE"""),24.77)</f>
        <v>24.77</v>
      </c>
      <c r="F305" s="2" t="n">
        <f aca="false">IFERROR(__xludf.dummyfunction("""COMPUTED_VALUE"""),47194119)</f>
        <v>47194119</v>
      </c>
    </row>
    <row r="306" customFormat="false" ht="15.75" hidden="false" customHeight="false" outlineLevel="0" collapsed="false">
      <c r="A306" s="3" t="n">
        <f aca="false">IFERROR(__xludf.dummyfunction("""COMPUTED_VALUE"""),44638.6666666667)</f>
        <v>44638.6666666667</v>
      </c>
      <c r="B306" s="2" t="n">
        <f aca="false">IFERROR(__xludf.dummyfunction("""COMPUTED_VALUE"""),24.8)</f>
        <v>24.8</v>
      </c>
      <c r="C306" s="2" t="n">
        <f aca="false">IFERROR(__xludf.dummyfunction("""COMPUTED_VALUE"""),26.57)</f>
        <v>26.57</v>
      </c>
      <c r="D306" s="2" t="n">
        <f aca="false">IFERROR(__xludf.dummyfunction("""COMPUTED_VALUE"""),24.62)</f>
        <v>24.62</v>
      </c>
      <c r="E306" s="2" t="n">
        <f aca="false">IFERROR(__xludf.dummyfunction("""COMPUTED_VALUE"""),26.45)</f>
        <v>26.45</v>
      </c>
      <c r="F306" s="2" t="n">
        <f aca="false">IFERROR(__xludf.dummyfunction("""COMPUTED_VALUE"""),73071856)</f>
        <v>73071856</v>
      </c>
    </row>
    <row r="307" customFormat="false" ht="15.75" hidden="false" customHeight="false" outlineLevel="0" collapsed="false">
      <c r="A307" s="3" t="n">
        <f aca="false">IFERROR(__xludf.dummyfunction("""COMPUTED_VALUE"""),44641.6666666667)</f>
        <v>44641.6666666667</v>
      </c>
      <c r="B307" s="2" t="n">
        <f aca="false">IFERROR(__xludf.dummyfunction("""COMPUTED_VALUE"""),26.51)</f>
        <v>26.51</v>
      </c>
      <c r="C307" s="2" t="n">
        <f aca="false">IFERROR(__xludf.dummyfunction("""COMPUTED_VALUE"""),27.15)</f>
        <v>27.15</v>
      </c>
      <c r="D307" s="2" t="n">
        <f aca="false">IFERROR(__xludf.dummyfunction("""COMPUTED_VALUE"""),25.97)</f>
        <v>25.97</v>
      </c>
      <c r="E307" s="2" t="n">
        <f aca="false">IFERROR(__xludf.dummyfunction("""COMPUTED_VALUE"""),26.73)</f>
        <v>26.73</v>
      </c>
      <c r="F307" s="2" t="n">
        <f aca="false">IFERROR(__xludf.dummyfunction("""COMPUTED_VALUE"""),59172708)</f>
        <v>59172708</v>
      </c>
    </row>
    <row r="308" customFormat="false" ht="15.75" hidden="false" customHeight="false" outlineLevel="0" collapsed="false">
      <c r="A308" s="3" t="n">
        <f aca="false">IFERROR(__xludf.dummyfunction("""COMPUTED_VALUE"""),44642.6666666667)</f>
        <v>44642.6666666667</v>
      </c>
      <c r="B308" s="2" t="n">
        <f aca="false">IFERROR(__xludf.dummyfunction("""COMPUTED_VALUE"""),26.73)</f>
        <v>26.73</v>
      </c>
      <c r="C308" s="2" t="n">
        <f aca="false">IFERROR(__xludf.dummyfunction("""COMPUTED_VALUE"""),27.24)</f>
        <v>27.24</v>
      </c>
      <c r="D308" s="2" t="n">
        <f aca="false">IFERROR(__xludf.dummyfunction("""COMPUTED_VALUE"""),26.07)</f>
        <v>26.07</v>
      </c>
      <c r="E308" s="2" t="n">
        <f aca="false">IFERROR(__xludf.dummyfunction("""COMPUTED_VALUE"""),26.52)</f>
        <v>26.52</v>
      </c>
      <c r="F308" s="2" t="n">
        <f aca="false">IFERROR(__xludf.dummyfunction("""COMPUTED_VALUE"""),54700710)</f>
        <v>54700710</v>
      </c>
    </row>
    <row r="309" customFormat="false" ht="15.75" hidden="false" customHeight="false" outlineLevel="0" collapsed="false">
      <c r="A309" s="3" t="n">
        <f aca="false">IFERROR(__xludf.dummyfunction("""COMPUTED_VALUE"""),44643.6666666667)</f>
        <v>44643.6666666667</v>
      </c>
      <c r="B309" s="2" t="n">
        <f aca="false">IFERROR(__xludf.dummyfunction("""COMPUTED_VALUE"""),26.13)</f>
        <v>26.13</v>
      </c>
      <c r="C309" s="2" t="n">
        <f aca="false">IFERROR(__xludf.dummyfunction("""COMPUTED_VALUE"""),26.61)</f>
        <v>26.61</v>
      </c>
      <c r="D309" s="2" t="n">
        <f aca="false">IFERROR(__xludf.dummyfunction("""COMPUTED_VALUE"""),25.58)</f>
        <v>25.58</v>
      </c>
      <c r="E309" s="2" t="n">
        <f aca="false">IFERROR(__xludf.dummyfunction("""COMPUTED_VALUE"""),25.63)</f>
        <v>25.63</v>
      </c>
      <c r="F309" s="2" t="n">
        <f aca="false">IFERROR(__xludf.dummyfunction("""COMPUTED_VALUE"""),50211986)</f>
        <v>50211986</v>
      </c>
    </row>
    <row r="310" customFormat="false" ht="15.75" hidden="false" customHeight="false" outlineLevel="0" collapsed="false">
      <c r="A310" s="3" t="n">
        <f aca="false">IFERROR(__xludf.dummyfunction("""COMPUTED_VALUE"""),44644.6666666667)</f>
        <v>44644.6666666667</v>
      </c>
      <c r="B310" s="2" t="n">
        <f aca="false">IFERROR(__xludf.dummyfunction("""COMPUTED_VALUE"""),26.17)</f>
        <v>26.17</v>
      </c>
      <c r="C310" s="2" t="n">
        <f aca="false">IFERROR(__xludf.dummyfunction("""COMPUTED_VALUE"""),28.32)</f>
        <v>28.32</v>
      </c>
      <c r="D310" s="2" t="n">
        <f aca="false">IFERROR(__xludf.dummyfunction("""COMPUTED_VALUE"""),25.91)</f>
        <v>25.91</v>
      </c>
      <c r="E310" s="2" t="n">
        <f aca="false">IFERROR(__xludf.dummyfunction("""COMPUTED_VALUE"""),28.15)</f>
        <v>28.15</v>
      </c>
      <c r="F310" s="2" t="n">
        <f aca="false">IFERROR(__xludf.dummyfunction("""COMPUTED_VALUE"""),87737914)</f>
        <v>87737914</v>
      </c>
    </row>
    <row r="311" customFormat="false" ht="15.75" hidden="false" customHeight="false" outlineLevel="0" collapsed="false">
      <c r="A311" s="3" t="n">
        <f aca="false">IFERROR(__xludf.dummyfunction("""COMPUTED_VALUE"""),44645.6666666667)</f>
        <v>44645.6666666667</v>
      </c>
      <c r="B311" s="2" t="n">
        <f aca="false">IFERROR(__xludf.dummyfunction("""COMPUTED_VALUE"""),27.89)</f>
        <v>27.89</v>
      </c>
      <c r="C311" s="2" t="n">
        <f aca="false">IFERROR(__xludf.dummyfunction("""COMPUTED_VALUE"""),28.36)</f>
        <v>28.36</v>
      </c>
      <c r="D311" s="2" t="n">
        <f aca="false">IFERROR(__xludf.dummyfunction("""COMPUTED_VALUE"""),27.27)</f>
        <v>27.27</v>
      </c>
      <c r="E311" s="2" t="n">
        <f aca="false">IFERROR(__xludf.dummyfunction("""COMPUTED_VALUE"""),27.69)</f>
        <v>27.69</v>
      </c>
      <c r="F311" s="2" t="n">
        <f aca="false">IFERROR(__xludf.dummyfunction("""COMPUTED_VALUE"""),57901618)</f>
        <v>57901618</v>
      </c>
    </row>
    <row r="312" customFormat="false" ht="15.75" hidden="false" customHeight="false" outlineLevel="0" collapsed="false">
      <c r="A312" s="3" t="n">
        <f aca="false">IFERROR(__xludf.dummyfunction("""COMPUTED_VALUE"""),44648.6666666667)</f>
        <v>44648.6666666667</v>
      </c>
      <c r="B312" s="2" t="n">
        <f aca="false">IFERROR(__xludf.dummyfunction("""COMPUTED_VALUE"""),27.76)</f>
        <v>27.76</v>
      </c>
      <c r="C312" s="2" t="n">
        <f aca="false">IFERROR(__xludf.dummyfunction("""COMPUTED_VALUE"""),28.25)</f>
        <v>28.25</v>
      </c>
      <c r="D312" s="2" t="n">
        <f aca="false">IFERROR(__xludf.dummyfunction("""COMPUTED_VALUE"""),27.21)</f>
        <v>27.21</v>
      </c>
      <c r="E312" s="2" t="n">
        <f aca="false">IFERROR(__xludf.dummyfunction("""COMPUTED_VALUE"""),28.22)</f>
        <v>28.22</v>
      </c>
      <c r="F312" s="2" t="n">
        <f aca="false">IFERROR(__xludf.dummyfunction("""COMPUTED_VALUE"""),42549392)</f>
        <v>42549392</v>
      </c>
    </row>
    <row r="313" customFormat="false" ht="15.75" hidden="false" customHeight="false" outlineLevel="0" collapsed="false">
      <c r="A313" s="3" t="n">
        <f aca="false">IFERROR(__xludf.dummyfunction("""COMPUTED_VALUE"""),44649.6666666667)</f>
        <v>44649.6666666667</v>
      </c>
      <c r="B313" s="2" t="n">
        <f aca="false">IFERROR(__xludf.dummyfunction("""COMPUTED_VALUE"""),28.69)</f>
        <v>28.69</v>
      </c>
      <c r="C313" s="2" t="n">
        <f aca="false">IFERROR(__xludf.dummyfunction("""COMPUTED_VALUE"""),28.95)</f>
        <v>28.95</v>
      </c>
      <c r="D313" s="2" t="n">
        <f aca="false">IFERROR(__xludf.dummyfunction("""COMPUTED_VALUE"""),27.98)</f>
        <v>27.98</v>
      </c>
      <c r="E313" s="2" t="n">
        <f aca="false">IFERROR(__xludf.dummyfunction("""COMPUTED_VALUE"""),28.66)</f>
        <v>28.66</v>
      </c>
      <c r="F313" s="2" t="n">
        <f aca="false">IFERROR(__xludf.dummyfunction("""COMPUTED_VALUE"""),48898440)</f>
        <v>48898440</v>
      </c>
    </row>
    <row r="314" customFormat="false" ht="15.75" hidden="false" customHeight="false" outlineLevel="0" collapsed="false">
      <c r="A314" s="3" t="n">
        <f aca="false">IFERROR(__xludf.dummyfunction("""COMPUTED_VALUE"""),44650.6666666667)</f>
        <v>44650.6666666667</v>
      </c>
      <c r="B314" s="2" t="n">
        <f aca="false">IFERROR(__xludf.dummyfunction("""COMPUTED_VALUE"""),28.3)</f>
        <v>28.3</v>
      </c>
      <c r="C314" s="2" t="n">
        <f aca="false">IFERROR(__xludf.dummyfunction("""COMPUTED_VALUE"""),28.5)</f>
        <v>28.5</v>
      </c>
      <c r="D314" s="2" t="n">
        <f aca="false">IFERROR(__xludf.dummyfunction("""COMPUTED_VALUE"""),27.5)</f>
        <v>27.5</v>
      </c>
      <c r="E314" s="2" t="n">
        <f aca="false">IFERROR(__xludf.dummyfunction("""COMPUTED_VALUE"""),27.69)</f>
        <v>27.69</v>
      </c>
      <c r="F314" s="2" t="n">
        <f aca="false">IFERROR(__xludf.dummyfunction("""COMPUTED_VALUE"""),46348713)</f>
        <v>46348713</v>
      </c>
    </row>
    <row r="315" customFormat="false" ht="15.75" hidden="false" customHeight="false" outlineLevel="0" collapsed="false">
      <c r="A315" s="3" t="n">
        <f aca="false">IFERROR(__xludf.dummyfunction("""COMPUTED_VALUE"""),44651.6666666667)</f>
        <v>44651.6666666667</v>
      </c>
      <c r="B315" s="2" t="n">
        <f aca="false">IFERROR(__xludf.dummyfunction("""COMPUTED_VALUE"""),27.78)</f>
        <v>27.78</v>
      </c>
      <c r="C315" s="2" t="n">
        <f aca="false">IFERROR(__xludf.dummyfunction("""COMPUTED_VALUE"""),28.25)</f>
        <v>28.25</v>
      </c>
      <c r="D315" s="2" t="n">
        <f aca="false">IFERROR(__xludf.dummyfunction("""COMPUTED_VALUE"""),27.27)</f>
        <v>27.27</v>
      </c>
      <c r="E315" s="2" t="n">
        <f aca="false">IFERROR(__xludf.dummyfunction("""COMPUTED_VALUE"""),27.29)</f>
        <v>27.29</v>
      </c>
      <c r="F315" s="2" t="n">
        <f aca="false">IFERROR(__xludf.dummyfunction("""COMPUTED_VALUE"""),52344022)</f>
        <v>52344022</v>
      </c>
    </row>
    <row r="316" customFormat="false" ht="15.75" hidden="false" customHeight="false" outlineLevel="0" collapsed="false">
      <c r="A316" s="3" t="n">
        <f aca="false">IFERROR(__xludf.dummyfunction("""COMPUTED_VALUE"""),44652.6666666667)</f>
        <v>44652.6666666667</v>
      </c>
      <c r="B316" s="2" t="n">
        <f aca="false">IFERROR(__xludf.dummyfunction("""COMPUTED_VALUE"""),27.38)</f>
        <v>27.38</v>
      </c>
      <c r="C316" s="2" t="n">
        <f aca="false">IFERROR(__xludf.dummyfunction("""COMPUTED_VALUE"""),27.5)</f>
        <v>27.5</v>
      </c>
      <c r="D316" s="2" t="n">
        <f aca="false">IFERROR(__xludf.dummyfunction("""COMPUTED_VALUE"""),26.27)</f>
        <v>26.27</v>
      </c>
      <c r="E316" s="2" t="n">
        <f aca="false">IFERROR(__xludf.dummyfunction("""COMPUTED_VALUE"""),26.71)</f>
        <v>26.71</v>
      </c>
      <c r="F316" s="2" t="n">
        <f aca="false">IFERROR(__xludf.dummyfunction("""COMPUTED_VALUE"""),51723511)</f>
        <v>51723511</v>
      </c>
    </row>
    <row r="317" customFormat="false" ht="15.75" hidden="false" customHeight="false" outlineLevel="0" collapsed="false">
      <c r="A317" s="3" t="n">
        <f aca="false">IFERROR(__xludf.dummyfunction("""COMPUTED_VALUE"""),44655.6666666667)</f>
        <v>44655.6666666667</v>
      </c>
      <c r="B317" s="2" t="n">
        <f aca="false">IFERROR(__xludf.dummyfunction("""COMPUTED_VALUE"""),26.73)</f>
        <v>26.73</v>
      </c>
      <c r="C317" s="2" t="n">
        <f aca="false">IFERROR(__xludf.dummyfunction("""COMPUTED_VALUE"""),27.56)</f>
        <v>27.56</v>
      </c>
      <c r="D317" s="2" t="n">
        <f aca="false">IFERROR(__xludf.dummyfunction("""COMPUTED_VALUE"""),26.61)</f>
        <v>26.61</v>
      </c>
      <c r="E317" s="2" t="n">
        <f aca="false">IFERROR(__xludf.dummyfunction("""COMPUTED_VALUE"""),27.36)</f>
        <v>27.36</v>
      </c>
      <c r="F317" s="2" t="n">
        <f aca="false">IFERROR(__xludf.dummyfunction("""COMPUTED_VALUE"""),39770782)</f>
        <v>39770782</v>
      </c>
    </row>
    <row r="318" customFormat="false" ht="15.75" hidden="false" customHeight="false" outlineLevel="0" collapsed="false">
      <c r="A318" s="3" t="n">
        <f aca="false">IFERROR(__xludf.dummyfunction("""COMPUTED_VALUE"""),44656.6666666667)</f>
        <v>44656.6666666667</v>
      </c>
      <c r="B318" s="2" t="n">
        <f aca="false">IFERROR(__xludf.dummyfunction("""COMPUTED_VALUE"""),27.25)</f>
        <v>27.25</v>
      </c>
      <c r="C318" s="2" t="n">
        <f aca="false">IFERROR(__xludf.dummyfunction("""COMPUTED_VALUE"""),27.32)</f>
        <v>27.32</v>
      </c>
      <c r="D318" s="2" t="n">
        <f aca="false">IFERROR(__xludf.dummyfunction("""COMPUTED_VALUE"""),25.82)</f>
        <v>25.82</v>
      </c>
      <c r="E318" s="2" t="n">
        <f aca="false">IFERROR(__xludf.dummyfunction("""COMPUTED_VALUE"""),25.93)</f>
        <v>25.93</v>
      </c>
      <c r="F318" s="2" t="n">
        <f aca="false">IFERROR(__xludf.dummyfunction("""COMPUTED_VALUE"""),43661473)</f>
        <v>43661473</v>
      </c>
    </row>
    <row r="319" customFormat="false" ht="15.75" hidden="false" customHeight="false" outlineLevel="0" collapsed="false">
      <c r="A319" s="3" t="n">
        <f aca="false">IFERROR(__xludf.dummyfunction("""COMPUTED_VALUE"""),44657.6666666667)</f>
        <v>44657.6666666667</v>
      </c>
      <c r="B319" s="2" t="n">
        <f aca="false">IFERROR(__xludf.dummyfunction("""COMPUTED_VALUE"""),24.93)</f>
        <v>24.93</v>
      </c>
      <c r="C319" s="2" t="n">
        <f aca="false">IFERROR(__xludf.dummyfunction("""COMPUTED_VALUE"""),25.3)</f>
        <v>25.3</v>
      </c>
      <c r="D319" s="2" t="n">
        <f aca="false">IFERROR(__xludf.dummyfunction("""COMPUTED_VALUE"""),24)</f>
        <v>24</v>
      </c>
      <c r="E319" s="2" t="n">
        <f aca="false">IFERROR(__xludf.dummyfunction("""COMPUTED_VALUE"""),24.41)</f>
        <v>24.41</v>
      </c>
      <c r="F319" s="2" t="n">
        <f aca="false">IFERROR(__xludf.dummyfunction("""COMPUTED_VALUE"""),70383256)</f>
        <v>70383256</v>
      </c>
    </row>
    <row r="320" customFormat="false" ht="15.75" hidden="false" customHeight="false" outlineLevel="0" collapsed="false">
      <c r="A320" s="3" t="n">
        <f aca="false">IFERROR(__xludf.dummyfunction("""COMPUTED_VALUE"""),44658.6666666667)</f>
        <v>44658.6666666667</v>
      </c>
      <c r="B320" s="2" t="n">
        <f aca="false">IFERROR(__xludf.dummyfunction("""COMPUTED_VALUE"""),24.44)</f>
        <v>24.44</v>
      </c>
      <c r="C320" s="2" t="n">
        <f aca="false">IFERROR(__xludf.dummyfunction("""COMPUTED_VALUE"""),24.72)</f>
        <v>24.72</v>
      </c>
      <c r="D320" s="2" t="n">
        <f aca="false">IFERROR(__xludf.dummyfunction("""COMPUTED_VALUE"""),23.48)</f>
        <v>23.48</v>
      </c>
      <c r="E320" s="2" t="n">
        <f aca="false">IFERROR(__xludf.dummyfunction("""COMPUTED_VALUE"""),24.21)</f>
        <v>24.21</v>
      </c>
      <c r="F320" s="2" t="n">
        <f aca="false">IFERROR(__xludf.dummyfunction("""COMPUTED_VALUE"""),55799236)</f>
        <v>55799236</v>
      </c>
    </row>
    <row r="321" customFormat="false" ht="15.75" hidden="false" customHeight="false" outlineLevel="0" collapsed="false">
      <c r="A321" s="3" t="n">
        <f aca="false">IFERROR(__xludf.dummyfunction("""COMPUTED_VALUE"""),44659.6666666667)</f>
        <v>44659.6666666667</v>
      </c>
      <c r="B321" s="2" t="n">
        <f aca="false">IFERROR(__xludf.dummyfunction("""COMPUTED_VALUE"""),23.92)</f>
        <v>23.92</v>
      </c>
      <c r="C321" s="2" t="n">
        <f aca="false">IFERROR(__xludf.dummyfunction("""COMPUTED_VALUE"""),23.92)</f>
        <v>23.92</v>
      </c>
      <c r="D321" s="2" t="n">
        <f aca="false">IFERROR(__xludf.dummyfunction("""COMPUTED_VALUE"""),23.06)</f>
        <v>23.06</v>
      </c>
      <c r="E321" s="2" t="n">
        <f aca="false">IFERROR(__xludf.dummyfunction("""COMPUTED_VALUE"""),23.12)</f>
        <v>23.12</v>
      </c>
      <c r="F321" s="2" t="n">
        <f aca="false">IFERROR(__xludf.dummyfunction("""COMPUTED_VALUE"""),52478064)</f>
        <v>52478064</v>
      </c>
    </row>
    <row r="322" customFormat="false" ht="15.75" hidden="false" customHeight="false" outlineLevel="0" collapsed="false">
      <c r="A322" s="3" t="n">
        <f aca="false">IFERROR(__xludf.dummyfunction("""COMPUTED_VALUE"""),44662.6666666667)</f>
        <v>44662.6666666667</v>
      </c>
      <c r="B322" s="2" t="n">
        <f aca="false">IFERROR(__xludf.dummyfunction("""COMPUTED_VALUE"""),22.21)</f>
        <v>22.21</v>
      </c>
      <c r="C322" s="2" t="n">
        <f aca="false">IFERROR(__xludf.dummyfunction("""COMPUTED_VALUE"""),22.32)</f>
        <v>22.32</v>
      </c>
      <c r="D322" s="2" t="n">
        <f aca="false">IFERROR(__xludf.dummyfunction("""COMPUTED_VALUE"""),21.66)</f>
        <v>21.66</v>
      </c>
      <c r="E322" s="2" t="n">
        <f aca="false">IFERROR(__xludf.dummyfunction("""COMPUTED_VALUE"""),21.92)</f>
        <v>21.92</v>
      </c>
      <c r="F322" s="2" t="n">
        <f aca="false">IFERROR(__xludf.dummyfunction("""COMPUTED_VALUE"""),57520684)</f>
        <v>57520684</v>
      </c>
    </row>
    <row r="323" customFormat="false" ht="15.75" hidden="false" customHeight="false" outlineLevel="0" collapsed="false">
      <c r="A323" s="3" t="n">
        <f aca="false">IFERROR(__xludf.dummyfunction("""COMPUTED_VALUE"""),44663.6666666667)</f>
        <v>44663.6666666667</v>
      </c>
      <c r="B323" s="2" t="n">
        <f aca="false">IFERROR(__xludf.dummyfunction("""COMPUTED_VALUE"""),22.54)</f>
        <v>22.54</v>
      </c>
      <c r="C323" s="2" t="n">
        <f aca="false">IFERROR(__xludf.dummyfunction("""COMPUTED_VALUE"""),22.73)</f>
        <v>22.73</v>
      </c>
      <c r="D323" s="2" t="n">
        <f aca="false">IFERROR(__xludf.dummyfunction("""COMPUTED_VALUE"""),21.28)</f>
        <v>21.28</v>
      </c>
      <c r="E323" s="2" t="n">
        <f aca="false">IFERROR(__xludf.dummyfunction("""COMPUTED_VALUE"""),21.5)</f>
        <v>21.5</v>
      </c>
      <c r="F323" s="2" t="n">
        <f aca="false">IFERROR(__xludf.dummyfunction("""COMPUTED_VALUE"""),66225807)</f>
        <v>66225807</v>
      </c>
    </row>
    <row r="324" customFormat="false" ht="15.75" hidden="false" customHeight="false" outlineLevel="0" collapsed="false">
      <c r="A324" s="3" t="n">
        <f aca="false">IFERROR(__xludf.dummyfunction("""COMPUTED_VALUE"""),44664.6666666667)</f>
        <v>44664.6666666667</v>
      </c>
      <c r="B324" s="2" t="n">
        <f aca="false">IFERROR(__xludf.dummyfunction("""COMPUTED_VALUE"""),21.73)</f>
        <v>21.73</v>
      </c>
      <c r="C324" s="2" t="n">
        <f aca="false">IFERROR(__xludf.dummyfunction("""COMPUTED_VALUE"""),22.5)</f>
        <v>22.5</v>
      </c>
      <c r="D324" s="2" t="n">
        <f aca="false">IFERROR(__xludf.dummyfunction("""COMPUTED_VALUE"""),21.46)</f>
        <v>21.46</v>
      </c>
      <c r="E324" s="2" t="n">
        <f aca="false">IFERROR(__xludf.dummyfunction("""COMPUTED_VALUE"""),22.2)</f>
        <v>22.2</v>
      </c>
      <c r="F324" s="2" t="n">
        <f aca="false">IFERROR(__xludf.dummyfunction("""COMPUTED_VALUE"""),51694344)</f>
        <v>51694344</v>
      </c>
    </row>
    <row r="325" customFormat="false" ht="15.75" hidden="false" customHeight="false" outlineLevel="0" collapsed="false">
      <c r="A325" s="3" t="n">
        <f aca="false">IFERROR(__xludf.dummyfunction("""COMPUTED_VALUE"""),44665.6666666667)</f>
        <v>44665.6666666667</v>
      </c>
      <c r="B325" s="2" t="n">
        <f aca="false">IFERROR(__xludf.dummyfunction("""COMPUTED_VALUE"""),22.51)</f>
        <v>22.51</v>
      </c>
      <c r="C325" s="2" t="n">
        <f aca="false">IFERROR(__xludf.dummyfunction("""COMPUTED_VALUE"""),22.78)</f>
        <v>22.78</v>
      </c>
      <c r="D325" s="2" t="n">
        <f aca="false">IFERROR(__xludf.dummyfunction("""COMPUTED_VALUE"""),21.16)</f>
        <v>21.16</v>
      </c>
      <c r="E325" s="2" t="n">
        <f aca="false">IFERROR(__xludf.dummyfunction("""COMPUTED_VALUE"""),21.26)</f>
        <v>21.26</v>
      </c>
      <c r="F325" s="2" t="n">
        <f aca="false">IFERROR(__xludf.dummyfunction("""COMPUTED_VALUE"""),56909685)</f>
        <v>56909685</v>
      </c>
    </row>
    <row r="326" customFormat="false" ht="15.75" hidden="false" customHeight="false" outlineLevel="0" collapsed="false">
      <c r="A326" s="3" t="n">
        <f aca="false">IFERROR(__xludf.dummyfunction("""COMPUTED_VALUE"""),44669.6666666667)</f>
        <v>44669.6666666667</v>
      </c>
      <c r="B326" s="2" t="n">
        <f aca="false">IFERROR(__xludf.dummyfunction("""COMPUTED_VALUE"""),21.2)</f>
        <v>21.2</v>
      </c>
      <c r="C326" s="2" t="n">
        <f aca="false">IFERROR(__xludf.dummyfunction("""COMPUTED_VALUE"""),22.09)</f>
        <v>22.09</v>
      </c>
      <c r="D326" s="2" t="n">
        <f aca="false">IFERROR(__xludf.dummyfunction("""COMPUTED_VALUE"""),21.08)</f>
        <v>21.08</v>
      </c>
      <c r="E326" s="2" t="n">
        <f aca="false">IFERROR(__xludf.dummyfunction("""COMPUTED_VALUE"""),21.78)</f>
        <v>21.78</v>
      </c>
      <c r="F326" s="2" t="n">
        <f aca="false">IFERROR(__xludf.dummyfunction("""COMPUTED_VALUE"""),52570061)</f>
        <v>52570061</v>
      </c>
    </row>
    <row r="327" customFormat="false" ht="15.75" hidden="false" customHeight="false" outlineLevel="0" collapsed="false">
      <c r="A327" s="3" t="n">
        <f aca="false">IFERROR(__xludf.dummyfunction("""COMPUTED_VALUE"""),44670.6666666667)</f>
        <v>44670.6666666667</v>
      </c>
      <c r="B327" s="2" t="n">
        <f aca="false">IFERROR(__xludf.dummyfunction("""COMPUTED_VALUE"""),21.72)</f>
        <v>21.72</v>
      </c>
      <c r="C327" s="2" t="n">
        <f aca="false">IFERROR(__xludf.dummyfunction("""COMPUTED_VALUE"""),22.37)</f>
        <v>22.37</v>
      </c>
      <c r="D327" s="2" t="n">
        <f aca="false">IFERROR(__xludf.dummyfunction("""COMPUTED_VALUE"""),21.31)</f>
        <v>21.31</v>
      </c>
      <c r="E327" s="2" t="n">
        <f aca="false">IFERROR(__xludf.dummyfunction("""COMPUTED_VALUE"""),22.2)</f>
        <v>22.2</v>
      </c>
      <c r="F327" s="2" t="n">
        <f aca="false">IFERROR(__xludf.dummyfunction("""COMPUTED_VALUE"""),51278058)</f>
        <v>51278058</v>
      </c>
    </row>
    <row r="328" customFormat="false" ht="15.75" hidden="false" customHeight="false" outlineLevel="0" collapsed="false">
      <c r="A328" s="3" t="n">
        <f aca="false">IFERROR(__xludf.dummyfunction("""COMPUTED_VALUE"""),44671.6666666667)</f>
        <v>44671.6666666667</v>
      </c>
      <c r="B328" s="2" t="n">
        <f aca="false">IFERROR(__xludf.dummyfunction("""COMPUTED_VALUE"""),22.52)</f>
        <v>22.52</v>
      </c>
      <c r="C328" s="2" t="n">
        <f aca="false">IFERROR(__xludf.dummyfunction("""COMPUTED_VALUE"""),22.67)</f>
        <v>22.67</v>
      </c>
      <c r="D328" s="2" t="n">
        <f aca="false">IFERROR(__xludf.dummyfunction("""COMPUTED_VALUE"""),21.2)</f>
        <v>21.2</v>
      </c>
      <c r="E328" s="2" t="n">
        <f aca="false">IFERROR(__xludf.dummyfunction("""COMPUTED_VALUE"""),21.48)</f>
        <v>21.48</v>
      </c>
      <c r="F328" s="2" t="n">
        <f aca="false">IFERROR(__xludf.dummyfunction("""COMPUTED_VALUE"""),46897444)</f>
        <v>46897444</v>
      </c>
    </row>
    <row r="329" customFormat="false" ht="15.75" hidden="false" customHeight="false" outlineLevel="0" collapsed="false">
      <c r="A329" s="3" t="n">
        <f aca="false">IFERROR(__xludf.dummyfunction("""COMPUTED_VALUE"""),44672.6666666667)</f>
        <v>44672.6666666667</v>
      </c>
      <c r="B329" s="2" t="n">
        <f aca="false">IFERROR(__xludf.dummyfunction("""COMPUTED_VALUE"""),21.71)</f>
        <v>21.71</v>
      </c>
      <c r="C329" s="2" t="n">
        <f aca="false">IFERROR(__xludf.dummyfunction("""COMPUTED_VALUE"""),22.39)</f>
        <v>22.39</v>
      </c>
      <c r="D329" s="2" t="n">
        <f aca="false">IFERROR(__xludf.dummyfunction("""COMPUTED_VALUE"""),20)</f>
        <v>20</v>
      </c>
      <c r="E329" s="2" t="n">
        <f aca="false">IFERROR(__xludf.dummyfunction("""COMPUTED_VALUE"""),20.18)</f>
        <v>20.18</v>
      </c>
      <c r="F329" s="2" t="n">
        <f aca="false">IFERROR(__xludf.dummyfunction("""COMPUTED_VALUE"""),65620944)</f>
        <v>65620944</v>
      </c>
    </row>
    <row r="330" customFormat="false" ht="15.75" hidden="false" customHeight="false" outlineLevel="0" collapsed="false">
      <c r="A330" s="3" t="n">
        <f aca="false">IFERROR(__xludf.dummyfunction("""COMPUTED_VALUE"""),44673.6666666667)</f>
        <v>44673.6666666667</v>
      </c>
      <c r="B330" s="2" t="n">
        <f aca="false">IFERROR(__xludf.dummyfunction("""COMPUTED_VALUE"""),20.3)</f>
        <v>20.3</v>
      </c>
      <c r="C330" s="2" t="n">
        <f aca="false">IFERROR(__xludf.dummyfunction("""COMPUTED_VALUE"""),20.49)</f>
        <v>20.49</v>
      </c>
      <c r="D330" s="2" t="n">
        <f aca="false">IFERROR(__xludf.dummyfunction("""COMPUTED_VALUE"""),19.5)</f>
        <v>19.5</v>
      </c>
      <c r="E330" s="2" t="n">
        <f aca="false">IFERROR(__xludf.dummyfunction("""COMPUTED_VALUE"""),19.52)</f>
        <v>19.52</v>
      </c>
      <c r="F330" s="2" t="n">
        <f aca="false">IFERROR(__xludf.dummyfunction("""COMPUTED_VALUE"""),62471343)</f>
        <v>62471343</v>
      </c>
    </row>
    <row r="331" customFormat="false" ht="15.75" hidden="false" customHeight="false" outlineLevel="0" collapsed="false">
      <c r="A331" s="3" t="n">
        <f aca="false">IFERROR(__xludf.dummyfunction("""COMPUTED_VALUE"""),44676.6666666667)</f>
        <v>44676.6666666667</v>
      </c>
      <c r="B331" s="2" t="n">
        <f aca="false">IFERROR(__xludf.dummyfunction("""COMPUTED_VALUE"""),19.2)</f>
        <v>19.2</v>
      </c>
      <c r="C331" s="2" t="n">
        <f aca="false">IFERROR(__xludf.dummyfunction("""COMPUTED_VALUE"""),19.95)</f>
        <v>19.95</v>
      </c>
      <c r="D331" s="2" t="n">
        <f aca="false">IFERROR(__xludf.dummyfunction("""COMPUTED_VALUE"""),19.1)</f>
        <v>19.1</v>
      </c>
      <c r="E331" s="2" t="n">
        <f aca="false">IFERROR(__xludf.dummyfunction("""COMPUTED_VALUE"""),19.9)</f>
        <v>19.9</v>
      </c>
      <c r="F331" s="2" t="n">
        <f aca="false">IFERROR(__xludf.dummyfunction("""COMPUTED_VALUE"""),64156561)</f>
        <v>64156561</v>
      </c>
    </row>
    <row r="332" customFormat="false" ht="15.75" hidden="false" customHeight="false" outlineLevel="0" collapsed="false">
      <c r="A332" s="3" t="n">
        <f aca="false">IFERROR(__xludf.dummyfunction("""COMPUTED_VALUE"""),44677.6666666667)</f>
        <v>44677.6666666667</v>
      </c>
      <c r="B332" s="2" t="n">
        <f aca="false">IFERROR(__xludf.dummyfunction("""COMPUTED_VALUE"""),19.72)</f>
        <v>19.72</v>
      </c>
      <c r="C332" s="2" t="n">
        <f aca="false">IFERROR(__xludf.dummyfunction("""COMPUTED_VALUE"""),19.79)</f>
        <v>19.79</v>
      </c>
      <c r="D332" s="2" t="n">
        <f aca="false">IFERROR(__xludf.dummyfunction("""COMPUTED_VALUE"""),18.67)</f>
        <v>18.67</v>
      </c>
      <c r="E332" s="2" t="n">
        <f aca="false">IFERROR(__xludf.dummyfunction("""COMPUTED_VALUE"""),18.79)</f>
        <v>18.79</v>
      </c>
      <c r="F332" s="2" t="n">
        <f aca="false">IFERROR(__xludf.dummyfunction("""COMPUTED_VALUE"""),65314250)</f>
        <v>65314250</v>
      </c>
    </row>
    <row r="333" customFormat="false" ht="15.75" hidden="false" customHeight="false" outlineLevel="0" collapsed="false">
      <c r="A333" s="3" t="n">
        <f aca="false">IFERROR(__xludf.dummyfunction("""COMPUTED_VALUE"""),44678.6666666667)</f>
        <v>44678.6666666667</v>
      </c>
      <c r="B333" s="2" t="n">
        <f aca="false">IFERROR(__xludf.dummyfunction("""COMPUTED_VALUE"""),18.6)</f>
        <v>18.6</v>
      </c>
      <c r="C333" s="2" t="n">
        <f aca="false">IFERROR(__xludf.dummyfunction("""COMPUTED_VALUE"""),19.17)</f>
        <v>19.17</v>
      </c>
      <c r="D333" s="2" t="n">
        <f aca="false">IFERROR(__xludf.dummyfunction("""COMPUTED_VALUE"""),18.29)</f>
        <v>18.29</v>
      </c>
      <c r="E333" s="2" t="n">
        <f aca="false">IFERROR(__xludf.dummyfunction("""COMPUTED_VALUE"""),18.42)</f>
        <v>18.42</v>
      </c>
      <c r="F333" s="2" t="n">
        <f aca="false">IFERROR(__xludf.dummyfunction("""COMPUTED_VALUE"""),49946017)</f>
        <v>49946017</v>
      </c>
    </row>
    <row r="334" customFormat="false" ht="15.75" hidden="false" customHeight="false" outlineLevel="0" collapsed="false">
      <c r="A334" s="3" t="n">
        <f aca="false">IFERROR(__xludf.dummyfunction("""COMPUTED_VALUE"""),44679.6666666667)</f>
        <v>44679.6666666667</v>
      </c>
      <c r="B334" s="2" t="n">
        <f aca="false">IFERROR(__xludf.dummyfunction("""COMPUTED_VALUE"""),18.97)</f>
        <v>18.97</v>
      </c>
      <c r="C334" s="2" t="n">
        <f aca="false">IFERROR(__xludf.dummyfunction("""COMPUTED_VALUE"""),20.04)</f>
        <v>20.04</v>
      </c>
      <c r="D334" s="2" t="n">
        <f aca="false">IFERROR(__xludf.dummyfunction("""COMPUTED_VALUE"""),18.49)</f>
        <v>18.49</v>
      </c>
      <c r="E334" s="2" t="n">
        <f aca="false">IFERROR(__xludf.dummyfunction("""COMPUTED_VALUE"""),19.78)</f>
        <v>19.78</v>
      </c>
      <c r="F334" s="2" t="n">
        <f aca="false">IFERROR(__xludf.dummyfunction("""COMPUTED_VALUE"""),57032671)</f>
        <v>57032671</v>
      </c>
    </row>
    <row r="335" customFormat="false" ht="15.75" hidden="false" customHeight="false" outlineLevel="0" collapsed="false">
      <c r="A335" s="3" t="n">
        <f aca="false">IFERROR(__xludf.dummyfunction("""COMPUTED_VALUE"""),44680.6666666667)</f>
        <v>44680.6666666667</v>
      </c>
      <c r="B335" s="2" t="n">
        <f aca="false">IFERROR(__xludf.dummyfunction("""COMPUTED_VALUE"""),19.4)</f>
        <v>19.4</v>
      </c>
      <c r="C335" s="2" t="n">
        <f aca="false">IFERROR(__xludf.dummyfunction("""COMPUTED_VALUE"""),20.13)</f>
        <v>20.13</v>
      </c>
      <c r="D335" s="2" t="n">
        <f aca="false">IFERROR(__xludf.dummyfunction("""COMPUTED_VALUE"""),18.52)</f>
        <v>18.52</v>
      </c>
      <c r="E335" s="2" t="n">
        <f aca="false">IFERROR(__xludf.dummyfunction("""COMPUTED_VALUE"""),18.55)</f>
        <v>18.55</v>
      </c>
      <c r="F335" s="2" t="n">
        <f aca="false">IFERROR(__xludf.dummyfunction("""COMPUTED_VALUE"""),50043491)</f>
        <v>50043491</v>
      </c>
    </row>
    <row r="336" customFormat="false" ht="15.75" hidden="false" customHeight="false" outlineLevel="0" collapsed="false">
      <c r="A336" s="3" t="n">
        <f aca="false">IFERROR(__xludf.dummyfunction("""COMPUTED_VALUE"""),44683.6666666667)</f>
        <v>44683.6666666667</v>
      </c>
      <c r="B336" s="2" t="n">
        <f aca="false">IFERROR(__xludf.dummyfunction("""COMPUTED_VALUE"""),18.54)</f>
        <v>18.54</v>
      </c>
      <c r="C336" s="2" t="n">
        <f aca="false">IFERROR(__xludf.dummyfunction("""COMPUTED_VALUE"""),19.57)</f>
        <v>19.57</v>
      </c>
      <c r="D336" s="2" t="n">
        <f aca="false">IFERROR(__xludf.dummyfunction("""COMPUTED_VALUE"""),18.39)</f>
        <v>18.39</v>
      </c>
      <c r="E336" s="2" t="n">
        <f aca="false">IFERROR(__xludf.dummyfunction("""COMPUTED_VALUE"""),19.53)</f>
        <v>19.53</v>
      </c>
      <c r="F336" s="2" t="n">
        <f aca="false">IFERROR(__xludf.dummyfunction("""COMPUTED_VALUE"""),57204868)</f>
        <v>57204868</v>
      </c>
    </row>
    <row r="337" customFormat="false" ht="15.75" hidden="false" customHeight="false" outlineLevel="0" collapsed="false">
      <c r="A337" s="3" t="n">
        <f aca="false">IFERROR(__xludf.dummyfunction("""COMPUTED_VALUE"""),44684.6666666667)</f>
        <v>44684.6666666667</v>
      </c>
      <c r="B337" s="2" t="n">
        <f aca="false">IFERROR(__xludf.dummyfunction("""COMPUTED_VALUE"""),19.4)</f>
        <v>19.4</v>
      </c>
      <c r="C337" s="2" t="n">
        <f aca="false">IFERROR(__xludf.dummyfunction("""COMPUTED_VALUE"""),19.83)</f>
        <v>19.83</v>
      </c>
      <c r="D337" s="2" t="n">
        <f aca="false">IFERROR(__xludf.dummyfunction("""COMPUTED_VALUE"""),19.13)</f>
        <v>19.13</v>
      </c>
      <c r="E337" s="2" t="n">
        <f aca="false">IFERROR(__xludf.dummyfunction("""COMPUTED_VALUE"""),19.6)</f>
        <v>19.6</v>
      </c>
      <c r="F337" s="2" t="n">
        <f aca="false">IFERROR(__xludf.dummyfunction("""COMPUTED_VALUE"""),47575084)</f>
        <v>47575084</v>
      </c>
    </row>
    <row r="338" customFormat="false" ht="15.75" hidden="false" customHeight="false" outlineLevel="0" collapsed="false">
      <c r="A338" s="3" t="n">
        <f aca="false">IFERROR(__xludf.dummyfunction("""COMPUTED_VALUE"""),44685.6666666667)</f>
        <v>44685.6666666667</v>
      </c>
      <c r="B338" s="2" t="n">
        <f aca="false">IFERROR(__xludf.dummyfunction("""COMPUTED_VALUE"""),19.92)</f>
        <v>19.92</v>
      </c>
      <c r="C338" s="2" t="n">
        <f aca="false">IFERROR(__xludf.dummyfunction("""COMPUTED_VALUE"""),20.4)</f>
        <v>20.4</v>
      </c>
      <c r="D338" s="2" t="n">
        <f aca="false">IFERROR(__xludf.dummyfunction("""COMPUTED_VALUE"""),18.75)</f>
        <v>18.75</v>
      </c>
      <c r="E338" s="2" t="n">
        <f aca="false">IFERROR(__xludf.dummyfunction("""COMPUTED_VALUE"""),20.33)</f>
        <v>20.33</v>
      </c>
      <c r="F338" s="2" t="n">
        <f aca="false">IFERROR(__xludf.dummyfunction("""COMPUTED_VALUE"""),64885463)</f>
        <v>64885463</v>
      </c>
    </row>
    <row r="339" customFormat="false" ht="15.75" hidden="false" customHeight="false" outlineLevel="0" collapsed="false">
      <c r="A339" s="3" t="n">
        <f aca="false">IFERROR(__xludf.dummyfunction("""COMPUTED_VALUE"""),44686.6666666667)</f>
        <v>44686.6666666667</v>
      </c>
      <c r="B339" s="2" t="n">
        <f aca="false">IFERROR(__xludf.dummyfunction("""COMPUTED_VALUE"""),19.87)</f>
        <v>19.87</v>
      </c>
      <c r="C339" s="2" t="n">
        <f aca="false">IFERROR(__xludf.dummyfunction("""COMPUTED_VALUE"""),19.93)</f>
        <v>19.93</v>
      </c>
      <c r="D339" s="2" t="n">
        <f aca="false">IFERROR(__xludf.dummyfunction("""COMPUTED_VALUE"""),18.5)</f>
        <v>18.5</v>
      </c>
      <c r="E339" s="2" t="n">
        <f aca="false">IFERROR(__xludf.dummyfunction("""COMPUTED_VALUE"""),18.84)</f>
        <v>18.84</v>
      </c>
      <c r="F339" s="2" t="n">
        <f aca="false">IFERROR(__xludf.dummyfunction("""COMPUTED_VALUE"""),62633141)</f>
        <v>62633141</v>
      </c>
    </row>
    <row r="340" customFormat="false" ht="15.75" hidden="false" customHeight="false" outlineLevel="0" collapsed="false">
      <c r="A340" s="3" t="n">
        <f aca="false">IFERROR(__xludf.dummyfunction("""COMPUTED_VALUE"""),44687.6666666667)</f>
        <v>44687.6666666667</v>
      </c>
      <c r="B340" s="2" t="n">
        <f aca="false">IFERROR(__xludf.dummyfunction("""COMPUTED_VALUE"""),18.74)</f>
        <v>18.74</v>
      </c>
      <c r="C340" s="2" t="n">
        <f aca="false">IFERROR(__xludf.dummyfunction("""COMPUTED_VALUE"""),19.51)</f>
        <v>19.51</v>
      </c>
      <c r="D340" s="2" t="n">
        <f aca="false">IFERROR(__xludf.dummyfunction("""COMPUTED_VALUE"""),17.99)</f>
        <v>17.99</v>
      </c>
      <c r="E340" s="2" t="n">
        <f aca="false">IFERROR(__xludf.dummyfunction("""COMPUTED_VALUE"""),18.68)</f>
        <v>18.68</v>
      </c>
      <c r="F340" s="2" t="n">
        <f aca="false">IFERROR(__xludf.dummyfunction("""COMPUTED_VALUE"""),63329672)</f>
        <v>63329672</v>
      </c>
    </row>
    <row r="341" customFormat="false" ht="15.75" hidden="false" customHeight="false" outlineLevel="0" collapsed="false">
      <c r="A341" s="3" t="n">
        <f aca="false">IFERROR(__xludf.dummyfunction("""COMPUTED_VALUE"""),44690.6666666667)</f>
        <v>44690.6666666667</v>
      </c>
      <c r="B341" s="2" t="n">
        <f aca="false">IFERROR(__xludf.dummyfunction("""COMPUTED_VALUE"""),18.03)</f>
        <v>18.03</v>
      </c>
      <c r="C341" s="2" t="n">
        <f aca="false">IFERROR(__xludf.dummyfunction("""COMPUTED_VALUE"""),18.26)</f>
        <v>18.26</v>
      </c>
      <c r="D341" s="2" t="n">
        <f aca="false">IFERROR(__xludf.dummyfunction("""COMPUTED_VALUE"""),16.83)</f>
        <v>16.83</v>
      </c>
      <c r="E341" s="2" t="n">
        <f aca="false">IFERROR(__xludf.dummyfunction("""COMPUTED_VALUE"""),16.95)</f>
        <v>16.95</v>
      </c>
      <c r="F341" s="2" t="n">
        <f aca="false">IFERROR(__xludf.dummyfunction("""COMPUTED_VALUE"""),64445451)</f>
        <v>64445451</v>
      </c>
    </row>
    <row r="342" customFormat="false" ht="15.75" hidden="false" customHeight="false" outlineLevel="0" collapsed="false">
      <c r="A342" s="3" t="n">
        <f aca="false">IFERROR(__xludf.dummyfunction("""COMPUTED_VALUE"""),44691.6666666667)</f>
        <v>44691.6666666667</v>
      </c>
      <c r="B342" s="2" t="n">
        <f aca="false">IFERROR(__xludf.dummyfunction("""COMPUTED_VALUE"""),17.69)</f>
        <v>17.69</v>
      </c>
      <c r="C342" s="2" t="n">
        <f aca="false">IFERROR(__xludf.dummyfunction("""COMPUTED_VALUE"""),18.2)</f>
        <v>18.2</v>
      </c>
      <c r="D342" s="2" t="n">
        <f aca="false">IFERROR(__xludf.dummyfunction("""COMPUTED_VALUE"""),17.02)</f>
        <v>17.02</v>
      </c>
      <c r="E342" s="2" t="n">
        <f aca="false">IFERROR(__xludf.dummyfunction("""COMPUTED_VALUE"""),17.6)</f>
        <v>17.6</v>
      </c>
      <c r="F342" s="2" t="n">
        <f aca="false">IFERROR(__xludf.dummyfunction("""COMPUTED_VALUE"""),76147429)</f>
        <v>76147429</v>
      </c>
    </row>
    <row r="343" customFormat="false" ht="15.75" hidden="false" customHeight="false" outlineLevel="0" collapsed="false">
      <c r="A343" s="3" t="n">
        <f aca="false">IFERROR(__xludf.dummyfunction("""COMPUTED_VALUE"""),44692.6666666667)</f>
        <v>44692.6666666667</v>
      </c>
      <c r="B343" s="2" t="n">
        <f aca="false">IFERROR(__xludf.dummyfunction("""COMPUTED_VALUE"""),17.35)</f>
        <v>17.35</v>
      </c>
      <c r="C343" s="2" t="n">
        <f aca="false">IFERROR(__xludf.dummyfunction("""COMPUTED_VALUE"""),17.75)</f>
        <v>17.75</v>
      </c>
      <c r="D343" s="2" t="n">
        <f aca="false">IFERROR(__xludf.dummyfunction("""COMPUTED_VALUE"""),16.57)</f>
        <v>16.57</v>
      </c>
      <c r="E343" s="2" t="n">
        <f aca="false">IFERROR(__xludf.dummyfunction("""COMPUTED_VALUE"""),16.63)</f>
        <v>16.63</v>
      </c>
      <c r="F343" s="2" t="n">
        <f aca="false">IFERROR(__xludf.dummyfunction("""COMPUTED_VALUE"""),67016703)</f>
        <v>67016703</v>
      </c>
    </row>
    <row r="344" customFormat="false" ht="15.75" hidden="false" customHeight="false" outlineLevel="0" collapsed="false">
      <c r="A344" s="3" t="n">
        <f aca="false">IFERROR(__xludf.dummyfunction("""COMPUTED_VALUE"""),44693.6666666667)</f>
        <v>44693.6666666667</v>
      </c>
      <c r="B344" s="2" t="n">
        <f aca="false">IFERROR(__xludf.dummyfunction("""COMPUTED_VALUE"""),16.22)</f>
        <v>16.22</v>
      </c>
      <c r="C344" s="2" t="n">
        <f aca="false">IFERROR(__xludf.dummyfunction("""COMPUTED_VALUE"""),16.79)</f>
        <v>16.79</v>
      </c>
      <c r="D344" s="2" t="n">
        <f aca="false">IFERROR(__xludf.dummyfunction("""COMPUTED_VALUE"""),15.57)</f>
        <v>15.57</v>
      </c>
      <c r="E344" s="2" t="n">
        <f aca="false">IFERROR(__xludf.dummyfunction("""COMPUTED_VALUE"""),16.18)</f>
        <v>16.18</v>
      </c>
      <c r="F344" s="2" t="n">
        <f aca="false">IFERROR(__xludf.dummyfunction("""COMPUTED_VALUE"""),70872837)</f>
        <v>70872837</v>
      </c>
    </row>
    <row r="345" customFormat="false" ht="15.75" hidden="false" customHeight="false" outlineLevel="0" collapsed="false">
      <c r="A345" s="3" t="n">
        <f aca="false">IFERROR(__xludf.dummyfunction("""COMPUTED_VALUE"""),44694.6666666667)</f>
        <v>44694.6666666667</v>
      </c>
      <c r="B345" s="2" t="n">
        <f aca="false">IFERROR(__xludf.dummyfunction("""COMPUTED_VALUE"""),16.79)</f>
        <v>16.79</v>
      </c>
      <c r="C345" s="2" t="n">
        <f aca="false">IFERROR(__xludf.dummyfunction("""COMPUTED_VALUE"""),17.93)</f>
        <v>17.93</v>
      </c>
      <c r="D345" s="2" t="n">
        <f aca="false">IFERROR(__xludf.dummyfunction("""COMPUTED_VALUE"""),16.59)</f>
        <v>16.59</v>
      </c>
      <c r="E345" s="2" t="n">
        <f aca="false">IFERROR(__xludf.dummyfunction("""COMPUTED_VALUE"""),17.71)</f>
        <v>17.71</v>
      </c>
      <c r="F345" s="2" t="n">
        <f aca="false">IFERROR(__xludf.dummyfunction("""COMPUTED_VALUE"""),67043651)</f>
        <v>67043651</v>
      </c>
    </row>
    <row r="346" customFormat="false" ht="15.75" hidden="false" customHeight="false" outlineLevel="0" collapsed="false">
      <c r="A346" s="3" t="n">
        <f aca="false">IFERROR(__xludf.dummyfunction("""COMPUTED_VALUE"""),44697.6666666667)</f>
        <v>44697.6666666667</v>
      </c>
      <c r="B346" s="2" t="n">
        <f aca="false">IFERROR(__xludf.dummyfunction("""COMPUTED_VALUE"""),17.51)</f>
        <v>17.51</v>
      </c>
      <c r="C346" s="2" t="n">
        <f aca="false">IFERROR(__xludf.dummyfunction("""COMPUTED_VALUE"""),17.79)</f>
        <v>17.79</v>
      </c>
      <c r="D346" s="2" t="n">
        <f aca="false">IFERROR(__xludf.dummyfunction("""COMPUTED_VALUE"""),17.11)</f>
        <v>17.11</v>
      </c>
      <c r="E346" s="2" t="n">
        <f aca="false">IFERROR(__xludf.dummyfunction("""COMPUTED_VALUE"""),17.26)</f>
        <v>17.26</v>
      </c>
      <c r="F346" s="2" t="n">
        <f aca="false">IFERROR(__xludf.dummyfunction("""COMPUTED_VALUE"""),52144598)</f>
        <v>52144598</v>
      </c>
    </row>
    <row r="347" customFormat="false" ht="15.75" hidden="false" customHeight="false" outlineLevel="0" collapsed="false">
      <c r="A347" s="3" t="n">
        <f aca="false">IFERROR(__xludf.dummyfunction("""COMPUTED_VALUE"""),44698.6666666667)</f>
        <v>44698.6666666667</v>
      </c>
      <c r="B347" s="2" t="n">
        <f aca="false">IFERROR(__xludf.dummyfunction("""COMPUTED_VALUE"""),18.07)</f>
        <v>18.07</v>
      </c>
      <c r="C347" s="2" t="n">
        <f aca="false">IFERROR(__xludf.dummyfunction("""COMPUTED_VALUE"""),18.37)</f>
        <v>18.37</v>
      </c>
      <c r="D347" s="2" t="n">
        <f aca="false">IFERROR(__xludf.dummyfunction("""COMPUTED_VALUE"""),17.63)</f>
        <v>17.63</v>
      </c>
      <c r="E347" s="2" t="n">
        <f aca="false">IFERROR(__xludf.dummyfunction("""COMPUTED_VALUE"""),18.18)</f>
        <v>18.18</v>
      </c>
      <c r="F347" s="2" t="n">
        <f aca="false">IFERROR(__xludf.dummyfunction("""COMPUTED_VALUE"""),58582971)</f>
        <v>58582971</v>
      </c>
    </row>
    <row r="348" customFormat="false" ht="15.75" hidden="false" customHeight="false" outlineLevel="0" collapsed="false">
      <c r="A348" s="3" t="n">
        <f aca="false">IFERROR(__xludf.dummyfunction("""COMPUTED_VALUE"""),44699.6666666667)</f>
        <v>44699.6666666667</v>
      </c>
      <c r="B348" s="2" t="n">
        <f aca="false">IFERROR(__xludf.dummyfunction("""COMPUTED_VALUE"""),17.7)</f>
        <v>17.7</v>
      </c>
      <c r="C348" s="2" t="n">
        <f aca="false">IFERROR(__xludf.dummyfunction("""COMPUTED_VALUE"""),18.12)</f>
        <v>18.12</v>
      </c>
      <c r="D348" s="2" t="n">
        <f aca="false">IFERROR(__xludf.dummyfunction("""COMPUTED_VALUE"""),16.86)</f>
        <v>16.86</v>
      </c>
      <c r="E348" s="2" t="n">
        <f aca="false">IFERROR(__xludf.dummyfunction("""COMPUTED_VALUE"""),16.94)</f>
        <v>16.94</v>
      </c>
      <c r="F348" s="2" t="n">
        <f aca="false">IFERROR(__xludf.dummyfunction("""COMPUTED_VALUE"""),54516106)</f>
        <v>54516106</v>
      </c>
    </row>
    <row r="349" customFormat="false" ht="15.75" hidden="false" customHeight="false" outlineLevel="0" collapsed="false">
      <c r="A349" s="3" t="n">
        <f aca="false">IFERROR(__xludf.dummyfunction("""COMPUTED_VALUE"""),44700.6666666667)</f>
        <v>44700.6666666667</v>
      </c>
      <c r="B349" s="2" t="n">
        <f aca="false">IFERROR(__xludf.dummyfunction("""COMPUTED_VALUE"""),16.94)</f>
        <v>16.94</v>
      </c>
      <c r="C349" s="2" t="n">
        <f aca="false">IFERROR(__xludf.dummyfunction("""COMPUTED_VALUE"""),17.69)</f>
        <v>17.69</v>
      </c>
      <c r="D349" s="2" t="n">
        <f aca="false">IFERROR(__xludf.dummyfunction("""COMPUTED_VALUE"""),16.73)</f>
        <v>16.73</v>
      </c>
      <c r="E349" s="2" t="n">
        <f aca="false">IFERROR(__xludf.dummyfunction("""COMPUTED_VALUE"""),17.12)</f>
        <v>17.12</v>
      </c>
      <c r="F349" s="2" t="n">
        <f aca="false">IFERROR(__xludf.dummyfunction("""COMPUTED_VALUE"""),62130959)</f>
        <v>62130959</v>
      </c>
    </row>
    <row r="350" customFormat="false" ht="15.75" hidden="false" customHeight="false" outlineLevel="0" collapsed="false">
      <c r="A350" s="3" t="n">
        <f aca="false">IFERROR(__xludf.dummyfunction("""COMPUTED_VALUE"""),44701.6666666667)</f>
        <v>44701.6666666667</v>
      </c>
      <c r="B350" s="2" t="n">
        <f aca="false">IFERROR(__xludf.dummyfunction("""COMPUTED_VALUE"""),17.33)</f>
        <v>17.33</v>
      </c>
      <c r="C350" s="2" t="n">
        <f aca="false">IFERROR(__xludf.dummyfunction("""COMPUTED_VALUE"""),17.41)</f>
        <v>17.41</v>
      </c>
      <c r="D350" s="2" t="n">
        <f aca="false">IFERROR(__xludf.dummyfunction("""COMPUTED_VALUE"""),15.76)</f>
        <v>15.76</v>
      </c>
      <c r="E350" s="2" t="n">
        <f aca="false">IFERROR(__xludf.dummyfunction("""COMPUTED_VALUE"""),16.69)</f>
        <v>16.69</v>
      </c>
      <c r="F350" s="2" t="n">
        <f aca="false">IFERROR(__xludf.dummyfunction("""COMPUTED_VALUE"""),73910526)</f>
        <v>73910526</v>
      </c>
    </row>
    <row r="351" customFormat="false" ht="15.75" hidden="false" customHeight="false" outlineLevel="0" collapsed="false">
      <c r="A351" s="3" t="n">
        <f aca="false">IFERROR(__xludf.dummyfunction("""COMPUTED_VALUE"""),44704.6666666667)</f>
        <v>44704.6666666667</v>
      </c>
      <c r="B351" s="2" t="n">
        <f aca="false">IFERROR(__xludf.dummyfunction("""COMPUTED_VALUE"""),16.27)</f>
        <v>16.27</v>
      </c>
      <c r="C351" s="2" t="n">
        <f aca="false">IFERROR(__xludf.dummyfunction("""COMPUTED_VALUE"""),16.92)</f>
        <v>16.92</v>
      </c>
      <c r="D351" s="2" t="n">
        <f aca="false">IFERROR(__xludf.dummyfunction("""COMPUTED_VALUE"""),16.18)</f>
        <v>16.18</v>
      </c>
      <c r="E351" s="2" t="n">
        <f aca="false">IFERROR(__xludf.dummyfunction("""COMPUTED_VALUE"""),16.9)</f>
        <v>16.9</v>
      </c>
      <c r="F351" s="2" t="n">
        <f aca="false">IFERROR(__xludf.dummyfunction("""COMPUTED_VALUE"""),63988869)</f>
        <v>63988869</v>
      </c>
    </row>
    <row r="352" customFormat="false" ht="15.75" hidden="false" customHeight="false" outlineLevel="0" collapsed="false">
      <c r="A352" s="3" t="n">
        <f aca="false">IFERROR(__xludf.dummyfunction("""COMPUTED_VALUE"""),44705.6666666667)</f>
        <v>44705.6666666667</v>
      </c>
      <c r="B352" s="2" t="n">
        <f aca="false">IFERROR(__xludf.dummyfunction("""COMPUTED_VALUE"""),16.51)</f>
        <v>16.51</v>
      </c>
      <c r="C352" s="2" t="n">
        <f aca="false">IFERROR(__xludf.dummyfunction("""COMPUTED_VALUE"""),16.6)</f>
        <v>16.6</v>
      </c>
      <c r="D352" s="2" t="n">
        <f aca="false">IFERROR(__xludf.dummyfunction("""COMPUTED_VALUE"""),15.78)</f>
        <v>15.78</v>
      </c>
      <c r="E352" s="2" t="n">
        <f aca="false">IFERROR(__xludf.dummyfunction("""COMPUTED_VALUE"""),16.15)</f>
        <v>16.15</v>
      </c>
      <c r="F352" s="2" t="n">
        <f aca="false">IFERROR(__xludf.dummyfunction("""COMPUTED_VALUE"""),58855002)</f>
        <v>58855002</v>
      </c>
    </row>
    <row r="353" customFormat="false" ht="15.75" hidden="false" customHeight="false" outlineLevel="0" collapsed="false">
      <c r="A353" s="3" t="n">
        <f aca="false">IFERROR(__xludf.dummyfunction("""COMPUTED_VALUE"""),44706.6666666667)</f>
        <v>44706.6666666667</v>
      </c>
      <c r="B353" s="2" t="n">
        <f aca="false">IFERROR(__xludf.dummyfunction("""COMPUTED_VALUE"""),16.02)</f>
        <v>16.02</v>
      </c>
      <c r="C353" s="2" t="n">
        <f aca="false">IFERROR(__xludf.dummyfunction("""COMPUTED_VALUE"""),17.11)</f>
        <v>17.11</v>
      </c>
      <c r="D353" s="2" t="n">
        <f aca="false">IFERROR(__xludf.dummyfunction("""COMPUTED_VALUE"""),16)</f>
        <v>16</v>
      </c>
      <c r="E353" s="2" t="n">
        <f aca="false">IFERROR(__xludf.dummyfunction("""COMPUTED_VALUE"""),16.98)</f>
        <v>16.98</v>
      </c>
      <c r="F353" s="2" t="n">
        <f aca="false">IFERROR(__xludf.dummyfunction("""COMPUTED_VALUE"""),78113190)</f>
        <v>78113190</v>
      </c>
    </row>
    <row r="354" customFormat="false" ht="15.75" hidden="false" customHeight="false" outlineLevel="0" collapsed="false">
      <c r="A354" s="3" t="n">
        <f aca="false">IFERROR(__xludf.dummyfunction("""COMPUTED_VALUE"""),44707.6666666667)</f>
        <v>44707.6666666667</v>
      </c>
      <c r="B354" s="2" t="n">
        <f aca="false">IFERROR(__xludf.dummyfunction("""COMPUTED_VALUE"""),16.04)</f>
        <v>16.04</v>
      </c>
      <c r="C354" s="2" t="n">
        <f aca="false">IFERROR(__xludf.dummyfunction("""COMPUTED_VALUE"""),18.09)</f>
        <v>18.09</v>
      </c>
      <c r="D354" s="2" t="n">
        <f aca="false">IFERROR(__xludf.dummyfunction("""COMPUTED_VALUE"""),16.02)</f>
        <v>16.02</v>
      </c>
      <c r="E354" s="2" t="n">
        <f aca="false">IFERROR(__xludf.dummyfunction("""COMPUTED_VALUE"""),17.85)</f>
        <v>17.85</v>
      </c>
      <c r="F354" s="2" t="n">
        <f aca="false">IFERROR(__xludf.dummyfunction("""COMPUTED_VALUE"""),99657452)</f>
        <v>99657452</v>
      </c>
    </row>
    <row r="355" customFormat="false" ht="15.75" hidden="false" customHeight="false" outlineLevel="0" collapsed="false">
      <c r="A355" s="3" t="n">
        <f aca="false">IFERROR(__xludf.dummyfunction("""COMPUTED_VALUE"""),44708.6666666667)</f>
        <v>44708.6666666667</v>
      </c>
      <c r="B355" s="2" t="n">
        <f aca="false">IFERROR(__xludf.dummyfunction("""COMPUTED_VALUE"""),18.19)</f>
        <v>18.19</v>
      </c>
      <c r="C355" s="2" t="n">
        <f aca="false">IFERROR(__xludf.dummyfunction("""COMPUTED_VALUE"""),18.88)</f>
        <v>18.88</v>
      </c>
      <c r="D355" s="2" t="n">
        <f aca="false">IFERROR(__xludf.dummyfunction("""COMPUTED_VALUE"""),18.1)</f>
        <v>18.1</v>
      </c>
      <c r="E355" s="2" t="n">
        <f aca="false">IFERROR(__xludf.dummyfunction("""COMPUTED_VALUE"""),18.81)</f>
        <v>18.81</v>
      </c>
      <c r="F355" s="2" t="n">
        <f aca="false">IFERROR(__xludf.dummyfunction("""COMPUTED_VALUE"""),73837935)</f>
        <v>73837935</v>
      </c>
    </row>
    <row r="356" customFormat="false" ht="15.75" hidden="false" customHeight="false" outlineLevel="0" collapsed="false">
      <c r="A356" s="3" t="n">
        <f aca="false">IFERROR(__xludf.dummyfunction("""COMPUTED_VALUE"""),44712.6666666667)</f>
        <v>44712.6666666667</v>
      </c>
      <c r="B356" s="2" t="n">
        <f aca="false">IFERROR(__xludf.dummyfunction("""COMPUTED_VALUE"""),18.98)</f>
        <v>18.98</v>
      </c>
      <c r="C356" s="2" t="n">
        <f aca="false">IFERROR(__xludf.dummyfunction("""COMPUTED_VALUE"""),19.2)</f>
        <v>19.2</v>
      </c>
      <c r="D356" s="2" t="n">
        <f aca="false">IFERROR(__xludf.dummyfunction("""COMPUTED_VALUE"""),18.35)</f>
        <v>18.35</v>
      </c>
      <c r="E356" s="2" t="n">
        <f aca="false">IFERROR(__xludf.dummyfunction("""COMPUTED_VALUE"""),18.67)</f>
        <v>18.67</v>
      </c>
      <c r="F356" s="2" t="n">
        <f aca="false">IFERROR(__xludf.dummyfunction("""COMPUTED_VALUE"""),66409951)</f>
        <v>66409951</v>
      </c>
    </row>
    <row r="357" customFormat="false" ht="15.75" hidden="false" customHeight="false" outlineLevel="0" collapsed="false">
      <c r="A357" s="3" t="n">
        <f aca="false">IFERROR(__xludf.dummyfunction("""COMPUTED_VALUE"""),44713.6666666667)</f>
        <v>44713.6666666667</v>
      </c>
      <c r="B357" s="2" t="n">
        <f aca="false">IFERROR(__xludf.dummyfunction("""COMPUTED_VALUE"""),18.72)</f>
        <v>18.72</v>
      </c>
      <c r="C357" s="2" t="n">
        <f aca="false">IFERROR(__xludf.dummyfunction("""COMPUTED_VALUE"""),19.05)</f>
        <v>19.05</v>
      </c>
      <c r="D357" s="2" t="n">
        <f aca="false">IFERROR(__xludf.dummyfunction("""COMPUTED_VALUE"""),18.12)</f>
        <v>18.12</v>
      </c>
      <c r="E357" s="2" t="n">
        <f aca="false">IFERROR(__xludf.dummyfunction("""COMPUTED_VALUE"""),18.32)</f>
        <v>18.32</v>
      </c>
      <c r="F357" s="2" t="n">
        <f aca="false">IFERROR(__xludf.dummyfunction("""COMPUTED_VALUE"""),54451390)</f>
        <v>54451390</v>
      </c>
    </row>
    <row r="358" customFormat="false" ht="15.75" hidden="false" customHeight="false" outlineLevel="0" collapsed="false">
      <c r="A358" s="3" t="n">
        <f aca="false">IFERROR(__xludf.dummyfunction("""COMPUTED_VALUE"""),44714.6666666667)</f>
        <v>44714.6666666667</v>
      </c>
      <c r="B358" s="2" t="n">
        <f aca="false">IFERROR(__xludf.dummyfunction("""COMPUTED_VALUE"""),18.29)</f>
        <v>18.29</v>
      </c>
      <c r="C358" s="2" t="n">
        <f aca="false">IFERROR(__xludf.dummyfunction("""COMPUTED_VALUE"""),19.62)</f>
        <v>19.62</v>
      </c>
      <c r="D358" s="2" t="n">
        <f aca="false">IFERROR(__xludf.dummyfunction("""COMPUTED_VALUE"""),18.2)</f>
        <v>18.2</v>
      </c>
      <c r="E358" s="2" t="n">
        <f aca="false">IFERROR(__xludf.dummyfunction("""COMPUTED_VALUE"""),19.59)</f>
        <v>19.59</v>
      </c>
      <c r="F358" s="2" t="n">
        <f aca="false">IFERROR(__xludf.dummyfunction("""COMPUTED_VALUE"""),64865580)</f>
        <v>64865580</v>
      </c>
    </row>
    <row r="359" customFormat="false" ht="15.75" hidden="false" customHeight="false" outlineLevel="0" collapsed="false">
      <c r="A359" s="3" t="n">
        <f aca="false">IFERROR(__xludf.dummyfunction("""COMPUTED_VALUE"""),44715.6666666667)</f>
        <v>44715.6666666667</v>
      </c>
      <c r="B359" s="2" t="n">
        <f aca="false">IFERROR(__xludf.dummyfunction("""COMPUTED_VALUE"""),19.08)</f>
        <v>19.08</v>
      </c>
      <c r="C359" s="2" t="n">
        <f aca="false">IFERROR(__xludf.dummyfunction("""COMPUTED_VALUE"""),19.33)</f>
        <v>19.33</v>
      </c>
      <c r="D359" s="2" t="n">
        <f aca="false">IFERROR(__xludf.dummyfunction("""COMPUTED_VALUE"""),18.52)</f>
        <v>18.52</v>
      </c>
      <c r="E359" s="2" t="n">
        <f aca="false">IFERROR(__xludf.dummyfunction("""COMPUTED_VALUE"""),18.72)</f>
        <v>18.72</v>
      </c>
      <c r="F359" s="2" t="n">
        <f aca="false">IFERROR(__xludf.dummyfunction("""COMPUTED_VALUE"""),59877870)</f>
        <v>59877870</v>
      </c>
    </row>
    <row r="360" customFormat="false" ht="15.75" hidden="false" customHeight="false" outlineLevel="0" collapsed="false">
      <c r="A360" s="3" t="n">
        <f aca="false">IFERROR(__xludf.dummyfunction("""COMPUTED_VALUE"""),44718.6666666667)</f>
        <v>44718.6666666667</v>
      </c>
      <c r="B360" s="2" t="n">
        <f aca="false">IFERROR(__xludf.dummyfunction("""COMPUTED_VALUE"""),19.14)</f>
        <v>19.14</v>
      </c>
      <c r="C360" s="2" t="n">
        <f aca="false">IFERROR(__xludf.dummyfunction("""COMPUTED_VALUE"""),19.34)</f>
        <v>19.34</v>
      </c>
      <c r="D360" s="2" t="n">
        <f aca="false">IFERROR(__xludf.dummyfunction("""COMPUTED_VALUE"""),18.56)</f>
        <v>18.56</v>
      </c>
      <c r="E360" s="2" t="n">
        <f aca="false">IFERROR(__xludf.dummyfunction("""COMPUTED_VALUE"""),18.79)</f>
        <v>18.79</v>
      </c>
      <c r="F360" s="2" t="n">
        <f aca="false">IFERROR(__xludf.dummyfunction("""COMPUTED_VALUE"""),42240615)</f>
        <v>42240615</v>
      </c>
    </row>
    <row r="361" customFormat="false" ht="15.75" hidden="false" customHeight="false" outlineLevel="0" collapsed="false">
      <c r="A361" s="3" t="n">
        <f aca="false">IFERROR(__xludf.dummyfunction("""COMPUTED_VALUE"""),44719.6666666667)</f>
        <v>44719.6666666667</v>
      </c>
      <c r="B361" s="2" t="n">
        <f aca="false">IFERROR(__xludf.dummyfunction("""COMPUTED_VALUE"""),18.47)</f>
        <v>18.47</v>
      </c>
      <c r="C361" s="2" t="n">
        <f aca="false">IFERROR(__xludf.dummyfunction("""COMPUTED_VALUE"""),19)</f>
        <v>19</v>
      </c>
      <c r="D361" s="2" t="n">
        <f aca="false">IFERROR(__xludf.dummyfunction("""COMPUTED_VALUE"""),18.19)</f>
        <v>18.19</v>
      </c>
      <c r="E361" s="2" t="n">
        <f aca="false">IFERROR(__xludf.dummyfunction("""COMPUTED_VALUE"""),18.93)</f>
        <v>18.93</v>
      </c>
      <c r="F361" s="2" t="n">
        <f aca="false">IFERROR(__xludf.dummyfunction("""COMPUTED_VALUE"""),38891411)</f>
        <v>38891411</v>
      </c>
    </row>
    <row r="362" customFormat="false" ht="15.75" hidden="false" customHeight="false" outlineLevel="0" collapsed="false">
      <c r="A362" s="3" t="n">
        <f aca="false">IFERROR(__xludf.dummyfunction("""COMPUTED_VALUE"""),44720.6666666667)</f>
        <v>44720.6666666667</v>
      </c>
      <c r="B362" s="2" t="n">
        <f aca="false">IFERROR(__xludf.dummyfunction("""COMPUTED_VALUE"""),18.8)</f>
        <v>18.8</v>
      </c>
      <c r="C362" s="2" t="n">
        <f aca="false">IFERROR(__xludf.dummyfunction("""COMPUTED_VALUE"""),19.18)</f>
        <v>19.18</v>
      </c>
      <c r="D362" s="2" t="n">
        <f aca="false">IFERROR(__xludf.dummyfunction("""COMPUTED_VALUE"""),18.54)</f>
        <v>18.54</v>
      </c>
      <c r="E362" s="2" t="n">
        <f aca="false">IFERROR(__xludf.dummyfunction("""COMPUTED_VALUE"""),18.65)</f>
        <v>18.65</v>
      </c>
      <c r="F362" s="2" t="n">
        <f aca="false">IFERROR(__xludf.dummyfunction("""COMPUTED_VALUE"""),36325246)</f>
        <v>36325246</v>
      </c>
    </row>
    <row r="363" customFormat="false" ht="15.75" hidden="false" customHeight="false" outlineLevel="0" collapsed="false">
      <c r="A363" s="3" t="n">
        <f aca="false">IFERROR(__xludf.dummyfunction("""COMPUTED_VALUE"""),44721.6666666667)</f>
        <v>44721.6666666667</v>
      </c>
      <c r="B363" s="2" t="n">
        <f aca="false">IFERROR(__xludf.dummyfunction("""COMPUTED_VALUE"""),18.48)</f>
        <v>18.48</v>
      </c>
      <c r="C363" s="2" t="n">
        <f aca="false">IFERROR(__xludf.dummyfunction("""COMPUTED_VALUE"""),18.93)</f>
        <v>18.93</v>
      </c>
      <c r="D363" s="2" t="n">
        <f aca="false">IFERROR(__xludf.dummyfunction("""COMPUTED_VALUE"""),18.04)</f>
        <v>18.04</v>
      </c>
      <c r="E363" s="2" t="n">
        <f aca="false">IFERROR(__xludf.dummyfunction("""COMPUTED_VALUE"""),18.05)</f>
        <v>18.05</v>
      </c>
      <c r="F363" s="2" t="n">
        <f aca="false">IFERROR(__xludf.dummyfunction("""COMPUTED_VALUE"""),39557379)</f>
        <v>39557379</v>
      </c>
    </row>
    <row r="364" customFormat="false" ht="15.75" hidden="false" customHeight="false" outlineLevel="0" collapsed="false">
      <c r="A364" s="3" t="n">
        <f aca="false">IFERROR(__xludf.dummyfunction("""COMPUTED_VALUE"""),44722.6666666667)</f>
        <v>44722.6666666667</v>
      </c>
      <c r="B364" s="2" t="n">
        <f aca="false">IFERROR(__xludf.dummyfunction("""COMPUTED_VALUE"""),17.6)</f>
        <v>17.6</v>
      </c>
      <c r="C364" s="2" t="n">
        <f aca="false">IFERROR(__xludf.dummyfunction("""COMPUTED_VALUE"""),17.7)</f>
        <v>17.7</v>
      </c>
      <c r="D364" s="2" t="n">
        <f aca="false">IFERROR(__xludf.dummyfunction("""COMPUTED_VALUE"""),16.87)</f>
        <v>16.87</v>
      </c>
      <c r="E364" s="2" t="n">
        <f aca="false">IFERROR(__xludf.dummyfunction("""COMPUTED_VALUE"""),16.97)</f>
        <v>16.97</v>
      </c>
      <c r="F364" s="2" t="n">
        <f aca="false">IFERROR(__xludf.dummyfunction("""COMPUTED_VALUE"""),46564966)</f>
        <v>46564966</v>
      </c>
    </row>
    <row r="365" customFormat="false" ht="15.75" hidden="false" customHeight="false" outlineLevel="0" collapsed="false">
      <c r="A365" s="3" t="n">
        <f aca="false">IFERROR(__xludf.dummyfunction("""COMPUTED_VALUE"""),44725.6666666667)</f>
        <v>44725.6666666667</v>
      </c>
      <c r="B365" s="2" t="n">
        <f aca="false">IFERROR(__xludf.dummyfunction("""COMPUTED_VALUE"""),16)</f>
        <v>16</v>
      </c>
      <c r="C365" s="2" t="n">
        <f aca="false">IFERROR(__xludf.dummyfunction("""COMPUTED_VALUE"""),16.31)</f>
        <v>16.31</v>
      </c>
      <c r="D365" s="2" t="n">
        <f aca="false">IFERROR(__xludf.dummyfunction("""COMPUTED_VALUE"""),15.61)</f>
        <v>15.61</v>
      </c>
      <c r="E365" s="2" t="n">
        <f aca="false">IFERROR(__xludf.dummyfunction("""COMPUTED_VALUE"""),15.65)</f>
        <v>15.65</v>
      </c>
      <c r="F365" s="2" t="n">
        <f aca="false">IFERROR(__xludf.dummyfunction("""COMPUTED_VALUE"""),60415338)</f>
        <v>60415338</v>
      </c>
    </row>
    <row r="366" customFormat="false" ht="15.75" hidden="false" customHeight="false" outlineLevel="0" collapsed="false">
      <c r="A366" s="3" t="n">
        <f aca="false">IFERROR(__xludf.dummyfunction("""COMPUTED_VALUE"""),44726.6666666667)</f>
        <v>44726.6666666667</v>
      </c>
      <c r="B366" s="2" t="n">
        <f aca="false">IFERROR(__xludf.dummyfunction("""COMPUTED_VALUE"""),15.73)</f>
        <v>15.73</v>
      </c>
      <c r="C366" s="2" t="n">
        <f aca="false">IFERROR(__xludf.dummyfunction("""COMPUTED_VALUE"""),16.07)</f>
        <v>16.07</v>
      </c>
      <c r="D366" s="2" t="n">
        <f aca="false">IFERROR(__xludf.dummyfunction("""COMPUTED_VALUE"""),15.41)</f>
        <v>15.41</v>
      </c>
      <c r="E366" s="2" t="n">
        <f aca="false">IFERROR(__xludf.dummyfunction("""COMPUTED_VALUE"""),15.84)</f>
        <v>15.84</v>
      </c>
      <c r="F366" s="2" t="n">
        <f aca="false">IFERROR(__xludf.dummyfunction("""COMPUTED_VALUE"""),46967952)</f>
        <v>46967952</v>
      </c>
    </row>
    <row r="367" customFormat="false" ht="15.75" hidden="false" customHeight="false" outlineLevel="0" collapsed="false">
      <c r="A367" s="3" t="n">
        <f aca="false">IFERROR(__xludf.dummyfunction("""COMPUTED_VALUE"""),44727.6666666667)</f>
        <v>44727.6666666667</v>
      </c>
      <c r="B367" s="2" t="n">
        <f aca="false">IFERROR(__xludf.dummyfunction("""COMPUTED_VALUE"""),16.1)</f>
        <v>16.1</v>
      </c>
      <c r="C367" s="2" t="n">
        <f aca="false">IFERROR(__xludf.dummyfunction("""COMPUTED_VALUE"""),16.87)</f>
        <v>16.87</v>
      </c>
      <c r="D367" s="2" t="n">
        <f aca="false">IFERROR(__xludf.dummyfunction("""COMPUTED_VALUE"""),15.93)</f>
        <v>15.93</v>
      </c>
      <c r="E367" s="2" t="n">
        <f aca="false">IFERROR(__xludf.dummyfunction("""COMPUTED_VALUE"""),16.53)</f>
        <v>16.53</v>
      </c>
      <c r="F367" s="2" t="n">
        <f aca="false">IFERROR(__xludf.dummyfunction("""COMPUTED_VALUE"""),56393565)</f>
        <v>56393565</v>
      </c>
    </row>
    <row r="368" customFormat="false" ht="15.75" hidden="false" customHeight="false" outlineLevel="0" collapsed="false">
      <c r="A368" s="3" t="n">
        <f aca="false">IFERROR(__xludf.dummyfunction("""COMPUTED_VALUE"""),44728.6666666667)</f>
        <v>44728.6666666667</v>
      </c>
      <c r="B368" s="2" t="n">
        <f aca="false">IFERROR(__xludf.dummyfunction("""COMPUTED_VALUE"""),15.86)</f>
        <v>15.86</v>
      </c>
      <c r="C368" s="2" t="n">
        <f aca="false">IFERROR(__xludf.dummyfunction("""COMPUTED_VALUE"""),15.94)</f>
        <v>15.94</v>
      </c>
      <c r="D368" s="2" t="n">
        <f aca="false">IFERROR(__xludf.dummyfunction("""COMPUTED_VALUE"""),15.4)</f>
        <v>15.4</v>
      </c>
      <c r="E368" s="2" t="n">
        <f aca="false">IFERROR(__xludf.dummyfunction("""COMPUTED_VALUE"""),15.6)</f>
        <v>15.6</v>
      </c>
      <c r="F368" s="2" t="n">
        <f aca="false">IFERROR(__xludf.dummyfunction("""COMPUTED_VALUE"""),54574867)</f>
        <v>54574867</v>
      </c>
    </row>
    <row r="369" customFormat="false" ht="15.75" hidden="false" customHeight="false" outlineLevel="0" collapsed="false">
      <c r="A369" s="3" t="n">
        <f aca="false">IFERROR(__xludf.dummyfunction("""COMPUTED_VALUE"""),44729.6666666667)</f>
        <v>44729.6666666667</v>
      </c>
      <c r="B369" s="2" t="n">
        <f aca="false">IFERROR(__xludf.dummyfunction("""COMPUTED_VALUE"""),15.65)</f>
        <v>15.65</v>
      </c>
      <c r="C369" s="2" t="n">
        <f aca="false">IFERROR(__xludf.dummyfunction("""COMPUTED_VALUE"""),16)</f>
        <v>16</v>
      </c>
      <c r="D369" s="2" t="n">
        <f aca="false">IFERROR(__xludf.dummyfunction("""COMPUTED_VALUE"""),15.33)</f>
        <v>15.33</v>
      </c>
      <c r="E369" s="2" t="n">
        <f aca="false">IFERROR(__xludf.dummyfunction("""COMPUTED_VALUE"""),15.88)</f>
        <v>15.88</v>
      </c>
      <c r="F369" s="2" t="n">
        <f aca="false">IFERROR(__xludf.dummyfunction("""COMPUTED_VALUE"""),63033397)</f>
        <v>63033397</v>
      </c>
    </row>
    <row r="370" customFormat="false" ht="15.75" hidden="false" customHeight="false" outlineLevel="0" collapsed="false">
      <c r="A370" s="3" t="n">
        <f aca="false">IFERROR(__xludf.dummyfunction("""COMPUTED_VALUE"""),44733.6666666667)</f>
        <v>44733.6666666667</v>
      </c>
      <c r="B370" s="2" t="n">
        <f aca="false">IFERROR(__xludf.dummyfunction("""COMPUTED_VALUE"""),16.47)</f>
        <v>16.47</v>
      </c>
      <c r="C370" s="2" t="n">
        <f aca="false">IFERROR(__xludf.dummyfunction("""COMPUTED_VALUE"""),17.01)</f>
        <v>17.01</v>
      </c>
      <c r="D370" s="2" t="n">
        <f aca="false">IFERROR(__xludf.dummyfunction("""COMPUTED_VALUE"""),16.41)</f>
        <v>16.41</v>
      </c>
      <c r="E370" s="2" t="n">
        <f aca="false">IFERROR(__xludf.dummyfunction("""COMPUTED_VALUE"""),16.57)</f>
        <v>16.57</v>
      </c>
      <c r="F370" s="2" t="n">
        <f aca="false">IFERROR(__xludf.dummyfunction("""COMPUTED_VALUE"""),48308888)</f>
        <v>48308888</v>
      </c>
    </row>
    <row r="371" customFormat="false" ht="15.75" hidden="false" customHeight="false" outlineLevel="0" collapsed="false">
      <c r="A371" s="3" t="n">
        <f aca="false">IFERROR(__xludf.dummyfunction("""COMPUTED_VALUE"""),44734.6666666667)</f>
        <v>44734.6666666667</v>
      </c>
      <c r="B371" s="2" t="n">
        <f aca="false">IFERROR(__xludf.dummyfunction("""COMPUTED_VALUE"""),16.23)</f>
        <v>16.23</v>
      </c>
      <c r="C371" s="2" t="n">
        <f aca="false">IFERROR(__xludf.dummyfunction("""COMPUTED_VALUE"""),16.66)</f>
        <v>16.66</v>
      </c>
      <c r="D371" s="2" t="n">
        <f aca="false">IFERROR(__xludf.dummyfunction("""COMPUTED_VALUE"""),16.18)</f>
        <v>16.18</v>
      </c>
      <c r="E371" s="2" t="n">
        <f aca="false">IFERROR(__xludf.dummyfunction("""COMPUTED_VALUE"""),16.36)</f>
        <v>16.36</v>
      </c>
      <c r="F371" s="2" t="n">
        <f aca="false">IFERROR(__xludf.dummyfunction("""COMPUTED_VALUE"""),43799744)</f>
        <v>43799744</v>
      </c>
    </row>
    <row r="372" customFormat="false" ht="15.75" hidden="false" customHeight="false" outlineLevel="0" collapsed="false">
      <c r="A372" s="3" t="n">
        <f aca="false">IFERROR(__xludf.dummyfunction("""COMPUTED_VALUE"""),44735.6666666667)</f>
        <v>44735.6666666667</v>
      </c>
      <c r="B372" s="2" t="n">
        <f aca="false">IFERROR(__xludf.dummyfunction("""COMPUTED_VALUE"""),16.52)</f>
        <v>16.52</v>
      </c>
      <c r="C372" s="2" t="n">
        <f aca="false">IFERROR(__xludf.dummyfunction("""COMPUTED_VALUE"""),16.59)</f>
        <v>16.59</v>
      </c>
      <c r="D372" s="2" t="n">
        <f aca="false">IFERROR(__xludf.dummyfunction("""COMPUTED_VALUE"""),15.85)</f>
        <v>15.85</v>
      </c>
      <c r="E372" s="2" t="n">
        <f aca="false">IFERROR(__xludf.dummyfunction("""COMPUTED_VALUE"""),16.23)</f>
        <v>16.23</v>
      </c>
      <c r="F372" s="2" t="n">
        <f aca="false">IFERROR(__xludf.dummyfunction("""COMPUTED_VALUE"""),46367959)</f>
        <v>46367959</v>
      </c>
    </row>
    <row r="373" customFormat="false" ht="15.75" hidden="false" customHeight="false" outlineLevel="0" collapsed="false">
      <c r="A373" s="3" t="n">
        <f aca="false">IFERROR(__xludf.dummyfunction("""COMPUTED_VALUE"""),44736.6666666667)</f>
        <v>44736.6666666667</v>
      </c>
      <c r="B373" s="2" t="n">
        <f aca="false">IFERROR(__xludf.dummyfunction("""COMPUTED_VALUE"""),16.5)</f>
        <v>16.5</v>
      </c>
      <c r="C373" s="2" t="n">
        <f aca="false">IFERROR(__xludf.dummyfunction("""COMPUTED_VALUE"""),17.14)</f>
        <v>17.14</v>
      </c>
      <c r="D373" s="2" t="n">
        <f aca="false">IFERROR(__xludf.dummyfunction("""COMPUTED_VALUE"""),16.31)</f>
        <v>16.31</v>
      </c>
      <c r="E373" s="2" t="n">
        <f aca="false">IFERROR(__xludf.dummyfunction("""COMPUTED_VALUE"""),17.13)</f>
        <v>17.13</v>
      </c>
      <c r="F373" s="2" t="n">
        <f aca="false">IFERROR(__xludf.dummyfunction("""COMPUTED_VALUE"""),47215283)</f>
        <v>47215283</v>
      </c>
    </row>
    <row r="374" customFormat="false" ht="15.75" hidden="false" customHeight="false" outlineLevel="0" collapsed="false">
      <c r="A374" s="3" t="n">
        <f aca="false">IFERROR(__xludf.dummyfunction("""COMPUTED_VALUE"""),44739.6666666667)</f>
        <v>44739.6666666667</v>
      </c>
      <c r="B374" s="2" t="n">
        <f aca="false">IFERROR(__xludf.dummyfunction("""COMPUTED_VALUE"""),17.31)</f>
        <v>17.31</v>
      </c>
      <c r="C374" s="2" t="n">
        <f aca="false">IFERROR(__xludf.dummyfunction("""COMPUTED_VALUE"""),17.33)</f>
        <v>17.33</v>
      </c>
      <c r="D374" s="2" t="n">
        <f aca="false">IFERROR(__xludf.dummyfunction("""COMPUTED_VALUE"""),16.63)</f>
        <v>16.63</v>
      </c>
      <c r="E374" s="2" t="n">
        <f aca="false">IFERROR(__xludf.dummyfunction("""COMPUTED_VALUE"""),16.87)</f>
        <v>16.87</v>
      </c>
      <c r="F374" s="2" t="n">
        <f aca="false">IFERROR(__xludf.dummyfunction("""COMPUTED_VALUE"""),42796788)</f>
        <v>42796788</v>
      </c>
    </row>
    <row r="375" customFormat="false" ht="15.75" hidden="false" customHeight="false" outlineLevel="0" collapsed="false">
      <c r="A375" s="3" t="n">
        <f aca="false">IFERROR(__xludf.dummyfunction("""COMPUTED_VALUE"""),44740.6666666667)</f>
        <v>44740.6666666667</v>
      </c>
      <c r="B375" s="2" t="n">
        <f aca="false">IFERROR(__xludf.dummyfunction("""COMPUTED_VALUE"""),16.9)</f>
        <v>16.9</v>
      </c>
      <c r="C375" s="2" t="n">
        <f aca="false">IFERROR(__xludf.dummyfunction("""COMPUTED_VALUE"""),17.2)</f>
        <v>17.2</v>
      </c>
      <c r="D375" s="2" t="n">
        <f aca="false">IFERROR(__xludf.dummyfunction("""COMPUTED_VALUE"""),15.95)</f>
        <v>15.95</v>
      </c>
      <c r="E375" s="2" t="n">
        <f aca="false">IFERROR(__xludf.dummyfunction("""COMPUTED_VALUE"""),15.98)</f>
        <v>15.98</v>
      </c>
      <c r="F375" s="2" t="n">
        <f aca="false">IFERROR(__xludf.dummyfunction("""COMPUTED_VALUE"""),46185936)</f>
        <v>46185936</v>
      </c>
    </row>
    <row r="376" customFormat="false" ht="15.75" hidden="false" customHeight="false" outlineLevel="0" collapsed="false">
      <c r="A376" s="3" t="n">
        <f aca="false">IFERROR(__xludf.dummyfunction("""COMPUTED_VALUE"""),44741.6666666667)</f>
        <v>44741.6666666667</v>
      </c>
      <c r="B376" s="2" t="n">
        <f aca="false">IFERROR(__xludf.dummyfunction("""COMPUTED_VALUE"""),15.81)</f>
        <v>15.81</v>
      </c>
      <c r="C376" s="2" t="n">
        <f aca="false">IFERROR(__xludf.dummyfunction("""COMPUTED_VALUE"""),15.82)</f>
        <v>15.82</v>
      </c>
      <c r="D376" s="2" t="n">
        <f aca="false">IFERROR(__xludf.dummyfunction("""COMPUTED_VALUE"""),15.17)</f>
        <v>15.17</v>
      </c>
      <c r="E376" s="2" t="n">
        <f aca="false">IFERROR(__xludf.dummyfunction("""COMPUTED_VALUE"""),15.54)</f>
        <v>15.54</v>
      </c>
      <c r="F376" s="2" t="n">
        <f aca="false">IFERROR(__xludf.dummyfunction("""COMPUTED_VALUE"""),48235228)</f>
        <v>48235228</v>
      </c>
    </row>
    <row r="377" customFormat="false" ht="15.75" hidden="false" customHeight="false" outlineLevel="0" collapsed="false">
      <c r="A377" s="3" t="n">
        <f aca="false">IFERROR(__xludf.dummyfunction("""COMPUTED_VALUE"""),44742.6666666667)</f>
        <v>44742.6666666667</v>
      </c>
      <c r="B377" s="2" t="n">
        <f aca="false">IFERROR(__xludf.dummyfunction("""COMPUTED_VALUE"""),15.36)</f>
        <v>15.36</v>
      </c>
      <c r="C377" s="2" t="n">
        <f aca="false">IFERROR(__xludf.dummyfunction("""COMPUTED_VALUE"""),15.57)</f>
        <v>15.57</v>
      </c>
      <c r="D377" s="2" t="n">
        <f aca="false">IFERROR(__xludf.dummyfunction("""COMPUTED_VALUE"""),14.86)</f>
        <v>14.86</v>
      </c>
      <c r="E377" s="2" t="n">
        <f aca="false">IFERROR(__xludf.dummyfunction("""COMPUTED_VALUE"""),15.16)</f>
        <v>15.16</v>
      </c>
      <c r="F377" s="2" t="n">
        <f aca="false">IFERROR(__xludf.dummyfunction("""COMPUTED_VALUE"""),68607003)</f>
        <v>68607003</v>
      </c>
    </row>
    <row r="378" customFormat="false" ht="15.75" hidden="false" customHeight="false" outlineLevel="0" collapsed="false">
      <c r="A378" s="3" t="n">
        <f aca="false">IFERROR(__xludf.dummyfunction("""COMPUTED_VALUE"""),44743.6666666667)</f>
        <v>44743.6666666667</v>
      </c>
      <c r="B378" s="2" t="n">
        <f aca="false">IFERROR(__xludf.dummyfunction("""COMPUTED_VALUE"""),14.9)</f>
        <v>14.9</v>
      </c>
      <c r="C378" s="2" t="n">
        <f aca="false">IFERROR(__xludf.dummyfunction("""COMPUTED_VALUE"""),15.06)</f>
        <v>15.06</v>
      </c>
      <c r="D378" s="2" t="n">
        <f aca="false">IFERROR(__xludf.dummyfunction("""COMPUTED_VALUE"""),14.39)</f>
        <v>14.39</v>
      </c>
      <c r="E378" s="2" t="n">
        <f aca="false">IFERROR(__xludf.dummyfunction("""COMPUTED_VALUE"""),14.52)</f>
        <v>14.52</v>
      </c>
      <c r="F378" s="2" t="n">
        <f aca="false">IFERROR(__xludf.dummyfunction("""COMPUTED_VALUE"""),57761008)</f>
        <v>57761008</v>
      </c>
    </row>
    <row r="379" customFormat="false" ht="15.75" hidden="false" customHeight="false" outlineLevel="0" collapsed="false">
      <c r="A379" s="3" t="n">
        <f aca="false">IFERROR(__xludf.dummyfunction("""COMPUTED_VALUE"""),44747.6666666667)</f>
        <v>44747.6666666667</v>
      </c>
      <c r="B379" s="2" t="n">
        <f aca="false">IFERROR(__xludf.dummyfunction("""COMPUTED_VALUE"""),14.18)</f>
        <v>14.18</v>
      </c>
      <c r="C379" s="2" t="n">
        <f aca="false">IFERROR(__xludf.dummyfunction("""COMPUTED_VALUE"""),14.97)</f>
        <v>14.97</v>
      </c>
      <c r="D379" s="2" t="n">
        <f aca="false">IFERROR(__xludf.dummyfunction("""COMPUTED_VALUE"""),14.06)</f>
        <v>14.06</v>
      </c>
      <c r="E379" s="2" t="n">
        <f aca="false">IFERROR(__xludf.dummyfunction("""COMPUTED_VALUE"""),14.96)</f>
        <v>14.96</v>
      </c>
      <c r="F379" s="2" t="n">
        <f aca="false">IFERROR(__xludf.dummyfunction("""COMPUTED_VALUE"""),65220761)</f>
        <v>65220761</v>
      </c>
    </row>
    <row r="380" customFormat="false" ht="15.75" hidden="false" customHeight="false" outlineLevel="0" collapsed="false">
      <c r="A380" s="3" t="n">
        <f aca="false">IFERROR(__xludf.dummyfunction("""COMPUTED_VALUE"""),44748.6666666667)</f>
        <v>44748.6666666667</v>
      </c>
      <c r="B380" s="2" t="n">
        <f aca="false">IFERROR(__xludf.dummyfunction("""COMPUTED_VALUE"""),15.01)</f>
        <v>15.01</v>
      </c>
      <c r="C380" s="2" t="n">
        <f aca="false">IFERROR(__xludf.dummyfunction("""COMPUTED_VALUE"""),15.32)</f>
        <v>15.32</v>
      </c>
      <c r="D380" s="2" t="n">
        <f aca="false">IFERROR(__xludf.dummyfunction("""COMPUTED_VALUE"""),14.79)</f>
        <v>14.79</v>
      </c>
      <c r="E380" s="2" t="n">
        <f aca="false">IFERROR(__xludf.dummyfunction("""COMPUTED_VALUE"""),15.13)</f>
        <v>15.13</v>
      </c>
      <c r="F380" s="2" t="n">
        <f aca="false">IFERROR(__xludf.dummyfunction("""COMPUTED_VALUE"""),52906586)</f>
        <v>52906586</v>
      </c>
    </row>
    <row r="381" customFormat="false" ht="15.75" hidden="false" customHeight="false" outlineLevel="0" collapsed="false">
      <c r="A381" s="3" t="n">
        <f aca="false">IFERROR(__xludf.dummyfunction("""COMPUTED_VALUE"""),44749.6666666667)</f>
        <v>44749.6666666667</v>
      </c>
      <c r="B381" s="2" t="n">
        <f aca="false">IFERROR(__xludf.dummyfunction("""COMPUTED_VALUE"""),15.46)</f>
        <v>15.46</v>
      </c>
      <c r="C381" s="2" t="n">
        <f aca="false">IFERROR(__xludf.dummyfunction("""COMPUTED_VALUE"""),15.95)</f>
        <v>15.95</v>
      </c>
      <c r="D381" s="2" t="n">
        <f aca="false">IFERROR(__xludf.dummyfunction("""COMPUTED_VALUE"""),15.39)</f>
        <v>15.39</v>
      </c>
      <c r="E381" s="2" t="n">
        <f aca="false">IFERROR(__xludf.dummyfunction("""COMPUTED_VALUE"""),15.86)</f>
        <v>15.86</v>
      </c>
      <c r="F381" s="2" t="n">
        <f aca="false">IFERROR(__xludf.dummyfunction("""COMPUTED_VALUE"""),49290276)</f>
        <v>49290276</v>
      </c>
    </row>
    <row r="382" customFormat="false" ht="15.75" hidden="false" customHeight="false" outlineLevel="0" collapsed="false">
      <c r="A382" s="3" t="n">
        <f aca="false">IFERROR(__xludf.dummyfunction("""COMPUTED_VALUE"""),44750.6666666667)</f>
        <v>44750.6666666667</v>
      </c>
      <c r="B382" s="2" t="n">
        <f aca="false">IFERROR(__xludf.dummyfunction("""COMPUTED_VALUE"""),15.43)</f>
        <v>15.43</v>
      </c>
      <c r="C382" s="2" t="n">
        <f aca="false">IFERROR(__xludf.dummyfunction("""COMPUTED_VALUE"""),16.04)</f>
        <v>16.04</v>
      </c>
      <c r="D382" s="2" t="n">
        <f aca="false">IFERROR(__xludf.dummyfunction("""COMPUTED_VALUE"""),15.39)</f>
        <v>15.39</v>
      </c>
      <c r="E382" s="2" t="n">
        <f aca="false">IFERROR(__xludf.dummyfunction("""COMPUTED_VALUE"""),15.84)</f>
        <v>15.84</v>
      </c>
      <c r="F382" s="2" t="n">
        <f aca="false">IFERROR(__xludf.dummyfunction("""COMPUTED_VALUE"""),46797176)</f>
        <v>46797176</v>
      </c>
    </row>
    <row r="383" customFormat="false" ht="15.75" hidden="false" customHeight="false" outlineLevel="0" collapsed="false">
      <c r="A383" s="3" t="n">
        <f aca="false">IFERROR(__xludf.dummyfunction("""COMPUTED_VALUE"""),44753.6666666667)</f>
        <v>44753.6666666667</v>
      </c>
      <c r="B383" s="2" t="n">
        <f aca="false">IFERROR(__xludf.dummyfunction("""COMPUTED_VALUE"""),15.53)</f>
        <v>15.53</v>
      </c>
      <c r="C383" s="2" t="n">
        <f aca="false">IFERROR(__xludf.dummyfunction("""COMPUTED_VALUE"""),15.53)</f>
        <v>15.53</v>
      </c>
      <c r="D383" s="2" t="n">
        <f aca="false">IFERROR(__xludf.dummyfunction("""COMPUTED_VALUE"""),15.04)</f>
        <v>15.04</v>
      </c>
      <c r="E383" s="2" t="n">
        <f aca="false">IFERROR(__xludf.dummyfunction("""COMPUTED_VALUE"""),15.15)</f>
        <v>15.15</v>
      </c>
      <c r="F383" s="2" t="n">
        <f aca="false">IFERROR(__xludf.dummyfunction("""COMPUTED_VALUE"""),43838873)</f>
        <v>43838873</v>
      </c>
    </row>
    <row r="384" customFormat="false" ht="15.75" hidden="false" customHeight="false" outlineLevel="0" collapsed="false">
      <c r="A384" s="3" t="n">
        <f aca="false">IFERROR(__xludf.dummyfunction("""COMPUTED_VALUE"""),44754.6666666667)</f>
        <v>44754.6666666667</v>
      </c>
      <c r="B384" s="2" t="n">
        <f aca="false">IFERROR(__xludf.dummyfunction("""COMPUTED_VALUE"""),15.27)</f>
        <v>15.27</v>
      </c>
      <c r="C384" s="2" t="n">
        <f aca="false">IFERROR(__xludf.dummyfunction("""COMPUTED_VALUE"""),15.43)</f>
        <v>15.43</v>
      </c>
      <c r="D384" s="2" t="n">
        <f aca="false">IFERROR(__xludf.dummyfunction("""COMPUTED_VALUE"""),14.88)</f>
        <v>14.88</v>
      </c>
      <c r="E384" s="2" t="n">
        <f aca="false">IFERROR(__xludf.dummyfunction("""COMPUTED_VALUE"""),15.08)</f>
        <v>15.08</v>
      </c>
      <c r="F384" s="2" t="n">
        <f aca="false">IFERROR(__xludf.dummyfunction("""COMPUTED_VALUE"""),45848310)</f>
        <v>45848310</v>
      </c>
    </row>
    <row r="385" customFormat="false" ht="15.75" hidden="false" customHeight="false" outlineLevel="0" collapsed="false">
      <c r="A385" s="3" t="n">
        <f aca="false">IFERROR(__xludf.dummyfunction("""COMPUTED_VALUE"""),44755.6666666667)</f>
        <v>44755.6666666667</v>
      </c>
      <c r="B385" s="2" t="n">
        <f aca="false">IFERROR(__xludf.dummyfunction("""COMPUTED_VALUE"""),14.59)</f>
        <v>14.59</v>
      </c>
      <c r="C385" s="2" t="n">
        <f aca="false">IFERROR(__xludf.dummyfunction("""COMPUTED_VALUE"""),15.38)</f>
        <v>15.38</v>
      </c>
      <c r="D385" s="2" t="n">
        <f aca="false">IFERROR(__xludf.dummyfunction("""COMPUTED_VALUE"""),14.47)</f>
        <v>14.47</v>
      </c>
      <c r="E385" s="2" t="n">
        <f aca="false">IFERROR(__xludf.dummyfunction("""COMPUTED_VALUE"""),15.16)</f>
        <v>15.16</v>
      </c>
      <c r="F385" s="2" t="n">
        <f aca="false">IFERROR(__xludf.dummyfunction("""COMPUTED_VALUE"""),52191834)</f>
        <v>52191834</v>
      </c>
    </row>
    <row r="386" customFormat="false" ht="15.75" hidden="false" customHeight="false" outlineLevel="0" collapsed="false">
      <c r="A386" s="3" t="n">
        <f aca="false">IFERROR(__xludf.dummyfunction("""COMPUTED_VALUE"""),44756.6666666667)</f>
        <v>44756.6666666667</v>
      </c>
      <c r="B386" s="2" t="n">
        <f aca="false">IFERROR(__xludf.dummyfunction("""COMPUTED_VALUE"""),15.11)</f>
        <v>15.11</v>
      </c>
      <c r="C386" s="2" t="n">
        <f aca="false">IFERROR(__xludf.dummyfunction("""COMPUTED_VALUE"""),15.47)</f>
        <v>15.47</v>
      </c>
      <c r="D386" s="2" t="n">
        <f aca="false">IFERROR(__xludf.dummyfunction("""COMPUTED_VALUE"""),14.73)</f>
        <v>14.73</v>
      </c>
      <c r="E386" s="2" t="n">
        <f aca="false">IFERROR(__xludf.dummyfunction("""COMPUTED_VALUE"""),15.37)</f>
        <v>15.37</v>
      </c>
      <c r="F386" s="2" t="n">
        <f aca="false">IFERROR(__xludf.dummyfunction("""COMPUTED_VALUE"""),45623484)</f>
        <v>45623484</v>
      </c>
    </row>
    <row r="387" customFormat="false" ht="15.75" hidden="false" customHeight="false" outlineLevel="0" collapsed="false">
      <c r="A387" s="3" t="n">
        <f aca="false">IFERROR(__xludf.dummyfunction("""COMPUTED_VALUE"""),44757.6666666667)</f>
        <v>44757.6666666667</v>
      </c>
      <c r="B387" s="2" t="n">
        <f aca="false">IFERROR(__xludf.dummyfunction("""COMPUTED_VALUE"""),15.66)</f>
        <v>15.66</v>
      </c>
      <c r="C387" s="2" t="n">
        <f aca="false">IFERROR(__xludf.dummyfunction("""COMPUTED_VALUE"""),15.78)</f>
        <v>15.78</v>
      </c>
      <c r="D387" s="2" t="n">
        <f aca="false">IFERROR(__xludf.dummyfunction("""COMPUTED_VALUE"""),15.45)</f>
        <v>15.45</v>
      </c>
      <c r="E387" s="2" t="n">
        <f aca="false">IFERROR(__xludf.dummyfunction("""COMPUTED_VALUE"""),15.76)</f>
        <v>15.76</v>
      </c>
      <c r="F387" s="2" t="n">
        <f aca="false">IFERROR(__xludf.dummyfunction("""COMPUTED_VALUE"""),38593547)</f>
        <v>38593547</v>
      </c>
    </row>
    <row r="388" customFormat="false" ht="15.75" hidden="false" customHeight="false" outlineLevel="0" collapsed="false">
      <c r="A388" s="3" t="n">
        <f aca="false">IFERROR(__xludf.dummyfunction("""COMPUTED_VALUE"""),44760.6666666667)</f>
        <v>44760.6666666667</v>
      </c>
      <c r="B388" s="2" t="n">
        <f aca="false">IFERROR(__xludf.dummyfunction("""COMPUTED_VALUE"""),16.3)</f>
        <v>16.3</v>
      </c>
      <c r="C388" s="2" t="n">
        <f aca="false">IFERROR(__xludf.dummyfunction("""COMPUTED_VALUE"""),16.9)</f>
        <v>16.9</v>
      </c>
      <c r="D388" s="2" t="n">
        <f aca="false">IFERROR(__xludf.dummyfunction("""COMPUTED_VALUE"""),16)</f>
        <v>16</v>
      </c>
      <c r="E388" s="2" t="n">
        <f aca="false">IFERROR(__xludf.dummyfunction("""COMPUTED_VALUE"""),16.1)</f>
        <v>16.1</v>
      </c>
      <c r="F388" s="2" t="n">
        <f aca="false">IFERROR(__xludf.dummyfunction("""COMPUTED_VALUE"""),67051745)</f>
        <v>67051745</v>
      </c>
    </row>
    <row r="389" customFormat="false" ht="15.75" hidden="false" customHeight="false" outlineLevel="0" collapsed="false">
      <c r="A389" s="3" t="n">
        <f aca="false">IFERROR(__xludf.dummyfunction("""COMPUTED_VALUE"""),44761.6666666667)</f>
        <v>44761.6666666667</v>
      </c>
      <c r="B389" s="2" t="n">
        <f aca="false">IFERROR(__xludf.dummyfunction("""COMPUTED_VALUE"""),16.49)</f>
        <v>16.49</v>
      </c>
      <c r="C389" s="2" t="n">
        <f aca="false">IFERROR(__xludf.dummyfunction("""COMPUTED_VALUE"""),17.11)</f>
        <v>17.11</v>
      </c>
      <c r="D389" s="2" t="n">
        <f aca="false">IFERROR(__xludf.dummyfunction("""COMPUTED_VALUE"""),16.17)</f>
        <v>16.17</v>
      </c>
      <c r="E389" s="2" t="n">
        <f aca="false">IFERROR(__xludf.dummyfunction("""COMPUTED_VALUE"""),16.99)</f>
        <v>16.99</v>
      </c>
      <c r="F389" s="2" t="n">
        <f aca="false">IFERROR(__xludf.dummyfunction("""COMPUTED_VALUE"""),70236608)</f>
        <v>70236608</v>
      </c>
    </row>
    <row r="390" customFormat="false" ht="15.75" hidden="false" customHeight="false" outlineLevel="0" collapsed="false">
      <c r="A390" s="3" t="n">
        <f aca="false">IFERROR(__xludf.dummyfunction("""COMPUTED_VALUE"""),44762.6666666667)</f>
        <v>44762.6666666667</v>
      </c>
      <c r="B390" s="2" t="n">
        <f aca="false">IFERROR(__xludf.dummyfunction("""COMPUTED_VALUE"""),16.95)</f>
        <v>16.95</v>
      </c>
      <c r="C390" s="2" t="n">
        <f aca="false">IFERROR(__xludf.dummyfunction("""COMPUTED_VALUE"""),17.93)</f>
        <v>17.93</v>
      </c>
      <c r="D390" s="2" t="n">
        <f aca="false">IFERROR(__xludf.dummyfunction("""COMPUTED_VALUE"""),16.8)</f>
        <v>16.8</v>
      </c>
      <c r="E390" s="2" t="n">
        <f aca="false">IFERROR(__xludf.dummyfunction("""COMPUTED_VALUE"""),17.81)</f>
        <v>17.81</v>
      </c>
      <c r="F390" s="2" t="n">
        <f aca="false">IFERROR(__xludf.dummyfunction("""COMPUTED_VALUE"""),76053779)</f>
        <v>76053779</v>
      </c>
    </row>
    <row r="391" customFormat="false" ht="15.75" hidden="false" customHeight="false" outlineLevel="0" collapsed="false">
      <c r="A391" s="3" t="n">
        <f aca="false">IFERROR(__xludf.dummyfunction("""COMPUTED_VALUE"""),44763.6666666667)</f>
        <v>44763.6666666667</v>
      </c>
      <c r="B391" s="2" t="n">
        <f aca="false">IFERROR(__xludf.dummyfunction("""COMPUTED_VALUE"""),17.89)</f>
        <v>17.89</v>
      </c>
      <c r="C391" s="2" t="n">
        <f aca="false">IFERROR(__xludf.dummyfunction("""COMPUTED_VALUE"""),18.14)</f>
        <v>18.14</v>
      </c>
      <c r="D391" s="2" t="n">
        <f aca="false">IFERROR(__xludf.dummyfunction("""COMPUTED_VALUE"""),17.54)</f>
        <v>17.54</v>
      </c>
      <c r="E391" s="2" t="n">
        <f aca="false">IFERROR(__xludf.dummyfunction("""COMPUTED_VALUE"""),18.05)</f>
        <v>18.05</v>
      </c>
      <c r="F391" s="2" t="n">
        <f aca="false">IFERROR(__xludf.dummyfunction("""COMPUTED_VALUE"""),55704928)</f>
        <v>55704928</v>
      </c>
    </row>
    <row r="392" customFormat="false" ht="15.75" hidden="false" customHeight="false" outlineLevel="0" collapsed="false">
      <c r="A392" s="3" t="n">
        <f aca="false">IFERROR(__xludf.dummyfunction("""COMPUTED_VALUE"""),44764.6666666667)</f>
        <v>44764.6666666667</v>
      </c>
      <c r="B392" s="2" t="n">
        <f aca="false">IFERROR(__xludf.dummyfunction("""COMPUTED_VALUE"""),17.89)</f>
        <v>17.89</v>
      </c>
      <c r="C392" s="2" t="n">
        <f aca="false">IFERROR(__xludf.dummyfunction("""COMPUTED_VALUE"""),17.97)</f>
        <v>17.97</v>
      </c>
      <c r="D392" s="2" t="n">
        <f aca="false">IFERROR(__xludf.dummyfunction("""COMPUTED_VALUE"""),17.14)</f>
        <v>17.14</v>
      </c>
      <c r="E392" s="2" t="n">
        <f aca="false">IFERROR(__xludf.dummyfunction("""COMPUTED_VALUE"""),17.32)</f>
        <v>17.32</v>
      </c>
      <c r="F392" s="2" t="n">
        <f aca="false">IFERROR(__xludf.dummyfunction("""COMPUTED_VALUE"""),53667088)</f>
        <v>53667088</v>
      </c>
    </row>
    <row r="393" customFormat="false" ht="15.75" hidden="false" customHeight="false" outlineLevel="0" collapsed="false">
      <c r="A393" s="3" t="n">
        <f aca="false">IFERROR(__xludf.dummyfunction("""COMPUTED_VALUE"""),44767.6666666667)</f>
        <v>44767.6666666667</v>
      </c>
      <c r="B393" s="2" t="n">
        <f aca="false">IFERROR(__xludf.dummyfunction("""COMPUTED_VALUE"""),17.02)</f>
        <v>17.02</v>
      </c>
      <c r="C393" s="2" t="n">
        <f aca="false">IFERROR(__xludf.dummyfunction("""COMPUTED_VALUE"""),17.12)</f>
        <v>17.12</v>
      </c>
      <c r="D393" s="2" t="n">
        <f aca="false">IFERROR(__xludf.dummyfunction("""COMPUTED_VALUE"""),16.65)</f>
        <v>16.65</v>
      </c>
      <c r="E393" s="2" t="n">
        <f aca="false">IFERROR(__xludf.dummyfunction("""COMPUTED_VALUE"""),17.02)</f>
        <v>17.02</v>
      </c>
      <c r="F393" s="2" t="n">
        <f aca="false">IFERROR(__xludf.dummyfunction("""COMPUTED_VALUE"""),48074751)</f>
        <v>48074751</v>
      </c>
    </row>
    <row r="394" customFormat="false" ht="15.75" hidden="false" customHeight="false" outlineLevel="0" collapsed="false">
      <c r="A394" s="3" t="n">
        <f aca="false">IFERROR(__xludf.dummyfunction("""COMPUTED_VALUE"""),44768.6666666667)</f>
        <v>44768.6666666667</v>
      </c>
      <c r="B394" s="2" t="n">
        <f aca="false">IFERROR(__xludf.dummyfunction("""COMPUTED_VALUE"""),16.89)</f>
        <v>16.89</v>
      </c>
      <c r="C394" s="2" t="n">
        <f aca="false">IFERROR(__xludf.dummyfunction("""COMPUTED_VALUE"""),16.92)</f>
        <v>16.92</v>
      </c>
      <c r="D394" s="2" t="n">
        <f aca="false">IFERROR(__xludf.dummyfunction("""COMPUTED_VALUE"""),16.48)</f>
        <v>16.48</v>
      </c>
      <c r="E394" s="2" t="n">
        <f aca="false">IFERROR(__xludf.dummyfunction("""COMPUTED_VALUE"""),16.53)</f>
        <v>16.53</v>
      </c>
      <c r="F394" s="2" t="n">
        <f aca="false">IFERROR(__xludf.dummyfunction("""COMPUTED_VALUE"""),39786491)</f>
        <v>39786491</v>
      </c>
    </row>
    <row r="395" customFormat="false" ht="15.75" hidden="false" customHeight="false" outlineLevel="0" collapsed="false">
      <c r="A395" s="3" t="n">
        <f aca="false">IFERROR(__xludf.dummyfunction("""COMPUTED_VALUE"""),44769.6666666667)</f>
        <v>44769.6666666667</v>
      </c>
      <c r="B395" s="2" t="n">
        <f aca="false">IFERROR(__xludf.dummyfunction("""COMPUTED_VALUE"""),17.03)</f>
        <v>17.03</v>
      </c>
      <c r="C395" s="2" t="n">
        <f aca="false">IFERROR(__xludf.dummyfunction("""COMPUTED_VALUE"""),17.94)</f>
        <v>17.94</v>
      </c>
      <c r="D395" s="2" t="n">
        <f aca="false">IFERROR(__xludf.dummyfunction("""COMPUTED_VALUE"""),16.91)</f>
        <v>16.91</v>
      </c>
      <c r="E395" s="2" t="n">
        <f aca="false">IFERROR(__xludf.dummyfunction("""COMPUTED_VALUE"""),17.79)</f>
        <v>17.79</v>
      </c>
      <c r="F395" s="2" t="n">
        <f aca="false">IFERROR(__xludf.dummyfunction("""COMPUTED_VALUE"""),56977623)</f>
        <v>56977623</v>
      </c>
    </row>
    <row r="396" customFormat="false" ht="15.75" hidden="false" customHeight="false" outlineLevel="0" collapsed="false">
      <c r="A396" s="3" t="n">
        <f aca="false">IFERROR(__xludf.dummyfunction("""COMPUTED_VALUE"""),44770.6666666667)</f>
        <v>44770.6666666667</v>
      </c>
      <c r="B396" s="2" t="n">
        <f aca="false">IFERROR(__xludf.dummyfunction("""COMPUTED_VALUE"""),17.98)</f>
        <v>17.98</v>
      </c>
      <c r="C396" s="2" t="n">
        <f aca="false">IFERROR(__xludf.dummyfunction("""COMPUTED_VALUE"""),18.14)</f>
        <v>18.14</v>
      </c>
      <c r="D396" s="2" t="n">
        <f aca="false">IFERROR(__xludf.dummyfunction("""COMPUTED_VALUE"""),17.44)</f>
        <v>17.44</v>
      </c>
      <c r="E396" s="2" t="n">
        <f aca="false">IFERROR(__xludf.dummyfunction("""COMPUTED_VALUE"""),17.98)</f>
        <v>17.98</v>
      </c>
      <c r="F396" s="2" t="n">
        <f aca="false">IFERROR(__xludf.dummyfunction("""COMPUTED_VALUE"""),47464628)</f>
        <v>47464628</v>
      </c>
    </row>
    <row r="397" customFormat="false" ht="15.75" hidden="false" customHeight="false" outlineLevel="0" collapsed="false">
      <c r="A397" s="3" t="n">
        <f aca="false">IFERROR(__xludf.dummyfunction("""COMPUTED_VALUE"""),44771.6666666667)</f>
        <v>44771.6666666667</v>
      </c>
      <c r="B397" s="2" t="n">
        <f aca="false">IFERROR(__xludf.dummyfunction("""COMPUTED_VALUE"""),17.81)</f>
        <v>17.81</v>
      </c>
      <c r="C397" s="2" t="n">
        <f aca="false">IFERROR(__xludf.dummyfunction("""COMPUTED_VALUE"""),18.24)</f>
        <v>18.24</v>
      </c>
      <c r="D397" s="2" t="n">
        <f aca="false">IFERROR(__xludf.dummyfunction("""COMPUTED_VALUE"""),17.69)</f>
        <v>17.69</v>
      </c>
      <c r="E397" s="2" t="n">
        <f aca="false">IFERROR(__xludf.dummyfunction("""COMPUTED_VALUE"""),18.16)</f>
        <v>18.16</v>
      </c>
      <c r="F397" s="2" t="n">
        <f aca="false">IFERROR(__xludf.dummyfunction("""COMPUTED_VALUE"""),43546042)</f>
        <v>43546042</v>
      </c>
    </row>
    <row r="398" customFormat="false" ht="15.75" hidden="false" customHeight="false" outlineLevel="0" collapsed="false">
      <c r="A398" s="3" t="n">
        <f aca="false">IFERROR(__xludf.dummyfunction("""COMPUTED_VALUE"""),44774.6666666667)</f>
        <v>44774.6666666667</v>
      </c>
      <c r="B398" s="2" t="n">
        <f aca="false">IFERROR(__xludf.dummyfunction("""COMPUTED_VALUE"""),18.18)</f>
        <v>18.18</v>
      </c>
      <c r="C398" s="2" t="n">
        <f aca="false">IFERROR(__xludf.dummyfunction("""COMPUTED_VALUE"""),18.85)</f>
        <v>18.85</v>
      </c>
      <c r="D398" s="2" t="n">
        <f aca="false">IFERROR(__xludf.dummyfunction("""COMPUTED_VALUE"""),17.99)</f>
        <v>17.99</v>
      </c>
      <c r="E398" s="2" t="n">
        <f aca="false">IFERROR(__xludf.dummyfunction("""COMPUTED_VALUE"""),18.44)</f>
        <v>18.44</v>
      </c>
      <c r="F398" s="2" t="n">
        <f aca="false">IFERROR(__xludf.dummyfunction("""COMPUTED_VALUE"""),47646904)</f>
        <v>47646904</v>
      </c>
    </row>
    <row r="399" customFormat="false" ht="15.75" hidden="false" customHeight="false" outlineLevel="0" collapsed="false">
      <c r="A399" s="3" t="n">
        <f aca="false">IFERROR(__xludf.dummyfunction("""COMPUTED_VALUE"""),44775.6666666667)</f>
        <v>44775.6666666667</v>
      </c>
      <c r="B399" s="2" t="n">
        <f aca="false">IFERROR(__xludf.dummyfunction("""COMPUTED_VALUE"""),18.12)</f>
        <v>18.12</v>
      </c>
      <c r="C399" s="2" t="n">
        <f aca="false">IFERROR(__xludf.dummyfunction("""COMPUTED_VALUE"""),18.94)</f>
        <v>18.94</v>
      </c>
      <c r="D399" s="2" t="n">
        <f aca="false">IFERROR(__xludf.dummyfunction("""COMPUTED_VALUE"""),18.09)</f>
        <v>18.09</v>
      </c>
      <c r="E399" s="2" t="n">
        <f aca="false">IFERROR(__xludf.dummyfunction("""COMPUTED_VALUE"""),18.53)</f>
        <v>18.53</v>
      </c>
      <c r="F399" s="2" t="n">
        <f aca="false">IFERROR(__xludf.dummyfunction("""COMPUTED_VALUE"""),48952692)</f>
        <v>48952692</v>
      </c>
    </row>
    <row r="400" customFormat="false" ht="15.75" hidden="false" customHeight="false" outlineLevel="0" collapsed="false">
      <c r="A400" s="3" t="n">
        <f aca="false">IFERROR(__xludf.dummyfunction("""COMPUTED_VALUE"""),44776.6666666667)</f>
        <v>44776.6666666667</v>
      </c>
      <c r="B400" s="2" t="n">
        <f aca="false">IFERROR(__xludf.dummyfunction("""COMPUTED_VALUE"""),18.18)</f>
        <v>18.18</v>
      </c>
      <c r="C400" s="2" t="n">
        <f aca="false">IFERROR(__xludf.dummyfunction("""COMPUTED_VALUE"""),18.97)</f>
        <v>18.97</v>
      </c>
      <c r="D400" s="2" t="n">
        <f aca="false">IFERROR(__xludf.dummyfunction("""COMPUTED_VALUE"""),18.14)</f>
        <v>18.14</v>
      </c>
      <c r="E400" s="2" t="n">
        <f aca="false">IFERROR(__xludf.dummyfunction("""COMPUTED_VALUE"""),18.89)</f>
        <v>18.89</v>
      </c>
      <c r="F400" s="2" t="n">
        <f aca="false">IFERROR(__xludf.dummyfunction("""COMPUTED_VALUE"""),41814557)</f>
        <v>41814557</v>
      </c>
    </row>
    <row r="401" customFormat="false" ht="15.75" hidden="false" customHeight="false" outlineLevel="0" collapsed="false">
      <c r="A401" s="3" t="n">
        <f aca="false">IFERROR(__xludf.dummyfunction("""COMPUTED_VALUE"""),44777.6666666667)</f>
        <v>44777.6666666667</v>
      </c>
      <c r="B401" s="2" t="n">
        <f aca="false">IFERROR(__xludf.dummyfunction("""COMPUTED_VALUE"""),18.85)</f>
        <v>18.85</v>
      </c>
      <c r="C401" s="2" t="n">
        <f aca="false">IFERROR(__xludf.dummyfunction("""COMPUTED_VALUE"""),19.27)</f>
        <v>19.27</v>
      </c>
      <c r="D401" s="2" t="n">
        <f aca="false">IFERROR(__xludf.dummyfunction("""COMPUTED_VALUE"""),18.76)</f>
        <v>18.76</v>
      </c>
      <c r="E401" s="2" t="n">
        <f aca="false">IFERROR(__xludf.dummyfunction("""COMPUTED_VALUE"""),19.22)</f>
        <v>19.22</v>
      </c>
      <c r="F401" s="2" t="n">
        <f aca="false">IFERROR(__xludf.dummyfunction("""COMPUTED_VALUE"""),40965227)</f>
        <v>40965227</v>
      </c>
    </row>
    <row r="402" customFormat="false" ht="15.75" hidden="false" customHeight="false" outlineLevel="0" collapsed="false">
      <c r="A402" s="3" t="n">
        <f aca="false">IFERROR(__xludf.dummyfunction("""COMPUTED_VALUE"""),44778.6666666667)</f>
        <v>44778.6666666667</v>
      </c>
      <c r="B402" s="2" t="n">
        <f aca="false">IFERROR(__xludf.dummyfunction("""COMPUTED_VALUE"""),18.81)</f>
        <v>18.81</v>
      </c>
      <c r="C402" s="2" t="n">
        <f aca="false">IFERROR(__xludf.dummyfunction("""COMPUTED_VALUE"""),19.23)</f>
        <v>19.23</v>
      </c>
      <c r="D402" s="2" t="n">
        <f aca="false">IFERROR(__xludf.dummyfunction("""COMPUTED_VALUE"""),18.67)</f>
        <v>18.67</v>
      </c>
      <c r="E402" s="2" t="n">
        <f aca="false">IFERROR(__xludf.dummyfunction("""COMPUTED_VALUE"""),18.99)</f>
        <v>18.99</v>
      </c>
      <c r="F402" s="2" t="n">
        <f aca="false">IFERROR(__xludf.dummyfunction("""COMPUTED_VALUE"""),38606829)</f>
        <v>38606829</v>
      </c>
    </row>
    <row r="403" customFormat="false" ht="15.75" hidden="false" customHeight="false" outlineLevel="0" collapsed="false">
      <c r="A403" s="3" t="n">
        <f aca="false">IFERROR(__xludf.dummyfunction("""COMPUTED_VALUE"""),44781.6666666667)</f>
        <v>44781.6666666667</v>
      </c>
      <c r="B403" s="2" t="n">
        <f aca="false">IFERROR(__xludf.dummyfunction("""COMPUTED_VALUE"""),17.5)</f>
        <v>17.5</v>
      </c>
      <c r="C403" s="2" t="n">
        <f aca="false">IFERROR(__xludf.dummyfunction("""COMPUTED_VALUE"""),18.24)</f>
        <v>18.24</v>
      </c>
      <c r="D403" s="2" t="n">
        <f aca="false">IFERROR(__xludf.dummyfunction("""COMPUTED_VALUE"""),17.24)</f>
        <v>17.24</v>
      </c>
      <c r="E403" s="2" t="n">
        <f aca="false">IFERROR(__xludf.dummyfunction("""COMPUTED_VALUE"""),17.79)</f>
        <v>17.79</v>
      </c>
      <c r="F403" s="2" t="n">
        <f aca="false">IFERROR(__xludf.dummyfunction("""COMPUTED_VALUE"""),98378318)</f>
        <v>98378318</v>
      </c>
    </row>
    <row r="404" customFormat="false" ht="15.75" hidden="false" customHeight="false" outlineLevel="0" collapsed="false">
      <c r="A404" s="3" t="n">
        <f aca="false">IFERROR(__xludf.dummyfunction("""COMPUTED_VALUE"""),44782.6666666667)</f>
        <v>44782.6666666667</v>
      </c>
      <c r="B404" s="2" t="n">
        <f aca="false">IFERROR(__xludf.dummyfunction("""COMPUTED_VALUE"""),17.25)</f>
        <v>17.25</v>
      </c>
      <c r="C404" s="2" t="n">
        <f aca="false">IFERROR(__xludf.dummyfunction("""COMPUTED_VALUE"""),17.45)</f>
        <v>17.45</v>
      </c>
      <c r="D404" s="2" t="n">
        <f aca="false">IFERROR(__xludf.dummyfunction("""COMPUTED_VALUE"""),16.72)</f>
        <v>16.72</v>
      </c>
      <c r="E404" s="2" t="n">
        <f aca="false">IFERROR(__xludf.dummyfunction("""COMPUTED_VALUE"""),17.09)</f>
        <v>17.09</v>
      </c>
      <c r="F404" s="2" t="n">
        <f aca="false">IFERROR(__xludf.dummyfunction("""COMPUTED_VALUE"""),66826265)</f>
        <v>66826265</v>
      </c>
    </row>
    <row r="405" customFormat="false" ht="15.75" hidden="false" customHeight="false" outlineLevel="0" collapsed="false">
      <c r="A405" s="3" t="n">
        <f aca="false">IFERROR(__xludf.dummyfunction("""COMPUTED_VALUE"""),44783.6666666667)</f>
        <v>44783.6666666667</v>
      </c>
      <c r="B405" s="2" t="n">
        <f aca="false">IFERROR(__xludf.dummyfunction("""COMPUTED_VALUE"""),17.7)</f>
        <v>17.7</v>
      </c>
      <c r="C405" s="2" t="n">
        <f aca="false">IFERROR(__xludf.dummyfunction("""COMPUTED_VALUE"""),18.12)</f>
        <v>18.12</v>
      </c>
      <c r="D405" s="2" t="n">
        <f aca="false">IFERROR(__xludf.dummyfunction("""COMPUTED_VALUE"""),17.32)</f>
        <v>17.32</v>
      </c>
      <c r="E405" s="2" t="n">
        <f aca="false">IFERROR(__xludf.dummyfunction("""COMPUTED_VALUE"""),18.1)</f>
        <v>18.1</v>
      </c>
      <c r="F405" s="2" t="n">
        <f aca="false">IFERROR(__xludf.dummyfunction("""COMPUTED_VALUE"""),59742246)</f>
        <v>59742246</v>
      </c>
    </row>
    <row r="406" customFormat="false" ht="15.75" hidden="false" customHeight="false" outlineLevel="0" collapsed="false">
      <c r="A406" s="3" t="n">
        <f aca="false">IFERROR(__xludf.dummyfunction("""COMPUTED_VALUE"""),44784.6666666667)</f>
        <v>44784.6666666667</v>
      </c>
      <c r="B406" s="2" t="n">
        <f aca="false">IFERROR(__xludf.dummyfunction("""COMPUTED_VALUE"""),18.13)</f>
        <v>18.13</v>
      </c>
      <c r="C406" s="2" t="n">
        <f aca="false">IFERROR(__xludf.dummyfunction("""COMPUTED_VALUE"""),18.71)</f>
        <v>18.71</v>
      </c>
      <c r="D406" s="2" t="n">
        <f aca="false">IFERROR(__xludf.dummyfunction("""COMPUTED_VALUE"""),17.88)</f>
        <v>17.88</v>
      </c>
      <c r="E406" s="2" t="n">
        <f aca="false">IFERROR(__xludf.dummyfunction("""COMPUTED_VALUE"""),17.94)</f>
        <v>17.94</v>
      </c>
      <c r="F406" s="2" t="n">
        <f aca="false">IFERROR(__xludf.dummyfunction("""COMPUTED_VALUE"""),50932655)</f>
        <v>50932655</v>
      </c>
    </row>
    <row r="407" customFormat="false" ht="15.75" hidden="false" customHeight="false" outlineLevel="0" collapsed="false">
      <c r="A407" s="3" t="n">
        <f aca="false">IFERROR(__xludf.dummyfunction("""COMPUTED_VALUE"""),44785.6666666667)</f>
        <v>44785.6666666667</v>
      </c>
      <c r="B407" s="2" t="n">
        <f aca="false">IFERROR(__xludf.dummyfunction("""COMPUTED_VALUE"""),18.16)</f>
        <v>18.16</v>
      </c>
      <c r="C407" s="2" t="n">
        <f aca="false">IFERROR(__xludf.dummyfunction("""COMPUTED_VALUE"""),18.72)</f>
        <v>18.72</v>
      </c>
      <c r="D407" s="2" t="n">
        <f aca="false">IFERROR(__xludf.dummyfunction("""COMPUTED_VALUE"""),17.95)</f>
        <v>17.95</v>
      </c>
      <c r="E407" s="2" t="n">
        <f aca="false">IFERROR(__xludf.dummyfunction("""COMPUTED_VALUE"""),18.71)</f>
        <v>18.71</v>
      </c>
      <c r="F407" s="2" t="n">
        <f aca="false">IFERROR(__xludf.dummyfunction("""COMPUTED_VALUE"""),47809415)</f>
        <v>47809415</v>
      </c>
    </row>
    <row r="408" customFormat="false" ht="15.75" hidden="false" customHeight="false" outlineLevel="0" collapsed="false">
      <c r="A408" s="3" t="n">
        <f aca="false">IFERROR(__xludf.dummyfunction("""COMPUTED_VALUE"""),44788.6666666667)</f>
        <v>44788.6666666667</v>
      </c>
      <c r="B408" s="2" t="n">
        <f aca="false">IFERROR(__xludf.dummyfunction("""COMPUTED_VALUE"""),18.7)</f>
        <v>18.7</v>
      </c>
      <c r="C408" s="2" t="n">
        <f aca="false">IFERROR(__xludf.dummyfunction("""COMPUTED_VALUE"""),19.16)</f>
        <v>19.16</v>
      </c>
      <c r="D408" s="2" t="n">
        <f aca="false">IFERROR(__xludf.dummyfunction("""COMPUTED_VALUE"""),18.61)</f>
        <v>18.61</v>
      </c>
      <c r="E408" s="2" t="n">
        <f aca="false">IFERROR(__xludf.dummyfunction("""COMPUTED_VALUE"""),19.03)</f>
        <v>19.03</v>
      </c>
      <c r="F408" s="2" t="n">
        <f aca="false">IFERROR(__xludf.dummyfunction("""COMPUTED_VALUE"""),45766556)</f>
        <v>45766556</v>
      </c>
    </row>
    <row r="409" customFormat="false" ht="15.75" hidden="false" customHeight="false" outlineLevel="0" collapsed="false">
      <c r="A409" s="3" t="n">
        <f aca="false">IFERROR(__xludf.dummyfunction("""COMPUTED_VALUE"""),44789.6666666667)</f>
        <v>44789.6666666667</v>
      </c>
      <c r="B409" s="2" t="n">
        <f aca="false">IFERROR(__xludf.dummyfunction("""COMPUTED_VALUE"""),18.92)</f>
        <v>18.92</v>
      </c>
      <c r="C409" s="2" t="n">
        <f aca="false">IFERROR(__xludf.dummyfunction("""COMPUTED_VALUE"""),19.14)</f>
        <v>19.14</v>
      </c>
      <c r="D409" s="2" t="n">
        <f aca="false">IFERROR(__xludf.dummyfunction("""COMPUTED_VALUE"""),18.5)</f>
        <v>18.5</v>
      </c>
      <c r="E409" s="2" t="n">
        <f aca="false">IFERROR(__xludf.dummyfunction("""COMPUTED_VALUE"""),18.88)</f>
        <v>18.88</v>
      </c>
      <c r="F409" s="2" t="n">
        <f aca="false">IFERROR(__xludf.dummyfunction("""COMPUTED_VALUE"""),45123964)</f>
        <v>45123964</v>
      </c>
    </row>
    <row r="410" customFormat="false" ht="15.75" hidden="false" customHeight="false" outlineLevel="0" collapsed="false">
      <c r="A410" s="3" t="n">
        <f aca="false">IFERROR(__xludf.dummyfunction("""COMPUTED_VALUE"""),44790.6666666667)</f>
        <v>44790.6666666667</v>
      </c>
      <c r="B410" s="2" t="n">
        <f aca="false">IFERROR(__xludf.dummyfunction("""COMPUTED_VALUE"""),18.52)</f>
        <v>18.52</v>
      </c>
      <c r="C410" s="2" t="n">
        <f aca="false">IFERROR(__xludf.dummyfunction("""COMPUTED_VALUE"""),18.69)</f>
        <v>18.69</v>
      </c>
      <c r="D410" s="2" t="n">
        <f aca="false">IFERROR(__xludf.dummyfunction("""COMPUTED_VALUE"""),18.15)</f>
        <v>18.15</v>
      </c>
      <c r="E410" s="2" t="n">
        <f aca="false">IFERROR(__xludf.dummyfunction("""COMPUTED_VALUE"""),18.34)</f>
        <v>18.34</v>
      </c>
      <c r="F410" s="2" t="n">
        <f aca="false">IFERROR(__xludf.dummyfunction("""COMPUTED_VALUE"""),44679911)</f>
        <v>44679911</v>
      </c>
    </row>
    <row r="411" customFormat="false" ht="15.75" hidden="false" customHeight="false" outlineLevel="0" collapsed="false">
      <c r="A411" s="3" t="n">
        <f aca="false">IFERROR(__xludf.dummyfunction("""COMPUTED_VALUE"""),44791.6666666667)</f>
        <v>44791.6666666667</v>
      </c>
      <c r="B411" s="2" t="n">
        <f aca="false">IFERROR(__xludf.dummyfunction("""COMPUTED_VALUE"""),18.3)</f>
        <v>18.3</v>
      </c>
      <c r="C411" s="2" t="n">
        <f aca="false">IFERROR(__xludf.dummyfunction("""COMPUTED_VALUE"""),18.86)</f>
        <v>18.86</v>
      </c>
      <c r="D411" s="2" t="n">
        <f aca="false">IFERROR(__xludf.dummyfunction("""COMPUTED_VALUE"""),18.18)</f>
        <v>18.18</v>
      </c>
      <c r="E411" s="2" t="n">
        <f aca="false">IFERROR(__xludf.dummyfunction("""COMPUTED_VALUE"""),18.77)</f>
        <v>18.77</v>
      </c>
      <c r="F411" s="2" t="n">
        <f aca="false">IFERROR(__xludf.dummyfunction("""COMPUTED_VALUE"""),41544656)</f>
        <v>41544656</v>
      </c>
    </row>
    <row r="412" customFormat="false" ht="15.75" hidden="false" customHeight="false" outlineLevel="0" collapsed="false">
      <c r="A412" s="3" t="n">
        <f aca="false">IFERROR(__xludf.dummyfunction("""COMPUTED_VALUE"""),44792.6666666667)</f>
        <v>44792.6666666667</v>
      </c>
      <c r="B412" s="2" t="n">
        <f aca="false">IFERROR(__xludf.dummyfunction("""COMPUTED_VALUE"""),18.41)</f>
        <v>18.41</v>
      </c>
      <c r="C412" s="2" t="n">
        <f aca="false">IFERROR(__xludf.dummyfunction("""COMPUTED_VALUE"""),18.52)</f>
        <v>18.52</v>
      </c>
      <c r="D412" s="2" t="n">
        <f aca="false">IFERROR(__xludf.dummyfunction("""COMPUTED_VALUE"""),17.77)</f>
        <v>17.77</v>
      </c>
      <c r="E412" s="2" t="n">
        <f aca="false">IFERROR(__xludf.dummyfunction("""COMPUTED_VALUE"""),17.85)</f>
        <v>17.85</v>
      </c>
      <c r="F412" s="2" t="n">
        <f aca="false">IFERROR(__xludf.dummyfunction("""COMPUTED_VALUE"""),44158833)</f>
        <v>44158833</v>
      </c>
    </row>
    <row r="413" customFormat="false" ht="15.75" hidden="false" customHeight="false" outlineLevel="0" collapsed="false">
      <c r="A413" s="3" t="n">
        <f aca="false">IFERROR(__xludf.dummyfunction("""COMPUTED_VALUE"""),44795.6666666667)</f>
        <v>44795.6666666667</v>
      </c>
      <c r="B413" s="2" t="n">
        <f aca="false">IFERROR(__xludf.dummyfunction("""COMPUTED_VALUE"""),17.49)</f>
        <v>17.49</v>
      </c>
      <c r="C413" s="2" t="n">
        <f aca="false">IFERROR(__xludf.dummyfunction("""COMPUTED_VALUE"""),17.56)</f>
        <v>17.56</v>
      </c>
      <c r="D413" s="2" t="n">
        <f aca="false">IFERROR(__xludf.dummyfunction("""COMPUTED_VALUE"""),16.97)</f>
        <v>16.97</v>
      </c>
      <c r="E413" s="2" t="n">
        <f aca="false">IFERROR(__xludf.dummyfunction("""COMPUTED_VALUE"""),17.03)</f>
        <v>17.03</v>
      </c>
      <c r="F413" s="2" t="n">
        <f aca="false">IFERROR(__xludf.dummyfunction("""COMPUTED_VALUE"""),40959271)</f>
        <v>40959271</v>
      </c>
    </row>
    <row r="414" customFormat="false" ht="15.75" hidden="false" customHeight="false" outlineLevel="0" collapsed="false">
      <c r="A414" s="3" t="n">
        <f aca="false">IFERROR(__xludf.dummyfunction("""COMPUTED_VALUE"""),44796.6666666667)</f>
        <v>44796.6666666667</v>
      </c>
      <c r="B414" s="2" t="n">
        <f aca="false">IFERROR(__xludf.dummyfunction("""COMPUTED_VALUE"""),16.99)</f>
        <v>16.99</v>
      </c>
      <c r="C414" s="2" t="n">
        <f aca="false">IFERROR(__xludf.dummyfunction("""COMPUTED_VALUE"""),17.47)</f>
        <v>17.47</v>
      </c>
      <c r="D414" s="2" t="n">
        <f aca="false">IFERROR(__xludf.dummyfunction("""COMPUTED_VALUE"""),16.97)</f>
        <v>16.97</v>
      </c>
      <c r="E414" s="2" t="n">
        <f aca="false">IFERROR(__xludf.dummyfunction("""COMPUTED_VALUE"""),17.18)</f>
        <v>17.18</v>
      </c>
      <c r="F414" s="2" t="n">
        <f aca="false">IFERROR(__xludf.dummyfunction("""COMPUTED_VALUE"""),36998577)</f>
        <v>36998577</v>
      </c>
    </row>
    <row r="415" customFormat="false" ht="15.75" hidden="false" customHeight="false" outlineLevel="0" collapsed="false">
      <c r="A415" s="3" t="n">
        <f aca="false">IFERROR(__xludf.dummyfunction("""COMPUTED_VALUE"""),44797.6666666667)</f>
        <v>44797.6666666667</v>
      </c>
      <c r="B415" s="2" t="n">
        <f aca="false">IFERROR(__xludf.dummyfunction("""COMPUTED_VALUE"""),17.01)</f>
        <v>17.01</v>
      </c>
      <c r="C415" s="2" t="n">
        <f aca="false">IFERROR(__xludf.dummyfunction("""COMPUTED_VALUE"""),17.41)</f>
        <v>17.41</v>
      </c>
      <c r="D415" s="2" t="n">
        <f aca="false">IFERROR(__xludf.dummyfunction("""COMPUTED_VALUE"""),16.9)</f>
        <v>16.9</v>
      </c>
      <c r="E415" s="2" t="n">
        <f aca="false">IFERROR(__xludf.dummyfunction("""COMPUTED_VALUE"""),17.22)</f>
        <v>17.22</v>
      </c>
      <c r="F415" s="2" t="n">
        <f aca="false">IFERROR(__xludf.dummyfunction("""COMPUTED_VALUE"""),52266071)</f>
        <v>52266071</v>
      </c>
    </row>
    <row r="416" customFormat="false" ht="15.75" hidden="false" customHeight="false" outlineLevel="0" collapsed="false">
      <c r="A416" s="3" t="n">
        <f aca="false">IFERROR(__xludf.dummyfunction("""COMPUTED_VALUE"""),44798.6666666667)</f>
        <v>44798.6666666667</v>
      </c>
      <c r="B416" s="2" t="n">
        <f aca="false">IFERROR(__xludf.dummyfunction("""COMPUTED_VALUE"""),16.84)</f>
        <v>16.84</v>
      </c>
      <c r="C416" s="2" t="n">
        <f aca="false">IFERROR(__xludf.dummyfunction("""COMPUTED_VALUE"""),17.95)</f>
        <v>17.95</v>
      </c>
      <c r="D416" s="2" t="n">
        <f aca="false">IFERROR(__xludf.dummyfunction("""COMPUTED_VALUE"""),16.83)</f>
        <v>16.83</v>
      </c>
      <c r="E416" s="2" t="n">
        <f aca="false">IFERROR(__xludf.dummyfunction("""COMPUTED_VALUE"""),17.91)</f>
        <v>17.91</v>
      </c>
      <c r="F416" s="2" t="n">
        <f aca="false">IFERROR(__xludf.dummyfunction("""COMPUTED_VALUE"""),77069133)</f>
        <v>77069133</v>
      </c>
    </row>
    <row r="417" customFormat="false" ht="15.75" hidden="false" customHeight="false" outlineLevel="0" collapsed="false">
      <c r="A417" s="3" t="n">
        <f aca="false">IFERROR(__xludf.dummyfunction("""COMPUTED_VALUE"""),44799.6666666667)</f>
        <v>44799.6666666667</v>
      </c>
      <c r="B417" s="2" t="n">
        <f aca="false">IFERROR(__xludf.dummyfunction("""COMPUTED_VALUE"""),17.86)</f>
        <v>17.86</v>
      </c>
      <c r="C417" s="2" t="n">
        <f aca="false">IFERROR(__xludf.dummyfunction("""COMPUTED_VALUE"""),17.92)</f>
        <v>17.92</v>
      </c>
      <c r="D417" s="2" t="n">
        <f aca="false">IFERROR(__xludf.dummyfunction("""COMPUTED_VALUE"""),16.24)</f>
        <v>16.24</v>
      </c>
      <c r="E417" s="2" t="n">
        <f aca="false">IFERROR(__xludf.dummyfunction("""COMPUTED_VALUE"""),16.26)</f>
        <v>16.26</v>
      </c>
      <c r="F417" s="2" t="n">
        <f aca="false">IFERROR(__xludf.dummyfunction("""COMPUTED_VALUE"""),76912743)</f>
        <v>76912743</v>
      </c>
    </row>
    <row r="418" customFormat="false" ht="15.75" hidden="false" customHeight="false" outlineLevel="0" collapsed="false">
      <c r="A418" s="3" t="n">
        <f aca="false">IFERROR(__xludf.dummyfunction("""COMPUTED_VALUE"""),44802.6666666667)</f>
        <v>44802.6666666667</v>
      </c>
      <c r="B418" s="2" t="n">
        <f aca="false">IFERROR(__xludf.dummyfunction("""COMPUTED_VALUE"""),16.02)</f>
        <v>16.02</v>
      </c>
      <c r="C418" s="2" t="n">
        <f aca="false">IFERROR(__xludf.dummyfunction("""COMPUTED_VALUE"""),16.34)</f>
        <v>16.34</v>
      </c>
      <c r="D418" s="2" t="n">
        <f aca="false">IFERROR(__xludf.dummyfunction("""COMPUTED_VALUE"""),15.77)</f>
        <v>15.77</v>
      </c>
      <c r="E418" s="2" t="n">
        <f aca="false">IFERROR(__xludf.dummyfunction("""COMPUTED_VALUE"""),15.8)</f>
        <v>15.8</v>
      </c>
      <c r="F418" s="2" t="n">
        <f aca="false">IFERROR(__xludf.dummyfunction("""COMPUTED_VALUE"""),49613194)</f>
        <v>49613194</v>
      </c>
    </row>
    <row r="419" customFormat="false" ht="15.75" hidden="false" customHeight="false" outlineLevel="0" collapsed="false">
      <c r="A419" s="3" t="n">
        <f aca="false">IFERROR(__xludf.dummyfunction("""COMPUTED_VALUE"""),44803.6666666667)</f>
        <v>44803.6666666667</v>
      </c>
      <c r="B419" s="2" t="n">
        <f aca="false">IFERROR(__xludf.dummyfunction("""COMPUTED_VALUE"""),15.96)</f>
        <v>15.96</v>
      </c>
      <c r="C419" s="2" t="n">
        <f aca="false">IFERROR(__xludf.dummyfunction("""COMPUTED_VALUE"""),16.04)</f>
        <v>16.04</v>
      </c>
      <c r="D419" s="2" t="n">
        <f aca="false">IFERROR(__xludf.dummyfunction("""COMPUTED_VALUE"""),15.18)</f>
        <v>15.18</v>
      </c>
      <c r="E419" s="2" t="n">
        <f aca="false">IFERROR(__xludf.dummyfunction("""COMPUTED_VALUE"""),15.47)</f>
        <v>15.47</v>
      </c>
      <c r="F419" s="2" t="n">
        <f aca="false">IFERROR(__xludf.dummyfunction("""COMPUTED_VALUE"""),53018069)</f>
        <v>53018069</v>
      </c>
    </row>
    <row r="420" customFormat="false" ht="15.75" hidden="false" customHeight="false" outlineLevel="0" collapsed="false">
      <c r="A420" s="3" t="n">
        <f aca="false">IFERROR(__xludf.dummyfunction("""COMPUTED_VALUE"""),44804.6666666667)</f>
        <v>44804.6666666667</v>
      </c>
      <c r="B420" s="2" t="n">
        <f aca="false">IFERROR(__xludf.dummyfunction("""COMPUTED_VALUE"""),15.38)</f>
        <v>15.38</v>
      </c>
      <c r="C420" s="2" t="n">
        <f aca="false">IFERROR(__xludf.dummyfunction("""COMPUTED_VALUE"""),15.54)</f>
        <v>15.54</v>
      </c>
      <c r="D420" s="2" t="n">
        <f aca="false">IFERROR(__xludf.dummyfunction("""COMPUTED_VALUE"""),14.96)</f>
        <v>14.96</v>
      </c>
      <c r="E420" s="2" t="n">
        <f aca="false">IFERROR(__xludf.dummyfunction("""COMPUTED_VALUE"""),15.09)</f>
        <v>15.09</v>
      </c>
      <c r="F420" s="2" t="n">
        <f aca="false">IFERROR(__xludf.dummyfunction("""COMPUTED_VALUE"""),57370986)</f>
        <v>57370986</v>
      </c>
    </row>
    <row r="421" customFormat="false" ht="15.75" hidden="false" customHeight="false" outlineLevel="0" collapsed="false">
      <c r="A421" s="3" t="n">
        <f aca="false">IFERROR(__xludf.dummyfunction("""COMPUTED_VALUE"""),44805.6666666667)</f>
        <v>44805.6666666667</v>
      </c>
      <c r="B421" s="2" t="n">
        <f aca="false">IFERROR(__xludf.dummyfunction("""COMPUTED_VALUE"""),14.21)</f>
        <v>14.21</v>
      </c>
      <c r="C421" s="2" t="n">
        <f aca="false">IFERROR(__xludf.dummyfunction("""COMPUTED_VALUE"""),14.38)</f>
        <v>14.38</v>
      </c>
      <c r="D421" s="2" t="n">
        <f aca="false">IFERROR(__xludf.dummyfunction("""COMPUTED_VALUE"""),13.27)</f>
        <v>13.27</v>
      </c>
      <c r="E421" s="2" t="n">
        <f aca="false">IFERROR(__xludf.dummyfunction("""COMPUTED_VALUE"""),13.94)</f>
        <v>13.94</v>
      </c>
      <c r="F421" s="2" t="n">
        <f aca="false">IFERROR(__xludf.dummyfunction("""COMPUTED_VALUE"""),117886514)</f>
        <v>117886514</v>
      </c>
    </row>
    <row r="422" customFormat="false" ht="15.75" hidden="false" customHeight="false" outlineLevel="0" collapsed="false">
      <c r="A422" s="3" t="n">
        <f aca="false">IFERROR(__xludf.dummyfunction("""COMPUTED_VALUE"""),44806.6666666667)</f>
        <v>44806.6666666667</v>
      </c>
      <c r="B422" s="2" t="n">
        <f aca="false">IFERROR(__xludf.dummyfunction("""COMPUTED_VALUE"""),14.1)</f>
        <v>14.1</v>
      </c>
      <c r="C422" s="2" t="n">
        <f aca="false">IFERROR(__xludf.dummyfunction("""COMPUTED_VALUE"""),14.17)</f>
        <v>14.17</v>
      </c>
      <c r="D422" s="2" t="n">
        <f aca="false">IFERROR(__xludf.dummyfunction("""COMPUTED_VALUE"""),13.59)</f>
        <v>13.59</v>
      </c>
      <c r="E422" s="2" t="n">
        <f aca="false">IFERROR(__xludf.dummyfunction("""COMPUTED_VALUE"""),13.65)</f>
        <v>13.65</v>
      </c>
      <c r="F422" s="2" t="n">
        <f aca="false">IFERROR(__xludf.dummyfunction("""COMPUTED_VALUE"""),74315746)</f>
        <v>74315746</v>
      </c>
    </row>
    <row r="423" customFormat="false" ht="15.75" hidden="false" customHeight="false" outlineLevel="0" collapsed="false">
      <c r="A423" s="3" t="n">
        <f aca="false">IFERROR(__xludf.dummyfunction("""COMPUTED_VALUE"""),44810.6666666667)</f>
        <v>44810.6666666667</v>
      </c>
      <c r="B423" s="2" t="n">
        <f aca="false">IFERROR(__xludf.dummyfunction("""COMPUTED_VALUE"""),13.73)</f>
        <v>13.73</v>
      </c>
      <c r="C423" s="2" t="n">
        <f aca="false">IFERROR(__xludf.dummyfunction("""COMPUTED_VALUE"""),13.78)</f>
        <v>13.78</v>
      </c>
      <c r="D423" s="2" t="n">
        <f aca="false">IFERROR(__xludf.dummyfunction("""COMPUTED_VALUE"""),13.35)</f>
        <v>13.35</v>
      </c>
      <c r="E423" s="2" t="n">
        <f aca="false">IFERROR(__xludf.dummyfunction("""COMPUTED_VALUE"""),13.47)</f>
        <v>13.47</v>
      </c>
      <c r="F423" s="2" t="n">
        <f aca="false">IFERROR(__xludf.dummyfunction("""COMPUTED_VALUE"""),53575118)</f>
        <v>53575118</v>
      </c>
    </row>
    <row r="424" customFormat="false" ht="15.75" hidden="false" customHeight="false" outlineLevel="0" collapsed="false">
      <c r="A424" s="3" t="n">
        <f aca="false">IFERROR(__xludf.dummyfunction("""COMPUTED_VALUE"""),44811.6666666667)</f>
        <v>44811.6666666667</v>
      </c>
      <c r="B424" s="2" t="n">
        <f aca="false">IFERROR(__xludf.dummyfunction("""COMPUTED_VALUE"""),13.56)</f>
        <v>13.56</v>
      </c>
      <c r="C424" s="2" t="n">
        <f aca="false">IFERROR(__xludf.dummyfunction("""COMPUTED_VALUE"""),13.84)</f>
        <v>13.84</v>
      </c>
      <c r="D424" s="2" t="n">
        <f aca="false">IFERROR(__xludf.dummyfunction("""COMPUTED_VALUE"""),13.35)</f>
        <v>13.35</v>
      </c>
      <c r="E424" s="2" t="n">
        <f aca="false">IFERROR(__xludf.dummyfunction("""COMPUTED_VALUE"""),13.71)</f>
        <v>13.71</v>
      </c>
      <c r="F424" s="2" t="n">
        <f aca="false">IFERROR(__xludf.dummyfunction("""COMPUTED_VALUE"""),51265746)</f>
        <v>51265746</v>
      </c>
    </row>
    <row r="425" customFormat="false" ht="15.75" hidden="false" customHeight="false" outlineLevel="0" collapsed="false">
      <c r="A425" s="3" t="n">
        <f aca="false">IFERROR(__xludf.dummyfunction("""COMPUTED_VALUE"""),44812.6666666667)</f>
        <v>44812.6666666667</v>
      </c>
      <c r="B425" s="2" t="n">
        <f aca="false">IFERROR(__xludf.dummyfunction("""COMPUTED_VALUE"""),13.46)</f>
        <v>13.46</v>
      </c>
      <c r="C425" s="2" t="n">
        <f aca="false">IFERROR(__xludf.dummyfunction("""COMPUTED_VALUE"""),14.01)</f>
        <v>14.01</v>
      </c>
      <c r="D425" s="2" t="n">
        <f aca="false">IFERROR(__xludf.dummyfunction("""COMPUTED_VALUE"""),13.37)</f>
        <v>13.37</v>
      </c>
      <c r="E425" s="2" t="n">
        <f aca="false">IFERROR(__xludf.dummyfunction("""COMPUTED_VALUE"""),13.99)</f>
        <v>13.99</v>
      </c>
      <c r="F425" s="2" t="n">
        <f aca="false">IFERROR(__xludf.dummyfunction("""COMPUTED_VALUE"""),62487312)</f>
        <v>62487312</v>
      </c>
    </row>
    <row r="426" customFormat="false" ht="15.75" hidden="false" customHeight="false" outlineLevel="0" collapsed="false">
      <c r="A426" s="3" t="n">
        <f aca="false">IFERROR(__xludf.dummyfunction("""COMPUTED_VALUE"""),44813.6666666667)</f>
        <v>44813.6666666667</v>
      </c>
      <c r="B426" s="2" t="n">
        <f aca="false">IFERROR(__xludf.dummyfunction("""COMPUTED_VALUE"""),14.16)</f>
        <v>14.16</v>
      </c>
      <c r="C426" s="2" t="n">
        <f aca="false">IFERROR(__xludf.dummyfunction("""COMPUTED_VALUE"""),14.47)</f>
        <v>14.47</v>
      </c>
      <c r="D426" s="2" t="n">
        <f aca="false">IFERROR(__xludf.dummyfunction("""COMPUTED_VALUE"""),14.13)</f>
        <v>14.13</v>
      </c>
      <c r="E426" s="2" t="n">
        <f aca="false">IFERROR(__xludf.dummyfunction("""COMPUTED_VALUE"""),14.39)</f>
        <v>14.39</v>
      </c>
      <c r="F426" s="2" t="n">
        <f aca="false">IFERROR(__xludf.dummyfunction("""COMPUTED_VALUE"""),48712842)</f>
        <v>48712842</v>
      </c>
    </row>
    <row r="427" customFormat="false" ht="15.75" hidden="false" customHeight="false" outlineLevel="0" collapsed="false">
      <c r="A427" s="3" t="n">
        <f aca="false">IFERROR(__xludf.dummyfunction("""COMPUTED_VALUE"""),44816.6666666667)</f>
        <v>44816.6666666667</v>
      </c>
      <c r="B427" s="2" t="n">
        <f aca="false">IFERROR(__xludf.dummyfunction("""COMPUTED_VALUE"""),14.37)</f>
        <v>14.37</v>
      </c>
      <c r="C427" s="2" t="n">
        <f aca="false">IFERROR(__xludf.dummyfunction("""COMPUTED_VALUE"""),14.55)</f>
        <v>14.55</v>
      </c>
      <c r="D427" s="2" t="n">
        <f aca="false">IFERROR(__xludf.dummyfunction("""COMPUTED_VALUE"""),14.2)</f>
        <v>14.2</v>
      </c>
      <c r="E427" s="2" t="n">
        <f aca="false">IFERROR(__xludf.dummyfunction("""COMPUTED_VALUE"""),14.51)</f>
        <v>14.51</v>
      </c>
      <c r="F427" s="2" t="n">
        <f aca="false">IFERROR(__xludf.dummyfunction("""COMPUTED_VALUE"""),48415924)</f>
        <v>48415924</v>
      </c>
    </row>
    <row r="428" customFormat="false" ht="15.75" hidden="false" customHeight="false" outlineLevel="0" collapsed="false">
      <c r="A428" s="3" t="n">
        <f aca="false">IFERROR(__xludf.dummyfunction("""COMPUTED_VALUE"""),44817.6666666667)</f>
        <v>44817.6666666667</v>
      </c>
      <c r="B428" s="2" t="n">
        <f aca="false">IFERROR(__xludf.dummyfunction("""COMPUTED_VALUE"""),13.8)</f>
        <v>13.8</v>
      </c>
      <c r="C428" s="2" t="n">
        <f aca="false">IFERROR(__xludf.dummyfunction("""COMPUTED_VALUE"""),13.92)</f>
        <v>13.92</v>
      </c>
      <c r="D428" s="2" t="n">
        <f aca="false">IFERROR(__xludf.dummyfunction("""COMPUTED_VALUE"""),13.1)</f>
        <v>13.1</v>
      </c>
      <c r="E428" s="2" t="n">
        <f aca="false">IFERROR(__xludf.dummyfunction("""COMPUTED_VALUE"""),13.13)</f>
        <v>13.13</v>
      </c>
      <c r="F428" s="2" t="n">
        <f aca="false">IFERROR(__xludf.dummyfunction("""COMPUTED_VALUE"""),71495563)</f>
        <v>71495563</v>
      </c>
    </row>
    <row r="429" customFormat="false" ht="15.75" hidden="false" customHeight="false" outlineLevel="0" collapsed="false">
      <c r="A429" s="3" t="n">
        <f aca="false">IFERROR(__xludf.dummyfunction("""COMPUTED_VALUE"""),44818.6666666667)</f>
        <v>44818.6666666667</v>
      </c>
      <c r="B429" s="2" t="n">
        <f aca="false">IFERROR(__xludf.dummyfunction("""COMPUTED_VALUE"""),13.25)</f>
        <v>13.25</v>
      </c>
      <c r="C429" s="2" t="n">
        <f aca="false">IFERROR(__xludf.dummyfunction("""COMPUTED_VALUE"""),13.29)</f>
        <v>13.29</v>
      </c>
      <c r="D429" s="2" t="n">
        <f aca="false">IFERROR(__xludf.dummyfunction("""COMPUTED_VALUE"""),12.91)</f>
        <v>12.91</v>
      </c>
      <c r="E429" s="2" t="n">
        <f aca="false">IFERROR(__xludf.dummyfunction("""COMPUTED_VALUE"""),13.13)</f>
        <v>13.13</v>
      </c>
      <c r="F429" s="2" t="n">
        <f aca="false">IFERROR(__xludf.dummyfunction("""COMPUTED_VALUE"""),58850654)</f>
        <v>58850654</v>
      </c>
    </row>
    <row r="430" customFormat="false" ht="15.75" hidden="false" customHeight="false" outlineLevel="0" collapsed="false">
      <c r="A430" s="3" t="n">
        <f aca="false">IFERROR(__xludf.dummyfunction("""COMPUTED_VALUE"""),44819.6666666667)</f>
        <v>44819.6666666667</v>
      </c>
      <c r="B430" s="2" t="n">
        <f aca="false">IFERROR(__xludf.dummyfunction("""COMPUTED_VALUE"""),13.02)</f>
        <v>13.02</v>
      </c>
      <c r="C430" s="2" t="n">
        <f aca="false">IFERROR(__xludf.dummyfunction("""COMPUTED_VALUE"""),13.23)</f>
        <v>13.23</v>
      </c>
      <c r="D430" s="2" t="n">
        <f aca="false">IFERROR(__xludf.dummyfunction("""COMPUTED_VALUE"""),12.79)</f>
        <v>12.79</v>
      </c>
      <c r="E430" s="2" t="n">
        <f aca="false">IFERROR(__xludf.dummyfunction("""COMPUTED_VALUE"""),12.93)</f>
        <v>12.93</v>
      </c>
      <c r="F430" s="2" t="n">
        <f aca="false">IFERROR(__xludf.dummyfunction("""COMPUTED_VALUE"""),52362516)</f>
        <v>52362516</v>
      </c>
    </row>
    <row r="431" customFormat="false" ht="15.75" hidden="false" customHeight="false" outlineLevel="0" collapsed="false">
      <c r="A431" s="3" t="n">
        <f aca="false">IFERROR(__xludf.dummyfunction("""COMPUTED_VALUE"""),44820.6666666667)</f>
        <v>44820.6666666667</v>
      </c>
      <c r="B431" s="2" t="n">
        <f aca="false">IFERROR(__xludf.dummyfunction("""COMPUTED_VALUE"""),12.74)</f>
        <v>12.74</v>
      </c>
      <c r="C431" s="2" t="n">
        <f aca="false">IFERROR(__xludf.dummyfunction("""COMPUTED_VALUE"""),13.21)</f>
        <v>13.21</v>
      </c>
      <c r="D431" s="2" t="n">
        <f aca="false">IFERROR(__xludf.dummyfunction("""COMPUTED_VALUE"""),12.62)</f>
        <v>12.62</v>
      </c>
      <c r="E431" s="2" t="n">
        <f aca="false">IFERROR(__xludf.dummyfunction("""COMPUTED_VALUE"""),13.2)</f>
        <v>13.2</v>
      </c>
      <c r="F431" s="2" t="n">
        <f aca="false">IFERROR(__xludf.dummyfunction("""COMPUTED_VALUE"""),67075140)</f>
        <v>67075140</v>
      </c>
    </row>
    <row r="432" customFormat="false" ht="15.75" hidden="false" customHeight="false" outlineLevel="0" collapsed="false">
      <c r="A432" s="3" t="n">
        <f aca="false">IFERROR(__xludf.dummyfunction("""COMPUTED_VALUE"""),44823.6666666667)</f>
        <v>44823.6666666667</v>
      </c>
      <c r="B432" s="2" t="n">
        <f aca="false">IFERROR(__xludf.dummyfunction("""COMPUTED_VALUE"""),13.01)</f>
        <v>13.01</v>
      </c>
      <c r="C432" s="2" t="n">
        <f aca="false">IFERROR(__xludf.dummyfunction("""COMPUTED_VALUE"""),13.46)</f>
        <v>13.46</v>
      </c>
      <c r="D432" s="2" t="n">
        <f aca="false">IFERROR(__xludf.dummyfunction("""COMPUTED_VALUE"""),13.01)</f>
        <v>13.01</v>
      </c>
      <c r="E432" s="2" t="n">
        <f aca="false">IFERROR(__xludf.dummyfunction("""COMPUTED_VALUE"""),13.38)</f>
        <v>13.38</v>
      </c>
      <c r="F432" s="2" t="n">
        <f aca="false">IFERROR(__xludf.dummyfunction("""COMPUTED_VALUE"""),56968528)</f>
        <v>56968528</v>
      </c>
    </row>
    <row r="433" customFormat="false" ht="15.75" hidden="false" customHeight="false" outlineLevel="0" collapsed="false">
      <c r="A433" s="3" t="n">
        <f aca="false">IFERROR(__xludf.dummyfunction("""COMPUTED_VALUE"""),44824.6666666667)</f>
        <v>44824.6666666667</v>
      </c>
      <c r="B433" s="2" t="n">
        <f aca="false">IFERROR(__xludf.dummyfunction("""COMPUTED_VALUE"""),13.21)</f>
        <v>13.21</v>
      </c>
      <c r="C433" s="2" t="n">
        <f aca="false">IFERROR(__xludf.dummyfunction("""COMPUTED_VALUE"""),13.48)</f>
        <v>13.48</v>
      </c>
      <c r="D433" s="2" t="n">
        <f aca="false">IFERROR(__xludf.dummyfunction("""COMPUTED_VALUE"""),13.06)</f>
        <v>13.06</v>
      </c>
      <c r="E433" s="2" t="n">
        <f aca="false">IFERROR(__xludf.dummyfunction("""COMPUTED_VALUE"""),13.18)</f>
        <v>13.18</v>
      </c>
      <c r="F433" s="2" t="n">
        <f aca="false">IFERROR(__xludf.dummyfunction("""COMPUTED_VALUE"""),52481775)</f>
        <v>52481775</v>
      </c>
    </row>
    <row r="434" customFormat="false" ht="15.75" hidden="false" customHeight="false" outlineLevel="0" collapsed="false">
      <c r="A434" s="3" t="n">
        <f aca="false">IFERROR(__xludf.dummyfunction("""COMPUTED_VALUE"""),44825.6666666667)</f>
        <v>44825.6666666667</v>
      </c>
      <c r="B434" s="2" t="n">
        <f aca="false">IFERROR(__xludf.dummyfunction("""COMPUTED_VALUE"""),13.21)</f>
        <v>13.21</v>
      </c>
      <c r="C434" s="2" t="n">
        <f aca="false">IFERROR(__xludf.dummyfunction("""COMPUTED_VALUE"""),14.03)</f>
        <v>14.03</v>
      </c>
      <c r="D434" s="2" t="n">
        <f aca="false">IFERROR(__xludf.dummyfunction("""COMPUTED_VALUE"""),13.11)</f>
        <v>13.11</v>
      </c>
      <c r="E434" s="2" t="n">
        <f aca="false">IFERROR(__xludf.dummyfunction("""COMPUTED_VALUE"""),13.26)</f>
        <v>13.26</v>
      </c>
      <c r="F434" s="2" t="n">
        <f aca="false">IFERROR(__xludf.dummyfunction("""COMPUTED_VALUE"""),80767940)</f>
        <v>80767940</v>
      </c>
    </row>
    <row r="435" customFormat="false" ht="15.75" hidden="false" customHeight="false" outlineLevel="0" collapsed="false">
      <c r="A435" s="3" t="n">
        <f aca="false">IFERROR(__xludf.dummyfunction("""COMPUTED_VALUE"""),44826.6666666667)</f>
        <v>44826.6666666667</v>
      </c>
      <c r="B435" s="2" t="n">
        <f aca="false">IFERROR(__xludf.dummyfunction("""COMPUTED_VALUE"""),13.07)</f>
        <v>13.07</v>
      </c>
      <c r="C435" s="2" t="n">
        <f aca="false">IFERROR(__xludf.dummyfunction("""COMPUTED_VALUE"""),13.15)</f>
        <v>13.15</v>
      </c>
      <c r="D435" s="2" t="n">
        <f aca="false">IFERROR(__xludf.dummyfunction("""COMPUTED_VALUE"""),12.43)</f>
        <v>12.43</v>
      </c>
      <c r="E435" s="2" t="n">
        <f aca="false">IFERROR(__xludf.dummyfunction("""COMPUTED_VALUE"""),12.56)</f>
        <v>12.56</v>
      </c>
      <c r="F435" s="2" t="n">
        <f aca="false">IFERROR(__xludf.dummyfunction("""COMPUTED_VALUE"""),75916216)</f>
        <v>75916216</v>
      </c>
    </row>
    <row r="436" customFormat="false" ht="15.75" hidden="false" customHeight="false" outlineLevel="0" collapsed="false">
      <c r="A436" s="3" t="n">
        <f aca="false">IFERROR(__xludf.dummyfunction("""COMPUTED_VALUE"""),44827.6666666667)</f>
        <v>44827.6666666667</v>
      </c>
      <c r="B436" s="2" t="n">
        <f aca="false">IFERROR(__xludf.dummyfunction("""COMPUTED_VALUE"""),12.42)</f>
        <v>12.42</v>
      </c>
      <c r="C436" s="2" t="n">
        <f aca="false">IFERROR(__xludf.dummyfunction("""COMPUTED_VALUE"""),12.61)</f>
        <v>12.61</v>
      </c>
      <c r="D436" s="2" t="n">
        <f aca="false">IFERROR(__xludf.dummyfunction("""COMPUTED_VALUE"""),12.26)</f>
        <v>12.26</v>
      </c>
      <c r="E436" s="2" t="n">
        <f aca="false">IFERROR(__xludf.dummyfunction("""COMPUTED_VALUE"""),12.52)</f>
        <v>12.52</v>
      </c>
      <c r="F436" s="2" t="n">
        <f aca="false">IFERROR(__xludf.dummyfunction("""COMPUTED_VALUE"""),66330931)</f>
        <v>66330931</v>
      </c>
    </row>
    <row r="437" customFormat="false" ht="15.75" hidden="false" customHeight="false" outlineLevel="0" collapsed="false">
      <c r="A437" s="3" t="n">
        <f aca="false">IFERROR(__xludf.dummyfunction("""COMPUTED_VALUE"""),44830.6666666667)</f>
        <v>44830.6666666667</v>
      </c>
      <c r="B437" s="2" t="n">
        <f aca="false">IFERROR(__xludf.dummyfunction("""COMPUTED_VALUE"""),12.49)</f>
        <v>12.49</v>
      </c>
      <c r="C437" s="2" t="n">
        <f aca="false">IFERROR(__xludf.dummyfunction("""COMPUTED_VALUE"""),12.66)</f>
        <v>12.66</v>
      </c>
      <c r="D437" s="2" t="n">
        <f aca="false">IFERROR(__xludf.dummyfunction("""COMPUTED_VALUE"""),12.21)</f>
        <v>12.21</v>
      </c>
      <c r="E437" s="2" t="n">
        <f aca="false">IFERROR(__xludf.dummyfunction("""COMPUTED_VALUE"""),12.23)</f>
        <v>12.23</v>
      </c>
      <c r="F437" s="2" t="n">
        <f aca="false">IFERROR(__xludf.dummyfunction("""COMPUTED_VALUE"""),54734269)</f>
        <v>54734269</v>
      </c>
    </row>
    <row r="438" customFormat="false" ht="15.75" hidden="false" customHeight="false" outlineLevel="0" collapsed="false">
      <c r="A438" s="3" t="n">
        <f aca="false">IFERROR(__xludf.dummyfunction("""COMPUTED_VALUE"""),44831.6666666667)</f>
        <v>44831.6666666667</v>
      </c>
      <c r="B438" s="2" t="n">
        <f aca="false">IFERROR(__xludf.dummyfunction("""COMPUTED_VALUE"""),12.51)</f>
        <v>12.51</v>
      </c>
      <c r="C438" s="2" t="n">
        <f aca="false">IFERROR(__xludf.dummyfunction("""COMPUTED_VALUE"""),12.74)</f>
        <v>12.74</v>
      </c>
      <c r="D438" s="2" t="n">
        <f aca="false">IFERROR(__xludf.dummyfunction("""COMPUTED_VALUE"""),12.26)</f>
        <v>12.26</v>
      </c>
      <c r="E438" s="2" t="n">
        <f aca="false">IFERROR(__xludf.dummyfunction("""COMPUTED_VALUE"""),12.41)</f>
        <v>12.41</v>
      </c>
      <c r="F438" s="2" t="n">
        <f aca="false">IFERROR(__xludf.dummyfunction("""COMPUTED_VALUE"""),55385406)</f>
        <v>55385406</v>
      </c>
    </row>
    <row r="439" customFormat="false" ht="15.75" hidden="false" customHeight="false" outlineLevel="0" collapsed="false">
      <c r="A439" s="3" t="n">
        <f aca="false">IFERROR(__xludf.dummyfunction("""COMPUTED_VALUE"""),44832.6666666667)</f>
        <v>44832.6666666667</v>
      </c>
      <c r="B439" s="2" t="n">
        <f aca="false">IFERROR(__xludf.dummyfunction("""COMPUTED_VALUE"""),12.41)</f>
        <v>12.41</v>
      </c>
      <c r="C439" s="2" t="n">
        <f aca="false">IFERROR(__xludf.dummyfunction("""COMPUTED_VALUE"""),12.82)</f>
        <v>12.82</v>
      </c>
      <c r="D439" s="2" t="n">
        <f aca="false">IFERROR(__xludf.dummyfunction("""COMPUTED_VALUE"""),12.35)</f>
        <v>12.35</v>
      </c>
      <c r="E439" s="2" t="n">
        <f aca="false">IFERROR(__xludf.dummyfunction("""COMPUTED_VALUE"""),12.74)</f>
        <v>12.74</v>
      </c>
      <c r="F439" s="2" t="n">
        <f aca="false">IFERROR(__xludf.dummyfunction("""COMPUTED_VALUE"""),54241388)</f>
        <v>54241388</v>
      </c>
    </row>
    <row r="440" customFormat="false" ht="15.75" hidden="false" customHeight="false" outlineLevel="0" collapsed="false">
      <c r="A440" s="3" t="n">
        <f aca="false">IFERROR(__xludf.dummyfunction("""COMPUTED_VALUE"""),44833.6666666667)</f>
        <v>44833.6666666667</v>
      </c>
      <c r="B440" s="2" t="n">
        <f aca="false">IFERROR(__xludf.dummyfunction("""COMPUTED_VALUE"""),12.45)</f>
        <v>12.45</v>
      </c>
      <c r="C440" s="2" t="n">
        <f aca="false">IFERROR(__xludf.dummyfunction("""COMPUTED_VALUE"""),12.5)</f>
        <v>12.5</v>
      </c>
      <c r="D440" s="2" t="n">
        <f aca="false">IFERROR(__xludf.dummyfunction("""COMPUTED_VALUE"""),11.95)</f>
        <v>11.95</v>
      </c>
      <c r="E440" s="2" t="n">
        <f aca="false">IFERROR(__xludf.dummyfunction("""COMPUTED_VALUE"""),12.22)</f>
        <v>12.22</v>
      </c>
      <c r="F440" s="2" t="n">
        <f aca="false">IFERROR(__xludf.dummyfunction("""COMPUTED_VALUE"""),53276312)</f>
        <v>53276312</v>
      </c>
    </row>
    <row r="441" customFormat="false" ht="15.75" hidden="false" customHeight="false" outlineLevel="0" collapsed="false">
      <c r="A441" s="3" t="n">
        <f aca="false">IFERROR(__xludf.dummyfunction("""COMPUTED_VALUE"""),44834.6666666667)</f>
        <v>44834.6666666667</v>
      </c>
      <c r="B441" s="2" t="n">
        <f aca="false">IFERROR(__xludf.dummyfunction("""COMPUTED_VALUE"""),12.09)</f>
        <v>12.09</v>
      </c>
      <c r="C441" s="2" t="n">
        <f aca="false">IFERROR(__xludf.dummyfunction("""COMPUTED_VALUE"""),12.63)</f>
        <v>12.63</v>
      </c>
      <c r="D441" s="2" t="n">
        <f aca="false">IFERROR(__xludf.dummyfunction("""COMPUTED_VALUE"""),12.08)</f>
        <v>12.08</v>
      </c>
      <c r="E441" s="2" t="n">
        <f aca="false">IFERROR(__xludf.dummyfunction("""COMPUTED_VALUE"""),12.14)</f>
        <v>12.14</v>
      </c>
      <c r="F441" s="2" t="n">
        <f aca="false">IFERROR(__xludf.dummyfunction("""COMPUTED_VALUE"""),56563842)</f>
        <v>56563842</v>
      </c>
    </row>
    <row r="442" customFormat="false" ht="15.75" hidden="false" customHeight="false" outlineLevel="0" collapsed="false">
      <c r="A442" s="3" t="n">
        <f aca="false">IFERROR(__xludf.dummyfunction("""COMPUTED_VALUE"""),44837.6666666667)</f>
        <v>44837.6666666667</v>
      </c>
      <c r="B442" s="2" t="n">
        <f aca="false">IFERROR(__xludf.dummyfunction("""COMPUTED_VALUE"""),12.35)</f>
        <v>12.35</v>
      </c>
      <c r="C442" s="2" t="n">
        <f aca="false">IFERROR(__xludf.dummyfunction("""COMPUTED_VALUE"""),12.68)</f>
        <v>12.68</v>
      </c>
      <c r="D442" s="2" t="n">
        <f aca="false">IFERROR(__xludf.dummyfunction("""COMPUTED_VALUE"""),12.11)</f>
        <v>12.11</v>
      </c>
      <c r="E442" s="2" t="n">
        <f aca="false">IFERROR(__xludf.dummyfunction("""COMPUTED_VALUE"""),12.51)</f>
        <v>12.51</v>
      </c>
      <c r="F442" s="2" t="n">
        <f aca="false">IFERROR(__xludf.dummyfunction("""COMPUTED_VALUE"""),54747847)</f>
        <v>54747847</v>
      </c>
    </row>
    <row r="443" customFormat="false" ht="15.75" hidden="false" customHeight="false" outlineLevel="0" collapsed="false">
      <c r="A443" s="3" t="n">
        <f aca="false">IFERROR(__xludf.dummyfunction("""COMPUTED_VALUE"""),44838.6666666667)</f>
        <v>44838.6666666667</v>
      </c>
      <c r="B443" s="2" t="n">
        <f aca="false">IFERROR(__xludf.dummyfunction("""COMPUTED_VALUE"""),12.88)</f>
        <v>12.88</v>
      </c>
      <c r="C443" s="2" t="n">
        <f aca="false">IFERROR(__xludf.dummyfunction("""COMPUTED_VALUE"""),13.22)</f>
        <v>13.22</v>
      </c>
      <c r="D443" s="2" t="n">
        <f aca="false">IFERROR(__xludf.dummyfunction("""COMPUTED_VALUE"""),12.88)</f>
        <v>12.88</v>
      </c>
      <c r="E443" s="2" t="n">
        <f aca="false">IFERROR(__xludf.dummyfunction("""COMPUTED_VALUE"""),13.17)</f>
        <v>13.17</v>
      </c>
      <c r="F443" s="2" t="n">
        <f aca="false">IFERROR(__xludf.dummyfunction("""COMPUTED_VALUE"""),58418167)</f>
        <v>58418167</v>
      </c>
    </row>
    <row r="444" customFormat="false" ht="15.75" hidden="false" customHeight="false" outlineLevel="0" collapsed="false">
      <c r="A444" s="3" t="n">
        <f aca="false">IFERROR(__xludf.dummyfunction("""COMPUTED_VALUE"""),44839.6666666667)</f>
        <v>44839.6666666667</v>
      </c>
      <c r="B444" s="2" t="n">
        <f aca="false">IFERROR(__xludf.dummyfunction("""COMPUTED_VALUE"""),12.91)</f>
        <v>12.91</v>
      </c>
      <c r="C444" s="2" t="n">
        <f aca="false">IFERROR(__xludf.dummyfunction("""COMPUTED_VALUE"""),13.32)</f>
        <v>13.32</v>
      </c>
      <c r="D444" s="2" t="n">
        <f aca="false">IFERROR(__xludf.dummyfunction("""COMPUTED_VALUE"""),12.62)</f>
        <v>12.62</v>
      </c>
      <c r="E444" s="2" t="n">
        <f aca="false">IFERROR(__xludf.dummyfunction("""COMPUTED_VALUE"""),13.21)</f>
        <v>13.21</v>
      </c>
      <c r="F444" s="2" t="n">
        <f aca="false">IFERROR(__xludf.dummyfunction("""COMPUTED_VALUE"""),50713073)</f>
        <v>50713073</v>
      </c>
    </row>
    <row r="445" customFormat="false" ht="15.75" hidden="false" customHeight="false" outlineLevel="0" collapsed="false">
      <c r="A445" s="3" t="n">
        <f aca="false">IFERROR(__xludf.dummyfunction("""COMPUTED_VALUE"""),44840.6666666667)</f>
        <v>44840.6666666667</v>
      </c>
      <c r="B445" s="2" t="n">
        <f aca="false">IFERROR(__xludf.dummyfunction("""COMPUTED_VALUE"""),13.22)</f>
        <v>13.22</v>
      </c>
      <c r="C445" s="2" t="n">
        <f aca="false">IFERROR(__xludf.dummyfunction("""COMPUTED_VALUE"""),13.66)</f>
        <v>13.66</v>
      </c>
      <c r="D445" s="2" t="n">
        <f aca="false">IFERROR(__xludf.dummyfunction("""COMPUTED_VALUE"""),13.1)</f>
        <v>13.1</v>
      </c>
      <c r="E445" s="2" t="n">
        <f aca="false">IFERROR(__xludf.dummyfunction("""COMPUTED_VALUE"""),13.13)</f>
        <v>13.13</v>
      </c>
      <c r="F445" s="2" t="n">
        <f aca="false">IFERROR(__xludf.dummyfunction("""COMPUTED_VALUE"""),64415689)</f>
        <v>64415689</v>
      </c>
    </row>
    <row r="446" customFormat="false" ht="15.75" hidden="false" customHeight="false" outlineLevel="0" collapsed="false">
      <c r="A446" s="3" t="n">
        <f aca="false">IFERROR(__xludf.dummyfunction("""COMPUTED_VALUE"""),44841.6666666667)</f>
        <v>44841.6666666667</v>
      </c>
      <c r="B446" s="2" t="n">
        <f aca="false">IFERROR(__xludf.dummyfunction("""COMPUTED_VALUE"""),12.51)</f>
        <v>12.51</v>
      </c>
      <c r="C446" s="2" t="n">
        <f aca="false">IFERROR(__xludf.dummyfunction("""COMPUTED_VALUE"""),12.67)</f>
        <v>12.67</v>
      </c>
      <c r="D446" s="2" t="n">
        <f aca="false">IFERROR(__xludf.dummyfunction("""COMPUTED_VALUE"""),12.02)</f>
        <v>12.02</v>
      </c>
      <c r="E446" s="2" t="n">
        <f aca="false">IFERROR(__xludf.dummyfunction("""COMPUTED_VALUE"""),12.08)</f>
        <v>12.08</v>
      </c>
      <c r="F446" s="2" t="n">
        <f aca="false">IFERROR(__xludf.dummyfunction("""COMPUTED_VALUE"""),67247816)</f>
        <v>67247816</v>
      </c>
    </row>
    <row r="447" customFormat="false" ht="15.75" hidden="false" customHeight="false" outlineLevel="0" collapsed="false">
      <c r="A447" s="3" t="n">
        <f aca="false">IFERROR(__xludf.dummyfunction("""COMPUTED_VALUE"""),44844.6666666667)</f>
        <v>44844.6666666667</v>
      </c>
      <c r="B447" s="2" t="n">
        <f aca="false">IFERROR(__xludf.dummyfunction("""COMPUTED_VALUE"""),12.04)</f>
        <v>12.04</v>
      </c>
      <c r="C447" s="2" t="n">
        <f aca="false">IFERROR(__xludf.dummyfunction("""COMPUTED_VALUE"""),12.12)</f>
        <v>12.12</v>
      </c>
      <c r="D447" s="2" t="n">
        <f aca="false">IFERROR(__xludf.dummyfunction("""COMPUTED_VALUE"""),11.41)</f>
        <v>11.41</v>
      </c>
      <c r="E447" s="2" t="n">
        <f aca="false">IFERROR(__xludf.dummyfunction("""COMPUTED_VALUE"""),11.67)</f>
        <v>11.67</v>
      </c>
      <c r="F447" s="2" t="n">
        <f aca="false">IFERROR(__xludf.dummyfunction("""COMPUTED_VALUE"""),69869925)</f>
        <v>69869925</v>
      </c>
    </row>
    <row r="448" customFormat="false" ht="15.75" hidden="false" customHeight="false" outlineLevel="0" collapsed="false">
      <c r="A448" s="3" t="n">
        <f aca="false">IFERROR(__xludf.dummyfunction("""COMPUTED_VALUE"""),44845.6666666667)</f>
        <v>44845.6666666667</v>
      </c>
      <c r="B448" s="2" t="n">
        <f aca="false">IFERROR(__xludf.dummyfunction("""COMPUTED_VALUE"""),11.56)</f>
        <v>11.56</v>
      </c>
      <c r="C448" s="2" t="n">
        <f aca="false">IFERROR(__xludf.dummyfunction("""COMPUTED_VALUE"""),11.85)</f>
        <v>11.85</v>
      </c>
      <c r="D448" s="2" t="n">
        <f aca="false">IFERROR(__xludf.dummyfunction("""COMPUTED_VALUE"""),11.28)</f>
        <v>11.28</v>
      </c>
      <c r="E448" s="2" t="n">
        <f aca="false">IFERROR(__xludf.dummyfunction("""COMPUTED_VALUE"""),11.59)</f>
        <v>11.59</v>
      </c>
      <c r="F448" s="2" t="n">
        <f aca="false">IFERROR(__xludf.dummyfunction("""COMPUTED_VALUE"""),66748163)</f>
        <v>66748163</v>
      </c>
    </row>
    <row r="449" customFormat="false" ht="15.75" hidden="false" customHeight="false" outlineLevel="0" collapsed="false">
      <c r="A449" s="3" t="n">
        <f aca="false">IFERROR(__xludf.dummyfunction("""COMPUTED_VALUE"""),44846.6666666667)</f>
        <v>44846.6666666667</v>
      </c>
      <c r="B449" s="2" t="n">
        <f aca="false">IFERROR(__xludf.dummyfunction("""COMPUTED_VALUE"""),11.58)</f>
        <v>11.58</v>
      </c>
      <c r="C449" s="2" t="n">
        <f aca="false">IFERROR(__xludf.dummyfunction("""COMPUTED_VALUE"""),11.74)</f>
        <v>11.74</v>
      </c>
      <c r="D449" s="2" t="n">
        <f aca="false">IFERROR(__xludf.dummyfunction("""COMPUTED_VALUE"""),11.35)</f>
        <v>11.35</v>
      </c>
      <c r="E449" s="2" t="n">
        <f aca="false">IFERROR(__xludf.dummyfunction("""COMPUTED_VALUE"""),11.5)</f>
        <v>11.5</v>
      </c>
      <c r="F449" s="2" t="n">
        <f aca="false">IFERROR(__xludf.dummyfunction("""COMPUTED_VALUE"""),49259019)</f>
        <v>49259019</v>
      </c>
    </row>
    <row r="450" customFormat="false" ht="15.75" hidden="false" customHeight="false" outlineLevel="0" collapsed="false">
      <c r="A450" s="3" t="n">
        <f aca="false">IFERROR(__xludf.dummyfunction("""COMPUTED_VALUE"""),44847.6666666667)</f>
        <v>44847.6666666667</v>
      </c>
      <c r="B450" s="2" t="n">
        <f aca="false">IFERROR(__xludf.dummyfunction("""COMPUTED_VALUE"""),10.97)</f>
        <v>10.97</v>
      </c>
      <c r="C450" s="2" t="n">
        <f aca="false">IFERROR(__xludf.dummyfunction("""COMPUTED_VALUE"""),12.08)</f>
        <v>12.08</v>
      </c>
      <c r="D450" s="2" t="n">
        <f aca="false">IFERROR(__xludf.dummyfunction("""COMPUTED_VALUE"""),10.81)</f>
        <v>10.81</v>
      </c>
      <c r="E450" s="2" t="n">
        <f aca="false">IFERROR(__xludf.dummyfunction("""COMPUTED_VALUE"""),11.96)</f>
        <v>11.96</v>
      </c>
      <c r="F450" s="2" t="n">
        <f aca="false">IFERROR(__xludf.dummyfunction("""COMPUTED_VALUE"""),85010301)</f>
        <v>85010301</v>
      </c>
    </row>
    <row r="451" customFormat="false" ht="15.75" hidden="false" customHeight="false" outlineLevel="0" collapsed="false">
      <c r="A451" s="3" t="n">
        <f aca="false">IFERROR(__xludf.dummyfunction("""COMPUTED_VALUE"""),44848.6666666667)</f>
        <v>44848.6666666667</v>
      </c>
      <c r="B451" s="2" t="n">
        <f aca="false">IFERROR(__xludf.dummyfunction("""COMPUTED_VALUE"""),12.06)</f>
        <v>12.06</v>
      </c>
      <c r="C451" s="2" t="n">
        <f aca="false">IFERROR(__xludf.dummyfunction("""COMPUTED_VALUE"""),12.11)</f>
        <v>12.11</v>
      </c>
      <c r="D451" s="2" t="n">
        <f aca="false">IFERROR(__xludf.dummyfunction("""COMPUTED_VALUE"""),11.2)</f>
        <v>11.2</v>
      </c>
      <c r="E451" s="2" t="n">
        <f aca="false">IFERROR(__xludf.dummyfunction("""COMPUTED_VALUE"""),11.23)</f>
        <v>11.23</v>
      </c>
      <c r="F451" s="2" t="n">
        <f aca="false">IFERROR(__xludf.dummyfunction("""COMPUTED_VALUE"""),71343199)</f>
        <v>71343199</v>
      </c>
    </row>
    <row r="452" customFormat="false" ht="15.75" hidden="false" customHeight="false" outlineLevel="0" collapsed="false">
      <c r="A452" s="3" t="n">
        <f aca="false">IFERROR(__xludf.dummyfunction("""COMPUTED_VALUE"""),44851.6666666667)</f>
        <v>44851.6666666667</v>
      </c>
      <c r="B452" s="2" t="n">
        <f aca="false">IFERROR(__xludf.dummyfunction("""COMPUTED_VALUE"""),11.52)</f>
        <v>11.52</v>
      </c>
      <c r="C452" s="2" t="n">
        <f aca="false">IFERROR(__xludf.dummyfunction("""COMPUTED_VALUE"""),11.95)</f>
        <v>11.95</v>
      </c>
      <c r="D452" s="2" t="n">
        <f aca="false">IFERROR(__xludf.dummyfunction("""COMPUTED_VALUE"""),11.52)</f>
        <v>11.52</v>
      </c>
      <c r="E452" s="2" t="n">
        <f aca="false">IFERROR(__xludf.dummyfunction("""COMPUTED_VALUE"""),11.89)</f>
        <v>11.89</v>
      </c>
      <c r="F452" s="2" t="n">
        <f aca="false">IFERROR(__xludf.dummyfunction("""COMPUTED_VALUE"""),58077417)</f>
        <v>58077417</v>
      </c>
    </row>
    <row r="453" customFormat="false" ht="15.75" hidden="false" customHeight="false" outlineLevel="0" collapsed="false">
      <c r="A453" s="3" t="n">
        <f aca="false">IFERROR(__xludf.dummyfunction("""COMPUTED_VALUE"""),44852.6666666667)</f>
        <v>44852.6666666667</v>
      </c>
      <c r="B453" s="2" t="n">
        <f aca="false">IFERROR(__xludf.dummyfunction("""COMPUTED_VALUE"""),12.34)</f>
        <v>12.34</v>
      </c>
      <c r="C453" s="2" t="n">
        <f aca="false">IFERROR(__xludf.dummyfunction("""COMPUTED_VALUE"""),12.49)</f>
        <v>12.49</v>
      </c>
      <c r="D453" s="2" t="n">
        <f aca="false">IFERROR(__xludf.dummyfunction("""COMPUTED_VALUE"""),11.62)</f>
        <v>11.62</v>
      </c>
      <c r="E453" s="2" t="n">
        <f aca="false">IFERROR(__xludf.dummyfunction("""COMPUTED_VALUE"""),11.97)</f>
        <v>11.97</v>
      </c>
      <c r="F453" s="2" t="n">
        <f aca="false">IFERROR(__xludf.dummyfunction("""COMPUTED_VALUE"""),65936206)</f>
        <v>65936206</v>
      </c>
    </row>
    <row r="454" customFormat="false" ht="15.75" hidden="false" customHeight="false" outlineLevel="0" collapsed="false">
      <c r="A454" s="3" t="n">
        <f aca="false">IFERROR(__xludf.dummyfunction("""COMPUTED_VALUE"""),44853.6666666667)</f>
        <v>44853.6666666667</v>
      </c>
      <c r="B454" s="2" t="n">
        <f aca="false">IFERROR(__xludf.dummyfunction("""COMPUTED_VALUE"""),11.88)</f>
        <v>11.88</v>
      </c>
      <c r="C454" s="2" t="n">
        <f aca="false">IFERROR(__xludf.dummyfunction("""COMPUTED_VALUE"""),12.35)</f>
        <v>12.35</v>
      </c>
      <c r="D454" s="2" t="n">
        <f aca="false">IFERROR(__xludf.dummyfunction("""COMPUTED_VALUE"""),11.83)</f>
        <v>11.83</v>
      </c>
      <c r="E454" s="2" t="n">
        <f aca="false">IFERROR(__xludf.dummyfunction("""COMPUTED_VALUE"""),12.05)</f>
        <v>12.05</v>
      </c>
      <c r="F454" s="2" t="n">
        <f aca="false">IFERROR(__xludf.dummyfunction("""COMPUTED_VALUE"""),52313061)</f>
        <v>52313061</v>
      </c>
    </row>
    <row r="455" customFormat="false" ht="15.75" hidden="false" customHeight="false" outlineLevel="0" collapsed="false">
      <c r="A455" s="3" t="n">
        <f aca="false">IFERROR(__xludf.dummyfunction("""COMPUTED_VALUE"""),44854.6666666667)</f>
        <v>44854.6666666667</v>
      </c>
      <c r="B455" s="2" t="n">
        <f aca="false">IFERROR(__xludf.dummyfunction("""COMPUTED_VALUE"""),12.11)</f>
        <v>12.11</v>
      </c>
      <c r="C455" s="2" t="n">
        <f aca="false">IFERROR(__xludf.dummyfunction("""COMPUTED_VALUE"""),12.77)</f>
        <v>12.77</v>
      </c>
      <c r="D455" s="2" t="n">
        <f aca="false">IFERROR(__xludf.dummyfunction("""COMPUTED_VALUE"""),12.11)</f>
        <v>12.11</v>
      </c>
      <c r="E455" s="2" t="n">
        <f aca="false">IFERROR(__xludf.dummyfunction("""COMPUTED_VALUE"""),12.19)</f>
        <v>12.19</v>
      </c>
      <c r="F455" s="2" t="n">
        <f aca="false">IFERROR(__xludf.dummyfunction("""COMPUTED_VALUE"""),65239761)</f>
        <v>65239761</v>
      </c>
    </row>
    <row r="456" customFormat="false" ht="15.75" hidden="false" customHeight="false" outlineLevel="0" collapsed="false">
      <c r="A456" s="3" t="n">
        <f aca="false">IFERROR(__xludf.dummyfunction("""COMPUTED_VALUE"""),44855.6666666667)</f>
        <v>44855.6666666667</v>
      </c>
      <c r="B456" s="2" t="n">
        <f aca="false">IFERROR(__xludf.dummyfunction("""COMPUTED_VALUE"""),12.1)</f>
        <v>12.1</v>
      </c>
      <c r="C456" s="2" t="n">
        <f aca="false">IFERROR(__xludf.dummyfunction("""COMPUTED_VALUE"""),12.5)</f>
        <v>12.5</v>
      </c>
      <c r="D456" s="2" t="n">
        <f aca="false">IFERROR(__xludf.dummyfunction("""COMPUTED_VALUE"""),11.89)</f>
        <v>11.89</v>
      </c>
      <c r="E456" s="2" t="n">
        <f aca="false">IFERROR(__xludf.dummyfunction("""COMPUTED_VALUE"""),12.47)</f>
        <v>12.47</v>
      </c>
      <c r="F456" s="2" t="n">
        <f aca="false">IFERROR(__xludf.dummyfunction("""COMPUTED_VALUE"""),60949441)</f>
        <v>60949441</v>
      </c>
    </row>
    <row r="457" customFormat="false" ht="15.75" hidden="false" customHeight="false" outlineLevel="0" collapsed="false">
      <c r="A457" s="3" t="n">
        <f aca="false">IFERROR(__xludf.dummyfunction("""COMPUTED_VALUE"""),44858.6666666667)</f>
        <v>44858.6666666667</v>
      </c>
      <c r="B457" s="2" t="n">
        <f aca="false">IFERROR(__xludf.dummyfunction("""COMPUTED_VALUE"""),12.51)</f>
        <v>12.51</v>
      </c>
      <c r="C457" s="2" t="n">
        <f aca="false">IFERROR(__xludf.dummyfunction("""COMPUTED_VALUE"""),12.71)</f>
        <v>12.71</v>
      </c>
      <c r="D457" s="2" t="n">
        <f aca="false">IFERROR(__xludf.dummyfunction("""COMPUTED_VALUE"""),12.06)</f>
        <v>12.06</v>
      </c>
      <c r="E457" s="2" t="n">
        <f aca="false">IFERROR(__xludf.dummyfunction("""COMPUTED_VALUE"""),12.6)</f>
        <v>12.6</v>
      </c>
      <c r="F457" s="2" t="n">
        <f aca="false">IFERROR(__xludf.dummyfunction("""COMPUTED_VALUE"""),51745740)</f>
        <v>51745740</v>
      </c>
    </row>
    <row r="458" customFormat="false" ht="15.75" hidden="false" customHeight="false" outlineLevel="0" collapsed="false">
      <c r="A458" s="3" t="n">
        <f aca="false">IFERROR(__xludf.dummyfunction("""COMPUTED_VALUE"""),44859.6666666667)</f>
        <v>44859.6666666667</v>
      </c>
      <c r="B458" s="2" t="n">
        <f aca="false">IFERROR(__xludf.dummyfunction("""COMPUTED_VALUE"""),12.69)</f>
        <v>12.69</v>
      </c>
      <c r="C458" s="2" t="n">
        <f aca="false">IFERROR(__xludf.dummyfunction("""COMPUTED_VALUE"""),13.3)</f>
        <v>13.3</v>
      </c>
      <c r="D458" s="2" t="n">
        <f aca="false">IFERROR(__xludf.dummyfunction("""COMPUTED_VALUE"""),12.66)</f>
        <v>12.66</v>
      </c>
      <c r="E458" s="2" t="n">
        <f aca="false">IFERROR(__xludf.dummyfunction("""COMPUTED_VALUE"""),13.26)</f>
        <v>13.26</v>
      </c>
      <c r="F458" s="2" t="n">
        <f aca="false">IFERROR(__xludf.dummyfunction("""COMPUTED_VALUE"""),50548233)</f>
        <v>50548233</v>
      </c>
    </row>
    <row r="459" customFormat="false" ht="15.75" hidden="false" customHeight="false" outlineLevel="0" collapsed="false">
      <c r="A459" s="3" t="n">
        <f aca="false">IFERROR(__xludf.dummyfunction("""COMPUTED_VALUE"""),44860.6666666667)</f>
        <v>44860.6666666667</v>
      </c>
      <c r="B459" s="2" t="n">
        <f aca="false">IFERROR(__xludf.dummyfunction("""COMPUTED_VALUE"""),12.87)</f>
        <v>12.87</v>
      </c>
      <c r="C459" s="2" t="n">
        <f aca="false">IFERROR(__xludf.dummyfunction("""COMPUTED_VALUE"""),13.39)</f>
        <v>13.39</v>
      </c>
      <c r="D459" s="2" t="n">
        <f aca="false">IFERROR(__xludf.dummyfunction("""COMPUTED_VALUE"""),12.71)</f>
        <v>12.71</v>
      </c>
      <c r="E459" s="2" t="n">
        <f aca="false">IFERROR(__xludf.dummyfunction("""COMPUTED_VALUE"""),12.9)</f>
        <v>12.9</v>
      </c>
      <c r="F459" s="2" t="n">
        <f aca="false">IFERROR(__xludf.dummyfunction("""COMPUTED_VALUE"""),53553329)</f>
        <v>53553329</v>
      </c>
    </row>
    <row r="460" customFormat="false" ht="15.75" hidden="false" customHeight="false" outlineLevel="0" collapsed="false">
      <c r="A460" s="3" t="n">
        <f aca="false">IFERROR(__xludf.dummyfunction("""COMPUTED_VALUE"""),44861.6666666667)</f>
        <v>44861.6666666667</v>
      </c>
      <c r="B460" s="2" t="n">
        <f aca="false">IFERROR(__xludf.dummyfunction("""COMPUTED_VALUE"""),13.63)</f>
        <v>13.63</v>
      </c>
      <c r="C460" s="2" t="n">
        <f aca="false">IFERROR(__xludf.dummyfunction("""COMPUTED_VALUE"""),13.84)</f>
        <v>13.84</v>
      </c>
      <c r="D460" s="2" t="n">
        <f aca="false">IFERROR(__xludf.dummyfunction("""COMPUTED_VALUE"""),13.12)</f>
        <v>13.12</v>
      </c>
      <c r="E460" s="2" t="n">
        <f aca="false">IFERROR(__xludf.dummyfunction("""COMPUTED_VALUE"""),13.18)</f>
        <v>13.18</v>
      </c>
      <c r="F460" s="2" t="n">
        <f aca="false">IFERROR(__xludf.dummyfunction("""COMPUTED_VALUE"""),58311308)</f>
        <v>58311308</v>
      </c>
    </row>
    <row r="461" customFormat="false" ht="15.75" hidden="false" customHeight="false" outlineLevel="0" collapsed="false">
      <c r="A461" s="3" t="n">
        <f aca="false">IFERROR(__xludf.dummyfunction("""COMPUTED_VALUE"""),44862.6666666667)</f>
        <v>44862.6666666667</v>
      </c>
      <c r="B461" s="2" t="n">
        <f aca="false">IFERROR(__xludf.dummyfunction("""COMPUTED_VALUE"""),13.1)</f>
        <v>13.1</v>
      </c>
      <c r="C461" s="2" t="n">
        <f aca="false">IFERROR(__xludf.dummyfunction("""COMPUTED_VALUE"""),13.85)</f>
        <v>13.85</v>
      </c>
      <c r="D461" s="2" t="n">
        <f aca="false">IFERROR(__xludf.dummyfunction("""COMPUTED_VALUE"""),13.06)</f>
        <v>13.06</v>
      </c>
      <c r="E461" s="2" t="n">
        <f aca="false">IFERROR(__xludf.dummyfunction("""COMPUTED_VALUE"""),13.83)</f>
        <v>13.83</v>
      </c>
      <c r="F461" s="2" t="n">
        <f aca="false">IFERROR(__xludf.dummyfunction("""COMPUTED_VALUE"""),52103993)</f>
        <v>52103993</v>
      </c>
    </row>
    <row r="462" customFormat="false" ht="15.75" hidden="false" customHeight="false" outlineLevel="0" collapsed="false">
      <c r="A462" s="3" t="n">
        <f aca="false">IFERROR(__xludf.dummyfunction("""COMPUTED_VALUE"""),44865.6666666667)</f>
        <v>44865.6666666667</v>
      </c>
      <c r="B462" s="2" t="n">
        <f aca="false">IFERROR(__xludf.dummyfunction("""COMPUTED_VALUE"""),13.78)</f>
        <v>13.78</v>
      </c>
      <c r="C462" s="2" t="n">
        <f aca="false">IFERROR(__xludf.dummyfunction("""COMPUTED_VALUE"""),13.84)</f>
        <v>13.84</v>
      </c>
      <c r="D462" s="2" t="n">
        <f aca="false">IFERROR(__xludf.dummyfunction("""COMPUTED_VALUE"""),13.3)</f>
        <v>13.3</v>
      </c>
      <c r="E462" s="2" t="n">
        <f aca="false">IFERROR(__xludf.dummyfunction("""COMPUTED_VALUE"""),13.5)</f>
        <v>13.5</v>
      </c>
      <c r="F462" s="2" t="n">
        <f aca="false">IFERROR(__xludf.dummyfunction("""COMPUTED_VALUE"""),48634099)</f>
        <v>48634099</v>
      </c>
    </row>
    <row r="463" customFormat="false" ht="15.75" hidden="false" customHeight="false" outlineLevel="0" collapsed="false">
      <c r="A463" s="3" t="n">
        <f aca="false">IFERROR(__xludf.dummyfunction("""COMPUTED_VALUE"""),44866.6666666667)</f>
        <v>44866.6666666667</v>
      </c>
      <c r="B463" s="2" t="n">
        <f aca="false">IFERROR(__xludf.dummyfunction("""COMPUTED_VALUE"""),13.81)</f>
        <v>13.81</v>
      </c>
      <c r="C463" s="2" t="n">
        <f aca="false">IFERROR(__xludf.dummyfunction("""COMPUTED_VALUE"""),13.93)</f>
        <v>13.93</v>
      </c>
      <c r="D463" s="2" t="n">
        <f aca="false">IFERROR(__xludf.dummyfunction("""COMPUTED_VALUE"""),13.52)</f>
        <v>13.52</v>
      </c>
      <c r="E463" s="2" t="n">
        <f aca="false">IFERROR(__xludf.dummyfunction("""COMPUTED_VALUE"""),13.54)</f>
        <v>13.54</v>
      </c>
      <c r="F463" s="2" t="n">
        <f aca="false">IFERROR(__xludf.dummyfunction("""COMPUTED_VALUE"""),43281690)</f>
        <v>43281690</v>
      </c>
    </row>
    <row r="464" customFormat="false" ht="15.75" hidden="false" customHeight="false" outlineLevel="0" collapsed="false">
      <c r="A464" s="3" t="n">
        <f aca="false">IFERROR(__xludf.dummyfunction("""COMPUTED_VALUE"""),44867.6666666667)</f>
        <v>44867.6666666667</v>
      </c>
      <c r="B464" s="2" t="n">
        <f aca="false">IFERROR(__xludf.dummyfunction("""COMPUTED_VALUE"""),13.85)</f>
        <v>13.85</v>
      </c>
      <c r="C464" s="2" t="n">
        <f aca="false">IFERROR(__xludf.dummyfunction("""COMPUTED_VALUE"""),14.21)</f>
        <v>14.21</v>
      </c>
      <c r="D464" s="2" t="n">
        <f aca="false">IFERROR(__xludf.dummyfunction("""COMPUTED_VALUE"""),13.21)</f>
        <v>13.21</v>
      </c>
      <c r="E464" s="2" t="n">
        <f aca="false">IFERROR(__xludf.dummyfunction("""COMPUTED_VALUE"""),13.22)</f>
        <v>13.22</v>
      </c>
      <c r="F464" s="2" t="n">
        <f aca="false">IFERROR(__xludf.dummyfunction("""COMPUTED_VALUE"""),67262784)</f>
        <v>67262784</v>
      </c>
    </row>
    <row r="465" customFormat="false" ht="15.75" hidden="false" customHeight="false" outlineLevel="0" collapsed="false">
      <c r="A465" s="3" t="n">
        <f aca="false">IFERROR(__xludf.dummyfunction("""COMPUTED_VALUE"""),44868.6666666667)</f>
        <v>44868.6666666667</v>
      </c>
      <c r="B465" s="2" t="n">
        <f aca="false">IFERROR(__xludf.dummyfunction("""COMPUTED_VALUE"""),13.04)</f>
        <v>13.04</v>
      </c>
      <c r="C465" s="2" t="n">
        <f aca="false">IFERROR(__xludf.dummyfunction("""COMPUTED_VALUE"""),13.78)</f>
        <v>13.78</v>
      </c>
      <c r="D465" s="2" t="n">
        <f aca="false">IFERROR(__xludf.dummyfunction("""COMPUTED_VALUE"""),12.96)</f>
        <v>12.96</v>
      </c>
      <c r="E465" s="2" t="n">
        <f aca="false">IFERROR(__xludf.dummyfunction("""COMPUTED_VALUE"""),13.42)</f>
        <v>13.42</v>
      </c>
      <c r="F465" s="2" t="n">
        <f aca="false">IFERROR(__xludf.dummyfunction("""COMPUTED_VALUE"""),50006486)</f>
        <v>50006486</v>
      </c>
    </row>
    <row r="466" customFormat="false" ht="15.75" hidden="false" customHeight="false" outlineLevel="0" collapsed="false">
      <c r="A466" s="3" t="n">
        <f aca="false">IFERROR(__xludf.dummyfunction("""COMPUTED_VALUE"""),44869.6666666667)</f>
        <v>44869.6666666667</v>
      </c>
      <c r="B466" s="2" t="n">
        <f aca="false">IFERROR(__xludf.dummyfunction("""COMPUTED_VALUE"""),13.99)</f>
        <v>13.99</v>
      </c>
      <c r="C466" s="2" t="n">
        <f aca="false">IFERROR(__xludf.dummyfunction("""COMPUTED_VALUE"""),14.23)</f>
        <v>14.23</v>
      </c>
      <c r="D466" s="2" t="n">
        <f aca="false">IFERROR(__xludf.dummyfunction("""COMPUTED_VALUE"""),13.7)</f>
        <v>13.7</v>
      </c>
      <c r="E466" s="2" t="n">
        <f aca="false">IFERROR(__xludf.dummyfunction("""COMPUTED_VALUE"""),14.16)</f>
        <v>14.16</v>
      </c>
      <c r="F466" s="2" t="n">
        <f aca="false">IFERROR(__xludf.dummyfunction("""COMPUTED_VALUE"""),61257591)</f>
        <v>61257591</v>
      </c>
    </row>
    <row r="467" customFormat="false" ht="15.75" hidden="false" customHeight="false" outlineLevel="0" collapsed="false">
      <c r="A467" s="3" t="n">
        <f aca="false">IFERROR(__xludf.dummyfunction("""COMPUTED_VALUE"""),44872.6666666667)</f>
        <v>44872.6666666667</v>
      </c>
      <c r="B467" s="2" t="n">
        <f aca="false">IFERROR(__xludf.dummyfunction("""COMPUTED_VALUE"""),14.23)</f>
        <v>14.23</v>
      </c>
      <c r="C467" s="2" t="n">
        <f aca="false">IFERROR(__xludf.dummyfunction("""COMPUTED_VALUE"""),14.41)</f>
        <v>14.41</v>
      </c>
      <c r="D467" s="2" t="n">
        <f aca="false">IFERROR(__xludf.dummyfunction("""COMPUTED_VALUE"""),13.95)</f>
        <v>13.95</v>
      </c>
      <c r="E467" s="2" t="n">
        <f aca="false">IFERROR(__xludf.dummyfunction("""COMPUTED_VALUE"""),14.3)</f>
        <v>14.3</v>
      </c>
      <c r="F467" s="2" t="n">
        <f aca="false">IFERROR(__xludf.dummyfunction("""COMPUTED_VALUE"""),41006095)</f>
        <v>41006095</v>
      </c>
    </row>
    <row r="468" customFormat="false" ht="15.75" hidden="false" customHeight="false" outlineLevel="0" collapsed="false">
      <c r="A468" s="3" t="n">
        <f aca="false">IFERROR(__xludf.dummyfunction("""COMPUTED_VALUE"""),44873.6666666667)</f>
        <v>44873.6666666667</v>
      </c>
      <c r="B468" s="2" t="n">
        <f aca="false">IFERROR(__xludf.dummyfunction("""COMPUTED_VALUE"""),14.8)</f>
        <v>14.8</v>
      </c>
      <c r="C468" s="2" t="n">
        <f aca="false">IFERROR(__xludf.dummyfunction("""COMPUTED_VALUE"""),14.89)</f>
        <v>14.89</v>
      </c>
      <c r="D468" s="2" t="n">
        <f aca="false">IFERROR(__xludf.dummyfunction("""COMPUTED_VALUE"""),14.22)</f>
        <v>14.22</v>
      </c>
      <c r="E468" s="2" t="n">
        <f aca="false">IFERROR(__xludf.dummyfunction("""COMPUTED_VALUE"""),14.6)</f>
        <v>14.6</v>
      </c>
      <c r="F468" s="2" t="n">
        <f aca="false">IFERROR(__xludf.dummyfunction("""COMPUTED_VALUE"""),59529199)</f>
        <v>59529199</v>
      </c>
    </row>
    <row r="469" customFormat="false" ht="15.75" hidden="false" customHeight="false" outlineLevel="0" collapsed="false">
      <c r="A469" s="3" t="n">
        <f aca="false">IFERROR(__xludf.dummyfunction("""COMPUTED_VALUE"""),44874.6666666667)</f>
        <v>44874.6666666667</v>
      </c>
      <c r="B469" s="2" t="n">
        <f aca="false">IFERROR(__xludf.dummyfunction("""COMPUTED_VALUE"""),14.16)</f>
        <v>14.16</v>
      </c>
      <c r="C469" s="2" t="n">
        <f aca="false">IFERROR(__xludf.dummyfunction("""COMPUTED_VALUE"""),14.21)</f>
        <v>14.21</v>
      </c>
      <c r="D469" s="2" t="n">
        <f aca="false">IFERROR(__xludf.dummyfunction("""COMPUTED_VALUE"""),13.76)</f>
        <v>13.76</v>
      </c>
      <c r="E469" s="2" t="n">
        <f aca="false">IFERROR(__xludf.dummyfunction("""COMPUTED_VALUE"""),13.78)</f>
        <v>13.78</v>
      </c>
      <c r="F469" s="2" t="n">
        <f aca="false">IFERROR(__xludf.dummyfunction("""COMPUTED_VALUE"""),45441366)</f>
        <v>45441366</v>
      </c>
    </row>
    <row r="470" customFormat="false" ht="15.75" hidden="false" customHeight="false" outlineLevel="0" collapsed="false">
      <c r="A470" s="3" t="n">
        <f aca="false">IFERROR(__xludf.dummyfunction("""COMPUTED_VALUE"""),44875.6666666667)</f>
        <v>44875.6666666667</v>
      </c>
      <c r="B470" s="2" t="n">
        <f aca="false">IFERROR(__xludf.dummyfunction("""COMPUTED_VALUE"""),14.8)</f>
        <v>14.8</v>
      </c>
      <c r="C470" s="2" t="n">
        <f aca="false">IFERROR(__xludf.dummyfunction("""COMPUTED_VALUE"""),15.77)</f>
        <v>15.77</v>
      </c>
      <c r="D470" s="2" t="n">
        <f aca="false">IFERROR(__xludf.dummyfunction("""COMPUTED_VALUE"""),14.55)</f>
        <v>14.55</v>
      </c>
      <c r="E470" s="2" t="n">
        <f aca="false">IFERROR(__xludf.dummyfunction("""COMPUTED_VALUE"""),15.75)</f>
        <v>15.75</v>
      </c>
      <c r="F470" s="2" t="n">
        <f aca="false">IFERROR(__xludf.dummyfunction("""COMPUTED_VALUE"""),70081925)</f>
        <v>70081925</v>
      </c>
    </row>
    <row r="471" customFormat="false" ht="15.75" hidden="false" customHeight="false" outlineLevel="0" collapsed="false">
      <c r="A471" s="3" t="n">
        <f aca="false">IFERROR(__xludf.dummyfunction("""COMPUTED_VALUE"""),44876.6666666667)</f>
        <v>44876.6666666667</v>
      </c>
      <c r="B471" s="2" t="n">
        <f aca="false">IFERROR(__xludf.dummyfunction("""COMPUTED_VALUE"""),15.81)</f>
        <v>15.81</v>
      </c>
      <c r="C471" s="2" t="n">
        <f aca="false">IFERROR(__xludf.dummyfunction("""COMPUTED_VALUE"""),16.39)</f>
        <v>16.39</v>
      </c>
      <c r="D471" s="2" t="n">
        <f aca="false">IFERROR(__xludf.dummyfunction("""COMPUTED_VALUE"""),15.48)</f>
        <v>15.48</v>
      </c>
      <c r="E471" s="2" t="n">
        <f aca="false">IFERROR(__xludf.dummyfunction("""COMPUTED_VALUE"""),16.33)</f>
        <v>16.33</v>
      </c>
      <c r="F471" s="2" t="n">
        <f aca="false">IFERROR(__xludf.dummyfunction("""COMPUTED_VALUE"""),65548747)</f>
        <v>65548747</v>
      </c>
    </row>
    <row r="472" customFormat="false" ht="15.75" hidden="false" customHeight="false" outlineLevel="0" collapsed="false">
      <c r="A472" s="3" t="n">
        <f aca="false">IFERROR(__xludf.dummyfunction("""COMPUTED_VALUE"""),44879.6666666667)</f>
        <v>44879.6666666667</v>
      </c>
      <c r="B472" s="2" t="n">
        <f aca="false">IFERROR(__xludf.dummyfunction("""COMPUTED_VALUE"""),16.22)</f>
        <v>16.22</v>
      </c>
      <c r="C472" s="2" t="n">
        <f aca="false">IFERROR(__xludf.dummyfunction("""COMPUTED_VALUE"""),16.54)</f>
        <v>16.54</v>
      </c>
      <c r="D472" s="2" t="n">
        <f aca="false">IFERROR(__xludf.dummyfunction("""COMPUTED_VALUE"""),15.92)</f>
        <v>15.92</v>
      </c>
      <c r="E472" s="2" t="n">
        <f aca="false">IFERROR(__xludf.dummyfunction("""COMPUTED_VALUE"""),16.3)</f>
        <v>16.3</v>
      </c>
      <c r="F472" s="2" t="n">
        <f aca="false">IFERROR(__xludf.dummyfunction("""COMPUTED_VALUE"""),52785245)</f>
        <v>52785245</v>
      </c>
    </row>
    <row r="473" customFormat="false" ht="15.75" hidden="false" customHeight="false" outlineLevel="0" collapsed="false">
      <c r="A473" s="3" t="n">
        <f aca="false">IFERROR(__xludf.dummyfunction("""COMPUTED_VALUE"""),44880.6666666667)</f>
        <v>44880.6666666667</v>
      </c>
      <c r="B473" s="2" t="n">
        <f aca="false">IFERROR(__xludf.dummyfunction("""COMPUTED_VALUE"""),16.72)</f>
        <v>16.72</v>
      </c>
      <c r="C473" s="2" t="n">
        <f aca="false">IFERROR(__xludf.dummyfunction("""COMPUTED_VALUE"""),17)</f>
        <v>17</v>
      </c>
      <c r="D473" s="2" t="n">
        <f aca="false">IFERROR(__xludf.dummyfunction("""COMPUTED_VALUE"""),16.38)</f>
        <v>16.38</v>
      </c>
      <c r="E473" s="2" t="n">
        <f aca="false">IFERROR(__xludf.dummyfunction("""COMPUTED_VALUE"""),16.67)</f>
        <v>16.67</v>
      </c>
      <c r="F473" s="2" t="n">
        <f aca="false">IFERROR(__xludf.dummyfunction("""COMPUTED_VALUE"""),54587550)</f>
        <v>54587550</v>
      </c>
    </row>
    <row r="474" customFormat="false" ht="15.75" hidden="false" customHeight="false" outlineLevel="0" collapsed="false">
      <c r="A474" s="3" t="n">
        <f aca="false">IFERROR(__xludf.dummyfunction("""COMPUTED_VALUE"""),44881.6666666667)</f>
        <v>44881.6666666667</v>
      </c>
      <c r="B474" s="2" t="n">
        <f aca="false">IFERROR(__xludf.dummyfunction("""COMPUTED_VALUE"""),16.16)</f>
        <v>16.16</v>
      </c>
      <c r="C474" s="2" t="n">
        <f aca="false">IFERROR(__xludf.dummyfunction("""COMPUTED_VALUE"""),16.36)</f>
        <v>16.36</v>
      </c>
      <c r="D474" s="2" t="n">
        <f aca="false">IFERROR(__xludf.dummyfunction("""COMPUTED_VALUE"""),15.87)</f>
        <v>15.87</v>
      </c>
      <c r="E474" s="2" t="n">
        <f aca="false">IFERROR(__xludf.dummyfunction("""COMPUTED_VALUE"""),15.91)</f>
        <v>15.91</v>
      </c>
      <c r="F474" s="2" t="n">
        <f aca="false">IFERROR(__xludf.dummyfunction("""COMPUTED_VALUE"""),64954684)</f>
        <v>64954684</v>
      </c>
    </row>
    <row r="475" customFormat="false" ht="15.75" hidden="false" customHeight="false" outlineLevel="0" collapsed="false">
      <c r="A475" s="3" t="n">
        <f aca="false">IFERROR(__xludf.dummyfunction("""COMPUTED_VALUE"""),44882.6666666667)</f>
        <v>44882.6666666667</v>
      </c>
      <c r="B475" s="2" t="n">
        <f aca="false">IFERROR(__xludf.dummyfunction("""COMPUTED_VALUE"""),15.72)</f>
        <v>15.72</v>
      </c>
      <c r="C475" s="2" t="n">
        <f aca="false">IFERROR(__xludf.dummyfunction("""COMPUTED_VALUE"""),16.27)</f>
        <v>16.27</v>
      </c>
      <c r="D475" s="2" t="n">
        <f aca="false">IFERROR(__xludf.dummyfunction("""COMPUTED_VALUE"""),15.54)</f>
        <v>15.54</v>
      </c>
      <c r="E475" s="2" t="n">
        <f aca="false">IFERROR(__xludf.dummyfunction("""COMPUTED_VALUE"""),15.68)</f>
        <v>15.68</v>
      </c>
      <c r="F475" s="2" t="n">
        <f aca="false">IFERROR(__xludf.dummyfunction("""COMPUTED_VALUE"""),71089356)</f>
        <v>71089356</v>
      </c>
    </row>
    <row r="476" customFormat="false" ht="15.75" hidden="false" customHeight="false" outlineLevel="0" collapsed="false">
      <c r="A476" s="3" t="n">
        <f aca="false">IFERROR(__xludf.dummyfunction("""COMPUTED_VALUE"""),44883.6666666667)</f>
        <v>44883.6666666667</v>
      </c>
      <c r="B476" s="2" t="n">
        <f aca="false">IFERROR(__xludf.dummyfunction("""COMPUTED_VALUE"""),15.97)</f>
        <v>15.97</v>
      </c>
      <c r="C476" s="2" t="n">
        <f aca="false">IFERROR(__xludf.dummyfunction("""COMPUTED_VALUE"""),16)</f>
        <v>16</v>
      </c>
      <c r="D476" s="2" t="n">
        <f aca="false">IFERROR(__xludf.dummyfunction("""COMPUTED_VALUE"""),15.12)</f>
        <v>15.12</v>
      </c>
      <c r="E476" s="2" t="n">
        <f aca="false">IFERROR(__xludf.dummyfunction("""COMPUTED_VALUE"""),15.41)</f>
        <v>15.41</v>
      </c>
      <c r="F476" s="2" t="n">
        <f aca="false">IFERROR(__xludf.dummyfunction("""COMPUTED_VALUE"""),49207165)</f>
        <v>49207165</v>
      </c>
    </row>
    <row r="477" customFormat="false" ht="15.75" hidden="false" customHeight="false" outlineLevel="0" collapsed="false">
      <c r="A477" s="3" t="n">
        <f aca="false">IFERROR(__xludf.dummyfunction("""COMPUTED_VALUE"""),44886.6666666667)</f>
        <v>44886.6666666667</v>
      </c>
      <c r="B477" s="2" t="n">
        <f aca="false">IFERROR(__xludf.dummyfunction("""COMPUTED_VALUE"""),15.15)</f>
        <v>15.15</v>
      </c>
      <c r="C477" s="2" t="n">
        <f aca="false">IFERROR(__xludf.dummyfunction("""COMPUTED_VALUE"""),15.48)</f>
        <v>15.48</v>
      </c>
      <c r="D477" s="2" t="n">
        <f aca="false">IFERROR(__xludf.dummyfunction("""COMPUTED_VALUE"""),15.08)</f>
        <v>15.08</v>
      </c>
      <c r="E477" s="2" t="n">
        <f aca="false">IFERROR(__xludf.dummyfunction("""COMPUTED_VALUE"""),15.32)</f>
        <v>15.32</v>
      </c>
      <c r="F477" s="2" t="n">
        <f aca="false">IFERROR(__xludf.dummyfunction("""COMPUTED_VALUE"""),40473931)</f>
        <v>40473931</v>
      </c>
    </row>
    <row r="478" customFormat="false" ht="15.75" hidden="false" customHeight="false" outlineLevel="0" collapsed="false">
      <c r="A478" s="3" t="n">
        <f aca="false">IFERROR(__xludf.dummyfunction("""COMPUTED_VALUE"""),44887.6666666667)</f>
        <v>44887.6666666667</v>
      </c>
      <c r="B478" s="2" t="n">
        <f aca="false">IFERROR(__xludf.dummyfunction("""COMPUTED_VALUE"""),15.33)</f>
        <v>15.33</v>
      </c>
      <c r="C478" s="2" t="n">
        <f aca="false">IFERROR(__xludf.dummyfunction("""COMPUTED_VALUE"""),16.06)</f>
        <v>16.06</v>
      </c>
      <c r="D478" s="2" t="n">
        <f aca="false">IFERROR(__xludf.dummyfunction("""COMPUTED_VALUE"""),15.12)</f>
        <v>15.12</v>
      </c>
      <c r="E478" s="2" t="n">
        <f aca="false">IFERROR(__xludf.dummyfunction("""COMPUTED_VALUE"""),16.04)</f>
        <v>16.04</v>
      </c>
      <c r="F478" s="2" t="n">
        <f aca="false">IFERROR(__xludf.dummyfunction("""COMPUTED_VALUE"""),47286607)</f>
        <v>47286607</v>
      </c>
    </row>
    <row r="479" customFormat="false" ht="15.75" hidden="false" customHeight="false" outlineLevel="0" collapsed="false">
      <c r="A479" s="3" t="n">
        <f aca="false">IFERROR(__xludf.dummyfunction("""COMPUTED_VALUE"""),44888.6666666667)</f>
        <v>44888.6666666667</v>
      </c>
      <c r="B479" s="2" t="n">
        <f aca="false">IFERROR(__xludf.dummyfunction("""COMPUTED_VALUE"""),16.1)</f>
        <v>16.1</v>
      </c>
      <c r="C479" s="2" t="n">
        <f aca="false">IFERROR(__xludf.dummyfunction("""COMPUTED_VALUE"""),16.53)</f>
        <v>16.53</v>
      </c>
      <c r="D479" s="2" t="n">
        <f aca="false">IFERROR(__xludf.dummyfunction("""COMPUTED_VALUE"""),16.05)</f>
        <v>16.05</v>
      </c>
      <c r="E479" s="2" t="n">
        <f aca="false">IFERROR(__xludf.dummyfunction("""COMPUTED_VALUE"""),16.52)</f>
        <v>16.52</v>
      </c>
      <c r="F479" s="2" t="n">
        <f aca="false">IFERROR(__xludf.dummyfunction("""COMPUTED_VALUE"""),42724093)</f>
        <v>42724093</v>
      </c>
    </row>
    <row r="480" customFormat="false" ht="15.75" hidden="false" customHeight="false" outlineLevel="0" collapsed="false">
      <c r="A480" s="3" t="n">
        <f aca="false">IFERROR(__xludf.dummyfunction("""COMPUTED_VALUE"""),44890.5451388889)</f>
        <v>44890.5451388889</v>
      </c>
      <c r="B480" s="2" t="n">
        <f aca="false">IFERROR(__xludf.dummyfunction("""COMPUTED_VALUE"""),16.32)</f>
        <v>16.32</v>
      </c>
      <c r="C480" s="2" t="n">
        <f aca="false">IFERROR(__xludf.dummyfunction("""COMPUTED_VALUE"""),16.49)</f>
        <v>16.49</v>
      </c>
      <c r="D480" s="2" t="n">
        <f aca="false">IFERROR(__xludf.dummyfunction("""COMPUTED_VALUE"""),16.17)</f>
        <v>16.17</v>
      </c>
      <c r="E480" s="2" t="n">
        <f aca="false">IFERROR(__xludf.dummyfunction("""COMPUTED_VALUE"""),16.27)</f>
        <v>16.27</v>
      </c>
      <c r="F480" s="2" t="n">
        <f aca="false">IFERROR(__xludf.dummyfunction("""COMPUTED_VALUE"""),16793430)</f>
        <v>16793430</v>
      </c>
    </row>
    <row r="481" customFormat="false" ht="15.75" hidden="false" customHeight="false" outlineLevel="0" collapsed="false">
      <c r="A481" s="3" t="n">
        <f aca="false">IFERROR(__xludf.dummyfunction("""COMPUTED_VALUE"""),44893.6666666667)</f>
        <v>44893.6666666667</v>
      </c>
      <c r="B481" s="2" t="n">
        <f aca="false">IFERROR(__xludf.dummyfunction("""COMPUTED_VALUE"""),16.03)</f>
        <v>16.03</v>
      </c>
      <c r="C481" s="2" t="n">
        <f aca="false">IFERROR(__xludf.dummyfunction("""COMPUTED_VALUE"""),16.36)</f>
        <v>16.36</v>
      </c>
      <c r="D481" s="2" t="n">
        <f aca="false">IFERROR(__xludf.dummyfunction("""COMPUTED_VALUE"""),15.73)</f>
        <v>15.73</v>
      </c>
      <c r="E481" s="2" t="n">
        <f aca="false">IFERROR(__xludf.dummyfunction("""COMPUTED_VALUE"""),15.83)</f>
        <v>15.83</v>
      </c>
      <c r="F481" s="2" t="n">
        <f aca="false">IFERROR(__xludf.dummyfunction("""COMPUTED_VALUE"""),30415201)</f>
        <v>30415201</v>
      </c>
    </row>
    <row r="482" customFormat="false" ht="15.75" hidden="false" customHeight="false" outlineLevel="0" collapsed="false">
      <c r="A482" s="3" t="n">
        <f aca="false">IFERROR(__xludf.dummyfunction("""COMPUTED_VALUE"""),44894.6666666667)</f>
        <v>44894.6666666667</v>
      </c>
      <c r="B482" s="2" t="n">
        <f aca="false">IFERROR(__xludf.dummyfunction("""COMPUTED_VALUE"""),15.83)</f>
        <v>15.83</v>
      </c>
      <c r="C482" s="2" t="n">
        <f aca="false">IFERROR(__xludf.dummyfunction("""COMPUTED_VALUE"""),15.93)</f>
        <v>15.93</v>
      </c>
      <c r="D482" s="2" t="n">
        <f aca="false">IFERROR(__xludf.dummyfunction("""COMPUTED_VALUE"""),15.52)</f>
        <v>15.52</v>
      </c>
      <c r="E482" s="2" t="n">
        <f aca="false">IFERROR(__xludf.dummyfunction("""COMPUTED_VALUE"""),15.64)</f>
        <v>15.64</v>
      </c>
      <c r="F482" s="2" t="n">
        <f aca="false">IFERROR(__xludf.dummyfunction("""COMPUTED_VALUE"""),29838449)</f>
        <v>29838449</v>
      </c>
    </row>
    <row r="483" customFormat="false" ht="15.75" hidden="false" customHeight="false" outlineLevel="0" collapsed="false">
      <c r="A483" s="3" t="n">
        <f aca="false">IFERROR(__xludf.dummyfunction("""COMPUTED_VALUE"""),44895.6666666667)</f>
        <v>44895.6666666667</v>
      </c>
      <c r="B483" s="2" t="n">
        <f aca="false">IFERROR(__xludf.dummyfunction("""COMPUTED_VALUE"""),15.7)</f>
        <v>15.7</v>
      </c>
      <c r="C483" s="2" t="n">
        <f aca="false">IFERROR(__xludf.dummyfunction("""COMPUTED_VALUE"""),16.93)</f>
        <v>16.93</v>
      </c>
      <c r="D483" s="2" t="n">
        <f aca="false">IFERROR(__xludf.dummyfunction("""COMPUTED_VALUE"""),15.6)</f>
        <v>15.6</v>
      </c>
      <c r="E483" s="2" t="n">
        <f aca="false">IFERROR(__xludf.dummyfunction("""COMPUTED_VALUE"""),16.92)</f>
        <v>16.92</v>
      </c>
      <c r="F483" s="2" t="n">
        <f aca="false">IFERROR(__xludf.dummyfunction("""COMPUTED_VALUE"""),56529822)</f>
        <v>56529822</v>
      </c>
    </row>
    <row r="484" customFormat="false" ht="15.75" hidden="false" customHeight="false" outlineLevel="0" collapsed="false">
      <c r="A484" s="3" t="n">
        <f aca="false">IFERROR(__xludf.dummyfunction("""COMPUTED_VALUE"""),44896.6666666667)</f>
        <v>44896.6666666667</v>
      </c>
      <c r="B484" s="2" t="n">
        <f aca="false">IFERROR(__xludf.dummyfunction("""COMPUTED_VALUE"""),17)</f>
        <v>17</v>
      </c>
      <c r="C484" s="2" t="n">
        <f aca="false">IFERROR(__xludf.dummyfunction("""COMPUTED_VALUE"""),17.27)</f>
        <v>17.27</v>
      </c>
      <c r="D484" s="2" t="n">
        <f aca="false">IFERROR(__xludf.dummyfunction("""COMPUTED_VALUE"""),16.64)</f>
        <v>16.64</v>
      </c>
      <c r="E484" s="2" t="n">
        <f aca="false">IFERROR(__xludf.dummyfunction("""COMPUTED_VALUE"""),17.14)</f>
        <v>17.14</v>
      </c>
      <c r="F484" s="2" t="n">
        <f aca="false">IFERROR(__xludf.dummyfunction("""COMPUTED_VALUE"""),47097657)</f>
        <v>47097657</v>
      </c>
    </row>
    <row r="485" customFormat="false" ht="15.75" hidden="false" customHeight="false" outlineLevel="0" collapsed="false">
      <c r="A485" s="3" t="n">
        <f aca="false">IFERROR(__xludf.dummyfunction("""COMPUTED_VALUE"""),44897.6666666667)</f>
        <v>44897.6666666667</v>
      </c>
      <c r="B485" s="2" t="n">
        <f aca="false">IFERROR(__xludf.dummyfunction("""COMPUTED_VALUE"""),16.66)</f>
        <v>16.66</v>
      </c>
      <c r="C485" s="2" t="n">
        <f aca="false">IFERROR(__xludf.dummyfunction("""COMPUTED_VALUE"""),16.93)</f>
        <v>16.93</v>
      </c>
      <c r="D485" s="2" t="n">
        <f aca="false">IFERROR(__xludf.dummyfunction("""COMPUTED_VALUE"""),16.45)</f>
        <v>16.45</v>
      </c>
      <c r="E485" s="2" t="n">
        <f aca="false">IFERROR(__xludf.dummyfunction("""COMPUTED_VALUE"""),16.88)</f>
        <v>16.88</v>
      </c>
      <c r="F485" s="2" t="n">
        <f aca="false">IFERROR(__xludf.dummyfunction("""COMPUTED_VALUE"""),37138858)</f>
        <v>37138858</v>
      </c>
    </row>
    <row r="486" customFormat="false" ht="15.75" hidden="false" customHeight="false" outlineLevel="0" collapsed="false">
      <c r="A486" s="3" t="n">
        <f aca="false">IFERROR(__xludf.dummyfunction("""COMPUTED_VALUE"""),44900.6666666667)</f>
        <v>44900.6666666667</v>
      </c>
      <c r="B486" s="2" t="n">
        <f aca="false">IFERROR(__xludf.dummyfunction("""COMPUTED_VALUE"""),16.68)</f>
        <v>16.68</v>
      </c>
      <c r="C486" s="2" t="n">
        <f aca="false">IFERROR(__xludf.dummyfunction("""COMPUTED_VALUE"""),17)</f>
        <v>17</v>
      </c>
      <c r="D486" s="2" t="n">
        <f aca="false">IFERROR(__xludf.dummyfunction("""COMPUTED_VALUE"""),16.47)</f>
        <v>16.47</v>
      </c>
      <c r="E486" s="2" t="n">
        <f aca="false">IFERROR(__xludf.dummyfunction("""COMPUTED_VALUE"""),16.61)</f>
        <v>16.61</v>
      </c>
      <c r="F486" s="2" t="n">
        <f aca="false">IFERROR(__xludf.dummyfunction("""COMPUTED_VALUE"""),35225517)</f>
        <v>35225517</v>
      </c>
    </row>
    <row r="487" customFormat="false" ht="15.75" hidden="false" customHeight="false" outlineLevel="0" collapsed="false">
      <c r="A487" s="3" t="n">
        <f aca="false">IFERROR(__xludf.dummyfunction("""COMPUTED_VALUE"""),44901.6666666667)</f>
        <v>44901.6666666667</v>
      </c>
      <c r="B487" s="2" t="n">
        <f aca="false">IFERROR(__xludf.dummyfunction("""COMPUTED_VALUE"""),16.53)</f>
        <v>16.53</v>
      </c>
      <c r="C487" s="2" t="n">
        <f aca="false">IFERROR(__xludf.dummyfunction("""COMPUTED_VALUE"""),16.57)</f>
        <v>16.57</v>
      </c>
      <c r="D487" s="2" t="n">
        <f aca="false">IFERROR(__xludf.dummyfunction("""COMPUTED_VALUE"""),15.82)</f>
        <v>15.82</v>
      </c>
      <c r="E487" s="2" t="n">
        <f aca="false">IFERROR(__xludf.dummyfunction("""COMPUTED_VALUE"""),15.99)</f>
        <v>15.99</v>
      </c>
      <c r="F487" s="2" t="n">
        <f aca="false">IFERROR(__xludf.dummyfunction("""COMPUTED_VALUE"""),35269427)</f>
        <v>35269427</v>
      </c>
    </row>
    <row r="488" customFormat="false" ht="15.75" hidden="false" customHeight="false" outlineLevel="0" collapsed="false">
      <c r="A488" s="3" t="n">
        <f aca="false">IFERROR(__xludf.dummyfunction("""COMPUTED_VALUE"""),44902.6666666667)</f>
        <v>44902.6666666667</v>
      </c>
      <c r="B488" s="2" t="n">
        <f aca="false">IFERROR(__xludf.dummyfunction("""COMPUTED_VALUE"""),15.77)</f>
        <v>15.77</v>
      </c>
      <c r="C488" s="2" t="n">
        <f aca="false">IFERROR(__xludf.dummyfunction("""COMPUTED_VALUE"""),16.19)</f>
        <v>16.19</v>
      </c>
      <c r="D488" s="2" t="n">
        <f aca="false">IFERROR(__xludf.dummyfunction("""COMPUTED_VALUE"""),15.67)</f>
        <v>15.67</v>
      </c>
      <c r="E488" s="2" t="n">
        <f aca="false">IFERROR(__xludf.dummyfunction("""COMPUTED_VALUE"""),16.12)</f>
        <v>16.12</v>
      </c>
      <c r="F488" s="2" t="n">
        <f aca="false">IFERROR(__xludf.dummyfunction("""COMPUTED_VALUE"""),37238758)</f>
        <v>37238758</v>
      </c>
    </row>
    <row r="489" customFormat="false" ht="15.75" hidden="false" customHeight="false" outlineLevel="0" collapsed="false">
      <c r="A489" s="3" t="n">
        <f aca="false">IFERROR(__xludf.dummyfunction("""COMPUTED_VALUE"""),44903.6666666667)</f>
        <v>44903.6666666667</v>
      </c>
      <c r="B489" s="2" t="n">
        <f aca="false">IFERROR(__xludf.dummyfunction("""COMPUTED_VALUE"""),16.27)</f>
        <v>16.27</v>
      </c>
      <c r="C489" s="2" t="n">
        <f aca="false">IFERROR(__xludf.dummyfunction("""COMPUTED_VALUE"""),17.18)</f>
        <v>17.18</v>
      </c>
      <c r="D489" s="2" t="n">
        <f aca="false">IFERROR(__xludf.dummyfunction("""COMPUTED_VALUE"""),15.96)</f>
        <v>15.96</v>
      </c>
      <c r="E489" s="2" t="n">
        <f aca="false">IFERROR(__xludf.dummyfunction("""COMPUTED_VALUE"""),17.17)</f>
        <v>17.17</v>
      </c>
      <c r="F489" s="2" t="n">
        <f aca="false">IFERROR(__xludf.dummyfunction("""COMPUTED_VALUE"""),51545554)</f>
        <v>51545554</v>
      </c>
    </row>
    <row r="490" customFormat="false" ht="15.75" hidden="false" customHeight="false" outlineLevel="0" collapsed="false">
      <c r="A490" s="3" t="n">
        <f aca="false">IFERROR(__xludf.dummyfunction("""COMPUTED_VALUE"""),44904.6666666667)</f>
        <v>44904.6666666667</v>
      </c>
      <c r="B490" s="2" t="n">
        <f aca="false">IFERROR(__xludf.dummyfunction("""COMPUTED_VALUE"""),17.16)</f>
        <v>17.16</v>
      </c>
      <c r="C490" s="2" t="n">
        <f aca="false">IFERROR(__xludf.dummyfunction("""COMPUTED_VALUE"""),17.58)</f>
        <v>17.58</v>
      </c>
      <c r="D490" s="2" t="n">
        <f aca="false">IFERROR(__xludf.dummyfunction("""COMPUTED_VALUE"""),16.98)</f>
        <v>16.98</v>
      </c>
      <c r="E490" s="2" t="n">
        <f aca="false">IFERROR(__xludf.dummyfunction("""COMPUTED_VALUE"""),17)</f>
        <v>17</v>
      </c>
      <c r="F490" s="2" t="n">
        <f aca="false">IFERROR(__xludf.dummyfunction("""COMPUTED_VALUE"""),46533819)</f>
        <v>46533819</v>
      </c>
    </row>
    <row r="491" customFormat="false" ht="15.75" hidden="false" customHeight="false" outlineLevel="0" collapsed="false">
      <c r="A491" s="3" t="n">
        <f aca="false">IFERROR(__xludf.dummyfunction("""COMPUTED_VALUE"""),44907.6666666667)</f>
        <v>44907.6666666667</v>
      </c>
      <c r="B491" s="2" t="n">
        <f aca="false">IFERROR(__xludf.dummyfunction("""COMPUTED_VALUE"""),17.04)</f>
        <v>17.04</v>
      </c>
      <c r="C491" s="2" t="n">
        <f aca="false">IFERROR(__xludf.dummyfunction("""COMPUTED_VALUE"""),17.54)</f>
        <v>17.54</v>
      </c>
      <c r="D491" s="2" t="n">
        <f aca="false">IFERROR(__xludf.dummyfunction("""COMPUTED_VALUE"""),16.8)</f>
        <v>16.8</v>
      </c>
      <c r="E491" s="2" t="n">
        <f aca="false">IFERROR(__xludf.dummyfunction("""COMPUTED_VALUE"""),17.54)</f>
        <v>17.54</v>
      </c>
      <c r="F491" s="2" t="n">
        <f aca="false">IFERROR(__xludf.dummyfunction("""COMPUTED_VALUE"""),45732780)</f>
        <v>45732780</v>
      </c>
    </row>
    <row r="492" customFormat="false" ht="15.75" hidden="false" customHeight="false" outlineLevel="0" collapsed="false">
      <c r="A492" s="3" t="n">
        <f aca="false">IFERROR(__xludf.dummyfunction("""COMPUTED_VALUE"""),44908.6666666667)</f>
        <v>44908.6666666667</v>
      </c>
      <c r="B492" s="2" t="n">
        <f aca="false">IFERROR(__xludf.dummyfunction("""COMPUTED_VALUE"""),18.53)</f>
        <v>18.53</v>
      </c>
      <c r="C492" s="2" t="n">
        <f aca="false">IFERROR(__xludf.dummyfunction("""COMPUTED_VALUE"""),18.79)</f>
        <v>18.79</v>
      </c>
      <c r="D492" s="2" t="n">
        <f aca="false">IFERROR(__xludf.dummyfunction("""COMPUTED_VALUE"""),17.71)</f>
        <v>17.71</v>
      </c>
      <c r="E492" s="2" t="n">
        <f aca="false">IFERROR(__xludf.dummyfunction("""COMPUTED_VALUE"""),18.07)</f>
        <v>18.07</v>
      </c>
      <c r="F492" s="2" t="n">
        <f aca="false">IFERROR(__xludf.dummyfunction("""COMPUTED_VALUE"""),65658876)</f>
        <v>65658876</v>
      </c>
    </row>
    <row r="493" customFormat="false" ht="15.75" hidden="false" customHeight="false" outlineLevel="0" collapsed="false">
      <c r="A493" s="3" t="n">
        <f aca="false">IFERROR(__xludf.dummyfunction("""COMPUTED_VALUE"""),44909.6666666667)</f>
        <v>44909.6666666667</v>
      </c>
      <c r="B493" s="2" t="n">
        <f aca="false">IFERROR(__xludf.dummyfunction("""COMPUTED_VALUE"""),17.99)</f>
        <v>17.99</v>
      </c>
      <c r="C493" s="2" t="n">
        <f aca="false">IFERROR(__xludf.dummyfunction("""COMPUTED_VALUE"""),18.25)</f>
        <v>18.25</v>
      </c>
      <c r="D493" s="2" t="n">
        <f aca="false">IFERROR(__xludf.dummyfunction("""COMPUTED_VALUE"""),17.42)</f>
        <v>17.42</v>
      </c>
      <c r="E493" s="2" t="n">
        <f aca="false">IFERROR(__xludf.dummyfunction("""COMPUTED_VALUE"""),17.67)</f>
        <v>17.67</v>
      </c>
      <c r="F493" s="2" t="n">
        <f aca="false">IFERROR(__xludf.dummyfunction("""COMPUTED_VALUE"""),49688810)</f>
        <v>49688810</v>
      </c>
    </row>
    <row r="494" customFormat="false" ht="15.75" hidden="false" customHeight="false" outlineLevel="0" collapsed="false">
      <c r="A494" s="3" t="n">
        <f aca="false">IFERROR(__xludf.dummyfunction("""COMPUTED_VALUE"""),44910.6666666667)</f>
        <v>44910.6666666667</v>
      </c>
      <c r="B494" s="2" t="n">
        <f aca="false">IFERROR(__xludf.dummyfunction("""COMPUTED_VALUE"""),17.15)</f>
        <v>17.15</v>
      </c>
      <c r="C494" s="2" t="n">
        <f aca="false">IFERROR(__xludf.dummyfunction("""COMPUTED_VALUE"""),17.32)</f>
        <v>17.32</v>
      </c>
      <c r="D494" s="2" t="n">
        <f aca="false">IFERROR(__xludf.dummyfunction("""COMPUTED_VALUE"""),16.7)</f>
        <v>16.7</v>
      </c>
      <c r="E494" s="2" t="n">
        <f aca="false">IFERROR(__xludf.dummyfunction("""COMPUTED_VALUE"""),16.95)</f>
        <v>16.95</v>
      </c>
      <c r="F494" s="2" t="n">
        <f aca="false">IFERROR(__xludf.dummyfunction("""COMPUTED_VALUE"""),47854210)</f>
        <v>47854210</v>
      </c>
    </row>
    <row r="495" customFormat="false" ht="15.75" hidden="false" customHeight="false" outlineLevel="0" collapsed="false">
      <c r="A495" s="3" t="n">
        <f aca="false">IFERROR(__xludf.dummyfunction("""COMPUTED_VALUE"""),44911.6666666667)</f>
        <v>44911.6666666667</v>
      </c>
      <c r="B495" s="2" t="n">
        <f aca="false">IFERROR(__xludf.dummyfunction("""COMPUTED_VALUE"""),16.86)</f>
        <v>16.86</v>
      </c>
      <c r="C495" s="2" t="n">
        <f aca="false">IFERROR(__xludf.dummyfunction("""COMPUTED_VALUE"""),17.04)</f>
        <v>17.04</v>
      </c>
      <c r="D495" s="2" t="n">
        <f aca="false">IFERROR(__xludf.dummyfunction("""COMPUTED_VALUE"""),16.41)</f>
        <v>16.41</v>
      </c>
      <c r="E495" s="2" t="n">
        <f aca="false">IFERROR(__xludf.dummyfunction("""COMPUTED_VALUE"""),16.57)</f>
        <v>16.57</v>
      </c>
      <c r="F495" s="2" t="n">
        <f aca="false">IFERROR(__xludf.dummyfunction("""COMPUTED_VALUE"""),47823193)</f>
        <v>47823193</v>
      </c>
    </row>
    <row r="496" customFormat="false" ht="15.75" hidden="false" customHeight="false" outlineLevel="0" collapsed="false">
      <c r="A496" s="3" t="n">
        <f aca="false">IFERROR(__xludf.dummyfunction("""COMPUTED_VALUE"""),44914.6666666667)</f>
        <v>44914.6666666667</v>
      </c>
      <c r="B496" s="2" t="n">
        <f aca="false">IFERROR(__xludf.dummyfunction("""COMPUTED_VALUE"""),16.57)</f>
        <v>16.57</v>
      </c>
      <c r="C496" s="2" t="n">
        <f aca="false">IFERROR(__xludf.dummyfunction("""COMPUTED_VALUE"""),16.61)</f>
        <v>16.61</v>
      </c>
      <c r="D496" s="2" t="n">
        <f aca="false">IFERROR(__xludf.dummyfunction("""COMPUTED_VALUE"""),16.15)</f>
        <v>16.15</v>
      </c>
      <c r="E496" s="2" t="n">
        <f aca="false">IFERROR(__xludf.dummyfunction("""COMPUTED_VALUE"""),16.25)</f>
        <v>16.25</v>
      </c>
      <c r="F496" s="2" t="n">
        <f aca="false">IFERROR(__xludf.dummyfunction("""COMPUTED_VALUE"""),35403877)</f>
        <v>35403877</v>
      </c>
    </row>
    <row r="497" customFormat="false" ht="15.75" hidden="false" customHeight="false" outlineLevel="0" collapsed="false">
      <c r="A497" s="3" t="n">
        <f aca="false">IFERROR(__xludf.dummyfunction("""COMPUTED_VALUE"""),44915.6666666667)</f>
        <v>44915.6666666667</v>
      </c>
      <c r="B497" s="2" t="n">
        <f aca="false">IFERROR(__xludf.dummyfunction("""COMPUTED_VALUE"""),16.06)</f>
        <v>16.06</v>
      </c>
      <c r="C497" s="2" t="n">
        <f aca="false">IFERROR(__xludf.dummyfunction("""COMPUTED_VALUE"""),16.31)</f>
        <v>16.31</v>
      </c>
      <c r="D497" s="2" t="n">
        <f aca="false">IFERROR(__xludf.dummyfunction("""COMPUTED_VALUE"""),15.85)</f>
        <v>15.85</v>
      </c>
      <c r="E497" s="2" t="n">
        <f aca="false">IFERROR(__xludf.dummyfunction("""COMPUTED_VALUE"""),16.09)</f>
        <v>16.09</v>
      </c>
      <c r="F497" s="2" t="n">
        <f aca="false">IFERROR(__xludf.dummyfunction("""COMPUTED_VALUE"""),40325979)</f>
        <v>40325979</v>
      </c>
    </row>
    <row r="498" customFormat="false" ht="15.75" hidden="false" customHeight="false" outlineLevel="0" collapsed="false">
      <c r="A498" s="3" t="n">
        <f aca="false">IFERROR(__xludf.dummyfunction("""COMPUTED_VALUE"""),44916.6666666667)</f>
        <v>44916.6666666667</v>
      </c>
      <c r="B498" s="2" t="n">
        <f aca="false">IFERROR(__xludf.dummyfunction("""COMPUTED_VALUE"""),16.11)</f>
        <v>16.11</v>
      </c>
      <c r="C498" s="2" t="n">
        <f aca="false">IFERROR(__xludf.dummyfunction("""COMPUTED_VALUE"""),16.63)</f>
        <v>16.63</v>
      </c>
      <c r="D498" s="2" t="n">
        <f aca="false">IFERROR(__xludf.dummyfunction("""COMPUTED_VALUE"""),16.1)</f>
        <v>16.1</v>
      </c>
      <c r="E498" s="2" t="n">
        <f aca="false">IFERROR(__xludf.dummyfunction("""COMPUTED_VALUE"""),16.5)</f>
        <v>16.5</v>
      </c>
      <c r="F498" s="2" t="n">
        <f aca="false">IFERROR(__xludf.dummyfunction("""COMPUTED_VALUE"""),32502538)</f>
        <v>32502538</v>
      </c>
    </row>
    <row r="499" customFormat="false" ht="15.75" hidden="false" customHeight="false" outlineLevel="0" collapsed="false">
      <c r="A499" s="3" t="n">
        <f aca="false">IFERROR(__xludf.dummyfunction("""COMPUTED_VALUE"""),44917.6666666667)</f>
        <v>44917.6666666667</v>
      </c>
      <c r="B499" s="2" t="n">
        <f aca="false">IFERROR(__xludf.dummyfunction("""COMPUTED_VALUE"""),16.09)</f>
        <v>16.09</v>
      </c>
      <c r="C499" s="2" t="n">
        <f aca="false">IFERROR(__xludf.dummyfunction("""COMPUTED_VALUE"""),16.14)</f>
        <v>16.14</v>
      </c>
      <c r="D499" s="2" t="n">
        <f aca="false">IFERROR(__xludf.dummyfunction("""COMPUTED_VALUE"""),14.88)</f>
        <v>14.88</v>
      </c>
      <c r="E499" s="2" t="n">
        <f aca="false">IFERROR(__xludf.dummyfunction("""COMPUTED_VALUE"""),15.34)</f>
        <v>15.34</v>
      </c>
      <c r="F499" s="2" t="n">
        <f aca="false">IFERROR(__xludf.dummyfunction("""COMPUTED_VALUE"""),56504527)</f>
        <v>56504527</v>
      </c>
    </row>
    <row r="500" customFormat="false" ht="15.75" hidden="false" customHeight="false" outlineLevel="0" collapsed="false">
      <c r="A500" s="3" t="n">
        <f aca="false">IFERROR(__xludf.dummyfunction("""COMPUTED_VALUE"""),44918.6666666667)</f>
        <v>44918.6666666667</v>
      </c>
      <c r="B500" s="2" t="n">
        <f aca="false">IFERROR(__xludf.dummyfunction("""COMPUTED_VALUE"""),15.2)</f>
        <v>15.2</v>
      </c>
      <c r="C500" s="2" t="n">
        <f aca="false">IFERROR(__xludf.dummyfunction("""COMPUTED_VALUE"""),15.34)</f>
        <v>15.34</v>
      </c>
      <c r="D500" s="2" t="n">
        <f aca="false">IFERROR(__xludf.dummyfunction("""COMPUTED_VALUE"""),14.88)</f>
        <v>14.88</v>
      </c>
      <c r="E500" s="2" t="n">
        <f aca="false">IFERROR(__xludf.dummyfunction("""COMPUTED_VALUE"""),15.21)</f>
        <v>15.21</v>
      </c>
      <c r="F500" s="2" t="n">
        <f aca="false">IFERROR(__xludf.dummyfunction("""COMPUTED_VALUE"""),34932563)</f>
        <v>34932563</v>
      </c>
    </row>
    <row r="501" customFormat="false" ht="15.75" hidden="false" customHeight="false" outlineLevel="0" collapsed="false">
      <c r="A501" s="3" t="n">
        <f aca="false">IFERROR(__xludf.dummyfunction("""COMPUTED_VALUE"""),44922.6666666667)</f>
        <v>44922.6666666667</v>
      </c>
      <c r="B501" s="2" t="n">
        <f aca="false">IFERROR(__xludf.dummyfunction("""COMPUTED_VALUE"""),15.07)</f>
        <v>15.07</v>
      </c>
      <c r="C501" s="2" t="n">
        <f aca="false">IFERROR(__xludf.dummyfunction("""COMPUTED_VALUE"""),15.1)</f>
        <v>15.1</v>
      </c>
      <c r="D501" s="2" t="n">
        <f aca="false">IFERROR(__xludf.dummyfunction("""COMPUTED_VALUE"""),14.06)</f>
        <v>14.06</v>
      </c>
      <c r="E501" s="2" t="n">
        <f aca="false">IFERROR(__xludf.dummyfunction("""COMPUTED_VALUE"""),14.12)</f>
        <v>14.12</v>
      </c>
      <c r="F501" s="2" t="n">
        <f aca="false">IFERROR(__xludf.dummyfunction("""COMPUTED_VALUE"""),46490226)</f>
        <v>46490226</v>
      </c>
    </row>
    <row r="502" customFormat="false" ht="15.75" hidden="false" customHeight="false" outlineLevel="0" collapsed="false">
      <c r="A502" s="3" t="n">
        <f aca="false">IFERROR(__xludf.dummyfunction("""COMPUTED_VALUE"""),44923.6666666667)</f>
        <v>44923.6666666667</v>
      </c>
      <c r="B502" s="2" t="n">
        <f aca="false">IFERROR(__xludf.dummyfunction("""COMPUTED_VALUE"""),13.93)</f>
        <v>13.93</v>
      </c>
      <c r="C502" s="2" t="n">
        <f aca="false">IFERROR(__xludf.dummyfunction("""COMPUTED_VALUE"""),14.26)</f>
        <v>14.26</v>
      </c>
      <c r="D502" s="2" t="n">
        <f aca="false">IFERROR(__xludf.dummyfunction("""COMPUTED_VALUE"""),13.88)</f>
        <v>13.88</v>
      </c>
      <c r="E502" s="2" t="n">
        <f aca="false">IFERROR(__xludf.dummyfunction("""COMPUTED_VALUE"""),14.04)</f>
        <v>14.04</v>
      </c>
      <c r="F502" s="2" t="n">
        <f aca="false">IFERROR(__xludf.dummyfunction("""COMPUTED_VALUE"""),35106645)</f>
        <v>35106645</v>
      </c>
    </row>
    <row r="503" customFormat="false" ht="15.75" hidden="false" customHeight="false" outlineLevel="0" collapsed="false">
      <c r="A503" s="3" t="n">
        <f aca="false">IFERROR(__xludf.dummyfunction("""COMPUTED_VALUE"""),44924.6666666667)</f>
        <v>44924.6666666667</v>
      </c>
      <c r="B503" s="2" t="n">
        <f aca="false">IFERROR(__xludf.dummyfunction("""COMPUTED_VALUE"""),14.4)</f>
        <v>14.4</v>
      </c>
      <c r="C503" s="2" t="n">
        <f aca="false">IFERROR(__xludf.dummyfunction("""COMPUTED_VALUE"""),14.68)</f>
        <v>14.68</v>
      </c>
      <c r="D503" s="2" t="n">
        <f aca="false">IFERROR(__xludf.dummyfunction("""COMPUTED_VALUE"""),14.23)</f>
        <v>14.23</v>
      </c>
      <c r="E503" s="2" t="n">
        <f aca="false">IFERROR(__xludf.dummyfunction("""COMPUTED_VALUE"""),14.6)</f>
        <v>14.6</v>
      </c>
      <c r="F503" s="2" t="n">
        <f aca="false">IFERROR(__xludf.dummyfunction("""COMPUTED_VALUE"""),35492324)</f>
        <v>35492324</v>
      </c>
    </row>
    <row r="504" customFormat="false" ht="15.75" hidden="false" customHeight="false" outlineLevel="0" collapsed="false">
      <c r="A504" s="3" t="n">
        <f aca="false">IFERROR(__xludf.dummyfunction("""COMPUTED_VALUE"""),44925.6666666667)</f>
        <v>44925.6666666667</v>
      </c>
      <c r="B504" s="2" t="n">
        <f aca="false">IFERROR(__xludf.dummyfunction("""COMPUTED_VALUE"""),14.33)</f>
        <v>14.33</v>
      </c>
      <c r="C504" s="2" t="n">
        <f aca="false">IFERROR(__xludf.dummyfunction("""COMPUTED_VALUE"""),14.63)</f>
        <v>14.63</v>
      </c>
      <c r="D504" s="2" t="n">
        <f aca="false">IFERROR(__xludf.dummyfunction("""COMPUTED_VALUE"""),14.23)</f>
        <v>14.23</v>
      </c>
      <c r="E504" s="2" t="n">
        <f aca="false">IFERROR(__xludf.dummyfunction("""COMPUTED_VALUE"""),14.61)</f>
        <v>14.61</v>
      </c>
      <c r="F504" s="2" t="n">
        <f aca="false">IFERROR(__xludf.dummyfunction("""COMPUTED_VALUE"""),31048983)</f>
        <v>31048983</v>
      </c>
    </row>
    <row r="505" customFormat="false" ht="15.75" hidden="false" customHeight="false" outlineLevel="0" collapsed="false">
      <c r="A505" s="3" t="n">
        <f aca="false">IFERROR(__xludf.dummyfunction("""COMPUTED_VALUE"""),44929.6666666667)</f>
        <v>44929.6666666667</v>
      </c>
      <c r="B505" s="2" t="n">
        <f aca="false">IFERROR(__xludf.dummyfunction("""COMPUTED_VALUE"""),14.85)</f>
        <v>14.85</v>
      </c>
      <c r="C505" s="2" t="n">
        <f aca="false">IFERROR(__xludf.dummyfunction("""COMPUTED_VALUE"""),15)</f>
        <v>15</v>
      </c>
      <c r="D505" s="2" t="n">
        <f aca="false">IFERROR(__xludf.dummyfunction("""COMPUTED_VALUE"""),14.1)</f>
        <v>14.1</v>
      </c>
      <c r="E505" s="2" t="n">
        <f aca="false">IFERROR(__xludf.dummyfunction("""COMPUTED_VALUE"""),14.32)</f>
        <v>14.32</v>
      </c>
      <c r="F505" s="2" t="n">
        <f aca="false">IFERROR(__xludf.dummyfunction("""COMPUTED_VALUE"""),40127658)</f>
        <v>40127658</v>
      </c>
    </row>
    <row r="506" customFormat="false" ht="15.75" hidden="false" customHeight="false" outlineLevel="0" collapsed="false">
      <c r="A506" s="3" t="n">
        <f aca="false">IFERROR(__xludf.dummyfunction("""COMPUTED_VALUE"""),44930.6666666667)</f>
        <v>44930.6666666667</v>
      </c>
      <c r="B506" s="2" t="n">
        <f aca="false">IFERROR(__xludf.dummyfunction("""COMPUTED_VALUE"""),14.57)</f>
        <v>14.57</v>
      </c>
      <c r="C506" s="2" t="n">
        <f aca="false">IFERROR(__xludf.dummyfunction("""COMPUTED_VALUE"""),14.85)</f>
        <v>14.85</v>
      </c>
      <c r="D506" s="2" t="n">
        <f aca="false">IFERROR(__xludf.dummyfunction("""COMPUTED_VALUE"""),14.24)</f>
        <v>14.24</v>
      </c>
      <c r="E506" s="2" t="n">
        <f aca="false">IFERROR(__xludf.dummyfunction("""COMPUTED_VALUE"""),14.75)</f>
        <v>14.75</v>
      </c>
      <c r="F506" s="2" t="n">
        <f aca="false">IFERROR(__xludf.dummyfunction("""COMPUTED_VALUE"""),43132360)</f>
        <v>43132360</v>
      </c>
    </row>
    <row r="507" customFormat="false" ht="15.75" hidden="false" customHeight="false" outlineLevel="0" collapsed="false">
      <c r="A507" s="3" t="n">
        <f aca="false">IFERROR(__xludf.dummyfunction("""COMPUTED_VALUE"""),44931.6666666667)</f>
        <v>44931.6666666667</v>
      </c>
      <c r="B507" s="2" t="n">
        <f aca="false">IFERROR(__xludf.dummyfunction("""COMPUTED_VALUE"""),14.49)</f>
        <v>14.49</v>
      </c>
      <c r="C507" s="2" t="n">
        <f aca="false">IFERROR(__xludf.dummyfunction("""COMPUTED_VALUE"""),14.56)</f>
        <v>14.56</v>
      </c>
      <c r="D507" s="2" t="n">
        <f aca="false">IFERROR(__xludf.dummyfunction("""COMPUTED_VALUE"""),14.15)</f>
        <v>14.15</v>
      </c>
      <c r="E507" s="2" t="n">
        <f aca="false">IFERROR(__xludf.dummyfunction("""COMPUTED_VALUE"""),14.27)</f>
        <v>14.27</v>
      </c>
      <c r="F507" s="2" t="n">
        <f aca="false">IFERROR(__xludf.dummyfunction("""COMPUTED_VALUE"""),38916811)</f>
        <v>38916811</v>
      </c>
    </row>
    <row r="508" customFormat="false" ht="15.75" hidden="false" customHeight="false" outlineLevel="0" collapsed="false">
      <c r="A508" s="3" t="n">
        <f aca="false">IFERROR(__xludf.dummyfunction("""COMPUTED_VALUE"""),44932.6666666667)</f>
        <v>44932.6666666667</v>
      </c>
      <c r="B508" s="2" t="n">
        <f aca="false">IFERROR(__xludf.dummyfunction("""COMPUTED_VALUE"""),14.47)</f>
        <v>14.47</v>
      </c>
      <c r="C508" s="2" t="n">
        <f aca="false">IFERROR(__xludf.dummyfunction("""COMPUTED_VALUE"""),15.01)</f>
        <v>15.01</v>
      </c>
      <c r="D508" s="2" t="n">
        <f aca="false">IFERROR(__xludf.dummyfunction("""COMPUTED_VALUE"""),14.03)</f>
        <v>14.03</v>
      </c>
      <c r="E508" s="2" t="n">
        <f aca="false">IFERROR(__xludf.dummyfunction("""COMPUTED_VALUE"""),14.86)</f>
        <v>14.86</v>
      </c>
      <c r="F508" s="2" t="n">
        <f aca="false">IFERROR(__xludf.dummyfunction("""COMPUTED_VALUE"""),40504362)</f>
        <v>40504362</v>
      </c>
    </row>
    <row r="509" customFormat="false" ht="15.75" hidden="false" customHeight="false" outlineLevel="0" collapsed="false">
      <c r="A509" s="3" t="n">
        <f aca="false">IFERROR(__xludf.dummyfunction("""COMPUTED_VALUE"""),44935.6666666667)</f>
        <v>44935.6666666667</v>
      </c>
      <c r="B509" s="2" t="n">
        <f aca="false">IFERROR(__xludf.dummyfunction("""COMPUTED_VALUE"""),15.28)</f>
        <v>15.28</v>
      </c>
      <c r="C509" s="2" t="n">
        <f aca="false">IFERROR(__xludf.dummyfunction("""COMPUTED_VALUE"""),16.06)</f>
        <v>16.06</v>
      </c>
      <c r="D509" s="2" t="n">
        <f aca="false">IFERROR(__xludf.dummyfunction("""COMPUTED_VALUE"""),15.14)</f>
        <v>15.14</v>
      </c>
      <c r="E509" s="2" t="n">
        <f aca="false">IFERROR(__xludf.dummyfunction("""COMPUTED_VALUE"""),15.63)</f>
        <v>15.63</v>
      </c>
      <c r="F509" s="2" t="n">
        <f aca="false">IFERROR(__xludf.dummyfunction("""COMPUTED_VALUE"""),50423056)</f>
        <v>50423056</v>
      </c>
    </row>
    <row r="510" customFormat="false" ht="15.75" hidden="false" customHeight="false" outlineLevel="0" collapsed="false">
      <c r="A510" s="3" t="n">
        <f aca="false">IFERROR(__xludf.dummyfunction("""COMPUTED_VALUE"""),44936.6666666667)</f>
        <v>44936.6666666667</v>
      </c>
      <c r="B510" s="2" t="n">
        <f aca="false">IFERROR(__xludf.dummyfunction("""COMPUTED_VALUE"""),15.51)</f>
        <v>15.51</v>
      </c>
      <c r="C510" s="2" t="n">
        <f aca="false">IFERROR(__xludf.dummyfunction("""COMPUTED_VALUE"""),15.96)</f>
        <v>15.96</v>
      </c>
      <c r="D510" s="2" t="n">
        <f aca="false">IFERROR(__xludf.dummyfunction("""COMPUTED_VALUE"""),15.47)</f>
        <v>15.47</v>
      </c>
      <c r="E510" s="2" t="n">
        <f aca="false">IFERROR(__xludf.dummyfunction("""COMPUTED_VALUE"""),15.91)</f>
        <v>15.91</v>
      </c>
      <c r="F510" s="2" t="n">
        <f aca="false">IFERROR(__xludf.dummyfunction("""COMPUTED_VALUE"""),38410126)</f>
        <v>38410126</v>
      </c>
    </row>
    <row r="511" customFormat="false" ht="15.75" hidden="false" customHeight="false" outlineLevel="0" collapsed="false">
      <c r="A511" s="3" t="n">
        <f aca="false">IFERROR(__xludf.dummyfunction("""COMPUTED_VALUE"""),44937.6666666667)</f>
        <v>44937.6666666667</v>
      </c>
      <c r="B511" s="2" t="n">
        <f aca="false">IFERROR(__xludf.dummyfunction("""COMPUTED_VALUE"""),15.84)</f>
        <v>15.84</v>
      </c>
      <c r="C511" s="2" t="n">
        <f aca="false">IFERROR(__xludf.dummyfunction("""COMPUTED_VALUE"""),16.03)</f>
        <v>16.03</v>
      </c>
      <c r="D511" s="2" t="n">
        <f aca="false">IFERROR(__xludf.dummyfunction("""COMPUTED_VALUE"""),15.56)</f>
        <v>15.56</v>
      </c>
      <c r="E511" s="2" t="n">
        <f aca="false">IFERROR(__xludf.dummyfunction("""COMPUTED_VALUE"""),16)</f>
        <v>16</v>
      </c>
      <c r="F511" s="2" t="n">
        <f aca="false">IFERROR(__xludf.dummyfunction("""COMPUTED_VALUE"""),35328493)</f>
        <v>35328493</v>
      </c>
    </row>
    <row r="512" customFormat="false" ht="15.75" hidden="false" customHeight="false" outlineLevel="0" collapsed="false">
      <c r="A512" s="3" t="n">
        <f aca="false">IFERROR(__xludf.dummyfunction("""COMPUTED_VALUE"""),44938.6666666667)</f>
        <v>44938.6666666667</v>
      </c>
      <c r="B512" s="2" t="n">
        <f aca="false">IFERROR(__xludf.dummyfunction("""COMPUTED_VALUE"""),16.1)</f>
        <v>16.1</v>
      </c>
      <c r="C512" s="2" t="n">
        <f aca="false">IFERROR(__xludf.dummyfunction("""COMPUTED_VALUE"""),16.64)</f>
        <v>16.64</v>
      </c>
      <c r="D512" s="2" t="n">
        <f aca="false">IFERROR(__xludf.dummyfunction("""COMPUTED_VALUE"""),15.49)</f>
        <v>15.49</v>
      </c>
      <c r="E512" s="2" t="n">
        <f aca="false">IFERROR(__xludf.dummyfunction("""COMPUTED_VALUE"""),16.51)</f>
        <v>16.51</v>
      </c>
      <c r="F512" s="2" t="n">
        <f aca="false">IFERROR(__xludf.dummyfunction("""COMPUTED_VALUE"""),55140906)</f>
        <v>55140906</v>
      </c>
    </row>
    <row r="513" customFormat="false" ht="15.75" hidden="false" customHeight="false" outlineLevel="0" collapsed="false">
      <c r="A513" s="3" t="n">
        <f aca="false">IFERROR(__xludf.dummyfunction("""COMPUTED_VALUE"""),44939.6666666667)</f>
        <v>44939.6666666667</v>
      </c>
      <c r="B513" s="2" t="n">
        <f aca="false">IFERROR(__xludf.dummyfunction("""COMPUTED_VALUE"""),16.28)</f>
        <v>16.28</v>
      </c>
      <c r="C513" s="2" t="n">
        <f aca="false">IFERROR(__xludf.dummyfunction("""COMPUTED_VALUE"""),16.92)</f>
        <v>16.92</v>
      </c>
      <c r="D513" s="2" t="n">
        <f aca="false">IFERROR(__xludf.dummyfunction("""COMPUTED_VALUE"""),16.17)</f>
        <v>16.17</v>
      </c>
      <c r="E513" s="2" t="n">
        <f aca="false">IFERROR(__xludf.dummyfunction("""COMPUTED_VALUE"""),16.9)</f>
        <v>16.9</v>
      </c>
      <c r="F513" s="2" t="n">
        <f aca="false">IFERROR(__xludf.dummyfunction("""COMPUTED_VALUE"""),44728706)</f>
        <v>44728706</v>
      </c>
    </row>
    <row r="514" customFormat="false" ht="15.75" hidden="false" customHeight="false" outlineLevel="0" collapsed="false">
      <c r="A514" s="3" t="n">
        <f aca="false">IFERROR(__xludf.dummyfunction("""COMPUTED_VALUE"""),44943.6666666667)</f>
        <v>44943.6666666667</v>
      </c>
      <c r="B514" s="2" t="n">
        <f aca="false">IFERROR(__xludf.dummyfunction("""COMPUTED_VALUE"""),16.9)</f>
        <v>16.9</v>
      </c>
      <c r="C514" s="2" t="n">
        <f aca="false">IFERROR(__xludf.dummyfunction("""COMPUTED_VALUE"""),17.73)</f>
        <v>17.73</v>
      </c>
      <c r="D514" s="2" t="n">
        <f aca="false">IFERROR(__xludf.dummyfunction("""COMPUTED_VALUE"""),16.9)</f>
        <v>16.9</v>
      </c>
      <c r="E514" s="2" t="n">
        <f aca="false">IFERROR(__xludf.dummyfunction("""COMPUTED_VALUE"""),17.7)</f>
        <v>17.7</v>
      </c>
      <c r="F514" s="2" t="n">
        <f aca="false">IFERROR(__xludf.dummyfunction("""COMPUTED_VALUE"""),51110216)</f>
        <v>51110216</v>
      </c>
    </row>
    <row r="515" customFormat="false" ht="15.75" hidden="false" customHeight="false" outlineLevel="0" collapsed="false">
      <c r="A515" s="3" t="n">
        <f aca="false">IFERROR(__xludf.dummyfunction("""COMPUTED_VALUE"""),44944.6666666667)</f>
        <v>44944.6666666667</v>
      </c>
      <c r="B515" s="2" t="n">
        <f aca="false">IFERROR(__xludf.dummyfunction("""COMPUTED_VALUE"""),17.67)</f>
        <v>17.67</v>
      </c>
      <c r="C515" s="2" t="n">
        <f aca="false">IFERROR(__xludf.dummyfunction("""COMPUTED_VALUE"""),17.87)</f>
        <v>17.87</v>
      </c>
      <c r="D515" s="2" t="n">
        <f aca="false">IFERROR(__xludf.dummyfunction("""COMPUTED_VALUE"""),17.28)</f>
        <v>17.28</v>
      </c>
      <c r="E515" s="2" t="n">
        <f aca="false">IFERROR(__xludf.dummyfunction("""COMPUTED_VALUE"""),17.38)</f>
        <v>17.38</v>
      </c>
      <c r="F515" s="2" t="n">
        <f aca="false">IFERROR(__xludf.dummyfunction("""COMPUTED_VALUE"""),43962355)</f>
        <v>43962355</v>
      </c>
    </row>
    <row r="516" customFormat="false" ht="15.75" hidden="false" customHeight="false" outlineLevel="0" collapsed="false">
      <c r="A516" s="3" t="n">
        <f aca="false">IFERROR(__xludf.dummyfunction("""COMPUTED_VALUE"""),44945.6666666667)</f>
        <v>44945.6666666667</v>
      </c>
      <c r="B516" s="2" t="n">
        <f aca="false">IFERROR(__xludf.dummyfunction("""COMPUTED_VALUE"""),17.04)</f>
        <v>17.04</v>
      </c>
      <c r="C516" s="2" t="n">
        <f aca="false">IFERROR(__xludf.dummyfunction("""COMPUTED_VALUE"""),17.2)</f>
        <v>17.2</v>
      </c>
      <c r="D516" s="2" t="n">
        <f aca="false">IFERROR(__xludf.dummyfunction("""COMPUTED_VALUE"""),16.73)</f>
        <v>16.73</v>
      </c>
      <c r="E516" s="2" t="n">
        <f aca="false">IFERROR(__xludf.dummyfunction("""COMPUTED_VALUE"""),16.77)</f>
        <v>16.77</v>
      </c>
      <c r="F516" s="2" t="n">
        <f aca="false">IFERROR(__xludf.dummyfunction("""COMPUTED_VALUE"""),45293160)</f>
        <v>45293160</v>
      </c>
    </row>
    <row r="517" customFormat="false" ht="15.75" hidden="false" customHeight="false" outlineLevel="0" collapsed="false">
      <c r="A517" s="3" t="n">
        <f aca="false">IFERROR(__xludf.dummyfunction("""COMPUTED_VALUE"""),44946.6666666667)</f>
        <v>44946.6666666667</v>
      </c>
      <c r="B517" s="2" t="n">
        <f aca="false">IFERROR(__xludf.dummyfunction("""COMPUTED_VALUE"""),17.01)</f>
        <v>17.01</v>
      </c>
      <c r="C517" s="2" t="n">
        <f aca="false">IFERROR(__xludf.dummyfunction("""COMPUTED_VALUE"""),17.86)</f>
        <v>17.86</v>
      </c>
      <c r="D517" s="2" t="n">
        <f aca="false">IFERROR(__xludf.dummyfunction("""COMPUTED_VALUE"""),16.83)</f>
        <v>16.83</v>
      </c>
      <c r="E517" s="2" t="n">
        <f aca="false">IFERROR(__xludf.dummyfunction("""COMPUTED_VALUE"""),17.84)</f>
        <v>17.84</v>
      </c>
      <c r="F517" s="2" t="n">
        <f aca="false">IFERROR(__xludf.dummyfunction("""COMPUTED_VALUE"""),56496712)</f>
        <v>56496712</v>
      </c>
    </row>
    <row r="518" customFormat="false" ht="15.75" hidden="false" customHeight="false" outlineLevel="0" collapsed="false">
      <c r="A518" s="3" t="n">
        <f aca="false">IFERROR(__xludf.dummyfunction("""COMPUTED_VALUE"""),44949.6666666667)</f>
        <v>44949.6666666667</v>
      </c>
      <c r="B518" s="2" t="n">
        <f aca="false">IFERROR(__xludf.dummyfunction("""COMPUTED_VALUE"""),18.06)</f>
        <v>18.06</v>
      </c>
      <c r="C518" s="2" t="n">
        <f aca="false">IFERROR(__xludf.dummyfunction("""COMPUTED_VALUE"""),19.25)</f>
        <v>19.25</v>
      </c>
      <c r="D518" s="2" t="n">
        <f aca="false">IFERROR(__xludf.dummyfunction("""COMPUTED_VALUE"""),17.82)</f>
        <v>17.82</v>
      </c>
      <c r="E518" s="2" t="n">
        <f aca="false">IFERROR(__xludf.dummyfunction("""COMPUTED_VALUE"""),19.19)</f>
        <v>19.19</v>
      </c>
      <c r="F518" s="2" t="n">
        <f aca="false">IFERROR(__xludf.dummyfunction("""COMPUTED_VALUE"""),65516259)</f>
        <v>65516259</v>
      </c>
    </row>
    <row r="519" customFormat="false" ht="15.75" hidden="false" customHeight="false" outlineLevel="0" collapsed="false">
      <c r="A519" s="3" t="n">
        <f aca="false">IFERROR(__xludf.dummyfunction("""COMPUTED_VALUE"""),44950.6666666667)</f>
        <v>44950.6666666667</v>
      </c>
      <c r="B519" s="2" t="n">
        <f aca="false">IFERROR(__xludf.dummyfunction("""COMPUTED_VALUE"""),18.83)</f>
        <v>18.83</v>
      </c>
      <c r="C519" s="2" t="n">
        <f aca="false">IFERROR(__xludf.dummyfunction("""COMPUTED_VALUE"""),19.5)</f>
        <v>19.5</v>
      </c>
      <c r="D519" s="2" t="n">
        <f aca="false">IFERROR(__xludf.dummyfunction("""COMPUTED_VALUE"""),18.82)</f>
        <v>18.82</v>
      </c>
      <c r="E519" s="2" t="n">
        <f aca="false">IFERROR(__xludf.dummyfunction("""COMPUTED_VALUE"""),19.27)</f>
        <v>19.27</v>
      </c>
      <c r="F519" s="2" t="n">
        <f aca="false">IFERROR(__xludf.dummyfunction("""COMPUTED_VALUE"""),49620410)</f>
        <v>49620410</v>
      </c>
    </row>
    <row r="520" customFormat="false" ht="15.75" hidden="false" customHeight="false" outlineLevel="0" collapsed="false">
      <c r="A520" s="3" t="n">
        <f aca="false">IFERROR(__xludf.dummyfunction("""COMPUTED_VALUE"""),44951.6666666667)</f>
        <v>44951.6666666667</v>
      </c>
      <c r="B520" s="2" t="n">
        <f aca="false">IFERROR(__xludf.dummyfunction("""COMPUTED_VALUE"""),18.91)</f>
        <v>18.91</v>
      </c>
      <c r="C520" s="2" t="n">
        <f aca="false">IFERROR(__xludf.dummyfunction("""COMPUTED_VALUE"""),19.37)</f>
        <v>19.37</v>
      </c>
      <c r="D520" s="2" t="n">
        <f aca="false">IFERROR(__xludf.dummyfunction("""COMPUTED_VALUE"""),18.58)</f>
        <v>18.58</v>
      </c>
      <c r="E520" s="2" t="n">
        <f aca="false">IFERROR(__xludf.dummyfunction("""COMPUTED_VALUE"""),19.32)</f>
        <v>19.32</v>
      </c>
      <c r="F520" s="2" t="n">
        <f aca="false">IFERROR(__xludf.dummyfunction("""COMPUTED_VALUE"""),44953711)</f>
        <v>44953711</v>
      </c>
    </row>
    <row r="521" customFormat="false" ht="15.75" hidden="false" customHeight="false" outlineLevel="0" collapsed="false">
      <c r="A521" s="3" t="n">
        <f aca="false">IFERROR(__xludf.dummyfunction("""COMPUTED_VALUE"""),44952.6666666667)</f>
        <v>44952.6666666667</v>
      </c>
      <c r="B521" s="2" t="n">
        <f aca="false">IFERROR(__xludf.dummyfunction("""COMPUTED_VALUE"""),19.7)</f>
        <v>19.7</v>
      </c>
      <c r="C521" s="2" t="n">
        <f aca="false">IFERROR(__xludf.dummyfunction("""COMPUTED_VALUE"""),20.17)</f>
        <v>20.17</v>
      </c>
      <c r="D521" s="2" t="n">
        <f aca="false">IFERROR(__xludf.dummyfunction("""COMPUTED_VALUE"""),19.28)</f>
        <v>19.28</v>
      </c>
      <c r="E521" s="2" t="n">
        <f aca="false">IFERROR(__xludf.dummyfunction("""COMPUTED_VALUE"""),19.8)</f>
        <v>19.8</v>
      </c>
      <c r="F521" s="2" t="n">
        <f aca="false">IFERROR(__xludf.dummyfunction("""COMPUTED_VALUE"""),48953542)</f>
        <v>48953542</v>
      </c>
    </row>
    <row r="522" customFormat="false" ht="15.75" hidden="false" customHeight="false" outlineLevel="0" collapsed="false">
      <c r="A522" s="3" t="n">
        <f aca="false">IFERROR(__xludf.dummyfunction("""COMPUTED_VALUE"""),44953.6666666667)</f>
        <v>44953.6666666667</v>
      </c>
      <c r="B522" s="2" t="n">
        <f aca="false">IFERROR(__xludf.dummyfunction("""COMPUTED_VALUE"""),19.46)</f>
        <v>19.46</v>
      </c>
      <c r="C522" s="2" t="n">
        <f aca="false">IFERROR(__xludf.dummyfunction("""COMPUTED_VALUE"""),20.63)</f>
        <v>20.63</v>
      </c>
      <c r="D522" s="2" t="n">
        <f aca="false">IFERROR(__xludf.dummyfunction("""COMPUTED_VALUE"""),19.41)</f>
        <v>19.41</v>
      </c>
      <c r="E522" s="2" t="n">
        <f aca="false">IFERROR(__xludf.dummyfunction("""COMPUTED_VALUE"""),20.36)</f>
        <v>20.36</v>
      </c>
      <c r="F522" s="2" t="n">
        <f aca="false">IFERROR(__xludf.dummyfunction("""COMPUTED_VALUE"""),54214198)</f>
        <v>54214198</v>
      </c>
    </row>
    <row r="523" customFormat="false" ht="15.75" hidden="false" customHeight="false" outlineLevel="0" collapsed="false">
      <c r="A523" s="3" t="n">
        <f aca="false">IFERROR(__xludf.dummyfunction("""COMPUTED_VALUE"""),44956.6666666667)</f>
        <v>44956.6666666667</v>
      </c>
      <c r="B523" s="2" t="n">
        <f aca="false">IFERROR(__xludf.dummyfunction("""COMPUTED_VALUE"""),19.95)</f>
        <v>19.95</v>
      </c>
      <c r="C523" s="2" t="n">
        <f aca="false">IFERROR(__xludf.dummyfunction("""COMPUTED_VALUE"""),20.14)</f>
        <v>20.14</v>
      </c>
      <c r="D523" s="2" t="n">
        <f aca="false">IFERROR(__xludf.dummyfunction("""COMPUTED_VALUE"""),19.15)</f>
        <v>19.15</v>
      </c>
      <c r="E523" s="2" t="n">
        <f aca="false">IFERROR(__xludf.dummyfunction("""COMPUTED_VALUE"""),19.16)</f>
        <v>19.16</v>
      </c>
      <c r="F523" s="2" t="n">
        <f aca="false">IFERROR(__xludf.dummyfunction("""COMPUTED_VALUE"""),48861115)</f>
        <v>48861115</v>
      </c>
    </row>
    <row r="524" customFormat="false" ht="15.75" hidden="false" customHeight="false" outlineLevel="0" collapsed="false">
      <c r="A524" s="3" t="n">
        <f aca="false">IFERROR(__xludf.dummyfunction("""COMPUTED_VALUE"""),44957.6666666667)</f>
        <v>44957.6666666667</v>
      </c>
      <c r="B524" s="2" t="n">
        <f aca="false">IFERROR(__xludf.dummyfunction("""COMPUTED_VALUE"""),19.17)</f>
        <v>19.17</v>
      </c>
      <c r="C524" s="2" t="n">
        <f aca="false">IFERROR(__xludf.dummyfunction("""COMPUTED_VALUE"""),19.69)</f>
        <v>19.69</v>
      </c>
      <c r="D524" s="2" t="n">
        <f aca="false">IFERROR(__xludf.dummyfunction("""COMPUTED_VALUE"""),18.95)</f>
        <v>18.95</v>
      </c>
      <c r="E524" s="2" t="n">
        <f aca="false">IFERROR(__xludf.dummyfunction("""COMPUTED_VALUE"""),19.54)</f>
        <v>19.54</v>
      </c>
      <c r="F524" s="2" t="n">
        <f aca="false">IFERROR(__xludf.dummyfunction("""COMPUTED_VALUE"""),49801658)</f>
        <v>49801658</v>
      </c>
    </row>
    <row r="525" customFormat="false" ht="15.75" hidden="false" customHeight="false" outlineLevel="0" collapsed="false">
      <c r="A525" s="3" t="n">
        <f aca="false">IFERROR(__xludf.dummyfunction("""COMPUTED_VALUE"""),44958.6666666667)</f>
        <v>44958.6666666667</v>
      </c>
      <c r="B525" s="2" t="n">
        <f aca="false">IFERROR(__xludf.dummyfunction("""COMPUTED_VALUE"""),19.69)</f>
        <v>19.69</v>
      </c>
      <c r="C525" s="2" t="n">
        <f aca="false">IFERROR(__xludf.dummyfunction("""COMPUTED_VALUE"""),21.19)</f>
        <v>21.19</v>
      </c>
      <c r="D525" s="2" t="n">
        <f aca="false">IFERROR(__xludf.dummyfunction("""COMPUTED_VALUE"""),19.61)</f>
        <v>19.61</v>
      </c>
      <c r="E525" s="2" t="n">
        <f aca="false">IFERROR(__xludf.dummyfunction("""COMPUTED_VALUE"""),20.94)</f>
        <v>20.94</v>
      </c>
      <c r="F525" s="2" t="n">
        <f aca="false">IFERROR(__xludf.dummyfunction("""COMPUTED_VALUE"""),66047704)</f>
        <v>66047704</v>
      </c>
    </row>
    <row r="526" customFormat="false" ht="15.75" hidden="false" customHeight="false" outlineLevel="0" collapsed="false">
      <c r="A526" s="3" t="n">
        <f aca="false">IFERROR(__xludf.dummyfunction("""COMPUTED_VALUE"""),44959.6666666667)</f>
        <v>44959.6666666667</v>
      </c>
      <c r="B526" s="2" t="n">
        <f aca="false">IFERROR(__xludf.dummyfunction("""COMPUTED_VALUE"""),21)</f>
        <v>21</v>
      </c>
      <c r="C526" s="2" t="n">
        <f aca="false">IFERROR(__xludf.dummyfunction("""COMPUTED_VALUE"""),21.95)</f>
        <v>21.95</v>
      </c>
      <c r="D526" s="2" t="n">
        <f aca="false">IFERROR(__xludf.dummyfunction("""COMPUTED_VALUE"""),20.7)</f>
        <v>20.7</v>
      </c>
      <c r="E526" s="2" t="n">
        <f aca="false">IFERROR(__xludf.dummyfunction("""COMPUTED_VALUE"""),21.71)</f>
        <v>21.71</v>
      </c>
      <c r="F526" s="2" t="n">
        <f aca="false">IFERROR(__xludf.dummyfunction("""COMPUTED_VALUE"""),56427580)</f>
        <v>56427580</v>
      </c>
    </row>
    <row r="527" customFormat="false" ht="15.75" hidden="false" customHeight="false" outlineLevel="0" collapsed="false">
      <c r="A527" s="3" t="n">
        <f aca="false">IFERROR(__xludf.dummyfunction("""COMPUTED_VALUE"""),44960.6666666667)</f>
        <v>44960.6666666667</v>
      </c>
      <c r="B527" s="2" t="n">
        <f aca="false">IFERROR(__xludf.dummyfunction("""COMPUTED_VALUE"""),21)</f>
        <v>21</v>
      </c>
      <c r="C527" s="2" t="n">
        <f aca="false">IFERROR(__xludf.dummyfunction("""COMPUTED_VALUE"""),21.74)</f>
        <v>21.74</v>
      </c>
      <c r="D527" s="2" t="n">
        <f aca="false">IFERROR(__xludf.dummyfunction("""COMPUTED_VALUE"""),20.79)</f>
        <v>20.79</v>
      </c>
      <c r="E527" s="2" t="n">
        <f aca="false">IFERROR(__xludf.dummyfunction("""COMPUTED_VALUE"""),21.1)</f>
        <v>21.1</v>
      </c>
      <c r="F527" s="2" t="n">
        <f aca="false">IFERROR(__xludf.dummyfunction("""COMPUTED_VALUE"""),42936595)</f>
        <v>42936595</v>
      </c>
    </row>
    <row r="528" customFormat="false" ht="15.75" hidden="false" customHeight="false" outlineLevel="0" collapsed="false">
      <c r="A528" s="3" t="n">
        <f aca="false">IFERROR(__xludf.dummyfunction("""COMPUTED_VALUE"""),44963.6666666667)</f>
        <v>44963.6666666667</v>
      </c>
      <c r="B528" s="2" t="n">
        <f aca="false">IFERROR(__xludf.dummyfunction("""COMPUTED_VALUE"""),20.81)</f>
        <v>20.81</v>
      </c>
      <c r="C528" s="2" t="n">
        <f aca="false">IFERROR(__xludf.dummyfunction("""COMPUTED_VALUE"""),21.57)</f>
        <v>21.57</v>
      </c>
      <c r="D528" s="2" t="n">
        <f aca="false">IFERROR(__xludf.dummyfunction("""COMPUTED_VALUE"""),20.79)</f>
        <v>20.79</v>
      </c>
      <c r="E528" s="2" t="n">
        <f aca="false">IFERROR(__xludf.dummyfunction("""COMPUTED_VALUE"""),21.09)</f>
        <v>21.09</v>
      </c>
      <c r="F528" s="2" t="n">
        <f aca="false">IFERROR(__xludf.dummyfunction("""COMPUTED_VALUE"""),45219709)</f>
        <v>45219709</v>
      </c>
    </row>
    <row r="529" customFormat="false" ht="15.75" hidden="false" customHeight="false" outlineLevel="0" collapsed="false">
      <c r="A529" s="3" t="n">
        <f aca="false">IFERROR(__xludf.dummyfunction("""COMPUTED_VALUE"""),44964.6666666667)</f>
        <v>44964.6666666667</v>
      </c>
      <c r="B529" s="2" t="n">
        <f aca="false">IFERROR(__xludf.dummyfunction("""COMPUTED_VALUE"""),21.38)</f>
        <v>21.38</v>
      </c>
      <c r="C529" s="2" t="n">
        <f aca="false">IFERROR(__xludf.dummyfunction("""COMPUTED_VALUE"""),22.26)</f>
        <v>22.26</v>
      </c>
      <c r="D529" s="2" t="n">
        <f aca="false">IFERROR(__xludf.dummyfunction("""COMPUTED_VALUE"""),21.15)</f>
        <v>21.15</v>
      </c>
      <c r="E529" s="2" t="n">
        <f aca="false">IFERROR(__xludf.dummyfunction("""COMPUTED_VALUE"""),22.17)</f>
        <v>22.17</v>
      </c>
      <c r="F529" s="2" t="n">
        <f aca="false">IFERROR(__xludf.dummyfunction("""COMPUTED_VALUE"""),66414961)</f>
        <v>66414961</v>
      </c>
    </row>
    <row r="530" customFormat="false" ht="15.75" hidden="false" customHeight="false" outlineLevel="0" collapsed="false">
      <c r="A530" s="3" t="n">
        <f aca="false">IFERROR(__xludf.dummyfunction("""COMPUTED_VALUE"""),44965.6666666667)</f>
        <v>44965.6666666667</v>
      </c>
      <c r="B530" s="2" t="n">
        <f aca="false">IFERROR(__xludf.dummyfunction("""COMPUTED_VALUE"""),22.39)</f>
        <v>22.39</v>
      </c>
      <c r="C530" s="2" t="n">
        <f aca="false">IFERROR(__xludf.dummyfunction("""COMPUTED_VALUE"""),22.88)</f>
        <v>22.88</v>
      </c>
      <c r="D530" s="2" t="n">
        <f aca="false">IFERROR(__xludf.dummyfunction("""COMPUTED_VALUE"""),22.01)</f>
        <v>22.01</v>
      </c>
      <c r="E530" s="2" t="n">
        <f aca="false">IFERROR(__xludf.dummyfunction("""COMPUTED_VALUE"""),22.21)</f>
        <v>22.21</v>
      </c>
      <c r="F530" s="2" t="n">
        <f aca="false">IFERROR(__xludf.dummyfunction("""COMPUTED_VALUE"""),55965122)</f>
        <v>55965122</v>
      </c>
    </row>
    <row r="531" customFormat="false" ht="15.75" hidden="false" customHeight="false" outlineLevel="0" collapsed="false">
      <c r="A531" s="3" t="n">
        <f aca="false">IFERROR(__xludf.dummyfunction("""COMPUTED_VALUE"""),44966.6666666667)</f>
        <v>44966.6666666667</v>
      </c>
      <c r="B531" s="2" t="n">
        <f aca="false">IFERROR(__xludf.dummyfunction("""COMPUTED_VALUE"""),22.61)</f>
        <v>22.61</v>
      </c>
      <c r="C531" s="2" t="n">
        <f aca="false">IFERROR(__xludf.dummyfunction("""COMPUTED_VALUE"""),23.02)</f>
        <v>23.02</v>
      </c>
      <c r="D531" s="2" t="n">
        <f aca="false">IFERROR(__xludf.dummyfunction("""COMPUTED_VALUE"""),22.12)</f>
        <v>22.12</v>
      </c>
      <c r="E531" s="2" t="n">
        <f aca="false">IFERROR(__xludf.dummyfunction("""COMPUTED_VALUE"""),22.34)</f>
        <v>22.34</v>
      </c>
      <c r="F531" s="2" t="n">
        <f aca="false">IFERROR(__xludf.dummyfunction("""COMPUTED_VALUE"""),52387578)</f>
        <v>52387578</v>
      </c>
    </row>
    <row r="532" customFormat="false" ht="15.75" hidden="false" customHeight="false" outlineLevel="0" collapsed="false">
      <c r="A532" s="3" t="n">
        <f aca="false">IFERROR(__xludf.dummyfunction("""COMPUTED_VALUE"""),44967.6666666667)</f>
        <v>44967.6666666667</v>
      </c>
      <c r="B532" s="2" t="n">
        <f aca="false">IFERROR(__xludf.dummyfunction("""COMPUTED_VALUE"""),21.69)</f>
        <v>21.69</v>
      </c>
      <c r="C532" s="2" t="n">
        <f aca="false">IFERROR(__xludf.dummyfunction("""COMPUTED_VALUE"""),22.08)</f>
        <v>22.08</v>
      </c>
      <c r="D532" s="2" t="n">
        <f aca="false">IFERROR(__xludf.dummyfunction("""COMPUTED_VALUE"""),20.81)</f>
        <v>20.81</v>
      </c>
      <c r="E532" s="2" t="n">
        <f aca="false">IFERROR(__xludf.dummyfunction("""COMPUTED_VALUE"""),21.27)</f>
        <v>21.27</v>
      </c>
      <c r="F532" s="2" t="n">
        <f aca="false">IFERROR(__xludf.dummyfunction("""COMPUTED_VALUE"""),55073675)</f>
        <v>55073675</v>
      </c>
    </row>
    <row r="533" customFormat="false" ht="15.75" hidden="false" customHeight="false" outlineLevel="0" collapsed="false">
      <c r="A533" s="3" t="n">
        <f aca="false">IFERROR(__xludf.dummyfunction("""COMPUTED_VALUE"""),44970.6666666667)</f>
        <v>44970.6666666667</v>
      </c>
      <c r="B533" s="2" t="n">
        <f aca="false">IFERROR(__xludf.dummyfunction("""COMPUTED_VALUE"""),21.54)</f>
        <v>21.54</v>
      </c>
      <c r="C533" s="2" t="n">
        <f aca="false">IFERROR(__xludf.dummyfunction("""COMPUTED_VALUE"""),22.05)</f>
        <v>22.05</v>
      </c>
      <c r="D533" s="2" t="n">
        <f aca="false">IFERROR(__xludf.dummyfunction("""COMPUTED_VALUE"""),20.96)</f>
        <v>20.96</v>
      </c>
      <c r="E533" s="2" t="n">
        <f aca="false">IFERROR(__xludf.dummyfunction("""COMPUTED_VALUE"""),21.79)</f>
        <v>21.79</v>
      </c>
      <c r="F533" s="2" t="n">
        <f aca="false">IFERROR(__xludf.dummyfunction("""COMPUTED_VALUE"""),47491862)</f>
        <v>47491862</v>
      </c>
    </row>
    <row r="534" customFormat="false" ht="15.75" hidden="false" customHeight="false" outlineLevel="0" collapsed="false">
      <c r="A534" s="3" t="n">
        <f aca="false">IFERROR(__xludf.dummyfunction("""COMPUTED_VALUE"""),44971.6666666667)</f>
        <v>44971.6666666667</v>
      </c>
      <c r="B534" s="2" t="n">
        <f aca="false">IFERROR(__xludf.dummyfunction("""COMPUTED_VALUE"""),21.58)</f>
        <v>21.58</v>
      </c>
      <c r="C534" s="2" t="n">
        <f aca="false">IFERROR(__xludf.dummyfunction("""COMPUTED_VALUE"""),23.05)</f>
        <v>23.05</v>
      </c>
      <c r="D534" s="2" t="n">
        <f aca="false">IFERROR(__xludf.dummyfunction("""COMPUTED_VALUE"""),21.37)</f>
        <v>21.37</v>
      </c>
      <c r="E534" s="2" t="n">
        <f aca="false">IFERROR(__xludf.dummyfunction("""COMPUTED_VALUE"""),22.97)</f>
        <v>22.97</v>
      </c>
      <c r="F534" s="2" t="n">
        <f aca="false">IFERROR(__xludf.dummyfunction("""COMPUTED_VALUE"""),67547350)</f>
        <v>67547350</v>
      </c>
    </row>
    <row r="535" customFormat="false" ht="15.75" hidden="false" customHeight="false" outlineLevel="0" collapsed="false">
      <c r="A535" s="3" t="n">
        <f aca="false">IFERROR(__xludf.dummyfunction("""COMPUTED_VALUE"""),44972.6666666667)</f>
        <v>44972.6666666667</v>
      </c>
      <c r="B535" s="2" t="n">
        <f aca="false">IFERROR(__xludf.dummyfunction("""COMPUTED_VALUE"""),22.55)</f>
        <v>22.55</v>
      </c>
      <c r="C535" s="2" t="n">
        <f aca="false">IFERROR(__xludf.dummyfunction("""COMPUTED_VALUE"""),22.86)</f>
        <v>22.86</v>
      </c>
      <c r="D535" s="2" t="n">
        <f aca="false">IFERROR(__xludf.dummyfunction("""COMPUTED_VALUE"""),22.11)</f>
        <v>22.11</v>
      </c>
      <c r="E535" s="2" t="n">
        <f aca="false">IFERROR(__xludf.dummyfunction("""COMPUTED_VALUE"""),22.76)</f>
        <v>22.76</v>
      </c>
      <c r="F535" s="2" t="n">
        <f aca="false">IFERROR(__xludf.dummyfunction("""COMPUTED_VALUE"""),42118826)</f>
        <v>42118826</v>
      </c>
    </row>
    <row r="536" customFormat="false" ht="15.75" hidden="false" customHeight="false" outlineLevel="0" collapsed="false">
      <c r="A536" s="3" t="n">
        <f aca="false">IFERROR(__xludf.dummyfunction("""COMPUTED_VALUE"""),44973.6666666667)</f>
        <v>44973.6666666667</v>
      </c>
      <c r="B536" s="2" t="n">
        <f aca="false">IFERROR(__xludf.dummyfunction("""COMPUTED_VALUE"""),22.13)</f>
        <v>22.13</v>
      </c>
      <c r="C536" s="2" t="n">
        <f aca="false">IFERROR(__xludf.dummyfunction("""COMPUTED_VALUE"""),22.55)</f>
        <v>22.55</v>
      </c>
      <c r="D536" s="2" t="n">
        <f aca="false">IFERROR(__xludf.dummyfunction("""COMPUTED_VALUE"""),21.93)</f>
        <v>21.93</v>
      </c>
      <c r="E536" s="2" t="n">
        <f aca="false">IFERROR(__xludf.dummyfunction("""COMPUTED_VALUE"""),22)</f>
        <v>22</v>
      </c>
      <c r="F536" s="2" t="n">
        <f aca="false">IFERROR(__xludf.dummyfunction("""COMPUTED_VALUE"""),41202628)</f>
        <v>41202628</v>
      </c>
    </row>
    <row r="537" customFormat="false" ht="15.75" hidden="false" customHeight="false" outlineLevel="0" collapsed="false">
      <c r="A537" s="3" t="n">
        <f aca="false">IFERROR(__xludf.dummyfunction("""COMPUTED_VALUE"""),44974.6666666667)</f>
        <v>44974.6666666667</v>
      </c>
      <c r="B537" s="2" t="n">
        <f aca="false">IFERROR(__xludf.dummyfunction("""COMPUTED_VALUE"""),21.63)</f>
        <v>21.63</v>
      </c>
      <c r="C537" s="2" t="n">
        <f aca="false">IFERROR(__xludf.dummyfunction("""COMPUTED_VALUE"""),21.74)</f>
        <v>21.74</v>
      </c>
      <c r="D537" s="2" t="n">
        <f aca="false">IFERROR(__xludf.dummyfunction("""COMPUTED_VALUE"""),20.98)</f>
        <v>20.98</v>
      </c>
      <c r="E537" s="2" t="n">
        <f aca="false">IFERROR(__xludf.dummyfunction("""COMPUTED_VALUE"""),21.39)</f>
        <v>21.39</v>
      </c>
      <c r="F537" s="2" t="n">
        <f aca="false">IFERROR(__xludf.dummyfunction("""COMPUTED_VALUE"""),46588764)</f>
        <v>46588764</v>
      </c>
    </row>
    <row r="538" customFormat="false" ht="15.75" hidden="false" customHeight="false" outlineLevel="0" collapsed="false">
      <c r="A538" s="3" t="n">
        <f aca="false">IFERROR(__xludf.dummyfunction("""COMPUTED_VALUE"""),44978.6666666667)</f>
        <v>44978.6666666667</v>
      </c>
      <c r="B538" s="2" t="n">
        <f aca="false">IFERROR(__xludf.dummyfunction("""COMPUTED_VALUE"""),21)</f>
        <v>21</v>
      </c>
      <c r="C538" s="2" t="n">
        <f aca="false">IFERROR(__xludf.dummyfunction("""COMPUTED_VALUE"""),21.49)</f>
        <v>21.49</v>
      </c>
      <c r="D538" s="2" t="n">
        <f aca="false">IFERROR(__xludf.dummyfunction("""COMPUTED_VALUE"""),20.62)</f>
        <v>20.62</v>
      </c>
      <c r="E538" s="2" t="n">
        <f aca="false">IFERROR(__xludf.dummyfunction("""COMPUTED_VALUE"""),20.66)</f>
        <v>20.66</v>
      </c>
      <c r="F538" s="2" t="n">
        <f aca="false">IFERROR(__xludf.dummyfunction("""COMPUTED_VALUE"""),41001455)</f>
        <v>41001455</v>
      </c>
    </row>
    <row r="539" customFormat="false" ht="15.75" hidden="false" customHeight="false" outlineLevel="0" collapsed="false">
      <c r="A539" s="3" t="n">
        <f aca="false">IFERROR(__xludf.dummyfunction("""COMPUTED_VALUE"""),44979.6666666667)</f>
        <v>44979.6666666667</v>
      </c>
      <c r="B539" s="2" t="n">
        <f aca="false">IFERROR(__xludf.dummyfunction("""COMPUTED_VALUE"""),20.71)</f>
        <v>20.71</v>
      </c>
      <c r="C539" s="2" t="n">
        <f aca="false">IFERROR(__xludf.dummyfunction("""COMPUTED_VALUE"""),21.1)</f>
        <v>21.1</v>
      </c>
      <c r="D539" s="2" t="n">
        <f aca="false">IFERROR(__xludf.dummyfunction("""COMPUTED_VALUE"""),20.42)</f>
        <v>20.42</v>
      </c>
      <c r="E539" s="2" t="n">
        <f aca="false">IFERROR(__xludf.dummyfunction("""COMPUTED_VALUE"""),20.75)</f>
        <v>20.75</v>
      </c>
      <c r="F539" s="2" t="n">
        <f aca="false">IFERROR(__xludf.dummyfunction("""COMPUTED_VALUE"""),51318432)</f>
        <v>51318432</v>
      </c>
    </row>
    <row r="540" customFormat="false" ht="15.75" hidden="false" customHeight="false" outlineLevel="0" collapsed="false">
      <c r="A540" s="3" t="n">
        <f aca="false">IFERROR(__xludf.dummyfunction("""COMPUTED_VALUE"""),44980.6666666667)</f>
        <v>44980.6666666667</v>
      </c>
      <c r="B540" s="2" t="n">
        <f aca="false">IFERROR(__xludf.dummyfunction("""COMPUTED_VALUE"""),23.44)</f>
        <v>23.44</v>
      </c>
      <c r="C540" s="2" t="n">
        <f aca="false">IFERROR(__xludf.dummyfunction("""COMPUTED_VALUE"""),23.89)</f>
        <v>23.89</v>
      </c>
      <c r="D540" s="2" t="n">
        <f aca="false">IFERROR(__xludf.dummyfunction("""COMPUTED_VALUE"""),23.03)</f>
        <v>23.03</v>
      </c>
      <c r="E540" s="2" t="n">
        <f aca="false">IFERROR(__xludf.dummyfunction("""COMPUTED_VALUE"""),23.66)</f>
        <v>23.66</v>
      </c>
      <c r="F540" s="2" t="n">
        <f aca="false">IFERROR(__xludf.dummyfunction("""COMPUTED_VALUE"""),111799541)</f>
        <v>111799541</v>
      </c>
    </row>
    <row r="541" customFormat="false" ht="15.75" hidden="false" customHeight="false" outlineLevel="0" collapsed="false">
      <c r="A541" s="3" t="n">
        <f aca="false">IFERROR(__xludf.dummyfunction("""COMPUTED_VALUE"""),44981.6666666667)</f>
        <v>44981.6666666667</v>
      </c>
      <c r="B541" s="2" t="n">
        <f aca="false">IFERROR(__xludf.dummyfunction("""COMPUTED_VALUE"""),23.23)</f>
        <v>23.23</v>
      </c>
      <c r="C541" s="2" t="n">
        <f aca="false">IFERROR(__xludf.dummyfunction("""COMPUTED_VALUE"""),23.47)</f>
        <v>23.47</v>
      </c>
      <c r="D541" s="2" t="n">
        <f aca="false">IFERROR(__xludf.dummyfunction("""COMPUTED_VALUE"""),22.95)</f>
        <v>22.95</v>
      </c>
      <c r="E541" s="2" t="n">
        <f aca="false">IFERROR(__xludf.dummyfunction("""COMPUTED_VALUE"""),23.29)</f>
        <v>23.29</v>
      </c>
      <c r="F541" s="2" t="n">
        <f aca="false">IFERROR(__xludf.dummyfunction("""COMPUTED_VALUE"""),58971591)</f>
        <v>58971591</v>
      </c>
    </row>
    <row r="542" customFormat="false" ht="15.75" hidden="false" customHeight="false" outlineLevel="0" collapsed="false">
      <c r="A542" s="3" t="n">
        <f aca="false">IFERROR(__xludf.dummyfunction("""COMPUTED_VALUE"""),44984.6666666667)</f>
        <v>44984.6666666667</v>
      </c>
      <c r="B542" s="2" t="n">
        <f aca="false">IFERROR(__xludf.dummyfunction("""COMPUTED_VALUE"""),23.67)</f>
        <v>23.67</v>
      </c>
      <c r="C542" s="2" t="n">
        <f aca="false">IFERROR(__xludf.dummyfunction("""COMPUTED_VALUE"""),23.88)</f>
        <v>23.88</v>
      </c>
      <c r="D542" s="2" t="n">
        <f aca="false">IFERROR(__xludf.dummyfunction("""COMPUTED_VALUE"""),23.45)</f>
        <v>23.45</v>
      </c>
      <c r="E542" s="2" t="n">
        <f aca="false">IFERROR(__xludf.dummyfunction("""COMPUTED_VALUE"""),23.5)</f>
        <v>23.5</v>
      </c>
      <c r="F542" s="2" t="n">
        <f aca="false">IFERROR(__xludf.dummyfunction("""COMPUTED_VALUE"""),45299367)</f>
        <v>45299367</v>
      </c>
    </row>
    <row r="543" customFormat="false" ht="15.75" hidden="false" customHeight="false" outlineLevel="0" collapsed="false">
      <c r="A543" s="3" t="n">
        <f aca="false">IFERROR(__xludf.dummyfunction("""COMPUTED_VALUE"""),44985.6666666667)</f>
        <v>44985.6666666667</v>
      </c>
      <c r="B543" s="2" t="n">
        <f aca="false">IFERROR(__xludf.dummyfunction("""COMPUTED_VALUE"""),23.37)</f>
        <v>23.37</v>
      </c>
      <c r="C543" s="2" t="n">
        <f aca="false">IFERROR(__xludf.dummyfunction("""COMPUTED_VALUE"""),23.83)</f>
        <v>23.83</v>
      </c>
      <c r="D543" s="2" t="n">
        <f aca="false">IFERROR(__xludf.dummyfunction("""COMPUTED_VALUE"""),23.21)</f>
        <v>23.21</v>
      </c>
      <c r="E543" s="2" t="n">
        <f aca="false">IFERROR(__xludf.dummyfunction("""COMPUTED_VALUE"""),23.22)</f>
        <v>23.22</v>
      </c>
      <c r="F543" s="2" t="n">
        <f aca="false">IFERROR(__xludf.dummyfunction("""COMPUTED_VALUE"""),45596280)</f>
        <v>45596280</v>
      </c>
    </row>
    <row r="544" customFormat="false" ht="15.75" hidden="false" customHeight="false" outlineLevel="0" collapsed="false">
      <c r="A544" s="3" t="n">
        <f aca="false">IFERROR(__xludf.dummyfunction("""COMPUTED_VALUE"""),44986.6666666667)</f>
        <v>44986.6666666667</v>
      </c>
      <c r="B544" s="2" t="n">
        <f aca="false">IFERROR(__xludf.dummyfunction("""COMPUTED_VALUE"""),23.19)</f>
        <v>23.19</v>
      </c>
      <c r="C544" s="2" t="n">
        <f aca="false">IFERROR(__xludf.dummyfunction("""COMPUTED_VALUE"""),23.26)</f>
        <v>23.26</v>
      </c>
      <c r="D544" s="2" t="n">
        <f aca="false">IFERROR(__xludf.dummyfunction("""COMPUTED_VALUE"""),22.51)</f>
        <v>22.51</v>
      </c>
      <c r="E544" s="2" t="n">
        <f aca="false">IFERROR(__xludf.dummyfunction("""COMPUTED_VALUE"""),22.7)</f>
        <v>22.7</v>
      </c>
      <c r="F544" s="2" t="n">
        <f aca="false">IFERROR(__xludf.dummyfunction("""COMPUTED_VALUE"""),46002562)</f>
        <v>46002562</v>
      </c>
    </row>
    <row r="545" customFormat="false" ht="15.75" hidden="false" customHeight="false" outlineLevel="0" collapsed="false">
      <c r="A545" s="3" t="n">
        <f aca="false">IFERROR(__xludf.dummyfunction("""COMPUTED_VALUE"""),44987.6666666667)</f>
        <v>44987.6666666667</v>
      </c>
      <c r="B545" s="2" t="n">
        <f aca="false">IFERROR(__xludf.dummyfunction("""COMPUTED_VALUE"""),22.49)</f>
        <v>22.49</v>
      </c>
      <c r="C545" s="2" t="n">
        <f aca="false">IFERROR(__xludf.dummyfunction("""COMPUTED_VALUE"""),23.38)</f>
        <v>23.38</v>
      </c>
      <c r="D545" s="2" t="n">
        <f aca="false">IFERROR(__xludf.dummyfunction("""COMPUTED_VALUE"""),22.43)</f>
        <v>22.43</v>
      </c>
      <c r="E545" s="2" t="n">
        <f aca="false">IFERROR(__xludf.dummyfunction("""COMPUTED_VALUE"""),23.31)</f>
        <v>23.31</v>
      </c>
      <c r="F545" s="2" t="n">
        <f aca="false">IFERROR(__xludf.dummyfunction("""COMPUTED_VALUE"""),39007465)</f>
        <v>39007465</v>
      </c>
    </row>
    <row r="546" customFormat="false" ht="15.75" hidden="false" customHeight="false" outlineLevel="0" collapsed="false">
      <c r="A546" s="3" t="n">
        <f aca="false">IFERROR(__xludf.dummyfunction("""COMPUTED_VALUE"""),44988.6666666667)</f>
        <v>44988.6666666667</v>
      </c>
      <c r="B546" s="2" t="n">
        <f aca="false">IFERROR(__xludf.dummyfunction("""COMPUTED_VALUE"""),23.32)</f>
        <v>23.32</v>
      </c>
      <c r="C546" s="2" t="n">
        <f aca="false">IFERROR(__xludf.dummyfunction("""COMPUTED_VALUE"""),23.9)</f>
        <v>23.9</v>
      </c>
      <c r="D546" s="2" t="n">
        <f aca="false">IFERROR(__xludf.dummyfunction("""COMPUTED_VALUE"""),23.13)</f>
        <v>23.13</v>
      </c>
      <c r="E546" s="2" t="n">
        <f aca="false">IFERROR(__xludf.dummyfunction("""COMPUTED_VALUE"""),23.89)</f>
        <v>23.89</v>
      </c>
      <c r="F546" s="2" t="n">
        <f aca="false">IFERROR(__xludf.dummyfunction("""COMPUTED_VALUE"""),41239330)</f>
        <v>41239330</v>
      </c>
    </row>
    <row r="547" customFormat="false" ht="15.75" hidden="false" customHeight="false" outlineLevel="0" collapsed="false">
      <c r="A547" s="3" t="n">
        <f aca="false">IFERROR(__xludf.dummyfunction("""COMPUTED_VALUE"""),44991.6666666667)</f>
        <v>44991.6666666667</v>
      </c>
      <c r="B547" s="2" t="n">
        <f aca="false">IFERROR(__xludf.dummyfunction("""COMPUTED_VALUE"""),23.89)</f>
        <v>23.89</v>
      </c>
      <c r="C547" s="2" t="n">
        <f aca="false">IFERROR(__xludf.dummyfunction("""COMPUTED_VALUE"""),24.25)</f>
        <v>24.25</v>
      </c>
      <c r="D547" s="2" t="n">
        <f aca="false">IFERROR(__xludf.dummyfunction("""COMPUTED_VALUE"""),23.49)</f>
        <v>23.49</v>
      </c>
      <c r="E547" s="2" t="n">
        <f aca="false">IFERROR(__xludf.dummyfunction("""COMPUTED_VALUE"""),23.55)</f>
        <v>23.55</v>
      </c>
      <c r="F547" s="2" t="n">
        <f aca="false">IFERROR(__xludf.dummyfunction("""COMPUTED_VALUE"""),43742923)</f>
        <v>43742923</v>
      </c>
    </row>
    <row r="548" customFormat="false" ht="15.75" hidden="false" customHeight="false" outlineLevel="0" collapsed="false">
      <c r="A548" s="3" t="n">
        <f aca="false">IFERROR(__xludf.dummyfunction("""COMPUTED_VALUE"""),44992.6666666667)</f>
        <v>44992.6666666667</v>
      </c>
      <c r="B548" s="2" t="n">
        <f aca="false">IFERROR(__xludf.dummyfunction("""COMPUTED_VALUE"""),23.6)</f>
        <v>23.6</v>
      </c>
      <c r="C548" s="2" t="n">
        <f aca="false">IFERROR(__xludf.dummyfunction("""COMPUTED_VALUE"""),24.13)</f>
        <v>24.13</v>
      </c>
      <c r="D548" s="2" t="n">
        <f aca="false">IFERROR(__xludf.dummyfunction("""COMPUTED_VALUE"""),23.24)</f>
        <v>23.24</v>
      </c>
      <c r="E548" s="2" t="n">
        <f aca="false">IFERROR(__xludf.dummyfunction("""COMPUTED_VALUE"""),23.29)</f>
        <v>23.29</v>
      </c>
      <c r="F548" s="2" t="n">
        <f aca="false">IFERROR(__xludf.dummyfunction("""COMPUTED_VALUE"""),51515388)</f>
        <v>51515388</v>
      </c>
    </row>
    <row r="549" customFormat="false" ht="15.75" hidden="false" customHeight="false" outlineLevel="0" collapsed="false">
      <c r="A549" s="3" t="n">
        <f aca="false">IFERROR(__xludf.dummyfunction("""COMPUTED_VALUE"""),44993.6666666667)</f>
        <v>44993.6666666667</v>
      </c>
      <c r="B549" s="2" t="n">
        <f aca="false">IFERROR(__xludf.dummyfunction("""COMPUTED_VALUE"""),23.49)</f>
        <v>23.49</v>
      </c>
      <c r="C549" s="2" t="n">
        <f aca="false">IFERROR(__xludf.dummyfunction("""COMPUTED_VALUE"""),24.2)</f>
        <v>24.2</v>
      </c>
      <c r="D549" s="2" t="n">
        <f aca="false">IFERROR(__xludf.dummyfunction("""COMPUTED_VALUE"""),23.42)</f>
        <v>23.42</v>
      </c>
      <c r="E549" s="2" t="n">
        <f aca="false">IFERROR(__xludf.dummyfunction("""COMPUTED_VALUE"""),24.18)</f>
        <v>24.18</v>
      </c>
      <c r="F549" s="2" t="n">
        <f aca="false">IFERROR(__xludf.dummyfunction("""COMPUTED_VALUE"""),51357339)</f>
        <v>51357339</v>
      </c>
    </row>
    <row r="550" customFormat="false" ht="15.75" hidden="false" customHeight="false" outlineLevel="0" collapsed="false">
      <c r="A550" s="3" t="n">
        <f aca="false">IFERROR(__xludf.dummyfunction("""COMPUTED_VALUE"""),44994.6666666667)</f>
        <v>44994.6666666667</v>
      </c>
      <c r="B550" s="2" t="n">
        <f aca="false">IFERROR(__xludf.dummyfunction("""COMPUTED_VALUE"""),24.18)</f>
        <v>24.18</v>
      </c>
      <c r="C550" s="2" t="n">
        <f aca="false">IFERROR(__xludf.dummyfunction("""COMPUTED_VALUE"""),24.45)</f>
        <v>24.45</v>
      </c>
      <c r="D550" s="2" t="n">
        <f aca="false">IFERROR(__xludf.dummyfunction("""COMPUTED_VALUE"""),23.38)</f>
        <v>23.38</v>
      </c>
      <c r="E550" s="2" t="n">
        <f aca="false">IFERROR(__xludf.dummyfunction("""COMPUTED_VALUE"""),23.44)</f>
        <v>23.44</v>
      </c>
      <c r="F550" s="2" t="n">
        <f aca="false">IFERROR(__xludf.dummyfunction("""COMPUTED_VALUE"""),50125699)</f>
        <v>50125699</v>
      </c>
    </row>
    <row r="551" customFormat="false" ht="15.75" hidden="false" customHeight="false" outlineLevel="0" collapsed="false">
      <c r="A551" s="3" t="n">
        <f aca="false">IFERROR(__xludf.dummyfunction("""COMPUTED_VALUE"""),44995.6666666667)</f>
        <v>44995.6666666667</v>
      </c>
      <c r="B551" s="2" t="n">
        <f aca="false">IFERROR(__xludf.dummyfunction("""COMPUTED_VALUE"""),23.41)</f>
        <v>23.41</v>
      </c>
      <c r="C551" s="2" t="n">
        <f aca="false">IFERROR(__xludf.dummyfunction("""COMPUTED_VALUE"""),23.63)</f>
        <v>23.63</v>
      </c>
      <c r="D551" s="2" t="n">
        <f aca="false">IFERROR(__xludf.dummyfunction("""COMPUTED_VALUE"""),22.73)</f>
        <v>22.73</v>
      </c>
      <c r="E551" s="2" t="n">
        <f aca="false">IFERROR(__xludf.dummyfunction("""COMPUTED_VALUE"""),22.97)</f>
        <v>22.97</v>
      </c>
      <c r="F551" s="2" t="n">
        <f aca="false">IFERROR(__xludf.dummyfunction("""COMPUTED_VALUE"""),47486565)</f>
        <v>47486565</v>
      </c>
    </row>
    <row r="552" customFormat="false" ht="15.75" hidden="false" customHeight="false" outlineLevel="0" collapsed="false">
      <c r="A552" s="3" t="n">
        <f aca="false">IFERROR(__xludf.dummyfunction("""COMPUTED_VALUE"""),44998.6666666667)</f>
        <v>44998.6666666667</v>
      </c>
      <c r="B552" s="2" t="n">
        <f aca="false">IFERROR(__xludf.dummyfunction("""COMPUTED_VALUE"""),22.75)</f>
        <v>22.75</v>
      </c>
      <c r="C552" s="2" t="n">
        <f aca="false">IFERROR(__xludf.dummyfunction("""COMPUTED_VALUE"""),23.3)</f>
        <v>23.3</v>
      </c>
      <c r="D552" s="2" t="n">
        <f aca="false">IFERROR(__xludf.dummyfunction("""COMPUTED_VALUE"""),22.3)</f>
        <v>22.3</v>
      </c>
      <c r="E552" s="2" t="n">
        <f aca="false">IFERROR(__xludf.dummyfunction("""COMPUTED_VALUE"""),22.97)</f>
        <v>22.97</v>
      </c>
      <c r="F552" s="2" t="n">
        <f aca="false">IFERROR(__xludf.dummyfunction("""COMPUTED_VALUE"""),42189032)</f>
        <v>42189032</v>
      </c>
    </row>
    <row r="553" customFormat="false" ht="15.75" hidden="false" customHeight="false" outlineLevel="0" collapsed="false">
      <c r="A553" s="3" t="n">
        <f aca="false">IFERROR(__xludf.dummyfunction("""COMPUTED_VALUE"""),44999.6666666667)</f>
        <v>44999.6666666667</v>
      </c>
      <c r="B553" s="2" t="n">
        <f aca="false">IFERROR(__xludf.dummyfunction("""COMPUTED_VALUE"""),23.5)</f>
        <v>23.5</v>
      </c>
      <c r="C553" s="2" t="n">
        <f aca="false">IFERROR(__xludf.dummyfunction("""COMPUTED_VALUE"""),24.22)</f>
        <v>24.22</v>
      </c>
      <c r="D553" s="2" t="n">
        <f aca="false">IFERROR(__xludf.dummyfunction("""COMPUTED_VALUE"""),23.46)</f>
        <v>23.46</v>
      </c>
      <c r="E553" s="2" t="n">
        <f aca="false">IFERROR(__xludf.dummyfunction("""COMPUTED_VALUE"""),24.06)</f>
        <v>24.06</v>
      </c>
      <c r="F553" s="2" t="n">
        <f aca="false">IFERROR(__xludf.dummyfunction("""COMPUTED_VALUE"""),47491013)</f>
        <v>47491013</v>
      </c>
    </row>
    <row r="554" customFormat="false" ht="15.75" hidden="false" customHeight="false" outlineLevel="0" collapsed="false">
      <c r="A554" s="3" t="n">
        <f aca="false">IFERROR(__xludf.dummyfunction("""COMPUTED_VALUE"""),45000.6666666667)</f>
        <v>45000.6666666667</v>
      </c>
      <c r="B554" s="2" t="n">
        <f aca="false">IFERROR(__xludf.dummyfunction("""COMPUTED_VALUE"""),23.76)</f>
        <v>23.76</v>
      </c>
      <c r="C554" s="2" t="n">
        <f aca="false">IFERROR(__xludf.dummyfunction("""COMPUTED_VALUE"""),24.29)</f>
        <v>24.29</v>
      </c>
      <c r="D554" s="2" t="n">
        <f aca="false">IFERROR(__xludf.dummyfunction("""COMPUTED_VALUE"""),23.36)</f>
        <v>23.36</v>
      </c>
      <c r="E554" s="2" t="n">
        <f aca="false">IFERROR(__xludf.dummyfunction("""COMPUTED_VALUE"""),24.23)</f>
        <v>24.23</v>
      </c>
      <c r="F554" s="2" t="n">
        <f aca="false">IFERROR(__xludf.dummyfunction("""COMPUTED_VALUE"""),52448574)</f>
        <v>52448574</v>
      </c>
    </row>
    <row r="555" customFormat="false" ht="15.75" hidden="false" customHeight="false" outlineLevel="0" collapsed="false">
      <c r="A555" s="3" t="n">
        <f aca="false">IFERROR(__xludf.dummyfunction("""COMPUTED_VALUE"""),45001.6666666667)</f>
        <v>45001.6666666667</v>
      </c>
      <c r="B555" s="2" t="n">
        <f aca="false">IFERROR(__xludf.dummyfunction("""COMPUTED_VALUE"""),24.03)</f>
        <v>24.03</v>
      </c>
      <c r="C555" s="2" t="n">
        <f aca="false">IFERROR(__xludf.dummyfunction("""COMPUTED_VALUE"""),25.59)</f>
        <v>25.59</v>
      </c>
      <c r="D555" s="2" t="n">
        <f aca="false">IFERROR(__xludf.dummyfunction("""COMPUTED_VALUE"""),23.89)</f>
        <v>23.89</v>
      </c>
      <c r="E555" s="2" t="n">
        <f aca="false">IFERROR(__xludf.dummyfunction("""COMPUTED_VALUE"""),25.54)</f>
        <v>25.54</v>
      </c>
      <c r="F555" s="2" t="n">
        <f aca="false">IFERROR(__xludf.dummyfunction("""COMPUTED_VALUE"""),58494626)</f>
        <v>58494626</v>
      </c>
    </row>
    <row r="556" customFormat="false" ht="15.75" hidden="false" customHeight="false" outlineLevel="0" collapsed="false">
      <c r="A556" s="3" t="n">
        <f aca="false">IFERROR(__xludf.dummyfunction("""COMPUTED_VALUE"""),45002.6666666667)</f>
        <v>45002.6666666667</v>
      </c>
      <c r="B556" s="2" t="n">
        <f aca="false">IFERROR(__xludf.dummyfunction("""COMPUTED_VALUE"""),25.98)</f>
        <v>25.98</v>
      </c>
      <c r="C556" s="2" t="n">
        <f aca="false">IFERROR(__xludf.dummyfunction("""COMPUTED_VALUE"""),26.4)</f>
        <v>26.4</v>
      </c>
      <c r="D556" s="2" t="n">
        <f aca="false">IFERROR(__xludf.dummyfunction("""COMPUTED_VALUE"""),25.67)</f>
        <v>25.67</v>
      </c>
      <c r="E556" s="2" t="n">
        <f aca="false">IFERROR(__xludf.dummyfunction("""COMPUTED_VALUE"""),25.73)</f>
        <v>25.73</v>
      </c>
      <c r="F556" s="2" t="n">
        <f aca="false">IFERROR(__xludf.dummyfunction("""COMPUTED_VALUE"""),84854656)</f>
        <v>84854656</v>
      </c>
    </row>
    <row r="557" customFormat="false" ht="15.75" hidden="false" customHeight="false" outlineLevel="0" collapsed="false">
      <c r="A557" s="3" t="n">
        <f aca="false">IFERROR(__xludf.dummyfunction("""COMPUTED_VALUE"""),45005.6666666667)</f>
        <v>45005.6666666667</v>
      </c>
      <c r="B557" s="2" t="n">
        <f aca="false">IFERROR(__xludf.dummyfunction("""COMPUTED_VALUE"""),25.62)</f>
        <v>25.62</v>
      </c>
      <c r="C557" s="2" t="n">
        <f aca="false">IFERROR(__xludf.dummyfunction("""COMPUTED_VALUE"""),26.02)</f>
        <v>26.02</v>
      </c>
      <c r="D557" s="2" t="n">
        <f aca="false">IFERROR(__xludf.dummyfunction("""COMPUTED_VALUE"""),25.13)</f>
        <v>25.13</v>
      </c>
      <c r="E557" s="2" t="n">
        <f aca="false">IFERROR(__xludf.dummyfunction("""COMPUTED_VALUE"""),25.9)</f>
        <v>25.9</v>
      </c>
      <c r="F557" s="2" t="n">
        <f aca="false">IFERROR(__xludf.dummyfunction("""COMPUTED_VALUE"""),43274719)</f>
        <v>43274719</v>
      </c>
    </row>
    <row r="558" customFormat="false" ht="15.75" hidden="false" customHeight="false" outlineLevel="0" collapsed="false">
      <c r="A558" s="3" t="n">
        <f aca="false">IFERROR(__xludf.dummyfunction("""COMPUTED_VALUE"""),45006.6666666667)</f>
        <v>45006.6666666667</v>
      </c>
      <c r="B558" s="2" t="n">
        <f aca="false">IFERROR(__xludf.dummyfunction("""COMPUTED_VALUE"""),26.18)</f>
        <v>26.18</v>
      </c>
      <c r="C558" s="2" t="n">
        <f aca="false">IFERROR(__xludf.dummyfunction("""COMPUTED_VALUE"""),26.39)</f>
        <v>26.39</v>
      </c>
      <c r="D558" s="2" t="n">
        <f aca="false">IFERROR(__xludf.dummyfunction("""COMPUTED_VALUE"""),25.38)</f>
        <v>25.38</v>
      </c>
      <c r="E558" s="2" t="n">
        <f aca="false">IFERROR(__xludf.dummyfunction("""COMPUTED_VALUE"""),26.2)</f>
        <v>26.2</v>
      </c>
      <c r="F558" s="2" t="n">
        <f aca="false">IFERROR(__xludf.dummyfunction("""COMPUTED_VALUE"""),54740776)</f>
        <v>54740776</v>
      </c>
    </row>
    <row r="559" customFormat="false" ht="15.75" hidden="false" customHeight="false" outlineLevel="0" collapsed="false">
      <c r="A559" s="3" t="n">
        <f aca="false">IFERROR(__xludf.dummyfunction("""COMPUTED_VALUE"""),45007.6666666667)</f>
        <v>45007.6666666667</v>
      </c>
      <c r="B559" s="2" t="n">
        <f aca="false">IFERROR(__xludf.dummyfunction("""COMPUTED_VALUE"""),26.43)</f>
        <v>26.43</v>
      </c>
      <c r="C559" s="2" t="n">
        <f aca="false">IFERROR(__xludf.dummyfunction("""COMPUTED_VALUE"""),27.59)</f>
        <v>27.59</v>
      </c>
      <c r="D559" s="2" t="n">
        <f aca="false">IFERROR(__xludf.dummyfunction("""COMPUTED_VALUE"""),26.24)</f>
        <v>26.24</v>
      </c>
      <c r="E559" s="2" t="n">
        <f aca="false">IFERROR(__xludf.dummyfunction("""COMPUTED_VALUE"""),26.47)</f>
        <v>26.47</v>
      </c>
      <c r="F559" s="2" t="n">
        <f aca="false">IFERROR(__xludf.dummyfunction("""COMPUTED_VALUE"""),79729511)</f>
        <v>79729511</v>
      </c>
    </row>
    <row r="560" customFormat="false" ht="15.75" hidden="false" customHeight="false" outlineLevel="0" collapsed="false">
      <c r="A560" s="3" t="n">
        <f aca="false">IFERROR(__xludf.dummyfunction("""COMPUTED_VALUE"""),45008.6666666667)</f>
        <v>45008.6666666667</v>
      </c>
      <c r="B560" s="2" t="n">
        <f aca="false">IFERROR(__xludf.dummyfunction("""COMPUTED_VALUE"""),27.12)</f>
        <v>27.12</v>
      </c>
      <c r="C560" s="2" t="n">
        <f aca="false">IFERROR(__xludf.dummyfunction("""COMPUTED_VALUE"""),27.5)</f>
        <v>27.5</v>
      </c>
      <c r="D560" s="2" t="n">
        <f aca="false">IFERROR(__xludf.dummyfunction("""COMPUTED_VALUE"""),26.69)</f>
        <v>26.69</v>
      </c>
      <c r="E560" s="2" t="n">
        <f aca="false">IFERROR(__xludf.dummyfunction("""COMPUTED_VALUE"""),27.19)</f>
        <v>27.19</v>
      </c>
      <c r="F560" s="2" t="n">
        <f aca="false">IFERROR(__xludf.dummyfunction("""COMPUTED_VALUE"""),56488876)</f>
        <v>56488876</v>
      </c>
    </row>
    <row r="561" customFormat="false" ht="15.75" hidden="false" customHeight="false" outlineLevel="0" collapsed="false">
      <c r="A561" s="3" t="n">
        <f aca="false">IFERROR(__xludf.dummyfunction("""COMPUTED_VALUE"""),45009.6666666667)</f>
        <v>45009.6666666667</v>
      </c>
      <c r="B561" s="2" t="n">
        <f aca="false">IFERROR(__xludf.dummyfunction("""COMPUTED_VALUE"""),27.03)</f>
        <v>27.03</v>
      </c>
      <c r="C561" s="2" t="n">
        <f aca="false">IFERROR(__xludf.dummyfunction("""COMPUTED_VALUE"""),27.17)</f>
        <v>27.17</v>
      </c>
      <c r="D561" s="2" t="n">
        <f aca="false">IFERROR(__xludf.dummyfunction("""COMPUTED_VALUE"""),26.36)</f>
        <v>26.36</v>
      </c>
      <c r="E561" s="2" t="n">
        <f aca="false">IFERROR(__xludf.dummyfunction("""COMPUTED_VALUE"""),26.78)</f>
        <v>26.78</v>
      </c>
      <c r="F561" s="2" t="n">
        <f aca="false">IFERROR(__xludf.dummyfunction("""COMPUTED_VALUE"""),45541407)</f>
        <v>45541407</v>
      </c>
    </row>
    <row r="562" customFormat="false" ht="15.75" hidden="false" customHeight="false" outlineLevel="0" collapsed="false">
      <c r="A562" s="3" t="n">
        <f aca="false">IFERROR(__xludf.dummyfunction("""COMPUTED_VALUE"""),45012.6666666667)</f>
        <v>45012.6666666667</v>
      </c>
      <c r="B562" s="2" t="n">
        <f aca="false">IFERROR(__xludf.dummyfunction("""COMPUTED_VALUE"""),26.84)</f>
        <v>26.84</v>
      </c>
      <c r="C562" s="2" t="n">
        <f aca="false">IFERROR(__xludf.dummyfunction("""COMPUTED_VALUE"""),27)</f>
        <v>27</v>
      </c>
      <c r="D562" s="2" t="n">
        <f aca="false">IFERROR(__xludf.dummyfunction("""COMPUTED_VALUE"""),26.37)</f>
        <v>26.37</v>
      </c>
      <c r="E562" s="2" t="n">
        <f aca="false">IFERROR(__xludf.dummyfunction("""COMPUTED_VALUE"""),26.53)</f>
        <v>26.53</v>
      </c>
      <c r="F562" s="2" t="n">
        <f aca="false">IFERROR(__xludf.dummyfunction("""COMPUTED_VALUE"""),36102574)</f>
        <v>36102574</v>
      </c>
    </row>
    <row r="563" customFormat="false" ht="15.75" hidden="false" customHeight="false" outlineLevel="0" collapsed="false">
      <c r="A563" s="3" t="n">
        <f aca="false">IFERROR(__xludf.dummyfunction("""COMPUTED_VALUE"""),45013.6666666667)</f>
        <v>45013.6666666667</v>
      </c>
      <c r="B563" s="2" t="n">
        <f aca="false">IFERROR(__xludf.dummyfunction("""COMPUTED_VALUE"""),26.45)</f>
        <v>26.45</v>
      </c>
      <c r="C563" s="2" t="n">
        <f aca="false">IFERROR(__xludf.dummyfunction("""COMPUTED_VALUE"""),26.51)</f>
        <v>26.51</v>
      </c>
      <c r="D563" s="2" t="n">
        <f aca="false">IFERROR(__xludf.dummyfunction("""COMPUTED_VALUE"""),25.85)</f>
        <v>25.85</v>
      </c>
      <c r="E563" s="2" t="n">
        <f aca="false">IFERROR(__xludf.dummyfunction("""COMPUTED_VALUE"""),26.41)</f>
        <v>26.41</v>
      </c>
      <c r="F563" s="2" t="n">
        <f aca="false">IFERROR(__xludf.dummyfunction("""COMPUTED_VALUE"""),35610378)</f>
        <v>35610378</v>
      </c>
    </row>
    <row r="564" customFormat="false" ht="15.75" hidden="false" customHeight="false" outlineLevel="0" collapsed="false">
      <c r="A564" s="3" t="n">
        <f aca="false">IFERROR(__xludf.dummyfunction("""COMPUTED_VALUE"""),45014.6666666667)</f>
        <v>45014.6666666667</v>
      </c>
      <c r="B564" s="2" t="n">
        <f aca="false">IFERROR(__xludf.dummyfunction("""COMPUTED_VALUE"""),26.83)</f>
        <v>26.83</v>
      </c>
      <c r="C564" s="2" t="n">
        <f aca="false">IFERROR(__xludf.dummyfunction("""COMPUTED_VALUE"""),27.08)</f>
        <v>27.08</v>
      </c>
      <c r="D564" s="2" t="n">
        <f aca="false">IFERROR(__xludf.dummyfunction("""COMPUTED_VALUE"""),26.6)</f>
        <v>26.6</v>
      </c>
      <c r="E564" s="2" t="n">
        <f aca="false">IFERROR(__xludf.dummyfunction("""COMPUTED_VALUE"""),26.98)</f>
        <v>26.98</v>
      </c>
      <c r="F564" s="2" t="n">
        <f aca="false">IFERROR(__xludf.dummyfunction("""COMPUTED_VALUE"""),39369387)</f>
        <v>39369387</v>
      </c>
    </row>
    <row r="565" customFormat="false" ht="15.75" hidden="false" customHeight="false" outlineLevel="0" collapsed="false">
      <c r="A565" s="3" t="n">
        <f aca="false">IFERROR(__xludf.dummyfunction("""COMPUTED_VALUE"""),45015.6666666667)</f>
        <v>45015.6666666667</v>
      </c>
      <c r="B565" s="2" t="n">
        <f aca="false">IFERROR(__xludf.dummyfunction("""COMPUTED_VALUE"""),27.23)</f>
        <v>27.23</v>
      </c>
      <c r="C565" s="2" t="n">
        <f aca="false">IFERROR(__xludf.dummyfunction("""COMPUTED_VALUE"""),27.5)</f>
        <v>27.5</v>
      </c>
      <c r="D565" s="2" t="n">
        <f aca="false">IFERROR(__xludf.dummyfunction("""COMPUTED_VALUE"""),27.1)</f>
        <v>27.1</v>
      </c>
      <c r="E565" s="2" t="n">
        <f aca="false">IFERROR(__xludf.dummyfunction("""COMPUTED_VALUE"""),27.38)</f>
        <v>27.38</v>
      </c>
      <c r="F565" s="2" t="n">
        <f aca="false">IFERROR(__xludf.dummyfunction("""COMPUTED_VALUE"""),36451574)</f>
        <v>36451574</v>
      </c>
    </row>
    <row r="566" customFormat="false" ht="15.75" hidden="false" customHeight="false" outlineLevel="0" collapsed="false">
      <c r="A566" s="3" t="n">
        <f aca="false">IFERROR(__xludf.dummyfunction("""COMPUTED_VALUE"""),45016.6666666667)</f>
        <v>45016.6666666667</v>
      </c>
      <c r="B566" s="2" t="n">
        <f aca="false">IFERROR(__xludf.dummyfunction("""COMPUTED_VALUE"""),27.14)</f>
        <v>27.14</v>
      </c>
      <c r="C566" s="2" t="n">
        <f aca="false">IFERROR(__xludf.dummyfunction("""COMPUTED_VALUE"""),27.83)</f>
        <v>27.83</v>
      </c>
      <c r="D566" s="2" t="n">
        <f aca="false">IFERROR(__xludf.dummyfunction("""COMPUTED_VALUE"""),27.11)</f>
        <v>27.11</v>
      </c>
      <c r="E566" s="2" t="n">
        <f aca="false">IFERROR(__xludf.dummyfunction("""COMPUTED_VALUE"""),27.78)</f>
        <v>27.78</v>
      </c>
      <c r="F566" s="2" t="n">
        <f aca="false">IFERROR(__xludf.dummyfunction("""COMPUTED_VALUE"""),43393277)</f>
        <v>43393277</v>
      </c>
    </row>
    <row r="567" customFormat="false" ht="15.75" hidden="false" customHeight="false" outlineLevel="0" collapsed="false">
      <c r="A567" s="3" t="n">
        <f aca="false">IFERROR(__xludf.dummyfunction("""COMPUTED_VALUE"""),45019.6666666667)</f>
        <v>45019.6666666667</v>
      </c>
      <c r="B567" s="2" t="n">
        <f aca="false">IFERROR(__xludf.dummyfunction("""COMPUTED_VALUE"""),27.51)</f>
        <v>27.51</v>
      </c>
      <c r="C567" s="2" t="n">
        <f aca="false">IFERROR(__xludf.dummyfunction("""COMPUTED_VALUE"""),28)</f>
        <v>28</v>
      </c>
      <c r="D567" s="2" t="n">
        <f aca="false">IFERROR(__xludf.dummyfunction("""COMPUTED_VALUE"""),27.34)</f>
        <v>27.34</v>
      </c>
      <c r="E567" s="2" t="n">
        <f aca="false">IFERROR(__xludf.dummyfunction("""COMPUTED_VALUE"""),27.97)</f>
        <v>27.97</v>
      </c>
      <c r="F567" s="2" t="n">
        <f aca="false">IFERROR(__xludf.dummyfunction("""COMPUTED_VALUE"""),39871560)</f>
        <v>39871560</v>
      </c>
    </row>
    <row r="568" customFormat="false" ht="15.75" hidden="false" customHeight="false" outlineLevel="0" collapsed="false">
      <c r="A568" s="3" t="n">
        <f aca="false">IFERROR(__xludf.dummyfunction("""COMPUTED_VALUE"""),45020.6666666667)</f>
        <v>45020.6666666667</v>
      </c>
      <c r="B568" s="2" t="n">
        <f aca="false">IFERROR(__xludf.dummyfunction("""COMPUTED_VALUE"""),27.97)</f>
        <v>27.97</v>
      </c>
      <c r="C568" s="2" t="n">
        <f aca="false">IFERROR(__xludf.dummyfunction("""COMPUTED_VALUE"""),28)</f>
        <v>28</v>
      </c>
      <c r="D568" s="2" t="n">
        <f aca="false">IFERROR(__xludf.dummyfunction("""COMPUTED_VALUE"""),27.31)</f>
        <v>27.31</v>
      </c>
      <c r="E568" s="2" t="n">
        <f aca="false">IFERROR(__xludf.dummyfunction("""COMPUTED_VALUE"""),27.45)</f>
        <v>27.45</v>
      </c>
      <c r="F568" s="2" t="n">
        <f aca="false">IFERROR(__xludf.dummyfunction("""COMPUTED_VALUE"""),36859153)</f>
        <v>36859153</v>
      </c>
    </row>
    <row r="569" customFormat="false" ht="15.75" hidden="false" customHeight="false" outlineLevel="0" collapsed="false">
      <c r="A569" s="3" t="n">
        <f aca="false">IFERROR(__xludf.dummyfunction("""COMPUTED_VALUE"""),45021.6666666667)</f>
        <v>45021.6666666667</v>
      </c>
      <c r="B569" s="2" t="n">
        <f aca="false">IFERROR(__xludf.dummyfunction("""COMPUTED_VALUE"""),26.83)</f>
        <v>26.83</v>
      </c>
      <c r="C569" s="2" t="n">
        <f aca="false">IFERROR(__xludf.dummyfunction("""COMPUTED_VALUE"""),27)</f>
        <v>27</v>
      </c>
      <c r="D569" s="2" t="n">
        <f aca="false">IFERROR(__xludf.dummyfunction("""COMPUTED_VALUE"""),26.4)</f>
        <v>26.4</v>
      </c>
      <c r="E569" s="2" t="n">
        <f aca="false">IFERROR(__xludf.dummyfunction("""COMPUTED_VALUE"""),26.88)</f>
        <v>26.88</v>
      </c>
      <c r="F569" s="2" t="n">
        <f aca="false">IFERROR(__xludf.dummyfunction("""COMPUTED_VALUE"""),51501474)</f>
        <v>51501474</v>
      </c>
    </row>
    <row r="570" customFormat="false" ht="15.75" hidden="false" customHeight="false" outlineLevel="0" collapsed="false">
      <c r="A570" s="3" t="n">
        <f aca="false">IFERROR(__xludf.dummyfunction("""COMPUTED_VALUE"""),45022.6666666667)</f>
        <v>45022.6666666667</v>
      </c>
      <c r="B570" s="2" t="n">
        <f aca="false">IFERROR(__xludf.dummyfunction("""COMPUTED_VALUE"""),26.58)</f>
        <v>26.58</v>
      </c>
      <c r="C570" s="2" t="n">
        <f aca="false">IFERROR(__xludf.dummyfunction("""COMPUTED_VALUE"""),27.08)</f>
        <v>27.08</v>
      </c>
      <c r="D570" s="2" t="n">
        <f aca="false">IFERROR(__xludf.dummyfunction("""COMPUTED_VALUE"""),26.43)</f>
        <v>26.43</v>
      </c>
      <c r="E570" s="2" t="n">
        <f aca="false">IFERROR(__xludf.dummyfunction("""COMPUTED_VALUE"""),27.04)</f>
        <v>27.04</v>
      </c>
      <c r="F570" s="2" t="n">
        <f aca="false">IFERROR(__xludf.dummyfunction("""COMPUTED_VALUE"""),39765434)</f>
        <v>39765434</v>
      </c>
    </row>
    <row r="571" customFormat="false" ht="15.75" hidden="false" customHeight="false" outlineLevel="0" collapsed="false">
      <c r="A571" s="3" t="n">
        <f aca="false">IFERROR(__xludf.dummyfunction("""COMPUTED_VALUE"""),45026.6666666667)</f>
        <v>45026.6666666667</v>
      </c>
      <c r="B571" s="2" t="n">
        <f aca="false">IFERROR(__xludf.dummyfunction("""COMPUTED_VALUE"""),26.82)</f>
        <v>26.82</v>
      </c>
      <c r="C571" s="2" t="n">
        <f aca="false">IFERROR(__xludf.dummyfunction("""COMPUTED_VALUE"""),27.62)</f>
        <v>27.62</v>
      </c>
      <c r="D571" s="2" t="n">
        <f aca="false">IFERROR(__xludf.dummyfunction("""COMPUTED_VALUE"""),26.67)</f>
        <v>26.67</v>
      </c>
      <c r="E571" s="2" t="n">
        <f aca="false">IFERROR(__xludf.dummyfunction("""COMPUTED_VALUE"""),27.58)</f>
        <v>27.58</v>
      </c>
      <c r="F571" s="2" t="n">
        <f aca="false">IFERROR(__xludf.dummyfunction("""COMPUTED_VALUE"""),39527855)</f>
        <v>39527855</v>
      </c>
    </row>
    <row r="572" customFormat="false" ht="15.75" hidden="false" customHeight="false" outlineLevel="0" collapsed="false">
      <c r="A572" s="3" t="n">
        <f aca="false">IFERROR(__xludf.dummyfunction("""COMPUTED_VALUE"""),45027.6666666667)</f>
        <v>45027.6666666667</v>
      </c>
      <c r="B572" s="2" t="n">
        <f aca="false">IFERROR(__xludf.dummyfunction("""COMPUTED_VALUE"""),27.72)</f>
        <v>27.72</v>
      </c>
      <c r="C572" s="2" t="n">
        <f aca="false">IFERROR(__xludf.dummyfunction("""COMPUTED_VALUE"""),27.79)</f>
        <v>27.79</v>
      </c>
      <c r="D572" s="2" t="n">
        <f aca="false">IFERROR(__xludf.dummyfunction("""COMPUTED_VALUE"""),27.13)</f>
        <v>27.13</v>
      </c>
      <c r="E572" s="2" t="n">
        <f aca="false">IFERROR(__xludf.dummyfunction("""COMPUTED_VALUE"""),27.17)</f>
        <v>27.17</v>
      </c>
      <c r="F572" s="2" t="n">
        <f aca="false">IFERROR(__xludf.dummyfunction("""COMPUTED_VALUE"""),31437817)</f>
        <v>31437817</v>
      </c>
    </row>
    <row r="573" customFormat="false" ht="15.75" hidden="false" customHeight="false" outlineLevel="0" collapsed="false">
      <c r="A573" s="3" t="n">
        <f aca="false">IFERROR(__xludf.dummyfunction("""COMPUTED_VALUE"""),45028.6666666667)</f>
        <v>45028.6666666667</v>
      </c>
      <c r="B573" s="2" t="n">
        <f aca="false">IFERROR(__xludf.dummyfunction("""COMPUTED_VALUE"""),27.37)</f>
        <v>27.37</v>
      </c>
      <c r="C573" s="2" t="n">
        <f aca="false">IFERROR(__xludf.dummyfunction("""COMPUTED_VALUE"""),27.47)</f>
        <v>27.47</v>
      </c>
      <c r="D573" s="2" t="n">
        <f aca="false">IFERROR(__xludf.dummyfunction("""COMPUTED_VALUE"""),26.45)</f>
        <v>26.45</v>
      </c>
      <c r="E573" s="2" t="n">
        <f aca="false">IFERROR(__xludf.dummyfunction("""COMPUTED_VALUE"""),26.5)</f>
        <v>26.5</v>
      </c>
      <c r="F573" s="2" t="n">
        <f aca="false">IFERROR(__xludf.dummyfunction("""COMPUTED_VALUE"""),44625895)</f>
        <v>44625895</v>
      </c>
    </row>
    <row r="574" customFormat="false" ht="15.75" hidden="false" customHeight="false" outlineLevel="0" collapsed="false">
      <c r="A574" s="3" t="n">
        <f aca="false">IFERROR(__xludf.dummyfunction("""COMPUTED_VALUE"""),45029.6666666667)</f>
        <v>45029.6666666667</v>
      </c>
      <c r="B574" s="2" t="n">
        <f aca="false">IFERROR(__xludf.dummyfunction("""COMPUTED_VALUE"""),26.73)</f>
        <v>26.73</v>
      </c>
      <c r="C574" s="2" t="n">
        <f aca="false">IFERROR(__xludf.dummyfunction("""COMPUTED_VALUE"""),26.89)</f>
        <v>26.89</v>
      </c>
      <c r="D574" s="2" t="n">
        <f aca="false">IFERROR(__xludf.dummyfunction("""COMPUTED_VALUE"""),26.33)</f>
        <v>26.33</v>
      </c>
      <c r="E574" s="2" t="n">
        <f aca="false">IFERROR(__xludf.dummyfunction("""COMPUTED_VALUE"""),26.46)</f>
        <v>26.46</v>
      </c>
      <c r="F574" s="2" t="n">
        <f aca="false">IFERROR(__xludf.dummyfunction("""COMPUTED_VALUE"""),35361528)</f>
        <v>35361528</v>
      </c>
    </row>
    <row r="575" customFormat="false" ht="15.75" hidden="false" customHeight="false" outlineLevel="0" collapsed="false">
      <c r="A575" s="3" t="n">
        <f aca="false">IFERROR(__xludf.dummyfunction("""COMPUTED_VALUE"""),45030.6666666667)</f>
        <v>45030.6666666667</v>
      </c>
      <c r="B575" s="2" t="n">
        <f aca="false">IFERROR(__xludf.dummyfunction("""COMPUTED_VALUE"""),26.5)</f>
        <v>26.5</v>
      </c>
      <c r="C575" s="2" t="n">
        <f aca="false">IFERROR(__xludf.dummyfunction("""COMPUTED_VALUE"""),26.88)</f>
        <v>26.88</v>
      </c>
      <c r="D575" s="2" t="n">
        <f aca="false">IFERROR(__xludf.dummyfunction("""COMPUTED_VALUE"""),26.22)</f>
        <v>26.22</v>
      </c>
      <c r="E575" s="2" t="n">
        <f aca="false">IFERROR(__xludf.dummyfunction("""COMPUTED_VALUE"""),26.76)</f>
        <v>26.76</v>
      </c>
      <c r="F575" s="2" t="n">
        <f aca="false">IFERROR(__xludf.dummyfunction("""COMPUTED_VALUE"""),39566013)</f>
        <v>39566013</v>
      </c>
    </row>
    <row r="576" customFormat="false" ht="15.75" hidden="false" customHeight="false" outlineLevel="0" collapsed="false">
      <c r="A576" s="3" t="n">
        <f aca="false">IFERROR(__xludf.dummyfunction("""COMPUTED_VALUE"""),45033.6666666667)</f>
        <v>45033.6666666667</v>
      </c>
      <c r="B576" s="2" t="n">
        <f aca="false">IFERROR(__xludf.dummyfunction("""COMPUTED_VALUE"""),26.57)</f>
        <v>26.57</v>
      </c>
      <c r="C576" s="2" t="n">
        <f aca="false">IFERROR(__xludf.dummyfunction("""COMPUTED_VALUE"""),27.01)</f>
        <v>27.01</v>
      </c>
      <c r="D576" s="2" t="n">
        <f aca="false">IFERROR(__xludf.dummyfunction("""COMPUTED_VALUE"""),26.43)</f>
        <v>26.43</v>
      </c>
      <c r="E576" s="2" t="n">
        <f aca="false">IFERROR(__xludf.dummyfunction("""COMPUTED_VALUE"""),27)</f>
        <v>27</v>
      </c>
      <c r="F576" s="2" t="n">
        <f aca="false">IFERROR(__xludf.dummyfunction("""COMPUTED_VALUE"""),32147130)</f>
        <v>32147130</v>
      </c>
    </row>
    <row r="577" customFormat="false" ht="15.75" hidden="false" customHeight="false" outlineLevel="0" collapsed="false">
      <c r="A577" s="3" t="n">
        <f aca="false">IFERROR(__xludf.dummyfunction("""COMPUTED_VALUE"""),45034.6666666667)</f>
        <v>45034.6666666667</v>
      </c>
      <c r="B577" s="2" t="n">
        <f aca="false">IFERROR(__xludf.dummyfunction("""COMPUTED_VALUE"""),27.53)</f>
        <v>27.53</v>
      </c>
      <c r="C577" s="2" t="n">
        <f aca="false">IFERROR(__xludf.dummyfunction("""COMPUTED_VALUE"""),28.11)</f>
        <v>28.11</v>
      </c>
      <c r="D577" s="2" t="n">
        <f aca="false">IFERROR(__xludf.dummyfunction("""COMPUTED_VALUE"""),27.36)</f>
        <v>27.36</v>
      </c>
      <c r="E577" s="2" t="n">
        <f aca="false">IFERROR(__xludf.dummyfunction("""COMPUTED_VALUE"""),27.67)</f>
        <v>27.67</v>
      </c>
      <c r="F577" s="2" t="n">
        <f aca="false">IFERROR(__xludf.dummyfunction("""COMPUTED_VALUE"""),60481154)</f>
        <v>60481154</v>
      </c>
    </row>
    <row r="578" customFormat="false" ht="15.75" hidden="false" customHeight="false" outlineLevel="0" collapsed="false">
      <c r="A578" s="3" t="n">
        <f aca="false">IFERROR(__xludf.dummyfunction("""COMPUTED_VALUE"""),45035.6666666667)</f>
        <v>45035.6666666667</v>
      </c>
      <c r="B578" s="2" t="n">
        <f aca="false">IFERROR(__xludf.dummyfunction("""COMPUTED_VALUE"""),27.36)</f>
        <v>27.36</v>
      </c>
      <c r="C578" s="2" t="n">
        <f aca="false">IFERROR(__xludf.dummyfunction("""COMPUTED_VALUE"""),28)</f>
        <v>28</v>
      </c>
      <c r="D578" s="2" t="n">
        <f aca="false">IFERROR(__xludf.dummyfunction("""COMPUTED_VALUE"""),27.23)</f>
        <v>27.23</v>
      </c>
      <c r="E578" s="2" t="n">
        <f aca="false">IFERROR(__xludf.dummyfunction("""COMPUTED_VALUE"""),27.93)</f>
        <v>27.93</v>
      </c>
      <c r="F578" s="2" t="n">
        <f aca="false">IFERROR(__xludf.dummyfunction("""COMPUTED_VALUE"""),35866041)</f>
        <v>35866041</v>
      </c>
    </row>
    <row r="579" customFormat="false" ht="15.75" hidden="false" customHeight="false" outlineLevel="0" collapsed="false">
      <c r="A579" s="3" t="n">
        <f aca="false">IFERROR(__xludf.dummyfunction("""COMPUTED_VALUE"""),45036.6666666667)</f>
        <v>45036.6666666667</v>
      </c>
      <c r="B579" s="2" t="n">
        <f aca="false">IFERROR(__xludf.dummyfunction("""COMPUTED_VALUE"""),27.67)</f>
        <v>27.67</v>
      </c>
      <c r="C579" s="2" t="n">
        <f aca="false">IFERROR(__xludf.dummyfunction("""COMPUTED_VALUE"""),28.03)</f>
        <v>28.03</v>
      </c>
      <c r="D579" s="2" t="n">
        <f aca="false">IFERROR(__xludf.dummyfunction("""COMPUTED_VALUE"""),27)</f>
        <v>27</v>
      </c>
      <c r="E579" s="2" t="n">
        <f aca="false">IFERROR(__xludf.dummyfunction("""COMPUTED_VALUE"""),27.1)</f>
        <v>27.1</v>
      </c>
      <c r="F579" s="2" t="n">
        <f aca="false">IFERROR(__xludf.dummyfunction("""COMPUTED_VALUE"""),42771326)</f>
        <v>42771326</v>
      </c>
    </row>
    <row r="580" customFormat="false" ht="15.75" hidden="false" customHeight="false" outlineLevel="0" collapsed="false">
      <c r="A580" s="3" t="n">
        <f aca="false">IFERROR(__xludf.dummyfunction("""COMPUTED_VALUE"""),45037.6666666667)</f>
        <v>45037.6666666667</v>
      </c>
      <c r="B580" s="2" t="n">
        <f aca="false">IFERROR(__xludf.dummyfunction("""COMPUTED_VALUE"""),26.95)</f>
        <v>26.95</v>
      </c>
      <c r="C580" s="2" t="n">
        <f aca="false">IFERROR(__xludf.dummyfunction("""COMPUTED_VALUE"""),27.18)</f>
        <v>27.18</v>
      </c>
      <c r="D580" s="2" t="n">
        <f aca="false">IFERROR(__xludf.dummyfunction("""COMPUTED_VALUE"""),26.72)</f>
        <v>26.72</v>
      </c>
      <c r="E580" s="2" t="n">
        <f aca="false">IFERROR(__xludf.dummyfunction("""COMPUTED_VALUE"""),27.12)</f>
        <v>27.12</v>
      </c>
      <c r="F580" s="2" t="n">
        <f aca="false">IFERROR(__xludf.dummyfunction("""COMPUTED_VALUE"""),34510277)</f>
        <v>34510277</v>
      </c>
    </row>
    <row r="581" customFormat="false" ht="15.75" hidden="false" customHeight="false" outlineLevel="0" collapsed="false">
      <c r="A581" s="3" t="n">
        <f aca="false">IFERROR(__xludf.dummyfunction("""COMPUTED_VALUE"""),45040.6666666667)</f>
        <v>45040.6666666667</v>
      </c>
      <c r="B581" s="2" t="n">
        <f aca="false">IFERROR(__xludf.dummyfunction("""COMPUTED_VALUE"""),27.01)</f>
        <v>27.01</v>
      </c>
      <c r="C581" s="2" t="n">
        <f aca="false">IFERROR(__xludf.dummyfunction("""COMPUTED_VALUE"""),27.37)</f>
        <v>27.37</v>
      </c>
      <c r="D581" s="2" t="n">
        <f aca="false">IFERROR(__xludf.dummyfunction("""COMPUTED_VALUE"""),26.67)</f>
        <v>26.67</v>
      </c>
      <c r="E581" s="2" t="n">
        <f aca="false">IFERROR(__xludf.dummyfunction("""COMPUTED_VALUE"""),27.04)</f>
        <v>27.04</v>
      </c>
      <c r="F581" s="2" t="n">
        <f aca="false">IFERROR(__xludf.dummyfunction("""COMPUTED_VALUE"""),33928186)</f>
        <v>33928186</v>
      </c>
    </row>
    <row r="582" customFormat="false" ht="15.75" hidden="false" customHeight="false" outlineLevel="0" collapsed="false">
      <c r="A582" s="3" t="n">
        <f aca="false">IFERROR(__xludf.dummyfunction("""COMPUTED_VALUE"""),45041.6666666667)</f>
        <v>45041.6666666667</v>
      </c>
      <c r="B582" s="2" t="n">
        <f aca="false">IFERROR(__xludf.dummyfunction("""COMPUTED_VALUE"""),27.08)</f>
        <v>27.08</v>
      </c>
      <c r="C582" s="2" t="n">
        <f aca="false">IFERROR(__xludf.dummyfunction("""COMPUTED_VALUE"""),27.25)</f>
        <v>27.25</v>
      </c>
      <c r="D582" s="2" t="n">
        <f aca="false">IFERROR(__xludf.dummyfunction("""COMPUTED_VALUE"""),26.23)</f>
        <v>26.23</v>
      </c>
      <c r="E582" s="2" t="n">
        <f aca="false">IFERROR(__xludf.dummyfunction("""COMPUTED_VALUE"""),26.24)</f>
        <v>26.24</v>
      </c>
      <c r="F582" s="2" t="n">
        <f aca="false">IFERROR(__xludf.dummyfunction("""COMPUTED_VALUE"""),37852716)</f>
        <v>37852716</v>
      </c>
    </row>
    <row r="583" customFormat="false" ht="15.75" hidden="false" customHeight="false" outlineLevel="0" collapsed="false">
      <c r="A583" s="3" t="n">
        <f aca="false">IFERROR(__xludf.dummyfunction("""COMPUTED_VALUE"""),45042.6666666667)</f>
        <v>45042.6666666667</v>
      </c>
      <c r="B583" s="2" t="n">
        <f aca="false">IFERROR(__xludf.dummyfunction("""COMPUTED_VALUE"""),27)</f>
        <v>27</v>
      </c>
      <c r="C583" s="2" t="n">
        <f aca="false">IFERROR(__xludf.dummyfunction("""COMPUTED_VALUE"""),27.33)</f>
        <v>27.33</v>
      </c>
      <c r="D583" s="2" t="n">
        <f aca="false">IFERROR(__xludf.dummyfunction("""COMPUTED_VALUE"""),26.71)</f>
        <v>26.71</v>
      </c>
      <c r="E583" s="2" t="n">
        <f aca="false">IFERROR(__xludf.dummyfunction("""COMPUTED_VALUE"""),26.96)</f>
        <v>26.96</v>
      </c>
      <c r="F583" s="2" t="n">
        <f aca="false">IFERROR(__xludf.dummyfunction("""COMPUTED_VALUE"""),40633681)</f>
        <v>40633681</v>
      </c>
    </row>
    <row r="584" customFormat="false" ht="15.75" hidden="false" customHeight="false" outlineLevel="0" collapsed="false">
      <c r="A584" s="3" t="n">
        <f aca="false">IFERROR(__xludf.dummyfunction("""COMPUTED_VALUE"""),45043.6666666667)</f>
        <v>45043.6666666667</v>
      </c>
      <c r="B584" s="2" t="n">
        <f aca="false">IFERROR(__xludf.dummyfunction("""COMPUTED_VALUE"""),27.36)</f>
        <v>27.36</v>
      </c>
      <c r="C584" s="2" t="n">
        <f aca="false">IFERROR(__xludf.dummyfunction("""COMPUTED_VALUE"""),27.5)</f>
        <v>27.5</v>
      </c>
      <c r="D584" s="2" t="n">
        <f aca="false">IFERROR(__xludf.dummyfunction("""COMPUTED_VALUE"""),26.63)</f>
        <v>26.63</v>
      </c>
      <c r="E584" s="2" t="n">
        <f aca="false">IFERROR(__xludf.dummyfunction("""COMPUTED_VALUE"""),27.23)</f>
        <v>27.23</v>
      </c>
      <c r="F584" s="2" t="n">
        <f aca="false">IFERROR(__xludf.dummyfunction("""COMPUTED_VALUE"""),37716119)</f>
        <v>37716119</v>
      </c>
    </row>
    <row r="585" customFormat="false" ht="15.75" hidden="false" customHeight="false" outlineLevel="0" collapsed="false">
      <c r="A585" s="3" t="n">
        <f aca="false">IFERROR(__xludf.dummyfunction("""COMPUTED_VALUE"""),45044.6666666667)</f>
        <v>45044.6666666667</v>
      </c>
      <c r="B585" s="2" t="n">
        <f aca="false">IFERROR(__xludf.dummyfunction("""COMPUTED_VALUE"""),27.23)</f>
        <v>27.23</v>
      </c>
      <c r="C585" s="2" t="n">
        <f aca="false">IFERROR(__xludf.dummyfunction("""COMPUTED_VALUE"""),27.76)</f>
        <v>27.76</v>
      </c>
      <c r="D585" s="2" t="n">
        <f aca="false">IFERROR(__xludf.dummyfunction("""COMPUTED_VALUE"""),27.07)</f>
        <v>27.07</v>
      </c>
      <c r="E585" s="2" t="n">
        <f aca="false">IFERROR(__xludf.dummyfunction("""COMPUTED_VALUE"""),27.75)</f>
        <v>27.75</v>
      </c>
      <c r="F585" s="2" t="n">
        <f aca="false">IFERROR(__xludf.dummyfunction("""COMPUTED_VALUE"""),29221614)</f>
        <v>29221614</v>
      </c>
    </row>
    <row r="586" customFormat="false" ht="15.75" hidden="false" customHeight="false" outlineLevel="0" collapsed="false">
      <c r="A586" s="3" t="n">
        <f aca="false">IFERROR(__xludf.dummyfunction("""COMPUTED_VALUE"""),45047.6666666667)</f>
        <v>45047.6666666667</v>
      </c>
      <c r="B586" s="2" t="n">
        <f aca="false">IFERROR(__xludf.dummyfunction("""COMPUTED_VALUE"""),27.84)</f>
        <v>27.84</v>
      </c>
      <c r="C586" s="2" t="n">
        <f aca="false">IFERROR(__xludf.dummyfunction("""COMPUTED_VALUE"""),29.06)</f>
        <v>29.06</v>
      </c>
      <c r="D586" s="2" t="n">
        <f aca="false">IFERROR(__xludf.dummyfunction("""COMPUTED_VALUE"""),27.78)</f>
        <v>27.78</v>
      </c>
      <c r="E586" s="2" t="n">
        <f aca="false">IFERROR(__xludf.dummyfunction("""COMPUTED_VALUE"""),28.91)</f>
        <v>28.91</v>
      </c>
      <c r="F586" s="2" t="n">
        <f aca="false">IFERROR(__xludf.dummyfunction("""COMPUTED_VALUE"""),57032853)</f>
        <v>57032853</v>
      </c>
    </row>
    <row r="587" customFormat="false" ht="15.75" hidden="false" customHeight="false" outlineLevel="0" collapsed="false">
      <c r="A587" s="3" t="n">
        <f aca="false">IFERROR(__xludf.dummyfunction("""COMPUTED_VALUE"""),45048.6666666667)</f>
        <v>45048.6666666667</v>
      </c>
      <c r="B587" s="2" t="n">
        <f aca="false">IFERROR(__xludf.dummyfunction("""COMPUTED_VALUE"""),28.68)</f>
        <v>28.68</v>
      </c>
      <c r="C587" s="2" t="n">
        <f aca="false">IFERROR(__xludf.dummyfunction("""COMPUTED_VALUE"""),28.84)</f>
        <v>28.84</v>
      </c>
      <c r="D587" s="2" t="n">
        <f aca="false">IFERROR(__xludf.dummyfunction("""COMPUTED_VALUE"""),28.08)</f>
        <v>28.08</v>
      </c>
      <c r="E587" s="2" t="n">
        <f aca="false">IFERROR(__xludf.dummyfunction("""COMPUTED_VALUE"""),28.21)</f>
        <v>28.21</v>
      </c>
      <c r="F587" s="2" t="n">
        <f aca="false">IFERROR(__xludf.dummyfunction("""COMPUTED_VALUE"""),40272957)</f>
        <v>40272957</v>
      </c>
    </row>
    <row r="588" customFormat="false" ht="15.75" hidden="false" customHeight="false" outlineLevel="0" collapsed="false">
      <c r="A588" s="3" t="n">
        <f aca="false">IFERROR(__xludf.dummyfunction("""COMPUTED_VALUE"""),45049.6666666667)</f>
        <v>45049.6666666667</v>
      </c>
      <c r="B588" s="2" t="n">
        <f aca="false">IFERROR(__xludf.dummyfunction("""COMPUTED_VALUE"""),27.84)</f>
        <v>27.84</v>
      </c>
      <c r="C588" s="2" t="n">
        <f aca="false">IFERROR(__xludf.dummyfunction("""COMPUTED_VALUE"""),28.37)</f>
        <v>28.37</v>
      </c>
      <c r="D588" s="2" t="n">
        <f aca="false">IFERROR(__xludf.dummyfunction("""COMPUTED_VALUE"""),27.47)</f>
        <v>27.47</v>
      </c>
      <c r="E588" s="2" t="n">
        <f aca="false">IFERROR(__xludf.dummyfunction("""COMPUTED_VALUE"""),27.8)</f>
        <v>27.8</v>
      </c>
      <c r="F588" s="2" t="n">
        <f aca="false">IFERROR(__xludf.dummyfunction("""COMPUTED_VALUE"""),38338740)</f>
        <v>38338740</v>
      </c>
    </row>
    <row r="589" customFormat="false" ht="15.75" hidden="false" customHeight="false" outlineLevel="0" collapsed="false">
      <c r="A589" s="3" t="n">
        <f aca="false">IFERROR(__xludf.dummyfunction("""COMPUTED_VALUE"""),45050.6666666667)</f>
        <v>45050.6666666667</v>
      </c>
      <c r="B589" s="2" t="n">
        <f aca="false">IFERROR(__xludf.dummyfunction("""COMPUTED_VALUE"""),27.65)</f>
        <v>27.65</v>
      </c>
      <c r="C589" s="2" t="n">
        <f aca="false">IFERROR(__xludf.dummyfunction("""COMPUTED_VALUE"""),27.86)</f>
        <v>27.86</v>
      </c>
      <c r="D589" s="2" t="n">
        <f aca="false">IFERROR(__xludf.dummyfunction("""COMPUTED_VALUE"""),27.24)</f>
        <v>27.24</v>
      </c>
      <c r="E589" s="2" t="n">
        <f aca="false">IFERROR(__xludf.dummyfunction("""COMPUTED_VALUE"""),27.56)</f>
        <v>27.56</v>
      </c>
      <c r="F589" s="2" t="n">
        <f aca="false">IFERROR(__xludf.dummyfunction("""COMPUTED_VALUE"""),32185041)</f>
        <v>32185041</v>
      </c>
    </row>
    <row r="590" customFormat="false" ht="15.75" hidden="false" customHeight="false" outlineLevel="0" collapsed="false">
      <c r="A590" s="3" t="n">
        <f aca="false">IFERROR(__xludf.dummyfunction("""COMPUTED_VALUE"""),45051.6666666667)</f>
        <v>45051.6666666667</v>
      </c>
      <c r="B590" s="2" t="n">
        <f aca="false">IFERROR(__xludf.dummyfunction("""COMPUTED_VALUE"""),27.83)</f>
        <v>27.83</v>
      </c>
      <c r="C590" s="2" t="n">
        <f aca="false">IFERROR(__xludf.dummyfunction("""COMPUTED_VALUE"""),28.76)</f>
        <v>28.76</v>
      </c>
      <c r="D590" s="2" t="n">
        <f aca="false">IFERROR(__xludf.dummyfunction("""COMPUTED_VALUE"""),27.73)</f>
        <v>27.73</v>
      </c>
      <c r="E590" s="2" t="n">
        <f aca="false">IFERROR(__xludf.dummyfunction("""COMPUTED_VALUE"""),28.68)</f>
        <v>28.68</v>
      </c>
      <c r="F590" s="2" t="n">
        <f aca="false">IFERROR(__xludf.dummyfunction("""COMPUTED_VALUE"""),36149408)</f>
        <v>36149408</v>
      </c>
    </row>
    <row r="591" customFormat="false" ht="15.75" hidden="false" customHeight="false" outlineLevel="0" collapsed="false">
      <c r="A591" s="3" t="n">
        <f aca="false">IFERROR(__xludf.dummyfunction("""COMPUTED_VALUE"""),45054.6666666667)</f>
        <v>45054.6666666667</v>
      </c>
      <c r="B591" s="2" t="n">
        <f aca="false">IFERROR(__xludf.dummyfunction("""COMPUTED_VALUE"""),28.52)</f>
        <v>28.52</v>
      </c>
      <c r="C591" s="2" t="n">
        <f aca="false">IFERROR(__xludf.dummyfunction("""COMPUTED_VALUE"""),29.22)</f>
        <v>29.22</v>
      </c>
      <c r="D591" s="2" t="n">
        <f aca="false">IFERROR(__xludf.dummyfunction("""COMPUTED_VALUE"""),28.35)</f>
        <v>28.35</v>
      </c>
      <c r="E591" s="2" t="n">
        <f aca="false">IFERROR(__xludf.dummyfunction("""COMPUTED_VALUE"""),29.15)</f>
        <v>29.15</v>
      </c>
      <c r="F591" s="2" t="n">
        <f aca="false">IFERROR(__xludf.dummyfunction("""COMPUTED_VALUE"""),34497890)</f>
        <v>34497890</v>
      </c>
    </row>
    <row r="592" customFormat="false" ht="15.75" hidden="false" customHeight="false" outlineLevel="0" collapsed="false">
      <c r="A592" s="3" t="n">
        <f aca="false">IFERROR(__xludf.dummyfunction("""COMPUTED_VALUE"""),45055.6666666667)</f>
        <v>45055.6666666667</v>
      </c>
      <c r="B592" s="2" t="n">
        <f aca="false">IFERROR(__xludf.dummyfunction("""COMPUTED_VALUE"""),28.9)</f>
        <v>28.9</v>
      </c>
      <c r="C592" s="2" t="n">
        <f aca="false">IFERROR(__xludf.dummyfunction("""COMPUTED_VALUE"""),28.97)</f>
        <v>28.97</v>
      </c>
      <c r="D592" s="2" t="n">
        <f aca="false">IFERROR(__xludf.dummyfunction("""COMPUTED_VALUE"""),28.45)</f>
        <v>28.45</v>
      </c>
      <c r="E592" s="2" t="n">
        <f aca="false">IFERROR(__xludf.dummyfunction("""COMPUTED_VALUE"""),28.57)</f>
        <v>28.57</v>
      </c>
      <c r="F592" s="2" t="n">
        <f aca="false">IFERROR(__xludf.dummyfunction("""COMPUTED_VALUE"""),31486946)</f>
        <v>31486946</v>
      </c>
    </row>
    <row r="593" customFormat="false" ht="15.75" hidden="false" customHeight="false" outlineLevel="0" collapsed="false">
      <c r="A593" s="3" t="n">
        <f aca="false">IFERROR(__xludf.dummyfunction("""COMPUTED_VALUE"""),45056.6666666667)</f>
        <v>45056.6666666667</v>
      </c>
      <c r="B593" s="2" t="n">
        <f aca="false">IFERROR(__xludf.dummyfunction("""COMPUTED_VALUE"""),29.01)</f>
        <v>29.01</v>
      </c>
      <c r="C593" s="2" t="n">
        <f aca="false">IFERROR(__xludf.dummyfunction("""COMPUTED_VALUE"""),29.11)</f>
        <v>29.11</v>
      </c>
      <c r="D593" s="2" t="n">
        <f aca="false">IFERROR(__xludf.dummyfunction("""COMPUTED_VALUE"""),28.46)</f>
        <v>28.46</v>
      </c>
      <c r="E593" s="2" t="n">
        <f aca="false">IFERROR(__xludf.dummyfunction("""COMPUTED_VALUE"""),28.89)</f>
        <v>28.89</v>
      </c>
      <c r="F593" s="2" t="n">
        <f aca="false">IFERROR(__xludf.dummyfunction("""COMPUTED_VALUE"""),36934998)</f>
        <v>36934998</v>
      </c>
    </row>
    <row r="594" customFormat="false" ht="15.75" hidden="false" customHeight="false" outlineLevel="0" collapsed="false">
      <c r="A594" s="3" t="n">
        <f aca="false">IFERROR(__xludf.dummyfunction("""COMPUTED_VALUE"""),45057.6666666667)</f>
        <v>45057.6666666667</v>
      </c>
      <c r="B594" s="2" t="n">
        <f aca="false">IFERROR(__xludf.dummyfunction("""COMPUTED_VALUE"""),28.9)</f>
        <v>28.9</v>
      </c>
      <c r="C594" s="2" t="n">
        <f aca="false">IFERROR(__xludf.dummyfunction("""COMPUTED_VALUE"""),28.95)</f>
        <v>28.95</v>
      </c>
      <c r="D594" s="2" t="n">
        <f aca="false">IFERROR(__xludf.dummyfunction("""COMPUTED_VALUE"""),28.25)</f>
        <v>28.25</v>
      </c>
      <c r="E594" s="2" t="n">
        <f aca="false">IFERROR(__xludf.dummyfunction("""COMPUTED_VALUE"""),28.58)</f>
        <v>28.58</v>
      </c>
      <c r="F594" s="2" t="n">
        <f aca="false">IFERROR(__xludf.dummyfunction("""COMPUTED_VALUE"""),32214903)</f>
        <v>32214903</v>
      </c>
    </row>
    <row r="595" customFormat="false" ht="15.75" hidden="false" customHeight="false" outlineLevel="0" collapsed="false">
      <c r="A595" s="3" t="n">
        <f aca="false">IFERROR(__xludf.dummyfunction("""COMPUTED_VALUE"""),45058.6666666667)</f>
        <v>45058.6666666667</v>
      </c>
      <c r="B595" s="2" t="n">
        <f aca="false">IFERROR(__xludf.dummyfunction("""COMPUTED_VALUE"""),28.53)</f>
        <v>28.53</v>
      </c>
      <c r="C595" s="2" t="n">
        <f aca="false">IFERROR(__xludf.dummyfunction("""COMPUTED_VALUE"""),28.78)</f>
        <v>28.78</v>
      </c>
      <c r="D595" s="2" t="n">
        <f aca="false">IFERROR(__xludf.dummyfunction("""COMPUTED_VALUE"""),28.05)</f>
        <v>28.05</v>
      </c>
      <c r="E595" s="2" t="n">
        <f aca="false">IFERROR(__xludf.dummyfunction("""COMPUTED_VALUE"""),28.34)</f>
        <v>28.34</v>
      </c>
      <c r="F595" s="2" t="n">
        <f aca="false">IFERROR(__xludf.dummyfunction("""COMPUTED_VALUE"""),27422225)</f>
        <v>27422225</v>
      </c>
    </row>
    <row r="596" customFormat="false" ht="15.75" hidden="false" customHeight="false" outlineLevel="0" collapsed="false">
      <c r="A596" s="3" t="n">
        <f aca="false">IFERROR(__xludf.dummyfunction("""COMPUTED_VALUE"""),45061.6666666667)</f>
        <v>45061.6666666667</v>
      </c>
      <c r="B596" s="2" t="n">
        <f aca="false">IFERROR(__xludf.dummyfunction("""COMPUTED_VALUE"""),28.51)</f>
        <v>28.51</v>
      </c>
      <c r="C596" s="2" t="n">
        <f aca="false">IFERROR(__xludf.dummyfunction("""COMPUTED_VALUE"""),28.97)</f>
        <v>28.97</v>
      </c>
      <c r="D596" s="2" t="n">
        <f aca="false">IFERROR(__xludf.dummyfunction("""COMPUTED_VALUE"""),28.15)</f>
        <v>28.15</v>
      </c>
      <c r="E596" s="2" t="n">
        <f aca="false">IFERROR(__xludf.dummyfunction("""COMPUTED_VALUE"""),28.95)</f>
        <v>28.95</v>
      </c>
      <c r="F596" s="2" t="n">
        <f aca="false">IFERROR(__xludf.dummyfunction("""COMPUTED_VALUE"""),29392587)</f>
        <v>29392587</v>
      </c>
    </row>
    <row r="597" customFormat="false" ht="15.75" hidden="false" customHeight="false" outlineLevel="0" collapsed="false">
      <c r="A597" s="3" t="n">
        <f aca="false">IFERROR(__xludf.dummyfunction("""COMPUTED_VALUE"""),45062.6666666667)</f>
        <v>45062.6666666667</v>
      </c>
      <c r="B597" s="2" t="n">
        <f aca="false">IFERROR(__xludf.dummyfunction("""COMPUTED_VALUE"""),28.84)</f>
        <v>28.84</v>
      </c>
      <c r="C597" s="2" t="n">
        <f aca="false">IFERROR(__xludf.dummyfunction("""COMPUTED_VALUE"""),29.87)</f>
        <v>29.87</v>
      </c>
      <c r="D597" s="2" t="n">
        <f aca="false">IFERROR(__xludf.dummyfunction("""COMPUTED_VALUE"""),28.83)</f>
        <v>28.83</v>
      </c>
      <c r="E597" s="2" t="n">
        <f aca="false">IFERROR(__xludf.dummyfunction("""COMPUTED_VALUE"""),29.21)</f>
        <v>29.21</v>
      </c>
      <c r="F597" s="2" t="n">
        <f aca="false">IFERROR(__xludf.dummyfunction("""COMPUTED_VALUE"""),44940494)</f>
        <v>44940494</v>
      </c>
    </row>
    <row r="598" customFormat="false" ht="15.75" hidden="false" customHeight="false" outlineLevel="0" collapsed="false">
      <c r="A598" s="3" t="n">
        <f aca="false">IFERROR(__xludf.dummyfunction("""COMPUTED_VALUE"""),45063.6666666667)</f>
        <v>45063.6666666667</v>
      </c>
      <c r="B598" s="2" t="n">
        <f aca="false">IFERROR(__xludf.dummyfunction("""COMPUTED_VALUE"""),29.58)</f>
        <v>29.58</v>
      </c>
      <c r="C598" s="2" t="n">
        <f aca="false">IFERROR(__xludf.dummyfunction("""COMPUTED_VALUE"""),30.2)</f>
        <v>30.2</v>
      </c>
      <c r="D598" s="2" t="n">
        <f aca="false">IFERROR(__xludf.dummyfunction("""COMPUTED_VALUE"""),29.43)</f>
        <v>29.43</v>
      </c>
      <c r="E598" s="2" t="n">
        <f aca="false">IFERROR(__xludf.dummyfunction("""COMPUTED_VALUE"""),30.18)</f>
        <v>30.18</v>
      </c>
      <c r="F598" s="2" t="n">
        <f aca="false">IFERROR(__xludf.dummyfunction("""COMPUTED_VALUE"""),43253541)</f>
        <v>43253541</v>
      </c>
    </row>
    <row r="599" customFormat="false" ht="15.75" hidden="false" customHeight="false" outlineLevel="0" collapsed="false">
      <c r="A599" s="3" t="n">
        <f aca="false">IFERROR(__xludf.dummyfunction("""COMPUTED_VALUE"""),45064.6666666667)</f>
        <v>45064.6666666667</v>
      </c>
      <c r="B599" s="2" t="n">
        <f aca="false">IFERROR(__xludf.dummyfunction("""COMPUTED_VALUE"""),30.41)</f>
        <v>30.41</v>
      </c>
      <c r="C599" s="2" t="n">
        <f aca="false">IFERROR(__xludf.dummyfunction("""COMPUTED_VALUE"""),31.83)</f>
        <v>31.83</v>
      </c>
      <c r="D599" s="2" t="n">
        <f aca="false">IFERROR(__xludf.dummyfunction("""COMPUTED_VALUE"""),30.32)</f>
        <v>30.32</v>
      </c>
      <c r="E599" s="2" t="n">
        <f aca="false">IFERROR(__xludf.dummyfunction("""COMPUTED_VALUE"""),31.68)</f>
        <v>31.68</v>
      </c>
      <c r="F599" s="2" t="n">
        <f aca="false">IFERROR(__xludf.dummyfunction("""COMPUTED_VALUE"""),74872501)</f>
        <v>74872501</v>
      </c>
    </row>
    <row r="600" customFormat="false" ht="15.75" hidden="false" customHeight="false" outlineLevel="0" collapsed="false">
      <c r="A600" s="3" t="n">
        <f aca="false">IFERROR(__xludf.dummyfunction("""COMPUTED_VALUE"""),45065.6666666667)</f>
        <v>45065.6666666667</v>
      </c>
      <c r="B600" s="2" t="n">
        <f aca="false">IFERROR(__xludf.dummyfunction("""COMPUTED_VALUE"""),31.54)</f>
        <v>31.54</v>
      </c>
      <c r="C600" s="2" t="n">
        <f aca="false">IFERROR(__xludf.dummyfunction("""COMPUTED_VALUE"""),31.58)</f>
        <v>31.58</v>
      </c>
      <c r="D600" s="2" t="n">
        <f aca="false">IFERROR(__xludf.dummyfunction("""COMPUTED_VALUE"""),30.92)</f>
        <v>30.92</v>
      </c>
      <c r="E600" s="2" t="n">
        <f aca="false">IFERROR(__xludf.dummyfunction("""COMPUTED_VALUE"""),31.26)</f>
        <v>31.26</v>
      </c>
      <c r="F600" s="2" t="n">
        <f aca="false">IFERROR(__xludf.dummyfunction("""COMPUTED_VALUE"""),47390765)</f>
        <v>47390765</v>
      </c>
    </row>
    <row r="601" customFormat="false" ht="15.75" hidden="false" customHeight="false" outlineLevel="0" collapsed="false">
      <c r="A601" s="3" t="n">
        <f aca="false">IFERROR(__xludf.dummyfunction("""COMPUTED_VALUE"""),45068.6666666667)</f>
        <v>45068.6666666667</v>
      </c>
      <c r="B601" s="2" t="n">
        <f aca="false">IFERROR(__xludf.dummyfunction("""COMPUTED_VALUE"""),30.9)</f>
        <v>30.9</v>
      </c>
      <c r="C601" s="2" t="n">
        <f aca="false">IFERROR(__xludf.dummyfunction("""COMPUTED_VALUE"""),31.52)</f>
        <v>31.52</v>
      </c>
      <c r="D601" s="2" t="n">
        <f aca="false">IFERROR(__xludf.dummyfunction("""COMPUTED_VALUE"""),30.68)</f>
        <v>30.68</v>
      </c>
      <c r="E601" s="2" t="n">
        <f aca="false">IFERROR(__xludf.dummyfunction("""COMPUTED_VALUE"""),31.18)</f>
        <v>31.18</v>
      </c>
      <c r="F601" s="2" t="n">
        <f aca="false">IFERROR(__xludf.dummyfunction("""COMPUTED_VALUE"""),37199967)</f>
        <v>37199967</v>
      </c>
    </row>
    <row r="602" customFormat="false" ht="15.75" hidden="false" customHeight="false" outlineLevel="0" collapsed="false">
      <c r="A602" s="3" t="n">
        <f aca="false">IFERROR(__xludf.dummyfunction("""COMPUTED_VALUE"""),45069.6666666667)</f>
        <v>45069.6666666667</v>
      </c>
      <c r="B602" s="2" t="n">
        <f aca="false">IFERROR(__xludf.dummyfunction("""COMPUTED_VALUE"""),31)</f>
        <v>31</v>
      </c>
      <c r="C602" s="2" t="n">
        <f aca="false">IFERROR(__xludf.dummyfunction("""COMPUTED_VALUE"""),31.29)</f>
        <v>31.29</v>
      </c>
      <c r="D602" s="2" t="n">
        <f aca="false">IFERROR(__xludf.dummyfunction("""COMPUTED_VALUE"""),30.63)</f>
        <v>30.63</v>
      </c>
      <c r="E602" s="2" t="n">
        <f aca="false">IFERROR(__xludf.dummyfunction("""COMPUTED_VALUE"""),30.69)</f>
        <v>30.69</v>
      </c>
      <c r="F602" s="2" t="n">
        <f aca="false">IFERROR(__xludf.dummyfunction("""COMPUTED_VALUE"""),35625326)</f>
        <v>35625326</v>
      </c>
    </row>
    <row r="603" customFormat="false" ht="15.75" hidden="false" customHeight="false" outlineLevel="0" collapsed="false">
      <c r="A603" s="3" t="n">
        <f aca="false">IFERROR(__xludf.dummyfunction("""COMPUTED_VALUE"""),45070.6666666667)</f>
        <v>45070.6666666667</v>
      </c>
      <c r="B603" s="2" t="n">
        <f aca="false">IFERROR(__xludf.dummyfunction("""COMPUTED_VALUE"""),30.21)</f>
        <v>30.21</v>
      </c>
      <c r="C603" s="2" t="n">
        <f aca="false">IFERROR(__xludf.dummyfunction("""COMPUTED_VALUE"""),30.61)</f>
        <v>30.61</v>
      </c>
      <c r="D603" s="2" t="n">
        <f aca="false">IFERROR(__xludf.dummyfunction("""COMPUTED_VALUE"""),29.81)</f>
        <v>29.81</v>
      </c>
      <c r="E603" s="2" t="n">
        <f aca="false">IFERROR(__xludf.dummyfunction("""COMPUTED_VALUE"""),30.54)</f>
        <v>30.54</v>
      </c>
      <c r="F603" s="2" t="n">
        <f aca="false">IFERROR(__xludf.dummyfunction("""COMPUTED_VALUE"""),72141851)</f>
        <v>72141851</v>
      </c>
    </row>
    <row r="604" customFormat="false" ht="15.75" hidden="false" customHeight="false" outlineLevel="0" collapsed="false">
      <c r="A604" s="3" t="n">
        <f aca="false">IFERROR(__xludf.dummyfunction("""COMPUTED_VALUE"""),45071.6666666667)</f>
        <v>45071.6666666667</v>
      </c>
      <c r="B604" s="2" t="n">
        <f aca="false">IFERROR(__xludf.dummyfunction("""COMPUTED_VALUE"""),38.52)</f>
        <v>38.52</v>
      </c>
      <c r="C604" s="2" t="n">
        <f aca="false">IFERROR(__xludf.dummyfunction("""COMPUTED_VALUE"""),39.48)</f>
        <v>39.48</v>
      </c>
      <c r="D604" s="2" t="n">
        <f aca="false">IFERROR(__xludf.dummyfunction("""COMPUTED_VALUE"""),36.64)</f>
        <v>36.64</v>
      </c>
      <c r="E604" s="2" t="n">
        <f aca="false">IFERROR(__xludf.dummyfunction("""COMPUTED_VALUE"""),37.98)</f>
        <v>37.98</v>
      </c>
      <c r="F604" s="2" t="n">
        <f aca="false">IFERROR(__xludf.dummyfunction("""COMPUTED_VALUE"""),154391067)</f>
        <v>154391067</v>
      </c>
    </row>
    <row r="605" customFormat="false" ht="15.75" hidden="false" customHeight="false" outlineLevel="0" collapsed="false">
      <c r="A605" s="3" t="n">
        <f aca="false">IFERROR(__xludf.dummyfunction("""COMPUTED_VALUE"""),45072.6666666667)</f>
        <v>45072.6666666667</v>
      </c>
      <c r="B605" s="2" t="n">
        <f aca="false">IFERROR(__xludf.dummyfunction("""COMPUTED_VALUE"""),37.89)</f>
        <v>37.89</v>
      </c>
      <c r="C605" s="2" t="n">
        <f aca="false">IFERROR(__xludf.dummyfunction("""COMPUTED_VALUE"""),39.17)</f>
        <v>39.17</v>
      </c>
      <c r="D605" s="2" t="n">
        <f aca="false">IFERROR(__xludf.dummyfunction("""COMPUTED_VALUE"""),37.55)</f>
        <v>37.55</v>
      </c>
      <c r="E605" s="2" t="n">
        <f aca="false">IFERROR(__xludf.dummyfunction("""COMPUTED_VALUE"""),38.95)</f>
        <v>38.95</v>
      </c>
      <c r="F605" s="2" t="n">
        <f aca="false">IFERROR(__xludf.dummyfunction("""COMPUTED_VALUE"""),71439676)</f>
        <v>71439676</v>
      </c>
    </row>
    <row r="606" customFormat="false" ht="15.75" hidden="false" customHeight="false" outlineLevel="0" collapsed="false">
      <c r="A606" s="3" t="n">
        <f aca="false">IFERROR(__xludf.dummyfunction("""COMPUTED_VALUE"""),45076.6666666667)</f>
        <v>45076.6666666667</v>
      </c>
      <c r="B606" s="2" t="n">
        <f aca="false">IFERROR(__xludf.dummyfunction("""COMPUTED_VALUE"""),40.6)</f>
        <v>40.6</v>
      </c>
      <c r="C606" s="2" t="n">
        <f aca="false">IFERROR(__xludf.dummyfunction("""COMPUTED_VALUE"""),41.94)</f>
        <v>41.94</v>
      </c>
      <c r="D606" s="2" t="n">
        <f aca="false">IFERROR(__xludf.dummyfunction("""COMPUTED_VALUE"""),39.95)</f>
        <v>39.95</v>
      </c>
      <c r="E606" s="2" t="n">
        <f aca="false">IFERROR(__xludf.dummyfunction("""COMPUTED_VALUE"""),40.11)</f>
        <v>40.11</v>
      </c>
      <c r="F606" s="2" t="n">
        <f aca="false">IFERROR(__xludf.dummyfunction("""COMPUTED_VALUE"""),92340110)</f>
        <v>92340110</v>
      </c>
    </row>
    <row r="607" customFormat="false" ht="15.75" hidden="false" customHeight="false" outlineLevel="0" collapsed="false">
      <c r="A607" s="3" t="n">
        <f aca="false">IFERROR(__xludf.dummyfunction("""COMPUTED_VALUE"""),45077.6666666667)</f>
        <v>45077.6666666667</v>
      </c>
      <c r="B607" s="2" t="n">
        <f aca="false">IFERROR(__xludf.dummyfunction("""COMPUTED_VALUE"""),39.49)</f>
        <v>39.49</v>
      </c>
      <c r="C607" s="2" t="n">
        <f aca="false">IFERROR(__xludf.dummyfunction("""COMPUTED_VALUE"""),40.3)</f>
        <v>40.3</v>
      </c>
      <c r="D607" s="2" t="n">
        <f aca="false">IFERROR(__xludf.dummyfunction("""COMPUTED_VALUE"""),37.82)</f>
        <v>37.82</v>
      </c>
      <c r="E607" s="2" t="n">
        <f aca="false">IFERROR(__xludf.dummyfunction("""COMPUTED_VALUE"""),37.83)</f>
        <v>37.83</v>
      </c>
      <c r="F607" s="2" t="n">
        <f aca="false">IFERROR(__xludf.dummyfunction("""COMPUTED_VALUE"""),100258020)</f>
        <v>100258020</v>
      </c>
    </row>
    <row r="608" customFormat="false" ht="15.75" hidden="false" customHeight="false" outlineLevel="0" collapsed="false">
      <c r="A608" s="3" t="n">
        <f aca="false">IFERROR(__xludf.dummyfunction("""COMPUTED_VALUE"""),45078.6666666667)</f>
        <v>45078.6666666667</v>
      </c>
      <c r="B608" s="2" t="n">
        <f aca="false">IFERROR(__xludf.dummyfunction("""COMPUTED_VALUE"""),38.49)</f>
        <v>38.49</v>
      </c>
      <c r="C608" s="2" t="n">
        <f aca="false">IFERROR(__xludf.dummyfunction("""COMPUTED_VALUE"""),40.05)</f>
        <v>40.05</v>
      </c>
      <c r="D608" s="2" t="n">
        <f aca="false">IFERROR(__xludf.dummyfunction("""COMPUTED_VALUE"""),38.34)</f>
        <v>38.34</v>
      </c>
      <c r="E608" s="2" t="n">
        <f aca="false">IFERROR(__xludf.dummyfunction("""COMPUTED_VALUE"""),39.77)</f>
        <v>39.77</v>
      </c>
      <c r="F608" s="2" t="n">
        <f aca="false">IFERROR(__xludf.dummyfunction("""COMPUTED_VALUE"""),63587295)</f>
        <v>63587295</v>
      </c>
    </row>
    <row r="609" customFormat="false" ht="15.75" hidden="false" customHeight="false" outlineLevel="0" collapsed="false">
      <c r="A609" s="3" t="n">
        <f aca="false">IFERROR(__xludf.dummyfunction("""COMPUTED_VALUE"""),45079.6666666667)</f>
        <v>45079.6666666667</v>
      </c>
      <c r="B609" s="2" t="n">
        <f aca="false">IFERROR(__xludf.dummyfunction("""COMPUTED_VALUE"""),40.1)</f>
        <v>40.1</v>
      </c>
      <c r="C609" s="2" t="n">
        <f aca="false">IFERROR(__xludf.dummyfunction("""COMPUTED_VALUE"""),40.5)</f>
        <v>40.5</v>
      </c>
      <c r="D609" s="2" t="n">
        <f aca="false">IFERROR(__xludf.dummyfunction("""COMPUTED_VALUE"""),39.06)</f>
        <v>39.06</v>
      </c>
      <c r="E609" s="2" t="n">
        <f aca="false">IFERROR(__xludf.dummyfunction("""COMPUTED_VALUE"""),39.33)</f>
        <v>39.33</v>
      </c>
      <c r="F609" s="2" t="n">
        <f aca="false">IFERROR(__xludf.dummyfunction("""COMPUTED_VALUE"""),48273121)</f>
        <v>48273121</v>
      </c>
    </row>
    <row r="610" customFormat="false" ht="15.75" hidden="false" customHeight="false" outlineLevel="0" collapsed="false">
      <c r="A610" s="3" t="n">
        <f aca="false">IFERROR(__xludf.dummyfunction("""COMPUTED_VALUE"""),45082.6666666667)</f>
        <v>45082.6666666667</v>
      </c>
      <c r="B610" s="2" t="n">
        <f aca="false">IFERROR(__xludf.dummyfunction("""COMPUTED_VALUE"""),38.91)</f>
        <v>38.91</v>
      </c>
      <c r="C610" s="2" t="n">
        <f aca="false">IFERROR(__xludf.dummyfunction("""COMPUTED_VALUE"""),39.57)</f>
        <v>39.57</v>
      </c>
      <c r="D610" s="2" t="n">
        <f aca="false">IFERROR(__xludf.dummyfunction("""COMPUTED_VALUE"""),38.71)</f>
        <v>38.71</v>
      </c>
      <c r="E610" s="2" t="n">
        <f aca="false">IFERROR(__xludf.dummyfunction("""COMPUTED_VALUE"""),39.17)</f>
        <v>39.17</v>
      </c>
      <c r="F610" s="2" t="n">
        <f aca="false">IFERROR(__xludf.dummyfunction("""COMPUTED_VALUE"""),39609381)</f>
        <v>39609381</v>
      </c>
    </row>
    <row r="611" customFormat="false" ht="15.75" hidden="false" customHeight="false" outlineLevel="0" collapsed="false">
      <c r="A611" s="3" t="n">
        <f aca="false">IFERROR(__xludf.dummyfunction("""COMPUTED_VALUE"""),45083.6666666667)</f>
        <v>45083.6666666667</v>
      </c>
      <c r="B611" s="2" t="n">
        <f aca="false">IFERROR(__xludf.dummyfunction("""COMPUTED_VALUE"""),38.83)</f>
        <v>38.83</v>
      </c>
      <c r="C611" s="2" t="n">
        <f aca="false">IFERROR(__xludf.dummyfunction("""COMPUTED_VALUE"""),39.16)</f>
        <v>39.16</v>
      </c>
      <c r="D611" s="2" t="n">
        <f aca="false">IFERROR(__xludf.dummyfunction("""COMPUTED_VALUE"""),38.15)</f>
        <v>38.15</v>
      </c>
      <c r="E611" s="2" t="n">
        <f aca="false">IFERROR(__xludf.dummyfunction("""COMPUTED_VALUE"""),38.65)</f>
        <v>38.65</v>
      </c>
      <c r="F611" s="2" t="n">
        <f aca="false">IFERROR(__xludf.dummyfunction("""COMPUTED_VALUE"""),38872914)</f>
        <v>38872914</v>
      </c>
    </row>
    <row r="612" customFormat="false" ht="15.75" hidden="false" customHeight="false" outlineLevel="0" collapsed="false">
      <c r="A612" s="3" t="n">
        <f aca="false">IFERROR(__xludf.dummyfunction("""COMPUTED_VALUE"""),45084.6666666667)</f>
        <v>45084.6666666667</v>
      </c>
      <c r="B612" s="2" t="n">
        <f aca="false">IFERROR(__xludf.dummyfunction("""COMPUTED_VALUE"""),38.92)</f>
        <v>38.92</v>
      </c>
      <c r="C612" s="2" t="n">
        <f aca="false">IFERROR(__xludf.dummyfunction("""COMPUTED_VALUE"""),39.5)</f>
        <v>39.5</v>
      </c>
      <c r="D612" s="2" t="n">
        <f aca="false">IFERROR(__xludf.dummyfunction("""COMPUTED_VALUE"""),37.36)</f>
        <v>37.36</v>
      </c>
      <c r="E612" s="2" t="n">
        <f aca="false">IFERROR(__xludf.dummyfunction("""COMPUTED_VALUE"""),37.48)</f>
        <v>37.48</v>
      </c>
      <c r="F612" s="2" t="n">
        <f aca="false">IFERROR(__xludf.dummyfunction("""COMPUTED_VALUE"""),51199789)</f>
        <v>51199789</v>
      </c>
    </row>
    <row r="613" customFormat="false" ht="15.75" hidden="false" customHeight="false" outlineLevel="0" collapsed="false">
      <c r="A613" s="3" t="n">
        <f aca="false">IFERROR(__xludf.dummyfunction("""COMPUTED_VALUE"""),45085.6666666667)</f>
        <v>45085.6666666667</v>
      </c>
      <c r="B613" s="2" t="n">
        <f aca="false">IFERROR(__xludf.dummyfunction("""COMPUTED_VALUE"""),37.72)</f>
        <v>37.72</v>
      </c>
      <c r="C613" s="2" t="n">
        <f aca="false">IFERROR(__xludf.dummyfunction("""COMPUTED_VALUE"""),38.86)</f>
        <v>38.86</v>
      </c>
      <c r="D613" s="2" t="n">
        <f aca="false">IFERROR(__xludf.dummyfunction("""COMPUTED_VALUE"""),37.51)</f>
        <v>37.51</v>
      </c>
      <c r="E613" s="2" t="n">
        <f aca="false">IFERROR(__xludf.dummyfunction("""COMPUTED_VALUE"""),38.51)</f>
        <v>38.51</v>
      </c>
      <c r="F613" s="2" t="n">
        <f aca="false">IFERROR(__xludf.dummyfunction("""COMPUTED_VALUE"""),41777240)</f>
        <v>41777240</v>
      </c>
    </row>
    <row r="614" customFormat="false" ht="15.75" hidden="false" customHeight="false" outlineLevel="0" collapsed="false">
      <c r="A614" s="3" t="n">
        <f aca="false">IFERROR(__xludf.dummyfunction("""COMPUTED_VALUE"""),45086.6666666667)</f>
        <v>45086.6666666667</v>
      </c>
      <c r="B614" s="2" t="n">
        <f aca="false">IFERROR(__xludf.dummyfunction("""COMPUTED_VALUE"""),39.04)</f>
        <v>39.04</v>
      </c>
      <c r="C614" s="2" t="n">
        <f aca="false">IFERROR(__xludf.dummyfunction("""COMPUTED_VALUE"""),39.71)</f>
        <v>39.71</v>
      </c>
      <c r="D614" s="2" t="n">
        <f aca="false">IFERROR(__xludf.dummyfunction("""COMPUTED_VALUE"""),38.57)</f>
        <v>38.57</v>
      </c>
      <c r="E614" s="2" t="n">
        <f aca="false">IFERROR(__xludf.dummyfunction("""COMPUTED_VALUE"""),38.77)</f>
        <v>38.77</v>
      </c>
      <c r="F614" s="2" t="n">
        <f aca="false">IFERROR(__xludf.dummyfunction("""COMPUTED_VALUE"""),42771747)</f>
        <v>42771747</v>
      </c>
    </row>
    <row r="615" customFormat="false" ht="15.75" hidden="false" customHeight="false" outlineLevel="0" collapsed="false">
      <c r="A615" s="3" t="n">
        <f aca="false">IFERROR(__xludf.dummyfunction("""COMPUTED_VALUE"""),45089.6666666667)</f>
        <v>45089.6666666667</v>
      </c>
      <c r="B615" s="2" t="n">
        <f aca="false">IFERROR(__xludf.dummyfunction("""COMPUTED_VALUE"""),39.2)</f>
        <v>39.2</v>
      </c>
      <c r="C615" s="2" t="n">
        <f aca="false">IFERROR(__xludf.dummyfunction("""COMPUTED_VALUE"""),39.53)</f>
        <v>39.53</v>
      </c>
      <c r="D615" s="2" t="n">
        <f aca="false">IFERROR(__xludf.dummyfunction("""COMPUTED_VALUE"""),38.62)</f>
        <v>38.62</v>
      </c>
      <c r="E615" s="2" t="n">
        <f aca="false">IFERROR(__xludf.dummyfunction("""COMPUTED_VALUE"""),39.48)</f>
        <v>39.48</v>
      </c>
      <c r="F615" s="2" t="n">
        <f aca="false">IFERROR(__xludf.dummyfunction("""COMPUTED_VALUE"""),38967335)</f>
        <v>38967335</v>
      </c>
    </row>
    <row r="616" customFormat="false" ht="15.75" hidden="false" customHeight="false" outlineLevel="0" collapsed="false">
      <c r="A616" s="3" t="n">
        <f aca="false">IFERROR(__xludf.dummyfunction("""COMPUTED_VALUE"""),45090.6666666667)</f>
        <v>45090.6666666667</v>
      </c>
      <c r="B616" s="2" t="n">
        <f aca="false">IFERROR(__xludf.dummyfunction("""COMPUTED_VALUE"""),40.19)</f>
        <v>40.19</v>
      </c>
      <c r="C616" s="2" t="n">
        <f aca="false">IFERROR(__xludf.dummyfunction("""COMPUTED_VALUE"""),41.1)</f>
        <v>41.1</v>
      </c>
      <c r="D616" s="2" t="n">
        <f aca="false">IFERROR(__xludf.dummyfunction("""COMPUTED_VALUE"""),39.74)</f>
        <v>39.74</v>
      </c>
      <c r="E616" s="2" t="n">
        <f aca="false">IFERROR(__xludf.dummyfunction("""COMPUTED_VALUE"""),41.02)</f>
        <v>41.02</v>
      </c>
      <c r="F616" s="2" t="n">
        <f aca="false">IFERROR(__xludf.dummyfunction("""COMPUTED_VALUE"""),61320816)</f>
        <v>61320816</v>
      </c>
    </row>
    <row r="617" customFormat="false" ht="15.75" hidden="false" customHeight="false" outlineLevel="0" collapsed="false">
      <c r="A617" s="3" t="n">
        <f aca="false">IFERROR(__xludf.dummyfunction("""COMPUTED_VALUE"""),45091.6666666667)</f>
        <v>45091.6666666667</v>
      </c>
      <c r="B617" s="2" t="n">
        <f aca="false">IFERROR(__xludf.dummyfunction("""COMPUTED_VALUE"""),40.82)</f>
        <v>40.82</v>
      </c>
      <c r="C617" s="2" t="n">
        <f aca="false">IFERROR(__xludf.dummyfunction("""COMPUTED_VALUE"""),43)</f>
        <v>43</v>
      </c>
      <c r="D617" s="2" t="n">
        <f aca="false">IFERROR(__xludf.dummyfunction("""COMPUTED_VALUE"""),40.55)</f>
        <v>40.55</v>
      </c>
      <c r="E617" s="2" t="n">
        <f aca="false">IFERROR(__xludf.dummyfunction("""COMPUTED_VALUE"""),43)</f>
        <v>43</v>
      </c>
      <c r="F617" s="2" t="n">
        <f aca="false">IFERROR(__xludf.dummyfunction("""COMPUTED_VALUE"""),74046502)</f>
        <v>74046502</v>
      </c>
    </row>
    <row r="618" customFormat="false" ht="15.75" hidden="false" customHeight="false" outlineLevel="0" collapsed="false">
      <c r="A618" s="3" t="n">
        <f aca="false">IFERROR(__xludf.dummyfunction("""COMPUTED_VALUE"""),45092.6666666667)</f>
        <v>45092.6666666667</v>
      </c>
      <c r="B618" s="2" t="n">
        <f aca="false">IFERROR(__xludf.dummyfunction("""COMPUTED_VALUE"""),42.6)</f>
        <v>42.6</v>
      </c>
      <c r="C618" s="2" t="n">
        <f aca="false">IFERROR(__xludf.dummyfunction("""COMPUTED_VALUE"""),43.29)</f>
        <v>43.29</v>
      </c>
      <c r="D618" s="2" t="n">
        <f aca="false">IFERROR(__xludf.dummyfunction("""COMPUTED_VALUE"""),42.15)</f>
        <v>42.15</v>
      </c>
      <c r="E618" s="2" t="n">
        <f aca="false">IFERROR(__xludf.dummyfunction("""COMPUTED_VALUE"""),42.65)</f>
        <v>42.65</v>
      </c>
      <c r="F618" s="2" t="n">
        <f aca="false">IFERROR(__xludf.dummyfunction("""COMPUTED_VALUE"""),56862204)</f>
        <v>56862204</v>
      </c>
    </row>
    <row r="619" customFormat="false" ht="15.75" hidden="false" customHeight="false" outlineLevel="0" collapsed="false">
      <c r="A619" s="3" t="n">
        <f aca="false">IFERROR(__xludf.dummyfunction("""COMPUTED_VALUE"""),45093.6666666667)</f>
        <v>45093.6666666667</v>
      </c>
      <c r="B619" s="2" t="n">
        <f aca="false">IFERROR(__xludf.dummyfunction("""COMPUTED_VALUE"""),43.45)</f>
        <v>43.45</v>
      </c>
      <c r="C619" s="2" t="n">
        <f aca="false">IFERROR(__xludf.dummyfunction("""COMPUTED_VALUE"""),43.72)</f>
        <v>43.72</v>
      </c>
      <c r="D619" s="2" t="n">
        <f aca="false">IFERROR(__xludf.dummyfunction("""COMPUTED_VALUE"""),42.66)</f>
        <v>42.66</v>
      </c>
      <c r="E619" s="2" t="n">
        <f aca="false">IFERROR(__xludf.dummyfunction("""COMPUTED_VALUE"""),42.69)</f>
        <v>42.69</v>
      </c>
      <c r="F619" s="2" t="n">
        <f aca="false">IFERROR(__xludf.dummyfunction("""COMPUTED_VALUE"""),65570941)</f>
        <v>65570941</v>
      </c>
    </row>
    <row r="620" customFormat="false" ht="15.75" hidden="false" customHeight="false" outlineLevel="0" collapsed="false">
      <c r="A620" s="3" t="n">
        <f aca="false">IFERROR(__xludf.dummyfunction("""COMPUTED_VALUE"""),45097.6666666667)</f>
        <v>45097.6666666667</v>
      </c>
      <c r="B620" s="2" t="n">
        <f aca="false">IFERROR(__xludf.dummyfunction("""COMPUTED_VALUE"""),43)</f>
        <v>43</v>
      </c>
      <c r="C620" s="2" t="n">
        <f aca="false">IFERROR(__xludf.dummyfunction("""COMPUTED_VALUE"""),43.99)</f>
        <v>43.99</v>
      </c>
      <c r="D620" s="2" t="n">
        <f aca="false">IFERROR(__xludf.dummyfunction("""COMPUTED_VALUE"""),42.67)</f>
        <v>42.67</v>
      </c>
      <c r="E620" s="2" t="n">
        <f aca="false">IFERROR(__xludf.dummyfunction("""COMPUTED_VALUE"""),43.81)</f>
        <v>43.81</v>
      </c>
      <c r="F620" s="2" t="n">
        <f aca="false">IFERROR(__xludf.dummyfunction("""COMPUTED_VALUE"""),45115311)</f>
        <v>45115311</v>
      </c>
    </row>
    <row r="621" customFormat="false" ht="15.75" hidden="false" customHeight="false" outlineLevel="0" collapsed="false">
      <c r="A621" s="3" t="n">
        <f aca="false">IFERROR(__xludf.dummyfunction("""COMPUTED_VALUE"""),45098.6666666667)</f>
        <v>45098.6666666667</v>
      </c>
      <c r="B621" s="2" t="n">
        <f aca="false">IFERROR(__xludf.dummyfunction("""COMPUTED_VALUE"""),43.5)</f>
        <v>43.5</v>
      </c>
      <c r="C621" s="2" t="n">
        <f aca="false">IFERROR(__xludf.dummyfunction("""COMPUTED_VALUE"""),43.62)</f>
        <v>43.62</v>
      </c>
      <c r="D621" s="2" t="n">
        <f aca="false">IFERROR(__xludf.dummyfunction("""COMPUTED_VALUE"""),42.08)</f>
        <v>42.08</v>
      </c>
      <c r="E621" s="2" t="n">
        <f aca="false">IFERROR(__xludf.dummyfunction("""COMPUTED_VALUE"""),43.05)</f>
        <v>43.05</v>
      </c>
      <c r="F621" s="2" t="n">
        <f aca="false">IFERROR(__xludf.dummyfunction("""COMPUTED_VALUE"""),55160291)</f>
        <v>55160291</v>
      </c>
    </row>
    <row r="622" customFormat="false" ht="15.75" hidden="false" customHeight="false" outlineLevel="0" collapsed="false">
      <c r="A622" s="3" t="n">
        <f aca="false">IFERROR(__xludf.dummyfunction("""COMPUTED_VALUE"""),45099.6666666667)</f>
        <v>45099.6666666667</v>
      </c>
      <c r="B622" s="2" t="n">
        <f aca="false">IFERROR(__xludf.dummyfunction("""COMPUTED_VALUE"""),42.25)</f>
        <v>42.25</v>
      </c>
      <c r="C622" s="2" t="n">
        <f aca="false">IFERROR(__xludf.dummyfunction("""COMPUTED_VALUE"""),43.43)</f>
        <v>43.43</v>
      </c>
      <c r="D622" s="2" t="n">
        <f aca="false">IFERROR(__xludf.dummyfunction("""COMPUTED_VALUE"""),42.23)</f>
        <v>42.23</v>
      </c>
      <c r="E622" s="2" t="n">
        <f aca="false">IFERROR(__xludf.dummyfunction("""COMPUTED_VALUE"""),43.03)</f>
        <v>43.03</v>
      </c>
      <c r="F622" s="2" t="n">
        <f aca="false">IFERROR(__xludf.dummyfunction("""COMPUTED_VALUE"""),41773743)</f>
        <v>41773743</v>
      </c>
    </row>
    <row r="623" customFormat="false" ht="15.75" hidden="false" customHeight="false" outlineLevel="0" collapsed="false">
      <c r="A623" s="3" t="n">
        <f aca="false">IFERROR(__xludf.dummyfunction("""COMPUTED_VALUE"""),45100.6666666667)</f>
        <v>45100.6666666667</v>
      </c>
      <c r="B623" s="2" t="n">
        <f aca="false">IFERROR(__xludf.dummyfunction("""COMPUTED_VALUE"""),42.46)</f>
        <v>42.46</v>
      </c>
      <c r="C623" s="2" t="n">
        <f aca="false">IFERROR(__xludf.dummyfunction("""COMPUTED_VALUE"""),42.81)</f>
        <v>42.81</v>
      </c>
      <c r="D623" s="2" t="n">
        <f aca="false">IFERROR(__xludf.dummyfunction("""COMPUTED_VALUE"""),42.02)</f>
        <v>42.02</v>
      </c>
      <c r="E623" s="2" t="n">
        <f aca="false">IFERROR(__xludf.dummyfunction("""COMPUTED_VALUE"""),42.21)</f>
        <v>42.21</v>
      </c>
      <c r="F623" s="2" t="n">
        <f aca="false">IFERROR(__xludf.dummyfunction("""COMPUTED_VALUE"""),35813984)</f>
        <v>35813984</v>
      </c>
    </row>
    <row r="624" customFormat="false" ht="15.75" hidden="false" customHeight="false" outlineLevel="0" collapsed="false">
      <c r="A624" s="3" t="n">
        <f aca="false">IFERROR(__xludf.dummyfunction("""COMPUTED_VALUE"""),45103.6666666667)</f>
        <v>45103.6666666667</v>
      </c>
      <c r="B624" s="2" t="n">
        <f aca="false">IFERROR(__xludf.dummyfunction("""COMPUTED_VALUE"""),42.46)</f>
        <v>42.46</v>
      </c>
      <c r="C624" s="2" t="n">
        <f aca="false">IFERROR(__xludf.dummyfunction("""COMPUTED_VALUE"""),42.76)</f>
        <v>42.76</v>
      </c>
      <c r="D624" s="2" t="n">
        <f aca="false">IFERROR(__xludf.dummyfunction("""COMPUTED_VALUE"""),40.1)</f>
        <v>40.1</v>
      </c>
      <c r="E624" s="2" t="n">
        <f aca="false">IFERROR(__xludf.dummyfunction("""COMPUTED_VALUE"""),40.63)</f>
        <v>40.63</v>
      </c>
      <c r="F624" s="2" t="n">
        <f aca="false">IFERROR(__xludf.dummyfunction("""COMPUTED_VALUE"""),59432192)</f>
        <v>59432192</v>
      </c>
    </row>
    <row r="625" customFormat="false" ht="15.75" hidden="false" customHeight="false" outlineLevel="0" collapsed="false">
      <c r="A625" s="3" t="n">
        <f aca="false">IFERROR(__xludf.dummyfunction("""COMPUTED_VALUE"""),45104.6666666667)</f>
        <v>45104.6666666667</v>
      </c>
      <c r="B625" s="2" t="n">
        <f aca="false">IFERROR(__xludf.dummyfunction("""COMPUTED_VALUE"""),40.8)</f>
        <v>40.8</v>
      </c>
      <c r="C625" s="2" t="n">
        <f aca="false">IFERROR(__xludf.dummyfunction("""COMPUTED_VALUE"""),41.94)</f>
        <v>41.94</v>
      </c>
      <c r="D625" s="2" t="n">
        <f aca="false">IFERROR(__xludf.dummyfunction("""COMPUTED_VALUE"""),40.45)</f>
        <v>40.45</v>
      </c>
      <c r="E625" s="2" t="n">
        <f aca="false">IFERROR(__xludf.dummyfunction("""COMPUTED_VALUE"""),41.88)</f>
        <v>41.88</v>
      </c>
      <c r="F625" s="2" t="n">
        <f aca="false">IFERROR(__xludf.dummyfunction("""COMPUTED_VALUE"""),46217470)</f>
        <v>46217470</v>
      </c>
    </row>
    <row r="626" customFormat="false" ht="15.75" hidden="false" customHeight="false" outlineLevel="0" collapsed="false">
      <c r="A626" s="3" t="n">
        <f aca="false">IFERROR(__xludf.dummyfunction("""COMPUTED_VALUE"""),45105.6666666667)</f>
        <v>45105.6666666667</v>
      </c>
      <c r="B626" s="2" t="n">
        <f aca="false">IFERROR(__xludf.dummyfunction("""COMPUTED_VALUE"""),40.66)</f>
        <v>40.66</v>
      </c>
      <c r="C626" s="2" t="n">
        <f aca="false">IFERROR(__xludf.dummyfunction("""COMPUTED_VALUE"""),41.85)</f>
        <v>41.85</v>
      </c>
      <c r="D626" s="2" t="n">
        <f aca="false">IFERROR(__xludf.dummyfunction("""COMPUTED_VALUE"""),40.52)</f>
        <v>40.52</v>
      </c>
      <c r="E626" s="2" t="n">
        <f aca="false">IFERROR(__xludf.dummyfunction("""COMPUTED_VALUE"""),41.12)</f>
        <v>41.12</v>
      </c>
      <c r="F626" s="2" t="n">
        <f aca="false">IFERROR(__xludf.dummyfunction("""COMPUTED_VALUE"""),58263927)</f>
        <v>58263927</v>
      </c>
    </row>
    <row r="627" customFormat="false" ht="15.75" hidden="false" customHeight="false" outlineLevel="0" collapsed="false">
      <c r="A627" s="3" t="n">
        <f aca="false">IFERROR(__xludf.dummyfunction("""COMPUTED_VALUE"""),45106.6666666667)</f>
        <v>45106.6666666667</v>
      </c>
      <c r="B627" s="2" t="n">
        <f aca="false">IFERROR(__xludf.dummyfunction("""COMPUTED_VALUE"""),41.56)</f>
        <v>41.56</v>
      </c>
      <c r="C627" s="2" t="n">
        <f aca="false">IFERROR(__xludf.dummyfunction("""COMPUTED_VALUE"""),41.6)</f>
        <v>41.6</v>
      </c>
      <c r="D627" s="2" t="n">
        <f aca="false">IFERROR(__xludf.dummyfunction("""COMPUTED_VALUE"""),40.6)</f>
        <v>40.6</v>
      </c>
      <c r="E627" s="2" t="n">
        <f aca="false">IFERROR(__xludf.dummyfunction("""COMPUTED_VALUE"""),40.82)</f>
        <v>40.82</v>
      </c>
      <c r="F627" s="2" t="n">
        <f aca="false">IFERROR(__xludf.dummyfunction("""COMPUTED_VALUE"""),38051430)</f>
        <v>38051430</v>
      </c>
    </row>
    <row r="628" customFormat="false" ht="15.75" hidden="false" customHeight="false" outlineLevel="0" collapsed="false">
      <c r="A628" s="3" t="n">
        <f aca="false">IFERROR(__xludf.dummyfunction("""COMPUTED_VALUE"""),45107.6666666667)</f>
        <v>45107.6666666667</v>
      </c>
      <c r="B628" s="2" t="n">
        <f aca="false">IFERROR(__xludf.dummyfunction("""COMPUTED_VALUE"""),41.68)</f>
        <v>41.68</v>
      </c>
      <c r="C628" s="2" t="n">
        <f aca="false">IFERROR(__xludf.dummyfunction("""COMPUTED_VALUE"""),42.55)</f>
        <v>42.55</v>
      </c>
      <c r="D628" s="2" t="n">
        <f aca="false">IFERROR(__xludf.dummyfunction("""COMPUTED_VALUE"""),41.5)</f>
        <v>41.5</v>
      </c>
      <c r="E628" s="2" t="n">
        <f aca="false">IFERROR(__xludf.dummyfunction("""COMPUTED_VALUE"""),42.3)</f>
        <v>42.3</v>
      </c>
      <c r="F628" s="2" t="n">
        <f aca="false">IFERROR(__xludf.dummyfunction("""COMPUTED_VALUE"""),50114775)</f>
        <v>50114775</v>
      </c>
    </row>
    <row r="629" customFormat="false" ht="15.75" hidden="false" customHeight="false" outlineLevel="0" collapsed="false">
      <c r="A629" s="3" t="n">
        <f aca="false">IFERROR(__xludf.dummyfunction("""COMPUTED_VALUE"""),45110.5451388889)</f>
        <v>45110.5451388889</v>
      </c>
      <c r="B629" s="2" t="n">
        <f aca="false">IFERROR(__xludf.dummyfunction("""COMPUTED_VALUE"""),42.52)</f>
        <v>42.52</v>
      </c>
      <c r="C629" s="2" t="n">
        <f aca="false">IFERROR(__xludf.dummyfunction("""COMPUTED_VALUE"""),42.9)</f>
        <v>42.9</v>
      </c>
      <c r="D629" s="2" t="n">
        <f aca="false">IFERROR(__xludf.dummyfunction("""COMPUTED_VALUE"""),42.2)</f>
        <v>42.2</v>
      </c>
      <c r="E629" s="2" t="n">
        <f aca="false">IFERROR(__xludf.dummyfunction("""COMPUTED_VALUE"""),42.41)</f>
        <v>42.41</v>
      </c>
      <c r="F629" s="2" t="n">
        <f aca="false">IFERROR(__xludf.dummyfunction("""COMPUTED_VALUE"""),19820919)</f>
        <v>19820919</v>
      </c>
    </row>
    <row r="630" customFormat="false" ht="15.75" hidden="false" customHeight="false" outlineLevel="0" collapsed="false">
      <c r="A630" s="3" t="n">
        <f aca="false">IFERROR(__xludf.dummyfunction("""COMPUTED_VALUE"""),45112.6666666667)</f>
        <v>45112.6666666667</v>
      </c>
      <c r="B630" s="2" t="n">
        <f aca="false">IFERROR(__xludf.dummyfunction("""COMPUTED_VALUE"""),42.14)</f>
        <v>42.14</v>
      </c>
      <c r="C630" s="2" t="n">
        <f aca="false">IFERROR(__xludf.dummyfunction("""COMPUTED_VALUE"""),43.18)</f>
        <v>43.18</v>
      </c>
      <c r="D630" s="2" t="n">
        <f aca="false">IFERROR(__xludf.dummyfunction("""COMPUTED_VALUE"""),42.09)</f>
        <v>42.09</v>
      </c>
      <c r="E630" s="2" t="n">
        <f aca="false">IFERROR(__xludf.dummyfunction("""COMPUTED_VALUE"""),42.32)</f>
        <v>42.32</v>
      </c>
      <c r="F630" s="2" t="n">
        <f aca="false">IFERROR(__xludf.dummyfunction("""COMPUTED_VALUE"""),32361756)</f>
        <v>32361756</v>
      </c>
    </row>
    <row r="631" customFormat="false" ht="15.75" hidden="false" customHeight="false" outlineLevel="0" collapsed="false">
      <c r="A631" s="3" t="n">
        <f aca="false">IFERROR(__xludf.dummyfunction("""COMPUTED_VALUE"""),45113.6666666667)</f>
        <v>45113.6666666667</v>
      </c>
      <c r="B631" s="2" t="n">
        <f aca="false">IFERROR(__xludf.dummyfunction("""COMPUTED_VALUE"""),41.84)</f>
        <v>41.84</v>
      </c>
      <c r="C631" s="2" t="n">
        <f aca="false">IFERROR(__xludf.dummyfunction("""COMPUTED_VALUE"""),42.18)</f>
        <v>42.18</v>
      </c>
      <c r="D631" s="2" t="n">
        <f aca="false">IFERROR(__xludf.dummyfunction("""COMPUTED_VALUE"""),41.35)</f>
        <v>41.35</v>
      </c>
      <c r="E631" s="2" t="n">
        <f aca="false">IFERROR(__xludf.dummyfunction("""COMPUTED_VALUE"""),42.1)</f>
        <v>42.1</v>
      </c>
      <c r="F631" s="2" t="n">
        <f aca="false">IFERROR(__xludf.dummyfunction("""COMPUTED_VALUE"""),30413879)</f>
        <v>30413879</v>
      </c>
    </row>
    <row r="632" customFormat="false" ht="15.75" hidden="false" customHeight="false" outlineLevel="0" collapsed="false">
      <c r="A632" s="3" t="n">
        <f aca="false">IFERROR(__xludf.dummyfunction("""COMPUTED_VALUE"""),45114.6666666667)</f>
        <v>45114.6666666667</v>
      </c>
      <c r="B632" s="2" t="n">
        <f aca="false">IFERROR(__xludf.dummyfunction("""COMPUTED_VALUE"""),42.32)</f>
        <v>42.32</v>
      </c>
      <c r="C632" s="2" t="n">
        <f aca="false">IFERROR(__xludf.dummyfunction("""COMPUTED_VALUE"""),43.21)</f>
        <v>43.21</v>
      </c>
      <c r="D632" s="2" t="n">
        <f aca="false">IFERROR(__xludf.dummyfunction("""COMPUTED_VALUE"""),42.18)</f>
        <v>42.18</v>
      </c>
      <c r="E632" s="2" t="n">
        <f aca="false">IFERROR(__xludf.dummyfunction("""COMPUTED_VALUE"""),42.5)</f>
        <v>42.5</v>
      </c>
      <c r="F632" s="2" t="n">
        <f aca="false">IFERROR(__xludf.dummyfunction("""COMPUTED_VALUE"""),35588147)</f>
        <v>35588147</v>
      </c>
    </row>
    <row r="633" customFormat="false" ht="15.75" hidden="false" customHeight="false" outlineLevel="0" collapsed="false">
      <c r="A633" s="3" t="n">
        <f aca="false">IFERROR(__xludf.dummyfunction("""COMPUTED_VALUE"""),45117.6666666667)</f>
        <v>45117.6666666667</v>
      </c>
      <c r="B633" s="2" t="n">
        <f aca="false">IFERROR(__xludf.dummyfunction("""COMPUTED_VALUE"""),42.66)</f>
        <v>42.66</v>
      </c>
      <c r="C633" s="2" t="n">
        <f aca="false">IFERROR(__xludf.dummyfunction("""COMPUTED_VALUE"""),42.81)</f>
        <v>42.81</v>
      </c>
      <c r="D633" s="2" t="n">
        <f aca="false">IFERROR(__xludf.dummyfunction("""COMPUTED_VALUE"""),41.65)</f>
        <v>41.65</v>
      </c>
      <c r="E633" s="2" t="n">
        <f aca="false">IFERROR(__xludf.dummyfunction("""COMPUTED_VALUE"""),42.18)</f>
        <v>42.18</v>
      </c>
      <c r="F633" s="2" t="n">
        <f aca="false">IFERROR(__xludf.dummyfunction("""COMPUTED_VALUE"""),35390811)</f>
        <v>35390811</v>
      </c>
    </row>
    <row r="634" customFormat="false" ht="15.75" hidden="false" customHeight="false" outlineLevel="0" collapsed="false">
      <c r="A634" s="3" t="n">
        <f aca="false">IFERROR(__xludf.dummyfunction("""COMPUTED_VALUE"""),45118.6666666667)</f>
        <v>45118.6666666667</v>
      </c>
      <c r="B634" s="2" t="n">
        <f aca="false">IFERROR(__xludf.dummyfunction("""COMPUTED_VALUE"""),42.48)</f>
        <v>42.48</v>
      </c>
      <c r="C634" s="2" t="n">
        <f aca="false">IFERROR(__xludf.dummyfunction("""COMPUTED_VALUE"""),42.76)</f>
        <v>42.76</v>
      </c>
      <c r="D634" s="2" t="n">
        <f aca="false">IFERROR(__xludf.dummyfunction("""COMPUTED_VALUE"""),42.07)</f>
        <v>42.07</v>
      </c>
      <c r="E634" s="2" t="n">
        <f aca="false">IFERROR(__xludf.dummyfunction("""COMPUTED_VALUE"""),42.41)</f>
        <v>42.41</v>
      </c>
      <c r="F634" s="2" t="n">
        <f aca="false">IFERROR(__xludf.dummyfunction("""COMPUTED_VALUE"""),29824406)</f>
        <v>29824406</v>
      </c>
    </row>
    <row r="635" customFormat="false" ht="15.75" hidden="false" customHeight="false" outlineLevel="0" collapsed="false">
      <c r="A635" s="3" t="n">
        <f aca="false">IFERROR(__xludf.dummyfunction("""COMPUTED_VALUE"""),45119.6666666667)</f>
        <v>45119.6666666667</v>
      </c>
      <c r="B635" s="2" t="n">
        <f aca="false">IFERROR(__xludf.dummyfunction("""COMPUTED_VALUE"""),43.03)</f>
        <v>43.03</v>
      </c>
      <c r="C635" s="2" t="n">
        <f aca="false">IFERROR(__xludf.dummyfunction("""COMPUTED_VALUE"""),43.94)</f>
        <v>43.94</v>
      </c>
      <c r="D635" s="2" t="n">
        <f aca="false">IFERROR(__xludf.dummyfunction("""COMPUTED_VALUE"""),42.78)</f>
        <v>42.78</v>
      </c>
      <c r="E635" s="2" t="n">
        <f aca="false">IFERROR(__xludf.dummyfunction("""COMPUTED_VALUE"""),43.9)</f>
        <v>43.9</v>
      </c>
      <c r="F635" s="2" t="n">
        <f aca="false">IFERROR(__xludf.dummyfunction("""COMPUTED_VALUE"""),48127702)</f>
        <v>48127702</v>
      </c>
    </row>
    <row r="636" customFormat="false" ht="15.75" hidden="false" customHeight="false" outlineLevel="0" collapsed="false">
      <c r="A636" s="3" t="n">
        <f aca="false">IFERROR(__xludf.dummyfunction("""COMPUTED_VALUE"""),45120.6666666667)</f>
        <v>45120.6666666667</v>
      </c>
      <c r="B636" s="2" t="n">
        <f aca="false">IFERROR(__xludf.dummyfunction("""COMPUTED_VALUE"""),44.52)</f>
        <v>44.52</v>
      </c>
      <c r="C636" s="2" t="n">
        <f aca="false">IFERROR(__xludf.dummyfunction("""COMPUTED_VALUE"""),46.16)</f>
        <v>46.16</v>
      </c>
      <c r="D636" s="2" t="n">
        <f aca="false">IFERROR(__xludf.dummyfunction("""COMPUTED_VALUE"""),44.49)</f>
        <v>44.49</v>
      </c>
      <c r="E636" s="2" t="n">
        <f aca="false">IFERROR(__xludf.dummyfunction("""COMPUTED_VALUE"""),45.98)</f>
        <v>45.98</v>
      </c>
      <c r="F636" s="2" t="n">
        <f aca="false">IFERROR(__xludf.dummyfunction("""COMPUTED_VALUE"""),47820369)</f>
        <v>47820369</v>
      </c>
    </row>
    <row r="637" customFormat="false" ht="15.75" hidden="false" customHeight="false" outlineLevel="0" collapsed="false">
      <c r="A637" s="3" t="n">
        <f aca="false">IFERROR(__xludf.dummyfunction("""COMPUTED_VALUE"""),45121.6666666667)</f>
        <v>45121.6666666667</v>
      </c>
      <c r="B637" s="2" t="n">
        <f aca="false">IFERROR(__xludf.dummyfunction("""COMPUTED_VALUE"""),46.58)</f>
        <v>46.58</v>
      </c>
      <c r="C637" s="2" t="n">
        <f aca="false">IFERROR(__xludf.dummyfunction("""COMPUTED_VALUE"""),48.09)</f>
        <v>48.09</v>
      </c>
      <c r="D637" s="2" t="n">
        <f aca="false">IFERROR(__xludf.dummyfunction("""COMPUTED_VALUE"""),45.06)</f>
        <v>45.06</v>
      </c>
      <c r="E637" s="2" t="n">
        <f aca="false">IFERROR(__xludf.dummyfunction("""COMPUTED_VALUE"""),45.47)</f>
        <v>45.47</v>
      </c>
      <c r="F637" s="2" t="n">
        <f aca="false">IFERROR(__xludf.dummyfunction("""COMPUTED_VALUE"""),77207533)</f>
        <v>77207533</v>
      </c>
    </row>
    <row r="638" customFormat="false" ht="15.75" hidden="false" customHeight="false" outlineLevel="0" collapsed="false">
      <c r="A638" s="3" t="n">
        <f aca="false">IFERROR(__xludf.dummyfunction("""COMPUTED_VALUE"""),45124.6666666667)</f>
        <v>45124.6666666667</v>
      </c>
      <c r="B638" s="2" t="n">
        <f aca="false">IFERROR(__xludf.dummyfunction("""COMPUTED_VALUE"""),46.29)</f>
        <v>46.29</v>
      </c>
      <c r="C638" s="2" t="n">
        <f aca="false">IFERROR(__xludf.dummyfunction("""COMPUTED_VALUE"""),46.5)</f>
        <v>46.5</v>
      </c>
      <c r="D638" s="2" t="n">
        <f aca="false">IFERROR(__xludf.dummyfunction("""COMPUTED_VALUE"""),45.26)</f>
        <v>45.26</v>
      </c>
      <c r="E638" s="2" t="n">
        <f aca="false">IFERROR(__xludf.dummyfunction("""COMPUTED_VALUE"""),46.46)</f>
        <v>46.46</v>
      </c>
      <c r="F638" s="2" t="n">
        <f aca="false">IFERROR(__xludf.dummyfunction("""COMPUTED_VALUE"""),51048822)</f>
        <v>51048822</v>
      </c>
    </row>
    <row r="639" customFormat="false" ht="15.75" hidden="false" customHeight="false" outlineLevel="0" collapsed="false">
      <c r="A639" s="3" t="n">
        <f aca="false">IFERROR(__xludf.dummyfunction("""COMPUTED_VALUE"""),45125.6666666667)</f>
        <v>45125.6666666667</v>
      </c>
      <c r="B639" s="2" t="n">
        <f aca="false">IFERROR(__xludf.dummyfunction("""COMPUTED_VALUE"""),46.7)</f>
        <v>46.7</v>
      </c>
      <c r="C639" s="2" t="n">
        <f aca="false">IFERROR(__xludf.dummyfunction("""COMPUTED_VALUE"""),47.9)</f>
        <v>47.9</v>
      </c>
      <c r="D639" s="2" t="n">
        <f aca="false">IFERROR(__xludf.dummyfunction("""COMPUTED_VALUE"""),45.73)</f>
        <v>45.73</v>
      </c>
      <c r="E639" s="2" t="n">
        <f aca="false">IFERROR(__xludf.dummyfunction("""COMPUTED_VALUE"""),47.49)</f>
        <v>47.49</v>
      </c>
      <c r="F639" s="2" t="n">
        <f aca="false">IFERROR(__xludf.dummyfunction("""COMPUTED_VALUE"""),57019042)</f>
        <v>57019042</v>
      </c>
    </row>
    <row r="640" customFormat="false" ht="15.75" hidden="false" customHeight="false" outlineLevel="0" collapsed="false">
      <c r="A640" s="3" t="n">
        <f aca="false">IFERROR(__xludf.dummyfunction("""COMPUTED_VALUE"""),45126.6666666667)</f>
        <v>45126.6666666667</v>
      </c>
      <c r="B640" s="2" t="n">
        <f aca="false">IFERROR(__xludf.dummyfunction("""COMPUTED_VALUE"""),47.46)</f>
        <v>47.46</v>
      </c>
      <c r="C640" s="2" t="n">
        <f aca="false">IFERROR(__xludf.dummyfunction("""COMPUTED_VALUE"""),47.82)</f>
        <v>47.82</v>
      </c>
      <c r="D640" s="2" t="n">
        <f aca="false">IFERROR(__xludf.dummyfunction("""COMPUTED_VALUE"""),46.74)</f>
        <v>46.74</v>
      </c>
      <c r="E640" s="2" t="n">
        <f aca="false">IFERROR(__xludf.dummyfunction("""COMPUTED_VALUE"""),47.08)</f>
        <v>47.08</v>
      </c>
      <c r="F640" s="2" t="n">
        <f aca="false">IFERROR(__xludf.dummyfunction("""COMPUTED_VALUE"""),42750179)</f>
        <v>42750179</v>
      </c>
    </row>
    <row r="641" customFormat="false" ht="15.75" hidden="false" customHeight="false" outlineLevel="0" collapsed="false">
      <c r="A641" s="3" t="n">
        <f aca="false">IFERROR(__xludf.dummyfunction("""COMPUTED_VALUE"""),45127.6666666667)</f>
        <v>45127.6666666667</v>
      </c>
      <c r="B641" s="2" t="n">
        <f aca="false">IFERROR(__xludf.dummyfunction("""COMPUTED_VALUE"""),46.51)</f>
        <v>46.51</v>
      </c>
      <c r="C641" s="2" t="n">
        <f aca="false">IFERROR(__xludf.dummyfunction("""COMPUTED_VALUE"""),47.09)</f>
        <v>47.09</v>
      </c>
      <c r="D641" s="2" t="n">
        <f aca="false">IFERROR(__xludf.dummyfunction("""COMPUTED_VALUE"""),45.06)</f>
        <v>45.06</v>
      </c>
      <c r="E641" s="2" t="n">
        <f aca="false">IFERROR(__xludf.dummyfunction("""COMPUTED_VALUE"""),45.52)</f>
        <v>45.52</v>
      </c>
      <c r="F641" s="2" t="n">
        <f aca="false">IFERROR(__xludf.dummyfunction("""COMPUTED_VALUE"""),53786451)</f>
        <v>53786451</v>
      </c>
    </row>
    <row r="642" customFormat="false" ht="15.75" hidden="false" customHeight="false" outlineLevel="0" collapsed="false">
      <c r="A642" s="3" t="n">
        <f aca="false">IFERROR(__xludf.dummyfunction("""COMPUTED_VALUE"""),45128.6666666667)</f>
        <v>45128.6666666667</v>
      </c>
      <c r="B642" s="2" t="n">
        <f aca="false">IFERROR(__xludf.dummyfunction("""COMPUTED_VALUE"""),45.79)</f>
        <v>45.79</v>
      </c>
      <c r="C642" s="2" t="n">
        <f aca="false">IFERROR(__xludf.dummyfunction("""COMPUTED_VALUE"""),45.87)</f>
        <v>45.87</v>
      </c>
      <c r="D642" s="2" t="n">
        <f aca="false">IFERROR(__xludf.dummyfunction("""COMPUTED_VALUE"""),44.1)</f>
        <v>44.1</v>
      </c>
      <c r="E642" s="2" t="n">
        <f aca="false">IFERROR(__xludf.dummyfunction("""COMPUTED_VALUE"""),44.31)</f>
        <v>44.31</v>
      </c>
      <c r="F642" s="2" t="n">
        <f aca="false">IFERROR(__xludf.dummyfunction("""COMPUTED_VALUE"""),96376863)</f>
        <v>96376863</v>
      </c>
    </row>
    <row r="643" customFormat="false" ht="15.75" hidden="false" customHeight="false" outlineLevel="0" collapsed="false">
      <c r="A643" s="3" t="n">
        <f aca="false">IFERROR(__xludf.dummyfunction("""COMPUTED_VALUE"""),45131.6666666667)</f>
        <v>45131.6666666667</v>
      </c>
      <c r="B643" s="2" t="n">
        <f aca="false">IFERROR(__xludf.dummyfunction("""COMPUTED_VALUE"""),44.73)</f>
        <v>44.73</v>
      </c>
      <c r="C643" s="2" t="n">
        <f aca="false">IFERROR(__xludf.dummyfunction("""COMPUTED_VALUE"""),45.11)</f>
        <v>45.11</v>
      </c>
      <c r="D643" s="2" t="n">
        <f aca="false">IFERROR(__xludf.dummyfunction("""COMPUTED_VALUE"""),44.04)</f>
        <v>44.04</v>
      </c>
      <c r="E643" s="2" t="n">
        <f aca="false">IFERROR(__xludf.dummyfunction("""COMPUTED_VALUE"""),44.61)</f>
        <v>44.61</v>
      </c>
      <c r="F643" s="2" t="n">
        <f aca="false">IFERROR(__xludf.dummyfunction("""COMPUTED_VALUE"""),38309974)</f>
        <v>38309974</v>
      </c>
    </row>
    <row r="644" customFormat="false" ht="15.75" hidden="false" customHeight="false" outlineLevel="0" collapsed="false">
      <c r="A644" s="3" t="n">
        <f aca="false">IFERROR(__xludf.dummyfunction("""COMPUTED_VALUE"""),45132.6666666667)</f>
        <v>45132.6666666667</v>
      </c>
      <c r="B644" s="2" t="n">
        <f aca="false">IFERROR(__xludf.dummyfunction("""COMPUTED_VALUE"""),44.94)</f>
        <v>44.94</v>
      </c>
      <c r="C644" s="2" t="n">
        <f aca="false">IFERROR(__xludf.dummyfunction("""COMPUTED_VALUE"""),46.18)</f>
        <v>46.18</v>
      </c>
      <c r="D644" s="2" t="n">
        <f aca="false">IFERROR(__xludf.dummyfunction("""COMPUTED_VALUE"""),44.92)</f>
        <v>44.92</v>
      </c>
      <c r="E644" s="2" t="n">
        <f aca="false">IFERROR(__xludf.dummyfunction("""COMPUTED_VALUE"""),45.68)</f>
        <v>45.68</v>
      </c>
      <c r="F644" s="2" t="n">
        <f aca="false">IFERROR(__xludf.dummyfunction("""COMPUTED_VALUE"""),34808091)</f>
        <v>34808091</v>
      </c>
    </row>
    <row r="645" customFormat="false" ht="15.75" hidden="false" customHeight="false" outlineLevel="0" collapsed="false">
      <c r="A645" s="3" t="n">
        <f aca="false">IFERROR(__xludf.dummyfunction("""COMPUTED_VALUE"""),45133.6666666667)</f>
        <v>45133.6666666667</v>
      </c>
      <c r="B645" s="2" t="n">
        <f aca="false">IFERROR(__xludf.dummyfunction("""COMPUTED_VALUE"""),46.02)</f>
        <v>46.02</v>
      </c>
      <c r="C645" s="2" t="n">
        <f aca="false">IFERROR(__xludf.dummyfunction("""COMPUTED_VALUE"""),46.05)</f>
        <v>46.05</v>
      </c>
      <c r="D645" s="2" t="n">
        <f aca="false">IFERROR(__xludf.dummyfunction("""COMPUTED_VALUE"""),44.63)</f>
        <v>44.63</v>
      </c>
      <c r="E645" s="2" t="n">
        <f aca="false">IFERROR(__xludf.dummyfunction("""COMPUTED_VALUE"""),45.45)</f>
        <v>45.45</v>
      </c>
      <c r="F645" s="2" t="n">
        <f aca="false">IFERROR(__xludf.dummyfunction("""COMPUTED_VALUE"""),36423726)</f>
        <v>36423726</v>
      </c>
    </row>
    <row r="646" customFormat="false" ht="15.75" hidden="false" customHeight="false" outlineLevel="0" collapsed="false">
      <c r="A646" s="3" t="n">
        <f aca="false">IFERROR(__xludf.dummyfunction("""COMPUTED_VALUE"""),45134.6666666667)</f>
        <v>45134.6666666667</v>
      </c>
      <c r="B646" s="2" t="n">
        <f aca="false">IFERROR(__xludf.dummyfunction("""COMPUTED_VALUE"""),46.52)</f>
        <v>46.52</v>
      </c>
      <c r="C646" s="2" t="n">
        <f aca="false">IFERROR(__xludf.dummyfunction("""COMPUTED_VALUE"""),47.4)</f>
        <v>47.4</v>
      </c>
      <c r="D646" s="2" t="n">
        <f aca="false">IFERROR(__xludf.dummyfunction("""COMPUTED_VALUE"""),45.75)</f>
        <v>45.75</v>
      </c>
      <c r="E646" s="2" t="n">
        <f aca="false">IFERROR(__xludf.dummyfunction("""COMPUTED_VALUE"""),45.9)</f>
        <v>45.9</v>
      </c>
      <c r="F646" s="2" t="n">
        <f aca="false">IFERROR(__xludf.dummyfunction("""COMPUTED_VALUE"""),45597552)</f>
        <v>45597552</v>
      </c>
    </row>
    <row r="647" customFormat="false" ht="15.75" hidden="false" customHeight="false" outlineLevel="0" collapsed="false">
      <c r="A647" s="3" t="n">
        <f aca="false">IFERROR(__xludf.dummyfunction("""COMPUTED_VALUE"""),45135.6666666667)</f>
        <v>45135.6666666667</v>
      </c>
      <c r="B647" s="2" t="n">
        <f aca="false">IFERROR(__xludf.dummyfunction("""COMPUTED_VALUE"""),46.67)</f>
        <v>46.67</v>
      </c>
      <c r="C647" s="2" t="n">
        <f aca="false">IFERROR(__xludf.dummyfunction("""COMPUTED_VALUE"""),47.03)</f>
        <v>47.03</v>
      </c>
      <c r="D647" s="2" t="n">
        <f aca="false">IFERROR(__xludf.dummyfunction("""COMPUTED_VALUE"""),46.38)</f>
        <v>46.38</v>
      </c>
      <c r="E647" s="2" t="n">
        <f aca="false">IFERROR(__xludf.dummyfunction("""COMPUTED_VALUE"""),46.75)</f>
        <v>46.75</v>
      </c>
      <c r="F647" s="2" t="n">
        <f aca="false">IFERROR(__xludf.dummyfunction("""COMPUTED_VALUE"""),33119424)</f>
        <v>33119424</v>
      </c>
    </row>
    <row r="648" customFormat="false" ht="15.75" hidden="false" customHeight="false" outlineLevel="0" collapsed="false">
      <c r="A648" s="3" t="n">
        <f aca="false">IFERROR(__xludf.dummyfunction("""COMPUTED_VALUE"""),45138.6666666667)</f>
        <v>45138.6666666667</v>
      </c>
      <c r="B648" s="2" t="n">
        <f aca="false">IFERROR(__xludf.dummyfunction("""COMPUTED_VALUE"""),46.75)</f>
        <v>46.75</v>
      </c>
      <c r="C648" s="2" t="n">
        <f aca="false">IFERROR(__xludf.dummyfunction("""COMPUTED_VALUE"""),47.13)</f>
        <v>47.13</v>
      </c>
      <c r="D648" s="2" t="n">
        <f aca="false">IFERROR(__xludf.dummyfunction("""COMPUTED_VALUE"""),46.51)</f>
        <v>46.51</v>
      </c>
      <c r="E648" s="2" t="n">
        <f aca="false">IFERROR(__xludf.dummyfunction("""COMPUTED_VALUE"""),46.73)</f>
        <v>46.73</v>
      </c>
      <c r="F648" s="2" t="n">
        <f aca="false">IFERROR(__xludf.dummyfunction("""COMPUTED_VALUE"""),25105528)</f>
        <v>25105528</v>
      </c>
    </row>
    <row r="649" customFormat="false" ht="15.75" hidden="false" customHeight="false" outlineLevel="0" collapsed="false">
      <c r="A649" s="3" t="n">
        <f aca="false">IFERROR(__xludf.dummyfunction("""COMPUTED_VALUE"""),45139.6666666667)</f>
        <v>45139.6666666667</v>
      </c>
      <c r="B649" s="2" t="n">
        <f aca="false">IFERROR(__xludf.dummyfunction("""COMPUTED_VALUE"""),46.46)</f>
        <v>46.46</v>
      </c>
      <c r="C649" s="2" t="n">
        <f aca="false">IFERROR(__xludf.dummyfunction("""COMPUTED_VALUE"""),46.9)</f>
        <v>46.9</v>
      </c>
      <c r="D649" s="2" t="n">
        <f aca="false">IFERROR(__xludf.dummyfunction("""COMPUTED_VALUE"""),46.03)</f>
        <v>46.03</v>
      </c>
      <c r="E649" s="2" t="n">
        <f aca="false">IFERROR(__xludf.dummyfunction("""COMPUTED_VALUE"""),46.51)</f>
        <v>46.51</v>
      </c>
      <c r="F649" s="2" t="n">
        <f aca="false">IFERROR(__xludf.dummyfunction("""COMPUTED_VALUE"""),23927597)</f>
        <v>23927597</v>
      </c>
    </row>
    <row r="650" customFormat="false" ht="15.75" hidden="false" customHeight="false" outlineLevel="0" collapsed="false">
      <c r="A650" s="3" t="n">
        <f aca="false">IFERROR(__xludf.dummyfunction("""COMPUTED_VALUE"""),45140.6666666667)</f>
        <v>45140.6666666667</v>
      </c>
      <c r="B650" s="2" t="n">
        <f aca="false">IFERROR(__xludf.dummyfunction("""COMPUTED_VALUE"""),45.83)</f>
        <v>45.83</v>
      </c>
      <c r="C650" s="2" t="n">
        <f aca="false">IFERROR(__xludf.dummyfunction("""COMPUTED_VALUE"""),45.84)</f>
        <v>45.84</v>
      </c>
      <c r="D650" s="2" t="n">
        <f aca="false">IFERROR(__xludf.dummyfunction("""COMPUTED_VALUE"""),43.39)</f>
        <v>43.39</v>
      </c>
      <c r="E650" s="2" t="n">
        <f aca="false">IFERROR(__xludf.dummyfunction("""COMPUTED_VALUE"""),44.27)</f>
        <v>44.27</v>
      </c>
      <c r="F650" s="2" t="n">
        <f aca="false">IFERROR(__xludf.dummyfunction("""COMPUTED_VALUE"""),53014157)</f>
        <v>53014157</v>
      </c>
    </row>
    <row r="651" customFormat="false" ht="15.75" hidden="false" customHeight="false" outlineLevel="0" collapsed="false">
      <c r="A651" s="3" t="n">
        <f aca="false">IFERROR(__xludf.dummyfunction("""COMPUTED_VALUE"""),45141.6666666667)</f>
        <v>45141.6666666667</v>
      </c>
      <c r="B651" s="2" t="n">
        <f aca="false">IFERROR(__xludf.dummyfunction("""COMPUTED_VALUE"""),43.8)</f>
        <v>43.8</v>
      </c>
      <c r="C651" s="2" t="n">
        <f aca="false">IFERROR(__xludf.dummyfunction("""COMPUTED_VALUE"""),45.12)</f>
        <v>45.12</v>
      </c>
      <c r="D651" s="2" t="n">
        <f aca="false">IFERROR(__xludf.dummyfunction("""COMPUTED_VALUE"""),43.8)</f>
        <v>43.8</v>
      </c>
      <c r="E651" s="2" t="n">
        <f aca="false">IFERROR(__xludf.dummyfunction("""COMPUTED_VALUE"""),44.52)</f>
        <v>44.52</v>
      </c>
      <c r="F651" s="2" t="n">
        <f aca="false">IFERROR(__xludf.dummyfunction("""COMPUTED_VALUE"""),32507660)</f>
        <v>32507660</v>
      </c>
    </row>
    <row r="652" customFormat="false" ht="15.75" hidden="false" customHeight="false" outlineLevel="0" collapsed="false">
      <c r="A652" s="3" t="n">
        <f aca="false">IFERROR(__xludf.dummyfunction("""COMPUTED_VALUE"""),45142.6666666667)</f>
        <v>45142.6666666667</v>
      </c>
      <c r="B652" s="2" t="n">
        <f aca="false">IFERROR(__xludf.dummyfunction("""COMPUTED_VALUE"""),44.99)</f>
        <v>44.99</v>
      </c>
      <c r="C652" s="2" t="n">
        <f aca="false">IFERROR(__xludf.dummyfunction("""COMPUTED_VALUE"""),45.64)</f>
        <v>45.64</v>
      </c>
      <c r="D652" s="2" t="n">
        <f aca="false">IFERROR(__xludf.dummyfunction("""COMPUTED_VALUE"""),44.39)</f>
        <v>44.39</v>
      </c>
      <c r="E652" s="2" t="n">
        <f aca="false">IFERROR(__xludf.dummyfunction("""COMPUTED_VALUE"""),44.68)</f>
        <v>44.68</v>
      </c>
      <c r="F652" s="2" t="n">
        <f aca="false">IFERROR(__xludf.dummyfunction("""COMPUTED_VALUE"""),36266618)</f>
        <v>36266618</v>
      </c>
    </row>
    <row r="653" customFormat="false" ht="15.75" hidden="false" customHeight="false" outlineLevel="0" collapsed="false">
      <c r="A653" s="3" t="n">
        <f aca="false">IFERROR(__xludf.dummyfunction("""COMPUTED_VALUE"""),45145.6666666667)</f>
        <v>45145.6666666667</v>
      </c>
      <c r="B653" s="2" t="n">
        <f aca="false">IFERROR(__xludf.dummyfunction("""COMPUTED_VALUE"""),45.11)</f>
        <v>45.11</v>
      </c>
      <c r="C653" s="2" t="n">
        <f aca="false">IFERROR(__xludf.dummyfunction("""COMPUTED_VALUE"""),45.54)</f>
        <v>45.54</v>
      </c>
      <c r="D653" s="2" t="n">
        <f aca="false">IFERROR(__xludf.dummyfunction("""COMPUTED_VALUE"""),44.56)</f>
        <v>44.56</v>
      </c>
      <c r="E653" s="2" t="n">
        <f aca="false">IFERROR(__xludf.dummyfunction("""COMPUTED_VALUE"""),45.42)</f>
        <v>45.42</v>
      </c>
      <c r="F653" s="2" t="n">
        <f aca="false">IFERROR(__xludf.dummyfunction("""COMPUTED_VALUE"""),32215354)</f>
        <v>32215354</v>
      </c>
    </row>
    <row r="654" customFormat="false" ht="15.75" hidden="false" customHeight="false" outlineLevel="0" collapsed="false">
      <c r="A654" s="3" t="n">
        <f aca="false">IFERROR(__xludf.dummyfunction("""COMPUTED_VALUE"""),45146.6666666667)</f>
        <v>45146.6666666667</v>
      </c>
      <c r="B654" s="2" t="n">
        <f aca="false">IFERROR(__xludf.dummyfunction("""COMPUTED_VALUE"""),44.85)</f>
        <v>44.85</v>
      </c>
      <c r="C654" s="2" t="n">
        <f aca="false">IFERROR(__xludf.dummyfunction("""COMPUTED_VALUE"""),45.24)</f>
        <v>45.24</v>
      </c>
      <c r="D654" s="2" t="n">
        <f aca="false">IFERROR(__xludf.dummyfunction("""COMPUTED_VALUE"""),44.06)</f>
        <v>44.06</v>
      </c>
      <c r="E654" s="2" t="n">
        <f aca="false">IFERROR(__xludf.dummyfunction("""COMPUTED_VALUE"""),44.66)</f>
        <v>44.66</v>
      </c>
      <c r="F654" s="2" t="n">
        <f aca="false">IFERROR(__xludf.dummyfunction("""COMPUTED_VALUE"""),35384343)</f>
        <v>35384343</v>
      </c>
    </row>
    <row r="655" customFormat="false" ht="15.75" hidden="false" customHeight="false" outlineLevel="0" collapsed="false">
      <c r="A655" s="3" t="n">
        <f aca="false">IFERROR(__xludf.dummyfunction("""COMPUTED_VALUE"""),45147.6666666667)</f>
        <v>45147.6666666667</v>
      </c>
      <c r="B655" s="2" t="n">
        <f aca="false">IFERROR(__xludf.dummyfunction("""COMPUTED_VALUE"""),44.27)</f>
        <v>44.27</v>
      </c>
      <c r="C655" s="2" t="n">
        <f aca="false">IFERROR(__xludf.dummyfunction("""COMPUTED_VALUE"""),44.31)</f>
        <v>44.31</v>
      </c>
      <c r="D655" s="2" t="n">
        <f aca="false">IFERROR(__xludf.dummyfunction("""COMPUTED_VALUE"""),42.13)</f>
        <v>42.13</v>
      </c>
      <c r="E655" s="2" t="n">
        <f aca="false">IFERROR(__xludf.dummyfunction("""COMPUTED_VALUE"""),42.55)</f>
        <v>42.55</v>
      </c>
      <c r="F655" s="2" t="n">
        <f aca="false">IFERROR(__xludf.dummyfunction("""COMPUTED_VALUE"""),58644907)</f>
        <v>58644907</v>
      </c>
    </row>
    <row r="656" customFormat="false" ht="15.75" hidden="false" customHeight="false" outlineLevel="0" collapsed="false">
      <c r="A656" s="3" t="n">
        <f aca="false">IFERROR(__xludf.dummyfunction("""COMPUTED_VALUE"""),45148.6666666667)</f>
        <v>45148.6666666667</v>
      </c>
      <c r="B656" s="2" t="n">
        <f aca="false">IFERROR(__xludf.dummyfunction("""COMPUTED_VALUE"""),42.16)</f>
        <v>42.16</v>
      </c>
      <c r="C656" s="2" t="n">
        <f aca="false">IFERROR(__xludf.dummyfunction("""COMPUTED_VALUE"""),43.57)</f>
        <v>43.57</v>
      </c>
      <c r="D656" s="2" t="n">
        <f aca="false">IFERROR(__xludf.dummyfunction("""COMPUTED_VALUE"""),41.84)</f>
        <v>41.84</v>
      </c>
      <c r="E656" s="2" t="n">
        <f aca="false">IFERROR(__xludf.dummyfunction("""COMPUTED_VALUE"""),42.39)</f>
        <v>42.39</v>
      </c>
      <c r="F656" s="2" t="n">
        <f aca="false">IFERROR(__xludf.dummyfunction("""COMPUTED_VALUE"""),49270530)</f>
        <v>49270530</v>
      </c>
    </row>
    <row r="657" customFormat="false" ht="15.75" hidden="false" customHeight="false" outlineLevel="0" collapsed="false">
      <c r="A657" s="3" t="n">
        <f aca="false">IFERROR(__xludf.dummyfunction("""COMPUTED_VALUE"""),45149.6666666667)</f>
        <v>45149.6666666667</v>
      </c>
      <c r="B657" s="2" t="n">
        <f aca="false">IFERROR(__xludf.dummyfunction("""COMPUTED_VALUE"""),41.75)</f>
        <v>41.75</v>
      </c>
      <c r="C657" s="2" t="n">
        <f aca="false">IFERROR(__xludf.dummyfunction("""COMPUTED_VALUE"""),42.02)</f>
        <v>42.02</v>
      </c>
      <c r="D657" s="2" t="n">
        <f aca="false">IFERROR(__xludf.dummyfunction("""COMPUTED_VALUE"""),40.64)</f>
        <v>40.64</v>
      </c>
      <c r="E657" s="2" t="n">
        <f aca="false">IFERROR(__xludf.dummyfunction("""COMPUTED_VALUE"""),40.85)</f>
        <v>40.85</v>
      </c>
      <c r="F657" s="2" t="n">
        <f aca="false">IFERROR(__xludf.dummyfunction("""COMPUTED_VALUE"""),53308526)</f>
        <v>53308526</v>
      </c>
    </row>
    <row r="658" customFormat="false" ht="15.75" hidden="false" customHeight="false" outlineLevel="0" collapsed="false">
      <c r="A658" s="3" t="n">
        <f aca="false">IFERROR(__xludf.dummyfunction("""COMPUTED_VALUE"""),45152.6666666667)</f>
        <v>45152.6666666667</v>
      </c>
      <c r="B658" s="2" t="n">
        <f aca="false">IFERROR(__xludf.dummyfunction("""COMPUTED_VALUE"""),40.49)</f>
        <v>40.49</v>
      </c>
      <c r="C658" s="2" t="n">
        <f aca="false">IFERROR(__xludf.dummyfunction("""COMPUTED_VALUE"""),43.8)</f>
        <v>43.8</v>
      </c>
      <c r="D658" s="2" t="n">
        <f aca="false">IFERROR(__xludf.dummyfunction("""COMPUTED_VALUE"""),40.31)</f>
        <v>40.31</v>
      </c>
      <c r="E658" s="2" t="n">
        <f aca="false">IFERROR(__xludf.dummyfunction("""COMPUTED_VALUE"""),43.75)</f>
        <v>43.75</v>
      </c>
      <c r="F658" s="2" t="n">
        <f aca="false">IFERROR(__xludf.dummyfunction("""COMPUTED_VALUE"""),69028583)</f>
        <v>69028583</v>
      </c>
    </row>
    <row r="659" customFormat="false" ht="15.75" hidden="false" customHeight="false" outlineLevel="0" collapsed="false">
      <c r="A659" s="3" t="n">
        <f aca="false">IFERROR(__xludf.dummyfunction("""COMPUTED_VALUE"""),45153.6666666667)</f>
        <v>45153.6666666667</v>
      </c>
      <c r="B659" s="2" t="n">
        <f aca="false">IFERROR(__xludf.dummyfunction("""COMPUTED_VALUE"""),44.56)</f>
        <v>44.56</v>
      </c>
      <c r="C659" s="2" t="n">
        <f aca="false">IFERROR(__xludf.dummyfunction("""COMPUTED_VALUE"""),45.27)</f>
        <v>45.27</v>
      </c>
      <c r="D659" s="2" t="n">
        <f aca="false">IFERROR(__xludf.dummyfunction("""COMPUTED_VALUE"""),43.71)</f>
        <v>43.71</v>
      </c>
      <c r="E659" s="2" t="n">
        <f aca="false">IFERROR(__xludf.dummyfunction("""COMPUTED_VALUE"""),43.94)</f>
        <v>43.94</v>
      </c>
      <c r="F659" s="2" t="n">
        <f aca="false">IFERROR(__xludf.dummyfunction("""COMPUTED_VALUE"""),67651151)</f>
        <v>67651151</v>
      </c>
    </row>
    <row r="660" customFormat="false" ht="15.75" hidden="false" customHeight="false" outlineLevel="0" collapsed="false">
      <c r="A660" s="3" t="n">
        <f aca="false">IFERROR(__xludf.dummyfunction("""COMPUTED_VALUE"""),45154.6666666667)</f>
        <v>45154.6666666667</v>
      </c>
      <c r="B660" s="2" t="n">
        <f aca="false">IFERROR(__xludf.dummyfunction("""COMPUTED_VALUE"""),44.52)</f>
        <v>44.52</v>
      </c>
      <c r="C660" s="2" t="n">
        <f aca="false">IFERROR(__xludf.dummyfunction("""COMPUTED_VALUE"""),44.68)</f>
        <v>44.68</v>
      </c>
      <c r="D660" s="2" t="n">
        <f aca="false">IFERROR(__xludf.dummyfunction("""COMPUTED_VALUE"""),43.41)</f>
        <v>43.41</v>
      </c>
      <c r="E660" s="2" t="n">
        <f aca="false">IFERROR(__xludf.dummyfunction("""COMPUTED_VALUE"""),43.49)</f>
        <v>43.49</v>
      </c>
      <c r="F660" s="2" t="n">
        <f aca="false">IFERROR(__xludf.dummyfunction("""COMPUTED_VALUE"""),52745068)</f>
        <v>52745068</v>
      </c>
    </row>
    <row r="661" customFormat="false" ht="15.75" hidden="false" customHeight="false" outlineLevel="0" collapsed="false">
      <c r="A661" s="3" t="n">
        <f aca="false">IFERROR(__xludf.dummyfunction("""COMPUTED_VALUE"""),45155.6666666667)</f>
        <v>45155.6666666667</v>
      </c>
      <c r="B661" s="2" t="n">
        <f aca="false">IFERROR(__xludf.dummyfunction("""COMPUTED_VALUE"""),43.97)</f>
        <v>43.97</v>
      </c>
      <c r="C661" s="2" t="n">
        <f aca="false">IFERROR(__xludf.dummyfunction("""COMPUTED_VALUE"""),44.06)</f>
        <v>44.06</v>
      </c>
      <c r="D661" s="2" t="n">
        <f aca="false">IFERROR(__xludf.dummyfunction("""COMPUTED_VALUE"""),43)</f>
        <v>43</v>
      </c>
      <c r="E661" s="2" t="n">
        <f aca="false">IFERROR(__xludf.dummyfunction("""COMPUTED_VALUE"""),43.34)</f>
        <v>43.34</v>
      </c>
      <c r="F661" s="2" t="n">
        <f aca="false">IFERROR(__xludf.dummyfunction("""COMPUTED_VALUE"""),45239482)</f>
        <v>45239482</v>
      </c>
    </row>
    <row r="662" customFormat="false" ht="15.75" hidden="false" customHeight="false" outlineLevel="0" collapsed="false">
      <c r="A662" s="3" t="n">
        <f aca="false">IFERROR(__xludf.dummyfunction("""COMPUTED_VALUE"""),45156.6666666667)</f>
        <v>45156.6666666667</v>
      </c>
      <c r="B662" s="2" t="n">
        <f aca="false">IFERROR(__xludf.dummyfunction("""COMPUTED_VALUE"""),42.64)</f>
        <v>42.64</v>
      </c>
      <c r="C662" s="2" t="n">
        <f aca="false">IFERROR(__xludf.dummyfunction("""COMPUTED_VALUE"""),43.58)</f>
        <v>43.58</v>
      </c>
      <c r="D662" s="2" t="n">
        <f aca="false">IFERROR(__xludf.dummyfunction("""COMPUTED_VALUE"""),41.66)</f>
        <v>41.66</v>
      </c>
      <c r="E662" s="2" t="n">
        <f aca="false">IFERROR(__xludf.dummyfunction("""COMPUTED_VALUE"""),43.3)</f>
        <v>43.3</v>
      </c>
      <c r="F662" s="2" t="n">
        <f aca="false">IFERROR(__xludf.dummyfunction("""COMPUTED_VALUE"""),58376787)</f>
        <v>58376787</v>
      </c>
    </row>
    <row r="663" customFormat="false" ht="15.75" hidden="false" customHeight="false" outlineLevel="0" collapsed="false">
      <c r="A663" s="3" t="n">
        <f aca="false">IFERROR(__xludf.dummyfunction("""COMPUTED_VALUE"""),45159.6666666667)</f>
        <v>45159.6666666667</v>
      </c>
      <c r="B663" s="2" t="n">
        <f aca="false">IFERROR(__xludf.dummyfunction("""COMPUTED_VALUE"""),44.49)</f>
        <v>44.49</v>
      </c>
      <c r="C663" s="2" t="n">
        <f aca="false">IFERROR(__xludf.dummyfunction("""COMPUTED_VALUE"""),47.07)</f>
        <v>47.07</v>
      </c>
      <c r="D663" s="2" t="n">
        <f aca="false">IFERROR(__xludf.dummyfunction("""COMPUTED_VALUE"""),44.22)</f>
        <v>44.22</v>
      </c>
      <c r="E663" s="2" t="n">
        <f aca="false">IFERROR(__xludf.dummyfunction("""COMPUTED_VALUE"""),46.97)</f>
        <v>46.97</v>
      </c>
      <c r="F663" s="2" t="n">
        <f aca="false">IFERROR(__xludf.dummyfunction("""COMPUTED_VALUE"""),69257337)</f>
        <v>69257337</v>
      </c>
    </row>
    <row r="664" customFormat="false" ht="15.75" hidden="false" customHeight="false" outlineLevel="0" collapsed="false">
      <c r="A664" s="3" t="n">
        <f aca="false">IFERROR(__xludf.dummyfunction("""COMPUTED_VALUE"""),45160.6666666667)</f>
        <v>45160.6666666667</v>
      </c>
      <c r="B664" s="2" t="n">
        <f aca="false">IFERROR(__xludf.dummyfunction("""COMPUTED_VALUE"""),48.14)</f>
        <v>48.14</v>
      </c>
      <c r="C664" s="2" t="n">
        <f aca="false">IFERROR(__xludf.dummyfunction("""COMPUTED_VALUE"""),48.19)</f>
        <v>48.19</v>
      </c>
      <c r="D664" s="2" t="n">
        <f aca="false">IFERROR(__xludf.dummyfunction("""COMPUTED_VALUE"""),45.33)</f>
        <v>45.33</v>
      </c>
      <c r="E664" s="2" t="n">
        <f aca="false">IFERROR(__xludf.dummyfunction("""COMPUTED_VALUE"""),45.67)</f>
        <v>45.67</v>
      </c>
      <c r="F664" s="2" t="n">
        <f aca="false">IFERROR(__xludf.dummyfunction("""COMPUTED_VALUE"""),75720691)</f>
        <v>75720691</v>
      </c>
    </row>
    <row r="665" customFormat="false" ht="15.75" hidden="false" customHeight="false" outlineLevel="0" collapsed="false">
      <c r="A665" s="3" t="n">
        <f aca="false">IFERROR(__xludf.dummyfunction("""COMPUTED_VALUE"""),45161.6666666667)</f>
        <v>45161.6666666667</v>
      </c>
      <c r="B665" s="2" t="n">
        <f aca="false">IFERROR(__xludf.dummyfunction("""COMPUTED_VALUE"""),45.87)</f>
        <v>45.87</v>
      </c>
      <c r="C665" s="2" t="n">
        <f aca="false">IFERROR(__xludf.dummyfunction("""COMPUTED_VALUE"""),47.2)</f>
        <v>47.2</v>
      </c>
      <c r="D665" s="2" t="n">
        <f aca="false">IFERROR(__xludf.dummyfunction("""COMPUTED_VALUE"""),45.21)</f>
        <v>45.21</v>
      </c>
      <c r="E665" s="2" t="n">
        <f aca="false">IFERROR(__xludf.dummyfunction("""COMPUTED_VALUE"""),47.12)</f>
        <v>47.12</v>
      </c>
      <c r="F665" s="2" t="n">
        <f aca="false">IFERROR(__xludf.dummyfunction("""COMPUTED_VALUE"""),77904608)</f>
        <v>77904608</v>
      </c>
    </row>
    <row r="666" customFormat="false" ht="15.75" hidden="false" customHeight="false" outlineLevel="0" collapsed="false">
      <c r="A666" s="3" t="n">
        <f aca="false">IFERROR(__xludf.dummyfunction("""COMPUTED_VALUE"""),45162.6666666667)</f>
        <v>45162.6666666667</v>
      </c>
      <c r="B666" s="2" t="n">
        <f aca="false">IFERROR(__xludf.dummyfunction("""COMPUTED_VALUE"""),50.22)</f>
        <v>50.22</v>
      </c>
      <c r="C666" s="2" t="n">
        <f aca="false">IFERROR(__xludf.dummyfunction("""COMPUTED_VALUE"""),50.27)</f>
        <v>50.27</v>
      </c>
      <c r="D666" s="2" t="n">
        <f aca="false">IFERROR(__xludf.dummyfunction("""COMPUTED_VALUE"""),47.16)</f>
        <v>47.16</v>
      </c>
      <c r="E666" s="2" t="n">
        <f aca="false">IFERROR(__xludf.dummyfunction("""COMPUTED_VALUE"""),47.16)</f>
        <v>47.16</v>
      </c>
      <c r="F666" s="2" t="n">
        <f aca="false">IFERROR(__xludf.dummyfunction("""COMPUTED_VALUE"""),115604409)</f>
        <v>115604409</v>
      </c>
    </row>
    <row r="667" customFormat="false" ht="15.75" hidden="false" customHeight="false" outlineLevel="0" collapsed="false">
      <c r="A667" s="3" t="n">
        <f aca="false">IFERROR(__xludf.dummyfunction("""COMPUTED_VALUE"""),45163.6666666667)</f>
        <v>45163.6666666667</v>
      </c>
      <c r="B667" s="2" t="n">
        <f aca="false">IFERROR(__xludf.dummyfunction("""COMPUTED_VALUE"""),47.01)</f>
        <v>47.01</v>
      </c>
      <c r="C667" s="2" t="n">
        <f aca="false">IFERROR(__xludf.dummyfunction("""COMPUTED_VALUE"""),47.81)</f>
        <v>47.81</v>
      </c>
      <c r="D667" s="2" t="n">
        <f aca="false">IFERROR(__xludf.dummyfunction("""COMPUTED_VALUE"""),45.02)</f>
        <v>45.02</v>
      </c>
      <c r="E667" s="2" t="n">
        <f aca="false">IFERROR(__xludf.dummyfunction("""COMPUTED_VALUE"""),46.02)</f>
        <v>46.02</v>
      </c>
      <c r="F667" s="2" t="n">
        <f aca="false">IFERROR(__xludf.dummyfunction("""COMPUTED_VALUE"""),92534052)</f>
        <v>92534052</v>
      </c>
    </row>
    <row r="668" customFormat="false" ht="15.75" hidden="false" customHeight="false" outlineLevel="0" collapsed="false">
      <c r="A668" s="3" t="n">
        <f aca="false">IFERROR(__xludf.dummyfunction("""COMPUTED_VALUE"""),45166.6666666667)</f>
        <v>45166.6666666667</v>
      </c>
      <c r="B668" s="2" t="n">
        <f aca="false">IFERROR(__xludf.dummyfunction("""COMPUTED_VALUE"""),46.48)</f>
        <v>46.48</v>
      </c>
      <c r="C668" s="2" t="n">
        <f aca="false">IFERROR(__xludf.dummyfunction("""COMPUTED_VALUE"""),46.98)</f>
        <v>46.98</v>
      </c>
      <c r="D668" s="2" t="n">
        <f aca="false">IFERROR(__xludf.dummyfunction("""COMPUTED_VALUE"""),44.89)</f>
        <v>44.89</v>
      </c>
      <c r="E668" s="2" t="n">
        <f aca="false">IFERROR(__xludf.dummyfunction("""COMPUTED_VALUE"""),46.84)</f>
        <v>46.84</v>
      </c>
      <c r="F668" s="2" t="n">
        <f aca="false">IFERROR(__xludf.dummyfunction("""COMPUTED_VALUE"""),68519223)</f>
        <v>68519223</v>
      </c>
    </row>
    <row r="669" customFormat="false" ht="15.75" hidden="false" customHeight="false" outlineLevel="0" collapsed="false">
      <c r="A669" s="3" t="n">
        <f aca="false">IFERROR(__xludf.dummyfunction("""COMPUTED_VALUE"""),45167.6666666667)</f>
        <v>45167.6666666667</v>
      </c>
      <c r="B669" s="2" t="n">
        <f aca="false">IFERROR(__xludf.dummyfunction("""COMPUTED_VALUE"""),46.67)</f>
        <v>46.67</v>
      </c>
      <c r="C669" s="2" t="n">
        <f aca="false">IFERROR(__xludf.dummyfunction("""COMPUTED_VALUE"""),49.08)</f>
        <v>49.08</v>
      </c>
      <c r="D669" s="2" t="n">
        <f aca="false">IFERROR(__xludf.dummyfunction("""COMPUTED_VALUE"""),46.39)</f>
        <v>46.39</v>
      </c>
      <c r="E669" s="2" t="n">
        <f aca="false">IFERROR(__xludf.dummyfunction("""COMPUTED_VALUE"""),48.78)</f>
        <v>48.78</v>
      </c>
      <c r="F669" s="2" t="n">
        <f aca="false">IFERROR(__xludf.dummyfunction("""COMPUTED_VALUE"""),70139699)</f>
        <v>70139699</v>
      </c>
    </row>
    <row r="670" customFormat="false" ht="15.75" hidden="false" customHeight="false" outlineLevel="0" collapsed="false">
      <c r="A670" s="3" t="n">
        <f aca="false">IFERROR(__xludf.dummyfunction("""COMPUTED_VALUE"""),45168.6666666667)</f>
        <v>45168.6666666667</v>
      </c>
      <c r="B670" s="2" t="n">
        <f aca="false">IFERROR(__xludf.dummyfunction("""COMPUTED_VALUE"""),49.04)</f>
        <v>49.04</v>
      </c>
      <c r="C670" s="2" t="n">
        <f aca="false">IFERROR(__xludf.dummyfunction("""COMPUTED_VALUE"""),49.93)</f>
        <v>49.93</v>
      </c>
      <c r="D670" s="2" t="n">
        <f aca="false">IFERROR(__xludf.dummyfunction("""COMPUTED_VALUE"""),48.43)</f>
        <v>48.43</v>
      </c>
      <c r="E670" s="2" t="n">
        <f aca="false">IFERROR(__xludf.dummyfunction("""COMPUTED_VALUE"""),49.26)</f>
        <v>49.26</v>
      </c>
      <c r="F670" s="2" t="n">
        <f aca="false">IFERROR(__xludf.dummyfunction("""COMPUTED_VALUE"""),73520598)</f>
        <v>73520598</v>
      </c>
    </row>
    <row r="671" customFormat="false" ht="15.75" hidden="false" customHeight="false" outlineLevel="0" collapsed="false">
      <c r="A671" s="3" t="n">
        <f aca="false">IFERROR(__xludf.dummyfunction("""COMPUTED_VALUE"""),45169.6666666667)</f>
        <v>45169.6666666667</v>
      </c>
      <c r="B671" s="2" t="n">
        <f aca="false">IFERROR(__xludf.dummyfunction("""COMPUTED_VALUE"""),49.38)</f>
        <v>49.38</v>
      </c>
      <c r="C671" s="2" t="n">
        <f aca="false">IFERROR(__xludf.dummyfunction("""COMPUTED_VALUE"""),49.74)</f>
        <v>49.74</v>
      </c>
      <c r="D671" s="2" t="n">
        <f aca="false">IFERROR(__xludf.dummyfunction("""COMPUTED_VALUE"""),48.96)</f>
        <v>48.96</v>
      </c>
      <c r="E671" s="2" t="n">
        <f aca="false">IFERROR(__xludf.dummyfunction("""COMPUTED_VALUE"""),49.36)</f>
        <v>49.36</v>
      </c>
      <c r="F671" s="2" t="n">
        <f aca="false">IFERROR(__xludf.dummyfunction("""COMPUTED_VALUE"""),52856977)</f>
        <v>52856977</v>
      </c>
    </row>
    <row r="672" customFormat="false" ht="15.75" hidden="false" customHeight="false" outlineLevel="0" collapsed="false">
      <c r="A672" s="3" t="n">
        <f aca="false">IFERROR(__xludf.dummyfunction("""COMPUTED_VALUE"""),45170.6666666667)</f>
        <v>45170.6666666667</v>
      </c>
      <c r="B672" s="2" t="n">
        <f aca="false">IFERROR(__xludf.dummyfunction("""COMPUTED_VALUE"""),49.76)</f>
        <v>49.76</v>
      </c>
      <c r="C672" s="2" t="n">
        <f aca="false">IFERROR(__xludf.dummyfunction("""COMPUTED_VALUE"""),49.8)</f>
        <v>49.8</v>
      </c>
      <c r="D672" s="2" t="n">
        <f aca="false">IFERROR(__xludf.dummyfunction("""COMPUTED_VALUE"""),48.14)</f>
        <v>48.14</v>
      </c>
      <c r="E672" s="2" t="n">
        <f aca="false">IFERROR(__xludf.dummyfunction("""COMPUTED_VALUE"""),48.51)</f>
        <v>48.51</v>
      </c>
      <c r="F672" s="2" t="n">
        <f aca="false">IFERROR(__xludf.dummyfunction("""COMPUTED_VALUE"""),46383030)</f>
        <v>46383030</v>
      </c>
    </row>
    <row r="673" customFormat="false" ht="15.75" hidden="false" customHeight="false" outlineLevel="0" collapsed="false">
      <c r="A673" s="3" t="n">
        <f aca="false">IFERROR(__xludf.dummyfunction("""COMPUTED_VALUE"""),45174.6666666667)</f>
        <v>45174.6666666667</v>
      </c>
      <c r="B673" s="2" t="n">
        <f aca="false">IFERROR(__xludf.dummyfunction("""COMPUTED_VALUE"""),48.22)</f>
        <v>48.22</v>
      </c>
      <c r="C673" s="2" t="n">
        <f aca="false">IFERROR(__xludf.dummyfunction("""COMPUTED_VALUE"""),48.85)</f>
        <v>48.85</v>
      </c>
      <c r="D673" s="2" t="n">
        <f aca="false">IFERROR(__xludf.dummyfunction("""COMPUTED_VALUE"""),47.86)</f>
        <v>47.86</v>
      </c>
      <c r="E673" s="2" t="n">
        <f aca="false">IFERROR(__xludf.dummyfunction("""COMPUTED_VALUE"""),48.55)</f>
        <v>48.55</v>
      </c>
      <c r="F673" s="2" t="n">
        <f aca="false">IFERROR(__xludf.dummyfunction("""COMPUTED_VALUE"""),38265258)</f>
        <v>38265258</v>
      </c>
    </row>
    <row r="674" customFormat="false" ht="15.75" hidden="false" customHeight="false" outlineLevel="0" collapsed="false">
      <c r="A674" s="3" t="n">
        <f aca="false">IFERROR(__xludf.dummyfunction("""COMPUTED_VALUE"""),45175.6666666667)</f>
        <v>45175.6666666667</v>
      </c>
      <c r="B674" s="2" t="n">
        <f aca="false">IFERROR(__xludf.dummyfunction("""COMPUTED_VALUE"""),48.44)</f>
        <v>48.44</v>
      </c>
      <c r="C674" s="2" t="n">
        <f aca="false">IFERROR(__xludf.dummyfunction("""COMPUTED_VALUE"""),48.55)</f>
        <v>48.55</v>
      </c>
      <c r="D674" s="2" t="n">
        <f aca="false">IFERROR(__xludf.dummyfunction("""COMPUTED_VALUE"""),46.58)</f>
        <v>46.58</v>
      </c>
      <c r="E674" s="2" t="n">
        <f aca="false">IFERROR(__xludf.dummyfunction("""COMPUTED_VALUE"""),47.06)</f>
        <v>47.06</v>
      </c>
      <c r="F674" s="2" t="n">
        <f aca="false">IFERROR(__xludf.dummyfunction("""COMPUTED_VALUE"""),46866957)</f>
        <v>46866957</v>
      </c>
    </row>
    <row r="675" customFormat="false" ht="15.75" hidden="false" customHeight="false" outlineLevel="0" collapsed="false">
      <c r="A675" s="3" t="n">
        <f aca="false">IFERROR(__xludf.dummyfunction("""COMPUTED_VALUE"""),45176.6666666667)</f>
        <v>45176.6666666667</v>
      </c>
      <c r="B675" s="2" t="n">
        <f aca="false">IFERROR(__xludf.dummyfunction("""COMPUTED_VALUE"""),45.53)</f>
        <v>45.53</v>
      </c>
      <c r="C675" s="2" t="n">
        <f aca="false">IFERROR(__xludf.dummyfunction("""COMPUTED_VALUE"""),46.34)</f>
        <v>46.34</v>
      </c>
      <c r="D675" s="2" t="n">
        <f aca="false">IFERROR(__xludf.dummyfunction("""COMPUTED_VALUE"""),45.15)</f>
        <v>45.15</v>
      </c>
      <c r="E675" s="2" t="n">
        <f aca="false">IFERROR(__xludf.dummyfunction("""COMPUTED_VALUE"""),46.24)</f>
        <v>46.24</v>
      </c>
      <c r="F675" s="2" t="n">
        <f aca="false">IFERROR(__xludf.dummyfunction("""COMPUTED_VALUE"""),43332989)</f>
        <v>43332989</v>
      </c>
    </row>
    <row r="676" customFormat="false" ht="15.75" hidden="false" customHeight="false" outlineLevel="0" collapsed="false">
      <c r="A676" s="3" t="n">
        <f aca="false">IFERROR(__xludf.dummyfunction("""COMPUTED_VALUE"""),45177.6666666667)</f>
        <v>45177.6666666667</v>
      </c>
      <c r="B676" s="2" t="n">
        <f aca="false">IFERROR(__xludf.dummyfunction("""COMPUTED_VALUE"""),45.94)</f>
        <v>45.94</v>
      </c>
      <c r="C676" s="2" t="n">
        <f aca="false">IFERROR(__xludf.dummyfunction("""COMPUTED_VALUE"""),46.61)</f>
        <v>46.61</v>
      </c>
      <c r="D676" s="2" t="n">
        <f aca="false">IFERROR(__xludf.dummyfunction("""COMPUTED_VALUE"""),45.27)</f>
        <v>45.27</v>
      </c>
      <c r="E676" s="2" t="n">
        <f aca="false">IFERROR(__xludf.dummyfunction("""COMPUTED_VALUE"""),45.57)</f>
        <v>45.57</v>
      </c>
      <c r="F676" s="2" t="n">
        <f aca="false">IFERROR(__xludf.dummyfunction("""COMPUTED_VALUE"""),47389994)</f>
        <v>47389994</v>
      </c>
    </row>
    <row r="677" customFormat="false" ht="15.75" hidden="false" customHeight="false" outlineLevel="0" collapsed="false">
      <c r="A677" s="3" t="n">
        <f aca="false">IFERROR(__xludf.dummyfunction("""COMPUTED_VALUE"""),45180.6666666667)</f>
        <v>45180.6666666667</v>
      </c>
      <c r="B677" s="2" t="n">
        <f aca="false">IFERROR(__xludf.dummyfunction("""COMPUTED_VALUE"""),46.15)</f>
        <v>46.15</v>
      </c>
      <c r="C677" s="2" t="n">
        <f aca="false">IFERROR(__xludf.dummyfunction("""COMPUTED_VALUE"""),46.16)</f>
        <v>46.16</v>
      </c>
      <c r="D677" s="2" t="n">
        <f aca="false">IFERROR(__xludf.dummyfunction("""COMPUTED_VALUE"""),44.31)</f>
        <v>44.31</v>
      </c>
      <c r="E677" s="2" t="n">
        <f aca="false">IFERROR(__xludf.dummyfunction("""COMPUTED_VALUE"""),45.18)</f>
        <v>45.18</v>
      </c>
      <c r="F677" s="2" t="n">
        <f aca="false">IFERROR(__xludf.dummyfunction("""COMPUTED_VALUE"""),47396555)</f>
        <v>47396555</v>
      </c>
    </row>
    <row r="678" customFormat="false" ht="15.75" hidden="false" customHeight="false" outlineLevel="0" collapsed="false">
      <c r="A678" s="3" t="n">
        <f aca="false">IFERROR(__xludf.dummyfunction("""COMPUTED_VALUE"""),45181.6666666667)</f>
        <v>45181.6666666667</v>
      </c>
      <c r="B678" s="2" t="n">
        <f aca="false">IFERROR(__xludf.dummyfunction("""COMPUTED_VALUE"""),44.74)</f>
        <v>44.74</v>
      </c>
      <c r="C678" s="2" t="n">
        <f aca="false">IFERROR(__xludf.dummyfunction("""COMPUTED_VALUE"""),45.67)</f>
        <v>45.67</v>
      </c>
      <c r="D678" s="2" t="n">
        <f aca="false">IFERROR(__xludf.dummyfunction("""COMPUTED_VALUE"""),44.53)</f>
        <v>44.53</v>
      </c>
      <c r="E678" s="2" t="n">
        <f aca="false">IFERROR(__xludf.dummyfunction("""COMPUTED_VALUE"""),44.87)</f>
        <v>44.87</v>
      </c>
      <c r="F678" s="2" t="n">
        <f aca="false">IFERROR(__xludf.dummyfunction("""COMPUTED_VALUE"""),34925634)</f>
        <v>34925634</v>
      </c>
    </row>
    <row r="679" customFormat="false" ht="15.75" hidden="false" customHeight="false" outlineLevel="0" collapsed="false">
      <c r="A679" s="3" t="n">
        <f aca="false">IFERROR(__xludf.dummyfunction("""COMPUTED_VALUE"""),45182.6666666667)</f>
        <v>45182.6666666667</v>
      </c>
      <c r="B679" s="2" t="n">
        <f aca="false">IFERROR(__xludf.dummyfunction("""COMPUTED_VALUE"""),44.6)</f>
        <v>44.6</v>
      </c>
      <c r="C679" s="2" t="n">
        <f aca="false">IFERROR(__xludf.dummyfunction("""COMPUTED_VALUE"""),45.93)</f>
        <v>45.93</v>
      </c>
      <c r="D679" s="2" t="n">
        <f aca="false">IFERROR(__xludf.dummyfunction("""COMPUTED_VALUE"""),44.5)</f>
        <v>44.5</v>
      </c>
      <c r="E679" s="2" t="n">
        <f aca="false">IFERROR(__xludf.dummyfunction("""COMPUTED_VALUE"""),45.49)</f>
        <v>45.49</v>
      </c>
      <c r="F679" s="2" t="n">
        <f aca="false">IFERROR(__xludf.dummyfunction("""COMPUTED_VALUE"""),39835535)</f>
        <v>39835535</v>
      </c>
    </row>
    <row r="680" customFormat="false" ht="15.75" hidden="false" customHeight="false" outlineLevel="0" collapsed="false">
      <c r="A680" s="3" t="n">
        <f aca="false">IFERROR(__xludf.dummyfunction("""COMPUTED_VALUE"""),45183.6666666667)</f>
        <v>45183.6666666667</v>
      </c>
      <c r="B680" s="2" t="n">
        <f aca="false">IFERROR(__xludf.dummyfunction("""COMPUTED_VALUE"""),45.95)</f>
        <v>45.95</v>
      </c>
      <c r="C680" s="2" t="n">
        <f aca="false">IFERROR(__xludf.dummyfunction("""COMPUTED_VALUE"""),45.99)</f>
        <v>45.99</v>
      </c>
      <c r="D680" s="2" t="n">
        <f aca="false">IFERROR(__xludf.dummyfunction("""COMPUTED_VALUE"""),45.13)</f>
        <v>45.13</v>
      </c>
      <c r="E680" s="2" t="n">
        <f aca="false">IFERROR(__xludf.dummyfunction("""COMPUTED_VALUE"""),45.58)</f>
        <v>45.58</v>
      </c>
      <c r="F680" s="2" t="n">
        <f aca="false">IFERROR(__xludf.dummyfunction("""COMPUTED_VALUE"""),37009720)</f>
        <v>37009720</v>
      </c>
    </row>
    <row r="681" customFormat="false" ht="15.75" hidden="false" customHeight="false" outlineLevel="0" collapsed="false">
      <c r="A681" s="3" t="n">
        <f aca="false">IFERROR(__xludf.dummyfunction("""COMPUTED_VALUE"""),45184.6666666667)</f>
        <v>45184.6666666667</v>
      </c>
      <c r="B681" s="2" t="n">
        <f aca="false">IFERROR(__xludf.dummyfunction("""COMPUTED_VALUE"""),45.34)</f>
        <v>45.34</v>
      </c>
      <c r="C681" s="2" t="n">
        <f aca="false">IFERROR(__xludf.dummyfunction("""COMPUTED_VALUE"""),45.6)</f>
        <v>45.6</v>
      </c>
      <c r="D681" s="2" t="n">
        <f aca="false">IFERROR(__xludf.dummyfunction("""COMPUTED_VALUE"""),43.81)</f>
        <v>43.81</v>
      </c>
      <c r="E681" s="2" t="n">
        <f aca="false">IFERROR(__xludf.dummyfunction("""COMPUTED_VALUE"""),43.9)</f>
        <v>43.9</v>
      </c>
      <c r="F681" s="2" t="n">
        <f aca="false">IFERROR(__xludf.dummyfunction("""COMPUTED_VALUE"""),50683051)</f>
        <v>50683051</v>
      </c>
    </row>
    <row r="682" customFormat="false" ht="15.75" hidden="false" customHeight="false" outlineLevel="0" collapsed="false">
      <c r="A682" s="3" t="n">
        <f aca="false">IFERROR(__xludf.dummyfunction("""COMPUTED_VALUE"""),45187.6666666667)</f>
        <v>45187.6666666667</v>
      </c>
      <c r="B682" s="2" t="n">
        <f aca="false">IFERROR(__xludf.dummyfunction("""COMPUTED_VALUE"""),42.75)</f>
        <v>42.75</v>
      </c>
      <c r="C682" s="2" t="n">
        <f aca="false">IFERROR(__xludf.dummyfunction("""COMPUTED_VALUE"""),44.24)</f>
        <v>44.24</v>
      </c>
      <c r="D682" s="2" t="n">
        <f aca="false">IFERROR(__xludf.dummyfunction("""COMPUTED_VALUE"""),42)</f>
        <v>42</v>
      </c>
      <c r="E682" s="2" t="n">
        <f aca="false">IFERROR(__xludf.dummyfunction("""COMPUTED_VALUE"""),43.97)</f>
        <v>43.97</v>
      </c>
      <c r="F682" s="2" t="n">
        <f aca="false">IFERROR(__xludf.dummyfunction("""COMPUTED_VALUE"""),50027079)</f>
        <v>50027079</v>
      </c>
    </row>
    <row r="683" customFormat="false" ht="15.75" hidden="false" customHeight="false" outlineLevel="0" collapsed="false">
      <c r="A683" s="3" t="n">
        <f aca="false">IFERROR(__xludf.dummyfunction("""COMPUTED_VALUE"""),45188.6666666667)</f>
        <v>45188.6666666667</v>
      </c>
      <c r="B683" s="2" t="n">
        <f aca="false">IFERROR(__xludf.dummyfunction("""COMPUTED_VALUE"""),43.83)</f>
        <v>43.83</v>
      </c>
      <c r="C683" s="2" t="n">
        <f aca="false">IFERROR(__xludf.dummyfunction("""COMPUTED_VALUE"""),43.97)</f>
        <v>43.97</v>
      </c>
      <c r="D683" s="2" t="n">
        <f aca="false">IFERROR(__xludf.dummyfunction("""COMPUTED_VALUE"""),43)</f>
        <v>43</v>
      </c>
      <c r="E683" s="2" t="n">
        <f aca="false">IFERROR(__xludf.dummyfunction("""COMPUTED_VALUE"""),43.52)</f>
        <v>43.52</v>
      </c>
      <c r="F683" s="2" t="n">
        <f aca="false">IFERROR(__xludf.dummyfunction("""COMPUTED_VALUE"""),37306424)</f>
        <v>37306424</v>
      </c>
    </row>
    <row r="684" customFormat="false" ht="15.75" hidden="false" customHeight="false" outlineLevel="0" collapsed="false">
      <c r="A684" s="3" t="n">
        <f aca="false">IFERROR(__xludf.dummyfunction("""COMPUTED_VALUE"""),45189.6666666667)</f>
        <v>45189.6666666667</v>
      </c>
      <c r="B684" s="2" t="n">
        <f aca="false">IFERROR(__xludf.dummyfunction("""COMPUTED_VALUE"""),43.6)</f>
        <v>43.6</v>
      </c>
      <c r="C684" s="2" t="n">
        <f aca="false">IFERROR(__xludf.dummyfunction("""COMPUTED_VALUE"""),43.9)</f>
        <v>43.9</v>
      </c>
      <c r="D684" s="2" t="n">
        <f aca="false">IFERROR(__xludf.dummyfunction("""COMPUTED_VALUE"""),42.22)</f>
        <v>42.22</v>
      </c>
      <c r="E684" s="2" t="n">
        <f aca="false">IFERROR(__xludf.dummyfunction("""COMPUTED_VALUE"""),42.24)</f>
        <v>42.24</v>
      </c>
      <c r="F684" s="2" t="n">
        <f aca="false">IFERROR(__xludf.dummyfunction("""COMPUTED_VALUE"""),36710769)</f>
        <v>36710769</v>
      </c>
    </row>
    <row r="685" customFormat="false" ht="15.75" hidden="false" customHeight="false" outlineLevel="0" collapsed="false">
      <c r="A685" s="3" t="n">
        <f aca="false">IFERROR(__xludf.dummyfunction("""COMPUTED_VALUE"""),45190.6666666667)</f>
        <v>45190.6666666667</v>
      </c>
      <c r="B685" s="2" t="n">
        <f aca="false">IFERROR(__xludf.dummyfunction("""COMPUTED_VALUE"""),41.58)</f>
        <v>41.58</v>
      </c>
      <c r="C685" s="2" t="n">
        <f aca="false">IFERROR(__xludf.dummyfunction("""COMPUTED_VALUE"""),42.1)</f>
        <v>42.1</v>
      </c>
      <c r="D685" s="2" t="n">
        <f aca="false">IFERROR(__xludf.dummyfunction("""COMPUTED_VALUE"""),40.98)</f>
        <v>40.98</v>
      </c>
      <c r="E685" s="2" t="n">
        <f aca="false">IFERROR(__xludf.dummyfunction("""COMPUTED_VALUE"""),41.02)</f>
        <v>41.02</v>
      </c>
      <c r="F685" s="2" t="n">
        <f aca="false">IFERROR(__xludf.dummyfunction("""COMPUTED_VALUE"""),45073596)</f>
        <v>45073596</v>
      </c>
    </row>
    <row r="686" customFormat="false" ht="15.75" hidden="false" customHeight="false" outlineLevel="0" collapsed="false">
      <c r="A686" s="3" t="n">
        <f aca="false">IFERROR(__xludf.dummyfunction("""COMPUTED_VALUE"""),45191.6666666667)</f>
        <v>45191.6666666667</v>
      </c>
      <c r="B686" s="2" t="n">
        <f aca="false">IFERROR(__xludf.dummyfunction("""COMPUTED_VALUE"""),41.57)</f>
        <v>41.57</v>
      </c>
      <c r="C686" s="2" t="n">
        <f aca="false">IFERROR(__xludf.dummyfunction("""COMPUTED_VALUE"""),42.12)</f>
        <v>42.12</v>
      </c>
      <c r="D686" s="2" t="n">
        <f aca="false">IFERROR(__xludf.dummyfunction("""COMPUTED_VALUE"""),41.23)</f>
        <v>41.23</v>
      </c>
      <c r="E686" s="2" t="n">
        <f aca="false">IFERROR(__xludf.dummyfunction("""COMPUTED_VALUE"""),41.61)</f>
        <v>41.61</v>
      </c>
      <c r="F686" s="2" t="n">
        <f aca="false">IFERROR(__xludf.dummyfunction("""COMPUTED_VALUE"""),47923631)</f>
        <v>47923631</v>
      </c>
    </row>
    <row r="687" customFormat="false" ht="15.75" hidden="false" customHeight="false" outlineLevel="0" collapsed="false">
      <c r="A687" s="3" t="n">
        <f aca="false">IFERROR(__xludf.dummyfunction("""COMPUTED_VALUE"""),45194.6666666667)</f>
        <v>45194.6666666667</v>
      </c>
      <c r="B687" s="2" t="n">
        <f aca="false">IFERROR(__xludf.dummyfunction("""COMPUTED_VALUE"""),41.59)</f>
        <v>41.59</v>
      </c>
      <c r="C687" s="2" t="n">
        <f aca="false">IFERROR(__xludf.dummyfunction("""COMPUTED_VALUE"""),42.54)</f>
        <v>42.54</v>
      </c>
      <c r="D687" s="2" t="n">
        <f aca="false">IFERROR(__xludf.dummyfunction("""COMPUTED_VALUE"""),41.18)</f>
        <v>41.18</v>
      </c>
      <c r="E687" s="2" t="n">
        <f aca="false">IFERROR(__xludf.dummyfunction("""COMPUTED_VALUE"""),42.22)</f>
        <v>42.22</v>
      </c>
      <c r="F687" s="2" t="n">
        <f aca="false">IFERROR(__xludf.dummyfunction("""COMPUTED_VALUE"""),41909096)</f>
        <v>41909096</v>
      </c>
    </row>
    <row r="688" customFormat="false" ht="15.75" hidden="false" customHeight="false" outlineLevel="0" collapsed="false">
      <c r="A688" s="3" t="n">
        <f aca="false">IFERROR(__xludf.dummyfunction("""COMPUTED_VALUE"""),45195.6666666667)</f>
        <v>45195.6666666667</v>
      </c>
      <c r="B688" s="2" t="n">
        <f aca="false">IFERROR(__xludf.dummyfunction("""COMPUTED_VALUE"""),42)</f>
        <v>42</v>
      </c>
      <c r="C688" s="2" t="n">
        <f aca="false">IFERROR(__xludf.dummyfunction("""COMPUTED_VALUE"""),42.82)</f>
        <v>42.82</v>
      </c>
      <c r="D688" s="2" t="n">
        <f aca="false">IFERROR(__xludf.dummyfunction("""COMPUTED_VALUE"""),41.66)</f>
        <v>41.66</v>
      </c>
      <c r="E688" s="2" t="n">
        <f aca="false">IFERROR(__xludf.dummyfunction("""COMPUTED_VALUE"""),41.91)</f>
        <v>41.91</v>
      </c>
      <c r="F688" s="2" t="n">
        <f aca="false">IFERROR(__xludf.dummyfunction("""COMPUTED_VALUE"""),40228209)</f>
        <v>40228209</v>
      </c>
    </row>
    <row r="689" customFormat="false" ht="15.75" hidden="false" customHeight="false" outlineLevel="0" collapsed="false">
      <c r="A689" s="3" t="n">
        <f aca="false">IFERROR(__xludf.dummyfunction("""COMPUTED_VALUE"""),45196.6666666667)</f>
        <v>45196.6666666667</v>
      </c>
      <c r="B689" s="2" t="n">
        <f aca="false">IFERROR(__xludf.dummyfunction("""COMPUTED_VALUE"""),42.33)</f>
        <v>42.33</v>
      </c>
      <c r="C689" s="2" t="n">
        <f aca="false">IFERROR(__xludf.dummyfunction("""COMPUTED_VALUE"""),42.87)</f>
        <v>42.87</v>
      </c>
      <c r="D689" s="2" t="n">
        <f aca="false">IFERROR(__xludf.dummyfunction("""COMPUTED_VALUE"""),41.63)</f>
        <v>41.63</v>
      </c>
      <c r="E689" s="2" t="n">
        <f aca="false">IFERROR(__xludf.dummyfunction("""COMPUTED_VALUE"""),42.47)</f>
        <v>42.47</v>
      </c>
      <c r="F689" s="2" t="n">
        <f aca="false">IFERROR(__xludf.dummyfunction("""COMPUTED_VALUE"""),44493520)</f>
        <v>44493520</v>
      </c>
    </row>
    <row r="690" customFormat="false" ht="15.75" hidden="false" customHeight="false" outlineLevel="0" collapsed="false">
      <c r="A690" s="3" t="n">
        <f aca="false">IFERROR(__xludf.dummyfunction("""COMPUTED_VALUE"""),45197.6666666667)</f>
        <v>45197.6666666667</v>
      </c>
      <c r="B690" s="2" t="n">
        <f aca="false">IFERROR(__xludf.dummyfunction("""COMPUTED_VALUE"""),42.46)</f>
        <v>42.46</v>
      </c>
      <c r="C690" s="2" t="n">
        <f aca="false">IFERROR(__xludf.dummyfunction("""COMPUTED_VALUE"""),43.45)</f>
        <v>43.45</v>
      </c>
      <c r="D690" s="2" t="n">
        <f aca="false">IFERROR(__xludf.dummyfunction("""COMPUTED_VALUE"""),42.12)</f>
        <v>42.12</v>
      </c>
      <c r="E690" s="2" t="n">
        <f aca="false">IFERROR(__xludf.dummyfunction("""COMPUTED_VALUE"""),43.09)</f>
        <v>43.09</v>
      </c>
      <c r="F690" s="2" t="n">
        <f aca="false">IFERROR(__xludf.dummyfunction("""COMPUTED_VALUE"""),42466279)</f>
        <v>42466279</v>
      </c>
    </row>
    <row r="691" customFormat="false" ht="15.75" hidden="false" customHeight="false" outlineLevel="0" collapsed="false">
      <c r="A691" s="3" t="n">
        <f aca="false">IFERROR(__xludf.dummyfunction("""COMPUTED_VALUE"""),45198.6666666667)</f>
        <v>45198.6666666667</v>
      </c>
      <c r="B691" s="2" t="n">
        <f aca="false">IFERROR(__xludf.dummyfunction("""COMPUTED_VALUE"""),43.83)</f>
        <v>43.83</v>
      </c>
      <c r="C691" s="2" t="n">
        <f aca="false">IFERROR(__xludf.dummyfunction("""COMPUTED_VALUE"""),44.14)</f>
        <v>44.14</v>
      </c>
      <c r="D691" s="2" t="n">
        <f aca="false">IFERROR(__xludf.dummyfunction("""COMPUTED_VALUE"""),43.31)</f>
        <v>43.31</v>
      </c>
      <c r="E691" s="2" t="n">
        <f aca="false">IFERROR(__xludf.dummyfunction("""COMPUTED_VALUE"""),43.5)</f>
        <v>43.5</v>
      </c>
      <c r="F691" s="2" t="n">
        <f aca="false">IFERROR(__xludf.dummyfunction("""COMPUTED_VALUE"""),39782993)</f>
        <v>39782993</v>
      </c>
    </row>
    <row r="692" customFormat="false" ht="15.75" hidden="false" customHeight="false" outlineLevel="0" collapsed="false">
      <c r="A692" s="3" t="n">
        <f aca="false">IFERROR(__xludf.dummyfunction("""COMPUTED_VALUE"""),45201.6666666667)</f>
        <v>45201.6666666667</v>
      </c>
      <c r="B692" s="2" t="n">
        <f aca="false">IFERROR(__xludf.dummyfunction("""COMPUTED_VALUE"""),44.03)</f>
        <v>44.03</v>
      </c>
      <c r="C692" s="2" t="n">
        <f aca="false">IFERROR(__xludf.dummyfunction("""COMPUTED_VALUE"""),45.18)</f>
        <v>45.18</v>
      </c>
      <c r="D692" s="2" t="n">
        <f aca="false">IFERROR(__xludf.dummyfunction("""COMPUTED_VALUE"""),43.86)</f>
        <v>43.86</v>
      </c>
      <c r="E692" s="2" t="n">
        <f aca="false">IFERROR(__xludf.dummyfunction("""COMPUTED_VALUE"""),44.78)</f>
        <v>44.78</v>
      </c>
      <c r="F692" s="2" t="n">
        <f aca="false">IFERROR(__xludf.dummyfunction("""COMPUTED_VALUE"""),43329821)</f>
        <v>43329821</v>
      </c>
    </row>
    <row r="693" customFormat="false" ht="15.75" hidden="false" customHeight="false" outlineLevel="0" collapsed="false">
      <c r="A693" s="3" t="n">
        <f aca="false">IFERROR(__xludf.dummyfunction("""COMPUTED_VALUE"""),45202.6666666667)</f>
        <v>45202.6666666667</v>
      </c>
      <c r="B693" s="2" t="n">
        <f aca="false">IFERROR(__xludf.dummyfunction("""COMPUTED_VALUE"""),44.81)</f>
        <v>44.81</v>
      </c>
      <c r="C693" s="2" t="n">
        <f aca="false">IFERROR(__xludf.dummyfunction("""COMPUTED_VALUE"""),45.13)</f>
        <v>45.13</v>
      </c>
      <c r="D693" s="2" t="n">
        <f aca="false">IFERROR(__xludf.dummyfunction("""COMPUTED_VALUE"""),43.25)</f>
        <v>43.25</v>
      </c>
      <c r="E693" s="2" t="n">
        <f aca="false">IFERROR(__xludf.dummyfunction("""COMPUTED_VALUE"""),43.52)</f>
        <v>43.52</v>
      </c>
      <c r="F693" s="2" t="n">
        <f aca="false">IFERROR(__xludf.dummyfunction("""COMPUTED_VALUE"""),47084954)</f>
        <v>47084954</v>
      </c>
    </row>
    <row r="694" customFormat="false" ht="15.75" hidden="false" customHeight="false" outlineLevel="0" collapsed="false">
      <c r="A694" s="3" t="n">
        <f aca="false">IFERROR(__xludf.dummyfunction("""COMPUTED_VALUE"""),45203.6666666667)</f>
        <v>45203.6666666667</v>
      </c>
      <c r="B694" s="2" t="n">
        <f aca="false">IFERROR(__xludf.dummyfunction("""COMPUTED_VALUE"""),43.74)</f>
        <v>43.74</v>
      </c>
      <c r="C694" s="2" t="n">
        <f aca="false">IFERROR(__xludf.dummyfunction("""COMPUTED_VALUE"""),44.14)</f>
        <v>44.14</v>
      </c>
      <c r="D694" s="2" t="n">
        <f aca="false">IFERROR(__xludf.dummyfunction("""COMPUTED_VALUE"""),43.29)</f>
        <v>43.29</v>
      </c>
      <c r="E694" s="2" t="n">
        <f aca="false">IFERROR(__xludf.dummyfunction("""COMPUTED_VALUE"""),44.04)</f>
        <v>44.04</v>
      </c>
      <c r="F694" s="2" t="n">
        <f aca="false">IFERROR(__xludf.dummyfunction("""COMPUTED_VALUE"""),36182086)</f>
        <v>36182086</v>
      </c>
    </row>
    <row r="695" customFormat="false" ht="15.75" hidden="false" customHeight="false" outlineLevel="0" collapsed="false">
      <c r="A695" s="3" t="n">
        <f aca="false">IFERROR(__xludf.dummyfunction("""COMPUTED_VALUE"""),45204.6666666667)</f>
        <v>45204.6666666667</v>
      </c>
      <c r="B695" s="2" t="n">
        <f aca="false">IFERROR(__xludf.dummyfunction("""COMPUTED_VALUE"""),44.05)</f>
        <v>44.05</v>
      </c>
      <c r="C695" s="2" t="n">
        <f aca="false">IFERROR(__xludf.dummyfunction("""COMPUTED_VALUE"""),44.9)</f>
        <v>44.9</v>
      </c>
      <c r="D695" s="2" t="n">
        <f aca="false">IFERROR(__xludf.dummyfunction("""COMPUTED_VALUE"""),43.89)</f>
        <v>43.89</v>
      </c>
      <c r="E695" s="2" t="n">
        <f aca="false">IFERROR(__xludf.dummyfunction("""COMPUTED_VALUE"""),44.69)</f>
        <v>44.69</v>
      </c>
      <c r="F695" s="2" t="n">
        <f aca="false">IFERROR(__xludf.dummyfunction("""COMPUTED_VALUE"""),39348309)</f>
        <v>39348309</v>
      </c>
    </row>
    <row r="696" customFormat="false" ht="15.75" hidden="false" customHeight="false" outlineLevel="0" collapsed="false">
      <c r="A696" s="3" t="n">
        <f aca="false">IFERROR(__xludf.dummyfunction("""COMPUTED_VALUE"""),45205.6666666667)</f>
        <v>45205.6666666667</v>
      </c>
      <c r="B696" s="2" t="n">
        <f aca="false">IFERROR(__xludf.dummyfunction("""COMPUTED_VALUE"""),44.19)</f>
        <v>44.19</v>
      </c>
      <c r="C696" s="2" t="n">
        <f aca="false">IFERROR(__xludf.dummyfunction("""COMPUTED_VALUE"""),45.79)</f>
        <v>45.79</v>
      </c>
      <c r="D696" s="2" t="n">
        <f aca="false">IFERROR(__xludf.dummyfunction("""COMPUTED_VALUE"""),44.03)</f>
        <v>44.03</v>
      </c>
      <c r="E696" s="2" t="n">
        <f aca="false">IFERROR(__xludf.dummyfunction("""COMPUTED_VALUE"""),45.76)</f>
        <v>45.76</v>
      </c>
      <c r="F696" s="2" t="n">
        <f aca="false">IFERROR(__xludf.dummyfunction("""COMPUTED_VALUE"""),43443602)</f>
        <v>43443602</v>
      </c>
    </row>
    <row r="697" customFormat="false" ht="15.75" hidden="false" customHeight="false" outlineLevel="0" collapsed="false">
      <c r="A697" s="3" t="n">
        <f aca="false">IFERROR(__xludf.dummyfunction("""COMPUTED_VALUE"""),45208.6666666667)</f>
        <v>45208.6666666667</v>
      </c>
      <c r="B697" s="2" t="n">
        <f aca="false">IFERROR(__xludf.dummyfunction("""COMPUTED_VALUE"""),44.84)</f>
        <v>44.84</v>
      </c>
      <c r="C697" s="2" t="n">
        <f aca="false">IFERROR(__xludf.dummyfunction("""COMPUTED_VALUE"""),45.61)</f>
        <v>45.61</v>
      </c>
      <c r="D697" s="2" t="n">
        <f aca="false">IFERROR(__xludf.dummyfunction("""COMPUTED_VALUE"""),44.37)</f>
        <v>44.37</v>
      </c>
      <c r="E697" s="2" t="n">
        <f aca="false">IFERROR(__xludf.dummyfunction("""COMPUTED_VALUE"""),45.27)</f>
        <v>45.27</v>
      </c>
      <c r="F697" s="2" t="n">
        <f aca="false">IFERROR(__xludf.dummyfunction("""COMPUTED_VALUE"""),40967472)</f>
        <v>40967472</v>
      </c>
    </row>
    <row r="698" customFormat="false" ht="15.75" hidden="false" customHeight="false" outlineLevel="0" collapsed="false">
      <c r="A698" s="3" t="n">
        <f aca="false">IFERROR(__xludf.dummyfunction("""COMPUTED_VALUE"""),45209.6666666667)</f>
        <v>45209.6666666667</v>
      </c>
      <c r="B698" s="2" t="n">
        <f aca="false">IFERROR(__xludf.dummyfunction("""COMPUTED_VALUE"""),45.31)</f>
        <v>45.31</v>
      </c>
      <c r="C698" s="2" t="n">
        <f aca="false">IFERROR(__xludf.dummyfunction("""COMPUTED_VALUE"""),46.26)</f>
        <v>46.26</v>
      </c>
      <c r="D698" s="2" t="n">
        <f aca="false">IFERROR(__xludf.dummyfunction("""COMPUTED_VALUE"""),45.09)</f>
        <v>45.09</v>
      </c>
      <c r="E698" s="2" t="n">
        <f aca="false">IFERROR(__xludf.dummyfunction("""COMPUTED_VALUE"""),45.8)</f>
        <v>45.8</v>
      </c>
      <c r="F698" s="2" t="n">
        <f aca="false">IFERROR(__xludf.dummyfunction("""COMPUTED_VALUE"""),36858208)</f>
        <v>36858208</v>
      </c>
    </row>
    <row r="699" customFormat="false" ht="15.75" hidden="false" customHeight="false" outlineLevel="0" collapsed="false">
      <c r="A699" s="3" t="n">
        <f aca="false">IFERROR(__xludf.dummyfunction("""COMPUTED_VALUE"""),45210.6666666667)</f>
        <v>45210.6666666667</v>
      </c>
      <c r="B699" s="2" t="n">
        <f aca="false">IFERROR(__xludf.dummyfunction("""COMPUTED_VALUE"""),46.2)</f>
        <v>46.2</v>
      </c>
      <c r="C699" s="2" t="n">
        <f aca="false">IFERROR(__xludf.dummyfunction("""COMPUTED_VALUE"""),46.86)</f>
        <v>46.86</v>
      </c>
      <c r="D699" s="2" t="n">
        <f aca="false">IFERROR(__xludf.dummyfunction("""COMPUTED_VALUE"""),46.05)</f>
        <v>46.05</v>
      </c>
      <c r="E699" s="2" t="n">
        <f aca="false">IFERROR(__xludf.dummyfunction("""COMPUTED_VALUE"""),46.81)</f>
        <v>46.81</v>
      </c>
      <c r="F699" s="2" t="n">
        <f aca="false">IFERROR(__xludf.dummyfunction("""COMPUTED_VALUE"""),37813689)</f>
        <v>37813689</v>
      </c>
    </row>
    <row r="700" customFormat="false" ht="15.75" hidden="false" customHeight="false" outlineLevel="0" collapsed="false">
      <c r="A700" s="3" t="n">
        <f aca="false">IFERROR(__xludf.dummyfunction("""COMPUTED_VALUE"""),45211.6666666667)</f>
        <v>45211.6666666667</v>
      </c>
      <c r="B700" s="2" t="n">
        <f aca="false">IFERROR(__xludf.dummyfunction("""COMPUTED_VALUE"""),46.78)</f>
        <v>46.78</v>
      </c>
      <c r="C700" s="2" t="n">
        <f aca="false">IFERROR(__xludf.dummyfunction("""COMPUTED_VALUE"""),47.61)</f>
        <v>47.61</v>
      </c>
      <c r="D700" s="2" t="n">
        <f aca="false">IFERROR(__xludf.dummyfunction("""COMPUTED_VALUE"""),46.33)</f>
        <v>46.33</v>
      </c>
      <c r="E700" s="2" t="n">
        <f aca="false">IFERROR(__xludf.dummyfunction("""COMPUTED_VALUE"""),46.95)</f>
        <v>46.95</v>
      </c>
      <c r="F700" s="2" t="n">
        <f aca="false">IFERROR(__xludf.dummyfunction("""COMPUTED_VALUE"""),48132500)</f>
        <v>48132500</v>
      </c>
    </row>
    <row r="701" customFormat="false" ht="15.75" hidden="false" customHeight="false" outlineLevel="0" collapsed="false">
      <c r="A701" s="3" t="n">
        <f aca="false">IFERROR(__xludf.dummyfunction("""COMPUTED_VALUE"""),45212.6666666667)</f>
        <v>45212.6666666667</v>
      </c>
      <c r="B701" s="2" t="n">
        <f aca="false">IFERROR(__xludf.dummyfunction("""COMPUTED_VALUE"""),46.96)</f>
        <v>46.96</v>
      </c>
      <c r="C701" s="2" t="n">
        <f aca="false">IFERROR(__xludf.dummyfunction("""COMPUTED_VALUE"""),47.12)</f>
        <v>47.12</v>
      </c>
      <c r="D701" s="2" t="n">
        <f aca="false">IFERROR(__xludf.dummyfunction("""COMPUTED_VALUE"""),45.28)</f>
        <v>45.28</v>
      </c>
      <c r="E701" s="2" t="n">
        <f aca="false">IFERROR(__xludf.dummyfunction("""COMPUTED_VALUE"""),45.46)</f>
        <v>45.46</v>
      </c>
      <c r="F701" s="2" t="n">
        <f aca="false">IFERROR(__xludf.dummyfunction("""COMPUTED_VALUE"""),47542599)</f>
        <v>47542599</v>
      </c>
    </row>
    <row r="702" customFormat="false" ht="15.75" hidden="false" customHeight="false" outlineLevel="0" collapsed="false">
      <c r="A702" s="3" t="n">
        <f aca="false">IFERROR(__xludf.dummyfunction("""COMPUTED_VALUE"""),45215.6666666667)</f>
        <v>45215.6666666667</v>
      </c>
      <c r="B702" s="2" t="n">
        <f aca="false">IFERROR(__xludf.dummyfunction("""COMPUTED_VALUE"""),45.06)</f>
        <v>45.06</v>
      </c>
      <c r="C702" s="2" t="n">
        <f aca="false">IFERROR(__xludf.dummyfunction("""COMPUTED_VALUE"""),46.23)</f>
        <v>46.23</v>
      </c>
      <c r="D702" s="2" t="n">
        <f aca="false">IFERROR(__xludf.dummyfunction("""COMPUTED_VALUE"""),44.91)</f>
        <v>44.91</v>
      </c>
      <c r="E702" s="2" t="n">
        <f aca="false">IFERROR(__xludf.dummyfunction("""COMPUTED_VALUE"""),46.1)</f>
        <v>46.1</v>
      </c>
      <c r="F702" s="2" t="n">
        <f aca="false">IFERROR(__xludf.dummyfunction("""COMPUTED_VALUE"""),37509924)</f>
        <v>37509924</v>
      </c>
    </row>
    <row r="703" customFormat="false" ht="15.75" hidden="false" customHeight="false" outlineLevel="0" collapsed="false">
      <c r="A703" s="3" t="n">
        <f aca="false">IFERROR(__xludf.dummyfunction("""COMPUTED_VALUE"""),45216.6666666667)</f>
        <v>45216.6666666667</v>
      </c>
      <c r="B703" s="2" t="n">
        <f aca="false">IFERROR(__xludf.dummyfunction("""COMPUTED_VALUE"""),44)</f>
        <v>44</v>
      </c>
      <c r="C703" s="2" t="n">
        <f aca="false">IFERROR(__xludf.dummyfunction("""COMPUTED_VALUE"""),44.75)</f>
        <v>44.75</v>
      </c>
      <c r="D703" s="2" t="n">
        <f aca="false">IFERROR(__xludf.dummyfunction("""COMPUTED_VALUE"""),42.48)</f>
        <v>42.48</v>
      </c>
      <c r="E703" s="2" t="n">
        <f aca="false">IFERROR(__xludf.dummyfunction("""COMPUTED_VALUE"""),43.94)</f>
        <v>43.94</v>
      </c>
      <c r="F703" s="2" t="n">
        <f aca="false">IFERROR(__xludf.dummyfunction("""COMPUTED_VALUE"""),81233267)</f>
        <v>81233267</v>
      </c>
    </row>
    <row r="704" customFormat="false" ht="15.75" hidden="false" customHeight="false" outlineLevel="0" collapsed="false">
      <c r="A704" s="3" t="n">
        <f aca="false">IFERROR(__xludf.dummyfunction("""COMPUTED_VALUE"""),45217.6666666667)</f>
        <v>45217.6666666667</v>
      </c>
      <c r="B704" s="2" t="n">
        <f aca="false">IFERROR(__xludf.dummyfunction("""COMPUTED_VALUE"""),42.59)</f>
        <v>42.59</v>
      </c>
      <c r="C704" s="2" t="n">
        <f aca="false">IFERROR(__xludf.dummyfunction("""COMPUTED_VALUE"""),43.22)</f>
        <v>43.22</v>
      </c>
      <c r="D704" s="2" t="n">
        <f aca="false">IFERROR(__xludf.dummyfunction("""COMPUTED_VALUE"""),41.83)</f>
        <v>41.83</v>
      </c>
      <c r="E704" s="2" t="n">
        <f aca="false">IFERROR(__xludf.dummyfunction("""COMPUTED_VALUE"""),42.2)</f>
        <v>42.2</v>
      </c>
      <c r="F704" s="2" t="n">
        <f aca="false">IFERROR(__xludf.dummyfunction("""COMPUTED_VALUE"""),62729434)</f>
        <v>62729434</v>
      </c>
    </row>
    <row r="705" customFormat="false" ht="15.75" hidden="false" customHeight="false" outlineLevel="0" collapsed="false">
      <c r="A705" s="3" t="n">
        <f aca="false">IFERROR(__xludf.dummyfunction("""COMPUTED_VALUE"""),45218.6666666667)</f>
        <v>45218.6666666667</v>
      </c>
      <c r="B705" s="2" t="n">
        <f aca="false">IFERROR(__xludf.dummyfunction("""COMPUTED_VALUE"""),42.81)</f>
        <v>42.81</v>
      </c>
      <c r="C705" s="2" t="n">
        <f aca="false">IFERROR(__xludf.dummyfunction("""COMPUTED_VALUE"""),43.3)</f>
        <v>43.3</v>
      </c>
      <c r="D705" s="2" t="n">
        <f aca="false">IFERROR(__xludf.dummyfunction("""COMPUTED_VALUE"""),41.88)</f>
        <v>41.88</v>
      </c>
      <c r="E705" s="2" t="n">
        <f aca="false">IFERROR(__xludf.dummyfunction("""COMPUTED_VALUE"""),42.1)</f>
        <v>42.1</v>
      </c>
      <c r="F705" s="2" t="n">
        <f aca="false">IFERROR(__xludf.dummyfunction("""COMPUTED_VALUE"""),50123308)</f>
        <v>50123308</v>
      </c>
    </row>
    <row r="706" customFormat="false" ht="15.75" hidden="false" customHeight="false" outlineLevel="0" collapsed="false">
      <c r="A706" s="3" t="n">
        <f aca="false">IFERROR(__xludf.dummyfunction("""COMPUTED_VALUE"""),45219.6666666667)</f>
        <v>45219.6666666667</v>
      </c>
      <c r="B706" s="2" t="n">
        <f aca="false">IFERROR(__xludf.dummyfunction("""COMPUTED_VALUE"""),41.89)</f>
        <v>41.89</v>
      </c>
      <c r="C706" s="2" t="n">
        <f aca="false">IFERROR(__xludf.dummyfunction("""COMPUTED_VALUE"""),42.47)</f>
        <v>42.47</v>
      </c>
      <c r="D706" s="2" t="n">
        <f aca="false">IFERROR(__xludf.dummyfunction("""COMPUTED_VALUE"""),41.08)</f>
        <v>41.08</v>
      </c>
      <c r="E706" s="2" t="n">
        <f aca="false">IFERROR(__xludf.dummyfunction("""COMPUTED_VALUE"""),41.39)</f>
        <v>41.39</v>
      </c>
      <c r="F706" s="2" t="n">
        <f aca="false">IFERROR(__xludf.dummyfunction("""COMPUTED_VALUE"""),47726605)</f>
        <v>47726605</v>
      </c>
    </row>
    <row r="707" customFormat="false" ht="15.75" hidden="false" customHeight="false" outlineLevel="0" collapsed="false">
      <c r="A707" s="3" t="n">
        <f aca="false">IFERROR(__xludf.dummyfunction("""COMPUTED_VALUE"""),45222.6666666667)</f>
        <v>45222.6666666667</v>
      </c>
      <c r="B707" s="2" t="n">
        <f aca="false">IFERROR(__xludf.dummyfunction("""COMPUTED_VALUE"""),41.23)</f>
        <v>41.23</v>
      </c>
      <c r="C707" s="2" t="n">
        <f aca="false">IFERROR(__xludf.dummyfunction("""COMPUTED_VALUE"""),43.25)</f>
        <v>43.25</v>
      </c>
      <c r="D707" s="2" t="n">
        <f aca="false">IFERROR(__xludf.dummyfunction("""COMPUTED_VALUE"""),40.95)</f>
        <v>40.95</v>
      </c>
      <c r="E707" s="2" t="n">
        <f aca="false">IFERROR(__xludf.dummyfunction("""COMPUTED_VALUE"""),42.98)</f>
        <v>42.98</v>
      </c>
      <c r="F707" s="2" t="n">
        <f aca="false">IFERROR(__xludf.dummyfunction("""COMPUTED_VALUE"""),47853049)</f>
        <v>47853049</v>
      </c>
    </row>
    <row r="708" customFormat="false" ht="15.75" hidden="false" customHeight="false" outlineLevel="0" collapsed="false">
      <c r="A708" s="3" t="n">
        <f aca="false">IFERROR(__xludf.dummyfunction("""COMPUTED_VALUE"""),45223.6666666667)</f>
        <v>45223.6666666667</v>
      </c>
      <c r="B708" s="2" t="n">
        <f aca="false">IFERROR(__xludf.dummyfunction("""COMPUTED_VALUE"""),43.08)</f>
        <v>43.08</v>
      </c>
      <c r="C708" s="2" t="n">
        <f aca="false">IFERROR(__xludf.dummyfunction("""COMPUTED_VALUE"""),43.7)</f>
        <v>43.7</v>
      </c>
      <c r="D708" s="2" t="n">
        <f aca="false">IFERROR(__xludf.dummyfunction("""COMPUTED_VALUE"""),42.69)</f>
        <v>42.69</v>
      </c>
      <c r="E708" s="2" t="n">
        <f aca="false">IFERROR(__xludf.dummyfunction("""COMPUTED_VALUE"""),43.66)</f>
        <v>43.66</v>
      </c>
      <c r="F708" s="2" t="n">
        <f aca="false">IFERROR(__xludf.dummyfunction("""COMPUTED_VALUE"""),40146337)</f>
        <v>40146337</v>
      </c>
    </row>
    <row r="709" customFormat="false" ht="15.75" hidden="false" customHeight="false" outlineLevel="0" collapsed="false">
      <c r="A709" s="3" t="n">
        <f aca="false">IFERROR(__xludf.dummyfunction("""COMPUTED_VALUE"""),45224.6666666667)</f>
        <v>45224.6666666667</v>
      </c>
      <c r="B709" s="2" t="n">
        <f aca="false">IFERROR(__xludf.dummyfunction("""COMPUTED_VALUE"""),43.4)</f>
        <v>43.4</v>
      </c>
      <c r="C709" s="2" t="n">
        <f aca="false">IFERROR(__xludf.dummyfunction("""COMPUTED_VALUE"""),43.65)</f>
        <v>43.65</v>
      </c>
      <c r="D709" s="2" t="n">
        <f aca="false">IFERROR(__xludf.dummyfunction("""COMPUTED_VALUE"""),41.56)</f>
        <v>41.56</v>
      </c>
      <c r="E709" s="2" t="n">
        <f aca="false">IFERROR(__xludf.dummyfunction("""COMPUTED_VALUE"""),41.78)</f>
        <v>41.78</v>
      </c>
      <c r="F709" s="2" t="n">
        <f aca="false">IFERROR(__xludf.dummyfunction("""COMPUTED_VALUE"""),39837922)</f>
        <v>39837922</v>
      </c>
    </row>
    <row r="710" customFormat="false" ht="15.75" hidden="false" customHeight="false" outlineLevel="0" collapsed="false">
      <c r="A710" s="3" t="n">
        <f aca="false">IFERROR(__xludf.dummyfunction("""COMPUTED_VALUE"""),45225.6666666667)</f>
        <v>45225.6666666667</v>
      </c>
      <c r="B710" s="2" t="n">
        <f aca="false">IFERROR(__xludf.dummyfunction("""COMPUTED_VALUE"""),41.85)</f>
        <v>41.85</v>
      </c>
      <c r="C710" s="2" t="n">
        <f aca="false">IFERROR(__xludf.dummyfunction("""COMPUTED_VALUE"""),42.26)</f>
        <v>42.26</v>
      </c>
      <c r="D710" s="2" t="n">
        <f aca="false">IFERROR(__xludf.dummyfunction("""COMPUTED_VALUE"""),39.88)</f>
        <v>39.88</v>
      </c>
      <c r="E710" s="2" t="n">
        <f aca="false">IFERROR(__xludf.dummyfunction("""COMPUTED_VALUE"""),40.33)</f>
        <v>40.33</v>
      </c>
      <c r="F710" s="2" t="n">
        <f aca="false">IFERROR(__xludf.dummyfunction("""COMPUTED_VALUE"""),54100132)</f>
        <v>54100132</v>
      </c>
    </row>
    <row r="711" customFormat="false" ht="15.75" hidden="false" customHeight="false" outlineLevel="0" collapsed="false">
      <c r="A711" s="3" t="n">
        <f aca="false">IFERROR(__xludf.dummyfunction("""COMPUTED_VALUE"""),45226.6666666667)</f>
        <v>45226.6666666667</v>
      </c>
      <c r="B711" s="2" t="n">
        <f aca="false">IFERROR(__xludf.dummyfunction("""COMPUTED_VALUE"""),41.13)</f>
        <v>41.13</v>
      </c>
      <c r="C711" s="2" t="n">
        <f aca="false">IFERROR(__xludf.dummyfunction("""COMPUTED_VALUE"""),41.21)</f>
        <v>41.21</v>
      </c>
      <c r="D711" s="2" t="n">
        <f aca="false">IFERROR(__xludf.dummyfunction("""COMPUTED_VALUE"""),40.02)</f>
        <v>40.02</v>
      </c>
      <c r="E711" s="2" t="n">
        <f aca="false">IFERROR(__xludf.dummyfunction("""COMPUTED_VALUE"""),40.5)</f>
        <v>40.5</v>
      </c>
      <c r="F711" s="2" t="n">
        <f aca="false">IFERROR(__xludf.dummyfunction("""COMPUTED_VALUE"""),41678441)</f>
        <v>41678441</v>
      </c>
    </row>
    <row r="712" customFormat="false" ht="15.75" hidden="false" customHeight="false" outlineLevel="0" collapsed="false">
      <c r="A712" s="3" t="n">
        <f aca="false">IFERROR(__xludf.dummyfunction("""COMPUTED_VALUE"""),45229.6666666667)</f>
        <v>45229.6666666667</v>
      </c>
      <c r="B712" s="2" t="n">
        <f aca="false">IFERROR(__xludf.dummyfunction("""COMPUTED_VALUE"""),41.09)</f>
        <v>41.09</v>
      </c>
      <c r="C712" s="2" t="n">
        <f aca="false">IFERROR(__xludf.dummyfunction("""COMPUTED_VALUE"""),41.77)</f>
        <v>41.77</v>
      </c>
      <c r="D712" s="2" t="n">
        <f aca="false">IFERROR(__xludf.dummyfunction("""COMPUTED_VALUE"""),40.48)</f>
        <v>40.48</v>
      </c>
      <c r="E712" s="2" t="n">
        <f aca="false">IFERROR(__xludf.dummyfunction("""COMPUTED_VALUE"""),41.16)</f>
        <v>41.16</v>
      </c>
      <c r="F712" s="2" t="n">
        <f aca="false">IFERROR(__xludf.dummyfunction("""COMPUTED_VALUE"""),38802814)</f>
        <v>38802814</v>
      </c>
    </row>
    <row r="713" customFormat="false" ht="15.75" hidden="false" customHeight="false" outlineLevel="0" collapsed="false">
      <c r="A713" s="3" t="n">
        <f aca="false">IFERROR(__xludf.dummyfunction("""COMPUTED_VALUE"""),45230.6666666667)</f>
        <v>45230.6666666667</v>
      </c>
      <c r="B713" s="2" t="n">
        <f aca="false">IFERROR(__xludf.dummyfunction("""COMPUTED_VALUE"""),40.45)</f>
        <v>40.45</v>
      </c>
      <c r="C713" s="2" t="n">
        <f aca="false">IFERROR(__xludf.dummyfunction("""COMPUTED_VALUE"""),40.88)</f>
        <v>40.88</v>
      </c>
      <c r="D713" s="2" t="n">
        <f aca="false">IFERROR(__xludf.dummyfunction("""COMPUTED_VALUE"""),39.23)</f>
        <v>39.23</v>
      </c>
      <c r="E713" s="2" t="n">
        <f aca="false">IFERROR(__xludf.dummyfunction("""COMPUTED_VALUE"""),40.78)</f>
        <v>40.78</v>
      </c>
      <c r="F713" s="2" t="n">
        <f aca="false">IFERROR(__xludf.dummyfunction("""COMPUTED_VALUE"""),51796870)</f>
        <v>51796870</v>
      </c>
    </row>
    <row r="714" customFormat="false" ht="15.75" hidden="false" customHeight="false" outlineLevel="0" collapsed="false">
      <c r="A714" s="3" t="n">
        <f aca="false">IFERROR(__xludf.dummyfunction("""COMPUTED_VALUE"""),45231.6666666667)</f>
        <v>45231.6666666667</v>
      </c>
      <c r="B714" s="2" t="n">
        <f aca="false">IFERROR(__xludf.dummyfunction("""COMPUTED_VALUE"""),40.88)</f>
        <v>40.88</v>
      </c>
      <c r="C714" s="2" t="n">
        <f aca="false">IFERROR(__xludf.dummyfunction("""COMPUTED_VALUE"""),42.38)</f>
        <v>42.38</v>
      </c>
      <c r="D714" s="2" t="n">
        <f aca="false">IFERROR(__xludf.dummyfunction("""COMPUTED_VALUE"""),40.87)</f>
        <v>40.87</v>
      </c>
      <c r="E714" s="2" t="n">
        <f aca="false">IFERROR(__xludf.dummyfunction("""COMPUTED_VALUE"""),42.33)</f>
        <v>42.33</v>
      </c>
      <c r="F714" s="2" t="n">
        <f aca="false">IFERROR(__xludf.dummyfunction("""COMPUTED_VALUE"""),43759290)</f>
        <v>43759290</v>
      </c>
    </row>
    <row r="715" customFormat="false" ht="15.75" hidden="false" customHeight="false" outlineLevel="0" collapsed="false">
      <c r="A715" s="3" t="n">
        <f aca="false">IFERROR(__xludf.dummyfunction("""COMPUTED_VALUE"""),45232.6666666667)</f>
        <v>45232.6666666667</v>
      </c>
      <c r="B715" s="2" t="n">
        <f aca="false">IFERROR(__xludf.dummyfunction("""COMPUTED_VALUE"""),43.33)</f>
        <v>43.33</v>
      </c>
      <c r="C715" s="2" t="n">
        <f aca="false">IFERROR(__xludf.dummyfunction("""COMPUTED_VALUE"""),43.88)</f>
        <v>43.88</v>
      </c>
      <c r="D715" s="2" t="n">
        <f aca="false">IFERROR(__xludf.dummyfunction("""COMPUTED_VALUE"""),42.89)</f>
        <v>42.89</v>
      </c>
      <c r="E715" s="2" t="n">
        <f aca="false">IFERROR(__xludf.dummyfunction("""COMPUTED_VALUE"""),43.51)</f>
        <v>43.51</v>
      </c>
      <c r="F715" s="2" t="n">
        <f aca="false">IFERROR(__xludf.dummyfunction("""COMPUTED_VALUE"""),40917187)</f>
        <v>40917187</v>
      </c>
    </row>
    <row r="716" customFormat="false" ht="15.75" hidden="false" customHeight="false" outlineLevel="0" collapsed="false">
      <c r="A716" s="3" t="n">
        <f aca="false">IFERROR(__xludf.dummyfunction("""COMPUTED_VALUE"""),45233.6666666667)</f>
        <v>45233.6666666667</v>
      </c>
      <c r="B716" s="2" t="n">
        <f aca="false">IFERROR(__xludf.dummyfunction("""COMPUTED_VALUE"""),44.02)</f>
        <v>44.02</v>
      </c>
      <c r="C716" s="2" t="n">
        <f aca="false">IFERROR(__xludf.dummyfunction("""COMPUTED_VALUE"""),45.31)</f>
        <v>45.31</v>
      </c>
      <c r="D716" s="2" t="n">
        <f aca="false">IFERROR(__xludf.dummyfunction("""COMPUTED_VALUE"""),43.72)</f>
        <v>43.72</v>
      </c>
      <c r="E716" s="2" t="n">
        <f aca="false">IFERROR(__xludf.dummyfunction("""COMPUTED_VALUE"""),45.01)</f>
        <v>45.01</v>
      </c>
      <c r="F716" s="2" t="n">
        <f aca="false">IFERROR(__xludf.dummyfunction("""COMPUTED_VALUE"""),42460959)</f>
        <v>42460959</v>
      </c>
    </row>
    <row r="717" customFormat="false" ht="15.75" hidden="false" customHeight="false" outlineLevel="0" collapsed="false">
      <c r="A717" s="3" t="n">
        <f aca="false">IFERROR(__xludf.dummyfunction("""COMPUTED_VALUE"""),45236.6666666667)</f>
        <v>45236.6666666667</v>
      </c>
      <c r="B717" s="2" t="n">
        <f aca="false">IFERROR(__xludf.dummyfunction("""COMPUTED_VALUE"""),45.28)</f>
        <v>45.28</v>
      </c>
      <c r="C717" s="2" t="n">
        <f aca="false">IFERROR(__xludf.dummyfunction("""COMPUTED_VALUE"""),45.94)</f>
        <v>45.94</v>
      </c>
      <c r="D717" s="2" t="n">
        <f aca="false">IFERROR(__xludf.dummyfunction("""COMPUTED_VALUE"""),44.9)</f>
        <v>44.9</v>
      </c>
      <c r="E717" s="2" t="n">
        <f aca="false">IFERROR(__xludf.dummyfunction("""COMPUTED_VALUE"""),45.75)</f>
        <v>45.75</v>
      </c>
      <c r="F717" s="2" t="n">
        <f aca="false">IFERROR(__xludf.dummyfunction("""COMPUTED_VALUE"""),40073335)</f>
        <v>40073335</v>
      </c>
    </row>
    <row r="718" customFormat="false" ht="15.75" hidden="false" customHeight="false" outlineLevel="0" collapsed="false">
      <c r="A718" s="3" t="n">
        <f aca="false">IFERROR(__xludf.dummyfunction("""COMPUTED_VALUE"""),45237.6666666667)</f>
        <v>45237.6666666667</v>
      </c>
      <c r="B718" s="2" t="n">
        <f aca="false">IFERROR(__xludf.dummyfunction("""COMPUTED_VALUE"""),45.72)</f>
        <v>45.72</v>
      </c>
      <c r="C718" s="2" t="n">
        <f aca="false">IFERROR(__xludf.dummyfunction("""COMPUTED_VALUE"""),46.22)</f>
        <v>46.22</v>
      </c>
      <c r="D718" s="2" t="n">
        <f aca="false">IFERROR(__xludf.dummyfunction("""COMPUTED_VALUE"""),45.16)</f>
        <v>45.16</v>
      </c>
      <c r="E718" s="2" t="n">
        <f aca="false">IFERROR(__xludf.dummyfunction("""COMPUTED_VALUE"""),45.96)</f>
        <v>45.96</v>
      </c>
      <c r="F718" s="2" t="n">
        <f aca="false">IFERROR(__xludf.dummyfunction("""COMPUTED_VALUE"""),34316547)</f>
        <v>34316547</v>
      </c>
    </row>
    <row r="719" customFormat="false" ht="15.75" hidden="false" customHeight="false" outlineLevel="0" collapsed="false">
      <c r="A719" s="3" t="n">
        <f aca="false">IFERROR(__xludf.dummyfunction("""COMPUTED_VALUE"""),45238.6666666667)</f>
        <v>45238.6666666667</v>
      </c>
      <c r="B719" s="2" t="n">
        <f aca="false">IFERROR(__xludf.dummyfunction("""COMPUTED_VALUE"""),46.1)</f>
        <v>46.1</v>
      </c>
      <c r="C719" s="2" t="n">
        <f aca="false">IFERROR(__xludf.dummyfunction("""COMPUTED_VALUE"""),46.87)</f>
        <v>46.87</v>
      </c>
      <c r="D719" s="2" t="n">
        <f aca="false">IFERROR(__xludf.dummyfunction("""COMPUTED_VALUE"""),45.97)</f>
        <v>45.97</v>
      </c>
      <c r="E719" s="2" t="n">
        <f aca="false">IFERROR(__xludf.dummyfunction("""COMPUTED_VALUE"""),46.57)</f>
        <v>46.57</v>
      </c>
      <c r="F719" s="2" t="n">
        <f aca="false">IFERROR(__xludf.dummyfunction("""COMPUTED_VALUE"""),34671894)</f>
        <v>34671894</v>
      </c>
    </row>
    <row r="720" customFormat="false" ht="15.75" hidden="false" customHeight="false" outlineLevel="0" collapsed="false">
      <c r="A720" s="3" t="n">
        <f aca="false">IFERROR(__xludf.dummyfunction("""COMPUTED_VALUE"""),45239.6666666667)</f>
        <v>45239.6666666667</v>
      </c>
      <c r="B720" s="2" t="n">
        <f aca="false">IFERROR(__xludf.dummyfunction("""COMPUTED_VALUE"""),47.47)</f>
        <v>47.47</v>
      </c>
      <c r="C720" s="2" t="n">
        <f aca="false">IFERROR(__xludf.dummyfunction("""COMPUTED_VALUE"""),48.23)</f>
        <v>48.23</v>
      </c>
      <c r="D720" s="2" t="n">
        <f aca="false">IFERROR(__xludf.dummyfunction("""COMPUTED_VALUE"""),46.75)</f>
        <v>46.75</v>
      </c>
      <c r="E720" s="2" t="n">
        <f aca="false">IFERROR(__xludf.dummyfunction("""COMPUTED_VALUE"""),46.95)</f>
        <v>46.95</v>
      </c>
      <c r="F720" s="2" t="n">
        <f aca="false">IFERROR(__xludf.dummyfunction("""COMPUTED_VALUE"""),54049597)</f>
        <v>54049597</v>
      </c>
    </row>
    <row r="721" customFormat="false" ht="15.75" hidden="false" customHeight="false" outlineLevel="0" collapsed="false">
      <c r="A721" s="3" t="n">
        <f aca="false">IFERROR(__xludf.dummyfunction("""COMPUTED_VALUE"""),45240.6666666667)</f>
        <v>45240.6666666667</v>
      </c>
      <c r="B721" s="2" t="n">
        <f aca="false">IFERROR(__xludf.dummyfunction("""COMPUTED_VALUE"""),47.5)</f>
        <v>47.5</v>
      </c>
      <c r="C721" s="2" t="n">
        <f aca="false">IFERROR(__xludf.dummyfunction("""COMPUTED_VALUE"""),48.47)</f>
        <v>48.47</v>
      </c>
      <c r="D721" s="2" t="n">
        <f aca="false">IFERROR(__xludf.dummyfunction("""COMPUTED_VALUE"""),47.28)</f>
        <v>47.28</v>
      </c>
      <c r="E721" s="2" t="n">
        <f aca="false">IFERROR(__xludf.dummyfunction("""COMPUTED_VALUE"""),48.34)</f>
        <v>48.34</v>
      </c>
      <c r="F721" s="2" t="n">
        <f aca="false">IFERROR(__xludf.dummyfunction("""COMPUTED_VALUE"""),42244156)</f>
        <v>42244156</v>
      </c>
    </row>
    <row r="722" customFormat="false" ht="15.75" hidden="false" customHeight="false" outlineLevel="0" collapsed="false">
      <c r="A722" s="3" t="n">
        <f aca="false">IFERROR(__xludf.dummyfunction("""COMPUTED_VALUE"""),45243.6666666667)</f>
        <v>45243.6666666667</v>
      </c>
      <c r="B722" s="2" t="n">
        <f aca="false">IFERROR(__xludf.dummyfunction("""COMPUTED_VALUE"""),48.32)</f>
        <v>48.32</v>
      </c>
      <c r="C722" s="2" t="n">
        <f aca="false">IFERROR(__xludf.dummyfunction("""COMPUTED_VALUE"""),49.12)</f>
        <v>49.12</v>
      </c>
      <c r="D722" s="2" t="n">
        <f aca="false">IFERROR(__xludf.dummyfunction("""COMPUTED_VALUE"""),48.1)</f>
        <v>48.1</v>
      </c>
      <c r="E722" s="2" t="n">
        <f aca="false">IFERROR(__xludf.dummyfunction("""COMPUTED_VALUE"""),48.62)</f>
        <v>48.62</v>
      </c>
      <c r="F722" s="2" t="n">
        <f aca="false">IFERROR(__xludf.dummyfunction("""COMPUTED_VALUE"""),38413570)</f>
        <v>38413570</v>
      </c>
    </row>
    <row r="723" customFormat="false" ht="15.75" hidden="false" customHeight="false" outlineLevel="0" collapsed="false">
      <c r="A723" s="3" t="n">
        <f aca="false">IFERROR(__xludf.dummyfunction("""COMPUTED_VALUE"""),45244.6666666667)</f>
        <v>45244.6666666667</v>
      </c>
      <c r="B723" s="2" t="n">
        <f aca="false">IFERROR(__xludf.dummyfunction("""COMPUTED_VALUE"""),49.68)</f>
        <v>49.68</v>
      </c>
      <c r="C723" s="2" t="n">
        <f aca="false">IFERROR(__xludf.dummyfunction("""COMPUTED_VALUE"""),49.83)</f>
        <v>49.83</v>
      </c>
      <c r="D723" s="2" t="n">
        <f aca="false">IFERROR(__xludf.dummyfunction("""COMPUTED_VALUE"""),49.04)</f>
        <v>49.04</v>
      </c>
      <c r="E723" s="2" t="n">
        <f aca="false">IFERROR(__xludf.dummyfunction("""COMPUTED_VALUE"""),49.66)</f>
        <v>49.66</v>
      </c>
      <c r="F723" s="2" t="n">
        <f aca="false">IFERROR(__xludf.dummyfunction("""COMPUTED_VALUE"""),41695387)</f>
        <v>41695387</v>
      </c>
    </row>
    <row r="724" customFormat="false" ht="15.75" hidden="false" customHeight="false" outlineLevel="0" collapsed="false">
      <c r="A724" s="3" t="n">
        <f aca="false">IFERROR(__xludf.dummyfunction("""COMPUTED_VALUE"""),45245.6666666667)</f>
        <v>45245.6666666667</v>
      </c>
      <c r="B724" s="2" t="n">
        <f aca="false">IFERROR(__xludf.dummyfunction("""COMPUTED_VALUE"""),49.94)</f>
        <v>49.94</v>
      </c>
      <c r="C724" s="2" t="n">
        <f aca="false">IFERROR(__xludf.dummyfunction("""COMPUTED_VALUE"""),49.96)</f>
        <v>49.96</v>
      </c>
      <c r="D724" s="2" t="n">
        <f aca="false">IFERROR(__xludf.dummyfunction("""COMPUTED_VALUE"""),48.2)</f>
        <v>48.2</v>
      </c>
      <c r="E724" s="2" t="n">
        <f aca="false">IFERROR(__xludf.dummyfunction("""COMPUTED_VALUE"""),48.89)</f>
        <v>48.89</v>
      </c>
      <c r="F724" s="2" t="n">
        <f aca="false">IFERROR(__xludf.dummyfunction("""COMPUTED_VALUE"""),47549735)</f>
        <v>47549735</v>
      </c>
    </row>
    <row r="725" customFormat="false" ht="15.75" hidden="false" customHeight="false" outlineLevel="0" collapsed="false">
      <c r="A725" s="3" t="n">
        <f aca="false">IFERROR(__xludf.dummyfunction("""COMPUTED_VALUE"""),45246.6666666667)</f>
        <v>45246.6666666667</v>
      </c>
      <c r="B725" s="2" t="n">
        <f aca="false">IFERROR(__xludf.dummyfunction("""COMPUTED_VALUE"""),48.68)</f>
        <v>48.68</v>
      </c>
      <c r="C725" s="2" t="n">
        <f aca="false">IFERROR(__xludf.dummyfunction("""COMPUTED_VALUE"""),49.52)</f>
        <v>49.52</v>
      </c>
      <c r="D725" s="2" t="n">
        <f aca="false">IFERROR(__xludf.dummyfunction("""COMPUTED_VALUE"""),48.33)</f>
        <v>48.33</v>
      </c>
      <c r="E725" s="2" t="n">
        <f aca="false">IFERROR(__xludf.dummyfunction("""COMPUTED_VALUE"""),49.48)</f>
        <v>49.48</v>
      </c>
      <c r="F725" s="2" t="n">
        <f aca="false">IFERROR(__xludf.dummyfunction("""COMPUTED_VALUE"""),33975624)</f>
        <v>33975624</v>
      </c>
    </row>
    <row r="726" customFormat="false" ht="15.75" hidden="false" customHeight="false" outlineLevel="0" collapsed="false">
      <c r="A726" s="3" t="n">
        <f aca="false">IFERROR(__xludf.dummyfunction("""COMPUTED_VALUE"""),45247.6666666667)</f>
        <v>45247.6666666667</v>
      </c>
      <c r="B726" s="2" t="n">
        <f aca="false">IFERROR(__xludf.dummyfunction("""COMPUTED_VALUE"""),49.52)</f>
        <v>49.52</v>
      </c>
      <c r="C726" s="2" t="n">
        <f aca="false">IFERROR(__xludf.dummyfunction("""COMPUTED_VALUE"""),49.72)</f>
        <v>49.72</v>
      </c>
      <c r="D726" s="2" t="n">
        <f aca="false">IFERROR(__xludf.dummyfunction("""COMPUTED_VALUE"""),49.01)</f>
        <v>49.01</v>
      </c>
      <c r="E726" s="2" t="n">
        <f aca="false">IFERROR(__xludf.dummyfunction("""COMPUTED_VALUE"""),49.3)</f>
        <v>49.3</v>
      </c>
      <c r="F726" s="2" t="n">
        <f aca="false">IFERROR(__xludf.dummyfunction("""COMPUTED_VALUE"""),32589691)</f>
        <v>32589691</v>
      </c>
    </row>
    <row r="727" customFormat="false" ht="15.75" hidden="false" customHeight="false" outlineLevel="0" collapsed="false">
      <c r="A727" s="3" t="n">
        <f aca="false">IFERROR(__xludf.dummyfunction("""COMPUTED_VALUE"""),45250.6666666667)</f>
        <v>45250.6666666667</v>
      </c>
      <c r="B727" s="2" t="n">
        <f aca="false">IFERROR(__xludf.dummyfunction("""COMPUTED_VALUE"""),49.31)</f>
        <v>49.31</v>
      </c>
      <c r="C727" s="2" t="n">
        <f aca="false">IFERROR(__xludf.dummyfunction("""COMPUTED_VALUE"""),50.55)</f>
        <v>50.55</v>
      </c>
      <c r="D727" s="2" t="n">
        <f aca="false">IFERROR(__xludf.dummyfunction("""COMPUTED_VALUE"""),49.18)</f>
        <v>49.18</v>
      </c>
      <c r="E727" s="2" t="n">
        <f aca="false">IFERROR(__xludf.dummyfunction("""COMPUTED_VALUE"""),50.41)</f>
        <v>50.41</v>
      </c>
      <c r="F727" s="2" t="n">
        <f aca="false">IFERROR(__xludf.dummyfunction("""COMPUTED_VALUE"""),41614260)</f>
        <v>41614260</v>
      </c>
    </row>
    <row r="728" customFormat="false" ht="15.75" hidden="false" customHeight="false" outlineLevel="0" collapsed="false">
      <c r="A728" s="3" t="n">
        <f aca="false">IFERROR(__xludf.dummyfunction("""COMPUTED_VALUE"""),45251.6666666667)</f>
        <v>45251.6666666667</v>
      </c>
      <c r="B728" s="2" t="n">
        <f aca="false">IFERROR(__xludf.dummyfunction("""COMPUTED_VALUE"""),50.13)</f>
        <v>50.13</v>
      </c>
      <c r="C728" s="2" t="n">
        <f aca="false">IFERROR(__xludf.dummyfunction("""COMPUTED_VALUE"""),50.52)</f>
        <v>50.52</v>
      </c>
      <c r="D728" s="2" t="n">
        <f aca="false">IFERROR(__xludf.dummyfunction("""COMPUTED_VALUE"""),49.22)</f>
        <v>49.22</v>
      </c>
      <c r="E728" s="2" t="n">
        <f aca="false">IFERROR(__xludf.dummyfunction("""COMPUTED_VALUE"""),49.94)</f>
        <v>49.94</v>
      </c>
      <c r="F728" s="2" t="n">
        <f aca="false">IFERROR(__xludf.dummyfunction("""COMPUTED_VALUE"""),56574687)</f>
        <v>56574687</v>
      </c>
    </row>
    <row r="729" customFormat="false" ht="15.75" hidden="false" customHeight="false" outlineLevel="0" collapsed="false">
      <c r="A729" s="3" t="n">
        <f aca="false">IFERROR(__xludf.dummyfunction("""COMPUTED_VALUE"""),45252.6666666667)</f>
        <v>45252.6666666667</v>
      </c>
      <c r="B729" s="2" t="n">
        <f aca="false">IFERROR(__xludf.dummyfunction("""COMPUTED_VALUE"""),49.85)</f>
        <v>49.85</v>
      </c>
      <c r="C729" s="2" t="n">
        <f aca="false">IFERROR(__xludf.dummyfunction("""COMPUTED_VALUE"""),50.33)</f>
        <v>50.33</v>
      </c>
      <c r="D729" s="2" t="n">
        <f aca="false">IFERROR(__xludf.dummyfunction("""COMPUTED_VALUE"""),47.69)</f>
        <v>47.69</v>
      </c>
      <c r="E729" s="2" t="n">
        <f aca="false">IFERROR(__xludf.dummyfunction("""COMPUTED_VALUE"""),48.72)</f>
        <v>48.72</v>
      </c>
      <c r="F729" s="2" t="n">
        <f aca="false">IFERROR(__xludf.dummyfunction("""COMPUTED_VALUE"""),90064233)</f>
        <v>90064233</v>
      </c>
    </row>
    <row r="730" customFormat="false" ht="15.75" hidden="false" customHeight="false" outlineLevel="0" collapsed="false">
      <c r="A730" s="3" t="n">
        <f aca="false">IFERROR(__xludf.dummyfunction("""COMPUTED_VALUE"""),45254.5451388889)</f>
        <v>45254.5451388889</v>
      </c>
      <c r="B730" s="2" t="n">
        <f aca="false">IFERROR(__xludf.dummyfunction("""COMPUTED_VALUE"""),48.47)</f>
        <v>48.47</v>
      </c>
      <c r="C730" s="2" t="n">
        <f aca="false">IFERROR(__xludf.dummyfunction("""COMPUTED_VALUE"""),48.92)</f>
        <v>48.92</v>
      </c>
      <c r="D730" s="2" t="n">
        <f aca="false">IFERROR(__xludf.dummyfunction("""COMPUTED_VALUE"""),47.75)</f>
        <v>47.75</v>
      </c>
      <c r="E730" s="2" t="n">
        <f aca="false">IFERROR(__xludf.dummyfunction("""COMPUTED_VALUE"""),47.78)</f>
        <v>47.78</v>
      </c>
      <c r="F730" s="2" t="n">
        <f aca="false">IFERROR(__xludf.dummyfunction("""COMPUTED_VALUE"""),29464464)</f>
        <v>29464464</v>
      </c>
    </row>
    <row r="731" customFormat="false" ht="15.75" hidden="false" customHeight="false" outlineLevel="0" collapsed="false">
      <c r="A731" s="3" t="n">
        <f aca="false">IFERROR(__xludf.dummyfunction("""COMPUTED_VALUE"""),45257.6666666667)</f>
        <v>45257.6666666667</v>
      </c>
      <c r="B731" s="2" t="n">
        <f aca="false">IFERROR(__xludf.dummyfunction("""COMPUTED_VALUE"""),47.8)</f>
        <v>47.8</v>
      </c>
      <c r="C731" s="2" t="n">
        <f aca="false">IFERROR(__xludf.dummyfunction("""COMPUTED_VALUE"""),48.53)</f>
        <v>48.53</v>
      </c>
      <c r="D731" s="2" t="n">
        <f aca="false">IFERROR(__xludf.dummyfunction("""COMPUTED_VALUE"""),47.65)</f>
        <v>47.65</v>
      </c>
      <c r="E731" s="2" t="n">
        <f aca="false">IFERROR(__xludf.dummyfunction("""COMPUTED_VALUE"""),48.24)</f>
        <v>48.24</v>
      </c>
      <c r="F731" s="2" t="n">
        <f aca="false">IFERROR(__xludf.dummyfunction("""COMPUTED_VALUE"""),39566190)</f>
        <v>39566190</v>
      </c>
    </row>
    <row r="732" customFormat="false" ht="15.75" hidden="false" customHeight="false" outlineLevel="0" collapsed="false">
      <c r="A732" s="3" t="n">
        <f aca="false">IFERROR(__xludf.dummyfunction("""COMPUTED_VALUE"""),45258.6666666667)</f>
        <v>45258.6666666667</v>
      </c>
      <c r="B732" s="2" t="n">
        <f aca="false">IFERROR(__xludf.dummyfunction("""COMPUTED_VALUE"""),48.24)</f>
        <v>48.24</v>
      </c>
      <c r="C732" s="2" t="n">
        <f aca="false">IFERROR(__xludf.dummyfunction("""COMPUTED_VALUE"""),48.32)</f>
        <v>48.32</v>
      </c>
      <c r="D732" s="2" t="n">
        <f aca="false">IFERROR(__xludf.dummyfunction("""COMPUTED_VALUE"""),47.47)</f>
        <v>47.47</v>
      </c>
      <c r="E732" s="2" t="n">
        <f aca="false">IFERROR(__xludf.dummyfunction("""COMPUTED_VALUE"""),47.82)</f>
        <v>47.82</v>
      </c>
      <c r="F732" s="2" t="n">
        <f aca="false">IFERROR(__xludf.dummyfunction("""COMPUTED_VALUE"""),40149085)</f>
        <v>40149085</v>
      </c>
    </row>
    <row r="733" customFormat="false" ht="15.75" hidden="false" customHeight="false" outlineLevel="0" collapsed="false">
      <c r="A733" s="3" t="n">
        <f aca="false">IFERROR(__xludf.dummyfunction("""COMPUTED_VALUE"""),45259.6666666667)</f>
        <v>45259.6666666667</v>
      </c>
      <c r="B733" s="2" t="n">
        <f aca="false">IFERROR(__xludf.dummyfunction("""COMPUTED_VALUE"""),48.38)</f>
        <v>48.38</v>
      </c>
      <c r="C733" s="2" t="n">
        <f aca="false">IFERROR(__xludf.dummyfunction("""COMPUTED_VALUE"""),48.76)</f>
        <v>48.76</v>
      </c>
      <c r="D733" s="2" t="n">
        <f aca="false">IFERROR(__xludf.dummyfunction("""COMPUTED_VALUE"""),47.86)</f>
        <v>47.86</v>
      </c>
      <c r="E733" s="2" t="n">
        <f aca="false">IFERROR(__xludf.dummyfunction("""COMPUTED_VALUE"""),48.14)</f>
        <v>48.14</v>
      </c>
      <c r="F733" s="2" t="n">
        <f aca="false">IFERROR(__xludf.dummyfunction("""COMPUTED_VALUE"""),38200465)</f>
        <v>38200465</v>
      </c>
    </row>
    <row r="734" customFormat="false" ht="15.75" hidden="false" customHeight="false" outlineLevel="0" collapsed="false">
      <c r="A734" s="3" t="n">
        <f aca="false">IFERROR(__xludf.dummyfunction("""COMPUTED_VALUE"""),45260.6666666667)</f>
        <v>45260.6666666667</v>
      </c>
      <c r="B734" s="2" t="n">
        <f aca="false">IFERROR(__xludf.dummyfunction("""COMPUTED_VALUE"""),48.02)</f>
        <v>48.02</v>
      </c>
      <c r="C734" s="2" t="n">
        <f aca="false">IFERROR(__xludf.dummyfunction("""COMPUTED_VALUE"""),48.11)</f>
        <v>48.11</v>
      </c>
      <c r="D734" s="2" t="n">
        <f aca="false">IFERROR(__xludf.dummyfunction("""COMPUTED_VALUE"""),46.42)</f>
        <v>46.42</v>
      </c>
      <c r="E734" s="2" t="n">
        <f aca="false">IFERROR(__xludf.dummyfunction("""COMPUTED_VALUE"""),46.77)</f>
        <v>46.77</v>
      </c>
      <c r="F734" s="2" t="n">
        <f aca="false">IFERROR(__xludf.dummyfunction("""COMPUTED_VALUE"""),52624663)</f>
        <v>52624663</v>
      </c>
    </row>
    <row r="735" customFormat="false" ht="15.75" hidden="false" customHeight="false" outlineLevel="0" collapsed="false">
      <c r="A735" s="3" t="n">
        <f aca="false">IFERROR(__xludf.dummyfunction("""COMPUTED_VALUE"""),45261.6666666667)</f>
        <v>45261.6666666667</v>
      </c>
      <c r="B735" s="2" t="n">
        <f aca="false">IFERROR(__xludf.dummyfunction("""COMPUTED_VALUE"""),46.53)</f>
        <v>46.53</v>
      </c>
      <c r="C735" s="2" t="n">
        <f aca="false">IFERROR(__xludf.dummyfunction("""COMPUTED_VALUE"""),47.2)</f>
        <v>47.2</v>
      </c>
      <c r="D735" s="2" t="n">
        <f aca="false">IFERROR(__xludf.dummyfunction("""COMPUTED_VALUE"""),46.19)</f>
        <v>46.19</v>
      </c>
      <c r="E735" s="2" t="n">
        <f aca="false">IFERROR(__xludf.dummyfunction("""COMPUTED_VALUE"""),46.77)</f>
        <v>46.77</v>
      </c>
      <c r="F735" s="2" t="n">
        <f aca="false">IFERROR(__xludf.dummyfunction("""COMPUTED_VALUE"""),36931701)</f>
        <v>36931701</v>
      </c>
    </row>
    <row r="736" customFormat="false" ht="15.75" hidden="false" customHeight="false" outlineLevel="0" collapsed="false">
      <c r="A736" s="3" t="n">
        <f aca="false">IFERROR(__xludf.dummyfunction("""COMPUTED_VALUE"""),45264.6666666667)</f>
        <v>45264.6666666667</v>
      </c>
      <c r="B736" s="2" t="n">
        <f aca="false">IFERROR(__xludf.dummyfunction("""COMPUTED_VALUE"""),46.08)</f>
        <v>46.08</v>
      </c>
      <c r="C736" s="2" t="n">
        <f aca="false">IFERROR(__xludf.dummyfunction("""COMPUTED_VALUE"""),46.08)</f>
        <v>46.08</v>
      </c>
      <c r="D736" s="2" t="n">
        <f aca="false">IFERROR(__xludf.dummyfunction("""COMPUTED_VALUE"""),45.01)</f>
        <v>45.01</v>
      </c>
      <c r="E736" s="2" t="n">
        <f aca="false">IFERROR(__xludf.dummyfunction("""COMPUTED_VALUE"""),45.51)</f>
        <v>45.51</v>
      </c>
      <c r="F736" s="2" t="n">
        <f aca="false">IFERROR(__xludf.dummyfunction("""COMPUTED_VALUE"""),43754344)</f>
        <v>43754344</v>
      </c>
    </row>
    <row r="737" customFormat="false" ht="15.75" hidden="false" customHeight="false" outlineLevel="0" collapsed="false">
      <c r="A737" s="3" t="n">
        <f aca="false">IFERROR(__xludf.dummyfunction("""COMPUTED_VALUE"""),45265.6666666667)</f>
        <v>45265.6666666667</v>
      </c>
      <c r="B737" s="2" t="n">
        <f aca="false">IFERROR(__xludf.dummyfunction("""COMPUTED_VALUE"""),45.47)</f>
        <v>45.47</v>
      </c>
      <c r="C737" s="2" t="n">
        <f aca="false">IFERROR(__xludf.dummyfunction("""COMPUTED_VALUE"""),46.6)</f>
        <v>46.6</v>
      </c>
      <c r="D737" s="2" t="n">
        <f aca="false">IFERROR(__xludf.dummyfunction("""COMPUTED_VALUE"""),45.27)</f>
        <v>45.27</v>
      </c>
      <c r="E737" s="2" t="n">
        <f aca="false">IFERROR(__xludf.dummyfunction("""COMPUTED_VALUE"""),46.57)</f>
        <v>46.57</v>
      </c>
      <c r="F737" s="2" t="n">
        <f aca="false">IFERROR(__xludf.dummyfunction("""COMPUTED_VALUE"""),37171762)</f>
        <v>37171762</v>
      </c>
    </row>
    <row r="738" customFormat="false" ht="15.75" hidden="false" customHeight="false" outlineLevel="0" collapsed="false">
      <c r="A738" s="3" t="n">
        <f aca="false">IFERROR(__xludf.dummyfunction("""COMPUTED_VALUE"""),45266.6666666667)</f>
        <v>45266.6666666667</v>
      </c>
      <c r="B738" s="2" t="n">
        <f aca="false">IFERROR(__xludf.dummyfunction("""COMPUTED_VALUE"""),47.21)</f>
        <v>47.21</v>
      </c>
      <c r="C738" s="2" t="n">
        <f aca="false">IFERROR(__xludf.dummyfunction("""COMPUTED_VALUE"""),47.39)</f>
        <v>47.39</v>
      </c>
      <c r="D738" s="2" t="n">
        <f aca="false">IFERROR(__xludf.dummyfunction("""COMPUTED_VALUE"""),45.41)</f>
        <v>45.41</v>
      </c>
      <c r="E738" s="2" t="n">
        <f aca="false">IFERROR(__xludf.dummyfunction("""COMPUTED_VALUE"""),45.5)</f>
        <v>45.5</v>
      </c>
      <c r="F738" s="2" t="n">
        <f aca="false">IFERROR(__xludf.dummyfunction("""COMPUTED_VALUE"""),38058955)</f>
        <v>38058955</v>
      </c>
    </row>
    <row r="739" customFormat="false" ht="15.75" hidden="false" customHeight="false" outlineLevel="0" collapsed="false">
      <c r="A739" s="3" t="n">
        <f aca="false">IFERROR(__xludf.dummyfunction("""COMPUTED_VALUE"""),45267.6666666667)</f>
        <v>45267.6666666667</v>
      </c>
      <c r="B739" s="2" t="n">
        <f aca="false">IFERROR(__xludf.dummyfunction("""COMPUTED_VALUE"""),45.7)</f>
        <v>45.7</v>
      </c>
      <c r="C739" s="2" t="n">
        <f aca="false">IFERROR(__xludf.dummyfunction("""COMPUTED_VALUE"""),46.63)</f>
        <v>46.63</v>
      </c>
      <c r="D739" s="2" t="n">
        <f aca="false">IFERROR(__xludf.dummyfunction("""COMPUTED_VALUE"""),45.6)</f>
        <v>45.6</v>
      </c>
      <c r="E739" s="2" t="n">
        <f aca="false">IFERROR(__xludf.dummyfunction("""COMPUTED_VALUE"""),46.6)</f>
        <v>46.6</v>
      </c>
      <c r="F739" s="2" t="n">
        <f aca="false">IFERROR(__xludf.dummyfunction("""COMPUTED_VALUE"""),35082255)</f>
        <v>35082255</v>
      </c>
    </row>
    <row r="740" customFormat="false" ht="15.75" hidden="false" customHeight="false" outlineLevel="0" collapsed="false">
      <c r="A740" s="3" t="n">
        <f aca="false">IFERROR(__xludf.dummyfunction("""COMPUTED_VALUE"""),45268.6666666667)</f>
        <v>45268.6666666667</v>
      </c>
      <c r="B740" s="2" t="n">
        <f aca="false">IFERROR(__xludf.dummyfunction("""COMPUTED_VALUE"""),46.6)</f>
        <v>46.6</v>
      </c>
      <c r="C740" s="2" t="n">
        <f aca="false">IFERROR(__xludf.dummyfunction("""COMPUTED_VALUE"""),47.74)</f>
        <v>47.74</v>
      </c>
      <c r="D740" s="2" t="n">
        <f aca="false">IFERROR(__xludf.dummyfunction("""COMPUTED_VALUE"""),46.55)</f>
        <v>46.55</v>
      </c>
      <c r="E740" s="2" t="n">
        <f aca="false">IFERROR(__xludf.dummyfunction("""COMPUTED_VALUE"""),47.51)</f>
        <v>47.51</v>
      </c>
      <c r="F740" s="2" t="n">
        <f aca="false">IFERROR(__xludf.dummyfunction("""COMPUTED_VALUE"""),35922370)</f>
        <v>35922370</v>
      </c>
    </row>
    <row r="741" customFormat="false" ht="15.75" hidden="false" customHeight="false" outlineLevel="0" collapsed="false">
      <c r="A741" s="3" t="n">
        <f aca="false">IFERROR(__xludf.dummyfunction("""COMPUTED_VALUE"""),45271.6666666667)</f>
        <v>45271.6666666667</v>
      </c>
      <c r="B741" s="2" t="n">
        <f aca="false">IFERROR(__xludf.dummyfunction("""COMPUTED_VALUE"""),47.49)</f>
        <v>47.49</v>
      </c>
      <c r="C741" s="2" t="n">
        <f aca="false">IFERROR(__xludf.dummyfunction("""COMPUTED_VALUE"""),47.53)</f>
        <v>47.53</v>
      </c>
      <c r="D741" s="2" t="n">
        <f aca="false">IFERROR(__xludf.dummyfunction("""COMPUTED_VALUE"""),45.83)</f>
        <v>45.83</v>
      </c>
      <c r="E741" s="2" t="n">
        <f aca="false">IFERROR(__xludf.dummyfunction("""COMPUTED_VALUE"""),46.63)</f>
        <v>46.63</v>
      </c>
      <c r="F741" s="2" t="n">
        <f aca="false">IFERROR(__xludf.dummyfunction("""COMPUTED_VALUE"""),50972809)</f>
        <v>50972809</v>
      </c>
    </row>
    <row r="742" customFormat="false" ht="15.75" hidden="false" customHeight="false" outlineLevel="0" collapsed="false">
      <c r="A742" s="3" t="n">
        <f aca="false">IFERROR(__xludf.dummyfunction("""COMPUTED_VALUE"""),45272.6666666667)</f>
        <v>45272.6666666667</v>
      </c>
      <c r="B742" s="2" t="n">
        <f aca="false">IFERROR(__xludf.dummyfunction("""COMPUTED_VALUE"""),46.05)</f>
        <v>46.05</v>
      </c>
      <c r="C742" s="2" t="n">
        <f aca="false">IFERROR(__xludf.dummyfunction("""COMPUTED_VALUE"""),47.67)</f>
        <v>47.67</v>
      </c>
      <c r="D742" s="2" t="n">
        <f aca="false">IFERROR(__xludf.dummyfunction("""COMPUTED_VALUE"""),46.05)</f>
        <v>46.05</v>
      </c>
      <c r="E742" s="2" t="n">
        <f aca="false">IFERROR(__xludf.dummyfunction("""COMPUTED_VALUE"""),47.66)</f>
        <v>47.66</v>
      </c>
      <c r="F742" s="2" t="n">
        <f aca="false">IFERROR(__xludf.dummyfunction("""COMPUTED_VALUE"""),37238686)</f>
        <v>37238686</v>
      </c>
    </row>
    <row r="743" customFormat="false" ht="15.75" hidden="false" customHeight="false" outlineLevel="0" collapsed="false">
      <c r="A743" s="3" t="n">
        <f aca="false">IFERROR(__xludf.dummyfunction("""COMPUTED_VALUE"""),45273.6666666667)</f>
        <v>45273.6666666667</v>
      </c>
      <c r="B743" s="2" t="n">
        <f aca="false">IFERROR(__xludf.dummyfunction("""COMPUTED_VALUE"""),47.63)</f>
        <v>47.63</v>
      </c>
      <c r="C743" s="2" t="n">
        <f aca="false">IFERROR(__xludf.dummyfunction("""COMPUTED_VALUE"""),48.59)</f>
        <v>48.59</v>
      </c>
      <c r="D743" s="2" t="n">
        <f aca="false">IFERROR(__xludf.dummyfunction("""COMPUTED_VALUE"""),47.61)</f>
        <v>47.61</v>
      </c>
      <c r="E743" s="2" t="n">
        <f aca="false">IFERROR(__xludf.dummyfunction("""COMPUTED_VALUE"""),48.09)</f>
        <v>48.09</v>
      </c>
      <c r="F743" s="2" t="n">
        <f aca="false">IFERROR(__xludf.dummyfunction("""COMPUTED_VALUE"""),44779186)</f>
        <v>44779186</v>
      </c>
    </row>
    <row r="744" customFormat="false" ht="15.75" hidden="false" customHeight="false" outlineLevel="0" collapsed="false">
      <c r="A744" s="3" t="n">
        <f aca="false">IFERROR(__xludf.dummyfunction("""COMPUTED_VALUE"""),45274.6666666667)</f>
        <v>45274.6666666667</v>
      </c>
      <c r="B744" s="2" t="n">
        <f aca="false">IFERROR(__xludf.dummyfunction("""COMPUTED_VALUE"""),48.39)</f>
        <v>48.39</v>
      </c>
      <c r="C744" s="2" t="n">
        <f aca="false">IFERROR(__xludf.dummyfunction("""COMPUTED_VALUE"""),48.67)</f>
        <v>48.67</v>
      </c>
      <c r="D744" s="2" t="n">
        <f aca="false">IFERROR(__xludf.dummyfunction("""COMPUTED_VALUE"""),47.42)</f>
        <v>47.42</v>
      </c>
      <c r="E744" s="2" t="n">
        <f aca="false">IFERROR(__xludf.dummyfunction("""COMPUTED_VALUE"""),48.35)</f>
        <v>48.35</v>
      </c>
      <c r="F744" s="2" t="n">
        <f aca="false">IFERROR(__xludf.dummyfunction("""COMPUTED_VALUE"""),39123174)</f>
        <v>39123174</v>
      </c>
    </row>
    <row r="745" customFormat="false" ht="15.75" hidden="false" customHeight="false" outlineLevel="0" collapsed="false">
      <c r="A745" s="3" t="n">
        <f aca="false">IFERROR(__xludf.dummyfunction("""COMPUTED_VALUE"""),45275.6666666667)</f>
        <v>45275.6666666667</v>
      </c>
      <c r="B745" s="2" t="n">
        <f aca="false">IFERROR(__xludf.dummyfunction("""COMPUTED_VALUE"""),48.19)</f>
        <v>48.19</v>
      </c>
      <c r="C745" s="2" t="n">
        <f aca="false">IFERROR(__xludf.dummyfunction("""COMPUTED_VALUE"""),49.4)</f>
        <v>49.4</v>
      </c>
      <c r="D745" s="2" t="n">
        <f aca="false">IFERROR(__xludf.dummyfunction("""COMPUTED_VALUE"""),48.12)</f>
        <v>48.12</v>
      </c>
      <c r="E745" s="2" t="n">
        <f aca="false">IFERROR(__xludf.dummyfunction("""COMPUTED_VALUE"""),48.89)</f>
        <v>48.89</v>
      </c>
      <c r="F745" s="2" t="n">
        <f aca="false">IFERROR(__xludf.dummyfunction("""COMPUTED_VALUE"""),47994758)</f>
        <v>47994758</v>
      </c>
    </row>
    <row r="746" customFormat="false" ht="15.75" hidden="false" customHeight="false" outlineLevel="0" collapsed="false">
      <c r="A746" s="3" t="n">
        <f aca="false">IFERROR(__xludf.dummyfunction("""COMPUTED_VALUE"""),45278.6666666667)</f>
        <v>45278.6666666667</v>
      </c>
      <c r="B746" s="2" t="n">
        <f aca="false">IFERROR(__xludf.dummyfunction("""COMPUTED_VALUE"""),49.4)</f>
        <v>49.4</v>
      </c>
      <c r="C746" s="2" t="n">
        <f aca="false">IFERROR(__xludf.dummyfunction("""COMPUTED_VALUE"""),50.43)</f>
        <v>50.43</v>
      </c>
      <c r="D746" s="2" t="n">
        <f aca="false">IFERROR(__xludf.dummyfunction("""COMPUTED_VALUE"""),49.15)</f>
        <v>49.15</v>
      </c>
      <c r="E746" s="2" t="n">
        <f aca="false">IFERROR(__xludf.dummyfunction("""COMPUTED_VALUE"""),50.08)</f>
        <v>50.08</v>
      </c>
      <c r="F746" s="2" t="n">
        <f aca="false">IFERROR(__xludf.dummyfunction("""COMPUTED_VALUE"""),41258717)</f>
        <v>41258717</v>
      </c>
    </row>
    <row r="747" customFormat="false" ht="15.75" hidden="false" customHeight="false" outlineLevel="0" collapsed="false">
      <c r="A747" s="3" t="n">
        <f aca="false">IFERROR(__xludf.dummyfunction("""COMPUTED_VALUE"""),45279.6666666667)</f>
        <v>45279.6666666667</v>
      </c>
      <c r="B747" s="2" t="n">
        <f aca="false">IFERROR(__xludf.dummyfunction("""COMPUTED_VALUE"""),49.42)</f>
        <v>49.42</v>
      </c>
      <c r="C747" s="2" t="n">
        <f aca="false">IFERROR(__xludf.dummyfunction("""COMPUTED_VALUE"""),49.7)</f>
        <v>49.7</v>
      </c>
      <c r="D747" s="2" t="n">
        <f aca="false">IFERROR(__xludf.dummyfunction("""COMPUTED_VALUE"""),48.9)</f>
        <v>48.9</v>
      </c>
      <c r="E747" s="2" t="n">
        <f aca="false">IFERROR(__xludf.dummyfunction("""COMPUTED_VALUE"""),49.6)</f>
        <v>49.6</v>
      </c>
      <c r="F747" s="2" t="n">
        <f aca="false">IFERROR(__xludf.dummyfunction("""COMPUTED_VALUE"""),46444446)</f>
        <v>46444446</v>
      </c>
    </row>
    <row r="748" customFormat="false" ht="15.75" hidden="false" customHeight="false" outlineLevel="0" collapsed="false">
      <c r="A748" s="3" t="n">
        <f aca="false">IFERROR(__xludf.dummyfunction("""COMPUTED_VALUE"""),45280.6666666667)</f>
        <v>45280.6666666667</v>
      </c>
      <c r="B748" s="2" t="n">
        <f aca="false">IFERROR(__xludf.dummyfunction("""COMPUTED_VALUE"""),49.66)</f>
        <v>49.66</v>
      </c>
      <c r="C748" s="2" t="n">
        <f aca="false">IFERROR(__xludf.dummyfunction("""COMPUTED_VALUE"""),50)</f>
        <v>50</v>
      </c>
      <c r="D748" s="2" t="n">
        <f aca="false">IFERROR(__xludf.dummyfunction("""COMPUTED_VALUE"""),48.1)</f>
        <v>48.1</v>
      </c>
      <c r="E748" s="2" t="n">
        <f aca="false">IFERROR(__xludf.dummyfunction("""COMPUTED_VALUE"""),48.11)</f>
        <v>48.11</v>
      </c>
      <c r="F748" s="2" t="n">
        <f aca="false">IFERROR(__xludf.dummyfunction("""COMPUTED_VALUE"""),39789439)</f>
        <v>39789439</v>
      </c>
    </row>
    <row r="749" customFormat="false" ht="15.75" hidden="false" customHeight="false" outlineLevel="0" collapsed="false">
      <c r="A749" s="3" t="n">
        <f aca="false">IFERROR(__xludf.dummyfunction("""COMPUTED_VALUE"""),45281.6666666667)</f>
        <v>45281.6666666667</v>
      </c>
      <c r="B749" s="2" t="n">
        <f aca="false">IFERROR(__xludf.dummyfunction("""COMPUTED_VALUE"""),48.81)</f>
        <v>48.81</v>
      </c>
      <c r="C749" s="2" t="n">
        <f aca="false">IFERROR(__xludf.dummyfunction("""COMPUTED_VALUE"""),49.1)</f>
        <v>49.1</v>
      </c>
      <c r="D749" s="2" t="n">
        <f aca="false">IFERROR(__xludf.dummyfunction("""COMPUTED_VALUE"""),48.42)</f>
        <v>48.42</v>
      </c>
      <c r="E749" s="2" t="n">
        <f aca="false">IFERROR(__xludf.dummyfunction("""COMPUTED_VALUE"""),48.99)</f>
        <v>48.99</v>
      </c>
      <c r="F749" s="2" t="n">
        <f aca="false">IFERROR(__xludf.dummyfunction("""COMPUTED_VALUE"""),30042535)</f>
        <v>30042535</v>
      </c>
    </row>
    <row r="750" customFormat="false" ht="15.75" hidden="false" customHeight="false" outlineLevel="0" collapsed="false">
      <c r="A750" s="3" t="n">
        <f aca="false">IFERROR(__xludf.dummyfunction("""COMPUTED_VALUE"""),45282.6666666667)</f>
        <v>45282.6666666667</v>
      </c>
      <c r="B750" s="2" t="n">
        <f aca="false">IFERROR(__xludf.dummyfunction("""COMPUTED_VALUE"""),49.2)</f>
        <v>49.2</v>
      </c>
      <c r="C750" s="2" t="n">
        <f aca="false">IFERROR(__xludf.dummyfunction("""COMPUTED_VALUE"""),49.38)</f>
        <v>49.38</v>
      </c>
      <c r="D750" s="2" t="n">
        <f aca="false">IFERROR(__xludf.dummyfunction("""COMPUTED_VALUE"""),48.47)</f>
        <v>48.47</v>
      </c>
      <c r="E750" s="2" t="n">
        <f aca="false">IFERROR(__xludf.dummyfunction("""COMPUTED_VALUE"""),48.83)</f>
        <v>48.83</v>
      </c>
      <c r="F750" s="2" t="n">
        <f aca="false">IFERROR(__xludf.dummyfunction("""COMPUTED_VALUE"""),25250676)</f>
        <v>25250676</v>
      </c>
    </row>
    <row r="751" customFormat="false" ht="15.75" hidden="false" customHeight="false" outlineLevel="0" collapsed="false">
      <c r="A751" s="3" t="n">
        <f aca="false">IFERROR(__xludf.dummyfunction("""COMPUTED_VALUE"""),45286.6666666667)</f>
        <v>45286.6666666667</v>
      </c>
      <c r="B751" s="2" t="n">
        <f aca="false">IFERROR(__xludf.dummyfunction("""COMPUTED_VALUE"""),48.97)</f>
        <v>48.97</v>
      </c>
      <c r="C751" s="2" t="n">
        <f aca="false">IFERROR(__xludf.dummyfunction("""COMPUTED_VALUE"""),49.6)</f>
        <v>49.6</v>
      </c>
      <c r="D751" s="2" t="n">
        <f aca="false">IFERROR(__xludf.dummyfunction("""COMPUTED_VALUE"""),48.96)</f>
        <v>48.96</v>
      </c>
      <c r="E751" s="2" t="n">
        <f aca="false">IFERROR(__xludf.dummyfunction("""COMPUTED_VALUE"""),49.28)</f>
        <v>49.28</v>
      </c>
      <c r="F751" s="2" t="n">
        <f aca="false">IFERROR(__xludf.dummyfunction("""COMPUTED_VALUE"""),24419952)</f>
        <v>24419952</v>
      </c>
    </row>
    <row r="752" customFormat="false" ht="15.75" hidden="false" customHeight="false" outlineLevel="0" collapsed="false">
      <c r="A752" s="3" t="n">
        <f aca="false">IFERROR(__xludf.dummyfunction("""COMPUTED_VALUE"""),45287.6666666667)</f>
        <v>45287.6666666667</v>
      </c>
      <c r="B752" s="2" t="n">
        <f aca="false">IFERROR(__xludf.dummyfunction("""COMPUTED_VALUE"""),49.51)</f>
        <v>49.51</v>
      </c>
      <c r="C752" s="2" t="n">
        <f aca="false">IFERROR(__xludf.dummyfunction("""COMPUTED_VALUE"""),49.68)</f>
        <v>49.68</v>
      </c>
      <c r="D752" s="2" t="n">
        <f aca="false">IFERROR(__xludf.dummyfunction("""COMPUTED_VALUE"""),49.09)</f>
        <v>49.09</v>
      </c>
      <c r="E752" s="2" t="n">
        <f aca="false">IFERROR(__xludf.dummyfunction("""COMPUTED_VALUE"""),49.42)</f>
        <v>49.42</v>
      </c>
      <c r="F752" s="2" t="n">
        <f aca="false">IFERROR(__xludf.dummyfunction("""COMPUTED_VALUE"""),23364798)</f>
        <v>23364798</v>
      </c>
    </row>
    <row r="753" customFormat="false" ht="15.75" hidden="false" customHeight="false" outlineLevel="0" collapsed="false">
      <c r="A753" s="3" t="n">
        <f aca="false">IFERROR(__xludf.dummyfunction("""COMPUTED_VALUE"""),45288.6666666667)</f>
        <v>45288.6666666667</v>
      </c>
      <c r="B753" s="2" t="n">
        <f aca="false">IFERROR(__xludf.dummyfunction("""COMPUTED_VALUE"""),49.64)</f>
        <v>49.64</v>
      </c>
      <c r="C753" s="2" t="n">
        <f aca="false">IFERROR(__xludf.dummyfunction("""COMPUTED_VALUE"""),49.88)</f>
        <v>49.88</v>
      </c>
      <c r="D753" s="2" t="n">
        <f aca="false">IFERROR(__xludf.dummyfunction("""COMPUTED_VALUE"""),49.41)</f>
        <v>49.41</v>
      </c>
      <c r="E753" s="2" t="n">
        <f aca="false">IFERROR(__xludf.dummyfunction("""COMPUTED_VALUE"""),49.52)</f>
        <v>49.52</v>
      </c>
      <c r="F753" s="2" t="n">
        <f aca="false">IFERROR(__xludf.dummyfunction("""COMPUTED_VALUE"""),24658748)</f>
        <v>24658748</v>
      </c>
    </row>
    <row r="754" customFormat="false" ht="15.75" hidden="false" customHeight="false" outlineLevel="0" collapsed="false">
      <c r="A754" s="3" t="n">
        <f aca="false">IFERROR(__xludf.dummyfunction("""COMPUTED_VALUE"""),45289.6666666667)</f>
        <v>45289.6666666667</v>
      </c>
      <c r="B754" s="2" t="n">
        <f aca="false">IFERROR(__xludf.dummyfunction("""COMPUTED_VALUE"""),49.81)</f>
        <v>49.81</v>
      </c>
      <c r="C754" s="2" t="n">
        <f aca="false">IFERROR(__xludf.dummyfunction("""COMPUTED_VALUE"""),50)</f>
        <v>50</v>
      </c>
      <c r="D754" s="2" t="n">
        <f aca="false">IFERROR(__xludf.dummyfunction("""COMPUTED_VALUE"""),48.75)</f>
        <v>48.75</v>
      </c>
      <c r="E754" s="2" t="n">
        <f aca="false">IFERROR(__xludf.dummyfunction("""COMPUTED_VALUE"""),49.52)</f>
        <v>49.52</v>
      </c>
      <c r="F754" s="2" t="n">
        <f aca="false">IFERROR(__xludf.dummyfunction("""COMPUTED_VALUE"""),38929330)</f>
        <v>38929330</v>
      </c>
    </row>
    <row r="755" customFormat="false" ht="15.75" hidden="false" customHeight="false" outlineLevel="0" collapsed="false">
      <c r="A755" s="3" t="n">
        <f aca="false">IFERROR(__xludf.dummyfunction("""COMPUTED_VALUE"""),45293.6666666667)</f>
        <v>45293.6666666667</v>
      </c>
      <c r="B755" s="2" t="n">
        <f aca="false">IFERROR(__xludf.dummyfunction("""COMPUTED_VALUE"""),49.24)</f>
        <v>49.24</v>
      </c>
      <c r="C755" s="2" t="n">
        <f aca="false">IFERROR(__xludf.dummyfunction("""COMPUTED_VALUE"""),49.3)</f>
        <v>49.3</v>
      </c>
      <c r="D755" s="2" t="n">
        <f aca="false">IFERROR(__xludf.dummyfunction("""COMPUTED_VALUE"""),47.6)</f>
        <v>47.6</v>
      </c>
      <c r="E755" s="2" t="n">
        <f aca="false">IFERROR(__xludf.dummyfunction("""COMPUTED_VALUE"""),48.17)</f>
        <v>48.17</v>
      </c>
      <c r="F755" s="2" t="n">
        <f aca="false">IFERROR(__xludf.dummyfunction("""COMPUTED_VALUE"""),41125422)</f>
        <v>41125422</v>
      </c>
    </row>
    <row r="756" customFormat="false" ht="15.75" hidden="false" customHeight="false" outlineLevel="0" collapsed="false">
      <c r="A756" s="3" t="n">
        <f aca="false">IFERROR(__xludf.dummyfunction("""COMPUTED_VALUE"""),45294.6666666667)</f>
        <v>45294.6666666667</v>
      </c>
      <c r="B756" s="2" t="n">
        <f aca="false">IFERROR(__xludf.dummyfunction("""COMPUTED_VALUE"""),47.49)</f>
        <v>47.49</v>
      </c>
      <c r="C756" s="2" t="n">
        <f aca="false">IFERROR(__xludf.dummyfunction("""COMPUTED_VALUE"""),48.18)</f>
        <v>48.18</v>
      </c>
      <c r="D756" s="2" t="n">
        <f aca="false">IFERROR(__xludf.dummyfunction("""COMPUTED_VALUE"""),47.32)</f>
        <v>47.32</v>
      </c>
      <c r="E756" s="2" t="n">
        <f aca="false">IFERROR(__xludf.dummyfunction("""COMPUTED_VALUE"""),47.57)</f>
        <v>47.57</v>
      </c>
      <c r="F756" s="2" t="n">
        <f aca="false">IFERROR(__xludf.dummyfunction("""COMPUTED_VALUE"""),32089617)</f>
        <v>32089617</v>
      </c>
    </row>
    <row r="757" customFormat="false" ht="15.75" hidden="false" customHeight="false" outlineLevel="0" collapsed="false">
      <c r="A757" s="3" t="n">
        <f aca="false">IFERROR(__xludf.dummyfunction("""COMPUTED_VALUE"""),45295.6666666667)</f>
        <v>45295.6666666667</v>
      </c>
      <c r="B757" s="2" t="n">
        <f aca="false">IFERROR(__xludf.dummyfunction("""COMPUTED_VALUE"""),47.77)</f>
        <v>47.77</v>
      </c>
      <c r="C757" s="2" t="n">
        <f aca="false">IFERROR(__xludf.dummyfunction("""COMPUTED_VALUE"""),48.5)</f>
        <v>48.5</v>
      </c>
      <c r="D757" s="2" t="n">
        <f aca="false">IFERROR(__xludf.dummyfunction("""COMPUTED_VALUE"""),47.51)</f>
        <v>47.51</v>
      </c>
      <c r="E757" s="2" t="n">
        <f aca="false">IFERROR(__xludf.dummyfunction("""COMPUTED_VALUE"""),48)</f>
        <v>48</v>
      </c>
      <c r="F757" s="2" t="n">
        <f aca="false">IFERROR(__xludf.dummyfunction("""COMPUTED_VALUE"""),30653489)</f>
        <v>30653489</v>
      </c>
    </row>
    <row r="758" customFormat="false" ht="15.75" hidden="false" customHeight="false" outlineLevel="0" collapsed="false">
      <c r="A758" s="3" t="n">
        <f aca="false">IFERROR(__xludf.dummyfunction("""COMPUTED_VALUE"""),45296.6666666667)</f>
        <v>45296.6666666667</v>
      </c>
      <c r="B758" s="2" t="n">
        <f aca="false">IFERROR(__xludf.dummyfunction("""COMPUTED_VALUE"""),48.46)</f>
        <v>48.46</v>
      </c>
      <c r="C758" s="2" t="n">
        <f aca="false">IFERROR(__xludf.dummyfunction("""COMPUTED_VALUE"""),49.55)</f>
        <v>49.55</v>
      </c>
      <c r="D758" s="2" t="n">
        <f aca="false">IFERROR(__xludf.dummyfunction("""COMPUTED_VALUE"""),48.31)</f>
        <v>48.31</v>
      </c>
      <c r="E758" s="2" t="n">
        <f aca="false">IFERROR(__xludf.dummyfunction("""COMPUTED_VALUE"""),49.1)</f>
        <v>49.1</v>
      </c>
      <c r="F758" s="2" t="n">
        <f aca="false">IFERROR(__xludf.dummyfunction("""COMPUTED_VALUE"""),41503927)</f>
        <v>41503927</v>
      </c>
    </row>
    <row r="759" customFormat="false" ht="15.75" hidden="false" customHeight="false" outlineLevel="0" collapsed="false">
      <c r="A759" s="3" t="n">
        <f aca="false">IFERROR(__xludf.dummyfunction("""COMPUTED_VALUE"""),45299.6666666667)</f>
        <v>45299.6666666667</v>
      </c>
      <c r="B759" s="2" t="n">
        <f aca="false">IFERROR(__xludf.dummyfunction("""COMPUTED_VALUE"""),49.51)</f>
        <v>49.51</v>
      </c>
      <c r="C759" s="2" t="n">
        <f aca="false">IFERROR(__xludf.dummyfunction("""COMPUTED_VALUE"""),52.28)</f>
        <v>52.28</v>
      </c>
      <c r="D759" s="2" t="n">
        <f aca="false">IFERROR(__xludf.dummyfunction("""COMPUTED_VALUE"""),49.48)</f>
        <v>49.48</v>
      </c>
      <c r="E759" s="2" t="n">
        <f aca="false">IFERROR(__xludf.dummyfunction("""COMPUTED_VALUE"""),52.25)</f>
        <v>52.25</v>
      </c>
      <c r="F759" s="2" t="n">
        <f aca="false">IFERROR(__xludf.dummyfunction("""COMPUTED_VALUE"""),64250990)</f>
        <v>64250990</v>
      </c>
    </row>
    <row r="760" customFormat="false" ht="15.75" hidden="false" customHeight="false" outlineLevel="0" collapsed="false">
      <c r="A760" s="3" t="n">
        <f aca="false">IFERROR(__xludf.dummyfunction("""COMPUTED_VALUE"""),45300.6666666667)</f>
        <v>45300.6666666667</v>
      </c>
      <c r="B760" s="2" t="n">
        <f aca="false">IFERROR(__xludf.dummyfunction("""COMPUTED_VALUE"""),52.4)</f>
        <v>52.4</v>
      </c>
      <c r="C760" s="2" t="n">
        <f aca="false">IFERROR(__xludf.dummyfunction("""COMPUTED_VALUE"""),54.33)</f>
        <v>54.33</v>
      </c>
      <c r="D760" s="2" t="n">
        <f aca="false">IFERROR(__xludf.dummyfunction("""COMPUTED_VALUE"""),51.69)</f>
        <v>51.69</v>
      </c>
      <c r="E760" s="2" t="n">
        <f aca="false">IFERROR(__xludf.dummyfunction("""COMPUTED_VALUE"""),53.14)</f>
        <v>53.14</v>
      </c>
      <c r="F760" s="2" t="n">
        <f aca="false">IFERROR(__xludf.dummyfunction("""COMPUTED_VALUE"""),77310006)</f>
        <v>77310006</v>
      </c>
    </row>
    <row r="761" customFormat="false" ht="15.75" hidden="false" customHeight="false" outlineLevel="0" collapsed="false">
      <c r="A761" s="3" t="n">
        <f aca="false">IFERROR(__xludf.dummyfunction("""COMPUTED_VALUE"""),45301.6666666667)</f>
        <v>45301.6666666667</v>
      </c>
      <c r="B761" s="2" t="n">
        <f aca="false">IFERROR(__xludf.dummyfunction("""COMPUTED_VALUE"""),53.62)</f>
        <v>53.62</v>
      </c>
      <c r="C761" s="2" t="n">
        <f aca="false">IFERROR(__xludf.dummyfunction("""COMPUTED_VALUE"""),54.6)</f>
        <v>54.6</v>
      </c>
      <c r="D761" s="2" t="n">
        <f aca="false">IFERROR(__xludf.dummyfunction("""COMPUTED_VALUE"""),53.49)</f>
        <v>53.49</v>
      </c>
      <c r="E761" s="2" t="n">
        <f aca="false">IFERROR(__xludf.dummyfunction("""COMPUTED_VALUE"""),54.35)</f>
        <v>54.35</v>
      </c>
      <c r="F761" s="2" t="n">
        <f aca="false">IFERROR(__xludf.dummyfunction("""COMPUTED_VALUE"""),53379576)</f>
        <v>53379576</v>
      </c>
    </row>
    <row r="762" customFormat="false" ht="15.75" hidden="false" customHeight="false" outlineLevel="0" collapsed="false">
      <c r="A762" s="3" t="n">
        <f aca="false">IFERROR(__xludf.dummyfunction("""COMPUTED_VALUE"""),45302.6666666667)</f>
        <v>45302.6666666667</v>
      </c>
      <c r="B762" s="2" t="n">
        <f aca="false">IFERROR(__xludf.dummyfunction("""COMPUTED_VALUE"""),55)</f>
        <v>55</v>
      </c>
      <c r="C762" s="2" t="n">
        <f aca="false">IFERROR(__xludf.dummyfunction("""COMPUTED_VALUE"""),55.35)</f>
        <v>55.35</v>
      </c>
      <c r="D762" s="2" t="n">
        <f aca="false">IFERROR(__xludf.dummyfunction("""COMPUTED_VALUE"""),53.56)</f>
        <v>53.56</v>
      </c>
      <c r="E762" s="2" t="n">
        <f aca="false">IFERROR(__xludf.dummyfunction("""COMPUTED_VALUE"""),54.82)</f>
        <v>54.82</v>
      </c>
      <c r="F762" s="2" t="n">
        <f aca="false">IFERROR(__xludf.dummyfunction("""COMPUTED_VALUE"""),59675877)</f>
        <v>59675877</v>
      </c>
    </row>
    <row r="763" customFormat="false" ht="15.75" hidden="false" customHeight="false" outlineLevel="0" collapsed="false">
      <c r="A763" s="3" t="n">
        <f aca="false">IFERROR(__xludf.dummyfunction("""COMPUTED_VALUE"""),45303.6666666667)</f>
        <v>45303.6666666667</v>
      </c>
      <c r="B763" s="2" t="n">
        <f aca="false">IFERROR(__xludf.dummyfunction("""COMPUTED_VALUE"""),54.62)</f>
        <v>54.62</v>
      </c>
      <c r="C763" s="2" t="n">
        <f aca="false">IFERROR(__xludf.dummyfunction("""COMPUTED_VALUE"""),54.97)</f>
        <v>54.97</v>
      </c>
      <c r="D763" s="2" t="n">
        <f aca="false">IFERROR(__xludf.dummyfunction("""COMPUTED_VALUE"""),54.33)</f>
        <v>54.33</v>
      </c>
      <c r="E763" s="2" t="n">
        <f aca="false">IFERROR(__xludf.dummyfunction("""COMPUTED_VALUE"""),54.71)</f>
        <v>54.71</v>
      </c>
      <c r="F763" s="2" t="n">
        <f aca="false">IFERROR(__xludf.dummyfunction("""COMPUTED_VALUE"""),35299360)</f>
        <v>35299360</v>
      </c>
    </row>
    <row r="764" customFormat="false" ht="15.75" hidden="false" customHeight="false" outlineLevel="0" collapsed="false">
      <c r="A764" s="3" t="n">
        <f aca="false">IFERROR(__xludf.dummyfunction("""COMPUTED_VALUE"""),45307.6666666667)</f>
        <v>45307.6666666667</v>
      </c>
      <c r="B764" s="2" t="n">
        <f aca="false">IFERROR(__xludf.dummyfunction("""COMPUTED_VALUE"""),55.02)</f>
        <v>55.02</v>
      </c>
      <c r="C764" s="2" t="n">
        <f aca="false">IFERROR(__xludf.dummyfunction("""COMPUTED_VALUE"""),56.83)</f>
        <v>56.83</v>
      </c>
      <c r="D764" s="2" t="n">
        <f aca="false">IFERROR(__xludf.dummyfunction("""COMPUTED_VALUE"""),54.9)</f>
        <v>54.9</v>
      </c>
      <c r="E764" s="2" t="n">
        <f aca="false">IFERROR(__xludf.dummyfunction("""COMPUTED_VALUE"""),56.38)</f>
        <v>56.38</v>
      </c>
      <c r="F764" s="2" t="n">
        <f aca="false">IFERROR(__xludf.dummyfunction("""COMPUTED_VALUE"""),44957973)</f>
        <v>44957973</v>
      </c>
    </row>
    <row r="765" customFormat="false" ht="15.75" hidden="false" customHeight="false" outlineLevel="0" collapsed="false">
      <c r="A765" s="3" t="n">
        <f aca="false">IFERROR(__xludf.dummyfunction("""COMPUTED_VALUE"""),45308.6666666667)</f>
        <v>45308.6666666667</v>
      </c>
      <c r="B765" s="2" t="n">
        <f aca="false">IFERROR(__xludf.dummyfunction("""COMPUTED_VALUE"""),56.35)</f>
        <v>56.35</v>
      </c>
      <c r="C765" s="2" t="n">
        <f aca="false">IFERROR(__xludf.dummyfunction("""COMPUTED_VALUE"""),56.47)</f>
        <v>56.47</v>
      </c>
      <c r="D765" s="2" t="n">
        <f aca="false">IFERROR(__xludf.dummyfunction("""COMPUTED_VALUE"""),54.74)</f>
        <v>54.74</v>
      </c>
      <c r="E765" s="2" t="n">
        <f aca="false">IFERROR(__xludf.dummyfunction("""COMPUTED_VALUE"""),56.05)</f>
        <v>56.05</v>
      </c>
      <c r="F765" s="2" t="n">
        <f aca="false">IFERROR(__xludf.dummyfunction("""COMPUTED_VALUE"""),47439444)</f>
        <v>47439444</v>
      </c>
    </row>
    <row r="766" customFormat="false" ht="15.75" hidden="false" customHeight="false" outlineLevel="0" collapsed="false">
      <c r="A766" s="3" t="n">
        <f aca="false">IFERROR(__xludf.dummyfunction("""COMPUTED_VALUE"""),45309.6666666667)</f>
        <v>45309.6666666667</v>
      </c>
      <c r="B766" s="2" t="n">
        <f aca="false">IFERROR(__xludf.dummyfunction("""COMPUTED_VALUE"""),57.26)</f>
        <v>57.26</v>
      </c>
      <c r="C766" s="2" t="n">
        <f aca="false">IFERROR(__xludf.dummyfunction("""COMPUTED_VALUE"""),57.6)</f>
        <v>57.6</v>
      </c>
      <c r="D766" s="2" t="n">
        <f aca="false">IFERROR(__xludf.dummyfunction("""COMPUTED_VALUE"""),56.11)</f>
        <v>56.11</v>
      </c>
      <c r="E766" s="2" t="n">
        <f aca="false">IFERROR(__xludf.dummyfunction("""COMPUTED_VALUE"""),57.11)</f>
        <v>57.11</v>
      </c>
      <c r="F766" s="2" t="n">
        <f aca="false">IFERROR(__xludf.dummyfunction("""COMPUTED_VALUE"""),49165036)</f>
        <v>49165036</v>
      </c>
    </row>
    <row r="767" customFormat="false" ht="15.75" hidden="false" customHeight="false" outlineLevel="0" collapsed="false">
      <c r="A767" s="3" t="n">
        <f aca="false">IFERROR(__xludf.dummyfunction("""COMPUTED_VALUE"""),45310.6666666667)</f>
        <v>45310.6666666667</v>
      </c>
      <c r="B767" s="2" t="n">
        <f aca="false">IFERROR(__xludf.dummyfunction("""COMPUTED_VALUE"""),57.99)</f>
        <v>57.99</v>
      </c>
      <c r="C767" s="2" t="n">
        <f aca="false">IFERROR(__xludf.dummyfunction("""COMPUTED_VALUE"""),59.5)</f>
        <v>59.5</v>
      </c>
      <c r="D767" s="2" t="n">
        <f aca="false">IFERROR(__xludf.dummyfunction("""COMPUTED_VALUE"""),57.23)</f>
        <v>57.23</v>
      </c>
      <c r="E767" s="2" t="n">
        <f aca="false">IFERROR(__xludf.dummyfunction("""COMPUTED_VALUE"""),59.49)</f>
        <v>59.49</v>
      </c>
      <c r="F767" s="2" t="n">
        <f aca="false">IFERROR(__xludf.dummyfunction("""COMPUTED_VALUE"""),54350148)</f>
        <v>54350148</v>
      </c>
    </row>
    <row r="768" customFormat="false" ht="15.75" hidden="false" customHeight="false" outlineLevel="0" collapsed="false">
      <c r="A768" s="3" t="n">
        <f aca="false">IFERROR(__xludf.dummyfunction("""COMPUTED_VALUE"""),45313.6666666667)</f>
        <v>45313.6666666667</v>
      </c>
      <c r="B768" s="2" t="n">
        <f aca="false">IFERROR(__xludf.dummyfunction("""COMPUTED_VALUE"""),60.05)</f>
        <v>60.05</v>
      </c>
      <c r="C768" s="2" t="n">
        <f aca="false">IFERROR(__xludf.dummyfunction("""COMPUTED_VALUE"""),60.33)</f>
        <v>60.33</v>
      </c>
      <c r="D768" s="2" t="n">
        <f aca="false">IFERROR(__xludf.dummyfunction("""COMPUTED_VALUE"""),59.07)</f>
        <v>59.07</v>
      </c>
      <c r="E768" s="2" t="n">
        <f aca="false">IFERROR(__xludf.dummyfunction("""COMPUTED_VALUE"""),59.65)</f>
        <v>59.65</v>
      </c>
      <c r="F768" s="2" t="n">
        <f aca="false">IFERROR(__xludf.dummyfunction("""COMPUTED_VALUE"""),45295463)</f>
        <v>45295463</v>
      </c>
    </row>
    <row r="769" customFormat="false" ht="15.75" hidden="false" customHeight="false" outlineLevel="0" collapsed="false">
      <c r="A769" s="3" t="n">
        <f aca="false">IFERROR(__xludf.dummyfunction("""COMPUTED_VALUE"""),45314.6666666667)</f>
        <v>45314.6666666667</v>
      </c>
      <c r="B769" s="2" t="n">
        <f aca="false">IFERROR(__xludf.dummyfunction("""COMPUTED_VALUE"""),59.57)</f>
        <v>59.57</v>
      </c>
      <c r="C769" s="2" t="n">
        <f aca="false">IFERROR(__xludf.dummyfunction("""COMPUTED_VALUE"""),59.91)</f>
        <v>59.91</v>
      </c>
      <c r="D769" s="2" t="n">
        <f aca="false">IFERROR(__xludf.dummyfunction("""COMPUTED_VALUE"""),58.59)</f>
        <v>58.59</v>
      </c>
      <c r="E769" s="2" t="n">
        <f aca="false">IFERROR(__xludf.dummyfunction("""COMPUTED_VALUE"""),59.87)</f>
        <v>59.87</v>
      </c>
      <c r="F769" s="2" t="n">
        <f aca="false">IFERROR(__xludf.dummyfunction("""COMPUTED_VALUE"""),29465445)</f>
        <v>29465445</v>
      </c>
    </row>
    <row r="770" customFormat="false" ht="15.75" hidden="false" customHeight="false" outlineLevel="0" collapsed="false">
      <c r="A770" s="3" t="n">
        <f aca="false">IFERROR(__xludf.dummyfunction("""COMPUTED_VALUE"""),45315.6666666667)</f>
        <v>45315.6666666667</v>
      </c>
      <c r="B770" s="2" t="n">
        <f aca="false">IFERROR(__xludf.dummyfunction("""COMPUTED_VALUE"""),60.3)</f>
        <v>60.3</v>
      </c>
      <c r="C770" s="2" t="n">
        <f aca="false">IFERROR(__xludf.dummyfunction("""COMPUTED_VALUE"""),62.85)</f>
        <v>62.85</v>
      </c>
      <c r="D770" s="2" t="n">
        <f aca="false">IFERROR(__xludf.dummyfunction("""COMPUTED_VALUE"""),59.94)</f>
        <v>59.94</v>
      </c>
      <c r="E770" s="2" t="n">
        <f aca="false">IFERROR(__xludf.dummyfunction("""COMPUTED_VALUE"""),61.36)</f>
        <v>61.36</v>
      </c>
      <c r="F770" s="2" t="n">
        <f aca="false">IFERROR(__xludf.dummyfunction("""COMPUTED_VALUE"""),56027076)</f>
        <v>56027076</v>
      </c>
    </row>
    <row r="771" customFormat="false" ht="15.75" hidden="false" customHeight="false" outlineLevel="0" collapsed="false">
      <c r="A771" s="3" t="n">
        <f aca="false">IFERROR(__xludf.dummyfunction("""COMPUTED_VALUE"""),45316.6666666667)</f>
        <v>45316.6666666667</v>
      </c>
      <c r="B771" s="2" t="n">
        <f aca="false">IFERROR(__xludf.dummyfunction("""COMPUTED_VALUE"""),62.35)</f>
        <v>62.35</v>
      </c>
      <c r="C771" s="2" t="n">
        <f aca="false">IFERROR(__xludf.dummyfunction("""COMPUTED_VALUE"""),62.72)</f>
        <v>62.72</v>
      </c>
      <c r="D771" s="2" t="n">
        <f aca="false">IFERROR(__xludf.dummyfunction("""COMPUTED_VALUE"""),60.85)</f>
        <v>60.85</v>
      </c>
      <c r="E771" s="2" t="n">
        <f aca="false">IFERROR(__xludf.dummyfunction("""COMPUTED_VALUE"""),61.62)</f>
        <v>61.62</v>
      </c>
      <c r="F771" s="2" t="n">
        <f aca="false">IFERROR(__xludf.dummyfunction("""COMPUTED_VALUE"""),48277684)</f>
        <v>48277684</v>
      </c>
    </row>
    <row r="772" customFormat="false" ht="15.75" hidden="false" customHeight="false" outlineLevel="0" collapsed="false">
      <c r="A772" s="3" t="n">
        <f aca="false">IFERROR(__xludf.dummyfunction("""COMPUTED_VALUE"""),45317.6666666667)</f>
        <v>45317.6666666667</v>
      </c>
      <c r="B772" s="2" t="n">
        <f aca="false">IFERROR(__xludf.dummyfunction("""COMPUTED_VALUE"""),60.96)</f>
        <v>60.96</v>
      </c>
      <c r="C772" s="2" t="n">
        <f aca="false">IFERROR(__xludf.dummyfunction("""COMPUTED_VALUE"""),61.78)</f>
        <v>61.78</v>
      </c>
      <c r="D772" s="2" t="n">
        <f aca="false">IFERROR(__xludf.dummyfunction("""COMPUTED_VALUE"""),60.57)</f>
        <v>60.57</v>
      </c>
      <c r="E772" s="2" t="n">
        <f aca="false">IFERROR(__xludf.dummyfunction("""COMPUTED_VALUE"""),61.03)</f>
        <v>61.03</v>
      </c>
      <c r="F772" s="2" t="n">
        <f aca="false">IFERROR(__xludf.dummyfunction("""COMPUTED_VALUE"""),39030859)</f>
        <v>39030859</v>
      </c>
    </row>
    <row r="773" customFormat="false" ht="15.75" hidden="false" customHeight="false" outlineLevel="0" collapsed="false">
      <c r="A773" s="3" t="n">
        <f aca="false">IFERROR(__xludf.dummyfunction("""COMPUTED_VALUE"""),45320.6666666667)</f>
        <v>45320.6666666667</v>
      </c>
      <c r="B773" s="2" t="n">
        <f aca="false">IFERROR(__xludf.dummyfunction("""COMPUTED_VALUE"""),61.23)</f>
        <v>61.23</v>
      </c>
      <c r="C773" s="2" t="n">
        <f aca="false">IFERROR(__xludf.dummyfunction("""COMPUTED_VALUE"""),62.49)</f>
        <v>62.49</v>
      </c>
      <c r="D773" s="2" t="n">
        <f aca="false">IFERROR(__xludf.dummyfunction("""COMPUTED_VALUE"""),60.91)</f>
        <v>60.91</v>
      </c>
      <c r="E773" s="2" t="n">
        <f aca="false">IFERROR(__xludf.dummyfunction("""COMPUTED_VALUE"""),62.47)</f>
        <v>62.47</v>
      </c>
      <c r="F773" s="2" t="n">
        <f aca="false">IFERROR(__xludf.dummyfunction("""COMPUTED_VALUE"""),34873298)</f>
        <v>34873298</v>
      </c>
    </row>
    <row r="774" customFormat="false" ht="15.75" hidden="false" customHeight="false" outlineLevel="0" collapsed="false">
      <c r="A774" s="3" t="n">
        <f aca="false">IFERROR(__xludf.dummyfunction("""COMPUTED_VALUE"""),45321.6666666667)</f>
        <v>45321.6666666667</v>
      </c>
      <c r="B774" s="2" t="n">
        <f aca="false">IFERROR(__xludf.dummyfunction("""COMPUTED_VALUE"""),62.9)</f>
        <v>62.9</v>
      </c>
      <c r="C774" s="2" t="n">
        <f aca="false">IFERROR(__xludf.dummyfunction("""COMPUTED_VALUE"""),63.49)</f>
        <v>63.49</v>
      </c>
      <c r="D774" s="2" t="n">
        <f aca="false">IFERROR(__xludf.dummyfunction("""COMPUTED_VALUE"""),62.26)</f>
        <v>62.26</v>
      </c>
      <c r="E774" s="2" t="n">
        <f aca="false">IFERROR(__xludf.dummyfunction("""COMPUTED_VALUE"""),62.77)</f>
        <v>62.77</v>
      </c>
      <c r="F774" s="2" t="n">
        <f aca="false">IFERROR(__xludf.dummyfunction("""COMPUTED_VALUE"""),41073530)</f>
        <v>41073530</v>
      </c>
    </row>
    <row r="775" customFormat="false" ht="15.75" hidden="false" customHeight="false" outlineLevel="0" collapsed="false">
      <c r="A775" s="3" t="n">
        <f aca="false">IFERROR(__xludf.dummyfunction("""COMPUTED_VALUE"""),45322.6666666667)</f>
        <v>45322.6666666667</v>
      </c>
      <c r="B775" s="2" t="n">
        <f aca="false">IFERROR(__xludf.dummyfunction("""COMPUTED_VALUE"""),61.44)</f>
        <v>61.44</v>
      </c>
      <c r="C775" s="2" t="n">
        <f aca="false">IFERROR(__xludf.dummyfunction("""COMPUTED_VALUE"""),62.27)</f>
        <v>62.27</v>
      </c>
      <c r="D775" s="2" t="n">
        <f aca="false">IFERROR(__xludf.dummyfunction("""COMPUTED_VALUE"""),60.7)</f>
        <v>60.7</v>
      </c>
      <c r="E775" s="2" t="n">
        <f aca="false">IFERROR(__xludf.dummyfunction("""COMPUTED_VALUE"""),61.53)</f>
        <v>61.53</v>
      </c>
      <c r="F775" s="2" t="n">
        <f aca="false">IFERROR(__xludf.dummyfunction("""COMPUTED_VALUE"""),45379487)</f>
        <v>45379487</v>
      </c>
    </row>
    <row r="776" customFormat="false" ht="15.75" hidden="false" customHeight="false" outlineLevel="0" collapsed="false">
      <c r="A776" s="3" t="n">
        <f aca="false">IFERROR(__xludf.dummyfunction("""COMPUTED_VALUE"""),45323.6666666667)</f>
        <v>45323.6666666667</v>
      </c>
      <c r="B776" s="2" t="n">
        <f aca="false">IFERROR(__xludf.dummyfunction("""COMPUTED_VALUE"""),62.1)</f>
        <v>62.1</v>
      </c>
      <c r="C776" s="2" t="n">
        <f aca="false">IFERROR(__xludf.dummyfunction("""COMPUTED_VALUE"""),63.19)</f>
        <v>63.19</v>
      </c>
      <c r="D776" s="2" t="n">
        <f aca="false">IFERROR(__xludf.dummyfunction("""COMPUTED_VALUE"""),61.65)</f>
        <v>61.65</v>
      </c>
      <c r="E776" s="2" t="n">
        <f aca="false">IFERROR(__xludf.dummyfunction("""COMPUTED_VALUE"""),63.03)</f>
        <v>63.03</v>
      </c>
      <c r="F776" s="2" t="n">
        <f aca="false">IFERROR(__xludf.dummyfunction("""COMPUTED_VALUE"""),36914579)</f>
        <v>36914579</v>
      </c>
    </row>
    <row r="777" customFormat="false" ht="15.75" hidden="false" customHeight="false" outlineLevel="0" collapsed="false">
      <c r="A777" s="3" t="n">
        <f aca="false">IFERROR(__xludf.dummyfunction("""COMPUTED_VALUE"""),45324.6666666667)</f>
        <v>45324.6666666667</v>
      </c>
      <c r="B777" s="2" t="n">
        <f aca="false">IFERROR(__xludf.dummyfunction("""COMPUTED_VALUE"""),63.97)</f>
        <v>63.97</v>
      </c>
      <c r="C777" s="2" t="n">
        <f aca="false">IFERROR(__xludf.dummyfunction("""COMPUTED_VALUE"""),66.6)</f>
        <v>66.6</v>
      </c>
      <c r="D777" s="2" t="n">
        <f aca="false">IFERROR(__xludf.dummyfunction("""COMPUTED_VALUE"""),63.69)</f>
        <v>63.69</v>
      </c>
      <c r="E777" s="2" t="n">
        <f aca="false">IFERROR(__xludf.dummyfunction("""COMPUTED_VALUE"""),66.16)</f>
        <v>66.16</v>
      </c>
      <c r="F777" s="2" t="n">
        <f aca="false">IFERROR(__xludf.dummyfunction("""COMPUTED_VALUE"""),47657765)</f>
        <v>47657765</v>
      </c>
    </row>
    <row r="778" customFormat="false" ht="15.75" hidden="false" customHeight="false" outlineLevel="0" collapsed="false">
      <c r="A778" s="3" t="n">
        <f aca="false">IFERROR(__xludf.dummyfunction("""COMPUTED_VALUE"""),45327.6666666667)</f>
        <v>45327.6666666667</v>
      </c>
      <c r="B778" s="2" t="n">
        <f aca="false">IFERROR(__xludf.dummyfunction("""COMPUTED_VALUE"""),68.22)</f>
        <v>68.22</v>
      </c>
      <c r="C778" s="2" t="n">
        <f aca="false">IFERROR(__xludf.dummyfunction("""COMPUTED_VALUE"""),69.5)</f>
        <v>69.5</v>
      </c>
      <c r="D778" s="2" t="n">
        <f aca="false">IFERROR(__xludf.dummyfunction("""COMPUTED_VALUE"""),67.21)</f>
        <v>67.21</v>
      </c>
      <c r="E778" s="2" t="n">
        <f aca="false">IFERROR(__xludf.dummyfunction("""COMPUTED_VALUE"""),69.33)</f>
        <v>69.33</v>
      </c>
      <c r="F778" s="2" t="n">
        <f aca="false">IFERROR(__xludf.dummyfunction("""COMPUTED_VALUE"""),68007801)</f>
        <v>68007801</v>
      </c>
    </row>
    <row r="779" customFormat="false" ht="15.75" hidden="false" customHeight="false" outlineLevel="0" collapsed="false">
      <c r="A779" s="3" t="n">
        <f aca="false">IFERROR(__xludf.dummyfunction("""COMPUTED_VALUE"""),45328.6666666667)</f>
        <v>45328.6666666667</v>
      </c>
      <c r="B779" s="2" t="n">
        <f aca="false">IFERROR(__xludf.dummyfunction("""COMPUTED_VALUE"""),69.63)</f>
        <v>69.63</v>
      </c>
      <c r="C779" s="2" t="n">
        <f aca="false">IFERROR(__xludf.dummyfunction("""COMPUTED_VALUE"""),69.75)</f>
        <v>69.75</v>
      </c>
      <c r="D779" s="2" t="n">
        <f aca="false">IFERROR(__xludf.dummyfunction("""COMPUTED_VALUE"""),66.3)</f>
        <v>66.3</v>
      </c>
      <c r="E779" s="2" t="n">
        <f aca="false">IFERROR(__xludf.dummyfunction("""COMPUTED_VALUE"""),68.22)</f>
        <v>68.22</v>
      </c>
      <c r="F779" s="2" t="n">
        <f aca="false">IFERROR(__xludf.dummyfunction("""COMPUTED_VALUE"""),68311136)</f>
        <v>68311136</v>
      </c>
    </row>
    <row r="780" customFormat="false" ht="15.75" hidden="false" customHeight="false" outlineLevel="0" collapsed="false">
      <c r="A780" s="3" t="n">
        <f aca="false">IFERROR(__xludf.dummyfunction("""COMPUTED_VALUE"""),45329.6666666667)</f>
        <v>45329.6666666667</v>
      </c>
      <c r="B780" s="2" t="n">
        <f aca="false">IFERROR(__xludf.dummyfunction("""COMPUTED_VALUE"""),68.32)</f>
        <v>68.32</v>
      </c>
      <c r="C780" s="2" t="n">
        <f aca="false">IFERROR(__xludf.dummyfunction("""COMPUTED_VALUE"""),70.22)</f>
        <v>70.22</v>
      </c>
      <c r="D780" s="2" t="n">
        <f aca="false">IFERROR(__xludf.dummyfunction("""COMPUTED_VALUE"""),67.6)</f>
        <v>67.6</v>
      </c>
      <c r="E780" s="2" t="n">
        <f aca="false">IFERROR(__xludf.dummyfunction("""COMPUTED_VALUE"""),70.1)</f>
        <v>70.1</v>
      </c>
      <c r="F780" s="2" t="n">
        <f aca="false">IFERROR(__xludf.dummyfunction("""COMPUTED_VALUE"""),49557455)</f>
        <v>49557455</v>
      </c>
    </row>
    <row r="781" customFormat="false" ht="15.75" hidden="false" customHeight="false" outlineLevel="0" collapsed="false">
      <c r="A781" s="3" t="n">
        <f aca="false">IFERROR(__xludf.dummyfunction("""COMPUTED_VALUE"""),45330.6666666667)</f>
        <v>45330.6666666667</v>
      </c>
      <c r="B781" s="2" t="n">
        <f aca="false">IFERROR(__xludf.dummyfunction("""COMPUTED_VALUE"""),70.07)</f>
        <v>70.07</v>
      </c>
      <c r="C781" s="2" t="n">
        <f aca="false">IFERROR(__xludf.dummyfunction("""COMPUTED_VALUE"""),70.79)</f>
        <v>70.79</v>
      </c>
      <c r="D781" s="2" t="n">
        <f aca="false">IFERROR(__xludf.dummyfunction("""COMPUTED_VALUE"""),69.46)</f>
        <v>69.46</v>
      </c>
      <c r="E781" s="2" t="n">
        <f aca="false">IFERROR(__xludf.dummyfunction("""COMPUTED_VALUE"""),69.64)</f>
        <v>69.64</v>
      </c>
      <c r="F781" s="2" t="n">
        <f aca="false">IFERROR(__xludf.dummyfunction("""COMPUTED_VALUE"""),41442211)</f>
        <v>41442211</v>
      </c>
    </row>
    <row r="782" customFormat="false" ht="15.75" hidden="false" customHeight="false" outlineLevel="0" collapsed="false">
      <c r="A782" s="3" t="n">
        <f aca="false">IFERROR(__xludf.dummyfunction("""COMPUTED_VALUE"""),45331.6666666667)</f>
        <v>45331.6666666667</v>
      </c>
      <c r="B782" s="2" t="n">
        <f aca="false">IFERROR(__xludf.dummyfunction("""COMPUTED_VALUE"""),70.53)</f>
        <v>70.53</v>
      </c>
      <c r="C782" s="2" t="n">
        <f aca="false">IFERROR(__xludf.dummyfunction("""COMPUTED_VALUE"""),72.19)</f>
        <v>72.19</v>
      </c>
      <c r="D782" s="2" t="n">
        <f aca="false">IFERROR(__xludf.dummyfunction("""COMPUTED_VALUE"""),70.21)</f>
        <v>70.21</v>
      </c>
      <c r="E782" s="2" t="n">
        <f aca="false">IFERROR(__xludf.dummyfunction("""COMPUTED_VALUE"""),72.13)</f>
        <v>72.13</v>
      </c>
      <c r="F782" s="2" t="n">
        <f aca="false">IFERROR(__xludf.dummyfunction("""COMPUTED_VALUE"""),43663689)</f>
        <v>43663689</v>
      </c>
    </row>
    <row r="783" customFormat="false" ht="15.75" hidden="false" customHeight="false" outlineLevel="0" collapsed="false">
      <c r="A783" s="3" t="n">
        <f aca="false">IFERROR(__xludf.dummyfunction("""COMPUTED_VALUE"""),45334.6666666667)</f>
        <v>45334.6666666667</v>
      </c>
      <c r="B783" s="2" t="n">
        <f aca="false">IFERROR(__xludf.dummyfunction("""COMPUTED_VALUE"""),72.6)</f>
        <v>72.6</v>
      </c>
      <c r="C783" s="2" t="n">
        <f aca="false">IFERROR(__xludf.dummyfunction("""COMPUTED_VALUE"""),74.61)</f>
        <v>74.61</v>
      </c>
      <c r="D783" s="2" t="n">
        <f aca="false">IFERROR(__xludf.dummyfunction("""COMPUTED_VALUE"""),71.25)</f>
        <v>71.25</v>
      </c>
      <c r="E783" s="2" t="n">
        <f aca="false">IFERROR(__xludf.dummyfunction("""COMPUTED_VALUE"""),72.25)</f>
        <v>72.25</v>
      </c>
      <c r="F783" s="2" t="n">
        <f aca="false">IFERROR(__xludf.dummyfunction("""COMPUTED_VALUE"""),61371018)</f>
        <v>61371018</v>
      </c>
    </row>
    <row r="784" customFormat="false" ht="15.75" hidden="false" customHeight="false" outlineLevel="0" collapsed="false">
      <c r="A784" s="3" t="n">
        <f aca="false">IFERROR(__xludf.dummyfunction("""COMPUTED_VALUE"""),45335.6666666667)</f>
        <v>45335.6666666667</v>
      </c>
      <c r="B784" s="2" t="n">
        <f aca="false">IFERROR(__xludf.dummyfunction("""COMPUTED_VALUE"""),70.4)</f>
        <v>70.4</v>
      </c>
      <c r="C784" s="2" t="n">
        <f aca="false">IFERROR(__xludf.dummyfunction("""COMPUTED_VALUE"""),73.45)</f>
        <v>73.45</v>
      </c>
      <c r="D784" s="2" t="n">
        <f aca="false">IFERROR(__xludf.dummyfunction("""COMPUTED_VALUE"""),69.62)</f>
        <v>69.62</v>
      </c>
      <c r="E784" s="2" t="n">
        <f aca="false">IFERROR(__xludf.dummyfunction("""COMPUTED_VALUE"""),72.13)</f>
        <v>72.13</v>
      </c>
      <c r="F784" s="2" t="n">
        <f aca="false">IFERROR(__xludf.dummyfunction("""COMPUTED_VALUE"""),60258015)</f>
        <v>60258015</v>
      </c>
    </row>
    <row r="785" customFormat="false" ht="15.75" hidden="false" customHeight="false" outlineLevel="0" collapsed="false">
      <c r="A785" s="3" t="n">
        <f aca="false">IFERROR(__xludf.dummyfunction("""COMPUTED_VALUE"""),45336.6666666667)</f>
        <v>45336.6666666667</v>
      </c>
      <c r="B785" s="2" t="n">
        <f aca="false">IFERROR(__xludf.dummyfunction("""COMPUTED_VALUE"""),73.2)</f>
        <v>73.2</v>
      </c>
      <c r="C785" s="2" t="n">
        <f aca="false">IFERROR(__xludf.dummyfunction("""COMPUTED_VALUE"""),74.24)</f>
        <v>74.24</v>
      </c>
      <c r="D785" s="2" t="n">
        <f aca="false">IFERROR(__xludf.dummyfunction("""COMPUTED_VALUE"""),71.94)</f>
        <v>71.94</v>
      </c>
      <c r="E785" s="2" t="n">
        <f aca="false">IFERROR(__xludf.dummyfunction("""COMPUTED_VALUE"""),73.9)</f>
        <v>73.9</v>
      </c>
      <c r="F785" s="2" t="n">
        <f aca="false">IFERROR(__xludf.dummyfunction("""COMPUTED_VALUE"""),50491742)</f>
        <v>50491742</v>
      </c>
    </row>
    <row r="786" customFormat="false" ht="15.75" hidden="false" customHeight="false" outlineLevel="0" collapsed="false">
      <c r="A786" s="3" t="n">
        <f aca="false">IFERROR(__xludf.dummyfunction("""COMPUTED_VALUE"""),45337.6666666667)</f>
        <v>45337.6666666667</v>
      </c>
      <c r="B786" s="2" t="n">
        <f aca="false">IFERROR(__xludf.dummyfunction("""COMPUTED_VALUE"""),73.87)</f>
        <v>73.87</v>
      </c>
      <c r="C786" s="2" t="n">
        <f aca="false">IFERROR(__xludf.dummyfunction("""COMPUTED_VALUE"""),73.97)</f>
        <v>73.97</v>
      </c>
      <c r="D786" s="2" t="n">
        <f aca="false">IFERROR(__xludf.dummyfunction("""COMPUTED_VALUE"""),72.4)</f>
        <v>72.4</v>
      </c>
      <c r="E786" s="2" t="n">
        <f aca="false">IFERROR(__xludf.dummyfunction("""COMPUTED_VALUE"""),72.66)</f>
        <v>72.66</v>
      </c>
      <c r="F786" s="2" t="n">
        <f aca="false">IFERROR(__xludf.dummyfunction("""COMPUTED_VALUE"""),42012181)</f>
        <v>42012181</v>
      </c>
    </row>
    <row r="787" customFormat="false" ht="15.75" hidden="false" customHeight="false" outlineLevel="0" collapsed="false">
      <c r="A787" s="3" t="n">
        <f aca="false">IFERROR(__xludf.dummyfunction("""COMPUTED_VALUE"""),45338.6666666667)</f>
        <v>45338.6666666667</v>
      </c>
      <c r="B787" s="2" t="n">
        <f aca="false">IFERROR(__xludf.dummyfunction("""COMPUTED_VALUE"""),74.1)</f>
        <v>74.1</v>
      </c>
      <c r="C787" s="2" t="n">
        <f aca="false">IFERROR(__xludf.dummyfunction("""COMPUTED_VALUE"""),74.4)</f>
        <v>74.4</v>
      </c>
      <c r="D787" s="2" t="n">
        <f aca="false">IFERROR(__xludf.dummyfunction("""COMPUTED_VALUE"""),72.5)</f>
        <v>72.5</v>
      </c>
      <c r="E787" s="2" t="n">
        <f aca="false">IFERROR(__xludf.dummyfunction("""COMPUTED_VALUE"""),72.61)</f>
        <v>72.61</v>
      </c>
      <c r="F787" s="2" t="n">
        <f aca="false">IFERROR(__xludf.dummyfunction("""COMPUTED_VALUE"""),49532662)</f>
        <v>49532662</v>
      </c>
    </row>
    <row r="788" customFormat="false" ht="15.75" hidden="false" customHeight="false" outlineLevel="0" collapsed="false">
      <c r="A788" s="3" t="n">
        <f aca="false">IFERROR(__xludf.dummyfunction("""COMPUTED_VALUE"""),45342.6666666667)</f>
        <v>45342.6666666667</v>
      </c>
      <c r="B788" s="2" t="n">
        <f aca="false">IFERROR(__xludf.dummyfunction("""COMPUTED_VALUE"""),71.95)</f>
        <v>71.95</v>
      </c>
      <c r="C788" s="2" t="n">
        <f aca="false">IFERROR(__xludf.dummyfunction("""COMPUTED_VALUE"""),71.96)</f>
        <v>71.96</v>
      </c>
      <c r="D788" s="2" t="n">
        <f aca="false">IFERROR(__xludf.dummyfunction("""COMPUTED_VALUE"""),67.73)</f>
        <v>67.73</v>
      </c>
      <c r="E788" s="2" t="n">
        <f aca="false">IFERROR(__xludf.dummyfunction("""COMPUTED_VALUE"""),69.45)</f>
        <v>69.45</v>
      </c>
      <c r="F788" s="2" t="n">
        <f aca="false">IFERROR(__xludf.dummyfunction("""COMPUTED_VALUE"""),70483310)</f>
        <v>70483310</v>
      </c>
    </row>
    <row r="789" customFormat="false" ht="15.75" hidden="false" customHeight="false" outlineLevel="0" collapsed="false">
      <c r="A789" s="3" t="n">
        <f aca="false">IFERROR(__xludf.dummyfunction("""COMPUTED_VALUE"""),45343.6666666667)</f>
        <v>45343.6666666667</v>
      </c>
      <c r="B789" s="2" t="n">
        <f aca="false">IFERROR(__xludf.dummyfunction("""COMPUTED_VALUE"""),68.01)</f>
        <v>68.01</v>
      </c>
      <c r="C789" s="2" t="n">
        <f aca="false">IFERROR(__xludf.dummyfunction("""COMPUTED_VALUE"""),68.89)</f>
        <v>68.89</v>
      </c>
      <c r="D789" s="2" t="n">
        <f aca="false">IFERROR(__xludf.dummyfunction("""COMPUTED_VALUE"""),66.25)</f>
        <v>66.25</v>
      </c>
      <c r="E789" s="2" t="n">
        <f aca="false">IFERROR(__xludf.dummyfunction("""COMPUTED_VALUE"""),67.47)</f>
        <v>67.47</v>
      </c>
      <c r="F789" s="2" t="n">
        <f aca="false">IFERROR(__xludf.dummyfunction("""COMPUTED_VALUE"""),69029813)</f>
        <v>69029813</v>
      </c>
    </row>
    <row r="790" customFormat="false" ht="15.75" hidden="false" customHeight="false" outlineLevel="0" collapsed="false">
      <c r="A790" s="3" t="n">
        <f aca="false">IFERROR(__xludf.dummyfunction("""COMPUTED_VALUE"""),45344.6666666667)</f>
        <v>45344.6666666667</v>
      </c>
      <c r="B790" s="2" t="n">
        <f aca="false">IFERROR(__xludf.dummyfunction("""COMPUTED_VALUE"""),75.03)</f>
        <v>75.03</v>
      </c>
      <c r="C790" s="2" t="n">
        <f aca="false">IFERROR(__xludf.dummyfunction("""COMPUTED_VALUE"""),78.58)</f>
        <v>78.58</v>
      </c>
      <c r="D790" s="2" t="n">
        <f aca="false">IFERROR(__xludf.dummyfunction("""COMPUTED_VALUE"""),74.22)</f>
        <v>74.22</v>
      </c>
      <c r="E790" s="2" t="n">
        <f aca="false">IFERROR(__xludf.dummyfunction("""COMPUTED_VALUE"""),78.54)</f>
        <v>78.54</v>
      </c>
      <c r="F790" s="2" t="n">
        <f aca="false">IFERROR(__xludf.dummyfunction("""COMPUTED_VALUE"""),86509974)</f>
        <v>86509974</v>
      </c>
    </row>
    <row r="791" customFormat="false" ht="15.75" hidden="false" customHeight="false" outlineLevel="0" collapsed="false">
      <c r="A791" s="3" t="n">
        <f aca="false">IFERROR(__xludf.dummyfunction("""COMPUTED_VALUE"""),45345.6666666667)</f>
        <v>45345.6666666667</v>
      </c>
      <c r="B791" s="2" t="n">
        <f aca="false">IFERROR(__xludf.dummyfunction("""COMPUTED_VALUE"""),80.79)</f>
        <v>80.79</v>
      </c>
      <c r="C791" s="2" t="n">
        <f aca="false">IFERROR(__xludf.dummyfunction("""COMPUTED_VALUE"""),82.39)</f>
        <v>82.39</v>
      </c>
      <c r="D791" s="2" t="n">
        <f aca="false">IFERROR(__xludf.dummyfunction("""COMPUTED_VALUE"""),77.57)</f>
        <v>77.57</v>
      </c>
      <c r="E791" s="2" t="n">
        <f aca="false">IFERROR(__xludf.dummyfunction("""COMPUTED_VALUE"""),78.82)</f>
        <v>78.82</v>
      </c>
      <c r="F791" s="2" t="n">
        <f aca="false">IFERROR(__xludf.dummyfunction("""COMPUTED_VALUE"""),82938837)</f>
        <v>82938837</v>
      </c>
    </row>
    <row r="792" customFormat="false" ht="15.75" hidden="false" customHeight="false" outlineLevel="0" collapsed="false">
      <c r="A792" s="3" t="n">
        <f aca="false">IFERROR(__xludf.dummyfunction("""COMPUTED_VALUE"""),45348.6666666667)</f>
        <v>45348.6666666667</v>
      </c>
      <c r="B792" s="2" t="n">
        <f aca="false">IFERROR(__xludf.dummyfunction("""COMPUTED_VALUE"""),79.7)</f>
        <v>79.7</v>
      </c>
      <c r="C792" s="2" t="n">
        <f aca="false">IFERROR(__xludf.dummyfunction("""COMPUTED_VALUE"""),80.65)</f>
        <v>80.65</v>
      </c>
      <c r="D792" s="2" t="n">
        <f aca="false">IFERROR(__xludf.dummyfunction("""COMPUTED_VALUE"""),78.51)</f>
        <v>78.51</v>
      </c>
      <c r="E792" s="2" t="n">
        <f aca="false">IFERROR(__xludf.dummyfunction("""COMPUTED_VALUE"""),79.09)</f>
        <v>79.09</v>
      </c>
      <c r="F792" s="2" t="n">
        <f aca="false">IFERROR(__xludf.dummyfunction("""COMPUTED_VALUE"""),50397273)</f>
        <v>50397273</v>
      </c>
    </row>
    <row r="793" customFormat="false" ht="15.75" hidden="false" customHeight="false" outlineLevel="0" collapsed="false">
      <c r="A793" s="3" t="n">
        <f aca="false">IFERROR(__xludf.dummyfunction("""COMPUTED_VALUE"""),45349.6666666667)</f>
        <v>45349.6666666667</v>
      </c>
      <c r="B793" s="2" t="n">
        <f aca="false">IFERROR(__xludf.dummyfunction("""COMPUTED_VALUE"""),79.38)</f>
        <v>79.38</v>
      </c>
      <c r="C793" s="2" t="n">
        <f aca="false">IFERROR(__xludf.dummyfunction("""COMPUTED_VALUE"""),79.48)</f>
        <v>79.48</v>
      </c>
      <c r="D793" s="2" t="n">
        <f aca="false">IFERROR(__xludf.dummyfunction("""COMPUTED_VALUE"""),77.16)</f>
        <v>77.16</v>
      </c>
      <c r="E793" s="2" t="n">
        <f aca="false">IFERROR(__xludf.dummyfunction("""COMPUTED_VALUE"""),78.7)</f>
        <v>78.7</v>
      </c>
      <c r="F793" s="2" t="n">
        <f aca="false">IFERROR(__xludf.dummyfunction("""COMPUTED_VALUE"""),39170524)</f>
        <v>39170524</v>
      </c>
    </row>
    <row r="794" customFormat="false" ht="15.75" hidden="false" customHeight="false" outlineLevel="0" collapsed="false">
      <c r="A794" s="3" t="n">
        <f aca="false">IFERROR(__xludf.dummyfunction("""COMPUTED_VALUE"""),45350.6666666667)</f>
        <v>45350.6666666667</v>
      </c>
      <c r="B794" s="2" t="n">
        <f aca="false">IFERROR(__xludf.dummyfunction("""COMPUTED_VALUE"""),77.62)</f>
        <v>77.62</v>
      </c>
      <c r="C794" s="2" t="n">
        <f aca="false">IFERROR(__xludf.dummyfunction("""COMPUTED_VALUE"""),78.93)</f>
        <v>78.93</v>
      </c>
      <c r="D794" s="2" t="n">
        <f aca="false">IFERROR(__xludf.dummyfunction("""COMPUTED_VALUE"""),77.13)</f>
        <v>77.13</v>
      </c>
      <c r="E794" s="2" t="n">
        <f aca="false">IFERROR(__xludf.dummyfunction("""COMPUTED_VALUE"""),77.66)</f>
        <v>77.66</v>
      </c>
      <c r="F794" s="2" t="n">
        <f aca="false">IFERROR(__xludf.dummyfunction("""COMPUTED_VALUE"""),39311040)</f>
        <v>39311040</v>
      </c>
    </row>
    <row r="795" customFormat="false" ht="15.75" hidden="false" customHeight="false" outlineLevel="0" collapsed="false">
      <c r="A795" s="3" t="n">
        <f aca="false">IFERROR(__xludf.dummyfunction("""COMPUTED_VALUE"""),45351.6666666667)</f>
        <v>45351.6666666667</v>
      </c>
      <c r="B795" s="2" t="n">
        <f aca="false">IFERROR(__xludf.dummyfunction("""COMPUTED_VALUE"""),79.09)</f>
        <v>79.09</v>
      </c>
      <c r="C795" s="2" t="n">
        <f aca="false">IFERROR(__xludf.dummyfunction("""COMPUTED_VALUE"""),79.99)</f>
        <v>79.99</v>
      </c>
      <c r="D795" s="2" t="n">
        <f aca="false">IFERROR(__xludf.dummyfunction("""COMPUTED_VALUE"""),78.35)</f>
        <v>78.35</v>
      </c>
      <c r="E795" s="2" t="n">
        <f aca="false">IFERROR(__xludf.dummyfunction("""COMPUTED_VALUE"""),79.11)</f>
        <v>79.11</v>
      </c>
      <c r="F795" s="2" t="n">
        <f aca="false">IFERROR(__xludf.dummyfunction("""COMPUTED_VALUE"""),50728898)</f>
        <v>50728898</v>
      </c>
    </row>
    <row r="796" customFormat="false" ht="15.75" hidden="false" customHeight="false" outlineLevel="0" collapsed="false">
      <c r="A796" s="3" t="n">
        <f aca="false">IFERROR(__xludf.dummyfunction("""COMPUTED_VALUE"""),45352.6666666667)</f>
        <v>45352.6666666667</v>
      </c>
      <c r="B796" s="2" t="n">
        <f aca="false">IFERROR(__xludf.dummyfunction("""COMPUTED_VALUE"""),80)</f>
        <v>80</v>
      </c>
      <c r="C796" s="2" t="n">
        <f aca="false">IFERROR(__xludf.dummyfunction("""COMPUTED_VALUE"""),82.3)</f>
        <v>82.3</v>
      </c>
      <c r="D796" s="2" t="n">
        <f aca="false">IFERROR(__xludf.dummyfunction("""COMPUTED_VALUE"""),79.44)</f>
        <v>79.44</v>
      </c>
      <c r="E796" s="2" t="n">
        <f aca="false">IFERROR(__xludf.dummyfunction("""COMPUTED_VALUE"""),82.28)</f>
        <v>82.28</v>
      </c>
      <c r="F796" s="2" t="n">
        <f aca="false">IFERROR(__xludf.dummyfunction("""COMPUTED_VALUE"""),47913510)</f>
        <v>47913510</v>
      </c>
    </row>
    <row r="797" customFormat="false" ht="15.75" hidden="false" customHeight="false" outlineLevel="0" collapsed="false">
      <c r="A797" s="3" t="n">
        <f aca="false">IFERROR(__xludf.dummyfunction("""COMPUTED_VALUE"""),45355.6666666667)</f>
        <v>45355.6666666667</v>
      </c>
      <c r="B797" s="2" t="n">
        <f aca="false">IFERROR(__xludf.dummyfunction("""COMPUTED_VALUE"""),84.13)</f>
        <v>84.13</v>
      </c>
      <c r="C797" s="2" t="n">
        <f aca="false">IFERROR(__xludf.dummyfunction("""COMPUTED_VALUE"""),87.7)</f>
        <v>87.7</v>
      </c>
      <c r="D797" s="2" t="n">
        <f aca="false">IFERROR(__xludf.dummyfunction("""COMPUTED_VALUE"""),83.72)</f>
        <v>83.72</v>
      </c>
      <c r="E797" s="2" t="n">
        <f aca="false">IFERROR(__xludf.dummyfunction("""COMPUTED_VALUE"""),85.24)</f>
        <v>85.24</v>
      </c>
      <c r="F797" s="2" t="n">
        <f aca="false">IFERROR(__xludf.dummyfunction("""COMPUTED_VALUE"""),61561645)</f>
        <v>61561645</v>
      </c>
    </row>
    <row r="798" customFormat="false" ht="15.75" hidden="false" customHeight="false" outlineLevel="0" collapsed="false">
      <c r="A798" s="3" t="n">
        <f aca="false">IFERROR(__xludf.dummyfunction("""COMPUTED_VALUE"""),45356.6666666667)</f>
        <v>45356.6666666667</v>
      </c>
      <c r="B798" s="2" t="n">
        <f aca="false">IFERROR(__xludf.dummyfunction("""COMPUTED_VALUE"""),85.27)</f>
        <v>85.27</v>
      </c>
      <c r="C798" s="2" t="n">
        <f aca="false">IFERROR(__xludf.dummyfunction("""COMPUTED_VALUE"""),86.1)</f>
        <v>86.1</v>
      </c>
      <c r="D798" s="2" t="n">
        <f aca="false">IFERROR(__xludf.dummyfunction("""COMPUTED_VALUE"""),83.42)</f>
        <v>83.42</v>
      </c>
      <c r="E798" s="2" t="n">
        <f aca="false">IFERROR(__xludf.dummyfunction("""COMPUTED_VALUE"""),85.96)</f>
        <v>85.96</v>
      </c>
      <c r="F798" s="2" t="n">
        <f aca="false">IFERROR(__xludf.dummyfunction("""COMPUTED_VALUE"""),52063930)</f>
        <v>52063930</v>
      </c>
    </row>
    <row r="799" customFormat="false" ht="15.75" hidden="false" customHeight="false" outlineLevel="0" collapsed="false">
      <c r="A799" s="3" t="n">
        <f aca="false">IFERROR(__xludf.dummyfunction("""COMPUTED_VALUE"""),45357.6666666667)</f>
        <v>45357.6666666667</v>
      </c>
      <c r="B799" s="2" t="n">
        <f aca="false">IFERROR(__xludf.dummyfunction("""COMPUTED_VALUE"""),88.02)</f>
        <v>88.02</v>
      </c>
      <c r="C799" s="2" t="n">
        <f aca="false">IFERROR(__xludf.dummyfunction("""COMPUTED_VALUE"""),89.72)</f>
        <v>89.72</v>
      </c>
      <c r="D799" s="2" t="n">
        <f aca="false">IFERROR(__xludf.dummyfunction("""COMPUTED_VALUE"""),87.03)</f>
        <v>87.03</v>
      </c>
      <c r="E799" s="2" t="n">
        <f aca="false">IFERROR(__xludf.dummyfunction("""COMPUTED_VALUE"""),88.7)</f>
        <v>88.7</v>
      </c>
      <c r="F799" s="2" t="n">
        <f aca="false">IFERROR(__xludf.dummyfunction("""COMPUTED_VALUE"""),58252030)</f>
        <v>58252030</v>
      </c>
    </row>
    <row r="800" customFormat="false" ht="15.75" hidden="false" customHeight="false" outlineLevel="0" collapsed="false">
      <c r="A800" s="3" t="n">
        <f aca="false">IFERROR(__xludf.dummyfunction("""COMPUTED_VALUE"""),45358.6666666667)</f>
        <v>45358.6666666667</v>
      </c>
      <c r="B800" s="2" t="n">
        <f aca="false">IFERROR(__xludf.dummyfunction("""COMPUTED_VALUE"""),90.16)</f>
        <v>90.16</v>
      </c>
      <c r="C800" s="2" t="n">
        <f aca="false">IFERROR(__xludf.dummyfunction("""COMPUTED_VALUE"""),92.77)</f>
        <v>92.77</v>
      </c>
      <c r="D800" s="2" t="n">
        <f aca="false">IFERROR(__xludf.dummyfunction("""COMPUTED_VALUE"""),89.6)</f>
        <v>89.6</v>
      </c>
      <c r="E800" s="2" t="n">
        <f aca="false">IFERROR(__xludf.dummyfunction("""COMPUTED_VALUE"""),92.67)</f>
        <v>92.67</v>
      </c>
      <c r="F800" s="2" t="n">
        <f aca="false">IFERROR(__xludf.dummyfunction("""COMPUTED_VALUE"""),60811916)</f>
        <v>60811916</v>
      </c>
    </row>
    <row r="801" customFormat="false" ht="15.75" hidden="false" customHeight="false" outlineLevel="0" collapsed="false">
      <c r="A801" s="3" t="n">
        <f aca="false">IFERROR(__xludf.dummyfunction("""COMPUTED_VALUE"""),45359.6666666667)</f>
        <v>45359.6666666667</v>
      </c>
      <c r="B801" s="2" t="n">
        <f aca="false">IFERROR(__xludf.dummyfunction("""COMPUTED_VALUE"""),95.14)</f>
        <v>95.14</v>
      </c>
      <c r="C801" s="2" t="n">
        <f aca="false">IFERROR(__xludf.dummyfunction("""COMPUTED_VALUE"""),97.4)</f>
        <v>97.4</v>
      </c>
      <c r="D801" s="2" t="n">
        <f aca="false">IFERROR(__xludf.dummyfunction("""COMPUTED_VALUE"""),86.51)</f>
        <v>86.51</v>
      </c>
      <c r="E801" s="2" t="n">
        <f aca="false">IFERROR(__xludf.dummyfunction("""COMPUTED_VALUE"""),87.53)</f>
        <v>87.53</v>
      </c>
      <c r="F801" s="2" t="n">
        <f aca="false">IFERROR(__xludf.dummyfunction("""COMPUTED_VALUE"""),114226906)</f>
        <v>114226906</v>
      </c>
    </row>
    <row r="802" customFormat="false" ht="15.75" hidden="false" customHeight="false" outlineLevel="0" collapsed="false">
      <c r="A802" s="3" t="n">
        <f aca="false">IFERROR(__xludf.dummyfunction("""COMPUTED_VALUE"""),45362.6666666667)</f>
        <v>45362.6666666667</v>
      </c>
      <c r="B802" s="2" t="n">
        <f aca="false">IFERROR(__xludf.dummyfunction("""COMPUTED_VALUE"""),86.43)</f>
        <v>86.43</v>
      </c>
      <c r="C802" s="2" t="n">
        <f aca="false">IFERROR(__xludf.dummyfunction("""COMPUTED_VALUE"""),88.8)</f>
        <v>88.8</v>
      </c>
      <c r="D802" s="2" t="n">
        <f aca="false">IFERROR(__xludf.dummyfunction("""COMPUTED_VALUE"""),84.17)</f>
        <v>84.17</v>
      </c>
      <c r="E802" s="2" t="n">
        <f aca="false">IFERROR(__xludf.dummyfunction("""COMPUTED_VALUE"""),85.77)</f>
        <v>85.77</v>
      </c>
      <c r="F802" s="2" t="n">
        <f aca="false">IFERROR(__xludf.dummyfunction("""COMPUTED_VALUE"""),67836412)</f>
        <v>67836412</v>
      </c>
    </row>
    <row r="803" customFormat="false" ht="15.75" hidden="false" customHeight="false" outlineLevel="0" collapsed="false">
      <c r="A803" s="3" t="n">
        <f aca="false">IFERROR(__xludf.dummyfunction("""COMPUTED_VALUE"""),45363.6666666667)</f>
        <v>45363.6666666667</v>
      </c>
      <c r="B803" s="2" t="n">
        <f aca="false">IFERROR(__xludf.dummyfunction("""COMPUTED_VALUE"""),88.05)</f>
        <v>88.05</v>
      </c>
      <c r="C803" s="2" t="n">
        <f aca="false">IFERROR(__xludf.dummyfunction("""COMPUTED_VALUE"""),91.96)</f>
        <v>91.96</v>
      </c>
      <c r="D803" s="2" t="n">
        <f aca="false">IFERROR(__xludf.dummyfunction("""COMPUTED_VALUE"""),86.15)</f>
        <v>86.15</v>
      </c>
      <c r="E803" s="2" t="n">
        <f aca="false">IFERROR(__xludf.dummyfunction("""COMPUTED_VALUE"""),91.91)</f>
        <v>91.91</v>
      </c>
      <c r="F803" s="2" t="n">
        <f aca="false">IFERROR(__xludf.dummyfunction("""COMPUTED_VALUE"""),66807515)</f>
        <v>66807515</v>
      </c>
    </row>
    <row r="804" customFormat="false" ht="15.75" hidden="false" customHeight="false" outlineLevel="0" collapsed="false">
      <c r="A804" s="3" t="n">
        <f aca="false">IFERROR(__xludf.dummyfunction("""COMPUTED_VALUE"""),45364.6666666667)</f>
        <v>45364.6666666667</v>
      </c>
      <c r="B804" s="2" t="n">
        <f aca="false">IFERROR(__xludf.dummyfunction("""COMPUTED_VALUE"""),91.06)</f>
        <v>91.06</v>
      </c>
      <c r="C804" s="2" t="n">
        <f aca="false">IFERROR(__xludf.dummyfunction("""COMPUTED_VALUE"""),91.5)</f>
        <v>91.5</v>
      </c>
      <c r="D804" s="2" t="n">
        <f aca="false">IFERROR(__xludf.dummyfunction("""COMPUTED_VALUE"""),88.44)</f>
        <v>88.44</v>
      </c>
      <c r="E804" s="2" t="n">
        <f aca="false">IFERROR(__xludf.dummyfunction("""COMPUTED_VALUE"""),90.89)</f>
        <v>90.89</v>
      </c>
      <c r="F804" s="2" t="n">
        <f aca="false">IFERROR(__xludf.dummyfunction("""COMPUTED_VALUE"""),63571289)</f>
        <v>63571289</v>
      </c>
    </row>
    <row r="805" customFormat="false" ht="15.75" hidden="false" customHeight="false" outlineLevel="0" collapsed="false">
      <c r="A805" s="3" t="n">
        <f aca="false">IFERROR(__xludf.dummyfunction("""COMPUTED_VALUE"""),45365.6666666667)</f>
        <v>45365.6666666667</v>
      </c>
      <c r="B805" s="2" t="n">
        <f aca="false">IFERROR(__xludf.dummyfunction("""COMPUTED_VALUE"""),89.58)</f>
        <v>89.58</v>
      </c>
      <c r="C805" s="2" t="n">
        <f aca="false">IFERROR(__xludf.dummyfunction("""COMPUTED_VALUE"""),90.65)</f>
        <v>90.65</v>
      </c>
      <c r="D805" s="2" t="n">
        <f aca="false">IFERROR(__xludf.dummyfunction("""COMPUTED_VALUE"""),86.6)</f>
        <v>86.6</v>
      </c>
      <c r="E805" s="2" t="n">
        <f aca="false">IFERROR(__xludf.dummyfunction("""COMPUTED_VALUE"""),87.94)</f>
        <v>87.94</v>
      </c>
      <c r="F805" s="2" t="n">
        <f aca="false">IFERROR(__xludf.dummyfunction("""COMPUTED_VALUE"""),60231816)</f>
        <v>60231816</v>
      </c>
    </row>
    <row r="806" customFormat="false" ht="15.75" hidden="false" customHeight="false" outlineLevel="0" collapsed="false">
      <c r="A806" s="3" t="n">
        <f aca="false">IFERROR(__xludf.dummyfunction("""COMPUTED_VALUE"""),45366.6666666667)</f>
        <v>45366.6666666667</v>
      </c>
      <c r="B806" s="2" t="n">
        <f aca="false">IFERROR(__xludf.dummyfunction("""COMPUTED_VALUE"""),86.93)</f>
        <v>86.93</v>
      </c>
      <c r="C806" s="2" t="n">
        <f aca="false">IFERROR(__xludf.dummyfunction("""COMPUTED_VALUE"""),89.55)</f>
        <v>89.55</v>
      </c>
      <c r="D806" s="2" t="n">
        <f aca="false">IFERROR(__xludf.dummyfunction("""COMPUTED_VALUE"""),86.26)</f>
        <v>86.26</v>
      </c>
      <c r="E806" s="2" t="n">
        <f aca="false">IFERROR(__xludf.dummyfunction("""COMPUTED_VALUE"""),87.84)</f>
        <v>87.84</v>
      </c>
      <c r="F806" s="2" t="n">
        <f aca="false">IFERROR(__xludf.dummyfunction("""COMPUTED_VALUE"""),64208616)</f>
        <v>64208616</v>
      </c>
    </row>
    <row r="807" customFormat="false" ht="15.75" hidden="false" customHeight="false" outlineLevel="0" collapsed="false">
      <c r="A807" s="3" t="n">
        <f aca="false">IFERROR(__xludf.dummyfunction("""COMPUTED_VALUE"""),45369.6666666667)</f>
        <v>45369.6666666667</v>
      </c>
      <c r="B807" s="2" t="n">
        <f aca="false">IFERROR(__xludf.dummyfunction("""COMPUTED_VALUE"""),90.39)</f>
        <v>90.39</v>
      </c>
      <c r="C807" s="2" t="n">
        <f aca="false">IFERROR(__xludf.dummyfunction("""COMPUTED_VALUE"""),92.41)</f>
        <v>92.41</v>
      </c>
      <c r="D807" s="2" t="n">
        <f aca="false">IFERROR(__xludf.dummyfunction("""COMPUTED_VALUE"""),87.09)</f>
        <v>87.09</v>
      </c>
      <c r="E807" s="2" t="n">
        <f aca="false">IFERROR(__xludf.dummyfunction("""COMPUTED_VALUE"""),88.46)</f>
        <v>88.46</v>
      </c>
      <c r="F807" s="2" t="n">
        <f aca="false">IFERROR(__xludf.dummyfunction("""COMPUTED_VALUE"""),66897593)</f>
        <v>66897593</v>
      </c>
    </row>
    <row r="808" customFormat="false" ht="15.75" hidden="false" customHeight="false" outlineLevel="0" collapsed="false">
      <c r="A808" s="3" t="n">
        <f aca="false">IFERROR(__xludf.dummyfunction("""COMPUTED_VALUE"""),45370.6666666667)</f>
        <v>45370.6666666667</v>
      </c>
      <c r="B808" s="2" t="n">
        <f aca="false">IFERROR(__xludf.dummyfunction("""COMPUTED_VALUE"""),86.7)</f>
        <v>86.7</v>
      </c>
      <c r="C808" s="2" t="n">
        <f aca="false">IFERROR(__xludf.dummyfunction("""COMPUTED_VALUE"""),90.54)</f>
        <v>90.54</v>
      </c>
      <c r="D808" s="2" t="n">
        <f aca="false">IFERROR(__xludf.dummyfunction("""COMPUTED_VALUE"""),85.01)</f>
        <v>85.01</v>
      </c>
      <c r="E808" s="2" t="n">
        <f aca="false">IFERROR(__xludf.dummyfunction("""COMPUTED_VALUE"""),89.4)</f>
        <v>89.4</v>
      </c>
      <c r="F808" s="2" t="n">
        <f aca="false">IFERROR(__xludf.dummyfunction("""COMPUTED_VALUE"""),67217127)</f>
        <v>67217127</v>
      </c>
    </row>
    <row r="809" customFormat="false" ht="15.75" hidden="false" customHeight="false" outlineLevel="0" collapsed="false">
      <c r="A809" s="3" t="n">
        <f aca="false">IFERROR(__xludf.dummyfunction("""COMPUTED_VALUE"""),45371.6666666667)</f>
        <v>45371.6666666667</v>
      </c>
      <c r="B809" s="2" t="n">
        <f aca="false">IFERROR(__xludf.dummyfunction("""COMPUTED_VALUE"""),89.8)</f>
        <v>89.8</v>
      </c>
      <c r="C809" s="2" t="n">
        <f aca="false">IFERROR(__xludf.dummyfunction("""COMPUTED_VALUE"""),90.41)</f>
        <v>90.41</v>
      </c>
      <c r="D809" s="2" t="n">
        <f aca="false">IFERROR(__xludf.dummyfunction("""COMPUTED_VALUE"""),88.22)</f>
        <v>88.22</v>
      </c>
      <c r="E809" s="2" t="n">
        <f aca="false">IFERROR(__xludf.dummyfunction("""COMPUTED_VALUE"""),90.37)</f>
        <v>90.37</v>
      </c>
      <c r="F809" s="2" t="n">
        <f aca="false">IFERROR(__xludf.dummyfunction("""COMPUTED_VALUE"""),47906279)</f>
        <v>47906279</v>
      </c>
    </row>
    <row r="810" customFormat="false" ht="15.75" hidden="false" customHeight="false" outlineLevel="0" collapsed="false">
      <c r="A810" s="3" t="n">
        <f aca="false">IFERROR(__xludf.dummyfunction("""COMPUTED_VALUE"""),45372.6666666667)</f>
        <v>45372.6666666667</v>
      </c>
      <c r="B810" s="2" t="n">
        <f aca="false">IFERROR(__xludf.dummyfunction("""COMPUTED_VALUE"""),92.3)</f>
        <v>92.3</v>
      </c>
      <c r="C810" s="2" t="n">
        <f aca="false">IFERROR(__xludf.dummyfunction("""COMPUTED_VALUE"""),92.65)</f>
        <v>92.65</v>
      </c>
      <c r="D810" s="2" t="n">
        <f aca="false">IFERROR(__xludf.dummyfunction("""COMPUTED_VALUE"""),90.41)</f>
        <v>90.41</v>
      </c>
      <c r="E810" s="2" t="n">
        <f aca="false">IFERROR(__xludf.dummyfunction("""COMPUTED_VALUE"""),91.44)</f>
        <v>91.44</v>
      </c>
      <c r="F810" s="2" t="n">
        <f aca="false">IFERROR(__xludf.dummyfunction("""COMPUTED_VALUE"""),48037231)</f>
        <v>48037231</v>
      </c>
    </row>
    <row r="811" customFormat="false" ht="15.75" hidden="false" customHeight="false" outlineLevel="0" collapsed="false">
      <c r="A811" s="3" t="n">
        <f aca="false">IFERROR(__xludf.dummyfunction("""COMPUTED_VALUE"""),45373.6666666667)</f>
        <v>45373.6666666667</v>
      </c>
      <c r="B811" s="2" t="n">
        <f aca="false">IFERROR(__xludf.dummyfunction("""COMPUTED_VALUE"""),91.14)</f>
        <v>91.14</v>
      </c>
      <c r="C811" s="2" t="n">
        <f aca="false">IFERROR(__xludf.dummyfunction("""COMPUTED_VALUE"""),94.78)</f>
        <v>94.78</v>
      </c>
      <c r="D811" s="2" t="n">
        <f aca="false">IFERROR(__xludf.dummyfunction("""COMPUTED_VALUE"""),90.83)</f>
        <v>90.83</v>
      </c>
      <c r="E811" s="2" t="n">
        <f aca="false">IFERROR(__xludf.dummyfunction("""COMPUTED_VALUE"""),94.29)</f>
        <v>94.29</v>
      </c>
      <c r="F811" s="2" t="n">
        <f aca="false">IFERROR(__xludf.dummyfunction("""COMPUTED_VALUE"""),58671936)</f>
        <v>58671936</v>
      </c>
    </row>
    <row r="812" customFormat="false" ht="15.75" hidden="false" customHeight="false" outlineLevel="0" collapsed="false">
      <c r="A812" s="3" t="n">
        <f aca="false">IFERROR(__xludf.dummyfunction("""COMPUTED_VALUE"""),45376.6666666667)</f>
        <v>45376.6666666667</v>
      </c>
      <c r="B812" s="2" t="n">
        <f aca="false">IFERROR(__xludf.dummyfunction("""COMPUTED_VALUE"""),93.94)</f>
        <v>93.94</v>
      </c>
      <c r="C812" s="2" t="n">
        <f aca="false">IFERROR(__xludf.dummyfunction("""COMPUTED_VALUE"""),96.77)</f>
        <v>96.77</v>
      </c>
      <c r="D812" s="2" t="n">
        <f aca="false">IFERROR(__xludf.dummyfunction("""COMPUTED_VALUE"""),93.51)</f>
        <v>93.51</v>
      </c>
      <c r="E812" s="2" t="n">
        <f aca="false">IFERROR(__xludf.dummyfunction("""COMPUTED_VALUE"""),95)</f>
        <v>95</v>
      </c>
      <c r="F812" s="2" t="n">
        <f aca="false">IFERROR(__xludf.dummyfunction("""COMPUTED_VALUE"""),55213608)</f>
        <v>55213608</v>
      </c>
    </row>
    <row r="813" customFormat="false" ht="15.75" hidden="false" customHeight="false" outlineLevel="0" collapsed="false">
      <c r="A813" s="3" t="n">
        <f aca="false">IFERROR(__xludf.dummyfunction("""COMPUTED_VALUE"""),45377.6666666667)</f>
        <v>45377.6666666667</v>
      </c>
      <c r="B813" s="2" t="n">
        <f aca="false">IFERROR(__xludf.dummyfunction("""COMPUTED_VALUE"""),95.85)</f>
        <v>95.85</v>
      </c>
      <c r="C813" s="2" t="n">
        <f aca="false">IFERROR(__xludf.dummyfunction("""COMPUTED_VALUE"""),96.38)</f>
        <v>96.38</v>
      </c>
      <c r="D813" s="2" t="n">
        <f aca="false">IFERROR(__xludf.dummyfunction("""COMPUTED_VALUE"""),92.5)</f>
        <v>92.5</v>
      </c>
      <c r="E813" s="2" t="n">
        <f aca="false">IFERROR(__xludf.dummyfunction("""COMPUTED_VALUE"""),92.56)</f>
        <v>92.56</v>
      </c>
      <c r="F813" s="2" t="n">
        <f aca="false">IFERROR(__xludf.dummyfunction("""COMPUTED_VALUE"""),51364758)</f>
        <v>51364758</v>
      </c>
    </row>
    <row r="814" customFormat="false" ht="15.75" hidden="false" customHeight="false" outlineLevel="0" collapsed="false">
      <c r="A814" s="3" t="n">
        <f aca="false">IFERROR(__xludf.dummyfunction("""COMPUTED_VALUE"""),45378.6666666667)</f>
        <v>45378.6666666667</v>
      </c>
      <c r="B814" s="2" t="n">
        <f aca="false">IFERROR(__xludf.dummyfunction("""COMPUTED_VALUE"""),93.11)</f>
        <v>93.11</v>
      </c>
      <c r="C814" s="2" t="n">
        <f aca="false">IFERROR(__xludf.dummyfunction("""COMPUTED_VALUE"""),93.24)</f>
        <v>93.24</v>
      </c>
      <c r="D814" s="2" t="n">
        <f aca="false">IFERROR(__xludf.dummyfunction("""COMPUTED_VALUE"""),89.12)</f>
        <v>89.12</v>
      </c>
      <c r="E814" s="2" t="n">
        <f aca="false">IFERROR(__xludf.dummyfunction("""COMPUTED_VALUE"""),90.25)</f>
        <v>90.25</v>
      </c>
      <c r="F814" s="2" t="n">
        <f aca="false">IFERROR(__xludf.dummyfunction("""COMPUTED_VALUE"""),58606723)</f>
        <v>58606723</v>
      </c>
    </row>
    <row r="815" customFormat="false" ht="15.75" hidden="false" customHeight="false" outlineLevel="0" collapsed="false">
      <c r="A815" s="3" t="n">
        <f aca="false">IFERROR(__xludf.dummyfunction("""COMPUTED_VALUE"""),45379.6666666667)</f>
        <v>45379.6666666667</v>
      </c>
      <c r="B815" s="2" t="n">
        <f aca="false">IFERROR(__xludf.dummyfunction("""COMPUTED_VALUE"""),90)</f>
        <v>90</v>
      </c>
      <c r="C815" s="2" t="n">
        <f aca="false">IFERROR(__xludf.dummyfunction("""COMPUTED_VALUE"""),91.3)</f>
        <v>91.3</v>
      </c>
      <c r="D815" s="2" t="n">
        <f aca="false">IFERROR(__xludf.dummyfunction("""COMPUTED_VALUE"""),89.19)</f>
        <v>89.19</v>
      </c>
      <c r="E815" s="2" t="n">
        <f aca="false">IFERROR(__xludf.dummyfunction("""COMPUTED_VALUE"""),90.36)</f>
        <v>90.36</v>
      </c>
      <c r="F815" s="2" t="n">
        <f aca="false">IFERROR(__xludf.dummyfunction("""COMPUTED_VALUE"""),43521227)</f>
        <v>43521227</v>
      </c>
    </row>
    <row r="816" customFormat="false" ht="15.75" hidden="false" customHeight="false" outlineLevel="0" collapsed="false">
      <c r="A816" s="3" t="n">
        <f aca="false">IFERROR(__xludf.dummyfunction("""COMPUTED_VALUE"""),45383.6666666667)</f>
        <v>45383.6666666667</v>
      </c>
      <c r="B816" s="2" t="n">
        <f aca="false">IFERROR(__xludf.dummyfunction("""COMPUTED_VALUE"""),90.3)</f>
        <v>90.3</v>
      </c>
      <c r="C816" s="2" t="n">
        <f aca="false">IFERROR(__xludf.dummyfunction("""COMPUTED_VALUE"""),92.23)</f>
        <v>92.23</v>
      </c>
      <c r="D816" s="2" t="n">
        <f aca="false">IFERROR(__xludf.dummyfunction("""COMPUTED_VALUE"""),89.2)</f>
        <v>89.2</v>
      </c>
      <c r="E816" s="2" t="n">
        <f aca="false">IFERROR(__xludf.dummyfunction("""COMPUTED_VALUE"""),90.36)</f>
        <v>90.36</v>
      </c>
      <c r="F816" s="2" t="n">
        <f aca="false">IFERROR(__xludf.dummyfunction("""COMPUTED_VALUE"""),45244149)</f>
        <v>45244149</v>
      </c>
    </row>
    <row r="817" customFormat="false" ht="15.75" hidden="false" customHeight="false" outlineLevel="0" collapsed="false">
      <c r="A817" s="3" t="n">
        <f aca="false">IFERROR(__xludf.dummyfunction("""COMPUTED_VALUE"""),45384.6666666667)</f>
        <v>45384.6666666667</v>
      </c>
      <c r="B817" s="2" t="n">
        <f aca="false">IFERROR(__xludf.dummyfunction("""COMPUTED_VALUE"""),88.45)</f>
        <v>88.45</v>
      </c>
      <c r="C817" s="2" t="n">
        <f aca="false">IFERROR(__xludf.dummyfunction("""COMPUTED_VALUE"""),90.09)</f>
        <v>90.09</v>
      </c>
      <c r="D817" s="2" t="n">
        <f aca="false">IFERROR(__xludf.dummyfunction("""COMPUTED_VALUE"""),87.62)</f>
        <v>87.62</v>
      </c>
      <c r="E817" s="2" t="n">
        <f aca="false">IFERROR(__xludf.dummyfunction("""COMPUTED_VALUE"""),89.45)</f>
        <v>89.45</v>
      </c>
      <c r="F817" s="2" t="n">
        <f aca="false">IFERROR(__xludf.dummyfunction("""COMPUTED_VALUE"""),43306355)</f>
        <v>43306355</v>
      </c>
    </row>
    <row r="818" customFormat="false" ht="15.75" hidden="false" customHeight="false" outlineLevel="0" collapsed="false">
      <c r="A818" s="3" t="n">
        <f aca="false">IFERROR(__xludf.dummyfunction("""COMPUTED_VALUE"""),45385.6666666667)</f>
        <v>45385.6666666667</v>
      </c>
      <c r="B818" s="2" t="n">
        <f aca="false">IFERROR(__xludf.dummyfunction("""COMPUTED_VALUE"""),88.48)</f>
        <v>88.48</v>
      </c>
      <c r="C818" s="2" t="n">
        <f aca="false">IFERROR(__xludf.dummyfunction("""COMPUTED_VALUE"""),90.37)</f>
        <v>90.37</v>
      </c>
      <c r="D818" s="2" t="n">
        <f aca="false">IFERROR(__xludf.dummyfunction("""COMPUTED_VALUE"""),88.4)</f>
        <v>88.4</v>
      </c>
      <c r="E818" s="2" t="n">
        <f aca="false">IFERROR(__xludf.dummyfunction("""COMPUTED_VALUE"""),88.96)</f>
        <v>88.96</v>
      </c>
      <c r="F818" s="2" t="n">
        <f aca="false">IFERROR(__xludf.dummyfunction("""COMPUTED_VALUE"""),37006655)</f>
        <v>37006655</v>
      </c>
    </row>
    <row r="819" customFormat="false" ht="15.75" hidden="false" customHeight="false" outlineLevel="0" collapsed="false">
      <c r="A819" s="3" t="n">
        <f aca="false">IFERROR(__xludf.dummyfunction("""COMPUTED_VALUE"""),45386.6666666667)</f>
        <v>45386.6666666667</v>
      </c>
      <c r="B819" s="2" t="n">
        <f aca="false">IFERROR(__xludf.dummyfunction("""COMPUTED_VALUE"""),90.41)</f>
        <v>90.41</v>
      </c>
      <c r="C819" s="2" t="n">
        <f aca="false">IFERROR(__xludf.dummyfunction("""COMPUTED_VALUE"""),90.63)</f>
        <v>90.63</v>
      </c>
      <c r="D819" s="2" t="n">
        <f aca="false">IFERROR(__xludf.dummyfunction("""COMPUTED_VALUE"""),85.88)</f>
        <v>85.88</v>
      </c>
      <c r="E819" s="2" t="n">
        <f aca="false">IFERROR(__xludf.dummyfunction("""COMPUTED_VALUE"""),85.91)</f>
        <v>85.91</v>
      </c>
      <c r="F819" s="2" t="n">
        <f aca="false">IFERROR(__xludf.dummyfunction("""COMPUTED_VALUE"""),43496492)</f>
        <v>43496492</v>
      </c>
    </row>
    <row r="820" customFormat="false" ht="15.75" hidden="false" customHeight="false" outlineLevel="0" collapsed="false">
      <c r="A820" s="3" t="n">
        <f aca="false">IFERROR(__xludf.dummyfunction("""COMPUTED_VALUE"""),45387.6666666667)</f>
        <v>45387.6666666667</v>
      </c>
      <c r="B820" s="2" t="n">
        <f aca="false">IFERROR(__xludf.dummyfunction("""COMPUTED_VALUE"""),86.87)</f>
        <v>86.87</v>
      </c>
      <c r="C820" s="2" t="n">
        <f aca="false">IFERROR(__xludf.dummyfunction("""COMPUTED_VALUE"""),88.48)</f>
        <v>88.48</v>
      </c>
      <c r="D820" s="2" t="n">
        <f aca="false">IFERROR(__xludf.dummyfunction("""COMPUTED_VALUE"""),85.93)</f>
        <v>85.93</v>
      </c>
      <c r="E820" s="2" t="n">
        <f aca="false">IFERROR(__xludf.dummyfunction("""COMPUTED_VALUE"""),88.01)</f>
        <v>88.01</v>
      </c>
      <c r="F820" s="2" t="n">
        <f aca="false">IFERROR(__xludf.dummyfunction("""COMPUTED_VALUE"""),39967846)</f>
        <v>39967846</v>
      </c>
    </row>
    <row r="821" customFormat="false" ht="15.75" hidden="false" customHeight="false" outlineLevel="0" collapsed="false">
      <c r="A821" s="3" t="n">
        <f aca="false">IFERROR(__xludf.dummyfunction("""COMPUTED_VALUE"""),45390.6666666667)</f>
        <v>45390.6666666667</v>
      </c>
      <c r="B821" s="2" t="n">
        <f aca="false">IFERROR(__xludf.dummyfunction("""COMPUTED_VALUE"""),88.7)</f>
        <v>88.7</v>
      </c>
      <c r="C821" s="2" t="n">
        <f aca="false">IFERROR(__xludf.dummyfunction("""COMPUTED_VALUE"""),88.83)</f>
        <v>88.83</v>
      </c>
      <c r="D821" s="2" t="n">
        <f aca="false">IFERROR(__xludf.dummyfunction("""COMPUTED_VALUE"""),86.73)</f>
        <v>86.73</v>
      </c>
      <c r="E821" s="2" t="n">
        <f aca="false">IFERROR(__xludf.dummyfunction("""COMPUTED_VALUE"""),87.13)</f>
        <v>87.13</v>
      </c>
      <c r="F821" s="2" t="n">
        <f aca="false">IFERROR(__xludf.dummyfunction("""COMPUTED_VALUE"""),28322000)</f>
        <v>28322000</v>
      </c>
    </row>
    <row r="822" customFormat="false" ht="15.75" hidden="false" customHeight="false" outlineLevel="0" collapsed="false">
      <c r="A822" s="3" t="n">
        <f aca="false">IFERROR(__xludf.dummyfunction("""COMPUTED_VALUE"""),45391.6666666667)</f>
        <v>45391.6666666667</v>
      </c>
      <c r="B822" s="2" t="n">
        <f aca="false">IFERROR(__xludf.dummyfunction("""COMPUTED_VALUE"""),87.44)</f>
        <v>87.44</v>
      </c>
      <c r="C822" s="2" t="n">
        <f aca="false">IFERROR(__xludf.dummyfunction("""COMPUTED_VALUE"""),87.64)</f>
        <v>87.64</v>
      </c>
      <c r="D822" s="2" t="n">
        <f aca="false">IFERROR(__xludf.dummyfunction("""COMPUTED_VALUE"""),83.02)</f>
        <v>83.02</v>
      </c>
      <c r="E822" s="2" t="n">
        <f aca="false">IFERROR(__xludf.dummyfunction("""COMPUTED_VALUE"""),85.35)</f>
        <v>85.35</v>
      </c>
      <c r="F822" s="2" t="n">
        <f aca="false">IFERROR(__xludf.dummyfunction("""COMPUTED_VALUE"""),50354735)</f>
        <v>50354735</v>
      </c>
    </row>
    <row r="823" customFormat="false" ht="15.75" hidden="false" customHeight="false" outlineLevel="0" collapsed="false">
      <c r="A823" s="3" t="n">
        <f aca="false">IFERROR(__xludf.dummyfunction("""COMPUTED_VALUE"""),45392.6666666667)</f>
        <v>45392.6666666667</v>
      </c>
      <c r="B823" s="2" t="n">
        <f aca="false">IFERROR(__xludf.dummyfunction("""COMPUTED_VALUE"""),83.93)</f>
        <v>83.93</v>
      </c>
      <c r="C823" s="2" t="n">
        <f aca="false">IFERROR(__xludf.dummyfunction("""COMPUTED_VALUE"""),87.4)</f>
        <v>87.4</v>
      </c>
      <c r="D823" s="2" t="n">
        <f aca="false">IFERROR(__xludf.dummyfunction("""COMPUTED_VALUE"""),83.71)</f>
        <v>83.71</v>
      </c>
      <c r="E823" s="2" t="n">
        <f aca="false">IFERROR(__xludf.dummyfunction("""COMPUTED_VALUE"""),87.04)</f>
        <v>87.04</v>
      </c>
      <c r="F823" s="2" t="n">
        <f aca="false">IFERROR(__xludf.dummyfunction("""COMPUTED_VALUE"""),43192853)</f>
        <v>43192853</v>
      </c>
    </row>
    <row r="824" customFormat="false" ht="15.75" hidden="false" customHeight="false" outlineLevel="0" collapsed="false">
      <c r="A824" s="3" t="n">
        <f aca="false">IFERROR(__xludf.dummyfunction("""COMPUTED_VALUE"""),45393.6666666667)</f>
        <v>45393.6666666667</v>
      </c>
      <c r="B824" s="2" t="n">
        <f aca="false">IFERROR(__xludf.dummyfunction("""COMPUTED_VALUE"""),87.42)</f>
        <v>87.42</v>
      </c>
      <c r="C824" s="2" t="n">
        <f aca="false">IFERROR(__xludf.dummyfunction("""COMPUTED_VALUE"""),90.74)</f>
        <v>90.74</v>
      </c>
      <c r="D824" s="2" t="n">
        <f aca="false">IFERROR(__xludf.dummyfunction("""COMPUTED_VALUE"""),86.93)</f>
        <v>86.93</v>
      </c>
      <c r="E824" s="2" t="n">
        <f aca="false">IFERROR(__xludf.dummyfunction("""COMPUTED_VALUE"""),90.62)</f>
        <v>90.62</v>
      </c>
      <c r="F824" s="2" t="n">
        <f aca="false">IFERROR(__xludf.dummyfunction("""COMPUTED_VALUE"""),43163727)</f>
        <v>43163727</v>
      </c>
    </row>
    <row r="825" customFormat="false" ht="15.75" hidden="false" customHeight="false" outlineLevel="0" collapsed="false">
      <c r="A825" s="3" t="n">
        <f aca="false">IFERROR(__xludf.dummyfunction("""COMPUTED_VALUE"""),45394.6666666667)</f>
        <v>45394.6666666667</v>
      </c>
      <c r="B825" s="2" t="n">
        <f aca="false">IFERROR(__xludf.dummyfunction("""COMPUTED_VALUE"""),89.7)</f>
        <v>89.7</v>
      </c>
      <c r="C825" s="2" t="n">
        <f aca="false">IFERROR(__xludf.dummyfunction("""COMPUTED_VALUE"""),90.17)</f>
        <v>90.17</v>
      </c>
      <c r="D825" s="2" t="n">
        <f aca="false">IFERROR(__xludf.dummyfunction("""COMPUTED_VALUE"""),87.53)</f>
        <v>87.53</v>
      </c>
      <c r="E825" s="2" t="n">
        <f aca="false">IFERROR(__xludf.dummyfunction("""COMPUTED_VALUE"""),88.19)</f>
        <v>88.19</v>
      </c>
      <c r="F825" s="2" t="n">
        <f aca="false">IFERROR(__xludf.dummyfunction("""COMPUTED_VALUE"""),42680479)</f>
        <v>42680479</v>
      </c>
    </row>
    <row r="826" customFormat="false" ht="15.75" hidden="false" customHeight="false" outlineLevel="0" collapsed="false">
      <c r="A826" s="3" t="n">
        <f aca="false">IFERROR(__xludf.dummyfunction("""COMPUTED_VALUE"""),45397.6666666667)</f>
        <v>45397.6666666667</v>
      </c>
      <c r="B826" s="2" t="n">
        <f aca="false">IFERROR(__xludf.dummyfunction("""COMPUTED_VALUE"""),89.1)</f>
        <v>89.1</v>
      </c>
      <c r="C826" s="2" t="n">
        <f aca="false">IFERROR(__xludf.dummyfunction("""COMPUTED_VALUE"""),90.61)</f>
        <v>90.61</v>
      </c>
      <c r="D826" s="2" t="n">
        <f aca="false">IFERROR(__xludf.dummyfunction("""COMPUTED_VALUE"""),85.93)</f>
        <v>85.93</v>
      </c>
      <c r="E826" s="2" t="n">
        <f aca="false">IFERROR(__xludf.dummyfunction("""COMPUTED_VALUE"""),86)</f>
        <v>86</v>
      </c>
      <c r="F826" s="2" t="n">
        <f aca="false">IFERROR(__xludf.dummyfunction("""COMPUTED_VALUE"""),44307695)</f>
        <v>44307695</v>
      </c>
    </row>
    <row r="827" customFormat="false" ht="15.75" hidden="false" customHeight="false" outlineLevel="0" collapsed="false">
      <c r="A827" s="3" t="n">
        <f aca="false">IFERROR(__xludf.dummyfunction("""COMPUTED_VALUE"""),45398.6666666667)</f>
        <v>45398.6666666667</v>
      </c>
      <c r="B827" s="2" t="n">
        <f aca="false">IFERROR(__xludf.dummyfunction("""COMPUTED_VALUE"""),86.43)</f>
        <v>86.43</v>
      </c>
      <c r="C827" s="2" t="n">
        <f aca="false">IFERROR(__xludf.dummyfunction("""COMPUTED_VALUE"""),88.12)</f>
        <v>88.12</v>
      </c>
      <c r="D827" s="2" t="n">
        <f aca="false">IFERROR(__xludf.dummyfunction("""COMPUTED_VALUE"""),86.06)</f>
        <v>86.06</v>
      </c>
      <c r="E827" s="2" t="n">
        <f aca="false">IFERROR(__xludf.dummyfunction("""COMPUTED_VALUE"""),87.42)</f>
        <v>87.42</v>
      </c>
      <c r="F827" s="2" t="n">
        <f aca="false">IFERROR(__xludf.dummyfunction("""COMPUTED_VALUE"""),37045302)</f>
        <v>37045302</v>
      </c>
    </row>
    <row r="828" customFormat="false" ht="15.75" hidden="false" customHeight="false" outlineLevel="0" collapsed="false">
      <c r="A828" s="3" t="n">
        <f aca="false">IFERROR(__xludf.dummyfunction("""COMPUTED_VALUE"""),45399.6666666667)</f>
        <v>45399.6666666667</v>
      </c>
      <c r="B828" s="2" t="n">
        <f aca="false">IFERROR(__xludf.dummyfunction("""COMPUTED_VALUE"""),88.34)</f>
        <v>88.34</v>
      </c>
      <c r="C828" s="2" t="n">
        <f aca="false">IFERROR(__xludf.dummyfunction("""COMPUTED_VALUE"""),88.78)</f>
        <v>88.78</v>
      </c>
      <c r="D828" s="2" t="n">
        <f aca="false">IFERROR(__xludf.dummyfunction("""COMPUTED_VALUE"""),83.95)</f>
        <v>83.95</v>
      </c>
      <c r="E828" s="2" t="n">
        <f aca="false">IFERROR(__xludf.dummyfunction("""COMPUTED_VALUE"""),84.04)</f>
        <v>84.04</v>
      </c>
      <c r="F828" s="2" t="n">
        <f aca="false">IFERROR(__xludf.dummyfunction("""COMPUTED_VALUE"""),49539951)</f>
        <v>49539951</v>
      </c>
    </row>
    <row r="829" customFormat="false" ht="15.75" hidden="false" customHeight="false" outlineLevel="0" collapsed="false">
      <c r="A829" s="3" t="n">
        <f aca="false">IFERROR(__xludf.dummyfunction("""COMPUTED_VALUE"""),45400.6666666667)</f>
        <v>45400.6666666667</v>
      </c>
      <c r="B829" s="2" t="n">
        <f aca="false">IFERROR(__xludf.dummyfunction("""COMPUTED_VALUE"""),84.97)</f>
        <v>84.97</v>
      </c>
      <c r="C829" s="2" t="n">
        <f aca="false">IFERROR(__xludf.dummyfunction("""COMPUTED_VALUE"""),86.19)</f>
        <v>86.19</v>
      </c>
      <c r="D829" s="2" t="n">
        <f aca="false">IFERROR(__xludf.dummyfunction("""COMPUTED_VALUE"""),82.4)</f>
        <v>82.4</v>
      </c>
      <c r="E829" s="2" t="n">
        <f aca="false">IFERROR(__xludf.dummyfunction("""COMPUTED_VALUE"""),84.67)</f>
        <v>84.67</v>
      </c>
      <c r="F829" s="2" t="n">
        <f aca="false">IFERROR(__xludf.dummyfunction("""COMPUTED_VALUE"""),44726034)</f>
        <v>44726034</v>
      </c>
    </row>
    <row r="830" customFormat="false" ht="15.75" hidden="false" customHeight="false" outlineLevel="0" collapsed="false">
      <c r="A830" s="3" t="n">
        <f aca="false">IFERROR(__xludf.dummyfunction("""COMPUTED_VALUE"""),45401.6666666667)</f>
        <v>45401.6666666667</v>
      </c>
      <c r="B830" s="2" t="n">
        <f aca="false">IFERROR(__xludf.dummyfunction("""COMPUTED_VALUE"""),83.15)</f>
        <v>83.15</v>
      </c>
      <c r="C830" s="2" t="n">
        <f aca="false">IFERROR(__xludf.dummyfunction("""COMPUTED_VALUE"""),84.32)</f>
        <v>84.32</v>
      </c>
      <c r="D830" s="2" t="n">
        <f aca="false">IFERROR(__xludf.dummyfunction("""COMPUTED_VALUE"""),75.61)</f>
        <v>75.61</v>
      </c>
      <c r="E830" s="2" t="n">
        <f aca="false">IFERROR(__xludf.dummyfunction("""COMPUTED_VALUE"""),76.2)</f>
        <v>76.2</v>
      </c>
      <c r="F830" s="2" t="n">
        <f aca="false">IFERROR(__xludf.dummyfunction("""COMPUTED_VALUE"""),87519800)</f>
        <v>87519800</v>
      </c>
    </row>
    <row r="831" customFormat="false" ht="15.75" hidden="false" customHeight="false" outlineLevel="0" collapsed="false">
      <c r="A831" s="3" t="n">
        <f aca="false">IFERROR(__xludf.dummyfunction("""COMPUTED_VALUE"""),45404.6666666667)</f>
        <v>45404.6666666667</v>
      </c>
      <c r="B831" s="2" t="n">
        <f aca="false">IFERROR(__xludf.dummyfunction("""COMPUTED_VALUE"""),78.1)</f>
        <v>78.1</v>
      </c>
      <c r="C831" s="2" t="n">
        <f aca="false">IFERROR(__xludf.dummyfunction("""COMPUTED_VALUE"""),80.07)</f>
        <v>80.07</v>
      </c>
      <c r="D831" s="2" t="n">
        <f aca="false">IFERROR(__xludf.dummyfunction("""COMPUTED_VALUE"""),76.4)</f>
        <v>76.4</v>
      </c>
      <c r="E831" s="2" t="n">
        <f aca="false">IFERROR(__xludf.dummyfunction("""COMPUTED_VALUE"""),79.52)</f>
        <v>79.52</v>
      </c>
      <c r="F831" s="2" t="n">
        <f aca="false">IFERROR(__xludf.dummyfunction("""COMPUTED_VALUE"""),59634051)</f>
        <v>59634051</v>
      </c>
    </row>
    <row r="832" customFormat="false" ht="15.75" hidden="false" customHeight="false" outlineLevel="0" collapsed="false">
      <c r="A832" s="3" t="n">
        <f aca="false">IFERROR(__xludf.dummyfunction("""COMPUTED_VALUE"""),45405.6666666667)</f>
        <v>45405.6666666667</v>
      </c>
      <c r="B832" s="2" t="n">
        <f aca="false">IFERROR(__xludf.dummyfunction("""COMPUTED_VALUE"""),80.77)</f>
        <v>80.77</v>
      </c>
      <c r="C832" s="2" t="n">
        <f aca="false">IFERROR(__xludf.dummyfunction("""COMPUTED_VALUE"""),82.77)</f>
        <v>82.77</v>
      </c>
      <c r="D832" s="2" t="n">
        <f aca="false">IFERROR(__xludf.dummyfunction("""COMPUTED_VALUE"""),80.26)</f>
        <v>80.26</v>
      </c>
      <c r="E832" s="2" t="n">
        <f aca="false">IFERROR(__xludf.dummyfunction("""COMPUTED_VALUE"""),82.42)</f>
        <v>82.42</v>
      </c>
      <c r="F832" s="2" t="n">
        <f aca="false">IFERROR(__xludf.dummyfunction("""COMPUTED_VALUE"""),43855937)</f>
        <v>43855937</v>
      </c>
    </row>
    <row r="833" customFormat="false" ht="15.75" hidden="false" customHeight="false" outlineLevel="0" collapsed="false">
      <c r="A833" s="3" t="n">
        <f aca="false">IFERROR(__xludf.dummyfunction("""COMPUTED_VALUE"""),45406.6666666667)</f>
        <v>45406.6666666667</v>
      </c>
      <c r="B833" s="2" t="n">
        <f aca="false">IFERROR(__xludf.dummyfunction("""COMPUTED_VALUE"""),83.95)</f>
        <v>83.95</v>
      </c>
      <c r="C833" s="2" t="n">
        <f aca="false">IFERROR(__xludf.dummyfunction("""COMPUTED_VALUE"""),84.08)</f>
        <v>84.08</v>
      </c>
      <c r="D833" s="2" t="n">
        <f aca="false">IFERROR(__xludf.dummyfunction("""COMPUTED_VALUE"""),79.18)</f>
        <v>79.18</v>
      </c>
      <c r="E833" s="2" t="n">
        <f aca="false">IFERROR(__xludf.dummyfunction("""COMPUTED_VALUE"""),79.68)</f>
        <v>79.68</v>
      </c>
      <c r="F833" s="2" t="n">
        <f aca="false">IFERROR(__xludf.dummyfunction("""COMPUTED_VALUE"""),51220753)</f>
        <v>51220753</v>
      </c>
    </row>
    <row r="834" customFormat="false" ht="15.75" hidden="false" customHeight="false" outlineLevel="0" collapsed="false">
      <c r="A834" s="3" t="n">
        <f aca="false">IFERROR(__xludf.dummyfunction("""COMPUTED_VALUE"""),45407.6666666667)</f>
        <v>45407.6666666667</v>
      </c>
      <c r="B834" s="2" t="n">
        <f aca="false">IFERROR(__xludf.dummyfunction("""COMPUTED_VALUE"""),78.87)</f>
        <v>78.87</v>
      </c>
      <c r="C834" s="2" t="n">
        <f aca="false">IFERROR(__xludf.dummyfunction("""COMPUTED_VALUE"""),83.32)</f>
        <v>83.32</v>
      </c>
      <c r="D834" s="2" t="n">
        <f aca="false">IFERROR(__xludf.dummyfunction("""COMPUTED_VALUE"""),78.22)</f>
        <v>78.22</v>
      </c>
      <c r="E834" s="2" t="n">
        <f aca="false">IFERROR(__xludf.dummyfunction("""COMPUTED_VALUE"""),82.63)</f>
        <v>82.63</v>
      </c>
      <c r="F834" s="2" t="n">
        <f aca="false">IFERROR(__xludf.dummyfunction("""COMPUTED_VALUE"""),42464073)</f>
        <v>42464073</v>
      </c>
    </row>
    <row r="835" customFormat="false" ht="15.75" hidden="false" customHeight="false" outlineLevel="0" collapsed="false">
      <c r="A835" s="3" t="n">
        <f aca="false">IFERROR(__xludf.dummyfunction("""COMPUTED_VALUE"""),45408.6666666667)</f>
        <v>45408.6666666667</v>
      </c>
      <c r="B835" s="2" t="n">
        <f aca="false">IFERROR(__xludf.dummyfunction("""COMPUTED_VALUE"""),83.82)</f>
        <v>83.82</v>
      </c>
      <c r="C835" s="2" t="n">
        <f aca="false">IFERROR(__xludf.dummyfunction("""COMPUTED_VALUE"""),88.33)</f>
        <v>88.33</v>
      </c>
      <c r="D835" s="2" t="n">
        <f aca="false">IFERROR(__xludf.dummyfunction("""COMPUTED_VALUE"""),83.39)</f>
        <v>83.39</v>
      </c>
      <c r="E835" s="2" t="n">
        <f aca="false">IFERROR(__xludf.dummyfunction("""COMPUTED_VALUE"""),87.74)</f>
        <v>87.74</v>
      </c>
      <c r="F835" s="2" t="n">
        <f aca="false">IFERROR(__xludf.dummyfunction("""COMPUTED_VALUE"""),55101078)</f>
        <v>55101078</v>
      </c>
    </row>
    <row r="836" customFormat="false" ht="15.75" hidden="false" customHeight="false" outlineLevel="0" collapsed="false">
      <c r="A836" s="3" t="n">
        <f aca="false">IFERROR(__xludf.dummyfunction("""COMPUTED_VALUE"""),45411.6666666667)</f>
        <v>45411.6666666667</v>
      </c>
      <c r="B836" s="2" t="n">
        <f aca="false">IFERROR(__xludf.dummyfunction("""COMPUTED_VALUE"""),87.6)</f>
        <v>87.6</v>
      </c>
      <c r="C836" s="2" t="n">
        <f aca="false">IFERROR(__xludf.dummyfunction("""COMPUTED_VALUE"""),87.99)</f>
        <v>87.99</v>
      </c>
      <c r="D836" s="2" t="n">
        <f aca="false">IFERROR(__xludf.dummyfunction("""COMPUTED_VALUE"""),85.27)</f>
        <v>85.27</v>
      </c>
      <c r="E836" s="2" t="n">
        <f aca="false">IFERROR(__xludf.dummyfunction("""COMPUTED_VALUE"""),87.76)</f>
        <v>87.76</v>
      </c>
      <c r="F836" s="2" t="n">
        <f aca="false">IFERROR(__xludf.dummyfunction("""COMPUTED_VALUE"""),38897076)</f>
        <v>38897076</v>
      </c>
    </row>
    <row r="837" customFormat="false" ht="15.75" hidden="false" customHeight="false" outlineLevel="0" collapsed="false">
      <c r="A837" s="3" t="n">
        <f aca="false">IFERROR(__xludf.dummyfunction("""COMPUTED_VALUE"""),45412.6666666667)</f>
        <v>45412.6666666667</v>
      </c>
      <c r="B837" s="2" t="n">
        <f aca="false">IFERROR(__xludf.dummyfunction("""COMPUTED_VALUE"""),87.24)</f>
        <v>87.24</v>
      </c>
      <c r="C837" s="2" t="n">
        <f aca="false">IFERROR(__xludf.dummyfunction("""COMPUTED_VALUE"""),88.82)</f>
        <v>88.82</v>
      </c>
      <c r="D837" s="2" t="n">
        <f aca="false">IFERROR(__xludf.dummyfunction("""COMPUTED_VALUE"""),86.3)</f>
        <v>86.3</v>
      </c>
      <c r="E837" s="2" t="n">
        <f aca="false">IFERROR(__xludf.dummyfunction("""COMPUTED_VALUE"""),86.4)</f>
        <v>86.4</v>
      </c>
      <c r="F837" s="2" t="n">
        <f aca="false">IFERROR(__xludf.dummyfunction("""COMPUTED_VALUE"""),36370870)</f>
        <v>36370870</v>
      </c>
    </row>
    <row r="838" customFormat="false" ht="15.75" hidden="false" customHeight="false" outlineLevel="0" collapsed="false">
      <c r="A838" s="3" t="n">
        <f aca="false">IFERROR(__xludf.dummyfunction("""COMPUTED_VALUE"""),45413.6666666667)</f>
        <v>45413.6666666667</v>
      </c>
      <c r="B838" s="2" t="n">
        <f aca="false">IFERROR(__xludf.dummyfunction("""COMPUTED_VALUE"""),85.08)</f>
        <v>85.08</v>
      </c>
      <c r="C838" s="2" t="n">
        <f aca="false">IFERROR(__xludf.dummyfunction("""COMPUTED_VALUE"""),86)</f>
        <v>86</v>
      </c>
      <c r="D838" s="2" t="n">
        <f aca="false">IFERROR(__xludf.dummyfunction("""COMPUTED_VALUE"""),81.25)</f>
        <v>81.25</v>
      </c>
      <c r="E838" s="2" t="n">
        <f aca="false">IFERROR(__xludf.dummyfunction("""COMPUTED_VALUE"""),83.04)</f>
        <v>83.04</v>
      </c>
      <c r="F838" s="2" t="n">
        <f aca="false">IFERROR(__xludf.dummyfunction("""COMPUTED_VALUE"""),55986317)</f>
        <v>55986317</v>
      </c>
    </row>
    <row r="839" customFormat="false" ht="15.75" hidden="false" customHeight="false" outlineLevel="0" collapsed="false">
      <c r="A839" s="3" t="n">
        <f aca="false">IFERROR(__xludf.dummyfunction("""COMPUTED_VALUE"""),45414.6666666667)</f>
        <v>45414.6666666667</v>
      </c>
      <c r="B839" s="2" t="n">
        <f aca="false">IFERROR(__xludf.dummyfunction("""COMPUTED_VALUE"""),84.45)</f>
        <v>84.45</v>
      </c>
      <c r="C839" s="2" t="n">
        <f aca="false">IFERROR(__xludf.dummyfunction("""COMPUTED_VALUE"""),86.24)</f>
        <v>86.24</v>
      </c>
      <c r="D839" s="2" t="n">
        <f aca="false">IFERROR(__xludf.dummyfunction("""COMPUTED_VALUE"""),83.2)</f>
        <v>83.2</v>
      </c>
      <c r="E839" s="2" t="n">
        <f aca="false">IFERROR(__xludf.dummyfunction("""COMPUTED_VALUE"""),85.82)</f>
        <v>85.82</v>
      </c>
      <c r="F839" s="2" t="n">
        <f aca="false">IFERROR(__xludf.dummyfunction("""COMPUTED_VALUE"""),37789754)</f>
        <v>37789754</v>
      </c>
    </row>
    <row r="840" customFormat="false" ht="15.75" hidden="false" customHeight="false" outlineLevel="0" collapsed="false">
      <c r="A840" s="3" t="n">
        <f aca="false">IFERROR(__xludf.dummyfunction("""COMPUTED_VALUE"""),45415.6666666667)</f>
        <v>45415.6666666667</v>
      </c>
      <c r="B840" s="2" t="n">
        <f aca="false">IFERROR(__xludf.dummyfunction("""COMPUTED_VALUE"""),87.79)</f>
        <v>87.79</v>
      </c>
      <c r="C840" s="2" t="n">
        <f aca="false">IFERROR(__xludf.dummyfunction("""COMPUTED_VALUE"""),89.28)</f>
        <v>89.28</v>
      </c>
      <c r="D840" s="2" t="n">
        <f aca="false">IFERROR(__xludf.dummyfunction("""COMPUTED_VALUE"""),87.04)</f>
        <v>87.04</v>
      </c>
      <c r="E840" s="2" t="n">
        <f aca="false">IFERROR(__xludf.dummyfunction("""COMPUTED_VALUE"""),88.79)</f>
        <v>88.79</v>
      </c>
      <c r="F840" s="2" t="n">
        <f aca="false">IFERROR(__xludf.dummyfunction("""COMPUTED_VALUE"""),39834072)</f>
        <v>39834072</v>
      </c>
    </row>
    <row r="841" customFormat="false" ht="15.75" hidden="false" customHeight="false" outlineLevel="0" collapsed="false">
      <c r="A841" s="3" t="n">
        <f aca="false">IFERROR(__xludf.dummyfunction("""COMPUTED_VALUE"""),45418.6666666667)</f>
        <v>45418.6666666667</v>
      </c>
      <c r="B841" s="2" t="n">
        <f aca="false">IFERROR(__xludf.dummyfunction("""COMPUTED_VALUE"""),89.39)</f>
        <v>89.39</v>
      </c>
      <c r="C841" s="2" t="n">
        <f aca="false">IFERROR(__xludf.dummyfunction("""COMPUTED_VALUE"""),92.22)</f>
        <v>92.22</v>
      </c>
      <c r="D841" s="2" t="n">
        <f aca="false">IFERROR(__xludf.dummyfunction("""COMPUTED_VALUE"""),89.06)</f>
        <v>89.06</v>
      </c>
      <c r="E841" s="2" t="n">
        <f aca="false">IFERROR(__xludf.dummyfunction("""COMPUTED_VALUE"""),92.14)</f>
        <v>92.14</v>
      </c>
      <c r="F841" s="2" t="n">
        <f aca="false">IFERROR(__xludf.dummyfunction("""COMPUTED_VALUE"""),37620255)</f>
        <v>37620255</v>
      </c>
    </row>
    <row r="842" customFormat="false" ht="15.75" hidden="false" customHeight="false" outlineLevel="0" collapsed="false">
      <c r="A842" s="3" t="n">
        <f aca="false">IFERROR(__xludf.dummyfunction("""COMPUTED_VALUE"""),45419.6666666667)</f>
        <v>45419.6666666667</v>
      </c>
      <c r="B842" s="2" t="n">
        <f aca="false">IFERROR(__xludf.dummyfunction("""COMPUTED_VALUE"""),91.1)</f>
        <v>91.1</v>
      </c>
      <c r="C842" s="2" t="n">
        <f aca="false">IFERROR(__xludf.dummyfunction("""COMPUTED_VALUE"""),91.78)</f>
        <v>91.78</v>
      </c>
      <c r="D842" s="2" t="n">
        <f aca="false">IFERROR(__xludf.dummyfunction("""COMPUTED_VALUE"""),89.01)</f>
        <v>89.01</v>
      </c>
      <c r="E842" s="2" t="n">
        <f aca="false">IFERROR(__xludf.dummyfunction("""COMPUTED_VALUE"""),90.55)</f>
        <v>90.55</v>
      </c>
      <c r="F842" s="2" t="n">
        <f aca="false">IFERROR(__xludf.dummyfunction("""COMPUTED_VALUE"""),43734161)</f>
        <v>43734161</v>
      </c>
    </row>
    <row r="843" customFormat="false" ht="15.75" hidden="false" customHeight="false" outlineLevel="0" collapsed="false">
      <c r="A843" s="3" t="n">
        <f aca="false">IFERROR(__xludf.dummyfunction("""COMPUTED_VALUE"""),45420.6666666667)</f>
        <v>45420.6666666667</v>
      </c>
      <c r="B843" s="2" t="n">
        <f aca="false">IFERROR(__xludf.dummyfunction("""COMPUTED_VALUE"""),89.48)</f>
        <v>89.48</v>
      </c>
      <c r="C843" s="2" t="n">
        <f aca="false">IFERROR(__xludf.dummyfunction("""COMPUTED_VALUE"""),91.19)</f>
        <v>91.19</v>
      </c>
      <c r="D843" s="2" t="n">
        <f aca="false">IFERROR(__xludf.dummyfunction("""COMPUTED_VALUE"""),89.42)</f>
        <v>89.42</v>
      </c>
      <c r="E843" s="2" t="n">
        <f aca="false">IFERROR(__xludf.dummyfunction("""COMPUTED_VALUE"""),90.41)</f>
        <v>90.41</v>
      </c>
      <c r="F843" s="2" t="n">
        <f aca="false">IFERROR(__xludf.dummyfunction("""COMPUTED_VALUE"""),32572102)</f>
        <v>32572102</v>
      </c>
    </row>
    <row r="844" customFormat="false" ht="15.75" hidden="false" customHeight="false" outlineLevel="0" collapsed="false">
      <c r="A844" s="3" t="n">
        <f aca="false">IFERROR(__xludf.dummyfunction("""COMPUTED_VALUE"""),45421.6666666667)</f>
        <v>45421.6666666667</v>
      </c>
      <c r="B844" s="2" t="n">
        <f aca="false">IFERROR(__xludf.dummyfunction("""COMPUTED_VALUE"""),90.53)</f>
        <v>90.53</v>
      </c>
      <c r="C844" s="2" t="n">
        <f aca="false">IFERROR(__xludf.dummyfunction("""COMPUTED_VALUE"""),91.07)</f>
        <v>91.07</v>
      </c>
      <c r="D844" s="2" t="n">
        <f aca="false">IFERROR(__xludf.dummyfunction("""COMPUTED_VALUE"""),88.23)</f>
        <v>88.23</v>
      </c>
      <c r="E844" s="2" t="n">
        <f aca="false">IFERROR(__xludf.dummyfunction("""COMPUTED_VALUE"""),88.75)</f>
        <v>88.75</v>
      </c>
      <c r="F844" s="2" t="n">
        <f aca="false">IFERROR(__xludf.dummyfunction("""COMPUTED_VALUE"""),37801268)</f>
        <v>37801268</v>
      </c>
    </row>
    <row r="845" customFormat="false" ht="15.75" hidden="false" customHeight="false" outlineLevel="0" collapsed="false">
      <c r="A845" s="3" t="n">
        <f aca="false">IFERROR(__xludf.dummyfunction("""COMPUTED_VALUE"""),45422.6666666667)</f>
        <v>45422.6666666667</v>
      </c>
      <c r="B845" s="2" t="n">
        <f aca="false">IFERROR(__xludf.dummyfunction("""COMPUTED_VALUE"""),90.3)</f>
        <v>90.3</v>
      </c>
      <c r="C845" s="2" t="n">
        <f aca="false">IFERROR(__xludf.dummyfunction("""COMPUTED_VALUE"""),91.4)</f>
        <v>91.4</v>
      </c>
      <c r="D845" s="2" t="n">
        <f aca="false">IFERROR(__xludf.dummyfunction("""COMPUTED_VALUE"""),89.23)</f>
        <v>89.23</v>
      </c>
      <c r="E845" s="2" t="n">
        <f aca="false">IFERROR(__xludf.dummyfunction("""COMPUTED_VALUE"""),89.88)</f>
        <v>89.88</v>
      </c>
      <c r="F845" s="2" t="n">
        <f aca="false">IFERROR(__xludf.dummyfunction("""COMPUTED_VALUE"""),33532541)</f>
        <v>33532541</v>
      </c>
    </row>
    <row r="846" customFormat="false" ht="15.75" hidden="false" customHeight="false" outlineLevel="0" collapsed="false">
      <c r="A846" s="3" t="n">
        <f aca="false">IFERROR(__xludf.dummyfunction("""COMPUTED_VALUE"""),45425.6666666667)</f>
        <v>45425.6666666667</v>
      </c>
      <c r="B846" s="2" t="n">
        <f aca="false">IFERROR(__xludf.dummyfunction("""COMPUTED_VALUE"""),90.48)</f>
        <v>90.48</v>
      </c>
      <c r="C846" s="2" t="n">
        <f aca="false">IFERROR(__xludf.dummyfunction("""COMPUTED_VALUE"""),91)</f>
        <v>91</v>
      </c>
      <c r="D846" s="2" t="n">
        <f aca="false">IFERROR(__xludf.dummyfunction("""COMPUTED_VALUE"""),88.53)</f>
        <v>88.53</v>
      </c>
      <c r="E846" s="2" t="n">
        <f aca="false">IFERROR(__xludf.dummyfunction("""COMPUTED_VALUE"""),90.4)</f>
        <v>90.4</v>
      </c>
      <c r="F846" s="2" t="n">
        <f aca="false">IFERROR(__xludf.dummyfunction("""COMPUTED_VALUE"""),28968017)</f>
        <v>28968017</v>
      </c>
    </row>
    <row r="847" customFormat="false" ht="15.75" hidden="false" customHeight="false" outlineLevel="0" collapsed="false">
      <c r="A847" s="3" t="n">
        <f aca="false">IFERROR(__xludf.dummyfunction("""COMPUTED_VALUE"""),45426.6666666667)</f>
        <v>45426.6666666667</v>
      </c>
      <c r="B847" s="2" t="n">
        <f aca="false">IFERROR(__xludf.dummyfunction("""COMPUTED_VALUE"""),89.6)</f>
        <v>89.6</v>
      </c>
      <c r="C847" s="2" t="n">
        <f aca="false">IFERROR(__xludf.dummyfunction("""COMPUTED_VALUE"""),91.65)</f>
        <v>91.65</v>
      </c>
      <c r="D847" s="2" t="n">
        <f aca="false">IFERROR(__xludf.dummyfunction("""COMPUTED_VALUE"""),88.93)</f>
        <v>88.93</v>
      </c>
      <c r="E847" s="2" t="n">
        <f aca="false">IFERROR(__xludf.dummyfunction("""COMPUTED_VALUE"""),91.36)</f>
        <v>91.36</v>
      </c>
      <c r="F847" s="2" t="n">
        <f aca="false">IFERROR(__xludf.dummyfunction("""COMPUTED_VALUE"""),29650708)</f>
        <v>29650708</v>
      </c>
    </row>
    <row r="848" customFormat="false" ht="15.75" hidden="false" customHeight="false" outlineLevel="0" collapsed="false">
      <c r="A848" s="3" t="n">
        <f aca="false">IFERROR(__xludf.dummyfunction("""COMPUTED_VALUE"""),45427.6666666667)</f>
        <v>45427.6666666667</v>
      </c>
      <c r="B848" s="2" t="n">
        <f aca="false">IFERROR(__xludf.dummyfunction("""COMPUTED_VALUE"""),92.47)</f>
        <v>92.47</v>
      </c>
      <c r="C848" s="2" t="n">
        <f aca="false">IFERROR(__xludf.dummyfunction("""COMPUTED_VALUE"""),94.86)</f>
        <v>94.86</v>
      </c>
      <c r="D848" s="2" t="n">
        <f aca="false">IFERROR(__xludf.dummyfunction("""COMPUTED_VALUE"""),91.6)</f>
        <v>91.6</v>
      </c>
      <c r="E848" s="2" t="n">
        <f aca="false">IFERROR(__xludf.dummyfunction("""COMPUTED_VALUE"""),94.63)</f>
        <v>94.63</v>
      </c>
      <c r="F848" s="2" t="n">
        <f aca="false">IFERROR(__xludf.dummyfunction("""COMPUTED_VALUE"""),41773545)</f>
        <v>41773545</v>
      </c>
    </row>
    <row r="849" customFormat="false" ht="15.75" hidden="false" customHeight="false" outlineLevel="0" collapsed="false">
      <c r="A849" s="3" t="n">
        <f aca="false">IFERROR(__xludf.dummyfunction("""COMPUTED_VALUE"""),45428.6666666667)</f>
        <v>45428.6666666667</v>
      </c>
      <c r="B849" s="2" t="n">
        <f aca="false">IFERROR(__xludf.dummyfunction("""COMPUTED_VALUE"""),94.91)</f>
        <v>94.91</v>
      </c>
      <c r="C849" s="2" t="n">
        <f aca="false">IFERROR(__xludf.dummyfunction("""COMPUTED_VALUE"""),95.82)</f>
        <v>95.82</v>
      </c>
      <c r="D849" s="2" t="n">
        <f aca="false">IFERROR(__xludf.dummyfunction("""COMPUTED_VALUE"""),94.1)</f>
        <v>94.1</v>
      </c>
      <c r="E849" s="2" t="n">
        <f aca="false">IFERROR(__xludf.dummyfunction("""COMPUTED_VALUE"""),94.36)</f>
        <v>94.36</v>
      </c>
      <c r="F849" s="2" t="n">
        <f aca="false">IFERROR(__xludf.dummyfunction("""COMPUTED_VALUE"""),32395182)</f>
        <v>32395182</v>
      </c>
    </row>
    <row r="850" customFormat="false" ht="15.75" hidden="false" customHeight="false" outlineLevel="0" collapsed="false">
      <c r="A850" s="3" t="n">
        <f aca="false">IFERROR(__xludf.dummyfunction("""COMPUTED_VALUE"""),45429.6666666667)</f>
        <v>45429.6666666667</v>
      </c>
      <c r="B850" s="2" t="n">
        <f aca="false">IFERROR(__xludf.dummyfunction("""COMPUTED_VALUE"""),94.37)</f>
        <v>94.37</v>
      </c>
      <c r="C850" s="2" t="n">
        <f aca="false">IFERROR(__xludf.dummyfunction("""COMPUTED_VALUE"""),94.74)</f>
        <v>94.74</v>
      </c>
      <c r="D850" s="2" t="n">
        <f aca="false">IFERROR(__xludf.dummyfunction("""COMPUTED_VALUE"""),91.81)</f>
        <v>91.81</v>
      </c>
      <c r="E850" s="2" t="n">
        <f aca="false">IFERROR(__xludf.dummyfunction("""COMPUTED_VALUE"""),92.48)</f>
        <v>92.48</v>
      </c>
      <c r="F850" s="2" t="n">
        <f aca="false">IFERROR(__xludf.dummyfunction("""COMPUTED_VALUE"""),35969103)</f>
        <v>35969103</v>
      </c>
    </row>
    <row r="851" customFormat="false" ht="15.75" hidden="false" customHeight="false" outlineLevel="0" collapsed="false">
      <c r="A851" s="3" t="n">
        <f aca="false">IFERROR(__xludf.dummyfunction("""COMPUTED_VALUE"""),45432.6666666667)</f>
        <v>45432.6666666667</v>
      </c>
      <c r="B851" s="2" t="n">
        <f aca="false">IFERROR(__xludf.dummyfunction("""COMPUTED_VALUE"""),93.75)</f>
        <v>93.75</v>
      </c>
      <c r="C851" s="2" t="n">
        <f aca="false">IFERROR(__xludf.dummyfunction("""COMPUTED_VALUE"""),95.2)</f>
        <v>95.2</v>
      </c>
      <c r="D851" s="2" t="n">
        <f aca="false">IFERROR(__xludf.dummyfunction("""COMPUTED_VALUE"""),93.44)</f>
        <v>93.44</v>
      </c>
      <c r="E851" s="2" t="n">
        <f aca="false">IFERROR(__xludf.dummyfunction("""COMPUTED_VALUE"""),94.78)</f>
        <v>94.78</v>
      </c>
      <c r="F851" s="2" t="n">
        <f aca="false">IFERROR(__xludf.dummyfunction("""COMPUTED_VALUE"""),31876446)</f>
        <v>31876446</v>
      </c>
    </row>
    <row r="852" customFormat="false" ht="15.75" hidden="false" customHeight="false" outlineLevel="0" collapsed="false">
      <c r="A852" s="3" t="n">
        <f aca="false">IFERROR(__xludf.dummyfunction("""COMPUTED_VALUE"""),45433.6666666667)</f>
        <v>45433.6666666667</v>
      </c>
      <c r="B852" s="2" t="n">
        <f aca="false">IFERROR(__xludf.dummyfunction("""COMPUTED_VALUE"""),93.6)</f>
        <v>93.6</v>
      </c>
      <c r="C852" s="2" t="n">
        <f aca="false">IFERROR(__xludf.dummyfunction("""COMPUTED_VALUE"""),95.4)</f>
        <v>95.4</v>
      </c>
      <c r="D852" s="2" t="n">
        <f aca="false">IFERROR(__xludf.dummyfunction("""COMPUTED_VALUE"""),93.18)</f>
        <v>93.18</v>
      </c>
      <c r="E852" s="2" t="n">
        <f aca="false">IFERROR(__xludf.dummyfunction("""COMPUTED_VALUE"""),95.39)</f>
        <v>95.39</v>
      </c>
      <c r="F852" s="2" t="n">
        <f aca="false">IFERROR(__xludf.dummyfunction("""COMPUTED_VALUE"""),32894646)</f>
        <v>32894646</v>
      </c>
    </row>
    <row r="853" customFormat="false" ht="15.75" hidden="false" customHeight="false" outlineLevel="0" collapsed="false">
      <c r="A853" s="3" t="n">
        <f aca="false">IFERROR(__xludf.dummyfunction("""COMPUTED_VALUE"""),45434.6666666667)</f>
        <v>45434.6666666667</v>
      </c>
      <c r="B853" s="2" t="n">
        <f aca="false">IFERROR(__xludf.dummyfunction("""COMPUTED_VALUE"""),95.46)</f>
        <v>95.46</v>
      </c>
      <c r="C853" s="2" t="n">
        <f aca="false">IFERROR(__xludf.dummyfunction("""COMPUTED_VALUE"""),96.02)</f>
        <v>96.02</v>
      </c>
      <c r="D853" s="2" t="n">
        <f aca="false">IFERROR(__xludf.dummyfunction("""COMPUTED_VALUE"""),93.25)</f>
        <v>93.25</v>
      </c>
      <c r="E853" s="2" t="n">
        <f aca="false">IFERROR(__xludf.dummyfunction("""COMPUTED_VALUE"""),94.95)</f>
        <v>94.95</v>
      </c>
      <c r="F853" s="2" t="n">
        <f aca="false">IFERROR(__xludf.dummyfunction("""COMPUTED_VALUE"""),54864799)</f>
        <v>54864799</v>
      </c>
    </row>
    <row r="854" customFormat="false" ht="15.75" hidden="false" customHeight="false" outlineLevel="0" collapsed="false">
      <c r="A854" s="3" t="n">
        <f aca="false">IFERROR(__xludf.dummyfunction("""COMPUTED_VALUE"""),45435.6666666667)</f>
        <v>45435.6666666667</v>
      </c>
      <c r="B854" s="2" t="n">
        <f aca="false">IFERROR(__xludf.dummyfunction("""COMPUTED_VALUE"""),102.03)</f>
        <v>102.03</v>
      </c>
      <c r="C854" s="2" t="n">
        <f aca="false">IFERROR(__xludf.dummyfunction("""COMPUTED_VALUE"""),106.32)</f>
        <v>106.32</v>
      </c>
      <c r="D854" s="2" t="n">
        <f aca="false">IFERROR(__xludf.dummyfunction("""COMPUTED_VALUE"""),101.52)</f>
        <v>101.52</v>
      </c>
      <c r="E854" s="2" t="n">
        <f aca="false">IFERROR(__xludf.dummyfunction("""COMPUTED_VALUE"""),103.8)</f>
        <v>103.8</v>
      </c>
      <c r="F854" s="2" t="n">
        <f aca="false">IFERROR(__xludf.dummyfunction("""COMPUTED_VALUE"""),83506528)</f>
        <v>83506528</v>
      </c>
    </row>
    <row r="855" customFormat="false" ht="15.75" hidden="false" customHeight="false" outlineLevel="0" collapsed="false">
      <c r="A855" s="3" t="n">
        <f aca="false">IFERROR(__xludf.dummyfunction("""COMPUTED_VALUE"""),45436.6666666667)</f>
        <v>45436.6666666667</v>
      </c>
      <c r="B855" s="2" t="n">
        <f aca="false">IFERROR(__xludf.dummyfunction("""COMPUTED_VALUE"""),104.45)</f>
        <v>104.45</v>
      </c>
      <c r="C855" s="2" t="n">
        <f aca="false">IFERROR(__xludf.dummyfunction("""COMPUTED_VALUE"""),106.48)</f>
        <v>106.48</v>
      </c>
      <c r="D855" s="2" t="n">
        <f aca="false">IFERROR(__xludf.dummyfunction("""COMPUTED_VALUE"""),103)</f>
        <v>103</v>
      </c>
      <c r="E855" s="2" t="n">
        <f aca="false">IFERROR(__xludf.dummyfunction("""COMPUTED_VALUE"""),106.47)</f>
        <v>106.47</v>
      </c>
      <c r="F855" s="2" t="n">
        <f aca="false">IFERROR(__xludf.dummyfunction("""COMPUTED_VALUE"""),42949367)</f>
        <v>42949367</v>
      </c>
    </row>
    <row r="856" customFormat="false" ht="15.75" hidden="false" customHeight="false" outlineLevel="0" collapsed="false">
      <c r="A856" s="3" t="n">
        <f aca="false">IFERROR(__xludf.dummyfunction("""COMPUTED_VALUE"""),45440.6666666667)</f>
        <v>45440.6666666667</v>
      </c>
      <c r="B856" s="2" t="n">
        <f aca="false">IFERROR(__xludf.dummyfunction("""COMPUTED_VALUE"""),110.24)</f>
        <v>110.24</v>
      </c>
      <c r="C856" s="2" t="n">
        <f aca="false">IFERROR(__xludf.dummyfunction("""COMPUTED_VALUE"""),114.94)</f>
        <v>114.94</v>
      </c>
      <c r="D856" s="2" t="n">
        <f aca="false">IFERROR(__xludf.dummyfunction("""COMPUTED_VALUE"""),109.88)</f>
        <v>109.88</v>
      </c>
      <c r="E856" s="2" t="n">
        <f aca="false">IFERROR(__xludf.dummyfunction("""COMPUTED_VALUE"""),113.9)</f>
        <v>113.9</v>
      </c>
      <c r="F856" s="2" t="n">
        <f aca="false">IFERROR(__xludf.dummyfunction("""COMPUTED_VALUE"""),65272789)</f>
        <v>65272789</v>
      </c>
    </row>
    <row r="857" customFormat="false" ht="15.75" hidden="false" customHeight="false" outlineLevel="0" collapsed="false">
      <c r="A857" s="3" t="n">
        <f aca="false">IFERROR(__xludf.dummyfunction("""COMPUTED_VALUE"""),45441.6666666667)</f>
        <v>45441.6666666667</v>
      </c>
      <c r="B857" s="2" t="n">
        <f aca="false">IFERROR(__xludf.dummyfunction("""COMPUTED_VALUE"""),113.05)</f>
        <v>113.05</v>
      </c>
      <c r="C857" s="2" t="n">
        <f aca="false">IFERROR(__xludf.dummyfunction("""COMPUTED_VALUE"""),115.49)</f>
        <v>115.49</v>
      </c>
      <c r="D857" s="2" t="n">
        <f aca="false">IFERROR(__xludf.dummyfunction("""COMPUTED_VALUE"""),110.9)</f>
        <v>110.9</v>
      </c>
      <c r="E857" s="2" t="n">
        <f aca="false">IFERROR(__xludf.dummyfunction("""COMPUTED_VALUE"""),114.83)</f>
        <v>114.83</v>
      </c>
      <c r="F857" s="2" t="n">
        <f aca="false">IFERROR(__xludf.dummyfunction("""COMPUTED_VALUE"""),55744193)</f>
        <v>55744193</v>
      </c>
    </row>
    <row r="858" customFormat="false" ht="15.75" hidden="false" customHeight="false" outlineLevel="0" collapsed="false">
      <c r="A858" s="3" t="n">
        <f aca="false">IFERROR(__xludf.dummyfunction("""COMPUTED_VALUE"""),45442.6666666667)</f>
        <v>45442.6666666667</v>
      </c>
      <c r="B858" s="2" t="n">
        <f aca="false">IFERROR(__xludf.dummyfunction("""COMPUTED_VALUE"""),114.65)</f>
        <v>114.65</v>
      </c>
      <c r="C858" s="2" t="n">
        <f aca="false">IFERROR(__xludf.dummyfunction("""COMPUTED_VALUE"""),115.82)</f>
        <v>115.82</v>
      </c>
      <c r="D858" s="2" t="n">
        <f aca="false">IFERROR(__xludf.dummyfunction("""COMPUTED_VALUE"""),109.66)</f>
        <v>109.66</v>
      </c>
      <c r="E858" s="2" t="n">
        <f aca="false">IFERROR(__xludf.dummyfunction("""COMPUTED_VALUE"""),110.5)</f>
        <v>110.5</v>
      </c>
      <c r="F858" s="2" t="n">
        <f aca="false">IFERROR(__xludf.dummyfunction("""COMPUTED_VALUE"""),48735033)</f>
        <v>48735033</v>
      </c>
    </row>
    <row r="859" customFormat="false" ht="15.75" hidden="false" customHeight="false" outlineLevel="0" collapsed="false">
      <c r="A859" s="3" t="n">
        <f aca="false">IFERROR(__xludf.dummyfunction("""COMPUTED_VALUE"""),45443.6666666667)</f>
        <v>45443.6666666667</v>
      </c>
      <c r="B859" s="2" t="n">
        <f aca="false">IFERROR(__xludf.dummyfunction("""COMPUTED_VALUE"""),112.52)</f>
        <v>112.52</v>
      </c>
      <c r="C859" s="2" t="n">
        <f aca="false">IFERROR(__xludf.dummyfunction("""COMPUTED_VALUE"""),112.72)</f>
        <v>112.72</v>
      </c>
      <c r="D859" s="2" t="n">
        <f aca="false">IFERROR(__xludf.dummyfunction("""COMPUTED_VALUE"""),106.94)</f>
        <v>106.94</v>
      </c>
      <c r="E859" s="2" t="n">
        <f aca="false">IFERROR(__xludf.dummyfunction("""COMPUTED_VALUE"""),109.63)</f>
        <v>109.63</v>
      </c>
      <c r="F859" s="2" t="n">
        <f aca="false">IFERROR(__xludf.dummyfunction("""COMPUTED_VALUE"""),61326250)</f>
        <v>61326250</v>
      </c>
    </row>
    <row r="860" customFormat="false" ht="15.75" hidden="false" customHeight="false" outlineLevel="0" collapsed="false">
      <c r="A860" s="3" t="n">
        <f aca="false">IFERROR(__xludf.dummyfunction("""COMPUTED_VALUE"""),45446.6666666667)</f>
        <v>45446.6666666667</v>
      </c>
      <c r="B860" s="2" t="n">
        <f aca="false">IFERROR(__xludf.dummyfunction("""COMPUTED_VALUE"""),113.62)</f>
        <v>113.62</v>
      </c>
      <c r="C860" s="2" t="n">
        <f aca="false">IFERROR(__xludf.dummyfunction("""COMPUTED_VALUE"""),115)</f>
        <v>115</v>
      </c>
      <c r="D860" s="2" t="n">
        <f aca="false">IFERROR(__xludf.dummyfunction("""COMPUTED_VALUE"""),112)</f>
        <v>112</v>
      </c>
      <c r="E860" s="2" t="n">
        <f aca="false">IFERROR(__xludf.dummyfunction("""COMPUTED_VALUE"""),115)</f>
        <v>115</v>
      </c>
      <c r="F860" s="2" t="n">
        <f aca="false">IFERROR(__xludf.dummyfunction("""COMPUTED_VALUE"""),43839176)</f>
        <v>43839176</v>
      </c>
    </row>
    <row r="861" customFormat="false" ht="15.75" hidden="false" customHeight="false" outlineLevel="0" collapsed="false">
      <c r="A861" s="3" t="n">
        <f aca="false">IFERROR(__xludf.dummyfunction("""COMPUTED_VALUE"""),45447.6666666667)</f>
        <v>45447.6666666667</v>
      </c>
      <c r="B861" s="2" t="n">
        <f aca="false">IFERROR(__xludf.dummyfunction("""COMPUTED_VALUE"""),115.72)</f>
        <v>115.72</v>
      </c>
      <c r="C861" s="2" t="n">
        <f aca="false">IFERROR(__xludf.dummyfunction("""COMPUTED_VALUE"""),116.6)</f>
        <v>116.6</v>
      </c>
      <c r="D861" s="2" t="n">
        <f aca="false">IFERROR(__xludf.dummyfunction("""COMPUTED_VALUE"""),114.05)</f>
        <v>114.05</v>
      </c>
      <c r="E861" s="2" t="n">
        <f aca="false">IFERROR(__xludf.dummyfunction("""COMPUTED_VALUE"""),116.44)</f>
        <v>116.44</v>
      </c>
      <c r="F861" s="2" t="n">
        <f aca="false">IFERROR(__xludf.dummyfunction("""COMPUTED_VALUE"""),40332401)</f>
        <v>40332401</v>
      </c>
    </row>
    <row r="862" customFormat="false" ht="15.75" hidden="false" customHeight="false" outlineLevel="0" collapsed="false">
      <c r="A862" s="3" t="n">
        <f aca="false">IFERROR(__xludf.dummyfunction("""COMPUTED_VALUE"""),45448.6666666667)</f>
        <v>45448.6666666667</v>
      </c>
      <c r="B862" s="2" t="n">
        <f aca="false">IFERROR(__xludf.dummyfunction("""COMPUTED_VALUE"""),118.37)</f>
        <v>118.37</v>
      </c>
      <c r="C862" s="2" t="n">
        <f aca="false">IFERROR(__xludf.dummyfunction("""COMPUTED_VALUE"""),122.45)</f>
        <v>122.45</v>
      </c>
      <c r="D862" s="2" t="n">
        <f aca="false">IFERROR(__xludf.dummyfunction("""COMPUTED_VALUE"""),117.47)</f>
        <v>117.47</v>
      </c>
      <c r="E862" s="2" t="n">
        <f aca="false">IFERROR(__xludf.dummyfunction("""COMPUTED_VALUE"""),122.44)</f>
        <v>122.44</v>
      </c>
      <c r="F862" s="2" t="n">
        <f aca="false">IFERROR(__xludf.dummyfunction("""COMPUTED_VALUE"""),52840178)</f>
        <v>52840178</v>
      </c>
    </row>
    <row r="863" customFormat="false" ht="15.75" hidden="false" customHeight="false" outlineLevel="0" collapsed="false">
      <c r="A863" s="3" t="n">
        <f aca="false">IFERROR(__xludf.dummyfunction("""COMPUTED_VALUE"""),45449.6666666667)</f>
        <v>45449.6666666667</v>
      </c>
      <c r="B863" s="2" t="n">
        <f aca="false">IFERROR(__xludf.dummyfunction("""COMPUTED_VALUE"""),124.05)</f>
        <v>124.05</v>
      </c>
      <c r="C863" s="2" t="n">
        <f aca="false">IFERROR(__xludf.dummyfunction("""COMPUTED_VALUE"""),125.59)</f>
        <v>125.59</v>
      </c>
      <c r="D863" s="2" t="n">
        <f aca="false">IFERROR(__xludf.dummyfunction("""COMPUTED_VALUE"""),118.32)</f>
        <v>118.32</v>
      </c>
      <c r="E863" s="2" t="n">
        <f aca="false">IFERROR(__xludf.dummyfunction("""COMPUTED_VALUE"""),121)</f>
        <v>121</v>
      </c>
      <c r="F863" s="2" t="n">
        <f aca="false">IFERROR(__xludf.dummyfunction("""COMPUTED_VALUE"""),66469619)</f>
        <v>66469619</v>
      </c>
    </row>
    <row r="864" customFormat="false" ht="15.75" hidden="false" customHeight="false" outlineLevel="0" collapsed="false">
      <c r="A864" s="3" t="n">
        <f aca="false">IFERROR(__xludf.dummyfunction("""COMPUTED_VALUE"""),45450.6666666667)</f>
        <v>45450.6666666667</v>
      </c>
      <c r="B864" s="2" t="n">
        <f aca="false">IFERROR(__xludf.dummyfunction("""COMPUTED_VALUE"""),119.77)</f>
        <v>119.77</v>
      </c>
      <c r="C864" s="2" t="n">
        <f aca="false">IFERROR(__xludf.dummyfunction("""COMPUTED_VALUE"""),121.69)</f>
        <v>121.69</v>
      </c>
      <c r="D864" s="2" t="n">
        <f aca="false">IFERROR(__xludf.dummyfunction("""COMPUTED_VALUE"""),118.02)</f>
        <v>118.02</v>
      </c>
      <c r="E864" s="2" t="n">
        <f aca="false">IFERROR(__xludf.dummyfunction("""COMPUTED_VALUE"""),120.89)</f>
        <v>120.89</v>
      </c>
      <c r="F864" s="2" t="n">
        <f aca="false">IFERROR(__xludf.dummyfunction("""COMPUTED_VALUE"""),41238580)</f>
        <v>41238580</v>
      </c>
    </row>
    <row r="865" customFormat="false" ht="15.75" hidden="false" customHeight="false" outlineLevel="0" collapsed="false">
      <c r="A865" s="3" t="n">
        <f aca="false">IFERROR(__xludf.dummyfunction("""COMPUTED_VALUE"""),45453.6666666667)</f>
        <v>45453.6666666667</v>
      </c>
      <c r="B865" s="2" t="n">
        <f aca="false">IFERROR(__xludf.dummyfunction("""COMPUTED_VALUE"""),120.37)</f>
        <v>120.37</v>
      </c>
      <c r="C865" s="2" t="n">
        <f aca="false">IFERROR(__xludf.dummyfunction("""COMPUTED_VALUE"""),123.1)</f>
        <v>123.1</v>
      </c>
      <c r="D865" s="2" t="n">
        <f aca="false">IFERROR(__xludf.dummyfunction("""COMPUTED_VALUE"""),117.01)</f>
        <v>117.01</v>
      </c>
      <c r="E865" s="2" t="n">
        <f aca="false">IFERROR(__xludf.dummyfunction("""COMPUTED_VALUE"""),121.79)</f>
        <v>121.79</v>
      </c>
      <c r="F865" s="2" t="n">
        <f aca="false">IFERROR(__xludf.dummyfunction("""COMPUTED_VALUE"""),314162650)</f>
        <v>314162650</v>
      </c>
    </row>
    <row r="866" customFormat="false" ht="15.75" hidden="false" customHeight="false" outlineLevel="0" collapsed="false">
      <c r="A866" s="3" t="n">
        <f aca="false">IFERROR(__xludf.dummyfunction("""COMPUTED_VALUE"""),45454.6666666667)</f>
        <v>45454.6666666667</v>
      </c>
      <c r="B866" s="2" t="n">
        <f aca="false">IFERROR(__xludf.dummyfunction("""COMPUTED_VALUE"""),121.77)</f>
        <v>121.77</v>
      </c>
      <c r="C866" s="2" t="n">
        <f aca="false">IFERROR(__xludf.dummyfunction("""COMPUTED_VALUE"""),122.87)</f>
        <v>122.87</v>
      </c>
      <c r="D866" s="2" t="n">
        <f aca="false">IFERROR(__xludf.dummyfunction("""COMPUTED_VALUE"""),118.74)</f>
        <v>118.74</v>
      </c>
      <c r="E866" s="2" t="n">
        <f aca="false">IFERROR(__xludf.dummyfunction("""COMPUTED_VALUE"""),120.91)</f>
        <v>120.91</v>
      </c>
      <c r="F866" s="2" t="n">
        <f aca="false">IFERROR(__xludf.dummyfunction("""COMPUTED_VALUE"""),222551158)</f>
        <v>222551158</v>
      </c>
    </row>
    <row r="867" customFormat="false" ht="15.75" hidden="false" customHeight="false" outlineLevel="0" collapsed="false">
      <c r="A867" s="3" t="n">
        <f aca="false">IFERROR(__xludf.dummyfunction("""COMPUTED_VALUE"""),45455.6666666667)</f>
        <v>45455.6666666667</v>
      </c>
      <c r="B867" s="2" t="n">
        <f aca="false">IFERROR(__xludf.dummyfunction("""COMPUTED_VALUE"""),123.06)</f>
        <v>123.06</v>
      </c>
      <c r="C867" s="2" t="n">
        <f aca="false">IFERROR(__xludf.dummyfunction("""COMPUTED_VALUE"""),126.88)</f>
        <v>126.88</v>
      </c>
      <c r="D867" s="2" t="n">
        <f aca="false">IFERROR(__xludf.dummyfunction("""COMPUTED_VALUE"""),122.57)</f>
        <v>122.57</v>
      </c>
      <c r="E867" s="2" t="n">
        <f aca="false">IFERROR(__xludf.dummyfunction("""COMPUTED_VALUE"""),125.2)</f>
        <v>125.2</v>
      </c>
      <c r="F867" s="2" t="n">
        <f aca="false">IFERROR(__xludf.dummyfunction("""COMPUTED_VALUE"""),299595001)</f>
        <v>299595001</v>
      </c>
    </row>
    <row r="868" customFormat="false" ht="15.75" hidden="false" customHeight="false" outlineLevel="0" collapsed="false">
      <c r="A868" s="3" t="n">
        <f aca="false">IFERROR(__xludf.dummyfunction("""COMPUTED_VALUE"""),45456.6666666667)</f>
        <v>45456.6666666667</v>
      </c>
      <c r="B868" s="2" t="n">
        <f aca="false">IFERROR(__xludf.dummyfunction("""COMPUTED_VALUE"""),129.39)</f>
        <v>129.39</v>
      </c>
      <c r="C868" s="2" t="n">
        <f aca="false">IFERROR(__xludf.dummyfunction("""COMPUTED_VALUE"""),129.8)</f>
        <v>129.8</v>
      </c>
      <c r="D868" s="2" t="n">
        <f aca="false">IFERROR(__xludf.dummyfunction("""COMPUTED_VALUE"""),127.16)</f>
        <v>127.16</v>
      </c>
      <c r="E868" s="2" t="n">
        <f aca="false">IFERROR(__xludf.dummyfunction("""COMPUTED_VALUE"""),129.61)</f>
        <v>129.61</v>
      </c>
      <c r="F868" s="2" t="n">
        <f aca="false">IFERROR(__xludf.dummyfunction("""COMPUTED_VALUE"""),260704537)</f>
        <v>260704537</v>
      </c>
    </row>
    <row r="869" customFormat="false" ht="15.75" hidden="false" customHeight="false" outlineLevel="0" collapsed="false">
      <c r="A869" s="3" t="n">
        <f aca="false">IFERROR(__xludf.dummyfunction("""COMPUTED_VALUE"""),45457.6666666667)</f>
        <v>45457.6666666667</v>
      </c>
      <c r="B869" s="2" t="n">
        <f aca="false">IFERROR(__xludf.dummyfunction("""COMPUTED_VALUE"""),129.96)</f>
        <v>129.96</v>
      </c>
      <c r="C869" s="2" t="n">
        <f aca="false">IFERROR(__xludf.dummyfunction("""COMPUTED_VALUE"""),132.84)</f>
        <v>132.84</v>
      </c>
      <c r="D869" s="2" t="n">
        <f aca="false">IFERROR(__xludf.dummyfunction("""COMPUTED_VALUE"""),128.32)</f>
        <v>128.32</v>
      </c>
      <c r="E869" s="2" t="n">
        <f aca="false">IFERROR(__xludf.dummyfunction("""COMPUTED_VALUE"""),131.88)</f>
        <v>131.88</v>
      </c>
      <c r="F869" s="2" t="n">
        <f aca="false">IFERROR(__xludf.dummyfunction("""COMPUTED_VALUE"""),309320376)</f>
        <v>309320376</v>
      </c>
    </row>
    <row r="870" customFormat="false" ht="15.75" hidden="false" customHeight="false" outlineLevel="0" collapsed="false">
      <c r="A870" s="3" t="n">
        <f aca="false">IFERROR(__xludf.dummyfunction("""COMPUTED_VALUE"""),45460.6666666667)</f>
        <v>45460.6666666667</v>
      </c>
      <c r="B870" s="2" t="n">
        <f aca="false">IFERROR(__xludf.dummyfunction("""COMPUTED_VALUE"""),132.99)</f>
        <v>132.99</v>
      </c>
      <c r="C870" s="2" t="n">
        <f aca="false">IFERROR(__xludf.dummyfunction("""COMPUTED_VALUE"""),133.73)</f>
        <v>133.73</v>
      </c>
      <c r="D870" s="2" t="n">
        <f aca="false">IFERROR(__xludf.dummyfunction("""COMPUTED_VALUE"""),129.58)</f>
        <v>129.58</v>
      </c>
      <c r="E870" s="2" t="n">
        <f aca="false">IFERROR(__xludf.dummyfunction("""COMPUTED_VALUE"""),130.98)</f>
        <v>130.98</v>
      </c>
      <c r="F870" s="2" t="n">
        <f aca="false">IFERROR(__xludf.dummyfunction("""COMPUTED_VALUE"""),288504444)</f>
        <v>288504444</v>
      </c>
    </row>
    <row r="871" customFormat="false" ht="15.75" hidden="false" customHeight="false" outlineLevel="0" collapsed="false">
      <c r="A871" s="3" t="n">
        <f aca="false">IFERROR(__xludf.dummyfunction("""COMPUTED_VALUE"""),45461.6666666667)</f>
        <v>45461.6666666667</v>
      </c>
      <c r="B871" s="2" t="n">
        <f aca="false">IFERROR(__xludf.dummyfunction("""COMPUTED_VALUE"""),131.14)</f>
        <v>131.14</v>
      </c>
      <c r="C871" s="2" t="n">
        <f aca="false">IFERROR(__xludf.dummyfunction("""COMPUTED_VALUE"""),136.33)</f>
        <v>136.33</v>
      </c>
      <c r="D871" s="2" t="n">
        <f aca="false">IFERROR(__xludf.dummyfunction("""COMPUTED_VALUE"""),130.69)</f>
        <v>130.69</v>
      </c>
      <c r="E871" s="2" t="n">
        <f aca="false">IFERROR(__xludf.dummyfunction("""COMPUTED_VALUE"""),135.58)</f>
        <v>135.58</v>
      </c>
      <c r="F871" s="2" t="n">
        <f aca="false">IFERROR(__xludf.dummyfunction("""COMPUTED_VALUE"""),294335054)</f>
        <v>294335054</v>
      </c>
    </row>
    <row r="872" customFormat="false" ht="15.75" hidden="false" customHeight="false" outlineLevel="0" collapsed="false">
      <c r="A872" s="3" t="n">
        <f aca="false">IFERROR(__xludf.dummyfunction("""COMPUTED_VALUE"""),45463.6666666667)</f>
        <v>45463.6666666667</v>
      </c>
      <c r="B872" s="2" t="n">
        <f aca="false">IFERROR(__xludf.dummyfunction("""COMPUTED_VALUE"""),139.8)</f>
        <v>139.8</v>
      </c>
      <c r="C872" s="2" t="n">
        <f aca="false">IFERROR(__xludf.dummyfunction("""COMPUTED_VALUE"""),140.76)</f>
        <v>140.76</v>
      </c>
      <c r="D872" s="2" t="n">
        <f aca="false">IFERROR(__xludf.dummyfunction("""COMPUTED_VALUE"""),129.52)</f>
        <v>129.52</v>
      </c>
      <c r="E872" s="2" t="n">
        <f aca="false">IFERROR(__xludf.dummyfunction("""COMPUTED_VALUE"""),130.78)</f>
        <v>130.78</v>
      </c>
      <c r="F872" s="2" t="n">
        <f aca="false">IFERROR(__xludf.dummyfunction("""COMPUTED_VALUE"""),517768425)</f>
        <v>517768425</v>
      </c>
    </row>
    <row r="873" customFormat="false" ht="15.75" hidden="false" customHeight="false" outlineLevel="0" collapsed="false">
      <c r="A873" s="3" t="n">
        <f aca="false">IFERROR(__xludf.dummyfunction("""COMPUTED_VALUE"""),45464.6666666667)</f>
        <v>45464.6666666667</v>
      </c>
      <c r="B873" s="2" t="n">
        <f aca="false">IFERROR(__xludf.dummyfunction("""COMPUTED_VALUE"""),127.12)</f>
        <v>127.12</v>
      </c>
      <c r="C873" s="2" t="n">
        <f aca="false">IFERROR(__xludf.dummyfunction("""COMPUTED_VALUE"""),130.63)</f>
        <v>130.63</v>
      </c>
      <c r="D873" s="2" t="n">
        <f aca="false">IFERROR(__xludf.dummyfunction("""COMPUTED_VALUE"""),124.3)</f>
        <v>124.3</v>
      </c>
      <c r="E873" s="2" t="n">
        <f aca="false">IFERROR(__xludf.dummyfunction("""COMPUTED_VALUE"""),126.57)</f>
        <v>126.57</v>
      </c>
      <c r="F873" s="2" t="n">
        <f aca="false">IFERROR(__xludf.dummyfunction("""COMPUTED_VALUE"""),655484664)</f>
        <v>655484664</v>
      </c>
    </row>
    <row r="874" customFormat="false" ht="15.75" hidden="false" customHeight="false" outlineLevel="0" collapsed="false">
      <c r="A874" s="3" t="n">
        <f aca="false">IFERROR(__xludf.dummyfunction("""COMPUTED_VALUE"""),45467.6666666667)</f>
        <v>45467.6666666667</v>
      </c>
      <c r="B874" s="2" t="n">
        <f aca="false">IFERROR(__xludf.dummyfunction("""COMPUTED_VALUE"""),123.24)</f>
        <v>123.24</v>
      </c>
      <c r="C874" s="2" t="n">
        <f aca="false">IFERROR(__xludf.dummyfunction("""COMPUTED_VALUE"""),124.46)</f>
        <v>124.46</v>
      </c>
      <c r="D874" s="2" t="n">
        <f aca="false">IFERROR(__xludf.dummyfunction("""COMPUTED_VALUE"""),118.04)</f>
        <v>118.04</v>
      </c>
      <c r="E874" s="2" t="n">
        <f aca="false">IFERROR(__xludf.dummyfunction("""COMPUTED_VALUE"""),118.11)</f>
        <v>118.11</v>
      </c>
      <c r="F874" s="2" t="n">
        <f aca="false">IFERROR(__xludf.dummyfunction("""COMPUTED_VALUE"""),476060866)</f>
        <v>476060866</v>
      </c>
    </row>
    <row r="875" customFormat="false" ht="15.75" hidden="false" customHeight="false" outlineLevel="0" collapsed="false">
      <c r="A875" s="3" t="n">
        <f aca="false">IFERROR(__xludf.dummyfunction("""COMPUTED_VALUE"""),45468.6666666667)</f>
        <v>45468.6666666667</v>
      </c>
      <c r="B875" s="2" t="n">
        <f aca="false">IFERROR(__xludf.dummyfunction("""COMPUTED_VALUE"""),121.2)</f>
        <v>121.2</v>
      </c>
      <c r="C875" s="2" t="n">
        <f aca="false">IFERROR(__xludf.dummyfunction("""COMPUTED_VALUE"""),126.5)</f>
        <v>126.5</v>
      </c>
      <c r="D875" s="2" t="n">
        <f aca="false">IFERROR(__xludf.dummyfunction("""COMPUTED_VALUE"""),119.32)</f>
        <v>119.32</v>
      </c>
      <c r="E875" s="2" t="n">
        <f aca="false">IFERROR(__xludf.dummyfunction("""COMPUTED_VALUE"""),126.09)</f>
        <v>126.09</v>
      </c>
      <c r="F875" s="2" t="n">
        <f aca="false">IFERROR(__xludf.dummyfunction("""COMPUTED_VALUE"""),425787456)</f>
        <v>425787456</v>
      </c>
    </row>
    <row r="876" customFormat="false" ht="15.75" hidden="false" customHeight="false" outlineLevel="0" collapsed="false">
      <c r="A876" s="3" t="n">
        <f aca="false">IFERROR(__xludf.dummyfunction("""COMPUTED_VALUE"""),45469.6666666667)</f>
        <v>45469.6666666667</v>
      </c>
      <c r="B876" s="2" t="n">
        <f aca="false">IFERROR(__xludf.dummyfunction("""COMPUTED_VALUE"""),126.13)</f>
        <v>126.13</v>
      </c>
      <c r="C876" s="2" t="n">
        <f aca="false">IFERROR(__xludf.dummyfunction("""COMPUTED_VALUE"""),128.12)</f>
        <v>128.12</v>
      </c>
      <c r="D876" s="2" t="n">
        <f aca="false">IFERROR(__xludf.dummyfunction("""COMPUTED_VALUE"""),122.6)</f>
        <v>122.6</v>
      </c>
      <c r="E876" s="2" t="n">
        <f aca="false">IFERROR(__xludf.dummyfunction("""COMPUTED_VALUE"""),126.4)</f>
        <v>126.4</v>
      </c>
      <c r="F876" s="2" t="n">
        <f aca="false">IFERROR(__xludf.dummyfunction("""COMPUTED_VALUE"""),362975918)</f>
        <v>362975918</v>
      </c>
    </row>
    <row r="877" customFormat="false" ht="15.75" hidden="false" customHeight="false" outlineLevel="0" collapsed="false">
      <c r="A877" s="3" t="n">
        <f aca="false">IFERROR(__xludf.dummyfunction("""COMPUTED_VALUE"""),45470.6666666667)</f>
        <v>45470.6666666667</v>
      </c>
      <c r="B877" s="2" t="n">
        <f aca="false">IFERROR(__xludf.dummyfunction("""COMPUTED_VALUE"""),124.1)</f>
        <v>124.1</v>
      </c>
      <c r="C877" s="2" t="n">
        <f aca="false">IFERROR(__xludf.dummyfunction("""COMPUTED_VALUE"""),126.41)</f>
        <v>126.41</v>
      </c>
      <c r="D877" s="2" t="n">
        <f aca="false">IFERROR(__xludf.dummyfunction("""COMPUTED_VALUE"""),122.92)</f>
        <v>122.92</v>
      </c>
      <c r="E877" s="2" t="n">
        <f aca="false">IFERROR(__xludf.dummyfunction("""COMPUTED_VALUE"""),123.99)</f>
        <v>123.99</v>
      </c>
      <c r="F877" s="2" t="n">
        <f aca="false">IFERROR(__xludf.dummyfunction("""COMPUTED_VALUE"""),252571693)</f>
        <v>252571693</v>
      </c>
    </row>
    <row r="878" customFormat="false" ht="15.75" hidden="false" customHeight="false" outlineLevel="0" collapsed="false">
      <c r="A878" s="3" t="n">
        <f aca="false">IFERROR(__xludf.dummyfunction("""COMPUTED_VALUE"""),45471.6666666667)</f>
        <v>45471.6666666667</v>
      </c>
      <c r="B878" s="2" t="n">
        <f aca="false">IFERROR(__xludf.dummyfunction("""COMPUTED_VALUE"""),124.58)</f>
        <v>124.58</v>
      </c>
      <c r="C878" s="2" t="n">
        <f aca="false">IFERROR(__xludf.dummyfunction("""COMPUTED_VALUE"""),127.71)</f>
        <v>127.71</v>
      </c>
      <c r="D878" s="2" t="n">
        <f aca="false">IFERROR(__xludf.dummyfunction("""COMPUTED_VALUE"""),122.75)</f>
        <v>122.75</v>
      </c>
      <c r="E878" s="2" t="n">
        <f aca="false">IFERROR(__xludf.dummyfunction("""COMPUTED_VALUE"""),123.54)</f>
        <v>123.54</v>
      </c>
      <c r="F878" s="2" t="n">
        <f aca="false">IFERROR(__xludf.dummyfunction("""COMPUTED_VALUE"""),315516740)</f>
        <v>315516740</v>
      </c>
    </row>
    <row r="879" customFormat="false" ht="15.75" hidden="false" customHeight="false" outlineLevel="0" collapsed="false">
      <c r="A879" s="3" t="n">
        <f aca="false">IFERROR(__xludf.dummyfunction("""COMPUTED_VALUE"""),45474.6666666667)</f>
        <v>45474.6666666667</v>
      </c>
      <c r="B879" s="2" t="n">
        <f aca="false">IFERROR(__xludf.dummyfunction("""COMPUTED_VALUE"""),123.47)</f>
        <v>123.47</v>
      </c>
      <c r="C879" s="2" t="n">
        <f aca="false">IFERROR(__xludf.dummyfunction("""COMPUTED_VALUE"""),124.84)</f>
        <v>124.84</v>
      </c>
      <c r="D879" s="2" t="n">
        <f aca="false">IFERROR(__xludf.dummyfunction("""COMPUTED_VALUE"""),118.83)</f>
        <v>118.83</v>
      </c>
      <c r="E879" s="2" t="n">
        <f aca="false">IFERROR(__xludf.dummyfunction("""COMPUTED_VALUE"""),124.3)</f>
        <v>124.3</v>
      </c>
      <c r="F879" s="2" t="n">
        <f aca="false">IFERROR(__xludf.dummyfunction("""COMPUTED_VALUE"""),284885534)</f>
        <v>284885534</v>
      </c>
    </row>
    <row r="880" customFormat="false" ht="15.75" hidden="false" customHeight="false" outlineLevel="0" collapsed="false">
      <c r="A880" s="3" t="n">
        <f aca="false">IFERROR(__xludf.dummyfunction("""COMPUTED_VALUE"""),45475.6666666667)</f>
        <v>45475.6666666667</v>
      </c>
      <c r="B880" s="2" t="n">
        <f aca="false">IFERROR(__xludf.dummyfunction("""COMPUTED_VALUE"""),121.13)</f>
        <v>121.13</v>
      </c>
      <c r="C880" s="2" t="n">
        <f aca="false">IFERROR(__xludf.dummyfunction("""COMPUTED_VALUE"""),123.41)</f>
        <v>123.41</v>
      </c>
      <c r="D880" s="2" t="n">
        <f aca="false">IFERROR(__xludf.dummyfunction("""COMPUTED_VALUE"""),121.03)</f>
        <v>121.03</v>
      </c>
      <c r="E880" s="2" t="n">
        <f aca="false">IFERROR(__xludf.dummyfunction("""COMPUTED_VALUE"""),122.67)</f>
        <v>122.67</v>
      </c>
      <c r="F880" s="2" t="n">
        <f aca="false">IFERROR(__xludf.dummyfunction("""COMPUTED_VALUE"""),218373969)</f>
        <v>218373969</v>
      </c>
    </row>
    <row r="881" customFormat="false" ht="15.75" hidden="false" customHeight="false" outlineLevel="0" collapsed="false">
      <c r="A881" s="3" t="n">
        <f aca="false">IFERROR(__xludf.dummyfunction("""COMPUTED_VALUE"""),45476.5451388889)</f>
        <v>45476.5451388889</v>
      </c>
      <c r="B881" s="2" t="n">
        <f aca="false">IFERROR(__xludf.dummyfunction("""COMPUTED_VALUE"""),121.66)</f>
        <v>121.66</v>
      </c>
      <c r="C881" s="2" t="n">
        <f aca="false">IFERROR(__xludf.dummyfunction("""COMPUTED_VALUE"""),128.28)</f>
        <v>128.28</v>
      </c>
      <c r="D881" s="2" t="n">
        <f aca="false">IFERROR(__xludf.dummyfunction("""COMPUTED_VALUE"""),121.36)</f>
        <v>121.36</v>
      </c>
      <c r="E881" s="2" t="n">
        <f aca="false">IFERROR(__xludf.dummyfunction("""COMPUTED_VALUE"""),128.28)</f>
        <v>128.28</v>
      </c>
      <c r="F881" s="2" t="n">
        <f aca="false">IFERROR(__xludf.dummyfunction("""COMPUTED_VALUE"""),215748955)</f>
        <v>215748955</v>
      </c>
    </row>
    <row r="882" customFormat="false" ht="15.75" hidden="false" customHeight="false" outlineLevel="0" collapsed="false">
      <c r="A882" s="3" t="n">
        <f aca="false">IFERROR(__xludf.dummyfunction("""COMPUTED_VALUE"""),45478.6666666667)</f>
        <v>45478.6666666667</v>
      </c>
      <c r="B882" s="2" t="n">
        <f aca="false">IFERROR(__xludf.dummyfunction("""COMPUTED_VALUE"""),127.38)</f>
        <v>127.38</v>
      </c>
      <c r="C882" s="2" t="n">
        <f aca="false">IFERROR(__xludf.dummyfunction("""COMPUTED_VALUE"""),128.85)</f>
        <v>128.85</v>
      </c>
      <c r="D882" s="2" t="n">
        <f aca="false">IFERROR(__xludf.dummyfunction("""COMPUTED_VALUE"""),125.68)</f>
        <v>125.68</v>
      </c>
      <c r="E882" s="2" t="n">
        <f aca="false">IFERROR(__xludf.dummyfunction("""COMPUTED_VALUE"""),125.83)</f>
        <v>125.83</v>
      </c>
      <c r="F882" s="2" t="n">
        <f aca="false">IFERROR(__xludf.dummyfunction("""COMPUTED_VALUE"""),214176689)</f>
        <v>214176689</v>
      </c>
    </row>
    <row r="883" customFormat="false" ht="15.75" hidden="false" customHeight="false" outlineLevel="0" collapsed="false">
      <c r="A883" s="3" t="n">
        <f aca="false">IFERROR(__xludf.dummyfunction("""COMPUTED_VALUE"""),45481.6666666667)</f>
        <v>45481.6666666667</v>
      </c>
      <c r="B883" s="2" t="n">
        <f aca="false">IFERROR(__xludf.dummyfunction("""COMPUTED_VALUE"""),127.49)</f>
        <v>127.49</v>
      </c>
      <c r="C883" s="2" t="n">
        <f aca="false">IFERROR(__xludf.dummyfunction("""COMPUTED_VALUE"""),130.77)</f>
        <v>130.77</v>
      </c>
      <c r="D883" s="2" t="n">
        <f aca="false">IFERROR(__xludf.dummyfunction("""COMPUTED_VALUE"""),127.04)</f>
        <v>127.04</v>
      </c>
      <c r="E883" s="2" t="n">
        <f aca="false">IFERROR(__xludf.dummyfunction("""COMPUTED_VALUE"""),128.2)</f>
        <v>128.2</v>
      </c>
      <c r="F883" s="2" t="n">
        <f aca="false">IFERROR(__xludf.dummyfunction("""COMPUTED_VALUE"""),237677322)</f>
        <v>237677322</v>
      </c>
    </row>
    <row r="884" customFormat="false" ht="15.75" hidden="false" customHeight="false" outlineLevel="0" collapsed="false">
      <c r="A884" s="3" t="n">
        <f aca="false">IFERROR(__xludf.dummyfunction("""COMPUTED_VALUE"""),45482.6666666667)</f>
        <v>45482.6666666667</v>
      </c>
      <c r="B884" s="2" t="n">
        <f aca="false">IFERROR(__xludf.dummyfunction("""COMPUTED_VALUE"""),130.35)</f>
        <v>130.35</v>
      </c>
      <c r="C884" s="2" t="n">
        <f aca="false">IFERROR(__xludf.dummyfunction("""COMPUTED_VALUE"""),133.82)</f>
        <v>133.82</v>
      </c>
      <c r="D884" s="2" t="n">
        <f aca="false">IFERROR(__xludf.dummyfunction("""COMPUTED_VALUE"""),128.65)</f>
        <v>128.65</v>
      </c>
      <c r="E884" s="2" t="n">
        <f aca="false">IFERROR(__xludf.dummyfunction("""COMPUTED_VALUE"""),131.38)</f>
        <v>131.38</v>
      </c>
      <c r="F884" s="2" t="n">
        <f aca="false">IFERROR(__xludf.dummyfunction("""COMPUTED_VALUE"""),287020820)</f>
        <v>287020820</v>
      </c>
    </row>
    <row r="885" customFormat="false" ht="15.75" hidden="false" customHeight="false" outlineLevel="0" collapsed="false">
      <c r="A885" s="3" t="n">
        <f aca="false">IFERROR(__xludf.dummyfunction("""COMPUTED_VALUE"""),45483.6666666667)</f>
        <v>45483.6666666667</v>
      </c>
      <c r="B885" s="2" t="n">
        <f aca="false">IFERROR(__xludf.dummyfunction("""COMPUTED_VALUE"""),134.03)</f>
        <v>134.03</v>
      </c>
      <c r="C885" s="2" t="n">
        <f aca="false">IFERROR(__xludf.dummyfunction("""COMPUTED_VALUE"""),135.1)</f>
        <v>135.1</v>
      </c>
      <c r="D885" s="2" t="n">
        <f aca="false">IFERROR(__xludf.dummyfunction("""COMPUTED_VALUE"""),132.42)</f>
        <v>132.42</v>
      </c>
      <c r="E885" s="2" t="n">
        <f aca="false">IFERROR(__xludf.dummyfunction("""COMPUTED_VALUE"""),134.91)</f>
        <v>134.91</v>
      </c>
      <c r="F885" s="2" t="n">
        <f aca="false">IFERROR(__xludf.dummyfunction("""COMPUTED_VALUE"""),248978569)</f>
        <v>248978569</v>
      </c>
    </row>
    <row r="886" customFormat="false" ht="15.75" hidden="false" customHeight="false" outlineLevel="0" collapsed="false">
      <c r="A886" s="3" t="n">
        <f aca="false">IFERROR(__xludf.dummyfunction("""COMPUTED_VALUE"""),45484.6666666667)</f>
        <v>45484.6666666667</v>
      </c>
      <c r="B886" s="2" t="n">
        <f aca="false">IFERROR(__xludf.dummyfunction("""COMPUTED_VALUE"""),135.75)</f>
        <v>135.75</v>
      </c>
      <c r="C886" s="2" t="n">
        <f aca="false">IFERROR(__xludf.dummyfunction("""COMPUTED_VALUE"""),136.15)</f>
        <v>136.15</v>
      </c>
      <c r="D886" s="2" t="n">
        <f aca="false">IFERROR(__xludf.dummyfunction("""COMPUTED_VALUE"""),127.05)</f>
        <v>127.05</v>
      </c>
      <c r="E886" s="2" t="n">
        <f aca="false">IFERROR(__xludf.dummyfunction("""COMPUTED_VALUE"""),127.4)</f>
        <v>127.4</v>
      </c>
      <c r="F886" s="2" t="n">
        <f aca="false">IFERROR(__xludf.dummyfunction("""COMPUTED_VALUE"""),374782738)</f>
        <v>374782738</v>
      </c>
    </row>
    <row r="887" customFormat="false" ht="15.75" hidden="false" customHeight="false" outlineLevel="0" collapsed="false">
      <c r="A887" s="3" t="n">
        <f aca="false">IFERROR(__xludf.dummyfunction("""COMPUTED_VALUE"""),45485.6666666667)</f>
        <v>45485.6666666667</v>
      </c>
      <c r="B887" s="2" t="n">
        <f aca="false">IFERROR(__xludf.dummyfunction("""COMPUTED_VALUE"""),128.26)</f>
        <v>128.26</v>
      </c>
      <c r="C887" s="2" t="n">
        <f aca="false">IFERROR(__xludf.dummyfunction("""COMPUTED_VALUE"""),131.92)</f>
        <v>131.92</v>
      </c>
      <c r="D887" s="2" t="n">
        <f aca="false">IFERROR(__xludf.dummyfunction("""COMPUTED_VALUE"""),127.22)</f>
        <v>127.22</v>
      </c>
      <c r="E887" s="2" t="n">
        <f aca="false">IFERROR(__xludf.dummyfunction("""COMPUTED_VALUE"""),129.24)</f>
        <v>129.24</v>
      </c>
      <c r="F887" s="2" t="n">
        <f aca="false">IFERROR(__xludf.dummyfunction("""COMPUTED_VALUE"""),252680535)</f>
        <v>252680535</v>
      </c>
    </row>
    <row r="888" customFormat="false" ht="15.75" hidden="false" customHeight="false" outlineLevel="0" collapsed="false">
      <c r="A888" s="3" t="n">
        <f aca="false">IFERROR(__xludf.dummyfunction("""COMPUTED_VALUE"""),45488.6666666667)</f>
        <v>45488.6666666667</v>
      </c>
      <c r="B888" s="2" t="n">
        <f aca="false">IFERROR(__xludf.dummyfunction("""COMPUTED_VALUE"""),130.56)</f>
        <v>130.56</v>
      </c>
      <c r="C888" s="2" t="n">
        <f aca="false">IFERROR(__xludf.dummyfunction("""COMPUTED_VALUE"""),131.39)</f>
        <v>131.39</v>
      </c>
      <c r="D888" s="2" t="n">
        <f aca="false">IFERROR(__xludf.dummyfunction("""COMPUTED_VALUE"""),127.18)</f>
        <v>127.18</v>
      </c>
      <c r="E888" s="2" t="n">
        <f aca="false">IFERROR(__xludf.dummyfunction("""COMPUTED_VALUE"""),128.44)</f>
        <v>128.44</v>
      </c>
      <c r="F888" s="2" t="n">
        <f aca="false">IFERROR(__xludf.dummyfunction("""COMPUTED_VALUE"""),208326164)</f>
        <v>208326164</v>
      </c>
    </row>
    <row r="889" customFormat="false" ht="15.75" hidden="false" customHeight="false" outlineLevel="0" collapsed="false">
      <c r="A889" s="3" t="n">
        <f aca="false">IFERROR(__xludf.dummyfunction("""COMPUTED_VALUE"""),45489.6666666667)</f>
        <v>45489.6666666667</v>
      </c>
      <c r="B889" s="2" t="n">
        <f aca="false">IFERROR(__xludf.dummyfunction("""COMPUTED_VALUE"""),128.44)</f>
        <v>128.44</v>
      </c>
      <c r="C889" s="2" t="n">
        <f aca="false">IFERROR(__xludf.dummyfunction("""COMPUTED_VALUE"""),129.04)</f>
        <v>129.04</v>
      </c>
      <c r="D889" s="2" t="n">
        <f aca="false">IFERROR(__xludf.dummyfunction("""COMPUTED_VALUE"""),124.58)</f>
        <v>124.58</v>
      </c>
      <c r="E889" s="2" t="n">
        <f aca="false">IFERROR(__xludf.dummyfunction("""COMPUTED_VALUE"""),126.36)</f>
        <v>126.36</v>
      </c>
      <c r="F889" s="2" t="n">
        <f aca="false">IFERROR(__xludf.dummyfunction("""COMPUTED_VALUE"""),214769515)</f>
        <v>214769515</v>
      </c>
    </row>
    <row r="890" customFormat="false" ht="15.75" hidden="false" customHeight="false" outlineLevel="0" collapsed="false">
      <c r="A890" s="3" t="n">
        <f aca="false">IFERROR(__xludf.dummyfunction("""COMPUTED_VALUE"""),45490.6666666667)</f>
        <v>45490.6666666667</v>
      </c>
      <c r="B890" s="2" t="n">
        <f aca="false">IFERROR(__xludf.dummyfunction("""COMPUTED_VALUE"""),121.35)</f>
        <v>121.35</v>
      </c>
      <c r="C890" s="2" t="n">
        <f aca="false">IFERROR(__xludf.dummyfunction("""COMPUTED_VALUE"""),121.85)</f>
        <v>121.85</v>
      </c>
      <c r="D890" s="2" t="n">
        <f aca="false">IFERROR(__xludf.dummyfunction("""COMPUTED_VALUE"""),116.72)</f>
        <v>116.72</v>
      </c>
      <c r="E890" s="2" t="n">
        <f aca="false">IFERROR(__xludf.dummyfunction("""COMPUTED_VALUE"""),117.99)</f>
        <v>117.99</v>
      </c>
      <c r="F890" s="2" t="n">
        <f aca="false">IFERROR(__xludf.dummyfunction("""COMPUTED_VALUE"""),390086189)</f>
        <v>390086189</v>
      </c>
    </row>
    <row r="891" customFormat="false" ht="15.75" hidden="false" customHeight="false" outlineLevel="0" collapsed="false">
      <c r="A891" s="3" t="n">
        <f aca="false">IFERROR(__xludf.dummyfunction("""COMPUTED_VALUE"""),45491.6666666667)</f>
        <v>45491.6666666667</v>
      </c>
      <c r="B891" s="2" t="n">
        <f aca="false">IFERROR(__xludf.dummyfunction("""COMPUTED_VALUE"""),121.85)</f>
        <v>121.85</v>
      </c>
      <c r="C891" s="2" t="n">
        <f aca="false">IFERROR(__xludf.dummyfunction("""COMPUTED_VALUE"""),122.4)</f>
        <v>122.4</v>
      </c>
      <c r="D891" s="2" t="n">
        <f aca="false">IFERROR(__xludf.dummyfunction("""COMPUTED_VALUE"""),116.56)</f>
        <v>116.56</v>
      </c>
      <c r="E891" s="2" t="n">
        <f aca="false">IFERROR(__xludf.dummyfunction("""COMPUTED_VALUE"""),121.09)</f>
        <v>121.09</v>
      </c>
      <c r="F891" s="2" t="n">
        <f aca="false">IFERROR(__xludf.dummyfunction("""COMPUTED_VALUE"""),320979530)</f>
        <v>320979530</v>
      </c>
    </row>
    <row r="892" customFormat="false" ht="15.75" hidden="false" customHeight="false" outlineLevel="0" collapsed="false">
      <c r="A892" s="3" t="n">
        <f aca="false">IFERROR(__xludf.dummyfunction("""COMPUTED_VALUE"""),45492.6666666667)</f>
        <v>45492.6666666667</v>
      </c>
      <c r="B892" s="2" t="n">
        <f aca="false">IFERROR(__xludf.dummyfunction("""COMPUTED_VALUE"""),120.35)</f>
        <v>120.35</v>
      </c>
      <c r="C892" s="2" t="n">
        <f aca="false">IFERROR(__xludf.dummyfunction("""COMPUTED_VALUE"""),121.6)</f>
        <v>121.6</v>
      </c>
      <c r="D892" s="2" t="n">
        <f aca="false">IFERROR(__xludf.dummyfunction("""COMPUTED_VALUE"""),117.37)</f>
        <v>117.37</v>
      </c>
      <c r="E892" s="2" t="n">
        <f aca="false">IFERROR(__xludf.dummyfunction("""COMPUTED_VALUE"""),117.93)</f>
        <v>117.93</v>
      </c>
      <c r="F892" s="2" t="n">
        <f aca="false">IFERROR(__xludf.dummyfunction("""COMPUTED_VALUE"""),217223800)</f>
        <v>217223800</v>
      </c>
    </row>
    <row r="893" customFormat="false" ht="15.75" hidden="false" customHeight="false" outlineLevel="0" collapsed="false">
      <c r="A893" s="3" t="n">
        <f aca="false">IFERROR(__xludf.dummyfunction("""COMPUTED_VALUE"""),45495.6666666667)</f>
        <v>45495.6666666667</v>
      </c>
      <c r="B893" s="2" t="n">
        <f aca="false">IFERROR(__xludf.dummyfunction("""COMPUTED_VALUE"""),120.35)</f>
        <v>120.35</v>
      </c>
      <c r="C893" s="2" t="n">
        <f aca="false">IFERROR(__xludf.dummyfunction("""COMPUTED_VALUE"""),124.07)</f>
        <v>124.07</v>
      </c>
      <c r="D893" s="2" t="n">
        <f aca="false">IFERROR(__xludf.dummyfunction("""COMPUTED_VALUE"""),119.86)</f>
        <v>119.86</v>
      </c>
      <c r="E893" s="2" t="n">
        <f aca="false">IFERROR(__xludf.dummyfunction("""COMPUTED_VALUE"""),123.54)</f>
        <v>123.54</v>
      </c>
      <c r="F893" s="2" t="n">
        <f aca="false">IFERROR(__xludf.dummyfunction("""COMPUTED_VALUE"""),258068943)</f>
        <v>258068943</v>
      </c>
    </row>
    <row r="894" customFormat="false" ht="15.75" hidden="false" customHeight="false" outlineLevel="0" collapsed="false">
      <c r="A894" s="3" t="n">
        <f aca="false">IFERROR(__xludf.dummyfunction("""COMPUTED_VALUE"""),45496.6666666667)</f>
        <v>45496.6666666667</v>
      </c>
      <c r="B894" s="2" t="n">
        <f aca="false">IFERROR(__xludf.dummyfunction("""COMPUTED_VALUE"""),122.78)</f>
        <v>122.78</v>
      </c>
      <c r="C894" s="2" t="n">
        <f aca="false">IFERROR(__xludf.dummyfunction("""COMPUTED_VALUE"""),124.69)</f>
        <v>124.69</v>
      </c>
      <c r="D894" s="2" t="n">
        <f aca="false">IFERROR(__xludf.dummyfunction("""COMPUTED_VALUE"""),122.1)</f>
        <v>122.1</v>
      </c>
      <c r="E894" s="2" t="n">
        <f aca="false">IFERROR(__xludf.dummyfunction("""COMPUTED_VALUE"""),122.59)</f>
        <v>122.59</v>
      </c>
      <c r="F894" s="2" t="n">
        <f aca="false">IFERROR(__xludf.dummyfunction("""COMPUTED_VALUE"""),173910983)</f>
        <v>173910983</v>
      </c>
    </row>
    <row r="895" customFormat="false" ht="15.75" hidden="false" customHeight="false" outlineLevel="0" collapsed="false">
      <c r="A895" s="3" t="n">
        <f aca="false">IFERROR(__xludf.dummyfunction("""COMPUTED_VALUE"""),45497.6666666667)</f>
        <v>45497.6666666667</v>
      </c>
      <c r="B895" s="2" t="n">
        <f aca="false">IFERROR(__xludf.dummyfunction("""COMPUTED_VALUE"""),119.17)</f>
        <v>119.17</v>
      </c>
      <c r="C895" s="2" t="n">
        <f aca="false">IFERROR(__xludf.dummyfunction("""COMPUTED_VALUE"""),119.95)</f>
        <v>119.95</v>
      </c>
      <c r="D895" s="2" t="n">
        <f aca="false">IFERROR(__xludf.dummyfunction("""COMPUTED_VALUE"""),113.44)</f>
        <v>113.44</v>
      </c>
      <c r="E895" s="2" t="n">
        <f aca="false">IFERROR(__xludf.dummyfunction("""COMPUTED_VALUE"""),114.25)</f>
        <v>114.25</v>
      </c>
      <c r="F895" s="2" t="n">
        <f aca="false">IFERROR(__xludf.dummyfunction("""COMPUTED_VALUE"""),327776884)</f>
        <v>327776884</v>
      </c>
    </row>
    <row r="896" customFormat="false" ht="15.75" hidden="false" customHeight="false" outlineLevel="0" collapsed="false">
      <c r="A896" s="3" t="n">
        <f aca="false">IFERROR(__xludf.dummyfunction("""COMPUTED_VALUE"""),45498.6666666667)</f>
        <v>45498.6666666667</v>
      </c>
      <c r="B896" s="2" t="n">
        <f aca="false">IFERROR(__xludf.dummyfunction("""COMPUTED_VALUE"""),113.04)</f>
        <v>113.04</v>
      </c>
      <c r="C896" s="2" t="n">
        <f aca="false">IFERROR(__xludf.dummyfunction("""COMPUTED_VALUE"""),116.63)</f>
        <v>116.63</v>
      </c>
      <c r="D896" s="2" t="n">
        <f aca="false">IFERROR(__xludf.dummyfunction("""COMPUTED_VALUE"""),106.3)</f>
        <v>106.3</v>
      </c>
      <c r="E896" s="2" t="n">
        <f aca="false">IFERROR(__xludf.dummyfunction("""COMPUTED_VALUE"""),112.28)</f>
        <v>112.28</v>
      </c>
      <c r="F896" s="2" t="n">
        <f aca="false">IFERROR(__xludf.dummyfunction("""COMPUTED_VALUE"""),460067019)</f>
        <v>460067019</v>
      </c>
    </row>
    <row r="897" customFormat="false" ht="15.75" hidden="false" customHeight="false" outlineLevel="0" collapsed="false">
      <c r="A897" s="3" t="n">
        <f aca="false">IFERROR(__xludf.dummyfunction("""COMPUTED_VALUE"""),45499.6666666667)</f>
        <v>45499.6666666667</v>
      </c>
      <c r="B897" s="2" t="n">
        <f aca="false">IFERROR(__xludf.dummyfunction("""COMPUTED_VALUE"""),116.19)</f>
        <v>116.19</v>
      </c>
      <c r="C897" s="2" t="n">
        <f aca="false">IFERROR(__xludf.dummyfunction("""COMPUTED_VALUE"""),116.2)</f>
        <v>116.2</v>
      </c>
      <c r="D897" s="2" t="n">
        <f aca="false">IFERROR(__xludf.dummyfunction("""COMPUTED_VALUE"""),111.58)</f>
        <v>111.58</v>
      </c>
      <c r="E897" s="2" t="n">
        <f aca="false">IFERROR(__xludf.dummyfunction("""COMPUTED_VALUE"""),113.06)</f>
        <v>113.06</v>
      </c>
      <c r="F897" s="2" t="n">
        <f aca="false">IFERROR(__xludf.dummyfunction("""COMPUTED_VALUE"""),293399073)</f>
        <v>293399073</v>
      </c>
    </row>
    <row r="898" customFormat="false" ht="15.75" hidden="false" customHeight="false" outlineLevel="0" collapsed="false">
      <c r="A898" s="3" t="n">
        <f aca="false">IFERROR(__xludf.dummyfunction("""COMPUTED_VALUE"""),45502.6666666667)</f>
        <v>45502.6666666667</v>
      </c>
      <c r="B898" s="2" t="n">
        <f aca="false">IFERROR(__xludf.dummyfunction("""COMPUTED_VALUE"""),113.69)</f>
        <v>113.69</v>
      </c>
      <c r="C898" s="2" t="n">
        <f aca="false">IFERROR(__xludf.dummyfunction("""COMPUTED_VALUE"""),116.28)</f>
        <v>116.28</v>
      </c>
      <c r="D898" s="2" t="n">
        <f aca="false">IFERROR(__xludf.dummyfunction("""COMPUTED_VALUE"""),111.3)</f>
        <v>111.3</v>
      </c>
      <c r="E898" s="2" t="n">
        <f aca="false">IFERROR(__xludf.dummyfunction("""COMPUTED_VALUE"""),111.59)</f>
        <v>111.59</v>
      </c>
      <c r="F898" s="2" t="n">
        <f aca="false">IFERROR(__xludf.dummyfunction("""COMPUTED_VALUE"""),248152068)</f>
        <v>248152068</v>
      </c>
    </row>
    <row r="899" customFormat="false" ht="15.75" hidden="false" customHeight="false" outlineLevel="0" collapsed="false">
      <c r="A899" s="3" t="n">
        <f aca="false">IFERROR(__xludf.dummyfunction("""COMPUTED_VALUE"""),45503.6666666667)</f>
        <v>45503.6666666667</v>
      </c>
      <c r="B899" s="2" t="n">
        <f aca="false">IFERROR(__xludf.dummyfunction("""COMPUTED_VALUE"""),111.52)</f>
        <v>111.52</v>
      </c>
      <c r="C899" s="2" t="n">
        <f aca="false">IFERROR(__xludf.dummyfunction("""COMPUTED_VALUE"""),111.99)</f>
        <v>111.99</v>
      </c>
      <c r="D899" s="2" t="n">
        <f aca="false">IFERROR(__xludf.dummyfunction("""COMPUTED_VALUE"""),102.54)</f>
        <v>102.54</v>
      </c>
      <c r="E899" s="2" t="n">
        <f aca="false">IFERROR(__xludf.dummyfunction("""COMPUTED_VALUE"""),103.73)</f>
        <v>103.73</v>
      </c>
      <c r="F899" s="2" t="n">
        <f aca="false">IFERROR(__xludf.dummyfunction("""COMPUTED_VALUE"""),486833274)</f>
        <v>486833274</v>
      </c>
    </row>
    <row r="900" customFormat="false" ht="15.75" hidden="false" customHeight="false" outlineLevel="0" collapsed="false">
      <c r="A900" s="3" t="n">
        <f aca="false">IFERROR(__xludf.dummyfunction("""COMPUTED_VALUE"""),45504.6666666667)</f>
        <v>45504.6666666667</v>
      </c>
      <c r="B900" s="2" t="n">
        <f aca="false">IFERROR(__xludf.dummyfunction("""COMPUTED_VALUE"""),112.9)</f>
        <v>112.9</v>
      </c>
      <c r="C900" s="2" t="n">
        <f aca="false">IFERROR(__xludf.dummyfunction("""COMPUTED_VALUE"""),118.34)</f>
        <v>118.34</v>
      </c>
      <c r="D900" s="2" t="n">
        <f aca="false">IFERROR(__xludf.dummyfunction("""COMPUTED_VALUE"""),110.88)</f>
        <v>110.88</v>
      </c>
      <c r="E900" s="2" t="n">
        <f aca="false">IFERROR(__xludf.dummyfunction("""COMPUTED_VALUE"""),117.02)</f>
        <v>117.02</v>
      </c>
      <c r="F900" s="2" t="n">
        <f aca="false">IFERROR(__xludf.dummyfunction("""COMPUTED_VALUE"""),473174182)</f>
        <v>473174182</v>
      </c>
    </row>
    <row r="901" customFormat="false" ht="15.75" hidden="false" customHeight="false" outlineLevel="0" collapsed="false">
      <c r="A901" s="3" t="n">
        <f aca="false">IFERROR(__xludf.dummyfunction("""COMPUTED_VALUE"""),45505.6666666667)</f>
        <v>45505.6666666667</v>
      </c>
      <c r="B901" s="2" t="n">
        <f aca="false">IFERROR(__xludf.dummyfunction("""COMPUTED_VALUE"""),117.53)</f>
        <v>117.53</v>
      </c>
      <c r="C901" s="2" t="n">
        <f aca="false">IFERROR(__xludf.dummyfunction("""COMPUTED_VALUE"""),120.16)</f>
        <v>120.16</v>
      </c>
      <c r="D901" s="2" t="n">
        <f aca="false">IFERROR(__xludf.dummyfunction("""COMPUTED_VALUE"""),106.81)</f>
        <v>106.81</v>
      </c>
      <c r="E901" s="2" t="n">
        <f aca="false">IFERROR(__xludf.dummyfunction("""COMPUTED_VALUE"""),109.21)</f>
        <v>109.21</v>
      </c>
      <c r="F901" s="2" t="n">
        <f aca="false">IFERROR(__xludf.dummyfunction("""COMPUTED_VALUE"""),523462326)</f>
        <v>523462326</v>
      </c>
    </row>
    <row r="902" customFormat="false" ht="15.75" hidden="false" customHeight="false" outlineLevel="0" collapsed="false">
      <c r="A902" s="3" t="n">
        <f aca="false">IFERROR(__xludf.dummyfunction("""COMPUTED_VALUE"""),45506.6666666667)</f>
        <v>45506.6666666667</v>
      </c>
      <c r="B902" s="2" t="n">
        <f aca="false">IFERROR(__xludf.dummyfunction("""COMPUTED_VALUE"""),103.76)</f>
        <v>103.76</v>
      </c>
      <c r="C902" s="2" t="n">
        <f aca="false">IFERROR(__xludf.dummyfunction("""COMPUTED_VALUE"""),108.72)</f>
        <v>108.72</v>
      </c>
      <c r="D902" s="2" t="n">
        <f aca="false">IFERROR(__xludf.dummyfunction("""COMPUTED_VALUE"""),101.37)</f>
        <v>101.37</v>
      </c>
      <c r="E902" s="2" t="n">
        <f aca="false">IFERROR(__xludf.dummyfunction("""COMPUTED_VALUE"""),107.27)</f>
        <v>107.27</v>
      </c>
      <c r="F902" s="2" t="n">
        <f aca="false">IFERROR(__xludf.dummyfunction("""COMPUTED_VALUE"""),482027464)</f>
        <v>482027464</v>
      </c>
    </row>
    <row r="903" customFormat="false" ht="15.75" hidden="false" customHeight="false" outlineLevel="0" collapsed="false">
      <c r="A903" s="3" t="n">
        <f aca="false">IFERROR(__xludf.dummyfunction("""COMPUTED_VALUE"""),45509.6666666667)</f>
        <v>45509.6666666667</v>
      </c>
      <c r="B903" s="2" t="n">
        <f aca="false">IFERROR(__xludf.dummyfunction("""COMPUTED_VALUE"""),92.06)</f>
        <v>92.06</v>
      </c>
      <c r="C903" s="2" t="n">
        <f aca="false">IFERROR(__xludf.dummyfunction("""COMPUTED_VALUE"""),103.41)</f>
        <v>103.41</v>
      </c>
      <c r="D903" s="2" t="n">
        <f aca="false">IFERROR(__xludf.dummyfunction("""COMPUTED_VALUE"""),90.69)</f>
        <v>90.69</v>
      </c>
      <c r="E903" s="2" t="n">
        <f aca="false">IFERROR(__xludf.dummyfunction("""COMPUTED_VALUE"""),100.45)</f>
        <v>100.45</v>
      </c>
      <c r="F903" s="2" t="n">
        <f aca="false">IFERROR(__xludf.dummyfunction("""COMPUTED_VALUE"""),552842375)</f>
        <v>552842375</v>
      </c>
    </row>
    <row r="904" customFormat="false" ht="15.75" hidden="false" customHeight="false" outlineLevel="0" collapsed="false">
      <c r="A904" s="3" t="n">
        <f aca="false">IFERROR(__xludf.dummyfunction("""COMPUTED_VALUE"""),45510.6666666667)</f>
        <v>45510.6666666667</v>
      </c>
      <c r="B904" s="2" t="n">
        <f aca="false">IFERROR(__xludf.dummyfunction("""COMPUTED_VALUE"""),103.84)</f>
        <v>103.84</v>
      </c>
      <c r="C904" s="2" t="n">
        <f aca="false">IFERROR(__xludf.dummyfunction("""COMPUTED_VALUE"""),107.71)</f>
        <v>107.71</v>
      </c>
      <c r="D904" s="2" t="n">
        <f aca="false">IFERROR(__xludf.dummyfunction("""COMPUTED_VALUE"""),100.55)</f>
        <v>100.55</v>
      </c>
      <c r="E904" s="2" t="n">
        <f aca="false">IFERROR(__xludf.dummyfunction("""COMPUTED_VALUE"""),104.25)</f>
        <v>104.25</v>
      </c>
      <c r="F904" s="2" t="n">
        <f aca="false">IFERROR(__xludf.dummyfunction("""COMPUTED_VALUE"""),409012089)</f>
        <v>409012089</v>
      </c>
    </row>
    <row r="905" customFormat="false" ht="15.75" hidden="false" customHeight="false" outlineLevel="0" collapsed="false">
      <c r="A905" s="3" t="n">
        <f aca="false">IFERROR(__xludf.dummyfunction("""COMPUTED_VALUE"""),45511.6666666667)</f>
        <v>45511.6666666667</v>
      </c>
      <c r="B905" s="2" t="n">
        <f aca="false">IFERROR(__xludf.dummyfunction("""COMPUTED_VALUE"""),107.81)</f>
        <v>107.81</v>
      </c>
      <c r="C905" s="2" t="n">
        <f aca="false">IFERROR(__xludf.dummyfunction("""COMPUTED_VALUE"""),108.8)</f>
        <v>108.8</v>
      </c>
      <c r="D905" s="2" t="n">
        <f aca="false">IFERROR(__xludf.dummyfunction("""COMPUTED_VALUE"""),98.69)</f>
        <v>98.69</v>
      </c>
      <c r="E905" s="2" t="n">
        <f aca="false">IFERROR(__xludf.dummyfunction("""COMPUTED_VALUE"""),98.91)</f>
        <v>98.91</v>
      </c>
      <c r="F905" s="2" t="n">
        <f aca="false">IFERROR(__xludf.dummyfunction("""COMPUTED_VALUE"""),411440423)</f>
        <v>411440423</v>
      </c>
    </row>
    <row r="906" customFormat="false" ht="15.75" hidden="false" customHeight="false" outlineLevel="0" collapsed="false">
      <c r="A906" s="3" t="n">
        <f aca="false">IFERROR(__xludf.dummyfunction("""COMPUTED_VALUE"""),45512.6666666667)</f>
        <v>45512.6666666667</v>
      </c>
      <c r="B906" s="2" t="n">
        <f aca="false">IFERROR(__xludf.dummyfunction("""COMPUTED_VALUE"""),102)</f>
        <v>102</v>
      </c>
      <c r="C906" s="2" t="n">
        <f aca="false">IFERROR(__xludf.dummyfunction("""COMPUTED_VALUE"""),105.5)</f>
        <v>105.5</v>
      </c>
      <c r="D906" s="2" t="n">
        <f aca="false">IFERROR(__xludf.dummyfunction("""COMPUTED_VALUE"""),97.52)</f>
        <v>97.52</v>
      </c>
      <c r="E906" s="2" t="n">
        <f aca="false">IFERROR(__xludf.dummyfunction("""COMPUTED_VALUE"""),104.97)</f>
        <v>104.97</v>
      </c>
      <c r="F906" s="2" t="n">
        <f aca="false">IFERROR(__xludf.dummyfunction("""COMPUTED_VALUE"""),391910023)</f>
        <v>391910023</v>
      </c>
    </row>
    <row r="907" customFormat="false" ht="15.75" hidden="false" customHeight="false" outlineLevel="0" collapsed="false">
      <c r="A907" s="3" t="n">
        <f aca="false">IFERROR(__xludf.dummyfunction("""COMPUTED_VALUE"""),45513.6666666667)</f>
        <v>45513.6666666667</v>
      </c>
      <c r="B907" s="2" t="n">
        <f aca="false">IFERROR(__xludf.dummyfunction("""COMPUTED_VALUE"""),105.64)</f>
        <v>105.64</v>
      </c>
      <c r="C907" s="2" t="n">
        <f aca="false">IFERROR(__xludf.dummyfunction("""COMPUTED_VALUE"""),106.6)</f>
        <v>106.6</v>
      </c>
      <c r="D907" s="2" t="n">
        <f aca="false">IFERROR(__xludf.dummyfunction("""COMPUTED_VALUE"""),103.43)</f>
        <v>103.43</v>
      </c>
      <c r="E907" s="2" t="n">
        <f aca="false">IFERROR(__xludf.dummyfunction("""COMPUTED_VALUE"""),104.75)</f>
        <v>104.75</v>
      </c>
      <c r="F907" s="2" t="n">
        <f aca="false">IFERROR(__xludf.dummyfunction("""COMPUTED_VALUE"""),290844157)</f>
        <v>290844157</v>
      </c>
    </row>
    <row r="908" customFormat="false" ht="15.75" hidden="false" customHeight="false" outlineLevel="0" collapsed="false">
      <c r="A908" s="3" t="n">
        <f aca="false">IFERROR(__xludf.dummyfunction("""COMPUTED_VALUE"""),45516.6666666667)</f>
        <v>45516.6666666667</v>
      </c>
      <c r="B908" s="2" t="n">
        <f aca="false">IFERROR(__xludf.dummyfunction("""COMPUTED_VALUE"""),106.32)</f>
        <v>106.32</v>
      </c>
      <c r="C908" s="2" t="n">
        <f aca="false">IFERROR(__xludf.dummyfunction("""COMPUTED_VALUE"""),111.07)</f>
        <v>111.07</v>
      </c>
      <c r="D908" s="2" t="n">
        <f aca="false">IFERROR(__xludf.dummyfunction("""COMPUTED_VALUE"""),106.26)</f>
        <v>106.26</v>
      </c>
      <c r="E908" s="2" t="n">
        <f aca="false">IFERROR(__xludf.dummyfunction("""COMPUTED_VALUE"""),109.02)</f>
        <v>109.02</v>
      </c>
      <c r="F908" s="2" t="n">
        <f aca="false">IFERROR(__xludf.dummyfunction("""COMPUTED_VALUE"""),325559870)</f>
        <v>325559870</v>
      </c>
    </row>
    <row r="909" customFormat="false" ht="15.75" hidden="false" customHeight="false" outlineLevel="0" collapsed="false">
      <c r="A909" s="3" t="n">
        <f aca="false">IFERROR(__xludf.dummyfunction("""COMPUTED_VALUE"""),45517.6666666667)</f>
        <v>45517.6666666667</v>
      </c>
      <c r="B909" s="2" t="n">
        <f aca="false">IFERROR(__xludf.dummyfunction("""COMPUTED_VALUE"""),112.44)</f>
        <v>112.44</v>
      </c>
      <c r="C909" s="2" t="n">
        <f aca="false">IFERROR(__xludf.dummyfunction("""COMPUTED_VALUE"""),116.23)</f>
        <v>116.23</v>
      </c>
      <c r="D909" s="2" t="n">
        <f aca="false">IFERROR(__xludf.dummyfunction("""COMPUTED_VALUE"""),111.58)</f>
        <v>111.58</v>
      </c>
      <c r="E909" s="2" t="n">
        <f aca="false">IFERROR(__xludf.dummyfunction("""COMPUTED_VALUE"""),116.14)</f>
        <v>116.14</v>
      </c>
      <c r="F909" s="2" t="n">
        <f aca="false">IFERROR(__xludf.dummyfunction("""COMPUTED_VALUE"""),312646660)</f>
        <v>312646660</v>
      </c>
    </row>
    <row r="910" customFormat="false" ht="15.75" hidden="false" customHeight="false" outlineLevel="0" collapsed="false">
      <c r="A910" s="3" t="n">
        <f aca="false">IFERROR(__xludf.dummyfunction("""COMPUTED_VALUE"""),45518.6666666667)</f>
        <v>45518.6666666667</v>
      </c>
      <c r="B910" s="2" t="n">
        <f aca="false">IFERROR(__xludf.dummyfunction("""COMPUTED_VALUE"""),118.53)</f>
        <v>118.53</v>
      </c>
      <c r="C910" s="2" t="n">
        <f aca="false">IFERROR(__xludf.dummyfunction("""COMPUTED_VALUE"""),118.6)</f>
        <v>118.6</v>
      </c>
      <c r="D910" s="2" t="n">
        <f aca="false">IFERROR(__xludf.dummyfunction("""COMPUTED_VALUE"""),114.07)</f>
        <v>114.07</v>
      </c>
      <c r="E910" s="2" t="n">
        <f aca="false">IFERROR(__xludf.dummyfunction("""COMPUTED_VALUE"""),118.08)</f>
        <v>118.08</v>
      </c>
      <c r="F910" s="2" t="n">
        <f aca="false">IFERROR(__xludf.dummyfunction("""COMPUTED_VALUE"""),339246407)</f>
        <v>339246407</v>
      </c>
    </row>
    <row r="911" customFormat="false" ht="15.75" hidden="false" customHeight="false" outlineLevel="0" collapsed="false">
      <c r="A911" s="3" t="n">
        <f aca="false">IFERROR(__xludf.dummyfunction("""COMPUTED_VALUE"""),45519.6666666667)</f>
        <v>45519.6666666667</v>
      </c>
      <c r="B911" s="2" t="n">
        <f aca="false">IFERROR(__xludf.dummyfunction("""COMPUTED_VALUE"""),118.76)</f>
        <v>118.76</v>
      </c>
      <c r="C911" s="2" t="n">
        <f aca="false">IFERROR(__xludf.dummyfunction("""COMPUTED_VALUE"""),123.24)</f>
        <v>123.24</v>
      </c>
      <c r="D911" s="2" t="n">
        <f aca="false">IFERROR(__xludf.dummyfunction("""COMPUTED_VALUE"""),117.47)</f>
        <v>117.47</v>
      </c>
      <c r="E911" s="2" t="n">
        <f aca="false">IFERROR(__xludf.dummyfunction("""COMPUTED_VALUE"""),122.86)</f>
        <v>122.86</v>
      </c>
      <c r="F911" s="2" t="n">
        <f aca="false">IFERROR(__xludf.dummyfunction("""COMPUTED_VALUE"""),318086673)</f>
        <v>318086673</v>
      </c>
    </row>
    <row r="912" customFormat="false" ht="15.75" hidden="false" customHeight="false" outlineLevel="0" collapsed="false">
      <c r="A912" s="3" t="n">
        <f aca="false">IFERROR(__xludf.dummyfunction("""COMPUTED_VALUE"""),45520.6666666667)</f>
        <v>45520.6666666667</v>
      </c>
      <c r="B912" s="2" t="n">
        <f aca="false">IFERROR(__xludf.dummyfunction("""COMPUTED_VALUE"""),121.94)</f>
        <v>121.94</v>
      </c>
      <c r="C912" s="2" t="n">
        <f aca="false">IFERROR(__xludf.dummyfunction("""COMPUTED_VALUE"""),125)</f>
        <v>125</v>
      </c>
      <c r="D912" s="2" t="n">
        <f aca="false">IFERROR(__xludf.dummyfunction("""COMPUTED_VALUE"""),121.18)</f>
        <v>121.18</v>
      </c>
      <c r="E912" s="2" t="n">
        <f aca="false">IFERROR(__xludf.dummyfunction("""COMPUTED_VALUE"""),124.58)</f>
        <v>124.58</v>
      </c>
      <c r="F912" s="2" t="n">
        <f aca="false">IFERROR(__xludf.dummyfunction("""COMPUTED_VALUE"""),302589872)</f>
        <v>302589872</v>
      </c>
    </row>
    <row r="913" customFormat="false" ht="15.75" hidden="false" customHeight="false" outlineLevel="0" collapsed="false">
      <c r="A913" s="3" t="n">
        <f aca="false">IFERROR(__xludf.dummyfunction("""COMPUTED_VALUE"""),45523.6666666667)</f>
        <v>45523.6666666667</v>
      </c>
      <c r="B913" s="2" t="n">
        <f aca="false">IFERROR(__xludf.dummyfunction("""COMPUTED_VALUE"""),124.28)</f>
        <v>124.28</v>
      </c>
      <c r="C913" s="2" t="n">
        <f aca="false">IFERROR(__xludf.dummyfunction("""COMPUTED_VALUE"""),130)</f>
        <v>130</v>
      </c>
      <c r="D913" s="2" t="n">
        <f aca="false">IFERROR(__xludf.dummyfunction("""COMPUTED_VALUE"""),123.42)</f>
        <v>123.42</v>
      </c>
      <c r="E913" s="2" t="n">
        <f aca="false">IFERROR(__xludf.dummyfunction("""COMPUTED_VALUE"""),130)</f>
        <v>130</v>
      </c>
      <c r="F913" s="2" t="n">
        <f aca="false">IFERROR(__xludf.dummyfunction("""COMPUTED_VALUE"""),318333577)</f>
        <v>318333577</v>
      </c>
    </row>
    <row r="914" customFormat="false" ht="15.75" hidden="false" customHeight="false" outlineLevel="0" collapsed="false">
      <c r="A914" s="3" t="n">
        <f aca="false">IFERROR(__xludf.dummyfunction("""COMPUTED_VALUE"""),45524.6666666667)</f>
        <v>45524.6666666667</v>
      </c>
      <c r="B914" s="2" t="n">
        <f aca="false">IFERROR(__xludf.dummyfunction("""COMPUTED_VALUE"""),128.4)</f>
        <v>128.4</v>
      </c>
      <c r="C914" s="2" t="n">
        <f aca="false">IFERROR(__xludf.dummyfunction("""COMPUTED_VALUE"""),129.88)</f>
        <v>129.88</v>
      </c>
      <c r="D914" s="2" t="n">
        <f aca="false">IFERROR(__xludf.dummyfunction("""COMPUTED_VALUE"""),125.89)</f>
        <v>125.89</v>
      </c>
      <c r="E914" s="2" t="n">
        <f aca="false">IFERROR(__xludf.dummyfunction("""COMPUTED_VALUE"""),127.25)</f>
        <v>127.25</v>
      </c>
      <c r="F914" s="2" t="n">
        <f aca="false">IFERROR(__xludf.dummyfunction("""COMPUTED_VALUE"""),300087415)</f>
        <v>300087415</v>
      </c>
    </row>
    <row r="915" customFormat="false" ht="15.75" hidden="false" customHeight="false" outlineLevel="0" collapsed="false">
      <c r="A915" s="3" t="n">
        <f aca="false">IFERROR(__xludf.dummyfunction("""COMPUTED_VALUE"""),45525.6666666667)</f>
        <v>45525.6666666667</v>
      </c>
      <c r="B915" s="2" t="n">
        <f aca="false">IFERROR(__xludf.dummyfunction("""COMPUTED_VALUE"""),127.32)</f>
        <v>127.32</v>
      </c>
      <c r="C915" s="2" t="n">
        <f aca="false">IFERROR(__xludf.dummyfunction("""COMPUTED_VALUE"""),129.35)</f>
        <v>129.35</v>
      </c>
      <c r="D915" s="2" t="n">
        <f aca="false">IFERROR(__xludf.dummyfunction("""COMPUTED_VALUE"""),126.66)</f>
        <v>126.66</v>
      </c>
      <c r="E915" s="2" t="n">
        <f aca="false">IFERROR(__xludf.dummyfunction("""COMPUTED_VALUE"""),128.5)</f>
        <v>128.5</v>
      </c>
      <c r="F915" s="2" t="n">
        <f aca="false">IFERROR(__xludf.dummyfunction("""COMPUTED_VALUE"""),257883572)</f>
        <v>257883572</v>
      </c>
    </row>
    <row r="916" customFormat="false" ht="15.75" hidden="false" customHeight="false" outlineLevel="0" collapsed="false">
      <c r="A916" s="3" t="n">
        <f aca="false">IFERROR(__xludf.dummyfunction("""COMPUTED_VALUE"""),45526.6666666667)</f>
        <v>45526.6666666667</v>
      </c>
      <c r="B916" s="2" t="n">
        <f aca="false">IFERROR(__xludf.dummyfunction("""COMPUTED_VALUE"""),130.02)</f>
        <v>130.02</v>
      </c>
      <c r="C916" s="2" t="n">
        <f aca="false">IFERROR(__xludf.dummyfunction("""COMPUTED_VALUE"""),130.75)</f>
        <v>130.75</v>
      </c>
      <c r="D916" s="2" t="n">
        <f aca="false">IFERROR(__xludf.dummyfunction("""COMPUTED_VALUE"""),123.1)</f>
        <v>123.1</v>
      </c>
      <c r="E916" s="2" t="n">
        <f aca="false">IFERROR(__xludf.dummyfunction("""COMPUTED_VALUE"""),123.74)</f>
        <v>123.74</v>
      </c>
      <c r="F916" s="2" t="n">
        <f aca="false">IFERROR(__xludf.dummyfunction("""COMPUTED_VALUE"""),376189076)</f>
        <v>376189076</v>
      </c>
    </row>
    <row r="917" customFormat="false" ht="15.75" hidden="false" customHeight="false" outlineLevel="0" collapsed="false">
      <c r="A917" s="3" t="n">
        <f aca="false">IFERROR(__xludf.dummyfunction("""COMPUTED_VALUE"""),45527.6666666667)</f>
        <v>45527.6666666667</v>
      </c>
      <c r="B917" s="2" t="n">
        <f aca="false">IFERROR(__xludf.dummyfunction("""COMPUTED_VALUE"""),125.86)</f>
        <v>125.86</v>
      </c>
      <c r="C917" s="2" t="n">
        <f aca="false">IFERROR(__xludf.dummyfunction("""COMPUTED_VALUE"""),129.6)</f>
        <v>129.6</v>
      </c>
      <c r="D917" s="2" t="n">
        <f aca="false">IFERROR(__xludf.dummyfunction("""COMPUTED_VALUE"""),125.22)</f>
        <v>125.22</v>
      </c>
      <c r="E917" s="2" t="n">
        <f aca="false">IFERROR(__xludf.dummyfunction("""COMPUTED_VALUE"""),129.37)</f>
        <v>129.37</v>
      </c>
      <c r="F917" s="2" t="n">
        <f aca="false">IFERROR(__xludf.dummyfunction("""COMPUTED_VALUE"""),323230332)</f>
        <v>323230332</v>
      </c>
    </row>
    <row r="918" customFormat="false" ht="15.75" hidden="false" customHeight="false" outlineLevel="0" collapsed="false">
      <c r="A918" s="3" t="n">
        <f aca="false">IFERROR(__xludf.dummyfunction("""COMPUTED_VALUE"""),45530.6666666667)</f>
        <v>45530.6666666667</v>
      </c>
      <c r="B918" s="2" t="n">
        <f aca="false">IFERROR(__xludf.dummyfunction("""COMPUTED_VALUE"""),129.57)</f>
        <v>129.57</v>
      </c>
      <c r="C918" s="2" t="n">
        <f aca="false">IFERROR(__xludf.dummyfunction("""COMPUTED_VALUE"""),131.26)</f>
        <v>131.26</v>
      </c>
      <c r="D918" s="2" t="n">
        <f aca="false">IFERROR(__xludf.dummyfunction("""COMPUTED_VALUE"""),124.37)</f>
        <v>124.37</v>
      </c>
      <c r="E918" s="2" t="n">
        <f aca="false">IFERROR(__xludf.dummyfunction("""COMPUTED_VALUE"""),126.46)</f>
        <v>126.46</v>
      </c>
      <c r="F918" s="2" t="n">
        <f aca="false">IFERROR(__xludf.dummyfunction("""COMPUTED_VALUE"""),331964672)</f>
        <v>331964672</v>
      </c>
    </row>
    <row r="919" customFormat="false" ht="15.75" hidden="false" customHeight="false" outlineLevel="0" collapsed="false">
      <c r="A919" s="3" t="n">
        <f aca="false">IFERROR(__xludf.dummyfunction("""COMPUTED_VALUE"""),45531.6666666667)</f>
        <v>45531.6666666667</v>
      </c>
      <c r="B919" s="2" t="n">
        <f aca="false">IFERROR(__xludf.dummyfunction("""COMPUTED_VALUE"""),125.05)</f>
        <v>125.05</v>
      </c>
      <c r="C919" s="2" t="n">
        <f aca="false">IFERROR(__xludf.dummyfunction("""COMPUTED_VALUE"""),129.2)</f>
        <v>129.2</v>
      </c>
      <c r="D919" s="2" t="n">
        <f aca="false">IFERROR(__xludf.dummyfunction("""COMPUTED_VALUE"""),123.88)</f>
        <v>123.88</v>
      </c>
      <c r="E919" s="2" t="n">
        <f aca="false">IFERROR(__xludf.dummyfunction("""COMPUTED_VALUE"""),128.3)</f>
        <v>128.3</v>
      </c>
      <c r="F919" s="2" t="n">
        <f aca="false">IFERROR(__xludf.dummyfunction("""COMPUTED_VALUE"""),303134573)</f>
        <v>303134573</v>
      </c>
    </row>
    <row r="920" customFormat="false" ht="15.75" hidden="false" customHeight="false" outlineLevel="0" collapsed="false">
      <c r="A920" s="3" t="n">
        <f aca="false">IFERROR(__xludf.dummyfunction("""COMPUTED_VALUE"""),45532.6666666667)</f>
        <v>45532.6666666667</v>
      </c>
      <c r="B920" s="2" t="n">
        <f aca="false">IFERROR(__xludf.dummyfunction("""COMPUTED_VALUE"""),128.12)</f>
        <v>128.12</v>
      </c>
      <c r="C920" s="2" t="n">
        <f aca="false">IFERROR(__xludf.dummyfunction("""COMPUTED_VALUE"""),128.33)</f>
        <v>128.33</v>
      </c>
      <c r="D920" s="2" t="n">
        <f aca="false">IFERROR(__xludf.dummyfunction("""COMPUTED_VALUE"""),122.64)</f>
        <v>122.64</v>
      </c>
      <c r="E920" s="2" t="n">
        <f aca="false">IFERROR(__xludf.dummyfunction("""COMPUTED_VALUE"""),125.61)</f>
        <v>125.61</v>
      </c>
      <c r="F920" s="2" t="n">
        <f aca="false">IFERROR(__xludf.dummyfunction("""COMPUTED_VALUE"""),448101115)</f>
        <v>448101115</v>
      </c>
    </row>
    <row r="921" customFormat="false" ht="15.75" hidden="false" customHeight="false" outlineLevel="0" collapsed="false">
      <c r="A921" s="3" t="n">
        <f aca="false">IFERROR(__xludf.dummyfunction("""COMPUTED_VALUE"""),45533.6666666667)</f>
        <v>45533.6666666667</v>
      </c>
      <c r="B921" s="2" t="n">
        <f aca="false">IFERROR(__xludf.dummyfunction("""COMPUTED_VALUE"""),121.36)</f>
        <v>121.36</v>
      </c>
      <c r="C921" s="2" t="n">
        <f aca="false">IFERROR(__xludf.dummyfunction("""COMPUTED_VALUE"""),124.43)</f>
        <v>124.43</v>
      </c>
      <c r="D921" s="2" t="n">
        <f aca="false">IFERROR(__xludf.dummyfunction("""COMPUTED_VALUE"""),116.71)</f>
        <v>116.71</v>
      </c>
      <c r="E921" s="2" t="n">
        <f aca="false">IFERROR(__xludf.dummyfunction("""COMPUTED_VALUE"""),117.59)</f>
        <v>117.59</v>
      </c>
      <c r="F921" s="2" t="n">
        <f aca="false">IFERROR(__xludf.dummyfunction("""COMPUTED_VALUE"""),453023305)</f>
        <v>453023305</v>
      </c>
    </row>
    <row r="922" customFormat="false" ht="15.75" hidden="false" customHeight="false" outlineLevel="0" collapsed="false">
      <c r="A922" s="3" t="n">
        <f aca="false">IFERROR(__xludf.dummyfunction("""COMPUTED_VALUE"""),45534.6666666667)</f>
        <v>45534.6666666667</v>
      </c>
      <c r="B922" s="2" t="n">
        <f aca="false">IFERROR(__xludf.dummyfunction("""COMPUTED_VALUE"""),119.53)</f>
        <v>119.53</v>
      </c>
      <c r="C922" s="2" t="n">
        <f aca="false">IFERROR(__xludf.dummyfunction("""COMPUTED_VALUE"""),121.75)</f>
        <v>121.75</v>
      </c>
      <c r="D922" s="2" t="n">
        <f aca="false">IFERROR(__xludf.dummyfunction("""COMPUTED_VALUE"""),117.22)</f>
        <v>117.22</v>
      </c>
      <c r="E922" s="2" t="n">
        <f aca="false">IFERROR(__xludf.dummyfunction("""COMPUTED_VALUE"""),119.37)</f>
        <v>119.37</v>
      </c>
      <c r="F922" s="2" t="n">
        <f aca="false">IFERROR(__xludf.dummyfunction("""COMPUTED_VALUE"""),333751583)</f>
        <v>333751583</v>
      </c>
    </row>
    <row r="923" customFormat="false" ht="15.75" hidden="false" customHeight="false" outlineLevel="0" collapsed="false">
      <c r="A923" s="3" t="n">
        <f aca="false">IFERROR(__xludf.dummyfunction("""COMPUTED_VALUE"""),45538.6666666667)</f>
        <v>45538.6666666667</v>
      </c>
      <c r="B923" s="2" t="n">
        <f aca="false">IFERROR(__xludf.dummyfunction("""COMPUTED_VALUE"""),116.01)</f>
        <v>116.01</v>
      </c>
      <c r="C923" s="2" t="n">
        <f aca="false">IFERROR(__xludf.dummyfunction("""COMPUTED_VALUE"""),116.21)</f>
        <v>116.21</v>
      </c>
      <c r="D923" s="2" t="n">
        <f aca="false">IFERROR(__xludf.dummyfunction("""COMPUTED_VALUE"""),107.29)</f>
        <v>107.29</v>
      </c>
      <c r="E923" s="2" t="n">
        <f aca="false">IFERROR(__xludf.dummyfunction("""COMPUTED_VALUE"""),108)</f>
        <v>108</v>
      </c>
      <c r="F923" s="2" t="n">
        <f aca="false">IFERROR(__xludf.dummyfunction("""COMPUTED_VALUE"""),477155100)</f>
        <v>477155100</v>
      </c>
    </row>
    <row r="924" customFormat="false" ht="15.75" hidden="false" customHeight="false" outlineLevel="0" collapsed="false">
      <c r="A924" s="3" t="n">
        <f aca="false">IFERROR(__xludf.dummyfunction("""COMPUTED_VALUE"""),45539.6666666667)</f>
        <v>45539.6666666667</v>
      </c>
      <c r="B924" s="2" t="n">
        <f aca="false">IFERROR(__xludf.dummyfunction("""COMPUTED_VALUE"""),105.41)</f>
        <v>105.41</v>
      </c>
      <c r="C924" s="2" t="n">
        <f aca="false">IFERROR(__xludf.dummyfunction("""COMPUTED_VALUE"""),113.27)</f>
        <v>113.27</v>
      </c>
      <c r="D924" s="2" t="n">
        <f aca="false">IFERROR(__xludf.dummyfunction("""COMPUTED_VALUE"""),104.12)</f>
        <v>104.12</v>
      </c>
      <c r="E924" s="2" t="n">
        <f aca="false">IFERROR(__xludf.dummyfunction("""COMPUTED_VALUE"""),106.21)</f>
        <v>106.21</v>
      </c>
      <c r="F924" s="2" t="n">
        <f aca="false">IFERROR(__xludf.dummyfunction("""COMPUTED_VALUE"""),372470291)</f>
        <v>372470291</v>
      </c>
    </row>
    <row r="925" customFormat="false" ht="15.75" hidden="false" customHeight="false" outlineLevel="0" collapsed="false">
      <c r="A925" s="3" t="n">
        <f aca="false">IFERROR(__xludf.dummyfunction("""COMPUTED_VALUE"""),45540.6666666667)</f>
        <v>45540.6666666667</v>
      </c>
      <c r="B925" s="2" t="n">
        <f aca="false">IFERROR(__xludf.dummyfunction("""COMPUTED_VALUE"""),104.99)</f>
        <v>104.99</v>
      </c>
      <c r="C925" s="2" t="n">
        <f aca="false">IFERROR(__xludf.dummyfunction("""COMPUTED_VALUE"""),109.65)</f>
        <v>109.65</v>
      </c>
      <c r="D925" s="2" t="n">
        <f aca="false">IFERROR(__xludf.dummyfunction("""COMPUTED_VALUE"""),104.76)</f>
        <v>104.76</v>
      </c>
      <c r="E925" s="2" t="n">
        <f aca="false">IFERROR(__xludf.dummyfunction("""COMPUTED_VALUE"""),107.21)</f>
        <v>107.21</v>
      </c>
      <c r="F925" s="2" t="n">
        <f aca="false">IFERROR(__xludf.dummyfunction("""COMPUTED_VALUE"""),306850696)</f>
        <v>306850696</v>
      </c>
    </row>
    <row r="926" customFormat="false" ht="15.75" hidden="false" customHeight="false" outlineLevel="0" collapsed="false">
      <c r="A926" s="3" t="n">
        <f aca="false">IFERROR(__xludf.dummyfunction("""COMPUTED_VALUE"""),45541.6666666667)</f>
        <v>45541.6666666667</v>
      </c>
      <c r="B926" s="2" t="n">
        <f aca="false">IFERROR(__xludf.dummyfunction("""COMPUTED_VALUE"""),108.04)</f>
        <v>108.04</v>
      </c>
      <c r="C926" s="2" t="n">
        <f aca="false">IFERROR(__xludf.dummyfunction("""COMPUTED_VALUE"""),108.15)</f>
        <v>108.15</v>
      </c>
      <c r="D926" s="2" t="n">
        <f aca="false">IFERROR(__xludf.dummyfunction("""COMPUTED_VALUE"""),100.95)</f>
        <v>100.95</v>
      </c>
      <c r="E926" s="2" t="n">
        <f aca="false">IFERROR(__xludf.dummyfunction("""COMPUTED_VALUE"""),102.83)</f>
        <v>102.83</v>
      </c>
      <c r="F926" s="2" t="n">
        <f aca="false">IFERROR(__xludf.dummyfunction("""COMPUTED_VALUE"""),413638098)</f>
        <v>413638098</v>
      </c>
    </row>
    <row r="927" customFormat="false" ht="15.75" hidden="false" customHeight="false" outlineLevel="0" collapsed="false">
      <c r="A927" s="3" t="n">
        <f aca="false">IFERROR(__xludf.dummyfunction("""COMPUTED_VALUE"""),45544.6666666667)</f>
        <v>45544.6666666667</v>
      </c>
      <c r="B927" s="2" t="n">
        <f aca="false">IFERROR(__xludf.dummyfunction("""COMPUTED_VALUE"""),104.88)</f>
        <v>104.88</v>
      </c>
      <c r="C927" s="2" t="n">
        <f aca="false">IFERROR(__xludf.dummyfunction("""COMPUTED_VALUE"""),106.55)</f>
        <v>106.55</v>
      </c>
      <c r="D927" s="2" t="n">
        <f aca="false">IFERROR(__xludf.dummyfunction("""COMPUTED_VALUE"""),103.69)</f>
        <v>103.69</v>
      </c>
      <c r="E927" s="2" t="n">
        <f aca="false">IFERROR(__xludf.dummyfunction("""COMPUTED_VALUE"""),106.47)</f>
        <v>106.47</v>
      </c>
      <c r="F927" s="2" t="n">
        <f aca="false">IFERROR(__xludf.dummyfunction("""COMPUTED_VALUE"""),273912015)</f>
        <v>273912015</v>
      </c>
    </row>
    <row r="928" customFormat="false" ht="15.75" hidden="false" customHeight="false" outlineLevel="0" collapsed="false">
      <c r="A928" s="3" t="n">
        <f aca="false">IFERROR(__xludf.dummyfunction("""COMPUTED_VALUE"""),45545.6666666667)</f>
        <v>45545.6666666667</v>
      </c>
      <c r="B928" s="2" t="n">
        <f aca="false">IFERROR(__xludf.dummyfunction("""COMPUTED_VALUE"""),107.81)</f>
        <v>107.81</v>
      </c>
      <c r="C928" s="2" t="n">
        <f aca="false">IFERROR(__xludf.dummyfunction("""COMPUTED_VALUE"""),109.4)</f>
        <v>109.4</v>
      </c>
      <c r="D928" s="2" t="n">
        <f aca="false">IFERROR(__xludf.dummyfunction("""COMPUTED_VALUE"""),104.95)</f>
        <v>104.95</v>
      </c>
      <c r="E928" s="2" t="n">
        <f aca="false">IFERROR(__xludf.dummyfunction("""COMPUTED_VALUE"""),108.1)</f>
        <v>108.1</v>
      </c>
      <c r="F928" s="2" t="n">
        <f aca="false">IFERROR(__xludf.dummyfunction("""COMPUTED_VALUE"""),268283736)</f>
        <v>268283736</v>
      </c>
    </row>
    <row r="929" customFormat="false" ht="15.75" hidden="false" customHeight="false" outlineLevel="0" collapsed="false">
      <c r="A929" s="3" t="n">
        <f aca="false">IFERROR(__xludf.dummyfunction("""COMPUTED_VALUE"""),45546.6666666667)</f>
        <v>45546.6666666667</v>
      </c>
      <c r="B929" s="2" t="n">
        <f aca="false">IFERROR(__xludf.dummyfunction("""COMPUTED_VALUE"""),109.39)</f>
        <v>109.39</v>
      </c>
      <c r="C929" s="2" t="n">
        <f aca="false">IFERROR(__xludf.dummyfunction("""COMPUTED_VALUE"""),117.19)</f>
        <v>117.19</v>
      </c>
      <c r="D929" s="2" t="n">
        <f aca="false">IFERROR(__xludf.dummyfunction("""COMPUTED_VALUE"""),107.42)</f>
        <v>107.42</v>
      </c>
      <c r="E929" s="2" t="n">
        <f aca="false">IFERROR(__xludf.dummyfunction("""COMPUTED_VALUE"""),116.91)</f>
        <v>116.91</v>
      </c>
      <c r="F929" s="2" t="n">
        <f aca="false">IFERROR(__xludf.dummyfunction("""COMPUTED_VALUE"""),441422370)</f>
        <v>441422370</v>
      </c>
    </row>
    <row r="930" customFormat="false" ht="15.75" hidden="false" customHeight="false" outlineLevel="0" collapsed="false">
      <c r="A930" s="3" t="n">
        <f aca="false">IFERROR(__xludf.dummyfunction("""COMPUTED_VALUE"""),45547.6666666667)</f>
        <v>45547.6666666667</v>
      </c>
      <c r="B930" s="2" t="n">
        <f aca="false">IFERROR(__xludf.dummyfunction("""COMPUTED_VALUE"""),116.84)</f>
        <v>116.84</v>
      </c>
      <c r="C930" s="2" t="n">
        <f aca="false">IFERROR(__xludf.dummyfunction("""COMPUTED_VALUE"""),120.79)</f>
        <v>120.79</v>
      </c>
      <c r="D930" s="2" t="n">
        <f aca="false">IFERROR(__xludf.dummyfunction("""COMPUTED_VALUE"""),115.38)</f>
        <v>115.38</v>
      </c>
      <c r="E930" s="2" t="n">
        <f aca="false">IFERROR(__xludf.dummyfunction("""COMPUTED_VALUE"""),119.14)</f>
        <v>119.14</v>
      </c>
      <c r="F930" s="2" t="n">
        <f aca="false">IFERROR(__xludf.dummyfunction("""COMPUTED_VALUE"""),367100496)</f>
        <v>367100496</v>
      </c>
    </row>
    <row r="931" customFormat="false" ht="15.75" hidden="false" customHeight="false" outlineLevel="0" collapsed="false">
      <c r="A931" s="3" t="n">
        <f aca="false">IFERROR(__xludf.dummyfunction("""COMPUTED_VALUE"""),45548.6666666667)</f>
        <v>45548.6666666667</v>
      </c>
      <c r="B931" s="2" t="n">
        <f aca="false">IFERROR(__xludf.dummyfunction("""COMPUTED_VALUE"""),119.08)</f>
        <v>119.08</v>
      </c>
      <c r="C931" s="2" t="n">
        <f aca="false">IFERROR(__xludf.dummyfunction("""COMPUTED_VALUE"""),119.96)</f>
        <v>119.96</v>
      </c>
      <c r="D931" s="2" t="n">
        <f aca="false">IFERROR(__xludf.dummyfunction("""COMPUTED_VALUE"""),117.6)</f>
        <v>117.6</v>
      </c>
      <c r="E931" s="2" t="n">
        <f aca="false">IFERROR(__xludf.dummyfunction("""COMPUTED_VALUE"""),119.1)</f>
        <v>119.1</v>
      </c>
      <c r="F931" s="2" t="n">
        <f aca="false">IFERROR(__xludf.dummyfunction("""COMPUTED_VALUE"""),238358328)</f>
        <v>238358328</v>
      </c>
    </row>
    <row r="932" customFormat="false" ht="15.75" hidden="false" customHeight="false" outlineLevel="0" collapsed="false">
      <c r="A932" s="3" t="n">
        <f aca="false">IFERROR(__xludf.dummyfunction("""COMPUTED_VALUE"""),45551.6666666667)</f>
        <v>45551.6666666667</v>
      </c>
      <c r="B932" s="2" t="n">
        <f aca="false">IFERROR(__xludf.dummyfunction("""COMPUTED_VALUE"""),116.79)</f>
        <v>116.79</v>
      </c>
      <c r="C932" s="2" t="n">
        <f aca="false">IFERROR(__xludf.dummyfunction("""COMPUTED_VALUE"""),118.18)</f>
        <v>118.18</v>
      </c>
      <c r="D932" s="2" t="n">
        <f aca="false">IFERROR(__xludf.dummyfunction("""COMPUTED_VALUE"""),114.36)</f>
        <v>114.36</v>
      </c>
      <c r="E932" s="2" t="n">
        <f aca="false">IFERROR(__xludf.dummyfunction("""COMPUTED_VALUE"""),116.78)</f>
        <v>116.78</v>
      </c>
      <c r="F932" s="2" t="n">
        <f aca="false">IFERROR(__xludf.dummyfunction("""COMPUTED_VALUE"""),248772308)</f>
        <v>248772308</v>
      </c>
    </row>
    <row r="933" customFormat="false" ht="15.75" hidden="false" customHeight="false" outlineLevel="0" collapsed="false">
      <c r="A933" s="3" t="n">
        <f aca="false">IFERROR(__xludf.dummyfunction("""COMPUTED_VALUE"""),45552.6666666667)</f>
        <v>45552.6666666667</v>
      </c>
      <c r="B933" s="2" t="n">
        <f aca="false">IFERROR(__xludf.dummyfunction("""COMPUTED_VALUE"""),118.17)</f>
        <v>118.17</v>
      </c>
      <c r="C933" s="2" t="n">
        <f aca="false">IFERROR(__xludf.dummyfunction("""COMPUTED_VALUE"""),118.8)</f>
        <v>118.8</v>
      </c>
      <c r="D933" s="2" t="n">
        <f aca="false">IFERROR(__xludf.dummyfunction("""COMPUTED_VALUE"""),114.83)</f>
        <v>114.83</v>
      </c>
      <c r="E933" s="2" t="n">
        <f aca="false">IFERROR(__xludf.dummyfunction("""COMPUTED_VALUE"""),115.59)</f>
        <v>115.59</v>
      </c>
      <c r="F933" s="2" t="n">
        <f aca="false">IFERROR(__xludf.dummyfunction("""COMPUTED_VALUE"""),231925876)</f>
        <v>231925876</v>
      </c>
    </row>
    <row r="934" customFormat="false" ht="15.75" hidden="false" customHeight="false" outlineLevel="0" collapsed="false">
      <c r="A934" s="3" t="n">
        <f aca="false">IFERROR(__xludf.dummyfunction("""COMPUTED_VALUE"""),45553.6666666667)</f>
        <v>45553.6666666667</v>
      </c>
      <c r="B934" s="2" t="n">
        <f aca="false">IFERROR(__xludf.dummyfunction("""COMPUTED_VALUE"""),115.89)</f>
        <v>115.89</v>
      </c>
      <c r="C934" s="2" t="n">
        <f aca="false">IFERROR(__xludf.dummyfunction("""COMPUTED_VALUE"""),117.7)</f>
        <v>117.7</v>
      </c>
      <c r="D934" s="2" t="n">
        <f aca="false">IFERROR(__xludf.dummyfunction("""COMPUTED_VALUE"""),113.22)</f>
        <v>113.22</v>
      </c>
      <c r="E934" s="2" t="n">
        <f aca="false">IFERROR(__xludf.dummyfunction("""COMPUTED_VALUE"""),113.37)</f>
        <v>113.37</v>
      </c>
      <c r="F934" s="2" t="n">
        <f aca="false">IFERROR(__xludf.dummyfunction("""COMPUTED_VALUE"""),310318937)</f>
        <v>310318937</v>
      </c>
    </row>
    <row r="935" customFormat="false" ht="15.75" hidden="false" customHeight="false" outlineLevel="0" collapsed="false">
      <c r="A935" s="3" t="n">
        <f aca="false">IFERROR(__xludf.dummyfunction("""COMPUTED_VALUE"""),45554.6666666667)</f>
        <v>45554.6666666667</v>
      </c>
      <c r="B935" s="2" t="n">
        <f aca="false">IFERROR(__xludf.dummyfunction("""COMPUTED_VALUE"""),117.35)</f>
        <v>117.35</v>
      </c>
      <c r="C935" s="2" t="n">
        <f aca="false">IFERROR(__xludf.dummyfunction("""COMPUTED_VALUE"""),119.66)</f>
        <v>119.66</v>
      </c>
      <c r="D935" s="2" t="n">
        <f aca="false">IFERROR(__xludf.dummyfunction("""COMPUTED_VALUE"""),117.25)</f>
        <v>117.25</v>
      </c>
      <c r="E935" s="2" t="n">
        <f aca="false">IFERROR(__xludf.dummyfunction("""COMPUTED_VALUE"""),117.87)</f>
        <v>117.87</v>
      </c>
      <c r="F935" s="2" t="n">
        <f aca="false">IFERROR(__xludf.dummyfunction("""COMPUTED_VALUE"""),293506438)</f>
        <v>293506438</v>
      </c>
    </row>
    <row r="936" customFormat="false" ht="15.75" hidden="false" customHeight="false" outlineLevel="0" collapsed="false">
      <c r="A936" s="3" t="n">
        <f aca="false">IFERROR(__xludf.dummyfunction("""COMPUTED_VALUE"""),45555.6666666667)</f>
        <v>45555.6666666667</v>
      </c>
      <c r="B936" s="2" t="n">
        <f aca="false">IFERROR(__xludf.dummyfunction("""COMPUTED_VALUE"""),117.06)</f>
        <v>117.06</v>
      </c>
      <c r="C936" s="2" t="n">
        <f aca="false">IFERROR(__xludf.dummyfunction("""COMPUTED_VALUE"""),118.62)</f>
        <v>118.62</v>
      </c>
      <c r="D936" s="2" t="n">
        <f aca="false">IFERROR(__xludf.dummyfunction("""COMPUTED_VALUE"""),115.39)</f>
        <v>115.39</v>
      </c>
      <c r="E936" s="2" t="n">
        <f aca="false">IFERROR(__xludf.dummyfunction("""COMPUTED_VALUE"""),116)</f>
        <v>116</v>
      </c>
      <c r="F936" s="2" t="n">
        <f aca="false">IFERROR(__xludf.dummyfunction("""COMPUTED_VALUE"""),382462428)</f>
        <v>382462428</v>
      </c>
    </row>
    <row r="937" customFormat="false" ht="15.75" hidden="false" customHeight="false" outlineLevel="0" collapsed="false">
      <c r="A937" s="3" t="n">
        <f aca="false">IFERROR(__xludf.dummyfunction("""COMPUTED_VALUE"""),45558.6666666667)</f>
        <v>45558.6666666667</v>
      </c>
      <c r="B937" s="2" t="n">
        <f aca="false">IFERROR(__xludf.dummyfunction("""COMPUTED_VALUE"""),116.55)</f>
        <v>116.55</v>
      </c>
      <c r="C937" s="2" t="n">
        <f aca="false">IFERROR(__xludf.dummyfunction("""COMPUTED_VALUE"""),116.99)</f>
        <v>116.99</v>
      </c>
      <c r="D937" s="2" t="n">
        <f aca="false">IFERROR(__xludf.dummyfunction("""COMPUTED_VALUE"""),114.86)</f>
        <v>114.86</v>
      </c>
      <c r="E937" s="2" t="n">
        <f aca="false">IFERROR(__xludf.dummyfunction("""COMPUTED_VALUE"""),116.26)</f>
        <v>116.26</v>
      </c>
      <c r="F937" s="2" t="n">
        <f aca="false">IFERROR(__xludf.dummyfunction("""COMPUTED_VALUE"""),206228490)</f>
        <v>206228490</v>
      </c>
    </row>
    <row r="938" customFormat="false" ht="15.75" hidden="false" customHeight="false" outlineLevel="0" collapsed="false">
      <c r="A938" s="3" t="n">
        <f aca="false">IFERROR(__xludf.dummyfunction("""COMPUTED_VALUE"""),45559.6666666667)</f>
        <v>45559.6666666667</v>
      </c>
      <c r="B938" s="2" t="n">
        <f aca="false">IFERROR(__xludf.dummyfunction("""COMPUTED_VALUE"""),116.52)</f>
        <v>116.52</v>
      </c>
      <c r="C938" s="2" t="n">
        <f aca="false">IFERROR(__xludf.dummyfunction("""COMPUTED_VALUE"""),121.8)</f>
        <v>121.8</v>
      </c>
      <c r="D938" s="2" t="n">
        <f aca="false">IFERROR(__xludf.dummyfunction("""COMPUTED_VALUE"""),115.38)</f>
        <v>115.38</v>
      </c>
      <c r="E938" s="2" t="n">
        <f aca="false">IFERROR(__xludf.dummyfunction("""COMPUTED_VALUE"""),120.87)</f>
        <v>120.87</v>
      </c>
      <c r="F938" s="2" t="n">
        <f aca="false">IFERROR(__xludf.dummyfunction("""COMPUTED_VALUE"""),354966772)</f>
        <v>354966772</v>
      </c>
    </row>
    <row r="939" customFormat="false" ht="15.75" hidden="false" customHeight="false" outlineLevel="0" collapsed="false">
      <c r="A939" s="3" t="n">
        <f aca="false">IFERROR(__xludf.dummyfunction("""COMPUTED_VALUE"""),45560.6666666667)</f>
        <v>45560.6666666667</v>
      </c>
      <c r="B939" s="2" t="n">
        <f aca="false">IFERROR(__xludf.dummyfunction("""COMPUTED_VALUE"""),122.02)</f>
        <v>122.02</v>
      </c>
      <c r="C939" s="2" t="n">
        <f aca="false">IFERROR(__xludf.dummyfunction("""COMPUTED_VALUE"""),124.94)</f>
        <v>124.94</v>
      </c>
      <c r="D939" s="2" t="n">
        <f aca="false">IFERROR(__xludf.dummyfunction("""COMPUTED_VALUE"""),121.61)</f>
        <v>121.61</v>
      </c>
      <c r="E939" s="2" t="n">
        <f aca="false">IFERROR(__xludf.dummyfunction("""COMPUTED_VALUE"""),123.51)</f>
        <v>123.51</v>
      </c>
      <c r="F939" s="2" t="n">
        <f aca="false">IFERROR(__xludf.dummyfunction("""COMPUTED_VALUE"""),284692948)</f>
        <v>284692948</v>
      </c>
    </row>
    <row r="940" customFormat="false" ht="15.75" hidden="false" customHeight="false" outlineLevel="0" collapsed="false">
      <c r="A940" s="3" t="n">
        <f aca="false">IFERROR(__xludf.dummyfunction("""COMPUTED_VALUE"""),45561.6666666667)</f>
        <v>45561.6666666667</v>
      </c>
      <c r="B940" s="2" t="n">
        <f aca="false">IFERROR(__xludf.dummyfunction("""COMPUTED_VALUE"""),126.8)</f>
        <v>126.8</v>
      </c>
      <c r="C940" s="2" t="n">
        <f aca="false">IFERROR(__xludf.dummyfunction("""COMPUTED_VALUE"""),127.67)</f>
        <v>127.67</v>
      </c>
      <c r="D940" s="2" t="n">
        <f aca="false">IFERROR(__xludf.dummyfunction("""COMPUTED_VALUE"""),121.8)</f>
        <v>121.8</v>
      </c>
      <c r="E940" s="2" t="n">
        <f aca="false">IFERROR(__xludf.dummyfunction("""COMPUTED_VALUE"""),124.04)</f>
        <v>124.04</v>
      </c>
      <c r="F940" s="2" t="n">
        <f aca="false">IFERROR(__xludf.dummyfunction("""COMPUTED_VALUE"""),302582868)</f>
        <v>302582868</v>
      </c>
    </row>
    <row r="941" customFormat="false" ht="15.75" hidden="false" customHeight="false" outlineLevel="0" collapsed="false">
      <c r="A941" s="3" t="n">
        <f aca="false">IFERROR(__xludf.dummyfunction("""COMPUTED_VALUE"""),45562.6666666667)</f>
        <v>45562.6666666667</v>
      </c>
      <c r="B941" s="2" t="n">
        <f aca="false">IFERROR(__xludf.dummyfunction("""COMPUTED_VALUE"""),123.97)</f>
        <v>123.97</v>
      </c>
      <c r="C941" s="2" t="n">
        <f aca="false">IFERROR(__xludf.dummyfunction("""COMPUTED_VALUE"""),124.03)</f>
        <v>124.03</v>
      </c>
      <c r="D941" s="2" t="n">
        <f aca="false">IFERROR(__xludf.dummyfunction("""COMPUTED_VALUE"""),119.26)</f>
        <v>119.26</v>
      </c>
      <c r="E941" s="2" t="n">
        <f aca="false">IFERROR(__xludf.dummyfunction("""COMPUTED_VALUE"""),121.4)</f>
        <v>121.4</v>
      </c>
      <c r="F941" s="2" t="n">
        <f aca="false">IFERROR(__xludf.dummyfunction("""COMPUTED_VALUE"""),271009175)</f>
        <v>271009175</v>
      </c>
    </row>
    <row r="942" customFormat="false" ht="15.75" hidden="false" customHeight="false" outlineLevel="0" collapsed="false">
      <c r="A942" s="3" t="n">
        <f aca="false">IFERROR(__xludf.dummyfunction("""COMPUTED_VALUE"""),45565.6666666667)</f>
        <v>45565.6666666667</v>
      </c>
      <c r="B942" s="2" t="n">
        <f aca="false">IFERROR(__xludf.dummyfunction("""COMPUTED_VALUE"""),118.31)</f>
        <v>118.31</v>
      </c>
      <c r="C942" s="2" t="n">
        <f aca="false">IFERROR(__xludf.dummyfunction("""COMPUTED_VALUE"""),121.5)</f>
        <v>121.5</v>
      </c>
      <c r="D942" s="2" t="n">
        <f aca="false">IFERROR(__xludf.dummyfunction("""COMPUTED_VALUE"""),118.15)</f>
        <v>118.15</v>
      </c>
      <c r="E942" s="2" t="n">
        <f aca="false">IFERROR(__xludf.dummyfunction("""COMPUTED_VALUE"""),121.44)</f>
        <v>121.44</v>
      </c>
      <c r="F942" s="2" t="n">
        <f aca="false">IFERROR(__xludf.dummyfunction("""COMPUTED_VALUE"""),227053651)</f>
        <v>227053651</v>
      </c>
    </row>
    <row r="943" customFormat="false" ht="15.75" hidden="false" customHeight="false" outlineLevel="0" collapsed="false">
      <c r="A943" s="3" t="n">
        <f aca="false">IFERROR(__xludf.dummyfunction("""COMPUTED_VALUE"""),45566.6666666667)</f>
        <v>45566.6666666667</v>
      </c>
      <c r="B943" s="2" t="n">
        <f aca="false">IFERROR(__xludf.dummyfunction("""COMPUTED_VALUE"""),121.77)</f>
        <v>121.77</v>
      </c>
      <c r="C943" s="2" t="n">
        <f aca="false">IFERROR(__xludf.dummyfunction("""COMPUTED_VALUE"""),122.44)</f>
        <v>122.44</v>
      </c>
      <c r="D943" s="2" t="n">
        <f aca="false">IFERROR(__xludf.dummyfunction("""COMPUTED_VALUE"""),115.79)</f>
        <v>115.79</v>
      </c>
      <c r="E943" s="2" t="n">
        <f aca="false">IFERROR(__xludf.dummyfunction("""COMPUTED_VALUE"""),117)</f>
        <v>117</v>
      </c>
      <c r="F943" s="2" t="n">
        <f aca="false">IFERROR(__xludf.dummyfunction("""COMPUTED_VALUE"""),302094485)</f>
        <v>302094485</v>
      </c>
    </row>
    <row r="944" customFormat="false" ht="15.75" hidden="false" customHeight="false" outlineLevel="0" collapsed="false">
      <c r="A944" s="3" t="n">
        <f aca="false">IFERROR(__xludf.dummyfunction("""COMPUTED_VALUE"""),45567.6666666667)</f>
        <v>45567.6666666667</v>
      </c>
      <c r="B944" s="2" t="n">
        <f aca="false">IFERROR(__xludf.dummyfunction("""COMPUTED_VALUE"""),116.44)</f>
        <v>116.44</v>
      </c>
      <c r="C944" s="2" t="n">
        <f aca="false">IFERROR(__xludf.dummyfunction("""COMPUTED_VALUE"""),119.38)</f>
        <v>119.38</v>
      </c>
      <c r="D944" s="2" t="n">
        <f aca="false">IFERROR(__xludf.dummyfunction("""COMPUTED_VALUE"""),115.14)</f>
        <v>115.14</v>
      </c>
      <c r="E944" s="2" t="n">
        <f aca="false">IFERROR(__xludf.dummyfunction("""COMPUTED_VALUE"""),118.85)</f>
        <v>118.85</v>
      </c>
      <c r="F944" s="2" t="n">
        <f aca="false">IFERROR(__xludf.dummyfunction("""COMPUTED_VALUE"""),221845887)</f>
        <v>221845887</v>
      </c>
    </row>
    <row r="945" customFormat="false" ht="15.75" hidden="false" customHeight="false" outlineLevel="0" collapsed="false">
      <c r="A945" s="3" t="n">
        <f aca="false">IFERROR(__xludf.dummyfunction("""COMPUTED_VALUE"""),45568.6666666667)</f>
        <v>45568.6666666667</v>
      </c>
      <c r="B945" s="2" t="n">
        <f aca="false">IFERROR(__xludf.dummyfunction("""COMPUTED_VALUE"""),120.92)</f>
        <v>120.92</v>
      </c>
      <c r="C945" s="2" t="n">
        <f aca="false">IFERROR(__xludf.dummyfunction("""COMPUTED_VALUE"""),124.36)</f>
        <v>124.36</v>
      </c>
      <c r="D945" s="2" t="n">
        <f aca="false">IFERROR(__xludf.dummyfunction("""COMPUTED_VALUE"""),120.34)</f>
        <v>120.34</v>
      </c>
      <c r="E945" s="2" t="n">
        <f aca="false">IFERROR(__xludf.dummyfunction("""COMPUTED_VALUE"""),122.85)</f>
        <v>122.85</v>
      </c>
      <c r="F945" s="2" t="n">
        <f aca="false">IFERROR(__xludf.dummyfunction("""COMPUTED_VALUE"""),277117973)</f>
        <v>277117973</v>
      </c>
    </row>
    <row r="946" customFormat="false" ht="15.75" hidden="false" customHeight="false" outlineLevel="0" collapsed="false">
      <c r="A946" s="3" t="n">
        <f aca="false">IFERROR(__xludf.dummyfunction("""COMPUTED_VALUE"""),45569.6666666667)</f>
        <v>45569.6666666667</v>
      </c>
      <c r="B946" s="2" t="n">
        <f aca="false">IFERROR(__xludf.dummyfunction("""COMPUTED_VALUE"""),124.94)</f>
        <v>124.94</v>
      </c>
      <c r="C946" s="2" t="n">
        <f aca="false">IFERROR(__xludf.dummyfunction("""COMPUTED_VALUE"""),125.04)</f>
        <v>125.04</v>
      </c>
      <c r="D946" s="2" t="n">
        <f aca="false">IFERROR(__xludf.dummyfunction("""COMPUTED_VALUE"""),121.83)</f>
        <v>121.83</v>
      </c>
      <c r="E946" s="2" t="n">
        <f aca="false">IFERROR(__xludf.dummyfunction("""COMPUTED_VALUE"""),124.92)</f>
        <v>124.92</v>
      </c>
      <c r="F946" s="2" t="n">
        <f aca="false">IFERROR(__xludf.dummyfunction("""COMPUTED_VALUE"""),244465552)</f>
        <v>244465552</v>
      </c>
    </row>
    <row r="947" customFormat="false" ht="15.75" hidden="false" customHeight="false" outlineLevel="0" collapsed="false">
      <c r="A947" s="3" t="n">
        <f aca="false">IFERROR(__xludf.dummyfunction("""COMPUTED_VALUE"""),45572.6666666667)</f>
        <v>45572.6666666667</v>
      </c>
      <c r="B947" s="2" t="n">
        <f aca="false">IFERROR(__xludf.dummyfunction("""COMPUTED_VALUE"""),124.99)</f>
        <v>124.99</v>
      </c>
      <c r="C947" s="2" t="n">
        <f aca="false">IFERROR(__xludf.dummyfunction("""COMPUTED_VALUE"""),130.64)</f>
        <v>130.64</v>
      </c>
      <c r="D947" s="2" t="n">
        <f aca="false">IFERROR(__xludf.dummyfunction("""COMPUTED_VALUE"""),124.95)</f>
        <v>124.95</v>
      </c>
      <c r="E947" s="2" t="n">
        <f aca="false">IFERROR(__xludf.dummyfunction("""COMPUTED_VALUE"""),127.72)</f>
        <v>127.72</v>
      </c>
      <c r="F947" s="2" t="n">
        <f aca="false">IFERROR(__xludf.dummyfunction("""COMPUTED_VALUE"""),346250233)</f>
        <v>346250233</v>
      </c>
    </row>
    <row r="948" customFormat="false" ht="15.75" hidden="false" customHeight="false" outlineLevel="0" collapsed="false">
      <c r="A948" s="3" t="n">
        <f aca="false">IFERROR(__xludf.dummyfunction("""COMPUTED_VALUE"""),45573.6666666667)</f>
        <v>45573.6666666667</v>
      </c>
      <c r="B948" s="2" t="n">
        <f aca="false">IFERROR(__xludf.dummyfunction("""COMPUTED_VALUE"""),130.26)</f>
        <v>130.26</v>
      </c>
      <c r="C948" s="2" t="n">
        <f aca="false">IFERROR(__xludf.dummyfunction("""COMPUTED_VALUE"""),133.48)</f>
        <v>133.48</v>
      </c>
      <c r="D948" s="2" t="n">
        <f aca="false">IFERROR(__xludf.dummyfunction("""COMPUTED_VALUE"""),129.42)</f>
        <v>129.42</v>
      </c>
      <c r="E948" s="2" t="n">
        <f aca="false">IFERROR(__xludf.dummyfunction("""COMPUTED_VALUE"""),132.89)</f>
        <v>132.89</v>
      </c>
      <c r="F948" s="2" t="n">
        <f aca="false">IFERROR(__xludf.dummyfunction("""COMPUTED_VALUE"""),285722485)</f>
        <v>285722485</v>
      </c>
    </row>
    <row r="949" customFormat="false" ht="15.75" hidden="false" customHeight="false" outlineLevel="0" collapsed="false">
      <c r="A949" s="3" t="n">
        <f aca="false">IFERROR(__xludf.dummyfunction("""COMPUTED_VALUE"""),45574.6666666667)</f>
        <v>45574.6666666667</v>
      </c>
      <c r="B949" s="2" t="n">
        <f aca="false">IFERROR(__xludf.dummyfunction("""COMPUTED_VALUE"""),134.11)</f>
        <v>134.11</v>
      </c>
      <c r="C949" s="2" t="n">
        <f aca="false">IFERROR(__xludf.dummyfunction("""COMPUTED_VALUE"""),134.52)</f>
        <v>134.52</v>
      </c>
      <c r="D949" s="2" t="n">
        <f aca="false">IFERROR(__xludf.dummyfunction("""COMPUTED_VALUE"""),131.38)</f>
        <v>131.38</v>
      </c>
      <c r="E949" s="2" t="n">
        <f aca="false">IFERROR(__xludf.dummyfunction("""COMPUTED_VALUE"""),132.65)</f>
        <v>132.65</v>
      </c>
      <c r="F949" s="2" t="n">
        <f aca="false">IFERROR(__xludf.dummyfunction("""COMPUTED_VALUE"""),246191612)</f>
        <v>246191612</v>
      </c>
    </row>
    <row r="950" customFormat="false" ht="15.75" hidden="false" customHeight="false" outlineLevel="0" collapsed="false">
      <c r="A950" s="3" t="n">
        <f aca="false">IFERROR(__xludf.dummyfunction("""COMPUTED_VALUE"""),45575.6666666667)</f>
        <v>45575.6666666667</v>
      </c>
      <c r="B950" s="2" t="n">
        <f aca="false">IFERROR(__xludf.dummyfunction("""COMPUTED_VALUE"""),131.91)</f>
        <v>131.91</v>
      </c>
      <c r="C950" s="2" t="n">
        <f aca="false">IFERROR(__xludf.dummyfunction("""COMPUTED_VALUE"""),135)</f>
        <v>135</v>
      </c>
      <c r="D950" s="2" t="n">
        <f aca="false">IFERROR(__xludf.dummyfunction("""COMPUTED_VALUE"""),131)</f>
        <v>131</v>
      </c>
      <c r="E950" s="2" t="n">
        <f aca="false">IFERROR(__xludf.dummyfunction("""COMPUTED_VALUE"""),134.81)</f>
        <v>134.81</v>
      </c>
      <c r="F950" s="2" t="n">
        <f aca="false">IFERROR(__xludf.dummyfunction("""COMPUTED_VALUE"""),242311337)</f>
        <v>242311337</v>
      </c>
    </row>
    <row r="951" customFormat="false" ht="15.75" hidden="false" customHeight="false" outlineLevel="0" collapsed="false">
      <c r="A951" s="3" t="n">
        <f aca="false">IFERROR(__xludf.dummyfunction("""COMPUTED_VALUE"""),45576.6666666667)</f>
        <v>45576.6666666667</v>
      </c>
      <c r="B951" s="2" t="n">
        <f aca="false">IFERROR(__xludf.dummyfunction("""COMPUTED_VALUE"""),134.01)</f>
        <v>134.01</v>
      </c>
      <c r="C951" s="2" t="n">
        <f aca="false">IFERROR(__xludf.dummyfunction("""COMPUTED_VALUE"""),135.78)</f>
        <v>135.78</v>
      </c>
      <c r="D951" s="2" t="n">
        <f aca="false">IFERROR(__xludf.dummyfunction("""COMPUTED_VALUE"""),133.66)</f>
        <v>133.66</v>
      </c>
      <c r="E951" s="2" t="n">
        <f aca="false">IFERROR(__xludf.dummyfunction("""COMPUTED_VALUE"""),134.8)</f>
        <v>134.8</v>
      </c>
      <c r="F951" s="2" t="n">
        <f aca="false">IFERROR(__xludf.dummyfunction("""COMPUTED_VALUE"""),170209474)</f>
        <v>170209474</v>
      </c>
    </row>
    <row r="952" customFormat="false" ht="15.75" hidden="false" customHeight="false" outlineLevel="0" collapsed="false">
      <c r="A952" s="3" t="n">
        <f aca="false">IFERROR(__xludf.dummyfunction("""COMPUTED_VALUE"""),45579.6666666667)</f>
        <v>45579.6666666667</v>
      </c>
      <c r="B952" s="2" t="n">
        <f aca="false">IFERROR(__xludf.dummyfunction("""COMPUTED_VALUE"""),136.47)</f>
        <v>136.47</v>
      </c>
      <c r="C952" s="2" t="n">
        <f aca="false">IFERROR(__xludf.dummyfunction("""COMPUTED_VALUE"""),139.6)</f>
        <v>139.6</v>
      </c>
      <c r="D952" s="2" t="n">
        <f aca="false">IFERROR(__xludf.dummyfunction("""COMPUTED_VALUE"""),136.3)</f>
        <v>136.3</v>
      </c>
      <c r="E952" s="2" t="n">
        <f aca="false">IFERROR(__xludf.dummyfunction("""COMPUTED_VALUE"""),138.07)</f>
        <v>138.07</v>
      </c>
      <c r="F952" s="2" t="n">
        <f aca="false">IFERROR(__xludf.dummyfunction("""COMPUTED_VALUE"""),232347668)</f>
        <v>232347668</v>
      </c>
    </row>
    <row r="953" customFormat="false" ht="15.75" hidden="false" customHeight="false" outlineLevel="0" collapsed="false">
      <c r="A953" s="3" t="n">
        <f aca="false">IFERROR(__xludf.dummyfunction("""COMPUTED_VALUE"""),45580.6666666667)</f>
        <v>45580.6666666667</v>
      </c>
      <c r="B953" s="2" t="n">
        <f aca="false">IFERROR(__xludf.dummyfunction("""COMPUTED_VALUE"""),137.87)</f>
        <v>137.87</v>
      </c>
      <c r="C953" s="2" t="n">
        <f aca="false">IFERROR(__xludf.dummyfunction("""COMPUTED_VALUE"""),138.57)</f>
        <v>138.57</v>
      </c>
      <c r="D953" s="2" t="n">
        <f aca="false">IFERROR(__xludf.dummyfunction("""COMPUTED_VALUE"""),128.74)</f>
        <v>128.74</v>
      </c>
      <c r="E953" s="2" t="n">
        <f aca="false">IFERROR(__xludf.dummyfunction("""COMPUTED_VALUE"""),131.6)</f>
        <v>131.6</v>
      </c>
      <c r="F953" s="2" t="n">
        <f aca="false">IFERROR(__xludf.dummyfunction("""COMPUTED_VALUE"""),377831021)</f>
        <v>377831021</v>
      </c>
    </row>
    <row r="954" customFormat="false" ht="15.75" hidden="false" customHeight="false" outlineLevel="0" collapsed="false">
      <c r="A954" s="3" t="n">
        <f aca="false">IFERROR(__xludf.dummyfunction("""COMPUTED_VALUE"""),45581.6666666667)</f>
        <v>45581.6666666667</v>
      </c>
      <c r="B954" s="2" t="n">
        <f aca="false">IFERROR(__xludf.dummyfunction("""COMPUTED_VALUE"""),133.98)</f>
        <v>133.98</v>
      </c>
      <c r="C954" s="2" t="n">
        <f aca="false">IFERROR(__xludf.dummyfunction("""COMPUTED_VALUE"""),136.62)</f>
        <v>136.62</v>
      </c>
      <c r="D954" s="2" t="n">
        <f aca="false">IFERROR(__xludf.dummyfunction("""COMPUTED_VALUE"""),131.58)</f>
        <v>131.58</v>
      </c>
      <c r="E954" s="2" t="n">
        <f aca="false">IFERROR(__xludf.dummyfunction("""COMPUTED_VALUE"""),135.72)</f>
        <v>135.72</v>
      </c>
      <c r="F954" s="2" t="n">
        <f aca="false">IFERROR(__xludf.dummyfunction("""COMPUTED_VALUE"""),264879720)</f>
        <v>264879720</v>
      </c>
    </row>
    <row r="955" customFormat="false" ht="15.75" hidden="false" customHeight="false" outlineLevel="0" collapsed="false">
      <c r="A955" s="3" t="n">
        <f aca="false">IFERROR(__xludf.dummyfunction("""COMPUTED_VALUE"""),45582.6666666667)</f>
        <v>45582.6666666667</v>
      </c>
      <c r="B955" s="2" t="n">
        <f aca="false">IFERROR(__xludf.dummyfunction("""COMPUTED_VALUE"""),139.34)</f>
        <v>139.34</v>
      </c>
      <c r="C955" s="2" t="n">
        <f aca="false">IFERROR(__xludf.dummyfunction("""COMPUTED_VALUE"""),140.89)</f>
        <v>140.89</v>
      </c>
      <c r="D955" s="2" t="n">
        <f aca="false">IFERROR(__xludf.dummyfunction("""COMPUTED_VALUE"""),136.87)</f>
        <v>136.87</v>
      </c>
      <c r="E955" s="2" t="n">
        <f aca="false">IFERROR(__xludf.dummyfunction("""COMPUTED_VALUE"""),136.93)</f>
        <v>136.93</v>
      </c>
      <c r="F955" s="2" t="n">
        <f aca="false">IFERROR(__xludf.dummyfunction("""COMPUTED_VALUE"""),306435921)</f>
        <v>306435921</v>
      </c>
    </row>
    <row r="956" customFormat="false" ht="15.75" hidden="false" customHeight="false" outlineLevel="0" collapsed="false">
      <c r="A956" s="3" t="n">
        <f aca="false">IFERROR(__xludf.dummyfunction("""COMPUTED_VALUE"""),45583.6666666667)</f>
        <v>45583.6666666667</v>
      </c>
      <c r="B956" s="2" t="n">
        <f aca="false">IFERROR(__xludf.dummyfunction("""COMPUTED_VALUE"""),138.67)</f>
        <v>138.67</v>
      </c>
      <c r="C956" s="2" t="n">
        <f aca="false">IFERROR(__xludf.dummyfunction("""COMPUTED_VALUE"""),138.9)</f>
        <v>138.9</v>
      </c>
      <c r="D956" s="2" t="n">
        <f aca="false">IFERROR(__xludf.dummyfunction("""COMPUTED_VALUE"""),137.28)</f>
        <v>137.28</v>
      </c>
      <c r="E956" s="2" t="n">
        <f aca="false">IFERROR(__xludf.dummyfunction("""COMPUTED_VALUE"""),138)</f>
        <v>138</v>
      </c>
      <c r="F956" s="2" t="n">
        <f aca="false">IFERROR(__xludf.dummyfunction("""COMPUTED_VALUE"""),176090184)</f>
        <v>176090184</v>
      </c>
    </row>
    <row r="957" customFormat="false" ht="15.75" hidden="false" customHeight="false" outlineLevel="0" collapsed="false">
      <c r="A957" s="3" t="n">
        <f aca="false">IFERROR(__xludf.dummyfunction("""COMPUTED_VALUE"""),45586.6666666667)</f>
        <v>45586.6666666667</v>
      </c>
      <c r="B957" s="2" t="n">
        <f aca="false">IFERROR(__xludf.dummyfunction("""COMPUTED_VALUE"""),138.13)</f>
        <v>138.13</v>
      </c>
      <c r="C957" s="2" t="n">
        <f aca="false">IFERROR(__xludf.dummyfunction("""COMPUTED_VALUE"""),143.71)</f>
        <v>143.71</v>
      </c>
      <c r="D957" s="2" t="n">
        <f aca="false">IFERROR(__xludf.dummyfunction("""COMPUTED_VALUE"""),138)</f>
        <v>138</v>
      </c>
      <c r="E957" s="2" t="n">
        <f aca="false">IFERROR(__xludf.dummyfunction("""COMPUTED_VALUE"""),143.71)</f>
        <v>143.71</v>
      </c>
      <c r="F957" s="2" t="n">
        <f aca="false">IFERROR(__xludf.dummyfunction("""COMPUTED_VALUE"""),264554514)</f>
        <v>264554514</v>
      </c>
    </row>
    <row r="958" customFormat="false" ht="15.75" hidden="false" customHeight="false" outlineLevel="0" collapsed="false">
      <c r="A958" s="3" t="n">
        <f aca="false">IFERROR(__xludf.dummyfunction("""COMPUTED_VALUE"""),45587.6666666667)</f>
        <v>45587.6666666667</v>
      </c>
      <c r="B958" s="2" t="n">
        <f aca="false">IFERROR(__xludf.dummyfunction("""COMPUTED_VALUE"""),142.91)</f>
        <v>142.91</v>
      </c>
      <c r="C958" s="2" t="n">
        <f aca="false">IFERROR(__xludf.dummyfunction("""COMPUTED_VALUE"""),144.42)</f>
        <v>144.42</v>
      </c>
      <c r="D958" s="2" t="n">
        <f aca="false">IFERROR(__xludf.dummyfunction("""COMPUTED_VALUE"""),141.78)</f>
        <v>141.78</v>
      </c>
      <c r="E958" s="2" t="n">
        <f aca="false">IFERROR(__xludf.dummyfunction("""COMPUTED_VALUE"""),143.59)</f>
        <v>143.59</v>
      </c>
      <c r="F958" s="2" t="n">
        <f aca="false">IFERROR(__xludf.dummyfunction("""COMPUTED_VALUE"""),226311589)</f>
        <v>226311589</v>
      </c>
    </row>
    <row r="959" customFormat="false" ht="15.75" hidden="false" customHeight="false" outlineLevel="0" collapsed="false">
      <c r="A959" s="3" t="n">
        <f aca="false">IFERROR(__xludf.dummyfunction("""COMPUTED_VALUE"""),45588.6666666667)</f>
        <v>45588.6666666667</v>
      </c>
      <c r="B959" s="2" t="n">
        <f aca="false">IFERROR(__xludf.dummyfunction("""COMPUTED_VALUE"""),142.03)</f>
        <v>142.03</v>
      </c>
      <c r="C959" s="2" t="n">
        <f aca="false">IFERROR(__xludf.dummyfunction("""COMPUTED_VALUE"""),142.43)</f>
        <v>142.43</v>
      </c>
      <c r="D959" s="2" t="n">
        <f aca="false">IFERROR(__xludf.dummyfunction("""COMPUTED_VALUE"""),137.46)</f>
        <v>137.46</v>
      </c>
      <c r="E959" s="2" t="n">
        <f aca="false">IFERROR(__xludf.dummyfunction("""COMPUTED_VALUE"""),139.56)</f>
        <v>139.56</v>
      </c>
      <c r="F959" s="2" t="n">
        <f aca="false">IFERROR(__xludf.dummyfunction("""COMPUTED_VALUE"""),285930038)</f>
        <v>285930038</v>
      </c>
    </row>
    <row r="960" customFormat="false" ht="15.75" hidden="false" customHeight="false" outlineLevel="0" collapsed="false">
      <c r="A960" s="3" t="n">
        <f aca="false">IFERROR(__xludf.dummyfunction("""COMPUTED_VALUE"""),45589.6666666667)</f>
        <v>45589.6666666667</v>
      </c>
      <c r="B960" s="2" t="n">
        <f aca="false">IFERROR(__xludf.dummyfunction("""COMPUTED_VALUE"""),140.82)</f>
        <v>140.82</v>
      </c>
      <c r="C960" s="2" t="n">
        <f aca="false">IFERROR(__xludf.dummyfunction("""COMPUTED_VALUE"""),141.35)</f>
        <v>141.35</v>
      </c>
      <c r="D960" s="2" t="n">
        <f aca="false">IFERROR(__xludf.dummyfunction("""COMPUTED_VALUE"""),138.46)</f>
        <v>138.46</v>
      </c>
      <c r="E960" s="2" t="n">
        <f aca="false">IFERROR(__xludf.dummyfunction("""COMPUTED_VALUE"""),140.41)</f>
        <v>140.41</v>
      </c>
      <c r="F960" s="2" t="n">
        <f aca="false">IFERROR(__xludf.dummyfunction("""COMPUTED_VALUE"""),172354888)</f>
        <v>172354888</v>
      </c>
    </row>
    <row r="961" customFormat="false" ht="15.75" hidden="false" customHeight="false" outlineLevel="0" collapsed="false">
      <c r="A961" s="3" t="n">
        <f aca="false">IFERROR(__xludf.dummyfunction("""COMPUTED_VALUE"""),45590.6666666667)</f>
        <v>45590.6666666667</v>
      </c>
      <c r="B961" s="2" t="n">
        <f aca="false">IFERROR(__xludf.dummyfunction("""COMPUTED_VALUE"""),140.93)</f>
        <v>140.93</v>
      </c>
      <c r="C961" s="2" t="n">
        <f aca="false">IFERROR(__xludf.dummyfunction("""COMPUTED_VALUE"""),144.13)</f>
        <v>144.13</v>
      </c>
      <c r="D961" s="2" t="n">
        <f aca="false">IFERROR(__xludf.dummyfunction("""COMPUTED_VALUE"""),140.8)</f>
        <v>140.8</v>
      </c>
      <c r="E961" s="2" t="n">
        <f aca="false">IFERROR(__xludf.dummyfunction("""COMPUTED_VALUE"""),141.54)</f>
        <v>141.54</v>
      </c>
      <c r="F961" s="2" t="n">
        <f aca="false">IFERROR(__xludf.dummyfunction("""COMPUTED_VALUE"""),205122109)</f>
        <v>205122109</v>
      </c>
    </row>
    <row r="962" customFormat="false" ht="15.75" hidden="false" customHeight="false" outlineLevel="0" collapsed="false">
      <c r="A962" s="3" t="n">
        <f aca="false">IFERROR(__xludf.dummyfunction("""COMPUTED_VALUE"""),45593.6666666667)</f>
        <v>45593.6666666667</v>
      </c>
      <c r="B962" s="2" t="n">
        <f aca="false">IFERROR(__xludf.dummyfunction("""COMPUTED_VALUE"""),143)</f>
        <v>143</v>
      </c>
      <c r="C962" s="2" t="n">
        <f aca="false">IFERROR(__xludf.dummyfunction("""COMPUTED_VALUE"""),143.14)</f>
        <v>143.14</v>
      </c>
      <c r="D962" s="2" t="n">
        <f aca="false">IFERROR(__xludf.dummyfunction("""COMPUTED_VALUE"""),140.05)</f>
        <v>140.05</v>
      </c>
      <c r="E962" s="2" t="n">
        <f aca="false">IFERROR(__xludf.dummyfunction("""COMPUTED_VALUE"""),140.52)</f>
        <v>140.52</v>
      </c>
      <c r="F962" s="2" t="n">
        <f aca="false">IFERROR(__xludf.dummyfunction("""COMPUTED_VALUE"""),173586745)</f>
        <v>173586745</v>
      </c>
    </row>
    <row r="963" customFormat="false" ht="15.75" hidden="false" customHeight="false" outlineLevel="0" collapsed="false">
      <c r="A963" s="3" t="n">
        <f aca="false">IFERROR(__xludf.dummyfunction("""COMPUTED_VALUE"""),45594.6666666667)</f>
        <v>45594.6666666667</v>
      </c>
      <c r="B963" s="2" t="n">
        <f aca="false">IFERROR(__xludf.dummyfunction("""COMPUTED_VALUE"""),140.29)</f>
        <v>140.29</v>
      </c>
      <c r="C963" s="2" t="n">
        <f aca="false">IFERROR(__xludf.dummyfunction("""COMPUTED_VALUE"""),142.26)</f>
        <v>142.26</v>
      </c>
      <c r="D963" s="2" t="n">
        <f aca="false">IFERROR(__xludf.dummyfunction("""COMPUTED_VALUE"""),138.9)</f>
        <v>138.9</v>
      </c>
      <c r="E963" s="2" t="n">
        <f aca="false">IFERROR(__xludf.dummyfunction("""COMPUTED_VALUE"""),141.25)</f>
        <v>141.25</v>
      </c>
      <c r="F963" s="2" t="n">
        <f aca="false">IFERROR(__xludf.dummyfunction("""COMPUTED_VALUE"""),157593634)</f>
        <v>157593634</v>
      </c>
    </row>
    <row r="964" customFormat="false" ht="15.75" hidden="false" customHeight="false" outlineLevel="0" collapsed="false">
      <c r="A964" s="3" t="n">
        <f aca="false">IFERROR(__xludf.dummyfunction("""COMPUTED_VALUE"""),45595.6666666667)</f>
        <v>45595.6666666667</v>
      </c>
      <c r="B964" s="2" t="n">
        <f aca="false">IFERROR(__xludf.dummyfunction("""COMPUTED_VALUE"""),139.54)</f>
        <v>139.54</v>
      </c>
      <c r="C964" s="2" t="n">
        <f aca="false">IFERROR(__xludf.dummyfunction("""COMPUTED_VALUE"""),140.33)</f>
        <v>140.33</v>
      </c>
      <c r="D964" s="2" t="n">
        <f aca="false">IFERROR(__xludf.dummyfunction("""COMPUTED_VALUE"""),136.81)</f>
        <v>136.81</v>
      </c>
      <c r="E964" s="2" t="n">
        <f aca="false">IFERROR(__xludf.dummyfunction("""COMPUTED_VALUE"""),139.34)</f>
        <v>139.34</v>
      </c>
      <c r="F964" s="2" t="n">
        <f aca="false">IFERROR(__xludf.dummyfunction("""COMPUTED_VALUE"""),179418082)</f>
        <v>179418082</v>
      </c>
    </row>
    <row r="965" customFormat="false" ht="15.75" hidden="false" customHeight="false" outlineLevel="0" collapsed="false">
      <c r="A965" s="3" t="n">
        <f aca="false">IFERROR(__xludf.dummyfunction("""COMPUTED_VALUE"""),45596.6666666667)</f>
        <v>45596.6666666667</v>
      </c>
      <c r="B965" s="2" t="n">
        <f aca="false">IFERROR(__xludf.dummyfunction("""COMPUTED_VALUE"""),137.6)</f>
        <v>137.6</v>
      </c>
      <c r="C965" s="2" t="n">
        <f aca="false">IFERROR(__xludf.dummyfunction("""COMPUTED_VALUE"""),137.61)</f>
        <v>137.61</v>
      </c>
      <c r="D965" s="2" t="n">
        <f aca="false">IFERROR(__xludf.dummyfunction("""COMPUTED_VALUE"""),132.11)</f>
        <v>132.11</v>
      </c>
      <c r="E965" s="2" t="n">
        <f aca="false">IFERROR(__xludf.dummyfunction("""COMPUTED_VALUE"""),132.76)</f>
        <v>132.76</v>
      </c>
      <c r="F965" s="2" t="n">
        <f aca="false">IFERROR(__xludf.dummyfunction("""COMPUTED_VALUE"""),270039641)</f>
        <v>270039641</v>
      </c>
    </row>
    <row r="966" customFormat="false" ht="15.75" hidden="false" customHeight="false" outlineLevel="0" collapsed="false">
      <c r="A966" s="3" t="n">
        <f aca="false">IFERROR(__xludf.dummyfunction("""COMPUTED_VALUE"""),45597.6666666667)</f>
        <v>45597.6666666667</v>
      </c>
      <c r="B966" s="2" t="n">
        <f aca="false">IFERROR(__xludf.dummyfunction("""COMPUTED_VALUE"""),134.7)</f>
        <v>134.7</v>
      </c>
      <c r="C966" s="2" t="n">
        <f aca="false">IFERROR(__xludf.dummyfunction("""COMPUTED_VALUE"""),137.31)</f>
        <v>137.31</v>
      </c>
      <c r="D966" s="2" t="n">
        <f aca="false">IFERROR(__xludf.dummyfunction("""COMPUTED_VALUE"""),134.57)</f>
        <v>134.57</v>
      </c>
      <c r="E966" s="2" t="n">
        <f aca="false">IFERROR(__xludf.dummyfunction("""COMPUTED_VALUE"""),135.4)</f>
        <v>135.4</v>
      </c>
      <c r="F966" s="2" t="n">
        <f aca="false">IFERROR(__xludf.dummyfunction("""COMPUTED_VALUE"""),207127838)</f>
        <v>207127838</v>
      </c>
    </row>
    <row r="967" customFormat="false" ht="15.75" hidden="false" customHeight="false" outlineLevel="0" collapsed="false">
      <c r="A967" s="3" t="n">
        <f aca="false">IFERROR(__xludf.dummyfunction("""COMPUTED_VALUE"""),45600.6666666667)</f>
        <v>45600.6666666667</v>
      </c>
      <c r="B967" s="2" t="n">
        <f aca="false">IFERROR(__xludf.dummyfunction("""COMPUTED_VALUE"""),137.21)</f>
        <v>137.21</v>
      </c>
      <c r="C967" s="2" t="n">
        <f aca="false">IFERROR(__xludf.dummyfunction("""COMPUTED_VALUE"""),138.96)</f>
        <v>138.96</v>
      </c>
      <c r="D967" s="2" t="n">
        <f aca="false">IFERROR(__xludf.dummyfunction("""COMPUTED_VALUE"""),135.57)</f>
        <v>135.57</v>
      </c>
      <c r="E967" s="2" t="n">
        <f aca="false">IFERROR(__xludf.dummyfunction("""COMPUTED_VALUE"""),136.05)</f>
        <v>136.05</v>
      </c>
      <c r="F967" s="2" t="n">
        <f aca="false">IFERROR(__xludf.dummyfunction("""COMPUTED_VALUE"""),187528173)</f>
        <v>187528173</v>
      </c>
    </row>
    <row r="968" customFormat="false" ht="15.75" hidden="false" customHeight="false" outlineLevel="0" collapsed="false">
      <c r="A968" s="3" t="n">
        <f aca="false">IFERROR(__xludf.dummyfunction("""COMPUTED_VALUE"""),45601.6666666667)</f>
        <v>45601.6666666667</v>
      </c>
      <c r="B968" s="2" t="n">
        <f aca="false">IFERROR(__xludf.dummyfunction("""COMPUTED_VALUE"""),137.45)</f>
        <v>137.45</v>
      </c>
      <c r="C968" s="2" t="n">
        <f aca="false">IFERROR(__xludf.dummyfunction("""COMPUTED_VALUE"""),140.37)</f>
        <v>140.37</v>
      </c>
      <c r="D968" s="2" t="n">
        <f aca="false">IFERROR(__xludf.dummyfunction("""COMPUTED_VALUE"""),137.33)</f>
        <v>137.33</v>
      </c>
      <c r="E968" s="2" t="n">
        <f aca="false">IFERROR(__xludf.dummyfunction("""COMPUTED_VALUE"""),139.91)</f>
        <v>139.91</v>
      </c>
      <c r="F968" s="2" t="n">
        <f aca="false">IFERROR(__xludf.dummyfunction("""COMPUTED_VALUE"""),160537373)</f>
        <v>160537373</v>
      </c>
    </row>
    <row r="969" customFormat="false" ht="15.75" hidden="false" customHeight="false" outlineLevel="0" collapsed="false">
      <c r="A969" s="3" t="n">
        <f aca="false">IFERROR(__xludf.dummyfunction("""COMPUTED_VALUE"""),45602.6666666667)</f>
        <v>45602.6666666667</v>
      </c>
      <c r="B969" s="2" t="n">
        <f aca="false">IFERROR(__xludf.dummyfunction("""COMPUTED_VALUE"""),142.96)</f>
        <v>142.96</v>
      </c>
      <c r="C969" s="2" t="n">
        <f aca="false">IFERROR(__xludf.dummyfunction("""COMPUTED_VALUE"""),146.49)</f>
        <v>146.49</v>
      </c>
      <c r="D969" s="2" t="n">
        <f aca="false">IFERROR(__xludf.dummyfunction("""COMPUTED_VALUE"""),141.96)</f>
        <v>141.96</v>
      </c>
      <c r="E969" s="2" t="n">
        <f aca="false">IFERROR(__xludf.dummyfunction("""COMPUTED_VALUE"""),145.61)</f>
        <v>145.61</v>
      </c>
      <c r="F969" s="2" t="n">
        <f aca="false">IFERROR(__xludf.dummyfunction("""COMPUTED_VALUE"""),242043945)</f>
        <v>242043945</v>
      </c>
    </row>
    <row r="970" customFormat="false" ht="15.75" hidden="false" customHeight="false" outlineLevel="0" collapsed="false">
      <c r="A970" s="3" t="n">
        <f aca="false">IFERROR(__xludf.dummyfunction("""COMPUTED_VALUE"""),45603.6666666667)</f>
        <v>45603.6666666667</v>
      </c>
      <c r="B970" s="2" t="n">
        <f aca="false">IFERROR(__xludf.dummyfunction("""COMPUTED_VALUE"""),146.39)</f>
        <v>146.39</v>
      </c>
      <c r="C970" s="2" t="n">
        <f aca="false">IFERROR(__xludf.dummyfunction("""COMPUTED_VALUE"""),148.93)</f>
        <v>148.93</v>
      </c>
      <c r="D970" s="2" t="n">
        <f aca="false">IFERROR(__xludf.dummyfunction("""COMPUTED_VALUE"""),146.17)</f>
        <v>146.17</v>
      </c>
      <c r="E970" s="2" t="n">
        <f aca="false">IFERROR(__xludf.dummyfunction("""COMPUTED_VALUE"""),148.88)</f>
        <v>148.88</v>
      </c>
      <c r="F970" s="2" t="n">
        <f aca="false">IFERROR(__xludf.dummyfunction("""COMPUTED_VALUE"""),207323303)</f>
        <v>207323303</v>
      </c>
    </row>
    <row r="971" customFormat="false" ht="15.75" hidden="false" customHeight="false" outlineLevel="0" collapsed="false">
      <c r="A971" s="3" t="n">
        <f aca="false">IFERROR(__xludf.dummyfunction("""COMPUTED_VALUE"""),45604.6666666667)</f>
        <v>45604.6666666667</v>
      </c>
      <c r="B971" s="2" t="n">
        <f aca="false">IFERROR(__xludf.dummyfunction("""COMPUTED_VALUE"""),148.77)</f>
        <v>148.77</v>
      </c>
      <c r="C971" s="2" t="n">
        <f aca="false">IFERROR(__xludf.dummyfunction("""COMPUTED_VALUE"""),149.77)</f>
        <v>149.77</v>
      </c>
      <c r="D971" s="2" t="n">
        <f aca="false">IFERROR(__xludf.dummyfunction("""COMPUTED_VALUE"""),146.26)</f>
        <v>146.26</v>
      </c>
      <c r="E971" s="2" t="n">
        <f aca="false">IFERROR(__xludf.dummyfunction("""COMPUTED_VALUE"""),147.63)</f>
        <v>147.63</v>
      </c>
      <c r="F971" s="2" t="n">
        <f aca="false">IFERROR(__xludf.dummyfunction("""COMPUTED_VALUE"""),175665830)</f>
        <v>175665830</v>
      </c>
    </row>
    <row r="972" customFormat="false" ht="15.75" hidden="false" customHeight="false" outlineLevel="0" collapsed="false">
      <c r="A972" s="3" t="n">
        <f aca="false">IFERROR(__xludf.dummyfunction("""COMPUTED_VALUE"""),45607.6666666667)</f>
        <v>45607.6666666667</v>
      </c>
      <c r="B972" s="2" t="n">
        <f aca="false">IFERROR(__xludf.dummyfunction("""COMPUTED_VALUE"""),148.68)</f>
        <v>148.68</v>
      </c>
      <c r="C972" s="2" t="n">
        <f aca="false">IFERROR(__xludf.dummyfunction("""COMPUTED_VALUE"""),148.85)</f>
        <v>148.85</v>
      </c>
      <c r="D972" s="2" t="n">
        <f aca="false">IFERROR(__xludf.dummyfunction("""COMPUTED_VALUE"""),143.57)</f>
        <v>143.57</v>
      </c>
      <c r="E972" s="2" t="n">
        <f aca="false">IFERROR(__xludf.dummyfunction("""COMPUTED_VALUE"""),145.26)</f>
        <v>145.26</v>
      </c>
      <c r="F972" s="2" t="n">
        <f aca="false">IFERROR(__xludf.dummyfunction("""COMPUTED_VALUE"""),182325620)</f>
        <v>182325620</v>
      </c>
    </row>
    <row r="973" customFormat="false" ht="15.75" hidden="false" customHeight="false" outlineLevel="0" collapsed="false">
      <c r="A973" s="3" t="n">
        <f aca="false">IFERROR(__xludf.dummyfunction("""COMPUTED_VALUE"""),45608.6666666667)</f>
        <v>45608.6666666667</v>
      </c>
      <c r="B973" s="2" t="n">
        <f aca="false">IFERROR(__xludf.dummyfunction("""COMPUTED_VALUE"""),146.78)</f>
        <v>146.78</v>
      </c>
      <c r="C973" s="2" t="n">
        <f aca="false">IFERROR(__xludf.dummyfunction("""COMPUTED_VALUE"""),149.65)</f>
        <v>149.65</v>
      </c>
      <c r="D973" s="2" t="n">
        <f aca="false">IFERROR(__xludf.dummyfunction("""COMPUTED_VALUE"""),146.01)</f>
        <v>146.01</v>
      </c>
      <c r="E973" s="2" t="n">
        <f aca="false">IFERROR(__xludf.dummyfunction("""COMPUTED_VALUE"""),148.29)</f>
        <v>148.29</v>
      </c>
      <c r="F973" s="2" t="n">
        <f aca="false">IFERROR(__xludf.dummyfunction("""COMPUTED_VALUE"""),198634738)</f>
        <v>198634738</v>
      </c>
    </row>
    <row r="974" customFormat="false" ht="15.75" hidden="false" customHeight="false" outlineLevel="0" collapsed="false">
      <c r="A974" s="3" t="n">
        <f aca="false">IFERROR(__xludf.dummyfunction("""COMPUTED_VALUE"""),45609.6666666667)</f>
        <v>45609.6666666667</v>
      </c>
      <c r="B974" s="2" t="n">
        <f aca="false">IFERROR(__xludf.dummyfunction("""COMPUTED_VALUE"""),149.07)</f>
        <v>149.07</v>
      </c>
      <c r="C974" s="2" t="n">
        <f aca="false">IFERROR(__xludf.dummyfunction("""COMPUTED_VALUE"""),149.33)</f>
        <v>149.33</v>
      </c>
      <c r="D974" s="2" t="n">
        <f aca="false">IFERROR(__xludf.dummyfunction("""COMPUTED_VALUE"""),145.9)</f>
        <v>145.9</v>
      </c>
      <c r="E974" s="2" t="n">
        <f aca="false">IFERROR(__xludf.dummyfunction("""COMPUTED_VALUE"""),146.27)</f>
        <v>146.27</v>
      </c>
      <c r="F974" s="2" t="n">
        <f aca="false">IFERROR(__xludf.dummyfunction("""COMPUTED_VALUE"""),191903267)</f>
        <v>191903267</v>
      </c>
    </row>
    <row r="975" customFormat="false" ht="15.75" hidden="false" customHeight="false" outlineLevel="0" collapsed="false">
      <c r="A975" s="3" t="n">
        <f aca="false">IFERROR(__xludf.dummyfunction("""COMPUTED_VALUE"""),45610.6666666667)</f>
        <v>45610.6666666667</v>
      </c>
      <c r="B975" s="2" t="n">
        <f aca="false">IFERROR(__xludf.dummyfunction("""COMPUTED_VALUE"""),147.64)</f>
        <v>147.64</v>
      </c>
      <c r="C975" s="2" t="n">
        <f aca="false">IFERROR(__xludf.dummyfunction("""COMPUTED_VALUE"""),149)</f>
        <v>149</v>
      </c>
      <c r="D975" s="2" t="n">
        <f aca="false">IFERROR(__xludf.dummyfunction("""COMPUTED_VALUE"""),145.55)</f>
        <v>145.55</v>
      </c>
      <c r="E975" s="2" t="n">
        <f aca="false">IFERROR(__xludf.dummyfunction("""COMPUTED_VALUE"""),146.76)</f>
        <v>146.76</v>
      </c>
      <c r="F975" s="2" t="n">
        <f aca="false">IFERROR(__xludf.dummyfunction("""COMPUTED_VALUE"""),194463301)</f>
        <v>194463301</v>
      </c>
    </row>
    <row r="976" customFormat="false" ht="15.75" hidden="false" customHeight="false" outlineLevel="0" collapsed="false">
      <c r="A976" s="3" t="n">
        <f aca="false">IFERROR(__xludf.dummyfunction("""COMPUTED_VALUE"""),45611.6666666667)</f>
        <v>45611.6666666667</v>
      </c>
      <c r="B976" s="2" t="n">
        <f aca="false">IFERROR(__xludf.dummyfunction("""COMPUTED_VALUE"""),144.87)</f>
        <v>144.87</v>
      </c>
      <c r="C976" s="2" t="n">
        <f aca="false">IFERROR(__xludf.dummyfunction("""COMPUTED_VALUE"""),145.24)</f>
        <v>145.24</v>
      </c>
      <c r="D976" s="2" t="n">
        <f aca="false">IFERROR(__xludf.dummyfunction("""COMPUTED_VALUE"""),140.08)</f>
        <v>140.08</v>
      </c>
      <c r="E976" s="2" t="n">
        <f aca="false">IFERROR(__xludf.dummyfunction("""COMPUTED_VALUE"""),141.98)</f>
        <v>141.98</v>
      </c>
      <c r="F976" s="2" t="n">
        <f aca="false">IFERROR(__xludf.dummyfunction("""COMPUTED_VALUE"""),250132869)</f>
        <v>250132869</v>
      </c>
    </row>
    <row r="977" customFormat="false" ht="15.75" hidden="false" customHeight="false" outlineLevel="0" collapsed="false">
      <c r="A977" s="3" t="n">
        <f aca="false">IFERROR(__xludf.dummyfunction("""COMPUTED_VALUE"""),45614.6666666667)</f>
        <v>45614.6666666667</v>
      </c>
      <c r="B977" s="2" t="n">
        <f aca="false">IFERROR(__xludf.dummyfunction("""COMPUTED_VALUE"""),139.5)</f>
        <v>139.5</v>
      </c>
      <c r="C977" s="2" t="n">
        <f aca="false">IFERROR(__xludf.dummyfunction("""COMPUTED_VALUE"""),141.55)</f>
        <v>141.55</v>
      </c>
      <c r="D977" s="2" t="n">
        <f aca="false">IFERROR(__xludf.dummyfunction("""COMPUTED_VALUE"""),137.15)</f>
        <v>137.15</v>
      </c>
      <c r="E977" s="2" t="n">
        <f aca="false">IFERROR(__xludf.dummyfunction("""COMPUTED_VALUE"""),140.15)</f>
        <v>140.15</v>
      </c>
      <c r="F977" s="2" t="n">
        <f aca="false">IFERROR(__xludf.dummyfunction("""COMPUTED_VALUE"""),221865993)</f>
        <v>221865993</v>
      </c>
    </row>
    <row r="978" customFormat="false" ht="15.75" hidden="false" customHeight="false" outlineLevel="0" collapsed="false">
      <c r="A978" s="3" t="n">
        <f aca="false">IFERROR(__xludf.dummyfunction("""COMPUTED_VALUE"""),45615.6666666667)</f>
        <v>45615.6666666667</v>
      </c>
      <c r="B978" s="2" t="n">
        <f aca="false">IFERROR(__xludf.dummyfunction("""COMPUTED_VALUE"""),141.32)</f>
        <v>141.32</v>
      </c>
      <c r="C978" s="2" t="n">
        <f aca="false">IFERROR(__xludf.dummyfunction("""COMPUTED_VALUE"""),147.13)</f>
        <v>147.13</v>
      </c>
      <c r="D978" s="2" t="n">
        <f aca="false">IFERROR(__xludf.dummyfunction("""COMPUTED_VALUE"""),140.99)</f>
        <v>140.99</v>
      </c>
      <c r="E978" s="2" t="n">
        <f aca="false">IFERROR(__xludf.dummyfunction("""COMPUTED_VALUE"""),147.01)</f>
        <v>147.01</v>
      </c>
      <c r="F978" s="2" t="n">
        <f aca="false">IFERROR(__xludf.dummyfunction("""COMPUTED_VALUE"""),227834912)</f>
        <v>227834912</v>
      </c>
    </row>
    <row r="979" customFormat="false" ht="15.75" hidden="false" customHeight="false" outlineLevel="0" collapsed="false">
      <c r="A979" s="3" t="n">
        <f aca="false">IFERROR(__xludf.dummyfunction("""COMPUTED_VALUE"""),45616.6666666667)</f>
        <v>45616.6666666667</v>
      </c>
      <c r="B979" s="2" t="n">
        <f aca="false">IFERROR(__xludf.dummyfunction("""COMPUTED_VALUE"""),147.41)</f>
        <v>147.41</v>
      </c>
      <c r="C979" s="2" t="n">
        <f aca="false">IFERROR(__xludf.dummyfunction("""COMPUTED_VALUE"""),147.56)</f>
        <v>147.56</v>
      </c>
      <c r="D979" s="2" t="n">
        <f aca="false">IFERROR(__xludf.dummyfunction("""COMPUTED_VALUE"""),142.73)</f>
        <v>142.73</v>
      </c>
      <c r="E979" s="2" t="n">
        <f aca="false">IFERROR(__xludf.dummyfunction("""COMPUTED_VALUE"""),145.89)</f>
        <v>145.89</v>
      </c>
      <c r="F979" s="2" t="n">
        <f aca="false">IFERROR(__xludf.dummyfunction("""COMPUTED_VALUE"""),309871654)</f>
        <v>309871654</v>
      </c>
    </row>
    <row r="980" customFormat="false" ht="15.75" hidden="false" customHeight="false" outlineLevel="0" collapsed="false">
      <c r="A980" s="3" t="n">
        <f aca="false">IFERROR(__xludf.dummyfunction("""COMPUTED_VALUE"""),45617.6666666667)</f>
        <v>45617.6666666667</v>
      </c>
      <c r="B980" s="2" t="n">
        <f aca="false">IFERROR(__xludf.dummyfunction("""COMPUTED_VALUE"""),149.35)</f>
        <v>149.35</v>
      </c>
      <c r="C980" s="2" t="n">
        <f aca="false">IFERROR(__xludf.dummyfunction("""COMPUTED_VALUE"""),152.89)</f>
        <v>152.89</v>
      </c>
      <c r="D980" s="2" t="n">
        <f aca="false">IFERROR(__xludf.dummyfunction("""COMPUTED_VALUE"""),140.7)</f>
        <v>140.7</v>
      </c>
      <c r="E980" s="2" t="n">
        <f aca="false">IFERROR(__xludf.dummyfunction("""COMPUTED_VALUE"""),146.67)</f>
        <v>146.67</v>
      </c>
      <c r="F980" s="2" t="n">
        <f aca="false">IFERROR(__xludf.dummyfunction("""COMPUTED_VALUE"""),400946570)</f>
        <v>400946570</v>
      </c>
    </row>
    <row r="981" customFormat="false" ht="15.75" hidden="false" customHeight="false" outlineLevel="0" collapsed="false">
      <c r="A981" s="3" t="n">
        <f aca="false">IFERROR(__xludf.dummyfunction("""COMPUTED_VALUE"""),45618.6666666667)</f>
        <v>45618.6666666667</v>
      </c>
      <c r="B981" s="2" t="n">
        <f aca="false">IFERROR(__xludf.dummyfunction("""COMPUTED_VALUE"""),145.93)</f>
        <v>145.93</v>
      </c>
      <c r="C981" s="2" t="n">
        <f aca="false">IFERROR(__xludf.dummyfunction("""COMPUTED_VALUE"""),147.16)</f>
        <v>147.16</v>
      </c>
      <c r="D981" s="2" t="n">
        <f aca="false">IFERROR(__xludf.dummyfunction("""COMPUTED_VALUE"""),141.1)</f>
        <v>141.1</v>
      </c>
      <c r="E981" s="2" t="n">
        <f aca="false">IFERROR(__xludf.dummyfunction("""COMPUTED_VALUE"""),141.95)</f>
        <v>141.95</v>
      </c>
      <c r="F981" s="2" t="n">
        <f aca="false">IFERROR(__xludf.dummyfunction("""COMPUTED_VALUE"""),236406154)</f>
        <v>236406154</v>
      </c>
    </row>
    <row r="982" customFormat="false" ht="15.75" hidden="false" customHeight="false" outlineLevel="0" collapsed="false">
      <c r="A982" s="3" t="n">
        <f aca="false">IFERROR(__xludf.dummyfunction("""COMPUTED_VALUE"""),45621.6666666667)</f>
        <v>45621.6666666667</v>
      </c>
      <c r="B982" s="2" t="n">
        <f aca="false">IFERROR(__xludf.dummyfunction("""COMPUTED_VALUE"""),141.99)</f>
        <v>141.99</v>
      </c>
      <c r="C982" s="2" t="n">
        <f aca="false">IFERROR(__xludf.dummyfunction("""COMPUTED_VALUE"""),142.05)</f>
        <v>142.05</v>
      </c>
      <c r="D982" s="2" t="n">
        <f aca="false">IFERROR(__xludf.dummyfunction("""COMPUTED_VALUE"""),135.82)</f>
        <v>135.82</v>
      </c>
      <c r="E982" s="2" t="n">
        <f aca="false">IFERROR(__xludf.dummyfunction("""COMPUTED_VALUE"""),136.02)</f>
        <v>136.02</v>
      </c>
      <c r="F982" s="2" t="n">
        <f aca="false">IFERROR(__xludf.dummyfunction("""COMPUTED_VALUE"""),344941875)</f>
        <v>344941875</v>
      </c>
    </row>
    <row r="983" customFormat="false" ht="15.75" hidden="false" customHeight="false" outlineLevel="0" collapsed="false">
      <c r="A983" s="3" t="n">
        <f aca="false">IFERROR(__xludf.dummyfunction("""COMPUTED_VALUE"""),45622.6666666667)</f>
        <v>45622.6666666667</v>
      </c>
      <c r="B983" s="2" t="n">
        <f aca="false">IFERROR(__xludf.dummyfunction("""COMPUTED_VALUE"""),137.7)</f>
        <v>137.7</v>
      </c>
      <c r="C983" s="2" t="n">
        <f aca="false">IFERROR(__xludf.dummyfunction("""COMPUTED_VALUE"""),139.3)</f>
        <v>139.3</v>
      </c>
      <c r="D983" s="2" t="n">
        <f aca="false">IFERROR(__xludf.dummyfunction("""COMPUTED_VALUE"""),135.67)</f>
        <v>135.67</v>
      </c>
      <c r="E983" s="2" t="n">
        <f aca="false">IFERROR(__xludf.dummyfunction("""COMPUTED_VALUE"""),136.92)</f>
        <v>136.92</v>
      </c>
      <c r="F983" s="2" t="n">
        <f aca="false">IFERROR(__xludf.dummyfunction("""COMPUTED_VALUE"""),190287654)</f>
        <v>190287654</v>
      </c>
    </row>
    <row r="984" customFormat="false" ht="15.75" hidden="false" customHeight="false" outlineLevel="0" collapsed="false">
      <c r="A984" s="3" t="n">
        <f aca="false">IFERROR(__xludf.dummyfunction("""COMPUTED_VALUE"""),45623.6666666667)</f>
        <v>45623.6666666667</v>
      </c>
      <c r="B984" s="2" t="n">
        <f aca="false">IFERROR(__xludf.dummyfunction("""COMPUTED_VALUE"""),135.01)</f>
        <v>135.01</v>
      </c>
      <c r="C984" s="2" t="n">
        <f aca="false">IFERROR(__xludf.dummyfunction("""COMPUTED_VALUE"""),137.22)</f>
        <v>137.22</v>
      </c>
      <c r="D984" s="2" t="n">
        <f aca="false">IFERROR(__xludf.dummyfunction("""COMPUTED_VALUE"""),131.8)</f>
        <v>131.8</v>
      </c>
      <c r="E984" s="2" t="n">
        <f aca="false">IFERROR(__xludf.dummyfunction("""COMPUTED_VALUE"""),135.34)</f>
        <v>135.34</v>
      </c>
      <c r="F984" s="2" t="n">
        <f aca="false">IFERROR(__xludf.dummyfunction("""COMPUTED_VALUE"""),226370912)</f>
        <v>226370912</v>
      </c>
    </row>
    <row r="985" customFormat="false" ht="15.75" hidden="false" customHeight="false" outlineLevel="0" collapsed="false">
      <c r="A985" s="3" t="n">
        <f aca="false">IFERROR(__xludf.dummyfunction("""COMPUTED_VALUE"""),45625.5451388889)</f>
        <v>45625.5451388889</v>
      </c>
      <c r="B985" s="2" t="n">
        <f aca="false">IFERROR(__xludf.dummyfunction("""COMPUTED_VALUE"""),136.78)</f>
        <v>136.78</v>
      </c>
      <c r="C985" s="2" t="n">
        <f aca="false">IFERROR(__xludf.dummyfunction("""COMPUTED_VALUE"""),139.35)</f>
        <v>139.35</v>
      </c>
      <c r="D985" s="2" t="n">
        <f aca="false">IFERROR(__xludf.dummyfunction("""COMPUTED_VALUE"""),136.05)</f>
        <v>136.05</v>
      </c>
      <c r="E985" s="2" t="n">
        <f aca="false">IFERROR(__xludf.dummyfunction("""COMPUTED_VALUE"""),138.25)</f>
        <v>138.25</v>
      </c>
      <c r="F985" s="2" t="n">
        <f aca="false">IFERROR(__xludf.dummyfunction("""COMPUTED_VALUE"""),141863156)</f>
        <v>141863156</v>
      </c>
    </row>
    <row r="986" customFormat="false" ht="15.75" hidden="false" customHeight="false" outlineLevel="0" collapsed="false">
      <c r="A986" s="3" t="n">
        <f aca="false">IFERROR(__xludf.dummyfunction("""COMPUTED_VALUE"""),45628.6666666667)</f>
        <v>45628.6666666667</v>
      </c>
      <c r="B986" s="2" t="n">
        <f aca="false">IFERROR(__xludf.dummyfunction("""COMPUTED_VALUE"""),138.83)</f>
        <v>138.83</v>
      </c>
      <c r="C986" s="2" t="n">
        <f aca="false">IFERROR(__xludf.dummyfunction("""COMPUTED_VALUE"""),140.45)</f>
        <v>140.45</v>
      </c>
      <c r="D986" s="2" t="n">
        <f aca="false">IFERROR(__xludf.dummyfunction("""COMPUTED_VALUE"""),137.82)</f>
        <v>137.82</v>
      </c>
      <c r="E986" s="2" t="n">
        <f aca="false">IFERROR(__xludf.dummyfunction("""COMPUTED_VALUE"""),138.63)</f>
        <v>138.63</v>
      </c>
      <c r="F986" s="2" t="n">
        <f aca="false">IFERROR(__xludf.dummyfunction("""COMPUTED_VALUE"""),171682777)</f>
        <v>171682777</v>
      </c>
    </row>
    <row r="987" customFormat="false" ht="15.75" hidden="false" customHeight="false" outlineLevel="0" collapsed="false">
      <c r="A987" s="3" t="n">
        <f aca="false">IFERROR(__xludf.dummyfunction("""COMPUTED_VALUE"""),45629.6666666667)</f>
        <v>45629.6666666667</v>
      </c>
      <c r="B987" s="2" t="n">
        <f aca="false">IFERROR(__xludf.dummyfunction("""COMPUTED_VALUE"""),138.26)</f>
        <v>138.26</v>
      </c>
      <c r="C987" s="2" t="n">
        <f aca="false">IFERROR(__xludf.dummyfunction("""COMPUTED_VALUE"""),140.54)</f>
        <v>140.54</v>
      </c>
      <c r="D987" s="2" t="n">
        <f aca="false">IFERROR(__xludf.dummyfunction("""COMPUTED_VALUE"""),137.95)</f>
        <v>137.95</v>
      </c>
      <c r="E987" s="2" t="n">
        <f aca="false">IFERROR(__xludf.dummyfunction("""COMPUTED_VALUE"""),140.26)</f>
        <v>140.26</v>
      </c>
      <c r="F987" s="2" t="n">
        <f aca="false">IFERROR(__xludf.dummyfunction("""COMPUTED_VALUE"""),164413965)</f>
        <v>164413965</v>
      </c>
    </row>
    <row r="988" customFormat="false" ht="15.75" hidden="false" customHeight="false" outlineLevel="0" collapsed="false">
      <c r="A988" s="3" t="n">
        <f aca="false">IFERROR(__xludf.dummyfunction("""COMPUTED_VALUE"""),45630.6666666667)</f>
        <v>45630.6666666667</v>
      </c>
      <c r="B988" s="2" t="n">
        <f aca="false">IFERROR(__xludf.dummyfunction("""COMPUTED_VALUE"""),142)</f>
        <v>142</v>
      </c>
      <c r="C988" s="2" t="n">
        <f aca="false">IFERROR(__xludf.dummyfunction("""COMPUTED_VALUE"""),145.79)</f>
        <v>145.79</v>
      </c>
      <c r="D988" s="2" t="n">
        <f aca="false">IFERROR(__xludf.dummyfunction("""COMPUTED_VALUE"""),140.29)</f>
        <v>140.29</v>
      </c>
      <c r="E988" s="2" t="n">
        <f aca="false">IFERROR(__xludf.dummyfunction("""COMPUTED_VALUE"""),145.14)</f>
        <v>145.14</v>
      </c>
      <c r="F988" s="2" t="n">
        <f aca="false">IFERROR(__xludf.dummyfunction("""COMPUTED_VALUE"""),231224295)</f>
        <v>231224295</v>
      </c>
    </row>
    <row r="989" customFormat="false" ht="15.75" hidden="false" customHeight="false" outlineLevel="0" collapsed="false">
      <c r="A989" s="3" t="n">
        <f aca="false">IFERROR(__xludf.dummyfunction("""COMPUTED_VALUE"""),45631.6666666667)</f>
        <v>45631.6666666667</v>
      </c>
      <c r="B989" s="2" t="n">
        <f aca="false">IFERROR(__xludf.dummyfunction("""COMPUTED_VALUE"""),145.11)</f>
        <v>145.11</v>
      </c>
      <c r="C989" s="2" t="n">
        <f aca="false">IFERROR(__xludf.dummyfunction("""COMPUTED_VALUE"""),146.54)</f>
        <v>146.54</v>
      </c>
      <c r="D989" s="2" t="n">
        <f aca="false">IFERROR(__xludf.dummyfunction("""COMPUTED_VALUE"""),143.95)</f>
        <v>143.95</v>
      </c>
      <c r="E989" s="2" t="n">
        <f aca="false">IFERROR(__xludf.dummyfunction("""COMPUTED_VALUE"""),145.06)</f>
        <v>145.06</v>
      </c>
      <c r="F989" s="2" t="n">
        <f aca="false">IFERROR(__xludf.dummyfunction("""COMPUTED_VALUE"""),172621180)</f>
        <v>172621180</v>
      </c>
    </row>
    <row r="990" customFormat="false" ht="15.75" hidden="false" customHeight="false" outlineLevel="0" collapsed="false">
      <c r="A990" s="3" t="n">
        <f aca="false">IFERROR(__xludf.dummyfunction("""COMPUTED_VALUE"""),45632.6666666667)</f>
        <v>45632.6666666667</v>
      </c>
      <c r="B990" s="2" t="n">
        <f aca="false">IFERROR(__xludf.dummyfunction("""COMPUTED_VALUE"""),144.6)</f>
        <v>144.6</v>
      </c>
      <c r="C990" s="2" t="n">
        <f aca="false">IFERROR(__xludf.dummyfunction("""COMPUTED_VALUE"""),145.7)</f>
        <v>145.7</v>
      </c>
      <c r="D990" s="2" t="n">
        <f aca="false">IFERROR(__xludf.dummyfunction("""COMPUTED_VALUE"""),141.31)</f>
        <v>141.31</v>
      </c>
      <c r="E990" s="2" t="n">
        <f aca="false">IFERROR(__xludf.dummyfunction("""COMPUTED_VALUE"""),142.44)</f>
        <v>142.44</v>
      </c>
      <c r="F990" s="2" t="n">
        <f aca="false">IFERROR(__xludf.dummyfunction("""COMPUTED_VALUE"""),188505573)</f>
        <v>188505573</v>
      </c>
    </row>
    <row r="991" customFormat="false" ht="15.75" hidden="false" customHeight="false" outlineLevel="0" collapsed="false">
      <c r="A991" s="3" t="n">
        <f aca="false">IFERROR(__xludf.dummyfunction("""COMPUTED_VALUE"""),45635.6666666667)</f>
        <v>45635.6666666667</v>
      </c>
      <c r="B991" s="2" t="n">
        <f aca="false">IFERROR(__xludf.dummyfunction("""COMPUTED_VALUE"""),138.97)</f>
        <v>138.97</v>
      </c>
      <c r="C991" s="2" t="n">
        <f aca="false">IFERROR(__xludf.dummyfunction("""COMPUTED_VALUE"""),139.95)</f>
        <v>139.95</v>
      </c>
      <c r="D991" s="2" t="n">
        <f aca="false">IFERROR(__xludf.dummyfunction("""COMPUTED_VALUE"""),137.13)</f>
        <v>137.13</v>
      </c>
      <c r="E991" s="2" t="n">
        <f aca="false">IFERROR(__xludf.dummyfunction("""COMPUTED_VALUE"""),138.81)</f>
        <v>138.81</v>
      </c>
      <c r="F991" s="2" t="n">
        <f aca="false">IFERROR(__xludf.dummyfunction("""COMPUTED_VALUE"""),189308625)</f>
        <v>189308625</v>
      </c>
    </row>
    <row r="992" customFormat="false" ht="15.75" hidden="false" customHeight="false" outlineLevel="0" collapsed="false">
      <c r="A992" s="3" t="n">
        <f aca="false">IFERROR(__xludf.dummyfunction("""COMPUTED_VALUE"""),45636.6666666667)</f>
        <v>45636.6666666667</v>
      </c>
      <c r="B992" s="2" t="n">
        <f aca="false">IFERROR(__xludf.dummyfunction("""COMPUTED_VALUE"""),139.01)</f>
        <v>139.01</v>
      </c>
      <c r="C992" s="2" t="n">
        <f aca="false">IFERROR(__xludf.dummyfunction("""COMPUTED_VALUE"""),141.82)</f>
        <v>141.82</v>
      </c>
      <c r="D992" s="2" t="n">
        <f aca="false">IFERROR(__xludf.dummyfunction("""COMPUTED_VALUE"""),133.79)</f>
        <v>133.79</v>
      </c>
      <c r="E992" s="2" t="n">
        <f aca="false">IFERROR(__xludf.dummyfunction("""COMPUTED_VALUE"""),135.07)</f>
        <v>135.07</v>
      </c>
      <c r="F992" s="2" t="n">
        <f aca="false">IFERROR(__xludf.dummyfunction("""COMPUTED_VALUE"""),210020888)</f>
        <v>210020888</v>
      </c>
    </row>
    <row r="993" customFormat="false" ht="15.75" hidden="false" customHeight="false" outlineLevel="0" collapsed="false">
      <c r="A993" s="3" t="n">
        <f aca="false">IFERROR(__xludf.dummyfunction("""COMPUTED_VALUE"""),45637.6666666667)</f>
        <v>45637.6666666667</v>
      </c>
      <c r="B993" s="2" t="n">
        <f aca="false">IFERROR(__xludf.dummyfunction("""COMPUTED_VALUE"""),137.36)</f>
        <v>137.36</v>
      </c>
      <c r="C993" s="2" t="n">
        <f aca="false">IFERROR(__xludf.dummyfunction("""COMPUTED_VALUE"""),140.17)</f>
        <v>140.17</v>
      </c>
      <c r="D993" s="2" t="n">
        <f aca="false">IFERROR(__xludf.dummyfunction("""COMPUTED_VALUE"""),135.21)</f>
        <v>135.21</v>
      </c>
      <c r="E993" s="2" t="n">
        <f aca="false">IFERROR(__xludf.dummyfunction("""COMPUTED_VALUE"""),139.31)</f>
        <v>139.31</v>
      </c>
      <c r="F993" s="2" t="n">
        <f aca="false">IFERROR(__xludf.dummyfunction("""COMPUTED_VALUE"""),184905192)</f>
        <v>184905192</v>
      </c>
    </row>
    <row r="994" customFormat="false" ht="15.75" hidden="false" customHeight="false" outlineLevel="0" collapsed="false">
      <c r="A994" s="3" t="n">
        <f aca="false">IFERROR(__xludf.dummyfunction("""COMPUTED_VALUE"""),45638.6666666667)</f>
        <v>45638.6666666667</v>
      </c>
      <c r="B994" s="2" t="n">
        <f aca="false">IFERROR(__xludf.dummyfunction("""COMPUTED_VALUE"""),137.08)</f>
        <v>137.08</v>
      </c>
      <c r="C994" s="2" t="n">
        <f aca="false">IFERROR(__xludf.dummyfunction("""COMPUTED_VALUE"""),138.44)</f>
        <v>138.44</v>
      </c>
      <c r="D994" s="2" t="n">
        <f aca="false">IFERROR(__xludf.dummyfunction("""COMPUTED_VALUE"""),135.8)</f>
        <v>135.8</v>
      </c>
      <c r="E994" s="2" t="n">
        <f aca="false">IFERROR(__xludf.dummyfunction("""COMPUTED_VALUE"""),137.34)</f>
        <v>137.34</v>
      </c>
      <c r="F994" s="2" t="n">
        <f aca="false">IFERROR(__xludf.dummyfunction("""COMPUTED_VALUE"""),159211393)</f>
        <v>159211393</v>
      </c>
    </row>
    <row r="995" customFormat="false" ht="15.75" hidden="false" customHeight="false" outlineLevel="0" collapsed="false">
      <c r="A995" s="3" t="n">
        <f aca="false">IFERROR(__xludf.dummyfunction("""COMPUTED_VALUE"""),45639.6666666667)</f>
        <v>45639.6666666667</v>
      </c>
      <c r="B995" s="2" t="n">
        <f aca="false">IFERROR(__xludf.dummyfunction("""COMPUTED_VALUE"""),138.94)</f>
        <v>138.94</v>
      </c>
      <c r="C995" s="2" t="n">
        <f aca="false">IFERROR(__xludf.dummyfunction("""COMPUTED_VALUE"""),139.6)</f>
        <v>139.6</v>
      </c>
      <c r="D995" s="2" t="n">
        <f aca="false">IFERROR(__xludf.dummyfunction("""COMPUTED_VALUE"""),132.54)</f>
        <v>132.54</v>
      </c>
      <c r="E995" s="2" t="n">
        <f aca="false">IFERROR(__xludf.dummyfunction("""COMPUTED_VALUE"""),134.25)</f>
        <v>134.25</v>
      </c>
      <c r="F995" s="2" t="n">
        <f aca="false">IFERROR(__xludf.dummyfunction("""COMPUTED_VALUE"""),231514881)</f>
        <v>231514881</v>
      </c>
    </row>
    <row r="996" customFormat="false" ht="15.75" hidden="false" customHeight="false" outlineLevel="0" collapsed="false">
      <c r="A996" s="3" t="n">
        <f aca="false">IFERROR(__xludf.dummyfunction("""COMPUTED_VALUE"""),45642.6666666667)</f>
        <v>45642.6666666667</v>
      </c>
      <c r="B996" s="2" t="n">
        <f aca="false">IFERROR(__xludf.dummyfunction("""COMPUTED_VALUE"""),134.18)</f>
        <v>134.18</v>
      </c>
      <c r="C996" s="2" t="n">
        <f aca="false">IFERROR(__xludf.dummyfunction("""COMPUTED_VALUE"""),134.4)</f>
        <v>134.4</v>
      </c>
      <c r="D996" s="2" t="n">
        <f aca="false">IFERROR(__xludf.dummyfunction("""COMPUTED_VALUE"""),130.42)</f>
        <v>130.42</v>
      </c>
      <c r="E996" s="2" t="n">
        <f aca="false">IFERROR(__xludf.dummyfunction("""COMPUTED_VALUE"""),132)</f>
        <v>132</v>
      </c>
      <c r="F996" s="2" t="n">
        <f aca="false">IFERROR(__xludf.dummyfunction("""COMPUTED_VALUE"""),237951130)</f>
        <v>237951130</v>
      </c>
    </row>
    <row r="997" customFormat="false" ht="15.75" hidden="false" customHeight="false" outlineLevel="0" collapsed="false">
      <c r="A997" s="3" t="n">
        <f aca="false">IFERROR(__xludf.dummyfunction("""COMPUTED_VALUE"""),45643.6666666667)</f>
        <v>45643.6666666667</v>
      </c>
      <c r="B997" s="2" t="n">
        <f aca="false">IFERROR(__xludf.dummyfunction("""COMPUTED_VALUE"""),129.09)</f>
        <v>129.09</v>
      </c>
      <c r="C997" s="2" t="n">
        <f aca="false">IFERROR(__xludf.dummyfunction("""COMPUTED_VALUE"""),131.59)</f>
        <v>131.59</v>
      </c>
      <c r="D997" s="2" t="n">
        <f aca="false">IFERROR(__xludf.dummyfunction("""COMPUTED_VALUE"""),126.86)</f>
        <v>126.86</v>
      </c>
      <c r="E997" s="2" t="n">
        <f aca="false">IFERROR(__xludf.dummyfunction("""COMPUTED_VALUE"""),130.39)</f>
        <v>130.39</v>
      </c>
      <c r="F997" s="2" t="n">
        <f aca="false">IFERROR(__xludf.dummyfunction("""COMPUTED_VALUE"""),259410263)</f>
        <v>259410263</v>
      </c>
    </row>
    <row r="998" customFormat="false" ht="15.75" hidden="false" customHeight="false" outlineLevel="0" collapsed="false">
      <c r="A998" s="3" t="n">
        <f aca="false">IFERROR(__xludf.dummyfunction("""COMPUTED_VALUE"""),45644.6666666667)</f>
        <v>45644.6666666667</v>
      </c>
      <c r="B998" s="2" t="n">
        <f aca="false">IFERROR(__xludf.dummyfunction("""COMPUTED_VALUE"""),133.86)</f>
        <v>133.86</v>
      </c>
      <c r="C998" s="2" t="n">
        <f aca="false">IFERROR(__xludf.dummyfunction("""COMPUTED_VALUE"""),136.7)</f>
        <v>136.7</v>
      </c>
      <c r="D998" s="2" t="n">
        <f aca="false">IFERROR(__xludf.dummyfunction("""COMPUTED_VALUE"""),128.28)</f>
        <v>128.28</v>
      </c>
      <c r="E998" s="2" t="n">
        <f aca="false">IFERROR(__xludf.dummyfunction("""COMPUTED_VALUE"""),128.91)</f>
        <v>128.91</v>
      </c>
      <c r="F998" s="2" t="n">
        <f aca="false">IFERROR(__xludf.dummyfunction("""COMPUTED_VALUE"""),277444533)</f>
        <v>277444533</v>
      </c>
    </row>
    <row r="999" customFormat="false" ht="15.75" hidden="false" customHeight="false" outlineLevel="0" collapsed="false">
      <c r="A999" s="3" t="n">
        <f aca="false">IFERROR(__xludf.dummyfunction("""COMPUTED_VALUE"""),45645.6666666667)</f>
        <v>45645.6666666667</v>
      </c>
      <c r="B999" s="2" t="n">
        <f aca="false">IFERROR(__xludf.dummyfunction("""COMPUTED_VALUE"""),131.76)</f>
        <v>131.76</v>
      </c>
      <c r="C999" s="2" t="n">
        <f aca="false">IFERROR(__xludf.dummyfunction("""COMPUTED_VALUE"""),134.03)</f>
        <v>134.03</v>
      </c>
      <c r="D999" s="2" t="n">
        <f aca="false">IFERROR(__xludf.dummyfunction("""COMPUTED_VALUE"""),129.55)</f>
        <v>129.55</v>
      </c>
      <c r="E999" s="2" t="n">
        <f aca="false">IFERROR(__xludf.dummyfunction("""COMPUTED_VALUE"""),130.68)</f>
        <v>130.68</v>
      </c>
      <c r="F999" s="2" t="n">
        <f aca="false">IFERROR(__xludf.dummyfunction("""COMPUTED_VALUE"""),209719210)</f>
        <v>209719210</v>
      </c>
    </row>
    <row r="1000" customFormat="false" ht="15.75" hidden="false" customHeight="false" outlineLevel="0" collapsed="false">
      <c r="A1000" s="3" t="n">
        <f aca="false">IFERROR(__xludf.dummyfunction("""COMPUTED_VALUE"""),45646.6666666667)</f>
        <v>45646.6666666667</v>
      </c>
      <c r="B1000" s="2" t="n">
        <f aca="false">IFERROR(__xludf.dummyfunction("""COMPUTED_VALUE"""),129.81)</f>
        <v>129.81</v>
      </c>
      <c r="C1000" s="2" t="n">
        <f aca="false">IFERROR(__xludf.dummyfunction("""COMPUTED_VALUE"""),135.28)</f>
        <v>135.28</v>
      </c>
      <c r="D1000" s="2" t="n">
        <f aca="false">IFERROR(__xludf.dummyfunction("""COMPUTED_VALUE"""),128.22)</f>
        <v>128.22</v>
      </c>
      <c r="E1000" s="2" t="n">
        <f aca="false">IFERROR(__xludf.dummyfunction("""COMPUTED_VALUE"""),134.7)</f>
        <v>134.7</v>
      </c>
      <c r="F1000" s="2" t="n">
        <f aca="false">IFERROR(__xludf.dummyfunction("""COMPUTED_VALUE"""),306528553)</f>
        <v>306528553</v>
      </c>
    </row>
    <row r="1001" customFormat="false" ht="15.75" hidden="false" customHeight="false" outlineLevel="0" collapsed="false">
      <c r="A1001" s="3" t="n">
        <f aca="false">IFERROR(__xludf.dummyfunction("""COMPUTED_VALUE"""),45649.6666666667)</f>
        <v>45649.6666666667</v>
      </c>
      <c r="B1001" s="2" t="n">
        <f aca="false">IFERROR(__xludf.dummyfunction("""COMPUTED_VALUE"""),136.28)</f>
        <v>136.28</v>
      </c>
      <c r="C1001" s="2" t="n">
        <f aca="false">IFERROR(__xludf.dummyfunction("""COMPUTED_VALUE"""),139.79)</f>
        <v>139.79</v>
      </c>
      <c r="D1001" s="2" t="n">
        <f aca="false">IFERROR(__xludf.dummyfunction("""COMPUTED_VALUE"""),135.12)</f>
        <v>135.12</v>
      </c>
      <c r="E1001" s="2" t="n">
        <f aca="false">IFERROR(__xludf.dummyfunction("""COMPUTED_VALUE"""),139.67)</f>
        <v>139.67</v>
      </c>
      <c r="F1001" s="2" t="n">
        <f aca="false">IFERROR(__xludf.dummyfunction("""COMPUTED_VALUE"""),176053506)</f>
        <v>176053506</v>
      </c>
    </row>
    <row r="1002" customFormat="false" ht="15.75" hidden="false" customHeight="false" outlineLevel="0" collapsed="false">
      <c r="A1002" s="3" t="n">
        <f aca="false">IFERROR(__xludf.dummyfunction("""COMPUTED_VALUE"""),45650.5451388889)</f>
        <v>45650.5451388889</v>
      </c>
      <c r="B1002" s="2" t="n">
        <f aca="false">IFERROR(__xludf.dummyfunction("""COMPUTED_VALUE"""),140)</f>
        <v>140</v>
      </c>
      <c r="C1002" s="2" t="n">
        <f aca="false">IFERROR(__xludf.dummyfunction("""COMPUTED_VALUE"""),141.9)</f>
        <v>141.9</v>
      </c>
      <c r="D1002" s="2" t="n">
        <f aca="false">IFERROR(__xludf.dummyfunction("""COMPUTED_VALUE"""),138.65)</f>
        <v>138.65</v>
      </c>
      <c r="E1002" s="2" t="n">
        <f aca="false">IFERROR(__xludf.dummyfunction("""COMPUTED_VALUE"""),140.22)</f>
        <v>140.22</v>
      </c>
      <c r="F1002" s="2" t="n">
        <f aca="false">IFERROR(__xludf.dummyfunction("""COMPUTED_VALUE"""),105156989)</f>
        <v>105156989</v>
      </c>
    </row>
    <row r="1003" customFormat="false" ht="15.75" hidden="false" customHeight="false" outlineLevel="0" collapsed="false">
      <c r="A1003" s="3" t="n">
        <f aca="false">IFERROR(__xludf.dummyfunction("""COMPUTED_VALUE"""),45652.6666666667)</f>
        <v>45652.6666666667</v>
      </c>
      <c r="B1003" s="2" t="n">
        <f aca="false">IFERROR(__xludf.dummyfunction("""COMPUTED_VALUE"""),139.7)</f>
        <v>139.7</v>
      </c>
      <c r="C1003" s="2" t="n">
        <f aca="false">IFERROR(__xludf.dummyfunction("""COMPUTED_VALUE"""),140.85)</f>
        <v>140.85</v>
      </c>
      <c r="D1003" s="2" t="n">
        <f aca="false">IFERROR(__xludf.dummyfunction("""COMPUTED_VALUE"""),137.73)</f>
        <v>137.73</v>
      </c>
      <c r="E1003" s="2" t="n">
        <f aca="false">IFERROR(__xludf.dummyfunction("""COMPUTED_VALUE"""),139.93)</f>
        <v>139.93</v>
      </c>
      <c r="F1003" s="2" t="n">
        <f aca="false">IFERROR(__xludf.dummyfunction("""COMPUTED_VALUE"""),116519090)</f>
        <v>116519090</v>
      </c>
    </row>
    <row r="1004" customFormat="false" ht="15.75" hidden="false" customHeight="false" outlineLevel="0" collapsed="false">
      <c r="A1004" s="3" t="n">
        <f aca="false">IFERROR(__xludf.dummyfunction("""COMPUTED_VALUE"""),45653.6666666667)</f>
        <v>45653.6666666667</v>
      </c>
      <c r="B1004" s="2" t="n">
        <f aca="false">IFERROR(__xludf.dummyfunction("""COMPUTED_VALUE"""),138.55)</f>
        <v>138.55</v>
      </c>
      <c r="C1004" s="2" t="n">
        <f aca="false">IFERROR(__xludf.dummyfunction("""COMPUTED_VALUE"""),139.02)</f>
        <v>139.02</v>
      </c>
      <c r="D1004" s="2" t="n">
        <f aca="false">IFERROR(__xludf.dummyfunction("""COMPUTED_VALUE"""),134.71)</f>
        <v>134.71</v>
      </c>
      <c r="E1004" s="2" t="n">
        <f aca="false">IFERROR(__xludf.dummyfunction("""COMPUTED_VALUE"""),137.01)</f>
        <v>137.01</v>
      </c>
      <c r="F1004" s="2" t="n">
        <f aca="false">IFERROR(__xludf.dummyfunction("""COMPUTED_VALUE"""),170582603)</f>
        <v>170582603</v>
      </c>
    </row>
    <row r="1005" customFormat="false" ht="15.75" hidden="false" customHeight="false" outlineLevel="0" collapsed="false">
      <c r="A1005" s="3" t="n">
        <f aca="false">IFERROR(__xludf.dummyfunction("""COMPUTED_VALUE"""),45656.6666666667)</f>
        <v>45656.6666666667</v>
      </c>
      <c r="B1005" s="2" t="n">
        <f aca="false">IFERROR(__xludf.dummyfunction("""COMPUTED_VALUE"""),134.83)</f>
        <v>134.83</v>
      </c>
      <c r="C1005" s="2" t="n">
        <f aca="false">IFERROR(__xludf.dummyfunction("""COMPUTED_VALUE"""),140.27)</f>
        <v>140.27</v>
      </c>
      <c r="D1005" s="2" t="n">
        <f aca="false">IFERROR(__xludf.dummyfunction("""COMPUTED_VALUE"""),134.02)</f>
        <v>134.02</v>
      </c>
      <c r="E1005" s="2" t="n">
        <f aca="false">IFERROR(__xludf.dummyfunction("""COMPUTED_VALUE"""),137.49)</f>
        <v>137.49</v>
      </c>
      <c r="F1005" s="2" t="n">
        <f aca="false">IFERROR(__xludf.dummyfunction("""COMPUTED_VALUE"""),167734700)</f>
        <v>167734700</v>
      </c>
    </row>
    <row r="1006" customFormat="false" ht="15.75" hidden="false" customHeight="false" outlineLevel="0" collapsed="false">
      <c r="A1006" s="3" t="n">
        <f aca="false">IFERROR(__xludf.dummyfunction("""COMPUTED_VALUE"""),45657.6666666667)</f>
        <v>45657.6666666667</v>
      </c>
      <c r="B1006" s="2" t="n">
        <f aca="false">IFERROR(__xludf.dummyfunction("""COMPUTED_VALUE"""),138.03)</f>
        <v>138.03</v>
      </c>
      <c r="C1006" s="2" t="n">
        <f aca="false">IFERROR(__xludf.dummyfunction("""COMPUTED_VALUE"""),138.07)</f>
        <v>138.07</v>
      </c>
      <c r="D1006" s="2" t="n">
        <f aca="false">IFERROR(__xludf.dummyfunction("""COMPUTED_VALUE"""),133.83)</f>
        <v>133.83</v>
      </c>
      <c r="E1006" s="2" t="n">
        <f aca="false">IFERROR(__xludf.dummyfunction("""COMPUTED_VALUE"""),134.29)</f>
        <v>134.29</v>
      </c>
      <c r="F1006" s="2" t="n">
        <f aca="false">IFERROR(__xludf.dummyfunction("""COMPUTED_VALUE"""),155659211)</f>
        <v>155659211</v>
      </c>
    </row>
    <row r="1007" customFormat="false" ht="15.75" hidden="false" customHeight="false" outlineLevel="0" collapsed="false">
      <c r="A1007" s="3" t="n">
        <f aca="false">IFERROR(__xludf.dummyfunction("""COMPUTED_VALUE"""),45659.6666666667)</f>
        <v>45659.6666666667</v>
      </c>
      <c r="B1007" s="2" t="n">
        <f aca="false">IFERROR(__xludf.dummyfunction("""COMPUTED_VALUE"""),136)</f>
        <v>136</v>
      </c>
      <c r="C1007" s="2" t="n">
        <f aca="false">IFERROR(__xludf.dummyfunction("""COMPUTED_VALUE"""),138.88)</f>
        <v>138.88</v>
      </c>
      <c r="D1007" s="2" t="n">
        <f aca="false">IFERROR(__xludf.dummyfunction("""COMPUTED_VALUE"""),134.63)</f>
        <v>134.63</v>
      </c>
      <c r="E1007" s="2" t="n">
        <f aca="false">IFERROR(__xludf.dummyfunction("""COMPUTED_VALUE"""),138.31)</f>
        <v>138.31</v>
      </c>
      <c r="F1007" s="2" t="n">
        <f aca="false">IFERROR(__xludf.dummyfunction("""COMPUTED_VALUE"""),198247166)</f>
        <v>198247166</v>
      </c>
    </row>
    <row r="1008" customFormat="false" ht="15.75" hidden="false" customHeight="false" outlineLevel="0" collapsed="false">
      <c r="A1008" s="3" t="n">
        <f aca="false">IFERROR(__xludf.dummyfunction("""COMPUTED_VALUE"""),45660.6666666667)</f>
        <v>45660.6666666667</v>
      </c>
      <c r="B1008" s="2" t="n">
        <f aca="false">IFERROR(__xludf.dummyfunction("""COMPUTED_VALUE"""),140.01)</f>
        <v>140.01</v>
      </c>
      <c r="C1008" s="2" t="n">
        <f aca="false">IFERROR(__xludf.dummyfunction("""COMPUTED_VALUE"""),144.9)</f>
        <v>144.9</v>
      </c>
      <c r="D1008" s="2" t="n">
        <f aca="false">IFERROR(__xludf.dummyfunction("""COMPUTED_VALUE"""),139.73)</f>
        <v>139.73</v>
      </c>
      <c r="E1008" s="2" t="n">
        <f aca="false">IFERROR(__xludf.dummyfunction("""COMPUTED_VALUE"""),144.47)</f>
        <v>144.47</v>
      </c>
      <c r="F1008" s="2" t="n">
        <f aca="false">IFERROR(__xludf.dummyfunction("""COMPUTED_VALUE"""),229322478)</f>
        <v>229322478</v>
      </c>
    </row>
    <row r="1009" customFormat="false" ht="15.75" hidden="false" customHeight="false" outlineLevel="0" collapsed="false">
      <c r="A1009" s="3" t="n">
        <f aca="false">IFERROR(__xludf.dummyfunction("""COMPUTED_VALUE"""),45663.6666666667)</f>
        <v>45663.6666666667</v>
      </c>
      <c r="B1009" s="2" t="n">
        <f aca="false">IFERROR(__xludf.dummyfunction("""COMPUTED_VALUE"""),148.59)</f>
        <v>148.59</v>
      </c>
      <c r="C1009" s="2" t="n">
        <f aca="false">IFERROR(__xludf.dummyfunction("""COMPUTED_VALUE"""),152.16)</f>
        <v>152.16</v>
      </c>
      <c r="D1009" s="2" t="n">
        <f aca="false">IFERROR(__xludf.dummyfunction("""COMPUTED_VALUE"""),147.82)</f>
        <v>147.82</v>
      </c>
      <c r="E1009" s="2" t="n">
        <f aca="false">IFERROR(__xludf.dummyfunction("""COMPUTED_VALUE"""),149.43)</f>
        <v>149.43</v>
      </c>
      <c r="F1009" s="2" t="n">
        <f aca="false">IFERROR(__xludf.dummyfunction("""COMPUTED_VALUE"""),265377359)</f>
        <v>265377359</v>
      </c>
    </row>
    <row r="1010" customFormat="false" ht="15.75" hidden="false" customHeight="false" outlineLevel="0" collapsed="false">
      <c r="A1010" s="3" t="n">
        <f aca="false">IFERROR(__xludf.dummyfunction("""COMPUTED_VALUE"""),45664.6666666667)</f>
        <v>45664.6666666667</v>
      </c>
      <c r="B1010" s="2" t="n">
        <f aca="false">IFERROR(__xludf.dummyfunction("""COMPUTED_VALUE"""),153.03)</f>
        <v>153.03</v>
      </c>
      <c r="C1010" s="2" t="n">
        <f aca="false">IFERROR(__xludf.dummyfunction("""COMPUTED_VALUE"""),153.13)</f>
        <v>153.13</v>
      </c>
      <c r="D1010" s="2" t="n">
        <f aca="false">IFERROR(__xludf.dummyfunction("""COMPUTED_VALUE"""),140.01)</f>
        <v>140.01</v>
      </c>
      <c r="E1010" s="2" t="n">
        <f aca="false">IFERROR(__xludf.dummyfunction("""COMPUTED_VALUE"""),140.14)</f>
        <v>140.14</v>
      </c>
      <c r="F1010" s="2" t="n">
        <f aca="false">IFERROR(__xludf.dummyfunction("""COMPUTED_VALUE"""),351782174)</f>
        <v>351782174</v>
      </c>
    </row>
    <row r="1011" customFormat="false" ht="15.75" hidden="false" customHeight="false" outlineLevel="0" collapsed="false">
      <c r="A1011" s="3" t="n">
        <f aca="false">IFERROR(__xludf.dummyfunction("""COMPUTED_VALUE"""),45665.6666666667)</f>
        <v>45665.6666666667</v>
      </c>
      <c r="B1011" s="2" t="n">
        <f aca="false">IFERROR(__xludf.dummyfunction("""COMPUTED_VALUE"""),142.58)</f>
        <v>142.58</v>
      </c>
      <c r="C1011" s="2" t="n">
        <f aca="false">IFERROR(__xludf.dummyfunction("""COMPUTED_VALUE"""),143.95)</f>
        <v>143.95</v>
      </c>
      <c r="D1011" s="2" t="n">
        <f aca="false">IFERROR(__xludf.dummyfunction("""COMPUTED_VALUE"""),137.56)</f>
        <v>137.56</v>
      </c>
      <c r="E1011" s="2" t="n">
        <f aca="false">IFERROR(__xludf.dummyfunction("""COMPUTED_VALUE"""),140.11)</f>
        <v>140.11</v>
      </c>
      <c r="F1011" s="2" t="n">
        <f aca="false">IFERROR(__xludf.dummyfunction("""COMPUTED_VALUE"""),227349948)</f>
        <v>227349948</v>
      </c>
    </row>
    <row r="1012" customFormat="false" ht="15.75" hidden="false" customHeight="false" outlineLevel="0" collapsed="false">
      <c r="A1012" s="3" t="n">
        <f aca="false">IFERROR(__xludf.dummyfunction("""COMPUTED_VALUE"""),45667.6666666667)</f>
        <v>45667.6666666667</v>
      </c>
      <c r="B1012" s="2" t="n">
        <f aca="false">IFERROR(__xludf.dummyfunction("""COMPUTED_VALUE"""),137.45)</f>
        <v>137.45</v>
      </c>
      <c r="C1012" s="2" t="n">
        <f aca="false">IFERROR(__xludf.dummyfunction("""COMPUTED_VALUE"""),139.92)</f>
        <v>139.92</v>
      </c>
      <c r="D1012" s="2" t="n">
        <f aca="false">IFERROR(__xludf.dummyfunction("""COMPUTED_VALUE"""),134.22)</f>
        <v>134.22</v>
      </c>
      <c r="E1012" s="2" t="n">
        <f aca="false">IFERROR(__xludf.dummyfunction("""COMPUTED_VALUE"""),135.91)</f>
        <v>135.91</v>
      </c>
      <c r="F1012" s="2" t="n">
        <f aca="false">IFERROR(__xludf.dummyfunction("""COMPUTED_VALUE"""),207602514)</f>
        <v>207602514</v>
      </c>
    </row>
    <row r="1013" customFormat="false" ht="15.75" hidden="false" customHeight="false" outlineLevel="0" collapsed="false">
      <c r="A1013" s="3" t="n">
        <f aca="false">IFERROR(__xludf.dummyfunction("""COMPUTED_VALUE"""),45670.6666666667)</f>
        <v>45670.6666666667</v>
      </c>
      <c r="B1013" s="2" t="n">
        <f aca="false">IFERROR(__xludf.dummyfunction("""COMPUTED_VALUE"""),129.99)</f>
        <v>129.99</v>
      </c>
      <c r="C1013" s="2" t="n">
        <f aca="false">IFERROR(__xludf.dummyfunction("""COMPUTED_VALUE"""),133.49)</f>
        <v>133.49</v>
      </c>
      <c r="D1013" s="2" t="n">
        <f aca="false">IFERROR(__xludf.dummyfunction("""COMPUTED_VALUE"""),129.51)</f>
        <v>129.51</v>
      </c>
      <c r="E1013" s="2" t="n">
        <f aca="false">IFERROR(__xludf.dummyfunction("""COMPUTED_VALUE"""),133.23)</f>
        <v>133.23</v>
      </c>
      <c r="F1013" s="2" t="n">
        <f aca="false">IFERROR(__xludf.dummyfunction("""COMPUTED_VALUE"""),204808914)</f>
        <v>204808914</v>
      </c>
    </row>
    <row r="1014" customFormat="false" ht="15.75" hidden="false" customHeight="false" outlineLevel="0" collapsed="false">
      <c r="A1014" s="3" t="n">
        <f aca="false">IFERROR(__xludf.dummyfunction("""COMPUTED_VALUE"""),45671.6666666667)</f>
        <v>45671.6666666667</v>
      </c>
      <c r="B1014" s="2" t="n">
        <f aca="false">IFERROR(__xludf.dummyfunction("""COMPUTED_VALUE"""),136.05)</f>
        <v>136.05</v>
      </c>
      <c r="C1014" s="2" t="n">
        <f aca="false">IFERROR(__xludf.dummyfunction("""COMPUTED_VALUE"""),136.38)</f>
        <v>136.38</v>
      </c>
      <c r="D1014" s="2" t="n">
        <f aca="false">IFERROR(__xludf.dummyfunction("""COMPUTED_VALUE"""),130.05)</f>
        <v>130.05</v>
      </c>
      <c r="E1014" s="2" t="n">
        <f aca="false">IFERROR(__xludf.dummyfunction("""COMPUTED_VALUE"""),131.76)</f>
        <v>131.76</v>
      </c>
      <c r="F1014" s="2" t="n">
        <f aca="false">IFERROR(__xludf.dummyfunction("""COMPUTED_VALUE"""),195590485)</f>
        <v>195590485</v>
      </c>
    </row>
    <row r="1015" customFormat="false" ht="15.75" hidden="false" customHeight="false" outlineLevel="0" collapsed="false">
      <c r="A1015" s="3" t="n">
        <f aca="false">IFERROR(__xludf.dummyfunction("""COMPUTED_VALUE"""),45672.6666666667)</f>
        <v>45672.6666666667</v>
      </c>
      <c r="B1015" s="2" t="n">
        <f aca="false">IFERROR(__xludf.dummyfunction("""COMPUTED_VALUE"""),133.65)</f>
        <v>133.65</v>
      </c>
      <c r="C1015" s="2" t="n">
        <f aca="false">IFERROR(__xludf.dummyfunction("""COMPUTED_VALUE"""),136.45)</f>
        <v>136.45</v>
      </c>
      <c r="D1015" s="2" t="n">
        <f aca="false">IFERROR(__xludf.dummyfunction("""COMPUTED_VALUE"""),131.29)</f>
        <v>131.29</v>
      </c>
      <c r="E1015" s="2" t="n">
        <f aca="false">IFERROR(__xludf.dummyfunction("""COMPUTED_VALUE"""),136.24)</f>
        <v>136.24</v>
      </c>
      <c r="F1015" s="2" t="n">
        <f aca="false">IFERROR(__xludf.dummyfunction("""COMPUTED_VALUE"""),185217338)</f>
        <v>185217338</v>
      </c>
    </row>
    <row r="1016" customFormat="false" ht="15.75" hidden="false" customHeight="false" outlineLevel="0" collapsed="false">
      <c r="A1016" s="3" t="n">
        <f aca="false">IFERROR(__xludf.dummyfunction("""COMPUTED_VALUE"""),45673.6666666667)</f>
        <v>45673.6666666667</v>
      </c>
      <c r="B1016" s="2" t="n">
        <f aca="false">IFERROR(__xludf.dummyfunction("""COMPUTED_VALUE"""),138.64)</f>
        <v>138.64</v>
      </c>
      <c r="C1016" s="2" t="n">
        <f aca="false">IFERROR(__xludf.dummyfunction("""COMPUTED_VALUE"""),138.75)</f>
        <v>138.75</v>
      </c>
      <c r="D1016" s="2" t="n">
        <f aca="false">IFERROR(__xludf.dummyfunction("""COMPUTED_VALUE"""),133.49)</f>
        <v>133.49</v>
      </c>
      <c r="E1016" s="2" t="n">
        <f aca="false">IFERROR(__xludf.dummyfunction("""COMPUTED_VALUE"""),133.57)</f>
        <v>133.57</v>
      </c>
      <c r="F1016" s="2" t="n">
        <f aca="false">IFERROR(__xludf.dummyfunction("""COMPUTED_VALUE"""),209235583)</f>
        <v>209235583</v>
      </c>
    </row>
    <row r="1017" customFormat="false" ht="15.75" hidden="false" customHeight="false" outlineLevel="0" collapsed="false">
      <c r="A1017" s="3" t="n">
        <f aca="false">IFERROR(__xludf.dummyfunction("""COMPUTED_VALUE"""),45674.6666666667)</f>
        <v>45674.6666666667</v>
      </c>
      <c r="B1017" s="2" t="n">
        <f aca="false">IFERROR(__xludf.dummyfunction("""COMPUTED_VALUE"""),136.69)</f>
        <v>136.69</v>
      </c>
      <c r="C1017" s="2" t="n">
        <f aca="false">IFERROR(__xludf.dummyfunction("""COMPUTED_VALUE"""),138.5)</f>
        <v>138.5</v>
      </c>
      <c r="D1017" s="2" t="n">
        <f aca="false">IFERROR(__xludf.dummyfunction("""COMPUTED_VALUE"""),135.46)</f>
        <v>135.46</v>
      </c>
      <c r="E1017" s="2" t="n">
        <f aca="false">IFERROR(__xludf.dummyfunction("""COMPUTED_VALUE"""),137.71)</f>
        <v>137.71</v>
      </c>
      <c r="F1017" s="2" t="n">
        <f aca="false">IFERROR(__xludf.dummyfunction("""COMPUTED_VALUE"""),201188760)</f>
        <v>201188760</v>
      </c>
    </row>
    <row r="1018" customFormat="false" ht="15.75" hidden="false" customHeight="false" outlineLevel="0" collapsed="false">
      <c r="A1018" s="3" t="n">
        <f aca="false">IFERROR(__xludf.dummyfunction("""COMPUTED_VALUE"""),45678.6666666667)</f>
        <v>45678.6666666667</v>
      </c>
      <c r="B1018" s="2" t="n">
        <f aca="false">IFERROR(__xludf.dummyfunction("""COMPUTED_VALUE"""),139.16)</f>
        <v>139.16</v>
      </c>
      <c r="C1018" s="2" t="n">
        <f aca="false">IFERROR(__xludf.dummyfunction("""COMPUTED_VALUE"""),141.83)</f>
        <v>141.83</v>
      </c>
      <c r="D1018" s="2" t="n">
        <f aca="false">IFERROR(__xludf.dummyfunction("""COMPUTED_VALUE"""),137.09)</f>
        <v>137.09</v>
      </c>
      <c r="E1018" s="2" t="n">
        <f aca="false">IFERROR(__xludf.dummyfunction("""COMPUTED_VALUE"""),140.83)</f>
        <v>140.83</v>
      </c>
      <c r="F1018" s="2" t="n">
        <f aca="false">IFERROR(__xludf.dummyfunction("""COMPUTED_VALUE"""),197748985)</f>
        <v>197748985</v>
      </c>
    </row>
    <row r="1019" customFormat="false" ht="15.75" hidden="false" customHeight="false" outlineLevel="0" collapsed="false">
      <c r="A1019" s="3" t="n">
        <f aca="false">IFERROR(__xludf.dummyfunction("""COMPUTED_VALUE"""),45679.6666666667)</f>
        <v>45679.6666666667</v>
      </c>
      <c r="B1019" s="2" t="n">
        <f aca="false">IFERROR(__xludf.dummyfunction("""COMPUTED_VALUE"""),144.66)</f>
        <v>144.66</v>
      </c>
      <c r="C1019" s="2" t="n">
        <f aca="false">IFERROR(__xludf.dummyfunction("""COMPUTED_VALUE"""),147.79)</f>
        <v>147.79</v>
      </c>
      <c r="D1019" s="2" t="n">
        <f aca="false">IFERROR(__xludf.dummyfunction("""COMPUTED_VALUE"""),143.67)</f>
        <v>143.67</v>
      </c>
      <c r="E1019" s="2" t="n">
        <f aca="false">IFERROR(__xludf.dummyfunction("""COMPUTED_VALUE"""),147.07)</f>
        <v>147.07</v>
      </c>
      <c r="F1019" s="2" t="n">
        <f aca="false">IFERROR(__xludf.dummyfunction("""COMPUTED_VALUE"""),237651395)</f>
        <v>237651395</v>
      </c>
    </row>
    <row r="1020" customFormat="false" ht="15.75" hidden="false" customHeight="false" outlineLevel="0" collapsed="false">
      <c r="A1020" s="3" t="n">
        <f aca="false">IFERROR(__xludf.dummyfunction("""COMPUTED_VALUE"""),45680.6666666667)</f>
        <v>45680.6666666667</v>
      </c>
      <c r="B1020" s="2" t="n">
        <f aca="false">IFERROR(__xludf.dummyfunction("""COMPUTED_VALUE"""),145.05)</f>
        <v>145.05</v>
      </c>
      <c r="C1020" s="2" t="n">
        <f aca="false">IFERROR(__xludf.dummyfunction("""COMPUTED_VALUE"""),147.23)</f>
        <v>147.23</v>
      </c>
      <c r="D1020" s="2" t="n">
        <f aca="false">IFERROR(__xludf.dummyfunction("""COMPUTED_VALUE"""),143.72)</f>
        <v>143.72</v>
      </c>
      <c r="E1020" s="2" t="n">
        <f aca="false">IFERROR(__xludf.dummyfunction("""COMPUTED_VALUE"""),147.22)</f>
        <v>147.22</v>
      </c>
      <c r="F1020" s="2" t="n">
        <f aca="false">IFERROR(__xludf.dummyfunction("""COMPUTED_VALUE"""),155915549)</f>
        <v>155915549</v>
      </c>
    </row>
    <row r="1021" customFormat="false" ht="15.75" hidden="false" customHeight="false" outlineLevel="0" collapsed="false">
      <c r="A1021" s="3" t="n">
        <f aca="false">IFERROR(__xludf.dummyfunction("""COMPUTED_VALUE"""),45681.6666666667)</f>
        <v>45681.6666666667</v>
      </c>
      <c r="B1021" s="2" t="n">
        <f aca="false">IFERROR(__xludf.dummyfunction("""COMPUTED_VALUE"""),148.37)</f>
        <v>148.37</v>
      </c>
      <c r="C1021" s="2" t="n">
        <f aca="false">IFERROR(__xludf.dummyfunction("""COMPUTED_VALUE"""),148.97)</f>
        <v>148.97</v>
      </c>
      <c r="D1021" s="2" t="n">
        <f aca="false">IFERROR(__xludf.dummyfunction("""COMPUTED_VALUE"""),141.88)</f>
        <v>141.88</v>
      </c>
      <c r="E1021" s="2" t="n">
        <f aca="false">IFERROR(__xludf.dummyfunction("""COMPUTED_VALUE"""),142.62)</f>
        <v>142.62</v>
      </c>
      <c r="F1021" s="2" t="n">
        <f aca="false">IFERROR(__xludf.dummyfunction("""COMPUTED_VALUE"""),234657635)</f>
        <v>234657635</v>
      </c>
    </row>
    <row r="1022" customFormat="false" ht="15.75" hidden="false" customHeight="false" outlineLevel="0" collapsed="false">
      <c r="A1022" s="3" t="n">
        <f aca="false">IFERROR(__xludf.dummyfunction("""COMPUTED_VALUE"""),45684.6666666667)</f>
        <v>45684.6666666667</v>
      </c>
      <c r="B1022" s="2" t="n">
        <f aca="false">IFERROR(__xludf.dummyfunction("""COMPUTED_VALUE"""),124.8)</f>
        <v>124.8</v>
      </c>
      <c r="C1022" s="2" t="n">
        <f aca="false">IFERROR(__xludf.dummyfunction("""COMPUTED_VALUE"""),128.4)</f>
        <v>128.4</v>
      </c>
      <c r="D1022" s="2" t="n">
        <f aca="false">IFERROR(__xludf.dummyfunction("""COMPUTED_VALUE"""),116.7)</f>
        <v>116.7</v>
      </c>
      <c r="E1022" s="2" t="n">
        <f aca="false">IFERROR(__xludf.dummyfunction("""COMPUTED_VALUE"""),118.42)</f>
        <v>118.42</v>
      </c>
      <c r="F1022" s="2" t="n">
        <f aca="false">IFERROR(__xludf.dummyfunction("""COMPUTED_VALUE"""),818830895)</f>
        <v>818830895</v>
      </c>
    </row>
    <row r="1023" customFormat="false" ht="15.75" hidden="false" customHeight="false" outlineLevel="0" collapsed="false">
      <c r="A1023" s="3" t="n">
        <f aca="false">IFERROR(__xludf.dummyfunction("""COMPUTED_VALUE"""),45685.6666666667)</f>
        <v>45685.6666666667</v>
      </c>
      <c r="B1023" s="2" t="n">
        <f aca="false">IFERROR(__xludf.dummyfunction("""COMPUTED_VALUE"""),121.81)</f>
        <v>121.81</v>
      </c>
      <c r="C1023" s="2" t="n">
        <f aca="false">IFERROR(__xludf.dummyfunction("""COMPUTED_VALUE"""),129)</f>
        <v>129</v>
      </c>
      <c r="D1023" s="2" t="n">
        <f aca="false">IFERROR(__xludf.dummyfunction("""COMPUTED_VALUE"""),116.25)</f>
        <v>116.25</v>
      </c>
      <c r="E1023" s="2" t="n">
        <f aca="false">IFERROR(__xludf.dummyfunction("""COMPUTED_VALUE"""),128.99)</f>
        <v>128.99</v>
      </c>
      <c r="F1023" s="2" t="n">
        <f aca="false">IFERROR(__xludf.dummyfunction("""COMPUTED_VALUE"""),579666350)</f>
        <v>579666350</v>
      </c>
    </row>
    <row r="1024" customFormat="false" ht="15.75" hidden="false" customHeight="false" outlineLevel="0" collapsed="false">
      <c r="A1024" s="3" t="n">
        <f aca="false">IFERROR(__xludf.dummyfunction("""COMPUTED_VALUE"""),45686.6666666667)</f>
        <v>45686.6666666667</v>
      </c>
      <c r="B1024" s="2" t="n">
        <f aca="false">IFERROR(__xludf.dummyfunction("""COMPUTED_VALUE"""),126.5)</f>
        <v>126.5</v>
      </c>
      <c r="C1024" s="2" t="n">
        <f aca="false">IFERROR(__xludf.dummyfunction("""COMPUTED_VALUE"""),126.89)</f>
        <v>126.89</v>
      </c>
      <c r="D1024" s="2" t="n">
        <f aca="false">IFERROR(__xludf.dummyfunction("""COMPUTED_VALUE"""),120.05)</f>
        <v>120.05</v>
      </c>
      <c r="E1024" s="2" t="n">
        <f aca="false">IFERROR(__xludf.dummyfunction("""COMPUTED_VALUE"""),123.7)</f>
        <v>123.7</v>
      </c>
      <c r="F1024" s="2" t="n">
        <f aca="false">IFERROR(__xludf.dummyfunction("""COMPUTED_VALUE"""),467120640)</f>
        <v>467120640</v>
      </c>
    </row>
    <row r="1025" customFormat="false" ht="15.75" hidden="false" customHeight="false" outlineLevel="0" collapsed="false">
      <c r="A1025" s="3" t="n">
        <f aca="false">IFERROR(__xludf.dummyfunction("""COMPUTED_VALUE"""),45687.6666666667)</f>
        <v>45687.6666666667</v>
      </c>
      <c r="B1025" s="2" t="n">
        <f aca="false">IFERROR(__xludf.dummyfunction("""COMPUTED_VALUE"""),123.1)</f>
        <v>123.1</v>
      </c>
      <c r="C1025" s="2" t="n">
        <f aca="false">IFERROR(__xludf.dummyfunction("""COMPUTED_VALUE"""),125)</f>
        <v>125</v>
      </c>
      <c r="D1025" s="2" t="n">
        <f aca="false">IFERROR(__xludf.dummyfunction("""COMPUTED_VALUE"""),118.1)</f>
        <v>118.1</v>
      </c>
      <c r="E1025" s="2" t="n">
        <f aca="false">IFERROR(__xludf.dummyfunction("""COMPUTED_VALUE"""),124.65)</f>
        <v>124.65</v>
      </c>
      <c r="F1025" s="2" t="n">
        <f aca="false">IFERROR(__xludf.dummyfunction("""COMPUTED_VALUE"""),392925469)</f>
        <v>392925469</v>
      </c>
    </row>
    <row r="1026" customFormat="false" ht="15.75" hidden="false" customHeight="false" outlineLevel="0" collapsed="false">
      <c r="A1026" s="3" t="n">
        <f aca="false">IFERROR(__xludf.dummyfunction("""COMPUTED_VALUE"""),45688.6666666667)</f>
        <v>45688.6666666667</v>
      </c>
      <c r="B1026" s="2" t="n">
        <f aca="false">IFERROR(__xludf.dummyfunction("""COMPUTED_VALUE"""),123.78)</f>
        <v>123.78</v>
      </c>
      <c r="C1026" s="2" t="n">
        <f aca="false">IFERROR(__xludf.dummyfunction("""COMPUTED_VALUE"""),127.85)</f>
        <v>127.85</v>
      </c>
      <c r="D1026" s="2" t="n">
        <f aca="false">IFERROR(__xludf.dummyfunction("""COMPUTED_VALUE"""),119.19)</f>
        <v>119.19</v>
      </c>
      <c r="E1026" s="2" t="n">
        <f aca="false">IFERROR(__xludf.dummyfunction("""COMPUTED_VALUE"""),120.07)</f>
        <v>120.07</v>
      </c>
      <c r="F1026" s="2" t="n">
        <f aca="false">IFERROR(__xludf.dummyfunction("""COMPUTED_VALUE"""),390372899)</f>
        <v>390372899</v>
      </c>
    </row>
    <row r="1027" customFormat="false" ht="15.75" hidden="false" customHeight="false" outlineLevel="0" collapsed="false">
      <c r="A1027" s="3" t="n">
        <f aca="false">IFERROR(__xludf.dummyfunction("""COMPUTED_VALUE"""),45691.6666666667)</f>
        <v>45691.6666666667</v>
      </c>
      <c r="B1027" s="2" t="n">
        <f aca="false">IFERROR(__xludf.dummyfunction("""COMPUTED_VALUE"""),114.75)</f>
        <v>114.75</v>
      </c>
      <c r="C1027" s="2" t="n">
        <f aca="false">IFERROR(__xludf.dummyfunction("""COMPUTED_VALUE"""),118.57)</f>
        <v>118.57</v>
      </c>
      <c r="D1027" s="2" t="n">
        <f aca="false">IFERROR(__xludf.dummyfunction("""COMPUTED_VALUE"""),113.01)</f>
        <v>113.01</v>
      </c>
      <c r="E1027" s="2" t="n">
        <f aca="false">IFERROR(__xludf.dummyfunction("""COMPUTED_VALUE"""),116.66)</f>
        <v>116.66</v>
      </c>
      <c r="F1027" s="2" t="n">
        <f aca="false">IFERROR(__xludf.dummyfunction("""COMPUTED_VALUE"""),371235677)</f>
        <v>371235677</v>
      </c>
    </row>
    <row r="1028" customFormat="false" ht="15.75" hidden="false" customHeight="false" outlineLevel="0" collapsed="false">
      <c r="A1028" s="3" t="n">
        <f aca="false">IFERROR(__xludf.dummyfunction("""COMPUTED_VALUE"""),45692.6666666667)</f>
        <v>45692.6666666667</v>
      </c>
      <c r="B1028" s="2" t="n">
        <f aca="false">IFERROR(__xludf.dummyfunction("""COMPUTED_VALUE"""),116.96)</f>
        <v>116.96</v>
      </c>
      <c r="C1028" s="2" t="n">
        <f aca="false">IFERROR(__xludf.dummyfunction("""COMPUTED_VALUE"""),121.2)</f>
        <v>121.2</v>
      </c>
      <c r="D1028" s="2" t="n">
        <f aca="false">IFERROR(__xludf.dummyfunction("""COMPUTED_VALUE"""),116.7)</f>
        <v>116.7</v>
      </c>
      <c r="E1028" s="2" t="n">
        <f aca="false">IFERROR(__xludf.dummyfunction("""COMPUTED_VALUE"""),118.65)</f>
        <v>118.65</v>
      </c>
      <c r="F1028" s="2" t="n">
        <f aca="false">IFERROR(__xludf.dummyfunction("""COMPUTED_VALUE"""),256550040)</f>
        <v>256550040</v>
      </c>
    </row>
    <row r="1029" customFormat="false" ht="15.75" hidden="false" customHeight="false" outlineLevel="0" collapsed="false">
      <c r="A1029" s="3" t="n">
        <f aca="false">IFERROR(__xludf.dummyfunction("""COMPUTED_VALUE"""),45693.6666666667)</f>
        <v>45693.6666666667</v>
      </c>
      <c r="B1029" s="2" t="n">
        <f aca="false">IFERROR(__xludf.dummyfunction("""COMPUTED_VALUE"""),121.76)</f>
        <v>121.76</v>
      </c>
      <c r="C1029" s="2" t="n">
        <f aca="false">IFERROR(__xludf.dummyfunction("""COMPUTED_VALUE"""),125)</f>
        <v>125</v>
      </c>
      <c r="D1029" s="2" t="n">
        <f aca="false">IFERROR(__xludf.dummyfunction("""COMPUTED_VALUE"""),120.76)</f>
        <v>120.76</v>
      </c>
      <c r="E1029" s="2" t="n">
        <f aca="false">IFERROR(__xludf.dummyfunction("""COMPUTED_VALUE"""),124.83)</f>
        <v>124.83</v>
      </c>
      <c r="F1029" s="2" t="n">
        <f aca="false">IFERROR(__xludf.dummyfunction("""COMPUTED_VALUE"""),263110629)</f>
        <v>263110629</v>
      </c>
    </row>
    <row r="1030" customFormat="false" ht="15.75" hidden="false" customHeight="false" outlineLevel="0" collapsed="false">
      <c r="A1030" s="3" t="n">
        <f aca="false">IFERROR(__xludf.dummyfunction("""COMPUTED_VALUE"""),45694.6666666667)</f>
        <v>45694.6666666667</v>
      </c>
      <c r="B1030" s="2" t="n">
        <f aca="false">IFERROR(__xludf.dummyfunction("""COMPUTED_VALUE"""),127.42)</f>
        <v>127.42</v>
      </c>
      <c r="C1030" s="2" t="n">
        <f aca="false">IFERROR(__xludf.dummyfunction("""COMPUTED_VALUE"""),128.77)</f>
        <v>128.77</v>
      </c>
      <c r="D1030" s="2" t="n">
        <f aca="false">IFERROR(__xludf.dummyfunction("""COMPUTED_VALUE"""),125.21)</f>
        <v>125.21</v>
      </c>
      <c r="E1030" s="2" t="n">
        <f aca="false">IFERROR(__xludf.dummyfunction("""COMPUTED_VALUE"""),128.68)</f>
        <v>128.68</v>
      </c>
      <c r="F1030" s="2" t="n">
        <f aca="false">IFERROR(__xludf.dummyfunction("""COMPUTED_VALUE"""),251483574)</f>
        <v>251483574</v>
      </c>
    </row>
    <row r="1031" customFormat="false" ht="15.75" hidden="false" customHeight="false" outlineLevel="0" collapsed="false">
      <c r="A1031" s="3" t="n">
        <f aca="false">IFERROR(__xludf.dummyfunction("""COMPUTED_VALUE"""),45695.6666666667)</f>
        <v>45695.6666666667</v>
      </c>
      <c r="B1031" s="2" t="n">
        <f aca="false">IFERROR(__xludf.dummyfunction("""COMPUTED_VALUE"""),129.22)</f>
        <v>129.22</v>
      </c>
      <c r="C1031" s="2" t="n">
        <f aca="false">IFERROR(__xludf.dummyfunction("""COMPUTED_VALUE"""),130.37)</f>
        <v>130.37</v>
      </c>
      <c r="D1031" s="2" t="n">
        <f aca="false">IFERROR(__xludf.dummyfunction("""COMPUTED_VALUE"""),125)</f>
        <v>125</v>
      </c>
      <c r="E1031" s="2" t="n">
        <f aca="false">IFERROR(__xludf.dummyfunction("""COMPUTED_VALUE"""),129.84)</f>
        <v>129.84</v>
      </c>
      <c r="F1031" s="2" t="n">
        <f aca="false">IFERROR(__xludf.dummyfunction("""COMPUTED_VALUE"""),228186298)</f>
        <v>228186298</v>
      </c>
    </row>
    <row r="1032" customFormat="false" ht="15.75" hidden="false" customHeight="false" outlineLevel="0" collapsed="false">
      <c r="A1032" s="3" t="n">
        <f aca="false">IFERROR(__xludf.dummyfunction("""COMPUTED_VALUE"""),45698.6666666667)</f>
        <v>45698.6666666667</v>
      </c>
      <c r="B1032" s="2" t="n">
        <f aca="false">IFERROR(__xludf.dummyfunction("""COMPUTED_VALUE"""),130.09)</f>
        <v>130.09</v>
      </c>
      <c r="C1032" s="2" t="n">
        <f aca="false">IFERROR(__xludf.dummyfunction("""COMPUTED_VALUE"""),135)</f>
        <v>135</v>
      </c>
      <c r="D1032" s="2" t="n">
        <f aca="false">IFERROR(__xludf.dummyfunction("""COMPUTED_VALUE"""),129.96)</f>
        <v>129.96</v>
      </c>
      <c r="E1032" s="2" t="n">
        <f aca="false">IFERROR(__xludf.dummyfunction("""COMPUTED_VALUE"""),133.57)</f>
        <v>133.57</v>
      </c>
      <c r="F1032" s="2" t="n">
        <f aca="false">IFERROR(__xludf.dummyfunction("""COMPUTED_VALUE"""),216989086)</f>
        <v>216989086</v>
      </c>
    </row>
    <row r="1033" customFormat="false" ht="15.75" hidden="false" customHeight="false" outlineLevel="0" collapsed="false">
      <c r="A1033" s="3" t="n">
        <f aca="false">IFERROR(__xludf.dummyfunction("""COMPUTED_VALUE"""),45699.6666666667)</f>
        <v>45699.6666666667</v>
      </c>
      <c r="B1033" s="2" t="n">
        <f aca="false">IFERROR(__xludf.dummyfunction("""COMPUTED_VALUE"""),132.58)</f>
        <v>132.58</v>
      </c>
      <c r="C1033" s="2" t="n">
        <f aca="false">IFERROR(__xludf.dummyfunction("""COMPUTED_VALUE"""),134.48)</f>
        <v>134.48</v>
      </c>
      <c r="D1033" s="2" t="n">
        <f aca="false">IFERROR(__xludf.dummyfunction("""COMPUTED_VALUE"""),131.02)</f>
        <v>131.02</v>
      </c>
      <c r="E1033" s="2" t="n">
        <f aca="false">IFERROR(__xludf.dummyfunction("""COMPUTED_VALUE"""),132.8)</f>
        <v>132.8</v>
      </c>
      <c r="F1033" s="2" t="n">
        <f aca="false">IFERROR(__xludf.dummyfunction("""COMPUTED_VALUE"""),178902379)</f>
        <v>178902379</v>
      </c>
    </row>
    <row r="1034" customFormat="false" ht="15.75" hidden="false" customHeight="false" outlineLevel="0" collapsed="false">
      <c r="A1034" s="3" t="n">
        <f aca="false">IFERROR(__xludf.dummyfunction("""COMPUTED_VALUE"""),45700.6666666667)</f>
        <v>45700.6666666667</v>
      </c>
      <c r="B1034" s="2" t="n">
        <f aca="false">IFERROR(__xludf.dummyfunction("""COMPUTED_VALUE"""),130.02)</f>
        <v>130.02</v>
      </c>
      <c r="C1034" s="2" t="n">
        <f aca="false">IFERROR(__xludf.dummyfunction("""COMPUTED_VALUE"""),132.24)</f>
        <v>132.24</v>
      </c>
      <c r="D1034" s="2" t="n">
        <f aca="false">IFERROR(__xludf.dummyfunction("""COMPUTED_VALUE"""),129.08)</f>
        <v>129.08</v>
      </c>
      <c r="E1034" s="2" t="n">
        <f aca="false">IFERROR(__xludf.dummyfunction("""COMPUTED_VALUE"""),131.14)</f>
        <v>131.14</v>
      </c>
      <c r="F1034" s="2" t="n">
        <f aca="false">IFERROR(__xludf.dummyfunction("""COMPUTED_VALUE"""),160278552)</f>
        <v>160278552</v>
      </c>
    </row>
    <row r="1035" customFormat="false" ht="15.75" hidden="false" customHeight="false" outlineLevel="0" collapsed="false">
      <c r="A1035" s="3" t="n">
        <f aca="false">IFERROR(__xludf.dummyfunction("""COMPUTED_VALUE"""),45701.6666666667)</f>
        <v>45701.6666666667</v>
      </c>
      <c r="B1035" s="2" t="n">
        <f aca="false">IFERROR(__xludf.dummyfunction("""COMPUTED_VALUE"""),131.56)</f>
        <v>131.56</v>
      </c>
      <c r="C1035" s="2" t="n">
        <f aca="false">IFERROR(__xludf.dummyfunction("""COMPUTED_VALUE"""),136.5)</f>
        <v>136.5</v>
      </c>
      <c r="D1035" s="2" t="n">
        <f aca="false">IFERROR(__xludf.dummyfunction("""COMPUTED_VALUE"""),131.17)</f>
        <v>131.17</v>
      </c>
      <c r="E1035" s="2" t="n">
        <f aca="false">IFERROR(__xludf.dummyfunction("""COMPUTED_VALUE"""),135.29)</f>
        <v>135.29</v>
      </c>
      <c r="F1035" s="2" t="n">
        <f aca="false">IFERROR(__xludf.dummyfunction("""COMPUTED_VALUE"""),197429975)</f>
        <v>197429975</v>
      </c>
    </row>
    <row r="1036" customFormat="false" ht="15.75" hidden="false" customHeight="false" outlineLevel="0" collapsed="false">
      <c r="A1036" s="3" t="n">
        <f aca="false">IFERROR(__xludf.dummyfunction("""COMPUTED_VALUE"""),45702.6666666667)</f>
        <v>45702.6666666667</v>
      </c>
      <c r="B1036" s="2" t="n">
        <f aca="false">IFERROR(__xludf.dummyfunction("""COMPUTED_VALUE"""),136.48)</f>
        <v>136.48</v>
      </c>
      <c r="C1036" s="2" t="n">
        <f aca="false">IFERROR(__xludf.dummyfunction("""COMPUTED_VALUE"""),139.25)</f>
        <v>139.25</v>
      </c>
      <c r="D1036" s="2" t="n">
        <f aca="false">IFERROR(__xludf.dummyfunction("""COMPUTED_VALUE"""),135.5)</f>
        <v>135.5</v>
      </c>
      <c r="E1036" s="2" t="n">
        <f aca="false">IFERROR(__xludf.dummyfunction("""COMPUTED_VALUE"""),138.85)</f>
        <v>138.85</v>
      </c>
      <c r="F1036" s="2" t="n">
        <f aca="false">IFERROR(__xludf.dummyfunction("""COMPUTED_VALUE"""),195479557)</f>
        <v>195479557</v>
      </c>
    </row>
    <row r="1037" customFormat="false" ht="15.75" hidden="false" customHeight="false" outlineLevel="0" collapsed="false">
      <c r="A1037" s="3" t="n">
        <f aca="false">IFERROR(__xludf.dummyfunction("""COMPUTED_VALUE"""),45706.6666666667)</f>
        <v>45706.6666666667</v>
      </c>
      <c r="B1037" s="2" t="n">
        <f aca="false">IFERROR(__xludf.dummyfunction("""COMPUTED_VALUE"""),141.27)</f>
        <v>141.27</v>
      </c>
      <c r="C1037" s="2" t="n">
        <f aca="false">IFERROR(__xludf.dummyfunction("""COMPUTED_VALUE"""),143.44)</f>
        <v>143.44</v>
      </c>
      <c r="D1037" s="2" t="n">
        <f aca="false">IFERROR(__xludf.dummyfunction("""COMPUTED_VALUE"""),137.93)</f>
        <v>137.93</v>
      </c>
      <c r="E1037" s="2" t="n">
        <f aca="false">IFERROR(__xludf.dummyfunction("""COMPUTED_VALUE"""),139.4)</f>
        <v>139.4</v>
      </c>
      <c r="F1037" s="2" t="n">
        <f aca="false">IFERROR(__xludf.dummyfunction("""COMPUTED_VALUE"""),219176627)</f>
        <v>219176627</v>
      </c>
    </row>
    <row r="1038" customFormat="false" ht="15.75" hidden="false" customHeight="false" outlineLevel="0" collapsed="false">
      <c r="A1038" s="3" t="n">
        <f aca="false">IFERROR(__xludf.dummyfunction("""COMPUTED_VALUE"""),45707.6666666667)</f>
        <v>45707.6666666667</v>
      </c>
      <c r="B1038" s="2" t="n">
        <f aca="false">IFERROR(__xludf.dummyfunction("""COMPUTED_VALUE"""),139.51)</f>
        <v>139.51</v>
      </c>
      <c r="C1038" s="2" t="n">
        <f aca="false">IFERROR(__xludf.dummyfunction("""COMPUTED_VALUE"""),141.36)</f>
        <v>141.36</v>
      </c>
      <c r="D1038" s="2" t="n">
        <f aca="false">IFERROR(__xludf.dummyfunction("""COMPUTED_VALUE"""),137.22)</f>
        <v>137.22</v>
      </c>
      <c r="E1038" s="2" t="n">
        <f aca="false">IFERROR(__xludf.dummyfunction("""COMPUTED_VALUE"""),139.23)</f>
        <v>139.23</v>
      </c>
      <c r="F1038" s="2" t="n">
        <f aca="false">IFERROR(__xludf.dummyfunction("""COMPUTED_VALUE"""),167536006)</f>
        <v>167536006</v>
      </c>
    </row>
    <row r="1039" customFormat="false" ht="15.75" hidden="false" customHeight="false" outlineLevel="0" collapsed="false">
      <c r="A1039" s="3" t="n">
        <f aca="false">IFERROR(__xludf.dummyfunction("""COMPUTED_VALUE"""),45708.6666666667)</f>
        <v>45708.6666666667</v>
      </c>
      <c r="B1039" s="2" t="n">
        <f aca="false">IFERROR(__xludf.dummyfunction("""COMPUTED_VALUE"""),140.03)</f>
        <v>140.03</v>
      </c>
      <c r="C1039" s="2" t="n">
        <f aca="false">IFERROR(__xludf.dummyfunction("""COMPUTED_VALUE"""),140.66)</f>
        <v>140.66</v>
      </c>
      <c r="D1039" s="2" t="n">
        <f aca="false">IFERROR(__xludf.dummyfunction("""COMPUTED_VALUE"""),136.79)</f>
        <v>136.79</v>
      </c>
      <c r="E1039" s="2" t="n">
        <f aca="false">IFERROR(__xludf.dummyfunction("""COMPUTED_VALUE"""),140.11)</f>
        <v>140.11</v>
      </c>
      <c r="F1039" s="2" t="n">
        <f aca="false">IFERROR(__xludf.dummyfunction("""COMPUTED_VALUE"""),143903583)</f>
        <v>143903583</v>
      </c>
    </row>
    <row r="1040" customFormat="false" ht="15.75" hidden="false" customHeight="false" outlineLevel="0" collapsed="false">
      <c r="A1040" s="3" t="n">
        <f aca="false">IFERROR(__xludf.dummyfunction("""COMPUTED_VALUE"""),45709.6666666667)</f>
        <v>45709.6666666667</v>
      </c>
      <c r="B1040" s="2" t="n">
        <f aca="false">IFERROR(__xludf.dummyfunction("""COMPUTED_VALUE"""),140.04)</f>
        <v>140.04</v>
      </c>
      <c r="C1040" s="2" t="n">
        <f aca="false">IFERROR(__xludf.dummyfunction("""COMPUTED_VALUE"""),141.46)</f>
        <v>141.46</v>
      </c>
      <c r="D1040" s="2" t="n">
        <f aca="false">IFERROR(__xludf.dummyfunction("""COMPUTED_VALUE"""),134.03)</f>
        <v>134.03</v>
      </c>
      <c r="E1040" s="2" t="n">
        <f aca="false">IFERROR(__xludf.dummyfunction("""COMPUTED_VALUE"""),134.43)</f>
        <v>134.43</v>
      </c>
      <c r="F1040" s="2" t="n">
        <f aca="false">IFERROR(__xludf.dummyfunction("""COMPUTED_VALUE"""),228217585)</f>
        <v>228217585</v>
      </c>
    </row>
    <row r="1041" customFormat="false" ht="15.75" hidden="false" customHeight="false" outlineLevel="0" collapsed="false">
      <c r="A1041" s="3" t="n">
        <f aca="false">IFERROR(__xludf.dummyfunction("""COMPUTED_VALUE"""),45712.6666666667)</f>
        <v>45712.6666666667</v>
      </c>
      <c r="B1041" s="2" t="n">
        <f aca="false">IFERROR(__xludf.dummyfunction("""COMPUTED_VALUE"""),136.56)</f>
        <v>136.56</v>
      </c>
      <c r="C1041" s="2" t="n">
        <f aca="false">IFERROR(__xludf.dummyfunction("""COMPUTED_VALUE"""),138.59)</f>
        <v>138.59</v>
      </c>
      <c r="D1041" s="2" t="n">
        <f aca="false">IFERROR(__xludf.dummyfunction("""COMPUTED_VALUE"""),130.08)</f>
        <v>130.08</v>
      </c>
      <c r="E1041" s="2" t="n">
        <f aca="false">IFERROR(__xludf.dummyfunction("""COMPUTED_VALUE"""),130.28)</f>
        <v>130.28</v>
      </c>
      <c r="F1041" s="2" t="n">
        <f aca="false">IFERROR(__xludf.dummyfunction("""COMPUTED_VALUE"""),251381137)</f>
        <v>251381137</v>
      </c>
    </row>
    <row r="1042" customFormat="false" ht="15.75" hidden="false" customHeight="false" outlineLevel="0" collapsed="false">
      <c r="A1042" s="3" t="n">
        <f aca="false">IFERROR(__xludf.dummyfunction("""COMPUTED_VALUE"""),45713.6666666667)</f>
        <v>45713.6666666667</v>
      </c>
      <c r="B1042" s="2" t="n">
        <f aca="false">IFERROR(__xludf.dummyfunction("""COMPUTED_VALUE"""),129.98)</f>
        <v>129.98</v>
      </c>
      <c r="C1042" s="2" t="n">
        <f aca="false">IFERROR(__xludf.dummyfunction("""COMPUTED_VALUE"""),130.2)</f>
        <v>130.2</v>
      </c>
      <c r="D1042" s="2" t="n">
        <f aca="false">IFERROR(__xludf.dummyfunction("""COMPUTED_VALUE"""),124.44)</f>
        <v>124.44</v>
      </c>
      <c r="E1042" s="2" t="n">
        <f aca="false">IFERROR(__xludf.dummyfunction("""COMPUTED_VALUE"""),126.63)</f>
        <v>126.63</v>
      </c>
      <c r="F1042" s="2" t="n">
        <f aca="false">IFERROR(__xludf.dummyfunction("""COMPUTED_VALUE"""),271428711)</f>
        <v>271428711</v>
      </c>
    </row>
    <row r="1043" customFormat="false" ht="15.75" hidden="false" customHeight="false" outlineLevel="0" collapsed="false">
      <c r="A1043" s="3" t="n">
        <f aca="false">IFERROR(__xludf.dummyfunction("""COMPUTED_VALUE"""),45714.6666666667)</f>
        <v>45714.6666666667</v>
      </c>
      <c r="B1043" s="2" t="n">
        <f aca="false">IFERROR(__xludf.dummyfunction("""COMPUTED_VALUE"""),129.99)</f>
        <v>129.99</v>
      </c>
      <c r="C1043" s="2" t="n">
        <f aca="false">IFERROR(__xludf.dummyfunction("""COMPUTED_VALUE"""),133.73)</f>
        <v>133.73</v>
      </c>
      <c r="D1043" s="2" t="n">
        <f aca="false">IFERROR(__xludf.dummyfunction("""COMPUTED_VALUE"""),128.49)</f>
        <v>128.49</v>
      </c>
      <c r="E1043" s="2" t="n">
        <f aca="false">IFERROR(__xludf.dummyfunction("""COMPUTED_VALUE"""),131.28)</f>
        <v>131.28</v>
      </c>
      <c r="F1043" s="2" t="n">
        <f aca="false">IFERROR(__xludf.dummyfunction("""COMPUTED_VALUE"""),322553814)</f>
        <v>322553814</v>
      </c>
    </row>
    <row r="1044" customFormat="false" ht="15.75" hidden="false" customHeight="false" outlineLevel="0" collapsed="false">
      <c r="A1044" s="3" t="n">
        <f aca="false">IFERROR(__xludf.dummyfunction("""COMPUTED_VALUE"""),45715.6666666667)</f>
        <v>45715.6666666667</v>
      </c>
      <c r="B1044" s="2" t="n">
        <f aca="false">IFERROR(__xludf.dummyfunction("""COMPUTED_VALUE"""),135)</f>
        <v>135</v>
      </c>
      <c r="C1044" s="2" t="n">
        <f aca="false">IFERROR(__xludf.dummyfunction("""COMPUTED_VALUE"""),135.01)</f>
        <v>135.01</v>
      </c>
      <c r="D1044" s="2" t="n">
        <f aca="false">IFERROR(__xludf.dummyfunction("""COMPUTED_VALUE"""),120.01)</f>
        <v>120.01</v>
      </c>
      <c r="E1044" s="2" t="n">
        <f aca="false">IFERROR(__xludf.dummyfunction("""COMPUTED_VALUE"""),120.15)</f>
        <v>120.15</v>
      </c>
      <c r="F1044" s="2" t="n">
        <f aca="false">IFERROR(__xludf.dummyfunction("""COMPUTED_VALUE"""),443175846)</f>
        <v>443175846</v>
      </c>
    </row>
    <row r="1045" customFormat="false" ht="15.75" hidden="false" customHeight="false" outlineLevel="0" collapsed="false">
      <c r="A1045" s="3" t="n">
        <f aca="false">IFERROR(__xludf.dummyfunction("""COMPUTED_VALUE"""),45716.6666666667)</f>
        <v>45716.6666666667</v>
      </c>
      <c r="B1045" s="2" t="n">
        <f aca="false">IFERROR(__xludf.dummyfunction("""COMPUTED_VALUE"""),118.02)</f>
        <v>118.02</v>
      </c>
      <c r="C1045" s="2" t="n">
        <f aca="false">IFERROR(__xludf.dummyfunction("""COMPUTED_VALUE"""),125.09)</f>
        <v>125.09</v>
      </c>
      <c r="D1045" s="2" t="n">
        <f aca="false">IFERROR(__xludf.dummyfunction("""COMPUTED_VALUE"""),116.4)</f>
        <v>116.4</v>
      </c>
      <c r="E1045" s="2" t="n">
        <f aca="false">IFERROR(__xludf.dummyfunction("""COMPUTED_VALUE"""),124.92)</f>
        <v>124.92</v>
      </c>
      <c r="F1045" s="2" t="n">
        <f aca="false">IFERROR(__xludf.dummyfunction("""COMPUTED_VALUE"""),389091145)</f>
        <v>389091145</v>
      </c>
    </row>
    <row r="1046" customFormat="false" ht="15.75" hidden="false" customHeight="false" outlineLevel="0" collapsed="false">
      <c r="A1046" s="3" t="n">
        <f aca="false">IFERROR(__xludf.dummyfunction("""COMPUTED_VALUE"""),45719.6666666667)</f>
        <v>45719.6666666667</v>
      </c>
      <c r="B1046" s="2" t="n">
        <f aca="false">IFERROR(__xludf.dummyfunction("""COMPUTED_VALUE"""),123.51)</f>
        <v>123.51</v>
      </c>
      <c r="C1046" s="2" t="n">
        <f aca="false">IFERROR(__xludf.dummyfunction("""COMPUTED_VALUE"""),123.7)</f>
        <v>123.7</v>
      </c>
      <c r="D1046" s="2" t="n">
        <f aca="false">IFERROR(__xludf.dummyfunction("""COMPUTED_VALUE"""),112.28)</f>
        <v>112.28</v>
      </c>
      <c r="E1046" s="2" t="n">
        <f aca="false">IFERROR(__xludf.dummyfunction("""COMPUTED_VALUE"""),114.06)</f>
        <v>114.06</v>
      </c>
      <c r="F1046" s="2" t="n">
        <f aca="false">IFERROR(__xludf.dummyfunction("""COMPUTED_VALUE"""),411381373)</f>
        <v>411381373</v>
      </c>
    </row>
    <row r="1047" customFormat="false" ht="15.75" hidden="false" customHeight="false" outlineLevel="0" collapsed="false">
      <c r="A1047" s="3" t="n">
        <f aca="false">IFERROR(__xludf.dummyfunction("""COMPUTED_VALUE"""),45720.6666666667)</f>
        <v>45720.6666666667</v>
      </c>
      <c r="B1047" s="2" t="n">
        <f aca="false">IFERROR(__xludf.dummyfunction("""COMPUTED_VALUE"""),110.65)</f>
        <v>110.65</v>
      </c>
      <c r="C1047" s="2" t="n">
        <f aca="false">IFERROR(__xludf.dummyfunction("""COMPUTED_VALUE"""),119.31)</f>
        <v>119.31</v>
      </c>
      <c r="D1047" s="2" t="n">
        <f aca="false">IFERROR(__xludf.dummyfunction("""COMPUTED_VALUE"""),110.11)</f>
        <v>110.11</v>
      </c>
      <c r="E1047" s="2" t="n">
        <f aca="false">IFERROR(__xludf.dummyfunction("""COMPUTED_VALUE"""),115.99)</f>
        <v>115.99</v>
      </c>
      <c r="F1047" s="2" t="n">
        <f aca="false">IFERROR(__xludf.dummyfunction("""COMPUTED_VALUE"""),398163305)</f>
        <v>398163305</v>
      </c>
    </row>
    <row r="1048" customFormat="false" ht="15.75" hidden="false" customHeight="false" outlineLevel="0" collapsed="false">
      <c r="A1048" s="3" t="n">
        <f aca="false">IFERROR(__xludf.dummyfunction("""COMPUTED_VALUE"""),45721.6666666667)</f>
        <v>45721.6666666667</v>
      </c>
      <c r="B1048" s="2" t="n">
        <f aca="false">IFERROR(__xludf.dummyfunction("""COMPUTED_VALUE"""),117.58)</f>
        <v>117.58</v>
      </c>
      <c r="C1048" s="2" t="n">
        <f aca="false">IFERROR(__xludf.dummyfunction("""COMPUTED_VALUE"""),118.28)</f>
        <v>118.28</v>
      </c>
      <c r="D1048" s="2" t="n">
        <f aca="false">IFERROR(__xludf.dummyfunction("""COMPUTED_VALUE"""),114.51)</f>
        <v>114.51</v>
      </c>
      <c r="E1048" s="2" t="n">
        <f aca="false">IFERROR(__xludf.dummyfunction("""COMPUTED_VALUE"""),117.3)</f>
        <v>117.3</v>
      </c>
      <c r="F1048" s="2" t="n">
        <f aca="false">IFERROR(__xludf.dummyfunction("""COMPUTED_VALUE"""),284337886)</f>
        <v>284337886</v>
      </c>
    </row>
    <row r="1049" customFormat="false" ht="15.75" hidden="false" customHeight="false" outlineLevel="0" collapsed="false">
      <c r="A1049" s="3" t="n">
        <f aca="false">IFERROR(__xludf.dummyfunction("""COMPUTED_VALUE"""),45722.6666666667)</f>
        <v>45722.6666666667</v>
      </c>
      <c r="B1049" s="2" t="n">
        <f aca="false">IFERROR(__xludf.dummyfunction("""COMPUTED_VALUE"""),113.53)</f>
        <v>113.53</v>
      </c>
      <c r="C1049" s="2" t="n">
        <f aca="false">IFERROR(__xludf.dummyfunction("""COMPUTED_VALUE"""),115.35)</f>
        <v>115.35</v>
      </c>
      <c r="D1049" s="2" t="n">
        <f aca="false">IFERROR(__xludf.dummyfunction("""COMPUTED_VALUE"""),110.22)</f>
        <v>110.22</v>
      </c>
      <c r="E1049" s="2" t="n">
        <f aca="false">IFERROR(__xludf.dummyfunction("""COMPUTED_VALUE"""),110.57)</f>
        <v>110.57</v>
      </c>
      <c r="F1049" s="2" t="n">
        <f aca="false">IFERROR(__xludf.dummyfunction("""COMPUTED_VALUE"""),321181861)</f>
        <v>321181861</v>
      </c>
    </row>
    <row r="1050" customFormat="false" ht="15.75" hidden="false" customHeight="false" outlineLevel="0" collapsed="false">
      <c r="A1050" s="3" t="n">
        <f aca="false">IFERROR(__xludf.dummyfunction("""COMPUTED_VALUE"""),45723.6666666667)</f>
        <v>45723.6666666667</v>
      </c>
      <c r="B1050" s="2" t="n">
        <f aca="false">IFERROR(__xludf.dummyfunction("""COMPUTED_VALUE"""),111.25)</f>
        <v>111.25</v>
      </c>
      <c r="C1050" s="2" t="n">
        <f aca="false">IFERROR(__xludf.dummyfunction("""COMPUTED_VALUE"""),113.48)</f>
        <v>113.48</v>
      </c>
      <c r="D1050" s="2" t="n">
        <f aca="false">IFERROR(__xludf.dummyfunction("""COMPUTED_VALUE"""),107.56)</f>
        <v>107.56</v>
      </c>
      <c r="E1050" s="2" t="n">
        <f aca="false">IFERROR(__xludf.dummyfunction("""COMPUTED_VALUE"""),112.69)</f>
        <v>112.69</v>
      </c>
      <c r="F1050" s="2" t="n">
        <f aca="false">IFERROR(__xludf.dummyfunction("""COMPUTED_VALUE"""),341755468)</f>
        <v>341755468</v>
      </c>
    </row>
    <row r="1051" customFormat="false" ht="15.75" hidden="false" customHeight="false" outlineLevel="0" collapsed="false">
      <c r="A1051" s="3" t="n">
        <f aca="false">IFERROR(__xludf.dummyfunction("""COMPUTED_VALUE"""),45726.6666666667)</f>
        <v>45726.6666666667</v>
      </c>
      <c r="B1051" s="2" t="n">
        <f aca="false">IFERROR(__xludf.dummyfunction("""COMPUTED_VALUE"""),109.9)</f>
        <v>109.9</v>
      </c>
      <c r="C1051" s="2" t="n">
        <f aca="false">IFERROR(__xludf.dummyfunction("""COMPUTED_VALUE"""),111.85)</f>
        <v>111.85</v>
      </c>
      <c r="D1051" s="2" t="n">
        <f aca="false">IFERROR(__xludf.dummyfunction("""COMPUTED_VALUE"""),105.46)</f>
        <v>105.46</v>
      </c>
      <c r="E1051" s="2" t="n">
        <f aca="false">IFERROR(__xludf.dummyfunction("""COMPUTED_VALUE"""),106.98)</f>
        <v>106.98</v>
      </c>
      <c r="F1051" s="2" t="n">
        <f aca="false">IFERROR(__xludf.dummyfunction("""COMPUTED_VALUE"""),366487363)</f>
        <v>366487363</v>
      </c>
    </row>
    <row r="1052" customFormat="false" ht="15.75" hidden="false" customHeight="false" outlineLevel="0" collapsed="false">
      <c r="A1052" s="3" t="n">
        <f aca="false">IFERROR(__xludf.dummyfunction("""COMPUTED_VALUE"""),45727.6666666667)</f>
        <v>45727.6666666667</v>
      </c>
      <c r="B1052" s="2" t="n">
        <f aca="false">IFERROR(__xludf.dummyfunction("""COMPUTED_VALUE"""),106.99)</f>
        <v>106.99</v>
      </c>
      <c r="C1052" s="2" t="n">
        <f aca="false">IFERROR(__xludf.dummyfunction("""COMPUTED_VALUE"""),112.24)</f>
        <v>112.24</v>
      </c>
      <c r="D1052" s="2" t="n">
        <f aca="false">IFERROR(__xludf.dummyfunction("""COMPUTED_VALUE"""),104.77)</f>
        <v>104.77</v>
      </c>
      <c r="E1052" s="2" t="n">
        <f aca="false">IFERROR(__xludf.dummyfunction("""COMPUTED_VALUE"""),108.76)</f>
        <v>108.76</v>
      </c>
      <c r="F1052" s="2" t="n">
        <f aca="false">IFERROR(__xludf.dummyfunction("""COMPUTED_VALUE"""),354865692)</f>
        <v>354865692</v>
      </c>
    </row>
    <row r="1053" customFormat="false" ht="15.75" hidden="false" customHeight="false" outlineLevel="0" collapsed="false">
      <c r="A1053" s="3" t="n">
        <f aca="false">IFERROR(__xludf.dummyfunction("""COMPUTED_VALUE"""),45728.6666666667)</f>
        <v>45728.6666666667</v>
      </c>
      <c r="B1053" s="2" t="n">
        <f aca="false">IFERROR(__xludf.dummyfunction("""COMPUTED_VALUE"""),114.12)</f>
        <v>114.12</v>
      </c>
      <c r="C1053" s="2" t="n">
        <f aca="false">IFERROR(__xludf.dummyfunction("""COMPUTED_VALUE"""),116.76)</f>
        <v>116.76</v>
      </c>
      <c r="D1053" s="2" t="n">
        <f aca="false">IFERROR(__xludf.dummyfunction("""COMPUTED_VALUE"""),112.88)</f>
        <v>112.88</v>
      </c>
      <c r="E1053" s="2" t="n">
        <f aca="false">IFERROR(__xludf.dummyfunction("""COMPUTED_VALUE"""),115.74)</f>
        <v>115.74</v>
      </c>
      <c r="F1053" s="2" t="n">
        <f aca="false">IFERROR(__xludf.dummyfunction("""COMPUTED_VALUE"""),323857454)</f>
        <v>323857454</v>
      </c>
    </row>
    <row r="1054" customFormat="false" ht="15.75" hidden="false" customHeight="false" outlineLevel="0" collapsed="false">
      <c r="A1054" s="3" t="n">
        <f aca="false">IFERROR(__xludf.dummyfunction("""COMPUTED_VALUE"""),45729.6666666667)</f>
        <v>45729.6666666667</v>
      </c>
      <c r="B1054" s="2" t="n">
        <f aca="false">IFERROR(__xludf.dummyfunction("""COMPUTED_VALUE"""),117.03)</f>
        <v>117.03</v>
      </c>
      <c r="C1054" s="2" t="n">
        <f aca="false">IFERROR(__xludf.dummyfunction("""COMPUTED_VALUE"""),117.76)</f>
        <v>117.76</v>
      </c>
      <c r="D1054" s="2" t="n">
        <f aca="false">IFERROR(__xludf.dummyfunction("""COMPUTED_VALUE"""),113.79)</f>
        <v>113.79</v>
      </c>
      <c r="E1054" s="2" t="n">
        <f aca="false">IFERROR(__xludf.dummyfunction("""COMPUTED_VALUE"""),115.58)</f>
        <v>115.58</v>
      </c>
      <c r="F1054" s="2" t="n">
        <f aca="false">IFERROR(__xludf.dummyfunction("""COMPUTED_VALUE"""),299033131)</f>
        <v>299033131</v>
      </c>
    </row>
    <row r="1055" customFormat="false" ht="15.75" hidden="false" customHeight="false" outlineLevel="0" collapsed="false">
      <c r="A1055" s="3" t="n">
        <f aca="false">IFERROR(__xludf.dummyfunction("""COMPUTED_VALUE"""),45730.6666666667)</f>
        <v>45730.6666666667</v>
      </c>
      <c r="B1055" s="2" t="n">
        <f aca="false">IFERROR(__xludf.dummyfunction("""COMPUTED_VALUE"""),118.61)</f>
        <v>118.61</v>
      </c>
      <c r="C1055" s="2" t="n">
        <f aca="false">IFERROR(__xludf.dummyfunction("""COMPUTED_VALUE"""),121.88)</f>
        <v>121.88</v>
      </c>
      <c r="D1055" s="2" t="n">
        <f aca="false">IFERROR(__xludf.dummyfunction("""COMPUTED_VALUE"""),118.15)</f>
        <v>118.15</v>
      </c>
      <c r="E1055" s="2" t="n">
        <f aca="false">IFERROR(__xludf.dummyfunction("""COMPUTED_VALUE"""),121.67)</f>
        <v>121.67</v>
      </c>
      <c r="F1055" s="2" t="n">
        <f aca="false">IFERROR(__xludf.dummyfunction("""COMPUTED_VALUE"""),277593455)</f>
        <v>277593455</v>
      </c>
    </row>
    <row r="1056" customFormat="false" ht="15.75" hidden="false" customHeight="false" outlineLevel="0" collapsed="false">
      <c r="A1056" s="3" t="n">
        <f aca="false">IFERROR(__xludf.dummyfunction("""COMPUTED_VALUE"""),45733.6666666667)</f>
        <v>45733.6666666667</v>
      </c>
      <c r="B1056" s="2" t="n">
        <f aca="false">IFERROR(__xludf.dummyfunction("""COMPUTED_VALUE"""),122.74)</f>
        <v>122.74</v>
      </c>
      <c r="C1056" s="2" t="n">
        <f aca="false">IFERROR(__xludf.dummyfunction("""COMPUTED_VALUE"""),122.89)</f>
        <v>122.89</v>
      </c>
      <c r="D1056" s="2" t="n">
        <f aca="false">IFERROR(__xludf.dummyfunction("""COMPUTED_VALUE"""),118.03)</f>
        <v>118.03</v>
      </c>
      <c r="E1056" s="2" t="n">
        <f aca="false">IFERROR(__xludf.dummyfunction("""COMPUTED_VALUE"""),119.53)</f>
        <v>119.53</v>
      </c>
      <c r="F1056" s="2" t="n">
        <f aca="false">IFERROR(__xludf.dummyfunction("""COMPUTED_VALUE"""),255501481)</f>
        <v>255501481</v>
      </c>
    </row>
    <row r="1057" customFormat="false" ht="15.75" hidden="false" customHeight="false" outlineLevel="0" collapsed="false">
      <c r="A1057" s="3" t="n">
        <f aca="false">IFERROR(__xludf.dummyfunction("""COMPUTED_VALUE"""),45734.6666666667)</f>
        <v>45734.6666666667</v>
      </c>
      <c r="B1057" s="2" t="n">
        <f aca="false">IFERROR(__xludf.dummyfunction("""COMPUTED_VALUE"""),118)</f>
        <v>118</v>
      </c>
      <c r="C1057" s="2" t="n">
        <f aca="false">IFERROR(__xludf.dummyfunction("""COMPUTED_VALUE"""),119.02)</f>
        <v>119.02</v>
      </c>
      <c r="D1057" s="2" t="n">
        <f aca="false">IFERROR(__xludf.dummyfunction("""COMPUTED_VALUE"""),114.54)</f>
        <v>114.54</v>
      </c>
      <c r="E1057" s="2" t="n">
        <f aca="false">IFERROR(__xludf.dummyfunction("""COMPUTED_VALUE"""),115.43)</f>
        <v>115.43</v>
      </c>
      <c r="F1057" s="2" t="n">
        <f aca="false">IFERROR(__xludf.dummyfunction("""COMPUTED_VALUE"""),299686944)</f>
        <v>299686944</v>
      </c>
    </row>
    <row r="1058" customFormat="false" ht="15.75" hidden="false" customHeight="false" outlineLevel="0" collapsed="false">
      <c r="A1058" s="3" t="n">
        <f aca="false">IFERROR(__xludf.dummyfunction("""COMPUTED_VALUE"""),45735.6666666667)</f>
        <v>45735.6666666667</v>
      </c>
      <c r="B1058" s="2" t="n">
        <f aca="false">IFERROR(__xludf.dummyfunction("""COMPUTED_VALUE"""),117.27)</f>
        <v>117.27</v>
      </c>
      <c r="C1058" s="2" t="n">
        <f aca="false">IFERROR(__xludf.dummyfunction("""COMPUTED_VALUE"""),120.45)</f>
        <v>120.45</v>
      </c>
      <c r="D1058" s="2" t="n">
        <f aca="false">IFERROR(__xludf.dummyfunction("""COMPUTED_VALUE"""),115.68)</f>
        <v>115.68</v>
      </c>
      <c r="E1058" s="2" t="n">
        <f aca="false">IFERROR(__xludf.dummyfunction("""COMPUTED_VALUE"""),117.52)</f>
        <v>117.52</v>
      </c>
      <c r="F1058" s="2" t="n">
        <f aca="false">IFERROR(__xludf.dummyfunction("""COMPUTED_VALUE"""),273426225)</f>
        <v>273426225</v>
      </c>
    </row>
    <row r="1059" customFormat="false" ht="15.75" hidden="false" customHeight="false" outlineLevel="0" collapsed="false">
      <c r="A1059" s="3" t="n">
        <f aca="false">IFERROR(__xludf.dummyfunction("""COMPUTED_VALUE"""),45736.6666666667)</f>
        <v>45736.6666666667</v>
      </c>
      <c r="B1059" s="2" t="n">
        <f aca="false">IFERROR(__xludf.dummyfunction("""COMPUTED_VALUE"""),116.55)</f>
        <v>116.55</v>
      </c>
      <c r="C1059" s="2" t="n">
        <f aca="false">IFERROR(__xludf.dummyfunction("""COMPUTED_VALUE"""),120.2)</f>
        <v>120.2</v>
      </c>
      <c r="D1059" s="2" t="n">
        <f aca="false">IFERROR(__xludf.dummyfunction("""COMPUTED_VALUE"""),116.47)</f>
        <v>116.47</v>
      </c>
      <c r="E1059" s="2" t="n">
        <f aca="false">IFERROR(__xludf.dummyfunction("""COMPUTED_VALUE"""),118.53)</f>
        <v>118.53</v>
      </c>
      <c r="F1059" s="2" t="n">
        <f aca="false">IFERROR(__xludf.dummyfunction("""COMPUTED_VALUE"""),248829749)</f>
        <v>248829749</v>
      </c>
    </row>
    <row r="1060" customFormat="false" ht="15.75" hidden="false" customHeight="false" outlineLevel="0" collapsed="false">
      <c r="A1060" s="3" t="n">
        <f aca="false">IFERROR(__xludf.dummyfunction("""COMPUTED_VALUE"""),45737.6666666667)</f>
        <v>45737.6666666667</v>
      </c>
      <c r="B1060" s="2" t="n">
        <f aca="false">IFERROR(__xludf.dummyfunction("""COMPUTED_VALUE"""),116.94)</f>
        <v>116.94</v>
      </c>
      <c r="C1060" s="2" t="n">
        <f aca="false">IFERROR(__xludf.dummyfunction("""COMPUTED_VALUE"""),117.99)</f>
        <v>117.99</v>
      </c>
      <c r="D1060" s="2" t="n">
        <f aca="false">IFERROR(__xludf.dummyfunction("""COMPUTED_VALUE"""),115.42)</f>
        <v>115.42</v>
      </c>
      <c r="E1060" s="2" t="n">
        <f aca="false">IFERROR(__xludf.dummyfunction("""COMPUTED_VALUE"""),117.7)</f>
        <v>117.7</v>
      </c>
      <c r="F1060" s="2" t="n">
        <f aca="false">IFERROR(__xludf.dummyfunction("""COMPUTED_VALUE"""),266498528)</f>
        <v>266498528</v>
      </c>
    </row>
    <row r="1061" customFormat="false" ht="15.75" hidden="false" customHeight="false" outlineLevel="0" collapsed="false">
      <c r="A1061" s="3" t="n">
        <f aca="false">IFERROR(__xludf.dummyfunction("""COMPUTED_VALUE"""),45740.6666666667)</f>
        <v>45740.6666666667</v>
      </c>
      <c r="B1061" s="2" t="n">
        <f aca="false">IFERROR(__xludf.dummyfunction("""COMPUTED_VALUE"""),119.88)</f>
        <v>119.88</v>
      </c>
      <c r="C1061" s="2" t="n">
        <f aca="false">IFERROR(__xludf.dummyfunction("""COMPUTED_VALUE"""),122.22)</f>
        <v>122.22</v>
      </c>
      <c r="D1061" s="2" t="n">
        <f aca="false">IFERROR(__xludf.dummyfunction("""COMPUTED_VALUE"""),119.34)</f>
        <v>119.34</v>
      </c>
      <c r="E1061" s="2" t="n">
        <f aca="false">IFERROR(__xludf.dummyfunction("""COMPUTED_VALUE"""),121.41)</f>
        <v>121.41</v>
      </c>
      <c r="F1061" s="2" t="n">
        <f aca="false">IFERROR(__xludf.dummyfunction("""COMPUTED_VALUE"""),228452534)</f>
        <v>228452534</v>
      </c>
    </row>
    <row r="1062" customFormat="false" ht="15.75" hidden="false" customHeight="false" outlineLevel="0" collapsed="false">
      <c r="A1062" s="3" t="n">
        <f aca="false">IFERROR(__xludf.dummyfunction("""COMPUTED_VALUE"""),45741.6666666667)</f>
        <v>45741.6666666667</v>
      </c>
      <c r="B1062" s="2" t="n">
        <f aca="false">IFERROR(__xludf.dummyfunction("""COMPUTED_VALUE"""),120.55)</f>
        <v>120.55</v>
      </c>
      <c r="C1062" s="2" t="n">
        <f aca="false">IFERROR(__xludf.dummyfunction("""COMPUTED_VALUE"""),121.29)</f>
        <v>121.29</v>
      </c>
      <c r="D1062" s="2" t="n">
        <f aca="false">IFERROR(__xludf.dummyfunction("""COMPUTED_VALUE"""),118.92)</f>
        <v>118.92</v>
      </c>
      <c r="E1062" s="2" t="n">
        <f aca="false">IFERROR(__xludf.dummyfunction("""COMPUTED_VALUE"""),120.69)</f>
        <v>120.69</v>
      </c>
      <c r="F1062" s="2" t="n">
        <f aca="false">IFERROR(__xludf.dummyfunction("""COMPUTED_VALUE"""),167447198)</f>
        <v>167447198</v>
      </c>
    </row>
    <row r="1063" customFormat="false" ht="15.75" hidden="false" customHeight="false" outlineLevel="0" collapsed="false">
      <c r="A1063" s="3" t="n">
        <f aca="false">IFERROR(__xludf.dummyfunction("""COMPUTED_VALUE"""),45742.6666666667)</f>
        <v>45742.6666666667</v>
      </c>
      <c r="B1063" s="2" t="n">
        <f aca="false">IFERROR(__xludf.dummyfunction("""COMPUTED_VALUE"""),118.73)</f>
        <v>118.73</v>
      </c>
      <c r="C1063" s="2" t="n">
        <f aca="false">IFERROR(__xludf.dummyfunction("""COMPUTED_VALUE"""),118.84)</f>
        <v>118.84</v>
      </c>
      <c r="D1063" s="2" t="n">
        <f aca="false">IFERROR(__xludf.dummyfunction("""COMPUTED_VALUE"""),112.71)</f>
        <v>112.71</v>
      </c>
      <c r="E1063" s="2" t="n">
        <f aca="false">IFERROR(__xludf.dummyfunction("""COMPUTED_VALUE"""),113.76)</f>
        <v>113.76</v>
      </c>
      <c r="F1063" s="2" t="n">
        <f aca="false">IFERROR(__xludf.dummyfunction("""COMPUTED_VALUE"""),296431667)</f>
        <v>296431667</v>
      </c>
    </row>
    <row r="1064" customFormat="false" ht="15.75" hidden="false" customHeight="false" outlineLevel="0" collapsed="false">
      <c r="A1064" s="3" t="n">
        <f aca="false">IFERROR(__xludf.dummyfunction("""COMPUTED_VALUE"""),45743.6666666667)</f>
        <v>45743.6666666667</v>
      </c>
      <c r="B1064" s="2" t="n">
        <f aca="false">IFERROR(__xludf.dummyfunction("""COMPUTED_VALUE"""),111.35)</f>
        <v>111.35</v>
      </c>
      <c r="C1064" s="2" t="n">
        <f aca="false">IFERROR(__xludf.dummyfunction("""COMPUTED_VALUE"""),114.45)</f>
        <v>114.45</v>
      </c>
      <c r="D1064" s="2" t="n">
        <f aca="false">IFERROR(__xludf.dummyfunction("""COMPUTED_VALUE"""),110.66)</f>
        <v>110.66</v>
      </c>
      <c r="E1064" s="2" t="n">
        <f aca="false">IFERROR(__xludf.dummyfunction("""COMPUTED_VALUE"""),111.43)</f>
        <v>111.43</v>
      </c>
      <c r="F1064" s="2" t="n">
        <f aca="false">IFERROR(__xludf.dummyfunction("""COMPUTED_VALUE"""),236902055)</f>
        <v>236902055</v>
      </c>
    </row>
    <row r="1065" customFormat="false" ht="15.75" hidden="false" customHeight="false" outlineLevel="0" collapsed="false">
      <c r="A1065" s="3" t="n">
        <f aca="false">IFERROR(__xludf.dummyfunction("""COMPUTED_VALUE"""),45744.6666666667)</f>
        <v>45744.6666666667</v>
      </c>
      <c r="B1065" s="2" t="n">
        <f aca="false">IFERROR(__xludf.dummyfunction("""COMPUTED_VALUE"""),111.49)</f>
        <v>111.49</v>
      </c>
      <c r="C1065" s="2" t="n">
        <f aca="false">IFERROR(__xludf.dummyfunction("""COMPUTED_VALUE"""),112.87)</f>
        <v>112.87</v>
      </c>
      <c r="D1065" s="2" t="n">
        <f aca="false">IFERROR(__xludf.dummyfunction("""COMPUTED_VALUE"""),109.07)</f>
        <v>109.07</v>
      </c>
      <c r="E1065" s="2" t="n">
        <f aca="false">IFERROR(__xludf.dummyfunction("""COMPUTED_VALUE"""),109.67)</f>
        <v>109.67</v>
      </c>
      <c r="F1065" s="2" t="n">
        <f aca="false">IFERROR(__xludf.dummyfunction("""COMPUTED_VALUE"""),229872549)</f>
        <v>229872549</v>
      </c>
    </row>
    <row r="1066" customFormat="false" ht="15.75" hidden="false" customHeight="false" outlineLevel="0" collapsed="false">
      <c r="A1066" s="3" t="n">
        <f aca="false">IFERROR(__xludf.dummyfunction("""COMPUTED_VALUE"""),45747.6666666667)</f>
        <v>45747.6666666667</v>
      </c>
      <c r="B1066" s="2" t="n">
        <f aca="false">IFERROR(__xludf.dummyfunction("""COMPUTED_VALUE"""),105.13)</f>
        <v>105.13</v>
      </c>
      <c r="C1066" s="2" t="n">
        <f aca="false">IFERROR(__xludf.dummyfunction("""COMPUTED_VALUE"""),110.96)</f>
        <v>110.96</v>
      </c>
      <c r="D1066" s="2" t="n">
        <f aca="false">IFERROR(__xludf.dummyfunction("""COMPUTED_VALUE"""),103.65)</f>
        <v>103.65</v>
      </c>
      <c r="E1066" s="2" t="n">
        <f aca="false">IFERROR(__xludf.dummyfunction("""COMPUTED_VALUE"""),108.38)</f>
        <v>108.38</v>
      </c>
      <c r="F1066" s="2" t="n">
        <f aca="false">IFERROR(__xludf.dummyfunction("""COMPUTED_VALUE"""),299212653)</f>
        <v>299212653</v>
      </c>
    </row>
    <row r="1067" customFormat="false" ht="15.75" hidden="false" customHeight="false" outlineLevel="0" collapsed="false">
      <c r="A1067" s="3" t="n">
        <f aca="false">IFERROR(__xludf.dummyfunction("""COMPUTED_VALUE"""),45748.6666666667)</f>
        <v>45748.6666666667</v>
      </c>
      <c r="B1067" s="2" t="n">
        <f aca="false">IFERROR(__xludf.dummyfunction("""COMPUTED_VALUE"""),108.52)</f>
        <v>108.52</v>
      </c>
      <c r="C1067" s="2" t="n">
        <f aca="false">IFERROR(__xludf.dummyfunction("""COMPUTED_VALUE"""),110.2)</f>
        <v>110.2</v>
      </c>
      <c r="D1067" s="2" t="n">
        <f aca="false">IFERROR(__xludf.dummyfunction("""COMPUTED_VALUE"""),106.47)</f>
        <v>106.47</v>
      </c>
      <c r="E1067" s="2" t="n">
        <f aca="false">IFERROR(__xludf.dummyfunction("""COMPUTED_VALUE"""),110.15)</f>
        <v>110.15</v>
      </c>
      <c r="F1067" s="2" t="n">
        <f aca="false">IFERROR(__xludf.dummyfunction("""COMPUTED_VALUE"""),222614034)</f>
        <v>222614034</v>
      </c>
    </row>
    <row r="1068" customFormat="false" ht="15.75" hidden="false" customHeight="false" outlineLevel="0" collapsed="false">
      <c r="A1068" s="3" t="n">
        <f aca="false">IFERROR(__xludf.dummyfunction("""COMPUTED_VALUE"""),45749.6666666667)</f>
        <v>45749.6666666667</v>
      </c>
      <c r="B1068" s="2" t="n">
        <f aca="false">IFERROR(__xludf.dummyfunction("""COMPUTED_VALUE"""),107.29)</f>
        <v>107.29</v>
      </c>
      <c r="C1068" s="2" t="n">
        <f aca="false">IFERROR(__xludf.dummyfunction("""COMPUTED_VALUE"""),111.98)</f>
        <v>111.98</v>
      </c>
      <c r="D1068" s="2" t="n">
        <f aca="false">IFERROR(__xludf.dummyfunction("""COMPUTED_VALUE"""),106.79)</f>
        <v>106.79</v>
      </c>
      <c r="E1068" s="2" t="n">
        <f aca="false">IFERROR(__xludf.dummyfunction("""COMPUTED_VALUE"""),110.42)</f>
        <v>110.42</v>
      </c>
      <c r="F1068" s="2" t="n">
        <f aca="false">IFERROR(__xludf.dummyfunction("""COMPUTED_VALUE"""),220601243)</f>
        <v>220601243</v>
      </c>
    </row>
    <row r="1069" customFormat="false" ht="15.75" hidden="false" customHeight="false" outlineLevel="0" collapsed="false">
      <c r="A1069" s="3" t="n">
        <f aca="false">IFERROR(__xludf.dummyfunction("""COMPUTED_VALUE"""),45750.6666666667)</f>
        <v>45750.6666666667</v>
      </c>
      <c r="B1069" s="2" t="n">
        <f aca="false">IFERROR(__xludf.dummyfunction("""COMPUTED_VALUE"""),103.51)</f>
        <v>103.51</v>
      </c>
      <c r="C1069" s="2" t="n">
        <f aca="false">IFERROR(__xludf.dummyfunction("""COMPUTED_VALUE"""),105.63)</f>
        <v>105.63</v>
      </c>
      <c r="D1069" s="2" t="n">
        <f aca="false">IFERROR(__xludf.dummyfunction("""COMPUTED_VALUE"""),101.6)</f>
        <v>101.6</v>
      </c>
      <c r="E1069" s="2" t="n">
        <f aca="false">IFERROR(__xludf.dummyfunction("""COMPUTED_VALUE"""),101.8)</f>
        <v>101.8</v>
      </c>
      <c r="F1069" s="2" t="n">
        <f aca="false">IFERROR(__xludf.dummyfunction("""COMPUTED_VALUE"""),338769412)</f>
        <v>338769412</v>
      </c>
    </row>
    <row r="1070" customFormat="false" ht="15.75" hidden="false" customHeight="false" outlineLevel="0" collapsed="false">
      <c r="A1070" s="3" t="n">
        <f aca="false">IFERROR(__xludf.dummyfunction("""COMPUTED_VALUE"""),45751.6666666667)</f>
        <v>45751.6666666667</v>
      </c>
      <c r="B1070" s="2" t="n">
        <f aca="false">IFERROR(__xludf.dummyfunction("""COMPUTED_VALUE"""),98.91)</f>
        <v>98.91</v>
      </c>
      <c r="C1070" s="2" t="n">
        <f aca="false">IFERROR(__xludf.dummyfunction("""COMPUTED_VALUE"""),100.13)</f>
        <v>100.13</v>
      </c>
      <c r="D1070" s="2" t="n">
        <f aca="false">IFERROR(__xludf.dummyfunction("""COMPUTED_VALUE"""),92.11)</f>
        <v>92.11</v>
      </c>
      <c r="E1070" s="2" t="n">
        <f aca="false">IFERROR(__xludf.dummyfunction("""COMPUTED_VALUE"""),94.31)</f>
        <v>94.31</v>
      </c>
      <c r="F1070" s="2" t="n">
        <f aca="false">IFERROR(__xludf.dummyfunction("""COMPUTED_VALUE"""),532273810)</f>
        <v>532273810</v>
      </c>
    </row>
    <row r="1071" customFormat="false" ht="15.75" hidden="false" customHeight="false" outlineLevel="0" collapsed="false">
      <c r="A1071" s="3" t="n">
        <f aca="false">IFERROR(__xludf.dummyfunction("""COMPUTED_VALUE"""),45754.6666666667)</f>
        <v>45754.6666666667</v>
      </c>
      <c r="B1071" s="2" t="n">
        <f aca="false">IFERROR(__xludf.dummyfunction("""COMPUTED_VALUE"""),87.46)</f>
        <v>87.46</v>
      </c>
      <c r="C1071" s="2" t="n">
        <f aca="false">IFERROR(__xludf.dummyfunction("""COMPUTED_VALUE"""),101.75)</f>
        <v>101.75</v>
      </c>
      <c r="D1071" s="2" t="n">
        <f aca="false">IFERROR(__xludf.dummyfunction("""COMPUTED_VALUE"""),86.62)</f>
        <v>86.62</v>
      </c>
      <c r="E1071" s="2" t="n">
        <f aca="false">IFERROR(__xludf.dummyfunction("""COMPUTED_VALUE"""),97.64)</f>
        <v>97.64</v>
      </c>
      <c r="F1071" s="2" t="n">
        <f aca="false">IFERROR(__xludf.dummyfunction("""COMPUTED_VALUE"""),611041347)</f>
        <v>611041347</v>
      </c>
    </row>
    <row r="1072" customFormat="false" ht="15.75" hidden="false" customHeight="false" outlineLevel="0" collapsed="false">
      <c r="A1072" s="3" t="n">
        <f aca="false">IFERROR(__xludf.dummyfunction("""COMPUTED_VALUE"""),45755.6666666667)</f>
        <v>45755.6666666667</v>
      </c>
      <c r="B1072" s="2" t="n">
        <f aca="false">IFERROR(__xludf.dummyfunction("""COMPUTED_VALUE"""),103.81)</f>
        <v>103.81</v>
      </c>
      <c r="C1072" s="2" t="n">
        <f aca="false">IFERROR(__xludf.dummyfunction("""COMPUTED_VALUE"""),105.85)</f>
        <v>105.85</v>
      </c>
      <c r="D1072" s="2" t="n">
        <f aca="false">IFERROR(__xludf.dummyfunction("""COMPUTED_VALUE"""),94.46)</f>
        <v>94.46</v>
      </c>
      <c r="E1072" s="2" t="n">
        <f aca="false">IFERROR(__xludf.dummyfunction("""COMPUTED_VALUE"""),96.3)</f>
        <v>96.3</v>
      </c>
      <c r="F1072" s="2" t="n">
        <f aca="false">IFERROR(__xludf.dummyfunction("""COMPUTED_VALUE"""),476243392)</f>
        <v>476243392</v>
      </c>
    </row>
    <row r="1073" customFormat="false" ht="15.75" hidden="false" customHeight="false" outlineLevel="0" collapsed="false">
      <c r="A1073" s="3" t="n">
        <f aca="false">IFERROR(__xludf.dummyfunction("""COMPUTED_VALUE"""),45756.6666666667)</f>
        <v>45756.6666666667</v>
      </c>
      <c r="B1073" s="2" t="n">
        <f aca="false">IFERROR(__xludf.dummyfunction("""COMPUTED_VALUE"""),98.89)</f>
        <v>98.89</v>
      </c>
      <c r="C1073" s="2" t="n">
        <f aca="false">IFERROR(__xludf.dummyfunction("""COMPUTED_VALUE"""),115.1)</f>
        <v>115.1</v>
      </c>
      <c r="D1073" s="2" t="n">
        <f aca="false">IFERROR(__xludf.dummyfunction("""COMPUTED_VALUE"""),97.53)</f>
        <v>97.53</v>
      </c>
      <c r="E1073" s="2" t="n">
        <f aca="false">IFERROR(__xludf.dummyfunction("""COMPUTED_VALUE"""),114.33)</f>
        <v>114.33</v>
      </c>
      <c r="F1073" s="2" t="n">
        <f aca="false">IFERROR(__xludf.dummyfunction("""COMPUTED_VALUE"""),612918336)</f>
        <v>612918336</v>
      </c>
    </row>
    <row r="1074" customFormat="false" ht="15.75" hidden="false" customHeight="false" outlineLevel="0" collapsed="false">
      <c r="A1074" s="3" t="n">
        <f aca="false">IFERROR(__xludf.dummyfunction("""COMPUTED_VALUE"""),45757.6666666667)</f>
        <v>45757.6666666667</v>
      </c>
      <c r="B1074" s="2" t="n">
        <f aca="false">IFERROR(__xludf.dummyfunction("""COMPUTED_VALUE"""),109.37)</f>
        <v>109.37</v>
      </c>
      <c r="C1074" s="2" t="n">
        <f aca="false">IFERROR(__xludf.dummyfunction("""COMPUTED_VALUE"""),110.86)</f>
        <v>110.86</v>
      </c>
      <c r="D1074" s="2" t="n">
        <f aca="false">IFERROR(__xludf.dummyfunction("""COMPUTED_VALUE"""),99.15)</f>
        <v>99.15</v>
      </c>
      <c r="E1074" s="2" t="n">
        <f aca="false">IFERROR(__xludf.dummyfunction("""COMPUTED_VALUE"""),107.57)</f>
        <v>107.57</v>
      </c>
      <c r="F1074" s="2" t="n">
        <f aca="false">IFERROR(__xludf.dummyfunction("""COMPUTED_VALUE"""),437812353)</f>
        <v>437812353</v>
      </c>
    </row>
    <row r="1075" customFormat="false" ht="15.75" hidden="false" customHeight="false" outlineLevel="0" collapsed="false">
      <c r="A1075" s="3" t="n">
        <f aca="false">IFERROR(__xludf.dummyfunction("""COMPUTED_VALUE"""),45758.6666666667)</f>
        <v>45758.6666666667</v>
      </c>
      <c r="B1075" s="2" t="n">
        <f aca="false">IFERROR(__xludf.dummyfunction("""COMPUTED_VALUE"""),108.5)</f>
        <v>108.5</v>
      </c>
      <c r="C1075" s="2" t="n">
        <f aca="false">IFERROR(__xludf.dummyfunction("""COMPUTED_VALUE"""),111.55)</f>
        <v>111.55</v>
      </c>
      <c r="D1075" s="2" t="n">
        <f aca="false">IFERROR(__xludf.dummyfunction("""COMPUTED_VALUE"""),107.48)</f>
        <v>107.48</v>
      </c>
      <c r="E1075" s="2" t="n">
        <f aca="false">IFERROR(__xludf.dummyfunction("""COMPUTED_VALUE"""),110.93)</f>
        <v>110.93</v>
      </c>
      <c r="F1075" s="2" t="n">
        <f aca="false">IFERROR(__xludf.dummyfunction("""COMPUTED_VALUE"""),313417265)</f>
        <v>313417265</v>
      </c>
    </row>
    <row r="1076" customFormat="false" ht="15.75" hidden="false" customHeight="false" outlineLevel="0" collapsed="false">
      <c r="A1076" s="3" t="n">
        <f aca="false">IFERROR(__xludf.dummyfunction("""COMPUTED_VALUE"""),45761.6666666667)</f>
        <v>45761.6666666667</v>
      </c>
      <c r="B1076" s="2" t="n">
        <f aca="false">IFERROR(__xludf.dummyfunction("""COMPUTED_VALUE"""),114.11)</f>
        <v>114.11</v>
      </c>
      <c r="C1076" s="2" t="n">
        <f aca="false">IFERROR(__xludf.dummyfunction("""COMPUTED_VALUE"""),114.29)</f>
        <v>114.29</v>
      </c>
      <c r="D1076" s="2" t="n">
        <f aca="false">IFERROR(__xludf.dummyfunction("""COMPUTED_VALUE"""),109.07)</f>
        <v>109.07</v>
      </c>
      <c r="E1076" s="2" t="n">
        <f aca="false">IFERROR(__xludf.dummyfunction("""COMPUTED_VALUE"""),110.71)</f>
        <v>110.71</v>
      </c>
      <c r="F1076" s="2" t="n">
        <f aca="false">IFERROR(__xludf.dummyfunction("""COMPUTED_VALUE"""),264705049)</f>
        <v>264705049</v>
      </c>
    </row>
    <row r="1077" customFormat="false" ht="15.75" hidden="false" customHeight="false" outlineLevel="0" collapsed="false">
      <c r="A1077" s="3" t="n">
        <f aca="false">IFERROR(__xludf.dummyfunction("""COMPUTED_VALUE"""),45762.6666666667)</f>
        <v>45762.6666666667</v>
      </c>
      <c r="B1077" s="2" t="n">
        <f aca="false">IFERROR(__xludf.dummyfunction("""COMPUTED_VALUE"""),110.97)</f>
        <v>110.97</v>
      </c>
      <c r="C1077" s="2" t="n">
        <f aca="false">IFERROR(__xludf.dummyfunction("""COMPUTED_VALUE"""),113.62)</f>
        <v>113.62</v>
      </c>
      <c r="D1077" s="2" t="n">
        <f aca="false">IFERROR(__xludf.dummyfunction("""COMPUTED_VALUE"""),110.5)</f>
        <v>110.5</v>
      </c>
      <c r="E1077" s="2" t="n">
        <f aca="false">IFERROR(__xludf.dummyfunction("""COMPUTED_VALUE"""),112.2)</f>
        <v>112.2</v>
      </c>
      <c r="F1077" s="2" t="n">
        <f aca="false">IFERROR(__xludf.dummyfunction("""COMPUTED_VALUE"""),228966900)</f>
        <v>228966900</v>
      </c>
    </row>
    <row r="1078" customFormat="false" ht="15.75" hidden="false" customHeight="false" outlineLevel="0" collapsed="false">
      <c r="A1078" s="3" t="n">
        <f aca="false">IFERROR(__xludf.dummyfunction("""COMPUTED_VALUE"""),45763.6666666667)</f>
        <v>45763.6666666667</v>
      </c>
      <c r="B1078" s="2" t="n">
        <f aca="false">IFERROR(__xludf.dummyfunction("""COMPUTED_VALUE"""),104.55)</f>
        <v>104.55</v>
      </c>
      <c r="C1078" s="2" t="n">
        <f aca="false">IFERROR(__xludf.dummyfunction("""COMPUTED_VALUE"""),106.79)</f>
        <v>106.79</v>
      </c>
      <c r="D1078" s="2" t="n">
        <f aca="false">IFERROR(__xludf.dummyfunction("""COMPUTED_VALUE"""),100.45)</f>
        <v>100.45</v>
      </c>
      <c r="E1078" s="2" t="n">
        <f aca="false">IFERROR(__xludf.dummyfunction("""COMPUTED_VALUE"""),104.49)</f>
        <v>104.49</v>
      </c>
      <c r="F1078" s="2" t="n">
        <f aca="false">IFERROR(__xludf.dummyfunction("""COMPUTED_VALUE"""),397016870)</f>
        <v>397016870</v>
      </c>
    </row>
    <row r="1079" customFormat="false" ht="15.75" hidden="false" customHeight="false" outlineLevel="0" collapsed="false">
      <c r="A1079" s="3" t="n">
        <f aca="false">IFERROR(__xludf.dummyfunction("""COMPUTED_VALUE"""),45764.6666666667)</f>
        <v>45764.6666666667</v>
      </c>
      <c r="B1079" s="2" t="n">
        <f aca="false">IFERROR(__xludf.dummyfunction("""COMPUTED_VALUE"""),104.45)</f>
        <v>104.45</v>
      </c>
      <c r="C1079" s="2" t="n">
        <f aca="false">IFERROR(__xludf.dummyfunction("""COMPUTED_VALUE"""),104.47)</f>
        <v>104.47</v>
      </c>
      <c r="D1079" s="2" t="n">
        <f aca="false">IFERROR(__xludf.dummyfunction("""COMPUTED_VALUE"""),100.05)</f>
        <v>100.05</v>
      </c>
      <c r="E1079" s="2" t="n">
        <f aca="false">IFERROR(__xludf.dummyfunction("""COMPUTED_VALUE"""),101.49)</f>
        <v>101.49</v>
      </c>
      <c r="F1079" s="2" t="n">
        <f aca="false">IFERROR(__xludf.dummyfunction("""COMPUTED_VALUE"""),292517465)</f>
        <v>292517465</v>
      </c>
    </row>
    <row r="1080" customFormat="false" ht="15.75" hidden="false" customHeight="false" outlineLevel="0" collapsed="false">
      <c r="A1080" s="3" t="n">
        <f aca="false">IFERROR(__xludf.dummyfunction("""COMPUTED_VALUE"""),45768.6666666667)</f>
        <v>45768.6666666667</v>
      </c>
      <c r="B1080" s="2" t="n">
        <f aca="false">IFERROR(__xludf.dummyfunction("""COMPUTED_VALUE"""),98.77)</f>
        <v>98.77</v>
      </c>
      <c r="C1080" s="2" t="n">
        <f aca="false">IFERROR(__xludf.dummyfunction("""COMPUTED_VALUE"""),99.44)</f>
        <v>99.44</v>
      </c>
      <c r="D1080" s="2" t="n">
        <f aca="false">IFERROR(__xludf.dummyfunction("""COMPUTED_VALUE"""),95.04)</f>
        <v>95.04</v>
      </c>
      <c r="E1080" s="2" t="n">
        <f aca="false">IFERROR(__xludf.dummyfunction("""COMPUTED_VALUE"""),96.91)</f>
        <v>96.91</v>
      </c>
      <c r="F1080" s="2" t="n">
        <f aca="false">IFERROR(__xludf.dummyfunction("""COMPUTED_VALUE"""),288501136)</f>
        <v>288501136</v>
      </c>
    </row>
    <row r="1081" customFormat="false" ht="15.75" hidden="false" customHeight="false" outlineLevel="0" collapsed="false">
      <c r="A1081" s="3" t="n">
        <f aca="false">IFERROR(__xludf.dummyfunction("""COMPUTED_VALUE"""),45769.6666666667)</f>
        <v>45769.6666666667</v>
      </c>
      <c r="B1081" s="2" t="n">
        <f aca="false">IFERROR(__xludf.dummyfunction("""COMPUTED_VALUE"""),98.78)</f>
        <v>98.78</v>
      </c>
      <c r="C1081" s="2" t="n">
        <f aca="false">IFERROR(__xludf.dummyfunction("""COMPUTED_VALUE"""),99.81)</f>
        <v>99.81</v>
      </c>
      <c r="D1081" s="2" t="n">
        <f aca="false">IFERROR(__xludf.dummyfunction("""COMPUTED_VALUE"""),97.28)</f>
        <v>97.28</v>
      </c>
      <c r="E1081" s="2" t="n">
        <f aca="false">IFERROR(__xludf.dummyfunction("""COMPUTED_VALUE"""),98.89)</f>
        <v>98.89</v>
      </c>
      <c r="F1081" s="2" t="n">
        <f aca="false">IFERROR(__xludf.dummyfunction("""COMPUTED_VALUE"""),241004784)</f>
        <v>241004784</v>
      </c>
    </row>
    <row r="1082" customFormat="false" ht="15.75" hidden="false" customHeight="false" outlineLevel="0" collapsed="false">
      <c r="A1082" s="3" t="n">
        <f aca="false">IFERROR(__xludf.dummyfunction("""COMPUTED_VALUE"""),45770.6666666667)</f>
        <v>45770.6666666667</v>
      </c>
      <c r="B1082" s="2" t="n">
        <f aca="false">IFERROR(__xludf.dummyfunction("""COMPUTED_VALUE"""),104.52)</f>
        <v>104.52</v>
      </c>
      <c r="C1082" s="2" t="n">
        <f aca="false">IFERROR(__xludf.dummyfunction("""COMPUTED_VALUE"""),104.8)</f>
        <v>104.8</v>
      </c>
      <c r="D1082" s="2" t="n">
        <f aca="false">IFERROR(__xludf.dummyfunction("""COMPUTED_VALUE"""),102.02)</f>
        <v>102.02</v>
      </c>
      <c r="E1082" s="2" t="n">
        <f aca="false">IFERROR(__xludf.dummyfunction("""COMPUTED_VALUE"""),102.71)</f>
        <v>102.71</v>
      </c>
      <c r="F1082" s="2" t="n">
        <f aca="false">IFERROR(__xludf.dummyfunction("""COMPUTED_VALUE"""),247525971)</f>
        <v>247525971</v>
      </c>
    </row>
    <row r="1083" customFormat="false" ht="15.75" hidden="false" customHeight="false" outlineLevel="0" collapsed="false">
      <c r="A1083" s="3" t="n">
        <f aca="false">IFERROR(__xludf.dummyfunction("""COMPUTED_VALUE"""),45771.6666666667)</f>
        <v>45771.6666666667</v>
      </c>
      <c r="B1083" s="2" t="n">
        <f aca="false">IFERROR(__xludf.dummyfunction("""COMPUTED_VALUE"""),103.48)</f>
        <v>103.48</v>
      </c>
      <c r="C1083" s="2" t="n">
        <f aca="false">IFERROR(__xludf.dummyfunction("""COMPUTED_VALUE"""),106.54)</f>
        <v>106.54</v>
      </c>
      <c r="D1083" s="2" t="n">
        <f aca="false">IFERROR(__xludf.dummyfunction("""COMPUTED_VALUE"""),103.11)</f>
        <v>103.11</v>
      </c>
      <c r="E1083" s="2" t="n">
        <f aca="false">IFERROR(__xludf.dummyfunction("""COMPUTED_VALUE"""),106.43)</f>
        <v>106.43</v>
      </c>
      <c r="F1083" s="2" t="n">
        <f aca="false">IFERROR(__xludf.dummyfunction("""COMPUTED_VALUE"""),220815041)</f>
        <v>220815041</v>
      </c>
    </row>
    <row r="1084" customFormat="false" ht="15.75" hidden="false" customHeight="false" outlineLevel="0" collapsed="false">
      <c r="A1084" s="3" t="n">
        <f aca="false">IFERROR(__xludf.dummyfunction("""COMPUTED_VALUE"""),45772.6666666667)</f>
        <v>45772.6666666667</v>
      </c>
      <c r="B1084" s="2" t="n">
        <f aca="false">IFERROR(__xludf.dummyfunction("""COMPUTED_VALUE"""),106.85)</f>
        <v>106.85</v>
      </c>
      <c r="C1084" s="2" t="n">
        <f aca="false">IFERROR(__xludf.dummyfunction("""COMPUTED_VALUE"""),111.92)</f>
        <v>111.92</v>
      </c>
      <c r="D1084" s="2" t="n">
        <f aca="false">IFERROR(__xludf.dummyfunction("""COMPUTED_VALUE"""),105.73)</f>
        <v>105.73</v>
      </c>
      <c r="E1084" s="2" t="n">
        <f aca="false">IFERROR(__xludf.dummyfunction("""COMPUTED_VALUE"""),111.01)</f>
        <v>111.01</v>
      </c>
      <c r="F1084" s="2" t="n">
        <f aca="false">IFERROR(__xludf.dummyfunction("""COMPUTED_VALUE"""),251064672)</f>
        <v>251064672</v>
      </c>
    </row>
    <row r="1085" customFormat="false" ht="15.75" hidden="false" customHeight="false" outlineLevel="0" collapsed="false">
      <c r="A1085" s="3" t="n">
        <f aca="false">IFERROR(__xludf.dummyfunction("""COMPUTED_VALUE"""),45775.6666666667)</f>
        <v>45775.6666666667</v>
      </c>
      <c r="B1085" s="2" t="n">
        <f aca="false">IFERROR(__xludf.dummyfunction("""COMPUTED_VALUE"""),109.69)</f>
        <v>109.69</v>
      </c>
      <c r="C1085" s="2" t="n">
        <f aca="false">IFERROR(__xludf.dummyfunction("""COMPUTED_VALUE"""),110.37)</f>
        <v>110.37</v>
      </c>
      <c r="D1085" s="2" t="n">
        <f aca="false">IFERROR(__xludf.dummyfunction("""COMPUTED_VALUE"""),106.02)</f>
        <v>106.02</v>
      </c>
      <c r="E1085" s="2" t="n">
        <f aca="false">IFERROR(__xludf.dummyfunction("""COMPUTED_VALUE"""),108.73)</f>
        <v>108.73</v>
      </c>
      <c r="F1085" s="2" t="n">
        <f aca="false">IFERROR(__xludf.dummyfunction("""COMPUTED_VALUE"""),207708479)</f>
        <v>207708479</v>
      </c>
    </row>
    <row r="1086" customFormat="false" ht="15.75" hidden="false" customHeight="false" outlineLevel="0" collapsed="false">
      <c r="A1086" s="3" t="n">
        <f aca="false">IFERROR(__xludf.dummyfunction("""COMPUTED_VALUE"""),45776.6666666667)</f>
        <v>45776.6666666667</v>
      </c>
      <c r="B1086" s="2" t="n">
        <f aca="false">IFERROR(__xludf.dummyfunction("""COMPUTED_VALUE"""),107.67)</f>
        <v>107.67</v>
      </c>
      <c r="C1086" s="2" t="n">
        <f aca="false">IFERROR(__xludf.dummyfunction("""COMPUTED_VALUE"""),110.2)</f>
        <v>110.2</v>
      </c>
      <c r="D1086" s="2" t="n">
        <f aca="false">IFERROR(__xludf.dummyfunction("""COMPUTED_VALUE"""),107.44)</f>
        <v>107.44</v>
      </c>
      <c r="E1086" s="2" t="n">
        <f aca="false">IFERROR(__xludf.dummyfunction("""COMPUTED_VALUE"""),109.02)</f>
        <v>109.02</v>
      </c>
      <c r="F1086" s="2" t="n">
        <f aca="false">IFERROR(__xludf.dummyfunction("""COMPUTED_VALUE"""),170444263)</f>
        <v>170444263</v>
      </c>
    </row>
    <row r="1087" customFormat="false" ht="15.75" hidden="false" customHeight="false" outlineLevel="0" collapsed="false">
      <c r="A1087" s="3" t="n">
        <f aca="false">IFERROR(__xludf.dummyfunction("""COMPUTED_VALUE"""),45777.6666666667)</f>
        <v>45777.6666666667</v>
      </c>
      <c r="B1087" s="2" t="n">
        <f aca="false">IFERROR(__xludf.dummyfunction("""COMPUTED_VALUE"""),104.47)</f>
        <v>104.47</v>
      </c>
      <c r="C1087" s="2" t="n">
        <f aca="false">IFERROR(__xludf.dummyfunction("""COMPUTED_VALUE"""),108.92)</f>
        <v>108.92</v>
      </c>
      <c r="D1087" s="2" t="n">
        <f aca="false">IFERROR(__xludf.dummyfunction("""COMPUTED_VALUE"""),104.08)</f>
        <v>104.08</v>
      </c>
      <c r="E1087" s="2" t="n">
        <f aca="false">IFERROR(__xludf.dummyfunction("""COMPUTED_VALUE"""),108.92)</f>
        <v>108.92</v>
      </c>
      <c r="F1087" s="2" t="n">
        <f aca="false">IFERROR(__xludf.dummyfunction("""COMPUTED_VALUE"""),235044611)</f>
        <v>235044611</v>
      </c>
    </row>
    <row r="1088" customFormat="false" ht="15.75" hidden="false" customHeight="false" outlineLevel="0" collapsed="false">
      <c r="A1088" s="3" t="n">
        <f aca="false">IFERROR(__xludf.dummyfunction("""COMPUTED_VALUE"""),45778.6666666667)</f>
        <v>45778.6666666667</v>
      </c>
      <c r="B1088" s="2" t="n">
        <f aca="false">IFERROR(__xludf.dummyfunction("""COMPUTED_VALUE"""),113.08)</f>
        <v>113.08</v>
      </c>
      <c r="C1088" s="2" t="n">
        <f aca="false">IFERROR(__xludf.dummyfunction("""COMPUTED_VALUE"""),114.94)</f>
        <v>114.94</v>
      </c>
      <c r="D1088" s="2" t="n">
        <f aca="false">IFERROR(__xludf.dummyfunction("""COMPUTED_VALUE"""),111.3)</f>
        <v>111.3</v>
      </c>
      <c r="E1088" s="2" t="n">
        <f aca="false">IFERROR(__xludf.dummyfunction("""COMPUTED_VALUE"""),111.61)</f>
        <v>111.61</v>
      </c>
      <c r="F1088" s="2" t="n">
        <f aca="false">IFERROR(__xludf.dummyfunction("""COMPUTED_VALUE"""),236121507)</f>
        <v>236121507</v>
      </c>
    </row>
    <row r="1089" customFormat="false" ht="15.75" hidden="false" customHeight="false" outlineLevel="0" collapsed="false">
      <c r="A1089" s="3" t="n">
        <f aca="false">IFERROR(__xludf.dummyfunction("""COMPUTED_VALUE"""),45779.6666666667)</f>
        <v>45779.6666666667</v>
      </c>
      <c r="B1089" s="2" t="n">
        <f aca="false">IFERROR(__xludf.dummyfunction("""COMPUTED_VALUE"""),114.18)</f>
        <v>114.18</v>
      </c>
      <c r="C1089" s="2" t="n">
        <f aca="false">IFERROR(__xludf.dummyfunction("""COMPUTED_VALUE"""),115.4)</f>
        <v>115.4</v>
      </c>
      <c r="D1089" s="2" t="n">
        <f aca="false">IFERROR(__xludf.dummyfunction("""COMPUTED_VALUE"""),113.37)</f>
        <v>113.37</v>
      </c>
      <c r="E1089" s="2" t="n">
        <f aca="false">IFERROR(__xludf.dummyfunction("""COMPUTED_VALUE"""),114.5)</f>
        <v>114.5</v>
      </c>
      <c r="F1089" s="2" t="n">
        <f aca="false">IFERROR(__xludf.dummyfunction("""COMPUTED_VALUE"""),190194778)</f>
        <v>190194778</v>
      </c>
    </row>
    <row r="1090" customFormat="false" ht="15.75" hidden="false" customHeight="false" outlineLevel="0" collapsed="false">
      <c r="A1090" s="3" t="n">
        <f aca="false">IFERROR(__xludf.dummyfunction("""COMPUTED_VALUE"""),45782.6666666667)</f>
        <v>45782.6666666667</v>
      </c>
      <c r="B1090" s="2" t="n">
        <f aca="false">IFERROR(__xludf.dummyfunction("""COMPUTED_VALUE"""),112.91)</f>
        <v>112.91</v>
      </c>
      <c r="C1090" s="2" t="n">
        <f aca="false">IFERROR(__xludf.dummyfunction("""COMPUTED_VALUE"""),114.67)</f>
        <v>114.67</v>
      </c>
      <c r="D1090" s="2" t="n">
        <f aca="false">IFERROR(__xludf.dummyfunction("""COMPUTED_VALUE"""),112.66)</f>
        <v>112.66</v>
      </c>
      <c r="E1090" s="2" t="n">
        <f aca="false">IFERROR(__xludf.dummyfunction("""COMPUTED_VALUE"""),113.82)</f>
        <v>113.82</v>
      </c>
      <c r="F1090" s="2" t="n">
        <f aca="false">IFERROR(__xludf.dummyfunction("""COMPUTED_VALUE"""),133163241)</f>
        <v>133163241</v>
      </c>
    </row>
    <row r="1091" customFormat="false" ht="15.75" hidden="false" customHeight="false" outlineLevel="0" collapsed="false">
      <c r="A1091" s="3" t="n">
        <f aca="false">IFERROR(__xludf.dummyfunction("""COMPUTED_VALUE"""),45783.6666666667)</f>
        <v>45783.6666666667</v>
      </c>
      <c r="B1091" s="2" t="n">
        <f aca="false">IFERROR(__xludf.dummyfunction("""COMPUTED_VALUE"""),111.48)</f>
        <v>111.48</v>
      </c>
      <c r="C1091" s="2" t="n">
        <f aca="false">IFERROR(__xludf.dummyfunction("""COMPUTED_VALUE"""),114.74)</f>
        <v>114.74</v>
      </c>
      <c r="D1091" s="2" t="n">
        <f aca="false">IFERROR(__xludf.dummyfunction("""COMPUTED_VALUE"""),110.82)</f>
        <v>110.82</v>
      </c>
      <c r="E1091" s="2" t="n">
        <f aca="false">IFERROR(__xludf.dummyfunction("""COMPUTED_VALUE"""),113.54)</f>
        <v>113.54</v>
      </c>
      <c r="F1091" s="2" t="n">
        <f aca="false">IFERROR(__xludf.dummyfunction("""COMPUTED_VALUE"""),158525621)</f>
        <v>158525621</v>
      </c>
    </row>
    <row r="1092" customFormat="false" ht="15.75" hidden="false" customHeight="false" outlineLevel="0" collapsed="false">
      <c r="A1092" s="3" t="n">
        <f aca="false">IFERROR(__xludf.dummyfunction("""COMPUTED_VALUE"""),45784.6666666667)</f>
        <v>45784.6666666667</v>
      </c>
      <c r="B1092" s="2" t="n">
        <f aca="false">IFERROR(__xludf.dummyfunction("""COMPUTED_VALUE"""),113.05)</f>
        <v>113.05</v>
      </c>
      <c r="C1092" s="2" t="n">
        <f aca="false">IFERROR(__xludf.dummyfunction("""COMPUTED_VALUE"""),117.68)</f>
        <v>117.68</v>
      </c>
      <c r="D1092" s="2" t="n">
        <f aca="false">IFERROR(__xludf.dummyfunction("""COMPUTED_VALUE"""),112.28)</f>
        <v>112.28</v>
      </c>
      <c r="E1092" s="2" t="n">
        <f aca="false">IFERROR(__xludf.dummyfunction("""COMPUTED_VALUE"""),117.06)</f>
        <v>117.06</v>
      </c>
      <c r="F1092" s="2" t="n">
        <f aca="false">IFERROR(__xludf.dummyfunction("""COMPUTED_VALUE"""),207827821)</f>
        <v>207827821</v>
      </c>
    </row>
    <row r="1093" customFormat="false" ht="15.75" hidden="false" customHeight="false" outlineLevel="0" collapsed="false">
      <c r="A1093" s="3" t="n">
        <f aca="false">IFERROR(__xludf.dummyfunction("""COMPUTED_VALUE"""),45785.6666666667)</f>
        <v>45785.6666666667</v>
      </c>
      <c r="B1093" s="2" t="n">
        <f aca="false">IFERROR(__xludf.dummyfunction("""COMPUTED_VALUE"""),118.25)</f>
        <v>118.25</v>
      </c>
      <c r="C1093" s="2" t="n">
        <f aca="false">IFERROR(__xludf.dummyfunction("""COMPUTED_VALUE"""),118.68)</f>
        <v>118.68</v>
      </c>
      <c r="D1093" s="2" t="n">
        <f aca="false">IFERROR(__xludf.dummyfunction("""COMPUTED_VALUE"""),115.85)</f>
        <v>115.85</v>
      </c>
      <c r="E1093" s="2" t="n">
        <f aca="false">IFERROR(__xludf.dummyfunction("""COMPUTED_VALUE"""),117.37)</f>
        <v>117.37</v>
      </c>
      <c r="F1093" s="2" t="n">
        <f aca="false">IFERROR(__xludf.dummyfunction("""COMPUTED_VALUE"""),198428122)</f>
        <v>198428122</v>
      </c>
    </row>
    <row r="1094" customFormat="false" ht="15.75" hidden="false" customHeight="false" outlineLevel="0" collapsed="false">
      <c r="A1094" s="3" t="n">
        <f aca="false">IFERROR(__xludf.dummyfunction("""COMPUTED_VALUE"""),45786.6666666667)</f>
        <v>45786.6666666667</v>
      </c>
      <c r="B1094" s="2" t="n">
        <f aca="false">IFERROR(__xludf.dummyfunction("""COMPUTED_VALUE"""),117.35)</f>
        <v>117.35</v>
      </c>
      <c r="C1094" s="2" t="n">
        <f aca="false">IFERROR(__xludf.dummyfunction("""COMPUTED_VALUE"""),118.23)</f>
        <v>118.23</v>
      </c>
      <c r="D1094" s="2" t="n">
        <f aca="false">IFERROR(__xludf.dummyfunction("""COMPUTED_VALUE"""),115.21)</f>
        <v>115.21</v>
      </c>
      <c r="E1094" s="2" t="n">
        <f aca="false">IFERROR(__xludf.dummyfunction("""COMPUTED_VALUE"""),116.65)</f>
        <v>116.65</v>
      </c>
      <c r="F1094" s="2" t="n">
        <f aca="false">IFERROR(__xludf.dummyfunction("""COMPUTED_VALUE"""),132972189)</f>
        <v>132972189</v>
      </c>
    </row>
    <row r="1095" customFormat="false" ht="15.75" hidden="false" customHeight="false" outlineLevel="0" collapsed="false">
      <c r="A1095" s="3" t="n">
        <f aca="false">IFERROR(__xludf.dummyfunction("""COMPUTED_VALUE"""),45789.6666666667)</f>
        <v>45789.6666666667</v>
      </c>
      <c r="B1095" s="2" t="n">
        <f aca="false">IFERROR(__xludf.dummyfunction("""COMPUTED_VALUE"""),121.97)</f>
        <v>121.97</v>
      </c>
      <c r="C1095" s="2" t="n">
        <f aca="false">IFERROR(__xludf.dummyfunction("""COMPUTED_VALUE"""),123)</f>
        <v>123</v>
      </c>
      <c r="D1095" s="2" t="n">
        <f aca="false">IFERROR(__xludf.dummyfunction("""COMPUTED_VALUE"""),120.28)</f>
        <v>120.28</v>
      </c>
      <c r="E1095" s="2" t="n">
        <f aca="false">IFERROR(__xludf.dummyfunction("""COMPUTED_VALUE"""),123)</f>
        <v>123</v>
      </c>
      <c r="F1095" s="2" t="n">
        <f aca="false">IFERROR(__xludf.dummyfunction("""COMPUTED_VALUE"""),225023345)</f>
        <v>225023345</v>
      </c>
    </row>
    <row r="1096" customFormat="false" ht="15.75" hidden="false" customHeight="false" outlineLevel="0" collapsed="false">
      <c r="A1096" s="3" t="n">
        <f aca="false">IFERROR(__xludf.dummyfunction("""COMPUTED_VALUE"""),45790.6666666667)</f>
        <v>45790.6666666667</v>
      </c>
      <c r="B1096" s="2" t="n">
        <f aca="false">IFERROR(__xludf.dummyfunction("""COMPUTED_VALUE"""),124.98)</f>
        <v>124.98</v>
      </c>
      <c r="C1096" s="2" t="n">
        <f aca="false">IFERROR(__xludf.dummyfunction("""COMPUTED_VALUE"""),131.22)</f>
        <v>131.22</v>
      </c>
      <c r="D1096" s="2" t="n">
        <f aca="false">IFERROR(__xludf.dummyfunction("""COMPUTED_VALUE"""),124.47)</f>
        <v>124.47</v>
      </c>
      <c r="E1096" s="2" t="n">
        <f aca="false">IFERROR(__xludf.dummyfunction("""COMPUTED_VALUE"""),129.93)</f>
        <v>129.93</v>
      </c>
      <c r="F1096" s="2" t="n">
        <f aca="false">IFERROR(__xludf.dummyfunction("""COMPUTED_VALUE"""),330430105)</f>
        <v>330430105</v>
      </c>
    </row>
    <row r="1097" customFormat="false" ht="15.75" hidden="false" customHeight="false" outlineLevel="0" collapsed="false">
      <c r="A1097" s="3" t="n">
        <f aca="false">IFERROR(__xludf.dummyfunction("""COMPUTED_VALUE"""),45791.6666666667)</f>
        <v>45791.6666666667</v>
      </c>
      <c r="B1097" s="2" t="n">
        <f aca="false">IFERROR(__xludf.dummyfunction("""COMPUTED_VALUE"""),133.2)</f>
        <v>133.2</v>
      </c>
      <c r="C1097" s="2" t="n">
        <f aca="false">IFERROR(__xludf.dummyfunction("""COMPUTED_VALUE"""),135.44)</f>
        <v>135.44</v>
      </c>
      <c r="D1097" s="2" t="n">
        <f aca="false">IFERROR(__xludf.dummyfunction("""COMPUTED_VALUE"""),131.68)</f>
        <v>131.68</v>
      </c>
      <c r="E1097" s="2" t="n">
        <f aca="false">IFERROR(__xludf.dummyfunction("""COMPUTED_VALUE"""),135.34)</f>
        <v>135.34</v>
      </c>
      <c r="F1097" s="2" t="n">
        <f aca="false">IFERROR(__xludf.dummyfunction("""COMPUTED_VALUE"""),281180830)</f>
        <v>281180830</v>
      </c>
    </row>
    <row r="1098" customFormat="false" ht="15.75" hidden="false" customHeight="false" outlineLevel="0" collapsed="false">
      <c r="A1098" s="3" t="n">
        <f aca="false">IFERROR(__xludf.dummyfunction("""COMPUTED_VALUE"""),45792.6666666667)</f>
        <v>45792.6666666667</v>
      </c>
      <c r="B1098" s="2" t="n">
        <f aca="false">IFERROR(__xludf.dummyfunction("""COMPUTED_VALUE"""),134.29)</f>
        <v>134.29</v>
      </c>
      <c r="C1098" s="2" t="n">
        <f aca="false">IFERROR(__xludf.dummyfunction("""COMPUTED_VALUE"""),136.3)</f>
        <v>136.3</v>
      </c>
      <c r="D1098" s="2" t="n">
        <f aca="false">IFERROR(__xludf.dummyfunction("""COMPUTED_VALUE"""),132.66)</f>
        <v>132.66</v>
      </c>
      <c r="E1098" s="2" t="n">
        <f aca="false">IFERROR(__xludf.dummyfunction("""COMPUTED_VALUE"""),134.83)</f>
        <v>134.83</v>
      </c>
      <c r="F1098" s="2" t="n">
        <f aca="false">IFERROR(__xludf.dummyfunction("""COMPUTED_VALUE"""),226632563)</f>
        <v>226632563</v>
      </c>
    </row>
    <row r="1099" customFormat="false" ht="15.75" hidden="false" customHeight="false" outlineLevel="0" collapsed="false">
      <c r="A1099" s="3" t="n">
        <f aca="false">IFERROR(__xludf.dummyfunction("""COMPUTED_VALUE"""),45793.6666666667)</f>
        <v>45793.6666666667</v>
      </c>
      <c r="B1099" s="2" t="n">
        <f aca="false">IFERROR(__xludf.dummyfunction("""COMPUTED_VALUE"""),136.22)</f>
        <v>136.22</v>
      </c>
      <c r="C1099" s="2" t="n">
        <f aca="false">IFERROR(__xludf.dummyfunction("""COMPUTED_VALUE"""),136.35)</f>
        <v>136.35</v>
      </c>
      <c r="D1099" s="2" t="n">
        <f aca="false">IFERROR(__xludf.dummyfunction("""COMPUTED_VALUE"""),133.46)</f>
        <v>133.46</v>
      </c>
      <c r="E1099" s="2" t="n">
        <f aca="false">IFERROR(__xludf.dummyfunction("""COMPUTED_VALUE"""),135.4)</f>
        <v>135.4</v>
      </c>
      <c r="F1099" s="2" t="n">
        <f aca="false">IFERROR(__xludf.dummyfunction("""COMPUTED_VALUE"""),226542451)</f>
        <v>226542451</v>
      </c>
    </row>
    <row r="1100" customFormat="false" ht="15.75" hidden="false" customHeight="false" outlineLevel="0" collapsed="false">
      <c r="A1100" s="3" t="n">
        <f aca="false">IFERROR(__xludf.dummyfunction("""COMPUTED_VALUE"""),45796.6666666667)</f>
        <v>45796.6666666667</v>
      </c>
      <c r="B1100" s="2" t="n">
        <f aca="false">IFERROR(__xludf.dummyfunction("""COMPUTED_VALUE"""),132.39)</f>
        <v>132.39</v>
      </c>
      <c r="C1100" s="2" t="n">
        <f aca="false">IFERROR(__xludf.dummyfunction("""COMPUTED_VALUE"""),135.87)</f>
        <v>135.87</v>
      </c>
      <c r="D1100" s="2" t="n">
        <f aca="false">IFERROR(__xludf.dummyfunction("""COMPUTED_VALUE"""),132.39)</f>
        <v>132.39</v>
      </c>
      <c r="E1100" s="2" t="n">
        <f aca="false">IFERROR(__xludf.dummyfunction("""COMPUTED_VALUE"""),135.57)</f>
        <v>135.57</v>
      </c>
      <c r="F1100" s="2" t="n">
        <f aca="false">IFERROR(__xludf.dummyfunction("""COMPUTED_VALUE"""),193154571)</f>
        <v>193154571</v>
      </c>
    </row>
    <row r="1101" customFormat="false" ht="15.75" hidden="false" customHeight="false" outlineLevel="0" collapsed="false">
      <c r="A1101" s="3" t="n">
        <f aca="false">IFERROR(__xludf.dummyfunction("""COMPUTED_VALUE"""),45797.6666666667)</f>
        <v>45797.6666666667</v>
      </c>
      <c r="B1101" s="2" t="n">
        <f aca="false">IFERROR(__xludf.dummyfunction("""COMPUTED_VALUE"""),134.29)</f>
        <v>134.29</v>
      </c>
      <c r="C1101" s="2" t="n">
        <f aca="false">IFERROR(__xludf.dummyfunction("""COMPUTED_VALUE"""),134.58)</f>
        <v>134.58</v>
      </c>
      <c r="D1101" s="2" t="n">
        <f aca="false">IFERROR(__xludf.dummyfunction("""COMPUTED_VALUE"""),132.62)</f>
        <v>132.62</v>
      </c>
      <c r="E1101" s="2" t="n">
        <f aca="false">IFERROR(__xludf.dummyfunction("""COMPUTED_VALUE"""),134.38)</f>
        <v>134.38</v>
      </c>
      <c r="F1101" s="2" t="n">
        <f aca="false">IFERROR(__xludf.dummyfunction("""COMPUTED_VALUE"""),161514247)</f>
        <v>161514247</v>
      </c>
    </row>
    <row r="1102" customFormat="false" ht="15.75" hidden="false" customHeight="false" outlineLevel="0" collapsed="false">
      <c r="A1102" s="3" t="n">
        <f aca="false">IFERROR(__xludf.dummyfunction("""COMPUTED_VALUE"""),45798.6666666667)</f>
        <v>45798.6666666667</v>
      </c>
      <c r="B1102" s="2" t="n">
        <f aca="false">IFERROR(__xludf.dummyfunction("""COMPUTED_VALUE"""),133.06)</f>
        <v>133.06</v>
      </c>
      <c r="C1102" s="2" t="n">
        <f aca="false">IFERROR(__xludf.dummyfunction("""COMPUTED_VALUE"""),137.4)</f>
        <v>137.4</v>
      </c>
      <c r="D1102" s="2" t="n">
        <f aca="false">IFERROR(__xludf.dummyfunction("""COMPUTED_VALUE"""),130.59)</f>
        <v>130.59</v>
      </c>
      <c r="E1102" s="2" t="n">
        <f aca="false">IFERROR(__xludf.dummyfunction("""COMPUTED_VALUE"""),131.8)</f>
        <v>131.8</v>
      </c>
      <c r="F1102" s="2" t="n">
        <f aca="false">IFERROR(__xludf.dummyfunction("""COMPUTED_VALUE"""),270608738)</f>
        <v>270608738</v>
      </c>
    </row>
    <row r="1103" customFormat="false" ht="15.75" hidden="false" customHeight="false" outlineLevel="0" collapsed="false">
      <c r="A1103" s="3" t="n">
        <f aca="false">IFERROR(__xludf.dummyfunction("""COMPUTED_VALUE"""),45799.6666666667)</f>
        <v>45799.6666666667</v>
      </c>
      <c r="B1103" s="2" t="n">
        <f aca="false">IFERROR(__xludf.dummyfunction("""COMPUTED_VALUE"""),133.06)</f>
        <v>133.06</v>
      </c>
      <c r="C1103" s="2" t="n">
        <f aca="false">IFERROR(__xludf.dummyfunction("""COMPUTED_VALUE"""),137.4)</f>
        <v>137.4</v>
      </c>
      <c r="D1103" s="2" t="n">
        <f aca="false">IFERROR(__xludf.dummyfunction("""COMPUTED_VALUE"""),130.59)</f>
        <v>130.59</v>
      </c>
      <c r="E1103" s="2" t="n">
        <f aca="false">IFERROR(__xludf.dummyfunction("""COMPUTED_VALUE"""),131.8)</f>
        <v>131.8</v>
      </c>
      <c r="F1103" s="2" t="n">
        <f aca="false">IFERROR(__xludf.dummyfunction("""COMPUTED_VALUE"""),7196599)</f>
        <v>7196599</v>
      </c>
    </row>
    <row r="1104" customFormat="false" ht="15.75" hidden="false" customHeight="false" outlineLevel="0" collapsed="false">
      <c r="A1104" s="3" t="n">
        <f aca="false">IFERROR(__xludf.dummyfunction("""COMPUTED_VALUE"""),45800.6666666667)</f>
        <v>45800.6666666667</v>
      </c>
      <c r="B1104" s="2" t="n">
        <f aca="false">IFERROR(__xludf.dummyfunction("""COMPUTED_VALUE"""),130)</f>
        <v>130</v>
      </c>
      <c r="C1104" s="2" t="n">
        <f aca="false">IFERROR(__xludf.dummyfunction("""COMPUTED_VALUE"""),132.68)</f>
        <v>132.68</v>
      </c>
      <c r="D1104" s="2" t="n">
        <f aca="false">IFERROR(__xludf.dummyfunction("""COMPUTED_VALUE"""),129.16)</f>
        <v>129.16</v>
      </c>
      <c r="E1104" s="2" t="n">
        <f aca="false">IFERROR(__xludf.dummyfunction("""COMPUTED_VALUE"""),131.29)</f>
        <v>131.29</v>
      </c>
      <c r="F1104" s="2" t="n">
        <f aca="false">IFERROR(__xludf.dummyfunction("""COMPUTED_VALUE"""),198821324)</f>
        <v>198821324</v>
      </c>
    </row>
    <row r="1105" customFormat="false" ht="15.75" hidden="false" customHeight="false" outlineLevel="0" collapsed="false">
      <c r="A1105" s="3" t="n">
        <f aca="false">IFERROR(__xludf.dummyfunction("""COMPUTED_VALUE"""),45804.6666666667)</f>
        <v>45804.6666666667</v>
      </c>
      <c r="B1105" s="2" t="n">
        <f aca="false">IFERROR(__xludf.dummyfunction("""COMPUTED_VALUE"""),134.15)</f>
        <v>134.15</v>
      </c>
      <c r="C1105" s="2" t="n">
        <f aca="false">IFERROR(__xludf.dummyfunction("""COMPUTED_VALUE"""),135.66)</f>
        <v>135.66</v>
      </c>
      <c r="D1105" s="2" t="n">
        <f aca="false">IFERROR(__xludf.dummyfunction("""COMPUTED_VALUE"""),133.31)</f>
        <v>133.31</v>
      </c>
      <c r="E1105" s="2" t="n">
        <f aca="false">IFERROR(__xludf.dummyfunction("""COMPUTED_VALUE"""),135.5)</f>
        <v>135.5</v>
      </c>
      <c r="F1105" s="2" t="n">
        <f aca="false">IFERROR(__xludf.dummyfunction("""COMPUTED_VALUE"""),192953613)</f>
        <v>192953613</v>
      </c>
    </row>
    <row r="1106" customFormat="false" ht="15.75" hidden="false" customHeight="false" outlineLevel="0" collapsed="false">
      <c r="A1106" s="3" t="n">
        <f aca="false">IFERROR(__xludf.dummyfunction("""COMPUTED_VALUE"""),45805.6666666667)</f>
        <v>45805.6666666667</v>
      </c>
      <c r="B1106" s="2" t="n">
        <f aca="false">IFERROR(__xludf.dummyfunction("""COMPUTED_VALUE"""),136.03)</f>
        <v>136.03</v>
      </c>
      <c r="C1106" s="2" t="n">
        <f aca="false">IFERROR(__xludf.dummyfunction("""COMPUTED_VALUE"""),137.25)</f>
        <v>137.25</v>
      </c>
      <c r="D1106" s="2" t="n">
        <f aca="false">IFERROR(__xludf.dummyfunction("""COMPUTED_VALUE"""),134.79)</f>
        <v>134.79</v>
      </c>
      <c r="E1106" s="2" t="n">
        <f aca="false">IFERROR(__xludf.dummyfunction("""COMPUTED_VALUE"""),134.81)</f>
        <v>134.81</v>
      </c>
      <c r="F1106" s="2" t="n">
        <f aca="false">IFERROR(__xludf.dummyfunction("""COMPUTED_VALUE"""),304021146)</f>
        <v>304021146</v>
      </c>
    </row>
    <row r="1107" customFormat="false" ht="15.75" hidden="false" customHeight="false" outlineLevel="0" collapsed="false">
      <c r="A1107" s="3" t="n">
        <f aca="false">IFERROR(__xludf.dummyfunction("""COMPUTED_VALUE"""),45806.6666666667)</f>
        <v>45806.6666666667</v>
      </c>
      <c r="B1107" s="2" t="n">
        <f aca="false">IFERROR(__xludf.dummyfunction("""COMPUTED_VALUE"""),142.25)</f>
        <v>142.25</v>
      </c>
      <c r="C1107" s="2" t="n">
        <f aca="false">IFERROR(__xludf.dummyfunction("""COMPUTED_VALUE"""),143.49)</f>
        <v>143.49</v>
      </c>
      <c r="D1107" s="2" t="n">
        <f aca="false">IFERROR(__xludf.dummyfunction("""COMPUTED_VALUE"""),137.91)</f>
        <v>137.91</v>
      </c>
      <c r="E1107" s="2" t="n">
        <f aca="false">IFERROR(__xludf.dummyfunction("""COMPUTED_VALUE"""),139.19)</f>
        <v>139.19</v>
      </c>
      <c r="F1107" s="2" t="n">
        <f aca="false">IFERROR(__xludf.dummyfunction("""COMPUTED_VALUE"""),370615167)</f>
        <v>370615167</v>
      </c>
    </row>
    <row r="1108" customFormat="false" ht="15.75" hidden="false" customHeight="false" outlineLevel="0" collapsed="false">
      <c r="A1108" s="3" t="n">
        <f aca="false">IFERROR(__xludf.dummyfunction("""COMPUTED_VALUE"""),45807.6666666667)</f>
        <v>45807.6666666667</v>
      </c>
      <c r="B1108" s="2" t="n">
        <f aca="false">IFERROR(__xludf.dummyfunction("""COMPUTED_VALUE"""),138.72)</f>
        <v>138.72</v>
      </c>
      <c r="C1108" s="2" t="n">
        <f aca="false">IFERROR(__xludf.dummyfunction("""COMPUTED_VALUE"""),139.62)</f>
        <v>139.62</v>
      </c>
      <c r="D1108" s="2" t="n">
        <f aca="false">IFERROR(__xludf.dummyfunction("""COMPUTED_VALUE"""),132.92)</f>
        <v>132.92</v>
      </c>
      <c r="E1108" s="2" t="n">
        <f aca="false">IFERROR(__xludf.dummyfunction("""COMPUTED_VALUE"""),135.13)</f>
        <v>135.13</v>
      </c>
      <c r="F1108" s="2" t="n">
        <f aca="false">IFERROR(__xludf.dummyfunction("""COMPUTED_VALUE"""),333170851)</f>
        <v>333170851</v>
      </c>
    </row>
    <row r="1109" customFormat="false" ht="15.75" hidden="false" customHeight="false" outlineLevel="0" collapsed="false">
      <c r="A1109" s="3" t="n">
        <f aca="false">IFERROR(__xludf.dummyfunction("""COMPUTED_VALUE"""),45810.6666666667)</f>
        <v>45810.6666666667</v>
      </c>
      <c r="B1109" s="2" t="n">
        <f aca="false">IFERROR(__xludf.dummyfunction("""COMPUTED_VALUE"""),135.49)</f>
        <v>135.49</v>
      </c>
      <c r="C1109" s="2" t="n">
        <f aca="false">IFERROR(__xludf.dummyfunction("""COMPUTED_VALUE"""),138.12)</f>
        <v>138.12</v>
      </c>
      <c r="D1109" s="2" t="n">
        <f aca="false">IFERROR(__xludf.dummyfunction("""COMPUTED_VALUE"""),135.4)</f>
        <v>135.4</v>
      </c>
      <c r="E1109" s="2" t="n">
        <f aca="false">IFERROR(__xludf.dummyfunction("""COMPUTED_VALUE"""),137.38)</f>
        <v>137.38</v>
      </c>
      <c r="F1109" s="2" t="n">
        <f aca="false">IFERROR(__xludf.dummyfunction("""COMPUTED_VALUE"""),197663116)</f>
        <v>197663116</v>
      </c>
    </row>
    <row r="1110" customFormat="false" ht="15.75" hidden="false" customHeight="false" outlineLevel="0" collapsed="false">
      <c r="A1110" s="3" t="n">
        <f aca="false">IFERROR(__xludf.dummyfunction("""COMPUTED_VALUE"""),45811.6666666667)</f>
        <v>45811.6666666667</v>
      </c>
      <c r="B1110" s="2" t="n">
        <f aca="false">IFERROR(__xludf.dummyfunction("""COMPUTED_VALUE"""),138.78)</f>
        <v>138.78</v>
      </c>
      <c r="C1110" s="2" t="n">
        <f aca="false">IFERROR(__xludf.dummyfunction("""COMPUTED_VALUE"""),142)</f>
        <v>142</v>
      </c>
      <c r="D1110" s="2" t="n">
        <f aca="false">IFERROR(__xludf.dummyfunction("""COMPUTED_VALUE"""),137.95)</f>
        <v>137.95</v>
      </c>
      <c r="E1110" s="2" t="n">
        <f aca="false">IFERROR(__xludf.dummyfunction("""COMPUTED_VALUE"""),141.22)</f>
        <v>141.22</v>
      </c>
      <c r="F1110" s="2" t="n">
        <f aca="false">IFERROR(__xludf.dummyfunction("""COMPUTED_VALUE"""),225578783)</f>
        <v>225578783</v>
      </c>
    </row>
    <row r="1111" customFormat="false" ht="15.75" hidden="false" customHeight="false" outlineLevel="0" collapsed="false">
      <c r="A1111" s="3" t="n">
        <f aca="false">IFERROR(__xludf.dummyfunction("""COMPUTED_VALUE"""),45812.6666666667)</f>
        <v>45812.6666666667</v>
      </c>
      <c r="B1111" s="2" t="n">
        <f aca="false">IFERROR(__xludf.dummyfunction("""COMPUTED_VALUE"""),142.19)</f>
        <v>142.19</v>
      </c>
      <c r="C1111" s="2" t="n">
        <f aca="false">IFERROR(__xludf.dummyfunction("""COMPUTED_VALUE"""),142.39)</f>
        <v>142.39</v>
      </c>
      <c r="D1111" s="2" t="n">
        <f aca="false">IFERROR(__xludf.dummyfunction("""COMPUTED_VALUE"""),139.54)</f>
        <v>139.54</v>
      </c>
      <c r="E1111" s="2" t="n">
        <f aca="false">IFERROR(__xludf.dummyfunction("""COMPUTED_VALUE"""),141.92)</f>
        <v>141.92</v>
      </c>
      <c r="F1111" s="2" t="n">
        <f aca="false">IFERROR(__xludf.dummyfunction("""COMPUTED_VALUE"""),167120819)</f>
        <v>167120819</v>
      </c>
    </row>
    <row r="1112" customFormat="false" ht="15.75" hidden="false" customHeight="false" outlineLevel="0" collapsed="false">
      <c r="A1112" s="3" t="n">
        <f aca="false">IFERROR(__xludf.dummyfunction("""COMPUTED_VALUE"""),45813.6666666667)</f>
        <v>45813.6666666667</v>
      </c>
      <c r="B1112" s="2" t="n">
        <f aca="false">IFERROR(__xludf.dummyfunction("""COMPUTED_VALUE"""),142.17)</f>
        <v>142.17</v>
      </c>
      <c r="C1112" s="2" t="n">
        <f aca="false">IFERROR(__xludf.dummyfunction("""COMPUTED_VALUE"""),144)</f>
        <v>144</v>
      </c>
      <c r="D1112" s="2" t="n">
        <f aca="false">IFERROR(__xludf.dummyfunction("""COMPUTED_VALUE"""),138.83)</f>
        <v>138.83</v>
      </c>
      <c r="E1112" s="2" t="n">
        <f aca="false">IFERROR(__xludf.dummyfunction("""COMPUTED_VALUE"""),139.99)</f>
        <v>139.99</v>
      </c>
      <c r="F1112" s="2" t="n">
        <f aca="false">IFERROR(__xludf.dummyfunction("""COMPUTED_VALUE"""),232410759)</f>
        <v>232410759</v>
      </c>
    </row>
    <row r="1113" customFormat="false" ht="15.75" hidden="false" customHeight="false" outlineLevel="0" collapsed="false">
      <c r="A1113" s="3" t="n">
        <f aca="false">IFERROR(__xludf.dummyfunction("""COMPUTED_VALUE"""),45814.6666666667)</f>
        <v>45814.6666666667</v>
      </c>
      <c r="B1113" s="2" t="n">
        <f aca="false">IFERROR(__xludf.dummyfunction("""COMPUTED_VALUE"""),142.51)</f>
        <v>142.51</v>
      </c>
      <c r="C1113" s="2" t="n">
        <f aca="false">IFERROR(__xludf.dummyfunction("""COMPUTED_VALUE"""),143.27)</f>
        <v>143.27</v>
      </c>
      <c r="D1113" s="2" t="n">
        <f aca="false">IFERROR(__xludf.dummyfunction("""COMPUTED_VALUE"""),141.51)</f>
        <v>141.51</v>
      </c>
      <c r="E1113" s="2" t="n">
        <f aca="false">IFERROR(__xludf.dummyfunction("""COMPUTED_VALUE"""),141.72)</f>
        <v>141.72</v>
      </c>
      <c r="F1113" s="2" t="n">
        <f aca="false">IFERROR(__xludf.dummyfunction("""COMPUTED_VALUE"""),153986153)</f>
        <v>153986153</v>
      </c>
    </row>
    <row r="1114" customFormat="false" ht="15.75" hidden="false" customHeight="false" outlineLevel="0" collapsed="false">
      <c r="A1114" s="3" t="n">
        <f aca="false">IFERROR(__xludf.dummyfunction("""COMPUTED_VALUE"""),45817.6666666667)</f>
        <v>45817.6666666667</v>
      </c>
      <c r="B1114" s="2" t="n">
        <f aca="false">IFERROR(__xludf.dummyfunction("""COMPUTED_VALUE"""),143.19)</f>
        <v>143.19</v>
      </c>
      <c r="C1114" s="2" t="n">
        <f aca="false">IFERROR(__xludf.dummyfunction("""COMPUTED_VALUE"""),145)</f>
        <v>145</v>
      </c>
      <c r="D1114" s="2" t="n">
        <f aca="false">IFERROR(__xludf.dummyfunction("""COMPUTED_VALUE"""),141.94)</f>
        <v>141.94</v>
      </c>
      <c r="E1114" s="2" t="n">
        <f aca="false">IFERROR(__xludf.dummyfunction("""COMPUTED_VALUE"""),142.63)</f>
        <v>142.63</v>
      </c>
      <c r="F1114" s="2" t="n">
        <f aca="false">IFERROR(__xludf.dummyfunction("""COMPUTED_VALUE"""),185114494)</f>
        <v>185114494</v>
      </c>
    </row>
    <row r="1115" customFormat="false" ht="15.75" hidden="false" customHeight="false" outlineLevel="0" collapsed="false">
      <c r="A1115" s="3" t="n">
        <f aca="false">IFERROR(__xludf.dummyfunction("""COMPUTED_VALUE"""),45818.6666666667)</f>
        <v>45818.6666666667</v>
      </c>
      <c r="B1115" s="2" t="n">
        <f aca="false">IFERROR(__xludf.dummyfunction("""COMPUTED_VALUE"""),142.69)</f>
        <v>142.69</v>
      </c>
      <c r="C1115" s="2" t="n">
        <f aca="false">IFERROR(__xludf.dummyfunction("""COMPUTED_VALUE"""),144.29)</f>
        <v>144.29</v>
      </c>
      <c r="D1115" s="2" t="n">
        <f aca="false">IFERROR(__xludf.dummyfunction("""COMPUTED_VALUE"""),141.53)</f>
        <v>141.53</v>
      </c>
      <c r="E1115" s="2" t="n">
        <f aca="false">IFERROR(__xludf.dummyfunction("""COMPUTED_VALUE"""),143.96)</f>
        <v>143.96</v>
      </c>
      <c r="F1115" s="2" t="n">
        <f aca="false">IFERROR(__xludf.dummyfunction("""COMPUTED_VALUE"""),155881897)</f>
        <v>155881897</v>
      </c>
    </row>
    <row r="1116" customFormat="false" ht="15.75" hidden="false" customHeight="false" outlineLevel="0" collapsed="false">
      <c r="A1116" s="3" t="n">
        <f aca="false">IFERROR(__xludf.dummyfunction("""COMPUTED_VALUE"""),45819.6666666667)</f>
        <v>45819.6666666667</v>
      </c>
      <c r="B1116" s="2" t="n">
        <f aca="false">IFERROR(__xludf.dummyfunction("""COMPUTED_VALUE"""),144.61)</f>
        <v>144.61</v>
      </c>
      <c r="C1116" s="2" t="n">
        <f aca="false">IFERROR(__xludf.dummyfunction("""COMPUTED_VALUE"""),144.99)</f>
        <v>144.99</v>
      </c>
      <c r="D1116" s="2" t="n">
        <f aca="false">IFERROR(__xludf.dummyfunction("""COMPUTED_VALUE"""),141.87)</f>
        <v>141.87</v>
      </c>
      <c r="E1116" s="2" t="n">
        <f aca="false">IFERROR(__xludf.dummyfunction("""COMPUTED_VALUE"""),142.83)</f>
        <v>142.83</v>
      </c>
      <c r="F1116" s="2" t="n">
        <f aca="false">IFERROR(__xludf.dummyfunction("""COMPUTED_VALUE"""),167694044)</f>
        <v>167694044</v>
      </c>
    </row>
    <row r="1117" customFormat="false" ht="15.75" hidden="false" customHeight="false" outlineLevel="0" collapsed="false">
      <c r="A1117" s="3" t="n">
        <f aca="false">IFERROR(__xludf.dummyfunction("""COMPUTED_VALUE"""),45820.6666666667)</f>
        <v>45820.6666666667</v>
      </c>
      <c r="B1117" s="2" t="n">
        <f aca="false">IFERROR(__xludf.dummyfunction("""COMPUTED_VALUE"""),141.97)</f>
        <v>141.97</v>
      </c>
      <c r="C1117" s="2" t="n">
        <f aca="false">IFERROR(__xludf.dummyfunction("""COMPUTED_VALUE"""),145)</f>
        <v>145</v>
      </c>
      <c r="D1117" s="2" t="n">
        <f aca="false">IFERROR(__xludf.dummyfunction("""COMPUTED_VALUE"""),141.85)</f>
        <v>141.85</v>
      </c>
      <c r="E1117" s="2" t="n">
        <f aca="false">IFERROR(__xludf.dummyfunction("""COMPUTED_VALUE"""),145)</f>
        <v>145</v>
      </c>
      <c r="F1117" s="2" t="n">
        <f aca="false">IFERROR(__xludf.dummyfunction("""COMPUTED_VALUE"""),162364991)</f>
        <v>162364991</v>
      </c>
    </row>
    <row r="1118" customFormat="false" ht="15.75" hidden="false" customHeight="false" outlineLevel="0" collapsed="false">
      <c r="A1118" s="3" t="n">
        <f aca="false">IFERROR(__xludf.dummyfunction("""COMPUTED_VALUE"""),45821.6666666667)</f>
        <v>45821.6666666667</v>
      </c>
      <c r="B1118" s="2" t="n">
        <f aca="false">IFERROR(__xludf.dummyfunction("""COMPUTED_VALUE"""),142.48)</f>
        <v>142.48</v>
      </c>
      <c r="C1118" s="2" t="n">
        <f aca="false">IFERROR(__xludf.dummyfunction("""COMPUTED_VALUE"""),143.58)</f>
        <v>143.58</v>
      </c>
      <c r="D1118" s="2" t="n">
        <f aca="false">IFERROR(__xludf.dummyfunction("""COMPUTED_VALUE"""),140.85)</f>
        <v>140.85</v>
      </c>
      <c r="E1118" s="2" t="n">
        <f aca="false">IFERROR(__xludf.dummyfunction("""COMPUTED_VALUE"""),141.97)</f>
        <v>141.97</v>
      </c>
      <c r="F1118" s="2" t="n">
        <f aca="false">IFERROR(__xludf.dummyfunction("""COMPUTED_VALUE"""),180820565)</f>
        <v>180820565</v>
      </c>
    </row>
    <row r="1119" customFormat="false" ht="15.75" hidden="false" customHeight="false" outlineLevel="0" collapsed="false">
      <c r="A1119" s="3" t="n">
        <f aca="false">IFERROR(__xludf.dummyfunction("""COMPUTED_VALUE"""),45824.6666666667)</f>
        <v>45824.6666666667</v>
      </c>
      <c r="B1119" s="2" t="n">
        <f aca="false">IFERROR(__xludf.dummyfunction("""COMPUTED_VALUE"""),143.35)</f>
        <v>143.35</v>
      </c>
      <c r="C1119" s="2" t="n">
        <f aca="false">IFERROR(__xludf.dummyfunction("""COMPUTED_VALUE"""),146.18)</f>
        <v>146.18</v>
      </c>
      <c r="D1119" s="2" t="n">
        <f aca="false">IFERROR(__xludf.dummyfunction("""COMPUTED_VALUE"""),143.2)</f>
        <v>143.2</v>
      </c>
      <c r="E1119" s="2" t="n">
        <f aca="false">IFERROR(__xludf.dummyfunction("""COMPUTED_VALUE"""),144.69)</f>
        <v>144.69</v>
      </c>
      <c r="F1119" s="2" t="n">
        <f aca="false">IFERROR(__xludf.dummyfunction("""COMPUTED_VALUE"""),183133666)</f>
        <v>183133666</v>
      </c>
    </row>
    <row r="1120" customFormat="false" ht="15.75" hidden="false" customHeight="false" outlineLevel="0" collapsed="false">
      <c r="A1120" s="3" t="n">
        <f aca="false">IFERROR(__xludf.dummyfunction("""COMPUTED_VALUE"""),45825.6666666667)</f>
        <v>45825.6666666667</v>
      </c>
      <c r="B1120" s="2" t="n">
        <f aca="false">IFERROR(__xludf.dummyfunction("""COMPUTED_VALUE"""),144.49)</f>
        <v>144.49</v>
      </c>
      <c r="C1120" s="2" t="n">
        <f aca="false">IFERROR(__xludf.dummyfunction("""COMPUTED_VALUE"""),145.22)</f>
        <v>145.22</v>
      </c>
      <c r="D1120" s="2" t="n">
        <f aca="false">IFERROR(__xludf.dummyfunction("""COMPUTED_VALUE"""),143.78)</f>
        <v>143.78</v>
      </c>
      <c r="E1120" s="2" t="n">
        <f aca="false">IFERROR(__xludf.dummyfunction("""COMPUTED_VALUE"""),144.12)</f>
        <v>144.12</v>
      </c>
      <c r="F1120" s="2" t="n">
        <f aca="false">IFERROR(__xludf.dummyfunction("""COMPUTED_VALUE"""),139108000)</f>
        <v>139108000</v>
      </c>
    </row>
    <row r="1121" customFormat="false" ht="15.75" hidden="false" customHeight="false" outlineLevel="0" collapsed="false">
      <c r="A1121" s="3" t="n">
        <f aca="false">IFERROR(__xludf.dummyfunction("""COMPUTED_VALUE"""),45826.6666666667)</f>
        <v>45826.6666666667</v>
      </c>
      <c r="B1121" s="2" t="n">
        <f aca="false">IFERROR(__xludf.dummyfunction("""COMPUTED_VALUE"""),144.01)</f>
        <v>144.01</v>
      </c>
      <c r="C1121" s="2" t="n">
        <f aca="false">IFERROR(__xludf.dummyfunction("""COMPUTED_VALUE"""),145.65)</f>
        <v>145.65</v>
      </c>
      <c r="D1121" s="2" t="n">
        <f aca="false">IFERROR(__xludf.dummyfunction("""COMPUTED_VALUE"""),143.12)</f>
        <v>143.12</v>
      </c>
      <c r="E1121" s="2" t="n">
        <f aca="false">IFERROR(__xludf.dummyfunction("""COMPUTED_VALUE"""),145.48)</f>
        <v>145.48</v>
      </c>
      <c r="F1121" s="2" t="n">
        <f aca="false">IFERROR(__xludf.dummyfunction("""COMPUTED_VALUE"""),161494121)</f>
        <v>161494121</v>
      </c>
    </row>
    <row r="1122" customFormat="false" ht="15.75" hidden="false" customHeight="false" outlineLevel="0" collapsed="false">
      <c r="A1122" s="3" t="n">
        <f aca="false">IFERROR(__xludf.dummyfunction("""COMPUTED_VALUE"""),45828.6666666667)</f>
        <v>45828.6666666667</v>
      </c>
      <c r="B1122" s="2" t="n">
        <f aca="false">IFERROR(__xludf.dummyfunction("""COMPUTED_VALUE"""),145.45)</f>
        <v>145.45</v>
      </c>
      <c r="C1122" s="2" t="n">
        <f aca="false">IFERROR(__xludf.dummyfunction("""COMPUTED_VALUE"""),146.2)</f>
        <v>146.2</v>
      </c>
      <c r="D1122" s="2" t="n">
        <f aca="false">IFERROR(__xludf.dummyfunction("""COMPUTED_VALUE"""),142.65)</f>
        <v>142.65</v>
      </c>
      <c r="E1122" s="2" t="n">
        <f aca="false">IFERROR(__xludf.dummyfunction("""COMPUTED_VALUE"""),143.85)</f>
        <v>143.85</v>
      </c>
      <c r="F1122" s="2" t="n">
        <f aca="false">IFERROR(__xludf.dummyfunction("""COMPUTED_VALUE"""),242956157)</f>
        <v>242956157</v>
      </c>
    </row>
    <row r="1123" customFormat="false" ht="15.75" hidden="false" customHeight="false" outlineLevel="0" collapsed="false">
      <c r="A1123" s="3" t="n">
        <f aca="false">IFERROR(__xludf.dummyfunction("""COMPUTED_VALUE"""),45831.6666666667)</f>
        <v>45831.6666666667</v>
      </c>
      <c r="B1123" s="2" t="n">
        <f aca="false">IFERROR(__xludf.dummyfunction("""COMPUTED_VALUE"""),142.5)</f>
        <v>142.5</v>
      </c>
      <c r="C1123" s="2" t="n">
        <f aca="false">IFERROR(__xludf.dummyfunction("""COMPUTED_VALUE"""),144.78)</f>
        <v>144.78</v>
      </c>
      <c r="D1123" s="2" t="n">
        <f aca="false">IFERROR(__xludf.dummyfunction("""COMPUTED_VALUE"""),142.03)</f>
        <v>142.03</v>
      </c>
      <c r="E1123" s="2" t="n">
        <f aca="false">IFERROR(__xludf.dummyfunction("""COMPUTED_VALUE"""),144.17)</f>
        <v>144.17</v>
      </c>
      <c r="F1123" s="2" t="n">
        <f aca="false">IFERROR(__xludf.dummyfunction("""COMPUTED_VALUE"""),154308941)</f>
        <v>154308941</v>
      </c>
    </row>
    <row r="1124" customFormat="false" ht="15.75" hidden="false" customHeight="false" outlineLevel="0" collapsed="false">
      <c r="A1124" s="3" t="n">
        <f aca="false">IFERROR(__xludf.dummyfunction("""COMPUTED_VALUE"""),45832.6666666667)</f>
        <v>45832.6666666667</v>
      </c>
      <c r="B1124" s="2" t="n">
        <f aca="false">IFERROR(__xludf.dummyfunction("""COMPUTED_VALUE"""),145.56)</f>
        <v>145.56</v>
      </c>
      <c r="C1124" s="2" t="n">
        <f aca="false">IFERROR(__xludf.dummyfunction("""COMPUTED_VALUE"""),147.96)</f>
        <v>147.96</v>
      </c>
      <c r="D1124" s="2" t="n">
        <f aca="false">IFERROR(__xludf.dummyfunction("""COMPUTED_VALUE"""),145.5)</f>
        <v>145.5</v>
      </c>
      <c r="E1124" s="2" t="n">
        <f aca="false">IFERROR(__xludf.dummyfunction("""COMPUTED_VALUE"""),147.9)</f>
        <v>147.9</v>
      </c>
      <c r="F1124" s="2" t="n">
        <f aca="false">IFERROR(__xludf.dummyfunction("""COMPUTED_VALUE"""),187566121)</f>
        <v>187566121</v>
      </c>
    </row>
    <row r="1125" customFormat="false" ht="15.75" hidden="false" customHeight="false" outlineLevel="0" collapsed="false">
      <c r="A1125" s="3" t="n">
        <f aca="false">IFERROR(__xludf.dummyfunction("""COMPUTED_VALUE"""),45833.6666666667)</f>
        <v>45833.6666666667</v>
      </c>
      <c r="B1125" s="2" t="n">
        <f aca="false">IFERROR(__xludf.dummyfunction("""COMPUTED_VALUE"""),149.27)</f>
        <v>149.27</v>
      </c>
      <c r="C1125" s="2" t="n">
        <f aca="false">IFERROR(__xludf.dummyfunction("""COMPUTED_VALUE"""),154.45)</f>
        <v>154.45</v>
      </c>
      <c r="D1125" s="2" t="n">
        <f aca="false">IFERROR(__xludf.dummyfunction("""COMPUTED_VALUE"""),149.26)</f>
        <v>149.26</v>
      </c>
      <c r="E1125" s="2" t="n">
        <f aca="false">IFERROR(__xludf.dummyfunction("""COMPUTED_VALUE"""),154.31)</f>
        <v>154.31</v>
      </c>
      <c r="F1125" s="2" t="n">
        <f aca="false">IFERROR(__xludf.dummyfunction("""COMPUTED_VALUE"""),269146471)</f>
        <v>269146471</v>
      </c>
    </row>
    <row r="1126" customFormat="false" ht="15.75" hidden="false" customHeight="false" outlineLevel="0" collapsed="false">
      <c r="A1126" s="3" t="n">
        <f aca="false">IFERROR(__xludf.dummyfunction("""COMPUTED_VALUE"""),45834.6666666667)</f>
        <v>45834.6666666667</v>
      </c>
      <c r="B1126" s="2" t="n">
        <f aca="false">IFERROR(__xludf.dummyfunction("""COMPUTED_VALUE"""),155.98)</f>
        <v>155.98</v>
      </c>
      <c r="C1126" s="2" t="n">
        <f aca="false">IFERROR(__xludf.dummyfunction("""COMPUTED_VALUE"""),156.72)</f>
        <v>156.72</v>
      </c>
      <c r="D1126" s="2" t="n">
        <f aca="false">IFERROR(__xludf.dummyfunction("""COMPUTED_VALUE"""),154)</f>
        <v>154</v>
      </c>
      <c r="E1126" s="2" t="n">
        <f aca="false">IFERROR(__xludf.dummyfunction("""COMPUTED_VALUE"""),155.02)</f>
        <v>155.02</v>
      </c>
      <c r="F1126" s="2" t="n">
        <f aca="false">IFERROR(__xludf.dummyfunction("""COMPUTED_VALUE"""),198145746)</f>
        <v>198145746</v>
      </c>
    </row>
    <row r="1127" customFormat="false" ht="15.75" hidden="false" customHeight="false" outlineLevel="0" collapsed="false">
      <c r="A1127" s="3" t="n">
        <f aca="false">IFERROR(__xludf.dummyfunction("""COMPUTED_VALUE"""),45835.6666666667)</f>
        <v>45835.6666666667</v>
      </c>
      <c r="B1127" s="2" t="n">
        <f aca="false">IFERROR(__xludf.dummyfunction("""COMPUTED_VALUE"""),156.04)</f>
        <v>156.04</v>
      </c>
      <c r="C1127" s="2" t="n">
        <f aca="false">IFERROR(__xludf.dummyfunction("""COMPUTED_VALUE"""),158.71)</f>
        <v>158.71</v>
      </c>
      <c r="D1127" s="2" t="n">
        <f aca="false">IFERROR(__xludf.dummyfunction("""COMPUTED_VALUE"""),155.26)</f>
        <v>155.26</v>
      </c>
      <c r="E1127" s="2" t="n">
        <f aca="false">IFERROR(__xludf.dummyfunction("""COMPUTED_VALUE"""),157.75)</f>
        <v>157.75</v>
      </c>
      <c r="F1127" s="2" t="n">
        <f aca="false">IFERROR(__xludf.dummyfunction("""COMPUTED_VALUE"""),263234539)</f>
        <v>263234539</v>
      </c>
    </row>
    <row r="1128" customFormat="false" ht="15.75" hidden="false" customHeight="false" outlineLevel="0" collapsed="false">
      <c r="A1128" s="3" t="n">
        <f aca="false">IFERROR(__xludf.dummyfunction("""COMPUTED_VALUE"""),45838.6666666667)</f>
        <v>45838.6666666667</v>
      </c>
      <c r="B1128" s="2" t="n">
        <f aca="false">IFERROR(__xludf.dummyfunction("""COMPUTED_VALUE"""),158.4)</f>
        <v>158.4</v>
      </c>
      <c r="C1128" s="2" t="n">
        <f aca="false">IFERROR(__xludf.dummyfunction("""COMPUTED_VALUE"""),158.66)</f>
        <v>158.66</v>
      </c>
      <c r="D1128" s="2" t="n">
        <f aca="false">IFERROR(__xludf.dummyfunction("""COMPUTED_VALUE"""),155.96)</f>
        <v>155.96</v>
      </c>
      <c r="E1128" s="2" t="n">
        <f aca="false">IFERROR(__xludf.dummyfunction("""COMPUTED_VALUE"""),157.99)</f>
        <v>157.99</v>
      </c>
      <c r="F1128" s="2" t="n">
        <f aca="false">IFERROR(__xludf.dummyfunction("""COMPUTED_VALUE"""),194580316)</f>
        <v>194580316</v>
      </c>
    </row>
    <row r="1129" customFormat="false" ht="15.75" hidden="false" customHeight="false" outlineLevel="0" collapsed="false">
      <c r="A1129" s="3" t="n">
        <f aca="false">IFERROR(__xludf.dummyfunction("""COMPUTED_VALUE"""),45839.6666666667)</f>
        <v>45839.6666666667</v>
      </c>
      <c r="B1129" s="2" t="n">
        <f aca="false">IFERROR(__xludf.dummyfunction("""COMPUTED_VALUE"""),156.29)</f>
        <v>156.29</v>
      </c>
      <c r="C1129" s="2" t="n">
        <f aca="false">IFERROR(__xludf.dummyfunction("""COMPUTED_VALUE"""),157.2)</f>
        <v>157.2</v>
      </c>
      <c r="D1129" s="2" t="n">
        <f aca="false">IFERROR(__xludf.dummyfunction("""COMPUTED_VALUE"""),151.49)</f>
        <v>151.49</v>
      </c>
      <c r="E1129" s="2" t="n">
        <f aca="false">IFERROR(__xludf.dummyfunction("""COMPUTED_VALUE"""),153.3)</f>
        <v>153.3</v>
      </c>
      <c r="F1129" s="2" t="n">
        <f aca="false">IFERROR(__xludf.dummyfunction("""COMPUTED_VALUE"""),213143621)</f>
        <v>213143621</v>
      </c>
    </row>
    <row r="1130" customFormat="false" ht="15.75" hidden="false" customHeight="false" outlineLevel="0" collapsed="false">
      <c r="A1130" s="3" t="n">
        <f aca="false">IFERROR(__xludf.dummyfunction("""COMPUTED_VALUE"""),45840.6666666667)</f>
        <v>45840.6666666667</v>
      </c>
      <c r="B1130" s="2" t="n">
        <f aca="false">IFERROR(__xludf.dummyfunction("""COMPUTED_VALUE"""),152.98)</f>
        <v>152.98</v>
      </c>
      <c r="C1130" s="2" t="n">
        <f aca="false">IFERROR(__xludf.dummyfunction("""COMPUTED_VALUE"""),157.6)</f>
        <v>157.6</v>
      </c>
      <c r="D1130" s="2" t="n">
        <f aca="false">IFERROR(__xludf.dummyfunction("""COMPUTED_VALUE"""),152.97)</f>
        <v>152.97</v>
      </c>
      <c r="E1130" s="2" t="n">
        <f aca="false">IFERROR(__xludf.dummyfunction("""COMPUTED_VALUE"""),157.25)</f>
        <v>157.25</v>
      </c>
      <c r="F1130" s="2" t="n">
        <f aca="false">IFERROR(__xludf.dummyfunction("""COMPUTED_VALUE"""),171224111)</f>
        <v>171224111</v>
      </c>
    </row>
    <row r="1131" customFormat="false" ht="15.75" hidden="false" customHeight="false" outlineLevel="0" collapsed="false">
      <c r="A1131" s="3" t="n">
        <f aca="false">IFERROR(__xludf.dummyfunction("""COMPUTED_VALUE"""),45841.5451388889)</f>
        <v>45841.5451388889</v>
      </c>
      <c r="B1131" s="2" t="n">
        <f aca="false">IFERROR(__xludf.dummyfunction("""COMPUTED_VALUE"""),158.37)</f>
        <v>158.37</v>
      </c>
      <c r="C1131" s="2" t="n">
        <f aca="false">IFERROR(__xludf.dummyfunction("""COMPUTED_VALUE"""),160.98)</f>
        <v>160.98</v>
      </c>
      <c r="D1131" s="2" t="n">
        <f aca="false">IFERROR(__xludf.dummyfunction("""COMPUTED_VALUE"""),157.77)</f>
        <v>157.77</v>
      </c>
      <c r="E1131" s="2" t="n">
        <f aca="false">IFERROR(__xludf.dummyfunction("""COMPUTED_VALUE"""),159.34)</f>
        <v>159.34</v>
      </c>
      <c r="F1131" s="2" t="n">
        <f aca="false">IFERROR(__xludf.dummyfunction("""COMPUTED_VALUE"""),143716055)</f>
        <v>143716055</v>
      </c>
    </row>
    <row r="1132" customFormat="false" ht="15.75" hidden="false" customHeight="false" outlineLevel="0" collapsed="false">
      <c r="A1132" s="3" t="n">
        <f aca="false">IFERROR(__xludf.dummyfunction("""COMPUTED_VALUE"""),45845.6666666667)</f>
        <v>45845.6666666667</v>
      </c>
      <c r="B1132" s="2" t="n">
        <f aca="false">IFERROR(__xludf.dummyfunction("""COMPUTED_VALUE"""),158.2)</f>
        <v>158.2</v>
      </c>
      <c r="C1132" s="2" t="n">
        <f aca="false">IFERROR(__xludf.dummyfunction("""COMPUTED_VALUE"""),159.31)</f>
        <v>159.31</v>
      </c>
      <c r="D1132" s="2" t="n">
        <f aca="false">IFERROR(__xludf.dummyfunction("""COMPUTED_VALUE"""),157.34)</f>
        <v>157.34</v>
      </c>
      <c r="E1132" s="2" t="n">
        <f aca="false">IFERROR(__xludf.dummyfunction("""COMPUTED_VALUE"""),158.24)</f>
        <v>158.24</v>
      </c>
      <c r="F1132" s="2" t="n">
        <f aca="false">IFERROR(__xludf.dummyfunction("""COMPUTED_VALUE"""),140138975)</f>
        <v>140138975</v>
      </c>
    </row>
    <row r="1133" customFormat="false" ht="15.75" hidden="false" customHeight="false" outlineLevel="0" collapsed="false">
      <c r="A1133" s="3" t="n">
        <f aca="false">IFERROR(__xludf.dummyfunction("""COMPUTED_VALUE"""),45846.6666666667)</f>
        <v>45846.6666666667</v>
      </c>
      <c r="B1133" s="2" t="n">
        <f aca="false">IFERROR(__xludf.dummyfunction("""COMPUTED_VALUE"""),159.33)</f>
        <v>159.33</v>
      </c>
      <c r="C1133" s="2" t="n">
        <f aca="false">IFERROR(__xludf.dummyfunction("""COMPUTED_VALUE"""),160.22)</f>
        <v>160.22</v>
      </c>
      <c r="D1133" s="2" t="n">
        <f aca="false">IFERROR(__xludf.dummyfunction("""COMPUTED_VALUE"""),158.39)</f>
        <v>158.39</v>
      </c>
      <c r="E1133" s="2" t="n">
        <f aca="false">IFERROR(__xludf.dummyfunction("""COMPUTED_VALUE"""),160)</f>
        <v>160</v>
      </c>
      <c r="F1133" s="2" t="n">
        <f aca="false">IFERROR(__xludf.dummyfunction("""COMPUTED_VALUE"""),138133025)</f>
        <v>138133025</v>
      </c>
    </row>
    <row r="1134" customFormat="false" ht="15.75" hidden="false" customHeight="false" outlineLevel="0" collapsed="false">
      <c r="A1134" s="3" t="n">
        <f aca="false">IFERROR(__xludf.dummyfunction("""COMPUTED_VALUE"""),45847.6666666667)</f>
        <v>45847.6666666667</v>
      </c>
      <c r="B1134" s="2" t="n">
        <f aca="false">IFERROR(__xludf.dummyfunction("""COMPUTED_VALUE"""),161.22)</f>
        <v>161.22</v>
      </c>
      <c r="C1134" s="2" t="n">
        <f aca="false">IFERROR(__xludf.dummyfunction("""COMPUTED_VALUE"""),164.42)</f>
        <v>164.42</v>
      </c>
      <c r="D1134" s="2" t="n">
        <f aca="false">IFERROR(__xludf.dummyfunction("""COMPUTED_VALUE"""),161.16)</f>
        <v>161.16</v>
      </c>
      <c r="E1134" s="2" t="n">
        <f aca="false">IFERROR(__xludf.dummyfunction("""COMPUTED_VALUE"""),162.88)</f>
        <v>162.88</v>
      </c>
      <c r="F1134" s="2" t="n">
        <f aca="false">IFERROR(__xludf.dummyfunction("""COMPUTED_VALUE"""),183656443)</f>
        <v>183656443</v>
      </c>
    </row>
    <row r="1135" customFormat="false" ht="15.75" hidden="false" customHeight="false" outlineLevel="0" collapsed="false">
      <c r="A1135" s="3" t="n">
        <f aca="false">IFERROR(__xludf.dummyfunction("""COMPUTED_VALUE"""),45848.6666666667)</f>
        <v>45848.6666666667</v>
      </c>
      <c r="B1135" s="2" t="n">
        <f aca="false">IFERROR(__xludf.dummyfunction("""COMPUTED_VALUE"""),164.32)</f>
        <v>164.32</v>
      </c>
      <c r="C1135" s="2" t="n">
        <f aca="false">IFERROR(__xludf.dummyfunction("""COMPUTED_VALUE"""),164.5)</f>
        <v>164.5</v>
      </c>
      <c r="D1135" s="2" t="n">
        <f aca="false">IFERROR(__xludf.dummyfunction("""COMPUTED_VALUE"""),161.61)</f>
        <v>161.61</v>
      </c>
      <c r="E1135" s="2" t="n">
        <f aca="false">IFERROR(__xludf.dummyfunction("""COMPUTED_VALUE"""),164.1)</f>
        <v>164.1</v>
      </c>
      <c r="F1135" s="2" t="n">
        <f aca="false">IFERROR(__xludf.dummyfunction("""COMPUTED_VALUE"""),167704075)</f>
        <v>167704075</v>
      </c>
    </row>
    <row r="1136" customFormat="false" ht="15.75" hidden="false" customHeight="false" outlineLevel="0" collapsed="false">
      <c r="A1136" s="3" t="n">
        <f aca="false">IFERROR(__xludf.dummyfunction("""COMPUTED_VALUE"""),45849.6666666667)</f>
        <v>45849.6666666667</v>
      </c>
      <c r="B1136" s="2" t="n">
        <f aca="false">IFERROR(__xludf.dummyfunction("""COMPUTED_VALUE"""),163.72)</f>
        <v>163.72</v>
      </c>
      <c r="C1136" s="2" t="n">
        <f aca="false">IFERROR(__xludf.dummyfunction("""COMPUTED_VALUE"""),167.89)</f>
        <v>167.89</v>
      </c>
      <c r="D1136" s="2" t="n">
        <f aca="false">IFERROR(__xludf.dummyfunction("""COMPUTED_VALUE"""),163.47)</f>
        <v>163.47</v>
      </c>
      <c r="E1136" s="2" t="n">
        <f aca="false">IFERROR(__xludf.dummyfunction("""COMPUTED_VALUE"""),164.92)</f>
        <v>164.92</v>
      </c>
      <c r="F1136" s="2" t="n">
        <f aca="false">IFERROR(__xludf.dummyfunction("""COMPUTED_VALUE"""),193633263)</f>
        <v>193633263</v>
      </c>
    </row>
    <row r="1137" customFormat="false" ht="15.75" hidden="false" customHeight="false" outlineLevel="0" collapsed="false">
      <c r="A1137" s="3" t="n">
        <f aca="false">IFERROR(__xludf.dummyfunction("""COMPUTED_VALUE"""),45852.6666666667)</f>
        <v>45852.6666666667</v>
      </c>
      <c r="B1137" s="2" t="n">
        <f aca="false">IFERROR(__xludf.dummyfunction("""COMPUTED_VALUE"""),165.37)</f>
        <v>165.37</v>
      </c>
      <c r="C1137" s="2" t="n">
        <f aca="false">IFERROR(__xludf.dummyfunction("""COMPUTED_VALUE"""),165.49)</f>
        <v>165.49</v>
      </c>
      <c r="D1137" s="2" t="n">
        <f aca="false">IFERROR(__xludf.dummyfunction("""COMPUTED_VALUE"""),162.02)</f>
        <v>162.02</v>
      </c>
      <c r="E1137" s="2" t="n">
        <f aca="false">IFERROR(__xludf.dummyfunction("""COMPUTED_VALUE"""),164.07)</f>
        <v>164.07</v>
      </c>
      <c r="F1137" s="2" t="n">
        <f aca="false">IFERROR(__xludf.dummyfunction("""COMPUTED_VALUE"""),136975754)</f>
        <v>136975754</v>
      </c>
    </row>
    <row r="1138" customFormat="false" ht="15.75" hidden="false" customHeight="false" outlineLevel="0" collapsed="false">
      <c r="A1138" s="3" t="n">
        <f aca="false">IFERROR(__xludf.dummyfunction("""COMPUTED_VALUE"""),45853.6666666667)</f>
        <v>45853.6666666667</v>
      </c>
      <c r="B1138" s="2" t="n">
        <f aca="false">IFERROR(__xludf.dummyfunction("""COMPUTED_VALUE"""),171.19)</f>
        <v>171.19</v>
      </c>
      <c r="C1138" s="2" t="n">
        <f aca="false">IFERROR(__xludf.dummyfunction("""COMPUTED_VALUE"""),172.4)</f>
        <v>172.4</v>
      </c>
      <c r="D1138" s="2" t="n">
        <f aca="false">IFERROR(__xludf.dummyfunction("""COMPUTED_VALUE"""),169.2)</f>
        <v>169.2</v>
      </c>
      <c r="E1138" s="2" t="n">
        <f aca="false">IFERROR(__xludf.dummyfunction("""COMPUTED_VALUE"""),170.7)</f>
        <v>170.7</v>
      </c>
      <c r="F1138" s="2" t="n">
        <f aca="false">IFERROR(__xludf.dummyfunction("""COMPUTED_VALUE"""),230627350)</f>
        <v>230627350</v>
      </c>
    </row>
    <row r="1139" customFormat="false" ht="15.75" hidden="false" customHeight="false" outlineLevel="0" collapsed="false">
      <c r="A1139" s="3" t="n">
        <f aca="false">IFERROR(__xludf.dummyfunction("""COMPUTED_VALUE"""),45854.6666666667)</f>
        <v>45854.6666666667</v>
      </c>
      <c r="B1139" s="2" t="n">
        <f aca="false">IFERROR(__xludf.dummyfunction("""COMPUTED_VALUE"""),171.06)</f>
        <v>171.06</v>
      </c>
      <c r="C1139" s="2" t="n">
        <f aca="false">IFERROR(__xludf.dummyfunction("""COMPUTED_VALUE"""),171.75)</f>
        <v>171.75</v>
      </c>
      <c r="D1139" s="2" t="n">
        <f aca="false">IFERROR(__xludf.dummyfunction("""COMPUTED_VALUE"""),168.9)</f>
        <v>168.9</v>
      </c>
      <c r="E1139" s="2" t="n">
        <f aca="false">IFERROR(__xludf.dummyfunction("""COMPUTED_VALUE"""),171.37)</f>
        <v>171.37</v>
      </c>
      <c r="F1139" s="2" t="n">
        <f aca="false">IFERROR(__xludf.dummyfunction("""COMPUTED_VALUE"""),158831509)</f>
        <v>158831509</v>
      </c>
    </row>
    <row r="1140" customFormat="false" ht="15.75" hidden="false" customHeight="false" outlineLevel="0" collapsed="false">
      <c r="A1140" s="3" t="n">
        <f aca="false">IFERROR(__xludf.dummyfunction("""COMPUTED_VALUE"""),45855.6666666667)</f>
        <v>45855.6666666667</v>
      </c>
      <c r="B1140" s="2" t="n">
        <f aca="false">IFERROR(__xludf.dummyfunction("""COMPUTED_VALUE"""),172.02)</f>
        <v>172.02</v>
      </c>
      <c r="C1140" s="2" t="n">
        <f aca="false">IFERROR(__xludf.dummyfunction("""COMPUTED_VALUE"""),174.16)</f>
        <v>174.16</v>
      </c>
      <c r="D1140" s="2" t="n">
        <f aca="false">IFERROR(__xludf.dummyfunction("""COMPUTED_VALUE"""),170.83)</f>
        <v>170.83</v>
      </c>
      <c r="E1140" s="2" t="n">
        <f aca="false">IFERROR(__xludf.dummyfunction("""COMPUTED_VALUE"""),173)</f>
        <v>173</v>
      </c>
      <c r="F1140" s="2" t="n">
        <f aca="false">IFERROR(__xludf.dummyfunction("""COMPUTED_VALUE"""),160841119)</f>
        <v>160841119</v>
      </c>
    </row>
    <row r="1141" customFormat="false" ht="15.75" hidden="false" customHeight="false" outlineLevel="0" collapsed="false">
      <c r="A1141" s="3" t="n">
        <f aca="false">IFERROR(__xludf.dummyfunction("""COMPUTED_VALUE"""),45856.6666666667)</f>
        <v>45856.6666666667</v>
      </c>
      <c r="B1141" s="2" t="n">
        <f aca="false">IFERROR(__xludf.dummyfunction("""COMPUTED_VALUE"""),173.64)</f>
        <v>173.64</v>
      </c>
      <c r="C1141" s="2" t="n">
        <f aca="false">IFERROR(__xludf.dummyfunction("""COMPUTED_VALUE"""),174.25)</f>
        <v>174.25</v>
      </c>
      <c r="D1141" s="2" t="n">
        <f aca="false">IFERROR(__xludf.dummyfunction("""COMPUTED_VALUE"""),171.26)</f>
        <v>171.26</v>
      </c>
      <c r="E1141" s="2" t="n">
        <f aca="false">IFERROR(__xludf.dummyfunction("""COMPUTED_VALUE"""),172.41)</f>
        <v>172.41</v>
      </c>
      <c r="F1141" s="2" t="n">
        <f aca="false">IFERROR(__xludf.dummyfunction("""COMPUTED_VALUE"""),146456416)</f>
        <v>146456416</v>
      </c>
    </row>
    <row r="1142" customFormat="false" ht="15.75" hidden="false" customHeight="false" outlineLevel="0" collapsed="false">
      <c r="A1142" s="3" t="n">
        <f aca="false">IFERROR(__xludf.dummyfunction("""COMPUTED_VALUE"""),45859.6666666667)</f>
        <v>45859.6666666667</v>
      </c>
      <c r="B1142" s="2" t="n">
        <f aca="false">IFERROR(__xludf.dummyfunction("""COMPUTED_VALUE"""),172.75)</f>
        <v>172.75</v>
      </c>
      <c r="C1142" s="2" t="n">
        <f aca="false">IFERROR(__xludf.dummyfunction("""COMPUTED_VALUE"""),173.38)</f>
        <v>173.38</v>
      </c>
      <c r="D1142" s="2" t="n">
        <f aca="false">IFERROR(__xludf.dummyfunction("""COMPUTED_VALUE"""),171)</f>
        <v>171</v>
      </c>
      <c r="E1142" s="2" t="n">
        <f aca="false">IFERROR(__xludf.dummyfunction("""COMPUTED_VALUE"""),171.38)</f>
        <v>171.38</v>
      </c>
      <c r="F1142" s="2" t="n">
        <f aca="false">IFERROR(__xludf.dummyfunction("""COMPUTED_VALUE"""),123126136)</f>
        <v>123126136</v>
      </c>
    </row>
    <row r="1143" customFormat="false" ht="15.75" hidden="false" customHeight="false" outlineLevel="0" collapsed="false">
      <c r="A1143" s="3" t="n">
        <f aca="false">IFERROR(__xludf.dummyfunction("""COMPUTED_VALUE"""),45860.6666666667)</f>
        <v>45860.6666666667</v>
      </c>
      <c r="B1143" s="2" t="n">
        <f aca="false">IFERROR(__xludf.dummyfunction("""COMPUTED_VALUE"""),171.34)</f>
        <v>171.34</v>
      </c>
      <c r="C1143" s="2" t="n">
        <f aca="false">IFERROR(__xludf.dummyfunction("""COMPUTED_VALUE"""),171.39)</f>
        <v>171.39</v>
      </c>
      <c r="D1143" s="2" t="n">
        <f aca="false">IFERROR(__xludf.dummyfunction("""COMPUTED_VALUE"""),164.58)</f>
        <v>164.58</v>
      </c>
      <c r="E1143" s="2" t="n">
        <f aca="false">IFERROR(__xludf.dummyfunction("""COMPUTED_VALUE"""),167.03)</f>
        <v>167.03</v>
      </c>
      <c r="F1143" s="2" t="n">
        <f aca="false">IFERROR(__xludf.dummyfunction("""COMPUTED_VALUE"""),193114327)</f>
        <v>193114327</v>
      </c>
    </row>
    <row r="1144" customFormat="false" ht="15.75" hidden="false" customHeight="false" outlineLevel="0" collapsed="false">
      <c r="A1144" s="3" t="n">
        <f aca="false">IFERROR(__xludf.dummyfunction("""COMPUTED_VALUE"""),45861.6666666667)</f>
        <v>45861.6666666667</v>
      </c>
      <c r="B1144" s="2" t="n">
        <f aca="false">IFERROR(__xludf.dummyfunction("""COMPUTED_VALUE"""),169.53)</f>
        <v>169.53</v>
      </c>
      <c r="C1144" s="2" t="n">
        <f aca="false">IFERROR(__xludf.dummyfunction("""COMPUTED_VALUE"""),171.26)</f>
        <v>171.26</v>
      </c>
      <c r="D1144" s="2" t="n">
        <f aca="false">IFERROR(__xludf.dummyfunction("""COMPUTED_VALUE"""),167.97)</f>
        <v>167.97</v>
      </c>
      <c r="E1144" s="2" t="n">
        <f aca="false">IFERROR(__xludf.dummyfunction("""COMPUTED_VALUE"""),170.78)</f>
        <v>170.78</v>
      </c>
      <c r="F1144" s="2" t="n">
        <f aca="false">IFERROR(__xludf.dummyfunction("""COMPUTED_VALUE"""),154082197)</f>
        <v>154082197</v>
      </c>
    </row>
    <row r="1145" customFormat="false" ht="15.75" hidden="false" customHeight="false" outlineLevel="0" collapsed="false">
      <c r="A1145" s="3" t="n">
        <f aca="false">IFERROR(__xludf.dummyfunction("""COMPUTED_VALUE"""),45862.6666666667)</f>
        <v>45862.6666666667</v>
      </c>
      <c r="B1145" s="2" t="n">
        <f aca="false">IFERROR(__xludf.dummyfunction("""COMPUTED_VALUE"""),172.44)</f>
        <v>172.44</v>
      </c>
      <c r="C1145" s="2" t="n">
        <f aca="false">IFERROR(__xludf.dummyfunction("""COMPUTED_VALUE"""),173.83)</f>
        <v>173.83</v>
      </c>
      <c r="D1145" s="2" t="n">
        <f aca="false">IFERROR(__xludf.dummyfunction("""COMPUTED_VALUE"""),171.3)</f>
        <v>171.3</v>
      </c>
      <c r="E1145" s="2" t="n">
        <f aca="false">IFERROR(__xludf.dummyfunction("""COMPUTED_VALUE"""),173.74)</f>
        <v>173.74</v>
      </c>
      <c r="F1145" s="2" t="n">
        <f aca="false">IFERROR(__xludf.dummyfunction("""COMPUTED_VALUE"""),128984628)</f>
        <v>128984628</v>
      </c>
    </row>
    <row r="1146" customFormat="false" ht="15.75" hidden="false" customHeight="false" outlineLevel="0" collapsed="false">
      <c r="A1146" s="3" t="n">
        <f aca="false">IFERROR(__xludf.dummyfunction("""COMPUTED_VALUE"""),45863.6666666667)</f>
        <v>45863.6666666667</v>
      </c>
      <c r="B1146" s="2" t="n">
        <f aca="false">IFERROR(__xludf.dummyfunction("""COMPUTED_VALUE"""),173.61)</f>
        <v>173.61</v>
      </c>
      <c r="C1146" s="2" t="n">
        <f aca="false">IFERROR(__xludf.dummyfunction("""COMPUTED_VALUE"""),174.72)</f>
        <v>174.72</v>
      </c>
      <c r="D1146" s="2" t="n">
        <f aca="false">IFERROR(__xludf.dummyfunction("""COMPUTED_VALUE"""),172.96)</f>
        <v>172.96</v>
      </c>
      <c r="E1146" s="2" t="n">
        <f aca="false">IFERROR(__xludf.dummyfunction("""COMPUTED_VALUE"""),173.5)</f>
        <v>173.5</v>
      </c>
      <c r="F1146" s="2" t="n">
        <f aca="false">IFERROR(__xludf.dummyfunction("""COMPUTED_VALUE"""),122316792)</f>
        <v>122316792</v>
      </c>
    </row>
    <row r="1147" customFormat="false" ht="15.75" hidden="false" customHeight="false" outlineLevel="0" collapsed="false">
      <c r="A1147" s="3" t="n">
        <f aca="false">IFERROR(__xludf.dummyfunction("""COMPUTED_VALUE"""),45866.6666666667)</f>
        <v>45866.6666666667</v>
      </c>
      <c r="B1147" s="2" t="n">
        <f aca="false">IFERROR(__xludf.dummyfunction("""COMPUTED_VALUE"""),174.02)</f>
        <v>174.02</v>
      </c>
      <c r="C1147" s="2" t="n">
        <f aca="false">IFERROR(__xludf.dummyfunction("""COMPUTED_VALUE"""),177)</f>
        <v>177</v>
      </c>
      <c r="D1147" s="2" t="n">
        <f aca="false">IFERROR(__xludf.dummyfunction("""COMPUTED_VALUE"""),173.97)</f>
        <v>173.97</v>
      </c>
      <c r="E1147" s="2" t="n">
        <f aca="false">IFERROR(__xludf.dummyfunction("""COMPUTED_VALUE"""),176.75)</f>
        <v>176.75</v>
      </c>
      <c r="F1147" s="2" t="n">
        <f aca="false">IFERROR(__xludf.dummyfunction("""COMPUTED_VALUE"""),140023521)</f>
        <v>140023521</v>
      </c>
    </row>
    <row r="1148" customFormat="false" ht="15.75" hidden="false" customHeight="false" outlineLevel="0" collapsed="false">
      <c r="A1148" s="3" t="n">
        <f aca="false">IFERROR(__xludf.dummyfunction("""COMPUTED_VALUE"""),45867.6666666667)</f>
        <v>45867.6666666667</v>
      </c>
      <c r="B1148" s="2" t="n">
        <f aca="false">IFERROR(__xludf.dummyfunction("""COMPUTED_VALUE"""),177.96)</f>
        <v>177.96</v>
      </c>
      <c r="C1148" s="2" t="n">
        <f aca="false">IFERROR(__xludf.dummyfunction("""COMPUTED_VALUE"""),179.38)</f>
        <v>179.38</v>
      </c>
      <c r="D1148" s="2" t="n">
        <f aca="false">IFERROR(__xludf.dummyfunction("""COMPUTED_VALUE"""),175.02)</f>
        <v>175.02</v>
      </c>
      <c r="E1148" s="2" t="n">
        <f aca="false">IFERROR(__xludf.dummyfunction("""COMPUTED_VALUE"""),175.51)</f>
        <v>175.51</v>
      </c>
      <c r="F1148" s="2" t="n">
        <f aca="false">IFERROR(__xludf.dummyfunction("""COMPUTED_VALUE"""),154077512)</f>
        <v>154077512</v>
      </c>
    </row>
    <row r="1149" customFormat="false" ht="15.75" hidden="false" customHeight="false" outlineLevel="0" collapsed="false">
      <c r="A1149" s="3" t="n">
        <f aca="false">IFERROR(__xludf.dummyfunction("""COMPUTED_VALUE"""),45868.6666666667)</f>
        <v>45868.6666666667</v>
      </c>
      <c r="B1149" s="2" t="n">
        <f aca="false">IFERROR(__xludf.dummyfunction("""COMPUTED_VALUE"""),176.51)</f>
        <v>176.51</v>
      </c>
      <c r="C1149" s="2" t="n">
        <f aca="false">IFERROR(__xludf.dummyfunction("""COMPUTED_VALUE"""),179.89)</f>
        <v>179.89</v>
      </c>
      <c r="D1149" s="2" t="n">
        <f aca="false">IFERROR(__xludf.dummyfunction("""COMPUTED_VALUE"""),176.04)</f>
        <v>176.04</v>
      </c>
      <c r="E1149" s="2" t="n">
        <f aca="false">IFERROR(__xludf.dummyfunction("""COMPUTED_VALUE"""),179.27)</f>
        <v>179.27</v>
      </c>
      <c r="F1149" s="2" t="n">
        <f aca="false">IFERROR(__xludf.dummyfunction("""COMPUTED_VALUE"""),174312208)</f>
        <v>174312208</v>
      </c>
    </row>
    <row r="1150" customFormat="false" ht="15.75" hidden="false" customHeight="false" outlineLevel="0" collapsed="false">
      <c r="A1150" s="3" t="n">
        <f aca="false">IFERROR(__xludf.dummyfunction("""COMPUTED_VALUE"""),45869.6666666667)</f>
        <v>45869.6666666667</v>
      </c>
      <c r="B1150" s="2" t="n">
        <f aca="false">IFERROR(__xludf.dummyfunction("""COMPUTED_VALUE"""),182.9)</f>
        <v>182.9</v>
      </c>
      <c r="C1150" s="2" t="n">
        <f aca="false">IFERROR(__xludf.dummyfunction("""COMPUTED_VALUE"""),183.3)</f>
        <v>183.3</v>
      </c>
      <c r="D1150" s="2" t="n">
        <f aca="false">IFERROR(__xludf.dummyfunction("""COMPUTED_VALUE"""),175.93)</f>
        <v>175.93</v>
      </c>
      <c r="E1150" s="2" t="n">
        <f aca="false">IFERROR(__xludf.dummyfunction("""COMPUTED_VALUE"""),177.87)</f>
        <v>177.87</v>
      </c>
      <c r="F1150" s="2" t="n">
        <f aca="false">IFERROR(__xludf.dummyfunction("""COMPUTED_VALUE"""),221685446)</f>
        <v>221685446</v>
      </c>
    </row>
    <row r="1151" customFormat="false" ht="15.75" hidden="false" customHeight="false" outlineLevel="0" collapsed="false">
      <c r="A1151" s="3" t="n">
        <f aca="false">IFERROR(__xludf.dummyfunction("""COMPUTED_VALUE"""),45870.6666666667)</f>
        <v>45870.6666666667</v>
      </c>
      <c r="B1151" s="2" t="n">
        <f aca="false">IFERROR(__xludf.dummyfunction("""COMPUTED_VALUE"""),174.09)</f>
        <v>174.09</v>
      </c>
      <c r="C1151" s="2" t="n">
        <f aca="false">IFERROR(__xludf.dummyfunction("""COMPUTED_VALUE"""),176.54)</f>
        <v>176.54</v>
      </c>
      <c r="D1151" s="2" t="n">
        <f aca="false">IFERROR(__xludf.dummyfunction("""COMPUTED_VALUE"""),170.89)</f>
        <v>170.89</v>
      </c>
      <c r="E1151" s="2" t="n">
        <f aca="false">IFERROR(__xludf.dummyfunction("""COMPUTED_VALUE"""),173.72)</f>
        <v>173.72</v>
      </c>
      <c r="F1151" s="2" t="n">
        <f aca="false">IFERROR(__xludf.dummyfunction("""COMPUTED_VALUE"""),204528985)</f>
        <v>204528985</v>
      </c>
    </row>
    <row r="1152" customFormat="false" ht="15.75" hidden="false" customHeight="false" outlineLevel="0" collapsed="false">
      <c r="A1152" s="3" t="n">
        <f aca="false">IFERROR(__xludf.dummyfunction("""COMPUTED_VALUE"""),45873.6666666667)</f>
        <v>45873.6666666667</v>
      </c>
      <c r="B1152" s="2" t="n">
        <f aca="false">IFERROR(__xludf.dummyfunction("""COMPUTED_VALUE"""),175.16)</f>
        <v>175.16</v>
      </c>
      <c r="C1152" s="2" t="n">
        <f aca="false">IFERROR(__xludf.dummyfunction("""COMPUTED_VALUE"""),180.2)</f>
        <v>180.2</v>
      </c>
      <c r="D1152" s="2" t="n">
        <f aca="false">IFERROR(__xludf.dummyfunction("""COMPUTED_VALUE"""),174.52)</f>
        <v>174.52</v>
      </c>
      <c r="E1152" s="2" t="n">
        <f aca="false">IFERROR(__xludf.dummyfunction("""COMPUTED_VALUE"""),180)</f>
        <v>180</v>
      </c>
      <c r="F1152" s="2" t="n">
        <f aca="false">IFERROR(__xludf.dummyfunction("""COMPUTED_VALUE"""),148174609)</f>
        <v>148174609</v>
      </c>
    </row>
    <row r="1153" customFormat="false" ht="15.75" hidden="false" customHeight="false" outlineLevel="0" collapsed="false">
      <c r="A1153" s="3" t="n">
        <f aca="false">IFERROR(__xludf.dummyfunction("""COMPUTED_VALUE"""),45874.6666666667)</f>
        <v>45874.6666666667</v>
      </c>
      <c r="B1153" s="2" t="n">
        <f aca="false">IFERROR(__xludf.dummyfunction("""COMPUTED_VALUE"""),179.62)</f>
        <v>179.62</v>
      </c>
      <c r="C1153" s="2" t="n">
        <f aca="false">IFERROR(__xludf.dummyfunction("""COMPUTED_VALUE"""),180.26)</f>
        <v>180.26</v>
      </c>
      <c r="D1153" s="2" t="n">
        <f aca="false">IFERROR(__xludf.dummyfunction("""COMPUTED_VALUE"""),175.9)</f>
        <v>175.9</v>
      </c>
      <c r="E1153" s="2" t="n">
        <f aca="false">IFERROR(__xludf.dummyfunction("""COMPUTED_VALUE"""),178.26)</f>
        <v>178.26</v>
      </c>
      <c r="F1153" s="2" t="n">
        <f aca="false">IFERROR(__xludf.dummyfunction("""COMPUTED_VALUE"""),156407621)</f>
        <v>156407621</v>
      </c>
    </row>
    <row r="1154" customFormat="false" ht="15.75" hidden="false" customHeight="false" outlineLevel="0" collapsed="false">
      <c r="A1154" s="3" t="n">
        <f aca="false">IFERROR(__xludf.dummyfunction("""COMPUTED_VALUE"""),45875.6666666667)</f>
        <v>45875.6666666667</v>
      </c>
      <c r="B1154" s="2" t="n">
        <f aca="false">IFERROR(__xludf.dummyfunction("""COMPUTED_VALUE"""),176.33)</f>
        <v>176.33</v>
      </c>
      <c r="C1154" s="2" t="n">
        <f aca="false">IFERROR(__xludf.dummyfunction("""COMPUTED_VALUE"""),179.9)</f>
        <v>179.9</v>
      </c>
      <c r="D1154" s="2" t="n">
        <f aca="false">IFERROR(__xludf.dummyfunction("""COMPUTED_VALUE"""),176.25)</f>
        <v>176.25</v>
      </c>
      <c r="E1154" s="2" t="n">
        <f aca="false">IFERROR(__xludf.dummyfunction("""COMPUTED_VALUE"""),179.42)</f>
        <v>179.42</v>
      </c>
      <c r="F1154" s="2" t="n">
        <f aca="false">IFERROR(__xludf.dummyfunction("""COMPUTED_VALUE"""),137192265)</f>
        <v>137192265</v>
      </c>
    </row>
    <row r="1155" customFormat="false" ht="15.75" hidden="false" customHeight="false" outlineLevel="0" collapsed="false">
      <c r="A1155" s="3" t="n">
        <f aca="false">IFERROR(__xludf.dummyfunction("""COMPUTED_VALUE"""),45876.6666666667)</f>
        <v>45876.6666666667</v>
      </c>
      <c r="B1155" s="2" t="n">
        <f aca="false">IFERROR(__xludf.dummyfunction("""COMPUTED_VALUE"""),181.57)</f>
        <v>181.57</v>
      </c>
      <c r="C1155" s="2" t="n">
        <f aca="false">IFERROR(__xludf.dummyfunction("""COMPUTED_VALUE"""),183.88)</f>
        <v>183.88</v>
      </c>
      <c r="D1155" s="2" t="n">
        <f aca="false">IFERROR(__xludf.dummyfunction("""COMPUTED_VALUE"""),178.8)</f>
        <v>178.8</v>
      </c>
      <c r="E1155" s="2" t="n">
        <f aca="false">IFERROR(__xludf.dummyfunction("""COMPUTED_VALUE"""),180.77)</f>
        <v>180.77</v>
      </c>
      <c r="F1155" s="2" t="n">
        <f aca="false">IFERROR(__xludf.dummyfunction("""COMPUTED_VALUE"""),151878365)</f>
        <v>151878365</v>
      </c>
    </row>
    <row r="1156" customFormat="false" ht="15.75" hidden="false" customHeight="false" outlineLevel="0" collapsed="false">
      <c r="A1156" s="3" t="n">
        <f aca="false">IFERROR(__xludf.dummyfunction("""COMPUTED_VALUE"""),45877.6666666667)</f>
        <v>45877.6666666667</v>
      </c>
      <c r="B1156" s="2" t="n">
        <f aca="false">IFERROR(__xludf.dummyfunction("""COMPUTED_VALUE"""),181.55)</f>
        <v>181.55</v>
      </c>
      <c r="C1156" s="2" t="n">
        <f aca="false">IFERROR(__xludf.dummyfunction("""COMPUTED_VALUE"""),183.3)</f>
        <v>183.3</v>
      </c>
      <c r="D1156" s="2" t="n">
        <f aca="false">IFERROR(__xludf.dummyfunction("""COMPUTED_VALUE"""),180.4)</f>
        <v>180.4</v>
      </c>
      <c r="E1156" s="2" t="n">
        <f aca="false">IFERROR(__xludf.dummyfunction("""COMPUTED_VALUE"""),182.7)</f>
        <v>182.7</v>
      </c>
      <c r="F1156" s="2" t="n">
        <f aca="false">IFERROR(__xludf.dummyfunction("""COMPUTED_VALUE"""),123396679)</f>
        <v>123396679</v>
      </c>
    </row>
    <row r="1157" customFormat="false" ht="15.75" hidden="false" customHeight="false" outlineLevel="0" collapsed="false">
      <c r="A1157" s="3" t="n">
        <f aca="false">IFERROR(__xludf.dummyfunction("""COMPUTED_VALUE"""),45880.6666666667)</f>
        <v>45880.6666666667</v>
      </c>
      <c r="B1157" s="2" t="n">
        <f aca="false">IFERROR(__xludf.dummyfunction("""COMPUTED_VALUE"""),182.05)</f>
        <v>182.05</v>
      </c>
      <c r="C1157" s="2" t="n">
        <f aca="false">IFERROR(__xludf.dummyfunction("""COMPUTED_VALUE"""),183.84)</f>
        <v>183.84</v>
      </c>
      <c r="D1157" s="2" t="n">
        <f aca="false">IFERROR(__xludf.dummyfunction("""COMPUTED_VALUE"""),180.25)</f>
        <v>180.25</v>
      </c>
      <c r="E1157" s="2" t="n">
        <f aca="false">IFERROR(__xludf.dummyfunction("""COMPUTED_VALUE"""),182.06)</f>
        <v>182.06</v>
      </c>
      <c r="F1157" s="2" t="n">
        <f aca="false">IFERROR(__xludf.dummyfunction("""COMPUTED_VALUE"""),138323191)</f>
        <v>138323191</v>
      </c>
    </row>
    <row r="1158" customFormat="false" ht="15.75" hidden="false" customHeight="false" outlineLevel="0" collapsed="false">
      <c r="A1158" s="3" t="n">
        <f aca="false">IFERROR(__xludf.dummyfunction("""COMPUTED_VALUE"""),45881.6666666667)</f>
        <v>45881.6666666667</v>
      </c>
      <c r="B1158" s="2" t="n">
        <f aca="false">IFERROR(__xludf.dummyfunction("""COMPUTED_VALUE"""),182.96)</f>
        <v>182.96</v>
      </c>
      <c r="C1158" s="2" t="n">
        <f aca="false">IFERROR(__xludf.dummyfunction("""COMPUTED_VALUE"""),184.48)</f>
        <v>184.48</v>
      </c>
      <c r="D1158" s="2" t="n">
        <f aca="false">IFERROR(__xludf.dummyfunction("""COMPUTED_VALUE"""),179.46)</f>
        <v>179.46</v>
      </c>
      <c r="E1158" s="2" t="n">
        <f aca="false">IFERROR(__xludf.dummyfunction("""COMPUTED_VALUE"""),183.16)</f>
        <v>183.16</v>
      </c>
      <c r="F1158" s="2" t="n">
        <f aca="false">IFERROR(__xludf.dummyfunction("""COMPUTED_VALUE"""),145729202)</f>
        <v>145729202</v>
      </c>
    </row>
    <row r="1159" customFormat="false" ht="15.75" hidden="false" customHeight="false" outlineLevel="0" collapsed="false">
      <c r="A1159" s="3" t="n">
        <f aca="false">IFERROR(__xludf.dummyfunction("""COMPUTED_VALUE"""),45882.6666666667)</f>
        <v>45882.6666666667</v>
      </c>
      <c r="B1159" s="2" t="n">
        <f aca="false">IFERROR(__xludf.dummyfunction("""COMPUTED_VALUE"""),182.62)</f>
        <v>182.62</v>
      </c>
      <c r="C1159" s="2" t="n">
        <f aca="false">IFERROR(__xludf.dummyfunction("""COMPUTED_VALUE"""),183.97)</f>
        <v>183.97</v>
      </c>
      <c r="D1159" s="2" t="n">
        <f aca="false">IFERROR(__xludf.dummyfunction("""COMPUTED_VALUE"""),179.35)</f>
        <v>179.35</v>
      </c>
      <c r="E1159" s="2" t="n">
        <f aca="false">IFERROR(__xludf.dummyfunction("""COMPUTED_VALUE"""),181.59)</f>
        <v>181.59</v>
      </c>
      <c r="F1159" s="2" t="n">
        <f aca="false">IFERROR(__xludf.dummyfunction("""COMPUTED_VALUE"""),179871724)</f>
        <v>179871724</v>
      </c>
    </row>
    <row r="1160" customFormat="false" ht="15.75" hidden="false" customHeight="false" outlineLevel="0" collapsed="false">
      <c r="A1160" s="3" t="n">
        <f aca="false">IFERROR(__xludf.dummyfunction("""COMPUTED_VALUE"""),45883.6666666667)</f>
        <v>45883.6666666667</v>
      </c>
      <c r="B1160" s="2" t="n">
        <f aca="false">IFERROR(__xludf.dummyfunction("""COMPUTED_VALUE"""),179.75)</f>
        <v>179.75</v>
      </c>
      <c r="C1160" s="2" t="n">
        <f aca="false">IFERROR(__xludf.dummyfunction("""COMPUTED_VALUE"""),183.02)</f>
        <v>183.02</v>
      </c>
      <c r="D1160" s="2" t="n">
        <f aca="false">IFERROR(__xludf.dummyfunction("""COMPUTED_VALUE"""),179.46)</f>
        <v>179.46</v>
      </c>
      <c r="E1160" s="2" t="n">
        <f aca="false">IFERROR(__xludf.dummyfunction("""COMPUTED_VALUE"""),182.02)</f>
        <v>182.02</v>
      </c>
      <c r="F1160" s="2" t="n">
        <f aca="false">IFERROR(__xludf.dummyfunction("""COMPUTED_VALUE"""),129553959)</f>
        <v>129553959</v>
      </c>
    </row>
    <row r="1161" customFormat="false" ht="15.75" hidden="false" customHeight="false" outlineLevel="0" collapsed="false">
      <c r="A1161" s="3" t="n">
        <f aca="false">IFERROR(__xludf.dummyfunction("""COMPUTED_VALUE"""),45884.6666666667)</f>
        <v>45884.6666666667</v>
      </c>
      <c r="B1161" s="2" t="n">
        <f aca="false">IFERROR(__xludf.dummyfunction("""COMPUTED_VALUE"""),181.88)</f>
        <v>181.88</v>
      </c>
      <c r="C1161" s="2" t="n">
        <f aca="false">IFERROR(__xludf.dummyfunction("""COMPUTED_VALUE"""),181.9)</f>
        <v>181.9</v>
      </c>
      <c r="D1161" s="2" t="n">
        <f aca="false">IFERROR(__xludf.dummyfunction("""COMPUTED_VALUE"""),178.04)</f>
        <v>178.04</v>
      </c>
      <c r="E1161" s="2" t="n">
        <f aca="false">IFERROR(__xludf.dummyfunction("""COMPUTED_VALUE"""),180.45)</f>
        <v>180.45</v>
      </c>
      <c r="F1161" s="2" t="n">
        <f aca="false">IFERROR(__xludf.dummyfunction("""COMPUTED_VALUE"""),156602161)</f>
        <v>156602161</v>
      </c>
    </row>
    <row r="1162" customFormat="false" ht="15.75" hidden="false" customHeight="false" outlineLevel="0" collapsed="false">
      <c r="A1162" s="3" t="n">
        <f aca="false">IFERROR(__xludf.dummyfunction("""COMPUTED_VALUE"""),45887.6666666667)</f>
        <v>45887.6666666667</v>
      </c>
      <c r="B1162" s="2" t="n">
        <f aca="false">IFERROR(__xludf.dummyfunction("""COMPUTED_VALUE"""),180.6)</f>
        <v>180.6</v>
      </c>
      <c r="C1162" s="2" t="n">
        <f aca="false">IFERROR(__xludf.dummyfunction("""COMPUTED_VALUE"""),182.94)</f>
        <v>182.94</v>
      </c>
      <c r="D1162" s="2" t="n">
        <f aca="false">IFERROR(__xludf.dummyfunction("""COMPUTED_VALUE"""),180.59)</f>
        <v>180.59</v>
      </c>
      <c r="E1162" s="2" t="n">
        <f aca="false">IFERROR(__xludf.dummyfunction("""COMPUTED_VALUE"""),182.01)</f>
        <v>182.01</v>
      </c>
      <c r="F1162" s="2" t="n">
        <f aca="false">IFERROR(__xludf.dummyfunction("""COMPUTED_VALUE"""),132007959)</f>
        <v>132007959</v>
      </c>
    </row>
    <row r="1163" customFormat="false" ht="15.75" hidden="false" customHeight="false" outlineLevel="0" collapsed="false">
      <c r="A1163" s="3" t="n">
        <f aca="false">IFERROR(__xludf.dummyfunction("""COMPUTED_VALUE"""),45888.6666666667)</f>
        <v>45888.6666666667</v>
      </c>
      <c r="B1163" s="2" t="n">
        <f aca="false">IFERROR(__xludf.dummyfunction("""COMPUTED_VALUE"""),182.43)</f>
        <v>182.43</v>
      </c>
      <c r="C1163" s="2" t="n">
        <f aca="false">IFERROR(__xludf.dummyfunction("""COMPUTED_VALUE"""),182.5)</f>
        <v>182.5</v>
      </c>
      <c r="D1163" s="2" t="n">
        <f aca="false">IFERROR(__xludf.dummyfunction("""COMPUTED_VALUE"""),175.49)</f>
        <v>175.49</v>
      </c>
      <c r="E1163" s="2" t="n">
        <f aca="false">IFERROR(__xludf.dummyfunction("""COMPUTED_VALUE"""),175.64)</f>
        <v>175.64</v>
      </c>
      <c r="F1163" s="2" t="n">
        <f aca="false">IFERROR(__xludf.dummyfunction("""COMPUTED_VALUE"""),185229219)</f>
        <v>185229219</v>
      </c>
    </row>
    <row r="1164" customFormat="false" ht="15.75" hidden="false" customHeight="false" outlineLevel="0" collapsed="false">
      <c r="A1164" s="3" t="n">
        <f aca="false">IFERROR(__xludf.dummyfunction("""COMPUTED_VALUE"""),45889.6666666667)</f>
        <v>45889.6666666667</v>
      </c>
      <c r="B1164" s="2" t="n">
        <f aca="false">IFERROR(__xludf.dummyfunction("""COMPUTED_VALUE"""),175.17)</f>
        <v>175.17</v>
      </c>
      <c r="C1164" s="2" t="n">
        <f aca="false">IFERROR(__xludf.dummyfunction("""COMPUTED_VALUE"""),176)</f>
        <v>176</v>
      </c>
      <c r="D1164" s="2" t="n">
        <f aca="false">IFERROR(__xludf.dummyfunction("""COMPUTED_VALUE"""),168.8)</f>
        <v>168.8</v>
      </c>
      <c r="E1164" s="2" t="n">
        <f aca="false">IFERROR(__xludf.dummyfunction("""COMPUTED_VALUE"""),175.4)</f>
        <v>175.4</v>
      </c>
      <c r="F1164" s="2" t="n">
        <f aca="false">IFERROR(__xludf.dummyfunction("""COMPUTED_VALUE"""),215142725)</f>
        <v>215142725</v>
      </c>
    </row>
    <row r="1165" customFormat="false" ht="15.75" hidden="false" customHeight="false" outlineLevel="0" collapsed="false">
      <c r="A1165" s="3" t="n">
        <f aca="false">IFERROR(__xludf.dummyfunction("""COMPUTED_VALUE"""),45890.6666666667)</f>
        <v>45890.6666666667</v>
      </c>
      <c r="B1165" s="2" t="n">
        <f aca="false">IFERROR(__xludf.dummyfunction("""COMPUTED_VALUE"""),174.85)</f>
        <v>174.85</v>
      </c>
      <c r="C1165" s="2" t="n">
        <f aca="false">IFERROR(__xludf.dummyfunction("""COMPUTED_VALUE"""),176.9)</f>
        <v>176.9</v>
      </c>
      <c r="D1165" s="2" t="n">
        <f aca="false">IFERROR(__xludf.dummyfunction("""COMPUTED_VALUE"""),173.81)</f>
        <v>173.81</v>
      </c>
      <c r="E1165" s="2" t="n">
        <f aca="false">IFERROR(__xludf.dummyfunction("""COMPUTED_VALUE"""),174.98)</f>
        <v>174.98</v>
      </c>
      <c r="F1165" s="2" t="n">
        <f aca="false">IFERROR(__xludf.dummyfunction("""COMPUTED_VALUE"""),140040850)</f>
        <v>140040850</v>
      </c>
    </row>
    <row r="1166" customFormat="false" ht="15.75" hidden="false" customHeight="false" outlineLevel="0" collapsed="false">
      <c r="A1166" s="3" t="n">
        <f aca="false">IFERROR(__xludf.dummyfunction("""COMPUTED_VALUE"""),45891.6666666667)</f>
        <v>45891.6666666667</v>
      </c>
      <c r="B1166" s="2" t="n">
        <f aca="false">IFERROR(__xludf.dummyfunction("""COMPUTED_VALUE"""),172.61)</f>
        <v>172.61</v>
      </c>
      <c r="C1166" s="2" t="n">
        <f aca="false">IFERROR(__xludf.dummyfunction("""COMPUTED_VALUE"""),178.59)</f>
        <v>178.59</v>
      </c>
      <c r="D1166" s="2" t="n">
        <f aca="false">IFERROR(__xludf.dummyfunction("""COMPUTED_VALUE"""),171.2)</f>
        <v>171.2</v>
      </c>
      <c r="E1166" s="2" t="n">
        <f aca="false">IFERROR(__xludf.dummyfunction("""COMPUTED_VALUE"""),177.99)</f>
        <v>177.99</v>
      </c>
      <c r="F1166" s="2" t="n">
        <f aca="false">IFERROR(__xludf.dummyfunction("""COMPUTED_VALUE"""),172789427)</f>
        <v>172789427</v>
      </c>
    </row>
    <row r="1167" customFormat="false" ht="15.75" hidden="false" customHeight="false" outlineLevel="0" collapsed="false">
      <c r="A1167" s="3" t="n">
        <f aca="false">IFERROR(__xludf.dummyfunction("""COMPUTED_VALUE"""),45894.6666666667)</f>
        <v>45894.6666666667</v>
      </c>
      <c r="B1167" s="2" t="n">
        <f aca="false">IFERROR(__xludf.dummyfunction("""COMPUTED_VALUE"""),178.35)</f>
        <v>178.35</v>
      </c>
      <c r="C1167" s="2" t="n">
        <f aca="false">IFERROR(__xludf.dummyfunction("""COMPUTED_VALUE"""),181.91)</f>
        <v>181.91</v>
      </c>
      <c r="D1167" s="2" t="n">
        <f aca="false">IFERROR(__xludf.dummyfunction("""COMPUTED_VALUE"""),176.57)</f>
        <v>176.57</v>
      </c>
      <c r="E1167" s="2" t="n">
        <f aca="false">IFERROR(__xludf.dummyfunction("""COMPUTED_VALUE"""),179.81)</f>
        <v>179.81</v>
      </c>
      <c r="F1167" s="2" t="n">
        <f aca="false">IFERROR(__xludf.dummyfunction("""COMPUTED_VALUE"""),163012789)</f>
        <v>163012789</v>
      </c>
    </row>
    <row r="1168" customFormat="false" ht="15.75" hidden="false" customHeight="false" outlineLevel="0" collapsed="false">
      <c r="A1168" s="3" t="n">
        <f aca="false">IFERROR(__xludf.dummyfunction("""COMPUTED_VALUE"""),45895.6666666667)</f>
        <v>45895.6666666667</v>
      </c>
      <c r="B1168" s="2" t="n">
        <f aca="false">IFERROR(__xludf.dummyfunction("""COMPUTED_VALUE"""),180.06)</f>
        <v>180.06</v>
      </c>
      <c r="C1168" s="2" t="n">
        <f aca="false">IFERROR(__xludf.dummyfunction("""COMPUTED_VALUE"""),182.39)</f>
        <v>182.39</v>
      </c>
      <c r="D1168" s="2" t="n">
        <f aca="false">IFERROR(__xludf.dummyfunction("""COMPUTED_VALUE"""),178.81)</f>
        <v>178.81</v>
      </c>
      <c r="E1168" s="2" t="n">
        <f aca="false">IFERROR(__xludf.dummyfunction("""COMPUTED_VALUE"""),181.77)</f>
        <v>181.77</v>
      </c>
      <c r="F1168" s="2" t="n">
        <f aca="false">IFERROR(__xludf.dummyfunction("""COMPUTED_VALUE"""),168688186)</f>
        <v>168688186</v>
      </c>
    </row>
    <row r="1169" customFormat="false" ht="15.75" hidden="false" customHeight="false" outlineLevel="0" collapsed="false">
      <c r="A1169" s="3" t="n">
        <f aca="false">IFERROR(__xludf.dummyfunction("""COMPUTED_VALUE"""),45896.6666666667)</f>
        <v>45896.6666666667</v>
      </c>
      <c r="B1169" s="2" t="n">
        <f aca="false">IFERROR(__xludf.dummyfunction("""COMPUTED_VALUE"""),181.98)</f>
        <v>181.98</v>
      </c>
      <c r="C1169" s="2" t="n">
        <f aca="false">IFERROR(__xludf.dummyfunction("""COMPUTED_VALUE"""),182.49)</f>
        <v>182.49</v>
      </c>
      <c r="D1169" s="2" t="n">
        <f aca="false">IFERROR(__xludf.dummyfunction("""COMPUTED_VALUE"""),179.1)</f>
        <v>179.1</v>
      </c>
      <c r="E1169" s="2" t="n">
        <f aca="false">IFERROR(__xludf.dummyfunction("""COMPUTED_VALUE"""),181.6)</f>
        <v>181.6</v>
      </c>
      <c r="F1169" s="2" t="n">
        <f aca="false">IFERROR(__xludf.dummyfunction("""COMPUTED_VALUE"""),235518949)</f>
        <v>235518949</v>
      </c>
    </row>
    <row r="1170" customFormat="false" ht="15.75" hidden="false" customHeight="false" outlineLevel="0" collapsed="false">
      <c r="A1170" s="3" t="n">
        <f aca="false">IFERROR(__xludf.dummyfunction("""COMPUTED_VALUE"""),45897.6666666667)</f>
        <v>45897.6666666667</v>
      </c>
      <c r="B1170" s="2" t="n">
        <f aca="false">IFERROR(__xludf.dummyfunction("""COMPUTED_VALUE"""),180.82)</f>
        <v>180.82</v>
      </c>
      <c r="C1170" s="2" t="n">
        <f aca="false">IFERROR(__xludf.dummyfunction("""COMPUTED_VALUE"""),184.47)</f>
        <v>184.47</v>
      </c>
      <c r="D1170" s="2" t="n">
        <f aca="false">IFERROR(__xludf.dummyfunction("""COMPUTED_VALUE"""),176.41)</f>
        <v>176.41</v>
      </c>
      <c r="E1170" s="2" t="n">
        <f aca="false">IFERROR(__xludf.dummyfunction("""COMPUTED_VALUE"""),180.17)</f>
        <v>180.17</v>
      </c>
      <c r="F1170" s="2" t="n">
        <f aca="false">IFERROR(__xludf.dummyfunction("""COMPUTED_VALUE"""),281787824)</f>
        <v>281787824</v>
      </c>
    </row>
    <row r="1171" customFormat="false" ht="15.75" hidden="false" customHeight="false" outlineLevel="0" collapsed="false">
      <c r="A1171" s="3" t="n">
        <f aca="false">IFERROR(__xludf.dummyfunction("""COMPUTED_VALUE"""),45898.6666666667)</f>
        <v>45898.6666666667</v>
      </c>
      <c r="B1171" s="2" t="n">
        <f aca="false">IFERROR(__xludf.dummyfunction("""COMPUTED_VALUE"""),178.11)</f>
        <v>178.11</v>
      </c>
      <c r="C1171" s="2" t="n">
        <f aca="false">IFERROR(__xludf.dummyfunction("""COMPUTED_VALUE"""),178.15)</f>
        <v>178.15</v>
      </c>
      <c r="D1171" s="2" t="n">
        <f aca="false">IFERROR(__xludf.dummyfunction("""COMPUTED_VALUE"""),173.15)</f>
        <v>173.15</v>
      </c>
      <c r="E1171" s="2" t="n">
        <f aca="false">IFERROR(__xludf.dummyfunction("""COMPUTED_VALUE"""),174.18)</f>
        <v>174.18</v>
      </c>
      <c r="F1171" s="2" t="n">
        <f aca="false">IFERROR(__xludf.dummyfunction("""COMPUTED_VALUE"""),243257873)</f>
        <v>243257873</v>
      </c>
    </row>
    <row r="1172" customFormat="false" ht="15.75" hidden="false" customHeight="false" outlineLevel="0" collapsed="false">
      <c r="A1172" s="3" t="n">
        <f aca="false">IFERROR(__xludf.dummyfunction("""COMPUTED_VALUE"""),45902.6666666667)</f>
        <v>45902.6666666667</v>
      </c>
      <c r="B1172" s="2" t="n">
        <f aca="false">IFERROR(__xludf.dummyfunction("""COMPUTED_VALUE"""),170)</f>
        <v>170</v>
      </c>
      <c r="C1172" s="2" t="n">
        <f aca="false">IFERROR(__xludf.dummyfunction("""COMPUTED_VALUE"""),172.38)</f>
        <v>172.38</v>
      </c>
      <c r="D1172" s="2" t="n">
        <f aca="false">IFERROR(__xludf.dummyfunction("""COMPUTED_VALUE"""),167.22)</f>
        <v>167.22</v>
      </c>
      <c r="E1172" s="2" t="n">
        <f aca="false">IFERROR(__xludf.dummyfunction("""COMPUTED_VALUE"""),170.78)</f>
        <v>170.78</v>
      </c>
      <c r="F1172" s="2" t="n">
        <f aca="false">IFERROR(__xludf.dummyfunction("""COMPUTED_VALUE"""),231164853)</f>
        <v>231164853</v>
      </c>
    </row>
    <row r="1173" customFormat="false" ht="15.75" hidden="false" customHeight="false" outlineLevel="0" collapsed="false">
      <c r="A1173" s="3" t="n">
        <f aca="false">IFERROR(__xludf.dummyfunction("""COMPUTED_VALUE"""),45903.6666666667)</f>
        <v>45903.6666666667</v>
      </c>
      <c r="B1173" s="2" t="n">
        <f aca="false">IFERROR(__xludf.dummyfunction("""COMPUTED_VALUE"""),171.06)</f>
        <v>171.06</v>
      </c>
      <c r="C1173" s="2" t="n">
        <f aca="false">IFERROR(__xludf.dummyfunction("""COMPUTED_VALUE"""),172.41)</f>
        <v>172.41</v>
      </c>
      <c r="D1173" s="2" t="n">
        <f aca="false">IFERROR(__xludf.dummyfunction("""COMPUTED_VALUE"""),168.88)</f>
        <v>168.88</v>
      </c>
      <c r="E1173" s="2" t="n">
        <f aca="false">IFERROR(__xludf.dummyfunction("""COMPUTED_VALUE"""),170.62)</f>
        <v>170.62</v>
      </c>
      <c r="F1173" s="2" t="n">
        <f aca="false">IFERROR(__xludf.dummyfunction("""COMPUTED_VALUE"""),164424873)</f>
        <v>164424873</v>
      </c>
    </row>
    <row r="1174" customFormat="false" ht="15.75" hidden="false" customHeight="false" outlineLevel="0" collapsed="false">
      <c r="A1174" s="3" t="n">
        <f aca="false">IFERROR(__xludf.dummyfunction("""COMPUTED_VALUE"""),45904.6666666667)</f>
        <v>45904.6666666667</v>
      </c>
      <c r="B1174" s="2" t="n">
        <f aca="false">IFERROR(__xludf.dummyfunction("""COMPUTED_VALUE"""),170.57)</f>
        <v>170.57</v>
      </c>
      <c r="C1174" s="2" t="n">
        <f aca="false">IFERROR(__xludf.dummyfunction("""COMPUTED_VALUE"""),171.86)</f>
        <v>171.86</v>
      </c>
      <c r="D1174" s="2" t="n">
        <f aca="false">IFERROR(__xludf.dummyfunction("""COMPUTED_VALUE"""),169.41)</f>
        <v>169.41</v>
      </c>
      <c r="E1174" s="2" t="n">
        <f aca="false">IFERROR(__xludf.dummyfunction("""COMPUTED_VALUE"""),171.66)</f>
        <v>171.66</v>
      </c>
      <c r="F1174" s="2" t="n">
        <f aca="false">IFERROR(__xludf.dummyfunction("""COMPUTED_VALUE"""),141670144)</f>
        <v>141670144</v>
      </c>
    </row>
    <row r="1175" customFormat="false" ht="15.75" hidden="false" customHeight="false" outlineLevel="0" collapsed="false">
      <c r="A1175" s="3" t="n">
        <f aca="false">IFERROR(__xludf.dummyfunction("""COMPUTED_VALUE"""),45905.6666666667)</f>
        <v>45905.6666666667</v>
      </c>
      <c r="B1175" s="2" t="n">
        <f aca="false">IFERROR(__xludf.dummyfunction("""COMPUTED_VALUE"""),168.03)</f>
        <v>168.03</v>
      </c>
      <c r="C1175" s="2" t="n">
        <f aca="false">IFERROR(__xludf.dummyfunction("""COMPUTED_VALUE"""),169.03)</f>
        <v>169.03</v>
      </c>
      <c r="D1175" s="2" t="n">
        <f aca="false">IFERROR(__xludf.dummyfunction("""COMPUTED_VALUE"""),164.07)</f>
        <v>164.07</v>
      </c>
      <c r="E1175" s="2" t="n">
        <f aca="false">IFERROR(__xludf.dummyfunction("""COMPUTED_VALUE"""),167.02)</f>
        <v>167.02</v>
      </c>
      <c r="F1175" s="2" t="n">
        <f aca="false">IFERROR(__xludf.dummyfunction("""COMPUTED_VALUE"""),224441435)</f>
        <v>224441435</v>
      </c>
    </row>
    <row r="1176" customFormat="false" ht="15.75" hidden="false" customHeight="false" outlineLevel="0" collapsed="false">
      <c r="A1176" s="3" t="n">
        <f aca="false">IFERROR(__xludf.dummyfunction("""COMPUTED_VALUE"""),45908.6666666667)</f>
        <v>45908.6666666667</v>
      </c>
      <c r="B1176" s="2" t="n">
        <f aca="false">IFERROR(__xludf.dummyfunction("""COMPUTED_VALUE"""),167.55)</f>
        <v>167.55</v>
      </c>
      <c r="C1176" s="2" t="n">
        <f aca="false">IFERROR(__xludf.dummyfunction("""COMPUTED_VALUE"""),170.96)</f>
        <v>170.96</v>
      </c>
      <c r="D1176" s="2" t="n">
        <f aca="false">IFERROR(__xludf.dummyfunction("""COMPUTED_VALUE"""),167.35)</f>
        <v>167.35</v>
      </c>
      <c r="E1176" s="2" t="n">
        <f aca="false">IFERROR(__xludf.dummyfunction("""COMPUTED_VALUE"""),168.31)</f>
        <v>168.31</v>
      </c>
      <c r="F1176" s="2" t="n">
        <f aca="false">IFERROR(__xludf.dummyfunction("""COMPUTED_VALUE"""),163769133)</f>
        <v>163769133</v>
      </c>
    </row>
    <row r="1177" customFormat="false" ht="15.75" hidden="false" customHeight="false" outlineLevel="0" collapsed="false">
      <c r="A1177" s="3" t="n">
        <f aca="false">IFERROR(__xludf.dummyfunction("""COMPUTED_VALUE"""),45909.6666666667)</f>
        <v>45909.6666666667</v>
      </c>
      <c r="B1177" s="2" t="n">
        <f aca="false">IFERROR(__xludf.dummyfunction("""COMPUTED_VALUE"""),169.09)</f>
        <v>169.09</v>
      </c>
      <c r="C1177" s="2" t="n">
        <f aca="false">IFERROR(__xludf.dummyfunction("""COMPUTED_VALUE"""),170.98)</f>
        <v>170.98</v>
      </c>
      <c r="D1177" s="2" t="n">
        <f aca="false">IFERROR(__xludf.dummyfunction("""COMPUTED_VALUE"""),166.74)</f>
        <v>166.74</v>
      </c>
      <c r="E1177" s="2" t="n">
        <f aca="false">IFERROR(__xludf.dummyfunction("""COMPUTED_VALUE"""),170.76)</f>
        <v>170.76</v>
      </c>
      <c r="F1177" s="2" t="n">
        <f aca="false">IFERROR(__xludf.dummyfunction("""COMPUTED_VALUE"""),157548392)</f>
        <v>157548392</v>
      </c>
    </row>
    <row r="1178" customFormat="false" ht="15.75" hidden="false" customHeight="false" outlineLevel="0" collapsed="false">
      <c r="A1178" s="3" t="n">
        <f aca="false">IFERROR(__xludf.dummyfunction("""COMPUTED_VALUE"""),45910.6666666667)</f>
        <v>45910.6666666667</v>
      </c>
      <c r="B1178" s="2" t="n">
        <f aca="false">IFERROR(__xludf.dummyfunction("""COMPUTED_VALUE"""),176.64)</f>
        <v>176.64</v>
      </c>
      <c r="C1178" s="2" t="n">
        <f aca="false">IFERROR(__xludf.dummyfunction("""COMPUTED_VALUE"""),179.29)</f>
        <v>179.29</v>
      </c>
      <c r="D1178" s="2" t="n">
        <f aca="false">IFERROR(__xludf.dummyfunction("""COMPUTED_VALUE"""),175.47)</f>
        <v>175.47</v>
      </c>
      <c r="E1178" s="2" t="n">
        <f aca="false">IFERROR(__xludf.dummyfunction("""COMPUTED_VALUE"""),177.33)</f>
        <v>177.33</v>
      </c>
      <c r="F1178" s="2" t="n">
        <f aca="false">IFERROR(__xludf.dummyfunction("""COMPUTED_VALUE"""),226852020)</f>
        <v>226852020</v>
      </c>
    </row>
    <row r="1179" customFormat="false" ht="15.75" hidden="false" customHeight="false" outlineLevel="0" collapsed="false">
      <c r="A1179" s="3" t="n">
        <f aca="false">IFERROR(__xludf.dummyfunction("""COMPUTED_VALUE"""),45911.6666666667)</f>
        <v>45911.6666666667</v>
      </c>
      <c r="B1179" s="2" t="n">
        <f aca="false">IFERROR(__xludf.dummyfunction("""COMPUTED_VALUE"""),179.68)</f>
        <v>179.68</v>
      </c>
      <c r="C1179" s="2" t="n">
        <f aca="false">IFERROR(__xludf.dummyfunction("""COMPUTED_VALUE"""),180.28)</f>
        <v>180.28</v>
      </c>
      <c r="D1179" s="2" t="n">
        <f aca="false">IFERROR(__xludf.dummyfunction("""COMPUTED_VALUE"""),176.48)</f>
        <v>176.48</v>
      </c>
      <c r="E1179" s="2" t="n">
        <f aca="false">IFERROR(__xludf.dummyfunction("""COMPUTED_VALUE"""),177.17)</f>
        <v>177.17</v>
      </c>
      <c r="F1179" s="2" t="n">
        <f aca="false">IFERROR(__xludf.dummyfunction("""COMPUTED_VALUE"""),151159274)</f>
        <v>151159274</v>
      </c>
    </row>
    <row r="1180" customFormat="false" ht="15.75" hidden="false" customHeight="false" outlineLevel="0" collapsed="false">
      <c r="A1180" s="3" t="n">
        <f aca="false">IFERROR(__xludf.dummyfunction("""COMPUTED_VALUE"""),45912.6666666667)</f>
        <v>45912.6666666667</v>
      </c>
      <c r="B1180" s="2" t="n">
        <f aca="false">IFERROR(__xludf.dummyfunction("""COMPUTED_VALUE"""),177.77)</f>
        <v>177.77</v>
      </c>
      <c r="C1180" s="2" t="n">
        <f aca="false">IFERROR(__xludf.dummyfunction("""COMPUTED_VALUE"""),178.6)</f>
        <v>178.6</v>
      </c>
      <c r="D1180" s="2" t="n">
        <f aca="false">IFERROR(__xludf.dummyfunction("""COMPUTED_VALUE"""),176.45)</f>
        <v>176.45</v>
      </c>
      <c r="E1180" s="2" t="n">
        <f aca="false">IFERROR(__xludf.dummyfunction("""COMPUTED_VALUE"""),177.82)</f>
        <v>177.82</v>
      </c>
      <c r="F1180" s="2" t="n">
        <f aca="false">IFERROR(__xludf.dummyfunction("""COMPUTED_VALUE"""),124911026)</f>
        <v>124911026</v>
      </c>
    </row>
    <row r="1181" customFormat="false" ht="15.75" hidden="false" customHeight="false" outlineLevel="0" collapsed="false">
      <c r="A1181" s="3" t="n">
        <f aca="false">IFERROR(__xludf.dummyfunction("""COMPUTED_VALUE"""),45915.6666666667)</f>
        <v>45915.6666666667</v>
      </c>
      <c r="B1181" s="2" t="n">
        <f aca="false">IFERROR(__xludf.dummyfunction("""COMPUTED_VALUE"""),175.67)</f>
        <v>175.67</v>
      </c>
      <c r="C1181" s="2" t="n">
        <f aca="false">IFERROR(__xludf.dummyfunction("""COMPUTED_VALUE"""),178.85)</f>
        <v>178.85</v>
      </c>
      <c r="D1181" s="2" t="n">
        <f aca="false">IFERROR(__xludf.dummyfunction("""COMPUTED_VALUE"""),174.51)</f>
        <v>174.51</v>
      </c>
      <c r="E1181" s="2" t="n">
        <f aca="false">IFERROR(__xludf.dummyfunction("""COMPUTED_VALUE"""),177.75)</f>
        <v>177.75</v>
      </c>
      <c r="F1181" s="2" t="n">
        <f aca="false">IFERROR(__xludf.dummyfunction("""COMPUTED_VALUE"""),147061559)</f>
        <v>147061559</v>
      </c>
    </row>
    <row r="1182" customFormat="false" ht="15.75" hidden="false" customHeight="false" outlineLevel="0" collapsed="false">
      <c r="A1182" s="3" t="n">
        <f aca="false">IFERROR(__xludf.dummyfunction("""COMPUTED_VALUE"""),45916.6666666667)</f>
        <v>45916.6666666667</v>
      </c>
      <c r="B1182" s="2" t="n">
        <f aca="false">IFERROR(__xludf.dummyfunction("""COMPUTED_VALUE"""),177)</f>
        <v>177</v>
      </c>
      <c r="C1182" s="2" t="n">
        <f aca="false">IFERROR(__xludf.dummyfunction("""COMPUTED_VALUE"""),177.5)</f>
        <v>177.5</v>
      </c>
      <c r="D1182" s="2" t="n">
        <f aca="false">IFERROR(__xludf.dummyfunction("""COMPUTED_VALUE"""),174.38)</f>
        <v>174.38</v>
      </c>
      <c r="E1182" s="2" t="n">
        <f aca="false">IFERROR(__xludf.dummyfunction("""COMPUTED_VALUE"""),174.88)</f>
        <v>174.88</v>
      </c>
      <c r="F1182" s="2" t="n">
        <f aca="false">IFERROR(__xludf.dummyfunction("""COMPUTED_VALUE"""),140737775)</f>
        <v>140737775</v>
      </c>
    </row>
    <row r="1183" customFormat="false" ht="15.75" hidden="false" customHeight="false" outlineLevel="0" collapsed="false">
      <c r="A1183" s="3" t="n">
        <f aca="false">IFERROR(__xludf.dummyfunction("""COMPUTED_VALUE"""),45917.6666666667)</f>
        <v>45917.6666666667</v>
      </c>
      <c r="B1183" s="2" t="n">
        <f aca="false">IFERROR(__xludf.dummyfunction("""COMPUTED_VALUE"""),172.64)</f>
        <v>172.64</v>
      </c>
      <c r="C1183" s="2" t="n">
        <f aca="false">IFERROR(__xludf.dummyfunction("""COMPUTED_VALUE"""),173.2)</f>
        <v>173.2</v>
      </c>
      <c r="D1183" s="2" t="n">
        <f aca="false">IFERROR(__xludf.dummyfunction("""COMPUTED_VALUE"""),168.41)</f>
        <v>168.41</v>
      </c>
      <c r="E1183" s="2" t="n">
        <f aca="false">IFERROR(__xludf.dummyfunction("""COMPUTED_VALUE"""),170.29)</f>
        <v>170.29</v>
      </c>
      <c r="F1183" s="2" t="n">
        <f aca="false">IFERROR(__xludf.dummyfunction("""COMPUTED_VALUE"""),211843817)</f>
        <v>211843817</v>
      </c>
    </row>
    <row r="1184" customFormat="false" ht="15.75" hidden="false" customHeight="false" outlineLevel="0" collapsed="false">
      <c r="A1184" s="3" t="n">
        <f aca="false">IFERROR(__xludf.dummyfunction("""COMPUTED_VALUE"""),45918.6666666667)</f>
        <v>45918.6666666667</v>
      </c>
      <c r="B1184" s="2" t="n">
        <f aca="false">IFERROR(__xludf.dummyfunction("""COMPUTED_VALUE"""),173.98)</f>
        <v>173.98</v>
      </c>
      <c r="C1184" s="2" t="n">
        <f aca="false">IFERROR(__xludf.dummyfunction("""COMPUTED_VALUE"""),177.1)</f>
        <v>177.1</v>
      </c>
      <c r="D1184" s="2" t="n">
        <f aca="false">IFERROR(__xludf.dummyfunction("""COMPUTED_VALUE"""),172.96)</f>
        <v>172.96</v>
      </c>
      <c r="E1184" s="2" t="n">
        <f aca="false">IFERROR(__xludf.dummyfunction("""COMPUTED_VALUE"""),176.24)</f>
        <v>176.24</v>
      </c>
      <c r="F1184" s="2" t="n">
        <f aca="false">IFERROR(__xludf.dummyfunction("""COMPUTED_VALUE"""),191763313)</f>
        <v>191763313</v>
      </c>
    </row>
    <row r="1185" customFormat="false" ht="15.75" hidden="false" customHeight="false" outlineLevel="0" collapsed="false">
      <c r="A1185" s="3" t="n">
        <f aca="false">IFERROR(__xludf.dummyfunction("""COMPUTED_VALUE"""),45919.6666666667)</f>
        <v>45919.6666666667</v>
      </c>
      <c r="B1185" s="2" t="n">
        <f aca="false">IFERROR(__xludf.dummyfunction("""COMPUTED_VALUE"""),175.77)</f>
        <v>175.77</v>
      </c>
      <c r="C1185" s="2" t="n">
        <f aca="false">IFERROR(__xludf.dummyfunction("""COMPUTED_VALUE"""),178.08)</f>
        <v>178.08</v>
      </c>
      <c r="D1185" s="2" t="n">
        <f aca="false">IFERROR(__xludf.dummyfunction("""COMPUTED_VALUE"""),175.18)</f>
        <v>175.18</v>
      </c>
      <c r="E1185" s="2" t="n">
        <f aca="false">IFERROR(__xludf.dummyfunction("""COMPUTED_VALUE"""),176.67)</f>
        <v>176.67</v>
      </c>
      <c r="F1185" s="2" t="n">
        <f aca="false">IFERROR(__xludf.dummyfunction("""COMPUTED_VALUE"""),237182143)</f>
        <v>237182143</v>
      </c>
    </row>
    <row r="1186" customFormat="false" ht="15.75" hidden="false" customHeight="false" outlineLevel="0" collapsed="false">
      <c r="A1186" s="3" t="n">
        <f aca="false">IFERROR(__xludf.dummyfunction("""COMPUTED_VALUE"""),45922.6666666667)</f>
        <v>45922.6666666667</v>
      </c>
      <c r="B1186" s="2" t="n">
        <f aca="false">IFERROR(__xludf.dummyfunction("""COMPUTED_VALUE"""),175.3)</f>
        <v>175.3</v>
      </c>
      <c r="C1186" s="2" t="n">
        <f aca="false">IFERROR(__xludf.dummyfunction("""COMPUTED_VALUE"""),184.55)</f>
        <v>184.55</v>
      </c>
      <c r="D1186" s="2" t="n">
        <f aca="false">IFERROR(__xludf.dummyfunction("""COMPUTED_VALUE"""),174.71)</f>
        <v>174.71</v>
      </c>
      <c r="E1186" s="2" t="n">
        <f aca="false">IFERROR(__xludf.dummyfunction("""COMPUTED_VALUE"""),183.61)</f>
        <v>183.61</v>
      </c>
      <c r="F1186" s="2" t="n">
        <f aca="false">IFERROR(__xludf.dummyfunction("""COMPUTED_VALUE"""),269637001)</f>
        <v>269637001</v>
      </c>
    </row>
    <row r="1187" customFormat="false" ht="15.75" hidden="false" customHeight="false" outlineLevel="0" collapsed="false">
      <c r="A1187" s="3" t="n">
        <f aca="false">IFERROR(__xludf.dummyfunction("""COMPUTED_VALUE"""),45923.6666666667)</f>
        <v>45923.6666666667</v>
      </c>
      <c r="B1187" s="2" t="n">
        <f aca="false">IFERROR(__xludf.dummyfunction("""COMPUTED_VALUE"""),181.97)</f>
        <v>181.97</v>
      </c>
      <c r="C1187" s="2" t="n">
        <f aca="false">IFERROR(__xludf.dummyfunction("""COMPUTED_VALUE"""),182.42)</f>
        <v>182.42</v>
      </c>
      <c r="D1187" s="2" t="n">
        <f aca="false">IFERROR(__xludf.dummyfunction("""COMPUTED_VALUE"""),176.21)</f>
        <v>176.21</v>
      </c>
      <c r="E1187" s="2" t="n">
        <f aca="false">IFERROR(__xludf.dummyfunction("""COMPUTED_VALUE"""),178.43)</f>
        <v>178.43</v>
      </c>
      <c r="F1187" s="2" t="n">
        <f aca="false">IFERROR(__xludf.dummyfunction("""COMPUTED_VALUE"""),192559552)</f>
        <v>192559552</v>
      </c>
    </row>
    <row r="1188" customFormat="false" ht="15.75" hidden="false" customHeight="false" outlineLevel="0" collapsed="false">
      <c r="A1188" s="3" t="n">
        <f aca="false">IFERROR(__xludf.dummyfunction("""COMPUTED_VALUE"""),45924.6666666667)</f>
        <v>45924.6666666667</v>
      </c>
      <c r="B1188" s="2" t="n">
        <f aca="false">IFERROR(__xludf.dummyfunction("""COMPUTED_VALUE"""),179.77)</f>
        <v>179.77</v>
      </c>
      <c r="C1188" s="2" t="n">
        <f aca="false">IFERROR(__xludf.dummyfunction("""COMPUTED_VALUE"""),179.78)</f>
        <v>179.78</v>
      </c>
      <c r="D1188" s="2" t="n">
        <f aca="false">IFERROR(__xludf.dummyfunction("""COMPUTED_VALUE"""),175.4)</f>
        <v>175.4</v>
      </c>
      <c r="E1188" s="2" t="n">
        <f aca="false">IFERROR(__xludf.dummyfunction("""COMPUTED_VALUE"""),176.97)</f>
        <v>176.97</v>
      </c>
      <c r="F1188" s="2" t="n">
        <f aca="false">IFERROR(__xludf.dummyfunction("""COMPUTED_VALUE"""),143564116)</f>
        <v>143564116</v>
      </c>
    </row>
    <row r="1189" customFormat="false" ht="15.75" hidden="false" customHeight="false" outlineLevel="0" collapsed="false">
      <c r="A1189" s="3" t="n">
        <f aca="false">IFERROR(__xludf.dummyfunction("""COMPUTED_VALUE"""),45925.6666666667)</f>
        <v>45925.6666666667</v>
      </c>
      <c r="B1189" s="2" t="n">
        <f aca="false">IFERROR(__xludf.dummyfunction("""COMPUTED_VALUE"""),174.48)</f>
        <v>174.48</v>
      </c>
      <c r="C1189" s="2" t="n">
        <f aca="false">IFERROR(__xludf.dummyfunction("""COMPUTED_VALUE"""),180.26)</f>
        <v>180.26</v>
      </c>
      <c r="D1189" s="2" t="n">
        <f aca="false">IFERROR(__xludf.dummyfunction("""COMPUTED_VALUE"""),173.13)</f>
        <v>173.13</v>
      </c>
      <c r="E1189" s="2" t="n">
        <f aca="false">IFERROR(__xludf.dummyfunction("""COMPUTED_VALUE"""),177.69)</f>
        <v>177.69</v>
      </c>
      <c r="F1189" s="2" t="n">
        <f aca="false">IFERROR(__xludf.dummyfunction("""COMPUTED_VALUE"""),191586733)</f>
        <v>191586733</v>
      </c>
    </row>
    <row r="1190" customFormat="false" ht="15.75" hidden="false" customHeight="false" outlineLevel="0" collapsed="false">
      <c r="A1190" s="3" t="n">
        <f aca="false">IFERROR(__xludf.dummyfunction("""COMPUTED_VALUE"""),45926.6666666667)</f>
        <v>45926.6666666667</v>
      </c>
      <c r="B1190" s="2" t="n">
        <f aca="false">IFERROR(__xludf.dummyfunction("""COMPUTED_VALUE"""),178.17)</f>
        <v>178.17</v>
      </c>
      <c r="C1190" s="2" t="n">
        <f aca="false">IFERROR(__xludf.dummyfunction("""COMPUTED_VALUE"""),179.77)</f>
        <v>179.77</v>
      </c>
      <c r="D1190" s="2" t="n">
        <f aca="false">IFERROR(__xludf.dummyfunction("""COMPUTED_VALUE"""),174.93)</f>
        <v>174.93</v>
      </c>
      <c r="E1190" s="2" t="n">
        <f aca="false">IFERROR(__xludf.dummyfunction("""COMPUTED_VALUE"""),178.19)</f>
        <v>178.19</v>
      </c>
      <c r="F1190" s="2" t="n">
        <f aca="false">IFERROR(__xludf.dummyfunction("""COMPUTED_VALUE"""),148573732)</f>
        <v>148573732</v>
      </c>
    </row>
    <row r="1191" customFormat="false" ht="15.75" hidden="false" customHeight="false" outlineLevel="0" collapsed="false">
      <c r="A1191" s="3" t="n">
        <f aca="false">IFERROR(__xludf.dummyfunction("""COMPUTED_VALUE"""),45929.6666666667)</f>
        <v>45929.6666666667</v>
      </c>
      <c r="B1191" s="2" t="n">
        <f aca="false">IFERROR(__xludf.dummyfunction("""COMPUTED_VALUE"""),180.43)</f>
        <v>180.43</v>
      </c>
      <c r="C1191" s="2" t="n">
        <f aca="false">IFERROR(__xludf.dummyfunction("""COMPUTED_VALUE"""),184)</f>
        <v>184</v>
      </c>
      <c r="D1191" s="2" t="n">
        <f aca="false">IFERROR(__xludf.dummyfunction("""COMPUTED_VALUE"""),180.32)</f>
        <v>180.32</v>
      </c>
      <c r="E1191" s="2" t="n">
        <f aca="false">IFERROR(__xludf.dummyfunction("""COMPUTED_VALUE"""),181.85)</f>
        <v>181.85</v>
      </c>
      <c r="F1191" s="2" t="n">
        <f aca="false">IFERROR(__xludf.dummyfunction("""COMPUTED_VALUE"""),193063455)</f>
        <v>193063455</v>
      </c>
    </row>
    <row r="1192" customFormat="false" ht="15.75" hidden="false" customHeight="false" outlineLevel="0" collapsed="false">
      <c r="A1192" s="3" t="n">
        <f aca="false">IFERROR(__xludf.dummyfunction("""COMPUTED_VALUE"""),45930.6666666667)</f>
        <v>45930.6666666667</v>
      </c>
      <c r="B1192" s="2" t="n">
        <f aca="false">IFERROR(__xludf.dummyfunction("""COMPUTED_VALUE"""),182.08)</f>
        <v>182.08</v>
      </c>
      <c r="C1192" s="2" t="n">
        <f aca="false">IFERROR(__xludf.dummyfunction("""COMPUTED_VALUE"""),187.35)</f>
        <v>187.35</v>
      </c>
      <c r="D1192" s="2" t="n">
        <f aca="false">IFERROR(__xludf.dummyfunction("""COMPUTED_VALUE"""),181.48)</f>
        <v>181.48</v>
      </c>
      <c r="E1192" s="2" t="n">
        <f aca="false">IFERROR(__xludf.dummyfunction("""COMPUTED_VALUE"""),186.58)</f>
        <v>186.58</v>
      </c>
      <c r="F1192" s="2" t="n">
        <f aca="false">IFERROR(__xludf.dummyfunction("""COMPUTED_VALUE"""),236981032)</f>
        <v>236981032</v>
      </c>
    </row>
    <row r="1193" customFormat="false" ht="15.75" hidden="false" customHeight="false" outlineLevel="0" collapsed="false">
      <c r="A1193" s="3" t="n">
        <f aca="false">IFERROR(__xludf.dummyfunction("""COMPUTED_VALUE"""),45931.6666666667)</f>
        <v>45931.6666666667</v>
      </c>
      <c r="B1193" s="2" t="n">
        <f aca="false">IFERROR(__xludf.dummyfunction("""COMPUTED_VALUE"""),185.24)</f>
        <v>185.24</v>
      </c>
      <c r="C1193" s="2" t="n">
        <f aca="false">IFERROR(__xludf.dummyfunction("""COMPUTED_VALUE"""),188.14)</f>
        <v>188.14</v>
      </c>
      <c r="D1193" s="2" t="n">
        <f aca="false">IFERROR(__xludf.dummyfunction("""COMPUTED_VALUE"""),183.9)</f>
        <v>183.9</v>
      </c>
      <c r="E1193" s="2" t="n">
        <f aca="false">IFERROR(__xludf.dummyfunction("""COMPUTED_VALUE"""),187.24)</f>
        <v>187.24</v>
      </c>
      <c r="F1193" s="2" t="n">
        <f aca="false">IFERROR(__xludf.dummyfunction("""COMPUTED_VALUE"""),173844901)</f>
        <v>173844901</v>
      </c>
    </row>
    <row r="1194" customFormat="false" ht="15.75" hidden="false" customHeight="false" outlineLevel="0" collapsed="false">
      <c r="A1194" s="3" t="n">
        <f aca="false">IFERROR(__xludf.dummyfunction("""COMPUTED_VALUE"""),45932.6666666667)</f>
        <v>45932.6666666667</v>
      </c>
      <c r="B1194" s="2" t="n">
        <f aca="false">IFERROR(__xludf.dummyfunction("""COMPUTED_VALUE"""),189.6)</f>
        <v>189.6</v>
      </c>
      <c r="C1194" s="2" t="n">
        <f aca="false">IFERROR(__xludf.dummyfunction("""COMPUTED_VALUE"""),191.05)</f>
        <v>191.05</v>
      </c>
      <c r="D1194" s="2" t="n">
        <f aca="false">IFERROR(__xludf.dummyfunction("""COMPUTED_VALUE"""),188.06)</f>
        <v>188.06</v>
      </c>
      <c r="E1194" s="2" t="n">
        <f aca="false">IFERROR(__xludf.dummyfunction("""COMPUTED_VALUE"""),188.89)</f>
        <v>188.89</v>
      </c>
      <c r="F1194" s="2" t="n">
        <f aca="false">IFERROR(__xludf.dummyfunction("""COMPUTED_VALUE"""),136805821)</f>
        <v>136805821</v>
      </c>
    </row>
    <row r="1195" customFormat="false" ht="15.75" hidden="false" customHeight="false" outlineLevel="0" collapsed="false">
      <c r="A1195" s="3" t="n">
        <f aca="false">IFERROR(__xludf.dummyfunction("""COMPUTED_VALUE"""),45933.6666666667)</f>
        <v>45933.6666666667</v>
      </c>
      <c r="B1195" s="2" t="n">
        <f aca="false">IFERROR(__xludf.dummyfunction("""COMPUTED_VALUE"""),189.19)</f>
        <v>189.19</v>
      </c>
      <c r="C1195" s="2" t="n">
        <f aca="false">IFERROR(__xludf.dummyfunction("""COMPUTED_VALUE"""),190.36)</f>
        <v>190.36</v>
      </c>
      <c r="D1195" s="2" t="n">
        <f aca="false">IFERROR(__xludf.dummyfunction("""COMPUTED_VALUE"""),185.38)</f>
        <v>185.38</v>
      </c>
      <c r="E1195" s="2" t="n">
        <f aca="false">IFERROR(__xludf.dummyfunction("""COMPUTED_VALUE"""),187.62)</f>
        <v>187.62</v>
      </c>
      <c r="F1195" s="2" t="n">
        <f aca="false">IFERROR(__xludf.dummyfunction("""COMPUTED_VALUE"""),137596896)</f>
        <v>137596896</v>
      </c>
    </row>
    <row r="1196" customFormat="false" ht="15.75" hidden="false" customHeight="false" outlineLevel="0" collapsed="false">
      <c r="A1196" s="3" t="n">
        <f aca="false">IFERROR(__xludf.dummyfunction("""COMPUTED_VALUE"""),45936.6666666667)</f>
        <v>45936.6666666667</v>
      </c>
      <c r="B1196" s="2" t="n">
        <f aca="false">IFERROR(__xludf.dummyfunction("""COMPUTED_VALUE"""),185.5)</f>
        <v>185.5</v>
      </c>
      <c r="C1196" s="2" t="n">
        <f aca="false">IFERROR(__xludf.dummyfunction("""COMPUTED_VALUE"""),187.23)</f>
        <v>187.23</v>
      </c>
      <c r="D1196" s="2" t="n">
        <f aca="false">IFERROR(__xludf.dummyfunction("""COMPUTED_VALUE"""),183.33)</f>
        <v>183.33</v>
      </c>
      <c r="E1196" s="2" t="n">
        <f aca="false">IFERROR(__xludf.dummyfunction("""COMPUTED_VALUE"""),185.54)</f>
        <v>185.54</v>
      </c>
      <c r="F1196" s="2" t="n">
        <f aca="false">IFERROR(__xludf.dummyfunction("""COMPUTED_VALUE"""),157678104)</f>
        <v>157678104</v>
      </c>
    </row>
    <row r="1197" customFormat="false" ht="15.75" hidden="false" customHeight="false" outlineLevel="0" collapsed="false">
      <c r="A1197" s="3" t="n">
        <f aca="false">IFERROR(__xludf.dummyfunction("""COMPUTED_VALUE"""),45937.6666666667)</f>
        <v>45937.6666666667</v>
      </c>
      <c r="B1197" s="2" t="n">
        <f aca="false">IFERROR(__xludf.dummyfunction("""COMPUTED_VALUE"""),186.23)</f>
        <v>186.23</v>
      </c>
      <c r="C1197" s="2" t="n">
        <f aca="false">IFERROR(__xludf.dummyfunction("""COMPUTED_VALUE"""),189.06)</f>
        <v>189.06</v>
      </c>
      <c r="D1197" s="2" t="n">
        <f aca="false">IFERROR(__xludf.dummyfunction("""COMPUTED_VALUE"""),184)</f>
        <v>184</v>
      </c>
      <c r="E1197" s="2" t="n">
        <f aca="false">IFERROR(__xludf.dummyfunction("""COMPUTED_VALUE"""),185.04)</f>
        <v>185.04</v>
      </c>
      <c r="F1197" s="2" t="n">
        <f aca="false">IFERROR(__xludf.dummyfunction("""COMPUTED_VALUE"""),140088008)</f>
        <v>140088008</v>
      </c>
    </row>
    <row r="1198" customFormat="false" ht="15.75" hidden="false" customHeight="false" outlineLevel="0" collapsed="false">
      <c r="A1198" s="3" t="n">
        <f aca="false">IFERROR(__xludf.dummyfunction("""COMPUTED_VALUE"""),45938.6666666667)</f>
        <v>45938.6666666667</v>
      </c>
      <c r="B1198" s="2" t="n">
        <f aca="false">IFERROR(__xludf.dummyfunction("""COMPUTED_VALUE"""),186.57)</f>
        <v>186.57</v>
      </c>
      <c r="C1198" s="2" t="n">
        <f aca="false">IFERROR(__xludf.dummyfunction("""COMPUTED_VALUE"""),189.6)</f>
        <v>189.6</v>
      </c>
      <c r="D1198" s="2" t="n">
        <f aca="false">IFERROR(__xludf.dummyfunction("""COMPUTED_VALUE"""),186.54)</f>
        <v>186.54</v>
      </c>
      <c r="E1198" s="2" t="n">
        <f aca="false">IFERROR(__xludf.dummyfunction("""COMPUTED_VALUE"""),189.11)</f>
        <v>189.11</v>
      </c>
      <c r="F1198" s="2" t="n">
        <f aca="false">IFERROR(__xludf.dummyfunction("""COMPUTED_VALUE"""),130168861)</f>
        <v>130168861</v>
      </c>
    </row>
    <row r="1199" customFormat="false" ht="15.75" hidden="false" customHeight="false" outlineLevel="0" collapsed="false">
      <c r="A1199" s="3" t="n">
        <f aca="false">IFERROR(__xludf.dummyfunction("""COMPUTED_VALUE"""),45939.6666666667)</f>
        <v>45939.6666666667</v>
      </c>
      <c r="B1199" s="2" t="n">
        <f aca="false">IFERROR(__xludf.dummyfunction("""COMPUTED_VALUE"""),192.23)</f>
        <v>192.23</v>
      </c>
      <c r="C1199" s="2" t="n">
        <f aca="false">IFERROR(__xludf.dummyfunction("""COMPUTED_VALUE"""),195.3)</f>
        <v>195.3</v>
      </c>
      <c r="D1199" s="2" t="n">
        <f aca="false">IFERROR(__xludf.dummyfunction("""COMPUTED_VALUE"""),191.06)</f>
        <v>191.06</v>
      </c>
      <c r="E1199" s="2" t="n">
        <f aca="false">IFERROR(__xludf.dummyfunction("""COMPUTED_VALUE"""),192.57)</f>
        <v>192.57</v>
      </c>
      <c r="F1199" s="2" t="n">
        <f aca="false">IFERROR(__xludf.dummyfunction("""COMPUTED_VALUE"""),182997234)</f>
        <v>182997234</v>
      </c>
    </row>
    <row r="1200" customFormat="false" ht="15.75" hidden="false" customHeight="false" outlineLevel="0" collapsed="false">
      <c r="A1200" s="3" t="n">
        <f aca="false">IFERROR(__xludf.dummyfunction("""COMPUTED_VALUE"""),45940.6666666667)</f>
        <v>45940.6666666667</v>
      </c>
      <c r="B1200" s="2" t="n">
        <f aca="false">IFERROR(__xludf.dummyfunction("""COMPUTED_VALUE"""),193.51)</f>
        <v>193.51</v>
      </c>
      <c r="C1200" s="2" t="n">
        <f aca="false">IFERROR(__xludf.dummyfunction("""COMPUTED_VALUE"""),195.62)</f>
        <v>195.62</v>
      </c>
      <c r="D1200" s="2" t="n">
        <f aca="false">IFERROR(__xludf.dummyfunction("""COMPUTED_VALUE"""),182.05)</f>
        <v>182.05</v>
      </c>
      <c r="E1200" s="2" t="n">
        <f aca="false">IFERROR(__xludf.dummyfunction("""COMPUTED_VALUE"""),183.16)</f>
        <v>183.16</v>
      </c>
      <c r="F1200" s="2" t="n">
        <f aca="false">IFERROR(__xludf.dummyfunction("""COMPUTED_VALUE"""),268774359)</f>
        <v>268774359</v>
      </c>
    </row>
    <row r="1201" customFormat="false" ht="15.75" hidden="false" customHeight="false" outlineLevel="0" collapsed="false">
      <c r="A1201" s="3" t="n">
        <f aca="false">IFERROR(__xludf.dummyfunction("""COMPUTED_VALUE"""),45943.6666666667)</f>
        <v>45943.6666666667</v>
      </c>
      <c r="B1201" s="2" t="n">
        <f aca="false">IFERROR(__xludf.dummyfunction("""COMPUTED_VALUE"""),187.97)</f>
        <v>187.97</v>
      </c>
      <c r="C1201" s="2" t="n">
        <f aca="false">IFERROR(__xludf.dummyfunction("""COMPUTED_VALUE"""),190.11)</f>
        <v>190.11</v>
      </c>
      <c r="D1201" s="2" t="n">
        <f aca="false">IFERROR(__xludf.dummyfunction("""COMPUTED_VALUE"""),185.96)</f>
        <v>185.96</v>
      </c>
      <c r="E1201" s="2" t="n">
        <f aca="false">IFERROR(__xludf.dummyfunction("""COMPUTED_VALUE"""),188.32)</f>
        <v>188.32</v>
      </c>
      <c r="F1201" s="2" t="n">
        <f aca="false">IFERROR(__xludf.dummyfunction("""COMPUTED_VALUE"""),153482755)</f>
        <v>153482755</v>
      </c>
    </row>
    <row r="1202" customFormat="false" ht="15.75" hidden="false" customHeight="false" outlineLevel="0" collapsed="false">
      <c r="A1202" s="3" t="n">
        <f aca="false">IFERROR(__xludf.dummyfunction("""COMPUTED_VALUE"""),45944.6666666667)</f>
        <v>45944.6666666667</v>
      </c>
      <c r="B1202" s="2" t="n">
        <f aca="false">IFERROR(__xludf.dummyfunction("""COMPUTED_VALUE"""),184.77)</f>
        <v>184.77</v>
      </c>
      <c r="C1202" s="2" t="n">
        <f aca="false">IFERROR(__xludf.dummyfunction("""COMPUTED_VALUE"""),184.8)</f>
        <v>184.8</v>
      </c>
      <c r="D1202" s="2" t="n">
        <f aca="false">IFERROR(__xludf.dummyfunction("""COMPUTED_VALUE"""),179.7)</f>
        <v>179.7</v>
      </c>
      <c r="E1202" s="2" t="n">
        <f aca="false">IFERROR(__xludf.dummyfunction("""COMPUTED_VALUE"""),180.03)</f>
        <v>180.03</v>
      </c>
      <c r="F1202" s="2" t="n">
        <f aca="false">IFERROR(__xludf.dummyfunction("""COMPUTED_VALUE"""),205641380)</f>
        <v>205641380</v>
      </c>
    </row>
    <row r="1203" customFormat="false" ht="15.75" hidden="false" customHeight="false" outlineLevel="0" collapsed="false">
      <c r="A1203" s="3" t="n">
        <f aca="false">IFERROR(__xludf.dummyfunction("""COMPUTED_VALUE"""),45945.6666666667)</f>
        <v>45945.6666666667</v>
      </c>
      <c r="B1203" s="2" t="n">
        <f aca="false">IFERROR(__xludf.dummyfunction("""COMPUTED_VALUE"""),184.8)</f>
        <v>184.8</v>
      </c>
      <c r="C1203" s="2" t="n">
        <f aca="false">IFERROR(__xludf.dummyfunction("""COMPUTED_VALUE"""),184.87)</f>
        <v>184.87</v>
      </c>
      <c r="D1203" s="2" t="n">
        <f aca="false">IFERROR(__xludf.dummyfunction("""COMPUTED_VALUE"""),177.29)</f>
        <v>177.29</v>
      </c>
      <c r="E1203" s="2" t="n">
        <f aca="false">IFERROR(__xludf.dummyfunction("""COMPUTED_VALUE"""),179.83)</f>
        <v>179.83</v>
      </c>
      <c r="F1203" s="2" t="n">
        <f aca="false">IFERROR(__xludf.dummyfunction("""COMPUTED_VALUE"""),214450482)</f>
        <v>214450482</v>
      </c>
    </row>
    <row r="1204" customFormat="false" ht="15.75" hidden="false" customHeight="false" outlineLevel="0" collapsed="false">
      <c r="A1204" s="3" t="n">
        <f aca="false">IFERROR(__xludf.dummyfunction("""COMPUTED_VALUE"""),45946.6666666667)</f>
        <v>45946.6666666667</v>
      </c>
      <c r="B1204" s="2" t="n">
        <f aca="false">IFERROR(__xludf.dummyfunction("""COMPUTED_VALUE"""),182.23)</f>
        <v>182.23</v>
      </c>
      <c r="C1204" s="2" t="n">
        <f aca="false">IFERROR(__xludf.dummyfunction("""COMPUTED_VALUE"""),183.28)</f>
        <v>183.28</v>
      </c>
      <c r="D1204" s="2" t="n">
        <f aca="false">IFERROR(__xludf.dummyfunction("""COMPUTED_VALUE"""),179.77)</f>
        <v>179.77</v>
      </c>
      <c r="E1204" s="2" t="n">
        <f aca="false">IFERROR(__xludf.dummyfunction("""COMPUTED_VALUE"""),181.81)</f>
        <v>181.81</v>
      </c>
      <c r="F1204" s="2" t="n">
        <f aca="false">IFERROR(__xludf.dummyfunction("""COMPUTED_VALUE"""),179723309)</f>
        <v>179723309</v>
      </c>
    </row>
    <row r="1205" customFormat="false" ht="15.75" hidden="false" customHeight="false" outlineLevel="0" collapsed="false">
      <c r="A1205" s="3" t="n">
        <f aca="false">IFERROR(__xludf.dummyfunction("""COMPUTED_VALUE"""),45947.6666666667)</f>
        <v>45947.6666666667</v>
      </c>
      <c r="B1205" s="2" t="n">
        <f aca="false">IFERROR(__xludf.dummyfunction("""COMPUTED_VALUE"""),180.18)</f>
        <v>180.18</v>
      </c>
      <c r="C1205" s="2" t="n">
        <f aca="false">IFERROR(__xludf.dummyfunction("""COMPUTED_VALUE"""),184.1)</f>
        <v>184.1</v>
      </c>
      <c r="D1205" s="2" t="n">
        <f aca="false">IFERROR(__xludf.dummyfunction("""COMPUTED_VALUE"""),179.75)</f>
        <v>179.75</v>
      </c>
      <c r="E1205" s="2" t="n">
        <f aca="false">IFERROR(__xludf.dummyfunction("""COMPUTED_VALUE"""),183.22)</f>
        <v>183.22</v>
      </c>
      <c r="F1205" s="2" t="n">
        <f aca="false">IFERROR(__xludf.dummyfunction("""COMPUTED_VALUE"""),173135217)</f>
        <v>173135217</v>
      </c>
    </row>
    <row r="1206" customFormat="false" ht="15.75" hidden="false" customHeight="false" outlineLevel="0" collapsed="false">
      <c r="A1206" s="3" t="n">
        <f aca="false">IFERROR(__xludf.dummyfunction("""COMPUTED_VALUE"""),45950.6666666667)</f>
        <v>45950.6666666667</v>
      </c>
      <c r="B1206" s="2" t="n">
        <f aca="false">IFERROR(__xludf.dummyfunction("""COMPUTED_VALUE"""),183.13)</f>
        <v>183.13</v>
      </c>
      <c r="C1206" s="2" t="n">
        <f aca="false">IFERROR(__xludf.dummyfunction("""COMPUTED_VALUE"""),185.2)</f>
        <v>185.2</v>
      </c>
      <c r="D1206" s="2" t="n">
        <f aca="false">IFERROR(__xludf.dummyfunction("""COMPUTED_VALUE"""),181.73)</f>
        <v>181.73</v>
      </c>
      <c r="E1206" s="2" t="n">
        <f aca="false">IFERROR(__xludf.dummyfunction("""COMPUTED_VALUE"""),182.64)</f>
        <v>182.64</v>
      </c>
      <c r="F1206" s="2" t="n">
        <f aca="false">IFERROR(__xludf.dummyfunction("""COMPUTED_VALUE"""),128544711)</f>
        <v>128544711</v>
      </c>
    </row>
    <row r="1207" customFormat="false" ht="15.75" hidden="false" customHeight="false" outlineLevel="0" collapsed="false">
      <c r="A1207" s="3" t="n">
        <f aca="false">IFERROR(__xludf.dummyfunction("""COMPUTED_VALUE"""),45951.6666666667)</f>
        <v>45951.6666666667</v>
      </c>
      <c r="B1207" s="2" t="n">
        <f aca="false">IFERROR(__xludf.dummyfunction("""COMPUTED_VALUE"""),182.79)</f>
        <v>182.79</v>
      </c>
      <c r="C1207" s="2" t="n">
        <f aca="false">IFERROR(__xludf.dummyfunction("""COMPUTED_VALUE"""),182.79)</f>
        <v>182.79</v>
      </c>
      <c r="D1207" s="2" t="n">
        <f aca="false">IFERROR(__xludf.dummyfunction("""COMPUTED_VALUE"""),179.8)</f>
        <v>179.8</v>
      </c>
      <c r="E1207" s="2" t="n">
        <f aca="false">IFERROR(__xludf.dummyfunction("""COMPUTED_VALUE"""),181.16)</f>
        <v>181.16</v>
      </c>
      <c r="F1207" s="2" t="n">
        <f aca="false">IFERROR(__xludf.dummyfunction("""COMPUTED_VALUE"""),124240168)</f>
        <v>124240168</v>
      </c>
    </row>
    <row r="1208" customFormat="false" ht="15.75" hidden="false" customHeight="false" outlineLevel="0" collapsed="false">
      <c r="A1208" s="3" t="n">
        <f aca="false">IFERROR(__xludf.dummyfunction("""COMPUTED_VALUE"""),45952.6666666667)</f>
        <v>45952.6666666667</v>
      </c>
      <c r="B1208" s="2" t="n">
        <f aca="false">IFERROR(__xludf.dummyfunction("""COMPUTED_VALUE"""),181.14)</f>
        <v>181.14</v>
      </c>
      <c r="C1208" s="2" t="n">
        <f aca="false">IFERROR(__xludf.dummyfunction("""COMPUTED_VALUE"""),183.44)</f>
        <v>183.44</v>
      </c>
      <c r="D1208" s="2" t="n">
        <f aca="false">IFERROR(__xludf.dummyfunction("""COMPUTED_VALUE"""),176.76)</f>
        <v>176.76</v>
      </c>
      <c r="E1208" s="2" t="n">
        <f aca="false">IFERROR(__xludf.dummyfunction("""COMPUTED_VALUE"""),180.28)</f>
        <v>180.28</v>
      </c>
      <c r="F1208" s="2" t="n">
        <f aca="false">IFERROR(__xludf.dummyfunction("""COMPUTED_VALUE"""),162249552)</f>
        <v>162249552</v>
      </c>
    </row>
    <row r="1209" customFormat="false" ht="15.75" hidden="false" customHeight="false" outlineLevel="0" collapsed="false">
      <c r="A1209" s="3" t="n">
        <f aca="false">IFERROR(__xludf.dummyfunction("""COMPUTED_VALUE"""),45953.6666666667)</f>
        <v>45953.6666666667</v>
      </c>
      <c r="B1209" s="2" t="n">
        <f aca="false">IFERROR(__xludf.dummyfunction("""COMPUTED_VALUE"""),180.42)</f>
        <v>180.42</v>
      </c>
      <c r="C1209" s="2" t="n">
        <f aca="false">IFERROR(__xludf.dummyfunction("""COMPUTED_VALUE"""),183.03)</f>
        <v>183.03</v>
      </c>
      <c r="D1209" s="2" t="n">
        <f aca="false">IFERROR(__xludf.dummyfunction("""COMPUTED_VALUE"""),179.79)</f>
        <v>179.79</v>
      </c>
      <c r="E1209" s="2" t="n">
        <f aca="false">IFERROR(__xludf.dummyfunction("""COMPUTED_VALUE"""),182.16)</f>
        <v>182.16</v>
      </c>
      <c r="F1209" s="2" t="n">
        <f aca="false">IFERROR(__xludf.dummyfunction("""COMPUTED_VALUE"""),111363718)</f>
        <v>111363718</v>
      </c>
    </row>
    <row r="1210" customFormat="false" ht="15.75" hidden="false" customHeight="false" outlineLevel="0" collapsed="false">
      <c r="A1210" s="3" t="n">
        <f aca="false">IFERROR(__xludf.dummyfunction("""COMPUTED_VALUE"""),45954.6666666667)</f>
        <v>45954.6666666667</v>
      </c>
      <c r="B1210" s="2" t="n">
        <f aca="false">IFERROR(__xludf.dummyfunction("""COMPUTED_VALUE"""),183.84)</f>
        <v>183.84</v>
      </c>
      <c r="C1210" s="2" t="n">
        <f aca="false">IFERROR(__xludf.dummyfunction("""COMPUTED_VALUE"""),187.47)</f>
        <v>187.47</v>
      </c>
      <c r="D1210" s="2" t="n">
        <f aca="false">IFERROR(__xludf.dummyfunction("""COMPUTED_VALUE"""),183.5)</f>
        <v>183.5</v>
      </c>
      <c r="E1210" s="2" t="n">
        <f aca="false">IFERROR(__xludf.dummyfunction("""COMPUTED_VALUE"""),186.26)</f>
        <v>186.26</v>
      </c>
      <c r="F1210" s="2" t="n">
        <f aca="false">IFERROR(__xludf.dummyfunction("""COMPUTED_VALUE"""),131296677)</f>
        <v>131296677</v>
      </c>
    </row>
    <row r="1211" customFormat="false" ht="15.75" hidden="false" customHeight="false" outlineLevel="0" collapsed="false">
      <c r="A1211" s="3" t="n">
        <f aca="false">IFERROR(__xludf.dummyfunction("""COMPUTED_VALUE"""),45957.6666666667)</f>
        <v>45957.6666666667</v>
      </c>
      <c r="B1211" s="2" t="n">
        <f aca="false">IFERROR(__xludf.dummyfunction("""COMPUTED_VALUE"""),189.99)</f>
        <v>189.99</v>
      </c>
      <c r="C1211" s="2" t="n">
        <f aca="false">IFERROR(__xludf.dummyfunction("""COMPUTED_VALUE"""),192)</f>
        <v>192</v>
      </c>
      <c r="D1211" s="2" t="n">
        <f aca="false">IFERROR(__xludf.dummyfunction("""COMPUTED_VALUE"""),188.43)</f>
        <v>188.43</v>
      </c>
      <c r="E1211" s="2" t="n">
        <f aca="false">IFERROR(__xludf.dummyfunction("""COMPUTED_VALUE"""),191.49)</f>
        <v>191.49</v>
      </c>
      <c r="F1211" s="2" t="n">
        <f aca="false">IFERROR(__xludf.dummyfunction("""COMPUTED_VALUE"""),153452704)</f>
        <v>153452704</v>
      </c>
    </row>
    <row r="1212" customFormat="false" ht="15.75" hidden="false" customHeight="false" outlineLevel="0" collapsed="false">
      <c r="A1212" s="3" t="n">
        <f aca="false">IFERROR(__xludf.dummyfunction("""COMPUTED_VALUE"""),45958.6666666667)</f>
        <v>45958.6666666667</v>
      </c>
      <c r="B1212" s="2" t="n">
        <f aca="false">IFERROR(__xludf.dummyfunction("""COMPUTED_VALUE"""),193.05)</f>
        <v>193.05</v>
      </c>
      <c r="C1212" s="2" t="n">
        <f aca="false">IFERROR(__xludf.dummyfunction("""COMPUTED_VALUE"""),203.15)</f>
        <v>203.15</v>
      </c>
      <c r="D1212" s="2" t="n">
        <f aca="false">IFERROR(__xludf.dummyfunction("""COMPUTED_VALUE"""),191.91)</f>
        <v>191.91</v>
      </c>
      <c r="E1212" s="2" t="n">
        <f aca="false">IFERROR(__xludf.dummyfunction("""COMPUTED_VALUE"""),201.03)</f>
        <v>201.03</v>
      </c>
      <c r="F1212" s="2" t="n">
        <f aca="false">IFERROR(__xludf.dummyfunction("""COMPUTED_VALUE"""),297986180)</f>
        <v>297986180</v>
      </c>
    </row>
    <row r="1213" customFormat="false" ht="15.75" hidden="false" customHeight="false" outlineLevel="0" collapsed="false">
      <c r="A1213" s="3" t="n">
        <f aca="false">IFERROR(__xludf.dummyfunction("""COMPUTED_VALUE"""),45959.6666666667)</f>
        <v>45959.6666666667</v>
      </c>
      <c r="B1213" s="2" t="n">
        <f aca="false">IFERROR(__xludf.dummyfunction("""COMPUTED_VALUE"""),207.98)</f>
        <v>207.98</v>
      </c>
      <c r="C1213" s="2" t="n">
        <f aca="false">IFERROR(__xludf.dummyfunction("""COMPUTED_VALUE"""),212.19)</f>
        <v>212.19</v>
      </c>
      <c r="D1213" s="2" t="n">
        <f aca="false">IFERROR(__xludf.dummyfunction("""COMPUTED_VALUE"""),204.78)</f>
        <v>204.78</v>
      </c>
      <c r="E1213" s="2" t="n">
        <f aca="false">IFERROR(__xludf.dummyfunction("""COMPUTED_VALUE"""),207.04)</f>
        <v>207.04</v>
      </c>
      <c r="F1213" s="2" t="n">
        <f aca="false">IFERROR(__xludf.dummyfunction("""COMPUTED_VALUE"""),308829564)</f>
        <v>308829564</v>
      </c>
    </row>
    <row r="1214" customFormat="false" ht="15.75" hidden="false" customHeight="false" outlineLevel="0" collapsed="false">
      <c r="A1214" s="3" t="n">
        <f aca="false">IFERROR(__xludf.dummyfunction("""COMPUTED_VALUE"""),45960.6666666667)</f>
        <v>45960.6666666667</v>
      </c>
      <c r="B1214" s="2" t="n">
        <f aca="false">IFERROR(__xludf.dummyfunction("""COMPUTED_VALUE"""),205.15)</f>
        <v>205.15</v>
      </c>
      <c r="C1214" s="2" t="n">
        <f aca="false">IFERROR(__xludf.dummyfunction("""COMPUTED_VALUE"""),206.16)</f>
        <v>206.16</v>
      </c>
      <c r="D1214" s="2" t="n">
        <f aca="false">IFERROR(__xludf.dummyfunction("""COMPUTED_VALUE"""),201.41)</f>
        <v>201.41</v>
      </c>
      <c r="E1214" s="2" t="n">
        <f aca="false">IFERROR(__xludf.dummyfunction("""COMPUTED_VALUE"""),202.89)</f>
        <v>202.89</v>
      </c>
      <c r="F1214" s="2" t="n">
        <f aca="false">IFERROR(__xludf.dummyfunction("""COMPUTED_VALUE"""),178864443)</f>
        <v>178864443</v>
      </c>
    </row>
    <row r="1215" customFormat="false" ht="15.75" hidden="false" customHeight="false" outlineLevel="0" collapsed="false">
      <c r="A1215" s="3" t="n">
        <f aca="false">IFERROR(__xludf.dummyfunction("""COMPUTED_VALUE"""),45961.6666666667)</f>
        <v>45961.6666666667</v>
      </c>
      <c r="B1215" s="2" t="n">
        <f aca="false">IFERROR(__xludf.dummyfunction("""COMPUTED_VALUE"""),206.45)</f>
        <v>206.45</v>
      </c>
      <c r="C1215" s="2" t="n">
        <f aca="false">IFERROR(__xludf.dummyfunction("""COMPUTED_VALUE"""),207.97)</f>
        <v>207.97</v>
      </c>
      <c r="D1215" s="2" t="n">
        <f aca="false">IFERROR(__xludf.dummyfunction("""COMPUTED_VALUE"""),202.07)</f>
        <v>202.07</v>
      </c>
      <c r="E1215" s="2" t="n">
        <f aca="false">IFERROR(__xludf.dummyfunction("""COMPUTED_VALUE"""),202.49)</f>
        <v>202.49</v>
      </c>
      <c r="F1215" s="2" t="n">
        <f aca="false">IFERROR(__xludf.dummyfunction("""COMPUTED_VALUE"""),179802178)</f>
        <v>179802178</v>
      </c>
    </row>
    <row r="1216" customFormat="false" ht="15.75" hidden="false" customHeight="false" outlineLevel="0" collapsed="false">
      <c r="A1216" s="3" t="n">
        <f aca="false">IFERROR(__xludf.dummyfunction("""COMPUTED_VALUE"""),45964.6666666667)</f>
        <v>45964.6666666667</v>
      </c>
      <c r="B1216" s="2" t="n">
        <f aca="false">IFERROR(__xludf.dummyfunction("""COMPUTED_VALUE"""),208.08)</f>
        <v>208.08</v>
      </c>
      <c r="C1216" s="2" t="n">
        <f aca="false">IFERROR(__xludf.dummyfunction("""COMPUTED_VALUE"""),211.34)</f>
        <v>211.34</v>
      </c>
      <c r="D1216" s="2" t="n">
        <f aca="false">IFERROR(__xludf.dummyfunction("""COMPUTED_VALUE"""),205.56)</f>
        <v>205.56</v>
      </c>
      <c r="E1216" s="2" t="n">
        <f aca="false">IFERROR(__xludf.dummyfunction("""COMPUTED_VALUE"""),206.88)</f>
        <v>206.88</v>
      </c>
      <c r="F1216" s="2" t="n">
        <f aca="false">IFERROR(__xludf.dummyfunction("""COMPUTED_VALUE"""),180267285)</f>
        <v>180267285</v>
      </c>
    </row>
    <row r="1217" customFormat="false" ht="15.75" hidden="false" customHeight="false" outlineLevel="0" collapsed="false">
      <c r="A1217" s="3" t="n">
        <f aca="false">IFERROR(__xludf.dummyfunction("""COMPUTED_VALUE"""),45965.6666666667)</f>
        <v>45965.6666666667</v>
      </c>
      <c r="B1217" s="2" t="n">
        <f aca="false">IFERROR(__xludf.dummyfunction("""COMPUTED_VALUE"""),203)</f>
        <v>203</v>
      </c>
      <c r="C1217" s="2" t="n">
        <f aca="false">IFERROR(__xludf.dummyfunction("""COMPUTED_VALUE"""),203.97)</f>
        <v>203.97</v>
      </c>
      <c r="D1217" s="2" t="n">
        <f aca="false">IFERROR(__xludf.dummyfunction("""COMPUTED_VALUE"""),197.93)</f>
        <v>197.93</v>
      </c>
      <c r="E1217" s="2" t="n">
        <f aca="false">IFERROR(__xludf.dummyfunction("""COMPUTED_VALUE"""),198.69)</f>
        <v>198.69</v>
      </c>
      <c r="F1217" s="2" t="n">
        <f aca="false">IFERROR(__xludf.dummyfunction("""COMPUTED_VALUE"""),188919320)</f>
        <v>188919320</v>
      </c>
    </row>
    <row r="1218" customFormat="false" ht="15.75" hidden="false" customHeight="false" outlineLevel="0" collapsed="false">
      <c r="A1218" s="3" t="n">
        <f aca="false">IFERROR(__xludf.dummyfunction("""COMPUTED_VALUE"""),45966.6666666667)</f>
        <v>45966.6666666667</v>
      </c>
      <c r="B1218" s="2" t="n">
        <f aca="false">IFERROR(__xludf.dummyfunction("""COMPUTED_VALUE"""),198.77)</f>
        <v>198.77</v>
      </c>
      <c r="C1218" s="2" t="n">
        <f aca="false">IFERROR(__xludf.dummyfunction("""COMPUTED_VALUE"""),202.92)</f>
        <v>202.92</v>
      </c>
      <c r="D1218" s="2" t="n">
        <f aca="false">IFERROR(__xludf.dummyfunction("""COMPUTED_VALUE"""),194.65)</f>
        <v>194.65</v>
      </c>
      <c r="E1218" s="2" t="n">
        <f aca="false">IFERROR(__xludf.dummyfunction("""COMPUTED_VALUE"""),195.21)</f>
        <v>195.21</v>
      </c>
      <c r="F1218" s="2" t="n">
        <f aca="false">IFERROR(__xludf.dummyfunction("""COMPUTED_VALUE"""),171350332)</f>
        <v>171350332</v>
      </c>
    </row>
    <row r="1219" customFormat="false" ht="15.75" hidden="false" customHeight="false" outlineLevel="0" collapsed="false">
      <c r="A1219" s="3" t="n">
        <f aca="false">IFERROR(__xludf.dummyfunction("""COMPUTED_VALUE"""),45967.6666666667)</f>
        <v>45967.6666666667</v>
      </c>
      <c r="B1219" s="2" t="n">
        <f aca="false">IFERROR(__xludf.dummyfunction("""COMPUTED_VALUE"""),196.42)</f>
        <v>196.42</v>
      </c>
      <c r="C1219" s="2" t="n">
        <f aca="false">IFERROR(__xludf.dummyfunction("""COMPUTED_VALUE"""),197.62)</f>
        <v>197.62</v>
      </c>
      <c r="D1219" s="2" t="n">
        <f aca="false">IFERROR(__xludf.dummyfunction("""COMPUTED_VALUE"""),186.38)</f>
        <v>186.38</v>
      </c>
      <c r="E1219" s="2" t="n">
        <f aca="false">IFERROR(__xludf.dummyfunction("""COMPUTED_VALUE"""),188.08)</f>
        <v>188.08</v>
      </c>
      <c r="F1219" s="2" t="n">
        <f aca="false">IFERROR(__xludf.dummyfunction("""COMPUTED_VALUE"""),223029778)</f>
        <v>223029778</v>
      </c>
    </row>
    <row r="1220" customFormat="false" ht="15.75" hidden="false" customHeight="false" outlineLevel="0" collapsed="false">
      <c r="A1220" s="3" t="n">
        <f aca="false">IFERROR(__xludf.dummyfunction("""COMPUTED_VALUE"""),45968.6666666667)</f>
        <v>45968.6666666667</v>
      </c>
      <c r="B1220" s="2" t="n">
        <f aca="false">IFERROR(__xludf.dummyfunction("""COMPUTED_VALUE"""),184.9)</f>
        <v>184.9</v>
      </c>
      <c r="C1220" s="2" t="n">
        <f aca="false">IFERROR(__xludf.dummyfunction("""COMPUTED_VALUE"""),188.32)</f>
        <v>188.32</v>
      </c>
      <c r="D1220" s="2" t="n">
        <f aca="false">IFERROR(__xludf.dummyfunction("""COMPUTED_VALUE"""),178.91)</f>
        <v>178.91</v>
      </c>
      <c r="E1220" s="2" t="n">
        <f aca="false">IFERROR(__xludf.dummyfunction("""COMPUTED_VALUE"""),188.15)</f>
        <v>188.15</v>
      </c>
      <c r="F1220" s="2" t="n">
        <f aca="false">IFERROR(__xludf.dummyfunction("""COMPUTED_VALUE"""),264942255)</f>
        <v>264942255</v>
      </c>
    </row>
    <row r="1221" customFormat="false" ht="15.75" hidden="false" customHeight="false" outlineLevel="0" collapsed="false">
      <c r="A1221" s="3" t="n">
        <f aca="false">IFERROR(__xludf.dummyfunction("""COMPUTED_VALUE"""),45971.6666666667)</f>
        <v>45971.6666666667</v>
      </c>
      <c r="B1221" s="2" t="n">
        <f aca="false">IFERROR(__xludf.dummyfunction("""COMPUTED_VALUE"""),195.11)</f>
        <v>195.11</v>
      </c>
      <c r="C1221" s="2" t="n">
        <f aca="false">IFERROR(__xludf.dummyfunction("""COMPUTED_VALUE"""),199.94)</f>
        <v>199.94</v>
      </c>
      <c r="D1221" s="2" t="n">
        <f aca="false">IFERROR(__xludf.dummyfunction("""COMPUTED_VALUE"""),193.79)</f>
        <v>193.79</v>
      </c>
      <c r="E1221" s="2" t="n">
        <f aca="false">IFERROR(__xludf.dummyfunction("""COMPUTED_VALUE"""),199.05)</f>
        <v>199.05</v>
      </c>
      <c r="F1221" s="2" t="n">
        <f aca="false">IFERROR(__xludf.dummyfunction("""COMPUTED_VALUE"""),198897134)</f>
        <v>198897134</v>
      </c>
    </row>
    <row r="1222" customFormat="false" ht="15.75" hidden="false" customHeight="false" outlineLevel="0" collapsed="false">
      <c r="A1222" s="3" t="n">
        <f aca="false">IFERROR(__xludf.dummyfunction("""COMPUTED_VALUE"""),45972.6666666667)</f>
        <v>45972.6666666667</v>
      </c>
      <c r="B1222" s="2" t="n">
        <f aca="false">IFERROR(__xludf.dummyfunction("""COMPUTED_VALUE"""),195.16)</f>
        <v>195.16</v>
      </c>
      <c r="C1222" s="2" t="n">
        <f aca="false">IFERROR(__xludf.dummyfunction("""COMPUTED_VALUE"""),195.42)</f>
        <v>195.42</v>
      </c>
      <c r="D1222" s="2" t="n">
        <f aca="false">IFERROR(__xludf.dummyfunction("""COMPUTED_VALUE"""),191.3)</f>
        <v>191.3</v>
      </c>
      <c r="E1222" s="2" t="n">
        <f aca="false">IFERROR(__xludf.dummyfunction("""COMPUTED_VALUE"""),193.16)</f>
        <v>193.16</v>
      </c>
      <c r="F1222" s="2" t="n">
        <f aca="false">IFERROR(__xludf.dummyfunction("""COMPUTED_VALUE"""),176483327)</f>
        <v>176483327</v>
      </c>
    </row>
    <row r="1223" customFormat="false" ht="15.75" hidden="false" customHeight="false" outlineLevel="0" collapsed="false">
      <c r="A1223" s="3" t="n">
        <f aca="false">IFERROR(__xludf.dummyfunction("""COMPUTED_VALUE"""),45973.6666666667)</f>
        <v>45973.6666666667</v>
      </c>
      <c r="B1223" s="2" t="n">
        <f aca="false">IFERROR(__xludf.dummyfunction("""COMPUTED_VALUE"""),195.72)</f>
        <v>195.72</v>
      </c>
      <c r="C1223" s="2" t="n">
        <f aca="false">IFERROR(__xludf.dummyfunction("""COMPUTED_VALUE"""),195.89)</f>
        <v>195.89</v>
      </c>
      <c r="D1223" s="2" t="n">
        <f aca="false">IFERROR(__xludf.dummyfunction("""COMPUTED_VALUE"""),191.13)</f>
        <v>191.13</v>
      </c>
      <c r="E1223" s="2" t="n">
        <f aca="false">IFERROR(__xludf.dummyfunction("""COMPUTED_VALUE"""),193.8)</f>
        <v>193.8</v>
      </c>
      <c r="F1223" s="2" t="n">
        <f aca="false">IFERROR(__xludf.dummyfunction("""COMPUTED_VALUE"""),154935263)</f>
        <v>154935263</v>
      </c>
    </row>
    <row r="1224" customFormat="false" ht="15.75" hidden="false" customHeight="false" outlineLevel="0" collapsed="false">
      <c r="A1224" s="3" t="n">
        <f aca="false">IFERROR(__xludf.dummyfunction("""COMPUTED_VALUE"""),45974.6666666667)</f>
        <v>45974.6666666667</v>
      </c>
      <c r="B1224" s="2" t="n">
        <f aca="false">IFERROR(__xludf.dummyfunction("""COMPUTED_VALUE"""),191.05)</f>
        <v>191.05</v>
      </c>
      <c r="C1224" s="2" t="n">
        <f aca="false">IFERROR(__xludf.dummyfunction("""COMPUTED_VALUE"""),191.44)</f>
        <v>191.44</v>
      </c>
      <c r="D1224" s="2" t="n">
        <f aca="false">IFERROR(__xludf.dummyfunction("""COMPUTED_VALUE"""),183.85)</f>
        <v>183.85</v>
      </c>
      <c r="E1224" s="2" t="n">
        <f aca="false">IFERROR(__xludf.dummyfunction("""COMPUTED_VALUE"""),186.86)</f>
        <v>186.86</v>
      </c>
      <c r="F1224" s="2" t="n">
        <f aca="false">IFERROR(__xludf.dummyfunction("""COMPUTED_VALUE"""),207423074)</f>
        <v>207423074</v>
      </c>
    </row>
    <row r="1225" customFormat="false" ht="15.75" hidden="false" customHeight="false" outlineLevel="0" collapsed="false">
      <c r="A1225" s="3" t="n">
        <f aca="false">IFERROR(__xludf.dummyfunction("""COMPUTED_VALUE"""),45975.6666666667)</f>
        <v>45975.6666666667</v>
      </c>
      <c r="B1225" s="2" t="n">
        <f aca="false">IFERROR(__xludf.dummyfunction("""COMPUTED_VALUE"""),182.86)</f>
        <v>182.86</v>
      </c>
      <c r="C1225" s="2" t="n">
        <f aca="false">IFERROR(__xludf.dummyfunction("""COMPUTED_VALUE"""),191.01)</f>
        <v>191.01</v>
      </c>
      <c r="D1225" s="2" t="n">
        <f aca="false">IFERROR(__xludf.dummyfunction("""COMPUTED_VALUE"""),180.58)</f>
        <v>180.58</v>
      </c>
      <c r="E1225" s="2" t="n">
        <f aca="false">IFERROR(__xludf.dummyfunction("""COMPUTED_VALUE"""),190.17)</f>
        <v>190.17</v>
      </c>
      <c r="F1225" s="2" t="n">
        <f aca="false">IFERROR(__xludf.dummyfunction("""COMPUTED_VALUE"""),186591856)</f>
        <v>186591856</v>
      </c>
    </row>
    <row r="1226" customFormat="false" ht="15.75" hidden="false" customHeight="false" outlineLevel="0" collapsed="false">
      <c r="A1226" s="3" t="n">
        <f aca="false">IFERROR(__xludf.dummyfunction("""COMPUTED_VALUE"""),45978.6666666667)</f>
        <v>45978.6666666667</v>
      </c>
      <c r="B1226" s="2" t="n">
        <f aca="false">IFERROR(__xludf.dummyfunction("""COMPUTED_VALUE"""),185.97)</f>
        <v>185.97</v>
      </c>
      <c r="C1226" s="2" t="n">
        <f aca="false">IFERROR(__xludf.dummyfunction("""COMPUTED_VALUE"""),189)</f>
        <v>189</v>
      </c>
      <c r="D1226" s="2" t="n">
        <f aca="false">IFERROR(__xludf.dummyfunction("""COMPUTED_VALUE"""),184.32)</f>
        <v>184.32</v>
      </c>
      <c r="E1226" s="2" t="n">
        <f aca="false">IFERROR(__xludf.dummyfunction("""COMPUTED_VALUE"""),186.6)</f>
        <v>186.6</v>
      </c>
      <c r="F1226" s="2" t="n">
        <f aca="false">IFERROR(__xludf.dummyfunction("""COMPUTED_VALUE"""),173628858)</f>
        <v>173628858</v>
      </c>
    </row>
    <row r="1227" customFormat="false" ht="15.75" hidden="false" customHeight="false" outlineLevel="0" collapsed="false">
      <c r="A1227" s="3" t="n">
        <f aca="false">IFERROR(__xludf.dummyfunction("""COMPUTED_VALUE"""),45979.6666666667)</f>
        <v>45979.6666666667</v>
      </c>
      <c r="B1227" s="2" t="n">
        <f aca="false">IFERROR(__xludf.dummyfunction("""COMPUTED_VALUE"""),183.38)</f>
        <v>183.38</v>
      </c>
      <c r="C1227" s="2" t="n">
        <f aca="false">IFERROR(__xludf.dummyfunction("""COMPUTED_VALUE"""),184.8)</f>
        <v>184.8</v>
      </c>
      <c r="D1227" s="2" t="n">
        <f aca="false">IFERROR(__xludf.dummyfunction("""COMPUTED_VALUE"""),179.65)</f>
        <v>179.65</v>
      </c>
      <c r="E1227" s="2" t="n">
        <f aca="false">IFERROR(__xludf.dummyfunction("""COMPUTED_VALUE"""),181.36)</f>
        <v>181.36</v>
      </c>
      <c r="F1227" s="2" t="n">
        <f aca="false">IFERROR(__xludf.dummyfunction("""COMPUTED_VALUE"""),213598877)</f>
        <v>213598877</v>
      </c>
    </row>
    <row r="1228" customFormat="false" ht="15.75" hidden="false" customHeight="false" outlineLevel="0" collapsed="false">
      <c r="A1228" s="3" t="n">
        <f aca="false">IFERROR(__xludf.dummyfunction("""COMPUTED_VALUE"""),45980.6666666667)</f>
        <v>45980.6666666667</v>
      </c>
      <c r="B1228" s="2" t="n">
        <f aca="false">IFERROR(__xludf.dummyfunction("""COMPUTED_VALUE"""),184.79)</f>
        <v>184.79</v>
      </c>
      <c r="C1228" s="2" t="n">
        <f aca="false">IFERROR(__xludf.dummyfunction("""COMPUTED_VALUE"""),187.86)</f>
        <v>187.86</v>
      </c>
      <c r="D1228" s="2" t="n">
        <f aca="false">IFERROR(__xludf.dummyfunction("""COMPUTED_VALUE"""),182.83)</f>
        <v>182.83</v>
      </c>
      <c r="E1228" s="2" t="n">
        <f aca="false">IFERROR(__xludf.dummyfunction("""COMPUTED_VALUE"""),186.52)</f>
        <v>186.52</v>
      </c>
      <c r="F1228" s="2" t="n">
        <f aca="false">IFERROR(__xludf.dummyfunction("""COMPUTED_VALUE"""),247246436)</f>
        <v>247246436</v>
      </c>
    </row>
    <row r="1229" customFormat="false" ht="15.75" hidden="false" customHeight="false" outlineLevel="0" collapsed="false">
      <c r="A1229" s="3" t="n">
        <f aca="false">IFERROR(__xludf.dummyfunction("""COMPUTED_VALUE"""),45981.6666666667)</f>
        <v>45981.6666666667</v>
      </c>
      <c r="B1229" s="2" t="n">
        <f aca="false">IFERROR(__xludf.dummyfunction("""COMPUTED_VALUE"""),195.95)</f>
        <v>195.95</v>
      </c>
      <c r="C1229" s="2" t="n">
        <f aca="false">IFERROR(__xludf.dummyfunction("""COMPUTED_VALUE"""),196)</f>
        <v>196</v>
      </c>
      <c r="D1229" s="2" t="n">
        <f aca="false">IFERROR(__xludf.dummyfunction("""COMPUTED_VALUE"""),179.85)</f>
        <v>179.85</v>
      </c>
      <c r="E1229" s="2" t="n">
        <f aca="false">IFERROR(__xludf.dummyfunction("""COMPUTED_VALUE"""),180.64)</f>
        <v>180.64</v>
      </c>
      <c r="F1229" s="2" t="n">
        <f aca="false">IFERROR(__xludf.dummyfunction("""COMPUTED_VALUE"""),343504849)</f>
        <v>343504849</v>
      </c>
    </row>
    <row r="1230" customFormat="false" ht="15.75" hidden="false" customHeight="false" outlineLevel="0" collapsed="false">
      <c r="A1230" s="3" t="n">
        <f aca="false">IFERROR(__xludf.dummyfunction("""COMPUTED_VALUE"""),45982.6666666667)</f>
        <v>45982.6666666667</v>
      </c>
      <c r="B1230" s="2" t="n">
        <f aca="false">IFERROR(__xludf.dummyfunction("""COMPUTED_VALUE"""),181.24)</f>
        <v>181.24</v>
      </c>
      <c r="C1230" s="2" t="n">
        <f aca="false">IFERROR(__xludf.dummyfunction("""COMPUTED_VALUE"""),184.56)</f>
        <v>184.56</v>
      </c>
      <c r="D1230" s="2" t="n">
        <f aca="false">IFERROR(__xludf.dummyfunction("""COMPUTED_VALUE"""),172.93)</f>
        <v>172.93</v>
      </c>
      <c r="E1230" s="2" t="n">
        <f aca="false">IFERROR(__xludf.dummyfunction("""COMPUTED_VALUE"""),178.88)</f>
        <v>178.88</v>
      </c>
      <c r="F1230" s="2" t="n">
        <f aca="false">IFERROR(__xludf.dummyfunction("""COMPUTED_VALUE"""),346926153)</f>
        <v>346926153</v>
      </c>
    </row>
    <row r="1231" customFormat="false" ht="15.75" hidden="false" customHeight="false" outlineLevel="0" collapsed="false">
      <c r="A1231" s="3" t="n">
        <f aca="false">IFERROR(__xludf.dummyfunction("""COMPUTED_VALUE"""),45985.6666666667)</f>
        <v>45985.6666666667</v>
      </c>
      <c r="B1231" s="2" t="n">
        <f aca="false">IFERROR(__xludf.dummyfunction("""COMPUTED_VALUE"""),179.49)</f>
        <v>179.49</v>
      </c>
      <c r="C1231" s="2" t="n">
        <f aca="false">IFERROR(__xludf.dummyfunction("""COMPUTED_VALUE"""),183.5)</f>
        <v>183.5</v>
      </c>
      <c r="D1231" s="2" t="n">
        <f aca="false">IFERROR(__xludf.dummyfunction("""COMPUTED_VALUE"""),176.48)</f>
        <v>176.48</v>
      </c>
      <c r="E1231" s="2" t="n">
        <f aca="false">IFERROR(__xludf.dummyfunction("""COMPUTED_VALUE"""),182.55)</f>
        <v>182.55</v>
      </c>
      <c r="F1231" s="2" t="n">
        <f aca="false">IFERROR(__xludf.dummyfunction("""COMPUTED_VALUE"""),256618335)</f>
        <v>256618335</v>
      </c>
    </row>
    <row r="1232" customFormat="false" ht="15.75" hidden="false" customHeight="false" outlineLevel="0" collapsed="false">
      <c r="A1232" s="3" t="n">
        <f aca="false">IFERROR(__xludf.dummyfunction("""COMPUTED_VALUE"""),45986.6666666667)</f>
        <v>45986.6666666667</v>
      </c>
      <c r="B1232" s="2" t="n">
        <f aca="false">IFERROR(__xludf.dummyfunction("""COMPUTED_VALUE"""),174.91)</f>
        <v>174.91</v>
      </c>
      <c r="C1232" s="2" t="n">
        <f aca="false">IFERROR(__xludf.dummyfunction("""COMPUTED_VALUE"""),178.16)</f>
        <v>178.16</v>
      </c>
      <c r="D1232" s="2" t="n">
        <f aca="false">IFERROR(__xludf.dummyfunction("""COMPUTED_VALUE"""),169.55)</f>
        <v>169.55</v>
      </c>
      <c r="E1232" s="2" t="n">
        <f aca="false">IFERROR(__xludf.dummyfunction("""COMPUTED_VALUE"""),177.82)</f>
        <v>177.82</v>
      </c>
      <c r="F1232" s="2" t="n">
        <f aca="false">IFERROR(__xludf.dummyfunction("""COMPUTED_VALUE"""),320600271)</f>
        <v>320600271</v>
      </c>
    </row>
    <row r="1233" customFormat="false" ht="15.75" hidden="false" customHeight="false" outlineLevel="0" collapsed="false">
      <c r="A1233" s="3" t="n">
        <f aca="false">IFERROR(__xludf.dummyfunction("""COMPUTED_VALUE"""),45987.6666666667)</f>
        <v>45987.6666666667</v>
      </c>
      <c r="B1233" s="2" t="n">
        <f aca="false">IFERROR(__xludf.dummyfunction("""COMPUTED_VALUE"""),181.63)</f>
        <v>181.63</v>
      </c>
      <c r="C1233" s="2" t="n">
        <f aca="false">IFERROR(__xludf.dummyfunction("""COMPUTED_VALUE"""),182.91)</f>
        <v>182.91</v>
      </c>
      <c r="D1233" s="2" t="n">
        <f aca="false">IFERROR(__xludf.dummyfunction("""COMPUTED_VALUE"""),178.24)</f>
        <v>178.24</v>
      </c>
      <c r="E1233" s="2" t="n">
        <f aca="false">IFERROR(__xludf.dummyfunction("""COMPUTED_VALUE"""),180.26)</f>
        <v>180.26</v>
      </c>
      <c r="F1233" s="2" t="n">
        <f aca="false">IFERROR(__xludf.dummyfunction("""COMPUTED_VALUE"""),183852010)</f>
        <v>183852010</v>
      </c>
    </row>
    <row r="1234" customFormat="false" ht="15.75" hidden="false" customHeight="false" outlineLevel="0" collapsed="false">
      <c r="A1234" s="3" t="n">
        <f aca="false">IFERROR(__xludf.dummyfunction("""COMPUTED_VALUE"""),45989.5451388889)</f>
        <v>45989.5451388889</v>
      </c>
      <c r="B1234" s="2" t="n">
        <f aca="false">IFERROR(__xludf.dummyfunction("""COMPUTED_VALUE"""),179.01)</f>
        <v>179.01</v>
      </c>
      <c r="C1234" s="2" t="n">
        <f aca="false">IFERROR(__xludf.dummyfunction("""COMPUTED_VALUE"""),179.29)</f>
        <v>179.29</v>
      </c>
      <c r="D1234" s="2" t="n">
        <f aca="false">IFERROR(__xludf.dummyfunction("""COMPUTED_VALUE"""),176.5)</f>
        <v>176.5</v>
      </c>
      <c r="E1234" s="2" t="n">
        <f aca="false">IFERROR(__xludf.dummyfunction("""COMPUTED_VALUE"""),177)</f>
        <v>177</v>
      </c>
      <c r="F1234" s="2" t="n">
        <f aca="false">IFERROR(__xludf.dummyfunction("""COMPUTED_VALUE"""),121332776)</f>
        <v>121332776</v>
      </c>
    </row>
    <row r="1235" customFormat="false" ht="15.75" hidden="false" customHeight="false" outlineLevel="0" collapsed="false">
      <c r="A1235" s="3" t="n">
        <f aca="false">IFERROR(__xludf.dummyfunction("""COMPUTED_VALUE"""),45992.6666666667)</f>
        <v>45992.6666666667</v>
      </c>
      <c r="B1235" s="2" t="n">
        <f aca="false">IFERROR(__xludf.dummyfunction("""COMPUTED_VALUE"""),174.76)</f>
        <v>174.76</v>
      </c>
      <c r="C1235" s="2" t="n">
        <f aca="false">IFERROR(__xludf.dummyfunction("""COMPUTED_VALUE"""),180.3)</f>
        <v>180.3</v>
      </c>
      <c r="D1235" s="2" t="n">
        <f aca="false">IFERROR(__xludf.dummyfunction("""COMPUTED_VALUE"""),173.68)</f>
        <v>173.68</v>
      </c>
      <c r="E1235" s="2" t="n">
        <f aca="false">IFERROR(__xludf.dummyfunction("""COMPUTED_VALUE"""),179.92)</f>
        <v>179.92</v>
      </c>
      <c r="F1235" s="2" t="n">
        <f aca="false">IFERROR(__xludf.dummyfunction("""COMPUTED_VALUE"""),188130955)</f>
        <v>188130955</v>
      </c>
    </row>
    <row r="1236" customFormat="false" ht="15.75" hidden="false" customHeight="false" outlineLevel="0" collapsed="false">
      <c r="A1236" s="3" t="n">
        <f aca="false">IFERROR(__xludf.dummyfunction("""COMPUTED_VALUE"""),45993.6666666667)</f>
        <v>45993.6666666667</v>
      </c>
      <c r="B1236" s="2" t="n">
        <f aca="false">IFERROR(__xludf.dummyfunction("""COMPUTED_VALUE"""),181.76)</f>
        <v>181.76</v>
      </c>
      <c r="C1236" s="2" t="n">
        <f aca="false">IFERROR(__xludf.dummyfunction("""COMPUTED_VALUE"""),185.66)</f>
        <v>185.66</v>
      </c>
      <c r="D1236" s="2" t="n">
        <f aca="false">IFERROR(__xludf.dummyfunction("""COMPUTED_VALUE"""),180)</f>
        <v>180</v>
      </c>
      <c r="E1236" s="2" t="n">
        <f aca="false">IFERROR(__xludf.dummyfunction("""COMPUTED_VALUE"""),181.46)</f>
        <v>181.46</v>
      </c>
      <c r="F1236" s="2" t="n">
        <f aca="false">IFERROR(__xludf.dummyfunction("""COMPUTED_VALUE"""),182632230)</f>
        <v>182632230</v>
      </c>
    </row>
    <row r="1237" customFormat="false" ht="15.75" hidden="false" customHeight="false" outlineLevel="0" collapsed="false">
      <c r="A1237" s="3" t="n">
        <f aca="false">IFERROR(__xludf.dummyfunction("""COMPUTED_VALUE"""),45994.6666666667)</f>
        <v>45994.6666666667</v>
      </c>
      <c r="B1237" s="2" t="n">
        <f aca="false">IFERROR(__xludf.dummyfunction("""COMPUTED_VALUE"""),181.08)</f>
        <v>181.08</v>
      </c>
      <c r="C1237" s="2" t="n">
        <f aca="false">IFERROR(__xludf.dummyfunction("""COMPUTED_VALUE"""),182.45)</f>
        <v>182.45</v>
      </c>
      <c r="D1237" s="2" t="n">
        <f aca="false">IFERROR(__xludf.dummyfunction("""COMPUTED_VALUE"""),179.11)</f>
        <v>179.11</v>
      </c>
      <c r="E1237" s="2" t="n">
        <f aca="false">IFERROR(__xludf.dummyfunction("""COMPUTED_VALUE"""),179.59)</f>
        <v>179.59</v>
      </c>
      <c r="F1237" s="2" t="n">
        <f aca="false">IFERROR(__xludf.dummyfunction("""COMPUTED_VALUE"""),165138023)</f>
        <v>165138023</v>
      </c>
    </row>
    <row r="1238" customFormat="false" ht="15.75" hidden="false" customHeight="false" outlineLevel="0" collapsed="false">
      <c r="A1238" s="3" t="n">
        <f aca="false">IFERROR(__xludf.dummyfunction("""COMPUTED_VALUE"""),45995.6666666667)</f>
        <v>45995.6666666667</v>
      </c>
      <c r="B1238" s="2" t="n">
        <f aca="false">IFERROR(__xludf.dummyfunction("""COMPUTED_VALUE"""),181.62)</f>
        <v>181.62</v>
      </c>
      <c r="C1238" s="2" t="n">
        <f aca="false">IFERROR(__xludf.dummyfunction("""COMPUTED_VALUE"""),184.52)</f>
        <v>184.52</v>
      </c>
      <c r="D1238" s="2" t="n">
        <f aca="false">IFERROR(__xludf.dummyfunction("""COMPUTED_VALUE"""),179.96)</f>
        <v>179.96</v>
      </c>
      <c r="E1238" s="2" t="n">
        <f aca="false">IFERROR(__xludf.dummyfunction("""COMPUTED_VALUE"""),183.38)</f>
        <v>183.38</v>
      </c>
      <c r="F1238" s="2" t="n">
        <f aca="false">IFERROR(__xludf.dummyfunction("""COMPUTED_VALUE"""),167364857)</f>
        <v>167364857</v>
      </c>
    </row>
    <row r="1239" customFormat="false" ht="15.75" hidden="false" customHeight="false" outlineLevel="0" collapsed="false">
      <c r="A1239" s="3" t="n">
        <f aca="false">IFERROR(__xludf.dummyfunction("""COMPUTED_VALUE"""),45996.6666666667)</f>
        <v>45996.6666666667</v>
      </c>
      <c r="B1239" s="2" t="n">
        <f aca="false">IFERROR(__xludf.dummyfunction("""COMPUTED_VALUE"""),183.89)</f>
        <v>183.89</v>
      </c>
      <c r="C1239" s="2" t="n">
        <f aca="false">IFERROR(__xludf.dummyfunction("""COMPUTED_VALUE"""),184.66)</f>
        <v>184.66</v>
      </c>
      <c r="D1239" s="2" t="n">
        <f aca="false">IFERROR(__xludf.dummyfunction("""COMPUTED_VALUE"""),180.91)</f>
        <v>180.91</v>
      </c>
      <c r="E1239" s="2" t="n">
        <f aca="false">IFERROR(__xludf.dummyfunction("""COMPUTED_VALUE"""),182.41)</f>
        <v>182.41</v>
      </c>
      <c r="F1239" s="2" t="n">
        <f aca="false">IFERROR(__xludf.dummyfunction("""COMPUTED_VALUE"""),143971098)</f>
        <v>143971098</v>
      </c>
    </row>
    <row r="1240" customFormat="false" ht="15.75" hidden="false" customHeight="false" outlineLevel="0" collapsed="false">
      <c r="A1240" s="3" t="n">
        <f aca="false">IFERROR(__xludf.dummyfunction("""COMPUTED_VALUE"""),45999.6666666667)</f>
        <v>45999.6666666667</v>
      </c>
      <c r="B1240" s="2" t="n">
        <f aca="false">IFERROR(__xludf.dummyfunction("""COMPUTED_VALUE"""),182.64)</f>
        <v>182.64</v>
      </c>
      <c r="C1240" s="2" t="n">
        <f aca="false">IFERROR(__xludf.dummyfunction("""COMPUTED_VALUE"""),188)</f>
        <v>188</v>
      </c>
      <c r="D1240" s="2" t="n">
        <f aca="false">IFERROR(__xludf.dummyfunction("""COMPUTED_VALUE"""),182.4)</f>
        <v>182.4</v>
      </c>
      <c r="E1240" s="2" t="n">
        <f aca="false">IFERROR(__xludf.dummyfunction("""COMPUTED_VALUE"""),185.55)</f>
        <v>185.55</v>
      </c>
      <c r="F1240" s="2" t="n">
        <f aca="false">IFERROR(__xludf.dummyfunction("""COMPUTED_VALUE"""),204378106)</f>
        <v>204378106</v>
      </c>
    </row>
    <row r="1241" customFormat="false" ht="15.75" hidden="false" customHeight="false" outlineLevel="0" collapsed="false">
      <c r="A1241" s="3" t="n">
        <f aca="false">IFERROR(__xludf.dummyfunction("""COMPUTED_VALUE"""),46000.6666666667)</f>
        <v>46000.6666666667</v>
      </c>
      <c r="B1241" s="2" t="n">
        <f aca="false">IFERROR(__xludf.dummyfunction("""COMPUTED_VALUE"""),185.56)</f>
        <v>185.56</v>
      </c>
      <c r="C1241" s="2" t="n">
        <f aca="false">IFERROR(__xludf.dummyfunction("""COMPUTED_VALUE"""),185.72)</f>
        <v>185.72</v>
      </c>
      <c r="D1241" s="2" t="n">
        <f aca="false">IFERROR(__xludf.dummyfunction("""COMPUTED_VALUE"""),183.32)</f>
        <v>183.32</v>
      </c>
      <c r="E1241" s="2" t="n">
        <f aca="false">IFERROR(__xludf.dummyfunction("""COMPUTED_VALUE"""),184.97)</f>
        <v>184.97</v>
      </c>
      <c r="F1241" s="2" t="n">
        <f aca="false">IFERROR(__xludf.dummyfunction("""COMPUTED_VALUE"""),144719705)</f>
        <v>144719705</v>
      </c>
    </row>
    <row r="1242" customFormat="false" ht="15.75" hidden="false" customHeight="false" outlineLevel="0" collapsed="false">
      <c r="A1242" s="3" t="n">
        <f aca="false">IFERROR(__xludf.dummyfunction("""COMPUTED_VALUE"""),46001.6666666667)</f>
        <v>46001.6666666667</v>
      </c>
      <c r="B1242" s="2" t="n">
        <f aca="false">IFERROR(__xludf.dummyfunction("""COMPUTED_VALUE"""),184.97)</f>
        <v>184.97</v>
      </c>
      <c r="C1242" s="2" t="n">
        <f aca="false">IFERROR(__xludf.dummyfunction("""COMPUTED_VALUE"""),185.48)</f>
        <v>185.48</v>
      </c>
      <c r="D1242" s="2" t="n">
        <f aca="false">IFERROR(__xludf.dummyfunction("""COMPUTED_VALUE"""),182.04)</f>
        <v>182.04</v>
      </c>
      <c r="E1242" s="2" t="n">
        <f aca="false">IFERROR(__xludf.dummyfunction("""COMPUTED_VALUE"""),183.78)</f>
        <v>183.78</v>
      </c>
      <c r="F1242" s="2" t="n">
        <f aca="false">IFERROR(__xludf.dummyfunction("""COMPUTED_VALUE"""),162785370)</f>
        <v>162785370</v>
      </c>
    </row>
    <row r="1243" customFormat="false" ht="15.75" hidden="false" customHeight="false" outlineLevel="0" collapsed="false">
      <c r="A1243" s="3" t="n">
        <f aca="false">IFERROR(__xludf.dummyfunction("""COMPUTED_VALUE"""),46002.6666666667)</f>
        <v>46002.6666666667</v>
      </c>
      <c r="B1243" s="2" t="n">
        <f aca="false">IFERROR(__xludf.dummyfunction("""COMPUTED_VALUE"""),180.28)</f>
        <v>180.28</v>
      </c>
      <c r="C1243" s="2" t="n">
        <f aca="false">IFERROR(__xludf.dummyfunction("""COMPUTED_VALUE"""),181.32)</f>
        <v>181.32</v>
      </c>
      <c r="D1243" s="2" t="n">
        <f aca="false">IFERROR(__xludf.dummyfunction("""COMPUTED_VALUE"""),176.62)</f>
        <v>176.62</v>
      </c>
      <c r="E1243" s="2" t="n">
        <f aca="false">IFERROR(__xludf.dummyfunction("""COMPUTED_VALUE"""),180.93)</f>
        <v>180.93</v>
      </c>
      <c r="F1243" s="2" t="n">
        <f aca="false">IFERROR(__xludf.dummyfunction("""COMPUTED_VALUE"""),182136641)</f>
        <v>182136641</v>
      </c>
    </row>
    <row r="1244" customFormat="false" ht="15.75" hidden="false" customHeight="false" outlineLevel="0" collapsed="false">
      <c r="A1244" s="3" t="n">
        <f aca="false">IFERROR(__xludf.dummyfunction("""COMPUTED_VALUE"""),46003.6666666667)</f>
        <v>46003.6666666667</v>
      </c>
      <c r="B1244" s="2" t="n">
        <f aca="false">IFERROR(__xludf.dummyfunction("""COMPUTED_VALUE"""),181.11)</f>
        <v>181.11</v>
      </c>
      <c r="C1244" s="2" t="n">
        <f aca="false">IFERROR(__xludf.dummyfunction("""COMPUTED_VALUE"""),182.82)</f>
        <v>182.82</v>
      </c>
      <c r="D1244" s="2" t="n">
        <f aca="false">IFERROR(__xludf.dummyfunction("""COMPUTED_VALUE"""),174.62)</f>
        <v>174.62</v>
      </c>
      <c r="E1244" s="2" t="n">
        <f aca="false">IFERROR(__xludf.dummyfunction("""COMPUTED_VALUE"""),175.02)</f>
        <v>175.02</v>
      </c>
      <c r="F1244" s="2" t="n">
        <f aca="false">IFERROR(__xludf.dummyfunction("""COMPUTED_VALUE"""),204274918)</f>
        <v>204274918</v>
      </c>
    </row>
    <row r="1245" customFormat="false" ht="15.75" hidden="false" customHeight="false" outlineLevel="0" collapsed="false">
      <c r="A1245" s="3" t="n">
        <f aca="false">IFERROR(__xludf.dummyfunction("""COMPUTED_VALUE"""),46006.6666666667)</f>
        <v>46006.6666666667</v>
      </c>
      <c r="B1245" s="2" t="n">
        <f aca="false">IFERROR(__xludf.dummyfunction("""COMPUTED_VALUE"""),177.94)</f>
        <v>177.94</v>
      </c>
      <c r="C1245" s="2" t="n">
        <f aca="false">IFERROR(__xludf.dummyfunction("""COMPUTED_VALUE"""),178.42)</f>
        <v>178.42</v>
      </c>
      <c r="D1245" s="2" t="n">
        <f aca="false">IFERROR(__xludf.dummyfunction("""COMPUTED_VALUE"""),175.03)</f>
        <v>175.03</v>
      </c>
      <c r="E1245" s="2" t="n">
        <f aca="false">IFERROR(__xludf.dummyfunction("""COMPUTED_VALUE"""),176.29)</f>
        <v>176.29</v>
      </c>
      <c r="F1245" s="2" t="n">
        <f aca="false">IFERROR(__xludf.dummyfunction("""COMPUTED_VALUE"""),164775636)</f>
        <v>164775636</v>
      </c>
    </row>
    <row r="1246" customFormat="false" ht="15.75" hidden="false" customHeight="false" outlineLevel="0" collapsed="false">
      <c r="A1246" s="3" t="n">
        <f aca="false">IFERROR(__xludf.dummyfunction("""COMPUTED_VALUE"""),46007.6666666667)</f>
        <v>46007.6666666667</v>
      </c>
      <c r="B1246" s="2" t="n">
        <f aca="false">IFERROR(__xludf.dummyfunction("""COMPUTED_VALUE"""),176.26)</f>
        <v>176.26</v>
      </c>
      <c r="C1246" s="2" t="n">
        <f aca="false">IFERROR(__xludf.dummyfunction("""COMPUTED_VALUE"""),178.49)</f>
        <v>178.49</v>
      </c>
      <c r="D1246" s="2" t="n">
        <f aca="false">IFERROR(__xludf.dummyfunction("""COMPUTED_VALUE"""),174.9)</f>
        <v>174.9</v>
      </c>
      <c r="E1246" s="2" t="n">
        <f aca="false">IFERROR(__xludf.dummyfunction("""COMPUTED_VALUE"""),177.72)</f>
        <v>177.72</v>
      </c>
      <c r="F1246" s="2" t="n">
        <f aca="false">IFERROR(__xludf.dummyfunction("""COMPUTED_VALUE"""),148588098)</f>
        <v>148588098</v>
      </c>
    </row>
    <row r="1247" customFormat="false" ht="15.75" hidden="false" customHeight="false" outlineLevel="0" collapsed="false">
      <c r="A1247" s="3" t="n">
        <f aca="false">IFERROR(__xludf.dummyfunction("""COMPUTED_VALUE"""),46008.6666666667)</f>
        <v>46008.6666666667</v>
      </c>
      <c r="B1247" s="2" t="n">
        <f aca="false">IFERROR(__xludf.dummyfunction("""COMPUTED_VALUE"""),176.1)</f>
        <v>176.1</v>
      </c>
      <c r="C1247" s="2" t="n">
        <f aca="false">IFERROR(__xludf.dummyfunction("""COMPUTED_VALUE"""),176.13)</f>
        <v>176.13</v>
      </c>
      <c r="D1247" s="2" t="n">
        <f aca="false">IFERROR(__xludf.dummyfunction("""COMPUTED_VALUE"""),170.31)</f>
        <v>170.31</v>
      </c>
      <c r="E1247" s="2" t="n">
        <f aca="false">IFERROR(__xludf.dummyfunction("""COMPUTED_VALUE"""),170.94)</f>
        <v>170.94</v>
      </c>
      <c r="F1247" s="2" t="n">
        <f aca="false">IFERROR(__xludf.dummyfunction("""COMPUTED_VALUE"""),222775464)</f>
        <v>222775464</v>
      </c>
    </row>
    <row r="1248" customFormat="false" ht="15.75" hidden="false" customHeight="false" outlineLevel="0" collapsed="false">
      <c r="A1248" s="3" t="n">
        <f aca="false">IFERROR(__xludf.dummyfunction("""COMPUTED_VALUE"""),46009.6666666667)</f>
        <v>46009.6666666667</v>
      </c>
      <c r="B1248" s="2" t="n">
        <f aca="false">IFERROR(__xludf.dummyfunction("""COMPUTED_VALUE"""),174.53)</f>
        <v>174.53</v>
      </c>
      <c r="C1248" s="2" t="n">
        <f aca="false">IFERROR(__xludf.dummyfunction("""COMPUTED_VALUE"""),176.15)</f>
        <v>176.15</v>
      </c>
      <c r="D1248" s="2" t="n">
        <f aca="false">IFERROR(__xludf.dummyfunction("""COMPUTED_VALUE"""),171.82)</f>
        <v>171.82</v>
      </c>
      <c r="E1248" s="2" t="n">
        <f aca="false">IFERROR(__xludf.dummyfunction("""COMPUTED_VALUE"""),174.14)</f>
        <v>174.14</v>
      </c>
      <c r="F1248" s="2" t="n">
        <f aca="false">IFERROR(__xludf.dummyfunction("""COMPUTED_VALUE"""),176096001)</f>
        <v>176096001</v>
      </c>
    </row>
    <row r="1249" customFormat="false" ht="15.75" hidden="false" customHeight="false" outlineLevel="0" collapsed="false">
      <c r="A1249" s="3" t="n">
        <f aca="false">IFERROR(__xludf.dummyfunction("""COMPUTED_VALUE"""),46010.6666666667)</f>
        <v>46010.6666666667</v>
      </c>
      <c r="B1249" s="2" t="n">
        <f aca="false">IFERROR(__xludf.dummyfunction("""COMPUTED_VALUE"""),176.67)</f>
        <v>176.67</v>
      </c>
      <c r="C1249" s="2" t="n">
        <f aca="false">IFERROR(__xludf.dummyfunction("""COMPUTED_VALUE"""),181.45)</f>
        <v>181.45</v>
      </c>
      <c r="D1249" s="2" t="n">
        <f aca="false">IFERROR(__xludf.dummyfunction("""COMPUTED_VALUE"""),176.34)</f>
        <v>176.34</v>
      </c>
      <c r="E1249" s="2" t="n">
        <f aca="false">IFERROR(__xludf.dummyfunction("""COMPUTED_VALUE"""),180.99)</f>
        <v>180.99</v>
      </c>
      <c r="F1249" s="2" t="n">
        <f aca="false">IFERROR(__xludf.dummyfunction("""COMPUTED_VALUE"""),324925927)</f>
        <v>324925927</v>
      </c>
    </row>
    <row r="1250" customFormat="false" ht="15.75" hidden="false" customHeight="false" outlineLevel="0" collapsed="false">
      <c r="A1250" s="3" t="n">
        <f aca="false">IFERROR(__xludf.dummyfunction("""COMPUTED_VALUE"""),46013.6666666667)</f>
        <v>46013.6666666667</v>
      </c>
      <c r="B1250" s="2" t="n">
        <f aca="false">IFERROR(__xludf.dummyfunction("""COMPUTED_VALUE"""),183.92)</f>
        <v>183.92</v>
      </c>
      <c r="C1250" s="2" t="n">
        <f aca="false">IFERROR(__xludf.dummyfunction("""COMPUTED_VALUE"""),184.16)</f>
        <v>184.16</v>
      </c>
      <c r="D1250" s="2" t="n">
        <f aca="false">IFERROR(__xludf.dummyfunction("""COMPUTED_VALUE"""),182.35)</f>
        <v>182.35</v>
      </c>
      <c r="E1250" s="2" t="n">
        <f aca="false">IFERROR(__xludf.dummyfunction("""COMPUTED_VALUE"""),183.69)</f>
        <v>183.69</v>
      </c>
      <c r="F1250" s="2" t="n">
        <f aca="false">IFERROR(__xludf.dummyfunction("""COMPUTED_VALUE"""),129064369)</f>
        <v>129064369</v>
      </c>
    </row>
    <row r="1251" customFormat="false" ht="15.75" hidden="false" customHeight="false" outlineLevel="0" collapsed="false">
      <c r="A1251" s="3" t="n">
        <f aca="false">IFERROR(__xludf.dummyfunction("""COMPUTED_VALUE"""),46014.6666666667)</f>
        <v>46014.6666666667</v>
      </c>
      <c r="B1251" s="2" t="n">
        <f aca="false">IFERROR(__xludf.dummyfunction("""COMPUTED_VALUE"""),182.97)</f>
        <v>182.97</v>
      </c>
      <c r="C1251" s="2" t="n">
        <f aca="false">IFERROR(__xludf.dummyfunction("""COMPUTED_VALUE"""),189.33)</f>
        <v>189.33</v>
      </c>
      <c r="D1251" s="2" t="n">
        <f aca="false">IFERROR(__xludf.dummyfunction("""COMPUTED_VALUE"""),182.9)</f>
        <v>182.9</v>
      </c>
      <c r="E1251" s="2" t="n">
        <f aca="false">IFERROR(__xludf.dummyfunction("""COMPUTED_VALUE"""),189.21)</f>
        <v>189.21</v>
      </c>
      <c r="F1251" s="2" t="n">
        <f aca="false">IFERROR(__xludf.dummyfunction("""COMPUTED_VALUE"""),174873621)</f>
        <v>174873621</v>
      </c>
    </row>
    <row r="1252" customFormat="false" ht="15.75" hidden="false" customHeight="false" outlineLevel="0" collapsed="false">
      <c r="A1252" s="3" t="n">
        <f aca="false">IFERROR(__xludf.dummyfunction("""COMPUTED_VALUE"""),46015.5451388889)</f>
        <v>46015.5451388889</v>
      </c>
      <c r="B1252" s="2" t="n">
        <f aca="false">IFERROR(__xludf.dummyfunction("""COMPUTED_VALUE"""),187.94)</f>
        <v>187.94</v>
      </c>
      <c r="C1252" s="2" t="n">
        <f aca="false">IFERROR(__xludf.dummyfunction("""COMPUTED_VALUE"""),188.91)</f>
        <v>188.91</v>
      </c>
      <c r="D1252" s="2" t="n">
        <f aca="false">IFERROR(__xludf.dummyfunction("""COMPUTED_VALUE"""),186.59)</f>
        <v>186.59</v>
      </c>
      <c r="E1252" s="2" t="n">
        <f aca="false">IFERROR(__xludf.dummyfunction("""COMPUTED_VALUE"""),188.61)</f>
        <v>188.61</v>
      </c>
      <c r="F1252" s="2" t="n">
        <f aca="false">IFERROR(__xludf.dummyfunction("""COMPUTED_VALUE"""),65528545)</f>
        <v>65528545</v>
      </c>
    </row>
    <row r="1253" customFormat="false" ht="15.75" hidden="false" customHeight="false" outlineLevel="0" collapsed="false">
      <c r="A1253" s="3" t="n">
        <f aca="false">IFERROR(__xludf.dummyfunction("""COMPUTED_VALUE"""),46017.6666666667)</f>
        <v>46017.6666666667</v>
      </c>
      <c r="B1253" s="2" t="n">
        <f aca="false">IFERROR(__xludf.dummyfunction("""COMPUTED_VALUE"""),189.92)</f>
        <v>189.92</v>
      </c>
      <c r="C1253" s="2" t="n">
        <f aca="false">IFERROR(__xludf.dummyfunction("""COMPUTED_VALUE"""),192.69)</f>
        <v>192.69</v>
      </c>
      <c r="D1253" s="2" t="n">
        <f aca="false">IFERROR(__xludf.dummyfunction("""COMPUTED_VALUE"""),188)</f>
        <v>188</v>
      </c>
      <c r="E1253" s="2" t="n">
        <f aca="false">IFERROR(__xludf.dummyfunction("""COMPUTED_VALUE"""),190.53)</f>
        <v>190.53</v>
      </c>
      <c r="F1253" s="2" t="n">
        <f aca="false">IFERROR(__xludf.dummyfunction("""COMPUTED_VALUE"""),139740292)</f>
        <v>139740292</v>
      </c>
    </row>
    <row r="1254" customFormat="false" ht="15.75" hidden="false" customHeight="false" outlineLevel="0" collapsed="false">
      <c r="A1254" s="3" t="n">
        <f aca="false">IFERROR(__xludf.dummyfunction("""COMPUTED_VALUE"""),46020.6666666667)</f>
        <v>46020.6666666667</v>
      </c>
      <c r="B1254" s="2" t="n">
        <f aca="false">IFERROR(__xludf.dummyfunction("""COMPUTED_VALUE"""),187.71)</f>
        <v>187.71</v>
      </c>
      <c r="C1254" s="2" t="n">
        <f aca="false">IFERROR(__xludf.dummyfunction("""COMPUTED_VALUE"""),188.76)</f>
        <v>188.76</v>
      </c>
      <c r="D1254" s="2" t="n">
        <f aca="false">IFERROR(__xludf.dummyfunction("""COMPUTED_VALUE"""),185.91)</f>
        <v>185.91</v>
      </c>
      <c r="E1254" s="2" t="n">
        <f aca="false">IFERROR(__xludf.dummyfunction("""COMPUTED_VALUE"""),188.22)</f>
        <v>188.22</v>
      </c>
      <c r="F1254" s="2" t="n">
        <f aca="false">IFERROR(__xludf.dummyfunction("""COMPUTED_VALUE"""),120006103)</f>
        <v>120006103</v>
      </c>
    </row>
    <row r="1255" customFormat="false" ht="15.75" hidden="false" customHeight="false" outlineLevel="0" collapsed="false">
      <c r="A1255" s="3" t="n">
        <f aca="false">IFERROR(__xludf.dummyfunction("""COMPUTED_VALUE"""),46021.6666666667)</f>
        <v>46021.6666666667</v>
      </c>
      <c r="B1255" s="2" t="n">
        <f aca="false">IFERROR(__xludf.dummyfunction("""COMPUTED_VALUE"""),188.24)</f>
        <v>188.24</v>
      </c>
      <c r="C1255" s="2" t="n">
        <f aca="false">IFERROR(__xludf.dummyfunction("""COMPUTED_VALUE"""),188.99)</f>
        <v>188.99</v>
      </c>
      <c r="D1255" s="2" t="n">
        <f aca="false">IFERROR(__xludf.dummyfunction("""COMPUTED_VALUE"""),186.93)</f>
        <v>186.93</v>
      </c>
      <c r="E1255" s="2" t="n">
        <f aca="false">IFERROR(__xludf.dummyfunction("""COMPUTED_VALUE"""),187.54)</f>
        <v>187.54</v>
      </c>
      <c r="F1255" s="2" t="n">
        <f aca="false">IFERROR(__xludf.dummyfunction("""COMPUTED_VALUE"""),97687274)</f>
        <v>97687274</v>
      </c>
    </row>
    <row r="1256" customFormat="false" ht="15.75" hidden="false" customHeight="false" outlineLevel="0" collapsed="false">
      <c r="A1256" s="3" t="n">
        <f aca="false">IFERROR(__xludf.dummyfunction("""COMPUTED_VALUE"""),46022.6666666667)</f>
        <v>46022.6666666667</v>
      </c>
      <c r="B1256" s="2" t="n">
        <f aca="false">IFERROR(__xludf.dummyfunction("""COMPUTED_VALUE"""),189.57)</f>
        <v>189.57</v>
      </c>
      <c r="C1256" s="2" t="n">
        <f aca="false">IFERROR(__xludf.dummyfunction("""COMPUTED_VALUE"""),190.56)</f>
        <v>190.56</v>
      </c>
      <c r="D1256" s="2" t="n">
        <f aca="false">IFERROR(__xludf.dummyfunction("""COMPUTED_VALUE"""),186.49)</f>
        <v>186.49</v>
      </c>
      <c r="E1256" s="2" t="n">
        <f aca="false">IFERROR(__xludf.dummyfunction("""COMPUTED_VALUE"""),186.5)</f>
        <v>186.5</v>
      </c>
      <c r="F1256" s="2" t="n">
        <f aca="false">IFERROR(__xludf.dummyfunction("""COMPUTED_VALUE"""),120100484)</f>
        <v>120100484</v>
      </c>
    </row>
    <row r="1257" customFormat="false" ht="15.75" hidden="false" customHeight="false" outlineLevel="0" collapsed="false">
      <c r="A1257" s="3" t="n">
        <f aca="false">IFERROR(__xludf.dummyfunction("""COMPUTED_VALUE"""),46024.6666666667)</f>
        <v>46024.6666666667</v>
      </c>
      <c r="B1257" s="2" t="n">
        <f aca="false">IFERROR(__xludf.dummyfunction("""COMPUTED_VALUE"""),189.84)</f>
        <v>189.84</v>
      </c>
      <c r="C1257" s="2" t="n">
        <f aca="false">IFERROR(__xludf.dummyfunction("""COMPUTED_VALUE"""),192.93)</f>
        <v>192.93</v>
      </c>
      <c r="D1257" s="2" t="n">
        <f aca="false">IFERROR(__xludf.dummyfunction("""COMPUTED_VALUE"""),188.26)</f>
        <v>188.26</v>
      </c>
      <c r="E1257" s="2" t="n">
        <f aca="false">IFERROR(__xludf.dummyfunction("""COMPUTED_VALUE"""),188.85)</f>
        <v>188.85</v>
      </c>
      <c r="F1257" s="2" t="n">
        <f aca="false">IFERROR(__xludf.dummyfunction("""COMPUTED_VALUE"""),148240462)</f>
        <v>148240462</v>
      </c>
    </row>
    <row r="1258" customFormat="false" ht="15.75" hidden="false" customHeight="false" outlineLevel="0" collapsed="false">
      <c r="A1258" s="3" t="n">
        <f aca="false">IFERROR(__xludf.dummyfunction("""COMPUTED_VALUE"""),46027.6666666667)</f>
        <v>46027.6666666667</v>
      </c>
      <c r="B1258" s="2" t="n">
        <f aca="false">IFERROR(__xludf.dummyfunction("""COMPUTED_VALUE"""),191.76)</f>
        <v>191.76</v>
      </c>
      <c r="C1258" s="2" t="n">
        <f aca="false">IFERROR(__xludf.dummyfunction("""COMPUTED_VALUE"""),193.63)</f>
        <v>193.63</v>
      </c>
      <c r="D1258" s="2" t="n">
        <f aca="false">IFERROR(__xludf.dummyfunction("""COMPUTED_VALUE"""),186.15)</f>
        <v>186.15</v>
      </c>
      <c r="E1258" s="2" t="n">
        <f aca="false">IFERROR(__xludf.dummyfunction("""COMPUTED_VALUE"""),188.12)</f>
        <v>188.12</v>
      </c>
      <c r="F1258" s="2" t="n">
        <f aca="false">IFERROR(__xludf.dummyfunction("""COMPUTED_VALUE"""),183529733)</f>
        <v>183529733</v>
      </c>
    </row>
    <row r="1259" customFormat="false" ht="15.75" hidden="false" customHeight="false" outlineLevel="0" collapsed="false">
      <c r="A1259" s="3" t="n">
        <f aca="false">IFERROR(__xludf.dummyfunction("""COMPUTED_VALUE"""),46028.6666666667)</f>
        <v>46028.6666666667</v>
      </c>
      <c r="B1259" s="2" t="n">
        <f aca="false">IFERROR(__xludf.dummyfunction("""COMPUTED_VALUE"""),190.52)</f>
        <v>190.52</v>
      </c>
      <c r="C1259" s="2" t="n">
        <f aca="false">IFERROR(__xludf.dummyfunction("""COMPUTED_VALUE"""),192.17)</f>
        <v>192.17</v>
      </c>
      <c r="D1259" s="2" t="n">
        <f aca="false">IFERROR(__xludf.dummyfunction("""COMPUTED_VALUE"""),186.82)</f>
        <v>186.82</v>
      </c>
      <c r="E1259" s="2" t="n">
        <f aca="false">IFERROR(__xludf.dummyfunction("""COMPUTED_VALUE"""),187.24)</f>
        <v>187.24</v>
      </c>
      <c r="F1259" s="2" t="n">
        <f aca="false">IFERROR(__xludf.dummyfunction("""COMPUTED_VALUE"""),176862604)</f>
        <v>176862604</v>
      </c>
    </row>
    <row r="1260" customFormat="false" ht="15.75" hidden="false" customHeight="false" outlineLevel="0" collapsed="false">
      <c r="A1260" s="3" t="n">
        <f aca="false">IFERROR(__xludf.dummyfunction("""COMPUTED_VALUE"""),46029.6666666667)</f>
        <v>46029.6666666667</v>
      </c>
      <c r="B1260" s="2" t="n">
        <f aca="false">IFERROR(__xludf.dummyfunction("""COMPUTED_VALUE"""),188.57)</f>
        <v>188.57</v>
      </c>
      <c r="C1260" s="2" t="n">
        <f aca="false">IFERROR(__xludf.dummyfunction("""COMPUTED_VALUE"""),191.37)</f>
        <v>191.37</v>
      </c>
      <c r="D1260" s="2" t="n">
        <f aca="false">IFERROR(__xludf.dummyfunction("""COMPUTED_VALUE"""),186.56)</f>
        <v>186.56</v>
      </c>
      <c r="E1260" s="2" t="n">
        <f aca="false">IFERROR(__xludf.dummyfunction("""COMPUTED_VALUE"""),189.11)</f>
        <v>189.11</v>
      </c>
      <c r="F1260" s="2" t="n">
        <f aca="false">IFERROR(__xludf.dummyfunction("""COMPUTED_VALUE"""),153543174)</f>
        <v>153543174</v>
      </c>
    </row>
    <row r="1261" customFormat="false" ht="15.75" hidden="false" customHeight="false" outlineLevel="0" collapsed="false">
      <c r="A1261" s="3" t="n">
        <f aca="false">IFERROR(__xludf.dummyfunction("""COMPUTED_VALUE"""),46030.6666666667)</f>
        <v>46030.6666666667</v>
      </c>
      <c r="B1261" s="2" t="n">
        <f aca="false">IFERROR(__xludf.dummyfunction("""COMPUTED_VALUE"""),189.11)</f>
        <v>189.11</v>
      </c>
      <c r="C1261" s="2" t="n">
        <f aca="false">IFERROR(__xludf.dummyfunction("""COMPUTED_VALUE"""),189.55)</f>
        <v>189.55</v>
      </c>
      <c r="D1261" s="2" t="n">
        <f aca="false">IFERROR(__xludf.dummyfunction("""COMPUTED_VALUE"""),183.71)</f>
        <v>183.71</v>
      </c>
      <c r="E1261" s="2" t="n">
        <f aca="false">IFERROR(__xludf.dummyfunction("""COMPUTED_VALUE"""),185.04)</f>
        <v>185.04</v>
      </c>
      <c r="F1261" s="2" t="n">
        <f aca="false">IFERROR(__xludf.dummyfunction("""COMPUTED_VALUE"""),172457048)</f>
        <v>172457048</v>
      </c>
    </row>
    <row r="1262" customFormat="false" ht="15.75" hidden="false" customHeight="false" outlineLevel="0" collapsed="false">
      <c r="A1262" s="3" t="n">
        <f aca="false">IFERROR(__xludf.dummyfunction("""COMPUTED_VALUE"""),46031.6666666667)</f>
        <v>46031.6666666667</v>
      </c>
      <c r="B1262" s="2" t="n">
        <f aca="false">IFERROR(__xludf.dummyfunction("""COMPUTED_VALUE"""),185.08)</f>
        <v>185.08</v>
      </c>
      <c r="C1262" s="2" t="n">
        <f aca="false">IFERROR(__xludf.dummyfunction("""COMPUTED_VALUE"""),186.34)</f>
        <v>186.34</v>
      </c>
      <c r="D1262" s="2" t="n">
        <f aca="false">IFERROR(__xludf.dummyfunction("""COMPUTED_VALUE"""),183.67)</f>
        <v>183.67</v>
      </c>
      <c r="E1262" s="2" t="n">
        <f aca="false">IFERROR(__xludf.dummyfunction("""COMPUTED_VALUE"""),184.86)</f>
        <v>184.86</v>
      </c>
      <c r="F1262" s="2" t="n">
        <f aca="false">IFERROR(__xludf.dummyfunction("""COMPUTED_VALUE"""),131327534)</f>
        <v>131327534</v>
      </c>
    </row>
    <row r="1263" customFormat="false" ht="15.75" hidden="false" customHeight="false" outlineLevel="0" collapsed="false">
      <c r="A1263" s="3" t="n">
        <f aca="false">IFERROR(__xludf.dummyfunction("""COMPUTED_VALUE"""),46034.6666666667)</f>
        <v>46034.6666666667</v>
      </c>
      <c r="B1263" s="2" t="n">
        <f aca="false">IFERROR(__xludf.dummyfunction("""COMPUTED_VALUE"""),183.22)</f>
        <v>183.22</v>
      </c>
      <c r="C1263" s="2" t="n">
        <f aca="false">IFERROR(__xludf.dummyfunction("""COMPUTED_VALUE"""),187.12)</f>
        <v>187.12</v>
      </c>
      <c r="D1263" s="2" t="n">
        <f aca="false">IFERROR(__xludf.dummyfunction("""COMPUTED_VALUE"""),183.02)</f>
        <v>183.02</v>
      </c>
      <c r="E1263" s="2" t="n">
        <f aca="false">IFERROR(__xludf.dummyfunction("""COMPUTED_VALUE"""),184.94)</f>
        <v>184.94</v>
      </c>
      <c r="F1263" s="2" t="n">
        <f aca="false">IFERROR(__xludf.dummyfunction("""COMPUTED_VALUE"""),137968453)</f>
        <v>137968453</v>
      </c>
    </row>
    <row r="1264" customFormat="false" ht="15.75" hidden="false" customHeight="false" outlineLevel="0" collapsed="false">
      <c r="A1264" s="3" t="n">
        <f aca="false">IFERROR(__xludf.dummyfunction("""COMPUTED_VALUE"""),46035.6666666667)</f>
        <v>46035.6666666667</v>
      </c>
      <c r="B1264" s="2" t="n">
        <f aca="false">IFERROR(__xludf.dummyfunction("""COMPUTED_VALUE"""),185)</f>
        <v>185</v>
      </c>
      <c r="C1264" s="2" t="n">
        <f aca="false">IFERROR(__xludf.dummyfunction("""COMPUTED_VALUE"""),188.11)</f>
        <v>188.11</v>
      </c>
      <c r="D1264" s="2" t="n">
        <f aca="false">IFERROR(__xludf.dummyfunction("""COMPUTED_VALUE"""),183.4)</f>
        <v>183.4</v>
      </c>
      <c r="E1264" s="2" t="n">
        <f aca="false">IFERROR(__xludf.dummyfunction("""COMPUTED_VALUE"""),185.81)</f>
        <v>185.81</v>
      </c>
      <c r="F1264" s="2" t="n">
        <f aca="false">IFERROR(__xludf.dummyfunction("""COMPUTED_VALUE"""),160128939)</f>
        <v>160128939</v>
      </c>
    </row>
    <row r="1265" customFormat="false" ht="15.75" hidden="false" customHeight="false" outlineLevel="0" collapsed="false">
      <c r="A1265" s="3" t="n">
        <f aca="false">IFERROR(__xludf.dummyfunction("""COMPUTED_VALUE"""),46036.6666666667)</f>
        <v>46036.6666666667</v>
      </c>
      <c r="B1265" s="2" t="n">
        <f aca="false">IFERROR(__xludf.dummyfunction("""COMPUTED_VALUE"""),184.32)</f>
        <v>184.32</v>
      </c>
      <c r="C1265" s="2" t="n">
        <f aca="false">IFERROR(__xludf.dummyfunction("""COMPUTED_VALUE"""),184.46)</f>
        <v>184.46</v>
      </c>
      <c r="D1265" s="2" t="n">
        <f aca="false">IFERROR(__xludf.dummyfunction("""COMPUTED_VALUE"""),180.8)</f>
        <v>180.8</v>
      </c>
      <c r="E1265" s="2" t="n">
        <f aca="false">IFERROR(__xludf.dummyfunction("""COMPUTED_VALUE"""),183.14)</f>
        <v>183.14</v>
      </c>
      <c r="F1265" s="2" t="n">
        <f aca="false">IFERROR(__xludf.dummyfunction("""COMPUTED_VALUE"""),159586135)</f>
        <v>159586135</v>
      </c>
    </row>
    <row r="1266" customFormat="false" ht="15.75" hidden="false" customHeight="false" outlineLevel="0" collapsed="false">
      <c r="A1266" s="3" t="n">
        <f aca="false">IFERROR(__xludf.dummyfunction("""COMPUTED_VALUE"""),46037.6666666667)</f>
        <v>46037.6666666667</v>
      </c>
      <c r="B1266" s="2" t="n">
        <f aca="false">IFERROR(__xludf.dummyfunction("""COMPUTED_VALUE"""),186.5)</f>
        <v>186.5</v>
      </c>
      <c r="C1266" s="2" t="n">
        <f aca="false">IFERROR(__xludf.dummyfunction("""COMPUTED_VALUE"""),189.7)</f>
        <v>189.7</v>
      </c>
      <c r="D1266" s="2" t="n">
        <f aca="false">IFERROR(__xludf.dummyfunction("""COMPUTED_VALUE"""),186.33)</f>
        <v>186.33</v>
      </c>
      <c r="E1266" s="2" t="n">
        <f aca="false">IFERROR(__xludf.dummyfunction("""COMPUTED_VALUE"""),187.05)</f>
        <v>187.05</v>
      </c>
      <c r="F1266" s="2" t="n">
        <f aca="false">IFERROR(__xludf.dummyfunction("""COMPUTED_VALUE"""),206188642)</f>
        <v>206188642</v>
      </c>
    </row>
    <row r="1267" customFormat="false" ht="15.75" hidden="false" customHeight="false" outlineLevel="0" collapsed="false">
      <c r="A1267" s="3" t="n">
        <f aca="false">IFERROR(__xludf.dummyfunction("""COMPUTED_VALUE"""),46038.6666666667)</f>
        <v>46038.6666666667</v>
      </c>
      <c r="B1267" s="2" t="n">
        <f aca="false">IFERROR(__xludf.dummyfunction("""COMPUTED_VALUE"""),189.08)</f>
        <v>189.08</v>
      </c>
      <c r="C1267" s="2" t="n">
        <f aca="false">IFERROR(__xludf.dummyfunction("""COMPUTED_VALUE"""),190.44)</f>
        <v>190.44</v>
      </c>
      <c r="D1267" s="2" t="n">
        <f aca="false">IFERROR(__xludf.dummyfunction("""COMPUTED_VALUE"""),186.08)</f>
        <v>186.08</v>
      </c>
      <c r="E1267" s="2" t="n">
        <f aca="false">IFERROR(__xludf.dummyfunction("""COMPUTED_VALUE"""),186.23)</f>
        <v>186.23</v>
      </c>
      <c r="F1267" s="2" t="n">
        <f aca="false">IFERROR(__xludf.dummyfunction("""COMPUTED_VALUE"""),187967169)</f>
        <v>187967169</v>
      </c>
    </row>
    <row r="1268" customFormat="false" ht="15.75" hidden="false" customHeight="false" outlineLevel="0" collapsed="false">
      <c r="A1268" s="3" t="n">
        <f aca="false">IFERROR(__xludf.dummyfunction("""COMPUTED_VALUE"""),46042.6666666667)</f>
        <v>46042.6666666667</v>
      </c>
      <c r="B1268" s="2" t="n">
        <f aca="false">IFERROR(__xludf.dummyfunction("""COMPUTED_VALUE"""),181.9)</f>
        <v>181.9</v>
      </c>
      <c r="C1268" s="2" t="n">
        <f aca="false">IFERROR(__xludf.dummyfunction("""COMPUTED_VALUE"""),182.38)</f>
        <v>182.38</v>
      </c>
      <c r="D1268" s="2" t="n">
        <f aca="false">IFERROR(__xludf.dummyfunction("""COMPUTED_VALUE"""),177.61)</f>
        <v>177.61</v>
      </c>
      <c r="E1268" s="2" t="n">
        <f aca="false">IFERROR(__xludf.dummyfunction("""COMPUTED_VALUE"""),178.07)</f>
        <v>178.07</v>
      </c>
      <c r="F1268" s="2" t="n">
        <f aca="false">IFERROR(__xludf.dummyfunction("""COMPUTED_VALUE"""),223345257)</f>
        <v>223345257</v>
      </c>
    </row>
    <row r="1269" customFormat="false" ht="15.75" hidden="false" customHeight="false" outlineLevel="0" collapsed="false">
      <c r="A1269" s="3" t="n">
        <f aca="false">IFERROR(__xludf.dummyfunction("""COMPUTED_VALUE"""),46043.6666666667)</f>
        <v>46043.6666666667</v>
      </c>
      <c r="B1269" s="2" t="n">
        <f aca="false">IFERROR(__xludf.dummyfunction("""COMPUTED_VALUE"""),179.05)</f>
        <v>179.05</v>
      </c>
      <c r="C1269" s="2" t="n">
        <f aca="false">IFERROR(__xludf.dummyfunction("""COMPUTED_VALUE"""),185.38)</f>
        <v>185.38</v>
      </c>
      <c r="D1269" s="2" t="n">
        <f aca="false">IFERROR(__xludf.dummyfunction("""COMPUTED_VALUE"""),178.4)</f>
        <v>178.4</v>
      </c>
      <c r="E1269" s="2" t="n">
        <f aca="false">IFERROR(__xludf.dummyfunction("""COMPUTED_VALUE"""),183.32)</f>
        <v>183.32</v>
      </c>
      <c r="F1269" s="2" t="n">
        <f aca="false">IFERROR(__xludf.dummyfunction("""COMPUTED_VALUE"""),200380959)</f>
        <v>200380959</v>
      </c>
    </row>
    <row r="1270" customFormat="false" ht="15.75" hidden="false" customHeight="false" outlineLevel="0" collapsed="false">
      <c r="A1270" s="3" t="n">
        <f aca="false">IFERROR(__xludf.dummyfunction("""COMPUTED_VALUE"""),46044.6666666667)</f>
        <v>46044.6666666667</v>
      </c>
      <c r="B1270" s="2" t="n">
        <f aca="false">IFERROR(__xludf.dummyfunction("""COMPUTED_VALUE"""),184.75)</f>
        <v>184.75</v>
      </c>
      <c r="C1270" s="2" t="n">
        <f aca="false">IFERROR(__xludf.dummyfunction("""COMPUTED_VALUE"""),186.17)</f>
        <v>186.17</v>
      </c>
      <c r="D1270" s="2" t="n">
        <f aca="false">IFERROR(__xludf.dummyfunction("""COMPUTED_VALUE"""),183.93)</f>
        <v>183.93</v>
      </c>
      <c r="E1270" s="2" t="n">
        <f aca="false">IFERROR(__xludf.dummyfunction("""COMPUTED_VALUE"""),184.84)</f>
        <v>184.84</v>
      </c>
      <c r="F1270" s="2" t="n">
        <f aca="false">IFERROR(__xludf.dummyfunction("""COMPUTED_VALUE"""),139636626)</f>
        <v>139636626</v>
      </c>
    </row>
    <row r="1271" customFormat="false" ht="15.75" hidden="false" customHeight="false" outlineLevel="0" collapsed="false">
      <c r="A1271" s="3" t="n">
        <f aca="false">IFERROR(__xludf.dummyfunction("""COMPUTED_VALUE"""),46045.6666666667)</f>
        <v>46045.6666666667</v>
      </c>
      <c r="B1271" s="2" t="n">
        <f aca="false">IFERROR(__xludf.dummyfunction("""COMPUTED_VALUE"""),187.5)</f>
        <v>187.5</v>
      </c>
      <c r="C1271" s="2" t="n">
        <f aca="false">IFERROR(__xludf.dummyfunction("""COMPUTED_VALUE"""),189.6)</f>
        <v>189.6</v>
      </c>
      <c r="D1271" s="2" t="n">
        <f aca="false">IFERROR(__xludf.dummyfunction("""COMPUTED_VALUE"""),186.82)</f>
        <v>186.82</v>
      </c>
      <c r="E1271" s="2" t="n">
        <f aca="false">IFERROR(__xludf.dummyfunction("""COMPUTED_VALUE"""),187.67)</f>
        <v>187.67</v>
      </c>
      <c r="F1271" s="2" t="n">
        <f aca="false">IFERROR(__xludf.dummyfunction("""COMPUTED_VALUE"""),142748076)</f>
        <v>142748076</v>
      </c>
    </row>
    <row r="1272" customFormat="false" ht="15.75" hidden="false" customHeight="false" outlineLevel="0" collapsed="false">
      <c r="A1272" s="3" t="n">
        <f aca="false">IFERROR(__xludf.dummyfunction("""COMPUTED_VALUE"""),46048.6666666667)</f>
        <v>46048.6666666667</v>
      </c>
      <c r="B1272" s="2" t="n">
        <f aca="false">IFERROR(__xludf.dummyfunction("""COMPUTED_VALUE"""),187.16)</f>
        <v>187.16</v>
      </c>
      <c r="C1272" s="2" t="n">
        <f aca="false">IFERROR(__xludf.dummyfunction("""COMPUTED_VALUE"""),189.12)</f>
        <v>189.12</v>
      </c>
      <c r="D1272" s="2" t="n">
        <f aca="false">IFERROR(__xludf.dummyfunction("""COMPUTED_VALUE"""),185.99)</f>
        <v>185.99</v>
      </c>
      <c r="E1272" s="2" t="n">
        <f aca="false">IFERROR(__xludf.dummyfunction("""COMPUTED_VALUE"""),186.47)</f>
        <v>186.47</v>
      </c>
      <c r="F1272" s="2" t="n">
        <f aca="false">IFERROR(__xludf.dummyfunction("""COMPUTED_VALUE"""),124799649)</f>
        <v>124799649</v>
      </c>
    </row>
    <row r="1273" customFormat="false" ht="15.75" hidden="false" customHeight="false" outlineLevel="0" collapsed="false">
      <c r="A1273" s="3" t="n">
        <f aca="false">IFERROR(__xludf.dummyfunction("""COMPUTED_VALUE"""),46049.6666666667)</f>
        <v>46049.6666666667</v>
      </c>
      <c r="B1273" s="2" t="n">
        <f aca="false">IFERROR(__xludf.dummyfunction("""COMPUTED_VALUE"""),187.24)</f>
        <v>187.24</v>
      </c>
      <c r="C1273" s="2" t="n">
        <f aca="false">IFERROR(__xludf.dummyfunction("""COMPUTED_VALUE"""),190)</f>
        <v>190</v>
      </c>
      <c r="D1273" s="2" t="n">
        <f aca="false">IFERROR(__xludf.dummyfunction("""COMPUTED_VALUE"""),185.7)</f>
        <v>185.7</v>
      </c>
      <c r="E1273" s="2" t="n">
        <f aca="false">IFERROR(__xludf.dummyfunction("""COMPUTED_VALUE"""),188.52)</f>
        <v>188.52</v>
      </c>
      <c r="F1273" s="2" t="n">
        <f aca="false">IFERROR(__xludf.dummyfunction("""COMPUTED_VALUE"""),143711557)</f>
        <v>143711557</v>
      </c>
    </row>
    <row r="1274" customFormat="false" ht="15.75" hidden="false" customHeight="false" outlineLevel="0" collapsed="false">
      <c r="A1274" s="3" t="n">
        <f aca="false">IFERROR(__xludf.dummyfunction("""COMPUTED_VALUE"""),46050.6666666667)</f>
        <v>46050.6666666667</v>
      </c>
      <c r="B1274" s="2" t="n">
        <f aca="false">IFERROR(__xludf.dummyfunction("""COMPUTED_VALUE"""),191.27)</f>
        <v>191.27</v>
      </c>
      <c r="C1274" s="2" t="n">
        <f aca="false">IFERROR(__xludf.dummyfunction("""COMPUTED_VALUE"""),192.35)</f>
        <v>192.35</v>
      </c>
      <c r="D1274" s="2" t="n">
        <f aca="false">IFERROR(__xludf.dummyfunction("""COMPUTED_VALUE"""),189.84)</f>
        <v>189.84</v>
      </c>
      <c r="E1274" s="2" t="n">
        <f aca="false">IFERROR(__xludf.dummyfunction("""COMPUTED_VALUE"""),191.52)</f>
        <v>191.52</v>
      </c>
      <c r="F1274" s="2" t="n">
        <f aca="false">IFERROR(__xludf.dummyfunction("""COMPUTED_VALUE"""),148552677)</f>
        <v>148552677</v>
      </c>
    </row>
    <row r="1275" customFormat="false" ht="15.75" hidden="false" customHeight="false" outlineLevel="0" collapsed="false">
      <c r="A1275" s="3" t="n">
        <f aca="false">IFERROR(__xludf.dummyfunction("""COMPUTED_VALUE"""),46051.6666666667)</f>
        <v>46051.6666666667</v>
      </c>
      <c r="B1275" s="2" t="n">
        <f aca="false">IFERROR(__xludf.dummyfunction("""COMPUTED_VALUE"""),191.34)</f>
        <v>191.34</v>
      </c>
      <c r="C1275" s="2" t="n">
        <f aca="false">IFERROR(__xludf.dummyfunction("""COMPUTED_VALUE"""),193.48)</f>
        <v>193.48</v>
      </c>
      <c r="D1275" s="2" t="n">
        <f aca="false">IFERROR(__xludf.dummyfunction("""COMPUTED_VALUE"""),186.06)</f>
        <v>186.06</v>
      </c>
      <c r="E1275" s="2" t="n">
        <f aca="false">IFERROR(__xludf.dummyfunction("""COMPUTED_VALUE"""),192.51)</f>
        <v>192.51</v>
      </c>
      <c r="F1275" s="2" t="n">
        <f aca="false">IFERROR(__xludf.dummyfunction("""COMPUTED_VALUE"""),171764375)</f>
        <v>171764375</v>
      </c>
    </row>
    <row r="1276" customFormat="false" ht="15.75" hidden="false" customHeight="false" outlineLevel="0" collapsed="false">
      <c r="A1276" s="3" t="n">
        <f aca="false">IFERROR(__xludf.dummyfunction("""COMPUTED_VALUE"""),46052.6666666667)</f>
        <v>46052.6666666667</v>
      </c>
      <c r="B1276" s="2" t="n">
        <f aca="false">IFERROR(__xludf.dummyfunction("""COMPUTED_VALUE"""),191.21)</f>
        <v>191.21</v>
      </c>
      <c r="C1276" s="2" t="n">
        <f aca="false">IFERROR(__xludf.dummyfunction("""COMPUTED_VALUE"""),194.49)</f>
        <v>194.49</v>
      </c>
      <c r="D1276" s="2" t="n">
        <f aca="false">IFERROR(__xludf.dummyfunction("""COMPUTED_VALUE"""),189.47)</f>
        <v>189.47</v>
      </c>
      <c r="E1276" s="2" t="n">
        <f aca="false">IFERROR(__xludf.dummyfunction("""COMPUTED_VALUE"""),191.13)</f>
        <v>191.13</v>
      </c>
      <c r="F1276" s="2" t="n">
        <f aca="false">IFERROR(__xludf.dummyfunction("""COMPUTED_VALUE"""),179489463)</f>
        <v>179489463</v>
      </c>
    </row>
    <row r="1277" customFormat="false" ht="15.75" hidden="false" customHeight="false" outlineLevel="0" collapsed="false">
      <c r="A1277" s="3" t="n">
        <f aca="false">IFERROR(__xludf.dummyfunction("""COMPUTED_VALUE"""),46055.6666666667)</f>
        <v>46055.6666666667</v>
      </c>
      <c r="B1277" s="2" t="n">
        <f aca="false">IFERROR(__xludf.dummyfunction("""COMPUTED_VALUE"""),187.2)</f>
        <v>187.2</v>
      </c>
      <c r="C1277" s="2" t="n">
        <f aca="false">IFERROR(__xludf.dummyfunction("""COMPUTED_VALUE"""),190.3)</f>
        <v>190.3</v>
      </c>
      <c r="D1277" s="2" t="n">
        <f aca="false">IFERROR(__xludf.dummyfunction("""COMPUTED_VALUE"""),184.88)</f>
        <v>184.88</v>
      </c>
      <c r="E1277" s="2" t="n">
        <f aca="false">IFERROR(__xludf.dummyfunction("""COMPUTED_VALUE"""),185.61)</f>
        <v>185.61</v>
      </c>
      <c r="F1277" s="2" t="n">
        <f aca="false">IFERROR(__xludf.dummyfunction("""COMPUTED_VALUE"""),165794054)</f>
        <v>165794054</v>
      </c>
    </row>
    <row r="1278" customFormat="false" ht="15.75" hidden="false" customHeight="false" outlineLevel="0" collapsed="false">
      <c r="A1278" s="3" t="n">
        <f aca="false">IFERROR(__xludf.dummyfunction("""COMPUTED_VALUE"""),46056.6666666667)</f>
        <v>46056.6666666667</v>
      </c>
      <c r="B1278" s="2" t="n">
        <f aca="false">IFERROR(__xludf.dummyfunction("""COMPUTED_VALUE"""),186.24)</f>
        <v>186.24</v>
      </c>
      <c r="C1278" s="2" t="n">
        <f aca="false">IFERROR(__xludf.dummyfunction("""COMPUTED_VALUE"""),186.27)</f>
        <v>186.27</v>
      </c>
      <c r="D1278" s="2" t="n">
        <f aca="false">IFERROR(__xludf.dummyfunction("""COMPUTED_VALUE"""),176.23)</f>
        <v>176.23</v>
      </c>
      <c r="E1278" s="2" t="n">
        <f aca="false">IFERROR(__xludf.dummyfunction("""COMPUTED_VALUE"""),180.34)</f>
        <v>180.34</v>
      </c>
      <c r="F1278" s="2" t="n">
        <f aca="false">IFERROR(__xludf.dummyfunction("""COMPUTED_VALUE"""),204019589)</f>
        <v>204019589</v>
      </c>
    </row>
    <row r="1279" customFormat="false" ht="15.75" hidden="false" customHeight="false" outlineLevel="0" collapsed="false">
      <c r="A1279" s="3" t="n">
        <f aca="false">IFERROR(__xludf.dummyfunction("""COMPUTED_VALUE"""),46057.6666666667)</f>
        <v>46057.6666666667</v>
      </c>
      <c r="B1279" s="2" t="n">
        <f aca="false">IFERROR(__xludf.dummyfunction("""COMPUTED_VALUE"""),179.46)</f>
        <v>179.46</v>
      </c>
      <c r="C1279" s="2" t="n">
        <f aca="false">IFERROR(__xludf.dummyfunction("""COMPUTED_VALUE"""),179.58)</f>
        <v>179.58</v>
      </c>
      <c r="D1279" s="2" t="n">
        <f aca="false">IFERROR(__xludf.dummyfunction("""COMPUTED_VALUE"""),171.91)</f>
        <v>171.91</v>
      </c>
      <c r="E1279" s="2" t="n">
        <f aca="false">IFERROR(__xludf.dummyfunction("""COMPUTED_VALUE"""),174.19)</f>
        <v>174.19</v>
      </c>
      <c r="F1279" s="2" t="n">
        <f aca="false">IFERROR(__xludf.dummyfunction("""COMPUTED_VALUE"""),207014116)</f>
        <v>207014116</v>
      </c>
    </row>
    <row r="1280" customFormat="false" ht="15.75" hidden="false" customHeight="false" outlineLevel="0" collapsed="false">
      <c r="A1280" s="3" t="n">
        <f aca="false">IFERROR(__xludf.dummyfunction("""COMPUTED_VALUE"""),46058.6666666667)</f>
        <v>46058.6666666667</v>
      </c>
      <c r="B1280" s="2" t="n">
        <f aca="false">IFERROR(__xludf.dummyfunction("""COMPUTED_VALUE"""),174.93)</f>
        <v>174.93</v>
      </c>
      <c r="C1280" s="2" t="n">
        <f aca="false">IFERROR(__xludf.dummyfunction("""COMPUTED_VALUE"""),176.82)</f>
        <v>176.82</v>
      </c>
      <c r="D1280" s="2" t="n">
        <f aca="false">IFERROR(__xludf.dummyfunction("""COMPUTED_VALUE"""),171.03)</f>
        <v>171.03</v>
      </c>
      <c r="E1280" s="2" t="n">
        <f aca="false">IFERROR(__xludf.dummyfunction("""COMPUTED_VALUE"""),171.88)</f>
        <v>171.88</v>
      </c>
      <c r="F1280" s="2" t="n">
        <f aca="false">IFERROR(__xludf.dummyfunction("""COMPUTED_VALUE"""),206312890)</f>
        <v>206312890</v>
      </c>
    </row>
    <row r="1281" customFormat="false" ht="15.75" hidden="false" customHeight="false" outlineLevel="0" collapsed="false">
      <c r="A1281" s="3" t="n">
        <f aca="false">IFERROR(__xludf.dummyfunction("""COMPUTED_VALUE"""),46059.6666666667)</f>
        <v>46059.6666666667</v>
      </c>
      <c r="B1281" s="2" t="n">
        <f aca="false">IFERROR(__xludf.dummyfunction("""COMPUTED_VALUE"""),176.69)</f>
        <v>176.69</v>
      </c>
      <c r="C1281" s="2" t="n">
        <f aca="false">IFERROR(__xludf.dummyfunction("""COMPUTED_VALUE"""),187)</f>
        <v>187</v>
      </c>
      <c r="D1281" s="2" t="n">
        <f aca="false">IFERROR(__xludf.dummyfunction("""COMPUTED_VALUE"""),174.6)</f>
        <v>174.6</v>
      </c>
      <c r="E1281" s="2" t="n">
        <f aca="false">IFERROR(__xludf.dummyfunction("""COMPUTED_VALUE"""),185.41)</f>
        <v>185.41</v>
      </c>
      <c r="F1281" s="2" t="n">
        <f aca="false">IFERROR(__xludf.dummyfunction("""COMPUTED_VALUE"""),231346241)</f>
        <v>231346241</v>
      </c>
    </row>
    <row r="1282" customFormat="false" ht="15.75" hidden="false" customHeight="false" outlineLevel="0" collapsed="false">
      <c r="A1282" s="3" t="n">
        <f aca="false">IFERROR(__xludf.dummyfunction("""COMPUTED_VALUE"""),46062.6666666667)</f>
        <v>46062.6666666667</v>
      </c>
      <c r="B1282" s="2" t="n">
        <f aca="false">IFERROR(__xludf.dummyfunction("""COMPUTED_VALUE"""),184.26)</f>
        <v>184.26</v>
      </c>
      <c r="C1282" s="2" t="n">
        <f aca="false">IFERROR(__xludf.dummyfunction("""COMPUTED_VALUE"""),193.66)</f>
        <v>193.66</v>
      </c>
      <c r="D1282" s="2" t="n">
        <f aca="false">IFERROR(__xludf.dummyfunction("""COMPUTED_VALUE"""),183.95)</f>
        <v>183.95</v>
      </c>
      <c r="E1282" s="2" t="n">
        <f aca="false">IFERROR(__xludf.dummyfunction("""COMPUTED_VALUE"""),190.04)</f>
        <v>190.04</v>
      </c>
      <c r="F1282" s="2" t="n">
        <f aca="false">IFERROR(__xludf.dummyfunction("""COMPUTED_VALUE"""),196387351)</f>
        <v>196387351</v>
      </c>
    </row>
    <row r="1283" customFormat="false" ht="15.75" hidden="false" customHeight="false" outlineLevel="0" collapsed="false">
      <c r="A1283" s="3" t="n">
        <f aca="false">IFERROR(__xludf.dummyfunction("""COMPUTED_VALUE"""),46063.6666666667)</f>
        <v>46063.6666666667</v>
      </c>
      <c r="B1283" s="2" t="n">
        <f aca="false">IFERROR(__xludf.dummyfunction("""COMPUTED_VALUE"""),191.38)</f>
        <v>191.38</v>
      </c>
      <c r="C1283" s="2" t="n">
        <f aca="false">IFERROR(__xludf.dummyfunction("""COMPUTED_VALUE"""),192.48)</f>
        <v>192.48</v>
      </c>
      <c r="D1283" s="2" t="n">
        <f aca="false">IFERROR(__xludf.dummyfunction("""COMPUTED_VALUE"""),188.12)</f>
        <v>188.12</v>
      </c>
      <c r="E1283" s="2" t="n">
        <f aca="false">IFERROR(__xludf.dummyfunction("""COMPUTED_VALUE"""),188.54)</f>
        <v>188.54</v>
      </c>
      <c r="F1283" s="2" t="n">
        <f aca="false">IFERROR(__xludf.dummyfunction("""COMPUTED_VALUE"""),136764825)</f>
        <v>136764825</v>
      </c>
    </row>
    <row r="1284" customFormat="false" ht="15.75" hidden="false" customHeight="false" outlineLevel="0" collapsed="false">
      <c r="A1284" s="3" t="n">
        <f aca="false">IFERROR(__xludf.dummyfunction("""COMPUTED_VALUE"""),46064.6666666667)</f>
        <v>46064.6666666667</v>
      </c>
      <c r="B1284" s="2" t="n">
        <f aca="false">IFERROR(__xludf.dummyfunction("""COMPUTED_VALUE"""),192.45)</f>
        <v>192.45</v>
      </c>
      <c r="C1284" s="2" t="n">
        <f aca="false">IFERROR(__xludf.dummyfunction("""COMPUTED_VALUE"""),193.26)</f>
        <v>193.26</v>
      </c>
      <c r="D1284" s="2" t="n">
        <f aca="false">IFERROR(__xludf.dummyfunction("""COMPUTED_VALUE"""),188.77)</f>
        <v>188.77</v>
      </c>
      <c r="E1284" s="2" t="n">
        <f aca="false">IFERROR(__xludf.dummyfunction("""COMPUTED_VALUE"""),190.05)</f>
        <v>190.05</v>
      </c>
      <c r="F1284" s="2" t="n">
        <f aca="false">IFERROR(__xludf.dummyfunction("""COMPUTED_VALUE"""),144192685)</f>
        <v>144192685</v>
      </c>
    </row>
    <row r="1285" customFormat="false" ht="15.75" hidden="false" customHeight="false" outlineLevel="0" collapsed="false">
      <c r="A1285" s="3" t="n">
        <f aca="false">IFERROR(__xludf.dummyfunction("""COMPUTED_VALUE"""),46065.6666666667)</f>
        <v>46065.6666666667</v>
      </c>
      <c r="B1285" s="2" t="n">
        <f aca="false">IFERROR(__xludf.dummyfunction("""COMPUTED_VALUE"""),193.03)</f>
        <v>193.03</v>
      </c>
      <c r="C1285" s="2" t="n">
        <f aca="false">IFERROR(__xludf.dummyfunction("""COMPUTED_VALUE"""),193.61)</f>
        <v>193.61</v>
      </c>
      <c r="D1285" s="2" t="n">
        <f aca="false">IFERROR(__xludf.dummyfunction("""COMPUTED_VALUE"""),186.51)</f>
        <v>186.51</v>
      </c>
      <c r="E1285" s="2" t="n">
        <f aca="false">IFERROR(__xludf.dummyfunction("""COMPUTED_VALUE"""),186.94)</f>
        <v>186.94</v>
      </c>
      <c r="F1285" s="2" t="n">
        <f aca="false">IFERROR(__xludf.dummyfunction("""COMPUTED_VALUE"""),189932491)</f>
        <v>189932491</v>
      </c>
    </row>
    <row r="1286" customFormat="false" ht="15.75" hidden="false" customHeight="false" outlineLevel="0" collapsed="false">
      <c r="A1286" s="3" t="n">
        <f aca="false">IFERROR(__xludf.dummyfunction("""COMPUTED_VALUE"""),46066.6666666667)</f>
        <v>46066.6666666667</v>
      </c>
      <c r="B1286" s="2" t="n">
        <f aca="false">IFERROR(__xludf.dummyfunction("""COMPUTED_VALUE"""),187.48)</f>
        <v>187.48</v>
      </c>
      <c r="C1286" s="2" t="n">
        <f aca="false">IFERROR(__xludf.dummyfunction("""COMPUTED_VALUE"""),187.5)</f>
        <v>187.5</v>
      </c>
      <c r="D1286" s="2" t="n">
        <f aca="false">IFERROR(__xludf.dummyfunction("""COMPUTED_VALUE"""),181.59)</f>
        <v>181.59</v>
      </c>
      <c r="E1286" s="2" t="n">
        <f aca="false">IFERROR(__xludf.dummyfunction("""COMPUTED_VALUE"""),182.81)</f>
        <v>182.81</v>
      </c>
      <c r="F1286" s="2" t="n">
        <f aca="false">IFERROR(__xludf.dummyfunction("""COMPUTED_VALUE"""),161888021)</f>
        <v>161888021</v>
      </c>
    </row>
    <row r="1287" customFormat="false" ht="15.75" hidden="false" customHeight="false" outlineLevel="0" collapsed="false">
      <c r="A1287" s="3" t="n">
        <f aca="false">IFERROR(__xludf.dummyfunction("""COMPUTED_VALUE"""),46070.6666666667)</f>
        <v>46070.6666666667</v>
      </c>
      <c r="B1287" s="2" t="n">
        <f aca="false">IFERROR(__xludf.dummyfunction("""COMPUTED_VALUE"""),181.75)</f>
        <v>181.75</v>
      </c>
      <c r="C1287" s="2" t="n">
        <f aca="false">IFERROR(__xludf.dummyfunction("""COMPUTED_VALUE"""),187.15)</f>
        <v>187.15</v>
      </c>
      <c r="D1287" s="2" t="n">
        <f aca="false">IFERROR(__xludf.dummyfunction("""COMPUTED_VALUE"""),179.18)</f>
        <v>179.18</v>
      </c>
      <c r="E1287" s="2" t="n">
        <f aca="false">IFERROR(__xludf.dummyfunction("""COMPUTED_VALUE"""),184.97)</f>
        <v>184.97</v>
      </c>
      <c r="F1287" s="2" t="n">
        <f aca="false">IFERROR(__xludf.dummyfunction("""COMPUTED_VALUE"""),162276860)</f>
        <v>162276860</v>
      </c>
    </row>
    <row r="1288" customFormat="false" ht="15.75" hidden="false" customHeight="false" outlineLevel="0" collapsed="false">
      <c r="A1288" s="3" t="n">
        <f aca="false">IFERROR(__xludf.dummyfunction("""COMPUTED_VALUE"""),46071.6666666667)</f>
        <v>46071.6666666667</v>
      </c>
      <c r="B1288" s="2" t="n">
        <f aca="false">IFERROR(__xludf.dummyfunction("""COMPUTED_VALUE"""),188.75)</f>
        <v>188.75</v>
      </c>
      <c r="C1288" s="2" t="n">
        <f aca="false">IFERROR(__xludf.dummyfunction("""COMPUTED_VALUE"""),190.37)</f>
        <v>190.37</v>
      </c>
      <c r="D1288" s="2" t="n">
        <f aca="false">IFERROR(__xludf.dummyfunction("""COMPUTED_VALUE"""),186.76)</f>
        <v>186.76</v>
      </c>
      <c r="E1288" s="2" t="n">
        <f aca="false">IFERROR(__xludf.dummyfunction("""COMPUTED_VALUE"""),187.98)</f>
        <v>187.98</v>
      </c>
      <c r="F1288" s="2" t="n">
        <f aca="false">IFERROR(__xludf.dummyfunction("""COMPUTED_VALUE"""),164749125)</f>
        <v>164749125</v>
      </c>
    </row>
    <row r="1289" customFormat="false" ht="15.75" hidden="false" customHeight="false" outlineLevel="0" collapsed="false">
      <c r="A1289" s="3" t="n">
        <f aca="false">IFERROR(__xludf.dummyfunction("""COMPUTED_VALUE"""),46072.6666666667)</f>
        <v>46072.6666666667</v>
      </c>
      <c r="B1289" s="2" t="n">
        <f aca="false">IFERROR(__xludf.dummyfunction("""COMPUTED_VALUE"""),187.06)</f>
        <v>187.06</v>
      </c>
      <c r="C1289" s="2" t="n">
        <f aca="false">IFERROR(__xludf.dummyfunction("""COMPUTED_VALUE"""),188.43)</f>
        <v>188.43</v>
      </c>
      <c r="D1289" s="2" t="n">
        <f aca="false">IFERROR(__xludf.dummyfunction("""COMPUTED_VALUE"""),185.66)</f>
        <v>185.66</v>
      </c>
      <c r="E1289" s="2" t="n">
        <f aca="false">IFERROR(__xludf.dummyfunction("""COMPUTED_VALUE"""),187.9)</f>
        <v>187.9</v>
      </c>
      <c r="F1289" s="2" t="n">
        <f aca="false">IFERROR(__xludf.dummyfunction("""COMPUTED_VALUE"""),126554526)</f>
        <v>126554526</v>
      </c>
    </row>
    <row r="1290" customFormat="false" ht="15.75" hidden="false" customHeight="false" outlineLevel="0" collapsed="false">
      <c r="A1290" s="3" t="n">
        <f aca="false">IFERROR(__xludf.dummyfunction("""COMPUTED_VALUE"""),46073.6666666667)</f>
        <v>46073.6666666667</v>
      </c>
      <c r="B1290" s="2" t="n">
        <f aca="false">IFERROR(__xludf.dummyfunction("""COMPUTED_VALUE"""),186.57)</f>
        <v>186.57</v>
      </c>
      <c r="C1290" s="2" t="n">
        <f aca="false">IFERROR(__xludf.dummyfunction("""COMPUTED_VALUE"""),190.33)</f>
        <v>190.33</v>
      </c>
      <c r="D1290" s="2" t="n">
        <f aca="false">IFERROR(__xludf.dummyfunction("""COMPUTED_VALUE"""),185.94)</f>
        <v>185.94</v>
      </c>
      <c r="E1290" s="2" t="n">
        <f aca="false">IFERROR(__xludf.dummyfunction("""COMPUTED_VALUE"""),189.82)</f>
        <v>189.82</v>
      </c>
      <c r="F1290" s="2" t="n">
        <f aca="false">IFERROR(__xludf.dummyfunction("""COMPUTED_VALUE"""),178422337)</f>
        <v>178422337</v>
      </c>
    </row>
    <row r="1291" customFormat="false" ht="15.75" hidden="false" customHeight="false" outlineLevel="0" collapsed="false">
      <c r="A1291" s="3" t="n">
        <f aca="false">IFERROR(__xludf.dummyfunction("""COMPUTED_VALUE"""),46076.6666666667)</f>
        <v>46076.6666666667</v>
      </c>
      <c r="B1291" s="2" t="n">
        <f aca="false">IFERROR(__xludf.dummyfunction("""COMPUTED_VALUE"""),191.4)</f>
        <v>191.4</v>
      </c>
      <c r="C1291" s="2" t="n">
        <f aca="false">IFERROR(__xludf.dummyfunction("""COMPUTED_VALUE"""),193.95)</f>
        <v>193.95</v>
      </c>
      <c r="D1291" s="2" t="n">
        <f aca="false">IFERROR(__xludf.dummyfunction("""COMPUTED_VALUE"""),189.58)</f>
        <v>189.58</v>
      </c>
      <c r="E1291" s="2" t="n">
        <f aca="false">IFERROR(__xludf.dummyfunction("""COMPUTED_VALUE"""),191.55)</f>
        <v>191.55</v>
      </c>
      <c r="F1291" s="2" t="n">
        <f aca="false">IFERROR(__xludf.dummyfunction("""COMPUTED_VALUE"""),169917921)</f>
        <v>169917921</v>
      </c>
    </row>
    <row r="1292" customFormat="false" ht="15.75" hidden="false" customHeight="false" outlineLevel="0" collapsed="false">
      <c r="A1292" s="3" t="n">
        <f aca="false">IFERROR(__xludf.dummyfunction("""COMPUTED_VALUE"""),46077.6666666667)</f>
        <v>46077.6666666667</v>
      </c>
      <c r="B1292" s="2" t="n">
        <f aca="false">IFERROR(__xludf.dummyfunction("""COMPUTED_VALUE"""),191.49)</f>
        <v>191.49</v>
      </c>
      <c r="C1292" s="2" t="n">
        <f aca="false">IFERROR(__xludf.dummyfunction("""COMPUTED_VALUE"""),193.77)</f>
        <v>193.77</v>
      </c>
      <c r="D1292" s="2" t="n">
        <f aca="false">IFERROR(__xludf.dummyfunction("""COMPUTED_VALUE"""),187.4)</f>
        <v>187.4</v>
      </c>
      <c r="E1292" s="2" t="n">
        <f aca="false">IFERROR(__xludf.dummyfunction("""COMPUTED_VALUE"""),192.85)</f>
        <v>192.85</v>
      </c>
      <c r="F1292" s="2" t="n">
        <f aca="false">IFERROR(__xludf.dummyfunction("""COMPUTED_VALUE"""),171558645)</f>
        <v>171558645</v>
      </c>
    </row>
    <row r="1293" customFormat="false" ht="15.75" hidden="false" customHeight="false" outlineLevel="0" collapsed="false">
      <c r="A1293" s="3" t="n">
        <f aca="false">IFERROR(__xludf.dummyfunction("""COMPUTED_VALUE"""),46078.6666666667)</f>
        <v>46078.6666666667</v>
      </c>
      <c r="B1293" s="2" t="n">
        <f aca="false">IFERROR(__xludf.dummyfunction("""COMPUTED_VALUE"""),194.45)</f>
        <v>194.45</v>
      </c>
      <c r="C1293" s="2" t="n">
        <f aca="false">IFERROR(__xludf.dummyfunction("""COMPUTED_VALUE"""),197.63)</f>
        <v>197.63</v>
      </c>
      <c r="D1293" s="2" t="n">
        <f aca="false">IFERROR(__xludf.dummyfunction("""COMPUTED_VALUE"""),193.79)</f>
        <v>193.79</v>
      </c>
      <c r="E1293" s="2" t="n">
        <f aca="false">IFERROR(__xludf.dummyfunction("""COMPUTED_VALUE"""),195.56)</f>
        <v>195.56</v>
      </c>
      <c r="F1293" s="2" t="n">
        <f aca="false">IFERROR(__xludf.dummyfunction("""COMPUTED_VALUE"""),206193006)</f>
        <v>206193006</v>
      </c>
    </row>
    <row r="1294" customFormat="false" ht="15.75" hidden="false" customHeight="false" outlineLevel="0" collapsed="false">
      <c r="A1294" s="3" t="n">
        <f aca="false">IFERROR(__xludf.dummyfunction("""COMPUTED_VALUE"""),46079.6666666667)</f>
        <v>46079.6666666667</v>
      </c>
      <c r="B1294" s="2" t="n">
        <f aca="false">IFERROR(__xludf.dummyfunction("""COMPUTED_VALUE"""),194.27)</f>
        <v>194.27</v>
      </c>
      <c r="C1294" s="2" t="n">
        <f aca="false">IFERROR(__xludf.dummyfunction("""COMPUTED_VALUE"""),194.29)</f>
        <v>194.29</v>
      </c>
      <c r="D1294" s="2" t="n">
        <f aca="false">IFERROR(__xludf.dummyfunction("""COMPUTED_VALUE"""),184.32)</f>
        <v>184.32</v>
      </c>
      <c r="E1294" s="2" t="n">
        <f aca="false">IFERROR(__xludf.dummyfunction("""COMPUTED_VALUE"""),184.89)</f>
        <v>184.89</v>
      </c>
      <c r="F1294" s="2" t="n">
        <f aca="false">IFERROR(__xludf.dummyfunction("""COMPUTED_VALUE"""),354967201)</f>
        <v>354967201</v>
      </c>
    </row>
    <row r="1295" customFormat="false" ht="15.75" hidden="false" customHeight="false" outlineLevel="0" collapsed="false">
      <c r="A1295" s="3" t="n">
        <f aca="false">IFERROR(__xludf.dummyfunction("""COMPUTED_VALUE"""),46080.6666666667)</f>
        <v>46080.6666666667</v>
      </c>
      <c r="B1295" s="2" t="n">
        <f aca="false">IFERROR(__xludf.dummyfunction("""COMPUTED_VALUE"""),181.25)</f>
        <v>181.25</v>
      </c>
      <c r="C1295" s="2" t="n">
        <f aca="false">IFERROR(__xludf.dummyfunction("""COMPUTED_VALUE"""),182.59)</f>
        <v>182.59</v>
      </c>
      <c r="D1295" s="2" t="n">
        <f aca="false">IFERROR(__xludf.dummyfunction("""COMPUTED_VALUE"""),176.38)</f>
        <v>176.38</v>
      </c>
      <c r="E1295" s="2" t="n">
        <f aca="false">IFERROR(__xludf.dummyfunction("""COMPUTED_VALUE"""),177.19)</f>
        <v>177.19</v>
      </c>
      <c r="F1295" s="2" t="n">
        <f aca="false">IFERROR(__xludf.dummyfunction("""COMPUTED_VALUE"""),306105725)</f>
        <v>306105725</v>
      </c>
    </row>
    <row r="1296" customFormat="false" ht="15.75" hidden="false" customHeight="false" outlineLevel="0" collapsed="false">
      <c r="A1296" s="3" t="n">
        <f aca="false">IFERROR(__xludf.dummyfunction("""COMPUTED_VALUE"""),46083.6666666667)</f>
        <v>46083.6666666667</v>
      </c>
      <c r="B1296" s="2" t="n">
        <f aca="false">IFERROR(__xludf.dummyfunction("""COMPUTED_VALUE"""),175.01)</f>
        <v>175.01</v>
      </c>
      <c r="C1296" s="2" t="n">
        <f aca="false">IFERROR(__xludf.dummyfunction("""COMPUTED_VALUE"""),183.46)</f>
        <v>183.46</v>
      </c>
      <c r="D1296" s="2" t="n">
        <f aca="false">IFERROR(__xludf.dummyfunction("""COMPUTED_VALUE"""),174.64)</f>
        <v>174.64</v>
      </c>
      <c r="E1296" s="2" t="n">
        <f aca="false">IFERROR(__xludf.dummyfunction("""COMPUTED_VALUE"""),182.48)</f>
        <v>182.48</v>
      </c>
      <c r="F1296" s="2" t="n">
        <f aca="false">IFERROR(__xludf.dummyfunction("""COMPUTED_VALUE"""),9506064)</f>
        <v>9506064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4.34375" defaultRowHeight="15.75" customHeight="true" zeroHeight="false" outlineLevelRow="0" outlineLevelCol="0"/>
  <cols>
    <col collapsed="false" customWidth="false" hidden="false" outlineLevel="0" max="16384" min="1" style="4" width="24.34"/>
  </cols>
  <sheetData>
    <row r="1" customFormat="false" ht="15.75" hidden="false" customHeight="false" outlineLevel="0" collapsed="false">
      <c r="A1" s="5" t="str">
        <f aca="false">IFERROR(__xludf.dummyfunction("GOOGLEFINANCE(""AAPL"",""ALL"" , DATE(2021,1,1),TODAY())"),"Date")</f>
        <v>Date</v>
      </c>
      <c r="B1" s="5" t="str">
        <f aca="false">IFERROR(__xludf.dummyfunction("""COMPUTED_VALUE"""),"Open")</f>
        <v>Open</v>
      </c>
      <c r="C1" s="5" t="str">
        <f aca="false">IFERROR(__xludf.dummyfunction("""COMPUTED_VALUE"""),"High")</f>
        <v>High</v>
      </c>
      <c r="D1" s="5" t="str">
        <f aca="false">IFERROR(__xludf.dummyfunction("""COMPUTED_VALUE"""),"Low")</f>
        <v>Low</v>
      </c>
      <c r="E1" s="5" t="str">
        <f aca="false">IFERROR(__xludf.dummyfunction("""COMPUTED_VALUE"""),"Close")</f>
        <v>Close</v>
      </c>
      <c r="F1" s="5" t="str">
        <f aca="false">IFERROR(__xludf.dummyfunction("""COMPUTED_VALUE"""),"Volume")</f>
        <v>Volume</v>
      </c>
    </row>
    <row r="2" customFormat="false" ht="15.75" hidden="false" customHeight="false" outlineLevel="0" collapsed="false">
      <c r="A2" s="6" t="n">
        <f aca="false">IFERROR(__xludf.dummyfunction("""COMPUTED_VALUE"""),44200.6666666667)</f>
        <v>44200.6666666667</v>
      </c>
      <c r="B2" s="5" t="n">
        <f aca="false">IFERROR(__xludf.dummyfunction("""COMPUTED_VALUE"""),133.52)</f>
        <v>133.52</v>
      </c>
      <c r="C2" s="5" t="n">
        <f aca="false">IFERROR(__xludf.dummyfunction("""COMPUTED_VALUE"""),133.61)</f>
        <v>133.61</v>
      </c>
      <c r="D2" s="5" t="n">
        <f aca="false">IFERROR(__xludf.dummyfunction("""COMPUTED_VALUE"""),126.76)</f>
        <v>126.76</v>
      </c>
      <c r="E2" s="5" t="n">
        <f aca="false">IFERROR(__xludf.dummyfunction("""COMPUTED_VALUE"""),129.41)</f>
        <v>129.41</v>
      </c>
      <c r="F2" s="5" t="n">
        <f aca="false">IFERROR(__xludf.dummyfunction("""COMPUTED_VALUE"""),143301887)</f>
        <v>143301887</v>
      </c>
    </row>
    <row r="3" customFormat="false" ht="15.75" hidden="false" customHeight="false" outlineLevel="0" collapsed="false">
      <c r="A3" s="6" t="n">
        <f aca="false">IFERROR(__xludf.dummyfunction("""COMPUTED_VALUE"""),44201.6666666667)</f>
        <v>44201.6666666667</v>
      </c>
      <c r="B3" s="5" t="n">
        <f aca="false">IFERROR(__xludf.dummyfunction("""COMPUTED_VALUE"""),128.89)</f>
        <v>128.89</v>
      </c>
      <c r="C3" s="5" t="n">
        <f aca="false">IFERROR(__xludf.dummyfunction("""COMPUTED_VALUE"""),131.74)</f>
        <v>131.74</v>
      </c>
      <c r="D3" s="5" t="n">
        <f aca="false">IFERROR(__xludf.dummyfunction("""COMPUTED_VALUE"""),128.43)</f>
        <v>128.43</v>
      </c>
      <c r="E3" s="5" t="n">
        <f aca="false">IFERROR(__xludf.dummyfunction("""COMPUTED_VALUE"""),131.01)</f>
        <v>131.01</v>
      </c>
      <c r="F3" s="5" t="n">
        <f aca="false">IFERROR(__xludf.dummyfunction("""COMPUTED_VALUE"""),97664898)</f>
        <v>97664898</v>
      </c>
    </row>
    <row r="4" customFormat="false" ht="15.75" hidden="false" customHeight="false" outlineLevel="0" collapsed="false">
      <c r="A4" s="6" t="n">
        <f aca="false">IFERROR(__xludf.dummyfunction("""COMPUTED_VALUE"""),44202.6666666667)</f>
        <v>44202.6666666667</v>
      </c>
      <c r="B4" s="5" t="n">
        <f aca="false">IFERROR(__xludf.dummyfunction("""COMPUTED_VALUE"""),127.72)</f>
        <v>127.72</v>
      </c>
      <c r="C4" s="5" t="n">
        <f aca="false">IFERROR(__xludf.dummyfunction("""COMPUTED_VALUE"""),131.05)</f>
        <v>131.05</v>
      </c>
      <c r="D4" s="5" t="n">
        <f aca="false">IFERROR(__xludf.dummyfunction("""COMPUTED_VALUE"""),126.38)</f>
        <v>126.38</v>
      </c>
      <c r="E4" s="5" t="n">
        <f aca="false">IFERROR(__xludf.dummyfunction("""COMPUTED_VALUE"""),126.6)</f>
        <v>126.6</v>
      </c>
      <c r="F4" s="5" t="n">
        <f aca="false">IFERROR(__xludf.dummyfunction("""COMPUTED_VALUE"""),155087970)</f>
        <v>155087970</v>
      </c>
    </row>
    <row r="5" customFormat="false" ht="15.75" hidden="false" customHeight="false" outlineLevel="0" collapsed="false">
      <c r="A5" s="6" t="n">
        <f aca="false">IFERROR(__xludf.dummyfunction("""COMPUTED_VALUE"""),44203.6666666667)</f>
        <v>44203.6666666667</v>
      </c>
      <c r="B5" s="5" t="n">
        <f aca="false">IFERROR(__xludf.dummyfunction("""COMPUTED_VALUE"""),128.36)</f>
        <v>128.36</v>
      </c>
      <c r="C5" s="5" t="n">
        <f aca="false">IFERROR(__xludf.dummyfunction("""COMPUTED_VALUE"""),131.63)</f>
        <v>131.63</v>
      </c>
      <c r="D5" s="5" t="n">
        <f aca="false">IFERROR(__xludf.dummyfunction("""COMPUTED_VALUE"""),127.86)</f>
        <v>127.86</v>
      </c>
      <c r="E5" s="5" t="n">
        <f aca="false">IFERROR(__xludf.dummyfunction("""COMPUTED_VALUE"""),130.92)</f>
        <v>130.92</v>
      </c>
      <c r="F5" s="5" t="n">
        <f aca="false">IFERROR(__xludf.dummyfunction("""COMPUTED_VALUE"""),109578157)</f>
        <v>109578157</v>
      </c>
    </row>
    <row r="6" customFormat="false" ht="15.75" hidden="false" customHeight="false" outlineLevel="0" collapsed="false">
      <c r="A6" s="6" t="n">
        <f aca="false">IFERROR(__xludf.dummyfunction("""COMPUTED_VALUE"""),44204.6666666667)</f>
        <v>44204.6666666667</v>
      </c>
      <c r="B6" s="5" t="n">
        <f aca="false">IFERROR(__xludf.dummyfunction("""COMPUTED_VALUE"""),132.43)</f>
        <v>132.43</v>
      </c>
      <c r="C6" s="5" t="n">
        <f aca="false">IFERROR(__xludf.dummyfunction("""COMPUTED_VALUE"""),132.63)</f>
        <v>132.63</v>
      </c>
      <c r="D6" s="5" t="n">
        <f aca="false">IFERROR(__xludf.dummyfunction("""COMPUTED_VALUE"""),130.23)</f>
        <v>130.23</v>
      </c>
      <c r="E6" s="5" t="n">
        <f aca="false">IFERROR(__xludf.dummyfunction("""COMPUTED_VALUE"""),132.05)</f>
        <v>132.05</v>
      </c>
      <c r="F6" s="5" t="n">
        <f aca="false">IFERROR(__xludf.dummyfunction("""COMPUTED_VALUE"""),105158245)</f>
        <v>105158245</v>
      </c>
    </row>
    <row r="7" customFormat="false" ht="15.75" hidden="false" customHeight="false" outlineLevel="0" collapsed="false">
      <c r="A7" s="6" t="n">
        <f aca="false">IFERROR(__xludf.dummyfunction("""COMPUTED_VALUE"""),44207.6666666667)</f>
        <v>44207.6666666667</v>
      </c>
      <c r="B7" s="5" t="n">
        <f aca="false">IFERROR(__xludf.dummyfunction("""COMPUTED_VALUE"""),129.19)</f>
        <v>129.19</v>
      </c>
      <c r="C7" s="5" t="n">
        <f aca="false">IFERROR(__xludf.dummyfunction("""COMPUTED_VALUE"""),130.17)</f>
        <v>130.17</v>
      </c>
      <c r="D7" s="5" t="n">
        <f aca="false">IFERROR(__xludf.dummyfunction("""COMPUTED_VALUE"""),128.5)</f>
        <v>128.5</v>
      </c>
      <c r="E7" s="5" t="n">
        <f aca="false">IFERROR(__xludf.dummyfunction("""COMPUTED_VALUE"""),128.98)</f>
        <v>128.98</v>
      </c>
      <c r="F7" s="5" t="n">
        <f aca="false">IFERROR(__xludf.dummyfunction("""COMPUTED_VALUE"""),100620880)</f>
        <v>100620880</v>
      </c>
    </row>
    <row r="8" customFormat="false" ht="15.75" hidden="false" customHeight="false" outlineLevel="0" collapsed="false">
      <c r="A8" s="6" t="n">
        <f aca="false">IFERROR(__xludf.dummyfunction("""COMPUTED_VALUE"""),44208.6666666667)</f>
        <v>44208.6666666667</v>
      </c>
      <c r="B8" s="5" t="n">
        <f aca="false">IFERROR(__xludf.dummyfunction("""COMPUTED_VALUE"""),128.5)</f>
        <v>128.5</v>
      </c>
      <c r="C8" s="5" t="n">
        <f aca="false">IFERROR(__xludf.dummyfunction("""COMPUTED_VALUE"""),129.69)</f>
        <v>129.69</v>
      </c>
      <c r="D8" s="5" t="n">
        <f aca="false">IFERROR(__xludf.dummyfunction("""COMPUTED_VALUE"""),126.86)</f>
        <v>126.86</v>
      </c>
      <c r="E8" s="5" t="n">
        <f aca="false">IFERROR(__xludf.dummyfunction("""COMPUTED_VALUE"""),128.8)</f>
        <v>128.8</v>
      </c>
      <c r="F8" s="5" t="n">
        <f aca="false">IFERROR(__xludf.dummyfunction("""COMPUTED_VALUE"""),91951145)</f>
        <v>91951145</v>
      </c>
    </row>
    <row r="9" customFormat="false" ht="15.75" hidden="false" customHeight="false" outlineLevel="0" collapsed="false">
      <c r="A9" s="6" t="n">
        <f aca="false">IFERROR(__xludf.dummyfunction("""COMPUTED_VALUE"""),44209.6666666667)</f>
        <v>44209.6666666667</v>
      </c>
      <c r="B9" s="5" t="n">
        <f aca="false">IFERROR(__xludf.dummyfunction("""COMPUTED_VALUE"""),128.76)</f>
        <v>128.76</v>
      </c>
      <c r="C9" s="5" t="n">
        <f aca="false">IFERROR(__xludf.dummyfunction("""COMPUTED_VALUE"""),131.45)</f>
        <v>131.45</v>
      </c>
      <c r="D9" s="5" t="n">
        <f aca="false">IFERROR(__xludf.dummyfunction("""COMPUTED_VALUE"""),128.49)</f>
        <v>128.49</v>
      </c>
      <c r="E9" s="5" t="n">
        <f aca="false">IFERROR(__xludf.dummyfunction("""COMPUTED_VALUE"""),130.89)</f>
        <v>130.89</v>
      </c>
      <c r="F9" s="5" t="n">
        <f aca="false">IFERROR(__xludf.dummyfunction("""COMPUTED_VALUE"""),88636831)</f>
        <v>88636831</v>
      </c>
    </row>
    <row r="10" customFormat="false" ht="15.75" hidden="false" customHeight="false" outlineLevel="0" collapsed="false">
      <c r="A10" s="6" t="n">
        <f aca="false">IFERROR(__xludf.dummyfunction("""COMPUTED_VALUE"""),44210.6666666667)</f>
        <v>44210.6666666667</v>
      </c>
      <c r="B10" s="5" t="n">
        <f aca="false">IFERROR(__xludf.dummyfunction("""COMPUTED_VALUE"""),130.8)</f>
        <v>130.8</v>
      </c>
      <c r="C10" s="5" t="n">
        <f aca="false">IFERROR(__xludf.dummyfunction("""COMPUTED_VALUE"""),131)</f>
        <v>131</v>
      </c>
      <c r="D10" s="5" t="n">
        <f aca="false">IFERROR(__xludf.dummyfunction("""COMPUTED_VALUE"""),128.76)</f>
        <v>128.76</v>
      </c>
      <c r="E10" s="5" t="n">
        <f aca="false">IFERROR(__xludf.dummyfunction("""COMPUTED_VALUE"""),128.91)</f>
        <v>128.91</v>
      </c>
      <c r="F10" s="5" t="n">
        <f aca="false">IFERROR(__xludf.dummyfunction("""COMPUTED_VALUE"""),90221755)</f>
        <v>90221755</v>
      </c>
    </row>
    <row r="11" customFormat="false" ht="15.75" hidden="false" customHeight="false" outlineLevel="0" collapsed="false">
      <c r="A11" s="6" t="n">
        <f aca="false">IFERROR(__xludf.dummyfunction("""COMPUTED_VALUE"""),44211.6666666667)</f>
        <v>44211.6666666667</v>
      </c>
      <c r="B11" s="5" t="n">
        <f aca="false">IFERROR(__xludf.dummyfunction("""COMPUTED_VALUE"""),128.78)</f>
        <v>128.78</v>
      </c>
      <c r="C11" s="5" t="n">
        <f aca="false">IFERROR(__xludf.dummyfunction("""COMPUTED_VALUE"""),130.22)</f>
        <v>130.22</v>
      </c>
      <c r="D11" s="5" t="n">
        <f aca="false">IFERROR(__xludf.dummyfunction("""COMPUTED_VALUE"""),127)</f>
        <v>127</v>
      </c>
      <c r="E11" s="5" t="n">
        <f aca="false">IFERROR(__xludf.dummyfunction("""COMPUTED_VALUE"""),127.14)</f>
        <v>127.14</v>
      </c>
      <c r="F11" s="5" t="n">
        <f aca="false">IFERROR(__xludf.dummyfunction("""COMPUTED_VALUE"""),111598531)</f>
        <v>111598531</v>
      </c>
    </row>
    <row r="12" customFormat="false" ht="15.75" hidden="false" customHeight="false" outlineLevel="0" collapsed="false">
      <c r="A12" s="6" t="n">
        <f aca="false">IFERROR(__xludf.dummyfunction("""COMPUTED_VALUE"""),44215.6666666667)</f>
        <v>44215.6666666667</v>
      </c>
      <c r="B12" s="5" t="n">
        <f aca="false">IFERROR(__xludf.dummyfunction("""COMPUTED_VALUE"""),127.78)</f>
        <v>127.78</v>
      </c>
      <c r="C12" s="5" t="n">
        <f aca="false">IFERROR(__xludf.dummyfunction("""COMPUTED_VALUE"""),128.71)</f>
        <v>128.71</v>
      </c>
      <c r="D12" s="5" t="n">
        <f aca="false">IFERROR(__xludf.dummyfunction("""COMPUTED_VALUE"""),126.94)</f>
        <v>126.94</v>
      </c>
      <c r="E12" s="5" t="n">
        <f aca="false">IFERROR(__xludf.dummyfunction("""COMPUTED_VALUE"""),127.83)</f>
        <v>127.83</v>
      </c>
      <c r="F12" s="5" t="n">
        <f aca="false">IFERROR(__xludf.dummyfunction("""COMPUTED_VALUE"""),90757329)</f>
        <v>90757329</v>
      </c>
    </row>
    <row r="13" customFormat="false" ht="15.75" hidden="false" customHeight="false" outlineLevel="0" collapsed="false">
      <c r="A13" s="6" t="n">
        <f aca="false">IFERROR(__xludf.dummyfunction("""COMPUTED_VALUE"""),44216.6666666667)</f>
        <v>44216.6666666667</v>
      </c>
      <c r="B13" s="5" t="n">
        <f aca="false">IFERROR(__xludf.dummyfunction("""COMPUTED_VALUE"""),128.66)</f>
        <v>128.66</v>
      </c>
      <c r="C13" s="5" t="n">
        <f aca="false">IFERROR(__xludf.dummyfunction("""COMPUTED_VALUE"""),132.49)</f>
        <v>132.49</v>
      </c>
      <c r="D13" s="5" t="n">
        <f aca="false">IFERROR(__xludf.dummyfunction("""COMPUTED_VALUE"""),128.55)</f>
        <v>128.55</v>
      </c>
      <c r="E13" s="5" t="n">
        <f aca="false">IFERROR(__xludf.dummyfunction("""COMPUTED_VALUE"""),132.03)</f>
        <v>132.03</v>
      </c>
      <c r="F13" s="5" t="n">
        <f aca="false">IFERROR(__xludf.dummyfunction("""COMPUTED_VALUE"""),104319489)</f>
        <v>104319489</v>
      </c>
    </row>
    <row r="14" customFormat="false" ht="15.75" hidden="false" customHeight="false" outlineLevel="0" collapsed="false">
      <c r="A14" s="6" t="n">
        <f aca="false">IFERROR(__xludf.dummyfunction("""COMPUTED_VALUE"""),44217.6666666667)</f>
        <v>44217.6666666667</v>
      </c>
      <c r="B14" s="5" t="n">
        <f aca="false">IFERROR(__xludf.dummyfunction("""COMPUTED_VALUE"""),133.8)</f>
        <v>133.8</v>
      </c>
      <c r="C14" s="5" t="n">
        <f aca="false">IFERROR(__xludf.dummyfunction("""COMPUTED_VALUE"""),139.67)</f>
        <v>139.67</v>
      </c>
      <c r="D14" s="5" t="n">
        <f aca="false">IFERROR(__xludf.dummyfunction("""COMPUTED_VALUE"""),133.59)</f>
        <v>133.59</v>
      </c>
      <c r="E14" s="5" t="n">
        <f aca="false">IFERROR(__xludf.dummyfunction("""COMPUTED_VALUE"""),136.87)</f>
        <v>136.87</v>
      </c>
      <c r="F14" s="5" t="n">
        <f aca="false">IFERROR(__xludf.dummyfunction("""COMPUTED_VALUE"""),120529544)</f>
        <v>120529544</v>
      </c>
    </row>
    <row r="15" customFormat="false" ht="15.75" hidden="false" customHeight="false" outlineLevel="0" collapsed="false">
      <c r="A15" s="6" t="n">
        <f aca="false">IFERROR(__xludf.dummyfunction("""COMPUTED_VALUE"""),44218.6666666667)</f>
        <v>44218.6666666667</v>
      </c>
      <c r="B15" s="5" t="n">
        <f aca="false">IFERROR(__xludf.dummyfunction("""COMPUTED_VALUE"""),136.28)</f>
        <v>136.28</v>
      </c>
      <c r="C15" s="5" t="n">
        <f aca="false">IFERROR(__xludf.dummyfunction("""COMPUTED_VALUE"""),139.85)</f>
        <v>139.85</v>
      </c>
      <c r="D15" s="5" t="n">
        <f aca="false">IFERROR(__xludf.dummyfunction("""COMPUTED_VALUE"""),135.02)</f>
        <v>135.02</v>
      </c>
      <c r="E15" s="5" t="n">
        <f aca="false">IFERROR(__xludf.dummyfunction("""COMPUTED_VALUE"""),139.07)</f>
        <v>139.07</v>
      </c>
      <c r="F15" s="5" t="n">
        <f aca="false">IFERROR(__xludf.dummyfunction("""COMPUTED_VALUE"""),114459360)</f>
        <v>114459360</v>
      </c>
    </row>
    <row r="16" customFormat="false" ht="15.75" hidden="false" customHeight="false" outlineLevel="0" collapsed="false">
      <c r="A16" s="6" t="n">
        <f aca="false">IFERROR(__xludf.dummyfunction("""COMPUTED_VALUE"""),44221.6666666667)</f>
        <v>44221.6666666667</v>
      </c>
      <c r="B16" s="5" t="n">
        <f aca="false">IFERROR(__xludf.dummyfunction("""COMPUTED_VALUE"""),143.07)</f>
        <v>143.07</v>
      </c>
      <c r="C16" s="5" t="n">
        <f aca="false">IFERROR(__xludf.dummyfunction("""COMPUTED_VALUE"""),145.09)</f>
        <v>145.09</v>
      </c>
      <c r="D16" s="5" t="n">
        <f aca="false">IFERROR(__xludf.dummyfunction("""COMPUTED_VALUE"""),136.54)</f>
        <v>136.54</v>
      </c>
      <c r="E16" s="5" t="n">
        <f aca="false">IFERROR(__xludf.dummyfunction("""COMPUTED_VALUE"""),142.92)</f>
        <v>142.92</v>
      </c>
      <c r="F16" s="5" t="n">
        <f aca="false">IFERROR(__xludf.dummyfunction("""COMPUTED_VALUE"""),157611713)</f>
        <v>157611713</v>
      </c>
    </row>
    <row r="17" customFormat="false" ht="15.75" hidden="false" customHeight="false" outlineLevel="0" collapsed="false">
      <c r="A17" s="6" t="n">
        <f aca="false">IFERROR(__xludf.dummyfunction("""COMPUTED_VALUE"""),44222.6666666667)</f>
        <v>44222.6666666667</v>
      </c>
      <c r="B17" s="5" t="n">
        <f aca="false">IFERROR(__xludf.dummyfunction("""COMPUTED_VALUE"""),143.6)</f>
        <v>143.6</v>
      </c>
      <c r="C17" s="5" t="n">
        <f aca="false">IFERROR(__xludf.dummyfunction("""COMPUTED_VALUE"""),144.3)</f>
        <v>144.3</v>
      </c>
      <c r="D17" s="5" t="n">
        <f aca="false">IFERROR(__xludf.dummyfunction("""COMPUTED_VALUE"""),141.37)</f>
        <v>141.37</v>
      </c>
      <c r="E17" s="5" t="n">
        <f aca="false">IFERROR(__xludf.dummyfunction("""COMPUTED_VALUE"""),143.16)</f>
        <v>143.16</v>
      </c>
      <c r="F17" s="5" t="n">
        <f aca="false">IFERROR(__xludf.dummyfunction("""COMPUTED_VALUE"""),98390555)</f>
        <v>98390555</v>
      </c>
    </row>
    <row r="18" customFormat="false" ht="15.75" hidden="false" customHeight="false" outlineLevel="0" collapsed="false">
      <c r="A18" s="6" t="n">
        <f aca="false">IFERROR(__xludf.dummyfunction("""COMPUTED_VALUE"""),44223.6666666667)</f>
        <v>44223.6666666667</v>
      </c>
      <c r="B18" s="5" t="n">
        <f aca="false">IFERROR(__xludf.dummyfunction("""COMPUTED_VALUE"""),143.43)</f>
        <v>143.43</v>
      </c>
      <c r="C18" s="5" t="n">
        <f aca="false">IFERROR(__xludf.dummyfunction("""COMPUTED_VALUE"""),144.3)</f>
        <v>144.3</v>
      </c>
      <c r="D18" s="5" t="n">
        <f aca="false">IFERROR(__xludf.dummyfunction("""COMPUTED_VALUE"""),140.41)</f>
        <v>140.41</v>
      </c>
      <c r="E18" s="5" t="n">
        <f aca="false">IFERROR(__xludf.dummyfunction("""COMPUTED_VALUE"""),142.06)</f>
        <v>142.06</v>
      </c>
      <c r="F18" s="5" t="n">
        <f aca="false">IFERROR(__xludf.dummyfunction("""COMPUTED_VALUE"""),140843759)</f>
        <v>140843759</v>
      </c>
    </row>
    <row r="19" customFormat="false" ht="15.75" hidden="false" customHeight="false" outlineLevel="0" collapsed="false">
      <c r="A19" s="6" t="n">
        <f aca="false">IFERROR(__xludf.dummyfunction("""COMPUTED_VALUE"""),44224.6666666667)</f>
        <v>44224.6666666667</v>
      </c>
      <c r="B19" s="5" t="n">
        <f aca="false">IFERROR(__xludf.dummyfunction("""COMPUTED_VALUE"""),139.52)</f>
        <v>139.52</v>
      </c>
      <c r="C19" s="5" t="n">
        <f aca="false">IFERROR(__xludf.dummyfunction("""COMPUTED_VALUE"""),141.99)</f>
        <v>141.99</v>
      </c>
      <c r="D19" s="5" t="n">
        <f aca="false">IFERROR(__xludf.dummyfunction("""COMPUTED_VALUE"""),136.7)</f>
        <v>136.7</v>
      </c>
      <c r="E19" s="5" t="n">
        <f aca="false">IFERROR(__xludf.dummyfunction("""COMPUTED_VALUE"""),137.09)</f>
        <v>137.09</v>
      </c>
      <c r="F19" s="5" t="n">
        <f aca="false">IFERROR(__xludf.dummyfunction("""COMPUTED_VALUE"""),142621128)</f>
        <v>142621128</v>
      </c>
    </row>
    <row r="20" customFormat="false" ht="15.75" hidden="false" customHeight="false" outlineLevel="0" collapsed="false">
      <c r="A20" s="6" t="n">
        <f aca="false">IFERROR(__xludf.dummyfunction("""COMPUTED_VALUE"""),44225.6666666667)</f>
        <v>44225.6666666667</v>
      </c>
      <c r="B20" s="5" t="n">
        <f aca="false">IFERROR(__xludf.dummyfunction("""COMPUTED_VALUE"""),135.83)</f>
        <v>135.83</v>
      </c>
      <c r="C20" s="5" t="n">
        <f aca="false">IFERROR(__xludf.dummyfunction("""COMPUTED_VALUE"""),136.74)</f>
        <v>136.74</v>
      </c>
      <c r="D20" s="5" t="n">
        <f aca="false">IFERROR(__xludf.dummyfunction("""COMPUTED_VALUE"""),130.21)</f>
        <v>130.21</v>
      </c>
      <c r="E20" s="5" t="n">
        <f aca="false">IFERROR(__xludf.dummyfunction("""COMPUTED_VALUE"""),131.96)</f>
        <v>131.96</v>
      </c>
      <c r="F20" s="5" t="n">
        <f aca="false">IFERROR(__xludf.dummyfunction("""COMPUTED_VALUE"""),177523812)</f>
        <v>177523812</v>
      </c>
    </row>
    <row r="21" customFormat="false" ht="15.75" hidden="false" customHeight="false" outlineLevel="0" collapsed="false">
      <c r="A21" s="6" t="n">
        <f aca="false">IFERROR(__xludf.dummyfunction("""COMPUTED_VALUE"""),44228.6666666667)</f>
        <v>44228.6666666667</v>
      </c>
      <c r="B21" s="5" t="n">
        <f aca="false">IFERROR(__xludf.dummyfunction("""COMPUTED_VALUE"""),133.75)</f>
        <v>133.75</v>
      </c>
      <c r="C21" s="5" t="n">
        <f aca="false">IFERROR(__xludf.dummyfunction("""COMPUTED_VALUE"""),135.38)</f>
        <v>135.38</v>
      </c>
      <c r="D21" s="5" t="n">
        <f aca="false">IFERROR(__xludf.dummyfunction("""COMPUTED_VALUE"""),130.93)</f>
        <v>130.93</v>
      </c>
      <c r="E21" s="5" t="n">
        <f aca="false">IFERROR(__xludf.dummyfunction("""COMPUTED_VALUE"""),134.14)</f>
        <v>134.14</v>
      </c>
      <c r="F21" s="5" t="n">
        <f aca="false">IFERROR(__xludf.dummyfunction("""COMPUTED_VALUE"""),106239823)</f>
        <v>106239823</v>
      </c>
    </row>
    <row r="22" customFormat="false" ht="15.75" hidden="false" customHeight="false" outlineLevel="0" collapsed="false">
      <c r="A22" s="6" t="n">
        <f aca="false">IFERROR(__xludf.dummyfunction("""COMPUTED_VALUE"""),44229.6666666667)</f>
        <v>44229.6666666667</v>
      </c>
      <c r="B22" s="5" t="n">
        <f aca="false">IFERROR(__xludf.dummyfunction("""COMPUTED_VALUE"""),135.73)</f>
        <v>135.73</v>
      </c>
      <c r="C22" s="5" t="n">
        <f aca="false">IFERROR(__xludf.dummyfunction("""COMPUTED_VALUE"""),136.31)</f>
        <v>136.31</v>
      </c>
      <c r="D22" s="5" t="n">
        <f aca="false">IFERROR(__xludf.dummyfunction("""COMPUTED_VALUE"""),134.61)</f>
        <v>134.61</v>
      </c>
      <c r="E22" s="5" t="n">
        <f aca="false">IFERROR(__xludf.dummyfunction("""COMPUTED_VALUE"""),134.99)</f>
        <v>134.99</v>
      </c>
      <c r="F22" s="5" t="n">
        <f aca="false">IFERROR(__xludf.dummyfunction("""COMPUTED_VALUE"""),83305367)</f>
        <v>83305367</v>
      </c>
    </row>
    <row r="23" customFormat="false" ht="15.75" hidden="false" customHeight="false" outlineLevel="0" collapsed="false">
      <c r="A23" s="6" t="n">
        <f aca="false">IFERROR(__xludf.dummyfunction("""COMPUTED_VALUE"""),44230.6666666667)</f>
        <v>44230.6666666667</v>
      </c>
      <c r="B23" s="5" t="n">
        <f aca="false">IFERROR(__xludf.dummyfunction("""COMPUTED_VALUE"""),135.76)</f>
        <v>135.76</v>
      </c>
      <c r="C23" s="5" t="n">
        <f aca="false">IFERROR(__xludf.dummyfunction("""COMPUTED_VALUE"""),135.77)</f>
        <v>135.77</v>
      </c>
      <c r="D23" s="5" t="n">
        <f aca="false">IFERROR(__xludf.dummyfunction("""COMPUTED_VALUE"""),133.61)</f>
        <v>133.61</v>
      </c>
      <c r="E23" s="5" t="n">
        <f aca="false">IFERROR(__xludf.dummyfunction("""COMPUTED_VALUE"""),133.94)</f>
        <v>133.94</v>
      </c>
      <c r="F23" s="5" t="n">
        <f aca="false">IFERROR(__xludf.dummyfunction("""COMPUTED_VALUE"""),89880937)</f>
        <v>89880937</v>
      </c>
    </row>
    <row r="24" customFormat="false" ht="15.75" hidden="false" customHeight="false" outlineLevel="0" collapsed="false">
      <c r="A24" s="6" t="n">
        <f aca="false">IFERROR(__xludf.dummyfunction("""COMPUTED_VALUE"""),44231.6666666667)</f>
        <v>44231.6666666667</v>
      </c>
      <c r="B24" s="5" t="n">
        <f aca="false">IFERROR(__xludf.dummyfunction("""COMPUTED_VALUE"""),136.3)</f>
        <v>136.3</v>
      </c>
      <c r="C24" s="5" t="n">
        <f aca="false">IFERROR(__xludf.dummyfunction("""COMPUTED_VALUE"""),137.4)</f>
        <v>137.4</v>
      </c>
      <c r="D24" s="5" t="n">
        <f aca="false">IFERROR(__xludf.dummyfunction("""COMPUTED_VALUE"""),134.59)</f>
        <v>134.59</v>
      </c>
      <c r="E24" s="5" t="n">
        <f aca="false">IFERROR(__xludf.dummyfunction("""COMPUTED_VALUE"""),137.39)</f>
        <v>137.39</v>
      </c>
      <c r="F24" s="5" t="n">
        <f aca="false">IFERROR(__xludf.dummyfunction("""COMPUTED_VALUE"""),84183061)</f>
        <v>84183061</v>
      </c>
    </row>
    <row r="25" customFormat="false" ht="15.75" hidden="false" customHeight="false" outlineLevel="0" collapsed="false">
      <c r="A25" s="6" t="n">
        <f aca="false">IFERROR(__xludf.dummyfunction("""COMPUTED_VALUE"""),44232.6666666667)</f>
        <v>44232.6666666667</v>
      </c>
      <c r="B25" s="5" t="n">
        <f aca="false">IFERROR(__xludf.dummyfunction("""COMPUTED_VALUE"""),137.35)</f>
        <v>137.35</v>
      </c>
      <c r="C25" s="5" t="n">
        <f aca="false">IFERROR(__xludf.dummyfunction("""COMPUTED_VALUE"""),137.42)</f>
        <v>137.42</v>
      </c>
      <c r="D25" s="5" t="n">
        <f aca="false">IFERROR(__xludf.dummyfunction("""COMPUTED_VALUE"""),135.86)</f>
        <v>135.86</v>
      </c>
      <c r="E25" s="5" t="n">
        <f aca="false">IFERROR(__xludf.dummyfunction("""COMPUTED_VALUE"""),136.76)</f>
        <v>136.76</v>
      </c>
      <c r="F25" s="5" t="n">
        <f aca="false">IFERROR(__xludf.dummyfunction("""COMPUTED_VALUE"""),75693830)</f>
        <v>75693830</v>
      </c>
    </row>
    <row r="26" customFormat="false" ht="15.75" hidden="false" customHeight="false" outlineLevel="0" collapsed="false">
      <c r="A26" s="6" t="n">
        <f aca="false">IFERROR(__xludf.dummyfunction("""COMPUTED_VALUE"""),44235.6666666667)</f>
        <v>44235.6666666667</v>
      </c>
      <c r="B26" s="5" t="n">
        <f aca="false">IFERROR(__xludf.dummyfunction("""COMPUTED_VALUE"""),136.03)</f>
        <v>136.03</v>
      </c>
      <c r="C26" s="5" t="n">
        <f aca="false">IFERROR(__xludf.dummyfunction("""COMPUTED_VALUE"""),136.96)</f>
        <v>136.96</v>
      </c>
      <c r="D26" s="5" t="n">
        <f aca="false">IFERROR(__xludf.dummyfunction("""COMPUTED_VALUE"""),134.92)</f>
        <v>134.92</v>
      </c>
      <c r="E26" s="5" t="n">
        <f aca="false">IFERROR(__xludf.dummyfunction("""COMPUTED_VALUE"""),136.91)</f>
        <v>136.91</v>
      </c>
      <c r="F26" s="5" t="n">
        <f aca="false">IFERROR(__xludf.dummyfunction("""COMPUTED_VALUE"""),71297214)</f>
        <v>71297214</v>
      </c>
    </row>
    <row r="27" customFormat="false" ht="15.75" hidden="false" customHeight="false" outlineLevel="0" collapsed="false">
      <c r="A27" s="6" t="n">
        <f aca="false">IFERROR(__xludf.dummyfunction("""COMPUTED_VALUE"""),44236.6666666667)</f>
        <v>44236.6666666667</v>
      </c>
      <c r="B27" s="5" t="n">
        <f aca="false">IFERROR(__xludf.dummyfunction("""COMPUTED_VALUE"""),136.62)</f>
        <v>136.62</v>
      </c>
      <c r="C27" s="5" t="n">
        <f aca="false">IFERROR(__xludf.dummyfunction("""COMPUTED_VALUE"""),137.88)</f>
        <v>137.88</v>
      </c>
      <c r="D27" s="5" t="n">
        <f aca="false">IFERROR(__xludf.dummyfunction("""COMPUTED_VALUE"""),135.85)</f>
        <v>135.85</v>
      </c>
      <c r="E27" s="5" t="n">
        <f aca="false">IFERROR(__xludf.dummyfunction("""COMPUTED_VALUE"""),136.01)</f>
        <v>136.01</v>
      </c>
      <c r="F27" s="5" t="n">
        <f aca="false">IFERROR(__xludf.dummyfunction("""COMPUTED_VALUE"""),76774213)</f>
        <v>76774213</v>
      </c>
    </row>
    <row r="28" customFormat="false" ht="15.75" hidden="false" customHeight="false" outlineLevel="0" collapsed="false">
      <c r="A28" s="6" t="n">
        <f aca="false">IFERROR(__xludf.dummyfunction("""COMPUTED_VALUE"""),44237.6666666667)</f>
        <v>44237.6666666667</v>
      </c>
      <c r="B28" s="5" t="n">
        <f aca="false">IFERROR(__xludf.dummyfunction("""COMPUTED_VALUE"""),136.48)</f>
        <v>136.48</v>
      </c>
      <c r="C28" s="5" t="n">
        <f aca="false">IFERROR(__xludf.dummyfunction("""COMPUTED_VALUE"""),136.99)</f>
        <v>136.99</v>
      </c>
      <c r="D28" s="5" t="n">
        <f aca="false">IFERROR(__xludf.dummyfunction("""COMPUTED_VALUE"""),134.4)</f>
        <v>134.4</v>
      </c>
      <c r="E28" s="5" t="n">
        <f aca="false">IFERROR(__xludf.dummyfunction("""COMPUTED_VALUE"""),135.39)</f>
        <v>135.39</v>
      </c>
      <c r="F28" s="5" t="n">
        <f aca="false">IFERROR(__xludf.dummyfunction("""COMPUTED_VALUE"""),73046563)</f>
        <v>73046563</v>
      </c>
    </row>
    <row r="29" customFormat="false" ht="15.75" hidden="false" customHeight="false" outlineLevel="0" collapsed="false">
      <c r="A29" s="6" t="n">
        <f aca="false">IFERROR(__xludf.dummyfunction("""COMPUTED_VALUE"""),44238.6666666667)</f>
        <v>44238.6666666667</v>
      </c>
      <c r="B29" s="5" t="n">
        <f aca="false">IFERROR(__xludf.dummyfunction("""COMPUTED_VALUE"""),135.9)</f>
        <v>135.9</v>
      </c>
      <c r="C29" s="5" t="n">
        <f aca="false">IFERROR(__xludf.dummyfunction("""COMPUTED_VALUE"""),136.39)</f>
        <v>136.39</v>
      </c>
      <c r="D29" s="5" t="n">
        <f aca="false">IFERROR(__xludf.dummyfunction("""COMPUTED_VALUE"""),133.77)</f>
        <v>133.77</v>
      </c>
      <c r="E29" s="5" t="n">
        <f aca="false">IFERROR(__xludf.dummyfunction("""COMPUTED_VALUE"""),135.13)</f>
        <v>135.13</v>
      </c>
      <c r="F29" s="5" t="n">
        <f aca="false">IFERROR(__xludf.dummyfunction("""COMPUTED_VALUE"""),64280029)</f>
        <v>64280029</v>
      </c>
    </row>
    <row r="30" customFormat="false" ht="15.75" hidden="false" customHeight="false" outlineLevel="0" collapsed="false">
      <c r="A30" s="6" t="n">
        <f aca="false">IFERROR(__xludf.dummyfunction("""COMPUTED_VALUE"""),44239.6666666667)</f>
        <v>44239.6666666667</v>
      </c>
      <c r="B30" s="5" t="n">
        <f aca="false">IFERROR(__xludf.dummyfunction("""COMPUTED_VALUE"""),134.35)</f>
        <v>134.35</v>
      </c>
      <c r="C30" s="5" t="n">
        <f aca="false">IFERROR(__xludf.dummyfunction("""COMPUTED_VALUE"""),135.53)</f>
        <v>135.53</v>
      </c>
      <c r="D30" s="5" t="n">
        <f aca="false">IFERROR(__xludf.dummyfunction("""COMPUTED_VALUE"""),133.69)</f>
        <v>133.69</v>
      </c>
      <c r="E30" s="5" t="n">
        <f aca="false">IFERROR(__xludf.dummyfunction("""COMPUTED_VALUE"""),135.37)</f>
        <v>135.37</v>
      </c>
      <c r="F30" s="5" t="n">
        <f aca="false">IFERROR(__xludf.dummyfunction("""COMPUTED_VALUE"""),60145130)</f>
        <v>60145130</v>
      </c>
    </row>
    <row r="31" customFormat="false" ht="15.75" hidden="false" customHeight="false" outlineLevel="0" collapsed="false">
      <c r="A31" s="6" t="n">
        <f aca="false">IFERROR(__xludf.dummyfunction("""COMPUTED_VALUE"""),44243.6666666667)</f>
        <v>44243.6666666667</v>
      </c>
      <c r="B31" s="5" t="n">
        <f aca="false">IFERROR(__xludf.dummyfunction("""COMPUTED_VALUE"""),135.49)</f>
        <v>135.49</v>
      </c>
      <c r="C31" s="5" t="n">
        <f aca="false">IFERROR(__xludf.dummyfunction("""COMPUTED_VALUE"""),136.01)</f>
        <v>136.01</v>
      </c>
      <c r="D31" s="5" t="n">
        <f aca="false">IFERROR(__xludf.dummyfunction("""COMPUTED_VALUE"""),132.79)</f>
        <v>132.79</v>
      </c>
      <c r="E31" s="5" t="n">
        <f aca="false">IFERROR(__xludf.dummyfunction("""COMPUTED_VALUE"""),133.19)</f>
        <v>133.19</v>
      </c>
      <c r="F31" s="5" t="n">
        <f aca="false">IFERROR(__xludf.dummyfunction("""COMPUTED_VALUE"""),80576316)</f>
        <v>80576316</v>
      </c>
    </row>
    <row r="32" customFormat="false" ht="15.75" hidden="false" customHeight="false" outlineLevel="0" collapsed="false">
      <c r="A32" s="6" t="n">
        <f aca="false">IFERROR(__xludf.dummyfunction("""COMPUTED_VALUE"""),44244.6666666667)</f>
        <v>44244.6666666667</v>
      </c>
      <c r="B32" s="5" t="n">
        <f aca="false">IFERROR(__xludf.dummyfunction("""COMPUTED_VALUE"""),131.25)</f>
        <v>131.25</v>
      </c>
      <c r="C32" s="5" t="n">
        <f aca="false">IFERROR(__xludf.dummyfunction("""COMPUTED_VALUE"""),132.22)</f>
        <v>132.22</v>
      </c>
      <c r="D32" s="5" t="n">
        <f aca="false">IFERROR(__xludf.dummyfunction("""COMPUTED_VALUE"""),129.47)</f>
        <v>129.47</v>
      </c>
      <c r="E32" s="5" t="n">
        <f aca="false">IFERROR(__xludf.dummyfunction("""COMPUTED_VALUE"""),130.84)</f>
        <v>130.84</v>
      </c>
      <c r="F32" s="5" t="n">
        <f aca="false">IFERROR(__xludf.dummyfunction("""COMPUTED_VALUE"""),98085249)</f>
        <v>98085249</v>
      </c>
    </row>
    <row r="33" customFormat="false" ht="15.75" hidden="false" customHeight="false" outlineLevel="0" collapsed="false">
      <c r="A33" s="6" t="n">
        <f aca="false">IFERROR(__xludf.dummyfunction("""COMPUTED_VALUE"""),44245.6666666667)</f>
        <v>44245.6666666667</v>
      </c>
      <c r="B33" s="5" t="n">
        <f aca="false">IFERROR(__xludf.dummyfunction("""COMPUTED_VALUE"""),129.2)</f>
        <v>129.2</v>
      </c>
      <c r="C33" s="5" t="n">
        <f aca="false">IFERROR(__xludf.dummyfunction("""COMPUTED_VALUE"""),130)</f>
        <v>130</v>
      </c>
      <c r="D33" s="5" t="n">
        <f aca="false">IFERROR(__xludf.dummyfunction("""COMPUTED_VALUE"""),127.41)</f>
        <v>127.41</v>
      </c>
      <c r="E33" s="5" t="n">
        <f aca="false">IFERROR(__xludf.dummyfunction("""COMPUTED_VALUE"""),129.71)</f>
        <v>129.71</v>
      </c>
      <c r="F33" s="5" t="n">
        <f aca="false">IFERROR(__xludf.dummyfunction("""COMPUTED_VALUE"""),96856748)</f>
        <v>96856748</v>
      </c>
    </row>
    <row r="34" customFormat="false" ht="15.75" hidden="false" customHeight="false" outlineLevel="0" collapsed="false">
      <c r="A34" s="6" t="n">
        <f aca="false">IFERROR(__xludf.dummyfunction("""COMPUTED_VALUE"""),44246.6666666667)</f>
        <v>44246.6666666667</v>
      </c>
      <c r="B34" s="5" t="n">
        <f aca="false">IFERROR(__xludf.dummyfunction("""COMPUTED_VALUE"""),130.24)</f>
        <v>130.24</v>
      </c>
      <c r="C34" s="5" t="n">
        <f aca="false">IFERROR(__xludf.dummyfunction("""COMPUTED_VALUE"""),130.71)</f>
        <v>130.71</v>
      </c>
      <c r="D34" s="5" t="n">
        <f aca="false">IFERROR(__xludf.dummyfunction("""COMPUTED_VALUE"""),128.8)</f>
        <v>128.8</v>
      </c>
      <c r="E34" s="5" t="n">
        <f aca="false">IFERROR(__xludf.dummyfunction("""COMPUTED_VALUE"""),129.87)</f>
        <v>129.87</v>
      </c>
      <c r="F34" s="5" t="n">
        <f aca="false">IFERROR(__xludf.dummyfunction("""COMPUTED_VALUE"""),87668834)</f>
        <v>87668834</v>
      </c>
    </row>
    <row r="35" customFormat="false" ht="15.75" hidden="false" customHeight="false" outlineLevel="0" collapsed="false">
      <c r="A35" s="6" t="n">
        <f aca="false">IFERROR(__xludf.dummyfunction("""COMPUTED_VALUE"""),44249.6666666667)</f>
        <v>44249.6666666667</v>
      </c>
      <c r="B35" s="5" t="n">
        <f aca="false">IFERROR(__xludf.dummyfunction("""COMPUTED_VALUE"""),128.01)</f>
        <v>128.01</v>
      </c>
      <c r="C35" s="5" t="n">
        <f aca="false">IFERROR(__xludf.dummyfunction("""COMPUTED_VALUE"""),129.72)</f>
        <v>129.72</v>
      </c>
      <c r="D35" s="5" t="n">
        <f aca="false">IFERROR(__xludf.dummyfunction("""COMPUTED_VALUE"""),125.6)</f>
        <v>125.6</v>
      </c>
      <c r="E35" s="5" t="n">
        <f aca="false">IFERROR(__xludf.dummyfunction("""COMPUTED_VALUE"""),126)</f>
        <v>126</v>
      </c>
      <c r="F35" s="5" t="n">
        <f aca="false">IFERROR(__xludf.dummyfunction("""COMPUTED_VALUE"""),103916419)</f>
        <v>103916419</v>
      </c>
    </row>
    <row r="36" customFormat="false" ht="15.75" hidden="false" customHeight="false" outlineLevel="0" collapsed="false">
      <c r="A36" s="6" t="n">
        <f aca="false">IFERROR(__xludf.dummyfunction("""COMPUTED_VALUE"""),44250.6666666667)</f>
        <v>44250.6666666667</v>
      </c>
      <c r="B36" s="5" t="n">
        <f aca="false">IFERROR(__xludf.dummyfunction("""COMPUTED_VALUE"""),123.76)</f>
        <v>123.76</v>
      </c>
      <c r="C36" s="5" t="n">
        <f aca="false">IFERROR(__xludf.dummyfunction("""COMPUTED_VALUE"""),126.71)</f>
        <v>126.71</v>
      </c>
      <c r="D36" s="5" t="n">
        <f aca="false">IFERROR(__xludf.dummyfunction("""COMPUTED_VALUE"""),118.39)</f>
        <v>118.39</v>
      </c>
      <c r="E36" s="5" t="n">
        <f aca="false">IFERROR(__xludf.dummyfunction("""COMPUTED_VALUE"""),125.86)</f>
        <v>125.86</v>
      </c>
      <c r="F36" s="5" t="n">
        <f aca="false">IFERROR(__xludf.dummyfunction("""COMPUTED_VALUE"""),158273022)</f>
        <v>158273022</v>
      </c>
    </row>
    <row r="37" customFormat="false" ht="15.75" hidden="false" customHeight="false" outlineLevel="0" collapsed="false">
      <c r="A37" s="6" t="n">
        <f aca="false">IFERROR(__xludf.dummyfunction("""COMPUTED_VALUE"""),44251.6666666667)</f>
        <v>44251.6666666667</v>
      </c>
      <c r="B37" s="5" t="n">
        <f aca="false">IFERROR(__xludf.dummyfunction("""COMPUTED_VALUE"""),124.94)</f>
        <v>124.94</v>
      </c>
      <c r="C37" s="5" t="n">
        <f aca="false">IFERROR(__xludf.dummyfunction("""COMPUTED_VALUE"""),125.56)</f>
        <v>125.56</v>
      </c>
      <c r="D37" s="5" t="n">
        <f aca="false">IFERROR(__xludf.dummyfunction("""COMPUTED_VALUE"""),122.23)</f>
        <v>122.23</v>
      </c>
      <c r="E37" s="5" t="n">
        <f aca="false">IFERROR(__xludf.dummyfunction("""COMPUTED_VALUE"""),125.35)</f>
        <v>125.35</v>
      </c>
      <c r="F37" s="5" t="n">
        <f aca="false">IFERROR(__xludf.dummyfunction("""COMPUTED_VALUE"""),111039904)</f>
        <v>111039904</v>
      </c>
    </row>
    <row r="38" customFormat="false" ht="15.75" hidden="false" customHeight="false" outlineLevel="0" collapsed="false">
      <c r="A38" s="6" t="n">
        <f aca="false">IFERROR(__xludf.dummyfunction("""COMPUTED_VALUE"""),44252.6666666667)</f>
        <v>44252.6666666667</v>
      </c>
      <c r="B38" s="5" t="n">
        <f aca="false">IFERROR(__xludf.dummyfunction("""COMPUTED_VALUE"""),124.68)</f>
        <v>124.68</v>
      </c>
      <c r="C38" s="5" t="n">
        <f aca="false">IFERROR(__xludf.dummyfunction("""COMPUTED_VALUE"""),126.46)</f>
        <v>126.46</v>
      </c>
      <c r="D38" s="5" t="n">
        <f aca="false">IFERROR(__xludf.dummyfunction("""COMPUTED_VALUE"""),120.54)</f>
        <v>120.54</v>
      </c>
      <c r="E38" s="5" t="n">
        <f aca="false">IFERROR(__xludf.dummyfunction("""COMPUTED_VALUE"""),120.99)</f>
        <v>120.99</v>
      </c>
      <c r="F38" s="5" t="n">
        <f aca="false">IFERROR(__xludf.dummyfunction("""COMPUTED_VALUE"""),148199540)</f>
        <v>148199540</v>
      </c>
    </row>
    <row r="39" customFormat="false" ht="15.75" hidden="false" customHeight="false" outlineLevel="0" collapsed="false">
      <c r="A39" s="6" t="n">
        <f aca="false">IFERROR(__xludf.dummyfunction("""COMPUTED_VALUE"""),44253.6666666667)</f>
        <v>44253.6666666667</v>
      </c>
      <c r="B39" s="5" t="n">
        <f aca="false">IFERROR(__xludf.dummyfunction("""COMPUTED_VALUE"""),122.59)</f>
        <v>122.59</v>
      </c>
      <c r="C39" s="5" t="n">
        <f aca="false">IFERROR(__xludf.dummyfunction("""COMPUTED_VALUE"""),124.85)</f>
        <v>124.85</v>
      </c>
      <c r="D39" s="5" t="n">
        <f aca="false">IFERROR(__xludf.dummyfunction("""COMPUTED_VALUE"""),121.2)</f>
        <v>121.2</v>
      </c>
      <c r="E39" s="5" t="n">
        <f aca="false">IFERROR(__xludf.dummyfunction("""COMPUTED_VALUE"""),121.26)</f>
        <v>121.26</v>
      </c>
      <c r="F39" s="5" t="n">
        <f aca="false">IFERROR(__xludf.dummyfunction("""COMPUTED_VALUE"""),164560394)</f>
        <v>164560394</v>
      </c>
    </row>
    <row r="40" customFormat="false" ht="15.75" hidden="false" customHeight="false" outlineLevel="0" collapsed="false">
      <c r="A40" s="6" t="n">
        <f aca="false">IFERROR(__xludf.dummyfunction("""COMPUTED_VALUE"""),44256.6666666667)</f>
        <v>44256.6666666667</v>
      </c>
      <c r="B40" s="5" t="n">
        <f aca="false">IFERROR(__xludf.dummyfunction("""COMPUTED_VALUE"""),123.75)</f>
        <v>123.75</v>
      </c>
      <c r="C40" s="5" t="n">
        <f aca="false">IFERROR(__xludf.dummyfunction("""COMPUTED_VALUE"""),127.93)</f>
        <v>127.93</v>
      </c>
      <c r="D40" s="5" t="n">
        <f aca="false">IFERROR(__xludf.dummyfunction("""COMPUTED_VALUE"""),122.79)</f>
        <v>122.79</v>
      </c>
      <c r="E40" s="5" t="n">
        <f aca="false">IFERROR(__xludf.dummyfunction("""COMPUTED_VALUE"""),127.79)</f>
        <v>127.79</v>
      </c>
      <c r="F40" s="5" t="n">
        <f aca="false">IFERROR(__xludf.dummyfunction("""COMPUTED_VALUE"""),116307892)</f>
        <v>116307892</v>
      </c>
    </row>
    <row r="41" customFormat="false" ht="15.75" hidden="false" customHeight="false" outlineLevel="0" collapsed="false">
      <c r="A41" s="6" t="n">
        <f aca="false">IFERROR(__xludf.dummyfunction("""COMPUTED_VALUE"""),44257.6666666667)</f>
        <v>44257.6666666667</v>
      </c>
      <c r="B41" s="5" t="n">
        <f aca="false">IFERROR(__xludf.dummyfunction("""COMPUTED_VALUE"""),128.41)</f>
        <v>128.41</v>
      </c>
      <c r="C41" s="5" t="n">
        <f aca="false">IFERROR(__xludf.dummyfunction("""COMPUTED_VALUE"""),128.72)</f>
        <v>128.72</v>
      </c>
      <c r="D41" s="5" t="n">
        <f aca="false">IFERROR(__xludf.dummyfunction("""COMPUTED_VALUE"""),125.01)</f>
        <v>125.01</v>
      </c>
      <c r="E41" s="5" t="n">
        <f aca="false">IFERROR(__xludf.dummyfunction("""COMPUTED_VALUE"""),125.12)</f>
        <v>125.12</v>
      </c>
      <c r="F41" s="5" t="n">
        <f aca="false">IFERROR(__xludf.dummyfunction("""COMPUTED_VALUE"""),102260945)</f>
        <v>102260945</v>
      </c>
    </row>
    <row r="42" customFormat="false" ht="15.75" hidden="false" customHeight="false" outlineLevel="0" collapsed="false">
      <c r="A42" s="6" t="n">
        <f aca="false">IFERROR(__xludf.dummyfunction("""COMPUTED_VALUE"""),44258.6666666667)</f>
        <v>44258.6666666667</v>
      </c>
      <c r="B42" s="5" t="n">
        <f aca="false">IFERROR(__xludf.dummyfunction("""COMPUTED_VALUE"""),124.81)</f>
        <v>124.81</v>
      </c>
      <c r="C42" s="5" t="n">
        <f aca="false">IFERROR(__xludf.dummyfunction("""COMPUTED_VALUE"""),125.71)</f>
        <v>125.71</v>
      </c>
      <c r="D42" s="5" t="n">
        <f aca="false">IFERROR(__xludf.dummyfunction("""COMPUTED_VALUE"""),121.84)</f>
        <v>121.84</v>
      </c>
      <c r="E42" s="5" t="n">
        <f aca="false">IFERROR(__xludf.dummyfunction("""COMPUTED_VALUE"""),122.06)</f>
        <v>122.06</v>
      </c>
      <c r="F42" s="5" t="n">
        <f aca="false">IFERROR(__xludf.dummyfunction("""COMPUTED_VALUE"""),112966340)</f>
        <v>112966340</v>
      </c>
    </row>
    <row r="43" customFormat="false" ht="15.75" hidden="false" customHeight="false" outlineLevel="0" collapsed="false">
      <c r="A43" s="6" t="n">
        <f aca="false">IFERROR(__xludf.dummyfunction("""COMPUTED_VALUE"""),44259.6666666667)</f>
        <v>44259.6666666667</v>
      </c>
      <c r="B43" s="5" t="n">
        <f aca="false">IFERROR(__xludf.dummyfunction("""COMPUTED_VALUE"""),121.75)</f>
        <v>121.75</v>
      </c>
      <c r="C43" s="5" t="n">
        <f aca="false">IFERROR(__xludf.dummyfunction("""COMPUTED_VALUE"""),123.6)</f>
        <v>123.6</v>
      </c>
      <c r="D43" s="5" t="n">
        <f aca="false">IFERROR(__xludf.dummyfunction("""COMPUTED_VALUE"""),118.62)</f>
        <v>118.62</v>
      </c>
      <c r="E43" s="5" t="n">
        <f aca="false">IFERROR(__xludf.dummyfunction("""COMPUTED_VALUE"""),120.13)</f>
        <v>120.13</v>
      </c>
      <c r="F43" s="5" t="n">
        <f aca="false">IFERROR(__xludf.dummyfunction("""COMPUTED_VALUE"""),178154975)</f>
        <v>178154975</v>
      </c>
    </row>
    <row r="44" customFormat="false" ht="15.75" hidden="false" customHeight="false" outlineLevel="0" collapsed="false">
      <c r="A44" s="6" t="n">
        <f aca="false">IFERROR(__xludf.dummyfunction("""COMPUTED_VALUE"""),44260.6666666667)</f>
        <v>44260.6666666667</v>
      </c>
      <c r="B44" s="5" t="n">
        <f aca="false">IFERROR(__xludf.dummyfunction("""COMPUTED_VALUE"""),120.98)</f>
        <v>120.98</v>
      </c>
      <c r="C44" s="5" t="n">
        <f aca="false">IFERROR(__xludf.dummyfunction("""COMPUTED_VALUE"""),121.94)</f>
        <v>121.94</v>
      </c>
      <c r="D44" s="5" t="n">
        <f aca="false">IFERROR(__xludf.dummyfunction("""COMPUTED_VALUE"""),117.57)</f>
        <v>117.57</v>
      </c>
      <c r="E44" s="5" t="n">
        <f aca="false">IFERROR(__xludf.dummyfunction("""COMPUTED_VALUE"""),121.42)</f>
        <v>121.42</v>
      </c>
      <c r="F44" s="5" t="n">
        <f aca="false">IFERROR(__xludf.dummyfunction("""COMPUTED_VALUE"""),153766601)</f>
        <v>153766601</v>
      </c>
    </row>
    <row r="45" customFormat="false" ht="15.75" hidden="false" customHeight="false" outlineLevel="0" collapsed="false">
      <c r="A45" s="6" t="n">
        <f aca="false">IFERROR(__xludf.dummyfunction("""COMPUTED_VALUE"""),44263.6666666667)</f>
        <v>44263.6666666667</v>
      </c>
      <c r="B45" s="5" t="n">
        <f aca="false">IFERROR(__xludf.dummyfunction("""COMPUTED_VALUE"""),120.93)</f>
        <v>120.93</v>
      </c>
      <c r="C45" s="5" t="n">
        <f aca="false">IFERROR(__xludf.dummyfunction("""COMPUTED_VALUE"""),121)</f>
        <v>121</v>
      </c>
      <c r="D45" s="5" t="n">
        <f aca="false">IFERROR(__xludf.dummyfunction("""COMPUTED_VALUE"""),116.21)</f>
        <v>116.21</v>
      </c>
      <c r="E45" s="5" t="n">
        <f aca="false">IFERROR(__xludf.dummyfunction("""COMPUTED_VALUE"""),116.36)</f>
        <v>116.36</v>
      </c>
      <c r="F45" s="5" t="n">
        <f aca="false">IFERROR(__xludf.dummyfunction("""COMPUTED_VALUE"""),154376610)</f>
        <v>154376610</v>
      </c>
    </row>
    <row r="46" customFormat="false" ht="15.75" hidden="false" customHeight="false" outlineLevel="0" collapsed="false">
      <c r="A46" s="6" t="n">
        <f aca="false">IFERROR(__xludf.dummyfunction("""COMPUTED_VALUE"""),44264.6666666667)</f>
        <v>44264.6666666667</v>
      </c>
      <c r="B46" s="5" t="n">
        <f aca="false">IFERROR(__xludf.dummyfunction("""COMPUTED_VALUE"""),119.03)</f>
        <v>119.03</v>
      </c>
      <c r="C46" s="5" t="n">
        <f aca="false">IFERROR(__xludf.dummyfunction("""COMPUTED_VALUE"""),122.06)</f>
        <v>122.06</v>
      </c>
      <c r="D46" s="5" t="n">
        <f aca="false">IFERROR(__xludf.dummyfunction("""COMPUTED_VALUE"""),118.79)</f>
        <v>118.79</v>
      </c>
      <c r="E46" s="5" t="n">
        <f aca="false">IFERROR(__xludf.dummyfunction("""COMPUTED_VALUE"""),121.09)</f>
        <v>121.09</v>
      </c>
      <c r="F46" s="5" t="n">
        <f aca="false">IFERROR(__xludf.dummyfunction("""COMPUTED_VALUE"""),129525780)</f>
        <v>129525780</v>
      </c>
    </row>
    <row r="47" customFormat="false" ht="15.75" hidden="false" customHeight="false" outlineLevel="0" collapsed="false">
      <c r="A47" s="6" t="n">
        <f aca="false">IFERROR(__xludf.dummyfunction("""COMPUTED_VALUE"""),44265.6666666667)</f>
        <v>44265.6666666667</v>
      </c>
      <c r="B47" s="5" t="n">
        <f aca="false">IFERROR(__xludf.dummyfunction("""COMPUTED_VALUE"""),121.69)</f>
        <v>121.69</v>
      </c>
      <c r="C47" s="5" t="n">
        <f aca="false">IFERROR(__xludf.dummyfunction("""COMPUTED_VALUE"""),122.17)</f>
        <v>122.17</v>
      </c>
      <c r="D47" s="5" t="n">
        <f aca="false">IFERROR(__xludf.dummyfunction("""COMPUTED_VALUE"""),119.45)</f>
        <v>119.45</v>
      </c>
      <c r="E47" s="5" t="n">
        <f aca="false">IFERROR(__xludf.dummyfunction("""COMPUTED_VALUE"""),119.98)</f>
        <v>119.98</v>
      </c>
      <c r="F47" s="5" t="n">
        <f aca="false">IFERROR(__xludf.dummyfunction("""COMPUTED_VALUE"""),111943326)</f>
        <v>111943326</v>
      </c>
    </row>
    <row r="48" customFormat="false" ht="15.75" hidden="false" customHeight="false" outlineLevel="0" collapsed="false">
      <c r="A48" s="6" t="n">
        <f aca="false">IFERROR(__xludf.dummyfunction("""COMPUTED_VALUE"""),44266.6666666667)</f>
        <v>44266.6666666667</v>
      </c>
      <c r="B48" s="5" t="n">
        <f aca="false">IFERROR(__xludf.dummyfunction("""COMPUTED_VALUE"""),122.54)</f>
        <v>122.54</v>
      </c>
      <c r="C48" s="5" t="n">
        <f aca="false">IFERROR(__xludf.dummyfunction("""COMPUTED_VALUE"""),123.21)</f>
        <v>123.21</v>
      </c>
      <c r="D48" s="5" t="n">
        <f aca="false">IFERROR(__xludf.dummyfunction("""COMPUTED_VALUE"""),121.26)</f>
        <v>121.26</v>
      </c>
      <c r="E48" s="5" t="n">
        <f aca="false">IFERROR(__xludf.dummyfunction("""COMPUTED_VALUE"""),121.96)</f>
        <v>121.96</v>
      </c>
      <c r="F48" s="5" t="n">
        <f aca="false">IFERROR(__xludf.dummyfunction("""COMPUTED_VALUE"""),103026514)</f>
        <v>103026514</v>
      </c>
    </row>
    <row r="49" customFormat="false" ht="15.75" hidden="false" customHeight="false" outlineLevel="0" collapsed="false">
      <c r="A49" s="6" t="n">
        <f aca="false">IFERROR(__xludf.dummyfunction("""COMPUTED_VALUE"""),44267.6666666667)</f>
        <v>44267.6666666667</v>
      </c>
      <c r="B49" s="5" t="n">
        <f aca="false">IFERROR(__xludf.dummyfunction("""COMPUTED_VALUE"""),120.4)</f>
        <v>120.4</v>
      </c>
      <c r="C49" s="5" t="n">
        <f aca="false">IFERROR(__xludf.dummyfunction("""COMPUTED_VALUE"""),121.17)</f>
        <v>121.17</v>
      </c>
      <c r="D49" s="5" t="n">
        <f aca="false">IFERROR(__xludf.dummyfunction("""COMPUTED_VALUE"""),119.16)</f>
        <v>119.16</v>
      </c>
      <c r="E49" s="5" t="n">
        <f aca="false">IFERROR(__xludf.dummyfunction("""COMPUTED_VALUE"""),121.03)</f>
        <v>121.03</v>
      </c>
      <c r="F49" s="5" t="n">
        <f aca="false">IFERROR(__xludf.dummyfunction("""COMPUTED_VALUE"""),88105050)</f>
        <v>88105050</v>
      </c>
    </row>
    <row r="50" customFormat="false" ht="15.75" hidden="false" customHeight="false" outlineLevel="0" collapsed="false">
      <c r="A50" s="6" t="n">
        <f aca="false">IFERROR(__xludf.dummyfunction("""COMPUTED_VALUE"""),44270.6666666667)</f>
        <v>44270.6666666667</v>
      </c>
      <c r="B50" s="5" t="n">
        <f aca="false">IFERROR(__xludf.dummyfunction("""COMPUTED_VALUE"""),121.41)</f>
        <v>121.41</v>
      </c>
      <c r="C50" s="5" t="n">
        <f aca="false">IFERROR(__xludf.dummyfunction("""COMPUTED_VALUE"""),124)</f>
        <v>124</v>
      </c>
      <c r="D50" s="5" t="n">
        <f aca="false">IFERROR(__xludf.dummyfunction("""COMPUTED_VALUE"""),120.42)</f>
        <v>120.42</v>
      </c>
      <c r="E50" s="5" t="n">
        <f aca="false">IFERROR(__xludf.dummyfunction("""COMPUTED_VALUE"""),123.99)</f>
        <v>123.99</v>
      </c>
      <c r="F50" s="5" t="n">
        <f aca="false">IFERROR(__xludf.dummyfunction("""COMPUTED_VALUE"""),92590555)</f>
        <v>92590555</v>
      </c>
    </row>
    <row r="51" customFormat="false" ht="15.75" hidden="false" customHeight="false" outlineLevel="0" collapsed="false">
      <c r="A51" s="6" t="n">
        <f aca="false">IFERROR(__xludf.dummyfunction("""COMPUTED_VALUE"""),44271.6666666667)</f>
        <v>44271.6666666667</v>
      </c>
      <c r="B51" s="5" t="n">
        <f aca="false">IFERROR(__xludf.dummyfunction("""COMPUTED_VALUE"""),125.7)</f>
        <v>125.7</v>
      </c>
      <c r="C51" s="5" t="n">
        <f aca="false">IFERROR(__xludf.dummyfunction("""COMPUTED_VALUE"""),127.22)</f>
        <v>127.22</v>
      </c>
      <c r="D51" s="5" t="n">
        <f aca="false">IFERROR(__xludf.dummyfunction("""COMPUTED_VALUE"""),124.72)</f>
        <v>124.72</v>
      </c>
      <c r="E51" s="5" t="n">
        <f aca="false">IFERROR(__xludf.dummyfunction("""COMPUTED_VALUE"""),125.57)</f>
        <v>125.57</v>
      </c>
      <c r="F51" s="5" t="n">
        <f aca="false">IFERROR(__xludf.dummyfunction("""COMPUTED_VALUE"""),115227936)</f>
        <v>115227936</v>
      </c>
    </row>
    <row r="52" customFormat="false" ht="15.75" hidden="false" customHeight="false" outlineLevel="0" collapsed="false">
      <c r="A52" s="6" t="n">
        <f aca="false">IFERROR(__xludf.dummyfunction("""COMPUTED_VALUE"""),44272.6666666667)</f>
        <v>44272.6666666667</v>
      </c>
      <c r="B52" s="5" t="n">
        <f aca="false">IFERROR(__xludf.dummyfunction("""COMPUTED_VALUE"""),124.05)</f>
        <v>124.05</v>
      </c>
      <c r="C52" s="5" t="n">
        <f aca="false">IFERROR(__xludf.dummyfunction("""COMPUTED_VALUE"""),125.86)</f>
        <v>125.86</v>
      </c>
      <c r="D52" s="5" t="n">
        <f aca="false">IFERROR(__xludf.dummyfunction("""COMPUTED_VALUE"""),122.34)</f>
        <v>122.34</v>
      </c>
      <c r="E52" s="5" t="n">
        <f aca="false">IFERROR(__xludf.dummyfunction("""COMPUTED_VALUE"""),124.76)</f>
        <v>124.76</v>
      </c>
      <c r="F52" s="5" t="n">
        <f aca="false">IFERROR(__xludf.dummyfunction("""COMPUTED_VALUE"""),111932636)</f>
        <v>111932636</v>
      </c>
    </row>
    <row r="53" customFormat="false" ht="15.75" hidden="false" customHeight="false" outlineLevel="0" collapsed="false">
      <c r="A53" s="6" t="n">
        <f aca="false">IFERROR(__xludf.dummyfunction("""COMPUTED_VALUE"""),44273.6666666667)</f>
        <v>44273.6666666667</v>
      </c>
      <c r="B53" s="5" t="n">
        <f aca="false">IFERROR(__xludf.dummyfunction("""COMPUTED_VALUE"""),122.88)</f>
        <v>122.88</v>
      </c>
      <c r="C53" s="5" t="n">
        <f aca="false">IFERROR(__xludf.dummyfunction("""COMPUTED_VALUE"""),123.18)</f>
        <v>123.18</v>
      </c>
      <c r="D53" s="5" t="n">
        <f aca="false">IFERROR(__xludf.dummyfunction("""COMPUTED_VALUE"""),120.32)</f>
        <v>120.32</v>
      </c>
      <c r="E53" s="5" t="n">
        <f aca="false">IFERROR(__xludf.dummyfunction("""COMPUTED_VALUE"""),120.53)</f>
        <v>120.53</v>
      </c>
      <c r="F53" s="5" t="n">
        <f aca="false">IFERROR(__xludf.dummyfunction("""COMPUTED_VALUE"""),121469755)</f>
        <v>121469755</v>
      </c>
    </row>
    <row r="54" customFormat="false" ht="15.75" hidden="false" customHeight="false" outlineLevel="0" collapsed="false">
      <c r="A54" s="6" t="n">
        <f aca="false">IFERROR(__xludf.dummyfunction("""COMPUTED_VALUE"""),44274.6666666667)</f>
        <v>44274.6666666667</v>
      </c>
      <c r="B54" s="5" t="n">
        <f aca="false">IFERROR(__xludf.dummyfunction("""COMPUTED_VALUE"""),119.9)</f>
        <v>119.9</v>
      </c>
      <c r="C54" s="5" t="n">
        <f aca="false">IFERROR(__xludf.dummyfunction("""COMPUTED_VALUE"""),121.43)</f>
        <v>121.43</v>
      </c>
      <c r="D54" s="5" t="n">
        <f aca="false">IFERROR(__xludf.dummyfunction("""COMPUTED_VALUE"""),119.68)</f>
        <v>119.68</v>
      </c>
      <c r="E54" s="5" t="n">
        <f aca="false">IFERROR(__xludf.dummyfunction("""COMPUTED_VALUE"""),119.99)</f>
        <v>119.99</v>
      </c>
      <c r="F54" s="5" t="n">
        <f aca="false">IFERROR(__xludf.dummyfunction("""COMPUTED_VALUE"""),185549522)</f>
        <v>185549522</v>
      </c>
    </row>
    <row r="55" customFormat="false" ht="15.75" hidden="false" customHeight="false" outlineLevel="0" collapsed="false">
      <c r="A55" s="6" t="n">
        <f aca="false">IFERROR(__xludf.dummyfunction("""COMPUTED_VALUE"""),44277.6666666667)</f>
        <v>44277.6666666667</v>
      </c>
      <c r="B55" s="5" t="n">
        <f aca="false">IFERROR(__xludf.dummyfunction("""COMPUTED_VALUE"""),120.33)</f>
        <v>120.33</v>
      </c>
      <c r="C55" s="5" t="n">
        <f aca="false">IFERROR(__xludf.dummyfunction("""COMPUTED_VALUE"""),123.87)</f>
        <v>123.87</v>
      </c>
      <c r="D55" s="5" t="n">
        <f aca="false">IFERROR(__xludf.dummyfunction("""COMPUTED_VALUE"""),120.26)</f>
        <v>120.26</v>
      </c>
      <c r="E55" s="5" t="n">
        <f aca="false">IFERROR(__xludf.dummyfunction("""COMPUTED_VALUE"""),123.39)</f>
        <v>123.39</v>
      </c>
      <c r="F55" s="5" t="n">
        <f aca="false">IFERROR(__xludf.dummyfunction("""COMPUTED_VALUE"""),111912284)</f>
        <v>111912284</v>
      </c>
    </row>
    <row r="56" customFormat="false" ht="15.75" hidden="false" customHeight="false" outlineLevel="0" collapsed="false">
      <c r="A56" s="6" t="n">
        <f aca="false">IFERROR(__xludf.dummyfunction("""COMPUTED_VALUE"""),44278.6666666667)</f>
        <v>44278.6666666667</v>
      </c>
      <c r="B56" s="5" t="n">
        <f aca="false">IFERROR(__xludf.dummyfunction("""COMPUTED_VALUE"""),123.33)</f>
        <v>123.33</v>
      </c>
      <c r="C56" s="5" t="n">
        <f aca="false">IFERROR(__xludf.dummyfunction("""COMPUTED_VALUE"""),124.24)</f>
        <v>124.24</v>
      </c>
      <c r="D56" s="5" t="n">
        <f aca="false">IFERROR(__xludf.dummyfunction("""COMPUTED_VALUE"""),122.14)</f>
        <v>122.14</v>
      </c>
      <c r="E56" s="5" t="n">
        <f aca="false">IFERROR(__xludf.dummyfunction("""COMPUTED_VALUE"""),122.54)</f>
        <v>122.54</v>
      </c>
      <c r="F56" s="5" t="n">
        <f aca="false">IFERROR(__xludf.dummyfunction("""COMPUTED_VALUE"""),95467142)</f>
        <v>95467142</v>
      </c>
    </row>
    <row r="57" customFormat="false" ht="15.75" hidden="false" customHeight="false" outlineLevel="0" collapsed="false">
      <c r="A57" s="6" t="n">
        <f aca="false">IFERROR(__xludf.dummyfunction("""COMPUTED_VALUE"""),44279.6666666667)</f>
        <v>44279.6666666667</v>
      </c>
      <c r="B57" s="5" t="n">
        <f aca="false">IFERROR(__xludf.dummyfunction("""COMPUTED_VALUE"""),122.82)</f>
        <v>122.82</v>
      </c>
      <c r="C57" s="5" t="n">
        <f aca="false">IFERROR(__xludf.dummyfunction("""COMPUTED_VALUE"""),122.9)</f>
        <v>122.9</v>
      </c>
      <c r="D57" s="5" t="n">
        <f aca="false">IFERROR(__xludf.dummyfunction("""COMPUTED_VALUE"""),120.07)</f>
        <v>120.07</v>
      </c>
      <c r="E57" s="5" t="n">
        <f aca="false">IFERROR(__xludf.dummyfunction("""COMPUTED_VALUE"""),120.09)</f>
        <v>120.09</v>
      </c>
      <c r="F57" s="5" t="n">
        <f aca="false">IFERROR(__xludf.dummyfunction("""COMPUTED_VALUE"""),88530485)</f>
        <v>88530485</v>
      </c>
    </row>
    <row r="58" customFormat="false" ht="15.75" hidden="false" customHeight="false" outlineLevel="0" collapsed="false">
      <c r="A58" s="6" t="n">
        <f aca="false">IFERROR(__xludf.dummyfunction("""COMPUTED_VALUE"""),44280.6666666667)</f>
        <v>44280.6666666667</v>
      </c>
      <c r="B58" s="5" t="n">
        <f aca="false">IFERROR(__xludf.dummyfunction("""COMPUTED_VALUE"""),119.54)</f>
        <v>119.54</v>
      </c>
      <c r="C58" s="5" t="n">
        <f aca="false">IFERROR(__xludf.dummyfunction("""COMPUTED_VALUE"""),121.66)</f>
        <v>121.66</v>
      </c>
      <c r="D58" s="5" t="n">
        <f aca="false">IFERROR(__xludf.dummyfunction("""COMPUTED_VALUE"""),119)</f>
        <v>119</v>
      </c>
      <c r="E58" s="5" t="n">
        <f aca="false">IFERROR(__xludf.dummyfunction("""COMPUTED_VALUE"""),120.59)</f>
        <v>120.59</v>
      </c>
      <c r="F58" s="5" t="n">
        <f aca="false">IFERROR(__xludf.dummyfunction("""COMPUTED_VALUE"""),98844681)</f>
        <v>98844681</v>
      </c>
    </row>
    <row r="59" customFormat="false" ht="15.75" hidden="false" customHeight="false" outlineLevel="0" collapsed="false">
      <c r="A59" s="6" t="n">
        <f aca="false">IFERROR(__xludf.dummyfunction("""COMPUTED_VALUE"""),44281.6666666667)</f>
        <v>44281.6666666667</v>
      </c>
      <c r="B59" s="5" t="n">
        <f aca="false">IFERROR(__xludf.dummyfunction("""COMPUTED_VALUE"""),120.35)</f>
        <v>120.35</v>
      </c>
      <c r="C59" s="5" t="n">
        <f aca="false">IFERROR(__xludf.dummyfunction("""COMPUTED_VALUE"""),121.48)</f>
        <v>121.48</v>
      </c>
      <c r="D59" s="5" t="n">
        <f aca="false">IFERROR(__xludf.dummyfunction("""COMPUTED_VALUE"""),118.92)</f>
        <v>118.92</v>
      </c>
      <c r="E59" s="5" t="n">
        <f aca="false">IFERROR(__xludf.dummyfunction("""COMPUTED_VALUE"""),121.21)</f>
        <v>121.21</v>
      </c>
      <c r="F59" s="5" t="n">
        <f aca="false">IFERROR(__xludf.dummyfunction("""COMPUTED_VALUE"""),94071234)</f>
        <v>94071234</v>
      </c>
    </row>
    <row r="60" customFormat="false" ht="15.75" hidden="false" customHeight="false" outlineLevel="0" collapsed="false">
      <c r="A60" s="6" t="n">
        <f aca="false">IFERROR(__xludf.dummyfunction("""COMPUTED_VALUE"""),44284.6666666667)</f>
        <v>44284.6666666667</v>
      </c>
      <c r="B60" s="5" t="n">
        <f aca="false">IFERROR(__xludf.dummyfunction("""COMPUTED_VALUE"""),121.65)</f>
        <v>121.65</v>
      </c>
      <c r="C60" s="5" t="n">
        <f aca="false">IFERROR(__xludf.dummyfunction("""COMPUTED_VALUE"""),122.58)</f>
        <v>122.58</v>
      </c>
      <c r="D60" s="5" t="n">
        <f aca="false">IFERROR(__xludf.dummyfunction("""COMPUTED_VALUE"""),120.73)</f>
        <v>120.73</v>
      </c>
      <c r="E60" s="5" t="n">
        <f aca="false">IFERROR(__xludf.dummyfunction("""COMPUTED_VALUE"""),121.39)</f>
        <v>121.39</v>
      </c>
      <c r="F60" s="5" t="n">
        <f aca="false">IFERROR(__xludf.dummyfunction("""COMPUTED_VALUE"""),80819203)</f>
        <v>80819203</v>
      </c>
    </row>
    <row r="61" customFormat="false" ht="15.75" hidden="false" customHeight="false" outlineLevel="0" collapsed="false">
      <c r="A61" s="6" t="n">
        <f aca="false">IFERROR(__xludf.dummyfunction("""COMPUTED_VALUE"""),44285.6666666667)</f>
        <v>44285.6666666667</v>
      </c>
      <c r="B61" s="5" t="n">
        <f aca="false">IFERROR(__xludf.dummyfunction("""COMPUTED_VALUE"""),120.11)</f>
        <v>120.11</v>
      </c>
      <c r="C61" s="5" t="n">
        <f aca="false">IFERROR(__xludf.dummyfunction("""COMPUTED_VALUE"""),120.4)</f>
        <v>120.4</v>
      </c>
      <c r="D61" s="5" t="n">
        <f aca="false">IFERROR(__xludf.dummyfunction("""COMPUTED_VALUE"""),118.86)</f>
        <v>118.86</v>
      </c>
      <c r="E61" s="5" t="n">
        <f aca="false">IFERROR(__xludf.dummyfunction("""COMPUTED_VALUE"""),119.9)</f>
        <v>119.9</v>
      </c>
      <c r="F61" s="5" t="n">
        <f aca="false">IFERROR(__xludf.dummyfunction("""COMPUTED_VALUE"""),85671919)</f>
        <v>85671919</v>
      </c>
    </row>
    <row r="62" customFormat="false" ht="15.75" hidden="false" customHeight="false" outlineLevel="0" collapsed="false">
      <c r="A62" s="6" t="n">
        <f aca="false">IFERROR(__xludf.dummyfunction("""COMPUTED_VALUE"""),44286.6666666667)</f>
        <v>44286.6666666667</v>
      </c>
      <c r="B62" s="5" t="n">
        <f aca="false">IFERROR(__xludf.dummyfunction("""COMPUTED_VALUE"""),121.65)</f>
        <v>121.65</v>
      </c>
      <c r="C62" s="5" t="n">
        <f aca="false">IFERROR(__xludf.dummyfunction("""COMPUTED_VALUE"""),123.52)</f>
        <v>123.52</v>
      </c>
      <c r="D62" s="5" t="n">
        <f aca="false">IFERROR(__xludf.dummyfunction("""COMPUTED_VALUE"""),121.15)</f>
        <v>121.15</v>
      </c>
      <c r="E62" s="5" t="n">
        <f aca="false">IFERROR(__xludf.dummyfunction("""COMPUTED_VALUE"""),122.15)</f>
        <v>122.15</v>
      </c>
      <c r="F62" s="5" t="n">
        <f aca="false">IFERROR(__xludf.dummyfunction("""COMPUTED_VALUE"""),118323826)</f>
        <v>118323826</v>
      </c>
    </row>
    <row r="63" customFormat="false" ht="15.75" hidden="false" customHeight="false" outlineLevel="0" collapsed="false">
      <c r="A63" s="6" t="n">
        <f aca="false">IFERROR(__xludf.dummyfunction("""COMPUTED_VALUE"""),44287.6666666667)</f>
        <v>44287.6666666667</v>
      </c>
      <c r="B63" s="5" t="n">
        <f aca="false">IFERROR(__xludf.dummyfunction("""COMPUTED_VALUE"""),123.66)</f>
        <v>123.66</v>
      </c>
      <c r="C63" s="5" t="n">
        <f aca="false">IFERROR(__xludf.dummyfunction("""COMPUTED_VALUE"""),124.18)</f>
        <v>124.18</v>
      </c>
      <c r="D63" s="5" t="n">
        <f aca="false">IFERROR(__xludf.dummyfunction("""COMPUTED_VALUE"""),122.49)</f>
        <v>122.49</v>
      </c>
      <c r="E63" s="5" t="n">
        <f aca="false">IFERROR(__xludf.dummyfunction("""COMPUTED_VALUE"""),123)</f>
        <v>123</v>
      </c>
      <c r="F63" s="5" t="n">
        <f aca="false">IFERROR(__xludf.dummyfunction("""COMPUTED_VALUE"""),75089134)</f>
        <v>75089134</v>
      </c>
    </row>
    <row r="64" customFormat="false" ht="15.75" hidden="false" customHeight="false" outlineLevel="0" collapsed="false">
      <c r="A64" s="6" t="n">
        <f aca="false">IFERROR(__xludf.dummyfunction("""COMPUTED_VALUE"""),44291.6666666667)</f>
        <v>44291.6666666667</v>
      </c>
      <c r="B64" s="5" t="n">
        <f aca="false">IFERROR(__xludf.dummyfunction("""COMPUTED_VALUE"""),123.87)</f>
        <v>123.87</v>
      </c>
      <c r="C64" s="5" t="n">
        <f aca="false">IFERROR(__xludf.dummyfunction("""COMPUTED_VALUE"""),126.16)</f>
        <v>126.16</v>
      </c>
      <c r="D64" s="5" t="n">
        <f aca="false">IFERROR(__xludf.dummyfunction("""COMPUTED_VALUE"""),123.07)</f>
        <v>123.07</v>
      </c>
      <c r="E64" s="5" t="n">
        <f aca="false">IFERROR(__xludf.dummyfunction("""COMPUTED_VALUE"""),125.9)</f>
        <v>125.9</v>
      </c>
      <c r="F64" s="5" t="n">
        <f aca="false">IFERROR(__xludf.dummyfunction("""COMPUTED_VALUE"""),88651175)</f>
        <v>88651175</v>
      </c>
    </row>
    <row r="65" customFormat="false" ht="15.75" hidden="false" customHeight="false" outlineLevel="0" collapsed="false">
      <c r="A65" s="6" t="n">
        <f aca="false">IFERROR(__xludf.dummyfunction("""COMPUTED_VALUE"""),44292.6666666667)</f>
        <v>44292.6666666667</v>
      </c>
      <c r="B65" s="5" t="n">
        <f aca="false">IFERROR(__xludf.dummyfunction("""COMPUTED_VALUE"""),126.5)</f>
        <v>126.5</v>
      </c>
      <c r="C65" s="5" t="n">
        <f aca="false">IFERROR(__xludf.dummyfunction("""COMPUTED_VALUE"""),127.13)</f>
        <v>127.13</v>
      </c>
      <c r="D65" s="5" t="n">
        <f aca="false">IFERROR(__xludf.dummyfunction("""COMPUTED_VALUE"""),125.65)</f>
        <v>125.65</v>
      </c>
      <c r="E65" s="5" t="n">
        <f aca="false">IFERROR(__xludf.dummyfunction("""COMPUTED_VALUE"""),126.21)</f>
        <v>126.21</v>
      </c>
      <c r="F65" s="5" t="n">
        <f aca="false">IFERROR(__xludf.dummyfunction("""COMPUTED_VALUE"""),80171253)</f>
        <v>80171253</v>
      </c>
    </row>
    <row r="66" customFormat="false" ht="15.75" hidden="false" customHeight="false" outlineLevel="0" collapsed="false">
      <c r="A66" s="6" t="n">
        <f aca="false">IFERROR(__xludf.dummyfunction("""COMPUTED_VALUE"""),44293.6666666667)</f>
        <v>44293.6666666667</v>
      </c>
      <c r="B66" s="5" t="n">
        <f aca="false">IFERROR(__xludf.dummyfunction("""COMPUTED_VALUE"""),125.83)</f>
        <v>125.83</v>
      </c>
      <c r="C66" s="5" t="n">
        <f aca="false">IFERROR(__xludf.dummyfunction("""COMPUTED_VALUE"""),127.92)</f>
        <v>127.92</v>
      </c>
      <c r="D66" s="5" t="n">
        <f aca="false">IFERROR(__xludf.dummyfunction("""COMPUTED_VALUE"""),125.14)</f>
        <v>125.14</v>
      </c>
      <c r="E66" s="5" t="n">
        <f aca="false">IFERROR(__xludf.dummyfunction("""COMPUTED_VALUE"""),127.9)</f>
        <v>127.9</v>
      </c>
      <c r="F66" s="5" t="n">
        <f aca="false">IFERROR(__xludf.dummyfunction("""COMPUTED_VALUE"""),83466716)</f>
        <v>83466716</v>
      </c>
    </row>
    <row r="67" customFormat="false" ht="15.75" hidden="false" customHeight="false" outlineLevel="0" collapsed="false">
      <c r="A67" s="6" t="n">
        <f aca="false">IFERROR(__xludf.dummyfunction("""COMPUTED_VALUE"""),44294.6666666667)</f>
        <v>44294.6666666667</v>
      </c>
      <c r="B67" s="5" t="n">
        <f aca="false">IFERROR(__xludf.dummyfunction("""COMPUTED_VALUE"""),128.95)</f>
        <v>128.95</v>
      </c>
      <c r="C67" s="5" t="n">
        <f aca="false">IFERROR(__xludf.dummyfunction("""COMPUTED_VALUE"""),130.39)</f>
        <v>130.39</v>
      </c>
      <c r="D67" s="5" t="n">
        <f aca="false">IFERROR(__xludf.dummyfunction("""COMPUTED_VALUE"""),128.52)</f>
        <v>128.52</v>
      </c>
      <c r="E67" s="5" t="n">
        <f aca="false">IFERROR(__xludf.dummyfunction("""COMPUTED_VALUE"""),130.36)</f>
        <v>130.36</v>
      </c>
      <c r="F67" s="5" t="n">
        <f aca="false">IFERROR(__xludf.dummyfunction("""COMPUTED_VALUE"""),88844591)</f>
        <v>88844591</v>
      </c>
    </row>
    <row r="68" customFormat="false" ht="15.75" hidden="false" customHeight="false" outlineLevel="0" collapsed="false">
      <c r="A68" s="6" t="n">
        <f aca="false">IFERROR(__xludf.dummyfunction("""COMPUTED_VALUE"""),44295.6666666667)</f>
        <v>44295.6666666667</v>
      </c>
      <c r="B68" s="5" t="n">
        <f aca="false">IFERROR(__xludf.dummyfunction("""COMPUTED_VALUE"""),129.8)</f>
        <v>129.8</v>
      </c>
      <c r="C68" s="5" t="n">
        <f aca="false">IFERROR(__xludf.dummyfunction("""COMPUTED_VALUE"""),133.04)</f>
        <v>133.04</v>
      </c>
      <c r="D68" s="5" t="n">
        <f aca="false">IFERROR(__xludf.dummyfunction("""COMPUTED_VALUE"""),129.47)</f>
        <v>129.47</v>
      </c>
      <c r="E68" s="5" t="n">
        <f aca="false">IFERROR(__xludf.dummyfunction("""COMPUTED_VALUE"""),133)</f>
        <v>133</v>
      </c>
      <c r="F68" s="5" t="n">
        <f aca="false">IFERROR(__xludf.dummyfunction("""COMPUTED_VALUE"""),106686703)</f>
        <v>106686703</v>
      </c>
    </row>
    <row r="69" customFormat="false" ht="15.75" hidden="false" customHeight="false" outlineLevel="0" collapsed="false">
      <c r="A69" s="6" t="n">
        <f aca="false">IFERROR(__xludf.dummyfunction("""COMPUTED_VALUE"""),44298.6666666667)</f>
        <v>44298.6666666667</v>
      </c>
      <c r="B69" s="5" t="n">
        <f aca="false">IFERROR(__xludf.dummyfunction("""COMPUTED_VALUE"""),132.52)</f>
        <v>132.52</v>
      </c>
      <c r="C69" s="5" t="n">
        <f aca="false">IFERROR(__xludf.dummyfunction("""COMPUTED_VALUE"""),132.85)</f>
        <v>132.85</v>
      </c>
      <c r="D69" s="5" t="n">
        <f aca="false">IFERROR(__xludf.dummyfunction("""COMPUTED_VALUE"""),130.63)</f>
        <v>130.63</v>
      </c>
      <c r="E69" s="5" t="n">
        <f aca="false">IFERROR(__xludf.dummyfunction("""COMPUTED_VALUE"""),131.24)</f>
        <v>131.24</v>
      </c>
      <c r="F69" s="5" t="n">
        <f aca="false">IFERROR(__xludf.dummyfunction("""COMPUTED_VALUE"""),91419983)</f>
        <v>91419983</v>
      </c>
    </row>
    <row r="70" customFormat="false" ht="15.75" hidden="false" customHeight="false" outlineLevel="0" collapsed="false">
      <c r="A70" s="6" t="n">
        <f aca="false">IFERROR(__xludf.dummyfunction("""COMPUTED_VALUE"""),44299.6666666667)</f>
        <v>44299.6666666667</v>
      </c>
      <c r="B70" s="5" t="n">
        <f aca="false">IFERROR(__xludf.dummyfunction("""COMPUTED_VALUE"""),132.44)</f>
        <v>132.44</v>
      </c>
      <c r="C70" s="5" t="n">
        <f aca="false">IFERROR(__xludf.dummyfunction("""COMPUTED_VALUE"""),134.66)</f>
        <v>134.66</v>
      </c>
      <c r="D70" s="5" t="n">
        <f aca="false">IFERROR(__xludf.dummyfunction("""COMPUTED_VALUE"""),131.93)</f>
        <v>131.93</v>
      </c>
      <c r="E70" s="5" t="n">
        <f aca="false">IFERROR(__xludf.dummyfunction("""COMPUTED_VALUE"""),134.43)</f>
        <v>134.43</v>
      </c>
      <c r="F70" s="5" t="n">
        <f aca="false">IFERROR(__xludf.dummyfunction("""COMPUTED_VALUE"""),91266545)</f>
        <v>91266545</v>
      </c>
    </row>
    <row r="71" customFormat="false" ht="15.75" hidden="false" customHeight="false" outlineLevel="0" collapsed="false">
      <c r="A71" s="6" t="n">
        <f aca="false">IFERROR(__xludf.dummyfunction("""COMPUTED_VALUE"""),44300.6666666667)</f>
        <v>44300.6666666667</v>
      </c>
      <c r="B71" s="5" t="n">
        <f aca="false">IFERROR(__xludf.dummyfunction("""COMPUTED_VALUE"""),134.94)</f>
        <v>134.94</v>
      </c>
      <c r="C71" s="5" t="n">
        <f aca="false">IFERROR(__xludf.dummyfunction("""COMPUTED_VALUE"""),135)</f>
        <v>135</v>
      </c>
      <c r="D71" s="5" t="n">
        <f aca="false">IFERROR(__xludf.dummyfunction("""COMPUTED_VALUE"""),131.66)</f>
        <v>131.66</v>
      </c>
      <c r="E71" s="5" t="n">
        <f aca="false">IFERROR(__xludf.dummyfunction("""COMPUTED_VALUE"""),132.03)</f>
        <v>132.03</v>
      </c>
      <c r="F71" s="5" t="n">
        <f aca="false">IFERROR(__xludf.dummyfunction("""COMPUTED_VALUE"""),87222782)</f>
        <v>87222782</v>
      </c>
    </row>
    <row r="72" customFormat="false" ht="15.75" hidden="false" customHeight="false" outlineLevel="0" collapsed="false">
      <c r="A72" s="6" t="n">
        <f aca="false">IFERROR(__xludf.dummyfunction("""COMPUTED_VALUE"""),44301.6666666667)</f>
        <v>44301.6666666667</v>
      </c>
      <c r="B72" s="5" t="n">
        <f aca="false">IFERROR(__xludf.dummyfunction("""COMPUTED_VALUE"""),133.82)</f>
        <v>133.82</v>
      </c>
      <c r="C72" s="5" t="n">
        <f aca="false">IFERROR(__xludf.dummyfunction("""COMPUTED_VALUE"""),135)</f>
        <v>135</v>
      </c>
      <c r="D72" s="5" t="n">
        <f aca="false">IFERROR(__xludf.dummyfunction("""COMPUTED_VALUE"""),133.64)</f>
        <v>133.64</v>
      </c>
      <c r="E72" s="5" t="n">
        <f aca="false">IFERROR(__xludf.dummyfunction("""COMPUTED_VALUE"""),134.5)</f>
        <v>134.5</v>
      </c>
      <c r="F72" s="5" t="n">
        <f aca="false">IFERROR(__xludf.dummyfunction("""COMPUTED_VALUE"""),89347102)</f>
        <v>89347102</v>
      </c>
    </row>
    <row r="73" customFormat="false" ht="15.75" hidden="false" customHeight="false" outlineLevel="0" collapsed="false">
      <c r="A73" s="6" t="n">
        <f aca="false">IFERROR(__xludf.dummyfunction("""COMPUTED_VALUE"""),44302.6666666667)</f>
        <v>44302.6666666667</v>
      </c>
      <c r="B73" s="5" t="n">
        <f aca="false">IFERROR(__xludf.dummyfunction("""COMPUTED_VALUE"""),134.3)</f>
        <v>134.3</v>
      </c>
      <c r="C73" s="5" t="n">
        <f aca="false">IFERROR(__xludf.dummyfunction("""COMPUTED_VALUE"""),134.67)</f>
        <v>134.67</v>
      </c>
      <c r="D73" s="5" t="n">
        <f aca="false">IFERROR(__xludf.dummyfunction("""COMPUTED_VALUE"""),133.28)</f>
        <v>133.28</v>
      </c>
      <c r="E73" s="5" t="n">
        <f aca="false">IFERROR(__xludf.dummyfunction("""COMPUTED_VALUE"""),134.16)</f>
        <v>134.16</v>
      </c>
      <c r="F73" s="5" t="n">
        <f aca="false">IFERROR(__xludf.dummyfunction("""COMPUTED_VALUE"""),84922386)</f>
        <v>84922386</v>
      </c>
    </row>
    <row r="74" customFormat="false" ht="15.75" hidden="false" customHeight="false" outlineLevel="0" collapsed="false">
      <c r="A74" s="6" t="n">
        <f aca="false">IFERROR(__xludf.dummyfunction("""COMPUTED_VALUE"""),44305.6666666667)</f>
        <v>44305.6666666667</v>
      </c>
      <c r="B74" s="5" t="n">
        <f aca="false">IFERROR(__xludf.dummyfunction("""COMPUTED_VALUE"""),133.51)</f>
        <v>133.51</v>
      </c>
      <c r="C74" s="5" t="n">
        <f aca="false">IFERROR(__xludf.dummyfunction("""COMPUTED_VALUE"""),135.47)</f>
        <v>135.47</v>
      </c>
      <c r="D74" s="5" t="n">
        <f aca="false">IFERROR(__xludf.dummyfunction("""COMPUTED_VALUE"""),133.34)</f>
        <v>133.34</v>
      </c>
      <c r="E74" s="5" t="n">
        <f aca="false">IFERROR(__xludf.dummyfunction("""COMPUTED_VALUE"""),134.84)</f>
        <v>134.84</v>
      </c>
      <c r="F74" s="5" t="n">
        <f aca="false">IFERROR(__xludf.dummyfunction("""COMPUTED_VALUE"""),94264215)</f>
        <v>94264215</v>
      </c>
    </row>
    <row r="75" customFormat="false" ht="15.75" hidden="false" customHeight="false" outlineLevel="0" collapsed="false">
      <c r="A75" s="6" t="n">
        <f aca="false">IFERROR(__xludf.dummyfunction("""COMPUTED_VALUE"""),44306.6666666667)</f>
        <v>44306.6666666667</v>
      </c>
      <c r="B75" s="5" t="n">
        <f aca="false">IFERROR(__xludf.dummyfunction("""COMPUTED_VALUE"""),135.02)</f>
        <v>135.02</v>
      </c>
      <c r="C75" s="5" t="n">
        <f aca="false">IFERROR(__xludf.dummyfunction("""COMPUTED_VALUE"""),135.53)</f>
        <v>135.53</v>
      </c>
      <c r="D75" s="5" t="n">
        <f aca="false">IFERROR(__xludf.dummyfunction("""COMPUTED_VALUE"""),131.81)</f>
        <v>131.81</v>
      </c>
      <c r="E75" s="5" t="n">
        <f aca="false">IFERROR(__xludf.dummyfunction("""COMPUTED_VALUE"""),133.11)</f>
        <v>133.11</v>
      </c>
      <c r="F75" s="5" t="n">
        <f aca="false">IFERROR(__xludf.dummyfunction("""COMPUTED_VALUE"""),94812349)</f>
        <v>94812349</v>
      </c>
    </row>
    <row r="76" customFormat="false" ht="15.75" hidden="false" customHeight="false" outlineLevel="0" collapsed="false">
      <c r="A76" s="6" t="n">
        <f aca="false">IFERROR(__xludf.dummyfunction("""COMPUTED_VALUE"""),44307.6666666667)</f>
        <v>44307.6666666667</v>
      </c>
      <c r="B76" s="5" t="n">
        <f aca="false">IFERROR(__xludf.dummyfunction("""COMPUTED_VALUE"""),132.36)</f>
        <v>132.36</v>
      </c>
      <c r="C76" s="5" t="n">
        <f aca="false">IFERROR(__xludf.dummyfunction("""COMPUTED_VALUE"""),133.75)</f>
        <v>133.75</v>
      </c>
      <c r="D76" s="5" t="n">
        <f aca="false">IFERROR(__xludf.dummyfunction("""COMPUTED_VALUE"""),131.3)</f>
        <v>131.3</v>
      </c>
      <c r="E76" s="5" t="n">
        <f aca="false">IFERROR(__xludf.dummyfunction("""COMPUTED_VALUE"""),133.5)</f>
        <v>133.5</v>
      </c>
      <c r="F76" s="5" t="n">
        <f aca="false">IFERROR(__xludf.dummyfunction("""COMPUTED_VALUE"""),68847136)</f>
        <v>68847136</v>
      </c>
    </row>
    <row r="77" customFormat="false" ht="15.75" hidden="false" customHeight="false" outlineLevel="0" collapsed="false">
      <c r="A77" s="6" t="n">
        <f aca="false">IFERROR(__xludf.dummyfunction("""COMPUTED_VALUE"""),44308.6666666667)</f>
        <v>44308.6666666667</v>
      </c>
      <c r="B77" s="5" t="n">
        <f aca="false">IFERROR(__xludf.dummyfunction("""COMPUTED_VALUE"""),133.04)</f>
        <v>133.04</v>
      </c>
      <c r="C77" s="5" t="n">
        <f aca="false">IFERROR(__xludf.dummyfunction("""COMPUTED_VALUE"""),134.15)</f>
        <v>134.15</v>
      </c>
      <c r="D77" s="5" t="n">
        <f aca="false">IFERROR(__xludf.dummyfunction("""COMPUTED_VALUE"""),131.41)</f>
        <v>131.41</v>
      </c>
      <c r="E77" s="5" t="n">
        <f aca="false">IFERROR(__xludf.dummyfunction("""COMPUTED_VALUE"""),131.94)</f>
        <v>131.94</v>
      </c>
      <c r="F77" s="5" t="n">
        <f aca="false">IFERROR(__xludf.dummyfunction("""COMPUTED_VALUE"""),84566456)</f>
        <v>84566456</v>
      </c>
    </row>
    <row r="78" customFormat="false" ht="15.75" hidden="false" customHeight="false" outlineLevel="0" collapsed="false">
      <c r="A78" s="6" t="n">
        <f aca="false">IFERROR(__xludf.dummyfunction("""COMPUTED_VALUE"""),44309.6666666667)</f>
        <v>44309.6666666667</v>
      </c>
      <c r="B78" s="5" t="n">
        <f aca="false">IFERROR(__xludf.dummyfunction("""COMPUTED_VALUE"""),132.16)</f>
        <v>132.16</v>
      </c>
      <c r="C78" s="5" t="n">
        <f aca="false">IFERROR(__xludf.dummyfunction("""COMPUTED_VALUE"""),135.12)</f>
        <v>135.12</v>
      </c>
      <c r="D78" s="5" t="n">
        <f aca="false">IFERROR(__xludf.dummyfunction("""COMPUTED_VALUE"""),132.16)</f>
        <v>132.16</v>
      </c>
      <c r="E78" s="5" t="n">
        <f aca="false">IFERROR(__xludf.dummyfunction("""COMPUTED_VALUE"""),134.32)</f>
        <v>134.32</v>
      </c>
      <c r="F78" s="5" t="n">
        <f aca="false">IFERROR(__xludf.dummyfunction("""COMPUTED_VALUE"""),78756779)</f>
        <v>78756779</v>
      </c>
    </row>
    <row r="79" customFormat="false" ht="15.75" hidden="false" customHeight="false" outlineLevel="0" collapsed="false">
      <c r="A79" s="6" t="n">
        <f aca="false">IFERROR(__xludf.dummyfunction("""COMPUTED_VALUE"""),44312.6666666667)</f>
        <v>44312.6666666667</v>
      </c>
      <c r="B79" s="5" t="n">
        <f aca="false">IFERROR(__xludf.dummyfunction("""COMPUTED_VALUE"""),134.83)</f>
        <v>134.83</v>
      </c>
      <c r="C79" s="5" t="n">
        <f aca="false">IFERROR(__xludf.dummyfunction("""COMPUTED_VALUE"""),135.06)</f>
        <v>135.06</v>
      </c>
      <c r="D79" s="5" t="n">
        <f aca="false">IFERROR(__xludf.dummyfunction("""COMPUTED_VALUE"""),133.56)</f>
        <v>133.56</v>
      </c>
      <c r="E79" s="5" t="n">
        <f aca="false">IFERROR(__xludf.dummyfunction("""COMPUTED_VALUE"""),134.72)</f>
        <v>134.72</v>
      </c>
      <c r="F79" s="5" t="n">
        <f aca="false">IFERROR(__xludf.dummyfunction("""COMPUTED_VALUE"""),66905069)</f>
        <v>66905069</v>
      </c>
    </row>
    <row r="80" customFormat="false" ht="15.75" hidden="false" customHeight="false" outlineLevel="0" collapsed="false">
      <c r="A80" s="6" t="n">
        <f aca="false">IFERROR(__xludf.dummyfunction("""COMPUTED_VALUE"""),44313.6666666667)</f>
        <v>44313.6666666667</v>
      </c>
      <c r="B80" s="5" t="n">
        <f aca="false">IFERROR(__xludf.dummyfunction("""COMPUTED_VALUE"""),135.01)</f>
        <v>135.01</v>
      </c>
      <c r="C80" s="5" t="n">
        <f aca="false">IFERROR(__xludf.dummyfunction("""COMPUTED_VALUE"""),135.41)</f>
        <v>135.41</v>
      </c>
      <c r="D80" s="5" t="n">
        <f aca="false">IFERROR(__xludf.dummyfunction("""COMPUTED_VALUE"""),134.11)</f>
        <v>134.11</v>
      </c>
      <c r="E80" s="5" t="n">
        <f aca="false">IFERROR(__xludf.dummyfunction("""COMPUTED_VALUE"""),134.39)</f>
        <v>134.39</v>
      </c>
      <c r="F80" s="5" t="n">
        <f aca="false">IFERROR(__xludf.dummyfunction("""COMPUTED_VALUE"""),66015804)</f>
        <v>66015804</v>
      </c>
    </row>
    <row r="81" customFormat="false" ht="15.75" hidden="false" customHeight="false" outlineLevel="0" collapsed="false">
      <c r="A81" s="6" t="n">
        <f aca="false">IFERROR(__xludf.dummyfunction("""COMPUTED_VALUE"""),44314.6666666667)</f>
        <v>44314.6666666667</v>
      </c>
      <c r="B81" s="5" t="n">
        <f aca="false">IFERROR(__xludf.dummyfunction("""COMPUTED_VALUE"""),134.31)</f>
        <v>134.31</v>
      </c>
      <c r="C81" s="5" t="n">
        <f aca="false">IFERROR(__xludf.dummyfunction("""COMPUTED_VALUE"""),135.02)</f>
        <v>135.02</v>
      </c>
      <c r="D81" s="5" t="n">
        <f aca="false">IFERROR(__xludf.dummyfunction("""COMPUTED_VALUE"""),133.08)</f>
        <v>133.08</v>
      </c>
      <c r="E81" s="5" t="n">
        <f aca="false">IFERROR(__xludf.dummyfunction("""COMPUTED_VALUE"""),133.58)</f>
        <v>133.58</v>
      </c>
      <c r="F81" s="5" t="n">
        <f aca="false">IFERROR(__xludf.dummyfunction("""COMPUTED_VALUE"""),107760097)</f>
        <v>107760097</v>
      </c>
    </row>
    <row r="82" customFormat="false" ht="15.75" hidden="false" customHeight="false" outlineLevel="0" collapsed="false">
      <c r="A82" s="6" t="n">
        <f aca="false">IFERROR(__xludf.dummyfunction("""COMPUTED_VALUE"""),44315.6666666667)</f>
        <v>44315.6666666667</v>
      </c>
      <c r="B82" s="5" t="n">
        <f aca="false">IFERROR(__xludf.dummyfunction("""COMPUTED_VALUE"""),136.47)</f>
        <v>136.47</v>
      </c>
      <c r="C82" s="5" t="n">
        <f aca="false">IFERROR(__xludf.dummyfunction("""COMPUTED_VALUE"""),137.07)</f>
        <v>137.07</v>
      </c>
      <c r="D82" s="5" t="n">
        <f aca="false">IFERROR(__xludf.dummyfunction("""COMPUTED_VALUE"""),132.45)</f>
        <v>132.45</v>
      </c>
      <c r="E82" s="5" t="n">
        <f aca="false">IFERROR(__xludf.dummyfunction("""COMPUTED_VALUE"""),133.48)</f>
        <v>133.48</v>
      </c>
      <c r="F82" s="5" t="n">
        <f aca="false">IFERROR(__xludf.dummyfunction("""COMPUTED_VALUE"""),151100953)</f>
        <v>151100953</v>
      </c>
    </row>
    <row r="83" customFormat="false" ht="15.75" hidden="false" customHeight="false" outlineLevel="0" collapsed="false">
      <c r="A83" s="6" t="n">
        <f aca="false">IFERROR(__xludf.dummyfunction("""COMPUTED_VALUE"""),44316.6666666667)</f>
        <v>44316.6666666667</v>
      </c>
      <c r="B83" s="5" t="n">
        <f aca="false">IFERROR(__xludf.dummyfunction("""COMPUTED_VALUE"""),131.78)</f>
        <v>131.78</v>
      </c>
      <c r="C83" s="5" t="n">
        <f aca="false">IFERROR(__xludf.dummyfunction("""COMPUTED_VALUE"""),133.56)</f>
        <v>133.56</v>
      </c>
      <c r="D83" s="5" t="n">
        <f aca="false">IFERROR(__xludf.dummyfunction("""COMPUTED_VALUE"""),131.07)</f>
        <v>131.07</v>
      </c>
      <c r="E83" s="5" t="n">
        <f aca="false">IFERROR(__xludf.dummyfunction("""COMPUTED_VALUE"""),131.46)</f>
        <v>131.46</v>
      </c>
      <c r="F83" s="5" t="n">
        <f aca="false">IFERROR(__xludf.dummyfunction("""COMPUTED_VALUE"""),109839466)</f>
        <v>109839466</v>
      </c>
    </row>
    <row r="84" customFormat="false" ht="15.75" hidden="false" customHeight="false" outlineLevel="0" collapsed="false">
      <c r="A84" s="6" t="n">
        <f aca="false">IFERROR(__xludf.dummyfunction("""COMPUTED_VALUE"""),44319.6666666667)</f>
        <v>44319.6666666667</v>
      </c>
      <c r="B84" s="5" t="n">
        <f aca="false">IFERROR(__xludf.dummyfunction("""COMPUTED_VALUE"""),132.04)</f>
        <v>132.04</v>
      </c>
      <c r="C84" s="5" t="n">
        <f aca="false">IFERROR(__xludf.dummyfunction("""COMPUTED_VALUE"""),134.07)</f>
        <v>134.07</v>
      </c>
      <c r="D84" s="5" t="n">
        <f aca="false">IFERROR(__xludf.dummyfunction("""COMPUTED_VALUE"""),131.83)</f>
        <v>131.83</v>
      </c>
      <c r="E84" s="5" t="n">
        <f aca="false">IFERROR(__xludf.dummyfunction("""COMPUTED_VALUE"""),132.54)</f>
        <v>132.54</v>
      </c>
      <c r="F84" s="5" t="n">
        <f aca="false">IFERROR(__xludf.dummyfunction("""COMPUTED_VALUE"""),75135100)</f>
        <v>75135100</v>
      </c>
    </row>
    <row r="85" customFormat="false" ht="15.75" hidden="false" customHeight="false" outlineLevel="0" collapsed="false">
      <c r="A85" s="6" t="n">
        <f aca="false">IFERROR(__xludf.dummyfunction("""COMPUTED_VALUE"""),44320.6666666667)</f>
        <v>44320.6666666667</v>
      </c>
      <c r="B85" s="5" t="n">
        <f aca="false">IFERROR(__xludf.dummyfunction("""COMPUTED_VALUE"""),131.19)</f>
        <v>131.19</v>
      </c>
      <c r="C85" s="5" t="n">
        <f aca="false">IFERROR(__xludf.dummyfunction("""COMPUTED_VALUE"""),131.49)</f>
        <v>131.49</v>
      </c>
      <c r="D85" s="5" t="n">
        <f aca="false">IFERROR(__xludf.dummyfunction("""COMPUTED_VALUE"""),126.7)</f>
        <v>126.7</v>
      </c>
      <c r="E85" s="5" t="n">
        <f aca="false">IFERROR(__xludf.dummyfunction("""COMPUTED_VALUE"""),127.85)</f>
        <v>127.85</v>
      </c>
      <c r="F85" s="5" t="n">
        <f aca="false">IFERROR(__xludf.dummyfunction("""COMPUTED_VALUE"""),137564718)</f>
        <v>137564718</v>
      </c>
    </row>
    <row r="86" customFormat="false" ht="15.75" hidden="false" customHeight="false" outlineLevel="0" collapsed="false">
      <c r="A86" s="6" t="n">
        <f aca="false">IFERROR(__xludf.dummyfunction("""COMPUTED_VALUE"""),44321.6666666667)</f>
        <v>44321.6666666667</v>
      </c>
      <c r="B86" s="5" t="n">
        <f aca="false">IFERROR(__xludf.dummyfunction("""COMPUTED_VALUE"""),129.2)</f>
        <v>129.2</v>
      </c>
      <c r="C86" s="5" t="n">
        <f aca="false">IFERROR(__xludf.dummyfunction("""COMPUTED_VALUE"""),130.45)</f>
        <v>130.45</v>
      </c>
      <c r="D86" s="5" t="n">
        <f aca="false">IFERROR(__xludf.dummyfunction("""COMPUTED_VALUE"""),127.97)</f>
        <v>127.97</v>
      </c>
      <c r="E86" s="5" t="n">
        <f aca="false">IFERROR(__xludf.dummyfunction("""COMPUTED_VALUE"""),128.1)</f>
        <v>128.1</v>
      </c>
      <c r="F86" s="5" t="n">
        <f aca="false">IFERROR(__xludf.dummyfunction("""COMPUTED_VALUE"""),84000900)</f>
        <v>84000900</v>
      </c>
    </row>
    <row r="87" customFormat="false" ht="15.75" hidden="false" customHeight="false" outlineLevel="0" collapsed="false">
      <c r="A87" s="6" t="n">
        <f aca="false">IFERROR(__xludf.dummyfunction("""COMPUTED_VALUE"""),44322.6666666667)</f>
        <v>44322.6666666667</v>
      </c>
      <c r="B87" s="5" t="n">
        <f aca="false">IFERROR(__xludf.dummyfunction("""COMPUTED_VALUE"""),127.89)</f>
        <v>127.89</v>
      </c>
      <c r="C87" s="5" t="n">
        <f aca="false">IFERROR(__xludf.dummyfunction("""COMPUTED_VALUE"""),129.75)</f>
        <v>129.75</v>
      </c>
      <c r="D87" s="5" t="n">
        <f aca="false">IFERROR(__xludf.dummyfunction("""COMPUTED_VALUE"""),127.13)</f>
        <v>127.13</v>
      </c>
      <c r="E87" s="5" t="n">
        <f aca="false">IFERROR(__xludf.dummyfunction("""COMPUTED_VALUE"""),129.74)</f>
        <v>129.74</v>
      </c>
      <c r="F87" s="5" t="n">
        <f aca="false">IFERROR(__xludf.dummyfunction("""COMPUTED_VALUE"""),78128334)</f>
        <v>78128334</v>
      </c>
    </row>
    <row r="88" customFormat="false" ht="15.75" hidden="false" customHeight="false" outlineLevel="0" collapsed="false">
      <c r="A88" s="6" t="n">
        <f aca="false">IFERROR(__xludf.dummyfunction("""COMPUTED_VALUE"""),44323.6666666667)</f>
        <v>44323.6666666667</v>
      </c>
      <c r="B88" s="5" t="n">
        <f aca="false">IFERROR(__xludf.dummyfunction("""COMPUTED_VALUE"""),130.85)</f>
        <v>130.85</v>
      </c>
      <c r="C88" s="5" t="n">
        <f aca="false">IFERROR(__xludf.dummyfunction("""COMPUTED_VALUE"""),131.26)</f>
        <v>131.26</v>
      </c>
      <c r="D88" s="5" t="n">
        <f aca="false">IFERROR(__xludf.dummyfunction("""COMPUTED_VALUE"""),129.48)</f>
        <v>129.48</v>
      </c>
      <c r="E88" s="5" t="n">
        <f aca="false">IFERROR(__xludf.dummyfunction("""COMPUTED_VALUE"""),130.21)</f>
        <v>130.21</v>
      </c>
      <c r="F88" s="5" t="n">
        <f aca="false">IFERROR(__xludf.dummyfunction("""COMPUTED_VALUE"""),78973273)</f>
        <v>78973273</v>
      </c>
    </row>
    <row r="89" customFormat="false" ht="15.75" hidden="false" customHeight="false" outlineLevel="0" collapsed="false">
      <c r="A89" s="6" t="n">
        <f aca="false">IFERROR(__xludf.dummyfunction("""COMPUTED_VALUE"""),44326.6666666667)</f>
        <v>44326.6666666667</v>
      </c>
      <c r="B89" s="5" t="n">
        <f aca="false">IFERROR(__xludf.dummyfunction("""COMPUTED_VALUE"""),129.41)</f>
        <v>129.41</v>
      </c>
      <c r="C89" s="5" t="n">
        <f aca="false">IFERROR(__xludf.dummyfunction("""COMPUTED_VALUE"""),129.54)</f>
        <v>129.54</v>
      </c>
      <c r="D89" s="5" t="n">
        <f aca="false">IFERROR(__xludf.dummyfunction("""COMPUTED_VALUE"""),126.81)</f>
        <v>126.81</v>
      </c>
      <c r="E89" s="5" t="n">
        <f aca="false">IFERROR(__xludf.dummyfunction("""COMPUTED_VALUE"""),126.85)</f>
        <v>126.85</v>
      </c>
      <c r="F89" s="5" t="n">
        <f aca="false">IFERROR(__xludf.dummyfunction("""COMPUTED_VALUE"""),88071229)</f>
        <v>88071229</v>
      </c>
    </row>
    <row r="90" customFormat="false" ht="15.75" hidden="false" customHeight="false" outlineLevel="0" collapsed="false">
      <c r="A90" s="6" t="n">
        <f aca="false">IFERROR(__xludf.dummyfunction("""COMPUTED_VALUE"""),44327.6666666667)</f>
        <v>44327.6666666667</v>
      </c>
      <c r="B90" s="5" t="n">
        <f aca="false">IFERROR(__xludf.dummyfunction("""COMPUTED_VALUE"""),123.5)</f>
        <v>123.5</v>
      </c>
      <c r="C90" s="5" t="n">
        <f aca="false">IFERROR(__xludf.dummyfunction("""COMPUTED_VALUE"""),126.27)</f>
        <v>126.27</v>
      </c>
      <c r="D90" s="5" t="n">
        <f aca="false">IFERROR(__xludf.dummyfunction("""COMPUTED_VALUE"""),122.77)</f>
        <v>122.77</v>
      </c>
      <c r="E90" s="5" t="n">
        <f aca="false">IFERROR(__xludf.dummyfunction("""COMPUTED_VALUE"""),125.91)</f>
        <v>125.91</v>
      </c>
      <c r="F90" s="5" t="n">
        <f aca="false">IFERROR(__xludf.dummyfunction("""COMPUTED_VALUE"""),126142826)</f>
        <v>126142826</v>
      </c>
    </row>
    <row r="91" customFormat="false" ht="15.75" hidden="false" customHeight="false" outlineLevel="0" collapsed="false">
      <c r="A91" s="6" t="n">
        <f aca="false">IFERROR(__xludf.dummyfunction("""COMPUTED_VALUE"""),44328.6666666667)</f>
        <v>44328.6666666667</v>
      </c>
      <c r="B91" s="5" t="n">
        <f aca="false">IFERROR(__xludf.dummyfunction("""COMPUTED_VALUE"""),123.4)</f>
        <v>123.4</v>
      </c>
      <c r="C91" s="5" t="n">
        <f aca="false">IFERROR(__xludf.dummyfunction("""COMPUTED_VALUE"""),124.64)</f>
        <v>124.64</v>
      </c>
      <c r="D91" s="5" t="n">
        <f aca="false">IFERROR(__xludf.dummyfunction("""COMPUTED_VALUE"""),122.25)</f>
        <v>122.25</v>
      </c>
      <c r="E91" s="5" t="n">
        <f aca="false">IFERROR(__xludf.dummyfunction("""COMPUTED_VALUE"""),122.77)</f>
        <v>122.77</v>
      </c>
      <c r="F91" s="5" t="n">
        <f aca="false">IFERROR(__xludf.dummyfunction("""COMPUTED_VALUE"""),112172282)</f>
        <v>112172282</v>
      </c>
    </row>
    <row r="92" customFormat="false" ht="15.75" hidden="false" customHeight="false" outlineLevel="0" collapsed="false">
      <c r="A92" s="6" t="n">
        <f aca="false">IFERROR(__xludf.dummyfunction("""COMPUTED_VALUE"""),44329.6666666667)</f>
        <v>44329.6666666667</v>
      </c>
      <c r="B92" s="5" t="n">
        <f aca="false">IFERROR(__xludf.dummyfunction("""COMPUTED_VALUE"""),124.58)</f>
        <v>124.58</v>
      </c>
      <c r="C92" s="5" t="n">
        <f aca="false">IFERROR(__xludf.dummyfunction("""COMPUTED_VALUE"""),126.15)</f>
        <v>126.15</v>
      </c>
      <c r="D92" s="5" t="n">
        <f aca="false">IFERROR(__xludf.dummyfunction("""COMPUTED_VALUE"""),124.26)</f>
        <v>124.26</v>
      </c>
      <c r="E92" s="5" t="n">
        <f aca="false">IFERROR(__xludf.dummyfunction("""COMPUTED_VALUE"""),124.97)</f>
        <v>124.97</v>
      </c>
      <c r="F92" s="5" t="n">
        <f aca="false">IFERROR(__xludf.dummyfunction("""COMPUTED_VALUE"""),105861339)</f>
        <v>105861339</v>
      </c>
    </row>
    <row r="93" customFormat="false" ht="15.75" hidden="false" customHeight="false" outlineLevel="0" collapsed="false">
      <c r="A93" s="6" t="n">
        <f aca="false">IFERROR(__xludf.dummyfunction("""COMPUTED_VALUE"""),44330.6666666667)</f>
        <v>44330.6666666667</v>
      </c>
      <c r="B93" s="5" t="n">
        <f aca="false">IFERROR(__xludf.dummyfunction("""COMPUTED_VALUE"""),126.25)</f>
        <v>126.25</v>
      </c>
      <c r="C93" s="5" t="n">
        <f aca="false">IFERROR(__xludf.dummyfunction("""COMPUTED_VALUE"""),127.89)</f>
        <v>127.89</v>
      </c>
      <c r="D93" s="5" t="n">
        <f aca="false">IFERROR(__xludf.dummyfunction("""COMPUTED_VALUE"""),125.85)</f>
        <v>125.85</v>
      </c>
      <c r="E93" s="5" t="n">
        <f aca="false">IFERROR(__xludf.dummyfunction("""COMPUTED_VALUE"""),127.45)</f>
        <v>127.45</v>
      </c>
      <c r="F93" s="5" t="n">
        <f aca="false">IFERROR(__xludf.dummyfunction("""COMPUTED_VALUE"""),81917951)</f>
        <v>81917951</v>
      </c>
    </row>
    <row r="94" customFormat="false" ht="15.75" hidden="false" customHeight="false" outlineLevel="0" collapsed="false">
      <c r="A94" s="6" t="n">
        <f aca="false">IFERROR(__xludf.dummyfunction("""COMPUTED_VALUE"""),44333.6666666667)</f>
        <v>44333.6666666667</v>
      </c>
      <c r="B94" s="5" t="n">
        <f aca="false">IFERROR(__xludf.dummyfunction("""COMPUTED_VALUE"""),126.82)</f>
        <v>126.82</v>
      </c>
      <c r="C94" s="5" t="n">
        <f aca="false">IFERROR(__xludf.dummyfunction("""COMPUTED_VALUE"""),126.93)</f>
        <v>126.93</v>
      </c>
      <c r="D94" s="5" t="n">
        <f aca="false">IFERROR(__xludf.dummyfunction("""COMPUTED_VALUE"""),125.17)</f>
        <v>125.17</v>
      </c>
      <c r="E94" s="5" t="n">
        <f aca="false">IFERROR(__xludf.dummyfunction("""COMPUTED_VALUE"""),126.27)</f>
        <v>126.27</v>
      </c>
      <c r="F94" s="5" t="n">
        <f aca="false">IFERROR(__xludf.dummyfunction("""COMPUTED_VALUE"""),74244624)</f>
        <v>74244624</v>
      </c>
    </row>
    <row r="95" customFormat="false" ht="15.75" hidden="false" customHeight="false" outlineLevel="0" collapsed="false">
      <c r="A95" s="6" t="n">
        <f aca="false">IFERROR(__xludf.dummyfunction("""COMPUTED_VALUE"""),44334.6666666667)</f>
        <v>44334.6666666667</v>
      </c>
      <c r="B95" s="5" t="n">
        <f aca="false">IFERROR(__xludf.dummyfunction("""COMPUTED_VALUE"""),126.56)</f>
        <v>126.56</v>
      </c>
      <c r="C95" s="5" t="n">
        <f aca="false">IFERROR(__xludf.dummyfunction("""COMPUTED_VALUE"""),126.99)</f>
        <v>126.99</v>
      </c>
      <c r="D95" s="5" t="n">
        <f aca="false">IFERROR(__xludf.dummyfunction("""COMPUTED_VALUE"""),124.78)</f>
        <v>124.78</v>
      </c>
      <c r="E95" s="5" t="n">
        <f aca="false">IFERROR(__xludf.dummyfunction("""COMPUTED_VALUE"""),124.85)</f>
        <v>124.85</v>
      </c>
      <c r="F95" s="5" t="n">
        <f aca="false">IFERROR(__xludf.dummyfunction("""COMPUTED_VALUE"""),63342929)</f>
        <v>63342929</v>
      </c>
    </row>
    <row r="96" customFormat="false" ht="15.75" hidden="false" customHeight="false" outlineLevel="0" collapsed="false">
      <c r="A96" s="6" t="n">
        <f aca="false">IFERROR(__xludf.dummyfunction("""COMPUTED_VALUE"""),44335.6666666667)</f>
        <v>44335.6666666667</v>
      </c>
      <c r="B96" s="5" t="n">
        <f aca="false">IFERROR(__xludf.dummyfunction("""COMPUTED_VALUE"""),123.16)</f>
        <v>123.16</v>
      </c>
      <c r="C96" s="5" t="n">
        <f aca="false">IFERROR(__xludf.dummyfunction("""COMPUTED_VALUE"""),124.92)</f>
        <v>124.92</v>
      </c>
      <c r="D96" s="5" t="n">
        <f aca="false">IFERROR(__xludf.dummyfunction("""COMPUTED_VALUE"""),122.86)</f>
        <v>122.86</v>
      </c>
      <c r="E96" s="5" t="n">
        <f aca="false">IFERROR(__xludf.dummyfunction("""COMPUTED_VALUE"""),124.69)</f>
        <v>124.69</v>
      </c>
      <c r="F96" s="5" t="n">
        <f aca="false">IFERROR(__xludf.dummyfunction("""COMPUTED_VALUE"""),92611989)</f>
        <v>92611989</v>
      </c>
    </row>
    <row r="97" customFormat="false" ht="15.75" hidden="false" customHeight="false" outlineLevel="0" collapsed="false">
      <c r="A97" s="6" t="n">
        <f aca="false">IFERROR(__xludf.dummyfunction("""COMPUTED_VALUE"""),44336.6666666667)</f>
        <v>44336.6666666667</v>
      </c>
      <c r="B97" s="5" t="n">
        <f aca="false">IFERROR(__xludf.dummyfunction("""COMPUTED_VALUE"""),125.23)</f>
        <v>125.23</v>
      </c>
      <c r="C97" s="5" t="n">
        <f aca="false">IFERROR(__xludf.dummyfunction("""COMPUTED_VALUE"""),127.72)</f>
        <v>127.72</v>
      </c>
      <c r="D97" s="5" t="n">
        <f aca="false">IFERROR(__xludf.dummyfunction("""COMPUTED_VALUE"""),125.1)</f>
        <v>125.1</v>
      </c>
      <c r="E97" s="5" t="n">
        <f aca="false">IFERROR(__xludf.dummyfunction("""COMPUTED_VALUE"""),127.31)</f>
        <v>127.31</v>
      </c>
      <c r="F97" s="5" t="n">
        <f aca="false">IFERROR(__xludf.dummyfunction("""COMPUTED_VALUE"""),76857123)</f>
        <v>76857123</v>
      </c>
    </row>
    <row r="98" customFormat="false" ht="15.75" hidden="false" customHeight="false" outlineLevel="0" collapsed="false">
      <c r="A98" s="6" t="n">
        <f aca="false">IFERROR(__xludf.dummyfunction("""COMPUTED_VALUE"""),44337.6666666667)</f>
        <v>44337.6666666667</v>
      </c>
      <c r="B98" s="5" t="n">
        <f aca="false">IFERROR(__xludf.dummyfunction("""COMPUTED_VALUE"""),127.82)</f>
        <v>127.82</v>
      </c>
      <c r="C98" s="5" t="n">
        <f aca="false">IFERROR(__xludf.dummyfunction("""COMPUTED_VALUE"""),128)</f>
        <v>128</v>
      </c>
      <c r="D98" s="5" t="n">
        <f aca="false">IFERROR(__xludf.dummyfunction("""COMPUTED_VALUE"""),125.21)</f>
        <v>125.21</v>
      </c>
      <c r="E98" s="5" t="n">
        <f aca="false">IFERROR(__xludf.dummyfunction("""COMPUTED_VALUE"""),125.43)</f>
        <v>125.43</v>
      </c>
      <c r="F98" s="5" t="n">
        <f aca="false">IFERROR(__xludf.dummyfunction("""COMPUTED_VALUE"""),79295436)</f>
        <v>79295436</v>
      </c>
    </row>
    <row r="99" customFormat="false" ht="15.75" hidden="false" customHeight="false" outlineLevel="0" collapsed="false">
      <c r="A99" s="6" t="n">
        <f aca="false">IFERROR(__xludf.dummyfunction("""COMPUTED_VALUE"""),44340.6666666667)</f>
        <v>44340.6666666667</v>
      </c>
      <c r="B99" s="5" t="n">
        <f aca="false">IFERROR(__xludf.dummyfunction("""COMPUTED_VALUE"""),126.01)</f>
        <v>126.01</v>
      </c>
      <c r="C99" s="5" t="n">
        <f aca="false">IFERROR(__xludf.dummyfunction("""COMPUTED_VALUE"""),127.94)</f>
        <v>127.94</v>
      </c>
      <c r="D99" s="5" t="n">
        <f aca="false">IFERROR(__xludf.dummyfunction("""COMPUTED_VALUE"""),125.94)</f>
        <v>125.94</v>
      </c>
      <c r="E99" s="5" t="n">
        <f aca="false">IFERROR(__xludf.dummyfunction("""COMPUTED_VALUE"""),127.1)</f>
        <v>127.1</v>
      </c>
      <c r="F99" s="5" t="n">
        <f aca="false">IFERROR(__xludf.dummyfunction("""COMPUTED_VALUE"""),63092945)</f>
        <v>63092945</v>
      </c>
    </row>
    <row r="100" customFormat="false" ht="15.75" hidden="false" customHeight="false" outlineLevel="0" collapsed="false">
      <c r="A100" s="6" t="n">
        <f aca="false">IFERROR(__xludf.dummyfunction("""COMPUTED_VALUE"""),44341.6666666667)</f>
        <v>44341.6666666667</v>
      </c>
      <c r="B100" s="5" t="n">
        <f aca="false">IFERROR(__xludf.dummyfunction("""COMPUTED_VALUE"""),127.82)</f>
        <v>127.82</v>
      </c>
      <c r="C100" s="5" t="n">
        <f aca="false">IFERROR(__xludf.dummyfunction("""COMPUTED_VALUE"""),128.32)</f>
        <v>128.32</v>
      </c>
      <c r="D100" s="5" t="n">
        <f aca="false">IFERROR(__xludf.dummyfunction("""COMPUTED_VALUE"""),126.32)</f>
        <v>126.32</v>
      </c>
      <c r="E100" s="5" t="n">
        <f aca="false">IFERROR(__xludf.dummyfunction("""COMPUTED_VALUE"""),126.9)</f>
        <v>126.9</v>
      </c>
      <c r="F100" s="5" t="n">
        <f aca="false">IFERROR(__xludf.dummyfunction("""COMPUTED_VALUE"""),72009482)</f>
        <v>72009482</v>
      </c>
    </row>
    <row r="101" customFormat="false" ht="15.75" hidden="false" customHeight="false" outlineLevel="0" collapsed="false">
      <c r="A101" s="6" t="n">
        <f aca="false">IFERROR(__xludf.dummyfunction("""COMPUTED_VALUE"""),44342.6666666667)</f>
        <v>44342.6666666667</v>
      </c>
      <c r="B101" s="5" t="n">
        <f aca="false">IFERROR(__xludf.dummyfunction("""COMPUTED_VALUE"""),126.96)</f>
        <v>126.96</v>
      </c>
      <c r="C101" s="5" t="n">
        <f aca="false">IFERROR(__xludf.dummyfunction("""COMPUTED_VALUE"""),127.39)</f>
        <v>127.39</v>
      </c>
      <c r="D101" s="5" t="n">
        <f aca="false">IFERROR(__xludf.dummyfunction("""COMPUTED_VALUE"""),126.42)</f>
        <v>126.42</v>
      </c>
      <c r="E101" s="5" t="n">
        <f aca="false">IFERROR(__xludf.dummyfunction("""COMPUTED_VALUE"""),126.85)</f>
        <v>126.85</v>
      </c>
      <c r="F101" s="5" t="n">
        <f aca="false">IFERROR(__xludf.dummyfunction("""COMPUTED_VALUE"""),56575920)</f>
        <v>56575920</v>
      </c>
    </row>
    <row r="102" customFormat="false" ht="15.75" hidden="false" customHeight="false" outlineLevel="0" collapsed="false">
      <c r="A102" s="6" t="n">
        <f aca="false">IFERROR(__xludf.dummyfunction("""COMPUTED_VALUE"""),44343.6666666667)</f>
        <v>44343.6666666667</v>
      </c>
      <c r="B102" s="5" t="n">
        <f aca="false">IFERROR(__xludf.dummyfunction("""COMPUTED_VALUE"""),126.44)</f>
        <v>126.44</v>
      </c>
      <c r="C102" s="5" t="n">
        <f aca="false">IFERROR(__xludf.dummyfunction("""COMPUTED_VALUE"""),127.64)</f>
        <v>127.64</v>
      </c>
      <c r="D102" s="5" t="n">
        <f aca="false">IFERROR(__xludf.dummyfunction("""COMPUTED_VALUE"""),125.08)</f>
        <v>125.08</v>
      </c>
      <c r="E102" s="5" t="n">
        <f aca="false">IFERROR(__xludf.dummyfunction("""COMPUTED_VALUE"""),125.28)</f>
        <v>125.28</v>
      </c>
      <c r="F102" s="5" t="n">
        <f aca="false">IFERROR(__xludf.dummyfunction("""COMPUTED_VALUE"""),94625601)</f>
        <v>94625601</v>
      </c>
    </row>
    <row r="103" customFormat="false" ht="15.75" hidden="false" customHeight="false" outlineLevel="0" collapsed="false">
      <c r="A103" s="6" t="n">
        <f aca="false">IFERROR(__xludf.dummyfunction("""COMPUTED_VALUE"""),44344.6666666667)</f>
        <v>44344.6666666667</v>
      </c>
      <c r="B103" s="5" t="n">
        <f aca="false">IFERROR(__xludf.dummyfunction("""COMPUTED_VALUE"""),125.57)</f>
        <v>125.57</v>
      </c>
      <c r="C103" s="5" t="n">
        <f aca="false">IFERROR(__xludf.dummyfunction("""COMPUTED_VALUE"""),125.8)</f>
        <v>125.8</v>
      </c>
      <c r="D103" s="5" t="n">
        <f aca="false">IFERROR(__xludf.dummyfunction("""COMPUTED_VALUE"""),124.55)</f>
        <v>124.55</v>
      </c>
      <c r="E103" s="5" t="n">
        <f aca="false">IFERROR(__xludf.dummyfunction("""COMPUTED_VALUE"""),124.61)</f>
        <v>124.61</v>
      </c>
      <c r="F103" s="5" t="n">
        <f aca="false">IFERROR(__xludf.dummyfunction("""COMPUTED_VALUE"""),71311109)</f>
        <v>71311109</v>
      </c>
    </row>
    <row r="104" customFormat="false" ht="15.75" hidden="false" customHeight="false" outlineLevel="0" collapsed="false">
      <c r="A104" s="6" t="n">
        <f aca="false">IFERROR(__xludf.dummyfunction("""COMPUTED_VALUE"""),44348.6666666667)</f>
        <v>44348.6666666667</v>
      </c>
      <c r="B104" s="5" t="n">
        <f aca="false">IFERROR(__xludf.dummyfunction("""COMPUTED_VALUE"""),125.08)</f>
        <v>125.08</v>
      </c>
      <c r="C104" s="5" t="n">
        <f aca="false">IFERROR(__xludf.dummyfunction("""COMPUTED_VALUE"""),125.35)</f>
        <v>125.35</v>
      </c>
      <c r="D104" s="5" t="n">
        <f aca="false">IFERROR(__xludf.dummyfunction("""COMPUTED_VALUE"""),123.94)</f>
        <v>123.94</v>
      </c>
      <c r="E104" s="5" t="n">
        <f aca="false">IFERROR(__xludf.dummyfunction("""COMPUTED_VALUE"""),124.28)</f>
        <v>124.28</v>
      </c>
      <c r="F104" s="5" t="n">
        <f aca="false">IFERROR(__xludf.dummyfunction("""COMPUTED_VALUE"""),67637118)</f>
        <v>67637118</v>
      </c>
    </row>
    <row r="105" customFormat="false" ht="15.75" hidden="false" customHeight="false" outlineLevel="0" collapsed="false">
      <c r="A105" s="6" t="n">
        <f aca="false">IFERROR(__xludf.dummyfunction("""COMPUTED_VALUE"""),44349.6666666667)</f>
        <v>44349.6666666667</v>
      </c>
      <c r="B105" s="5" t="n">
        <f aca="false">IFERROR(__xludf.dummyfunction("""COMPUTED_VALUE"""),124.28)</f>
        <v>124.28</v>
      </c>
      <c r="C105" s="5" t="n">
        <f aca="false">IFERROR(__xludf.dummyfunction("""COMPUTED_VALUE"""),125.24)</f>
        <v>125.24</v>
      </c>
      <c r="D105" s="5" t="n">
        <f aca="false">IFERROR(__xludf.dummyfunction("""COMPUTED_VALUE"""),124.05)</f>
        <v>124.05</v>
      </c>
      <c r="E105" s="5" t="n">
        <f aca="false">IFERROR(__xludf.dummyfunction("""COMPUTED_VALUE"""),125.06)</f>
        <v>125.06</v>
      </c>
      <c r="F105" s="5" t="n">
        <f aca="false">IFERROR(__xludf.dummyfunction("""COMPUTED_VALUE"""),59278862)</f>
        <v>59278862</v>
      </c>
    </row>
    <row r="106" customFormat="false" ht="15.75" hidden="false" customHeight="false" outlineLevel="0" collapsed="false">
      <c r="A106" s="6" t="n">
        <f aca="false">IFERROR(__xludf.dummyfunction("""COMPUTED_VALUE"""),44350.6666666667)</f>
        <v>44350.6666666667</v>
      </c>
      <c r="B106" s="5" t="n">
        <f aca="false">IFERROR(__xludf.dummyfunction("""COMPUTED_VALUE"""),124.68)</f>
        <v>124.68</v>
      </c>
      <c r="C106" s="5" t="n">
        <f aca="false">IFERROR(__xludf.dummyfunction("""COMPUTED_VALUE"""),124.85)</f>
        <v>124.85</v>
      </c>
      <c r="D106" s="5" t="n">
        <f aca="false">IFERROR(__xludf.dummyfunction("""COMPUTED_VALUE"""),123.13)</f>
        <v>123.13</v>
      </c>
      <c r="E106" s="5" t="n">
        <f aca="false">IFERROR(__xludf.dummyfunction("""COMPUTED_VALUE"""),123.54)</f>
        <v>123.54</v>
      </c>
      <c r="F106" s="5" t="n">
        <f aca="false">IFERROR(__xludf.dummyfunction("""COMPUTED_VALUE"""),76229170)</f>
        <v>76229170</v>
      </c>
    </row>
    <row r="107" customFormat="false" ht="15.75" hidden="false" customHeight="false" outlineLevel="0" collapsed="false">
      <c r="A107" s="6" t="n">
        <f aca="false">IFERROR(__xludf.dummyfunction("""COMPUTED_VALUE"""),44351.6666666667)</f>
        <v>44351.6666666667</v>
      </c>
      <c r="B107" s="5" t="n">
        <f aca="false">IFERROR(__xludf.dummyfunction("""COMPUTED_VALUE"""),124.07)</f>
        <v>124.07</v>
      </c>
      <c r="C107" s="5" t="n">
        <f aca="false">IFERROR(__xludf.dummyfunction("""COMPUTED_VALUE"""),126.16)</f>
        <v>126.16</v>
      </c>
      <c r="D107" s="5" t="n">
        <f aca="false">IFERROR(__xludf.dummyfunction("""COMPUTED_VALUE"""),123.85)</f>
        <v>123.85</v>
      </c>
      <c r="E107" s="5" t="n">
        <f aca="false">IFERROR(__xludf.dummyfunction("""COMPUTED_VALUE"""),125.89)</f>
        <v>125.89</v>
      </c>
      <c r="F107" s="5" t="n">
        <f aca="false">IFERROR(__xludf.dummyfunction("""COMPUTED_VALUE"""),75169343)</f>
        <v>75169343</v>
      </c>
    </row>
    <row r="108" customFormat="false" ht="15.75" hidden="false" customHeight="false" outlineLevel="0" collapsed="false">
      <c r="A108" s="6" t="n">
        <f aca="false">IFERROR(__xludf.dummyfunction("""COMPUTED_VALUE"""),44354.6666666667)</f>
        <v>44354.6666666667</v>
      </c>
      <c r="B108" s="5" t="n">
        <f aca="false">IFERROR(__xludf.dummyfunction("""COMPUTED_VALUE"""),126.17)</f>
        <v>126.17</v>
      </c>
      <c r="C108" s="5" t="n">
        <f aca="false">IFERROR(__xludf.dummyfunction("""COMPUTED_VALUE"""),126.32)</f>
        <v>126.32</v>
      </c>
      <c r="D108" s="5" t="n">
        <f aca="false">IFERROR(__xludf.dummyfunction("""COMPUTED_VALUE"""),124.83)</f>
        <v>124.83</v>
      </c>
      <c r="E108" s="5" t="n">
        <f aca="false">IFERROR(__xludf.dummyfunction("""COMPUTED_VALUE"""),125.9)</f>
        <v>125.9</v>
      </c>
      <c r="F108" s="5" t="n">
        <f aca="false">IFERROR(__xludf.dummyfunction("""COMPUTED_VALUE"""),71057550)</f>
        <v>71057550</v>
      </c>
    </row>
    <row r="109" customFormat="false" ht="15.75" hidden="false" customHeight="false" outlineLevel="0" collapsed="false">
      <c r="A109" s="6" t="n">
        <f aca="false">IFERROR(__xludf.dummyfunction("""COMPUTED_VALUE"""),44355.6666666667)</f>
        <v>44355.6666666667</v>
      </c>
      <c r="B109" s="5" t="n">
        <f aca="false">IFERROR(__xludf.dummyfunction("""COMPUTED_VALUE"""),126.6)</f>
        <v>126.6</v>
      </c>
      <c r="C109" s="5" t="n">
        <f aca="false">IFERROR(__xludf.dummyfunction("""COMPUTED_VALUE"""),128.46)</f>
        <v>128.46</v>
      </c>
      <c r="D109" s="5" t="n">
        <f aca="false">IFERROR(__xludf.dummyfunction("""COMPUTED_VALUE"""),126.21)</f>
        <v>126.21</v>
      </c>
      <c r="E109" s="5" t="n">
        <f aca="false">IFERROR(__xludf.dummyfunction("""COMPUTED_VALUE"""),126.74)</f>
        <v>126.74</v>
      </c>
      <c r="F109" s="5" t="n">
        <f aca="false">IFERROR(__xludf.dummyfunction("""COMPUTED_VALUE"""),74403774)</f>
        <v>74403774</v>
      </c>
    </row>
    <row r="110" customFormat="false" ht="15.75" hidden="false" customHeight="false" outlineLevel="0" collapsed="false">
      <c r="A110" s="6" t="n">
        <f aca="false">IFERROR(__xludf.dummyfunction("""COMPUTED_VALUE"""),44356.6666666667)</f>
        <v>44356.6666666667</v>
      </c>
      <c r="B110" s="5" t="n">
        <f aca="false">IFERROR(__xludf.dummyfunction("""COMPUTED_VALUE"""),127.21)</f>
        <v>127.21</v>
      </c>
      <c r="C110" s="5" t="n">
        <f aca="false">IFERROR(__xludf.dummyfunction("""COMPUTED_VALUE"""),127.75)</f>
        <v>127.75</v>
      </c>
      <c r="D110" s="5" t="n">
        <f aca="false">IFERROR(__xludf.dummyfunction("""COMPUTED_VALUE"""),126.52)</f>
        <v>126.52</v>
      </c>
      <c r="E110" s="5" t="n">
        <f aca="false">IFERROR(__xludf.dummyfunction("""COMPUTED_VALUE"""),127.13)</f>
        <v>127.13</v>
      </c>
      <c r="F110" s="5" t="n">
        <f aca="false">IFERROR(__xludf.dummyfunction("""COMPUTED_VALUE"""),56877937)</f>
        <v>56877937</v>
      </c>
    </row>
    <row r="111" customFormat="false" ht="15.75" hidden="false" customHeight="false" outlineLevel="0" collapsed="false">
      <c r="A111" s="6" t="n">
        <f aca="false">IFERROR(__xludf.dummyfunction("""COMPUTED_VALUE"""),44357.6666666667)</f>
        <v>44357.6666666667</v>
      </c>
      <c r="B111" s="5" t="n">
        <f aca="false">IFERROR(__xludf.dummyfunction("""COMPUTED_VALUE"""),127.02)</f>
        <v>127.02</v>
      </c>
      <c r="C111" s="5" t="n">
        <f aca="false">IFERROR(__xludf.dummyfunction("""COMPUTED_VALUE"""),128.19)</f>
        <v>128.19</v>
      </c>
      <c r="D111" s="5" t="n">
        <f aca="false">IFERROR(__xludf.dummyfunction("""COMPUTED_VALUE"""),125.94)</f>
        <v>125.94</v>
      </c>
      <c r="E111" s="5" t="n">
        <f aca="false">IFERROR(__xludf.dummyfunction("""COMPUTED_VALUE"""),126.11)</f>
        <v>126.11</v>
      </c>
      <c r="F111" s="5" t="n">
        <f aca="false">IFERROR(__xludf.dummyfunction("""COMPUTED_VALUE"""),71186421)</f>
        <v>71186421</v>
      </c>
    </row>
    <row r="112" customFormat="false" ht="15.75" hidden="false" customHeight="false" outlineLevel="0" collapsed="false">
      <c r="A112" s="6" t="n">
        <f aca="false">IFERROR(__xludf.dummyfunction("""COMPUTED_VALUE"""),44358.6666666667)</f>
        <v>44358.6666666667</v>
      </c>
      <c r="B112" s="5" t="n">
        <f aca="false">IFERROR(__xludf.dummyfunction("""COMPUTED_VALUE"""),126.53)</f>
        <v>126.53</v>
      </c>
      <c r="C112" s="5" t="n">
        <f aca="false">IFERROR(__xludf.dummyfunction("""COMPUTED_VALUE"""),127.44)</f>
        <v>127.44</v>
      </c>
      <c r="D112" s="5" t="n">
        <f aca="false">IFERROR(__xludf.dummyfunction("""COMPUTED_VALUE"""),126.1)</f>
        <v>126.1</v>
      </c>
      <c r="E112" s="5" t="n">
        <f aca="false">IFERROR(__xludf.dummyfunction("""COMPUTED_VALUE"""),127.35)</f>
        <v>127.35</v>
      </c>
      <c r="F112" s="5" t="n">
        <f aca="false">IFERROR(__xludf.dummyfunction("""COMPUTED_VALUE"""),53522373)</f>
        <v>53522373</v>
      </c>
    </row>
    <row r="113" customFormat="false" ht="15.75" hidden="false" customHeight="false" outlineLevel="0" collapsed="false">
      <c r="A113" s="6" t="n">
        <f aca="false">IFERROR(__xludf.dummyfunction("""COMPUTED_VALUE"""),44361.6666666667)</f>
        <v>44361.6666666667</v>
      </c>
      <c r="B113" s="5" t="n">
        <f aca="false">IFERROR(__xludf.dummyfunction("""COMPUTED_VALUE"""),127.82)</f>
        <v>127.82</v>
      </c>
      <c r="C113" s="5" t="n">
        <f aca="false">IFERROR(__xludf.dummyfunction("""COMPUTED_VALUE"""),130.54)</f>
        <v>130.54</v>
      </c>
      <c r="D113" s="5" t="n">
        <f aca="false">IFERROR(__xludf.dummyfunction("""COMPUTED_VALUE"""),127.07)</f>
        <v>127.07</v>
      </c>
      <c r="E113" s="5" t="n">
        <f aca="false">IFERROR(__xludf.dummyfunction("""COMPUTED_VALUE"""),130.48)</f>
        <v>130.48</v>
      </c>
      <c r="F113" s="5" t="n">
        <f aca="false">IFERROR(__xludf.dummyfunction("""COMPUTED_VALUE"""),96906490)</f>
        <v>96906490</v>
      </c>
    </row>
    <row r="114" customFormat="false" ht="15.75" hidden="false" customHeight="false" outlineLevel="0" collapsed="false">
      <c r="A114" s="6" t="n">
        <f aca="false">IFERROR(__xludf.dummyfunction("""COMPUTED_VALUE"""),44362.6666666667)</f>
        <v>44362.6666666667</v>
      </c>
      <c r="B114" s="5" t="n">
        <f aca="false">IFERROR(__xludf.dummyfunction("""COMPUTED_VALUE"""),129.94)</f>
        <v>129.94</v>
      </c>
      <c r="C114" s="5" t="n">
        <f aca="false">IFERROR(__xludf.dummyfunction("""COMPUTED_VALUE"""),130.6)</f>
        <v>130.6</v>
      </c>
      <c r="D114" s="5" t="n">
        <f aca="false">IFERROR(__xludf.dummyfunction("""COMPUTED_VALUE"""),129.39)</f>
        <v>129.39</v>
      </c>
      <c r="E114" s="5" t="n">
        <f aca="false">IFERROR(__xludf.dummyfunction("""COMPUTED_VALUE"""),129.64)</f>
        <v>129.64</v>
      </c>
      <c r="F114" s="5" t="n">
        <f aca="false">IFERROR(__xludf.dummyfunction("""COMPUTED_VALUE"""),62746332)</f>
        <v>62746332</v>
      </c>
    </row>
    <row r="115" customFormat="false" ht="15.75" hidden="false" customHeight="false" outlineLevel="0" collapsed="false">
      <c r="A115" s="6" t="n">
        <f aca="false">IFERROR(__xludf.dummyfunction("""COMPUTED_VALUE"""),44363.6666666667)</f>
        <v>44363.6666666667</v>
      </c>
      <c r="B115" s="5" t="n">
        <f aca="false">IFERROR(__xludf.dummyfunction("""COMPUTED_VALUE"""),130.37)</f>
        <v>130.37</v>
      </c>
      <c r="C115" s="5" t="n">
        <f aca="false">IFERROR(__xludf.dummyfunction("""COMPUTED_VALUE"""),130.89)</f>
        <v>130.89</v>
      </c>
      <c r="D115" s="5" t="n">
        <f aca="false">IFERROR(__xludf.dummyfunction("""COMPUTED_VALUE"""),128.46)</f>
        <v>128.46</v>
      </c>
      <c r="E115" s="5" t="n">
        <f aca="false">IFERROR(__xludf.dummyfunction("""COMPUTED_VALUE"""),130.15)</f>
        <v>130.15</v>
      </c>
      <c r="F115" s="5" t="n">
        <f aca="false">IFERROR(__xludf.dummyfunction("""COMPUTED_VALUE"""),91815026)</f>
        <v>91815026</v>
      </c>
    </row>
    <row r="116" customFormat="false" ht="15.75" hidden="false" customHeight="false" outlineLevel="0" collapsed="false">
      <c r="A116" s="6" t="n">
        <f aca="false">IFERROR(__xludf.dummyfunction("""COMPUTED_VALUE"""),44364.6666666667)</f>
        <v>44364.6666666667</v>
      </c>
      <c r="B116" s="5" t="n">
        <f aca="false">IFERROR(__xludf.dummyfunction("""COMPUTED_VALUE"""),129.8)</f>
        <v>129.8</v>
      </c>
      <c r="C116" s="5" t="n">
        <f aca="false">IFERROR(__xludf.dummyfunction("""COMPUTED_VALUE"""),132.55)</f>
        <v>132.55</v>
      </c>
      <c r="D116" s="5" t="n">
        <f aca="false">IFERROR(__xludf.dummyfunction("""COMPUTED_VALUE"""),129.65)</f>
        <v>129.65</v>
      </c>
      <c r="E116" s="5" t="n">
        <f aca="false">IFERROR(__xludf.dummyfunction("""COMPUTED_VALUE"""),131.79)</f>
        <v>131.79</v>
      </c>
      <c r="F116" s="5" t="n">
        <f aca="false">IFERROR(__xludf.dummyfunction("""COMPUTED_VALUE"""),96721669)</f>
        <v>96721669</v>
      </c>
    </row>
    <row r="117" customFormat="false" ht="15.75" hidden="false" customHeight="false" outlineLevel="0" collapsed="false">
      <c r="A117" s="6" t="n">
        <f aca="false">IFERROR(__xludf.dummyfunction("""COMPUTED_VALUE"""),44365.6666666667)</f>
        <v>44365.6666666667</v>
      </c>
      <c r="B117" s="5" t="n">
        <f aca="false">IFERROR(__xludf.dummyfunction("""COMPUTED_VALUE"""),130.71)</f>
        <v>130.71</v>
      </c>
      <c r="C117" s="5" t="n">
        <f aca="false">IFERROR(__xludf.dummyfunction("""COMPUTED_VALUE"""),131.51)</f>
        <v>131.51</v>
      </c>
      <c r="D117" s="5" t="n">
        <f aca="false">IFERROR(__xludf.dummyfunction("""COMPUTED_VALUE"""),130.24)</f>
        <v>130.24</v>
      </c>
      <c r="E117" s="5" t="n">
        <f aca="false">IFERROR(__xludf.dummyfunction("""COMPUTED_VALUE"""),130.46)</f>
        <v>130.46</v>
      </c>
      <c r="F117" s="5" t="n">
        <f aca="false">IFERROR(__xludf.dummyfunction("""COMPUTED_VALUE"""),108953309)</f>
        <v>108953309</v>
      </c>
    </row>
    <row r="118" customFormat="false" ht="15.75" hidden="false" customHeight="false" outlineLevel="0" collapsed="false">
      <c r="A118" s="6" t="n">
        <f aca="false">IFERROR(__xludf.dummyfunction("""COMPUTED_VALUE"""),44368.6666666667)</f>
        <v>44368.6666666667</v>
      </c>
      <c r="B118" s="5" t="n">
        <f aca="false">IFERROR(__xludf.dummyfunction("""COMPUTED_VALUE"""),130.3)</f>
        <v>130.3</v>
      </c>
      <c r="C118" s="5" t="n">
        <f aca="false">IFERROR(__xludf.dummyfunction("""COMPUTED_VALUE"""),132.41)</f>
        <v>132.41</v>
      </c>
      <c r="D118" s="5" t="n">
        <f aca="false">IFERROR(__xludf.dummyfunction("""COMPUTED_VALUE"""),129.21)</f>
        <v>129.21</v>
      </c>
      <c r="E118" s="5" t="n">
        <f aca="false">IFERROR(__xludf.dummyfunction("""COMPUTED_VALUE"""),132.3)</f>
        <v>132.3</v>
      </c>
      <c r="F118" s="5" t="n">
        <f aca="false">IFERROR(__xludf.dummyfunction("""COMPUTED_VALUE"""),79663316)</f>
        <v>79663316</v>
      </c>
    </row>
    <row r="119" customFormat="false" ht="15.75" hidden="false" customHeight="false" outlineLevel="0" collapsed="false">
      <c r="A119" s="6" t="n">
        <f aca="false">IFERROR(__xludf.dummyfunction("""COMPUTED_VALUE"""),44369.6666666667)</f>
        <v>44369.6666666667</v>
      </c>
      <c r="B119" s="5" t="n">
        <f aca="false">IFERROR(__xludf.dummyfunction("""COMPUTED_VALUE"""),132.13)</f>
        <v>132.13</v>
      </c>
      <c r="C119" s="5" t="n">
        <f aca="false">IFERROR(__xludf.dummyfunction("""COMPUTED_VALUE"""),134.08)</f>
        <v>134.08</v>
      </c>
      <c r="D119" s="5" t="n">
        <f aca="false">IFERROR(__xludf.dummyfunction("""COMPUTED_VALUE"""),131.62)</f>
        <v>131.62</v>
      </c>
      <c r="E119" s="5" t="n">
        <f aca="false">IFERROR(__xludf.dummyfunction("""COMPUTED_VALUE"""),133.98)</f>
        <v>133.98</v>
      </c>
      <c r="F119" s="5" t="n">
        <f aca="false">IFERROR(__xludf.dummyfunction("""COMPUTED_VALUE"""),74783618)</f>
        <v>74783618</v>
      </c>
    </row>
    <row r="120" customFormat="false" ht="15.75" hidden="false" customHeight="false" outlineLevel="0" collapsed="false">
      <c r="A120" s="6" t="n">
        <f aca="false">IFERROR(__xludf.dummyfunction("""COMPUTED_VALUE"""),44370.6666666667)</f>
        <v>44370.6666666667</v>
      </c>
      <c r="B120" s="5" t="n">
        <f aca="false">IFERROR(__xludf.dummyfunction("""COMPUTED_VALUE"""),133.77)</f>
        <v>133.77</v>
      </c>
      <c r="C120" s="5" t="n">
        <f aca="false">IFERROR(__xludf.dummyfunction("""COMPUTED_VALUE"""),134.32)</f>
        <v>134.32</v>
      </c>
      <c r="D120" s="5" t="n">
        <f aca="false">IFERROR(__xludf.dummyfunction("""COMPUTED_VALUE"""),133.23)</f>
        <v>133.23</v>
      </c>
      <c r="E120" s="5" t="n">
        <f aca="false">IFERROR(__xludf.dummyfunction("""COMPUTED_VALUE"""),133.7)</f>
        <v>133.7</v>
      </c>
      <c r="F120" s="5" t="n">
        <f aca="false">IFERROR(__xludf.dummyfunction("""COMPUTED_VALUE"""),60214200)</f>
        <v>60214200</v>
      </c>
    </row>
    <row r="121" customFormat="false" ht="15.75" hidden="false" customHeight="false" outlineLevel="0" collapsed="false">
      <c r="A121" s="6" t="n">
        <f aca="false">IFERROR(__xludf.dummyfunction("""COMPUTED_VALUE"""),44371.6666666667)</f>
        <v>44371.6666666667</v>
      </c>
      <c r="B121" s="5" t="n">
        <f aca="false">IFERROR(__xludf.dummyfunction("""COMPUTED_VALUE"""),134.45)</f>
        <v>134.45</v>
      </c>
      <c r="C121" s="5" t="n">
        <f aca="false">IFERROR(__xludf.dummyfunction("""COMPUTED_VALUE"""),134.64)</f>
        <v>134.64</v>
      </c>
      <c r="D121" s="5" t="n">
        <f aca="false">IFERROR(__xludf.dummyfunction("""COMPUTED_VALUE"""),132.93)</f>
        <v>132.93</v>
      </c>
      <c r="E121" s="5" t="n">
        <f aca="false">IFERROR(__xludf.dummyfunction("""COMPUTED_VALUE"""),133.41)</f>
        <v>133.41</v>
      </c>
      <c r="F121" s="5" t="n">
        <f aca="false">IFERROR(__xludf.dummyfunction("""COMPUTED_VALUE"""),68710998)</f>
        <v>68710998</v>
      </c>
    </row>
    <row r="122" customFormat="false" ht="15.75" hidden="false" customHeight="false" outlineLevel="0" collapsed="false">
      <c r="A122" s="6" t="n">
        <f aca="false">IFERROR(__xludf.dummyfunction("""COMPUTED_VALUE"""),44372.6666666667)</f>
        <v>44372.6666666667</v>
      </c>
      <c r="B122" s="5" t="n">
        <f aca="false">IFERROR(__xludf.dummyfunction("""COMPUTED_VALUE"""),133.46)</f>
        <v>133.46</v>
      </c>
      <c r="C122" s="5" t="n">
        <f aca="false">IFERROR(__xludf.dummyfunction("""COMPUTED_VALUE"""),133.89)</f>
        <v>133.89</v>
      </c>
      <c r="D122" s="5" t="n">
        <f aca="false">IFERROR(__xludf.dummyfunction("""COMPUTED_VALUE"""),132.81)</f>
        <v>132.81</v>
      </c>
      <c r="E122" s="5" t="n">
        <f aca="false">IFERROR(__xludf.dummyfunction("""COMPUTED_VALUE"""),133.11)</f>
        <v>133.11</v>
      </c>
      <c r="F122" s="5" t="n">
        <f aca="false">IFERROR(__xludf.dummyfunction("""COMPUTED_VALUE"""),70783746)</f>
        <v>70783746</v>
      </c>
    </row>
    <row r="123" customFormat="false" ht="15.75" hidden="false" customHeight="false" outlineLevel="0" collapsed="false">
      <c r="A123" s="6" t="n">
        <f aca="false">IFERROR(__xludf.dummyfunction("""COMPUTED_VALUE"""),44375.6666666667)</f>
        <v>44375.6666666667</v>
      </c>
      <c r="B123" s="5" t="n">
        <f aca="false">IFERROR(__xludf.dummyfunction("""COMPUTED_VALUE"""),133.41)</f>
        <v>133.41</v>
      </c>
      <c r="C123" s="5" t="n">
        <f aca="false">IFERROR(__xludf.dummyfunction("""COMPUTED_VALUE"""),135.25)</f>
        <v>135.25</v>
      </c>
      <c r="D123" s="5" t="n">
        <f aca="false">IFERROR(__xludf.dummyfunction("""COMPUTED_VALUE"""),133.35)</f>
        <v>133.35</v>
      </c>
      <c r="E123" s="5" t="n">
        <f aca="false">IFERROR(__xludf.dummyfunction("""COMPUTED_VALUE"""),134.78)</f>
        <v>134.78</v>
      </c>
      <c r="F123" s="5" t="n">
        <f aca="false">IFERROR(__xludf.dummyfunction("""COMPUTED_VALUE"""),62111303)</f>
        <v>62111303</v>
      </c>
    </row>
    <row r="124" customFormat="false" ht="15.75" hidden="false" customHeight="false" outlineLevel="0" collapsed="false">
      <c r="A124" s="6" t="n">
        <f aca="false">IFERROR(__xludf.dummyfunction("""COMPUTED_VALUE"""),44376.6666666667)</f>
        <v>44376.6666666667</v>
      </c>
      <c r="B124" s="5" t="n">
        <f aca="false">IFERROR(__xludf.dummyfunction("""COMPUTED_VALUE"""),134.8)</f>
        <v>134.8</v>
      </c>
      <c r="C124" s="5" t="n">
        <f aca="false">IFERROR(__xludf.dummyfunction("""COMPUTED_VALUE"""),136.49)</f>
        <v>136.49</v>
      </c>
      <c r="D124" s="5" t="n">
        <f aca="false">IFERROR(__xludf.dummyfunction("""COMPUTED_VALUE"""),134.35)</f>
        <v>134.35</v>
      </c>
      <c r="E124" s="5" t="n">
        <f aca="false">IFERROR(__xludf.dummyfunction("""COMPUTED_VALUE"""),136.33)</f>
        <v>136.33</v>
      </c>
      <c r="F124" s="5" t="n">
        <f aca="false">IFERROR(__xludf.dummyfunction("""COMPUTED_VALUE"""),64556081)</f>
        <v>64556081</v>
      </c>
    </row>
    <row r="125" customFormat="false" ht="15.75" hidden="false" customHeight="false" outlineLevel="0" collapsed="false">
      <c r="A125" s="6" t="n">
        <f aca="false">IFERROR(__xludf.dummyfunction("""COMPUTED_VALUE"""),44377.6666666667)</f>
        <v>44377.6666666667</v>
      </c>
      <c r="B125" s="5" t="n">
        <f aca="false">IFERROR(__xludf.dummyfunction("""COMPUTED_VALUE"""),136.17)</f>
        <v>136.17</v>
      </c>
      <c r="C125" s="5" t="n">
        <f aca="false">IFERROR(__xludf.dummyfunction("""COMPUTED_VALUE"""),137.41)</f>
        <v>137.41</v>
      </c>
      <c r="D125" s="5" t="n">
        <f aca="false">IFERROR(__xludf.dummyfunction("""COMPUTED_VALUE"""),135.87)</f>
        <v>135.87</v>
      </c>
      <c r="E125" s="5" t="n">
        <f aca="false">IFERROR(__xludf.dummyfunction("""COMPUTED_VALUE"""),136.96)</f>
        <v>136.96</v>
      </c>
      <c r="F125" s="5" t="n">
        <f aca="false">IFERROR(__xludf.dummyfunction("""COMPUTED_VALUE"""),63261393)</f>
        <v>63261393</v>
      </c>
    </row>
    <row r="126" customFormat="false" ht="15.75" hidden="false" customHeight="false" outlineLevel="0" collapsed="false">
      <c r="A126" s="6" t="n">
        <f aca="false">IFERROR(__xludf.dummyfunction("""COMPUTED_VALUE"""),44378.6666666667)</f>
        <v>44378.6666666667</v>
      </c>
      <c r="B126" s="5" t="n">
        <f aca="false">IFERROR(__xludf.dummyfunction("""COMPUTED_VALUE"""),136.6)</f>
        <v>136.6</v>
      </c>
      <c r="C126" s="5" t="n">
        <f aca="false">IFERROR(__xludf.dummyfunction("""COMPUTED_VALUE"""),137.33)</f>
        <v>137.33</v>
      </c>
      <c r="D126" s="5" t="n">
        <f aca="false">IFERROR(__xludf.dummyfunction("""COMPUTED_VALUE"""),135.76)</f>
        <v>135.76</v>
      </c>
      <c r="E126" s="5" t="n">
        <f aca="false">IFERROR(__xludf.dummyfunction("""COMPUTED_VALUE"""),137.27)</f>
        <v>137.27</v>
      </c>
      <c r="F126" s="5" t="n">
        <f aca="false">IFERROR(__xludf.dummyfunction("""COMPUTED_VALUE"""),52485781)</f>
        <v>52485781</v>
      </c>
    </row>
    <row r="127" customFormat="false" ht="15.75" hidden="false" customHeight="false" outlineLevel="0" collapsed="false">
      <c r="A127" s="6" t="n">
        <f aca="false">IFERROR(__xludf.dummyfunction("""COMPUTED_VALUE"""),44379.6666666667)</f>
        <v>44379.6666666667</v>
      </c>
      <c r="B127" s="5" t="n">
        <f aca="false">IFERROR(__xludf.dummyfunction("""COMPUTED_VALUE"""),137.9)</f>
        <v>137.9</v>
      </c>
      <c r="C127" s="5" t="n">
        <f aca="false">IFERROR(__xludf.dummyfunction("""COMPUTED_VALUE"""),140)</f>
        <v>140</v>
      </c>
      <c r="D127" s="5" t="n">
        <f aca="false">IFERROR(__xludf.dummyfunction("""COMPUTED_VALUE"""),137.75)</f>
        <v>137.75</v>
      </c>
      <c r="E127" s="5" t="n">
        <f aca="false">IFERROR(__xludf.dummyfunction("""COMPUTED_VALUE"""),139.96)</f>
        <v>139.96</v>
      </c>
      <c r="F127" s="5" t="n">
        <f aca="false">IFERROR(__xludf.dummyfunction("""COMPUTED_VALUE"""),78945572)</f>
        <v>78945572</v>
      </c>
    </row>
    <row r="128" customFormat="false" ht="15.75" hidden="false" customHeight="false" outlineLevel="0" collapsed="false">
      <c r="A128" s="6" t="n">
        <f aca="false">IFERROR(__xludf.dummyfunction("""COMPUTED_VALUE"""),44383.6666666667)</f>
        <v>44383.6666666667</v>
      </c>
      <c r="B128" s="5" t="n">
        <f aca="false">IFERROR(__xludf.dummyfunction("""COMPUTED_VALUE"""),140.07)</f>
        <v>140.07</v>
      </c>
      <c r="C128" s="5" t="n">
        <f aca="false">IFERROR(__xludf.dummyfunction("""COMPUTED_VALUE"""),143.15)</f>
        <v>143.15</v>
      </c>
      <c r="D128" s="5" t="n">
        <f aca="false">IFERROR(__xludf.dummyfunction("""COMPUTED_VALUE"""),140.07)</f>
        <v>140.07</v>
      </c>
      <c r="E128" s="5" t="n">
        <f aca="false">IFERROR(__xludf.dummyfunction("""COMPUTED_VALUE"""),142.02)</f>
        <v>142.02</v>
      </c>
      <c r="F128" s="5" t="n">
        <f aca="false">IFERROR(__xludf.dummyfunction("""COMPUTED_VALUE"""),108181793)</f>
        <v>108181793</v>
      </c>
    </row>
    <row r="129" customFormat="false" ht="15.75" hidden="false" customHeight="false" outlineLevel="0" collapsed="false">
      <c r="A129" s="6" t="n">
        <f aca="false">IFERROR(__xludf.dummyfunction("""COMPUTED_VALUE"""),44384.6666666667)</f>
        <v>44384.6666666667</v>
      </c>
      <c r="B129" s="5" t="n">
        <f aca="false">IFERROR(__xludf.dummyfunction("""COMPUTED_VALUE"""),143.54)</f>
        <v>143.54</v>
      </c>
      <c r="C129" s="5" t="n">
        <f aca="false">IFERROR(__xludf.dummyfunction("""COMPUTED_VALUE"""),144.89)</f>
        <v>144.89</v>
      </c>
      <c r="D129" s="5" t="n">
        <f aca="false">IFERROR(__xludf.dummyfunction("""COMPUTED_VALUE"""),142.66)</f>
        <v>142.66</v>
      </c>
      <c r="E129" s="5" t="n">
        <f aca="false">IFERROR(__xludf.dummyfunction("""COMPUTED_VALUE"""),144.57)</f>
        <v>144.57</v>
      </c>
      <c r="F129" s="5" t="n">
        <f aca="false">IFERROR(__xludf.dummyfunction("""COMPUTED_VALUE"""),104911589)</f>
        <v>104911589</v>
      </c>
    </row>
    <row r="130" customFormat="false" ht="15.75" hidden="false" customHeight="false" outlineLevel="0" collapsed="false">
      <c r="A130" s="6" t="n">
        <f aca="false">IFERROR(__xludf.dummyfunction("""COMPUTED_VALUE"""),44385.6666666667)</f>
        <v>44385.6666666667</v>
      </c>
      <c r="B130" s="5" t="n">
        <f aca="false">IFERROR(__xludf.dummyfunction("""COMPUTED_VALUE"""),141.58)</f>
        <v>141.58</v>
      </c>
      <c r="C130" s="5" t="n">
        <f aca="false">IFERROR(__xludf.dummyfunction("""COMPUTED_VALUE"""),144.06)</f>
        <v>144.06</v>
      </c>
      <c r="D130" s="5" t="n">
        <f aca="false">IFERROR(__xludf.dummyfunction("""COMPUTED_VALUE"""),140.67)</f>
        <v>140.67</v>
      </c>
      <c r="E130" s="5" t="n">
        <f aca="false">IFERROR(__xludf.dummyfunction("""COMPUTED_VALUE"""),143.24)</f>
        <v>143.24</v>
      </c>
      <c r="F130" s="5" t="n">
        <f aca="false">IFERROR(__xludf.dummyfunction("""COMPUTED_VALUE"""),105575458)</f>
        <v>105575458</v>
      </c>
    </row>
    <row r="131" customFormat="false" ht="15.75" hidden="false" customHeight="false" outlineLevel="0" collapsed="false">
      <c r="A131" s="6" t="n">
        <f aca="false">IFERROR(__xludf.dummyfunction("""COMPUTED_VALUE"""),44386.6666666667)</f>
        <v>44386.6666666667</v>
      </c>
      <c r="B131" s="5" t="n">
        <f aca="false">IFERROR(__xludf.dummyfunction("""COMPUTED_VALUE"""),142.75)</f>
        <v>142.75</v>
      </c>
      <c r="C131" s="5" t="n">
        <f aca="false">IFERROR(__xludf.dummyfunction("""COMPUTED_VALUE"""),145.65)</f>
        <v>145.65</v>
      </c>
      <c r="D131" s="5" t="n">
        <f aca="false">IFERROR(__xludf.dummyfunction("""COMPUTED_VALUE"""),142.65)</f>
        <v>142.65</v>
      </c>
      <c r="E131" s="5" t="n">
        <f aca="false">IFERROR(__xludf.dummyfunction("""COMPUTED_VALUE"""),145.11)</f>
        <v>145.11</v>
      </c>
      <c r="F131" s="5" t="n">
        <f aca="false">IFERROR(__xludf.dummyfunction("""COMPUTED_VALUE"""),99890800)</f>
        <v>99890800</v>
      </c>
    </row>
    <row r="132" customFormat="false" ht="15.75" hidden="false" customHeight="false" outlineLevel="0" collapsed="false">
      <c r="A132" s="6" t="n">
        <f aca="false">IFERROR(__xludf.dummyfunction("""COMPUTED_VALUE"""),44389.6666666667)</f>
        <v>44389.6666666667</v>
      </c>
      <c r="B132" s="5" t="n">
        <f aca="false">IFERROR(__xludf.dummyfunction("""COMPUTED_VALUE"""),146.21)</f>
        <v>146.21</v>
      </c>
      <c r="C132" s="5" t="n">
        <f aca="false">IFERROR(__xludf.dummyfunction("""COMPUTED_VALUE"""),146.32)</f>
        <v>146.32</v>
      </c>
      <c r="D132" s="5" t="n">
        <f aca="false">IFERROR(__xludf.dummyfunction("""COMPUTED_VALUE"""),144)</f>
        <v>144</v>
      </c>
      <c r="E132" s="5" t="n">
        <f aca="false">IFERROR(__xludf.dummyfunction("""COMPUTED_VALUE"""),144.5)</f>
        <v>144.5</v>
      </c>
      <c r="F132" s="5" t="n">
        <f aca="false">IFERROR(__xludf.dummyfunction("""COMPUTED_VALUE"""),76299719)</f>
        <v>76299719</v>
      </c>
    </row>
    <row r="133" customFormat="false" ht="15.75" hidden="false" customHeight="false" outlineLevel="0" collapsed="false">
      <c r="A133" s="6" t="n">
        <f aca="false">IFERROR(__xludf.dummyfunction("""COMPUTED_VALUE"""),44390.6666666667)</f>
        <v>44390.6666666667</v>
      </c>
      <c r="B133" s="5" t="n">
        <f aca="false">IFERROR(__xludf.dummyfunction("""COMPUTED_VALUE"""),144.03)</f>
        <v>144.03</v>
      </c>
      <c r="C133" s="5" t="n">
        <f aca="false">IFERROR(__xludf.dummyfunction("""COMPUTED_VALUE"""),147.46)</f>
        <v>147.46</v>
      </c>
      <c r="D133" s="5" t="n">
        <f aca="false">IFERROR(__xludf.dummyfunction("""COMPUTED_VALUE"""),143.63)</f>
        <v>143.63</v>
      </c>
      <c r="E133" s="5" t="n">
        <f aca="false">IFERROR(__xludf.dummyfunction("""COMPUTED_VALUE"""),145.64)</f>
        <v>145.64</v>
      </c>
      <c r="F133" s="5" t="n">
        <f aca="false">IFERROR(__xludf.dummyfunction("""COMPUTED_VALUE"""),100827099)</f>
        <v>100827099</v>
      </c>
    </row>
    <row r="134" customFormat="false" ht="15.75" hidden="false" customHeight="false" outlineLevel="0" collapsed="false">
      <c r="A134" s="6" t="n">
        <f aca="false">IFERROR(__xludf.dummyfunction("""COMPUTED_VALUE"""),44391.6666666667)</f>
        <v>44391.6666666667</v>
      </c>
      <c r="B134" s="5" t="n">
        <f aca="false">IFERROR(__xludf.dummyfunction("""COMPUTED_VALUE"""),148.1)</f>
        <v>148.1</v>
      </c>
      <c r="C134" s="5" t="n">
        <f aca="false">IFERROR(__xludf.dummyfunction("""COMPUTED_VALUE"""),149.57)</f>
        <v>149.57</v>
      </c>
      <c r="D134" s="5" t="n">
        <f aca="false">IFERROR(__xludf.dummyfunction("""COMPUTED_VALUE"""),147.68)</f>
        <v>147.68</v>
      </c>
      <c r="E134" s="5" t="n">
        <f aca="false">IFERROR(__xludf.dummyfunction("""COMPUTED_VALUE"""),149.15)</f>
        <v>149.15</v>
      </c>
      <c r="F134" s="5" t="n">
        <f aca="false">IFERROR(__xludf.dummyfunction("""COMPUTED_VALUE"""),127050785)</f>
        <v>127050785</v>
      </c>
    </row>
    <row r="135" customFormat="false" ht="15.75" hidden="false" customHeight="false" outlineLevel="0" collapsed="false">
      <c r="A135" s="6" t="n">
        <f aca="false">IFERROR(__xludf.dummyfunction("""COMPUTED_VALUE"""),44392.6666666667)</f>
        <v>44392.6666666667</v>
      </c>
      <c r="B135" s="5" t="n">
        <f aca="false">IFERROR(__xludf.dummyfunction("""COMPUTED_VALUE"""),149.24)</f>
        <v>149.24</v>
      </c>
      <c r="C135" s="5" t="n">
        <f aca="false">IFERROR(__xludf.dummyfunction("""COMPUTED_VALUE"""),150)</f>
        <v>150</v>
      </c>
      <c r="D135" s="5" t="n">
        <f aca="false">IFERROR(__xludf.dummyfunction("""COMPUTED_VALUE"""),147.09)</f>
        <v>147.09</v>
      </c>
      <c r="E135" s="5" t="n">
        <f aca="false">IFERROR(__xludf.dummyfunction("""COMPUTED_VALUE"""),148.48)</f>
        <v>148.48</v>
      </c>
      <c r="F135" s="5" t="n">
        <f aca="false">IFERROR(__xludf.dummyfunction("""COMPUTED_VALUE"""),106820297)</f>
        <v>106820297</v>
      </c>
    </row>
    <row r="136" customFormat="false" ht="15.75" hidden="false" customHeight="false" outlineLevel="0" collapsed="false">
      <c r="A136" s="6" t="n">
        <f aca="false">IFERROR(__xludf.dummyfunction("""COMPUTED_VALUE"""),44393.6666666667)</f>
        <v>44393.6666666667</v>
      </c>
      <c r="B136" s="5" t="n">
        <f aca="false">IFERROR(__xludf.dummyfunction("""COMPUTED_VALUE"""),148.46)</f>
        <v>148.46</v>
      </c>
      <c r="C136" s="5" t="n">
        <f aca="false">IFERROR(__xludf.dummyfunction("""COMPUTED_VALUE"""),149.76)</f>
        <v>149.76</v>
      </c>
      <c r="D136" s="5" t="n">
        <f aca="false">IFERROR(__xludf.dummyfunction("""COMPUTED_VALUE"""),145.88)</f>
        <v>145.88</v>
      </c>
      <c r="E136" s="5" t="n">
        <f aca="false">IFERROR(__xludf.dummyfunction("""COMPUTED_VALUE"""),146.39)</f>
        <v>146.39</v>
      </c>
      <c r="F136" s="5" t="n">
        <f aca="false">IFERROR(__xludf.dummyfunction("""COMPUTED_VALUE"""),93251426)</f>
        <v>93251426</v>
      </c>
    </row>
    <row r="137" customFormat="false" ht="15.75" hidden="false" customHeight="false" outlineLevel="0" collapsed="false">
      <c r="A137" s="6" t="n">
        <f aca="false">IFERROR(__xludf.dummyfunction("""COMPUTED_VALUE"""),44396.6666666667)</f>
        <v>44396.6666666667</v>
      </c>
      <c r="B137" s="5" t="n">
        <f aca="false">IFERROR(__xludf.dummyfunction("""COMPUTED_VALUE"""),143.75)</f>
        <v>143.75</v>
      </c>
      <c r="C137" s="5" t="n">
        <f aca="false">IFERROR(__xludf.dummyfunction("""COMPUTED_VALUE"""),144.07)</f>
        <v>144.07</v>
      </c>
      <c r="D137" s="5" t="n">
        <f aca="false">IFERROR(__xludf.dummyfunction("""COMPUTED_VALUE"""),141.67)</f>
        <v>141.67</v>
      </c>
      <c r="E137" s="5" t="n">
        <f aca="false">IFERROR(__xludf.dummyfunction("""COMPUTED_VALUE"""),142.45)</f>
        <v>142.45</v>
      </c>
      <c r="F137" s="5" t="n">
        <f aca="false">IFERROR(__xludf.dummyfunction("""COMPUTED_VALUE"""),121434571)</f>
        <v>121434571</v>
      </c>
    </row>
    <row r="138" customFormat="false" ht="15.75" hidden="false" customHeight="false" outlineLevel="0" collapsed="false">
      <c r="A138" s="6" t="n">
        <f aca="false">IFERROR(__xludf.dummyfunction("""COMPUTED_VALUE"""),44397.6666666667)</f>
        <v>44397.6666666667</v>
      </c>
      <c r="B138" s="5" t="n">
        <f aca="false">IFERROR(__xludf.dummyfunction("""COMPUTED_VALUE"""),143.46)</f>
        <v>143.46</v>
      </c>
      <c r="C138" s="5" t="n">
        <f aca="false">IFERROR(__xludf.dummyfunction("""COMPUTED_VALUE"""),147.1)</f>
        <v>147.1</v>
      </c>
      <c r="D138" s="5" t="n">
        <f aca="false">IFERROR(__xludf.dummyfunction("""COMPUTED_VALUE"""),142.96)</f>
        <v>142.96</v>
      </c>
      <c r="E138" s="5" t="n">
        <f aca="false">IFERROR(__xludf.dummyfunction("""COMPUTED_VALUE"""),146.15)</f>
        <v>146.15</v>
      </c>
      <c r="F138" s="5" t="n">
        <f aca="false">IFERROR(__xludf.dummyfunction("""COMPUTED_VALUE"""),96350036)</f>
        <v>96350036</v>
      </c>
    </row>
    <row r="139" customFormat="false" ht="15.75" hidden="false" customHeight="false" outlineLevel="0" collapsed="false">
      <c r="A139" s="6" t="n">
        <f aca="false">IFERROR(__xludf.dummyfunction("""COMPUTED_VALUE"""),44398.6666666667)</f>
        <v>44398.6666666667</v>
      </c>
      <c r="B139" s="5" t="n">
        <f aca="false">IFERROR(__xludf.dummyfunction("""COMPUTED_VALUE"""),145.53)</f>
        <v>145.53</v>
      </c>
      <c r="C139" s="5" t="n">
        <f aca="false">IFERROR(__xludf.dummyfunction("""COMPUTED_VALUE"""),146.13)</f>
        <v>146.13</v>
      </c>
      <c r="D139" s="5" t="n">
        <f aca="false">IFERROR(__xludf.dummyfunction("""COMPUTED_VALUE"""),144.63)</f>
        <v>144.63</v>
      </c>
      <c r="E139" s="5" t="n">
        <f aca="false">IFERROR(__xludf.dummyfunction("""COMPUTED_VALUE"""),145.4)</f>
        <v>145.4</v>
      </c>
      <c r="F139" s="5" t="n">
        <f aca="false">IFERROR(__xludf.dummyfunction("""COMPUTED_VALUE"""),74993460)</f>
        <v>74993460</v>
      </c>
    </row>
    <row r="140" customFormat="false" ht="15.75" hidden="false" customHeight="false" outlineLevel="0" collapsed="false">
      <c r="A140" s="6" t="n">
        <f aca="false">IFERROR(__xludf.dummyfunction("""COMPUTED_VALUE"""),44399.6666666667)</f>
        <v>44399.6666666667</v>
      </c>
      <c r="B140" s="5" t="n">
        <f aca="false">IFERROR(__xludf.dummyfunction("""COMPUTED_VALUE"""),145.94)</f>
        <v>145.94</v>
      </c>
      <c r="C140" s="5" t="n">
        <f aca="false">IFERROR(__xludf.dummyfunction("""COMPUTED_VALUE"""),148.2)</f>
        <v>148.2</v>
      </c>
      <c r="D140" s="5" t="n">
        <f aca="false">IFERROR(__xludf.dummyfunction("""COMPUTED_VALUE"""),145.81)</f>
        <v>145.81</v>
      </c>
      <c r="E140" s="5" t="n">
        <f aca="false">IFERROR(__xludf.dummyfunction("""COMPUTED_VALUE"""),146.8)</f>
        <v>146.8</v>
      </c>
      <c r="F140" s="5" t="n">
        <f aca="false">IFERROR(__xludf.dummyfunction("""COMPUTED_VALUE"""),77338156)</f>
        <v>77338156</v>
      </c>
    </row>
    <row r="141" customFormat="false" ht="15.75" hidden="false" customHeight="false" outlineLevel="0" collapsed="false">
      <c r="A141" s="6" t="n">
        <f aca="false">IFERROR(__xludf.dummyfunction("""COMPUTED_VALUE"""),44400.6666666667)</f>
        <v>44400.6666666667</v>
      </c>
      <c r="B141" s="5" t="n">
        <f aca="false">IFERROR(__xludf.dummyfunction("""COMPUTED_VALUE"""),147.55)</f>
        <v>147.55</v>
      </c>
      <c r="C141" s="5" t="n">
        <f aca="false">IFERROR(__xludf.dummyfunction("""COMPUTED_VALUE"""),148.72)</f>
        <v>148.72</v>
      </c>
      <c r="D141" s="5" t="n">
        <f aca="false">IFERROR(__xludf.dummyfunction("""COMPUTED_VALUE"""),146.92)</f>
        <v>146.92</v>
      </c>
      <c r="E141" s="5" t="n">
        <f aca="false">IFERROR(__xludf.dummyfunction("""COMPUTED_VALUE"""),148.56)</f>
        <v>148.56</v>
      </c>
      <c r="F141" s="5" t="n">
        <f aca="false">IFERROR(__xludf.dummyfunction("""COMPUTED_VALUE"""),71447416)</f>
        <v>71447416</v>
      </c>
    </row>
    <row r="142" customFormat="false" ht="15.75" hidden="false" customHeight="false" outlineLevel="0" collapsed="false">
      <c r="A142" s="6" t="n">
        <f aca="false">IFERROR(__xludf.dummyfunction("""COMPUTED_VALUE"""),44403.6666666667)</f>
        <v>44403.6666666667</v>
      </c>
      <c r="B142" s="5" t="n">
        <f aca="false">IFERROR(__xludf.dummyfunction("""COMPUTED_VALUE"""),148.27)</f>
        <v>148.27</v>
      </c>
      <c r="C142" s="5" t="n">
        <f aca="false">IFERROR(__xludf.dummyfunction("""COMPUTED_VALUE"""),149.83)</f>
        <v>149.83</v>
      </c>
      <c r="D142" s="5" t="n">
        <f aca="false">IFERROR(__xludf.dummyfunction("""COMPUTED_VALUE"""),147.7)</f>
        <v>147.7</v>
      </c>
      <c r="E142" s="5" t="n">
        <f aca="false">IFERROR(__xludf.dummyfunction("""COMPUTED_VALUE"""),148.99)</f>
        <v>148.99</v>
      </c>
      <c r="F142" s="5" t="n">
        <f aca="false">IFERROR(__xludf.dummyfunction("""COMPUTED_VALUE"""),72434089)</f>
        <v>72434089</v>
      </c>
    </row>
    <row r="143" customFormat="false" ht="15.75" hidden="false" customHeight="false" outlineLevel="0" collapsed="false">
      <c r="A143" s="6" t="n">
        <f aca="false">IFERROR(__xludf.dummyfunction("""COMPUTED_VALUE"""),44404.6666666667)</f>
        <v>44404.6666666667</v>
      </c>
      <c r="B143" s="5" t="n">
        <f aca="false">IFERROR(__xludf.dummyfunction("""COMPUTED_VALUE"""),149.12)</f>
        <v>149.12</v>
      </c>
      <c r="C143" s="5" t="n">
        <f aca="false">IFERROR(__xludf.dummyfunction("""COMPUTED_VALUE"""),149.21)</f>
        <v>149.21</v>
      </c>
      <c r="D143" s="5" t="n">
        <f aca="false">IFERROR(__xludf.dummyfunction("""COMPUTED_VALUE"""),145.55)</f>
        <v>145.55</v>
      </c>
      <c r="E143" s="5" t="n">
        <f aca="false">IFERROR(__xludf.dummyfunction("""COMPUTED_VALUE"""),146.77)</f>
        <v>146.77</v>
      </c>
      <c r="F143" s="5" t="n">
        <f aca="false">IFERROR(__xludf.dummyfunction("""COMPUTED_VALUE"""),104818578)</f>
        <v>104818578</v>
      </c>
    </row>
    <row r="144" customFormat="false" ht="15.75" hidden="false" customHeight="false" outlineLevel="0" collapsed="false">
      <c r="A144" s="6" t="n">
        <f aca="false">IFERROR(__xludf.dummyfunction("""COMPUTED_VALUE"""),44405.6666666667)</f>
        <v>44405.6666666667</v>
      </c>
      <c r="B144" s="5" t="n">
        <f aca="false">IFERROR(__xludf.dummyfunction("""COMPUTED_VALUE"""),144.81)</f>
        <v>144.81</v>
      </c>
      <c r="C144" s="5" t="n">
        <f aca="false">IFERROR(__xludf.dummyfunction("""COMPUTED_VALUE"""),146.97)</f>
        <v>146.97</v>
      </c>
      <c r="D144" s="5" t="n">
        <f aca="false">IFERROR(__xludf.dummyfunction("""COMPUTED_VALUE"""),142.54)</f>
        <v>142.54</v>
      </c>
      <c r="E144" s="5" t="n">
        <f aca="false">IFERROR(__xludf.dummyfunction("""COMPUTED_VALUE"""),144.98)</f>
        <v>144.98</v>
      </c>
      <c r="F144" s="5" t="n">
        <f aca="false">IFERROR(__xludf.dummyfunction("""COMPUTED_VALUE"""),118931191)</f>
        <v>118931191</v>
      </c>
    </row>
    <row r="145" customFormat="false" ht="15.75" hidden="false" customHeight="false" outlineLevel="0" collapsed="false">
      <c r="A145" s="6" t="n">
        <f aca="false">IFERROR(__xludf.dummyfunction("""COMPUTED_VALUE"""),44406.6666666667)</f>
        <v>44406.6666666667</v>
      </c>
      <c r="B145" s="5" t="n">
        <f aca="false">IFERROR(__xludf.dummyfunction("""COMPUTED_VALUE"""),144.69)</f>
        <v>144.69</v>
      </c>
      <c r="C145" s="5" t="n">
        <f aca="false">IFERROR(__xludf.dummyfunction("""COMPUTED_VALUE"""),146.55)</f>
        <v>146.55</v>
      </c>
      <c r="D145" s="5" t="n">
        <f aca="false">IFERROR(__xludf.dummyfunction("""COMPUTED_VALUE"""),144.58)</f>
        <v>144.58</v>
      </c>
      <c r="E145" s="5" t="n">
        <f aca="false">IFERROR(__xludf.dummyfunction("""COMPUTED_VALUE"""),145.64)</f>
        <v>145.64</v>
      </c>
      <c r="F145" s="5" t="n">
        <f aca="false">IFERROR(__xludf.dummyfunction("""COMPUTED_VALUE"""),56699475)</f>
        <v>56699475</v>
      </c>
    </row>
    <row r="146" customFormat="false" ht="15.75" hidden="false" customHeight="false" outlineLevel="0" collapsed="false">
      <c r="A146" s="6" t="n">
        <f aca="false">IFERROR(__xludf.dummyfunction("""COMPUTED_VALUE"""),44407.6666666667)</f>
        <v>44407.6666666667</v>
      </c>
      <c r="B146" s="5" t="n">
        <f aca="false">IFERROR(__xludf.dummyfunction("""COMPUTED_VALUE"""),144.38)</f>
        <v>144.38</v>
      </c>
      <c r="C146" s="5" t="n">
        <f aca="false">IFERROR(__xludf.dummyfunction("""COMPUTED_VALUE"""),146.33)</f>
        <v>146.33</v>
      </c>
      <c r="D146" s="5" t="n">
        <f aca="false">IFERROR(__xludf.dummyfunction("""COMPUTED_VALUE"""),144.11)</f>
        <v>144.11</v>
      </c>
      <c r="E146" s="5" t="n">
        <f aca="false">IFERROR(__xludf.dummyfunction("""COMPUTED_VALUE"""),145.86)</f>
        <v>145.86</v>
      </c>
      <c r="F146" s="5" t="n">
        <f aca="false">IFERROR(__xludf.dummyfunction("""COMPUTED_VALUE"""),70440626)</f>
        <v>70440626</v>
      </c>
    </row>
    <row r="147" customFormat="false" ht="15.75" hidden="false" customHeight="false" outlineLevel="0" collapsed="false">
      <c r="A147" s="6" t="n">
        <f aca="false">IFERROR(__xludf.dummyfunction("""COMPUTED_VALUE"""),44410.6666666667)</f>
        <v>44410.6666666667</v>
      </c>
      <c r="B147" s="5" t="n">
        <f aca="false">IFERROR(__xludf.dummyfunction("""COMPUTED_VALUE"""),146.36)</f>
        <v>146.36</v>
      </c>
      <c r="C147" s="5" t="n">
        <f aca="false">IFERROR(__xludf.dummyfunction("""COMPUTED_VALUE"""),146.95)</f>
        <v>146.95</v>
      </c>
      <c r="D147" s="5" t="n">
        <f aca="false">IFERROR(__xludf.dummyfunction("""COMPUTED_VALUE"""),145.25)</f>
        <v>145.25</v>
      </c>
      <c r="E147" s="5" t="n">
        <f aca="false">IFERROR(__xludf.dummyfunction("""COMPUTED_VALUE"""),145.52)</f>
        <v>145.52</v>
      </c>
      <c r="F147" s="5" t="n">
        <f aca="false">IFERROR(__xludf.dummyfunction("""COMPUTED_VALUE"""),62879961)</f>
        <v>62879961</v>
      </c>
    </row>
    <row r="148" customFormat="false" ht="15.75" hidden="false" customHeight="false" outlineLevel="0" collapsed="false">
      <c r="A148" s="6" t="n">
        <f aca="false">IFERROR(__xludf.dummyfunction("""COMPUTED_VALUE"""),44411.6666666667)</f>
        <v>44411.6666666667</v>
      </c>
      <c r="B148" s="5" t="n">
        <f aca="false">IFERROR(__xludf.dummyfunction("""COMPUTED_VALUE"""),145.81)</f>
        <v>145.81</v>
      </c>
      <c r="C148" s="5" t="n">
        <f aca="false">IFERROR(__xludf.dummyfunction("""COMPUTED_VALUE"""),148.04)</f>
        <v>148.04</v>
      </c>
      <c r="D148" s="5" t="n">
        <f aca="false">IFERROR(__xludf.dummyfunction("""COMPUTED_VALUE"""),145.18)</f>
        <v>145.18</v>
      </c>
      <c r="E148" s="5" t="n">
        <f aca="false">IFERROR(__xludf.dummyfunction("""COMPUTED_VALUE"""),147.36)</f>
        <v>147.36</v>
      </c>
      <c r="F148" s="5" t="n">
        <f aca="false">IFERROR(__xludf.dummyfunction("""COMPUTED_VALUE"""),64786618)</f>
        <v>64786618</v>
      </c>
    </row>
    <row r="149" customFormat="false" ht="15.75" hidden="false" customHeight="false" outlineLevel="0" collapsed="false">
      <c r="A149" s="6" t="n">
        <f aca="false">IFERROR(__xludf.dummyfunction("""COMPUTED_VALUE"""),44412.6666666667)</f>
        <v>44412.6666666667</v>
      </c>
      <c r="B149" s="5" t="n">
        <f aca="false">IFERROR(__xludf.dummyfunction("""COMPUTED_VALUE"""),147.27)</f>
        <v>147.27</v>
      </c>
      <c r="C149" s="5" t="n">
        <f aca="false">IFERROR(__xludf.dummyfunction("""COMPUTED_VALUE"""),147.79)</f>
        <v>147.79</v>
      </c>
      <c r="D149" s="5" t="n">
        <f aca="false">IFERROR(__xludf.dummyfunction("""COMPUTED_VALUE"""),146.28)</f>
        <v>146.28</v>
      </c>
      <c r="E149" s="5" t="n">
        <f aca="false">IFERROR(__xludf.dummyfunction("""COMPUTED_VALUE"""),146.95)</f>
        <v>146.95</v>
      </c>
      <c r="F149" s="5" t="n">
        <f aca="false">IFERROR(__xludf.dummyfunction("""COMPUTED_VALUE"""),56368271)</f>
        <v>56368271</v>
      </c>
    </row>
    <row r="150" customFormat="false" ht="15.75" hidden="false" customHeight="false" outlineLevel="0" collapsed="false">
      <c r="A150" s="6" t="n">
        <f aca="false">IFERROR(__xludf.dummyfunction("""COMPUTED_VALUE"""),44413.6666666667)</f>
        <v>44413.6666666667</v>
      </c>
      <c r="B150" s="5" t="n">
        <f aca="false">IFERROR(__xludf.dummyfunction("""COMPUTED_VALUE"""),146.98)</f>
        <v>146.98</v>
      </c>
      <c r="C150" s="5" t="n">
        <f aca="false">IFERROR(__xludf.dummyfunction("""COMPUTED_VALUE"""),147.84)</f>
        <v>147.84</v>
      </c>
      <c r="D150" s="5" t="n">
        <f aca="false">IFERROR(__xludf.dummyfunction("""COMPUTED_VALUE"""),146.17)</f>
        <v>146.17</v>
      </c>
      <c r="E150" s="5" t="n">
        <f aca="false">IFERROR(__xludf.dummyfunction("""COMPUTED_VALUE"""),147.06)</f>
        <v>147.06</v>
      </c>
      <c r="F150" s="5" t="n">
        <f aca="false">IFERROR(__xludf.dummyfunction("""COMPUTED_VALUE"""),46397674)</f>
        <v>46397674</v>
      </c>
    </row>
    <row r="151" customFormat="false" ht="15.75" hidden="false" customHeight="false" outlineLevel="0" collapsed="false">
      <c r="A151" s="6" t="n">
        <f aca="false">IFERROR(__xludf.dummyfunction("""COMPUTED_VALUE"""),44414.6666666667)</f>
        <v>44414.6666666667</v>
      </c>
      <c r="B151" s="5" t="n">
        <f aca="false">IFERROR(__xludf.dummyfunction("""COMPUTED_VALUE"""),146.35)</f>
        <v>146.35</v>
      </c>
      <c r="C151" s="5" t="n">
        <f aca="false">IFERROR(__xludf.dummyfunction("""COMPUTED_VALUE"""),147.11)</f>
        <v>147.11</v>
      </c>
      <c r="D151" s="5" t="n">
        <f aca="false">IFERROR(__xludf.dummyfunction("""COMPUTED_VALUE"""),145.63)</f>
        <v>145.63</v>
      </c>
      <c r="E151" s="5" t="n">
        <f aca="false">IFERROR(__xludf.dummyfunction("""COMPUTED_VALUE"""),146.14)</f>
        <v>146.14</v>
      </c>
      <c r="F151" s="5" t="n">
        <f aca="false">IFERROR(__xludf.dummyfunction("""COMPUTED_VALUE"""),54126813)</f>
        <v>54126813</v>
      </c>
    </row>
    <row r="152" customFormat="false" ht="15.75" hidden="false" customHeight="false" outlineLevel="0" collapsed="false">
      <c r="A152" s="6" t="n">
        <f aca="false">IFERROR(__xludf.dummyfunction("""COMPUTED_VALUE"""),44417.6666666667)</f>
        <v>44417.6666666667</v>
      </c>
      <c r="B152" s="5" t="n">
        <f aca="false">IFERROR(__xludf.dummyfunction("""COMPUTED_VALUE"""),146.2)</f>
        <v>146.2</v>
      </c>
      <c r="C152" s="5" t="n">
        <f aca="false">IFERROR(__xludf.dummyfunction("""COMPUTED_VALUE"""),146.7)</f>
        <v>146.7</v>
      </c>
      <c r="D152" s="5" t="n">
        <f aca="false">IFERROR(__xludf.dummyfunction("""COMPUTED_VALUE"""),145.52)</f>
        <v>145.52</v>
      </c>
      <c r="E152" s="5" t="n">
        <f aca="false">IFERROR(__xludf.dummyfunction("""COMPUTED_VALUE"""),146.09)</f>
        <v>146.09</v>
      </c>
      <c r="F152" s="5" t="n">
        <f aca="false">IFERROR(__xludf.dummyfunction("""COMPUTED_VALUE"""),48908689)</f>
        <v>48908689</v>
      </c>
    </row>
    <row r="153" customFormat="false" ht="15.75" hidden="false" customHeight="false" outlineLevel="0" collapsed="false">
      <c r="A153" s="6" t="n">
        <f aca="false">IFERROR(__xludf.dummyfunction("""COMPUTED_VALUE"""),44418.6666666667)</f>
        <v>44418.6666666667</v>
      </c>
      <c r="B153" s="5" t="n">
        <f aca="false">IFERROR(__xludf.dummyfunction("""COMPUTED_VALUE"""),146.44)</f>
        <v>146.44</v>
      </c>
      <c r="C153" s="5" t="n">
        <f aca="false">IFERROR(__xludf.dummyfunction("""COMPUTED_VALUE"""),147.71)</f>
        <v>147.71</v>
      </c>
      <c r="D153" s="5" t="n">
        <f aca="false">IFERROR(__xludf.dummyfunction("""COMPUTED_VALUE"""),145.3)</f>
        <v>145.3</v>
      </c>
      <c r="E153" s="5" t="n">
        <f aca="false">IFERROR(__xludf.dummyfunction("""COMPUTED_VALUE"""),145.6)</f>
        <v>145.6</v>
      </c>
      <c r="F153" s="5" t="n">
        <f aca="false">IFERROR(__xludf.dummyfunction("""COMPUTED_VALUE"""),69023081)</f>
        <v>69023081</v>
      </c>
    </row>
    <row r="154" customFormat="false" ht="15.75" hidden="false" customHeight="false" outlineLevel="0" collapsed="false">
      <c r="A154" s="6" t="n">
        <f aca="false">IFERROR(__xludf.dummyfunction("""COMPUTED_VALUE"""),44419.6666666667)</f>
        <v>44419.6666666667</v>
      </c>
      <c r="B154" s="5" t="n">
        <f aca="false">IFERROR(__xludf.dummyfunction("""COMPUTED_VALUE"""),146.05)</f>
        <v>146.05</v>
      </c>
      <c r="C154" s="5" t="n">
        <f aca="false">IFERROR(__xludf.dummyfunction("""COMPUTED_VALUE"""),146.72)</f>
        <v>146.72</v>
      </c>
      <c r="D154" s="5" t="n">
        <f aca="false">IFERROR(__xludf.dummyfunction("""COMPUTED_VALUE"""),145.53)</f>
        <v>145.53</v>
      </c>
      <c r="E154" s="5" t="n">
        <f aca="false">IFERROR(__xludf.dummyfunction("""COMPUTED_VALUE"""),145.86)</f>
        <v>145.86</v>
      </c>
      <c r="F154" s="5" t="n">
        <f aca="false">IFERROR(__xludf.dummyfunction("""COMPUTED_VALUE"""),48493463)</f>
        <v>48493463</v>
      </c>
    </row>
    <row r="155" customFormat="false" ht="15.75" hidden="false" customHeight="false" outlineLevel="0" collapsed="false">
      <c r="A155" s="6" t="n">
        <f aca="false">IFERROR(__xludf.dummyfunction("""COMPUTED_VALUE"""),44420.6666666667)</f>
        <v>44420.6666666667</v>
      </c>
      <c r="B155" s="5" t="n">
        <f aca="false">IFERROR(__xludf.dummyfunction("""COMPUTED_VALUE"""),146.19)</f>
        <v>146.19</v>
      </c>
      <c r="C155" s="5" t="n">
        <f aca="false">IFERROR(__xludf.dummyfunction("""COMPUTED_VALUE"""),149.05)</f>
        <v>149.05</v>
      </c>
      <c r="D155" s="5" t="n">
        <f aca="false">IFERROR(__xludf.dummyfunction("""COMPUTED_VALUE"""),145.84)</f>
        <v>145.84</v>
      </c>
      <c r="E155" s="5" t="n">
        <f aca="false">IFERROR(__xludf.dummyfunction("""COMPUTED_VALUE"""),148.89)</f>
        <v>148.89</v>
      </c>
      <c r="F155" s="5" t="n">
        <f aca="false">IFERROR(__xludf.dummyfunction("""COMPUTED_VALUE"""),73779113)</f>
        <v>73779113</v>
      </c>
    </row>
    <row r="156" customFormat="false" ht="15.75" hidden="false" customHeight="false" outlineLevel="0" collapsed="false">
      <c r="A156" s="6" t="n">
        <f aca="false">IFERROR(__xludf.dummyfunction("""COMPUTED_VALUE"""),44421.6666666667)</f>
        <v>44421.6666666667</v>
      </c>
      <c r="B156" s="5" t="n">
        <f aca="false">IFERROR(__xludf.dummyfunction("""COMPUTED_VALUE"""),148.97)</f>
        <v>148.97</v>
      </c>
      <c r="C156" s="5" t="n">
        <f aca="false">IFERROR(__xludf.dummyfunction("""COMPUTED_VALUE"""),149.44)</f>
        <v>149.44</v>
      </c>
      <c r="D156" s="5" t="n">
        <f aca="false">IFERROR(__xludf.dummyfunction("""COMPUTED_VALUE"""),148.27)</f>
        <v>148.27</v>
      </c>
      <c r="E156" s="5" t="n">
        <f aca="false">IFERROR(__xludf.dummyfunction("""COMPUTED_VALUE"""),149.1)</f>
        <v>149.1</v>
      </c>
      <c r="F156" s="5" t="n">
        <f aca="false">IFERROR(__xludf.dummyfunction("""COMPUTED_VALUE"""),59375009)</f>
        <v>59375009</v>
      </c>
    </row>
    <row r="157" customFormat="false" ht="15.75" hidden="false" customHeight="false" outlineLevel="0" collapsed="false">
      <c r="A157" s="6" t="n">
        <f aca="false">IFERROR(__xludf.dummyfunction("""COMPUTED_VALUE"""),44424.6666666667)</f>
        <v>44424.6666666667</v>
      </c>
      <c r="B157" s="5" t="n">
        <f aca="false">IFERROR(__xludf.dummyfunction("""COMPUTED_VALUE"""),148.54)</f>
        <v>148.54</v>
      </c>
      <c r="C157" s="5" t="n">
        <f aca="false">IFERROR(__xludf.dummyfunction("""COMPUTED_VALUE"""),151.19)</f>
        <v>151.19</v>
      </c>
      <c r="D157" s="5" t="n">
        <f aca="false">IFERROR(__xludf.dummyfunction("""COMPUTED_VALUE"""),146.47)</f>
        <v>146.47</v>
      </c>
      <c r="E157" s="5" t="n">
        <f aca="false">IFERROR(__xludf.dummyfunction("""COMPUTED_VALUE"""),151.12)</f>
        <v>151.12</v>
      </c>
      <c r="F157" s="5" t="n">
        <f aca="false">IFERROR(__xludf.dummyfunction("""COMPUTED_VALUE"""),103558782)</f>
        <v>103558782</v>
      </c>
    </row>
    <row r="158" customFormat="false" ht="15.75" hidden="false" customHeight="false" outlineLevel="0" collapsed="false">
      <c r="A158" s="6" t="n">
        <f aca="false">IFERROR(__xludf.dummyfunction("""COMPUTED_VALUE"""),44425.6666666667)</f>
        <v>44425.6666666667</v>
      </c>
      <c r="B158" s="5" t="n">
        <f aca="false">IFERROR(__xludf.dummyfunction("""COMPUTED_VALUE"""),150.23)</f>
        <v>150.23</v>
      </c>
      <c r="C158" s="5" t="n">
        <f aca="false">IFERROR(__xludf.dummyfunction("""COMPUTED_VALUE"""),151.68)</f>
        <v>151.68</v>
      </c>
      <c r="D158" s="5" t="n">
        <f aca="false">IFERROR(__xludf.dummyfunction("""COMPUTED_VALUE"""),149.09)</f>
        <v>149.09</v>
      </c>
      <c r="E158" s="5" t="n">
        <f aca="false">IFERROR(__xludf.dummyfunction("""COMPUTED_VALUE"""),150.19)</f>
        <v>150.19</v>
      </c>
      <c r="F158" s="5" t="n">
        <f aca="false">IFERROR(__xludf.dummyfunction("""COMPUTED_VALUE"""),92229735)</f>
        <v>92229735</v>
      </c>
    </row>
    <row r="159" customFormat="false" ht="15.75" hidden="false" customHeight="false" outlineLevel="0" collapsed="false">
      <c r="A159" s="6" t="n">
        <f aca="false">IFERROR(__xludf.dummyfunction("""COMPUTED_VALUE"""),44426.6666666667)</f>
        <v>44426.6666666667</v>
      </c>
      <c r="B159" s="5" t="n">
        <f aca="false">IFERROR(__xludf.dummyfunction("""COMPUTED_VALUE"""),149.8)</f>
        <v>149.8</v>
      </c>
      <c r="C159" s="5" t="n">
        <f aca="false">IFERROR(__xludf.dummyfunction("""COMPUTED_VALUE"""),150.72)</f>
        <v>150.72</v>
      </c>
      <c r="D159" s="5" t="n">
        <f aca="false">IFERROR(__xludf.dummyfunction("""COMPUTED_VALUE"""),146.15)</f>
        <v>146.15</v>
      </c>
      <c r="E159" s="5" t="n">
        <f aca="false">IFERROR(__xludf.dummyfunction("""COMPUTED_VALUE"""),146.36)</f>
        <v>146.36</v>
      </c>
      <c r="F159" s="5" t="n">
        <f aca="false">IFERROR(__xludf.dummyfunction("""COMPUTED_VALUE"""),86325990)</f>
        <v>86325990</v>
      </c>
    </row>
    <row r="160" customFormat="false" ht="15.75" hidden="false" customHeight="false" outlineLevel="0" collapsed="false">
      <c r="A160" s="6" t="n">
        <f aca="false">IFERROR(__xludf.dummyfunction("""COMPUTED_VALUE"""),44427.6666666667)</f>
        <v>44427.6666666667</v>
      </c>
      <c r="B160" s="5" t="n">
        <f aca="false">IFERROR(__xludf.dummyfunction("""COMPUTED_VALUE"""),145.03)</f>
        <v>145.03</v>
      </c>
      <c r="C160" s="5" t="n">
        <f aca="false">IFERROR(__xludf.dummyfunction("""COMPUTED_VALUE"""),148)</f>
        <v>148</v>
      </c>
      <c r="D160" s="5" t="n">
        <f aca="false">IFERROR(__xludf.dummyfunction("""COMPUTED_VALUE"""),144.5)</f>
        <v>144.5</v>
      </c>
      <c r="E160" s="5" t="n">
        <f aca="false">IFERROR(__xludf.dummyfunction("""COMPUTED_VALUE"""),146.7)</f>
        <v>146.7</v>
      </c>
      <c r="F160" s="5" t="n">
        <f aca="false">IFERROR(__xludf.dummyfunction("""COMPUTED_VALUE"""),86960310)</f>
        <v>86960310</v>
      </c>
    </row>
    <row r="161" customFormat="false" ht="15.75" hidden="false" customHeight="false" outlineLevel="0" collapsed="false">
      <c r="A161" s="6" t="n">
        <f aca="false">IFERROR(__xludf.dummyfunction("""COMPUTED_VALUE"""),44428.6666666667)</f>
        <v>44428.6666666667</v>
      </c>
      <c r="B161" s="5" t="n">
        <f aca="false">IFERROR(__xludf.dummyfunction("""COMPUTED_VALUE"""),147.44)</f>
        <v>147.44</v>
      </c>
      <c r="C161" s="5" t="n">
        <f aca="false">IFERROR(__xludf.dummyfunction("""COMPUTED_VALUE"""),148.5)</f>
        <v>148.5</v>
      </c>
      <c r="D161" s="5" t="n">
        <f aca="false">IFERROR(__xludf.dummyfunction("""COMPUTED_VALUE"""),146.78)</f>
        <v>146.78</v>
      </c>
      <c r="E161" s="5" t="n">
        <f aca="false">IFERROR(__xludf.dummyfunction("""COMPUTED_VALUE"""),148.19)</f>
        <v>148.19</v>
      </c>
      <c r="F161" s="5" t="n">
        <f aca="false">IFERROR(__xludf.dummyfunction("""COMPUTED_VALUE"""),60549630)</f>
        <v>60549630</v>
      </c>
    </row>
    <row r="162" customFormat="false" ht="15.75" hidden="false" customHeight="false" outlineLevel="0" collapsed="false">
      <c r="A162" s="6" t="n">
        <f aca="false">IFERROR(__xludf.dummyfunction("""COMPUTED_VALUE"""),44431.6666666667)</f>
        <v>44431.6666666667</v>
      </c>
      <c r="B162" s="5" t="n">
        <f aca="false">IFERROR(__xludf.dummyfunction("""COMPUTED_VALUE"""),148.31)</f>
        <v>148.31</v>
      </c>
      <c r="C162" s="5" t="n">
        <f aca="false">IFERROR(__xludf.dummyfunction("""COMPUTED_VALUE"""),150.19)</f>
        <v>150.19</v>
      </c>
      <c r="D162" s="5" t="n">
        <f aca="false">IFERROR(__xludf.dummyfunction("""COMPUTED_VALUE"""),147.89)</f>
        <v>147.89</v>
      </c>
      <c r="E162" s="5" t="n">
        <f aca="false">IFERROR(__xludf.dummyfunction("""COMPUTED_VALUE"""),149.71)</f>
        <v>149.71</v>
      </c>
      <c r="F162" s="5" t="n">
        <f aca="false">IFERROR(__xludf.dummyfunction("""COMPUTED_VALUE"""),60131810)</f>
        <v>60131810</v>
      </c>
    </row>
    <row r="163" customFormat="false" ht="15.75" hidden="false" customHeight="false" outlineLevel="0" collapsed="false">
      <c r="A163" s="6" t="n">
        <f aca="false">IFERROR(__xludf.dummyfunction("""COMPUTED_VALUE"""),44432.6666666667)</f>
        <v>44432.6666666667</v>
      </c>
      <c r="B163" s="5" t="n">
        <f aca="false">IFERROR(__xludf.dummyfunction("""COMPUTED_VALUE"""),149.45)</f>
        <v>149.45</v>
      </c>
      <c r="C163" s="5" t="n">
        <f aca="false">IFERROR(__xludf.dummyfunction("""COMPUTED_VALUE"""),150.86)</f>
        <v>150.86</v>
      </c>
      <c r="D163" s="5" t="n">
        <f aca="false">IFERROR(__xludf.dummyfunction("""COMPUTED_VALUE"""),149.15)</f>
        <v>149.15</v>
      </c>
      <c r="E163" s="5" t="n">
        <f aca="false">IFERROR(__xludf.dummyfunction("""COMPUTED_VALUE"""),149.62)</f>
        <v>149.62</v>
      </c>
      <c r="F163" s="5" t="n">
        <f aca="false">IFERROR(__xludf.dummyfunction("""COMPUTED_VALUE"""),48606428)</f>
        <v>48606428</v>
      </c>
    </row>
    <row r="164" customFormat="false" ht="15.75" hidden="false" customHeight="false" outlineLevel="0" collapsed="false">
      <c r="A164" s="6" t="n">
        <f aca="false">IFERROR(__xludf.dummyfunction("""COMPUTED_VALUE"""),44433.6666666667)</f>
        <v>44433.6666666667</v>
      </c>
      <c r="B164" s="5" t="n">
        <f aca="false">IFERROR(__xludf.dummyfunction("""COMPUTED_VALUE"""),149.81)</f>
        <v>149.81</v>
      </c>
      <c r="C164" s="5" t="n">
        <f aca="false">IFERROR(__xludf.dummyfunction("""COMPUTED_VALUE"""),150.32)</f>
        <v>150.32</v>
      </c>
      <c r="D164" s="5" t="n">
        <f aca="false">IFERROR(__xludf.dummyfunction("""COMPUTED_VALUE"""),147.8)</f>
        <v>147.8</v>
      </c>
      <c r="E164" s="5" t="n">
        <f aca="false">IFERROR(__xludf.dummyfunction("""COMPUTED_VALUE"""),148.36)</f>
        <v>148.36</v>
      </c>
      <c r="F164" s="5" t="n">
        <f aca="false">IFERROR(__xludf.dummyfunction("""COMPUTED_VALUE"""),58991297)</f>
        <v>58991297</v>
      </c>
    </row>
    <row r="165" customFormat="false" ht="15.75" hidden="false" customHeight="false" outlineLevel="0" collapsed="false">
      <c r="A165" s="6" t="n">
        <f aca="false">IFERROR(__xludf.dummyfunction("""COMPUTED_VALUE"""),44434.6666666667)</f>
        <v>44434.6666666667</v>
      </c>
      <c r="B165" s="5" t="n">
        <f aca="false">IFERROR(__xludf.dummyfunction("""COMPUTED_VALUE"""),148.35)</f>
        <v>148.35</v>
      </c>
      <c r="C165" s="5" t="n">
        <f aca="false">IFERROR(__xludf.dummyfunction("""COMPUTED_VALUE"""),149.12)</f>
        <v>149.12</v>
      </c>
      <c r="D165" s="5" t="n">
        <f aca="false">IFERROR(__xludf.dummyfunction("""COMPUTED_VALUE"""),147.51)</f>
        <v>147.51</v>
      </c>
      <c r="E165" s="5" t="n">
        <f aca="false">IFERROR(__xludf.dummyfunction("""COMPUTED_VALUE"""),147.54)</f>
        <v>147.54</v>
      </c>
      <c r="F165" s="5" t="n">
        <f aca="false">IFERROR(__xludf.dummyfunction("""COMPUTED_VALUE"""),48597195)</f>
        <v>48597195</v>
      </c>
    </row>
    <row r="166" customFormat="false" ht="15.75" hidden="false" customHeight="false" outlineLevel="0" collapsed="false">
      <c r="A166" s="6" t="n">
        <f aca="false">IFERROR(__xludf.dummyfunction("""COMPUTED_VALUE"""),44435.6666666667)</f>
        <v>44435.6666666667</v>
      </c>
      <c r="B166" s="5" t="n">
        <f aca="false">IFERROR(__xludf.dummyfunction("""COMPUTED_VALUE"""),147.48)</f>
        <v>147.48</v>
      </c>
      <c r="C166" s="5" t="n">
        <f aca="false">IFERROR(__xludf.dummyfunction("""COMPUTED_VALUE"""),148.75)</f>
        <v>148.75</v>
      </c>
      <c r="D166" s="5" t="n">
        <f aca="false">IFERROR(__xludf.dummyfunction("""COMPUTED_VALUE"""),146.83)</f>
        <v>146.83</v>
      </c>
      <c r="E166" s="5" t="n">
        <f aca="false">IFERROR(__xludf.dummyfunction("""COMPUTED_VALUE"""),148.6)</f>
        <v>148.6</v>
      </c>
      <c r="F166" s="5" t="n">
        <f aca="false">IFERROR(__xludf.dummyfunction("""COMPUTED_VALUE"""),55802388)</f>
        <v>55802388</v>
      </c>
    </row>
    <row r="167" customFormat="false" ht="15.75" hidden="false" customHeight="false" outlineLevel="0" collapsed="false">
      <c r="A167" s="6" t="n">
        <f aca="false">IFERROR(__xludf.dummyfunction("""COMPUTED_VALUE"""),44438.6666666667)</f>
        <v>44438.6666666667</v>
      </c>
      <c r="B167" s="5" t="n">
        <f aca="false">IFERROR(__xludf.dummyfunction("""COMPUTED_VALUE"""),149)</f>
        <v>149</v>
      </c>
      <c r="C167" s="5" t="n">
        <f aca="false">IFERROR(__xludf.dummyfunction("""COMPUTED_VALUE"""),153.49)</f>
        <v>153.49</v>
      </c>
      <c r="D167" s="5" t="n">
        <f aca="false">IFERROR(__xludf.dummyfunction("""COMPUTED_VALUE"""),148.61)</f>
        <v>148.61</v>
      </c>
      <c r="E167" s="5" t="n">
        <f aca="false">IFERROR(__xludf.dummyfunction("""COMPUTED_VALUE"""),153.12)</f>
        <v>153.12</v>
      </c>
      <c r="F167" s="5" t="n">
        <f aca="false">IFERROR(__xludf.dummyfunction("""COMPUTED_VALUE"""),90956723)</f>
        <v>90956723</v>
      </c>
    </row>
    <row r="168" customFormat="false" ht="15.75" hidden="false" customHeight="false" outlineLevel="0" collapsed="false">
      <c r="A168" s="6" t="n">
        <f aca="false">IFERROR(__xludf.dummyfunction("""COMPUTED_VALUE"""),44439.6666666667)</f>
        <v>44439.6666666667</v>
      </c>
      <c r="B168" s="5" t="n">
        <f aca="false">IFERROR(__xludf.dummyfunction("""COMPUTED_VALUE"""),152.66)</f>
        <v>152.66</v>
      </c>
      <c r="C168" s="5" t="n">
        <f aca="false">IFERROR(__xludf.dummyfunction("""COMPUTED_VALUE"""),152.8)</f>
        <v>152.8</v>
      </c>
      <c r="D168" s="5" t="n">
        <f aca="false">IFERROR(__xludf.dummyfunction("""COMPUTED_VALUE"""),151.29)</f>
        <v>151.29</v>
      </c>
      <c r="E168" s="5" t="n">
        <f aca="false">IFERROR(__xludf.dummyfunction("""COMPUTED_VALUE"""),151.83)</f>
        <v>151.83</v>
      </c>
      <c r="F168" s="5" t="n">
        <f aca="false">IFERROR(__xludf.dummyfunction("""COMPUTED_VALUE"""),86453117)</f>
        <v>86453117</v>
      </c>
    </row>
    <row r="169" customFormat="false" ht="15.75" hidden="false" customHeight="false" outlineLevel="0" collapsed="false">
      <c r="A169" s="6" t="n">
        <f aca="false">IFERROR(__xludf.dummyfunction("""COMPUTED_VALUE"""),44440.6666666667)</f>
        <v>44440.6666666667</v>
      </c>
      <c r="B169" s="5" t="n">
        <f aca="false">IFERROR(__xludf.dummyfunction("""COMPUTED_VALUE"""),152.83)</f>
        <v>152.83</v>
      </c>
      <c r="C169" s="5" t="n">
        <f aca="false">IFERROR(__xludf.dummyfunction("""COMPUTED_VALUE"""),154.98)</f>
        <v>154.98</v>
      </c>
      <c r="D169" s="5" t="n">
        <f aca="false">IFERROR(__xludf.dummyfunction("""COMPUTED_VALUE"""),152.34)</f>
        <v>152.34</v>
      </c>
      <c r="E169" s="5" t="n">
        <f aca="false">IFERROR(__xludf.dummyfunction("""COMPUTED_VALUE"""),152.51)</f>
        <v>152.51</v>
      </c>
      <c r="F169" s="5" t="n">
        <f aca="false">IFERROR(__xludf.dummyfunction("""COMPUTED_VALUE"""),80313711)</f>
        <v>80313711</v>
      </c>
    </row>
    <row r="170" customFormat="false" ht="15.75" hidden="false" customHeight="false" outlineLevel="0" collapsed="false">
      <c r="A170" s="6" t="n">
        <f aca="false">IFERROR(__xludf.dummyfunction("""COMPUTED_VALUE"""),44441.6666666667)</f>
        <v>44441.6666666667</v>
      </c>
      <c r="B170" s="5" t="n">
        <f aca="false">IFERROR(__xludf.dummyfunction("""COMPUTED_VALUE"""),153.87)</f>
        <v>153.87</v>
      </c>
      <c r="C170" s="5" t="n">
        <f aca="false">IFERROR(__xludf.dummyfunction("""COMPUTED_VALUE"""),154.72)</f>
        <v>154.72</v>
      </c>
      <c r="D170" s="5" t="n">
        <f aca="false">IFERROR(__xludf.dummyfunction("""COMPUTED_VALUE"""),152.4)</f>
        <v>152.4</v>
      </c>
      <c r="E170" s="5" t="n">
        <f aca="false">IFERROR(__xludf.dummyfunction("""COMPUTED_VALUE"""),153.65)</f>
        <v>153.65</v>
      </c>
      <c r="F170" s="5" t="n">
        <f aca="false">IFERROR(__xludf.dummyfunction("""COMPUTED_VALUE"""),71171317)</f>
        <v>71171317</v>
      </c>
    </row>
    <row r="171" customFormat="false" ht="15.75" hidden="false" customHeight="false" outlineLevel="0" collapsed="false">
      <c r="A171" s="6" t="n">
        <f aca="false">IFERROR(__xludf.dummyfunction("""COMPUTED_VALUE"""),44442.6666666667)</f>
        <v>44442.6666666667</v>
      </c>
      <c r="B171" s="5" t="n">
        <f aca="false">IFERROR(__xludf.dummyfunction("""COMPUTED_VALUE"""),153.76)</f>
        <v>153.76</v>
      </c>
      <c r="C171" s="5" t="n">
        <f aca="false">IFERROR(__xludf.dummyfunction("""COMPUTED_VALUE"""),154.63)</f>
        <v>154.63</v>
      </c>
      <c r="D171" s="5" t="n">
        <f aca="false">IFERROR(__xludf.dummyfunction("""COMPUTED_VALUE"""),153.09)</f>
        <v>153.09</v>
      </c>
      <c r="E171" s="5" t="n">
        <f aca="false">IFERROR(__xludf.dummyfunction("""COMPUTED_VALUE"""),154.3)</f>
        <v>154.3</v>
      </c>
      <c r="F171" s="5" t="n">
        <f aca="false">IFERROR(__xludf.dummyfunction("""COMPUTED_VALUE"""),57866066)</f>
        <v>57866066</v>
      </c>
    </row>
    <row r="172" customFormat="false" ht="15.75" hidden="false" customHeight="false" outlineLevel="0" collapsed="false">
      <c r="A172" s="6" t="n">
        <f aca="false">IFERROR(__xludf.dummyfunction("""COMPUTED_VALUE"""),44446.6666666667)</f>
        <v>44446.6666666667</v>
      </c>
      <c r="B172" s="5" t="n">
        <f aca="false">IFERROR(__xludf.dummyfunction("""COMPUTED_VALUE"""),154.97)</f>
        <v>154.97</v>
      </c>
      <c r="C172" s="5" t="n">
        <f aca="false">IFERROR(__xludf.dummyfunction("""COMPUTED_VALUE"""),157.26)</f>
        <v>157.26</v>
      </c>
      <c r="D172" s="5" t="n">
        <f aca="false">IFERROR(__xludf.dummyfunction("""COMPUTED_VALUE"""),154.39)</f>
        <v>154.39</v>
      </c>
      <c r="E172" s="5" t="n">
        <f aca="false">IFERROR(__xludf.dummyfunction("""COMPUTED_VALUE"""),156.69)</f>
        <v>156.69</v>
      </c>
      <c r="F172" s="5" t="n">
        <f aca="false">IFERROR(__xludf.dummyfunction("""COMPUTED_VALUE"""),82278261)</f>
        <v>82278261</v>
      </c>
    </row>
    <row r="173" customFormat="false" ht="15.75" hidden="false" customHeight="false" outlineLevel="0" collapsed="false">
      <c r="A173" s="6" t="n">
        <f aca="false">IFERROR(__xludf.dummyfunction("""COMPUTED_VALUE"""),44447.6666666667)</f>
        <v>44447.6666666667</v>
      </c>
      <c r="B173" s="5" t="n">
        <f aca="false">IFERROR(__xludf.dummyfunction("""COMPUTED_VALUE"""),156.98)</f>
        <v>156.98</v>
      </c>
      <c r="C173" s="5" t="n">
        <f aca="false">IFERROR(__xludf.dummyfunction("""COMPUTED_VALUE"""),157.04)</f>
        <v>157.04</v>
      </c>
      <c r="D173" s="5" t="n">
        <f aca="false">IFERROR(__xludf.dummyfunction("""COMPUTED_VALUE"""),153.98)</f>
        <v>153.98</v>
      </c>
      <c r="E173" s="5" t="n">
        <f aca="false">IFERROR(__xludf.dummyfunction("""COMPUTED_VALUE"""),155.11)</f>
        <v>155.11</v>
      </c>
      <c r="F173" s="5" t="n">
        <f aca="false">IFERROR(__xludf.dummyfunction("""COMPUTED_VALUE"""),74420207)</f>
        <v>74420207</v>
      </c>
    </row>
    <row r="174" customFormat="false" ht="15.75" hidden="false" customHeight="false" outlineLevel="0" collapsed="false">
      <c r="A174" s="6" t="n">
        <f aca="false">IFERROR(__xludf.dummyfunction("""COMPUTED_VALUE"""),44448.6666666667)</f>
        <v>44448.6666666667</v>
      </c>
      <c r="B174" s="5" t="n">
        <f aca="false">IFERROR(__xludf.dummyfunction("""COMPUTED_VALUE"""),155.49)</f>
        <v>155.49</v>
      </c>
      <c r="C174" s="5" t="n">
        <f aca="false">IFERROR(__xludf.dummyfunction("""COMPUTED_VALUE"""),156.11)</f>
        <v>156.11</v>
      </c>
      <c r="D174" s="5" t="n">
        <f aca="false">IFERROR(__xludf.dummyfunction("""COMPUTED_VALUE"""),153.95)</f>
        <v>153.95</v>
      </c>
      <c r="E174" s="5" t="n">
        <f aca="false">IFERROR(__xludf.dummyfunction("""COMPUTED_VALUE"""),154.07)</f>
        <v>154.07</v>
      </c>
      <c r="F174" s="5" t="n">
        <f aca="false">IFERROR(__xludf.dummyfunction("""COMPUTED_VALUE"""),57305730)</f>
        <v>57305730</v>
      </c>
    </row>
    <row r="175" customFormat="false" ht="15.75" hidden="false" customHeight="false" outlineLevel="0" collapsed="false">
      <c r="A175" s="6" t="n">
        <f aca="false">IFERROR(__xludf.dummyfunction("""COMPUTED_VALUE"""),44449.6666666667)</f>
        <v>44449.6666666667</v>
      </c>
      <c r="B175" s="5" t="n">
        <f aca="false">IFERROR(__xludf.dummyfunction("""COMPUTED_VALUE"""),155)</f>
        <v>155</v>
      </c>
      <c r="C175" s="5" t="n">
        <f aca="false">IFERROR(__xludf.dummyfunction("""COMPUTED_VALUE"""),155.48)</f>
        <v>155.48</v>
      </c>
      <c r="D175" s="5" t="n">
        <f aca="false">IFERROR(__xludf.dummyfunction("""COMPUTED_VALUE"""),148.7)</f>
        <v>148.7</v>
      </c>
      <c r="E175" s="5" t="n">
        <f aca="false">IFERROR(__xludf.dummyfunction("""COMPUTED_VALUE"""),148.97)</f>
        <v>148.97</v>
      </c>
      <c r="F175" s="5" t="n">
        <f aca="false">IFERROR(__xludf.dummyfunction("""COMPUTED_VALUE"""),140893235)</f>
        <v>140893235</v>
      </c>
    </row>
    <row r="176" customFormat="false" ht="15.75" hidden="false" customHeight="false" outlineLevel="0" collapsed="false">
      <c r="A176" s="6" t="n">
        <f aca="false">IFERROR(__xludf.dummyfunction("""COMPUTED_VALUE"""),44452.6666666667)</f>
        <v>44452.6666666667</v>
      </c>
      <c r="B176" s="5" t="n">
        <f aca="false">IFERROR(__xludf.dummyfunction("""COMPUTED_VALUE"""),150.63)</f>
        <v>150.63</v>
      </c>
      <c r="C176" s="5" t="n">
        <f aca="false">IFERROR(__xludf.dummyfunction("""COMPUTED_VALUE"""),151.42)</f>
        <v>151.42</v>
      </c>
      <c r="D176" s="5" t="n">
        <f aca="false">IFERROR(__xludf.dummyfunction("""COMPUTED_VALUE"""),148.75)</f>
        <v>148.75</v>
      </c>
      <c r="E176" s="5" t="n">
        <f aca="false">IFERROR(__xludf.dummyfunction("""COMPUTED_VALUE"""),149.55)</f>
        <v>149.55</v>
      </c>
      <c r="F176" s="5" t="n">
        <f aca="false">IFERROR(__xludf.dummyfunction("""COMPUTED_VALUE"""),102404329)</f>
        <v>102404329</v>
      </c>
    </row>
    <row r="177" customFormat="false" ht="15.75" hidden="false" customHeight="false" outlineLevel="0" collapsed="false">
      <c r="A177" s="6" t="n">
        <f aca="false">IFERROR(__xludf.dummyfunction("""COMPUTED_VALUE"""),44453.6666666667)</f>
        <v>44453.6666666667</v>
      </c>
      <c r="B177" s="5" t="n">
        <f aca="false">IFERROR(__xludf.dummyfunction("""COMPUTED_VALUE"""),150.35)</f>
        <v>150.35</v>
      </c>
      <c r="C177" s="5" t="n">
        <f aca="false">IFERROR(__xludf.dummyfunction("""COMPUTED_VALUE"""),151.07)</f>
        <v>151.07</v>
      </c>
      <c r="D177" s="5" t="n">
        <f aca="false">IFERROR(__xludf.dummyfunction("""COMPUTED_VALUE"""),146.91)</f>
        <v>146.91</v>
      </c>
      <c r="E177" s="5" t="n">
        <f aca="false">IFERROR(__xludf.dummyfunction("""COMPUTED_VALUE"""),148.12)</f>
        <v>148.12</v>
      </c>
      <c r="F177" s="5" t="n">
        <f aca="false">IFERROR(__xludf.dummyfunction("""COMPUTED_VALUE"""),109296295)</f>
        <v>109296295</v>
      </c>
    </row>
    <row r="178" customFormat="false" ht="15.75" hidden="false" customHeight="false" outlineLevel="0" collapsed="false">
      <c r="A178" s="6" t="n">
        <f aca="false">IFERROR(__xludf.dummyfunction("""COMPUTED_VALUE"""),44454.6666666667)</f>
        <v>44454.6666666667</v>
      </c>
      <c r="B178" s="5" t="n">
        <f aca="false">IFERROR(__xludf.dummyfunction("""COMPUTED_VALUE"""),148.56)</f>
        <v>148.56</v>
      </c>
      <c r="C178" s="5" t="n">
        <f aca="false">IFERROR(__xludf.dummyfunction("""COMPUTED_VALUE"""),149.44)</f>
        <v>149.44</v>
      </c>
      <c r="D178" s="5" t="n">
        <f aca="false">IFERROR(__xludf.dummyfunction("""COMPUTED_VALUE"""),146.37)</f>
        <v>146.37</v>
      </c>
      <c r="E178" s="5" t="n">
        <f aca="false">IFERROR(__xludf.dummyfunction("""COMPUTED_VALUE"""),149.03)</f>
        <v>149.03</v>
      </c>
      <c r="F178" s="5" t="n">
        <f aca="false">IFERROR(__xludf.dummyfunction("""COMPUTED_VALUE"""),83281315)</f>
        <v>83281315</v>
      </c>
    </row>
    <row r="179" customFormat="false" ht="15.75" hidden="false" customHeight="false" outlineLevel="0" collapsed="false">
      <c r="A179" s="6" t="n">
        <f aca="false">IFERROR(__xludf.dummyfunction("""COMPUTED_VALUE"""),44455.6666666667)</f>
        <v>44455.6666666667</v>
      </c>
      <c r="B179" s="5" t="n">
        <f aca="false">IFERROR(__xludf.dummyfunction("""COMPUTED_VALUE"""),148.44)</f>
        <v>148.44</v>
      </c>
      <c r="C179" s="5" t="n">
        <f aca="false">IFERROR(__xludf.dummyfunction("""COMPUTED_VALUE"""),148.97)</f>
        <v>148.97</v>
      </c>
      <c r="D179" s="5" t="n">
        <f aca="false">IFERROR(__xludf.dummyfunction("""COMPUTED_VALUE"""),147.22)</f>
        <v>147.22</v>
      </c>
      <c r="E179" s="5" t="n">
        <f aca="false">IFERROR(__xludf.dummyfunction("""COMPUTED_VALUE"""),148.79)</f>
        <v>148.79</v>
      </c>
      <c r="F179" s="5" t="n">
        <f aca="false">IFERROR(__xludf.dummyfunction("""COMPUTED_VALUE"""),68034149)</f>
        <v>68034149</v>
      </c>
    </row>
    <row r="180" customFormat="false" ht="15.75" hidden="false" customHeight="false" outlineLevel="0" collapsed="false">
      <c r="A180" s="6" t="n">
        <f aca="false">IFERROR(__xludf.dummyfunction("""COMPUTED_VALUE"""),44456.6666666667)</f>
        <v>44456.6666666667</v>
      </c>
      <c r="B180" s="5" t="n">
        <f aca="false">IFERROR(__xludf.dummyfunction("""COMPUTED_VALUE"""),148.82)</f>
        <v>148.82</v>
      </c>
      <c r="C180" s="5" t="n">
        <f aca="false">IFERROR(__xludf.dummyfunction("""COMPUTED_VALUE"""),148.82)</f>
        <v>148.82</v>
      </c>
      <c r="D180" s="5" t="n">
        <f aca="false">IFERROR(__xludf.dummyfunction("""COMPUTED_VALUE"""),145.76)</f>
        <v>145.76</v>
      </c>
      <c r="E180" s="5" t="n">
        <f aca="false">IFERROR(__xludf.dummyfunction("""COMPUTED_VALUE"""),146.06)</f>
        <v>146.06</v>
      </c>
      <c r="F180" s="5" t="n">
        <f aca="false">IFERROR(__xludf.dummyfunction("""COMPUTED_VALUE"""),129868824)</f>
        <v>129868824</v>
      </c>
    </row>
    <row r="181" customFormat="false" ht="15.75" hidden="false" customHeight="false" outlineLevel="0" collapsed="false">
      <c r="A181" s="6" t="n">
        <f aca="false">IFERROR(__xludf.dummyfunction("""COMPUTED_VALUE"""),44459.6666666667)</f>
        <v>44459.6666666667</v>
      </c>
      <c r="B181" s="5" t="n">
        <f aca="false">IFERROR(__xludf.dummyfunction("""COMPUTED_VALUE"""),143.8)</f>
        <v>143.8</v>
      </c>
      <c r="C181" s="5" t="n">
        <f aca="false">IFERROR(__xludf.dummyfunction("""COMPUTED_VALUE"""),144.84)</f>
        <v>144.84</v>
      </c>
      <c r="D181" s="5" t="n">
        <f aca="false">IFERROR(__xludf.dummyfunction("""COMPUTED_VALUE"""),141.27)</f>
        <v>141.27</v>
      </c>
      <c r="E181" s="5" t="n">
        <f aca="false">IFERROR(__xludf.dummyfunction("""COMPUTED_VALUE"""),142.94)</f>
        <v>142.94</v>
      </c>
      <c r="F181" s="5" t="n">
        <f aca="false">IFERROR(__xludf.dummyfunction("""COMPUTED_VALUE"""),123478863)</f>
        <v>123478863</v>
      </c>
    </row>
    <row r="182" customFormat="false" ht="15.75" hidden="false" customHeight="false" outlineLevel="0" collapsed="false">
      <c r="A182" s="6" t="n">
        <f aca="false">IFERROR(__xludf.dummyfunction("""COMPUTED_VALUE"""),44460.6666666667)</f>
        <v>44460.6666666667</v>
      </c>
      <c r="B182" s="5" t="n">
        <f aca="false">IFERROR(__xludf.dummyfunction("""COMPUTED_VALUE"""),143.93)</f>
        <v>143.93</v>
      </c>
      <c r="C182" s="5" t="n">
        <f aca="false">IFERROR(__xludf.dummyfunction("""COMPUTED_VALUE"""),144.6)</f>
        <v>144.6</v>
      </c>
      <c r="D182" s="5" t="n">
        <f aca="false">IFERROR(__xludf.dummyfunction("""COMPUTED_VALUE"""),142.78)</f>
        <v>142.78</v>
      </c>
      <c r="E182" s="5" t="n">
        <f aca="false">IFERROR(__xludf.dummyfunction("""COMPUTED_VALUE"""),143.43)</f>
        <v>143.43</v>
      </c>
      <c r="F182" s="5" t="n">
        <f aca="false">IFERROR(__xludf.dummyfunction("""COMPUTED_VALUE"""),75833962)</f>
        <v>75833962</v>
      </c>
    </row>
    <row r="183" customFormat="false" ht="15.75" hidden="false" customHeight="false" outlineLevel="0" collapsed="false">
      <c r="A183" s="6" t="n">
        <f aca="false">IFERROR(__xludf.dummyfunction("""COMPUTED_VALUE"""),44461.6666666667)</f>
        <v>44461.6666666667</v>
      </c>
      <c r="B183" s="5" t="n">
        <f aca="false">IFERROR(__xludf.dummyfunction("""COMPUTED_VALUE"""),144.45)</f>
        <v>144.45</v>
      </c>
      <c r="C183" s="5" t="n">
        <f aca="false">IFERROR(__xludf.dummyfunction("""COMPUTED_VALUE"""),146.43)</f>
        <v>146.43</v>
      </c>
      <c r="D183" s="5" t="n">
        <f aca="false">IFERROR(__xludf.dummyfunction("""COMPUTED_VALUE"""),143.7)</f>
        <v>143.7</v>
      </c>
      <c r="E183" s="5" t="n">
        <f aca="false">IFERROR(__xludf.dummyfunction("""COMPUTED_VALUE"""),145.85)</f>
        <v>145.85</v>
      </c>
      <c r="F183" s="5" t="n">
        <f aca="false">IFERROR(__xludf.dummyfunction("""COMPUTED_VALUE"""),76404341)</f>
        <v>76404341</v>
      </c>
    </row>
    <row r="184" customFormat="false" ht="15.75" hidden="false" customHeight="false" outlineLevel="0" collapsed="false">
      <c r="A184" s="6" t="n">
        <f aca="false">IFERROR(__xludf.dummyfunction("""COMPUTED_VALUE"""),44462.6666666667)</f>
        <v>44462.6666666667</v>
      </c>
      <c r="B184" s="5" t="n">
        <f aca="false">IFERROR(__xludf.dummyfunction("""COMPUTED_VALUE"""),146.65)</f>
        <v>146.65</v>
      </c>
      <c r="C184" s="5" t="n">
        <f aca="false">IFERROR(__xludf.dummyfunction("""COMPUTED_VALUE"""),147.08)</f>
        <v>147.08</v>
      </c>
      <c r="D184" s="5" t="n">
        <f aca="false">IFERROR(__xludf.dummyfunction("""COMPUTED_VALUE"""),145.64)</f>
        <v>145.64</v>
      </c>
      <c r="E184" s="5" t="n">
        <f aca="false">IFERROR(__xludf.dummyfunction("""COMPUTED_VALUE"""),146.83)</f>
        <v>146.83</v>
      </c>
      <c r="F184" s="5" t="n">
        <f aca="false">IFERROR(__xludf.dummyfunction("""COMPUTED_VALUE"""),64838170)</f>
        <v>64838170</v>
      </c>
    </row>
    <row r="185" customFormat="false" ht="15.75" hidden="false" customHeight="false" outlineLevel="0" collapsed="false">
      <c r="A185" s="6" t="n">
        <f aca="false">IFERROR(__xludf.dummyfunction("""COMPUTED_VALUE"""),44463.6666666667)</f>
        <v>44463.6666666667</v>
      </c>
      <c r="B185" s="5" t="n">
        <f aca="false">IFERROR(__xludf.dummyfunction("""COMPUTED_VALUE"""),145.66)</f>
        <v>145.66</v>
      </c>
      <c r="C185" s="5" t="n">
        <f aca="false">IFERROR(__xludf.dummyfunction("""COMPUTED_VALUE"""),147.47)</f>
        <v>147.47</v>
      </c>
      <c r="D185" s="5" t="n">
        <f aca="false">IFERROR(__xludf.dummyfunction("""COMPUTED_VALUE"""),145.56)</f>
        <v>145.56</v>
      </c>
      <c r="E185" s="5" t="n">
        <f aca="false">IFERROR(__xludf.dummyfunction("""COMPUTED_VALUE"""),146.92)</f>
        <v>146.92</v>
      </c>
      <c r="F185" s="5" t="n">
        <f aca="false">IFERROR(__xludf.dummyfunction("""COMPUTED_VALUE"""),53477869)</f>
        <v>53477869</v>
      </c>
    </row>
    <row r="186" customFormat="false" ht="15.75" hidden="false" customHeight="false" outlineLevel="0" collapsed="false">
      <c r="A186" s="6" t="n">
        <f aca="false">IFERROR(__xludf.dummyfunction("""COMPUTED_VALUE"""),44466.6666666667)</f>
        <v>44466.6666666667</v>
      </c>
      <c r="B186" s="5" t="n">
        <f aca="false">IFERROR(__xludf.dummyfunction("""COMPUTED_VALUE"""),145.47)</f>
        <v>145.47</v>
      </c>
      <c r="C186" s="5" t="n">
        <f aca="false">IFERROR(__xludf.dummyfunction("""COMPUTED_VALUE"""),145.96)</f>
        <v>145.96</v>
      </c>
      <c r="D186" s="5" t="n">
        <f aca="false">IFERROR(__xludf.dummyfunction("""COMPUTED_VALUE"""),143.82)</f>
        <v>143.82</v>
      </c>
      <c r="E186" s="5" t="n">
        <f aca="false">IFERROR(__xludf.dummyfunction("""COMPUTED_VALUE"""),145.37)</f>
        <v>145.37</v>
      </c>
      <c r="F186" s="5" t="n">
        <f aca="false">IFERROR(__xludf.dummyfunction("""COMPUTED_VALUE"""),74150729)</f>
        <v>74150729</v>
      </c>
    </row>
    <row r="187" customFormat="false" ht="15.75" hidden="false" customHeight="false" outlineLevel="0" collapsed="false">
      <c r="A187" s="6" t="n">
        <f aca="false">IFERROR(__xludf.dummyfunction("""COMPUTED_VALUE"""),44467.6666666667)</f>
        <v>44467.6666666667</v>
      </c>
      <c r="B187" s="5" t="n">
        <f aca="false">IFERROR(__xludf.dummyfunction("""COMPUTED_VALUE"""),143.25)</f>
        <v>143.25</v>
      </c>
      <c r="C187" s="5" t="n">
        <f aca="false">IFERROR(__xludf.dummyfunction("""COMPUTED_VALUE"""),144.75)</f>
        <v>144.75</v>
      </c>
      <c r="D187" s="5" t="n">
        <f aca="false">IFERROR(__xludf.dummyfunction("""COMPUTED_VALUE"""),141.69)</f>
        <v>141.69</v>
      </c>
      <c r="E187" s="5" t="n">
        <f aca="false">IFERROR(__xludf.dummyfunction("""COMPUTED_VALUE"""),141.91)</f>
        <v>141.91</v>
      </c>
      <c r="F187" s="5" t="n">
        <f aca="false">IFERROR(__xludf.dummyfunction("""COMPUTED_VALUE"""),108972340)</f>
        <v>108972340</v>
      </c>
    </row>
    <row r="188" customFormat="false" ht="15.75" hidden="false" customHeight="false" outlineLevel="0" collapsed="false">
      <c r="A188" s="6" t="n">
        <f aca="false">IFERROR(__xludf.dummyfunction("""COMPUTED_VALUE"""),44468.6666666667)</f>
        <v>44468.6666666667</v>
      </c>
      <c r="B188" s="5" t="n">
        <f aca="false">IFERROR(__xludf.dummyfunction("""COMPUTED_VALUE"""),142.47)</f>
        <v>142.47</v>
      </c>
      <c r="C188" s="5" t="n">
        <f aca="false">IFERROR(__xludf.dummyfunction("""COMPUTED_VALUE"""),144.45)</f>
        <v>144.45</v>
      </c>
      <c r="D188" s="5" t="n">
        <f aca="false">IFERROR(__xludf.dummyfunction("""COMPUTED_VALUE"""),142.03)</f>
        <v>142.03</v>
      </c>
      <c r="E188" s="5" t="n">
        <f aca="false">IFERROR(__xludf.dummyfunction("""COMPUTED_VALUE"""),142.83)</f>
        <v>142.83</v>
      </c>
      <c r="F188" s="5" t="n">
        <f aca="false">IFERROR(__xludf.dummyfunction("""COMPUTED_VALUE"""),74602044)</f>
        <v>74602044</v>
      </c>
    </row>
    <row r="189" customFormat="false" ht="15.75" hidden="false" customHeight="false" outlineLevel="0" collapsed="false">
      <c r="A189" s="6" t="n">
        <f aca="false">IFERROR(__xludf.dummyfunction("""COMPUTED_VALUE"""),44469.6666666667)</f>
        <v>44469.6666666667</v>
      </c>
      <c r="B189" s="5" t="n">
        <f aca="false">IFERROR(__xludf.dummyfunction("""COMPUTED_VALUE"""),143.66)</f>
        <v>143.66</v>
      </c>
      <c r="C189" s="5" t="n">
        <f aca="false">IFERROR(__xludf.dummyfunction("""COMPUTED_VALUE"""),144.38)</f>
        <v>144.38</v>
      </c>
      <c r="D189" s="5" t="n">
        <f aca="false">IFERROR(__xludf.dummyfunction("""COMPUTED_VALUE"""),141.28)</f>
        <v>141.28</v>
      </c>
      <c r="E189" s="5" t="n">
        <f aca="false">IFERROR(__xludf.dummyfunction("""COMPUTED_VALUE"""),141.5)</f>
        <v>141.5</v>
      </c>
      <c r="F189" s="5" t="n">
        <f aca="false">IFERROR(__xludf.dummyfunction("""COMPUTED_VALUE"""),89056664)</f>
        <v>89056664</v>
      </c>
    </row>
    <row r="190" customFormat="false" ht="15.75" hidden="false" customHeight="false" outlineLevel="0" collapsed="false">
      <c r="A190" s="6" t="n">
        <f aca="false">IFERROR(__xludf.dummyfunction("""COMPUTED_VALUE"""),44470.6666666667)</f>
        <v>44470.6666666667</v>
      </c>
      <c r="B190" s="5" t="n">
        <f aca="false">IFERROR(__xludf.dummyfunction("""COMPUTED_VALUE"""),141.9)</f>
        <v>141.9</v>
      </c>
      <c r="C190" s="5" t="n">
        <f aca="false">IFERROR(__xludf.dummyfunction("""COMPUTED_VALUE"""),142.92)</f>
        <v>142.92</v>
      </c>
      <c r="D190" s="5" t="n">
        <f aca="false">IFERROR(__xludf.dummyfunction("""COMPUTED_VALUE"""),139.11)</f>
        <v>139.11</v>
      </c>
      <c r="E190" s="5" t="n">
        <f aca="false">IFERROR(__xludf.dummyfunction("""COMPUTED_VALUE"""),142.65)</f>
        <v>142.65</v>
      </c>
      <c r="F190" s="5" t="n">
        <f aca="false">IFERROR(__xludf.dummyfunction("""COMPUTED_VALUE"""),94639581)</f>
        <v>94639581</v>
      </c>
    </row>
    <row r="191" customFormat="false" ht="15.75" hidden="false" customHeight="false" outlineLevel="0" collapsed="false">
      <c r="A191" s="6" t="n">
        <f aca="false">IFERROR(__xludf.dummyfunction("""COMPUTED_VALUE"""),44473.6666666667)</f>
        <v>44473.6666666667</v>
      </c>
      <c r="B191" s="5" t="n">
        <f aca="false">IFERROR(__xludf.dummyfunction("""COMPUTED_VALUE"""),141.76)</f>
        <v>141.76</v>
      </c>
      <c r="C191" s="5" t="n">
        <f aca="false">IFERROR(__xludf.dummyfunction("""COMPUTED_VALUE"""),142.21)</f>
        <v>142.21</v>
      </c>
      <c r="D191" s="5" t="n">
        <f aca="false">IFERROR(__xludf.dummyfunction("""COMPUTED_VALUE"""),138.27)</f>
        <v>138.27</v>
      </c>
      <c r="E191" s="5" t="n">
        <f aca="false">IFERROR(__xludf.dummyfunction("""COMPUTED_VALUE"""),139.14)</f>
        <v>139.14</v>
      </c>
      <c r="F191" s="5" t="n">
        <f aca="false">IFERROR(__xludf.dummyfunction("""COMPUTED_VALUE"""),98322008)</f>
        <v>98322008</v>
      </c>
    </row>
    <row r="192" customFormat="false" ht="15.75" hidden="false" customHeight="false" outlineLevel="0" collapsed="false">
      <c r="A192" s="6" t="n">
        <f aca="false">IFERROR(__xludf.dummyfunction("""COMPUTED_VALUE"""),44474.6666666667)</f>
        <v>44474.6666666667</v>
      </c>
      <c r="B192" s="5" t="n">
        <f aca="false">IFERROR(__xludf.dummyfunction("""COMPUTED_VALUE"""),139.49)</f>
        <v>139.49</v>
      </c>
      <c r="C192" s="5" t="n">
        <f aca="false">IFERROR(__xludf.dummyfunction("""COMPUTED_VALUE"""),142.24)</f>
        <v>142.24</v>
      </c>
      <c r="D192" s="5" t="n">
        <f aca="false">IFERROR(__xludf.dummyfunction("""COMPUTED_VALUE"""),139.36)</f>
        <v>139.36</v>
      </c>
      <c r="E192" s="5" t="n">
        <f aca="false">IFERROR(__xludf.dummyfunction("""COMPUTED_VALUE"""),141.11)</f>
        <v>141.11</v>
      </c>
      <c r="F192" s="5" t="n">
        <f aca="false">IFERROR(__xludf.dummyfunction("""COMPUTED_VALUE"""),80861062)</f>
        <v>80861062</v>
      </c>
    </row>
    <row r="193" customFormat="false" ht="15.75" hidden="false" customHeight="false" outlineLevel="0" collapsed="false">
      <c r="A193" s="6" t="n">
        <f aca="false">IFERROR(__xludf.dummyfunction("""COMPUTED_VALUE"""),44475.6666666667)</f>
        <v>44475.6666666667</v>
      </c>
      <c r="B193" s="5" t="n">
        <f aca="false">IFERROR(__xludf.dummyfunction("""COMPUTED_VALUE"""),139.47)</f>
        <v>139.47</v>
      </c>
      <c r="C193" s="5" t="n">
        <f aca="false">IFERROR(__xludf.dummyfunction("""COMPUTED_VALUE"""),142.15)</f>
        <v>142.15</v>
      </c>
      <c r="D193" s="5" t="n">
        <f aca="false">IFERROR(__xludf.dummyfunction("""COMPUTED_VALUE"""),138.37)</f>
        <v>138.37</v>
      </c>
      <c r="E193" s="5" t="n">
        <f aca="false">IFERROR(__xludf.dummyfunction("""COMPUTED_VALUE"""),142)</f>
        <v>142</v>
      </c>
      <c r="F193" s="5" t="n">
        <f aca="false">IFERROR(__xludf.dummyfunction("""COMPUTED_VALUE"""),83221119)</f>
        <v>83221119</v>
      </c>
    </row>
    <row r="194" customFormat="false" ht="15.75" hidden="false" customHeight="false" outlineLevel="0" collapsed="false">
      <c r="A194" s="6" t="n">
        <f aca="false">IFERROR(__xludf.dummyfunction("""COMPUTED_VALUE"""),44476.6666666667)</f>
        <v>44476.6666666667</v>
      </c>
      <c r="B194" s="5" t="n">
        <f aca="false">IFERROR(__xludf.dummyfunction("""COMPUTED_VALUE"""),143.06)</f>
        <v>143.06</v>
      </c>
      <c r="C194" s="5" t="n">
        <f aca="false">IFERROR(__xludf.dummyfunction("""COMPUTED_VALUE"""),144.22)</f>
        <v>144.22</v>
      </c>
      <c r="D194" s="5" t="n">
        <f aca="false">IFERROR(__xludf.dummyfunction("""COMPUTED_VALUE"""),142.72)</f>
        <v>142.72</v>
      </c>
      <c r="E194" s="5" t="n">
        <f aca="false">IFERROR(__xludf.dummyfunction("""COMPUTED_VALUE"""),143.29)</f>
        <v>143.29</v>
      </c>
      <c r="F194" s="5" t="n">
        <f aca="false">IFERROR(__xludf.dummyfunction("""COMPUTED_VALUE"""),61732656)</f>
        <v>61732656</v>
      </c>
    </row>
    <row r="195" customFormat="false" ht="15.75" hidden="false" customHeight="false" outlineLevel="0" collapsed="false">
      <c r="A195" s="6" t="n">
        <f aca="false">IFERROR(__xludf.dummyfunction("""COMPUTED_VALUE"""),44477.6666666667)</f>
        <v>44477.6666666667</v>
      </c>
      <c r="B195" s="5" t="n">
        <f aca="false">IFERROR(__xludf.dummyfunction("""COMPUTED_VALUE"""),144.03)</f>
        <v>144.03</v>
      </c>
      <c r="C195" s="5" t="n">
        <f aca="false">IFERROR(__xludf.dummyfunction("""COMPUTED_VALUE"""),144.18)</f>
        <v>144.18</v>
      </c>
      <c r="D195" s="5" t="n">
        <f aca="false">IFERROR(__xludf.dummyfunction("""COMPUTED_VALUE"""),142.56)</f>
        <v>142.56</v>
      </c>
      <c r="E195" s="5" t="n">
        <f aca="false">IFERROR(__xludf.dummyfunction("""COMPUTED_VALUE"""),142.9)</f>
        <v>142.9</v>
      </c>
      <c r="F195" s="5" t="n">
        <f aca="false">IFERROR(__xludf.dummyfunction("""COMPUTED_VALUE"""),58773155)</f>
        <v>58773155</v>
      </c>
    </row>
    <row r="196" customFormat="false" ht="15.75" hidden="false" customHeight="false" outlineLevel="0" collapsed="false">
      <c r="A196" s="6" t="n">
        <f aca="false">IFERROR(__xludf.dummyfunction("""COMPUTED_VALUE"""),44480.6666666667)</f>
        <v>44480.6666666667</v>
      </c>
      <c r="B196" s="5" t="n">
        <f aca="false">IFERROR(__xludf.dummyfunction("""COMPUTED_VALUE"""),142.27)</f>
        <v>142.27</v>
      </c>
      <c r="C196" s="5" t="n">
        <f aca="false">IFERROR(__xludf.dummyfunction("""COMPUTED_VALUE"""),144.81)</f>
        <v>144.81</v>
      </c>
      <c r="D196" s="5" t="n">
        <f aca="false">IFERROR(__xludf.dummyfunction("""COMPUTED_VALUE"""),141.81)</f>
        <v>141.81</v>
      </c>
      <c r="E196" s="5" t="n">
        <f aca="false">IFERROR(__xludf.dummyfunction("""COMPUTED_VALUE"""),142.81)</f>
        <v>142.81</v>
      </c>
      <c r="F196" s="5" t="n">
        <f aca="false">IFERROR(__xludf.dummyfunction("""COMPUTED_VALUE"""),64452219)</f>
        <v>64452219</v>
      </c>
    </row>
    <row r="197" customFormat="false" ht="15.75" hidden="false" customHeight="false" outlineLevel="0" collapsed="false">
      <c r="A197" s="6" t="n">
        <f aca="false">IFERROR(__xludf.dummyfunction("""COMPUTED_VALUE"""),44481.6666666667)</f>
        <v>44481.6666666667</v>
      </c>
      <c r="B197" s="5" t="n">
        <f aca="false">IFERROR(__xludf.dummyfunction("""COMPUTED_VALUE"""),143.23)</f>
        <v>143.23</v>
      </c>
      <c r="C197" s="5" t="n">
        <f aca="false">IFERROR(__xludf.dummyfunction("""COMPUTED_VALUE"""),143.25)</f>
        <v>143.25</v>
      </c>
      <c r="D197" s="5" t="n">
        <f aca="false">IFERROR(__xludf.dummyfunction("""COMPUTED_VALUE"""),141.04)</f>
        <v>141.04</v>
      </c>
      <c r="E197" s="5" t="n">
        <f aca="false">IFERROR(__xludf.dummyfunction("""COMPUTED_VALUE"""),141.51)</f>
        <v>141.51</v>
      </c>
      <c r="F197" s="5" t="n">
        <f aca="false">IFERROR(__xludf.dummyfunction("""COMPUTED_VALUE"""),73035859)</f>
        <v>73035859</v>
      </c>
    </row>
    <row r="198" customFormat="false" ht="15.75" hidden="false" customHeight="false" outlineLevel="0" collapsed="false">
      <c r="A198" s="6" t="n">
        <f aca="false">IFERROR(__xludf.dummyfunction("""COMPUTED_VALUE"""),44482.6666666667)</f>
        <v>44482.6666666667</v>
      </c>
      <c r="B198" s="5" t="n">
        <f aca="false">IFERROR(__xludf.dummyfunction("""COMPUTED_VALUE"""),141.24)</f>
        <v>141.24</v>
      </c>
      <c r="C198" s="5" t="n">
        <f aca="false">IFERROR(__xludf.dummyfunction("""COMPUTED_VALUE"""),141.4)</f>
        <v>141.4</v>
      </c>
      <c r="D198" s="5" t="n">
        <f aca="false">IFERROR(__xludf.dummyfunction("""COMPUTED_VALUE"""),139.2)</f>
        <v>139.2</v>
      </c>
      <c r="E198" s="5" t="n">
        <f aca="false">IFERROR(__xludf.dummyfunction("""COMPUTED_VALUE"""),140.91)</f>
        <v>140.91</v>
      </c>
      <c r="F198" s="5" t="n">
        <f aca="false">IFERROR(__xludf.dummyfunction("""COMPUTED_VALUE"""),78762721)</f>
        <v>78762721</v>
      </c>
    </row>
    <row r="199" customFormat="false" ht="15.75" hidden="false" customHeight="false" outlineLevel="0" collapsed="false">
      <c r="A199" s="6" t="n">
        <f aca="false">IFERROR(__xludf.dummyfunction("""COMPUTED_VALUE"""),44483.6666666667)</f>
        <v>44483.6666666667</v>
      </c>
      <c r="B199" s="5" t="n">
        <f aca="false">IFERROR(__xludf.dummyfunction("""COMPUTED_VALUE"""),142.11)</f>
        <v>142.11</v>
      </c>
      <c r="C199" s="5" t="n">
        <f aca="false">IFERROR(__xludf.dummyfunction("""COMPUTED_VALUE"""),143.88)</f>
        <v>143.88</v>
      </c>
      <c r="D199" s="5" t="n">
        <f aca="false">IFERROR(__xludf.dummyfunction("""COMPUTED_VALUE"""),141.51)</f>
        <v>141.51</v>
      </c>
      <c r="E199" s="5" t="n">
        <f aca="false">IFERROR(__xludf.dummyfunction("""COMPUTED_VALUE"""),143.76)</f>
        <v>143.76</v>
      </c>
      <c r="F199" s="5" t="n">
        <f aca="false">IFERROR(__xludf.dummyfunction("""COMPUTED_VALUE"""),69907100)</f>
        <v>69907100</v>
      </c>
    </row>
    <row r="200" customFormat="false" ht="15.75" hidden="false" customHeight="false" outlineLevel="0" collapsed="false">
      <c r="A200" s="6" t="n">
        <f aca="false">IFERROR(__xludf.dummyfunction("""COMPUTED_VALUE"""),44484.6666666667)</f>
        <v>44484.6666666667</v>
      </c>
      <c r="B200" s="5" t="n">
        <f aca="false">IFERROR(__xludf.dummyfunction("""COMPUTED_VALUE"""),143.77)</f>
        <v>143.77</v>
      </c>
      <c r="C200" s="5" t="n">
        <f aca="false">IFERROR(__xludf.dummyfunction("""COMPUTED_VALUE"""),144.9)</f>
        <v>144.9</v>
      </c>
      <c r="D200" s="5" t="n">
        <f aca="false">IFERROR(__xludf.dummyfunction("""COMPUTED_VALUE"""),143.51)</f>
        <v>143.51</v>
      </c>
      <c r="E200" s="5" t="n">
        <f aca="false">IFERROR(__xludf.dummyfunction("""COMPUTED_VALUE"""),144.84)</f>
        <v>144.84</v>
      </c>
      <c r="F200" s="5" t="n">
        <f aca="false">IFERROR(__xludf.dummyfunction("""COMPUTED_VALUE"""),67940334)</f>
        <v>67940334</v>
      </c>
    </row>
    <row r="201" customFormat="false" ht="15.75" hidden="false" customHeight="false" outlineLevel="0" collapsed="false">
      <c r="A201" s="6" t="n">
        <f aca="false">IFERROR(__xludf.dummyfunction("""COMPUTED_VALUE"""),44487.6666666667)</f>
        <v>44487.6666666667</v>
      </c>
      <c r="B201" s="5" t="n">
        <f aca="false">IFERROR(__xludf.dummyfunction("""COMPUTED_VALUE"""),143.45)</f>
        <v>143.45</v>
      </c>
      <c r="C201" s="5" t="n">
        <f aca="false">IFERROR(__xludf.dummyfunction("""COMPUTED_VALUE"""),146.84)</f>
        <v>146.84</v>
      </c>
      <c r="D201" s="5" t="n">
        <f aca="false">IFERROR(__xludf.dummyfunction("""COMPUTED_VALUE"""),143.16)</f>
        <v>143.16</v>
      </c>
      <c r="E201" s="5" t="n">
        <f aca="false">IFERROR(__xludf.dummyfunction("""COMPUTED_VALUE"""),146.55)</f>
        <v>146.55</v>
      </c>
      <c r="F201" s="5" t="n">
        <f aca="false">IFERROR(__xludf.dummyfunction("""COMPUTED_VALUE"""),85589175)</f>
        <v>85589175</v>
      </c>
    </row>
    <row r="202" customFormat="false" ht="15.75" hidden="false" customHeight="false" outlineLevel="0" collapsed="false">
      <c r="A202" s="6" t="n">
        <f aca="false">IFERROR(__xludf.dummyfunction("""COMPUTED_VALUE"""),44488.6666666667)</f>
        <v>44488.6666666667</v>
      </c>
      <c r="B202" s="5" t="n">
        <f aca="false">IFERROR(__xludf.dummyfunction("""COMPUTED_VALUE"""),147.01)</f>
        <v>147.01</v>
      </c>
      <c r="C202" s="5" t="n">
        <f aca="false">IFERROR(__xludf.dummyfunction("""COMPUTED_VALUE"""),149.17)</f>
        <v>149.17</v>
      </c>
      <c r="D202" s="5" t="n">
        <f aca="false">IFERROR(__xludf.dummyfunction("""COMPUTED_VALUE"""),146.55)</f>
        <v>146.55</v>
      </c>
      <c r="E202" s="5" t="n">
        <f aca="false">IFERROR(__xludf.dummyfunction("""COMPUTED_VALUE"""),148.76)</f>
        <v>148.76</v>
      </c>
      <c r="F202" s="5" t="n">
        <f aca="false">IFERROR(__xludf.dummyfunction("""COMPUTED_VALUE"""),76378894)</f>
        <v>76378894</v>
      </c>
    </row>
    <row r="203" customFormat="false" ht="15.75" hidden="false" customHeight="false" outlineLevel="0" collapsed="false">
      <c r="A203" s="6" t="n">
        <f aca="false">IFERROR(__xludf.dummyfunction("""COMPUTED_VALUE"""),44489.6666666667)</f>
        <v>44489.6666666667</v>
      </c>
      <c r="B203" s="5" t="n">
        <f aca="false">IFERROR(__xludf.dummyfunction("""COMPUTED_VALUE"""),148.7)</f>
        <v>148.7</v>
      </c>
      <c r="C203" s="5" t="n">
        <f aca="false">IFERROR(__xludf.dummyfunction("""COMPUTED_VALUE"""),149.75)</f>
        <v>149.75</v>
      </c>
      <c r="D203" s="5" t="n">
        <f aca="false">IFERROR(__xludf.dummyfunction("""COMPUTED_VALUE"""),148.12)</f>
        <v>148.12</v>
      </c>
      <c r="E203" s="5" t="n">
        <f aca="false">IFERROR(__xludf.dummyfunction("""COMPUTED_VALUE"""),149.26)</f>
        <v>149.26</v>
      </c>
      <c r="F203" s="5" t="n">
        <f aca="false">IFERROR(__xludf.dummyfunction("""COMPUTED_VALUE"""),58418788)</f>
        <v>58418788</v>
      </c>
    </row>
    <row r="204" customFormat="false" ht="15.75" hidden="false" customHeight="false" outlineLevel="0" collapsed="false">
      <c r="A204" s="6" t="n">
        <f aca="false">IFERROR(__xludf.dummyfunction("""COMPUTED_VALUE"""),44490.6666666667)</f>
        <v>44490.6666666667</v>
      </c>
      <c r="B204" s="5" t="n">
        <f aca="false">IFERROR(__xludf.dummyfunction("""COMPUTED_VALUE"""),148.81)</f>
        <v>148.81</v>
      </c>
      <c r="C204" s="5" t="n">
        <f aca="false">IFERROR(__xludf.dummyfunction("""COMPUTED_VALUE"""),149.64)</f>
        <v>149.64</v>
      </c>
      <c r="D204" s="5" t="n">
        <f aca="false">IFERROR(__xludf.dummyfunction("""COMPUTED_VALUE"""),147.87)</f>
        <v>147.87</v>
      </c>
      <c r="E204" s="5" t="n">
        <f aca="false">IFERROR(__xludf.dummyfunction("""COMPUTED_VALUE"""),149.48)</f>
        <v>149.48</v>
      </c>
      <c r="F204" s="5" t="n">
        <f aca="false">IFERROR(__xludf.dummyfunction("""COMPUTED_VALUE"""),61420990)</f>
        <v>61420990</v>
      </c>
    </row>
    <row r="205" customFormat="false" ht="15.75" hidden="false" customHeight="false" outlineLevel="0" collapsed="false">
      <c r="A205" s="6" t="n">
        <f aca="false">IFERROR(__xludf.dummyfunction("""COMPUTED_VALUE"""),44491.6666666667)</f>
        <v>44491.6666666667</v>
      </c>
      <c r="B205" s="5" t="n">
        <f aca="false">IFERROR(__xludf.dummyfunction("""COMPUTED_VALUE"""),149.69)</f>
        <v>149.69</v>
      </c>
      <c r="C205" s="5" t="n">
        <f aca="false">IFERROR(__xludf.dummyfunction("""COMPUTED_VALUE"""),150.18)</f>
        <v>150.18</v>
      </c>
      <c r="D205" s="5" t="n">
        <f aca="false">IFERROR(__xludf.dummyfunction("""COMPUTED_VALUE"""),148.64)</f>
        <v>148.64</v>
      </c>
      <c r="E205" s="5" t="n">
        <f aca="false">IFERROR(__xludf.dummyfunction("""COMPUTED_VALUE"""),148.69)</f>
        <v>148.69</v>
      </c>
      <c r="F205" s="5" t="n">
        <f aca="false">IFERROR(__xludf.dummyfunction("""COMPUTED_VALUE"""),58883443)</f>
        <v>58883443</v>
      </c>
    </row>
    <row r="206" customFormat="false" ht="15.75" hidden="false" customHeight="false" outlineLevel="0" collapsed="false">
      <c r="A206" s="6" t="n">
        <f aca="false">IFERROR(__xludf.dummyfunction("""COMPUTED_VALUE"""),44494.6666666667)</f>
        <v>44494.6666666667</v>
      </c>
      <c r="B206" s="5" t="n">
        <f aca="false">IFERROR(__xludf.dummyfunction("""COMPUTED_VALUE"""),148.68)</f>
        <v>148.68</v>
      </c>
      <c r="C206" s="5" t="n">
        <f aca="false">IFERROR(__xludf.dummyfunction("""COMPUTED_VALUE"""),149.37)</f>
        <v>149.37</v>
      </c>
      <c r="D206" s="5" t="n">
        <f aca="false">IFERROR(__xludf.dummyfunction("""COMPUTED_VALUE"""),147.62)</f>
        <v>147.62</v>
      </c>
      <c r="E206" s="5" t="n">
        <f aca="false">IFERROR(__xludf.dummyfunction("""COMPUTED_VALUE"""),148.64)</f>
        <v>148.64</v>
      </c>
      <c r="F206" s="5" t="n">
        <f aca="false">IFERROR(__xludf.dummyfunction("""COMPUTED_VALUE"""),50720556)</f>
        <v>50720556</v>
      </c>
    </row>
    <row r="207" customFormat="false" ht="15.75" hidden="false" customHeight="false" outlineLevel="0" collapsed="false">
      <c r="A207" s="6" t="n">
        <f aca="false">IFERROR(__xludf.dummyfunction("""COMPUTED_VALUE"""),44495.6666666667)</f>
        <v>44495.6666666667</v>
      </c>
      <c r="B207" s="5" t="n">
        <f aca="false">IFERROR(__xludf.dummyfunction("""COMPUTED_VALUE"""),149.33)</f>
        <v>149.33</v>
      </c>
      <c r="C207" s="5" t="n">
        <f aca="false">IFERROR(__xludf.dummyfunction("""COMPUTED_VALUE"""),150.84)</f>
        <v>150.84</v>
      </c>
      <c r="D207" s="5" t="n">
        <f aca="false">IFERROR(__xludf.dummyfunction("""COMPUTED_VALUE"""),149.01)</f>
        <v>149.01</v>
      </c>
      <c r="E207" s="5" t="n">
        <f aca="false">IFERROR(__xludf.dummyfunction("""COMPUTED_VALUE"""),149.32)</f>
        <v>149.32</v>
      </c>
      <c r="F207" s="5" t="n">
        <f aca="false">IFERROR(__xludf.dummyfunction("""COMPUTED_VALUE"""),60893395)</f>
        <v>60893395</v>
      </c>
    </row>
    <row r="208" customFormat="false" ht="15.75" hidden="false" customHeight="false" outlineLevel="0" collapsed="false">
      <c r="A208" s="6" t="n">
        <f aca="false">IFERROR(__xludf.dummyfunction("""COMPUTED_VALUE"""),44496.6666666667)</f>
        <v>44496.6666666667</v>
      </c>
      <c r="B208" s="5" t="n">
        <f aca="false">IFERROR(__xludf.dummyfunction("""COMPUTED_VALUE"""),149.36)</f>
        <v>149.36</v>
      </c>
      <c r="C208" s="5" t="n">
        <f aca="false">IFERROR(__xludf.dummyfunction("""COMPUTED_VALUE"""),149.73)</f>
        <v>149.73</v>
      </c>
      <c r="D208" s="5" t="n">
        <f aca="false">IFERROR(__xludf.dummyfunction("""COMPUTED_VALUE"""),148.49)</f>
        <v>148.49</v>
      </c>
      <c r="E208" s="5" t="n">
        <f aca="false">IFERROR(__xludf.dummyfunction("""COMPUTED_VALUE"""),148.85)</f>
        <v>148.85</v>
      </c>
      <c r="F208" s="5" t="n">
        <f aca="false">IFERROR(__xludf.dummyfunction("""COMPUTED_VALUE"""),56094929)</f>
        <v>56094929</v>
      </c>
    </row>
    <row r="209" customFormat="false" ht="15.75" hidden="false" customHeight="false" outlineLevel="0" collapsed="false">
      <c r="A209" s="6" t="n">
        <f aca="false">IFERROR(__xludf.dummyfunction("""COMPUTED_VALUE"""),44497.6666666667)</f>
        <v>44497.6666666667</v>
      </c>
      <c r="B209" s="5" t="n">
        <f aca="false">IFERROR(__xludf.dummyfunction("""COMPUTED_VALUE"""),149.82)</f>
        <v>149.82</v>
      </c>
      <c r="C209" s="5" t="n">
        <f aca="false">IFERROR(__xludf.dummyfunction("""COMPUTED_VALUE"""),153.17)</f>
        <v>153.17</v>
      </c>
      <c r="D209" s="5" t="n">
        <f aca="false">IFERROR(__xludf.dummyfunction("""COMPUTED_VALUE"""),149.72)</f>
        <v>149.72</v>
      </c>
      <c r="E209" s="5" t="n">
        <f aca="false">IFERROR(__xludf.dummyfunction("""COMPUTED_VALUE"""),152.57)</f>
        <v>152.57</v>
      </c>
      <c r="F209" s="5" t="n">
        <f aca="false">IFERROR(__xludf.dummyfunction("""COMPUTED_VALUE"""),100077888)</f>
        <v>100077888</v>
      </c>
    </row>
    <row r="210" customFormat="false" ht="15.75" hidden="false" customHeight="false" outlineLevel="0" collapsed="false">
      <c r="A210" s="6" t="n">
        <f aca="false">IFERROR(__xludf.dummyfunction("""COMPUTED_VALUE"""),44498.6666666667)</f>
        <v>44498.6666666667</v>
      </c>
      <c r="B210" s="5" t="n">
        <f aca="false">IFERROR(__xludf.dummyfunction("""COMPUTED_VALUE"""),147.22)</f>
        <v>147.22</v>
      </c>
      <c r="C210" s="5" t="n">
        <f aca="false">IFERROR(__xludf.dummyfunction("""COMPUTED_VALUE"""),149.94)</f>
        <v>149.94</v>
      </c>
      <c r="D210" s="5" t="n">
        <f aca="false">IFERROR(__xludf.dummyfunction("""COMPUTED_VALUE"""),146.41)</f>
        <v>146.41</v>
      </c>
      <c r="E210" s="5" t="n">
        <f aca="false">IFERROR(__xludf.dummyfunction("""COMPUTED_VALUE"""),149.8)</f>
        <v>149.8</v>
      </c>
      <c r="F210" s="5" t="n">
        <f aca="false">IFERROR(__xludf.dummyfunction("""COMPUTED_VALUE"""),124953168)</f>
        <v>124953168</v>
      </c>
    </row>
    <row r="211" customFormat="false" ht="15.75" hidden="false" customHeight="false" outlineLevel="0" collapsed="false">
      <c r="A211" s="6" t="n">
        <f aca="false">IFERROR(__xludf.dummyfunction("""COMPUTED_VALUE"""),44501.6666666667)</f>
        <v>44501.6666666667</v>
      </c>
      <c r="B211" s="5" t="n">
        <f aca="false">IFERROR(__xludf.dummyfunction("""COMPUTED_VALUE"""),148.99)</f>
        <v>148.99</v>
      </c>
      <c r="C211" s="5" t="n">
        <f aca="false">IFERROR(__xludf.dummyfunction("""COMPUTED_VALUE"""),149.7)</f>
        <v>149.7</v>
      </c>
      <c r="D211" s="5" t="n">
        <f aca="false">IFERROR(__xludf.dummyfunction("""COMPUTED_VALUE"""),147.8)</f>
        <v>147.8</v>
      </c>
      <c r="E211" s="5" t="n">
        <f aca="false">IFERROR(__xludf.dummyfunction("""COMPUTED_VALUE"""),148.96)</f>
        <v>148.96</v>
      </c>
      <c r="F211" s="5" t="n">
        <f aca="false">IFERROR(__xludf.dummyfunction("""COMPUTED_VALUE"""),74588258)</f>
        <v>74588258</v>
      </c>
    </row>
    <row r="212" customFormat="false" ht="15.75" hidden="false" customHeight="false" outlineLevel="0" collapsed="false">
      <c r="A212" s="6" t="n">
        <f aca="false">IFERROR(__xludf.dummyfunction("""COMPUTED_VALUE"""),44502.6666666667)</f>
        <v>44502.6666666667</v>
      </c>
      <c r="B212" s="5" t="n">
        <f aca="false">IFERROR(__xludf.dummyfunction("""COMPUTED_VALUE"""),148.66)</f>
        <v>148.66</v>
      </c>
      <c r="C212" s="5" t="n">
        <f aca="false">IFERROR(__xludf.dummyfunction("""COMPUTED_VALUE"""),151.57)</f>
        <v>151.57</v>
      </c>
      <c r="D212" s="5" t="n">
        <f aca="false">IFERROR(__xludf.dummyfunction("""COMPUTED_VALUE"""),148.65)</f>
        <v>148.65</v>
      </c>
      <c r="E212" s="5" t="n">
        <f aca="false">IFERROR(__xludf.dummyfunction("""COMPUTED_VALUE"""),150.02)</f>
        <v>150.02</v>
      </c>
      <c r="F212" s="5" t="n">
        <f aca="false">IFERROR(__xludf.dummyfunction("""COMPUTED_VALUE"""),69121987)</f>
        <v>69121987</v>
      </c>
    </row>
    <row r="213" customFormat="false" ht="15.75" hidden="false" customHeight="false" outlineLevel="0" collapsed="false">
      <c r="A213" s="6" t="n">
        <f aca="false">IFERROR(__xludf.dummyfunction("""COMPUTED_VALUE"""),44503.6666666667)</f>
        <v>44503.6666666667</v>
      </c>
      <c r="B213" s="5" t="n">
        <f aca="false">IFERROR(__xludf.dummyfunction("""COMPUTED_VALUE"""),150.39)</f>
        <v>150.39</v>
      </c>
      <c r="C213" s="5" t="n">
        <f aca="false">IFERROR(__xludf.dummyfunction("""COMPUTED_VALUE"""),151.97)</f>
        <v>151.97</v>
      </c>
      <c r="D213" s="5" t="n">
        <f aca="false">IFERROR(__xludf.dummyfunction("""COMPUTED_VALUE"""),149.82)</f>
        <v>149.82</v>
      </c>
      <c r="E213" s="5" t="n">
        <f aca="false">IFERROR(__xludf.dummyfunction("""COMPUTED_VALUE"""),151.49)</f>
        <v>151.49</v>
      </c>
      <c r="F213" s="5" t="n">
        <f aca="false">IFERROR(__xludf.dummyfunction("""COMPUTED_VALUE"""),54511534)</f>
        <v>54511534</v>
      </c>
    </row>
    <row r="214" customFormat="false" ht="15.75" hidden="false" customHeight="false" outlineLevel="0" collapsed="false">
      <c r="A214" s="6" t="n">
        <f aca="false">IFERROR(__xludf.dummyfunction("""COMPUTED_VALUE"""),44504.6666666667)</f>
        <v>44504.6666666667</v>
      </c>
      <c r="B214" s="5" t="n">
        <f aca="false">IFERROR(__xludf.dummyfunction("""COMPUTED_VALUE"""),151.58)</f>
        <v>151.58</v>
      </c>
      <c r="C214" s="5" t="n">
        <f aca="false">IFERROR(__xludf.dummyfunction("""COMPUTED_VALUE"""),152.43)</f>
        <v>152.43</v>
      </c>
      <c r="D214" s="5" t="n">
        <f aca="false">IFERROR(__xludf.dummyfunction("""COMPUTED_VALUE"""),150.64)</f>
        <v>150.64</v>
      </c>
      <c r="E214" s="5" t="n">
        <f aca="false">IFERROR(__xludf.dummyfunction("""COMPUTED_VALUE"""),150.96)</f>
        <v>150.96</v>
      </c>
      <c r="F214" s="5" t="n">
        <f aca="false">IFERROR(__xludf.dummyfunction("""COMPUTED_VALUE"""),60394616)</f>
        <v>60394616</v>
      </c>
    </row>
    <row r="215" customFormat="false" ht="15.75" hidden="false" customHeight="false" outlineLevel="0" collapsed="false">
      <c r="A215" s="6" t="n">
        <f aca="false">IFERROR(__xludf.dummyfunction("""COMPUTED_VALUE"""),44505.6666666667)</f>
        <v>44505.6666666667</v>
      </c>
      <c r="B215" s="5" t="n">
        <f aca="false">IFERROR(__xludf.dummyfunction("""COMPUTED_VALUE"""),151.89)</f>
        <v>151.89</v>
      </c>
      <c r="C215" s="5" t="n">
        <f aca="false">IFERROR(__xludf.dummyfunction("""COMPUTED_VALUE"""),152.2)</f>
        <v>152.2</v>
      </c>
      <c r="D215" s="5" t="n">
        <f aca="false">IFERROR(__xludf.dummyfunction("""COMPUTED_VALUE"""),150.06)</f>
        <v>150.06</v>
      </c>
      <c r="E215" s="5" t="n">
        <f aca="false">IFERROR(__xludf.dummyfunction("""COMPUTED_VALUE"""),151.28)</f>
        <v>151.28</v>
      </c>
      <c r="F215" s="5" t="n">
        <f aca="false">IFERROR(__xludf.dummyfunction("""COMPUTED_VALUE"""),65463883)</f>
        <v>65463883</v>
      </c>
    </row>
    <row r="216" customFormat="false" ht="15.75" hidden="false" customHeight="false" outlineLevel="0" collapsed="false">
      <c r="A216" s="6" t="n">
        <f aca="false">IFERROR(__xludf.dummyfunction("""COMPUTED_VALUE"""),44508.6666666667)</f>
        <v>44508.6666666667</v>
      </c>
      <c r="B216" s="5" t="n">
        <f aca="false">IFERROR(__xludf.dummyfunction("""COMPUTED_VALUE"""),151.41)</f>
        <v>151.41</v>
      </c>
      <c r="C216" s="5" t="n">
        <f aca="false">IFERROR(__xludf.dummyfunction("""COMPUTED_VALUE"""),151.57)</f>
        <v>151.57</v>
      </c>
      <c r="D216" s="5" t="n">
        <f aca="false">IFERROR(__xludf.dummyfunction("""COMPUTED_VALUE"""),150.16)</f>
        <v>150.16</v>
      </c>
      <c r="E216" s="5" t="n">
        <f aca="false">IFERROR(__xludf.dummyfunction("""COMPUTED_VALUE"""),150.44)</f>
        <v>150.44</v>
      </c>
      <c r="F216" s="5" t="n">
        <f aca="false">IFERROR(__xludf.dummyfunction("""COMPUTED_VALUE"""),55020868)</f>
        <v>55020868</v>
      </c>
    </row>
    <row r="217" customFormat="false" ht="15.75" hidden="false" customHeight="false" outlineLevel="0" collapsed="false">
      <c r="A217" s="6" t="n">
        <f aca="false">IFERROR(__xludf.dummyfunction("""COMPUTED_VALUE"""),44509.6666666667)</f>
        <v>44509.6666666667</v>
      </c>
      <c r="B217" s="5" t="n">
        <f aca="false">IFERROR(__xludf.dummyfunction("""COMPUTED_VALUE"""),150.2)</f>
        <v>150.2</v>
      </c>
      <c r="C217" s="5" t="n">
        <f aca="false">IFERROR(__xludf.dummyfunction("""COMPUTED_VALUE"""),151.43)</f>
        <v>151.43</v>
      </c>
      <c r="D217" s="5" t="n">
        <f aca="false">IFERROR(__xludf.dummyfunction("""COMPUTED_VALUE"""),150.06)</f>
        <v>150.06</v>
      </c>
      <c r="E217" s="5" t="n">
        <f aca="false">IFERROR(__xludf.dummyfunction("""COMPUTED_VALUE"""),150.81)</f>
        <v>150.81</v>
      </c>
      <c r="F217" s="5" t="n">
        <f aca="false">IFERROR(__xludf.dummyfunction("""COMPUTED_VALUE"""),56787930)</f>
        <v>56787930</v>
      </c>
    </row>
    <row r="218" customFormat="false" ht="15.75" hidden="false" customHeight="false" outlineLevel="0" collapsed="false">
      <c r="A218" s="6" t="n">
        <f aca="false">IFERROR(__xludf.dummyfunction("""COMPUTED_VALUE"""),44510.6666666667)</f>
        <v>44510.6666666667</v>
      </c>
      <c r="B218" s="5" t="n">
        <f aca="false">IFERROR(__xludf.dummyfunction("""COMPUTED_VALUE"""),150.02)</f>
        <v>150.02</v>
      </c>
      <c r="C218" s="5" t="n">
        <f aca="false">IFERROR(__xludf.dummyfunction("""COMPUTED_VALUE"""),150.13)</f>
        <v>150.13</v>
      </c>
      <c r="D218" s="5" t="n">
        <f aca="false">IFERROR(__xludf.dummyfunction("""COMPUTED_VALUE"""),147.85)</f>
        <v>147.85</v>
      </c>
      <c r="E218" s="5" t="n">
        <f aca="false">IFERROR(__xludf.dummyfunction("""COMPUTED_VALUE"""),147.92)</f>
        <v>147.92</v>
      </c>
      <c r="F218" s="5" t="n">
        <f aca="false">IFERROR(__xludf.dummyfunction("""COMPUTED_VALUE"""),65187092)</f>
        <v>65187092</v>
      </c>
    </row>
    <row r="219" customFormat="false" ht="15.75" hidden="false" customHeight="false" outlineLevel="0" collapsed="false">
      <c r="A219" s="6" t="n">
        <f aca="false">IFERROR(__xludf.dummyfunction("""COMPUTED_VALUE"""),44511.6666666667)</f>
        <v>44511.6666666667</v>
      </c>
      <c r="B219" s="5" t="n">
        <f aca="false">IFERROR(__xludf.dummyfunction("""COMPUTED_VALUE"""),148.96)</f>
        <v>148.96</v>
      </c>
      <c r="C219" s="5" t="n">
        <f aca="false">IFERROR(__xludf.dummyfunction("""COMPUTED_VALUE"""),149.43)</f>
        <v>149.43</v>
      </c>
      <c r="D219" s="5" t="n">
        <f aca="false">IFERROR(__xludf.dummyfunction("""COMPUTED_VALUE"""),147.68)</f>
        <v>147.68</v>
      </c>
      <c r="E219" s="5" t="n">
        <f aca="false">IFERROR(__xludf.dummyfunction("""COMPUTED_VALUE"""),147.87)</f>
        <v>147.87</v>
      </c>
      <c r="F219" s="5" t="n">
        <f aca="false">IFERROR(__xludf.dummyfunction("""COMPUTED_VALUE"""),40999950)</f>
        <v>40999950</v>
      </c>
    </row>
    <row r="220" customFormat="false" ht="15.75" hidden="false" customHeight="false" outlineLevel="0" collapsed="false">
      <c r="A220" s="6" t="n">
        <f aca="false">IFERROR(__xludf.dummyfunction("""COMPUTED_VALUE"""),44512.6666666667)</f>
        <v>44512.6666666667</v>
      </c>
      <c r="B220" s="5" t="n">
        <f aca="false">IFERROR(__xludf.dummyfunction("""COMPUTED_VALUE"""),148.43)</f>
        <v>148.43</v>
      </c>
      <c r="C220" s="5" t="n">
        <f aca="false">IFERROR(__xludf.dummyfunction("""COMPUTED_VALUE"""),150.4)</f>
        <v>150.4</v>
      </c>
      <c r="D220" s="5" t="n">
        <f aca="false">IFERROR(__xludf.dummyfunction("""COMPUTED_VALUE"""),147.48)</f>
        <v>147.48</v>
      </c>
      <c r="E220" s="5" t="n">
        <f aca="false">IFERROR(__xludf.dummyfunction("""COMPUTED_VALUE"""),149.99)</f>
        <v>149.99</v>
      </c>
      <c r="F220" s="5" t="n">
        <f aca="false">IFERROR(__xludf.dummyfunction("""COMPUTED_VALUE"""),63804008)</f>
        <v>63804008</v>
      </c>
    </row>
    <row r="221" customFormat="false" ht="15.75" hidden="false" customHeight="false" outlineLevel="0" collapsed="false">
      <c r="A221" s="6" t="n">
        <f aca="false">IFERROR(__xludf.dummyfunction("""COMPUTED_VALUE"""),44515.6666666667)</f>
        <v>44515.6666666667</v>
      </c>
      <c r="B221" s="5" t="n">
        <f aca="false">IFERROR(__xludf.dummyfunction("""COMPUTED_VALUE"""),150.37)</f>
        <v>150.37</v>
      </c>
      <c r="C221" s="5" t="n">
        <f aca="false">IFERROR(__xludf.dummyfunction("""COMPUTED_VALUE"""),151.88)</f>
        <v>151.88</v>
      </c>
      <c r="D221" s="5" t="n">
        <f aca="false">IFERROR(__xludf.dummyfunction("""COMPUTED_VALUE"""),149.43)</f>
        <v>149.43</v>
      </c>
      <c r="E221" s="5" t="n">
        <f aca="false">IFERROR(__xludf.dummyfunction("""COMPUTED_VALUE"""),150)</f>
        <v>150</v>
      </c>
      <c r="F221" s="5" t="n">
        <f aca="false">IFERROR(__xludf.dummyfunction("""COMPUTED_VALUE"""),59222803)</f>
        <v>59222803</v>
      </c>
    </row>
    <row r="222" customFormat="false" ht="15.75" hidden="false" customHeight="false" outlineLevel="0" collapsed="false">
      <c r="A222" s="6" t="n">
        <f aca="false">IFERROR(__xludf.dummyfunction("""COMPUTED_VALUE"""),44516.6666666667)</f>
        <v>44516.6666666667</v>
      </c>
      <c r="B222" s="5" t="n">
        <f aca="false">IFERROR(__xludf.dummyfunction("""COMPUTED_VALUE"""),149.94)</f>
        <v>149.94</v>
      </c>
      <c r="C222" s="5" t="n">
        <f aca="false">IFERROR(__xludf.dummyfunction("""COMPUTED_VALUE"""),151.49)</f>
        <v>151.49</v>
      </c>
      <c r="D222" s="5" t="n">
        <f aca="false">IFERROR(__xludf.dummyfunction("""COMPUTED_VALUE"""),149.34)</f>
        <v>149.34</v>
      </c>
      <c r="E222" s="5" t="n">
        <f aca="false">IFERROR(__xludf.dummyfunction("""COMPUTED_VALUE"""),151)</f>
        <v>151</v>
      </c>
      <c r="F222" s="5" t="n">
        <f aca="false">IFERROR(__xludf.dummyfunction("""COMPUTED_VALUE"""),59256210)</f>
        <v>59256210</v>
      </c>
    </row>
    <row r="223" customFormat="false" ht="15.75" hidden="false" customHeight="false" outlineLevel="0" collapsed="false">
      <c r="A223" s="6" t="n">
        <f aca="false">IFERROR(__xludf.dummyfunction("""COMPUTED_VALUE"""),44517.6666666667)</f>
        <v>44517.6666666667</v>
      </c>
      <c r="B223" s="5" t="n">
        <f aca="false">IFERROR(__xludf.dummyfunction("""COMPUTED_VALUE"""),151)</f>
        <v>151</v>
      </c>
      <c r="C223" s="5" t="n">
        <f aca="false">IFERROR(__xludf.dummyfunction("""COMPUTED_VALUE"""),155)</f>
        <v>155</v>
      </c>
      <c r="D223" s="5" t="n">
        <f aca="false">IFERROR(__xludf.dummyfunction("""COMPUTED_VALUE"""),150.99)</f>
        <v>150.99</v>
      </c>
      <c r="E223" s="5" t="n">
        <f aca="false">IFERROR(__xludf.dummyfunction("""COMPUTED_VALUE"""),153.49)</f>
        <v>153.49</v>
      </c>
      <c r="F223" s="5" t="n">
        <f aca="false">IFERROR(__xludf.dummyfunction("""COMPUTED_VALUE"""),88807000)</f>
        <v>88807000</v>
      </c>
    </row>
    <row r="224" customFormat="false" ht="15.75" hidden="false" customHeight="false" outlineLevel="0" collapsed="false">
      <c r="A224" s="6" t="n">
        <f aca="false">IFERROR(__xludf.dummyfunction("""COMPUTED_VALUE"""),44518.6666666667)</f>
        <v>44518.6666666667</v>
      </c>
      <c r="B224" s="5" t="n">
        <f aca="false">IFERROR(__xludf.dummyfunction("""COMPUTED_VALUE"""),153.71)</f>
        <v>153.71</v>
      </c>
      <c r="C224" s="5" t="n">
        <f aca="false">IFERROR(__xludf.dummyfunction("""COMPUTED_VALUE"""),158.67)</f>
        <v>158.67</v>
      </c>
      <c r="D224" s="5" t="n">
        <f aca="false">IFERROR(__xludf.dummyfunction("""COMPUTED_VALUE"""),153.05)</f>
        <v>153.05</v>
      </c>
      <c r="E224" s="5" t="n">
        <f aca="false">IFERROR(__xludf.dummyfunction("""COMPUTED_VALUE"""),157.87)</f>
        <v>157.87</v>
      </c>
      <c r="F224" s="5" t="n">
        <f aca="false">IFERROR(__xludf.dummyfunction("""COMPUTED_VALUE"""),137827673)</f>
        <v>137827673</v>
      </c>
    </row>
    <row r="225" customFormat="false" ht="15.75" hidden="false" customHeight="false" outlineLevel="0" collapsed="false">
      <c r="A225" s="6" t="n">
        <f aca="false">IFERROR(__xludf.dummyfunction("""COMPUTED_VALUE"""),44519.6666666667)</f>
        <v>44519.6666666667</v>
      </c>
      <c r="B225" s="5" t="n">
        <f aca="false">IFERROR(__xludf.dummyfunction("""COMPUTED_VALUE"""),157.65)</f>
        <v>157.65</v>
      </c>
      <c r="C225" s="5" t="n">
        <f aca="false">IFERROR(__xludf.dummyfunction("""COMPUTED_VALUE"""),161.02)</f>
        <v>161.02</v>
      </c>
      <c r="D225" s="5" t="n">
        <f aca="false">IFERROR(__xludf.dummyfunction("""COMPUTED_VALUE"""),156.53)</f>
        <v>156.53</v>
      </c>
      <c r="E225" s="5" t="n">
        <f aca="false">IFERROR(__xludf.dummyfunction("""COMPUTED_VALUE"""),160.55)</f>
        <v>160.55</v>
      </c>
      <c r="F225" s="5" t="n">
        <f aca="false">IFERROR(__xludf.dummyfunction("""COMPUTED_VALUE"""),117305597)</f>
        <v>117305597</v>
      </c>
    </row>
    <row r="226" customFormat="false" ht="15.75" hidden="false" customHeight="false" outlineLevel="0" collapsed="false">
      <c r="A226" s="6" t="n">
        <f aca="false">IFERROR(__xludf.dummyfunction("""COMPUTED_VALUE"""),44522.6666666667)</f>
        <v>44522.6666666667</v>
      </c>
      <c r="B226" s="5" t="n">
        <f aca="false">IFERROR(__xludf.dummyfunction("""COMPUTED_VALUE"""),161.68)</f>
        <v>161.68</v>
      </c>
      <c r="C226" s="5" t="n">
        <f aca="false">IFERROR(__xludf.dummyfunction("""COMPUTED_VALUE"""),165.7)</f>
        <v>165.7</v>
      </c>
      <c r="D226" s="5" t="n">
        <f aca="false">IFERROR(__xludf.dummyfunction("""COMPUTED_VALUE"""),161)</f>
        <v>161</v>
      </c>
      <c r="E226" s="5" t="n">
        <f aca="false">IFERROR(__xludf.dummyfunction("""COMPUTED_VALUE"""),161.02)</f>
        <v>161.02</v>
      </c>
      <c r="F226" s="5" t="n">
        <f aca="false">IFERROR(__xludf.dummyfunction("""COMPUTED_VALUE"""),117467889)</f>
        <v>117467889</v>
      </c>
    </row>
    <row r="227" customFormat="false" ht="15.75" hidden="false" customHeight="false" outlineLevel="0" collapsed="false">
      <c r="A227" s="6" t="n">
        <f aca="false">IFERROR(__xludf.dummyfunction("""COMPUTED_VALUE"""),44523.6666666667)</f>
        <v>44523.6666666667</v>
      </c>
      <c r="B227" s="5" t="n">
        <f aca="false">IFERROR(__xludf.dummyfunction("""COMPUTED_VALUE"""),161.12)</f>
        <v>161.12</v>
      </c>
      <c r="C227" s="5" t="n">
        <f aca="false">IFERROR(__xludf.dummyfunction("""COMPUTED_VALUE"""),161.8)</f>
        <v>161.8</v>
      </c>
      <c r="D227" s="5" t="n">
        <f aca="false">IFERROR(__xludf.dummyfunction("""COMPUTED_VALUE"""),159.06)</f>
        <v>159.06</v>
      </c>
      <c r="E227" s="5" t="n">
        <f aca="false">IFERROR(__xludf.dummyfunction("""COMPUTED_VALUE"""),161.41)</f>
        <v>161.41</v>
      </c>
      <c r="F227" s="5" t="n">
        <f aca="false">IFERROR(__xludf.dummyfunction("""COMPUTED_VALUE"""),96041899)</f>
        <v>96041899</v>
      </c>
    </row>
    <row r="228" customFormat="false" ht="15.75" hidden="false" customHeight="false" outlineLevel="0" collapsed="false">
      <c r="A228" s="6" t="n">
        <f aca="false">IFERROR(__xludf.dummyfunction("""COMPUTED_VALUE"""),44524.6666666667)</f>
        <v>44524.6666666667</v>
      </c>
      <c r="B228" s="5" t="n">
        <f aca="false">IFERROR(__xludf.dummyfunction("""COMPUTED_VALUE"""),160.75)</f>
        <v>160.75</v>
      </c>
      <c r="C228" s="5" t="n">
        <f aca="false">IFERROR(__xludf.dummyfunction("""COMPUTED_VALUE"""),162.14)</f>
        <v>162.14</v>
      </c>
      <c r="D228" s="5" t="n">
        <f aca="false">IFERROR(__xludf.dummyfunction("""COMPUTED_VALUE"""),159.64)</f>
        <v>159.64</v>
      </c>
      <c r="E228" s="5" t="n">
        <f aca="false">IFERROR(__xludf.dummyfunction("""COMPUTED_VALUE"""),161.94)</f>
        <v>161.94</v>
      </c>
      <c r="F228" s="5" t="n">
        <f aca="false">IFERROR(__xludf.dummyfunction("""COMPUTED_VALUE"""),69463623)</f>
        <v>69463623</v>
      </c>
    </row>
    <row r="229" customFormat="false" ht="15.75" hidden="false" customHeight="false" outlineLevel="0" collapsed="false">
      <c r="A229" s="6" t="n">
        <f aca="false">IFERROR(__xludf.dummyfunction("""COMPUTED_VALUE"""),44526.5416666667)</f>
        <v>44526.5416666667</v>
      </c>
      <c r="B229" s="5" t="n">
        <f aca="false">IFERROR(__xludf.dummyfunction("""COMPUTED_VALUE"""),159.57)</f>
        <v>159.57</v>
      </c>
      <c r="C229" s="5" t="n">
        <f aca="false">IFERROR(__xludf.dummyfunction("""COMPUTED_VALUE"""),160.45)</f>
        <v>160.45</v>
      </c>
      <c r="D229" s="5" t="n">
        <f aca="false">IFERROR(__xludf.dummyfunction("""COMPUTED_VALUE"""),156.36)</f>
        <v>156.36</v>
      </c>
      <c r="E229" s="5" t="n">
        <f aca="false">IFERROR(__xludf.dummyfunction("""COMPUTED_VALUE"""),156.81)</f>
        <v>156.81</v>
      </c>
      <c r="F229" s="5" t="n">
        <f aca="false">IFERROR(__xludf.dummyfunction("""COMPUTED_VALUE"""),76959752)</f>
        <v>76959752</v>
      </c>
    </row>
    <row r="230" customFormat="false" ht="15.75" hidden="false" customHeight="false" outlineLevel="0" collapsed="false">
      <c r="A230" s="6" t="n">
        <f aca="false">IFERROR(__xludf.dummyfunction("""COMPUTED_VALUE"""),44529.6666666667)</f>
        <v>44529.6666666667</v>
      </c>
      <c r="B230" s="5" t="n">
        <f aca="false">IFERROR(__xludf.dummyfunction("""COMPUTED_VALUE"""),159.37)</f>
        <v>159.37</v>
      </c>
      <c r="C230" s="5" t="n">
        <f aca="false">IFERROR(__xludf.dummyfunction("""COMPUTED_VALUE"""),161.19)</f>
        <v>161.19</v>
      </c>
      <c r="D230" s="5" t="n">
        <f aca="false">IFERROR(__xludf.dummyfunction("""COMPUTED_VALUE"""),158.79)</f>
        <v>158.79</v>
      </c>
      <c r="E230" s="5" t="n">
        <f aca="false">IFERROR(__xludf.dummyfunction("""COMPUTED_VALUE"""),160.24)</f>
        <v>160.24</v>
      </c>
      <c r="F230" s="5" t="n">
        <f aca="false">IFERROR(__xludf.dummyfunction("""COMPUTED_VALUE"""),88748217)</f>
        <v>88748217</v>
      </c>
    </row>
    <row r="231" customFormat="false" ht="15.75" hidden="false" customHeight="false" outlineLevel="0" collapsed="false">
      <c r="A231" s="6" t="n">
        <f aca="false">IFERROR(__xludf.dummyfunction("""COMPUTED_VALUE"""),44530.6666666667)</f>
        <v>44530.6666666667</v>
      </c>
      <c r="B231" s="5" t="n">
        <f aca="false">IFERROR(__xludf.dummyfunction("""COMPUTED_VALUE"""),159.99)</f>
        <v>159.99</v>
      </c>
      <c r="C231" s="5" t="n">
        <f aca="false">IFERROR(__xludf.dummyfunction("""COMPUTED_VALUE"""),165.52)</f>
        <v>165.52</v>
      </c>
      <c r="D231" s="5" t="n">
        <f aca="false">IFERROR(__xludf.dummyfunction("""COMPUTED_VALUE"""),159.92)</f>
        <v>159.92</v>
      </c>
      <c r="E231" s="5" t="n">
        <f aca="false">IFERROR(__xludf.dummyfunction("""COMPUTED_VALUE"""),165.3)</f>
        <v>165.3</v>
      </c>
      <c r="F231" s="5" t="n">
        <f aca="false">IFERROR(__xludf.dummyfunction("""COMPUTED_VALUE"""),174048056)</f>
        <v>174048056</v>
      </c>
    </row>
    <row r="232" customFormat="false" ht="15.75" hidden="false" customHeight="false" outlineLevel="0" collapsed="false">
      <c r="A232" s="6" t="n">
        <f aca="false">IFERROR(__xludf.dummyfunction("""COMPUTED_VALUE"""),44531.6666666667)</f>
        <v>44531.6666666667</v>
      </c>
      <c r="B232" s="5" t="n">
        <f aca="false">IFERROR(__xludf.dummyfunction("""COMPUTED_VALUE"""),167.48)</f>
        <v>167.48</v>
      </c>
      <c r="C232" s="5" t="n">
        <f aca="false">IFERROR(__xludf.dummyfunction("""COMPUTED_VALUE"""),170.3)</f>
        <v>170.3</v>
      </c>
      <c r="D232" s="5" t="n">
        <f aca="false">IFERROR(__xludf.dummyfunction("""COMPUTED_VALUE"""),164.53)</f>
        <v>164.53</v>
      </c>
      <c r="E232" s="5" t="n">
        <f aca="false">IFERROR(__xludf.dummyfunction("""COMPUTED_VALUE"""),164.77)</f>
        <v>164.77</v>
      </c>
      <c r="F232" s="5" t="n">
        <f aca="false">IFERROR(__xludf.dummyfunction("""COMPUTED_VALUE"""),152423003)</f>
        <v>152423003</v>
      </c>
    </row>
    <row r="233" customFormat="false" ht="15.75" hidden="false" customHeight="false" outlineLevel="0" collapsed="false">
      <c r="A233" s="6" t="n">
        <f aca="false">IFERROR(__xludf.dummyfunction("""COMPUTED_VALUE"""),44532.6666666667)</f>
        <v>44532.6666666667</v>
      </c>
      <c r="B233" s="5" t="n">
        <f aca="false">IFERROR(__xludf.dummyfunction("""COMPUTED_VALUE"""),158.74)</f>
        <v>158.74</v>
      </c>
      <c r="C233" s="5" t="n">
        <f aca="false">IFERROR(__xludf.dummyfunction("""COMPUTED_VALUE"""),164.2)</f>
        <v>164.2</v>
      </c>
      <c r="D233" s="5" t="n">
        <f aca="false">IFERROR(__xludf.dummyfunction("""COMPUTED_VALUE"""),157.8)</f>
        <v>157.8</v>
      </c>
      <c r="E233" s="5" t="n">
        <f aca="false">IFERROR(__xludf.dummyfunction("""COMPUTED_VALUE"""),163.76)</f>
        <v>163.76</v>
      </c>
      <c r="F233" s="5" t="n">
        <f aca="false">IFERROR(__xludf.dummyfunction("""COMPUTED_VALUE"""),136739174)</f>
        <v>136739174</v>
      </c>
    </row>
    <row r="234" customFormat="false" ht="15.75" hidden="false" customHeight="false" outlineLevel="0" collapsed="false">
      <c r="A234" s="6" t="n">
        <f aca="false">IFERROR(__xludf.dummyfunction("""COMPUTED_VALUE"""),44533.6666666667)</f>
        <v>44533.6666666667</v>
      </c>
      <c r="B234" s="5" t="n">
        <f aca="false">IFERROR(__xludf.dummyfunction("""COMPUTED_VALUE"""),164.02)</f>
        <v>164.02</v>
      </c>
      <c r="C234" s="5" t="n">
        <f aca="false">IFERROR(__xludf.dummyfunction("""COMPUTED_VALUE"""),164.96)</f>
        <v>164.96</v>
      </c>
      <c r="D234" s="5" t="n">
        <f aca="false">IFERROR(__xludf.dummyfunction("""COMPUTED_VALUE"""),159.72)</f>
        <v>159.72</v>
      </c>
      <c r="E234" s="5" t="n">
        <f aca="false">IFERROR(__xludf.dummyfunction("""COMPUTED_VALUE"""),161.84)</f>
        <v>161.84</v>
      </c>
      <c r="F234" s="5" t="n">
        <f aca="false">IFERROR(__xludf.dummyfunction("""COMPUTED_VALUE"""),118023116)</f>
        <v>118023116</v>
      </c>
    </row>
    <row r="235" customFormat="false" ht="15.75" hidden="false" customHeight="false" outlineLevel="0" collapsed="false">
      <c r="A235" s="6" t="n">
        <f aca="false">IFERROR(__xludf.dummyfunction("""COMPUTED_VALUE"""),44536.6666666667)</f>
        <v>44536.6666666667</v>
      </c>
      <c r="B235" s="5" t="n">
        <f aca="false">IFERROR(__xludf.dummyfunction("""COMPUTED_VALUE"""),164.29)</f>
        <v>164.29</v>
      </c>
      <c r="C235" s="5" t="n">
        <f aca="false">IFERROR(__xludf.dummyfunction("""COMPUTED_VALUE"""),167.88)</f>
        <v>167.88</v>
      </c>
      <c r="D235" s="5" t="n">
        <f aca="false">IFERROR(__xludf.dummyfunction("""COMPUTED_VALUE"""),164.28)</f>
        <v>164.28</v>
      </c>
      <c r="E235" s="5" t="n">
        <f aca="false">IFERROR(__xludf.dummyfunction("""COMPUTED_VALUE"""),165.32)</f>
        <v>165.32</v>
      </c>
      <c r="F235" s="5" t="n">
        <f aca="false">IFERROR(__xludf.dummyfunction("""COMPUTED_VALUE"""),107496982)</f>
        <v>107496982</v>
      </c>
    </row>
    <row r="236" customFormat="false" ht="15.75" hidden="false" customHeight="false" outlineLevel="0" collapsed="false">
      <c r="A236" s="6" t="n">
        <f aca="false">IFERROR(__xludf.dummyfunction("""COMPUTED_VALUE"""),44537.6666666667)</f>
        <v>44537.6666666667</v>
      </c>
      <c r="B236" s="5" t="n">
        <f aca="false">IFERROR(__xludf.dummyfunction("""COMPUTED_VALUE"""),169.08)</f>
        <v>169.08</v>
      </c>
      <c r="C236" s="5" t="n">
        <f aca="false">IFERROR(__xludf.dummyfunction("""COMPUTED_VALUE"""),171.58)</f>
        <v>171.58</v>
      </c>
      <c r="D236" s="5" t="n">
        <f aca="false">IFERROR(__xludf.dummyfunction("""COMPUTED_VALUE"""),168.34)</f>
        <v>168.34</v>
      </c>
      <c r="E236" s="5" t="n">
        <f aca="false">IFERROR(__xludf.dummyfunction("""COMPUTED_VALUE"""),171.18)</f>
        <v>171.18</v>
      </c>
      <c r="F236" s="5" t="n">
        <f aca="false">IFERROR(__xludf.dummyfunction("""COMPUTED_VALUE"""),120405352)</f>
        <v>120405352</v>
      </c>
    </row>
    <row r="237" customFormat="false" ht="15.75" hidden="false" customHeight="false" outlineLevel="0" collapsed="false">
      <c r="A237" s="6" t="n">
        <f aca="false">IFERROR(__xludf.dummyfunction("""COMPUTED_VALUE"""),44538.6666666667)</f>
        <v>44538.6666666667</v>
      </c>
      <c r="B237" s="5" t="n">
        <f aca="false">IFERROR(__xludf.dummyfunction("""COMPUTED_VALUE"""),172.13)</f>
        <v>172.13</v>
      </c>
      <c r="C237" s="5" t="n">
        <f aca="false">IFERROR(__xludf.dummyfunction("""COMPUTED_VALUE"""),175.96)</f>
        <v>175.96</v>
      </c>
      <c r="D237" s="5" t="n">
        <f aca="false">IFERROR(__xludf.dummyfunction("""COMPUTED_VALUE"""),170.7)</f>
        <v>170.7</v>
      </c>
      <c r="E237" s="5" t="n">
        <f aca="false">IFERROR(__xludf.dummyfunction("""COMPUTED_VALUE"""),175.08)</f>
        <v>175.08</v>
      </c>
      <c r="F237" s="5" t="n">
        <f aca="false">IFERROR(__xludf.dummyfunction("""COMPUTED_VALUE"""),116998901)</f>
        <v>116998901</v>
      </c>
    </row>
    <row r="238" customFormat="false" ht="15.75" hidden="false" customHeight="false" outlineLevel="0" collapsed="false">
      <c r="A238" s="6" t="n">
        <f aca="false">IFERROR(__xludf.dummyfunction("""COMPUTED_VALUE"""),44539.6666666667)</f>
        <v>44539.6666666667</v>
      </c>
      <c r="B238" s="5" t="n">
        <f aca="false">IFERROR(__xludf.dummyfunction("""COMPUTED_VALUE"""),174.91)</f>
        <v>174.91</v>
      </c>
      <c r="C238" s="5" t="n">
        <f aca="false">IFERROR(__xludf.dummyfunction("""COMPUTED_VALUE"""),176.75)</f>
        <v>176.75</v>
      </c>
      <c r="D238" s="5" t="n">
        <f aca="false">IFERROR(__xludf.dummyfunction("""COMPUTED_VALUE"""),173.92)</f>
        <v>173.92</v>
      </c>
      <c r="E238" s="5" t="n">
        <f aca="false">IFERROR(__xludf.dummyfunction("""COMPUTED_VALUE"""),174.56)</f>
        <v>174.56</v>
      </c>
      <c r="F238" s="5" t="n">
        <f aca="false">IFERROR(__xludf.dummyfunction("""COMPUTED_VALUE"""),108923739)</f>
        <v>108923739</v>
      </c>
    </row>
    <row r="239" customFormat="false" ht="15.75" hidden="false" customHeight="false" outlineLevel="0" collapsed="false">
      <c r="A239" s="6" t="n">
        <f aca="false">IFERROR(__xludf.dummyfunction("""COMPUTED_VALUE"""),44540.6666666667)</f>
        <v>44540.6666666667</v>
      </c>
      <c r="B239" s="5" t="n">
        <f aca="false">IFERROR(__xludf.dummyfunction("""COMPUTED_VALUE"""),175.21)</f>
        <v>175.21</v>
      </c>
      <c r="C239" s="5" t="n">
        <f aca="false">IFERROR(__xludf.dummyfunction("""COMPUTED_VALUE"""),179.63)</f>
        <v>179.63</v>
      </c>
      <c r="D239" s="5" t="n">
        <f aca="false">IFERROR(__xludf.dummyfunction("""COMPUTED_VALUE"""),174.69)</f>
        <v>174.69</v>
      </c>
      <c r="E239" s="5" t="n">
        <f aca="false">IFERROR(__xludf.dummyfunction("""COMPUTED_VALUE"""),179.45)</f>
        <v>179.45</v>
      </c>
      <c r="F239" s="5" t="n">
        <f aca="false">IFERROR(__xludf.dummyfunction("""COMPUTED_VALUE"""),115402731)</f>
        <v>115402731</v>
      </c>
    </row>
    <row r="240" customFormat="false" ht="15.75" hidden="false" customHeight="false" outlineLevel="0" collapsed="false">
      <c r="A240" s="6" t="n">
        <f aca="false">IFERROR(__xludf.dummyfunction("""COMPUTED_VALUE"""),44543.6666666667)</f>
        <v>44543.6666666667</v>
      </c>
      <c r="B240" s="5" t="n">
        <f aca="false">IFERROR(__xludf.dummyfunction("""COMPUTED_VALUE"""),181.12)</f>
        <v>181.12</v>
      </c>
      <c r="C240" s="5" t="n">
        <f aca="false">IFERROR(__xludf.dummyfunction("""COMPUTED_VALUE"""),182.13)</f>
        <v>182.13</v>
      </c>
      <c r="D240" s="5" t="n">
        <f aca="false">IFERROR(__xludf.dummyfunction("""COMPUTED_VALUE"""),175.53)</f>
        <v>175.53</v>
      </c>
      <c r="E240" s="5" t="n">
        <f aca="false">IFERROR(__xludf.dummyfunction("""COMPUTED_VALUE"""),175.74)</f>
        <v>175.74</v>
      </c>
      <c r="F240" s="5" t="n">
        <f aca="false">IFERROR(__xludf.dummyfunction("""COMPUTED_VALUE"""),153237019)</f>
        <v>153237019</v>
      </c>
    </row>
    <row r="241" customFormat="false" ht="15.75" hidden="false" customHeight="false" outlineLevel="0" collapsed="false">
      <c r="A241" s="6" t="n">
        <f aca="false">IFERROR(__xludf.dummyfunction("""COMPUTED_VALUE"""),44544.6666666667)</f>
        <v>44544.6666666667</v>
      </c>
      <c r="B241" s="5" t="n">
        <f aca="false">IFERROR(__xludf.dummyfunction("""COMPUTED_VALUE"""),175.25)</f>
        <v>175.25</v>
      </c>
      <c r="C241" s="5" t="n">
        <f aca="false">IFERROR(__xludf.dummyfunction("""COMPUTED_VALUE"""),177.74)</f>
        <v>177.74</v>
      </c>
      <c r="D241" s="5" t="n">
        <f aca="false">IFERROR(__xludf.dummyfunction("""COMPUTED_VALUE"""),172.21)</f>
        <v>172.21</v>
      </c>
      <c r="E241" s="5" t="n">
        <f aca="false">IFERROR(__xludf.dummyfunction("""COMPUTED_VALUE"""),174.33)</f>
        <v>174.33</v>
      </c>
      <c r="F241" s="5" t="n">
        <f aca="false">IFERROR(__xludf.dummyfunction("""COMPUTED_VALUE"""),139380382)</f>
        <v>139380382</v>
      </c>
    </row>
    <row r="242" customFormat="false" ht="15.75" hidden="false" customHeight="false" outlineLevel="0" collapsed="false">
      <c r="A242" s="6" t="n">
        <f aca="false">IFERROR(__xludf.dummyfunction("""COMPUTED_VALUE"""),44545.6666666667)</f>
        <v>44545.6666666667</v>
      </c>
      <c r="B242" s="5" t="n">
        <f aca="false">IFERROR(__xludf.dummyfunction("""COMPUTED_VALUE"""),175.11)</f>
        <v>175.11</v>
      </c>
      <c r="C242" s="5" t="n">
        <f aca="false">IFERROR(__xludf.dummyfunction("""COMPUTED_VALUE"""),179.5)</f>
        <v>179.5</v>
      </c>
      <c r="D242" s="5" t="n">
        <f aca="false">IFERROR(__xludf.dummyfunction("""COMPUTED_VALUE"""),172.31)</f>
        <v>172.31</v>
      </c>
      <c r="E242" s="5" t="n">
        <f aca="false">IFERROR(__xludf.dummyfunction("""COMPUTED_VALUE"""),179.3)</f>
        <v>179.3</v>
      </c>
      <c r="F242" s="5" t="n">
        <f aca="false">IFERROR(__xludf.dummyfunction("""COMPUTED_VALUE"""),131063257)</f>
        <v>131063257</v>
      </c>
    </row>
    <row r="243" customFormat="false" ht="15.75" hidden="false" customHeight="false" outlineLevel="0" collapsed="false">
      <c r="A243" s="6" t="n">
        <f aca="false">IFERROR(__xludf.dummyfunction("""COMPUTED_VALUE"""),44546.6666666667)</f>
        <v>44546.6666666667</v>
      </c>
      <c r="B243" s="5" t="n">
        <f aca="false">IFERROR(__xludf.dummyfunction("""COMPUTED_VALUE"""),179.28)</f>
        <v>179.28</v>
      </c>
      <c r="C243" s="5" t="n">
        <f aca="false">IFERROR(__xludf.dummyfunction("""COMPUTED_VALUE"""),181.14)</f>
        <v>181.14</v>
      </c>
      <c r="D243" s="5" t="n">
        <f aca="false">IFERROR(__xludf.dummyfunction("""COMPUTED_VALUE"""),170.75)</f>
        <v>170.75</v>
      </c>
      <c r="E243" s="5" t="n">
        <f aca="false">IFERROR(__xludf.dummyfunction("""COMPUTED_VALUE"""),172.26)</f>
        <v>172.26</v>
      </c>
      <c r="F243" s="5" t="n">
        <f aca="false">IFERROR(__xludf.dummyfunction("""COMPUTED_VALUE"""),150185843)</f>
        <v>150185843</v>
      </c>
    </row>
    <row r="244" customFormat="false" ht="15.75" hidden="false" customHeight="false" outlineLevel="0" collapsed="false">
      <c r="A244" s="6" t="n">
        <f aca="false">IFERROR(__xludf.dummyfunction("""COMPUTED_VALUE"""),44547.6666666667)</f>
        <v>44547.6666666667</v>
      </c>
      <c r="B244" s="5" t="n">
        <f aca="false">IFERROR(__xludf.dummyfunction("""COMPUTED_VALUE"""),169.93)</f>
        <v>169.93</v>
      </c>
      <c r="C244" s="5" t="n">
        <f aca="false">IFERROR(__xludf.dummyfunction("""COMPUTED_VALUE"""),173.47)</f>
        <v>173.47</v>
      </c>
      <c r="D244" s="5" t="n">
        <f aca="false">IFERROR(__xludf.dummyfunction("""COMPUTED_VALUE"""),169.69)</f>
        <v>169.69</v>
      </c>
      <c r="E244" s="5" t="n">
        <f aca="false">IFERROR(__xludf.dummyfunction("""COMPUTED_VALUE"""),171.14)</f>
        <v>171.14</v>
      </c>
      <c r="F244" s="5" t="n">
        <f aca="false">IFERROR(__xludf.dummyfunction("""COMPUTED_VALUE"""),195923441)</f>
        <v>195923441</v>
      </c>
    </row>
    <row r="245" customFormat="false" ht="15.75" hidden="false" customHeight="false" outlineLevel="0" collapsed="false">
      <c r="A245" s="6" t="n">
        <f aca="false">IFERROR(__xludf.dummyfunction("""COMPUTED_VALUE"""),44550.6666666667)</f>
        <v>44550.6666666667</v>
      </c>
      <c r="B245" s="5" t="n">
        <f aca="false">IFERROR(__xludf.dummyfunction("""COMPUTED_VALUE"""),168.28)</f>
        <v>168.28</v>
      </c>
      <c r="C245" s="5" t="n">
        <f aca="false">IFERROR(__xludf.dummyfunction("""COMPUTED_VALUE"""),170.58)</f>
        <v>170.58</v>
      </c>
      <c r="D245" s="5" t="n">
        <f aca="false">IFERROR(__xludf.dummyfunction("""COMPUTED_VALUE"""),167.46)</f>
        <v>167.46</v>
      </c>
      <c r="E245" s="5" t="n">
        <f aca="false">IFERROR(__xludf.dummyfunction("""COMPUTED_VALUE"""),169.75)</f>
        <v>169.75</v>
      </c>
      <c r="F245" s="5" t="n">
        <f aca="false">IFERROR(__xludf.dummyfunction("""COMPUTED_VALUE"""),107499114)</f>
        <v>107499114</v>
      </c>
    </row>
    <row r="246" customFormat="false" ht="15.75" hidden="false" customHeight="false" outlineLevel="0" collapsed="false">
      <c r="A246" s="6" t="n">
        <f aca="false">IFERROR(__xludf.dummyfunction("""COMPUTED_VALUE"""),44551.6666666667)</f>
        <v>44551.6666666667</v>
      </c>
      <c r="B246" s="5" t="n">
        <f aca="false">IFERROR(__xludf.dummyfunction("""COMPUTED_VALUE"""),171.56)</f>
        <v>171.56</v>
      </c>
      <c r="C246" s="5" t="n">
        <f aca="false">IFERROR(__xludf.dummyfunction("""COMPUTED_VALUE"""),173.2)</f>
        <v>173.2</v>
      </c>
      <c r="D246" s="5" t="n">
        <f aca="false">IFERROR(__xludf.dummyfunction("""COMPUTED_VALUE"""),169.12)</f>
        <v>169.12</v>
      </c>
      <c r="E246" s="5" t="n">
        <f aca="false">IFERROR(__xludf.dummyfunction("""COMPUTED_VALUE"""),172.99)</f>
        <v>172.99</v>
      </c>
      <c r="F246" s="5" t="n">
        <f aca="false">IFERROR(__xludf.dummyfunction("""COMPUTED_VALUE"""),91185905)</f>
        <v>91185905</v>
      </c>
    </row>
    <row r="247" customFormat="false" ht="15.75" hidden="false" customHeight="false" outlineLevel="0" collapsed="false">
      <c r="A247" s="6" t="n">
        <f aca="false">IFERROR(__xludf.dummyfunction("""COMPUTED_VALUE"""),44552.6666666667)</f>
        <v>44552.6666666667</v>
      </c>
      <c r="B247" s="5" t="n">
        <f aca="false">IFERROR(__xludf.dummyfunction("""COMPUTED_VALUE"""),173.04)</f>
        <v>173.04</v>
      </c>
      <c r="C247" s="5" t="n">
        <f aca="false">IFERROR(__xludf.dummyfunction("""COMPUTED_VALUE"""),175.86)</f>
        <v>175.86</v>
      </c>
      <c r="D247" s="5" t="n">
        <f aca="false">IFERROR(__xludf.dummyfunction("""COMPUTED_VALUE"""),172.15)</f>
        <v>172.15</v>
      </c>
      <c r="E247" s="5" t="n">
        <f aca="false">IFERROR(__xludf.dummyfunction("""COMPUTED_VALUE"""),175.64)</f>
        <v>175.64</v>
      </c>
      <c r="F247" s="5" t="n">
        <f aca="false">IFERROR(__xludf.dummyfunction("""COMPUTED_VALUE"""),92135303)</f>
        <v>92135303</v>
      </c>
    </row>
    <row r="248" customFormat="false" ht="15.75" hidden="false" customHeight="false" outlineLevel="0" collapsed="false">
      <c r="A248" s="6" t="n">
        <f aca="false">IFERROR(__xludf.dummyfunction("""COMPUTED_VALUE"""),44553.6666666667)</f>
        <v>44553.6666666667</v>
      </c>
      <c r="B248" s="5" t="n">
        <f aca="false">IFERROR(__xludf.dummyfunction("""COMPUTED_VALUE"""),175.85)</f>
        <v>175.85</v>
      </c>
      <c r="C248" s="5" t="n">
        <f aca="false">IFERROR(__xludf.dummyfunction("""COMPUTED_VALUE"""),176.85)</f>
        <v>176.85</v>
      </c>
      <c r="D248" s="5" t="n">
        <f aca="false">IFERROR(__xludf.dummyfunction("""COMPUTED_VALUE"""),175.27)</f>
        <v>175.27</v>
      </c>
      <c r="E248" s="5" t="n">
        <f aca="false">IFERROR(__xludf.dummyfunction("""COMPUTED_VALUE"""),176.28)</f>
        <v>176.28</v>
      </c>
      <c r="F248" s="5" t="n">
        <f aca="false">IFERROR(__xludf.dummyfunction("""COMPUTED_VALUE"""),68356567)</f>
        <v>68356567</v>
      </c>
    </row>
    <row r="249" customFormat="false" ht="15.75" hidden="false" customHeight="false" outlineLevel="0" collapsed="false">
      <c r="A249" s="6" t="n">
        <f aca="false">IFERROR(__xludf.dummyfunction("""COMPUTED_VALUE"""),44557.6666666667)</f>
        <v>44557.6666666667</v>
      </c>
      <c r="B249" s="5" t="n">
        <f aca="false">IFERROR(__xludf.dummyfunction("""COMPUTED_VALUE"""),177.09)</f>
        <v>177.09</v>
      </c>
      <c r="C249" s="5" t="n">
        <f aca="false">IFERROR(__xludf.dummyfunction("""COMPUTED_VALUE"""),180.42)</f>
        <v>180.42</v>
      </c>
      <c r="D249" s="5" t="n">
        <f aca="false">IFERROR(__xludf.dummyfunction("""COMPUTED_VALUE"""),177.07)</f>
        <v>177.07</v>
      </c>
      <c r="E249" s="5" t="n">
        <f aca="false">IFERROR(__xludf.dummyfunction("""COMPUTED_VALUE"""),180.33)</f>
        <v>180.33</v>
      </c>
      <c r="F249" s="5" t="n">
        <f aca="false">IFERROR(__xludf.dummyfunction("""COMPUTED_VALUE"""),74919582)</f>
        <v>74919582</v>
      </c>
    </row>
    <row r="250" customFormat="false" ht="15.75" hidden="false" customHeight="false" outlineLevel="0" collapsed="false">
      <c r="A250" s="6" t="n">
        <f aca="false">IFERROR(__xludf.dummyfunction("""COMPUTED_VALUE"""),44558.6666666667)</f>
        <v>44558.6666666667</v>
      </c>
      <c r="B250" s="5" t="n">
        <f aca="false">IFERROR(__xludf.dummyfunction("""COMPUTED_VALUE"""),180.16)</f>
        <v>180.16</v>
      </c>
      <c r="C250" s="5" t="n">
        <f aca="false">IFERROR(__xludf.dummyfunction("""COMPUTED_VALUE"""),181.33)</f>
        <v>181.33</v>
      </c>
      <c r="D250" s="5" t="n">
        <f aca="false">IFERROR(__xludf.dummyfunction("""COMPUTED_VALUE"""),178.53)</f>
        <v>178.53</v>
      </c>
      <c r="E250" s="5" t="n">
        <f aca="false">IFERROR(__xludf.dummyfunction("""COMPUTED_VALUE"""),179.29)</f>
        <v>179.29</v>
      </c>
      <c r="F250" s="5" t="n">
        <f aca="false">IFERROR(__xludf.dummyfunction("""COMPUTED_VALUE"""),79144339)</f>
        <v>79144339</v>
      </c>
    </row>
    <row r="251" customFormat="false" ht="15.75" hidden="false" customHeight="false" outlineLevel="0" collapsed="false">
      <c r="A251" s="6" t="n">
        <f aca="false">IFERROR(__xludf.dummyfunction("""COMPUTED_VALUE"""),44559.6666666667)</f>
        <v>44559.6666666667</v>
      </c>
      <c r="B251" s="5" t="n">
        <f aca="false">IFERROR(__xludf.dummyfunction("""COMPUTED_VALUE"""),179.33)</f>
        <v>179.33</v>
      </c>
      <c r="C251" s="5" t="n">
        <f aca="false">IFERROR(__xludf.dummyfunction("""COMPUTED_VALUE"""),180.63)</f>
        <v>180.63</v>
      </c>
      <c r="D251" s="5" t="n">
        <f aca="false">IFERROR(__xludf.dummyfunction("""COMPUTED_VALUE"""),178.14)</f>
        <v>178.14</v>
      </c>
      <c r="E251" s="5" t="n">
        <f aca="false">IFERROR(__xludf.dummyfunction("""COMPUTED_VALUE"""),179.38)</f>
        <v>179.38</v>
      </c>
      <c r="F251" s="5" t="n">
        <f aca="false">IFERROR(__xludf.dummyfunction("""COMPUTED_VALUE"""),62348931)</f>
        <v>62348931</v>
      </c>
    </row>
    <row r="252" customFormat="false" ht="15.75" hidden="false" customHeight="false" outlineLevel="0" collapsed="false">
      <c r="A252" s="6" t="n">
        <f aca="false">IFERROR(__xludf.dummyfunction("""COMPUTED_VALUE"""),44560.6666666667)</f>
        <v>44560.6666666667</v>
      </c>
      <c r="B252" s="5" t="n">
        <f aca="false">IFERROR(__xludf.dummyfunction("""COMPUTED_VALUE"""),179.47)</f>
        <v>179.47</v>
      </c>
      <c r="C252" s="5" t="n">
        <f aca="false">IFERROR(__xludf.dummyfunction("""COMPUTED_VALUE"""),180.57)</f>
        <v>180.57</v>
      </c>
      <c r="D252" s="5" t="n">
        <f aca="false">IFERROR(__xludf.dummyfunction("""COMPUTED_VALUE"""),178.09)</f>
        <v>178.09</v>
      </c>
      <c r="E252" s="5" t="n">
        <f aca="false">IFERROR(__xludf.dummyfunction("""COMPUTED_VALUE"""),178.2)</f>
        <v>178.2</v>
      </c>
      <c r="F252" s="5" t="n">
        <f aca="false">IFERROR(__xludf.dummyfunction("""COMPUTED_VALUE"""),59773014)</f>
        <v>59773014</v>
      </c>
    </row>
    <row r="253" customFormat="false" ht="15.75" hidden="false" customHeight="false" outlineLevel="0" collapsed="false">
      <c r="A253" s="6" t="n">
        <f aca="false">IFERROR(__xludf.dummyfunction("""COMPUTED_VALUE"""),44561.6666666667)</f>
        <v>44561.6666666667</v>
      </c>
      <c r="B253" s="5" t="n">
        <f aca="false">IFERROR(__xludf.dummyfunction("""COMPUTED_VALUE"""),178.09)</f>
        <v>178.09</v>
      </c>
      <c r="C253" s="5" t="n">
        <f aca="false">IFERROR(__xludf.dummyfunction("""COMPUTED_VALUE"""),179.23)</f>
        <v>179.23</v>
      </c>
      <c r="D253" s="5" t="n">
        <f aca="false">IFERROR(__xludf.dummyfunction("""COMPUTED_VALUE"""),177.26)</f>
        <v>177.26</v>
      </c>
      <c r="E253" s="5" t="n">
        <f aca="false">IFERROR(__xludf.dummyfunction("""COMPUTED_VALUE"""),177.57)</f>
        <v>177.57</v>
      </c>
      <c r="F253" s="5" t="n">
        <f aca="false">IFERROR(__xludf.dummyfunction("""COMPUTED_VALUE"""),64062261)</f>
        <v>64062261</v>
      </c>
    </row>
    <row r="254" customFormat="false" ht="15.75" hidden="false" customHeight="false" outlineLevel="0" collapsed="false">
      <c r="A254" s="6" t="n">
        <f aca="false">IFERROR(__xludf.dummyfunction("""COMPUTED_VALUE"""),44564.6666666667)</f>
        <v>44564.6666666667</v>
      </c>
      <c r="B254" s="5" t="n">
        <f aca="false">IFERROR(__xludf.dummyfunction("""COMPUTED_VALUE"""),177.83)</f>
        <v>177.83</v>
      </c>
      <c r="C254" s="5" t="n">
        <f aca="false">IFERROR(__xludf.dummyfunction("""COMPUTED_VALUE"""),182.88)</f>
        <v>182.88</v>
      </c>
      <c r="D254" s="5" t="n">
        <f aca="false">IFERROR(__xludf.dummyfunction("""COMPUTED_VALUE"""),177.71)</f>
        <v>177.71</v>
      </c>
      <c r="E254" s="5" t="n">
        <f aca="false">IFERROR(__xludf.dummyfunction("""COMPUTED_VALUE"""),182.01)</f>
        <v>182.01</v>
      </c>
      <c r="F254" s="5" t="n">
        <f aca="false">IFERROR(__xludf.dummyfunction("""COMPUTED_VALUE"""),104701220)</f>
        <v>104701220</v>
      </c>
    </row>
    <row r="255" customFormat="false" ht="15.75" hidden="false" customHeight="false" outlineLevel="0" collapsed="false">
      <c r="A255" s="6" t="n">
        <f aca="false">IFERROR(__xludf.dummyfunction("""COMPUTED_VALUE"""),44565.6666666667)</f>
        <v>44565.6666666667</v>
      </c>
      <c r="B255" s="5" t="n">
        <f aca="false">IFERROR(__xludf.dummyfunction("""COMPUTED_VALUE"""),182.63)</f>
        <v>182.63</v>
      </c>
      <c r="C255" s="5" t="n">
        <f aca="false">IFERROR(__xludf.dummyfunction("""COMPUTED_VALUE"""),182.94)</f>
        <v>182.94</v>
      </c>
      <c r="D255" s="5" t="n">
        <f aca="false">IFERROR(__xludf.dummyfunction("""COMPUTED_VALUE"""),179.12)</f>
        <v>179.12</v>
      </c>
      <c r="E255" s="5" t="n">
        <f aca="false">IFERROR(__xludf.dummyfunction("""COMPUTED_VALUE"""),179.7)</f>
        <v>179.7</v>
      </c>
      <c r="F255" s="5" t="n">
        <f aca="false">IFERROR(__xludf.dummyfunction("""COMPUTED_VALUE"""),99310438)</f>
        <v>99310438</v>
      </c>
    </row>
    <row r="256" customFormat="false" ht="15.75" hidden="false" customHeight="false" outlineLevel="0" collapsed="false">
      <c r="A256" s="6" t="n">
        <f aca="false">IFERROR(__xludf.dummyfunction("""COMPUTED_VALUE"""),44566.6666666667)</f>
        <v>44566.6666666667</v>
      </c>
      <c r="B256" s="5" t="n">
        <f aca="false">IFERROR(__xludf.dummyfunction("""COMPUTED_VALUE"""),179.61)</f>
        <v>179.61</v>
      </c>
      <c r="C256" s="5" t="n">
        <f aca="false">IFERROR(__xludf.dummyfunction("""COMPUTED_VALUE"""),180.17)</f>
        <v>180.17</v>
      </c>
      <c r="D256" s="5" t="n">
        <f aca="false">IFERROR(__xludf.dummyfunction("""COMPUTED_VALUE"""),174.64)</f>
        <v>174.64</v>
      </c>
      <c r="E256" s="5" t="n">
        <f aca="false">IFERROR(__xludf.dummyfunction("""COMPUTED_VALUE"""),174.92)</f>
        <v>174.92</v>
      </c>
      <c r="F256" s="5" t="n">
        <f aca="false">IFERROR(__xludf.dummyfunction("""COMPUTED_VALUE"""),94537602)</f>
        <v>94537602</v>
      </c>
    </row>
    <row r="257" customFormat="false" ht="15.75" hidden="false" customHeight="false" outlineLevel="0" collapsed="false">
      <c r="A257" s="6" t="n">
        <f aca="false">IFERROR(__xludf.dummyfunction("""COMPUTED_VALUE"""),44567.6666666667)</f>
        <v>44567.6666666667</v>
      </c>
      <c r="B257" s="5" t="n">
        <f aca="false">IFERROR(__xludf.dummyfunction("""COMPUTED_VALUE"""),172.7)</f>
        <v>172.7</v>
      </c>
      <c r="C257" s="5" t="n">
        <f aca="false">IFERROR(__xludf.dummyfunction("""COMPUTED_VALUE"""),175.3)</f>
        <v>175.3</v>
      </c>
      <c r="D257" s="5" t="n">
        <f aca="false">IFERROR(__xludf.dummyfunction("""COMPUTED_VALUE"""),171.64)</f>
        <v>171.64</v>
      </c>
      <c r="E257" s="5" t="n">
        <f aca="false">IFERROR(__xludf.dummyfunction("""COMPUTED_VALUE"""),172)</f>
        <v>172</v>
      </c>
      <c r="F257" s="5" t="n">
        <f aca="false">IFERROR(__xludf.dummyfunction("""COMPUTED_VALUE"""),96903955)</f>
        <v>96903955</v>
      </c>
    </row>
    <row r="258" customFormat="false" ht="15.75" hidden="false" customHeight="false" outlineLevel="0" collapsed="false">
      <c r="A258" s="6" t="n">
        <f aca="false">IFERROR(__xludf.dummyfunction("""COMPUTED_VALUE"""),44568.6666666667)</f>
        <v>44568.6666666667</v>
      </c>
      <c r="B258" s="5" t="n">
        <f aca="false">IFERROR(__xludf.dummyfunction("""COMPUTED_VALUE"""),172.89)</f>
        <v>172.89</v>
      </c>
      <c r="C258" s="5" t="n">
        <f aca="false">IFERROR(__xludf.dummyfunction("""COMPUTED_VALUE"""),174.14)</f>
        <v>174.14</v>
      </c>
      <c r="D258" s="5" t="n">
        <f aca="false">IFERROR(__xludf.dummyfunction("""COMPUTED_VALUE"""),171.03)</f>
        <v>171.03</v>
      </c>
      <c r="E258" s="5" t="n">
        <f aca="false">IFERROR(__xludf.dummyfunction("""COMPUTED_VALUE"""),172.17)</f>
        <v>172.17</v>
      </c>
      <c r="F258" s="5" t="n">
        <f aca="false">IFERROR(__xludf.dummyfunction("""COMPUTED_VALUE"""),86709147)</f>
        <v>86709147</v>
      </c>
    </row>
    <row r="259" customFormat="false" ht="15.75" hidden="false" customHeight="false" outlineLevel="0" collapsed="false">
      <c r="A259" s="6" t="n">
        <f aca="false">IFERROR(__xludf.dummyfunction("""COMPUTED_VALUE"""),44571.6666666667)</f>
        <v>44571.6666666667</v>
      </c>
      <c r="B259" s="5" t="n">
        <f aca="false">IFERROR(__xludf.dummyfunction("""COMPUTED_VALUE"""),169.08)</f>
        <v>169.08</v>
      </c>
      <c r="C259" s="5" t="n">
        <f aca="false">IFERROR(__xludf.dummyfunction("""COMPUTED_VALUE"""),172.5)</f>
        <v>172.5</v>
      </c>
      <c r="D259" s="5" t="n">
        <f aca="false">IFERROR(__xludf.dummyfunction("""COMPUTED_VALUE"""),168.17)</f>
        <v>168.17</v>
      </c>
      <c r="E259" s="5" t="n">
        <f aca="false">IFERROR(__xludf.dummyfunction("""COMPUTED_VALUE"""),172.19)</f>
        <v>172.19</v>
      </c>
      <c r="F259" s="5" t="n">
        <f aca="false">IFERROR(__xludf.dummyfunction("""COMPUTED_VALUE"""),106765552)</f>
        <v>106765552</v>
      </c>
    </row>
    <row r="260" customFormat="false" ht="15.75" hidden="false" customHeight="false" outlineLevel="0" collapsed="false">
      <c r="A260" s="6" t="n">
        <f aca="false">IFERROR(__xludf.dummyfunction("""COMPUTED_VALUE"""),44572.6666666667)</f>
        <v>44572.6666666667</v>
      </c>
      <c r="B260" s="5" t="n">
        <f aca="false">IFERROR(__xludf.dummyfunction("""COMPUTED_VALUE"""),172.32)</f>
        <v>172.32</v>
      </c>
      <c r="C260" s="5" t="n">
        <f aca="false">IFERROR(__xludf.dummyfunction("""COMPUTED_VALUE"""),175.18)</f>
        <v>175.18</v>
      </c>
      <c r="D260" s="5" t="n">
        <f aca="false">IFERROR(__xludf.dummyfunction("""COMPUTED_VALUE"""),170.82)</f>
        <v>170.82</v>
      </c>
      <c r="E260" s="5" t="n">
        <f aca="false">IFERROR(__xludf.dummyfunction("""COMPUTED_VALUE"""),175.08)</f>
        <v>175.08</v>
      </c>
      <c r="F260" s="5" t="n">
        <f aca="false">IFERROR(__xludf.dummyfunction("""COMPUTED_VALUE"""),76138312)</f>
        <v>76138312</v>
      </c>
    </row>
    <row r="261" customFormat="false" ht="15.75" hidden="false" customHeight="false" outlineLevel="0" collapsed="false">
      <c r="A261" s="6" t="n">
        <f aca="false">IFERROR(__xludf.dummyfunction("""COMPUTED_VALUE"""),44573.6666666667)</f>
        <v>44573.6666666667</v>
      </c>
      <c r="B261" s="5" t="n">
        <f aca="false">IFERROR(__xludf.dummyfunction("""COMPUTED_VALUE"""),176.12)</f>
        <v>176.12</v>
      </c>
      <c r="C261" s="5" t="n">
        <f aca="false">IFERROR(__xludf.dummyfunction("""COMPUTED_VALUE"""),177.18)</f>
        <v>177.18</v>
      </c>
      <c r="D261" s="5" t="n">
        <f aca="false">IFERROR(__xludf.dummyfunction("""COMPUTED_VALUE"""),174.82)</f>
        <v>174.82</v>
      </c>
      <c r="E261" s="5" t="n">
        <f aca="false">IFERROR(__xludf.dummyfunction("""COMPUTED_VALUE"""),175.53)</f>
        <v>175.53</v>
      </c>
      <c r="F261" s="5" t="n">
        <f aca="false">IFERROR(__xludf.dummyfunction("""COMPUTED_VALUE"""),74805173)</f>
        <v>74805173</v>
      </c>
    </row>
    <row r="262" customFormat="false" ht="15.75" hidden="false" customHeight="false" outlineLevel="0" collapsed="false">
      <c r="A262" s="6" t="n">
        <f aca="false">IFERROR(__xludf.dummyfunction("""COMPUTED_VALUE"""),44574.6666666667)</f>
        <v>44574.6666666667</v>
      </c>
      <c r="B262" s="5" t="n">
        <f aca="false">IFERROR(__xludf.dummyfunction("""COMPUTED_VALUE"""),175.78)</f>
        <v>175.78</v>
      </c>
      <c r="C262" s="5" t="n">
        <f aca="false">IFERROR(__xludf.dummyfunction("""COMPUTED_VALUE"""),176.62)</f>
        <v>176.62</v>
      </c>
      <c r="D262" s="5" t="n">
        <f aca="false">IFERROR(__xludf.dummyfunction("""COMPUTED_VALUE"""),171.79)</f>
        <v>171.79</v>
      </c>
      <c r="E262" s="5" t="n">
        <f aca="false">IFERROR(__xludf.dummyfunction("""COMPUTED_VALUE"""),172.19)</f>
        <v>172.19</v>
      </c>
      <c r="F262" s="5" t="n">
        <f aca="false">IFERROR(__xludf.dummyfunction("""COMPUTED_VALUE"""),84505760)</f>
        <v>84505760</v>
      </c>
    </row>
    <row r="263" customFormat="false" ht="15.75" hidden="false" customHeight="false" outlineLevel="0" collapsed="false">
      <c r="A263" s="6" t="n">
        <f aca="false">IFERROR(__xludf.dummyfunction("""COMPUTED_VALUE"""),44575.6666666667)</f>
        <v>44575.6666666667</v>
      </c>
      <c r="B263" s="5" t="n">
        <f aca="false">IFERROR(__xludf.dummyfunction("""COMPUTED_VALUE"""),171.34)</f>
        <v>171.34</v>
      </c>
      <c r="C263" s="5" t="n">
        <f aca="false">IFERROR(__xludf.dummyfunction("""COMPUTED_VALUE"""),173.78)</f>
        <v>173.78</v>
      </c>
      <c r="D263" s="5" t="n">
        <f aca="false">IFERROR(__xludf.dummyfunction("""COMPUTED_VALUE"""),171.09)</f>
        <v>171.09</v>
      </c>
      <c r="E263" s="5" t="n">
        <f aca="false">IFERROR(__xludf.dummyfunction("""COMPUTED_VALUE"""),173.07)</f>
        <v>173.07</v>
      </c>
      <c r="F263" s="5" t="n">
        <f aca="false">IFERROR(__xludf.dummyfunction("""COMPUTED_VALUE"""),80440780)</f>
        <v>80440780</v>
      </c>
    </row>
    <row r="264" customFormat="false" ht="15.75" hidden="false" customHeight="false" outlineLevel="0" collapsed="false">
      <c r="A264" s="6" t="n">
        <f aca="false">IFERROR(__xludf.dummyfunction("""COMPUTED_VALUE"""),44579.6666666667)</f>
        <v>44579.6666666667</v>
      </c>
      <c r="B264" s="5" t="n">
        <f aca="false">IFERROR(__xludf.dummyfunction("""COMPUTED_VALUE"""),171.51)</f>
        <v>171.51</v>
      </c>
      <c r="C264" s="5" t="n">
        <f aca="false">IFERROR(__xludf.dummyfunction("""COMPUTED_VALUE"""),172.54)</f>
        <v>172.54</v>
      </c>
      <c r="D264" s="5" t="n">
        <f aca="false">IFERROR(__xludf.dummyfunction("""COMPUTED_VALUE"""),169.41)</f>
        <v>169.41</v>
      </c>
      <c r="E264" s="5" t="n">
        <f aca="false">IFERROR(__xludf.dummyfunction("""COMPUTED_VALUE"""),169.8)</f>
        <v>169.8</v>
      </c>
      <c r="F264" s="5" t="n">
        <f aca="false">IFERROR(__xludf.dummyfunction("""COMPUTED_VALUE"""),91168729)</f>
        <v>91168729</v>
      </c>
    </row>
    <row r="265" customFormat="false" ht="15.75" hidden="false" customHeight="false" outlineLevel="0" collapsed="false">
      <c r="A265" s="6" t="n">
        <f aca="false">IFERROR(__xludf.dummyfunction("""COMPUTED_VALUE"""),44580.6666666667)</f>
        <v>44580.6666666667</v>
      </c>
      <c r="B265" s="5" t="n">
        <f aca="false">IFERROR(__xludf.dummyfunction("""COMPUTED_VALUE"""),170)</f>
        <v>170</v>
      </c>
      <c r="C265" s="5" t="n">
        <f aca="false">IFERROR(__xludf.dummyfunction("""COMPUTED_VALUE"""),171.08)</f>
        <v>171.08</v>
      </c>
      <c r="D265" s="5" t="n">
        <f aca="false">IFERROR(__xludf.dummyfunction("""COMPUTED_VALUE"""),165.94)</f>
        <v>165.94</v>
      </c>
      <c r="E265" s="5" t="n">
        <f aca="false">IFERROR(__xludf.dummyfunction("""COMPUTED_VALUE"""),166.23)</f>
        <v>166.23</v>
      </c>
      <c r="F265" s="5" t="n">
        <f aca="false">IFERROR(__xludf.dummyfunction("""COMPUTED_VALUE"""),94814990)</f>
        <v>94814990</v>
      </c>
    </row>
    <row r="266" customFormat="false" ht="15.75" hidden="false" customHeight="false" outlineLevel="0" collapsed="false">
      <c r="A266" s="6" t="n">
        <f aca="false">IFERROR(__xludf.dummyfunction("""COMPUTED_VALUE"""),44581.6666666667)</f>
        <v>44581.6666666667</v>
      </c>
      <c r="B266" s="5" t="n">
        <f aca="false">IFERROR(__xludf.dummyfunction("""COMPUTED_VALUE"""),166.98)</f>
        <v>166.98</v>
      </c>
      <c r="C266" s="5" t="n">
        <f aca="false">IFERROR(__xludf.dummyfunction("""COMPUTED_VALUE"""),169.68)</f>
        <v>169.68</v>
      </c>
      <c r="D266" s="5" t="n">
        <f aca="false">IFERROR(__xludf.dummyfunction("""COMPUTED_VALUE"""),164.18)</f>
        <v>164.18</v>
      </c>
      <c r="E266" s="5" t="n">
        <f aca="false">IFERROR(__xludf.dummyfunction("""COMPUTED_VALUE"""),164.51)</f>
        <v>164.51</v>
      </c>
      <c r="F266" s="5" t="n">
        <f aca="false">IFERROR(__xludf.dummyfunction("""COMPUTED_VALUE"""),91420515)</f>
        <v>91420515</v>
      </c>
    </row>
    <row r="267" customFormat="false" ht="15.75" hidden="false" customHeight="false" outlineLevel="0" collapsed="false">
      <c r="A267" s="6" t="n">
        <f aca="false">IFERROR(__xludf.dummyfunction("""COMPUTED_VALUE"""),44582.6666666667)</f>
        <v>44582.6666666667</v>
      </c>
      <c r="B267" s="5" t="n">
        <f aca="false">IFERROR(__xludf.dummyfunction("""COMPUTED_VALUE"""),164.42)</f>
        <v>164.42</v>
      </c>
      <c r="C267" s="5" t="n">
        <f aca="false">IFERROR(__xludf.dummyfunction("""COMPUTED_VALUE"""),166.33)</f>
        <v>166.33</v>
      </c>
      <c r="D267" s="5" t="n">
        <f aca="false">IFERROR(__xludf.dummyfunction("""COMPUTED_VALUE"""),162.3)</f>
        <v>162.3</v>
      </c>
      <c r="E267" s="5" t="n">
        <f aca="false">IFERROR(__xludf.dummyfunction("""COMPUTED_VALUE"""),162.41)</f>
        <v>162.41</v>
      </c>
      <c r="F267" s="5" t="n">
        <f aca="false">IFERROR(__xludf.dummyfunction("""COMPUTED_VALUE"""),122848858)</f>
        <v>122848858</v>
      </c>
    </row>
    <row r="268" customFormat="false" ht="15.75" hidden="false" customHeight="false" outlineLevel="0" collapsed="false">
      <c r="A268" s="6" t="n">
        <f aca="false">IFERROR(__xludf.dummyfunction("""COMPUTED_VALUE"""),44585.6666666667)</f>
        <v>44585.6666666667</v>
      </c>
      <c r="B268" s="5" t="n">
        <f aca="false">IFERROR(__xludf.dummyfunction("""COMPUTED_VALUE"""),160.02)</f>
        <v>160.02</v>
      </c>
      <c r="C268" s="5" t="n">
        <f aca="false">IFERROR(__xludf.dummyfunction("""COMPUTED_VALUE"""),162.3)</f>
        <v>162.3</v>
      </c>
      <c r="D268" s="5" t="n">
        <f aca="false">IFERROR(__xludf.dummyfunction("""COMPUTED_VALUE"""),154.7)</f>
        <v>154.7</v>
      </c>
      <c r="E268" s="5" t="n">
        <f aca="false">IFERROR(__xludf.dummyfunction("""COMPUTED_VALUE"""),161.62)</f>
        <v>161.62</v>
      </c>
      <c r="F268" s="5" t="n">
        <f aca="false">IFERROR(__xludf.dummyfunction("""COMPUTED_VALUE"""),162706686)</f>
        <v>162706686</v>
      </c>
    </row>
    <row r="269" customFormat="false" ht="15.75" hidden="false" customHeight="false" outlineLevel="0" collapsed="false">
      <c r="A269" s="6" t="n">
        <f aca="false">IFERROR(__xludf.dummyfunction("""COMPUTED_VALUE"""),44586.6666666667)</f>
        <v>44586.6666666667</v>
      </c>
      <c r="B269" s="5" t="n">
        <f aca="false">IFERROR(__xludf.dummyfunction("""COMPUTED_VALUE"""),158.98)</f>
        <v>158.98</v>
      </c>
      <c r="C269" s="5" t="n">
        <f aca="false">IFERROR(__xludf.dummyfunction("""COMPUTED_VALUE"""),162.76)</f>
        <v>162.76</v>
      </c>
      <c r="D269" s="5" t="n">
        <f aca="false">IFERROR(__xludf.dummyfunction("""COMPUTED_VALUE"""),157.02)</f>
        <v>157.02</v>
      </c>
      <c r="E269" s="5" t="n">
        <f aca="false">IFERROR(__xludf.dummyfunction("""COMPUTED_VALUE"""),159.78)</f>
        <v>159.78</v>
      </c>
      <c r="F269" s="5" t="n">
        <f aca="false">IFERROR(__xludf.dummyfunction("""COMPUTED_VALUE"""),115798367)</f>
        <v>115798367</v>
      </c>
    </row>
    <row r="270" customFormat="false" ht="15.75" hidden="false" customHeight="false" outlineLevel="0" collapsed="false">
      <c r="A270" s="6" t="n">
        <f aca="false">IFERROR(__xludf.dummyfunction("""COMPUTED_VALUE"""),44587.6666666667)</f>
        <v>44587.6666666667</v>
      </c>
      <c r="B270" s="5" t="n">
        <f aca="false">IFERROR(__xludf.dummyfunction("""COMPUTED_VALUE"""),163.5)</f>
        <v>163.5</v>
      </c>
      <c r="C270" s="5" t="n">
        <f aca="false">IFERROR(__xludf.dummyfunction("""COMPUTED_VALUE"""),164.39)</f>
        <v>164.39</v>
      </c>
      <c r="D270" s="5" t="n">
        <f aca="false">IFERROR(__xludf.dummyfunction("""COMPUTED_VALUE"""),157.82)</f>
        <v>157.82</v>
      </c>
      <c r="E270" s="5" t="n">
        <f aca="false">IFERROR(__xludf.dummyfunction("""COMPUTED_VALUE"""),159.69)</f>
        <v>159.69</v>
      </c>
      <c r="F270" s="5" t="n">
        <f aca="false">IFERROR(__xludf.dummyfunction("""COMPUTED_VALUE"""),108275308)</f>
        <v>108275308</v>
      </c>
    </row>
    <row r="271" customFormat="false" ht="15.75" hidden="false" customHeight="false" outlineLevel="0" collapsed="false">
      <c r="A271" s="6" t="n">
        <f aca="false">IFERROR(__xludf.dummyfunction("""COMPUTED_VALUE"""),44588.6666666667)</f>
        <v>44588.6666666667</v>
      </c>
      <c r="B271" s="5" t="n">
        <f aca="false">IFERROR(__xludf.dummyfunction("""COMPUTED_VALUE"""),162.45)</f>
        <v>162.45</v>
      </c>
      <c r="C271" s="5" t="n">
        <f aca="false">IFERROR(__xludf.dummyfunction("""COMPUTED_VALUE"""),163.84)</f>
        <v>163.84</v>
      </c>
      <c r="D271" s="5" t="n">
        <f aca="false">IFERROR(__xludf.dummyfunction("""COMPUTED_VALUE"""),158.28)</f>
        <v>158.28</v>
      </c>
      <c r="E271" s="5" t="n">
        <f aca="false">IFERROR(__xludf.dummyfunction("""COMPUTED_VALUE"""),159.22)</f>
        <v>159.22</v>
      </c>
      <c r="F271" s="5" t="n">
        <f aca="false">IFERROR(__xludf.dummyfunction("""COMPUTED_VALUE"""),121954638)</f>
        <v>121954638</v>
      </c>
    </row>
    <row r="272" customFormat="false" ht="15.75" hidden="false" customHeight="false" outlineLevel="0" collapsed="false">
      <c r="A272" s="6" t="n">
        <f aca="false">IFERROR(__xludf.dummyfunction("""COMPUTED_VALUE"""),44589.6666666667)</f>
        <v>44589.6666666667</v>
      </c>
      <c r="B272" s="5" t="n">
        <f aca="false">IFERROR(__xludf.dummyfunction("""COMPUTED_VALUE"""),165.71)</f>
        <v>165.71</v>
      </c>
      <c r="C272" s="5" t="n">
        <f aca="false">IFERROR(__xludf.dummyfunction("""COMPUTED_VALUE"""),170.35)</f>
        <v>170.35</v>
      </c>
      <c r="D272" s="5" t="n">
        <f aca="false">IFERROR(__xludf.dummyfunction("""COMPUTED_VALUE"""),162.8)</f>
        <v>162.8</v>
      </c>
      <c r="E272" s="5" t="n">
        <f aca="false">IFERROR(__xludf.dummyfunction("""COMPUTED_VALUE"""),170.33)</f>
        <v>170.33</v>
      </c>
      <c r="F272" s="5" t="n">
        <f aca="false">IFERROR(__xludf.dummyfunction("""COMPUTED_VALUE"""),179935660)</f>
        <v>179935660</v>
      </c>
    </row>
    <row r="273" customFormat="false" ht="15.75" hidden="false" customHeight="false" outlineLevel="0" collapsed="false">
      <c r="A273" s="6" t="n">
        <f aca="false">IFERROR(__xludf.dummyfunction("""COMPUTED_VALUE"""),44592.6666666667)</f>
        <v>44592.6666666667</v>
      </c>
      <c r="B273" s="5" t="n">
        <f aca="false">IFERROR(__xludf.dummyfunction("""COMPUTED_VALUE"""),170.16)</f>
        <v>170.16</v>
      </c>
      <c r="C273" s="5" t="n">
        <f aca="false">IFERROR(__xludf.dummyfunction("""COMPUTED_VALUE"""),175)</f>
        <v>175</v>
      </c>
      <c r="D273" s="5" t="n">
        <f aca="false">IFERROR(__xludf.dummyfunction("""COMPUTED_VALUE"""),169.51)</f>
        <v>169.51</v>
      </c>
      <c r="E273" s="5" t="n">
        <f aca="false">IFERROR(__xludf.dummyfunction("""COMPUTED_VALUE"""),174.78)</f>
        <v>174.78</v>
      </c>
      <c r="F273" s="5" t="n">
        <f aca="false">IFERROR(__xludf.dummyfunction("""COMPUTED_VALUE"""),115541590)</f>
        <v>115541590</v>
      </c>
    </row>
    <row r="274" customFormat="false" ht="15.75" hidden="false" customHeight="false" outlineLevel="0" collapsed="false">
      <c r="A274" s="6" t="n">
        <f aca="false">IFERROR(__xludf.dummyfunction("""COMPUTED_VALUE"""),44593.6666666667)</f>
        <v>44593.6666666667</v>
      </c>
      <c r="B274" s="5" t="n">
        <f aca="false">IFERROR(__xludf.dummyfunction("""COMPUTED_VALUE"""),174.01)</f>
        <v>174.01</v>
      </c>
      <c r="C274" s="5" t="n">
        <f aca="false">IFERROR(__xludf.dummyfunction("""COMPUTED_VALUE"""),174.84)</f>
        <v>174.84</v>
      </c>
      <c r="D274" s="5" t="n">
        <f aca="false">IFERROR(__xludf.dummyfunction("""COMPUTED_VALUE"""),172.31)</f>
        <v>172.31</v>
      </c>
      <c r="E274" s="5" t="n">
        <f aca="false">IFERROR(__xludf.dummyfunction("""COMPUTED_VALUE"""),174.61)</f>
        <v>174.61</v>
      </c>
      <c r="F274" s="5" t="n">
        <f aca="false">IFERROR(__xludf.dummyfunction("""COMPUTED_VALUE"""),86213911)</f>
        <v>86213911</v>
      </c>
    </row>
    <row r="275" customFormat="false" ht="15.75" hidden="false" customHeight="false" outlineLevel="0" collapsed="false">
      <c r="A275" s="6" t="n">
        <f aca="false">IFERROR(__xludf.dummyfunction("""COMPUTED_VALUE"""),44594.6666666667)</f>
        <v>44594.6666666667</v>
      </c>
      <c r="B275" s="5" t="n">
        <f aca="false">IFERROR(__xludf.dummyfunction("""COMPUTED_VALUE"""),174.75)</f>
        <v>174.75</v>
      </c>
      <c r="C275" s="5" t="n">
        <f aca="false">IFERROR(__xludf.dummyfunction("""COMPUTED_VALUE"""),175.88)</f>
        <v>175.88</v>
      </c>
      <c r="D275" s="5" t="n">
        <f aca="false">IFERROR(__xludf.dummyfunction("""COMPUTED_VALUE"""),173.33)</f>
        <v>173.33</v>
      </c>
      <c r="E275" s="5" t="n">
        <f aca="false">IFERROR(__xludf.dummyfunction("""COMPUTED_VALUE"""),175.84)</f>
        <v>175.84</v>
      </c>
      <c r="F275" s="5" t="n">
        <f aca="false">IFERROR(__xludf.dummyfunction("""COMPUTED_VALUE"""),84914256)</f>
        <v>84914256</v>
      </c>
    </row>
    <row r="276" customFormat="false" ht="15.75" hidden="false" customHeight="false" outlineLevel="0" collapsed="false">
      <c r="A276" s="6" t="n">
        <f aca="false">IFERROR(__xludf.dummyfunction("""COMPUTED_VALUE"""),44595.6666666667)</f>
        <v>44595.6666666667</v>
      </c>
      <c r="B276" s="5" t="n">
        <f aca="false">IFERROR(__xludf.dummyfunction("""COMPUTED_VALUE"""),174.48)</f>
        <v>174.48</v>
      </c>
      <c r="C276" s="5" t="n">
        <f aca="false">IFERROR(__xludf.dummyfunction("""COMPUTED_VALUE"""),176.24)</f>
        <v>176.24</v>
      </c>
      <c r="D276" s="5" t="n">
        <f aca="false">IFERROR(__xludf.dummyfunction("""COMPUTED_VALUE"""),172.12)</f>
        <v>172.12</v>
      </c>
      <c r="E276" s="5" t="n">
        <f aca="false">IFERROR(__xludf.dummyfunction("""COMPUTED_VALUE"""),172.9)</f>
        <v>172.9</v>
      </c>
      <c r="F276" s="5" t="n">
        <f aca="false">IFERROR(__xludf.dummyfunction("""COMPUTED_VALUE"""),89418074)</f>
        <v>89418074</v>
      </c>
    </row>
    <row r="277" customFormat="false" ht="15.75" hidden="false" customHeight="false" outlineLevel="0" collapsed="false">
      <c r="A277" s="6" t="n">
        <f aca="false">IFERROR(__xludf.dummyfunction("""COMPUTED_VALUE"""),44596.6666666667)</f>
        <v>44596.6666666667</v>
      </c>
      <c r="B277" s="5" t="n">
        <f aca="false">IFERROR(__xludf.dummyfunction("""COMPUTED_VALUE"""),171.68)</f>
        <v>171.68</v>
      </c>
      <c r="C277" s="5" t="n">
        <f aca="false">IFERROR(__xludf.dummyfunction("""COMPUTED_VALUE"""),174.1)</f>
        <v>174.1</v>
      </c>
      <c r="D277" s="5" t="n">
        <f aca="false">IFERROR(__xludf.dummyfunction("""COMPUTED_VALUE"""),170.68)</f>
        <v>170.68</v>
      </c>
      <c r="E277" s="5" t="n">
        <f aca="false">IFERROR(__xludf.dummyfunction("""COMPUTED_VALUE"""),172.39)</f>
        <v>172.39</v>
      </c>
      <c r="F277" s="5" t="n">
        <f aca="false">IFERROR(__xludf.dummyfunction("""COMPUTED_VALUE"""),82465400)</f>
        <v>82465400</v>
      </c>
    </row>
    <row r="278" customFormat="false" ht="15.75" hidden="false" customHeight="false" outlineLevel="0" collapsed="false">
      <c r="A278" s="6" t="n">
        <f aca="false">IFERROR(__xludf.dummyfunction("""COMPUTED_VALUE"""),44599.6666666667)</f>
        <v>44599.6666666667</v>
      </c>
      <c r="B278" s="5" t="n">
        <f aca="false">IFERROR(__xludf.dummyfunction("""COMPUTED_VALUE"""),172.86)</f>
        <v>172.86</v>
      </c>
      <c r="C278" s="5" t="n">
        <f aca="false">IFERROR(__xludf.dummyfunction("""COMPUTED_VALUE"""),173.95)</f>
        <v>173.95</v>
      </c>
      <c r="D278" s="5" t="n">
        <f aca="false">IFERROR(__xludf.dummyfunction("""COMPUTED_VALUE"""),170.95)</f>
        <v>170.95</v>
      </c>
      <c r="E278" s="5" t="n">
        <f aca="false">IFERROR(__xludf.dummyfunction("""COMPUTED_VALUE"""),171.66)</f>
        <v>171.66</v>
      </c>
      <c r="F278" s="5" t="n">
        <f aca="false">IFERROR(__xludf.dummyfunction("""COMPUTED_VALUE"""),77251204)</f>
        <v>77251204</v>
      </c>
    </row>
    <row r="279" customFormat="false" ht="15.75" hidden="false" customHeight="false" outlineLevel="0" collapsed="false">
      <c r="A279" s="6" t="n">
        <f aca="false">IFERROR(__xludf.dummyfunction("""COMPUTED_VALUE"""),44600.6666666667)</f>
        <v>44600.6666666667</v>
      </c>
      <c r="B279" s="5" t="n">
        <f aca="false">IFERROR(__xludf.dummyfunction("""COMPUTED_VALUE"""),171.73)</f>
        <v>171.73</v>
      </c>
      <c r="C279" s="5" t="n">
        <f aca="false">IFERROR(__xludf.dummyfunction("""COMPUTED_VALUE"""),175.35)</f>
        <v>175.35</v>
      </c>
      <c r="D279" s="5" t="n">
        <f aca="false">IFERROR(__xludf.dummyfunction("""COMPUTED_VALUE"""),171.43)</f>
        <v>171.43</v>
      </c>
      <c r="E279" s="5" t="n">
        <f aca="false">IFERROR(__xludf.dummyfunction("""COMPUTED_VALUE"""),174.83)</f>
        <v>174.83</v>
      </c>
      <c r="F279" s="5" t="n">
        <f aca="false">IFERROR(__xludf.dummyfunction("""COMPUTED_VALUE"""),74829217)</f>
        <v>74829217</v>
      </c>
    </row>
    <row r="280" customFormat="false" ht="15.75" hidden="false" customHeight="false" outlineLevel="0" collapsed="false">
      <c r="A280" s="6" t="n">
        <f aca="false">IFERROR(__xludf.dummyfunction("""COMPUTED_VALUE"""),44601.6666666667)</f>
        <v>44601.6666666667</v>
      </c>
      <c r="B280" s="5" t="n">
        <f aca="false">IFERROR(__xludf.dummyfunction("""COMPUTED_VALUE"""),176.05)</f>
        <v>176.05</v>
      </c>
      <c r="C280" s="5" t="n">
        <f aca="false">IFERROR(__xludf.dummyfunction("""COMPUTED_VALUE"""),176.65)</f>
        <v>176.65</v>
      </c>
      <c r="D280" s="5" t="n">
        <f aca="false">IFERROR(__xludf.dummyfunction("""COMPUTED_VALUE"""),174.9)</f>
        <v>174.9</v>
      </c>
      <c r="E280" s="5" t="n">
        <f aca="false">IFERROR(__xludf.dummyfunction("""COMPUTED_VALUE"""),176.28)</f>
        <v>176.28</v>
      </c>
      <c r="F280" s="5" t="n">
        <f aca="false">IFERROR(__xludf.dummyfunction("""COMPUTED_VALUE"""),71285038)</f>
        <v>71285038</v>
      </c>
    </row>
    <row r="281" customFormat="false" ht="15.75" hidden="false" customHeight="false" outlineLevel="0" collapsed="false">
      <c r="A281" s="6" t="n">
        <f aca="false">IFERROR(__xludf.dummyfunction("""COMPUTED_VALUE"""),44602.6666666667)</f>
        <v>44602.6666666667</v>
      </c>
      <c r="B281" s="5" t="n">
        <f aca="false">IFERROR(__xludf.dummyfunction("""COMPUTED_VALUE"""),174.14)</f>
        <v>174.14</v>
      </c>
      <c r="C281" s="5" t="n">
        <f aca="false">IFERROR(__xludf.dummyfunction("""COMPUTED_VALUE"""),175.48)</f>
        <v>175.48</v>
      </c>
      <c r="D281" s="5" t="n">
        <f aca="false">IFERROR(__xludf.dummyfunction("""COMPUTED_VALUE"""),171.55)</f>
        <v>171.55</v>
      </c>
      <c r="E281" s="5" t="n">
        <f aca="false">IFERROR(__xludf.dummyfunction("""COMPUTED_VALUE"""),172.12)</f>
        <v>172.12</v>
      </c>
      <c r="F281" s="5" t="n">
        <f aca="false">IFERROR(__xludf.dummyfunction("""COMPUTED_VALUE"""),90865899)</f>
        <v>90865899</v>
      </c>
    </row>
    <row r="282" customFormat="false" ht="15.75" hidden="false" customHeight="false" outlineLevel="0" collapsed="false">
      <c r="A282" s="6" t="n">
        <f aca="false">IFERROR(__xludf.dummyfunction("""COMPUTED_VALUE"""),44603.6666666667)</f>
        <v>44603.6666666667</v>
      </c>
      <c r="B282" s="5" t="n">
        <f aca="false">IFERROR(__xludf.dummyfunction("""COMPUTED_VALUE"""),172.33)</f>
        <v>172.33</v>
      </c>
      <c r="C282" s="5" t="n">
        <f aca="false">IFERROR(__xludf.dummyfunction("""COMPUTED_VALUE"""),173.08)</f>
        <v>173.08</v>
      </c>
      <c r="D282" s="5" t="n">
        <f aca="false">IFERROR(__xludf.dummyfunction("""COMPUTED_VALUE"""),168.04)</f>
        <v>168.04</v>
      </c>
      <c r="E282" s="5" t="n">
        <f aca="false">IFERROR(__xludf.dummyfunction("""COMPUTED_VALUE"""),168.64)</f>
        <v>168.64</v>
      </c>
      <c r="F282" s="5" t="n">
        <f aca="false">IFERROR(__xludf.dummyfunction("""COMPUTED_VALUE"""),98670687)</f>
        <v>98670687</v>
      </c>
    </row>
    <row r="283" customFormat="false" ht="15.75" hidden="false" customHeight="false" outlineLevel="0" collapsed="false">
      <c r="A283" s="6" t="n">
        <f aca="false">IFERROR(__xludf.dummyfunction("""COMPUTED_VALUE"""),44606.6666666667)</f>
        <v>44606.6666666667</v>
      </c>
      <c r="B283" s="5" t="n">
        <f aca="false">IFERROR(__xludf.dummyfunction("""COMPUTED_VALUE"""),167.37)</f>
        <v>167.37</v>
      </c>
      <c r="C283" s="5" t="n">
        <f aca="false">IFERROR(__xludf.dummyfunction("""COMPUTED_VALUE"""),169.58)</f>
        <v>169.58</v>
      </c>
      <c r="D283" s="5" t="n">
        <f aca="false">IFERROR(__xludf.dummyfunction("""COMPUTED_VALUE"""),166.56)</f>
        <v>166.56</v>
      </c>
      <c r="E283" s="5" t="n">
        <f aca="false">IFERROR(__xludf.dummyfunction("""COMPUTED_VALUE"""),168.88)</f>
        <v>168.88</v>
      </c>
      <c r="F283" s="5" t="n">
        <f aca="false">IFERROR(__xludf.dummyfunction("""COMPUTED_VALUE"""),86185530)</f>
        <v>86185530</v>
      </c>
    </row>
    <row r="284" customFormat="false" ht="15.75" hidden="false" customHeight="false" outlineLevel="0" collapsed="false">
      <c r="A284" s="6" t="n">
        <f aca="false">IFERROR(__xludf.dummyfunction("""COMPUTED_VALUE"""),44607.6666666667)</f>
        <v>44607.6666666667</v>
      </c>
      <c r="B284" s="5" t="n">
        <f aca="false">IFERROR(__xludf.dummyfunction("""COMPUTED_VALUE"""),170.97)</f>
        <v>170.97</v>
      </c>
      <c r="C284" s="5" t="n">
        <f aca="false">IFERROR(__xludf.dummyfunction("""COMPUTED_VALUE"""),172.95)</f>
        <v>172.95</v>
      </c>
      <c r="D284" s="5" t="n">
        <f aca="false">IFERROR(__xludf.dummyfunction("""COMPUTED_VALUE"""),170.25)</f>
        <v>170.25</v>
      </c>
      <c r="E284" s="5" t="n">
        <f aca="false">IFERROR(__xludf.dummyfunction("""COMPUTED_VALUE"""),172.79)</f>
        <v>172.79</v>
      </c>
      <c r="F284" s="5" t="n">
        <f aca="false">IFERROR(__xludf.dummyfunction("""COMPUTED_VALUE"""),64286320)</f>
        <v>64286320</v>
      </c>
    </row>
    <row r="285" customFormat="false" ht="15.75" hidden="false" customHeight="false" outlineLevel="0" collapsed="false">
      <c r="A285" s="6" t="n">
        <f aca="false">IFERROR(__xludf.dummyfunction("""COMPUTED_VALUE"""),44608.6666666667)</f>
        <v>44608.6666666667</v>
      </c>
      <c r="B285" s="5" t="n">
        <f aca="false">IFERROR(__xludf.dummyfunction("""COMPUTED_VALUE"""),171.85)</f>
        <v>171.85</v>
      </c>
      <c r="C285" s="5" t="n">
        <f aca="false">IFERROR(__xludf.dummyfunction("""COMPUTED_VALUE"""),173.34)</f>
        <v>173.34</v>
      </c>
      <c r="D285" s="5" t="n">
        <f aca="false">IFERROR(__xludf.dummyfunction("""COMPUTED_VALUE"""),170.05)</f>
        <v>170.05</v>
      </c>
      <c r="E285" s="5" t="n">
        <f aca="false">IFERROR(__xludf.dummyfunction("""COMPUTED_VALUE"""),172.55)</f>
        <v>172.55</v>
      </c>
      <c r="F285" s="5" t="n">
        <f aca="false">IFERROR(__xludf.dummyfunction("""COMPUTED_VALUE"""),61177398)</f>
        <v>61177398</v>
      </c>
    </row>
    <row r="286" customFormat="false" ht="15.75" hidden="false" customHeight="false" outlineLevel="0" collapsed="false">
      <c r="A286" s="6" t="n">
        <f aca="false">IFERROR(__xludf.dummyfunction("""COMPUTED_VALUE"""),44609.6666666667)</f>
        <v>44609.6666666667</v>
      </c>
      <c r="B286" s="5" t="n">
        <f aca="false">IFERROR(__xludf.dummyfunction("""COMPUTED_VALUE"""),171.03)</f>
        <v>171.03</v>
      </c>
      <c r="C286" s="5" t="n">
        <f aca="false">IFERROR(__xludf.dummyfunction("""COMPUTED_VALUE"""),171.91)</f>
        <v>171.91</v>
      </c>
      <c r="D286" s="5" t="n">
        <f aca="false">IFERROR(__xludf.dummyfunction("""COMPUTED_VALUE"""),168.47)</f>
        <v>168.47</v>
      </c>
      <c r="E286" s="5" t="n">
        <f aca="false">IFERROR(__xludf.dummyfunction("""COMPUTED_VALUE"""),168.88)</f>
        <v>168.88</v>
      </c>
      <c r="F286" s="5" t="n">
        <f aca="false">IFERROR(__xludf.dummyfunction("""COMPUTED_VALUE"""),69589344)</f>
        <v>69589344</v>
      </c>
    </row>
    <row r="287" customFormat="false" ht="15.75" hidden="false" customHeight="false" outlineLevel="0" collapsed="false">
      <c r="A287" s="6" t="n">
        <f aca="false">IFERROR(__xludf.dummyfunction("""COMPUTED_VALUE"""),44610.6666666667)</f>
        <v>44610.6666666667</v>
      </c>
      <c r="B287" s="5" t="n">
        <f aca="false">IFERROR(__xludf.dummyfunction("""COMPUTED_VALUE"""),169.82)</f>
        <v>169.82</v>
      </c>
      <c r="C287" s="5" t="n">
        <f aca="false">IFERROR(__xludf.dummyfunction("""COMPUTED_VALUE"""),170.54)</f>
        <v>170.54</v>
      </c>
      <c r="D287" s="5" t="n">
        <f aca="false">IFERROR(__xludf.dummyfunction("""COMPUTED_VALUE"""),166.19)</f>
        <v>166.19</v>
      </c>
      <c r="E287" s="5" t="n">
        <f aca="false">IFERROR(__xludf.dummyfunction("""COMPUTED_VALUE"""),167.3)</f>
        <v>167.3</v>
      </c>
      <c r="F287" s="5" t="n">
        <f aca="false">IFERROR(__xludf.dummyfunction("""COMPUTED_VALUE"""),82772674)</f>
        <v>82772674</v>
      </c>
    </row>
    <row r="288" customFormat="false" ht="15.75" hidden="false" customHeight="false" outlineLevel="0" collapsed="false">
      <c r="A288" s="6" t="n">
        <f aca="false">IFERROR(__xludf.dummyfunction("""COMPUTED_VALUE"""),44614.6666666667)</f>
        <v>44614.6666666667</v>
      </c>
      <c r="B288" s="5" t="n">
        <f aca="false">IFERROR(__xludf.dummyfunction("""COMPUTED_VALUE"""),164.98)</f>
        <v>164.98</v>
      </c>
      <c r="C288" s="5" t="n">
        <f aca="false">IFERROR(__xludf.dummyfunction("""COMPUTED_VALUE"""),166.69)</f>
        <v>166.69</v>
      </c>
      <c r="D288" s="5" t="n">
        <f aca="false">IFERROR(__xludf.dummyfunction("""COMPUTED_VALUE"""),162.15)</f>
        <v>162.15</v>
      </c>
      <c r="E288" s="5" t="n">
        <f aca="false">IFERROR(__xludf.dummyfunction("""COMPUTED_VALUE"""),164.32)</f>
        <v>164.32</v>
      </c>
      <c r="F288" s="5" t="n">
        <f aca="false">IFERROR(__xludf.dummyfunction("""COMPUTED_VALUE"""),91162758)</f>
        <v>91162758</v>
      </c>
    </row>
    <row r="289" customFormat="false" ht="15.75" hidden="false" customHeight="false" outlineLevel="0" collapsed="false">
      <c r="A289" s="6" t="n">
        <f aca="false">IFERROR(__xludf.dummyfunction("""COMPUTED_VALUE"""),44615.6666666667)</f>
        <v>44615.6666666667</v>
      </c>
      <c r="B289" s="5" t="n">
        <f aca="false">IFERROR(__xludf.dummyfunction("""COMPUTED_VALUE"""),165.54)</f>
        <v>165.54</v>
      </c>
      <c r="C289" s="5" t="n">
        <f aca="false">IFERROR(__xludf.dummyfunction("""COMPUTED_VALUE"""),166.15)</f>
        <v>166.15</v>
      </c>
      <c r="D289" s="5" t="n">
        <f aca="false">IFERROR(__xludf.dummyfunction("""COMPUTED_VALUE"""),159.75)</f>
        <v>159.75</v>
      </c>
      <c r="E289" s="5" t="n">
        <f aca="false">IFERROR(__xludf.dummyfunction("""COMPUTED_VALUE"""),160.07)</f>
        <v>160.07</v>
      </c>
      <c r="F289" s="5" t="n">
        <f aca="false">IFERROR(__xludf.dummyfunction("""COMPUTED_VALUE"""),90009247)</f>
        <v>90009247</v>
      </c>
    </row>
    <row r="290" customFormat="false" ht="15.75" hidden="false" customHeight="false" outlineLevel="0" collapsed="false">
      <c r="A290" s="6" t="n">
        <f aca="false">IFERROR(__xludf.dummyfunction("""COMPUTED_VALUE"""),44616.6666666667)</f>
        <v>44616.6666666667</v>
      </c>
      <c r="B290" s="5" t="n">
        <f aca="false">IFERROR(__xludf.dummyfunction("""COMPUTED_VALUE"""),152.58)</f>
        <v>152.58</v>
      </c>
      <c r="C290" s="5" t="n">
        <f aca="false">IFERROR(__xludf.dummyfunction("""COMPUTED_VALUE"""),162.85)</f>
        <v>162.85</v>
      </c>
      <c r="D290" s="5" t="n">
        <f aca="false">IFERROR(__xludf.dummyfunction("""COMPUTED_VALUE"""),152)</f>
        <v>152</v>
      </c>
      <c r="E290" s="5" t="n">
        <f aca="false">IFERROR(__xludf.dummyfunction("""COMPUTED_VALUE"""),162.74)</f>
        <v>162.74</v>
      </c>
      <c r="F290" s="5" t="n">
        <f aca="false">IFERROR(__xludf.dummyfunction("""COMPUTED_VALUE"""),141147540)</f>
        <v>141147540</v>
      </c>
    </row>
    <row r="291" customFormat="false" ht="15.75" hidden="false" customHeight="false" outlineLevel="0" collapsed="false">
      <c r="A291" s="6" t="n">
        <f aca="false">IFERROR(__xludf.dummyfunction("""COMPUTED_VALUE"""),44617.6666666667)</f>
        <v>44617.6666666667</v>
      </c>
      <c r="B291" s="5" t="n">
        <f aca="false">IFERROR(__xludf.dummyfunction("""COMPUTED_VALUE"""),163.84)</f>
        <v>163.84</v>
      </c>
      <c r="C291" s="5" t="n">
        <f aca="false">IFERROR(__xludf.dummyfunction("""COMPUTED_VALUE"""),165.12)</f>
        <v>165.12</v>
      </c>
      <c r="D291" s="5" t="n">
        <f aca="false">IFERROR(__xludf.dummyfunction("""COMPUTED_VALUE"""),160.87)</f>
        <v>160.87</v>
      </c>
      <c r="E291" s="5" t="n">
        <f aca="false">IFERROR(__xludf.dummyfunction("""COMPUTED_VALUE"""),164.85)</f>
        <v>164.85</v>
      </c>
      <c r="F291" s="5" t="n">
        <f aca="false">IFERROR(__xludf.dummyfunction("""COMPUTED_VALUE"""),91974222)</f>
        <v>91974222</v>
      </c>
    </row>
    <row r="292" customFormat="false" ht="15.75" hidden="false" customHeight="false" outlineLevel="0" collapsed="false">
      <c r="A292" s="6" t="n">
        <f aca="false">IFERROR(__xludf.dummyfunction("""COMPUTED_VALUE"""),44620.6666666667)</f>
        <v>44620.6666666667</v>
      </c>
      <c r="B292" s="5" t="n">
        <f aca="false">IFERROR(__xludf.dummyfunction("""COMPUTED_VALUE"""),163.06)</f>
        <v>163.06</v>
      </c>
      <c r="C292" s="5" t="n">
        <f aca="false">IFERROR(__xludf.dummyfunction("""COMPUTED_VALUE"""),165.42)</f>
        <v>165.42</v>
      </c>
      <c r="D292" s="5" t="n">
        <f aca="false">IFERROR(__xludf.dummyfunction("""COMPUTED_VALUE"""),162.43)</f>
        <v>162.43</v>
      </c>
      <c r="E292" s="5" t="n">
        <f aca="false">IFERROR(__xludf.dummyfunction("""COMPUTED_VALUE"""),165.12)</f>
        <v>165.12</v>
      </c>
      <c r="F292" s="5" t="n">
        <f aca="false">IFERROR(__xludf.dummyfunction("""COMPUTED_VALUE"""),95056629)</f>
        <v>95056629</v>
      </c>
    </row>
    <row r="293" customFormat="false" ht="15.75" hidden="false" customHeight="false" outlineLevel="0" collapsed="false">
      <c r="A293" s="6" t="n">
        <f aca="false">IFERROR(__xludf.dummyfunction("""COMPUTED_VALUE"""),44621.6666666667)</f>
        <v>44621.6666666667</v>
      </c>
      <c r="B293" s="5" t="n">
        <f aca="false">IFERROR(__xludf.dummyfunction("""COMPUTED_VALUE"""),164.7)</f>
        <v>164.7</v>
      </c>
      <c r="C293" s="5" t="n">
        <f aca="false">IFERROR(__xludf.dummyfunction("""COMPUTED_VALUE"""),166.6)</f>
        <v>166.6</v>
      </c>
      <c r="D293" s="5" t="n">
        <f aca="false">IFERROR(__xludf.dummyfunction("""COMPUTED_VALUE"""),161.97)</f>
        <v>161.97</v>
      </c>
      <c r="E293" s="5" t="n">
        <f aca="false">IFERROR(__xludf.dummyfunction("""COMPUTED_VALUE"""),163.2)</f>
        <v>163.2</v>
      </c>
      <c r="F293" s="5" t="n">
        <f aca="false">IFERROR(__xludf.dummyfunction("""COMPUTED_VALUE"""),83474425)</f>
        <v>83474425</v>
      </c>
    </row>
    <row r="294" customFormat="false" ht="15.75" hidden="false" customHeight="false" outlineLevel="0" collapsed="false">
      <c r="A294" s="6" t="n">
        <f aca="false">IFERROR(__xludf.dummyfunction("""COMPUTED_VALUE"""),44622.6666666667)</f>
        <v>44622.6666666667</v>
      </c>
      <c r="B294" s="5" t="n">
        <f aca="false">IFERROR(__xludf.dummyfunction("""COMPUTED_VALUE"""),164.39)</f>
        <v>164.39</v>
      </c>
      <c r="C294" s="5" t="n">
        <f aca="false">IFERROR(__xludf.dummyfunction("""COMPUTED_VALUE"""),167.36)</f>
        <v>167.36</v>
      </c>
      <c r="D294" s="5" t="n">
        <f aca="false">IFERROR(__xludf.dummyfunction("""COMPUTED_VALUE"""),162.95)</f>
        <v>162.95</v>
      </c>
      <c r="E294" s="5" t="n">
        <f aca="false">IFERROR(__xludf.dummyfunction("""COMPUTED_VALUE"""),166.56)</f>
        <v>166.56</v>
      </c>
      <c r="F294" s="5" t="n">
        <f aca="false">IFERROR(__xludf.dummyfunction("""COMPUTED_VALUE"""),79724750)</f>
        <v>79724750</v>
      </c>
    </row>
    <row r="295" customFormat="false" ht="15.75" hidden="false" customHeight="false" outlineLevel="0" collapsed="false">
      <c r="A295" s="6" t="n">
        <f aca="false">IFERROR(__xludf.dummyfunction("""COMPUTED_VALUE"""),44623.6666666667)</f>
        <v>44623.6666666667</v>
      </c>
      <c r="B295" s="5" t="n">
        <f aca="false">IFERROR(__xludf.dummyfunction("""COMPUTED_VALUE"""),168.47)</f>
        <v>168.47</v>
      </c>
      <c r="C295" s="5" t="n">
        <f aca="false">IFERROR(__xludf.dummyfunction("""COMPUTED_VALUE"""),168.91)</f>
        <v>168.91</v>
      </c>
      <c r="D295" s="5" t="n">
        <f aca="false">IFERROR(__xludf.dummyfunction("""COMPUTED_VALUE"""),165.55)</f>
        <v>165.55</v>
      </c>
      <c r="E295" s="5" t="n">
        <f aca="false">IFERROR(__xludf.dummyfunction("""COMPUTED_VALUE"""),166.23)</f>
        <v>166.23</v>
      </c>
      <c r="F295" s="5" t="n">
        <f aca="false">IFERROR(__xludf.dummyfunction("""COMPUTED_VALUE"""),76678441)</f>
        <v>76678441</v>
      </c>
    </row>
    <row r="296" customFormat="false" ht="15.75" hidden="false" customHeight="false" outlineLevel="0" collapsed="false">
      <c r="A296" s="6" t="n">
        <f aca="false">IFERROR(__xludf.dummyfunction("""COMPUTED_VALUE"""),44624.6666666667)</f>
        <v>44624.6666666667</v>
      </c>
      <c r="B296" s="5" t="n">
        <f aca="false">IFERROR(__xludf.dummyfunction("""COMPUTED_VALUE"""),164.49)</f>
        <v>164.49</v>
      </c>
      <c r="C296" s="5" t="n">
        <f aca="false">IFERROR(__xludf.dummyfunction("""COMPUTED_VALUE"""),165.55)</f>
        <v>165.55</v>
      </c>
      <c r="D296" s="5" t="n">
        <f aca="false">IFERROR(__xludf.dummyfunction("""COMPUTED_VALUE"""),162.1)</f>
        <v>162.1</v>
      </c>
      <c r="E296" s="5" t="n">
        <f aca="false">IFERROR(__xludf.dummyfunction("""COMPUTED_VALUE"""),163.17)</f>
        <v>163.17</v>
      </c>
      <c r="F296" s="5" t="n">
        <f aca="false">IFERROR(__xludf.dummyfunction("""COMPUTED_VALUE"""),83819592)</f>
        <v>83819592</v>
      </c>
    </row>
    <row r="297" customFormat="false" ht="15.75" hidden="false" customHeight="false" outlineLevel="0" collapsed="false">
      <c r="A297" s="6" t="n">
        <f aca="false">IFERROR(__xludf.dummyfunction("""COMPUTED_VALUE"""),44627.6666666667)</f>
        <v>44627.6666666667</v>
      </c>
      <c r="B297" s="5" t="n">
        <f aca="false">IFERROR(__xludf.dummyfunction("""COMPUTED_VALUE"""),163.36)</f>
        <v>163.36</v>
      </c>
      <c r="C297" s="5" t="n">
        <f aca="false">IFERROR(__xludf.dummyfunction("""COMPUTED_VALUE"""),165.02)</f>
        <v>165.02</v>
      </c>
      <c r="D297" s="5" t="n">
        <f aca="false">IFERROR(__xludf.dummyfunction("""COMPUTED_VALUE"""),159.04)</f>
        <v>159.04</v>
      </c>
      <c r="E297" s="5" t="n">
        <f aca="false">IFERROR(__xludf.dummyfunction("""COMPUTED_VALUE"""),159.3)</f>
        <v>159.3</v>
      </c>
      <c r="F297" s="5" t="n">
        <f aca="false">IFERROR(__xludf.dummyfunction("""COMPUTED_VALUE"""),96418845)</f>
        <v>96418845</v>
      </c>
    </row>
    <row r="298" customFormat="false" ht="15.75" hidden="false" customHeight="false" outlineLevel="0" collapsed="false">
      <c r="A298" s="6" t="n">
        <f aca="false">IFERROR(__xludf.dummyfunction("""COMPUTED_VALUE"""),44628.6666666667)</f>
        <v>44628.6666666667</v>
      </c>
      <c r="B298" s="5" t="n">
        <f aca="false">IFERROR(__xludf.dummyfunction("""COMPUTED_VALUE"""),158.82)</f>
        <v>158.82</v>
      </c>
      <c r="C298" s="5" t="n">
        <f aca="false">IFERROR(__xludf.dummyfunction("""COMPUTED_VALUE"""),162.88)</f>
        <v>162.88</v>
      </c>
      <c r="D298" s="5" t="n">
        <f aca="false">IFERROR(__xludf.dummyfunction("""COMPUTED_VALUE"""),155.8)</f>
        <v>155.8</v>
      </c>
      <c r="E298" s="5" t="n">
        <f aca="false">IFERROR(__xludf.dummyfunction("""COMPUTED_VALUE"""),157.44)</f>
        <v>157.44</v>
      </c>
      <c r="F298" s="5" t="n">
        <f aca="false">IFERROR(__xludf.dummyfunction("""COMPUTED_VALUE"""),131148280)</f>
        <v>131148280</v>
      </c>
    </row>
    <row r="299" customFormat="false" ht="15.75" hidden="false" customHeight="false" outlineLevel="0" collapsed="false">
      <c r="A299" s="6" t="n">
        <f aca="false">IFERROR(__xludf.dummyfunction("""COMPUTED_VALUE"""),44629.6666666667)</f>
        <v>44629.6666666667</v>
      </c>
      <c r="B299" s="5" t="n">
        <f aca="false">IFERROR(__xludf.dummyfunction("""COMPUTED_VALUE"""),161.48)</f>
        <v>161.48</v>
      </c>
      <c r="C299" s="5" t="n">
        <f aca="false">IFERROR(__xludf.dummyfunction("""COMPUTED_VALUE"""),163.41)</f>
        <v>163.41</v>
      </c>
      <c r="D299" s="5" t="n">
        <f aca="false">IFERROR(__xludf.dummyfunction("""COMPUTED_VALUE"""),159.41)</f>
        <v>159.41</v>
      </c>
      <c r="E299" s="5" t="n">
        <f aca="false">IFERROR(__xludf.dummyfunction("""COMPUTED_VALUE"""),162.95)</f>
        <v>162.95</v>
      </c>
      <c r="F299" s="5" t="n">
        <f aca="false">IFERROR(__xludf.dummyfunction("""COMPUTED_VALUE"""),91454905)</f>
        <v>91454905</v>
      </c>
    </row>
    <row r="300" customFormat="false" ht="15.75" hidden="false" customHeight="false" outlineLevel="0" collapsed="false">
      <c r="A300" s="6" t="n">
        <f aca="false">IFERROR(__xludf.dummyfunction("""COMPUTED_VALUE"""),44630.6666666667)</f>
        <v>44630.6666666667</v>
      </c>
      <c r="B300" s="5" t="n">
        <f aca="false">IFERROR(__xludf.dummyfunction("""COMPUTED_VALUE"""),160.2)</f>
        <v>160.2</v>
      </c>
      <c r="C300" s="5" t="n">
        <f aca="false">IFERROR(__xludf.dummyfunction("""COMPUTED_VALUE"""),160.39)</f>
        <v>160.39</v>
      </c>
      <c r="D300" s="5" t="n">
        <f aca="false">IFERROR(__xludf.dummyfunction("""COMPUTED_VALUE"""),155.98)</f>
        <v>155.98</v>
      </c>
      <c r="E300" s="5" t="n">
        <f aca="false">IFERROR(__xludf.dummyfunction("""COMPUTED_VALUE"""),158.52)</f>
        <v>158.52</v>
      </c>
      <c r="F300" s="5" t="n">
        <f aca="false">IFERROR(__xludf.dummyfunction("""COMPUTED_VALUE"""),105342033)</f>
        <v>105342033</v>
      </c>
    </row>
    <row r="301" customFormat="false" ht="15.75" hidden="false" customHeight="false" outlineLevel="0" collapsed="false">
      <c r="A301" s="6" t="n">
        <f aca="false">IFERROR(__xludf.dummyfunction("""COMPUTED_VALUE"""),44631.6666666667)</f>
        <v>44631.6666666667</v>
      </c>
      <c r="B301" s="5" t="n">
        <f aca="false">IFERROR(__xludf.dummyfunction("""COMPUTED_VALUE"""),158.93)</f>
        <v>158.93</v>
      </c>
      <c r="C301" s="5" t="n">
        <f aca="false">IFERROR(__xludf.dummyfunction("""COMPUTED_VALUE"""),159.28)</f>
        <v>159.28</v>
      </c>
      <c r="D301" s="5" t="n">
        <f aca="false">IFERROR(__xludf.dummyfunction("""COMPUTED_VALUE"""),154.5)</f>
        <v>154.5</v>
      </c>
      <c r="E301" s="5" t="n">
        <f aca="false">IFERROR(__xludf.dummyfunction("""COMPUTED_VALUE"""),154.73)</f>
        <v>154.73</v>
      </c>
      <c r="F301" s="5" t="n">
        <f aca="false">IFERROR(__xludf.dummyfunction("""COMPUTED_VALUE"""),96970102)</f>
        <v>96970102</v>
      </c>
    </row>
    <row r="302" customFormat="false" ht="15.75" hidden="false" customHeight="false" outlineLevel="0" collapsed="false">
      <c r="A302" s="6" t="n">
        <f aca="false">IFERROR(__xludf.dummyfunction("""COMPUTED_VALUE"""),44634.6666666667)</f>
        <v>44634.6666666667</v>
      </c>
      <c r="B302" s="5" t="n">
        <f aca="false">IFERROR(__xludf.dummyfunction("""COMPUTED_VALUE"""),151.45)</f>
        <v>151.45</v>
      </c>
      <c r="C302" s="5" t="n">
        <f aca="false">IFERROR(__xludf.dummyfunction("""COMPUTED_VALUE"""),154.12)</f>
        <v>154.12</v>
      </c>
      <c r="D302" s="5" t="n">
        <f aca="false">IFERROR(__xludf.dummyfunction("""COMPUTED_VALUE"""),150.1)</f>
        <v>150.1</v>
      </c>
      <c r="E302" s="5" t="n">
        <f aca="false">IFERROR(__xludf.dummyfunction("""COMPUTED_VALUE"""),150.62)</f>
        <v>150.62</v>
      </c>
      <c r="F302" s="5" t="n">
        <f aca="false">IFERROR(__xludf.dummyfunction("""COMPUTED_VALUE"""),108732111)</f>
        <v>108732111</v>
      </c>
    </row>
    <row r="303" customFormat="false" ht="15.75" hidden="false" customHeight="false" outlineLevel="0" collapsed="false">
      <c r="A303" s="6" t="n">
        <f aca="false">IFERROR(__xludf.dummyfunction("""COMPUTED_VALUE"""),44635.6666666667)</f>
        <v>44635.6666666667</v>
      </c>
      <c r="B303" s="5" t="n">
        <f aca="false">IFERROR(__xludf.dummyfunction("""COMPUTED_VALUE"""),150.9)</f>
        <v>150.9</v>
      </c>
      <c r="C303" s="5" t="n">
        <f aca="false">IFERROR(__xludf.dummyfunction("""COMPUTED_VALUE"""),155.57)</f>
        <v>155.57</v>
      </c>
      <c r="D303" s="5" t="n">
        <f aca="false">IFERROR(__xludf.dummyfunction("""COMPUTED_VALUE"""),150.38)</f>
        <v>150.38</v>
      </c>
      <c r="E303" s="5" t="n">
        <f aca="false">IFERROR(__xludf.dummyfunction("""COMPUTED_VALUE"""),155.09)</f>
        <v>155.09</v>
      </c>
      <c r="F303" s="5" t="n">
        <f aca="false">IFERROR(__xludf.dummyfunction("""COMPUTED_VALUE"""),92964302)</f>
        <v>92964302</v>
      </c>
    </row>
    <row r="304" customFormat="false" ht="15.75" hidden="false" customHeight="false" outlineLevel="0" collapsed="false">
      <c r="A304" s="6" t="n">
        <f aca="false">IFERROR(__xludf.dummyfunction("""COMPUTED_VALUE"""),44636.6666666667)</f>
        <v>44636.6666666667</v>
      </c>
      <c r="B304" s="5" t="n">
        <f aca="false">IFERROR(__xludf.dummyfunction("""COMPUTED_VALUE"""),157.05)</f>
        <v>157.05</v>
      </c>
      <c r="C304" s="5" t="n">
        <f aca="false">IFERROR(__xludf.dummyfunction("""COMPUTED_VALUE"""),160)</f>
        <v>160</v>
      </c>
      <c r="D304" s="5" t="n">
        <f aca="false">IFERROR(__xludf.dummyfunction("""COMPUTED_VALUE"""),154.46)</f>
        <v>154.46</v>
      </c>
      <c r="E304" s="5" t="n">
        <f aca="false">IFERROR(__xludf.dummyfunction("""COMPUTED_VALUE"""),159.59)</f>
        <v>159.59</v>
      </c>
      <c r="F304" s="5" t="n">
        <f aca="false">IFERROR(__xludf.dummyfunction("""COMPUTED_VALUE"""),102300157)</f>
        <v>102300157</v>
      </c>
    </row>
    <row r="305" customFormat="false" ht="15.75" hidden="false" customHeight="false" outlineLevel="0" collapsed="false">
      <c r="A305" s="6" t="n">
        <f aca="false">IFERROR(__xludf.dummyfunction("""COMPUTED_VALUE"""),44637.6666666667)</f>
        <v>44637.6666666667</v>
      </c>
      <c r="B305" s="5" t="n">
        <f aca="false">IFERROR(__xludf.dummyfunction("""COMPUTED_VALUE"""),158.61)</f>
        <v>158.61</v>
      </c>
      <c r="C305" s="5" t="n">
        <f aca="false">IFERROR(__xludf.dummyfunction("""COMPUTED_VALUE"""),161)</f>
        <v>161</v>
      </c>
      <c r="D305" s="5" t="n">
        <f aca="false">IFERROR(__xludf.dummyfunction("""COMPUTED_VALUE"""),157.63)</f>
        <v>157.63</v>
      </c>
      <c r="E305" s="5" t="n">
        <f aca="false">IFERROR(__xludf.dummyfunction("""COMPUTED_VALUE"""),160.62)</f>
        <v>160.62</v>
      </c>
      <c r="F305" s="5" t="n">
        <f aca="false">IFERROR(__xludf.dummyfunction("""COMPUTED_VALUE"""),75615376)</f>
        <v>75615376</v>
      </c>
    </row>
    <row r="306" customFormat="false" ht="15.75" hidden="false" customHeight="false" outlineLevel="0" collapsed="false">
      <c r="A306" s="6" t="n">
        <f aca="false">IFERROR(__xludf.dummyfunction("""COMPUTED_VALUE"""),44638.6666666667)</f>
        <v>44638.6666666667</v>
      </c>
      <c r="B306" s="5" t="n">
        <f aca="false">IFERROR(__xludf.dummyfunction("""COMPUTED_VALUE"""),160.51)</f>
        <v>160.51</v>
      </c>
      <c r="C306" s="5" t="n">
        <f aca="false">IFERROR(__xludf.dummyfunction("""COMPUTED_VALUE"""),164.48)</f>
        <v>164.48</v>
      </c>
      <c r="D306" s="5" t="n">
        <f aca="false">IFERROR(__xludf.dummyfunction("""COMPUTED_VALUE"""),159.76)</f>
        <v>159.76</v>
      </c>
      <c r="E306" s="5" t="n">
        <f aca="false">IFERROR(__xludf.dummyfunction("""COMPUTED_VALUE"""),163.98)</f>
        <v>163.98</v>
      </c>
      <c r="F306" s="5" t="n">
        <f aca="false">IFERROR(__xludf.dummyfunction("""COMPUTED_VALUE"""),123511692)</f>
        <v>123511692</v>
      </c>
    </row>
    <row r="307" customFormat="false" ht="15.75" hidden="false" customHeight="false" outlineLevel="0" collapsed="false">
      <c r="A307" s="6" t="n">
        <f aca="false">IFERROR(__xludf.dummyfunction("""COMPUTED_VALUE"""),44641.6666666667)</f>
        <v>44641.6666666667</v>
      </c>
      <c r="B307" s="5" t="n">
        <f aca="false">IFERROR(__xludf.dummyfunction("""COMPUTED_VALUE"""),163.51)</f>
        <v>163.51</v>
      </c>
      <c r="C307" s="5" t="n">
        <f aca="false">IFERROR(__xludf.dummyfunction("""COMPUTED_VALUE"""),166.35)</f>
        <v>166.35</v>
      </c>
      <c r="D307" s="5" t="n">
        <f aca="false">IFERROR(__xludf.dummyfunction("""COMPUTED_VALUE"""),163.01)</f>
        <v>163.01</v>
      </c>
      <c r="E307" s="5" t="n">
        <f aca="false">IFERROR(__xludf.dummyfunction("""COMPUTED_VALUE"""),165.38)</f>
        <v>165.38</v>
      </c>
      <c r="F307" s="5" t="n">
        <f aca="false">IFERROR(__xludf.dummyfunction("""COMPUTED_VALUE"""),95811352)</f>
        <v>95811352</v>
      </c>
    </row>
    <row r="308" customFormat="false" ht="15.75" hidden="false" customHeight="false" outlineLevel="0" collapsed="false">
      <c r="A308" s="6" t="n">
        <f aca="false">IFERROR(__xludf.dummyfunction("""COMPUTED_VALUE"""),44642.6666666667)</f>
        <v>44642.6666666667</v>
      </c>
      <c r="B308" s="5" t="n">
        <f aca="false">IFERROR(__xludf.dummyfunction("""COMPUTED_VALUE"""),165.51)</f>
        <v>165.51</v>
      </c>
      <c r="C308" s="5" t="n">
        <f aca="false">IFERROR(__xludf.dummyfunction("""COMPUTED_VALUE"""),169.42)</f>
        <v>169.42</v>
      </c>
      <c r="D308" s="5" t="n">
        <f aca="false">IFERROR(__xludf.dummyfunction("""COMPUTED_VALUE"""),164.91)</f>
        <v>164.91</v>
      </c>
      <c r="E308" s="5" t="n">
        <f aca="false">IFERROR(__xludf.dummyfunction("""COMPUTED_VALUE"""),168.82)</f>
        <v>168.82</v>
      </c>
      <c r="F308" s="5" t="n">
        <f aca="false">IFERROR(__xludf.dummyfunction("""COMPUTED_VALUE"""),81532007)</f>
        <v>81532007</v>
      </c>
    </row>
    <row r="309" customFormat="false" ht="15.75" hidden="false" customHeight="false" outlineLevel="0" collapsed="false">
      <c r="A309" s="6" t="n">
        <f aca="false">IFERROR(__xludf.dummyfunction("""COMPUTED_VALUE"""),44643.6666666667)</f>
        <v>44643.6666666667</v>
      </c>
      <c r="B309" s="5" t="n">
        <f aca="false">IFERROR(__xludf.dummyfunction("""COMPUTED_VALUE"""),167.99)</f>
        <v>167.99</v>
      </c>
      <c r="C309" s="5" t="n">
        <f aca="false">IFERROR(__xludf.dummyfunction("""COMPUTED_VALUE"""),172.64)</f>
        <v>172.64</v>
      </c>
      <c r="D309" s="5" t="n">
        <f aca="false">IFERROR(__xludf.dummyfunction("""COMPUTED_VALUE"""),167.65)</f>
        <v>167.65</v>
      </c>
      <c r="E309" s="5" t="n">
        <f aca="false">IFERROR(__xludf.dummyfunction("""COMPUTED_VALUE"""),170.21)</f>
        <v>170.21</v>
      </c>
      <c r="F309" s="5" t="n">
        <f aca="false">IFERROR(__xludf.dummyfunction("""COMPUTED_VALUE"""),98062674)</f>
        <v>98062674</v>
      </c>
    </row>
    <row r="310" customFormat="false" ht="15.75" hidden="false" customHeight="false" outlineLevel="0" collapsed="false">
      <c r="A310" s="6" t="n">
        <f aca="false">IFERROR(__xludf.dummyfunction("""COMPUTED_VALUE"""),44644.6666666667)</f>
        <v>44644.6666666667</v>
      </c>
      <c r="B310" s="5" t="n">
        <f aca="false">IFERROR(__xludf.dummyfunction("""COMPUTED_VALUE"""),171.06)</f>
        <v>171.06</v>
      </c>
      <c r="C310" s="5" t="n">
        <f aca="false">IFERROR(__xludf.dummyfunction("""COMPUTED_VALUE"""),174.14)</f>
        <v>174.14</v>
      </c>
      <c r="D310" s="5" t="n">
        <f aca="false">IFERROR(__xludf.dummyfunction("""COMPUTED_VALUE"""),170.21)</f>
        <v>170.21</v>
      </c>
      <c r="E310" s="5" t="n">
        <f aca="false">IFERROR(__xludf.dummyfunction("""COMPUTED_VALUE"""),174.07)</f>
        <v>174.07</v>
      </c>
      <c r="F310" s="5" t="n">
        <f aca="false">IFERROR(__xludf.dummyfunction("""COMPUTED_VALUE"""),90131418)</f>
        <v>90131418</v>
      </c>
    </row>
    <row r="311" customFormat="false" ht="15.75" hidden="false" customHeight="false" outlineLevel="0" collapsed="false">
      <c r="A311" s="6" t="n">
        <f aca="false">IFERROR(__xludf.dummyfunction("""COMPUTED_VALUE"""),44645.6666666667)</f>
        <v>44645.6666666667</v>
      </c>
      <c r="B311" s="5" t="n">
        <f aca="false">IFERROR(__xludf.dummyfunction("""COMPUTED_VALUE"""),173.88)</f>
        <v>173.88</v>
      </c>
      <c r="C311" s="5" t="n">
        <f aca="false">IFERROR(__xludf.dummyfunction("""COMPUTED_VALUE"""),175.28)</f>
        <v>175.28</v>
      </c>
      <c r="D311" s="5" t="n">
        <f aca="false">IFERROR(__xludf.dummyfunction("""COMPUTED_VALUE"""),172.75)</f>
        <v>172.75</v>
      </c>
      <c r="E311" s="5" t="n">
        <f aca="false">IFERROR(__xludf.dummyfunction("""COMPUTED_VALUE"""),174.72)</f>
        <v>174.72</v>
      </c>
      <c r="F311" s="5" t="n">
        <f aca="false">IFERROR(__xludf.dummyfunction("""COMPUTED_VALUE"""),80546156)</f>
        <v>80546156</v>
      </c>
    </row>
    <row r="312" customFormat="false" ht="15.75" hidden="false" customHeight="false" outlineLevel="0" collapsed="false">
      <c r="A312" s="6" t="n">
        <f aca="false">IFERROR(__xludf.dummyfunction("""COMPUTED_VALUE"""),44648.6666666667)</f>
        <v>44648.6666666667</v>
      </c>
      <c r="B312" s="5" t="n">
        <f aca="false">IFERROR(__xludf.dummyfunction("""COMPUTED_VALUE"""),172.17)</f>
        <v>172.17</v>
      </c>
      <c r="C312" s="5" t="n">
        <f aca="false">IFERROR(__xludf.dummyfunction("""COMPUTED_VALUE"""),175.73)</f>
        <v>175.73</v>
      </c>
      <c r="D312" s="5" t="n">
        <f aca="false">IFERROR(__xludf.dummyfunction("""COMPUTED_VALUE"""),172)</f>
        <v>172</v>
      </c>
      <c r="E312" s="5" t="n">
        <f aca="false">IFERROR(__xludf.dummyfunction("""COMPUTED_VALUE"""),175.6)</f>
        <v>175.6</v>
      </c>
      <c r="F312" s="5" t="n">
        <f aca="false">IFERROR(__xludf.dummyfunction("""COMPUTED_VALUE"""),90371916)</f>
        <v>90371916</v>
      </c>
    </row>
    <row r="313" customFormat="false" ht="15.75" hidden="false" customHeight="false" outlineLevel="0" collapsed="false">
      <c r="A313" s="6" t="n">
        <f aca="false">IFERROR(__xludf.dummyfunction("""COMPUTED_VALUE"""),44649.6666666667)</f>
        <v>44649.6666666667</v>
      </c>
      <c r="B313" s="5" t="n">
        <f aca="false">IFERROR(__xludf.dummyfunction("""COMPUTED_VALUE"""),176.69)</f>
        <v>176.69</v>
      </c>
      <c r="C313" s="5" t="n">
        <f aca="false">IFERROR(__xludf.dummyfunction("""COMPUTED_VALUE"""),179.01)</f>
        <v>179.01</v>
      </c>
      <c r="D313" s="5" t="n">
        <f aca="false">IFERROR(__xludf.dummyfunction("""COMPUTED_VALUE"""),176.34)</f>
        <v>176.34</v>
      </c>
      <c r="E313" s="5" t="n">
        <f aca="false">IFERROR(__xludf.dummyfunction("""COMPUTED_VALUE"""),178.96)</f>
        <v>178.96</v>
      </c>
      <c r="F313" s="5" t="n">
        <f aca="false">IFERROR(__xludf.dummyfunction("""COMPUTED_VALUE"""),100589440)</f>
        <v>100589440</v>
      </c>
    </row>
    <row r="314" customFormat="false" ht="15.75" hidden="false" customHeight="false" outlineLevel="0" collapsed="false">
      <c r="A314" s="6" t="n">
        <f aca="false">IFERROR(__xludf.dummyfunction("""COMPUTED_VALUE"""),44650.6666666667)</f>
        <v>44650.6666666667</v>
      </c>
      <c r="B314" s="5" t="n">
        <f aca="false">IFERROR(__xludf.dummyfunction("""COMPUTED_VALUE"""),178.55)</f>
        <v>178.55</v>
      </c>
      <c r="C314" s="5" t="n">
        <f aca="false">IFERROR(__xludf.dummyfunction("""COMPUTED_VALUE"""),179.61)</f>
        <v>179.61</v>
      </c>
      <c r="D314" s="5" t="n">
        <f aca="false">IFERROR(__xludf.dummyfunction("""COMPUTED_VALUE"""),176.7)</f>
        <v>176.7</v>
      </c>
      <c r="E314" s="5" t="n">
        <f aca="false">IFERROR(__xludf.dummyfunction("""COMPUTED_VALUE"""),177.77)</f>
        <v>177.77</v>
      </c>
      <c r="F314" s="5" t="n">
        <f aca="false">IFERROR(__xludf.dummyfunction("""COMPUTED_VALUE"""),92633154)</f>
        <v>92633154</v>
      </c>
    </row>
    <row r="315" customFormat="false" ht="15.75" hidden="false" customHeight="false" outlineLevel="0" collapsed="false">
      <c r="A315" s="6" t="n">
        <f aca="false">IFERROR(__xludf.dummyfunction("""COMPUTED_VALUE"""),44651.6666666667)</f>
        <v>44651.6666666667</v>
      </c>
      <c r="B315" s="5" t="n">
        <f aca="false">IFERROR(__xludf.dummyfunction("""COMPUTED_VALUE"""),177.84)</f>
        <v>177.84</v>
      </c>
      <c r="C315" s="5" t="n">
        <f aca="false">IFERROR(__xludf.dummyfunction("""COMPUTED_VALUE"""),178.03)</f>
        <v>178.03</v>
      </c>
      <c r="D315" s="5" t="n">
        <f aca="false">IFERROR(__xludf.dummyfunction("""COMPUTED_VALUE"""),174.4)</f>
        <v>174.4</v>
      </c>
      <c r="E315" s="5" t="n">
        <f aca="false">IFERROR(__xludf.dummyfunction("""COMPUTED_VALUE"""),174.61)</f>
        <v>174.61</v>
      </c>
      <c r="F315" s="5" t="n">
        <f aca="false">IFERROR(__xludf.dummyfunction("""COMPUTED_VALUE"""),103049285)</f>
        <v>103049285</v>
      </c>
    </row>
    <row r="316" customFormat="false" ht="15.75" hidden="false" customHeight="false" outlineLevel="0" collapsed="false">
      <c r="A316" s="6" t="n">
        <f aca="false">IFERROR(__xludf.dummyfunction("""COMPUTED_VALUE"""),44652.6666666667)</f>
        <v>44652.6666666667</v>
      </c>
      <c r="B316" s="5" t="n">
        <f aca="false">IFERROR(__xludf.dummyfunction("""COMPUTED_VALUE"""),174.03)</f>
        <v>174.03</v>
      </c>
      <c r="C316" s="5" t="n">
        <f aca="false">IFERROR(__xludf.dummyfunction("""COMPUTED_VALUE"""),174.88)</f>
        <v>174.88</v>
      </c>
      <c r="D316" s="5" t="n">
        <f aca="false">IFERROR(__xludf.dummyfunction("""COMPUTED_VALUE"""),171.94)</f>
        <v>171.94</v>
      </c>
      <c r="E316" s="5" t="n">
        <f aca="false">IFERROR(__xludf.dummyfunction("""COMPUTED_VALUE"""),174.31)</f>
        <v>174.31</v>
      </c>
      <c r="F316" s="5" t="n">
        <f aca="false">IFERROR(__xludf.dummyfunction("""COMPUTED_VALUE"""),78751328)</f>
        <v>78751328</v>
      </c>
    </row>
    <row r="317" customFormat="false" ht="15.75" hidden="false" customHeight="false" outlineLevel="0" collapsed="false">
      <c r="A317" s="6" t="n">
        <f aca="false">IFERROR(__xludf.dummyfunction("""COMPUTED_VALUE"""),44655.6666666667)</f>
        <v>44655.6666666667</v>
      </c>
      <c r="B317" s="5" t="n">
        <f aca="false">IFERROR(__xludf.dummyfunction("""COMPUTED_VALUE"""),174.57)</f>
        <v>174.57</v>
      </c>
      <c r="C317" s="5" t="n">
        <f aca="false">IFERROR(__xludf.dummyfunction("""COMPUTED_VALUE"""),178.49)</f>
        <v>178.49</v>
      </c>
      <c r="D317" s="5" t="n">
        <f aca="false">IFERROR(__xludf.dummyfunction("""COMPUTED_VALUE"""),174.44)</f>
        <v>174.44</v>
      </c>
      <c r="E317" s="5" t="n">
        <f aca="false">IFERROR(__xludf.dummyfunction("""COMPUTED_VALUE"""),178.44)</f>
        <v>178.44</v>
      </c>
      <c r="F317" s="5" t="n">
        <f aca="false">IFERROR(__xludf.dummyfunction("""COMPUTED_VALUE"""),76545983)</f>
        <v>76545983</v>
      </c>
    </row>
    <row r="318" customFormat="false" ht="15.75" hidden="false" customHeight="false" outlineLevel="0" collapsed="false">
      <c r="A318" s="6" t="n">
        <f aca="false">IFERROR(__xludf.dummyfunction("""COMPUTED_VALUE"""),44656.6666666667)</f>
        <v>44656.6666666667</v>
      </c>
      <c r="B318" s="5" t="n">
        <f aca="false">IFERROR(__xludf.dummyfunction("""COMPUTED_VALUE"""),177.5)</f>
        <v>177.5</v>
      </c>
      <c r="C318" s="5" t="n">
        <f aca="false">IFERROR(__xludf.dummyfunction("""COMPUTED_VALUE"""),178.3)</f>
        <v>178.3</v>
      </c>
      <c r="D318" s="5" t="n">
        <f aca="false">IFERROR(__xludf.dummyfunction("""COMPUTED_VALUE"""),174.42)</f>
        <v>174.42</v>
      </c>
      <c r="E318" s="5" t="n">
        <f aca="false">IFERROR(__xludf.dummyfunction("""COMPUTED_VALUE"""),175.06)</f>
        <v>175.06</v>
      </c>
      <c r="F318" s="5" t="n">
        <f aca="false">IFERROR(__xludf.dummyfunction("""COMPUTED_VALUE"""),73401786)</f>
        <v>73401786</v>
      </c>
    </row>
    <row r="319" customFormat="false" ht="15.75" hidden="false" customHeight="false" outlineLevel="0" collapsed="false">
      <c r="A319" s="6" t="n">
        <f aca="false">IFERROR(__xludf.dummyfunction("""COMPUTED_VALUE"""),44657.6666666667)</f>
        <v>44657.6666666667</v>
      </c>
      <c r="B319" s="5" t="n">
        <f aca="false">IFERROR(__xludf.dummyfunction("""COMPUTED_VALUE"""),172.36)</f>
        <v>172.36</v>
      </c>
      <c r="C319" s="5" t="n">
        <f aca="false">IFERROR(__xludf.dummyfunction("""COMPUTED_VALUE"""),173.63)</f>
        <v>173.63</v>
      </c>
      <c r="D319" s="5" t="n">
        <f aca="false">IFERROR(__xludf.dummyfunction("""COMPUTED_VALUE"""),170.13)</f>
        <v>170.13</v>
      </c>
      <c r="E319" s="5" t="n">
        <f aca="false">IFERROR(__xludf.dummyfunction("""COMPUTED_VALUE"""),171.83)</f>
        <v>171.83</v>
      </c>
      <c r="F319" s="5" t="n">
        <f aca="false">IFERROR(__xludf.dummyfunction("""COMPUTED_VALUE"""),89058782)</f>
        <v>89058782</v>
      </c>
    </row>
    <row r="320" customFormat="false" ht="15.75" hidden="false" customHeight="false" outlineLevel="0" collapsed="false">
      <c r="A320" s="6" t="n">
        <f aca="false">IFERROR(__xludf.dummyfunction("""COMPUTED_VALUE"""),44658.6666666667)</f>
        <v>44658.6666666667</v>
      </c>
      <c r="B320" s="5" t="n">
        <f aca="false">IFERROR(__xludf.dummyfunction("""COMPUTED_VALUE"""),171.16)</f>
        <v>171.16</v>
      </c>
      <c r="C320" s="5" t="n">
        <f aca="false">IFERROR(__xludf.dummyfunction("""COMPUTED_VALUE"""),173.36)</f>
        <v>173.36</v>
      </c>
      <c r="D320" s="5" t="n">
        <f aca="false">IFERROR(__xludf.dummyfunction("""COMPUTED_VALUE"""),169.85)</f>
        <v>169.85</v>
      </c>
      <c r="E320" s="5" t="n">
        <f aca="false">IFERROR(__xludf.dummyfunction("""COMPUTED_VALUE"""),172.14)</f>
        <v>172.14</v>
      </c>
      <c r="F320" s="5" t="n">
        <f aca="false">IFERROR(__xludf.dummyfunction("""COMPUTED_VALUE"""),77594650)</f>
        <v>77594650</v>
      </c>
    </row>
    <row r="321" customFormat="false" ht="15.75" hidden="false" customHeight="false" outlineLevel="0" collapsed="false">
      <c r="A321" s="6" t="n">
        <f aca="false">IFERROR(__xludf.dummyfunction("""COMPUTED_VALUE"""),44659.6666666667)</f>
        <v>44659.6666666667</v>
      </c>
      <c r="B321" s="5" t="n">
        <f aca="false">IFERROR(__xludf.dummyfunction("""COMPUTED_VALUE"""),171.78)</f>
        <v>171.78</v>
      </c>
      <c r="C321" s="5" t="n">
        <f aca="false">IFERROR(__xludf.dummyfunction("""COMPUTED_VALUE"""),171.78)</f>
        <v>171.78</v>
      </c>
      <c r="D321" s="5" t="n">
        <f aca="false">IFERROR(__xludf.dummyfunction("""COMPUTED_VALUE"""),169.2)</f>
        <v>169.2</v>
      </c>
      <c r="E321" s="5" t="n">
        <f aca="false">IFERROR(__xludf.dummyfunction("""COMPUTED_VALUE"""),170.09)</f>
        <v>170.09</v>
      </c>
      <c r="F321" s="5" t="n">
        <f aca="false">IFERROR(__xludf.dummyfunction("""COMPUTED_VALUE"""),76575508)</f>
        <v>76575508</v>
      </c>
    </row>
    <row r="322" customFormat="false" ht="15.75" hidden="false" customHeight="false" outlineLevel="0" collapsed="false">
      <c r="A322" s="6" t="n">
        <f aca="false">IFERROR(__xludf.dummyfunction("""COMPUTED_VALUE"""),44662.6666666667)</f>
        <v>44662.6666666667</v>
      </c>
      <c r="B322" s="5" t="n">
        <f aca="false">IFERROR(__xludf.dummyfunction("""COMPUTED_VALUE"""),168.71)</f>
        <v>168.71</v>
      </c>
      <c r="C322" s="5" t="n">
        <f aca="false">IFERROR(__xludf.dummyfunction("""COMPUTED_VALUE"""),169.03)</f>
        <v>169.03</v>
      </c>
      <c r="D322" s="5" t="n">
        <f aca="false">IFERROR(__xludf.dummyfunction("""COMPUTED_VALUE"""),165.5)</f>
        <v>165.5</v>
      </c>
      <c r="E322" s="5" t="n">
        <f aca="false">IFERROR(__xludf.dummyfunction("""COMPUTED_VALUE"""),165.75)</f>
        <v>165.75</v>
      </c>
      <c r="F322" s="5" t="n">
        <f aca="false">IFERROR(__xludf.dummyfunction("""COMPUTED_VALUE"""),72246706)</f>
        <v>72246706</v>
      </c>
    </row>
    <row r="323" customFormat="false" ht="15.75" hidden="false" customHeight="false" outlineLevel="0" collapsed="false">
      <c r="A323" s="6" t="n">
        <f aca="false">IFERROR(__xludf.dummyfunction("""COMPUTED_VALUE"""),44663.6666666667)</f>
        <v>44663.6666666667</v>
      </c>
      <c r="B323" s="5" t="n">
        <f aca="false">IFERROR(__xludf.dummyfunction("""COMPUTED_VALUE"""),168.02)</f>
        <v>168.02</v>
      </c>
      <c r="C323" s="5" t="n">
        <f aca="false">IFERROR(__xludf.dummyfunction("""COMPUTED_VALUE"""),169.87)</f>
        <v>169.87</v>
      </c>
      <c r="D323" s="5" t="n">
        <f aca="false">IFERROR(__xludf.dummyfunction("""COMPUTED_VALUE"""),166.64)</f>
        <v>166.64</v>
      </c>
      <c r="E323" s="5" t="n">
        <f aca="false">IFERROR(__xludf.dummyfunction("""COMPUTED_VALUE"""),167.66)</f>
        <v>167.66</v>
      </c>
      <c r="F323" s="5" t="n">
        <f aca="false">IFERROR(__xludf.dummyfunction("""COMPUTED_VALUE"""),79265181)</f>
        <v>79265181</v>
      </c>
    </row>
    <row r="324" customFormat="false" ht="15.75" hidden="false" customHeight="false" outlineLevel="0" collapsed="false">
      <c r="A324" s="6" t="n">
        <f aca="false">IFERROR(__xludf.dummyfunction("""COMPUTED_VALUE"""),44664.6666666667)</f>
        <v>44664.6666666667</v>
      </c>
      <c r="B324" s="5" t="n">
        <f aca="false">IFERROR(__xludf.dummyfunction("""COMPUTED_VALUE"""),167.39)</f>
        <v>167.39</v>
      </c>
      <c r="C324" s="5" t="n">
        <f aca="false">IFERROR(__xludf.dummyfunction("""COMPUTED_VALUE"""),171.04)</f>
        <v>171.04</v>
      </c>
      <c r="D324" s="5" t="n">
        <f aca="false">IFERROR(__xludf.dummyfunction("""COMPUTED_VALUE"""),166.77)</f>
        <v>166.77</v>
      </c>
      <c r="E324" s="5" t="n">
        <f aca="false">IFERROR(__xludf.dummyfunction("""COMPUTED_VALUE"""),170.4)</f>
        <v>170.4</v>
      </c>
      <c r="F324" s="5" t="n">
        <f aca="false">IFERROR(__xludf.dummyfunction("""COMPUTED_VALUE"""),70618925)</f>
        <v>70618925</v>
      </c>
    </row>
    <row r="325" customFormat="false" ht="15.75" hidden="false" customHeight="false" outlineLevel="0" collapsed="false">
      <c r="A325" s="6" t="n">
        <f aca="false">IFERROR(__xludf.dummyfunction("""COMPUTED_VALUE"""),44665.6666666667)</f>
        <v>44665.6666666667</v>
      </c>
      <c r="B325" s="5" t="n">
        <f aca="false">IFERROR(__xludf.dummyfunction("""COMPUTED_VALUE"""),170.62)</f>
        <v>170.62</v>
      </c>
      <c r="C325" s="5" t="n">
        <f aca="false">IFERROR(__xludf.dummyfunction("""COMPUTED_VALUE"""),171.27)</f>
        <v>171.27</v>
      </c>
      <c r="D325" s="5" t="n">
        <f aca="false">IFERROR(__xludf.dummyfunction("""COMPUTED_VALUE"""),165.04)</f>
        <v>165.04</v>
      </c>
      <c r="E325" s="5" t="n">
        <f aca="false">IFERROR(__xludf.dummyfunction("""COMPUTED_VALUE"""),165.29)</f>
        <v>165.29</v>
      </c>
      <c r="F325" s="5" t="n">
        <f aca="false">IFERROR(__xludf.dummyfunction("""COMPUTED_VALUE"""),75329376)</f>
        <v>75329376</v>
      </c>
    </row>
    <row r="326" customFormat="false" ht="15.75" hidden="false" customHeight="false" outlineLevel="0" collapsed="false">
      <c r="A326" s="6" t="n">
        <f aca="false">IFERROR(__xludf.dummyfunction("""COMPUTED_VALUE"""),44669.6666666667)</f>
        <v>44669.6666666667</v>
      </c>
      <c r="B326" s="5" t="n">
        <f aca="false">IFERROR(__xludf.dummyfunction("""COMPUTED_VALUE"""),163.92)</f>
        <v>163.92</v>
      </c>
      <c r="C326" s="5" t="n">
        <f aca="false">IFERROR(__xludf.dummyfunction("""COMPUTED_VALUE"""),166.6)</f>
        <v>166.6</v>
      </c>
      <c r="D326" s="5" t="n">
        <f aca="false">IFERROR(__xludf.dummyfunction("""COMPUTED_VALUE"""),163.57)</f>
        <v>163.57</v>
      </c>
      <c r="E326" s="5" t="n">
        <f aca="false">IFERROR(__xludf.dummyfunction("""COMPUTED_VALUE"""),165.07)</f>
        <v>165.07</v>
      </c>
      <c r="F326" s="5" t="n">
        <f aca="false">IFERROR(__xludf.dummyfunction("""COMPUTED_VALUE"""),69023941)</f>
        <v>69023941</v>
      </c>
    </row>
    <row r="327" customFormat="false" ht="15.75" hidden="false" customHeight="false" outlineLevel="0" collapsed="false">
      <c r="A327" s="6" t="n">
        <f aca="false">IFERROR(__xludf.dummyfunction("""COMPUTED_VALUE"""),44670.6666666667)</f>
        <v>44670.6666666667</v>
      </c>
      <c r="B327" s="5" t="n">
        <f aca="false">IFERROR(__xludf.dummyfunction("""COMPUTED_VALUE"""),165.02)</f>
        <v>165.02</v>
      </c>
      <c r="C327" s="5" t="n">
        <f aca="false">IFERROR(__xludf.dummyfunction("""COMPUTED_VALUE"""),167.82)</f>
        <v>167.82</v>
      </c>
      <c r="D327" s="5" t="n">
        <f aca="false">IFERROR(__xludf.dummyfunction("""COMPUTED_VALUE"""),163.91)</f>
        <v>163.91</v>
      </c>
      <c r="E327" s="5" t="n">
        <f aca="false">IFERROR(__xludf.dummyfunction("""COMPUTED_VALUE"""),167.4)</f>
        <v>167.4</v>
      </c>
      <c r="F327" s="5" t="n">
        <f aca="false">IFERROR(__xludf.dummyfunction("""COMPUTED_VALUE"""),67723833)</f>
        <v>67723833</v>
      </c>
    </row>
    <row r="328" customFormat="false" ht="15.75" hidden="false" customHeight="false" outlineLevel="0" collapsed="false">
      <c r="A328" s="6" t="n">
        <f aca="false">IFERROR(__xludf.dummyfunction("""COMPUTED_VALUE"""),44671.6666666667)</f>
        <v>44671.6666666667</v>
      </c>
      <c r="B328" s="5" t="n">
        <f aca="false">IFERROR(__xludf.dummyfunction("""COMPUTED_VALUE"""),168.76)</f>
        <v>168.76</v>
      </c>
      <c r="C328" s="5" t="n">
        <f aca="false">IFERROR(__xludf.dummyfunction("""COMPUTED_VALUE"""),168.88)</f>
        <v>168.88</v>
      </c>
      <c r="D328" s="5" t="n">
        <f aca="false">IFERROR(__xludf.dummyfunction("""COMPUTED_VALUE"""),166.1)</f>
        <v>166.1</v>
      </c>
      <c r="E328" s="5" t="n">
        <f aca="false">IFERROR(__xludf.dummyfunction("""COMPUTED_VALUE"""),167.23)</f>
        <v>167.23</v>
      </c>
      <c r="F328" s="5" t="n">
        <f aca="false">IFERROR(__xludf.dummyfunction("""COMPUTED_VALUE"""),67929814)</f>
        <v>67929814</v>
      </c>
    </row>
    <row r="329" customFormat="false" ht="15.75" hidden="false" customHeight="false" outlineLevel="0" collapsed="false">
      <c r="A329" s="6" t="n">
        <f aca="false">IFERROR(__xludf.dummyfunction("""COMPUTED_VALUE"""),44672.6666666667)</f>
        <v>44672.6666666667</v>
      </c>
      <c r="B329" s="5" t="n">
        <f aca="false">IFERROR(__xludf.dummyfunction("""COMPUTED_VALUE"""),168.91)</f>
        <v>168.91</v>
      </c>
      <c r="C329" s="5" t="n">
        <f aca="false">IFERROR(__xludf.dummyfunction("""COMPUTED_VALUE"""),171.53)</f>
        <v>171.53</v>
      </c>
      <c r="D329" s="5" t="n">
        <f aca="false">IFERROR(__xludf.dummyfunction("""COMPUTED_VALUE"""),165.91)</f>
        <v>165.91</v>
      </c>
      <c r="E329" s="5" t="n">
        <f aca="false">IFERROR(__xludf.dummyfunction("""COMPUTED_VALUE"""),166.42)</f>
        <v>166.42</v>
      </c>
      <c r="F329" s="5" t="n">
        <f aca="false">IFERROR(__xludf.dummyfunction("""COMPUTED_VALUE"""),87227768)</f>
        <v>87227768</v>
      </c>
    </row>
    <row r="330" customFormat="false" ht="15.75" hidden="false" customHeight="false" outlineLevel="0" collapsed="false">
      <c r="A330" s="6" t="n">
        <f aca="false">IFERROR(__xludf.dummyfunction("""COMPUTED_VALUE"""),44673.6666666667)</f>
        <v>44673.6666666667</v>
      </c>
      <c r="B330" s="5" t="n">
        <f aca="false">IFERROR(__xludf.dummyfunction("""COMPUTED_VALUE"""),166.46)</f>
        <v>166.46</v>
      </c>
      <c r="C330" s="5" t="n">
        <f aca="false">IFERROR(__xludf.dummyfunction("""COMPUTED_VALUE"""),167.87)</f>
        <v>167.87</v>
      </c>
      <c r="D330" s="5" t="n">
        <f aca="false">IFERROR(__xludf.dummyfunction("""COMPUTED_VALUE"""),161.5)</f>
        <v>161.5</v>
      </c>
      <c r="E330" s="5" t="n">
        <f aca="false">IFERROR(__xludf.dummyfunction("""COMPUTED_VALUE"""),161.79)</f>
        <v>161.79</v>
      </c>
      <c r="F330" s="5" t="n">
        <f aca="false">IFERROR(__xludf.dummyfunction("""COMPUTED_VALUE"""),84882424)</f>
        <v>84882424</v>
      </c>
    </row>
    <row r="331" customFormat="false" ht="15.75" hidden="false" customHeight="false" outlineLevel="0" collapsed="false">
      <c r="A331" s="6" t="n">
        <f aca="false">IFERROR(__xludf.dummyfunction("""COMPUTED_VALUE"""),44676.6666666667)</f>
        <v>44676.6666666667</v>
      </c>
      <c r="B331" s="5" t="n">
        <f aca="false">IFERROR(__xludf.dummyfunction("""COMPUTED_VALUE"""),161.12)</f>
        <v>161.12</v>
      </c>
      <c r="C331" s="5" t="n">
        <f aca="false">IFERROR(__xludf.dummyfunction("""COMPUTED_VALUE"""),163.17)</f>
        <v>163.17</v>
      </c>
      <c r="D331" s="5" t="n">
        <f aca="false">IFERROR(__xludf.dummyfunction("""COMPUTED_VALUE"""),158.46)</f>
        <v>158.46</v>
      </c>
      <c r="E331" s="5" t="n">
        <f aca="false">IFERROR(__xludf.dummyfunction("""COMPUTED_VALUE"""),162.88)</f>
        <v>162.88</v>
      </c>
      <c r="F331" s="5" t="n">
        <f aca="false">IFERROR(__xludf.dummyfunction("""COMPUTED_VALUE"""),96046376)</f>
        <v>96046376</v>
      </c>
    </row>
    <row r="332" customFormat="false" ht="15.75" hidden="false" customHeight="false" outlineLevel="0" collapsed="false">
      <c r="A332" s="6" t="n">
        <f aca="false">IFERROR(__xludf.dummyfunction("""COMPUTED_VALUE"""),44677.6666666667)</f>
        <v>44677.6666666667</v>
      </c>
      <c r="B332" s="5" t="n">
        <f aca="false">IFERROR(__xludf.dummyfunction("""COMPUTED_VALUE"""),162.25)</f>
        <v>162.25</v>
      </c>
      <c r="C332" s="5" t="n">
        <f aca="false">IFERROR(__xludf.dummyfunction("""COMPUTED_VALUE"""),162.34)</f>
        <v>162.34</v>
      </c>
      <c r="D332" s="5" t="n">
        <f aca="false">IFERROR(__xludf.dummyfunction("""COMPUTED_VALUE"""),156.72)</f>
        <v>156.72</v>
      </c>
      <c r="E332" s="5" t="n">
        <f aca="false">IFERROR(__xludf.dummyfunction("""COMPUTED_VALUE"""),156.8)</f>
        <v>156.8</v>
      </c>
      <c r="F332" s="5" t="n">
        <f aca="false">IFERROR(__xludf.dummyfunction("""COMPUTED_VALUE"""),95623240)</f>
        <v>95623240</v>
      </c>
    </row>
    <row r="333" customFormat="false" ht="15.75" hidden="false" customHeight="false" outlineLevel="0" collapsed="false">
      <c r="A333" s="6" t="n">
        <f aca="false">IFERROR(__xludf.dummyfunction("""COMPUTED_VALUE"""),44678.6666666667)</f>
        <v>44678.6666666667</v>
      </c>
      <c r="B333" s="5" t="n">
        <f aca="false">IFERROR(__xludf.dummyfunction("""COMPUTED_VALUE"""),155.91)</f>
        <v>155.91</v>
      </c>
      <c r="C333" s="5" t="n">
        <f aca="false">IFERROR(__xludf.dummyfunction("""COMPUTED_VALUE"""),159.79)</f>
        <v>159.79</v>
      </c>
      <c r="D333" s="5" t="n">
        <f aca="false">IFERROR(__xludf.dummyfunction("""COMPUTED_VALUE"""),155.38)</f>
        <v>155.38</v>
      </c>
      <c r="E333" s="5" t="n">
        <f aca="false">IFERROR(__xludf.dummyfunction("""COMPUTED_VALUE"""),156.57)</f>
        <v>156.57</v>
      </c>
      <c r="F333" s="5" t="n">
        <f aca="false">IFERROR(__xludf.dummyfunction("""COMPUTED_VALUE"""),88063191)</f>
        <v>88063191</v>
      </c>
    </row>
    <row r="334" customFormat="false" ht="15.75" hidden="false" customHeight="false" outlineLevel="0" collapsed="false">
      <c r="A334" s="6" t="n">
        <f aca="false">IFERROR(__xludf.dummyfunction("""COMPUTED_VALUE"""),44679.6666666667)</f>
        <v>44679.6666666667</v>
      </c>
      <c r="B334" s="5" t="n">
        <f aca="false">IFERROR(__xludf.dummyfunction("""COMPUTED_VALUE"""),159.25)</f>
        <v>159.25</v>
      </c>
      <c r="C334" s="5" t="n">
        <f aca="false">IFERROR(__xludf.dummyfunction("""COMPUTED_VALUE"""),164.52)</f>
        <v>164.52</v>
      </c>
      <c r="D334" s="5" t="n">
        <f aca="false">IFERROR(__xludf.dummyfunction("""COMPUTED_VALUE"""),158.93)</f>
        <v>158.93</v>
      </c>
      <c r="E334" s="5" t="n">
        <f aca="false">IFERROR(__xludf.dummyfunction("""COMPUTED_VALUE"""),163.64)</f>
        <v>163.64</v>
      </c>
      <c r="F334" s="5" t="n">
        <f aca="false">IFERROR(__xludf.dummyfunction("""COMPUTED_VALUE"""),130216792)</f>
        <v>130216792</v>
      </c>
    </row>
    <row r="335" customFormat="false" ht="15.75" hidden="false" customHeight="false" outlineLevel="0" collapsed="false">
      <c r="A335" s="6" t="n">
        <f aca="false">IFERROR(__xludf.dummyfunction("""COMPUTED_VALUE"""),44680.6666666667)</f>
        <v>44680.6666666667</v>
      </c>
      <c r="B335" s="5" t="n">
        <f aca="false">IFERROR(__xludf.dummyfunction("""COMPUTED_VALUE"""),161.84)</f>
        <v>161.84</v>
      </c>
      <c r="C335" s="5" t="n">
        <f aca="false">IFERROR(__xludf.dummyfunction("""COMPUTED_VALUE"""),166.2)</f>
        <v>166.2</v>
      </c>
      <c r="D335" s="5" t="n">
        <f aca="false">IFERROR(__xludf.dummyfunction("""COMPUTED_VALUE"""),157.25)</f>
        <v>157.25</v>
      </c>
      <c r="E335" s="5" t="n">
        <f aca="false">IFERROR(__xludf.dummyfunction("""COMPUTED_VALUE"""),157.65)</f>
        <v>157.65</v>
      </c>
      <c r="F335" s="5" t="n">
        <f aca="false">IFERROR(__xludf.dummyfunction("""COMPUTED_VALUE"""),131747571)</f>
        <v>131747571</v>
      </c>
    </row>
    <row r="336" customFormat="false" ht="15.75" hidden="false" customHeight="false" outlineLevel="0" collapsed="false">
      <c r="A336" s="6" t="n">
        <f aca="false">IFERROR(__xludf.dummyfunction("""COMPUTED_VALUE"""),44683.6666666667)</f>
        <v>44683.6666666667</v>
      </c>
      <c r="B336" s="5" t="n">
        <f aca="false">IFERROR(__xludf.dummyfunction("""COMPUTED_VALUE"""),156.71)</f>
        <v>156.71</v>
      </c>
      <c r="C336" s="5" t="n">
        <f aca="false">IFERROR(__xludf.dummyfunction("""COMPUTED_VALUE"""),158.23)</f>
        <v>158.23</v>
      </c>
      <c r="D336" s="5" t="n">
        <f aca="false">IFERROR(__xludf.dummyfunction("""COMPUTED_VALUE"""),153.27)</f>
        <v>153.27</v>
      </c>
      <c r="E336" s="5" t="n">
        <f aca="false">IFERROR(__xludf.dummyfunction("""COMPUTED_VALUE"""),157.96)</f>
        <v>157.96</v>
      </c>
      <c r="F336" s="5" t="n">
        <f aca="false">IFERROR(__xludf.dummyfunction("""COMPUTED_VALUE"""),123055265)</f>
        <v>123055265</v>
      </c>
    </row>
    <row r="337" customFormat="false" ht="15.75" hidden="false" customHeight="false" outlineLevel="0" collapsed="false">
      <c r="A337" s="6" t="n">
        <f aca="false">IFERROR(__xludf.dummyfunction("""COMPUTED_VALUE"""),44684.6666666667)</f>
        <v>44684.6666666667</v>
      </c>
      <c r="B337" s="5" t="n">
        <f aca="false">IFERROR(__xludf.dummyfunction("""COMPUTED_VALUE"""),158.15)</f>
        <v>158.15</v>
      </c>
      <c r="C337" s="5" t="n">
        <f aca="false">IFERROR(__xludf.dummyfunction("""COMPUTED_VALUE"""),160.71)</f>
        <v>160.71</v>
      </c>
      <c r="D337" s="5" t="n">
        <f aca="false">IFERROR(__xludf.dummyfunction("""COMPUTED_VALUE"""),156.32)</f>
        <v>156.32</v>
      </c>
      <c r="E337" s="5" t="n">
        <f aca="false">IFERROR(__xludf.dummyfunction("""COMPUTED_VALUE"""),159.48)</f>
        <v>159.48</v>
      </c>
      <c r="F337" s="5" t="n">
        <f aca="false">IFERROR(__xludf.dummyfunction("""COMPUTED_VALUE"""),88966526)</f>
        <v>88966526</v>
      </c>
    </row>
    <row r="338" customFormat="false" ht="15.75" hidden="false" customHeight="false" outlineLevel="0" collapsed="false">
      <c r="A338" s="6" t="n">
        <f aca="false">IFERROR(__xludf.dummyfunction("""COMPUTED_VALUE"""),44685.6666666667)</f>
        <v>44685.6666666667</v>
      </c>
      <c r="B338" s="5" t="n">
        <f aca="false">IFERROR(__xludf.dummyfunction("""COMPUTED_VALUE"""),159.67)</f>
        <v>159.67</v>
      </c>
      <c r="C338" s="5" t="n">
        <f aca="false">IFERROR(__xludf.dummyfunction("""COMPUTED_VALUE"""),166.48)</f>
        <v>166.48</v>
      </c>
      <c r="D338" s="5" t="n">
        <f aca="false">IFERROR(__xludf.dummyfunction("""COMPUTED_VALUE"""),159.26)</f>
        <v>159.26</v>
      </c>
      <c r="E338" s="5" t="n">
        <f aca="false">IFERROR(__xludf.dummyfunction("""COMPUTED_VALUE"""),166.02)</f>
        <v>166.02</v>
      </c>
      <c r="F338" s="5" t="n">
        <f aca="false">IFERROR(__xludf.dummyfunction("""COMPUTED_VALUE"""),108256503)</f>
        <v>108256503</v>
      </c>
    </row>
    <row r="339" customFormat="false" ht="15.75" hidden="false" customHeight="false" outlineLevel="0" collapsed="false">
      <c r="A339" s="6" t="n">
        <f aca="false">IFERROR(__xludf.dummyfunction("""COMPUTED_VALUE"""),44686.6666666667)</f>
        <v>44686.6666666667</v>
      </c>
      <c r="B339" s="5" t="n">
        <f aca="false">IFERROR(__xludf.dummyfunction("""COMPUTED_VALUE"""),163.85)</f>
        <v>163.85</v>
      </c>
      <c r="C339" s="5" t="n">
        <f aca="false">IFERROR(__xludf.dummyfunction("""COMPUTED_VALUE"""),164.08)</f>
        <v>164.08</v>
      </c>
      <c r="D339" s="5" t="n">
        <f aca="false">IFERROR(__xludf.dummyfunction("""COMPUTED_VALUE"""),154.95)</f>
        <v>154.95</v>
      </c>
      <c r="E339" s="5" t="n">
        <f aca="false">IFERROR(__xludf.dummyfunction("""COMPUTED_VALUE"""),156.77)</f>
        <v>156.77</v>
      </c>
      <c r="F339" s="5" t="n">
        <f aca="false">IFERROR(__xludf.dummyfunction("""COMPUTED_VALUE"""),130525275)</f>
        <v>130525275</v>
      </c>
    </row>
    <row r="340" customFormat="false" ht="15.75" hidden="false" customHeight="false" outlineLevel="0" collapsed="false">
      <c r="A340" s="6" t="n">
        <f aca="false">IFERROR(__xludf.dummyfunction("""COMPUTED_VALUE"""),44687.6666666667)</f>
        <v>44687.6666666667</v>
      </c>
      <c r="B340" s="5" t="n">
        <f aca="false">IFERROR(__xludf.dummyfunction("""COMPUTED_VALUE"""),156.01)</f>
        <v>156.01</v>
      </c>
      <c r="C340" s="5" t="n">
        <f aca="false">IFERROR(__xludf.dummyfunction("""COMPUTED_VALUE"""),159.44)</f>
        <v>159.44</v>
      </c>
      <c r="D340" s="5" t="n">
        <f aca="false">IFERROR(__xludf.dummyfunction("""COMPUTED_VALUE"""),154.18)</f>
        <v>154.18</v>
      </c>
      <c r="E340" s="5" t="n">
        <f aca="false">IFERROR(__xludf.dummyfunction("""COMPUTED_VALUE"""),157.28)</f>
        <v>157.28</v>
      </c>
      <c r="F340" s="5" t="n">
        <f aca="false">IFERROR(__xludf.dummyfunction("""COMPUTED_VALUE"""),116124647)</f>
        <v>116124647</v>
      </c>
    </row>
    <row r="341" customFormat="false" ht="15.75" hidden="false" customHeight="false" outlineLevel="0" collapsed="false">
      <c r="A341" s="6" t="n">
        <f aca="false">IFERROR(__xludf.dummyfunction("""COMPUTED_VALUE"""),44690.6666666667)</f>
        <v>44690.6666666667</v>
      </c>
      <c r="B341" s="5" t="n">
        <f aca="false">IFERROR(__xludf.dummyfunction("""COMPUTED_VALUE"""),154.93)</f>
        <v>154.93</v>
      </c>
      <c r="C341" s="5" t="n">
        <f aca="false">IFERROR(__xludf.dummyfunction("""COMPUTED_VALUE"""),155.83)</f>
        <v>155.83</v>
      </c>
      <c r="D341" s="5" t="n">
        <f aca="false">IFERROR(__xludf.dummyfunction("""COMPUTED_VALUE"""),151.49)</f>
        <v>151.49</v>
      </c>
      <c r="E341" s="5" t="n">
        <f aca="false">IFERROR(__xludf.dummyfunction("""COMPUTED_VALUE"""),152.06)</f>
        <v>152.06</v>
      </c>
      <c r="F341" s="5" t="n">
        <f aca="false">IFERROR(__xludf.dummyfunction("""COMPUTED_VALUE"""),131577921)</f>
        <v>131577921</v>
      </c>
    </row>
    <row r="342" customFormat="false" ht="15.75" hidden="false" customHeight="false" outlineLevel="0" collapsed="false">
      <c r="A342" s="6" t="n">
        <f aca="false">IFERROR(__xludf.dummyfunction("""COMPUTED_VALUE"""),44691.6666666667)</f>
        <v>44691.6666666667</v>
      </c>
      <c r="B342" s="5" t="n">
        <f aca="false">IFERROR(__xludf.dummyfunction("""COMPUTED_VALUE"""),155.52)</f>
        <v>155.52</v>
      </c>
      <c r="C342" s="5" t="n">
        <f aca="false">IFERROR(__xludf.dummyfunction("""COMPUTED_VALUE"""),156.74)</f>
        <v>156.74</v>
      </c>
      <c r="D342" s="5" t="n">
        <f aca="false">IFERROR(__xludf.dummyfunction("""COMPUTED_VALUE"""),152.93)</f>
        <v>152.93</v>
      </c>
      <c r="E342" s="5" t="n">
        <f aca="false">IFERROR(__xludf.dummyfunction("""COMPUTED_VALUE"""),154.51)</f>
        <v>154.51</v>
      </c>
      <c r="F342" s="5" t="n">
        <f aca="false">IFERROR(__xludf.dummyfunction("""COMPUTED_VALUE"""),115366736)</f>
        <v>115366736</v>
      </c>
    </row>
    <row r="343" customFormat="false" ht="15.75" hidden="false" customHeight="false" outlineLevel="0" collapsed="false">
      <c r="A343" s="6" t="n">
        <f aca="false">IFERROR(__xludf.dummyfunction("""COMPUTED_VALUE"""),44692.6666666667)</f>
        <v>44692.6666666667</v>
      </c>
      <c r="B343" s="5" t="n">
        <f aca="false">IFERROR(__xludf.dummyfunction("""COMPUTED_VALUE"""),153.5)</f>
        <v>153.5</v>
      </c>
      <c r="C343" s="5" t="n">
        <f aca="false">IFERROR(__xludf.dummyfunction("""COMPUTED_VALUE"""),155.45)</f>
        <v>155.45</v>
      </c>
      <c r="D343" s="5" t="n">
        <f aca="false">IFERROR(__xludf.dummyfunction("""COMPUTED_VALUE"""),145.81)</f>
        <v>145.81</v>
      </c>
      <c r="E343" s="5" t="n">
        <f aca="false">IFERROR(__xludf.dummyfunction("""COMPUTED_VALUE"""),146.5)</f>
        <v>146.5</v>
      </c>
      <c r="F343" s="5" t="n">
        <f aca="false">IFERROR(__xludf.dummyfunction("""COMPUTED_VALUE"""),142689825)</f>
        <v>142689825</v>
      </c>
    </row>
    <row r="344" customFormat="false" ht="15.75" hidden="false" customHeight="false" outlineLevel="0" collapsed="false">
      <c r="A344" s="6" t="n">
        <f aca="false">IFERROR(__xludf.dummyfunction("""COMPUTED_VALUE"""),44693.6666666667)</f>
        <v>44693.6666666667</v>
      </c>
      <c r="B344" s="5" t="n">
        <f aca="false">IFERROR(__xludf.dummyfunction("""COMPUTED_VALUE"""),142.77)</f>
        <v>142.77</v>
      </c>
      <c r="C344" s="5" t="n">
        <f aca="false">IFERROR(__xludf.dummyfunction("""COMPUTED_VALUE"""),146.2)</f>
        <v>146.2</v>
      </c>
      <c r="D344" s="5" t="n">
        <f aca="false">IFERROR(__xludf.dummyfunction("""COMPUTED_VALUE"""),138.8)</f>
        <v>138.8</v>
      </c>
      <c r="E344" s="5" t="n">
        <f aca="false">IFERROR(__xludf.dummyfunction("""COMPUTED_VALUE"""),142.56)</f>
        <v>142.56</v>
      </c>
      <c r="F344" s="5" t="n">
        <f aca="false">IFERROR(__xludf.dummyfunction("""COMPUTED_VALUE"""),182602041)</f>
        <v>182602041</v>
      </c>
    </row>
    <row r="345" customFormat="false" ht="15.75" hidden="false" customHeight="false" outlineLevel="0" collapsed="false">
      <c r="A345" s="6" t="n">
        <f aca="false">IFERROR(__xludf.dummyfunction("""COMPUTED_VALUE"""),44694.6666666667)</f>
        <v>44694.6666666667</v>
      </c>
      <c r="B345" s="5" t="n">
        <f aca="false">IFERROR(__xludf.dummyfunction("""COMPUTED_VALUE"""),144.59)</f>
        <v>144.59</v>
      </c>
      <c r="C345" s="5" t="n">
        <f aca="false">IFERROR(__xludf.dummyfunction("""COMPUTED_VALUE"""),148.1)</f>
        <v>148.1</v>
      </c>
      <c r="D345" s="5" t="n">
        <f aca="false">IFERROR(__xludf.dummyfunction("""COMPUTED_VALUE"""),143.11)</f>
        <v>143.11</v>
      </c>
      <c r="E345" s="5" t="n">
        <f aca="false">IFERROR(__xludf.dummyfunction("""COMPUTED_VALUE"""),147.11)</f>
        <v>147.11</v>
      </c>
      <c r="F345" s="5" t="n">
        <f aca="false">IFERROR(__xludf.dummyfunction("""COMPUTED_VALUE"""),113990852)</f>
        <v>113990852</v>
      </c>
    </row>
    <row r="346" customFormat="false" ht="15.75" hidden="false" customHeight="false" outlineLevel="0" collapsed="false">
      <c r="A346" s="6" t="n">
        <f aca="false">IFERROR(__xludf.dummyfunction("""COMPUTED_VALUE"""),44697.6666666667)</f>
        <v>44697.6666666667</v>
      </c>
      <c r="B346" s="5" t="n">
        <f aca="false">IFERROR(__xludf.dummyfunction("""COMPUTED_VALUE"""),145.55)</f>
        <v>145.55</v>
      </c>
      <c r="C346" s="5" t="n">
        <f aca="false">IFERROR(__xludf.dummyfunction("""COMPUTED_VALUE"""),147.52)</f>
        <v>147.52</v>
      </c>
      <c r="D346" s="5" t="n">
        <f aca="false">IFERROR(__xludf.dummyfunction("""COMPUTED_VALUE"""),144.18)</f>
        <v>144.18</v>
      </c>
      <c r="E346" s="5" t="n">
        <f aca="false">IFERROR(__xludf.dummyfunction("""COMPUTED_VALUE"""),145.54)</f>
        <v>145.54</v>
      </c>
      <c r="F346" s="5" t="n">
        <f aca="false">IFERROR(__xludf.dummyfunction("""COMPUTED_VALUE"""),86643781)</f>
        <v>86643781</v>
      </c>
    </row>
    <row r="347" customFormat="false" ht="15.75" hidden="false" customHeight="false" outlineLevel="0" collapsed="false">
      <c r="A347" s="6" t="n">
        <f aca="false">IFERROR(__xludf.dummyfunction("""COMPUTED_VALUE"""),44698.6666666667)</f>
        <v>44698.6666666667</v>
      </c>
      <c r="B347" s="5" t="n">
        <f aca="false">IFERROR(__xludf.dummyfunction("""COMPUTED_VALUE"""),148.86)</f>
        <v>148.86</v>
      </c>
      <c r="C347" s="5" t="n">
        <f aca="false">IFERROR(__xludf.dummyfunction("""COMPUTED_VALUE"""),149.77)</f>
        <v>149.77</v>
      </c>
      <c r="D347" s="5" t="n">
        <f aca="false">IFERROR(__xludf.dummyfunction("""COMPUTED_VALUE"""),146.68)</f>
        <v>146.68</v>
      </c>
      <c r="E347" s="5" t="n">
        <f aca="false">IFERROR(__xludf.dummyfunction("""COMPUTED_VALUE"""),149.24)</f>
        <v>149.24</v>
      </c>
      <c r="F347" s="5" t="n">
        <f aca="false">IFERROR(__xludf.dummyfunction("""COMPUTED_VALUE"""),78336254)</f>
        <v>78336254</v>
      </c>
    </row>
    <row r="348" customFormat="false" ht="15.75" hidden="false" customHeight="false" outlineLevel="0" collapsed="false">
      <c r="A348" s="6" t="n">
        <f aca="false">IFERROR(__xludf.dummyfunction("""COMPUTED_VALUE"""),44699.6666666667)</f>
        <v>44699.6666666667</v>
      </c>
      <c r="B348" s="5" t="n">
        <f aca="false">IFERROR(__xludf.dummyfunction("""COMPUTED_VALUE"""),146.85)</f>
        <v>146.85</v>
      </c>
      <c r="C348" s="5" t="n">
        <f aca="false">IFERROR(__xludf.dummyfunction("""COMPUTED_VALUE"""),147.36)</f>
        <v>147.36</v>
      </c>
      <c r="D348" s="5" t="n">
        <f aca="false">IFERROR(__xludf.dummyfunction("""COMPUTED_VALUE"""),139.9)</f>
        <v>139.9</v>
      </c>
      <c r="E348" s="5" t="n">
        <f aca="false">IFERROR(__xludf.dummyfunction("""COMPUTED_VALUE"""),140.82)</f>
        <v>140.82</v>
      </c>
      <c r="F348" s="5" t="n">
        <f aca="false">IFERROR(__xludf.dummyfunction("""COMPUTED_VALUE"""),109742890)</f>
        <v>109742890</v>
      </c>
    </row>
    <row r="349" customFormat="false" ht="15.75" hidden="false" customHeight="false" outlineLevel="0" collapsed="false">
      <c r="A349" s="6" t="n">
        <f aca="false">IFERROR(__xludf.dummyfunction("""COMPUTED_VALUE"""),44700.6666666667)</f>
        <v>44700.6666666667</v>
      </c>
      <c r="B349" s="5" t="n">
        <f aca="false">IFERROR(__xludf.dummyfunction("""COMPUTED_VALUE"""),139.88)</f>
        <v>139.88</v>
      </c>
      <c r="C349" s="5" t="n">
        <f aca="false">IFERROR(__xludf.dummyfunction("""COMPUTED_VALUE"""),141.66)</f>
        <v>141.66</v>
      </c>
      <c r="D349" s="5" t="n">
        <f aca="false">IFERROR(__xludf.dummyfunction("""COMPUTED_VALUE"""),136.6)</f>
        <v>136.6</v>
      </c>
      <c r="E349" s="5" t="n">
        <f aca="false">IFERROR(__xludf.dummyfunction("""COMPUTED_VALUE"""),137.35)</f>
        <v>137.35</v>
      </c>
      <c r="F349" s="5" t="n">
        <f aca="false">IFERROR(__xludf.dummyfunction("""COMPUTED_VALUE"""),136095640)</f>
        <v>136095640</v>
      </c>
    </row>
    <row r="350" customFormat="false" ht="15.75" hidden="false" customHeight="false" outlineLevel="0" collapsed="false">
      <c r="A350" s="6" t="n">
        <f aca="false">IFERROR(__xludf.dummyfunction("""COMPUTED_VALUE"""),44701.6666666667)</f>
        <v>44701.6666666667</v>
      </c>
      <c r="B350" s="5" t="n">
        <f aca="false">IFERROR(__xludf.dummyfunction("""COMPUTED_VALUE"""),139.09)</f>
        <v>139.09</v>
      </c>
      <c r="C350" s="5" t="n">
        <f aca="false">IFERROR(__xludf.dummyfunction("""COMPUTED_VALUE"""),140.7)</f>
        <v>140.7</v>
      </c>
      <c r="D350" s="5" t="n">
        <f aca="false">IFERROR(__xludf.dummyfunction("""COMPUTED_VALUE"""),132.61)</f>
        <v>132.61</v>
      </c>
      <c r="E350" s="5" t="n">
        <f aca="false">IFERROR(__xludf.dummyfunction("""COMPUTED_VALUE"""),137.59)</f>
        <v>137.59</v>
      </c>
      <c r="F350" s="5" t="n">
        <f aca="false">IFERROR(__xludf.dummyfunction("""COMPUTED_VALUE"""),137426125)</f>
        <v>137426125</v>
      </c>
    </row>
    <row r="351" customFormat="false" ht="15.75" hidden="false" customHeight="false" outlineLevel="0" collapsed="false">
      <c r="A351" s="6" t="n">
        <f aca="false">IFERROR(__xludf.dummyfunction("""COMPUTED_VALUE"""),44704.6666666667)</f>
        <v>44704.6666666667</v>
      </c>
      <c r="B351" s="5" t="n">
        <f aca="false">IFERROR(__xludf.dummyfunction("""COMPUTED_VALUE"""),137.79)</f>
        <v>137.79</v>
      </c>
      <c r="C351" s="5" t="n">
        <f aca="false">IFERROR(__xludf.dummyfunction("""COMPUTED_VALUE"""),143.26)</f>
        <v>143.26</v>
      </c>
      <c r="D351" s="5" t="n">
        <f aca="false">IFERROR(__xludf.dummyfunction("""COMPUTED_VALUE"""),137.65)</f>
        <v>137.65</v>
      </c>
      <c r="E351" s="5" t="n">
        <f aca="false">IFERROR(__xludf.dummyfunction("""COMPUTED_VALUE"""),143.11)</f>
        <v>143.11</v>
      </c>
      <c r="F351" s="5" t="n">
        <f aca="false">IFERROR(__xludf.dummyfunction("""COMPUTED_VALUE"""),117726265)</f>
        <v>117726265</v>
      </c>
    </row>
    <row r="352" customFormat="false" ht="15.75" hidden="false" customHeight="false" outlineLevel="0" collapsed="false">
      <c r="A352" s="6" t="n">
        <f aca="false">IFERROR(__xludf.dummyfunction("""COMPUTED_VALUE"""),44705.6666666667)</f>
        <v>44705.6666666667</v>
      </c>
      <c r="B352" s="5" t="n">
        <f aca="false">IFERROR(__xludf.dummyfunction("""COMPUTED_VALUE"""),140.81)</f>
        <v>140.81</v>
      </c>
      <c r="C352" s="5" t="n">
        <f aca="false">IFERROR(__xludf.dummyfunction("""COMPUTED_VALUE"""),141.97)</f>
        <v>141.97</v>
      </c>
      <c r="D352" s="5" t="n">
        <f aca="false">IFERROR(__xludf.dummyfunction("""COMPUTED_VALUE"""),137.33)</f>
        <v>137.33</v>
      </c>
      <c r="E352" s="5" t="n">
        <f aca="false">IFERROR(__xludf.dummyfunction("""COMPUTED_VALUE"""),140.36)</f>
        <v>140.36</v>
      </c>
      <c r="F352" s="5" t="n">
        <f aca="false">IFERROR(__xludf.dummyfunction("""COMPUTED_VALUE"""),104132746)</f>
        <v>104132746</v>
      </c>
    </row>
    <row r="353" customFormat="false" ht="15.75" hidden="false" customHeight="false" outlineLevel="0" collapsed="false">
      <c r="A353" s="6" t="n">
        <f aca="false">IFERROR(__xludf.dummyfunction("""COMPUTED_VALUE"""),44706.6666666667)</f>
        <v>44706.6666666667</v>
      </c>
      <c r="B353" s="5" t="n">
        <f aca="false">IFERROR(__xludf.dummyfunction("""COMPUTED_VALUE"""),138.43)</f>
        <v>138.43</v>
      </c>
      <c r="C353" s="5" t="n">
        <f aca="false">IFERROR(__xludf.dummyfunction("""COMPUTED_VALUE"""),141.79)</f>
        <v>141.79</v>
      </c>
      <c r="D353" s="5" t="n">
        <f aca="false">IFERROR(__xludf.dummyfunction("""COMPUTED_VALUE"""),138.34)</f>
        <v>138.34</v>
      </c>
      <c r="E353" s="5" t="n">
        <f aca="false">IFERROR(__xludf.dummyfunction("""COMPUTED_VALUE"""),140.52)</f>
        <v>140.52</v>
      </c>
      <c r="F353" s="5" t="n">
        <f aca="false">IFERROR(__xludf.dummyfunction("""COMPUTED_VALUE"""),92482696)</f>
        <v>92482696</v>
      </c>
    </row>
    <row r="354" customFormat="false" ht="15.75" hidden="false" customHeight="false" outlineLevel="0" collapsed="false">
      <c r="A354" s="6" t="n">
        <f aca="false">IFERROR(__xludf.dummyfunction("""COMPUTED_VALUE"""),44707.6666666667)</f>
        <v>44707.6666666667</v>
      </c>
      <c r="B354" s="5" t="n">
        <f aca="false">IFERROR(__xludf.dummyfunction("""COMPUTED_VALUE"""),137.39)</f>
        <v>137.39</v>
      </c>
      <c r="C354" s="5" t="n">
        <f aca="false">IFERROR(__xludf.dummyfunction("""COMPUTED_VALUE"""),144.34)</f>
        <v>144.34</v>
      </c>
      <c r="D354" s="5" t="n">
        <f aca="false">IFERROR(__xludf.dummyfunction("""COMPUTED_VALUE"""),137.14)</f>
        <v>137.14</v>
      </c>
      <c r="E354" s="5" t="n">
        <f aca="false">IFERROR(__xludf.dummyfunction("""COMPUTED_VALUE"""),143.78)</f>
        <v>143.78</v>
      </c>
      <c r="F354" s="5" t="n">
        <f aca="false">IFERROR(__xludf.dummyfunction("""COMPUTED_VALUE"""),90601548)</f>
        <v>90601548</v>
      </c>
    </row>
    <row r="355" customFormat="false" ht="15.75" hidden="false" customHeight="false" outlineLevel="0" collapsed="false">
      <c r="A355" s="6" t="n">
        <f aca="false">IFERROR(__xludf.dummyfunction("""COMPUTED_VALUE"""),44708.6666666667)</f>
        <v>44708.6666666667</v>
      </c>
      <c r="B355" s="5" t="n">
        <f aca="false">IFERROR(__xludf.dummyfunction("""COMPUTED_VALUE"""),145.39)</f>
        <v>145.39</v>
      </c>
      <c r="C355" s="5" t="n">
        <f aca="false">IFERROR(__xludf.dummyfunction("""COMPUTED_VALUE"""),149.68)</f>
        <v>149.68</v>
      </c>
      <c r="D355" s="5" t="n">
        <f aca="false">IFERROR(__xludf.dummyfunction("""COMPUTED_VALUE"""),145.26)</f>
        <v>145.26</v>
      </c>
      <c r="E355" s="5" t="n">
        <f aca="false">IFERROR(__xludf.dummyfunction("""COMPUTED_VALUE"""),149.64)</f>
        <v>149.64</v>
      </c>
      <c r="F355" s="5" t="n">
        <f aca="false">IFERROR(__xludf.dummyfunction("""COMPUTED_VALUE"""),90978503)</f>
        <v>90978503</v>
      </c>
    </row>
    <row r="356" customFormat="false" ht="15.75" hidden="false" customHeight="false" outlineLevel="0" collapsed="false">
      <c r="A356" s="6" t="n">
        <f aca="false">IFERROR(__xludf.dummyfunction("""COMPUTED_VALUE"""),44712.6666666667)</f>
        <v>44712.6666666667</v>
      </c>
      <c r="B356" s="5" t="n">
        <f aca="false">IFERROR(__xludf.dummyfunction("""COMPUTED_VALUE"""),149.07)</f>
        <v>149.07</v>
      </c>
      <c r="C356" s="5" t="n">
        <f aca="false">IFERROR(__xludf.dummyfunction("""COMPUTED_VALUE"""),150.66)</f>
        <v>150.66</v>
      </c>
      <c r="D356" s="5" t="n">
        <f aca="false">IFERROR(__xludf.dummyfunction("""COMPUTED_VALUE"""),146.84)</f>
        <v>146.84</v>
      </c>
      <c r="E356" s="5" t="n">
        <f aca="false">IFERROR(__xludf.dummyfunction("""COMPUTED_VALUE"""),148.84)</f>
        <v>148.84</v>
      </c>
      <c r="F356" s="5" t="n">
        <f aca="false">IFERROR(__xludf.dummyfunction("""COMPUTED_VALUE"""),103718416)</f>
        <v>103718416</v>
      </c>
    </row>
    <row r="357" customFormat="false" ht="15.75" hidden="false" customHeight="false" outlineLevel="0" collapsed="false">
      <c r="A357" s="6" t="n">
        <f aca="false">IFERROR(__xludf.dummyfunction("""COMPUTED_VALUE"""),44713.6666666667)</f>
        <v>44713.6666666667</v>
      </c>
      <c r="B357" s="5" t="n">
        <f aca="false">IFERROR(__xludf.dummyfunction("""COMPUTED_VALUE"""),149.9)</f>
        <v>149.9</v>
      </c>
      <c r="C357" s="5" t="n">
        <f aca="false">IFERROR(__xludf.dummyfunction("""COMPUTED_VALUE"""),151.74)</f>
        <v>151.74</v>
      </c>
      <c r="D357" s="5" t="n">
        <f aca="false">IFERROR(__xludf.dummyfunction("""COMPUTED_VALUE"""),147.68)</f>
        <v>147.68</v>
      </c>
      <c r="E357" s="5" t="n">
        <f aca="false">IFERROR(__xludf.dummyfunction("""COMPUTED_VALUE"""),148.71)</f>
        <v>148.71</v>
      </c>
      <c r="F357" s="5" t="n">
        <f aca="false">IFERROR(__xludf.dummyfunction("""COMPUTED_VALUE"""),74286635)</f>
        <v>74286635</v>
      </c>
    </row>
    <row r="358" customFormat="false" ht="15.75" hidden="false" customHeight="false" outlineLevel="0" collapsed="false">
      <c r="A358" s="6" t="n">
        <f aca="false">IFERROR(__xludf.dummyfunction("""COMPUTED_VALUE"""),44714.6666666667)</f>
        <v>44714.6666666667</v>
      </c>
      <c r="B358" s="5" t="n">
        <f aca="false">IFERROR(__xludf.dummyfunction("""COMPUTED_VALUE"""),147.83)</f>
        <v>147.83</v>
      </c>
      <c r="C358" s="5" t="n">
        <f aca="false">IFERROR(__xludf.dummyfunction("""COMPUTED_VALUE"""),151.27)</f>
        <v>151.27</v>
      </c>
      <c r="D358" s="5" t="n">
        <f aca="false">IFERROR(__xludf.dummyfunction("""COMPUTED_VALUE"""),146.86)</f>
        <v>146.86</v>
      </c>
      <c r="E358" s="5" t="n">
        <f aca="false">IFERROR(__xludf.dummyfunction("""COMPUTED_VALUE"""),151.21)</f>
        <v>151.21</v>
      </c>
      <c r="F358" s="5" t="n">
        <f aca="false">IFERROR(__xludf.dummyfunction("""COMPUTED_VALUE"""),72348055)</f>
        <v>72348055</v>
      </c>
    </row>
    <row r="359" customFormat="false" ht="15.75" hidden="false" customHeight="false" outlineLevel="0" collapsed="false">
      <c r="A359" s="6" t="n">
        <f aca="false">IFERROR(__xludf.dummyfunction("""COMPUTED_VALUE"""),44715.6666666667)</f>
        <v>44715.6666666667</v>
      </c>
      <c r="B359" s="5" t="n">
        <f aca="false">IFERROR(__xludf.dummyfunction("""COMPUTED_VALUE"""),146.9)</f>
        <v>146.9</v>
      </c>
      <c r="C359" s="5" t="n">
        <f aca="false">IFERROR(__xludf.dummyfunction("""COMPUTED_VALUE"""),147.97)</f>
        <v>147.97</v>
      </c>
      <c r="D359" s="5" t="n">
        <f aca="false">IFERROR(__xludf.dummyfunction("""COMPUTED_VALUE"""),144.46)</f>
        <v>144.46</v>
      </c>
      <c r="E359" s="5" t="n">
        <f aca="false">IFERROR(__xludf.dummyfunction("""COMPUTED_VALUE"""),145.38)</f>
        <v>145.38</v>
      </c>
      <c r="F359" s="5" t="n">
        <f aca="false">IFERROR(__xludf.dummyfunction("""COMPUTED_VALUE"""),88570289)</f>
        <v>88570289</v>
      </c>
    </row>
    <row r="360" customFormat="false" ht="15.75" hidden="false" customHeight="false" outlineLevel="0" collapsed="false">
      <c r="A360" s="6" t="n">
        <f aca="false">IFERROR(__xludf.dummyfunction("""COMPUTED_VALUE"""),44718.6666666667)</f>
        <v>44718.6666666667</v>
      </c>
      <c r="B360" s="5" t="n">
        <f aca="false">IFERROR(__xludf.dummyfunction("""COMPUTED_VALUE"""),147.03)</f>
        <v>147.03</v>
      </c>
      <c r="C360" s="5" t="n">
        <f aca="false">IFERROR(__xludf.dummyfunction("""COMPUTED_VALUE"""),148.57)</f>
        <v>148.57</v>
      </c>
      <c r="D360" s="5" t="n">
        <f aca="false">IFERROR(__xludf.dummyfunction("""COMPUTED_VALUE"""),144.9)</f>
        <v>144.9</v>
      </c>
      <c r="E360" s="5" t="n">
        <f aca="false">IFERROR(__xludf.dummyfunction("""COMPUTED_VALUE"""),146.14)</f>
        <v>146.14</v>
      </c>
      <c r="F360" s="5" t="n">
        <f aca="false">IFERROR(__xludf.dummyfunction("""COMPUTED_VALUE"""),71598380)</f>
        <v>71598380</v>
      </c>
    </row>
    <row r="361" customFormat="false" ht="15.75" hidden="false" customHeight="false" outlineLevel="0" collapsed="false">
      <c r="A361" s="6" t="n">
        <f aca="false">IFERROR(__xludf.dummyfunction("""COMPUTED_VALUE"""),44719.6666666667)</f>
        <v>44719.6666666667</v>
      </c>
      <c r="B361" s="5" t="n">
        <f aca="false">IFERROR(__xludf.dummyfunction("""COMPUTED_VALUE"""),144.35)</f>
        <v>144.35</v>
      </c>
      <c r="C361" s="5" t="n">
        <f aca="false">IFERROR(__xludf.dummyfunction("""COMPUTED_VALUE"""),149)</f>
        <v>149</v>
      </c>
      <c r="D361" s="5" t="n">
        <f aca="false">IFERROR(__xludf.dummyfunction("""COMPUTED_VALUE"""),144.1)</f>
        <v>144.1</v>
      </c>
      <c r="E361" s="5" t="n">
        <f aca="false">IFERROR(__xludf.dummyfunction("""COMPUTED_VALUE"""),148.71)</f>
        <v>148.71</v>
      </c>
      <c r="F361" s="5" t="n">
        <f aca="false">IFERROR(__xludf.dummyfunction("""COMPUTED_VALUE"""),67808150)</f>
        <v>67808150</v>
      </c>
    </row>
    <row r="362" customFormat="false" ht="15.75" hidden="false" customHeight="false" outlineLevel="0" collapsed="false">
      <c r="A362" s="6" t="n">
        <f aca="false">IFERROR(__xludf.dummyfunction("""COMPUTED_VALUE"""),44720.6666666667)</f>
        <v>44720.6666666667</v>
      </c>
      <c r="B362" s="5" t="n">
        <f aca="false">IFERROR(__xludf.dummyfunction("""COMPUTED_VALUE"""),148.58)</f>
        <v>148.58</v>
      </c>
      <c r="C362" s="5" t="n">
        <f aca="false">IFERROR(__xludf.dummyfunction("""COMPUTED_VALUE"""),149.87)</f>
        <v>149.87</v>
      </c>
      <c r="D362" s="5" t="n">
        <f aca="false">IFERROR(__xludf.dummyfunction("""COMPUTED_VALUE"""),147.46)</f>
        <v>147.46</v>
      </c>
      <c r="E362" s="5" t="n">
        <f aca="false">IFERROR(__xludf.dummyfunction("""COMPUTED_VALUE"""),147.96)</f>
        <v>147.96</v>
      </c>
      <c r="F362" s="5" t="n">
        <f aca="false">IFERROR(__xludf.dummyfunction("""COMPUTED_VALUE"""),53950201)</f>
        <v>53950201</v>
      </c>
    </row>
    <row r="363" customFormat="false" ht="15.75" hidden="false" customHeight="false" outlineLevel="0" collapsed="false">
      <c r="A363" s="6" t="n">
        <f aca="false">IFERROR(__xludf.dummyfunction("""COMPUTED_VALUE"""),44721.6666666667)</f>
        <v>44721.6666666667</v>
      </c>
      <c r="B363" s="5" t="n">
        <f aca="false">IFERROR(__xludf.dummyfunction("""COMPUTED_VALUE"""),147.08)</f>
        <v>147.08</v>
      </c>
      <c r="C363" s="5" t="n">
        <f aca="false">IFERROR(__xludf.dummyfunction("""COMPUTED_VALUE"""),147.95)</f>
        <v>147.95</v>
      </c>
      <c r="D363" s="5" t="n">
        <f aca="false">IFERROR(__xludf.dummyfunction("""COMPUTED_VALUE"""),142.53)</f>
        <v>142.53</v>
      </c>
      <c r="E363" s="5" t="n">
        <f aca="false">IFERROR(__xludf.dummyfunction("""COMPUTED_VALUE"""),142.64)</f>
        <v>142.64</v>
      </c>
      <c r="F363" s="5" t="n">
        <f aca="false">IFERROR(__xludf.dummyfunction("""COMPUTED_VALUE"""),69472976)</f>
        <v>69472976</v>
      </c>
    </row>
    <row r="364" customFormat="false" ht="15.75" hidden="false" customHeight="false" outlineLevel="0" collapsed="false">
      <c r="A364" s="6" t="n">
        <f aca="false">IFERROR(__xludf.dummyfunction("""COMPUTED_VALUE"""),44722.6666666667)</f>
        <v>44722.6666666667</v>
      </c>
      <c r="B364" s="5" t="n">
        <f aca="false">IFERROR(__xludf.dummyfunction("""COMPUTED_VALUE"""),140.28)</f>
        <v>140.28</v>
      </c>
      <c r="C364" s="5" t="n">
        <f aca="false">IFERROR(__xludf.dummyfunction("""COMPUTED_VALUE"""),140.76)</f>
        <v>140.76</v>
      </c>
      <c r="D364" s="5" t="n">
        <f aca="false">IFERROR(__xludf.dummyfunction("""COMPUTED_VALUE"""),137.06)</f>
        <v>137.06</v>
      </c>
      <c r="E364" s="5" t="n">
        <f aca="false">IFERROR(__xludf.dummyfunction("""COMPUTED_VALUE"""),137.13)</f>
        <v>137.13</v>
      </c>
      <c r="F364" s="5" t="n">
        <f aca="false">IFERROR(__xludf.dummyfunction("""COMPUTED_VALUE"""),91566637)</f>
        <v>91566637</v>
      </c>
    </row>
    <row r="365" customFormat="false" ht="15.75" hidden="false" customHeight="false" outlineLevel="0" collapsed="false">
      <c r="A365" s="6" t="n">
        <f aca="false">IFERROR(__xludf.dummyfunction("""COMPUTED_VALUE"""),44725.6666666667)</f>
        <v>44725.6666666667</v>
      </c>
      <c r="B365" s="5" t="n">
        <f aca="false">IFERROR(__xludf.dummyfunction("""COMPUTED_VALUE"""),132.87)</f>
        <v>132.87</v>
      </c>
      <c r="C365" s="5" t="n">
        <f aca="false">IFERROR(__xludf.dummyfunction("""COMPUTED_VALUE"""),135.2)</f>
        <v>135.2</v>
      </c>
      <c r="D365" s="5" t="n">
        <f aca="false">IFERROR(__xludf.dummyfunction("""COMPUTED_VALUE"""),131.44)</f>
        <v>131.44</v>
      </c>
      <c r="E365" s="5" t="n">
        <f aca="false">IFERROR(__xludf.dummyfunction("""COMPUTED_VALUE"""),131.88)</f>
        <v>131.88</v>
      </c>
      <c r="F365" s="5" t="n">
        <f aca="false">IFERROR(__xludf.dummyfunction("""COMPUTED_VALUE"""),122207099)</f>
        <v>122207099</v>
      </c>
    </row>
    <row r="366" customFormat="false" ht="15.75" hidden="false" customHeight="false" outlineLevel="0" collapsed="false">
      <c r="A366" s="6" t="n">
        <f aca="false">IFERROR(__xludf.dummyfunction("""COMPUTED_VALUE"""),44726.6666666667)</f>
        <v>44726.6666666667</v>
      </c>
      <c r="B366" s="5" t="n">
        <f aca="false">IFERROR(__xludf.dummyfunction("""COMPUTED_VALUE"""),133.13)</f>
        <v>133.13</v>
      </c>
      <c r="C366" s="5" t="n">
        <f aca="false">IFERROR(__xludf.dummyfunction("""COMPUTED_VALUE"""),133.89)</f>
        <v>133.89</v>
      </c>
      <c r="D366" s="5" t="n">
        <f aca="false">IFERROR(__xludf.dummyfunction("""COMPUTED_VALUE"""),131.48)</f>
        <v>131.48</v>
      </c>
      <c r="E366" s="5" t="n">
        <f aca="false">IFERROR(__xludf.dummyfunction("""COMPUTED_VALUE"""),132.76)</f>
        <v>132.76</v>
      </c>
      <c r="F366" s="5" t="n">
        <f aca="false">IFERROR(__xludf.dummyfunction("""COMPUTED_VALUE"""),84784326)</f>
        <v>84784326</v>
      </c>
    </row>
    <row r="367" customFormat="false" ht="15.75" hidden="false" customHeight="false" outlineLevel="0" collapsed="false">
      <c r="A367" s="6" t="n">
        <f aca="false">IFERROR(__xludf.dummyfunction("""COMPUTED_VALUE"""),44727.6666666667)</f>
        <v>44727.6666666667</v>
      </c>
      <c r="B367" s="5" t="n">
        <f aca="false">IFERROR(__xludf.dummyfunction("""COMPUTED_VALUE"""),134.29)</f>
        <v>134.29</v>
      </c>
      <c r="C367" s="5" t="n">
        <f aca="false">IFERROR(__xludf.dummyfunction("""COMPUTED_VALUE"""),137.34)</f>
        <v>137.34</v>
      </c>
      <c r="D367" s="5" t="n">
        <f aca="false">IFERROR(__xludf.dummyfunction("""COMPUTED_VALUE"""),132.16)</f>
        <v>132.16</v>
      </c>
      <c r="E367" s="5" t="n">
        <f aca="false">IFERROR(__xludf.dummyfunction("""COMPUTED_VALUE"""),135.43)</f>
        <v>135.43</v>
      </c>
      <c r="F367" s="5" t="n">
        <f aca="false">IFERROR(__xludf.dummyfunction("""COMPUTED_VALUE"""),91532972)</f>
        <v>91532972</v>
      </c>
    </row>
    <row r="368" customFormat="false" ht="15.75" hidden="false" customHeight="false" outlineLevel="0" collapsed="false">
      <c r="A368" s="6" t="n">
        <f aca="false">IFERROR(__xludf.dummyfunction("""COMPUTED_VALUE"""),44728.6666666667)</f>
        <v>44728.6666666667</v>
      </c>
      <c r="B368" s="5" t="n">
        <f aca="false">IFERROR(__xludf.dummyfunction("""COMPUTED_VALUE"""),132.08)</f>
        <v>132.08</v>
      </c>
      <c r="C368" s="5" t="n">
        <f aca="false">IFERROR(__xludf.dummyfunction("""COMPUTED_VALUE"""),132.39)</f>
        <v>132.39</v>
      </c>
      <c r="D368" s="5" t="n">
        <f aca="false">IFERROR(__xludf.dummyfunction("""COMPUTED_VALUE"""),129.04)</f>
        <v>129.04</v>
      </c>
      <c r="E368" s="5" t="n">
        <f aca="false">IFERROR(__xludf.dummyfunction("""COMPUTED_VALUE"""),130.06)</f>
        <v>130.06</v>
      </c>
      <c r="F368" s="5" t="n">
        <f aca="false">IFERROR(__xludf.dummyfunction("""COMPUTED_VALUE"""),107961508)</f>
        <v>107961508</v>
      </c>
    </row>
    <row r="369" customFormat="false" ht="15.75" hidden="false" customHeight="false" outlineLevel="0" collapsed="false">
      <c r="A369" s="6" t="n">
        <f aca="false">IFERROR(__xludf.dummyfunction("""COMPUTED_VALUE"""),44729.6666666667)</f>
        <v>44729.6666666667</v>
      </c>
      <c r="B369" s="5" t="n">
        <f aca="false">IFERROR(__xludf.dummyfunction("""COMPUTED_VALUE"""),130.07)</f>
        <v>130.07</v>
      </c>
      <c r="C369" s="5" t="n">
        <f aca="false">IFERROR(__xludf.dummyfunction("""COMPUTED_VALUE"""),133.08)</f>
        <v>133.08</v>
      </c>
      <c r="D369" s="5" t="n">
        <f aca="false">IFERROR(__xludf.dummyfunction("""COMPUTED_VALUE"""),129.81)</f>
        <v>129.81</v>
      </c>
      <c r="E369" s="5" t="n">
        <f aca="false">IFERROR(__xludf.dummyfunction("""COMPUTED_VALUE"""),131.56)</f>
        <v>131.56</v>
      </c>
      <c r="F369" s="5" t="n">
        <f aca="false">IFERROR(__xludf.dummyfunction("""COMPUTED_VALUE"""),134520290)</f>
        <v>134520290</v>
      </c>
    </row>
    <row r="370" customFormat="false" ht="15.75" hidden="false" customHeight="false" outlineLevel="0" collapsed="false">
      <c r="A370" s="6" t="n">
        <f aca="false">IFERROR(__xludf.dummyfunction("""COMPUTED_VALUE"""),44733.6666666667)</f>
        <v>44733.6666666667</v>
      </c>
      <c r="B370" s="5" t="n">
        <f aca="false">IFERROR(__xludf.dummyfunction("""COMPUTED_VALUE"""),133.42)</f>
        <v>133.42</v>
      </c>
      <c r="C370" s="5" t="n">
        <f aca="false">IFERROR(__xludf.dummyfunction("""COMPUTED_VALUE"""),137.06)</f>
        <v>137.06</v>
      </c>
      <c r="D370" s="5" t="n">
        <f aca="false">IFERROR(__xludf.dummyfunction("""COMPUTED_VALUE"""),133.32)</f>
        <v>133.32</v>
      </c>
      <c r="E370" s="5" t="n">
        <f aca="false">IFERROR(__xludf.dummyfunction("""COMPUTED_VALUE"""),135.87)</f>
        <v>135.87</v>
      </c>
      <c r="F370" s="5" t="n">
        <f aca="false">IFERROR(__xludf.dummyfunction("""COMPUTED_VALUE"""),81000488)</f>
        <v>81000488</v>
      </c>
    </row>
    <row r="371" customFormat="false" ht="15.75" hidden="false" customHeight="false" outlineLevel="0" collapsed="false">
      <c r="A371" s="6" t="n">
        <f aca="false">IFERROR(__xludf.dummyfunction("""COMPUTED_VALUE"""),44734.6666666667)</f>
        <v>44734.6666666667</v>
      </c>
      <c r="B371" s="5" t="n">
        <f aca="false">IFERROR(__xludf.dummyfunction("""COMPUTED_VALUE"""),134.79)</f>
        <v>134.79</v>
      </c>
      <c r="C371" s="5" t="n">
        <f aca="false">IFERROR(__xludf.dummyfunction("""COMPUTED_VALUE"""),137.76)</f>
        <v>137.76</v>
      </c>
      <c r="D371" s="5" t="n">
        <f aca="false">IFERROR(__xludf.dummyfunction("""COMPUTED_VALUE"""),133.91)</f>
        <v>133.91</v>
      </c>
      <c r="E371" s="5" t="n">
        <f aca="false">IFERROR(__xludf.dummyfunction("""COMPUTED_VALUE"""),135.35)</f>
        <v>135.35</v>
      </c>
      <c r="F371" s="5" t="n">
        <f aca="false">IFERROR(__xludf.dummyfunction("""COMPUTED_VALUE"""),73409234)</f>
        <v>73409234</v>
      </c>
    </row>
    <row r="372" customFormat="false" ht="15.75" hidden="false" customHeight="false" outlineLevel="0" collapsed="false">
      <c r="A372" s="6" t="n">
        <f aca="false">IFERROR(__xludf.dummyfunction("""COMPUTED_VALUE"""),44735.6666666667)</f>
        <v>44735.6666666667</v>
      </c>
      <c r="B372" s="5" t="n">
        <f aca="false">IFERROR(__xludf.dummyfunction("""COMPUTED_VALUE"""),136.82)</f>
        <v>136.82</v>
      </c>
      <c r="C372" s="5" t="n">
        <f aca="false">IFERROR(__xludf.dummyfunction("""COMPUTED_VALUE"""),138.59)</f>
        <v>138.59</v>
      </c>
      <c r="D372" s="5" t="n">
        <f aca="false">IFERROR(__xludf.dummyfunction("""COMPUTED_VALUE"""),135.63)</f>
        <v>135.63</v>
      </c>
      <c r="E372" s="5" t="n">
        <f aca="false">IFERROR(__xludf.dummyfunction("""COMPUTED_VALUE"""),138.27)</f>
        <v>138.27</v>
      </c>
      <c r="F372" s="5" t="n">
        <f aca="false">IFERROR(__xludf.dummyfunction("""COMPUTED_VALUE"""),72433768)</f>
        <v>72433768</v>
      </c>
    </row>
    <row r="373" customFormat="false" ht="15.75" hidden="false" customHeight="false" outlineLevel="0" collapsed="false">
      <c r="A373" s="6" t="n">
        <f aca="false">IFERROR(__xludf.dummyfunction("""COMPUTED_VALUE"""),44736.6666666667)</f>
        <v>44736.6666666667</v>
      </c>
      <c r="B373" s="5" t="n">
        <f aca="false">IFERROR(__xludf.dummyfunction("""COMPUTED_VALUE"""),139.9)</f>
        <v>139.9</v>
      </c>
      <c r="C373" s="5" t="n">
        <f aca="false">IFERROR(__xludf.dummyfunction("""COMPUTED_VALUE"""),141.91)</f>
        <v>141.91</v>
      </c>
      <c r="D373" s="5" t="n">
        <f aca="false">IFERROR(__xludf.dummyfunction("""COMPUTED_VALUE"""),139.77)</f>
        <v>139.77</v>
      </c>
      <c r="E373" s="5" t="n">
        <f aca="false">IFERROR(__xludf.dummyfunction("""COMPUTED_VALUE"""),141.66)</f>
        <v>141.66</v>
      </c>
      <c r="F373" s="5" t="n">
        <f aca="false">IFERROR(__xludf.dummyfunction("""COMPUTED_VALUE"""),89116837)</f>
        <v>89116837</v>
      </c>
    </row>
    <row r="374" customFormat="false" ht="15.75" hidden="false" customHeight="false" outlineLevel="0" collapsed="false">
      <c r="A374" s="6" t="n">
        <f aca="false">IFERROR(__xludf.dummyfunction("""COMPUTED_VALUE"""),44739.6666666667)</f>
        <v>44739.6666666667</v>
      </c>
      <c r="B374" s="5" t="n">
        <f aca="false">IFERROR(__xludf.dummyfunction("""COMPUTED_VALUE"""),142.7)</f>
        <v>142.7</v>
      </c>
      <c r="C374" s="5" t="n">
        <f aca="false">IFERROR(__xludf.dummyfunction("""COMPUTED_VALUE"""),143.49)</f>
        <v>143.49</v>
      </c>
      <c r="D374" s="5" t="n">
        <f aca="false">IFERROR(__xludf.dummyfunction("""COMPUTED_VALUE"""),140.97)</f>
        <v>140.97</v>
      </c>
      <c r="E374" s="5" t="n">
        <f aca="false">IFERROR(__xludf.dummyfunction("""COMPUTED_VALUE"""),141.66)</f>
        <v>141.66</v>
      </c>
      <c r="F374" s="5" t="n">
        <f aca="false">IFERROR(__xludf.dummyfunction("""COMPUTED_VALUE"""),70207908)</f>
        <v>70207908</v>
      </c>
    </row>
    <row r="375" customFormat="false" ht="15.75" hidden="false" customHeight="false" outlineLevel="0" collapsed="false">
      <c r="A375" s="6" t="n">
        <f aca="false">IFERROR(__xludf.dummyfunction("""COMPUTED_VALUE"""),44740.6666666667)</f>
        <v>44740.6666666667</v>
      </c>
      <c r="B375" s="5" t="n">
        <f aca="false">IFERROR(__xludf.dummyfunction("""COMPUTED_VALUE"""),142.13)</f>
        <v>142.13</v>
      </c>
      <c r="C375" s="5" t="n">
        <f aca="false">IFERROR(__xludf.dummyfunction("""COMPUTED_VALUE"""),143.42)</f>
        <v>143.42</v>
      </c>
      <c r="D375" s="5" t="n">
        <f aca="false">IFERROR(__xludf.dummyfunction("""COMPUTED_VALUE"""),137.32)</f>
        <v>137.32</v>
      </c>
      <c r="E375" s="5" t="n">
        <f aca="false">IFERROR(__xludf.dummyfunction("""COMPUTED_VALUE"""),137.44)</f>
        <v>137.44</v>
      </c>
      <c r="F375" s="5" t="n">
        <f aca="false">IFERROR(__xludf.dummyfunction("""COMPUTED_VALUE"""),67315328)</f>
        <v>67315328</v>
      </c>
    </row>
    <row r="376" customFormat="false" ht="15.75" hidden="false" customHeight="false" outlineLevel="0" collapsed="false">
      <c r="A376" s="6" t="n">
        <f aca="false">IFERROR(__xludf.dummyfunction("""COMPUTED_VALUE"""),44741.6666666667)</f>
        <v>44741.6666666667</v>
      </c>
      <c r="B376" s="5" t="n">
        <f aca="false">IFERROR(__xludf.dummyfunction("""COMPUTED_VALUE"""),137.46)</f>
        <v>137.46</v>
      </c>
      <c r="C376" s="5" t="n">
        <f aca="false">IFERROR(__xludf.dummyfunction("""COMPUTED_VALUE"""),140.67)</f>
        <v>140.67</v>
      </c>
      <c r="D376" s="5" t="n">
        <f aca="false">IFERROR(__xludf.dummyfunction("""COMPUTED_VALUE"""),136.67)</f>
        <v>136.67</v>
      </c>
      <c r="E376" s="5" t="n">
        <f aca="false">IFERROR(__xludf.dummyfunction("""COMPUTED_VALUE"""),139.23)</f>
        <v>139.23</v>
      </c>
      <c r="F376" s="5" t="n">
        <f aca="false">IFERROR(__xludf.dummyfunction("""COMPUTED_VALUE"""),66242411)</f>
        <v>66242411</v>
      </c>
    </row>
    <row r="377" customFormat="false" ht="15.75" hidden="false" customHeight="false" outlineLevel="0" collapsed="false">
      <c r="A377" s="6" t="n">
        <f aca="false">IFERROR(__xludf.dummyfunction("""COMPUTED_VALUE"""),44742.6666666667)</f>
        <v>44742.6666666667</v>
      </c>
      <c r="B377" s="5" t="n">
        <f aca="false">IFERROR(__xludf.dummyfunction("""COMPUTED_VALUE"""),137.25)</f>
        <v>137.25</v>
      </c>
      <c r="C377" s="5" t="n">
        <f aca="false">IFERROR(__xludf.dummyfunction("""COMPUTED_VALUE"""),138.37)</f>
        <v>138.37</v>
      </c>
      <c r="D377" s="5" t="n">
        <f aca="false">IFERROR(__xludf.dummyfunction("""COMPUTED_VALUE"""),133.77)</f>
        <v>133.77</v>
      </c>
      <c r="E377" s="5" t="n">
        <f aca="false">IFERROR(__xludf.dummyfunction("""COMPUTED_VALUE"""),136.72)</f>
        <v>136.72</v>
      </c>
      <c r="F377" s="5" t="n">
        <f aca="false">IFERROR(__xludf.dummyfunction("""COMPUTED_VALUE"""),98964467)</f>
        <v>98964467</v>
      </c>
    </row>
    <row r="378" customFormat="false" ht="15.75" hidden="false" customHeight="false" outlineLevel="0" collapsed="false">
      <c r="A378" s="6" t="n">
        <f aca="false">IFERROR(__xludf.dummyfunction("""COMPUTED_VALUE"""),44743.6666666667)</f>
        <v>44743.6666666667</v>
      </c>
      <c r="B378" s="5" t="n">
        <f aca="false">IFERROR(__xludf.dummyfunction("""COMPUTED_VALUE"""),136.04)</f>
        <v>136.04</v>
      </c>
      <c r="C378" s="5" t="n">
        <f aca="false">IFERROR(__xludf.dummyfunction("""COMPUTED_VALUE"""),139.04)</f>
        <v>139.04</v>
      </c>
      <c r="D378" s="5" t="n">
        <f aca="false">IFERROR(__xludf.dummyfunction("""COMPUTED_VALUE"""),135.66)</f>
        <v>135.66</v>
      </c>
      <c r="E378" s="5" t="n">
        <f aca="false">IFERROR(__xludf.dummyfunction("""COMPUTED_VALUE"""),138.93)</f>
        <v>138.93</v>
      </c>
      <c r="F378" s="5" t="n">
        <f aca="false">IFERROR(__xludf.dummyfunction("""COMPUTED_VALUE"""),71051552)</f>
        <v>71051552</v>
      </c>
    </row>
    <row r="379" customFormat="false" ht="15.75" hidden="false" customHeight="false" outlineLevel="0" collapsed="false">
      <c r="A379" s="6" t="n">
        <f aca="false">IFERROR(__xludf.dummyfunction("""COMPUTED_VALUE"""),44747.6666666667)</f>
        <v>44747.6666666667</v>
      </c>
      <c r="B379" s="5" t="n">
        <f aca="false">IFERROR(__xludf.dummyfunction("""COMPUTED_VALUE"""),137.77)</f>
        <v>137.77</v>
      </c>
      <c r="C379" s="5" t="n">
        <f aca="false">IFERROR(__xludf.dummyfunction("""COMPUTED_VALUE"""),141.61)</f>
        <v>141.61</v>
      </c>
      <c r="D379" s="5" t="n">
        <f aca="false">IFERROR(__xludf.dummyfunction("""COMPUTED_VALUE"""),136.93)</f>
        <v>136.93</v>
      </c>
      <c r="E379" s="5" t="n">
        <f aca="false">IFERROR(__xludf.dummyfunction("""COMPUTED_VALUE"""),141.56)</f>
        <v>141.56</v>
      </c>
      <c r="F379" s="5" t="n">
        <f aca="false">IFERROR(__xludf.dummyfunction("""COMPUTED_VALUE"""),73429641)</f>
        <v>73429641</v>
      </c>
    </row>
    <row r="380" customFormat="false" ht="15.75" hidden="false" customHeight="false" outlineLevel="0" collapsed="false">
      <c r="A380" s="6" t="n">
        <f aca="false">IFERROR(__xludf.dummyfunction("""COMPUTED_VALUE"""),44748.6666666667)</f>
        <v>44748.6666666667</v>
      </c>
      <c r="B380" s="5" t="n">
        <f aca="false">IFERROR(__xludf.dummyfunction("""COMPUTED_VALUE"""),141.35)</f>
        <v>141.35</v>
      </c>
      <c r="C380" s="5" t="n">
        <f aca="false">IFERROR(__xludf.dummyfunction("""COMPUTED_VALUE"""),144.12)</f>
        <v>144.12</v>
      </c>
      <c r="D380" s="5" t="n">
        <f aca="false">IFERROR(__xludf.dummyfunction("""COMPUTED_VALUE"""),141.08)</f>
        <v>141.08</v>
      </c>
      <c r="E380" s="5" t="n">
        <f aca="false">IFERROR(__xludf.dummyfunction("""COMPUTED_VALUE"""),142.92)</f>
        <v>142.92</v>
      </c>
      <c r="F380" s="5" t="n">
        <f aca="false">IFERROR(__xludf.dummyfunction("""COMPUTED_VALUE"""),74064254)</f>
        <v>74064254</v>
      </c>
    </row>
    <row r="381" customFormat="false" ht="15.75" hidden="false" customHeight="false" outlineLevel="0" collapsed="false">
      <c r="A381" s="6" t="n">
        <f aca="false">IFERROR(__xludf.dummyfunction("""COMPUTED_VALUE"""),44749.6666666667)</f>
        <v>44749.6666666667</v>
      </c>
      <c r="B381" s="5" t="n">
        <f aca="false">IFERROR(__xludf.dummyfunction("""COMPUTED_VALUE"""),143.29)</f>
        <v>143.29</v>
      </c>
      <c r="C381" s="5" t="n">
        <f aca="false">IFERROR(__xludf.dummyfunction("""COMPUTED_VALUE"""),146.55)</f>
        <v>146.55</v>
      </c>
      <c r="D381" s="5" t="n">
        <f aca="false">IFERROR(__xludf.dummyfunction("""COMPUTED_VALUE"""),143.28)</f>
        <v>143.28</v>
      </c>
      <c r="E381" s="5" t="n">
        <f aca="false">IFERROR(__xludf.dummyfunction("""COMPUTED_VALUE"""),146.35)</f>
        <v>146.35</v>
      </c>
      <c r="F381" s="5" t="n">
        <f aca="false">IFERROR(__xludf.dummyfunction("""COMPUTED_VALUE"""),66253709)</f>
        <v>66253709</v>
      </c>
    </row>
    <row r="382" customFormat="false" ht="15.75" hidden="false" customHeight="false" outlineLevel="0" collapsed="false">
      <c r="A382" s="6" t="n">
        <f aca="false">IFERROR(__xludf.dummyfunction("""COMPUTED_VALUE"""),44750.6666666667)</f>
        <v>44750.6666666667</v>
      </c>
      <c r="B382" s="5" t="n">
        <f aca="false">IFERROR(__xludf.dummyfunction("""COMPUTED_VALUE"""),145.26)</f>
        <v>145.26</v>
      </c>
      <c r="C382" s="5" t="n">
        <f aca="false">IFERROR(__xludf.dummyfunction("""COMPUTED_VALUE"""),147.55)</f>
        <v>147.55</v>
      </c>
      <c r="D382" s="5" t="n">
        <f aca="false">IFERROR(__xludf.dummyfunction("""COMPUTED_VALUE"""),145)</f>
        <v>145</v>
      </c>
      <c r="E382" s="5" t="n">
        <f aca="false">IFERROR(__xludf.dummyfunction("""COMPUTED_VALUE"""),147.04)</f>
        <v>147.04</v>
      </c>
      <c r="F382" s="5" t="n">
        <f aca="false">IFERROR(__xludf.dummyfunction("""COMPUTED_VALUE"""),64547798)</f>
        <v>64547798</v>
      </c>
    </row>
    <row r="383" customFormat="false" ht="15.75" hidden="false" customHeight="false" outlineLevel="0" collapsed="false">
      <c r="A383" s="6" t="n">
        <f aca="false">IFERROR(__xludf.dummyfunction("""COMPUTED_VALUE"""),44753.6666666667)</f>
        <v>44753.6666666667</v>
      </c>
      <c r="B383" s="5" t="n">
        <f aca="false">IFERROR(__xludf.dummyfunction("""COMPUTED_VALUE"""),145.67)</f>
        <v>145.67</v>
      </c>
      <c r="C383" s="5" t="n">
        <f aca="false">IFERROR(__xludf.dummyfunction("""COMPUTED_VALUE"""),146.64)</f>
        <v>146.64</v>
      </c>
      <c r="D383" s="5" t="n">
        <f aca="false">IFERROR(__xludf.dummyfunction("""COMPUTED_VALUE"""),143.78)</f>
        <v>143.78</v>
      </c>
      <c r="E383" s="5" t="n">
        <f aca="false">IFERROR(__xludf.dummyfunction("""COMPUTED_VALUE"""),144.87)</f>
        <v>144.87</v>
      </c>
      <c r="F383" s="5" t="n">
        <f aca="false">IFERROR(__xludf.dummyfunction("""COMPUTED_VALUE"""),63305113)</f>
        <v>63305113</v>
      </c>
    </row>
    <row r="384" customFormat="false" ht="15.75" hidden="false" customHeight="false" outlineLevel="0" collapsed="false">
      <c r="A384" s="6" t="n">
        <f aca="false">IFERROR(__xludf.dummyfunction("""COMPUTED_VALUE"""),44754.6666666667)</f>
        <v>44754.6666666667</v>
      </c>
      <c r="B384" s="5" t="n">
        <f aca="false">IFERROR(__xludf.dummyfunction("""COMPUTED_VALUE"""),145.76)</f>
        <v>145.76</v>
      </c>
      <c r="C384" s="5" t="n">
        <f aca="false">IFERROR(__xludf.dummyfunction("""COMPUTED_VALUE"""),148.45)</f>
        <v>148.45</v>
      </c>
      <c r="D384" s="5" t="n">
        <f aca="false">IFERROR(__xludf.dummyfunction("""COMPUTED_VALUE"""),145.05)</f>
        <v>145.05</v>
      </c>
      <c r="E384" s="5" t="n">
        <f aca="false">IFERROR(__xludf.dummyfunction("""COMPUTED_VALUE"""),145.86)</f>
        <v>145.86</v>
      </c>
      <c r="F384" s="5" t="n">
        <f aca="false">IFERROR(__xludf.dummyfunction("""COMPUTED_VALUE"""),77588759)</f>
        <v>77588759</v>
      </c>
    </row>
    <row r="385" customFormat="false" ht="15.75" hidden="false" customHeight="false" outlineLevel="0" collapsed="false">
      <c r="A385" s="6" t="n">
        <f aca="false">IFERROR(__xludf.dummyfunction("""COMPUTED_VALUE"""),44755.6666666667)</f>
        <v>44755.6666666667</v>
      </c>
      <c r="B385" s="5" t="n">
        <f aca="false">IFERROR(__xludf.dummyfunction("""COMPUTED_VALUE"""),142.99)</f>
        <v>142.99</v>
      </c>
      <c r="C385" s="5" t="n">
        <f aca="false">IFERROR(__xludf.dummyfunction("""COMPUTED_VALUE"""),146.45)</f>
        <v>146.45</v>
      </c>
      <c r="D385" s="5" t="n">
        <f aca="false">IFERROR(__xludf.dummyfunction("""COMPUTED_VALUE"""),142.12)</f>
        <v>142.12</v>
      </c>
      <c r="E385" s="5" t="n">
        <f aca="false">IFERROR(__xludf.dummyfunction("""COMPUTED_VALUE"""),145.49)</f>
        <v>145.49</v>
      </c>
      <c r="F385" s="5" t="n">
        <f aca="false">IFERROR(__xludf.dummyfunction("""COMPUTED_VALUE"""),71185560)</f>
        <v>71185560</v>
      </c>
    </row>
    <row r="386" customFormat="false" ht="15.75" hidden="false" customHeight="false" outlineLevel="0" collapsed="false">
      <c r="A386" s="6" t="n">
        <f aca="false">IFERROR(__xludf.dummyfunction("""COMPUTED_VALUE"""),44756.6666666667)</f>
        <v>44756.6666666667</v>
      </c>
      <c r="B386" s="5" t="n">
        <f aca="false">IFERROR(__xludf.dummyfunction("""COMPUTED_VALUE"""),144.08)</f>
        <v>144.08</v>
      </c>
      <c r="C386" s="5" t="n">
        <f aca="false">IFERROR(__xludf.dummyfunction("""COMPUTED_VALUE"""),148.95)</f>
        <v>148.95</v>
      </c>
      <c r="D386" s="5" t="n">
        <f aca="false">IFERROR(__xludf.dummyfunction("""COMPUTED_VALUE"""),143.25)</f>
        <v>143.25</v>
      </c>
      <c r="E386" s="5" t="n">
        <f aca="false">IFERROR(__xludf.dummyfunction("""COMPUTED_VALUE"""),148.47)</f>
        <v>148.47</v>
      </c>
      <c r="F386" s="5" t="n">
        <f aca="false">IFERROR(__xludf.dummyfunction("""COMPUTED_VALUE"""),78140744)</f>
        <v>78140744</v>
      </c>
    </row>
    <row r="387" customFormat="false" ht="15.75" hidden="false" customHeight="false" outlineLevel="0" collapsed="false">
      <c r="A387" s="6" t="n">
        <f aca="false">IFERROR(__xludf.dummyfunction("""COMPUTED_VALUE"""),44757.6666666667)</f>
        <v>44757.6666666667</v>
      </c>
      <c r="B387" s="5" t="n">
        <f aca="false">IFERROR(__xludf.dummyfunction("""COMPUTED_VALUE"""),149.78)</f>
        <v>149.78</v>
      </c>
      <c r="C387" s="5" t="n">
        <f aca="false">IFERROR(__xludf.dummyfunction("""COMPUTED_VALUE"""),150.86)</f>
        <v>150.86</v>
      </c>
      <c r="D387" s="5" t="n">
        <f aca="false">IFERROR(__xludf.dummyfunction("""COMPUTED_VALUE"""),148.2)</f>
        <v>148.2</v>
      </c>
      <c r="E387" s="5" t="n">
        <f aca="false">IFERROR(__xludf.dummyfunction("""COMPUTED_VALUE"""),150.17)</f>
        <v>150.17</v>
      </c>
      <c r="F387" s="5" t="n">
        <f aca="false">IFERROR(__xludf.dummyfunction("""COMPUTED_VALUE"""),76259931)</f>
        <v>76259931</v>
      </c>
    </row>
    <row r="388" customFormat="false" ht="15.75" hidden="false" customHeight="false" outlineLevel="0" collapsed="false">
      <c r="A388" s="6" t="n">
        <f aca="false">IFERROR(__xludf.dummyfunction("""COMPUTED_VALUE"""),44760.6666666667)</f>
        <v>44760.6666666667</v>
      </c>
      <c r="B388" s="5" t="n">
        <f aca="false">IFERROR(__xludf.dummyfunction("""COMPUTED_VALUE"""),150.74)</f>
        <v>150.74</v>
      </c>
      <c r="C388" s="5" t="n">
        <f aca="false">IFERROR(__xludf.dummyfunction("""COMPUTED_VALUE"""),151.57)</f>
        <v>151.57</v>
      </c>
      <c r="D388" s="5" t="n">
        <f aca="false">IFERROR(__xludf.dummyfunction("""COMPUTED_VALUE"""),146.7)</f>
        <v>146.7</v>
      </c>
      <c r="E388" s="5" t="n">
        <f aca="false">IFERROR(__xludf.dummyfunction("""COMPUTED_VALUE"""),147.07)</f>
        <v>147.07</v>
      </c>
      <c r="F388" s="5" t="n">
        <f aca="false">IFERROR(__xludf.dummyfunction("""COMPUTED_VALUE"""),81420868)</f>
        <v>81420868</v>
      </c>
    </row>
    <row r="389" customFormat="false" ht="15.75" hidden="false" customHeight="false" outlineLevel="0" collapsed="false">
      <c r="A389" s="6" t="n">
        <f aca="false">IFERROR(__xludf.dummyfunction("""COMPUTED_VALUE"""),44761.6666666667)</f>
        <v>44761.6666666667</v>
      </c>
      <c r="B389" s="5" t="n">
        <f aca="false">IFERROR(__xludf.dummyfunction("""COMPUTED_VALUE"""),147.92)</f>
        <v>147.92</v>
      </c>
      <c r="C389" s="5" t="n">
        <f aca="false">IFERROR(__xludf.dummyfunction("""COMPUTED_VALUE"""),151.23)</f>
        <v>151.23</v>
      </c>
      <c r="D389" s="5" t="n">
        <f aca="false">IFERROR(__xludf.dummyfunction("""COMPUTED_VALUE"""),146.91)</f>
        <v>146.91</v>
      </c>
      <c r="E389" s="5" t="n">
        <f aca="false">IFERROR(__xludf.dummyfunction("""COMPUTED_VALUE"""),151)</f>
        <v>151</v>
      </c>
      <c r="F389" s="5" t="n">
        <f aca="false">IFERROR(__xludf.dummyfunction("""COMPUTED_VALUE"""),82982367)</f>
        <v>82982367</v>
      </c>
    </row>
    <row r="390" customFormat="false" ht="15.75" hidden="false" customHeight="false" outlineLevel="0" collapsed="false">
      <c r="A390" s="6" t="n">
        <f aca="false">IFERROR(__xludf.dummyfunction("""COMPUTED_VALUE"""),44762.6666666667)</f>
        <v>44762.6666666667</v>
      </c>
      <c r="B390" s="5" t="n">
        <f aca="false">IFERROR(__xludf.dummyfunction("""COMPUTED_VALUE"""),151.12)</f>
        <v>151.12</v>
      </c>
      <c r="C390" s="5" t="n">
        <f aca="false">IFERROR(__xludf.dummyfunction("""COMPUTED_VALUE"""),153.72)</f>
        <v>153.72</v>
      </c>
      <c r="D390" s="5" t="n">
        <f aca="false">IFERROR(__xludf.dummyfunction("""COMPUTED_VALUE"""),150.37)</f>
        <v>150.37</v>
      </c>
      <c r="E390" s="5" t="n">
        <f aca="false">IFERROR(__xludf.dummyfunction("""COMPUTED_VALUE"""),153.04)</f>
        <v>153.04</v>
      </c>
      <c r="F390" s="5" t="n">
        <f aca="false">IFERROR(__xludf.dummyfunction("""COMPUTED_VALUE"""),64823413)</f>
        <v>64823413</v>
      </c>
    </row>
    <row r="391" customFormat="false" ht="15.75" hidden="false" customHeight="false" outlineLevel="0" collapsed="false">
      <c r="A391" s="6" t="n">
        <f aca="false">IFERROR(__xludf.dummyfunction("""COMPUTED_VALUE"""),44763.6666666667)</f>
        <v>44763.6666666667</v>
      </c>
      <c r="B391" s="5" t="n">
        <f aca="false">IFERROR(__xludf.dummyfunction("""COMPUTED_VALUE"""),154.5)</f>
        <v>154.5</v>
      </c>
      <c r="C391" s="5" t="n">
        <f aca="false">IFERROR(__xludf.dummyfunction("""COMPUTED_VALUE"""),155.57)</f>
        <v>155.57</v>
      </c>
      <c r="D391" s="5" t="n">
        <f aca="false">IFERROR(__xludf.dummyfunction("""COMPUTED_VALUE"""),151.94)</f>
        <v>151.94</v>
      </c>
      <c r="E391" s="5" t="n">
        <f aca="false">IFERROR(__xludf.dummyfunction("""COMPUTED_VALUE"""),155.35)</f>
        <v>155.35</v>
      </c>
      <c r="F391" s="5" t="n">
        <f aca="false">IFERROR(__xludf.dummyfunction("""COMPUTED_VALUE"""),65086636)</f>
        <v>65086636</v>
      </c>
    </row>
    <row r="392" customFormat="false" ht="15.75" hidden="false" customHeight="false" outlineLevel="0" collapsed="false">
      <c r="A392" s="6" t="n">
        <f aca="false">IFERROR(__xludf.dummyfunction("""COMPUTED_VALUE"""),44764.6666666667)</f>
        <v>44764.6666666667</v>
      </c>
      <c r="B392" s="5" t="n">
        <f aca="false">IFERROR(__xludf.dummyfunction("""COMPUTED_VALUE"""),155.39)</f>
        <v>155.39</v>
      </c>
      <c r="C392" s="5" t="n">
        <f aca="false">IFERROR(__xludf.dummyfunction("""COMPUTED_VALUE"""),156.28)</f>
        <v>156.28</v>
      </c>
      <c r="D392" s="5" t="n">
        <f aca="false">IFERROR(__xludf.dummyfunction("""COMPUTED_VALUE"""),153.41)</f>
        <v>153.41</v>
      </c>
      <c r="E392" s="5" t="n">
        <f aca="false">IFERROR(__xludf.dummyfunction("""COMPUTED_VALUE"""),154.09)</f>
        <v>154.09</v>
      </c>
      <c r="F392" s="5" t="n">
        <f aca="false">IFERROR(__xludf.dummyfunction("""COMPUTED_VALUE"""),66675408)</f>
        <v>66675408</v>
      </c>
    </row>
    <row r="393" customFormat="false" ht="15.75" hidden="false" customHeight="false" outlineLevel="0" collapsed="false">
      <c r="A393" s="6" t="n">
        <f aca="false">IFERROR(__xludf.dummyfunction("""COMPUTED_VALUE"""),44767.6666666667)</f>
        <v>44767.6666666667</v>
      </c>
      <c r="B393" s="5" t="n">
        <f aca="false">IFERROR(__xludf.dummyfunction("""COMPUTED_VALUE"""),154.01)</f>
        <v>154.01</v>
      </c>
      <c r="C393" s="5" t="n">
        <f aca="false">IFERROR(__xludf.dummyfunction("""COMPUTED_VALUE"""),155.04)</f>
        <v>155.04</v>
      </c>
      <c r="D393" s="5" t="n">
        <f aca="false">IFERROR(__xludf.dummyfunction("""COMPUTED_VALUE"""),152.28)</f>
        <v>152.28</v>
      </c>
      <c r="E393" s="5" t="n">
        <f aca="false">IFERROR(__xludf.dummyfunction("""COMPUTED_VALUE"""),152.95)</f>
        <v>152.95</v>
      </c>
      <c r="F393" s="5" t="n">
        <f aca="false">IFERROR(__xludf.dummyfunction("""COMPUTED_VALUE"""),53623945)</f>
        <v>53623945</v>
      </c>
    </row>
    <row r="394" customFormat="false" ht="15.75" hidden="false" customHeight="false" outlineLevel="0" collapsed="false">
      <c r="A394" s="6" t="n">
        <f aca="false">IFERROR(__xludf.dummyfunction("""COMPUTED_VALUE"""),44768.6666666667)</f>
        <v>44768.6666666667</v>
      </c>
      <c r="B394" s="5" t="n">
        <f aca="false">IFERROR(__xludf.dummyfunction("""COMPUTED_VALUE"""),152.26)</f>
        <v>152.26</v>
      </c>
      <c r="C394" s="5" t="n">
        <f aca="false">IFERROR(__xludf.dummyfunction("""COMPUTED_VALUE"""),153.09)</f>
        <v>153.09</v>
      </c>
      <c r="D394" s="5" t="n">
        <f aca="false">IFERROR(__xludf.dummyfunction("""COMPUTED_VALUE"""),150.8)</f>
        <v>150.8</v>
      </c>
      <c r="E394" s="5" t="n">
        <f aca="false">IFERROR(__xludf.dummyfunction("""COMPUTED_VALUE"""),151.6)</f>
        <v>151.6</v>
      </c>
      <c r="F394" s="5" t="n">
        <f aca="false">IFERROR(__xludf.dummyfunction("""COMPUTED_VALUE"""),55138691)</f>
        <v>55138691</v>
      </c>
    </row>
    <row r="395" customFormat="false" ht="15.75" hidden="false" customHeight="false" outlineLevel="0" collapsed="false">
      <c r="A395" s="6" t="n">
        <f aca="false">IFERROR(__xludf.dummyfunction("""COMPUTED_VALUE"""),44769.6666666667)</f>
        <v>44769.6666666667</v>
      </c>
      <c r="B395" s="5" t="n">
        <f aca="false">IFERROR(__xludf.dummyfunction("""COMPUTED_VALUE"""),152.58)</f>
        <v>152.58</v>
      </c>
      <c r="C395" s="5" t="n">
        <f aca="false">IFERROR(__xludf.dummyfunction("""COMPUTED_VALUE"""),157.33)</f>
        <v>157.33</v>
      </c>
      <c r="D395" s="5" t="n">
        <f aca="false">IFERROR(__xludf.dummyfunction("""COMPUTED_VALUE"""),152.16)</f>
        <v>152.16</v>
      </c>
      <c r="E395" s="5" t="n">
        <f aca="false">IFERROR(__xludf.dummyfunction("""COMPUTED_VALUE"""),156.79)</f>
        <v>156.79</v>
      </c>
      <c r="F395" s="5" t="n">
        <f aca="false">IFERROR(__xludf.dummyfunction("""COMPUTED_VALUE"""),78620688)</f>
        <v>78620688</v>
      </c>
    </row>
    <row r="396" customFormat="false" ht="15.75" hidden="false" customHeight="false" outlineLevel="0" collapsed="false">
      <c r="A396" s="6" t="n">
        <f aca="false">IFERROR(__xludf.dummyfunction("""COMPUTED_VALUE"""),44770.6666666667)</f>
        <v>44770.6666666667</v>
      </c>
      <c r="B396" s="5" t="n">
        <f aca="false">IFERROR(__xludf.dummyfunction("""COMPUTED_VALUE"""),156.98)</f>
        <v>156.98</v>
      </c>
      <c r="C396" s="5" t="n">
        <f aca="false">IFERROR(__xludf.dummyfunction("""COMPUTED_VALUE"""),157.64)</f>
        <v>157.64</v>
      </c>
      <c r="D396" s="5" t="n">
        <f aca="false">IFERROR(__xludf.dummyfunction("""COMPUTED_VALUE"""),154.41)</f>
        <v>154.41</v>
      </c>
      <c r="E396" s="5" t="n">
        <f aca="false">IFERROR(__xludf.dummyfunction("""COMPUTED_VALUE"""),157.35)</f>
        <v>157.35</v>
      </c>
      <c r="F396" s="5" t="n">
        <f aca="false">IFERROR(__xludf.dummyfunction("""COMPUTED_VALUE"""),81378731)</f>
        <v>81378731</v>
      </c>
    </row>
    <row r="397" customFormat="false" ht="15.75" hidden="false" customHeight="false" outlineLevel="0" collapsed="false">
      <c r="A397" s="6" t="n">
        <f aca="false">IFERROR(__xludf.dummyfunction("""COMPUTED_VALUE"""),44771.6666666667)</f>
        <v>44771.6666666667</v>
      </c>
      <c r="B397" s="5" t="n">
        <f aca="false">IFERROR(__xludf.dummyfunction("""COMPUTED_VALUE"""),161.24)</f>
        <v>161.24</v>
      </c>
      <c r="C397" s="5" t="n">
        <f aca="false">IFERROR(__xludf.dummyfunction("""COMPUTED_VALUE"""),163.63)</f>
        <v>163.63</v>
      </c>
      <c r="D397" s="5" t="n">
        <f aca="false">IFERROR(__xludf.dummyfunction("""COMPUTED_VALUE"""),159.5)</f>
        <v>159.5</v>
      </c>
      <c r="E397" s="5" t="n">
        <f aca="false">IFERROR(__xludf.dummyfunction("""COMPUTED_VALUE"""),162.51)</f>
        <v>162.51</v>
      </c>
      <c r="F397" s="5" t="n">
        <f aca="false">IFERROR(__xludf.dummyfunction("""COMPUTED_VALUE"""),101786860)</f>
        <v>101786860</v>
      </c>
    </row>
    <row r="398" customFormat="false" ht="15.75" hidden="false" customHeight="false" outlineLevel="0" collapsed="false">
      <c r="A398" s="6" t="n">
        <f aca="false">IFERROR(__xludf.dummyfunction("""COMPUTED_VALUE"""),44774.6666666667)</f>
        <v>44774.6666666667</v>
      </c>
      <c r="B398" s="5" t="n">
        <f aca="false">IFERROR(__xludf.dummyfunction("""COMPUTED_VALUE"""),161.01)</f>
        <v>161.01</v>
      </c>
      <c r="C398" s="5" t="n">
        <f aca="false">IFERROR(__xludf.dummyfunction("""COMPUTED_VALUE"""),163.59)</f>
        <v>163.59</v>
      </c>
      <c r="D398" s="5" t="n">
        <f aca="false">IFERROR(__xludf.dummyfunction("""COMPUTED_VALUE"""),160.89)</f>
        <v>160.89</v>
      </c>
      <c r="E398" s="5" t="n">
        <f aca="false">IFERROR(__xludf.dummyfunction("""COMPUTED_VALUE"""),161.51)</f>
        <v>161.51</v>
      </c>
      <c r="F398" s="5" t="n">
        <f aca="false">IFERROR(__xludf.dummyfunction("""COMPUTED_VALUE"""),67829379)</f>
        <v>67829379</v>
      </c>
    </row>
    <row r="399" customFormat="false" ht="15.75" hidden="false" customHeight="false" outlineLevel="0" collapsed="false">
      <c r="A399" s="6" t="n">
        <f aca="false">IFERROR(__xludf.dummyfunction("""COMPUTED_VALUE"""),44775.6666666667)</f>
        <v>44775.6666666667</v>
      </c>
      <c r="B399" s="5" t="n">
        <f aca="false">IFERROR(__xludf.dummyfunction("""COMPUTED_VALUE"""),160.1)</f>
        <v>160.1</v>
      </c>
      <c r="C399" s="5" t="n">
        <f aca="false">IFERROR(__xludf.dummyfunction("""COMPUTED_VALUE"""),162.41)</f>
        <v>162.41</v>
      </c>
      <c r="D399" s="5" t="n">
        <f aca="false">IFERROR(__xludf.dummyfunction("""COMPUTED_VALUE"""),159.63)</f>
        <v>159.63</v>
      </c>
      <c r="E399" s="5" t="n">
        <f aca="false">IFERROR(__xludf.dummyfunction("""COMPUTED_VALUE"""),160.01)</f>
        <v>160.01</v>
      </c>
      <c r="F399" s="5" t="n">
        <f aca="false">IFERROR(__xludf.dummyfunction("""COMPUTED_VALUE"""),59907025)</f>
        <v>59907025</v>
      </c>
    </row>
    <row r="400" customFormat="false" ht="15.75" hidden="false" customHeight="false" outlineLevel="0" collapsed="false">
      <c r="A400" s="6" t="n">
        <f aca="false">IFERROR(__xludf.dummyfunction("""COMPUTED_VALUE"""),44776.6666666667)</f>
        <v>44776.6666666667</v>
      </c>
      <c r="B400" s="5" t="n">
        <f aca="false">IFERROR(__xludf.dummyfunction("""COMPUTED_VALUE"""),160.84)</f>
        <v>160.84</v>
      </c>
      <c r="C400" s="5" t="n">
        <f aca="false">IFERROR(__xludf.dummyfunction("""COMPUTED_VALUE"""),166.59)</f>
        <v>166.59</v>
      </c>
      <c r="D400" s="5" t="n">
        <f aca="false">IFERROR(__xludf.dummyfunction("""COMPUTED_VALUE"""),160.75)</f>
        <v>160.75</v>
      </c>
      <c r="E400" s="5" t="n">
        <f aca="false">IFERROR(__xludf.dummyfunction("""COMPUTED_VALUE"""),166.13)</f>
        <v>166.13</v>
      </c>
      <c r="F400" s="5" t="n">
        <f aca="false">IFERROR(__xludf.dummyfunction("""COMPUTED_VALUE"""),82507488)</f>
        <v>82507488</v>
      </c>
    </row>
    <row r="401" customFormat="false" ht="15.75" hidden="false" customHeight="false" outlineLevel="0" collapsed="false">
      <c r="A401" s="6" t="n">
        <f aca="false">IFERROR(__xludf.dummyfunction("""COMPUTED_VALUE"""),44777.6666666667)</f>
        <v>44777.6666666667</v>
      </c>
      <c r="B401" s="5" t="n">
        <f aca="false">IFERROR(__xludf.dummyfunction("""COMPUTED_VALUE"""),166.01)</f>
        <v>166.01</v>
      </c>
      <c r="C401" s="5" t="n">
        <f aca="false">IFERROR(__xludf.dummyfunction("""COMPUTED_VALUE"""),167.19)</f>
        <v>167.19</v>
      </c>
      <c r="D401" s="5" t="n">
        <f aca="false">IFERROR(__xludf.dummyfunction("""COMPUTED_VALUE"""),164.43)</f>
        <v>164.43</v>
      </c>
      <c r="E401" s="5" t="n">
        <f aca="false">IFERROR(__xludf.dummyfunction("""COMPUTED_VALUE"""),165.81)</f>
        <v>165.81</v>
      </c>
      <c r="F401" s="5" t="n">
        <f aca="false">IFERROR(__xludf.dummyfunction("""COMPUTED_VALUE"""),55474144)</f>
        <v>55474144</v>
      </c>
    </row>
    <row r="402" customFormat="false" ht="15.75" hidden="false" customHeight="false" outlineLevel="0" collapsed="false">
      <c r="A402" s="6" t="n">
        <f aca="false">IFERROR(__xludf.dummyfunction("""COMPUTED_VALUE"""),44778.6666666667)</f>
        <v>44778.6666666667</v>
      </c>
      <c r="B402" s="5" t="n">
        <f aca="false">IFERROR(__xludf.dummyfunction("""COMPUTED_VALUE"""),163.21)</f>
        <v>163.21</v>
      </c>
      <c r="C402" s="5" t="n">
        <f aca="false">IFERROR(__xludf.dummyfunction("""COMPUTED_VALUE"""),165.85)</f>
        <v>165.85</v>
      </c>
      <c r="D402" s="5" t="n">
        <f aca="false">IFERROR(__xludf.dummyfunction("""COMPUTED_VALUE"""),163)</f>
        <v>163</v>
      </c>
      <c r="E402" s="5" t="n">
        <f aca="false">IFERROR(__xludf.dummyfunction("""COMPUTED_VALUE"""),165.35)</f>
        <v>165.35</v>
      </c>
      <c r="F402" s="5" t="n">
        <f aca="false">IFERROR(__xludf.dummyfunction("""COMPUTED_VALUE"""),56696985)</f>
        <v>56696985</v>
      </c>
    </row>
    <row r="403" customFormat="false" ht="15.75" hidden="false" customHeight="false" outlineLevel="0" collapsed="false">
      <c r="A403" s="6" t="n">
        <f aca="false">IFERROR(__xludf.dummyfunction("""COMPUTED_VALUE"""),44781.6666666667)</f>
        <v>44781.6666666667</v>
      </c>
      <c r="B403" s="5" t="n">
        <f aca="false">IFERROR(__xludf.dummyfunction("""COMPUTED_VALUE"""),166.37)</f>
        <v>166.37</v>
      </c>
      <c r="C403" s="5" t="n">
        <f aca="false">IFERROR(__xludf.dummyfunction("""COMPUTED_VALUE"""),167.81)</f>
        <v>167.81</v>
      </c>
      <c r="D403" s="5" t="n">
        <f aca="false">IFERROR(__xludf.dummyfunction("""COMPUTED_VALUE"""),164.2)</f>
        <v>164.2</v>
      </c>
      <c r="E403" s="5" t="n">
        <f aca="false">IFERROR(__xludf.dummyfunction("""COMPUTED_VALUE"""),164.87)</f>
        <v>164.87</v>
      </c>
      <c r="F403" s="5" t="n">
        <f aca="false">IFERROR(__xludf.dummyfunction("""COMPUTED_VALUE"""),60362338)</f>
        <v>60362338</v>
      </c>
    </row>
    <row r="404" customFormat="false" ht="15.75" hidden="false" customHeight="false" outlineLevel="0" collapsed="false">
      <c r="A404" s="6" t="n">
        <f aca="false">IFERROR(__xludf.dummyfunction("""COMPUTED_VALUE"""),44782.6666666667)</f>
        <v>44782.6666666667</v>
      </c>
      <c r="B404" s="5" t="n">
        <f aca="false">IFERROR(__xludf.dummyfunction("""COMPUTED_VALUE"""),164.02)</f>
        <v>164.02</v>
      </c>
      <c r="C404" s="5" t="n">
        <f aca="false">IFERROR(__xludf.dummyfunction("""COMPUTED_VALUE"""),165.82)</f>
        <v>165.82</v>
      </c>
      <c r="D404" s="5" t="n">
        <f aca="false">IFERROR(__xludf.dummyfunction("""COMPUTED_VALUE"""),163.25)</f>
        <v>163.25</v>
      </c>
      <c r="E404" s="5" t="n">
        <f aca="false">IFERROR(__xludf.dummyfunction("""COMPUTED_VALUE"""),164.92)</f>
        <v>164.92</v>
      </c>
      <c r="F404" s="5" t="n">
        <f aca="false">IFERROR(__xludf.dummyfunction("""COMPUTED_VALUE"""),63135503)</f>
        <v>63135503</v>
      </c>
    </row>
    <row r="405" customFormat="false" ht="15.75" hidden="false" customHeight="false" outlineLevel="0" collapsed="false">
      <c r="A405" s="6" t="n">
        <f aca="false">IFERROR(__xludf.dummyfunction("""COMPUTED_VALUE"""),44783.6666666667)</f>
        <v>44783.6666666667</v>
      </c>
      <c r="B405" s="5" t="n">
        <f aca="false">IFERROR(__xludf.dummyfunction("""COMPUTED_VALUE"""),167.68)</f>
        <v>167.68</v>
      </c>
      <c r="C405" s="5" t="n">
        <f aca="false">IFERROR(__xludf.dummyfunction("""COMPUTED_VALUE"""),169.34)</f>
        <v>169.34</v>
      </c>
      <c r="D405" s="5" t="n">
        <f aca="false">IFERROR(__xludf.dummyfunction("""COMPUTED_VALUE"""),166.9)</f>
        <v>166.9</v>
      </c>
      <c r="E405" s="5" t="n">
        <f aca="false">IFERROR(__xludf.dummyfunction("""COMPUTED_VALUE"""),169.24)</f>
        <v>169.24</v>
      </c>
      <c r="F405" s="5" t="n">
        <f aca="false">IFERROR(__xludf.dummyfunction("""COMPUTED_VALUE"""),70170540)</f>
        <v>70170540</v>
      </c>
    </row>
    <row r="406" customFormat="false" ht="15.75" hidden="false" customHeight="false" outlineLevel="0" collapsed="false">
      <c r="A406" s="6" t="n">
        <f aca="false">IFERROR(__xludf.dummyfunction("""COMPUTED_VALUE"""),44784.6666666667)</f>
        <v>44784.6666666667</v>
      </c>
      <c r="B406" s="5" t="n">
        <f aca="false">IFERROR(__xludf.dummyfunction("""COMPUTED_VALUE"""),170.06)</f>
        <v>170.06</v>
      </c>
      <c r="C406" s="5" t="n">
        <f aca="false">IFERROR(__xludf.dummyfunction("""COMPUTED_VALUE"""),170.99)</f>
        <v>170.99</v>
      </c>
      <c r="D406" s="5" t="n">
        <f aca="false">IFERROR(__xludf.dummyfunction("""COMPUTED_VALUE"""),168.19)</f>
        <v>168.19</v>
      </c>
      <c r="E406" s="5" t="n">
        <f aca="false">IFERROR(__xludf.dummyfunction("""COMPUTED_VALUE"""),168.49)</f>
        <v>168.49</v>
      </c>
      <c r="F406" s="5" t="n">
        <f aca="false">IFERROR(__xludf.dummyfunction("""COMPUTED_VALUE"""),57149159)</f>
        <v>57149159</v>
      </c>
    </row>
    <row r="407" customFormat="false" ht="15.75" hidden="false" customHeight="false" outlineLevel="0" collapsed="false">
      <c r="A407" s="6" t="n">
        <f aca="false">IFERROR(__xludf.dummyfunction("""COMPUTED_VALUE"""),44785.6666666667)</f>
        <v>44785.6666666667</v>
      </c>
      <c r="B407" s="5" t="n">
        <f aca="false">IFERROR(__xludf.dummyfunction("""COMPUTED_VALUE"""),169.82)</f>
        <v>169.82</v>
      </c>
      <c r="C407" s="5" t="n">
        <f aca="false">IFERROR(__xludf.dummyfunction("""COMPUTED_VALUE"""),172.17)</f>
        <v>172.17</v>
      </c>
      <c r="D407" s="5" t="n">
        <f aca="false">IFERROR(__xludf.dummyfunction("""COMPUTED_VALUE"""),169.4)</f>
        <v>169.4</v>
      </c>
      <c r="E407" s="5" t="n">
        <f aca="false">IFERROR(__xludf.dummyfunction("""COMPUTED_VALUE"""),172.1)</f>
        <v>172.1</v>
      </c>
      <c r="F407" s="5" t="n">
        <f aca="false">IFERROR(__xludf.dummyfunction("""COMPUTED_VALUE"""),68039382)</f>
        <v>68039382</v>
      </c>
    </row>
    <row r="408" customFormat="false" ht="15.75" hidden="false" customHeight="false" outlineLevel="0" collapsed="false">
      <c r="A408" s="6" t="n">
        <f aca="false">IFERROR(__xludf.dummyfunction("""COMPUTED_VALUE"""),44788.6666666667)</f>
        <v>44788.6666666667</v>
      </c>
      <c r="B408" s="5" t="n">
        <f aca="false">IFERROR(__xludf.dummyfunction("""COMPUTED_VALUE"""),171.52)</f>
        <v>171.52</v>
      </c>
      <c r="C408" s="5" t="n">
        <f aca="false">IFERROR(__xludf.dummyfunction("""COMPUTED_VALUE"""),173.39)</f>
        <v>173.39</v>
      </c>
      <c r="D408" s="5" t="n">
        <f aca="false">IFERROR(__xludf.dummyfunction("""COMPUTED_VALUE"""),171.35)</f>
        <v>171.35</v>
      </c>
      <c r="E408" s="5" t="n">
        <f aca="false">IFERROR(__xludf.dummyfunction("""COMPUTED_VALUE"""),173.19)</f>
        <v>173.19</v>
      </c>
      <c r="F408" s="5" t="n">
        <f aca="false">IFERROR(__xludf.dummyfunction("""COMPUTED_VALUE"""),54091694)</f>
        <v>54091694</v>
      </c>
    </row>
    <row r="409" customFormat="false" ht="15.75" hidden="false" customHeight="false" outlineLevel="0" collapsed="false">
      <c r="A409" s="6" t="n">
        <f aca="false">IFERROR(__xludf.dummyfunction("""COMPUTED_VALUE"""),44789.6666666667)</f>
        <v>44789.6666666667</v>
      </c>
      <c r="B409" s="5" t="n">
        <f aca="false">IFERROR(__xludf.dummyfunction("""COMPUTED_VALUE"""),172.78)</f>
        <v>172.78</v>
      </c>
      <c r="C409" s="5" t="n">
        <f aca="false">IFERROR(__xludf.dummyfunction("""COMPUTED_VALUE"""),173.71)</f>
        <v>173.71</v>
      </c>
      <c r="D409" s="5" t="n">
        <f aca="false">IFERROR(__xludf.dummyfunction("""COMPUTED_VALUE"""),171.66)</f>
        <v>171.66</v>
      </c>
      <c r="E409" s="5" t="n">
        <f aca="false">IFERROR(__xludf.dummyfunction("""COMPUTED_VALUE"""),173.03)</f>
        <v>173.03</v>
      </c>
      <c r="F409" s="5" t="n">
        <f aca="false">IFERROR(__xludf.dummyfunction("""COMPUTED_VALUE"""),56377050)</f>
        <v>56377050</v>
      </c>
    </row>
    <row r="410" customFormat="false" ht="15.75" hidden="false" customHeight="false" outlineLevel="0" collapsed="false">
      <c r="A410" s="6" t="n">
        <f aca="false">IFERROR(__xludf.dummyfunction("""COMPUTED_VALUE"""),44790.6666666667)</f>
        <v>44790.6666666667</v>
      </c>
      <c r="B410" s="5" t="n">
        <f aca="false">IFERROR(__xludf.dummyfunction("""COMPUTED_VALUE"""),172.77)</f>
        <v>172.77</v>
      </c>
      <c r="C410" s="5" t="n">
        <f aca="false">IFERROR(__xludf.dummyfunction("""COMPUTED_VALUE"""),176.15)</f>
        <v>176.15</v>
      </c>
      <c r="D410" s="5" t="n">
        <f aca="false">IFERROR(__xludf.dummyfunction("""COMPUTED_VALUE"""),172.57)</f>
        <v>172.57</v>
      </c>
      <c r="E410" s="5" t="n">
        <f aca="false">IFERROR(__xludf.dummyfunction("""COMPUTED_VALUE"""),174.55)</f>
        <v>174.55</v>
      </c>
      <c r="F410" s="5" t="n">
        <f aca="false">IFERROR(__xludf.dummyfunction("""COMPUTED_VALUE"""),79542037)</f>
        <v>79542037</v>
      </c>
    </row>
    <row r="411" customFormat="false" ht="15.75" hidden="false" customHeight="false" outlineLevel="0" collapsed="false">
      <c r="A411" s="6" t="n">
        <f aca="false">IFERROR(__xludf.dummyfunction("""COMPUTED_VALUE"""),44791.6666666667)</f>
        <v>44791.6666666667</v>
      </c>
      <c r="B411" s="5" t="n">
        <f aca="false">IFERROR(__xludf.dummyfunction("""COMPUTED_VALUE"""),173.75)</f>
        <v>173.75</v>
      </c>
      <c r="C411" s="5" t="n">
        <f aca="false">IFERROR(__xludf.dummyfunction("""COMPUTED_VALUE"""),174.9)</f>
        <v>174.9</v>
      </c>
      <c r="D411" s="5" t="n">
        <f aca="false">IFERROR(__xludf.dummyfunction("""COMPUTED_VALUE"""),173.12)</f>
        <v>173.12</v>
      </c>
      <c r="E411" s="5" t="n">
        <f aca="false">IFERROR(__xludf.dummyfunction("""COMPUTED_VALUE"""),174.15)</f>
        <v>174.15</v>
      </c>
      <c r="F411" s="5" t="n">
        <f aca="false">IFERROR(__xludf.dummyfunction("""COMPUTED_VALUE"""),62290075)</f>
        <v>62290075</v>
      </c>
    </row>
    <row r="412" customFormat="false" ht="15.75" hidden="false" customHeight="false" outlineLevel="0" collapsed="false">
      <c r="A412" s="6" t="n">
        <f aca="false">IFERROR(__xludf.dummyfunction("""COMPUTED_VALUE"""),44792.6666666667)</f>
        <v>44792.6666666667</v>
      </c>
      <c r="B412" s="5" t="n">
        <f aca="false">IFERROR(__xludf.dummyfunction("""COMPUTED_VALUE"""),173.03)</f>
        <v>173.03</v>
      </c>
      <c r="C412" s="5" t="n">
        <f aca="false">IFERROR(__xludf.dummyfunction("""COMPUTED_VALUE"""),173.74)</f>
        <v>173.74</v>
      </c>
      <c r="D412" s="5" t="n">
        <f aca="false">IFERROR(__xludf.dummyfunction("""COMPUTED_VALUE"""),171.31)</f>
        <v>171.31</v>
      </c>
      <c r="E412" s="5" t="n">
        <f aca="false">IFERROR(__xludf.dummyfunction("""COMPUTED_VALUE"""),171.52)</f>
        <v>171.52</v>
      </c>
      <c r="F412" s="5" t="n">
        <f aca="false">IFERROR(__xludf.dummyfunction("""COMPUTED_VALUE"""),70346295)</f>
        <v>70346295</v>
      </c>
    </row>
    <row r="413" customFormat="false" ht="15.75" hidden="false" customHeight="false" outlineLevel="0" collapsed="false">
      <c r="A413" s="6" t="n">
        <f aca="false">IFERROR(__xludf.dummyfunction("""COMPUTED_VALUE"""),44795.6666666667)</f>
        <v>44795.6666666667</v>
      </c>
      <c r="B413" s="5" t="n">
        <f aca="false">IFERROR(__xludf.dummyfunction("""COMPUTED_VALUE"""),169.69)</f>
        <v>169.69</v>
      </c>
      <c r="C413" s="5" t="n">
        <f aca="false">IFERROR(__xludf.dummyfunction("""COMPUTED_VALUE"""),169.86)</f>
        <v>169.86</v>
      </c>
      <c r="D413" s="5" t="n">
        <f aca="false">IFERROR(__xludf.dummyfunction("""COMPUTED_VALUE"""),167.14)</f>
        <v>167.14</v>
      </c>
      <c r="E413" s="5" t="n">
        <f aca="false">IFERROR(__xludf.dummyfunction("""COMPUTED_VALUE"""),167.57)</f>
        <v>167.57</v>
      </c>
      <c r="F413" s="5" t="n">
        <f aca="false">IFERROR(__xludf.dummyfunction("""COMPUTED_VALUE"""),69026809)</f>
        <v>69026809</v>
      </c>
    </row>
    <row r="414" customFormat="false" ht="15.75" hidden="false" customHeight="false" outlineLevel="0" collapsed="false">
      <c r="A414" s="6" t="n">
        <f aca="false">IFERROR(__xludf.dummyfunction("""COMPUTED_VALUE"""),44796.6666666667)</f>
        <v>44796.6666666667</v>
      </c>
      <c r="B414" s="5" t="n">
        <f aca="false">IFERROR(__xludf.dummyfunction("""COMPUTED_VALUE"""),167.08)</f>
        <v>167.08</v>
      </c>
      <c r="C414" s="5" t="n">
        <f aca="false">IFERROR(__xludf.dummyfunction("""COMPUTED_VALUE"""),168.71)</f>
        <v>168.71</v>
      </c>
      <c r="D414" s="5" t="n">
        <f aca="false">IFERROR(__xludf.dummyfunction("""COMPUTED_VALUE"""),166.65)</f>
        <v>166.65</v>
      </c>
      <c r="E414" s="5" t="n">
        <f aca="false">IFERROR(__xludf.dummyfunction("""COMPUTED_VALUE"""),167.23)</f>
        <v>167.23</v>
      </c>
      <c r="F414" s="5" t="n">
        <f aca="false">IFERROR(__xludf.dummyfunction("""COMPUTED_VALUE"""),54147079)</f>
        <v>54147079</v>
      </c>
    </row>
    <row r="415" customFormat="false" ht="15.75" hidden="false" customHeight="false" outlineLevel="0" collapsed="false">
      <c r="A415" s="6" t="n">
        <f aca="false">IFERROR(__xludf.dummyfunction("""COMPUTED_VALUE"""),44797.6666666667)</f>
        <v>44797.6666666667</v>
      </c>
      <c r="B415" s="5" t="n">
        <f aca="false">IFERROR(__xludf.dummyfunction("""COMPUTED_VALUE"""),167.32)</f>
        <v>167.32</v>
      </c>
      <c r="C415" s="5" t="n">
        <f aca="false">IFERROR(__xludf.dummyfunction("""COMPUTED_VALUE"""),168.11)</f>
        <v>168.11</v>
      </c>
      <c r="D415" s="5" t="n">
        <f aca="false">IFERROR(__xludf.dummyfunction("""COMPUTED_VALUE"""),166.25)</f>
        <v>166.25</v>
      </c>
      <c r="E415" s="5" t="n">
        <f aca="false">IFERROR(__xludf.dummyfunction("""COMPUTED_VALUE"""),167.53)</f>
        <v>167.53</v>
      </c>
      <c r="F415" s="5" t="n">
        <f aca="false">IFERROR(__xludf.dummyfunction("""COMPUTED_VALUE"""),53841524)</f>
        <v>53841524</v>
      </c>
    </row>
    <row r="416" customFormat="false" ht="15.75" hidden="false" customHeight="false" outlineLevel="0" collapsed="false">
      <c r="A416" s="6" t="n">
        <f aca="false">IFERROR(__xludf.dummyfunction("""COMPUTED_VALUE"""),44798.6666666667)</f>
        <v>44798.6666666667</v>
      </c>
      <c r="B416" s="5" t="n">
        <f aca="false">IFERROR(__xludf.dummyfunction("""COMPUTED_VALUE"""),168.78)</f>
        <v>168.78</v>
      </c>
      <c r="C416" s="5" t="n">
        <f aca="false">IFERROR(__xludf.dummyfunction("""COMPUTED_VALUE"""),170.14)</f>
        <v>170.14</v>
      </c>
      <c r="D416" s="5" t="n">
        <f aca="false">IFERROR(__xludf.dummyfunction("""COMPUTED_VALUE"""),168.35)</f>
        <v>168.35</v>
      </c>
      <c r="E416" s="5" t="n">
        <f aca="false">IFERROR(__xludf.dummyfunction("""COMPUTED_VALUE"""),170.03)</f>
        <v>170.03</v>
      </c>
      <c r="F416" s="5" t="n">
        <f aca="false">IFERROR(__xludf.dummyfunction("""COMPUTED_VALUE"""),51218209)</f>
        <v>51218209</v>
      </c>
    </row>
    <row r="417" customFormat="false" ht="15.75" hidden="false" customHeight="false" outlineLevel="0" collapsed="false">
      <c r="A417" s="6" t="n">
        <f aca="false">IFERROR(__xludf.dummyfunction("""COMPUTED_VALUE"""),44799.6666666667)</f>
        <v>44799.6666666667</v>
      </c>
      <c r="B417" s="5" t="n">
        <f aca="false">IFERROR(__xludf.dummyfunction("""COMPUTED_VALUE"""),170.57)</f>
        <v>170.57</v>
      </c>
      <c r="C417" s="5" t="n">
        <f aca="false">IFERROR(__xludf.dummyfunction("""COMPUTED_VALUE"""),171.05)</f>
        <v>171.05</v>
      </c>
      <c r="D417" s="5" t="n">
        <f aca="false">IFERROR(__xludf.dummyfunction("""COMPUTED_VALUE"""),163.56)</f>
        <v>163.56</v>
      </c>
      <c r="E417" s="5" t="n">
        <f aca="false">IFERROR(__xludf.dummyfunction("""COMPUTED_VALUE"""),163.62)</f>
        <v>163.62</v>
      </c>
      <c r="F417" s="5" t="n">
        <f aca="false">IFERROR(__xludf.dummyfunction("""COMPUTED_VALUE"""),78960980)</f>
        <v>78960980</v>
      </c>
    </row>
    <row r="418" customFormat="false" ht="15.75" hidden="false" customHeight="false" outlineLevel="0" collapsed="false">
      <c r="A418" s="6" t="n">
        <f aca="false">IFERROR(__xludf.dummyfunction("""COMPUTED_VALUE"""),44802.6666666667)</f>
        <v>44802.6666666667</v>
      </c>
      <c r="B418" s="5" t="n">
        <f aca="false">IFERROR(__xludf.dummyfunction("""COMPUTED_VALUE"""),161.15)</f>
        <v>161.15</v>
      </c>
      <c r="C418" s="5" t="n">
        <f aca="false">IFERROR(__xludf.dummyfunction("""COMPUTED_VALUE"""),162.9)</f>
        <v>162.9</v>
      </c>
      <c r="D418" s="5" t="n">
        <f aca="false">IFERROR(__xludf.dummyfunction("""COMPUTED_VALUE"""),159.82)</f>
        <v>159.82</v>
      </c>
      <c r="E418" s="5" t="n">
        <f aca="false">IFERROR(__xludf.dummyfunction("""COMPUTED_VALUE"""),161.38)</f>
        <v>161.38</v>
      </c>
      <c r="F418" s="5" t="n">
        <f aca="false">IFERROR(__xludf.dummyfunction("""COMPUTED_VALUE"""),73313953)</f>
        <v>73313953</v>
      </c>
    </row>
    <row r="419" customFormat="false" ht="15.75" hidden="false" customHeight="false" outlineLevel="0" collapsed="false">
      <c r="A419" s="6" t="n">
        <f aca="false">IFERROR(__xludf.dummyfunction("""COMPUTED_VALUE"""),44803.6666666667)</f>
        <v>44803.6666666667</v>
      </c>
      <c r="B419" s="5" t="n">
        <f aca="false">IFERROR(__xludf.dummyfunction("""COMPUTED_VALUE"""),162.13)</f>
        <v>162.13</v>
      </c>
      <c r="C419" s="5" t="n">
        <f aca="false">IFERROR(__xludf.dummyfunction("""COMPUTED_VALUE"""),162.56)</f>
        <v>162.56</v>
      </c>
      <c r="D419" s="5" t="n">
        <f aca="false">IFERROR(__xludf.dummyfunction("""COMPUTED_VALUE"""),157.72)</f>
        <v>157.72</v>
      </c>
      <c r="E419" s="5" t="n">
        <f aca="false">IFERROR(__xludf.dummyfunction("""COMPUTED_VALUE"""),158.91)</f>
        <v>158.91</v>
      </c>
      <c r="F419" s="5" t="n">
        <f aca="false">IFERROR(__xludf.dummyfunction("""COMPUTED_VALUE"""),77906197)</f>
        <v>77906197</v>
      </c>
    </row>
    <row r="420" customFormat="false" ht="15.75" hidden="false" customHeight="false" outlineLevel="0" collapsed="false">
      <c r="A420" s="6" t="n">
        <f aca="false">IFERROR(__xludf.dummyfunction("""COMPUTED_VALUE"""),44804.6666666667)</f>
        <v>44804.6666666667</v>
      </c>
      <c r="B420" s="5" t="n">
        <f aca="false">IFERROR(__xludf.dummyfunction("""COMPUTED_VALUE"""),160.31)</f>
        <v>160.31</v>
      </c>
      <c r="C420" s="5" t="n">
        <f aca="false">IFERROR(__xludf.dummyfunction("""COMPUTED_VALUE"""),160.58)</f>
        <v>160.58</v>
      </c>
      <c r="D420" s="5" t="n">
        <f aca="false">IFERROR(__xludf.dummyfunction("""COMPUTED_VALUE"""),157.14)</f>
        <v>157.14</v>
      </c>
      <c r="E420" s="5" t="n">
        <f aca="false">IFERROR(__xludf.dummyfunction("""COMPUTED_VALUE"""),157.22)</f>
        <v>157.22</v>
      </c>
      <c r="F420" s="5" t="n">
        <f aca="false">IFERROR(__xludf.dummyfunction("""COMPUTED_VALUE"""),87991091)</f>
        <v>87991091</v>
      </c>
    </row>
    <row r="421" customFormat="false" ht="15.75" hidden="false" customHeight="false" outlineLevel="0" collapsed="false">
      <c r="A421" s="6" t="n">
        <f aca="false">IFERROR(__xludf.dummyfunction("""COMPUTED_VALUE"""),44805.6666666667)</f>
        <v>44805.6666666667</v>
      </c>
      <c r="B421" s="5" t="n">
        <f aca="false">IFERROR(__xludf.dummyfunction("""COMPUTED_VALUE"""),156.64)</f>
        <v>156.64</v>
      </c>
      <c r="C421" s="5" t="n">
        <f aca="false">IFERROR(__xludf.dummyfunction("""COMPUTED_VALUE"""),158.42)</f>
        <v>158.42</v>
      </c>
      <c r="D421" s="5" t="n">
        <f aca="false">IFERROR(__xludf.dummyfunction("""COMPUTED_VALUE"""),154.67)</f>
        <v>154.67</v>
      </c>
      <c r="E421" s="5" t="n">
        <f aca="false">IFERROR(__xludf.dummyfunction("""COMPUTED_VALUE"""),157.96)</f>
        <v>157.96</v>
      </c>
      <c r="F421" s="5" t="n">
        <f aca="false">IFERROR(__xludf.dummyfunction("""COMPUTED_VALUE"""),74229896)</f>
        <v>74229896</v>
      </c>
    </row>
    <row r="422" customFormat="false" ht="15.75" hidden="false" customHeight="false" outlineLevel="0" collapsed="false">
      <c r="A422" s="6" t="n">
        <f aca="false">IFERROR(__xludf.dummyfunction("""COMPUTED_VALUE"""),44806.6666666667)</f>
        <v>44806.6666666667</v>
      </c>
      <c r="B422" s="5" t="n">
        <f aca="false">IFERROR(__xludf.dummyfunction("""COMPUTED_VALUE"""),159.75)</f>
        <v>159.75</v>
      </c>
      <c r="C422" s="5" t="n">
        <f aca="false">IFERROR(__xludf.dummyfunction("""COMPUTED_VALUE"""),160.36)</f>
        <v>160.36</v>
      </c>
      <c r="D422" s="5" t="n">
        <f aca="false">IFERROR(__xludf.dummyfunction("""COMPUTED_VALUE"""),154.97)</f>
        <v>154.97</v>
      </c>
      <c r="E422" s="5" t="n">
        <f aca="false">IFERROR(__xludf.dummyfunction("""COMPUTED_VALUE"""),155.81)</f>
        <v>155.81</v>
      </c>
      <c r="F422" s="5" t="n">
        <f aca="false">IFERROR(__xludf.dummyfunction("""COMPUTED_VALUE"""),76957768)</f>
        <v>76957768</v>
      </c>
    </row>
    <row r="423" customFormat="false" ht="15.75" hidden="false" customHeight="false" outlineLevel="0" collapsed="false">
      <c r="A423" s="6" t="n">
        <f aca="false">IFERROR(__xludf.dummyfunction("""COMPUTED_VALUE"""),44810.6666666667)</f>
        <v>44810.6666666667</v>
      </c>
      <c r="B423" s="5" t="n">
        <f aca="false">IFERROR(__xludf.dummyfunction("""COMPUTED_VALUE"""),156.47)</f>
        <v>156.47</v>
      </c>
      <c r="C423" s="5" t="n">
        <f aca="false">IFERROR(__xludf.dummyfunction("""COMPUTED_VALUE"""),157.09)</f>
        <v>157.09</v>
      </c>
      <c r="D423" s="5" t="n">
        <f aca="false">IFERROR(__xludf.dummyfunction("""COMPUTED_VALUE"""),153.69)</f>
        <v>153.69</v>
      </c>
      <c r="E423" s="5" t="n">
        <f aca="false">IFERROR(__xludf.dummyfunction("""COMPUTED_VALUE"""),154.53)</f>
        <v>154.53</v>
      </c>
      <c r="F423" s="5" t="n">
        <f aca="false">IFERROR(__xludf.dummyfunction("""COMPUTED_VALUE"""),73714843)</f>
        <v>73714843</v>
      </c>
    </row>
    <row r="424" customFormat="false" ht="15.75" hidden="false" customHeight="false" outlineLevel="0" collapsed="false">
      <c r="A424" s="6" t="n">
        <f aca="false">IFERROR(__xludf.dummyfunction("""COMPUTED_VALUE"""),44811.6666666667)</f>
        <v>44811.6666666667</v>
      </c>
      <c r="B424" s="5" t="n">
        <f aca="false">IFERROR(__xludf.dummyfunction("""COMPUTED_VALUE"""),154.82)</f>
        <v>154.82</v>
      </c>
      <c r="C424" s="5" t="n">
        <f aca="false">IFERROR(__xludf.dummyfunction("""COMPUTED_VALUE"""),156.67)</f>
        <v>156.67</v>
      </c>
      <c r="D424" s="5" t="n">
        <f aca="false">IFERROR(__xludf.dummyfunction("""COMPUTED_VALUE"""),153.61)</f>
        <v>153.61</v>
      </c>
      <c r="E424" s="5" t="n">
        <f aca="false">IFERROR(__xludf.dummyfunction("""COMPUTED_VALUE"""),155.96)</f>
        <v>155.96</v>
      </c>
      <c r="F424" s="5" t="n">
        <f aca="false">IFERROR(__xludf.dummyfunction("""COMPUTED_VALUE"""),87449574)</f>
        <v>87449574</v>
      </c>
    </row>
    <row r="425" customFormat="false" ht="15.75" hidden="false" customHeight="false" outlineLevel="0" collapsed="false">
      <c r="A425" s="6" t="n">
        <f aca="false">IFERROR(__xludf.dummyfunction("""COMPUTED_VALUE"""),44812.6666666667)</f>
        <v>44812.6666666667</v>
      </c>
      <c r="B425" s="5" t="n">
        <f aca="false">IFERROR(__xludf.dummyfunction("""COMPUTED_VALUE"""),154.64)</f>
        <v>154.64</v>
      </c>
      <c r="C425" s="5" t="n">
        <f aca="false">IFERROR(__xludf.dummyfunction("""COMPUTED_VALUE"""),156.36)</f>
        <v>156.36</v>
      </c>
      <c r="D425" s="5" t="n">
        <f aca="false">IFERROR(__xludf.dummyfunction("""COMPUTED_VALUE"""),152.68)</f>
        <v>152.68</v>
      </c>
      <c r="E425" s="5" t="n">
        <f aca="false">IFERROR(__xludf.dummyfunction("""COMPUTED_VALUE"""),154.46)</f>
        <v>154.46</v>
      </c>
      <c r="F425" s="5" t="n">
        <f aca="false">IFERROR(__xludf.dummyfunction("""COMPUTED_VALUE"""),84923847)</f>
        <v>84923847</v>
      </c>
    </row>
    <row r="426" customFormat="false" ht="15.75" hidden="false" customHeight="false" outlineLevel="0" collapsed="false">
      <c r="A426" s="6" t="n">
        <f aca="false">IFERROR(__xludf.dummyfunction("""COMPUTED_VALUE"""),44813.6666666667)</f>
        <v>44813.6666666667</v>
      </c>
      <c r="B426" s="5" t="n">
        <f aca="false">IFERROR(__xludf.dummyfunction("""COMPUTED_VALUE"""),155.47)</f>
        <v>155.47</v>
      </c>
      <c r="C426" s="5" t="n">
        <f aca="false">IFERROR(__xludf.dummyfunction("""COMPUTED_VALUE"""),157.82)</f>
        <v>157.82</v>
      </c>
      <c r="D426" s="5" t="n">
        <f aca="false">IFERROR(__xludf.dummyfunction("""COMPUTED_VALUE"""),154.75)</f>
        <v>154.75</v>
      </c>
      <c r="E426" s="5" t="n">
        <f aca="false">IFERROR(__xludf.dummyfunction("""COMPUTED_VALUE"""),157.37)</f>
        <v>157.37</v>
      </c>
      <c r="F426" s="5" t="n">
        <f aca="false">IFERROR(__xludf.dummyfunction("""COMPUTED_VALUE"""),68081006)</f>
        <v>68081006</v>
      </c>
    </row>
    <row r="427" customFormat="false" ht="15.75" hidden="false" customHeight="false" outlineLevel="0" collapsed="false">
      <c r="A427" s="6" t="n">
        <f aca="false">IFERROR(__xludf.dummyfunction("""COMPUTED_VALUE"""),44816.6666666667)</f>
        <v>44816.6666666667</v>
      </c>
      <c r="B427" s="5" t="n">
        <f aca="false">IFERROR(__xludf.dummyfunction("""COMPUTED_VALUE"""),159.59)</f>
        <v>159.59</v>
      </c>
      <c r="C427" s="5" t="n">
        <f aca="false">IFERROR(__xludf.dummyfunction("""COMPUTED_VALUE"""),164.26)</f>
        <v>164.26</v>
      </c>
      <c r="D427" s="5" t="n">
        <f aca="false">IFERROR(__xludf.dummyfunction("""COMPUTED_VALUE"""),159.3)</f>
        <v>159.3</v>
      </c>
      <c r="E427" s="5" t="n">
        <f aca="false">IFERROR(__xludf.dummyfunction("""COMPUTED_VALUE"""),163.43)</f>
        <v>163.43</v>
      </c>
      <c r="F427" s="5" t="n">
        <f aca="false">IFERROR(__xludf.dummyfunction("""COMPUTED_VALUE"""),104955962)</f>
        <v>104955962</v>
      </c>
    </row>
    <row r="428" customFormat="false" ht="15.75" hidden="false" customHeight="false" outlineLevel="0" collapsed="false">
      <c r="A428" s="6" t="n">
        <f aca="false">IFERROR(__xludf.dummyfunction("""COMPUTED_VALUE"""),44817.6666666667)</f>
        <v>44817.6666666667</v>
      </c>
      <c r="B428" s="5" t="n">
        <f aca="false">IFERROR(__xludf.dummyfunction("""COMPUTED_VALUE"""),159.9)</f>
        <v>159.9</v>
      </c>
      <c r="C428" s="5" t="n">
        <f aca="false">IFERROR(__xludf.dummyfunction("""COMPUTED_VALUE"""),160.54)</f>
        <v>160.54</v>
      </c>
      <c r="D428" s="5" t="n">
        <f aca="false">IFERROR(__xludf.dummyfunction("""COMPUTED_VALUE"""),153.37)</f>
        <v>153.37</v>
      </c>
      <c r="E428" s="5" t="n">
        <f aca="false">IFERROR(__xludf.dummyfunction("""COMPUTED_VALUE"""),153.84)</f>
        <v>153.84</v>
      </c>
      <c r="F428" s="5" t="n">
        <f aca="false">IFERROR(__xludf.dummyfunction("""COMPUTED_VALUE"""),122656614)</f>
        <v>122656614</v>
      </c>
    </row>
    <row r="429" customFormat="false" ht="15.75" hidden="false" customHeight="false" outlineLevel="0" collapsed="false">
      <c r="A429" s="6" t="n">
        <f aca="false">IFERROR(__xludf.dummyfunction("""COMPUTED_VALUE"""),44818.6666666667)</f>
        <v>44818.6666666667</v>
      </c>
      <c r="B429" s="5" t="n">
        <f aca="false">IFERROR(__xludf.dummyfunction("""COMPUTED_VALUE"""),154.79)</f>
        <v>154.79</v>
      </c>
      <c r="C429" s="5" t="n">
        <f aca="false">IFERROR(__xludf.dummyfunction("""COMPUTED_VALUE"""),157.1)</f>
        <v>157.1</v>
      </c>
      <c r="D429" s="5" t="n">
        <f aca="false">IFERROR(__xludf.dummyfunction("""COMPUTED_VALUE"""),153.61)</f>
        <v>153.61</v>
      </c>
      <c r="E429" s="5" t="n">
        <f aca="false">IFERROR(__xludf.dummyfunction("""COMPUTED_VALUE"""),155.31)</f>
        <v>155.31</v>
      </c>
      <c r="F429" s="5" t="n">
        <f aca="false">IFERROR(__xludf.dummyfunction("""COMPUTED_VALUE"""),87965409)</f>
        <v>87965409</v>
      </c>
    </row>
    <row r="430" customFormat="false" ht="15.75" hidden="false" customHeight="false" outlineLevel="0" collapsed="false">
      <c r="A430" s="6" t="n">
        <f aca="false">IFERROR(__xludf.dummyfunction("""COMPUTED_VALUE"""),44819.6666666667)</f>
        <v>44819.6666666667</v>
      </c>
      <c r="B430" s="5" t="n">
        <f aca="false">IFERROR(__xludf.dummyfunction("""COMPUTED_VALUE"""),154.65)</f>
        <v>154.65</v>
      </c>
      <c r="C430" s="5" t="n">
        <f aca="false">IFERROR(__xludf.dummyfunction("""COMPUTED_VALUE"""),155.24)</f>
        <v>155.24</v>
      </c>
      <c r="D430" s="5" t="n">
        <f aca="false">IFERROR(__xludf.dummyfunction("""COMPUTED_VALUE"""),151.38)</f>
        <v>151.38</v>
      </c>
      <c r="E430" s="5" t="n">
        <f aca="false">IFERROR(__xludf.dummyfunction("""COMPUTED_VALUE"""),152.37)</f>
        <v>152.37</v>
      </c>
      <c r="F430" s="5" t="n">
        <f aca="false">IFERROR(__xludf.dummyfunction("""COMPUTED_VALUE"""),90481110)</f>
        <v>90481110</v>
      </c>
    </row>
    <row r="431" customFormat="false" ht="15.75" hidden="false" customHeight="false" outlineLevel="0" collapsed="false">
      <c r="A431" s="6" t="n">
        <f aca="false">IFERROR(__xludf.dummyfunction("""COMPUTED_VALUE"""),44820.6666666667)</f>
        <v>44820.6666666667</v>
      </c>
      <c r="B431" s="5" t="n">
        <f aca="false">IFERROR(__xludf.dummyfunction("""COMPUTED_VALUE"""),151.21)</f>
        <v>151.21</v>
      </c>
      <c r="C431" s="5" t="n">
        <f aca="false">IFERROR(__xludf.dummyfunction("""COMPUTED_VALUE"""),151.35)</f>
        <v>151.35</v>
      </c>
      <c r="D431" s="5" t="n">
        <f aca="false">IFERROR(__xludf.dummyfunction("""COMPUTED_VALUE"""),148.37)</f>
        <v>148.37</v>
      </c>
      <c r="E431" s="5" t="n">
        <f aca="false">IFERROR(__xludf.dummyfunction("""COMPUTED_VALUE"""),150.7)</f>
        <v>150.7</v>
      </c>
      <c r="F431" s="5" t="n">
        <f aca="false">IFERROR(__xludf.dummyfunction("""COMPUTED_VALUE"""),162278841)</f>
        <v>162278841</v>
      </c>
    </row>
    <row r="432" customFormat="false" ht="15.75" hidden="false" customHeight="false" outlineLevel="0" collapsed="false">
      <c r="A432" s="6" t="n">
        <f aca="false">IFERROR(__xludf.dummyfunction("""COMPUTED_VALUE"""),44823.6666666667)</f>
        <v>44823.6666666667</v>
      </c>
      <c r="B432" s="5" t="n">
        <f aca="false">IFERROR(__xludf.dummyfunction("""COMPUTED_VALUE"""),149.31)</f>
        <v>149.31</v>
      </c>
      <c r="C432" s="5" t="n">
        <f aca="false">IFERROR(__xludf.dummyfunction("""COMPUTED_VALUE"""),154.56)</f>
        <v>154.56</v>
      </c>
      <c r="D432" s="5" t="n">
        <f aca="false">IFERROR(__xludf.dummyfunction("""COMPUTED_VALUE"""),149.1)</f>
        <v>149.1</v>
      </c>
      <c r="E432" s="5" t="n">
        <f aca="false">IFERROR(__xludf.dummyfunction("""COMPUTED_VALUE"""),154.48)</f>
        <v>154.48</v>
      </c>
      <c r="F432" s="5" t="n">
        <f aca="false">IFERROR(__xludf.dummyfunction("""COMPUTED_VALUE"""),81474246)</f>
        <v>81474246</v>
      </c>
    </row>
    <row r="433" customFormat="false" ht="15.75" hidden="false" customHeight="false" outlineLevel="0" collapsed="false">
      <c r="A433" s="6" t="n">
        <f aca="false">IFERROR(__xludf.dummyfunction("""COMPUTED_VALUE"""),44824.6666666667)</f>
        <v>44824.6666666667</v>
      </c>
      <c r="B433" s="5" t="n">
        <f aca="false">IFERROR(__xludf.dummyfunction("""COMPUTED_VALUE"""),153.4)</f>
        <v>153.4</v>
      </c>
      <c r="C433" s="5" t="n">
        <f aca="false">IFERROR(__xludf.dummyfunction("""COMPUTED_VALUE"""),158.08)</f>
        <v>158.08</v>
      </c>
      <c r="D433" s="5" t="n">
        <f aca="false">IFERROR(__xludf.dummyfunction("""COMPUTED_VALUE"""),153.08)</f>
        <v>153.08</v>
      </c>
      <c r="E433" s="5" t="n">
        <f aca="false">IFERROR(__xludf.dummyfunction("""COMPUTED_VALUE"""),156.9)</f>
        <v>156.9</v>
      </c>
      <c r="F433" s="5" t="n">
        <f aca="false">IFERROR(__xludf.dummyfunction("""COMPUTED_VALUE"""),107689796)</f>
        <v>107689796</v>
      </c>
    </row>
    <row r="434" customFormat="false" ht="15.75" hidden="false" customHeight="false" outlineLevel="0" collapsed="false">
      <c r="A434" s="6" t="n">
        <f aca="false">IFERROR(__xludf.dummyfunction("""COMPUTED_VALUE"""),44825.6666666667)</f>
        <v>44825.6666666667</v>
      </c>
      <c r="B434" s="5" t="n">
        <f aca="false">IFERROR(__xludf.dummyfunction("""COMPUTED_VALUE"""),157.34)</f>
        <v>157.34</v>
      </c>
      <c r="C434" s="5" t="n">
        <f aca="false">IFERROR(__xludf.dummyfunction("""COMPUTED_VALUE"""),158.74)</f>
        <v>158.74</v>
      </c>
      <c r="D434" s="5" t="n">
        <f aca="false">IFERROR(__xludf.dummyfunction("""COMPUTED_VALUE"""),153.6)</f>
        <v>153.6</v>
      </c>
      <c r="E434" s="5" t="n">
        <f aca="false">IFERROR(__xludf.dummyfunction("""COMPUTED_VALUE"""),153.72)</f>
        <v>153.72</v>
      </c>
      <c r="F434" s="5" t="n">
        <f aca="false">IFERROR(__xludf.dummyfunction("""COMPUTED_VALUE"""),101696790)</f>
        <v>101696790</v>
      </c>
    </row>
    <row r="435" customFormat="false" ht="15.75" hidden="false" customHeight="false" outlineLevel="0" collapsed="false">
      <c r="A435" s="6" t="n">
        <f aca="false">IFERROR(__xludf.dummyfunction("""COMPUTED_VALUE"""),44826.6666666667)</f>
        <v>44826.6666666667</v>
      </c>
      <c r="B435" s="5" t="n">
        <f aca="false">IFERROR(__xludf.dummyfunction("""COMPUTED_VALUE"""),152.38)</f>
        <v>152.38</v>
      </c>
      <c r="C435" s="5" t="n">
        <f aca="false">IFERROR(__xludf.dummyfunction("""COMPUTED_VALUE"""),154.47)</f>
        <v>154.47</v>
      </c>
      <c r="D435" s="5" t="n">
        <f aca="false">IFERROR(__xludf.dummyfunction("""COMPUTED_VALUE"""),150.91)</f>
        <v>150.91</v>
      </c>
      <c r="E435" s="5" t="n">
        <f aca="false">IFERROR(__xludf.dummyfunction("""COMPUTED_VALUE"""),152.74)</f>
        <v>152.74</v>
      </c>
      <c r="F435" s="5" t="n">
        <f aca="false">IFERROR(__xludf.dummyfunction("""COMPUTED_VALUE"""),86652542)</f>
        <v>86652542</v>
      </c>
    </row>
    <row r="436" customFormat="false" ht="15.75" hidden="false" customHeight="false" outlineLevel="0" collapsed="false">
      <c r="A436" s="6" t="n">
        <f aca="false">IFERROR(__xludf.dummyfunction("""COMPUTED_VALUE"""),44827.6666666667)</f>
        <v>44827.6666666667</v>
      </c>
      <c r="B436" s="5" t="n">
        <f aca="false">IFERROR(__xludf.dummyfunction("""COMPUTED_VALUE"""),151.19)</f>
        <v>151.19</v>
      </c>
      <c r="C436" s="5" t="n">
        <f aca="false">IFERROR(__xludf.dummyfunction("""COMPUTED_VALUE"""),151.47)</f>
        <v>151.47</v>
      </c>
      <c r="D436" s="5" t="n">
        <f aca="false">IFERROR(__xludf.dummyfunction("""COMPUTED_VALUE"""),148.56)</f>
        <v>148.56</v>
      </c>
      <c r="E436" s="5" t="n">
        <f aca="false">IFERROR(__xludf.dummyfunction("""COMPUTED_VALUE"""),150.43)</f>
        <v>150.43</v>
      </c>
      <c r="F436" s="5" t="n">
        <f aca="false">IFERROR(__xludf.dummyfunction("""COMPUTED_VALUE"""),96029909)</f>
        <v>96029909</v>
      </c>
    </row>
    <row r="437" customFormat="false" ht="15.75" hidden="false" customHeight="false" outlineLevel="0" collapsed="false">
      <c r="A437" s="6" t="n">
        <f aca="false">IFERROR(__xludf.dummyfunction("""COMPUTED_VALUE"""),44830.6666666667)</f>
        <v>44830.6666666667</v>
      </c>
      <c r="B437" s="5" t="n">
        <f aca="false">IFERROR(__xludf.dummyfunction("""COMPUTED_VALUE"""),149.66)</f>
        <v>149.66</v>
      </c>
      <c r="C437" s="5" t="n">
        <f aca="false">IFERROR(__xludf.dummyfunction("""COMPUTED_VALUE"""),153.77)</f>
        <v>153.77</v>
      </c>
      <c r="D437" s="5" t="n">
        <f aca="false">IFERROR(__xludf.dummyfunction("""COMPUTED_VALUE"""),149.64)</f>
        <v>149.64</v>
      </c>
      <c r="E437" s="5" t="n">
        <f aca="false">IFERROR(__xludf.dummyfunction("""COMPUTED_VALUE"""),150.77)</f>
        <v>150.77</v>
      </c>
      <c r="F437" s="5" t="n">
        <f aca="false">IFERROR(__xludf.dummyfunction("""COMPUTED_VALUE"""),93339409)</f>
        <v>93339409</v>
      </c>
    </row>
    <row r="438" customFormat="false" ht="15.75" hidden="false" customHeight="false" outlineLevel="0" collapsed="false">
      <c r="A438" s="6" t="n">
        <f aca="false">IFERROR(__xludf.dummyfunction("""COMPUTED_VALUE"""),44831.6666666667)</f>
        <v>44831.6666666667</v>
      </c>
      <c r="B438" s="5" t="n">
        <f aca="false">IFERROR(__xludf.dummyfunction("""COMPUTED_VALUE"""),152.74)</f>
        <v>152.74</v>
      </c>
      <c r="C438" s="5" t="n">
        <f aca="false">IFERROR(__xludf.dummyfunction("""COMPUTED_VALUE"""),154.72)</f>
        <v>154.72</v>
      </c>
      <c r="D438" s="5" t="n">
        <f aca="false">IFERROR(__xludf.dummyfunction("""COMPUTED_VALUE"""),149.95)</f>
        <v>149.95</v>
      </c>
      <c r="E438" s="5" t="n">
        <f aca="false">IFERROR(__xludf.dummyfunction("""COMPUTED_VALUE"""),151.76)</f>
        <v>151.76</v>
      </c>
      <c r="F438" s="5" t="n">
        <f aca="false">IFERROR(__xludf.dummyfunction("""COMPUTED_VALUE"""),84442741)</f>
        <v>84442741</v>
      </c>
    </row>
    <row r="439" customFormat="false" ht="15.75" hidden="false" customHeight="false" outlineLevel="0" collapsed="false">
      <c r="A439" s="6" t="n">
        <f aca="false">IFERROR(__xludf.dummyfunction("""COMPUTED_VALUE"""),44832.6666666667)</f>
        <v>44832.6666666667</v>
      </c>
      <c r="B439" s="5" t="n">
        <f aca="false">IFERROR(__xludf.dummyfunction("""COMPUTED_VALUE"""),147.64)</f>
        <v>147.64</v>
      </c>
      <c r="C439" s="5" t="n">
        <f aca="false">IFERROR(__xludf.dummyfunction("""COMPUTED_VALUE"""),150.64)</f>
        <v>150.64</v>
      </c>
      <c r="D439" s="5" t="n">
        <f aca="false">IFERROR(__xludf.dummyfunction("""COMPUTED_VALUE"""),144.84)</f>
        <v>144.84</v>
      </c>
      <c r="E439" s="5" t="n">
        <f aca="false">IFERROR(__xludf.dummyfunction("""COMPUTED_VALUE"""),149.84)</f>
        <v>149.84</v>
      </c>
      <c r="F439" s="5" t="n">
        <f aca="false">IFERROR(__xludf.dummyfunction("""COMPUTED_VALUE"""),146691387)</f>
        <v>146691387</v>
      </c>
    </row>
    <row r="440" customFormat="false" ht="15.75" hidden="false" customHeight="false" outlineLevel="0" collapsed="false">
      <c r="A440" s="6" t="n">
        <f aca="false">IFERROR(__xludf.dummyfunction("""COMPUTED_VALUE"""),44833.6666666667)</f>
        <v>44833.6666666667</v>
      </c>
      <c r="B440" s="5" t="n">
        <f aca="false">IFERROR(__xludf.dummyfunction("""COMPUTED_VALUE"""),146.1)</f>
        <v>146.1</v>
      </c>
      <c r="C440" s="5" t="n">
        <f aca="false">IFERROR(__xludf.dummyfunction("""COMPUTED_VALUE"""),146.72)</f>
        <v>146.72</v>
      </c>
      <c r="D440" s="5" t="n">
        <f aca="false">IFERROR(__xludf.dummyfunction("""COMPUTED_VALUE"""),140.68)</f>
        <v>140.68</v>
      </c>
      <c r="E440" s="5" t="n">
        <f aca="false">IFERROR(__xludf.dummyfunction("""COMPUTED_VALUE"""),142.48)</f>
        <v>142.48</v>
      </c>
      <c r="F440" s="5" t="n">
        <f aca="false">IFERROR(__xludf.dummyfunction("""COMPUTED_VALUE"""),128138237)</f>
        <v>128138237</v>
      </c>
    </row>
    <row r="441" customFormat="false" ht="15.75" hidden="false" customHeight="false" outlineLevel="0" collapsed="false">
      <c r="A441" s="6" t="n">
        <f aca="false">IFERROR(__xludf.dummyfunction("""COMPUTED_VALUE"""),44834.6666666667)</f>
        <v>44834.6666666667</v>
      </c>
      <c r="B441" s="5" t="n">
        <f aca="false">IFERROR(__xludf.dummyfunction("""COMPUTED_VALUE"""),141.28)</f>
        <v>141.28</v>
      </c>
      <c r="C441" s="5" t="n">
        <f aca="false">IFERROR(__xludf.dummyfunction("""COMPUTED_VALUE"""),143.1)</f>
        <v>143.1</v>
      </c>
      <c r="D441" s="5" t="n">
        <f aca="false">IFERROR(__xludf.dummyfunction("""COMPUTED_VALUE"""),138)</f>
        <v>138</v>
      </c>
      <c r="E441" s="5" t="n">
        <f aca="false">IFERROR(__xludf.dummyfunction("""COMPUTED_VALUE"""),138.2)</f>
        <v>138.2</v>
      </c>
      <c r="F441" s="5" t="n">
        <f aca="false">IFERROR(__xludf.dummyfunction("""COMPUTED_VALUE"""),124925274)</f>
        <v>124925274</v>
      </c>
    </row>
    <row r="442" customFormat="false" ht="15.75" hidden="false" customHeight="false" outlineLevel="0" collapsed="false">
      <c r="A442" s="6" t="n">
        <f aca="false">IFERROR(__xludf.dummyfunction("""COMPUTED_VALUE"""),44837.6666666667)</f>
        <v>44837.6666666667</v>
      </c>
      <c r="B442" s="5" t="n">
        <f aca="false">IFERROR(__xludf.dummyfunction("""COMPUTED_VALUE"""),138.21)</f>
        <v>138.21</v>
      </c>
      <c r="C442" s="5" t="n">
        <f aca="false">IFERROR(__xludf.dummyfunction("""COMPUTED_VALUE"""),143.07)</f>
        <v>143.07</v>
      </c>
      <c r="D442" s="5" t="n">
        <f aca="false">IFERROR(__xludf.dummyfunction("""COMPUTED_VALUE"""),137.69)</f>
        <v>137.69</v>
      </c>
      <c r="E442" s="5" t="n">
        <f aca="false">IFERROR(__xludf.dummyfunction("""COMPUTED_VALUE"""),142.45)</f>
        <v>142.45</v>
      </c>
      <c r="F442" s="5" t="n">
        <f aca="false">IFERROR(__xludf.dummyfunction("""COMPUTED_VALUE"""),114311663)</f>
        <v>114311663</v>
      </c>
    </row>
    <row r="443" customFormat="false" ht="15.75" hidden="false" customHeight="false" outlineLevel="0" collapsed="false">
      <c r="A443" s="6" t="n">
        <f aca="false">IFERROR(__xludf.dummyfunction("""COMPUTED_VALUE"""),44838.6666666667)</f>
        <v>44838.6666666667</v>
      </c>
      <c r="B443" s="5" t="n">
        <f aca="false">IFERROR(__xludf.dummyfunction("""COMPUTED_VALUE"""),145.03)</f>
        <v>145.03</v>
      </c>
      <c r="C443" s="5" t="n">
        <f aca="false">IFERROR(__xludf.dummyfunction("""COMPUTED_VALUE"""),146.22)</f>
        <v>146.22</v>
      </c>
      <c r="D443" s="5" t="n">
        <f aca="false">IFERROR(__xludf.dummyfunction("""COMPUTED_VALUE"""),144.26)</f>
        <v>144.26</v>
      </c>
      <c r="E443" s="5" t="n">
        <f aca="false">IFERROR(__xludf.dummyfunction("""COMPUTED_VALUE"""),146.1)</f>
        <v>146.1</v>
      </c>
      <c r="F443" s="5" t="n">
        <f aca="false">IFERROR(__xludf.dummyfunction("""COMPUTED_VALUE"""),87830064)</f>
        <v>87830064</v>
      </c>
    </row>
    <row r="444" customFormat="false" ht="15.75" hidden="false" customHeight="false" outlineLevel="0" collapsed="false">
      <c r="A444" s="6" t="n">
        <f aca="false">IFERROR(__xludf.dummyfunction("""COMPUTED_VALUE"""),44839.6666666667)</f>
        <v>44839.6666666667</v>
      </c>
      <c r="B444" s="5" t="n">
        <f aca="false">IFERROR(__xludf.dummyfunction("""COMPUTED_VALUE"""),144.07)</f>
        <v>144.07</v>
      </c>
      <c r="C444" s="5" t="n">
        <f aca="false">IFERROR(__xludf.dummyfunction("""COMPUTED_VALUE"""),147.38)</f>
        <v>147.38</v>
      </c>
      <c r="D444" s="5" t="n">
        <f aca="false">IFERROR(__xludf.dummyfunction("""COMPUTED_VALUE"""),143.01)</f>
        <v>143.01</v>
      </c>
      <c r="E444" s="5" t="n">
        <f aca="false">IFERROR(__xludf.dummyfunction("""COMPUTED_VALUE"""),146.4)</f>
        <v>146.4</v>
      </c>
      <c r="F444" s="5" t="n">
        <f aca="false">IFERROR(__xludf.dummyfunction("""COMPUTED_VALUE"""),79470968)</f>
        <v>79470968</v>
      </c>
    </row>
    <row r="445" customFormat="false" ht="15.75" hidden="false" customHeight="false" outlineLevel="0" collapsed="false">
      <c r="A445" s="6" t="n">
        <f aca="false">IFERROR(__xludf.dummyfunction("""COMPUTED_VALUE"""),44840.6666666667)</f>
        <v>44840.6666666667</v>
      </c>
      <c r="B445" s="5" t="n">
        <f aca="false">IFERROR(__xludf.dummyfunction("""COMPUTED_VALUE"""),145.81)</f>
        <v>145.81</v>
      </c>
      <c r="C445" s="5" t="n">
        <f aca="false">IFERROR(__xludf.dummyfunction("""COMPUTED_VALUE"""),147.54)</f>
        <v>147.54</v>
      </c>
      <c r="D445" s="5" t="n">
        <f aca="false">IFERROR(__xludf.dummyfunction("""COMPUTED_VALUE"""),145.22)</f>
        <v>145.22</v>
      </c>
      <c r="E445" s="5" t="n">
        <f aca="false">IFERROR(__xludf.dummyfunction("""COMPUTED_VALUE"""),145.43)</f>
        <v>145.43</v>
      </c>
      <c r="F445" s="5" t="n">
        <f aca="false">IFERROR(__xludf.dummyfunction("""COMPUTED_VALUE"""),68402169)</f>
        <v>68402169</v>
      </c>
    </row>
    <row r="446" customFormat="false" ht="15.75" hidden="false" customHeight="false" outlineLevel="0" collapsed="false">
      <c r="A446" s="6" t="n">
        <f aca="false">IFERROR(__xludf.dummyfunction("""COMPUTED_VALUE"""),44841.6666666667)</f>
        <v>44841.6666666667</v>
      </c>
      <c r="B446" s="5" t="n">
        <f aca="false">IFERROR(__xludf.dummyfunction("""COMPUTED_VALUE"""),142.54)</f>
        <v>142.54</v>
      </c>
      <c r="C446" s="5" t="n">
        <f aca="false">IFERROR(__xludf.dummyfunction("""COMPUTED_VALUE"""),143.1)</f>
        <v>143.1</v>
      </c>
      <c r="D446" s="5" t="n">
        <f aca="false">IFERROR(__xludf.dummyfunction("""COMPUTED_VALUE"""),139.45)</f>
        <v>139.45</v>
      </c>
      <c r="E446" s="5" t="n">
        <f aca="false">IFERROR(__xludf.dummyfunction("""COMPUTED_VALUE"""),140.09)</f>
        <v>140.09</v>
      </c>
      <c r="F446" s="5" t="n">
        <f aca="false">IFERROR(__xludf.dummyfunction("""COMPUTED_VALUE"""),85925559)</f>
        <v>85925559</v>
      </c>
    </row>
    <row r="447" customFormat="false" ht="15.75" hidden="false" customHeight="false" outlineLevel="0" collapsed="false">
      <c r="A447" s="6" t="n">
        <f aca="false">IFERROR(__xludf.dummyfunction("""COMPUTED_VALUE"""),44844.6666666667)</f>
        <v>44844.6666666667</v>
      </c>
      <c r="B447" s="5" t="n">
        <f aca="false">IFERROR(__xludf.dummyfunction("""COMPUTED_VALUE"""),140.42)</f>
        <v>140.42</v>
      </c>
      <c r="C447" s="5" t="n">
        <f aca="false">IFERROR(__xludf.dummyfunction("""COMPUTED_VALUE"""),141.89)</f>
        <v>141.89</v>
      </c>
      <c r="D447" s="5" t="n">
        <f aca="false">IFERROR(__xludf.dummyfunction("""COMPUTED_VALUE"""),138.57)</f>
        <v>138.57</v>
      </c>
      <c r="E447" s="5" t="n">
        <f aca="false">IFERROR(__xludf.dummyfunction("""COMPUTED_VALUE"""),140.42)</f>
        <v>140.42</v>
      </c>
      <c r="F447" s="5" t="n">
        <f aca="false">IFERROR(__xludf.dummyfunction("""COMPUTED_VALUE"""),74899002)</f>
        <v>74899002</v>
      </c>
    </row>
    <row r="448" customFormat="false" ht="15.75" hidden="false" customHeight="false" outlineLevel="0" collapsed="false">
      <c r="A448" s="6" t="n">
        <f aca="false">IFERROR(__xludf.dummyfunction("""COMPUTED_VALUE"""),44845.6666666667)</f>
        <v>44845.6666666667</v>
      </c>
      <c r="B448" s="5" t="n">
        <f aca="false">IFERROR(__xludf.dummyfunction("""COMPUTED_VALUE"""),139.9)</f>
        <v>139.9</v>
      </c>
      <c r="C448" s="5" t="n">
        <f aca="false">IFERROR(__xludf.dummyfunction("""COMPUTED_VALUE"""),141.35)</f>
        <v>141.35</v>
      </c>
      <c r="D448" s="5" t="n">
        <f aca="false">IFERROR(__xludf.dummyfunction("""COMPUTED_VALUE"""),138.22)</f>
        <v>138.22</v>
      </c>
      <c r="E448" s="5" t="n">
        <f aca="false">IFERROR(__xludf.dummyfunction("""COMPUTED_VALUE"""),138.98)</f>
        <v>138.98</v>
      </c>
      <c r="F448" s="5" t="n">
        <f aca="false">IFERROR(__xludf.dummyfunction("""COMPUTED_VALUE"""),77033672)</f>
        <v>77033672</v>
      </c>
    </row>
    <row r="449" customFormat="false" ht="15.75" hidden="false" customHeight="false" outlineLevel="0" collapsed="false">
      <c r="A449" s="6" t="n">
        <f aca="false">IFERROR(__xludf.dummyfunction("""COMPUTED_VALUE"""),44846.6666666667)</f>
        <v>44846.6666666667</v>
      </c>
      <c r="B449" s="5" t="n">
        <f aca="false">IFERROR(__xludf.dummyfunction("""COMPUTED_VALUE"""),139.13)</f>
        <v>139.13</v>
      </c>
      <c r="C449" s="5" t="n">
        <f aca="false">IFERROR(__xludf.dummyfunction("""COMPUTED_VALUE"""),140.36)</f>
        <v>140.36</v>
      </c>
      <c r="D449" s="5" t="n">
        <f aca="false">IFERROR(__xludf.dummyfunction("""COMPUTED_VALUE"""),138.16)</f>
        <v>138.16</v>
      </c>
      <c r="E449" s="5" t="n">
        <f aca="false">IFERROR(__xludf.dummyfunction("""COMPUTED_VALUE"""),138.34)</f>
        <v>138.34</v>
      </c>
      <c r="F449" s="5" t="n">
        <f aca="false">IFERROR(__xludf.dummyfunction("""COMPUTED_VALUE"""),70433744)</f>
        <v>70433744</v>
      </c>
    </row>
    <row r="450" customFormat="false" ht="15.75" hidden="false" customHeight="false" outlineLevel="0" collapsed="false">
      <c r="A450" s="6" t="n">
        <f aca="false">IFERROR(__xludf.dummyfunction("""COMPUTED_VALUE"""),44847.6666666667)</f>
        <v>44847.6666666667</v>
      </c>
      <c r="B450" s="5" t="n">
        <f aca="false">IFERROR(__xludf.dummyfunction("""COMPUTED_VALUE"""),134.99)</f>
        <v>134.99</v>
      </c>
      <c r="C450" s="5" t="n">
        <f aca="false">IFERROR(__xludf.dummyfunction("""COMPUTED_VALUE"""),143.59)</f>
        <v>143.59</v>
      </c>
      <c r="D450" s="5" t="n">
        <f aca="false">IFERROR(__xludf.dummyfunction("""COMPUTED_VALUE"""),134.37)</f>
        <v>134.37</v>
      </c>
      <c r="E450" s="5" t="n">
        <f aca="false">IFERROR(__xludf.dummyfunction("""COMPUTED_VALUE"""),142.99)</f>
        <v>142.99</v>
      </c>
      <c r="F450" s="5" t="n">
        <f aca="false">IFERROR(__xludf.dummyfunction("""COMPUTED_VALUE"""),113223975)</f>
        <v>113223975</v>
      </c>
    </row>
    <row r="451" customFormat="false" ht="15.75" hidden="false" customHeight="false" outlineLevel="0" collapsed="false">
      <c r="A451" s="6" t="n">
        <f aca="false">IFERROR(__xludf.dummyfunction("""COMPUTED_VALUE"""),44848.6666666667)</f>
        <v>44848.6666666667</v>
      </c>
      <c r="B451" s="5" t="n">
        <f aca="false">IFERROR(__xludf.dummyfunction("""COMPUTED_VALUE"""),144.31)</f>
        <v>144.31</v>
      </c>
      <c r="C451" s="5" t="n">
        <f aca="false">IFERROR(__xludf.dummyfunction("""COMPUTED_VALUE"""),144.52)</f>
        <v>144.52</v>
      </c>
      <c r="D451" s="5" t="n">
        <f aca="false">IFERROR(__xludf.dummyfunction("""COMPUTED_VALUE"""),138.19)</f>
        <v>138.19</v>
      </c>
      <c r="E451" s="5" t="n">
        <f aca="false">IFERROR(__xludf.dummyfunction("""COMPUTED_VALUE"""),138.38)</f>
        <v>138.38</v>
      </c>
      <c r="F451" s="5" t="n">
        <f aca="false">IFERROR(__xludf.dummyfunction("""COMPUTED_VALUE"""),88597969)</f>
        <v>88597969</v>
      </c>
    </row>
    <row r="452" customFormat="false" ht="15.75" hidden="false" customHeight="false" outlineLevel="0" collapsed="false">
      <c r="A452" s="6" t="n">
        <f aca="false">IFERROR(__xludf.dummyfunction("""COMPUTED_VALUE"""),44851.6666666667)</f>
        <v>44851.6666666667</v>
      </c>
      <c r="B452" s="5" t="n">
        <f aca="false">IFERROR(__xludf.dummyfunction("""COMPUTED_VALUE"""),141.07)</f>
        <v>141.07</v>
      </c>
      <c r="C452" s="5" t="n">
        <f aca="false">IFERROR(__xludf.dummyfunction("""COMPUTED_VALUE"""),142.9)</f>
        <v>142.9</v>
      </c>
      <c r="D452" s="5" t="n">
        <f aca="false">IFERROR(__xludf.dummyfunction("""COMPUTED_VALUE"""),140.27)</f>
        <v>140.27</v>
      </c>
      <c r="E452" s="5" t="n">
        <f aca="false">IFERROR(__xludf.dummyfunction("""COMPUTED_VALUE"""),142.41)</f>
        <v>142.41</v>
      </c>
      <c r="F452" s="5" t="n">
        <f aca="false">IFERROR(__xludf.dummyfunction("""COMPUTED_VALUE"""),85250939)</f>
        <v>85250939</v>
      </c>
    </row>
    <row r="453" customFormat="false" ht="15.75" hidden="false" customHeight="false" outlineLevel="0" collapsed="false">
      <c r="A453" s="6" t="n">
        <f aca="false">IFERROR(__xludf.dummyfunction("""COMPUTED_VALUE"""),44852.6666666667)</f>
        <v>44852.6666666667</v>
      </c>
      <c r="B453" s="5" t="n">
        <f aca="false">IFERROR(__xludf.dummyfunction("""COMPUTED_VALUE"""),145.49)</f>
        <v>145.49</v>
      </c>
      <c r="C453" s="5" t="n">
        <f aca="false">IFERROR(__xludf.dummyfunction("""COMPUTED_VALUE"""),146.7)</f>
        <v>146.7</v>
      </c>
      <c r="D453" s="5" t="n">
        <f aca="false">IFERROR(__xludf.dummyfunction("""COMPUTED_VALUE"""),140.61)</f>
        <v>140.61</v>
      </c>
      <c r="E453" s="5" t="n">
        <f aca="false">IFERROR(__xludf.dummyfunction("""COMPUTED_VALUE"""),143.75)</f>
        <v>143.75</v>
      </c>
      <c r="F453" s="5" t="n">
        <f aca="false">IFERROR(__xludf.dummyfunction("""COMPUTED_VALUE"""),99136610)</f>
        <v>99136610</v>
      </c>
    </row>
    <row r="454" customFormat="false" ht="15.75" hidden="false" customHeight="false" outlineLevel="0" collapsed="false">
      <c r="A454" s="6" t="n">
        <f aca="false">IFERROR(__xludf.dummyfunction("""COMPUTED_VALUE"""),44853.6666666667)</f>
        <v>44853.6666666667</v>
      </c>
      <c r="B454" s="5" t="n">
        <f aca="false">IFERROR(__xludf.dummyfunction("""COMPUTED_VALUE"""),141.69)</f>
        <v>141.69</v>
      </c>
      <c r="C454" s="5" t="n">
        <f aca="false">IFERROR(__xludf.dummyfunction("""COMPUTED_VALUE"""),144.95)</f>
        <v>144.95</v>
      </c>
      <c r="D454" s="5" t="n">
        <f aca="false">IFERROR(__xludf.dummyfunction("""COMPUTED_VALUE"""),141.5)</f>
        <v>141.5</v>
      </c>
      <c r="E454" s="5" t="n">
        <f aca="false">IFERROR(__xludf.dummyfunction("""COMPUTED_VALUE"""),143.86)</f>
        <v>143.86</v>
      </c>
      <c r="F454" s="5" t="n">
        <f aca="false">IFERROR(__xludf.dummyfunction("""COMPUTED_VALUE"""),61758340)</f>
        <v>61758340</v>
      </c>
    </row>
    <row r="455" customFormat="false" ht="15.75" hidden="false" customHeight="false" outlineLevel="0" collapsed="false">
      <c r="A455" s="6" t="n">
        <f aca="false">IFERROR(__xludf.dummyfunction("""COMPUTED_VALUE"""),44854.6666666667)</f>
        <v>44854.6666666667</v>
      </c>
      <c r="B455" s="5" t="n">
        <f aca="false">IFERROR(__xludf.dummyfunction("""COMPUTED_VALUE"""),143.02)</f>
        <v>143.02</v>
      </c>
      <c r="C455" s="5" t="n">
        <f aca="false">IFERROR(__xludf.dummyfunction("""COMPUTED_VALUE"""),145.89)</f>
        <v>145.89</v>
      </c>
      <c r="D455" s="5" t="n">
        <f aca="false">IFERROR(__xludf.dummyfunction("""COMPUTED_VALUE"""),142.65)</f>
        <v>142.65</v>
      </c>
      <c r="E455" s="5" t="n">
        <f aca="false">IFERROR(__xludf.dummyfunction("""COMPUTED_VALUE"""),143.39)</f>
        <v>143.39</v>
      </c>
      <c r="F455" s="5" t="n">
        <f aca="false">IFERROR(__xludf.dummyfunction("""COMPUTED_VALUE"""),64521989)</f>
        <v>64521989</v>
      </c>
    </row>
    <row r="456" customFormat="false" ht="15.75" hidden="false" customHeight="false" outlineLevel="0" collapsed="false">
      <c r="A456" s="6" t="n">
        <f aca="false">IFERROR(__xludf.dummyfunction("""COMPUTED_VALUE"""),44855.6666666667)</f>
        <v>44855.6666666667</v>
      </c>
      <c r="B456" s="5" t="n">
        <f aca="false">IFERROR(__xludf.dummyfunction("""COMPUTED_VALUE"""),142.87)</f>
        <v>142.87</v>
      </c>
      <c r="C456" s="5" t="n">
        <f aca="false">IFERROR(__xludf.dummyfunction("""COMPUTED_VALUE"""),147.85)</f>
        <v>147.85</v>
      </c>
      <c r="D456" s="5" t="n">
        <f aca="false">IFERROR(__xludf.dummyfunction("""COMPUTED_VALUE"""),142.65)</f>
        <v>142.65</v>
      </c>
      <c r="E456" s="5" t="n">
        <f aca="false">IFERROR(__xludf.dummyfunction("""COMPUTED_VALUE"""),147.27)</f>
        <v>147.27</v>
      </c>
      <c r="F456" s="5" t="n">
        <f aca="false">IFERROR(__xludf.dummyfunction("""COMPUTED_VALUE"""),86548609)</f>
        <v>86548609</v>
      </c>
    </row>
    <row r="457" customFormat="false" ht="15.75" hidden="false" customHeight="false" outlineLevel="0" collapsed="false">
      <c r="A457" s="6" t="n">
        <f aca="false">IFERROR(__xludf.dummyfunction("""COMPUTED_VALUE"""),44858.6666666667)</f>
        <v>44858.6666666667</v>
      </c>
      <c r="B457" s="5" t="n">
        <f aca="false">IFERROR(__xludf.dummyfunction("""COMPUTED_VALUE"""),147.19)</f>
        <v>147.19</v>
      </c>
      <c r="C457" s="5" t="n">
        <f aca="false">IFERROR(__xludf.dummyfunction("""COMPUTED_VALUE"""),150.23)</f>
        <v>150.23</v>
      </c>
      <c r="D457" s="5" t="n">
        <f aca="false">IFERROR(__xludf.dummyfunction("""COMPUTED_VALUE"""),146)</f>
        <v>146</v>
      </c>
      <c r="E457" s="5" t="n">
        <f aca="false">IFERROR(__xludf.dummyfunction("""COMPUTED_VALUE"""),149.45)</f>
        <v>149.45</v>
      </c>
      <c r="F457" s="5" t="n">
        <f aca="false">IFERROR(__xludf.dummyfunction("""COMPUTED_VALUE"""),75981918)</f>
        <v>75981918</v>
      </c>
    </row>
    <row r="458" customFormat="false" ht="15.75" hidden="false" customHeight="false" outlineLevel="0" collapsed="false">
      <c r="A458" s="6" t="n">
        <f aca="false">IFERROR(__xludf.dummyfunction("""COMPUTED_VALUE"""),44859.6666666667)</f>
        <v>44859.6666666667</v>
      </c>
      <c r="B458" s="5" t="n">
        <f aca="false">IFERROR(__xludf.dummyfunction("""COMPUTED_VALUE"""),150.09)</f>
        <v>150.09</v>
      </c>
      <c r="C458" s="5" t="n">
        <f aca="false">IFERROR(__xludf.dummyfunction("""COMPUTED_VALUE"""),152.49)</f>
        <v>152.49</v>
      </c>
      <c r="D458" s="5" t="n">
        <f aca="false">IFERROR(__xludf.dummyfunction("""COMPUTED_VALUE"""),149.36)</f>
        <v>149.36</v>
      </c>
      <c r="E458" s="5" t="n">
        <f aca="false">IFERROR(__xludf.dummyfunction("""COMPUTED_VALUE"""),152.34)</f>
        <v>152.34</v>
      </c>
      <c r="F458" s="5" t="n">
        <f aca="false">IFERROR(__xludf.dummyfunction("""COMPUTED_VALUE"""),74732290)</f>
        <v>74732290</v>
      </c>
    </row>
    <row r="459" customFormat="false" ht="15.75" hidden="false" customHeight="false" outlineLevel="0" collapsed="false">
      <c r="A459" s="6" t="n">
        <f aca="false">IFERROR(__xludf.dummyfunction("""COMPUTED_VALUE"""),44860.6666666667)</f>
        <v>44860.6666666667</v>
      </c>
      <c r="B459" s="5" t="n">
        <f aca="false">IFERROR(__xludf.dummyfunction("""COMPUTED_VALUE"""),150.96)</f>
        <v>150.96</v>
      </c>
      <c r="C459" s="5" t="n">
        <f aca="false">IFERROR(__xludf.dummyfunction("""COMPUTED_VALUE"""),151.99)</f>
        <v>151.99</v>
      </c>
      <c r="D459" s="5" t="n">
        <f aca="false">IFERROR(__xludf.dummyfunction("""COMPUTED_VALUE"""),148.04)</f>
        <v>148.04</v>
      </c>
      <c r="E459" s="5" t="n">
        <f aca="false">IFERROR(__xludf.dummyfunction("""COMPUTED_VALUE"""),149.35)</f>
        <v>149.35</v>
      </c>
      <c r="F459" s="5" t="n">
        <f aca="false">IFERROR(__xludf.dummyfunction("""COMPUTED_VALUE"""),88436172)</f>
        <v>88436172</v>
      </c>
    </row>
    <row r="460" customFormat="false" ht="15.75" hidden="false" customHeight="false" outlineLevel="0" collapsed="false">
      <c r="A460" s="6" t="n">
        <f aca="false">IFERROR(__xludf.dummyfunction("""COMPUTED_VALUE"""),44861.6666666667)</f>
        <v>44861.6666666667</v>
      </c>
      <c r="B460" s="5" t="n">
        <f aca="false">IFERROR(__xludf.dummyfunction("""COMPUTED_VALUE"""),148.07)</f>
        <v>148.07</v>
      </c>
      <c r="C460" s="5" t="n">
        <f aca="false">IFERROR(__xludf.dummyfunction("""COMPUTED_VALUE"""),149.05)</f>
        <v>149.05</v>
      </c>
      <c r="D460" s="5" t="n">
        <f aca="false">IFERROR(__xludf.dummyfunction("""COMPUTED_VALUE"""),144.13)</f>
        <v>144.13</v>
      </c>
      <c r="E460" s="5" t="n">
        <f aca="false">IFERROR(__xludf.dummyfunction("""COMPUTED_VALUE"""),144.8)</f>
        <v>144.8</v>
      </c>
      <c r="F460" s="5" t="n">
        <f aca="false">IFERROR(__xludf.dummyfunction("""COMPUTED_VALUE"""),109180150)</f>
        <v>109180150</v>
      </c>
    </row>
    <row r="461" customFormat="false" ht="15.75" hidden="false" customHeight="false" outlineLevel="0" collapsed="false">
      <c r="A461" s="6" t="n">
        <f aca="false">IFERROR(__xludf.dummyfunction("""COMPUTED_VALUE"""),44862.6666666667)</f>
        <v>44862.6666666667</v>
      </c>
      <c r="B461" s="5" t="n">
        <f aca="false">IFERROR(__xludf.dummyfunction("""COMPUTED_VALUE"""),148.2)</f>
        <v>148.2</v>
      </c>
      <c r="C461" s="5" t="n">
        <f aca="false">IFERROR(__xludf.dummyfunction("""COMPUTED_VALUE"""),157.5)</f>
        <v>157.5</v>
      </c>
      <c r="D461" s="5" t="n">
        <f aca="false">IFERROR(__xludf.dummyfunction("""COMPUTED_VALUE"""),147.82)</f>
        <v>147.82</v>
      </c>
      <c r="E461" s="5" t="n">
        <f aca="false">IFERROR(__xludf.dummyfunction("""COMPUTED_VALUE"""),155.74)</f>
        <v>155.74</v>
      </c>
      <c r="F461" s="5" t="n">
        <f aca="false">IFERROR(__xludf.dummyfunction("""COMPUTED_VALUE"""),164762371)</f>
        <v>164762371</v>
      </c>
    </row>
    <row r="462" customFormat="false" ht="15.75" hidden="false" customHeight="false" outlineLevel="0" collapsed="false">
      <c r="A462" s="6" t="n">
        <f aca="false">IFERROR(__xludf.dummyfunction("""COMPUTED_VALUE"""),44865.6666666667)</f>
        <v>44865.6666666667</v>
      </c>
      <c r="B462" s="5" t="n">
        <f aca="false">IFERROR(__xludf.dummyfunction("""COMPUTED_VALUE"""),153.16)</f>
        <v>153.16</v>
      </c>
      <c r="C462" s="5" t="n">
        <f aca="false">IFERROR(__xludf.dummyfunction("""COMPUTED_VALUE"""),154.24)</f>
        <v>154.24</v>
      </c>
      <c r="D462" s="5" t="n">
        <f aca="false">IFERROR(__xludf.dummyfunction("""COMPUTED_VALUE"""),151.92)</f>
        <v>151.92</v>
      </c>
      <c r="E462" s="5" t="n">
        <f aca="false">IFERROR(__xludf.dummyfunction("""COMPUTED_VALUE"""),153.34)</f>
        <v>153.34</v>
      </c>
      <c r="F462" s="5" t="n">
        <f aca="false">IFERROR(__xludf.dummyfunction("""COMPUTED_VALUE"""),97943171)</f>
        <v>97943171</v>
      </c>
    </row>
    <row r="463" customFormat="false" ht="15.75" hidden="false" customHeight="false" outlineLevel="0" collapsed="false">
      <c r="A463" s="6" t="n">
        <f aca="false">IFERROR(__xludf.dummyfunction("""COMPUTED_VALUE"""),44866.6666666667)</f>
        <v>44866.6666666667</v>
      </c>
      <c r="B463" s="5" t="n">
        <f aca="false">IFERROR(__xludf.dummyfunction("""COMPUTED_VALUE"""),155.08)</f>
        <v>155.08</v>
      </c>
      <c r="C463" s="5" t="n">
        <f aca="false">IFERROR(__xludf.dummyfunction("""COMPUTED_VALUE"""),155.45)</f>
        <v>155.45</v>
      </c>
      <c r="D463" s="5" t="n">
        <f aca="false">IFERROR(__xludf.dummyfunction("""COMPUTED_VALUE"""),149.13)</f>
        <v>149.13</v>
      </c>
      <c r="E463" s="5" t="n">
        <f aca="false">IFERROR(__xludf.dummyfunction("""COMPUTED_VALUE"""),150.65)</f>
        <v>150.65</v>
      </c>
      <c r="F463" s="5" t="n">
        <f aca="false">IFERROR(__xludf.dummyfunction("""COMPUTED_VALUE"""),80379345)</f>
        <v>80379345</v>
      </c>
    </row>
    <row r="464" customFormat="false" ht="15.75" hidden="false" customHeight="false" outlineLevel="0" collapsed="false">
      <c r="A464" s="6" t="n">
        <f aca="false">IFERROR(__xludf.dummyfunction("""COMPUTED_VALUE"""),44867.6666666667)</f>
        <v>44867.6666666667</v>
      </c>
      <c r="B464" s="5" t="n">
        <f aca="false">IFERROR(__xludf.dummyfunction("""COMPUTED_VALUE"""),148.95)</f>
        <v>148.95</v>
      </c>
      <c r="C464" s="5" t="n">
        <f aca="false">IFERROR(__xludf.dummyfunction("""COMPUTED_VALUE"""),152.17)</f>
        <v>152.17</v>
      </c>
      <c r="D464" s="5" t="n">
        <f aca="false">IFERROR(__xludf.dummyfunction("""COMPUTED_VALUE"""),145)</f>
        <v>145</v>
      </c>
      <c r="E464" s="5" t="n">
        <f aca="false">IFERROR(__xludf.dummyfunction("""COMPUTED_VALUE"""),145.03)</f>
        <v>145.03</v>
      </c>
      <c r="F464" s="5" t="n">
        <f aca="false">IFERROR(__xludf.dummyfunction("""COMPUTED_VALUE"""),93604623)</f>
        <v>93604623</v>
      </c>
    </row>
    <row r="465" customFormat="false" ht="15.75" hidden="false" customHeight="false" outlineLevel="0" collapsed="false">
      <c r="A465" s="6" t="n">
        <f aca="false">IFERROR(__xludf.dummyfunction("""COMPUTED_VALUE"""),44868.6666666667)</f>
        <v>44868.6666666667</v>
      </c>
      <c r="B465" s="5" t="n">
        <f aca="false">IFERROR(__xludf.dummyfunction("""COMPUTED_VALUE"""),142.06)</f>
        <v>142.06</v>
      </c>
      <c r="C465" s="5" t="n">
        <f aca="false">IFERROR(__xludf.dummyfunction("""COMPUTED_VALUE"""),142.8)</f>
        <v>142.8</v>
      </c>
      <c r="D465" s="5" t="n">
        <f aca="false">IFERROR(__xludf.dummyfunction("""COMPUTED_VALUE"""),138.75)</f>
        <v>138.75</v>
      </c>
      <c r="E465" s="5" t="n">
        <f aca="false">IFERROR(__xludf.dummyfunction("""COMPUTED_VALUE"""),138.88)</f>
        <v>138.88</v>
      </c>
      <c r="F465" s="5" t="n">
        <f aca="false">IFERROR(__xludf.dummyfunction("""COMPUTED_VALUE"""),97918516)</f>
        <v>97918516</v>
      </c>
    </row>
    <row r="466" customFormat="false" ht="15.75" hidden="false" customHeight="false" outlineLevel="0" collapsed="false">
      <c r="A466" s="6" t="n">
        <f aca="false">IFERROR(__xludf.dummyfunction("""COMPUTED_VALUE"""),44869.6666666667)</f>
        <v>44869.6666666667</v>
      </c>
      <c r="B466" s="5" t="n">
        <f aca="false">IFERROR(__xludf.dummyfunction("""COMPUTED_VALUE"""),142.09)</f>
        <v>142.09</v>
      </c>
      <c r="C466" s="5" t="n">
        <f aca="false">IFERROR(__xludf.dummyfunction("""COMPUTED_VALUE"""),142.67)</f>
        <v>142.67</v>
      </c>
      <c r="D466" s="5" t="n">
        <f aca="false">IFERROR(__xludf.dummyfunction("""COMPUTED_VALUE"""),134.38)</f>
        <v>134.38</v>
      </c>
      <c r="E466" s="5" t="n">
        <f aca="false">IFERROR(__xludf.dummyfunction("""COMPUTED_VALUE"""),138.38)</f>
        <v>138.38</v>
      </c>
      <c r="F466" s="5" t="n">
        <f aca="false">IFERROR(__xludf.dummyfunction("""COMPUTED_VALUE"""),140814796)</f>
        <v>140814796</v>
      </c>
    </row>
    <row r="467" customFormat="false" ht="15.75" hidden="false" customHeight="false" outlineLevel="0" collapsed="false">
      <c r="A467" s="6" t="n">
        <f aca="false">IFERROR(__xludf.dummyfunction("""COMPUTED_VALUE"""),44872.6666666667)</f>
        <v>44872.6666666667</v>
      </c>
      <c r="B467" s="5" t="n">
        <f aca="false">IFERROR(__xludf.dummyfunction("""COMPUTED_VALUE"""),137.11)</f>
        <v>137.11</v>
      </c>
      <c r="C467" s="5" t="n">
        <f aca="false">IFERROR(__xludf.dummyfunction("""COMPUTED_VALUE"""),139.15)</f>
        <v>139.15</v>
      </c>
      <c r="D467" s="5" t="n">
        <f aca="false">IFERROR(__xludf.dummyfunction("""COMPUTED_VALUE"""),135.67)</f>
        <v>135.67</v>
      </c>
      <c r="E467" s="5" t="n">
        <f aca="false">IFERROR(__xludf.dummyfunction("""COMPUTED_VALUE"""),138.92)</f>
        <v>138.92</v>
      </c>
      <c r="F467" s="5" t="n">
        <f aca="false">IFERROR(__xludf.dummyfunction("""COMPUTED_VALUE"""),83374628)</f>
        <v>83374628</v>
      </c>
    </row>
    <row r="468" customFormat="false" ht="15.75" hidden="false" customHeight="false" outlineLevel="0" collapsed="false">
      <c r="A468" s="6" t="n">
        <f aca="false">IFERROR(__xludf.dummyfunction("""COMPUTED_VALUE"""),44873.6666666667)</f>
        <v>44873.6666666667</v>
      </c>
      <c r="B468" s="5" t="n">
        <f aca="false">IFERROR(__xludf.dummyfunction("""COMPUTED_VALUE"""),140.41)</f>
        <v>140.41</v>
      </c>
      <c r="C468" s="5" t="n">
        <f aca="false">IFERROR(__xludf.dummyfunction("""COMPUTED_VALUE"""),141.43)</f>
        <v>141.43</v>
      </c>
      <c r="D468" s="5" t="n">
        <f aca="false">IFERROR(__xludf.dummyfunction("""COMPUTED_VALUE"""),137.49)</f>
        <v>137.49</v>
      </c>
      <c r="E468" s="5" t="n">
        <f aca="false">IFERROR(__xludf.dummyfunction("""COMPUTED_VALUE"""),139.5)</f>
        <v>139.5</v>
      </c>
      <c r="F468" s="5" t="n">
        <f aca="false">IFERROR(__xludf.dummyfunction("""COMPUTED_VALUE"""),89908477)</f>
        <v>89908477</v>
      </c>
    </row>
    <row r="469" customFormat="false" ht="15.75" hidden="false" customHeight="false" outlineLevel="0" collapsed="false">
      <c r="A469" s="6" t="n">
        <f aca="false">IFERROR(__xludf.dummyfunction("""COMPUTED_VALUE"""),44874.6666666667)</f>
        <v>44874.6666666667</v>
      </c>
      <c r="B469" s="5" t="n">
        <f aca="false">IFERROR(__xludf.dummyfunction("""COMPUTED_VALUE"""),138.5)</f>
        <v>138.5</v>
      </c>
      <c r="C469" s="5" t="n">
        <f aca="false">IFERROR(__xludf.dummyfunction("""COMPUTED_VALUE"""),138.55)</f>
        <v>138.55</v>
      </c>
      <c r="D469" s="5" t="n">
        <f aca="false">IFERROR(__xludf.dummyfunction("""COMPUTED_VALUE"""),134.59)</f>
        <v>134.59</v>
      </c>
      <c r="E469" s="5" t="n">
        <f aca="false">IFERROR(__xludf.dummyfunction("""COMPUTED_VALUE"""),134.87)</f>
        <v>134.87</v>
      </c>
      <c r="F469" s="5" t="n">
        <f aca="false">IFERROR(__xludf.dummyfunction("""COMPUTED_VALUE"""),74917794)</f>
        <v>74917794</v>
      </c>
    </row>
    <row r="470" customFormat="false" ht="15.75" hidden="false" customHeight="false" outlineLevel="0" collapsed="false">
      <c r="A470" s="6" t="n">
        <f aca="false">IFERROR(__xludf.dummyfunction("""COMPUTED_VALUE"""),44875.6666666667)</f>
        <v>44875.6666666667</v>
      </c>
      <c r="B470" s="5" t="n">
        <f aca="false">IFERROR(__xludf.dummyfunction("""COMPUTED_VALUE"""),141.24)</f>
        <v>141.24</v>
      </c>
      <c r="C470" s="5" t="n">
        <f aca="false">IFERROR(__xludf.dummyfunction("""COMPUTED_VALUE"""),146.87)</f>
        <v>146.87</v>
      </c>
      <c r="D470" s="5" t="n">
        <f aca="false">IFERROR(__xludf.dummyfunction("""COMPUTED_VALUE"""),139.5)</f>
        <v>139.5</v>
      </c>
      <c r="E470" s="5" t="n">
        <f aca="false">IFERROR(__xludf.dummyfunction("""COMPUTED_VALUE"""),146.87)</f>
        <v>146.87</v>
      </c>
      <c r="F470" s="5" t="n">
        <f aca="false">IFERROR(__xludf.dummyfunction("""COMPUTED_VALUE"""),118854028)</f>
        <v>118854028</v>
      </c>
    </row>
    <row r="471" customFormat="false" ht="15.75" hidden="false" customHeight="false" outlineLevel="0" collapsed="false">
      <c r="A471" s="6" t="n">
        <f aca="false">IFERROR(__xludf.dummyfunction("""COMPUTED_VALUE"""),44876.6666666667)</f>
        <v>44876.6666666667</v>
      </c>
      <c r="B471" s="5" t="n">
        <f aca="false">IFERROR(__xludf.dummyfunction("""COMPUTED_VALUE"""),145.82)</f>
        <v>145.82</v>
      </c>
      <c r="C471" s="5" t="n">
        <f aca="false">IFERROR(__xludf.dummyfunction("""COMPUTED_VALUE"""),150.01)</f>
        <v>150.01</v>
      </c>
      <c r="D471" s="5" t="n">
        <f aca="false">IFERROR(__xludf.dummyfunction("""COMPUTED_VALUE"""),144.37)</f>
        <v>144.37</v>
      </c>
      <c r="E471" s="5" t="n">
        <f aca="false">IFERROR(__xludf.dummyfunction("""COMPUTED_VALUE"""),149.7)</f>
        <v>149.7</v>
      </c>
      <c r="F471" s="5" t="n">
        <f aca="false">IFERROR(__xludf.dummyfunction("""COMPUTED_VALUE"""),93979665)</f>
        <v>93979665</v>
      </c>
    </row>
    <row r="472" customFormat="false" ht="15.75" hidden="false" customHeight="false" outlineLevel="0" collapsed="false">
      <c r="A472" s="6" t="n">
        <f aca="false">IFERROR(__xludf.dummyfunction("""COMPUTED_VALUE"""),44879.6666666667)</f>
        <v>44879.6666666667</v>
      </c>
      <c r="B472" s="5" t="n">
        <f aca="false">IFERROR(__xludf.dummyfunction("""COMPUTED_VALUE"""),148.97)</f>
        <v>148.97</v>
      </c>
      <c r="C472" s="5" t="n">
        <f aca="false">IFERROR(__xludf.dummyfunction("""COMPUTED_VALUE"""),150.28)</f>
        <v>150.28</v>
      </c>
      <c r="D472" s="5" t="n">
        <f aca="false">IFERROR(__xludf.dummyfunction("""COMPUTED_VALUE"""),147.43)</f>
        <v>147.43</v>
      </c>
      <c r="E472" s="5" t="n">
        <f aca="false">IFERROR(__xludf.dummyfunction("""COMPUTED_VALUE"""),148.28)</f>
        <v>148.28</v>
      </c>
      <c r="F472" s="5" t="n">
        <f aca="false">IFERROR(__xludf.dummyfunction("""COMPUTED_VALUE"""),73374114)</f>
        <v>73374114</v>
      </c>
    </row>
    <row r="473" customFormat="false" ht="15.75" hidden="false" customHeight="false" outlineLevel="0" collapsed="false">
      <c r="A473" s="6" t="n">
        <f aca="false">IFERROR(__xludf.dummyfunction("""COMPUTED_VALUE"""),44880.6666666667)</f>
        <v>44880.6666666667</v>
      </c>
      <c r="B473" s="5" t="n">
        <f aca="false">IFERROR(__xludf.dummyfunction("""COMPUTED_VALUE"""),152.22)</f>
        <v>152.22</v>
      </c>
      <c r="C473" s="5" t="n">
        <f aca="false">IFERROR(__xludf.dummyfunction("""COMPUTED_VALUE"""),153.59)</f>
        <v>153.59</v>
      </c>
      <c r="D473" s="5" t="n">
        <f aca="false">IFERROR(__xludf.dummyfunction("""COMPUTED_VALUE"""),148.56)</f>
        <v>148.56</v>
      </c>
      <c r="E473" s="5" t="n">
        <f aca="false">IFERROR(__xludf.dummyfunction("""COMPUTED_VALUE"""),150.04)</f>
        <v>150.04</v>
      </c>
      <c r="F473" s="5" t="n">
        <f aca="false">IFERROR(__xludf.dummyfunction("""COMPUTED_VALUE"""),89868332)</f>
        <v>89868332</v>
      </c>
    </row>
    <row r="474" customFormat="false" ht="15.75" hidden="false" customHeight="false" outlineLevel="0" collapsed="false">
      <c r="A474" s="6" t="n">
        <f aca="false">IFERROR(__xludf.dummyfunction("""COMPUTED_VALUE"""),44881.6666666667)</f>
        <v>44881.6666666667</v>
      </c>
      <c r="B474" s="5" t="n">
        <f aca="false">IFERROR(__xludf.dummyfunction("""COMPUTED_VALUE"""),149.13)</f>
        <v>149.13</v>
      </c>
      <c r="C474" s="5" t="n">
        <f aca="false">IFERROR(__xludf.dummyfunction("""COMPUTED_VALUE"""),149.87)</f>
        <v>149.87</v>
      </c>
      <c r="D474" s="5" t="n">
        <f aca="false">IFERROR(__xludf.dummyfunction("""COMPUTED_VALUE"""),147.29)</f>
        <v>147.29</v>
      </c>
      <c r="E474" s="5" t="n">
        <f aca="false">IFERROR(__xludf.dummyfunction("""COMPUTED_VALUE"""),148.79)</f>
        <v>148.79</v>
      </c>
      <c r="F474" s="5" t="n">
        <f aca="false">IFERROR(__xludf.dummyfunction("""COMPUTED_VALUE"""),64218266)</f>
        <v>64218266</v>
      </c>
    </row>
    <row r="475" customFormat="false" ht="15.75" hidden="false" customHeight="false" outlineLevel="0" collapsed="false">
      <c r="A475" s="6" t="n">
        <f aca="false">IFERROR(__xludf.dummyfunction("""COMPUTED_VALUE"""),44882.6666666667)</f>
        <v>44882.6666666667</v>
      </c>
      <c r="B475" s="5" t="n">
        <f aca="false">IFERROR(__xludf.dummyfunction("""COMPUTED_VALUE"""),146.43)</f>
        <v>146.43</v>
      </c>
      <c r="C475" s="5" t="n">
        <f aca="false">IFERROR(__xludf.dummyfunction("""COMPUTED_VALUE"""),151.48)</f>
        <v>151.48</v>
      </c>
      <c r="D475" s="5" t="n">
        <f aca="false">IFERROR(__xludf.dummyfunction("""COMPUTED_VALUE"""),146.15)</f>
        <v>146.15</v>
      </c>
      <c r="E475" s="5" t="n">
        <f aca="false">IFERROR(__xludf.dummyfunction("""COMPUTED_VALUE"""),150.72)</f>
        <v>150.72</v>
      </c>
      <c r="F475" s="5" t="n">
        <f aca="false">IFERROR(__xludf.dummyfunction("""COMPUTED_VALUE"""),80389400)</f>
        <v>80389400</v>
      </c>
    </row>
    <row r="476" customFormat="false" ht="15.75" hidden="false" customHeight="false" outlineLevel="0" collapsed="false">
      <c r="A476" s="6" t="n">
        <f aca="false">IFERROR(__xludf.dummyfunction("""COMPUTED_VALUE"""),44883.6666666667)</f>
        <v>44883.6666666667</v>
      </c>
      <c r="B476" s="5" t="n">
        <f aca="false">IFERROR(__xludf.dummyfunction("""COMPUTED_VALUE"""),152.31)</f>
        <v>152.31</v>
      </c>
      <c r="C476" s="5" t="n">
        <f aca="false">IFERROR(__xludf.dummyfunction("""COMPUTED_VALUE"""),152.7)</f>
        <v>152.7</v>
      </c>
      <c r="D476" s="5" t="n">
        <f aca="false">IFERROR(__xludf.dummyfunction("""COMPUTED_VALUE"""),149.97)</f>
        <v>149.97</v>
      </c>
      <c r="E476" s="5" t="n">
        <f aca="false">IFERROR(__xludf.dummyfunction("""COMPUTED_VALUE"""),151.29)</f>
        <v>151.29</v>
      </c>
      <c r="F476" s="5" t="n">
        <f aca="false">IFERROR(__xludf.dummyfunction("""COMPUTED_VALUE"""),74829573)</f>
        <v>74829573</v>
      </c>
    </row>
    <row r="477" customFormat="false" ht="15.75" hidden="false" customHeight="false" outlineLevel="0" collapsed="false">
      <c r="A477" s="6" t="n">
        <f aca="false">IFERROR(__xludf.dummyfunction("""COMPUTED_VALUE"""),44886.6666666667)</f>
        <v>44886.6666666667</v>
      </c>
      <c r="B477" s="5" t="n">
        <f aca="false">IFERROR(__xludf.dummyfunction("""COMPUTED_VALUE"""),150.16)</f>
        <v>150.16</v>
      </c>
      <c r="C477" s="5" t="n">
        <f aca="false">IFERROR(__xludf.dummyfunction("""COMPUTED_VALUE"""),150.37)</f>
        <v>150.37</v>
      </c>
      <c r="D477" s="5" t="n">
        <f aca="false">IFERROR(__xludf.dummyfunction("""COMPUTED_VALUE"""),147.72)</f>
        <v>147.72</v>
      </c>
      <c r="E477" s="5" t="n">
        <f aca="false">IFERROR(__xludf.dummyfunction("""COMPUTED_VALUE"""),148.01)</f>
        <v>148.01</v>
      </c>
      <c r="F477" s="5" t="n">
        <f aca="false">IFERROR(__xludf.dummyfunction("""COMPUTED_VALUE"""),58724070)</f>
        <v>58724070</v>
      </c>
    </row>
    <row r="478" customFormat="false" ht="15.75" hidden="false" customHeight="false" outlineLevel="0" collapsed="false">
      <c r="A478" s="6" t="n">
        <f aca="false">IFERROR(__xludf.dummyfunction("""COMPUTED_VALUE"""),44887.6666666667)</f>
        <v>44887.6666666667</v>
      </c>
      <c r="B478" s="5" t="n">
        <f aca="false">IFERROR(__xludf.dummyfunction("""COMPUTED_VALUE"""),148.13)</f>
        <v>148.13</v>
      </c>
      <c r="C478" s="5" t="n">
        <f aca="false">IFERROR(__xludf.dummyfunction("""COMPUTED_VALUE"""),150.42)</f>
        <v>150.42</v>
      </c>
      <c r="D478" s="5" t="n">
        <f aca="false">IFERROR(__xludf.dummyfunction("""COMPUTED_VALUE"""),146.93)</f>
        <v>146.93</v>
      </c>
      <c r="E478" s="5" t="n">
        <f aca="false">IFERROR(__xludf.dummyfunction("""COMPUTED_VALUE"""),150.18)</f>
        <v>150.18</v>
      </c>
      <c r="F478" s="5" t="n">
        <f aca="false">IFERROR(__xludf.dummyfunction("""COMPUTED_VALUE"""),51804132)</f>
        <v>51804132</v>
      </c>
    </row>
    <row r="479" customFormat="false" ht="15.75" hidden="false" customHeight="false" outlineLevel="0" collapsed="false">
      <c r="A479" s="6" t="n">
        <f aca="false">IFERROR(__xludf.dummyfunction("""COMPUTED_VALUE"""),44888.6666666667)</f>
        <v>44888.6666666667</v>
      </c>
      <c r="B479" s="5" t="n">
        <f aca="false">IFERROR(__xludf.dummyfunction("""COMPUTED_VALUE"""),149.45)</f>
        <v>149.45</v>
      </c>
      <c r="C479" s="5" t="n">
        <f aca="false">IFERROR(__xludf.dummyfunction("""COMPUTED_VALUE"""),151.83)</f>
        <v>151.83</v>
      </c>
      <c r="D479" s="5" t="n">
        <f aca="false">IFERROR(__xludf.dummyfunction("""COMPUTED_VALUE"""),149.34)</f>
        <v>149.34</v>
      </c>
      <c r="E479" s="5" t="n">
        <f aca="false">IFERROR(__xludf.dummyfunction("""COMPUTED_VALUE"""),151.07)</f>
        <v>151.07</v>
      </c>
      <c r="F479" s="5" t="n">
        <f aca="false">IFERROR(__xludf.dummyfunction("""COMPUTED_VALUE"""),58301395)</f>
        <v>58301395</v>
      </c>
    </row>
    <row r="480" customFormat="false" ht="15.75" hidden="false" customHeight="false" outlineLevel="0" collapsed="false">
      <c r="A480" s="6" t="n">
        <f aca="false">IFERROR(__xludf.dummyfunction("""COMPUTED_VALUE"""),44890.5451388889)</f>
        <v>44890.5451388889</v>
      </c>
      <c r="B480" s="5" t="n">
        <f aca="false">IFERROR(__xludf.dummyfunction("""COMPUTED_VALUE"""),148.31)</f>
        <v>148.31</v>
      </c>
      <c r="C480" s="5" t="n">
        <f aca="false">IFERROR(__xludf.dummyfunction("""COMPUTED_VALUE"""),148.88)</f>
        <v>148.88</v>
      </c>
      <c r="D480" s="5" t="n">
        <f aca="false">IFERROR(__xludf.dummyfunction("""COMPUTED_VALUE"""),147.12)</f>
        <v>147.12</v>
      </c>
      <c r="E480" s="5" t="n">
        <f aca="false">IFERROR(__xludf.dummyfunction("""COMPUTED_VALUE"""),148.11)</f>
        <v>148.11</v>
      </c>
      <c r="F480" s="5" t="n">
        <f aca="false">IFERROR(__xludf.dummyfunction("""COMPUTED_VALUE"""),35195860)</f>
        <v>35195860</v>
      </c>
    </row>
    <row r="481" customFormat="false" ht="15.75" hidden="false" customHeight="false" outlineLevel="0" collapsed="false">
      <c r="A481" s="6" t="n">
        <f aca="false">IFERROR(__xludf.dummyfunction("""COMPUTED_VALUE"""),44893.6666666667)</f>
        <v>44893.6666666667</v>
      </c>
      <c r="B481" s="5" t="n">
        <f aca="false">IFERROR(__xludf.dummyfunction("""COMPUTED_VALUE"""),145.14)</f>
        <v>145.14</v>
      </c>
      <c r="C481" s="5" t="n">
        <f aca="false">IFERROR(__xludf.dummyfunction("""COMPUTED_VALUE"""),146.64)</f>
        <v>146.64</v>
      </c>
      <c r="D481" s="5" t="n">
        <f aca="false">IFERROR(__xludf.dummyfunction("""COMPUTED_VALUE"""),143.38)</f>
        <v>143.38</v>
      </c>
      <c r="E481" s="5" t="n">
        <f aca="false">IFERROR(__xludf.dummyfunction("""COMPUTED_VALUE"""),144.22)</f>
        <v>144.22</v>
      </c>
      <c r="F481" s="5" t="n">
        <f aca="false">IFERROR(__xludf.dummyfunction("""COMPUTED_VALUE"""),69346522)</f>
        <v>69346522</v>
      </c>
    </row>
    <row r="482" customFormat="false" ht="15.75" hidden="false" customHeight="false" outlineLevel="0" collapsed="false">
      <c r="A482" s="6" t="n">
        <f aca="false">IFERROR(__xludf.dummyfunction("""COMPUTED_VALUE"""),44894.6666666667)</f>
        <v>44894.6666666667</v>
      </c>
      <c r="B482" s="5" t="n">
        <f aca="false">IFERROR(__xludf.dummyfunction("""COMPUTED_VALUE"""),144.29)</f>
        <v>144.29</v>
      </c>
      <c r="C482" s="5" t="n">
        <f aca="false">IFERROR(__xludf.dummyfunction("""COMPUTED_VALUE"""),144.81)</f>
        <v>144.81</v>
      </c>
      <c r="D482" s="5" t="n">
        <f aca="false">IFERROR(__xludf.dummyfunction("""COMPUTED_VALUE"""),140.35)</f>
        <v>140.35</v>
      </c>
      <c r="E482" s="5" t="n">
        <f aca="false">IFERROR(__xludf.dummyfunction("""COMPUTED_VALUE"""),141.17)</f>
        <v>141.17</v>
      </c>
      <c r="F482" s="5" t="n">
        <f aca="false">IFERROR(__xludf.dummyfunction("""COMPUTED_VALUE"""),83763803)</f>
        <v>83763803</v>
      </c>
    </row>
    <row r="483" customFormat="false" ht="15.75" hidden="false" customHeight="false" outlineLevel="0" collapsed="false">
      <c r="A483" s="6" t="n">
        <f aca="false">IFERROR(__xludf.dummyfunction("""COMPUTED_VALUE"""),44895.6666666667)</f>
        <v>44895.6666666667</v>
      </c>
      <c r="B483" s="5" t="n">
        <f aca="false">IFERROR(__xludf.dummyfunction("""COMPUTED_VALUE"""),141.4)</f>
        <v>141.4</v>
      </c>
      <c r="C483" s="5" t="n">
        <f aca="false">IFERROR(__xludf.dummyfunction("""COMPUTED_VALUE"""),148.72)</f>
        <v>148.72</v>
      </c>
      <c r="D483" s="5" t="n">
        <f aca="false">IFERROR(__xludf.dummyfunction("""COMPUTED_VALUE"""),140.55)</f>
        <v>140.55</v>
      </c>
      <c r="E483" s="5" t="n">
        <f aca="false">IFERROR(__xludf.dummyfunction("""COMPUTED_VALUE"""),148.03)</f>
        <v>148.03</v>
      </c>
      <c r="F483" s="5" t="n">
        <f aca="false">IFERROR(__xludf.dummyfunction("""COMPUTED_VALUE"""),111380880)</f>
        <v>111380880</v>
      </c>
    </row>
    <row r="484" customFormat="false" ht="15.75" hidden="false" customHeight="false" outlineLevel="0" collapsed="false">
      <c r="A484" s="6" t="n">
        <f aca="false">IFERROR(__xludf.dummyfunction("""COMPUTED_VALUE"""),44896.6666666667)</f>
        <v>44896.6666666667</v>
      </c>
      <c r="B484" s="5" t="n">
        <f aca="false">IFERROR(__xludf.dummyfunction("""COMPUTED_VALUE"""),148.21)</f>
        <v>148.21</v>
      </c>
      <c r="C484" s="5" t="n">
        <f aca="false">IFERROR(__xludf.dummyfunction("""COMPUTED_VALUE"""),149.13)</f>
        <v>149.13</v>
      </c>
      <c r="D484" s="5" t="n">
        <f aca="false">IFERROR(__xludf.dummyfunction("""COMPUTED_VALUE"""),146.61)</f>
        <v>146.61</v>
      </c>
      <c r="E484" s="5" t="n">
        <f aca="false">IFERROR(__xludf.dummyfunction("""COMPUTED_VALUE"""),148.31)</f>
        <v>148.31</v>
      </c>
      <c r="F484" s="5" t="n">
        <f aca="false">IFERROR(__xludf.dummyfunction("""COMPUTED_VALUE"""),71250416)</f>
        <v>71250416</v>
      </c>
    </row>
    <row r="485" customFormat="false" ht="15.75" hidden="false" customHeight="false" outlineLevel="0" collapsed="false">
      <c r="A485" s="6" t="n">
        <f aca="false">IFERROR(__xludf.dummyfunction("""COMPUTED_VALUE"""),44897.6666666667)</f>
        <v>44897.6666666667</v>
      </c>
      <c r="B485" s="5" t="n">
        <f aca="false">IFERROR(__xludf.dummyfunction("""COMPUTED_VALUE"""),145.96)</f>
        <v>145.96</v>
      </c>
      <c r="C485" s="5" t="n">
        <f aca="false">IFERROR(__xludf.dummyfunction("""COMPUTED_VALUE"""),148)</f>
        <v>148</v>
      </c>
      <c r="D485" s="5" t="n">
        <f aca="false">IFERROR(__xludf.dummyfunction("""COMPUTED_VALUE"""),145.65)</f>
        <v>145.65</v>
      </c>
      <c r="E485" s="5" t="n">
        <f aca="false">IFERROR(__xludf.dummyfunction("""COMPUTED_VALUE"""),147.81)</f>
        <v>147.81</v>
      </c>
      <c r="F485" s="5" t="n">
        <f aca="false">IFERROR(__xludf.dummyfunction("""COMPUTED_VALUE"""),65447446)</f>
        <v>65447446</v>
      </c>
    </row>
    <row r="486" customFormat="false" ht="15.75" hidden="false" customHeight="false" outlineLevel="0" collapsed="false">
      <c r="A486" s="6" t="n">
        <f aca="false">IFERROR(__xludf.dummyfunction("""COMPUTED_VALUE"""),44900.6666666667)</f>
        <v>44900.6666666667</v>
      </c>
      <c r="B486" s="5" t="n">
        <f aca="false">IFERROR(__xludf.dummyfunction("""COMPUTED_VALUE"""),147.77)</f>
        <v>147.77</v>
      </c>
      <c r="C486" s="5" t="n">
        <f aca="false">IFERROR(__xludf.dummyfunction("""COMPUTED_VALUE"""),150.92)</f>
        <v>150.92</v>
      </c>
      <c r="D486" s="5" t="n">
        <f aca="false">IFERROR(__xludf.dummyfunction("""COMPUTED_VALUE"""),145.77)</f>
        <v>145.77</v>
      </c>
      <c r="E486" s="5" t="n">
        <f aca="false">IFERROR(__xludf.dummyfunction("""COMPUTED_VALUE"""),146.63)</f>
        <v>146.63</v>
      </c>
      <c r="F486" s="5" t="n">
        <f aca="false">IFERROR(__xludf.dummyfunction("""COMPUTED_VALUE"""),68826442)</f>
        <v>68826442</v>
      </c>
    </row>
    <row r="487" customFormat="false" ht="15.75" hidden="false" customHeight="false" outlineLevel="0" collapsed="false">
      <c r="A487" s="6" t="n">
        <f aca="false">IFERROR(__xludf.dummyfunction("""COMPUTED_VALUE"""),44901.6666666667)</f>
        <v>44901.6666666667</v>
      </c>
      <c r="B487" s="5" t="n">
        <f aca="false">IFERROR(__xludf.dummyfunction("""COMPUTED_VALUE"""),147.07)</f>
        <v>147.07</v>
      </c>
      <c r="C487" s="5" t="n">
        <f aca="false">IFERROR(__xludf.dummyfunction("""COMPUTED_VALUE"""),147.3)</f>
        <v>147.3</v>
      </c>
      <c r="D487" s="5" t="n">
        <f aca="false">IFERROR(__xludf.dummyfunction("""COMPUTED_VALUE"""),141.92)</f>
        <v>141.92</v>
      </c>
      <c r="E487" s="5" t="n">
        <f aca="false">IFERROR(__xludf.dummyfunction("""COMPUTED_VALUE"""),142.91)</f>
        <v>142.91</v>
      </c>
      <c r="F487" s="5" t="n">
        <f aca="false">IFERROR(__xludf.dummyfunction("""COMPUTED_VALUE"""),64727186)</f>
        <v>64727186</v>
      </c>
    </row>
    <row r="488" customFormat="false" ht="15.75" hidden="false" customHeight="false" outlineLevel="0" collapsed="false">
      <c r="A488" s="6" t="n">
        <f aca="false">IFERROR(__xludf.dummyfunction("""COMPUTED_VALUE"""),44902.6666666667)</f>
        <v>44902.6666666667</v>
      </c>
      <c r="B488" s="5" t="n">
        <f aca="false">IFERROR(__xludf.dummyfunction("""COMPUTED_VALUE"""),142.19)</f>
        <v>142.19</v>
      </c>
      <c r="C488" s="5" t="n">
        <f aca="false">IFERROR(__xludf.dummyfunction("""COMPUTED_VALUE"""),143.37)</f>
        <v>143.37</v>
      </c>
      <c r="D488" s="5" t="n">
        <f aca="false">IFERROR(__xludf.dummyfunction("""COMPUTED_VALUE"""),140)</f>
        <v>140</v>
      </c>
      <c r="E488" s="5" t="n">
        <f aca="false">IFERROR(__xludf.dummyfunction("""COMPUTED_VALUE"""),140.94)</f>
        <v>140.94</v>
      </c>
      <c r="F488" s="5" t="n">
        <f aca="false">IFERROR(__xludf.dummyfunction("""COMPUTED_VALUE"""),69721094)</f>
        <v>69721094</v>
      </c>
    </row>
    <row r="489" customFormat="false" ht="15.75" hidden="false" customHeight="false" outlineLevel="0" collapsed="false">
      <c r="A489" s="6" t="n">
        <f aca="false">IFERROR(__xludf.dummyfunction("""COMPUTED_VALUE"""),44903.6666666667)</f>
        <v>44903.6666666667</v>
      </c>
      <c r="B489" s="5" t="n">
        <f aca="false">IFERROR(__xludf.dummyfunction("""COMPUTED_VALUE"""),142.36)</f>
        <v>142.36</v>
      </c>
      <c r="C489" s="5" t="n">
        <f aca="false">IFERROR(__xludf.dummyfunction("""COMPUTED_VALUE"""),143.52)</f>
        <v>143.52</v>
      </c>
      <c r="D489" s="5" t="n">
        <f aca="false">IFERROR(__xludf.dummyfunction("""COMPUTED_VALUE"""),141.1)</f>
        <v>141.1</v>
      </c>
      <c r="E489" s="5" t="n">
        <f aca="false">IFERROR(__xludf.dummyfunction("""COMPUTED_VALUE"""),142.65)</f>
        <v>142.65</v>
      </c>
      <c r="F489" s="5" t="n">
        <f aca="false">IFERROR(__xludf.dummyfunction("""COMPUTED_VALUE"""),62128338)</f>
        <v>62128338</v>
      </c>
    </row>
    <row r="490" customFormat="false" ht="15.75" hidden="false" customHeight="false" outlineLevel="0" collapsed="false">
      <c r="A490" s="6" t="n">
        <f aca="false">IFERROR(__xludf.dummyfunction("""COMPUTED_VALUE"""),44904.6666666667)</f>
        <v>44904.6666666667</v>
      </c>
      <c r="B490" s="5" t="n">
        <f aca="false">IFERROR(__xludf.dummyfunction("""COMPUTED_VALUE"""),142.34)</f>
        <v>142.34</v>
      </c>
      <c r="C490" s="5" t="n">
        <f aca="false">IFERROR(__xludf.dummyfunction("""COMPUTED_VALUE"""),145.57)</f>
        <v>145.57</v>
      </c>
      <c r="D490" s="5" t="n">
        <f aca="false">IFERROR(__xludf.dummyfunction("""COMPUTED_VALUE"""),140.9)</f>
        <v>140.9</v>
      </c>
      <c r="E490" s="5" t="n">
        <f aca="false">IFERROR(__xludf.dummyfunction("""COMPUTED_VALUE"""),142.16)</f>
        <v>142.16</v>
      </c>
      <c r="F490" s="5" t="n">
        <f aca="false">IFERROR(__xludf.dummyfunction("""COMPUTED_VALUE"""),76097011)</f>
        <v>76097011</v>
      </c>
    </row>
    <row r="491" customFormat="false" ht="15.75" hidden="false" customHeight="false" outlineLevel="0" collapsed="false">
      <c r="A491" s="6" t="n">
        <f aca="false">IFERROR(__xludf.dummyfunction("""COMPUTED_VALUE"""),44907.6666666667)</f>
        <v>44907.6666666667</v>
      </c>
      <c r="B491" s="5" t="n">
        <f aca="false">IFERROR(__xludf.dummyfunction("""COMPUTED_VALUE"""),142.7)</f>
        <v>142.7</v>
      </c>
      <c r="C491" s="5" t="n">
        <f aca="false">IFERROR(__xludf.dummyfunction("""COMPUTED_VALUE"""),144.5)</f>
        <v>144.5</v>
      </c>
      <c r="D491" s="5" t="n">
        <f aca="false">IFERROR(__xludf.dummyfunction("""COMPUTED_VALUE"""),141.06)</f>
        <v>141.06</v>
      </c>
      <c r="E491" s="5" t="n">
        <f aca="false">IFERROR(__xludf.dummyfunction("""COMPUTED_VALUE"""),144.49)</f>
        <v>144.49</v>
      </c>
      <c r="F491" s="5" t="n">
        <f aca="false">IFERROR(__xludf.dummyfunction("""COMPUTED_VALUE"""),70462654)</f>
        <v>70462654</v>
      </c>
    </row>
    <row r="492" customFormat="false" ht="15.75" hidden="false" customHeight="false" outlineLevel="0" collapsed="false">
      <c r="A492" s="6" t="n">
        <f aca="false">IFERROR(__xludf.dummyfunction("""COMPUTED_VALUE"""),44908.6666666667)</f>
        <v>44908.6666666667</v>
      </c>
      <c r="B492" s="5" t="n">
        <f aca="false">IFERROR(__xludf.dummyfunction("""COMPUTED_VALUE"""),149.5)</f>
        <v>149.5</v>
      </c>
      <c r="C492" s="5" t="n">
        <f aca="false">IFERROR(__xludf.dummyfunction("""COMPUTED_VALUE"""),149.97)</f>
        <v>149.97</v>
      </c>
      <c r="D492" s="5" t="n">
        <f aca="false">IFERROR(__xludf.dummyfunction("""COMPUTED_VALUE"""),144.24)</f>
        <v>144.24</v>
      </c>
      <c r="E492" s="5" t="n">
        <f aca="false">IFERROR(__xludf.dummyfunction("""COMPUTED_VALUE"""),145.47)</f>
        <v>145.47</v>
      </c>
      <c r="F492" s="5" t="n">
        <f aca="false">IFERROR(__xludf.dummyfunction("""COMPUTED_VALUE"""),93886161)</f>
        <v>93886161</v>
      </c>
    </row>
    <row r="493" customFormat="false" ht="15.75" hidden="false" customHeight="false" outlineLevel="0" collapsed="false">
      <c r="A493" s="6" t="n">
        <f aca="false">IFERROR(__xludf.dummyfunction("""COMPUTED_VALUE"""),44909.6666666667)</f>
        <v>44909.6666666667</v>
      </c>
      <c r="B493" s="5" t="n">
        <f aca="false">IFERROR(__xludf.dummyfunction("""COMPUTED_VALUE"""),145.35)</f>
        <v>145.35</v>
      </c>
      <c r="C493" s="5" t="n">
        <f aca="false">IFERROR(__xludf.dummyfunction("""COMPUTED_VALUE"""),146.66)</f>
        <v>146.66</v>
      </c>
      <c r="D493" s="5" t="n">
        <f aca="false">IFERROR(__xludf.dummyfunction("""COMPUTED_VALUE"""),141.16)</f>
        <v>141.16</v>
      </c>
      <c r="E493" s="5" t="n">
        <f aca="false">IFERROR(__xludf.dummyfunction("""COMPUTED_VALUE"""),143.21)</f>
        <v>143.21</v>
      </c>
      <c r="F493" s="5" t="n">
        <f aca="false">IFERROR(__xludf.dummyfunction("""COMPUTED_VALUE"""),82291182)</f>
        <v>82291182</v>
      </c>
    </row>
    <row r="494" customFormat="false" ht="15.75" hidden="false" customHeight="false" outlineLevel="0" collapsed="false">
      <c r="A494" s="6" t="n">
        <f aca="false">IFERROR(__xludf.dummyfunction("""COMPUTED_VALUE"""),44910.6666666667)</f>
        <v>44910.6666666667</v>
      </c>
      <c r="B494" s="5" t="n">
        <f aca="false">IFERROR(__xludf.dummyfunction("""COMPUTED_VALUE"""),141.11)</f>
        <v>141.11</v>
      </c>
      <c r="C494" s="5" t="n">
        <f aca="false">IFERROR(__xludf.dummyfunction("""COMPUTED_VALUE"""),141.8)</f>
        <v>141.8</v>
      </c>
      <c r="D494" s="5" t="n">
        <f aca="false">IFERROR(__xludf.dummyfunction("""COMPUTED_VALUE"""),136.03)</f>
        <v>136.03</v>
      </c>
      <c r="E494" s="5" t="n">
        <f aca="false">IFERROR(__xludf.dummyfunction("""COMPUTED_VALUE"""),136.5)</f>
        <v>136.5</v>
      </c>
      <c r="F494" s="5" t="n">
        <f aca="false">IFERROR(__xludf.dummyfunction("""COMPUTED_VALUE"""),98931907)</f>
        <v>98931907</v>
      </c>
    </row>
    <row r="495" customFormat="false" ht="15.75" hidden="false" customHeight="false" outlineLevel="0" collapsed="false">
      <c r="A495" s="6" t="n">
        <f aca="false">IFERROR(__xludf.dummyfunction("""COMPUTED_VALUE"""),44911.6666666667)</f>
        <v>44911.6666666667</v>
      </c>
      <c r="B495" s="5" t="n">
        <f aca="false">IFERROR(__xludf.dummyfunction("""COMPUTED_VALUE"""),136.69)</f>
        <v>136.69</v>
      </c>
      <c r="C495" s="5" t="n">
        <f aca="false">IFERROR(__xludf.dummyfunction("""COMPUTED_VALUE"""),137.65)</f>
        <v>137.65</v>
      </c>
      <c r="D495" s="5" t="n">
        <f aca="false">IFERROR(__xludf.dummyfunction("""COMPUTED_VALUE"""),133.73)</f>
        <v>133.73</v>
      </c>
      <c r="E495" s="5" t="n">
        <f aca="false">IFERROR(__xludf.dummyfunction("""COMPUTED_VALUE"""),134.51)</f>
        <v>134.51</v>
      </c>
      <c r="F495" s="5" t="n">
        <f aca="false">IFERROR(__xludf.dummyfunction("""COMPUTED_VALUE"""),160156900)</f>
        <v>160156900</v>
      </c>
    </row>
    <row r="496" customFormat="false" ht="15.75" hidden="false" customHeight="false" outlineLevel="0" collapsed="false">
      <c r="A496" s="6" t="n">
        <f aca="false">IFERROR(__xludf.dummyfunction("""COMPUTED_VALUE"""),44914.6666666667)</f>
        <v>44914.6666666667</v>
      </c>
      <c r="B496" s="5" t="n">
        <f aca="false">IFERROR(__xludf.dummyfunction("""COMPUTED_VALUE"""),135.11)</f>
        <v>135.11</v>
      </c>
      <c r="C496" s="5" t="n">
        <f aca="false">IFERROR(__xludf.dummyfunction("""COMPUTED_VALUE"""),135.2)</f>
        <v>135.2</v>
      </c>
      <c r="D496" s="5" t="n">
        <f aca="false">IFERROR(__xludf.dummyfunction("""COMPUTED_VALUE"""),131.32)</f>
        <v>131.32</v>
      </c>
      <c r="E496" s="5" t="n">
        <f aca="false">IFERROR(__xludf.dummyfunction("""COMPUTED_VALUE"""),132.37)</f>
        <v>132.37</v>
      </c>
      <c r="F496" s="5" t="n">
        <f aca="false">IFERROR(__xludf.dummyfunction("""COMPUTED_VALUE"""),79592614)</f>
        <v>79592614</v>
      </c>
    </row>
    <row r="497" customFormat="false" ht="15.75" hidden="false" customHeight="false" outlineLevel="0" collapsed="false">
      <c r="A497" s="6" t="n">
        <f aca="false">IFERROR(__xludf.dummyfunction("""COMPUTED_VALUE"""),44915.6666666667)</f>
        <v>44915.6666666667</v>
      </c>
      <c r="B497" s="5" t="n">
        <f aca="false">IFERROR(__xludf.dummyfunction("""COMPUTED_VALUE"""),131.39)</f>
        <v>131.39</v>
      </c>
      <c r="C497" s="5" t="n">
        <f aca="false">IFERROR(__xludf.dummyfunction("""COMPUTED_VALUE"""),133.25)</f>
        <v>133.25</v>
      </c>
      <c r="D497" s="5" t="n">
        <f aca="false">IFERROR(__xludf.dummyfunction("""COMPUTED_VALUE"""),129.89)</f>
        <v>129.89</v>
      </c>
      <c r="E497" s="5" t="n">
        <f aca="false">IFERROR(__xludf.dummyfunction("""COMPUTED_VALUE"""),132.3)</f>
        <v>132.3</v>
      </c>
      <c r="F497" s="5" t="n">
        <f aca="false">IFERROR(__xludf.dummyfunction("""COMPUTED_VALUE"""),77432819)</f>
        <v>77432819</v>
      </c>
    </row>
    <row r="498" customFormat="false" ht="15.75" hidden="false" customHeight="false" outlineLevel="0" collapsed="false">
      <c r="A498" s="6" t="n">
        <f aca="false">IFERROR(__xludf.dummyfunction("""COMPUTED_VALUE"""),44916.6666666667)</f>
        <v>44916.6666666667</v>
      </c>
      <c r="B498" s="5" t="n">
        <f aca="false">IFERROR(__xludf.dummyfunction("""COMPUTED_VALUE"""),132.98)</f>
        <v>132.98</v>
      </c>
      <c r="C498" s="5" t="n">
        <f aca="false">IFERROR(__xludf.dummyfunction("""COMPUTED_VALUE"""),136.81)</f>
        <v>136.81</v>
      </c>
      <c r="D498" s="5" t="n">
        <f aca="false">IFERROR(__xludf.dummyfunction("""COMPUTED_VALUE"""),132.75)</f>
        <v>132.75</v>
      </c>
      <c r="E498" s="5" t="n">
        <f aca="false">IFERROR(__xludf.dummyfunction("""COMPUTED_VALUE"""),135.45)</f>
        <v>135.45</v>
      </c>
      <c r="F498" s="5" t="n">
        <f aca="false">IFERROR(__xludf.dummyfunction("""COMPUTED_VALUE"""),85927993)</f>
        <v>85927993</v>
      </c>
    </row>
    <row r="499" customFormat="false" ht="15.75" hidden="false" customHeight="false" outlineLevel="0" collapsed="false">
      <c r="A499" s="6" t="n">
        <f aca="false">IFERROR(__xludf.dummyfunction("""COMPUTED_VALUE"""),44917.6666666667)</f>
        <v>44917.6666666667</v>
      </c>
      <c r="B499" s="5" t="n">
        <f aca="false">IFERROR(__xludf.dummyfunction("""COMPUTED_VALUE"""),134.35)</f>
        <v>134.35</v>
      </c>
      <c r="C499" s="5" t="n">
        <f aca="false">IFERROR(__xludf.dummyfunction("""COMPUTED_VALUE"""),134.56)</f>
        <v>134.56</v>
      </c>
      <c r="D499" s="5" t="n">
        <f aca="false">IFERROR(__xludf.dummyfunction("""COMPUTED_VALUE"""),130.3)</f>
        <v>130.3</v>
      </c>
      <c r="E499" s="5" t="n">
        <f aca="false">IFERROR(__xludf.dummyfunction("""COMPUTED_VALUE"""),132.23)</f>
        <v>132.23</v>
      </c>
      <c r="F499" s="5" t="n">
        <f aca="false">IFERROR(__xludf.dummyfunction("""COMPUTED_VALUE"""),77852108)</f>
        <v>77852108</v>
      </c>
    </row>
    <row r="500" customFormat="false" ht="15.75" hidden="false" customHeight="false" outlineLevel="0" collapsed="false">
      <c r="A500" s="6" t="n">
        <f aca="false">IFERROR(__xludf.dummyfunction("""COMPUTED_VALUE"""),44918.6666666667)</f>
        <v>44918.6666666667</v>
      </c>
      <c r="B500" s="5" t="n">
        <f aca="false">IFERROR(__xludf.dummyfunction("""COMPUTED_VALUE"""),130.92)</f>
        <v>130.92</v>
      </c>
      <c r="C500" s="5" t="n">
        <f aca="false">IFERROR(__xludf.dummyfunction("""COMPUTED_VALUE"""),132.42)</f>
        <v>132.42</v>
      </c>
      <c r="D500" s="5" t="n">
        <f aca="false">IFERROR(__xludf.dummyfunction("""COMPUTED_VALUE"""),129.64)</f>
        <v>129.64</v>
      </c>
      <c r="E500" s="5" t="n">
        <f aca="false">IFERROR(__xludf.dummyfunction("""COMPUTED_VALUE"""),131.86)</f>
        <v>131.86</v>
      </c>
      <c r="F500" s="5" t="n">
        <f aca="false">IFERROR(__xludf.dummyfunction("""COMPUTED_VALUE"""),63814893)</f>
        <v>63814893</v>
      </c>
    </row>
    <row r="501" customFormat="false" ht="15.75" hidden="false" customHeight="false" outlineLevel="0" collapsed="false">
      <c r="A501" s="6" t="n">
        <f aca="false">IFERROR(__xludf.dummyfunction("""COMPUTED_VALUE"""),44922.6666666667)</f>
        <v>44922.6666666667</v>
      </c>
      <c r="B501" s="5" t="n">
        <f aca="false">IFERROR(__xludf.dummyfunction("""COMPUTED_VALUE"""),131.38)</f>
        <v>131.38</v>
      </c>
      <c r="C501" s="5" t="n">
        <f aca="false">IFERROR(__xludf.dummyfunction("""COMPUTED_VALUE"""),131.41)</f>
        <v>131.41</v>
      </c>
      <c r="D501" s="5" t="n">
        <f aca="false">IFERROR(__xludf.dummyfunction("""COMPUTED_VALUE"""),128.72)</f>
        <v>128.72</v>
      </c>
      <c r="E501" s="5" t="n">
        <f aca="false">IFERROR(__xludf.dummyfunction("""COMPUTED_VALUE"""),130.03)</f>
        <v>130.03</v>
      </c>
      <c r="F501" s="5" t="n">
        <f aca="false">IFERROR(__xludf.dummyfunction("""COMPUTED_VALUE"""),69007830)</f>
        <v>69007830</v>
      </c>
    </row>
    <row r="502" customFormat="false" ht="15.75" hidden="false" customHeight="false" outlineLevel="0" collapsed="false">
      <c r="A502" s="6" t="n">
        <f aca="false">IFERROR(__xludf.dummyfunction("""COMPUTED_VALUE"""),44923.6666666667)</f>
        <v>44923.6666666667</v>
      </c>
      <c r="B502" s="5" t="n">
        <f aca="false">IFERROR(__xludf.dummyfunction("""COMPUTED_VALUE"""),129.67)</f>
        <v>129.67</v>
      </c>
      <c r="C502" s="5" t="n">
        <f aca="false">IFERROR(__xludf.dummyfunction("""COMPUTED_VALUE"""),131.03)</f>
        <v>131.03</v>
      </c>
      <c r="D502" s="5" t="n">
        <f aca="false">IFERROR(__xludf.dummyfunction("""COMPUTED_VALUE"""),125.87)</f>
        <v>125.87</v>
      </c>
      <c r="E502" s="5" t="n">
        <f aca="false">IFERROR(__xludf.dummyfunction("""COMPUTED_VALUE"""),126.04)</f>
        <v>126.04</v>
      </c>
      <c r="F502" s="5" t="n">
        <f aca="false">IFERROR(__xludf.dummyfunction("""COMPUTED_VALUE"""),85438391)</f>
        <v>85438391</v>
      </c>
    </row>
    <row r="503" customFormat="false" ht="15.75" hidden="false" customHeight="false" outlineLevel="0" collapsed="false">
      <c r="A503" s="6" t="n">
        <f aca="false">IFERROR(__xludf.dummyfunction("""COMPUTED_VALUE"""),44924.6666666667)</f>
        <v>44924.6666666667</v>
      </c>
      <c r="B503" s="5" t="n">
        <f aca="false">IFERROR(__xludf.dummyfunction("""COMPUTED_VALUE"""),127.99)</f>
        <v>127.99</v>
      </c>
      <c r="C503" s="5" t="n">
        <f aca="false">IFERROR(__xludf.dummyfunction("""COMPUTED_VALUE"""),130.48)</f>
        <v>130.48</v>
      </c>
      <c r="D503" s="5" t="n">
        <f aca="false">IFERROR(__xludf.dummyfunction("""COMPUTED_VALUE"""),127.73)</f>
        <v>127.73</v>
      </c>
      <c r="E503" s="5" t="n">
        <f aca="false">IFERROR(__xludf.dummyfunction("""COMPUTED_VALUE"""),129.61)</f>
        <v>129.61</v>
      </c>
      <c r="F503" s="5" t="n">
        <f aca="false">IFERROR(__xludf.dummyfunction("""COMPUTED_VALUE"""),75703710)</f>
        <v>75703710</v>
      </c>
    </row>
    <row r="504" customFormat="false" ht="15.75" hidden="false" customHeight="false" outlineLevel="0" collapsed="false">
      <c r="A504" s="6" t="n">
        <f aca="false">IFERROR(__xludf.dummyfunction("""COMPUTED_VALUE"""),44925.6666666667)</f>
        <v>44925.6666666667</v>
      </c>
      <c r="B504" s="5" t="n">
        <f aca="false">IFERROR(__xludf.dummyfunction("""COMPUTED_VALUE"""),128.41)</f>
        <v>128.41</v>
      </c>
      <c r="C504" s="5" t="n">
        <f aca="false">IFERROR(__xludf.dummyfunction("""COMPUTED_VALUE"""),129.95)</f>
        <v>129.95</v>
      </c>
      <c r="D504" s="5" t="n">
        <f aca="false">IFERROR(__xludf.dummyfunction("""COMPUTED_VALUE"""),127.43)</f>
        <v>127.43</v>
      </c>
      <c r="E504" s="5" t="n">
        <f aca="false">IFERROR(__xludf.dummyfunction("""COMPUTED_VALUE"""),129.93)</f>
        <v>129.93</v>
      </c>
      <c r="F504" s="5" t="n">
        <f aca="false">IFERROR(__xludf.dummyfunction("""COMPUTED_VALUE"""),77034209)</f>
        <v>77034209</v>
      </c>
    </row>
    <row r="505" customFormat="false" ht="15.75" hidden="false" customHeight="false" outlineLevel="0" collapsed="false">
      <c r="A505" s="6" t="n">
        <f aca="false">IFERROR(__xludf.dummyfunction("""COMPUTED_VALUE"""),44929.6666666667)</f>
        <v>44929.6666666667</v>
      </c>
      <c r="B505" s="5" t="n">
        <f aca="false">IFERROR(__xludf.dummyfunction("""COMPUTED_VALUE"""),130.28)</f>
        <v>130.28</v>
      </c>
      <c r="C505" s="5" t="n">
        <f aca="false">IFERROR(__xludf.dummyfunction("""COMPUTED_VALUE"""),130.9)</f>
        <v>130.9</v>
      </c>
      <c r="D505" s="5" t="n">
        <f aca="false">IFERROR(__xludf.dummyfunction("""COMPUTED_VALUE"""),124.17)</f>
        <v>124.17</v>
      </c>
      <c r="E505" s="5" t="n">
        <f aca="false">IFERROR(__xludf.dummyfunction("""COMPUTED_VALUE"""),125.07)</f>
        <v>125.07</v>
      </c>
      <c r="F505" s="5" t="n">
        <f aca="false">IFERROR(__xludf.dummyfunction("""COMPUTED_VALUE"""),112117471)</f>
        <v>112117471</v>
      </c>
    </row>
    <row r="506" customFormat="false" ht="15.75" hidden="false" customHeight="false" outlineLevel="0" collapsed="false">
      <c r="A506" s="6" t="n">
        <f aca="false">IFERROR(__xludf.dummyfunction("""COMPUTED_VALUE"""),44930.6666666667)</f>
        <v>44930.6666666667</v>
      </c>
      <c r="B506" s="5" t="n">
        <f aca="false">IFERROR(__xludf.dummyfunction("""COMPUTED_VALUE"""),126.89)</f>
        <v>126.89</v>
      </c>
      <c r="C506" s="5" t="n">
        <f aca="false">IFERROR(__xludf.dummyfunction("""COMPUTED_VALUE"""),128.66)</f>
        <v>128.66</v>
      </c>
      <c r="D506" s="5" t="n">
        <f aca="false">IFERROR(__xludf.dummyfunction("""COMPUTED_VALUE"""),125.08)</f>
        <v>125.08</v>
      </c>
      <c r="E506" s="5" t="n">
        <f aca="false">IFERROR(__xludf.dummyfunction("""COMPUTED_VALUE"""),126.36)</f>
        <v>126.36</v>
      </c>
      <c r="F506" s="5" t="n">
        <f aca="false">IFERROR(__xludf.dummyfunction("""COMPUTED_VALUE"""),89113633)</f>
        <v>89113633</v>
      </c>
    </row>
    <row r="507" customFormat="false" ht="15.75" hidden="false" customHeight="false" outlineLevel="0" collapsed="false">
      <c r="A507" s="6" t="n">
        <f aca="false">IFERROR(__xludf.dummyfunction("""COMPUTED_VALUE"""),44931.6666666667)</f>
        <v>44931.6666666667</v>
      </c>
      <c r="B507" s="5" t="n">
        <f aca="false">IFERROR(__xludf.dummyfunction("""COMPUTED_VALUE"""),127.13)</f>
        <v>127.13</v>
      </c>
      <c r="C507" s="5" t="n">
        <f aca="false">IFERROR(__xludf.dummyfunction("""COMPUTED_VALUE"""),127.77)</f>
        <v>127.77</v>
      </c>
      <c r="D507" s="5" t="n">
        <f aca="false">IFERROR(__xludf.dummyfunction("""COMPUTED_VALUE"""),124.76)</f>
        <v>124.76</v>
      </c>
      <c r="E507" s="5" t="n">
        <f aca="false">IFERROR(__xludf.dummyfunction("""COMPUTED_VALUE"""),125.02)</f>
        <v>125.02</v>
      </c>
      <c r="F507" s="5" t="n">
        <f aca="false">IFERROR(__xludf.dummyfunction("""COMPUTED_VALUE"""),80962708)</f>
        <v>80962708</v>
      </c>
    </row>
    <row r="508" customFormat="false" ht="15.75" hidden="false" customHeight="false" outlineLevel="0" collapsed="false">
      <c r="A508" s="6" t="n">
        <f aca="false">IFERROR(__xludf.dummyfunction("""COMPUTED_VALUE"""),44932.6666666667)</f>
        <v>44932.6666666667</v>
      </c>
      <c r="B508" s="5" t="n">
        <f aca="false">IFERROR(__xludf.dummyfunction("""COMPUTED_VALUE"""),126.01)</f>
        <v>126.01</v>
      </c>
      <c r="C508" s="5" t="n">
        <f aca="false">IFERROR(__xludf.dummyfunction("""COMPUTED_VALUE"""),130.29)</f>
        <v>130.29</v>
      </c>
      <c r="D508" s="5" t="n">
        <f aca="false">IFERROR(__xludf.dummyfunction("""COMPUTED_VALUE"""),124.89)</f>
        <v>124.89</v>
      </c>
      <c r="E508" s="5" t="n">
        <f aca="false">IFERROR(__xludf.dummyfunction("""COMPUTED_VALUE"""),129.62)</f>
        <v>129.62</v>
      </c>
      <c r="F508" s="5" t="n">
        <f aca="false">IFERROR(__xludf.dummyfunction("""COMPUTED_VALUE"""),87754715)</f>
        <v>87754715</v>
      </c>
    </row>
    <row r="509" customFormat="false" ht="15.75" hidden="false" customHeight="false" outlineLevel="0" collapsed="false">
      <c r="A509" s="6" t="n">
        <f aca="false">IFERROR(__xludf.dummyfunction("""COMPUTED_VALUE"""),44935.6666666667)</f>
        <v>44935.6666666667</v>
      </c>
      <c r="B509" s="5" t="n">
        <f aca="false">IFERROR(__xludf.dummyfunction("""COMPUTED_VALUE"""),130.47)</f>
        <v>130.47</v>
      </c>
      <c r="C509" s="5" t="n">
        <f aca="false">IFERROR(__xludf.dummyfunction("""COMPUTED_VALUE"""),133.41)</f>
        <v>133.41</v>
      </c>
      <c r="D509" s="5" t="n">
        <f aca="false">IFERROR(__xludf.dummyfunction("""COMPUTED_VALUE"""),129.89)</f>
        <v>129.89</v>
      </c>
      <c r="E509" s="5" t="n">
        <f aca="false">IFERROR(__xludf.dummyfunction("""COMPUTED_VALUE"""),130.15)</f>
        <v>130.15</v>
      </c>
      <c r="F509" s="5" t="n">
        <f aca="false">IFERROR(__xludf.dummyfunction("""COMPUTED_VALUE"""),70790813)</f>
        <v>70790813</v>
      </c>
    </row>
    <row r="510" customFormat="false" ht="15.75" hidden="false" customHeight="false" outlineLevel="0" collapsed="false">
      <c r="A510" s="6" t="n">
        <f aca="false">IFERROR(__xludf.dummyfunction("""COMPUTED_VALUE"""),44936.6666666667)</f>
        <v>44936.6666666667</v>
      </c>
      <c r="B510" s="5" t="n">
        <f aca="false">IFERROR(__xludf.dummyfunction("""COMPUTED_VALUE"""),130.26)</f>
        <v>130.26</v>
      </c>
      <c r="C510" s="5" t="n">
        <f aca="false">IFERROR(__xludf.dummyfunction("""COMPUTED_VALUE"""),131.26)</f>
        <v>131.26</v>
      </c>
      <c r="D510" s="5" t="n">
        <f aca="false">IFERROR(__xludf.dummyfunction("""COMPUTED_VALUE"""),128.12)</f>
        <v>128.12</v>
      </c>
      <c r="E510" s="5" t="n">
        <f aca="false">IFERROR(__xludf.dummyfunction("""COMPUTED_VALUE"""),130.73)</f>
        <v>130.73</v>
      </c>
      <c r="F510" s="5" t="n">
        <f aca="false">IFERROR(__xludf.dummyfunction("""COMPUTED_VALUE"""),63896155)</f>
        <v>63896155</v>
      </c>
    </row>
    <row r="511" customFormat="false" ht="15.75" hidden="false" customHeight="false" outlineLevel="0" collapsed="false">
      <c r="A511" s="6" t="n">
        <f aca="false">IFERROR(__xludf.dummyfunction("""COMPUTED_VALUE"""),44937.6666666667)</f>
        <v>44937.6666666667</v>
      </c>
      <c r="B511" s="5" t="n">
        <f aca="false">IFERROR(__xludf.dummyfunction("""COMPUTED_VALUE"""),131.25)</f>
        <v>131.25</v>
      </c>
      <c r="C511" s="5" t="n">
        <f aca="false">IFERROR(__xludf.dummyfunction("""COMPUTED_VALUE"""),133.51)</f>
        <v>133.51</v>
      </c>
      <c r="D511" s="5" t="n">
        <f aca="false">IFERROR(__xludf.dummyfunction("""COMPUTED_VALUE"""),130.46)</f>
        <v>130.46</v>
      </c>
      <c r="E511" s="5" t="n">
        <f aca="false">IFERROR(__xludf.dummyfunction("""COMPUTED_VALUE"""),133.49)</f>
        <v>133.49</v>
      </c>
      <c r="F511" s="5" t="n">
        <f aca="false">IFERROR(__xludf.dummyfunction("""COMPUTED_VALUE"""),69458949)</f>
        <v>69458949</v>
      </c>
    </row>
    <row r="512" customFormat="false" ht="15.75" hidden="false" customHeight="false" outlineLevel="0" collapsed="false">
      <c r="A512" s="6" t="n">
        <f aca="false">IFERROR(__xludf.dummyfunction("""COMPUTED_VALUE"""),44938.6666666667)</f>
        <v>44938.6666666667</v>
      </c>
      <c r="B512" s="5" t="n">
        <f aca="false">IFERROR(__xludf.dummyfunction("""COMPUTED_VALUE"""),133.88)</f>
        <v>133.88</v>
      </c>
      <c r="C512" s="5" t="n">
        <f aca="false">IFERROR(__xludf.dummyfunction("""COMPUTED_VALUE"""),134.26)</f>
        <v>134.26</v>
      </c>
      <c r="D512" s="5" t="n">
        <f aca="false">IFERROR(__xludf.dummyfunction("""COMPUTED_VALUE"""),131.44)</f>
        <v>131.44</v>
      </c>
      <c r="E512" s="5" t="n">
        <f aca="false">IFERROR(__xludf.dummyfunction("""COMPUTED_VALUE"""),133.41)</f>
        <v>133.41</v>
      </c>
      <c r="F512" s="5" t="n">
        <f aca="false">IFERROR(__xludf.dummyfunction("""COMPUTED_VALUE"""),71379648)</f>
        <v>71379648</v>
      </c>
    </row>
    <row r="513" customFormat="false" ht="15.75" hidden="false" customHeight="false" outlineLevel="0" collapsed="false">
      <c r="A513" s="6" t="n">
        <f aca="false">IFERROR(__xludf.dummyfunction("""COMPUTED_VALUE"""),44939.6666666667)</f>
        <v>44939.6666666667</v>
      </c>
      <c r="B513" s="5" t="n">
        <f aca="false">IFERROR(__xludf.dummyfunction("""COMPUTED_VALUE"""),132.03)</f>
        <v>132.03</v>
      </c>
      <c r="C513" s="5" t="n">
        <f aca="false">IFERROR(__xludf.dummyfunction("""COMPUTED_VALUE"""),134.92)</f>
        <v>134.92</v>
      </c>
      <c r="D513" s="5" t="n">
        <f aca="false">IFERROR(__xludf.dummyfunction("""COMPUTED_VALUE"""),131.66)</f>
        <v>131.66</v>
      </c>
      <c r="E513" s="5" t="n">
        <f aca="false">IFERROR(__xludf.dummyfunction("""COMPUTED_VALUE"""),134.76)</f>
        <v>134.76</v>
      </c>
      <c r="F513" s="5" t="n">
        <f aca="false">IFERROR(__xludf.dummyfunction("""COMPUTED_VALUE"""),57809719)</f>
        <v>57809719</v>
      </c>
    </row>
    <row r="514" customFormat="false" ht="15.75" hidden="false" customHeight="false" outlineLevel="0" collapsed="false">
      <c r="A514" s="6" t="n">
        <f aca="false">IFERROR(__xludf.dummyfunction("""COMPUTED_VALUE"""),44943.6666666667)</f>
        <v>44943.6666666667</v>
      </c>
      <c r="B514" s="5" t="n">
        <f aca="false">IFERROR(__xludf.dummyfunction("""COMPUTED_VALUE"""),134.83)</f>
        <v>134.83</v>
      </c>
      <c r="C514" s="5" t="n">
        <f aca="false">IFERROR(__xludf.dummyfunction("""COMPUTED_VALUE"""),137.29)</f>
        <v>137.29</v>
      </c>
      <c r="D514" s="5" t="n">
        <f aca="false">IFERROR(__xludf.dummyfunction("""COMPUTED_VALUE"""),134.13)</f>
        <v>134.13</v>
      </c>
      <c r="E514" s="5" t="n">
        <f aca="false">IFERROR(__xludf.dummyfunction("""COMPUTED_VALUE"""),135.94)</f>
        <v>135.94</v>
      </c>
      <c r="F514" s="5" t="n">
        <f aca="false">IFERROR(__xludf.dummyfunction("""COMPUTED_VALUE"""),63646627)</f>
        <v>63646627</v>
      </c>
    </row>
    <row r="515" customFormat="false" ht="15.75" hidden="false" customHeight="false" outlineLevel="0" collapsed="false">
      <c r="A515" s="6" t="n">
        <f aca="false">IFERROR(__xludf.dummyfunction("""COMPUTED_VALUE"""),44944.6666666667)</f>
        <v>44944.6666666667</v>
      </c>
      <c r="B515" s="5" t="n">
        <f aca="false">IFERROR(__xludf.dummyfunction("""COMPUTED_VALUE"""),136.82)</f>
        <v>136.82</v>
      </c>
      <c r="C515" s="5" t="n">
        <f aca="false">IFERROR(__xludf.dummyfunction("""COMPUTED_VALUE"""),138.61)</f>
        <v>138.61</v>
      </c>
      <c r="D515" s="5" t="n">
        <f aca="false">IFERROR(__xludf.dummyfunction("""COMPUTED_VALUE"""),135.03)</f>
        <v>135.03</v>
      </c>
      <c r="E515" s="5" t="n">
        <f aca="false">IFERROR(__xludf.dummyfunction("""COMPUTED_VALUE"""),135.21)</f>
        <v>135.21</v>
      </c>
      <c r="F515" s="5" t="n">
        <f aca="false">IFERROR(__xludf.dummyfunction("""COMPUTED_VALUE"""),69672800)</f>
        <v>69672800</v>
      </c>
    </row>
    <row r="516" customFormat="false" ht="15.75" hidden="false" customHeight="false" outlineLevel="0" collapsed="false">
      <c r="A516" s="6" t="n">
        <f aca="false">IFERROR(__xludf.dummyfunction("""COMPUTED_VALUE"""),44945.6666666667)</f>
        <v>44945.6666666667</v>
      </c>
      <c r="B516" s="5" t="n">
        <f aca="false">IFERROR(__xludf.dummyfunction("""COMPUTED_VALUE"""),134.08)</f>
        <v>134.08</v>
      </c>
      <c r="C516" s="5" t="n">
        <f aca="false">IFERROR(__xludf.dummyfunction("""COMPUTED_VALUE"""),136.25)</f>
        <v>136.25</v>
      </c>
      <c r="D516" s="5" t="n">
        <f aca="false">IFERROR(__xludf.dummyfunction("""COMPUTED_VALUE"""),133.77)</f>
        <v>133.77</v>
      </c>
      <c r="E516" s="5" t="n">
        <f aca="false">IFERROR(__xludf.dummyfunction("""COMPUTED_VALUE"""),135.27)</f>
        <v>135.27</v>
      </c>
      <c r="F516" s="5" t="n">
        <f aca="false">IFERROR(__xludf.dummyfunction("""COMPUTED_VALUE"""),58280413)</f>
        <v>58280413</v>
      </c>
    </row>
    <row r="517" customFormat="false" ht="15.75" hidden="false" customHeight="false" outlineLevel="0" collapsed="false">
      <c r="A517" s="6" t="n">
        <f aca="false">IFERROR(__xludf.dummyfunction("""COMPUTED_VALUE"""),44946.6666666667)</f>
        <v>44946.6666666667</v>
      </c>
      <c r="B517" s="5" t="n">
        <f aca="false">IFERROR(__xludf.dummyfunction("""COMPUTED_VALUE"""),135.28)</f>
        <v>135.28</v>
      </c>
      <c r="C517" s="5" t="n">
        <f aca="false">IFERROR(__xludf.dummyfunction("""COMPUTED_VALUE"""),138.02)</f>
        <v>138.02</v>
      </c>
      <c r="D517" s="5" t="n">
        <f aca="false">IFERROR(__xludf.dummyfunction("""COMPUTED_VALUE"""),134.22)</f>
        <v>134.22</v>
      </c>
      <c r="E517" s="5" t="n">
        <f aca="false">IFERROR(__xludf.dummyfunction("""COMPUTED_VALUE"""),137.87)</f>
        <v>137.87</v>
      </c>
      <c r="F517" s="5" t="n">
        <f aca="false">IFERROR(__xludf.dummyfunction("""COMPUTED_VALUE"""),80223626)</f>
        <v>80223626</v>
      </c>
    </row>
    <row r="518" customFormat="false" ht="15.75" hidden="false" customHeight="false" outlineLevel="0" collapsed="false">
      <c r="A518" s="6" t="n">
        <f aca="false">IFERROR(__xludf.dummyfunction("""COMPUTED_VALUE"""),44949.6666666667)</f>
        <v>44949.6666666667</v>
      </c>
      <c r="B518" s="5" t="n">
        <f aca="false">IFERROR(__xludf.dummyfunction("""COMPUTED_VALUE"""),138.12)</f>
        <v>138.12</v>
      </c>
      <c r="C518" s="5" t="n">
        <f aca="false">IFERROR(__xludf.dummyfunction("""COMPUTED_VALUE"""),143.32)</f>
        <v>143.32</v>
      </c>
      <c r="D518" s="5" t="n">
        <f aca="false">IFERROR(__xludf.dummyfunction("""COMPUTED_VALUE"""),137.9)</f>
        <v>137.9</v>
      </c>
      <c r="E518" s="5" t="n">
        <f aca="false">IFERROR(__xludf.dummyfunction("""COMPUTED_VALUE"""),141.11)</f>
        <v>141.11</v>
      </c>
      <c r="F518" s="5" t="n">
        <f aca="false">IFERROR(__xludf.dummyfunction("""COMPUTED_VALUE"""),81760313)</f>
        <v>81760313</v>
      </c>
    </row>
    <row r="519" customFormat="false" ht="15.75" hidden="false" customHeight="false" outlineLevel="0" collapsed="false">
      <c r="A519" s="6" t="n">
        <f aca="false">IFERROR(__xludf.dummyfunction("""COMPUTED_VALUE"""),44950.6666666667)</f>
        <v>44950.6666666667</v>
      </c>
      <c r="B519" s="5" t="n">
        <f aca="false">IFERROR(__xludf.dummyfunction("""COMPUTED_VALUE"""),140.31)</f>
        <v>140.31</v>
      </c>
      <c r="C519" s="5" t="n">
        <f aca="false">IFERROR(__xludf.dummyfunction("""COMPUTED_VALUE"""),143.16)</f>
        <v>143.16</v>
      </c>
      <c r="D519" s="5" t="n">
        <f aca="false">IFERROR(__xludf.dummyfunction("""COMPUTED_VALUE"""),140.3)</f>
        <v>140.3</v>
      </c>
      <c r="E519" s="5" t="n">
        <f aca="false">IFERROR(__xludf.dummyfunction("""COMPUTED_VALUE"""),142.53)</f>
        <v>142.53</v>
      </c>
      <c r="F519" s="5" t="n">
        <f aca="false">IFERROR(__xludf.dummyfunction("""COMPUTED_VALUE"""),66435142)</f>
        <v>66435142</v>
      </c>
    </row>
    <row r="520" customFormat="false" ht="15.75" hidden="false" customHeight="false" outlineLevel="0" collapsed="false">
      <c r="A520" s="6" t="n">
        <f aca="false">IFERROR(__xludf.dummyfunction("""COMPUTED_VALUE"""),44951.6666666667)</f>
        <v>44951.6666666667</v>
      </c>
      <c r="B520" s="5" t="n">
        <f aca="false">IFERROR(__xludf.dummyfunction("""COMPUTED_VALUE"""),140.89)</f>
        <v>140.89</v>
      </c>
      <c r="C520" s="5" t="n">
        <f aca="false">IFERROR(__xludf.dummyfunction("""COMPUTED_VALUE"""),142.43)</f>
        <v>142.43</v>
      </c>
      <c r="D520" s="5" t="n">
        <f aca="false">IFERROR(__xludf.dummyfunction("""COMPUTED_VALUE"""),138.81)</f>
        <v>138.81</v>
      </c>
      <c r="E520" s="5" t="n">
        <f aca="false">IFERROR(__xludf.dummyfunction("""COMPUTED_VALUE"""),141.86)</f>
        <v>141.86</v>
      </c>
      <c r="F520" s="5" t="n">
        <f aca="false">IFERROR(__xludf.dummyfunction("""COMPUTED_VALUE"""),65799349)</f>
        <v>65799349</v>
      </c>
    </row>
    <row r="521" customFormat="false" ht="15.75" hidden="false" customHeight="false" outlineLevel="0" collapsed="false">
      <c r="A521" s="6" t="n">
        <f aca="false">IFERROR(__xludf.dummyfunction("""COMPUTED_VALUE"""),44952.6666666667)</f>
        <v>44952.6666666667</v>
      </c>
      <c r="B521" s="5" t="n">
        <f aca="false">IFERROR(__xludf.dummyfunction("""COMPUTED_VALUE"""),143.17)</f>
        <v>143.17</v>
      </c>
      <c r="C521" s="5" t="n">
        <f aca="false">IFERROR(__xludf.dummyfunction("""COMPUTED_VALUE"""),144.25)</f>
        <v>144.25</v>
      </c>
      <c r="D521" s="5" t="n">
        <f aca="false">IFERROR(__xludf.dummyfunction("""COMPUTED_VALUE"""),141.9)</f>
        <v>141.9</v>
      </c>
      <c r="E521" s="5" t="n">
        <f aca="false">IFERROR(__xludf.dummyfunction("""COMPUTED_VALUE"""),143.96)</f>
        <v>143.96</v>
      </c>
      <c r="F521" s="5" t="n">
        <f aca="false">IFERROR(__xludf.dummyfunction("""COMPUTED_VALUE"""),54105068)</f>
        <v>54105068</v>
      </c>
    </row>
    <row r="522" customFormat="false" ht="15.75" hidden="false" customHeight="false" outlineLevel="0" collapsed="false">
      <c r="A522" s="6" t="n">
        <f aca="false">IFERROR(__xludf.dummyfunction("""COMPUTED_VALUE"""),44953.6666666667)</f>
        <v>44953.6666666667</v>
      </c>
      <c r="B522" s="5" t="n">
        <f aca="false">IFERROR(__xludf.dummyfunction("""COMPUTED_VALUE"""),143.16)</f>
        <v>143.16</v>
      </c>
      <c r="C522" s="5" t="n">
        <f aca="false">IFERROR(__xludf.dummyfunction("""COMPUTED_VALUE"""),147.23)</f>
        <v>147.23</v>
      </c>
      <c r="D522" s="5" t="n">
        <f aca="false">IFERROR(__xludf.dummyfunction("""COMPUTED_VALUE"""),143.08)</f>
        <v>143.08</v>
      </c>
      <c r="E522" s="5" t="n">
        <f aca="false">IFERROR(__xludf.dummyfunction("""COMPUTED_VALUE"""),145.93)</f>
        <v>145.93</v>
      </c>
      <c r="F522" s="5" t="n">
        <f aca="false">IFERROR(__xludf.dummyfunction("""COMPUTED_VALUE"""),70555843)</f>
        <v>70555843</v>
      </c>
    </row>
    <row r="523" customFormat="false" ht="15.75" hidden="false" customHeight="false" outlineLevel="0" collapsed="false">
      <c r="A523" s="6" t="n">
        <f aca="false">IFERROR(__xludf.dummyfunction("""COMPUTED_VALUE"""),44956.6666666667)</f>
        <v>44956.6666666667</v>
      </c>
      <c r="B523" s="5" t="n">
        <f aca="false">IFERROR(__xludf.dummyfunction("""COMPUTED_VALUE"""),144.96)</f>
        <v>144.96</v>
      </c>
      <c r="C523" s="5" t="n">
        <f aca="false">IFERROR(__xludf.dummyfunction("""COMPUTED_VALUE"""),145.55)</f>
        <v>145.55</v>
      </c>
      <c r="D523" s="5" t="n">
        <f aca="false">IFERROR(__xludf.dummyfunction("""COMPUTED_VALUE"""),142.85)</f>
        <v>142.85</v>
      </c>
      <c r="E523" s="5" t="n">
        <f aca="false">IFERROR(__xludf.dummyfunction("""COMPUTED_VALUE"""),143)</f>
        <v>143</v>
      </c>
      <c r="F523" s="5" t="n">
        <f aca="false">IFERROR(__xludf.dummyfunction("""COMPUTED_VALUE"""),64015274)</f>
        <v>64015274</v>
      </c>
    </row>
    <row r="524" customFormat="false" ht="15.75" hidden="false" customHeight="false" outlineLevel="0" collapsed="false">
      <c r="A524" s="6" t="n">
        <f aca="false">IFERROR(__xludf.dummyfunction("""COMPUTED_VALUE"""),44957.6666666667)</f>
        <v>44957.6666666667</v>
      </c>
      <c r="B524" s="5" t="n">
        <f aca="false">IFERROR(__xludf.dummyfunction("""COMPUTED_VALUE"""),142.7)</f>
        <v>142.7</v>
      </c>
      <c r="C524" s="5" t="n">
        <f aca="false">IFERROR(__xludf.dummyfunction("""COMPUTED_VALUE"""),144.34)</f>
        <v>144.34</v>
      </c>
      <c r="D524" s="5" t="n">
        <f aca="false">IFERROR(__xludf.dummyfunction("""COMPUTED_VALUE"""),142.28)</f>
        <v>142.28</v>
      </c>
      <c r="E524" s="5" t="n">
        <f aca="false">IFERROR(__xludf.dummyfunction("""COMPUTED_VALUE"""),144.29)</f>
        <v>144.29</v>
      </c>
      <c r="F524" s="5" t="n">
        <f aca="false">IFERROR(__xludf.dummyfunction("""COMPUTED_VALUE"""),65874459)</f>
        <v>65874459</v>
      </c>
    </row>
    <row r="525" customFormat="false" ht="15.75" hidden="false" customHeight="false" outlineLevel="0" collapsed="false">
      <c r="A525" s="6" t="n">
        <f aca="false">IFERROR(__xludf.dummyfunction("""COMPUTED_VALUE"""),44958.6666666667)</f>
        <v>44958.6666666667</v>
      </c>
      <c r="B525" s="5" t="n">
        <f aca="false">IFERROR(__xludf.dummyfunction("""COMPUTED_VALUE"""),143.97)</f>
        <v>143.97</v>
      </c>
      <c r="C525" s="5" t="n">
        <f aca="false">IFERROR(__xludf.dummyfunction("""COMPUTED_VALUE"""),146.61)</f>
        <v>146.61</v>
      </c>
      <c r="D525" s="5" t="n">
        <f aca="false">IFERROR(__xludf.dummyfunction("""COMPUTED_VALUE"""),141.32)</f>
        <v>141.32</v>
      </c>
      <c r="E525" s="5" t="n">
        <f aca="false">IFERROR(__xludf.dummyfunction("""COMPUTED_VALUE"""),145.43)</f>
        <v>145.43</v>
      </c>
      <c r="F525" s="5" t="n">
        <f aca="false">IFERROR(__xludf.dummyfunction("""COMPUTED_VALUE"""),77663633)</f>
        <v>77663633</v>
      </c>
    </row>
    <row r="526" customFormat="false" ht="15.75" hidden="false" customHeight="false" outlineLevel="0" collapsed="false">
      <c r="A526" s="6" t="n">
        <f aca="false">IFERROR(__xludf.dummyfunction("""COMPUTED_VALUE"""),44959.6666666667)</f>
        <v>44959.6666666667</v>
      </c>
      <c r="B526" s="5" t="n">
        <f aca="false">IFERROR(__xludf.dummyfunction("""COMPUTED_VALUE"""),148.9)</f>
        <v>148.9</v>
      </c>
      <c r="C526" s="5" t="n">
        <f aca="false">IFERROR(__xludf.dummyfunction("""COMPUTED_VALUE"""),151.18)</f>
        <v>151.18</v>
      </c>
      <c r="D526" s="5" t="n">
        <f aca="false">IFERROR(__xludf.dummyfunction("""COMPUTED_VALUE"""),148.17)</f>
        <v>148.17</v>
      </c>
      <c r="E526" s="5" t="n">
        <f aca="false">IFERROR(__xludf.dummyfunction("""COMPUTED_VALUE"""),150.82)</f>
        <v>150.82</v>
      </c>
      <c r="F526" s="5" t="n">
        <f aca="false">IFERROR(__xludf.dummyfunction("""COMPUTED_VALUE"""),118338980)</f>
        <v>118338980</v>
      </c>
    </row>
    <row r="527" customFormat="false" ht="15.75" hidden="false" customHeight="false" outlineLevel="0" collapsed="false">
      <c r="A527" s="6" t="n">
        <f aca="false">IFERROR(__xludf.dummyfunction("""COMPUTED_VALUE"""),44960.6666666667)</f>
        <v>44960.6666666667</v>
      </c>
      <c r="B527" s="5" t="n">
        <f aca="false">IFERROR(__xludf.dummyfunction("""COMPUTED_VALUE"""),148.03)</f>
        <v>148.03</v>
      </c>
      <c r="C527" s="5" t="n">
        <f aca="false">IFERROR(__xludf.dummyfunction("""COMPUTED_VALUE"""),157.38)</f>
        <v>157.38</v>
      </c>
      <c r="D527" s="5" t="n">
        <f aca="false">IFERROR(__xludf.dummyfunction("""COMPUTED_VALUE"""),147.83)</f>
        <v>147.83</v>
      </c>
      <c r="E527" s="5" t="n">
        <f aca="false">IFERROR(__xludf.dummyfunction("""COMPUTED_VALUE"""),154.5)</f>
        <v>154.5</v>
      </c>
      <c r="F527" s="5" t="n">
        <f aca="false">IFERROR(__xludf.dummyfunction("""COMPUTED_VALUE"""),154357337)</f>
        <v>154357337</v>
      </c>
    </row>
    <row r="528" customFormat="false" ht="15.75" hidden="false" customHeight="false" outlineLevel="0" collapsed="false">
      <c r="A528" s="6" t="n">
        <f aca="false">IFERROR(__xludf.dummyfunction("""COMPUTED_VALUE"""),44963.6666666667)</f>
        <v>44963.6666666667</v>
      </c>
      <c r="B528" s="5" t="n">
        <f aca="false">IFERROR(__xludf.dummyfunction("""COMPUTED_VALUE"""),152.57)</f>
        <v>152.57</v>
      </c>
      <c r="C528" s="5" t="n">
        <f aca="false">IFERROR(__xludf.dummyfunction("""COMPUTED_VALUE"""),153.1)</f>
        <v>153.1</v>
      </c>
      <c r="D528" s="5" t="n">
        <f aca="false">IFERROR(__xludf.dummyfunction("""COMPUTED_VALUE"""),150.78)</f>
        <v>150.78</v>
      </c>
      <c r="E528" s="5" t="n">
        <f aca="false">IFERROR(__xludf.dummyfunction("""COMPUTED_VALUE"""),151.73)</f>
        <v>151.73</v>
      </c>
      <c r="F528" s="5" t="n">
        <f aca="false">IFERROR(__xludf.dummyfunction("""COMPUTED_VALUE"""),69858306)</f>
        <v>69858306</v>
      </c>
    </row>
    <row r="529" customFormat="false" ht="15.75" hidden="false" customHeight="false" outlineLevel="0" collapsed="false">
      <c r="A529" s="6" t="n">
        <f aca="false">IFERROR(__xludf.dummyfunction("""COMPUTED_VALUE"""),44964.6666666667)</f>
        <v>44964.6666666667</v>
      </c>
      <c r="B529" s="5" t="n">
        <f aca="false">IFERROR(__xludf.dummyfunction("""COMPUTED_VALUE"""),150.64)</f>
        <v>150.64</v>
      </c>
      <c r="C529" s="5" t="n">
        <f aca="false">IFERROR(__xludf.dummyfunction("""COMPUTED_VALUE"""),155.23)</f>
        <v>155.23</v>
      </c>
      <c r="D529" s="5" t="n">
        <f aca="false">IFERROR(__xludf.dummyfunction("""COMPUTED_VALUE"""),150.64)</f>
        <v>150.64</v>
      </c>
      <c r="E529" s="5" t="n">
        <f aca="false">IFERROR(__xludf.dummyfunction("""COMPUTED_VALUE"""),154.65)</f>
        <v>154.65</v>
      </c>
      <c r="F529" s="5" t="n">
        <f aca="false">IFERROR(__xludf.dummyfunction("""COMPUTED_VALUE"""),83322551)</f>
        <v>83322551</v>
      </c>
    </row>
    <row r="530" customFormat="false" ht="15.75" hidden="false" customHeight="false" outlineLevel="0" collapsed="false">
      <c r="A530" s="6" t="n">
        <f aca="false">IFERROR(__xludf.dummyfunction("""COMPUTED_VALUE"""),44965.6666666667)</f>
        <v>44965.6666666667</v>
      </c>
      <c r="B530" s="5" t="n">
        <f aca="false">IFERROR(__xludf.dummyfunction("""COMPUTED_VALUE"""),153.88)</f>
        <v>153.88</v>
      </c>
      <c r="C530" s="5" t="n">
        <f aca="false">IFERROR(__xludf.dummyfunction("""COMPUTED_VALUE"""),154.58)</f>
        <v>154.58</v>
      </c>
      <c r="D530" s="5" t="n">
        <f aca="false">IFERROR(__xludf.dummyfunction("""COMPUTED_VALUE"""),151.17)</f>
        <v>151.17</v>
      </c>
      <c r="E530" s="5" t="n">
        <f aca="false">IFERROR(__xludf.dummyfunction("""COMPUTED_VALUE"""),151.92)</f>
        <v>151.92</v>
      </c>
      <c r="F530" s="5" t="n">
        <f aca="false">IFERROR(__xludf.dummyfunction("""COMPUTED_VALUE"""),64120079)</f>
        <v>64120079</v>
      </c>
    </row>
    <row r="531" customFormat="false" ht="15.75" hidden="false" customHeight="false" outlineLevel="0" collapsed="false">
      <c r="A531" s="6" t="n">
        <f aca="false">IFERROR(__xludf.dummyfunction("""COMPUTED_VALUE"""),44966.6666666667)</f>
        <v>44966.6666666667</v>
      </c>
      <c r="B531" s="5" t="n">
        <f aca="false">IFERROR(__xludf.dummyfunction("""COMPUTED_VALUE"""),153.78)</f>
        <v>153.78</v>
      </c>
      <c r="C531" s="5" t="n">
        <f aca="false">IFERROR(__xludf.dummyfunction("""COMPUTED_VALUE"""),154.33)</f>
        <v>154.33</v>
      </c>
      <c r="D531" s="5" t="n">
        <f aca="false">IFERROR(__xludf.dummyfunction("""COMPUTED_VALUE"""),150.42)</f>
        <v>150.42</v>
      </c>
      <c r="E531" s="5" t="n">
        <f aca="false">IFERROR(__xludf.dummyfunction("""COMPUTED_VALUE"""),150.87)</f>
        <v>150.87</v>
      </c>
      <c r="F531" s="5" t="n">
        <f aca="false">IFERROR(__xludf.dummyfunction("""COMPUTED_VALUE"""),56007143)</f>
        <v>56007143</v>
      </c>
    </row>
    <row r="532" customFormat="false" ht="15.75" hidden="false" customHeight="false" outlineLevel="0" collapsed="false">
      <c r="A532" s="6" t="n">
        <f aca="false">IFERROR(__xludf.dummyfunction("""COMPUTED_VALUE"""),44967.6666666667)</f>
        <v>44967.6666666667</v>
      </c>
      <c r="B532" s="5" t="n">
        <f aca="false">IFERROR(__xludf.dummyfunction("""COMPUTED_VALUE"""),149.46)</f>
        <v>149.46</v>
      </c>
      <c r="C532" s="5" t="n">
        <f aca="false">IFERROR(__xludf.dummyfunction("""COMPUTED_VALUE"""),151.34)</f>
        <v>151.34</v>
      </c>
      <c r="D532" s="5" t="n">
        <f aca="false">IFERROR(__xludf.dummyfunction("""COMPUTED_VALUE"""),149.22)</f>
        <v>149.22</v>
      </c>
      <c r="E532" s="5" t="n">
        <f aca="false">IFERROR(__xludf.dummyfunction("""COMPUTED_VALUE"""),151.01)</f>
        <v>151.01</v>
      </c>
      <c r="F532" s="5" t="n">
        <f aca="false">IFERROR(__xludf.dummyfunction("""COMPUTED_VALUE"""),57450708)</f>
        <v>57450708</v>
      </c>
    </row>
    <row r="533" customFormat="false" ht="15.75" hidden="false" customHeight="false" outlineLevel="0" collapsed="false">
      <c r="A533" s="6" t="n">
        <f aca="false">IFERROR(__xludf.dummyfunction("""COMPUTED_VALUE"""),44970.6666666667)</f>
        <v>44970.6666666667</v>
      </c>
      <c r="B533" s="5" t="n">
        <f aca="false">IFERROR(__xludf.dummyfunction("""COMPUTED_VALUE"""),150.95)</f>
        <v>150.95</v>
      </c>
      <c r="C533" s="5" t="n">
        <f aca="false">IFERROR(__xludf.dummyfunction("""COMPUTED_VALUE"""),154.26)</f>
        <v>154.26</v>
      </c>
      <c r="D533" s="5" t="n">
        <f aca="false">IFERROR(__xludf.dummyfunction("""COMPUTED_VALUE"""),150.92)</f>
        <v>150.92</v>
      </c>
      <c r="E533" s="5" t="n">
        <f aca="false">IFERROR(__xludf.dummyfunction("""COMPUTED_VALUE"""),153.85)</f>
        <v>153.85</v>
      </c>
      <c r="F533" s="5" t="n">
        <f aca="false">IFERROR(__xludf.dummyfunction("""COMPUTED_VALUE"""),62199013)</f>
        <v>62199013</v>
      </c>
    </row>
    <row r="534" customFormat="false" ht="15.75" hidden="false" customHeight="false" outlineLevel="0" collapsed="false">
      <c r="A534" s="6" t="n">
        <f aca="false">IFERROR(__xludf.dummyfunction("""COMPUTED_VALUE"""),44971.6666666667)</f>
        <v>44971.6666666667</v>
      </c>
      <c r="B534" s="5" t="n">
        <f aca="false">IFERROR(__xludf.dummyfunction("""COMPUTED_VALUE"""),152.12)</f>
        <v>152.12</v>
      </c>
      <c r="C534" s="5" t="n">
        <f aca="false">IFERROR(__xludf.dummyfunction("""COMPUTED_VALUE"""),153.77)</f>
        <v>153.77</v>
      </c>
      <c r="D534" s="5" t="n">
        <f aca="false">IFERROR(__xludf.dummyfunction("""COMPUTED_VALUE"""),150.86)</f>
        <v>150.86</v>
      </c>
      <c r="E534" s="5" t="n">
        <f aca="false">IFERROR(__xludf.dummyfunction("""COMPUTED_VALUE"""),153.2)</f>
        <v>153.2</v>
      </c>
      <c r="F534" s="5" t="n">
        <f aca="false">IFERROR(__xludf.dummyfunction("""COMPUTED_VALUE"""),61707573)</f>
        <v>61707573</v>
      </c>
    </row>
    <row r="535" customFormat="false" ht="15.75" hidden="false" customHeight="false" outlineLevel="0" collapsed="false">
      <c r="A535" s="6" t="n">
        <f aca="false">IFERROR(__xludf.dummyfunction("""COMPUTED_VALUE"""),44972.6666666667)</f>
        <v>44972.6666666667</v>
      </c>
      <c r="B535" s="5" t="n">
        <f aca="false">IFERROR(__xludf.dummyfunction("""COMPUTED_VALUE"""),153.11)</f>
        <v>153.11</v>
      </c>
      <c r="C535" s="5" t="n">
        <f aca="false">IFERROR(__xludf.dummyfunction("""COMPUTED_VALUE"""),155.5)</f>
        <v>155.5</v>
      </c>
      <c r="D535" s="5" t="n">
        <f aca="false">IFERROR(__xludf.dummyfunction("""COMPUTED_VALUE"""),152.88)</f>
        <v>152.88</v>
      </c>
      <c r="E535" s="5" t="n">
        <f aca="false">IFERROR(__xludf.dummyfunction("""COMPUTED_VALUE"""),155.33)</f>
        <v>155.33</v>
      </c>
      <c r="F535" s="5" t="n">
        <f aca="false">IFERROR(__xludf.dummyfunction("""COMPUTED_VALUE"""),65669252)</f>
        <v>65669252</v>
      </c>
    </row>
    <row r="536" customFormat="false" ht="15.75" hidden="false" customHeight="false" outlineLevel="0" collapsed="false">
      <c r="A536" s="6" t="n">
        <f aca="false">IFERROR(__xludf.dummyfunction("""COMPUTED_VALUE"""),44973.6666666667)</f>
        <v>44973.6666666667</v>
      </c>
      <c r="B536" s="5" t="n">
        <f aca="false">IFERROR(__xludf.dummyfunction("""COMPUTED_VALUE"""),153.51)</f>
        <v>153.51</v>
      </c>
      <c r="C536" s="5" t="n">
        <f aca="false">IFERROR(__xludf.dummyfunction("""COMPUTED_VALUE"""),156.33)</f>
        <v>156.33</v>
      </c>
      <c r="D536" s="5" t="n">
        <f aca="false">IFERROR(__xludf.dummyfunction("""COMPUTED_VALUE"""),153.35)</f>
        <v>153.35</v>
      </c>
      <c r="E536" s="5" t="n">
        <f aca="false">IFERROR(__xludf.dummyfunction("""COMPUTED_VALUE"""),153.71)</f>
        <v>153.71</v>
      </c>
      <c r="F536" s="5" t="n">
        <f aca="false">IFERROR(__xludf.dummyfunction("""COMPUTED_VALUE"""),68167942)</f>
        <v>68167942</v>
      </c>
    </row>
    <row r="537" customFormat="false" ht="15.75" hidden="false" customHeight="false" outlineLevel="0" collapsed="false">
      <c r="A537" s="6" t="n">
        <f aca="false">IFERROR(__xludf.dummyfunction("""COMPUTED_VALUE"""),44974.6666666667)</f>
        <v>44974.6666666667</v>
      </c>
      <c r="B537" s="5" t="n">
        <f aca="false">IFERROR(__xludf.dummyfunction("""COMPUTED_VALUE"""),152.35)</f>
        <v>152.35</v>
      </c>
      <c r="C537" s="5" t="n">
        <f aca="false">IFERROR(__xludf.dummyfunction("""COMPUTED_VALUE"""),153)</f>
        <v>153</v>
      </c>
      <c r="D537" s="5" t="n">
        <f aca="false">IFERROR(__xludf.dummyfunction("""COMPUTED_VALUE"""),150.85)</f>
        <v>150.85</v>
      </c>
      <c r="E537" s="5" t="n">
        <f aca="false">IFERROR(__xludf.dummyfunction("""COMPUTED_VALUE"""),152.55)</f>
        <v>152.55</v>
      </c>
      <c r="F537" s="5" t="n">
        <f aca="false">IFERROR(__xludf.dummyfunction("""COMPUTED_VALUE"""),59144118)</f>
        <v>59144118</v>
      </c>
    </row>
    <row r="538" customFormat="false" ht="15.75" hidden="false" customHeight="false" outlineLevel="0" collapsed="false">
      <c r="A538" s="6" t="n">
        <f aca="false">IFERROR(__xludf.dummyfunction("""COMPUTED_VALUE"""),44978.6666666667)</f>
        <v>44978.6666666667</v>
      </c>
      <c r="B538" s="5" t="n">
        <f aca="false">IFERROR(__xludf.dummyfunction("""COMPUTED_VALUE"""),150.2)</f>
        <v>150.2</v>
      </c>
      <c r="C538" s="5" t="n">
        <f aca="false">IFERROR(__xludf.dummyfunction("""COMPUTED_VALUE"""),151.3)</f>
        <v>151.3</v>
      </c>
      <c r="D538" s="5" t="n">
        <f aca="false">IFERROR(__xludf.dummyfunction("""COMPUTED_VALUE"""),148.41)</f>
        <v>148.41</v>
      </c>
      <c r="E538" s="5" t="n">
        <f aca="false">IFERROR(__xludf.dummyfunction("""COMPUTED_VALUE"""),148.48)</f>
        <v>148.48</v>
      </c>
      <c r="F538" s="5" t="n">
        <f aca="false">IFERROR(__xludf.dummyfunction("""COMPUTED_VALUE"""),58867230)</f>
        <v>58867230</v>
      </c>
    </row>
    <row r="539" customFormat="false" ht="15.75" hidden="false" customHeight="false" outlineLevel="0" collapsed="false">
      <c r="A539" s="6" t="n">
        <f aca="false">IFERROR(__xludf.dummyfunction("""COMPUTED_VALUE"""),44979.6666666667)</f>
        <v>44979.6666666667</v>
      </c>
      <c r="B539" s="5" t="n">
        <f aca="false">IFERROR(__xludf.dummyfunction("""COMPUTED_VALUE"""),148.87)</f>
        <v>148.87</v>
      </c>
      <c r="C539" s="5" t="n">
        <f aca="false">IFERROR(__xludf.dummyfunction("""COMPUTED_VALUE"""),149.95)</f>
        <v>149.95</v>
      </c>
      <c r="D539" s="5" t="n">
        <f aca="false">IFERROR(__xludf.dummyfunction("""COMPUTED_VALUE"""),147.16)</f>
        <v>147.16</v>
      </c>
      <c r="E539" s="5" t="n">
        <f aca="false">IFERROR(__xludf.dummyfunction("""COMPUTED_VALUE"""),148.91)</f>
        <v>148.91</v>
      </c>
      <c r="F539" s="5" t="n">
        <f aca="false">IFERROR(__xludf.dummyfunction("""COMPUTED_VALUE"""),51011305)</f>
        <v>51011305</v>
      </c>
    </row>
    <row r="540" customFormat="false" ht="15.75" hidden="false" customHeight="false" outlineLevel="0" collapsed="false">
      <c r="A540" s="6" t="n">
        <f aca="false">IFERROR(__xludf.dummyfunction("""COMPUTED_VALUE"""),44980.6666666667)</f>
        <v>44980.6666666667</v>
      </c>
      <c r="B540" s="5" t="n">
        <f aca="false">IFERROR(__xludf.dummyfunction("""COMPUTED_VALUE"""),150.09)</f>
        <v>150.09</v>
      </c>
      <c r="C540" s="5" t="n">
        <f aca="false">IFERROR(__xludf.dummyfunction("""COMPUTED_VALUE"""),150.34)</f>
        <v>150.34</v>
      </c>
      <c r="D540" s="5" t="n">
        <f aca="false">IFERROR(__xludf.dummyfunction("""COMPUTED_VALUE"""),147.24)</f>
        <v>147.24</v>
      </c>
      <c r="E540" s="5" t="n">
        <f aca="false">IFERROR(__xludf.dummyfunction("""COMPUTED_VALUE"""),149.4)</f>
        <v>149.4</v>
      </c>
      <c r="F540" s="5" t="n">
        <f aca="false">IFERROR(__xludf.dummyfunction("""COMPUTED_VALUE"""),48394249)</f>
        <v>48394249</v>
      </c>
    </row>
    <row r="541" customFormat="false" ht="15.75" hidden="false" customHeight="false" outlineLevel="0" collapsed="false">
      <c r="A541" s="6" t="n">
        <f aca="false">IFERROR(__xludf.dummyfunction("""COMPUTED_VALUE"""),44981.6666666667)</f>
        <v>44981.6666666667</v>
      </c>
      <c r="B541" s="5" t="n">
        <f aca="false">IFERROR(__xludf.dummyfunction("""COMPUTED_VALUE"""),147.11)</f>
        <v>147.11</v>
      </c>
      <c r="C541" s="5" t="n">
        <f aca="false">IFERROR(__xludf.dummyfunction("""COMPUTED_VALUE"""),147.19)</f>
        <v>147.19</v>
      </c>
      <c r="D541" s="5" t="n">
        <f aca="false">IFERROR(__xludf.dummyfunction("""COMPUTED_VALUE"""),145.72)</f>
        <v>145.72</v>
      </c>
      <c r="E541" s="5" t="n">
        <f aca="false">IFERROR(__xludf.dummyfunction("""COMPUTED_VALUE"""),146.71)</f>
        <v>146.71</v>
      </c>
      <c r="F541" s="5" t="n">
        <f aca="false">IFERROR(__xludf.dummyfunction("""COMPUTED_VALUE"""),55469606)</f>
        <v>55469606</v>
      </c>
    </row>
    <row r="542" customFormat="false" ht="15.75" hidden="false" customHeight="false" outlineLevel="0" collapsed="false">
      <c r="A542" s="6" t="n">
        <f aca="false">IFERROR(__xludf.dummyfunction("""COMPUTED_VALUE"""),44984.6666666667)</f>
        <v>44984.6666666667</v>
      </c>
      <c r="B542" s="5" t="n">
        <f aca="false">IFERROR(__xludf.dummyfunction("""COMPUTED_VALUE"""),147.71)</f>
        <v>147.71</v>
      </c>
      <c r="C542" s="5" t="n">
        <f aca="false">IFERROR(__xludf.dummyfunction("""COMPUTED_VALUE"""),149.17)</f>
        <v>149.17</v>
      </c>
      <c r="D542" s="5" t="n">
        <f aca="false">IFERROR(__xludf.dummyfunction("""COMPUTED_VALUE"""),147.45)</f>
        <v>147.45</v>
      </c>
      <c r="E542" s="5" t="n">
        <f aca="false">IFERROR(__xludf.dummyfunction("""COMPUTED_VALUE"""),147.92)</f>
        <v>147.92</v>
      </c>
      <c r="F542" s="5" t="n">
        <f aca="false">IFERROR(__xludf.dummyfunction("""COMPUTED_VALUE"""),44998470)</f>
        <v>44998470</v>
      </c>
    </row>
    <row r="543" customFormat="false" ht="15.75" hidden="false" customHeight="false" outlineLevel="0" collapsed="false">
      <c r="A543" s="6" t="n">
        <f aca="false">IFERROR(__xludf.dummyfunction("""COMPUTED_VALUE"""),44985.6666666667)</f>
        <v>44985.6666666667</v>
      </c>
      <c r="B543" s="5" t="n">
        <f aca="false">IFERROR(__xludf.dummyfunction("""COMPUTED_VALUE"""),147.05)</f>
        <v>147.05</v>
      </c>
      <c r="C543" s="5" t="n">
        <f aca="false">IFERROR(__xludf.dummyfunction("""COMPUTED_VALUE"""),149.08)</f>
        <v>149.08</v>
      </c>
      <c r="D543" s="5" t="n">
        <f aca="false">IFERROR(__xludf.dummyfunction("""COMPUTED_VALUE"""),146.83)</f>
        <v>146.83</v>
      </c>
      <c r="E543" s="5" t="n">
        <f aca="false">IFERROR(__xludf.dummyfunction("""COMPUTED_VALUE"""),147.41)</f>
        <v>147.41</v>
      </c>
      <c r="F543" s="5" t="n">
        <f aca="false">IFERROR(__xludf.dummyfunction("""COMPUTED_VALUE"""),50546998)</f>
        <v>50546998</v>
      </c>
    </row>
    <row r="544" customFormat="false" ht="15.75" hidden="false" customHeight="false" outlineLevel="0" collapsed="false">
      <c r="A544" s="6" t="n">
        <f aca="false">IFERROR(__xludf.dummyfunction("""COMPUTED_VALUE"""),44986.6666666667)</f>
        <v>44986.6666666667</v>
      </c>
      <c r="B544" s="5" t="n">
        <f aca="false">IFERROR(__xludf.dummyfunction("""COMPUTED_VALUE"""),146.83)</f>
        <v>146.83</v>
      </c>
      <c r="C544" s="5" t="n">
        <f aca="false">IFERROR(__xludf.dummyfunction("""COMPUTED_VALUE"""),147.23)</f>
        <v>147.23</v>
      </c>
      <c r="D544" s="5" t="n">
        <f aca="false">IFERROR(__xludf.dummyfunction("""COMPUTED_VALUE"""),145.01)</f>
        <v>145.01</v>
      </c>
      <c r="E544" s="5" t="n">
        <f aca="false">IFERROR(__xludf.dummyfunction("""COMPUTED_VALUE"""),145.31)</f>
        <v>145.31</v>
      </c>
      <c r="F544" s="5" t="n">
        <f aca="false">IFERROR(__xludf.dummyfunction("""COMPUTED_VALUE"""),55478991)</f>
        <v>55478991</v>
      </c>
    </row>
    <row r="545" customFormat="false" ht="15.75" hidden="false" customHeight="false" outlineLevel="0" collapsed="false">
      <c r="A545" s="6" t="n">
        <f aca="false">IFERROR(__xludf.dummyfunction("""COMPUTED_VALUE"""),44987.6666666667)</f>
        <v>44987.6666666667</v>
      </c>
      <c r="B545" s="5" t="n">
        <f aca="false">IFERROR(__xludf.dummyfunction("""COMPUTED_VALUE"""),144.38)</f>
        <v>144.38</v>
      </c>
      <c r="C545" s="5" t="n">
        <f aca="false">IFERROR(__xludf.dummyfunction("""COMPUTED_VALUE"""),146.71)</f>
        <v>146.71</v>
      </c>
      <c r="D545" s="5" t="n">
        <f aca="false">IFERROR(__xludf.dummyfunction("""COMPUTED_VALUE"""),143.9)</f>
        <v>143.9</v>
      </c>
      <c r="E545" s="5" t="n">
        <f aca="false">IFERROR(__xludf.dummyfunction("""COMPUTED_VALUE"""),145.91)</f>
        <v>145.91</v>
      </c>
      <c r="F545" s="5" t="n">
        <f aca="false">IFERROR(__xludf.dummyfunction("""COMPUTED_VALUE"""),52279761)</f>
        <v>52279761</v>
      </c>
    </row>
    <row r="546" customFormat="false" ht="15.75" hidden="false" customHeight="false" outlineLevel="0" collapsed="false">
      <c r="A546" s="6" t="n">
        <f aca="false">IFERROR(__xludf.dummyfunction("""COMPUTED_VALUE"""),44988.6666666667)</f>
        <v>44988.6666666667</v>
      </c>
      <c r="B546" s="5" t="n">
        <f aca="false">IFERROR(__xludf.dummyfunction("""COMPUTED_VALUE"""),148.04)</f>
        <v>148.04</v>
      </c>
      <c r="C546" s="5" t="n">
        <f aca="false">IFERROR(__xludf.dummyfunction("""COMPUTED_VALUE"""),151.11)</f>
        <v>151.11</v>
      </c>
      <c r="D546" s="5" t="n">
        <f aca="false">IFERROR(__xludf.dummyfunction("""COMPUTED_VALUE"""),147.33)</f>
        <v>147.33</v>
      </c>
      <c r="E546" s="5" t="n">
        <f aca="false">IFERROR(__xludf.dummyfunction("""COMPUTED_VALUE"""),151.03)</f>
        <v>151.03</v>
      </c>
      <c r="F546" s="5" t="n">
        <f aca="false">IFERROR(__xludf.dummyfunction("""COMPUTED_VALUE"""),70732297)</f>
        <v>70732297</v>
      </c>
    </row>
    <row r="547" customFormat="false" ht="15.75" hidden="false" customHeight="false" outlineLevel="0" collapsed="false">
      <c r="A547" s="6" t="n">
        <f aca="false">IFERROR(__xludf.dummyfunction("""COMPUTED_VALUE"""),44991.6666666667)</f>
        <v>44991.6666666667</v>
      </c>
      <c r="B547" s="5" t="n">
        <f aca="false">IFERROR(__xludf.dummyfunction("""COMPUTED_VALUE"""),153.79)</f>
        <v>153.79</v>
      </c>
      <c r="C547" s="5" t="n">
        <f aca="false">IFERROR(__xludf.dummyfunction("""COMPUTED_VALUE"""),156.3)</f>
        <v>156.3</v>
      </c>
      <c r="D547" s="5" t="n">
        <f aca="false">IFERROR(__xludf.dummyfunction("""COMPUTED_VALUE"""),153.46)</f>
        <v>153.46</v>
      </c>
      <c r="E547" s="5" t="n">
        <f aca="false">IFERROR(__xludf.dummyfunction("""COMPUTED_VALUE"""),153.83)</f>
        <v>153.83</v>
      </c>
      <c r="F547" s="5" t="n">
        <f aca="false">IFERROR(__xludf.dummyfunction("""COMPUTED_VALUE"""),87558028)</f>
        <v>87558028</v>
      </c>
    </row>
    <row r="548" customFormat="false" ht="15.75" hidden="false" customHeight="false" outlineLevel="0" collapsed="false">
      <c r="A548" s="6" t="n">
        <f aca="false">IFERROR(__xludf.dummyfunction("""COMPUTED_VALUE"""),44992.6666666667)</f>
        <v>44992.6666666667</v>
      </c>
      <c r="B548" s="5" t="n">
        <f aca="false">IFERROR(__xludf.dummyfunction("""COMPUTED_VALUE"""),153.7)</f>
        <v>153.7</v>
      </c>
      <c r="C548" s="5" t="n">
        <f aca="false">IFERROR(__xludf.dummyfunction("""COMPUTED_VALUE"""),154.03)</f>
        <v>154.03</v>
      </c>
      <c r="D548" s="5" t="n">
        <f aca="false">IFERROR(__xludf.dummyfunction("""COMPUTED_VALUE"""),151.13)</f>
        <v>151.13</v>
      </c>
      <c r="E548" s="5" t="n">
        <f aca="false">IFERROR(__xludf.dummyfunction("""COMPUTED_VALUE"""),151.6)</f>
        <v>151.6</v>
      </c>
      <c r="F548" s="5" t="n">
        <f aca="false">IFERROR(__xludf.dummyfunction("""COMPUTED_VALUE"""),56182028)</f>
        <v>56182028</v>
      </c>
    </row>
    <row r="549" customFormat="false" ht="15.75" hidden="false" customHeight="false" outlineLevel="0" collapsed="false">
      <c r="A549" s="6" t="n">
        <f aca="false">IFERROR(__xludf.dummyfunction("""COMPUTED_VALUE"""),44993.6666666667)</f>
        <v>44993.6666666667</v>
      </c>
      <c r="B549" s="5" t="n">
        <f aca="false">IFERROR(__xludf.dummyfunction("""COMPUTED_VALUE"""),152.81)</f>
        <v>152.81</v>
      </c>
      <c r="C549" s="5" t="n">
        <f aca="false">IFERROR(__xludf.dummyfunction("""COMPUTED_VALUE"""),153.47)</f>
        <v>153.47</v>
      </c>
      <c r="D549" s="5" t="n">
        <f aca="false">IFERROR(__xludf.dummyfunction("""COMPUTED_VALUE"""),151.83)</f>
        <v>151.83</v>
      </c>
      <c r="E549" s="5" t="n">
        <f aca="false">IFERROR(__xludf.dummyfunction("""COMPUTED_VALUE"""),152.87)</f>
        <v>152.87</v>
      </c>
      <c r="F549" s="5" t="n">
        <f aca="false">IFERROR(__xludf.dummyfunction("""COMPUTED_VALUE"""),47204791)</f>
        <v>47204791</v>
      </c>
    </row>
    <row r="550" customFormat="false" ht="15.75" hidden="false" customHeight="false" outlineLevel="0" collapsed="false">
      <c r="A550" s="6" t="n">
        <f aca="false">IFERROR(__xludf.dummyfunction("""COMPUTED_VALUE"""),44994.6666666667)</f>
        <v>44994.6666666667</v>
      </c>
      <c r="B550" s="5" t="n">
        <f aca="false">IFERROR(__xludf.dummyfunction("""COMPUTED_VALUE"""),153.56)</f>
        <v>153.56</v>
      </c>
      <c r="C550" s="5" t="n">
        <f aca="false">IFERROR(__xludf.dummyfunction("""COMPUTED_VALUE"""),154.54)</f>
        <v>154.54</v>
      </c>
      <c r="D550" s="5" t="n">
        <f aca="false">IFERROR(__xludf.dummyfunction("""COMPUTED_VALUE"""),150.23)</f>
        <v>150.23</v>
      </c>
      <c r="E550" s="5" t="n">
        <f aca="false">IFERROR(__xludf.dummyfunction("""COMPUTED_VALUE"""),150.59)</f>
        <v>150.59</v>
      </c>
      <c r="F550" s="5" t="n">
        <f aca="false">IFERROR(__xludf.dummyfunction("""COMPUTED_VALUE"""),53833582)</f>
        <v>53833582</v>
      </c>
    </row>
    <row r="551" customFormat="false" ht="15.75" hidden="false" customHeight="false" outlineLevel="0" collapsed="false">
      <c r="A551" s="6" t="n">
        <f aca="false">IFERROR(__xludf.dummyfunction("""COMPUTED_VALUE"""),44995.6666666667)</f>
        <v>44995.6666666667</v>
      </c>
      <c r="B551" s="5" t="n">
        <f aca="false">IFERROR(__xludf.dummyfunction("""COMPUTED_VALUE"""),150.21)</f>
        <v>150.21</v>
      </c>
      <c r="C551" s="5" t="n">
        <f aca="false">IFERROR(__xludf.dummyfunction("""COMPUTED_VALUE"""),150.94)</f>
        <v>150.94</v>
      </c>
      <c r="D551" s="5" t="n">
        <f aca="false">IFERROR(__xludf.dummyfunction("""COMPUTED_VALUE"""),147.61)</f>
        <v>147.61</v>
      </c>
      <c r="E551" s="5" t="n">
        <f aca="false">IFERROR(__xludf.dummyfunction("""COMPUTED_VALUE"""),148.5)</f>
        <v>148.5</v>
      </c>
      <c r="F551" s="5" t="n">
        <f aca="false">IFERROR(__xludf.dummyfunction("""COMPUTED_VALUE"""),68572400)</f>
        <v>68572400</v>
      </c>
    </row>
    <row r="552" customFormat="false" ht="15.75" hidden="false" customHeight="false" outlineLevel="0" collapsed="false">
      <c r="A552" s="6" t="n">
        <f aca="false">IFERROR(__xludf.dummyfunction("""COMPUTED_VALUE"""),44998.6666666667)</f>
        <v>44998.6666666667</v>
      </c>
      <c r="B552" s="5" t="n">
        <f aca="false">IFERROR(__xludf.dummyfunction("""COMPUTED_VALUE"""),147.81)</f>
        <v>147.81</v>
      </c>
      <c r="C552" s="5" t="n">
        <f aca="false">IFERROR(__xludf.dummyfunction("""COMPUTED_VALUE"""),153.14)</f>
        <v>153.14</v>
      </c>
      <c r="D552" s="5" t="n">
        <f aca="false">IFERROR(__xludf.dummyfunction("""COMPUTED_VALUE"""),147.7)</f>
        <v>147.7</v>
      </c>
      <c r="E552" s="5" t="n">
        <f aca="false">IFERROR(__xludf.dummyfunction("""COMPUTED_VALUE"""),150.47)</f>
        <v>150.47</v>
      </c>
      <c r="F552" s="5" t="n">
        <f aca="false">IFERROR(__xludf.dummyfunction("""COMPUTED_VALUE"""),84457122)</f>
        <v>84457122</v>
      </c>
    </row>
    <row r="553" customFormat="false" ht="15.75" hidden="false" customHeight="false" outlineLevel="0" collapsed="false">
      <c r="A553" s="6" t="n">
        <f aca="false">IFERROR(__xludf.dummyfunction("""COMPUTED_VALUE"""),44999.6666666667)</f>
        <v>44999.6666666667</v>
      </c>
      <c r="B553" s="5" t="n">
        <f aca="false">IFERROR(__xludf.dummyfunction("""COMPUTED_VALUE"""),151.28)</f>
        <v>151.28</v>
      </c>
      <c r="C553" s="5" t="n">
        <f aca="false">IFERROR(__xludf.dummyfunction("""COMPUTED_VALUE"""),153.4)</f>
        <v>153.4</v>
      </c>
      <c r="D553" s="5" t="n">
        <f aca="false">IFERROR(__xludf.dummyfunction("""COMPUTED_VALUE"""),150.1)</f>
        <v>150.1</v>
      </c>
      <c r="E553" s="5" t="n">
        <f aca="false">IFERROR(__xludf.dummyfunction("""COMPUTED_VALUE"""),152.59)</f>
        <v>152.59</v>
      </c>
      <c r="F553" s="5" t="n">
        <f aca="false">IFERROR(__xludf.dummyfunction("""COMPUTED_VALUE"""),73695893)</f>
        <v>73695893</v>
      </c>
    </row>
    <row r="554" customFormat="false" ht="15.75" hidden="false" customHeight="false" outlineLevel="0" collapsed="false">
      <c r="A554" s="6" t="n">
        <f aca="false">IFERROR(__xludf.dummyfunction("""COMPUTED_VALUE"""),45000.6666666667)</f>
        <v>45000.6666666667</v>
      </c>
      <c r="B554" s="5" t="n">
        <f aca="false">IFERROR(__xludf.dummyfunction("""COMPUTED_VALUE"""),151.19)</f>
        <v>151.19</v>
      </c>
      <c r="C554" s="5" t="n">
        <f aca="false">IFERROR(__xludf.dummyfunction("""COMPUTED_VALUE"""),153.25)</f>
        <v>153.25</v>
      </c>
      <c r="D554" s="5" t="n">
        <f aca="false">IFERROR(__xludf.dummyfunction("""COMPUTED_VALUE"""),149.92)</f>
        <v>149.92</v>
      </c>
      <c r="E554" s="5" t="n">
        <f aca="false">IFERROR(__xludf.dummyfunction("""COMPUTED_VALUE"""),152.99)</f>
        <v>152.99</v>
      </c>
      <c r="F554" s="5" t="n">
        <f aca="false">IFERROR(__xludf.dummyfunction("""COMPUTED_VALUE"""),77167866)</f>
        <v>77167866</v>
      </c>
    </row>
    <row r="555" customFormat="false" ht="15.75" hidden="false" customHeight="false" outlineLevel="0" collapsed="false">
      <c r="A555" s="6" t="n">
        <f aca="false">IFERROR(__xludf.dummyfunction("""COMPUTED_VALUE"""),45001.6666666667)</f>
        <v>45001.6666666667</v>
      </c>
      <c r="B555" s="5" t="n">
        <f aca="false">IFERROR(__xludf.dummyfunction("""COMPUTED_VALUE"""),152.16)</f>
        <v>152.16</v>
      </c>
      <c r="C555" s="5" t="n">
        <f aca="false">IFERROR(__xludf.dummyfunction("""COMPUTED_VALUE"""),156.46)</f>
        <v>156.46</v>
      </c>
      <c r="D555" s="5" t="n">
        <f aca="false">IFERROR(__xludf.dummyfunction("""COMPUTED_VALUE"""),151.64)</f>
        <v>151.64</v>
      </c>
      <c r="E555" s="5" t="n">
        <f aca="false">IFERROR(__xludf.dummyfunction("""COMPUTED_VALUE"""),155.85)</f>
        <v>155.85</v>
      </c>
      <c r="F555" s="5" t="n">
        <f aca="false">IFERROR(__xludf.dummyfunction("""COMPUTED_VALUE"""),76254419)</f>
        <v>76254419</v>
      </c>
    </row>
    <row r="556" customFormat="false" ht="15.75" hidden="false" customHeight="false" outlineLevel="0" collapsed="false">
      <c r="A556" s="6" t="n">
        <f aca="false">IFERROR(__xludf.dummyfunction("""COMPUTED_VALUE"""),45002.6666666667)</f>
        <v>45002.6666666667</v>
      </c>
      <c r="B556" s="5" t="n">
        <f aca="false">IFERROR(__xludf.dummyfunction("""COMPUTED_VALUE"""),156.08)</f>
        <v>156.08</v>
      </c>
      <c r="C556" s="5" t="n">
        <f aca="false">IFERROR(__xludf.dummyfunction("""COMPUTED_VALUE"""),156.74)</f>
        <v>156.74</v>
      </c>
      <c r="D556" s="5" t="n">
        <f aca="false">IFERROR(__xludf.dummyfunction("""COMPUTED_VALUE"""),154.28)</f>
        <v>154.28</v>
      </c>
      <c r="E556" s="5" t="n">
        <f aca="false">IFERROR(__xludf.dummyfunction("""COMPUTED_VALUE"""),155)</f>
        <v>155</v>
      </c>
      <c r="F556" s="5" t="n">
        <f aca="false">IFERROR(__xludf.dummyfunction("""COMPUTED_VALUE"""),98944633)</f>
        <v>98944633</v>
      </c>
    </row>
    <row r="557" customFormat="false" ht="15.75" hidden="false" customHeight="false" outlineLevel="0" collapsed="false">
      <c r="A557" s="6" t="n">
        <f aca="false">IFERROR(__xludf.dummyfunction("""COMPUTED_VALUE"""),45005.6666666667)</f>
        <v>45005.6666666667</v>
      </c>
      <c r="B557" s="5" t="n">
        <f aca="false">IFERROR(__xludf.dummyfunction("""COMPUTED_VALUE"""),155.07)</f>
        <v>155.07</v>
      </c>
      <c r="C557" s="5" t="n">
        <f aca="false">IFERROR(__xludf.dummyfunction("""COMPUTED_VALUE"""),157.82)</f>
        <v>157.82</v>
      </c>
      <c r="D557" s="5" t="n">
        <f aca="false">IFERROR(__xludf.dummyfunction("""COMPUTED_VALUE"""),154.15)</f>
        <v>154.15</v>
      </c>
      <c r="E557" s="5" t="n">
        <f aca="false">IFERROR(__xludf.dummyfunction("""COMPUTED_VALUE"""),157.4)</f>
        <v>157.4</v>
      </c>
      <c r="F557" s="5" t="n">
        <f aca="false">IFERROR(__xludf.dummyfunction("""COMPUTED_VALUE"""),73641415)</f>
        <v>73641415</v>
      </c>
    </row>
    <row r="558" customFormat="false" ht="15.75" hidden="false" customHeight="false" outlineLevel="0" collapsed="false">
      <c r="A558" s="6" t="n">
        <f aca="false">IFERROR(__xludf.dummyfunction("""COMPUTED_VALUE"""),45006.6666666667)</f>
        <v>45006.6666666667</v>
      </c>
      <c r="B558" s="5" t="n">
        <f aca="false">IFERROR(__xludf.dummyfunction("""COMPUTED_VALUE"""),157.32)</f>
        <v>157.32</v>
      </c>
      <c r="C558" s="5" t="n">
        <f aca="false">IFERROR(__xludf.dummyfunction("""COMPUTED_VALUE"""),159.4)</f>
        <v>159.4</v>
      </c>
      <c r="D558" s="5" t="n">
        <f aca="false">IFERROR(__xludf.dummyfunction("""COMPUTED_VALUE"""),156.54)</f>
        <v>156.54</v>
      </c>
      <c r="E558" s="5" t="n">
        <f aca="false">IFERROR(__xludf.dummyfunction("""COMPUTED_VALUE"""),159.28)</f>
        <v>159.28</v>
      </c>
      <c r="F558" s="5" t="n">
        <f aca="false">IFERROR(__xludf.dummyfunction("""COMPUTED_VALUE"""),73938285)</f>
        <v>73938285</v>
      </c>
    </row>
    <row r="559" customFormat="false" ht="15.75" hidden="false" customHeight="false" outlineLevel="0" collapsed="false">
      <c r="A559" s="6" t="n">
        <f aca="false">IFERROR(__xludf.dummyfunction("""COMPUTED_VALUE"""),45007.6666666667)</f>
        <v>45007.6666666667</v>
      </c>
      <c r="B559" s="5" t="n">
        <f aca="false">IFERROR(__xludf.dummyfunction("""COMPUTED_VALUE"""),159.3)</f>
        <v>159.3</v>
      </c>
      <c r="C559" s="5" t="n">
        <f aca="false">IFERROR(__xludf.dummyfunction("""COMPUTED_VALUE"""),162.14)</f>
        <v>162.14</v>
      </c>
      <c r="D559" s="5" t="n">
        <f aca="false">IFERROR(__xludf.dummyfunction("""COMPUTED_VALUE"""),157.81)</f>
        <v>157.81</v>
      </c>
      <c r="E559" s="5" t="n">
        <f aca="false">IFERROR(__xludf.dummyfunction("""COMPUTED_VALUE"""),157.83)</f>
        <v>157.83</v>
      </c>
      <c r="F559" s="5" t="n">
        <f aca="false">IFERROR(__xludf.dummyfunction("""COMPUTED_VALUE"""),75701811)</f>
        <v>75701811</v>
      </c>
    </row>
    <row r="560" customFormat="false" ht="15.75" hidden="false" customHeight="false" outlineLevel="0" collapsed="false">
      <c r="A560" s="6" t="n">
        <f aca="false">IFERROR(__xludf.dummyfunction("""COMPUTED_VALUE"""),45008.6666666667)</f>
        <v>45008.6666666667</v>
      </c>
      <c r="B560" s="5" t="n">
        <f aca="false">IFERROR(__xludf.dummyfunction("""COMPUTED_VALUE"""),158.83)</f>
        <v>158.83</v>
      </c>
      <c r="C560" s="5" t="n">
        <f aca="false">IFERROR(__xludf.dummyfunction("""COMPUTED_VALUE"""),161.55)</f>
        <v>161.55</v>
      </c>
      <c r="D560" s="5" t="n">
        <f aca="false">IFERROR(__xludf.dummyfunction("""COMPUTED_VALUE"""),157.68)</f>
        <v>157.68</v>
      </c>
      <c r="E560" s="5" t="n">
        <f aca="false">IFERROR(__xludf.dummyfunction("""COMPUTED_VALUE"""),158.93)</f>
        <v>158.93</v>
      </c>
      <c r="F560" s="5" t="n">
        <f aca="false">IFERROR(__xludf.dummyfunction("""COMPUTED_VALUE"""),67622060)</f>
        <v>67622060</v>
      </c>
    </row>
    <row r="561" customFormat="false" ht="15.75" hidden="false" customHeight="false" outlineLevel="0" collapsed="false">
      <c r="A561" s="6" t="n">
        <f aca="false">IFERROR(__xludf.dummyfunction("""COMPUTED_VALUE"""),45009.6666666667)</f>
        <v>45009.6666666667</v>
      </c>
      <c r="B561" s="5" t="n">
        <f aca="false">IFERROR(__xludf.dummyfunction("""COMPUTED_VALUE"""),158.86)</f>
        <v>158.86</v>
      </c>
      <c r="C561" s="5" t="n">
        <f aca="false">IFERROR(__xludf.dummyfunction("""COMPUTED_VALUE"""),160.34)</f>
        <v>160.34</v>
      </c>
      <c r="D561" s="5" t="n">
        <f aca="false">IFERROR(__xludf.dummyfunction("""COMPUTED_VALUE"""),157.85)</f>
        <v>157.85</v>
      </c>
      <c r="E561" s="5" t="n">
        <f aca="false">IFERROR(__xludf.dummyfunction("""COMPUTED_VALUE"""),160.25)</f>
        <v>160.25</v>
      </c>
      <c r="F561" s="5" t="n">
        <f aca="false">IFERROR(__xludf.dummyfunction("""COMPUTED_VALUE"""),59256343)</f>
        <v>59256343</v>
      </c>
    </row>
    <row r="562" customFormat="false" ht="15.75" hidden="false" customHeight="false" outlineLevel="0" collapsed="false">
      <c r="A562" s="6" t="n">
        <f aca="false">IFERROR(__xludf.dummyfunction("""COMPUTED_VALUE"""),45012.6666666667)</f>
        <v>45012.6666666667</v>
      </c>
      <c r="B562" s="5" t="n">
        <f aca="false">IFERROR(__xludf.dummyfunction("""COMPUTED_VALUE"""),159.94)</f>
        <v>159.94</v>
      </c>
      <c r="C562" s="5" t="n">
        <f aca="false">IFERROR(__xludf.dummyfunction("""COMPUTED_VALUE"""),160.77)</f>
        <v>160.77</v>
      </c>
      <c r="D562" s="5" t="n">
        <f aca="false">IFERROR(__xludf.dummyfunction("""COMPUTED_VALUE"""),157.87)</f>
        <v>157.87</v>
      </c>
      <c r="E562" s="5" t="n">
        <f aca="false">IFERROR(__xludf.dummyfunction("""COMPUTED_VALUE"""),158.28)</f>
        <v>158.28</v>
      </c>
      <c r="F562" s="5" t="n">
        <f aca="false">IFERROR(__xludf.dummyfunction("""COMPUTED_VALUE"""),52390266)</f>
        <v>52390266</v>
      </c>
    </row>
    <row r="563" customFormat="false" ht="15.75" hidden="false" customHeight="false" outlineLevel="0" collapsed="false">
      <c r="A563" s="6" t="n">
        <f aca="false">IFERROR(__xludf.dummyfunction("""COMPUTED_VALUE"""),45013.6666666667)</f>
        <v>45013.6666666667</v>
      </c>
      <c r="B563" s="5" t="n">
        <f aca="false">IFERROR(__xludf.dummyfunction("""COMPUTED_VALUE"""),157.97)</f>
        <v>157.97</v>
      </c>
      <c r="C563" s="5" t="n">
        <f aca="false">IFERROR(__xludf.dummyfunction("""COMPUTED_VALUE"""),158.49)</f>
        <v>158.49</v>
      </c>
      <c r="D563" s="5" t="n">
        <f aca="false">IFERROR(__xludf.dummyfunction("""COMPUTED_VALUE"""),155.98)</f>
        <v>155.98</v>
      </c>
      <c r="E563" s="5" t="n">
        <f aca="false">IFERROR(__xludf.dummyfunction("""COMPUTED_VALUE"""),157.65)</f>
        <v>157.65</v>
      </c>
      <c r="F563" s="5" t="n">
        <f aca="false">IFERROR(__xludf.dummyfunction("""COMPUTED_VALUE"""),45992152)</f>
        <v>45992152</v>
      </c>
    </row>
    <row r="564" customFormat="false" ht="15.75" hidden="false" customHeight="false" outlineLevel="0" collapsed="false">
      <c r="A564" s="6" t="n">
        <f aca="false">IFERROR(__xludf.dummyfunction("""COMPUTED_VALUE"""),45014.6666666667)</f>
        <v>45014.6666666667</v>
      </c>
      <c r="B564" s="5" t="n">
        <f aca="false">IFERROR(__xludf.dummyfunction("""COMPUTED_VALUE"""),159.37)</f>
        <v>159.37</v>
      </c>
      <c r="C564" s="5" t="n">
        <f aca="false">IFERROR(__xludf.dummyfunction("""COMPUTED_VALUE"""),161.05)</f>
        <v>161.05</v>
      </c>
      <c r="D564" s="5" t="n">
        <f aca="false">IFERROR(__xludf.dummyfunction("""COMPUTED_VALUE"""),159.35)</f>
        <v>159.35</v>
      </c>
      <c r="E564" s="5" t="n">
        <f aca="false">IFERROR(__xludf.dummyfunction("""COMPUTED_VALUE"""),160.77)</f>
        <v>160.77</v>
      </c>
      <c r="F564" s="5" t="n">
        <f aca="false">IFERROR(__xludf.dummyfunction("""COMPUTED_VALUE"""),51305691)</f>
        <v>51305691</v>
      </c>
    </row>
    <row r="565" customFormat="false" ht="15.75" hidden="false" customHeight="false" outlineLevel="0" collapsed="false">
      <c r="A565" s="6" t="n">
        <f aca="false">IFERROR(__xludf.dummyfunction("""COMPUTED_VALUE"""),45015.6666666667)</f>
        <v>45015.6666666667</v>
      </c>
      <c r="B565" s="5" t="n">
        <f aca="false">IFERROR(__xludf.dummyfunction("""COMPUTED_VALUE"""),161.53)</f>
        <v>161.53</v>
      </c>
      <c r="C565" s="5" t="n">
        <f aca="false">IFERROR(__xludf.dummyfunction("""COMPUTED_VALUE"""),162.47)</f>
        <v>162.47</v>
      </c>
      <c r="D565" s="5" t="n">
        <f aca="false">IFERROR(__xludf.dummyfunction("""COMPUTED_VALUE"""),161.27)</f>
        <v>161.27</v>
      </c>
      <c r="E565" s="5" t="n">
        <f aca="false">IFERROR(__xludf.dummyfunction("""COMPUTED_VALUE"""),162.36)</f>
        <v>162.36</v>
      </c>
      <c r="F565" s="5" t="n">
        <f aca="false">IFERROR(__xludf.dummyfunction("""COMPUTED_VALUE"""),49501689)</f>
        <v>49501689</v>
      </c>
    </row>
    <row r="566" customFormat="false" ht="15.75" hidden="false" customHeight="false" outlineLevel="0" collapsed="false">
      <c r="A566" s="6" t="n">
        <f aca="false">IFERROR(__xludf.dummyfunction("""COMPUTED_VALUE"""),45016.6666666667)</f>
        <v>45016.6666666667</v>
      </c>
      <c r="B566" s="5" t="n">
        <f aca="false">IFERROR(__xludf.dummyfunction("""COMPUTED_VALUE"""),162.44)</f>
        <v>162.44</v>
      </c>
      <c r="C566" s="5" t="n">
        <f aca="false">IFERROR(__xludf.dummyfunction("""COMPUTED_VALUE"""),165)</f>
        <v>165</v>
      </c>
      <c r="D566" s="5" t="n">
        <f aca="false">IFERROR(__xludf.dummyfunction("""COMPUTED_VALUE"""),161.91)</f>
        <v>161.91</v>
      </c>
      <c r="E566" s="5" t="n">
        <f aca="false">IFERROR(__xludf.dummyfunction("""COMPUTED_VALUE"""),164.9)</f>
        <v>164.9</v>
      </c>
      <c r="F566" s="5" t="n">
        <f aca="false">IFERROR(__xludf.dummyfunction("""COMPUTED_VALUE"""),68749792)</f>
        <v>68749792</v>
      </c>
    </row>
    <row r="567" customFormat="false" ht="15.75" hidden="false" customHeight="false" outlineLevel="0" collapsed="false">
      <c r="A567" s="6" t="n">
        <f aca="false">IFERROR(__xludf.dummyfunction("""COMPUTED_VALUE"""),45019.6666666667)</f>
        <v>45019.6666666667</v>
      </c>
      <c r="B567" s="5" t="n">
        <f aca="false">IFERROR(__xludf.dummyfunction("""COMPUTED_VALUE"""),164.27)</f>
        <v>164.27</v>
      </c>
      <c r="C567" s="5" t="n">
        <f aca="false">IFERROR(__xludf.dummyfunction("""COMPUTED_VALUE"""),166.29)</f>
        <v>166.29</v>
      </c>
      <c r="D567" s="5" t="n">
        <f aca="false">IFERROR(__xludf.dummyfunction("""COMPUTED_VALUE"""),164.22)</f>
        <v>164.22</v>
      </c>
      <c r="E567" s="5" t="n">
        <f aca="false">IFERROR(__xludf.dummyfunction("""COMPUTED_VALUE"""),166.17)</f>
        <v>166.17</v>
      </c>
      <c r="F567" s="5" t="n">
        <f aca="false">IFERROR(__xludf.dummyfunction("""COMPUTED_VALUE"""),56976187)</f>
        <v>56976187</v>
      </c>
    </row>
    <row r="568" customFormat="false" ht="15.75" hidden="false" customHeight="false" outlineLevel="0" collapsed="false">
      <c r="A568" s="6" t="n">
        <f aca="false">IFERROR(__xludf.dummyfunction("""COMPUTED_VALUE"""),45020.6666666667)</f>
        <v>45020.6666666667</v>
      </c>
      <c r="B568" s="5" t="n">
        <f aca="false">IFERROR(__xludf.dummyfunction("""COMPUTED_VALUE"""),166.6)</f>
        <v>166.6</v>
      </c>
      <c r="C568" s="5" t="n">
        <f aca="false">IFERROR(__xludf.dummyfunction("""COMPUTED_VALUE"""),166.84)</f>
        <v>166.84</v>
      </c>
      <c r="D568" s="5" t="n">
        <f aca="false">IFERROR(__xludf.dummyfunction("""COMPUTED_VALUE"""),165.11)</f>
        <v>165.11</v>
      </c>
      <c r="E568" s="5" t="n">
        <f aca="false">IFERROR(__xludf.dummyfunction("""COMPUTED_VALUE"""),165.63)</f>
        <v>165.63</v>
      </c>
      <c r="F568" s="5" t="n">
        <f aca="false">IFERROR(__xludf.dummyfunction("""COMPUTED_VALUE"""),46278295)</f>
        <v>46278295</v>
      </c>
    </row>
    <row r="569" customFormat="false" ht="15.75" hidden="false" customHeight="false" outlineLevel="0" collapsed="false">
      <c r="A569" s="6" t="n">
        <f aca="false">IFERROR(__xludf.dummyfunction("""COMPUTED_VALUE"""),45021.6666666667)</f>
        <v>45021.6666666667</v>
      </c>
      <c r="B569" s="5" t="n">
        <f aca="false">IFERROR(__xludf.dummyfunction("""COMPUTED_VALUE"""),164.74)</f>
        <v>164.74</v>
      </c>
      <c r="C569" s="5" t="n">
        <f aca="false">IFERROR(__xludf.dummyfunction("""COMPUTED_VALUE"""),165.05)</f>
        <v>165.05</v>
      </c>
      <c r="D569" s="5" t="n">
        <f aca="false">IFERROR(__xludf.dummyfunction("""COMPUTED_VALUE"""),161.8)</f>
        <v>161.8</v>
      </c>
      <c r="E569" s="5" t="n">
        <f aca="false">IFERROR(__xludf.dummyfunction("""COMPUTED_VALUE"""),163.76)</f>
        <v>163.76</v>
      </c>
      <c r="F569" s="5" t="n">
        <f aca="false">IFERROR(__xludf.dummyfunction("""COMPUTED_VALUE"""),51511744)</f>
        <v>51511744</v>
      </c>
    </row>
    <row r="570" customFormat="false" ht="15.75" hidden="false" customHeight="false" outlineLevel="0" collapsed="false">
      <c r="A570" s="6" t="n">
        <f aca="false">IFERROR(__xludf.dummyfunction("""COMPUTED_VALUE"""),45022.6666666667)</f>
        <v>45022.6666666667</v>
      </c>
      <c r="B570" s="5" t="n">
        <f aca="false">IFERROR(__xludf.dummyfunction("""COMPUTED_VALUE"""),162.43)</f>
        <v>162.43</v>
      </c>
      <c r="C570" s="5" t="n">
        <f aca="false">IFERROR(__xludf.dummyfunction("""COMPUTED_VALUE"""),164.96)</f>
        <v>164.96</v>
      </c>
      <c r="D570" s="5" t="n">
        <f aca="false">IFERROR(__xludf.dummyfunction("""COMPUTED_VALUE"""),162)</f>
        <v>162</v>
      </c>
      <c r="E570" s="5" t="n">
        <f aca="false">IFERROR(__xludf.dummyfunction("""COMPUTED_VALUE"""),164.66)</f>
        <v>164.66</v>
      </c>
      <c r="F570" s="5" t="n">
        <f aca="false">IFERROR(__xludf.dummyfunction("""COMPUTED_VALUE"""),45390123)</f>
        <v>45390123</v>
      </c>
    </row>
    <row r="571" customFormat="false" ht="15.75" hidden="false" customHeight="false" outlineLevel="0" collapsed="false">
      <c r="A571" s="6" t="n">
        <f aca="false">IFERROR(__xludf.dummyfunction("""COMPUTED_VALUE"""),45026.6666666667)</f>
        <v>45026.6666666667</v>
      </c>
      <c r="B571" s="5" t="n">
        <f aca="false">IFERROR(__xludf.dummyfunction("""COMPUTED_VALUE"""),161.42)</f>
        <v>161.42</v>
      </c>
      <c r="C571" s="5" t="n">
        <f aca="false">IFERROR(__xludf.dummyfunction("""COMPUTED_VALUE"""),162.03)</f>
        <v>162.03</v>
      </c>
      <c r="D571" s="5" t="n">
        <f aca="false">IFERROR(__xludf.dummyfunction("""COMPUTED_VALUE"""),160.08)</f>
        <v>160.08</v>
      </c>
      <c r="E571" s="5" t="n">
        <f aca="false">IFERROR(__xludf.dummyfunction("""COMPUTED_VALUE"""),162.03)</f>
        <v>162.03</v>
      </c>
      <c r="F571" s="5" t="n">
        <f aca="false">IFERROR(__xludf.dummyfunction("""COMPUTED_VALUE"""),47716882)</f>
        <v>47716882</v>
      </c>
    </row>
    <row r="572" customFormat="false" ht="15.75" hidden="false" customHeight="false" outlineLevel="0" collapsed="false">
      <c r="A572" s="6" t="n">
        <f aca="false">IFERROR(__xludf.dummyfunction("""COMPUTED_VALUE"""),45027.6666666667)</f>
        <v>45027.6666666667</v>
      </c>
      <c r="B572" s="5" t="n">
        <f aca="false">IFERROR(__xludf.dummyfunction("""COMPUTED_VALUE"""),162.35)</f>
        <v>162.35</v>
      </c>
      <c r="C572" s="5" t="n">
        <f aca="false">IFERROR(__xludf.dummyfunction("""COMPUTED_VALUE"""),162.36)</f>
        <v>162.36</v>
      </c>
      <c r="D572" s="5" t="n">
        <f aca="false">IFERROR(__xludf.dummyfunction("""COMPUTED_VALUE"""),160.51)</f>
        <v>160.51</v>
      </c>
      <c r="E572" s="5" t="n">
        <f aca="false">IFERROR(__xludf.dummyfunction("""COMPUTED_VALUE"""),160.8)</f>
        <v>160.8</v>
      </c>
      <c r="F572" s="5" t="n">
        <f aca="false">IFERROR(__xludf.dummyfunction("""COMPUTED_VALUE"""),47644217)</f>
        <v>47644217</v>
      </c>
    </row>
    <row r="573" customFormat="false" ht="15.75" hidden="false" customHeight="false" outlineLevel="0" collapsed="false">
      <c r="A573" s="6" t="n">
        <f aca="false">IFERROR(__xludf.dummyfunction("""COMPUTED_VALUE"""),45028.6666666667)</f>
        <v>45028.6666666667</v>
      </c>
      <c r="B573" s="5" t="n">
        <f aca="false">IFERROR(__xludf.dummyfunction("""COMPUTED_VALUE"""),161.22)</f>
        <v>161.22</v>
      </c>
      <c r="C573" s="5" t="n">
        <f aca="false">IFERROR(__xludf.dummyfunction("""COMPUTED_VALUE"""),162.06)</f>
        <v>162.06</v>
      </c>
      <c r="D573" s="5" t="n">
        <f aca="false">IFERROR(__xludf.dummyfunction("""COMPUTED_VALUE"""),159.78)</f>
        <v>159.78</v>
      </c>
      <c r="E573" s="5" t="n">
        <f aca="false">IFERROR(__xludf.dummyfunction("""COMPUTED_VALUE"""),160.1)</f>
        <v>160.1</v>
      </c>
      <c r="F573" s="5" t="n">
        <f aca="false">IFERROR(__xludf.dummyfunction("""COMPUTED_VALUE"""),50133062)</f>
        <v>50133062</v>
      </c>
    </row>
    <row r="574" customFormat="false" ht="15.75" hidden="false" customHeight="false" outlineLevel="0" collapsed="false">
      <c r="A574" s="6" t="n">
        <f aca="false">IFERROR(__xludf.dummyfunction("""COMPUTED_VALUE"""),45029.6666666667)</f>
        <v>45029.6666666667</v>
      </c>
      <c r="B574" s="5" t="n">
        <f aca="false">IFERROR(__xludf.dummyfunction("""COMPUTED_VALUE"""),161.63)</f>
        <v>161.63</v>
      </c>
      <c r="C574" s="5" t="n">
        <f aca="false">IFERROR(__xludf.dummyfunction("""COMPUTED_VALUE"""),165.8)</f>
        <v>165.8</v>
      </c>
      <c r="D574" s="5" t="n">
        <f aca="false">IFERROR(__xludf.dummyfunction("""COMPUTED_VALUE"""),161.42)</f>
        <v>161.42</v>
      </c>
      <c r="E574" s="5" t="n">
        <f aca="false">IFERROR(__xludf.dummyfunction("""COMPUTED_VALUE"""),165.56)</f>
        <v>165.56</v>
      </c>
      <c r="F574" s="5" t="n">
        <f aca="false">IFERROR(__xludf.dummyfunction("""COMPUTED_VALUE"""),68445649)</f>
        <v>68445649</v>
      </c>
    </row>
    <row r="575" customFormat="false" ht="15.75" hidden="false" customHeight="false" outlineLevel="0" collapsed="false">
      <c r="A575" s="6" t="n">
        <f aca="false">IFERROR(__xludf.dummyfunction("""COMPUTED_VALUE"""),45030.6666666667)</f>
        <v>45030.6666666667</v>
      </c>
      <c r="B575" s="5" t="n">
        <f aca="false">IFERROR(__xludf.dummyfunction("""COMPUTED_VALUE"""),164.59)</f>
        <v>164.59</v>
      </c>
      <c r="C575" s="5" t="n">
        <f aca="false">IFERROR(__xludf.dummyfunction("""COMPUTED_VALUE"""),166.32)</f>
        <v>166.32</v>
      </c>
      <c r="D575" s="5" t="n">
        <f aca="false">IFERROR(__xludf.dummyfunction("""COMPUTED_VALUE"""),163.82)</f>
        <v>163.82</v>
      </c>
      <c r="E575" s="5" t="n">
        <f aca="false">IFERROR(__xludf.dummyfunction("""COMPUTED_VALUE"""),165.21)</f>
        <v>165.21</v>
      </c>
      <c r="F575" s="5" t="n">
        <f aca="false">IFERROR(__xludf.dummyfunction("""COMPUTED_VALUE"""),49386480)</f>
        <v>49386480</v>
      </c>
    </row>
    <row r="576" customFormat="false" ht="15.75" hidden="false" customHeight="false" outlineLevel="0" collapsed="false">
      <c r="A576" s="6" t="n">
        <f aca="false">IFERROR(__xludf.dummyfunction("""COMPUTED_VALUE"""),45033.6666666667)</f>
        <v>45033.6666666667</v>
      </c>
      <c r="B576" s="5" t="n">
        <f aca="false">IFERROR(__xludf.dummyfunction("""COMPUTED_VALUE"""),165.09)</f>
        <v>165.09</v>
      </c>
      <c r="C576" s="5" t="n">
        <f aca="false">IFERROR(__xludf.dummyfunction("""COMPUTED_VALUE"""),165.39)</f>
        <v>165.39</v>
      </c>
      <c r="D576" s="5" t="n">
        <f aca="false">IFERROR(__xludf.dummyfunction("""COMPUTED_VALUE"""),164.03)</f>
        <v>164.03</v>
      </c>
      <c r="E576" s="5" t="n">
        <f aca="false">IFERROR(__xludf.dummyfunction("""COMPUTED_VALUE"""),165.23)</f>
        <v>165.23</v>
      </c>
      <c r="F576" s="5" t="n">
        <f aca="false">IFERROR(__xludf.dummyfunction("""COMPUTED_VALUE"""),41516217)</f>
        <v>41516217</v>
      </c>
    </row>
    <row r="577" customFormat="false" ht="15.75" hidden="false" customHeight="false" outlineLevel="0" collapsed="false">
      <c r="A577" s="6" t="n">
        <f aca="false">IFERROR(__xludf.dummyfunction("""COMPUTED_VALUE"""),45034.6666666667)</f>
        <v>45034.6666666667</v>
      </c>
      <c r="B577" s="5" t="n">
        <f aca="false">IFERROR(__xludf.dummyfunction("""COMPUTED_VALUE"""),166.1)</f>
        <v>166.1</v>
      </c>
      <c r="C577" s="5" t="n">
        <f aca="false">IFERROR(__xludf.dummyfunction("""COMPUTED_VALUE"""),167.41)</f>
        <v>167.41</v>
      </c>
      <c r="D577" s="5" t="n">
        <f aca="false">IFERROR(__xludf.dummyfunction("""COMPUTED_VALUE"""),165.65)</f>
        <v>165.65</v>
      </c>
      <c r="E577" s="5" t="n">
        <f aca="false">IFERROR(__xludf.dummyfunction("""COMPUTED_VALUE"""),166.47)</f>
        <v>166.47</v>
      </c>
      <c r="F577" s="5" t="n">
        <f aca="false">IFERROR(__xludf.dummyfunction("""COMPUTED_VALUE"""),49923008)</f>
        <v>49923008</v>
      </c>
    </row>
    <row r="578" customFormat="false" ht="15.75" hidden="false" customHeight="false" outlineLevel="0" collapsed="false">
      <c r="A578" s="6" t="n">
        <f aca="false">IFERROR(__xludf.dummyfunction("""COMPUTED_VALUE"""),45035.6666666667)</f>
        <v>45035.6666666667</v>
      </c>
      <c r="B578" s="5" t="n">
        <f aca="false">IFERROR(__xludf.dummyfunction("""COMPUTED_VALUE"""),165.8)</f>
        <v>165.8</v>
      </c>
      <c r="C578" s="5" t="n">
        <f aca="false">IFERROR(__xludf.dummyfunction("""COMPUTED_VALUE"""),168.16)</f>
        <v>168.16</v>
      </c>
      <c r="D578" s="5" t="n">
        <f aca="false">IFERROR(__xludf.dummyfunction("""COMPUTED_VALUE"""),165.54)</f>
        <v>165.54</v>
      </c>
      <c r="E578" s="5" t="n">
        <f aca="false">IFERROR(__xludf.dummyfunction("""COMPUTED_VALUE"""),167.63)</f>
        <v>167.63</v>
      </c>
      <c r="F578" s="5" t="n">
        <f aca="false">IFERROR(__xludf.dummyfunction("""COMPUTED_VALUE"""),47720166)</f>
        <v>47720166</v>
      </c>
    </row>
    <row r="579" customFormat="false" ht="15.75" hidden="false" customHeight="false" outlineLevel="0" collapsed="false">
      <c r="A579" s="6" t="n">
        <f aca="false">IFERROR(__xludf.dummyfunction("""COMPUTED_VALUE"""),45036.6666666667)</f>
        <v>45036.6666666667</v>
      </c>
      <c r="B579" s="5" t="n">
        <f aca="false">IFERROR(__xludf.dummyfunction("""COMPUTED_VALUE"""),166.09)</f>
        <v>166.09</v>
      </c>
      <c r="C579" s="5" t="n">
        <f aca="false">IFERROR(__xludf.dummyfunction("""COMPUTED_VALUE"""),167.87)</f>
        <v>167.87</v>
      </c>
      <c r="D579" s="5" t="n">
        <f aca="false">IFERROR(__xludf.dummyfunction("""COMPUTED_VALUE"""),165.56)</f>
        <v>165.56</v>
      </c>
      <c r="E579" s="5" t="n">
        <f aca="false">IFERROR(__xludf.dummyfunction("""COMPUTED_VALUE"""),166.65)</f>
        <v>166.65</v>
      </c>
      <c r="F579" s="5" t="n">
        <f aca="false">IFERROR(__xludf.dummyfunction("""COMPUTED_VALUE"""),52456377)</f>
        <v>52456377</v>
      </c>
    </row>
    <row r="580" customFormat="false" ht="15.75" hidden="false" customHeight="false" outlineLevel="0" collapsed="false">
      <c r="A580" s="6" t="n">
        <f aca="false">IFERROR(__xludf.dummyfunction("""COMPUTED_VALUE"""),45037.6666666667)</f>
        <v>45037.6666666667</v>
      </c>
      <c r="B580" s="5" t="n">
        <f aca="false">IFERROR(__xludf.dummyfunction("""COMPUTED_VALUE"""),165.05)</f>
        <v>165.05</v>
      </c>
      <c r="C580" s="5" t="n">
        <f aca="false">IFERROR(__xludf.dummyfunction("""COMPUTED_VALUE"""),166.45)</f>
        <v>166.45</v>
      </c>
      <c r="D580" s="5" t="n">
        <f aca="false">IFERROR(__xludf.dummyfunction("""COMPUTED_VALUE"""),164.49)</f>
        <v>164.49</v>
      </c>
      <c r="E580" s="5" t="n">
        <f aca="false">IFERROR(__xludf.dummyfunction("""COMPUTED_VALUE"""),165.02)</f>
        <v>165.02</v>
      </c>
      <c r="F580" s="5" t="n">
        <f aca="false">IFERROR(__xludf.dummyfunction("""COMPUTED_VALUE"""),58337341)</f>
        <v>58337341</v>
      </c>
    </row>
    <row r="581" customFormat="false" ht="15.75" hidden="false" customHeight="false" outlineLevel="0" collapsed="false">
      <c r="A581" s="6" t="n">
        <f aca="false">IFERROR(__xludf.dummyfunction("""COMPUTED_VALUE"""),45040.6666666667)</f>
        <v>45040.6666666667</v>
      </c>
      <c r="B581" s="5" t="n">
        <f aca="false">IFERROR(__xludf.dummyfunction("""COMPUTED_VALUE"""),165)</f>
        <v>165</v>
      </c>
      <c r="C581" s="5" t="n">
        <f aca="false">IFERROR(__xludf.dummyfunction("""COMPUTED_VALUE"""),165.6)</f>
        <v>165.6</v>
      </c>
      <c r="D581" s="5" t="n">
        <f aca="false">IFERROR(__xludf.dummyfunction("""COMPUTED_VALUE"""),163.89)</f>
        <v>163.89</v>
      </c>
      <c r="E581" s="5" t="n">
        <f aca="false">IFERROR(__xludf.dummyfunction("""COMPUTED_VALUE"""),165.33)</f>
        <v>165.33</v>
      </c>
      <c r="F581" s="5" t="n">
        <f aca="false">IFERROR(__xludf.dummyfunction("""COMPUTED_VALUE"""),41949581)</f>
        <v>41949581</v>
      </c>
    </row>
    <row r="582" customFormat="false" ht="15.75" hidden="false" customHeight="false" outlineLevel="0" collapsed="false">
      <c r="A582" s="6" t="n">
        <f aca="false">IFERROR(__xludf.dummyfunction("""COMPUTED_VALUE"""),45041.6666666667)</f>
        <v>45041.6666666667</v>
      </c>
      <c r="B582" s="5" t="n">
        <f aca="false">IFERROR(__xludf.dummyfunction("""COMPUTED_VALUE"""),165.19)</f>
        <v>165.19</v>
      </c>
      <c r="C582" s="5" t="n">
        <f aca="false">IFERROR(__xludf.dummyfunction("""COMPUTED_VALUE"""),166.31)</f>
        <v>166.31</v>
      </c>
      <c r="D582" s="5" t="n">
        <f aca="false">IFERROR(__xludf.dummyfunction("""COMPUTED_VALUE"""),163.73)</f>
        <v>163.73</v>
      </c>
      <c r="E582" s="5" t="n">
        <f aca="false">IFERROR(__xludf.dummyfunction("""COMPUTED_VALUE"""),163.77)</f>
        <v>163.77</v>
      </c>
      <c r="F582" s="5" t="n">
        <f aca="false">IFERROR(__xludf.dummyfunction("""COMPUTED_VALUE"""),48714063)</f>
        <v>48714063</v>
      </c>
    </row>
    <row r="583" customFormat="false" ht="15.75" hidden="false" customHeight="false" outlineLevel="0" collapsed="false">
      <c r="A583" s="6" t="n">
        <f aca="false">IFERROR(__xludf.dummyfunction("""COMPUTED_VALUE"""),45042.6666666667)</f>
        <v>45042.6666666667</v>
      </c>
      <c r="B583" s="5" t="n">
        <f aca="false">IFERROR(__xludf.dummyfunction("""COMPUTED_VALUE"""),163.06)</f>
        <v>163.06</v>
      </c>
      <c r="C583" s="5" t="n">
        <f aca="false">IFERROR(__xludf.dummyfunction("""COMPUTED_VALUE"""),165.28)</f>
        <v>165.28</v>
      </c>
      <c r="D583" s="5" t="n">
        <f aca="false">IFERROR(__xludf.dummyfunction("""COMPUTED_VALUE"""),162.8)</f>
        <v>162.8</v>
      </c>
      <c r="E583" s="5" t="n">
        <f aca="false">IFERROR(__xludf.dummyfunction("""COMPUTED_VALUE"""),163.76)</f>
        <v>163.76</v>
      </c>
      <c r="F583" s="5" t="n">
        <f aca="false">IFERROR(__xludf.dummyfunction("""COMPUTED_VALUE"""),45498796)</f>
        <v>45498796</v>
      </c>
    </row>
    <row r="584" customFormat="false" ht="15.75" hidden="false" customHeight="false" outlineLevel="0" collapsed="false">
      <c r="A584" s="6" t="n">
        <f aca="false">IFERROR(__xludf.dummyfunction("""COMPUTED_VALUE"""),45043.6666666667)</f>
        <v>45043.6666666667</v>
      </c>
      <c r="B584" s="5" t="n">
        <f aca="false">IFERROR(__xludf.dummyfunction("""COMPUTED_VALUE"""),165.19)</f>
        <v>165.19</v>
      </c>
      <c r="C584" s="5" t="n">
        <f aca="false">IFERROR(__xludf.dummyfunction("""COMPUTED_VALUE"""),168.56)</f>
        <v>168.56</v>
      </c>
      <c r="D584" s="5" t="n">
        <f aca="false">IFERROR(__xludf.dummyfunction("""COMPUTED_VALUE"""),165.19)</f>
        <v>165.19</v>
      </c>
      <c r="E584" s="5" t="n">
        <f aca="false">IFERROR(__xludf.dummyfunction("""COMPUTED_VALUE"""),168.41)</f>
        <v>168.41</v>
      </c>
      <c r="F584" s="5" t="n">
        <f aca="false">IFERROR(__xludf.dummyfunction("""COMPUTED_VALUE"""),64902329)</f>
        <v>64902329</v>
      </c>
    </row>
    <row r="585" customFormat="false" ht="15.75" hidden="false" customHeight="false" outlineLevel="0" collapsed="false">
      <c r="A585" s="6" t="n">
        <f aca="false">IFERROR(__xludf.dummyfunction("""COMPUTED_VALUE"""),45044.6666666667)</f>
        <v>45044.6666666667</v>
      </c>
      <c r="B585" s="5" t="n">
        <f aca="false">IFERROR(__xludf.dummyfunction("""COMPUTED_VALUE"""),168.49)</f>
        <v>168.49</v>
      </c>
      <c r="C585" s="5" t="n">
        <f aca="false">IFERROR(__xludf.dummyfunction("""COMPUTED_VALUE"""),169.85)</f>
        <v>169.85</v>
      </c>
      <c r="D585" s="5" t="n">
        <f aca="false">IFERROR(__xludf.dummyfunction("""COMPUTED_VALUE"""),167.88)</f>
        <v>167.88</v>
      </c>
      <c r="E585" s="5" t="n">
        <f aca="false">IFERROR(__xludf.dummyfunction("""COMPUTED_VALUE"""),169.68)</f>
        <v>169.68</v>
      </c>
      <c r="F585" s="5" t="n">
        <f aca="false">IFERROR(__xludf.dummyfunction("""COMPUTED_VALUE"""),55275851)</f>
        <v>55275851</v>
      </c>
    </row>
    <row r="586" customFormat="false" ht="15.75" hidden="false" customHeight="false" outlineLevel="0" collapsed="false">
      <c r="A586" s="6" t="n">
        <f aca="false">IFERROR(__xludf.dummyfunction("""COMPUTED_VALUE"""),45047.6666666667)</f>
        <v>45047.6666666667</v>
      </c>
      <c r="B586" s="5" t="n">
        <f aca="false">IFERROR(__xludf.dummyfunction("""COMPUTED_VALUE"""),169.28)</f>
        <v>169.28</v>
      </c>
      <c r="C586" s="5" t="n">
        <f aca="false">IFERROR(__xludf.dummyfunction("""COMPUTED_VALUE"""),170.45)</f>
        <v>170.45</v>
      </c>
      <c r="D586" s="5" t="n">
        <f aca="false">IFERROR(__xludf.dummyfunction("""COMPUTED_VALUE"""),168.64)</f>
        <v>168.64</v>
      </c>
      <c r="E586" s="5" t="n">
        <f aca="false">IFERROR(__xludf.dummyfunction("""COMPUTED_VALUE"""),169.59)</f>
        <v>169.59</v>
      </c>
      <c r="F586" s="5" t="n">
        <f aca="false">IFERROR(__xludf.dummyfunction("""COMPUTED_VALUE"""),52472936)</f>
        <v>52472936</v>
      </c>
    </row>
    <row r="587" customFormat="false" ht="15.75" hidden="false" customHeight="false" outlineLevel="0" collapsed="false">
      <c r="A587" s="6" t="n">
        <f aca="false">IFERROR(__xludf.dummyfunction("""COMPUTED_VALUE"""),45048.6666666667)</f>
        <v>45048.6666666667</v>
      </c>
      <c r="B587" s="5" t="n">
        <f aca="false">IFERROR(__xludf.dummyfunction("""COMPUTED_VALUE"""),170.09)</f>
        <v>170.09</v>
      </c>
      <c r="C587" s="5" t="n">
        <f aca="false">IFERROR(__xludf.dummyfunction("""COMPUTED_VALUE"""),170.35)</f>
        <v>170.35</v>
      </c>
      <c r="D587" s="5" t="n">
        <f aca="false">IFERROR(__xludf.dummyfunction("""COMPUTED_VALUE"""),167.54)</f>
        <v>167.54</v>
      </c>
      <c r="E587" s="5" t="n">
        <f aca="false">IFERROR(__xludf.dummyfunction("""COMPUTED_VALUE"""),168.54)</f>
        <v>168.54</v>
      </c>
      <c r="F587" s="5" t="n">
        <f aca="false">IFERROR(__xludf.dummyfunction("""COMPUTED_VALUE"""),48425696)</f>
        <v>48425696</v>
      </c>
    </row>
    <row r="588" customFormat="false" ht="15.75" hidden="false" customHeight="false" outlineLevel="0" collapsed="false">
      <c r="A588" s="6" t="n">
        <f aca="false">IFERROR(__xludf.dummyfunction("""COMPUTED_VALUE"""),45049.6666666667)</f>
        <v>45049.6666666667</v>
      </c>
      <c r="B588" s="5" t="n">
        <f aca="false">IFERROR(__xludf.dummyfunction("""COMPUTED_VALUE"""),169.5)</f>
        <v>169.5</v>
      </c>
      <c r="C588" s="5" t="n">
        <f aca="false">IFERROR(__xludf.dummyfunction("""COMPUTED_VALUE"""),170.92)</f>
        <v>170.92</v>
      </c>
      <c r="D588" s="5" t="n">
        <f aca="false">IFERROR(__xludf.dummyfunction("""COMPUTED_VALUE"""),167.16)</f>
        <v>167.16</v>
      </c>
      <c r="E588" s="5" t="n">
        <f aca="false">IFERROR(__xludf.dummyfunction("""COMPUTED_VALUE"""),167.45)</f>
        <v>167.45</v>
      </c>
      <c r="F588" s="5" t="n">
        <f aca="false">IFERROR(__xludf.dummyfunction("""COMPUTED_VALUE"""),65136018)</f>
        <v>65136018</v>
      </c>
    </row>
    <row r="589" customFormat="false" ht="15.75" hidden="false" customHeight="false" outlineLevel="0" collapsed="false">
      <c r="A589" s="6" t="n">
        <f aca="false">IFERROR(__xludf.dummyfunction("""COMPUTED_VALUE"""),45050.6666666667)</f>
        <v>45050.6666666667</v>
      </c>
      <c r="B589" s="5" t="n">
        <f aca="false">IFERROR(__xludf.dummyfunction("""COMPUTED_VALUE"""),164.89)</f>
        <v>164.89</v>
      </c>
      <c r="C589" s="5" t="n">
        <f aca="false">IFERROR(__xludf.dummyfunction("""COMPUTED_VALUE"""),167.04)</f>
        <v>167.04</v>
      </c>
      <c r="D589" s="5" t="n">
        <f aca="false">IFERROR(__xludf.dummyfunction("""COMPUTED_VALUE"""),164.31)</f>
        <v>164.31</v>
      </c>
      <c r="E589" s="5" t="n">
        <f aca="false">IFERROR(__xludf.dummyfunction("""COMPUTED_VALUE"""),165.79)</f>
        <v>165.79</v>
      </c>
      <c r="F589" s="5" t="n">
        <f aca="false">IFERROR(__xludf.dummyfunction("""COMPUTED_VALUE"""),81235427)</f>
        <v>81235427</v>
      </c>
    </row>
    <row r="590" customFormat="false" ht="15.75" hidden="false" customHeight="false" outlineLevel="0" collapsed="false">
      <c r="A590" s="6" t="n">
        <f aca="false">IFERROR(__xludf.dummyfunction("""COMPUTED_VALUE"""),45051.6666666667)</f>
        <v>45051.6666666667</v>
      </c>
      <c r="B590" s="5" t="n">
        <f aca="false">IFERROR(__xludf.dummyfunction("""COMPUTED_VALUE"""),170.98)</f>
        <v>170.98</v>
      </c>
      <c r="C590" s="5" t="n">
        <f aca="false">IFERROR(__xludf.dummyfunction("""COMPUTED_VALUE"""),174.3)</f>
        <v>174.3</v>
      </c>
      <c r="D590" s="5" t="n">
        <f aca="false">IFERROR(__xludf.dummyfunction("""COMPUTED_VALUE"""),170.76)</f>
        <v>170.76</v>
      </c>
      <c r="E590" s="5" t="n">
        <f aca="false">IFERROR(__xludf.dummyfunction("""COMPUTED_VALUE"""),173.57)</f>
        <v>173.57</v>
      </c>
      <c r="F590" s="5" t="n">
        <f aca="false">IFERROR(__xludf.dummyfunction("""COMPUTED_VALUE"""),113453171)</f>
        <v>113453171</v>
      </c>
    </row>
    <row r="591" customFormat="false" ht="15.75" hidden="false" customHeight="false" outlineLevel="0" collapsed="false">
      <c r="A591" s="6" t="n">
        <f aca="false">IFERROR(__xludf.dummyfunction("""COMPUTED_VALUE"""),45054.6666666667)</f>
        <v>45054.6666666667</v>
      </c>
      <c r="B591" s="5" t="n">
        <f aca="false">IFERROR(__xludf.dummyfunction("""COMPUTED_VALUE"""),172.48)</f>
        <v>172.48</v>
      </c>
      <c r="C591" s="5" t="n">
        <f aca="false">IFERROR(__xludf.dummyfunction("""COMPUTED_VALUE"""),173.85)</f>
        <v>173.85</v>
      </c>
      <c r="D591" s="5" t="n">
        <f aca="false">IFERROR(__xludf.dummyfunction("""COMPUTED_VALUE"""),172.11)</f>
        <v>172.11</v>
      </c>
      <c r="E591" s="5" t="n">
        <f aca="false">IFERROR(__xludf.dummyfunction("""COMPUTED_VALUE"""),173.5)</f>
        <v>173.5</v>
      </c>
      <c r="F591" s="5" t="n">
        <f aca="false">IFERROR(__xludf.dummyfunction("""COMPUTED_VALUE"""),55962793)</f>
        <v>55962793</v>
      </c>
    </row>
    <row r="592" customFormat="false" ht="15.75" hidden="false" customHeight="false" outlineLevel="0" collapsed="false">
      <c r="A592" s="6" t="n">
        <f aca="false">IFERROR(__xludf.dummyfunction("""COMPUTED_VALUE"""),45055.6666666667)</f>
        <v>45055.6666666667</v>
      </c>
      <c r="B592" s="5" t="n">
        <f aca="false">IFERROR(__xludf.dummyfunction("""COMPUTED_VALUE"""),173.05)</f>
        <v>173.05</v>
      </c>
      <c r="C592" s="5" t="n">
        <f aca="false">IFERROR(__xludf.dummyfunction("""COMPUTED_VALUE"""),173.54)</f>
        <v>173.54</v>
      </c>
      <c r="D592" s="5" t="n">
        <f aca="false">IFERROR(__xludf.dummyfunction("""COMPUTED_VALUE"""),171.6)</f>
        <v>171.6</v>
      </c>
      <c r="E592" s="5" t="n">
        <f aca="false">IFERROR(__xludf.dummyfunction("""COMPUTED_VALUE"""),171.77)</f>
        <v>171.77</v>
      </c>
      <c r="F592" s="5" t="n">
        <f aca="false">IFERROR(__xludf.dummyfunction("""COMPUTED_VALUE"""),45326874)</f>
        <v>45326874</v>
      </c>
    </row>
    <row r="593" customFormat="false" ht="15.75" hidden="false" customHeight="false" outlineLevel="0" collapsed="false">
      <c r="A593" s="6" t="n">
        <f aca="false">IFERROR(__xludf.dummyfunction("""COMPUTED_VALUE"""),45056.6666666667)</f>
        <v>45056.6666666667</v>
      </c>
      <c r="B593" s="5" t="n">
        <f aca="false">IFERROR(__xludf.dummyfunction("""COMPUTED_VALUE"""),173.02)</f>
        <v>173.02</v>
      </c>
      <c r="C593" s="5" t="n">
        <f aca="false">IFERROR(__xludf.dummyfunction("""COMPUTED_VALUE"""),174.03)</f>
        <v>174.03</v>
      </c>
      <c r="D593" s="5" t="n">
        <f aca="false">IFERROR(__xludf.dummyfunction("""COMPUTED_VALUE"""),171.9)</f>
        <v>171.9</v>
      </c>
      <c r="E593" s="5" t="n">
        <f aca="false">IFERROR(__xludf.dummyfunction("""COMPUTED_VALUE"""),173.56)</f>
        <v>173.56</v>
      </c>
      <c r="F593" s="5" t="n">
        <f aca="false">IFERROR(__xludf.dummyfunction("""COMPUTED_VALUE"""),53724501)</f>
        <v>53724501</v>
      </c>
    </row>
    <row r="594" customFormat="false" ht="15.75" hidden="false" customHeight="false" outlineLevel="0" collapsed="false">
      <c r="A594" s="6" t="n">
        <f aca="false">IFERROR(__xludf.dummyfunction("""COMPUTED_VALUE"""),45057.6666666667)</f>
        <v>45057.6666666667</v>
      </c>
      <c r="B594" s="5" t="n">
        <f aca="false">IFERROR(__xludf.dummyfunction("""COMPUTED_VALUE"""),173.85)</f>
        <v>173.85</v>
      </c>
      <c r="C594" s="5" t="n">
        <f aca="false">IFERROR(__xludf.dummyfunction("""COMPUTED_VALUE"""),174.59)</f>
        <v>174.59</v>
      </c>
      <c r="D594" s="5" t="n">
        <f aca="false">IFERROR(__xludf.dummyfunction("""COMPUTED_VALUE"""),172.17)</f>
        <v>172.17</v>
      </c>
      <c r="E594" s="5" t="n">
        <f aca="false">IFERROR(__xludf.dummyfunction("""COMPUTED_VALUE"""),173.75)</f>
        <v>173.75</v>
      </c>
      <c r="F594" s="5" t="n">
        <f aca="false">IFERROR(__xludf.dummyfunction("""COMPUTED_VALUE"""),49514676)</f>
        <v>49514676</v>
      </c>
    </row>
    <row r="595" customFormat="false" ht="15.75" hidden="false" customHeight="false" outlineLevel="0" collapsed="false">
      <c r="A595" s="6" t="n">
        <f aca="false">IFERROR(__xludf.dummyfunction("""COMPUTED_VALUE"""),45058.6666666667)</f>
        <v>45058.6666666667</v>
      </c>
      <c r="B595" s="5" t="n">
        <f aca="false">IFERROR(__xludf.dummyfunction("""COMPUTED_VALUE"""),173.62)</f>
        <v>173.62</v>
      </c>
      <c r="C595" s="5" t="n">
        <f aca="false">IFERROR(__xludf.dummyfunction("""COMPUTED_VALUE"""),174.06)</f>
        <v>174.06</v>
      </c>
      <c r="D595" s="5" t="n">
        <f aca="false">IFERROR(__xludf.dummyfunction("""COMPUTED_VALUE"""),171)</f>
        <v>171</v>
      </c>
      <c r="E595" s="5" t="n">
        <f aca="false">IFERROR(__xludf.dummyfunction("""COMPUTED_VALUE"""),172.57)</f>
        <v>172.57</v>
      </c>
      <c r="F595" s="5" t="n">
        <f aca="false">IFERROR(__xludf.dummyfunction("""COMPUTED_VALUE"""),45533138)</f>
        <v>45533138</v>
      </c>
    </row>
    <row r="596" customFormat="false" ht="15.75" hidden="false" customHeight="false" outlineLevel="0" collapsed="false">
      <c r="A596" s="6" t="n">
        <f aca="false">IFERROR(__xludf.dummyfunction("""COMPUTED_VALUE"""),45061.6666666667)</f>
        <v>45061.6666666667</v>
      </c>
      <c r="B596" s="5" t="n">
        <f aca="false">IFERROR(__xludf.dummyfunction("""COMPUTED_VALUE"""),173.16)</f>
        <v>173.16</v>
      </c>
      <c r="C596" s="5" t="n">
        <f aca="false">IFERROR(__xludf.dummyfunction("""COMPUTED_VALUE"""),173.21)</f>
        <v>173.21</v>
      </c>
      <c r="D596" s="5" t="n">
        <f aca="false">IFERROR(__xludf.dummyfunction("""COMPUTED_VALUE"""),171.47)</f>
        <v>171.47</v>
      </c>
      <c r="E596" s="5" t="n">
        <f aca="false">IFERROR(__xludf.dummyfunction("""COMPUTED_VALUE"""),172.07)</f>
        <v>172.07</v>
      </c>
      <c r="F596" s="5" t="n">
        <f aca="false">IFERROR(__xludf.dummyfunction("""COMPUTED_VALUE"""),37266659)</f>
        <v>37266659</v>
      </c>
    </row>
    <row r="597" customFormat="false" ht="15.75" hidden="false" customHeight="false" outlineLevel="0" collapsed="false">
      <c r="A597" s="6" t="n">
        <f aca="false">IFERROR(__xludf.dummyfunction("""COMPUTED_VALUE"""),45062.6666666667)</f>
        <v>45062.6666666667</v>
      </c>
      <c r="B597" s="5" t="n">
        <f aca="false">IFERROR(__xludf.dummyfunction("""COMPUTED_VALUE"""),171.99)</f>
        <v>171.99</v>
      </c>
      <c r="C597" s="5" t="n">
        <f aca="false">IFERROR(__xludf.dummyfunction("""COMPUTED_VALUE"""),173.14)</f>
        <v>173.14</v>
      </c>
      <c r="D597" s="5" t="n">
        <f aca="false">IFERROR(__xludf.dummyfunction("""COMPUTED_VALUE"""),171.8)</f>
        <v>171.8</v>
      </c>
      <c r="E597" s="5" t="n">
        <f aca="false">IFERROR(__xludf.dummyfunction("""COMPUTED_VALUE"""),172.07)</f>
        <v>172.07</v>
      </c>
      <c r="F597" s="5" t="n">
        <f aca="false">IFERROR(__xludf.dummyfunction("""COMPUTED_VALUE"""),42110293)</f>
        <v>42110293</v>
      </c>
    </row>
    <row r="598" customFormat="false" ht="15.75" hidden="false" customHeight="false" outlineLevel="0" collapsed="false">
      <c r="A598" s="6" t="n">
        <f aca="false">IFERROR(__xludf.dummyfunction("""COMPUTED_VALUE"""),45063.6666666667)</f>
        <v>45063.6666666667</v>
      </c>
      <c r="B598" s="5" t="n">
        <f aca="false">IFERROR(__xludf.dummyfunction("""COMPUTED_VALUE"""),171.71)</f>
        <v>171.71</v>
      </c>
      <c r="C598" s="5" t="n">
        <f aca="false">IFERROR(__xludf.dummyfunction("""COMPUTED_VALUE"""),172.93)</f>
        <v>172.93</v>
      </c>
      <c r="D598" s="5" t="n">
        <f aca="false">IFERROR(__xludf.dummyfunction("""COMPUTED_VALUE"""),170.42)</f>
        <v>170.42</v>
      </c>
      <c r="E598" s="5" t="n">
        <f aca="false">IFERROR(__xludf.dummyfunction("""COMPUTED_VALUE"""),172.69)</f>
        <v>172.69</v>
      </c>
      <c r="F598" s="5" t="n">
        <f aca="false">IFERROR(__xludf.dummyfunction("""COMPUTED_VALUE"""),57951604)</f>
        <v>57951604</v>
      </c>
    </row>
    <row r="599" customFormat="false" ht="15.75" hidden="false" customHeight="false" outlineLevel="0" collapsed="false">
      <c r="A599" s="6" t="n">
        <f aca="false">IFERROR(__xludf.dummyfunction("""COMPUTED_VALUE"""),45064.6666666667)</f>
        <v>45064.6666666667</v>
      </c>
      <c r="B599" s="5" t="n">
        <f aca="false">IFERROR(__xludf.dummyfunction("""COMPUTED_VALUE"""),173)</f>
        <v>173</v>
      </c>
      <c r="C599" s="5" t="n">
        <f aca="false">IFERROR(__xludf.dummyfunction("""COMPUTED_VALUE"""),175.24)</f>
        <v>175.24</v>
      </c>
      <c r="D599" s="5" t="n">
        <f aca="false">IFERROR(__xludf.dummyfunction("""COMPUTED_VALUE"""),172.58)</f>
        <v>172.58</v>
      </c>
      <c r="E599" s="5" t="n">
        <f aca="false">IFERROR(__xludf.dummyfunction("""COMPUTED_VALUE"""),175.05)</f>
        <v>175.05</v>
      </c>
      <c r="F599" s="5" t="n">
        <f aca="false">IFERROR(__xludf.dummyfunction("""COMPUTED_VALUE"""),65496657)</f>
        <v>65496657</v>
      </c>
    </row>
    <row r="600" customFormat="false" ht="15.75" hidden="false" customHeight="false" outlineLevel="0" collapsed="false">
      <c r="A600" s="6" t="n">
        <f aca="false">IFERROR(__xludf.dummyfunction("""COMPUTED_VALUE"""),45065.6666666667)</f>
        <v>45065.6666666667</v>
      </c>
      <c r="B600" s="5" t="n">
        <f aca="false">IFERROR(__xludf.dummyfunction("""COMPUTED_VALUE"""),176.39)</f>
        <v>176.39</v>
      </c>
      <c r="C600" s="5" t="n">
        <f aca="false">IFERROR(__xludf.dummyfunction("""COMPUTED_VALUE"""),176.39)</f>
        <v>176.39</v>
      </c>
      <c r="D600" s="5" t="n">
        <f aca="false">IFERROR(__xludf.dummyfunction("""COMPUTED_VALUE"""),174.94)</f>
        <v>174.94</v>
      </c>
      <c r="E600" s="5" t="n">
        <f aca="false">IFERROR(__xludf.dummyfunction("""COMPUTED_VALUE"""),175.16)</f>
        <v>175.16</v>
      </c>
      <c r="F600" s="5" t="n">
        <f aca="false">IFERROR(__xludf.dummyfunction("""COMPUTED_VALUE"""),55809475)</f>
        <v>55809475</v>
      </c>
    </row>
    <row r="601" customFormat="false" ht="15.75" hidden="false" customHeight="false" outlineLevel="0" collapsed="false">
      <c r="A601" s="6" t="n">
        <f aca="false">IFERROR(__xludf.dummyfunction("""COMPUTED_VALUE"""),45068.6666666667)</f>
        <v>45068.6666666667</v>
      </c>
      <c r="B601" s="5" t="n">
        <f aca="false">IFERROR(__xludf.dummyfunction("""COMPUTED_VALUE"""),173.98)</f>
        <v>173.98</v>
      </c>
      <c r="C601" s="5" t="n">
        <f aca="false">IFERROR(__xludf.dummyfunction("""COMPUTED_VALUE"""),174.71)</f>
        <v>174.71</v>
      </c>
      <c r="D601" s="5" t="n">
        <f aca="false">IFERROR(__xludf.dummyfunction("""COMPUTED_VALUE"""),173.45)</f>
        <v>173.45</v>
      </c>
      <c r="E601" s="5" t="n">
        <f aca="false">IFERROR(__xludf.dummyfunction("""COMPUTED_VALUE"""),174.2)</f>
        <v>174.2</v>
      </c>
      <c r="F601" s="5" t="n">
        <f aca="false">IFERROR(__xludf.dummyfunction("""COMPUTED_VALUE"""),43570932)</f>
        <v>43570932</v>
      </c>
    </row>
    <row r="602" customFormat="false" ht="15.75" hidden="false" customHeight="false" outlineLevel="0" collapsed="false">
      <c r="A602" s="6" t="n">
        <f aca="false">IFERROR(__xludf.dummyfunction("""COMPUTED_VALUE"""),45069.6666666667)</f>
        <v>45069.6666666667</v>
      </c>
      <c r="B602" s="5" t="n">
        <f aca="false">IFERROR(__xludf.dummyfunction("""COMPUTED_VALUE"""),173.13)</f>
        <v>173.13</v>
      </c>
      <c r="C602" s="5" t="n">
        <f aca="false">IFERROR(__xludf.dummyfunction("""COMPUTED_VALUE"""),173.38)</f>
        <v>173.38</v>
      </c>
      <c r="D602" s="5" t="n">
        <f aca="false">IFERROR(__xludf.dummyfunction("""COMPUTED_VALUE"""),171.28)</f>
        <v>171.28</v>
      </c>
      <c r="E602" s="5" t="n">
        <f aca="false">IFERROR(__xludf.dummyfunction("""COMPUTED_VALUE"""),171.56)</f>
        <v>171.56</v>
      </c>
      <c r="F602" s="5" t="n">
        <f aca="false">IFERROR(__xludf.dummyfunction("""COMPUTED_VALUE"""),50747263)</f>
        <v>50747263</v>
      </c>
    </row>
    <row r="603" customFormat="false" ht="15.75" hidden="false" customHeight="false" outlineLevel="0" collapsed="false">
      <c r="A603" s="6" t="n">
        <f aca="false">IFERROR(__xludf.dummyfunction("""COMPUTED_VALUE"""),45070.6666666667)</f>
        <v>45070.6666666667</v>
      </c>
      <c r="B603" s="5" t="n">
        <f aca="false">IFERROR(__xludf.dummyfunction("""COMPUTED_VALUE"""),171.09)</f>
        <v>171.09</v>
      </c>
      <c r="C603" s="5" t="n">
        <f aca="false">IFERROR(__xludf.dummyfunction("""COMPUTED_VALUE"""),172.42)</f>
        <v>172.42</v>
      </c>
      <c r="D603" s="5" t="n">
        <f aca="false">IFERROR(__xludf.dummyfunction("""COMPUTED_VALUE"""),170.52)</f>
        <v>170.52</v>
      </c>
      <c r="E603" s="5" t="n">
        <f aca="false">IFERROR(__xludf.dummyfunction("""COMPUTED_VALUE"""),171.84)</f>
        <v>171.84</v>
      </c>
      <c r="F603" s="5" t="n">
        <f aca="false">IFERROR(__xludf.dummyfunction("""COMPUTED_VALUE"""),45143488)</f>
        <v>45143488</v>
      </c>
    </row>
    <row r="604" customFormat="false" ht="15.75" hidden="false" customHeight="false" outlineLevel="0" collapsed="false">
      <c r="A604" s="6" t="n">
        <f aca="false">IFERROR(__xludf.dummyfunction("""COMPUTED_VALUE"""),45071.6666666667)</f>
        <v>45071.6666666667</v>
      </c>
      <c r="B604" s="5" t="n">
        <f aca="false">IFERROR(__xludf.dummyfunction("""COMPUTED_VALUE"""),172.41)</f>
        <v>172.41</v>
      </c>
      <c r="C604" s="5" t="n">
        <f aca="false">IFERROR(__xludf.dummyfunction("""COMPUTED_VALUE"""),173.9)</f>
        <v>173.9</v>
      </c>
      <c r="D604" s="5" t="n">
        <f aca="false">IFERROR(__xludf.dummyfunction("""COMPUTED_VALUE"""),171.69)</f>
        <v>171.69</v>
      </c>
      <c r="E604" s="5" t="n">
        <f aca="false">IFERROR(__xludf.dummyfunction("""COMPUTED_VALUE"""),172.99)</f>
        <v>172.99</v>
      </c>
      <c r="F604" s="5" t="n">
        <f aca="false">IFERROR(__xludf.dummyfunction("""COMPUTED_VALUE"""),56058258)</f>
        <v>56058258</v>
      </c>
    </row>
    <row r="605" customFormat="false" ht="15.75" hidden="false" customHeight="false" outlineLevel="0" collapsed="false">
      <c r="A605" s="6" t="n">
        <f aca="false">IFERROR(__xludf.dummyfunction("""COMPUTED_VALUE"""),45072.6666666667)</f>
        <v>45072.6666666667</v>
      </c>
      <c r="B605" s="5" t="n">
        <f aca="false">IFERROR(__xludf.dummyfunction("""COMPUTED_VALUE"""),173.32)</f>
        <v>173.32</v>
      </c>
      <c r="C605" s="5" t="n">
        <f aca="false">IFERROR(__xludf.dummyfunction("""COMPUTED_VALUE"""),175.77)</f>
        <v>175.77</v>
      </c>
      <c r="D605" s="5" t="n">
        <f aca="false">IFERROR(__xludf.dummyfunction("""COMPUTED_VALUE"""),173.11)</f>
        <v>173.11</v>
      </c>
      <c r="E605" s="5" t="n">
        <f aca="false">IFERROR(__xludf.dummyfunction("""COMPUTED_VALUE"""),175.43)</f>
        <v>175.43</v>
      </c>
      <c r="F605" s="5" t="n">
        <f aca="false">IFERROR(__xludf.dummyfunction("""COMPUTED_VALUE"""),54834975)</f>
        <v>54834975</v>
      </c>
    </row>
    <row r="606" customFormat="false" ht="15.75" hidden="false" customHeight="false" outlineLevel="0" collapsed="false">
      <c r="A606" s="6" t="n">
        <f aca="false">IFERROR(__xludf.dummyfunction("""COMPUTED_VALUE"""),45076.6666666667)</f>
        <v>45076.6666666667</v>
      </c>
      <c r="B606" s="5" t="n">
        <f aca="false">IFERROR(__xludf.dummyfunction("""COMPUTED_VALUE"""),176.96)</f>
        <v>176.96</v>
      </c>
      <c r="C606" s="5" t="n">
        <f aca="false">IFERROR(__xludf.dummyfunction("""COMPUTED_VALUE"""),178.99)</f>
        <v>178.99</v>
      </c>
      <c r="D606" s="5" t="n">
        <f aca="false">IFERROR(__xludf.dummyfunction("""COMPUTED_VALUE"""),176.57)</f>
        <v>176.57</v>
      </c>
      <c r="E606" s="5" t="n">
        <f aca="false">IFERROR(__xludf.dummyfunction("""COMPUTED_VALUE"""),177.3)</f>
        <v>177.3</v>
      </c>
      <c r="F606" s="5" t="n">
        <f aca="false">IFERROR(__xludf.dummyfunction("""COMPUTED_VALUE"""),55964401)</f>
        <v>55964401</v>
      </c>
    </row>
    <row r="607" customFormat="false" ht="15.75" hidden="false" customHeight="false" outlineLevel="0" collapsed="false">
      <c r="A607" s="6" t="n">
        <f aca="false">IFERROR(__xludf.dummyfunction("""COMPUTED_VALUE"""),45077.6666666667)</f>
        <v>45077.6666666667</v>
      </c>
      <c r="B607" s="5" t="n">
        <f aca="false">IFERROR(__xludf.dummyfunction("""COMPUTED_VALUE"""),177.33)</f>
        <v>177.33</v>
      </c>
      <c r="C607" s="5" t="n">
        <f aca="false">IFERROR(__xludf.dummyfunction("""COMPUTED_VALUE"""),179.35)</f>
        <v>179.35</v>
      </c>
      <c r="D607" s="5" t="n">
        <f aca="false">IFERROR(__xludf.dummyfunction("""COMPUTED_VALUE"""),176.76)</f>
        <v>176.76</v>
      </c>
      <c r="E607" s="5" t="n">
        <f aca="false">IFERROR(__xludf.dummyfunction("""COMPUTED_VALUE"""),177.25)</f>
        <v>177.25</v>
      </c>
      <c r="F607" s="5" t="n">
        <f aca="false">IFERROR(__xludf.dummyfunction("""COMPUTED_VALUE"""),99625288)</f>
        <v>99625288</v>
      </c>
    </row>
    <row r="608" customFormat="false" ht="15.75" hidden="false" customHeight="false" outlineLevel="0" collapsed="false">
      <c r="A608" s="6" t="n">
        <f aca="false">IFERROR(__xludf.dummyfunction("""COMPUTED_VALUE"""),45078.6666666667)</f>
        <v>45078.6666666667</v>
      </c>
      <c r="B608" s="5" t="n">
        <f aca="false">IFERROR(__xludf.dummyfunction("""COMPUTED_VALUE"""),177.7)</f>
        <v>177.7</v>
      </c>
      <c r="C608" s="5" t="n">
        <f aca="false">IFERROR(__xludf.dummyfunction("""COMPUTED_VALUE"""),180.12)</f>
        <v>180.12</v>
      </c>
      <c r="D608" s="5" t="n">
        <f aca="false">IFERROR(__xludf.dummyfunction("""COMPUTED_VALUE"""),176.93)</f>
        <v>176.93</v>
      </c>
      <c r="E608" s="5" t="n">
        <f aca="false">IFERROR(__xludf.dummyfunction("""COMPUTED_VALUE"""),180.09)</f>
        <v>180.09</v>
      </c>
      <c r="F608" s="5" t="n">
        <f aca="false">IFERROR(__xludf.dummyfunction("""COMPUTED_VALUE"""),68901809)</f>
        <v>68901809</v>
      </c>
    </row>
    <row r="609" customFormat="false" ht="15.75" hidden="false" customHeight="false" outlineLevel="0" collapsed="false">
      <c r="A609" s="6" t="n">
        <f aca="false">IFERROR(__xludf.dummyfunction("""COMPUTED_VALUE"""),45079.6666666667)</f>
        <v>45079.6666666667</v>
      </c>
      <c r="B609" s="5" t="n">
        <f aca="false">IFERROR(__xludf.dummyfunction("""COMPUTED_VALUE"""),181.03)</f>
        <v>181.03</v>
      </c>
      <c r="C609" s="5" t="n">
        <f aca="false">IFERROR(__xludf.dummyfunction("""COMPUTED_VALUE"""),181.78)</f>
        <v>181.78</v>
      </c>
      <c r="D609" s="5" t="n">
        <f aca="false">IFERROR(__xludf.dummyfunction("""COMPUTED_VALUE"""),179.26)</f>
        <v>179.26</v>
      </c>
      <c r="E609" s="5" t="n">
        <f aca="false">IFERROR(__xludf.dummyfunction("""COMPUTED_VALUE"""),180.95)</f>
        <v>180.95</v>
      </c>
      <c r="F609" s="5" t="n">
        <f aca="false">IFERROR(__xludf.dummyfunction("""COMPUTED_VALUE"""),61996913)</f>
        <v>61996913</v>
      </c>
    </row>
    <row r="610" customFormat="false" ht="15.75" hidden="false" customHeight="false" outlineLevel="0" collapsed="false">
      <c r="A610" s="6" t="n">
        <f aca="false">IFERROR(__xludf.dummyfunction("""COMPUTED_VALUE"""),45082.6666666667)</f>
        <v>45082.6666666667</v>
      </c>
      <c r="B610" s="5" t="n">
        <f aca="false">IFERROR(__xludf.dummyfunction("""COMPUTED_VALUE"""),182.63)</f>
        <v>182.63</v>
      </c>
      <c r="C610" s="5" t="n">
        <f aca="false">IFERROR(__xludf.dummyfunction("""COMPUTED_VALUE"""),184.95)</f>
        <v>184.95</v>
      </c>
      <c r="D610" s="5" t="n">
        <f aca="false">IFERROR(__xludf.dummyfunction("""COMPUTED_VALUE"""),178.04)</f>
        <v>178.04</v>
      </c>
      <c r="E610" s="5" t="n">
        <f aca="false">IFERROR(__xludf.dummyfunction("""COMPUTED_VALUE"""),179.58)</f>
        <v>179.58</v>
      </c>
      <c r="F610" s="5" t="n">
        <f aca="false">IFERROR(__xludf.dummyfunction("""COMPUTED_VALUE"""),121946497)</f>
        <v>121946497</v>
      </c>
    </row>
    <row r="611" customFormat="false" ht="15.75" hidden="false" customHeight="false" outlineLevel="0" collapsed="false">
      <c r="A611" s="6" t="n">
        <f aca="false">IFERROR(__xludf.dummyfunction("""COMPUTED_VALUE"""),45083.6666666667)</f>
        <v>45083.6666666667</v>
      </c>
      <c r="B611" s="5" t="n">
        <f aca="false">IFERROR(__xludf.dummyfunction("""COMPUTED_VALUE"""),179.97)</f>
        <v>179.97</v>
      </c>
      <c r="C611" s="5" t="n">
        <f aca="false">IFERROR(__xludf.dummyfunction("""COMPUTED_VALUE"""),180.12)</f>
        <v>180.12</v>
      </c>
      <c r="D611" s="5" t="n">
        <f aca="false">IFERROR(__xludf.dummyfunction("""COMPUTED_VALUE"""),177.43)</f>
        <v>177.43</v>
      </c>
      <c r="E611" s="5" t="n">
        <f aca="false">IFERROR(__xludf.dummyfunction("""COMPUTED_VALUE"""),179.21)</f>
        <v>179.21</v>
      </c>
      <c r="F611" s="5" t="n">
        <f aca="false">IFERROR(__xludf.dummyfunction("""COMPUTED_VALUE"""),64848374)</f>
        <v>64848374</v>
      </c>
    </row>
    <row r="612" customFormat="false" ht="15.75" hidden="false" customHeight="false" outlineLevel="0" collapsed="false">
      <c r="A612" s="6" t="n">
        <f aca="false">IFERROR(__xludf.dummyfunction("""COMPUTED_VALUE"""),45084.6666666667)</f>
        <v>45084.6666666667</v>
      </c>
      <c r="B612" s="5" t="n">
        <f aca="false">IFERROR(__xludf.dummyfunction("""COMPUTED_VALUE"""),178.44)</f>
        <v>178.44</v>
      </c>
      <c r="C612" s="5" t="n">
        <f aca="false">IFERROR(__xludf.dummyfunction("""COMPUTED_VALUE"""),181.21)</f>
        <v>181.21</v>
      </c>
      <c r="D612" s="5" t="n">
        <f aca="false">IFERROR(__xludf.dummyfunction("""COMPUTED_VALUE"""),177.32)</f>
        <v>177.32</v>
      </c>
      <c r="E612" s="5" t="n">
        <f aca="false">IFERROR(__xludf.dummyfunction("""COMPUTED_VALUE"""),177.82)</f>
        <v>177.82</v>
      </c>
      <c r="F612" s="5" t="n">
        <f aca="false">IFERROR(__xludf.dummyfunction("""COMPUTED_VALUE"""),61944615)</f>
        <v>61944615</v>
      </c>
    </row>
    <row r="613" customFormat="false" ht="15.75" hidden="false" customHeight="false" outlineLevel="0" collapsed="false">
      <c r="A613" s="6" t="n">
        <f aca="false">IFERROR(__xludf.dummyfunction("""COMPUTED_VALUE"""),45085.6666666667)</f>
        <v>45085.6666666667</v>
      </c>
      <c r="B613" s="5" t="n">
        <f aca="false">IFERROR(__xludf.dummyfunction("""COMPUTED_VALUE"""),177.9)</f>
        <v>177.9</v>
      </c>
      <c r="C613" s="5" t="n">
        <f aca="false">IFERROR(__xludf.dummyfunction("""COMPUTED_VALUE"""),180.84)</f>
        <v>180.84</v>
      </c>
      <c r="D613" s="5" t="n">
        <f aca="false">IFERROR(__xludf.dummyfunction("""COMPUTED_VALUE"""),177.46)</f>
        <v>177.46</v>
      </c>
      <c r="E613" s="5" t="n">
        <f aca="false">IFERROR(__xludf.dummyfunction("""COMPUTED_VALUE"""),180.57)</f>
        <v>180.57</v>
      </c>
      <c r="F613" s="5" t="n">
        <f aca="false">IFERROR(__xludf.dummyfunction("""COMPUTED_VALUE"""),50214881)</f>
        <v>50214881</v>
      </c>
    </row>
    <row r="614" customFormat="false" ht="15.75" hidden="false" customHeight="false" outlineLevel="0" collapsed="false">
      <c r="A614" s="6" t="n">
        <f aca="false">IFERROR(__xludf.dummyfunction("""COMPUTED_VALUE"""),45086.6666666667)</f>
        <v>45086.6666666667</v>
      </c>
      <c r="B614" s="5" t="n">
        <f aca="false">IFERROR(__xludf.dummyfunction("""COMPUTED_VALUE"""),181.5)</f>
        <v>181.5</v>
      </c>
      <c r="C614" s="5" t="n">
        <f aca="false">IFERROR(__xludf.dummyfunction("""COMPUTED_VALUE"""),182.23)</f>
        <v>182.23</v>
      </c>
      <c r="D614" s="5" t="n">
        <f aca="false">IFERROR(__xludf.dummyfunction("""COMPUTED_VALUE"""),180.63)</f>
        <v>180.63</v>
      </c>
      <c r="E614" s="5" t="n">
        <f aca="false">IFERROR(__xludf.dummyfunction("""COMPUTED_VALUE"""),180.96)</f>
        <v>180.96</v>
      </c>
      <c r="F614" s="5" t="n">
        <f aca="false">IFERROR(__xludf.dummyfunction("""COMPUTED_VALUE"""),48899973)</f>
        <v>48899973</v>
      </c>
    </row>
    <row r="615" customFormat="false" ht="15.75" hidden="false" customHeight="false" outlineLevel="0" collapsed="false">
      <c r="A615" s="6" t="n">
        <f aca="false">IFERROR(__xludf.dummyfunction("""COMPUTED_VALUE"""),45089.6666666667)</f>
        <v>45089.6666666667</v>
      </c>
      <c r="B615" s="5" t="n">
        <f aca="false">IFERROR(__xludf.dummyfunction("""COMPUTED_VALUE"""),181.27)</f>
        <v>181.27</v>
      </c>
      <c r="C615" s="5" t="n">
        <f aca="false">IFERROR(__xludf.dummyfunction("""COMPUTED_VALUE"""),183.89)</f>
        <v>183.89</v>
      </c>
      <c r="D615" s="5" t="n">
        <f aca="false">IFERROR(__xludf.dummyfunction("""COMPUTED_VALUE"""),180.97)</f>
        <v>180.97</v>
      </c>
      <c r="E615" s="5" t="n">
        <f aca="false">IFERROR(__xludf.dummyfunction("""COMPUTED_VALUE"""),183.79)</f>
        <v>183.79</v>
      </c>
      <c r="F615" s="5" t="n">
        <f aca="false">IFERROR(__xludf.dummyfunction("""COMPUTED_VALUE"""),54754995)</f>
        <v>54754995</v>
      </c>
    </row>
    <row r="616" customFormat="false" ht="15.75" hidden="false" customHeight="false" outlineLevel="0" collapsed="false">
      <c r="A616" s="6" t="n">
        <f aca="false">IFERROR(__xludf.dummyfunction("""COMPUTED_VALUE"""),45090.6666666667)</f>
        <v>45090.6666666667</v>
      </c>
      <c r="B616" s="5" t="n">
        <f aca="false">IFERROR(__xludf.dummyfunction("""COMPUTED_VALUE"""),182.8)</f>
        <v>182.8</v>
      </c>
      <c r="C616" s="5" t="n">
        <f aca="false">IFERROR(__xludf.dummyfunction("""COMPUTED_VALUE"""),184.15)</f>
        <v>184.15</v>
      </c>
      <c r="D616" s="5" t="n">
        <f aca="false">IFERROR(__xludf.dummyfunction("""COMPUTED_VALUE"""),182.44)</f>
        <v>182.44</v>
      </c>
      <c r="E616" s="5" t="n">
        <f aca="false">IFERROR(__xludf.dummyfunction("""COMPUTED_VALUE"""),183.31)</f>
        <v>183.31</v>
      </c>
      <c r="F616" s="5" t="n">
        <f aca="false">IFERROR(__xludf.dummyfunction("""COMPUTED_VALUE"""),54929129)</f>
        <v>54929129</v>
      </c>
    </row>
    <row r="617" customFormat="false" ht="15.75" hidden="false" customHeight="false" outlineLevel="0" collapsed="false">
      <c r="A617" s="6" t="n">
        <f aca="false">IFERROR(__xludf.dummyfunction("""COMPUTED_VALUE"""),45091.6666666667)</f>
        <v>45091.6666666667</v>
      </c>
      <c r="B617" s="5" t="n">
        <f aca="false">IFERROR(__xludf.dummyfunction("""COMPUTED_VALUE"""),183.37)</f>
        <v>183.37</v>
      </c>
      <c r="C617" s="5" t="n">
        <f aca="false">IFERROR(__xludf.dummyfunction("""COMPUTED_VALUE"""),184.39)</f>
        <v>184.39</v>
      </c>
      <c r="D617" s="5" t="n">
        <f aca="false">IFERROR(__xludf.dummyfunction("""COMPUTED_VALUE"""),182.02)</f>
        <v>182.02</v>
      </c>
      <c r="E617" s="5" t="n">
        <f aca="false">IFERROR(__xludf.dummyfunction("""COMPUTED_VALUE"""),183.95)</f>
        <v>183.95</v>
      </c>
      <c r="F617" s="5" t="n">
        <f aca="false">IFERROR(__xludf.dummyfunction("""COMPUTED_VALUE"""),57462882)</f>
        <v>57462882</v>
      </c>
    </row>
    <row r="618" customFormat="false" ht="15.75" hidden="false" customHeight="false" outlineLevel="0" collapsed="false">
      <c r="A618" s="6" t="n">
        <f aca="false">IFERROR(__xludf.dummyfunction("""COMPUTED_VALUE"""),45092.6666666667)</f>
        <v>45092.6666666667</v>
      </c>
      <c r="B618" s="5" t="n">
        <f aca="false">IFERROR(__xludf.dummyfunction("""COMPUTED_VALUE"""),183.96)</f>
        <v>183.96</v>
      </c>
      <c r="C618" s="5" t="n">
        <f aca="false">IFERROR(__xludf.dummyfunction("""COMPUTED_VALUE"""),186.52)</f>
        <v>186.52</v>
      </c>
      <c r="D618" s="5" t="n">
        <f aca="false">IFERROR(__xludf.dummyfunction("""COMPUTED_VALUE"""),183.78)</f>
        <v>183.78</v>
      </c>
      <c r="E618" s="5" t="n">
        <f aca="false">IFERROR(__xludf.dummyfunction("""COMPUTED_VALUE"""),186.01)</f>
        <v>186.01</v>
      </c>
      <c r="F618" s="5" t="n">
        <f aca="false">IFERROR(__xludf.dummyfunction("""COMPUTED_VALUE"""),65433166)</f>
        <v>65433166</v>
      </c>
    </row>
    <row r="619" customFormat="false" ht="15.75" hidden="false" customHeight="false" outlineLevel="0" collapsed="false">
      <c r="A619" s="6" t="n">
        <f aca="false">IFERROR(__xludf.dummyfunction("""COMPUTED_VALUE"""),45093.6666666667)</f>
        <v>45093.6666666667</v>
      </c>
      <c r="B619" s="5" t="n">
        <f aca="false">IFERROR(__xludf.dummyfunction("""COMPUTED_VALUE"""),186.73)</f>
        <v>186.73</v>
      </c>
      <c r="C619" s="5" t="n">
        <f aca="false">IFERROR(__xludf.dummyfunction("""COMPUTED_VALUE"""),186.99)</f>
        <v>186.99</v>
      </c>
      <c r="D619" s="5" t="n">
        <f aca="false">IFERROR(__xludf.dummyfunction("""COMPUTED_VALUE"""),184.27)</f>
        <v>184.27</v>
      </c>
      <c r="E619" s="5" t="n">
        <f aca="false">IFERROR(__xludf.dummyfunction("""COMPUTED_VALUE"""),184.92)</f>
        <v>184.92</v>
      </c>
      <c r="F619" s="5" t="n">
        <f aca="false">IFERROR(__xludf.dummyfunction("""COMPUTED_VALUE"""),101256225)</f>
        <v>101256225</v>
      </c>
    </row>
    <row r="620" customFormat="false" ht="15.75" hidden="false" customHeight="false" outlineLevel="0" collapsed="false">
      <c r="A620" s="6" t="n">
        <f aca="false">IFERROR(__xludf.dummyfunction("""COMPUTED_VALUE"""),45097.6666666667)</f>
        <v>45097.6666666667</v>
      </c>
      <c r="B620" s="5" t="n">
        <f aca="false">IFERROR(__xludf.dummyfunction("""COMPUTED_VALUE"""),184.41)</f>
        <v>184.41</v>
      </c>
      <c r="C620" s="5" t="n">
        <f aca="false">IFERROR(__xludf.dummyfunction("""COMPUTED_VALUE"""),186.1)</f>
        <v>186.1</v>
      </c>
      <c r="D620" s="5" t="n">
        <f aca="false">IFERROR(__xludf.dummyfunction("""COMPUTED_VALUE"""),184.41)</f>
        <v>184.41</v>
      </c>
      <c r="E620" s="5" t="n">
        <f aca="false">IFERROR(__xludf.dummyfunction("""COMPUTED_VALUE"""),185.01)</f>
        <v>185.01</v>
      </c>
      <c r="F620" s="5" t="n">
        <f aca="false">IFERROR(__xludf.dummyfunction("""COMPUTED_VALUE"""),49799092)</f>
        <v>49799092</v>
      </c>
    </row>
    <row r="621" customFormat="false" ht="15.75" hidden="false" customHeight="false" outlineLevel="0" collapsed="false">
      <c r="A621" s="6" t="n">
        <f aca="false">IFERROR(__xludf.dummyfunction("""COMPUTED_VALUE"""),45098.6666666667)</f>
        <v>45098.6666666667</v>
      </c>
      <c r="B621" s="5" t="n">
        <f aca="false">IFERROR(__xludf.dummyfunction("""COMPUTED_VALUE"""),184.9)</f>
        <v>184.9</v>
      </c>
      <c r="C621" s="5" t="n">
        <f aca="false">IFERROR(__xludf.dummyfunction("""COMPUTED_VALUE"""),185.41)</f>
        <v>185.41</v>
      </c>
      <c r="D621" s="5" t="n">
        <f aca="false">IFERROR(__xludf.dummyfunction("""COMPUTED_VALUE"""),182.59)</f>
        <v>182.59</v>
      </c>
      <c r="E621" s="5" t="n">
        <f aca="false">IFERROR(__xludf.dummyfunction("""COMPUTED_VALUE"""),183.96)</f>
        <v>183.96</v>
      </c>
      <c r="F621" s="5" t="n">
        <f aca="false">IFERROR(__xludf.dummyfunction("""COMPUTED_VALUE"""),49515697)</f>
        <v>49515697</v>
      </c>
    </row>
    <row r="622" customFormat="false" ht="15.75" hidden="false" customHeight="false" outlineLevel="0" collapsed="false">
      <c r="A622" s="6" t="n">
        <f aca="false">IFERROR(__xludf.dummyfunction("""COMPUTED_VALUE"""),45099.6666666667)</f>
        <v>45099.6666666667</v>
      </c>
      <c r="B622" s="5" t="n">
        <f aca="false">IFERROR(__xludf.dummyfunction("""COMPUTED_VALUE"""),183.74)</f>
        <v>183.74</v>
      </c>
      <c r="C622" s="5" t="n">
        <f aca="false">IFERROR(__xludf.dummyfunction("""COMPUTED_VALUE"""),187.05)</f>
        <v>187.05</v>
      </c>
      <c r="D622" s="5" t="n">
        <f aca="false">IFERROR(__xludf.dummyfunction("""COMPUTED_VALUE"""),183.67)</f>
        <v>183.67</v>
      </c>
      <c r="E622" s="5" t="n">
        <f aca="false">IFERROR(__xludf.dummyfunction("""COMPUTED_VALUE"""),187)</f>
        <v>187</v>
      </c>
      <c r="F622" s="5" t="n">
        <f aca="false">IFERROR(__xludf.dummyfunction("""COMPUTED_VALUE"""),51245327)</f>
        <v>51245327</v>
      </c>
    </row>
    <row r="623" customFormat="false" ht="15.75" hidden="false" customHeight="false" outlineLevel="0" collapsed="false">
      <c r="A623" s="6" t="n">
        <f aca="false">IFERROR(__xludf.dummyfunction("""COMPUTED_VALUE"""),45100.6666666667)</f>
        <v>45100.6666666667</v>
      </c>
      <c r="B623" s="5" t="n">
        <f aca="false">IFERROR(__xludf.dummyfunction("""COMPUTED_VALUE"""),185.55)</f>
        <v>185.55</v>
      </c>
      <c r="C623" s="5" t="n">
        <f aca="false">IFERROR(__xludf.dummyfunction("""COMPUTED_VALUE"""),187.56)</f>
        <v>187.56</v>
      </c>
      <c r="D623" s="5" t="n">
        <f aca="false">IFERROR(__xludf.dummyfunction("""COMPUTED_VALUE"""),185.01)</f>
        <v>185.01</v>
      </c>
      <c r="E623" s="5" t="n">
        <f aca="false">IFERROR(__xludf.dummyfunction("""COMPUTED_VALUE"""),186.68)</f>
        <v>186.68</v>
      </c>
      <c r="F623" s="5" t="n">
        <f aca="false">IFERROR(__xludf.dummyfunction("""COMPUTED_VALUE"""),53116996)</f>
        <v>53116996</v>
      </c>
    </row>
    <row r="624" customFormat="false" ht="15.75" hidden="false" customHeight="false" outlineLevel="0" collapsed="false">
      <c r="A624" s="6" t="n">
        <f aca="false">IFERROR(__xludf.dummyfunction("""COMPUTED_VALUE"""),45103.6666666667)</f>
        <v>45103.6666666667</v>
      </c>
      <c r="B624" s="5" t="n">
        <f aca="false">IFERROR(__xludf.dummyfunction("""COMPUTED_VALUE"""),186.83)</f>
        <v>186.83</v>
      </c>
      <c r="C624" s="5" t="n">
        <f aca="false">IFERROR(__xludf.dummyfunction("""COMPUTED_VALUE"""),188.05)</f>
        <v>188.05</v>
      </c>
      <c r="D624" s="5" t="n">
        <f aca="false">IFERROR(__xludf.dummyfunction("""COMPUTED_VALUE"""),185.23)</f>
        <v>185.23</v>
      </c>
      <c r="E624" s="5" t="n">
        <f aca="false">IFERROR(__xludf.dummyfunction("""COMPUTED_VALUE"""),185.27)</f>
        <v>185.27</v>
      </c>
      <c r="F624" s="5" t="n">
        <f aca="false">IFERROR(__xludf.dummyfunction("""COMPUTED_VALUE"""),48088661)</f>
        <v>48088661</v>
      </c>
    </row>
    <row r="625" customFormat="false" ht="15.75" hidden="false" customHeight="false" outlineLevel="0" collapsed="false">
      <c r="A625" s="6" t="n">
        <f aca="false">IFERROR(__xludf.dummyfunction("""COMPUTED_VALUE"""),45104.6666666667)</f>
        <v>45104.6666666667</v>
      </c>
      <c r="B625" s="5" t="n">
        <f aca="false">IFERROR(__xludf.dummyfunction("""COMPUTED_VALUE"""),185.89)</f>
        <v>185.89</v>
      </c>
      <c r="C625" s="5" t="n">
        <f aca="false">IFERROR(__xludf.dummyfunction("""COMPUTED_VALUE"""),188.39)</f>
        <v>188.39</v>
      </c>
      <c r="D625" s="5" t="n">
        <f aca="false">IFERROR(__xludf.dummyfunction("""COMPUTED_VALUE"""),185.67)</f>
        <v>185.67</v>
      </c>
      <c r="E625" s="5" t="n">
        <f aca="false">IFERROR(__xludf.dummyfunction("""COMPUTED_VALUE"""),188.06)</f>
        <v>188.06</v>
      </c>
      <c r="F625" s="5" t="n">
        <f aca="false">IFERROR(__xludf.dummyfunction("""COMPUTED_VALUE"""),50730846)</f>
        <v>50730846</v>
      </c>
    </row>
    <row r="626" customFormat="false" ht="15.75" hidden="false" customHeight="false" outlineLevel="0" collapsed="false">
      <c r="A626" s="6" t="n">
        <f aca="false">IFERROR(__xludf.dummyfunction("""COMPUTED_VALUE"""),45105.6666666667)</f>
        <v>45105.6666666667</v>
      </c>
      <c r="B626" s="5" t="n">
        <f aca="false">IFERROR(__xludf.dummyfunction("""COMPUTED_VALUE"""),187.93)</f>
        <v>187.93</v>
      </c>
      <c r="C626" s="5" t="n">
        <f aca="false">IFERROR(__xludf.dummyfunction("""COMPUTED_VALUE"""),189.9)</f>
        <v>189.9</v>
      </c>
      <c r="D626" s="5" t="n">
        <f aca="false">IFERROR(__xludf.dummyfunction("""COMPUTED_VALUE"""),187.6)</f>
        <v>187.6</v>
      </c>
      <c r="E626" s="5" t="n">
        <f aca="false">IFERROR(__xludf.dummyfunction("""COMPUTED_VALUE"""),189.25)</f>
        <v>189.25</v>
      </c>
      <c r="F626" s="5" t="n">
        <f aca="false">IFERROR(__xludf.dummyfunction("""COMPUTED_VALUE"""),51216801)</f>
        <v>51216801</v>
      </c>
    </row>
    <row r="627" customFormat="false" ht="15.75" hidden="false" customHeight="false" outlineLevel="0" collapsed="false">
      <c r="A627" s="6" t="n">
        <f aca="false">IFERROR(__xludf.dummyfunction("""COMPUTED_VALUE"""),45106.6666666667)</f>
        <v>45106.6666666667</v>
      </c>
      <c r="B627" s="5" t="n">
        <f aca="false">IFERROR(__xludf.dummyfunction("""COMPUTED_VALUE"""),189.08)</f>
        <v>189.08</v>
      </c>
      <c r="C627" s="5" t="n">
        <f aca="false">IFERROR(__xludf.dummyfunction("""COMPUTED_VALUE"""),190.07)</f>
        <v>190.07</v>
      </c>
      <c r="D627" s="5" t="n">
        <f aca="false">IFERROR(__xludf.dummyfunction("""COMPUTED_VALUE"""),188.94)</f>
        <v>188.94</v>
      </c>
      <c r="E627" s="5" t="n">
        <f aca="false">IFERROR(__xludf.dummyfunction("""COMPUTED_VALUE"""),189.59)</f>
        <v>189.59</v>
      </c>
      <c r="F627" s="5" t="n">
        <f aca="false">IFERROR(__xludf.dummyfunction("""COMPUTED_VALUE"""),46347308)</f>
        <v>46347308</v>
      </c>
    </row>
    <row r="628" customFormat="false" ht="15.75" hidden="false" customHeight="false" outlineLevel="0" collapsed="false">
      <c r="A628" s="6" t="n">
        <f aca="false">IFERROR(__xludf.dummyfunction("""COMPUTED_VALUE"""),45107.6666666667)</f>
        <v>45107.6666666667</v>
      </c>
      <c r="B628" s="5" t="n">
        <f aca="false">IFERROR(__xludf.dummyfunction("""COMPUTED_VALUE"""),191.63)</f>
        <v>191.63</v>
      </c>
      <c r="C628" s="5" t="n">
        <f aca="false">IFERROR(__xludf.dummyfunction("""COMPUTED_VALUE"""),194.48)</f>
        <v>194.48</v>
      </c>
      <c r="D628" s="5" t="n">
        <f aca="false">IFERROR(__xludf.dummyfunction("""COMPUTED_VALUE"""),191.26)</f>
        <v>191.26</v>
      </c>
      <c r="E628" s="5" t="n">
        <f aca="false">IFERROR(__xludf.dummyfunction("""COMPUTED_VALUE"""),193.97)</f>
        <v>193.97</v>
      </c>
      <c r="F628" s="5" t="n">
        <f aca="false">IFERROR(__xludf.dummyfunction("""COMPUTED_VALUE"""),85213216)</f>
        <v>85213216</v>
      </c>
    </row>
    <row r="629" customFormat="false" ht="15.75" hidden="false" customHeight="false" outlineLevel="0" collapsed="false">
      <c r="A629" s="6" t="n">
        <f aca="false">IFERROR(__xludf.dummyfunction("""COMPUTED_VALUE"""),45110.5451388889)</f>
        <v>45110.5451388889</v>
      </c>
      <c r="B629" s="5" t="n">
        <f aca="false">IFERROR(__xludf.dummyfunction("""COMPUTED_VALUE"""),193.78)</f>
        <v>193.78</v>
      </c>
      <c r="C629" s="5" t="n">
        <f aca="false">IFERROR(__xludf.dummyfunction("""COMPUTED_VALUE"""),193.88)</f>
        <v>193.88</v>
      </c>
      <c r="D629" s="5" t="n">
        <f aca="false">IFERROR(__xludf.dummyfunction("""COMPUTED_VALUE"""),191.76)</f>
        <v>191.76</v>
      </c>
      <c r="E629" s="5" t="n">
        <f aca="false">IFERROR(__xludf.dummyfunction("""COMPUTED_VALUE"""),192.46)</f>
        <v>192.46</v>
      </c>
      <c r="F629" s="5" t="n">
        <f aca="false">IFERROR(__xludf.dummyfunction("""COMPUTED_VALUE"""),31458198)</f>
        <v>31458198</v>
      </c>
    </row>
    <row r="630" customFormat="false" ht="15.75" hidden="false" customHeight="false" outlineLevel="0" collapsed="false">
      <c r="A630" s="6" t="n">
        <f aca="false">IFERROR(__xludf.dummyfunction("""COMPUTED_VALUE"""),45112.6666666667)</f>
        <v>45112.6666666667</v>
      </c>
      <c r="B630" s="5" t="n">
        <f aca="false">IFERROR(__xludf.dummyfunction("""COMPUTED_VALUE"""),191.57)</f>
        <v>191.57</v>
      </c>
      <c r="C630" s="5" t="n">
        <f aca="false">IFERROR(__xludf.dummyfunction("""COMPUTED_VALUE"""),192.98)</f>
        <v>192.98</v>
      </c>
      <c r="D630" s="5" t="n">
        <f aca="false">IFERROR(__xludf.dummyfunction("""COMPUTED_VALUE"""),190.62)</f>
        <v>190.62</v>
      </c>
      <c r="E630" s="5" t="n">
        <f aca="false">IFERROR(__xludf.dummyfunction("""COMPUTED_VALUE"""),191.33)</f>
        <v>191.33</v>
      </c>
      <c r="F630" s="5" t="n">
        <f aca="false">IFERROR(__xludf.dummyfunction("""COMPUTED_VALUE"""),46920261)</f>
        <v>46920261</v>
      </c>
    </row>
    <row r="631" customFormat="false" ht="15.75" hidden="false" customHeight="false" outlineLevel="0" collapsed="false">
      <c r="A631" s="6" t="n">
        <f aca="false">IFERROR(__xludf.dummyfunction("""COMPUTED_VALUE"""),45113.6666666667)</f>
        <v>45113.6666666667</v>
      </c>
      <c r="B631" s="5" t="n">
        <f aca="false">IFERROR(__xludf.dummyfunction("""COMPUTED_VALUE"""),189.84)</f>
        <v>189.84</v>
      </c>
      <c r="C631" s="5" t="n">
        <f aca="false">IFERROR(__xludf.dummyfunction("""COMPUTED_VALUE"""),192.02)</f>
        <v>192.02</v>
      </c>
      <c r="D631" s="5" t="n">
        <f aca="false">IFERROR(__xludf.dummyfunction("""COMPUTED_VALUE"""),189.2)</f>
        <v>189.2</v>
      </c>
      <c r="E631" s="5" t="n">
        <f aca="false">IFERROR(__xludf.dummyfunction("""COMPUTED_VALUE"""),191.81)</f>
        <v>191.81</v>
      </c>
      <c r="F631" s="5" t="n">
        <f aca="false">IFERROR(__xludf.dummyfunction("""COMPUTED_VALUE"""),45156009)</f>
        <v>45156009</v>
      </c>
    </row>
    <row r="632" customFormat="false" ht="15.75" hidden="false" customHeight="false" outlineLevel="0" collapsed="false">
      <c r="A632" s="6" t="n">
        <f aca="false">IFERROR(__xludf.dummyfunction("""COMPUTED_VALUE"""),45114.6666666667)</f>
        <v>45114.6666666667</v>
      </c>
      <c r="B632" s="5" t="n">
        <f aca="false">IFERROR(__xludf.dummyfunction("""COMPUTED_VALUE"""),191.41)</f>
        <v>191.41</v>
      </c>
      <c r="C632" s="5" t="n">
        <f aca="false">IFERROR(__xludf.dummyfunction("""COMPUTED_VALUE"""),192.67)</f>
        <v>192.67</v>
      </c>
      <c r="D632" s="5" t="n">
        <f aca="false">IFERROR(__xludf.dummyfunction("""COMPUTED_VALUE"""),190.24)</f>
        <v>190.24</v>
      </c>
      <c r="E632" s="5" t="n">
        <f aca="false">IFERROR(__xludf.dummyfunction("""COMPUTED_VALUE"""),190.68)</f>
        <v>190.68</v>
      </c>
      <c r="F632" s="5" t="n">
        <f aca="false">IFERROR(__xludf.dummyfunction("""COMPUTED_VALUE"""),46814998)</f>
        <v>46814998</v>
      </c>
    </row>
    <row r="633" customFormat="false" ht="15.75" hidden="false" customHeight="false" outlineLevel="0" collapsed="false">
      <c r="A633" s="6" t="n">
        <f aca="false">IFERROR(__xludf.dummyfunction("""COMPUTED_VALUE"""),45117.6666666667)</f>
        <v>45117.6666666667</v>
      </c>
      <c r="B633" s="5" t="n">
        <f aca="false">IFERROR(__xludf.dummyfunction("""COMPUTED_VALUE"""),189.26)</f>
        <v>189.26</v>
      </c>
      <c r="C633" s="5" t="n">
        <f aca="false">IFERROR(__xludf.dummyfunction("""COMPUTED_VALUE"""),189.99)</f>
        <v>189.99</v>
      </c>
      <c r="D633" s="5" t="n">
        <f aca="false">IFERROR(__xludf.dummyfunction("""COMPUTED_VALUE"""),187.04)</f>
        <v>187.04</v>
      </c>
      <c r="E633" s="5" t="n">
        <f aca="false">IFERROR(__xludf.dummyfunction("""COMPUTED_VALUE"""),188.61)</f>
        <v>188.61</v>
      </c>
      <c r="F633" s="5" t="n">
        <f aca="false">IFERROR(__xludf.dummyfunction("""COMPUTED_VALUE"""),59922163)</f>
        <v>59922163</v>
      </c>
    </row>
    <row r="634" customFormat="false" ht="15.75" hidden="false" customHeight="false" outlineLevel="0" collapsed="false">
      <c r="A634" s="6" t="n">
        <f aca="false">IFERROR(__xludf.dummyfunction("""COMPUTED_VALUE"""),45118.6666666667)</f>
        <v>45118.6666666667</v>
      </c>
      <c r="B634" s="5" t="n">
        <f aca="false">IFERROR(__xludf.dummyfunction("""COMPUTED_VALUE"""),189.16)</f>
        <v>189.16</v>
      </c>
      <c r="C634" s="5" t="n">
        <f aca="false">IFERROR(__xludf.dummyfunction("""COMPUTED_VALUE"""),189.3)</f>
        <v>189.3</v>
      </c>
      <c r="D634" s="5" t="n">
        <f aca="false">IFERROR(__xludf.dummyfunction("""COMPUTED_VALUE"""),186.6)</f>
        <v>186.6</v>
      </c>
      <c r="E634" s="5" t="n">
        <f aca="false">IFERROR(__xludf.dummyfunction("""COMPUTED_VALUE"""),188.08)</f>
        <v>188.08</v>
      </c>
      <c r="F634" s="5" t="n">
        <f aca="false">IFERROR(__xludf.dummyfunction("""COMPUTED_VALUE"""),46638119)</f>
        <v>46638119</v>
      </c>
    </row>
    <row r="635" customFormat="false" ht="15.75" hidden="false" customHeight="false" outlineLevel="0" collapsed="false">
      <c r="A635" s="6" t="n">
        <f aca="false">IFERROR(__xludf.dummyfunction("""COMPUTED_VALUE"""),45119.6666666667)</f>
        <v>45119.6666666667</v>
      </c>
      <c r="B635" s="5" t="n">
        <f aca="false">IFERROR(__xludf.dummyfunction("""COMPUTED_VALUE"""),189.68)</f>
        <v>189.68</v>
      </c>
      <c r="C635" s="5" t="n">
        <f aca="false">IFERROR(__xludf.dummyfunction("""COMPUTED_VALUE"""),191.7)</f>
        <v>191.7</v>
      </c>
      <c r="D635" s="5" t="n">
        <f aca="false">IFERROR(__xludf.dummyfunction("""COMPUTED_VALUE"""),188.47)</f>
        <v>188.47</v>
      </c>
      <c r="E635" s="5" t="n">
        <f aca="false">IFERROR(__xludf.dummyfunction("""COMPUTED_VALUE"""),189.77)</f>
        <v>189.77</v>
      </c>
      <c r="F635" s="5" t="n">
        <f aca="false">IFERROR(__xludf.dummyfunction("""COMPUTED_VALUE"""),60750248)</f>
        <v>60750248</v>
      </c>
    </row>
    <row r="636" customFormat="false" ht="15.75" hidden="false" customHeight="false" outlineLevel="0" collapsed="false">
      <c r="A636" s="6" t="n">
        <f aca="false">IFERROR(__xludf.dummyfunction("""COMPUTED_VALUE"""),45120.6666666667)</f>
        <v>45120.6666666667</v>
      </c>
      <c r="B636" s="5" t="n">
        <f aca="false">IFERROR(__xludf.dummyfunction("""COMPUTED_VALUE"""),190.5)</f>
        <v>190.5</v>
      </c>
      <c r="C636" s="5" t="n">
        <f aca="false">IFERROR(__xludf.dummyfunction("""COMPUTED_VALUE"""),191.19)</f>
        <v>191.19</v>
      </c>
      <c r="D636" s="5" t="n">
        <f aca="false">IFERROR(__xludf.dummyfunction("""COMPUTED_VALUE"""),189.78)</f>
        <v>189.78</v>
      </c>
      <c r="E636" s="5" t="n">
        <f aca="false">IFERROR(__xludf.dummyfunction("""COMPUTED_VALUE"""),190.54)</f>
        <v>190.54</v>
      </c>
      <c r="F636" s="5" t="n">
        <f aca="false">IFERROR(__xludf.dummyfunction("""COMPUTED_VALUE"""),41342338)</f>
        <v>41342338</v>
      </c>
    </row>
    <row r="637" customFormat="false" ht="15.75" hidden="false" customHeight="false" outlineLevel="0" collapsed="false">
      <c r="A637" s="6" t="n">
        <f aca="false">IFERROR(__xludf.dummyfunction("""COMPUTED_VALUE"""),45121.6666666667)</f>
        <v>45121.6666666667</v>
      </c>
      <c r="B637" s="5" t="n">
        <f aca="false">IFERROR(__xludf.dummyfunction("""COMPUTED_VALUE"""),190.23)</f>
        <v>190.23</v>
      </c>
      <c r="C637" s="5" t="n">
        <f aca="false">IFERROR(__xludf.dummyfunction("""COMPUTED_VALUE"""),191.18)</f>
        <v>191.18</v>
      </c>
      <c r="D637" s="5" t="n">
        <f aca="false">IFERROR(__xludf.dummyfunction("""COMPUTED_VALUE"""),189.63)</f>
        <v>189.63</v>
      </c>
      <c r="E637" s="5" t="n">
        <f aca="false">IFERROR(__xludf.dummyfunction("""COMPUTED_VALUE"""),190.69)</f>
        <v>190.69</v>
      </c>
      <c r="F637" s="5" t="n">
        <f aca="false">IFERROR(__xludf.dummyfunction("""COMPUTED_VALUE"""),41616242)</f>
        <v>41616242</v>
      </c>
    </row>
    <row r="638" customFormat="false" ht="15.75" hidden="false" customHeight="false" outlineLevel="0" collapsed="false">
      <c r="A638" s="6" t="n">
        <f aca="false">IFERROR(__xludf.dummyfunction("""COMPUTED_VALUE"""),45124.6666666667)</f>
        <v>45124.6666666667</v>
      </c>
      <c r="B638" s="5" t="n">
        <f aca="false">IFERROR(__xludf.dummyfunction("""COMPUTED_VALUE"""),191.9)</f>
        <v>191.9</v>
      </c>
      <c r="C638" s="5" t="n">
        <f aca="false">IFERROR(__xludf.dummyfunction("""COMPUTED_VALUE"""),194.32)</f>
        <v>194.32</v>
      </c>
      <c r="D638" s="5" t="n">
        <f aca="false">IFERROR(__xludf.dummyfunction("""COMPUTED_VALUE"""),191.81)</f>
        <v>191.81</v>
      </c>
      <c r="E638" s="5" t="n">
        <f aca="false">IFERROR(__xludf.dummyfunction("""COMPUTED_VALUE"""),193.99)</f>
        <v>193.99</v>
      </c>
      <c r="F638" s="5" t="n">
        <f aca="false">IFERROR(__xludf.dummyfunction("""COMPUTED_VALUE"""),50520159)</f>
        <v>50520159</v>
      </c>
    </row>
    <row r="639" customFormat="false" ht="15.75" hidden="false" customHeight="false" outlineLevel="0" collapsed="false">
      <c r="A639" s="6" t="n">
        <f aca="false">IFERROR(__xludf.dummyfunction("""COMPUTED_VALUE"""),45125.6666666667)</f>
        <v>45125.6666666667</v>
      </c>
      <c r="B639" s="5" t="n">
        <f aca="false">IFERROR(__xludf.dummyfunction("""COMPUTED_VALUE"""),193.35)</f>
        <v>193.35</v>
      </c>
      <c r="C639" s="5" t="n">
        <f aca="false">IFERROR(__xludf.dummyfunction("""COMPUTED_VALUE"""),194.33)</f>
        <v>194.33</v>
      </c>
      <c r="D639" s="5" t="n">
        <f aca="false">IFERROR(__xludf.dummyfunction("""COMPUTED_VALUE"""),192.42)</f>
        <v>192.42</v>
      </c>
      <c r="E639" s="5" t="n">
        <f aca="false">IFERROR(__xludf.dummyfunction("""COMPUTED_VALUE"""),193.73)</f>
        <v>193.73</v>
      </c>
      <c r="F639" s="5" t="n">
        <f aca="false">IFERROR(__xludf.dummyfunction("""COMPUTED_VALUE"""),48353774)</f>
        <v>48353774</v>
      </c>
    </row>
    <row r="640" customFormat="false" ht="15.75" hidden="false" customHeight="false" outlineLevel="0" collapsed="false">
      <c r="A640" s="6" t="n">
        <f aca="false">IFERROR(__xludf.dummyfunction("""COMPUTED_VALUE"""),45126.6666666667)</f>
        <v>45126.6666666667</v>
      </c>
      <c r="B640" s="5" t="n">
        <f aca="false">IFERROR(__xludf.dummyfunction("""COMPUTED_VALUE"""),193.1)</f>
        <v>193.1</v>
      </c>
      <c r="C640" s="5" t="n">
        <f aca="false">IFERROR(__xludf.dummyfunction("""COMPUTED_VALUE"""),198.23)</f>
        <v>198.23</v>
      </c>
      <c r="D640" s="5" t="n">
        <f aca="false">IFERROR(__xludf.dummyfunction("""COMPUTED_VALUE"""),192.65)</f>
        <v>192.65</v>
      </c>
      <c r="E640" s="5" t="n">
        <f aca="false">IFERROR(__xludf.dummyfunction("""COMPUTED_VALUE"""),195.1)</f>
        <v>195.1</v>
      </c>
      <c r="F640" s="5" t="n">
        <f aca="false">IFERROR(__xludf.dummyfunction("""COMPUTED_VALUE"""),80507323)</f>
        <v>80507323</v>
      </c>
    </row>
    <row r="641" customFormat="false" ht="15.75" hidden="false" customHeight="false" outlineLevel="0" collapsed="false">
      <c r="A641" s="6" t="n">
        <f aca="false">IFERROR(__xludf.dummyfunction("""COMPUTED_VALUE"""),45127.6666666667)</f>
        <v>45127.6666666667</v>
      </c>
      <c r="B641" s="5" t="n">
        <f aca="false">IFERROR(__xludf.dummyfunction("""COMPUTED_VALUE"""),195.09)</f>
        <v>195.09</v>
      </c>
      <c r="C641" s="5" t="n">
        <f aca="false">IFERROR(__xludf.dummyfunction("""COMPUTED_VALUE"""),196.47)</f>
        <v>196.47</v>
      </c>
      <c r="D641" s="5" t="n">
        <f aca="false">IFERROR(__xludf.dummyfunction("""COMPUTED_VALUE"""),192.5)</f>
        <v>192.5</v>
      </c>
      <c r="E641" s="5" t="n">
        <f aca="false">IFERROR(__xludf.dummyfunction("""COMPUTED_VALUE"""),193.13)</f>
        <v>193.13</v>
      </c>
      <c r="F641" s="5" t="n">
        <f aca="false">IFERROR(__xludf.dummyfunction("""COMPUTED_VALUE"""),59581196)</f>
        <v>59581196</v>
      </c>
    </row>
    <row r="642" customFormat="false" ht="15.75" hidden="false" customHeight="false" outlineLevel="0" collapsed="false">
      <c r="A642" s="6" t="n">
        <f aca="false">IFERROR(__xludf.dummyfunction("""COMPUTED_VALUE"""),45128.6666666667)</f>
        <v>45128.6666666667</v>
      </c>
      <c r="B642" s="5" t="n">
        <f aca="false">IFERROR(__xludf.dummyfunction("""COMPUTED_VALUE"""),194.1)</f>
        <v>194.1</v>
      </c>
      <c r="C642" s="5" t="n">
        <f aca="false">IFERROR(__xludf.dummyfunction("""COMPUTED_VALUE"""),194.97)</f>
        <v>194.97</v>
      </c>
      <c r="D642" s="5" t="n">
        <f aca="false">IFERROR(__xludf.dummyfunction("""COMPUTED_VALUE"""),191.23)</f>
        <v>191.23</v>
      </c>
      <c r="E642" s="5" t="n">
        <f aca="false">IFERROR(__xludf.dummyfunction("""COMPUTED_VALUE"""),191.94)</f>
        <v>191.94</v>
      </c>
      <c r="F642" s="5" t="n">
        <f aca="false">IFERROR(__xludf.dummyfunction("""COMPUTED_VALUE"""),71951683)</f>
        <v>71951683</v>
      </c>
    </row>
    <row r="643" customFormat="false" ht="15.75" hidden="false" customHeight="false" outlineLevel="0" collapsed="false">
      <c r="A643" s="6" t="n">
        <f aca="false">IFERROR(__xludf.dummyfunction("""COMPUTED_VALUE"""),45131.6666666667)</f>
        <v>45131.6666666667</v>
      </c>
      <c r="B643" s="5" t="n">
        <f aca="false">IFERROR(__xludf.dummyfunction("""COMPUTED_VALUE"""),193.41)</f>
        <v>193.41</v>
      </c>
      <c r="C643" s="5" t="n">
        <f aca="false">IFERROR(__xludf.dummyfunction("""COMPUTED_VALUE"""),194.91)</f>
        <v>194.91</v>
      </c>
      <c r="D643" s="5" t="n">
        <f aca="false">IFERROR(__xludf.dummyfunction("""COMPUTED_VALUE"""),192.25)</f>
        <v>192.25</v>
      </c>
      <c r="E643" s="5" t="n">
        <f aca="false">IFERROR(__xludf.dummyfunction("""COMPUTED_VALUE"""),192.75)</f>
        <v>192.75</v>
      </c>
      <c r="F643" s="5" t="n">
        <f aca="false">IFERROR(__xludf.dummyfunction("""COMPUTED_VALUE"""),45505097)</f>
        <v>45505097</v>
      </c>
    </row>
    <row r="644" customFormat="false" ht="15.75" hidden="false" customHeight="false" outlineLevel="0" collapsed="false">
      <c r="A644" s="6" t="n">
        <f aca="false">IFERROR(__xludf.dummyfunction("""COMPUTED_VALUE"""),45132.6666666667)</f>
        <v>45132.6666666667</v>
      </c>
      <c r="B644" s="5" t="n">
        <f aca="false">IFERROR(__xludf.dummyfunction("""COMPUTED_VALUE"""),193.33)</f>
        <v>193.33</v>
      </c>
      <c r="C644" s="5" t="n">
        <f aca="false">IFERROR(__xludf.dummyfunction("""COMPUTED_VALUE"""),194.44)</f>
        <v>194.44</v>
      </c>
      <c r="D644" s="5" t="n">
        <f aca="false">IFERROR(__xludf.dummyfunction("""COMPUTED_VALUE"""),192.92)</f>
        <v>192.92</v>
      </c>
      <c r="E644" s="5" t="n">
        <f aca="false">IFERROR(__xludf.dummyfunction("""COMPUTED_VALUE"""),193.62)</f>
        <v>193.62</v>
      </c>
      <c r="F644" s="5" t="n">
        <f aca="false">IFERROR(__xludf.dummyfunction("""COMPUTED_VALUE"""),37283201)</f>
        <v>37283201</v>
      </c>
    </row>
    <row r="645" customFormat="false" ht="15.75" hidden="false" customHeight="false" outlineLevel="0" collapsed="false">
      <c r="A645" s="6" t="n">
        <f aca="false">IFERROR(__xludf.dummyfunction("""COMPUTED_VALUE"""),45133.6666666667)</f>
        <v>45133.6666666667</v>
      </c>
      <c r="B645" s="5" t="n">
        <f aca="false">IFERROR(__xludf.dummyfunction("""COMPUTED_VALUE"""),193.67)</f>
        <v>193.67</v>
      </c>
      <c r="C645" s="5" t="n">
        <f aca="false">IFERROR(__xludf.dummyfunction("""COMPUTED_VALUE"""),195.64)</f>
        <v>195.64</v>
      </c>
      <c r="D645" s="5" t="n">
        <f aca="false">IFERROR(__xludf.dummyfunction("""COMPUTED_VALUE"""),193.32)</f>
        <v>193.32</v>
      </c>
      <c r="E645" s="5" t="n">
        <f aca="false">IFERROR(__xludf.dummyfunction("""COMPUTED_VALUE"""),194.5)</f>
        <v>194.5</v>
      </c>
      <c r="F645" s="5" t="n">
        <f aca="false">IFERROR(__xludf.dummyfunction("""COMPUTED_VALUE"""),47471868)</f>
        <v>47471868</v>
      </c>
    </row>
    <row r="646" customFormat="false" ht="15.75" hidden="false" customHeight="false" outlineLevel="0" collapsed="false">
      <c r="A646" s="6" t="n">
        <f aca="false">IFERROR(__xludf.dummyfunction("""COMPUTED_VALUE"""),45134.6666666667)</f>
        <v>45134.6666666667</v>
      </c>
      <c r="B646" s="5" t="n">
        <f aca="false">IFERROR(__xludf.dummyfunction("""COMPUTED_VALUE"""),196.02)</f>
        <v>196.02</v>
      </c>
      <c r="C646" s="5" t="n">
        <f aca="false">IFERROR(__xludf.dummyfunction("""COMPUTED_VALUE"""),197.2)</f>
        <v>197.2</v>
      </c>
      <c r="D646" s="5" t="n">
        <f aca="false">IFERROR(__xludf.dummyfunction("""COMPUTED_VALUE"""),192.55)</f>
        <v>192.55</v>
      </c>
      <c r="E646" s="5" t="n">
        <f aca="false">IFERROR(__xludf.dummyfunction("""COMPUTED_VALUE"""),193.22)</f>
        <v>193.22</v>
      </c>
      <c r="F646" s="5" t="n">
        <f aca="false">IFERROR(__xludf.dummyfunction("""COMPUTED_VALUE"""),47460180)</f>
        <v>47460180</v>
      </c>
    </row>
    <row r="647" customFormat="false" ht="15.75" hidden="false" customHeight="false" outlineLevel="0" collapsed="false">
      <c r="A647" s="6" t="n">
        <f aca="false">IFERROR(__xludf.dummyfunction("""COMPUTED_VALUE"""),45135.6666666667)</f>
        <v>45135.6666666667</v>
      </c>
      <c r="B647" s="5" t="n">
        <f aca="false">IFERROR(__xludf.dummyfunction("""COMPUTED_VALUE"""),194.67)</f>
        <v>194.67</v>
      </c>
      <c r="C647" s="5" t="n">
        <f aca="false">IFERROR(__xludf.dummyfunction("""COMPUTED_VALUE"""),196.63)</f>
        <v>196.63</v>
      </c>
      <c r="D647" s="5" t="n">
        <f aca="false">IFERROR(__xludf.dummyfunction("""COMPUTED_VALUE"""),194.14)</f>
        <v>194.14</v>
      </c>
      <c r="E647" s="5" t="n">
        <f aca="false">IFERROR(__xludf.dummyfunction("""COMPUTED_VALUE"""),195.83)</f>
        <v>195.83</v>
      </c>
      <c r="F647" s="5" t="n">
        <f aca="false">IFERROR(__xludf.dummyfunction("""COMPUTED_VALUE"""),48291443)</f>
        <v>48291443</v>
      </c>
    </row>
    <row r="648" customFormat="false" ht="15.75" hidden="false" customHeight="false" outlineLevel="0" collapsed="false">
      <c r="A648" s="6" t="n">
        <f aca="false">IFERROR(__xludf.dummyfunction("""COMPUTED_VALUE"""),45138.6666666667)</f>
        <v>45138.6666666667</v>
      </c>
      <c r="B648" s="5" t="n">
        <f aca="false">IFERROR(__xludf.dummyfunction("""COMPUTED_VALUE"""),196.06)</f>
        <v>196.06</v>
      </c>
      <c r="C648" s="5" t="n">
        <f aca="false">IFERROR(__xludf.dummyfunction("""COMPUTED_VALUE"""),196.49)</f>
        <v>196.49</v>
      </c>
      <c r="D648" s="5" t="n">
        <f aca="false">IFERROR(__xludf.dummyfunction("""COMPUTED_VALUE"""),195.26)</f>
        <v>195.26</v>
      </c>
      <c r="E648" s="5" t="n">
        <f aca="false">IFERROR(__xludf.dummyfunction("""COMPUTED_VALUE"""),196.45)</f>
        <v>196.45</v>
      </c>
      <c r="F648" s="5" t="n">
        <f aca="false">IFERROR(__xludf.dummyfunction("""COMPUTED_VALUE"""),38824113)</f>
        <v>38824113</v>
      </c>
    </row>
    <row r="649" customFormat="false" ht="15.75" hidden="false" customHeight="false" outlineLevel="0" collapsed="false">
      <c r="A649" s="6" t="n">
        <f aca="false">IFERROR(__xludf.dummyfunction("""COMPUTED_VALUE"""),45139.6666666667)</f>
        <v>45139.6666666667</v>
      </c>
      <c r="B649" s="5" t="n">
        <f aca="false">IFERROR(__xludf.dummyfunction("""COMPUTED_VALUE"""),196.24)</f>
        <v>196.24</v>
      </c>
      <c r="C649" s="5" t="n">
        <f aca="false">IFERROR(__xludf.dummyfunction("""COMPUTED_VALUE"""),196.73)</f>
        <v>196.73</v>
      </c>
      <c r="D649" s="5" t="n">
        <f aca="false">IFERROR(__xludf.dummyfunction("""COMPUTED_VALUE"""),195.28)</f>
        <v>195.28</v>
      </c>
      <c r="E649" s="5" t="n">
        <f aca="false">IFERROR(__xludf.dummyfunction("""COMPUTED_VALUE"""),195.61)</f>
        <v>195.61</v>
      </c>
      <c r="F649" s="5" t="n">
        <f aca="false">IFERROR(__xludf.dummyfunction("""COMPUTED_VALUE"""),35281426)</f>
        <v>35281426</v>
      </c>
    </row>
    <row r="650" customFormat="false" ht="15.75" hidden="false" customHeight="false" outlineLevel="0" collapsed="false">
      <c r="A650" s="6" t="n">
        <f aca="false">IFERROR(__xludf.dummyfunction("""COMPUTED_VALUE"""),45140.6666666667)</f>
        <v>45140.6666666667</v>
      </c>
      <c r="B650" s="5" t="n">
        <f aca="false">IFERROR(__xludf.dummyfunction("""COMPUTED_VALUE"""),195.04)</f>
        <v>195.04</v>
      </c>
      <c r="C650" s="5" t="n">
        <f aca="false">IFERROR(__xludf.dummyfunction("""COMPUTED_VALUE"""),195.18)</f>
        <v>195.18</v>
      </c>
      <c r="D650" s="5" t="n">
        <f aca="false">IFERROR(__xludf.dummyfunction("""COMPUTED_VALUE"""),191.85)</f>
        <v>191.85</v>
      </c>
      <c r="E650" s="5" t="n">
        <f aca="false">IFERROR(__xludf.dummyfunction("""COMPUTED_VALUE"""),192.58)</f>
        <v>192.58</v>
      </c>
      <c r="F650" s="5" t="n">
        <f aca="false">IFERROR(__xludf.dummyfunction("""COMPUTED_VALUE"""),50389327)</f>
        <v>50389327</v>
      </c>
    </row>
    <row r="651" customFormat="false" ht="15.75" hidden="false" customHeight="false" outlineLevel="0" collapsed="false">
      <c r="A651" s="6" t="n">
        <f aca="false">IFERROR(__xludf.dummyfunction("""COMPUTED_VALUE"""),45141.6666666667)</f>
        <v>45141.6666666667</v>
      </c>
      <c r="B651" s="5" t="n">
        <f aca="false">IFERROR(__xludf.dummyfunction("""COMPUTED_VALUE"""),191.57)</f>
        <v>191.57</v>
      </c>
      <c r="C651" s="5" t="n">
        <f aca="false">IFERROR(__xludf.dummyfunction("""COMPUTED_VALUE"""),192.37)</f>
        <v>192.37</v>
      </c>
      <c r="D651" s="5" t="n">
        <f aca="false">IFERROR(__xludf.dummyfunction("""COMPUTED_VALUE"""),190.69)</f>
        <v>190.69</v>
      </c>
      <c r="E651" s="5" t="n">
        <f aca="false">IFERROR(__xludf.dummyfunction("""COMPUTED_VALUE"""),191.17)</f>
        <v>191.17</v>
      </c>
      <c r="F651" s="5" t="n">
        <f aca="false">IFERROR(__xludf.dummyfunction("""COMPUTED_VALUE"""),62243282)</f>
        <v>62243282</v>
      </c>
    </row>
    <row r="652" customFormat="false" ht="15.75" hidden="false" customHeight="false" outlineLevel="0" collapsed="false">
      <c r="A652" s="6" t="n">
        <f aca="false">IFERROR(__xludf.dummyfunction("""COMPUTED_VALUE"""),45142.6666666667)</f>
        <v>45142.6666666667</v>
      </c>
      <c r="B652" s="5" t="n">
        <f aca="false">IFERROR(__xludf.dummyfunction("""COMPUTED_VALUE"""),185.52)</f>
        <v>185.52</v>
      </c>
      <c r="C652" s="5" t="n">
        <f aca="false">IFERROR(__xludf.dummyfunction("""COMPUTED_VALUE"""),187.38)</f>
        <v>187.38</v>
      </c>
      <c r="D652" s="5" t="n">
        <f aca="false">IFERROR(__xludf.dummyfunction("""COMPUTED_VALUE"""),181.92)</f>
        <v>181.92</v>
      </c>
      <c r="E652" s="5" t="n">
        <f aca="false">IFERROR(__xludf.dummyfunction("""COMPUTED_VALUE"""),181.99)</f>
        <v>181.99</v>
      </c>
      <c r="F652" s="5" t="n">
        <f aca="false">IFERROR(__xludf.dummyfunction("""COMPUTED_VALUE"""),115956841)</f>
        <v>115956841</v>
      </c>
    </row>
    <row r="653" customFormat="false" ht="15.75" hidden="false" customHeight="false" outlineLevel="0" collapsed="false">
      <c r="A653" s="6" t="n">
        <f aca="false">IFERROR(__xludf.dummyfunction("""COMPUTED_VALUE"""),45145.6666666667)</f>
        <v>45145.6666666667</v>
      </c>
      <c r="B653" s="5" t="n">
        <f aca="false">IFERROR(__xludf.dummyfunction("""COMPUTED_VALUE"""),182.13)</f>
        <v>182.13</v>
      </c>
      <c r="C653" s="5" t="n">
        <f aca="false">IFERROR(__xludf.dummyfunction("""COMPUTED_VALUE"""),183.13)</f>
        <v>183.13</v>
      </c>
      <c r="D653" s="5" t="n">
        <f aca="false">IFERROR(__xludf.dummyfunction("""COMPUTED_VALUE"""),177.35)</f>
        <v>177.35</v>
      </c>
      <c r="E653" s="5" t="n">
        <f aca="false">IFERROR(__xludf.dummyfunction("""COMPUTED_VALUE"""),178.85)</f>
        <v>178.85</v>
      </c>
      <c r="F653" s="5" t="n">
        <f aca="false">IFERROR(__xludf.dummyfunction("""COMPUTED_VALUE"""),97576069)</f>
        <v>97576069</v>
      </c>
    </row>
    <row r="654" customFormat="false" ht="15.75" hidden="false" customHeight="false" outlineLevel="0" collapsed="false">
      <c r="A654" s="6" t="n">
        <f aca="false">IFERROR(__xludf.dummyfunction("""COMPUTED_VALUE"""),45146.6666666667)</f>
        <v>45146.6666666667</v>
      </c>
      <c r="B654" s="5" t="n">
        <f aca="false">IFERROR(__xludf.dummyfunction("""COMPUTED_VALUE"""),179.69)</f>
        <v>179.69</v>
      </c>
      <c r="C654" s="5" t="n">
        <f aca="false">IFERROR(__xludf.dummyfunction("""COMPUTED_VALUE"""),180.27)</f>
        <v>180.27</v>
      </c>
      <c r="D654" s="5" t="n">
        <f aca="false">IFERROR(__xludf.dummyfunction("""COMPUTED_VALUE"""),177.58)</f>
        <v>177.58</v>
      </c>
      <c r="E654" s="5" t="n">
        <f aca="false">IFERROR(__xludf.dummyfunction("""COMPUTED_VALUE"""),179.8)</f>
        <v>179.8</v>
      </c>
      <c r="F654" s="5" t="n">
        <f aca="false">IFERROR(__xludf.dummyfunction("""COMPUTED_VALUE"""),67823003)</f>
        <v>67823003</v>
      </c>
    </row>
    <row r="655" customFormat="false" ht="15.75" hidden="false" customHeight="false" outlineLevel="0" collapsed="false">
      <c r="A655" s="6" t="n">
        <f aca="false">IFERROR(__xludf.dummyfunction("""COMPUTED_VALUE"""),45147.6666666667)</f>
        <v>45147.6666666667</v>
      </c>
      <c r="B655" s="5" t="n">
        <f aca="false">IFERROR(__xludf.dummyfunction("""COMPUTED_VALUE"""),180.87)</f>
        <v>180.87</v>
      </c>
      <c r="C655" s="5" t="n">
        <f aca="false">IFERROR(__xludf.dummyfunction("""COMPUTED_VALUE"""),180.93)</f>
        <v>180.93</v>
      </c>
      <c r="D655" s="5" t="n">
        <f aca="false">IFERROR(__xludf.dummyfunction("""COMPUTED_VALUE"""),177.01)</f>
        <v>177.01</v>
      </c>
      <c r="E655" s="5" t="n">
        <f aca="false">IFERROR(__xludf.dummyfunction("""COMPUTED_VALUE"""),178.19)</f>
        <v>178.19</v>
      </c>
      <c r="F655" s="5" t="n">
        <f aca="false">IFERROR(__xludf.dummyfunction("""COMPUTED_VALUE"""),60378492)</f>
        <v>60378492</v>
      </c>
    </row>
    <row r="656" customFormat="false" ht="15.75" hidden="false" customHeight="false" outlineLevel="0" collapsed="false">
      <c r="A656" s="6" t="n">
        <f aca="false">IFERROR(__xludf.dummyfunction("""COMPUTED_VALUE"""),45148.6666666667)</f>
        <v>45148.6666666667</v>
      </c>
      <c r="B656" s="5" t="n">
        <f aca="false">IFERROR(__xludf.dummyfunction("""COMPUTED_VALUE"""),179.48)</f>
        <v>179.48</v>
      </c>
      <c r="C656" s="5" t="n">
        <f aca="false">IFERROR(__xludf.dummyfunction("""COMPUTED_VALUE"""),180.75)</f>
        <v>180.75</v>
      </c>
      <c r="D656" s="5" t="n">
        <f aca="false">IFERROR(__xludf.dummyfunction("""COMPUTED_VALUE"""),177.6)</f>
        <v>177.6</v>
      </c>
      <c r="E656" s="5" t="n">
        <f aca="false">IFERROR(__xludf.dummyfunction("""COMPUTED_VALUE"""),177.97)</f>
        <v>177.97</v>
      </c>
      <c r="F656" s="5" t="n">
        <f aca="false">IFERROR(__xludf.dummyfunction("""COMPUTED_VALUE"""),54686851)</f>
        <v>54686851</v>
      </c>
    </row>
    <row r="657" customFormat="false" ht="15.75" hidden="false" customHeight="false" outlineLevel="0" collapsed="false">
      <c r="A657" s="6" t="n">
        <f aca="false">IFERROR(__xludf.dummyfunction("""COMPUTED_VALUE"""),45149.6666666667)</f>
        <v>45149.6666666667</v>
      </c>
      <c r="B657" s="5" t="n">
        <f aca="false">IFERROR(__xludf.dummyfunction("""COMPUTED_VALUE"""),177.32)</f>
        <v>177.32</v>
      </c>
      <c r="C657" s="5" t="n">
        <f aca="false">IFERROR(__xludf.dummyfunction("""COMPUTED_VALUE"""),178.62)</f>
        <v>178.62</v>
      </c>
      <c r="D657" s="5" t="n">
        <f aca="false">IFERROR(__xludf.dummyfunction("""COMPUTED_VALUE"""),176.55)</f>
        <v>176.55</v>
      </c>
      <c r="E657" s="5" t="n">
        <f aca="false">IFERROR(__xludf.dummyfunction("""COMPUTED_VALUE"""),177.79)</f>
        <v>177.79</v>
      </c>
      <c r="F657" s="5" t="n">
        <f aca="false">IFERROR(__xludf.dummyfunction("""COMPUTED_VALUE"""),52036672)</f>
        <v>52036672</v>
      </c>
    </row>
    <row r="658" customFormat="false" ht="15.75" hidden="false" customHeight="false" outlineLevel="0" collapsed="false">
      <c r="A658" s="6" t="n">
        <f aca="false">IFERROR(__xludf.dummyfunction("""COMPUTED_VALUE"""),45152.6666666667)</f>
        <v>45152.6666666667</v>
      </c>
      <c r="B658" s="5" t="n">
        <f aca="false">IFERROR(__xludf.dummyfunction("""COMPUTED_VALUE"""),177.97)</f>
        <v>177.97</v>
      </c>
      <c r="C658" s="5" t="n">
        <f aca="false">IFERROR(__xludf.dummyfunction("""COMPUTED_VALUE"""),179.69)</f>
        <v>179.69</v>
      </c>
      <c r="D658" s="5" t="n">
        <f aca="false">IFERROR(__xludf.dummyfunction("""COMPUTED_VALUE"""),177.31)</f>
        <v>177.31</v>
      </c>
      <c r="E658" s="5" t="n">
        <f aca="false">IFERROR(__xludf.dummyfunction("""COMPUTED_VALUE"""),179.46)</f>
        <v>179.46</v>
      </c>
      <c r="F658" s="5" t="n">
        <f aca="false">IFERROR(__xludf.dummyfunction("""COMPUTED_VALUE"""),43675627)</f>
        <v>43675627</v>
      </c>
    </row>
    <row r="659" customFormat="false" ht="15.75" hidden="false" customHeight="false" outlineLevel="0" collapsed="false">
      <c r="A659" s="6" t="n">
        <f aca="false">IFERROR(__xludf.dummyfunction("""COMPUTED_VALUE"""),45153.6666666667)</f>
        <v>45153.6666666667</v>
      </c>
      <c r="B659" s="5" t="n">
        <f aca="false">IFERROR(__xludf.dummyfunction("""COMPUTED_VALUE"""),178.88)</f>
        <v>178.88</v>
      </c>
      <c r="C659" s="5" t="n">
        <f aca="false">IFERROR(__xludf.dummyfunction("""COMPUTED_VALUE"""),179.48)</f>
        <v>179.48</v>
      </c>
      <c r="D659" s="5" t="n">
        <f aca="false">IFERROR(__xludf.dummyfunction("""COMPUTED_VALUE"""),177.05)</f>
        <v>177.05</v>
      </c>
      <c r="E659" s="5" t="n">
        <f aca="false">IFERROR(__xludf.dummyfunction("""COMPUTED_VALUE"""),177.45)</f>
        <v>177.45</v>
      </c>
      <c r="F659" s="5" t="n">
        <f aca="false">IFERROR(__xludf.dummyfunction("""COMPUTED_VALUE"""),43622593)</f>
        <v>43622593</v>
      </c>
    </row>
    <row r="660" customFormat="false" ht="15.75" hidden="false" customHeight="false" outlineLevel="0" collapsed="false">
      <c r="A660" s="6" t="n">
        <f aca="false">IFERROR(__xludf.dummyfunction("""COMPUTED_VALUE"""),45154.6666666667)</f>
        <v>45154.6666666667</v>
      </c>
      <c r="B660" s="5" t="n">
        <f aca="false">IFERROR(__xludf.dummyfunction("""COMPUTED_VALUE"""),177.13)</f>
        <v>177.13</v>
      </c>
      <c r="C660" s="5" t="n">
        <f aca="false">IFERROR(__xludf.dummyfunction("""COMPUTED_VALUE"""),178.54)</f>
        <v>178.54</v>
      </c>
      <c r="D660" s="5" t="n">
        <f aca="false">IFERROR(__xludf.dummyfunction("""COMPUTED_VALUE"""),176.5)</f>
        <v>176.5</v>
      </c>
      <c r="E660" s="5" t="n">
        <f aca="false">IFERROR(__xludf.dummyfunction("""COMPUTED_VALUE"""),176.57)</f>
        <v>176.57</v>
      </c>
      <c r="F660" s="5" t="n">
        <f aca="false">IFERROR(__xludf.dummyfunction("""COMPUTED_VALUE"""),46964857)</f>
        <v>46964857</v>
      </c>
    </row>
    <row r="661" customFormat="false" ht="15.75" hidden="false" customHeight="false" outlineLevel="0" collapsed="false">
      <c r="A661" s="6" t="n">
        <f aca="false">IFERROR(__xludf.dummyfunction("""COMPUTED_VALUE"""),45155.6666666667)</f>
        <v>45155.6666666667</v>
      </c>
      <c r="B661" s="5" t="n">
        <f aca="false">IFERROR(__xludf.dummyfunction("""COMPUTED_VALUE"""),177.14)</f>
        <v>177.14</v>
      </c>
      <c r="C661" s="5" t="n">
        <f aca="false">IFERROR(__xludf.dummyfunction("""COMPUTED_VALUE"""),177.51)</f>
        <v>177.51</v>
      </c>
      <c r="D661" s="5" t="n">
        <f aca="false">IFERROR(__xludf.dummyfunction("""COMPUTED_VALUE"""),173.48)</f>
        <v>173.48</v>
      </c>
      <c r="E661" s="5" t="n">
        <f aca="false">IFERROR(__xludf.dummyfunction("""COMPUTED_VALUE"""),174)</f>
        <v>174</v>
      </c>
      <c r="F661" s="5" t="n">
        <f aca="false">IFERROR(__xludf.dummyfunction("""COMPUTED_VALUE"""),66062882)</f>
        <v>66062882</v>
      </c>
    </row>
    <row r="662" customFormat="false" ht="15.75" hidden="false" customHeight="false" outlineLevel="0" collapsed="false">
      <c r="A662" s="6" t="n">
        <f aca="false">IFERROR(__xludf.dummyfunction("""COMPUTED_VALUE"""),45156.6666666667)</f>
        <v>45156.6666666667</v>
      </c>
      <c r="B662" s="5" t="n">
        <f aca="false">IFERROR(__xludf.dummyfunction("""COMPUTED_VALUE"""),172.3)</f>
        <v>172.3</v>
      </c>
      <c r="C662" s="5" t="n">
        <f aca="false">IFERROR(__xludf.dummyfunction("""COMPUTED_VALUE"""),175.1)</f>
        <v>175.1</v>
      </c>
      <c r="D662" s="5" t="n">
        <f aca="false">IFERROR(__xludf.dummyfunction("""COMPUTED_VALUE"""),171.96)</f>
        <v>171.96</v>
      </c>
      <c r="E662" s="5" t="n">
        <f aca="false">IFERROR(__xludf.dummyfunction("""COMPUTED_VALUE"""),174.49)</f>
        <v>174.49</v>
      </c>
      <c r="F662" s="5" t="n">
        <f aca="false">IFERROR(__xludf.dummyfunction("""COMPUTED_VALUE"""),61172150)</f>
        <v>61172150</v>
      </c>
    </row>
    <row r="663" customFormat="false" ht="15.75" hidden="false" customHeight="false" outlineLevel="0" collapsed="false">
      <c r="A663" s="6" t="n">
        <f aca="false">IFERROR(__xludf.dummyfunction("""COMPUTED_VALUE"""),45159.6666666667)</f>
        <v>45159.6666666667</v>
      </c>
      <c r="B663" s="5" t="n">
        <f aca="false">IFERROR(__xludf.dummyfunction("""COMPUTED_VALUE"""),175.07)</f>
        <v>175.07</v>
      </c>
      <c r="C663" s="5" t="n">
        <f aca="false">IFERROR(__xludf.dummyfunction("""COMPUTED_VALUE"""),176.13)</f>
        <v>176.13</v>
      </c>
      <c r="D663" s="5" t="n">
        <f aca="false">IFERROR(__xludf.dummyfunction("""COMPUTED_VALUE"""),173.74)</f>
        <v>173.74</v>
      </c>
      <c r="E663" s="5" t="n">
        <f aca="false">IFERROR(__xludf.dummyfunction("""COMPUTED_VALUE"""),175.84)</f>
        <v>175.84</v>
      </c>
      <c r="F663" s="5" t="n">
        <f aca="false">IFERROR(__xludf.dummyfunction("""COMPUTED_VALUE"""),46311879)</f>
        <v>46311879</v>
      </c>
    </row>
    <row r="664" customFormat="false" ht="15.75" hidden="false" customHeight="false" outlineLevel="0" collapsed="false">
      <c r="A664" s="6" t="n">
        <f aca="false">IFERROR(__xludf.dummyfunction("""COMPUTED_VALUE"""),45160.6666666667)</f>
        <v>45160.6666666667</v>
      </c>
      <c r="B664" s="5" t="n">
        <f aca="false">IFERROR(__xludf.dummyfunction("""COMPUTED_VALUE"""),177.06)</f>
        <v>177.06</v>
      </c>
      <c r="C664" s="5" t="n">
        <f aca="false">IFERROR(__xludf.dummyfunction("""COMPUTED_VALUE"""),177.68)</f>
        <v>177.68</v>
      </c>
      <c r="D664" s="5" t="n">
        <f aca="false">IFERROR(__xludf.dummyfunction("""COMPUTED_VALUE"""),176.25)</f>
        <v>176.25</v>
      </c>
      <c r="E664" s="5" t="n">
        <f aca="false">IFERROR(__xludf.dummyfunction("""COMPUTED_VALUE"""),177.23)</f>
        <v>177.23</v>
      </c>
      <c r="F664" s="5" t="n">
        <f aca="false">IFERROR(__xludf.dummyfunction("""COMPUTED_VALUE"""),42084245)</f>
        <v>42084245</v>
      </c>
    </row>
    <row r="665" customFormat="false" ht="15.75" hidden="false" customHeight="false" outlineLevel="0" collapsed="false">
      <c r="A665" s="6" t="n">
        <f aca="false">IFERROR(__xludf.dummyfunction("""COMPUTED_VALUE"""),45161.6666666667)</f>
        <v>45161.6666666667</v>
      </c>
      <c r="B665" s="5" t="n">
        <f aca="false">IFERROR(__xludf.dummyfunction("""COMPUTED_VALUE"""),178.52)</f>
        <v>178.52</v>
      </c>
      <c r="C665" s="5" t="n">
        <f aca="false">IFERROR(__xludf.dummyfunction("""COMPUTED_VALUE"""),181.55)</f>
        <v>181.55</v>
      </c>
      <c r="D665" s="5" t="n">
        <f aca="false">IFERROR(__xludf.dummyfunction("""COMPUTED_VALUE"""),178.33)</f>
        <v>178.33</v>
      </c>
      <c r="E665" s="5" t="n">
        <f aca="false">IFERROR(__xludf.dummyfunction("""COMPUTED_VALUE"""),181.12)</f>
        <v>181.12</v>
      </c>
      <c r="F665" s="5" t="n">
        <f aca="false">IFERROR(__xludf.dummyfunction("""COMPUTED_VALUE"""),52722752)</f>
        <v>52722752</v>
      </c>
    </row>
    <row r="666" customFormat="false" ht="15.75" hidden="false" customHeight="false" outlineLevel="0" collapsed="false">
      <c r="A666" s="6" t="n">
        <f aca="false">IFERROR(__xludf.dummyfunction("""COMPUTED_VALUE"""),45162.6666666667)</f>
        <v>45162.6666666667</v>
      </c>
      <c r="B666" s="5" t="n">
        <f aca="false">IFERROR(__xludf.dummyfunction("""COMPUTED_VALUE"""),180.67)</f>
        <v>180.67</v>
      </c>
      <c r="C666" s="5" t="n">
        <f aca="false">IFERROR(__xludf.dummyfunction("""COMPUTED_VALUE"""),181.1)</f>
        <v>181.1</v>
      </c>
      <c r="D666" s="5" t="n">
        <f aca="false">IFERROR(__xludf.dummyfunction("""COMPUTED_VALUE"""),176.01)</f>
        <v>176.01</v>
      </c>
      <c r="E666" s="5" t="n">
        <f aca="false">IFERROR(__xludf.dummyfunction("""COMPUTED_VALUE"""),176.38)</f>
        <v>176.38</v>
      </c>
      <c r="F666" s="5" t="n">
        <f aca="false">IFERROR(__xludf.dummyfunction("""COMPUTED_VALUE"""),54945798)</f>
        <v>54945798</v>
      </c>
    </row>
    <row r="667" customFormat="false" ht="15.75" hidden="false" customHeight="false" outlineLevel="0" collapsed="false">
      <c r="A667" s="6" t="n">
        <f aca="false">IFERROR(__xludf.dummyfunction("""COMPUTED_VALUE"""),45163.6666666667)</f>
        <v>45163.6666666667</v>
      </c>
      <c r="B667" s="5" t="n">
        <f aca="false">IFERROR(__xludf.dummyfunction("""COMPUTED_VALUE"""),177.38)</f>
        <v>177.38</v>
      </c>
      <c r="C667" s="5" t="n">
        <f aca="false">IFERROR(__xludf.dummyfunction("""COMPUTED_VALUE"""),179.15)</f>
        <v>179.15</v>
      </c>
      <c r="D667" s="5" t="n">
        <f aca="false">IFERROR(__xludf.dummyfunction("""COMPUTED_VALUE"""),175.82)</f>
        <v>175.82</v>
      </c>
      <c r="E667" s="5" t="n">
        <f aca="false">IFERROR(__xludf.dummyfunction("""COMPUTED_VALUE"""),178.61)</f>
        <v>178.61</v>
      </c>
      <c r="F667" s="5" t="n">
        <f aca="false">IFERROR(__xludf.dummyfunction("""COMPUTED_VALUE"""),51449594)</f>
        <v>51449594</v>
      </c>
    </row>
    <row r="668" customFormat="false" ht="15.75" hidden="false" customHeight="false" outlineLevel="0" collapsed="false">
      <c r="A668" s="6" t="n">
        <f aca="false">IFERROR(__xludf.dummyfunction("""COMPUTED_VALUE"""),45166.6666666667)</f>
        <v>45166.6666666667</v>
      </c>
      <c r="B668" s="5" t="n">
        <f aca="false">IFERROR(__xludf.dummyfunction("""COMPUTED_VALUE"""),180.09)</f>
        <v>180.09</v>
      </c>
      <c r="C668" s="5" t="n">
        <f aca="false">IFERROR(__xludf.dummyfunction("""COMPUTED_VALUE"""),180.59)</f>
        <v>180.59</v>
      </c>
      <c r="D668" s="5" t="n">
        <f aca="false">IFERROR(__xludf.dummyfunction("""COMPUTED_VALUE"""),178.55)</f>
        <v>178.55</v>
      </c>
      <c r="E668" s="5" t="n">
        <f aca="false">IFERROR(__xludf.dummyfunction("""COMPUTED_VALUE"""),180.19)</f>
        <v>180.19</v>
      </c>
      <c r="F668" s="5" t="n">
        <f aca="false">IFERROR(__xludf.dummyfunction("""COMPUTED_VALUE"""),43820697)</f>
        <v>43820697</v>
      </c>
    </row>
    <row r="669" customFormat="false" ht="15.75" hidden="false" customHeight="false" outlineLevel="0" collapsed="false">
      <c r="A669" s="6" t="n">
        <f aca="false">IFERROR(__xludf.dummyfunction("""COMPUTED_VALUE"""),45167.6666666667)</f>
        <v>45167.6666666667</v>
      </c>
      <c r="B669" s="5" t="n">
        <f aca="false">IFERROR(__xludf.dummyfunction("""COMPUTED_VALUE"""),179.7)</f>
        <v>179.7</v>
      </c>
      <c r="C669" s="5" t="n">
        <f aca="false">IFERROR(__xludf.dummyfunction("""COMPUTED_VALUE"""),184.9)</f>
        <v>184.9</v>
      </c>
      <c r="D669" s="5" t="n">
        <f aca="false">IFERROR(__xludf.dummyfunction("""COMPUTED_VALUE"""),179.5)</f>
        <v>179.5</v>
      </c>
      <c r="E669" s="5" t="n">
        <f aca="false">IFERROR(__xludf.dummyfunction("""COMPUTED_VALUE"""),184.12)</f>
        <v>184.12</v>
      </c>
      <c r="F669" s="5" t="n">
        <f aca="false">IFERROR(__xludf.dummyfunction("""COMPUTED_VALUE"""),53003948)</f>
        <v>53003948</v>
      </c>
    </row>
    <row r="670" customFormat="false" ht="15.75" hidden="false" customHeight="false" outlineLevel="0" collapsed="false">
      <c r="A670" s="6" t="n">
        <f aca="false">IFERROR(__xludf.dummyfunction("""COMPUTED_VALUE"""),45168.6666666667)</f>
        <v>45168.6666666667</v>
      </c>
      <c r="B670" s="5" t="n">
        <f aca="false">IFERROR(__xludf.dummyfunction("""COMPUTED_VALUE"""),184.94)</f>
        <v>184.94</v>
      </c>
      <c r="C670" s="5" t="n">
        <f aca="false">IFERROR(__xludf.dummyfunction("""COMPUTED_VALUE"""),187.85)</f>
        <v>187.85</v>
      </c>
      <c r="D670" s="5" t="n">
        <f aca="false">IFERROR(__xludf.dummyfunction("""COMPUTED_VALUE"""),184.74)</f>
        <v>184.74</v>
      </c>
      <c r="E670" s="5" t="n">
        <f aca="false">IFERROR(__xludf.dummyfunction("""COMPUTED_VALUE"""),187.65)</f>
        <v>187.65</v>
      </c>
      <c r="F670" s="5" t="n">
        <f aca="false">IFERROR(__xludf.dummyfunction("""COMPUTED_VALUE"""),60813888)</f>
        <v>60813888</v>
      </c>
    </row>
    <row r="671" customFormat="false" ht="15.75" hidden="false" customHeight="false" outlineLevel="0" collapsed="false">
      <c r="A671" s="6" t="n">
        <f aca="false">IFERROR(__xludf.dummyfunction("""COMPUTED_VALUE"""),45169.6666666667)</f>
        <v>45169.6666666667</v>
      </c>
      <c r="B671" s="5" t="n">
        <f aca="false">IFERROR(__xludf.dummyfunction("""COMPUTED_VALUE"""),187.84)</f>
        <v>187.84</v>
      </c>
      <c r="C671" s="5" t="n">
        <f aca="false">IFERROR(__xludf.dummyfunction("""COMPUTED_VALUE"""),189.12)</f>
        <v>189.12</v>
      </c>
      <c r="D671" s="5" t="n">
        <f aca="false">IFERROR(__xludf.dummyfunction("""COMPUTED_VALUE"""),187.48)</f>
        <v>187.48</v>
      </c>
      <c r="E671" s="5" t="n">
        <f aca="false">IFERROR(__xludf.dummyfunction("""COMPUTED_VALUE"""),187.87)</f>
        <v>187.87</v>
      </c>
      <c r="F671" s="5" t="n">
        <f aca="false">IFERROR(__xludf.dummyfunction("""COMPUTED_VALUE"""),60794467)</f>
        <v>60794467</v>
      </c>
    </row>
    <row r="672" customFormat="false" ht="15.75" hidden="false" customHeight="false" outlineLevel="0" collapsed="false">
      <c r="A672" s="6" t="n">
        <f aca="false">IFERROR(__xludf.dummyfunction("""COMPUTED_VALUE"""),45170.6666666667)</f>
        <v>45170.6666666667</v>
      </c>
      <c r="B672" s="5" t="n">
        <f aca="false">IFERROR(__xludf.dummyfunction("""COMPUTED_VALUE"""),189.49)</f>
        <v>189.49</v>
      </c>
      <c r="C672" s="5" t="n">
        <f aca="false">IFERROR(__xludf.dummyfunction("""COMPUTED_VALUE"""),189.92)</f>
        <v>189.92</v>
      </c>
      <c r="D672" s="5" t="n">
        <f aca="false">IFERROR(__xludf.dummyfunction("""COMPUTED_VALUE"""),188.28)</f>
        <v>188.28</v>
      </c>
      <c r="E672" s="5" t="n">
        <f aca="false">IFERROR(__xludf.dummyfunction("""COMPUTED_VALUE"""),189.46)</f>
        <v>189.46</v>
      </c>
      <c r="F672" s="5" t="n">
        <f aca="false">IFERROR(__xludf.dummyfunction("""COMPUTED_VALUE"""),45766503)</f>
        <v>45766503</v>
      </c>
    </row>
    <row r="673" customFormat="false" ht="15.75" hidden="false" customHeight="false" outlineLevel="0" collapsed="false">
      <c r="A673" s="6" t="n">
        <f aca="false">IFERROR(__xludf.dummyfunction("""COMPUTED_VALUE"""),45174.6666666667)</f>
        <v>45174.6666666667</v>
      </c>
      <c r="B673" s="5" t="n">
        <f aca="false">IFERROR(__xludf.dummyfunction("""COMPUTED_VALUE"""),188.28)</f>
        <v>188.28</v>
      </c>
      <c r="C673" s="5" t="n">
        <f aca="false">IFERROR(__xludf.dummyfunction("""COMPUTED_VALUE"""),189.98)</f>
        <v>189.98</v>
      </c>
      <c r="D673" s="5" t="n">
        <f aca="false">IFERROR(__xludf.dummyfunction("""COMPUTED_VALUE"""),187.61)</f>
        <v>187.61</v>
      </c>
      <c r="E673" s="5" t="n">
        <f aca="false">IFERROR(__xludf.dummyfunction("""COMPUTED_VALUE"""),189.7)</f>
        <v>189.7</v>
      </c>
      <c r="F673" s="5" t="n">
        <f aca="false">IFERROR(__xludf.dummyfunction("""COMPUTED_VALUE"""),45280027)</f>
        <v>45280027</v>
      </c>
    </row>
    <row r="674" customFormat="false" ht="15.75" hidden="false" customHeight="false" outlineLevel="0" collapsed="false">
      <c r="A674" s="6" t="n">
        <f aca="false">IFERROR(__xludf.dummyfunction("""COMPUTED_VALUE"""),45175.6666666667)</f>
        <v>45175.6666666667</v>
      </c>
      <c r="B674" s="5" t="n">
        <f aca="false">IFERROR(__xludf.dummyfunction("""COMPUTED_VALUE"""),188.4)</f>
        <v>188.4</v>
      </c>
      <c r="C674" s="5" t="n">
        <f aca="false">IFERROR(__xludf.dummyfunction("""COMPUTED_VALUE"""),188.85)</f>
        <v>188.85</v>
      </c>
      <c r="D674" s="5" t="n">
        <f aca="false">IFERROR(__xludf.dummyfunction("""COMPUTED_VALUE"""),181.47)</f>
        <v>181.47</v>
      </c>
      <c r="E674" s="5" t="n">
        <f aca="false">IFERROR(__xludf.dummyfunction("""COMPUTED_VALUE"""),182.91)</f>
        <v>182.91</v>
      </c>
      <c r="F674" s="5" t="n">
        <f aca="false">IFERROR(__xludf.dummyfunction("""COMPUTED_VALUE"""),81755816)</f>
        <v>81755816</v>
      </c>
    </row>
    <row r="675" customFormat="false" ht="15.75" hidden="false" customHeight="false" outlineLevel="0" collapsed="false">
      <c r="A675" s="6" t="n">
        <f aca="false">IFERROR(__xludf.dummyfunction("""COMPUTED_VALUE"""),45176.6666666667)</f>
        <v>45176.6666666667</v>
      </c>
      <c r="B675" s="5" t="n">
        <f aca="false">IFERROR(__xludf.dummyfunction("""COMPUTED_VALUE"""),175.18)</f>
        <v>175.18</v>
      </c>
      <c r="C675" s="5" t="n">
        <f aca="false">IFERROR(__xludf.dummyfunction("""COMPUTED_VALUE"""),178.21)</f>
        <v>178.21</v>
      </c>
      <c r="D675" s="5" t="n">
        <f aca="false">IFERROR(__xludf.dummyfunction("""COMPUTED_VALUE"""),173.54)</f>
        <v>173.54</v>
      </c>
      <c r="E675" s="5" t="n">
        <f aca="false">IFERROR(__xludf.dummyfunction("""COMPUTED_VALUE"""),177.56)</f>
        <v>177.56</v>
      </c>
      <c r="F675" s="5" t="n">
        <f aca="false">IFERROR(__xludf.dummyfunction("""COMPUTED_VALUE"""),112488803)</f>
        <v>112488803</v>
      </c>
    </row>
    <row r="676" customFormat="false" ht="15.75" hidden="false" customHeight="false" outlineLevel="0" collapsed="false">
      <c r="A676" s="6" t="n">
        <f aca="false">IFERROR(__xludf.dummyfunction("""COMPUTED_VALUE"""),45177.6666666667)</f>
        <v>45177.6666666667</v>
      </c>
      <c r="B676" s="5" t="n">
        <f aca="false">IFERROR(__xludf.dummyfunction("""COMPUTED_VALUE"""),178.35)</f>
        <v>178.35</v>
      </c>
      <c r="C676" s="5" t="n">
        <f aca="false">IFERROR(__xludf.dummyfunction("""COMPUTED_VALUE"""),180.24)</f>
        <v>180.24</v>
      </c>
      <c r="D676" s="5" t="n">
        <f aca="false">IFERROR(__xludf.dummyfunction("""COMPUTED_VALUE"""),177.79)</f>
        <v>177.79</v>
      </c>
      <c r="E676" s="5" t="n">
        <f aca="false">IFERROR(__xludf.dummyfunction("""COMPUTED_VALUE"""),178.18)</f>
        <v>178.18</v>
      </c>
      <c r="F676" s="5" t="n">
        <f aca="false">IFERROR(__xludf.dummyfunction("""COMPUTED_VALUE"""),65602066)</f>
        <v>65602066</v>
      </c>
    </row>
    <row r="677" customFormat="false" ht="15.75" hidden="false" customHeight="false" outlineLevel="0" collapsed="false">
      <c r="A677" s="6" t="n">
        <f aca="false">IFERROR(__xludf.dummyfunction("""COMPUTED_VALUE"""),45180.6666666667)</f>
        <v>45180.6666666667</v>
      </c>
      <c r="B677" s="5" t="n">
        <f aca="false">IFERROR(__xludf.dummyfunction("""COMPUTED_VALUE"""),180.07)</f>
        <v>180.07</v>
      </c>
      <c r="C677" s="5" t="n">
        <f aca="false">IFERROR(__xludf.dummyfunction("""COMPUTED_VALUE"""),180.3)</f>
        <v>180.3</v>
      </c>
      <c r="D677" s="5" t="n">
        <f aca="false">IFERROR(__xludf.dummyfunction("""COMPUTED_VALUE"""),177.34)</f>
        <v>177.34</v>
      </c>
      <c r="E677" s="5" t="n">
        <f aca="false">IFERROR(__xludf.dummyfunction("""COMPUTED_VALUE"""),179.36)</f>
        <v>179.36</v>
      </c>
      <c r="F677" s="5" t="n">
        <f aca="false">IFERROR(__xludf.dummyfunction("""COMPUTED_VALUE"""),58953052)</f>
        <v>58953052</v>
      </c>
    </row>
    <row r="678" customFormat="false" ht="15.75" hidden="false" customHeight="false" outlineLevel="0" collapsed="false">
      <c r="A678" s="6" t="n">
        <f aca="false">IFERROR(__xludf.dummyfunction("""COMPUTED_VALUE"""),45181.6666666667)</f>
        <v>45181.6666666667</v>
      </c>
      <c r="B678" s="5" t="n">
        <f aca="false">IFERROR(__xludf.dummyfunction("""COMPUTED_VALUE"""),179.49)</f>
        <v>179.49</v>
      </c>
      <c r="C678" s="5" t="n">
        <f aca="false">IFERROR(__xludf.dummyfunction("""COMPUTED_VALUE"""),180.13)</f>
        <v>180.13</v>
      </c>
      <c r="D678" s="5" t="n">
        <f aca="false">IFERROR(__xludf.dummyfunction("""COMPUTED_VALUE"""),174.82)</f>
        <v>174.82</v>
      </c>
      <c r="E678" s="5" t="n">
        <f aca="false">IFERROR(__xludf.dummyfunction("""COMPUTED_VALUE"""),176.3)</f>
        <v>176.3</v>
      </c>
      <c r="F678" s="5" t="n">
        <f aca="false">IFERROR(__xludf.dummyfunction("""COMPUTED_VALUE"""),90370192)</f>
        <v>90370192</v>
      </c>
    </row>
    <row r="679" customFormat="false" ht="15.75" hidden="false" customHeight="false" outlineLevel="0" collapsed="false">
      <c r="A679" s="6" t="n">
        <f aca="false">IFERROR(__xludf.dummyfunction("""COMPUTED_VALUE"""),45182.6666666667)</f>
        <v>45182.6666666667</v>
      </c>
      <c r="B679" s="5" t="n">
        <f aca="false">IFERROR(__xludf.dummyfunction("""COMPUTED_VALUE"""),176.51)</f>
        <v>176.51</v>
      </c>
      <c r="C679" s="5" t="n">
        <f aca="false">IFERROR(__xludf.dummyfunction("""COMPUTED_VALUE"""),177.3)</f>
        <v>177.3</v>
      </c>
      <c r="D679" s="5" t="n">
        <f aca="false">IFERROR(__xludf.dummyfunction("""COMPUTED_VALUE"""),173.98)</f>
        <v>173.98</v>
      </c>
      <c r="E679" s="5" t="n">
        <f aca="false">IFERROR(__xludf.dummyfunction("""COMPUTED_VALUE"""),174.21)</f>
        <v>174.21</v>
      </c>
      <c r="F679" s="5" t="n">
        <f aca="false">IFERROR(__xludf.dummyfunction("""COMPUTED_VALUE"""),84267928)</f>
        <v>84267928</v>
      </c>
    </row>
    <row r="680" customFormat="false" ht="15.75" hidden="false" customHeight="false" outlineLevel="0" collapsed="false">
      <c r="A680" s="6" t="n">
        <f aca="false">IFERROR(__xludf.dummyfunction("""COMPUTED_VALUE"""),45183.6666666667)</f>
        <v>45183.6666666667</v>
      </c>
      <c r="B680" s="5" t="n">
        <f aca="false">IFERROR(__xludf.dummyfunction("""COMPUTED_VALUE"""),174)</f>
        <v>174</v>
      </c>
      <c r="C680" s="5" t="n">
        <f aca="false">IFERROR(__xludf.dummyfunction("""COMPUTED_VALUE"""),176.1)</f>
        <v>176.1</v>
      </c>
      <c r="D680" s="5" t="n">
        <f aca="false">IFERROR(__xludf.dummyfunction("""COMPUTED_VALUE"""),173.58)</f>
        <v>173.58</v>
      </c>
      <c r="E680" s="5" t="n">
        <f aca="false">IFERROR(__xludf.dummyfunction("""COMPUTED_VALUE"""),175.74)</f>
        <v>175.74</v>
      </c>
      <c r="F680" s="5" t="n">
        <f aca="false">IFERROR(__xludf.dummyfunction("""COMPUTED_VALUE"""),60895757)</f>
        <v>60895757</v>
      </c>
    </row>
    <row r="681" customFormat="false" ht="15.75" hidden="false" customHeight="false" outlineLevel="0" collapsed="false">
      <c r="A681" s="6" t="n">
        <f aca="false">IFERROR(__xludf.dummyfunction("""COMPUTED_VALUE"""),45184.6666666667)</f>
        <v>45184.6666666667</v>
      </c>
      <c r="B681" s="5" t="n">
        <f aca="false">IFERROR(__xludf.dummyfunction("""COMPUTED_VALUE"""),176.48)</f>
        <v>176.48</v>
      </c>
      <c r="C681" s="5" t="n">
        <f aca="false">IFERROR(__xludf.dummyfunction("""COMPUTED_VALUE"""),176.5)</f>
        <v>176.5</v>
      </c>
      <c r="D681" s="5" t="n">
        <f aca="false">IFERROR(__xludf.dummyfunction("""COMPUTED_VALUE"""),173.82)</f>
        <v>173.82</v>
      </c>
      <c r="E681" s="5" t="n">
        <f aca="false">IFERROR(__xludf.dummyfunction("""COMPUTED_VALUE"""),175.01)</f>
        <v>175.01</v>
      </c>
      <c r="F681" s="5" t="n">
        <f aca="false">IFERROR(__xludf.dummyfunction("""COMPUTED_VALUE"""),109259461)</f>
        <v>109259461</v>
      </c>
    </row>
    <row r="682" customFormat="false" ht="15.75" hidden="false" customHeight="false" outlineLevel="0" collapsed="false">
      <c r="A682" s="6" t="n">
        <f aca="false">IFERROR(__xludf.dummyfunction("""COMPUTED_VALUE"""),45187.6666666667)</f>
        <v>45187.6666666667</v>
      </c>
      <c r="B682" s="5" t="n">
        <f aca="false">IFERROR(__xludf.dummyfunction("""COMPUTED_VALUE"""),176.48)</f>
        <v>176.48</v>
      </c>
      <c r="C682" s="5" t="n">
        <f aca="false">IFERROR(__xludf.dummyfunction("""COMPUTED_VALUE"""),179.38)</f>
        <v>179.38</v>
      </c>
      <c r="D682" s="5" t="n">
        <f aca="false">IFERROR(__xludf.dummyfunction("""COMPUTED_VALUE"""),176.17)</f>
        <v>176.17</v>
      </c>
      <c r="E682" s="5" t="n">
        <f aca="false">IFERROR(__xludf.dummyfunction("""COMPUTED_VALUE"""),177.97)</f>
        <v>177.97</v>
      </c>
      <c r="F682" s="5" t="n">
        <f aca="false">IFERROR(__xludf.dummyfunction("""COMPUTED_VALUE"""),67257573)</f>
        <v>67257573</v>
      </c>
    </row>
    <row r="683" customFormat="false" ht="15.75" hidden="false" customHeight="false" outlineLevel="0" collapsed="false">
      <c r="A683" s="6" t="n">
        <f aca="false">IFERROR(__xludf.dummyfunction("""COMPUTED_VALUE"""),45188.6666666667)</f>
        <v>45188.6666666667</v>
      </c>
      <c r="B683" s="5" t="n">
        <f aca="false">IFERROR(__xludf.dummyfunction("""COMPUTED_VALUE"""),177.52)</f>
        <v>177.52</v>
      </c>
      <c r="C683" s="5" t="n">
        <f aca="false">IFERROR(__xludf.dummyfunction("""COMPUTED_VALUE"""),179.63)</f>
        <v>179.63</v>
      </c>
      <c r="D683" s="5" t="n">
        <f aca="false">IFERROR(__xludf.dummyfunction("""COMPUTED_VALUE"""),177.13)</f>
        <v>177.13</v>
      </c>
      <c r="E683" s="5" t="n">
        <f aca="false">IFERROR(__xludf.dummyfunction("""COMPUTED_VALUE"""),179.07)</f>
        <v>179.07</v>
      </c>
      <c r="F683" s="5" t="n">
        <f aca="false">IFERROR(__xludf.dummyfunction("""COMPUTED_VALUE"""),51826941)</f>
        <v>51826941</v>
      </c>
    </row>
    <row r="684" customFormat="false" ht="15.75" hidden="false" customHeight="false" outlineLevel="0" collapsed="false">
      <c r="A684" s="6" t="n">
        <f aca="false">IFERROR(__xludf.dummyfunction("""COMPUTED_VALUE"""),45189.6666666667)</f>
        <v>45189.6666666667</v>
      </c>
      <c r="B684" s="5" t="n">
        <f aca="false">IFERROR(__xludf.dummyfunction("""COMPUTED_VALUE"""),179.26)</f>
        <v>179.26</v>
      </c>
      <c r="C684" s="5" t="n">
        <f aca="false">IFERROR(__xludf.dummyfunction("""COMPUTED_VALUE"""),179.7)</f>
        <v>179.7</v>
      </c>
      <c r="D684" s="5" t="n">
        <f aca="false">IFERROR(__xludf.dummyfunction("""COMPUTED_VALUE"""),175.4)</f>
        <v>175.4</v>
      </c>
      <c r="E684" s="5" t="n">
        <f aca="false">IFERROR(__xludf.dummyfunction("""COMPUTED_VALUE"""),175.49)</f>
        <v>175.49</v>
      </c>
      <c r="F684" s="5" t="n">
        <f aca="false">IFERROR(__xludf.dummyfunction("""COMPUTED_VALUE"""),58436181)</f>
        <v>58436181</v>
      </c>
    </row>
    <row r="685" customFormat="false" ht="15.75" hidden="false" customHeight="false" outlineLevel="0" collapsed="false">
      <c r="A685" s="6" t="n">
        <f aca="false">IFERROR(__xludf.dummyfunction("""COMPUTED_VALUE"""),45190.6666666667)</f>
        <v>45190.6666666667</v>
      </c>
      <c r="B685" s="5" t="n">
        <f aca="false">IFERROR(__xludf.dummyfunction("""COMPUTED_VALUE"""),174.55)</f>
        <v>174.55</v>
      </c>
      <c r="C685" s="5" t="n">
        <f aca="false">IFERROR(__xludf.dummyfunction("""COMPUTED_VALUE"""),176.3)</f>
        <v>176.3</v>
      </c>
      <c r="D685" s="5" t="n">
        <f aca="false">IFERROR(__xludf.dummyfunction("""COMPUTED_VALUE"""),173.86)</f>
        <v>173.86</v>
      </c>
      <c r="E685" s="5" t="n">
        <f aca="false">IFERROR(__xludf.dummyfunction("""COMPUTED_VALUE"""),173.93)</f>
        <v>173.93</v>
      </c>
      <c r="F685" s="5" t="n">
        <f aca="false">IFERROR(__xludf.dummyfunction("""COMPUTED_VALUE"""),63149116)</f>
        <v>63149116</v>
      </c>
    </row>
    <row r="686" customFormat="false" ht="15.75" hidden="false" customHeight="false" outlineLevel="0" collapsed="false">
      <c r="A686" s="6" t="n">
        <f aca="false">IFERROR(__xludf.dummyfunction("""COMPUTED_VALUE"""),45191.6666666667)</f>
        <v>45191.6666666667</v>
      </c>
      <c r="B686" s="5" t="n">
        <f aca="false">IFERROR(__xludf.dummyfunction("""COMPUTED_VALUE"""),174.67)</f>
        <v>174.67</v>
      </c>
      <c r="C686" s="5" t="n">
        <f aca="false">IFERROR(__xludf.dummyfunction("""COMPUTED_VALUE"""),177.08)</f>
        <v>177.08</v>
      </c>
      <c r="D686" s="5" t="n">
        <f aca="false">IFERROR(__xludf.dummyfunction("""COMPUTED_VALUE"""),174.05)</f>
        <v>174.05</v>
      </c>
      <c r="E686" s="5" t="n">
        <f aca="false">IFERROR(__xludf.dummyfunction("""COMPUTED_VALUE"""),174.79)</f>
        <v>174.79</v>
      </c>
      <c r="F686" s="5" t="n">
        <f aca="false">IFERROR(__xludf.dummyfunction("""COMPUTED_VALUE"""),56725385)</f>
        <v>56725385</v>
      </c>
    </row>
    <row r="687" customFormat="false" ht="15.75" hidden="false" customHeight="false" outlineLevel="0" collapsed="false">
      <c r="A687" s="6" t="n">
        <f aca="false">IFERROR(__xludf.dummyfunction("""COMPUTED_VALUE"""),45194.6666666667)</f>
        <v>45194.6666666667</v>
      </c>
      <c r="B687" s="5" t="n">
        <f aca="false">IFERROR(__xludf.dummyfunction("""COMPUTED_VALUE"""),174.2)</f>
        <v>174.2</v>
      </c>
      <c r="C687" s="5" t="n">
        <f aca="false">IFERROR(__xludf.dummyfunction("""COMPUTED_VALUE"""),176.97)</f>
        <v>176.97</v>
      </c>
      <c r="D687" s="5" t="n">
        <f aca="false">IFERROR(__xludf.dummyfunction("""COMPUTED_VALUE"""),174.15)</f>
        <v>174.15</v>
      </c>
      <c r="E687" s="5" t="n">
        <f aca="false">IFERROR(__xludf.dummyfunction("""COMPUTED_VALUE"""),176.08)</f>
        <v>176.08</v>
      </c>
      <c r="F687" s="5" t="n">
        <f aca="false">IFERROR(__xludf.dummyfunction("""COMPUTED_VALUE"""),46172740)</f>
        <v>46172740</v>
      </c>
    </row>
    <row r="688" customFormat="false" ht="15.75" hidden="false" customHeight="false" outlineLevel="0" collapsed="false">
      <c r="A688" s="6" t="n">
        <f aca="false">IFERROR(__xludf.dummyfunction("""COMPUTED_VALUE"""),45195.6666666667)</f>
        <v>45195.6666666667</v>
      </c>
      <c r="B688" s="5" t="n">
        <f aca="false">IFERROR(__xludf.dummyfunction("""COMPUTED_VALUE"""),174.82)</f>
        <v>174.82</v>
      </c>
      <c r="C688" s="5" t="n">
        <f aca="false">IFERROR(__xludf.dummyfunction("""COMPUTED_VALUE"""),175.2)</f>
        <v>175.2</v>
      </c>
      <c r="D688" s="5" t="n">
        <f aca="false">IFERROR(__xludf.dummyfunction("""COMPUTED_VALUE"""),171.66)</f>
        <v>171.66</v>
      </c>
      <c r="E688" s="5" t="n">
        <f aca="false">IFERROR(__xludf.dummyfunction("""COMPUTED_VALUE"""),171.96)</f>
        <v>171.96</v>
      </c>
      <c r="F688" s="5" t="n">
        <f aca="false">IFERROR(__xludf.dummyfunction("""COMPUTED_VALUE"""),64588945)</f>
        <v>64588945</v>
      </c>
    </row>
    <row r="689" customFormat="false" ht="15.75" hidden="false" customHeight="false" outlineLevel="0" collapsed="false">
      <c r="A689" s="6" t="n">
        <f aca="false">IFERROR(__xludf.dummyfunction("""COMPUTED_VALUE"""),45196.6666666667)</f>
        <v>45196.6666666667</v>
      </c>
      <c r="B689" s="5" t="n">
        <f aca="false">IFERROR(__xludf.dummyfunction("""COMPUTED_VALUE"""),172.62)</f>
        <v>172.62</v>
      </c>
      <c r="C689" s="5" t="n">
        <f aca="false">IFERROR(__xludf.dummyfunction("""COMPUTED_VALUE"""),173.04)</f>
        <v>173.04</v>
      </c>
      <c r="D689" s="5" t="n">
        <f aca="false">IFERROR(__xludf.dummyfunction("""COMPUTED_VALUE"""),169.05)</f>
        <v>169.05</v>
      </c>
      <c r="E689" s="5" t="n">
        <f aca="false">IFERROR(__xludf.dummyfunction("""COMPUTED_VALUE"""),170.43)</f>
        <v>170.43</v>
      </c>
      <c r="F689" s="5" t="n">
        <f aca="false">IFERROR(__xludf.dummyfunction("""COMPUTED_VALUE"""),66921808)</f>
        <v>66921808</v>
      </c>
    </row>
    <row r="690" customFormat="false" ht="15.75" hidden="false" customHeight="false" outlineLevel="0" collapsed="false">
      <c r="A690" s="6" t="n">
        <f aca="false">IFERROR(__xludf.dummyfunction("""COMPUTED_VALUE"""),45197.6666666667)</f>
        <v>45197.6666666667</v>
      </c>
      <c r="B690" s="5" t="n">
        <f aca="false">IFERROR(__xludf.dummyfunction("""COMPUTED_VALUE"""),169.34)</f>
        <v>169.34</v>
      </c>
      <c r="C690" s="5" t="n">
        <f aca="false">IFERROR(__xludf.dummyfunction("""COMPUTED_VALUE"""),172.03)</f>
        <v>172.03</v>
      </c>
      <c r="D690" s="5" t="n">
        <f aca="false">IFERROR(__xludf.dummyfunction("""COMPUTED_VALUE"""),167.62)</f>
        <v>167.62</v>
      </c>
      <c r="E690" s="5" t="n">
        <f aca="false">IFERROR(__xludf.dummyfunction("""COMPUTED_VALUE"""),170.69)</f>
        <v>170.69</v>
      </c>
      <c r="F690" s="5" t="n">
        <f aca="false">IFERROR(__xludf.dummyfunction("""COMPUTED_VALUE"""),56294419)</f>
        <v>56294419</v>
      </c>
    </row>
    <row r="691" customFormat="false" ht="15.75" hidden="false" customHeight="false" outlineLevel="0" collapsed="false">
      <c r="A691" s="6" t="n">
        <f aca="false">IFERROR(__xludf.dummyfunction("""COMPUTED_VALUE"""),45198.6666666667)</f>
        <v>45198.6666666667</v>
      </c>
      <c r="B691" s="5" t="n">
        <f aca="false">IFERROR(__xludf.dummyfunction("""COMPUTED_VALUE"""),172.02)</f>
        <v>172.02</v>
      </c>
      <c r="C691" s="5" t="n">
        <f aca="false">IFERROR(__xludf.dummyfunction("""COMPUTED_VALUE"""),173.07)</f>
        <v>173.07</v>
      </c>
      <c r="D691" s="5" t="n">
        <f aca="false">IFERROR(__xludf.dummyfunction("""COMPUTED_VALUE"""),170.34)</f>
        <v>170.34</v>
      </c>
      <c r="E691" s="5" t="n">
        <f aca="false">IFERROR(__xludf.dummyfunction("""COMPUTED_VALUE"""),171.21)</f>
        <v>171.21</v>
      </c>
      <c r="F691" s="5" t="n">
        <f aca="false">IFERROR(__xludf.dummyfunction("""COMPUTED_VALUE"""),51861083)</f>
        <v>51861083</v>
      </c>
    </row>
    <row r="692" customFormat="false" ht="15.75" hidden="false" customHeight="false" outlineLevel="0" collapsed="false">
      <c r="A692" s="6" t="n">
        <f aca="false">IFERROR(__xludf.dummyfunction("""COMPUTED_VALUE"""),45201.6666666667)</f>
        <v>45201.6666666667</v>
      </c>
      <c r="B692" s="5" t="n">
        <f aca="false">IFERROR(__xludf.dummyfunction("""COMPUTED_VALUE"""),171.22)</f>
        <v>171.22</v>
      </c>
      <c r="C692" s="5" t="n">
        <f aca="false">IFERROR(__xludf.dummyfunction("""COMPUTED_VALUE"""),174.3)</f>
        <v>174.3</v>
      </c>
      <c r="D692" s="5" t="n">
        <f aca="false">IFERROR(__xludf.dummyfunction("""COMPUTED_VALUE"""),170.93)</f>
        <v>170.93</v>
      </c>
      <c r="E692" s="5" t="n">
        <f aca="false">IFERROR(__xludf.dummyfunction("""COMPUTED_VALUE"""),173.75)</f>
        <v>173.75</v>
      </c>
      <c r="F692" s="5" t="n">
        <f aca="false">IFERROR(__xludf.dummyfunction("""COMPUTED_VALUE"""),52164535)</f>
        <v>52164535</v>
      </c>
    </row>
    <row r="693" customFormat="false" ht="15.75" hidden="false" customHeight="false" outlineLevel="0" collapsed="false">
      <c r="A693" s="6" t="n">
        <f aca="false">IFERROR(__xludf.dummyfunction("""COMPUTED_VALUE"""),45202.6666666667)</f>
        <v>45202.6666666667</v>
      </c>
      <c r="B693" s="5" t="n">
        <f aca="false">IFERROR(__xludf.dummyfunction("""COMPUTED_VALUE"""),172.26)</f>
        <v>172.26</v>
      </c>
      <c r="C693" s="5" t="n">
        <f aca="false">IFERROR(__xludf.dummyfunction("""COMPUTED_VALUE"""),173.63)</f>
        <v>173.63</v>
      </c>
      <c r="D693" s="5" t="n">
        <f aca="false">IFERROR(__xludf.dummyfunction("""COMPUTED_VALUE"""),170.82)</f>
        <v>170.82</v>
      </c>
      <c r="E693" s="5" t="n">
        <f aca="false">IFERROR(__xludf.dummyfunction("""COMPUTED_VALUE"""),172.4)</f>
        <v>172.4</v>
      </c>
      <c r="F693" s="5" t="n">
        <f aca="false">IFERROR(__xludf.dummyfunction("""COMPUTED_VALUE"""),49594613)</f>
        <v>49594613</v>
      </c>
    </row>
    <row r="694" customFormat="false" ht="15.75" hidden="false" customHeight="false" outlineLevel="0" collapsed="false">
      <c r="A694" s="6" t="n">
        <f aca="false">IFERROR(__xludf.dummyfunction("""COMPUTED_VALUE"""),45203.6666666667)</f>
        <v>45203.6666666667</v>
      </c>
      <c r="B694" s="5" t="n">
        <f aca="false">IFERROR(__xludf.dummyfunction("""COMPUTED_VALUE"""),171.09)</f>
        <v>171.09</v>
      </c>
      <c r="C694" s="5" t="n">
        <f aca="false">IFERROR(__xludf.dummyfunction("""COMPUTED_VALUE"""),174.21)</f>
        <v>174.21</v>
      </c>
      <c r="D694" s="5" t="n">
        <f aca="false">IFERROR(__xludf.dummyfunction("""COMPUTED_VALUE"""),170.97)</f>
        <v>170.97</v>
      </c>
      <c r="E694" s="5" t="n">
        <f aca="false">IFERROR(__xludf.dummyfunction("""COMPUTED_VALUE"""),173.66)</f>
        <v>173.66</v>
      </c>
      <c r="F694" s="5" t="n">
        <f aca="false">IFERROR(__xludf.dummyfunction("""COMPUTED_VALUE"""),53020286)</f>
        <v>53020286</v>
      </c>
    </row>
    <row r="695" customFormat="false" ht="15.75" hidden="false" customHeight="false" outlineLevel="0" collapsed="false">
      <c r="A695" s="6" t="n">
        <f aca="false">IFERROR(__xludf.dummyfunction("""COMPUTED_VALUE"""),45204.6666666667)</f>
        <v>45204.6666666667</v>
      </c>
      <c r="B695" s="5" t="n">
        <f aca="false">IFERROR(__xludf.dummyfunction("""COMPUTED_VALUE"""),173.79)</f>
        <v>173.79</v>
      </c>
      <c r="C695" s="5" t="n">
        <f aca="false">IFERROR(__xludf.dummyfunction("""COMPUTED_VALUE"""),175.45)</f>
        <v>175.45</v>
      </c>
      <c r="D695" s="5" t="n">
        <f aca="false">IFERROR(__xludf.dummyfunction("""COMPUTED_VALUE"""),172.68)</f>
        <v>172.68</v>
      </c>
      <c r="E695" s="5" t="n">
        <f aca="false">IFERROR(__xludf.dummyfunction("""COMPUTED_VALUE"""),174.91)</f>
        <v>174.91</v>
      </c>
      <c r="F695" s="5" t="n">
        <f aca="false">IFERROR(__xludf.dummyfunction("""COMPUTED_VALUE"""),48527918)</f>
        <v>48527918</v>
      </c>
    </row>
    <row r="696" customFormat="false" ht="15.75" hidden="false" customHeight="false" outlineLevel="0" collapsed="false">
      <c r="A696" s="6" t="n">
        <f aca="false">IFERROR(__xludf.dummyfunction("""COMPUTED_VALUE"""),45205.6666666667)</f>
        <v>45205.6666666667</v>
      </c>
      <c r="B696" s="5" t="n">
        <f aca="false">IFERROR(__xludf.dummyfunction("""COMPUTED_VALUE"""),173.8)</f>
        <v>173.8</v>
      </c>
      <c r="C696" s="5" t="n">
        <f aca="false">IFERROR(__xludf.dummyfunction("""COMPUTED_VALUE"""),177.99)</f>
        <v>177.99</v>
      </c>
      <c r="D696" s="5" t="n">
        <f aca="false">IFERROR(__xludf.dummyfunction("""COMPUTED_VALUE"""),173.18)</f>
        <v>173.18</v>
      </c>
      <c r="E696" s="5" t="n">
        <f aca="false">IFERROR(__xludf.dummyfunction("""COMPUTED_VALUE"""),177.49)</f>
        <v>177.49</v>
      </c>
      <c r="F696" s="5" t="n">
        <f aca="false">IFERROR(__xludf.dummyfunction("""COMPUTED_VALUE"""),57266675)</f>
        <v>57266675</v>
      </c>
    </row>
    <row r="697" customFormat="false" ht="15.75" hidden="false" customHeight="false" outlineLevel="0" collapsed="false">
      <c r="A697" s="6" t="n">
        <f aca="false">IFERROR(__xludf.dummyfunction("""COMPUTED_VALUE"""),45208.6666666667)</f>
        <v>45208.6666666667</v>
      </c>
      <c r="B697" s="5" t="n">
        <f aca="false">IFERROR(__xludf.dummyfunction("""COMPUTED_VALUE"""),176.81)</f>
        <v>176.81</v>
      </c>
      <c r="C697" s="5" t="n">
        <f aca="false">IFERROR(__xludf.dummyfunction("""COMPUTED_VALUE"""),179.05)</f>
        <v>179.05</v>
      </c>
      <c r="D697" s="5" t="n">
        <f aca="false">IFERROR(__xludf.dummyfunction("""COMPUTED_VALUE"""),175.8)</f>
        <v>175.8</v>
      </c>
      <c r="E697" s="5" t="n">
        <f aca="false">IFERROR(__xludf.dummyfunction("""COMPUTED_VALUE"""),178.99)</f>
        <v>178.99</v>
      </c>
      <c r="F697" s="5" t="n">
        <f aca="false">IFERROR(__xludf.dummyfunction("""COMPUTED_VALUE"""),42390772)</f>
        <v>42390772</v>
      </c>
    </row>
    <row r="698" customFormat="false" ht="15.75" hidden="false" customHeight="false" outlineLevel="0" collapsed="false">
      <c r="A698" s="6" t="n">
        <f aca="false">IFERROR(__xludf.dummyfunction("""COMPUTED_VALUE"""),45209.6666666667)</f>
        <v>45209.6666666667</v>
      </c>
      <c r="B698" s="5" t="n">
        <f aca="false">IFERROR(__xludf.dummyfunction("""COMPUTED_VALUE"""),178.1)</f>
        <v>178.1</v>
      </c>
      <c r="C698" s="5" t="n">
        <f aca="false">IFERROR(__xludf.dummyfunction("""COMPUTED_VALUE"""),179.72)</f>
        <v>179.72</v>
      </c>
      <c r="D698" s="5" t="n">
        <f aca="false">IFERROR(__xludf.dummyfunction("""COMPUTED_VALUE"""),177.95)</f>
        <v>177.95</v>
      </c>
      <c r="E698" s="5" t="n">
        <f aca="false">IFERROR(__xludf.dummyfunction("""COMPUTED_VALUE"""),178.39)</f>
        <v>178.39</v>
      </c>
      <c r="F698" s="5" t="n">
        <f aca="false">IFERROR(__xludf.dummyfunction("""COMPUTED_VALUE"""),43698019)</f>
        <v>43698019</v>
      </c>
    </row>
    <row r="699" customFormat="false" ht="15.75" hidden="false" customHeight="false" outlineLevel="0" collapsed="false">
      <c r="A699" s="6" t="n">
        <f aca="false">IFERROR(__xludf.dummyfunction("""COMPUTED_VALUE"""),45210.6666666667)</f>
        <v>45210.6666666667</v>
      </c>
      <c r="B699" s="5" t="n">
        <f aca="false">IFERROR(__xludf.dummyfunction("""COMPUTED_VALUE"""),178.2)</f>
        <v>178.2</v>
      </c>
      <c r="C699" s="5" t="n">
        <f aca="false">IFERROR(__xludf.dummyfunction("""COMPUTED_VALUE"""),179.85)</f>
        <v>179.85</v>
      </c>
      <c r="D699" s="5" t="n">
        <f aca="false">IFERROR(__xludf.dummyfunction("""COMPUTED_VALUE"""),177.6)</f>
        <v>177.6</v>
      </c>
      <c r="E699" s="5" t="n">
        <f aca="false">IFERROR(__xludf.dummyfunction("""COMPUTED_VALUE"""),179.8)</f>
        <v>179.8</v>
      </c>
      <c r="F699" s="5" t="n">
        <f aca="false">IFERROR(__xludf.dummyfunction("""COMPUTED_VALUE"""),47551098)</f>
        <v>47551098</v>
      </c>
    </row>
    <row r="700" customFormat="false" ht="15.75" hidden="false" customHeight="false" outlineLevel="0" collapsed="false">
      <c r="A700" s="6" t="n">
        <f aca="false">IFERROR(__xludf.dummyfunction("""COMPUTED_VALUE"""),45211.6666666667)</f>
        <v>45211.6666666667</v>
      </c>
      <c r="B700" s="5" t="n">
        <f aca="false">IFERROR(__xludf.dummyfunction("""COMPUTED_VALUE"""),180.07)</f>
        <v>180.07</v>
      </c>
      <c r="C700" s="5" t="n">
        <f aca="false">IFERROR(__xludf.dummyfunction("""COMPUTED_VALUE"""),182.34)</f>
        <v>182.34</v>
      </c>
      <c r="D700" s="5" t="n">
        <f aca="false">IFERROR(__xludf.dummyfunction("""COMPUTED_VALUE"""),179.04)</f>
        <v>179.04</v>
      </c>
      <c r="E700" s="5" t="n">
        <f aca="false">IFERROR(__xludf.dummyfunction("""COMPUTED_VALUE"""),180.71)</f>
        <v>180.71</v>
      </c>
      <c r="F700" s="5" t="n">
        <f aca="false">IFERROR(__xludf.dummyfunction("""COMPUTED_VALUE"""),56743119)</f>
        <v>56743119</v>
      </c>
    </row>
    <row r="701" customFormat="false" ht="15.75" hidden="false" customHeight="false" outlineLevel="0" collapsed="false">
      <c r="A701" s="6" t="n">
        <f aca="false">IFERROR(__xludf.dummyfunction("""COMPUTED_VALUE"""),45212.6666666667)</f>
        <v>45212.6666666667</v>
      </c>
      <c r="B701" s="5" t="n">
        <f aca="false">IFERROR(__xludf.dummyfunction("""COMPUTED_VALUE"""),181.42)</f>
        <v>181.42</v>
      </c>
      <c r="C701" s="5" t="n">
        <f aca="false">IFERROR(__xludf.dummyfunction("""COMPUTED_VALUE"""),181.93)</f>
        <v>181.93</v>
      </c>
      <c r="D701" s="5" t="n">
        <f aca="false">IFERROR(__xludf.dummyfunction("""COMPUTED_VALUE"""),178.14)</f>
        <v>178.14</v>
      </c>
      <c r="E701" s="5" t="n">
        <f aca="false">IFERROR(__xludf.dummyfunction("""COMPUTED_VALUE"""),178.85)</f>
        <v>178.85</v>
      </c>
      <c r="F701" s="5" t="n">
        <f aca="false">IFERROR(__xludf.dummyfunction("""COMPUTED_VALUE"""),51456082)</f>
        <v>51456082</v>
      </c>
    </row>
    <row r="702" customFormat="false" ht="15.75" hidden="false" customHeight="false" outlineLevel="0" collapsed="false">
      <c r="A702" s="6" t="n">
        <f aca="false">IFERROR(__xludf.dummyfunction("""COMPUTED_VALUE"""),45215.6666666667)</f>
        <v>45215.6666666667</v>
      </c>
      <c r="B702" s="5" t="n">
        <f aca="false">IFERROR(__xludf.dummyfunction("""COMPUTED_VALUE"""),176.75)</f>
        <v>176.75</v>
      </c>
      <c r="C702" s="5" t="n">
        <f aca="false">IFERROR(__xludf.dummyfunction("""COMPUTED_VALUE"""),179.08)</f>
        <v>179.08</v>
      </c>
      <c r="D702" s="5" t="n">
        <f aca="false">IFERROR(__xludf.dummyfunction("""COMPUTED_VALUE"""),176.51)</f>
        <v>176.51</v>
      </c>
      <c r="E702" s="5" t="n">
        <f aca="false">IFERROR(__xludf.dummyfunction("""COMPUTED_VALUE"""),178.72)</f>
        <v>178.72</v>
      </c>
      <c r="F702" s="5" t="n">
        <f aca="false">IFERROR(__xludf.dummyfunction("""COMPUTED_VALUE"""),52516984)</f>
        <v>52516984</v>
      </c>
    </row>
    <row r="703" customFormat="false" ht="15.75" hidden="false" customHeight="false" outlineLevel="0" collapsed="false">
      <c r="A703" s="6" t="n">
        <f aca="false">IFERROR(__xludf.dummyfunction("""COMPUTED_VALUE"""),45216.6666666667)</f>
        <v>45216.6666666667</v>
      </c>
      <c r="B703" s="5" t="n">
        <f aca="false">IFERROR(__xludf.dummyfunction("""COMPUTED_VALUE"""),176.65)</f>
        <v>176.65</v>
      </c>
      <c r="C703" s="5" t="n">
        <f aca="false">IFERROR(__xludf.dummyfunction("""COMPUTED_VALUE"""),178.42)</f>
        <v>178.42</v>
      </c>
      <c r="D703" s="5" t="n">
        <f aca="false">IFERROR(__xludf.dummyfunction("""COMPUTED_VALUE"""),174.8)</f>
        <v>174.8</v>
      </c>
      <c r="E703" s="5" t="n">
        <f aca="false">IFERROR(__xludf.dummyfunction("""COMPUTED_VALUE"""),177.15)</f>
        <v>177.15</v>
      </c>
      <c r="F703" s="5" t="n">
        <f aca="false">IFERROR(__xludf.dummyfunction("""COMPUTED_VALUE"""),57549350)</f>
        <v>57549350</v>
      </c>
    </row>
    <row r="704" customFormat="false" ht="15.75" hidden="false" customHeight="false" outlineLevel="0" collapsed="false">
      <c r="A704" s="6" t="n">
        <f aca="false">IFERROR(__xludf.dummyfunction("""COMPUTED_VALUE"""),45217.6666666667)</f>
        <v>45217.6666666667</v>
      </c>
      <c r="B704" s="5" t="n">
        <f aca="false">IFERROR(__xludf.dummyfunction("""COMPUTED_VALUE"""),175.58)</f>
        <v>175.58</v>
      </c>
      <c r="C704" s="5" t="n">
        <f aca="false">IFERROR(__xludf.dummyfunction("""COMPUTED_VALUE"""),177.58)</f>
        <v>177.58</v>
      </c>
      <c r="D704" s="5" t="n">
        <f aca="false">IFERROR(__xludf.dummyfunction("""COMPUTED_VALUE"""),175.11)</f>
        <v>175.11</v>
      </c>
      <c r="E704" s="5" t="n">
        <f aca="false">IFERROR(__xludf.dummyfunction("""COMPUTED_VALUE"""),175.84)</f>
        <v>175.84</v>
      </c>
      <c r="F704" s="5" t="n">
        <f aca="false">IFERROR(__xludf.dummyfunction("""COMPUTED_VALUE"""),54764375)</f>
        <v>54764375</v>
      </c>
    </row>
    <row r="705" customFormat="false" ht="15.75" hidden="false" customHeight="false" outlineLevel="0" collapsed="false">
      <c r="A705" s="6" t="n">
        <f aca="false">IFERROR(__xludf.dummyfunction("""COMPUTED_VALUE"""),45218.6666666667)</f>
        <v>45218.6666666667</v>
      </c>
      <c r="B705" s="5" t="n">
        <f aca="false">IFERROR(__xludf.dummyfunction("""COMPUTED_VALUE"""),176.04)</f>
        <v>176.04</v>
      </c>
      <c r="C705" s="5" t="n">
        <f aca="false">IFERROR(__xludf.dummyfunction("""COMPUTED_VALUE"""),177.84)</f>
        <v>177.84</v>
      </c>
      <c r="D705" s="5" t="n">
        <f aca="false">IFERROR(__xludf.dummyfunction("""COMPUTED_VALUE"""),175.19)</f>
        <v>175.19</v>
      </c>
      <c r="E705" s="5" t="n">
        <f aca="false">IFERROR(__xludf.dummyfunction("""COMPUTED_VALUE"""),175.46)</f>
        <v>175.46</v>
      </c>
      <c r="F705" s="5" t="n">
        <f aca="false">IFERROR(__xludf.dummyfunction("""COMPUTED_VALUE"""),59302863)</f>
        <v>59302863</v>
      </c>
    </row>
    <row r="706" customFormat="false" ht="15.75" hidden="false" customHeight="false" outlineLevel="0" collapsed="false">
      <c r="A706" s="6" t="n">
        <f aca="false">IFERROR(__xludf.dummyfunction("""COMPUTED_VALUE"""),45219.6666666667)</f>
        <v>45219.6666666667</v>
      </c>
      <c r="B706" s="5" t="n">
        <f aca="false">IFERROR(__xludf.dummyfunction("""COMPUTED_VALUE"""),175.31)</f>
        <v>175.31</v>
      </c>
      <c r="C706" s="5" t="n">
        <f aca="false">IFERROR(__xludf.dummyfunction("""COMPUTED_VALUE"""),175.42)</f>
        <v>175.42</v>
      </c>
      <c r="D706" s="5" t="n">
        <f aca="false">IFERROR(__xludf.dummyfunction("""COMPUTED_VALUE"""),172.64)</f>
        <v>172.64</v>
      </c>
      <c r="E706" s="5" t="n">
        <f aca="false">IFERROR(__xludf.dummyfunction("""COMPUTED_VALUE"""),172.88)</f>
        <v>172.88</v>
      </c>
      <c r="F706" s="5" t="n">
        <f aca="false">IFERROR(__xludf.dummyfunction("""COMPUTED_VALUE"""),64244028)</f>
        <v>64244028</v>
      </c>
    </row>
    <row r="707" customFormat="false" ht="15.75" hidden="false" customHeight="false" outlineLevel="0" collapsed="false">
      <c r="A707" s="6" t="n">
        <f aca="false">IFERROR(__xludf.dummyfunction("""COMPUTED_VALUE"""),45222.6666666667)</f>
        <v>45222.6666666667</v>
      </c>
      <c r="B707" s="5" t="n">
        <f aca="false">IFERROR(__xludf.dummyfunction("""COMPUTED_VALUE"""),170.91)</f>
        <v>170.91</v>
      </c>
      <c r="C707" s="5" t="n">
        <f aca="false">IFERROR(__xludf.dummyfunction("""COMPUTED_VALUE"""),174.01)</f>
        <v>174.01</v>
      </c>
      <c r="D707" s="5" t="n">
        <f aca="false">IFERROR(__xludf.dummyfunction("""COMPUTED_VALUE"""),169.93)</f>
        <v>169.93</v>
      </c>
      <c r="E707" s="5" t="n">
        <f aca="false">IFERROR(__xludf.dummyfunction("""COMPUTED_VALUE"""),173)</f>
        <v>173</v>
      </c>
      <c r="F707" s="5" t="n">
        <f aca="false">IFERROR(__xludf.dummyfunction("""COMPUTED_VALUE"""),55980109)</f>
        <v>55980109</v>
      </c>
    </row>
    <row r="708" customFormat="false" ht="15.75" hidden="false" customHeight="false" outlineLevel="0" collapsed="false">
      <c r="A708" s="6" t="n">
        <f aca="false">IFERROR(__xludf.dummyfunction("""COMPUTED_VALUE"""),45223.6666666667)</f>
        <v>45223.6666666667</v>
      </c>
      <c r="B708" s="5" t="n">
        <f aca="false">IFERROR(__xludf.dummyfunction("""COMPUTED_VALUE"""),173.05)</f>
        <v>173.05</v>
      </c>
      <c r="C708" s="5" t="n">
        <f aca="false">IFERROR(__xludf.dummyfunction("""COMPUTED_VALUE"""),173.67)</f>
        <v>173.67</v>
      </c>
      <c r="D708" s="5" t="n">
        <f aca="false">IFERROR(__xludf.dummyfunction("""COMPUTED_VALUE"""),171.45)</f>
        <v>171.45</v>
      </c>
      <c r="E708" s="5" t="n">
        <f aca="false">IFERROR(__xludf.dummyfunction("""COMPUTED_VALUE"""),173.44)</f>
        <v>173.44</v>
      </c>
      <c r="F708" s="5" t="n">
        <f aca="false">IFERROR(__xludf.dummyfunction("""COMPUTED_VALUE"""),43816644)</f>
        <v>43816644</v>
      </c>
    </row>
    <row r="709" customFormat="false" ht="15.75" hidden="false" customHeight="false" outlineLevel="0" collapsed="false">
      <c r="A709" s="6" t="n">
        <f aca="false">IFERROR(__xludf.dummyfunction("""COMPUTED_VALUE"""),45224.6666666667)</f>
        <v>45224.6666666667</v>
      </c>
      <c r="B709" s="5" t="n">
        <f aca="false">IFERROR(__xludf.dummyfunction("""COMPUTED_VALUE"""),171.88)</f>
        <v>171.88</v>
      </c>
      <c r="C709" s="5" t="n">
        <f aca="false">IFERROR(__xludf.dummyfunction("""COMPUTED_VALUE"""),173.06)</f>
        <v>173.06</v>
      </c>
      <c r="D709" s="5" t="n">
        <f aca="false">IFERROR(__xludf.dummyfunction("""COMPUTED_VALUE"""),170.65)</f>
        <v>170.65</v>
      </c>
      <c r="E709" s="5" t="n">
        <f aca="false">IFERROR(__xludf.dummyfunction("""COMPUTED_VALUE"""),171.1)</f>
        <v>171.1</v>
      </c>
      <c r="F709" s="5" t="n">
        <f aca="false">IFERROR(__xludf.dummyfunction("""COMPUTED_VALUE"""),57156962)</f>
        <v>57156962</v>
      </c>
    </row>
    <row r="710" customFormat="false" ht="15.75" hidden="false" customHeight="false" outlineLevel="0" collapsed="false">
      <c r="A710" s="6" t="n">
        <f aca="false">IFERROR(__xludf.dummyfunction("""COMPUTED_VALUE"""),45225.6666666667)</f>
        <v>45225.6666666667</v>
      </c>
      <c r="B710" s="5" t="n">
        <f aca="false">IFERROR(__xludf.dummyfunction("""COMPUTED_VALUE"""),170.37)</f>
        <v>170.37</v>
      </c>
      <c r="C710" s="5" t="n">
        <f aca="false">IFERROR(__xludf.dummyfunction("""COMPUTED_VALUE"""),171.38)</f>
        <v>171.38</v>
      </c>
      <c r="D710" s="5" t="n">
        <f aca="false">IFERROR(__xludf.dummyfunction("""COMPUTED_VALUE"""),165.67)</f>
        <v>165.67</v>
      </c>
      <c r="E710" s="5" t="n">
        <f aca="false">IFERROR(__xludf.dummyfunction("""COMPUTED_VALUE"""),166.89)</f>
        <v>166.89</v>
      </c>
      <c r="F710" s="5" t="n">
        <f aca="false">IFERROR(__xludf.dummyfunction("""COMPUTED_VALUE"""),70625258)</f>
        <v>70625258</v>
      </c>
    </row>
    <row r="711" customFormat="false" ht="15.75" hidden="false" customHeight="false" outlineLevel="0" collapsed="false">
      <c r="A711" s="6" t="n">
        <f aca="false">IFERROR(__xludf.dummyfunction("""COMPUTED_VALUE"""),45226.6666666667)</f>
        <v>45226.6666666667</v>
      </c>
      <c r="B711" s="5" t="n">
        <f aca="false">IFERROR(__xludf.dummyfunction("""COMPUTED_VALUE"""),166.91)</f>
        <v>166.91</v>
      </c>
      <c r="C711" s="5" t="n">
        <f aca="false">IFERROR(__xludf.dummyfunction("""COMPUTED_VALUE"""),168.96)</f>
        <v>168.96</v>
      </c>
      <c r="D711" s="5" t="n">
        <f aca="false">IFERROR(__xludf.dummyfunction("""COMPUTED_VALUE"""),166.83)</f>
        <v>166.83</v>
      </c>
      <c r="E711" s="5" t="n">
        <f aca="false">IFERROR(__xludf.dummyfunction("""COMPUTED_VALUE"""),168.22)</f>
        <v>168.22</v>
      </c>
      <c r="F711" s="5" t="n">
        <f aca="false">IFERROR(__xludf.dummyfunction("""COMPUTED_VALUE"""),58499129)</f>
        <v>58499129</v>
      </c>
    </row>
    <row r="712" customFormat="false" ht="15.75" hidden="false" customHeight="false" outlineLevel="0" collapsed="false">
      <c r="A712" s="6" t="n">
        <f aca="false">IFERROR(__xludf.dummyfunction("""COMPUTED_VALUE"""),45229.6666666667)</f>
        <v>45229.6666666667</v>
      </c>
      <c r="B712" s="5" t="n">
        <f aca="false">IFERROR(__xludf.dummyfunction("""COMPUTED_VALUE"""),169.02)</f>
        <v>169.02</v>
      </c>
      <c r="C712" s="5" t="n">
        <f aca="false">IFERROR(__xludf.dummyfunction("""COMPUTED_VALUE"""),171.17)</f>
        <v>171.17</v>
      </c>
      <c r="D712" s="5" t="n">
        <f aca="false">IFERROR(__xludf.dummyfunction("""COMPUTED_VALUE"""),168.87)</f>
        <v>168.87</v>
      </c>
      <c r="E712" s="5" t="n">
        <f aca="false">IFERROR(__xludf.dummyfunction("""COMPUTED_VALUE"""),170.29)</f>
        <v>170.29</v>
      </c>
      <c r="F712" s="5" t="n">
        <f aca="false">IFERROR(__xludf.dummyfunction("""COMPUTED_VALUE"""),51130955)</f>
        <v>51130955</v>
      </c>
    </row>
    <row r="713" customFormat="false" ht="15.75" hidden="false" customHeight="false" outlineLevel="0" collapsed="false">
      <c r="A713" s="6" t="n">
        <f aca="false">IFERROR(__xludf.dummyfunction("""COMPUTED_VALUE"""),45230.6666666667)</f>
        <v>45230.6666666667</v>
      </c>
      <c r="B713" s="5" t="n">
        <f aca="false">IFERROR(__xludf.dummyfunction("""COMPUTED_VALUE"""),169.35)</f>
        <v>169.35</v>
      </c>
      <c r="C713" s="5" t="n">
        <f aca="false">IFERROR(__xludf.dummyfunction("""COMPUTED_VALUE"""),170.9)</f>
        <v>170.9</v>
      </c>
      <c r="D713" s="5" t="n">
        <f aca="false">IFERROR(__xludf.dummyfunction("""COMPUTED_VALUE"""),167.9)</f>
        <v>167.9</v>
      </c>
      <c r="E713" s="5" t="n">
        <f aca="false">IFERROR(__xludf.dummyfunction("""COMPUTED_VALUE"""),170.77)</f>
        <v>170.77</v>
      </c>
      <c r="F713" s="5" t="n">
        <f aca="false">IFERROR(__xludf.dummyfunction("""COMPUTED_VALUE"""),44846017)</f>
        <v>44846017</v>
      </c>
    </row>
    <row r="714" customFormat="false" ht="15.75" hidden="false" customHeight="false" outlineLevel="0" collapsed="false">
      <c r="A714" s="6" t="n">
        <f aca="false">IFERROR(__xludf.dummyfunction("""COMPUTED_VALUE"""),45231.6666666667)</f>
        <v>45231.6666666667</v>
      </c>
      <c r="B714" s="5" t="n">
        <f aca="false">IFERROR(__xludf.dummyfunction("""COMPUTED_VALUE"""),171)</f>
        <v>171</v>
      </c>
      <c r="C714" s="5" t="n">
        <f aca="false">IFERROR(__xludf.dummyfunction("""COMPUTED_VALUE"""),174.23)</f>
        <v>174.23</v>
      </c>
      <c r="D714" s="5" t="n">
        <f aca="false">IFERROR(__xludf.dummyfunction("""COMPUTED_VALUE"""),170.12)</f>
        <v>170.12</v>
      </c>
      <c r="E714" s="5" t="n">
        <f aca="false">IFERROR(__xludf.dummyfunction("""COMPUTED_VALUE"""),173.97)</f>
        <v>173.97</v>
      </c>
      <c r="F714" s="5" t="n">
        <f aca="false">IFERROR(__xludf.dummyfunction("""COMPUTED_VALUE"""),56934906)</f>
        <v>56934906</v>
      </c>
    </row>
    <row r="715" customFormat="false" ht="15.75" hidden="false" customHeight="false" outlineLevel="0" collapsed="false">
      <c r="A715" s="6" t="n">
        <f aca="false">IFERROR(__xludf.dummyfunction("""COMPUTED_VALUE"""),45232.6666666667)</f>
        <v>45232.6666666667</v>
      </c>
      <c r="B715" s="5" t="n">
        <f aca="false">IFERROR(__xludf.dummyfunction("""COMPUTED_VALUE"""),175.52)</f>
        <v>175.52</v>
      </c>
      <c r="C715" s="5" t="n">
        <f aca="false">IFERROR(__xludf.dummyfunction("""COMPUTED_VALUE"""),177.78)</f>
        <v>177.78</v>
      </c>
      <c r="D715" s="5" t="n">
        <f aca="false">IFERROR(__xludf.dummyfunction("""COMPUTED_VALUE"""),175.46)</f>
        <v>175.46</v>
      </c>
      <c r="E715" s="5" t="n">
        <f aca="false">IFERROR(__xludf.dummyfunction("""COMPUTED_VALUE"""),177.57)</f>
        <v>177.57</v>
      </c>
      <c r="F715" s="5" t="n">
        <f aca="false">IFERROR(__xludf.dummyfunction("""COMPUTED_VALUE"""),77334752)</f>
        <v>77334752</v>
      </c>
    </row>
    <row r="716" customFormat="false" ht="15.75" hidden="false" customHeight="false" outlineLevel="0" collapsed="false">
      <c r="A716" s="6" t="n">
        <f aca="false">IFERROR(__xludf.dummyfunction("""COMPUTED_VALUE"""),45233.6666666667)</f>
        <v>45233.6666666667</v>
      </c>
      <c r="B716" s="5" t="n">
        <f aca="false">IFERROR(__xludf.dummyfunction("""COMPUTED_VALUE"""),174.24)</f>
        <v>174.24</v>
      </c>
      <c r="C716" s="5" t="n">
        <f aca="false">IFERROR(__xludf.dummyfunction("""COMPUTED_VALUE"""),176.82)</f>
        <v>176.82</v>
      </c>
      <c r="D716" s="5" t="n">
        <f aca="false">IFERROR(__xludf.dummyfunction("""COMPUTED_VALUE"""),173.35)</f>
        <v>173.35</v>
      </c>
      <c r="E716" s="5" t="n">
        <f aca="false">IFERROR(__xludf.dummyfunction("""COMPUTED_VALUE"""),176.65)</f>
        <v>176.65</v>
      </c>
      <c r="F716" s="5" t="n">
        <f aca="false">IFERROR(__xludf.dummyfunction("""COMPUTED_VALUE"""),79829246)</f>
        <v>79829246</v>
      </c>
    </row>
    <row r="717" customFormat="false" ht="15.75" hidden="false" customHeight="false" outlineLevel="0" collapsed="false">
      <c r="A717" s="6" t="n">
        <f aca="false">IFERROR(__xludf.dummyfunction("""COMPUTED_VALUE"""),45236.6666666667)</f>
        <v>45236.6666666667</v>
      </c>
      <c r="B717" s="5" t="n">
        <f aca="false">IFERROR(__xludf.dummyfunction("""COMPUTED_VALUE"""),176.38)</f>
        <v>176.38</v>
      </c>
      <c r="C717" s="5" t="n">
        <f aca="false">IFERROR(__xludf.dummyfunction("""COMPUTED_VALUE"""),179.43)</f>
        <v>179.43</v>
      </c>
      <c r="D717" s="5" t="n">
        <f aca="false">IFERROR(__xludf.dummyfunction("""COMPUTED_VALUE"""),176.21)</f>
        <v>176.21</v>
      </c>
      <c r="E717" s="5" t="n">
        <f aca="false">IFERROR(__xludf.dummyfunction("""COMPUTED_VALUE"""),179.23)</f>
        <v>179.23</v>
      </c>
      <c r="F717" s="5" t="n">
        <f aca="false">IFERROR(__xludf.dummyfunction("""COMPUTED_VALUE"""),63841310)</f>
        <v>63841310</v>
      </c>
    </row>
    <row r="718" customFormat="false" ht="15.75" hidden="false" customHeight="false" outlineLevel="0" collapsed="false">
      <c r="A718" s="6" t="n">
        <f aca="false">IFERROR(__xludf.dummyfunction("""COMPUTED_VALUE"""),45237.6666666667)</f>
        <v>45237.6666666667</v>
      </c>
      <c r="B718" s="5" t="n">
        <f aca="false">IFERROR(__xludf.dummyfunction("""COMPUTED_VALUE"""),179.18)</f>
        <v>179.18</v>
      </c>
      <c r="C718" s="5" t="n">
        <f aca="false">IFERROR(__xludf.dummyfunction("""COMPUTED_VALUE"""),182.44)</f>
        <v>182.44</v>
      </c>
      <c r="D718" s="5" t="n">
        <f aca="false">IFERROR(__xludf.dummyfunction("""COMPUTED_VALUE"""),178.97)</f>
        <v>178.97</v>
      </c>
      <c r="E718" s="5" t="n">
        <f aca="false">IFERROR(__xludf.dummyfunction("""COMPUTED_VALUE"""),181.82)</f>
        <v>181.82</v>
      </c>
      <c r="F718" s="5" t="n">
        <f aca="false">IFERROR(__xludf.dummyfunction("""COMPUTED_VALUE"""),70529966)</f>
        <v>70529966</v>
      </c>
    </row>
    <row r="719" customFormat="false" ht="15.75" hidden="false" customHeight="false" outlineLevel="0" collapsed="false">
      <c r="A719" s="6" t="n">
        <f aca="false">IFERROR(__xludf.dummyfunction("""COMPUTED_VALUE"""),45238.6666666667)</f>
        <v>45238.6666666667</v>
      </c>
      <c r="B719" s="5" t="n">
        <f aca="false">IFERROR(__xludf.dummyfunction("""COMPUTED_VALUE"""),182.35)</f>
        <v>182.35</v>
      </c>
      <c r="C719" s="5" t="n">
        <f aca="false">IFERROR(__xludf.dummyfunction("""COMPUTED_VALUE"""),183.45)</f>
        <v>183.45</v>
      </c>
      <c r="D719" s="5" t="n">
        <f aca="false">IFERROR(__xludf.dummyfunction("""COMPUTED_VALUE"""),181.59)</f>
        <v>181.59</v>
      </c>
      <c r="E719" s="5" t="n">
        <f aca="false">IFERROR(__xludf.dummyfunction("""COMPUTED_VALUE"""),182.89)</f>
        <v>182.89</v>
      </c>
      <c r="F719" s="5" t="n">
        <f aca="false">IFERROR(__xludf.dummyfunction("""COMPUTED_VALUE"""),49340282)</f>
        <v>49340282</v>
      </c>
    </row>
    <row r="720" customFormat="false" ht="15.75" hidden="false" customHeight="false" outlineLevel="0" collapsed="false">
      <c r="A720" s="6" t="n">
        <f aca="false">IFERROR(__xludf.dummyfunction("""COMPUTED_VALUE"""),45239.6666666667)</f>
        <v>45239.6666666667</v>
      </c>
      <c r="B720" s="5" t="n">
        <f aca="false">IFERROR(__xludf.dummyfunction("""COMPUTED_VALUE"""),182.96)</f>
        <v>182.96</v>
      </c>
      <c r="C720" s="5" t="n">
        <f aca="false">IFERROR(__xludf.dummyfunction("""COMPUTED_VALUE"""),184.12)</f>
        <v>184.12</v>
      </c>
      <c r="D720" s="5" t="n">
        <f aca="false">IFERROR(__xludf.dummyfunction("""COMPUTED_VALUE"""),181.81)</f>
        <v>181.81</v>
      </c>
      <c r="E720" s="5" t="n">
        <f aca="false">IFERROR(__xludf.dummyfunction("""COMPUTED_VALUE"""),182.41)</f>
        <v>182.41</v>
      </c>
      <c r="F720" s="5" t="n">
        <f aca="false">IFERROR(__xludf.dummyfunction("""COMPUTED_VALUE"""),53763540)</f>
        <v>53763540</v>
      </c>
    </row>
    <row r="721" customFormat="false" ht="15.75" hidden="false" customHeight="false" outlineLevel="0" collapsed="false">
      <c r="A721" s="6" t="n">
        <f aca="false">IFERROR(__xludf.dummyfunction("""COMPUTED_VALUE"""),45240.6666666667)</f>
        <v>45240.6666666667</v>
      </c>
      <c r="B721" s="5" t="n">
        <f aca="false">IFERROR(__xludf.dummyfunction("""COMPUTED_VALUE"""),183.97)</f>
        <v>183.97</v>
      </c>
      <c r="C721" s="5" t="n">
        <f aca="false">IFERROR(__xludf.dummyfunction("""COMPUTED_VALUE"""),186.57)</f>
        <v>186.57</v>
      </c>
      <c r="D721" s="5" t="n">
        <f aca="false">IFERROR(__xludf.dummyfunction("""COMPUTED_VALUE"""),183.53)</f>
        <v>183.53</v>
      </c>
      <c r="E721" s="5" t="n">
        <f aca="false">IFERROR(__xludf.dummyfunction("""COMPUTED_VALUE"""),186.4)</f>
        <v>186.4</v>
      </c>
      <c r="F721" s="5" t="n">
        <f aca="false">IFERROR(__xludf.dummyfunction("""COMPUTED_VALUE"""),66177922)</f>
        <v>66177922</v>
      </c>
    </row>
    <row r="722" customFormat="false" ht="15.75" hidden="false" customHeight="false" outlineLevel="0" collapsed="false">
      <c r="A722" s="6" t="n">
        <f aca="false">IFERROR(__xludf.dummyfunction("""COMPUTED_VALUE"""),45243.6666666667)</f>
        <v>45243.6666666667</v>
      </c>
      <c r="B722" s="5" t="n">
        <f aca="false">IFERROR(__xludf.dummyfunction("""COMPUTED_VALUE"""),185.82)</f>
        <v>185.82</v>
      </c>
      <c r="C722" s="5" t="n">
        <f aca="false">IFERROR(__xludf.dummyfunction("""COMPUTED_VALUE"""),186.03)</f>
        <v>186.03</v>
      </c>
      <c r="D722" s="5" t="n">
        <f aca="false">IFERROR(__xludf.dummyfunction("""COMPUTED_VALUE"""),184.21)</f>
        <v>184.21</v>
      </c>
      <c r="E722" s="5" t="n">
        <f aca="false">IFERROR(__xludf.dummyfunction("""COMPUTED_VALUE"""),184.8)</f>
        <v>184.8</v>
      </c>
      <c r="F722" s="5" t="n">
        <f aca="false">IFERROR(__xludf.dummyfunction("""COMPUTED_VALUE"""),43627519)</f>
        <v>43627519</v>
      </c>
    </row>
    <row r="723" customFormat="false" ht="15.75" hidden="false" customHeight="false" outlineLevel="0" collapsed="false">
      <c r="A723" s="6" t="n">
        <f aca="false">IFERROR(__xludf.dummyfunction("""COMPUTED_VALUE"""),45244.6666666667)</f>
        <v>45244.6666666667</v>
      </c>
      <c r="B723" s="5" t="n">
        <f aca="false">IFERROR(__xludf.dummyfunction("""COMPUTED_VALUE"""),187.7)</f>
        <v>187.7</v>
      </c>
      <c r="C723" s="5" t="n">
        <f aca="false">IFERROR(__xludf.dummyfunction("""COMPUTED_VALUE"""),188.11)</f>
        <v>188.11</v>
      </c>
      <c r="D723" s="5" t="n">
        <f aca="false">IFERROR(__xludf.dummyfunction("""COMPUTED_VALUE"""),186.3)</f>
        <v>186.3</v>
      </c>
      <c r="E723" s="5" t="n">
        <f aca="false">IFERROR(__xludf.dummyfunction("""COMPUTED_VALUE"""),187.44)</f>
        <v>187.44</v>
      </c>
      <c r="F723" s="5" t="n">
        <f aca="false">IFERROR(__xludf.dummyfunction("""COMPUTED_VALUE"""),60108378)</f>
        <v>60108378</v>
      </c>
    </row>
    <row r="724" customFormat="false" ht="15.75" hidden="false" customHeight="false" outlineLevel="0" collapsed="false">
      <c r="A724" s="6" t="n">
        <f aca="false">IFERROR(__xludf.dummyfunction("""COMPUTED_VALUE"""),45245.6666666667)</f>
        <v>45245.6666666667</v>
      </c>
      <c r="B724" s="5" t="n">
        <f aca="false">IFERROR(__xludf.dummyfunction("""COMPUTED_VALUE"""),187.85)</f>
        <v>187.85</v>
      </c>
      <c r="C724" s="5" t="n">
        <f aca="false">IFERROR(__xludf.dummyfunction("""COMPUTED_VALUE"""),189.5)</f>
        <v>189.5</v>
      </c>
      <c r="D724" s="5" t="n">
        <f aca="false">IFERROR(__xludf.dummyfunction("""COMPUTED_VALUE"""),187.78)</f>
        <v>187.78</v>
      </c>
      <c r="E724" s="5" t="n">
        <f aca="false">IFERROR(__xludf.dummyfunction("""COMPUTED_VALUE"""),188.01)</f>
        <v>188.01</v>
      </c>
      <c r="F724" s="5" t="n">
        <f aca="false">IFERROR(__xludf.dummyfunction("""COMPUTED_VALUE"""),53790499)</f>
        <v>53790499</v>
      </c>
    </row>
    <row r="725" customFormat="false" ht="15.75" hidden="false" customHeight="false" outlineLevel="0" collapsed="false">
      <c r="A725" s="6" t="n">
        <f aca="false">IFERROR(__xludf.dummyfunction("""COMPUTED_VALUE"""),45246.6666666667)</f>
        <v>45246.6666666667</v>
      </c>
      <c r="B725" s="5" t="n">
        <f aca="false">IFERROR(__xludf.dummyfunction("""COMPUTED_VALUE"""),189.57)</f>
        <v>189.57</v>
      </c>
      <c r="C725" s="5" t="n">
        <f aca="false">IFERROR(__xludf.dummyfunction("""COMPUTED_VALUE"""),190.96)</f>
        <v>190.96</v>
      </c>
      <c r="D725" s="5" t="n">
        <f aca="false">IFERROR(__xludf.dummyfunction("""COMPUTED_VALUE"""),188.65)</f>
        <v>188.65</v>
      </c>
      <c r="E725" s="5" t="n">
        <f aca="false">IFERROR(__xludf.dummyfunction("""COMPUTED_VALUE"""),189.71)</f>
        <v>189.71</v>
      </c>
      <c r="F725" s="5" t="n">
        <f aca="false">IFERROR(__xludf.dummyfunction("""COMPUTED_VALUE"""),54412915)</f>
        <v>54412915</v>
      </c>
    </row>
    <row r="726" customFormat="false" ht="15.75" hidden="false" customHeight="false" outlineLevel="0" collapsed="false">
      <c r="A726" s="6" t="n">
        <f aca="false">IFERROR(__xludf.dummyfunction("""COMPUTED_VALUE"""),45247.6666666667)</f>
        <v>45247.6666666667</v>
      </c>
      <c r="B726" s="5" t="n">
        <f aca="false">IFERROR(__xludf.dummyfunction("""COMPUTED_VALUE"""),190.25)</f>
        <v>190.25</v>
      </c>
      <c r="C726" s="5" t="n">
        <f aca="false">IFERROR(__xludf.dummyfunction("""COMPUTED_VALUE"""),190.38)</f>
        <v>190.38</v>
      </c>
      <c r="D726" s="5" t="n">
        <f aca="false">IFERROR(__xludf.dummyfunction("""COMPUTED_VALUE"""),188.57)</f>
        <v>188.57</v>
      </c>
      <c r="E726" s="5" t="n">
        <f aca="false">IFERROR(__xludf.dummyfunction("""COMPUTED_VALUE"""),189.69)</f>
        <v>189.69</v>
      </c>
      <c r="F726" s="5" t="n">
        <f aca="false">IFERROR(__xludf.dummyfunction("""COMPUTED_VALUE"""),50941404)</f>
        <v>50941404</v>
      </c>
    </row>
    <row r="727" customFormat="false" ht="15.75" hidden="false" customHeight="false" outlineLevel="0" collapsed="false">
      <c r="A727" s="6" t="n">
        <f aca="false">IFERROR(__xludf.dummyfunction("""COMPUTED_VALUE"""),45250.6666666667)</f>
        <v>45250.6666666667</v>
      </c>
      <c r="B727" s="5" t="n">
        <f aca="false">IFERROR(__xludf.dummyfunction("""COMPUTED_VALUE"""),189.89)</f>
        <v>189.89</v>
      </c>
      <c r="C727" s="5" t="n">
        <f aca="false">IFERROR(__xludf.dummyfunction("""COMPUTED_VALUE"""),191.91)</f>
        <v>191.91</v>
      </c>
      <c r="D727" s="5" t="n">
        <f aca="false">IFERROR(__xludf.dummyfunction("""COMPUTED_VALUE"""),189.88)</f>
        <v>189.88</v>
      </c>
      <c r="E727" s="5" t="n">
        <f aca="false">IFERROR(__xludf.dummyfunction("""COMPUTED_VALUE"""),191.45)</f>
        <v>191.45</v>
      </c>
      <c r="F727" s="5" t="n">
        <f aca="false">IFERROR(__xludf.dummyfunction("""COMPUTED_VALUE"""),46538614)</f>
        <v>46538614</v>
      </c>
    </row>
    <row r="728" customFormat="false" ht="15.75" hidden="false" customHeight="false" outlineLevel="0" collapsed="false">
      <c r="A728" s="6" t="n">
        <f aca="false">IFERROR(__xludf.dummyfunction("""COMPUTED_VALUE"""),45251.6666666667)</f>
        <v>45251.6666666667</v>
      </c>
      <c r="B728" s="5" t="n">
        <f aca="false">IFERROR(__xludf.dummyfunction("""COMPUTED_VALUE"""),191.41)</f>
        <v>191.41</v>
      </c>
      <c r="C728" s="5" t="n">
        <f aca="false">IFERROR(__xludf.dummyfunction("""COMPUTED_VALUE"""),191.52)</f>
        <v>191.52</v>
      </c>
      <c r="D728" s="5" t="n">
        <f aca="false">IFERROR(__xludf.dummyfunction("""COMPUTED_VALUE"""),189.74)</f>
        <v>189.74</v>
      </c>
      <c r="E728" s="5" t="n">
        <f aca="false">IFERROR(__xludf.dummyfunction("""COMPUTED_VALUE"""),190.64)</f>
        <v>190.64</v>
      </c>
      <c r="F728" s="5" t="n">
        <f aca="false">IFERROR(__xludf.dummyfunction("""COMPUTED_VALUE"""),38134485)</f>
        <v>38134485</v>
      </c>
    </row>
    <row r="729" customFormat="false" ht="15.75" hidden="false" customHeight="false" outlineLevel="0" collapsed="false">
      <c r="A729" s="6" t="n">
        <f aca="false">IFERROR(__xludf.dummyfunction("""COMPUTED_VALUE"""),45252.6666666667)</f>
        <v>45252.6666666667</v>
      </c>
      <c r="B729" s="5" t="n">
        <f aca="false">IFERROR(__xludf.dummyfunction("""COMPUTED_VALUE"""),191.49)</f>
        <v>191.49</v>
      </c>
      <c r="C729" s="5" t="n">
        <f aca="false">IFERROR(__xludf.dummyfunction("""COMPUTED_VALUE"""),192.93)</f>
        <v>192.93</v>
      </c>
      <c r="D729" s="5" t="n">
        <f aca="false">IFERROR(__xludf.dummyfunction("""COMPUTED_VALUE"""),190.83)</f>
        <v>190.83</v>
      </c>
      <c r="E729" s="5" t="n">
        <f aca="false">IFERROR(__xludf.dummyfunction("""COMPUTED_VALUE"""),191.31)</f>
        <v>191.31</v>
      </c>
      <c r="F729" s="5" t="n">
        <f aca="false">IFERROR(__xludf.dummyfunction("""COMPUTED_VALUE"""),39630011)</f>
        <v>39630011</v>
      </c>
    </row>
    <row r="730" customFormat="false" ht="15.75" hidden="false" customHeight="false" outlineLevel="0" collapsed="false">
      <c r="A730" s="6" t="n">
        <f aca="false">IFERROR(__xludf.dummyfunction("""COMPUTED_VALUE"""),45254.5451388889)</f>
        <v>45254.5451388889</v>
      </c>
      <c r="B730" s="5" t="n">
        <f aca="false">IFERROR(__xludf.dummyfunction("""COMPUTED_VALUE"""),190.87)</f>
        <v>190.87</v>
      </c>
      <c r="C730" s="5" t="n">
        <f aca="false">IFERROR(__xludf.dummyfunction("""COMPUTED_VALUE"""),190.9)</f>
        <v>190.9</v>
      </c>
      <c r="D730" s="5" t="n">
        <f aca="false">IFERROR(__xludf.dummyfunction("""COMPUTED_VALUE"""),189.25)</f>
        <v>189.25</v>
      </c>
      <c r="E730" s="5" t="n">
        <f aca="false">IFERROR(__xludf.dummyfunction("""COMPUTED_VALUE"""),189.97)</f>
        <v>189.97</v>
      </c>
      <c r="F730" s="5" t="n">
        <f aca="false">IFERROR(__xludf.dummyfunction("""COMPUTED_VALUE"""),24048344)</f>
        <v>24048344</v>
      </c>
    </row>
    <row r="731" customFormat="false" ht="15.75" hidden="false" customHeight="false" outlineLevel="0" collapsed="false">
      <c r="A731" s="6" t="n">
        <f aca="false">IFERROR(__xludf.dummyfunction("""COMPUTED_VALUE"""),45257.6666666667)</f>
        <v>45257.6666666667</v>
      </c>
      <c r="B731" s="5" t="n">
        <f aca="false">IFERROR(__xludf.dummyfunction("""COMPUTED_VALUE"""),189.92)</f>
        <v>189.92</v>
      </c>
      <c r="C731" s="5" t="n">
        <f aca="false">IFERROR(__xludf.dummyfunction("""COMPUTED_VALUE"""),190.67)</f>
        <v>190.67</v>
      </c>
      <c r="D731" s="5" t="n">
        <f aca="false">IFERROR(__xludf.dummyfunction("""COMPUTED_VALUE"""),188.9)</f>
        <v>188.9</v>
      </c>
      <c r="E731" s="5" t="n">
        <f aca="false">IFERROR(__xludf.dummyfunction("""COMPUTED_VALUE"""),189.79)</f>
        <v>189.79</v>
      </c>
      <c r="F731" s="5" t="n">
        <f aca="false">IFERROR(__xludf.dummyfunction("""COMPUTED_VALUE"""),40552609)</f>
        <v>40552609</v>
      </c>
    </row>
    <row r="732" customFormat="false" ht="15.75" hidden="false" customHeight="false" outlineLevel="0" collapsed="false">
      <c r="A732" s="6" t="n">
        <f aca="false">IFERROR(__xludf.dummyfunction("""COMPUTED_VALUE"""),45258.6666666667)</f>
        <v>45258.6666666667</v>
      </c>
      <c r="B732" s="5" t="n">
        <f aca="false">IFERROR(__xludf.dummyfunction("""COMPUTED_VALUE"""),189.78)</f>
        <v>189.78</v>
      </c>
      <c r="C732" s="5" t="n">
        <f aca="false">IFERROR(__xludf.dummyfunction("""COMPUTED_VALUE"""),191.08)</f>
        <v>191.08</v>
      </c>
      <c r="D732" s="5" t="n">
        <f aca="false">IFERROR(__xludf.dummyfunction("""COMPUTED_VALUE"""),189.4)</f>
        <v>189.4</v>
      </c>
      <c r="E732" s="5" t="n">
        <f aca="false">IFERROR(__xludf.dummyfunction("""COMPUTED_VALUE"""),190.4)</f>
        <v>190.4</v>
      </c>
      <c r="F732" s="5" t="n">
        <f aca="false">IFERROR(__xludf.dummyfunction("""COMPUTED_VALUE"""),38415419)</f>
        <v>38415419</v>
      </c>
    </row>
    <row r="733" customFormat="false" ht="15.75" hidden="false" customHeight="false" outlineLevel="0" collapsed="false">
      <c r="A733" s="6" t="n">
        <f aca="false">IFERROR(__xludf.dummyfunction("""COMPUTED_VALUE"""),45259.6666666667)</f>
        <v>45259.6666666667</v>
      </c>
      <c r="B733" s="5" t="n">
        <f aca="false">IFERROR(__xludf.dummyfunction("""COMPUTED_VALUE"""),190.9)</f>
        <v>190.9</v>
      </c>
      <c r="C733" s="5" t="n">
        <f aca="false">IFERROR(__xludf.dummyfunction("""COMPUTED_VALUE"""),192.09)</f>
        <v>192.09</v>
      </c>
      <c r="D733" s="5" t="n">
        <f aca="false">IFERROR(__xludf.dummyfunction("""COMPUTED_VALUE"""),188.97)</f>
        <v>188.97</v>
      </c>
      <c r="E733" s="5" t="n">
        <f aca="false">IFERROR(__xludf.dummyfunction("""COMPUTED_VALUE"""),189.37)</f>
        <v>189.37</v>
      </c>
      <c r="F733" s="5" t="n">
        <f aca="false">IFERROR(__xludf.dummyfunction("""COMPUTED_VALUE"""),43014224)</f>
        <v>43014224</v>
      </c>
    </row>
    <row r="734" customFormat="false" ht="15.75" hidden="false" customHeight="false" outlineLevel="0" collapsed="false">
      <c r="A734" s="6" t="n">
        <f aca="false">IFERROR(__xludf.dummyfunction("""COMPUTED_VALUE"""),45260.6666666667)</f>
        <v>45260.6666666667</v>
      </c>
      <c r="B734" s="5" t="n">
        <f aca="false">IFERROR(__xludf.dummyfunction("""COMPUTED_VALUE"""),189.84)</f>
        <v>189.84</v>
      </c>
      <c r="C734" s="5" t="n">
        <f aca="false">IFERROR(__xludf.dummyfunction("""COMPUTED_VALUE"""),190.32)</f>
        <v>190.32</v>
      </c>
      <c r="D734" s="5" t="n">
        <f aca="false">IFERROR(__xludf.dummyfunction("""COMPUTED_VALUE"""),188.19)</f>
        <v>188.19</v>
      </c>
      <c r="E734" s="5" t="n">
        <f aca="false">IFERROR(__xludf.dummyfunction("""COMPUTED_VALUE"""),189.95)</f>
        <v>189.95</v>
      </c>
      <c r="F734" s="5" t="n">
        <f aca="false">IFERROR(__xludf.dummyfunction("""COMPUTED_VALUE"""),48794366)</f>
        <v>48794366</v>
      </c>
    </row>
    <row r="735" customFormat="false" ht="15.75" hidden="false" customHeight="false" outlineLevel="0" collapsed="false">
      <c r="A735" s="6" t="n">
        <f aca="false">IFERROR(__xludf.dummyfunction("""COMPUTED_VALUE"""),45261.6666666667)</f>
        <v>45261.6666666667</v>
      </c>
      <c r="B735" s="5" t="n">
        <f aca="false">IFERROR(__xludf.dummyfunction("""COMPUTED_VALUE"""),190.33)</f>
        <v>190.33</v>
      </c>
      <c r="C735" s="5" t="n">
        <f aca="false">IFERROR(__xludf.dummyfunction("""COMPUTED_VALUE"""),191.56)</f>
        <v>191.56</v>
      </c>
      <c r="D735" s="5" t="n">
        <f aca="false">IFERROR(__xludf.dummyfunction("""COMPUTED_VALUE"""),189.23)</f>
        <v>189.23</v>
      </c>
      <c r="E735" s="5" t="n">
        <f aca="false">IFERROR(__xludf.dummyfunction("""COMPUTED_VALUE"""),191.24)</f>
        <v>191.24</v>
      </c>
      <c r="F735" s="5" t="n">
        <f aca="false">IFERROR(__xludf.dummyfunction("""COMPUTED_VALUE"""),45704823)</f>
        <v>45704823</v>
      </c>
    </row>
    <row r="736" customFormat="false" ht="15.75" hidden="false" customHeight="false" outlineLevel="0" collapsed="false">
      <c r="A736" s="6" t="n">
        <f aca="false">IFERROR(__xludf.dummyfunction("""COMPUTED_VALUE"""),45264.6666666667)</f>
        <v>45264.6666666667</v>
      </c>
      <c r="B736" s="5" t="n">
        <f aca="false">IFERROR(__xludf.dummyfunction("""COMPUTED_VALUE"""),189.98)</f>
        <v>189.98</v>
      </c>
      <c r="C736" s="5" t="n">
        <f aca="false">IFERROR(__xludf.dummyfunction("""COMPUTED_VALUE"""),190.05)</f>
        <v>190.05</v>
      </c>
      <c r="D736" s="5" t="n">
        <f aca="false">IFERROR(__xludf.dummyfunction("""COMPUTED_VALUE"""),187.45)</f>
        <v>187.45</v>
      </c>
      <c r="E736" s="5" t="n">
        <f aca="false">IFERROR(__xludf.dummyfunction("""COMPUTED_VALUE"""),189.43)</f>
        <v>189.43</v>
      </c>
      <c r="F736" s="5" t="n">
        <f aca="false">IFERROR(__xludf.dummyfunction("""COMPUTED_VALUE"""),43389519)</f>
        <v>43389519</v>
      </c>
    </row>
    <row r="737" customFormat="false" ht="15.75" hidden="false" customHeight="false" outlineLevel="0" collapsed="false">
      <c r="A737" s="6" t="n">
        <f aca="false">IFERROR(__xludf.dummyfunction("""COMPUTED_VALUE"""),45265.6666666667)</f>
        <v>45265.6666666667</v>
      </c>
      <c r="B737" s="5" t="n">
        <f aca="false">IFERROR(__xludf.dummyfunction("""COMPUTED_VALUE"""),190.21)</f>
        <v>190.21</v>
      </c>
      <c r="C737" s="5" t="n">
        <f aca="false">IFERROR(__xludf.dummyfunction("""COMPUTED_VALUE"""),194.4)</f>
        <v>194.4</v>
      </c>
      <c r="D737" s="5" t="n">
        <f aca="false">IFERROR(__xludf.dummyfunction("""COMPUTED_VALUE"""),190.18)</f>
        <v>190.18</v>
      </c>
      <c r="E737" s="5" t="n">
        <f aca="false">IFERROR(__xludf.dummyfunction("""COMPUTED_VALUE"""),193.42)</f>
        <v>193.42</v>
      </c>
      <c r="F737" s="5" t="n">
        <f aca="false">IFERROR(__xludf.dummyfunction("""COMPUTED_VALUE"""),66628398)</f>
        <v>66628398</v>
      </c>
    </row>
    <row r="738" customFormat="false" ht="15.75" hidden="false" customHeight="false" outlineLevel="0" collapsed="false">
      <c r="A738" s="6" t="n">
        <f aca="false">IFERROR(__xludf.dummyfunction("""COMPUTED_VALUE"""),45266.6666666667)</f>
        <v>45266.6666666667</v>
      </c>
      <c r="B738" s="5" t="n">
        <f aca="false">IFERROR(__xludf.dummyfunction("""COMPUTED_VALUE"""),194.45)</f>
        <v>194.45</v>
      </c>
      <c r="C738" s="5" t="n">
        <f aca="false">IFERROR(__xludf.dummyfunction("""COMPUTED_VALUE"""),194.76)</f>
        <v>194.76</v>
      </c>
      <c r="D738" s="5" t="n">
        <f aca="false">IFERROR(__xludf.dummyfunction("""COMPUTED_VALUE"""),192.11)</f>
        <v>192.11</v>
      </c>
      <c r="E738" s="5" t="n">
        <f aca="false">IFERROR(__xludf.dummyfunction("""COMPUTED_VALUE"""),192.32)</f>
        <v>192.32</v>
      </c>
      <c r="F738" s="5" t="n">
        <f aca="false">IFERROR(__xludf.dummyfunction("""COMPUTED_VALUE"""),41089737)</f>
        <v>41089737</v>
      </c>
    </row>
    <row r="739" customFormat="false" ht="15.75" hidden="false" customHeight="false" outlineLevel="0" collapsed="false">
      <c r="A739" s="6" t="n">
        <f aca="false">IFERROR(__xludf.dummyfunction("""COMPUTED_VALUE"""),45267.6666666667)</f>
        <v>45267.6666666667</v>
      </c>
      <c r="B739" s="5" t="n">
        <f aca="false">IFERROR(__xludf.dummyfunction("""COMPUTED_VALUE"""),193.63)</f>
        <v>193.63</v>
      </c>
      <c r="C739" s="5" t="n">
        <f aca="false">IFERROR(__xludf.dummyfunction("""COMPUTED_VALUE"""),195)</f>
        <v>195</v>
      </c>
      <c r="D739" s="5" t="n">
        <f aca="false">IFERROR(__xludf.dummyfunction("""COMPUTED_VALUE"""),193.59)</f>
        <v>193.59</v>
      </c>
      <c r="E739" s="5" t="n">
        <f aca="false">IFERROR(__xludf.dummyfunction("""COMPUTED_VALUE"""),194.27)</f>
        <v>194.27</v>
      </c>
      <c r="F739" s="5" t="n">
        <f aca="false">IFERROR(__xludf.dummyfunction("""COMPUTED_VALUE"""),47477655)</f>
        <v>47477655</v>
      </c>
    </row>
    <row r="740" customFormat="false" ht="15.75" hidden="false" customHeight="false" outlineLevel="0" collapsed="false">
      <c r="A740" s="6" t="n">
        <f aca="false">IFERROR(__xludf.dummyfunction("""COMPUTED_VALUE"""),45268.6666666667)</f>
        <v>45268.6666666667</v>
      </c>
      <c r="B740" s="5" t="n">
        <f aca="false">IFERROR(__xludf.dummyfunction("""COMPUTED_VALUE"""),194.2)</f>
        <v>194.2</v>
      </c>
      <c r="C740" s="5" t="n">
        <f aca="false">IFERROR(__xludf.dummyfunction("""COMPUTED_VALUE"""),195.99)</f>
        <v>195.99</v>
      </c>
      <c r="D740" s="5" t="n">
        <f aca="false">IFERROR(__xludf.dummyfunction("""COMPUTED_VALUE"""),193.67)</f>
        <v>193.67</v>
      </c>
      <c r="E740" s="5" t="n">
        <f aca="false">IFERROR(__xludf.dummyfunction("""COMPUTED_VALUE"""),195.71)</f>
        <v>195.71</v>
      </c>
      <c r="F740" s="5" t="n">
        <f aca="false">IFERROR(__xludf.dummyfunction("""COMPUTED_VALUE"""),53406358)</f>
        <v>53406358</v>
      </c>
    </row>
    <row r="741" customFormat="false" ht="15.75" hidden="false" customHeight="false" outlineLevel="0" collapsed="false">
      <c r="A741" s="6" t="n">
        <f aca="false">IFERROR(__xludf.dummyfunction("""COMPUTED_VALUE"""),45271.6666666667)</f>
        <v>45271.6666666667</v>
      </c>
      <c r="B741" s="5" t="n">
        <f aca="false">IFERROR(__xludf.dummyfunction("""COMPUTED_VALUE"""),193.11)</f>
        <v>193.11</v>
      </c>
      <c r="C741" s="5" t="n">
        <f aca="false">IFERROR(__xludf.dummyfunction("""COMPUTED_VALUE"""),193.49)</f>
        <v>193.49</v>
      </c>
      <c r="D741" s="5" t="n">
        <f aca="false">IFERROR(__xludf.dummyfunction("""COMPUTED_VALUE"""),191.42)</f>
        <v>191.42</v>
      </c>
      <c r="E741" s="5" t="n">
        <f aca="false">IFERROR(__xludf.dummyfunction("""COMPUTED_VALUE"""),193.18)</f>
        <v>193.18</v>
      </c>
      <c r="F741" s="5" t="n">
        <f aca="false">IFERROR(__xludf.dummyfunction("""COMPUTED_VALUE"""),60943699)</f>
        <v>60943699</v>
      </c>
    </row>
    <row r="742" customFormat="false" ht="15.75" hidden="false" customHeight="false" outlineLevel="0" collapsed="false">
      <c r="A742" s="6" t="n">
        <f aca="false">IFERROR(__xludf.dummyfunction("""COMPUTED_VALUE"""),45272.6666666667)</f>
        <v>45272.6666666667</v>
      </c>
      <c r="B742" s="5" t="n">
        <f aca="false">IFERROR(__xludf.dummyfunction("""COMPUTED_VALUE"""),193.08)</f>
        <v>193.08</v>
      </c>
      <c r="C742" s="5" t="n">
        <f aca="false">IFERROR(__xludf.dummyfunction("""COMPUTED_VALUE"""),194.72)</f>
        <v>194.72</v>
      </c>
      <c r="D742" s="5" t="n">
        <f aca="false">IFERROR(__xludf.dummyfunction("""COMPUTED_VALUE"""),191.72)</f>
        <v>191.72</v>
      </c>
      <c r="E742" s="5" t="n">
        <f aca="false">IFERROR(__xludf.dummyfunction("""COMPUTED_VALUE"""),194.71)</f>
        <v>194.71</v>
      </c>
      <c r="F742" s="5" t="n">
        <f aca="false">IFERROR(__xludf.dummyfunction("""COMPUTED_VALUE"""),52696900)</f>
        <v>52696900</v>
      </c>
    </row>
    <row r="743" customFormat="false" ht="15.75" hidden="false" customHeight="false" outlineLevel="0" collapsed="false">
      <c r="A743" s="6" t="n">
        <f aca="false">IFERROR(__xludf.dummyfunction("""COMPUTED_VALUE"""),45273.6666666667)</f>
        <v>45273.6666666667</v>
      </c>
      <c r="B743" s="5" t="n">
        <f aca="false">IFERROR(__xludf.dummyfunction("""COMPUTED_VALUE"""),195.09)</f>
        <v>195.09</v>
      </c>
      <c r="C743" s="5" t="n">
        <f aca="false">IFERROR(__xludf.dummyfunction("""COMPUTED_VALUE"""),198)</f>
        <v>198</v>
      </c>
      <c r="D743" s="5" t="n">
        <f aca="false">IFERROR(__xludf.dummyfunction("""COMPUTED_VALUE"""),194.85)</f>
        <v>194.85</v>
      </c>
      <c r="E743" s="5" t="n">
        <f aca="false">IFERROR(__xludf.dummyfunction("""COMPUTED_VALUE"""),197.96)</f>
        <v>197.96</v>
      </c>
      <c r="F743" s="5" t="n">
        <f aca="false">IFERROR(__xludf.dummyfunction("""COMPUTED_VALUE"""),70404183)</f>
        <v>70404183</v>
      </c>
    </row>
    <row r="744" customFormat="false" ht="15.75" hidden="false" customHeight="false" outlineLevel="0" collapsed="false">
      <c r="A744" s="6" t="n">
        <f aca="false">IFERROR(__xludf.dummyfunction("""COMPUTED_VALUE"""),45274.6666666667)</f>
        <v>45274.6666666667</v>
      </c>
      <c r="B744" s="5" t="n">
        <f aca="false">IFERROR(__xludf.dummyfunction("""COMPUTED_VALUE"""),198.02)</f>
        <v>198.02</v>
      </c>
      <c r="C744" s="5" t="n">
        <f aca="false">IFERROR(__xludf.dummyfunction("""COMPUTED_VALUE"""),199.62)</f>
        <v>199.62</v>
      </c>
      <c r="D744" s="5" t="n">
        <f aca="false">IFERROR(__xludf.dummyfunction("""COMPUTED_VALUE"""),196.16)</f>
        <v>196.16</v>
      </c>
      <c r="E744" s="5" t="n">
        <f aca="false">IFERROR(__xludf.dummyfunction("""COMPUTED_VALUE"""),198.11)</f>
        <v>198.11</v>
      </c>
      <c r="F744" s="5" t="n">
        <f aca="false">IFERROR(__xludf.dummyfunction("""COMPUTED_VALUE"""),66831572)</f>
        <v>66831572</v>
      </c>
    </row>
    <row r="745" customFormat="false" ht="15.75" hidden="false" customHeight="false" outlineLevel="0" collapsed="false">
      <c r="A745" s="6" t="n">
        <f aca="false">IFERROR(__xludf.dummyfunction("""COMPUTED_VALUE"""),45275.6666666667)</f>
        <v>45275.6666666667</v>
      </c>
      <c r="B745" s="5" t="n">
        <f aca="false">IFERROR(__xludf.dummyfunction("""COMPUTED_VALUE"""),197.53)</f>
        <v>197.53</v>
      </c>
      <c r="C745" s="5" t="n">
        <f aca="false">IFERROR(__xludf.dummyfunction("""COMPUTED_VALUE"""),198.4)</f>
        <v>198.4</v>
      </c>
      <c r="D745" s="5" t="n">
        <f aca="false">IFERROR(__xludf.dummyfunction("""COMPUTED_VALUE"""),197)</f>
        <v>197</v>
      </c>
      <c r="E745" s="5" t="n">
        <f aca="false">IFERROR(__xludf.dummyfunction("""COMPUTED_VALUE"""),197.57)</f>
        <v>197.57</v>
      </c>
      <c r="F745" s="5" t="n">
        <f aca="false">IFERROR(__xludf.dummyfunction("""COMPUTED_VALUE"""),128538401)</f>
        <v>128538401</v>
      </c>
    </row>
    <row r="746" customFormat="false" ht="15.75" hidden="false" customHeight="false" outlineLevel="0" collapsed="false">
      <c r="A746" s="6" t="n">
        <f aca="false">IFERROR(__xludf.dummyfunction("""COMPUTED_VALUE"""),45278.6666666667)</f>
        <v>45278.6666666667</v>
      </c>
      <c r="B746" s="5" t="n">
        <f aca="false">IFERROR(__xludf.dummyfunction("""COMPUTED_VALUE"""),196.09)</f>
        <v>196.09</v>
      </c>
      <c r="C746" s="5" t="n">
        <f aca="false">IFERROR(__xludf.dummyfunction("""COMPUTED_VALUE"""),196.63)</f>
        <v>196.63</v>
      </c>
      <c r="D746" s="5" t="n">
        <f aca="false">IFERROR(__xludf.dummyfunction("""COMPUTED_VALUE"""),194.39)</f>
        <v>194.39</v>
      </c>
      <c r="E746" s="5" t="n">
        <f aca="false">IFERROR(__xludf.dummyfunction("""COMPUTED_VALUE"""),195.89)</f>
        <v>195.89</v>
      </c>
      <c r="F746" s="5" t="n">
        <f aca="false">IFERROR(__xludf.dummyfunction("""COMPUTED_VALUE"""),55751861)</f>
        <v>55751861</v>
      </c>
    </row>
    <row r="747" customFormat="false" ht="15.75" hidden="false" customHeight="false" outlineLevel="0" collapsed="false">
      <c r="A747" s="6" t="n">
        <f aca="false">IFERROR(__xludf.dummyfunction("""COMPUTED_VALUE"""),45279.6666666667)</f>
        <v>45279.6666666667</v>
      </c>
      <c r="B747" s="5" t="n">
        <f aca="false">IFERROR(__xludf.dummyfunction("""COMPUTED_VALUE"""),196.16)</f>
        <v>196.16</v>
      </c>
      <c r="C747" s="5" t="n">
        <f aca="false">IFERROR(__xludf.dummyfunction("""COMPUTED_VALUE"""),196.95)</f>
        <v>196.95</v>
      </c>
      <c r="D747" s="5" t="n">
        <f aca="false">IFERROR(__xludf.dummyfunction("""COMPUTED_VALUE"""),195.89)</f>
        <v>195.89</v>
      </c>
      <c r="E747" s="5" t="n">
        <f aca="false">IFERROR(__xludf.dummyfunction("""COMPUTED_VALUE"""),196.94)</f>
        <v>196.94</v>
      </c>
      <c r="F747" s="5" t="n">
        <f aca="false">IFERROR(__xludf.dummyfunction("""COMPUTED_VALUE"""),40714051)</f>
        <v>40714051</v>
      </c>
    </row>
    <row r="748" customFormat="false" ht="15.75" hidden="false" customHeight="false" outlineLevel="0" collapsed="false">
      <c r="A748" s="6" t="n">
        <f aca="false">IFERROR(__xludf.dummyfunction("""COMPUTED_VALUE"""),45280.6666666667)</f>
        <v>45280.6666666667</v>
      </c>
      <c r="B748" s="5" t="n">
        <f aca="false">IFERROR(__xludf.dummyfunction("""COMPUTED_VALUE"""),196.9)</f>
        <v>196.9</v>
      </c>
      <c r="C748" s="5" t="n">
        <f aca="false">IFERROR(__xludf.dummyfunction("""COMPUTED_VALUE"""),197.68)</f>
        <v>197.68</v>
      </c>
      <c r="D748" s="5" t="n">
        <f aca="false">IFERROR(__xludf.dummyfunction("""COMPUTED_VALUE"""),194.83)</f>
        <v>194.83</v>
      </c>
      <c r="E748" s="5" t="n">
        <f aca="false">IFERROR(__xludf.dummyfunction("""COMPUTED_VALUE"""),194.83)</f>
        <v>194.83</v>
      </c>
      <c r="F748" s="5" t="n">
        <f aca="false">IFERROR(__xludf.dummyfunction("""COMPUTED_VALUE"""),52242815)</f>
        <v>52242815</v>
      </c>
    </row>
    <row r="749" customFormat="false" ht="15.75" hidden="false" customHeight="false" outlineLevel="0" collapsed="false">
      <c r="A749" s="6" t="n">
        <f aca="false">IFERROR(__xludf.dummyfunction("""COMPUTED_VALUE"""),45281.6666666667)</f>
        <v>45281.6666666667</v>
      </c>
      <c r="B749" s="5" t="n">
        <f aca="false">IFERROR(__xludf.dummyfunction("""COMPUTED_VALUE"""),196.1)</f>
        <v>196.1</v>
      </c>
      <c r="C749" s="5" t="n">
        <f aca="false">IFERROR(__xludf.dummyfunction("""COMPUTED_VALUE"""),197.08)</f>
        <v>197.08</v>
      </c>
      <c r="D749" s="5" t="n">
        <f aca="false">IFERROR(__xludf.dummyfunction("""COMPUTED_VALUE"""),193.5)</f>
        <v>193.5</v>
      </c>
      <c r="E749" s="5" t="n">
        <f aca="false">IFERROR(__xludf.dummyfunction("""COMPUTED_VALUE"""),194.68)</f>
        <v>194.68</v>
      </c>
      <c r="F749" s="5" t="n">
        <f aca="false">IFERROR(__xludf.dummyfunction("""COMPUTED_VALUE"""),46482549)</f>
        <v>46482549</v>
      </c>
    </row>
    <row r="750" customFormat="false" ht="15.75" hidden="false" customHeight="false" outlineLevel="0" collapsed="false">
      <c r="A750" s="6" t="n">
        <f aca="false">IFERROR(__xludf.dummyfunction("""COMPUTED_VALUE"""),45282.6666666667)</f>
        <v>45282.6666666667</v>
      </c>
      <c r="B750" s="5" t="n">
        <f aca="false">IFERROR(__xludf.dummyfunction("""COMPUTED_VALUE"""),195.18)</f>
        <v>195.18</v>
      </c>
      <c r="C750" s="5" t="n">
        <f aca="false">IFERROR(__xludf.dummyfunction("""COMPUTED_VALUE"""),195.41)</f>
        <v>195.41</v>
      </c>
      <c r="D750" s="5" t="n">
        <f aca="false">IFERROR(__xludf.dummyfunction("""COMPUTED_VALUE"""),192.97)</f>
        <v>192.97</v>
      </c>
      <c r="E750" s="5" t="n">
        <f aca="false">IFERROR(__xludf.dummyfunction("""COMPUTED_VALUE"""),193.6)</f>
        <v>193.6</v>
      </c>
      <c r="F750" s="5" t="n">
        <f aca="false">IFERROR(__xludf.dummyfunction("""COMPUTED_VALUE"""),37149570)</f>
        <v>37149570</v>
      </c>
    </row>
    <row r="751" customFormat="false" ht="15.75" hidden="false" customHeight="false" outlineLevel="0" collapsed="false">
      <c r="A751" s="6" t="n">
        <f aca="false">IFERROR(__xludf.dummyfunction("""COMPUTED_VALUE"""),45286.6666666667)</f>
        <v>45286.6666666667</v>
      </c>
      <c r="B751" s="5" t="n">
        <f aca="false">IFERROR(__xludf.dummyfunction("""COMPUTED_VALUE"""),193.61)</f>
        <v>193.61</v>
      </c>
      <c r="C751" s="5" t="n">
        <f aca="false">IFERROR(__xludf.dummyfunction("""COMPUTED_VALUE"""),193.89)</f>
        <v>193.89</v>
      </c>
      <c r="D751" s="5" t="n">
        <f aca="false">IFERROR(__xludf.dummyfunction("""COMPUTED_VALUE"""),192.83)</f>
        <v>192.83</v>
      </c>
      <c r="E751" s="5" t="n">
        <f aca="false">IFERROR(__xludf.dummyfunction("""COMPUTED_VALUE"""),193.05)</f>
        <v>193.05</v>
      </c>
      <c r="F751" s="5" t="n">
        <f aca="false">IFERROR(__xludf.dummyfunction("""COMPUTED_VALUE"""),28919310)</f>
        <v>28919310</v>
      </c>
    </row>
    <row r="752" customFormat="false" ht="15.75" hidden="false" customHeight="false" outlineLevel="0" collapsed="false">
      <c r="A752" s="6" t="n">
        <f aca="false">IFERROR(__xludf.dummyfunction("""COMPUTED_VALUE"""),45287.6666666667)</f>
        <v>45287.6666666667</v>
      </c>
      <c r="B752" s="5" t="n">
        <f aca="false">IFERROR(__xludf.dummyfunction("""COMPUTED_VALUE"""),192.49)</f>
        <v>192.49</v>
      </c>
      <c r="C752" s="5" t="n">
        <f aca="false">IFERROR(__xludf.dummyfunction("""COMPUTED_VALUE"""),193.5)</f>
        <v>193.5</v>
      </c>
      <c r="D752" s="5" t="n">
        <f aca="false">IFERROR(__xludf.dummyfunction("""COMPUTED_VALUE"""),191.09)</f>
        <v>191.09</v>
      </c>
      <c r="E752" s="5" t="n">
        <f aca="false">IFERROR(__xludf.dummyfunction("""COMPUTED_VALUE"""),193.15)</f>
        <v>193.15</v>
      </c>
      <c r="F752" s="5" t="n">
        <f aca="false">IFERROR(__xludf.dummyfunction("""COMPUTED_VALUE"""),48087681)</f>
        <v>48087681</v>
      </c>
    </row>
    <row r="753" customFormat="false" ht="15.75" hidden="false" customHeight="false" outlineLevel="0" collapsed="false">
      <c r="A753" s="6" t="n">
        <f aca="false">IFERROR(__xludf.dummyfunction("""COMPUTED_VALUE"""),45288.6666666667)</f>
        <v>45288.6666666667</v>
      </c>
      <c r="B753" s="5" t="n">
        <f aca="false">IFERROR(__xludf.dummyfunction("""COMPUTED_VALUE"""),194.14)</f>
        <v>194.14</v>
      </c>
      <c r="C753" s="5" t="n">
        <f aca="false">IFERROR(__xludf.dummyfunction("""COMPUTED_VALUE"""),194.66)</f>
        <v>194.66</v>
      </c>
      <c r="D753" s="5" t="n">
        <f aca="false">IFERROR(__xludf.dummyfunction("""COMPUTED_VALUE"""),193.17)</f>
        <v>193.17</v>
      </c>
      <c r="E753" s="5" t="n">
        <f aca="false">IFERROR(__xludf.dummyfunction("""COMPUTED_VALUE"""),193.58)</f>
        <v>193.58</v>
      </c>
      <c r="F753" s="5" t="n">
        <f aca="false">IFERROR(__xludf.dummyfunction("""COMPUTED_VALUE"""),34049898)</f>
        <v>34049898</v>
      </c>
    </row>
    <row r="754" customFormat="false" ht="15.75" hidden="false" customHeight="false" outlineLevel="0" collapsed="false">
      <c r="A754" s="6" t="n">
        <f aca="false">IFERROR(__xludf.dummyfunction("""COMPUTED_VALUE"""),45289.6666666667)</f>
        <v>45289.6666666667</v>
      </c>
      <c r="B754" s="5" t="n">
        <f aca="false">IFERROR(__xludf.dummyfunction("""COMPUTED_VALUE"""),193.9)</f>
        <v>193.9</v>
      </c>
      <c r="C754" s="5" t="n">
        <f aca="false">IFERROR(__xludf.dummyfunction("""COMPUTED_VALUE"""),194.4)</f>
        <v>194.4</v>
      </c>
      <c r="D754" s="5" t="n">
        <f aca="false">IFERROR(__xludf.dummyfunction("""COMPUTED_VALUE"""),191.73)</f>
        <v>191.73</v>
      </c>
      <c r="E754" s="5" t="n">
        <f aca="false">IFERROR(__xludf.dummyfunction("""COMPUTED_VALUE"""),192.53)</f>
        <v>192.53</v>
      </c>
      <c r="F754" s="5" t="n">
        <f aca="false">IFERROR(__xludf.dummyfunction("""COMPUTED_VALUE"""),42672148)</f>
        <v>42672148</v>
      </c>
    </row>
    <row r="755" customFormat="false" ht="15.75" hidden="false" customHeight="false" outlineLevel="0" collapsed="false">
      <c r="A755" s="6" t="n">
        <f aca="false">IFERROR(__xludf.dummyfunction("""COMPUTED_VALUE"""),45293.6666666667)</f>
        <v>45293.6666666667</v>
      </c>
      <c r="B755" s="5" t="n">
        <f aca="false">IFERROR(__xludf.dummyfunction("""COMPUTED_VALUE"""),187.15)</f>
        <v>187.15</v>
      </c>
      <c r="C755" s="5" t="n">
        <f aca="false">IFERROR(__xludf.dummyfunction("""COMPUTED_VALUE"""),188.44)</f>
        <v>188.44</v>
      </c>
      <c r="D755" s="5" t="n">
        <f aca="false">IFERROR(__xludf.dummyfunction("""COMPUTED_VALUE"""),183.89)</f>
        <v>183.89</v>
      </c>
      <c r="E755" s="5" t="n">
        <f aca="false">IFERROR(__xludf.dummyfunction("""COMPUTED_VALUE"""),185.64)</f>
        <v>185.64</v>
      </c>
      <c r="F755" s="5" t="n">
        <f aca="false">IFERROR(__xludf.dummyfunction("""COMPUTED_VALUE"""),82488674)</f>
        <v>82488674</v>
      </c>
    </row>
    <row r="756" customFormat="false" ht="15.75" hidden="false" customHeight="false" outlineLevel="0" collapsed="false">
      <c r="A756" s="6" t="n">
        <f aca="false">IFERROR(__xludf.dummyfunction("""COMPUTED_VALUE"""),45294.6666666667)</f>
        <v>45294.6666666667</v>
      </c>
      <c r="B756" s="5" t="n">
        <f aca="false">IFERROR(__xludf.dummyfunction("""COMPUTED_VALUE"""),184.22)</f>
        <v>184.22</v>
      </c>
      <c r="C756" s="5" t="n">
        <f aca="false">IFERROR(__xludf.dummyfunction("""COMPUTED_VALUE"""),185.88)</f>
        <v>185.88</v>
      </c>
      <c r="D756" s="5" t="n">
        <f aca="false">IFERROR(__xludf.dummyfunction("""COMPUTED_VALUE"""),183.43)</f>
        <v>183.43</v>
      </c>
      <c r="E756" s="5" t="n">
        <f aca="false">IFERROR(__xludf.dummyfunction("""COMPUTED_VALUE"""),184.25)</f>
        <v>184.25</v>
      </c>
      <c r="F756" s="5" t="n">
        <f aca="false">IFERROR(__xludf.dummyfunction("""COMPUTED_VALUE"""),58414460)</f>
        <v>58414460</v>
      </c>
    </row>
    <row r="757" customFormat="false" ht="15.75" hidden="false" customHeight="false" outlineLevel="0" collapsed="false">
      <c r="A757" s="6" t="n">
        <f aca="false">IFERROR(__xludf.dummyfunction("""COMPUTED_VALUE"""),45295.6666666667)</f>
        <v>45295.6666666667</v>
      </c>
      <c r="B757" s="5" t="n">
        <f aca="false">IFERROR(__xludf.dummyfunction("""COMPUTED_VALUE"""),182.15)</f>
        <v>182.15</v>
      </c>
      <c r="C757" s="5" t="n">
        <f aca="false">IFERROR(__xludf.dummyfunction("""COMPUTED_VALUE"""),183.09)</f>
        <v>183.09</v>
      </c>
      <c r="D757" s="5" t="n">
        <f aca="false">IFERROR(__xludf.dummyfunction("""COMPUTED_VALUE"""),180.88)</f>
        <v>180.88</v>
      </c>
      <c r="E757" s="5" t="n">
        <f aca="false">IFERROR(__xludf.dummyfunction("""COMPUTED_VALUE"""),181.91)</f>
        <v>181.91</v>
      </c>
      <c r="F757" s="5" t="n">
        <f aca="false">IFERROR(__xludf.dummyfunction("""COMPUTED_VALUE"""),71983570)</f>
        <v>71983570</v>
      </c>
    </row>
    <row r="758" customFormat="false" ht="15.75" hidden="false" customHeight="false" outlineLevel="0" collapsed="false">
      <c r="A758" s="6" t="n">
        <f aca="false">IFERROR(__xludf.dummyfunction("""COMPUTED_VALUE"""),45296.6666666667)</f>
        <v>45296.6666666667</v>
      </c>
      <c r="B758" s="5" t="n">
        <f aca="false">IFERROR(__xludf.dummyfunction("""COMPUTED_VALUE"""),181.99)</f>
        <v>181.99</v>
      </c>
      <c r="C758" s="5" t="n">
        <f aca="false">IFERROR(__xludf.dummyfunction("""COMPUTED_VALUE"""),182.76)</f>
        <v>182.76</v>
      </c>
      <c r="D758" s="5" t="n">
        <f aca="false">IFERROR(__xludf.dummyfunction("""COMPUTED_VALUE"""),180.17)</f>
        <v>180.17</v>
      </c>
      <c r="E758" s="5" t="n">
        <f aca="false">IFERROR(__xludf.dummyfunction("""COMPUTED_VALUE"""),181.18)</f>
        <v>181.18</v>
      </c>
      <c r="F758" s="5" t="n">
        <f aca="false">IFERROR(__xludf.dummyfunction("""COMPUTED_VALUE"""),62379661)</f>
        <v>62379661</v>
      </c>
    </row>
    <row r="759" customFormat="false" ht="15.75" hidden="false" customHeight="false" outlineLevel="0" collapsed="false">
      <c r="A759" s="6" t="n">
        <f aca="false">IFERROR(__xludf.dummyfunction("""COMPUTED_VALUE"""),45299.6666666667)</f>
        <v>45299.6666666667</v>
      </c>
      <c r="B759" s="5" t="n">
        <f aca="false">IFERROR(__xludf.dummyfunction("""COMPUTED_VALUE"""),182.09)</f>
        <v>182.09</v>
      </c>
      <c r="C759" s="5" t="n">
        <f aca="false">IFERROR(__xludf.dummyfunction("""COMPUTED_VALUE"""),185.6)</f>
        <v>185.6</v>
      </c>
      <c r="D759" s="5" t="n">
        <f aca="false">IFERROR(__xludf.dummyfunction("""COMPUTED_VALUE"""),181.5)</f>
        <v>181.5</v>
      </c>
      <c r="E759" s="5" t="n">
        <f aca="false">IFERROR(__xludf.dummyfunction("""COMPUTED_VALUE"""),185.56)</f>
        <v>185.56</v>
      </c>
      <c r="F759" s="5" t="n">
        <f aca="false">IFERROR(__xludf.dummyfunction("""COMPUTED_VALUE"""),59144470)</f>
        <v>59144470</v>
      </c>
    </row>
    <row r="760" customFormat="false" ht="15.75" hidden="false" customHeight="false" outlineLevel="0" collapsed="false">
      <c r="A760" s="6" t="n">
        <f aca="false">IFERROR(__xludf.dummyfunction("""COMPUTED_VALUE"""),45300.6666666667)</f>
        <v>45300.6666666667</v>
      </c>
      <c r="B760" s="5" t="n">
        <f aca="false">IFERROR(__xludf.dummyfunction("""COMPUTED_VALUE"""),183.92)</f>
        <v>183.92</v>
      </c>
      <c r="C760" s="5" t="n">
        <f aca="false">IFERROR(__xludf.dummyfunction("""COMPUTED_VALUE"""),185.15)</f>
        <v>185.15</v>
      </c>
      <c r="D760" s="5" t="n">
        <f aca="false">IFERROR(__xludf.dummyfunction("""COMPUTED_VALUE"""),182.73)</f>
        <v>182.73</v>
      </c>
      <c r="E760" s="5" t="n">
        <f aca="false">IFERROR(__xludf.dummyfunction("""COMPUTED_VALUE"""),185.14)</f>
        <v>185.14</v>
      </c>
      <c r="F760" s="5" t="n">
        <f aca="false">IFERROR(__xludf.dummyfunction("""COMPUTED_VALUE"""),42841809)</f>
        <v>42841809</v>
      </c>
    </row>
    <row r="761" customFormat="false" ht="15.75" hidden="false" customHeight="false" outlineLevel="0" collapsed="false">
      <c r="A761" s="6" t="n">
        <f aca="false">IFERROR(__xludf.dummyfunction("""COMPUTED_VALUE"""),45301.6666666667)</f>
        <v>45301.6666666667</v>
      </c>
      <c r="B761" s="5" t="n">
        <f aca="false">IFERROR(__xludf.dummyfunction("""COMPUTED_VALUE"""),184.35)</f>
        <v>184.35</v>
      </c>
      <c r="C761" s="5" t="n">
        <f aca="false">IFERROR(__xludf.dummyfunction("""COMPUTED_VALUE"""),186.4)</f>
        <v>186.4</v>
      </c>
      <c r="D761" s="5" t="n">
        <f aca="false">IFERROR(__xludf.dummyfunction("""COMPUTED_VALUE"""),183.92)</f>
        <v>183.92</v>
      </c>
      <c r="E761" s="5" t="n">
        <f aca="false">IFERROR(__xludf.dummyfunction("""COMPUTED_VALUE"""),186.19)</f>
        <v>186.19</v>
      </c>
      <c r="F761" s="5" t="n">
        <f aca="false">IFERROR(__xludf.dummyfunction("""COMPUTED_VALUE"""),46792908)</f>
        <v>46792908</v>
      </c>
    </row>
    <row r="762" customFormat="false" ht="15.75" hidden="false" customHeight="false" outlineLevel="0" collapsed="false">
      <c r="A762" s="6" t="n">
        <f aca="false">IFERROR(__xludf.dummyfunction("""COMPUTED_VALUE"""),45302.6666666667)</f>
        <v>45302.6666666667</v>
      </c>
      <c r="B762" s="5" t="n">
        <f aca="false">IFERROR(__xludf.dummyfunction("""COMPUTED_VALUE"""),186.54)</f>
        <v>186.54</v>
      </c>
      <c r="C762" s="5" t="n">
        <f aca="false">IFERROR(__xludf.dummyfunction("""COMPUTED_VALUE"""),187.05)</f>
        <v>187.05</v>
      </c>
      <c r="D762" s="5" t="n">
        <f aca="false">IFERROR(__xludf.dummyfunction("""COMPUTED_VALUE"""),183.62)</f>
        <v>183.62</v>
      </c>
      <c r="E762" s="5" t="n">
        <f aca="false">IFERROR(__xludf.dummyfunction("""COMPUTED_VALUE"""),185.59)</f>
        <v>185.59</v>
      </c>
      <c r="F762" s="5" t="n">
        <f aca="false">IFERROR(__xludf.dummyfunction("""COMPUTED_VALUE"""),49128408)</f>
        <v>49128408</v>
      </c>
    </row>
    <row r="763" customFormat="false" ht="15.75" hidden="false" customHeight="false" outlineLevel="0" collapsed="false">
      <c r="A763" s="6" t="n">
        <f aca="false">IFERROR(__xludf.dummyfunction("""COMPUTED_VALUE"""),45303.6666666667)</f>
        <v>45303.6666666667</v>
      </c>
      <c r="B763" s="5" t="n">
        <f aca="false">IFERROR(__xludf.dummyfunction("""COMPUTED_VALUE"""),186.06)</f>
        <v>186.06</v>
      </c>
      <c r="C763" s="5" t="n">
        <f aca="false">IFERROR(__xludf.dummyfunction("""COMPUTED_VALUE"""),186.74)</f>
        <v>186.74</v>
      </c>
      <c r="D763" s="5" t="n">
        <f aca="false">IFERROR(__xludf.dummyfunction("""COMPUTED_VALUE"""),185.19)</f>
        <v>185.19</v>
      </c>
      <c r="E763" s="5" t="n">
        <f aca="false">IFERROR(__xludf.dummyfunction("""COMPUTED_VALUE"""),185.92)</f>
        <v>185.92</v>
      </c>
      <c r="F763" s="5" t="n">
        <f aca="false">IFERROR(__xludf.dummyfunction("""COMPUTED_VALUE"""),40477782)</f>
        <v>40477782</v>
      </c>
    </row>
    <row r="764" customFormat="false" ht="15.75" hidden="false" customHeight="false" outlineLevel="0" collapsed="false">
      <c r="A764" s="6" t="n">
        <f aca="false">IFERROR(__xludf.dummyfunction("""COMPUTED_VALUE"""),45307.6666666667)</f>
        <v>45307.6666666667</v>
      </c>
      <c r="B764" s="5" t="n">
        <f aca="false">IFERROR(__xludf.dummyfunction("""COMPUTED_VALUE"""),182.16)</f>
        <v>182.16</v>
      </c>
      <c r="C764" s="5" t="n">
        <f aca="false">IFERROR(__xludf.dummyfunction("""COMPUTED_VALUE"""),184.26)</f>
        <v>184.26</v>
      </c>
      <c r="D764" s="5" t="n">
        <f aca="false">IFERROR(__xludf.dummyfunction("""COMPUTED_VALUE"""),180.93)</f>
        <v>180.93</v>
      </c>
      <c r="E764" s="5" t="n">
        <f aca="false">IFERROR(__xludf.dummyfunction("""COMPUTED_VALUE"""),183.63)</f>
        <v>183.63</v>
      </c>
      <c r="F764" s="5" t="n">
        <f aca="false">IFERROR(__xludf.dummyfunction("""COMPUTED_VALUE"""),65603041)</f>
        <v>65603041</v>
      </c>
    </row>
    <row r="765" customFormat="false" ht="15.75" hidden="false" customHeight="false" outlineLevel="0" collapsed="false">
      <c r="A765" s="6" t="n">
        <f aca="false">IFERROR(__xludf.dummyfunction("""COMPUTED_VALUE"""),45308.6666666667)</f>
        <v>45308.6666666667</v>
      </c>
      <c r="B765" s="5" t="n">
        <f aca="false">IFERROR(__xludf.dummyfunction("""COMPUTED_VALUE"""),181.27)</f>
        <v>181.27</v>
      </c>
      <c r="C765" s="5" t="n">
        <f aca="false">IFERROR(__xludf.dummyfunction("""COMPUTED_VALUE"""),182.93)</f>
        <v>182.93</v>
      </c>
      <c r="D765" s="5" t="n">
        <f aca="false">IFERROR(__xludf.dummyfunction("""COMPUTED_VALUE"""),180.3)</f>
        <v>180.3</v>
      </c>
      <c r="E765" s="5" t="n">
        <f aca="false">IFERROR(__xludf.dummyfunction("""COMPUTED_VALUE"""),182.68)</f>
        <v>182.68</v>
      </c>
      <c r="F765" s="5" t="n">
        <f aca="false">IFERROR(__xludf.dummyfunction("""COMPUTED_VALUE"""),47317433)</f>
        <v>47317433</v>
      </c>
    </row>
    <row r="766" customFormat="false" ht="15.75" hidden="false" customHeight="false" outlineLevel="0" collapsed="false">
      <c r="A766" s="6" t="n">
        <f aca="false">IFERROR(__xludf.dummyfunction("""COMPUTED_VALUE"""),45309.6666666667)</f>
        <v>45309.6666666667</v>
      </c>
      <c r="B766" s="5" t="n">
        <f aca="false">IFERROR(__xludf.dummyfunction("""COMPUTED_VALUE"""),186.09)</f>
        <v>186.09</v>
      </c>
      <c r="C766" s="5" t="n">
        <f aca="false">IFERROR(__xludf.dummyfunction("""COMPUTED_VALUE"""),189.14)</f>
        <v>189.14</v>
      </c>
      <c r="D766" s="5" t="n">
        <f aca="false">IFERROR(__xludf.dummyfunction("""COMPUTED_VALUE"""),185.83)</f>
        <v>185.83</v>
      </c>
      <c r="E766" s="5" t="n">
        <f aca="false">IFERROR(__xludf.dummyfunction("""COMPUTED_VALUE"""),188.63)</f>
        <v>188.63</v>
      </c>
      <c r="F766" s="5" t="n">
        <f aca="false">IFERROR(__xludf.dummyfunction("""COMPUTED_VALUE"""),78005754)</f>
        <v>78005754</v>
      </c>
    </row>
    <row r="767" customFormat="false" ht="15.75" hidden="false" customHeight="false" outlineLevel="0" collapsed="false">
      <c r="A767" s="6" t="n">
        <f aca="false">IFERROR(__xludf.dummyfunction("""COMPUTED_VALUE"""),45310.6666666667)</f>
        <v>45310.6666666667</v>
      </c>
      <c r="B767" s="5" t="n">
        <f aca="false">IFERROR(__xludf.dummyfunction("""COMPUTED_VALUE"""),189.33)</f>
        <v>189.33</v>
      </c>
      <c r="C767" s="5" t="n">
        <f aca="false">IFERROR(__xludf.dummyfunction("""COMPUTED_VALUE"""),191.95)</f>
        <v>191.95</v>
      </c>
      <c r="D767" s="5" t="n">
        <f aca="false">IFERROR(__xludf.dummyfunction("""COMPUTED_VALUE"""),188.82)</f>
        <v>188.82</v>
      </c>
      <c r="E767" s="5" t="n">
        <f aca="false">IFERROR(__xludf.dummyfunction("""COMPUTED_VALUE"""),191.56)</f>
        <v>191.56</v>
      </c>
      <c r="F767" s="5" t="n">
        <f aca="false">IFERROR(__xludf.dummyfunction("""COMPUTED_VALUE"""),68902985)</f>
        <v>68902985</v>
      </c>
    </row>
    <row r="768" customFormat="false" ht="15.75" hidden="false" customHeight="false" outlineLevel="0" collapsed="false">
      <c r="A768" s="6" t="n">
        <f aca="false">IFERROR(__xludf.dummyfunction("""COMPUTED_VALUE"""),45313.6666666667)</f>
        <v>45313.6666666667</v>
      </c>
      <c r="B768" s="5" t="n">
        <f aca="false">IFERROR(__xludf.dummyfunction("""COMPUTED_VALUE"""),192.3)</f>
        <v>192.3</v>
      </c>
      <c r="C768" s="5" t="n">
        <f aca="false">IFERROR(__xludf.dummyfunction("""COMPUTED_VALUE"""),195.33)</f>
        <v>195.33</v>
      </c>
      <c r="D768" s="5" t="n">
        <f aca="false">IFERROR(__xludf.dummyfunction("""COMPUTED_VALUE"""),192.26)</f>
        <v>192.26</v>
      </c>
      <c r="E768" s="5" t="n">
        <f aca="false">IFERROR(__xludf.dummyfunction("""COMPUTED_VALUE"""),193.89)</f>
        <v>193.89</v>
      </c>
      <c r="F768" s="5" t="n">
        <f aca="false">IFERROR(__xludf.dummyfunction("""COMPUTED_VALUE"""),60133852)</f>
        <v>60133852</v>
      </c>
    </row>
    <row r="769" customFormat="false" ht="15.75" hidden="false" customHeight="false" outlineLevel="0" collapsed="false">
      <c r="A769" s="6" t="n">
        <f aca="false">IFERROR(__xludf.dummyfunction("""COMPUTED_VALUE"""),45314.6666666667)</f>
        <v>45314.6666666667</v>
      </c>
      <c r="B769" s="5" t="n">
        <f aca="false">IFERROR(__xludf.dummyfunction("""COMPUTED_VALUE"""),195.02)</f>
        <v>195.02</v>
      </c>
      <c r="C769" s="5" t="n">
        <f aca="false">IFERROR(__xludf.dummyfunction("""COMPUTED_VALUE"""),195.75)</f>
        <v>195.75</v>
      </c>
      <c r="D769" s="5" t="n">
        <f aca="false">IFERROR(__xludf.dummyfunction("""COMPUTED_VALUE"""),193.83)</f>
        <v>193.83</v>
      </c>
      <c r="E769" s="5" t="n">
        <f aca="false">IFERROR(__xludf.dummyfunction("""COMPUTED_VALUE"""),195.18)</f>
        <v>195.18</v>
      </c>
      <c r="F769" s="5" t="n">
        <f aca="false">IFERROR(__xludf.dummyfunction("""COMPUTED_VALUE"""),42355590)</f>
        <v>42355590</v>
      </c>
    </row>
    <row r="770" customFormat="false" ht="15.75" hidden="false" customHeight="false" outlineLevel="0" collapsed="false">
      <c r="A770" s="6" t="n">
        <f aca="false">IFERROR(__xludf.dummyfunction("""COMPUTED_VALUE"""),45315.6666666667)</f>
        <v>45315.6666666667</v>
      </c>
      <c r="B770" s="5" t="n">
        <f aca="false">IFERROR(__xludf.dummyfunction("""COMPUTED_VALUE"""),195.42)</f>
        <v>195.42</v>
      </c>
      <c r="C770" s="5" t="n">
        <f aca="false">IFERROR(__xludf.dummyfunction("""COMPUTED_VALUE"""),196.38)</f>
        <v>196.38</v>
      </c>
      <c r="D770" s="5" t="n">
        <f aca="false">IFERROR(__xludf.dummyfunction("""COMPUTED_VALUE"""),194.34)</f>
        <v>194.34</v>
      </c>
      <c r="E770" s="5" t="n">
        <f aca="false">IFERROR(__xludf.dummyfunction("""COMPUTED_VALUE"""),194.5)</f>
        <v>194.5</v>
      </c>
      <c r="F770" s="5" t="n">
        <f aca="false">IFERROR(__xludf.dummyfunction("""COMPUTED_VALUE"""),53631316)</f>
        <v>53631316</v>
      </c>
    </row>
    <row r="771" customFormat="false" ht="15.75" hidden="false" customHeight="false" outlineLevel="0" collapsed="false">
      <c r="A771" s="6" t="n">
        <f aca="false">IFERROR(__xludf.dummyfunction("""COMPUTED_VALUE"""),45316.6666666667)</f>
        <v>45316.6666666667</v>
      </c>
      <c r="B771" s="5" t="n">
        <f aca="false">IFERROR(__xludf.dummyfunction("""COMPUTED_VALUE"""),195.22)</f>
        <v>195.22</v>
      </c>
      <c r="C771" s="5" t="n">
        <f aca="false">IFERROR(__xludf.dummyfunction("""COMPUTED_VALUE"""),196.27)</f>
        <v>196.27</v>
      </c>
      <c r="D771" s="5" t="n">
        <f aca="false">IFERROR(__xludf.dummyfunction("""COMPUTED_VALUE"""),193.11)</f>
        <v>193.11</v>
      </c>
      <c r="E771" s="5" t="n">
        <f aca="false">IFERROR(__xludf.dummyfunction("""COMPUTED_VALUE"""),194.17)</f>
        <v>194.17</v>
      </c>
      <c r="F771" s="5" t="n">
        <f aca="false">IFERROR(__xludf.dummyfunction("""COMPUTED_VALUE"""),54822126)</f>
        <v>54822126</v>
      </c>
    </row>
    <row r="772" customFormat="false" ht="15.75" hidden="false" customHeight="false" outlineLevel="0" collapsed="false">
      <c r="A772" s="6" t="n">
        <f aca="false">IFERROR(__xludf.dummyfunction("""COMPUTED_VALUE"""),45317.6666666667)</f>
        <v>45317.6666666667</v>
      </c>
      <c r="B772" s="5" t="n">
        <f aca="false">IFERROR(__xludf.dummyfunction("""COMPUTED_VALUE"""),194.27)</f>
        <v>194.27</v>
      </c>
      <c r="C772" s="5" t="n">
        <f aca="false">IFERROR(__xludf.dummyfunction("""COMPUTED_VALUE"""),194.76)</f>
        <v>194.76</v>
      </c>
      <c r="D772" s="5" t="n">
        <f aca="false">IFERROR(__xludf.dummyfunction("""COMPUTED_VALUE"""),191.94)</f>
        <v>191.94</v>
      </c>
      <c r="E772" s="5" t="n">
        <f aca="false">IFERROR(__xludf.dummyfunction("""COMPUTED_VALUE"""),192.42)</f>
        <v>192.42</v>
      </c>
      <c r="F772" s="5" t="n">
        <f aca="false">IFERROR(__xludf.dummyfunction("""COMPUTED_VALUE"""),44594011)</f>
        <v>44594011</v>
      </c>
    </row>
    <row r="773" customFormat="false" ht="15.75" hidden="false" customHeight="false" outlineLevel="0" collapsed="false">
      <c r="A773" s="6" t="n">
        <f aca="false">IFERROR(__xludf.dummyfunction("""COMPUTED_VALUE"""),45320.6666666667)</f>
        <v>45320.6666666667</v>
      </c>
      <c r="B773" s="5" t="n">
        <f aca="false">IFERROR(__xludf.dummyfunction("""COMPUTED_VALUE"""),192.01)</f>
        <v>192.01</v>
      </c>
      <c r="C773" s="5" t="n">
        <f aca="false">IFERROR(__xludf.dummyfunction("""COMPUTED_VALUE"""),192.2)</f>
        <v>192.2</v>
      </c>
      <c r="D773" s="5" t="n">
        <f aca="false">IFERROR(__xludf.dummyfunction("""COMPUTED_VALUE"""),189.58)</f>
        <v>189.58</v>
      </c>
      <c r="E773" s="5" t="n">
        <f aca="false">IFERROR(__xludf.dummyfunction("""COMPUTED_VALUE"""),191.73)</f>
        <v>191.73</v>
      </c>
      <c r="F773" s="5" t="n">
        <f aca="false">IFERROR(__xludf.dummyfunction("""COMPUTED_VALUE"""),47145622)</f>
        <v>47145622</v>
      </c>
    </row>
    <row r="774" customFormat="false" ht="15.75" hidden="false" customHeight="false" outlineLevel="0" collapsed="false">
      <c r="A774" s="6" t="n">
        <f aca="false">IFERROR(__xludf.dummyfunction("""COMPUTED_VALUE"""),45321.6666666667)</f>
        <v>45321.6666666667</v>
      </c>
      <c r="B774" s="5" t="n">
        <f aca="false">IFERROR(__xludf.dummyfunction("""COMPUTED_VALUE"""),190.94)</f>
        <v>190.94</v>
      </c>
      <c r="C774" s="5" t="n">
        <f aca="false">IFERROR(__xludf.dummyfunction("""COMPUTED_VALUE"""),191.8)</f>
        <v>191.8</v>
      </c>
      <c r="D774" s="5" t="n">
        <f aca="false">IFERROR(__xludf.dummyfunction("""COMPUTED_VALUE"""),187.47)</f>
        <v>187.47</v>
      </c>
      <c r="E774" s="5" t="n">
        <f aca="false">IFERROR(__xludf.dummyfunction("""COMPUTED_VALUE"""),188.04)</f>
        <v>188.04</v>
      </c>
      <c r="F774" s="5" t="n">
        <f aca="false">IFERROR(__xludf.dummyfunction("""COMPUTED_VALUE"""),55859370)</f>
        <v>55859370</v>
      </c>
    </row>
    <row r="775" customFormat="false" ht="15.75" hidden="false" customHeight="false" outlineLevel="0" collapsed="false">
      <c r="A775" s="6" t="n">
        <f aca="false">IFERROR(__xludf.dummyfunction("""COMPUTED_VALUE"""),45322.6666666667)</f>
        <v>45322.6666666667</v>
      </c>
      <c r="B775" s="5" t="n">
        <f aca="false">IFERROR(__xludf.dummyfunction("""COMPUTED_VALUE"""),187.04)</f>
        <v>187.04</v>
      </c>
      <c r="C775" s="5" t="n">
        <f aca="false">IFERROR(__xludf.dummyfunction("""COMPUTED_VALUE"""),187.1)</f>
        <v>187.1</v>
      </c>
      <c r="D775" s="5" t="n">
        <f aca="false">IFERROR(__xludf.dummyfunction("""COMPUTED_VALUE"""),184.35)</f>
        <v>184.35</v>
      </c>
      <c r="E775" s="5" t="n">
        <f aca="false">IFERROR(__xludf.dummyfunction("""COMPUTED_VALUE"""),184.4)</f>
        <v>184.4</v>
      </c>
      <c r="F775" s="5" t="n">
        <f aca="false">IFERROR(__xludf.dummyfunction("""COMPUTED_VALUE"""),55467803)</f>
        <v>55467803</v>
      </c>
    </row>
    <row r="776" customFormat="false" ht="15.75" hidden="false" customHeight="false" outlineLevel="0" collapsed="false">
      <c r="A776" s="6" t="n">
        <f aca="false">IFERROR(__xludf.dummyfunction("""COMPUTED_VALUE"""),45323.6666666667)</f>
        <v>45323.6666666667</v>
      </c>
      <c r="B776" s="5" t="n">
        <f aca="false">IFERROR(__xludf.dummyfunction("""COMPUTED_VALUE"""),183.99)</f>
        <v>183.99</v>
      </c>
      <c r="C776" s="5" t="n">
        <f aca="false">IFERROR(__xludf.dummyfunction("""COMPUTED_VALUE"""),186.95)</f>
        <v>186.95</v>
      </c>
      <c r="D776" s="5" t="n">
        <f aca="false">IFERROR(__xludf.dummyfunction("""COMPUTED_VALUE"""),183.82)</f>
        <v>183.82</v>
      </c>
      <c r="E776" s="5" t="n">
        <f aca="false">IFERROR(__xludf.dummyfunction("""COMPUTED_VALUE"""),186.86)</f>
        <v>186.86</v>
      </c>
      <c r="F776" s="5" t="n">
        <f aca="false">IFERROR(__xludf.dummyfunction("""COMPUTED_VALUE"""),64885408)</f>
        <v>64885408</v>
      </c>
    </row>
    <row r="777" customFormat="false" ht="15.75" hidden="false" customHeight="false" outlineLevel="0" collapsed="false">
      <c r="A777" s="6" t="n">
        <f aca="false">IFERROR(__xludf.dummyfunction("""COMPUTED_VALUE"""),45324.6666666667)</f>
        <v>45324.6666666667</v>
      </c>
      <c r="B777" s="5" t="n">
        <f aca="false">IFERROR(__xludf.dummyfunction("""COMPUTED_VALUE"""),179.86)</f>
        <v>179.86</v>
      </c>
      <c r="C777" s="5" t="n">
        <f aca="false">IFERROR(__xludf.dummyfunction("""COMPUTED_VALUE"""),187.33)</f>
        <v>187.33</v>
      </c>
      <c r="D777" s="5" t="n">
        <f aca="false">IFERROR(__xludf.dummyfunction("""COMPUTED_VALUE"""),179.25)</f>
        <v>179.25</v>
      </c>
      <c r="E777" s="5" t="n">
        <f aca="false">IFERROR(__xludf.dummyfunction("""COMPUTED_VALUE"""),185.85)</f>
        <v>185.85</v>
      </c>
      <c r="F777" s="5" t="n">
        <f aca="false">IFERROR(__xludf.dummyfunction("""COMPUTED_VALUE"""),102551680)</f>
        <v>102551680</v>
      </c>
    </row>
    <row r="778" customFormat="false" ht="15.75" hidden="false" customHeight="false" outlineLevel="0" collapsed="false">
      <c r="A778" s="6" t="n">
        <f aca="false">IFERROR(__xludf.dummyfunction("""COMPUTED_VALUE"""),45327.6666666667)</f>
        <v>45327.6666666667</v>
      </c>
      <c r="B778" s="5" t="n">
        <f aca="false">IFERROR(__xludf.dummyfunction("""COMPUTED_VALUE"""),188.15)</f>
        <v>188.15</v>
      </c>
      <c r="C778" s="5" t="n">
        <f aca="false">IFERROR(__xludf.dummyfunction("""COMPUTED_VALUE"""),189.25)</f>
        <v>189.25</v>
      </c>
      <c r="D778" s="5" t="n">
        <f aca="false">IFERROR(__xludf.dummyfunction("""COMPUTED_VALUE"""),185.84)</f>
        <v>185.84</v>
      </c>
      <c r="E778" s="5" t="n">
        <f aca="false">IFERROR(__xludf.dummyfunction("""COMPUTED_VALUE"""),187.68)</f>
        <v>187.68</v>
      </c>
      <c r="F778" s="5" t="n">
        <f aca="false">IFERROR(__xludf.dummyfunction("""COMPUTED_VALUE"""),69668820)</f>
        <v>69668820</v>
      </c>
    </row>
    <row r="779" customFormat="false" ht="15.75" hidden="false" customHeight="false" outlineLevel="0" collapsed="false">
      <c r="A779" s="6" t="n">
        <f aca="false">IFERROR(__xludf.dummyfunction("""COMPUTED_VALUE"""),45328.6666666667)</f>
        <v>45328.6666666667</v>
      </c>
      <c r="B779" s="5" t="n">
        <f aca="false">IFERROR(__xludf.dummyfunction("""COMPUTED_VALUE"""),186.86)</f>
        <v>186.86</v>
      </c>
      <c r="C779" s="5" t="n">
        <f aca="false">IFERROR(__xludf.dummyfunction("""COMPUTED_VALUE"""),189.31)</f>
        <v>189.31</v>
      </c>
      <c r="D779" s="5" t="n">
        <f aca="false">IFERROR(__xludf.dummyfunction("""COMPUTED_VALUE"""),186.77)</f>
        <v>186.77</v>
      </c>
      <c r="E779" s="5" t="n">
        <f aca="false">IFERROR(__xludf.dummyfunction("""COMPUTED_VALUE"""),189.3)</f>
        <v>189.3</v>
      </c>
      <c r="F779" s="5" t="n">
        <f aca="false">IFERROR(__xludf.dummyfunction("""COMPUTED_VALUE"""),43490759)</f>
        <v>43490759</v>
      </c>
    </row>
    <row r="780" customFormat="false" ht="15.75" hidden="false" customHeight="false" outlineLevel="0" collapsed="false">
      <c r="A780" s="6" t="n">
        <f aca="false">IFERROR(__xludf.dummyfunction("""COMPUTED_VALUE"""),45329.6666666667)</f>
        <v>45329.6666666667</v>
      </c>
      <c r="B780" s="5" t="n">
        <f aca="false">IFERROR(__xludf.dummyfunction("""COMPUTED_VALUE"""),190.64)</f>
        <v>190.64</v>
      </c>
      <c r="C780" s="5" t="n">
        <f aca="false">IFERROR(__xludf.dummyfunction("""COMPUTED_VALUE"""),191.05)</f>
        <v>191.05</v>
      </c>
      <c r="D780" s="5" t="n">
        <f aca="false">IFERROR(__xludf.dummyfunction("""COMPUTED_VALUE"""),188.61)</f>
        <v>188.61</v>
      </c>
      <c r="E780" s="5" t="n">
        <f aca="false">IFERROR(__xludf.dummyfunction("""COMPUTED_VALUE"""),189.41)</f>
        <v>189.41</v>
      </c>
      <c r="F780" s="5" t="n">
        <f aca="false">IFERROR(__xludf.dummyfunction("""COMPUTED_VALUE"""),53438955)</f>
        <v>53438955</v>
      </c>
    </row>
    <row r="781" customFormat="false" ht="15.75" hidden="false" customHeight="false" outlineLevel="0" collapsed="false">
      <c r="A781" s="6" t="n">
        <f aca="false">IFERROR(__xludf.dummyfunction("""COMPUTED_VALUE"""),45330.6666666667)</f>
        <v>45330.6666666667</v>
      </c>
      <c r="B781" s="5" t="n">
        <f aca="false">IFERROR(__xludf.dummyfunction("""COMPUTED_VALUE"""),189.39)</f>
        <v>189.39</v>
      </c>
      <c r="C781" s="5" t="n">
        <f aca="false">IFERROR(__xludf.dummyfunction("""COMPUTED_VALUE"""),189.54)</f>
        <v>189.54</v>
      </c>
      <c r="D781" s="5" t="n">
        <f aca="false">IFERROR(__xludf.dummyfunction("""COMPUTED_VALUE"""),187.35)</f>
        <v>187.35</v>
      </c>
      <c r="E781" s="5" t="n">
        <f aca="false">IFERROR(__xludf.dummyfunction("""COMPUTED_VALUE"""),188.32)</f>
        <v>188.32</v>
      </c>
      <c r="F781" s="5" t="n">
        <f aca="false">IFERROR(__xludf.dummyfunction("""COMPUTED_VALUE"""),40962046)</f>
        <v>40962046</v>
      </c>
    </row>
    <row r="782" customFormat="false" ht="15.75" hidden="false" customHeight="false" outlineLevel="0" collapsed="false">
      <c r="A782" s="6" t="n">
        <f aca="false">IFERROR(__xludf.dummyfunction("""COMPUTED_VALUE"""),45331.6666666667)</f>
        <v>45331.6666666667</v>
      </c>
      <c r="B782" s="5" t="n">
        <f aca="false">IFERROR(__xludf.dummyfunction("""COMPUTED_VALUE"""),188.65)</f>
        <v>188.65</v>
      </c>
      <c r="C782" s="5" t="n">
        <f aca="false">IFERROR(__xludf.dummyfunction("""COMPUTED_VALUE"""),189.99)</f>
        <v>189.99</v>
      </c>
      <c r="D782" s="5" t="n">
        <f aca="false">IFERROR(__xludf.dummyfunction("""COMPUTED_VALUE"""),188)</f>
        <v>188</v>
      </c>
      <c r="E782" s="5" t="n">
        <f aca="false">IFERROR(__xludf.dummyfunction("""COMPUTED_VALUE"""),188.85)</f>
        <v>188.85</v>
      </c>
      <c r="F782" s="5" t="n">
        <f aca="false">IFERROR(__xludf.dummyfunction("""COMPUTED_VALUE"""),45155216)</f>
        <v>45155216</v>
      </c>
    </row>
    <row r="783" customFormat="false" ht="15.75" hidden="false" customHeight="false" outlineLevel="0" collapsed="false">
      <c r="A783" s="6" t="n">
        <f aca="false">IFERROR(__xludf.dummyfunction("""COMPUTED_VALUE"""),45334.6666666667)</f>
        <v>45334.6666666667</v>
      </c>
      <c r="B783" s="5" t="n">
        <f aca="false">IFERROR(__xludf.dummyfunction("""COMPUTED_VALUE"""),188.42)</f>
        <v>188.42</v>
      </c>
      <c r="C783" s="5" t="n">
        <f aca="false">IFERROR(__xludf.dummyfunction("""COMPUTED_VALUE"""),188.67)</f>
        <v>188.67</v>
      </c>
      <c r="D783" s="5" t="n">
        <f aca="false">IFERROR(__xludf.dummyfunction("""COMPUTED_VALUE"""),186.79)</f>
        <v>186.79</v>
      </c>
      <c r="E783" s="5" t="n">
        <f aca="false">IFERROR(__xludf.dummyfunction("""COMPUTED_VALUE"""),187.15)</f>
        <v>187.15</v>
      </c>
      <c r="F783" s="5" t="n">
        <f aca="false">IFERROR(__xludf.dummyfunction("""COMPUTED_VALUE"""),41781934)</f>
        <v>41781934</v>
      </c>
    </row>
    <row r="784" customFormat="false" ht="15.75" hidden="false" customHeight="false" outlineLevel="0" collapsed="false">
      <c r="A784" s="6" t="n">
        <f aca="false">IFERROR(__xludf.dummyfunction("""COMPUTED_VALUE"""),45335.6666666667)</f>
        <v>45335.6666666667</v>
      </c>
      <c r="B784" s="5" t="n">
        <f aca="false">IFERROR(__xludf.dummyfunction("""COMPUTED_VALUE"""),185.77)</f>
        <v>185.77</v>
      </c>
      <c r="C784" s="5" t="n">
        <f aca="false">IFERROR(__xludf.dummyfunction("""COMPUTED_VALUE"""),186.21)</f>
        <v>186.21</v>
      </c>
      <c r="D784" s="5" t="n">
        <f aca="false">IFERROR(__xludf.dummyfunction("""COMPUTED_VALUE"""),183.51)</f>
        <v>183.51</v>
      </c>
      <c r="E784" s="5" t="n">
        <f aca="false">IFERROR(__xludf.dummyfunction("""COMPUTED_VALUE"""),185.04)</f>
        <v>185.04</v>
      </c>
      <c r="F784" s="5" t="n">
        <f aca="false">IFERROR(__xludf.dummyfunction("""COMPUTED_VALUE"""),56529529)</f>
        <v>56529529</v>
      </c>
    </row>
    <row r="785" customFormat="false" ht="15.75" hidden="false" customHeight="false" outlineLevel="0" collapsed="false">
      <c r="A785" s="6" t="n">
        <f aca="false">IFERROR(__xludf.dummyfunction("""COMPUTED_VALUE"""),45336.6666666667)</f>
        <v>45336.6666666667</v>
      </c>
      <c r="B785" s="5" t="n">
        <f aca="false">IFERROR(__xludf.dummyfunction("""COMPUTED_VALUE"""),185.32)</f>
        <v>185.32</v>
      </c>
      <c r="C785" s="5" t="n">
        <f aca="false">IFERROR(__xludf.dummyfunction("""COMPUTED_VALUE"""),185.53)</f>
        <v>185.53</v>
      </c>
      <c r="D785" s="5" t="n">
        <f aca="false">IFERROR(__xludf.dummyfunction("""COMPUTED_VALUE"""),182.44)</f>
        <v>182.44</v>
      </c>
      <c r="E785" s="5" t="n">
        <f aca="false">IFERROR(__xludf.dummyfunction("""COMPUTED_VALUE"""),184.15)</f>
        <v>184.15</v>
      </c>
      <c r="F785" s="5" t="n">
        <f aca="false">IFERROR(__xludf.dummyfunction("""COMPUTED_VALUE"""),54630517)</f>
        <v>54630517</v>
      </c>
    </row>
    <row r="786" customFormat="false" ht="15.75" hidden="false" customHeight="false" outlineLevel="0" collapsed="false">
      <c r="A786" s="6" t="n">
        <f aca="false">IFERROR(__xludf.dummyfunction("""COMPUTED_VALUE"""),45337.6666666667)</f>
        <v>45337.6666666667</v>
      </c>
      <c r="B786" s="5" t="n">
        <f aca="false">IFERROR(__xludf.dummyfunction("""COMPUTED_VALUE"""),183.55)</f>
        <v>183.55</v>
      </c>
      <c r="C786" s="5" t="n">
        <f aca="false">IFERROR(__xludf.dummyfunction("""COMPUTED_VALUE"""),184.49)</f>
        <v>184.49</v>
      </c>
      <c r="D786" s="5" t="n">
        <f aca="false">IFERROR(__xludf.dummyfunction("""COMPUTED_VALUE"""),181.35)</f>
        <v>181.35</v>
      </c>
      <c r="E786" s="5" t="n">
        <f aca="false">IFERROR(__xludf.dummyfunction("""COMPUTED_VALUE"""),183.86)</f>
        <v>183.86</v>
      </c>
      <c r="F786" s="5" t="n">
        <f aca="false">IFERROR(__xludf.dummyfunction("""COMPUTED_VALUE"""),65434496)</f>
        <v>65434496</v>
      </c>
    </row>
    <row r="787" customFormat="false" ht="15.75" hidden="false" customHeight="false" outlineLevel="0" collapsed="false">
      <c r="A787" s="6" t="n">
        <f aca="false">IFERROR(__xludf.dummyfunction("""COMPUTED_VALUE"""),45338.6666666667)</f>
        <v>45338.6666666667</v>
      </c>
      <c r="B787" s="5" t="n">
        <f aca="false">IFERROR(__xludf.dummyfunction("""COMPUTED_VALUE"""),183.42)</f>
        <v>183.42</v>
      </c>
      <c r="C787" s="5" t="n">
        <f aca="false">IFERROR(__xludf.dummyfunction("""COMPUTED_VALUE"""),184.85)</f>
        <v>184.85</v>
      </c>
      <c r="D787" s="5" t="n">
        <f aca="false">IFERROR(__xludf.dummyfunction("""COMPUTED_VALUE"""),181.67)</f>
        <v>181.67</v>
      </c>
      <c r="E787" s="5" t="n">
        <f aca="false">IFERROR(__xludf.dummyfunction("""COMPUTED_VALUE"""),182.31)</f>
        <v>182.31</v>
      </c>
      <c r="F787" s="5" t="n">
        <f aca="false">IFERROR(__xludf.dummyfunction("""COMPUTED_VALUE"""),49752465)</f>
        <v>49752465</v>
      </c>
    </row>
    <row r="788" customFormat="false" ht="15.75" hidden="false" customHeight="false" outlineLevel="0" collapsed="false">
      <c r="A788" s="6" t="n">
        <f aca="false">IFERROR(__xludf.dummyfunction("""COMPUTED_VALUE"""),45342.6666666667)</f>
        <v>45342.6666666667</v>
      </c>
      <c r="B788" s="5" t="n">
        <f aca="false">IFERROR(__xludf.dummyfunction("""COMPUTED_VALUE"""),181.79)</f>
        <v>181.79</v>
      </c>
      <c r="C788" s="5" t="n">
        <f aca="false">IFERROR(__xludf.dummyfunction("""COMPUTED_VALUE"""),182.43)</f>
        <v>182.43</v>
      </c>
      <c r="D788" s="5" t="n">
        <f aca="false">IFERROR(__xludf.dummyfunction("""COMPUTED_VALUE"""),180)</f>
        <v>180</v>
      </c>
      <c r="E788" s="5" t="n">
        <f aca="false">IFERROR(__xludf.dummyfunction("""COMPUTED_VALUE"""),181.56)</f>
        <v>181.56</v>
      </c>
      <c r="F788" s="5" t="n">
        <f aca="false">IFERROR(__xludf.dummyfunction("""COMPUTED_VALUE"""),53665553)</f>
        <v>53665553</v>
      </c>
    </row>
    <row r="789" customFormat="false" ht="15.75" hidden="false" customHeight="false" outlineLevel="0" collapsed="false">
      <c r="A789" s="6" t="n">
        <f aca="false">IFERROR(__xludf.dummyfunction("""COMPUTED_VALUE"""),45343.6666666667)</f>
        <v>45343.6666666667</v>
      </c>
      <c r="B789" s="5" t="n">
        <f aca="false">IFERROR(__xludf.dummyfunction("""COMPUTED_VALUE"""),181.94)</f>
        <v>181.94</v>
      </c>
      <c r="C789" s="5" t="n">
        <f aca="false">IFERROR(__xludf.dummyfunction("""COMPUTED_VALUE"""),182.89)</f>
        <v>182.89</v>
      </c>
      <c r="D789" s="5" t="n">
        <f aca="false">IFERROR(__xludf.dummyfunction("""COMPUTED_VALUE"""),180.66)</f>
        <v>180.66</v>
      </c>
      <c r="E789" s="5" t="n">
        <f aca="false">IFERROR(__xludf.dummyfunction("""COMPUTED_VALUE"""),182.32)</f>
        <v>182.32</v>
      </c>
      <c r="F789" s="5" t="n">
        <f aca="false">IFERROR(__xludf.dummyfunction("""COMPUTED_VALUE"""),41529674)</f>
        <v>41529674</v>
      </c>
    </row>
    <row r="790" customFormat="false" ht="15.75" hidden="false" customHeight="false" outlineLevel="0" collapsed="false">
      <c r="A790" s="6" t="n">
        <f aca="false">IFERROR(__xludf.dummyfunction("""COMPUTED_VALUE"""),45344.6666666667)</f>
        <v>45344.6666666667</v>
      </c>
      <c r="B790" s="5" t="n">
        <f aca="false">IFERROR(__xludf.dummyfunction("""COMPUTED_VALUE"""),183.48)</f>
        <v>183.48</v>
      </c>
      <c r="C790" s="5" t="n">
        <f aca="false">IFERROR(__xludf.dummyfunction("""COMPUTED_VALUE"""),184.96)</f>
        <v>184.96</v>
      </c>
      <c r="D790" s="5" t="n">
        <f aca="false">IFERROR(__xludf.dummyfunction("""COMPUTED_VALUE"""),182.46)</f>
        <v>182.46</v>
      </c>
      <c r="E790" s="5" t="n">
        <f aca="false">IFERROR(__xludf.dummyfunction("""COMPUTED_VALUE"""),184.37)</f>
        <v>184.37</v>
      </c>
      <c r="F790" s="5" t="n">
        <f aca="false">IFERROR(__xludf.dummyfunction("""COMPUTED_VALUE"""),52292208)</f>
        <v>52292208</v>
      </c>
    </row>
    <row r="791" customFormat="false" ht="15.75" hidden="false" customHeight="false" outlineLevel="0" collapsed="false">
      <c r="A791" s="6" t="n">
        <f aca="false">IFERROR(__xludf.dummyfunction("""COMPUTED_VALUE"""),45345.6666666667)</f>
        <v>45345.6666666667</v>
      </c>
      <c r="B791" s="5" t="n">
        <f aca="false">IFERROR(__xludf.dummyfunction("""COMPUTED_VALUE"""),185.01)</f>
        <v>185.01</v>
      </c>
      <c r="C791" s="5" t="n">
        <f aca="false">IFERROR(__xludf.dummyfunction("""COMPUTED_VALUE"""),185.04)</f>
        <v>185.04</v>
      </c>
      <c r="D791" s="5" t="n">
        <f aca="false">IFERROR(__xludf.dummyfunction("""COMPUTED_VALUE"""),182.23)</f>
        <v>182.23</v>
      </c>
      <c r="E791" s="5" t="n">
        <f aca="false">IFERROR(__xludf.dummyfunction("""COMPUTED_VALUE"""),182.52)</f>
        <v>182.52</v>
      </c>
      <c r="F791" s="5" t="n">
        <f aca="false">IFERROR(__xludf.dummyfunction("""COMPUTED_VALUE"""),45119677)</f>
        <v>45119677</v>
      </c>
    </row>
    <row r="792" customFormat="false" ht="15.75" hidden="false" customHeight="false" outlineLevel="0" collapsed="false">
      <c r="A792" s="6" t="n">
        <f aca="false">IFERROR(__xludf.dummyfunction("""COMPUTED_VALUE"""),45348.6666666667)</f>
        <v>45348.6666666667</v>
      </c>
      <c r="B792" s="5" t="n">
        <f aca="false">IFERROR(__xludf.dummyfunction("""COMPUTED_VALUE"""),182.24)</f>
        <v>182.24</v>
      </c>
      <c r="C792" s="5" t="n">
        <f aca="false">IFERROR(__xludf.dummyfunction("""COMPUTED_VALUE"""),182.76)</f>
        <v>182.76</v>
      </c>
      <c r="D792" s="5" t="n">
        <f aca="false">IFERROR(__xludf.dummyfunction("""COMPUTED_VALUE"""),180.65)</f>
        <v>180.65</v>
      </c>
      <c r="E792" s="5" t="n">
        <f aca="false">IFERROR(__xludf.dummyfunction("""COMPUTED_VALUE"""),181.16)</f>
        <v>181.16</v>
      </c>
      <c r="F792" s="5" t="n">
        <f aca="false">IFERROR(__xludf.dummyfunction("""COMPUTED_VALUE"""),40867421)</f>
        <v>40867421</v>
      </c>
    </row>
    <row r="793" customFormat="false" ht="15.75" hidden="false" customHeight="false" outlineLevel="0" collapsed="false">
      <c r="A793" s="6" t="n">
        <f aca="false">IFERROR(__xludf.dummyfunction("""COMPUTED_VALUE"""),45349.6666666667)</f>
        <v>45349.6666666667</v>
      </c>
      <c r="B793" s="5" t="n">
        <f aca="false">IFERROR(__xludf.dummyfunction("""COMPUTED_VALUE"""),181.1)</f>
        <v>181.1</v>
      </c>
      <c r="C793" s="5" t="n">
        <f aca="false">IFERROR(__xludf.dummyfunction("""COMPUTED_VALUE"""),183.92)</f>
        <v>183.92</v>
      </c>
      <c r="D793" s="5" t="n">
        <f aca="false">IFERROR(__xludf.dummyfunction("""COMPUTED_VALUE"""),179.56)</f>
        <v>179.56</v>
      </c>
      <c r="E793" s="5" t="n">
        <f aca="false">IFERROR(__xludf.dummyfunction("""COMPUTED_VALUE"""),182.63)</f>
        <v>182.63</v>
      </c>
      <c r="F793" s="5" t="n">
        <f aca="false">IFERROR(__xludf.dummyfunction("""COMPUTED_VALUE"""),54318851)</f>
        <v>54318851</v>
      </c>
    </row>
    <row r="794" customFormat="false" ht="15.75" hidden="false" customHeight="false" outlineLevel="0" collapsed="false">
      <c r="A794" s="6" t="n">
        <f aca="false">IFERROR(__xludf.dummyfunction("""COMPUTED_VALUE"""),45350.6666666667)</f>
        <v>45350.6666666667</v>
      </c>
      <c r="B794" s="5" t="n">
        <f aca="false">IFERROR(__xludf.dummyfunction("""COMPUTED_VALUE"""),182.51)</f>
        <v>182.51</v>
      </c>
      <c r="C794" s="5" t="n">
        <f aca="false">IFERROR(__xludf.dummyfunction("""COMPUTED_VALUE"""),183.12)</f>
        <v>183.12</v>
      </c>
      <c r="D794" s="5" t="n">
        <f aca="false">IFERROR(__xludf.dummyfunction("""COMPUTED_VALUE"""),180.13)</f>
        <v>180.13</v>
      </c>
      <c r="E794" s="5" t="n">
        <f aca="false">IFERROR(__xludf.dummyfunction("""COMPUTED_VALUE"""),181.42)</f>
        <v>181.42</v>
      </c>
      <c r="F794" s="5" t="n">
        <f aca="false">IFERROR(__xludf.dummyfunction("""COMPUTED_VALUE"""),48953939)</f>
        <v>48953939</v>
      </c>
    </row>
    <row r="795" customFormat="false" ht="15.75" hidden="false" customHeight="false" outlineLevel="0" collapsed="false">
      <c r="A795" s="6" t="n">
        <f aca="false">IFERROR(__xludf.dummyfunction("""COMPUTED_VALUE"""),45351.6666666667)</f>
        <v>45351.6666666667</v>
      </c>
      <c r="B795" s="5" t="n">
        <f aca="false">IFERROR(__xludf.dummyfunction("""COMPUTED_VALUE"""),181.27)</f>
        <v>181.27</v>
      </c>
      <c r="C795" s="5" t="n">
        <f aca="false">IFERROR(__xludf.dummyfunction("""COMPUTED_VALUE"""),182.57)</f>
        <v>182.57</v>
      </c>
      <c r="D795" s="5" t="n">
        <f aca="false">IFERROR(__xludf.dummyfunction("""COMPUTED_VALUE"""),179.53)</f>
        <v>179.53</v>
      </c>
      <c r="E795" s="5" t="n">
        <f aca="false">IFERROR(__xludf.dummyfunction("""COMPUTED_VALUE"""),180.75)</f>
        <v>180.75</v>
      </c>
      <c r="F795" s="5" t="n">
        <f aca="false">IFERROR(__xludf.dummyfunction("""COMPUTED_VALUE"""),136682597)</f>
        <v>136682597</v>
      </c>
    </row>
    <row r="796" customFormat="false" ht="15.75" hidden="false" customHeight="false" outlineLevel="0" collapsed="false">
      <c r="A796" s="6" t="n">
        <f aca="false">IFERROR(__xludf.dummyfunction("""COMPUTED_VALUE"""),45352.6666666667)</f>
        <v>45352.6666666667</v>
      </c>
      <c r="B796" s="5" t="n">
        <f aca="false">IFERROR(__xludf.dummyfunction("""COMPUTED_VALUE"""),179.55)</f>
        <v>179.55</v>
      </c>
      <c r="C796" s="5" t="n">
        <f aca="false">IFERROR(__xludf.dummyfunction("""COMPUTED_VALUE"""),180.53)</f>
        <v>180.53</v>
      </c>
      <c r="D796" s="5" t="n">
        <f aca="false">IFERROR(__xludf.dummyfunction("""COMPUTED_VALUE"""),177.38)</f>
        <v>177.38</v>
      </c>
      <c r="E796" s="5" t="n">
        <f aca="false">IFERROR(__xludf.dummyfunction("""COMPUTED_VALUE"""),179.66)</f>
        <v>179.66</v>
      </c>
      <c r="F796" s="5" t="n">
        <f aca="false">IFERROR(__xludf.dummyfunction("""COMPUTED_VALUE"""),73563082)</f>
        <v>73563082</v>
      </c>
    </row>
    <row r="797" customFormat="false" ht="15.75" hidden="false" customHeight="false" outlineLevel="0" collapsed="false">
      <c r="A797" s="6" t="n">
        <f aca="false">IFERROR(__xludf.dummyfunction("""COMPUTED_VALUE"""),45355.6666666667)</f>
        <v>45355.6666666667</v>
      </c>
      <c r="B797" s="5" t="n">
        <f aca="false">IFERROR(__xludf.dummyfunction("""COMPUTED_VALUE"""),176.15)</f>
        <v>176.15</v>
      </c>
      <c r="C797" s="5" t="n">
        <f aca="false">IFERROR(__xludf.dummyfunction("""COMPUTED_VALUE"""),176.9)</f>
        <v>176.9</v>
      </c>
      <c r="D797" s="5" t="n">
        <f aca="false">IFERROR(__xludf.dummyfunction("""COMPUTED_VALUE"""),173.79)</f>
        <v>173.79</v>
      </c>
      <c r="E797" s="5" t="n">
        <f aca="false">IFERROR(__xludf.dummyfunction("""COMPUTED_VALUE"""),175.1)</f>
        <v>175.1</v>
      </c>
      <c r="F797" s="5" t="n">
        <f aca="false">IFERROR(__xludf.dummyfunction("""COMPUTED_VALUE"""),81510101)</f>
        <v>81510101</v>
      </c>
    </row>
    <row r="798" customFormat="false" ht="15.75" hidden="false" customHeight="false" outlineLevel="0" collapsed="false">
      <c r="A798" s="6" t="n">
        <f aca="false">IFERROR(__xludf.dummyfunction("""COMPUTED_VALUE"""),45356.6666666667)</f>
        <v>45356.6666666667</v>
      </c>
      <c r="B798" s="5" t="n">
        <f aca="false">IFERROR(__xludf.dummyfunction("""COMPUTED_VALUE"""),170.76)</f>
        <v>170.76</v>
      </c>
      <c r="C798" s="5" t="n">
        <f aca="false">IFERROR(__xludf.dummyfunction("""COMPUTED_VALUE"""),172.04)</f>
        <v>172.04</v>
      </c>
      <c r="D798" s="5" t="n">
        <f aca="false">IFERROR(__xludf.dummyfunction("""COMPUTED_VALUE"""),169.62)</f>
        <v>169.62</v>
      </c>
      <c r="E798" s="5" t="n">
        <f aca="false">IFERROR(__xludf.dummyfunction("""COMPUTED_VALUE"""),170.12)</f>
        <v>170.12</v>
      </c>
      <c r="F798" s="5" t="n">
        <f aca="false">IFERROR(__xludf.dummyfunction("""COMPUTED_VALUE"""),95132355)</f>
        <v>95132355</v>
      </c>
    </row>
    <row r="799" customFormat="false" ht="15.75" hidden="false" customHeight="false" outlineLevel="0" collapsed="false">
      <c r="A799" s="6" t="n">
        <f aca="false">IFERROR(__xludf.dummyfunction("""COMPUTED_VALUE"""),45357.6666666667)</f>
        <v>45357.6666666667</v>
      </c>
      <c r="B799" s="5" t="n">
        <f aca="false">IFERROR(__xludf.dummyfunction("""COMPUTED_VALUE"""),171.06)</f>
        <v>171.06</v>
      </c>
      <c r="C799" s="5" t="n">
        <f aca="false">IFERROR(__xludf.dummyfunction("""COMPUTED_VALUE"""),171.24)</f>
        <v>171.24</v>
      </c>
      <c r="D799" s="5" t="n">
        <f aca="false">IFERROR(__xludf.dummyfunction("""COMPUTED_VALUE"""),168.68)</f>
        <v>168.68</v>
      </c>
      <c r="E799" s="5" t="n">
        <f aca="false">IFERROR(__xludf.dummyfunction("""COMPUTED_VALUE"""),169.12)</f>
        <v>169.12</v>
      </c>
      <c r="F799" s="5" t="n">
        <f aca="false">IFERROR(__xludf.dummyfunction("""COMPUTED_VALUE"""),68587707)</f>
        <v>68587707</v>
      </c>
    </row>
    <row r="800" customFormat="false" ht="15.75" hidden="false" customHeight="false" outlineLevel="0" collapsed="false">
      <c r="A800" s="6" t="n">
        <f aca="false">IFERROR(__xludf.dummyfunction("""COMPUTED_VALUE"""),45358.6666666667)</f>
        <v>45358.6666666667</v>
      </c>
      <c r="B800" s="5" t="n">
        <f aca="false">IFERROR(__xludf.dummyfunction("""COMPUTED_VALUE"""),169.15)</f>
        <v>169.15</v>
      </c>
      <c r="C800" s="5" t="n">
        <f aca="false">IFERROR(__xludf.dummyfunction("""COMPUTED_VALUE"""),170.73)</f>
        <v>170.73</v>
      </c>
      <c r="D800" s="5" t="n">
        <f aca="false">IFERROR(__xludf.dummyfunction("""COMPUTED_VALUE"""),168.49)</f>
        <v>168.49</v>
      </c>
      <c r="E800" s="5" t="n">
        <f aca="false">IFERROR(__xludf.dummyfunction("""COMPUTED_VALUE"""),169)</f>
        <v>169</v>
      </c>
      <c r="F800" s="5" t="n">
        <f aca="false">IFERROR(__xludf.dummyfunction("""COMPUTED_VALUE"""),71765061)</f>
        <v>71765061</v>
      </c>
    </row>
    <row r="801" customFormat="false" ht="15.75" hidden="false" customHeight="false" outlineLevel="0" collapsed="false">
      <c r="A801" s="6" t="n">
        <f aca="false">IFERROR(__xludf.dummyfunction("""COMPUTED_VALUE"""),45359.6666666667)</f>
        <v>45359.6666666667</v>
      </c>
      <c r="B801" s="5" t="n">
        <f aca="false">IFERROR(__xludf.dummyfunction("""COMPUTED_VALUE"""),169)</f>
        <v>169</v>
      </c>
      <c r="C801" s="5" t="n">
        <f aca="false">IFERROR(__xludf.dummyfunction("""COMPUTED_VALUE"""),173.7)</f>
        <v>173.7</v>
      </c>
      <c r="D801" s="5" t="n">
        <f aca="false">IFERROR(__xludf.dummyfunction("""COMPUTED_VALUE"""),168.94)</f>
        <v>168.94</v>
      </c>
      <c r="E801" s="5" t="n">
        <f aca="false">IFERROR(__xludf.dummyfunction("""COMPUTED_VALUE"""),170.73)</f>
        <v>170.73</v>
      </c>
      <c r="F801" s="5" t="n">
        <f aca="false">IFERROR(__xludf.dummyfunction("""COMPUTED_VALUE"""),76267041)</f>
        <v>76267041</v>
      </c>
    </row>
    <row r="802" customFormat="false" ht="15.75" hidden="false" customHeight="false" outlineLevel="0" collapsed="false">
      <c r="A802" s="6" t="n">
        <f aca="false">IFERROR(__xludf.dummyfunction("""COMPUTED_VALUE"""),45362.6666666667)</f>
        <v>45362.6666666667</v>
      </c>
      <c r="B802" s="5" t="n">
        <f aca="false">IFERROR(__xludf.dummyfunction("""COMPUTED_VALUE"""),172.94)</f>
        <v>172.94</v>
      </c>
      <c r="C802" s="5" t="n">
        <f aca="false">IFERROR(__xludf.dummyfunction("""COMPUTED_VALUE"""),174.38)</f>
        <v>174.38</v>
      </c>
      <c r="D802" s="5" t="n">
        <f aca="false">IFERROR(__xludf.dummyfunction("""COMPUTED_VALUE"""),172.05)</f>
        <v>172.05</v>
      </c>
      <c r="E802" s="5" t="n">
        <f aca="false">IFERROR(__xludf.dummyfunction("""COMPUTED_VALUE"""),172.75)</f>
        <v>172.75</v>
      </c>
      <c r="F802" s="5" t="n">
        <f aca="false">IFERROR(__xludf.dummyfunction("""COMPUTED_VALUE"""),60139473)</f>
        <v>60139473</v>
      </c>
    </row>
    <row r="803" customFormat="false" ht="15.75" hidden="false" customHeight="false" outlineLevel="0" collapsed="false">
      <c r="A803" s="6" t="n">
        <f aca="false">IFERROR(__xludf.dummyfunction("""COMPUTED_VALUE"""),45363.6666666667)</f>
        <v>45363.6666666667</v>
      </c>
      <c r="B803" s="5" t="n">
        <f aca="false">IFERROR(__xludf.dummyfunction("""COMPUTED_VALUE"""),173.15)</f>
        <v>173.15</v>
      </c>
      <c r="C803" s="5" t="n">
        <f aca="false">IFERROR(__xludf.dummyfunction("""COMPUTED_VALUE"""),174.03)</f>
        <v>174.03</v>
      </c>
      <c r="D803" s="5" t="n">
        <f aca="false">IFERROR(__xludf.dummyfunction("""COMPUTED_VALUE"""),171.01)</f>
        <v>171.01</v>
      </c>
      <c r="E803" s="5" t="n">
        <f aca="false">IFERROR(__xludf.dummyfunction("""COMPUTED_VALUE"""),173.23)</f>
        <v>173.23</v>
      </c>
      <c r="F803" s="5" t="n">
        <f aca="false">IFERROR(__xludf.dummyfunction("""COMPUTED_VALUE"""),59825372)</f>
        <v>59825372</v>
      </c>
    </row>
    <row r="804" customFormat="false" ht="15.75" hidden="false" customHeight="false" outlineLevel="0" collapsed="false">
      <c r="A804" s="6" t="n">
        <f aca="false">IFERROR(__xludf.dummyfunction("""COMPUTED_VALUE"""),45364.6666666667)</f>
        <v>45364.6666666667</v>
      </c>
      <c r="B804" s="5" t="n">
        <f aca="false">IFERROR(__xludf.dummyfunction("""COMPUTED_VALUE"""),172.77)</f>
        <v>172.77</v>
      </c>
      <c r="C804" s="5" t="n">
        <f aca="false">IFERROR(__xludf.dummyfunction("""COMPUTED_VALUE"""),173.19)</f>
        <v>173.19</v>
      </c>
      <c r="D804" s="5" t="n">
        <f aca="false">IFERROR(__xludf.dummyfunction("""COMPUTED_VALUE"""),170.76)</f>
        <v>170.76</v>
      </c>
      <c r="E804" s="5" t="n">
        <f aca="false">IFERROR(__xludf.dummyfunction("""COMPUTED_VALUE"""),171.13)</f>
        <v>171.13</v>
      </c>
      <c r="F804" s="5" t="n">
        <f aca="false">IFERROR(__xludf.dummyfunction("""COMPUTED_VALUE"""),52488692)</f>
        <v>52488692</v>
      </c>
    </row>
    <row r="805" customFormat="false" ht="15.75" hidden="false" customHeight="false" outlineLevel="0" collapsed="false">
      <c r="A805" s="6" t="n">
        <f aca="false">IFERROR(__xludf.dummyfunction("""COMPUTED_VALUE"""),45365.6666666667)</f>
        <v>45365.6666666667</v>
      </c>
      <c r="B805" s="5" t="n">
        <f aca="false">IFERROR(__xludf.dummyfunction("""COMPUTED_VALUE"""),172.91)</f>
        <v>172.91</v>
      </c>
      <c r="C805" s="5" t="n">
        <f aca="false">IFERROR(__xludf.dummyfunction("""COMPUTED_VALUE"""),174.31)</f>
        <v>174.31</v>
      </c>
      <c r="D805" s="5" t="n">
        <f aca="false">IFERROR(__xludf.dummyfunction("""COMPUTED_VALUE"""),172.05)</f>
        <v>172.05</v>
      </c>
      <c r="E805" s="5" t="n">
        <f aca="false">IFERROR(__xludf.dummyfunction("""COMPUTED_VALUE"""),173)</f>
        <v>173</v>
      </c>
      <c r="F805" s="5" t="n">
        <f aca="false">IFERROR(__xludf.dummyfunction("""COMPUTED_VALUE"""),72913507)</f>
        <v>72913507</v>
      </c>
    </row>
    <row r="806" customFormat="false" ht="15.75" hidden="false" customHeight="false" outlineLevel="0" collapsed="false">
      <c r="A806" s="6" t="n">
        <f aca="false">IFERROR(__xludf.dummyfunction("""COMPUTED_VALUE"""),45366.6666666667)</f>
        <v>45366.6666666667</v>
      </c>
      <c r="B806" s="5" t="n">
        <f aca="false">IFERROR(__xludf.dummyfunction("""COMPUTED_VALUE"""),171.17)</f>
        <v>171.17</v>
      </c>
      <c r="C806" s="5" t="n">
        <f aca="false">IFERROR(__xludf.dummyfunction("""COMPUTED_VALUE"""),172.62)</f>
        <v>172.62</v>
      </c>
      <c r="D806" s="5" t="n">
        <f aca="false">IFERROR(__xludf.dummyfunction("""COMPUTED_VALUE"""),170.29)</f>
        <v>170.29</v>
      </c>
      <c r="E806" s="5" t="n">
        <f aca="false">IFERROR(__xludf.dummyfunction("""COMPUTED_VALUE"""),172.62)</f>
        <v>172.62</v>
      </c>
      <c r="F806" s="5" t="n">
        <f aca="false">IFERROR(__xludf.dummyfunction("""COMPUTED_VALUE"""),121752699)</f>
        <v>121752699</v>
      </c>
    </row>
    <row r="807" customFormat="false" ht="15.75" hidden="false" customHeight="false" outlineLevel="0" collapsed="false">
      <c r="A807" s="6" t="n">
        <f aca="false">IFERROR(__xludf.dummyfunction("""COMPUTED_VALUE"""),45369.6666666667)</f>
        <v>45369.6666666667</v>
      </c>
      <c r="B807" s="5" t="n">
        <f aca="false">IFERROR(__xludf.dummyfunction("""COMPUTED_VALUE"""),175.57)</f>
        <v>175.57</v>
      </c>
      <c r="C807" s="5" t="n">
        <f aca="false">IFERROR(__xludf.dummyfunction("""COMPUTED_VALUE"""),177.71)</f>
        <v>177.71</v>
      </c>
      <c r="D807" s="5" t="n">
        <f aca="false">IFERROR(__xludf.dummyfunction("""COMPUTED_VALUE"""),173.52)</f>
        <v>173.52</v>
      </c>
      <c r="E807" s="5" t="n">
        <f aca="false">IFERROR(__xludf.dummyfunction("""COMPUTED_VALUE"""),173.72)</f>
        <v>173.72</v>
      </c>
      <c r="F807" s="5" t="n">
        <f aca="false">IFERROR(__xludf.dummyfunction("""COMPUTED_VALUE"""),75604184)</f>
        <v>75604184</v>
      </c>
    </row>
    <row r="808" customFormat="false" ht="15.75" hidden="false" customHeight="false" outlineLevel="0" collapsed="false">
      <c r="A808" s="6" t="n">
        <f aca="false">IFERROR(__xludf.dummyfunction("""COMPUTED_VALUE"""),45370.6666666667)</f>
        <v>45370.6666666667</v>
      </c>
      <c r="B808" s="5" t="n">
        <f aca="false">IFERROR(__xludf.dummyfunction("""COMPUTED_VALUE"""),174.34)</f>
        <v>174.34</v>
      </c>
      <c r="C808" s="5" t="n">
        <f aca="false">IFERROR(__xludf.dummyfunction("""COMPUTED_VALUE"""),176.61)</f>
        <v>176.61</v>
      </c>
      <c r="D808" s="5" t="n">
        <f aca="false">IFERROR(__xludf.dummyfunction("""COMPUTED_VALUE"""),173.03)</f>
        <v>173.03</v>
      </c>
      <c r="E808" s="5" t="n">
        <f aca="false">IFERROR(__xludf.dummyfunction("""COMPUTED_VALUE"""),176.08)</f>
        <v>176.08</v>
      </c>
      <c r="F808" s="5" t="n">
        <f aca="false">IFERROR(__xludf.dummyfunction("""COMPUTED_VALUE"""),55215244)</f>
        <v>55215244</v>
      </c>
    </row>
    <row r="809" customFormat="false" ht="15.75" hidden="false" customHeight="false" outlineLevel="0" collapsed="false">
      <c r="A809" s="6" t="n">
        <f aca="false">IFERROR(__xludf.dummyfunction("""COMPUTED_VALUE"""),45371.6666666667)</f>
        <v>45371.6666666667</v>
      </c>
      <c r="B809" s="5" t="n">
        <f aca="false">IFERROR(__xludf.dummyfunction("""COMPUTED_VALUE"""),175.72)</f>
        <v>175.72</v>
      </c>
      <c r="C809" s="5" t="n">
        <f aca="false">IFERROR(__xludf.dummyfunction("""COMPUTED_VALUE"""),178.67)</f>
        <v>178.67</v>
      </c>
      <c r="D809" s="5" t="n">
        <f aca="false">IFERROR(__xludf.dummyfunction("""COMPUTED_VALUE"""),175.09)</f>
        <v>175.09</v>
      </c>
      <c r="E809" s="5" t="n">
        <f aca="false">IFERROR(__xludf.dummyfunction("""COMPUTED_VALUE"""),178.67)</f>
        <v>178.67</v>
      </c>
      <c r="F809" s="5" t="n">
        <f aca="false">IFERROR(__xludf.dummyfunction("""COMPUTED_VALUE"""),53423102)</f>
        <v>53423102</v>
      </c>
    </row>
    <row r="810" customFormat="false" ht="15.75" hidden="false" customHeight="false" outlineLevel="0" collapsed="false">
      <c r="A810" s="6" t="n">
        <f aca="false">IFERROR(__xludf.dummyfunction("""COMPUTED_VALUE"""),45372.6666666667)</f>
        <v>45372.6666666667</v>
      </c>
      <c r="B810" s="5" t="n">
        <f aca="false">IFERROR(__xludf.dummyfunction("""COMPUTED_VALUE"""),177.05)</f>
        <v>177.05</v>
      </c>
      <c r="C810" s="5" t="n">
        <f aca="false">IFERROR(__xludf.dummyfunction("""COMPUTED_VALUE"""),177.49)</f>
        <v>177.49</v>
      </c>
      <c r="D810" s="5" t="n">
        <f aca="false">IFERROR(__xludf.dummyfunction("""COMPUTED_VALUE"""),170.84)</f>
        <v>170.84</v>
      </c>
      <c r="E810" s="5" t="n">
        <f aca="false">IFERROR(__xludf.dummyfunction("""COMPUTED_VALUE"""),171.37)</f>
        <v>171.37</v>
      </c>
      <c r="F810" s="5" t="n">
        <f aca="false">IFERROR(__xludf.dummyfunction("""COMPUTED_VALUE"""),106181270)</f>
        <v>106181270</v>
      </c>
    </row>
    <row r="811" customFormat="false" ht="15.75" hidden="false" customHeight="false" outlineLevel="0" collapsed="false">
      <c r="A811" s="6" t="n">
        <f aca="false">IFERROR(__xludf.dummyfunction("""COMPUTED_VALUE"""),45373.6666666667)</f>
        <v>45373.6666666667</v>
      </c>
      <c r="B811" s="5" t="n">
        <f aca="false">IFERROR(__xludf.dummyfunction("""COMPUTED_VALUE"""),171.76)</f>
        <v>171.76</v>
      </c>
      <c r="C811" s="5" t="n">
        <f aca="false">IFERROR(__xludf.dummyfunction("""COMPUTED_VALUE"""),173.05)</f>
        <v>173.05</v>
      </c>
      <c r="D811" s="5" t="n">
        <f aca="false">IFERROR(__xludf.dummyfunction("""COMPUTED_VALUE"""),170.06)</f>
        <v>170.06</v>
      </c>
      <c r="E811" s="5" t="n">
        <f aca="false">IFERROR(__xludf.dummyfunction("""COMPUTED_VALUE"""),172.28)</f>
        <v>172.28</v>
      </c>
      <c r="F811" s="5" t="n">
        <f aca="false">IFERROR(__xludf.dummyfunction("""COMPUTED_VALUE"""),71160138)</f>
        <v>71160138</v>
      </c>
    </row>
    <row r="812" customFormat="false" ht="15.75" hidden="false" customHeight="false" outlineLevel="0" collapsed="false">
      <c r="A812" s="6" t="n">
        <f aca="false">IFERROR(__xludf.dummyfunction("""COMPUTED_VALUE"""),45376.6666666667)</f>
        <v>45376.6666666667</v>
      </c>
      <c r="B812" s="5" t="n">
        <f aca="false">IFERROR(__xludf.dummyfunction("""COMPUTED_VALUE"""),170.57)</f>
        <v>170.57</v>
      </c>
      <c r="C812" s="5" t="n">
        <f aca="false">IFERROR(__xludf.dummyfunction("""COMPUTED_VALUE"""),171.94)</f>
        <v>171.94</v>
      </c>
      <c r="D812" s="5" t="n">
        <f aca="false">IFERROR(__xludf.dummyfunction("""COMPUTED_VALUE"""),169.45)</f>
        <v>169.45</v>
      </c>
      <c r="E812" s="5" t="n">
        <f aca="false">IFERROR(__xludf.dummyfunction("""COMPUTED_VALUE"""),170.85)</f>
        <v>170.85</v>
      </c>
      <c r="F812" s="5" t="n">
        <f aca="false">IFERROR(__xludf.dummyfunction("""COMPUTED_VALUE"""),54288328)</f>
        <v>54288328</v>
      </c>
    </row>
    <row r="813" customFormat="false" ht="15.75" hidden="false" customHeight="false" outlineLevel="0" collapsed="false">
      <c r="A813" s="6" t="n">
        <f aca="false">IFERROR(__xludf.dummyfunction("""COMPUTED_VALUE"""),45377.6666666667)</f>
        <v>45377.6666666667</v>
      </c>
      <c r="B813" s="5" t="n">
        <f aca="false">IFERROR(__xludf.dummyfunction("""COMPUTED_VALUE"""),170)</f>
        <v>170</v>
      </c>
      <c r="C813" s="5" t="n">
        <f aca="false">IFERROR(__xludf.dummyfunction("""COMPUTED_VALUE"""),171.42)</f>
        <v>171.42</v>
      </c>
      <c r="D813" s="5" t="n">
        <f aca="false">IFERROR(__xludf.dummyfunction("""COMPUTED_VALUE"""),169.58)</f>
        <v>169.58</v>
      </c>
      <c r="E813" s="5" t="n">
        <f aca="false">IFERROR(__xludf.dummyfunction("""COMPUTED_VALUE"""),169.71)</f>
        <v>169.71</v>
      </c>
      <c r="F813" s="5" t="n">
        <f aca="false">IFERROR(__xludf.dummyfunction("""COMPUTED_VALUE"""),57388449)</f>
        <v>57388449</v>
      </c>
    </row>
    <row r="814" customFormat="false" ht="15.75" hidden="false" customHeight="false" outlineLevel="0" collapsed="false">
      <c r="A814" s="6" t="n">
        <f aca="false">IFERROR(__xludf.dummyfunction("""COMPUTED_VALUE"""),45378.6666666667)</f>
        <v>45378.6666666667</v>
      </c>
      <c r="B814" s="5" t="n">
        <f aca="false">IFERROR(__xludf.dummyfunction("""COMPUTED_VALUE"""),170.41)</f>
        <v>170.41</v>
      </c>
      <c r="C814" s="5" t="n">
        <f aca="false">IFERROR(__xludf.dummyfunction("""COMPUTED_VALUE"""),173.6)</f>
        <v>173.6</v>
      </c>
      <c r="D814" s="5" t="n">
        <f aca="false">IFERROR(__xludf.dummyfunction("""COMPUTED_VALUE"""),170.11)</f>
        <v>170.11</v>
      </c>
      <c r="E814" s="5" t="n">
        <f aca="false">IFERROR(__xludf.dummyfunction("""COMPUTED_VALUE"""),173.31)</f>
        <v>173.31</v>
      </c>
      <c r="F814" s="5" t="n">
        <f aca="false">IFERROR(__xludf.dummyfunction("""COMPUTED_VALUE"""),60273265)</f>
        <v>60273265</v>
      </c>
    </row>
    <row r="815" customFormat="false" ht="15.75" hidden="false" customHeight="false" outlineLevel="0" collapsed="false">
      <c r="A815" s="6" t="n">
        <f aca="false">IFERROR(__xludf.dummyfunction("""COMPUTED_VALUE"""),45379.6666666667)</f>
        <v>45379.6666666667</v>
      </c>
      <c r="B815" s="5" t="n">
        <f aca="false">IFERROR(__xludf.dummyfunction("""COMPUTED_VALUE"""),171.75)</f>
        <v>171.75</v>
      </c>
      <c r="C815" s="5" t="n">
        <f aca="false">IFERROR(__xludf.dummyfunction("""COMPUTED_VALUE"""),172.23)</f>
        <v>172.23</v>
      </c>
      <c r="D815" s="5" t="n">
        <f aca="false">IFERROR(__xludf.dummyfunction("""COMPUTED_VALUE"""),170.51)</f>
        <v>170.51</v>
      </c>
      <c r="E815" s="5" t="n">
        <f aca="false">IFERROR(__xludf.dummyfunction("""COMPUTED_VALUE"""),171.48)</f>
        <v>171.48</v>
      </c>
      <c r="F815" s="5" t="n">
        <f aca="false">IFERROR(__xludf.dummyfunction("""COMPUTED_VALUE"""),65672690)</f>
        <v>65672690</v>
      </c>
    </row>
    <row r="816" customFormat="false" ht="15.75" hidden="false" customHeight="false" outlineLevel="0" collapsed="false">
      <c r="A816" s="6" t="n">
        <f aca="false">IFERROR(__xludf.dummyfunction("""COMPUTED_VALUE"""),45383.6666666667)</f>
        <v>45383.6666666667</v>
      </c>
      <c r="B816" s="5" t="n">
        <f aca="false">IFERROR(__xludf.dummyfunction("""COMPUTED_VALUE"""),171.19)</f>
        <v>171.19</v>
      </c>
      <c r="C816" s="5" t="n">
        <f aca="false">IFERROR(__xludf.dummyfunction("""COMPUTED_VALUE"""),171.25)</f>
        <v>171.25</v>
      </c>
      <c r="D816" s="5" t="n">
        <f aca="false">IFERROR(__xludf.dummyfunction("""COMPUTED_VALUE"""),169.48)</f>
        <v>169.48</v>
      </c>
      <c r="E816" s="5" t="n">
        <f aca="false">IFERROR(__xludf.dummyfunction("""COMPUTED_VALUE"""),170.03)</f>
        <v>170.03</v>
      </c>
      <c r="F816" s="5" t="n">
        <f aca="false">IFERROR(__xludf.dummyfunction("""COMPUTED_VALUE"""),46240500)</f>
        <v>46240500</v>
      </c>
    </row>
    <row r="817" customFormat="false" ht="15.75" hidden="false" customHeight="false" outlineLevel="0" collapsed="false">
      <c r="A817" s="6" t="n">
        <f aca="false">IFERROR(__xludf.dummyfunction("""COMPUTED_VALUE"""),45384.6666666667)</f>
        <v>45384.6666666667</v>
      </c>
      <c r="B817" s="5" t="n">
        <f aca="false">IFERROR(__xludf.dummyfunction("""COMPUTED_VALUE"""),169.08)</f>
        <v>169.08</v>
      </c>
      <c r="C817" s="5" t="n">
        <f aca="false">IFERROR(__xludf.dummyfunction("""COMPUTED_VALUE"""),169.34)</f>
        <v>169.34</v>
      </c>
      <c r="D817" s="5" t="n">
        <f aca="false">IFERROR(__xludf.dummyfunction("""COMPUTED_VALUE"""),168.23)</f>
        <v>168.23</v>
      </c>
      <c r="E817" s="5" t="n">
        <f aca="false">IFERROR(__xludf.dummyfunction("""COMPUTED_VALUE"""),168.84)</f>
        <v>168.84</v>
      </c>
      <c r="F817" s="5" t="n">
        <f aca="false">IFERROR(__xludf.dummyfunction("""COMPUTED_VALUE"""),49329481)</f>
        <v>49329481</v>
      </c>
    </row>
    <row r="818" customFormat="false" ht="15.75" hidden="false" customHeight="false" outlineLevel="0" collapsed="false">
      <c r="A818" s="6" t="n">
        <f aca="false">IFERROR(__xludf.dummyfunction("""COMPUTED_VALUE"""),45385.6666666667)</f>
        <v>45385.6666666667</v>
      </c>
      <c r="B818" s="5" t="n">
        <f aca="false">IFERROR(__xludf.dummyfunction("""COMPUTED_VALUE"""),168.79)</f>
        <v>168.79</v>
      </c>
      <c r="C818" s="5" t="n">
        <f aca="false">IFERROR(__xludf.dummyfunction("""COMPUTED_VALUE"""),170.68)</f>
        <v>170.68</v>
      </c>
      <c r="D818" s="5" t="n">
        <f aca="false">IFERROR(__xludf.dummyfunction("""COMPUTED_VALUE"""),168.58)</f>
        <v>168.58</v>
      </c>
      <c r="E818" s="5" t="n">
        <f aca="false">IFERROR(__xludf.dummyfunction("""COMPUTED_VALUE"""),169.65)</f>
        <v>169.65</v>
      </c>
      <c r="F818" s="5" t="n">
        <f aca="false">IFERROR(__xludf.dummyfunction("""COMPUTED_VALUE"""),47691715)</f>
        <v>47691715</v>
      </c>
    </row>
    <row r="819" customFormat="false" ht="15.75" hidden="false" customHeight="false" outlineLevel="0" collapsed="false">
      <c r="A819" s="6" t="n">
        <f aca="false">IFERROR(__xludf.dummyfunction("""COMPUTED_VALUE"""),45386.6666666667)</f>
        <v>45386.6666666667</v>
      </c>
      <c r="B819" s="5" t="n">
        <f aca="false">IFERROR(__xludf.dummyfunction("""COMPUTED_VALUE"""),170.29)</f>
        <v>170.29</v>
      </c>
      <c r="C819" s="5" t="n">
        <f aca="false">IFERROR(__xludf.dummyfunction("""COMPUTED_VALUE"""),171.92)</f>
        <v>171.92</v>
      </c>
      <c r="D819" s="5" t="n">
        <f aca="false">IFERROR(__xludf.dummyfunction("""COMPUTED_VALUE"""),168.82)</f>
        <v>168.82</v>
      </c>
      <c r="E819" s="5" t="n">
        <f aca="false">IFERROR(__xludf.dummyfunction("""COMPUTED_VALUE"""),168.82)</f>
        <v>168.82</v>
      </c>
      <c r="F819" s="5" t="n">
        <f aca="false">IFERROR(__xludf.dummyfunction("""COMPUTED_VALUE"""),53704386)</f>
        <v>53704386</v>
      </c>
    </row>
    <row r="820" customFormat="false" ht="15.75" hidden="false" customHeight="false" outlineLevel="0" collapsed="false">
      <c r="A820" s="6" t="n">
        <f aca="false">IFERROR(__xludf.dummyfunction("""COMPUTED_VALUE"""),45387.6666666667)</f>
        <v>45387.6666666667</v>
      </c>
      <c r="B820" s="5" t="n">
        <f aca="false">IFERROR(__xludf.dummyfunction("""COMPUTED_VALUE"""),169.59)</f>
        <v>169.59</v>
      </c>
      <c r="C820" s="5" t="n">
        <f aca="false">IFERROR(__xludf.dummyfunction("""COMPUTED_VALUE"""),170.39)</f>
        <v>170.39</v>
      </c>
      <c r="D820" s="5" t="n">
        <f aca="false">IFERROR(__xludf.dummyfunction("""COMPUTED_VALUE"""),168.95)</f>
        <v>168.95</v>
      </c>
      <c r="E820" s="5" t="n">
        <f aca="false">IFERROR(__xludf.dummyfunction("""COMPUTED_VALUE"""),169.58)</f>
        <v>169.58</v>
      </c>
      <c r="F820" s="5" t="n">
        <f aca="false">IFERROR(__xludf.dummyfunction("""COMPUTED_VALUE"""),42104826)</f>
        <v>42104826</v>
      </c>
    </row>
    <row r="821" customFormat="false" ht="15.75" hidden="false" customHeight="false" outlineLevel="0" collapsed="false">
      <c r="A821" s="6" t="n">
        <f aca="false">IFERROR(__xludf.dummyfunction("""COMPUTED_VALUE"""),45390.6666666667)</f>
        <v>45390.6666666667</v>
      </c>
      <c r="B821" s="5" t="n">
        <f aca="false">IFERROR(__xludf.dummyfunction("""COMPUTED_VALUE"""),169.03)</f>
        <v>169.03</v>
      </c>
      <c r="C821" s="5" t="n">
        <f aca="false">IFERROR(__xludf.dummyfunction("""COMPUTED_VALUE"""),169.2)</f>
        <v>169.2</v>
      </c>
      <c r="D821" s="5" t="n">
        <f aca="false">IFERROR(__xludf.dummyfunction("""COMPUTED_VALUE"""),168.24)</f>
        <v>168.24</v>
      </c>
      <c r="E821" s="5" t="n">
        <f aca="false">IFERROR(__xludf.dummyfunction("""COMPUTED_VALUE"""),168.45)</f>
        <v>168.45</v>
      </c>
      <c r="F821" s="5" t="n">
        <f aca="false">IFERROR(__xludf.dummyfunction("""COMPUTED_VALUE"""),37425513)</f>
        <v>37425513</v>
      </c>
    </row>
    <row r="822" customFormat="false" ht="15.75" hidden="false" customHeight="false" outlineLevel="0" collapsed="false">
      <c r="A822" s="6" t="n">
        <f aca="false">IFERROR(__xludf.dummyfunction("""COMPUTED_VALUE"""),45391.6666666667)</f>
        <v>45391.6666666667</v>
      </c>
      <c r="B822" s="5" t="n">
        <f aca="false">IFERROR(__xludf.dummyfunction("""COMPUTED_VALUE"""),168.7)</f>
        <v>168.7</v>
      </c>
      <c r="C822" s="5" t="n">
        <f aca="false">IFERROR(__xludf.dummyfunction("""COMPUTED_VALUE"""),170.08)</f>
        <v>170.08</v>
      </c>
      <c r="D822" s="5" t="n">
        <f aca="false">IFERROR(__xludf.dummyfunction("""COMPUTED_VALUE"""),168.35)</f>
        <v>168.35</v>
      </c>
      <c r="E822" s="5" t="n">
        <f aca="false">IFERROR(__xludf.dummyfunction("""COMPUTED_VALUE"""),169.67)</f>
        <v>169.67</v>
      </c>
      <c r="F822" s="5" t="n">
        <f aca="false">IFERROR(__xludf.dummyfunction("""COMPUTED_VALUE"""),42451209)</f>
        <v>42451209</v>
      </c>
    </row>
    <row r="823" customFormat="false" ht="15.75" hidden="false" customHeight="false" outlineLevel="0" collapsed="false">
      <c r="A823" s="6" t="n">
        <f aca="false">IFERROR(__xludf.dummyfunction("""COMPUTED_VALUE"""),45392.6666666667)</f>
        <v>45392.6666666667</v>
      </c>
      <c r="B823" s="5" t="n">
        <f aca="false">IFERROR(__xludf.dummyfunction("""COMPUTED_VALUE"""),168.8)</f>
        <v>168.8</v>
      </c>
      <c r="C823" s="5" t="n">
        <f aca="false">IFERROR(__xludf.dummyfunction("""COMPUTED_VALUE"""),169.09)</f>
        <v>169.09</v>
      </c>
      <c r="D823" s="5" t="n">
        <f aca="false">IFERROR(__xludf.dummyfunction("""COMPUTED_VALUE"""),167.11)</f>
        <v>167.11</v>
      </c>
      <c r="E823" s="5" t="n">
        <f aca="false">IFERROR(__xludf.dummyfunction("""COMPUTED_VALUE"""),167.78)</f>
        <v>167.78</v>
      </c>
      <c r="F823" s="5" t="n">
        <f aca="false">IFERROR(__xludf.dummyfunction("""COMPUTED_VALUE"""),49709336)</f>
        <v>49709336</v>
      </c>
    </row>
    <row r="824" customFormat="false" ht="15.75" hidden="false" customHeight="false" outlineLevel="0" collapsed="false">
      <c r="A824" s="6" t="n">
        <f aca="false">IFERROR(__xludf.dummyfunction("""COMPUTED_VALUE"""),45393.6666666667)</f>
        <v>45393.6666666667</v>
      </c>
      <c r="B824" s="5" t="n">
        <f aca="false">IFERROR(__xludf.dummyfunction("""COMPUTED_VALUE"""),168.34)</f>
        <v>168.34</v>
      </c>
      <c r="C824" s="5" t="n">
        <f aca="false">IFERROR(__xludf.dummyfunction("""COMPUTED_VALUE"""),175.46)</f>
        <v>175.46</v>
      </c>
      <c r="D824" s="5" t="n">
        <f aca="false">IFERROR(__xludf.dummyfunction("""COMPUTED_VALUE"""),168.16)</f>
        <v>168.16</v>
      </c>
      <c r="E824" s="5" t="n">
        <f aca="false">IFERROR(__xludf.dummyfunction("""COMPUTED_VALUE"""),175.04)</f>
        <v>175.04</v>
      </c>
      <c r="F824" s="5" t="n">
        <f aca="false">IFERROR(__xludf.dummyfunction("""COMPUTED_VALUE"""),91070275)</f>
        <v>91070275</v>
      </c>
    </row>
    <row r="825" customFormat="false" ht="15.75" hidden="false" customHeight="false" outlineLevel="0" collapsed="false">
      <c r="A825" s="6" t="n">
        <f aca="false">IFERROR(__xludf.dummyfunction("""COMPUTED_VALUE"""),45394.6666666667)</f>
        <v>45394.6666666667</v>
      </c>
      <c r="B825" s="5" t="n">
        <f aca="false">IFERROR(__xludf.dummyfunction("""COMPUTED_VALUE"""),174.26)</f>
        <v>174.26</v>
      </c>
      <c r="C825" s="5" t="n">
        <f aca="false">IFERROR(__xludf.dummyfunction("""COMPUTED_VALUE"""),178.36)</f>
        <v>178.36</v>
      </c>
      <c r="D825" s="5" t="n">
        <f aca="false">IFERROR(__xludf.dummyfunction("""COMPUTED_VALUE"""),174.21)</f>
        <v>174.21</v>
      </c>
      <c r="E825" s="5" t="n">
        <f aca="false">IFERROR(__xludf.dummyfunction("""COMPUTED_VALUE"""),176.55)</f>
        <v>176.55</v>
      </c>
      <c r="F825" s="5" t="n">
        <f aca="false">IFERROR(__xludf.dummyfunction("""COMPUTED_VALUE"""),101670886)</f>
        <v>101670886</v>
      </c>
    </row>
    <row r="826" customFormat="false" ht="15.75" hidden="false" customHeight="false" outlineLevel="0" collapsed="false">
      <c r="A826" s="6" t="n">
        <f aca="false">IFERROR(__xludf.dummyfunction("""COMPUTED_VALUE"""),45397.6666666667)</f>
        <v>45397.6666666667</v>
      </c>
      <c r="B826" s="5" t="n">
        <f aca="false">IFERROR(__xludf.dummyfunction("""COMPUTED_VALUE"""),175.36)</f>
        <v>175.36</v>
      </c>
      <c r="C826" s="5" t="n">
        <f aca="false">IFERROR(__xludf.dummyfunction("""COMPUTED_VALUE"""),176.63)</f>
        <v>176.63</v>
      </c>
      <c r="D826" s="5" t="n">
        <f aca="false">IFERROR(__xludf.dummyfunction("""COMPUTED_VALUE"""),172.5)</f>
        <v>172.5</v>
      </c>
      <c r="E826" s="5" t="n">
        <f aca="false">IFERROR(__xludf.dummyfunction("""COMPUTED_VALUE"""),172.69)</f>
        <v>172.69</v>
      </c>
      <c r="F826" s="5" t="n">
        <f aca="false">IFERROR(__xludf.dummyfunction("""COMPUTED_VALUE"""),73531773)</f>
        <v>73531773</v>
      </c>
    </row>
    <row r="827" customFormat="false" ht="15.75" hidden="false" customHeight="false" outlineLevel="0" collapsed="false">
      <c r="A827" s="6" t="n">
        <f aca="false">IFERROR(__xludf.dummyfunction("""COMPUTED_VALUE"""),45398.6666666667)</f>
        <v>45398.6666666667</v>
      </c>
      <c r="B827" s="5" t="n">
        <f aca="false">IFERROR(__xludf.dummyfunction("""COMPUTED_VALUE"""),171.75)</f>
        <v>171.75</v>
      </c>
      <c r="C827" s="5" t="n">
        <f aca="false">IFERROR(__xludf.dummyfunction("""COMPUTED_VALUE"""),173.76)</f>
        <v>173.76</v>
      </c>
      <c r="D827" s="5" t="n">
        <f aca="false">IFERROR(__xludf.dummyfunction("""COMPUTED_VALUE"""),168.27)</f>
        <v>168.27</v>
      </c>
      <c r="E827" s="5" t="n">
        <f aca="false">IFERROR(__xludf.dummyfunction("""COMPUTED_VALUE"""),169.38)</f>
        <v>169.38</v>
      </c>
      <c r="F827" s="5" t="n">
        <f aca="false">IFERROR(__xludf.dummyfunction("""COMPUTED_VALUE"""),73711235)</f>
        <v>73711235</v>
      </c>
    </row>
    <row r="828" customFormat="false" ht="15.75" hidden="false" customHeight="false" outlineLevel="0" collapsed="false">
      <c r="A828" s="6" t="n">
        <f aca="false">IFERROR(__xludf.dummyfunction("""COMPUTED_VALUE"""),45399.6666666667)</f>
        <v>45399.6666666667</v>
      </c>
      <c r="B828" s="5" t="n">
        <f aca="false">IFERROR(__xludf.dummyfunction("""COMPUTED_VALUE"""),169.61)</f>
        <v>169.61</v>
      </c>
      <c r="C828" s="5" t="n">
        <f aca="false">IFERROR(__xludf.dummyfunction("""COMPUTED_VALUE"""),170.65)</f>
        <v>170.65</v>
      </c>
      <c r="D828" s="5" t="n">
        <f aca="false">IFERROR(__xludf.dummyfunction("""COMPUTED_VALUE"""),168)</f>
        <v>168</v>
      </c>
      <c r="E828" s="5" t="n">
        <f aca="false">IFERROR(__xludf.dummyfunction("""COMPUTED_VALUE"""),168)</f>
        <v>168</v>
      </c>
      <c r="F828" s="5" t="n">
        <f aca="false">IFERROR(__xludf.dummyfunction("""COMPUTED_VALUE"""),50901210)</f>
        <v>50901210</v>
      </c>
    </row>
    <row r="829" customFormat="false" ht="15.75" hidden="false" customHeight="false" outlineLevel="0" collapsed="false">
      <c r="A829" s="6" t="n">
        <f aca="false">IFERROR(__xludf.dummyfunction("""COMPUTED_VALUE"""),45400.6666666667)</f>
        <v>45400.6666666667</v>
      </c>
      <c r="B829" s="5" t="n">
        <f aca="false">IFERROR(__xludf.dummyfunction("""COMPUTED_VALUE"""),168.03)</f>
        <v>168.03</v>
      </c>
      <c r="C829" s="5" t="n">
        <f aca="false">IFERROR(__xludf.dummyfunction("""COMPUTED_VALUE"""),168.64)</f>
        <v>168.64</v>
      </c>
      <c r="D829" s="5" t="n">
        <f aca="false">IFERROR(__xludf.dummyfunction("""COMPUTED_VALUE"""),166.55)</f>
        <v>166.55</v>
      </c>
      <c r="E829" s="5" t="n">
        <f aca="false">IFERROR(__xludf.dummyfunction("""COMPUTED_VALUE"""),167.04)</f>
        <v>167.04</v>
      </c>
      <c r="F829" s="5" t="n">
        <f aca="false">IFERROR(__xludf.dummyfunction("""COMPUTED_VALUE"""),43122903)</f>
        <v>43122903</v>
      </c>
    </row>
    <row r="830" customFormat="false" ht="15.75" hidden="false" customHeight="false" outlineLevel="0" collapsed="false">
      <c r="A830" s="6" t="n">
        <f aca="false">IFERROR(__xludf.dummyfunction("""COMPUTED_VALUE"""),45401.6666666667)</f>
        <v>45401.6666666667</v>
      </c>
      <c r="B830" s="5" t="n">
        <f aca="false">IFERROR(__xludf.dummyfunction("""COMPUTED_VALUE"""),166.21)</f>
        <v>166.21</v>
      </c>
      <c r="C830" s="5" t="n">
        <f aca="false">IFERROR(__xludf.dummyfunction("""COMPUTED_VALUE"""),166.4)</f>
        <v>166.4</v>
      </c>
      <c r="D830" s="5" t="n">
        <f aca="false">IFERROR(__xludf.dummyfunction("""COMPUTED_VALUE"""),164.08)</f>
        <v>164.08</v>
      </c>
      <c r="E830" s="5" t="n">
        <f aca="false">IFERROR(__xludf.dummyfunction("""COMPUTED_VALUE"""),165)</f>
        <v>165</v>
      </c>
      <c r="F830" s="5" t="n">
        <f aca="false">IFERROR(__xludf.dummyfunction("""COMPUTED_VALUE"""),68149377)</f>
        <v>68149377</v>
      </c>
    </row>
    <row r="831" customFormat="false" ht="15.75" hidden="false" customHeight="false" outlineLevel="0" collapsed="false">
      <c r="A831" s="6" t="n">
        <f aca="false">IFERROR(__xludf.dummyfunction("""COMPUTED_VALUE"""),45404.6666666667)</f>
        <v>45404.6666666667</v>
      </c>
      <c r="B831" s="5" t="n">
        <f aca="false">IFERROR(__xludf.dummyfunction("""COMPUTED_VALUE"""),165.52)</f>
        <v>165.52</v>
      </c>
      <c r="C831" s="5" t="n">
        <f aca="false">IFERROR(__xludf.dummyfunction("""COMPUTED_VALUE"""),167.26)</f>
        <v>167.26</v>
      </c>
      <c r="D831" s="5" t="n">
        <f aca="false">IFERROR(__xludf.dummyfunction("""COMPUTED_VALUE"""),164.77)</f>
        <v>164.77</v>
      </c>
      <c r="E831" s="5" t="n">
        <f aca="false">IFERROR(__xludf.dummyfunction("""COMPUTED_VALUE"""),165.84)</f>
        <v>165.84</v>
      </c>
      <c r="F831" s="5" t="n">
        <f aca="false">IFERROR(__xludf.dummyfunction("""COMPUTED_VALUE"""),48116443)</f>
        <v>48116443</v>
      </c>
    </row>
    <row r="832" customFormat="false" ht="15.75" hidden="false" customHeight="false" outlineLevel="0" collapsed="false">
      <c r="A832" s="6" t="n">
        <f aca="false">IFERROR(__xludf.dummyfunction("""COMPUTED_VALUE"""),45405.6666666667)</f>
        <v>45405.6666666667</v>
      </c>
      <c r="B832" s="5" t="n">
        <f aca="false">IFERROR(__xludf.dummyfunction("""COMPUTED_VALUE"""),165.35)</f>
        <v>165.35</v>
      </c>
      <c r="C832" s="5" t="n">
        <f aca="false">IFERROR(__xludf.dummyfunction("""COMPUTED_VALUE"""),167.05)</f>
        <v>167.05</v>
      </c>
      <c r="D832" s="5" t="n">
        <f aca="false">IFERROR(__xludf.dummyfunction("""COMPUTED_VALUE"""),164.92)</f>
        <v>164.92</v>
      </c>
      <c r="E832" s="5" t="n">
        <f aca="false">IFERROR(__xludf.dummyfunction("""COMPUTED_VALUE"""),166.9)</f>
        <v>166.9</v>
      </c>
      <c r="F832" s="5" t="n">
        <f aca="false">IFERROR(__xludf.dummyfunction("""COMPUTED_VALUE"""),49537761)</f>
        <v>49537761</v>
      </c>
    </row>
    <row r="833" customFormat="false" ht="15.75" hidden="false" customHeight="false" outlineLevel="0" collapsed="false">
      <c r="A833" s="6" t="n">
        <f aca="false">IFERROR(__xludf.dummyfunction("""COMPUTED_VALUE"""),45406.6666666667)</f>
        <v>45406.6666666667</v>
      </c>
      <c r="B833" s="5" t="n">
        <f aca="false">IFERROR(__xludf.dummyfunction("""COMPUTED_VALUE"""),166.54)</f>
        <v>166.54</v>
      </c>
      <c r="C833" s="5" t="n">
        <f aca="false">IFERROR(__xludf.dummyfunction("""COMPUTED_VALUE"""),169.3)</f>
        <v>169.3</v>
      </c>
      <c r="D833" s="5" t="n">
        <f aca="false">IFERROR(__xludf.dummyfunction("""COMPUTED_VALUE"""),166.21)</f>
        <v>166.21</v>
      </c>
      <c r="E833" s="5" t="n">
        <f aca="false">IFERROR(__xludf.dummyfunction("""COMPUTED_VALUE"""),169.02)</f>
        <v>169.02</v>
      </c>
      <c r="F833" s="5" t="n">
        <f aca="false">IFERROR(__xludf.dummyfunction("""COMPUTED_VALUE"""),48251835)</f>
        <v>48251835</v>
      </c>
    </row>
    <row r="834" customFormat="false" ht="15.75" hidden="false" customHeight="false" outlineLevel="0" collapsed="false">
      <c r="A834" s="6" t="n">
        <f aca="false">IFERROR(__xludf.dummyfunction("""COMPUTED_VALUE"""),45407.6666666667)</f>
        <v>45407.6666666667</v>
      </c>
      <c r="B834" s="5" t="n">
        <f aca="false">IFERROR(__xludf.dummyfunction("""COMPUTED_VALUE"""),169.53)</f>
        <v>169.53</v>
      </c>
      <c r="C834" s="5" t="n">
        <f aca="false">IFERROR(__xludf.dummyfunction("""COMPUTED_VALUE"""),170.61)</f>
        <v>170.61</v>
      </c>
      <c r="D834" s="5" t="n">
        <f aca="false">IFERROR(__xludf.dummyfunction("""COMPUTED_VALUE"""),168.15)</f>
        <v>168.15</v>
      </c>
      <c r="E834" s="5" t="n">
        <f aca="false">IFERROR(__xludf.dummyfunction("""COMPUTED_VALUE"""),169.89)</f>
        <v>169.89</v>
      </c>
      <c r="F834" s="5" t="n">
        <f aca="false">IFERROR(__xludf.dummyfunction("""COMPUTED_VALUE"""),50558329)</f>
        <v>50558329</v>
      </c>
    </row>
    <row r="835" customFormat="false" ht="15.75" hidden="false" customHeight="false" outlineLevel="0" collapsed="false">
      <c r="A835" s="6" t="n">
        <f aca="false">IFERROR(__xludf.dummyfunction("""COMPUTED_VALUE"""),45408.6666666667)</f>
        <v>45408.6666666667</v>
      </c>
      <c r="B835" s="5" t="n">
        <f aca="false">IFERROR(__xludf.dummyfunction("""COMPUTED_VALUE"""),169.88)</f>
        <v>169.88</v>
      </c>
      <c r="C835" s="5" t="n">
        <f aca="false">IFERROR(__xludf.dummyfunction("""COMPUTED_VALUE"""),171.34)</f>
        <v>171.34</v>
      </c>
      <c r="D835" s="5" t="n">
        <f aca="false">IFERROR(__xludf.dummyfunction("""COMPUTED_VALUE"""),169.18)</f>
        <v>169.18</v>
      </c>
      <c r="E835" s="5" t="n">
        <f aca="false">IFERROR(__xludf.dummyfunction("""COMPUTED_VALUE"""),169.3)</f>
        <v>169.3</v>
      </c>
      <c r="F835" s="5" t="n">
        <f aca="false">IFERROR(__xludf.dummyfunction("""COMPUTED_VALUE"""),44838354)</f>
        <v>44838354</v>
      </c>
    </row>
    <row r="836" customFormat="false" ht="15.75" hidden="false" customHeight="false" outlineLevel="0" collapsed="false">
      <c r="A836" s="6" t="n">
        <f aca="false">IFERROR(__xludf.dummyfunction("""COMPUTED_VALUE"""),45411.6666666667)</f>
        <v>45411.6666666667</v>
      </c>
      <c r="B836" s="5" t="n">
        <f aca="false">IFERROR(__xludf.dummyfunction("""COMPUTED_VALUE"""),173.37)</f>
        <v>173.37</v>
      </c>
      <c r="C836" s="5" t="n">
        <f aca="false">IFERROR(__xludf.dummyfunction("""COMPUTED_VALUE"""),176.03)</f>
        <v>176.03</v>
      </c>
      <c r="D836" s="5" t="n">
        <f aca="false">IFERROR(__xludf.dummyfunction("""COMPUTED_VALUE"""),173.1)</f>
        <v>173.1</v>
      </c>
      <c r="E836" s="5" t="n">
        <f aca="false">IFERROR(__xludf.dummyfunction("""COMPUTED_VALUE"""),173.5)</f>
        <v>173.5</v>
      </c>
      <c r="F836" s="5" t="n">
        <f aca="false">IFERROR(__xludf.dummyfunction("""COMPUTED_VALUE"""),68169419)</f>
        <v>68169419</v>
      </c>
    </row>
    <row r="837" customFormat="false" ht="15.75" hidden="false" customHeight="false" outlineLevel="0" collapsed="false">
      <c r="A837" s="6" t="n">
        <f aca="false">IFERROR(__xludf.dummyfunction("""COMPUTED_VALUE"""),45412.6666666667)</f>
        <v>45412.6666666667</v>
      </c>
      <c r="B837" s="5" t="n">
        <f aca="false">IFERROR(__xludf.dummyfunction("""COMPUTED_VALUE"""),173.33)</f>
        <v>173.33</v>
      </c>
      <c r="C837" s="5" t="n">
        <f aca="false">IFERROR(__xludf.dummyfunction("""COMPUTED_VALUE"""),174.99)</f>
        <v>174.99</v>
      </c>
      <c r="D837" s="5" t="n">
        <f aca="false">IFERROR(__xludf.dummyfunction("""COMPUTED_VALUE"""),170)</f>
        <v>170</v>
      </c>
      <c r="E837" s="5" t="n">
        <f aca="false">IFERROR(__xludf.dummyfunction("""COMPUTED_VALUE"""),170.33)</f>
        <v>170.33</v>
      </c>
      <c r="F837" s="5" t="n">
        <f aca="false">IFERROR(__xludf.dummyfunction("""COMPUTED_VALUE"""),65934776)</f>
        <v>65934776</v>
      </c>
    </row>
    <row r="838" customFormat="false" ht="15.75" hidden="false" customHeight="false" outlineLevel="0" collapsed="false">
      <c r="A838" s="6" t="n">
        <f aca="false">IFERROR(__xludf.dummyfunction("""COMPUTED_VALUE"""),45413.6666666667)</f>
        <v>45413.6666666667</v>
      </c>
      <c r="B838" s="5" t="n">
        <f aca="false">IFERROR(__xludf.dummyfunction("""COMPUTED_VALUE"""),169.58)</f>
        <v>169.58</v>
      </c>
      <c r="C838" s="5" t="n">
        <f aca="false">IFERROR(__xludf.dummyfunction("""COMPUTED_VALUE"""),172.71)</f>
        <v>172.71</v>
      </c>
      <c r="D838" s="5" t="n">
        <f aca="false">IFERROR(__xludf.dummyfunction("""COMPUTED_VALUE"""),169.11)</f>
        <v>169.11</v>
      </c>
      <c r="E838" s="5" t="n">
        <f aca="false">IFERROR(__xludf.dummyfunction("""COMPUTED_VALUE"""),169.3)</f>
        <v>169.3</v>
      </c>
      <c r="F838" s="5" t="n">
        <f aca="false">IFERROR(__xludf.dummyfunction("""COMPUTED_VALUE"""),50383147)</f>
        <v>50383147</v>
      </c>
    </row>
    <row r="839" customFormat="false" ht="15.75" hidden="false" customHeight="false" outlineLevel="0" collapsed="false">
      <c r="A839" s="6" t="n">
        <f aca="false">IFERROR(__xludf.dummyfunction("""COMPUTED_VALUE"""),45414.6666666667)</f>
        <v>45414.6666666667</v>
      </c>
      <c r="B839" s="5" t="n">
        <f aca="false">IFERROR(__xludf.dummyfunction("""COMPUTED_VALUE"""),172.51)</f>
        <v>172.51</v>
      </c>
      <c r="C839" s="5" t="n">
        <f aca="false">IFERROR(__xludf.dummyfunction("""COMPUTED_VALUE"""),173.42)</f>
        <v>173.42</v>
      </c>
      <c r="D839" s="5" t="n">
        <f aca="false">IFERROR(__xludf.dummyfunction("""COMPUTED_VALUE"""),170.89)</f>
        <v>170.89</v>
      </c>
      <c r="E839" s="5" t="n">
        <f aca="false">IFERROR(__xludf.dummyfunction("""COMPUTED_VALUE"""),173.03)</f>
        <v>173.03</v>
      </c>
      <c r="F839" s="5" t="n">
        <f aca="false">IFERROR(__xludf.dummyfunction("""COMPUTED_VALUE"""),94214915)</f>
        <v>94214915</v>
      </c>
    </row>
    <row r="840" customFormat="false" ht="15.75" hidden="false" customHeight="false" outlineLevel="0" collapsed="false">
      <c r="A840" s="6" t="n">
        <f aca="false">IFERROR(__xludf.dummyfunction("""COMPUTED_VALUE"""),45415.6666666667)</f>
        <v>45415.6666666667</v>
      </c>
      <c r="B840" s="5" t="n">
        <f aca="false">IFERROR(__xludf.dummyfunction("""COMPUTED_VALUE"""),186.65)</f>
        <v>186.65</v>
      </c>
      <c r="C840" s="5" t="n">
        <f aca="false">IFERROR(__xludf.dummyfunction("""COMPUTED_VALUE"""),187)</f>
        <v>187</v>
      </c>
      <c r="D840" s="5" t="n">
        <f aca="false">IFERROR(__xludf.dummyfunction("""COMPUTED_VALUE"""),182.66)</f>
        <v>182.66</v>
      </c>
      <c r="E840" s="5" t="n">
        <f aca="false">IFERROR(__xludf.dummyfunction("""COMPUTED_VALUE"""),183.38)</f>
        <v>183.38</v>
      </c>
      <c r="F840" s="5" t="n">
        <f aca="false">IFERROR(__xludf.dummyfunction("""COMPUTED_VALUE"""),163224109)</f>
        <v>163224109</v>
      </c>
    </row>
    <row r="841" customFormat="false" ht="15.75" hidden="false" customHeight="false" outlineLevel="0" collapsed="false">
      <c r="A841" s="6" t="n">
        <f aca="false">IFERROR(__xludf.dummyfunction("""COMPUTED_VALUE"""),45418.6666666667)</f>
        <v>45418.6666666667</v>
      </c>
      <c r="B841" s="5" t="n">
        <f aca="false">IFERROR(__xludf.dummyfunction("""COMPUTED_VALUE"""),182.35)</f>
        <v>182.35</v>
      </c>
      <c r="C841" s="5" t="n">
        <f aca="false">IFERROR(__xludf.dummyfunction("""COMPUTED_VALUE"""),184.2)</f>
        <v>184.2</v>
      </c>
      <c r="D841" s="5" t="n">
        <f aca="false">IFERROR(__xludf.dummyfunction("""COMPUTED_VALUE"""),180.42)</f>
        <v>180.42</v>
      </c>
      <c r="E841" s="5" t="n">
        <f aca="false">IFERROR(__xludf.dummyfunction("""COMPUTED_VALUE"""),181.71)</f>
        <v>181.71</v>
      </c>
      <c r="F841" s="5" t="n">
        <f aca="false">IFERROR(__xludf.dummyfunction("""COMPUTED_VALUE"""),78569667)</f>
        <v>78569667</v>
      </c>
    </row>
    <row r="842" customFormat="false" ht="15.75" hidden="false" customHeight="false" outlineLevel="0" collapsed="false">
      <c r="A842" s="6" t="n">
        <f aca="false">IFERROR(__xludf.dummyfunction("""COMPUTED_VALUE"""),45419.6666666667)</f>
        <v>45419.6666666667</v>
      </c>
      <c r="B842" s="5" t="n">
        <f aca="false">IFERROR(__xludf.dummyfunction("""COMPUTED_VALUE"""),183.45)</f>
        <v>183.45</v>
      </c>
      <c r="C842" s="5" t="n">
        <f aca="false">IFERROR(__xludf.dummyfunction("""COMPUTED_VALUE"""),184.9)</f>
        <v>184.9</v>
      </c>
      <c r="D842" s="5" t="n">
        <f aca="false">IFERROR(__xludf.dummyfunction("""COMPUTED_VALUE"""),181.32)</f>
        <v>181.32</v>
      </c>
      <c r="E842" s="5" t="n">
        <f aca="false">IFERROR(__xludf.dummyfunction("""COMPUTED_VALUE"""),182.4)</f>
        <v>182.4</v>
      </c>
      <c r="F842" s="5" t="n">
        <f aca="false">IFERROR(__xludf.dummyfunction("""COMPUTED_VALUE"""),77305771)</f>
        <v>77305771</v>
      </c>
    </row>
    <row r="843" customFormat="false" ht="15.75" hidden="false" customHeight="false" outlineLevel="0" collapsed="false">
      <c r="A843" s="6" t="n">
        <f aca="false">IFERROR(__xludf.dummyfunction("""COMPUTED_VALUE"""),45420.6666666667)</f>
        <v>45420.6666666667</v>
      </c>
      <c r="B843" s="5" t="n">
        <f aca="false">IFERROR(__xludf.dummyfunction("""COMPUTED_VALUE"""),182.85)</f>
        <v>182.85</v>
      </c>
      <c r="C843" s="5" t="n">
        <f aca="false">IFERROR(__xludf.dummyfunction("""COMPUTED_VALUE"""),183.07)</f>
        <v>183.07</v>
      </c>
      <c r="D843" s="5" t="n">
        <f aca="false">IFERROR(__xludf.dummyfunction("""COMPUTED_VALUE"""),181.45)</f>
        <v>181.45</v>
      </c>
      <c r="E843" s="5" t="n">
        <f aca="false">IFERROR(__xludf.dummyfunction("""COMPUTED_VALUE"""),182.74)</f>
        <v>182.74</v>
      </c>
      <c r="F843" s="5" t="n">
        <f aca="false">IFERROR(__xludf.dummyfunction("""COMPUTED_VALUE"""),45057087)</f>
        <v>45057087</v>
      </c>
    </row>
    <row r="844" customFormat="false" ht="15.75" hidden="false" customHeight="false" outlineLevel="0" collapsed="false">
      <c r="A844" s="6" t="n">
        <f aca="false">IFERROR(__xludf.dummyfunction("""COMPUTED_VALUE"""),45421.6666666667)</f>
        <v>45421.6666666667</v>
      </c>
      <c r="B844" s="5" t="n">
        <f aca="false">IFERROR(__xludf.dummyfunction("""COMPUTED_VALUE"""),182.56)</f>
        <v>182.56</v>
      </c>
      <c r="C844" s="5" t="n">
        <f aca="false">IFERROR(__xludf.dummyfunction("""COMPUTED_VALUE"""),184.66)</f>
        <v>184.66</v>
      </c>
      <c r="D844" s="5" t="n">
        <f aca="false">IFERROR(__xludf.dummyfunction("""COMPUTED_VALUE"""),182.11)</f>
        <v>182.11</v>
      </c>
      <c r="E844" s="5" t="n">
        <f aca="false">IFERROR(__xludf.dummyfunction("""COMPUTED_VALUE"""),184.57)</f>
        <v>184.57</v>
      </c>
      <c r="F844" s="5" t="n">
        <f aca="false">IFERROR(__xludf.dummyfunction("""COMPUTED_VALUE"""),48982972)</f>
        <v>48982972</v>
      </c>
    </row>
    <row r="845" customFormat="false" ht="15.75" hidden="false" customHeight="false" outlineLevel="0" collapsed="false">
      <c r="A845" s="6" t="n">
        <f aca="false">IFERROR(__xludf.dummyfunction("""COMPUTED_VALUE"""),45422.6666666667)</f>
        <v>45422.6666666667</v>
      </c>
      <c r="B845" s="5" t="n">
        <f aca="false">IFERROR(__xludf.dummyfunction("""COMPUTED_VALUE"""),184.9)</f>
        <v>184.9</v>
      </c>
      <c r="C845" s="5" t="n">
        <f aca="false">IFERROR(__xludf.dummyfunction("""COMPUTED_VALUE"""),185.09)</f>
        <v>185.09</v>
      </c>
      <c r="D845" s="5" t="n">
        <f aca="false">IFERROR(__xludf.dummyfunction("""COMPUTED_VALUE"""),182.13)</f>
        <v>182.13</v>
      </c>
      <c r="E845" s="5" t="n">
        <f aca="false">IFERROR(__xludf.dummyfunction("""COMPUTED_VALUE"""),183.05)</f>
        <v>183.05</v>
      </c>
      <c r="F845" s="5" t="n">
        <f aca="false">IFERROR(__xludf.dummyfunction("""COMPUTED_VALUE"""),50759496)</f>
        <v>50759496</v>
      </c>
    </row>
    <row r="846" customFormat="false" ht="15.75" hidden="false" customHeight="false" outlineLevel="0" collapsed="false">
      <c r="A846" s="6" t="n">
        <f aca="false">IFERROR(__xludf.dummyfunction("""COMPUTED_VALUE"""),45425.6666666667)</f>
        <v>45425.6666666667</v>
      </c>
      <c r="B846" s="5" t="n">
        <f aca="false">IFERROR(__xludf.dummyfunction("""COMPUTED_VALUE"""),185.44)</f>
        <v>185.44</v>
      </c>
      <c r="C846" s="5" t="n">
        <f aca="false">IFERROR(__xludf.dummyfunction("""COMPUTED_VALUE"""),187.1)</f>
        <v>187.1</v>
      </c>
      <c r="D846" s="5" t="n">
        <f aca="false">IFERROR(__xludf.dummyfunction("""COMPUTED_VALUE"""),184.62)</f>
        <v>184.62</v>
      </c>
      <c r="E846" s="5" t="n">
        <f aca="false">IFERROR(__xludf.dummyfunction("""COMPUTED_VALUE"""),186.28)</f>
        <v>186.28</v>
      </c>
      <c r="F846" s="5" t="n">
        <f aca="false">IFERROR(__xludf.dummyfunction("""COMPUTED_VALUE"""),72044809)</f>
        <v>72044809</v>
      </c>
    </row>
    <row r="847" customFormat="false" ht="15.75" hidden="false" customHeight="false" outlineLevel="0" collapsed="false">
      <c r="A847" s="6" t="n">
        <f aca="false">IFERROR(__xludf.dummyfunction("""COMPUTED_VALUE"""),45426.6666666667)</f>
        <v>45426.6666666667</v>
      </c>
      <c r="B847" s="5" t="n">
        <f aca="false">IFERROR(__xludf.dummyfunction("""COMPUTED_VALUE"""),187.51)</f>
        <v>187.51</v>
      </c>
      <c r="C847" s="5" t="n">
        <f aca="false">IFERROR(__xludf.dummyfunction("""COMPUTED_VALUE"""),188.3)</f>
        <v>188.3</v>
      </c>
      <c r="D847" s="5" t="n">
        <f aca="false">IFERROR(__xludf.dummyfunction("""COMPUTED_VALUE"""),186.29)</f>
        <v>186.29</v>
      </c>
      <c r="E847" s="5" t="n">
        <f aca="false">IFERROR(__xludf.dummyfunction("""COMPUTED_VALUE"""),187.43)</f>
        <v>187.43</v>
      </c>
      <c r="F847" s="5" t="n">
        <f aca="false">IFERROR(__xludf.dummyfunction("""COMPUTED_VALUE"""),52393619)</f>
        <v>52393619</v>
      </c>
    </row>
    <row r="848" customFormat="false" ht="15.75" hidden="false" customHeight="false" outlineLevel="0" collapsed="false">
      <c r="A848" s="6" t="n">
        <f aca="false">IFERROR(__xludf.dummyfunction("""COMPUTED_VALUE"""),45427.6666666667)</f>
        <v>45427.6666666667</v>
      </c>
      <c r="B848" s="5" t="n">
        <f aca="false">IFERROR(__xludf.dummyfunction("""COMPUTED_VALUE"""),187.91)</f>
        <v>187.91</v>
      </c>
      <c r="C848" s="5" t="n">
        <f aca="false">IFERROR(__xludf.dummyfunction("""COMPUTED_VALUE"""),190.65)</f>
        <v>190.65</v>
      </c>
      <c r="D848" s="5" t="n">
        <f aca="false">IFERROR(__xludf.dummyfunction("""COMPUTED_VALUE"""),187.37)</f>
        <v>187.37</v>
      </c>
      <c r="E848" s="5" t="n">
        <f aca="false">IFERROR(__xludf.dummyfunction("""COMPUTED_VALUE"""),189.72)</f>
        <v>189.72</v>
      </c>
      <c r="F848" s="5" t="n">
        <f aca="false">IFERROR(__xludf.dummyfunction("""COMPUTED_VALUE"""),70399988)</f>
        <v>70399988</v>
      </c>
    </row>
    <row r="849" customFormat="false" ht="15.75" hidden="false" customHeight="false" outlineLevel="0" collapsed="false">
      <c r="A849" s="6" t="n">
        <f aca="false">IFERROR(__xludf.dummyfunction("""COMPUTED_VALUE"""),45428.6666666667)</f>
        <v>45428.6666666667</v>
      </c>
      <c r="B849" s="5" t="n">
        <f aca="false">IFERROR(__xludf.dummyfunction("""COMPUTED_VALUE"""),190.47)</f>
        <v>190.47</v>
      </c>
      <c r="C849" s="5" t="n">
        <f aca="false">IFERROR(__xludf.dummyfunction("""COMPUTED_VALUE"""),191.1)</f>
        <v>191.1</v>
      </c>
      <c r="D849" s="5" t="n">
        <f aca="false">IFERROR(__xludf.dummyfunction("""COMPUTED_VALUE"""),189.66)</f>
        <v>189.66</v>
      </c>
      <c r="E849" s="5" t="n">
        <f aca="false">IFERROR(__xludf.dummyfunction("""COMPUTED_VALUE"""),189.84)</f>
        <v>189.84</v>
      </c>
      <c r="F849" s="5" t="n">
        <f aca="false">IFERROR(__xludf.dummyfunction("""COMPUTED_VALUE"""),52845230)</f>
        <v>52845230</v>
      </c>
    </row>
    <row r="850" customFormat="false" ht="15.75" hidden="false" customHeight="false" outlineLevel="0" collapsed="false">
      <c r="A850" s="6" t="n">
        <f aca="false">IFERROR(__xludf.dummyfunction("""COMPUTED_VALUE"""),45429.6666666667)</f>
        <v>45429.6666666667</v>
      </c>
      <c r="B850" s="5" t="n">
        <f aca="false">IFERROR(__xludf.dummyfunction("""COMPUTED_VALUE"""),189.51)</f>
        <v>189.51</v>
      </c>
      <c r="C850" s="5" t="n">
        <f aca="false">IFERROR(__xludf.dummyfunction("""COMPUTED_VALUE"""),190.81)</f>
        <v>190.81</v>
      </c>
      <c r="D850" s="5" t="n">
        <f aca="false">IFERROR(__xludf.dummyfunction("""COMPUTED_VALUE"""),189.18)</f>
        <v>189.18</v>
      </c>
      <c r="E850" s="5" t="n">
        <f aca="false">IFERROR(__xludf.dummyfunction("""COMPUTED_VALUE"""),189.87)</f>
        <v>189.87</v>
      </c>
      <c r="F850" s="5" t="n">
        <f aca="false">IFERROR(__xludf.dummyfunction("""COMPUTED_VALUE"""),41282925)</f>
        <v>41282925</v>
      </c>
    </row>
    <row r="851" customFormat="false" ht="15.75" hidden="false" customHeight="false" outlineLevel="0" collapsed="false">
      <c r="A851" s="6" t="n">
        <f aca="false">IFERROR(__xludf.dummyfunction("""COMPUTED_VALUE"""),45432.6666666667)</f>
        <v>45432.6666666667</v>
      </c>
      <c r="B851" s="5" t="n">
        <f aca="false">IFERROR(__xludf.dummyfunction("""COMPUTED_VALUE"""),189.35)</f>
        <v>189.35</v>
      </c>
      <c r="C851" s="5" t="n">
        <f aca="false">IFERROR(__xludf.dummyfunction("""COMPUTED_VALUE"""),191.92)</f>
        <v>191.92</v>
      </c>
      <c r="D851" s="5" t="n">
        <f aca="false">IFERROR(__xludf.dummyfunction("""COMPUTED_VALUE"""),189.01)</f>
        <v>189.01</v>
      </c>
      <c r="E851" s="5" t="n">
        <f aca="false">IFERROR(__xludf.dummyfunction("""COMPUTED_VALUE"""),191.04)</f>
        <v>191.04</v>
      </c>
      <c r="F851" s="5" t="n">
        <f aca="false">IFERROR(__xludf.dummyfunction("""COMPUTED_VALUE"""),44361275)</f>
        <v>44361275</v>
      </c>
    </row>
    <row r="852" customFormat="false" ht="15.75" hidden="false" customHeight="false" outlineLevel="0" collapsed="false">
      <c r="A852" s="6" t="n">
        <f aca="false">IFERROR(__xludf.dummyfunction("""COMPUTED_VALUE"""),45433.6666666667)</f>
        <v>45433.6666666667</v>
      </c>
      <c r="B852" s="5" t="n">
        <f aca="false">IFERROR(__xludf.dummyfunction("""COMPUTED_VALUE"""),191.09)</f>
        <v>191.09</v>
      </c>
      <c r="C852" s="5" t="n">
        <f aca="false">IFERROR(__xludf.dummyfunction("""COMPUTED_VALUE"""),192.73)</f>
        <v>192.73</v>
      </c>
      <c r="D852" s="5" t="n">
        <f aca="false">IFERROR(__xludf.dummyfunction("""COMPUTED_VALUE"""),190.92)</f>
        <v>190.92</v>
      </c>
      <c r="E852" s="5" t="n">
        <f aca="false">IFERROR(__xludf.dummyfunction("""COMPUTED_VALUE"""),192.35)</f>
        <v>192.35</v>
      </c>
      <c r="F852" s="5" t="n">
        <f aca="false">IFERROR(__xludf.dummyfunction("""COMPUTED_VALUE"""),42309401)</f>
        <v>42309401</v>
      </c>
    </row>
    <row r="853" customFormat="false" ht="15.75" hidden="false" customHeight="false" outlineLevel="0" collapsed="false">
      <c r="A853" s="6" t="n">
        <f aca="false">IFERROR(__xludf.dummyfunction("""COMPUTED_VALUE"""),45434.6666666667)</f>
        <v>45434.6666666667</v>
      </c>
      <c r="B853" s="5" t="n">
        <f aca="false">IFERROR(__xludf.dummyfunction("""COMPUTED_VALUE"""),192.27)</f>
        <v>192.27</v>
      </c>
      <c r="C853" s="5" t="n">
        <f aca="false">IFERROR(__xludf.dummyfunction("""COMPUTED_VALUE"""),192.82)</f>
        <v>192.82</v>
      </c>
      <c r="D853" s="5" t="n">
        <f aca="false">IFERROR(__xludf.dummyfunction("""COMPUTED_VALUE"""),190.27)</f>
        <v>190.27</v>
      </c>
      <c r="E853" s="5" t="n">
        <f aca="false">IFERROR(__xludf.dummyfunction("""COMPUTED_VALUE"""),190.9)</f>
        <v>190.9</v>
      </c>
      <c r="F853" s="5" t="n">
        <f aca="false">IFERROR(__xludf.dummyfunction("""COMPUTED_VALUE"""),34648547)</f>
        <v>34648547</v>
      </c>
    </row>
    <row r="854" customFormat="false" ht="15.75" hidden="false" customHeight="false" outlineLevel="0" collapsed="false">
      <c r="A854" s="6" t="n">
        <f aca="false">IFERROR(__xludf.dummyfunction("""COMPUTED_VALUE"""),45435.6666666667)</f>
        <v>45435.6666666667</v>
      </c>
      <c r="B854" s="5" t="n">
        <f aca="false">IFERROR(__xludf.dummyfunction("""COMPUTED_VALUE"""),190.98)</f>
        <v>190.98</v>
      </c>
      <c r="C854" s="5" t="n">
        <f aca="false">IFERROR(__xludf.dummyfunction("""COMPUTED_VALUE"""),191)</f>
        <v>191</v>
      </c>
      <c r="D854" s="5" t="n">
        <f aca="false">IFERROR(__xludf.dummyfunction("""COMPUTED_VALUE"""),186.63)</f>
        <v>186.63</v>
      </c>
      <c r="E854" s="5" t="n">
        <f aca="false">IFERROR(__xludf.dummyfunction("""COMPUTED_VALUE"""),186.88)</f>
        <v>186.88</v>
      </c>
      <c r="F854" s="5" t="n">
        <f aca="false">IFERROR(__xludf.dummyfunction("""COMPUTED_VALUE"""),51005924)</f>
        <v>51005924</v>
      </c>
    </row>
    <row r="855" customFormat="false" ht="15.75" hidden="false" customHeight="false" outlineLevel="0" collapsed="false">
      <c r="A855" s="6" t="n">
        <f aca="false">IFERROR(__xludf.dummyfunction("""COMPUTED_VALUE"""),45436.6666666667)</f>
        <v>45436.6666666667</v>
      </c>
      <c r="B855" s="5" t="n">
        <f aca="false">IFERROR(__xludf.dummyfunction("""COMPUTED_VALUE"""),188.82)</f>
        <v>188.82</v>
      </c>
      <c r="C855" s="5" t="n">
        <f aca="false">IFERROR(__xludf.dummyfunction("""COMPUTED_VALUE"""),190.58)</f>
        <v>190.58</v>
      </c>
      <c r="D855" s="5" t="n">
        <f aca="false">IFERROR(__xludf.dummyfunction("""COMPUTED_VALUE"""),188.04)</f>
        <v>188.04</v>
      </c>
      <c r="E855" s="5" t="n">
        <f aca="false">IFERROR(__xludf.dummyfunction("""COMPUTED_VALUE"""),189.98)</f>
        <v>189.98</v>
      </c>
      <c r="F855" s="5" t="n">
        <f aca="false">IFERROR(__xludf.dummyfunction("""COMPUTED_VALUE"""),36326975)</f>
        <v>36326975</v>
      </c>
    </row>
    <row r="856" customFormat="false" ht="15.75" hidden="false" customHeight="false" outlineLevel="0" collapsed="false">
      <c r="A856" s="6" t="n">
        <f aca="false">IFERROR(__xludf.dummyfunction("""COMPUTED_VALUE"""),45440.6666666667)</f>
        <v>45440.6666666667</v>
      </c>
      <c r="B856" s="5" t="n">
        <f aca="false">IFERROR(__xludf.dummyfunction("""COMPUTED_VALUE"""),191.51)</f>
        <v>191.51</v>
      </c>
      <c r="C856" s="5" t="n">
        <f aca="false">IFERROR(__xludf.dummyfunction("""COMPUTED_VALUE"""),193)</f>
        <v>193</v>
      </c>
      <c r="D856" s="5" t="n">
        <f aca="false">IFERROR(__xludf.dummyfunction("""COMPUTED_VALUE"""),189.1)</f>
        <v>189.1</v>
      </c>
      <c r="E856" s="5" t="n">
        <f aca="false">IFERROR(__xludf.dummyfunction("""COMPUTED_VALUE"""),189.99)</f>
        <v>189.99</v>
      </c>
      <c r="F856" s="5" t="n">
        <f aca="false">IFERROR(__xludf.dummyfunction("""COMPUTED_VALUE"""),52280051)</f>
        <v>52280051</v>
      </c>
    </row>
    <row r="857" customFormat="false" ht="15.75" hidden="false" customHeight="false" outlineLevel="0" collapsed="false">
      <c r="A857" s="6" t="n">
        <f aca="false">IFERROR(__xludf.dummyfunction("""COMPUTED_VALUE"""),45441.6666666667)</f>
        <v>45441.6666666667</v>
      </c>
      <c r="B857" s="5" t="n">
        <f aca="false">IFERROR(__xludf.dummyfunction("""COMPUTED_VALUE"""),189.61)</f>
        <v>189.61</v>
      </c>
      <c r="C857" s="5" t="n">
        <f aca="false">IFERROR(__xludf.dummyfunction("""COMPUTED_VALUE"""),192.25)</f>
        <v>192.25</v>
      </c>
      <c r="D857" s="5" t="n">
        <f aca="false">IFERROR(__xludf.dummyfunction("""COMPUTED_VALUE"""),189.51)</f>
        <v>189.51</v>
      </c>
      <c r="E857" s="5" t="n">
        <f aca="false">IFERROR(__xludf.dummyfunction("""COMPUTED_VALUE"""),190.29)</f>
        <v>190.29</v>
      </c>
      <c r="F857" s="5" t="n">
        <f aca="false">IFERROR(__xludf.dummyfunction("""COMPUTED_VALUE"""),53068016)</f>
        <v>53068016</v>
      </c>
    </row>
    <row r="858" customFormat="false" ht="15.75" hidden="false" customHeight="false" outlineLevel="0" collapsed="false">
      <c r="A858" s="6" t="n">
        <f aca="false">IFERROR(__xludf.dummyfunction("""COMPUTED_VALUE"""),45442.6666666667)</f>
        <v>45442.6666666667</v>
      </c>
      <c r="B858" s="5" t="n">
        <f aca="false">IFERROR(__xludf.dummyfunction("""COMPUTED_VALUE"""),190.76)</f>
        <v>190.76</v>
      </c>
      <c r="C858" s="5" t="n">
        <f aca="false">IFERROR(__xludf.dummyfunction("""COMPUTED_VALUE"""),192.18)</f>
        <v>192.18</v>
      </c>
      <c r="D858" s="5" t="n">
        <f aca="false">IFERROR(__xludf.dummyfunction("""COMPUTED_VALUE"""),190.63)</f>
        <v>190.63</v>
      </c>
      <c r="E858" s="5" t="n">
        <f aca="false">IFERROR(__xludf.dummyfunction("""COMPUTED_VALUE"""),191.29)</f>
        <v>191.29</v>
      </c>
      <c r="F858" s="5" t="n">
        <f aca="false">IFERROR(__xludf.dummyfunction("""COMPUTED_VALUE"""),49947941)</f>
        <v>49947941</v>
      </c>
    </row>
    <row r="859" customFormat="false" ht="15.75" hidden="false" customHeight="false" outlineLevel="0" collapsed="false">
      <c r="A859" s="6" t="n">
        <f aca="false">IFERROR(__xludf.dummyfunction("""COMPUTED_VALUE"""),45443.6666666667)</f>
        <v>45443.6666666667</v>
      </c>
      <c r="B859" s="5" t="n">
        <f aca="false">IFERROR(__xludf.dummyfunction("""COMPUTED_VALUE"""),191.44)</f>
        <v>191.44</v>
      </c>
      <c r="C859" s="5" t="n">
        <f aca="false">IFERROR(__xludf.dummyfunction("""COMPUTED_VALUE"""),192.57)</f>
        <v>192.57</v>
      </c>
      <c r="D859" s="5" t="n">
        <f aca="false">IFERROR(__xludf.dummyfunction("""COMPUTED_VALUE"""),189.91)</f>
        <v>189.91</v>
      </c>
      <c r="E859" s="5" t="n">
        <f aca="false">IFERROR(__xludf.dummyfunction("""COMPUTED_VALUE"""),192.25)</f>
        <v>192.25</v>
      </c>
      <c r="F859" s="5" t="n">
        <f aca="false">IFERROR(__xludf.dummyfunction("""COMPUTED_VALUE"""),75158277)</f>
        <v>75158277</v>
      </c>
    </row>
    <row r="860" customFormat="false" ht="15.75" hidden="false" customHeight="false" outlineLevel="0" collapsed="false">
      <c r="A860" s="6" t="n">
        <f aca="false">IFERROR(__xludf.dummyfunction("""COMPUTED_VALUE"""),45446.6666666667)</f>
        <v>45446.6666666667</v>
      </c>
      <c r="B860" s="5" t="n">
        <f aca="false">IFERROR(__xludf.dummyfunction("""COMPUTED_VALUE"""),192.9)</f>
        <v>192.9</v>
      </c>
      <c r="C860" s="5" t="n">
        <f aca="false">IFERROR(__xludf.dummyfunction("""COMPUTED_VALUE"""),194.99)</f>
        <v>194.99</v>
      </c>
      <c r="D860" s="5" t="n">
        <f aca="false">IFERROR(__xludf.dummyfunction("""COMPUTED_VALUE"""),192.52)</f>
        <v>192.52</v>
      </c>
      <c r="E860" s="5" t="n">
        <f aca="false">IFERROR(__xludf.dummyfunction("""COMPUTED_VALUE"""),194.03)</f>
        <v>194.03</v>
      </c>
      <c r="F860" s="5" t="n">
        <f aca="false">IFERROR(__xludf.dummyfunction("""COMPUTED_VALUE"""),50080539)</f>
        <v>50080539</v>
      </c>
    </row>
    <row r="861" customFormat="false" ht="15.75" hidden="false" customHeight="false" outlineLevel="0" collapsed="false">
      <c r="A861" s="6" t="n">
        <f aca="false">IFERROR(__xludf.dummyfunction("""COMPUTED_VALUE"""),45447.6666666667)</f>
        <v>45447.6666666667</v>
      </c>
      <c r="B861" s="5" t="n">
        <f aca="false">IFERROR(__xludf.dummyfunction("""COMPUTED_VALUE"""),194.64)</f>
        <v>194.64</v>
      </c>
      <c r="C861" s="5" t="n">
        <f aca="false">IFERROR(__xludf.dummyfunction("""COMPUTED_VALUE"""),195.32)</f>
        <v>195.32</v>
      </c>
      <c r="D861" s="5" t="n">
        <f aca="false">IFERROR(__xludf.dummyfunction("""COMPUTED_VALUE"""),193.03)</f>
        <v>193.03</v>
      </c>
      <c r="E861" s="5" t="n">
        <f aca="false">IFERROR(__xludf.dummyfunction("""COMPUTED_VALUE"""),194.35)</f>
        <v>194.35</v>
      </c>
      <c r="F861" s="5" t="n">
        <f aca="false">IFERROR(__xludf.dummyfunction("""COMPUTED_VALUE"""),47471445)</f>
        <v>47471445</v>
      </c>
    </row>
    <row r="862" customFormat="false" ht="15.75" hidden="false" customHeight="false" outlineLevel="0" collapsed="false">
      <c r="A862" s="6" t="n">
        <f aca="false">IFERROR(__xludf.dummyfunction("""COMPUTED_VALUE"""),45448.6666666667)</f>
        <v>45448.6666666667</v>
      </c>
      <c r="B862" s="5" t="n">
        <f aca="false">IFERROR(__xludf.dummyfunction("""COMPUTED_VALUE"""),195.4)</f>
        <v>195.4</v>
      </c>
      <c r="C862" s="5" t="n">
        <f aca="false">IFERROR(__xludf.dummyfunction("""COMPUTED_VALUE"""),196.9)</f>
        <v>196.9</v>
      </c>
      <c r="D862" s="5" t="n">
        <f aca="false">IFERROR(__xludf.dummyfunction("""COMPUTED_VALUE"""),194.87)</f>
        <v>194.87</v>
      </c>
      <c r="E862" s="5" t="n">
        <f aca="false">IFERROR(__xludf.dummyfunction("""COMPUTED_VALUE"""),195.87)</f>
        <v>195.87</v>
      </c>
      <c r="F862" s="5" t="n">
        <f aca="false">IFERROR(__xludf.dummyfunction("""COMPUTED_VALUE"""),54156785)</f>
        <v>54156785</v>
      </c>
    </row>
    <row r="863" customFormat="false" ht="15.75" hidden="false" customHeight="false" outlineLevel="0" collapsed="false">
      <c r="A863" s="6" t="n">
        <f aca="false">IFERROR(__xludf.dummyfunction("""COMPUTED_VALUE"""),45449.6666666667)</f>
        <v>45449.6666666667</v>
      </c>
      <c r="B863" s="5" t="n">
        <f aca="false">IFERROR(__xludf.dummyfunction("""COMPUTED_VALUE"""),195.69)</f>
        <v>195.69</v>
      </c>
      <c r="C863" s="5" t="n">
        <f aca="false">IFERROR(__xludf.dummyfunction("""COMPUTED_VALUE"""),196.5)</f>
        <v>196.5</v>
      </c>
      <c r="D863" s="5" t="n">
        <f aca="false">IFERROR(__xludf.dummyfunction("""COMPUTED_VALUE"""),194.17)</f>
        <v>194.17</v>
      </c>
      <c r="E863" s="5" t="n">
        <f aca="false">IFERROR(__xludf.dummyfunction("""COMPUTED_VALUE"""),194.48)</f>
        <v>194.48</v>
      </c>
      <c r="F863" s="5" t="n">
        <f aca="false">IFERROR(__xludf.dummyfunction("""COMPUTED_VALUE"""),41181753)</f>
        <v>41181753</v>
      </c>
    </row>
    <row r="864" customFormat="false" ht="15.75" hidden="false" customHeight="false" outlineLevel="0" collapsed="false">
      <c r="A864" s="6" t="n">
        <f aca="false">IFERROR(__xludf.dummyfunction("""COMPUTED_VALUE"""),45450.6666666667)</f>
        <v>45450.6666666667</v>
      </c>
      <c r="B864" s="5" t="n">
        <f aca="false">IFERROR(__xludf.dummyfunction("""COMPUTED_VALUE"""),194.65)</f>
        <v>194.65</v>
      </c>
      <c r="C864" s="5" t="n">
        <f aca="false">IFERROR(__xludf.dummyfunction("""COMPUTED_VALUE"""),196.94)</f>
        <v>196.94</v>
      </c>
      <c r="D864" s="5" t="n">
        <f aca="false">IFERROR(__xludf.dummyfunction("""COMPUTED_VALUE"""),194.14)</f>
        <v>194.14</v>
      </c>
      <c r="E864" s="5" t="n">
        <f aca="false">IFERROR(__xludf.dummyfunction("""COMPUTED_VALUE"""),196.89)</f>
        <v>196.89</v>
      </c>
      <c r="F864" s="5" t="n">
        <f aca="false">IFERROR(__xludf.dummyfunction("""COMPUTED_VALUE"""),53103912)</f>
        <v>53103912</v>
      </c>
    </row>
    <row r="865" customFormat="false" ht="15.75" hidden="false" customHeight="false" outlineLevel="0" collapsed="false">
      <c r="A865" s="6" t="n">
        <f aca="false">IFERROR(__xludf.dummyfunction("""COMPUTED_VALUE"""),45453.6666666667)</f>
        <v>45453.6666666667</v>
      </c>
      <c r="B865" s="5" t="n">
        <f aca="false">IFERROR(__xludf.dummyfunction("""COMPUTED_VALUE"""),196.9)</f>
        <v>196.9</v>
      </c>
      <c r="C865" s="5" t="n">
        <f aca="false">IFERROR(__xludf.dummyfunction("""COMPUTED_VALUE"""),197.3)</f>
        <v>197.3</v>
      </c>
      <c r="D865" s="5" t="n">
        <f aca="false">IFERROR(__xludf.dummyfunction("""COMPUTED_VALUE"""),192.15)</f>
        <v>192.15</v>
      </c>
      <c r="E865" s="5" t="n">
        <f aca="false">IFERROR(__xludf.dummyfunction("""COMPUTED_VALUE"""),193.12)</f>
        <v>193.12</v>
      </c>
      <c r="F865" s="5" t="n">
        <f aca="false">IFERROR(__xludf.dummyfunction("""COMPUTED_VALUE"""),97262077)</f>
        <v>97262077</v>
      </c>
    </row>
    <row r="866" customFormat="false" ht="15.75" hidden="false" customHeight="false" outlineLevel="0" collapsed="false">
      <c r="A866" s="6" t="n">
        <f aca="false">IFERROR(__xludf.dummyfunction("""COMPUTED_VALUE"""),45454.6666666667)</f>
        <v>45454.6666666667</v>
      </c>
      <c r="B866" s="5" t="n">
        <f aca="false">IFERROR(__xludf.dummyfunction("""COMPUTED_VALUE"""),193.65)</f>
        <v>193.65</v>
      </c>
      <c r="C866" s="5" t="n">
        <f aca="false">IFERROR(__xludf.dummyfunction("""COMPUTED_VALUE"""),207.16)</f>
        <v>207.16</v>
      </c>
      <c r="D866" s="5" t="n">
        <f aca="false">IFERROR(__xludf.dummyfunction("""COMPUTED_VALUE"""),193.63)</f>
        <v>193.63</v>
      </c>
      <c r="E866" s="5" t="n">
        <f aca="false">IFERROR(__xludf.dummyfunction("""COMPUTED_VALUE"""),207.15)</f>
        <v>207.15</v>
      </c>
      <c r="F866" s="5" t="n">
        <f aca="false">IFERROR(__xludf.dummyfunction("""COMPUTED_VALUE"""),172373296)</f>
        <v>172373296</v>
      </c>
    </row>
    <row r="867" customFormat="false" ht="15.75" hidden="false" customHeight="false" outlineLevel="0" collapsed="false">
      <c r="A867" s="6" t="n">
        <f aca="false">IFERROR(__xludf.dummyfunction("""COMPUTED_VALUE"""),45455.6666666667)</f>
        <v>45455.6666666667</v>
      </c>
      <c r="B867" s="5" t="n">
        <f aca="false">IFERROR(__xludf.dummyfunction("""COMPUTED_VALUE"""),207.37)</f>
        <v>207.37</v>
      </c>
      <c r="C867" s="5" t="n">
        <f aca="false">IFERROR(__xludf.dummyfunction("""COMPUTED_VALUE"""),220.2)</f>
        <v>220.2</v>
      </c>
      <c r="D867" s="5" t="n">
        <f aca="false">IFERROR(__xludf.dummyfunction("""COMPUTED_VALUE"""),206.9)</f>
        <v>206.9</v>
      </c>
      <c r="E867" s="5" t="n">
        <f aca="false">IFERROR(__xludf.dummyfunction("""COMPUTED_VALUE"""),213.07)</f>
        <v>213.07</v>
      </c>
      <c r="F867" s="5" t="n">
        <f aca="false">IFERROR(__xludf.dummyfunction("""COMPUTED_VALUE"""),198134293)</f>
        <v>198134293</v>
      </c>
    </row>
    <row r="868" customFormat="false" ht="15.75" hidden="false" customHeight="false" outlineLevel="0" collapsed="false">
      <c r="A868" s="6" t="n">
        <f aca="false">IFERROR(__xludf.dummyfunction("""COMPUTED_VALUE"""),45456.6666666667)</f>
        <v>45456.6666666667</v>
      </c>
      <c r="B868" s="5" t="n">
        <f aca="false">IFERROR(__xludf.dummyfunction("""COMPUTED_VALUE"""),214.74)</f>
        <v>214.74</v>
      </c>
      <c r="C868" s="5" t="n">
        <f aca="false">IFERROR(__xludf.dummyfunction("""COMPUTED_VALUE"""),216.75)</f>
        <v>216.75</v>
      </c>
      <c r="D868" s="5" t="n">
        <f aca="false">IFERROR(__xludf.dummyfunction("""COMPUTED_VALUE"""),211.6)</f>
        <v>211.6</v>
      </c>
      <c r="E868" s="5" t="n">
        <f aca="false">IFERROR(__xludf.dummyfunction("""COMPUTED_VALUE"""),214.24)</f>
        <v>214.24</v>
      </c>
      <c r="F868" s="5" t="n">
        <f aca="false">IFERROR(__xludf.dummyfunction("""COMPUTED_VALUE"""),97862729)</f>
        <v>97862729</v>
      </c>
    </row>
    <row r="869" customFormat="false" ht="15.75" hidden="false" customHeight="false" outlineLevel="0" collapsed="false">
      <c r="A869" s="6" t="n">
        <f aca="false">IFERROR(__xludf.dummyfunction("""COMPUTED_VALUE"""),45457.6666666667)</f>
        <v>45457.6666666667</v>
      </c>
      <c r="B869" s="5" t="n">
        <f aca="false">IFERROR(__xludf.dummyfunction("""COMPUTED_VALUE"""),213.85)</f>
        <v>213.85</v>
      </c>
      <c r="C869" s="5" t="n">
        <f aca="false">IFERROR(__xludf.dummyfunction("""COMPUTED_VALUE"""),215.17)</f>
        <v>215.17</v>
      </c>
      <c r="D869" s="5" t="n">
        <f aca="false">IFERROR(__xludf.dummyfunction("""COMPUTED_VALUE"""),211.3)</f>
        <v>211.3</v>
      </c>
      <c r="E869" s="5" t="n">
        <f aca="false">IFERROR(__xludf.dummyfunction("""COMPUTED_VALUE"""),212.49)</f>
        <v>212.49</v>
      </c>
      <c r="F869" s="5" t="n">
        <f aca="false">IFERROR(__xludf.dummyfunction("""COMPUTED_VALUE"""),70122748)</f>
        <v>70122748</v>
      </c>
    </row>
    <row r="870" customFormat="false" ht="15.75" hidden="false" customHeight="false" outlineLevel="0" collapsed="false">
      <c r="A870" s="6" t="n">
        <f aca="false">IFERROR(__xludf.dummyfunction("""COMPUTED_VALUE"""),45460.6666666667)</f>
        <v>45460.6666666667</v>
      </c>
      <c r="B870" s="5" t="n">
        <f aca="false">IFERROR(__xludf.dummyfunction("""COMPUTED_VALUE"""),213.37)</f>
        <v>213.37</v>
      </c>
      <c r="C870" s="5" t="n">
        <f aca="false">IFERROR(__xludf.dummyfunction("""COMPUTED_VALUE"""),218.95)</f>
        <v>218.95</v>
      </c>
      <c r="D870" s="5" t="n">
        <f aca="false">IFERROR(__xludf.dummyfunction("""COMPUTED_VALUE"""),212.72)</f>
        <v>212.72</v>
      </c>
      <c r="E870" s="5" t="n">
        <f aca="false">IFERROR(__xludf.dummyfunction("""COMPUTED_VALUE"""),216.67)</f>
        <v>216.67</v>
      </c>
      <c r="F870" s="5" t="n">
        <f aca="false">IFERROR(__xludf.dummyfunction("""COMPUTED_VALUE"""),93728300)</f>
        <v>93728300</v>
      </c>
    </row>
    <row r="871" customFormat="false" ht="15.75" hidden="false" customHeight="false" outlineLevel="0" collapsed="false">
      <c r="A871" s="6" t="n">
        <f aca="false">IFERROR(__xludf.dummyfunction("""COMPUTED_VALUE"""),45461.6666666667)</f>
        <v>45461.6666666667</v>
      </c>
      <c r="B871" s="5" t="n">
        <f aca="false">IFERROR(__xludf.dummyfunction("""COMPUTED_VALUE"""),217.59)</f>
        <v>217.59</v>
      </c>
      <c r="C871" s="5" t="n">
        <f aca="false">IFERROR(__xludf.dummyfunction("""COMPUTED_VALUE"""),218.63)</f>
        <v>218.63</v>
      </c>
      <c r="D871" s="5" t="n">
        <f aca="false">IFERROR(__xludf.dummyfunction("""COMPUTED_VALUE"""),213)</f>
        <v>213</v>
      </c>
      <c r="E871" s="5" t="n">
        <f aca="false">IFERROR(__xludf.dummyfunction("""COMPUTED_VALUE"""),214.29)</f>
        <v>214.29</v>
      </c>
      <c r="F871" s="5" t="n">
        <f aca="false">IFERROR(__xludf.dummyfunction("""COMPUTED_VALUE"""),79943254)</f>
        <v>79943254</v>
      </c>
    </row>
    <row r="872" customFormat="false" ht="15.75" hidden="false" customHeight="false" outlineLevel="0" collapsed="false">
      <c r="A872" s="6" t="n">
        <f aca="false">IFERROR(__xludf.dummyfunction("""COMPUTED_VALUE"""),45463.6666666667)</f>
        <v>45463.6666666667</v>
      </c>
      <c r="B872" s="5" t="n">
        <f aca="false">IFERROR(__xludf.dummyfunction("""COMPUTED_VALUE"""),213.93)</f>
        <v>213.93</v>
      </c>
      <c r="C872" s="5" t="n">
        <f aca="false">IFERROR(__xludf.dummyfunction("""COMPUTED_VALUE"""),214.24)</f>
        <v>214.24</v>
      </c>
      <c r="D872" s="5" t="n">
        <f aca="false">IFERROR(__xludf.dummyfunction("""COMPUTED_VALUE"""),208.85)</f>
        <v>208.85</v>
      </c>
      <c r="E872" s="5" t="n">
        <f aca="false">IFERROR(__xludf.dummyfunction("""COMPUTED_VALUE"""),209.68)</f>
        <v>209.68</v>
      </c>
      <c r="F872" s="5" t="n">
        <f aca="false">IFERROR(__xludf.dummyfunction("""COMPUTED_VALUE"""),86172451)</f>
        <v>86172451</v>
      </c>
    </row>
    <row r="873" customFormat="false" ht="15.75" hidden="false" customHeight="false" outlineLevel="0" collapsed="false">
      <c r="A873" s="6" t="n">
        <f aca="false">IFERROR(__xludf.dummyfunction("""COMPUTED_VALUE"""),45464.6666666667)</f>
        <v>45464.6666666667</v>
      </c>
      <c r="B873" s="5" t="n">
        <f aca="false">IFERROR(__xludf.dummyfunction("""COMPUTED_VALUE"""),210.39)</f>
        <v>210.39</v>
      </c>
      <c r="C873" s="5" t="n">
        <f aca="false">IFERROR(__xludf.dummyfunction("""COMPUTED_VALUE"""),211.89)</f>
        <v>211.89</v>
      </c>
      <c r="D873" s="5" t="n">
        <f aca="false">IFERROR(__xludf.dummyfunction("""COMPUTED_VALUE"""),207.11)</f>
        <v>207.11</v>
      </c>
      <c r="E873" s="5" t="n">
        <f aca="false">IFERROR(__xludf.dummyfunction("""COMPUTED_VALUE"""),207.49)</f>
        <v>207.49</v>
      </c>
      <c r="F873" s="5" t="n">
        <f aca="false">IFERROR(__xludf.dummyfunction("""COMPUTED_VALUE"""),246421353)</f>
        <v>246421353</v>
      </c>
    </row>
    <row r="874" customFormat="false" ht="15.75" hidden="false" customHeight="false" outlineLevel="0" collapsed="false">
      <c r="A874" s="6" t="n">
        <f aca="false">IFERROR(__xludf.dummyfunction("""COMPUTED_VALUE"""),45467.6666666667)</f>
        <v>45467.6666666667</v>
      </c>
      <c r="B874" s="5" t="n">
        <f aca="false">IFERROR(__xludf.dummyfunction("""COMPUTED_VALUE"""),207.72)</f>
        <v>207.72</v>
      </c>
      <c r="C874" s="5" t="n">
        <f aca="false">IFERROR(__xludf.dummyfunction("""COMPUTED_VALUE"""),212.7)</f>
        <v>212.7</v>
      </c>
      <c r="D874" s="5" t="n">
        <f aca="false">IFERROR(__xludf.dummyfunction("""COMPUTED_VALUE"""),206.59)</f>
        <v>206.59</v>
      </c>
      <c r="E874" s="5" t="n">
        <f aca="false">IFERROR(__xludf.dummyfunction("""COMPUTED_VALUE"""),208.14)</f>
        <v>208.14</v>
      </c>
      <c r="F874" s="5" t="n">
        <f aca="false">IFERROR(__xludf.dummyfunction("""COMPUTED_VALUE"""),80727006)</f>
        <v>80727006</v>
      </c>
    </row>
    <row r="875" customFormat="false" ht="15.75" hidden="false" customHeight="false" outlineLevel="0" collapsed="false">
      <c r="A875" s="6" t="n">
        <f aca="false">IFERROR(__xludf.dummyfunction("""COMPUTED_VALUE"""),45468.6666666667)</f>
        <v>45468.6666666667</v>
      </c>
      <c r="B875" s="5" t="n">
        <f aca="false">IFERROR(__xludf.dummyfunction("""COMPUTED_VALUE"""),209.15)</f>
        <v>209.15</v>
      </c>
      <c r="C875" s="5" t="n">
        <f aca="false">IFERROR(__xludf.dummyfunction("""COMPUTED_VALUE"""),211.38)</f>
        <v>211.38</v>
      </c>
      <c r="D875" s="5" t="n">
        <f aca="false">IFERROR(__xludf.dummyfunction("""COMPUTED_VALUE"""),208.61)</f>
        <v>208.61</v>
      </c>
      <c r="E875" s="5" t="n">
        <f aca="false">IFERROR(__xludf.dummyfunction("""COMPUTED_VALUE"""),209.07)</f>
        <v>209.07</v>
      </c>
      <c r="F875" s="5" t="n">
        <f aca="false">IFERROR(__xludf.dummyfunction("""COMPUTED_VALUE"""),56713868)</f>
        <v>56713868</v>
      </c>
    </row>
    <row r="876" customFormat="false" ht="15.75" hidden="false" customHeight="false" outlineLevel="0" collapsed="false">
      <c r="A876" s="6" t="n">
        <f aca="false">IFERROR(__xludf.dummyfunction("""COMPUTED_VALUE"""),45469.6666666667)</f>
        <v>45469.6666666667</v>
      </c>
      <c r="B876" s="5" t="n">
        <f aca="false">IFERROR(__xludf.dummyfunction("""COMPUTED_VALUE"""),211.5)</f>
        <v>211.5</v>
      </c>
      <c r="C876" s="5" t="n">
        <f aca="false">IFERROR(__xludf.dummyfunction("""COMPUTED_VALUE"""),214.86)</f>
        <v>214.86</v>
      </c>
      <c r="D876" s="5" t="n">
        <f aca="false">IFERROR(__xludf.dummyfunction("""COMPUTED_VALUE"""),210.64)</f>
        <v>210.64</v>
      </c>
      <c r="E876" s="5" t="n">
        <f aca="false">IFERROR(__xludf.dummyfunction("""COMPUTED_VALUE"""),213.25)</f>
        <v>213.25</v>
      </c>
      <c r="F876" s="5" t="n">
        <f aca="false">IFERROR(__xludf.dummyfunction("""COMPUTED_VALUE"""),66213186)</f>
        <v>66213186</v>
      </c>
    </row>
    <row r="877" customFormat="false" ht="15.75" hidden="false" customHeight="false" outlineLevel="0" collapsed="false">
      <c r="A877" s="6" t="n">
        <f aca="false">IFERROR(__xludf.dummyfunction("""COMPUTED_VALUE"""),45470.6666666667)</f>
        <v>45470.6666666667</v>
      </c>
      <c r="B877" s="5" t="n">
        <f aca="false">IFERROR(__xludf.dummyfunction("""COMPUTED_VALUE"""),214.69)</f>
        <v>214.69</v>
      </c>
      <c r="C877" s="5" t="n">
        <f aca="false">IFERROR(__xludf.dummyfunction("""COMPUTED_VALUE"""),215.74)</f>
        <v>215.74</v>
      </c>
      <c r="D877" s="5" t="n">
        <f aca="false">IFERROR(__xludf.dummyfunction("""COMPUTED_VALUE"""),212.35)</f>
        <v>212.35</v>
      </c>
      <c r="E877" s="5" t="n">
        <f aca="false">IFERROR(__xludf.dummyfunction("""COMPUTED_VALUE"""),214.1)</f>
        <v>214.1</v>
      </c>
      <c r="F877" s="5" t="n">
        <f aca="false">IFERROR(__xludf.dummyfunction("""COMPUTED_VALUE"""),49772707)</f>
        <v>49772707</v>
      </c>
    </row>
    <row r="878" customFormat="false" ht="15.75" hidden="false" customHeight="false" outlineLevel="0" collapsed="false">
      <c r="A878" s="6" t="n">
        <f aca="false">IFERROR(__xludf.dummyfunction("""COMPUTED_VALUE"""),45471.6666666667)</f>
        <v>45471.6666666667</v>
      </c>
      <c r="B878" s="5" t="n">
        <f aca="false">IFERROR(__xludf.dummyfunction("""COMPUTED_VALUE"""),215.77)</f>
        <v>215.77</v>
      </c>
      <c r="C878" s="5" t="n">
        <f aca="false">IFERROR(__xludf.dummyfunction("""COMPUTED_VALUE"""),216.07)</f>
        <v>216.07</v>
      </c>
      <c r="D878" s="5" t="n">
        <f aca="false">IFERROR(__xludf.dummyfunction("""COMPUTED_VALUE"""),210.3)</f>
        <v>210.3</v>
      </c>
      <c r="E878" s="5" t="n">
        <f aca="false">IFERROR(__xludf.dummyfunction("""COMPUTED_VALUE"""),210.62)</f>
        <v>210.62</v>
      </c>
      <c r="F878" s="5" t="n">
        <f aca="false">IFERROR(__xludf.dummyfunction("""COMPUTED_VALUE"""),82542718)</f>
        <v>82542718</v>
      </c>
    </row>
    <row r="879" customFormat="false" ht="15.75" hidden="false" customHeight="false" outlineLevel="0" collapsed="false">
      <c r="A879" s="6" t="n">
        <f aca="false">IFERROR(__xludf.dummyfunction("""COMPUTED_VALUE"""),45474.6666666667)</f>
        <v>45474.6666666667</v>
      </c>
      <c r="B879" s="5" t="n">
        <f aca="false">IFERROR(__xludf.dummyfunction("""COMPUTED_VALUE"""),212.09)</f>
        <v>212.09</v>
      </c>
      <c r="C879" s="5" t="n">
        <f aca="false">IFERROR(__xludf.dummyfunction("""COMPUTED_VALUE"""),217.51)</f>
        <v>217.51</v>
      </c>
      <c r="D879" s="5" t="n">
        <f aca="false">IFERROR(__xludf.dummyfunction("""COMPUTED_VALUE"""),211.92)</f>
        <v>211.92</v>
      </c>
      <c r="E879" s="5" t="n">
        <f aca="false">IFERROR(__xludf.dummyfunction("""COMPUTED_VALUE"""),216.75)</f>
        <v>216.75</v>
      </c>
      <c r="F879" s="5" t="n">
        <f aca="false">IFERROR(__xludf.dummyfunction("""COMPUTED_VALUE"""),60402929)</f>
        <v>60402929</v>
      </c>
    </row>
    <row r="880" customFormat="false" ht="15.75" hidden="false" customHeight="false" outlineLevel="0" collapsed="false">
      <c r="A880" s="6" t="n">
        <f aca="false">IFERROR(__xludf.dummyfunction("""COMPUTED_VALUE"""),45475.6666666667)</f>
        <v>45475.6666666667</v>
      </c>
      <c r="B880" s="5" t="n">
        <f aca="false">IFERROR(__xludf.dummyfunction("""COMPUTED_VALUE"""),216.15)</f>
        <v>216.15</v>
      </c>
      <c r="C880" s="5" t="n">
        <f aca="false">IFERROR(__xludf.dummyfunction("""COMPUTED_VALUE"""),220.38)</f>
        <v>220.38</v>
      </c>
      <c r="D880" s="5" t="n">
        <f aca="false">IFERROR(__xludf.dummyfunction("""COMPUTED_VALUE"""),215.1)</f>
        <v>215.1</v>
      </c>
      <c r="E880" s="5" t="n">
        <f aca="false">IFERROR(__xludf.dummyfunction("""COMPUTED_VALUE"""),220.27)</f>
        <v>220.27</v>
      </c>
      <c r="F880" s="5" t="n">
        <f aca="false">IFERROR(__xludf.dummyfunction("""COMPUTED_VALUE"""),58046178)</f>
        <v>58046178</v>
      </c>
    </row>
    <row r="881" customFormat="false" ht="15.75" hidden="false" customHeight="false" outlineLevel="0" collapsed="false">
      <c r="A881" s="6" t="n">
        <f aca="false">IFERROR(__xludf.dummyfunction("""COMPUTED_VALUE"""),45476.5451388889)</f>
        <v>45476.5451388889</v>
      </c>
      <c r="B881" s="5" t="n">
        <f aca="false">IFERROR(__xludf.dummyfunction("""COMPUTED_VALUE"""),220)</f>
        <v>220</v>
      </c>
      <c r="C881" s="5" t="n">
        <f aca="false">IFERROR(__xludf.dummyfunction("""COMPUTED_VALUE"""),221.55)</f>
        <v>221.55</v>
      </c>
      <c r="D881" s="5" t="n">
        <f aca="false">IFERROR(__xludf.dummyfunction("""COMPUTED_VALUE"""),219.03)</f>
        <v>219.03</v>
      </c>
      <c r="E881" s="5" t="n">
        <f aca="false">IFERROR(__xludf.dummyfunction("""COMPUTED_VALUE"""),221.55)</f>
        <v>221.55</v>
      </c>
      <c r="F881" s="5" t="n">
        <f aca="false">IFERROR(__xludf.dummyfunction("""COMPUTED_VALUE"""),37369801)</f>
        <v>37369801</v>
      </c>
    </row>
    <row r="882" customFormat="false" ht="15.75" hidden="false" customHeight="false" outlineLevel="0" collapsed="false">
      <c r="A882" s="6" t="n">
        <f aca="false">IFERROR(__xludf.dummyfunction("""COMPUTED_VALUE"""),45478.6666666667)</f>
        <v>45478.6666666667</v>
      </c>
      <c r="B882" s="5" t="n">
        <f aca="false">IFERROR(__xludf.dummyfunction("""COMPUTED_VALUE"""),221.65)</f>
        <v>221.65</v>
      </c>
      <c r="C882" s="5" t="n">
        <f aca="false">IFERROR(__xludf.dummyfunction("""COMPUTED_VALUE"""),226.45)</f>
        <v>226.45</v>
      </c>
      <c r="D882" s="5" t="n">
        <f aca="false">IFERROR(__xludf.dummyfunction("""COMPUTED_VALUE"""),221.65)</f>
        <v>221.65</v>
      </c>
      <c r="E882" s="5" t="n">
        <f aca="false">IFERROR(__xludf.dummyfunction("""COMPUTED_VALUE"""),226.34)</f>
        <v>226.34</v>
      </c>
      <c r="F882" s="5" t="n">
        <f aca="false">IFERROR(__xludf.dummyfunction("""COMPUTED_VALUE"""),60412408)</f>
        <v>60412408</v>
      </c>
    </row>
    <row r="883" customFormat="false" ht="15.75" hidden="false" customHeight="false" outlineLevel="0" collapsed="false">
      <c r="A883" s="6" t="n">
        <f aca="false">IFERROR(__xludf.dummyfunction("""COMPUTED_VALUE"""),45481.6666666667)</f>
        <v>45481.6666666667</v>
      </c>
      <c r="B883" s="5" t="n">
        <f aca="false">IFERROR(__xludf.dummyfunction("""COMPUTED_VALUE"""),227.09)</f>
        <v>227.09</v>
      </c>
      <c r="C883" s="5" t="n">
        <f aca="false">IFERROR(__xludf.dummyfunction("""COMPUTED_VALUE"""),227.85)</f>
        <v>227.85</v>
      </c>
      <c r="D883" s="5" t="n">
        <f aca="false">IFERROR(__xludf.dummyfunction("""COMPUTED_VALUE"""),223.25)</f>
        <v>223.25</v>
      </c>
      <c r="E883" s="5" t="n">
        <f aca="false">IFERROR(__xludf.dummyfunction("""COMPUTED_VALUE"""),227.82)</f>
        <v>227.82</v>
      </c>
      <c r="F883" s="5" t="n">
        <f aca="false">IFERROR(__xludf.dummyfunction("""COMPUTED_VALUE"""),59085861)</f>
        <v>59085861</v>
      </c>
    </row>
    <row r="884" customFormat="false" ht="15.75" hidden="false" customHeight="false" outlineLevel="0" collapsed="false">
      <c r="A884" s="6" t="n">
        <f aca="false">IFERROR(__xludf.dummyfunction("""COMPUTED_VALUE"""),45482.6666666667)</f>
        <v>45482.6666666667</v>
      </c>
      <c r="B884" s="5" t="n">
        <f aca="false">IFERROR(__xludf.dummyfunction("""COMPUTED_VALUE"""),227.93)</f>
        <v>227.93</v>
      </c>
      <c r="C884" s="5" t="n">
        <f aca="false">IFERROR(__xludf.dummyfunction("""COMPUTED_VALUE"""),229.4)</f>
        <v>229.4</v>
      </c>
      <c r="D884" s="5" t="n">
        <f aca="false">IFERROR(__xludf.dummyfunction("""COMPUTED_VALUE"""),226.37)</f>
        <v>226.37</v>
      </c>
      <c r="E884" s="5" t="n">
        <f aca="false">IFERROR(__xludf.dummyfunction("""COMPUTED_VALUE"""),228.68)</f>
        <v>228.68</v>
      </c>
      <c r="F884" s="5" t="n">
        <f aca="false">IFERROR(__xludf.dummyfunction("""COMPUTED_VALUE"""),48169822)</f>
        <v>48169822</v>
      </c>
    </row>
    <row r="885" customFormat="false" ht="15.75" hidden="false" customHeight="false" outlineLevel="0" collapsed="false">
      <c r="A885" s="6" t="n">
        <f aca="false">IFERROR(__xludf.dummyfunction("""COMPUTED_VALUE"""),45483.6666666667)</f>
        <v>45483.6666666667</v>
      </c>
      <c r="B885" s="5" t="n">
        <f aca="false">IFERROR(__xludf.dummyfunction("""COMPUTED_VALUE"""),229.3)</f>
        <v>229.3</v>
      </c>
      <c r="C885" s="5" t="n">
        <f aca="false">IFERROR(__xludf.dummyfunction("""COMPUTED_VALUE"""),233.08)</f>
        <v>233.08</v>
      </c>
      <c r="D885" s="5" t="n">
        <f aca="false">IFERROR(__xludf.dummyfunction("""COMPUTED_VALUE"""),229.25)</f>
        <v>229.25</v>
      </c>
      <c r="E885" s="5" t="n">
        <f aca="false">IFERROR(__xludf.dummyfunction("""COMPUTED_VALUE"""),232.98)</f>
        <v>232.98</v>
      </c>
      <c r="F885" s="5" t="n">
        <f aca="false">IFERROR(__xludf.dummyfunction("""COMPUTED_VALUE"""),62627687)</f>
        <v>62627687</v>
      </c>
    </row>
    <row r="886" customFormat="false" ht="15.75" hidden="false" customHeight="false" outlineLevel="0" collapsed="false">
      <c r="A886" s="6" t="n">
        <f aca="false">IFERROR(__xludf.dummyfunction("""COMPUTED_VALUE"""),45484.6666666667)</f>
        <v>45484.6666666667</v>
      </c>
      <c r="B886" s="5" t="n">
        <f aca="false">IFERROR(__xludf.dummyfunction("""COMPUTED_VALUE"""),231.39)</f>
        <v>231.39</v>
      </c>
      <c r="C886" s="5" t="n">
        <f aca="false">IFERROR(__xludf.dummyfunction("""COMPUTED_VALUE"""),232.39)</f>
        <v>232.39</v>
      </c>
      <c r="D886" s="5" t="n">
        <f aca="false">IFERROR(__xludf.dummyfunction("""COMPUTED_VALUE"""),225.77)</f>
        <v>225.77</v>
      </c>
      <c r="E886" s="5" t="n">
        <f aca="false">IFERROR(__xludf.dummyfunction("""COMPUTED_VALUE"""),227.57)</f>
        <v>227.57</v>
      </c>
      <c r="F886" s="5" t="n">
        <f aca="false">IFERROR(__xludf.dummyfunction("""COMPUTED_VALUE"""),64710617)</f>
        <v>64710617</v>
      </c>
    </row>
    <row r="887" customFormat="false" ht="15.75" hidden="false" customHeight="false" outlineLevel="0" collapsed="false">
      <c r="A887" s="6" t="n">
        <f aca="false">IFERROR(__xludf.dummyfunction("""COMPUTED_VALUE"""),45485.6666666667)</f>
        <v>45485.6666666667</v>
      </c>
      <c r="B887" s="5" t="n">
        <f aca="false">IFERROR(__xludf.dummyfunction("""COMPUTED_VALUE"""),228.92)</f>
        <v>228.92</v>
      </c>
      <c r="C887" s="5" t="n">
        <f aca="false">IFERROR(__xludf.dummyfunction("""COMPUTED_VALUE"""),232.64)</f>
        <v>232.64</v>
      </c>
      <c r="D887" s="5" t="n">
        <f aca="false">IFERROR(__xludf.dummyfunction("""COMPUTED_VALUE"""),228.68)</f>
        <v>228.68</v>
      </c>
      <c r="E887" s="5" t="n">
        <f aca="false">IFERROR(__xludf.dummyfunction("""COMPUTED_VALUE"""),230.54)</f>
        <v>230.54</v>
      </c>
      <c r="F887" s="5" t="n">
        <f aca="false">IFERROR(__xludf.dummyfunction("""COMPUTED_VALUE"""),53046527)</f>
        <v>53046527</v>
      </c>
    </row>
    <row r="888" customFormat="false" ht="15.75" hidden="false" customHeight="false" outlineLevel="0" collapsed="false">
      <c r="A888" s="6" t="n">
        <f aca="false">IFERROR(__xludf.dummyfunction("""COMPUTED_VALUE"""),45488.6666666667)</f>
        <v>45488.6666666667</v>
      </c>
      <c r="B888" s="5" t="n">
        <f aca="false">IFERROR(__xludf.dummyfunction("""COMPUTED_VALUE"""),236.48)</f>
        <v>236.48</v>
      </c>
      <c r="C888" s="5" t="n">
        <f aca="false">IFERROR(__xludf.dummyfunction("""COMPUTED_VALUE"""),237.23)</f>
        <v>237.23</v>
      </c>
      <c r="D888" s="5" t="n">
        <f aca="false">IFERROR(__xludf.dummyfunction("""COMPUTED_VALUE"""),233.09)</f>
        <v>233.09</v>
      </c>
      <c r="E888" s="5" t="n">
        <f aca="false">IFERROR(__xludf.dummyfunction("""COMPUTED_VALUE"""),234.4)</f>
        <v>234.4</v>
      </c>
      <c r="F888" s="5" t="n">
        <f aca="false">IFERROR(__xludf.dummyfunction("""COMPUTED_VALUE"""),62631252)</f>
        <v>62631252</v>
      </c>
    </row>
    <row r="889" customFormat="false" ht="15.75" hidden="false" customHeight="false" outlineLevel="0" collapsed="false">
      <c r="A889" s="6" t="n">
        <f aca="false">IFERROR(__xludf.dummyfunction("""COMPUTED_VALUE"""),45489.6666666667)</f>
        <v>45489.6666666667</v>
      </c>
      <c r="B889" s="5" t="n">
        <f aca="false">IFERROR(__xludf.dummyfunction("""COMPUTED_VALUE"""),235)</f>
        <v>235</v>
      </c>
      <c r="C889" s="5" t="n">
        <f aca="false">IFERROR(__xludf.dummyfunction("""COMPUTED_VALUE"""),236.27)</f>
        <v>236.27</v>
      </c>
      <c r="D889" s="5" t="n">
        <f aca="false">IFERROR(__xludf.dummyfunction("""COMPUTED_VALUE"""),232.33)</f>
        <v>232.33</v>
      </c>
      <c r="E889" s="5" t="n">
        <f aca="false">IFERROR(__xludf.dummyfunction("""COMPUTED_VALUE"""),234.82)</f>
        <v>234.82</v>
      </c>
      <c r="F889" s="5" t="n">
        <f aca="false">IFERROR(__xludf.dummyfunction("""COMPUTED_VALUE"""),43234278)</f>
        <v>43234278</v>
      </c>
    </row>
    <row r="890" customFormat="false" ht="15.75" hidden="false" customHeight="false" outlineLevel="0" collapsed="false">
      <c r="A890" s="6" t="n">
        <f aca="false">IFERROR(__xludf.dummyfunction("""COMPUTED_VALUE"""),45490.6666666667)</f>
        <v>45490.6666666667</v>
      </c>
      <c r="B890" s="5" t="n">
        <f aca="false">IFERROR(__xludf.dummyfunction("""COMPUTED_VALUE"""),229.45)</f>
        <v>229.45</v>
      </c>
      <c r="C890" s="5" t="n">
        <f aca="false">IFERROR(__xludf.dummyfunction("""COMPUTED_VALUE"""),231.46)</f>
        <v>231.46</v>
      </c>
      <c r="D890" s="5" t="n">
        <f aca="false">IFERROR(__xludf.dummyfunction("""COMPUTED_VALUE"""),226.64)</f>
        <v>226.64</v>
      </c>
      <c r="E890" s="5" t="n">
        <f aca="false">IFERROR(__xludf.dummyfunction("""COMPUTED_VALUE"""),228.88)</f>
        <v>228.88</v>
      </c>
      <c r="F890" s="5" t="n">
        <f aca="false">IFERROR(__xludf.dummyfunction("""COMPUTED_VALUE"""),57345884)</f>
        <v>57345884</v>
      </c>
    </row>
    <row r="891" customFormat="false" ht="15.75" hidden="false" customHeight="false" outlineLevel="0" collapsed="false">
      <c r="A891" s="6" t="n">
        <f aca="false">IFERROR(__xludf.dummyfunction("""COMPUTED_VALUE"""),45491.6666666667)</f>
        <v>45491.6666666667</v>
      </c>
      <c r="B891" s="5" t="n">
        <f aca="false">IFERROR(__xludf.dummyfunction("""COMPUTED_VALUE"""),230.28)</f>
        <v>230.28</v>
      </c>
      <c r="C891" s="5" t="n">
        <f aca="false">IFERROR(__xludf.dummyfunction("""COMPUTED_VALUE"""),230.44)</f>
        <v>230.44</v>
      </c>
      <c r="D891" s="5" t="n">
        <f aca="false">IFERROR(__xludf.dummyfunction("""COMPUTED_VALUE"""),222.27)</f>
        <v>222.27</v>
      </c>
      <c r="E891" s="5" t="n">
        <f aca="false">IFERROR(__xludf.dummyfunction("""COMPUTED_VALUE"""),224.18)</f>
        <v>224.18</v>
      </c>
      <c r="F891" s="5" t="n">
        <f aca="false">IFERROR(__xludf.dummyfunction("""COMPUTED_VALUE"""),66034585)</f>
        <v>66034585</v>
      </c>
    </row>
    <row r="892" customFormat="false" ht="15.75" hidden="false" customHeight="false" outlineLevel="0" collapsed="false">
      <c r="A892" s="6" t="n">
        <f aca="false">IFERROR(__xludf.dummyfunction("""COMPUTED_VALUE"""),45492.6666666667)</f>
        <v>45492.6666666667</v>
      </c>
      <c r="B892" s="5" t="n">
        <f aca="false">IFERROR(__xludf.dummyfunction("""COMPUTED_VALUE"""),224.82)</f>
        <v>224.82</v>
      </c>
      <c r="C892" s="5" t="n">
        <f aca="false">IFERROR(__xludf.dummyfunction("""COMPUTED_VALUE"""),226.8)</f>
        <v>226.8</v>
      </c>
      <c r="D892" s="5" t="n">
        <f aca="false">IFERROR(__xludf.dummyfunction("""COMPUTED_VALUE"""),223.28)</f>
        <v>223.28</v>
      </c>
      <c r="E892" s="5" t="n">
        <f aca="false">IFERROR(__xludf.dummyfunction("""COMPUTED_VALUE"""),224.31)</f>
        <v>224.31</v>
      </c>
      <c r="F892" s="5" t="n">
        <f aca="false">IFERROR(__xludf.dummyfunction("""COMPUTED_VALUE"""),49151453)</f>
        <v>49151453</v>
      </c>
    </row>
    <row r="893" customFormat="false" ht="15.75" hidden="false" customHeight="false" outlineLevel="0" collapsed="false">
      <c r="A893" s="6" t="n">
        <f aca="false">IFERROR(__xludf.dummyfunction("""COMPUTED_VALUE"""),45495.6666666667)</f>
        <v>45495.6666666667</v>
      </c>
      <c r="B893" s="5" t="n">
        <f aca="false">IFERROR(__xludf.dummyfunction("""COMPUTED_VALUE"""),227.01)</f>
        <v>227.01</v>
      </c>
      <c r="C893" s="5" t="n">
        <f aca="false">IFERROR(__xludf.dummyfunction("""COMPUTED_VALUE"""),227.78)</f>
        <v>227.78</v>
      </c>
      <c r="D893" s="5" t="n">
        <f aca="false">IFERROR(__xludf.dummyfunction("""COMPUTED_VALUE"""),223.09)</f>
        <v>223.09</v>
      </c>
      <c r="E893" s="5" t="n">
        <f aca="false">IFERROR(__xludf.dummyfunction("""COMPUTED_VALUE"""),223.96)</f>
        <v>223.96</v>
      </c>
      <c r="F893" s="5" t="n">
        <f aca="false">IFERROR(__xludf.dummyfunction("""COMPUTED_VALUE"""),48201835)</f>
        <v>48201835</v>
      </c>
    </row>
    <row r="894" customFormat="false" ht="15.75" hidden="false" customHeight="false" outlineLevel="0" collapsed="false">
      <c r="A894" s="6" t="n">
        <f aca="false">IFERROR(__xludf.dummyfunction("""COMPUTED_VALUE"""),45496.6666666667)</f>
        <v>45496.6666666667</v>
      </c>
      <c r="B894" s="5" t="n">
        <f aca="false">IFERROR(__xludf.dummyfunction("""COMPUTED_VALUE"""),224.37)</f>
        <v>224.37</v>
      </c>
      <c r="C894" s="5" t="n">
        <f aca="false">IFERROR(__xludf.dummyfunction("""COMPUTED_VALUE"""),226.94)</f>
        <v>226.94</v>
      </c>
      <c r="D894" s="5" t="n">
        <f aca="false">IFERROR(__xludf.dummyfunction("""COMPUTED_VALUE"""),222.68)</f>
        <v>222.68</v>
      </c>
      <c r="E894" s="5" t="n">
        <f aca="false">IFERROR(__xludf.dummyfunction("""COMPUTED_VALUE"""),225.01)</f>
        <v>225.01</v>
      </c>
      <c r="F894" s="5" t="n">
        <f aca="false">IFERROR(__xludf.dummyfunction("""COMPUTED_VALUE"""),39960260)</f>
        <v>39960260</v>
      </c>
    </row>
    <row r="895" customFormat="false" ht="15.75" hidden="false" customHeight="false" outlineLevel="0" collapsed="false">
      <c r="A895" s="6" t="n">
        <f aca="false">IFERROR(__xludf.dummyfunction("""COMPUTED_VALUE"""),45497.6666666667)</f>
        <v>45497.6666666667</v>
      </c>
      <c r="B895" s="5" t="n">
        <f aca="false">IFERROR(__xludf.dummyfunction("""COMPUTED_VALUE"""),224)</f>
        <v>224</v>
      </c>
      <c r="C895" s="5" t="n">
        <f aca="false">IFERROR(__xludf.dummyfunction("""COMPUTED_VALUE"""),224.8)</f>
        <v>224.8</v>
      </c>
      <c r="D895" s="5" t="n">
        <f aca="false">IFERROR(__xludf.dummyfunction("""COMPUTED_VALUE"""),217.13)</f>
        <v>217.13</v>
      </c>
      <c r="E895" s="5" t="n">
        <f aca="false">IFERROR(__xludf.dummyfunction("""COMPUTED_VALUE"""),218.54)</f>
        <v>218.54</v>
      </c>
      <c r="F895" s="5" t="n">
        <f aca="false">IFERROR(__xludf.dummyfunction("""COMPUTED_VALUE"""),61777576)</f>
        <v>61777576</v>
      </c>
    </row>
    <row r="896" customFormat="false" ht="15.75" hidden="false" customHeight="false" outlineLevel="0" collapsed="false">
      <c r="A896" s="6" t="n">
        <f aca="false">IFERROR(__xludf.dummyfunction("""COMPUTED_VALUE"""),45498.6666666667)</f>
        <v>45498.6666666667</v>
      </c>
      <c r="B896" s="5" t="n">
        <f aca="false">IFERROR(__xludf.dummyfunction("""COMPUTED_VALUE"""),218.93)</f>
        <v>218.93</v>
      </c>
      <c r="C896" s="5" t="n">
        <f aca="false">IFERROR(__xludf.dummyfunction("""COMPUTED_VALUE"""),220.85)</f>
        <v>220.85</v>
      </c>
      <c r="D896" s="5" t="n">
        <f aca="false">IFERROR(__xludf.dummyfunction("""COMPUTED_VALUE"""),214.62)</f>
        <v>214.62</v>
      </c>
      <c r="E896" s="5" t="n">
        <f aca="false">IFERROR(__xludf.dummyfunction("""COMPUTED_VALUE"""),217.49)</f>
        <v>217.49</v>
      </c>
      <c r="F896" s="5" t="n">
        <f aca="false">IFERROR(__xludf.dummyfunction("""COMPUTED_VALUE"""),51391199)</f>
        <v>51391199</v>
      </c>
    </row>
    <row r="897" customFormat="false" ht="15.75" hidden="false" customHeight="false" outlineLevel="0" collapsed="false">
      <c r="A897" s="6" t="n">
        <f aca="false">IFERROR(__xludf.dummyfunction("""COMPUTED_VALUE"""),45499.6666666667)</f>
        <v>45499.6666666667</v>
      </c>
      <c r="B897" s="5" t="n">
        <f aca="false">IFERROR(__xludf.dummyfunction("""COMPUTED_VALUE"""),218.7)</f>
        <v>218.7</v>
      </c>
      <c r="C897" s="5" t="n">
        <f aca="false">IFERROR(__xludf.dummyfunction("""COMPUTED_VALUE"""),219.49)</f>
        <v>219.49</v>
      </c>
      <c r="D897" s="5" t="n">
        <f aca="false">IFERROR(__xludf.dummyfunction("""COMPUTED_VALUE"""),216.01)</f>
        <v>216.01</v>
      </c>
      <c r="E897" s="5" t="n">
        <f aca="false">IFERROR(__xludf.dummyfunction("""COMPUTED_VALUE"""),217.96)</f>
        <v>217.96</v>
      </c>
      <c r="F897" s="5" t="n">
        <f aca="false">IFERROR(__xludf.dummyfunction("""COMPUTED_VALUE"""),41601345)</f>
        <v>41601345</v>
      </c>
    </row>
    <row r="898" customFormat="false" ht="15.75" hidden="false" customHeight="false" outlineLevel="0" collapsed="false">
      <c r="A898" s="6" t="n">
        <f aca="false">IFERROR(__xludf.dummyfunction("""COMPUTED_VALUE"""),45502.6666666667)</f>
        <v>45502.6666666667</v>
      </c>
      <c r="B898" s="5" t="n">
        <f aca="false">IFERROR(__xludf.dummyfunction("""COMPUTED_VALUE"""),216.96)</f>
        <v>216.96</v>
      </c>
      <c r="C898" s="5" t="n">
        <f aca="false">IFERROR(__xludf.dummyfunction("""COMPUTED_VALUE"""),219.3)</f>
        <v>219.3</v>
      </c>
      <c r="D898" s="5" t="n">
        <f aca="false">IFERROR(__xludf.dummyfunction("""COMPUTED_VALUE"""),215.75)</f>
        <v>215.75</v>
      </c>
      <c r="E898" s="5" t="n">
        <f aca="false">IFERROR(__xludf.dummyfunction("""COMPUTED_VALUE"""),218.24)</f>
        <v>218.24</v>
      </c>
      <c r="F898" s="5" t="n">
        <f aca="false">IFERROR(__xludf.dummyfunction("""COMPUTED_VALUE"""),36311778)</f>
        <v>36311778</v>
      </c>
    </row>
    <row r="899" customFormat="false" ht="15.75" hidden="false" customHeight="false" outlineLevel="0" collapsed="false">
      <c r="A899" s="6" t="n">
        <f aca="false">IFERROR(__xludf.dummyfunction("""COMPUTED_VALUE"""),45503.6666666667)</f>
        <v>45503.6666666667</v>
      </c>
      <c r="B899" s="5" t="n">
        <f aca="false">IFERROR(__xludf.dummyfunction("""COMPUTED_VALUE"""),219.19)</f>
        <v>219.19</v>
      </c>
      <c r="C899" s="5" t="n">
        <f aca="false">IFERROR(__xludf.dummyfunction("""COMPUTED_VALUE"""),220.33)</f>
        <v>220.33</v>
      </c>
      <c r="D899" s="5" t="n">
        <f aca="false">IFERROR(__xludf.dummyfunction("""COMPUTED_VALUE"""),216.12)</f>
        <v>216.12</v>
      </c>
      <c r="E899" s="5" t="n">
        <f aca="false">IFERROR(__xludf.dummyfunction("""COMPUTED_VALUE"""),218.8)</f>
        <v>218.8</v>
      </c>
      <c r="F899" s="5" t="n">
        <f aca="false">IFERROR(__xludf.dummyfunction("""COMPUTED_VALUE"""),41643840)</f>
        <v>41643840</v>
      </c>
    </row>
    <row r="900" customFormat="false" ht="15.75" hidden="false" customHeight="false" outlineLevel="0" collapsed="false">
      <c r="A900" s="6" t="n">
        <f aca="false">IFERROR(__xludf.dummyfunction("""COMPUTED_VALUE"""),45504.6666666667)</f>
        <v>45504.6666666667</v>
      </c>
      <c r="B900" s="5" t="n">
        <f aca="false">IFERROR(__xludf.dummyfunction("""COMPUTED_VALUE"""),221.44)</f>
        <v>221.44</v>
      </c>
      <c r="C900" s="5" t="n">
        <f aca="false">IFERROR(__xludf.dummyfunction("""COMPUTED_VALUE"""),223.82)</f>
        <v>223.82</v>
      </c>
      <c r="D900" s="5" t="n">
        <f aca="false">IFERROR(__xludf.dummyfunction("""COMPUTED_VALUE"""),220.63)</f>
        <v>220.63</v>
      </c>
      <c r="E900" s="5" t="n">
        <f aca="false">IFERROR(__xludf.dummyfunction("""COMPUTED_VALUE"""),222.08)</f>
        <v>222.08</v>
      </c>
      <c r="F900" s="5" t="n">
        <f aca="false">IFERROR(__xludf.dummyfunction("""COMPUTED_VALUE"""),50036262)</f>
        <v>50036262</v>
      </c>
    </row>
    <row r="901" customFormat="false" ht="15.75" hidden="false" customHeight="false" outlineLevel="0" collapsed="false">
      <c r="A901" s="6" t="n">
        <f aca="false">IFERROR(__xludf.dummyfunction("""COMPUTED_VALUE"""),45505.6666666667)</f>
        <v>45505.6666666667</v>
      </c>
      <c r="B901" s="5" t="n">
        <f aca="false">IFERROR(__xludf.dummyfunction("""COMPUTED_VALUE"""),224.37)</f>
        <v>224.37</v>
      </c>
      <c r="C901" s="5" t="n">
        <f aca="false">IFERROR(__xludf.dummyfunction("""COMPUTED_VALUE"""),224.48)</f>
        <v>224.48</v>
      </c>
      <c r="D901" s="5" t="n">
        <f aca="false">IFERROR(__xludf.dummyfunction("""COMPUTED_VALUE"""),217.02)</f>
        <v>217.02</v>
      </c>
      <c r="E901" s="5" t="n">
        <f aca="false">IFERROR(__xludf.dummyfunction("""COMPUTED_VALUE"""),218.36)</f>
        <v>218.36</v>
      </c>
      <c r="F901" s="5" t="n">
        <f aca="false">IFERROR(__xludf.dummyfunction("""COMPUTED_VALUE"""),62500996)</f>
        <v>62500996</v>
      </c>
    </row>
    <row r="902" customFormat="false" ht="15.75" hidden="false" customHeight="false" outlineLevel="0" collapsed="false">
      <c r="A902" s="6" t="n">
        <f aca="false">IFERROR(__xludf.dummyfunction("""COMPUTED_VALUE"""),45506.6666666667)</f>
        <v>45506.6666666667</v>
      </c>
      <c r="B902" s="5" t="n">
        <f aca="false">IFERROR(__xludf.dummyfunction("""COMPUTED_VALUE"""),219.15)</f>
        <v>219.15</v>
      </c>
      <c r="C902" s="5" t="n">
        <f aca="false">IFERROR(__xludf.dummyfunction("""COMPUTED_VALUE"""),225.6)</f>
        <v>225.6</v>
      </c>
      <c r="D902" s="5" t="n">
        <f aca="false">IFERROR(__xludf.dummyfunction("""COMPUTED_VALUE"""),217.71)</f>
        <v>217.71</v>
      </c>
      <c r="E902" s="5" t="n">
        <f aca="false">IFERROR(__xludf.dummyfunction("""COMPUTED_VALUE"""),219.86)</f>
        <v>219.86</v>
      </c>
      <c r="F902" s="5" t="n">
        <f aca="false">IFERROR(__xludf.dummyfunction("""COMPUTED_VALUE"""),105568560)</f>
        <v>105568560</v>
      </c>
    </row>
    <row r="903" customFormat="false" ht="15.75" hidden="false" customHeight="false" outlineLevel="0" collapsed="false">
      <c r="A903" s="6" t="n">
        <f aca="false">IFERROR(__xludf.dummyfunction("""COMPUTED_VALUE"""),45509.6666666667)</f>
        <v>45509.6666666667</v>
      </c>
      <c r="B903" s="5" t="n">
        <f aca="false">IFERROR(__xludf.dummyfunction("""COMPUTED_VALUE"""),199.09)</f>
        <v>199.09</v>
      </c>
      <c r="C903" s="5" t="n">
        <f aca="false">IFERROR(__xludf.dummyfunction("""COMPUTED_VALUE"""),213.5)</f>
        <v>213.5</v>
      </c>
      <c r="D903" s="5" t="n">
        <f aca="false">IFERROR(__xludf.dummyfunction("""COMPUTED_VALUE"""),196)</f>
        <v>196</v>
      </c>
      <c r="E903" s="5" t="n">
        <f aca="false">IFERROR(__xludf.dummyfunction("""COMPUTED_VALUE"""),209.27)</f>
        <v>209.27</v>
      </c>
      <c r="F903" s="5" t="n">
        <f aca="false">IFERROR(__xludf.dummyfunction("""COMPUTED_VALUE"""),119548589)</f>
        <v>119548589</v>
      </c>
    </row>
    <row r="904" customFormat="false" ht="15.75" hidden="false" customHeight="false" outlineLevel="0" collapsed="false">
      <c r="A904" s="6" t="n">
        <f aca="false">IFERROR(__xludf.dummyfunction("""COMPUTED_VALUE"""),45510.6666666667)</f>
        <v>45510.6666666667</v>
      </c>
      <c r="B904" s="5" t="n">
        <f aca="false">IFERROR(__xludf.dummyfunction("""COMPUTED_VALUE"""),205.3)</f>
        <v>205.3</v>
      </c>
      <c r="C904" s="5" t="n">
        <f aca="false">IFERROR(__xludf.dummyfunction("""COMPUTED_VALUE"""),209.99)</f>
        <v>209.99</v>
      </c>
      <c r="D904" s="5" t="n">
        <f aca="false">IFERROR(__xludf.dummyfunction("""COMPUTED_VALUE"""),201.07)</f>
        <v>201.07</v>
      </c>
      <c r="E904" s="5" t="n">
        <f aca="false">IFERROR(__xludf.dummyfunction("""COMPUTED_VALUE"""),207.23)</f>
        <v>207.23</v>
      </c>
      <c r="F904" s="5" t="n">
        <f aca="false">IFERROR(__xludf.dummyfunction("""COMPUTED_VALUE"""),69660488)</f>
        <v>69660488</v>
      </c>
    </row>
    <row r="905" customFormat="false" ht="15.75" hidden="false" customHeight="false" outlineLevel="0" collapsed="false">
      <c r="A905" s="6" t="n">
        <f aca="false">IFERROR(__xludf.dummyfunction("""COMPUTED_VALUE"""),45511.6666666667)</f>
        <v>45511.6666666667</v>
      </c>
      <c r="B905" s="5" t="n">
        <f aca="false">IFERROR(__xludf.dummyfunction("""COMPUTED_VALUE"""),206.9)</f>
        <v>206.9</v>
      </c>
      <c r="C905" s="5" t="n">
        <f aca="false">IFERROR(__xludf.dummyfunction("""COMPUTED_VALUE"""),213.64)</f>
        <v>213.64</v>
      </c>
      <c r="D905" s="5" t="n">
        <f aca="false">IFERROR(__xludf.dummyfunction("""COMPUTED_VALUE"""),206.39)</f>
        <v>206.39</v>
      </c>
      <c r="E905" s="5" t="n">
        <f aca="false">IFERROR(__xludf.dummyfunction("""COMPUTED_VALUE"""),209.82)</f>
        <v>209.82</v>
      </c>
      <c r="F905" s="5" t="n">
        <f aca="false">IFERROR(__xludf.dummyfunction("""COMPUTED_VALUE"""),63516417)</f>
        <v>63516417</v>
      </c>
    </row>
    <row r="906" customFormat="false" ht="15.75" hidden="false" customHeight="false" outlineLevel="0" collapsed="false">
      <c r="A906" s="6" t="n">
        <f aca="false">IFERROR(__xludf.dummyfunction("""COMPUTED_VALUE"""),45512.6666666667)</f>
        <v>45512.6666666667</v>
      </c>
      <c r="B906" s="5" t="n">
        <f aca="false">IFERROR(__xludf.dummyfunction("""COMPUTED_VALUE"""),213.11)</f>
        <v>213.11</v>
      </c>
      <c r="C906" s="5" t="n">
        <f aca="false">IFERROR(__xludf.dummyfunction("""COMPUTED_VALUE"""),214.2)</f>
        <v>214.2</v>
      </c>
      <c r="D906" s="5" t="n">
        <f aca="false">IFERROR(__xludf.dummyfunction("""COMPUTED_VALUE"""),208.83)</f>
        <v>208.83</v>
      </c>
      <c r="E906" s="5" t="n">
        <f aca="false">IFERROR(__xludf.dummyfunction("""COMPUTED_VALUE"""),213.31)</f>
        <v>213.31</v>
      </c>
      <c r="F906" s="5" t="n">
        <f aca="false">IFERROR(__xludf.dummyfunction("""COMPUTED_VALUE"""),47161149)</f>
        <v>47161149</v>
      </c>
    </row>
    <row r="907" customFormat="false" ht="15.75" hidden="false" customHeight="false" outlineLevel="0" collapsed="false">
      <c r="A907" s="6" t="n">
        <f aca="false">IFERROR(__xludf.dummyfunction("""COMPUTED_VALUE"""),45513.6666666667)</f>
        <v>45513.6666666667</v>
      </c>
      <c r="B907" s="5" t="n">
        <f aca="false">IFERROR(__xludf.dummyfunction("""COMPUTED_VALUE"""),212.1)</f>
        <v>212.1</v>
      </c>
      <c r="C907" s="5" t="n">
        <f aca="false">IFERROR(__xludf.dummyfunction("""COMPUTED_VALUE"""),216.78)</f>
        <v>216.78</v>
      </c>
      <c r="D907" s="5" t="n">
        <f aca="false">IFERROR(__xludf.dummyfunction("""COMPUTED_VALUE"""),211.97)</f>
        <v>211.97</v>
      </c>
      <c r="E907" s="5" t="n">
        <f aca="false">IFERROR(__xludf.dummyfunction("""COMPUTED_VALUE"""),216.24)</f>
        <v>216.24</v>
      </c>
      <c r="F907" s="5" t="n">
        <f aca="false">IFERROR(__xludf.dummyfunction("""COMPUTED_VALUE"""),42201646)</f>
        <v>42201646</v>
      </c>
    </row>
    <row r="908" customFormat="false" ht="15.75" hidden="false" customHeight="false" outlineLevel="0" collapsed="false">
      <c r="A908" s="6" t="n">
        <f aca="false">IFERROR(__xludf.dummyfunction("""COMPUTED_VALUE"""),45516.6666666667)</f>
        <v>45516.6666666667</v>
      </c>
      <c r="B908" s="5" t="n">
        <f aca="false">IFERROR(__xludf.dummyfunction("""COMPUTED_VALUE"""),216.07)</f>
        <v>216.07</v>
      </c>
      <c r="C908" s="5" t="n">
        <f aca="false">IFERROR(__xludf.dummyfunction("""COMPUTED_VALUE"""),219.51)</f>
        <v>219.51</v>
      </c>
      <c r="D908" s="5" t="n">
        <f aca="false">IFERROR(__xludf.dummyfunction("""COMPUTED_VALUE"""),215.6)</f>
        <v>215.6</v>
      </c>
      <c r="E908" s="5" t="n">
        <f aca="false">IFERROR(__xludf.dummyfunction("""COMPUTED_VALUE"""),217.53)</f>
        <v>217.53</v>
      </c>
      <c r="F908" s="5" t="n">
        <f aca="false">IFERROR(__xludf.dummyfunction("""COMPUTED_VALUE"""),38028092)</f>
        <v>38028092</v>
      </c>
    </row>
    <row r="909" customFormat="false" ht="15.75" hidden="false" customHeight="false" outlineLevel="0" collapsed="false">
      <c r="A909" s="6" t="n">
        <f aca="false">IFERROR(__xludf.dummyfunction("""COMPUTED_VALUE"""),45517.6666666667)</f>
        <v>45517.6666666667</v>
      </c>
      <c r="B909" s="5" t="n">
        <f aca="false">IFERROR(__xludf.dummyfunction("""COMPUTED_VALUE"""),219.01)</f>
        <v>219.01</v>
      </c>
      <c r="C909" s="5" t="n">
        <f aca="false">IFERROR(__xludf.dummyfunction("""COMPUTED_VALUE"""),221.89)</f>
        <v>221.89</v>
      </c>
      <c r="D909" s="5" t="n">
        <f aca="false">IFERROR(__xludf.dummyfunction("""COMPUTED_VALUE"""),219.01)</f>
        <v>219.01</v>
      </c>
      <c r="E909" s="5" t="n">
        <f aca="false">IFERROR(__xludf.dummyfunction("""COMPUTED_VALUE"""),221.27)</f>
        <v>221.27</v>
      </c>
      <c r="F909" s="5" t="n">
        <f aca="false">IFERROR(__xludf.dummyfunction("""COMPUTED_VALUE"""),44155331)</f>
        <v>44155331</v>
      </c>
    </row>
    <row r="910" customFormat="false" ht="15.75" hidden="false" customHeight="false" outlineLevel="0" collapsed="false">
      <c r="A910" s="6" t="n">
        <f aca="false">IFERROR(__xludf.dummyfunction("""COMPUTED_VALUE"""),45518.6666666667)</f>
        <v>45518.6666666667</v>
      </c>
      <c r="B910" s="5" t="n">
        <f aca="false">IFERROR(__xludf.dummyfunction("""COMPUTED_VALUE"""),220.57)</f>
        <v>220.57</v>
      </c>
      <c r="C910" s="5" t="n">
        <f aca="false">IFERROR(__xludf.dummyfunction("""COMPUTED_VALUE"""),223.03)</f>
        <v>223.03</v>
      </c>
      <c r="D910" s="5" t="n">
        <f aca="false">IFERROR(__xludf.dummyfunction("""COMPUTED_VALUE"""),219.7)</f>
        <v>219.7</v>
      </c>
      <c r="E910" s="5" t="n">
        <f aca="false">IFERROR(__xludf.dummyfunction("""COMPUTED_VALUE"""),221.72)</f>
        <v>221.72</v>
      </c>
      <c r="F910" s="5" t="n">
        <f aca="false">IFERROR(__xludf.dummyfunction("""COMPUTED_VALUE"""),41960574)</f>
        <v>41960574</v>
      </c>
    </row>
    <row r="911" customFormat="false" ht="15.75" hidden="false" customHeight="false" outlineLevel="0" collapsed="false">
      <c r="A911" s="6" t="n">
        <f aca="false">IFERROR(__xludf.dummyfunction("""COMPUTED_VALUE"""),45519.6666666667)</f>
        <v>45519.6666666667</v>
      </c>
      <c r="B911" s="5" t="n">
        <f aca="false">IFERROR(__xludf.dummyfunction("""COMPUTED_VALUE"""),224.6)</f>
        <v>224.6</v>
      </c>
      <c r="C911" s="5" t="n">
        <f aca="false">IFERROR(__xludf.dummyfunction("""COMPUTED_VALUE"""),225.35)</f>
        <v>225.35</v>
      </c>
      <c r="D911" s="5" t="n">
        <f aca="false">IFERROR(__xludf.dummyfunction("""COMPUTED_VALUE"""),222.76)</f>
        <v>222.76</v>
      </c>
      <c r="E911" s="5" t="n">
        <f aca="false">IFERROR(__xludf.dummyfunction("""COMPUTED_VALUE"""),224.72)</f>
        <v>224.72</v>
      </c>
      <c r="F911" s="5" t="n">
        <f aca="false">IFERROR(__xludf.dummyfunction("""COMPUTED_VALUE"""),46414013)</f>
        <v>46414013</v>
      </c>
    </row>
    <row r="912" customFormat="false" ht="15.75" hidden="false" customHeight="false" outlineLevel="0" collapsed="false">
      <c r="A912" s="6" t="n">
        <f aca="false">IFERROR(__xludf.dummyfunction("""COMPUTED_VALUE"""),45520.6666666667)</f>
        <v>45520.6666666667</v>
      </c>
      <c r="B912" s="5" t="n">
        <f aca="false">IFERROR(__xludf.dummyfunction("""COMPUTED_VALUE"""),223.92)</f>
        <v>223.92</v>
      </c>
      <c r="C912" s="5" t="n">
        <f aca="false">IFERROR(__xludf.dummyfunction("""COMPUTED_VALUE"""),226.83)</f>
        <v>226.83</v>
      </c>
      <c r="D912" s="5" t="n">
        <f aca="false">IFERROR(__xludf.dummyfunction("""COMPUTED_VALUE"""),223.65)</f>
        <v>223.65</v>
      </c>
      <c r="E912" s="5" t="n">
        <f aca="false">IFERROR(__xludf.dummyfunction("""COMPUTED_VALUE"""),226.05)</f>
        <v>226.05</v>
      </c>
      <c r="F912" s="5" t="n">
        <f aca="false">IFERROR(__xludf.dummyfunction("""COMPUTED_VALUE"""),44340240)</f>
        <v>44340240</v>
      </c>
    </row>
    <row r="913" customFormat="false" ht="15.75" hidden="false" customHeight="false" outlineLevel="0" collapsed="false">
      <c r="A913" s="6" t="n">
        <f aca="false">IFERROR(__xludf.dummyfunction("""COMPUTED_VALUE"""),45523.6666666667)</f>
        <v>45523.6666666667</v>
      </c>
      <c r="B913" s="5" t="n">
        <f aca="false">IFERROR(__xludf.dummyfunction("""COMPUTED_VALUE"""),225.72)</f>
        <v>225.72</v>
      </c>
      <c r="C913" s="5" t="n">
        <f aca="false">IFERROR(__xludf.dummyfunction("""COMPUTED_VALUE"""),225.99)</f>
        <v>225.99</v>
      </c>
      <c r="D913" s="5" t="n">
        <f aca="false">IFERROR(__xludf.dummyfunction("""COMPUTED_VALUE"""),223.04)</f>
        <v>223.04</v>
      </c>
      <c r="E913" s="5" t="n">
        <f aca="false">IFERROR(__xludf.dummyfunction("""COMPUTED_VALUE"""),225.89)</f>
        <v>225.89</v>
      </c>
      <c r="F913" s="5" t="n">
        <f aca="false">IFERROR(__xludf.dummyfunction("""COMPUTED_VALUE"""),40687813)</f>
        <v>40687813</v>
      </c>
    </row>
    <row r="914" customFormat="false" ht="15.75" hidden="false" customHeight="false" outlineLevel="0" collapsed="false">
      <c r="A914" s="6" t="n">
        <f aca="false">IFERROR(__xludf.dummyfunction("""COMPUTED_VALUE"""),45524.6666666667)</f>
        <v>45524.6666666667</v>
      </c>
      <c r="B914" s="5" t="n">
        <f aca="false">IFERROR(__xludf.dummyfunction("""COMPUTED_VALUE"""),225.77)</f>
        <v>225.77</v>
      </c>
      <c r="C914" s="5" t="n">
        <f aca="false">IFERROR(__xludf.dummyfunction("""COMPUTED_VALUE"""),227.17)</f>
        <v>227.17</v>
      </c>
      <c r="D914" s="5" t="n">
        <f aca="false">IFERROR(__xludf.dummyfunction("""COMPUTED_VALUE"""),225.45)</f>
        <v>225.45</v>
      </c>
      <c r="E914" s="5" t="n">
        <f aca="false">IFERROR(__xludf.dummyfunction("""COMPUTED_VALUE"""),226.51)</f>
        <v>226.51</v>
      </c>
      <c r="F914" s="5" t="n">
        <f aca="false">IFERROR(__xludf.dummyfunction("""COMPUTED_VALUE"""),30299033)</f>
        <v>30299033</v>
      </c>
    </row>
    <row r="915" customFormat="false" ht="15.75" hidden="false" customHeight="false" outlineLevel="0" collapsed="false">
      <c r="A915" s="6" t="n">
        <f aca="false">IFERROR(__xludf.dummyfunction("""COMPUTED_VALUE"""),45525.6666666667)</f>
        <v>45525.6666666667</v>
      </c>
      <c r="B915" s="5" t="n">
        <f aca="false">IFERROR(__xludf.dummyfunction("""COMPUTED_VALUE"""),226.52)</f>
        <v>226.52</v>
      </c>
      <c r="C915" s="5" t="n">
        <f aca="false">IFERROR(__xludf.dummyfunction("""COMPUTED_VALUE"""),227.98)</f>
        <v>227.98</v>
      </c>
      <c r="D915" s="5" t="n">
        <f aca="false">IFERROR(__xludf.dummyfunction("""COMPUTED_VALUE"""),225.05)</f>
        <v>225.05</v>
      </c>
      <c r="E915" s="5" t="n">
        <f aca="false">IFERROR(__xludf.dummyfunction("""COMPUTED_VALUE"""),226.4)</f>
        <v>226.4</v>
      </c>
      <c r="F915" s="5" t="n">
        <f aca="false">IFERROR(__xludf.dummyfunction("""COMPUTED_VALUE"""),34765480)</f>
        <v>34765480</v>
      </c>
    </row>
    <row r="916" customFormat="false" ht="15.75" hidden="false" customHeight="false" outlineLevel="0" collapsed="false">
      <c r="A916" s="6" t="n">
        <f aca="false">IFERROR(__xludf.dummyfunction("""COMPUTED_VALUE"""),45526.6666666667)</f>
        <v>45526.6666666667</v>
      </c>
      <c r="B916" s="5" t="n">
        <f aca="false">IFERROR(__xludf.dummyfunction("""COMPUTED_VALUE"""),227.79)</f>
        <v>227.79</v>
      </c>
      <c r="C916" s="5" t="n">
        <f aca="false">IFERROR(__xludf.dummyfunction("""COMPUTED_VALUE"""),228.34)</f>
        <v>228.34</v>
      </c>
      <c r="D916" s="5" t="n">
        <f aca="false">IFERROR(__xludf.dummyfunction("""COMPUTED_VALUE"""),223.9)</f>
        <v>223.9</v>
      </c>
      <c r="E916" s="5" t="n">
        <f aca="false">IFERROR(__xludf.dummyfunction("""COMPUTED_VALUE"""),224.53)</f>
        <v>224.53</v>
      </c>
      <c r="F916" s="5" t="n">
        <f aca="false">IFERROR(__xludf.dummyfunction("""COMPUTED_VALUE"""),43695321)</f>
        <v>43695321</v>
      </c>
    </row>
    <row r="917" customFormat="false" ht="15.75" hidden="false" customHeight="false" outlineLevel="0" collapsed="false">
      <c r="A917" s="6" t="n">
        <f aca="false">IFERROR(__xludf.dummyfunction("""COMPUTED_VALUE"""),45527.6666666667)</f>
        <v>45527.6666666667</v>
      </c>
      <c r="B917" s="5" t="n">
        <f aca="false">IFERROR(__xludf.dummyfunction("""COMPUTED_VALUE"""),225.66)</f>
        <v>225.66</v>
      </c>
      <c r="C917" s="5" t="n">
        <f aca="false">IFERROR(__xludf.dummyfunction("""COMPUTED_VALUE"""),228.22)</f>
        <v>228.22</v>
      </c>
      <c r="D917" s="5" t="n">
        <f aca="false">IFERROR(__xludf.dummyfunction("""COMPUTED_VALUE"""),224.33)</f>
        <v>224.33</v>
      </c>
      <c r="E917" s="5" t="n">
        <f aca="false">IFERROR(__xludf.dummyfunction("""COMPUTED_VALUE"""),226.84)</f>
        <v>226.84</v>
      </c>
      <c r="F917" s="5" t="n">
        <f aca="false">IFERROR(__xludf.dummyfunction("""COMPUTED_VALUE"""),38677250)</f>
        <v>38677250</v>
      </c>
    </row>
    <row r="918" customFormat="false" ht="15.75" hidden="false" customHeight="false" outlineLevel="0" collapsed="false">
      <c r="A918" s="6" t="n">
        <f aca="false">IFERROR(__xludf.dummyfunction("""COMPUTED_VALUE"""),45530.6666666667)</f>
        <v>45530.6666666667</v>
      </c>
      <c r="B918" s="5" t="n">
        <f aca="false">IFERROR(__xludf.dummyfunction("""COMPUTED_VALUE"""),226.76)</f>
        <v>226.76</v>
      </c>
      <c r="C918" s="5" t="n">
        <f aca="false">IFERROR(__xludf.dummyfunction("""COMPUTED_VALUE"""),227.28)</f>
        <v>227.28</v>
      </c>
      <c r="D918" s="5" t="n">
        <f aca="false">IFERROR(__xludf.dummyfunction("""COMPUTED_VALUE"""),223.89)</f>
        <v>223.89</v>
      </c>
      <c r="E918" s="5" t="n">
        <f aca="false">IFERROR(__xludf.dummyfunction("""COMPUTED_VALUE"""),227.18)</f>
        <v>227.18</v>
      </c>
      <c r="F918" s="5" t="n">
        <f aca="false">IFERROR(__xludf.dummyfunction("""COMPUTED_VALUE"""),30602208)</f>
        <v>30602208</v>
      </c>
    </row>
    <row r="919" customFormat="false" ht="15.75" hidden="false" customHeight="false" outlineLevel="0" collapsed="false">
      <c r="A919" s="6" t="n">
        <f aca="false">IFERROR(__xludf.dummyfunction("""COMPUTED_VALUE"""),45531.6666666667)</f>
        <v>45531.6666666667</v>
      </c>
      <c r="B919" s="5" t="n">
        <f aca="false">IFERROR(__xludf.dummyfunction("""COMPUTED_VALUE"""),226)</f>
        <v>226</v>
      </c>
      <c r="C919" s="5" t="n">
        <f aca="false">IFERROR(__xludf.dummyfunction("""COMPUTED_VALUE"""),228.85)</f>
        <v>228.85</v>
      </c>
      <c r="D919" s="5" t="n">
        <f aca="false">IFERROR(__xludf.dummyfunction("""COMPUTED_VALUE"""),224.89)</f>
        <v>224.89</v>
      </c>
      <c r="E919" s="5" t="n">
        <f aca="false">IFERROR(__xludf.dummyfunction("""COMPUTED_VALUE"""),228.03)</f>
        <v>228.03</v>
      </c>
      <c r="F919" s="5" t="n">
        <f aca="false">IFERROR(__xludf.dummyfunction("""COMPUTED_VALUE"""),35934559)</f>
        <v>35934559</v>
      </c>
    </row>
    <row r="920" customFormat="false" ht="15.75" hidden="false" customHeight="false" outlineLevel="0" collapsed="false">
      <c r="A920" s="6" t="n">
        <f aca="false">IFERROR(__xludf.dummyfunction("""COMPUTED_VALUE"""),45532.6666666667)</f>
        <v>45532.6666666667</v>
      </c>
      <c r="B920" s="5" t="n">
        <f aca="false">IFERROR(__xludf.dummyfunction("""COMPUTED_VALUE"""),227.92)</f>
        <v>227.92</v>
      </c>
      <c r="C920" s="5" t="n">
        <f aca="false">IFERROR(__xludf.dummyfunction("""COMPUTED_VALUE"""),229.86)</f>
        <v>229.86</v>
      </c>
      <c r="D920" s="5" t="n">
        <f aca="false">IFERROR(__xludf.dummyfunction("""COMPUTED_VALUE"""),225.68)</f>
        <v>225.68</v>
      </c>
      <c r="E920" s="5" t="n">
        <f aca="false">IFERROR(__xludf.dummyfunction("""COMPUTED_VALUE"""),226.49)</f>
        <v>226.49</v>
      </c>
      <c r="F920" s="5" t="n">
        <f aca="false">IFERROR(__xludf.dummyfunction("""COMPUTED_VALUE"""),38052167)</f>
        <v>38052167</v>
      </c>
    </row>
    <row r="921" customFormat="false" ht="15.75" hidden="false" customHeight="false" outlineLevel="0" collapsed="false">
      <c r="A921" s="6" t="n">
        <f aca="false">IFERROR(__xludf.dummyfunction("""COMPUTED_VALUE"""),45533.6666666667)</f>
        <v>45533.6666666667</v>
      </c>
      <c r="B921" s="5" t="n">
        <f aca="false">IFERROR(__xludf.dummyfunction("""COMPUTED_VALUE"""),230.1)</f>
        <v>230.1</v>
      </c>
      <c r="C921" s="5" t="n">
        <f aca="false">IFERROR(__xludf.dummyfunction("""COMPUTED_VALUE"""),232.92)</f>
        <v>232.92</v>
      </c>
      <c r="D921" s="5" t="n">
        <f aca="false">IFERROR(__xludf.dummyfunction("""COMPUTED_VALUE"""),228.88)</f>
        <v>228.88</v>
      </c>
      <c r="E921" s="5" t="n">
        <f aca="false">IFERROR(__xludf.dummyfunction("""COMPUTED_VALUE"""),229.79)</f>
        <v>229.79</v>
      </c>
      <c r="F921" s="5" t="n">
        <f aca="false">IFERROR(__xludf.dummyfunction("""COMPUTED_VALUE"""),51906297)</f>
        <v>51906297</v>
      </c>
    </row>
    <row r="922" customFormat="false" ht="15.75" hidden="false" customHeight="false" outlineLevel="0" collapsed="false">
      <c r="A922" s="6" t="n">
        <f aca="false">IFERROR(__xludf.dummyfunction("""COMPUTED_VALUE"""),45534.6666666667)</f>
        <v>45534.6666666667</v>
      </c>
      <c r="B922" s="5" t="n">
        <f aca="false">IFERROR(__xludf.dummyfunction("""COMPUTED_VALUE"""),230.19)</f>
        <v>230.19</v>
      </c>
      <c r="C922" s="5" t="n">
        <f aca="false">IFERROR(__xludf.dummyfunction("""COMPUTED_VALUE"""),230.4)</f>
        <v>230.4</v>
      </c>
      <c r="D922" s="5" t="n">
        <f aca="false">IFERROR(__xludf.dummyfunction("""COMPUTED_VALUE"""),227.48)</f>
        <v>227.48</v>
      </c>
      <c r="E922" s="5" t="n">
        <f aca="false">IFERROR(__xludf.dummyfunction("""COMPUTED_VALUE"""),229)</f>
        <v>229</v>
      </c>
      <c r="F922" s="5" t="n">
        <f aca="false">IFERROR(__xludf.dummyfunction("""COMPUTED_VALUE"""),52990770)</f>
        <v>52990770</v>
      </c>
    </row>
    <row r="923" customFormat="false" ht="15.75" hidden="false" customHeight="false" outlineLevel="0" collapsed="false">
      <c r="A923" s="6" t="n">
        <f aca="false">IFERROR(__xludf.dummyfunction("""COMPUTED_VALUE"""),45538.6666666667)</f>
        <v>45538.6666666667</v>
      </c>
      <c r="B923" s="5" t="n">
        <f aca="false">IFERROR(__xludf.dummyfunction("""COMPUTED_VALUE"""),228.55)</f>
        <v>228.55</v>
      </c>
      <c r="C923" s="5" t="n">
        <f aca="false">IFERROR(__xludf.dummyfunction("""COMPUTED_VALUE"""),229)</f>
        <v>229</v>
      </c>
      <c r="D923" s="5" t="n">
        <f aca="false">IFERROR(__xludf.dummyfunction("""COMPUTED_VALUE"""),221.17)</f>
        <v>221.17</v>
      </c>
      <c r="E923" s="5" t="n">
        <f aca="false">IFERROR(__xludf.dummyfunction("""COMPUTED_VALUE"""),222.77)</f>
        <v>222.77</v>
      </c>
      <c r="F923" s="5" t="n">
        <f aca="false">IFERROR(__xludf.dummyfunction("""COMPUTED_VALUE"""),50190574)</f>
        <v>50190574</v>
      </c>
    </row>
    <row r="924" customFormat="false" ht="15.75" hidden="false" customHeight="false" outlineLevel="0" collapsed="false">
      <c r="A924" s="6" t="n">
        <f aca="false">IFERROR(__xludf.dummyfunction("""COMPUTED_VALUE"""),45539.6666666667)</f>
        <v>45539.6666666667</v>
      </c>
      <c r="B924" s="5" t="n">
        <f aca="false">IFERROR(__xludf.dummyfunction("""COMPUTED_VALUE"""),221.66)</f>
        <v>221.66</v>
      </c>
      <c r="C924" s="5" t="n">
        <f aca="false">IFERROR(__xludf.dummyfunction("""COMPUTED_VALUE"""),221.78)</f>
        <v>221.78</v>
      </c>
      <c r="D924" s="5" t="n">
        <f aca="false">IFERROR(__xludf.dummyfunction("""COMPUTED_VALUE"""),217.48)</f>
        <v>217.48</v>
      </c>
      <c r="E924" s="5" t="n">
        <f aca="false">IFERROR(__xludf.dummyfunction("""COMPUTED_VALUE"""),220.85)</f>
        <v>220.85</v>
      </c>
      <c r="F924" s="5" t="n">
        <f aca="false">IFERROR(__xludf.dummyfunction("""COMPUTED_VALUE"""),43840196)</f>
        <v>43840196</v>
      </c>
    </row>
    <row r="925" customFormat="false" ht="15.75" hidden="false" customHeight="false" outlineLevel="0" collapsed="false">
      <c r="A925" s="6" t="n">
        <f aca="false">IFERROR(__xludf.dummyfunction("""COMPUTED_VALUE"""),45540.6666666667)</f>
        <v>45540.6666666667</v>
      </c>
      <c r="B925" s="5" t="n">
        <f aca="false">IFERROR(__xludf.dummyfunction("""COMPUTED_VALUE"""),221.63)</f>
        <v>221.63</v>
      </c>
      <c r="C925" s="5" t="n">
        <f aca="false">IFERROR(__xludf.dummyfunction("""COMPUTED_VALUE"""),225.48)</f>
        <v>225.48</v>
      </c>
      <c r="D925" s="5" t="n">
        <f aca="false">IFERROR(__xludf.dummyfunction("""COMPUTED_VALUE"""),221.52)</f>
        <v>221.52</v>
      </c>
      <c r="E925" s="5" t="n">
        <f aca="false">IFERROR(__xludf.dummyfunction("""COMPUTED_VALUE"""),222.38)</f>
        <v>222.38</v>
      </c>
      <c r="F925" s="5" t="n">
        <f aca="false">IFERROR(__xludf.dummyfunction("""COMPUTED_VALUE"""),36615398)</f>
        <v>36615398</v>
      </c>
    </row>
    <row r="926" customFormat="false" ht="15.75" hidden="false" customHeight="false" outlineLevel="0" collapsed="false">
      <c r="A926" s="6" t="n">
        <f aca="false">IFERROR(__xludf.dummyfunction("""COMPUTED_VALUE"""),45541.6666666667)</f>
        <v>45541.6666666667</v>
      </c>
      <c r="B926" s="5" t="n">
        <f aca="false">IFERROR(__xludf.dummyfunction("""COMPUTED_VALUE"""),223.95)</f>
        <v>223.95</v>
      </c>
      <c r="C926" s="5" t="n">
        <f aca="false">IFERROR(__xludf.dummyfunction("""COMPUTED_VALUE"""),225.24)</f>
        <v>225.24</v>
      </c>
      <c r="D926" s="5" t="n">
        <f aca="false">IFERROR(__xludf.dummyfunction("""COMPUTED_VALUE"""),219.77)</f>
        <v>219.77</v>
      </c>
      <c r="E926" s="5" t="n">
        <f aca="false">IFERROR(__xludf.dummyfunction("""COMPUTED_VALUE"""),220.82)</f>
        <v>220.82</v>
      </c>
      <c r="F926" s="5" t="n">
        <f aca="false">IFERROR(__xludf.dummyfunction("""COMPUTED_VALUE"""),48423011)</f>
        <v>48423011</v>
      </c>
    </row>
    <row r="927" customFormat="false" ht="15.75" hidden="false" customHeight="false" outlineLevel="0" collapsed="false">
      <c r="A927" s="6" t="n">
        <f aca="false">IFERROR(__xludf.dummyfunction("""COMPUTED_VALUE"""),45544.6666666667)</f>
        <v>45544.6666666667</v>
      </c>
      <c r="B927" s="5" t="n">
        <f aca="false">IFERROR(__xludf.dummyfunction("""COMPUTED_VALUE"""),220.82)</f>
        <v>220.82</v>
      </c>
      <c r="C927" s="5" t="n">
        <f aca="false">IFERROR(__xludf.dummyfunction("""COMPUTED_VALUE"""),221.27)</f>
        <v>221.27</v>
      </c>
      <c r="D927" s="5" t="n">
        <f aca="false">IFERROR(__xludf.dummyfunction("""COMPUTED_VALUE"""),216.71)</f>
        <v>216.71</v>
      </c>
      <c r="E927" s="5" t="n">
        <f aca="false">IFERROR(__xludf.dummyfunction("""COMPUTED_VALUE"""),220.91)</f>
        <v>220.91</v>
      </c>
      <c r="F927" s="5" t="n">
        <f aca="false">IFERROR(__xludf.dummyfunction("""COMPUTED_VALUE"""),67179965)</f>
        <v>67179965</v>
      </c>
    </row>
    <row r="928" customFormat="false" ht="15.75" hidden="false" customHeight="false" outlineLevel="0" collapsed="false">
      <c r="A928" s="6" t="n">
        <f aca="false">IFERROR(__xludf.dummyfunction("""COMPUTED_VALUE"""),45545.6666666667)</f>
        <v>45545.6666666667</v>
      </c>
      <c r="B928" s="5" t="n">
        <f aca="false">IFERROR(__xludf.dummyfunction("""COMPUTED_VALUE"""),218.92)</f>
        <v>218.92</v>
      </c>
      <c r="C928" s="5" t="n">
        <f aca="false">IFERROR(__xludf.dummyfunction("""COMPUTED_VALUE"""),221.48)</f>
        <v>221.48</v>
      </c>
      <c r="D928" s="5" t="n">
        <f aca="false">IFERROR(__xludf.dummyfunction("""COMPUTED_VALUE"""),216.73)</f>
        <v>216.73</v>
      </c>
      <c r="E928" s="5" t="n">
        <f aca="false">IFERROR(__xludf.dummyfunction("""COMPUTED_VALUE"""),220.11)</f>
        <v>220.11</v>
      </c>
      <c r="F928" s="5" t="n">
        <f aca="false">IFERROR(__xludf.dummyfunction("""COMPUTED_VALUE"""),51591033)</f>
        <v>51591033</v>
      </c>
    </row>
    <row r="929" customFormat="false" ht="15.75" hidden="false" customHeight="false" outlineLevel="0" collapsed="false">
      <c r="A929" s="6" t="n">
        <f aca="false">IFERROR(__xludf.dummyfunction("""COMPUTED_VALUE"""),45546.6666666667)</f>
        <v>45546.6666666667</v>
      </c>
      <c r="B929" s="5" t="n">
        <f aca="false">IFERROR(__xludf.dummyfunction("""COMPUTED_VALUE"""),221.46)</f>
        <v>221.46</v>
      </c>
      <c r="C929" s="5" t="n">
        <f aca="false">IFERROR(__xludf.dummyfunction("""COMPUTED_VALUE"""),223.09)</f>
        <v>223.09</v>
      </c>
      <c r="D929" s="5" t="n">
        <f aca="false">IFERROR(__xludf.dummyfunction("""COMPUTED_VALUE"""),217.89)</f>
        <v>217.89</v>
      </c>
      <c r="E929" s="5" t="n">
        <f aca="false">IFERROR(__xludf.dummyfunction("""COMPUTED_VALUE"""),222.66)</f>
        <v>222.66</v>
      </c>
      <c r="F929" s="5" t="n">
        <f aca="false">IFERROR(__xludf.dummyfunction("""COMPUTED_VALUE"""),44587072)</f>
        <v>44587072</v>
      </c>
    </row>
    <row r="930" customFormat="false" ht="15.75" hidden="false" customHeight="false" outlineLevel="0" collapsed="false">
      <c r="A930" s="6" t="n">
        <f aca="false">IFERROR(__xludf.dummyfunction("""COMPUTED_VALUE"""),45547.6666666667)</f>
        <v>45547.6666666667</v>
      </c>
      <c r="B930" s="5" t="n">
        <f aca="false">IFERROR(__xludf.dummyfunction("""COMPUTED_VALUE"""),222.5)</f>
        <v>222.5</v>
      </c>
      <c r="C930" s="5" t="n">
        <f aca="false">IFERROR(__xludf.dummyfunction("""COMPUTED_VALUE"""),223.55)</f>
        <v>223.55</v>
      </c>
      <c r="D930" s="5" t="n">
        <f aca="false">IFERROR(__xludf.dummyfunction("""COMPUTED_VALUE"""),219.82)</f>
        <v>219.82</v>
      </c>
      <c r="E930" s="5" t="n">
        <f aca="false">IFERROR(__xludf.dummyfunction("""COMPUTED_VALUE"""),222.77)</f>
        <v>222.77</v>
      </c>
      <c r="F930" s="5" t="n">
        <f aca="false">IFERROR(__xludf.dummyfunction("""COMPUTED_VALUE"""),37498225)</f>
        <v>37498225</v>
      </c>
    </row>
    <row r="931" customFormat="false" ht="15.75" hidden="false" customHeight="false" outlineLevel="0" collapsed="false">
      <c r="A931" s="6" t="n">
        <f aca="false">IFERROR(__xludf.dummyfunction("""COMPUTED_VALUE"""),45548.6666666667)</f>
        <v>45548.6666666667</v>
      </c>
      <c r="B931" s="5" t="n">
        <f aca="false">IFERROR(__xludf.dummyfunction("""COMPUTED_VALUE"""),223.58)</f>
        <v>223.58</v>
      </c>
      <c r="C931" s="5" t="n">
        <f aca="false">IFERROR(__xludf.dummyfunction("""COMPUTED_VALUE"""),224.04)</f>
        <v>224.04</v>
      </c>
      <c r="D931" s="5" t="n">
        <f aca="false">IFERROR(__xludf.dummyfunction("""COMPUTED_VALUE"""),221.91)</f>
        <v>221.91</v>
      </c>
      <c r="E931" s="5" t="n">
        <f aca="false">IFERROR(__xludf.dummyfunction("""COMPUTED_VALUE"""),222.5)</f>
        <v>222.5</v>
      </c>
      <c r="F931" s="5" t="n">
        <f aca="false">IFERROR(__xludf.dummyfunction("""COMPUTED_VALUE"""),36766619)</f>
        <v>36766619</v>
      </c>
    </row>
    <row r="932" customFormat="false" ht="15.75" hidden="false" customHeight="false" outlineLevel="0" collapsed="false">
      <c r="A932" s="6" t="n">
        <f aca="false">IFERROR(__xludf.dummyfunction("""COMPUTED_VALUE"""),45551.6666666667)</f>
        <v>45551.6666666667</v>
      </c>
      <c r="B932" s="5" t="n">
        <f aca="false">IFERROR(__xludf.dummyfunction("""COMPUTED_VALUE"""),216.54)</f>
        <v>216.54</v>
      </c>
      <c r="C932" s="5" t="n">
        <f aca="false">IFERROR(__xludf.dummyfunction("""COMPUTED_VALUE"""),217.22)</f>
        <v>217.22</v>
      </c>
      <c r="D932" s="5" t="n">
        <f aca="false">IFERROR(__xludf.dummyfunction("""COMPUTED_VALUE"""),213.92)</f>
        <v>213.92</v>
      </c>
      <c r="E932" s="5" t="n">
        <f aca="false">IFERROR(__xludf.dummyfunction("""COMPUTED_VALUE"""),216.32)</f>
        <v>216.32</v>
      </c>
      <c r="F932" s="5" t="n">
        <f aca="false">IFERROR(__xludf.dummyfunction("""COMPUTED_VALUE"""),59357427)</f>
        <v>59357427</v>
      </c>
    </row>
    <row r="933" customFormat="false" ht="15.75" hidden="false" customHeight="false" outlineLevel="0" collapsed="false">
      <c r="A933" s="6" t="n">
        <f aca="false">IFERROR(__xludf.dummyfunction("""COMPUTED_VALUE"""),45552.6666666667)</f>
        <v>45552.6666666667</v>
      </c>
      <c r="B933" s="5" t="n">
        <f aca="false">IFERROR(__xludf.dummyfunction("""COMPUTED_VALUE"""),215.75)</f>
        <v>215.75</v>
      </c>
      <c r="C933" s="5" t="n">
        <f aca="false">IFERROR(__xludf.dummyfunction("""COMPUTED_VALUE"""),216.9)</f>
        <v>216.9</v>
      </c>
      <c r="D933" s="5" t="n">
        <f aca="false">IFERROR(__xludf.dummyfunction("""COMPUTED_VALUE"""),214.5)</f>
        <v>214.5</v>
      </c>
      <c r="E933" s="5" t="n">
        <f aca="false">IFERROR(__xludf.dummyfunction("""COMPUTED_VALUE"""),216.79)</f>
        <v>216.79</v>
      </c>
      <c r="F933" s="5" t="n">
        <f aca="false">IFERROR(__xludf.dummyfunction("""COMPUTED_VALUE"""),45519339)</f>
        <v>45519339</v>
      </c>
    </row>
    <row r="934" customFormat="false" ht="15.75" hidden="false" customHeight="false" outlineLevel="0" collapsed="false">
      <c r="A934" s="6" t="n">
        <f aca="false">IFERROR(__xludf.dummyfunction("""COMPUTED_VALUE"""),45553.6666666667)</f>
        <v>45553.6666666667</v>
      </c>
      <c r="B934" s="5" t="n">
        <f aca="false">IFERROR(__xludf.dummyfunction("""COMPUTED_VALUE"""),217.55)</f>
        <v>217.55</v>
      </c>
      <c r="C934" s="5" t="n">
        <f aca="false">IFERROR(__xludf.dummyfunction("""COMPUTED_VALUE"""),222.71)</f>
        <v>222.71</v>
      </c>
      <c r="D934" s="5" t="n">
        <f aca="false">IFERROR(__xludf.dummyfunction("""COMPUTED_VALUE"""),217.54)</f>
        <v>217.54</v>
      </c>
      <c r="E934" s="5" t="n">
        <f aca="false">IFERROR(__xludf.dummyfunction("""COMPUTED_VALUE"""),220.69)</f>
        <v>220.69</v>
      </c>
      <c r="F934" s="5" t="n">
        <f aca="false">IFERROR(__xludf.dummyfunction("""COMPUTED_VALUE"""),59894928)</f>
        <v>59894928</v>
      </c>
    </row>
    <row r="935" customFormat="false" ht="15.75" hidden="false" customHeight="false" outlineLevel="0" collapsed="false">
      <c r="A935" s="6" t="n">
        <f aca="false">IFERROR(__xludf.dummyfunction("""COMPUTED_VALUE"""),45554.6666666667)</f>
        <v>45554.6666666667</v>
      </c>
      <c r="B935" s="5" t="n">
        <f aca="false">IFERROR(__xludf.dummyfunction("""COMPUTED_VALUE"""),224.99)</f>
        <v>224.99</v>
      </c>
      <c r="C935" s="5" t="n">
        <f aca="false">IFERROR(__xludf.dummyfunction("""COMPUTED_VALUE"""),229.82)</f>
        <v>229.82</v>
      </c>
      <c r="D935" s="5" t="n">
        <f aca="false">IFERROR(__xludf.dummyfunction("""COMPUTED_VALUE"""),224.63)</f>
        <v>224.63</v>
      </c>
      <c r="E935" s="5" t="n">
        <f aca="false">IFERROR(__xludf.dummyfunction("""COMPUTED_VALUE"""),228.87)</f>
        <v>228.87</v>
      </c>
      <c r="F935" s="5" t="n">
        <f aca="false">IFERROR(__xludf.dummyfunction("""COMPUTED_VALUE"""),66781315)</f>
        <v>66781315</v>
      </c>
    </row>
    <row r="936" customFormat="false" ht="15.75" hidden="false" customHeight="false" outlineLevel="0" collapsed="false">
      <c r="A936" s="6" t="n">
        <f aca="false">IFERROR(__xludf.dummyfunction("""COMPUTED_VALUE"""),45555.6666666667)</f>
        <v>45555.6666666667</v>
      </c>
      <c r="B936" s="5" t="n">
        <f aca="false">IFERROR(__xludf.dummyfunction("""COMPUTED_VALUE"""),229.97)</f>
        <v>229.97</v>
      </c>
      <c r="C936" s="5" t="n">
        <f aca="false">IFERROR(__xludf.dummyfunction("""COMPUTED_VALUE"""),233.09)</f>
        <v>233.09</v>
      </c>
      <c r="D936" s="5" t="n">
        <f aca="false">IFERROR(__xludf.dummyfunction("""COMPUTED_VALUE"""),227.62)</f>
        <v>227.62</v>
      </c>
      <c r="E936" s="5" t="n">
        <f aca="false">IFERROR(__xludf.dummyfunction("""COMPUTED_VALUE"""),228.2)</f>
        <v>228.2</v>
      </c>
      <c r="F936" s="5" t="n">
        <f aca="false">IFERROR(__xludf.dummyfunction("""COMPUTED_VALUE"""),318679888)</f>
        <v>318679888</v>
      </c>
    </row>
    <row r="937" customFormat="false" ht="15.75" hidden="false" customHeight="false" outlineLevel="0" collapsed="false">
      <c r="A937" s="6" t="n">
        <f aca="false">IFERROR(__xludf.dummyfunction("""COMPUTED_VALUE"""),45558.6666666667)</f>
        <v>45558.6666666667</v>
      </c>
      <c r="B937" s="5" t="n">
        <f aca="false">IFERROR(__xludf.dummyfunction("""COMPUTED_VALUE"""),227.34)</f>
        <v>227.34</v>
      </c>
      <c r="C937" s="5" t="n">
        <f aca="false">IFERROR(__xludf.dummyfunction("""COMPUTED_VALUE"""),229.45)</f>
        <v>229.45</v>
      </c>
      <c r="D937" s="5" t="n">
        <f aca="false">IFERROR(__xludf.dummyfunction("""COMPUTED_VALUE"""),225.81)</f>
        <v>225.81</v>
      </c>
      <c r="E937" s="5" t="n">
        <f aca="false">IFERROR(__xludf.dummyfunction("""COMPUTED_VALUE"""),226.47)</f>
        <v>226.47</v>
      </c>
      <c r="F937" s="5" t="n">
        <f aca="false">IFERROR(__xludf.dummyfunction("""COMPUTED_VALUE"""),54146023)</f>
        <v>54146023</v>
      </c>
    </row>
    <row r="938" customFormat="false" ht="15.75" hidden="false" customHeight="false" outlineLevel="0" collapsed="false">
      <c r="A938" s="6" t="n">
        <f aca="false">IFERROR(__xludf.dummyfunction("""COMPUTED_VALUE"""),45559.6666666667)</f>
        <v>45559.6666666667</v>
      </c>
      <c r="B938" s="5" t="n">
        <f aca="false">IFERROR(__xludf.dummyfunction("""COMPUTED_VALUE"""),228.65)</f>
        <v>228.65</v>
      </c>
      <c r="C938" s="5" t="n">
        <f aca="false">IFERROR(__xludf.dummyfunction("""COMPUTED_VALUE"""),229.35)</f>
        <v>229.35</v>
      </c>
      <c r="D938" s="5" t="n">
        <f aca="false">IFERROR(__xludf.dummyfunction("""COMPUTED_VALUE"""),225.73)</f>
        <v>225.73</v>
      </c>
      <c r="E938" s="5" t="n">
        <f aca="false">IFERROR(__xludf.dummyfunction("""COMPUTED_VALUE"""),227.37)</f>
        <v>227.37</v>
      </c>
      <c r="F938" s="5" t="n">
        <f aca="false">IFERROR(__xludf.dummyfunction("""COMPUTED_VALUE"""),43556068)</f>
        <v>43556068</v>
      </c>
    </row>
    <row r="939" customFormat="false" ht="15.75" hidden="false" customHeight="false" outlineLevel="0" collapsed="false">
      <c r="A939" s="6" t="n">
        <f aca="false">IFERROR(__xludf.dummyfunction("""COMPUTED_VALUE"""),45560.6666666667)</f>
        <v>45560.6666666667</v>
      </c>
      <c r="B939" s="5" t="n">
        <f aca="false">IFERROR(__xludf.dummyfunction("""COMPUTED_VALUE"""),224.93)</f>
        <v>224.93</v>
      </c>
      <c r="C939" s="5" t="n">
        <f aca="false">IFERROR(__xludf.dummyfunction("""COMPUTED_VALUE"""),227.29)</f>
        <v>227.29</v>
      </c>
      <c r="D939" s="5" t="n">
        <f aca="false">IFERROR(__xludf.dummyfunction("""COMPUTED_VALUE"""),224.02)</f>
        <v>224.02</v>
      </c>
      <c r="E939" s="5" t="n">
        <f aca="false">IFERROR(__xludf.dummyfunction("""COMPUTED_VALUE"""),226.37)</f>
        <v>226.37</v>
      </c>
      <c r="F939" s="5" t="n">
        <f aca="false">IFERROR(__xludf.dummyfunction("""COMPUTED_VALUE"""),42308715)</f>
        <v>42308715</v>
      </c>
    </row>
    <row r="940" customFormat="false" ht="15.75" hidden="false" customHeight="false" outlineLevel="0" collapsed="false">
      <c r="A940" s="6" t="n">
        <f aca="false">IFERROR(__xludf.dummyfunction("""COMPUTED_VALUE"""),45561.6666666667)</f>
        <v>45561.6666666667</v>
      </c>
      <c r="B940" s="5" t="n">
        <f aca="false">IFERROR(__xludf.dummyfunction("""COMPUTED_VALUE"""),227.3)</f>
        <v>227.3</v>
      </c>
      <c r="C940" s="5" t="n">
        <f aca="false">IFERROR(__xludf.dummyfunction("""COMPUTED_VALUE"""),228.5)</f>
        <v>228.5</v>
      </c>
      <c r="D940" s="5" t="n">
        <f aca="false">IFERROR(__xludf.dummyfunction("""COMPUTED_VALUE"""),225.41)</f>
        <v>225.41</v>
      </c>
      <c r="E940" s="5" t="n">
        <f aca="false">IFERROR(__xludf.dummyfunction("""COMPUTED_VALUE"""),227.52)</f>
        <v>227.52</v>
      </c>
      <c r="F940" s="5" t="n">
        <f aca="false">IFERROR(__xludf.dummyfunction("""COMPUTED_VALUE"""),36636707)</f>
        <v>36636707</v>
      </c>
    </row>
    <row r="941" customFormat="false" ht="15.75" hidden="false" customHeight="false" outlineLevel="0" collapsed="false">
      <c r="A941" s="6" t="n">
        <f aca="false">IFERROR(__xludf.dummyfunction("""COMPUTED_VALUE"""),45562.6666666667)</f>
        <v>45562.6666666667</v>
      </c>
      <c r="B941" s="5" t="n">
        <f aca="false">IFERROR(__xludf.dummyfunction("""COMPUTED_VALUE"""),228.46)</f>
        <v>228.46</v>
      </c>
      <c r="C941" s="5" t="n">
        <f aca="false">IFERROR(__xludf.dummyfunction("""COMPUTED_VALUE"""),229.52)</f>
        <v>229.52</v>
      </c>
      <c r="D941" s="5" t="n">
        <f aca="false">IFERROR(__xludf.dummyfunction("""COMPUTED_VALUE"""),227.3)</f>
        <v>227.3</v>
      </c>
      <c r="E941" s="5" t="n">
        <f aca="false">IFERROR(__xludf.dummyfunction("""COMPUTED_VALUE"""),227.79)</f>
        <v>227.79</v>
      </c>
      <c r="F941" s="5" t="n">
        <f aca="false">IFERROR(__xludf.dummyfunction("""COMPUTED_VALUE"""),34025967)</f>
        <v>34025967</v>
      </c>
    </row>
    <row r="942" customFormat="false" ht="15.75" hidden="false" customHeight="false" outlineLevel="0" collapsed="false">
      <c r="A942" s="6" t="n">
        <f aca="false">IFERROR(__xludf.dummyfunction("""COMPUTED_VALUE"""),45565.6666666667)</f>
        <v>45565.6666666667</v>
      </c>
      <c r="B942" s="5" t="n">
        <f aca="false">IFERROR(__xludf.dummyfunction("""COMPUTED_VALUE"""),230.04)</f>
        <v>230.04</v>
      </c>
      <c r="C942" s="5" t="n">
        <f aca="false">IFERROR(__xludf.dummyfunction("""COMPUTED_VALUE"""),233)</f>
        <v>233</v>
      </c>
      <c r="D942" s="5" t="n">
        <f aca="false">IFERROR(__xludf.dummyfunction("""COMPUTED_VALUE"""),229.65)</f>
        <v>229.65</v>
      </c>
      <c r="E942" s="5" t="n">
        <f aca="false">IFERROR(__xludf.dummyfunction("""COMPUTED_VALUE"""),233)</f>
        <v>233</v>
      </c>
      <c r="F942" s="5" t="n">
        <f aca="false">IFERROR(__xludf.dummyfunction("""COMPUTED_VALUE"""),54793391)</f>
        <v>54793391</v>
      </c>
    </row>
    <row r="943" customFormat="false" ht="15.75" hidden="false" customHeight="false" outlineLevel="0" collapsed="false">
      <c r="A943" s="6" t="n">
        <f aca="false">IFERROR(__xludf.dummyfunction("""COMPUTED_VALUE"""),45566.6666666667)</f>
        <v>45566.6666666667</v>
      </c>
      <c r="B943" s="5" t="n">
        <f aca="false">IFERROR(__xludf.dummyfunction("""COMPUTED_VALUE"""),229.52)</f>
        <v>229.52</v>
      </c>
      <c r="C943" s="5" t="n">
        <f aca="false">IFERROR(__xludf.dummyfunction("""COMPUTED_VALUE"""),229.65)</f>
        <v>229.65</v>
      </c>
      <c r="D943" s="5" t="n">
        <f aca="false">IFERROR(__xludf.dummyfunction("""COMPUTED_VALUE"""),223.74)</f>
        <v>223.74</v>
      </c>
      <c r="E943" s="5" t="n">
        <f aca="false">IFERROR(__xludf.dummyfunction("""COMPUTED_VALUE"""),226.21)</f>
        <v>226.21</v>
      </c>
      <c r="F943" s="5" t="n">
        <f aca="false">IFERROR(__xludf.dummyfunction("""COMPUTED_VALUE"""),63285048)</f>
        <v>63285048</v>
      </c>
    </row>
    <row r="944" customFormat="false" ht="15.75" hidden="false" customHeight="false" outlineLevel="0" collapsed="false">
      <c r="A944" s="6" t="n">
        <f aca="false">IFERROR(__xludf.dummyfunction("""COMPUTED_VALUE"""),45567.6666666667)</f>
        <v>45567.6666666667</v>
      </c>
      <c r="B944" s="5" t="n">
        <f aca="false">IFERROR(__xludf.dummyfunction("""COMPUTED_VALUE"""),225.89)</f>
        <v>225.89</v>
      </c>
      <c r="C944" s="5" t="n">
        <f aca="false">IFERROR(__xludf.dummyfunction("""COMPUTED_VALUE"""),227.37)</f>
        <v>227.37</v>
      </c>
      <c r="D944" s="5" t="n">
        <f aca="false">IFERROR(__xludf.dummyfunction("""COMPUTED_VALUE"""),223.02)</f>
        <v>223.02</v>
      </c>
      <c r="E944" s="5" t="n">
        <f aca="false">IFERROR(__xludf.dummyfunction("""COMPUTED_VALUE"""),226.78)</f>
        <v>226.78</v>
      </c>
      <c r="F944" s="5" t="n">
        <f aca="false">IFERROR(__xludf.dummyfunction("""COMPUTED_VALUE"""),32880605)</f>
        <v>32880605</v>
      </c>
    </row>
    <row r="945" customFormat="false" ht="15.75" hidden="false" customHeight="false" outlineLevel="0" collapsed="false">
      <c r="A945" s="6" t="n">
        <f aca="false">IFERROR(__xludf.dummyfunction("""COMPUTED_VALUE"""),45568.6666666667)</f>
        <v>45568.6666666667</v>
      </c>
      <c r="B945" s="5" t="n">
        <f aca="false">IFERROR(__xludf.dummyfunction("""COMPUTED_VALUE"""),225.14)</f>
        <v>225.14</v>
      </c>
      <c r="C945" s="5" t="n">
        <f aca="false">IFERROR(__xludf.dummyfunction("""COMPUTED_VALUE"""),226.81)</f>
        <v>226.81</v>
      </c>
      <c r="D945" s="5" t="n">
        <f aca="false">IFERROR(__xludf.dummyfunction("""COMPUTED_VALUE"""),223.32)</f>
        <v>223.32</v>
      </c>
      <c r="E945" s="5" t="n">
        <f aca="false">IFERROR(__xludf.dummyfunction("""COMPUTED_VALUE"""),225.67)</f>
        <v>225.67</v>
      </c>
      <c r="F945" s="5" t="n">
        <f aca="false">IFERROR(__xludf.dummyfunction("""COMPUTED_VALUE"""),34044158)</f>
        <v>34044158</v>
      </c>
    </row>
    <row r="946" customFormat="false" ht="15.75" hidden="false" customHeight="false" outlineLevel="0" collapsed="false">
      <c r="A946" s="6" t="n">
        <f aca="false">IFERROR(__xludf.dummyfunction("""COMPUTED_VALUE"""),45569.6666666667)</f>
        <v>45569.6666666667</v>
      </c>
      <c r="B946" s="5" t="n">
        <f aca="false">IFERROR(__xludf.dummyfunction("""COMPUTED_VALUE"""),227.9)</f>
        <v>227.9</v>
      </c>
      <c r="C946" s="5" t="n">
        <f aca="false">IFERROR(__xludf.dummyfunction("""COMPUTED_VALUE"""),228)</f>
        <v>228</v>
      </c>
      <c r="D946" s="5" t="n">
        <f aca="false">IFERROR(__xludf.dummyfunction("""COMPUTED_VALUE"""),224.13)</f>
        <v>224.13</v>
      </c>
      <c r="E946" s="5" t="n">
        <f aca="false">IFERROR(__xludf.dummyfunction("""COMPUTED_VALUE"""),226.8)</f>
        <v>226.8</v>
      </c>
      <c r="F946" s="5" t="n">
        <f aca="false">IFERROR(__xludf.dummyfunction("""COMPUTED_VALUE"""),37345098)</f>
        <v>37345098</v>
      </c>
    </row>
    <row r="947" customFormat="false" ht="15.75" hidden="false" customHeight="false" outlineLevel="0" collapsed="false">
      <c r="A947" s="6" t="n">
        <f aca="false">IFERROR(__xludf.dummyfunction("""COMPUTED_VALUE"""),45572.6666666667)</f>
        <v>45572.6666666667</v>
      </c>
      <c r="B947" s="5" t="n">
        <f aca="false">IFERROR(__xludf.dummyfunction("""COMPUTED_VALUE"""),224.5)</f>
        <v>224.5</v>
      </c>
      <c r="C947" s="5" t="n">
        <f aca="false">IFERROR(__xludf.dummyfunction("""COMPUTED_VALUE"""),225.69)</f>
        <v>225.69</v>
      </c>
      <c r="D947" s="5" t="n">
        <f aca="false">IFERROR(__xludf.dummyfunction("""COMPUTED_VALUE"""),221.33)</f>
        <v>221.33</v>
      </c>
      <c r="E947" s="5" t="n">
        <f aca="false">IFERROR(__xludf.dummyfunction("""COMPUTED_VALUE"""),221.69)</f>
        <v>221.69</v>
      </c>
      <c r="F947" s="5" t="n">
        <f aca="false">IFERROR(__xludf.dummyfunction("""COMPUTED_VALUE"""),39505354)</f>
        <v>39505354</v>
      </c>
    </row>
    <row r="948" customFormat="false" ht="15.75" hidden="false" customHeight="false" outlineLevel="0" collapsed="false">
      <c r="A948" s="6" t="n">
        <f aca="false">IFERROR(__xludf.dummyfunction("""COMPUTED_VALUE"""),45573.6666666667)</f>
        <v>45573.6666666667</v>
      </c>
      <c r="B948" s="5" t="n">
        <f aca="false">IFERROR(__xludf.dummyfunction("""COMPUTED_VALUE"""),224.3)</f>
        <v>224.3</v>
      </c>
      <c r="C948" s="5" t="n">
        <f aca="false">IFERROR(__xludf.dummyfunction("""COMPUTED_VALUE"""),225.98)</f>
        <v>225.98</v>
      </c>
      <c r="D948" s="5" t="n">
        <f aca="false">IFERROR(__xludf.dummyfunction("""COMPUTED_VALUE"""),223.25)</f>
        <v>223.25</v>
      </c>
      <c r="E948" s="5" t="n">
        <f aca="false">IFERROR(__xludf.dummyfunction("""COMPUTED_VALUE"""),225.77)</f>
        <v>225.77</v>
      </c>
      <c r="F948" s="5" t="n">
        <f aca="false">IFERROR(__xludf.dummyfunction("""COMPUTED_VALUE"""),31855693)</f>
        <v>31855693</v>
      </c>
    </row>
    <row r="949" customFormat="false" ht="15.75" hidden="false" customHeight="false" outlineLevel="0" collapsed="false">
      <c r="A949" s="6" t="n">
        <f aca="false">IFERROR(__xludf.dummyfunction("""COMPUTED_VALUE"""),45574.6666666667)</f>
        <v>45574.6666666667</v>
      </c>
      <c r="B949" s="5" t="n">
        <f aca="false">IFERROR(__xludf.dummyfunction("""COMPUTED_VALUE"""),225.23)</f>
        <v>225.23</v>
      </c>
      <c r="C949" s="5" t="n">
        <f aca="false">IFERROR(__xludf.dummyfunction("""COMPUTED_VALUE"""),229.75)</f>
        <v>229.75</v>
      </c>
      <c r="D949" s="5" t="n">
        <f aca="false">IFERROR(__xludf.dummyfunction("""COMPUTED_VALUE"""),224.83)</f>
        <v>224.83</v>
      </c>
      <c r="E949" s="5" t="n">
        <f aca="false">IFERROR(__xludf.dummyfunction("""COMPUTED_VALUE"""),229.54)</f>
        <v>229.54</v>
      </c>
      <c r="F949" s="5" t="n">
        <f aca="false">IFERROR(__xludf.dummyfunction("""COMPUTED_VALUE"""),33591091)</f>
        <v>33591091</v>
      </c>
    </row>
    <row r="950" customFormat="false" ht="15.75" hidden="false" customHeight="false" outlineLevel="0" collapsed="false">
      <c r="A950" s="6" t="n">
        <f aca="false">IFERROR(__xludf.dummyfunction("""COMPUTED_VALUE"""),45575.6666666667)</f>
        <v>45575.6666666667</v>
      </c>
      <c r="B950" s="5" t="n">
        <f aca="false">IFERROR(__xludf.dummyfunction("""COMPUTED_VALUE"""),227.78)</f>
        <v>227.78</v>
      </c>
      <c r="C950" s="5" t="n">
        <f aca="false">IFERROR(__xludf.dummyfunction("""COMPUTED_VALUE"""),229.5)</f>
        <v>229.5</v>
      </c>
      <c r="D950" s="5" t="n">
        <f aca="false">IFERROR(__xludf.dummyfunction("""COMPUTED_VALUE"""),227.17)</f>
        <v>227.17</v>
      </c>
      <c r="E950" s="5" t="n">
        <f aca="false">IFERROR(__xludf.dummyfunction("""COMPUTED_VALUE"""),229.04)</f>
        <v>229.04</v>
      </c>
      <c r="F950" s="5" t="n">
        <f aca="false">IFERROR(__xludf.dummyfunction("""COMPUTED_VALUE"""),28183544)</f>
        <v>28183544</v>
      </c>
    </row>
    <row r="951" customFormat="false" ht="15.75" hidden="false" customHeight="false" outlineLevel="0" collapsed="false">
      <c r="A951" s="6" t="n">
        <f aca="false">IFERROR(__xludf.dummyfunction("""COMPUTED_VALUE"""),45576.6666666667)</f>
        <v>45576.6666666667</v>
      </c>
      <c r="B951" s="5" t="n">
        <f aca="false">IFERROR(__xludf.dummyfunction("""COMPUTED_VALUE"""),229.3)</f>
        <v>229.3</v>
      </c>
      <c r="C951" s="5" t="n">
        <f aca="false">IFERROR(__xludf.dummyfunction("""COMPUTED_VALUE"""),229.41)</f>
        <v>229.41</v>
      </c>
      <c r="D951" s="5" t="n">
        <f aca="false">IFERROR(__xludf.dummyfunction("""COMPUTED_VALUE"""),227.34)</f>
        <v>227.34</v>
      </c>
      <c r="E951" s="5" t="n">
        <f aca="false">IFERROR(__xludf.dummyfunction("""COMPUTED_VALUE"""),227.55)</f>
        <v>227.55</v>
      </c>
      <c r="F951" s="5" t="n">
        <f aca="false">IFERROR(__xludf.dummyfunction("""COMPUTED_VALUE"""),31759188)</f>
        <v>31759188</v>
      </c>
    </row>
    <row r="952" customFormat="false" ht="15.75" hidden="false" customHeight="false" outlineLevel="0" collapsed="false">
      <c r="A952" s="6" t="n">
        <f aca="false">IFERROR(__xludf.dummyfunction("""COMPUTED_VALUE"""),45579.6666666667)</f>
        <v>45579.6666666667</v>
      </c>
      <c r="B952" s="5" t="n">
        <f aca="false">IFERROR(__xludf.dummyfunction("""COMPUTED_VALUE"""),228.7)</f>
        <v>228.7</v>
      </c>
      <c r="C952" s="5" t="n">
        <f aca="false">IFERROR(__xludf.dummyfunction("""COMPUTED_VALUE"""),231.73)</f>
        <v>231.73</v>
      </c>
      <c r="D952" s="5" t="n">
        <f aca="false">IFERROR(__xludf.dummyfunction("""COMPUTED_VALUE"""),228.6)</f>
        <v>228.6</v>
      </c>
      <c r="E952" s="5" t="n">
        <f aca="false">IFERROR(__xludf.dummyfunction("""COMPUTED_VALUE"""),231.3)</f>
        <v>231.3</v>
      </c>
      <c r="F952" s="5" t="n">
        <f aca="false">IFERROR(__xludf.dummyfunction("""COMPUTED_VALUE"""),39882085)</f>
        <v>39882085</v>
      </c>
    </row>
    <row r="953" customFormat="false" ht="15.75" hidden="false" customHeight="false" outlineLevel="0" collapsed="false">
      <c r="A953" s="6" t="n">
        <f aca="false">IFERROR(__xludf.dummyfunction("""COMPUTED_VALUE"""),45580.6666666667)</f>
        <v>45580.6666666667</v>
      </c>
      <c r="B953" s="5" t="n">
        <f aca="false">IFERROR(__xludf.dummyfunction("""COMPUTED_VALUE"""),233.61)</f>
        <v>233.61</v>
      </c>
      <c r="C953" s="5" t="n">
        <f aca="false">IFERROR(__xludf.dummyfunction("""COMPUTED_VALUE"""),237.49)</f>
        <v>237.49</v>
      </c>
      <c r="D953" s="5" t="n">
        <f aca="false">IFERROR(__xludf.dummyfunction("""COMPUTED_VALUE"""),232.37)</f>
        <v>232.37</v>
      </c>
      <c r="E953" s="5" t="n">
        <f aca="false">IFERROR(__xludf.dummyfunction("""COMPUTED_VALUE"""),233.85)</f>
        <v>233.85</v>
      </c>
      <c r="F953" s="5" t="n">
        <f aca="false">IFERROR(__xludf.dummyfunction("""COMPUTED_VALUE"""),64751367)</f>
        <v>64751367</v>
      </c>
    </row>
    <row r="954" customFormat="false" ht="15.75" hidden="false" customHeight="false" outlineLevel="0" collapsed="false">
      <c r="A954" s="6" t="n">
        <f aca="false">IFERROR(__xludf.dummyfunction("""COMPUTED_VALUE"""),45581.6666666667)</f>
        <v>45581.6666666667</v>
      </c>
      <c r="B954" s="5" t="n">
        <f aca="false">IFERROR(__xludf.dummyfunction("""COMPUTED_VALUE"""),231.6)</f>
        <v>231.6</v>
      </c>
      <c r="C954" s="5" t="n">
        <f aca="false">IFERROR(__xludf.dummyfunction("""COMPUTED_VALUE"""),232.12)</f>
        <v>232.12</v>
      </c>
      <c r="D954" s="5" t="n">
        <f aca="false">IFERROR(__xludf.dummyfunction("""COMPUTED_VALUE"""),229.84)</f>
        <v>229.84</v>
      </c>
      <c r="E954" s="5" t="n">
        <f aca="false">IFERROR(__xludf.dummyfunction("""COMPUTED_VALUE"""),231.78)</f>
        <v>231.78</v>
      </c>
      <c r="F954" s="5" t="n">
        <f aca="false">IFERROR(__xludf.dummyfunction("""COMPUTED_VALUE"""),34082240)</f>
        <v>34082240</v>
      </c>
    </row>
    <row r="955" customFormat="false" ht="15.75" hidden="false" customHeight="false" outlineLevel="0" collapsed="false">
      <c r="A955" s="6" t="n">
        <f aca="false">IFERROR(__xludf.dummyfunction("""COMPUTED_VALUE"""),45582.6666666667)</f>
        <v>45582.6666666667</v>
      </c>
      <c r="B955" s="5" t="n">
        <f aca="false">IFERROR(__xludf.dummyfunction("""COMPUTED_VALUE"""),233.43)</f>
        <v>233.43</v>
      </c>
      <c r="C955" s="5" t="n">
        <f aca="false">IFERROR(__xludf.dummyfunction("""COMPUTED_VALUE"""),233.85)</f>
        <v>233.85</v>
      </c>
      <c r="D955" s="5" t="n">
        <f aca="false">IFERROR(__xludf.dummyfunction("""COMPUTED_VALUE"""),230.52)</f>
        <v>230.52</v>
      </c>
      <c r="E955" s="5" t="n">
        <f aca="false">IFERROR(__xludf.dummyfunction("""COMPUTED_VALUE"""),232.15)</f>
        <v>232.15</v>
      </c>
      <c r="F955" s="5" t="n">
        <f aca="false">IFERROR(__xludf.dummyfunction("""COMPUTED_VALUE"""),32993810)</f>
        <v>32993810</v>
      </c>
    </row>
    <row r="956" customFormat="false" ht="15.75" hidden="false" customHeight="false" outlineLevel="0" collapsed="false">
      <c r="A956" s="6" t="n">
        <f aca="false">IFERROR(__xludf.dummyfunction("""COMPUTED_VALUE"""),45583.6666666667)</f>
        <v>45583.6666666667</v>
      </c>
      <c r="B956" s="5" t="n">
        <f aca="false">IFERROR(__xludf.dummyfunction("""COMPUTED_VALUE"""),236.18)</f>
        <v>236.18</v>
      </c>
      <c r="C956" s="5" t="n">
        <f aca="false">IFERROR(__xludf.dummyfunction("""COMPUTED_VALUE"""),236.18)</f>
        <v>236.18</v>
      </c>
      <c r="D956" s="5" t="n">
        <f aca="false">IFERROR(__xludf.dummyfunction("""COMPUTED_VALUE"""),234.01)</f>
        <v>234.01</v>
      </c>
      <c r="E956" s="5" t="n">
        <f aca="false">IFERROR(__xludf.dummyfunction("""COMPUTED_VALUE"""),235)</f>
        <v>235</v>
      </c>
      <c r="F956" s="5" t="n">
        <f aca="false">IFERROR(__xludf.dummyfunction("""COMPUTED_VALUE"""),46431472)</f>
        <v>46431472</v>
      </c>
    </row>
    <row r="957" customFormat="false" ht="15.75" hidden="false" customHeight="false" outlineLevel="0" collapsed="false">
      <c r="A957" s="6" t="n">
        <f aca="false">IFERROR(__xludf.dummyfunction("""COMPUTED_VALUE"""),45586.6666666667)</f>
        <v>45586.6666666667</v>
      </c>
      <c r="B957" s="5" t="n">
        <f aca="false">IFERROR(__xludf.dummyfunction("""COMPUTED_VALUE"""),234.45)</f>
        <v>234.45</v>
      </c>
      <c r="C957" s="5" t="n">
        <f aca="false">IFERROR(__xludf.dummyfunction("""COMPUTED_VALUE"""),236.85)</f>
        <v>236.85</v>
      </c>
      <c r="D957" s="5" t="n">
        <f aca="false">IFERROR(__xludf.dummyfunction("""COMPUTED_VALUE"""),234.45)</f>
        <v>234.45</v>
      </c>
      <c r="E957" s="5" t="n">
        <f aca="false">IFERROR(__xludf.dummyfunction("""COMPUTED_VALUE"""),236.48)</f>
        <v>236.48</v>
      </c>
      <c r="F957" s="5" t="n">
        <f aca="false">IFERROR(__xludf.dummyfunction("""COMPUTED_VALUE"""),36254470)</f>
        <v>36254470</v>
      </c>
    </row>
    <row r="958" customFormat="false" ht="15.75" hidden="false" customHeight="false" outlineLevel="0" collapsed="false">
      <c r="A958" s="6" t="n">
        <f aca="false">IFERROR(__xludf.dummyfunction("""COMPUTED_VALUE"""),45587.6666666667)</f>
        <v>45587.6666666667</v>
      </c>
      <c r="B958" s="5" t="n">
        <f aca="false">IFERROR(__xludf.dummyfunction("""COMPUTED_VALUE"""),233.89)</f>
        <v>233.89</v>
      </c>
      <c r="C958" s="5" t="n">
        <f aca="false">IFERROR(__xludf.dummyfunction("""COMPUTED_VALUE"""),236.22)</f>
        <v>236.22</v>
      </c>
      <c r="D958" s="5" t="n">
        <f aca="false">IFERROR(__xludf.dummyfunction("""COMPUTED_VALUE"""),232.6)</f>
        <v>232.6</v>
      </c>
      <c r="E958" s="5" t="n">
        <f aca="false">IFERROR(__xludf.dummyfunction("""COMPUTED_VALUE"""),235.86)</f>
        <v>235.86</v>
      </c>
      <c r="F958" s="5" t="n">
        <f aca="false">IFERROR(__xludf.dummyfunction("""COMPUTED_VALUE"""),38846578)</f>
        <v>38846578</v>
      </c>
    </row>
    <row r="959" customFormat="false" ht="15.75" hidden="false" customHeight="false" outlineLevel="0" collapsed="false">
      <c r="A959" s="6" t="n">
        <f aca="false">IFERROR(__xludf.dummyfunction("""COMPUTED_VALUE"""),45588.6666666667)</f>
        <v>45588.6666666667</v>
      </c>
      <c r="B959" s="5" t="n">
        <f aca="false">IFERROR(__xludf.dummyfunction("""COMPUTED_VALUE"""),234.08)</f>
        <v>234.08</v>
      </c>
      <c r="C959" s="5" t="n">
        <f aca="false">IFERROR(__xludf.dummyfunction("""COMPUTED_VALUE"""),235.14)</f>
        <v>235.14</v>
      </c>
      <c r="D959" s="5" t="n">
        <f aca="false">IFERROR(__xludf.dummyfunction("""COMPUTED_VALUE"""),227.76)</f>
        <v>227.76</v>
      </c>
      <c r="E959" s="5" t="n">
        <f aca="false">IFERROR(__xludf.dummyfunction("""COMPUTED_VALUE"""),230.76)</f>
        <v>230.76</v>
      </c>
      <c r="F959" s="5" t="n">
        <f aca="false">IFERROR(__xludf.dummyfunction("""COMPUTED_VALUE"""),52286979)</f>
        <v>52286979</v>
      </c>
    </row>
    <row r="960" customFormat="false" ht="15.75" hidden="false" customHeight="false" outlineLevel="0" collapsed="false">
      <c r="A960" s="6" t="n">
        <f aca="false">IFERROR(__xludf.dummyfunction("""COMPUTED_VALUE"""),45589.6666666667)</f>
        <v>45589.6666666667</v>
      </c>
      <c r="B960" s="5" t="n">
        <f aca="false">IFERROR(__xludf.dummyfunction("""COMPUTED_VALUE"""),229.98)</f>
        <v>229.98</v>
      </c>
      <c r="C960" s="5" t="n">
        <f aca="false">IFERROR(__xludf.dummyfunction("""COMPUTED_VALUE"""),230.82)</f>
        <v>230.82</v>
      </c>
      <c r="D960" s="5" t="n">
        <f aca="false">IFERROR(__xludf.dummyfunction("""COMPUTED_VALUE"""),228.41)</f>
        <v>228.41</v>
      </c>
      <c r="E960" s="5" t="n">
        <f aca="false">IFERROR(__xludf.dummyfunction("""COMPUTED_VALUE"""),230.57)</f>
        <v>230.57</v>
      </c>
      <c r="F960" s="5" t="n">
        <f aca="false">IFERROR(__xludf.dummyfunction("""COMPUTED_VALUE"""),31109503)</f>
        <v>31109503</v>
      </c>
    </row>
    <row r="961" customFormat="false" ht="15.75" hidden="false" customHeight="false" outlineLevel="0" collapsed="false">
      <c r="A961" s="6" t="n">
        <f aca="false">IFERROR(__xludf.dummyfunction("""COMPUTED_VALUE"""),45590.6666666667)</f>
        <v>45590.6666666667</v>
      </c>
      <c r="B961" s="5" t="n">
        <f aca="false">IFERROR(__xludf.dummyfunction("""COMPUTED_VALUE"""),229.74)</f>
        <v>229.74</v>
      </c>
      <c r="C961" s="5" t="n">
        <f aca="false">IFERROR(__xludf.dummyfunction("""COMPUTED_VALUE"""),233.22)</f>
        <v>233.22</v>
      </c>
      <c r="D961" s="5" t="n">
        <f aca="false">IFERROR(__xludf.dummyfunction("""COMPUTED_VALUE"""),229.57)</f>
        <v>229.57</v>
      </c>
      <c r="E961" s="5" t="n">
        <f aca="false">IFERROR(__xludf.dummyfunction("""COMPUTED_VALUE"""),231.41)</f>
        <v>231.41</v>
      </c>
      <c r="F961" s="5" t="n">
        <f aca="false">IFERROR(__xludf.dummyfunction("""COMPUTED_VALUE"""),38802304)</f>
        <v>38802304</v>
      </c>
    </row>
    <row r="962" customFormat="false" ht="15.75" hidden="false" customHeight="false" outlineLevel="0" collapsed="false">
      <c r="A962" s="6" t="n">
        <f aca="false">IFERROR(__xludf.dummyfunction("""COMPUTED_VALUE"""),45593.6666666667)</f>
        <v>45593.6666666667</v>
      </c>
      <c r="B962" s="5" t="n">
        <f aca="false">IFERROR(__xludf.dummyfunction("""COMPUTED_VALUE"""),233.32)</f>
        <v>233.32</v>
      </c>
      <c r="C962" s="5" t="n">
        <f aca="false">IFERROR(__xludf.dummyfunction("""COMPUTED_VALUE"""),234.73)</f>
        <v>234.73</v>
      </c>
      <c r="D962" s="5" t="n">
        <f aca="false">IFERROR(__xludf.dummyfunction("""COMPUTED_VALUE"""),232.55)</f>
        <v>232.55</v>
      </c>
      <c r="E962" s="5" t="n">
        <f aca="false">IFERROR(__xludf.dummyfunction("""COMPUTED_VALUE"""),233.4)</f>
        <v>233.4</v>
      </c>
      <c r="F962" s="5" t="n">
        <f aca="false">IFERROR(__xludf.dummyfunction("""COMPUTED_VALUE"""),36087134)</f>
        <v>36087134</v>
      </c>
    </row>
    <row r="963" customFormat="false" ht="15.75" hidden="false" customHeight="false" outlineLevel="0" collapsed="false">
      <c r="A963" s="6" t="n">
        <f aca="false">IFERROR(__xludf.dummyfunction("""COMPUTED_VALUE"""),45594.6666666667)</f>
        <v>45594.6666666667</v>
      </c>
      <c r="B963" s="5" t="n">
        <f aca="false">IFERROR(__xludf.dummyfunction("""COMPUTED_VALUE"""),233.1)</f>
        <v>233.1</v>
      </c>
      <c r="C963" s="5" t="n">
        <f aca="false">IFERROR(__xludf.dummyfunction("""COMPUTED_VALUE"""),234.33)</f>
        <v>234.33</v>
      </c>
      <c r="D963" s="5" t="n">
        <f aca="false">IFERROR(__xludf.dummyfunction("""COMPUTED_VALUE"""),232.32)</f>
        <v>232.32</v>
      </c>
      <c r="E963" s="5" t="n">
        <f aca="false">IFERROR(__xludf.dummyfunction("""COMPUTED_VALUE"""),233.67)</f>
        <v>233.67</v>
      </c>
      <c r="F963" s="5" t="n">
        <f aca="false">IFERROR(__xludf.dummyfunction("""COMPUTED_VALUE"""),35417247)</f>
        <v>35417247</v>
      </c>
    </row>
    <row r="964" customFormat="false" ht="15.75" hidden="false" customHeight="false" outlineLevel="0" collapsed="false">
      <c r="A964" s="6" t="n">
        <f aca="false">IFERROR(__xludf.dummyfunction("""COMPUTED_VALUE"""),45595.6666666667)</f>
        <v>45595.6666666667</v>
      </c>
      <c r="B964" s="5" t="n">
        <f aca="false">IFERROR(__xludf.dummyfunction("""COMPUTED_VALUE"""),232.61)</f>
        <v>232.61</v>
      </c>
      <c r="C964" s="5" t="n">
        <f aca="false">IFERROR(__xludf.dummyfunction("""COMPUTED_VALUE"""),233.47)</f>
        <v>233.47</v>
      </c>
      <c r="D964" s="5" t="n">
        <f aca="false">IFERROR(__xludf.dummyfunction("""COMPUTED_VALUE"""),229.55)</f>
        <v>229.55</v>
      </c>
      <c r="E964" s="5" t="n">
        <f aca="false">IFERROR(__xludf.dummyfunction("""COMPUTED_VALUE"""),230.1)</f>
        <v>230.1</v>
      </c>
      <c r="F964" s="5" t="n">
        <f aca="false">IFERROR(__xludf.dummyfunction("""COMPUTED_VALUE"""),47070907)</f>
        <v>47070907</v>
      </c>
    </row>
    <row r="965" customFormat="false" ht="15.75" hidden="false" customHeight="false" outlineLevel="0" collapsed="false">
      <c r="A965" s="6" t="n">
        <f aca="false">IFERROR(__xludf.dummyfunction("""COMPUTED_VALUE"""),45596.6666666667)</f>
        <v>45596.6666666667</v>
      </c>
      <c r="B965" s="5" t="n">
        <f aca="false">IFERROR(__xludf.dummyfunction("""COMPUTED_VALUE"""),229.34)</f>
        <v>229.34</v>
      </c>
      <c r="C965" s="5" t="n">
        <f aca="false">IFERROR(__xludf.dummyfunction("""COMPUTED_VALUE"""),229.83)</f>
        <v>229.83</v>
      </c>
      <c r="D965" s="5" t="n">
        <f aca="false">IFERROR(__xludf.dummyfunction("""COMPUTED_VALUE"""),225.37)</f>
        <v>225.37</v>
      </c>
      <c r="E965" s="5" t="n">
        <f aca="false">IFERROR(__xludf.dummyfunction("""COMPUTED_VALUE"""),225.91)</f>
        <v>225.91</v>
      </c>
      <c r="F965" s="5" t="n">
        <f aca="false">IFERROR(__xludf.dummyfunction("""COMPUTED_VALUE"""),64370086)</f>
        <v>64370086</v>
      </c>
    </row>
    <row r="966" customFormat="false" ht="15.75" hidden="false" customHeight="false" outlineLevel="0" collapsed="false">
      <c r="A966" s="6" t="n">
        <f aca="false">IFERROR(__xludf.dummyfunction("""COMPUTED_VALUE"""),45597.6666666667)</f>
        <v>45597.6666666667</v>
      </c>
      <c r="B966" s="5" t="n">
        <f aca="false">IFERROR(__xludf.dummyfunction("""COMPUTED_VALUE"""),220.97)</f>
        <v>220.97</v>
      </c>
      <c r="C966" s="5" t="n">
        <f aca="false">IFERROR(__xludf.dummyfunction("""COMPUTED_VALUE"""),225.35)</f>
        <v>225.35</v>
      </c>
      <c r="D966" s="5" t="n">
        <f aca="false">IFERROR(__xludf.dummyfunction("""COMPUTED_VALUE"""),220.27)</f>
        <v>220.27</v>
      </c>
      <c r="E966" s="5" t="n">
        <f aca="false">IFERROR(__xludf.dummyfunction("""COMPUTED_VALUE"""),222.91)</f>
        <v>222.91</v>
      </c>
      <c r="F966" s="5" t="n">
        <f aca="false">IFERROR(__xludf.dummyfunction("""COMPUTED_VALUE"""),65276741)</f>
        <v>65276741</v>
      </c>
    </row>
    <row r="967" customFormat="false" ht="15.75" hidden="false" customHeight="false" outlineLevel="0" collapsed="false">
      <c r="A967" s="6" t="n">
        <f aca="false">IFERROR(__xludf.dummyfunction("""COMPUTED_VALUE"""),45600.6666666667)</f>
        <v>45600.6666666667</v>
      </c>
      <c r="B967" s="5" t="n">
        <f aca="false">IFERROR(__xludf.dummyfunction("""COMPUTED_VALUE"""),220.99)</f>
        <v>220.99</v>
      </c>
      <c r="C967" s="5" t="n">
        <f aca="false">IFERROR(__xludf.dummyfunction("""COMPUTED_VALUE"""),222.79)</f>
        <v>222.79</v>
      </c>
      <c r="D967" s="5" t="n">
        <f aca="false">IFERROR(__xludf.dummyfunction("""COMPUTED_VALUE"""),219.71)</f>
        <v>219.71</v>
      </c>
      <c r="E967" s="5" t="n">
        <f aca="false">IFERROR(__xludf.dummyfunction("""COMPUTED_VALUE"""),222.01)</f>
        <v>222.01</v>
      </c>
      <c r="F967" s="5" t="n">
        <f aca="false">IFERROR(__xludf.dummyfunction("""COMPUTED_VALUE"""),44944468)</f>
        <v>44944468</v>
      </c>
    </row>
    <row r="968" customFormat="false" ht="15.75" hidden="false" customHeight="false" outlineLevel="0" collapsed="false">
      <c r="A968" s="6" t="n">
        <f aca="false">IFERROR(__xludf.dummyfunction("""COMPUTED_VALUE"""),45601.6666666667)</f>
        <v>45601.6666666667</v>
      </c>
      <c r="B968" s="5" t="n">
        <f aca="false">IFERROR(__xludf.dummyfunction("""COMPUTED_VALUE"""),221.8)</f>
        <v>221.8</v>
      </c>
      <c r="C968" s="5" t="n">
        <f aca="false">IFERROR(__xludf.dummyfunction("""COMPUTED_VALUE"""),223.95)</f>
        <v>223.95</v>
      </c>
      <c r="D968" s="5" t="n">
        <f aca="false">IFERROR(__xludf.dummyfunction("""COMPUTED_VALUE"""),221.14)</f>
        <v>221.14</v>
      </c>
      <c r="E968" s="5" t="n">
        <f aca="false">IFERROR(__xludf.dummyfunction("""COMPUTED_VALUE"""),223.45)</f>
        <v>223.45</v>
      </c>
      <c r="F968" s="5" t="n">
        <f aca="false">IFERROR(__xludf.dummyfunction("""COMPUTED_VALUE"""),28111338)</f>
        <v>28111338</v>
      </c>
    </row>
    <row r="969" customFormat="false" ht="15.75" hidden="false" customHeight="false" outlineLevel="0" collapsed="false">
      <c r="A969" s="6" t="n">
        <f aca="false">IFERROR(__xludf.dummyfunction("""COMPUTED_VALUE"""),45602.6666666667)</f>
        <v>45602.6666666667</v>
      </c>
      <c r="B969" s="5" t="n">
        <f aca="false">IFERROR(__xludf.dummyfunction("""COMPUTED_VALUE"""),222.61)</f>
        <v>222.61</v>
      </c>
      <c r="C969" s="5" t="n">
        <f aca="false">IFERROR(__xludf.dummyfunction("""COMPUTED_VALUE"""),226.07)</f>
        <v>226.07</v>
      </c>
      <c r="D969" s="5" t="n">
        <f aca="false">IFERROR(__xludf.dummyfunction("""COMPUTED_VALUE"""),221.19)</f>
        <v>221.19</v>
      </c>
      <c r="E969" s="5" t="n">
        <f aca="false">IFERROR(__xludf.dummyfunction("""COMPUTED_VALUE"""),222.72)</f>
        <v>222.72</v>
      </c>
      <c r="F969" s="5" t="n">
        <f aca="false">IFERROR(__xludf.dummyfunction("""COMPUTED_VALUE"""),54561121)</f>
        <v>54561121</v>
      </c>
    </row>
    <row r="970" customFormat="false" ht="15.75" hidden="false" customHeight="false" outlineLevel="0" collapsed="false">
      <c r="A970" s="6" t="n">
        <f aca="false">IFERROR(__xludf.dummyfunction("""COMPUTED_VALUE"""),45603.6666666667)</f>
        <v>45603.6666666667</v>
      </c>
      <c r="B970" s="5" t="n">
        <f aca="false">IFERROR(__xludf.dummyfunction("""COMPUTED_VALUE"""),224.63)</f>
        <v>224.63</v>
      </c>
      <c r="C970" s="5" t="n">
        <f aca="false">IFERROR(__xludf.dummyfunction("""COMPUTED_VALUE"""),227.88)</f>
        <v>227.88</v>
      </c>
      <c r="D970" s="5" t="n">
        <f aca="false">IFERROR(__xludf.dummyfunction("""COMPUTED_VALUE"""),224.57)</f>
        <v>224.57</v>
      </c>
      <c r="E970" s="5" t="n">
        <f aca="false">IFERROR(__xludf.dummyfunction("""COMPUTED_VALUE"""),227.48)</f>
        <v>227.48</v>
      </c>
      <c r="F970" s="5" t="n">
        <f aca="false">IFERROR(__xludf.dummyfunction("""COMPUTED_VALUE"""),42137691)</f>
        <v>42137691</v>
      </c>
    </row>
    <row r="971" customFormat="false" ht="15.75" hidden="false" customHeight="false" outlineLevel="0" collapsed="false">
      <c r="A971" s="6" t="n">
        <f aca="false">IFERROR(__xludf.dummyfunction("""COMPUTED_VALUE"""),45604.6666666667)</f>
        <v>45604.6666666667</v>
      </c>
      <c r="B971" s="5" t="n">
        <f aca="false">IFERROR(__xludf.dummyfunction("""COMPUTED_VALUE"""),227.17)</f>
        <v>227.17</v>
      </c>
      <c r="C971" s="5" t="n">
        <f aca="false">IFERROR(__xludf.dummyfunction("""COMPUTED_VALUE"""),228.66)</f>
        <v>228.66</v>
      </c>
      <c r="D971" s="5" t="n">
        <f aca="false">IFERROR(__xludf.dummyfunction("""COMPUTED_VALUE"""),226.41)</f>
        <v>226.41</v>
      </c>
      <c r="E971" s="5" t="n">
        <f aca="false">IFERROR(__xludf.dummyfunction("""COMPUTED_VALUE"""),226.96)</f>
        <v>226.96</v>
      </c>
      <c r="F971" s="5" t="n">
        <f aca="false">IFERROR(__xludf.dummyfunction("""COMPUTED_VALUE"""),38328824)</f>
        <v>38328824</v>
      </c>
    </row>
    <row r="972" customFormat="false" ht="15.75" hidden="false" customHeight="false" outlineLevel="0" collapsed="false">
      <c r="A972" s="6" t="n">
        <f aca="false">IFERROR(__xludf.dummyfunction("""COMPUTED_VALUE"""),45607.6666666667)</f>
        <v>45607.6666666667</v>
      </c>
      <c r="B972" s="5" t="n">
        <f aca="false">IFERROR(__xludf.dummyfunction("""COMPUTED_VALUE"""),225)</f>
        <v>225</v>
      </c>
      <c r="C972" s="5" t="n">
        <f aca="false">IFERROR(__xludf.dummyfunction("""COMPUTED_VALUE"""),225.7)</f>
        <v>225.7</v>
      </c>
      <c r="D972" s="5" t="n">
        <f aca="false">IFERROR(__xludf.dummyfunction("""COMPUTED_VALUE"""),221.5)</f>
        <v>221.5</v>
      </c>
      <c r="E972" s="5" t="n">
        <f aca="false">IFERROR(__xludf.dummyfunction("""COMPUTED_VALUE"""),224.23)</f>
        <v>224.23</v>
      </c>
      <c r="F972" s="5" t="n">
        <f aca="false">IFERROR(__xludf.dummyfunction("""COMPUTED_VALUE"""),42005602)</f>
        <v>42005602</v>
      </c>
    </row>
    <row r="973" customFormat="false" ht="15.75" hidden="false" customHeight="false" outlineLevel="0" collapsed="false">
      <c r="A973" s="6" t="n">
        <f aca="false">IFERROR(__xludf.dummyfunction("""COMPUTED_VALUE"""),45608.6666666667)</f>
        <v>45608.6666666667</v>
      </c>
      <c r="B973" s="5" t="n">
        <f aca="false">IFERROR(__xludf.dummyfunction("""COMPUTED_VALUE"""),224.55)</f>
        <v>224.55</v>
      </c>
      <c r="C973" s="5" t="n">
        <f aca="false">IFERROR(__xludf.dummyfunction("""COMPUTED_VALUE"""),225.59)</f>
        <v>225.59</v>
      </c>
      <c r="D973" s="5" t="n">
        <f aca="false">IFERROR(__xludf.dummyfunction("""COMPUTED_VALUE"""),223.36)</f>
        <v>223.36</v>
      </c>
      <c r="E973" s="5" t="n">
        <f aca="false">IFERROR(__xludf.dummyfunction("""COMPUTED_VALUE"""),224.23)</f>
        <v>224.23</v>
      </c>
      <c r="F973" s="5" t="n">
        <f aca="false">IFERROR(__xludf.dummyfunction("""COMPUTED_VALUE"""),40398299)</f>
        <v>40398299</v>
      </c>
    </row>
    <row r="974" customFormat="false" ht="15.75" hidden="false" customHeight="false" outlineLevel="0" collapsed="false">
      <c r="A974" s="6" t="n">
        <f aca="false">IFERROR(__xludf.dummyfunction("""COMPUTED_VALUE"""),45609.6666666667)</f>
        <v>45609.6666666667</v>
      </c>
      <c r="B974" s="5" t="n">
        <f aca="false">IFERROR(__xludf.dummyfunction("""COMPUTED_VALUE"""),224.01)</f>
        <v>224.01</v>
      </c>
      <c r="C974" s="5" t="n">
        <f aca="false">IFERROR(__xludf.dummyfunction("""COMPUTED_VALUE"""),226.65)</f>
        <v>226.65</v>
      </c>
      <c r="D974" s="5" t="n">
        <f aca="false">IFERROR(__xludf.dummyfunction("""COMPUTED_VALUE"""),222.76)</f>
        <v>222.76</v>
      </c>
      <c r="E974" s="5" t="n">
        <f aca="false">IFERROR(__xludf.dummyfunction("""COMPUTED_VALUE"""),225.12)</f>
        <v>225.12</v>
      </c>
      <c r="F974" s="5" t="n">
        <f aca="false">IFERROR(__xludf.dummyfunction("""COMPUTED_VALUE"""),48566217)</f>
        <v>48566217</v>
      </c>
    </row>
    <row r="975" customFormat="false" ht="15.75" hidden="false" customHeight="false" outlineLevel="0" collapsed="false">
      <c r="A975" s="6" t="n">
        <f aca="false">IFERROR(__xludf.dummyfunction("""COMPUTED_VALUE"""),45610.6666666667)</f>
        <v>45610.6666666667</v>
      </c>
      <c r="B975" s="5" t="n">
        <f aca="false">IFERROR(__xludf.dummyfunction("""COMPUTED_VALUE"""),225.02)</f>
        <v>225.02</v>
      </c>
      <c r="C975" s="5" t="n">
        <f aca="false">IFERROR(__xludf.dummyfunction("""COMPUTED_VALUE"""),228.87)</f>
        <v>228.87</v>
      </c>
      <c r="D975" s="5" t="n">
        <f aca="false">IFERROR(__xludf.dummyfunction("""COMPUTED_VALUE"""),225)</f>
        <v>225</v>
      </c>
      <c r="E975" s="5" t="n">
        <f aca="false">IFERROR(__xludf.dummyfunction("""COMPUTED_VALUE"""),228.22)</f>
        <v>228.22</v>
      </c>
      <c r="F975" s="5" t="n">
        <f aca="false">IFERROR(__xludf.dummyfunction("""COMPUTED_VALUE"""),44923941)</f>
        <v>44923941</v>
      </c>
    </row>
    <row r="976" customFormat="false" ht="15.75" hidden="false" customHeight="false" outlineLevel="0" collapsed="false">
      <c r="A976" s="6" t="n">
        <f aca="false">IFERROR(__xludf.dummyfunction("""COMPUTED_VALUE"""),45611.6666666667)</f>
        <v>45611.6666666667</v>
      </c>
      <c r="B976" s="5" t="n">
        <f aca="false">IFERROR(__xludf.dummyfunction("""COMPUTED_VALUE"""),226.4)</f>
        <v>226.4</v>
      </c>
      <c r="C976" s="5" t="n">
        <f aca="false">IFERROR(__xludf.dummyfunction("""COMPUTED_VALUE"""),226.92)</f>
        <v>226.92</v>
      </c>
      <c r="D976" s="5" t="n">
        <f aca="false">IFERROR(__xludf.dummyfunction("""COMPUTED_VALUE"""),224.27)</f>
        <v>224.27</v>
      </c>
      <c r="E976" s="5" t="n">
        <f aca="false">IFERROR(__xludf.dummyfunction("""COMPUTED_VALUE"""),225)</f>
        <v>225</v>
      </c>
      <c r="F976" s="5" t="n">
        <f aca="false">IFERROR(__xludf.dummyfunction("""COMPUTED_VALUE"""),47923696)</f>
        <v>47923696</v>
      </c>
    </row>
    <row r="977" customFormat="false" ht="15.75" hidden="false" customHeight="false" outlineLevel="0" collapsed="false">
      <c r="A977" s="6" t="n">
        <f aca="false">IFERROR(__xludf.dummyfunction("""COMPUTED_VALUE"""),45614.6666666667)</f>
        <v>45614.6666666667</v>
      </c>
      <c r="B977" s="5" t="n">
        <f aca="false">IFERROR(__xludf.dummyfunction("""COMPUTED_VALUE"""),225.25)</f>
        <v>225.25</v>
      </c>
      <c r="C977" s="5" t="n">
        <f aca="false">IFERROR(__xludf.dummyfunction("""COMPUTED_VALUE"""),229.74)</f>
        <v>229.74</v>
      </c>
      <c r="D977" s="5" t="n">
        <f aca="false">IFERROR(__xludf.dummyfunction("""COMPUTED_VALUE"""),225.17)</f>
        <v>225.17</v>
      </c>
      <c r="E977" s="5" t="n">
        <f aca="false">IFERROR(__xludf.dummyfunction("""COMPUTED_VALUE"""),228.02)</f>
        <v>228.02</v>
      </c>
      <c r="F977" s="5" t="n">
        <f aca="false">IFERROR(__xludf.dummyfunction("""COMPUTED_VALUE"""),44686020)</f>
        <v>44686020</v>
      </c>
    </row>
    <row r="978" customFormat="false" ht="15.75" hidden="false" customHeight="false" outlineLevel="0" collapsed="false">
      <c r="A978" s="6" t="n">
        <f aca="false">IFERROR(__xludf.dummyfunction("""COMPUTED_VALUE"""),45615.6666666667)</f>
        <v>45615.6666666667</v>
      </c>
      <c r="B978" s="5" t="n">
        <f aca="false">IFERROR(__xludf.dummyfunction("""COMPUTED_VALUE"""),226.98)</f>
        <v>226.98</v>
      </c>
      <c r="C978" s="5" t="n">
        <f aca="false">IFERROR(__xludf.dummyfunction("""COMPUTED_VALUE"""),230.16)</f>
        <v>230.16</v>
      </c>
      <c r="D978" s="5" t="n">
        <f aca="false">IFERROR(__xludf.dummyfunction("""COMPUTED_VALUE"""),226.66)</f>
        <v>226.66</v>
      </c>
      <c r="E978" s="5" t="n">
        <f aca="false">IFERROR(__xludf.dummyfunction("""COMPUTED_VALUE"""),228.28)</f>
        <v>228.28</v>
      </c>
      <c r="F978" s="5" t="n">
        <f aca="false">IFERROR(__xludf.dummyfunction("""COMPUTED_VALUE"""),36211774)</f>
        <v>36211774</v>
      </c>
    </row>
    <row r="979" customFormat="false" ht="15.75" hidden="false" customHeight="false" outlineLevel="0" collapsed="false">
      <c r="A979" s="6" t="n">
        <f aca="false">IFERROR(__xludf.dummyfunction("""COMPUTED_VALUE"""),45616.6666666667)</f>
        <v>45616.6666666667</v>
      </c>
      <c r="B979" s="5" t="n">
        <f aca="false">IFERROR(__xludf.dummyfunction("""COMPUTED_VALUE"""),228.06)</f>
        <v>228.06</v>
      </c>
      <c r="C979" s="5" t="n">
        <f aca="false">IFERROR(__xludf.dummyfunction("""COMPUTED_VALUE"""),229.93)</f>
        <v>229.93</v>
      </c>
      <c r="D979" s="5" t="n">
        <f aca="false">IFERROR(__xludf.dummyfunction("""COMPUTED_VALUE"""),225.89)</f>
        <v>225.89</v>
      </c>
      <c r="E979" s="5" t="n">
        <f aca="false">IFERROR(__xludf.dummyfunction("""COMPUTED_VALUE"""),229)</f>
        <v>229</v>
      </c>
      <c r="F979" s="5" t="n">
        <f aca="false">IFERROR(__xludf.dummyfunction("""COMPUTED_VALUE"""),35169566)</f>
        <v>35169566</v>
      </c>
    </row>
    <row r="980" customFormat="false" ht="15.75" hidden="false" customHeight="false" outlineLevel="0" collapsed="false">
      <c r="A980" s="6" t="n">
        <f aca="false">IFERROR(__xludf.dummyfunction("""COMPUTED_VALUE"""),45617.6666666667)</f>
        <v>45617.6666666667</v>
      </c>
      <c r="B980" s="5" t="n">
        <f aca="false">IFERROR(__xludf.dummyfunction("""COMPUTED_VALUE"""),228.88)</f>
        <v>228.88</v>
      </c>
      <c r="C980" s="5" t="n">
        <f aca="false">IFERROR(__xludf.dummyfunction("""COMPUTED_VALUE"""),230.16)</f>
        <v>230.16</v>
      </c>
      <c r="D980" s="5" t="n">
        <f aca="false">IFERROR(__xludf.dummyfunction("""COMPUTED_VALUE"""),225.71)</f>
        <v>225.71</v>
      </c>
      <c r="E980" s="5" t="n">
        <f aca="false">IFERROR(__xludf.dummyfunction("""COMPUTED_VALUE"""),228.52)</f>
        <v>228.52</v>
      </c>
      <c r="F980" s="5" t="n">
        <f aca="false">IFERROR(__xludf.dummyfunction("""COMPUTED_VALUE"""),42108327)</f>
        <v>42108327</v>
      </c>
    </row>
    <row r="981" customFormat="false" ht="15.75" hidden="false" customHeight="false" outlineLevel="0" collapsed="false">
      <c r="A981" s="6" t="n">
        <f aca="false">IFERROR(__xludf.dummyfunction("""COMPUTED_VALUE"""),45618.6666666667)</f>
        <v>45618.6666666667</v>
      </c>
      <c r="B981" s="5" t="n">
        <f aca="false">IFERROR(__xludf.dummyfunction("""COMPUTED_VALUE"""),228.06)</f>
        <v>228.06</v>
      </c>
      <c r="C981" s="5" t="n">
        <f aca="false">IFERROR(__xludf.dummyfunction("""COMPUTED_VALUE"""),230.72)</f>
        <v>230.72</v>
      </c>
      <c r="D981" s="5" t="n">
        <f aca="false">IFERROR(__xludf.dummyfunction("""COMPUTED_VALUE"""),228.06)</f>
        <v>228.06</v>
      </c>
      <c r="E981" s="5" t="n">
        <f aca="false">IFERROR(__xludf.dummyfunction("""COMPUTED_VALUE"""),229.87)</f>
        <v>229.87</v>
      </c>
      <c r="F981" s="5" t="n">
        <f aca="false">IFERROR(__xludf.dummyfunction("""COMPUTED_VALUE"""),38168252)</f>
        <v>38168252</v>
      </c>
    </row>
    <row r="982" customFormat="false" ht="15.75" hidden="false" customHeight="false" outlineLevel="0" collapsed="false">
      <c r="A982" s="6" t="n">
        <f aca="false">IFERROR(__xludf.dummyfunction("""COMPUTED_VALUE"""),45621.6666666667)</f>
        <v>45621.6666666667</v>
      </c>
      <c r="B982" s="5" t="n">
        <f aca="false">IFERROR(__xludf.dummyfunction("""COMPUTED_VALUE"""),231.46)</f>
        <v>231.46</v>
      </c>
      <c r="C982" s="5" t="n">
        <f aca="false">IFERROR(__xludf.dummyfunction("""COMPUTED_VALUE"""),233.25)</f>
        <v>233.25</v>
      </c>
      <c r="D982" s="5" t="n">
        <f aca="false">IFERROR(__xludf.dummyfunction("""COMPUTED_VALUE"""),229.74)</f>
        <v>229.74</v>
      </c>
      <c r="E982" s="5" t="n">
        <f aca="false">IFERROR(__xludf.dummyfunction("""COMPUTED_VALUE"""),232.87)</f>
        <v>232.87</v>
      </c>
      <c r="F982" s="5" t="n">
        <f aca="false">IFERROR(__xludf.dummyfunction("""COMPUTED_VALUE"""),90152832)</f>
        <v>90152832</v>
      </c>
    </row>
    <row r="983" customFormat="false" ht="15.75" hidden="false" customHeight="false" outlineLevel="0" collapsed="false">
      <c r="A983" s="6" t="n">
        <f aca="false">IFERROR(__xludf.dummyfunction("""COMPUTED_VALUE"""),45622.6666666667)</f>
        <v>45622.6666666667</v>
      </c>
      <c r="B983" s="5" t="n">
        <f aca="false">IFERROR(__xludf.dummyfunction("""COMPUTED_VALUE"""),233.33)</f>
        <v>233.33</v>
      </c>
      <c r="C983" s="5" t="n">
        <f aca="false">IFERROR(__xludf.dummyfunction("""COMPUTED_VALUE"""),235.57)</f>
        <v>235.57</v>
      </c>
      <c r="D983" s="5" t="n">
        <f aca="false">IFERROR(__xludf.dummyfunction("""COMPUTED_VALUE"""),233.33)</f>
        <v>233.33</v>
      </c>
      <c r="E983" s="5" t="n">
        <f aca="false">IFERROR(__xludf.dummyfunction("""COMPUTED_VALUE"""),235.06)</f>
        <v>235.06</v>
      </c>
      <c r="F983" s="5" t="n">
        <f aca="false">IFERROR(__xludf.dummyfunction("""COMPUTED_VALUE"""),45986189)</f>
        <v>45986189</v>
      </c>
    </row>
    <row r="984" customFormat="false" ht="15.75" hidden="false" customHeight="false" outlineLevel="0" collapsed="false">
      <c r="A984" s="6" t="n">
        <f aca="false">IFERROR(__xludf.dummyfunction("""COMPUTED_VALUE"""),45623.6666666667)</f>
        <v>45623.6666666667</v>
      </c>
      <c r="B984" s="5" t="n">
        <f aca="false">IFERROR(__xludf.dummyfunction("""COMPUTED_VALUE"""),234.47)</f>
        <v>234.47</v>
      </c>
      <c r="C984" s="5" t="n">
        <f aca="false">IFERROR(__xludf.dummyfunction("""COMPUTED_VALUE"""),235.69)</f>
        <v>235.69</v>
      </c>
      <c r="D984" s="5" t="n">
        <f aca="false">IFERROR(__xludf.dummyfunction("""COMPUTED_VALUE"""),233.81)</f>
        <v>233.81</v>
      </c>
      <c r="E984" s="5" t="n">
        <f aca="false">IFERROR(__xludf.dummyfunction("""COMPUTED_VALUE"""),234.93)</f>
        <v>234.93</v>
      </c>
      <c r="F984" s="5" t="n">
        <f aca="false">IFERROR(__xludf.dummyfunction("""COMPUTED_VALUE"""),33498439)</f>
        <v>33498439</v>
      </c>
    </row>
    <row r="985" customFormat="false" ht="15.75" hidden="false" customHeight="false" outlineLevel="0" collapsed="false">
      <c r="A985" s="6" t="n">
        <f aca="false">IFERROR(__xludf.dummyfunction("""COMPUTED_VALUE"""),45625.5451388889)</f>
        <v>45625.5451388889</v>
      </c>
      <c r="B985" s="5" t="n">
        <f aca="false">IFERROR(__xludf.dummyfunction("""COMPUTED_VALUE"""),234.81)</f>
        <v>234.81</v>
      </c>
      <c r="C985" s="5" t="n">
        <f aca="false">IFERROR(__xludf.dummyfunction("""COMPUTED_VALUE"""),237.81)</f>
        <v>237.81</v>
      </c>
      <c r="D985" s="5" t="n">
        <f aca="false">IFERROR(__xludf.dummyfunction("""COMPUTED_VALUE"""),233.97)</f>
        <v>233.97</v>
      </c>
      <c r="E985" s="5" t="n">
        <f aca="false">IFERROR(__xludf.dummyfunction("""COMPUTED_VALUE"""),237.33)</f>
        <v>237.33</v>
      </c>
      <c r="F985" s="5" t="n">
        <f aca="false">IFERROR(__xludf.dummyfunction("""COMPUTED_VALUE"""),28481377)</f>
        <v>28481377</v>
      </c>
    </row>
    <row r="986" customFormat="false" ht="15.75" hidden="false" customHeight="false" outlineLevel="0" collapsed="false">
      <c r="A986" s="6" t="n">
        <f aca="false">IFERROR(__xludf.dummyfunction("""COMPUTED_VALUE"""),45628.6666666667)</f>
        <v>45628.6666666667</v>
      </c>
      <c r="B986" s="5" t="n">
        <f aca="false">IFERROR(__xludf.dummyfunction("""COMPUTED_VALUE"""),237.27)</f>
        <v>237.27</v>
      </c>
      <c r="C986" s="5" t="n">
        <f aca="false">IFERROR(__xludf.dummyfunction("""COMPUTED_VALUE"""),240.79)</f>
        <v>240.79</v>
      </c>
      <c r="D986" s="5" t="n">
        <f aca="false">IFERROR(__xludf.dummyfunction("""COMPUTED_VALUE"""),237.16)</f>
        <v>237.16</v>
      </c>
      <c r="E986" s="5" t="n">
        <f aca="false">IFERROR(__xludf.dummyfunction("""COMPUTED_VALUE"""),239.59)</f>
        <v>239.59</v>
      </c>
      <c r="F986" s="5" t="n">
        <f aca="false">IFERROR(__xludf.dummyfunction("""COMPUTED_VALUE"""),48137103)</f>
        <v>48137103</v>
      </c>
    </row>
    <row r="987" customFormat="false" ht="15.75" hidden="false" customHeight="false" outlineLevel="0" collapsed="false">
      <c r="A987" s="6" t="n">
        <f aca="false">IFERROR(__xludf.dummyfunction("""COMPUTED_VALUE"""),45629.6666666667)</f>
        <v>45629.6666666667</v>
      </c>
      <c r="B987" s="5" t="n">
        <f aca="false">IFERROR(__xludf.dummyfunction("""COMPUTED_VALUE"""),239.81)</f>
        <v>239.81</v>
      </c>
      <c r="C987" s="5" t="n">
        <f aca="false">IFERROR(__xludf.dummyfunction("""COMPUTED_VALUE"""),242.76)</f>
        <v>242.76</v>
      </c>
      <c r="D987" s="5" t="n">
        <f aca="false">IFERROR(__xludf.dummyfunction("""COMPUTED_VALUE"""),238.9)</f>
        <v>238.9</v>
      </c>
      <c r="E987" s="5" t="n">
        <f aca="false">IFERROR(__xludf.dummyfunction("""COMPUTED_VALUE"""),242.65)</f>
        <v>242.65</v>
      </c>
      <c r="F987" s="5" t="n">
        <f aca="false">IFERROR(__xludf.dummyfunction("""COMPUTED_VALUE"""),38861017)</f>
        <v>38861017</v>
      </c>
    </row>
    <row r="988" customFormat="false" ht="15.75" hidden="false" customHeight="false" outlineLevel="0" collapsed="false">
      <c r="A988" s="6" t="n">
        <f aca="false">IFERROR(__xludf.dummyfunction("""COMPUTED_VALUE"""),45630.6666666667)</f>
        <v>45630.6666666667</v>
      </c>
      <c r="B988" s="5" t="n">
        <f aca="false">IFERROR(__xludf.dummyfunction("""COMPUTED_VALUE"""),242.87)</f>
        <v>242.87</v>
      </c>
      <c r="C988" s="5" t="n">
        <f aca="false">IFERROR(__xludf.dummyfunction("""COMPUTED_VALUE"""),244.11)</f>
        <v>244.11</v>
      </c>
      <c r="D988" s="5" t="n">
        <f aca="false">IFERROR(__xludf.dummyfunction("""COMPUTED_VALUE"""),241.25)</f>
        <v>241.25</v>
      </c>
      <c r="E988" s="5" t="n">
        <f aca="false">IFERROR(__xludf.dummyfunction("""COMPUTED_VALUE"""),243.01)</f>
        <v>243.01</v>
      </c>
      <c r="F988" s="5" t="n">
        <f aca="false">IFERROR(__xludf.dummyfunction("""COMPUTED_VALUE"""),44383935)</f>
        <v>44383935</v>
      </c>
    </row>
    <row r="989" customFormat="false" ht="15.75" hidden="false" customHeight="false" outlineLevel="0" collapsed="false">
      <c r="A989" s="6" t="n">
        <f aca="false">IFERROR(__xludf.dummyfunction("""COMPUTED_VALUE"""),45631.6666666667)</f>
        <v>45631.6666666667</v>
      </c>
      <c r="B989" s="5" t="n">
        <f aca="false">IFERROR(__xludf.dummyfunction("""COMPUTED_VALUE"""),243.99)</f>
        <v>243.99</v>
      </c>
      <c r="C989" s="5" t="n">
        <f aca="false">IFERROR(__xludf.dummyfunction("""COMPUTED_VALUE"""),244.54)</f>
        <v>244.54</v>
      </c>
      <c r="D989" s="5" t="n">
        <f aca="false">IFERROR(__xludf.dummyfunction("""COMPUTED_VALUE"""),242.13)</f>
        <v>242.13</v>
      </c>
      <c r="E989" s="5" t="n">
        <f aca="false">IFERROR(__xludf.dummyfunction("""COMPUTED_VALUE"""),243.04)</f>
        <v>243.04</v>
      </c>
      <c r="F989" s="5" t="n">
        <f aca="false">IFERROR(__xludf.dummyfunction("""COMPUTED_VALUE"""),40033878)</f>
        <v>40033878</v>
      </c>
    </row>
    <row r="990" customFormat="false" ht="15.75" hidden="false" customHeight="false" outlineLevel="0" collapsed="false">
      <c r="A990" s="6" t="n">
        <f aca="false">IFERROR(__xludf.dummyfunction("""COMPUTED_VALUE"""),45632.6666666667)</f>
        <v>45632.6666666667</v>
      </c>
      <c r="B990" s="5" t="n">
        <f aca="false">IFERROR(__xludf.dummyfunction("""COMPUTED_VALUE"""),242.91)</f>
        <v>242.91</v>
      </c>
      <c r="C990" s="5" t="n">
        <f aca="false">IFERROR(__xludf.dummyfunction("""COMPUTED_VALUE"""),244.63)</f>
        <v>244.63</v>
      </c>
      <c r="D990" s="5" t="n">
        <f aca="false">IFERROR(__xludf.dummyfunction("""COMPUTED_VALUE"""),242.08)</f>
        <v>242.08</v>
      </c>
      <c r="E990" s="5" t="n">
        <f aca="false">IFERROR(__xludf.dummyfunction("""COMPUTED_VALUE"""),242.84)</f>
        <v>242.84</v>
      </c>
      <c r="F990" s="5" t="n">
        <f aca="false">IFERROR(__xludf.dummyfunction("""COMPUTED_VALUE"""),36870619)</f>
        <v>36870619</v>
      </c>
    </row>
    <row r="991" customFormat="false" ht="15.75" hidden="false" customHeight="false" outlineLevel="0" collapsed="false">
      <c r="A991" s="6" t="n">
        <f aca="false">IFERROR(__xludf.dummyfunction("""COMPUTED_VALUE"""),45635.6666666667)</f>
        <v>45635.6666666667</v>
      </c>
      <c r="B991" s="5" t="n">
        <f aca="false">IFERROR(__xludf.dummyfunction("""COMPUTED_VALUE"""),241.83)</f>
        <v>241.83</v>
      </c>
      <c r="C991" s="5" t="n">
        <f aca="false">IFERROR(__xludf.dummyfunction("""COMPUTED_VALUE"""),247.24)</f>
        <v>247.24</v>
      </c>
      <c r="D991" s="5" t="n">
        <f aca="false">IFERROR(__xludf.dummyfunction("""COMPUTED_VALUE"""),241.75)</f>
        <v>241.75</v>
      </c>
      <c r="E991" s="5" t="n">
        <f aca="false">IFERROR(__xludf.dummyfunction("""COMPUTED_VALUE"""),246.75)</f>
        <v>246.75</v>
      </c>
      <c r="F991" s="5" t="n">
        <f aca="false">IFERROR(__xludf.dummyfunction("""COMPUTED_VALUE"""),44649232)</f>
        <v>44649232</v>
      </c>
    </row>
    <row r="992" customFormat="false" ht="15.75" hidden="false" customHeight="false" outlineLevel="0" collapsed="false">
      <c r="A992" s="6" t="n">
        <f aca="false">IFERROR(__xludf.dummyfunction("""COMPUTED_VALUE"""),45636.6666666667)</f>
        <v>45636.6666666667</v>
      </c>
      <c r="B992" s="5" t="n">
        <f aca="false">IFERROR(__xludf.dummyfunction("""COMPUTED_VALUE"""),246.89)</f>
        <v>246.89</v>
      </c>
      <c r="C992" s="5" t="n">
        <f aca="false">IFERROR(__xludf.dummyfunction("""COMPUTED_VALUE"""),248.21)</f>
        <v>248.21</v>
      </c>
      <c r="D992" s="5" t="n">
        <f aca="false">IFERROR(__xludf.dummyfunction("""COMPUTED_VALUE"""),245.34)</f>
        <v>245.34</v>
      </c>
      <c r="E992" s="5" t="n">
        <f aca="false">IFERROR(__xludf.dummyfunction("""COMPUTED_VALUE"""),247.77)</f>
        <v>247.77</v>
      </c>
      <c r="F992" s="5" t="n">
        <f aca="false">IFERROR(__xludf.dummyfunction("""COMPUTED_VALUE"""),36914806)</f>
        <v>36914806</v>
      </c>
    </row>
    <row r="993" customFormat="false" ht="15.75" hidden="false" customHeight="false" outlineLevel="0" collapsed="false">
      <c r="A993" s="6" t="n">
        <f aca="false">IFERROR(__xludf.dummyfunction("""COMPUTED_VALUE"""),45637.6666666667)</f>
        <v>45637.6666666667</v>
      </c>
      <c r="B993" s="5" t="n">
        <f aca="false">IFERROR(__xludf.dummyfunction("""COMPUTED_VALUE"""),247.96)</f>
        <v>247.96</v>
      </c>
      <c r="C993" s="5" t="n">
        <f aca="false">IFERROR(__xludf.dummyfunction("""COMPUTED_VALUE"""),250.8)</f>
        <v>250.8</v>
      </c>
      <c r="D993" s="5" t="n">
        <f aca="false">IFERROR(__xludf.dummyfunction("""COMPUTED_VALUE"""),246.26)</f>
        <v>246.26</v>
      </c>
      <c r="E993" s="5" t="n">
        <f aca="false">IFERROR(__xludf.dummyfunction("""COMPUTED_VALUE"""),246.49)</f>
        <v>246.49</v>
      </c>
      <c r="F993" s="5" t="n">
        <f aca="false">IFERROR(__xludf.dummyfunction("""COMPUTED_VALUE"""),45205814)</f>
        <v>45205814</v>
      </c>
    </row>
    <row r="994" customFormat="false" ht="15.75" hidden="false" customHeight="false" outlineLevel="0" collapsed="false">
      <c r="A994" s="6" t="n">
        <f aca="false">IFERROR(__xludf.dummyfunction("""COMPUTED_VALUE"""),45638.6666666667)</f>
        <v>45638.6666666667</v>
      </c>
      <c r="B994" s="5" t="n">
        <f aca="false">IFERROR(__xludf.dummyfunction("""COMPUTED_VALUE"""),246.89)</f>
        <v>246.89</v>
      </c>
      <c r="C994" s="5" t="n">
        <f aca="false">IFERROR(__xludf.dummyfunction("""COMPUTED_VALUE"""),248.74)</f>
        <v>248.74</v>
      </c>
      <c r="D994" s="5" t="n">
        <f aca="false">IFERROR(__xludf.dummyfunction("""COMPUTED_VALUE"""),245.68)</f>
        <v>245.68</v>
      </c>
      <c r="E994" s="5" t="n">
        <f aca="false">IFERROR(__xludf.dummyfunction("""COMPUTED_VALUE"""),247.96)</f>
        <v>247.96</v>
      </c>
      <c r="F994" s="5" t="n">
        <f aca="false">IFERROR(__xludf.dummyfunction("""COMPUTED_VALUE"""),32777532)</f>
        <v>32777532</v>
      </c>
    </row>
    <row r="995" customFormat="false" ht="15.75" hidden="false" customHeight="false" outlineLevel="0" collapsed="false">
      <c r="A995" s="6" t="n">
        <f aca="false">IFERROR(__xludf.dummyfunction("""COMPUTED_VALUE"""),45639.6666666667)</f>
        <v>45639.6666666667</v>
      </c>
      <c r="B995" s="5" t="n">
        <f aca="false">IFERROR(__xludf.dummyfunction("""COMPUTED_VALUE"""),247.82)</f>
        <v>247.82</v>
      </c>
      <c r="C995" s="5" t="n">
        <f aca="false">IFERROR(__xludf.dummyfunction("""COMPUTED_VALUE"""),249.29)</f>
        <v>249.29</v>
      </c>
      <c r="D995" s="5" t="n">
        <f aca="false">IFERROR(__xludf.dummyfunction("""COMPUTED_VALUE"""),246.24)</f>
        <v>246.24</v>
      </c>
      <c r="E995" s="5" t="n">
        <f aca="false">IFERROR(__xludf.dummyfunction("""COMPUTED_VALUE"""),248.13)</f>
        <v>248.13</v>
      </c>
      <c r="F995" s="5" t="n">
        <f aca="false">IFERROR(__xludf.dummyfunction("""COMPUTED_VALUE"""),33155290)</f>
        <v>33155290</v>
      </c>
    </row>
    <row r="996" customFormat="false" ht="15.75" hidden="false" customHeight="false" outlineLevel="0" collapsed="false">
      <c r="A996" s="6" t="n">
        <f aca="false">IFERROR(__xludf.dummyfunction("""COMPUTED_VALUE"""),45642.6666666667)</f>
        <v>45642.6666666667</v>
      </c>
      <c r="B996" s="5" t="n">
        <f aca="false">IFERROR(__xludf.dummyfunction("""COMPUTED_VALUE"""),247.99)</f>
        <v>247.99</v>
      </c>
      <c r="C996" s="5" t="n">
        <f aca="false">IFERROR(__xludf.dummyfunction("""COMPUTED_VALUE"""),251.38)</f>
        <v>251.38</v>
      </c>
      <c r="D996" s="5" t="n">
        <f aca="false">IFERROR(__xludf.dummyfunction("""COMPUTED_VALUE"""),247.65)</f>
        <v>247.65</v>
      </c>
      <c r="E996" s="5" t="n">
        <f aca="false">IFERROR(__xludf.dummyfunction("""COMPUTED_VALUE"""),251.04)</f>
        <v>251.04</v>
      </c>
      <c r="F996" s="5" t="n">
        <f aca="false">IFERROR(__xludf.dummyfunction("""COMPUTED_VALUE"""),51694753)</f>
        <v>51694753</v>
      </c>
    </row>
    <row r="997" customFormat="false" ht="15.75" hidden="false" customHeight="false" outlineLevel="0" collapsed="false">
      <c r="A997" s="6" t="n">
        <f aca="false">IFERROR(__xludf.dummyfunction("""COMPUTED_VALUE"""),45643.6666666667)</f>
        <v>45643.6666666667</v>
      </c>
      <c r="B997" s="5" t="n">
        <f aca="false">IFERROR(__xludf.dummyfunction("""COMPUTED_VALUE"""),250.08)</f>
        <v>250.08</v>
      </c>
      <c r="C997" s="5" t="n">
        <f aca="false">IFERROR(__xludf.dummyfunction("""COMPUTED_VALUE"""),253.83)</f>
        <v>253.83</v>
      </c>
      <c r="D997" s="5" t="n">
        <f aca="false">IFERROR(__xludf.dummyfunction("""COMPUTED_VALUE"""),249.78)</f>
        <v>249.78</v>
      </c>
      <c r="E997" s="5" t="n">
        <f aca="false">IFERROR(__xludf.dummyfunction("""COMPUTED_VALUE"""),253.48)</f>
        <v>253.48</v>
      </c>
      <c r="F997" s="5" t="n">
        <f aca="false">IFERROR(__xludf.dummyfunction("""COMPUTED_VALUE"""),51356360)</f>
        <v>51356360</v>
      </c>
    </row>
    <row r="998" customFormat="false" ht="15.75" hidden="false" customHeight="false" outlineLevel="0" collapsed="false">
      <c r="A998" s="6" t="n">
        <f aca="false">IFERROR(__xludf.dummyfunction("""COMPUTED_VALUE"""),45644.6666666667)</f>
        <v>45644.6666666667</v>
      </c>
      <c r="B998" s="5" t="n">
        <f aca="false">IFERROR(__xludf.dummyfunction("""COMPUTED_VALUE"""),252.16)</f>
        <v>252.16</v>
      </c>
      <c r="C998" s="5" t="n">
        <f aca="false">IFERROR(__xludf.dummyfunction("""COMPUTED_VALUE"""),254.28)</f>
        <v>254.28</v>
      </c>
      <c r="D998" s="5" t="n">
        <f aca="false">IFERROR(__xludf.dummyfunction("""COMPUTED_VALUE"""),247.74)</f>
        <v>247.74</v>
      </c>
      <c r="E998" s="5" t="n">
        <f aca="false">IFERROR(__xludf.dummyfunction("""COMPUTED_VALUE"""),248.05)</f>
        <v>248.05</v>
      </c>
      <c r="F998" s="5" t="n">
        <f aca="false">IFERROR(__xludf.dummyfunction("""COMPUTED_VALUE"""),56774101)</f>
        <v>56774101</v>
      </c>
    </row>
    <row r="999" customFormat="false" ht="15.75" hidden="false" customHeight="false" outlineLevel="0" collapsed="false">
      <c r="A999" s="6" t="n">
        <f aca="false">IFERROR(__xludf.dummyfunction("""COMPUTED_VALUE"""),45645.6666666667)</f>
        <v>45645.6666666667</v>
      </c>
      <c r="B999" s="5" t="n">
        <f aca="false">IFERROR(__xludf.dummyfunction("""COMPUTED_VALUE"""),247.5)</f>
        <v>247.5</v>
      </c>
      <c r="C999" s="5" t="n">
        <f aca="false">IFERROR(__xludf.dummyfunction("""COMPUTED_VALUE"""),252)</f>
        <v>252</v>
      </c>
      <c r="D999" s="5" t="n">
        <f aca="false">IFERROR(__xludf.dummyfunction("""COMPUTED_VALUE"""),247.09)</f>
        <v>247.09</v>
      </c>
      <c r="E999" s="5" t="n">
        <f aca="false">IFERROR(__xludf.dummyfunction("""COMPUTED_VALUE"""),249.79)</f>
        <v>249.79</v>
      </c>
      <c r="F999" s="5" t="n">
        <f aca="false">IFERROR(__xludf.dummyfunction("""COMPUTED_VALUE"""),60882264)</f>
        <v>60882264</v>
      </c>
    </row>
    <row r="1000" customFormat="false" ht="15.75" hidden="false" customHeight="false" outlineLevel="0" collapsed="false">
      <c r="A1000" s="6" t="n">
        <f aca="false">IFERROR(__xludf.dummyfunction("""COMPUTED_VALUE"""),45646.6666666667)</f>
        <v>45646.6666666667</v>
      </c>
      <c r="B1000" s="5" t="n">
        <f aca="false">IFERROR(__xludf.dummyfunction("""COMPUTED_VALUE"""),248.04)</f>
        <v>248.04</v>
      </c>
      <c r="C1000" s="5" t="n">
        <f aca="false">IFERROR(__xludf.dummyfunction("""COMPUTED_VALUE"""),255)</f>
        <v>255</v>
      </c>
      <c r="D1000" s="5" t="n">
        <f aca="false">IFERROR(__xludf.dummyfunction("""COMPUTED_VALUE"""),245.69)</f>
        <v>245.69</v>
      </c>
      <c r="E1000" s="5" t="n">
        <f aca="false">IFERROR(__xludf.dummyfunction("""COMPUTED_VALUE"""),254.49)</f>
        <v>254.49</v>
      </c>
      <c r="F1000" s="5" t="n">
        <f aca="false">IFERROR(__xludf.dummyfunction("""COMPUTED_VALUE"""),147495267)</f>
        <v>147495267</v>
      </c>
    </row>
    <row r="1001" customFormat="false" ht="15.75" hidden="false" customHeight="false" outlineLevel="0" collapsed="false">
      <c r="A1001" s="6" t="n">
        <f aca="false">IFERROR(__xludf.dummyfunction("""COMPUTED_VALUE"""),45649.6666666667)</f>
        <v>45649.6666666667</v>
      </c>
      <c r="B1001" s="5" t="n">
        <f aca="false">IFERROR(__xludf.dummyfunction("""COMPUTED_VALUE"""),254.77)</f>
        <v>254.77</v>
      </c>
      <c r="C1001" s="5" t="n">
        <f aca="false">IFERROR(__xludf.dummyfunction("""COMPUTED_VALUE"""),255.65)</f>
        <v>255.65</v>
      </c>
      <c r="D1001" s="5" t="n">
        <f aca="false">IFERROR(__xludf.dummyfunction("""COMPUTED_VALUE"""),253.45)</f>
        <v>253.45</v>
      </c>
      <c r="E1001" s="5" t="n">
        <f aca="false">IFERROR(__xludf.dummyfunction("""COMPUTED_VALUE"""),255.27)</f>
        <v>255.27</v>
      </c>
      <c r="F1001" s="5" t="n">
        <f aca="false">IFERROR(__xludf.dummyfunction("""COMPUTED_VALUE"""),40858774)</f>
        <v>40858774</v>
      </c>
    </row>
    <row r="1002" customFormat="false" ht="15.75" hidden="false" customHeight="false" outlineLevel="0" collapsed="false">
      <c r="A1002" s="6" t="n">
        <f aca="false">IFERROR(__xludf.dummyfunction("""COMPUTED_VALUE"""),45650.5451388889)</f>
        <v>45650.5451388889</v>
      </c>
      <c r="B1002" s="5" t="n">
        <f aca="false">IFERROR(__xludf.dummyfunction("""COMPUTED_VALUE"""),255.49)</f>
        <v>255.49</v>
      </c>
      <c r="C1002" s="5" t="n">
        <f aca="false">IFERROR(__xludf.dummyfunction("""COMPUTED_VALUE"""),258.21)</f>
        <v>258.21</v>
      </c>
      <c r="D1002" s="5" t="n">
        <f aca="false">IFERROR(__xludf.dummyfunction("""COMPUTED_VALUE"""),255.29)</f>
        <v>255.29</v>
      </c>
      <c r="E1002" s="5" t="n">
        <f aca="false">IFERROR(__xludf.dummyfunction("""COMPUTED_VALUE"""),258.2)</f>
        <v>258.2</v>
      </c>
      <c r="F1002" s="5" t="n">
        <f aca="false">IFERROR(__xludf.dummyfunction("""COMPUTED_VALUE"""),23234705)</f>
        <v>23234705</v>
      </c>
    </row>
    <row r="1003" customFormat="false" ht="15.75" hidden="false" customHeight="false" outlineLevel="0" collapsed="false">
      <c r="A1003" s="6" t="n">
        <f aca="false">IFERROR(__xludf.dummyfunction("""COMPUTED_VALUE"""),45652.6666666667)</f>
        <v>45652.6666666667</v>
      </c>
      <c r="B1003" s="5" t="n">
        <f aca="false">IFERROR(__xludf.dummyfunction("""COMPUTED_VALUE"""),258.19)</f>
        <v>258.19</v>
      </c>
      <c r="C1003" s="5" t="n">
        <f aca="false">IFERROR(__xludf.dummyfunction("""COMPUTED_VALUE"""),260.1)</f>
        <v>260.1</v>
      </c>
      <c r="D1003" s="5" t="n">
        <f aca="false">IFERROR(__xludf.dummyfunction("""COMPUTED_VALUE"""),257.63)</f>
        <v>257.63</v>
      </c>
      <c r="E1003" s="5" t="n">
        <f aca="false">IFERROR(__xludf.dummyfunction("""COMPUTED_VALUE"""),259.02)</f>
        <v>259.02</v>
      </c>
      <c r="F1003" s="5" t="n">
        <f aca="false">IFERROR(__xludf.dummyfunction("""COMPUTED_VALUE"""),27262983)</f>
        <v>27262983</v>
      </c>
    </row>
    <row r="1004" customFormat="false" ht="15.75" hidden="false" customHeight="false" outlineLevel="0" collapsed="false">
      <c r="A1004" s="6" t="n">
        <f aca="false">IFERROR(__xludf.dummyfunction("""COMPUTED_VALUE"""),45653.6666666667)</f>
        <v>45653.6666666667</v>
      </c>
      <c r="B1004" s="5" t="n">
        <f aca="false">IFERROR(__xludf.dummyfunction("""COMPUTED_VALUE"""),257.83)</f>
        <v>257.83</v>
      </c>
      <c r="C1004" s="5" t="n">
        <f aca="false">IFERROR(__xludf.dummyfunction("""COMPUTED_VALUE"""),258.7)</f>
        <v>258.7</v>
      </c>
      <c r="D1004" s="5" t="n">
        <f aca="false">IFERROR(__xludf.dummyfunction("""COMPUTED_VALUE"""),253.06)</f>
        <v>253.06</v>
      </c>
      <c r="E1004" s="5" t="n">
        <f aca="false">IFERROR(__xludf.dummyfunction("""COMPUTED_VALUE"""),255.59)</f>
        <v>255.59</v>
      </c>
      <c r="F1004" s="5" t="n">
        <f aca="false">IFERROR(__xludf.dummyfunction("""COMPUTED_VALUE"""),42355321)</f>
        <v>42355321</v>
      </c>
    </row>
    <row r="1005" customFormat="false" ht="15.75" hidden="false" customHeight="false" outlineLevel="0" collapsed="false">
      <c r="A1005" s="6" t="n">
        <f aca="false">IFERROR(__xludf.dummyfunction("""COMPUTED_VALUE"""),45656.6666666667)</f>
        <v>45656.6666666667</v>
      </c>
      <c r="B1005" s="5" t="n">
        <f aca="false">IFERROR(__xludf.dummyfunction("""COMPUTED_VALUE"""),252.23)</f>
        <v>252.23</v>
      </c>
      <c r="C1005" s="5" t="n">
        <f aca="false">IFERROR(__xludf.dummyfunction("""COMPUTED_VALUE"""),253.5)</f>
        <v>253.5</v>
      </c>
      <c r="D1005" s="5" t="n">
        <f aca="false">IFERROR(__xludf.dummyfunction("""COMPUTED_VALUE"""),250.75)</f>
        <v>250.75</v>
      </c>
      <c r="E1005" s="5" t="n">
        <f aca="false">IFERROR(__xludf.dummyfunction("""COMPUTED_VALUE"""),252.2)</f>
        <v>252.2</v>
      </c>
      <c r="F1005" s="5" t="n">
        <f aca="false">IFERROR(__xludf.dummyfunction("""COMPUTED_VALUE"""),35557542)</f>
        <v>35557542</v>
      </c>
    </row>
    <row r="1006" customFormat="false" ht="15.75" hidden="false" customHeight="false" outlineLevel="0" collapsed="false">
      <c r="A1006" s="6" t="n">
        <f aca="false">IFERROR(__xludf.dummyfunction("""COMPUTED_VALUE"""),45657.6666666667)</f>
        <v>45657.6666666667</v>
      </c>
      <c r="B1006" s="5" t="n">
        <f aca="false">IFERROR(__xludf.dummyfunction("""COMPUTED_VALUE"""),252.44)</f>
        <v>252.44</v>
      </c>
      <c r="C1006" s="5" t="n">
        <f aca="false">IFERROR(__xludf.dummyfunction("""COMPUTED_VALUE"""),253.28)</f>
        <v>253.28</v>
      </c>
      <c r="D1006" s="5" t="n">
        <f aca="false">IFERROR(__xludf.dummyfunction("""COMPUTED_VALUE"""),249.43)</f>
        <v>249.43</v>
      </c>
      <c r="E1006" s="5" t="n">
        <f aca="false">IFERROR(__xludf.dummyfunction("""COMPUTED_VALUE"""),250.42)</f>
        <v>250.42</v>
      </c>
      <c r="F1006" s="5" t="n">
        <f aca="false">IFERROR(__xludf.dummyfunction("""COMPUTED_VALUE"""),39480718)</f>
        <v>39480718</v>
      </c>
    </row>
    <row r="1007" customFormat="false" ht="15.75" hidden="false" customHeight="false" outlineLevel="0" collapsed="false">
      <c r="A1007" s="6" t="n">
        <f aca="false">IFERROR(__xludf.dummyfunction("""COMPUTED_VALUE"""),45659.6666666667)</f>
        <v>45659.6666666667</v>
      </c>
      <c r="B1007" s="5" t="n">
        <f aca="false">IFERROR(__xludf.dummyfunction("""COMPUTED_VALUE"""),248.93)</f>
        <v>248.93</v>
      </c>
      <c r="C1007" s="5" t="n">
        <f aca="false">IFERROR(__xludf.dummyfunction("""COMPUTED_VALUE"""),249.1)</f>
        <v>249.1</v>
      </c>
      <c r="D1007" s="5" t="n">
        <f aca="false">IFERROR(__xludf.dummyfunction("""COMPUTED_VALUE"""),241.82)</f>
        <v>241.82</v>
      </c>
      <c r="E1007" s="5" t="n">
        <f aca="false">IFERROR(__xludf.dummyfunction("""COMPUTED_VALUE"""),243.85)</f>
        <v>243.85</v>
      </c>
      <c r="F1007" s="5" t="n">
        <f aca="false">IFERROR(__xludf.dummyfunction("""COMPUTED_VALUE"""),55740731)</f>
        <v>55740731</v>
      </c>
    </row>
    <row r="1008" customFormat="false" ht="15.75" hidden="false" customHeight="false" outlineLevel="0" collapsed="false">
      <c r="A1008" s="6" t="n">
        <f aca="false">IFERROR(__xludf.dummyfunction("""COMPUTED_VALUE"""),45660.6666666667)</f>
        <v>45660.6666666667</v>
      </c>
      <c r="B1008" s="5" t="n">
        <f aca="false">IFERROR(__xludf.dummyfunction("""COMPUTED_VALUE"""),243.36)</f>
        <v>243.36</v>
      </c>
      <c r="C1008" s="5" t="n">
        <f aca="false">IFERROR(__xludf.dummyfunction("""COMPUTED_VALUE"""),244.18)</f>
        <v>244.18</v>
      </c>
      <c r="D1008" s="5" t="n">
        <f aca="false">IFERROR(__xludf.dummyfunction("""COMPUTED_VALUE"""),241.89)</f>
        <v>241.89</v>
      </c>
      <c r="E1008" s="5" t="n">
        <f aca="false">IFERROR(__xludf.dummyfunction("""COMPUTED_VALUE"""),243.36)</f>
        <v>243.36</v>
      </c>
      <c r="F1008" s="5" t="n">
        <f aca="false">IFERROR(__xludf.dummyfunction("""COMPUTED_VALUE"""),40244114)</f>
        <v>40244114</v>
      </c>
    </row>
    <row r="1009" customFormat="false" ht="15.75" hidden="false" customHeight="false" outlineLevel="0" collapsed="false">
      <c r="A1009" s="6" t="n">
        <f aca="false">IFERROR(__xludf.dummyfunction("""COMPUTED_VALUE"""),45663.6666666667)</f>
        <v>45663.6666666667</v>
      </c>
      <c r="B1009" s="5" t="n">
        <f aca="false">IFERROR(__xludf.dummyfunction("""COMPUTED_VALUE"""),244.31)</f>
        <v>244.31</v>
      </c>
      <c r="C1009" s="5" t="n">
        <f aca="false">IFERROR(__xludf.dummyfunction("""COMPUTED_VALUE"""),247.33)</f>
        <v>247.33</v>
      </c>
      <c r="D1009" s="5" t="n">
        <f aca="false">IFERROR(__xludf.dummyfunction("""COMPUTED_VALUE"""),243.2)</f>
        <v>243.2</v>
      </c>
      <c r="E1009" s="5" t="n">
        <f aca="false">IFERROR(__xludf.dummyfunction("""COMPUTED_VALUE"""),245)</f>
        <v>245</v>
      </c>
      <c r="F1009" s="5" t="n">
        <f aca="false">IFERROR(__xludf.dummyfunction("""COMPUTED_VALUE"""),45045571)</f>
        <v>45045571</v>
      </c>
    </row>
    <row r="1010" customFormat="false" ht="15.75" hidden="false" customHeight="false" outlineLevel="0" collapsed="false">
      <c r="A1010" s="6" t="n">
        <f aca="false">IFERROR(__xludf.dummyfunction("""COMPUTED_VALUE"""),45664.6666666667)</f>
        <v>45664.6666666667</v>
      </c>
      <c r="B1010" s="5" t="n">
        <f aca="false">IFERROR(__xludf.dummyfunction("""COMPUTED_VALUE"""),242.98)</f>
        <v>242.98</v>
      </c>
      <c r="C1010" s="5" t="n">
        <f aca="false">IFERROR(__xludf.dummyfunction("""COMPUTED_VALUE"""),245.55)</f>
        <v>245.55</v>
      </c>
      <c r="D1010" s="5" t="n">
        <f aca="false">IFERROR(__xludf.dummyfunction("""COMPUTED_VALUE"""),241.35)</f>
        <v>241.35</v>
      </c>
      <c r="E1010" s="5" t="n">
        <f aca="false">IFERROR(__xludf.dummyfunction("""COMPUTED_VALUE"""),242.21)</f>
        <v>242.21</v>
      </c>
      <c r="F1010" s="5" t="n">
        <f aca="false">IFERROR(__xludf.dummyfunction("""COMPUTED_VALUE"""),40855960)</f>
        <v>40855960</v>
      </c>
    </row>
    <row r="1011" customFormat="false" ht="15.75" hidden="false" customHeight="false" outlineLevel="0" collapsed="false">
      <c r="A1011" s="6" t="n">
        <f aca="false">IFERROR(__xludf.dummyfunction("""COMPUTED_VALUE"""),45665.6666666667)</f>
        <v>45665.6666666667</v>
      </c>
      <c r="B1011" s="5" t="n">
        <f aca="false">IFERROR(__xludf.dummyfunction("""COMPUTED_VALUE"""),241.92)</f>
        <v>241.92</v>
      </c>
      <c r="C1011" s="5" t="n">
        <f aca="false">IFERROR(__xludf.dummyfunction("""COMPUTED_VALUE"""),243.71)</f>
        <v>243.71</v>
      </c>
      <c r="D1011" s="5" t="n">
        <f aca="false">IFERROR(__xludf.dummyfunction("""COMPUTED_VALUE"""),240.05)</f>
        <v>240.05</v>
      </c>
      <c r="E1011" s="5" t="n">
        <f aca="false">IFERROR(__xludf.dummyfunction("""COMPUTED_VALUE"""),242.7)</f>
        <v>242.7</v>
      </c>
      <c r="F1011" s="5" t="n">
        <f aca="false">IFERROR(__xludf.dummyfunction("""COMPUTED_VALUE"""),37628940)</f>
        <v>37628940</v>
      </c>
    </row>
    <row r="1012" customFormat="false" ht="15.75" hidden="false" customHeight="false" outlineLevel="0" collapsed="false">
      <c r="A1012" s="6" t="n">
        <f aca="false">IFERROR(__xludf.dummyfunction("""COMPUTED_VALUE"""),45667.6666666667)</f>
        <v>45667.6666666667</v>
      </c>
      <c r="B1012" s="5" t="n">
        <f aca="false">IFERROR(__xludf.dummyfunction("""COMPUTED_VALUE"""),240.01)</f>
        <v>240.01</v>
      </c>
      <c r="C1012" s="5" t="n">
        <f aca="false">IFERROR(__xludf.dummyfunction("""COMPUTED_VALUE"""),240.16)</f>
        <v>240.16</v>
      </c>
      <c r="D1012" s="5" t="n">
        <f aca="false">IFERROR(__xludf.dummyfunction("""COMPUTED_VALUE"""),233)</f>
        <v>233</v>
      </c>
      <c r="E1012" s="5" t="n">
        <f aca="false">IFERROR(__xludf.dummyfunction("""COMPUTED_VALUE"""),236.85)</f>
        <v>236.85</v>
      </c>
      <c r="F1012" s="5" t="n">
        <f aca="false">IFERROR(__xludf.dummyfunction("""COMPUTED_VALUE"""),61710856)</f>
        <v>61710856</v>
      </c>
    </row>
    <row r="1013" customFormat="false" ht="15.75" hidden="false" customHeight="false" outlineLevel="0" collapsed="false">
      <c r="A1013" s="6" t="n">
        <f aca="false">IFERROR(__xludf.dummyfunction("""COMPUTED_VALUE"""),45670.6666666667)</f>
        <v>45670.6666666667</v>
      </c>
      <c r="B1013" s="5" t="n">
        <f aca="false">IFERROR(__xludf.dummyfunction("""COMPUTED_VALUE"""),233.53)</f>
        <v>233.53</v>
      </c>
      <c r="C1013" s="5" t="n">
        <f aca="false">IFERROR(__xludf.dummyfunction("""COMPUTED_VALUE"""),234.67)</f>
        <v>234.67</v>
      </c>
      <c r="D1013" s="5" t="n">
        <f aca="false">IFERROR(__xludf.dummyfunction("""COMPUTED_VALUE"""),229.72)</f>
        <v>229.72</v>
      </c>
      <c r="E1013" s="5" t="n">
        <f aca="false">IFERROR(__xludf.dummyfunction("""COMPUTED_VALUE"""),234.4)</f>
        <v>234.4</v>
      </c>
      <c r="F1013" s="5" t="n">
        <f aca="false">IFERROR(__xludf.dummyfunction("""COMPUTED_VALUE"""),49630725)</f>
        <v>49630725</v>
      </c>
    </row>
    <row r="1014" customFormat="false" ht="15.75" hidden="false" customHeight="false" outlineLevel="0" collapsed="false">
      <c r="A1014" s="6" t="n">
        <f aca="false">IFERROR(__xludf.dummyfunction("""COMPUTED_VALUE"""),45671.6666666667)</f>
        <v>45671.6666666667</v>
      </c>
      <c r="B1014" s="5" t="n">
        <f aca="false">IFERROR(__xludf.dummyfunction("""COMPUTED_VALUE"""),234.75)</f>
        <v>234.75</v>
      </c>
      <c r="C1014" s="5" t="n">
        <f aca="false">IFERROR(__xludf.dummyfunction("""COMPUTED_VALUE"""),236.12)</f>
        <v>236.12</v>
      </c>
      <c r="D1014" s="5" t="n">
        <f aca="false">IFERROR(__xludf.dummyfunction("""COMPUTED_VALUE"""),232.47)</f>
        <v>232.47</v>
      </c>
      <c r="E1014" s="5" t="n">
        <f aca="false">IFERROR(__xludf.dummyfunction("""COMPUTED_VALUE"""),233.28)</f>
        <v>233.28</v>
      </c>
      <c r="F1014" s="5" t="n">
        <f aca="false">IFERROR(__xludf.dummyfunction("""COMPUTED_VALUE"""),39435294)</f>
        <v>39435294</v>
      </c>
    </row>
    <row r="1015" customFormat="false" ht="15.75" hidden="false" customHeight="false" outlineLevel="0" collapsed="false">
      <c r="A1015" s="6" t="n">
        <f aca="false">IFERROR(__xludf.dummyfunction("""COMPUTED_VALUE"""),45672.6666666667)</f>
        <v>45672.6666666667</v>
      </c>
      <c r="B1015" s="5" t="n">
        <f aca="false">IFERROR(__xludf.dummyfunction("""COMPUTED_VALUE"""),234.64)</f>
        <v>234.64</v>
      </c>
      <c r="C1015" s="5" t="n">
        <f aca="false">IFERROR(__xludf.dummyfunction("""COMPUTED_VALUE"""),238.96)</f>
        <v>238.96</v>
      </c>
      <c r="D1015" s="5" t="n">
        <f aca="false">IFERROR(__xludf.dummyfunction("""COMPUTED_VALUE"""),234.43)</f>
        <v>234.43</v>
      </c>
      <c r="E1015" s="5" t="n">
        <f aca="false">IFERROR(__xludf.dummyfunction("""COMPUTED_VALUE"""),237.87)</f>
        <v>237.87</v>
      </c>
      <c r="F1015" s="5" t="n">
        <f aca="false">IFERROR(__xludf.dummyfunction("""COMPUTED_VALUE"""),39831969)</f>
        <v>39831969</v>
      </c>
    </row>
    <row r="1016" customFormat="false" ht="15.75" hidden="false" customHeight="false" outlineLevel="0" collapsed="false">
      <c r="A1016" s="6" t="n">
        <f aca="false">IFERROR(__xludf.dummyfunction("""COMPUTED_VALUE"""),45673.6666666667)</f>
        <v>45673.6666666667</v>
      </c>
      <c r="B1016" s="5" t="n">
        <f aca="false">IFERROR(__xludf.dummyfunction("""COMPUTED_VALUE"""),237.35)</f>
        <v>237.35</v>
      </c>
      <c r="C1016" s="5" t="n">
        <f aca="false">IFERROR(__xludf.dummyfunction("""COMPUTED_VALUE"""),238.01)</f>
        <v>238.01</v>
      </c>
      <c r="D1016" s="5" t="n">
        <f aca="false">IFERROR(__xludf.dummyfunction("""COMPUTED_VALUE"""),228.03)</f>
        <v>228.03</v>
      </c>
      <c r="E1016" s="5" t="n">
        <f aca="false">IFERROR(__xludf.dummyfunction("""COMPUTED_VALUE"""),228.26)</f>
        <v>228.26</v>
      </c>
      <c r="F1016" s="5" t="n">
        <f aca="false">IFERROR(__xludf.dummyfunction("""COMPUTED_VALUE"""),71759052)</f>
        <v>71759052</v>
      </c>
    </row>
    <row r="1017" customFormat="false" ht="15.75" hidden="false" customHeight="false" outlineLevel="0" collapsed="false">
      <c r="A1017" s="6" t="n">
        <f aca="false">IFERROR(__xludf.dummyfunction("""COMPUTED_VALUE"""),45674.6666666667)</f>
        <v>45674.6666666667</v>
      </c>
      <c r="B1017" s="5" t="n">
        <f aca="false">IFERROR(__xludf.dummyfunction("""COMPUTED_VALUE"""),232.12)</f>
        <v>232.12</v>
      </c>
      <c r="C1017" s="5" t="n">
        <f aca="false">IFERROR(__xludf.dummyfunction("""COMPUTED_VALUE"""),232.29)</f>
        <v>232.29</v>
      </c>
      <c r="D1017" s="5" t="n">
        <f aca="false">IFERROR(__xludf.dummyfunction("""COMPUTED_VALUE"""),228.48)</f>
        <v>228.48</v>
      </c>
      <c r="E1017" s="5" t="n">
        <f aca="false">IFERROR(__xludf.dummyfunction("""COMPUTED_VALUE"""),229.98)</f>
        <v>229.98</v>
      </c>
      <c r="F1017" s="5" t="n">
        <f aca="false">IFERROR(__xludf.dummyfunction("""COMPUTED_VALUE"""),68488301)</f>
        <v>68488301</v>
      </c>
    </row>
    <row r="1018" customFormat="false" ht="15.75" hidden="false" customHeight="false" outlineLevel="0" collapsed="false">
      <c r="A1018" s="6" t="n">
        <f aca="false">IFERROR(__xludf.dummyfunction("""COMPUTED_VALUE"""),45678.6666666667)</f>
        <v>45678.6666666667</v>
      </c>
      <c r="B1018" s="5" t="n">
        <f aca="false">IFERROR(__xludf.dummyfunction("""COMPUTED_VALUE"""),224)</f>
        <v>224</v>
      </c>
      <c r="C1018" s="5" t="n">
        <f aca="false">IFERROR(__xludf.dummyfunction("""COMPUTED_VALUE"""),224.42)</f>
        <v>224.42</v>
      </c>
      <c r="D1018" s="5" t="n">
        <f aca="false">IFERROR(__xludf.dummyfunction("""COMPUTED_VALUE"""),219.38)</f>
        <v>219.38</v>
      </c>
      <c r="E1018" s="5" t="n">
        <f aca="false">IFERROR(__xludf.dummyfunction("""COMPUTED_VALUE"""),222.64)</f>
        <v>222.64</v>
      </c>
      <c r="F1018" s="5" t="n">
        <f aca="false">IFERROR(__xludf.dummyfunction("""COMPUTED_VALUE"""),98070429)</f>
        <v>98070429</v>
      </c>
    </row>
    <row r="1019" customFormat="false" ht="15.75" hidden="false" customHeight="false" outlineLevel="0" collapsed="false">
      <c r="A1019" s="6" t="n">
        <f aca="false">IFERROR(__xludf.dummyfunction("""COMPUTED_VALUE"""),45679.6666666667)</f>
        <v>45679.6666666667</v>
      </c>
      <c r="B1019" s="5" t="n">
        <f aca="false">IFERROR(__xludf.dummyfunction("""COMPUTED_VALUE"""),219.79)</f>
        <v>219.79</v>
      </c>
      <c r="C1019" s="5" t="n">
        <f aca="false">IFERROR(__xludf.dummyfunction("""COMPUTED_VALUE"""),224.12)</f>
        <v>224.12</v>
      </c>
      <c r="D1019" s="5" t="n">
        <f aca="false">IFERROR(__xludf.dummyfunction("""COMPUTED_VALUE"""),219.79)</f>
        <v>219.79</v>
      </c>
      <c r="E1019" s="5" t="n">
        <f aca="false">IFERROR(__xludf.dummyfunction("""COMPUTED_VALUE"""),223.83)</f>
        <v>223.83</v>
      </c>
      <c r="F1019" s="5" t="n">
        <f aca="false">IFERROR(__xludf.dummyfunction("""COMPUTED_VALUE"""),64126500)</f>
        <v>64126500</v>
      </c>
    </row>
    <row r="1020" customFormat="false" ht="15.75" hidden="false" customHeight="false" outlineLevel="0" collapsed="false">
      <c r="A1020" s="6" t="n">
        <f aca="false">IFERROR(__xludf.dummyfunction("""COMPUTED_VALUE"""),45680.6666666667)</f>
        <v>45680.6666666667</v>
      </c>
      <c r="B1020" s="5" t="n">
        <f aca="false">IFERROR(__xludf.dummyfunction("""COMPUTED_VALUE"""),224.74)</f>
        <v>224.74</v>
      </c>
      <c r="C1020" s="5" t="n">
        <f aca="false">IFERROR(__xludf.dummyfunction("""COMPUTED_VALUE"""),227.03)</f>
        <v>227.03</v>
      </c>
      <c r="D1020" s="5" t="n">
        <f aca="false">IFERROR(__xludf.dummyfunction("""COMPUTED_VALUE"""),222.3)</f>
        <v>222.3</v>
      </c>
      <c r="E1020" s="5" t="n">
        <f aca="false">IFERROR(__xludf.dummyfunction("""COMPUTED_VALUE"""),223.66)</f>
        <v>223.66</v>
      </c>
      <c r="F1020" s="5" t="n">
        <f aca="false">IFERROR(__xludf.dummyfunction("""COMPUTED_VALUE"""),60234760)</f>
        <v>60234760</v>
      </c>
    </row>
    <row r="1021" customFormat="false" ht="15.75" hidden="false" customHeight="false" outlineLevel="0" collapsed="false">
      <c r="A1021" s="6" t="n">
        <f aca="false">IFERROR(__xludf.dummyfunction("""COMPUTED_VALUE"""),45681.6666666667)</f>
        <v>45681.6666666667</v>
      </c>
      <c r="B1021" s="5" t="n">
        <f aca="false">IFERROR(__xludf.dummyfunction("""COMPUTED_VALUE"""),224.78)</f>
        <v>224.78</v>
      </c>
      <c r="C1021" s="5" t="n">
        <f aca="false">IFERROR(__xludf.dummyfunction("""COMPUTED_VALUE"""),225.63)</f>
        <v>225.63</v>
      </c>
      <c r="D1021" s="5" t="n">
        <f aca="false">IFERROR(__xludf.dummyfunction("""COMPUTED_VALUE"""),221.41)</f>
        <v>221.41</v>
      </c>
      <c r="E1021" s="5" t="n">
        <f aca="false">IFERROR(__xludf.dummyfunction("""COMPUTED_VALUE"""),222.78)</f>
        <v>222.78</v>
      </c>
      <c r="F1021" s="5" t="n">
        <f aca="false">IFERROR(__xludf.dummyfunction("""COMPUTED_VALUE"""),54697907)</f>
        <v>54697907</v>
      </c>
    </row>
    <row r="1022" customFormat="false" ht="15.75" hidden="false" customHeight="false" outlineLevel="0" collapsed="false">
      <c r="A1022" s="6" t="n">
        <f aca="false">IFERROR(__xludf.dummyfunction("""COMPUTED_VALUE"""),45684.6666666667)</f>
        <v>45684.6666666667</v>
      </c>
      <c r="B1022" s="5" t="n">
        <f aca="false">IFERROR(__xludf.dummyfunction("""COMPUTED_VALUE"""),224.02)</f>
        <v>224.02</v>
      </c>
      <c r="C1022" s="5" t="n">
        <f aca="false">IFERROR(__xludf.dummyfunction("""COMPUTED_VALUE"""),232.15)</f>
        <v>232.15</v>
      </c>
      <c r="D1022" s="5" t="n">
        <f aca="false">IFERROR(__xludf.dummyfunction("""COMPUTED_VALUE"""),223.98)</f>
        <v>223.98</v>
      </c>
      <c r="E1022" s="5" t="n">
        <f aca="false">IFERROR(__xludf.dummyfunction("""COMPUTED_VALUE"""),229.86)</f>
        <v>229.86</v>
      </c>
      <c r="F1022" s="5" t="n">
        <f aca="false">IFERROR(__xludf.dummyfunction("""COMPUTED_VALUE"""),94863418)</f>
        <v>94863418</v>
      </c>
    </row>
    <row r="1023" customFormat="false" ht="15.75" hidden="false" customHeight="false" outlineLevel="0" collapsed="false">
      <c r="A1023" s="6" t="n">
        <f aca="false">IFERROR(__xludf.dummyfunction("""COMPUTED_VALUE"""),45685.6666666667)</f>
        <v>45685.6666666667</v>
      </c>
      <c r="B1023" s="5" t="n">
        <f aca="false">IFERROR(__xludf.dummyfunction("""COMPUTED_VALUE"""),230.85)</f>
        <v>230.85</v>
      </c>
      <c r="C1023" s="5" t="n">
        <f aca="false">IFERROR(__xludf.dummyfunction("""COMPUTED_VALUE"""),240.19)</f>
        <v>240.19</v>
      </c>
      <c r="D1023" s="5" t="n">
        <f aca="false">IFERROR(__xludf.dummyfunction("""COMPUTED_VALUE"""),230.81)</f>
        <v>230.81</v>
      </c>
      <c r="E1023" s="5" t="n">
        <f aca="false">IFERROR(__xludf.dummyfunction("""COMPUTED_VALUE"""),238.26)</f>
        <v>238.26</v>
      </c>
      <c r="F1023" s="5" t="n">
        <f aca="false">IFERROR(__xludf.dummyfunction("""COMPUTED_VALUE"""),75707569)</f>
        <v>75707569</v>
      </c>
    </row>
    <row r="1024" customFormat="false" ht="15.75" hidden="false" customHeight="false" outlineLevel="0" collapsed="false">
      <c r="A1024" s="6" t="n">
        <f aca="false">IFERROR(__xludf.dummyfunction("""COMPUTED_VALUE"""),45686.6666666667)</f>
        <v>45686.6666666667</v>
      </c>
      <c r="B1024" s="5" t="n">
        <f aca="false">IFERROR(__xludf.dummyfunction("""COMPUTED_VALUE"""),234.12)</f>
        <v>234.12</v>
      </c>
      <c r="C1024" s="5" t="n">
        <f aca="false">IFERROR(__xludf.dummyfunction("""COMPUTED_VALUE"""),239.86)</f>
        <v>239.86</v>
      </c>
      <c r="D1024" s="5" t="n">
        <f aca="false">IFERROR(__xludf.dummyfunction("""COMPUTED_VALUE"""),234.01)</f>
        <v>234.01</v>
      </c>
      <c r="E1024" s="5" t="n">
        <f aca="false">IFERROR(__xludf.dummyfunction("""COMPUTED_VALUE"""),239.36)</f>
        <v>239.36</v>
      </c>
      <c r="F1024" s="5" t="n">
        <f aca="false">IFERROR(__xludf.dummyfunction("""COMPUTED_VALUE"""),45486100)</f>
        <v>45486100</v>
      </c>
    </row>
    <row r="1025" customFormat="false" ht="15.75" hidden="false" customHeight="false" outlineLevel="0" collapsed="false">
      <c r="A1025" s="6" t="n">
        <f aca="false">IFERROR(__xludf.dummyfunction("""COMPUTED_VALUE"""),45687.6666666667)</f>
        <v>45687.6666666667</v>
      </c>
      <c r="B1025" s="5" t="n">
        <f aca="false">IFERROR(__xludf.dummyfunction("""COMPUTED_VALUE"""),238.67)</f>
        <v>238.67</v>
      </c>
      <c r="C1025" s="5" t="n">
        <f aca="false">IFERROR(__xludf.dummyfunction("""COMPUTED_VALUE"""),240.79)</f>
        <v>240.79</v>
      </c>
      <c r="D1025" s="5" t="n">
        <f aca="false">IFERROR(__xludf.dummyfunction("""COMPUTED_VALUE"""),237.21)</f>
        <v>237.21</v>
      </c>
      <c r="E1025" s="5" t="n">
        <f aca="false">IFERROR(__xludf.dummyfunction("""COMPUTED_VALUE"""),237.59)</f>
        <v>237.59</v>
      </c>
      <c r="F1025" s="5" t="n">
        <f aca="false">IFERROR(__xludf.dummyfunction("""COMPUTED_VALUE"""),55658279)</f>
        <v>55658279</v>
      </c>
    </row>
    <row r="1026" customFormat="false" ht="15.75" hidden="false" customHeight="false" outlineLevel="0" collapsed="false">
      <c r="A1026" s="6" t="n">
        <f aca="false">IFERROR(__xludf.dummyfunction("""COMPUTED_VALUE"""),45688.6666666667)</f>
        <v>45688.6666666667</v>
      </c>
      <c r="B1026" s="5" t="n">
        <f aca="false">IFERROR(__xludf.dummyfunction("""COMPUTED_VALUE"""),247.19)</f>
        <v>247.19</v>
      </c>
      <c r="C1026" s="5" t="n">
        <f aca="false">IFERROR(__xludf.dummyfunction("""COMPUTED_VALUE"""),247.19)</f>
        <v>247.19</v>
      </c>
      <c r="D1026" s="5" t="n">
        <f aca="false">IFERROR(__xludf.dummyfunction("""COMPUTED_VALUE"""),233.44)</f>
        <v>233.44</v>
      </c>
      <c r="E1026" s="5" t="n">
        <f aca="false">IFERROR(__xludf.dummyfunction("""COMPUTED_VALUE"""),236)</f>
        <v>236</v>
      </c>
      <c r="F1026" s="5" t="n">
        <f aca="false">IFERROR(__xludf.dummyfunction("""COMPUTED_VALUE"""),101075128)</f>
        <v>101075128</v>
      </c>
    </row>
    <row r="1027" customFormat="false" ht="15.75" hidden="false" customHeight="false" outlineLevel="0" collapsed="false">
      <c r="A1027" s="6" t="n">
        <f aca="false">IFERROR(__xludf.dummyfunction("""COMPUTED_VALUE"""),45691.6666666667)</f>
        <v>45691.6666666667</v>
      </c>
      <c r="B1027" s="5" t="n">
        <f aca="false">IFERROR(__xludf.dummyfunction("""COMPUTED_VALUE"""),229.99)</f>
        <v>229.99</v>
      </c>
      <c r="C1027" s="5" t="n">
        <f aca="false">IFERROR(__xludf.dummyfunction("""COMPUTED_VALUE"""),231.83)</f>
        <v>231.83</v>
      </c>
      <c r="D1027" s="5" t="n">
        <f aca="false">IFERROR(__xludf.dummyfunction("""COMPUTED_VALUE"""),225.7)</f>
        <v>225.7</v>
      </c>
      <c r="E1027" s="5" t="n">
        <f aca="false">IFERROR(__xludf.dummyfunction("""COMPUTED_VALUE"""),228.01)</f>
        <v>228.01</v>
      </c>
      <c r="F1027" s="5" t="n">
        <f aca="false">IFERROR(__xludf.dummyfunction("""COMPUTED_VALUE"""),73063301)</f>
        <v>73063301</v>
      </c>
    </row>
    <row r="1028" customFormat="false" ht="15.75" hidden="false" customHeight="false" outlineLevel="0" collapsed="false">
      <c r="A1028" s="6" t="n">
        <f aca="false">IFERROR(__xludf.dummyfunction("""COMPUTED_VALUE"""),45692.6666666667)</f>
        <v>45692.6666666667</v>
      </c>
      <c r="B1028" s="5" t="n">
        <f aca="false">IFERROR(__xludf.dummyfunction("""COMPUTED_VALUE"""),227.25)</f>
        <v>227.25</v>
      </c>
      <c r="C1028" s="5" t="n">
        <f aca="false">IFERROR(__xludf.dummyfunction("""COMPUTED_VALUE"""),233.13)</f>
        <v>233.13</v>
      </c>
      <c r="D1028" s="5" t="n">
        <f aca="false">IFERROR(__xludf.dummyfunction("""COMPUTED_VALUE"""),226.65)</f>
        <v>226.65</v>
      </c>
      <c r="E1028" s="5" t="n">
        <f aca="false">IFERROR(__xludf.dummyfunction("""COMPUTED_VALUE"""),232.8)</f>
        <v>232.8</v>
      </c>
      <c r="F1028" s="5" t="n">
        <f aca="false">IFERROR(__xludf.dummyfunction("""COMPUTED_VALUE"""),45067301)</f>
        <v>45067301</v>
      </c>
    </row>
    <row r="1029" customFormat="false" ht="15.75" hidden="false" customHeight="false" outlineLevel="0" collapsed="false">
      <c r="A1029" s="6" t="n">
        <f aca="false">IFERROR(__xludf.dummyfunction("""COMPUTED_VALUE"""),45693.6666666667)</f>
        <v>45693.6666666667</v>
      </c>
      <c r="B1029" s="5" t="n">
        <f aca="false">IFERROR(__xludf.dummyfunction("""COMPUTED_VALUE"""),228.53)</f>
        <v>228.53</v>
      </c>
      <c r="C1029" s="5" t="n">
        <f aca="false">IFERROR(__xludf.dummyfunction("""COMPUTED_VALUE"""),232.67)</f>
        <v>232.67</v>
      </c>
      <c r="D1029" s="5" t="n">
        <f aca="false">IFERROR(__xludf.dummyfunction("""COMPUTED_VALUE"""),228.27)</f>
        <v>228.27</v>
      </c>
      <c r="E1029" s="5" t="n">
        <f aca="false">IFERROR(__xludf.dummyfunction("""COMPUTED_VALUE"""),232.47)</f>
        <v>232.47</v>
      </c>
      <c r="F1029" s="5" t="n">
        <f aca="false">IFERROR(__xludf.dummyfunction("""COMPUTED_VALUE"""),39664989)</f>
        <v>39664989</v>
      </c>
    </row>
    <row r="1030" customFormat="false" ht="15.75" hidden="false" customHeight="false" outlineLevel="0" collapsed="false">
      <c r="A1030" s="6" t="n">
        <f aca="false">IFERROR(__xludf.dummyfunction("""COMPUTED_VALUE"""),45694.6666666667)</f>
        <v>45694.6666666667</v>
      </c>
      <c r="B1030" s="5" t="n">
        <f aca="false">IFERROR(__xludf.dummyfunction("""COMPUTED_VALUE"""),231.29)</f>
        <v>231.29</v>
      </c>
      <c r="C1030" s="5" t="n">
        <f aca="false">IFERROR(__xludf.dummyfunction("""COMPUTED_VALUE"""),233.8)</f>
        <v>233.8</v>
      </c>
      <c r="D1030" s="5" t="n">
        <f aca="false">IFERROR(__xludf.dummyfunction("""COMPUTED_VALUE"""),230.43)</f>
        <v>230.43</v>
      </c>
      <c r="E1030" s="5" t="n">
        <f aca="false">IFERROR(__xludf.dummyfunction("""COMPUTED_VALUE"""),233.22)</f>
        <v>233.22</v>
      </c>
      <c r="F1030" s="5" t="n">
        <f aca="false">IFERROR(__xludf.dummyfunction("""COMPUTED_VALUE"""),29925349)</f>
        <v>29925349</v>
      </c>
    </row>
    <row r="1031" customFormat="false" ht="15.75" hidden="false" customHeight="false" outlineLevel="0" collapsed="false">
      <c r="A1031" s="6" t="n">
        <f aca="false">IFERROR(__xludf.dummyfunction("""COMPUTED_VALUE"""),45695.6666666667)</f>
        <v>45695.6666666667</v>
      </c>
      <c r="B1031" s="5" t="n">
        <f aca="false">IFERROR(__xludf.dummyfunction("""COMPUTED_VALUE"""),232.6)</f>
        <v>232.6</v>
      </c>
      <c r="C1031" s="5" t="n">
        <f aca="false">IFERROR(__xludf.dummyfunction("""COMPUTED_VALUE"""),234)</f>
        <v>234</v>
      </c>
      <c r="D1031" s="5" t="n">
        <f aca="false">IFERROR(__xludf.dummyfunction("""COMPUTED_VALUE"""),227.26)</f>
        <v>227.26</v>
      </c>
      <c r="E1031" s="5" t="n">
        <f aca="false">IFERROR(__xludf.dummyfunction("""COMPUTED_VALUE"""),227.63)</f>
        <v>227.63</v>
      </c>
      <c r="F1031" s="5" t="n">
        <f aca="false">IFERROR(__xludf.dummyfunction("""COMPUTED_VALUE"""),39707224)</f>
        <v>39707224</v>
      </c>
    </row>
    <row r="1032" customFormat="false" ht="15.75" hidden="false" customHeight="false" outlineLevel="0" collapsed="false">
      <c r="A1032" s="6" t="n">
        <f aca="false">IFERROR(__xludf.dummyfunction("""COMPUTED_VALUE"""),45698.6666666667)</f>
        <v>45698.6666666667</v>
      </c>
      <c r="B1032" s="5" t="n">
        <f aca="false">IFERROR(__xludf.dummyfunction("""COMPUTED_VALUE"""),229.57)</f>
        <v>229.57</v>
      </c>
      <c r="C1032" s="5" t="n">
        <f aca="false">IFERROR(__xludf.dummyfunction("""COMPUTED_VALUE"""),230.59)</f>
        <v>230.59</v>
      </c>
      <c r="D1032" s="5" t="n">
        <f aca="false">IFERROR(__xludf.dummyfunction("""COMPUTED_VALUE"""),227.2)</f>
        <v>227.2</v>
      </c>
      <c r="E1032" s="5" t="n">
        <f aca="false">IFERROR(__xludf.dummyfunction("""COMPUTED_VALUE"""),227.65)</f>
        <v>227.65</v>
      </c>
      <c r="F1032" s="5" t="n">
        <f aca="false">IFERROR(__xludf.dummyfunction("""COMPUTED_VALUE"""),33115645)</f>
        <v>33115645</v>
      </c>
    </row>
    <row r="1033" customFormat="false" ht="15.75" hidden="false" customHeight="false" outlineLevel="0" collapsed="false">
      <c r="A1033" s="6" t="n">
        <f aca="false">IFERROR(__xludf.dummyfunction("""COMPUTED_VALUE"""),45699.6666666667)</f>
        <v>45699.6666666667</v>
      </c>
      <c r="B1033" s="5" t="n">
        <f aca="false">IFERROR(__xludf.dummyfunction("""COMPUTED_VALUE"""),228.2)</f>
        <v>228.2</v>
      </c>
      <c r="C1033" s="5" t="n">
        <f aca="false">IFERROR(__xludf.dummyfunction("""COMPUTED_VALUE"""),235.23)</f>
        <v>235.23</v>
      </c>
      <c r="D1033" s="5" t="n">
        <f aca="false">IFERROR(__xludf.dummyfunction("""COMPUTED_VALUE"""),228.13)</f>
        <v>228.13</v>
      </c>
      <c r="E1033" s="5" t="n">
        <f aca="false">IFERROR(__xludf.dummyfunction("""COMPUTED_VALUE"""),232.62)</f>
        <v>232.62</v>
      </c>
      <c r="F1033" s="5" t="n">
        <f aca="false">IFERROR(__xludf.dummyfunction("""COMPUTED_VALUE"""),53718362)</f>
        <v>53718362</v>
      </c>
    </row>
    <row r="1034" customFormat="false" ht="15.75" hidden="false" customHeight="false" outlineLevel="0" collapsed="false">
      <c r="A1034" s="6" t="n">
        <f aca="false">IFERROR(__xludf.dummyfunction("""COMPUTED_VALUE"""),45700.6666666667)</f>
        <v>45700.6666666667</v>
      </c>
      <c r="B1034" s="5" t="n">
        <f aca="false">IFERROR(__xludf.dummyfunction("""COMPUTED_VALUE"""),231.2)</f>
        <v>231.2</v>
      </c>
      <c r="C1034" s="5" t="n">
        <f aca="false">IFERROR(__xludf.dummyfunction("""COMPUTED_VALUE"""),236.96)</f>
        <v>236.96</v>
      </c>
      <c r="D1034" s="5" t="n">
        <f aca="false">IFERROR(__xludf.dummyfunction("""COMPUTED_VALUE"""),230.68)</f>
        <v>230.68</v>
      </c>
      <c r="E1034" s="5" t="n">
        <f aca="false">IFERROR(__xludf.dummyfunction("""COMPUTED_VALUE"""),236.87)</f>
        <v>236.87</v>
      </c>
      <c r="F1034" s="5" t="n">
        <f aca="false">IFERROR(__xludf.dummyfunction("""COMPUTED_VALUE"""),45243292)</f>
        <v>45243292</v>
      </c>
    </row>
    <row r="1035" customFormat="false" ht="15.75" hidden="false" customHeight="false" outlineLevel="0" collapsed="false">
      <c r="A1035" s="6" t="n">
        <f aca="false">IFERROR(__xludf.dummyfunction("""COMPUTED_VALUE"""),45701.6666666667)</f>
        <v>45701.6666666667</v>
      </c>
      <c r="B1035" s="5" t="n">
        <f aca="false">IFERROR(__xludf.dummyfunction("""COMPUTED_VALUE"""),236.91)</f>
        <v>236.91</v>
      </c>
      <c r="C1035" s="5" t="n">
        <f aca="false">IFERROR(__xludf.dummyfunction("""COMPUTED_VALUE"""),242.34)</f>
        <v>242.34</v>
      </c>
      <c r="D1035" s="5" t="n">
        <f aca="false">IFERROR(__xludf.dummyfunction("""COMPUTED_VALUE"""),235.57)</f>
        <v>235.57</v>
      </c>
      <c r="E1035" s="5" t="n">
        <f aca="false">IFERROR(__xludf.dummyfunction("""COMPUTED_VALUE"""),241.53)</f>
        <v>241.53</v>
      </c>
      <c r="F1035" s="5" t="n">
        <f aca="false">IFERROR(__xludf.dummyfunction("""COMPUTED_VALUE"""),53614054)</f>
        <v>53614054</v>
      </c>
    </row>
    <row r="1036" customFormat="false" ht="15.75" hidden="false" customHeight="false" outlineLevel="0" collapsed="false">
      <c r="A1036" s="6" t="n">
        <f aca="false">IFERROR(__xludf.dummyfunction("""COMPUTED_VALUE"""),45702.6666666667)</f>
        <v>45702.6666666667</v>
      </c>
      <c r="B1036" s="5" t="n">
        <f aca="false">IFERROR(__xludf.dummyfunction("""COMPUTED_VALUE"""),241.25)</f>
        <v>241.25</v>
      </c>
      <c r="C1036" s="5" t="n">
        <f aca="false">IFERROR(__xludf.dummyfunction("""COMPUTED_VALUE"""),245.55)</f>
        <v>245.55</v>
      </c>
      <c r="D1036" s="5" t="n">
        <f aca="false">IFERROR(__xludf.dummyfunction("""COMPUTED_VALUE"""),240.99)</f>
        <v>240.99</v>
      </c>
      <c r="E1036" s="5" t="n">
        <f aca="false">IFERROR(__xludf.dummyfunction("""COMPUTED_VALUE"""),244.6)</f>
        <v>244.6</v>
      </c>
      <c r="F1036" s="5" t="n">
        <f aca="false">IFERROR(__xludf.dummyfunction("""COMPUTED_VALUE"""),40896227)</f>
        <v>40896227</v>
      </c>
    </row>
    <row r="1037" customFormat="false" ht="15.75" hidden="false" customHeight="false" outlineLevel="0" collapsed="false">
      <c r="A1037" s="6" t="n">
        <f aca="false">IFERROR(__xludf.dummyfunction("""COMPUTED_VALUE"""),45706.6666666667)</f>
        <v>45706.6666666667</v>
      </c>
      <c r="B1037" s="5" t="n">
        <f aca="false">IFERROR(__xludf.dummyfunction("""COMPUTED_VALUE"""),244.15)</f>
        <v>244.15</v>
      </c>
      <c r="C1037" s="5" t="n">
        <f aca="false">IFERROR(__xludf.dummyfunction("""COMPUTED_VALUE"""),245.18)</f>
        <v>245.18</v>
      </c>
      <c r="D1037" s="5" t="n">
        <f aca="false">IFERROR(__xludf.dummyfunction("""COMPUTED_VALUE"""),241.84)</f>
        <v>241.84</v>
      </c>
      <c r="E1037" s="5" t="n">
        <f aca="false">IFERROR(__xludf.dummyfunction("""COMPUTED_VALUE"""),244.47)</f>
        <v>244.47</v>
      </c>
      <c r="F1037" s="5" t="n">
        <f aca="false">IFERROR(__xludf.dummyfunction("""COMPUTED_VALUE"""),48822491)</f>
        <v>48822491</v>
      </c>
    </row>
    <row r="1038" customFormat="false" ht="15.75" hidden="false" customHeight="false" outlineLevel="0" collapsed="false">
      <c r="A1038" s="6" t="n">
        <f aca="false">IFERROR(__xludf.dummyfunction("""COMPUTED_VALUE"""),45707.6666666667)</f>
        <v>45707.6666666667</v>
      </c>
      <c r="B1038" s="5" t="n">
        <f aca="false">IFERROR(__xludf.dummyfunction("""COMPUTED_VALUE"""),244.66)</f>
        <v>244.66</v>
      </c>
      <c r="C1038" s="5" t="n">
        <f aca="false">IFERROR(__xludf.dummyfunction("""COMPUTED_VALUE"""),246.01)</f>
        <v>246.01</v>
      </c>
      <c r="D1038" s="5" t="n">
        <f aca="false">IFERROR(__xludf.dummyfunction("""COMPUTED_VALUE"""),243.16)</f>
        <v>243.16</v>
      </c>
      <c r="E1038" s="5" t="n">
        <f aca="false">IFERROR(__xludf.dummyfunction("""COMPUTED_VALUE"""),244.87)</f>
        <v>244.87</v>
      </c>
      <c r="F1038" s="5" t="n">
        <f aca="false">IFERROR(__xludf.dummyfunction("""COMPUTED_VALUE"""),32204215)</f>
        <v>32204215</v>
      </c>
    </row>
    <row r="1039" customFormat="false" ht="15.75" hidden="false" customHeight="false" outlineLevel="0" collapsed="false">
      <c r="A1039" s="6" t="n">
        <f aca="false">IFERROR(__xludf.dummyfunction("""COMPUTED_VALUE"""),45708.6666666667)</f>
        <v>45708.6666666667</v>
      </c>
      <c r="B1039" s="5" t="n">
        <f aca="false">IFERROR(__xludf.dummyfunction("""COMPUTED_VALUE"""),244.94)</f>
        <v>244.94</v>
      </c>
      <c r="C1039" s="5" t="n">
        <f aca="false">IFERROR(__xludf.dummyfunction("""COMPUTED_VALUE"""),246.78)</f>
        <v>246.78</v>
      </c>
      <c r="D1039" s="5" t="n">
        <f aca="false">IFERROR(__xludf.dummyfunction("""COMPUTED_VALUE"""),244.29)</f>
        <v>244.29</v>
      </c>
      <c r="E1039" s="5" t="n">
        <f aca="false">IFERROR(__xludf.dummyfunction("""COMPUTED_VALUE"""),245.83)</f>
        <v>245.83</v>
      </c>
      <c r="F1039" s="5" t="n">
        <f aca="false">IFERROR(__xludf.dummyfunction("""COMPUTED_VALUE"""),32316907)</f>
        <v>32316907</v>
      </c>
    </row>
    <row r="1040" customFormat="false" ht="15.75" hidden="false" customHeight="false" outlineLevel="0" collapsed="false">
      <c r="A1040" s="6" t="n">
        <f aca="false">IFERROR(__xludf.dummyfunction("""COMPUTED_VALUE"""),45709.6666666667)</f>
        <v>45709.6666666667</v>
      </c>
      <c r="B1040" s="5" t="n">
        <f aca="false">IFERROR(__xludf.dummyfunction("""COMPUTED_VALUE"""),245.95)</f>
        <v>245.95</v>
      </c>
      <c r="C1040" s="5" t="n">
        <f aca="false">IFERROR(__xludf.dummyfunction("""COMPUTED_VALUE"""),248.69)</f>
        <v>248.69</v>
      </c>
      <c r="D1040" s="5" t="n">
        <f aca="false">IFERROR(__xludf.dummyfunction("""COMPUTED_VALUE"""),245.22)</f>
        <v>245.22</v>
      </c>
      <c r="E1040" s="5" t="n">
        <f aca="false">IFERROR(__xludf.dummyfunction("""COMPUTED_VALUE"""),245.55)</f>
        <v>245.55</v>
      </c>
      <c r="F1040" s="5" t="n">
        <f aca="false">IFERROR(__xludf.dummyfunction("""COMPUTED_VALUE"""),53197431)</f>
        <v>53197431</v>
      </c>
    </row>
    <row r="1041" customFormat="false" ht="15.75" hidden="false" customHeight="false" outlineLevel="0" collapsed="false">
      <c r="A1041" s="6" t="n">
        <f aca="false">IFERROR(__xludf.dummyfunction("""COMPUTED_VALUE"""),45712.6666666667)</f>
        <v>45712.6666666667</v>
      </c>
      <c r="B1041" s="5" t="n">
        <f aca="false">IFERROR(__xludf.dummyfunction("""COMPUTED_VALUE"""),244.93)</f>
        <v>244.93</v>
      </c>
      <c r="C1041" s="5" t="n">
        <f aca="false">IFERROR(__xludf.dummyfunction("""COMPUTED_VALUE"""),248.86)</f>
        <v>248.86</v>
      </c>
      <c r="D1041" s="5" t="n">
        <f aca="false">IFERROR(__xludf.dummyfunction("""COMPUTED_VALUE"""),244.42)</f>
        <v>244.42</v>
      </c>
      <c r="E1041" s="5" t="n">
        <f aca="false">IFERROR(__xludf.dummyfunction("""COMPUTED_VALUE"""),247.1)</f>
        <v>247.1</v>
      </c>
      <c r="F1041" s="5" t="n">
        <f aca="false">IFERROR(__xludf.dummyfunction("""COMPUTED_VALUE"""),51326396)</f>
        <v>51326396</v>
      </c>
    </row>
    <row r="1042" customFormat="false" ht="15.75" hidden="false" customHeight="false" outlineLevel="0" collapsed="false">
      <c r="A1042" s="6" t="n">
        <f aca="false">IFERROR(__xludf.dummyfunction("""COMPUTED_VALUE"""),45713.6666666667)</f>
        <v>45713.6666666667</v>
      </c>
      <c r="B1042" s="5" t="n">
        <f aca="false">IFERROR(__xludf.dummyfunction("""COMPUTED_VALUE"""),248)</f>
        <v>248</v>
      </c>
      <c r="C1042" s="5" t="n">
        <f aca="false">IFERROR(__xludf.dummyfunction("""COMPUTED_VALUE"""),250)</f>
        <v>250</v>
      </c>
      <c r="D1042" s="5" t="n">
        <f aca="false">IFERROR(__xludf.dummyfunction("""COMPUTED_VALUE"""),244.91)</f>
        <v>244.91</v>
      </c>
      <c r="E1042" s="5" t="n">
        <f aca="false">IFERROR(__xludf.dummyfunction("""COMPUTED_VALUE"""),247.04)</f>
        <v>247.04</v>
      </c>
      <c r="F1042" s="5" t="n">
        <f aca="false">IFERROR(__xludf.dummyfunction("""COMPUTED_VALUE"""),48013272)</f>
        <v>48013272</v>
      </c>
    </row>
    <row r="1043" customFormat="false" ht="15.75" hidden="false" customHeight="false" outlineLevel="0" collapsed="false">
      <c r="A1043" s="6" t="n">
        <f aca="false">IFERROR(__xludf.dummyfunction("""COMPUTED_VALUE"""),45714.6666666667)</f>
        <v>45714.6666666667</v>
      </c>
      <c r="B1043" s="5" t="n">
        <f aca="false">IFERROR(__xludf.dummyfunction("""COMPUTED_VALUE"""),244.33)</f>
        <v>244.33</v>
      </c>
      <c r="C1043" s="5" t="n">
        <f aca="false">IFERROR(__xludf.dummyfunction("""COMPUTED_VALUE"""),244.98)</f>
        <v>244.98</v>
      </c>
      <c r="D1043" s="5" t="n">
        <f aca="false">IFERROR(__xludf.dummyfunction("""COMPUTED_VALUE"""),239.13)</f>
        <v>239.13</v>
      </c>
      <c r="E1043" s="5" t="n">
        <f aca="false">IFERROR(__xludf.dummyfunction("""COMPUTED_VALUE"""),240.36)</f>
        <v>240.36</v>
      </c>
      <c r="F1043" s="5" t="n">
        <f aca="false">IFERROR(__xludf.dummyfunction("""COMPUTED_VALUE"""),44433564)</f>
        <v>44433564</v>
      </c>
    </row>
    <row r="1044" customFormat="false" ht="15.75" hidden="false" customHeight="false" outlineLevel="0" collapsed="false">
      <c r="A1044" s="6" t="n">
        <f aca="false">IFERROR(__xludf.dummyfunction("""COMPUTED_VALUE"""),45715.6666666667)</f>
        <v>45715.6666666667</v>
      </c>
      <c r="B1044" s="5" t="n">
        <f aca="false">IFERROR(__xludf.dummyfunction("""COMPUTED_VALUE"""),239.41)</f>
        <v>239.41</v>
      </c>
      <c r="C1044" s="5" t="n">
        <f aca="false">IFERROR(__xludf.dummyfunction("""COMPUTED_VALUE"""),242.46)</f>
        <v>242.46</v>
      </c>
      <c r="D1044" s="5" t="n">
        <f aca="false">IFERROR(__xludf.dummyfunction("""COMPUTED_VALUE"""),237.06)</f>
        <v>237.06</v>
      </c>
      <c r="E1044" s="5" t="n">
        <f aca="false">IFERROR(__xludf.dummyfunction("""COMPUTED_VALUE"""),237.3)</f>
        <v>237.3</v>
      </c>
      <c r="F1044" s="5" t="n">
        <f aca="false">IFERROR(__xludf.dummyfunction("""COMPUTED_VALUE"""),41153639)</f>
        <v>41153639</v>
      </c>
    </row>
    <row r="1045" customFormat="false" ht="15.75" hidden="false" customHeight="false" outlineLevel="0" collapsed="false">
      <c r="A1045" s="6" t="n">
        <f aca="false">IFERROR(__xludf.dummyfunction("""COMPUTED_VALUE"""),45716.6666666667)</f>
        <v>45716.6666666667</v>
      </c>
      <c r="B1045" s="5" t="n">
        <f aca="false">IFERROR(__xludf.dummyfunction("""COMPUTED_VALUE"""),236.95)</f>
        <v>236.95</v>
      </c>
      <c r="C1045" s="5" t="n">
        <f aca="false">IFERROR(__xludf.dummyfunction("""COMPUTED_VALUE"""),242.09)</f>
        <v>242.09</v>
      </c>
      <c r="D1045" s="5" t="n">
        <f aca="false">IFERROR(__xludf.dummyfunction("""COMPUTED_VALUE"""),230.2)</f>
        <v>230.2</v>
      </c>
      <c r="E1045" s="5" t="n">
        <f aca="false">IFERROR(__xludf.dummyfunction("""COMPUTED_VALUE"""),241.84)</f>
        <v>241.84</v>
      </c>
      <c r="F1045" s="5" t="n">
        <f aca="false">IFERROR(__xludf.dummyfunction("""COMPUTED_VALUE"""),56833360)</f>
        <v>56833360</v>
      </c>
    </row>
    <row r="1046" customFormat="false" ht="15.75" hidden="false" customHeight="false" outlineLevel="0" collapsed="false">
      <c r="A1046" s="6" t="n">
        <f aca="false">IFERROR(__xludf.dummyfunction("""COMPUTED_VALUE"""),45719.6666666667)</f>
        <v>45719.6666666667</v>
      </c>
      <c r="B1046" s="5" t="n">
        <f aca="false">IFERROR(__xludf.dummyfunction("""COMPUTED_VALUE"""),241.79)</f>
        <v>241.79</v>
      </c>
      <c r="C1046" s="5" t="n">
        <f aca="false">IFERROR(__xludf.dummyfunction("""COMPUTED_VALUE"""),244.03)</f>
        <v>244.03</v>
      </c>
      <c r="D1046" s="5" t="n">
        <f aca="false">IFERROR(__xludf.dummyfunction("""COMPUTED_VALUE"""),236.11)</f>
        <v>236.11</v>
      </c>
      <c r="E1046" s="5" t="n">
        <f aca="false">IFERROR(__xludf.dummyfunction("""COMPUTED_VALUE"""),238.03)</f>
        <v>238.03</v>
      </c>
      <c r="F1046" s="5" t="n">
        <f aca="false">IFERROR(__xludf.dummyfunction("""COMPUTED_VALUE"""),47183985)</f>
        <v>47183985</v>
      </c>
    </row>
    <row r="1047" customFormat="false" ht="15.75" hidden="false" customHeight="false" outlineLevel="0" collapsed="false">
      <c r="A1047" s="6" t="n">
        <f aca="false">IFERROR(__xludf.dummyfunction("""COMPUTED_VALUE"""),45720.6666666667)</f>
        <v>45720.6666666667</v>
      </c>
      <c r="B1047" s="5" t="n">
        <f aca="false">IFERROR(__xludf.dummyfunction("""COMPUTED_VALUE"""),237.71)</f>
        <v>237.71</v>
      </c>
      <c r="C1047" s="5" t="n">
        <f aca="false">IFERROR(__xludf.dummyfunction("""COMPUTED_VALUE"""),240.07)</f>
        <v>240.07</v>
      </c>
      <c r="D1047" s="5" t="n">
        <f aca="false">IFERROR(__xludf.dummyfunction("""COMPUTED_VALUE"""),234.68)</f>
        <v>234.68</v>
      </c>
      <c r="E1047" s="5" t="n">
        <f aca="false">IFERROR(__xludf.dummyfunction("""COMPUTED_VALUE"""),235.93)</f>
        <v>235.93</v>
      </c>
      <c r="F1047" s="5" t="n">
        <f aca="false">IFERROR(__xludf.dummyfunction("""COMPUTED_VALUE"""),53798062)</f>
        <v>53798062</v>
      </c>
    </row>
    <row r="1048" customFormat="false" ht="15.75" hidden="false" customHeight="false" outlineLevel="0" collapsed="false">
      <c r="A1048" s="6" t="n">
        <f aca="false">IFERROR(__xludf.dummyfunction("""COMPUTED_VALUE"""),45721.6666666667)</f>
        <v>45721.6666666667</v>
      </c>
      <c r="B1048" s="5" t="n">
        <f aca="false">IFERROR(__xludf.dummyfunction("""COMPUTED_VALUE"""),235.42)</f>
        <v>235.42</v>
      </c>
      <c r="C1048" s="5" t="n">
        <f aca="false">IFERROR(__xludf.dummyfunction("""COMPUTED_VALUE"""),236.55)</f>
        <v>236.55</v>
      </c>
      <c r="D1048" s="5" t="n">
        <f aca="false">IFERROR(__xludf.dummyfunction("""COMPUTED_VALUE"""),229.23)</f>
        <v>229.23</v>
      </c>
      <c r="E1048" s="5" t="n">
        <f aca="false">IFERROR(__xludf.dummyfunction("""COMPUTED_VALUE"""),235.74)</f>
        <v>235.74</v>
      </c>
      <c r="F1048" s="5" t="n">
        <f aca="false">IFERROR(__xludf.dummyfunction("""COMPUTED_VALUE"""),47227643)</f>
        <v>47227643</v>
      </c>
    </row>
    <row r="1049" customFormat="false" ht="15.75" hidden="false" customHeight="false" outlineLevel="0" collapsed="false">
      <c r="A1049" s="6" t="n">
        <f aca="false">IFERROR(__xludf.dummyfunction("""COMPUTED_VALUE"""),45722.6666666667)</f>
        <v>45722.6666666667</v>
      </c>
      <c r="B1049" s="5" t="n">
        <f aca="false">IFERROR(__xludf.dummyfunction("""COMPUTED_VALUE"""),234.44)</f>
        <v>234.44</v>
      </c>
      <c r="C1049" s="5" t="n">
        <f aca="false">IFERROR(__xludf.dummyfunction("""COMPUTED_VALUE"""),237.86)</f>
        <v>237.86</v>
      </c>
      <c r="D1049" s="5" t="n">
        <f aca="false">IFERROR(__xludf.dummyfunction("""COMPUTED_VALUE"""),233.16)</f>
        <v>233.16</v>
      </c>
      <c r="E1049" s="5" t="n">
        <f aca="false">IFERROR(__xludf.dummyfunction("""COMPUTED_VALUE"""),235.33)</f>
        <v>235.33</v>
      </c>
      <c r="F1049" s="5" t="n">
        <f aca="false">IFERROR(__xludf.dummyfunction("""COMPUTED_VALUE"""),45170419)</f>
        <v>45170419</v>
      </c>
    </row>
    <row r="1050" customFormat="false" ht="15.75" hidden="false" customHeight="false" outlineLevel="0" collapsed="false">
      <c r="A1050" s="6" t="n">
        <f aca="false">IFERROR(__xludf.dummyfunction("""COMPUTED_VALUE"""),45723.6666666667)</f>
        <v>45723.6666666667</v>
      </c>
      <c r="B1050" s="5" t="n">
        <f aca="false">IFERROR(__xludf.dummyfunction("""COMPUTED_VALUE"""),235.11)</f>
        <v>235.11</v>
      </c>
      <c r="C1050" s="5" t="n">
        <f aca="false">IFERROR(__xludf.dummyfunction("""COMPUTED_VALUE"""),241.37)</f>
        <v>241.37</v>
      </c>
      <c r="D1050" s="5" t="n">
        <f aca="false">IFERROR(__xludf.dummyfunction("""COMPUTED_VALUE"""),234.76)</f>
        <v>234.76</v>
      </c>
      <c r="E1050" s="5" t="n">
        <f aca="false">IFERROR(__xludf.dummyfunction("""COMPUTED_VALUE"""),239.07)</f>
        <v>239.07</v>
      </c>
      <c r="F1050" s="5" t="n">
        <f aca="false">IFERROR(__xludf.dummyfunction("""COMPUTED_VALUE"""),46273565)</f>
        <v>46273565</v>
      </c>
    </row>
    <row r="1051" customFormat="false" ht="15.75" hidden="false" customHeight="false" outlineLevel="0" collapsed="false">
      <c r="A1051" s="6" t="n">
        <f aca="false">IFERROR(__xludf.dummyfunction("""COMPUTED_VALUE"""),45726.6666666667)</f>
        <v>45726.6666666667</v>
      </c>
      <c r="B1051" s="5" t="n">
        <f aca="false">IFERROR(__xludf.dummyfunction("""COMPUTED_VALUE"""),235.54)</f>
        <v>235.54</v>
      </c>
      <c r="C1051" s="5" t="n">
        <f aca="false">IFERROR(__xludf.dummyfunction("""COMPUTED_VALUE"""),236.16)</f>
        <v>236.16</v>
      </c>
      <c r="D1051" s="5" t="n">
        <f aca="false">IFERROR(__xludf.dummyfunction("""COMPUTED_VALUE"""),224.22)</f>
        <v>224.22</v>
      </c>
      <c r="E1051" s="5" t="n">
        <f aca="false">IFERROR(__xludf.dummyfunction("""COMPUTED_VALUE"""),227.48)</f>
        <v>227.48</v>
      </c>
      <c r="F1051" s="5" t="n">
        <f aca="false">IFERROR(__xludf.dummyfunction("""COMPUTED_VALUE"""),72071197)</f>
        <v>72071197</v>
      </c>
    </row>
    <row r="1052" customFormat="false" ht="15.75" hidden="false" customHeight="false" outlineLevel="0" collapsed="false">
      <c r="A1052" s="6" t="n">
        <f aca="false">IFERROR(__xludf.dummyfunction("""COMPUTED_VALUE"""),45727.6666666667)</f>
        <v>45727.6666666667</v>
      </c>
      <c r="B1052" s="5" t="n">
        <f aca="false">IFERROR(__xludf.dummyfunction("""COMPUTED_VALUE"""),223.81)</f>
        <v>223.81</v>
      </c>
      <c r="C1052" s="5" t="n">
        <f aca="false">IFERROR(__xludf.dummyfunction("""COMPUTED_VALUE"""),225.84)</f>
        <v>225.84</v>
      </c>
      <c r="D1052" s="5" t="n">
        <f aca="false">IFERROR(__xludf.dummyfunction("""COMPUTED_VALUE"""),217.45)</f>
        <v>217.45</v>
      </c>
      <c r="E1052" s="5" t="n">
        <f aca="false">IFERROR(__xludf.dummyfunction("""COMPUTED_VALUE"""),220.84)</f>
        <v>220.84</v>
      </c>
      <c r="F1052" s="5" t="n">
        <f aca="false">IFERROR(__xludf.dummyfunction("""COMPUTED_VALUE"""),76137410)</f>
        <v>76137410</v>
      </c>
    </row>
    <row r="1053" customFormat="false" ht="15.75" hidden="false" customHeight="false" outlineLevel="0" collapsed="false">
      <c r="A1053" s="6" t="n">
        <f aca="false">IFERROR(__xludf.dummyfunction("""COMPUTED_VALUE"""),45728.6666666667)</f>
        <v>45728.6666666667</v>
      </c>
      <c r="B1053" s="5" t="n">
        <f aca="false">IFERROR(__xludf.dummyfunction("""COMPUTED_VALUE"""),220.14)</f>
        <v>220.14</v>
      </c>
      <c r="C1053" s="5" t="n">
        <f aca="false">IFERROR(__xludf.dummyfunction("""COMPUTED_VALUE"""),221.75)</f>
        <v>221.75</v>
      </c>
      <c r="D1053" s="5" t="n">
        <f aca="false">IFERROR(__xludf.dummyfunction("""COMPUTED_VALUE"""),214.91)</f>
        <v>214.91</v>
      </c>
      <c r="E1053" s="5" t="n">
        <f aca="false">IFERROR(__xludf.dummyfunction("""COMPUTED_VALUE"""),216.98)</f>
        <v>216.98</v>
      </c>
      <c r="F1053" s="5" t="n">
        <f aca="false">IFERROR(__xludf.dummyfunction("""COMPUTED_VALUE"""),62547467)</f>
        <v>62547467</v>
      </c>
    </row>
    <row r="1054" customFormat="false" ht="15.75" hidden="false" customHeight="false" outlineLevel="0" collapsed="false">
      <c r="A1054" s="6" t="n">
        <f aca="false">IFERROR(__xludf.dummyfunction("""COMPUTED_VALUE"""),45729.6666666667)</f>
        <v>45729.6666666667</v>
      </c>
      <c r="B1054" s="5" t="n">
        <f aca="false">IFERROR(__xludf.dummyfunction("""COMPUTED_VALUE"""),215.95)</f>
        <v>215.95</v>
      </c>
      <c r="C1054" s="5" t="n">
        <f aca="false">IFERROR(__xludf.dummyfunction("""COMPUTED_VALUE"""),216.84)</f>
        <v>216.84</v>
      </c>
      <c r="D1054" s="5" t="n">
        <f aca="false">IFERROR(__xludf.dummyfunction("""COMPUTED_VALUE"""),208.42)</f>
        <v>208.42</v>
      </c>
      <c r="E1054" s="5" t="n">
        <f aca="false">IFERROR(__xludf.dummyfunction("""COMPUTED_VALUE"""),209.68)</f>
        <v>209.68</v>
      </c>
      <c r="F1054" s="5" t="n">
        <f aca="false">IFERROR(__xludf.dummyfunction("""COMPUTED_VALUE"""),61368330)</f>
        <v>61368330</v>
      </c>
    </row>
    <row r="1055" customFormat="false" ht="15.75" hidden="false" customHeight="false" outlineLevel="0" collapsed="false">
      <c r="A1055" s="6" t="n">
        <f aca="false">IFERROR(__xludf.dummyfunction("""COMPUTED_VALUE"""),45730.6666666667)</f>
        <v>45730.6666666667</v>
      </c>
      <c r="B1055" s="5" t="n">
        <f aca="false">IFERROR(__xludf.dummyfunction("""COMPUTED_VALUE"""),211.25)</f>
        <v>211.25</v>
      </c>
      <c r="C1055" s="5" t="n">
        <f aca="false">IFERROR(__xludf.dummyfunction("""COMPUTED_VALUE"""),213.95)</f>
        <v>213.95</v>
      </c>
      <c r="D1055" s="5" t="n">
        <f aca="false">IFERROR(__xludf.dummyfunction("""COMPUTED_VALUE"""),209.58)</f>
        <v>209.58</v>
      </c>
      <c r="E1055" s="5" t="n">
        <f aca="false">IFERROR(__xludf.dummyfunction("""COMPUTED_VALUE"""),213.49)</f>
        <v>213.49</v>
      </c>
      <c r="F1055" s="5" t="n">
        <f aca="false">IFERROR(__xludf.dummyfunction("""COMPUTED_VALUE"""),60107582)</f>
        <v>60107582</v>
      </c>
    </row>
    <row r="1056" customFormat="false" ht="15.75" hidden="false" customHeight="false" outlineLevel="0" collapsed="false">
      <c r="A1056" s="6" t="n">
        <f aca="false">IFERROR(__xludf.dummyfunction("""COMPUTED_VALUE"""),45733.6666666667)</f>
        <v>45733.6666666667</v>
      </c>
      <c r="B1056" s="5" t="n">
        <f aca="false">IFERROR(__xludf.dummyfunction("""COMPUTED_VALUE"""),213.31)</f>
        <v>213.31</v>
      </c>
      <c r="C1056" s="5" t="n">
        <f aca="false">IFERROR(__xludf.dummyfunction("""COMPUTED_VALUE"""),215.22)</f>
        <v>215.22</v>
      </c>
      <c r="D1056" s="5" t="n">
        <f aca="false">IFERROR(__xludf.dummyfunction("""COMPUTED_VALUE"""),209.97)</f>
        <v>209.97</v>
      </c>
      <c r="E1056" s="5" t="n">
        <f aca="false">IFERROR(__xludf.dummyfunction("""COMPUTED_VALUE"""),214)</f>
        <v>214</v>
      </c>
      <c r="F1056" s="5" t="n">
        <f aca="false">IFERROR(__xludf.dummyfunction("""COMPUTED_VALUE"""),48073426)</f>
        <v>48073426</v>
      </c>
    </row>
    <row r="1057" customFormat="false" ht="15.75" hidden="false" customHeight="false" outlineLevel="0" collapsed="false">
      <c r="A1057" s="6" t="n">
        <f aca="false">IFERROR(__xludf.dummyfunction("""COMPUTED_VALUE"""),45734.6666666667)</f>
        <v>45734.6666666667</v>
      </c>
      <c r="B1057" s="5" t="n">
        <f aca="false">IFERROR(__xludf.dummyfunction("""COMPUTED_VALUE"""),214.16)</f>
        <v>214.16</v>
      </c>
      <c r="C1057" s="5" t="n">
        <f aca="false">IFERROR(__xludf.dummyfunction("""COMPUTED_VALUE"""),215.15)</f>
        <v>215.15</v>
      </c>
      <c r="D1057" s="5" t="n">
        <f aca="false">IFERROR(__xludf.dummyfunction("""COMPUTED_VALUE"""),211.49)</f>
        <v>211.49</v>
      </c>
      <c r="E1057" s="5" t="n">
        <f aca="false">IFERROR(__xludf.dummyfunction("""COMPUTED_VALUE"""),212.69)</f>
        <v>212.69</v>
      </c>
      <c r="F1057" s="5" t="n">
        <f aca="false">IFERROR(__xludf.dummyfunction("""COMPUTED_VALUE"""),42432426)</f>
        <v>42432426</v>
      </c>
    </row>
    <row r="1058" customFormat="false" ht="15.75" hidden="false" customHeight="false" outlineLevel="0" collapsed="false">
      <c r="A1058" s="6" t="n">
        <f aca="false">IFERROR(__xludf.dummyfunction("""COMPUTED_VALUE"""),45735.6666666667)</f>
        <v>45735.6666666667</v>
      </c>
      <c r="B1058" s="5" t="n">
        <f aca="false">IFERROR(__xludf.dummyfunction("""COMPUTED_VALUE"""),214.22)</f>
        <v>214.22</v>
      </c>
      <c r="C1058" s="5" t="n">
        <f aca="false">IFERROR(__xludf.dummyfunction("""COMPUTED_VALUE"""),218.76)</f>
        <v>218.76</v>
      </c>
      <c r="D1058" s="5" t="n">
        <f aca="false">IFERROR(__xludf.dummyfunction("""COMPUTED_VALUE"""),213.75)</f>
        <v>213.75</v>
      </c>
      <c r="E1058" s="5" t="n">
        <f aca="false">IFERROR(__xludf.dummyfunction("""COMPUTED_VALUE"""),215.24)</f>
        <v>215.24</v>
      </c>
      <c r="F1058" s="5" t="n">
        <f aca="false">IFERROR(__xludf.dummyfunction("""COMPUTED_VALUE"""),54385391)</f>
        <v>54385391</v>
      </c>
    </row>
    <row r="1059" customFormat="false" ht="15.75" hidden="false" customHeight="false" outlineLevel="0" collapsed="false">
      <c r="A1059" s="6" t="n">
        <f aca="false">IFERROR(__xludf.dummyfunction("""COMPUTED_VALUE"""),45736.6666666667)</f>
        <v>45736.6666666667</v>
      </c>
      <c r="B1059" s="5" t="n">
        <f aca="false">IFERROR(__xludf.dummyfunction("""COMPUTED_VALUE"""),213.99)</f>
        <v>213.99</v>
      </c>
      <c r="C1059" s="5" t="n">
        <f aca="false">IFERROR(__xludf.dummyfunction("""COMPUTED_VALUE"""),217.49)</f>
        <v>217.49</v>
      </c>
      <c r="D1059" s="5" t="n">
        <f aca="false">IFERROR(__xludf.dummyfunction("""COMPUTED_VALUE"""),212.22)</f>
        <v>212.22</v>
      </c>
      <c r="E1059" s="5" t="n">
        <f aca="false">IFERROR(__xludf.dummyfunction("""COMPUTED_VALUE"""),214.1)</f>
        <v>214.1</v>
      </c>
      <c r="F1059" s="5" t="n">
        <f aca="false">IFERROR(__xludf.dummyfunction("""COMPUTED_VALUE"""),48862947)</f>
        <v>48862947</v>
      </c>
    </row>
    <row r="1060" customFormat="false" ht="15.75" hidden="false" customHeight="false" outlineLevel="0" collapsed="false">
      <c r="A1060" s="6" t="n">
        <f aca="false">IFERROR(__xludf.dummyfunction("""COMPUTED_VALUE"""),45737.6666666667)</f>
        <v>45737.6666666667</v>
      </c>
      <c r="B1060" s="5" t="n">
        <f aca="false">IFERROR(__xludf.dummyfunction("""COMPUTED_VALUE"""),211.56)</f>
        <v>211.56</v>
      </c>
      <c r="C1060" s="5" t="n">
        <f aca="false">IFERROR(__xludf.dummyfunction("""COMPUTED_VALUE"""),218.84)</f>
        <v>218.84</v>
      </c>
      <c r="D1060" s="5" t="n">
        <f aca="false">IFERROR(__xludf.dummyfunction("""COMPUTED_VALUE"""),211.28)</f>
        <v>211.28</v>
      </c>
      <c r="E1060" s="5" t="n">
        <f aca="false">IFERROR(__xludf.dummyfunction("""COMPUTED_VALUE"""),218.27)</f>
        <v>218.27</v>
      </c>
      <c r="F1060" s="5" t="n">
        <f aca="false">IFERROR(__xludf.dummyfunction("""COMPUTED_VALUE"""),94127768)</f>
        <v>94127768</v>
      </c>
    </row>
    <row r="1061" customFormat="false" ht="15.75" hidden="false" customHeight="false" outlineLevel="0" collapsed="false">
      <c r="A1061" s="6" t="n">
        <f aca="false">IFERROR(__xludf.dummyfunction("""COMPUTED_VALUE"""),45740.6666666667)</f>
        <v>45740.6666666667</v>
      </c>
      <c r="B1061" s="5" t="n">
        <f aca="false">IFERROR(__xludf.dummyfunction("""COMPUTED_VALUE"""),221)</f>
        <v>221</v>
      </c>
      <c r="C1061" s="5" t="n">
        <f aca="false">IFERROR(__xludf.dummyfunction("""COMPUTED_VALUE"""),221.48)</f>
        <v>221.48</v>
      </c>
      <c r="D1061" s="5" t="n">
        <f aca="false">IFERROR(__xludf.dummyfunction("""COMPUTED_VALUE"""),218.58)</f>
        <v>218.58</v>
      </c>
      <c r="E1061" s="5" t="n">
        <f aca="false">IFERROR(__xludf.dummyfunction("""COMPUTED_VALUE"""),220.73)</f>
        <v>220.73</v>
      </c>
      <c r="F1061" s="5" t="n">
        <f aca="false">IFERROR(__xludf.dummyfunction("""COMPUTED_VALUE"""),44299483)</f>
        <v>44299483</v>
      </c>
    </row>
    <row r="1062" customFormat="false" ht="15.75" hidden="false" customHeight="false" outlineLevel="0" collapsed="false">
      <c r="A1062" s="6" t="n">
        <f aca="false">IFERROR(__xludf.dummyfunction("""COMPUTED_VALUE"""),45741.6666666667)</f>
        <v>45741.6666666667</v>
      </c>
      <c r="B1062" s="5" t="n">
        <f aca="false">IFERROR(__xludf.dummyfunction("""COMPUTED_VALUE"""),220.77)</f>
        <v>220.77</v>
      </c>
      <c r="C1062" s="5" t="n">
        <f aca="false">IFERROR(__xludf.dummyfunction("""COMPUTED_VALUE"""),224.1)</f>
        <v>224.1</v>
      </c>
      <c r="D1062" s="5" t="n">
        <f aca="false">IFERROR(__xludf.dummyfunction("""COMPUTED_VALUE"""),220.08)</f>
        <v>220.08</v>
      </c>
      <c r="E1062" s="5" t="n">
        <f aca="false">IFERROR(__xludf.dummyfunction("""COMPUTED_VALUE"""),223.75)</f>
        <v>223.75</v>
      </c>
      <c r="F1062" s="5" t="n">
        <f aca="false">IFERROR(__xludf.dummyfunction("""COMPUTED_VALUE"""),34493583)</f>
        <v>34493583</v>
      </c>
    </row>
    <row r="1063" customFormat="false" ht="15.75" hidden="false" customHeight="false" outlineLevel="0" collapsed="false">
      <c r="A1063" s="6" t="n">
        <f aca="false">IFERROR(__xludf.dummyfunction("""COMPUTED_VALUE"""),45742.6666666667)</f>
        <v>45742.6666666667</v>
      </c>
      <c r="B1063" s="5" t="n">
        <f aca="false">IFERROR(__xludf.dummyfunction("""COMPUTED_VALUE"""),223.51)</f>
        <v>223.51</v>
      </c>
      <c r="C1063" s="5" t="n">
        <f aca="false">IFERROR(__xludf.dummyfunction("""COMPUTED_VALUE"""),225.02)</f>
        <v>225.02</v>
      </c>
      <c r="D1063" s="5" t="n">
        <f aca="false">IFERROR(__xludf.dummyfunction("""COMPUTED_VALUE"""),220.47)</f>
        <v>220.47</v>
      </c>
      <c r="E1063" s="5" t="n">
        <f aca="false">IFERROR(__xludf.dummyfunction("""COMPUTED_VALUE"""),221.53)</f>
        <v>221.53</v>
      </c>
      <c r="F1063" s="5" t="n">
        <f aca="false">IFERROR(__xludf.dummyfunction("""COMPUTED_VALUE"""),34532656)</f>
        <v>34532656</v>
      </c>
    </row>
    <row r="1064" customFormat="false" ht="15.75" hidden="false" customHeight="false" outlineLevel="0" collapsed="false">
      <c r="A1064" s="6" t="n">
        <f aca="false">IFERROR(__xludf.dummyfunction("""COMPUTED_VALUE"""),45743.6666666667)</f>
        <v>45743.6666666667</v>
      </c>
      <c r="B1064" s="5" t="n">
        <f aca="false">IFERROR(__xludf.dummyfunction("""COMPUTED_VALUE"""),221.39)</f>
        <v>221.39</v>
      </c>
      <c r="C1064" s="5" t="n">
        <f aca="false">IFERROR(__xludf.dummyfunction("""COMPUTED_VALUE"""),224.99)</f>
        <v>224.99</v>
      </c>
      <c r="D1064" s="5" t="n">
        <f aca="false">IFERROR(__xludf.dummyfunction("""COMPUTED_VALUE"""),220.56)</f>
        <v>220.56</v>
      </c>
      <c r="E1064" s="5" t="n">
        <f aca="false">IFERROR(__xludf.dummyfunction("""COMPUTED_VALUE"""),223.85)</f>
        <v>223.85</v>
      </c>
      <c r="F1064" s="5" t="n">
        <f aca="false">IFERROR(__xludf.dummyfunction("""COMPUTED_VALUE"""),37094774)</f>
        <v>37094774</v>
      </c>
    </row>
    <row r="1065" customFormat="false" ht="15.75" hidden="false" customHeight="false" outlineLevel="0" collapsed="false">
      <c r="A1065" s="6" t="n">
        <f aca="false">IFERROR(__xludf.dummyfunction("""COMPUTED_VALUE"""),45744.6666666667)</f>
        <v>45744.6666666667</v>
      </c>
      <c r="B1065" s="5" t="n">
        <f aca="false">IFERROR(__xludf.dummyfunction("""COMPUTED_VALUE"""),221.67)</f>
        <v>221.67</v>
      </c>
      <c r="C1065" s="5" t="n">
        <f aca="false">IFERROR(__xludf.dummyfunction("""COMPUTED_VALUE"""),223.81)</f>
        <v>223.81</v>
      </c>
      <c r="D1065" s="5" t="n">
        <f aca="false">IFERROR(__xludf.dummyfunction("""COMPUTED_VALUE"""),217.68)</f>
        <v>217.68</v>
      </c>
      <c r="E1065" s="5" t="n">
        <f aca="false">IFERROR(__xludf.dummyfunction("""COMPUTED_VALUE"""),217.9)</f>
        <v>217.9</v>
      </c>
      <c r="F1065" s="5" t="n">
        <f aca="false">IFERROR(__xludf.dummyfunction("""COMPUTED_VALUE"""),39818617)</f>
        <v>39818617</v>
      </c>
    </row>
    <row r="1066" customFormat="false" ht="15.75" hidden="false" customHeight="false" outlineLevel="0" collapsed="false">
      <c r="A1066" s="6" t="n">
        <f aca="false">IFERROR(__xludf.dummyfunction("""COMPUTED_VALUE"""),45747.6666666667)</f>
        <v>45747.6666666667</v>
      </c>
      <c r="B1066" s="5" t="n">
        <f aca="false">IFERROR(__xludf.dummyfunction("""COMPUTED_VALUE"""),217.01)</f>
        <v>217.01</v>
      </c>
      <c r="C1066" s="5" t="n">
        <f aca="false">IFERROR(__xludf.dummyfunction("""COMPUTED_VALUE"""),225.62)</f>
        <v>225.62</v>
      </c>
      <c r="D1066" s="5" t="n">
        <f aca="false">IFERROR(__xludf.dummyfunction("""COMPUTED_VALUE"""),216.23)</f>
        <v>216.23</v>
      </c>
      <c r="E1066" s="5" t="n">
        <f aca="false">IFERROR(__xludf.dummyfunction("""COMPUTED_VALUE"""),222.13)</f>
        <v>222.13</v>
      </c>
      <c r="F1066" s="5" t="n">
        <f aca="false">IFERROR(__xludf.dummyfunction("""COMPUTED_VALUE"""),65299321)</f>
        <v>65299321</v>
      </c>
    </row>
    <row r="1067" customFormat="false" ht="15.75" hidden="false" customHeight="false" outlineLevel="0" collapsed="false">
      <c r="A1067" s="6" t="n">
        <f aca="false">IFERROR(__xludf.dummyfunction("""COMPUTED_VALUE"""),45748.6666666667)</f>
        <v>45748.6666666667</v>
      </c>
      <c r="B1067" s="5" t="n">
        <f aca="false">IFERROR(__xludf.dummyfunction("""COMPUTED_VALUE"""),219.81)</f>
        <v>219.81</v>
      </c>
      <c r="C1067" s="5" t="n">
        <f aca="false">IFERROR(__xludf.dummyfunction("""COMPUTED_VALUE"""),223.68)</f>
        <v>223.68</v>
      </c>
      <c r="D1067" s="5" t="n">
        <f aca="false">IFERROR(__xludf.dummyfunction("""COMPUTED_VALUE"""),218.9)</f>
        <v>218.9</v>
      </c>
      <c r="E1067" s="5" t="n">
        <f aca="false">IFERROR(__xludf.dummyfunction("""COMPUTED_VALUE"""),223.19)</f>
        <v>223.19</v>
      </c>
      <c r="F1067" s="5" t="n">
        <f aca="false">IFERROR(__xludf.dummyfunction("""COMPUTED_VALUE"""),36412740)</f>
        <v>36412740</v>
      </c>
    </row>
    <row r="1068" customFormat="false" ht="15.75" hidden="false" customHeight="false" outlineLevel="0" collapsed="false">
      <c r="A1068" s="6" t="n">
        <f aca="false">IFERROR(__xludf.dummyfunction("""COMPUTED_VALUE"""),45749.6666666667)</f>
        <v>45749.6666666667</v>
      </c>
      <c r="B1068" s="5" t="n">
        <f aca="false">IFERROR(__xludf.dummyfunction("""COMPUTED_VALUE"""),221.32)</f>
        <v>221.32</v>
      </c>
      <c r="C1068" s="5" t="n">
        <f aca="false">IFERROR(__xludf.dummyfunction("""COMPUTED_VALUE"""),225.19)</f>
        <v>225.19</v>
      </c>
      <c r="D1068" s="5" t="n">
        <f aca="false">IFERROR(__xludf.dummyfunction("""COMPUTED_VALUE"""),221.02)</f>
        <v>221.02</v>
      </c>
      <c r="E1068" s="5" t="n">
        <f aca="false">IFERROR(__xludf.dummyfunction("""COMPUTED_VALUE"""),223.89)</f>
        <v>223.89</v>
      </c>
      <c r="F1068" s="5" t="n">
        <f aca="false">IFERROR(__xludf.dummyfunction("""COMPUTED_VALUE"""),35905904)</f>
        <v>35905904</v>
      </c>
    </row>
    <row r="1069" customFormat="false" ht="15.75" hidden="false" customHeight="false" outlineLevel="0" collapsed="false">
      <c r="A1069" s="6" t="n">
        <f aca="false">IFERROR(__xludf.dummyfunction("""COMPUTED_VALUE"""),45750.6666666667)</f>
        <v>45750.6666666667</v>
      </c>
      <c r="B1069" s="5" t="n">
        <f aca="false">IFERROR(__xludf.dummyfunction("""COMPUTED_VALUE"""),205.54)</f>
        <v>205.54</v>
      </c>
      <c r="C1069" s="5" t="n">
        <f aca="false">IFERROR(__xludf.dummyfunction("""COMPUTED_VALUE"""),207.49)</f>
        <v>207.49</v>
      </c>
      <c r="D1069" s="5" t="n">
        <f aca="false">IFERROR(__xludf.dummyfunction("""COMPUTED_VALUE"""),201.25)</f>
        <v>201.25</v>
      </c>
      <c r="E1069" s="5" t="n">
        <f aca="false">IFERROR(__xludf.dummyfunction("""COMPUTED_VALUE"""),203.19)</f>
        <v>203.19</v>
      </c>
      <c r="F1069" s="5" t="n">
        <f aca="false">IFERROR(__xludf.dummyfunction("""COMPUTED_VALUE"""),103419006)</f>
        <v>103419006</v>
      </c>
    </row>
    <row r="1070" customFormat="false" ht="15.75" hidden="false" customHeight="false" outlineLevel="0" collapsed="false">
      <c r="A1070" s="6" t="n">
        <f aca="false">IFERROR(__xludf.dummyfunction("""COMPUTED_VALUE"""),45751.6666666667)</f>
        <v>45751.6666666667</v>
      </c>
      <c r="B1070" s="5" t="n">
        <f aca="false">IFERROR(__xludf.dummyfunction("""COMPUTED_VALUE"""),193.89)</f>
        <v>193.89</v>
      </c>
      <c r="C1070" s="5" t="n">
        <f aca="false">IFERROR(__xludf.dummyfunction("""COMPUTED_VALUE"""),199.88)</f>
        <v>199.88</v>
      </c>
      <c r="D1070" s="5" t="n">
        <f aca="false">IFERROR(__xludf.dummyfunction("""COMPUTED_VALUE"""),187.34)</f>
        <v>187.34</v>
      </c>
      <c r="E1070" s="5" t="n">
        <f aca="false">IFERROR(__xludf.dummyfunction("""COMPUTED_VALUE"""),188.38)</f>
        <v>188.38</v>
      </c>
      <c r="F1070" s="5" t="n">
        <f aca="false">IFERROR(__xludf.dummyfunction("""COMPUTED_VALUE"""),125910913)</f>
        <v>125910913</v>
      </c>
    </row>
    <row r="1071" customFormat="false" ht="15.75" hidden="false" customHeight="false" outlineLevel="0" collapsed="false">
      <c r="A1071" s="6" t="n">
        <f aca="false">IFERROR(__xludf.dummyfunction("""COMPUTED_VALUE"""),45754.6666666667)</f>
        <v>45754.6666666667</v>
      </c>
      <c r="B1071" s="5" t="n">
        <f aca="false">IFERROR(__xludf.dummyfunction("""COMPUTED_VALUE"""),177.2)</f>
        <v>177.2</v>
      </c>
      <c r="C1071" s="5" t="n">
        <f aca="false">IFERROR(__xludf.dummyfunction("""COMPUTED_VALUE"""),194.15)</f>
        <v>194.15</v>
      </c>
      <c r="D1071" s="5" t="n">
        <f aca="false">IFERROR(__xludf.dummyfunction("""COMPUTED_VALUE"""),174.62)</f>
        <v>174.62</v>
      </c>
      <c r="E1071" s="5" t="n">
        <f aca="false">IFERROR(__xludf.dummyfunction("""COMPUTED_VALUE"""),181.46)</f>
        <v>181.46</v>
      </c>
      <c r="F1071" s="5" t="n">
        <f aca="false">IFERROR(__xludf.dummyfunction("""COMPUTED_VALUE"""),160466286)</f>
        <v>160466286</v>
      </c>
    </row>
    <row r="1072" customFormat="false" ht="15.75" hidden="false" customHeight="false" outlineLevel="0" collapsed="false">
      <c r="A1072" s="6" t="n">
        <f aca="false">IFERROR(__xludf.dummyfunction("""COMPUTED_VALUE"""),45755.6666666667)</f>
        <v>45755.6666666667</v>
      </c>
      <c r="B1072" s="5" t="n">
        <f aca="false">IFERROR(__xludf.dummyfunction("""COMPUTED_VALUE"""),186.7)</f>
        <v>186.7</v>
      </c>
      <c r="C1072" s="5" t="n">
        <f aca="false">IFERROR(__xludf.dummyfunction("""COMPUTED_VALUE"""),190.34)</f>
        <v>190.34</v>
      </c>
      <c r="D1072" s="5" t="n">
        <f aca="false">IFERROR(__xludf.dummyfunction("""COMPUTED_VALUE"""),169.21)</f>
        <v>169.21</v>
      </c>
      <c r="E1072" s="5" t="n">
        <f aca="false">IFERROR(__xludf.dummyfunction("""COMPUTED_VALUE"""),172.42)</f>
        <v>172.42</v>
      </c>
      <c r="F1072" s="5" t="n">
        <f aca="false">IFERROR(__xludf.dummyfunction("""COMPUTED_VALUE"""),120859491)</f>
        <v>120859491</v>
      </c>
    </row>
    <row r="1073" customFormat="false" ht="15.75" hidden="false" customHeight="false" outlineLevel="0" collapsed="false">
      <c r="A1073" s="6" t="n">
        <f aca="false">IFERROR(__xludf.dummyfunction("""COMPUTED_VALUE"""),45756.6666666667)</f>
        <v>45756.6666666667</v>
      </c>
      <c r="B1073" s="5" t="n">
        <f aca="false">IFERROR(__xludf.dummyfunction("""COMPUTED_VALUE"""),171.95)</f>
        <v>171.95</v>
      </c>
      <c r="C1073" s="5" t="n">
        <f aca="false">IFERROR(__xludf.dummyfunction("""COMPUTED_VALUE"""),200.61)</f>
        <v>200.61</v>
      </c>
      <c r="D1073" s="5" t="n">
        <f aca="false">IFERROR(__xludf.dummyfunction("""COMPUTED_VALUE"""),171.89)</f>
        <v>171.89</v>
      </c>
      <c r="E1073" s="5" t="n">
        <f aca="false">IFERROR(__xludf.dummyfunction("""COMPUTED_VALUE"""),198.85)</f>
        <v>198.85</v>
      </c>
      <c r="F1073" s="5" t="n">
        <f aca="false">IFERROR(__xludf.dummyfunction("""COMPUTED_VALUE"""),184395885)</f>
        <v>184395885</v>
      </c>
    </row>
    <row r="1074" customFormat="false" ht="15.75" hidden="false" customHeight="false" outlineLevel="0" collapsed="false">
      <c r="A1074" s="6" t="n">
        <f aca="false">IFERROR(__xludf.dummyfunction("""COMPUTED_VALUE"""),45757.6666666667)</f>
        <v>45757.6666666667</v>
      </c>
      <c r="B1074" s="5" t="n">
        <f aca="false">IFERROR(__xludf.dummyfunction("""COMPUTED_VALUE"""),189.07)</f>
        <v>189.07</v>
      </c>
      <c r="C1074" s="5" t="n">
        <f aca="false">IFERROR(__xludf.dummyfunction("""COMPUTED_VALUE"""),194.78)</f>
        <v>194.78</v>
      </c>
      <c r="D1074" s="5" t="n">
        <f aca="false">IFERROR(__xludf.dummyfunction("""COMPUTED_VALUE"""),183)</f>
        <v>183</v>
      </c>
      <c r="E1074" s="5" t="n">
        <f aca="false">IFERROR(__xludf.dummyfunction("""COMPUTED_VALUE"""),190.42)</f>
        <v>190.42</v>
      </c>
      <c r="F1074" s="5" t="n">
        <f aca="false">IFERROR(__xludf.dummyfunction("""COMPUTED_VALUE"""),121879981)</f>
        <v>121879981</v>
      </c>
    </row>
    <row r="1075" customFormat="false" ht="15.75" hidden="false" customHeight="false" outlineLevel="0" collapsed="false">
      <c r="A1075" s="6" t="n">
        <f aca="false">IFERROR(__xludf.dummyfunction("""COMPUTED_VALUE"""),45758.6666666667)</f>
        <v>45758.6666666667</v>
      </c>
      <c r="B1075" s="5" t="n">
        <f aca="false">IFERROR(__xludf.dummyfunction("""COMPUTED_VALUE"""),186.1)</f>
        <v>186.1</v>
      </c>
      <c r="C1075" s="5" t="n">
        <f aca="false">IFERROR(__xludf.dummyfunction("""COMPUTED_VALUE"""),199.54)</f>
        <v>199.54</v>
      </c>
      <c r="D1075" s="5" t="n">
        <f aca="false">IFERROR(__xludf.dummyfunction("""COMPUTED_VALUE"""),186.06)</f>
        <v>186.06</v>
      </c>
      <c r="E1075" s="5" t="n">
        <f aca="false">IFERROR(__xludf.dummyfunction("""COMPUTED_VALUE"""),198.15)</f>
        <v>198.15</v>
      </c>
      <c r="F1075" s="5" t="n">
        <f aca="false">IFERROR(__xludf.dummyfunction("""COMPUTED_VALUE"""),87435915)</f>
        <v>87435915</v>
      </c>
    </row>
    <row r="1076" customFormat="false" ht="15.75" hidden="false" customHeight="false" outlineLevel="0" collapsed="false">
      <c r="A1076" s="6" t="n">
        <f aca="false">IFERROR(__xludf.dummyfunction("""COMPUTED_VALUE"""),45761.6666666667)</f>
        <v>45761.6666666667</v>
      </c>
      <c r="B1076" s="5" t="n">
        <f aca="false">IFERROR(__xludf.dummyfunction("""COMPUTED_VALUE"""),211.44)</f>
        <v>211.44</v>
      </c>
      <c r="C1076" s="5" t="n">
        <f aca="false">IFERROR(__xludf.dummyfunction("""COMPUTED_VALUE"""),212.94)</f>
        <v>212.94</v>
      </c>
      <c r="D1076" s="5" t="n">
        <f aca="false">IFERROR(__xludf.dummyfunction("""COMPUTED_VALUE"""),201.16)</f>
        <v>201.16</v>
      </c>
      <c r="E1076" s="5" t="n">
        <f aca="false">IFERROR(__xludf.dummyfunction("""COMPUTED_VALUE"""),202.52)</f>
        <v>202.52</v>
      </c>
      <c r="F1076" s="5" t="n">
        <f aca="false">IFERROR(__xludf.dummyfunction("""COMPUTED_VALUE"""),101352911)</f>
        <v>101352911</v>
      </c>
    </row>
    <row r="1077" customFormat="false" ht="15.75" hidden="false" customHeight="false" outlineLevel="0" collapsed="false">
      <c r="A1077" s="6" t="n">
        <f aca="false">IFERROR(__xludf.dummyfunction("""COMPUTED_VALUE"""),45762.6666666667)</f>
        <v>45762.6666666667</v>
      </c>
      <c r="B1077" s="5" t="n">
        <f aca="false">IFERROR(__xludf.dummyfunction("""COMPUTED_VALUE"""),201.86)</f>
        <v>201.86</v>
      </c>
      <c r="C1077" s="5" t="n">
        <f aca="false">IFERROR(__xludf.dummyfunction("""COMPUTED_VALUE"""),203.51)</f>
        <v>203.51</v>
      </c>
      <c r="D1077" s="5" t="n">
        <f aca="false">IFERROR(__xludf.dummyfunction("""COMPUTED_VALUE"""),199.8)</f>
        <v>199.8</v>
      </c>
      <c r="E1077" s="5" t="n">
        <f aca="false">IFERROR(__xludf.dummyfunction("""COMPUTED_VALUE"""),202.14)</f>
        <v>202.14</v>
      </c>
      <c r="F1077" s="5" t="n">
        <f aca="false">IFERROR(__xludf.dummyfunction("""COMPUTED_VALUE"""),51343872)</f>
        <v>51343872</v>
      </c>
    </row>
    <row r="1078" customFormat="false" ht="15.75" hidden="false" customHeight="false" outlineLevel="0" collapsed="false">
      <c r="A1078" s="6" t="n">
        <f aca="false">IFERROR(__xludf.dummyfunction("""COMPUTED_VALUE"""),45763.6666666667)</f>
        <v>45763.6666666667</v>
      </c>
      <c r="B1078" s="5" t="n">
        <f aca="false">IFERROR(__xludf.dummyfunction("""COMPUTED_VALUE"""),198.36)</f>
        <v>198.36</v>
      </c>
      <c r="C1078" s="5" t="n">
        <f aca="false">IFERROR(__xludf.dummyfunction("""COMPUTED_VALUE"""),200.7)</f>
        <v>200.7</v>
      </c>
      <c r="D1078" s="5" t="n">
        <f aca="false">IFERROR(__xludf.dummyfunction("""COMPUTED_VALUE"""),192.37)</f>
        <v>192.37</v>
      </c>
      <c r="E1078" s="5" t="n">
        <f aca="false">IFERROR(__xludf.dummyfunction("""COMPUTED_VALUE"""),194.27)</f>
        <v>194.27</v>
      </c>
      <c r="F1078" s="5" t="n">
        <f aca="false">IFERROR(__xludf.dummyfunction("""COMPUTED_VALUE"""),59732423)</f>
        <v>59732423</v>
      </c>
    </row>
    <row r="1079" customFormat="false" ht="15.75" hidden="false" customHeight="false" outlineLevel="0" collapsed="false">
      <c r="A1079" s="6" t="n">
        <f aca="false">IFERROR(__xludf.dummyfunction("""COMPUTED_VALUE"""),45764.6666666667)</f>
        <v>45764.6666666667</v>
      </c>
      <c r="B1079" s="5" t="n">
        <f aca="false">IFERROR(__xludf.dummyfunction("""COMPUTED_VALUE"""),197.2)</f>
        <v>197.2</v>
      </c>
      <c r="C1079" s="5" t="n">
        <f aca="false">IFERROR(__xludf.dummyfunction("""COMPUTED_VALUE"""),198.83)</f>
        <v>198.83</v>
      </c>
      <c r="D1079" s="5" t="n">
        <f aca="false">IFERROR(__xludf.dummyfunction("""COMPUTED_VALUE"""),194.42)</f>
        <v>194.42</v>
      </c>
      <c r="E1079" s="5" t="n">
        <f aca="false">IFERROR(__xludf.dummyfunction("""COMPUTED_VALUE"""),196.98)</f>
        <v>196.98</v>
      </c>
      <c r="F1079" s="5" t="n">
        <f aca="false">IFERROR(__xludf.dummyfunction("""COMPUTED_VALUE"""),52164675)</f>
        <v>52164675</v>
      </c>
    </row>
    <row r="1080" customFormat="false" ht="15.75" hidden="false" customHeight="false" outlineLevel="0" collapsed="false">
      <c r="A1080" s="6" t="n">
        <f aca="false">IFERROR(__xludf.dummyfunction("""COMPUTED_VALUE"""),45768.6666666667)</f>
        <v>45768.6666666667</v>
      </c>
      <c r="B1080" s="5" t="n">
        <f aca="false">IFERROR(__xludf.dummyfunction("""COMPUTED_VALUE"""),193.27)</f>
        <v>193.27</v>
      </c>
      <c r="C1080" s="5" t="n">
        <f aca="false">IFERROR(__xludf.dummyfunction("""COMPUTED_VALUE"""),193.8)</f>
        <v>193.8</v>
      </c>
      <c r="D1080" s="5" t="n">
        <f aca="false">IFERROR(__xludf.dummyfunction("""COMPUTED_VALUE"""),189.81)</f>
        <v>189.81</v>
      </c>
      <c r="E1080" s="5" t="n">
        <f aca="false">IFERROR(__xludf.dummyfunction("""COMPUTED_VALUE"""),193.16)</f>
        <v>193.16</v>
      </c>
      <c r="F1080" s="5" t="n">
        <f aca="false">IFERROR(__xludf.dummyfunction("""COMPUTED_VALUE"""),46742537)</f>
        <v>46742537</v>
      </c>
    </row>
    <row r="1081" customFormat="false" ht="15.75" hidden="false" customHeight="false" outlineLevel="0" collapsed="false">
      <c r="A1081" s="6" t="n">
        <f aca="false">IFERROR(__xludf.dummyfunction("""COMPUTED_VALUE"""),45769.6666666667)</f>
        <v>45769.6666666667</v>
      </c>
      <c r="B1081" s="5" t="n">
        <f aca="false">IFERROR(__xludf.dummyfunction("""COMPUTED_VALUE"""),196.12)</f>
        <v>196.12</v>
      </c>
      <c r="C1081" s="5" t="n">
        <f aca="false">IFERROR(__xludf.dummyfunction("""COMPUTED_VALUE"""),201.59)</f>
        <v>201.59</v>
      </c>
      <c r="D1081" s="5" t="n">
        <f aca="false">IFERROR(__xludf.dummyfunction("""COMPUTED_VALUE"""),195.97)</f>
        <v>195.97</v>
      </c>
      <c r="E1081" s="5" t="n">
        <f aca="false">IFERROR(__xludf.dummyfunction("""COMPUTED_VALUE"""),199.74)</f>
        <v>199.74</v>
      </c>
      <c r="F1081" s="5" t="n">
        <f aca="false">IFERROR(__xludf.dummyfunction("""COMPUTED_VALUE"""),52976371)</f>
        <v>52976371</v>
      </c>
    </row>
    <row r="1082" customFormat="false" ht="15.75" hidden="false" customHeight="false" outlineLevel="0" collapsed="false">
      <c r="A1082" s="6" t="n">
        <f aca="false">IFERROR(__xludf.dummyfunction("""COMPUTED_VALUE"""),45770.6666666667)</f>
        <v>45770.6666666667</v>
      </c>
      <c r="B1082" s="5" t="n">
        <f aca="false">IFERROR(__xludf.dummyfunction("""COMPUTED_VALUE"""),206)</f>
        <v>206</v>
      </c>
      <c r="C1082" s="5" t="n">
        <f aca="false">IFERROR(__xludf.dummyfunction("""COMPUTED_VALUE"""),208)</f>
        <v>208</v>
      </c>
      <c r="D1082" s="5" t="n">
        <f aca="false">IFERROR(__xludf.dummyfunction("""COMPUTED_VALUE"""),202.8)</f>
        <v>202.8</v>
      </c>
      <c r="E1082" s="5" t="n">
        <f aca="false">IFERROR(__xludf.dummyfunction("""COMPUTED_VALUE"""),204.6)</f>
        <v>204.6</v>
      </c>
      <c r="F1082" s="5" t="n">
        <f aca="false">IFERROR(__xludf.dummyfunction("""COMPUTED_VALUE"""),52929165)</f>
        <v>52929165</v>
      </c>
    </row>
    <row r="1083" customFormat="false" ht="15.75" hidden="false" customHeight="false" outlineLevel="0" collapsed="false">
      <c r="A1083" s="6" t="n">
        <f aca="false">IFERROR(__xludf.dummyfunction("""COMPUTED_VALUE"""),45771.6666666667)</f>
        <v>45771.6666666667</v>
      </c>
      <c r="B1083" s="5" t="n">
        <f aca="false">IFERROR(__xludf.dummyfunction("""COMPUTED_VALUE"""),204.89)</f>
        <v>204.89</v>
      </c>
      <c r="C1083" s="5" t="n">
        <f aca="false">IFERROR(__xludf.dummyfunction("""COMPUTED_VALUE"""),208.83)</f>
        <v>208.83</v>
      </c>
      <c r="D1083" s="5" t="n">
        <f aca="false">IFERROR(__xludf.dummyfunction("""COMPUTED_VALUE"""),202.94)</f>
        <v>202.94</v>
      </c>
      <c r="E1083" s="5" t="n">
        <f aca="false">IFERROR(__xludf.dummyfunction("""COMPUTED_VALUE"""),208.37)</f>
        <v>208.37</v>
      </c>
      <c r="F1083" s="5" t="n">
        <f aca="false">IFERROR(__xludf.dummyfunction("""COMPUTED_VALUE"""),47310989)</f>
        <v>47310989</v>
      </c>
    </row>
    <row r="1084" customFormat="false" ht="15.75" hidden="false" customHeight="false" outlineLevel="0" collapsed="false">
      <c r="A1084" s="6" t="n">
        <f aca="false">IFERROR(__xludf.dummyfunction("""COMPUTED_VALUE"""),45772.6666666667)</f>
        <v>45772.6666666667</v>
      </c>
      <c r="B1084" s="5" t="n">
        <f aca="false">IFERROR(__xludf.dummyfunction("""COMPUTED_VALUE"""),206.37)</f>
        <v>206.37</v>
      </c>
      <c r="C1084" s="5" t="n">
        <f aca="false">IFERROR(__xludf.dummyfunction("""COMPUTED_VALUE"""),209.75)</f>
        <v>209.75</v>
      </c>
      <c r="D1084" s="5" t="n">
        <f aca="false">IFERROR(__xludf.dummyfunction("""COMPUTED_VALUE"""),206.2)</f>
        <v>206.2</v>
      </c>
      <c r="E1084" s="5" t="n">
        <f aca="false">IFERROR(__xludf.dummyfunction("""COMPUTED_VALUE"""),209.28)</f>
        <v>209.28</v>
      </c>
      <c r="F1084" s="5" t="n">
        <f aca="false">IFERROR(__xludf.dummyfunction("""COMPUTED_VALUE"""),38222258)</f>
        <v>38222258</v>
      </c>
    </row>
    <row r="1085" customFormat="false" ht="15.75" hidden="false" customHeight="false" outlineLevel="0" collapsed="false">
      <c r="A1085" s="6" t="n">
        <f aca="false">IFERROR(__xludf.dummyfunction("""COMPUTED_VALUE"""),45775.6666666667)</f>
        <v>45775.6666666667</v>
      </c>
      <c r="B1085" s="5" t="n">
        <f aca="false">IFERROR(__xludf.dummyfunction("""COMPUTED_VALUE"""),210)</f>
        <v>210</v>
      </c>
      <c r="C1085" s="5" t="n">
        <f aca="false">IFERROR(__xludf.dummyfunction("""COMPUTED_VALUE"""),211.5)</f>
        <v>211.5</v>
      </c>
      <c r="D1085" s="5" t="n">
        <f aca="false">IFERROR(__xludf.dummyfunction("""COMPUTED_VALUE"""),207.46)</f>
        <v>207.46</v>
      </c>
      <c r="E1085" s="5" t="n">
        <f aca="false">IFERROR(__xludf.dummyfunction("""COMPUTED_VALUE"""),210.14)</f>
        <v>210.14</v>
      </c>
      <c r="F1085" s="5" t="n">
        <f aca="false">IFERROR(__xludf.dummyfunction("""COMPUTED_VALUE"""),38743074)</f>
        <v>38743074</v>
      </c>
    </row>
    <row r="1086" customFormat="false" ht="15.75" hidden="false" customHeight="false" outlineLevel="0" collapsed="false">
      <c r="A1086" s="6" t="n">
        <f aca="false">IFERROR(__xludf.dummyfunction("""COMPUTED_VALUE"""),45776.6666666667)</f>
        <v>45776.6666666667</v>
      </c>
      <c r="B1086" s="5" t="n">
        <f aca="false">IFERROR(__xludf.dummyfunction("""COMPUTED_VALUE"""),208.69)</f>
        <v>208.69</v>
      </c>
      <c r="C1086" s="5" t="n">
        <f aca="false">IFERROR(__xludf.dummyfunction("""COMPUTED_VALUE"""),212.24)</f>
        <v>212.24</v>
      </c>
      <c r="D1086" s="5" t="n">
        <f aca="false">IFERROR(__xludf.dummyfunction("""COMPUTED_VALUE"""),208.37)</f>
        <v>208.37</v>
      </c>
      <c r="E1086" s="5" t="n">
        <f aca="false">IFERROR(__xludf.dummyfunction("""COMPUTED_VALUE"""),211.21)</f>
        <v>211.21</v>
      </c>
      <c r="F1086" s="5" t="n">
        <f aca="false">IFERROR(__xludf.dummyfunction("""COMPUTED_VALUE"""),36827633)</f>
        <v>36827633</v>
      </c>
    </row>
    <row r="1087" customFormat="false" ht="15.75" hidden="false" customHeight="false" outlineLevel="0" collapsed="false">
      <c r="A1087" s="6" t="n">
        <f aca="false">IFERROR(__xludf.dummyfunction("""COMPUTED_VALUE"""),45777.6666666667)</f>
        <v>45777.6666666667</v>
      </c>
      <c r="B1087" s="5" t="n">
        <f aca="false">IFERROR(__xludf.dummyfunction("""COMPUTED_VALUE"""),209.3)</f>
        <v>209.3</v>
      </c>
      <c r="C1087" s="5" t="n">
        <f aca="false">IFERROR(__xludf.dummyfunction("""COMPUTED_VALUE"""),213.58)</f>
        <v>213.58</v>
      </c>
      <c r="D1087" s="5" t="n">
        <f aca="false">IFERROR(__xludf.dummyfunction("""COMPUTED_VALUE"""),206.67)</f>
        <v>206.67</v>
      </c>
      <c r="E1087" s="5" t="n">
        <f aca="false">IFERROR(__xludf.dummyfunction("""COMPUTED_VALUE"""),212.5)</f>
        <v>212.5</v>
      </c>
      <c r="F1087" s="5" t="n">
        <f aca="false">IFERROR(__xludf.dummyfunction("""COMPUTED_VALUE"""),52286454)</f>
        <v>52286454</v>
      </c>
    </row>
    <row r="1088" customFormat="false" ht="15.75" hidden="false" customHeight="false" outlineLevel="0" collapsed="false">
      <c r="A1088" s="6" t="n">
        <f aca="false">IFERROR(__xludf.dummyfunction("""COMPUTED_VALUE"""),45778.6666666667)</f>
        <v>45778.6666666667</v>
      </c>
      <c r="B1088" s="5" t="n">
        <f aca="false">IFERROR(__xludf.dummyfunction("""COMPUTED_VALUE"""),209.08)</f>
        <v>209.08</v>
      </c>
      <c r="C1088" s="5" t="n">
        <f aca="false">IFERROR(__xludf.dummyfunction("""COMPUTED_VALUE"""),214.56)</f>
        <v>214.56</v>
      </c>
      <c r="D1088" s="5" t="n">
        <f aca="false">IFERROR(__xludf.dummyfunction("""COMPUTED_VALUE"""),208.9)</f>
        <v>208.9</v>
      </c>
      <c r="E1088" s="5" t="n">
        <f aca="false">IFERROR(__xludf.dummyfunction("""COMPUTED_VALUE"""),213.32)</f>
        <v>213.32</v>
      </c>
      <c r="F1088" s="5" t="n">
        <f aca="false">IFERROR(__xludf.dummyfunction("""COMPUTED_VALUE"""),57365675)</f>
        <v>57365675</v>
      </c>
    </row>
    <row r="1089" customFormat="false" ht="15.75" hidden="false" customHeight="false" outlineLevel="0" collapsed="false">
      <c r="A1089" s="6" t="n">
        <f aca="false">IFERROR(__xludf.dummyfunction("""COMPUTED_VALUE"""),45779.6666666667)</f>
        <v>45779.6666666667</v>
      </c>
      <c r="B1089" s="5" t="n">
        <f aca="false">IFERROR(__xludf.dummyfunction("""COMPUTED_VALUE"""),206.09)</f>
        <v>206.09</v>
      </c>
      <c r="C1089" s="5" t="n">
        <f aca="false">IFERROR(__xludf.dummyfunction("""COMPUTED_VALUE"""),206.99)</f>
        <v>206.99</v>
      </c>
      <c r="D1089" s="5" t="n">
        <f aca="false">IFERROR(__xludf.dummyfunction("""COMPUTED_VALUE"""),202.16)</f>
        <v>202.16</v>
      </c>
      <c r="E1089" s="5" t="n">
        <f aca="false">IFERROR(__xludf.dummyfunction("""COMPUTED_VALUE"""),205.35)</f>
        <v>205.35</v>
      </c>
      <c r="F1089" s="5" t="n">
        <f aca="false">IFERROR(__xludf.dummyfunction("""COMPUTED_VALUE"""),101010621)</f>
        <v>101010621</v>
      </c>
    </row>
    <row r="1090" customFormat="false" ht="15.75" hidden="false" customHeight="false" outlineLevel="0" collapsed="false">
      <c r="A1090" s="6" t="n">
        <f aca="false">IFERROR(__xludf.dummyfunction("""COMPUTED_VALUE"""),45782.6666666667)</f>
        <v>45782.6666666667</v>
      </c>
      <c r="B1090" s="5" t="n">
        <f aca="false">IFERROR(__xludf.dummyfunction("""COMPUTED_VALUE"""),203.1)</f>
        <v>203.1</v>
      </c>
      <c r="C1090" s="5" t="n">
        <f aca="false">IFERROR(__xludf.dummyfunction("""COMPUTED_VALUE"""),204.1)</f>
        <v>204.1</v>
      </c>
      <c r="D1090" s="5" t="n">
        <f aca="false">IFERROR(__xludf.dummyfunction("""COMPUTED_VALUE"""),198.21)</f>
        <v>198.21</v>
      </c>
      <c r="E1090" s="5" t="n">
        <f aca="false">IFERROR(__xludf.dummyfunction("""COMPUTED_VALUE"""),198.89)</f>
        <v>198.89</v>
      </c>
      <c r="F1090" s="5" t="n">
        <f aca="false">IFERROR(__xludf.dummyfunction("""COMPUTED_VALUE"""),69018452)</f>
        <v>69018452</v>
      </c>
    </row>
    <row r="1091" customFormat="false" ht="15.75" hidden="false" customHeight="false" outlineLevel="0" collapsed="false">
      <c r="A1091" s="6" t="n">
        <f aca="false">IFERROR(__xludf.dummyfunction("""COMPUTED_VALUE"""),45783.6666666667)</f>
        <v>45783.6666666667</v>
      </c>
      <c r="B1091" s="5" t="n">
        <f aca="false">IFERROR(__xludf.dummyfunction("""COMPUTED_VALUE"""),198.21)</f>
        <v>198.21</v>
      </c>
      <c r="C1091" s="5" t="n">
        <f aca="false">IFERROR(__xludf.dummyfunction("""COMPUTED_VALUE"""),200.65)</f>
        <v>200.65</v>
      </c>
      <c r="D1091" s="5" t="n">
        <f aca="false">IFERROR(__xludf.dummyfunction("""COMPUTED_VALUE"""),197.02)</f>
        <v>197.02</v>
      </c>
      <c r="E1091" s="5" t="n">
        <f aca="false">IFERROR(__xludf.dummyfunction("""COMPUTED_VALUE"""),198.51)</f>
        <v>198.51</v>
      </c>
      <c r="F1091" s="5" t="n">
        <f aca="false">IFERROR(__xludf.dummyfunction("""COMPUTED_VALUE"""),51216482)</f>
        <v>51216482</v>
      </c>
    </row>
    <row r="1092" customFormat="false" ht="15.75" hidden="false" customHeight="false" outlineLevel="0" collapsed="false">
      <c r="A1092" s="6" t="n">
        <f aca="false">IFERROR(__xludf.dummyfunction("""COMPUTED_VALUE"""),45784.6666666667)</f>
        <v>45784.6666666667</v>
      </c>
      <c r="B1092" s="5" t="n">
        <f aca="false">IFERROR(__xludf.dummyfunction("""COMPUTED_VALUE"""),199.17)</f>
        <v>199.17</v>
      </c>
      <c r="C1092" s="5" t="n">
        <f aca="false">IFERROR(__xludf.dummyfunction("""COMPUTED_VALUE"""),199.44)</f>
        <v>199.44</v>
      </c>
      <c r="D1092" s="5" t="n">
        <f aca="false">IFERROR(__xludf.dummyfunction("""COMPUTED_VALUE"""),193.25)</f>
        <v>193.25</v>
      </c>
      <c r="E1092" s="5" t="n">
        <f aca="false">IFERROR(__xludf.dummyfunction("""COMPUTED_VALUE"""),196.25)</f>
        <v>196.25</v>
      </c>
      <c r="F1092" s="5" t="n">
        <f aca="false">IFERROR(__xludf.dummyfunction("""COMPUTED_VALUE"""),68616943)</f>
        <v>68616943</v>
      </c>
    </row>
    <row r="1093" customFormat="false" ht="15.75" hidden="false" customHeight="false" outlineLevel="0" collapsed="false">
      <c r="A1093" s="6" t="n">
        <f aca="false">IFERROR(__xludf.dummyfunction("""COMPUTED_VALUE"""),45785.6666666667)</f>
        <v>45785.6666666667</v>
      </c>
      <c r="B1093" s="5" t="n">
        <f aca="false">IFERROR(__xludf.dummyfunction("""COMPUTED_VALUE"""),197.72)</f>
        <v>197.72</v>
      </c>
      <c r="C1093" s="5" t="n">
        <f aca="false">IFERROR(__xludf.dummyfunction("""COMPUTED_VALUE"""),200.05)</f>
        <v>200.05</v>
      </c>
      <c r="D1093" s="5" t="n">
        <f aca="false">IFERROR(__xludf.dummyfunction("""COMPUTED_VALUE"""),194.68)</f>
        <v>194.68</v>
      </c>
      <c r="E1093" s="5" t="n">
        <f aca="false">IFERROR(__xludf.dummyfunction("""COMPUTED_VALUE"""),197.49)</f>
        <v>197.49</v>
      </c>
      <c r="F1093" s="5" t="n">
        <f aca="false">IFERROR(__xludf.dummyfunction("""COMPUTED_VALUE"""),50478872)</f>
        <v>50478872</v>
      </c>
    </row>
    <row r="1094" customFormat="false" ht="15.75" hidden="false" customHeight="false" outlineLevel="0" collapsed="false">
      <c r="A1094" s="6" t="n">
        <f aca="false">IFERROR(__xludf.dummyfunction("""COMPUTED_VALUE"""),45786.6666666667)</f>
        <v>45786.6666666667</v>
      </c>
      <c r="B1094" s="5" t="n">
        <f aca="false">IFERROR(__xludf.dummyfunction("""COMPUTED_VALUE"""),199)</f>
        <v>199</v>
      </c>
      <c r="C1094" s="5" t="n">
        <f aca="false">IFERROR(__xludf.dummyfunction("""COMPUTED_VALUE"""),200.54)</f>
        <v>200.54</v>
      </c>
      <c r="D1094" s="5" t="n">
        <f aca="false">IFERROR(__xludf.dummyfunction("""COMPUTED_VALUE"""),197.54)</f>
        <v>197.54</v>
      </c>
      <c r="E1094" s="5" t="n">
        <f aca="false">IFERROR(__xludf.dummyfunction("""COMPUTED_VALUE"""),198.53)</f>
        <v>198.53</v>
      </c>
      <c r="F1094" s="5" t="n">
        <f aca="false">IFERROR(__xludf.dummyfunction("""COMPUTED_VALUE"""),36453923)</f>
        <v>36453923</v>
      </c>
    </row>
    <row r="1095" customFormat="false" ht="15.75" hidden="false" customHeight="false" outlineLevel="0" collapsed="false">
      <c r="A1095" s="6" t="n">
        <f aca="false">IFERROR(__xludf.dummyfunction("""COMPUTED_VALUE"""),45789.6666666667)</f>
        <v>45789.6666666667</v>
      </c>
      <c r="B1095" s="5" t="n">
        <f aca="false">IFERROR(__xludf.dummyfunction("""COMPUTED_VALUE"""),210.97)</f>
        <v>210.97</v>
      </c>
      <c r="C1095" s="5" t="n">
        <f aca="false">IFERROR(__xludf.dummyfunction("""COMPUTED_VALUE"""),211.27)</f>
        <v>211.27</v>
      </c>
      <c r="D1095" s="5" t="n">
        <f aca="false">IFERROR(__xludf.dummyfunction("""COMPUTED_VALUE"""),206.75)</f>
        <v>206.75</v>
      </c>
      <c r="E1095" s="5" t="n">
        <f aca="false">IFERROR(__xludf.dummyfunction("""COMPUTED_VALUE"""),210.79)</f>
        <v>210.79</v>
      </c>
      <c r="F1095" s="5" t="n">
        <f aca="false">IFERROR(__xludf.dummyfunction("""COMPUTED_VALUE"""),63775814)</f>
        <v>63775814</v>
      </c>
    </row>
    <row r="1096" customFormat="false" ht="15.75" hidden="false" customHeight="false" outlineLevel="0" collapsed="false">
      <c r="A1096" s="6" t="n">
        <f aca="false">IFERROR(__xludf.dummyfunction("""COMPUTED_VALUE"""),45790.6666666667)</f>
        <v>45790.6666666667</v>
      </c>
      <c r="B1096" s="5" t="n">
        <f aca="false">IFERROR(__xludf.dummyfunction("""COMPUTED_VALUE"""),210.43)</f>
        <v>210.43</v>
      </c>
      <c r="C1096" s="5" t="n">
        <f aca="false">IFERROR(__xludf.dummyfunction("""COMPUTED_VALUE"""),213.4)</f>
        <v>213.4</v>
      </c>
      <c r="D1096" s="5" t="n">
        <f aca="false">IFERROR(__xludf.dummyfunction("""COMPUTED_VALUE"""),209)</f>
        <v>209</v>
      </c>
      <c r="E1096" s="5" t="n">
        <f aca="false">IFERROR(__xludf.dummyfunction("""COMPUTED_VALUE"""),212.93)</f>
        <v>212.93</v>
      </c>
      <c r="F1096" s="5" t="n">
        <f aca="false">IFERROR(__xludf.dummyfunction("""COMPUTED_VALUE"""),51909332)</f>
        <v>51909332</v>
      </c>
    </row>
    <row r="1097" customFormat="false" ht="15.75" hidden="false" customHeight="false" outlineLevel="0" collapsed="false">
      <c r="A1097" s="6" t="n">
        <f aca="false">IFERROR(__xludf.dummyfunction("""COMPUTED_VALUE"""),45791.6666666667)</f>
        <v>45791.6666666667</v>
      </c>
      <c r="B1097" s="5" t="n">
        <f aca="false">IFERROR(__xludf.dummyfunction("""COMPUTED_VALUE"""),212.43)</f>
        <v>212.43</v>
      </c>
      <c r="C1097" s="5" t="n">
        <f aca="false">IFERROR(__xludf.dummyfunction("""COMPUTED_VALUE"""),213.94)</f>
        <v>213.94</v>
      </c>
      <c r="D1097" s="5" t="n">
        <f aca="false">IFERROR(__xludf.dummyfunction("""COMPUTED_VALUE"""),210.58)</f>
        <v>210.58</v>
      </c>
      <c r="E1097" s="5" t="n">
        <f aca="false">IFERROR(__xludf.dummyfunction("""COMPUTED_VALUE"""),212.33)</f>
        <v>212.33</v>
      </c>
      <c r="F1097" s="5" t="n">
        <f aca="false">IFERROR(__xludf.dummyfunction("""COMPUTED_VALUE"""),49325825)</f>
        <v>49325825</v>
      </c>
    </row>
    <row r="1098" customFormat="false" ht="15.75" hidden="false" customHeight="false" outlineLevel="0" collapsed="false">
      <c r="A1098" s="6" t="n">
        <f aca="false">IFERROR(__xludf.dummyfunction("""COMPUTED_VALUE"""),45792.6666666667)</f>
        <v>45792.6666666667</v>
      </c>
      <c r="B1098" s="5" t="n">
        <f aca="false">IFERROR(__xludf.dummyfunction("""COMPUTED_VALUE"""),210.95)</f>
        <v>210.95</v>
      </c>
      <c r="C1098" s="5" t="n">
        <f aca="false">IFERROR(__xludf.dummyfunction("""COMPUTED_VALUE"""),212.96)</f>
        <v>212.96</v>
      </c>
      <c r="D1098" s="5" t="n">
        <f aca="false">IFERROR(__xludf.dummyfunction("""COMPUTED_VALUE"""),209.54)</f>
        <v>209.54</v>
      </c>
      <c r="E1098" s="5" t="n">
        <f aca="false">IFERROR(__xludf.dummyfunction("""COMPUTED_VALUE"""),211.45)</f>
        <v>211.45</v>
      </c>
      <c r="F1098" s="5" t="n">
        <f aca="false">IFERROR(__xludf.dummyfunction("""COMPUTED_VALUE"""),45029473)</f>
        <v>45029473</v>
      </c>
    </row>
    <row r="1099" customFormat="false" ht="15.75" hidden="false" customHeight="false" outlineLevel="0" collapsed="false">
      <c r="A1099" s="6" t="n">
        <f aca="false">IFERROR(__xludf.dummyfunction("""COMPUTED_VALUE"""),45793.6666666667)</f>
        <v>45793.6666666667</v>
      </c>
      <c r="B1099" s="5" t="n">
        <f aca="false">IFERROR(__xludf.dummyfunction("""COMPUTED_VALUE"""),212.36)</f>
        <v>212.36</v>
      </c>
      <c r="C1099" s="5" t="n">
        <f aca="false">IFERROR(__xludf.dummyfunction("""COMPUTED_VALUE"""),212.57)</f>
        <v>212.57</v>
      </c>
      <c r="D1099" s="5" t="n">
        <f aca="false">IFERROR(__xludf.dummyfunction("""COMPUTED_VALUE"""),209.77)</f>
        <v>209.77</v>
      </c>
      <c r="E1099" s="5" t="n">
        <f aca="false">IFERROR(__xludf.dummyfunction("""COMPUTED_VALUE"""),211.26)</f>
        <v>211.26</v>
      </c>
      <c r="F1099" s="5" t="n">
        <f aca="false">IFERROR(__xludf.dummyfunction("""COMPUTED_VALUE"""),54737850)</f>
        <v>54737850</v>
      </c>
    </row>
    <row r="1100" customFormat="false" ht="15.75" hidden="false" customHeight="false" outlineLevel="0" collapsed="false">
      <c r="A1100" s="6" t="n">
        <f aca="false">IFERROR(__xludf.dummyfunction("""COMPUTED_VALUE"""),45796.6666666667)</f>
        <v>45796.6666666667</v>
      </c>
      <c r="B1100" s="5" t="n">
        <f aca="false">IFERROR(__xludf.dummyfunction("""COMPUTED_VALUE"""),207.91)</f>
        <v>207.91</v>
      </c>
      <c r="C1100" s="5" t="n">
        <f aca="false">IFERROR(__xludf.dummyfunction("""COMPUTED_VALUE"""),209.48)</f>
        <v>209.48</v>
      </c>
      <c r="D1100" s="5" t="n">
        <f aca="false">IFERROR(__xludf.dummyfunction("""COMPUTED_VALUE"""),204.26)</f>
        <v>204.26</v>
      </c>
      <c r="E1100" s="5" t="n">
        <f aca="false">IFERROR(__xludf.dummyfunction("""COMPUTED_VALUE"""),208.78)</f>
        <v>208.78</v>
      </c>
      <c r="F1100" s="5" t="n">
        <f aca="false">IFERROR(__xludf.dummyfunction("""COMPUTED_VALUE"""),46140527)</f>
        <v>46140527</v>
      </c>
    </row>
    <row r="1101" customFormat="false" ht="15.75" hidden="false" customHeight="false" outlineLevel="0" collapsed="false">
      <c r="A1101" s="6" t="n">
        <f aca="false">IFERROR(__xludf.dummyfunction("""COMPUTED_VALUE"""),45797.6666666667)</f>
        <v>45797.6666666667</v>
      </c>
      <c r="B1101" s="5" t="n">
        <f aca="false">IFERROR(__xludf.dummyfunction("""COMPUTED_VALUE"""),207.67)</f>
        <v>207.67</v>
      </c>
      <c r="C1101" s="5" t="n">
        <f aca="false">IFERROR(__xludf.dummyfunction("""COMPUTED_VALUE"""),208.47)</f>
        <v>208.47</v>
      </c>
      <c r="D1101" s="5" t="n">
        <f aca="false">IFERROR(__xludf.dummyfunction("""COMPUTED_VALUE"""),205.03)</f>
        <v>205.03</v>
      </c>
      <c r="E1101" s="5" t="n">
        <f aca="false">IFERROR(__xludf.dummyfunction("""COMPUTED_VALUE"""),206.86)</f>
        <v>206.86</v>
      </c>
      <c r="F1101" s="5" t="n">
        <f aca="false">IFERROR(__xludf.dummyfunction("""COMPUTED_VALUE"""),42496635)</f>
        <v>42496635</v>
      </c>
    </row>
    <row r="1102" customFormat="false" ht="15.75" hidden="false" customHeight="false" outlineLevel="0" collapsed="false">
      <c r="A1102" s="6" t="n">
        <f aca="false">IFERROR(__xludf.dummyfunction("""COMPUTED_VALUE"""),45798.6666666667)</f>
        <v>45798.6666666667</v>
      </c>
      <c r="B1102" s="5" t="n">
        <f aca="false">IFERROR(__xludf.dummyfunction("""COMPUTED_VALUE"""),205.17)</f>
        <v>205.17</v>
      </c>
      <c r="C1102" s="5" t="n">
        <f aca="false">IFERROR(__xludf.dummyfunction("""COMPUTED_VALUE"""),207.04)</f>
        <v>207.04</v>
      </c>
      <c r="D1102" s="5" t="n">
        <f aca="false">IFERROR(__xludf.dummyfunction("""COMPUTED_VALUE"""),200.71)</f>
        <v>200.71</v>
      </c>
      <c r="E1102" s="5" t="n">
        <f aca="false">IFERROR(__xludf.dummyfunction("""COMPUTED_VALUE"""),202.09)</f>
        <v>202.09</v>
      </c>
      <c r="F1102" s="5" t="n">
        <f aca="false">IFERROR(__xludf.dummyfunction("""COMPUTED_VALUE"""),59211774)</f>
        <v>59211774</v>
      </c>
    </row>
    <row r="1103" customFormat="false" ht="15.75" hidden="false" customHeight="false" outlineLevel="0" collapsed="false">
      <c r="A1103" s="6" t="n">
        <f aca="false">IFERROR(__xludf.dummyfunction("""COMPUTED_VALUE"""),45799.6666666667)</f>
        <v>45799.6666666667</v>
      </c>
      <c r="B1103" s="5" t="n">
        <f aca="false">IFERROR(__xludf.dummyfunction("""COMPUTED_VALUE"""),205.17)</f>
        <v>205.17</v>
      </c>
      <c r="C1103" s="5" t="n">
        <f aca="false">IFERROR(__xludf.dummyfunction("""COMPUTED_VALUE"""),207.04)</f>
        <v>207.04</v>
      </c>
      <c r="D1103" s="5" t="n">
        <f aca="false">IFERROR(__xludf.dummyfunction("""COMPUTED_VALUE"""),200.71)</f>
        <v>200.71</v>
      </c>
      <c r="E1103" s="5" t="n">
        <f aca="false">IFERROR(__xludf.dummyfunction("""COMPUTED_VALUE"""),202.09)</f>
        <v>202.09</v>
      </c>
      <c r="F1103" s="5" t="n">
        <f aca="false">IFERROR(__xludf.dummyfunction("""COMPUTED_VALUE"""),1536434)</f>
        <v>1536434</v>
      </c>
    </row>
    <row r="1104" customFormat="false" ht="15.75" hidden="false" customHeight="false" outlineLevel="0" collapsed="false">
      <c r="A1104" s="6" t="n">
        <f aca="false">IFERROR(__xludf.dummyfunction("""COMPUTED_VALUE"""),45800.6666666667)</f>
        <v>45800.6666666667</v>
      </c>
      <c r="B1104" s="5" t="n">
        <f aca="false">IFERROR(__xludf.dummyfunction("""COMPUTED_VALUE"""),193.67)</f>
        <v>193.67</v>
      </c>
      <c r="C1104" s="5" t="n">
        <f aca="false">IFERROR(__xludf.dummyfunction("""COMPUTED_VALUE"""),197.7)</f>
        <v>197.7</v>
      </c>
      <c r="D1104" s="5" t="n">
        <f aca="false">IFERROR(__xludf.dummyfunction("""COMPUTED_VALUE"""),193.46)</f>
        <v>193.46</v>
      </c>
      <c r="E1104" s="5" t="n">
        <f aca="false">IFERROR(__xludf.dummyfunction("""COMPUTED_VALUE"""),195.27)</f>
        <v>195.27</v>
      </c>
      <c r="F1104" s="5" t="n">
        <f aca="false">IFERROR(__xludf.dummyfunction("""COMPUTED_VALUE"""),78432918)</f>
        <v>78432918</v>
      </c>
    </row>
    <row r="1105" customFormat="false" ht="15.75" hidden="false" customHeight="false" outlineLevel="0" collapsed="false">
      <c r="A1105" s="6" t="n">
        <f aca="false">IFERROR(__xludf.dummyfunction("""COMPUTED_VALUE"""),45804.6666666667)</f>
        <v>45804.6666666667</v>
      </c>
      <c r="B1105" s="5" t="n">
        <f aca="false">IFERROR(__xludf.dummyfunction("""COMPUTED_VALUE"""),198.3)</f>
        <v>198.3</v>
      </c>
      <c r="C1105" s="5" t="n">
        <f aca="false">IFERROR(__xludf.dummyfunction("""COMPUTED_VALUE"""),200.74)</f>
        <v>200.74</v>
      </c>
      <c r="D1105" s="5" t="n">
        <f aca="false">IFERROR(__xludf.dummyfunction("""COMPUTED_VALUE"""),197.43)</f>
        <v>197.43</v>
      </c>
      <c r="E1105" s="5" t="n">
        <f aca="false">IFERROR(__xludf.dummyfunction("""COMPUTED_VALUE"""),200.21)</f>
        <v>200.21</v>
      </c>
      <c r="F1105" s="5" t="n">
        <f aca="false">IFERROR(__xludf.dummyfunction("""COMPUTED_VALUE"""),56288475)</f>
        <v>56288475</v>
      </c>
    </row>
    <row r="1106" customFormat="false" ht="15.75" hidden="false" customHeight="false" outlineLevel="0" collapsed="false">
      <c r="A1106" s="6" t="n">
        <f aca="false">IFERROR(__xludf.dummyfunction("""COMPUTED_VALUE"""),45805.6666666667)</f>
        <v>45805.6666666667</v>
      </c>
      <c r="B1106" s="5" t="n">
        <f aca="false">IFERROR(__xludf.dummyfunction("""COMPUTED_VALUE"""),200.59)</f>
        <v>200.59</v>
      </c>
      <c r="C1106" s="5" t="n">
        <f aca="false">IFERROR(__xludf.dummyfunction("""COMPUTED_VALUE"""),202.73)</f>
        <v>202.73</v>
      </c>
      <c r="D1106" s="5" t="n">
        <f aca="false">IFERROR(__xludf.dummyfunction("""COMPUTED_VALUE"""),199.9)</f>
        <v>199.9</v>
      </c>
      <c r="E1106" s="5" t="n">
        <f aca="false">IFERROR(__xludf.dummyfunction("""COMPUTED_VALUE"""),200.42)</f>
        <v>200.42</v>
      </c>
      <c r="F1106" s="5" t="n">
        <f aca="false">IFERROR(__xludf.dummyfunction("""COMPUTED_VALUE"""),45339678)</f>
        <v>45339678</v>
      </c>
    </row>
    <row r="1107" customFormat="false" ht="15.75" hidden="false" customHeight="false" outlineLevel="0" collapsed="false">
      <c r="A1107" s="6" t="n">
        <f aca="false">IFERROR(__xludf.dummyfunction("""COMPUTED_VALUE"""),45806.6666666667)</f>
        <v>45806.6666666667</v>
      </c>
      <c r="B1107" s="5" t="n">
        <f aca="false">IFERROR(__xludf.dummyfunction("""COMPUTED_VALUE"""),203.58)</f>
        <v>203.58</v>
      </c>
      <c r="C1107" s="5" t="n">
        <f aca="false">IFERROR(__xludf.dummyfunction("""COMPUTED_VALUE"""),203.81)</f>
        <v>203.81</v>
      </c>
      <c r="D1107" s="5" t="n">
        <f aca="false">IFERROR(__xludf.dummyfunction("""COMPUTED_VALUE"""),198.51)</f>
        <v>198.51</v>
      </c>
      <c r="E1107" s="5" t="n">
        <f aca="false">IFERROR(__xludf.dummyfunction("""COMPUTED_VALUE"""),199.95)</f>
        <v>199.95</v>
      </c>
      <c r="F1107" s="5" t="n">
        <f aca="false">IFERROR(__xludf.dummyfunction("""COMPUTED_VALUE"""),51477938)</f>
        <v>51477938</v>
      </c>
    </row>
    <row r="1108" customFormat="false" ht="15.75" hidden="false" customHeight="false" outlineLevel="0" collapsed="false">
      <c r="A1108" s="6" t="n">
        <f aca="false">IFERROR(__xludf.dummyfunction("""COMPUTED_VALUE"""),45807.6666666667)</f>
        <v>45807.6666666667</v>
      </c>
      <c r="B1108" s="5" t="n">
        <f aca="false">IFERROR(__xludf.dummyfunction("""COMPUTED_VALUE"""),199.37)</f>
        <v>199.37</v>
      </c>
      <c r="C1108" s="5" t="n">
        <f aca="false">IFERROR(__xludf.dummyfunction("""COMPUTED_VALUE"""),201.96)</f>
        <v>201.96</v>
      </c>
      <c r="D1108" s="5" t="n">
        <f aca="false">IFERROR(__xludf.dummyfunction("""COMPUTED_VALUE"""),196.78)</f>
        <v>196.78</v>
      </c>
      <c r="E1108" s="5" t="n">
        <f aca="false">IFERROR(__xludf.dummyfunction("""COMPUTED_VALUE"""),200.85)</f>
        <v>200.85</v>
      </c>
      <c r="F1108" s="5" t="n">
        <f aca="false">IFERROR(__xludf.dummyfunction("""COMPUTED_VALUE"""),70819942)</f>
        <v>70819942</v>
      </c>
    </row>
    <row r="1109" customFormat="false" ht="15.75" hidden="false" customHeight="false" outlineLevel="0" collapsed="false">
      <c r="A1109" s="6" t="n">
        <f aca="false">IFERROR(__xludf.dummyfunction("""COMPUTED_VALUE"""),45810.6666666667)</f>
        <v>45810.6666666667</v>
      </c>
      <c r="B1109" s="5" t="n">
        <f aca="false">IFERROR(__xludf.dummyfunction("""COMPUTED_VALUE"""),200.28)</f>
        <v>200.28</v>
      </c>
      <c r="C1109" s="5" t="n">
        <f aca="false">IFERROR(__xludf.dummyfunction("""COMPUTED_VALUE"""),202.13)</f>
        <v>202.13</v>
      </c>
      <c r="D1109" s="5" t="n">
        <f aca="false">IFERROR(__xludf.dummyfunction("""COMPUTED_VALUE"""),200.12)</f>
        <v>200.12</v>
      </c>
      <c r="E1109" s="5" t="n">
        <f aca="false">IFERROR(__xludf.dummyfunction("""COMPUTED_VALUE"""),201.7)</f>
        <v>201.7</v>
      </c>
      <c r="F1109" s="5" t="n">
        <f aca="false">IFERROR(__xludf.dummyfunction("""COMPUTED_VALUE"""),35423294)</f>
        <v>35423294</v>
      </c>
    </row>
    <row r="1110" customFormat="false" ht="15.75" hidden="false" customHeight="false" outlineLevel="0" collapsed="false">
      <c r="A1110" s="6" t="n">
        <f aca="false">IFERROR(__xludf.dummyfunction("""COMPUTED_VALUE"""),45811.6666666667)</f>
        <v>45811.6666666667</v>
      </c>
      <c r="B1110" s="5" t="n">
        <f aca="false">IFERROR(__xludf.dummyfunction("""COMPUTED_VALUE"""),201.35)</f>
        <v>201.35</v>
      </c>
      <c r="C1110" s="5" t="n">
        <f aca="false">IFERROR(__xludf.dummyfunction("""COMPUTED_VALUE"""),203.77)</f>
        <v>203.77</v>
      </c>
      <c r="D1110" s="5" t="n">
        <f aca="false">IFERROR(__xludf.dummyfunction("""COMPUTED_VALUE"""),200.96)</f>
        <v>200.96</v>
      </c>
      <c r="E1110" s="5" t="n">
        <f aca="false">IFERROR(__xludf.dummyfunction("""COMPUTED_VALUE"""),203.27)</f>
        <v>203.27</v>
      </c>
      <c r="F1110" s="5" t="n">
        <f aca="false">IFERROR(__xludf.dummyfunction("""COMPUTED_VALUE"""),46381567)</f>
        <v>46381567</v>
      </c>
    </row>
    <row r="1111" customFormat="false" ht="15.75" hidden="false" customHeight="false" outlineLevel="0" collapsed="false">
      <c r="A1111" s="6" t="n">
        <f aca="false">IFERROR(__xludf.dummyfunction("""COMPUTED_VALUE"""),45812.6666666667)</f>
        <v>45812.6666666667</v>
      </c>
      <c r="B1111" s="5" t="n">
        <f aca="false">IFERROR(__xludf.dummyfunction("""COMPUTED_VALUE"""),202.91)</f>
        <v>202.91</v>
      </c>
      <c r="C1111" s="5" t="n">
        <f aca="false">IFERROR(__xludf.dummyfunction("""COMPUTED_VALUE"""),206.24)</f>
        <v>206.24</v>
      </c>
      <c r="D1111" s="5" t="n">
        <f aca="false">IFERROR(__xludf.dummyfunction("""COMPUTED_VALUE"""),202.1)</f>
        <v>202.1</v>
      </c>
      <c r="E1111" s="5" t="n">
        <f aca="false">IFERROR(__xludf.dummyfunction("""COMPUTED_VALUE"""),202.82)</f>
        <v>202.82</v>
      </c>
      <c r="F1111" s="5" t="n">
        <f aca="false">IFERROR(__xludf.dummyfunction("""COMPUTED_VALUE"""),43603985)</f>
        <v>43603985</v>
      </c>
    </row>
    <row r="1112" customFormat="false" ht="15.75" hidden="false" customHeight="false" outlineLevel="0" collapsed="false">
      <c r="A1112" s="6" t="n">
        <f aca="false">IFERROR(__xludf.dummyfunction("""COMPUTED_VALUE"""),45813.6666666667)</f>
        <v>45813.6666666667</v>
      </c>
      <c r="B1112" s="5" t="n">
        <f aca="false">IFERROR(__xludf.dummyfunction("""COMPUTED_VALUE"""),203.5)</f>
        <v>203.5</v>
      </c>
      <c r="C1112" s="5" t="n">
        <f aca="false">IFERROR(__xludf.dummyfunction("""COMPUTED_VALUE"""),204.75)</f>
        <v>204.75</v>
      </c>
      <c r="D1112" s="5" t="n">
        <f aca="false">IFERROR(__xludf.dummyfunction("""COMPUTED_VALUE"""),200.15)</f>
        <v>200.15</v>
      </c>
      <c r="E1112" s="5" t="n">
        <f aca="false">IFERROR(__xludf.dummyfunction("""COMPUTED_VALUE"""),200.63)</f>
        <v>200.63</v>
      </c>
      <c r="F1112" s="5" t="n">
        <f aca="false">IFERROR(__xludf.dummyfunction("""COMPUTED_VALUE"""),55221235)</f>
        <v>55221235</v>
      </c>
    </row>
    <row r="1113" customFormat="false" ht="15.75" hidden="false" customHeight="false" outlineLevel="0" collapsed="false">
      <c r="A1113" s="6" t="n">
        <f aca="false">IFERROR(__xludf.dummyfunction("""COMPUTED_VALUE"""),45814.6666666667)</f>
        <v>45814.6666666667</v>
      </c>
      <c r="B1113" s="5" t="n">
        <f aca="false">IFERROR(__xludf.dummyfunction("""COMPUTED_VALUE"""),203)</f>
        <v>203</v>
      </c>
      <c r="C1113" s="5" t="n">
        <f aca="false">IFERROR(__xludf.dummyfunction("""COMPUTED_VALUE"""),205.7)</f>
        <v>205.7</v>
      </c>
      <c r="D1113" s="5" t="n">
        <f aca="false">IFERROR(__xludf.dummyfunction("""COMPUTED_VALUE"""),202.05)</f>
        <v>202.05</v>
      </c>
      <c r="E1113" s="5" t="n">
        <f aca="false">IFERROR(__xludf.dummyfunction("""COMPUTED_VALUE"""),203.92)</f>
        <v>203.92</v>
      </c>
      <c r="F1113" s="5" t="n">
        <f aca="false">IFERROR(__xludf.dummyfunction("""COMPUTED_VALUE"""),46607693)</f>
        <v>46607693</v>
      </c>
    </row>
    <row r="1114" customFormat="false" ht="15.75" hidden="false" customHeight="false" outlineLevel="0" collapsed="false">
      <c r="A1114" s="6" t="n">
        <f aca="false">IFERROR(__xludf.dummyfunction("""COMPUTED_VALUE"""),45817.6666666667)</f>
        <v>45817.6666666667</v>
      </c>
      <c r="B1114" s="5" t="n">
        <f aca="false">IFERROR(__xludf.dummyfunction("""COMPUTED_VALUE"""),204.39)</f>
        <v>204.39</v>
      </c>
      <c r="C1114" s="5" t="n">
        <f aca="false">IFERROR(__xludf.dummyfunction("""COMPUTED_VALUE"""),206)</f>
        <v>206</v>
      </c>
      <c r="D1114" s="5" t="n">
        <f aca="false">IFERROR(__xludf.dummyfunction("""COMPUTED_VALUE"""),200.02)</f>
        <v>200.02</v>
      </c>
      <c r="E1114" s="5" t="n">
        <f aca="false">IFERROR(__xludf.dummyfunction("""COMPUTED_VALUE"""),201.45)</f>
        <v>201.45</v>
      </c>
      <c r="F1114" s="5" t="n">
        <f aca="false">IFERROR(__xludf.dummyfunction("""COMPUTED_VALUE"""),72862557)</f>
        <v>72862557</v>
      </c>
    </row>
    <row r="1115" customFormat="false" ht="15.75" hidden="false" customHeight="false" outlineLevel="0" collapsed="false">
      <c r="A1115" s="6" t="n">
        <f aca="false">IFERROR(__xludf.dummyfunction("""COMPUTED_VALUE"""),45818.6666666667)</f>
        <v>45818.6666666667</v>
      </c>
      <c r="B1115" s="5" t="n">
        <f aca="false">IFERROR(__xludf.dummyfunction("""COMPUTED_VALUE"""),200.6)</f>
        <v>200.6</v>
      </c>
      <c r="C1115" s="5" t="n">
        <f aca="false">IFERROR(__xludf.dummyfunction("""COMPUTED_VALUE"""),204.35)</f>
        <v>204.35</v>
      </c>
      <c r="D1115" s="5" t="n">
        <f aca="false">IFERROR(__xludf.dummyfunction("""COMPUTED_VALUE"""),200.57)</f>
        <v>200.57</v>
      </c>
      <c r="E1115" s="5" t="n">
        <f aca="false">IFERROR(__xludf.dummyfunction("""COMPUTED_VALUE"""),202.67)</f>
        <v>202.67</v>
      </c>
      <c r="F1115" s="5" t="n">
        <f aca="false">IFERROR(__xludf.dummyfunction("""COMPUTED_VALUE"""),54672608)</f>
        <v>54672608</v>
      </c>
    </row>
    <row r="1116" customFormat="false" ht="15.75" hidden="false" customHeight="false" outlineLevel="0" collapsed="false">
      <c r="A1116" s="6" t="n">
        <f aca="false">IFERROR(__xludf.dummyfunction("""COMPUTED_VALUE"""),45819.6666666667)</f>
        <v>45819.6666666667</v>
      </c>
      <c r="B1116" s="5" t="n">
        <f aca="false">IFERROR(__xludf.dummyfunction("""COMPUTED_VALUE"""),203.5)</f>
        <v>203.5</v>
      </c>
      <c r="C1116" s="5" t="n">
        <f aca="false">IFERROR(__xludf.dummyfunction("""COMPUTED_VALUE"""),204.5)</f>
        <v>204.5</v>
      </c>
      <c r="D1116" s="5" t="n">
        <f aca="false">IFERROR(__xludf.dummyfunction("""COMPUTED_VALUE"""),198.41)</f>
        <v>198.41</v>
      </c>
      <c r="E1116" s="5" t="n">
        <f aca="false">IFERROR(__xludf.dummyfunction("""COMPUTED_VALUE"""),198.78)</f>
        <v>198.78</v>
      </c>
      <c r="F1116" s="5" t="n">
        <f aca="false">IFERROR(__xludf.dummyfunction("""COMPUTED_VALUE"""),60989857)</f>
        <v>60989857</v>
      </c>
    </row>
    <row r="1117" customFormat="false" ht="15.75" hidden="false" customHeight="false" outlineLevel="0" collapsed="false">
      <c r="A1117" s="6" t="n">
        <f aca="false">IFERROR(__xludf.dummyfunction("""COMPUTED_VALUE"""),45820.6666666667)</f>
        <v>45820.6666666667</v>
      </c>
      <c r="B1117" s="5" t="n">
        <f aca="false">IFERROR(__xludf.dummyfunction("""COMPUTED_VALUE"""),199.08)</f>
        <v>199.08</v>
      </c>
      <c r="C1117" s="5" t="n">
        <f aca="false">IFERROR(__xludf.dummyfunction("""COMPUTED_VALUE"""),199.68)</f>
        <v>199.68</v>
      </c>
      <c r="D1117" s="5" t="n">
        <f aca="false">IFERROR(__xludf.dummyfunction("""COMPUTED_VALUE"""),197.36)</f>
        <v>197.36</v>
      </c>
      <c r="E1117" s="5" t="n">
        <f aca="false">IFERROR(__xludf.dummyfunction("""COMPUTED_VALUE"""),199.2)</f>
        <v>199.2</v>
      </c>
      <c r="F1117" s="5" t="n">
        <f aca="false">IFERROR(__xludf.dummyfunction("""COMPUTED_VALUE"""),43904635)</f>
        <v>43904635</v>
      </c>
    </row>
    <row r="1118" customFormat="false" ht="15.75" hidden="false" customHeight="false" outlineLevel="0" collapsed="false">
      <c r="A1118" s="6" t="n">
        <f aca="false">IFERROR(__xludf.dummyfunction("""COMPUTED_VALUE"""),45821.6666666667)</f>
        <v>45821.6666666667</v>
      </c>
      <c r="B1118" s="5" t="n">
        <f aca="false">IFERROR(__xludf.dummyfunction("""COMPUTED_VALUE"""),199.73)</f>
        <v>199.73</v>
      </c>
      <c r="C1118" s="5" t="n">
        <f aca="false">IFERROR(__xludf.dummyfunction("""COMPUTED_VALUE"""),200.37)</f>
        <v>200.37</v>
      </c>
      <c r="D1118" s="5" t="n">
        <f aca="false">IFERROR(__xludf.dummyfunction("""COMPUTED_VALUE"""),195.7)</f>
        <v>195.7</v>
      </c>
      <c r="E1118" s="5" t="n">
        <f aca="false">IFERROR(__xludf.dummyfunction("""COMPUTED_VALUE"""),196.45)</f>
        <v>196.45</v>
      </c>
      <c r="F1118" s="5" t="n">
        <f aca="false">IFERROR(__xludf.dummyfunction("""COMPUTED_VALUE"""),51447349)</f>
        <v>51447349</v>
      </c>
    </row>
    <row r="1119" customFormat="false" ht="15.75" hidden="false" customHeight="false" outlineLevel="0" collapsed="false">
      <c r="A1119" s="6" t="n">
        <f aca="false">IFERROR(__xludf.dummyfunction("""COMPUTED_VALUE"""),45824.6666666667)</f>
        <v>45824.6666666667</v>
      </c>
      <c r="B1119" s="5" t="n">
        <f aca="false">IFERROR(__xludf.dummyfunction("""COMPUTED_VALUE"""),197.3)</f>
        <v>197.3</v>
      </c>
      <c r="C1119" s="5" t="n">
        <f aca="false">IFERROR(__xludf.dummyfunction("""COMPUTED_VALUE"""),198.69)</f>
        <v>198.69</v>
      </c>
      <c r="D1119" s="5" t="n">
        <f aca="false">IFERROR(__xludf.dummyfunction("""COMPUTED_VALUE"""),196.56)</f>
        <v>196.56</v>
      </c>
      <c r="E1119" s="5" t="n">
        <f aca="false">IFERROR(__xludf.dummyfunction("""COMPUTED_VALUE"""),198.42)</f>
        <v>198.42</v>
      </c>
      <c r="F1119" s="5" t="n">
        <f aca="false">IFERROR(__xludf.dummyfunction("""COMPUTED_VALUE"""),43020691)</f>
        <v>43020691</v>
      </c>
    </row>
    <row r="1120" customFormat="false" ht="15.75" hidden="false" customHeight="false" outlineLevel="0" collapsed="false">
      <c r="A1120" s="6" t="n">
        <f aca="false">IFERROR(__xludf.dummyfunction("""COMPUTED_VALUE"""),45825.6666666667)</f>
        <v>45825.6666666667</v>
      </c>
      <c r="B1120" s="5" t="n">
        <f aca="false">IFERROR(__xludf.dummyfunction("""COMPUTED_VALUE"""),197.2)</f>
        <v>197.2</v>
      </c>
      <c r="C1120" s="5" t="n">
        <f aca="false">IFERROR(__xludf.dummyfunction("""COMPUTED_VALUE"""),198.39)</f>
        <v>198.39</v>
      </c>
      <c r="D1120" s="5" t="n">
        <f aca="false">IFERROR(__xludf.dummyfunction("""COMPUTED_VALUE"""),195.21)</f>
        <v>195.21</v>
      </c>
      <c r="E1120" s="5" t="n">
        <f aca="false">IFERROR(__xludf.dummyfunction("""COMPUTED_VALUE"""),195.64)</f>
        <v>195.64</v>
      </c>
      <c r="F1120" s="5" t="n">
        <f aca="false">IFERROR(__xludf.dummyfunction("""COMPUTED_VALUE"""),38856152)</f>
        <v>38856152</v>
      </c>
    </row>
    <row r="1121" customFormat="false" ht="15.75" hidden="false" customHeight="false" outlineLevel="0" collapsed="false">
      <c r="A1121" s="6" t="n">
        <f aca="false">IFERROR(__xludf.dummyfunction("""COMPUTED_VALUE"""),45826.6666666667)</f>
        <v>45826.6666666667</v>
      </c>
      <c r="B1121" s="5" t="n">
        <f aca="false">IFERROR(__xludf.dummyfunction("""COMPUTED_VALUE"""),195.94)</f>
        <v>195.94</v>
      </c>
      <c r="C1121" s="5" t="n">
        <f aca="false">IFERROR(__xludf.dummyfunction("""COMPUTED_VALUE"""),197.57)</f>
        <v>197.57</v>
      </c>
      <c r="D1121" s="5" t="n">
        <f aca="false">IFERROR(__xludf.dummyfunction("""COMPUTED_VALUE"""),195.07)</f>
        <v>195.07</v>
      </c>
      <c r="E1121" s="5" t="n">
        <f aca="false">IFERROR(__xludf.dummyfunction("""COMPUTED_VALUE"""),196.58)</f>
        <v>196.58</v>
      </c>
      <c r="F1121" s="5" t="n">
        <f aca="false">IFERROR(__xludf.dummyfunction("""COMPUTED_VALUE"""),45394689)</f>
        <v>45394689</v>
      </c>
    </row>
    <row r="1122" customFormat="false" ht="15.75" hidden="false" customHeight="false" outlineLevel="0" collapsed="false">
      <c r="A1122" s="6" t="n">
        <f aca="false">IFERROR(__xludf.dummyfunction("""COMPUTED_VALUE"""),45828.6666666667)</f>
        <v>45828.6666666667</v>
      </c>
      <c r="B1122" s="5" t="n">
        <f aca="false">IFERROR(__xludf.dummyfunction("""COMPUTED_VALUE"""),198.24)</f>
        <v>198.24</v>
      </c>
      <c r="C1122" s="5" t="n">
        <f aca="false">IFERROR(__xludf.dummyfunction("""COMPUTED_VALUE"""),201.7)</f>
        <v>201.7</v>
      </c>
      <c r="D1122" s="5" t="n">
        <f aca="false">IFERROR(__xludf.dummyfunction("""COMPUTED_VALUE"""),196.86)</f>
        <v>196.86</v>
      </c>
      <c r="E1122" s="5" t="n">
        <f aca="false">IFERROR(__xludf.dummyfunction("""COMPUTED_VALUE"""),201)</f>
        <v>201</v>
      </c>
      <c r="F1122" s="5" t="n">
        <f aca="false">IFERROR(__xludf.dummyfunction("""COMPUTED_VALUE"""),96813542)</f>
        <v>96813542</v>
      </c>
    </row>
    <row r="1123" customFormat="false" ht="15.75" hidden="false" customHeight="false" outlineLevel="0" collapsed="false">
      <c r="A1123" s="6" t="n">
        <f aca="false">IFERROR(__xludf.dummyfunction("""COMPUTED_VALUE"""),45831.6666666667)</f>
        <v>45831.6666666667</v>
      </c>
      <c r="B1123" s="5" t="n">
        <f aca="false">IFERROR(__xludf.dummyfunction("""COMPUTED_VALUE"""),201.63)</f>
        <v>201.63</v>
      </c>
      <c r="C1123" s="5" t="n">
        <f aca="false">IFERROR(__xludf.dummyfunction("""COMPUTED_VALUE"""),202.3)</f>
        <v>202.3</v>
      </c>
      <c r="D1123" s="5" t="n">
        <f aca="false">IFERROR(__xludf.dummyfunction("""COMPUTED_VALUE"""),198.96)</f>
        <v>198.96</v>
      </c>
      <c r="E1123" s="5" t="n">
        <f aca="false">IFERROR(__xludf.dummyfunction("""COMPUTED_VALUE"""),201.5)</f>
        <v>201.5</v>
      </c>
      <c r="F1123" s="5" t="n">
        <f aca="false">IFERROR(__xludf.dummyfunction("""COMPUTED_VALUE"""),55814272)</f>
        <v>55814272</v>
      </c>
    </row>
    <row r="1124" customFormat="false" ht="15.75" hidden="false" customHeight="false" outlineLevel="0" collapsed="false">
      <c r="A1124" s="6" t="n">
        <f aca="false">IFERROR(__xludf.dummyfunction("""COMPUTED_VALUE"""),45832.6666666667)</f>
        <v>45832.6666666667</v>
      </c>
      <c r="B1124" s="5" t="n">
        <f aca="false">IFERROR(__xludf.dummyfunction("""COMPUTED_VALUE"""),202.59)</f>
        <v>202.59</v>
      </c>
      <c r="C1124" s="5" t="n">
        <f aca="false">IFERROR(__xludf.dummyfunction("""COMPUTED_VALUE"""),203.44)</f>
        <v>203.44</v>
      </c>
      <c r="D1124" s="5" t="n">
        <f aca="false">IFERROR(__xludf.dummyfunction("""COMPUTED_VALUE"""),200.2)</f>
        <v>200.2</v>
      </c>
      <c r="E1124" s="5" t="n">
        <f aca="false">IFERROR(__xludf.dummyfunction("""COMPUTED_VALUE"""),200.3)</f>
        <v>200.3</v>
      </c>
      <c r="F1124" s="5" t="n">
        <f aca="false">IFERROR(__xludf.dummyfunction("""COMPUTED_VALUE"""),54064033)</f>
        <v>54064033</v>
      </c>
    </row>
    <row r="1125" customFormat="false" ht="15.75" hidden="false" customHeight="false" outlineLevel="0" collapsed="false">
      <c r="A1125" s="6" t="n">
        <f aca="false">IFERROR(__xludf.dummyfunction("""COMPUTED_VALUE"""),45833.6666666667)</f>
        <v>45833.6666666667</v>
      </c>
      <c r="B1125" s="5" t="n">
        <f aca="false">IFERROR(__xludf.dummyfunction("""COMPUTED_VALUE"""),201.45)</f>
        <v>201.45</v>
      </c>
      <c r="C1125" s="5" t="n">
        <f aca="false">IFERROR(__xludf.dummyfunction("""COMPUTED_VALUE"""),203.67)</f>
        <v>203.67</v>
      </c>
      <c r="D1125" s="5" t="n">
        <f aca="false">IFERROR(__xludf.dummyfunction("""COMPUTED_VALUE"""),200.62)</f>
        <v>200.62</v>
      </c>
      <c r="E1125" s="5" t="n">
        <f aca="false">IFERROR(__xludf.dummyfunction("""COMPUTED_VALUE"""),201.56)</f>
        <v>201.56</v>
      </c>
      <c r="F1125" s="5" t="n">
        <f aca="false">IFERROR(__xludf.dummyfunction("""COMPUTED_VALUE"""),39525730)</f>
        <v>39525730</v>
      </c>
    </row>
    <row r="1126" customFormat="false" ht="15.75" hidden="false" customHeight="false" outlineLevel="0" collapsed="false">
      <c r="A1126" s="6" t="n">
        <f aca="false">IFERROR(__xludf.dummyfunction("""COMPUTED_VALUE"""),45834.6666666667)</f>
        <v>45834.6666666667</v>
      </c>
      <c r="B1126" s="5" t="n">
        <f aca="false">IFERROR(__xludf.dummyfunction("""COMPUTED_VALUE"""),201.43)</f>
        <v>201.43</v>
      </c>
      <c r="C1126" s="5" t="n">
        <f aca="false">IFERROR(__xludf.dummyfunction("""COMPUTED_VALUE"""),202.64)</f>
        <v>202.64</v>
      </c>
      <c r="D1126" s="5" t="n">
        <f aca="false">IFERROR(__xludf.dummyfunction("""COMPUTED_VALUE"""),199.46)</f>
        <v>199.46</v>
      </c>
      <c r="E1126" s="5" t="n">
        <f aca="false">IFERROR(__xludf.dummyfunction("""COMPUTED_VALUE"""),201)</f>
        <v>201</v>
      </c>
      <c r="F1126" s="5" t="n">
        <f aca="false">IFERROR(__xludf.dummyfunction("""COMPUTED_VALUE"""),50799121)</f>
        <v>50799121</v>
      </c>
    </row>
    <row r="1127" customFormat="false" ht="15.75" hidden="false" customHeight="false" outlineLevel="0" collapsed="false">
      <c r="A1127" s="6" t="n">
        <f aca="false">IFERROR(__xludf.dummyfunction("""COMPUTED_VALUE"""),45835.6666666667)</f>
        <v>45835.6666666667</v>
      </c>
      <c r="B1127" s="5" t="n">
        <f aca="false">IFERROR(__xludf.dummyfunction("""COMPUTED_VALUE"""),201.89)</f>
        <v>201.89</v>
      </c>
      <c r="C1127" s="5" t="n">
        <f aca="false">IFERROR(__xludf.dummyfunction("""COMPUTED_VALUE"""),203.22)</f>
        <v>203.22</v>
      </c>
      <c r="D1127" s="5" t="n">
        <f aca="false">IFERROR(__xludf.dummyfunction("""COMPUTED_VALUE"""),200)</f>
        <v>200</v>
      </c>
      <c r="E1127" s="5" t="n">
        <f aca="false">IFERROR(__xludf.dummyfunction("""COMPUTED_VALUE"""),201.08)</f>
        <v>201.08</v>
      </c>
      <c r="F1127" s="5" t="n">
        <f aca="false">IFERROR(__xludf.dummyfunction("""COMPUTED_VALUE"""),73188571)</f>
        <v>73188571</v>
      </c>
    </row>
    <row r="1128" customFormat="false" ht="15.75" hidden="false" customHeight="false" outlineLevel="0" collapsed="false">
      <c r="A1128" s="6" t="n">
        <f aca="false">IFERROR(__xludf.dummyfunction("""COMPUTED_VALUE"""),45838.6666666667)</f>
        <v>45838.6666666667</v>
      </c>
      <c r="B1128" s="5" t="n">
        <f aca="false">IFERROR(__xludf.dummyfunction("""COMPUTED_VALUE"""),202.01)</f>
        <v>202.01</v>
      </c>
      <c r="C1128" s="5" t="n">
        <f aca="false">IFERROR(__xludf.dummyfunction("""COMPUTED_VALUE"""),207.39)</f>
        <v>207.39</v>
      </c>
      <c r="D1128" s="5" t="n">
        <f aca="false">IFERROR(__xludf.dummyfunction("""COMPUTED_VALUE"""),199.26)</f>
        <v>199.26</v>
      </c>
      <c r="E1128" s="5" t="n">
        <f aca="false">IFERROR(__xludf.dummyfunction("""COMPUTED_VALUE"""),205.17)</f>
        <v>205.17</v>
      </c>
      <c r="F1128" s="5" t="n">
        <f aca="false">IFERROR(__xludf.dummyfunction("""COMPUTED_VALUE"""),91912816)</f>
        <v>91912816</v>
      </c>
    </row>
    <row r="1129" customFormat="false" ht="15.75" hidden="false" customHeight="false" outlineLevel="0" collapsed="false">
      <c r="A1129" s="6" t="n">
        <f aca="false">IFERROR(__xludf.dummyfunction("""COMPUTED_VALUE"""),45839.6666666667)</f>
        <v>45839.6666666667</v>
      </c>
      <c r="B1129" s="5" t="n">
        <f aca="false">IFERROR(__xludf.dummyfunction("""COMPUTED_VALUE"""),206.67)</f>
        <v>206.67</v>
      </c>
      <c r="C1129" s="5" t="n">
        <f aca="false">IFERROR(__xludf.dummyfunction("""COMPUTED_VALUE"""),210.19)</f>
        <v>210.19</v>
      </c>
      <c r="D1129" s="5" t="n">
        <f aca="false">IFERROR(__xludf.dummyfunction("""COMPUTED_VALUE"""),206.14)</f>
        <v>206.14</v>
      </c>
      <c r="E1129" s="5" t="n">
        <f aca="false">IFERROR(__xludf.dummyfunction("""COMPUTED_VALUE"""),207.82)</f>
        <v>207.82</v>
      </c>
      <c r="F1129" s="5" t="n">
        <f aca="false">IFERROR(__xludf.dummyfunction("""COMPUTED_VALUE"""),78788867)</f>
        <v>78788867</v>
      </c>
    </row>
    <row r="1130" customFormat="false" ht="15.75" hidden="false" customHeight="false" outlineLevel="0" collapsed="false">
      <c r="A1130" s="6" t="n">
        <f aca="false">IFERROR(__xludf.dummyfunction("""COMPUTED_VALUE"""),45840.6666666667)</f>
        <v>45840.6666666667</v>
      </c>
      <c r="B1130" s="5" t="n">
        <f aca="false">IFERROR(__xludf.dummyfunction("""COMPUTED_VALUE"""),208.91)</f>
        <v>208.91</v>
      </c>
      <c r="C1130" s="5" t="n">
        <f aca="false">IFERROR(__xludf.dummyfunction("""COMPUTED_VALUE"""),213.34)</f>
        <v>213.34</v>
      </c>
      <c r="D1130" s="5" t="n">
        <f aca="false">IFERROR(__xludf.dummyfunction("""COMPUTED_VALUE"""),208.14)</f>
        <v>208.14</v>
      </c>
      <c r="E1130" s="5" t="n">
        <f aca="false">IFERROR(__xludf.dummyfunction("""COMPUTED_VALUE"""),212.44)</f>
        <v>212.44</v>
      </c>
      <c r="F1130" s="5" t="n">
        <f aca="false">IFERROR(__xludf.dummyfunction("""COMPUTED_VALUE"""),67941811)</f>
        <v>67941811</v>
      </c>
    </row>
    <row r="1131" customFormat="false" ht="15.75" hidden="false" customHeight="false" outlineLevel="0" collapsed="false">
      <c r="A1131" s="6" t="n">
        <f aca="false">IFERROR(__xludf.dummyfunction("""COMPUTED_VALUE"""),45841.5451388889)</f>
        <v>45841.5451388889</v>
      </c>
      <c r="B1131" s="5" t="n">
        <f aca="false">IFERROR(__xludf.dummyfunction("""COMPUTED_VALUE"""),212.15)</f>
        <v>212.15</v>
      </c>
      <c r="C1131" s="5" t="n">
        <f aca="false">IFERROR(__xludf.dummyfunction("""COMPUTED_VALUE"""),214.65)</f>
        <v>214.65</v>
      </c>
      <c r="D1131" s="5" t="n">
        <f aca="false">IFERROR(__xludf.dummyfunction("""COMPUTED_VALUE"""),211.81)</f>
        <v>211.81</v>
      </c>
      <c r="E1131" s="5" t="n">
        <f aca="false">IFERROR(__xludf.dummyfunction("""COMPUTED_VALUE"""),213.55)</f>
        <v>213.55</v>
      </c>
      <c r="F1131" s="5" t="n">
        <f aca="false">IFERROR(__xludf.dummyfunction("""COMPUTED_VALUE"""),34955836)</f>
        <v>34955836</v>
      </c>
    </row>
    <row r="1132" customFormat="false" ht="15.75" hidden="false" customHeight="false" outlineLevel="0" collapsed="false">
      <c r="A1132" s="6" t="n">
        <f aca="false">IFERROR(__xludf.dummyfunction("""COMPUTED_VALUE"""),45845.6666666667)</f>
        <v>45845.6666666667</v>
      </c>
      <c r="B1132" s="5" t="n">
        <f aca="false">IFERROR(__xludf.dummyfunction("""COMPUTED_VALUE"""),212.68)</f>
        <v>212.68</v>
      </c>
      <c r="C1132" s="5" t="n">
        <f aca="false">IFERROR(__xludf.dummyfunction("""COMPUTED_VALUE"""),216.23)</f>
        <v>216.23</v>
      </c>
      <c r="D1132" s="5" t="n">
        <f aca="false">IFERROR(__xludf.dummyfunction("""COMPUTED_VALUE"""),208.8)</f>
        <v>208.8</v>
      </c>
      <c r="E1132" s="5" t="n">
        <f aca="false">IFERROR(__xludf.dummyfunction("""COMPUTED_VALUE"""),209.95)</f>
        <v>209.95</v>
      </c>
      <c r="F1132" s="5" t="n">
        <f aca="false">IFERROR(__xludf.dummyfunction("""COMPUTED_VALUE"""),50228984)</f>
        <v>50228984</v>
      </c>
    </row>
    <row r="1133" customFormat="false" ht="15.75" hidden="false" customHeight="false" outlineLevel="0" collapsed="false">
      <c r="A1133" s="6" t="n">
        <f aca="false">IFERROR(__xludf.dummyfunction("""COMPUTED_VALUE"""),45846.6666666667)</f>
        <v>45846.6666666667</v>
      </c>
      <c r="B1133" s="5" t="n">
        <f aca="false">IFERROR(__xludf.dummyfunction("""COMPUTED_VALUE"""),210.1)</f>
        <v>210.1</v>
      </c>
      <c r="C1133" s="5" t="n">
        <f aca="false">IFERROR(__xludf.dummyfunction("""COMPUTED_VALUE"""),211.43)</f>
        <v>211.43</v>
      </c>
      <c r="D1133" s="5" t="n">
        <f aca="false">IFERROR(__xludf.dummyfunction("""COMPUTED_VALUE"""),208.45)</f>
        <v>208.45</v>
      </c>
      <c r="E1133" s="5" t="n">
        <f aca="false">IFERROR(__xludf.dummyfunction("""COMPUTED_VALUE"""),210.01)</f>
        <v>210.01</v>
      </c>
      <c r="F1133" s="5" t="n">
        <f aca="false">IFERROR(__xludf.dummyfunction("""COMPUTED_VALUE"""),42848928)</f>
        <v>42848928</v>
      </c>
    </row>
    <row r="1134" customFormat="false" ht="15.75" hidden="false" customHeight="false" outlineLevel="0" collapsed="false">
      <c r="A1134" s="6" t="n">
        <f aca="false">IFERROR(__xludf.dummyfunction("""COMPUTED_VALUE"""),45847.6666666667)</f>
        <v>45847.6666666667</v>
      </c>
      <c r="B1134" s="5" t="n">
        <f aca="false">IFERROR(__xludf.dummyfunction("""COMPUTED_VALUE"""),209.53)</f>
        <v>209.53</v>
      </c>
      <c r="C1134" s="5" t="n">
        <f aca="false">IFERROR(__xludf.dummyfunction("""COMPUTED_VALUE"""),211.33)</f>
        <v>211.33</v>
      </c>
      <c r="D1134" s="5" t="n">
        <f aca="false">IFERROR(__xludf.dummyfunction("""COMPUTED_VALUE"""),207.22)</f>
        <v>207.22</v>
      </c>
      <c r="E1134" s="5" t="n">
        <f aca="false">IFERROR(__xludf.dummyfunction("""COMPUTED_VALUE"""),211.14)</f>
        <v>211.14</v>
      </c>
      <c r="F1134" s="5" t="n">
        <f aca="false">IFERROR(__xludf.dummyfunction("""COMPUTED_VALUE"""),48749367)</f>
        <v>48749367</v>
      </c>
    </row>
    <row r="1135" customFormat="false" ht="15.75" hidden="false" customHeight="false" outlineLevel="0" collapsed="false">
      <c r="A1135" s="6" t="n">
        <f aca="false">IFERROR(__xludf.dummyfunction("""COMPUTED_VALUE"""),45848.6666666667)</f>
        <v>45848.6666666667</v>
      </c>
      <c r="B1135" s="5" t="n">
        <f aca="false">IFERROR(__xludf.dummyfunction("""COMPUTED_VALUE"""),210.51)</f>
        <v>210.51</v>
      </c>
      <c r="C1135" s="5" t="n">
        <f aca="false">IFERROR(__xludf.dummyfunction("""COMPUTED_VALUE"""),213.48)</f>
        <v>213.48</v>
      </c>
      <c r="D1135" s="5" t="n">
        <f aca="false">IFERROR(__xludf.dummyfunction("""COMPUTED_VALUE"""),210.03)</f>
        <v>210.03</v>
      </c>
      <c r="E1135" s="5" t="n">
        <f aca="false">IFERROR(__xludf.dummyfunction("""COMPUTED_VALUE"""),212.41)</f>
        <v>212.41</v>
      </c>
      <c r="F1135" s="5" t="n">
        <f aca="false">IFERROR(__xludf.dummyfunction("""COMPUTED_VALUE"""),44443635)</f>
        <v>44443635</v>
      </c>
    </row>
    <row r="1136" customFormat="false" ht="15.75" hidden="false" customHeight="false" outlineLevel="0" collapsed="false">
      <c r="A1136" s="6" t="n">
        <f aca="false">IFERROR(__xludf.dummyfunction("""COMPUTED_VALUE"""),45849.6666666667)</f>
        <v>45849.6666666667</v>
      </c>
      <c r="B1136" s="5" t="n">
        <f aca="false">IFERROR(__xludf.dummyfunction("""COMPUTED_VALUE"""),210.57)</f>
        <v>210.57</v>
      </c>
      <c r="C1136" s="5" t="n">
        <f aca="false">IFERROR(__xludf.dummyfunction("""COMPUTED_VALUE"""),212.13)</f>
        <v>212.13</v>
      </c>
      <c r="D1136" s="5" t="n">
        <f aca="false">IFERROR(__xludf.dummyfunction("""COMPUTED_VALUE"""),209.86)</f>
        <v>209.86</v>
      </c>
      <c r="E1136" s="5" t="n">
        <f aca="false">IFERROR(__xludf.dummyfunction("""COMPUTED_VALUE"""),211.16)</f>
        <v>211.16</v>
      </c>
      <c r="F1136" s="5" t="n">
        <f aca="false">IFERROR(__xludf.dummyfunction("""COMPUTED_VALUE"""),39765812)</f>
        <v>39765812</v>
      </c>
    </row>
    <row r="1137" customFormat="false" ht="15.75" hidden="false" customHeight="false" outlineLevel="0" collapsed="false">
      <c r="A1137" s="6" t="n">
        <f aca="false">IFERROR(__xludf.dummyfunction("""COMPUTED_VALUE"""),45852.6666666667)</f>
        <v>45852.6666666667</v>
      </c>
      <c r="B1137" s="5" t="n">
        <f aca="false">IFERROR(__xludf.dummyfunction("""COMPUTED_VALUE"""),209.93)</f>
        <v>209.93</v>
      </c>
      <c r="C1137" s="5" t="n">
        <f aca="false">IFERROR(__xludf.dummyfunction("""COMPUTED_VALUE"""),210.91)</f>
        <v>210.91</v>
      </c>
      <c r="D1137" s="5" t="n">
        <f aca="false">IFERROR(__xludf.dummyfunction("""COMPUTED_VALUE"""),207.54)</f>
        <v>207.54</v>
      </c>
      <c r="E1137" s="5" t="n">
        <f aca="false">IFERROR(__xludf.dummyfunction("""COMPUTED_VALUE"""),208.62)</f>
        <v>208.62</v>
      </c>
      <c r="F1137" s="5" t="n">
        <f aca="false">IFERROR(__xludf.dummyfunction("""COMPUTED_VALUE"""),38840111)</f>
        <v>38840111</v>
      </c>
    </row>
    <row r="1138" customFormat="false" ht="15.75" hidden="false" customHeight="false" outlineLevel="0" collapsed="false">
      <c r="A1138" s="6" t="n">
        <f aca="false">IFERROR(__xludf.dummyfunction("""COMPUTED_VALUE"""),45853.6666666667)</f>
        <v>45853.6666666667</v>
      </c>
      <c r="B1138" s="5" t="n">
        <f aca="false">IFERROR(__xludf.dummyfunction("""COMPUTED_VALUE"""),209.22)</f>
        <v>209.22</v>
      </c>
      <c r="C1138" s="5" t="n">
        <f aca="false">IFERROR(__xludf.dummyfunction("""COMPUTED_VALUE"""),211.89)</f>
        <v>211.89</v>
      </c>
      <c r="D1138" s="5" t="n">
        <f aca="false">IFERROR(__xludf.dummyfunction("""COMPUTED_VALUE"""),208.92)</f>
        <v>208.92</v>
      </c>
      <c r="E1138" s="5" t="n">
        <f aca="false">IFERROR(__xludf.dummyfunction("""COMPUTED_VALUE"""),209.11)</f>
        <v>209.11</v>
      </c>
      <c r="F1138" s="5" t="n">
        <f aca="false">IFERROR(__xludf.dummyfunction("""COMPUTED_VALUE"""),42296339)</f>
        <v>42296339</v>
      </c>
    </row>
    <row r="1139" customFormat="false" ht="15.75" hidden="false" customHeight="false" outlineLevel="0" collapsed="false">
      <c r="A1139" s="6" t="n">
        <f aca="false">IFERROR(__xludf.dummyfunction("""COMPUTED_VALUE"""),45854.6666666667)</f>
        <v>45854.6666666667</v>
      </c>
      <c r="B1139" s="5" t="n">
        <f aca="false">IFERROR(__xludf.dummyfunction("""COMPUTED_VALUE"""),210.3)</f>
        <v>210.3</v>
      </c>
      <c r="C1139" s="5" t="n">
        <f aca="false">IFERROR(__xludf.dummyfunction("""COMPUTED_VALUE"""),212.4)</f>
        <v>212.4</v>
      </c>
      <c r="D1139" s="5" t="n">
        <f aca="false">IFERROR(__xludf.dummyfunction("""COMPUTED_VALUE"""),208.64)</f>
        <v>208.64</v>
      </c>
      <c r="E1139" s="5" t="n">
        <f aca="false">IFERROR(__xludf.dummyfunction("""COMPUTED_VALUE"""),210.16)</f>
        <v>210.16</v>
      </c>
      <c r="F1139" s="5" t="n">
        <f aca="false">IFERROR(__xludf.dummyfunction("""COMPUTED_VALUE"""),47490532)</f>
        <v>47490532</v>
      </c>
    </row>
    <row r="1140" customFormat="false" ht="15.75" hidden="false" customHeight="false" outlineLevel="0" collapsed="false">
      <c r="A1140" s="6" t="n">
        <f aca="false">IFERROR(__xludf.dummyfunction("""COMPUTED_VALUE"""),45855.6666666667)</f>
        <v>45855.6666666667</v>
      </c>
      <c r="B1140" s="5" t="n">
        <f aca="false">IFERROR(__xludf.dummyfunction("""COMPUTED_VALUE"""),210.57)</f>
        <v>210.57</v>
      </c>
      <c r="C1140" s="5" t="n">
        <f aca="false">IFERROR(__xludf.dummyfunction("""COMPUTED_VALUE"""),211.8)</f>
        <v>211.8</v>
      </c>
      <c r="D1140" s="5" t="n">
        <f aca="false">IFERROR(__xludf.dummyfunction("""COMPUTED_VALUE"""),209.59)</f>
        <v>209.59</v>
      </c>
      <c r="E1140" s="5" t="n">
        <f aca="false">IFERROR(__xludf.dummyfunction("""COMPUTED_VALUE"""),210.02)</f>
        <v>210.02</v>
      </c>
      <c r="F1140" s="5" t="n">
        <f aca="false">IFERROR(__xludf.dummyfunction("""COMPUTED_VALUE"""),48068141)</f>
        <v>48068141</v>
      </c>
    </row>
    <row r="1141" customFormat="false" ht="15.75" hidden="false" customHeight="false" outlineLevel="0" collapsed="false">
      <c r="A1141" s="6" t="n">
        <f aca="false">IFERROR(__xludf.dummyfunction("""COMPUTED_VALUE"""),45856.6666666667)</f>
        <v>45856.6666666667</v>
      </c>
      <c r="B1141" s="5" t="n">
        <f aca="false">IFERROR(__xludf.dummyfunction("""COMPUTED_VALUE"""),210.87)</f>
        <v>210.87</v>
      </c>
      <c r="C1141" s="5" t="n">
        <f aca="false">IFERROR(__xludf.dummyfunction("""COMPUTED_VALUE"""),211.79)</f>
        <v>211.79</v>
      </c>
      <c r="D1141" s="5" t="n">
        <f aca="false">IFERROR(__xludf.dummyfunction("""COMPUTED_VALUE"""),209.7)</f>
        <v>209.7</v>
      </c>
      <c r="E1141" s="5" t="n">
        <f aca="false">IFERROR(__xludf.dummyfunction("""COMPUTED_VALUE"""),211.18)</f>
        <v>211.18</v>
      </c>
      <c r="F1141" s="5" t="n">
        <f aca="false">IFERROR(__xludf.dummyfunction("""COMPUTED_VALUE"""),48974591)</f>
        <v>48974591</v>
      </c>
    </row>
    <row r="1142" customFormat="false" ht="15.75" hidden="false" customHeight="false" outlineLevel="0" collapsed="false">
      <c r="A1142" s="6" t="n">
        <f aca="false">IFERROR(__xludf.dummyfunction("""COMPUTED_VALUE"""),45859.6666666667)</f>
        <v>45859.6666666667</v>
      </c>
      <c r="B1142" s="5" t="n">
        <f aca="false">IFERROR(__xludf.dummyfunction("""COMPUTED_VALUE"""),212.1)</f>
        <v>212.1</v>
      </c>
      <c r="C1142" s="5" t="n">
        <f aca="false">IFERROR(__xludf.dummyfunction("""COMPUTED_VALUE"""),215.78)</f>
        <v>215.78</v>
      </c>
      <c r="D1142" s="5" t="n">
        <f aca="false">IFERROR(__xludf.dummyfunction("""COMPUTED_VALUE"""),211.63)</f>
        <v>211.63</v>
      </c>
      <c r="E1142" s="5" t="n">
        <f aca="false">IFERROR(__xludf.dummyfunction("""COMPUTED_VALUE"""),212.48)</f>
        <v>212.48</v>
      </c>
      <c r="F1142" s="5" t="n">
        <f aca="false">IFERROR(__xludf.dummyfunction("""COMPUTED_VALUE"""),51377434)</f>
        <v>51377434</v>
      </c>
    </row>
    <row r="1143" customFormat="false" ht="15.75" hidden="false" customHeight="false" outlineLevel="0" collapsed="false">
      <c r="A1143" s="6" t="n">
        <f aca="false">IFERROR(__xludf.dummyfunction("""COMPUTED_VALUE"""),45860.6666666667)</f>
        <v>45860.6666666667</v>
      </c>
      <c r="B1143" s="5" t="n">
        <f aca="false">IFERROR(__xludf.dummyfunction("""COMPUTED_VALUE"""),213.14)</f>
        <v>213.14</v>
      </c>
      <c r="C1143" s="5" t="n">
        <f aca="false">IFERROR(__xludf.dummyfunction("""COMPUTED_VALUE"""),214.95)</f>
        <v>214.95</v>
      </c>
      <c r="D1143" s="5" t="n">
        <f aca="false">IFERROR(__xludf.dummyfunction("""COMPUTED_VALUE"""),212.23)</f>
        <v>212.23</v>
      </c>
      <c r="E1143" s="5" t="n">
        <f aca="false">IFERROR(__xludf.dummyfunction("""COMPUTED_VALUE"""),214.4)</f>
        <v>214.4</v>
      </c>
      <c r="F1143" s="5" t="n">
        <f aca="false">IFERROR(__xludf.dummyfunction("""COMPUTED_VALUE"""),46404072)</f>
        <v>46404072</v>
      </c>
    </row>
    <row r="1144" customFormat="false" ht="15.75" hidden="false" customHeight="false" outlineLevel="0" collapsed="false">
      <c r="A1144" s="6" t="n">
        <f aca="false">IFERROR(__xludf.dummyfunction("""COMPUTED_VALUE"""),45861.6666666667)</f>
        <v>45861.6666666667</v>
      </c>
      <c r="B1144" s="5" t="n">
        <f aca="false">IFERROR(__xludf.dummyfunction("""COMPUTED_VALUE"""),215)</f>
        <v>215</v>
      </c>
      <c r="C1144" s="5" t="n">
        <f aca="false">IFERROR(__xludf.dummyfunction("""COMPUTED_VALUE"""),215.15)</f>
        <v>215.15</v>
      </c>
      <c r="D1144" s="5" t="n">
        <f aca="false">IFERROR(__xludf.dummyfunction("""COMPUTED_VALUE"""),212.41)</f>
        <v>212.41</v>
      </c>
      <c r="E1144" s="5" t="n">
        <f aca="false">IFERROR(__xludf.dummyfunction("""COMPUTED_VALUE"""),214.15)</f>
        <v>214.15</v>
      </c>
      <c r="F1144" s="5" t="n">
        <f aca="false">IFERROR(__xludf.dummyfunction("""COMPUTED_VALUE"""),46989301)</f>
        <v>46989301</v>
      </c>
    </row>
    <row r="1145" customFormat="false" ht="15.75" hidden="false" customHeight="false" outlineLevel="0" collapsed="false">
      <c r="A1145" s="6" t="n">
        <f aca="false">IFERROR(__xludf.dummyfunction("""COMPUTED_VALUE"""),45862.6666666667)</f>
        <v>45862.6666666667</v>
      </c>
      <c r="B1145" s="5" t="n">
        <f aca="false">IFERROR(__xludf.dummyfunction("""COMPUTED_VALUE"""),213.9)</f>
        <v>213.9</v>
      </c>
      <c r="C1145" s="5" t="n">
        <f aca="false">IFERROR(__xludf.dummyfunction("""COMPUTED_VALUE"""),215.69)</f>
        <v>215.69</v>
      </c>
      <c r="D1145" s="5" t="n">
        <f aca="false">IFERROR(__xludf.dummyfunction("""COMPUTED_VALUE"""),213.53)</f>
        <v>213.53</v>
      </c>
      <c r="E1145" s="5" t="n">
        <f aca="false">IFERROR(__xludf.dummyfunction("""COMPUTED_VALUE"""),213.76)</f>
        <v>213.76</v>
      </c>
      <c r="F1145" s="5" t="n">
        <f aca="false">IFERROR(__xludf.dummyfunction("""COMPUTED_VALUE"""),46022620)</f>
        <v>46022620</v>
      </c>
    </row>
    <row r="1146" customFormat="false" ht="15.75" hidden="false" customHeight="false" outlineLevel="0" collapsed="false">
      <c r="A1146" s="6" t="n">
        <f aca="false">IFERROR(__xludf.dummyfunction("""COMPUTED_VALUE"""),45863.6666666667)</f>
        <v>45863.6666666667</v>
      </c>
      <c r="B1146" s="5" t="n">
        <f aca="false">IFERROR(__xludf.dummyfunction("""COMPUTED_VALUE"""),214.7)</f>
        <v>214.7</v>
      </c>
      <c r="C1146" s="5" t="n">
        <f aca="false">IFERROR(__xludf.dummyfunction("""COMPUTED_VALUE"""),215.24)</f>
        <v>215.24</v>
      </c>
      <c r="D1146" s="5" t="n">
        <f aca="false">IFERROR(__xludf.dummyfunction("""COMPUTED_VALUE"""),213.4)</f>
        <v>213.4</v>
      </c>
      <c r="E1146" s="5" t="n">
        <f aca="false">IFERROR(__xludf.dummyfunction("""COMPUTED_VALUE"""),213.88)</f>
        <v>213.88</v>
      </c>
      <c r="F1146" s="5" t="n">
        <f aca="false">IFERROR(__xludf.dummyfunction("""COMPUTED_VALUE"""),40268781)</f>
        <v>40268781</v>
      </c>
    </row>
    <row r="1147" customFormat="false" ht="15.75" hidden="false" customHeight="false" outlineLevel="0" collapsed="false">
      <c r="A1147" s="6" t="n">
        <f aca="false">IFERROR(__xludf.dummyfunction("""COMPUTED_VALUE"""),45866.6666666667)</f>
        <v>45866.6666666667</v>
      </c>
      <c r="B1147" s="5" t="n">
        <f aca="false">IFERROR(__xludf.dummyfunction("""COMPUTED_VALUE"""),214.03)</f>
        <v>214.03</v>
      </c>
      <c r="C1147" s="5" t="n">
        <f aca="false">IFERROR(__xludf.dummyfunction("""COMPUTED_VALUE"""),214.85)</f>
        <v>214.85</v>
      </c>
      <c r="D1147" s="5" t="n">
        <f aca="false">IFERROR(__xludf.dummyfunction("""COMPUTED_VALUE"""),213.06)</f>
        <v>213.06</v>
      </c>
      <c r="E1147" s="5" t="n">
        <f aca="false">IFERROR(__xludf.dummyfunction("""COMPUTED_VALUE"""),214.05)</f>
        <v>214.05</v>
      </c>
      <c r="F1147" s="5" t="n">
        <f aca="false">IFERROR(__xludf.dummyfunction("""COMPUTED_VALUE"""),37858017)</f>
        <v>37858017</v>
      </c>
    </row>
    <row r="1148" customFormat="false" ht="15.75" hidden="false" customHeight="false" outlineLevel="0" collapsed="false">
      <c r="A1148" s="6" t="n">
        <f aca="false">IFERROR(__xludf.dummyfunction("""COMPUTED_VALUE"""),45867.6666666667)</f>
        <v>45867.6666666667</v>
      </c>
      <c r="B1148" s="5" t="n">
        <f aca="false">IFERROR(__xludf.dummyfunction("""COMPUTED_VALUE"""),214.18)</f>
        <v>214.18</v>
      </c>
      <c r="C1148" s="5" t="n">
        <f aca="false">IFERROR(__xludf.dummyfunction("""COMPUTED_VALUE"""),214.81)</f>
        <v>214.81</v>
      </c>
      <c r="D1148" s="5" t="n">
        <f aca="false">IFERROR(__xludf.dummyfunction("""COMPUTED_VALUE"""),210.82)</f>
        <v>210.82</v>
      </c>
      <c r="E1148" s="5" t="n">
        <f aca="false">IFERROR(__xludf.dummyfunction("""COMPUTED_VALUE"""),211.27)</f>
        <v>211.27</v>
      </c>
      <c r="F1148" s="5" t="n">
        <f aca="false">IFERROR(__xludf.dummyfunction("""COMPUTED_VALUE"""),51411723)</f>
        <v>51411723</v>
      </c>
    </row>
    <row r="1149" customFormat="false" ht="15.75" hidden="false" customHeight="false" outlineLevel="0" collapsed="false">
      <c r="A1149" s="6" t="n">
        <f aca="false">IFERROR(__xludf.dummyfunction("""COMPUTED_VALUE"""),45868.6666666667)</f>
        <v>45868.6666666667</v>
      </c>
      <c r="B1149" s="5" t="n">
        <f aca="false">IFERROR(__xludf.dummyfunction("""COMPUTED_VALUE"""),211.9)</f>
        <v>211.9</v>
      </c>
      <c r="C1149" s="5" t="n">
        <f aca="false">IFERROR(__xludf.dummyfunction("""COMPUTED_VALUE"""),212.39)</f>
        <v>212.39</v>
      </c>
      <c r="D1149" s="5" t="n">
        <f aca="false">IFERROR(__xludf.dummyfunction("""COMPUTED_VALUE"""),207.72)</f>
        <v>207.72</v>
      </c>
      <c r="E1149" s="5" t="n">
        <f aca="false">IFERROR(__xludf.dummyfunction("""COMPUTED_VALUE"""),209.05)</f>
        <v>209.05</v>
      </c>
      <c r="F1149" s="5" t="n">
        <f aca="false">IFERROR(__xludf.dummyfunction("""COMPUTED_VALUE"""),45512514)</f>
        <v>45512514</v>
      </c>
    </row>
    <row r="1150" customFormat="false" ht="15.75" hidden="false" customHeight="false" outlineLevel="0" collapsed="false">
      <c r="A1150" s="6" t="n">
        <f aca="false">IFERROR(__xludf.dummyfunction("""COMPUTED_VALUE"""),45869.6666666667)</f>
        <v>45869.6666666667</v>
      </c>
      <c r="B1150" s="5" t="n">
        <f aca="false">IFERROR(__xludf.dummyfunction("""COMPUTED_VALUE"""),208.49)</f>
        <v>208.49</v>
      </c>
      <c r="C1150" s="5" t="n">
        <f aca="false">IFERROR(__xludf.dummyfunction("""COMPUTED_VALUE"""),209.84)</f>
        <v>209.84</v>
      </c>
      <c r="D1150" s="5" t="n">
        <f aca="false">IFERROR(__xludf.dummyfunction("""COMPUTED_VALUE"""),207.16)</f>
        <v>207.16</v>
      </c>
      <c r="E1150" s="5" t="n">
        <f aca="false">IFERROR(__xludf.dummyfunction("""COMPUTED_VALUE"""),207.57)</f>
        <v>207.57</v>
      </c>
      <c r="F1150" s="5" t="n">
        <f aca="false">IFERROR(__xludf.dummyfunction("""COMPUTED_VALUE"""),80698431)</f>
        <v>80698431</v>
      </c>
    </row>
    <row r="1151" customFormat="false" ht="15.75" hidden="false" customHeight="false" outlineLevel="0" collapsed="false">
      <c r="A1151" s="6" t="n">
        <f aca="false">IFERROR(__xludf.dummyfunction("""COMPUTED_VALUE"""),45870.6666666667)</f>
        <v>45870.6666666667</v>
      </c>
      <c r="B1151" s="5" t="n">
        <f aca="false">IFERROR(__xludf.dummyfunction("""COMPUTED_VALUE"""),210.87)</f>
        <v>210.87</v>
      </c>
      <c r="C1151" s="5" t="n">
        <f aca="false">IFERROR(__xludf.dummyfunction("""COMPUTED_VALUE"""),213.58)</f>
        <v>213.58</v>
      </c>
      <c r="D1151" s="5" t="n">
        <f aca="false">IFERROR(__xludf.dummyfunction("""COMPUTED_VALUE"""),201.5)</f>
        <v>201.5</v>
      </c>
      <c r="E1151" s="5" t="n">
        <f aca="false">IFERROR(__xludf.dummyfunction("""COMPUTED_VALUE"""),202.38)</f>
        <v>202.38</v>
      </c>
      <c r="F1151" s="5" t="n">
        <f aca="false">IFERROR(__xludf.dummyfunction("""COMPUTED_VALUE"""),104434473)</f>
        <v>104434473</v>
      </c>
    </row>
    <row r="1152" customFormat="false" ht="15.75" hidden="false" customHeight="false" outlineLevel="0" collapsed="false">
      <c r="A1152" s="6" t="n">
        <f aca="false">IFERROR(__xludf.dummyfunction("""COMPUTED_VALUE"""),45873.6666666667)</f>
        <v>45873.6666666667</v>
      </c>
      <c r="B1152" s="5" t="n">
        <f aca="false">IFERROR(__xludf.dummyfunction("""COMPUTED_VALUE"""),204.51)</f>
        <v>204.51</v>
      </c>
      <c r="C1152" s="5" t="n">
        <f aca="false">IFERROR(__xludf.dummyfunction("""COMPUTED_VALUE"""),207.88)</f>
        <v>207.88</v>
      </c>
      <c r="D1152" s="5" t="n">
        <f aca="false">IFERROR(__xludf.dummyfunction("""COMPUTED_VALUE"""),201.68)</f>
        <v>201.68</v>
      </c>
      <c r="E1152" s="5" t="n">
        <f aca="false">IFERROR(__xludf.dummyfunction("""COMPUTED_VALUE"""),203.35)</f>
        <v>203.35</v>
      </c>
      <c r="F1152" s="5" t="n">
        <f aca="false">IFERROR(__xludf.dummyfunction("""COMPUTED_VALUE"""),75109298)</f>
        <v>75109298</v>
      </c>
    </row>
    <row r="1153" customFormat="false" ht="15.75" hidden="false" customHeight="false" outlineLevel="0" collapsed="false">
      <c r="A1153" s="6" t="n">
        <f aca="false">IFERROR(__xludf.dummyfunction("""COMPUTED_VALUE"""),45874.6666666667)</f>
        <v>45874.6666666667</v>
      </c>
      <c r="B1153" s="5" t="n">
        <f aca="false">IFERROR(__xludf.dummyfunction("""COMPUTED_VALUE"""),203.4)</f>
        <v>203.4</v>
      </c>
      <c r="C1153" s="5" t="n">
        <f aca="false">IFERROR(__xludf.dummyfunction("""COMPUTED_VALUE"""),205.34)</f>
        <v>205.34</v>
      </c>
      <c r="D1153" s="5" t="n">
        <f aca="false">IFERROR(__xludf.dummyfunction("""COMPUTED_VALUE"""),202.16)</f>
        <v>202.16</v>
      </c>
      <c r="E1153" s="5" t="n">
        <f aca="false">IFERROR(__xludf.dummyfunction("""COMPUTED_VALUE"""),202.92)</f>
        <v>202.92</v>
      </c>
      <c r="F1153" s="5" t="n">
        <f aca="false">IFERROR(__xludf.dummyfunction("""COMPUTED_VALUE"""),44155079)</f>
        <v>44155079</v>
      </c>
    </row>
    <row r="1154" customFormat="false" ht="15.75" hidden="false" customHeight="false" outlineLevel="0" collapsed="false">
      <c r="A1154" s="6" t="n">
        <f aca="false">IFERROR(__xludf.dummyfunction("""COMPUTED_VALUE"""),45875.6666666667)</f>
        <v>45875.6666666667</v>
      </c>
      <c r="B1154" s="5" t="n">
        <f aca="false">IFERROR(__xludf.dummyfunction("""COMPUTED_VALUE"""),205.63)</f>
        <v>205.63</v>
      </c>
      <c r="C1154" s="5" t="n">
        <f aca="false">IFERROR(__xludf.dummyfunction("""COMPUTED_VALUE"""),215.38)</f>
        <v>215.38</v>
      </c>
      <c r="D1154" s="5" t="n">
        <f aca="false">IFERROR(__xludf.dummyfunction("""COMPUTED_VALUE"""),205.59)</f>
        <v>205.59</v>
      </c>
      <c r="E1154" s="5" t="n">
        <f aca="false">IFERROR(__xludf.dummyfunction("""COMPUTED_VALUE"""),213.25)</f>
        <v>213.25</v>
      </c>
      <c r="F1154" s="5" t="n">
        <f aca="false">IFERROR(__xludf.dummyfunction("""COMPUTED_VALUE"""),108483103)</f>
        <v>108483103</v>
      </c>
    </row>
    <row r="1155" customFormat="false" ht="15.75" hidden="false" customHeight="false" outlineLevel="0" collapsed="false">
      <c r="A1155" s="6" t="n">
        <f aca="false">IFERROR(__xludf.dummyfunction("""COMPUTED_VALUE"""),45876.6666666667)</f>
        <v>45876.6666666667</v>
      </c>
      <c r="B1155" s="5" t="n">
        <f aca="false">IFERROR(__xludf.dummyfunction("""COMPUTED_VALUE"""),218.88)</f>
        <v>218.88</v>
      </c>
      <c r="C1155" s="5" t="n">
        <f aca="false">IFERROR(__xludf.dummyfunction("""COMPUTED_VALUE"""),220.85)</f>
        <v>220.85</v>
      </c>
      <c r="D1155" s="5" t="n">
        <f aca="false">IFERROR(__xludf.dummyfunction("""COMPUTED_VALUE"""),216.58)</f>
        <v>216.58</v>
      </c>
      <c r="E1155" s="5" t="n">
        <f aca="false">IFERROR(__xludf.dummyfunction("""COMPUTED_VALUE"""),220.03)</f>
        <v>220.03</v>
      </c>
      <c r="F1155" s="5" t="n">
        <f aca="false">IFERROR(__xludf.dummyfunction("""COMPUTED_VALUE"""),90224834)</f>
        <v>90224834</v>
      </c>
    </row>
    <row r="1156" customFormat="false" ht="15.75" hidden="false" customHeight="false" outlineLevel="0" collapsed="false">
      <c r="A1156" s="6" t="n">
        <f aca="false">IFERROR(__xludf.dummyfunction("""COMPUTED_VALUE"""),45877.6666666667)</f>
        <v>45877.6666666667</v>
      </c>
      <c r="B1156" s="5" t="n">
        <f aca="false">IFERROR(__xludf.dummyfunction("""COMPUTED_VALUE"""),220.83)</f>
        <v>220.83</v>
      </c>
      <c r="C1156" s="5" t="n">
        <f aca="false">IFERROR(__xludf.dummyfunction("""COMPUTED_VALUE"""),231)</f>
        <v>231</v>
      </c>
      <c r="D1156" s="5" t="n">
        <f aca="false">IFERROR(__xludf.dummyfunction("""COMPUTED_VALUE"""),219.25)</f>
        <v>219.25</v>
      </c>
      <c r="E1156" s="5" t="n">
        <f aca="false">IFERROR(__xludf.dummyfunction("""COMPUTED_VALUE"""),229.35)</f>
        <v>229.35</v>
      </c>
      <c r="F1156" s="5" t="n">
        <f aca="false">IFERROR(__xludf.dummyfunction("""COMPUTED_VALUE"""),113853967)</f>
        <v>113853967</v>
      </c>
    </row>
    <row r="1157" customFormat="false" ht="15.75" hidden="false" customHeight="false" outlineLevel="0" collapsed="false">
      <c r="A1157" s="6" t="n">
        <f aca="false">IFERROR(__xludf.dummyfunction("""COMPUTED_VALUE"""),45880.6666666667)</f>
        <v>45880.6666666667</v>
      </c>
      <c r="B1157" s="5" t="n">
        <f aca="false">IFERROR(__xludf.dummyfunction("""COMPUTED_VALUE"""),227.92)</f>
        <v>227.92</v>
      </c>
      <c r="C1157" s="5" t="n">
        <f aca="false">IFERROR(__xludf.dummyfunction("""COMPUTED_VALUE"""),229.56)</f>
        <v>229.56</v>
      </c>
      <c r="D1157" s="5" t="n">
        <f aca="false">IFERROR(__xludf.dummyfunction("""COMPUTED_VALUE"""),224.76)</f>
        <v>224.76</v>
      </c>
      <c r="E1157" s="5" t="n">
        <f aca="false">IFERROR(__xludf.dummyfunction("""COMPUTED_VALUE"""),227.18)</f>
        <v>227.18</v>
      </c>
      <c r="F1157" s="5" t="n">
        <f aca="false">IFERROR(__xludf.dummyfunction("""COMPUTED_VALUE"""),61806132)</f>
        <v>61806132</v>
      </c>
    </row>
    <row r="1158" customFormat="false" ht="15.75" hidden="false" customHeight="false" outlineLevel="0" collapsed="false">
      <c r="A1158" s="6" t="n">
        <f aca="false">IFERROR(__xludf.dummyfunction("""COMPUTED_VALUE"""),45881.6666666667)</f>
        <v>45881.6666666667</v>
      </c>
      <c r="B1158" s="5" t="n">
        <f aca="false">IFERROR(__xludf.dummyfunction("""COMPUTED_VALUE"""),228.01)</f>
        <v>228.01</v>
      </c>
      <c r="C1158" s="5" t="n">
        <f aca="false">IFERROR(__xludf.dummyfunction("""COMPUTED_VALUE"""),230.8)</f>
        <v>230.8</v>
      </c>
      <c r="D1158" s="5" t="n">
        <f aca="false">IFERROR(__xludf.dummyfunction("""COMPUTED_VALUE"""),227.07)</f>
        <v>227.07</v>
      </c>
      <c r="E1158" s="5" t="n">
        <f aca="false">IFERROR(__xludf.dummyfunction("""COMPUTED_VALUE"""),229.65)</f>
        <v>229.65</v>
      </c>
      <c r="F1158" s="5" t="n">
        <f aca="false">IFERROR(__xludf.dummyfunction("""COMPUTED_VALUE"""),55672301)</f>
        <v>55672301</v>
      </c>
    </row>
    <row r="1159" customFormat="false" ht="15.75" hidden="false" customHeight="false" outlineLevel="0" collapsed="false">
      <c r="A1159" s="6" t="n">
        <f aca="false">IFERROR(__xludf.dummyfunction("""COMPUTED_VALUE"""),45882.6666666667)</f>
        <v>45882.6666666667</v>
      </c>
      <c r="B1159" s="5" t="n">
        <f aca="false">IFERROR(__xludf.dummyfunction("""COMPUTED_VALUE"""),231.07)</f>
        <v>231.07</v>
      </c>
      <c r="C1159" s="5" t="n">
        <f aca="false">IFERROR(__xludf.dummyfunction("""COMPUTED_VALUE"""),235)</f>
        <v>235</v>
      </c>
      <c r="D1159" s="5" t="n">
        <f aca="false">IFERROR(__xludf.dummyfunction("""COMPUTED_VALUE"""),230.43)</f>
        <v>230.43</v>
      </c>
      <c r="E1159" s="5" t="n">
        <f aca="false">IFERROR(__xludf.dummyfunction("""COMPUTED_VALUE"""),233.33)</f>
        <v>233.33</v>
      </c>
      <c r="F1159" s="5" t="n">
        <f aca="false">IFERROR(__xludf.dummyfunction("""COMPUTED_VALUE"""),69878546)</f>
        <v>69878546</v>
      </c>
    </row>
    <row r="1160" customFormat="false" ht="15.75" hidden="false" customHeight="false" outlineLevel="0" collapsed="false">
      <c r="A1160" s="6" t="n">
        <f aca="false">IFERROR(__xludf.dummyfunction("""COMPUTED_VALUE"""),45883.6666666667)</f>
        <v>45883.6666666667</v>
      </c>
      <c r="B1160" s="5" t="n">
        <f aca="false">IFERROR(__xludf.dummyfunction("""COMPUTED_VALUE"""),234.06)</f>
        <v>234.06</v>
      </c>
      <c r="C1160" s="5" t="n">
        <f aca="false">IFERROR(__xludf.dummyfunction("""COMPUTED_VALUE"""),235.12)</f>
        <v>235.12</v>
      </c>
      <c r="D1160" s="5" t="n">
        <f aca="false">IFERROR(__xludf.dummyfunction("""COMPUTED_VALUE"""),230.85)</f>
        <v>230.85</v>
      </c>
      <c r="E1160" s="5" t="n">
        <f aca="false">IFERROR(__xludf.dummyfunction("""COMPUTED_VALUE"""),232.78)</f>
        <v>232.78</v>
      </c>
      <c r="F1160" s="5" t="n">
        <f aca="false">IFERROR(__xludf.dummyfunction("""COMPUTED_VALUE"""),51916275)</f>
        <v>51916275</v>
      </c>
    </row>
    <row r="1161" customFormat="false" ht="15.75" hidden="false" customHeight="false" outlineLevel="0" collapsed="false">
      <c r="A1161" s="6" t="n">
        <f aca="false">IFERROR(__xludf.dummyfunction("""COMPUTED_VALUE"""),45884.6666666667)</f>
        <v>45884.6666666667</v>
      </c>
      <c r="B1161" s="5" t="n">
        <f aca="false">IFERROR(__xludf.dummyfunction("""COMPUTED_VALUE"""),234)</f>
        <v>234</v>
      </c>
      <c r="C1161" s="5" t="n">
        <f aca="false">IFERROR(__xludf.dummyfunction("""COMPUTED_VALUE"""),234.28)</f>
        <v>234.28</v>
      </c>
      <c r="D1161" s="5" t="n">
        <f aca="false">IFERROR(__xludf.dummyfunction("""COMPUTED_VALUE"""),229.34)</f>
        <v>229.34</v>
      </c>
      <c r="E1161" s="5" t="n">
        <f aca="false">IFERROR(__xludf.dummyfunction("""COMPUTED_VALUE"""),231.59)</f>
        <v>231.59</v>
      </c>
      <c r="F1161" s="5" t="n">
        <f aca="false">IFERROR(__xludf.dummyfunction("""COMPUTED_VALUE"""),56038657)</f>
        <v>56038657</v>
      </c>
    </row>
    <row r="1162" customFormat="false" ht="15.75" hidden="false" customHeight="false" outlineLevel="0" collapsed="false">
      <c r="A1162" s="6" t="n">
        <f aca="false">IFERROR(__xludf.dummyfunction("""COMPUTED_VALUE"""),45887.6666666667)</f>
        <v>45887.6666666667</v>
      </c>
      <c r="B1162" s="5" t="n">
        <f aca="false">IFERROR(__xludf.dummyfunction("""COMPUTED_VALUE"""),231.7)</f>
        <v>231.7</v>
      </c>
      <c r="C1162" s="5" t="n">
        <f aca="false">IFERROR(__xludf.dummyfunction("""COMPUTED_VALUE"""),233.12)</f>
        <v>233.12</v>
      </c>
      <c r="D1162" s="5" t="n">
        <f aca="false">IFERROR(__xludf.dummyfunction("""COMPUTED_VALUE"""),230.11)</f>
        <v>230.11</v>
      </c>
      <c r="E1162" s="5" t="n">
        <f aca="false">IFERROR(__xludf.dummyfunction("""COMPUTED_VALUE"""),230.89)</f>
        <v>230.89</v>
      </c>
      <c r="F1162" s="5" t="n">
        <f aca="false">IFERROR(__xludf.dummyfunction("""COMPUTED_VALUE"""),37476188)</f>
        <v>37476188</v>
      </c>
    </row>
    <row r="1163" customFormat="false" ht="15.75" hidden="false" customHeight="false" outlineLevel="0" collapsed="false">
      <c r="A1163" s="6" t="n">
        <f aca="false">IFERROR(__xludf.dummyfunction("""COMPUTED_VALUE"""),45888.6666666667)</f>
        <v>45888.6666666667</v>
      </c>
      <c r="B1163" s="5" t="n">
        <f aca="false">IFERROR(__xludf.dummyfunction("""COMPUTED_VALUE"""),231.28)</f>
        <v>231.28</v>
      </c>
      <c r="C1163" s="5" t="n">
        <f aca="false">IFERROR(__xludf.dummyfunction("""COMPUTED_VALUE"""),232.87)</f>
        <v>232.87</v>
      </c>
      <c r="D1163" s="5" t="n">
        <f aca="false">IFERROR(__xludf.dummyfunction("""COMPUTED_VALUE"""),229.35)</f>
        <v>229.35</v>
      </c>
      <c r="E1163" s="5" t="n">
        <f aca="false">IFERROR(__xludf.dummyfunction("""COMPUTED_VALUE"""),230.56)</f>
        <v>230.56</v>
      </c>
      <c r="F1163" s="5" t="n">
        <f aca="false">IFERROR(__xludf.dummyfunction("""COMPUTED_VALUE"""),39402564)</f>
        <v>39402564</v>
      </c>
    </row>
    <row r="1164" customFormat="false" ht="15.75" hidden="false" customHeight="false" outlineLevel="0" collapsed="false">
      <c r="A1164" s="6" t="n">
        <f aca="false">IFERROR(__xludf.dummyfunction("""COMPUTED_VALUE"""),45889.6666666667)</f>
        <v>45889.6666666667</v>
      </c>
      <c r="B1164" s="5" t="n">
        <f aca="false">IFERROR(__xludf.dummyfunction("""COMPUTED_VALUE"""),229.98)</f>
        <v>229.98</v>
      </c>
      <c r="C1164" s="5" t="n">
        <f aca="false">IFERROR(__xludf.dummyfunction("""COMPUTED_VALUE"""),230.47)</f>
        <v>230.47</v>
      </c>
      <c r="D1164" s="5" t="n">
        <f aca="false">IFERROR(__xludf.dummyfunction("""COMPUTED_VALUE"""),225.77)</f>
        <v>225.77</v>
      </c>
      <c r="E1164" s="5" t="n">
        <f aca="false">IFERROR(__xludf.dummyfunction("""COMPUTED_VALUE"""),226.01)</f>
        <v>226.01</v>
      </c>
      <c r="F1164" s="5" t="n">
        <f aca="false">IFERROR(__xludf.dummyfunction("""COMPUTED_VALUE"""),42263865)</f>
        <v>42263865</v>
      </c>
    </row>
    <row r="1165" customFormat="false" ht="15.75" hidden="false" customHeight="false" outlineLevel="0" collapsed="false">
      <c r="A1165" s="6" t="n">
        <f aca="false">IFERROR(__xludf.dummyfunction("""COMPUTED_VALUE"""),45890.6666666667)</f>
        <v>45890.6666666667</v>
      </c>
      <c r="B1165" s="5" t="n">
        <f aca="false">IFERROR(__xludf.dummyfunction("""COMPUTED_VALUE"""),226.27)</f>
        <v>226.27</v>
      </c>
      <c r="C1165" s="5" t="n">
        <f aca="false">IFERROR(__xludf.dummyfunction("""COMPUTED_VALUE"""),226.52)</f>
        <v>226.52</v>
      </c>
      <c r="D1165" s="5" t="n">
        <f aca="false">IFERROR(__xludf.dummyfunction("""COMPUTED_VALUE"""),223.78)</f>
        <v>223.78</v>
      </c>
      <c r="E1165" s="5" t="n">
        <f aca="false">IFERROR(__xludf.dummyfunction("""COMPUTED_VALUE"""),224.9)</f>
        <v>224.9</v>
      </c>
      <c r="F1165" s="5" t="n">
        <f aca="false">IFERROR(__xludf.dummyfunction("""COMPUTED_VALUE"""),30621249)</f>
        <v>30621249</v>
      </c>
    </row>
    <row r="1166" customFormat="false" ht="15.75" hidden="false" customHeight="false" outlineLevel="0" collapsed="false">
      <c r="A1166" s="6" t="n">
        <f aca="false">IFERROR(__xludf.dummyfunction("""COMPUTED_VALUE"""),45891.6666666667)</f>
        <v>45891.6666666667</v>
      </c>
      <c r="B1166" s="5" t="n">
        <f aca="false">IFERROR(__xludf.dummyfunction("""COMPUTED_VALUE"""),226.17)</f>
        <v>226.17</v>
      </c>
      <c r="C1166" s="5" t="n">
        <f aca="false">IFERROR(__xludf.dummyfunction("""COMPUTED_VALUE"""),229.09)</f>
        <v>229.09</v>
      </c>
      <c r="D1166" s="5" t="n">
        <f aca="false">IFERROR(__xludf.dummyfunction("""COMPUTED_VALUE"""),225.41)</f>
        <v>225.41</v>
      </c>
      <c r="E1166" s="5" t="n">
        <f aca="false">IFERROR(__xludf.dummyfunction("""COMPUTED_VALUE"""),227.76)</f>
        <v>227.76</v>
      </c>
      <c r="F1166" s="5" t="n">
        <f aca="false">IFERROR(__xludf.dummyfunction("""COMPUTED_VALUE"""),42477811)</f>
        <v>42477811</v>
      </c>
    </row>
    <row r="1167" customFormat="false" ht="15.75" hidden="false" customHeight="false" outlineLevel="0" collapsed="false">
      <c r="A1167" s="6" t="n">
        <f aca="false">IFERROR(__xludf.dummyfunction("""COMPUTED_VALUE"""),45894.6666666667)</f>
        <v>45894.6666666667</v>
      </c>
      <c r="B1167" s="5" t="n">
        <f aca="false">IFERROR(__xludf.dummyfunction("""COMPUTED_VALUE"""),226.48)</f>
        <v>226.48</v>
      </c>
      <c r="C1167" s="5" t="n">
        <f aca="false">IFERROR(__xludf.dummyfunction("""COMPUTED_VALUE"""),229.3)</f>
        <v>229.3</v>
      </c>
      <c r="D1167" s="5" t="n">
        <f aca="false">IFERROR(__xludf.dummyfunction("""COMPUTED_VALUE"""),226.23)</f>
        <v>226.23</v>
      </c>
      <c r="E1167" s="5" t="n">
        <f aca="false">IFERROR(__xludf.dummyfunction("""COMPUTED_VALUE"""),227.16)</f>
        <v>227.16</v>
      </c>
      <c r="F1167" s="5" t="n">
        <f aca="false">IFERROR(__xludf.dummyfunction("""COMPUTED_VALUE"""),30983133)</f>
        <v>30983133</v>
      </c>
    </row>
    <row r="1168" customFormat="false" ht="15.75" hidden="false" customHeight="false" outlineLevel="0" collapsed="false">
      <c r="A1168" s="6" t="n">
        <f aca="false">IFERROR(__xludf.dummyfunction("""COMPUTED_VALUE"""),45895.6666666667)</f>
        <v>45895.6666666667</v>
      </c>
      <c r="B1168" s="5" t="n">
        <f aca="false">IFERROR(__xludf.dummyfunction("""COMPUTED_VALUE"""),226.87)</f>
        <v>226.87</v>
      </c>
      <c r="C1168" s="5" t="n">
        <f aca="false">IFERROR(__xludf.dummyfunction("""COMPUTED_VALUE"""),229.49)</f>
        <v>229.49</v>
      </c>
      <c r="D1168" s="5" t="n">
        <f aca="false">IFERROR(__xludf.dummyfunction("""COMPUTED_VALUE"""),224.69)</f>
        <v>224.69</v>
      </c>
      <c r="E1168" s="5" t="n">
        <f aca="false">IFERROR(__xludf.dummyfunction("""COMPUTED_VALUE"""),229.31)</f>
        <v>229.31</v>
      </c>
      <c r="F1168" s="5" t="n">
        <f aca="false">IFERROR(__xludf.dummyfunction("""COMPUTED_VALUE"""),54575107)</f>
        <v>54575107</v>
      </c>
    </row>
    <row r="1169" customFormat="false" ht="15.75" hidden="false" customHeight="false" outlineLevel="0" collapsed="false">
      <c r="A1169" s="6" t="n">
        <f aca="false">IFERROR(__xludf.dummyfunction("""COMPUTED_VALUE"""),45896.6666666667)</f>
        <v>45896.6666666667</v>
      </c>
      <c r="B1169" s="5" t="n">
        <f aca="false">IFERROR(__xludf.dummyfunction("""COMPUTED_VALUE"""),228.61)</f>
        <v>228.61</v>
      </c>
      <c r="C1169" s="5" t="n">
        <f aca="false">IFERROR(__xludf.dummyfunction("""COMPUTED_VALUE"""),230.9)</f>
        <v>230.9</v>
      </c>
      <c r="D1169" s="5" t="n">
        <f aca="false">IFERROR(__xludf.dummyfunction("""COMPUTED_VALUE"""),228.26)</f>
        <v>228.26</v>
      </c>
      <c r="E1169" s="5" t="n">
        <f aca="false">IFERROR(__xludf.dummyfunction("""COMPUTED_VALUE"""),230.49)</f>
        <v>230.49</v>
      </c>
      <c r="F1169" s="5" t="n">
        <f aca="false">IFERROR(__xludf.dummyfunction("""COMPUTED_VALUE"""),31259513)</f>
        <v>31259513</v>
      </c>
    </row>
    <row r="1170" customFormat="false" ht="15.75" hidden="false" customHeight="false" outlineLevel="0" collapsed="false">
      <c r="A1170" s="6" t="n">
        <f aca="false">IFERROR(__xludf.dummyfunction("""COMPUTED_VALUE"""),45897.6666666667)</f>
        <v>45897.6666666667</v>
      </c>
      <c r="B1170" s="5" t="n">
        <f aca="false">IFERROR(__xludf.dummyfunction("""COMPUTED_VALUE"""),230.82)</f>
        <v>230.82</v>
      </c>
      <c r="C1170" s="5" t="n">
        <f aca="false">IFERROR(__xludf.dummyfunction("""COMPUTED_VALUE"""),233.41)</f>
        <v>233.41</v>
      </c>
      <c r="D1170" s="5" t="n">
        <f aca="false">IFERROR(__xludf.dummyfunction("""COMPUTED_VALUE"""),229.34)</f>
        <v>229.34</v>
      </c>
      <c r="E1170" s="5" t="n">
        <f aca="false">IFERROR(__xludf.dummyfunction("""COMPUTED_VALUE"""),232.56)</f>
        <v>232.56</v>
      </c>
      <c r="F1170" s="5" t="n">
        <f aca="false">IFERROR(__xludf.dummyfunction("""COMPUTED_VALUE"""),38074700)</f>
        <v>38074700</v>
      </c>
    </row>
    <row r="1171" customFormat="false" ht="15.75" hidden="false" customHeight="false" outlineLevel="0" collapsed="false">
      <c r="A1171" s="6" t="n">
        <f aca="false">IFERROR(__xludf.dummyfunction("""COMPUTED_VALUE"""),45898.6666666667)</f>
        <v>45898.6666666667</v>
      </c>
      <c r="B1171" s="5" t="n">
        <f aca="false">IFERROR(__xludf.dummyfunction("""COMPUTED_VALUE"""),232.51)</f>
        <v>232.51</v>
      </c>
      <c r="C1171" s="5" t="n">
        <f aca="false">IFERROR(__xludf.dummyfunction("""COMPUTED_VALUE"""),233.38)</f>
        <v>233.38</v>
      </c>
      <c r="D1171" s="5" t="n">
        <f aca="false">IFERROR(__xludf.dummyfunction("""COMPUTED_VALUE"""),231.37)</f>
        <v>231.37</v>
      </c>
      <c r="E1171" s="5" t="n">
        <f aca="false">IFERROR(__xludf.dummyfunction("""COMPUTED_VALUE"""),232.14)</f>
        <v>232.14</v>
      </c>
      <c r="F1171" s="5" t="n">
        <f aca="false">IFERROR(__xludf.dummyfunction("""COMPUTED_VALUE"""),39418437)</f>
        <v>39418437</v>
      </c>
    </row>
    <row r="1172" customFormat="false" ht="15.75" hidden="false" customHeight="false" outlineLevel="0" collapsed="false">
      <c r="A1172" s="6" t="n">
        <f aca="false">IFERROR(__xludf.dummyfunction("""COMPUTED_VALUE"""),45902.6666666667)</f>
        <v>45902.6666666667</v>
      </c>
      <c r="B1172" s="5" t="n">
        <f aca="false">IFERROR(__xludf.dummyfunction("""COMPUTED_VALUE"""),229.25)</f>
        <v>229.25</v>
      </c>
      <c r="C1172" s="5" t="n">
        <f aca="false">IFERROR(__xludf.dummyfunction("""COMPUTED_VALUE"""),230.85)</f>
        <v>230.85</v>
      </c>
      <c r="D1172" s="5" t="n">
        <f aca="false">IFERROR(__xludf.dummyfunction("""COMPUTED_VALUE"""),226.97)</f>
        <v>226.97</v>
      </c>
      <c r="E1172" s="5" t="n">
        <f aca="false">IFERROR(__xludf.dummyfunction("""COMPUTED_VALUE"""),229.72)</f>
        <v>229.72</v>
      </c>
      <c r="F1172" s="5" t="n">
        <f aca="false">IFERROR(__xludf.dummyfunction("""COMPUTED_VALUE"""),44075638)</f>
        <v>44075638</v>
      </c>
    </row>
    <row r="1173" customFormat="false" ht="15.75" hidden="false" customHeight="false" outlineLevel="0" collapsed="false">
      <c r="A1173" s="6" t="n">
        <f aca="false">IFERROR(__xludf.dummyfunction("""COMPUTED_VALUE"""),45903.6666666667)</f>
        <v>45903.6666666667</v>
      </c>
      <c r="B1173" s="5" t="n">
        <f aca="false">IFERROR(__xludf.dummyfunction("""COMPUTED_VALUE"""),237.21)</f>
        <v>237.21</v>
      </c>
      <c r="C1173" s="5" t="n">
        <f aca="false">IFERROR(__xludf.dummyfunction("""COMPUTED_VALUE"""),238.85)</f>
        <v>238.85</v>
      </c>
      <c r="D1173" s="5" t="n">
        <f aca="false">IFERROR(__xludf.dummyfunction("""COMPUTED_VALUE"""),234.36)</f>
        <v>234.36</v>
      </c>
      <c r="E1173" s="5" t="n">
        <f aca="false">IFERROR(__xludf.dummyfunction("""COMPUTED_VALUE"""),238.47)</f>
        <v>238.47</v>
      </c>
      <c r="F1173" s="5" t="n">
        <f aca="false">IFERROR(__xludf.dummyfunction("""COMPUTED_VALUE"""),66427835)</f>
        <v>66427835</v>
      </c>
    </row>
    <row r="1174" customFormat="false" ht="15.75" hidden="false" customHeight="false" outlineLevel="0" collapsed="false">
      <c r="A1174" s="6" t="n">
        <f aca="false">IFERROR(__xludf.dummyfunction("""COMPUTED_VALUE"""),45904.6666666667)</f>
        <v>45904.6666666667</v>
      </c>
      <c r="B1174" s="5" t="n">
        <f aca="false">IFERROR(__xludf.dummyfunction("""COMPUTED_VALUE"""),238.45)</f>
        <v>238.45</v>
      </c>
      <c r="C1174" s="5" t="n">
        <f aca="false">IFERROR(__xludf.dummyfunction("""COMPUTED_VALUE"""),239.9)</f>
        <v>239.9</v>
      </c>
      <c r="D1174" s="5" t="n">
        <f aca="false">IFERROR(__xludf.dummyfunction("""COMPUTED_VALUE"""),236.74)</f>
        <v>236.74</v>
      </c>
      <c r="E1174" s="5" t="n">
        <f aca="false">IFERROR(__xludf.dummyfunction("""COMPUTED_VALUE"""),239.78)</f>
        <v>239.78</v>
      </c>
      <c r="F1174" s="5" t="n">
        <f aca="false">IFERROR(__xludf.dummyfunction("""COMPUTED_VALUE"""),47549429)</f>
        <v>47549429</v>
      </c>
    </row>
    <row r="1175" customFormat="false" ht="15.75" hidden="false" customHeight="false" outlineLevel="0" collapsed="false">
      <c r="A1175" s="6" t="n">
        <f aca="false">IFERROR(__xludf.dummyfunction("""COMPUTED_VALUE"""),45905.6666666667)</f>
        <v>45905.6666666667</v>
      </c>
      <c r="B1175" s="5" t="n">
        <f aca="false">IFERROR(__xludf.dummyfunction("""COMPUTED_VALUE"""),240)</f>
        <v>240</v>
      </c>
      <c r="C1175" s="5" t="n">
        <f aca="false">IFERROR(__xludf.dummyfunction("""COMPUTED_VALUE"""),241.32)</f>
        <v>241.32</v>
      </c>
      <c r="D1175" s="5" t="n">
        <f aca="false">IFERROR(__xludf.dummyfunction("""COMPUTED_VALUE"""),238.49)</f>
        <v>238.49</v>
      </c>
      <c r="E1175" s="5" t="n">
        <f aca="false">IFERROR(__xludf.dummyfunction("""COMPUTED_VALUE"""),239.69)</f>
        <v>239.69</v>
      </c>
      <c r="F1175" s="5" t="n">
        <f aca="false">IFERROR(__xludf.dummyfunction("""COMPUTED_VALUE"""),54870397)</f>
        <v>54870397</v>
      </c>
    </row>
    <row r="1176" customFormat="false" ht="15.75" hidden="false" customHeight="false" outlineLevel="0" collapsed="false">
      <c r="A1176" s="6" t="n">
        <f aca="false">IFERROR(__xludf.dummyfunction("""COMPUTED_VALUE"""),45908.6666666667)</f>
        <v>45908.6666666667</v>
      </c>
      <c r="B1176" s="5" t="n">
        <f aca="false">IFERROR(__xludf.dummyfunction("""COMPUTED_VALUE"""),239.3)</f>
        <v>239.3</v>
      </c>
      <c r="C1176" s="5" t="n">
        <f aca="false">IFERROR(__xludf.dummyfunction("""COMPUTED_VALUE"""),240.15)</f>
        <v>240.15</v>
      </c>
      <c r="D1176" s="5" t="n">
        <f aca="false">IFERROR(__xludf.dummyfunction("""COMPUTED_VALUE"""),236.34)</f>
        <v>236.34</v>
      </c>
      <c r="E1176" s="5" t="n">
        <f aca="false">IFERROR(__xludf.dummyfunction("""COMPUTED_VALUE"""),237.88)</f>
        <v>237.88</v>
      </c>
      <c r="F1176" s="5" t="n">
        <f aca="false">IFERROR(__xludf.dummyfunction("""COMPUTED_VALUE"""),48999495)</f>
        <v>48999495</v>
      </c>
    </row>
    <row r="1177" customFormat="false" ht="15.75" hidden="false" customHeight="false" outlineLevel="0" collapsed="false">
      <c r="A1177" s="6" t="n">
        <f aca="false">IFERROR(__xludf.dummyfunction("""COMPUTED_VALUE"""),45909.6666666667)</f>
        <v>45909.6666666667</v>
      </c>
      <c r="B1177" s="5" t="n">
        <f aca="false">IFERROR(__xludf.dummyfunction("""COMPUTED_VALUE"""),237)</f>
        <v>237</v>
      </c>
      <c r="C1177" s="5" t="n">
        <f aca="false">IFERROR(__xludf.dummyfunction("""COMPUTED_VALUE"""),238.78)</f>
        <v>238.78</v>
      </c>
      <c r="D1177" s="5" t="n">
        <f aca="false">IFERROR(__xludf.dummyfunction("""COMPUTED_VALUE"""),233.36)</f>
        <v>233.36</v>
      </c>
      <c r="E1177" s="5" t="n">
        <f aca="false">IFERROR(__xludf.dummyfunction("""COMPUTED_VALUE"""),234.35)</f>
        <v>234.35</v>
      </c>
      <c r="F1177" s="5" t="n">
        <f aca="false">IFERROR(__xludf.dummyfunction("""COMPUTED_VALUE"""),66313918)</f>
        <v>66313918</v>
      </c>
    </row>
    <row r="1178" customFormat="false" ht="15.75" hidden="false" customHeight="false" outlineLevel="0" collapsed="false">
      <c r="A1178" s="6" t="n">
        <f aca="false">IFERROR(__xludf.dummyfunction("""COMPUTED_VALUE"""),45910.6666666667)</f>
        <v>45910.6666666667</v>
      </c>
      <c r="B1178" s="5" t="n">
        <f aca="false">IFERROR(__xludf.dummyfunction("""COMPUTED_VALUE"""),232.19)</f>
        <v>232.19</v>
      </c>
      <c r="C1178" s="5" t="n">
        <f aca="false">IFERROR(__xludf.dummyfunction("""COMPUTED_VALUE"""),232.42)</f>
        <v>232.42</v>
      </c>
      <c r="D1178" s="5" t="n">
        <f aca="false">IFERROR(__xludf.dummyfunction("""COMPUTED_VALUE"""),225.95)</f>
        <v>225.95</v>
      </c>
      <c r="E1178" s="5" t="n">
        <f aca="false">IFERROR(__xludf.dummyfunction("""COMPUTED_VALUE"""),226.79)</f>
        <v>226.79</v>
      </c>
      <c r="F1178" s="5" t="n">
        <f aca="false">IFERROR(__xludf.dummyfunction("""COMPUTED_VALUE"""),83440810)</f>
        <v>83440810</v>
      </c>
    </row>
    <row r="1179" customFormat="false" ht="15.75" hidden="false" customHeight="false" outlineLevel="0" collapsed="false">
      <c r="A1179" s="6" t="n">
        <f aca="false">IFERROR(__xludf.dummyfunction("""COMPUTED_VALUE"""),45911.6666666667)</f>
        <v>45911.6666666667</v>
      </c>
      <c r="B1179" s="5" t="n">
        <f aca="false">IFERROR(__xludf.dummyfunction("""COMPUTED_VALUE"""),226.88)</f>
        <v>226.88</v>
      </c>
      <c r="C1179" s="5" t="n">
        <f aca="false">IFERROR(__xludf.dummyfunction("""COMPUTED_VALUE"""),230.45)</f>
        <v>230.45</v>
      </c>
      <c r="D1179" s="5" t="n">
        <f aca="false">IFERROR(__xludf.dummyfunction("""COMPUTED_VALUE"""),226.65)</f>
        <v>226.65</v>
      </c>
      <c r="E1179" s="5" t="n">
        <f aca="false">IFERROR(__xludf.dummyfunction("""COMPUTED_VALUE"""),230.03)</f>
        <v>230.03</v>
      </c>
      <c r="F1179" s="5" t="n">
        <f aca="false">IFERROR(__xludf.dummyfunction("""COMPUTED_VALUE"""),50208578)</f>
        <v>50208578</v>
      </c>
    </row>
    <row r="1180" customFormat="false" ht="15.75" hidden="false" customHeight="false" outlineLevel="0" collapsed="false">
      <c r="A1180" s="6" t="n">
        <f aca="false">IFERROR(__xludf.dummyfunction("""COMPUTED_VALUE"""),45912.6666666667)</f>
        <v>45912.6666666667</v>
      </c>
      <c r="B1180" s="5" t="n">
        <f aca="false">IFERROR(__xludf.dummyfunction("""COMPUTED_VALUE"""),229.22)</f>
        <v>229.22</v>
      </c>
      <c r="C1180" s="5" t="n">
        <f aca="false">IFERROR(__xludf.dummyfunction("""COMPUTED_VALUE"""),234.51)</f>
        <v>234.51</v>
      </c>
      <c r="D1180" s="5" t="n">
        <f aca="false">IFERROR(__xludf.dummyfunction("""COMPUTED_VALUE"""),229.02)</f>
        <v>229.02</v>
      </c>
      <c r="E1180" s="5" t="n">
        <f aca="false">IFERROR(__xludf.dummyfunction("""COMPUTED_VALUE"""),234.07)</f>
        <v>234.07</v>
      </c>
      <c r="F1180" s="5" t="n">
        <f aca="false">IFERROR(__xludf.dummyfunction("""COMPUTED_VALUE"""),55824216)</f>
        <v>55824216</v>
      </c>
    </row>
    <row r="1181" customFormat="false" ht="15.75" hidden="false" customHeight="false" outlineLevel="0" collapsed="false">
      <c r="A1181" s="6" t="n">
        <f aca="false">IFERROR(__xludf.dummyfunction("""COMPUTED_VALUE"""),45915.6666666667)</f>
        <v>45915.6666666667</v>
      </c>
      <c r="B1181" s="5" t="n">
        <f aca="false">IFERROR(__xludf.dummyfunction("""COMPUTED_VALUE"""),237)</f>
        <v>237</v>
      </c>
      <c r="C1181" s="5" t="n">
        <f aca="false">IFERROR(__xludf.dummyfunction("""COMPUTED_VALUE"""),238.19)</f>
        <v>238.19</v>
      </c>
      <c r="D1181" s="5" t="n">
        <f aca="false">IFERROR(__xludf.dummyfunction("""COMPUTED_VALUE"""),235.03)</f>
        <v>235.03</v>
      </c>
      <c r="E1181" s="5" t="n">
        <f aca="false">IFERROR(__xludf.dummyfunction("""COMPUTED_VALUE"""),236.7)</f>
        <v>236.7</v>
      </c>
      <c r="F1181" s="5" t="n">
        <f aca="false">IFERROR(__xludf.dummyfunction("""COMPUTED_VALUE"""),42699524)</f>
        <v>42699524</v>
      </c>
    </row>
    <row r="1182" customFormat="false" ht="15.75" hidden="false" customHeight="false" outlineLevel="0" collapsed="false">
      <c r="A1182" s="6" t="n">
        <f aca="false">IFERROR(__xludf.dummyfunction("""COMPUTED_VALUE"""),45916.6666666667)</f>
        <v>45916.6666666667</v>
      </c>
      <c r="B1182" s="5" t="n">
        <f aca="false">IFERROR(__xludf.dummyfunction("""COMPUTED_VALUE"""),237.18)</f>
        <v>237.18</v>
      </c>
      <c r="C1182" s="5" t="n">
        <f aca="false">IFERROR(__xludf.dummyfunction("""COMPUTED_VALUE"""),241.22)</f>
        <v>241.22</v>
      </c>
      <c r="D1182" s="5" t="n">
        <f aca="false">IFERROR(__xludf.dummyfunction("""COMPUTED_VALUE"""),236.32)</f>
        <v>236.32</v>
      </c>
      <c r="E1182" s="5" t="n">
        <f aca="false">IFERROR(__xludf.dummyfunction("""COMPUTED_VALUE"""),238.15)</f>
        <v>238.15</v>
      </c>
      <c r="F1182" s="5" t="n">
        <f aca="false">IFERROR(__xludf.dummyfunction("""COMPUTED_VALUE"""),63421099)</f>
        <v>63421099</v>
      </c>
    </row>
    <row r="1183" customFormat="false" ht="15.75" hidden="false" customHeight="false" outlineLevel="0" collapsed="false">
      <c r="A1183" s="6" t="n">
        <f aca="false">IFERROR(__xludf.dummyfunction("""COMPUTED_VALUE"""),45917.6666666667)</f>
        <v>45917.6666666667</v>
      </c>
      <c r="B1183" s="5" t="n">
        <f aca="false">IFERROR(__xludf.dummyfunction("""COMPUTED_VALUE"""),238.97)</f>
        <v>238.97</v>
      </c>
      <c r="C1183" s="5" t="n">
        <f aca="false">IFERROR(__xludf.dummyfunction("""COMPUTED_VALUE"""),240.1)</f>
        <v>240.1</v>
      </c>
      <c r="D1183" s="5" t="n">
        <f aca="false">IFERROR(__xludf.dummyfunction("""COMPUTED_VALUE"""),237.73)</f>
        <v>237.73</v>
      </c>
      <c r="E1183" s="5" t="n">
        <f aca="false">IFERROR(__xludf.dummyfunction("""COMPUTED_VALUE"""),238.99)</f>
        <v>238.99</v>
      </c>
      <c r="F1183" s="5" t="n">
        <f aca="false">IFERROR(__xludf.dummyfunction("""COMPUTED_VALUE"""),46508017)</f>
        <v>46508017</v>
      </c>
    </row>
    <row r="1184" customFormat="false" ht="15.75" hidden="false" customHeight="false" outlineLevel="0" collapsed="false">
      <c r="A1184" s="6" t="n">
        <f aca="false">IFERROR(__xludf.dummyfunction("""COMPUTED_VALUE"""),45918.6666666667)</f>
        <v>45918.6666666667</v>
      </c>
      <c r="B1184" s="5" t="n">
        <f aca="false">IFERROR(__xludf.dummyfunction("""COMPUTED_VALUE"""),239.97)</f>
        <v>239.97</v>
      </c>
      <c r="C1184" s="5" t="n">
        <f aca="false">IFERROR(__xludf.dummyfunction("""COMPUTED_VALUE"""),241.2)</f>
        <v>241.2</v>
      </c>
      <c r="D1184" s="5" t="n">
        <f aca="false">IFERROR(__xludf.dummyfunction("""COMPUTED_VALUE"""),236.65)</f>
        <v>236.65</v>
      </c>
      <c r="E1184" s="5" t="n">
        <f aca="false">IFERROR(__xludf.dummyfunction("""COMPUTED_VALUE"""),237.88)</f>
        <v>237.88</v>
      </c>
      <c r="F1184" s="5" t="n">
        <f aca="false">IFERROR(__xludf.dummyfunction("""COMPUTED_VALUE"""),44249576)</f>
        <v>44249576</v>
      </c>
    </row>
    <row r="1185" customFormat="false" ht="15.75" hidden="false" customHeight="false" outlineLevel="0" collapsed="false">
      <c r="A1185" s="6" t="n">
        <f aca="false">IFERROR(__xludf.dummyfunction("""COMPUTED_VALUE"""),45919.6666666667)</f>
        <v>45919.6666666667</v>
      </c>
      <c r="B1185" s="5" t="n">
        <f aca="false">IFERROR(__xludf.dummyfunction("""COMPUTED_VALUE"""),241.23)</f>
        <v>241.23</v>
      </c>
      <c r="C1185" s="5" t="n">
        <f aca="false">IFERROR(__xludf.dummyfunction("""COMPUTED_VALUE"""),246.3)</f>
        <v>246.3</v>
      </c>
      <c r="D1185" s="5" t="n">
        <f aca="false">IFERROR(__xludf.dummyfunction("""COMPUTED_VALUE"""),240.21)</f>
        <v>240.21</v>
      </c>
      <c r="E1185" s="5" t="n">
        <f aca="false">IFERROR(__xludf.dummyfunction("""COMPUTED_VALUE"""),245.5)</f>
        <v>245.5</v>
      </c>
      <c r="F1185" s="5" t="n">
        <f aca="false">IFERROR(__xludf.dummyfunction("""COMPUTED_VALUE"""),163741314)</f>
        <v>163741314</v>
      </c>
    </row>
    <row r="1186" customFormat="false" ht="15.75" hidden="false" customHeight="false" outlineLevel="0" collapsed="false">
      <c r="A1186" s="6" t="n">
        <f aca="false">IFERROR(__xludf.dummyfunction("""COMPUTED_VALUE"""),45922.6666666667)</f>
        <v>45922.6666666667</v>
      </c>
      <c r="B1186" s="5" t="n">
        <f aca="false">IFERROR(__xludf.dummyfunction("""COMPUTED_VALUE"""),248.3)</f>
        <v>248.3</v>
      </c>
      <c r="C1186" s="5" t="n">
        <f aca="false">IFERROR(__xludf.dummyfunction("""COMPUTED_VALUE"""),256.64)</f>
        <v>256.64</v>
      </c>
      <c r="D1186" s="5" t="n">
        <f aca="false">IFERROR(__xludf.dummyfunction("""COMPUTED_VALUE"""),248.12)</f>
        <v>248.12</v>
      </c>
      <c r="E1186" s="5" t="n">
        <f aca="false">IFERROR(__xludf.dummyfunction("""COMPUTED_VALUE"""),256.08)</f>
        <v>256.08</v>
      </c>
      <c r="F1186" s="5" t="n">
        <f aca="false">IFERROR(__xludf.dummyfunction("""COMPUTED_VALUE"""),105517416)</f>
        <v>105517416</v>
      </c>
    </row>
    <row r="1187" customFormat="false" ht="15.75" hidden="false" customHeight="false" outlineLevel="0" collapsed="false">
      <c r="A1187" s="6" t="n">
        <f aca="false">IFERROR(__xludf.dummyfunction("""COMPUTED_VALUE"""),45923.6666666667)</f>
        <v>45923.6666666667</v>
      </c>
      <c r="B1187" s="5" t="n">
        <f aca="false">IFERROR(__xludf.dummyfunction("""COMPUTED_VALUE"""),255.88)</f>
        <v>255.88</v>
      </c>
      <c r="C1187" s="5" t="n">
        <f aca="false">IFERROR(__xludf.dummyfunction("""COMPUTED_VALUE"""),257.34)</f>
        <v>257.34</v>
      </c>
      <c r="D1187" s="5" t="n">
        <f aca="false">IFERROR(__xludf.dummyfunction("""COMPUTED_VALUE"""),253.58)</f>
        <v>253.58</v>
      </c>
      <c r="E1187" s="5" t="n">
        <f aca="false">IFERROR(__xludf.dummyfunction("""COMPUTED_VALUE"""),254.43)</f>
        <v>254.43</v>
      </c>
      <c r="F1187" s="5" t="n">
        <f aca="false">IFERROR(__xludf.dummyfunction("""COMPUTED_VALUE"""),60275187)</f>
        <v>60275187</v>
      </c>
    </row>
    <row r="1188" customFormat="false" ht="15.75" hidden="false" customHeight="false" outlineLevel="0" collapsed="false">
      <c r="A1188" s="6" t="n">
        <f aca="false">IFERROR(__xludf.dummyfunction("""COMPUTED_VALUE"""),45924.6666666667)</f>
        <v>45924.6666666667</v>
      </c>
      <c r="B1188" s="5" t="n">
        <f aca="false">IFERROR(__xludf.dummyfunction("""COMPUTED_VALUE"""),255.22)</f>
        <v>255.22</v>
      </c>
      <c r="C1188" s="5" t="n">
        <f aca="false">IFERROR(__xludf.dummyfunction("""COMPUTED_VALUE"""),255.74)</f>
        <v>255.74</v>
      </c>
      <c r="D1188" s="5" t="n">
        <f aca="false">IFERROR(__xludf.dummyfunction("""COMPUTED_VALUE"""),251.04)</f>
        <v>251.04</v>
      </c>
      <c r="E1188" s="5" t="n">
        <f aca="false">IFERROR(__xludf.dummyfunction("""COMPUTED_VALUE"""),252.31)</f>
        <v>252.31</v>
      </c>
      <c r="F1188" s="5" t="n">
        <f aca="false">IFERROR(__xludf.dummyfunction("""COMPUTED_VALUE"""),42303710)</f>
        <v>42303710</v>
      </c>
    </row>
    <row r="1189" customFormat="false" ht="15.75" hidden="false" customHeight="false" outlineLevel="0" collapsed="false">
      <c r="A1189" s="6" t="n">
        <f aca="false">IFERROR(__xludf.dummyfunction("""COMPUTED_VALUE"""),45925.6666666667)</f>
        <v>45925.6666666667</v>
      </c>
      <c r="B1189" s="5" t="n">
        <f aca="false">IFERROR(__xludf.dummyfunction("""COMPUTED_VALUE"""),253.21)</f>
        <v>253.21</v>
      </c>
      <c r="C1189" s="5" t="n">
        <f aca="false">IFERROR(__xludf.dummyfunction("""COMPUTED_VALUE"""),257.17)</f>
        <v>257.17</v>
      </c>
      <c r="D1189" s="5" t="n">
        <f aca="false">IFERROR(__xludf.dummyfunction("""COMPUTED_VALUE"""),251.71)</f>
        <v>251.71</v>
      </c>
      <c r="E1189" s="5" t="n">
        <f aca="false">IFERROR(__xludf.dummyfunction("""COMPUTED_VALUE"""),256.87)</f>
        <v>256.87</v>
      </c>
      <c r="F1189" s="5" t="n">
        <f aca="false">IFERROR(__xludf.dummyfunction("""COMPUTED_VALUE"""),55202075)</f>
        <v>55202075</v>
      </c>
    </row>
    <row r="1190" customFormat="false" ht="15.75" hidden="false" customHeight="false" outlineLevel="0" collapsed="false">
      <c r="A1190" s="6" t="n">
        <f aca="false">IFERROR(__xludf.dummyfunction("""COMPUTED_VALUE"""),45926.6666666667)</f>
        <v>45926.6666666667</v>
      </c>
      <c r="B1190" s="5" t="n">
        <f aca="false">IFERROR(__xludf.dummyfunction("""COMPUTED_VALUE"""),254.1)</f>
        <v>254.1</v>
      </c>
      <c r="C1190" s="5" t="n">
        <f aca="false">IFERROR(__xludf.dummyfunction("""COMPUTED_VALUE"""),257.6)</f>
        <v>257.6</v>
      </c>
      <c r="D1190" s="5" t="n">
        <f aca="false">IFERROR(__xludf.dummyfunction("""COMPUTED_VALUE"""),253.78)</f>
        <v>253.78</v>
      </c>
      <c r="E1190" s="5" t="n">
        <f aca="false">IFERROR(__xludf.dummyfunction("""COMPUTED_VALUE"""),255.46)</f>
        <v>255.46</v>
      </c>
      <c r="F1190" s="5" t="n">
        <f aca="false">IFERROR(__xludf.dummyfunction("""COMPUTED_VALUE"""),46076258)</f>
        <v>46076258</v>
      </c>
    </row>
    <row r="1191" customFormat="false" ht="15.75" hidden="false" customHeight="false" outlineLevel="0" collapsed="false">
      <c r="A1191" s="6" t="n">
        <f aca="false">IFERROR(__xludf.dummyfunction("""COMPUTED_VALUE"""),45929.6666666667)</f>
        <v>45929.6666666667</v>
      </c>
      <c r="B1191" s="5" t="n">
        <f aca="false">IFERROR(__xludf.dummyfunction("""COMPUTED_VALUE"""),254.56)</f>
        <v>254.56</v>
      </c>
      <c r="C1191" s="5" t="n">
        <f aca="false">IFERROR(__xludf.dummyfunction("""COMPUTED_VALUE"""),255)</f>
        <v>255</v>
      </c>
      <c r="D1191" s="5" t="n">
        <f aca="false">IFERROR(__xludf.dummyfunction("""COMPUTED_VALUE"""),253.01)</f>
        <v>253.01</v>
      </c>
      <c r="E1191" s="5" t="n">
        <f aca="false">IFERROR(__xludf.dummyfunction("""COMPUTED_VALUE"""),254.43)</f>
        <v>254.43</v>
      </c>
      <c r="F1191" s="5" t="n">
        <f aca="false">IFERROR(__xludf.dummyfunction("""COMPUTED_VALUE"""),40127687)</f>
        <v>40127687</v>
      </c>
    </row>
    <row r="1192" customFormat="false" ht="15.75" hidden="false" customHeight="false" outlineLevel="0" collapsed="false">
      <c r="A1192" s="6" t="n">
        <f aca="false">IFERROR(__xludf.dummyfunction("""COMPUTED_VALUE"""),45930.6666666667)</f>
        <v>45930.6666666667</v>
      </c>
      <c r="B1192" s="5" t="n">
        <f aca="false">IFERROR(__xludf.dummyfunction("""COMPUTED_VALUE"""),254.86)</f>
        <v>254.86</v>
      </c>
      <c r="C1192" s="5" t="n">
        <f aca="false">IFERROR(__xludf.dummyfunction("""COMPUTED_VALUE"""),255.92)</f>
        <v>255.92</v>
      </c>
      <c r="D1192" s="5" t="n">
        <f aca="false">IFERROR(__xludf.dummyfunction("""COMPUTED_VALUE"""),253.11)</f>
        <v>253.11</v>
      </c>
      <c r="E1192" s="5" t="n">
        <f aca="false">IFERROR(__xludf.dummyfunction("""COMPUTED_VALUE"""),254.63)</f>
        <v>254.63</v>
      </c>
      <c r="F1192" s="5" t="n">
        <f aca="false">IFERROR(__xludf.dummyfunction("""COMPUTED_VALUE"""),37704259)</f>
        <v>37704259</v>
      </c>
    </row>
    <row r="1193" customFormat="false" ht="15.75" hidden="false" customHeight="false" outlineLevel="0" collapsed="false">
      <c r="A1193" s="6" t="n">
        <f aca="false">IFERROR(__xludf.dummyfunction("""COMPUTED_VALUE"""),45931.6666666667)</f>
        <v>45931.6666666667</v>
      </c>
      <c r="B1193" s="5" t="n">
        <f aca="false">IFERROR(__xludf.dummyfunction("""COMPUTED_VALUE"""),255.04)</f>
        <v>255.04</v>
      </c>
      <c r="C1193" s="5" t="n">
        <f aca="false">IFERROR(__xludf.dummyfunction("""COMPUTED_VALUE"""),258.79)</f>
        <v>258.79</v>
      </c>
      <c r="D1193" s="5" t="n">
        <f aca="false">IFERROR(__xludf.dummyfunction("""COMPUTED_VALUE"""),254.93)</f>
        <v>254.93</v>
      </c>
      <c r="E1193" s="5" t="n">
        <f aca="false">IFERROR(__xludf.dummyfunction("""COMPUTED_VALUE"""),255.45)</f>
        <v>255.45</v>
      </c>
      <c r="F1193" s="5" t="n">
        <f aca="false">IFERROR(__xludf.dummyfunction("""COMPUTED_VALUE"""),48713940)</f>
        <v>48713940</v>
      </c>
    </row>
    <row r="1194" customFormat="false" ht="15.75" hidden="false" customHeight="false" outlineLevel="0" collapsed="false">
      <c r="A1194" s="6" t="n">
        <f aca="false">IFERROR(__xludf.dummyfunction("""COMPUTED_VALUE"""),45932.6666666667)</f>
        <v>45932.6666666667</v>
      </c>
      <c r="B1194" s="5" t="n">
        <f aca="false">IFERROR(__xludf.dummyfunction("""COMPUTED_VALUE"""),256.58)</f>
        <v>256.58</v>
      </c>
      <c r="C1194" s="5" t="n">
        <f aca="false">IFERROR(__xludf.dummyfunction("""COMPUTED_VALUE"""),258.18)</f>
        <v>258.18</v>
      </c>
      <c r="D1194" s="5" t="n">
        <f aca="false">IFERROR(__xludf.dummyfunction("""COMPUTED_VALUE"""),254.15)</f>
        <v>254.15</v>
      </c>
      <c r="E1194" s="5" t="n">
        <f aca="false">IFERROR(__xludf.dummyfunction("""COMPUTED_VALUE"""),257.13)</f>
        <v>257.13</v>
      </c>
      <c r="F1194" s="5" t="n">
        <f aca="false">IFERROR(__xludf.dummyfunction("""COMPUTED_VALUE"""),42630239)</f>
        <v>42630239</v>
      </c>
    </row>
    <row r="1195" customFormat="false" ht="15.75" hidden="false" customHeight="false" outlineLevel="0" collapsed="false">
      <c r="A1195" s="6" t="n">
        <f aca="false">IFERROR(__xludf.dummyfunction("""COMPUTED_VALUE"""),45933.6666666667)</f>
        <v>45933.6666666667</v>
      </c>
      <c r="B1195" s="5" t="n">
        <f aca="false">IFERROR(__xludf.dummyfunction("""COMPUTED_VALUE"""),254.67)</f>
        <v>254.67</v>
      </c>
      <c r="C1195" s="5" t="n">
        <f aca="false">IFERROR(__xludf.dummyfunction("""COMPUTED_VALUE"""),259.24)</f>
        <v>259.24</v>
      </c>
      <c r="D1195" s="5" t="n">
        <f aca="false">IFERROR(__xludf.dummyfunction("""COMPUTED_VALUE"""),253.95)</f>
        <v>253.95</v>
      </c>
      <c r="E1195" s="5" t="n">
        <f aca="false">IFERROR(__xludf.dummyfunction("""COMPUTED_VALUE"""),258.02)</f>
        <v>258.02</v>
      </c>
      <c r="F1195" s="5" t="n">
        <f aca="false">IFERROR(__xludf.dummyfunction("""COMPUTED_VALUE"""),49155614)</f>
        <v>49155614</v>
      </c>
    </row>
    <row r="1196" customFormat="false" ht="15.75" hidden="false" customHeight="false" outlineLevel="0" collapsed="false">
      <c r="A1196" s="6" t="n">
        <f aca="false">IFERROR(__xludf.dummyfunction("""COMPUTED_VALUE"""),45936.6666666667)</f>
        <v>45936.6666666667</v>
      </c>
      <c r="B1196" s="5" t="n">
        <f aca="false">IFERROR(__xludf.dummyfunction("""COMPUTED_VALUE"""),257.99)</f>
        <v>257.99</v>
      </c>
      <c r="C1196" s="5" t="n">
        <f aca="false">IFERROR(__xludf.dummyfunction("""COMPUTED_VALUE"""),259.07)</f>
        <v>259.07</v>
      </c>
      <c r="D1196" s="5" t="n">
        <f aca="false">IFERROR(__xludf.dummyfunction("""COMPUTED_VALUE"""),255.05)</f>
        <v>255.05</v>
      </c>
      <c r="E1196" s="5" t="n">
        <f aca="false">IFERROR(__xludf.dummyfunction("""COMPUTED_VALUE"""),256.69)</f>
        <v>256.69</v>
      </c>
      <c r="F1196" s="5" t="n">
        <f aca="false">IFERROR(__xludf.dummyfunction("""COMPUTED_VALUE"""),44664118)</f>
        <v>44664118</v>
      </c>
    </row>
    <row r="1197" customFormat="false" ht="15.75" hidden="false" customHeight="false" outlineLevel="0" collapsed="false">
      <c r="A1197" s="6" t="n">
        <f aca="false">IFERROR(__xludf.dummyfunction("""COMPUTED_VALUE"""),45937.6666666667)</f>
        <v>45937.6666666667</v>
      </c>
      <c r="B1197" s="5" t="n">
        <f aca="false">IFERROR(__xludf.dummyfunction("""COMPUTED_VALUE"""),256.81)</f>
        <v>256.81</v>
      </c>
      <c r="C1197" s="5" t="n">
        <f aca="false">IFERROR(__xludf.dummyfunction("""COMPUTED_VALUE"""),257.4)</f>
        <v>257.4</v>
      </c>
      <c r="D1197" s="5" t="n">
        <f aca="false">IFERROR(__xludf.dummyfunction("""COMPUTED_VALUE"""),255.43)</f>
        <v>255.43</v>
      </c>
      <c r="E1197" s="5" t="n">
        <f aca="false">IFERROR(__xludf.dummyfunction("""COMPUTED_VALUE"""),256.48)</f>
        <v>256.48</v>
      </c>
      <c r="F1197" s="5" t="n">
        <f aca="false">IFERROR(__xludf.dummyfunction("""COMPUTED_VALUE"""),31955776)</f>
        <v>31955776</v>
      </c>
    </row>
    <row r="1198" customFormat="false" ht="15.75" hidden="false" customHeight="false" outlineLevel="0" collapsed="false">
      <c r="A1198" s="6" t="n">
        <f aca="false">IFERROR(__xludf.dummyfunction("""COMPUTED_VALUE"""),45938.6666666667)</f>
        <v>45938.6666666667</v>
      </c>
      <c r="B1198" s="5" t="n">
        <f aca="false">IFERROR(__xludf.dummyfunction("""COMPUTED_VALUE"""),256.52)</f>
        <v>256.52</v>
      </c>
      <c r="C1198" s="5" t="n">
        <f aca="false">IFERROR(__xludf.dummyfunction("""COMPUTED_VALUE"""),258.52)</f>
        <v>258.52</v>
      </c>
      <c r="D1198" s="5" t="n">
        <f aca="false">IFERROR(__xludf.dummyfunction("""COMPUTED_VALUE"""),256.11)</f>
        <v>256.11</v>
      </c>
      <c r="E1198" s="5" t="n">
        <f aca="false">IFERROR(__xludf.dummyfunction("""COMPUTED_VALUE"""),258.06)</f>
        <v>258.06</v>
      </c>
      <c r="F1198" s="5" t="n">
        <f aca="false">IFERROR(__xludf.dummyfunction("""COMPUTED_VALUE"""),36496895)</f>
        <v>36496895</v>
      </c>
    </row>
    <row r="1199" customFormat="false" ht="15.75" hidden="false" customHeight="false" outlineLevel="0" collapsed="false">
      <c r="A1199" s="6" t="n">
        <f aca="false">IFERROR(__xludf.dummyfunction("""COMPUTED_VALUE"""),45939.6666666667)</f>
        <v>45939.6666666667</v>
      </c>
      <c r="B1199" s="5" t="n">
        <f aca="false">IFERROR(__xludf.dummyfunction("""COMPUTED_VALUE"""),257.81)</f>
        <v>257.81</v>
      </c>
      <c r="C1199" s="5" t="n">
        <f aca="false">IFERROR(__xludf.dummyfunction("""COMPUTED_VALUE"""),258)</f>
        <v>258</v>
      </c>
      <c r="D1199" s="5" t="n">
        <f aca="false">IFERROR(__xludf.dummyfunction("""COMPUTED_VALUE"""),253.14)</f>
        <v>253.14</v>
      </c>
      <c r="E1199" s="5" t="n">
        <f aca="false">IFERROR(__xludf.dummyfunction("""COMPUTED_VALUE"""),254.04)</f>
        <v>254.04</v>
      </c>
      <c r="F1199" s="5" t="n">
        <f aca="false">IFERROR(__xludf.dummyfunction("""COMPUTED_VALUE"""),38322012)</f>
        <v>38322012</v>
      </c>
    </row>
    <row r="1200" customFormat="false" ht="15.75" hidden="false" customHeight="false" outlineLevel="0" collapsed="false">
      <c r="A1200" s="6" t="n">
        <f aca="false">IFERROR(__xludf.dummyfunction("""COMPUTED_VALUE"""),45940.6666666667)</f>
        <v>45940.6666666667</v>
      </c>
      <c r="B1200" s="5" t="n">
        <f aca="false">IFERROR(__xludf.dummyfunction("""COMPUTED_VALUE"""),254.94)</f>
        <v>254.94</v>
      </c>
      <c r="C1200" s="5" t="n">
        <f aca="false">IFERROR(__xludf.dummyfunction("""COMPUTED_VALUE"""),256.38)</f>
        <v>256.38</v>
      </c>
      <c r="D1200" s="5" t="n">
        <f aca="false">IFERROR(__xludf.dummyfunction("""COMPUTED_VALUE"""),244)</f>
        <v>244</v>
      </c>
      <c r="E1200" s="5" t="n">
        <f aca="false">IFERROR(__xludf.dummyfunction("""COMPUTED_VALUE"""),245.27)</f>
        <v>245.27</v>
      </c>
      <c r="F1200" s="5" t="n">
        <f aca="false">IFERROR(__xludf.dummyfunction("""COMPUTED_VALUE"""),61999098)</f>
        <v>61999098</v>
      </c>
    </row>
    <row r="1201" customFormat="false" ht="15.75" hidden="false" customHeight="false" outlineLevel="0" collapsed="false">
      <c r="A1201" s="6" t="n">
        <f aca="false">IFERROR(__xludf.dummyfunction("""COMPUTED_VALUE"""),45943.6666666667)</f>
        <v>45943.6666666667</v>
      </c>
      <c r="B1201" s="5" t="n">
        <f aca="false">IFERROR(__xludf.dummyfunction("""COMPUTED_VALUE"""),249.38)</f>
        <v>249.38</v>
      </c>
      <c r="C1201" s="5" t="n">
        <f aca="false">IFERROR(__xludf.dummyfunction("""COMPUTED_VALUE"""),249.69)</f>
        <v>249.69</v>
      </c>
      <c r="D1201" s="5" t="n">
        <f aca="false">IFERROR(__xludf.dummyfunction("""COMPUTED_VALUE"""),245.56)</f>
        <v>245.56</v>
      </c>
      <c r="E1201" s="5" t="n">
        <f aca="false">IFERROR(__xludf.dummyfunction("""COMPUTED_VALUE"""),247.66)</f>
        <v>247.66</v>
      </c>
      <c r="F1201" s="5" t="n">
        <f aca="false">IFERROR(__xludf.dummyfunction("""COMPUTED_VALUE"""),38142942)</f>
        <v>38142942</v>
      </c>
    </row>
    <row r="1202" customFormat="false" ht="15.75" hidden="false" customHeight="false" outlineLevel="0" collapsed="false">
      <c r="A1202" s="6" t="n">
        <f aca="false">IFERROR(__xludf.dummyfunction("""COMPUTED_VALUE"""),45944.6666666667)</f>
        <v>45944.6666666667</v>
      </c>
      <c r="B1202" s="5" t="n">
        <f aca="false">IFERROR(__xludf.dummyfunction("""COMPUTED_VALUE"""),246.6)</f>
        <v>246.6</v>
      </c>
      <c r="C1202" s="5" t="n">
        <f aca="false">IFERROR(__xludf.dummyfunction("""COMPUTED_VALUE"""),248.85)</f>
        <v>248.85</v>
      </c>
      <c r="D1202" s="5" t="n">
        <f aca="false">IFERROR(__xludf.dummyfunction("""COMPUTED_VALUE"""),244.7)</f>
        <v>244.7</v>
      </c>
      <c r="E1202" s="5" t="n">
        <f aca="false">IFERROR(__xludf.dummyfunction("""COMPUTED_VALUE"""),247.77)</f>
        <v>247.77</v>
      </c>
      <c r="F1202" s="5" t="n">
        <f aca="false">IFERROR(__xludf.dummyfunction("""COMPUTED_VALUE"""),35477986)</f>
        <v>35477986</v>
      </c>
    </row>
    <row r="1203" customFormat="false" ht="15.75" hidden="false" customHeight="false" outlineLevel="0" collapsed="false">
      <c r="A1203" s="6" t="n">
        <f aca="false">IFERROR(__xludf.dummyfunction("""COMPUTED_VALUE"""),45945.6666666667)</f>
        <v>45945.6666666667</v>
      </c>
      <c r="B1203" s="5" t="n">
        <f aca="false">IFERROR(__xludf.dummyfunction("""COMPUTED_VALUE"""),249.49)</f>
        <v>249.49</v>
      </c>
      <c r="C1203" s="5" t="n">
        <f aca="false">IFERROR(__xludf.dummyfunction("""COMPUTED_VALUE"""),251.82)</f>
        <v>251.82</v>
      </c>
      <c r="D1203" s="5" t="n">
        <f aca="false">IFERROR(__xludf.dummyfunction("""COMPUTED_VALUE"""),247.47)</f>
        <v>247.47</v>
      </c>
      <c r="E1203" s="5" t="n">
        <f aca="false">IFERROR(__xludf.dummyfunction("""COMPUTED_VALUE"""),249.34)</f>
        <v>249.34</v>
      </c>
      <c r="F1203" s="5" t="n">
        <f aca="false">IFERROR(__xludf.dummyfunction("""COMPUTED_VALUE"""),33893611)</f>
        <v>33893611</v>
      </c>
    </row>
    <row r="1204" customFormat="false" ht="15.75" hidden="false" customHeight="false" outlineLevel="0" collapsed="false">
      <c r="A1204" s="6" t="n">
        <f aca="false">IFERROR(__xludf.dummyfunction("""COMPUTED_VALUE"""),45946.6666666667)</f>
        <v>45946.6666666667</v>
      </c>
      <c r="B1204" s="5" t="n">
        <f aca="false">IFERROR(__xludf.dummyfunction("""COMPUTED_VALUE"""),248.25)</f>
        <v>248.25</v>
      </c>
      <c r="C1204" s="5" t="n">
        <f aca="false">IFERROR(__xludf.dummyfunction("""COMPUTED_VALUE"""),249.04)</f>
        <v>249.04</v>
      </c>
      <c r="D1204" s="5" t="n">
        <f aca="false">IFERROR(__xludf.dummyfunction("""COMPUTED_VALUE"""),245.13)</f>
        <v>245.13</v>
      </c>
      <c r="E1204" s="5" t="n">
        <f aca="false">IFERROR(__xludf.dummyfunction("""COMPUTED_VALUE"""),247.45)</f>
        <v>247.45</v>
      </c>
      <c r="F1204" s="5" t="n">
        <f aca="false">IFERROR(__xludf.dummyfunction("""COMPUTED_VALUE"""),39776974)</f>
        <v>39776974</v>
      </c>
    </row>
    <row r="1205" customFormat="false" ht="15.75" hidden="false" customHeight="false" outlineLevel="0" collapsed="false">
      <c r="A1205" s="6" t="n">
        <f aca="false">IFERROR(__xludf.dummyfunction("""COMPUTED_VALUE"""),45947.6666666667)</f>
        <v>45947.6666666667</v>
      </c>
      <c r="B1205" s="5" t="n">
        <f aca="false">IFERROR(__xludf.dummyfunction("""COMPUTED_VALUE"""),248.02)</f>
        <v>248.02</v>
      </c>
      <c r="C1205" s="5" t="n">
        <f aca="false">IFERROR(__xludf.dummyfunction("""COMPUTED_VALUE"""),253.38)</f>
        <v>253.38</v>
      </c>
      <c r="D1205" s="5" t="n">
        <f aca="false">IFERROR(__xludf.dummyfunction("""COMPUTED_VALUE"""),247.27)</f>
        <v>247.27</v>
      </c>
      <c r="E1205" s="5" t="n">
        <f aca="false">IFERROR(__xludf.dummyfunction("""COMPUTED_VALUE"""),252.29)</f>
        <v>252.29</v>
      </c>
      <c r="F1205" s="5" t="n">
        <f aca="false">IFERROR(__xludf.dummyfunction("""COMPUTED_VALUE"""),49146961)</f>
        <v>49146961</v>
      </c>
    </row>
    <row r="1206" customFormat="false" ht="15.75" hidden="false" customHeight="false" outlineLevel="0" collapsed="false">
      <c r="A1206" s="6" t="n">
        <f aca="false">IFERROR(__xludf.dummyfunction("""COMPUTED_VALUE"""),45950.6666666667)</f>
        <v>45950.6666666667</v>
      </c>
      <c r="B1206" s="5" t="n">
        <f aca="false">IFERROR(__xludf.dummyfunction("""COMPUTED_VALUE"""),255.89)</f>
        <v>255.89</v>
      </c>
      <c r="C1206" s="5" t="n">
        <f aca="false">IFERROR(__xludf.dummyfunction("""COMPUTED_VALUE"""),264.38)</f>
        <v>264.38</v>
      </c>
      <c r="D1206" s="5" t="n">
        <f aca="false">IFERROR(__xludf.dummyfunction("""COMPUTED_VALUE"""),255.63)</f>
        <v>255.63</v>
      </c>
      <c r="E1206" s="5" t="n">
        <f aca="false">IFERROR(__xludf.dummyfunction("""COMPUTED_VALUE"""),262.24)</f>
        <v>262.24</v>
      </c>
      <c r="F1206" s="5" t="n">
        <f aca="false">IFERROR(__xludf.dummyfunction("""COMPUTED_VALUE"""),90483029)</f>
        <v>90483029</v>
      </c>
    </row>
    <row r="1207" customFormat="false" ht="15.75" hidden="false" customHeight="false" outlineLevel="0" collapsed="false">
      <c r="A1207" s="6" t="n">
        <f aca="false">IFERROR(__xludf.dummyfunction("""COMPUTED_VALUE"""),45951.6666666667)</f>
        <v>45951.6666666667</v>
      </c>
      <c r="B1207" s="5" t="n">
        <f aca="false">IFERROR(__xludf.dummyfunction("""COMPUTED_VALUE"""),261.88)</f>
        <v>261.88</v>
      </c>
      <c r="C1207" s="5" t="n">
        <f aca="false">IFERROR(__xludf.dummyfunction("""COMPUTED_VALUE"""),265.29)</f>
        <v>265.29</v>
      </c>
      <c r="D1207" s="5" t="n">
        <f aca="false">IFERROR(__xludf.dummyfunction("""COMPUTED_VALUE"""),261.83)</f>
        <v>261.83</v>
      </c>
      <c r="E1207" s="5" t="n">
        <f aca="false">IFERROR(__xludf.dummyfunction("""COMPUTED_VALUE"""),262.77)</f>
        <v>262.77</v>
      </c>
      <c r="F1207" s="5" t="n">
        <f aca="false">IFERROR(__xludf.dummyfunction("""COMPUTED_VALUE"""),46695948)</f>
        <v>46695948</v>
      </c>
    </row>
    <row r="1208" customFormat="false" ht="15.75" hidden="false" customHeight="false" outlineLevel="0" collapsed="false">
      <c r="A1208" s="6" t="n">
        <f aca="false">IFERROR(__xludf.dummyfunction("""COMPUTED_VALUE"""),45952.6666666667)</f>
        <v>45952.6666666667</v>
      </c>
      <c r="B1208" s="5" t="n">
        <f aca="false">IFERROR(__xludf.dummyfunction("""COMPUTED_VALUE"""),262.65)</f>
        <v>262.65</v>
      </c>
      <c r="C1208" s="5" t="n">
        <f aca="false">IFERROR(__xludf.dummyfunction("""COMPUTED_VALUE"""),262.85)</f>
        <v>262.85</v>
      </c>
      <c r="D1208" s="5" t="n">
        <f aca="false">IFERROR(__xludf.dummyfunction("""COMPUTED_VALUE"""),255.43)</f>
        <v>255.43</v>
      </c>
      <c r="E1208" s="5" t="n">
        <f aca="false">IFERROR(__xludf.dummyfunction("""COMPUTED_VALUE"""),258.45)</f>
        <v>258.45</v>
      </c>
      <c r="F1208" s="5" t="n">
        <f aca="false">IFERROR(__xludf.dummyfunction("""COMPUTED_VALUE"""),45015254)</f>
        <v>45015254</v>
      </c>
    </row>
    <row r="1209" customFormat="false" ht="15.75" hidden="false" customHeight="false" outlineLevel="0" collapsed="false">
      <c r="A1209" s="6" t="n">
        <f aca="false">IFERROR(__xludf.dummyfunction("""COMPUTED_VALUE"""),45953.6666666667)</f>
        <v>45953.6666666667</v>
      </c>
      <c r="B1209" s="5" t="n">
        <f aca="false">IFERROR(__xludf.dummyfunction("""COMPUTED_VALUE"""),259.94)</f>
        <v>259.94</v>
      </c>
      <c r="C1209" s="5" t="n">
        <f aca="false">IFERROR(__xludf.dummyfunction("""COMPUTED_VALUE"""),260.62)</f>
        <v>260.62</v>
      </c>
      <c r="D1209" s="5" t="n">
        <f aca="false">IFERROR(__xludf.dummyfunction("""COMPUTED_VALUE"""),258.01)</f>
        <v>258.01</v>
      </c>
      <c r="E1209" s="5" t="n">
        <f aca="false">IFERROR(__xludf.dummyfunction("""COMPUTED_VALUE"""),259.58)</f>
        <v>259.58</v>
      </c>
      <c r="F1209" s="5" t="n">
        <f aca="false">IFERROR(__xludf.dummyfunction("""COMPUTED_VALUE"""),32754941)</f>
        <v>32754941</v>
      </c>
    </row>
    <row r="1210" customFormat="false" ht="15.75" hidden="false" customHeight="false" outlineLevel="0" collapsed="false">
      <c r="A1210" s="6" t="n">
        <f aca="false">IFERROR(__xludf.dummyfunction("""COMPUTED_VALUE"""),45954.6666666667)</f>
        <v>45954.6666666667</v>
      </c>
      <c r="B1210" s="5" t="n">
        <f aca="false">IFERROR(__xludf.dummyfunction("""COMPUTED_VALUE"""),261.19)</f>
        <v>261.19</v>
      </c>
      <c r="C1210" s="5" t="n">
        <f aca="false">IFERROR(__xludf.dummyfunction("""COMPUTED_VALUE"""),264.13)</f>
        <v>264.13</v>
      </c>
      <c r="D1210" s="5" t="n">
        <f aca="false">IFERROR(__xludf.dummyfunction("""COMPUTED_VALUE"""),259.18)</f>
        <v>259.18</v>
      </c>
      <c r="E1210" s="5" t="n">
        <f aca="false">IFERROR(__xludf.dummyfunction("""COMPUTED_VALUE"""),262.82)</f>
        <v>262.82</v>
      </c>
      <c r="F1210" s="5" t="n">
        <f aca="false">IFERROR(__xludf.dummyfunction("""COMPUTED_VALUE"""),38253717)</f>
        <v>38253717</v>
      </c>
    </row>
    <row r="1211" customFormat="false" ht="15.75" hidden="false" customHeight="false" outlineLevel="0" collapsed="false">
      <c r="A1211" s="6" t="n">
        <f aca="false">IFERROR(__xludf.dummyfunction("""COMPUTED_VALUE"""),45957.6666666667)</f>
        <v>45957.6666666667</v>
      </c>
      <c r="B1211" s="5" t="n">
        <f aca="false">IFERROR(__xludf.dummyfunction("""COMPUTED_VALUE"""),264.88)</f>
        <v>264.88</v>
      </c>
      <c r="C1211" s="5" t="n">
        <f aca="false">IFERROR(__xludf.dummyfunction("""COMPUTED_VALUE"""),269.12)</f>
        <v>269.12</v>
      </c>
      <c r="D1211" s="5" t="n">
        <f aca="false">IFERROR(__xludf.dummyfunction("""COMPUTED_VALUE"""),264.65)</f>
        <v>264.65</v>
      </c>
      <c r="E1211" s="5" t="n">
        <f aca="false">IFERROR(__xludf.dummyfunction("""COMPUTED_VALUE"""),268.81)</f>
        <v>268.81</v>
      </c>
      <c r="F1211" s="5" t="n">
        <f aca="false">IFERROR(__xludf.dummyfunction("""COMPUTED_VALUE"""),44888152)</f>
        <v>44888152</v>
      </c>
    </row>
    <row r="1212" customFormat="false" ht="15.75" hidden="false" customHeight="false" outlineLevel="0" collapsed="false">
      <c r="A1212" s="6" t="n">
        <f aca="false">IFERROR(__xludf.dummyfunction("""COMPUTED_VALUE"""),45958.6666666667)</f>
        <v>45958.6666666667</v>
      </c>
      <c r="B1212" s="5" t="n">
        <f aca="false">IFERROR(__xludf.dummyfunction("""COMPUTED_VALUE"""),268.99)</f>
        <v>268.99</v>
      </c>
      <c r="C1212" s="5" t="n">
        <f aca="false">IFERROR(__xludf.dummyfunction("""COMPUTED_VALUE"""),269.89)</f>
        <v>269.89</v>
      </c>
      <c r="D1212" s="5" t="n">
        <f aca="false">IFERROR(__xludf.dummyfunction("""COMPUTED_VALUE"""),268.15)</f>
        <v>268.15</v>
      </c>
      <c r="E1212" s="5" t="n">
        <f aca="false">IFERROR(__xludf.dummyfunction("""COMPUTED_VALUE"""),269)</f>
        <v>269</v>
      </c>
      <c r="F1212" s="5" t="n">
        <f aca="false">IFERROR(__xludf.dummyfunction("""COMPUTED_VALUE"""),41534759)</f>
        <v>41534759</v>
      </c>
    </row>
    <row r="1213" customFormat="false" ht="15.75" hidden="false" customHeight="false" outlineLevel="0" collapsed="false">
      <c r="A1213" s="6" t="n">
        <f aca="false">IFERROR(__xludf.dummyfunction("""COMPUTED_VALUE"""),45959.6666666667)</f>
        <v>45959.6666666667</v>
      </c>
      <c r="B1213" s="5" t="n">
        <f aca="false">IFERROR(__xludf.dummyfunction("""COMPUTED_VALUE"""),269.27)</f>
        <v>269.27</v>
      </c>
      <c r="C1213" s="5" t="n">
        <f aca="false">IFERROR(__xludf.dummyfunction("""COMPUTED_VALUE"""),271.41)</f>
        <v>271.41</v>
      </c>
      <c r="D1213" s="5" t="n">
        <f aca="false">IFERROR(__xludf.dummyfunction("""COMPUTED_VALUE"""),267.11)</f>
        <v>267.11</v>
      </c>
      <c r="E1213" s="5" t="n">
        <f aca="false">IFERROR(__xludf.dummyfunction("""COMPUTED_VALUE"""),269.7)</f>
        <v>269.7</v>
      </c>
      <c r="F1213" s="5" t="n">
        <f aca="false">IFERROR(__xludf.dummyfunction("""COMPUTED_VALUE"""),51086742)</f>
        <v>51086742</v>
      </c>
    </row>
    <row r="1214" customFormat="false" ht="15.75" hidden="false" customHeight="false" outlineLevel="0" collapsed="false">
      <c r="A1214" s="6" t="n">
        <f aca="false">IFERROR(__xludf.dummyfunction("""COMPUTED_VALUE"""),45960.6666666667)</f>
        <v>45960.6666666667</v>
      </c>
      <c r="B1214" s="5" t="n">
        <f aca="false">IFERROR(__xludf.dummyfunction("""COMPUTED_VALUE"""),271.99)</f>
        <v>271.99</v>
      </c>
      <c r="C1214" s="5" t="n">
        <f aca="false">IFERROR(__xludf.dummyfunction("""COMPUTED_VALUE"""),274.14)</f>
        <v>274.14</v>
      </c>
      <c r="D1214" s="5" t="n">
        <f aca="false">IFERROR(__xludf.dummyfunction("""COMPUTED_VALUE"""),268.48)</f>
        <v>268.48</v>
      </c>
      <c r="E1214" s="5" t="n">
        <f aca="false">IFERROR(__xludf.dummyfunction("""COMPUTED_VALUE"""),271.4)</f>
        <v>271.4</v>
      </c>
      <c r="F1214" s="5" t="n">
        <f aca="false">IFERROR(__xludf.dummyfunction("""COMPUTED_VALUE"""),69886534)</f>
        <v>69886534</v>
      </c>
    </row>
    <row r="1215" customFormat="false" ht="15.75" hidden="false" customHeight="false" outlineLevel="0" collapsed="false">
      <c r="A1215" s="6" t="n">
        <f aca="false">IFERROR(__xludf.dummyfunction("""COMPUTED_VALUE"""),45961.6666666667)</f>
        <v>45961.6666666667</v>
      </c>
      <c r="B1215" s="5" t="n">
        <f aca="false">IFERROR(__xludf.dummyfunction("""COMPUTED_VALUE"""),276.99)</f>
        <v>276.99</v>
      </c>
      <c r="C1215" s="5" t="n">
        <f aca="false">IFERROR(__xludf.dummyfunction("""COMPUTED_VALUE"""),277.32)</f>
        <v>277.32</v>
      </c>
      <c r="D1215" s="5" t="n">
        <f aca="false">IFERROR(__xludf.dummyfunction("""COMPUTED_VALUE"""),269.16)</f>
        <v>269.16</v>
      </c>
      <c r="E1215" s="5" t="n">
        <f aca="false">IFERROR(__xludf.dummyfunction("""COMPUTED_VALUE"""),270.37)</f>
        <v>270.37</v>
      </c>
      <c r="F1215" s="5" t="n">
        <f aca="false">IFERROR(__xludf.dummyfunction("""COMPUTED_VALUE"""),86167123)</f>
        <v>86167123</v>
      </c>
    </row>
    <row r="1216" customFormat="false" ht="15.75" hidden="false" customHeight="false" outlineLevel="0" collapsed="false">
      <c r="A1216" s="6" t="n">
        <f aca="false">IFERROR(__xludf.dummyfunction("""COMPUTED_VALUE"""),45964.6666666667)</f>
        <v>45964.6666666667</v>
      </c>
      <c r="B1216" s="5" t="n">
        <f aca="false">IFERROR(__xludf.dummyfunction("""COMPUTED_VALUE"""),270.42)</f>
        <v>270.42</v>
      </c>
      <c r="C1216" s="5" t="n">
        <f aca="false">IFERROR(__xludf.dummyfunction("""COMPUTED_VALUE"""),270.85)</f>
        <v>270.85</v>
      </c>
      <c r="D1216" s="5" t="n">
        <f aca="false">IFERROR(__xludf.dummyfunction("""COMPUTED_VALUE"""),266.25)</f>
        <v>266.25</v>
      </c>
      <c r="E1216" s="5" t="n">
        <f aca="false">IFERROR(__xludf.dummyfunction("""COMPUTED_VALUE"""),269.05)</f>
        <v>269.05</v>
      </c>
      <c r="F1216" s="5" t="n">
        <f aca="false">IFERROR(__xludf.dummyfunction("""COMPUTED_VALUE"""),50194583)</f>
        <v>50194583</v>
      </c>
    </row>
    <row r="1217" customFormat="false" ht="15.75" hidden="false" customHeight="false" outlineLevel="0" collapsed="false">
      <c r="A1217" s="6" t="n">
        <f aca="false">IFERROR(__xludf.dummyfunction("""COMPUTED_VALUE"""),45965.6666666667)</f>
        <v>45965.6666666667</v>
      </c>
      <c r="B1217" s="5" t="n">
        <f aca="false">IFERROR(__xludf.dummyfunction("""COMPUTED_VALUE"""),268.33)</f>
        <v>268.33</v>
      </c>
      <c r="C1217" s="5" t="n">
        <f aca="false">IFERROR(__xludf.dummyfunction("""COMPUTED_VALUE"""),271.49)</f>
        <v>271.49</v>
      </c>
      <c r="D1217" s="5" t="n">
        <f aca="false">IFERROR(__xludf.dummyfunction("""COMPUTED_VALUE"""),267.62)</f>
        <v>267.62</v>
      </c>
      <c r="E1217" s="5" t="n">
        <f aca="false">IFERROR(__xludf.dummyfunction("""COMPUTED_VALUE"""),270.04)</f>
        <v>270.04</v>
      </c>
      <c r="F1217" s="5" t="n">
        <f aca="false">IFERROR(__xludf.dummyfunction("""COMPUTED_VALUE"""),49274846)</f>
        <v>49274846</v>
      </c>
    </row>
    <row r="1218" customFormat="false" ht="15.75" hidden="false" customHeight="false" outlineLevel="0" collapsed="false">
      <c r="A1218" s="6" t="n">
        <f aca="false">IFERROR(__xludf.dummyfunction("""COMPUTED_VALUE"""),45966.6666666667)</f>
        <v>45966.6666666667</v>
      </c>
      <c r="B1218" s="5" t="n">
        <f aca="false">IFERROR(__xludf.dummyfunction("""COMPUTED_VALUE"""),268.61)</f>
        <v>268.61</v>
      </c>
      <c r="C1218" s="5" t="n">
        <f aca="false">IFERROR(__xludf.dummyfunction("""COMPUTED_VALUE"""),271.7)</f>
        <v>271.7</v>
      </c>
      <c r="D1218" s="5" t="n">
        <f aca="false">IFERROR(__xludf.dummyfunction("""COMPUTED_VALUE"""),266.93)</f>
        <v>266.93</v>
      </c>
      <c r="E1218" s="5" t="n">
        <f aca="false">IFERROR(__xludf.dummyfunction("""COMPUTED_VALUE"""),270.14)</f>
        <v>270.14</v>
      </c>
      <c r="F1218" s="5" t="n">
        <f aca="false">IFERROR(__xludf.dummyfunction("""COMPUTED_VALUE"""),43683072)</f>
        <v>43683072</v>
      </c>
    </row>
    <row r="1219" customFormat="false" ht="15.75" hidden="false" customHeight="false" outlineLevel="0" collapsed="false">
      <c r="A1219" s="6" t="n">
        <f aca="false">IFERROR(__xludf.dummyfunction("""COMPUTED_VALUE"""),45967.6666666667)</f>
        <v>45967.6666666667</v>
      </c>
      <c r="B1219" s="5" t="n">
        <f aca="false">IFERROR(__xludf.dummyfunction("""COMPUTED_VALUE"""),267.89)</f>
        <v>267.89</v>
      </c>
      <c r="C1219" s="5" t="n">
        <f aca="false">IFERROR(__xludf.dummyfunction("""COMPUTED_VALUE"""),273.4)</f>
        <v>273.4</v>
      </c>
      <c r="D1219" s="5" t="n">
        <f aca="false">IFERROR(__xludf.dummyfunction("""COMPUTED_VALUE"""),267.89)</f>
        <v>267.89</v>
      </c>
      <c r="E1219" s="5" t="n">
        <f aca="false">IFERROR(__xludf.dummyfunction("""COMPUTED_VALUE"""),269.77)</f>
        <v>269.77</v>
      </c>
      <c r="F1219" s="5" t="n">
        <f aca="false">IFERROR(__xludf.dummyfunction("""COMPUTED_VALUE"""),51204045)</f>
        <v>51204045</v>
      </c>
    </row>
    <row r="1220" customFormat="false" ht="15.75" hidden="false" customHeight="false" outlineLevel="0" collapsed="false">
      <c r="A1220" s="6" t="n">
        <f aca="false">IFERROR(__xludf.dummyfunction("""COMPUTED_VALUE"""),45968.6666666667)</f>
        <v>45968.6666666667</v>
      </c>
      <c r="B1220" s="5" t="n">
        <f aca="false">IFERROR(__xludf.dummyfunction("""COMPUTED_VALUE"""),269.8)</f>
        <v>269.8</v>
      </c>
      <c r="C1220" s="5" t="n">
        <f aca="false">IFERROR(__xludf.dummyfunction("""COMPUTED_VALUE"""),272.29)</f>
        <v>272.29</v>
      </c>
      <c r="D1220" s="5" t="n">
        <f aca="false">IFERROR(__xludf.dummyfunction("""COMPUTED_VALUE"""),266.77)</f>
        <v>266.77</v>
      </c>
      <c r="E1220" s="5" t="n">
        <f aca="false">IFERROR(__xludf.dummyfunction("""COMPUTED_VALUE"""),268.47)</f>
        <v>268.47</v>
      </c>
      <c r="F1220" s="5" t="n">
        <f aca="false">IFERROR(__xludf.dummyfunction("""COMPUTED_VALUE"""),48227365)</f>
        <v>48227365</v>
      </c>
    </row>
    <row r="1221" customFormat="false" ht="15.75" hidden="false" customHeight="false" outlineLevel="0" collapsed="false">
      <c r="A1221" s="6" t="n">
        <f aca="false">IFERROR(__xludf.dummyfunction("""COMPUTED_VALUE"""),45971.6666666667)</f>
        <v>45971.6666666667</v>
      </c>
      <c r="B1221" s="5" t="n">
        <f aca="false">IFERROR(__xludf.dummyfunction("""COMPUTED_VALUE"""),268.96)</f>
        <v>268.96</v>
      </c>
      <c r="C1221" s="5" t="n">
        <f aca="false">IFERROR(__xludf.dummyfunction("""COMPUTED_VALUE"""),273.73)</f>
        <v>273.73</v>
      </c>
      <c r="D1221" s="5" t="n">
        <f aca="false">IFERROR(__xludf.dummyfunction("""COMPUTED_VALUE"""),267.46)</f>
        <v>267.46</v>
      </c>
      <c r="E1221" s="5" t="n">
        <f aca="false">IFERROR(__xludf.dummyfunction("""COMPUTED_VALUE"""),269.43)</f>
        <v>269.43</v>
      </c>
      <c r="F1221" s="5" t="n">
        <f aca="false">IFERROR(__xludf.dummyfunction("""COMPUTED_VALUE"""),41312412)</f>
        <v>41312412</v>
      </c>
    </row>
    <row r="1222" customFormat="false" ht="15.75" hidden="false" customHeight="false" outlineLevel="0" collapsed="false">
      <c r="A1222" s="6" t="n">
        <f aca="false">IFERROR(__xludf.dummyfunction("""COMPUTED_VALUE"""),45972.6666666667)</f>
        <v>45972.6666666667</v>
      </c>
      <c r="B1222" s="5" t="n">
        <f aca="false">IFERROR(__xludf.dummyfunction("""COMPUTED_VALUE"""),269.81)</f>
        <v>269.81</v>
      </c>
      <c r="C1222" s="5" t="n">
        <f aca="false">IFERROR(__xludf.dummyfunction("""COMPUTED_VALUE"""),275.91)</f>
        <v>275.91</v>
      </c>
      <c r="D1222" s="5" t="n">
        <f aca="false">IFERROR(__xludf.dummyfunction("""COMPUTED_VALUE"""),269.8)</f>
        <v>269.8</v>
      </c>
      <c r="E1222" s="5" t="n">
        <f aca="false">IFERROR(__xludf.dummyfunction("""COMPUTED_VALUE"""),275.25)</f>
        <v>275.25</v>
      </c>
      <c r="F1222" s="5" t="n">
        <f aca="false">IFERROR(__xludf.dummyfunction("""COMPUTED_VALUE"""),46208318)</f>
        <v>46208318</v>
      </c>
    </row>
    <row r="1223" customFormat="false" ht="15.75" hidden="false" customHeight="false" outlineLevel="0" collapsed="false">
      <c r="A1223" s="6" t="n">
        <f aca="false">IFERROR(__xludf.dummyfunction("""COMPUTED_VALUE"""),45973.6666666667)</f>
        <v>45973.6666666667</v>
      </c>
      <c r="B1223" s="5" t="n">
        <f aca="false">IFERROR(__xludf.dummyfunction("""COMPUTED_VALUE"""),275)</f>
        <v>275</v>
      </c>
      <c r="C1223" s="5" t="n">
        <f aca="false">IFERROR(__xludf.dummyfunction("""COMPUTED_VALUE"""),275.73)</f>
        <v>275.73</v>
      </c>
      <c r="D1223" s="5" t="n">
        <f aca="false">IFERROR(__xludf.dummyfunction("""COMPUTED_VALUE"""),271.7)</f>
        <v>271.7</v>
      </c>
      <c r="E1223" s="5" t="n">
        <f aca="false">IFERROR(__xludf.dummyfunction("""COMPUTED_VALUE"""),273.47)</f>
        <v>273.47</v>
      </c>
      <c r="F1223" s="5" t="n">
        <f aca="false">IFERROR(__xludf.dummyfunction("""COMPUTED_VALUE"""),48397982)</f>
        <v>48397982</v>
      </c>
    </row>
    <row r="1224" customFormat="false" ht="15.75" hidden="false" customHeight="false" outlineLevel="0" collapsed="false">
      <c r="A1224" s="6" t="n">
        <f aca="false">IFERROR(__xludf.dummyfunction("""COMPUTED_VALUE"""),45974.6666666667)</f>
        <v>45974.6666666667</v>
      </c>
      <c r="B1224" s="5" t="n">
        <f aca="false">IFERROR(__xludf.dummyfunction("""COMPUTED_VALUE"""),274.11)</f>
        <v>274.11</v>
      </c>
      <c r="C1224" s="5" t="n">
        <f aca="false">IFERROR(__xludf.dummyfunction("""COMPUTED_VALUE"""),276.7)</f>
        <v>276.7</v>
      </c>
      <c r="D1224" s="5" t="n">
        <f aca="false">IFERROR(__xludf.dummyfunction("""COMPUTED_VALUE"""),272.09)</f>
        <v>272.09</v>
      </c>
      <c r="E1224" s="5" t="n">
        <f aca="false">IFERROR(__xludf.dummyfunction("""COMPUTED_VALUE"""),272.95)</f>
        <v>272.95</v>
      </c>
      <c r="F1224" s="5" t="n">
        <f aca="false">IFERROR(__xludf.dummyfunction("""COMPUTED_VALUE"""),49602794)</f>
        <v>49602794</v>
      </c>
    </row>
    <row r="1225" customFormat="false" ht="15.75" hidden="false" customHeight="false" outlineLevel="0" collapsed="false">
      <c r="A1225" s="6" t="n">
        <f aca="false">IFERROR(__xludf.dummyfunction("""COMPUTED_VALUE"""),45975.6666666667)</f>
        <v>45975.6666666667</v>
      </c>
      <c r="B1225" s="5" t="n">
        <f aca="false">IFERROR(__xludf.dummyfunction("""COMPUTED_VALUE"""),271.05)</f>
        <v>271.05</v>
      </c>
      <c r="C1225" s="5" t="n">
        <f aca="false">IFERROR(__xludf.dummyfunction("""COMPUTED_VALUE"""),275.96)</f>
        <v>275.96</v>
      </c>
      <c r="D1225" s="5" t="n">
        <f aca="false">IFERROR(__xludf.dummyfunction("""COMPUTED_VALUE"""),269.6)</f>
        <v>269.6</v>
      </c>
      <c r="E1225" s="5" t="n">
        <f aca="false">IFERROR(__xludf.dummyfunction("""COMPUTED_VALUE"""),272.41)</f>
        <v>272.41</v>
      </c>
      <c r="F1225" s="5" t="n">
        <f aca="false">IFERROR(__xludf.dummyfunction("""COMPUTED_VALUE"""),47431331)</f>
        <v>47431331</v>
      </c>
    </row>
    <row r="1226" customFormat="false" ht="15.75" hidden="false" customHeight="false" outlineLevel="0" collapsed="false">
      <c r="A1226" s="6" t="n">
        <f aca="false">IFERROR(__xludf.dummyfunction("""COMPUTED_VALUE"""),45978.6666666667)</f>
        <v>45978.6666666667</v>
      </c>
      <c r="B1226" s="5" t="n">
        <f aca="false">IFERROR(__xludf.dummyfunction("""COMPUTED_VALUE"""),268.82)</f>
        <v>268.82</v>
      </c>
      <c r="C1226" s="5" t="n">
        <f aca="false">IFERROR(__xludf.dummyfunction("""COMPUTED_VALUE"""),270.49)</f>
        <v>270.49</v>
      </c>
      <c r="D1226" s="5" t="n">
        <f aca="false">IFERROR(__xludf.dummyfunction("""COMPUTED_VALUE"""),265.73)</f>
        <v>265.73</v>
      </c>
      <c r="E1226" s="5" t="n">
        <f aca="false">IFERROR(__xludf.dummyfunction("""COMPUTED_VALUE"""),267.46)</f>
        <v>267.46</v>
      </c>
      <c r="F1226" s="5" t="n">
        <f aca="false">IFERROR(__xludf.dummyfunction("""COMPUTED_VALUE"""),45018260)</f>
        <v>45018260</v>
      </c>
    </row>
    <row r="1227" customFormat="false" ht="15.75" hidden="false" customHeight="false" outlineLevel="0" collapsed="false">
      <c r="A1227" s="6" t="n">
        <f aca="false">IFERROR(__xludf.dummyfunction("""COMPUTED_VALUE"""),45979.6666666667)</f>
        <v>45979.6666666667</v>
      </c>
      <c r="B1227" s="5" t="n">
        <f aca="false">IFERROR(__xludf.dummyfunction("""COMPUTED_VALUE"""),269.99)</f>
        <v>269.99</v>
      </c>
      <c r="C1227" s="5" t="n">
        <f aca="false">IFERROR(__xludf.dummyfunction("""COMPUTED_VALUE"""),270.71)</f>
        <v>270.71</v>
      </c>
      <c r="D1227" s="5" t="n">
        <f aca="false">IFERROR(__xludf.dummyfunction("""COMPUTED_VALUE"""),265.32)</f>
        <v>265.32</v>
      </c>
      <c r="E1227" s="5" t="n">
        <f aca="false">IFERROR(__xludf.dummyfunction("""COMPUTED_VALUE"""),267.44)</f>
        <v>267.44</v>
      </c>
      <c r="F1227" s="5" t="n">
        <f aca="false">IFERROR(__xludf.dummyfunction("""COMPUTED_VALUE"""),45677278)</f>
        <v>45677278</v>
      </c>
    </row>
    <row r="1228" customFormat="false" ht="15.75" hidden="false" customHeight="false" outlineLevel="0" collapsed="false">
      <c r="A1228" s="6" t="n">
        <f aca="false">IFERROR(__xludf.dummyfunction("""COMPUTED_VALUE"""),45980.6666666667)</f>
        <v>45980.6666666667</v>
      </c>
      <c r="B1228" s="5" t="n">
        <f aca="false">IFERROR(__xludf.dummyfunction("""COMPUTED_VALUE"""),265.52)</f>
        <v>265.52</v>
      </c>
      <c r="C1228" s="5" t="n">
        <f aca="false">IFERROR(__xludf.dummyfunction("""COMPUTED_VALUE"""),272.21)</f>
        <v>272.21</v>
      </c>
      <c r="D1228" s="5" t="n">
        <f aca="false">IFERROR(__xludf.dummyfunction("""COMPUTED_VALUE"""),265.5)</f>
        <v>265.5</v>
      </c>
      <c r="E1228" s="5" t="n">
        <f aca="false">IFERROR(__xludf.dummyfunction("""COMPUTED_VALUE"""),268.56)</f>
        <v>268.56</v>
      </c>
      <c r="F1228" s="5" t="n">
        <f aca="false">IFERROR(__xludf.dummyfunction("""COMPUTED_VALUE"""),40424492)</f>
        <v>40424492</v>
      </c>
    </row>
    <row r="1229" customFormat="false" ht="15.75" hidden="false" customHeight="false" outlineLevel="0" collapsed="false">
      <c r="A1229" s="6" t="n">
        <f aca="false">IFERROR(__xludf.dummyfunction("""COMPUTED_VALUE"""),45981.6666666667)</f>
        <v>45981.6666666667</v>
      </c>
      <c r="B1229" s="5" t="n">
        <f aca="false">IFERROR(__xludf.dummyfunction("""COMPUTED_VALUE"""),270.83)</f>
        <v>270.83</v>
      </c>
      <c r="C1229" s="5" t="n">
        <f aca="false">IFERROR(__xludf.dummyfunction("""COMPUTED_VALUE"""),275.43)</f>
        <v>275.43</v>
      </c>
      <c r="D1229" s="5" t="n">
        <f aca="false">IFERROR(__xludf.dummyfunction("""COMPUTED_VALUE"""),265.92)</f>
        <v>265.92</v>
      </c>
      <c r="E1229" s="5" t="n">
        <f aca="false">IFERROR(__xludf.dummyfunction("""COMPUTED_VALUE"""),266.25)</f>
        <v>266.25</v>
      </c>
      <c r="F1229" s="5" t="n">
        <f aca="false">IFERROR(__xludf.dummyfunction("""COMPUTED_VALUE"""),45823568)</f>
        <v>45823568</v>
      </c>
    </row>
    <row r="1230" customFormat="false" ht="15.75" hidden="false" customHeight="false" outlineLevel="0" collapsed="false">
      <c r="A1230" s="6" t="n">
        <f aca="false">IFERROR(__xludf.dummyfunction("""COMPUTED_VALUE"""),45982.6666666667)</f>
        <v>45982.6666666667</v>
      </c>
      <c r="B1230" s="5" t="n">
        <f aca="false">IFERROR(__xludf.dummyfunction("""COMPUTED_VALUE"""),265.95)</f>
        <v>265.95</v>
      </c>
      <c r="C1230" s="5" t="n">
        <f aca="false">IFERROR(__xludf.dummyfunction("""COMPUTED_VALUE"""),273.33)</f>
        <v>273.33</v>
      </c>
      <c r="D1230" s="5" t="n">
        <f aca="false">IFERROR(__xludf.dummyfunction("""COMPUTED_VALUE"""),265.67)</f>
        <v>265.67</v>
      </c>
      <c r="E1230" s="5" t="n">
        <f aca="false">IFERROR(__xludf.dummyfunction("""COMPUTED_VALUE"""),271.49)</f>
        <v>271.49</v>
      </c>
      <c r="F1230" s="5" t="n">
        <f aca="false">IFERROR(__xludf.dummyfunction("""COMPUTED_VALUE"""),59030832)</f>
        <v>59030832</v>
      </c>
    </row>
    <row r="1231" customFormat="false" ht="15.75" hidden="false" customHeight="false" outlineLevel="0" collapsed="false">
      <c r="A1231" s="6" t="n">
        <f aca="false">IFERROR(__xludf.dummyfunction("""COMPUTED_VALUE"""),45985.6666666667)</f>
        <v>45985.6666666667</v>
      </c>
      <c r="B1231" s="5" t="n">
        <f aca="false">IFERROR(__xludf.dummyfunction("""COMPUTED_VALUE"""),270.9)</f>
        <v>270.9</v>
      </c>
      <c r="C1231" s="5" t="n">
        <f aca="false">IFERROR(__xludf.dummyfunction("""COMPUTED_VALUE"""),277)</f>
        <v>277</v>
      </c>
      <c r="D1231" s="5" t="n">
        <f aca="false">IFERROR(__xludf.dummyfunction("""COMPUTED_VALUE"""),270.9)</f>
        <v>270.9</v>
      </c>
      <c r="E1231" s="5" t="n">
        <f aca="false">IFERROR(__xludf.dummyfunction("""COMPUTED_VALUE"""),275.92)</f>
        <v>275.92</v>
      </c>
      <c r="F1231" s="5" t="n">
        <f aca="false">IFERROR(__xludf.dummyfunction("""COMPUTED_VALUE"""),65585796)</f>
        <v>65585796</v>
      </c>
    </row>
    <row r="1232" customFormat="false" ht="15.75" hidden="false" customHeight="false" outlineLevel="0" collapsed="false">
      <c r="A1232" s="6" t="n">
        <f aca="false">IFERROR(__xludf.dummyfunction("""COMPUTED_VALUE"""),45986.6666666667)</f>
        <v>45986.6666666667</v>
      </c>
      <c r="B1232" s="5" t="n">
        <f aca="false">IFERROR(__xludf.dummyfunction("""COMPUTED_VALUE"""),275.27)</f>
        <v>275.27</v>
      </c>
      <c r="C1232" s="5" t="n">
        <f aca="false">IFERROR(__xludf.dummyfunction("""COMPUTED_VALUE"""),280.38)</f>
        <v>280.38</v>
      </c>
      <c r="D1232" s="5" t="n">
        <f aca="false">IFERROR(__xludf.dummyfunction("""COMPUTED_VALUE"""),275.25)</f>
        <v>275.25</v>
      </c>
      <c r="E1232" s="5" t="n">
        <f aca="false">IFERROR(__xludf.dummyfunction("""COMPUTED_VALUE"""),276.97)</f>
        <v>276.97</v>
      </c>
      <c r="F1232" s="5" t="n">
        <f aca="false">IFERROR(__xludf.dummyfunction("""COMPUTED_VALUE"""),46914220)</f>
        <v>46914220</v>
      </c>
    </row>
    <row r="1233" customFormat="false" ht="15.75" hidden="false" customHeight="false" outlineLevel="0" collapsed="false">
      <c r="A1233" s="6" t="n">
        <f aca="false">IFERROR(__xludf.dummyfunction("""COMPUTED_VALUE"""),45987.6666666667)</f>
        <v>45987.6666666667</v>
      </c>
      <c r="B1233" s="5" t="n">
        <f aca="false">IFERROR(__xludf.dummyfunction("""COMPUTED_VALUE"""),276.96)</f>
        <v>276.96</v>
      </c>
      <c r="C1233" s="5" t="n">
        <f aca="false">IFERROR(__xludf.dummyfunction("""COMPUTED_VALUE"""),279.53)</f>
        <v>279.53</v>
      </c>
      <c r="D1233" s="5" t="n">
        <f aca="false">IFERROR(__xludf.dummyfunction("""COMPUTED_VALUE"""),276.63)</f>
        <v>276.63</v>
      </c>
      <c r="E1233" s="5" t="n">
        <f aca="false">IFERROR(__xludf.dummyfunction("""COMPUTED_VALUE"""),277.55)</f>
        <v>277.55</v>
      </c>
      <c r="F1233" s="5" t="n">
        <f aca="false">IFERROR(__xludf.dummyfunction("""COMPUTED_VALUE"""),33431423)</f>
        <v>33431423</v>
      </c>
    </row>
    <row r="1234" customFormat="false" ht="15.75" hidden="false" customHeight="false" outlineLevel="0" collapsed="false">
      <c r="A1234" s="6" t="n">
        <f aca="false">IFERROR(__xludf.dummyfunction("""COMPUTED_VALUE"""),45989.5451388889)</f>
        <v>45989.5451388889</v>
      </c>
      <c r="B1234" s="5" t="n">
        <f aca="false">IFERROR(__xludf.dummyfunction("""COMPUTED_VALUE"""),277.26)</f>
        <v>277.26</v>
      </c>
      <c r="C1234" s="5" t="n">
        <f aca="false">IFERROR(__xludf.dummyfunction("""COMPUTED_VALUE"""),279)</f>
        <v>279</v>
      </c>
      <c r="D1234" s="5" t="n">
        <f aca="false">IFERROR(__xludf.dummyfunction("""COMPUTED_VALUE"""),275.99)</f>
        <v>275.99</v>
      </c>
      <c r="E1234" s="5" t="n">
        <f aca="false">IFERROR(__xludf.dummyfunction("""COMPUTED_VALUE"""),278.85)</f>
        <v>278.85</v>
      </c>
      <c r="F1234" s="5" t="n">
        <f aca="false">IFERROR(__xludf.dummyfunction("""COMPUTED_VALUE"""),20135620)</f>
        <v>20135620</v>
      </c>
    </row>
    <row r="1235" customFormat="false" ht="15.75" hidden="false" customHeight="false" outlineLevel="0" collapsed="false">
      <c r="A1235" s="6" t="n">
        <f aca="false">IFERROR(__xludf.dummyfunction("""COMPUTED_VALUE"""),45992.6666666667)</f>
        <v>45992.6666666667</v>
      </c>
      <c r="B1235" s="5" t="n">
        <f aca="false">IFERROR(__xludf.dummyfunction("""COMPUTED_VALUE"""),278.01)</f>
        <v>278.01</v>
      </c>
      <c r="C1235" s="5" t="n">
        <f aca="false">IFERROR(__xludf.dummyfunction("""COMPUTED_VALUE"""),283.42)</f>
        <v>283.42</v>
      </c>
      <c r="D1235" s="5" t="n">
        <f aca="false">IFERROR(__xludf.dummyfunction("""COMPUTED_VALUE"""),276.14)</f>
        <v>276.14</v>
      </c>
      <c r="E1235" s="5" t="n">
        <f aca="false">IFERROR(__xludf.dummyfunction("""COMPUTED_VALUE"""),283.1)</f>
        <v>283.1</v>
      </c>
      <c r="F1235" s="5" t="n">
        <f aca="false">IFERROR(__xludf.dummyfunction("""COMPUTED_VALUE"""),46587722)</f>
        <v>46587722</v>
      </c>
    </row>
    <row r="1236" customFormat="false" ht="15.75" hidden="false" customHeight="false" outlineLevel="0" collapsed="false">
      <c r="A1236" s="6" t="n">
        <f aca="false">IFERROR(__xludf.dummyfunction("""COMPUTED_VALUE"""),45993.6666666667)</f>
        <v>45993.6666666667</v>
      </c>
      <c r="B1236" s="5" t="n">
        <f aca="false">IFERROR(__xludf.dummyfunction("""COMPUTED_VALUE"""),283)</f>
        <v>283</v>
      </c>
      <c r="C1236" s="5" t="n">
        <f aca="false">IFERROR(__xludf.dummyfunction("""COMPUTED_VALUE"""),287.4)</f>
        <v>287.4</v>
      </c>
      <c r="D1236" s="5" t="n">
        <f aca="false">IFERROR(__xludf.dummyfunction("""COMPUTED_VALUE"""),282.63)</f>
        <v>282.63</v>
      </c>
      <c r="E1236" s="5" t="n">
        <f aca="false">IFERROR(__xludf.dummyfunction("""COMPUTED_VALUE"""),286.19)</f>
        <v>286.19</v>
      </c>
      <c r="F1236" s="5" t="n">
        <f aca="false">IFERROR(__xludf.dummyfunction("""COMPUTED_VALUE"""),53669532)</f>
        <v>53669532</v>
      </c>
    </row>
    <row r="1237" customFormat="false" ht="15.75" hidden="false" customHeight="false" outlineLevel="0" collapsed="false">
      <c r="A1237" s="6" t="n">
        <f aca="false">IFERROR(__xludf.dummyfunction("""COMPUTED_VALUE"""),45994.6666666667)</f>
        <v>45994.6666666667</v>
      </c>
      <c r="B1237" s="5" t="n">
        <f aca="false">IFERROR(__xludf.dummyfunction("""COMPUTED_VALUE"""),286.2)</f>
        <v>286.2</v>
      </c>
      <c r="C1237" s="5" t="n">
        <f aca="false">IFERROR(__xludf.dummyfunction("""COMPUTED_VALUE"""),288.62)</f>
        <v>288.62</v>
      </c>
      <c r="D1237" s="5" t="n">
        <f aca="false">IFERROR(__xludf.dummyfunction("""COMPUTED_VALUE"""),283.3)</f>
        <v>283.3</v>
      </c>
      <c r="E1237" s="5" t="n">
        <f aca="false">IFERROR(__xludf.dummyfunction("""COMPUTED_VALUE"""),284.15)</f>
        <v>284.15</v>
      </c>
      <c r="F1237" s="5" t="n">
        <f aca="false">IFERROR(__xludf.dummyfunction("""COMPUTED_VALUE"""),43538687)</f>
        <v>43538687</v>
      </c>
    </row>
    <row r="1238" customFormat="false" ht="15.75" hidden="false" customHeight="false" outlineLevel="0" collapsed="false">
      <c r="A1238" s="6" t="n">
        <f aca="false">IFERROR(__xludf.dummyfunction("""COMPUTED_VALUE"""),45995.6666666667)</f>
        <v>45995.6666666667</v>
      </c>
      <c r="B1238" s="5" t="n">
        <f aca="false">IFERROR(__xludf.dummyfunction("""COMPUTED_VALUE"""),284.1)</f>
        <v>284.1</v>
      </c>
      <c r="C1238" s="5" t="n">
        <f aca="false">IFERROR(__xludf.dummyfunction("""COMPUTED_VALUE"""),284.73)</f>
        <v>284.73</v>
      </c>
      <c r="D1238" s="5" t="n">
        <f aca="false">IFERROR(__xludf.dummyfunction("""COMPUTED_VALUE"""),278.59)</f>
        <v>278.59</v>
      </c>
      <c r="E1238" s="5" t="n">
        <f aca="false">IFERROR(__xludf.dummyfunction("""COMPUTED_VALUE"""),280.7)</f>
        <v>280.7</v>
      </c>
      <c r="F1238" s="5" t="n">
        <f aca="false">IFERROR(__xludf.dummyfunction("""COMPUTED_VALUE"""),43989056)</f>
        <v>43989056</v>
      </c>
    </row>
    <row r="1239" customFormat="false" ht="15.75" hidden="false" customHeight="false" outlineLevel="0" collapsed="false">
      <c r="A1239" s="6" t="n">
        <f aca="false">IFERROR(__xludf.dummyfunction("""COMPUTED_VALUE"""),45996.6666666667)</f>
        <v>45996.6666666667</v>
      </c>
      <c r="B1239" s="5" t="n">
        <f aca="false">IFERROR(__xludf.dummyfunction("""COMPUTED_VALUE"""),280.54)</f>
        <v>280.54</v>
      </c>
      <c r="C1239" s="5" t="n">
        <f aca="false">IFERROR(__xludf.dummyfunction("""COMPUTED_VALUE"""),281.14)</f>
        <v>281.14</v>
      </c>
      <c r="D1239" s="5" t="n">
        <f aca="false">IFERROR(__xludf.dummyfunction("""COMPUTED_VALUE"""),278.05)</f>
        <v>278.05</v>
      </c>
      <c r="E1239" s="5" t="n">
        <f aca="false">IFERROR(__xludf.dummyfunction("""COMPUTED_VALUE"""),278.78)</f>
        <v>278.78</v>
      </c>
      <c r="F1239" s="5" t="n">
        <f aca="false">IFERROR(__xludf.dummyfunction("""COMPUTED_VALUE"""),47265845)</f>
        <v>47265845</v>
      </c>
    </row>
    <row r="1240" customFormat="false" ht="15.75" hidden="false" customHeight="false" outlineLevel="0" collapsed="false">
      <c r="A1240" s="6" t="n">
        <f aca="false">IFERROR(__xludf.dummyfunction("""COMPUTED_VALUE"""),45999.6666666667)</f>
        <v>45999.6666666667</v>
      </c>
      <c r="B1240" s="5" t="n">
        <f aca="false">IFERROR(__xludf.dummyfunction("""COMPUTED_VALUE"""),278.13)</f>
        <v>278.13</v>
      </c>
      <c r="C1240" s="5" t="n">
        <f aca="false">IFERROR(__xludf.dummyfunction("""COMPUTED_VALUE"""),279.67)</f>
        <v>279.67</v>
      </c>
      <c r="D1240" s="5" t="n">
        <f aca="false">IFERROR(__xludf.dummyfunction("""COMPUTED_VALUE"""),276.15)</f>
        <v>276.15</v>
      </c>
      <c r="E1240" s="5" t="n">
        <f aca="false">IFERROR(__xludf.dummyfunction("""COMPUTED_VALUE"""),277.89)</f>
        <v>277.89</v>
      </c>
      <c r="F1240" s="5" t="n">
        <f aca="false">IFERROR(__xludf.dummyfunction("""COMPUTED_VALUE"""),38211832)</f>
        <v>38211832</v>
      </c>
    </row>
    <row r="1241" customFormat="false" ht="15.75" hidden="false" customHeight="false" outlineLevel="0" collapsed="false">
      <c r="A1241" s="6" t="n">
        <f aca="false">IFERROR(__xludf.dummyfunction("""COMPUTED_VALUE"""),46000.6666666667)</f>
        <v>46000.6666666667</v>
      </c>
      <c r="B1241" s="5" t="n">
        <f aca="false">IFERROR(__xludf.dummyfunction("""COMPUTED_VALUE"""),278.16)</f>
        <v>278.16</v>
      </c>
      <c r="C1241" s="5" t="n">
        <f aca="false">IFERROR(__xludf.dummyfunction("""COMPUTED_VALUE"""),280.03)</f>
        <v>280.03</v>
      </c>
      <c r="D1241" s="5" t="n">
        <f aca="false">IFERROR(__xludf.dummyfunction("""COMPUTED_VALUE"""),276.92)</f>
        <v>276.92</v>
      </c>
      <c r="E1241" s="5" t="n">
        <f aca="false">IFERROR(__xludf.dummyfunction("""COMPUTED_VALUE"""),277.18)</f>
        <v>277.18</v>
      </c>
      <c r="F1241" s="5" t="n">
        <f aca="false">IFERROR(__xludf.dummyfunction("""COMPUTED_VALUE"""),32193256)</f>
        <v>32193256</v>
      </c>
    </row>
    <row r="1242" customFormat="false" ht="15.75" hidden="false" customHeight="false" outlineLevel="0" collapsed="false">
      <c r="A1242" s="6" t="n">
        <f aca="false">IFERROR(__xludf.dummyfunction("""COMPUTED_VALUE"""),46001.6666666667)</f>
        <v>46001.6666666667</v>
      </c>
      <c r="B1242" s="5" t="n">
        <f aca="false">IFERROR(__xludf.dummyfunction("""COMPUTED_VALUE"""),277.75)</f>
        <v>277.75</v>
      </c>
      <c r="C1242" s="5" t="n">
        <f aca="false">IFERROR(__xludf.dummyfunction("""COMPUTED_VALUE"""),279.75)</f>
        <v>279.75</v>
      </c>
      <c r="D1242" s="5" t="n">
        <f aca="false">IFERROR(__xludf.dummyfunction("""COMPUTED_VALUE"""),276.44)</f>
        <v>276.44</v>
      </c>
      <c r="E1242" s="5" t="n">
        <f aca="false">IFERROR(__xludf.dummyfunction("""COMPUTED_VALUE"""),278.78)</f>
        <v>278.78</v>
      </c>
      <c r="F1242" s="5" t="n">
        <f aca="false">IFERROR(__xludf.dummyfunction("""COMPUTED_VALUE"""),33038318)</f>
        <v>33038318</v>
      </c>
    </row>
    <row r="1243" customFormat="false" ht="15.75" hidden="false" customHeight="false" outlineLevel="0" collapsed="false">
      <c r="A1243" s="6" t="n">
        <f aca="false">IFERROR(__xludf.dummyfunction("""COMPUTED_VALUE"""),46002.6666666667)</f>
        <v>46002.6666666667</v>
      </c>
      <c r="B1243" s="5" t="n">
        <f aca="false">IFERROR(__xludf.dummyfunction("""COMPUTED_VALUE"""),279.1)</f>
        <v>279.1</v>
      </c>
      <c r="C1243" s="5" t="n">
        <f aca="false">IFERROR(__xludf.dummyfunction("""COMPUTED_VALUE"""),279.59)</f>
        <v>279.59</v>
      </c>
      <c r="D1243" s="5" t="n">
        <f aca="false">IFERROR(__xludf.dummyfunction("""COMPUTED_VALUE"""),273.81)</f>
        <v>273.81</v>
      </c>
      <c r="E1243" s="5" t="n">
        <f aca="false">IFERROR(__xludf.dummyfunction("""COMPUTED_VALUE"""),278.03)</f>
        <v>278.03</v>
      </c>
      <c r="F1243" s="5" t="n">
        <f aca="false">IFERROR(__xludf.dummyfunction("""COMPUTED_VALUE"""),33247986)</f>
        <v>33247986</v>
      </c>
    </row>
    <row r="1244" customFormat="false" ht="15.75" hidden="false" customHeight="false" outlineLevel="0" collapsed="false">
      <c r="A1244" s="6" t="n">
        <f aca="false">IFERROR(__xludf.dummyfunction("""COMPUTED_VALUE"""),46003.6666666667)</f>
        <v>46003.6666666667</v>
      </c>
      <c r="B1244" s="5" t="n">
        <f aca="false">IFERROR(__xludf.dummyfunction("""COMPUTED_VALUE"""),277.9)</f>
        <v>277.9</v>
      </c>
      <c r="C1244" s="5" t="n">
        <f aca="false">IFERROR(__xludf.dummyfunction("""COMPUTED_VALUE"""),279.22)</f>
        <v>279.22</v>
      </c>
      <c r="D1244" s="5" t="n">
        <f aca="false">IFERROR(__xludf.dummyfunction("""COMPUTED_VALUE"""),276.82)</f>
        <v>276.82</v>
      </c>
      <c r="E1244" s="5" t="n">
        <f aca="false">IFERROR(__xludf.dummyfunction("""COMPUTED_VALUE"""),278.28)</f>
        <v>278.28</v>
      </c>
      <c r="F1244" s="5" t="n">
        <f aca="false">IFERROR(__xludf.dummyfunction("""COMPUTED_VALUE"""),39532887)</f>
        <v>39532887</v>
      </c>
    </row>
    <row r="1245" customFormat="false" ht="15.75" hidden="false" customHeight="false" outlineLevel="0" collapsed="false">
      <c r="A1245" s="6" t="n">
        <f aca="false">IFERROR(__xludf.dummyfunction("""COMPUTED_VALUE"""),46006.6666666667)</f>
        <v>46006.6666666667</v>
      </c>
      <c r="B1245" s="5" t="n">
        <f aca="false">IFERROR(__xludf.dummyfunction("""COMPUTED_VALUE"""),280.15)</f>
        <v>280.15</v>
      </c>
      <c r="C1245" s="5" t="n">
        <f aca="false">IFERROR(__xludf.dummyfunction("""COMPUTED_VALUE"""),280.15)</f>
        <v>280.15</v>
      </c>
      <c r="D1245" s="5" t="n">
        <f aca="false">IFERROR(__xludf.dummyfunction("""COMPUTED_VALUE"""),272.84)</f>
        <v>272.84</v>
      </c>
      <c r="E1245" s="5" t="n">
        <f aca="false">IFERROR(__xludf.dummyfunction("""COMPUTED_VALUE"""),274.11)</f>
        <v>274.11</v>
      </c>
      <c r="F1245" s="5" t="n">
        <f aca="false">IFERROR(__xludf.dummyfunction("""COMPUTED_VALUE"""),50409078)</f>
        <v>50409078</v>
      </c>
    </row>
    <row r="1246" customFormat="false" ht="15.75" hidden="false" customHeight="false" outlineLevel="0" collapsed="false">
      <c r="A1246" s="6" t="n">
        <f aca="false">IFERROR(__xludf.dummyfunction("""COMPUTED_VALUE"""),46007.6666666667)</f>
        <v>46007.6666666667</v>
      </c>
      <c r="B1246" s="5" t="n">
        <f aca="false">IFERROR(__xludf.dummyfunction("""COMPUTED_VALUE"""),272.82)</f>
        <v>272.82</v>
      </c>
      <c r="C1246" s="5" t="n">
        <f aca="false">IFERROR(__xludf.dummyfunction("""COMPUTED_VALUE"""),275.5)</f>
        <v>275.5</v>
      </c>
      <c r="D1246" s="5" t="n">
        <f aca="false">IFERROR(__xludf.dummyfunction("""COMPUTED_VALUE"""),271.79)</f>
        <v>271.79</v>
      </c>
      <c r="E1246" s="5" t="n">
        <f aca="false">IFERROR(__xludf.dummyfunction("""COMPUTED_VALUE"""),274.61)</f>
        <v>274.61</v>
      </c>
      <c r="F1246" s="5" t="n">
        <f aca="false">IFERROR(__xludf.dummyfunction("""COMPUTED_VALUE"""),37648628)</f>
        <v>37648628</v>
      </c>
    </row>
    <row r="1247" customFormat="false" ht="15.75" hidden="false" customHeight="false" outlineLevel="0" collapsed="false">
      <c r="A1247" s="6" t="n">
        <f aca="false">IFERROR(__xludf.dummyfunction("""COMPUTED_VALUE"""),46008.6666666667)</f>
        <v>46008.6666666667</v>
      </c>
      <c r="B1247" s="5" t="n">
        <f aca="false">IFERROR(__xludf.dummyfunction("""COMPUTED_VALUE"""),275.01)</f>
        <v>275.01</v>
      </c>
      <c r="C1247" s="5" t="n">
        <f aca="false">IFERROR(__xludf.dummyfunction("""COMPUTED_VALUE"""),276.16)</f>
        <v>276.16</v>
      </c>
      <c r="D1247" s="5" t="n">
        <f aca="false">IFERROR(__xludf.dummyfunction("""COMPUTED_VALUE"""),271.64)</f>
        <v>271.64</v>
      </c>
      <c r="E1247" s="5" t="n">
        <f aca="false">IFERROR(__xludf.dummyfunction("""COMPUTED_VALUE"""),271.84)</f>
        <v>271.84</v>
      </c>
      <c r="F1247" s="5" t="n">
        <f aca="false">IFERROR(__xludf.dummyfunction("""COMPUTED_VALUE"""),50138743)</f>
        <v>50138743</v>
      </c>
    </row>
    <row r="1248" customFormat="false" ht="15.75" hidden="false" customHeight="false" outlineLevel="0" collapsed="false">
      <c r="A1248" s="6" t="n">
        <f aca="false">IFERROR(__xludf.dummyfunction("""COMPUTED_VALUE"""),46009.6666666667)</f>
        <v>46009.6666666667</v>
      </c>
      <c r="B1248" s="5" t="n">
        <f aca="false">IFERROR(__xludf.dummyfunction("""COMPUTED_VALUE"""),273.61)</f>
        <v>273.61</v>
      </c>
      <c r="C1248" s="5" t="n">
        <f aca="false">IFERROR(__xludf.dummyfunction("""COMPUTED_VALUE"""),273.63)</f>
        <v>273.63</v>
      </c>
      <c r="D1248" s="5" t="n">
        <f aca="false">IFERROR(__xludf.dummyfunction("""COMPUTED_VALUE"""),266.95)</f>
        <v>266.95</v>
      </c>
      <c r="E1248" s="5" t="n">
        <f aca="false">IFERROR(__xludf.dummyfunction("""COMPUTED_VALUE"""),272.19)</f>
        <v>272.19</v>
      </c>
      <c r="F1248" s="5" t="n">
        <f aca="false">IFERROR(__xludf.dummyfunction("""COMPUTED_VALUE"""),51630721)</f>
        <v>51630721</v>
      </c>
    </row>
    <row r="1249" customFormat="false" ht="15.75" hidden="false" customHeight="false" outlineLevel="0" collapsed="false">
      <c r="A1249" s="6" t="n">
        <f aca="false">IFERROR(__xludf.dummyfunction("""COMPUTED_VALUE"""),46010.6666666667)</f>
        <v>46010.6666666667</v>
      </c>
      <c r="B1249" s="5" t="n">
        <f aca="false">IFERROR(__xludf.dummyfunction("""COMPUTED_VALUE"""),272.15)</f>
        <v>272.15</v>
      </c>
      <c r="C1249" s="5" t="n">
        <f aca="false">IFERROR(__xludf.dummyfunction("""COMPUTED_VALUE"""),274.6)</f>
        <v>274.6</v>
      </c>
      <c r="D1249" s="5" t="n">
        <f aca="false">IFERROR(__xludf.dummyfunction("""COMPUTED_VALUE"""),269.9)</f>
        <v>269.9</v>
      </c>
      <c r="E1249" s="5" t="n">
        <f aca="false">IFERROR(__xludf.dummyfunction("""COMPUTED_VALUE"""),273.67)</f>
        <v>273.67</v>
      </c>
      <c r="F1249" s="5" t="n">
        <f aca="false">IFERROR(__xludf.dummyfunction("""COMPUTED_VALUE"""),144632048)</f>
        <v>144632048</v>
      </c>
    </row>
    <row r="1250" customFormat="false" ht="15.75" hidden="false" customHeight="false" outlineLevel="0" collapsed="false">
      <c r="A1250" s="6" t="n">
        <f aca="false">IFERROR(__xludf.dummyfunction("""COMPUTED_VALUE"""),46013.6666666667)</f>
        <v>46013.6666666667</v>
      </c>
      <c r="B1250" s="5" t="n">
        <f aca="false">IFERROR(__xludf.dummyfunction("""COMPUTED_VALUE"""),272.86)</f>
        <v>272.86</v>
      </c>
      <c r="C1250" s="5" t="n">
        <f aca="false">IFERROR(__xludf.dummyfunction("""COMPUTED_VALUE"""),273.88)</f>
        <v>273.88</v>
      </c>
      <c r="D1250" s="5" t="n">
        <f aca="false">IFERROR(__xludf.dummyfunction("""COMPUTED_VALUE"""),270.51)</f>
        <v>270.51</v>
      </c>
      <c r="E1250" s="5" t="n">
        <f aca="false">IFERROR(__xludf.dummyfunction("""COMPUTED_VALUE"""),270.97)</f>
        <v>270.97</v>
      </c>
      <c r="F1250" s="5" t="n">
        <f aca="false">IFERROR(__xludf.dummyfunction("""COMPUTED_VALUE"""),36571827)</f>
        <v>36571827</v>
      </c>
    </row>
    <row r="1251" customFormat="false" ht="15.75" hidden="false" customHeight="false" outlineLevel="0" collapsed="false">
      <c r="A1251" s="6" t="n">
        <f aca="false">IFERROR(__xludf.dummyfunction("""COMPUTED_VALUE"""),46014.6666666667)</f>
        <v>46014.6666666667</v>
      </c>
      <c r="B1251" s="5" t="n">
        <f aca="false">IFERROR(__xludf.dummyfunction("""COMPUTED_VALUE"""),270.84)</f>
        <v>270.84</v>
      </c>
      <c r="C1251" s="5" t="n">
        <f aca="false">IFERROR(__xludf.dummyfunction("""COMPUTED_VALUE"""),272.5)</f>
        <v>272.5</v>
      </c>
      <c r="D1251" s="5" t="n">
        <f aca="false">IFERROR(__xludf.dummyfunction("""COMPUTED_VALUE"""),269.56)</f>
        <v>269.56</v>
      </c>
      <c r="E1251" s="5" t="n">
        <f aca="false">IFERROR(__xludf.dummyfunction("""COMPUTED_VALUE"""),272.36)</f>
        <v>272.36</v>
      </c>
      <c r="F1251" s="5" t="n">
        <f aca="false">IFERROR(__xludf.dummyfunction("""COMPUTED_VALUE"""),29641999)</f>
        <v>29641999</v>
      </c>
    </row>
    <row r="1252" customFormat="false" ht="15.75" hidden="false" customHeight="false" outlineLevel="0" collapsed="false">
      <c r="A1252" s="6" t="n">
        <f aca="false">IFERROR(__xludf.dummyfunction("""COMPUTED_VALUE"""),46015.5451388889)</f>
        <v>46015.5451388889</v>
      </c>
      <c r="B1252" s="5" t="n">
        <f aca="false">IFERROR(__xludf.dummyfunction("""COMPUTED_VALUE"""),272.34)</f>
        <v>272.34</v>
      </c>
      <c r="C1252" s="5" t="n">
        <f aca="false">IFERROR(__xludf.dummyfunction("""COMPUTED_VALUE"""),275.43)</f>
        <v>275.43</v>
      </c>
      <c r="D1252" s="5" t="n">
        <f aca="false">IFERROR(__xludf.dummyfunction("""COMPUTED_VALUE"""),272.2)</f>
        <v>272.2</v>
      </c>
      <c r="E1252" s="5" t="n">
        <f aca="false">IFERROR(__xludf.dummyfunction("""COMPUTED_VALUE"""),273.81)</f>
        <v>273.81</v>
      </c>
      <c r="F1252" s="5" t="n">
        <f aca="false">IFERROR(__xludf.dummyfunction("""COMPUTED_VALUE"""),17910574)</f>
        <v>17910574</v>
      </c>
    </row>
    <row r="1253" customFormat="false" ht="15.75" hidden="false" customHeight="false" outlineLevel="0" collapsed="false">
      <c r="A1253" s="6" t="n">
        <f aca="false">IFERROR(__xludf.dummyfunction("""COMPUTED_VALUE"""),46017.6666666667)</f>
        <v>46017.6666666667</v>
      </c>
      <c r="B1253" s="5" t="n">
        <f aca="false">IFERROR(__xludf.dummyfunction("""COMPUTED_VALUE"""),274.16)</f>
        <v>274.16</v>
      </c>
      <c r="C1253" s="5" t="n">
        <f aca="false">IFERROR(__xludf.dummyfunction("""COMPUTED_VALUE"""),275.37)</f>
        <v>275.37</v>
      </c>
      <c r="D1253" s="5" t="n">
        <f aca="false">IFERROR(__xludf.dummyfunction("""COMPUTED_VALUE"""),272.86)</f>
        <v>272.86</v>
      </c>
      <c r="E1253" s="5" t="n">
        <f aca="false">IFERROR(__xludf.dummyfunction("""COMPUTED_VALUE"""),273.4)</f>
        <v>273.4</v>
      </c>
      <c r="F1253" s="5" t="n">
        <f aca="false">IFERROR(__xludf.dummyfunction("""COMPUTED_VALUE"""),21521802)</f>
        <v>21521802</v>
      </c>
    </row>
    <row r="1254" customFormat="false" ht="15.75" hidden="false" customHeight="false" outlineLevel="0" collapsed="false">
      <c r="A1254" s="6" t="n">
        <f aca="false">IFERROR(__xludf.dummyfunction("""COMPUTED_VALUE"""),46020.6666666667)</f>
        <v>46020.6666666667</v>
      </c>
      <c r="B1254" s="5" t="n">
        <f aca="false">IFERROR(__xludf.dummyfunction("""COMPUTED_VALUE"""),272.69)</f>
        <v>272.69</v>
      </c>
      <c r="C1254" s="5" t="n">
        <f aca="false">IFERROR(__xludf.dummyfunction("""COMPUTED_VALUE"""),274.36)</f>
        <v>274.36</v>
      </c>
      <c r="D1254" s="5" t="n">
        <f aca="false">IFERROR(__xludf.dummyfunction("""COMPUTED_VALUE"""),272.35)</f>
        <v>272.35</v>
      </c>
      <c r="E1254" s="5" t="n">
        <f aca="false">IFERROR(__xludf.dummyfunction("""COMPUTED_VALUE"""),273.76)</f>
        <v>273.76</v>
      </c>
      <c r="F1254" s="5" t="n">
        <f aca="false">IFERROR(__xludf.dummyfunction("""COMPUTED_VALUE"""),23715213)</f>
        <v>23715213</v>
      </c>
    </row>
    <row r="1255" customFormat="false" ht="15.75" hidden="false" customHeight="false" outlineLevel="0" collapsed="false">
      <c r="A1255" s="6" t="n">
        <f aca="false">IFERROR(__xludf.dummyfunction("""COMPUTED_VALUE"""),46021.6666666667)</f>
        <v>46021.6666666667</v>
      </c>
      <c r="B1255" s="5" t="n">
        <f aca="false">IFERROR(__xludf.dummyfunction("""COMPUTED_VALUE"""),272.81)</f>
        <v>272.81</v>
      </c>
      <c r="C1255" s="5" t="n">
        <f aca="false">IFERROR(__xludf.dummyfunction("""COMPUTED_VALUE"""),274.08)</f>
        <v>274.08</v>
      </c>
      <c r="D1255" s="5" t="n">
        <f aca="false">IFERROR(__xludf.dummyfunction("""COMPUTED_VALUE"""),272.28)</f>
        <v>272.28</v>
      </c>
      <c r="E1255" s="5" t="n">
        <f aca="false">IFERROR(__xludf.dummyfunction("""COMPUTED_VALUE"""),273.08)</f>
        <v>273.08</v>
      </c>
      <c r="F1255" s="5" t="n">
        <f aca="false">IFERROR(__xludf.dummyfunction("""COMPUTED_VALUE"""),22139617)</f>
        <v>22139617</v>
      </c>
    </row>
    <row r="1256" customFormat="false" ht="15.75" hidden="false" customHeight="false" outlineLevel="0" collapsed="false">
      <c r="A1256" s="6" t="n">
        <f aca="false">IFERROR(__xludf.dummyfunction("""COMPUTED_VALUE"""),46022.6666666667)</f>
        <v>46022.6666666667</v>
      </c>
      <c r="B1256" s="5" t="n">
        <f aca="false">IFERROR(__xludf.dummyfunction("""COMPUTED_VALUE"""),273.06)</f>
        <v>273.06</v>
      </c>
      <c r="C1256" s="5" t="n">
        <f aca="false">IFERROR(__xludf.dummyfunction("""COMPUTED_VALUE"""),273.68)</f>
        <v>273.68</v>
      </c>
      <c r="D1256" s="5" t="n">
        <f aca="false">IFERROR(__xludf.dummyfunction("""COMPUTED_VALUE"""),271.75)</f>
        <v>271.75</v>
      </c>
      <c r="E1256" s="5" t="n">
        <f aca="false">IFERROR(__xludf.dummyfunction("""COMPUTED_VALUE"""),271.86)</f>
        <v>271.86</v>
      </c>
      <c r="F1256" s="5" t="n">
        <f aca="false">IFERROR(__xludf.dummyfunction("""COMPUTED_VALUE"""),27293639)</f>
        <v>27293639</v>
      </c>
    </row>
    <row r="1257" customFormat="false" ht="15.75" hidden="false" customHeight="false" outlineLevel="0" collapsed="false">
      <c r="A1257" s="6" t="n">
        <f aca="false">IFERROR(__xludf.dummyfunction("""COMPUTED_VALUE"""),46024.6666666667)</f>
        <v>46024.6666666667</v>
      </c>
      <c r="B1257" s="5" t="n">
        <f aca="false">IFERROR(__xludf.dummyfunction("""COMPUTED_VALUE"""),272.26)</f>
        <v>272.26</v>
      </c>
      <c r="C1257" s="5" t="n">
        <f aca="false">IFERROR(__xludf.dummyfunction("""COMPUTED_VALUE"""),277.84)</f>
        <v>277.84</v>
      </c>
      <c r="D1257" s="5" t="n">
        <f aca="false">IFERROR(__xludf.dummyfunction("""COMPUTED_VALUE"""),269)</f>
        <v>269</v>
      </c>
      <c r="E1257" s="5" t="n">
        <f aca="false">IFERROR(__xludf.dummyfunction("""COMPUTED_VALUE"""),271.01)</f>
        <v>271.01</v>
      </c>
      <c r="F1257" s="5" t="n">
        <f aca="false">IFERROR(__xludf.dummyfunction("""COMPUTED_VALUE"""),37838054)</f>
        <v>37838054</v>
      </c>
    </row>
    <row r="1258" customFormat="false" ht="15.75" hidden="false" customHeight="false" outlineLevel="0" collapsed="false">
      <c r="A1258" s="6" t="n">
        <f aca="false">IFERROR(__xludf.dummyfunction("""COMPUTED_VALUE"""),46027.6666666667)</f>
        <v>46027.6666666667</v>
      </c>
      <c r="B1258" s="5" t="n">
        <f aca="false">IFERROR(__xludf.dummyfunction("""COMPUTED_VALUE"""),270.64)</f>
        <v>270.64</v>
      </c>
      <c r="C1258" s="5" t="n">
        <f aca="false">IFERROR(__xludf.dummyfunction("""COMPUTED_VALUE"""),271.51)</f>
        <v>271.51</v>
      </c>
      <c r="D1258" s="5" t="n">
        <f aca="false">IFERROR(__xludf.dummyfunction("""COMPUTED_VALUE"""),266.14)</f>
        <v>266.14</v>
      </c>
      <c r="E1258" s="5" t="n">
        <f aca="false">IFERROR(__xludf.dummyfunction("""COMPUTED_VALUE"""),267.26)</f>
        <v>267.26</v>
      </c>
      <c r="F1258" s="5" t="n">
        <f aca="false">IFERROR(__xludf.dummyfunction("""COMPUTED_VALUE"""),45647190)</f>
        <v>45647190</v>
      </c>
    </row>
    <row r="1259" customFormat="false" ht="15.75" hidden="false" customHeight="false" outlineLevel="0" collapsed="false">
      <c r="A1259" s="6" t="n">
        <f aca="false">IFERROR(__xludf.dummyfunction("""COMPUTED_VALUE"""),46028.6666666667)</f>
        <v>46028.6666666667</v>
      </c>
      <c r="B1259" s="5" t="n">
        <f aca="false">IFERROR(__xludf.dummyfunction("""COMPUTED_VALUE"""),267)</f>
        <v>267</v>
      </c>
      <c r="C1259" s="5" t="n">
        <f aca="false">IFERROR(__xludf.dummyfunction("""COMPUTED_VALUE"""),267.55)</f>
        <v>267.55</v>
      </c>
      <c r="D1259" s="5" t="n">
        <f aca="false">IFERROR(__xludf.dummyfunction("""COMPUTED_VALUE"""),262.12)</f>
        <v>262.12</v>
      </c>
      <c r="E1259" s="5" t="n">
        <f aca="false">IFERROR(__xludf.dummyfunction("""COMPUTED_VALUE"""),262.36)</f>
        <v>262.36</v>
      </c>
      <c r="F1259" s="5" t="n">
        <f aca="false">IFERROR(__xludf.dummyfunction("""COMPUTED_VALUE"""),52352090)</f>
        <v>52352090</v>
      </c>
    </row>
    <row r="1260" customFormat="false" ht="15.75" hidden="false" customHeight="false" outlineLevel="0" collapsed="false">
      <c r="A1260" s="6" t="n">
        <f aca="false">IFERROR(__xludf.dummyfunction("""COMPUTED_VALUE"""),46029.6666666667)</f>
        <v>46029.6666666667</v>
      </c>
      <c r="B1260" s="5" t="n">
        <f aca="false">IFERROR(__xludf.dummyfunction("""COMPUTED_VALUE"""),263.2)</f>
        <v>263.2</v>
      </c>
      <c r="C1260" s="5" t="n">
        <f aca="false">IFERROR(__xludf.dummyfunction("""COMPUTED_VALUE"""),263.68)</f>
        <v>263.68</v>
      </c>
      <c r="D1260" s="5" t="n">
        <f aca="false">IFERROR(__xludf.dummyfunction("""COMPUTED_VALUE"""),259.81)</f>
        <v>259.81</v>
      </c>
      <c r="E1260" s="5" t="n">
        <f aca="false">IFERROR(__xludf.dummyfunction("""COMPUTED_VALUE"""),260.33)</f>
        <v>260.33</v>
      </c>
      <c r="F1260" s="5" t="n">
        <f aca="false">IFERROR(__xludf.dummyfunction("""COMPUTED_VALUE"""),48309804)</f>
        <v>48309804</v>
      </c>
    </row>
    <row r="1261" customFormat="false" ht="15.75" hidden="false" customHeight="false" outlineLevel="0" collapsed="false">
      <c r="A1261" s="6" t="n">
        <f aca="false">IFERROR(__xludf.dummyfunction("""COMPUTED_VALUE"""),46030.6666666667)</f>
        <v>46030.6666666667</v>
      </c>
      <c r="B1261" s="5" t="n">
        <f aca="false">IFERROR(__xludf.dummyfunction("""COMPUTED_VALUE"""),257.02)</f>
        <v>257.02</v>
      </c>
      <c r="C1261" s="5" t="n">
        <f aca="false">IFERROR(__xludf.dummyfunction("""COMPUTED_VALUE"""),259.29)</f>
        <v>259.29</v>
      </c>
      <c r="D1261" s="5" t="n">
        <f aca="false">IFERROR(__xludf.dummyfunction("""COMPUTED_VALUE"""),255.7)</f>
        <v>255.7</v>
      </c>
      <c r="E1261" s="5" t="n">
        <f aca="false">IFERROR(__xludf.dummyfunction("""COMPUTED_VALUE"""),259.04)</f>
        <v>259.04</v>
      </c>
      <c r="F1261" s="5" t="n">
        <f aca="false">IFERROR(__xludf.dummyfunction("""COMPUTED_VALUE"""),50419337)</f>
        <v>50419337</v>
      </c>
    </row>
    <row r="1262" customFormat="false" ht="15.75" hidden="false" customHeight="false" outlineLevel="0" collapsed="false">
      <c r="A1262" s="6" t="n">
        <f aca="false">IFERROR(__xludf.dummyfunction("""COMPUTED_VALUE"""),46031.6666666667)</f>
        <v>46031.6666666667</v>
      </c>
      <c r="B1262" s="5" t="n">
        <f aca="false">IFERROR(__xludf.dummyfunction("""COMPUTED_VALUE"""),259.08)</f>
        <v>259.08</v>
      </c>
      <c r="C1262" s="5" t="n">
        <f aca="false">IFERROR(__xludf.dummyfunction("""COMPUTED_VALUE"""),260.21)</f>
        <v>260.21</v>
      </c>
      <c r="D1262" s="5" t="n">
        <f aca="false">IFERROR(__xludf.dummyfunction("""COMPUTED_VALUE"""),256.22)</f>
        <v>256.22</v>
      </c>
      <c r="E1262" s="5" t="n">
        <f aca="false">IFERROR(__xludf.dummyfunction("""COMPUTED_VALUE"""),259.37)</f>
        <v>259.37</v>
      </c>
      <c r="F1262" s="5" t="n">
        <f aca="false">IFERROR(__xludf.dummyfunction("""COMPUTED_VALUE"""),39996967)</f>
        <v>39996967</v>
      </c>
    </row>
    <row r="1263" customFormat="false" ht="15.75" hidden="false" customHeight="false" outlineLevel="0" collapsed="false">
      <c r="A1263" s="6" t="n">
        <f aca="false">IFERROR(__xludf.dummyfunction("""COMPUTED_VALUE"""),46034.6666666667)</f>
        <v>46034.6666666667</v>
      </c>
      <c r="B1263" s="5" t="n">
        <f aca="false">IFERROR(__xludf.dummyfunction("""COMPUTED_VALUE"""),259.16)</f>
        <v>259.16</v>
      </c>
      <c r="C1263" s="5" t="n">
        <f aca="false">IFERROR(__xludf.dummyfunction("""COMPUTED_VALUE"""),261.3)</f>
        <v>261.3</v>
      </c>
      <c r="D1263" s="5" t="n">
        <f aca="false">IFERROR(__xludf.dummyfunction("""COMPUTED_VALUE"""),256.8)</f>
        <v>256.8</v>
      </c>
      <c r="E1263" s="5" t="n">
        <f aca="false">IFERROR(__xludf.dummyfunction("""COMPUTED_VALUE"""),260.25)</f>
        <v>260.25</v>
      </c>
      <c r="F1263" s="5" t="n">
        <f aca="false">IFERROR(__xludf.dummyfunction("""COMPUTED_VALUE"""),45263767)</f>
        <v>45263767</v>
      </c>
    </row>
    <row r="1264" customFormat="false" ht="15.75" hidden="false" customHeight="false" outlineLevel="0" collapsed="false">
      <c r="A1264" s="6" t="n">
        <f aca="false">IFERROR(__xludf.dummyfunction("""COMPUTED_VALUE"""),46035.6666666667)</f>
        <v>46035.6666666667</v>
      </c>
      <c r="B1264" s="5" t="n">
        <f aca="false">IFERROR(__xludf.dummyfunction("""COMPUTED_VALUE"""),258.72)</f>
        <v>258.72</v>
      </c>
      <c r="C1264" s="5" t="n">
        <f aca="false">IFERROR(__xludf.dummyfunction("""COMPUTED_VALUE"""),261.81)</f>
        <v>261.81</v>
      </c>
      <c r="D1264" s="5" t="n">
        <f aca="false">IFERROR(__xludf.dummyfunction("""COMPUTED_VALUE"""),258.39)</f>
        <v>258.39</v>
      </c>
      <c r="E1264" s="5" t="n">
        <f aca="false">IFERROR(__xludf.dummyfunction("""COMPUTED_VALUE"""),261.05)</f>
        <v>261.05</v>
      </c>
      <c r="F1264" s="5" t="n">
        <f aca="false">IFERROR(__xludf.dummyfunction("""COMPUTED_VALUE"""),45730847)</f>
        <v>45730847</v>
      </c>
    </row>
    <row r="1265" customFormat="false" ht="15.75" hidden="false" customHeight="false" outlineLevel="0" collapsed="false">
      <c r="A1265" s="6" t="n">
        <f aca="false">IFERROR(__xludf.dummyfunction("""COMPUTED_VALUE"""),46036.6666666667)</f>
        <v>46036.6666666667</v>
      </c>
      <c r="B1265" s="5" t="n">
        <f aca="false">IFERROR(__xludf.dummyfunction("""COMPUTED_VALUE"""),259.49)</f>
        <v>259.49</v>
      </c>
      <c r="C1265" s="5" t="n">
        <f aca="false">IFERROR(__xludf.dummyfunction("""COMPUTED_VALUE"""),261.82)</f>
        <v>261.82</v>
      </c>
      <c r="D1265" s="5" t="n">
        <f aca="false">IFERROR(__xludf.dummyfunction("""COMPUTED_VALUE"""),256.71)</f>
        <v>256.71</v>
      </c>
      <c r="E1265" s="5" t="n">
        <f aca="false">IFERROR(__xludf.dummyfunction("""COMPUTED_VALUE"""),259.96)</f>
        <v>259.96</v>
      </c>
      <c r="F1265" s="5" t="n">
        <f aca="false">IFERROR(__xludf.dummyfunction("""COMPUTED_VALUE"""),40019421)</f>
        <v>40019421</v>
      </c>
    </row>
    <row r="1266" customFormat="false" ht="15.75" hidden="false" customHeight="false" outlineLevel="0" collapsed="false">
      <c r="A1266" s="6" t="n">
        <f aca="false">IFERROR(__xludf.dummyfunction("""COMPUTED_VALUE"""),46037.6666666667)</f>
        <v>46037.6666666667</v>
      </c>
      <c r="B1266" s="5" t="n">
        <f aca="false">IFERROR(__xludf.dummyfunction("""COMPUTED_VALUE"""),260.65)</f>
        <v>260.65</v>
      </c>
      <c r="C1266" s="5" t="n">
        <f aca="false">IFERROR(__xludf.dummyfunction("""COMPUTED_VALUE"""),261.04)</f>
        <v>261.04</v>
      </c>
      <c r="D1266" s="5" t="n">
        <f aca="false">IFERROR(__xludf.dummyfunction("""COMPUTED_VALUE"""),257.05)</f>
        <v>257.05</v>
      </c>
      <c r="E1266" s="5" t="n">
        <f aca="false">IFERROR(__xludf.dummyfunction("""COMPUTED_VALUE"""),258.21)</f>
        <v>258.21</v>
      </c>
      <c r="F1266" s="5" t="n">
        <f aca="false">IFERROR(__xludf.dummyfunction("""COMPUTED_VALUE"""),39388564)</f>
        <v>39388564</v>
      </c>
    </row>
    <row r="1267" customFormat="false" ht="15.75" hidden="false" customHeight="false" outlineLevel="0" collapsed="false">
      <c r="A1267" s="6" t="n">
        <f aca="false">IFERROR(__xludf.dummyfunction("""COMPUTED_VALUE"""),46038.6666666667)</f>
        <v>46038.6666666667</v>
      </c>
      <c r="B1267" s="5" t="n">
        <f aca="false">IFERROR(__xludf.dummyfunction("""COMPUTED_VALUE"""),257.9)</f>
        <v>257.9</v>
      </c>
      <c r="C1267" s="5" t="n">
        <f aca="false">IFERROR(__xludf.dummyfunction("""COMPUTED_VALUE"""),258.9)</f>
        <v>258.9</v>
      </c>
      <c r="D1267" s="5" t="n">
        <f aca="false">IFERROR(__xludf.dummyfunction("""COMPUTED_VALUE"""),254.93)</f>
        <v>254.93</v>
      </c>
      <c r="E1267" s="5" t="n">
        <f aca="false">IFERROR(__xludf.dummyfunction("""COMPUTED_VALUE"""),255.53)</f>
        <v>255.53</v>
      </c>
      <c r="F1267" s="5" t="n">
        <f aca="false">IFERROR(__xludf.dummyfunction("""COMPUTED_VALUE"""),72142773)</f>
        <v>72142773</v>
      </c>
    </row>
    <row r="1268" customFormat="false" ht="15.75" hidden="false" customHeight="false" outlineLevel="0" collapsed="false">
      <c r="A1268" s="6" t="n">
        <f aca="false">IFERROR(__xludf.dummyfunction("""COMPUTED_VALUE"""),46042.6666666667)</f>
        <v>46042.6666666667</v>
      </c>
      <c r="B1268" s="5" t="n">
        <f aca="false">IFERROR(__xludf.dummyfunction("""COMPUTED_VALUE"""),252.73)</f>
        <v>252.73</v>
      </c>
      <c r="C1268" s="5" t="n">
        <f aca="false">IFERROR(__xludf.dummyfunction("""COMPUTED_VALUE"""),254.79)</f>
        <v>254.79</v>
      </c>
      <c r="D1268" s="5" t="n">
        <f aca="false">IFERROR(__xludf.dummyfunction("""COMPUTED_VALUE"""),243.42)</f>
        <v>243.42</v>
      </c>
      <c r="E1268" s="5" t="n">
        <f aca="false">IFERROR(__xludf.dummyfunction("""COMPUTED_VALUE"""),246.7)</f>
        <v>246.7</v>
      </c>
      <c r="F1268" s="5" t="n">
        <f aca="false">IFERROR(__xludf.dummyfunction("""COMPUTED_VALUE"""),80267517)</f>
        <v>80267517</v>
      </c>
    </row>
    <row r="1269" customFormat="false" ht="15.75" hidden="false" customHeight="false" outlineLevel="0" collapsed="false">
      <c r="A1269" s="6" t="n">
        <f aca="false">IFERROR(__xludf.dummyfunction("""COMPUTED_VALUE"""),46043.6666666667)</f>
        <v>46043.6666666667</v>
      </c>
      <c r="B1269" s="5" t="n">
        <f aca="false">IFERROR(__xludf.dummyfunction("""COMPUTED_VALUE"""),248.7)</f>
        <v>248.7</v>
      </c>
      <c r="C1269" s="5" t="n">
        <f aca="false">IFERROR(__xludf.dummyfunction("""COMPUTED_VALUE"""),251.56)</f>
        <v>251.56</v>
      </c>
      <c r="D1269" s="5" t="n">
        <f aca="false">IFERROR(__xludf.dummyfunction("""COMPUTED_VALUE"""),245.18)</f>
        <v>245.18</v>
      </c>
      <c r="E1269" s="5" t="n">
        <f aca="false">IFERROR(__xludf.dummyfunction("""COMPUTED_VALUE"""),247.65)</f>
        <v>247.65</v>
      </c>
      <c r="F1269" s="5" t="n">
        <f aca="false">IFERROR(__xludf.dummyfunction("""COMPUTED_VALUE"""),54641725)</f>
        <v>54641725</v>
      </c>
    </row>
    <row r="1270" customFormat="false" ht="15.75" hidden="false" customHeight="false" outlineLevel="0" collapsed="false">
      <c r="A1270" s="6" t="n">
        <f aca="false">IFERROR(__xludf.dummyfunction("""COMPUTED_VALUE"""),46044.6666666667)</f>
        <v>46044.6666666667</v>
      </c>
      <c r="B1270" s="5" t="n">
        <f aca="false">IFERROR(__xludf.dummyfunction("""COMPUTED_VALUE"""),249.2)</f>
        <v>249.2</v>
      </c>
      <c r="C1270" s="5" t="n">
        <f aca="false">IFERROR(__xludf.dummyfunction("""COMPUTED_VALUE"""),251)</f>
        <v>251</v>
      </c>
      <c r="D1270" s="5" t="n">
        <f aca="false">IFERROR(__xludf.dummyfunction("""COMPUTED_VALUE"""),248.15)</f>
        <v>248.15</v>
      </c>
      <c r="E1270" s="5" t="n">
        <f aca="false">IFERROR(__xludf.dummyfunction("""COMPUTED_VALUE"""),248.35)</f>
        <v>248.35</v>
      </c>
      <c r="F1270" s="5" t="n">
        <f aca="false">IFERROR(__xludf.dummyfunction("""COMPUTED_VALUE"""),39708340)</f>
        <v>39708340</v>
      </c>
    </row>
    <row r="1271" customFormat="false" ht="15.75" hidden="false" customHeight="false" outlineLevel="0" collapsed="false">
      <c r="A1271" s="6" t="n">
        <f aca="false">IFERROR(__xludf.dummyfunction("""COMPUTED_VALUE"""),46045.6666666667)</f>
        <v>46045.6666666667</v>
      </c>
      <c r="B1271" s="5" t="n">
        <f aca="false">IFERROR(__xludf.dummyfunction("""COMPUTED_VALUE"""),247.32)</f>
        <v>247.32</v>
      </c>
      <c r="C1271" s="5" t="n">
        <f aca="false">IFERROR(__xludf.dummyfunction("""COMPUTED_VALUE"""),249.41)</f>
        <v>249.41</v>
      </c>
      <c r="D1271" s="5" t="n">
        <f aca="false">IFERROR(__xludf.dummyfunction("""COMPUTED_VALUE"""),244.68)</f>
        <v>244.68</v>
      </c>
      <c r="E1271" s="5" t="n">
        <f aca="false">IFERROR(__xludf.dummyfunction("""COMPUTED_VALUE"""),248.04)</f>
        <v>248.04</v>
      </c>
      <c r="F1271" s="5" t="n">
        <f aca="false">IFERROR(__xludf.dummyfunction("""COMPUTED_VALUE"""),41688982)</f>
        <v>41688982</v>
      </c>
    </row>
    <row r="1272" customFormat="false" ht="15.75" hidden="false" customHeight="false" outlineLevel="0" collapsed="false">
      <c r="A1272" s="6" t="n">
        <f aca="false">IFERROR(__xludf.dummyfunction("""COMPUTED_VALUE"""),46048.6666666667)</f>
        <v>46048.6666666667</v>
      </c>
      <c r="B1272" s="5" t="n">
        <f aca="false">IFERROR(__xludf.dummyfunction("""COMPUTED_VALUE"""),251.48)</f>
        <v>251.48</v>
      </c>
      <c r="C1272" s="5" t="n">
        <f aca="false">IFERROR(__xludf.dummyfunction("""COMPUTED_VALUE"""),256.56)</f>
        <v>256.56</v>
      </c>
      <c r="D1272" s="5" t="n">
        <f aca="false">IFERROR(__xludf.dummyfunction("""COMPUTED_VALUE"""),249.8)</f>
        <v>249.8</v>
      </c>
      <c r="E1272" s="5" t="n">
        <f aca="false">IFERROR(__xludf.dummyfunction("""COMPUTED_VALUE"""),255.41)</f>
        <v>255.41</v>
      </c>
      <c r="F1272" s="5" t="n">
        <f aca="false">IFERROR(__xludf.dummyfunction("""COMPUTED_VALUE"""),55969234)</f>
        <v>55969234</v>
      </c>
    </row>
    <row r="1273" customFormat="false" ht="15.75" hidden="false" customHeight="false" outlineLevel="0" collapsed="false">
      <c r="A1273" s="6" t="n">
        <f aca="false">IFERROR(__xludf.dummyfunction("""COMPUTED_VALUE"""),46049.6666666667)</f>
        <v>46049.6666666667</v>
      </c>
      <c r="B1273" s="5" t="n">
        <f aca="false">IFERROR(__xludf.dummyfunction("""COMPUTED_VALUE"""),259.17)</f>
        <v>259.17</v>
      </c>
      <c r="C1273" s="5" t="n">
        <f aca="false">IFERROR(__xludf.dummyfunction("""COMPUTED_VALUE"""),261.95)</f>
        <v>261.95</v>
      </c>
      <c r="D1273" s="5" t="n">
        <f aca="false">IFERROR(__xludf.dummyfunction("""COMPUTED_VALUE"""),258.21)</f>
        <v>258.21</v>
      </c>
      <c r="E1273" s="5" t="n">
        <f aca="false">IFERROR(__xludf.dummyfunction("""COMPUTED_VALUE"""),258.27)</f>
        <v>258.27</v>
      </c>
      <c r="F1273" s="5" t="n">
        <f aca="false">IFERROR(__xludf.dummyfunction("""COMPUTED_VALUE"""),49648271)</f>
        <v>49648271</v>
      </c>
    </row>
    <row r="1274" customFormat="false" ht="15.75" hidden="false" customHeight="false" outlineLevel="0" collapsed="false">
      <c r="A1274" s="6" t="n">
        <f aca="false">IFERROR(__xludf.dummyfunction("""COMPUTED_VALUE"""),46050.6666666667)</f>
        <v>46050.6666666667</v>
      </c>
      <c r="B1274" s="5" t="n">
        <f aca="false">IFERROR(__xludf.dummyfunction("""COMPUTED_VALUE"""),257.65)</f>
        <v>257.65</v>
      </c>
      <c r="C1274" s="5" t="n">
        <f aca="false">IFERROR(__xludf.dummyfunction("""COMPUTED_VALUE"""),258.86)</f>
        <v>258.86</v>
      </c>
      <c r="D1274" s="5" t="n">
        <f aca="false">IFERROR(__xludf.dummyfunction("""COMPUTED_VALUE"""),254.51)</f>
        <v>254.51</v>
      </c>
      <c r="E1274" s="5" t="n">
        <f aca="false">IFERROR(__xludf.dummyfunction("""COMPUTED_VALUE"""),256.44)</f>
        <v>256.44</v>
      </c>
      <c r="F1274" s="5" t="n">
        <f aca="false">IFERROR(__xludf.dummyfunction("""COMPUTED_VALUE"""),41287971)</f>
        <v>41287971</v>
      </c>
    </row>
    <row r="1275" customFormat="false" ht="15.75" hidden="false" customHeight="false" outlineLevel="0" collapsed="false">
      <c r="A1275" s="6" t="n">
        <f aca="false">IFERROR(__xludf.dummyfunction("""COMPUTED_VALUE"""),46051.6666666667)</f>
        <v>46051.6666666667</v>
      </c>
      <c r="B1275" s="5" t="n">
        <f aca="false">IFERROR(__xludf.dummyfunction("""COMPUTED_VALUE"""),258)</f>
        <v>258</v>
      </c>
      <c r="C1275" s="5" t="n">
        <f aca="false">IFERROR(__xludf.dummyfunction("""COMPUTED_VALUE"""),259.65)</f>
        <v>259.65</v>
      </c>
      <c r="D1275" s="5" t="n">
        <f aca="false">IFERROR(__xludf.dummyfunction("""COMPUTED_VALUE"""),254.41)</f>
        <v>254.41</v>
      </c>
      <c r="E1275" s="5" t="n">
        <f aca="false">IFERROR(__xludf.dummyfunction("""COMPUTED_VALUE"""),258.28)</f>
        <v>258.28</v>
      </c>
      <c r="F1275" s="5" t="n">
        <f aca="false">IFERROR(__xludf.dummyfunction("""COMPUTED_VALUE"""),67253009)</f>
        <v>67253009</v>
      </c>
    </row>
    <row r="1276" customFormat="false" ht="15.75" hidden="false" customHeight="false" outlineLevel="0" collapsed="false">
      <c r="A1276" s="6" t="n">
        <f aca="false">IFERROR(__xludf.dummyfunction("""COMPUTED_VALUE"""),46052.6666666667)</f>
        <v>46052.6666666667</v>
      </c>
      <c r="B1276" s="5" t="n">
        <f aca="false">IFERROR(__xludf.dummyfunction("""COMPUTED_VALUE"""),255.17)</f>
        <v>255.17</v>
      </c>
      <c r="C1276" s="5" t="n">
        <f aca="false">IFERROR(__xludf.dummyfunction("""COMPUTED_VALUE"""),261.9)</f>
        <v>261.9</v>
      </c>
      <c r="D1276" s="5" t="n">
        <f aca="false">IFERROR(__xludf.dummyfunction("""COMPUTED_VALUE"""),252.18)</f>
        <v>252.18</v>
      </c>
      <c r="E1276" s="5" t="n">
        <f aca="false">IFERROR(__xludf.dummyfunction("""COMPUTED_VALUE"""),259.48)</f>
        <v>259.48</v>
      </c>
      <c r="F1276" s="5" t="n">
        <f aca="false">IFERROR(__xludf.dummyfunction("""COMPUTED_VALUE"""),92443408)</f>
        <v>92443408</v>
      </c>
    </row>
    <row r="1277" customFormat="false" ht="15.75" hidden="false" customHeight="false" outlineLevel="0" collapsed="false">
      <c r="A1277" s="6" t="n">
        <f aca="false">IFERROR(__xludf.dummyfunction("""COMPUTED_VALUE"""),46055.6666666667)</f>
        <v>46055.6666666667</v>
      </c>
      <c r="B1277" s="5" t="n">
        <f aca="false">IFERROR(__xludf.dummyfunction("""COMPUTED_VALUE"""),260.03)</f>
        <v>260.03</v>
      </c>
      <c r="C1277" s="5" t="n">
        <f aca="false">IFERROR(__xludf.dummyfunction("""COMPUTED_VALUE"""),270.49)</f>
        <v>270.49</v>
      </c>
      <c r="D1277" s="5" t="n">
        <f aca="false">IFERROR(__xludf.dummyfunction("""COMPUTED_VALUE"""),259.21)</f>
        <v>259.21</v>
      </c>
      <c r="E1277" s="5" t="n">
        <f aca="false">IFERROR(__xludf.dummyfunction("""COMPUTED_VALUE"""),270.01)</f>
        <v>270.01</v>
      </c>
      <c r="F1277" s="5" t="n">
        <f aca="false">IFERROR(__xludf.dummyfunction("""COMPUTED_VALUE"""),73913425)</f>
        <v>73913425</v>
      </c>
    </row>
    <row r="1278" customFormat="false" ht="15.75" hidden="false" customHeight="false" outlineLevel="0" collapsed="false">
      <c r="A1278" s="6" t="n">
        <f aca="false">IFERROR(__xludf.dummyfunction("""COMPUTED_VALUE"""),46056.6666666667)</f>
        <v>46056.6666666667</v>
      </c>
      <c r="B1278" s="5" t="n">
        <f aca="false">IFERROR(__xludf.dummyfunction("""COMPUTED_VALUE"""),269.2)</f>
        <v>269.2</v>
      </c>
      <c r="C1278" s="5" t="n">
        <f aca="false">IFERROR(__xludf.dummyfunction("""COMPUTED_VALUE"""),271.88)</f>
        <v>271.88</v>
      </c>
      <c r="D1278" s="5" t="n">
        <f aca="false">IFERROR(__xludf.dummyfunction("""COMPUTED_VALUE"""),267.61)</f>
        <v>267.61</v>
      </c>
      <c r="E1278" s="5" t="n">
        <f aca="false">IFERROR(__xludf.dummyfunction("""COMPUTED_VALUE"""),269.48)</f>
        <v>269.48</v>
      </c>
      <c r="F1278" s="5" t="n">
        <f aca="false">IFERROR(__xludf.dummyfunction("""COMPUTED_VALUE"""),64394655)</f>
        <v>64394655</v>
      </c>
    </row>
    <row r="1279" customFormat="false" ht="15.75" hidden="false" customHeight="false" outlineLevel="0" collapsed="false">
      <c r="A1279" s="6" t="n">
        <f aca="false">IFERROR(__xludf.dummyfunction("""COMPUTED_VALUE"""),46057.6666666667)</f>
        <v>46057.6666666667</v>
      </c>
      <c r="B1279" s="5" t="n">
        <f aca="false">IFERROR(__xludf.dummyfunction("""COMPUTED_VALUE"""),272.29)</f>
        <v>272.29</v>
      </c>
      <c r="C1279" s="5" t="n">
        <f aca="false">IFERROR(__xludf.dummyfunction("""COMPUTED_VALUE"""),278.95)</f>
        <v>278.95</v>
      </c>
      <c r="D1279" s="5" t="n">
        <f aca="false">IFERROR(__xludf.dummyfunction("""COMPUTED_VALUE"""),272.29)</f>
        <v>272.29</v>
      </c>
      <c r="E1279" s="5" t="n">
        <f aca="false">IFERROR(__xludf.dummyfunction("""COMPUTED_VALUE"""),276.49)</f>
        <v>276.49</v>
      </c>
      <c r="F1279" s="5" t="n">
        <f aca="false">IFERROR(__xludf.dummyfunction("""COMPUTED_VALUE"""),90545710)</f>
        <v>90545710</v>
      </c>
    </row>
    <row r="1280" customFormat="false" ht="15.75" hidden="false" customHeight="false" outlineLevel="0" collapsed="false">
      <c r="A1280" s="6" t="n">
        <f aca="false">IFERROR(__xludf.dummyfunction("""COMPUTED_VALUE"""),46058.6666666667)</f>
        <v>46058.6666666667</v>
      </c>
      <c r="B1280" s="5" t="n">
        <f aca="false">IFERROR(__xludf.dummyfunction("""COMPUTED_VALUE"""),278.13)</f>
        <v>278.13</v>
      </c>
      <c r="C1280" s="5" t="n">
        <f aca="false">IFERROR(__xludf.dummyfunction("""COMPUTED_VALUE"""),279.5)</f>
        <v>279.5</v>
      </c>
      <c r="D1280" s="5" t="n">
        <f aca="false">IFERROR(__xludf.dummyfunction("""COMPUTED_VALUE"""),273.23)</f>
        <v>273.23</v>
      </c>
      <c r="E1280" s="5" t="n">
        <f aca="false">IFERROR(__xludf.dummyfunction("""COMPUTED_VALUE"""),275.91)</f>
        <v>275.91</v>
      </c>
      <c r="F1280" s="5" t="n">
        <f aca="false">IFERROR(__xludf.dummyfunction("""COMPUTED_VALUE"""),52977441)</f>
        <v>52977441</v>
      </c>
    </row>
    <row r="1281" customFormat="false" ht="15.75" hidden="false" customHeight="false" outlineLevel="0" collapsed="false">
      <c r="A1281" s="6" t="n">
        <f aca="false">IFERROR(__xludf.dummyfunction("""COMPUTED_VALUE"""),46059.6666666667)</f>
        <v>46059.6666666667</v>
      </c>
      <c r="B1281" s="5" t="n">
        <f aca="false">IFERROR(__xludf.dummyfunction("""COMPUTED_VALUE"""),277.12)</f>
        <v>277.12</v>
      </c>
      <c r="C1281" s="5" t="n">
        <f aca="false">IFERROR(__xludf.dummyfunction("""COMPUTED_VALUE"""),280.9)</f>
        <v>280.9</v>
      </c>
      <c r="D1281" s="5" t="n">
        <f aca="false">IFERROR(__xludf.dummyfunction("""COMPUTED_VALUE"""),276.93)</f>
        <v>276.93</v>
      </c>
      <c r="E1281" s="5" t="n">
        <f aca="false">IFERROR(__xludf.dummyfunction("""COMPUTED_VALUE"""),278.12)</f>
        <v>278.12</v>
      </c>
      <c r="F1281" s="5" t="n">
        <f aca="false">IFERROR(__xludf.dummyfunction("""COMPUTED_VALUE"""),50453414)</f>
        <v>50453414</v>
      </c>
    </row>
    <row r="1282" customFormat="false" ht="15.75" hidden="false" customHeight="false" outlineLevel="0" collapsed="false">
      <c r="A1282" s="6" t="n">
        <f aca="false">IFERROR(__xludf.dummyfunction("""COMPUTED_VALUE"""),46062.6666666667)</f>
        <v>46062.6666666667</v>
      </c>
      <c r="B1282" s="5" t="n">
        <f aca="false">IFERROR(__xludf.dummyfunction("""COMPUTED_VALUE"""),277.9)</f>
        <v>277.9</v>
      </c>
      <c r="C1282" s="5" t="n">
        <f aca="false">IFERROR(__xludf.dummyfunction("""COMPUTED_VALUE"""),278.2)</f>
        <v>278.2</v>
      </c>
      <c r="D1282" s="5" t="n">
        <f aca="false">IFERROR(__xludf.dummyfunction("""COMPUTED_VALUE"""),271.7)</f>
        <v>271.7</v>
      </c>
      <c r="E1282" s="5" t="n">
        <f aca="false">IFERROR(__xludf.dummyfunction("""COMPUTED_VALUE"""),274.62)</f>
        <v>274.62</v>
      </c>
      <c r="F1282" s="5" t="n">
        <f aca="false">IFERROR(__xludf.dummyfunction("""COMPUTED_VALUE"""),44623396)</f>
        <v>44623396</v>
      </c>
    </row>
    <row r="1283" customFormat="false" ht="15.75" hidden="false" customHeight="false" outlineLevel="0" collapsed="false">
      <c r="A1283" s="6" t="n">
        <f aca="false">IFERROR(__xludf.dummyfunction("""COMPUTED_VALUE"""),46063.6666666667)</f>
        <v>46063.6666666667</v>
      </c>
      <c r="B1283" s="5" t="n">
        <f aca="false">IFERROR(__xludf.dummyfunction("""COMPUTED_VALUE"""),274.89)</f>
        <v>274.89</v>
      </c>
      <c r="C1283" s="5" t="n">
        <f aca="false">IFERROR(__xludf.dummyfunction("""COMPUTED_VALUE"""),275.37)</f>
        <v>275.37</v>
      </c>
      <c r="D1283" s="5" t="n">
        <f aca="false">IFERROR(__xludf.dummyfunction("""COMPUTED_VALUE"""),272.94)</f>
        <v>272.94</v>
      </c>
      <c r="E1283" s="5" t="n">
        <f aca="false">IFERROR(__xludf.dummyfunction("""COMPUTED_VALUE"""),273.68)</f>
        <v>273.68</v>
      </c>
      <c r="F1283" s="5" t="n">
        <f aca="false">IFERROR(__xludf.dummyfunction("""COMPUTED_VALUE"""),34376898)</f>
        <v>34376898</v>
      </c>
    </row>
    <row r="1284" customFormat="false" ht="15.75" hidden="false" customHeight="false" outlineLevel="0" collapsed="false">
      <c r="A1284" s="6" t="n">
        <f aca="false">IFERROR(__xludf.dummyfunction("""COMPUTED_VALUE"""),46064.6666666667)</f>
        <v>46064.6666666667</v>
      </c>
      <c r="B1284" s="5" t="n">
        <f aca="false">IFERROR(__xludf.dummyfunction("""COMPUTED_VALUE"""),274.7)</f>
        <v>274.7</v>
      </c>
      <c r="C1284" s="5" t="n">
        <f aca="false">IFERROR(__xludf.dummyfunction("""COMPUTED_VALUE"""),280.18)</f>
        <v>280.18</v>
      </c>
      <c r="D1284" s="5" t="n">
        <f aca="false">IFERROR(__xludf.dummyfunction("""COMPUTED_VALUE"""),274.45)</f>
        <v>274.45</v>
      </c>
      <c r="E1284" s="5" t="n">
        <f aca="false">IFERROR(__xludf.dummyfunction("""COMPUTED_VALUE"""),275.5)</f>
        <v>275.5</v>
      </c>
      <c r="F1284" s="5" t="n">
        <f aca="false">IFERROR(__xludf.dummyfunction("""COMPUTED_VALUE"""),51931283)</f>
        <v>51931283</v>
      </c>
    </row>
    <row r="1285" customFormat="false" ht="15.75" hidden="false" customHeight="false" outlineLevel="0" collapsed="false">
      <c r="A1285" s="6" t="n">
        <f aca="false">IFERROR(__xludf.dummyfunction("""COMPUTED_VALUE"""),46065.6666666667)</f>
        <v>46065.6666666667</v>
      </c>
      <c r="B1285" s="5" t="n">
        <f aca="false">IFERROR(__xludf.dummyfunction("""COMPUTED_VALUE"""),275.59)</f>
        <v>275.59</v>
      </c>
      <c r="C1285" s="5" t="n">
        <f aca="false">IFERROR(__xludf.dummyfunction("""COMPUTED_VALUE"""),275.72)</f>
        <v>275.72</v>
      </c>
      <c r="D1285" s="5" t="n">
        <f aca="false">IFERROR(__xludf.dummyfunction("""COMPUTED_VALUE"""),260.18)</f>
        <v>260.18</v>
      </c>
      <c r="E1285" s="5" t="n">
        <f aca="false">IFERROR(__xludf.dummyfunction("""COMPUTED_VALUE"""),261.73)</f>
        <v>261.73</v>
      </c>
      <c r="F1285" s="5" t="n">
        <f aca="false">IFERROR(__xludf.dummyfunction("""COMPUTED_VALUE"""),81077229)</f>
        <v>81077229</v>
      </c>
    </row>
    <row r="1286" customFormat="false" ht="15.75" hidden="false" customHeight="false" outlineLevel="0" collapsed="false">
      <c r="A1286" s="6" t="n">
        <f aca="false">IFERROR(__xludf.dummyfunction("""COMPUTED_VALUE"""),46066.6666666667)</f>
        <v>46066.6666666667</v>
      </c>
      <c r="B1286" s="5" t="n">
        <f aca="false">IFERROR(__xludf.dummyfunction("""COMPUTED_VALUE"""),262.01)</f>
        <v>262.01</v>
      </c>
      <c r="C1286" s="5" t="n">
        <f aca="false">IFERROR(__xludf.dummyfunction("""COMPUTED_VALUE"""),262.23)</f>
        <v>262.23</v>
      </c>
      <c r="D1286" s="5" t="n">
        <f aca="false">IFERROR(__xludf.dummyfunction("""COMPUTED_VALUE"""),255.45)</f>
        <v>255.45</v>
      </c>
      <c r="E1286" s="5" t="n">
        <f aca="false">IFERROR(__xludf.dummyfunction("""COMPUTED_VALUE"""),255.78)</f>
        <v>255.78</v>
      </c>
      <c r="F1286" s="5" t="n">
        <f aca="false">IFERROR(__xludf.dummyfunction("""COMPUTED_VALUE"""),56290673)</f>
        <v>56290673</v>
      </c>
    </row>
    <row r="1287" customFormat="false" ht="15.75" hidden="false" customHeight="false" outlineLevel="0" collapsed="false">
      <c r="A1287" s="6" t="n">
        <f aca="false">IFERROR(__xludf.dummyfunction("""COMPUTED_VALUE"""),46070.6666666667)</f>
        <v>46070.6666666667</v>
      </c>
      <c r="B1287" s="5" t="n">
        <f aca="false">IFERROR(__xludf.dummyfunction("""COMPUTED_VALUE"""),258.05)</f>
        <v>258.05</v>
      </c>
      <c r="C1287" s="5" t="n">
        <f aca="false">IFERROR(__xludf.dummyfunction("""COMPUTED_VALUE"""),266.29)</f>
        <v>266.29</v>
      </c>
      <c r="D1287" s="5" t="n">
        <f aca="false">IFERROR(__xludf.dummyfunction("""COMPUTED_VALUE"""),255.54)</f>
        <v>255.54</v>
      </c>
      <c r="E1287" s="5" t="n">
        <f aca="false">IFERROR(__xludf.dummyfunction("""COMPUTED_VALUE"""),263.88)</f>
        <v>263.88</v>
      </c>
      <c r="F1287" s="5" t="n">
        <f aca="false">IFERROR(__xludf.dummyfunction("""COMPUTED_VALUE"""),58469094)</f>
        <v>58469094</v>
      </c>
    </row>
    <row r="1288" customFormat="false" ht="15.75" hidden="false" customHeight="false" outlineLevel="0" collapsed="false">
      <c r="A1288" s="6" t="n">
        <f aca="false">IFERROR(__xludf.dummyfunction("""COMPUTED_VALUE"""),46071.6666666667)</f>
        <v>46071.6666666667</v>
      </c>
      <c r="B1288" s="5" t="n">
        <f aca="false">IFERROR(__xludf.dummyfunction("""COMPUTED_VALUE"""),263.6)</f>
        <v>263.6</v>
      </c>
      <c r="C1288" s="5" t="n">
        <f aca="false">IFERROR(__xludf.dummyfunction("""COMPUTED_VALUE"""),266.82)</f>
        <v>266.82</v>
      </c>
      <c r="D1288" s="5" t="n">
        <f aca="false">IFERROR(__xludf.dummyfunction("""COMPUTED_VALUE"""),262.45)</f>
        <v>262.45</v>
      </c>
      <c r="E1288" s="5" t="n">
        <f aca="false">IFERROR(__xludf.dummyfunction("""COMPUTED_VALUE"""),264.35)</f>
        <v>264.35</v>
      </c>
      <c r="F1288" s="5" t="n">
        <f aca="false">IFERROR(__xludf.dummyfunction("""COMPUTED_VALUE"""),34203337)</f>
        <v>34203337</v>
      </c>
    </row>
    <row r="1289" customFormat="false" ht="15.75" hidden="false" customHeight="false" outlineLevel="0" collapsed="false">
      <c r="A1289" s="6" t="n">
        <f aca="false">IFERROR(__xludf.dummyfunction("""COMPUTED_VALUE"""),46072.6666666667)</f>
        <v>46072.6666666667</v>
      </c>
      <c r="B1289" s="5" t="n">
        <f aca="false">IFERROR(__xludf.dummyfunction("""COMPUTED_VALUE"""),262.6)</f>
        <v>262.6</v>
      </c>
      <c r="C1289" s="5" t="n">
        <f aca="false">IFERROR(__xludf.dummyfunction("""COMPUTED_VALUE"""),264.48)</f>
        <v>264.48</v>
      </c>
      <c r="D1289" s="5" t="n">
        <f aca="false">IFERROR(__xludf.dummyfunction("""COMPUTED_VALUE"""),260.05)</f>
        <v>260.05</v>
      </c>
      <c r="E1289" s="5" t="n">
        <f aca="false">IFERROR(__xludf.dummyfunction("""COMPUTED_VALUE"""),260.58)</f>
        <v>260.58</v>
      </c>
      <c r="F1289" s="5" t="n">
        <f aca="false">IFERROR(__xludf.dummyfunction("""COMPUTED_VALUE"""),30845294)</f>
        <v>30845294</v>
      </c>
    </row>
    <row r="1290" customFormat="false" ht="15.75" hidden="false" customHeight="false" outlineLevel="0" collapsed="false">
      <c r="A1290" s="6" t="n">
        <f aca="false">IFERROR(__xludf.dummyfunction("""COMPUTED_VALUE"""),46073.6666666667)</f>
        <v>46073.6666666667</v>
      </c>
      <c r="B1290" s="5" t="n">
        <f aca="false">IFERROR(__xludf.dummyfunction("""COMPUTED_VALUE"""),258.97)</f>
        <v>258.97</v>
      </c>
      <c r="C1290" s="5" t="n">
        <f aca="false">IFERROR(__xludf.dummyfunction("""COMPUTED_VALUE"""),264.75)</f>
        <v>264.75</v>
      </c>
      <c r="D1290" s="5" t="n">
        <f aca="false">IFERROR(__xludf.dummyfunction("""COMPUTED_VALUE"""),258.16)</f>
        <v>258.16</v>
      </c>
      <c r="E1290" s="5" t="n">
        <f aca="false">IFERROR(__xludf.dummyfunction("""COMPUTED_VALUE"""),264.58)</f>
        <v>264.58</v>
      </c>
      <c r="F1290" s="5" t="n">
        <f aca="false">IFERROR(__xludf.dummyfunction("""COMPUTED_VALUE"""),42070499)</f>
        <v>42070499</v>
      </c>
    </row>
    <row r="1291" customFormat="false" ht="15.75" hidden="false" customHeight="false" outlineLevel="0" collapsed="false">
      <c r="A1291" s="6" t="n">
        <f aca="false">IFERROR(__xludf.dummyfunction("""COMPUTED_VALUE"""),46076.6666666667)</f>
        <v>46076.6666666667</v>
      </c>
      <c r="B1291" s="5" t="n">
        <f aca="false">IFERROR(__xludf.dummyfunction("""COMPUTED_VALUE"""),263.49)</f>
        <v>263.49</v>
      </c>
      <c r="C1291" s="5" t="n">
        <f aca="false">IFERROR(__xludf.dummyfunction("""COMPUTED_VALUE"""),269.43)</f>
        <v>269.43</v>
      </c>
      <c r="D1291" s="5" t="n">
        <f aca="false">IFERROR(__xludf.dummyfunction("""COMPUTED_VALUE"""),263.38)</f>
        <v>263.38</v>
      </c>
      <c r="E1291" s="5" t="n">
        <f aca="false">IFERROR(__xludf.dummyfunction("""COMPUTED_VALUE"""),266.18)</f>
        <v>266.18</v>
      </c>
      <c r="F1291" s="5" t="n">
        <f aca="false">IFERROR(__xludf.dummyfunction("""COMPUTED_VALUE"""),37037423)</f>
        <v>37037423</v>
      </c>
    </row>
    <row r="1292" customFormat="false" ht="15.75" hidden="false" customHeight="false" outlineLevel="0" collapsed="false">
      <c r="A1292" s="6" t="n">
        <f aca="false">IFERROR(__xludf.dummyfunction("""COMPUTED_VALUE"""),46077.6666666667)</f>
        <v>46077.6666666667</v>
      </c>
      <c r="B1292" s="5" t="n">
        <f aca="false">IFERROR(__xludf.dummyfunction("""COMPUTED_VALUE"""),267.86)</f>
        <v>267.86</v>
      </c>
      <c r="C1292" s="5" t="n">
        <f aca="false">IFERROR(__xludf.dummyfunction("""COMPUTED_VALUE"""),274.89)</f>
        <v>274.89</v>
      </c>
      <c r="D1292" s="5" t="n">
        <f aca="false">IFERROR(__xludf.dummyfunction("""COMPUTED_VALUE"""),267.71)</f>
        <v>267.71</v>
      </c>
      <c r="E1292" s="5" t="n">
        <f aca="false">IFERROR(__xludf.dummyfunction("""COMPUTED_VALUE"""),272.14)</f>
        <v>272.14</v>
      </c>
      <c r="F1292" s="5" t="n">
        <f aca="false">IFERROR(__xludf.dummyfunction("""COMPUTED_VALUE"""),46640212)</f>
        <v>46640212</v>
      </c>
    </row>
    <row r="1293" customFormat="false" ht="15.75" hidden="false" customHeight="false" outlineLevel="0" collapsed="false">
      <c r="A1293" s="6" t="n">
        <f aca="false">IFERROR(__xludf.dummyfunction("""COMPUTED_VALUE"""),46078.6666666667)</f>
        <v>46078.6666666667</v>
      </c>
      <c r="B1293" s="5" t="n">
        <f aca="false">IFERROR(__xludf.dummyfunction("""COMPUTED_VALUE"""),271.78)</f>
        <v>271.78</v>
      </c>
      <c r="C1293" s="5" t="n">
        <f aca="false">IFERROR(__xludf.dummyfunction("""COMPUTED_VALUE"""),274.94)</f>
        <v>274.94</v>
      </c>
      <c r="D1293" s="5" t="n">
        <f aca="false">IFERROR(__xludf.dummyfunction("""COMPUTED_VALUE"""),271.05)</f>
        <v>271.05</v>
      </c>
      <c r="E1293" s="5" t="n">
        <f aca="false">IFERROR(__xludf.dummyfunction("""COMPUTED_VALUE"""),274.23)</f>
        <v>274.23</v>
      </c>
      <c r="F1293" s="5" t="n">
        <f aca="false">IFERROR(__xludf.dummyfunction("""COMPUTED_VALUE"""),32901326)</f>
        <v>32901326</v>
      </c>
    </row>
    <row r="1294" customFormat="false" ht="15.75" hidden="false" customHeight="false" outlineLevel="0" collapsed="false">
      <c r="A1294" s="6" t="n">
        <f aca="false">IFERROR(__xludf.dummyfunction("""COMPUTED_VALUE"""),46079.6666666667)</f>
        <v>46079.6666666667</v>
      </c>
      <c r="B1294" s="5" t="n">
        <f aca="false">IFERROR(__xludf.dummyfunction("""COMPUTED_VALUE"""),274.95)</f>
        <v>274.95</v>
      </c>
      <c r="C1294" s="5" t="n">
        <f aca="false">IFERROR(__xludf.dummyfunction("""COMPUTED_VALUE"""),276.11)</f>
        <v>276.11</v>
      </c>
      <c r="D1294" s="5" t="n">
        <f aca="false">IFERROR(__xludf.dummyfunction("""COMPUTED_VALUE"""),270.8)</f>
        <v>270.8</v>
      </c>
      <c r="E1294" s="5" t="n">
        <f aca="false">IFERROR(__xludf.dummyfunction("""COMPUTED_VALUE"""),272.95)</f>
        <v>272.95</v>
      </c>
      <c r="F1294" s="5" t="n">
        <f aca="false">IFERROR(__xludf.dummyfunction("""COMPUTED_VALUE"""),32020158)</f>
        <v>32020158</v>
      </c>
    </row>
    <row r="1295" customFormat="false" ht="15.75" hidden="false" customHeight="false" outlineLevel="0" collapsed="false">
      <c r="A1295" s="6" t="n">
        <f aca="false">IFERROR(__xludf.dummyfunction("""COMPUTED_VALUE"""),46080.6666666667)</f>
        <v>46080.6666666667</v>
      </c>
      <c r="B1295" s="5" t="n">
        <f aca="false">IFERROR(__xludf.dummyfunction("""COMPUTED_VALUE"""),272.81)</f>
        <v>272.81</v>
      </c>
      <c r="C1295" s="5" t="n">
        <f aca="false">IFERROR(__xludf.dummyfunction("""COMPUTED_VALUE"""),272.81)</f>
        <v>272.81</v>
      </c>
      <c r="D1295" s="5" t="n">
        <f aca="false">IFERROR(__xludf.dummyfunction("""COMPUTED_VALUE"""),262.89)</f>
        <v>262.89</v>
      </c>
      <c r="E1295" s="5" t="n">
        <f aca="false">IFERROR(__xludf.dummyfunction("""COMPUTED_VALUE"""),264.18)</f>
        <v>264.18</v>
      </c>
      <c r="F1295" s="5" t="n">
        <f aca="false">IFERROR(__xludf.dummyfunction("""COMPUTED_VALUE"""),71865217)</f>
        <v>71865217</v>
      </c>
    </row>
    <row r="1296" customFormat="false" ht="15.75" hidden="false" customHeight="false" outlineLevel="0" collapsed="false">
      <c r="A1296" s="6" t="n">
        <f aca="false">IFERROR(__xludf.dummyfunction("""COMPUTED_VALUE"""),46083.6666666667)</f>
        <v>46083.6666666667</v>
      </c>
      <c r="B1296" s="5" t="n">
        <f aca="false">IFERROR(__xludf.dummyfunction("""COMPUTED_VALUE"""),262.41)</f>
        <v>262.41</v>
      </c>
      <c r="C1296" s="5" t="n">
        <f aca="false">IFERROR(__xludf.dummyfunction("""COMPUTED_VALUE"""),266.53)</f>
        <v>266.53</v>
      </c>
      <c r="D1296" s="5" t="n">
        <f aca="false">IFERROR(__xludf.dummyfunction("""COMPUTED_VALUE"""),260.2)</f>
        <v>260.2</v>
      </c>
      <c r="E1296" s="5" t="n">
        <f aca="false">IFERROR(__xludf.dummyfunction("""COMPUTED_VALUE"""),264.72)</f>
        <v>264.72</v>
      </c>
      <c r="F1296" s="5" t="n">
        <f aca="false">IFERROR(__xludf.dummyfunction("""COMPUTED_VALUE"""),310775)</f>
        <v>310775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3.65234375" defaultRowHeight="15.75" customHeight="true" zeroHeight="false" outlineLevelRow="0" outlineLevelCol="0"/>
  <cols>
    <col collapsed="false" customWidth="false" hidden="false" outlineLevel="0" max="16384" min="1" style="1" width="23.65"/>
  </cols>
  <sheetData>
    <row r="1" customFormat="false" ht="15.75" hidden="false" customHeight="false" outlineLevel="0" collapsed="false">
      <c r="A1" s="2" t="str">
        <f aca="false">IFERROR(__xludf.dummyfunction("GOOGLEFINANCE(""GOOGL"" , ""ALL"" , DATE(2021,1,1) , TODAY())"),"Date")</f>
        <v>Date</v>
      </c>
      <c r="B1" s="2" t="str">
        <f aca="false">IFERROR(__xludf.dummyfunction("""COMPUTED_VALUE"""),"Open")</f>
        <v>Open</v>
      </c>
      <c r="C1" s="2" t="str">
        <f aca="false">IFERROR(__xludf.dummyfunction("""COMPUTED_VALUE"""),"High")</f>
        <v>High</v>
      </c>
      <c r="D1" s="2" t="str">
        <f aca="false">IFERROR(__xludf.dummyfunction("""COMPUTED_VALUE"""),"Low")</f>
        <v>Low</v>
      </c>
      <c r="E1" s="2" t="str">
        <f aca="false">IFERROR(__xludf.dummyfunction("""COMPUTED_VALUE"""),"Close")</f>
        <v>Close</v>
      </c>
      <c r="F1" s="2" t="str">
        <f aca="false">IFERROR(__xludf.dummyfunction("""COMPUTED_VALUE"""),"Volume")</f>
        <v>Volume</v>
      </c>
    </row>
    <row r="2" customFormat="false" ht="15.75" hidden="false" customHeight="false" outlineLevel="0" collapsed="false">
      <c r="A2" s="3" t="n">
        <f aca="false">IFERROR(__xludf.dummyfunction("""COMPUTED_VALUE"""),44200.6666666667)</f>
        <v>44200.6666666667</v>
      </c>
      <c r="B2" s="2" t="n">
        <f aca="false">IFERROR(__xludf.dummyfunction("""COMPUTED_VALUE"""),88)</f>
        <v>88</v>
      </c>
      <c r="C2" s="2" t="n">
        <f aca="false">IFERROR(__xludf.dummyfunction("""COMPUTED_VALUE"""),88.12)</f>
        <v>88.12</v>
      </c>
      <c r="D2" s="2" t="n">
        <f aca="false">IFERROR(__xludf.dummyfunction("""COMPUTED_VALUE"""),85.36)</f>
        <v>85.36</v>
      </c>
      <c r="E2" s="2" t="n">
        <f aca="false">IFERROR(__xludf.dummyfunction("""COMPUTED_VALUE"""),86.31)</f>
        <v>86.31</v>
      </c>
      <c r="F2" s="2" t="n">
        <f aca="false">IFERROR(__xludf.dummyfunction("""COMPUTED_VALUE"""),1866195)</f>
        <v>1866195</v>
      </c>
    </row>
    <row r="3" customFormat="false" ht="15.75" hidden="false" customHeight="false" outlineLevel="0" collapsed="false">
      <c r="A3" s="3" t="n">
        <f aca="false">IFERROR(__xludf.dummyfunction("""COMPUTED_VALUE"""),44201.6666666667)</f>
        <v>44201.6666666667</v>
      </c>
      <c r="B3" s="2" t="n">
        <f aca="false">IFERROR(__xludf.dummyfunction("""COMPUTED_VALUE"""),86.25)</f>
        <v>86.25</v>
      </c>
      <c r="C3" s="2" t="n">
        <f aca="false">IFERROR(__xludf.dummyfunction("""COMPUTED_VALUE"""),87.34)</f>
        <v>87.34</v>
      </c>
      <c r="D3" s="2" t="n">
        <f aca="false">IFERROR(__xludf.dummyfunction("""COMPUTED_VALUE"""),85.85)</f>
        <v>85.85</v>
      </c>
      <c r="E3" s="2" t="n">
        <f aca="false">IFERROR(__xludf.dummyfunction("""COMPUTED_VALUE"""),87)</f>
        <v>87</v>
      </c>
      <c r="F3" s="2" t="n">
        <f aca="false">IFERROR(__xludf.dummyfunction("""COMPUTED_VALUE"""),1017962)</f>
        <v>1017962</v>
      </c>
    </row>
    <row r="4" customFormat="false" ht="15.75" hidden="false" customHeight="false" outlineLevel="0" collapsed="false">
      <c r="A4" s="3" t="n">
        <f aca="false">IFERROR(__xludf.dummyfunction("""COMPUTED_VALUE"""),44202.6666666667)</f>
        <v>44202.6666666667</v>
      </c>
      <c r="B4" s="2" t="n">
        <f aca="false">IFERROR(__xludf.dummyfunction("""COMPUTED_VALUE"""),85.01)</f>
        <v>85.01</v>
      </c>
      <c r="C4" s="2" t="n">
        <f aca="false">IFERROR(__xludf.dummyfunction("""COMPUTED_VALUE"""),87.2)</f>
        <v>87.2</v>
      </c>
      <c r="D4" s="2" t="n">
        <f aca="false">IFERROR(__xludf.dummyfunction("""COMPUTED_VALUE"""),84.81)</f>
        <v>84.81</v>
      </c>
      <c r="E4" s="2" t="n">
        <f aca="false">IFERROR(__xludf.dummyfunction("""COMPUTED_VALUE"""),86.14)</f>
        <v>86.14</v>
      </c>
      <c r="F4" s="2" t="n">
        <f aca="false">IFERROR(__xludf.dummyfunction("""COMPUTED_VALUE"""),2329401)</f>
        <v>2329401</v>
      </c>
    </row>
    <row r="5" customFormat="false" ht="15.75" hidden="false" customHeight="false" outlineLevel="0" collapsed="false">
      <c r="A5" s="3" t="n">
        <f aca="false">IFERROR(__xludf.dummyfunction("""COMPUTED_VALUE"""),44203.6666666667)</f>
        <v>44203.6666666667</v>
      </c>
      <c r="B5" s="2" t="n">
        <f aca="false">IFERROR(__xludf.dummyfunction("""COMPUTED_VALUE"""),86.34)</f>
        <v>86.34</v>
      </c>
      <c r="C5" s="2" t="n">
        <f aca="false">IFERROR(__xludf.dummyfunction("""COMPUTED_VALUE"""),88.89)</f>
        <v>88.89</v>
      </c>
      <c r="D5" s="2" t="n">
        <f aca="false">IFERROR(__xludf.dummyfunction("""COMPUTED_VALUE"""),86.34)</f>
        <v>86.34</v>
      </c>
      <c r="E5" s="2" t="n">
        <f aca="false">IFERROR(__xludf.dummyfunction("""COMPUTED_VALUE"""),88.72)</f>
        <v>88.72</v>
      </c>
      <c r="F5" s="2" t="n">
        <f aca="false">IFERROR(__xludf.dummyfunction("""COMPUTED_VALUE"""),2096829)</f>
        <v>2096829</v>
      </c>
    </row>
    <row r="6" customFormat="false" ht="15.75" hidden="false" customHeight="false" outlineLevel="0" collapsed="false">
      <c r="A6" s="3" t="n">
        <f aca="false">IFERROR(__xludf.dummyfunction("""COMPUTED_VALUE"""),44204.6666666667)</f>
        <v>44204.6666666667</v>
      </c>
      <c r="B6" s="2" t="n">
        <f aca="false">IFERROR(__xludf.dummyfunction("""COMPUTED_VALUE"""),88.86)</f>
        <v>88.86</v>
      </c>
      <c r="C6" s="2" t="n">
        <f aca="false">IFERROR(__xludf.dummyfunction("""COMPUTED_VALUE"""),89.97)</f>
        <v>89.97</v>
      </c>
      <c r="D6" s="2" t="n">
        <f aca="false">IFERROR(__xludf.dummyfunction("""COMPUTED_VALUE"""),88.06)</f>
        <v>88.06</v>
      </c>
      <c r="E6" s="2" t="n">
        <f aca="false">IFERROR(__xludf.dummyfunction("""COMPUTED_VALUE"""),89.89)</f>
        <v>89.89</v>
      </c>
      <c r="F6" s="2" t="n">
        <f aca="false">IFERROR(__xludf.dummyfunction("""COMPUTED_VALUE"""),1774226)</f>
        <v>1774226</v>
      </c>
    </row>
    <row r="7" customFormat="false" ht="15.75" hidden="false" customHeight="false" outlineLevel="0" collapsed="false">
      <c r="A7" s="3" t="n">
        <f aca="false">IFERROR(__xludf.dummyfunction("""COMPUTED_VALUE"""),44207.6666666667)</f>
        <v>44207.6666666667</v>
      </c>
      <c r="B7" s="2" t="n">
        <f aca="false">IFERROR(__xludf.dummyfunction("""COMPUTED_VALUE"""),88.85)</f>
        <v>88.85</v>
      </c>
      <c r="C7" s="2" t="n">
        <f aca="false">IFERROR(__xludf.dummyfunction("""COMPUTED_VALUE"""),89.22)</f>
        <v>89.22</v>
      </c>
      <c r="D7" s="2" t="n">
        <f aca="false">IFERROR(__xludf.dummyfunction("""COMPUTED_VALUE"""),87.61)</f>
        <v>87.61</v>
      </c>
      <c r="E7" s="2" t="n">
        <f aca="false">IFERROR(__xludf.dummyfunction("""COMPUTED_VALUE"""),87.81)</f>
        <v>87.81</v>
      </c>
      <c r="F7" s="2" t="n">
        <f aca="false">IFERROR(__xludf.dummyfunction("""COMPUTED_VALUE"""),1740618)</f>
        <v>1740618</v>
      </c>
    </row>
    <row r="8" customFormat="false" ht="15.75" hidden="false" customHeight="false" outlineLevel="0" collapsed="false">
      <c r="A8" s="3" t="n">
        <f aca="false">IFERROR(__xludf.dummyfunction("""COMPUTED_VALUE"""),44208.6666666667)</f>
        <v>44208.6666666667</v>
      </c>
      <c r="B8" s="2" t="n">
        <f aca="false">IFERROR(__xludf.dummyfunction("""COMPUTED_VALUE"""),87.27)</f>
        <v>87.27</v>
      </c>
      <c r="C8" s="2" t="n">
        <f aca="false">IFERROR(__xludf.dummyfunction("""COMPUTED_VALUE"""),88.4)</f>
        <v>88.4</v>
      </c>
      <c r="D8" s="2" t="n">
        <f aca="false">IFERROR(__xludf.dummyfunction("""COMPUTED_VALUE"""),85.82)</f>
        <v>85.82</v>
      </c>
      <c r="E8" s="2" t="n">
        <f aca="false">IFERROR(__xludf.dummyfunction("""COMPUTED_VALUE"""),86.87)</f>
        <v>86.87</v>
      </c>
      <c r="F8" s="2" t="n">
        <f aca="false">IFERROR(__xludf.dummyfunction("""COMPUTED_VALUE"""),1476715)</f>
        <v>1476715</v>
      </c>
    </row>
    <row r="9" customFormat="false" ht="15.75" hidden="false" customHeight="false" outlineLevel="0" collapsed="false">
      <c r="A9" s="3" t="n">
        <f aca="false">IFERROR(__xludf.dummyfunction("""COMPUTED_VALUE"""),44209.6666666667)</f>
        <v>44209.6666666667</v>
      </c>
      <c r="B9" s="2" t="n">
        <f aca="false">IFERROR(__xludf.dummyfunction("""COMPUTED_VALUE"""),86.37)</f>
        <v>86.37</v>
      </c>
      <c r="C9" s="2" t="n">
        <f aca="false">IFERROR(__xludf.dummyfunction("""COMPUTED_VALUE"""),87.82)</f>
        <v>87.82</v>
      </c>
      <c r="D9" s="2" t="n">
        <f aca="false">IFERROR(__xludf.dummyfunction("""COMPUTED_VALUE"""),86.37)</f>
        <v>86.37</v>
      </c>
      <c r="E9" s="2" t="n">
        <f aca="false">IFERROR(__xludf.dummyfunction("""COMPUTED_VALUE"""),87.36)</f>
        <v>87.36</v>
      </c>
      <c r="F9" s="2" t="n">
        <f aca="false">IFERROR(__xludf.dummyfunction("""COMPUTED_VALUE"""),1171590)</f>
        <v>1171590</v>
      </c>
    </row>
    <row r="10" customFormat="false" ht="15.75" hidden="false" customHeight="false" outlineLevel="0" collapsed="false">
      <c r="A10" s="3" t="n">
        <f aca="false">IFERROR(__xludf.dummyfunction("""COMPUTED_VALUE"""),44210.6666666667)</f>
        <v>44210.6666666667</v>
      </c>
      <c r="B10" s="2" t="n">
        <f aca="false">IFERROR(__xludf.dummyfunction("""COMPUTED_VALUE"""),87.44)</f>
        <v>87.44</v>
      </c>
      <c r="C10" s="2" t="n">
        <f aca="false">IFERROR(__xludf.dummyfunction("""COMPUTED_VALUE"""),88.38)</f>
        <v>88.38</v>
      </c>
      <c r="D10" s="2" t="n">
        <f aca="false">IFERROR(__xludf.dummyfunction("""COMPUTED_VALUE"""),86.3)</f>
        <v>86.3</v>
      </c>
      <c r="E10" s="2" t="n">
        <f aca="false">IFERROR(__xludf.dummyfunction("""COMPUTED_VALUE"""),86.55)</f>
        <v>86.55</v>
      </c>
      <c r="F10" s="2" t="n">
        <f aca="false">IFERROR(__xludf.dummyfunction("""COMPUTED_VALUE"""),1460617)</f>
        <v>1460617</v>
      </c>
    </row>
    <row r="11" customFormat="false" ht="15.75" hidden="false" customHeight="false" outlineLevel="0" collapsed="false">
      <c r="A11" s="3" t="n">
        <f aca="false">IFERROR(__xludf.dummyfunction("""COMPUTED_VALUE"""),44211.6666666667)</f>
        <v>44211.6666666667</v>
      </c>
      <c r="B11" s="2" t="n">
        <f aca="false">IFERROR(__xludf.dummyfunction("""COMPUTED_VALUE"""),86.45)</f>
        <v>86.45</v>
      </c>
      <c r="C11" s="2" t="n">
        <f aca="false">IFERROR(__xludf.dummyfunction("""COMPUTED_VALUE"""),87.38)</f>
        <v>87.38</v>
      </c>
      <c r="D11" s="2" t="n">
        <f aca="false">IFERROR(__xludf.dummyfunction("""COMPUTED_VALUE"""),85.59)</f>
        <v>85.59</v>
      </c>
      <c r="E11" s="2" t="n">
        <f aca="false">IFERROR(__xludf.dummyfunction("""COMPUTED_VALUE"""),86.38)</f>
        <v>86.38</v>
      </c>
      <c r="F11" s="2" t="n">
        <f aca="false">IFERROR(__xludf.dummyfunction("""COMPUTED_VALUE"""),1572214)</f>
        <v>1572214</v>
      </c>
    </row>
    <row r="12" customFormat="false" ht="15.75" hidden="false" customHeight="false" outlineLevel="0" collapsed="false">
      <c r="A12" s="3" t="n">
        <f aca="false">IFERROR(__xludf.dummyfunction("""COMPUTED_VALUE"""),44215.6666666667)</f>
        <v>44215.6666666667</v>
      </c>
      <c r="B12" s="2" t="n">
        <f aca="false">IFERROR(__xludf.dummyfunction("""COMPUTED_VALUE"""),87.15)</f>
        <v>87.15</v>
      </c>
      <c r="C12" s="2" t="n">
        <f aca="false">IFERROR(__xludf.dummyfunction("""COMPUTED_VALUE"""),90.19)</f>
        <v>90.19</v>
      </c>
      <c r="D12" s="2" t="n">
        <f aca="false">IFERROR(__xludf.dummyfunction("""COMPUTED_VALUE"""),86.64)</f>
        <v>86.64</v>
      </c>
      <c r="E12" s="2" t="n">
        <f aca="false">IFERROR(__xludf.dummyfunction("""COMPUTED_VALUE"""),89.22)</f>
        <v>89.22</v>
      </c>
      <c r="F12" s="2" t="n">
        <f aca="false">IFERROR(__xludf.dummyfunction("""COMPUTED_VALUE"""),2082951)</f>
        <v>2082951</v>
      </c>
    </row>
    <row r="13" customFormat="false" ht="15.75" hidden="false" customHeight="false" outlineLevel="0" collapsed="false">
      <c r="A13" s="3" t="n">
        <f aca="false">IFERROR(__xludf.dummyfunction("""COMPUTED_VALUE"""),44216.6666666667)</f>
        <v>44216.6666666667</v>
      </c>
      <c r="B13" s="2" t="n">
        <f aca="false">IFERROR(__xludf.dummyfunction("""COMPUTED_VALUE"""),91.32)</f>
        <v>91.32</v>
      </c>
      <c r="C13" s="2" t="n">
        <f aca="false">IFERROR(__xludf.dummyfunction("""COMPUTED_VALUE"""),94.99)</f>
        <v>94.99</v>
      </c>
      <c r="D13" s="2" t="n">
        <f aca="false">IFERROR(__xludf.dummyfunction("""COMPUTED_VALUE"""),90.98)</f>
        <v>90.98</v>
      </c>
      <c r="E13" s="2" t="n">
        <f aca="false">IFERROR(__xludf.dummyfunction("""COMPUTED_VALUE"""),94)</f>
        <v>94</v>
      </c>
      <c r="F13" s="2" t="n">
        <f aca="false">IFERROR(__xludf.dummyfunction("""COMPUTED_VALUE"""),3207570)</f>
        <v>3207570</v>
      </c>
    </row>
    <row r="14" customFormat="false" ht="15.75" hidden="false" customHeight="false" outlineLevel="0" collapsed="false">
      <c r="A14" s="3" t="n">
        <f aca="false">IFERROR(__xludf.dummyfunction("""COMPUTED_VALUE"""),44217.6666666667)</f>
        <v>44217.6666666667</v>
      </c>
      <c r="B14" s="2" t="n">
        <f aca="false">IFERROR(__xludf.dummyfunction("""COMPUTED_VALUE"""),94.68)</f>
        <v>94.68</v>
      </c>
      <c r="C14" s="2" t="n">
        <f aca="false">IFERROR(__xludf.dummyfunction("""COMPUTED_VALUE"""),96.6)</f>
        <v>96.6</v>
      </c>
      <c r="D14" s="2" t="n">
        <f aca="false">IFERROR(__xludf.dummyfunction("""COMPUTED_VALUE"""),93.97)</f>
        <v>93.97</v>
      </c>
      <c r="E14" s="2" t="n">
        <f aca="false">IFERROR(__xludf.dummyfunction("""COMPUTED_VALUE"""),94.21)</f>
        <v>94.21</v>
      </c>
      <c r="F14" s="2" t="n">
        <f aca="false">IFERROR(__xludf.dummyfunction("""COMPUTED_VALUE"""),2932973)</f>
        <v>2932973</v>
      </c>
    </row>
    <row r="15" customFormat="false" ht="15.75" hidden="false" customHeight="false" outlineLevel="0" collapsed="false">
      <c r="A15" s="3" t="n">
        <f aca="false">IFERROR(__xludf.dummyfunction("""COMPUTED_VALUE"""),44218.6666666667)</f>
        <v>44218.6666666667</v>
      </c>
      <c r="B15" s="2" t="n">
        <f aca="false">IFERROR(__xludf.dummyfunction("""COMPUTED_VALUE"""),94.57)</f>
        <v>94.57</v>
      </c>
      <c r="C15" s="2" t="n">
        <f aca="false">IFERROR(__xludf.dummyfunction("""COMPUTED_VALUE"""),95.22)</f>
        <v>95.22</v>
      </c>
      <c r="D15" s="2" t="n">
        <f aca="false">IFERROR(__xludf.dummyfunction("""COMPUTED_VALUE"""),93.82)</f>
        <v>93.82</v>
      </c>
      <c r="E15" s="2" t="n">
        <f aca="false">IFERROR(__xludf.dummyfunction("""COMPUTED_VALUE"""),94.63)</f>
        <v>94.63</v>
      </c>
      <c r="F15" s="2" t="n">
        <f aca="false">IFERROR(__xludf.dummyfunction("""COMPUTED_VALUE"""),1637195)</f>
        <v>1637195</v>
      </c>
    </row>
    <row r="16" customFormat="false" ht="15.75" hidden="false" customHeight="false" outlineLevel="0" collapsed="false">
      <c r="A16" s="3" t="n">
        <f aca="false">IFERROR(__xludf.dummyfunction("""COMPUTED_VALUE"""),44221.6666666667)</f>
        <v>44221.6666666667</v>
      </c>
      <c r="B16" s="2" t="n">
        <f aca="false">IFERROR(__xludf.dummyfunction("""COMPUTED_VALUE"""),95.64)</f>
        <v>95.64</v>
      </c>
      <c r="C16" s="2" t="n">
        <f aca="false">IFERROR(__xludf.dummyfunction("""COMPUTED_VALUE"""),96.09)</f>
        <v>96.09</v>
      </c>
      <c r="D16" s="2" t="n">
        <f aca="false">IFERROR(__xludf.dummyfunction("""COMPUTED_VALUE"""),92.96)</f>
        <v>92.96</v>
      </c>
      <c r="E16" s="2" t="n">
        <f aca="false">IFERROR(__xludf.dummyfunction("""COMPUTED_VALUE"""),94.71)</f>
        <v>94.71</v>
      </c>
      <c r="F16" s="2" t="n">
        <f aca="false">IFERROR(__xludf.dummyfunction("""COMPUTED_VALUE"""),2529346)</f>
        <v>2529346</v>
      </c>
    </row>
    <row r="17" customFormat="false" ht="15.75" hidden="false" customHeight="false" outlineLevel="0" collapsed="false">
      <c r="A17" s="3" t="n">
        <f aca="false">IFERROR(__xludf.dummyfunction("""COMPUTED_VALUE"""),44222.6666666667)</f>
        <v>44222.6666666667</v>
      </c>
      <c r="B17" s="2" t="n">
        <f aca="false">IFERROR(__xludf.dummyfunction("""COMPUTED_VALUE"""),94.3)</f>
        <v>94.3</v>
      </c>
      <c r="C17" s="2" t="n">
        <f aca="false">IFERROR(__xludf.dummyfunction("""COMPUTED_VALUE"""),95.79)</f>
        <v>95.79</v>
      </c>
      <c r="D17" s="2" t="n">
        <f aca="false">IFERROR(__xludf.dummyfunction("""COMPUTED_VALUE"""),93.81)</f>
        <v>93.81</v>
      </c>
      <c r="E17" s="2" t="n">
        <f aca="false">IFERROR(__xludf.dummyfunction("""COMPUTED_VALUE"""),95.4)</f>
        <v>95.4</v>
      </c>
      <c r="F17" s="2" t="n">
        <f aca="false">IFERROR(__xludf.dummyfunction("""COMPUTED_VALUE"""),1573078)</f>
        <v>1573078</v>
      </c>
    </row>
    <row r="18" customFormat="false" ht="15.75" hidden="false" customHeight="false" outlineLevel="0" collapsed="false">
      <c r="A18" s="3" t="n">
        <f aca="false">IFERROR(__xludf.dummyfunction("""COMPUTED_VALUE"""),44223.6666666667)</f>
        <v>44223.6666666667</v>
      </c>
      <c r="B18" s="2" t="n">
        <f aca="false">IFERROR(__xludf.dummyfunction("""COMPUTED_VALUE"""),93.75)</f>
        <v>93.75</v>
      </c>
      <c r="C18" s="2" t="n">
        <f aca="false">IFERROR(__xludf.dummyfunction("""COMPUTED_VALUE"""),94.02)</f>
        <v>94.02</v>
      </c>
      <c r="D18" s="2" t="n">
        <f aca="false">IFERROR(__xludf.dummyfunction("""COMPUTED_VALUE"""),89.86)</f>
        <v>89.86</v>
      </c>
      <c r="E18" s="2" t="n">
        <f aca="false">IFERROR(__xludf.dummyfunction("""COMPUTED_VALUE"""),90.95)</f>
        <v>90.95</v>
      </c>
      <c r="F18" s="2" t="n">
        <f aca="false">IFERROR(__xludf.dummyfunction("""COMPUTED_VALUE"""),4125631)</f>
        <v>4125631</v>
      </c>
    </row>
    <row r="19" customFormat="false" ht="15.75" hidden="false" customHeight="false" outlineLevel="0" collapsed="false">
      <c r="A19" s="3" t="n">
        <f aca="false">IFERROR(__xludf.dummyfunction("""COMPUTED_VALUE"""),44224.6666666667)</f>
        <v>44224.6666666667</v>
      </c>
      <c r="B19" s="2" t="n">
        <f aca="false">IFERROR(__xludf.dummyfunction("""COMPUTED_VALUE"""),91.55)</f>
        <v>91.55</v>
      </c>
      <c r="C19" s="2" t="n">
        <f aca="false">IFERROR(__xludf.dummyfunction("""COMPUTED_VALUE"""),94.4)</f>
        <v>94.4</v>
      </c>
      <c r="D19" s="2" t="n">
        <f aca="false">IFERROR(__xludf.dummyfunction("""COMPUTED_VALUE"""),91.55)</f>
        <v>91.55</v>
      </c>
      <c r="E19" s="2" t="n">
        <f aca="false">IFERROR(__xludf.dummyfunction("""COMPUTED_VALUE"""),92.66)</f>
        <v>92.66</v>
      </c>
      <c r="F19" s="2" t="n">
        <f aca="false">IFERROR(__xludf.dummyfunction("""COMPUTED_VALUE"""),2763905)</f>
        <v>2763905</v>
      </c>
    </row>
    <row r="20" customFormat="false" ht="15.75" hidden="false" customHeight="false" outlineLevel="0" collapsed="false">
      <c r="A20" s="3" t="n">
        <f aca="false">IFERROR(__xludf.dummyfunction("""COMPUTED_VALUE"""),44225.6666666667)</f>
        <v>44225.6666666667</v>
      </c>
      <c r="B20" s="2" t="n">
        <f aca="false">IFERROR(__xludf.dummyfunction("""COMPUTED_VALUE"""),91.7)</f>
        <v>91.7</v>
      </c>
      <c r="C20" s="2" t="n">
        <f aca="false">IFERROR(__xludf.dummyfunction("""COMPUTED_VALUE"""),92.38)</f>
        <v>92.38</v>
      </c>
      <c r="D20" s="2" t="n">
        <f aca="false">IFERROR(__xludf.dummyfunction("""COMPUTED_VALUE"""),90.08)</f>
        <v>90.08</v>
      </c>
      <c r="E20" s="2" t="n">
        <f aca="false">IFERROR(__xludf.dummyfunction("""COMPUTED_VALUE"""),91.37)</f>
        <v>91.37</v>
      </c>
      <c r="F20" s="2" t="n">
        <f aca="false">IFERROR(__xludf.dummyfunction("""COMPUTED_VALUE"""),2226509)</f>
        <v>2226509</v>
      </c>
    </row>
    <row r="21" customFormat="false" ht="15.75" hidden="false" customHeight="false" outlineLevel="0" collapsed="false">
      <c r="A21" s="3" t="n">
        <f aca="false">IFERROR(__xludf.dummyfunction("""COMPUTED_VALUE"""),44228.6666666667)</f>
        <v>44228.6666666667</v>
      </c>
      <c r="B21" s="2" t="n">
        <f aca="false">IFERROR(__xludf.dummyfunction("""COMPUTED_VALUE"""),92.23)</f>
        <v>92.23</v>
      </c>
      <c r="C21" s="2" t="n">
        <f aca="false">IFERROR(__xludf.dummyfunction("""COMPUTED_VALUE"""),95.78)</f>
        <v>95.78</v>
      </c>
      <c r="D21" s="2" t="n">
        <f aca="false">IFERROR(__xludf.dummyfunction("""COMPUTED_VALUE"""),92.23)</f>
        <v>92.23</v>
      </c>
      <c r="E21" s="2" t="n">
        <f aca="false">IFERROR(__xludf.dummyfunction("""COMPUTED_VALUE"""),94.65)</f>
        <v>94.65</v>
      </c>
      <c r="F21" s="2" t="n">
        <f aca="false">IFERROR(__xludf.dummyfunction("""COMPUTED_VALUE"""),2012603)</f>
        <v>2012603</v>
      </c>
    </row>
    <row r="22" customFormat="false" ht="15.75" hidden="false" customHeight="false" outlineLevel="0" collapsed="false">
      <c r="A22" s="3" t="n">
        <f aca="false">IFERROR(__xludf.dummyfunction("""COMPUTED_VALUE"""),44229.6666666667)</f>
        <v>44229.6666666667</v>
      </c>
      <c r="B22" s="2" t="n">
        <f aca="false">IFERROR(__xludf.dummyfunction("""COMPUTED_VALUE"""),95.66)</f>
        <v>95.66</v>
      </c>
      <c r="C22" s="2" t="n">
        <f aca="false">IFERROR(__xludf.dummyfunction("""COMPUTED_VALUE"""),97.47)</f>
        <v>97.47</v>
      </c>
      <c r="D22" s="2" t="n">
        <f aca="false">IFERROR(__xludf.dummyfunction("""COMPUTED_VALUE"""),95.32)</f>
        <v>95.32</v>
      </c>
      <c r="E22" s="2" t="n">
        <f aca="false">IFERROR(__xludf.dummyfunction("""COMPUTED_VALUE"""),95.96)</f>
        <v>95.96</v>
      </c>
      <c r="F22" s="2" t="n">
        <f aca="false">IFERROR(__xludf.dummyfunction("""COMPUTED_VALUE"""),3316620)</f>
        <v>3316620</v>
      </c>
    </row>
    <row r="23" customFormat="false" ht="15.75" hidden="false" customHeight="false" outlineLevel="0" collapsed="false">
      <c r="A23" s="3" t="n">
        <f aca="false">IFERROR(__xludf.dummyfunction("""COMPUTED_VALUE"""),44230.6666666667)</f>
        <v>44230.6666666667</v>
      </c>
      <c r="B23" s="2" t="n">
        <f aca="false">IFERROR(__xludf.dummyfunction("""COMPUTED_VALUE"""),103.28)</f>
        <v>103.28</v>
      </c>
      <c r="C23" s="2" t="n">
        <f aca="false">IFERROR(__xludf.dummyfunction("""COMPUTED_VALUE"""),105.33)</f>
        <v>105.33</v>
      </c>
      <c r="D23" s="2" t="n">
        <f aca="false">IFERROR(__xludf.dummyfunction("""COMPUTED_VALUE"""),100.68)</f>
        <v>100.68</v>
      </c>
      <c r="E23" s="2" t="n">
        <f aca="false">IFERROR(__xludf.dummyfunction("""COMPUTED_VALUE"""),102.94)</f>
        <v>102.94</v>
      </c>
      <c r="F23" s="2" t="n">
        <f aca="false">IFERROR(__xludf.dummyfunction("""COMPUTED_VALUE"""),4894082)</f>
        <v>4894082</v>
      </c>
    </row>
    <row r="24" customFormat="false" ht="15.75" hidden="false" customHeight="false" outlineLevel="0" collapsed="false">
      <c r="A24" s="3" t="n">
        <f aca="false">IFERROR(__xludf.dummyfunction("""COMPUTED_VALUE"""),44231.6666666667)</f>
        <v>44231.6666666667</v>
      </c>
      <c r="B24" s="2" t="n">
        <f aca="false">IFERROR(__xludf.dummyfunction("""COMPUTED_VALUE"""),103.03)</f>
        <v>103.03</v>
      </c>
      <c r="C24" s="2" t="n">
        <f aca="false">IFERROR(__xludf.dummyfunction("""COMPUTED_VALUE"""),103.47)</f>
        <v>103.47</v>
      </c>
      <c r="D24" s="2" t="n">
        <f aca="false">IFERROR(__xludf.dummyfunction("""COMPUTED_VALUE"""),101.76)</f>
        <v>101.76</v>
      </c>
      <c r="E24" s="2" t="n">
        <f aca="false">IFERROR(__xludf.dummyfunction("""COMPUTED_VALUE"""),102.68)</f>
        <v>102.68</v>
      </c>
      <c r="F24" s="2" t="n">
        <f aca="false">IFERROR(__xludf.dummyfunction("""COMPUTED_VALUE"""),2429780)</f>
        <v>2429780</v>
      </c>
    </row>
    <row r="25" customFormat="false" ht="15.75" hidden="false" customHeight="false" outlineLevel="0" collapsed="false">
      <c r="A25" s="3" t="n">
        <f aca="false">IFERROR(__xludf.dummyfunction("""COMPUTED_VALUE"""),44232.6666666667)</f>
        <v>44232.6666666667</v>
      </c>
      <c r="B25" s="2" t="n">
        <f aca="false">IFERROR(__xludf.dummyfunction("""COMPUTED_VALUE"""),102.98)</f>
        <v>102.98</v>
      </c>
      <c r="C25" s="2" t="n">
        <f aca="false">IFERROR(__xludf.dummyfunction("""COMPUTED_VALUE"""),104.8)</f>
        <v>104.8</v>
      </c>
      <c r="D25" s="2" t="n">
        <f aca="false">IFERROR(__xludf.dummyfunction("""COMPUTED_VALUE"""),102.5)</f>
        <v>102.5</v>
      </c>
      <c r="E25" s="2" t="n">
        <f aca="false">IFERROR(__xludf.dummyfunction("""COMPUTED_VALUE"""),104.44)</f>
        <v>104.44</v>
      </c>
      <c r="F25" s="2" t="n">
        <f aca="false">IFERROR(__xludf.dummyfunction("""COMPUTED_VALUE"""),1493256)</f>
        <v>1493256</v>
      </c>
    </row>
    <row r="26" customFormat="false" ht="15.75" hidden="false" customHeight="false" outlineLevel="0" collapsed="false">
      <c r="A26" s="3" t="n">
        <f aca="false">IFERROR(__xludf.dummyfunction("""COMPUTED_VALUE"""),44235.6666666667)</f>
        <v>44235.6666666667</v>
      </c>
      <c r="B26" s="2" t="n">
        <f aca="false">IFERROR(__xludf.dummyfunction("""COMPUTED_VALUE"""),105)</f>
        <v>105</v>
      </c>
      <c r="C26" s="2" t="n">
        <f aca="false">IFERROR(__xludf.dummyfunction("""COMPUTED_VALUE"""),105.75)</f>
        <v>105.75</v>
      </c>
      <c r="D26" s="2" t="n">
        <f aca="false">IFERROR(__xludf.dummyfunction("""COMPUTED_VALUE"""),103.17)</f>
        <v>103.17</v>
      </c>
      <c r="E26" s="2" t="n">
        <f aca="false">IFERROR(__xludf.dummyfunction("""COMPUTED_VALUE"""),104.23)</f>
        <v>104.23</v>
      </c>
      <c r="F26" s="2" t="n">
        <f aca="false">IFERROR(__xludf.dummyfunction("""COMPUTED_VALUE"""),1441443)</f>
        <v>1441443</v>
      </c>
    </row>
    <row r="27" customFormat="false" ht="15.75" hidden="false" customHeight="false" outlineLevel="0" collapsed="false">
      <c r="A27" s="3" t="n">
        <f aca="false">IFERROR(__xludf.dummyfunction("""COMPUTED_VALUE"""),44236.6666666667)</f>
        <v>44236.6666666667</v>
      </c>
      <c r="B27" s="2" t="n">
        <f aca="false">IFERROR(__xludf.dummyfunction("""COMPUTED_VALUE"""),103.74)</f>
        <v>103.74</v>
      </c>
      <c r="C27" s="2" t="n">
        <f aca="false">IFERROR(__xludf.dummyfunction("""COMPUTED_VALUE"""),104.93)</f>
        <v>104.93</v>
      </c>
      <c r="D27" s="2" t="n">
        <f aca="false">IFERROR(__xludf.dummyfunction("""COMPUTED_VALUE"""),103.5)</f>
        <v>103.5</v>
      </c>
      <c r="E27" s="2" t="n">
        <f aca="false">IFERROR(__xludf.dummyfunction("""COMPUTED_VALUE"""),103.77)</f>
        <v>103.77</v>
      </c>
      <c r="F27" s="2" t="n">
        <f aca="false">IFERROR(__xludf.dummyfunction("""COMPUTED_VALUE"""),1094583)</f>
        <v>1094583</v>
      </c>
    </row>
    <row r="28" customFormat="false" ht="15.75" hidden="false" customHeight="false" outlineLevel="0" collapsed="false">
      <c r="A28" s="3" t="n">
        <f aca="false">IFERROR(__xludf.dummyfunction("""COMPUTED_VALUE"""),44237.6666666667)</f>
        <v>44237.6666666667</v>
      </c>
      <c r="B28" s="2" t="n">
        <f aca="false">IFERROR(__xludf.dummyfunction("""COMPUTED_VALUE"""),104.16)</f>
        <v>104.16</v>
      </c>
      <c r="C28" s="2" t="n">
        <f aca="false">IFERROR(__xludf.dummyfunction("""COMPUTED_VALUE"""),104.94)</f>
        <v>104.94</v>
      </c>
      <c r="D28" s="2" t="n">
        <f aca="false">IFERROR(__xludf.dummyfunction("""COMPUTED_VALUE"""),102.61)</f>
        <v>102.61</v>
      </c>
      <c r="E28" s="2" t="n">
        <f aca="false">IFERROR(__xludf.dummyfunction("""COMPUTED_VALUE"""),104.32)</f>
        <v>104.32</v>
      </c>
      <c r="F28" s="2" t="n">
        <f aca="false">IFERROR(__xludf.dummyfunction("""COMPUTED_VALUE"""),1255080)</f>
        <v>1255080</v>
      </c>
    </row>
    <row r="29" customFormat="false" ht="15.75" hidden="false" customHeight="false" outlineLevel="0" collapsed="false">
      <c r="A29" s="3" t="n">
        <f aca="false">IFERROR(__xludf.dummyfunction("""COMPUTED_VALUE"""),44238.6666666667)</f>
        <v>44238.6666666667</v>
      </c>
      <c r="B29" s="2" t="n">
        <f aca="false">IFERROR(__xludf.dummyfunction("""COMPUTED_VALUE"""),104.55)</f>
        <v>104.55</v>
      </c>
      <c r="C29" s="2" t="n">
        <f aca="false">IFERROR(__xludf.dummyfunction("""COMPUTED_VALUE"""),104.7)</f>
        <v>104.7</v>
      </c>
      <c r="D29" s="2" t="n">
        <f aca="false">IFERROR(__xludf.dummyfunction("""COMPUTED_VALUE"""),103.44)</f>
        <v>103.44</v>
      </c>
      <c r="E29" s="2" t="n">
        <f aca="false">IFERROR(__xludf.dummyfunction("""COMPUTED_VALUE"""),104.44)</f>
        <v>104.44</v>
      </c>
      <c r="F29" s="2" t="n">
        <f aca="false">IFERROR(__xludf.dummyfunction("""COMPUTED_VALUE"""),1024029)</f>
        <v>1024029</v>
      </c>
    </row>
    <row r="30" customFormat="false" ht="15.75" hidden="false" customHeight="false" outlineLevel="0" collapsed="false">
      <c r="A30" s="3" t="n">
        <f aca="false">IFERROR(__xludf.dummyfunction("""COMPUTED_VALUE"""),44239.6666666667)</f>
        <v>44239.6666666667</v>
      </c>
      <c r="B30" s="2" t="n">
        <f aca="false">IFERROR(__xludf.dummyfunction("""COMPUTED_VALUE"""),103.99)</f>
        <v>103.99</v>
      </c>
      <c r="C30" s="2" t="n">
        <f aca="false">IFERROR(__xludf.dummyfunction("""COMPUTED_VALUE"""),104.98)</f>
        <v>104.98</v>
      </c>
      <c r="D30" s="2" t="n">
        <f aca="false">IFERROR(__xludf.dummyfunction("""COMPUTED_VALUE"""),103.68)</f>
        <v>103.68</v>
      </c>
      <c r="E30" s="2" t="n">
        <f aca="false">IFERROR(__xludf.dummyfunction("""COMPUTED_VALUE"""),104.75)</f>
        <v>104.75</v>
      </c>
      <c r="F30" s="2" t="n">
        <f aca="false">IFERROR(__xludf.dummyfunction("""COMPUTED_VALUE"""),949525)</f>
        <v>949525</v>
      </c>
    </row>
    <row r="31" customFormat="false" ht="15.75" hidden="false" customHeight="false" outlineLevel="0" collapsed="false">
      <c r="A31" s="3" t="n">
        <f aca="false">IFERROR(__xludf.dummyfunction("""COMPUTED_VALUE"""),44243.6666666667)</f>
        <v>44243.6666666667</v>
      </c>
      <c r="B31" s="2" t="n">
        <f aca="false">IFERROR(__xludf.dummyfunction("""COMPUTED_VALUE"""),104.59)</f>
        <v>104.59</v>
      </c>
      <c r="C31" s="2" t="n">
        <f aca="false">IFERROR(__xludf.dummyfunction("""COMPUTED_VALUE"""),107.26)</f>
        <v>107.26</v>
      </c>
      <c r="D31" s="2" t="n">
        <f aca="false">IFERROR(__xludf.dummyfunction("""COMPUTED_VALUE"""),104.59)</f>
        <v>104.59</v>
      </c>
      <c r="E31" s="2" t="n">
        <f aca="false">IFERROR(__xludf.dummyfunction("""COMPUTED_VALUE"""),105.54)</f>
        <v>105.54</v>
      </c>
      <c r="F31" s="2" t="n">
        <f aca="false">IFERROR(__xludf.dummyfunction("""COMPUTED_VALUE"""),1550195)</f>
        <v>1550195</v>
      </c>
    </row>
    <row r="32" customFormat="false" ht="15.75" hidden="false" customHeight="false" outlineLevel="0" collapsed="false">
      <c r="A32" s="3" t="n">
        <f aca="false">IFERROR(__xludf.dummyfunction("""COMPUTED_VALUE"""),44244.6666666667)</f>
        <v>44244.6666666667</v>
      </c>
      <c r="B32" s="2" t="n">
        <f aca="false">IFERROR(__xludf.dummyfunction("""COMPUTED_VALUE"""),104.7)</f>
        <v>104.7</v>
      </c>
      <c r="C32" s="2" t="n">
        <f aca="false">IFERROR(__xludf.dummyfunction("""COMPUTED_VALUE"""),106.12)</f>
        <v>106.12</v>
      </c>
      <c r="D32" s="2" t="n">
        <f aca="false">IFERROR(__xludf.dummyfunction("""COMPUTED_VALUE"""),104.42)</f>
        <v>104.42</v>
      </c>
      <c r="E32" s="2" t="n">
        <f aca="false">IFERROR(__xludf.dummyfunction("""COMPUTED_VALUE"""),105.93)</f>
        <v>105.93</v>
      </c>
      <c r="F32" s="2" t="n">
        <f aca="false">IFERROR(__xludf.dummyfunction("""COMPUTED_VALUE"""),1015177)</f>
        <v>1015177</v>
      </c>
    </row>
    <row r="33" customFormat="false" ht="15.75" hidden="false" customHeight="false" outlineLevel="0" collapsed="false">
      <c r="A33" s="3" t="n">
        <f aca="false">IFERROR(__xludf.dummyfunction("""COMPUTED_VALUE"""),44245.6666666667)</f>
        <v>44245.6666666667</v>
      </c>
      <c r="B33" s="2" t="n">
        <f aca="false">IFERROR(__xludf.dummyfunction("""COMPUTED_VALUE"""),105.25)</f>
        <v>105.25</v>
      </c>
      <c r="C33" s="2" t="n">
        <f aca="false">IFERROR(__xludf.dummyfunction("""COMPUTED_VALUE"""),106.1)</f>
        <v>106.1</v>
      </c>
      <c r="D33" s="2" t="n">
        <f aca="false">IFERROR(__xludf.dummyfunction("""COMPUTED_VALUE"""),104.67)</f>
        <v>104.67</v>
      </c>
      <c r="E33" s="2" t="n">
        <f aca="false">IFERROR(__xludf.dummyfunction("""COMPUTED_VALUE"""),105.29)</f>
        <v>105.29</v>
      </c>
      <c r="F33" s="2" t="n">
        <f aca="false">IFERROR(__xludf.dummyfunction("""COMPUTED_VALUE"""),1128549)</f>
        <v>1128549</v>
      </c>
    </row>
    <row r="34" customFormat="false" ht="15.75" hidden="false" customHeight="false" outlineLevel="0" collapsed="false">
      <c r="A34" s="3" t="n">
        <f aca="false">IFERROR(__xludf.dummyfunction("""COMPUTED_VALUE"""),44246.6666666667)</f>
        <v>44246.6666666667</v>
      </c>
      <c r="B34" s="2" t="n">
        <f aca="false">IFERROR(__xludf.dummyfunction("""COMPUTED_VALUE"""),105.39)</f>
        <v>105.39</v>
      </c>
      <c r="C34" s="2" t="n">
        <f aca="false">IFERROR(__xludf.dummyfunction("""COMPUTED_VALUE"""),105.93)</f>
        <v>105.93</v>
      </c>
      <c r="D34" s="2" t="n">
        <f aca="false">IFERROR(__xludf.dummyfunction("""COMPUTED_VALUE"""),104.17)</f>
        <v>104.17</v>
      </c>
      <c r="E34" s="2" t="n">
        <f aca="false">IFERROR(__xludf.dummyfunction("""COMPUTED_VALUE"""),104.44)</f>
        <v>104.44</v>
      </c>
      <c r="F34" s="2" t="n">
        <f aca="false">IFERROR(__xludf.dummyfunction("""COMPUTED_VALUE"""),1896939)</f>
        <v>1896939</v>
      </c>
    </row>
    <row r="35" customFormat="false" ht="15.75" hidden="false" customHeight="false" outlineLevel="0" collapsed="false">
      <c r="A35" s="3" t="n">
        <f aca="false">IFERROR(__xludf.dummyfunction("""COMPUTED_VALUE"""),44249.6666666667)</f>
        <v>44249.6666666667</v>
      </c>
      <c r="B35" s="2" t="n">
        <f aca="false">IFERROR(__xludf.dummyfunction("""COMPUTED_VALUE"""),102.68)</f>
        <v>102.68</v>
      </c>
      <c r="C35" s="2" t="n">
        <f aca="false">IFERROR(__xludf.dummyfunction("""COMPUTED_VALUE"""),104.02)</f>
        <v>104.02</v>
      </c>
      <c r="D35" s="2" t="n">
        <f aca="false">IFERROR(__xludf.dummyfunction("""COMPUTED_VALUE"""),102.4)</f>
        <v>102.4</v>
      </c>
      <c r="E35" s="2" t="n">
        <f aca="false">IFERROR(__xludf.dummyfunction("""COMPUTED_VALUE"""),102.71)</f>
        <v>102.71</v>
      </c>
      <c r="F35" s="2" t="n">
        <f aca="false">IFERROR(__xludf.dummyfunction("""COMPUTED_VALUE"""),1473317)</f>
        <v>1473317</v>
      </c>
    </row>
    <row r="36" customFormat="false" ht="15.75" hidden="false" customHeight="false" outlineLevel="0" collapsed="false">
      <c r="A36" s="3" t="n">
        <f aca="false">IFERROR(__xludf.dummyfunction("""COMPUTED_VALUE"""),44250.6666666667)</f>
        <v>44250.6666666667</v>
      </c>
      <c r="B36" s="2" t="n">
        <f aca="false">IFERROR(__xludf.dummyfunction("""COMPUTED_VALUE"""),100.7)</f>
        <v>100.7</v>
      </c>
      <c r="C36" s="2" t="n">
        <f aca="false">IFERROR(__xludf.dummyfunction("""COMPUTED_VALUE"""),103.63)</f>
        <v>103.63</v>
      </c>
      <c r="D36" s="2" t="n">
        <f aca="false">IFERROR(__xludf.dummyfunction("""COMPUTED_VALUE"""),99.51)</f>
        <v>99.51</v>
      </c>
      <c r="E36" s="2" t="n">
        <f aca="false">IFERROR(__xludf.dummyfunction("""COMPUTED_VALUE"""),103.01)</f>
        <v>103.01</v>
      </c>
      <c r="F36" s="2" t="n">
        <f aca="false">IFERROR(__xludf.dummyfunction("""COMPUTED_VALUE"""),1732899)</f>
        <v>1732899</v>
      </c>
    </row>
    <row r="37" customFormat="false" ht="15.75" hidden="false" customHeight="false" outlineLevel="0" collapsed="false">
      <c r="A37" s="3" t="n">
        <f aca="false">IFERROR(__xludf.dummyfunction("""COMPUTED_VALUE"""),44251.6666666667)</f>
        <v>44251.6666666667</v>
      </c>
      <c r="B37" s="2" t="n">
        <f aca="false">IFERROR(__xludf.dummyfunction("""COMPUTED_VALUE"""),101.5)</f>
        <v>101.5</v>
      </c>
      <c r="C37" s="2" t="n">
        <f aca="false">IFERROR(__xludf.dummyfunction("""COMPUTED_VALUE"""),104.42)</f>
        <v>104.42</v>
      </c>
      <c r="D37" s="2" t="n">
        <f aca="false">IFERROR(__xludf.dummyfunction("""COMPUTED_VALUE"""),101.38)</f>
        <v>101.38</v>
      </c>
      <c r="E37" s="2" t="n">
        <f aca="false">IFERROR(__xludf.dummyfunction("""COMPUTED_VALUE"""),104.19)</f>
        <v>104.19</v>
      </c>
      <c r="F37" s="2" t="n">
        <f aca="false">IFERROR(__xludf.dummyfunction("""COMPUTED_VALUE"""),1130437)</f>
        <v>1130437</v>
      </c>
    </row>
    <row r="38" customFormat="false" ht="15.75" hidden="false" customHeight="false" outlineLevel="0" collapsed="false">
      <c r="A38" s="3" t="n">
        <f aca="false">IFERROR(__xludf.dummyfunction("""COMPUTED_VALUE"""),44252.6666666667)</f>
        <v>44252.6666666667</v>
      </c>
      <c r="B38" s="2" t="n">
        <f aca="false">IFERROR(__xludf.dummyfunction("""COMPUTED_VALUE"""),102.8)</f>
        <v>102.8</v>
      </c>
      <c r="C38" s="2" t="n">
        <f aca="false">IFERROR(__xludf.dummyfunction("""COMPUTED_VALUE"""),104.15)</f>
        <v>104.15</v>
      </c>
      <c r="D38" s="2" t="n">
        <f aca="false">IFERROR(__xludf.dummyfunction("""COMPUTED_VALUE"""),100.32)</f>
        <v>100.32</v>
      </c>
      <c r="E38" s="2" t="n">
        <f aca="false">IFERROR(__xludf.dummyfunction("""COMPUTED_VALUE"""),100.8)</f>
        <v>100.8</v>
      </c>
      <c r="F38" s="2" t="n">
        <f aca="false">IFERROR(__xludf.dummyfunction("""COMPUTED_VALUE"""),2077409)</f>
        <v>2077409</v>
      </c>
    </row>
    <row r="39" customFormat="false" ht="15.75" hidden="false" customHeight="false" outlineLevel="0" collapsed="false">
      <c r="A39" s="3" t="n">
        <f aca="false">IFERROR(__xludf.dummyfunction("""COMPUTED_VALUE"""),44253.6666666667)</f>
        <v>44253.6666666667</v>
      </c>
      <c r="B39" s="2" t="n">
        <f aca="false">IFERROR(__xludf.dummyfunction("""COMPUTED_VALUE"""),101.5)</f>
        <v>101.5</v>
      </c>
      <c r="C39" s="2" t="n">
        <f aca="false">IFERROR(__xludf.dummyfunction("""COMPUTED_VALUE"""),102.83)</f>
        <v>102.83</v>
      </c>
      <c r="D39" s="2" t="n">
        <f aca="false">IFERROR(__xludf.dummyfunction("""COMPUTED_VALUE"""),100.05)</f>
        <v>100.05</v>
      </c>
      <c r="E39" s="2" t="n">
        <f aca="false">IFERROR(__xludf.dummyfunction("""COMPUTED_VALUE"""),101.1)</f>
        <v>101.1</v>
      </c>
      <c r="F39" s="2" t="n">
        <f aca="false">IFERROR(__xludf.dummyfunction("""COMPUTED_VALUE"""),2002064)</f>
        <v>2002064</v>
      </c>
    </row>
    <row r="40" customFormat="false" ht="15.75" hidden="false" customHeight="false" outlineLevel="0" collapsed="false">
      <c r="A40" s="3" t="n">
        <f aca="false">IFERROR(__xludf.dummyfunction("""COMPUTED_VALUE"""),44256.6666666667)</f>
        <v>44256.6666666667</v>
      </c>
      <c r="B40" s="2" t="n">
        <f aca="false">IFERROR(__xludf.dummyfunction("""COMPUTED_VALUE"""),102.4)</f>
        <v>102.4</v>
      </c>
      <c r="C40" s="2" t="n">
        <f aca="false">IFERROR(__xludf.dummyfunction("""COMPUTED_VALUE"""),103.81)</f>
        <v>103.81</v>
      </c>
      <c r="D40" s="2" t="n">
        <f aca="false">IFERROR(__xludf.dummyfunction("""COMPUTED_VALUE"""),101.72)</f>
        <v>101.72</v>
      </c>
      <c r="E40" s="2" t="n">
        <f aca="false">IFERROR(__xludf.dummyfunction("""COMPUTED_VALUE"""),103.48)</f>
        <v>103.48</v>
      </c>
      <c r="F40" s="2" t="n">
        <f aca="false">IFERROR(__xludf.dummyfunction("""COMPUTED_VALUE"""),1303089)</f>
        <v>1303089</v>
      </c>
    </row>
    <row r="41" customFormat="false" ht="15.75" hidden="false" customHeight="false" outlineLevel="0" collapsed="false">
      <c r="A41" s="3" t="n">
        <f aca="false">IFERROR(__xludf.dummyfunction("""COMPUTED_VALUE"""),44257.6666666667)</f>
        <v>44257.6666666667</v>
      </c>
      <c r="B41" s="2" t="n">
        <f aca="false">IFERROR(__xludf.dummyfunction("""COMPUTED_VALUE"""),103.24)</f>
        <v>103.24</v>
      </c>
      <c r="C41" s="2" t="n">
        <f aca="false">IFERROR(__xludf.dummyfunction("""COMPUTED_VALUE"""),104.74)</f>
        <v>104.74</v>
      </c>
      <c r="D41" s="2" t="n">
        <f aca="false">IFERROR(__xludf.dummyfunction("""COMPUTED_VALUE"""),102.83)</f>
        <v>102.83</v>
      </c>
      <c r="E41" s="2" t="n">
        <f aca="false">IFERROR(__xludf.dummyfunction("""COMPUTED_VALUE"""),103.22)</f>
        <v>103.22</v>
      </c>
      <c r="F41" s="2" t="n">
        <f aca="false">IFERROR(__xludf.dummyfunction("""COMPUTED_VALUE"""),1278184)</f>
        <v>1278184</v>
      </c>
    </row>
    <row r="42" customFormat="false" ht="15.75" hidden="false" customHeight="false" outlineLevel="0" collapsed="false">
      <c r="A42" s="3" t="n">
        <f aca="false">IFERROR(__xludf.dummyfunction("""COMPUTED_VALUE"""),44258.6666666667)</f>
        <v>44258.6666666667</v>
      </c>
      <c r="B42" s="2" t="n">
        <f aca="false">IFERROR(__xludf.dummyfunction("""COMPUTED_VALUE"""),102.6)</f>
        <v>102.6</v>
      </c>
      <c r="C42" s="2" t="n">
        <f aca="false">IFERROR(__xludf.dummyfunction("""COMPUTED_VALUE"""),103.8)</f>
        <v>103.8</v>
      </c>
      <c r="D42" s="2" t="n">
        <f aca="false">IFERROR(__xludf.dummyfunction("""COMPUTED_VALUE"""),99.7)</f>
        <v>99.7</v>
      </c>
      <c r="E42" s="2" t="n">
        <f aca="false">IFERROR(__xludf.dummyfunction("""COMPUTED_VALUE"""),100.57)</f>
        <v>100.57</v>
      </c>
      <c r="F42" s="2" t="n">
        <f aca="false">IFERROR(__xludf.dummyfunction("""COMPUTED_VALUE"""),1694645)</f>
        <v>1694645</v>
      </c>
    </row>
    <row r="43" customFormat="false" ht="15.75" hidden="false" customHeight="false" outlineLevel="0" collapsed="false">
      <c r="A43" s="3" t="n">
        <f aca="false">IFERROR(__xludf.dummyfunction("""COMPUTED_VALUE"""),44259.6666666667)</f>
        <v>44259.6666666667</v>
      </c>
      <c r="B43" s="2" t="n">
        <f aca="false">IFERROR(__xludf.dummyfunction("""COMPUTED_VALUE"""),100.74)</f>
        <v>100.74</v>
      </c>
      <c r="C43" s="2" t="n">
        <f aca="false">IFERROR(__xludf.dummyfunction("""COMPUTED_VALUE"""),103.73)</f>
        <v>103.73</v>
      </c>
      <c r="D43" s="2" t="n">
        <f aca="false">IFERROR(__xludf.dummyfunction("""COMPUTED_VALUE"""),100.27)</f>
        <v>100.27</v>
      </c>
      <c r="E43" s="2" t="n">
        <f aca="false">IFERROR(__xludf.dummyfunction("""COMPUTED_VALUE"""),101.7)</f>
        <v>101.7</v>
      </c>
      <c r="F43" s="2" t="n">
        <f aca="false">IFERROR(__xludf.dummyfunction("""COMPUTED_VALUE"""),2460786)</f>
        <v>2460786</v>
      </c>
    </row>
    <row r="44" customFormat="false" ht="15.75" hidden="false" customHeight="false" outlineLevel="0" collapsed="false">
      <c r="A44" s="3" t="n">
        <f aca="false">IFERROR(__xludf.dummyfunction("""COMPUTED_VALUE"""),44260.6666666667)</f>
        <v>44260.6666666667</v>
      </c>
      <c r="B44" s="2" t="n">
        <f aca="false">IFERROR(__xludf.dummyfunction("""COMPUTED_VALUE"""),103.06)</f>
        <v>103.06</v>
      </c>
      <c r="C44" s="2" t="n">
        <f aca="false">IFERROR(__xludf.dummyfunction("""COMPUTED_VALUE"""),105.31)</f>
        <v>105.31</v>
      </c>
      <c r="D44" s="2" t="n">
        <f aca="false">IFERROR(__xludf.dummyfunction("""COMPUTED_VALUE"""),101.39)</f>
        <v>101.39</v>
      </c>
      <c r="E44" s="2" t="n">
        <f aca="false">IFERROR(__xludf.dummyfunction("""COMPUTED_VALUE"""),104.85)</f>
        <v>104.85</v>
      </c>
      <c r="F44" s="2" t="n">
        <f aca="false">IFERROR(__xludf.dummyfunction("""COMPUTED_VALUE"""),2654977)</f>
        <v>2654977</v>
      </c>
    </row>
    <row r="45" customFormat="false" ht="15.75" hidden="false" customHeight="false" outlineLevel="0" collapsed="false">
      <c r="A45" s="3" t="n">
        <f aca="false">IFERROR(__xludf.dummyfunction("""COMPUTED_VALUE"""),44263.6666666667)</f>
        <v>44263.6666666667</v>
      </c>
      <c r="B45" s="2" t="n">
        <f aca="false">IFERROR(__xludf.dummyfunction("""COMPUTED_VALUE"""),104.2)</f>
        <v>104.2</v>
      </c>
      <c r="C45" s="2" t="n">
        <f aca="false">IFERROR(__xludf.dummyfunction("""COMPUTED_VALUE"""),105.69)</f>
        <v>105.69</v>
      </c>
      <c r="D45" s="2" t="n">
        <f aca="false">IFERROR(__xludf.dummyfunction("""COMPUTED_VALUE"""),100.26)</f>
        <v>100.26</v>
      </c>
      <c r="E45" s="2" t="n">
        <f aca="false">IFERROR(__xludf.dummyfunction("""COMPUTED_VALUE"""),100.38)</f>
        <v>100.38</v>
      </c>
      <c r="F45" s="2" t="n">
        <f aca="false">IFERROR(__xludf.dummyfunction("""COMPUTED_VALUE"""),1843371)</f>
        <v>1843371</v>
      </c>
    </row>
    <row r="46" customFormat="false" ht="15.75" hidden="false" customHeight="false" outlineLevel="0" collapsed="false">
      <c r="A46" s="3" t="n">
        <f aca="false">IFERROR(__xludf.dummyfunction("""COMPUTED_VALUE"""),44264.6666666667)</f>
        <v>44264.6666666667</v>
      </c>
      <c r="B46" s="2" t="n">
        <f aca="false">IFERROR(__xludf.dummyfunction("""COMPUTED_VALUE"""),102.49)</f>
        <v>102.49</v>
      </c>
      <c r="C46" s="2" t="n">
        <f aca="false">IFERROR(__xludf.dummyfunction("""COMPUTED_VALUE"""),103.2)</f>
        <v>103.2</v>
      </c>
      <c r="D46" s="2" t="n">
        <f aca="false">IFERROR(__xludf.dummyfunction("""COMPUTED_VALUE"""),101.78)</f>
        <v>101.78</v>
      </c>
      <c r="E46" s="2" t="n">
        <f aca="false">IFERROR(__xludf.dummyfunction("""COMPUTED_VALUE"""),102.02)</f>
        <v>102.02</v>
      </c>
      <c r="F46" s="2" t="n">
        <f aca="false">IFERROR(__xludf.dummyfunction("""COMPUTED_VALUE"""),1696031)</f>
        <v>1696031</v>
      </c>
    </row>
    <row r="47" customFormat="false" ht="15.75" hidden="false" customHeight="false" outlineLevel="0" collapsed="false">
      <c r="A47" s="3" t="n">
        <f aca="false">IFERROR(__xludf.dummyfunction("""COMPUTED_VALUE"""),44265.6666666667)</f>
        <v>44265.6666666667</v>
      </c>
      <c r="B47" s="2" t="n">
        <f aca="false">IFERROR(__xludf.dummyfunction("""COMPUTED_VALUE"""),103.07)</f>
        <v>103.07</v>
      </c>
      <c r="C47" s="2" t="n">
        <f aca="false">IFERROR(__xludf.dummyfunction("""COMPUTED_VALUE"""),103.07)</f>
        <v>103.07</v>
      </c>
      <c r="D47" s="2" t="n">
        <f aca="false">IFERROR(__xludf.dummyfunction("""COMPUTED_VALUE"""),100.97)</f>
        <v>100.97</v>
      </c>
      <c r="E47" s="2" t="n">
        <f aca="false">IFERROR(__xludf.dummyfunction("""COMPUTED_VALUE"""),101.81)</f>
        <v>101.81</v>
      </c>
      <c r="F47" s="2" t="n">
        <f aca="false">IFERROR(__xludf.dummyfunction("""COMPUTED_VALUE"""),1355004)</f>
        <v>1355004</v>
      </c>
    </row>
    <row r="48" customFormat="false" ht="15.75" hidden="false" customHeight="false" outlineLevel="0" collapsed="false">
      <c r="A48" s="3" t="n">
        <f aca="false">IFERROR(__xludf.dummyfunction("""COMPUTED_VALUE"""),44266.6666666667)</f>
        <v>44266.6666666667</v>
      </c>
      <c r="B48" s="2" t="n">
        <f aca="false">IFERROR(__xludf.dummyfunction("""COMPUTED_VALUE"""),102.91)</f>
        <v>102.91</v>
      </c>
      <c r="C48" s="2" t="n">
        <f aca="false">IFERROR(__xludf.dummyfunction("""COMPUTED_VALUE"""),105.56)</f>
        <v>105.56</v>
      </c>
      <c r="D48" s="2" t="n">
        <f aca="false">IFERROR(__xludf.dummyfunction("""COMPUTED_VALUE"""),102.82)</f>
        <v>102.82</v>
      </c>
      <c r="E48" s="2" t="n">
        <f aca="false">IFERROR(__xludf.dummyfunction("""COMPUTED_VALUE"""),105.03)</f>
        <v>105.03</v>
      </c>
      <c r="F48" s="2" t="n">
        <f aca="false">IFERROR(__xludf.dummyfunction("""COMPUTED_VALUE"""),1385130)</f>
        <v>1385130</v>
      </c>
    </row>
    <row r="49" customFormat="false" ht="15.75" hidden="false" customHeight="false" outlineLevel="0" collapsed="false">
      <c r="A49" s="3" t="n">
        <f aca="false">IFERROR(__xludf.dummyfunction("""COMPUTED_VALUE"""),44267.6666666667)</f>
        <v>44267.6666666667</v>
      </c>
      <c r="B49" s="2" t="n">
        <f aca="false">IFERROR(__xludf.dummyfunction("""COMPUTED_VALUE"""),103.82)</f>
        <v>103.82</v>
      </c>
      <c r="C49" s="2" t="n">
        <f aca="false">IFERROR(__xludf.dummyfunction("""COMPUTED_VALUE"""),103.88)</f>
        <v>103.88</v>
      </c>
      <c r="D49" s="2" t="n">
        <f aca="false">IFERROR(__xludf.dummyfunction("""COMPUTED_VALUE"""),101.62)</f>
        <v>101.62</v>
      </c>
      <c r="E49" s="2" t="n">
        <f aca="false">IFERROR(__xludf.dummyfunction("""COMPUTED_VALUE"""),102.5)</f>
        <v>102.5</v>
      </c>
      <c r="F49" s="2" t="n">
        <f aca="false">IFERROR(__xludf.dummyfunction("""COMPUTED_VALUE"""),1690899)</f>
        <v>1690899</v>
      </c>
    </row>
    <row r="50" customFormat="false" ht="15.75" hidden="false" customHeight="false" outlineLevel="0" collapsed="false">
      <c r="A50" s="3" t="n">
        <f aca="false">IFERROR(__xludf.dummyfunction("""COMPUTED_VALUE"""),44270.6666666667)</f>
        <v>44270.6666666667</v>
      </c>
      <c r="B50" s="2" t="n">
        <f aca="false">IFERROR(__xludf.dummyfunction("""COMPUTED_VALUE"""),102.25)</f>
        <v>102.25</v>
      </c>
      <c r="C50" s="2" t="n">
        <f aca="false">IFERROR(__xludf.dummyfunction("""COMPUTED_VALUE"""),102.75)</f>
        <v>102.75</v>
      </c>
      <c r="D50" s="2" t="n">
        <f aca="false">IFERROR(__xludf.dummyfunction("""COMPUTED_VALUE"""),101.39)</f>
        <v>101.39</v>
      </c>
      <c r="E50" s="2" t="n">
        <f aca="false">IFERROR(__xludf.dummyfunction("""COMPUTED_VALUE"""),102.72)</f>
        <v>102.72</v>
      </c>
      <c r="F50" s="2" t="n">
        <f aca="false">IFERROR(__xludf.dummyfunction("""COMPUTED_VALUE"""),1310741)</f>
        <v>1310741</v>
      </c>
    </row>
    <row r="51" customFormat="false" ht="15.75" hidden="false" customHeight="false" outlineLevel="0" collapsed="false">
      <c r="A51" s="3" t="n">
        <f aca="false">IFERROR(__xludf.dummyfunction("""COMPUTED_VALUE"""),44271.6666666667)</f>
        <v>44271.6666666667</v>
      </c>
      <c r="B51" s="2" t="n">
        <f aca="false">IFERROR(__xludf.dummyfunction("""COMPUTED_VALUE"""),103.3)</f>
        <v>103.3</v>
      </c>
      <c r="C51" s="2" t="n">
        <f aca="false">IFERROR(__xludf.dummyfunction("""COMPUTED_VALUE"""),105.68)</f>
        <v>105.68</v>
      </c>
      <c r="D51" s="2" t="n">
        <f aca="false">IFERROR(__xludf.dummyfunction("""COMPUTED_VALUE"""),102.96)</f>
        <v>102.96</v>
      </c>
      <c r="E51" s="2" t="n">
        <f aca="false">IFERROR(__xludf.dummyfunction("""COMPUTED_VALUE"""),104.19)</f>
        <v>104.19</v>
      </c>
      <c r="F51" s="2" t="n">
        <f aca="false">IFERROR(__xludf.dummyfunction("""COMPUTED_VALUE"""),1595015)</f>
        <v>1595015</v>
      </c>
    </row>
    <row r="52" customFormat="false" ht="15.75" hidden="false" customHeight="false" outlineLevel="0" collapsed="false">
      <c r="A52" s="3" t="n">
        <f aca="false">IFERROR(__xludf.dummyfunction("""COMPUTED_VALUE"""),44272.6666666667)</f>
        <v>44272.6666666667</v>
      </c>
      <c r="B52" s="2" t="n">
        <f aca="false">IFERROR(__xludf.dummyfunction("""COMPUTED_VALUE"""),103.42)</f>
        <v>103.42</v>
      </c>
      <c r="C52" s="2" t="n">
        <f aca="false">IFERROR(__xludf.dummyfunction("""COMPUTED_VALUE"""),104.95)</f>
        <v>104.95</v>
      </c>
      <c r="D52" s="2" t="n">
        <f aca="false">IFERROR(__xludf.dummyfunction("""COMPUTED_VALUE"""),102.21)</f>
        <v>102.21</v>
      </c>
      <c r="E52" s="2" t="n">
        <f aca="false">IFERROR(__xludf.dummyfunction("""COMPUTED_VALUE"""),104.11)</f>
        <v>104.11</v>
      </c>
      <c r="F52" s="2" t="n">
        <f aca="false">IFERROR(__xludf.dummyfunction("""COMPUTED_VALUE"""),1319126)</f>
        <v>1319126</v>
      </c>
    </row>
    <row r="53" customFormat="false" ht="15.75" hidden="false" customHeight="false" outlineLevel="0" collapsed="false">
      <c r="A53" s="3" t="n">
        <f aca="false">IFERROR(__xludf.dummyfunction("""COMPUTED_VALUE"""),44273.6666666667)</f>
        <v>44273.6666666667</v>
      </c>
      <c r="B53" s="2" t="n">
        <f aca="false">IFERROR(__xludf.dummyfunction("""COMPUTED_VALUE"""),102.41)</f>
        <v>102.41</v>
      </c>
      <c r="C53" s="2" t="n">
        <f aca="false">IFERROR(__xludf.dummyfunction("""COMPUTED_VALUE"""),103.44)</f>
        <v>103.44</v>
      </c>
      <c r="D53" s="2" t="n">
        <f aca="false">IFERROR(__xludf.dummyfunction("""COMPUTED_VALUE"""),100.96)</f>
        <v>100.96</v>
      </c>
      <c r="E53" s="2" t="n">
        <f aca="false">IFERROR(__xludf.dummyfunction("""COMPUTED_VALUE"""),101.07)</f>
        <v>101.07</v>
      </c>
      <c r="F53" s="2" t="n">
        <f aca="false">IFERROR(__xludf.dummyfunction("""COMPUTED_VALUE"""),1585648)</f>
        <v>1585648</v>
      </c>
    </row>
    <row r="54" customFormat="false" ht="15.75" hidden="false" customHeight="false" outlineLevel="0" collapsed="false">
      <c r="A54" s="3" t="n">
        <f aca="false">IFERROR(__xludf.dummyfunction("""COMPUTED_VALUE"""),44274.6666666667)</f>
        <v>44274.6666666667</v>
      </c>
      <c r="B54" s="2" t="n">
        <f aca="false">IFERROR(__xludf.dummyfunction("""COMPUTED_VALUE"""),101.49)</f>
        <v>101.49</v>
      </c>
      <c r="C54" s="2" t="n">
        <f aca="false">IFERROR(__xludf.dummyfunction("""COMPUTED_VALUE"""),101.85)</f>
        <v>101.85</v>
      </c>
      <c r="D54" s="2" t="n">
        <f aca="false">IFERROR(__xludf.dummyfunction("""COMPUTED_VALUE"""),100.15)</f>
        <v>100.15</v>
      </c>
      <c r="E54" s="2" t="n">
        <f aca="false">IFERROR(__xludf.dummyfunction("""COMPUTED_VALUE"""),101.35)</f>
        <v>101.35</v>
      </c>
      <c r="F54" s="2" t="n">
        <f aca="false">IFERROR(__xludf.dummyfunction("""COMPUTED_VALUE"""),2303596)</f>
        <v>2303596</v>
      </c>
    </row>
    <row r="55" customFormat="false" ht="15.75" hidden="false" customHeight="false" outlineLevel="0" collapsed="false">
      <c r="A55" s="3" t="n">
        <f aca="false">IFERROR(__xludf.dummyfunction("""COMPUTED_VALUE"""),44277.6666666667)</f>
        <v>44277.6666666667</v>
      </c>
      <c r="B55" s="2" t="n">
        <f aca="false">IFERROR(__xludf.dummyfunction("""COMPUTED_VALUE"""),101.38)</f>
        <v>101.38</v>
      </c>
      <c r="C55" s="2" t="n">
        <f aca="false">IFERROR(__xludf.dummyfunction("""COMPUTED_VALUE"""),102.42)</f>
        <v>102.42</v>
      </c>
      <c r="D55" s="2" t="n">
        <f aca="false">IFERROR(__xludf.dummyfunction("""COMPUTED_VALUE"""),100.7)</f>
        <v>100.7</v>
      </c>
      <c r="E55" s="2" t="n">
        <f aca="false">IFERROR(__xludf.dummyfunction("""COMPUTED_VALUE"""),101.53)</f>
        <v>101.53</v>
      </c>
      <c r="F55" s="2" t="n">
        <f aca="false">IFERROR(__xludf.dummyfunction("""COMPUTED_VALUE"""),1676771)</f>
        <v>1676771</v>
      </c>
    </row>
    <row r="56" customFormat="false" ht="15.75" hidden="false" customHeight="false" outlineLevel="0" collapsed="false">
      <c r="A56" s="3" t="n">
        <f aca="false">IFERROR(__xludf.dummyfunction("""COMPUTED_VALUE"""),44278.6666666667)</f>
        <v>44278.6666666667</v>
      </c>
      <c r="B56" s="2" t="n">
        <f aca="false">IFERROR(__xludf.dummyfunction("""COMPUTED_VALUE"""),102)</f>
        <v>102</v>
      </c>
      <c r="C56" s="2" t="n">
        <f aca="false">IFERROR(__xludf.dummyfunction("""COMPUTED_VALUE"""),103.21)</f>
        <v>103.21</v>
      </c>
      <c r="D56" s="2" t="n">
        <f aca="false">IFERROR(__xludf.dummyfunction("""COMPUTED_VALUE"""),101.4)</f>
        <v>101.4</v>
      </c>
      <c r="E56" s="2" t="n">
        <f aca="false">IFERROR(__xludf.dummyfunction("""COMPUTED_VALUE"""),102.07)</f>
        <v>102.07</v>
      </c>
      <c r="F56" s="2" t="n">
        <f aca="false">IFERROR(__xludf.dummyfunction("""COMPUTED_VALUE"""),1425456)</f>
        <v>1425456</v>
      </c>
    </row>
    <row r="57" customFormat="false" ht="15.75" hidden="false" customHeight="false" outlineLevel="0" collapsed="false">
      <c r="A57" s="3" t="n">
        <f aca="false">IFERROR(__xludf.dummyfunction("""COMPUTED_VALUE"""),44279.6666666667)</f>
        <v>44279.6666666667</v>
      </c>
      <c r="B57" s="2" t="n">
        <f aca="false">IFERROR(__xludf.dummyfunction("""COMPUTED_VALUE"""),102.59)</f>
        <v>102.59</v>
      </c>
      <c r="C57" s="2" t="n">
        <f aca="false">IFERROR(__xludf.dummyfunction("""COMPUTED_VALUE"""),103.38)</f>
        <v>103.38</v>
      </c>
      <c r="D57" s="2" t="n">
        <f aca="false">IFERROR(__xludf.dummyfunction("""COMPUTED_VALUE"""),101.45)</f>
        <v>101.45</v>
      </c>
      <c r="E57" s="2" t="n">
        <f aca="false">IFERROR(__xludf.dummyfunction("""COMPUTED_VALUE"""),101.63)</f>
        <v>101.63</v>
      </c>
      <c r="F57" s="2" t="n">
        <f aca="false">IFERROR(__xludf.dummyfunction("""COMPUTED_VALUE"""),1260853)</f>
        <v>1260853</v>
      </c>
    </row>
    <row r="58" customFormat="false" ht="15.75" hidden="false" customHeight="false" outlineLevel="0" collapsed="false">
      <c r="A58" s="3" t="n">
        <f aca="false">IFERROR(__xludf.dummyfunction("""COMPUTED_VALUE"""),44280.6666666667)</f>
        <v>44280.6666666667</v>
      </c>
      <c r="B58" s="2" t="n">
        <f aca="false">IFERROR(__xludf.dummyfunction("""COMPUTED_VALUE"""),101.45)</f>
        <v>101.45</v>
      </c>
      <c r="C58" s="2" t="n">
        <f aca="false">IFERROR(__xludf.dummyfunction("""COMPUTED_VALUE"""),102.28)</f>
        <v>102.28</v>
      </c>
      <c r="D58" s="2" t="n">
        <f aca="false">IFERROR(__xludf.dummyfunction("""COMPUTED_VALUE"""),99.8)</f>
        <v>99.8</v>
      </c>
      <c r="E58" s="2" t="n">
        <f aca="false">IFERROR(__xludf.dummyfunction("""COMPUTED_VALUE"""),101.62)</f>
        <v>101.62</v>
      </c>
      <c r="F58" s="2" t="n">
        <f aca="false">IFERROR(__xludf.dummyfunction("""COMPUTED_VALUE"""),1780787)</f>
        <v>1780787</v>
      </c>
    </row>
    <row r="59" customFormat="false" ht="15.75" hidden="false" customHeight="false" outlineLevel="0" collapsed="false">
      <c r="A59" s="3" t="n">
        <f aca="false">IFERROR(__xludf.dummyfunction("""COMPUTED_VALUE"""),44281.6666666667)</f>
        <v>44281.6666666667</v>
      </c>
      <c r="B59" s="2" t="n">
        <f aca="false">IFERROR(__xludf.dummyfunction("""COMPUTED_VALUE"""),101.59)</f>
        <v>101.59</v>
      </c>
      <c r="C59" s="2" t="n">
        <f aca="false">IFERROR(__xludf.dummyfunction("""COMPUTED_VALUE"""),101.97)</f>
        <v>101.97</v>
      </c>
      <c r="D59" s="2" t="n">
        <f aca="false">IFERROR(__xludf.dummyfunction("""COMPUTED_VALUE"""),100.19)</f>
        <v>100.19</v>
      </c>
      <c r="E59" s="2" t="n">
        <f aca="false">IFERROR(__xludf.dummyfunction("""COMPUTED_VALUE"""),101.24)</f>
        <v>101.24</v>
      </c>
      <c r="F59" s="2" t="n">
        <f aca="false">IFERROR(__xludf.dummyfunction("""COMPUTED_VALUE"""),1398875)</f>
        <v>1398875</v>
      </c>
    </row>
    <row r="60" customFormat="false" ht="15.75" hidden="false" customHeight="false" outlineLevel="0" collapsed="false">
      <c r="A60" s="3" t="n">
        <f aca="false">IFERROR(__xludf.dummyfunction("""COMPUTED_VALUE"""),44284.6666666667)</f>
        <v>44284.6666666667</v>
      </c>
      <c r="B60" s="2" t="n">
        <f aca="false">IFERROR(__xludf.dummyfunction("""COMPUTED_VALUE"""),101.11)</f>
        <v>101.11</v>
      </c>
      <c r="C60" s="2" t="n">
        <f aca="false">IFERROR(__xludf.dummyfunction("""COMPUTED_VALUE"""),102.46)</f>
        <v>102.46</v>
      </c>
      <c r="D60" s="2" t="n">
        <f aca="false">IFERROR(__xludf.dummyfunction("""COMPUTED_VALUE"""),100.27)</f>
        <v>100.27</v>
      </c>
      <c r="E60" s="2" t="n">
        <f aca="false">IFERROR(__xludf.dummyfunction("""COMPUTED_VALUE"""),102.29)</f>
        <v>102.29</v>
      </c>
      <c r="F60" s="2" t="n">
        <f aca="false">IFERROR(__xludf.dummyfunction("""COMPUTED_VALUE"""),1324631)</f>
        <v>1324631</v>
      </c>
    </row>
    <row r="61" customFormat="false" ht="15.75" hidden="false" customHeight="false" outlineLevel="0" collapsed="false">
      <c r="A61" s="3" t="n">
        <f aca="false">IFERROR(__xludf.dummyfunction("""COMPUTED_VALUE"""),44285.6666666667)</f>
        <v>44285.6666666667</v>
      </c>
      <c r="B61" s="2" t="n">
        <f aca="false">IFERROR(__xludf.dummyfunction("""COMPUTED_VALUE"""),102.65)</f>
        <v>102.65</v>
      </c>
      <c r="C61" s="2" t="n">
        <f aca="false">IFERROR(__xludf.dummyfunction("""COMPUTED_VALUE"""),103.13)</f>
        <v>103.13</v>
      </c>
      <c r="D61" s="2" t="n">
        <f aca="false">IFERROR(__xludf.dummyfunction("""COMPUTED_VALUE"""),101.81)</f>
        <v>101.81</v>
      </c>
      <c r="E61" s="2" t="n">
        <f aca="false">IFERROR(__xludf.dummyfunction("""COMPUTED_VALUE"""),102.32)</f>
        <v>102.32</v>
      </c>
      <c r="F61" s="2" t="n">
        <f aca="false">IFERROR(__xludf.dummyfunction("""COMPUTED_VALUE"""),1365856)</f>
        <v>1365856</v>
      </c>
    </row>
    <row r="62" customFormat="false" ht="15.75" hidden="false" customHeight="false" outlineLevel="0" collapsed="false">
      <c r="A62" s="3" t="n">
        <f aca="false">IFERROR(__xludf.dummyfunction("""COMPUTED_VALUE"""),44286.6666666667)</f>
        <v>44286.6666666667</v>
      </c>
      <c r="B62" s="2" t="n">
        <f aca="false">IFERROR(__xludf.dummyfunction("""COMPUTED_VALUE"""),102.72)</f>
        <v>102.72</v>
      </c>
      <c r="C62" s="2" t="n">
        <f aca="false">IFERROR(__xludf.dummyfunction("""COMPUTED_VALUE"""),104.31)</f>
        <v>104.31</v>
      </c>
      <c r="D62" s="2" t="n">
        <f aca="false">IFERROR(__xludf.dummyfunction("""COMPUTED_VALUE"""),102.35)</f>
        <v>102.35</v>
      </c>
      <c r="E62" s="2" t="n">
        <f aca="false">IFERROR(__xludf.dummyfunction("""COMPUTED_VALUE"""),103.13)</f>
        <v>103.13</v>
      </c>
      <c r="F62" s="2" t="n">
        <f aca="false">IFERROR(__xludf.dummyfunction("""COMPUTED_VALUE"""),2128482)</f>
        <v>2128482</v>
      </c>
    </row>
    <row r="63" customFormat="false" ht="15.75" hidden="false" customHeight="false" outlineLevel="0" collapsed="false">
      <c r="A63" s="3" t="n">
        <f aca="false">IFERROR(__xludf.dummyfunction("""COMPUTED_VALUE"""),44287.6666666667)</f>
        <v>44287.6666666667</v>
      </c>
      <c r="B63" s="2" t="n">
        <f aca="false">IFERROR(__xludf.dummyfunction("""COMPUTED_VALUE"""),104.61)</f>
        <v>104.61</v>
      </c>
      <c r="C63" s="2" t="n">
        <f aca="false">IFERROR(__xludf.dummyfunction("""COMPUTED_VALUE"""),106.79)</f>
        <v>106.79</v>
      </c>
      <c r="D63" s="2" t="n">
        <f aca="false">IFERROR(__xludf.dummyfunction("""COMPUTED_VALUE"""),104.57)</f>
        <v>104.57</v>
      </c>
      <c r="E63" s="2" t="n">
        <f aca="false">IFERROR(__xludf.dummyfunction("""COMPUTED_VALUE"""),106.49)</f>
        <v>106.49</v>
      </c>
      <c r="F63" s="2" t="n">
        <f aca="false">IFERROR(__xludf.dummyfunction("""COMPUTED_VALUE"""),1994005)</f>
        <v>1994005</v>
      </c>
    </row>
    <row r="64" customFormat="false" ht="15.75" hidden="false" customHeight="false" outlineLevel="0" collapsed="false">
      <c r="A64" s="3" t="n">
        <f aca="false">IFERROR(__xludf.dummyfunction("""COMPUTED_VALUE"""),44291.6666666667)</f>
        <v>44291.6666666667</v>
      </c>
      <c r="B64" s="2" t="n">
        <f aca="false">IFERROR(__xludf.dummyfunction("""COMPUTED_VALUE"""),107.36)</f>
        <v>107.36</v>
      </c>
      <c r="C64" s="2" t="n">
        <f aca="false">IFERROR(__xludf.dummyfunction("""COMPUTED_VALUE"""),111.45)</f>
        <v>111.45</v>
      </c>
      <c r="D64" s="2" t="n">
        <f aca="false">IFERROR(__xludf.dummyfunction("""COMPUTED_VALUE"""),107.26)</f>
        <v>107.26</v>
      </c>
      <c r="E64" s="2" t="n">
        <f aca="false">IFERROR(__xludf.dummyfunction("""COMPUTED_VALUE"""),110.95)</f>
        <v>110.95</v>
      </c>
      <c r="F64" s="2" t="n">
        <f aca="false">IFERROR(__xludf.dummyfunction("""COMPUTED_VALUE"""),2425480)</f>
        <v>2425480</v>
      </c>
    </row>
    <row r="65" customFormat="false" ht="15.75" hidden="false" customHeight="false" outlineLevel="0" collapsed="false">
      <c r="A65" s="3" t="n">
        <f aca="false">IFERROR(__xludf.dummyfunction("""COMPUTED_VALUE"""),44292.6666666667)</f>
        <v>44292.6666666667</v>
      </c>
      <c r="B65" s="2" t="n">
        <f aca="false">IFERROR(__xludf.dummyfunction("""COMPUTED_VALUE"""),110.55)</f>
        <v>110.55</v>
      </c>
      <c r="C65" s="2" t="n">
        <f aca="false">IFERROR(__xludf.dummyfunction("""COMPUTED_VALUE"""),111.4)</f>
        <v>111.4</v>
      </c>
      <c r="D65" s="2" t="n">
        <f aca="false">IFERROR(__xludf.dummyfunction("""COMPUTED_VALUE"""),110.09)</f>
        <v>110.09</v>
      </c>
      <c r="E65" s="2" t="n">
        <f aca="false">IFERROR(__xludf.dummyfunction("""COMPUTED_VALUE"""),110.46)</f>
        <v>110.46</v>
      </c>
      <c r="F65" s="2" t="n">
        <f aca="false">IFERROR(__xludf.dummyfunction("""COMPUTED_VALUE"""),1762039)</f>
        <v>1762039</v>
      </c>
    </row>
    <row r="66" customFormat="false" ht="15.75" hidden="false" customHeight="false" outlineLevel="0" collapsed="false">
      <c r="A66" s="3" t="n">
        <f aca="false">IFERROR(__xludf.dummyfunction("""COMPUTED_VALUE"""),44293.6666666667)</f>
        <v>44293.6666666667</v>
      </c>
      <c r="B66" s="2" t="n">
        <f aca="false">IFERROR(__xludf.dummyfunction("""COMPUTED_VALUE"""),110.66)</f>
        <v>110.66</v>
      </c>
      <c r="C66" s="2" t="n">
        <f aca="false">IFERROR(__xludf.dummyfunction("""COMPUTED_VALUE"""),112.23)</f>
        <v>112.23</v>
      </c>
      <c r="D66" s="2" t="n">
        <f aca="false">IFERROR(__xludf.dummyfunction("""COMPUTED_VALUE"""),110.66)</f>
        <v>110.66</v>
      </c>
      <c r="E66" s="2" t="n">
        <f aca="false">IFERROR(__xludf.dummyfunction("""COMPUTED_VALUE"""),111.95)</f>
        <v>111.95</v>
      </c>
      <c r="F66" s="2" t="n">
        <f aca="false">IFERROR(__xludf.dummyfunction("""COMPUTED_VALUE"""),1206696)</f>
        <v>1206696</v>
      </c>
    </row>
    <row r="67" customFormat="false" ht="15.75" hidden="false" customHeight="false" outlineLevel="0" collapsed="false">
      <c r="A67" s="3" t="n">
        <f aca="false">IFERROR(__xludf.dummyfunction("""COMPUTED_VALUE"""),44294.6666666667)</f>
        <v>44294.6666666667</v>
      </c>
      <c r="B67" s="2" t="n">
        <f aca="false">IFERROR(__xludf.dummyfunction("""COMPUTED_VALUE"""),113.2)</f>
        <v>113.2</v>
      </c>
      <c r="C67" s="2" t="n">
        <f aca="false">IFERROR(__xludf.dummyfunction("""COMPUTED_VALUE"""),113.59)</f>
        <v>113.59</v>
      </c>
      <c r="D67" s="2" t="n">
        <f aca="false">IFERROR(__xludf.dummyfunction("""COMPUTED_VALUE"""),112.15)</f>
        <v>112.15</v>
      </c>
      <c r="E67" s="2" t="n">
        <f aca="false">IFERROR(__xludf.dummyfunction("""COMPUTED_VALUE"""),112.52)</f>
        <v>112.52</v>
      </c>
      <c r="F67" s="2" t="n">
        <f aca="false">IFERROR(__xludf.dummyfunction("""COMPUTED_VALUE"""),1433214)</f>
        <v>1433214</v>
      </c>
    </row>
    <row r="68" customFormat="false" ht="15.75" hidden="false" customHeight="false" outlineLevel="0" collapsed="false">
      <c r="A68" s="3" t="n">
        <f aca="false">IFERROR(__xludf.dummyfunction("""COMPUTED_VALUE"""),44295.6666666667)</f>
        <v>44295.6666666667</v>
      </c>
      <c r="B68" s="2" t="n">
        <f aca="false">IFERROR(__xludf.dummyfunction("""COMPUTED_VALUE"""),112.27)</f>
        <v>112.27</v>
      </c>
      <c r="C68" s="2" t="n">
        <f aca="false">IFERROR(__xludf.dummyfunction("""COMPUTED_VALUE"""),113.7)</f>
        <v>113.7</v>
      </c>
      <c r="D68" s="2" t="n">
        <f aca="false">IFERROR(__xludf.dummyfunction("""COMPUTED_VALUE"""),111.86)</f>
        <v>111.86</v>
      </c>
      <c r="E68" s="2" t="n">
        <f aca="false">IFERROR(__xludf.dummyfunction("""COMPUTED_VALUE"""),113.53)</f>
        <v>113.53</v>
      </c>
      <c r="F68" s="2" t="n">
        <f aca="false">IFERROR(__xludf.dummyfunction("""COMPUTED_VALUE"""),1307265)</f>
        <v>1307265</v>
      </c>
    </row>
    <row r="69" customFormat="false" ht="15.75" hidden="false" customHeight="false" outlineLevel="0" collapsed="false">
      <c r="A69" s="3" t="n">
        <f aca="false">IFERROR(__xludf.dummyfunction("""COMPUTED_VALUE"""),44298.6666666667)</f>
        <v>44298.6666666667</v>
      </c>
      <c r="B69" s="2" t="n">
        <f aca="false">IFERROR(__xludf.dummyfunction("""COMPUTED_VALUE"""),112.71)</f>
        <v>112.71</v>
      </c>
      <c r="C69" s="2" t="n">
        <f aca="false">IFERROR(__xludf.dummyfunction("""COMPUTED_VALUE"""),112.84)</f>
        <v>112.84</v>
      </c>
      <c r="D69" s="2" t="n">
        <f aca="false">IFERROR(__xludf.dummyfunction("""COMPUTED_VALUE"""),111.39)</f>
        <v>111.39</v>
      </c>
      <c r="E69" s="2" t="n">
        <f aca="false">IFERROR(__xludf.dummyfunction("""COMPUTED_VALUE"""),112.23)</f>
        <v>112.23</v>
      </c>
      <c r="F69" s="2" t="n">
        <f aca="false">IFERROR(__xludf.dummyfunction("""COMPUTED_VALUE"""),1251183)</f>
        <v>1251183</v>
      </c>
    </row>
    <row r="70" customFormat="false" ht="15.75" hidden="false" customHeight="false" outlineLevel="0" collapsed="false">
      <c r="A70" s="3" t="n">
        <f aca="false">IFERROR(__xludf.dummyfunction("""COMPUTED_VALUE"""),44299.6666666667)</f>
        <v>44299.6666666667</v>
      </c>
      <c r="B70" s="2" t="n">
        <f aca="false">IFERROR(__xludf.dummyfunction("""COMPUTED_VALUE"""),112.55)</f>
        <v>112.55</v>
      </c>
      <c r="C70" s="2" t="n">
        <f aca="false">IFERROR(__xludf.dummyfunction("""COMPUTED_VALUE"""),113.17)</f>
        <v>113.17</v>
      </c>
      <c r="D70" s="2" t="n">
        <f aca="false">IFERROR(__xludf.dummyfunction("""COMPUTED_VALUE"""),112.15)</f>
        <v>112.15</v>
      </c>
      <c r="E70" s="2" t="n">
        <f aca="false">IFERROR(__xludf.dummyfunction("""COMPUTED_VALUE"""),112.72)</f>
        <v>112.72</v>
      </c>
      <c r="F70" s="2" t="n">
        <f aca="false">IFERROR(__xludf.dummyfunction("""COMPUTED_VALUE"""),1284078)</f>
        <v>1284078</v>
      </c>
    </row>
    <row r="71" customFormat="false" ht="15.75" hidden="false" customHeight="false" outlineLevel="0" collapsed="false">
      <c r="A71" s="3" t="n">
        <f aca="false">IFERROR(__xludf.dummyfunction("""COMPUTED_VALUE"""),44300.6666666667)</f>
        <v>44300.6666666667</v>
      </c>
      <c r="B71" s="2" t="n">
        <f aca="false">IFERROR(__xludf.dummyfunction("""COMPUTED_VALUE"""),113.37)</f>
        <v>113.37</v>
      </c>
      <c r="C71" s="2" t="n">
        <f aca="false">IFERROR(__xludf.dummyfunction("""COMPUTED_VALUE"""),113.37)</f>
        <v>113.37</v>
      </c>
      <c r="D71" s="2" t="n">
        <f aca="false">IFERROR(__xludf.dummyfunction("""COMPUTED_VALUE"""),111.8)</f>
        <v>111.8</v>
      </c>
      <c r="E71" s="2" t="n">
        <f aca="false">IFERROR(__xludf.dummyfunction("""COMPUTED_VALUE"""),112.1)</f>
        <v>112.1</v>
      </c>
      <c r="F71" s="2" t="n">
        <f aca="false">IFERROR(__xludf.dummyfunction("""COMPUTED_VALUE"""),1050143)</f>
        <v>1050143</v>
      </c>
    </row>
    <row r="72" customFormat="false" ht="15.75" hidden="false" customHeight="false" outlineLevel="0" collapsed="false">
      <c r="A72" s="3" t="n">
        <f aca="false">IFERROR(__xludf.dummyfunction("""COMPUTED_VALUE"""),44301.6666666667)</f>
        <v>44301.6666666667</v>
      </c>
      <c r="B72" s="2" t="n">
        <f aca="false">IFERROR(__xludf.dummyfunction("""COMPUTED_VALUE"""),113.1)</f>
        <v>113.1</v>
      </c>
      <c r="C72" s="2" t="n">
        <f aca="false">IFERROR(__xludf.dummyfunction("""COMPUTED_VALUE"""),114.8)</f>
        <v>114.8</v>
      </c>
      <c r="D72" s="2" t="n">
        <f aca="false">IFERROR(__xludf.dummyfunction("""COMPUTED_VALUE"""),112.56)</f>
        <v>112.56</v>
      </c>
      <c r="E72" s="2" t="n">
        <f aca="false">IFERROR(__xludf.dummyfunction("""COMPUTED_VALUE"""),114.26)</f>
        <v>114.26</v>
      </c>
      <c r="F72" s="2" t="n">
        <f aca="false">IFERROR(__xludf.dummyfunction("""COMPUTED_VALUE"""),1458749)</f>
        <v>1458749</v>
      </c>
    </row>
    <row r="73" customFormat="false" ht="15.75" hidden="false" customHeight="false" outlineLevel="0" collapsed="false">
      <c r="A73" s="3" t="n">
        <f aca="false">IFERROR(__xludf.dummyfunction("""COMPUTED_VALUE"""),44302.6666666667)</f>
        <v>44302.6666666667</v>
      </c>
      <c r="B73" s="2" t="n">
        <f aca="false">IFERROR(__xludf.dummyfunction("""COMPUTED_VALUE"""),114.46)</f>
        <v>114.46</v>
      </c>
      <c r="C73" s="2" t="n">
        <f aca="false">IFERROR(__xludf.dummyfunction("""COMPUTED_VALUE"""),114.71)</f>
        <v>114.71</v>
      </c>
      <c r="D73" s="2" t="n">
        <f aca="false">IFERROR(__xludf.dummyfunction("""COMPUTED_VALUE"""),113.55)</f>
        <v>113.55</v>
      </c>
      <c r="E73" s="2" t="n">
        <f aca="false">IFERROR(__xludf.dummyfunction("""COMPUTED_VALUE"""),114.14)</f>
        <v>114.14</v>
      </c>
      <c r="F73" s="2" t="n">
        <f aca="false">IFERROR(__xludf.dummyfunction("""COMPUTED_VALUE"""),1314139)</f>
        <v>1314139</v>
      </c>
    </row>
    <row r="74" customFormat="false" ht="15.75" hidden="false" customHeight="false" outlineLevel="0" collapsed="false">
      <c r="A74" s="3" t="n">
        <f aca="false">IFERROR(__xludf.dummyfunction("""COMPUTED_VALUE"""),44305.6666666667)</f>
        <v>44305.6666666667</v>
      </c>
      <c r="B74" s="2" t="n">
        <f aca="false">IFERROR(__xludf.dummyfunction("""COMPUTED_VALUE"""),113.51)</f>
        <v>113.51</v>
      </c>
      <c r="C74" s="2" t="n">
        <f aca="false">IFERROR(__xludf.dummyfunction("""COMPUTED_VALUE"""),115.2)</f>
        <v>115.2</v>
      </c>
      <c r="D74" s="2" t="n">
        <f aca="false">IFERROR(__xludf.dummyfunction("""COMPUTED_VALUE"""),113.51)</f>
        <v>113.51</v>
      </c>
      <c r="E74" s="2" t="n">
        <f aca="false">IFERROR(__xludf.dummyfunction("""COMPUTED_VALUE"""),114.49)</f>
        <v>114.49</v>
      </c>
      <c r="F74" s="2" t="n">
        <f aca="false">IFERROR(__xludf.dummyfunction("""COMPUTED_VALUE"""),1514470)</f>
        <v>1514470</v>
      </c>
    </row>
    <row r="75" customFormat="false" ht="15.75" hidden="false" customHeight="false" outlineLevel="0" collapsed="false">
      <c r="A75" s="3" t="n">
        <f aca="false">IFERROR(__xludf.dummyfunction("""COMPUTED_VALUE"""),44306.6666666667)</f>
        <v>44306.6666666667</v>
      </c>
      <c r="B75" s="2" t="n">
        <f aca="false">IFERROR(__xludf.dummyfunction("""COMPUTED_VALUE"""),114.87)</f>
        <v>114.87</v>
      </c>
      <c r="C75" s="2" t="n">
        <f aca="false">IFERROR(__xludf.dummyfunction("""COMPUTED_VALUE"""),114.95)</f>
        <v>114.95</v>
      </c>
      <c r="D75" s="2" t="n">
        <f aca="false">IFERROR(__xludf.dummyfunction("""COMPUTED_VALUE"""),112.86)</f>
        <v>112.86</v>
      </c>
      <c r="E75" s="2" t="n">
        <f aca="false">IFERROR(__xludf.dummyfunction("""COMPUTED_VALUE"""),113.95)</f>
        <v>113.95</v>
      </c>
      <c r="F75" s="2" t="n">
        <f aca="false">IFERROR(__xludf.dummyfunction("""COMPUTED_VALUE"""),1114416)</f>
        <v>1114416</v>
      </c>
    </row>
    <row r="76" customFormat="false" ht="15.75" hidden="false" customHeight="false" outlineLevel="0" collapsed="false">
      <c r="A76" s="3" t="n">
        <f aca="false">IFERROR(__xludf.dummyfunction("""COMPUTED_VALUE"""),44307.6666666667)</f>
        <v>44307.6666666667</v>
      </c>
      <c r="B76" s="2" t="n">
        <f aca="false">IFERROR(__xludf.dummyfunction("""COMPUTED_VALUE"""),113.6)</f>
        <v>113.6</v>
      </c>
      <c r="C76" s="2" t="n">
        <f aca="false">IFERROR(__xludf.dummyfunction("""COMPUTED_VALUE"""),114)</f>
        <v>114</v>
      </c>
      <c r="D76" s="2" t="n">
        <f aca="false">IFERROR(__xludf.dummyfunction("""COMPUTED_VALUE"""),112.24)</f>
        <v>112.24</v>
      </c>
      <c r="E76" s="2" t="n">
        <f aca="false">IFERROR(__xludf.dummyfunction("""COMPUTED_VALUE"""),113.92)</f>
        <v>113.92</v>
      </c>
      <c r="F76" s="2" t="n">
        <f aca="false">IFERROR(__xludf.dummyfunction("""COMPUTED_VALUE"""),1160209)</f>
        <v>1160209</v>
      </c>
    </row>
    <row r="77" customFormat="false" ht="15.75" hidden="false" customHeight="false" outlineLevel="0" collapsed="false">
      <c r="A77" s="3" t="n">
        <f aca="false">IFERROR(__xludf.dummyfunction("""COMPUTED_VALUE"""),44308.6666666667)</f>
        <v>44308.6666666667</v>
      </c>
      <c r="B77" s="2" t="n">
        <f aca="false">IFERROR(__xludf.dummyfunction("""COMPUTED_VALUE"""),113.77)</f>
        <v>113.77</v>
      </c>
      <c r="C77" s="2" t="n">
        <f aca="false">IFERROR(__xludf.dummyfunction("""COMPUTED_VALUE"""),114.44)</f>
        <v>114.44</v>
      </c>
      <c r="D77" s="2" t="n">
        <f aca="false">IFERROR(__xludf.dummyfunction("""COMPUTED_VALUE"""),112.02)</f>
        <v>112.02</v>
      </c>
      <c r="E77" s="2" t="n">
        <f aca="false">IFERROR(__xludf.dummyfunction("""COMPUTED_VALUE"""),112.63)</f>
        <v>112.63</v>
      </c>
      <c r="F77" s="2" t="n">
        <f aca="false">IFERROR(__xludf.dummyfunction("""COMPUTED_VALUE"""),1207276)</f>
        <v>1207276</v>
      </c>
    </row>
    <row r="78" customFormat="false" ht="15.75" hidden="false" customHeight="false" outlineLevel="0" collapsed="false">
      <c r="A78" s="3" t="n">
        <f aca="false">IFERROR(__xludf.dummyfunction("""COMPUTED_VALUE"""),44309.6666666667)</f>
        <v>44309.6666666667</v>
      </c>
      <c r="B78" s="2" t="n">
        <f aca="false">IFERROR(__xludf.dummyfunction("""COMPUTED_VALUE"""),113.35)</f>
        <v>113.35</v>
      </c>
      <c r="C78" s="2" t="n">
        <f aca="false">IFERROR(__xludf.dummyfunction("""COMPUTED_VALUE"""),115.31)</f>
        <v>115.31</v>
      </c>
      <c r="D78" s="2" t="n">
        <f aca="false">IFERROR(__xludf.dummyfunction("""COMPUTED_VALUE"""),113.06)</f>
        <v>113.06</v>
      </c>
      <c r="E78" s="2" t="n">
        <f aca="false">IFERROR(__xludf.dummyfunction("""COMPUTED_VALUE"""),115)</f>
        <v>115</v>
      </c>
      <c r="F78" s="2" t="n">
        <f aca="false">IFERROR(__xludf.dummyfunction("""COMPUTED_VALUE"""),1455554)</f>
        <v>1455554</v>
      </c>
    </row>
    <row r="79" customFormat="false" ht="15.75" hidden="false" customHeight="false" outlineLevel="0" collapsed="false">
      <c r="A79" s="3" t="n">
        <f aca="false">IFERROR(__xludf.dummyfunction("""COMPUTED_VALUE"""),44312.6666666667)</f>
        <v>44312.6666666667</v>
      </c>
      <c r="B79" s="2" t="n">
        <f aca="false">IFERROR(__xludf.dummyfunction("""COMPUTED_VALUE"""),115.23)</f>
        <v>115.23</v>
      </c>
      <c r="C79" s="2" t="n">
        <f aca="false">IFERROR(__xludf.dummyfunction("""COMPUTED_VALUE"""),116.23)</f>
        <v>116.23</v>
      </c>
      <c r="D79" s="2" t="n">
        <f aca="false">IFERROR(__xludf.dummyfunction("""COMPUTED_VALUE"""),114.87)</f>
        <v>114.87</v>
      </c>
      <c r="E79" s="2" t="n">
        <f aca="false">IFERROR(__xludf.dummyfunction("""COMPUTED_VALUE"""),115.5)</f>
        <v>115.5</v>
      </c>
      <c r="F79" s="2" t="n">
        <f aca="false">IFERROR(__xludf.dummyfunction("""COMPUTED_VALUE"""),1601892)</f>
        <v>1601892</v>
      </c>
    </row>
    <row r="80" customFormat="false" ht="15.75" hidden="false" customHeight="false" outlineLevel="0" collapsed="false">
      <c r="A80" s="3" t="n">
        <f aca="false">IFERROR(__xludf.dummyfunction("""COMPUTED_VALUE"""),44313.6666666667)</f>
        <v>44313.6666666667</v>
      </c>
      <c r="B80" s="2" t="n">
        <f aca="false">IFERROR(__xludf.dummyfunction("""COMPUTED_VALUE"""),115.88)</f>
        <v>115.88</v>
      </c>
      <c r="C80" s="2" t="n">
        <f aca="false">IFERROR(__xludf.dummyfunction("""COMPUTED_VALUE"""),115.92)</f>
        <v>115.92</v>
      </c>
      <c r="D80" s="2" t="n">
        <f aca="false">IFERROR(__xludf.dummyfunction("""COMPUTED_VALUE"""),114.31)</f>
        <v>114.31</v>
      </c>
      <c r="E80" s="2" t="n">
        <f aca="false">IFERROR(__xludf.dummyfunction("""COMPUTED_VALUE"""),114.55)</f>
        <v>114.55</v>
      </c>
      <c r="F80" s="2" t="n">
        <f aca="false">IFERROR(__xludf.dummyfunction("""COMPUTED_VALUE"""),2219280)</f>
        <v>2219280</v>
      </c>
    </row>
    <row r="81" customFormat="false" ht="15.75" hidden="false" customHeight="false" outlineLevel="0" collapsed="false">
      <c r="A81" s="3" t="n">
        <f aca="false">IFERROR(__xludf.dummyfunction("""COMPUTED_VALUE"""),44314.6666666667)</f>
        <v>44314.6666666667</v>
      </c>
      <c r="B81" s="2" t="n">
        <f aca="false">IFERROR(__xludf.dummyfunction("""COMPUTED_VALUE"""),119.62)</f>
        <v>119.62</v>
      </c>
      <c r="C81" s="2" t="n">
        <f aca="false">IFERROR(__xludf.dummyfunction("""COMPUTED_VALUE"""),121.57)</f>
        <v>121.57</v>
      </c>
      <c r="D81" s="2" t="n">
        <f aca="false">IFERROR(__xludf.dummyfunction("""COMPUTED_VALUE"""),117.66)</f>
        <v>117.66</v>
      </c>
      <c r="E81" s="2" t="n">
        <f aca="false">IFERROR(__xludf.dummyfunction("""COMPUTED_VALUE"""),117.95)</f>
        <v>117.95</v>
      </c>
      <c r="F81" s="2" t="n">
        <f aca="false">IFERROR(__xludf.dummyfunction("""COMPUTED_VALUE"""),4055340)</f>
        <v>4055340</v>
      </c>
    </row>
    <row r="82" customFormat="false" ht="15.75" hidden="false" customHeight="false" outlineLevel="0" collapsed="false">
      <c r="A82" s="3" t="n">
        <f aca="false">IFERROR(__xludf.dummyfunction("""COMPUTED_VALUE"""),44315.6666666667)</f>
        <v>44315.6666666667</v>
      </c>
      <c r="B82" s="2" t="n">
        <f aca="false">IFERROR(__xludf.dummyfunction("""COMPUTED_VALUE"""),119.46)</f>
        <v>119.46</v>
      </c>
      <c r="C82" s="2" t="n">
        <f aca="false">IFERROR(__xludf.dummyfunction("""COMPUTED_VALUE"""),120.21)</f>
        <v>120.21</v>
      </c>
      <c r="D82" s="2" t="n">
        <f aca="false">IFERROR(__xludf.dummyfunction("""COMPUTED_VALUE"""),118.69)</f>
        <v>118.69</v>
      </c>
      <c r="E82" s="2" t="n">
        <f aca="false">IFERROR(__xludf.dummyfunction("""COMPUTED_VALUE"""),119.64)</f>
        <v>119.64</v>
      </c>
      <c r="F82" s="2" t="n">
        <f aca="false">IFERROR(__xludf.dummyfunction("""COMPUTED_VALUE"""),2061654)</f>
        <v>2061654</v>
      </c>
    </row>
    <row r="83" customFormat="false" ht="15.75" hidden="false" customHeight="false" outlineLevel="0" collapsed="false">
      <c r="A83" s="3" t="n">
        <f aca="false">IFERROR(__xludf.dummyfunction("""COMPUTED_VALUE"""),44316.6666666667)</f>
        <v>44316.6666666667</v>
      </c>
      <c r="B83" s="2" t="n">
        <f aca="false">IFERROR(__xludf.dummyfunction("""COMPUTED_VALUE"""),118.4)</f>
        <v>118.4</v>
      </c>
      <c r="C83" s="2" t="n">
        <f aca="false">IFERROR(__xludf.dummyfunction("""COMPUTED_VALUE"""),119.09)</f>
        <v>119.09</v>
      </c>
      <c r="D83" s="2" t="n">
        <f aca="false">IFERROR(__xludf.dummyfunction("""COMPUTED_VALUE"""),117.33)</f>
        <v>117.33</v>
      </c>
      <c r="E83" s="2" t="n">
        <f aca="false">IFERROR(__xludf.dummyfunction("""COMPUTED_VALUE"""),117.68)</f>
        <v>117.68</v>
      </c>
      <c r="F83" s="2" t="n">
        <f aca="false">IFERROR(__xludf.dummyfunction("""COMPUTED_VALUE"""),2242838)</f>
        <v>2242838</v>
      </c>
    </row>
    <row r="84" customFormat="false" ht="15.75" hidden="false" customHeight="false" outlineLevel="0" collapsed="false">
      <c r="A84" s="3" t="n">
        <f aca="false">IFERROR(__xludf.dummyfunction("""COMPUTED_VALUE"""),44319.6666666667)</f>
        <v>44319.6666666667</v>
      </c>
      <c r="B84" s="2" t="n">
        <f aca="false">IFERROR(__xludf.dummyfunction("""COMPUTED_VALUE"""),118.25)</f>
        <v>118.25</v>
      </c>
      <c r="C84" s="2" t="n">
        <f aca="false">IFERROR(__xludf.dummyfunction("""COMPUTED_VALUE"""),119.08)</f>
        <v>119.08</v>
      </c>
      <c r="D84" s="2" t="n">
        <f aca="false">IFERROR(__xludf.dummyfunction("""COMPUTED_VALUE"""),116.78)</f>
        <v>116.78</v>
      </c>
      <c r="E84" s="2" t="n">
        <f aca="false">IFERROR(__xludf.dummyfunction("""COMPUTED_VALUE"""),117.15)</f>
        <v>117.15</v>
      </c>
      <c r="F84" s="2" t="n">
        <f aca="false">IFERROR(__xludf.dummyfunction("""COMPUTED_VALUE"""),1412139)</f>
        <v>1412139</v>
      </c>
    </row>
    <row r="85" customFormat="false" ht="15.75" hidden="false" customHeight="false" outlineLevel="0" collapsed="false">
      <c r="A85" s="3" t="n">
        <f aca="false">IFERROR(__xludf.dummyfunction("""COMPUTED_VALUE"""),44320.6666666667)</f>
        <v>44320.6666666667</v>
      </c>
      <c r="B85" s="2" t="n">
        <f aca="false">IFERROR(__xludf.dummyfunction("""COMPUTED_VALUE"""),115.68)</f>
        <v>115.68</v>
      </c>
      <c r="C85" s="2" t="n">
        <f aca="false">IFERROR(__xludf.dummyfunction("""COMPUTED_VALUE"""),116.25)</f>
        <v>116.25</v>
      </c>
      <c r="D85" s="2" t="n">
        <f aca="false">IFERROR(__xludf.dummyfunction("""COMPUTED_VALUE"""),112.83)</f>
        <v>112.83</v>
      </c>
      <c r="E85" s="2" t="n">
        <f aca="false">IFERROR(__xludf.dummyfunction("""COMPUTED_VALUE"""),115.34)</f>
        <v>115.34</v>
      </c>
      <c r="F85" s="2" t="n">
        <f aca="false">IFERROR(__xludf.dummyfunction("""COMPUTED_VALUE"""),2240932)</f>
        <v>2240932</v>
      </c>
    </row>
    <row r="86" customFormat="false" ht="15.75" hidden="false" customHeight="false" outlineLevel="0" collapsed="false">
      <c r="A86" s="3" t="n">
        <f aca="false">IFERROR(__xludf.dummyfunction("""COMPUTED_VALUE"""),44321.6666666667)</f>
        <v>44321.6666666667</v>
      </c>
      <c r="B86" s="2" t="n">
        <f aca="false">IFERROR(__xludf.dummyfunction("""COMPUTED_VALUE"""),116.43)</f>
        <v>116.43</v>
      </c>
      <c r="C86" s="2" t="n">
        <f aca="false">IFERROR(__xludf.dummyfunction("""COMPUTED_VALUE"""),116.75)</f>
        <v>116.75</v>
      </c>
      <c r="D86" s="2" t="n">
        <f aca="false">IFERROR(__xludf.dummyfunction("""COMPUTED_VALUE"""),115.41)</f>
        <v>115.41</v>
      </c>
      <c r="E86" s="2" t="n">
        <f aca="false">IFERROR(__xludf.dummyfunction("""COMPUTED_VALUE"""),115.74)</f>
        <v>115.74</v>
      </c>
      <c r="F86" s="2" t="n">
        <f aca="false">IFERROR(__xludf.dummyfunction("""COMPUTED_VALUE"""),1331809)</f>
        <v>1331809</v>
      </c>
    </row>
    <row r="87" customFormat="false" ht="15.75" hidden="false" customHeight="false" outlineLevel="0" collapsed="false">
      <c r="A87" s="3" t="n">
        <f aca="false">IFERROR(__xludf.dummyfunction("""COMPUTED_VALUE"""),44322.6666666667)</f>
        <v>44322.6666666667</v>
      </c>
      <c r="B87" s="2" t="n">
        <f aca="false">IFERROR(__xludf.dummyfunction("""COMPUTED_VALUE"""),115.32)</f>
        <v>115.32</v>
      </c>
      <c r="C87" s="2" t="n">
        <f aca="false">IFERROR(__xludf.dummyfunction("""COMPUTED_VALUE"""),116.87)</f>
        <v>116.87</v>
      </c>
      <c r="D87" s="2" t="n">
        <f aca="false">IFERROR(__xludf.dummyfunction("""COMPUTED_VALUE"""),114.65)</f>
        <v>114.65</v>
      </c>
      <c r="E87" s="2" t="n">
        <f aca="false">IFERROR(__xludf.dummyfunction("""COMPUTED_VALUE"""),116.87)</f>
        <v>116.87</v>
      </c>
      <c r="F87" s="2" t="n">
        <f aca="false">IFERROR(__xludf.dummyfunction("""COMPUTED_VALUE"""),1259523)</f>
        <v>1259523</v>
      </c>
    </row>
    <row r="88" customFormat="false" ht="15.75" hidden="false" customHeight="false" outlineLevel="0" collapsed="false">
      <c r="A88" s="3" t="n">
        <f aca="false">IFERROR(__xludf.dummyfunction("""COMPUTED_VALUE"""),44323.6666666667)</f>
        <v>44323.6666666667</v>
      </c>
      <c r="B88" s="2" t="n">
        <f aca="false">IFERROR(__xludf.dummyfunction("""COMPUTED_VALUE"""),118.19)</f>
        <v>118.19</v>
      </c>
      <c r="C88" s="2" t="n">
        <f aca="false">IFERROR(__xludf.dummyfunction("""COMPUTED_VALUE"""),118.56)</f>
        <v>118.56</v>
      </c>
      <c r="D88" s="2" t="n">
        <f aca="false">IFERROR(__xludf.dummyfunction("""COMPUTED_VALUE"""),117.31)</f>
        <v>117.31</v>
      </c>
      <c r="E88" s="2" t="n">
        <f aca="false">IFERROR(__xludf.dummyfunction("""COMPUTED_VALUE"""),117.6)</f>
        <v>117.6</v>
      </c>
      <c r="F88" s="2" t="n">
        <f aca="false">IFERROR(__xludf.dummyfunction("""COMPUTED_VALUE"""),1444862)</f>
        <v>1444862</v>
      </c>
    </row>
    <row r="89" customFormat="false" ht="15.75" hidden="false" customHeight="false" outlineLevel="0" collapsed="false">
      <c r="A89" s="3" t="n">
        <f aca="false">IFERROR(__xludf.dummyfunction("""COMPUTED_VALUE"""),44326.6666666667)</f>
        <v>44326.6666666667</v>
      </c>
      <c r="B89" s="2" t="n">
        <f aca="false">IFERROR(__xludf.dummyfunction("""COMPUTED_VALUE"""),116.41)</f>
        <v>116.41</v>
      </c>
      <c r="C89" s="2" t="n">
        <f aca="false">IFERROR(__xludf.dummyfunction("""COMPUTED_VALUE"""),116.55)</f>
        <v>116.55</v>
      </c>
      <c r="D89" s="2" t="n">
        <f aca="false">IFERROR(__xludf.dummyfunction("""COMPUTED_VALUE"""),114.23)</f>
        <v>114.23</v>
      </c>
      <c r="E89" s="2" t="n">
        <f aca="false">IFERROR(__xludf.dummyfunction("""COMPUTED_VALUE"""),114.59)</f>
        <v>114.59</v>
      </c>
      <c r="F89" s="2" t="n">
        <f aca="false">IFERROR(__xludf.dummyfunction("""COMPUTED_VALUE"""),1545729)</f>
        <v>1545729</v>
      </c>
    </row>
    <row r="90" customFormat="false" ht="15.75" hidden="false" customHeight="false" outlineLevel="0" collapsed="false">
      <c r="A90" s="3" t="n">
        <f aca="false">IFERROR(__xludf.dummyfunction("""COMPUTED_VALUE"""),44327.6666666667)</f>
        <v>44327.6666666667</v>
      </c>
      <c r="B90" s="2" t="n">
        <f aca="false">IFERROR(__xludf.dummyfunction("""COMPUTED_VALUE"""),112.15)</f>
        <v>112.15</v>
      </c>
      <c r="C90" s="2" t="n">
        <f aca="false">IFERROR(__xludf.dummyfunction("""COMPUTED_VALUE"""),114.01)</f>
        <v>114.01</v>
      </c>
      <c r="D90" s="2" t="n">
        <f aca="false">IFERROR(__xludf.dummyfunction("""COMPUTED_VALUE"""),111.7)</f>
        <v>111.7</v>
      </c>
      <c r="E90" s="2" t="n">
        <f aca="false">IFERROR(__xludf.dummyfunction("""COMPUTED_VALUE"""),113.5)</f>
        <v>113.5</v>
      </c>
      <c r="F90" s="2" t="n">
        <f aca="false">IFERROR(__xludf.dummyfunction("""COMPUTED_VALUE"""),1709292)</f>
        <v>1709292</v>
      </c>
    </row>
    <row r="91" customFormat="false" ht="15.75" hidden="false" customHeight="false" outlineLevel="0" collapsed="false">
      <c r="A91" s="3" t="n">
        <f aca="false">IFERROR(__xludf.dummyfunction("""COMPUTED_VALUE"""),44328.6666666667)</f>
        <v>44328.6666666667</v>
      </c>
      <c r="B91" s="2" t="n">
        <f aca="false">IFERROR(__xludf.dummyfunction("""COMPUTED_VALUE"""),111.31)</f>
        <v>111.31</v>
      </c>
      <c r="C91" s="2" t="n">
        <f aca="false">IFERROR(__xludf.dummyfunction("""COMPUTED_VALUE"""),112.4)</f>
        <v>112.4</v>
      </c>
      <c r="D91" s="2" t="n">
        <f aca="false">IFERROR(__xludf.dummyfunction("""COMPUTED_VALUE"""),109.68)</f>
        <v>109.68</v>
      </c>
      <c r="E91" s="2" t="n">
        <f aca="false">IFERROR(__xludf.dummyfunction("""COMPUTED_VALUE"""),110.01)</f>
        <v>110.01</v>
      </c>
      <c r="F91" s="2" t="n">
        <f aca="false">IFERROR(__xludf.dummyfunction("""COMPUTED_VALUE"""),2318774)</f>
        <v>2318774</v>
      </c>
    </row>
    <row r="92" customFormat="false" ht="15.75" hidden="false" customHeight="false" outlineLevel="0" collapsed="false">
      <c r="A92" s="3" t="n">
        <f aca="false">IFERROR(__xludf.dummyfunction("""COMPUTED_VALUE"""),44329.6666666667)</f>
        <v>44329.6666666667</v>
      </c>
      <c r="B92" s="2" t="n">
        <f aca="false">IFERROR(__xludf.dummyfunction("""COMPUTED_VALUE"""),111.31)</f>
        <v>111.31</v>
      </c>
      <c r="C92" s="2" t="n">
        <f aca="false">IFERROR(__xludf.dummyfunction("""COMPUTED_VALUE"""),111.97)</f>
        <v>111.97</v>
      </c>
      <c r="D92" s="2" t="n">
        <f aca="false">IFERROR(__xludf.dummyfunction("""COMPUTED_VALUE"""),110.34)</f>
        <v>110.34</v>
      </c>
      <c r="E92" s="2" t="n">
        <f aca="false">IFERROR(__xludf.dummyfunction("""COMPUTED_VALUE"""),111.45)</f>
        <v>111.45</v>
      </c>
      <c r="F92" s="2" t="n">
        <f aca="false">IFERROR(__xludf.dummyfunction("""COMPUTED_VALUE"""),1661020)</f>
        <v>1661020</v>
      </c>
    </row>
    <row r="93" customFormat="false" ht="15.75" hidden="false" customHeight="false" outlineLevel="0" collapsed="false">
      <c r="A93" s="3" t="n">
        <f aca="false">IFERROR(__xludf.dummyfunction("""COMPUTED_VALUE"""),44330.6666666667)</f>
        <v>44330.6666666667</v>
      </c>
      <c r="B93" s="2" t="n">
        <f aca="false">IFERROR(__xludf.dummyfunction("""COMPUTED_VALUE"""),112.93)</f>
        <v>112.93</v>
      </c>
      <c r="C93" s="2" t="n">
        <f aca="false">IFERROR(__xludf.dummyfunction("""COMPUTED_VALUE"""),114.24)</f>
        <v>114.24</v>
      </c>
      <c r="D93" s="2" t="n">
        <f aca="false">IFERROR(__xludf.dummyfunction("""COMPUTED_VALUE"""),112.5)</f>
        <v>112.5</v>
      </c>
      <c r="E93" s="2" t="n">
        <f aca="false">IFERROR(__xludf.dummyfunction("""COMPUTED_VALUE"""),113.92)</f>
        <v>113.92</v>
      </c>
      <c r="F93" s="2" t="n">
        <f aca="false">IFERROR(__xludf.dummyfunction("""COMPUTED_VALUE"""),1599829)</f>
        <v>1599829</v>
      </c>
    </row>
    <row r="94" customFormat="false" ht="15.75" hidden="false" customHeight="false" outlineLevel="0" collapsed="false">
      <c r="A94" s="3" t="n">
        <f aca="false">IFERROR(__xludf.dummyfunction("""COMPUTED_VALUE"""),44333.6666666667)</f>
        <v>44333.6666666667</v>
      </c>
      <c r="B94" s="2" t="n">
        <f aca="false">IFERROR(__xludf.dummyfunction("""COMPUTED_VALUE"""),113.18)</f>
        <v>113.18</v>
      </c>
      <c r="C94" s="2" t="n">
        <f aca="false">IFERROR(__xludf.dummyfunction("""COMPUTED_VALUE"""),114.49)</f>
        <v>114.49</v>
      </c>
      <c r="D94" s="2" t="n">
        <f aca="false">IFERROR(__xludf.dummyfunction("""COMPUTED_VALUE"""),112.78)</f>
        <v>112.78</v>
      </c>
      <c r="E94" s="2" t="n">
        <f aca="false">IFERROR(__xludf.dummyfunction("""COMPUTED_VALUE"""),114.45)</f>
        <v>114.45</v>
      </c>
      <c r="F94" s="2" t="n">
        <f aca="false">IFERROR(__xludf.dummyfunction("""COMPUTED_VALUE"""),1079869)</f>
        <v>1079869</v>
      </c>
    </row>
    <row r="95" customFormat="false" ht="15.75" hidden="false" customHeight="false" outlineLevel="0" collapsed="false">
      <c r="A95" s="3" t="n">
        <f aca="false">IFERROR(__xludf.dummyfunction("""COMPUTED_VALUE"""),44334.6666666667)</f>
        <v>44334.6666666667</v>
      </c>
      <c r="B95" s="2" t="n">
        <f aca="false">IFERROR(__xludf.dummyfunction("""COMPUTED_VALUE"""),115.12)</f>
        <v>115.12</v>
      </c>
      <c r="C95" s="2" t="n">
        <f aca="false">IFERROR(__xludf.dummyfunction("""COMPUTED_VALUE"""),115.38)</f>
        <v>115.38</v>
      </c>
      <c r="D95" s="2" t="n">
        <f aca="false">IFERROR(__xludf.dummyfunction("""COMPUTED_VALUE"""),113.11)</f>
        <v>113.11</v>
      </c>
      <c r="E95" s="2" t="n">
        <f aca="false">IFERROR(__xludf.dummyfunction("""COMPUTED_VALUE"""),113.12)</f>
        <v>113.12</v>
      </c>
      <c r="F95" s="2" t="n">
        <f aca="false">IFERROR(__xludf.dummyfunction("""COMPUTED_VALUE"""),1110185)</f>
        <v>1110185</v>
      </c>
    </row>
    <row r="96" customFormat="false" ht="15.75" hidden="false" customHeight="false" outlineLevel="0" collapsed="false">
      <c r="A96" s="3" t="n">
        <f aca="false">IFERROR(__xludf.dummyfunction("""COMPUTED_VALUE"""),44335.6666666667)</f>
        <v>44335.6666666667</v>
      </c>
      <c r="B96" s="2" t="n">
        <f aca="false">IFERROR(__xludf.dummyfunction("""COMPUTED_VALUE"""),111.42)</f>
        <v>111.42</v>
      </c>
      <c r="C96" s="2" t="n">
        <f aca="false">IFERROR(__xludf.dummyfunction("""COMPUTED_VALUE"""),113.75)</f>
        <v>113.75</v>
      </c>
      <c r="D96" s="2" t="n">
        <f aca="false">IFERROR(__xludf.dummyfunction("""COMPUTED_VALUE"""),111.27)</f>
        <v>111.27</v>
      </c>
      <c r="E96" s="2" t="n">
        <f aca="false">IFERROR(__xludf.dummyfunction("""COMPUTED_VALUE"""),113.58)</f>
        <v>113.58</v>
      </c>
      <c r="F96" s="2" t="n">
        <f aca="false">IFERROR(__xludf.dummyfunction("""COMPUTED_VALUE"""),1184205)</f>
        <v>1184205</v>
      </c>
    </row>
    <row r="97" customFormat="false" ht="15.75" hidden="false" customHeight="false" outlineLevel="0" collapsed="false">
      <c r="A97" s="3" t="n">
        <f aca="false">IFERROR(__xludf.dummyfunction("""COMPUTED_VALUE"""),44336.6666666667)</f>
        <v>44336.6666666667</v>
      </c>
      <c r="B97" s="2" t="n">
        <f aca="false">IFERROR(__xludf.dummyfunction("""COMPUTED_VALUE"""),114.55)</f>
        <v>114.55</v>
      </c>
      <c r="C97" s="2" t="n">
        <f aca="false">IFERROR(__xludf.dummyfunction("""COMPUTED_VALUE"""),115.6)</f>
        <v>115.6</v>
      </c>
      <c r="D97" s="2" t="n">
        <f aca="false">IFERROR(__xludf.dummyfunction("""COMPUTED_VALUE"""),114.18)</f>
        <v>114.18</v>
      </c>
      <c r="E97" s="2" t="n">
        <f aca="false">IFERROR(__xludf.dummyfunction("""COMPUTED_VALUE"""),115.35)</f>
        <v>115.35</v>
      </c>
      <c r="F97" s="2" t="n">
        <f aca="false">IFERROR(__xludf.dummyfunction("""COMPUTED_VALUE"""),1617550)</f>
        <v>1617550</v>
      </c>
    </row>
    <row r="98" customFormat="false" ht="15.75" hidden="false" customHeight="false" outlineLevel="0" collapsed="false">
      <c r="A98" s="3" t="n">
        <f aca="false">IFERROR(__xludf.dummyfunction("""COMPUTED_VALUE"""),44337.6666666667)</f>
        <v>44337.6666666667</v>
      </c>
      <c r="B98" s="2" t="n">
        <f aca="false">IFERROR(__xludf.dummyfunction("""COMPUTED_VALUE"""),115.87)</f>
        <v>115.87</v>
      </c>
      <c r="C98" s="2" t="n">
        <f aca="false">IFERROR(__xludf.dummyfunction("""COMPUTED_VALUE"""),115.94)</f>
        <v>115.94</v>
      </c>
      <c r="D98" s="2" t="n">
        <f aca="false">IFERROR(__xludf.dummyfunction("""COMPUTED_VALUE"""),114.47)</f>
        <v>114.47</v>
      </c>
      <c r="E98" s="2" t="n">
        <f aca="false">IFERROR(__xludf.dummyfunction("""COMPUTED_VALUE"""),114.71)</f>
        <v>114.71</v>
      </c>
      <c r="F98" s="2" t="n">
        <f aca="false">IFERROR(__xludf.dummyfunction("""COMPUTED_VALUE"""),2031590)</f>
        <v>2031590</v>
      </c>
    </row>
    <row r="99" customFormat="false" ht="15.75" hidden="false" customHeight="false" outlineLevel="0" collapsed="false">
      <c r="A99" s="3" t="n">
        <f aca="false">IFERROR(__xludf.dummyfunction("""COMPUTED_VALUE"""),44340.6666666667)</f>
        <v>44340.6666666667</v>
      </c>
      <c r="B99" s="2" t="n">
        <f aca="false">IFERROR(__xludf.dummyfunction("""COMPUTED_VALUE"""),115.74)</f>
        <v>115.74</v>
      </c>
      <c r="C99" s="2" t="n">
        <f aca="false">IFERROR(__xludf.dummyfunction("""COMPUTED_VALUE"""),118.28)</f>
        <v>118.28</v>
      </c>
      <c r="D99" s="2" t="n">
        <f aca="false">IFERROR(__xludf.dummyfunction("""COMPUTED_VALUE"""),115.6)</f>
        <v>115.6</v>
      </c>
      <c r="E99" s="2" t="n">
        <f aca="false">IFERROR(__xludf.dummyfunction("""COMPUTED_VALUE"""),118.05)</f>
        <v>118.05</v>
      </c>
      <c r="F99" s="2" t="n">
        <f aca="false">IFERROR(__xludf.dummyfunction("""COMPUTED_VALUE"""),1591610)</f>
        <v>1591610</v>
      </c>
    </row>
    <row r="100" customFormat="false" ht="15.75" hidden="false" customHeight="false" outlineLevel="0" collapsed="false">
      <c r="A100" s="3" t="n">
        <f aca="false">IFERROR(__xludf.dummyfunction("""COMPUTED_VALUE"""),44341.6666666667)</f>
        <v>44341.6666666667</v>
      </c>
      <c r="B100" s="2" t="n">
        <f aca="false">IFERROR(__xludf.dummyfunction("""COMPUTED_VALUE"""),118.6)</f>
        <v>118.6</v>
      </c>
      <c r="C100" s="2" t="n">
        <f aca="false">IFERROR(__xludf.dummyfunction("""COMPUTED_VALUE"""),119.2)</f>
        <v>119.2</v>
      </c>
      <c r="D100" s="2" t="n">
        <f aca="false">IFERROR(__xludf.dummyfunction("""COMPUTED_VALUE"""),117.75)</f>
        <v>117.75</v>
      </c>
      <c r="E100" s="2" t="n">
        <f aca="false">IFERROR(__xludf.dummyfunction("""COMPUTED_VALUE"""),118.14)</f>
        <v>118.14</v>
      </c>
      <c r="F100" s="2" t="n">
        <f aca="false">IFERROR(__xludf.dummyfunction("""COMPUTED_VALUE"""),1121982)</f>
        <v>1121982</v>
      </c>
    </row>
    <row r="101" customFormat="false" ht="15.75" hidden="false" customHeight="false" outlineLevel="0" collapsed="false">
      <c r="A101" s="3" t="n">
        <f aca="false">IFERROR(__xludf.dummyfunction("""COMPUTED_VALUE"""),44342.6666666667)</f>
        <v>44342.6666666667</v>
      </c>
      <c r="B101" s="2" t="n">
        <f aca="false">IFERROR(__xludf.dummyfunction("""COMPUTED_VALUE"""),118.33)</f>
        <v>118.33</v>
      </c>
      <c r="C101" s="2" t="n">
        <f aca="false">IFERROR(__xludf.dummyfunction("""COMPUTED_VALUE"""),119.45)</f>
        <v>119.45</v>
      </c>
      <c r="D101" s="2" t="n">
        <f aca="false">IFERROR(__xludf.dummyfunction("""COMPUTED_VALUE"""),118.32)</f>
        <v>118.32</v>
      </c>
      <c r="E101" s="2" t="n">
        <f aca="false">IFERROR(__xludf.dummyfunction("""COMPUTED_VALUE"""),119.02)</f>
        <v>119.02</v>
      </c>
      <c r="F101" s="2" t="n">
        <f aca="false">IFERROR(__xludf.dummyfunction("""COMPUTED_VALUE"""),1078598)</f>
        <v>1078598</v>
      </c>
    </row>
    <row r="102" customFormat="false" ht="15.75" hidden="false" customHeight="false" outlineLevel="0" collapsed="false">
      <c r="A102" s="3" t="n">
        <f aca="false">IFERROR(__xludf.dummyfunction("""COMPUTED_VALUE"""),44343.6666666667)</f>
        <v>44343.6666666667</v>
      </c>
      <c r="B102" s="2" t="n">
        <f aca="false">IFERROR(__xludf.dummyfunction("""COMPUTED_VALUE"""),119.45)</f>
        <v>119.45</v>
      </c>
      <c r="C102" s="2" t="n">
        <f aca="false">IFERROR(__xludf.dummyfunction("""COMPUTED_VALUE"""),119.45)</f>
        <v>119.45</v>
      </c>
      <c r="D102" s="2" t="n">
        <f aca="false">IFERROR(__xludf.dummyfunction("""COMPUTED_VALUE"""),117.81)</f>
        <v>117.81</v>
      </c>
      <c r="E102" s="2" t="n">
        <f aca="false">IFERROR(__xludf.dummyfunction("""COMPUTED_VALUE"""),118.13)</f>
        <v>118.13</v>
      </c>
      <c r="F102" s="2" t="n">
        <f aca="false">IFERROR(__xludf.dummyfunction("""COMPUTED_VALUE"""),1761201)</f>
        <v>1761201</v>
      </c>
    </row>
    <row r="103" customFormat="false" ht="15.75" hidden="false" customHeight="false" outlineLevel="0" collapsed="false">
      <c r="A103" s="3" t="n">
        <f aca="false">IFERROR(__xludf.dummyfunction("""COMPUTED_VALUE"""),44344.6666666667)</f>
        <v>44344.6666666667</v>
      </c>
      <c r="B103" s="2" t="n">
        <f aca="false">IFERROR(__xludf.dummyfunction("""COMPUTED_VALUE"""),118.72)</f>
        <v>118.72</v>
      </c>
      <c r="C103" s="2" t="n">
        <f aca="false">IFERROR(__xludf.dummyfunction("""COMPUTED_VALUE"""),118.8)</f>
        <v>118.8</v>
      </c>
      <c r="D103" s="2" t="n">
        <f aca="false">IFERROR(__xludf.dummyfunction("""COMPUTED_VALUE"""),117.64)</f>
        <v>117.64</v>
      </c>
      <c r="E103" s="2" t="n">
        <f aca="false">IFERROR(__xludf.dummyfunction("""COMPUTED_VALUE"""),117.84)</f>
        <v>117.84</v>
      </c>
      <c r="F103" s="2" t="n">
        <f aca="false">IFERROR(__xludf.dummyfunction("""COMPUTED_VALUE"""),1074540)</f>
        <v>1074540</v>
      </c>
    </row>
    <row r="104" customFormat="false" ht="15.75" hidden="false" customHeight="false" outlineLevel="0" collapsed="false">
      <c r="A104" s="3" t="n">
        <f aca="false">IFERROR(__xludf.dummyfunction("""COMPUTED_VALUE"""),44348.6666666667)</f>
        <v>44348.6666666667</v>
      </c>
      <c r="B104" s="2" t="n">
        <f aca="false">IFERROR(__xludf.dummyfunction("""COMPUTED_VALUE"""),118.72)</f>
        <v>118.72</v>
      </c>
      <c r="C104" s="2" t="n">
        <f aca="false">IFERROR(__xludf.dummyfunction("""COMPUTED_VALUE"""),119.29)</f>
        <v>119.29</v>
      </c>
      <c r="D104" s="2" t="n">
        <f aca="false">IFERROR(__xludf.dummyfunction("""COMPUTED_VALUE"""),117.71)</f>
        <v>117.71</v>
      </c>
      <c r="E104" s="2" t="n">
        <f aca="false">IFERROR(__xludf.dummyfunction("""COMPUTED_VALUE"""),119.06)</f>
        <v>119.06</v>
      </c>
      <c r="F104" s="2" t="n">
        <f aca="false">IFERROR(__xludf.dummyfunction("""COMPUTED_VALUE"""),1167901)</f>
        <v>1167901</v>
      </c>
    </row>
    <row r="105" customFormat="false" ht="15.75" hidden="false" customHeight="false" outlineLevel="0" collapsed="false">
      <c r="A105" s="3" t="n">
        <f aca="false">IFERROR(__xludf.dummyfunction("""COMPUTED_VALUE"""),44349.6666666667)</f>
        <v>44349.6666666667</v>
      </c>
      <c r="B105" s="2" t="n">
        <f aca="false">IFERROR(__xludf.dummyfunction("""COMPUTED_VALUE"""),119.46)</f>
        <v>119.46</v>
      </c>
      <c r="C105" s="2" t="n">
        <f aca="false">IFERROR(__xludf.dummyfunction("""COMPUTED_VALUE"""),119.68)</f>
        <v>119.68</v>
      </c>
      <c r="D105" s="2" t="n">
        <f aca="false">IFERROR(__xludf.dummyfunction("""COMPUTED_VALUE"""),117.62)</f>
        <v>117.62</v>
      </c>
      <c r="E105" s="2" t="n">
        <f aca="false">IFERROR(__xludf.dummyfunction("""COMPUTED_VALUE"""),118.53)</f>
        <v>118.53</v>
      </c>
      <c r="F105" s="2" t="n">
        <f aca="false">IFERROR(__xludf.dummyfunction("""COMPUTED_VALUE"""),1058146)</f>
        <v>1058146</v>
      </c>
    </row>
    <row r="106" customFormat="false" ht="15.75" hidden="false" customHeight="false" outlineLevel="0" collapsed="false">
      <c r="A106" s="3" t="n">
        <f aca="false">IFERROR(__xludf.dummyfunction("""COMPUTED_VALUE"""),44350.6666666667)</f>
        <v>44350.6666666667</v>
      </c>
      <c r="B106" s="2" t="n">
        <f aca="false">IFERROR(__xludf.dummyfunction("""COMPUTED_VALUE"""),117.29)</f>
        <v>117.29</v>
      </c>
      <c r="C106" s="2" t="n">
        <f aca="false">IFERROR(__xludf.dummyfunction("""COMPUTED_VALUE"""),117.85)</f>
        <v>117.85</v>
      </c>
      <c r="D106" s="2" t="n">
        <f aca="false">IFERROR(__xludf.dummyfunction("""COMPUTED_VALUE"""),116.48)</f>
        <v>116.48</v>
      </c>
      <c r="E106" s="2" t="n">
        <f aca="false">IFERROR(__xludf.dummyfunction("""COMPUTED_VALUE"""),117.38)</f>
        <v>117.38</v>
      </c>
      <c r="F106" s="2" t="n">
        <f aca="false">IFERROR(__xludf.dummyfunction("""COMPUTED_VALUE"""),934796)</f>
        <v>934796</v>
      </c>
    </row>
    <row r="107" customFormat="false" ht="15.75" hidden="false" customHeight="false" outlineLevel="0" collapsed="false">
      <c r="A107" s="3" t="n">
        <f aca="false">IFERROR(__xludf.dummyfunction("""COMPUTED_VALUE"""),44351.6666666667)</f>
        <v>44351.6666666667</v>
      </c>
      <c r="B107" s="2" t="n">
        <f aca="false">IFERROR(__xludf.dummyfunction("""COMPUTED_VALUE"""),118.46)</f>
        <v>118.46</v>
      </c>
      <c r="C107" s="2" t="n">
        <f aca="false">IFERROR(__xludf.dummyfunction("""COMPUTED_VALUE"""),119.95)</f>
        <v>119.95</v>
      </c>
      <c r="D107" s="2" t="n">
        <f aca="false">IFERROR(__xludf.dummyfunction("""COMPUTED_VALUE"""),118.12)</f>
        <v>118.12</v>
      </c>
      <c r="E107" s="2" t="n">
        <f aca="false">IFERROR(__xludf.dummyfunction("""COMPUTED_VALUE"""),119.68)</f>
        <v>119.68</v>
      </c>
      <c r="F107" s="2" t="n">
        <f aca="false">IFERROR(__xludf.dummyfunction("""COMPUTED_VALUE"""),1222910)</f>
        <v>1222910</v>
      </c>
    </row>
    <row r="108" customFormat="false" ht="15.75" hidden="false" customHeight="false" outlineLevel="0" collapsed="false">
      <c r="A108" s="3" t="n">
        <f aca="false">IFERROR(__xludf.dummyfunction("""COMPUTED_VALUE"""),44354.6666666667)</f>
        <v>44354.6666666667</v>
      </c>
      <c r="B108" s="2" t="n">
        <f aca="false">IFERROR(__xludf.dummyfunction("""COMPUTED_VALUE"""),119.47)</f>
        <v>119.47</v>
      </c>
      <c r="C108" s="2" t="n">
        <f aca="false">IFERROR(__xludf.dummyfunction("""COMPUTED_VALUE"""),120.23)</f>
        <v>120.23</v>
      </c>
      <c r="D108" s="2" t="n">
        <f aca="false">IFERROR(__xludf.dummyfunction("""COMPUTED_VALUE"""),119.05)</f>
        <v>119.05</v>
      </c>
      <c r="E108" s="2" t="n">
        <f aca="false">IFERROR(__xludf.dummyfunction("""COMPUTED_VALUE"""),120.12)</f>
        <v>120.12</v>
      </c>
      <c r="F108" s="2" t="n">
        <f aca="false">IFERROR(__xludf.dummyfunction("""COMPUTED_VALUE"""),1205966)</f>
        <v>1205966</v>
      </c>
    </row>
    <row r="109" customFormat="false" ht="15.75" hidden="false" customHeight="false" outlineLevel="0" collapsed="false">
      <c r="A109" s="3" t="n">
        <f aca="false">IFERROR(__xludf.dummyfunction("""COMPUTED_VALUE"""),44355.6666666667)</f>
        <v>44355.6666666667</v>
      </c>
      <c r="B109" s="2" t="n">
        <f aca="false">IFERROR(__xludf.dummyfunction("""COMPUTED_VALUE"""),120.6)</f>
        <v>120.6</v>
      </c>
      <c r="C109" s="2" t="n">
        <f aca="false">IFERROR(__xludf.dummyfunction("""COMPUTED_VALUE"""),120.98)</f>
        <v>120.98</v>
      </c>
      <c r="D109" s="2" t="n">
        <f aca="false">IFERROR(__xludf.dummyfunction("""COMPUTED_VALUE"""),119.74)</f>
        <v>119.74</v>
      </c>
      <c r="E109" s="2" t="n">
        <f aca="false">IFERROR(__xludf.dummyfunction("""COMPUTED_VALUE"""),119.92)</f>
        <v>119.92</v>
      </c>
      <c r="F109" s="2" t="n">
        <f aca="false">IFERROR(__xludf.dummyfunction("""COMPUTED_VALUE"""),1211992)</f>
        <v>1211992</v>
      </c>
    </row>
    <row r="110" customFormat="false" ht="15.75" hidden="false" customHeight="false" outlineLevel="0" collapsed="false">
      <c r="A110" s="3" t="n">
        <f aca="false">IFERROR(__xludf.dummyfunction("""COMPUTED_VALUE"""),44356.6666666667)</f>
        <v>44356.6666666667</v>
      </c>
      <c r="B110" s="2" t="n">
        <f aca="false">IFERROR(__xludf.dummyfunction("""COMPUTED_VALUE"""),120.57)</f>
        <v>120.57</v>
      </c>
      <c r="C110" s="2" t="n">
        <f aca="false">IFERROR(__xludf.dummyfunction("""COMPUTED_VALUE"""),120.64)</f>
        <v>120.64</v>
      </c>
      <c r="D110" s="2" t="n">
        <f aca="false">IFERROR(__xludf.dummyfunction("""COMPUTED_VALUE"""),119.85)</f>
        <v>119.85</v>
      </c>
      <c r="E110" s="2" t="n">
        <f aca="false">IFERROR(__xludf.dummyfunction("""COMPUTED_VALUE"""),120.4)</f>
        <v>120.4</v>
      </c>
      <c r="F110" s="2" t="n">
        <f aca="false">IFERROR(__xludf.dummyfunction("""COMPUTED_VALUE"""),897052)</f>
        <v>897052</v>
      </c>
    </row>
    <row r="111" customFormat="false" ht="15.75" hidden="false" customHeight="false" outlineLevel="0" collapsed="false">
      <c r="A111" s="3" t="n">
        <f aca="false">IFERROR(__xludf.dummyfunction("""COMPUTED_VALUE"""),44357.6666666667)</f>
        <v>44357.6666666667</v>
      </c>
      <c r="B111" s="2" t="n">
        <f aca="false">IFERROR(__xludf.dummyfunction("""COMPUTED_VALUE"""),120.35)</f>
        <v>120.35</v>
      </c>
      <c r="C111" s="2" t="n">
        <f aca="false">IFERROR(__xludf.dummyfunction("""COMPUTED_VALUE"""),121.8)</f>
        <v>121.8</v>
      </c>
      <c r="D111" s="2" t="n">
        <f aca="false">IFERROR(__xludf.dummyfunction("""COMPUTED_VALUE"""),120.19)</f>
        <v>120.19</v>
      </c>
      <c r="E111" s="2" t="n">
        <f aca="false">IFERROR(__xludf.dummyfunction("""COMPUTED_VALUE"""),121.76)</f>
        <v>121.76</v>
      </c>
      <c r="F111" s="2" t="n">
        <f aca="false">IFERROR(__xludf.dummyfunction("""COMPUTED_VALUE"""),1295375)</f>
        <v>1295375</v>
      </c>
    </row>
    <row r="112" customFormat="false" ht="15.75" hidden="false" customHeight="false" outlineLevel="0" collapsed="false">
      <c r="A112" s="3" t="n">
        <f aca="false">IFERROR(__xludf.dummyfunction("""COMPUTED_VALUE"""),44358.6666666667)</f>
        <v>44358.6666666667</v>
      </c>
      <c r="B112" s="2" t="n">
        <f aca="false">IFERROR(__xludf.dummyfunction("""COMPUTED_VALUE"""),122)</f>
        <v>122</v>
      </c>
      <c r="C112" s="2" t="n">
        <f aca="false">IFERROR(__xludf.dummyfunction("""COMPUTED_VALUE"""),122.09)</f>
        <v>122.09</v>
      </c>
      <c r="D112" s="2" t="n">
        <f aca="false">IFERROR(__xludf.dummyfunction("""COMPUTED_VALUE"""),120.95)</f>
        <v>120.95</v>
      </c>
      <c r="E112" s="2" t="n">
        <f aca="false">IFERROR(__xludf.dummyfunction("""COMPUTED_VALUE"""),121.51)</f>
        <v>121.51</v>
      </c>
      <c r="F112" s="2" t="n">
        <f aca="false">IFERROR(__xludf.dummyfunction("""COMPUTED_VALUE"""),1097907)</f>
        <v>1097907</v>
      </c>
    </row>
    <row r="113" customFormat="false" ht="15.75" hidden="false" customHeight="false" outlineLevel="0" collapsed="false">
      <c r="A113" s="3" t="n">
        <f aca="false">IFERROR(__xludf.dummyfunction("""COMPUTED_VALUE"""),44361.6666666667)</f>
        <v>44361.6666666667</v>
      </c>
      <c r="B113" s="2" t="n">
        <f aca="false">IFERROR(__xludf.dummyfunction("""COMPUTED_VALUE"""),121.61)</f>
        <v>121.61</v>
      </c>
      <c r="C113" s="2" t="n">
        <f aca="false">IFERROR(__xludf.dummyfunction("""COMPUTED_VALUE"""),122.45)</f>
        <v>122.45</v>
      </c>
      <c r="D113" s="2" t="n">
        <f aca="false">IFERROR(__xludf.dummyfunction("""COMPUTED_VALUE"""),120.9)</f>
        <v>120.9</v>
      </c>
      <c r="E113" s="2" t="n">
        <f aca="false">IFERROR(__xludf.dummyfunction("""COMPUTED_VALUE"""),122.45)</f>
        <v>122.45</v>
      </c>
      <c r="F113" s="2" t="n">
        <f aca="false">IFERROR(__xludf.dummyfunction("""COMPUTED_VALUE"""),1104878)</f>
        <v>1104878</v>
      </c>
    </row>
    <row r="114" customFormat="false" ht="15.75" hidden="false" customHeight="false" outlineLevel="0" collapsed="false">
      <c r="A114" s="3" t="n">
        <f aca="false">IFERROR(__xludf.dummyfunction("""COMPUTED_VALUE"""),44362.6666666667)</f>
        <v>44362.6666666667</v>
      </c>
      <c r="B114" s="2" t="n">
        <f aca="false">IFERROR(__xludf.dummyfunction("""COMPUTED_VALUE"""),122.45)</f>
        <v>122.45</v>
      </c>
      <c r="C114" s="2" t="n">
        <f aca="false">IFERROR(__xludf.dummyfunction("""COMPUTED_VALUE"""),122.78)</f>
        <v>122.78</v>
      </c>
      <c r="D114" s="2" t="n">
        <f aca="false">IFERROR(__xludf.dummyfunction("""COMPUTED_VALUE"""),121.06)</f>
        <v>121.06</v>
      </c>
      <c r="E114" s="2" t="n">
        <f aca="false">IFERROR(__xludf.dummyfunction("""COMPUTED_VALUE"""),121.42)</f>
        <v>121.42</v>
      </c>
      <c r="F114" s="2" t="n">
        <f aca="false">IFERROR(__xludf.dummyfunction("""COMPUTED_VALUE"""),1078107)</f>
        <v>1078107</v>
      </c>
    </row>
    <row r="115" customFormat="false" ht="15.75" hidden="false" customHeight="false" outlineLevel="0" collapsed="false">
      <c r="A115" s="3" t="n">
        <f aca="false">IFERROR(__xludf.dummyfunction("""COMPUTED_VALUE"""),44363.6666666667)</f>
        <v>44363.6666666667</v>
      </c>
      <c r="B115" s="2" t="n">
        <f aca="false">IFERROR(__xludf.dummyfunction("""COMPUTED_VALUE"""),121.57)</f>
        <v>121.57</v>
      </c>
      <c r="C115" s="2" t="n">
        <f aca="false">IFERROR(__xludf.dummyfunction("""COMPUTED_VALUE"""),121.89)</f>
        <v>121.89</v>
      </c>
      <c r="D115" s="2" t="n">
        <f aca="false">IFERROR(__xludf.dummyfunction("""COMPUTED_VALUE"""),119.47)</f>
        <v>119.47</v>
      </c>
      <c r="E115" s="2" t="n">
        <f aca="false">IFERROR(__xludf.dummyfunction("""COMPUTED_VALUE"""),120.77)</f>
        <v>120.77</v>
      </c>
      <c r="F115" s="2" t="n">
        <f aca="false">IFERROR(__xludf.dummyfunction("""COMPUTED_VALUE"""),1323593)</f>
        <v>1323593</v>
      </c>
    </row>
    <row r="116" customFormat="false" ht="15.75" hidden="false" customHeight="false" outlineLevel="0" collapsed="false">
      <c r="A116" s="3" t="n">
        <f aca="false">IFERROR(__xludf.dummyfunction("""COMPUTED_VALUE"""),44364.6666666667)</f>
        <v>44364.6666666667</v>
      </c>
      <c r="B116" s="2" t="n">
        <f aca="false">IFERROR(__xludf.dummyfunction("""COMPUTED_VALUE"""),120.7)</f>
        <v>120.7</v>
      </c>
      <c r="C116" s="2" t="n">
        <f aca="false">IFERROR(__xludf.dummyfunction("""COMPUTED_VALUE"""),122.52)</f>
        <v>122.52</v>
      </c>
      <c r="D116" s="2" t="n">
        <f aca="false">IFERROR(__xludf.dummyfunction("""COMPUTED_VALUE"""),120.5)</f>
        <v>120.5</v>
      </c>
      <c r="E116" s="2" t="n">
        <f aca="false">IFERROR(__xludf.dummyfunction("""COMPUTED_VALUE"""),121.74)</f>
        <v>121.74</v>
      </c>
      <c r="F116" s="2" t="n">
        <f aca="false">IFERROR(__xludf.dummyfunction("""COMPUTED_VALUE"""),1292444)</f>
        <v>1292444</v>
      </c>
    </row>
    <row r="117" customFormat="false" ht="15.75" hidden="false" customHeight="false" outlineLevel="0" collapsed="false">
      <c r="A117" s="3" t="n">
        <f aca="false">IFERROR(__xludf.dummyfunction("""COMPUTED_VALUE"""),44365.6666666667)</f>
        <v>44365.6666666667</v>
      </c>
      <c r="B117" s="2" t="n">
        <f aca="false">IFERROR(__xludf.dummyfunction("""COMPUTED_VALUE"""),121.37)</f>
        <v>121.37</v>
      </c>
      <c r="C117" s="2" t="n">
        <f aca="false">IFERROR(__xludf.dummyfunction("""COMPUTED_VALUE"""),121.6)</f>
        <v>121.6</v>
      </c>
      <c r="D117" s="2" t="n">
        <f aca="false">IFERROR(__xludf.dummyfunction("""COMPUTED_VALUE"""),120.02)</f>
        <v>120.02</v>
      </c>
      <c r="E117" s="2" t="n">
        <f aca="false">IFERROR(__xludf.dummyfunction("""COMPUTED_VALUE"""),120.11)</f>
        <v>120.11</v>
      </c>
      <c r="F117" s="2" t="n">
        <f aca="false">IFERROR(__xludf.dummyfunction("""COMPUTED_VALUE"""),2305760)</f>
        <v>2305760</v>
      </c>
    </row>
    <row r="118" customFormat="false" ht="15.75" hidden="false" customHeight="false" outlineLevel="0" collapsed="false">
      <c r="A118" s="3" t="n">
        <f aca="false">IFERROR(__xludf.dummyfunction("""COMPUTED_VALUE"""),44368.6666666667)</f>
        <v>44368.6666666667</v>
      </c>
      <c r="B118" s="2" t="n">
        <f aca="false">IFERROR(__xludf.dummyfunction("""COMPUTED_VALUE"""),120.5)</f>
        <v>120.5</v>
      </c>
      <c r="C118" s="2" t="n">
        <f aca="false">IFERROR(__xludf.dummyfunction("""COMPUTED_VALUE"""),122)</f>
        <v>122</v>
      </c>
      <c r="D118" s="2" t="n">
        <f aca="false">IFERROR(__xludf.dummyfunction("""COMPUTED_VALUE"""),119.9)</f>
        <v>119.9</v>
      </c>
      <c r="E118" s="2" t="n">
        <f aca="false">IFERROR(__xludf.dummyfunction("""COMPUTED_VALUE"""),121.81)</f>
        <v>121.81</v>
      </c>
      <c r="F118" s="2" t="n">
        <f aca="false">IFERROR(__xludf.dummyfunction("""COMPUTED_VALUE"""),1370683)</f>
        <v>1370683</v>
      </c>
    </row>
    <row r="119" customFormat="false" ht="15.75" hidden="false" customHeight="false" outlineLevel="0" collapsed="false">
      <c r="A119" s="3" t="n">
        <f aca="false">IFERROR(__xludf.dummyfunction("""COMPUTED_VALUE"""),44369.6666666667)</f>
        <v>44369.6666666667</v>
      </c>
      <c r="B119" s="2" t="n">
        <f aca="false">IFERROR(__xludf.dummyfunction("""COMPUTED_VALUE"""),121.75)</f>
        <v>121.75</v>
      </c>
      <c r="C119" s="2" t="n">
        <f aca="false">IFERROR(__xludf.dummyfunction("""COMPUTED_VALUE"""),122.4)</f>
        <v>122.4</v>
      </c>
      <c r="D119" s="2" t="n">
        <f aca="false">IFERROR(__xludf.dummyfunction("""COMPUTED_VALUE"""),121.06)</f>
        <v>121.06</v>
      </c>
      <c r="E119" s="2" t="n">
        <f aca="false">IFERROR(__xludf.dummyfunction("""COMPUTED_VALUE"""),122.33)</f>
        <v>122.33</v>
      </c>
      <c r="F119" s="2" t="n">
        <f aca="false">IFERROR(__xludf.dummyfunction("""COMPUTED_VALUE"""),1119510)</f>
        <v>1119510</v>
      </c>
    </row>
    <row r="120" customFormat="false" ht="15.75" hidden="false" customHeight="false" outlineLevel="0" collapsed="false">
      <c r="A120" s="3" t="n">
        <f aca="false">IFERROR(__xludf.dummyfunction("""COMPUTED_VALUE"""),44370.6666666667)</f>
        <v>44370.6666666667</v>
      </c>
      <c r="B120" s="2" t="n">
        <f aca="false">IFERROR(__xludf.dummyfunction("""COMPUTED_VALUE"""),122.09)</f>
        <v>122.09</v>
      </c>
      <c r="C120" s="2" t="n">
        <f aca="false">IFERROR(__xludf.dummyfunction("""COMPUTED_VALUE"""),123.1)</f>
        <v>123.1</v>
      </c>
      <c r="D120" s="2" t="n">
        <f aca="false">IFERROR(__xludf.dummyfunction("""COMPUTED_VALUE"""),121.83)</f>
        <v>121.83</v>
      </c>
      <c r="E120" s="2" t="n">
        <f aca="false">IFERROR(__xludf.dummyfunction("""COMPUTED_VALUE"""),122.13)</f>
        <v>122.13</v>
      </c>
      <c r="F120" s="2" t="n">
        <f aca="false">IFERROR(__xludf.dummyfunction("""COMPUTED_VALUE"""),957708)</f>
        <v>957708</v>
      </c>
    </row>
    <row r="121" customFormat="false" ht="15.75" hidden="false" customHeight="false" outlineLevel="0" collapsed="false">
      <c r="A121" s="3" t="n">
        <f aca="false">IFERROR(__xludf.dummyfunction("""COMPUTED_VALUE"""),44371.6666666667)</f>
        <v>44371.6666666667</v>
      </c>
      <c r="B121" s="2" t="n">
        <f aca="false">IFERROR(__xludf.dummyfunction("""COMPUTED_VALUE"""),122.7)</f>
        <v>122.7</v>
      </c>
      <c r="C121" s="2" t="n">
        <f aca="false">IFERROR(__xludf.dummyfunction("""COMPUTED_VALUE"""),123.06)</f>
        <v>123.06</v>
      </c>
      <c r="D121" s="2" t="n">
        <f aca="false">IFERROR(__xludf.dummyfunction("""COMPUTED_VALUE"""),122.3)</f>
        <v>122.3</v>
      </c>
      <c r="E121" s="2" t="n">
        <f aca="false">IFERROR(__xludf.dummyfunction("""COMPUTED_VALUE"""),122.5)</f>
        <v>122.5</v>
      </c>
      <c r="F121" s="2" t="n">
        <f aca="false">IFERROR(__xludf.dummyfunction("""COMPUTED_VALUE"""),1068257)</f>
        <v>1068257</v>
      </c>
    </row>
    <row r="122" customFormat="false" ht="15.75" hidden="false" customHeight="false" outlineLevel="0" collapsed="false">
      <c r="A122" s="3" t="n">
        <f aca="false">IFERROR(__xludf.dummyfunction("""COMPUTED_VALUE"""),44372.6666666667)</f>
        <v>44372.6666666667</v>
      </c>
      <c r="B122" s="2" t="n">
        <f aca="false">IFERROR(__xludf.dummyfunction("""COMPUTED_VALUE"""),122)</f>
        <v>122</v>
      </c>
      <c r="C122" s="2" t="n">
        <f aca="false">IFERROR(__xludf.dummyfunction("""COMPUTED_VALUE"""),122.63)</f>
        <v>122.63</v>
      </c>
      <c r="D122" s="2" t="n">
        <f aca="false">IFERROR(__xludf.dummyfunction("""COMPUTED_VALUE"""),121.57)</f>
        <v>121.57</v>
      </c>
      <c r="E122" s="2" t="n">
        <f aca="false">IFERROR(__xludf.dummyfunction("""COMPUTED_VALUE"""),122.51)</f>
        <v>122.51</v>
      </c>
      <c r="F122" s="2" t="n">
        <f aca="false">IFERROR(__xludf.dummyfunction("""COMPUTED_VALUE"""),1729819)</f>
        <v>1729819</v>
      </c>
    </row>
    <row r="123" customFormat="false" ht="15.75" hidden="false" customHeight="false" outlineLevel="0" collapsed="false">
      <c r="A123" s="3" t="n">
        <f aca="false">IFERROR(__xludf.dummyfunction("""COMPUTED_VALUE"""),44375.6666666667)</f>
        <v>44375.6666666667</v>
      </c>
      <c r="B123" s="2" t="n">
        <f aca="false">IFERROR(__xludf.dummyfunction("""COMPUTED_VALUE"""),122.68)</f>
        <v>122.68</v>
      </c>
      <c r="C123" s="2" t="n">
        <f aca="false">IFERROR(__xludf.dummyfunction("""COMPUTED_VALUE"""),122.78)</f>
        <v>122.78</v>
      </c>
      <c r="D123" s="2" t="n">
        <f aca="false">IFERROR(__xludf.dummyfunction("""COMPUTED_VALUE"""),121.41)</f>
        <v>121.41</v>
      </c>
      <c r="E123" s="2" t="n">
        <f aca="false">IFERROR(__xludf.dummyfunction("""COMPUTED_VALUE"""),122.54)</f>
        <v>122.54</v>
      </c>
      <c r="F123" s="2" t="n">
        <f aca="false">IFERROR(__xludf.dummyfunction("""COMPUTED_VALUE"""),1426271)</f>
        <v>1426271</v>
      </c>
    </row>
    <row r="124" customFormat="false" ht="15.75" hidden="false" customHeight="false" outlineLevel="0" collapsed="false">
      <c r="A124" s="3" t="n">
        <f aca="false">IFERROR(__xludf.dummyfunction("""COMPUTED_VALUE"""),44376.6666666667)</f>
        <v>44376.6666666667</v>
      </c>
      <c r="B124" s="2" t="n">
        <f aca="false">IFERROR(__xludf.dummyfunction("""COMPUTED_VALUE"""),122.67)</f>
        <v>122.67</v>
      </c>
      <c r="C124" s="2" t="n">
        <f aca="false">IFERROR(__xludf.dummyfunction("""COMPUTED_VALUE"""),123.02)</f>
        <v>123.02</v>
      </c>
      <c r="D124" s="2" t="n">
        <f aca="false">IFERROR(__xludf.dummyfunction("""COMPUTED_VALUE"""),121.69)</f>
        <v>121.69</v>
      </c>
      <c r="E124" s="2" t="n">
        <f aca="false">IFERROR(__xludf.dummyfunction("""COMPUTED_VALUE"""),122.27)</f>
        <v>122.27</v>
      </c>
      <c r="F124" s="2" t="n">
        <f aca="false">IFERROR(__xludf.dummyfunction("""COMPUTED_VALUE"""),1155436)</f>
        <v>1155436</v>
      </c>
    </row>
    <row r="125" customFormat="false" ht="15.75" hidden="false" customHeight="false" outlineLevel="0" collapsed="false">
      <c r="A125" s="3" t="n">
        <f aca="false">IFERROR(__xludf.dummyfunction("""COMPUTED_VALUE"""),44377.6666666667)</f>
        <v>44377.6666666667</v>
      </c>
      <c r="B125" s="2" t="n">
        <f aca="false">IFERROR(__xludf.dummyfunction("""COMPUTED_VALUE"""),121.99)</f>
        <v>121.99</v>
      </c>
      <c r="C125" s="2" t="n">
        <f aca="false">IFERROR(__xludf.dummyfunction("""COMPUTED_VALUE"""),122.26)</f>
        <v>122.26</v>
      </c>
      <c r="D125" s="2" t="n">
        <f aca="false">IFERROR(__xludf.dummyfunction("""COMPUTED_VALUE"""),121.35)</f>
        <v>121.35</v>
      </c>
      <c r="E125" s="2" t="n">
        <f aca="false">IFERROR(__xludf.dummyfunction("""COMPUTED_VALUE"""),122.09)</f>
        <v>122.09</v>
      </c>
      <c r="F125" s="2" t="n">
        <f aca="false">IFERROR(__xludf.dummyfunction("""COMPUTED_VALUE"""),1223699)</f>
        <v>1223699</v>
      </c>
    </row>
    <row r="126" customFormat="false" ht="15.75" hidden="false" customHeight="false" outlineLevel="0" collapsed="false">
      <c r="A126" s="3" t="n">
        <f aca="false">IFERROR(__xludf.dummyfunction("""COMPUTED_VALUE"""),44378.6666666667)</f>
        <v>44378.6666666667</v>
      </c>
      <c r="B126" s="2" t="n">
        <f aca="false">IFERROR(__xludf.dummyfunction("""COMPUTED_VALUE"""),121.73)</f>
        <v>121.73</v>
      </c>
      <c r="C126" s="2" t="n">
        <f aca="false">IFERROR(__xludf.dummyfunction("""COMPUTED_VALUE"""),122.59)</f>
        <v>122.59</v>
      </c>
      <c r="D126" s="2" t="n">
        <f aca="false">IFERROR(__xludf.dummyfunction("""COMPUTED_VALUE"""),121.53)</f>
        <v>121.53</v>
      </c>
      <c r="E126" s="2" t="n">
        <f aca="false">IFERROR(__xludf.dummyfunction("""COMPUTED_VALUE"""),122.44)</f>
        <v>122.44</v>
      </c>
      <c r="F126" s="2" t="n">
        <f aca="false">IFERROR(__xludf.dummyfunction("""COMPUTED_VALUE"""),905641)</f>
        <v>905641</v>
      </c>
    </row>
    <row r="127" customFormat="false" ht="15.75" hidden="false" customHeight="false" outlineLevel="0" collapsed="false">
      <c r="A127" s="3" t="n">
        <f aca="false">IFERROR(__xludf.dummyfunction("""COMPUTED_VALUE"""),44379.6666666667)</f>
        <v>44379.6666666667</v>
      </c>
      <c r="B127" s="2" t="n">
        <f aca="false">IFERROR(__xludf.dummyfunction("""COMPUTED_VALUE"""),123.15)</f>
        <v>123.15</v>
      </c>
      <c r="C127" s="2" t="n">
        <f aca="false">IFERROR(__xludf.dummyfunction("""COMPUTED_VALUE"""),125.4)</f>
        <v>125.4</v>
      </c>
      <c r="D127" s="2" t="n">
        <f aca="false">IFERROR(__xludf.dummyfunction("""COMPUTED_VALUE"""),123.06)</f>
        <v>123.06</v>
      </c>
      <c r="E127" s="2" t="n">
        <f aca="false">IFERROR(__xludf.dummyfunction("""COMPUTED_VALUE"""),125.26)</f>
        <v>125.26</v>
      </c>
      <c r="F127" s="2" t="n">
        <f aca="false">IFERROR(__xludf.dummyfunction("""COMPUTED_VALUE"""),1300109)</f>
        <v>1300109</v>
      </c>
    </row>
    <row r="128" customFormat="false" ht="15.75" hidden="false" customHeight="false" outlineLevel="0" collapsed="false">
      <c r="A128" s="3" t="n">
        <f aca="false">IFERROR(__xludf.dummyfunction("""COMPUTED_VALUE"""),44383.6666666667)</f>
        <v>44383.6666666667</v>
      </c>
      <c r="B128" s="2" t="n">
        <f aca="false">IFERROR(__xludf.dummyfunction("""COMPUTED_VALUE"""),125.65)</f>
        <v>125.65</v>
      </c>
      <c r="C128" s="2" t="n">
        <f aca="false">IFERROR(__xludf.dummyfunction("""COMPUTED_VALUE"""),126.43)</f>
        <v>126.43</v>
      </c>
      <c r="D128" s="2" t="n">
        <f aca="false">IFERROR(__xludf.dummyfunction("""COMPUTED_VALUE"""),124.58)</f>
        <v>124.58</v>
      </c>
      <c r="E128" s="2" t="n">
        <f aca="false">IFERROR(__xludf.dummyfunction("""COMPUTED_VALUE"""),126.19)</f>
        <v>126.19</v>
      </c>
      <c r="F128" s="2" t="n">
        <f aca="false">IFERROR(__xludf.dummyfunction("""COMPUTED_VALUE"""),1320179)</f>
        <v>1320179</v>
      </c>
    </row>
    <row r="129" customFormat="false" ht="15.75" hidden="false" customHeight="false" outlineLevel="0" collapsed="false">
      <c r="A129" s="3" t="n">
        <f aca="false">IFERROR(__xludf.dummyfunction("""COMPUTED_VALUE"""),44384.6666666667)</f>
        <v>44384.6666666667</v>
      </c>
      <c r="B129" s="2" t="n">
        <f aca="false">IFERROR(__xludf.dummyfunction("""COMPUTED_VALUE"""),127.16)</f>
        <v>127.16</v>
      </c>
      <c r="C129" s="2" t="n">
        <f aca="false">IFERROR(__xludf.dummyfunction("""COMPUTED_VALUE"""),127.28)</f>
        <v>127.28</v>
      </c>
      <c r="D129" s="2" t="n">
        <f aca="false">IFERROR(__xludf.dummyfunction("""COMPUTED_VALUE"""),126.15)</f>
        <v>126.15</v>
      </c>
      <c r="E129" s="2" t="n">
        <f aca="false">IFERROR(__xludf.dummyfunction("""COMPUTED_VALUE"""),126.47)</f>
        <v>126.47</v>
      </c>
      <c r="F129" s="2" t="n">
        <f aca="false">IFERROR(__xludf.dummyfunction("""COMPUTED_VALUE"""),1202951)</f>
        <v>1202951</v>
      </c>
    </row>
    <row r="130" customFormat="false" ht="15.75" hidden="false" customHeight="false" outlineLevel="0" collapsed="false">
      <c r="A130" s="3" t="n">
        <f aca="false">IFERROR(__xludf.dummyfunction("""COMPUTED_VALUE"""),44385.6666666667)</f>
        <v>44385.6666666667</v>
      </c>
      <c r="B130" s="2" t="n">
        <f aca="false">IFERROR(__xludf.dummyfunction("""COMPUTED_VALUE"""),124.03)</f>
        <v>124.03</v>
      </c>
      <c r="C130" s="2" t="n">
        <f aca="false">IFERROR(__xludf.dummyfunction("""COMPUTED_VALUE"""),125.6)</f>
        <v>125.6</v>
      </c>
      <c r="D130" s="2" t="n">
        <f aca="false">IFERROR(__xludf.dummyfunction("""COMPUTED_VALUE"""),124.02)</f>
        <v>124.02</v>
      </c>
      <c r="E130" s="2" t="n">
        <f aca="false">IFERROR(__xludf.dummyfunction("""COMPUTED_VALUE"""),125.04)</f>
        <v>125.04</v>
      </c>
      <c r="F130" s="2" t="n">
        <f aca="false">IFERROR(__xludf.dummyfunction("""COMPUTED_VALUE"""),1189467)</f>
        <v>1189467</v>
      </c>
    </row>
    <row r="131" customFormat="false" ht="15.75" hidden="false" customHeight="false" outlineLevel="0" collapsed="false">
      <c r="A131" s="3" t="n">
        <f aca="false">IFERROR(__xludf.dummyfunction("""COMPUTED_VALUE"""),44386.6666666667)</f>
        <v>44386.6666666667</v>
      </c>
      <c r="B131" s="2" t="n">
        <f aca="false">IFERROR(__xludf.dummyfunction("""COMPUTED_VALUE"""),125.03)</f>
        <v>125.03</v>
      </c>
      <c r="C131" s="2" t="n">
        <f aca="false">IFERROR(__xludf.dummyfunction("""COMPUTED_VALUE"""),125.73)</f>
        <v>125.73</v>
      </c>
      <c r="D131" s="2" t="n">
        <f aca="false">IFERROR(__xludf.dummyfunction("""COMPUTED_VALUE"""),124.55)</f>
        <v>124.55</v>
      </c>
      <c r="E131" s="2" t="n">
        <f aca="false">IFERROR(__xludf.dummyfunction("""COMPUTED_VALUE"""),125.52)</f>
        <v>125.52</v>
      </c>
      <c r="F131" s="2" t="n">
        <f aca="false">IFERROR(__xludf.dummyfunction("""COMPUTED_VALUE"""),931584)</f>
        <v>931584</v>
      </c>
    </row>
    <row r="132" customFormat="false" ht="15.75" hidden="false" customHeight="false" outlineLevel="0" collapsed="false">
      <c r="A132" s="3" t="n">
        <f aca="false">IFERROR(__xludf.dummyfunction("""COMPUTED_VALUE"""),44389.6666666667)</f>
        <v>44389.6666666667</v>
      </c>
      <c r="B132" s="2" t="n">
        <f aca="false">IFERROR(__xludf.dummyfunction("""COMPUTED_VALUE"""),126.18)</f>
        <v>126.18</v>
      </c>
      <c r="C132" s="2" t="n">
        <f aca="false">IFERROR(__xludf.dummyfunction("""COMPUTED_VALUE"""),127.07)</f>
        <v>127.07</v>
      </c>
      <c r="D132" s="2" t="n">
        <f aca="false">IFERROR(__xludf.dummyfunction("""COMPUTED_VALUE"""),125.61)</f>
        <v>125.61</v>
      </c>
      <c r="E132" s="2" t="n">
        <f aca="false">IFERROR(__xludf.dummyfunction("""COMPUTED_VALUE"""),126.98)</f>
        <v>126.98</v>
      </c>
      <c r="F132" s="2" t="n">
        <f aca="false">IFERROR(__xludf.dummyfunction("""COMPUTED_VALUE"""),883389)</f>
        <v>883389</v>
      </c>
    </row>
    <row r="133" customFormat="false" ht="15.75" hidden="false" customHeight="false" outlineLevel="0" collapsed="false">
      <c r="A133" s="3" t="n">
        <f aca="false">IFERROR(__xludf.dummyfunction("""COMPUTED_VALUE"""),44390.6666666667)</f>
        <v>44390.6666666667</v>
      </c>
      <c r="B133" s="2" t="n">
        <f aca="false">IFERROR(__xludf.dummyfunction("""COMPUTED_VALUE"""),127.04)</f>
        <v>127.04</v>
      </c>
      <c r="C133" s="2" t="n">
        <f aca="false">IFERROR(__xludf.dummyfunction("""COMPUTED_VALUE"""),128.06)</f>
        <v>128.06</v>
      </c>
      <c r="D133" s="2" t="n">
        <f aca="false">IFERROR(__xludf.dummyfunction("""COMPUTED_VALUE"""),126.67)</f>
        <v>126.67</v>
      </c>
      <c r="E133" s="2" t="n">
        <f aca="false">IFERROR(__xludf.dummyfunction("""COMPUTED_VALUE"""),127.34)</f>
        <v>127.34</v>
      </c>
      <c r="F133" s="2" t="n">
        <f aca="false">IFERROR(__xludf.dummyfunction("""COMPUTED_VALUE"""),962347)</f>
        <v>962347</v>
      </c>
    </row>
    <row r="134" customFormat="false" ht="15.75" hidden="false" customHeight="false" outlineLevel="0" collapsed="false">
      <c r="A134" s="3" t="n">
        <f aca="false">IFERROR(__xludf.dummyfunction("""COMPUTED_VALUE"""),44391.6666666667)</f>
        <v>44391.6666666667</v>
      </c>
      <c r="B134" s="2" t="n">
        <f aca="false">IFERROR(__xludf.dummyfunction("""COMPUTED_VALUE"""),127.96)</f>
        <v>127.96</v>
      </c>
      <c r="C134" s="2" t="n">
        <f aca="false">IFERROR(__xludf.dummyfunction("""COMPUTED_VALUE"""),129.33)</f>
        <v>129.33</v>
      </c>
      <c r="D134" s="2" t="n">
        <f aca="false">IFERROR(__xludf.dummyfunction("""COMPUTED_VALUE"""),127.91)</f>
        <v>127.91</v>
      </c>
      <c r="E134" s="2" t="n">
        <f aca="false">IFERROR(__xludf.dummyfunction("""COMPUTED_VALUE"""),128.24)</f>
        <v>128.24</v>
      </c>
      <c r="F134" s="2" t="n">
        <f aca="false">IFERROR(__xludf.dummyfunction("""COMPUTED_VALUE"""),1187283)</f>
        <v>1187283</v>
      </c>
    </row>
    <row r="135" customFormat="false" ht="15.75" hidden="false" customHeight="false" outlineLevel="0" collapsed="false">
      <c r="A135" s="3" t="n">
        <f aca="false">IFERROR(__xludf.dummyfunction("""COMPUTED_VALUE"""),44392.6666666667)</f>
        <v>44392.6666666667</v>
      </c>
      <c r="B135" s="2" t="n">
        <f aca="false">IFERROR(__xludf.dummyfunction("""COMPUTED_VALUE"""),128.65)</f>
        <v>128.65</v>
      </c>
      <c r="C135" s="2" t="n">
        <f aca="false">IFERROR(__xludf.dummyfunction("""COMPUTED_VALUE"""),128.7)</f>
        <v>128.7</v>
      </c>
      <c r="D135" s="2" t="n">
        <f aca="false">IFERROR(__xludf.dummyfunction("""COMPUTED_VALUE"""),126.53)</f>
        <v>126.53</v>
      </c>
      <c r="E135" s="2" t="n">
        <f aca="false">IFERROR(__xludf.dummyfunction("""COMPUTED_VALUE"""),127.01)</f>
        <v>127.01</v>
      </c>
      <c r="F135" s="2" t="n">
        <f aca="false">IFERROR(__xludf.dummyfunction("""COMPUTED_VALUE"""),1210940)</f>
        <v>1210940</v>
      </c>
    </row>
    <row r="136" customFormat="false" ht="15.75" hidden="false" customHeight="false" outlineLevel="0" collapsed="false">
      <c r="A136" s="3" t="n">
        <f aca="false">IFERROR(__xludf.dummyfunction("""COMPUTED_VALUE"""),44393.6666666667)</f>
        <v>44393.6666666667</v>
      </c>
      <c r="B136" s="2" t="n">
        <f aca="false">IFERROR(__xludf.dummyfunction("""COMPUTED_VALUE"""),127.66)</f>
        <v>127.66</v>
      </c>
      <c r="C136" s="2" t="n">
        <f aca="false">IFERROR(__xludf.dummyfunction("""COMPUTED_VALUE"""),127.81)</f>
        <v>127.81</v>
      </c>
      <c r="D136" s="2" t="n">
        <f aca="false">IFERROR(__xludf.dummyfunction("""COMPUTED_VALUE"""),126.15)</f>
        <v>126.15</v>
      </c>
      <c r="E136" s="2" t="n">
        <f aca="false">IFERROR(__xludf.dummyfunction("""COMPUTED_VALUE"""),126.97)</f>
        <v>126.97</v>
      </c>
      <c r="F136" s="2" t="n">
        <f aca="false">IFERROR(__xludf.dummyfunction("""COMPUTED_VALUE"""),1021227)</f>
        <v>1021227</v>
      </c>
    </row>
    <row r="137" customFormat="false" ht="15.75" hidden="false" customHeight="false" outlineLevel="0" collapsed="false">
      <c r="A137" s="3" t="n">
        <f aca="false">IFERROR(__xludf.dummyfunction("""COMPUTED_VALUE"""),44396.6666666667)</f>
        <v>44396.6666666667</v>
      </c>
      <c r="B137" s="2" t="n">
        <f aca="false">IFERROR(__xludf.dummyfunction("""COMPUTED_VALUE"""),126.09)</f>
        <v>126.09</v>
      </c>
      <c r="C137" s="2" t="n">
        <f aca="false">IFERROR(__xludf.dummyfunction("""COMPUTED_VALUE"""),126.21)</f>
        <v>126.21</v>
      </c>
      <c r="D137" s="2" t="n">
        <f aca="false">IFERROR(__xludf.dummyfunction("""COMPUTED_VALUE"""),123.51)</f>
        <v>123.51</v>
      </c>
      <c r="E137" s="2" t="n">
        <f aca="false">IFERROR(__xludf.dummyfunction("""COMPUTED_VALUE"""),124.58)</f>
        <v>124.58</v>
      </c>
      <c r="F137" s="2" t="n">
        <f aca="false">IFERROR(__xludf.dummyfunction("""COMPUTED_VALUE"""),1398379)</f>
        <v>1398379</v>
      </c>
    </row>
    <row r="138" customFormat="false" ht="15.75" hidden="false" customHeight="false" outlineLevel="0" collapsed="false">
      <c r="A138" s="3" t="n">
        <f aca="false">IFERROR(__xludf.dummyfunction("""COMPUTED_VALUE"""),44397.6666666667)</f>
        <v>44397.6666666667</v>
      </c>
      <c r="B138" s="2" t="n">
        <f aca="false">IFERROR(__xludf.dummyfunction("""COMPUTED_VALUE"""),125.53)</f>
        <v>125.53</v>
      </c>
      <c r="C138" s="2" t="n">
        <f aca="false">IFERROR(__xludf.dummyfunction("""COMPUTED_VALUE"""),127.04)</f>
        <v>127.04</v>
      </c>
      <c r="D138" s="2" t="n">
        <f aca="false">IFERROR(__xludf.dummyfunction("""COMPUTED_VALUE"""),124.35)</f>
        <v>124.35</v>
      </c>
      <c r="E138" s="2" t="n">
        <f aca="false">IFERROR(__xludf.dummyfunction("""COMPUTED_VALUE"""),126.21)</f>
        <v>126.21</v>
      </c>
      <c r="F138" s="2" t="n">
        <f aca="false">IFERROR(__xludf.dummyfunction("""COMPUTED_VALUE"""),1315822)</f>
        <v>1315822</v>
      </c>
    </row>
    <row r="139" customFormat="false" ht="15.75" hidden="false" customHeight="false" outlineLevel="0" collapsed="false">
      <c r="A139" s="3" t="n">
        <f aca="false">IFERROR(__xludf.dummyfunction("""COMPUTED_VALUE"""),44398.6666666667)</f>
        <v>44398.6666666667</v>
      </c>
      <c r="B139" s="2" t="n">
        <f aca="false">IFERROR(__xludf.dummyfunction("""COMPUTED_VALUE"""),126.13)</f>
        <v>126.13</v>
      </c>
      <c r="C139" s="2" t="n">
        <f aca="false">IFERROR(__xludf.dummyfunction("""COMPUTED_VALUE"""),127.6)</f>
        <v>127.6</v>
      </c>
      <c r="D139" s="2" t="n">
        <f aca="false">IFERROR(__xludf.dummyfunction("""COMPUTED_VALUE"""),126.02)</f>
        <v>126.02</v>
      </c>
      <c r="E139" s="2" t="n">
        <f aca="false">IFERROR(__xludf.dummyfunction("""COMPUTED_VALUE"""),127.55)</f>
        <v>127.55</v>
      </c>
      <c r="F139" s="2" t="n">
        <f aca="false">IFERROR(__xludf.dummyfunction("""COMPUTED_VALUE"""),1037309)</f>
        <v>1037309</v>
      </c>
    </row>
    <row r="140" customFormat="false" ht="15.75" hidden="false" customHeight="false" outlineLevel="0" collapsed="false">
      <c r="A140" s="3" t="n">
        <f aca="false">IFERROR(__xludf.dummyfunction("""COMPUTED_VALUE"""),44399.6666666667)</f>
        <v>44399.6666666667</v>
      </c>
      <c r="B140" s="2" t="n">
        <f aca="false">IFERROR(__xludf.dummyfunction("""COMPUTED_VALUE"""),127.84)</f>
        <v>127.84</v>
      </c>
      <c r="C140" s="2" t="n">
        <f aca="false">IFERROR(__xludf.dummyfunction("""COMPUTED_VALUE"""),128.48)</f>
        <v>128.48</v>
      </c>
      <c r="D140" s="2" t="n">
        <f aca="false">IFERROR(__xludf.dummyfunction("""COMPUTED_VALUE"""),127.5)</f>
        <v>127.5</v>
      </c>
      <c r="E140" s="2" t="n">
        <f aca="false">IFERROR(__xludf.dummyfunction("""COMPUTED_VALUE"""),128.42)</f>
        <v>128.42</v>
      </c>
      <c r="F140" s="2" t="n">
        <f aca="false">IFERROR(__xludf.dummyfunction("""COMPUTED_VALUE"""),715094)</f>
        <v>715094</v>
      </c>
    </row>
    <row r="141" customFormat="false" ht="15.75" hidden="false" customHeight="false" outlineLevel="0" collapsed="false">
      <c r="A141" s="3" t="n">
        <f aca="false">IFERROR(__xludf.dummyfunction("""COMPUTED_VALUE"""),44400.6666666667)</f>
        <v>44400.6666666667</v>
      </c>
      <c r="B141" s="2" t="n">
        <f aca="false">IFERROR(__xludf.dummyfunction("""COMPUTED_VALUE"""),130.43)</f>
        <v>130.43</v>
      </c>
      <c r="C141" s="2" t="n">
        <f aca="false">IFERROR(__xludf.dummyfunction("""COMPUTED_VALUE"""),133.4)</f>
        <v>133.4</v>
      </c>
      <c r="D141" s="2" t="n">
        <f aca="false">IFERROR(__xludf.dummyfunction("""COMPUTED_VALUE"""),129.8)</f>
        <v>129.8</v>
      </c>
      <c r="E141" s="2" t="n">
        <f aca="false">IFERROR(__xludf.dummyfunction("""COMPUTED_VALUE"""),133.01)</f>
        <v>133.01</v>
      </c>
      <c r="F141" s="2" t="n">
        <f aca="false">IFERROR(__xludf.dummyfunction("""COMPUTED_VALUE"""),2075321)</f>
        <v>2075321</v>
      </c>
    </row>
    <row r="142" customFormat="false" ht="15.75" hidden="false" customHeight="false" outlineLevel="0" collapsed="false">
      <c r="A142" s="3" t="n">
        <f aca="false">IFERROR(__xludf.dummyfunction("""COMPUTED_VALUE"""),44403.6666666667)</f>
        <v>44403.6666666667</v>
      </c>
      <c r="B142" s="2" t="n">
        <f aca="false">IFERROR(__xludf.dummyfunction("""COMPUTED_VALUE"""),133.33)</f>
        <v>133.33</v>
      </c>
      <c r="C142" s="2" t="n">
        <f aca="false">IFERROR(__xludf.dummyfunction("""COMPUTED_VALUE"""),134.24)</f>
        <v>134.24</v>
      </c>
      <c r="D142" s="2" t="n">
        <f aca="false">IFERROR(__xludf.dummyfunction("""COMPUTED_VALUE"""),132.3)</f>
        <v>132.3</v>
      </c>
      <c r="E142" s="2" t="n">
        <f aca="false">IFERROR(__xludf.dummyfunction("""COMPUTED_VALUE"""),134.04)</f>
        <v>134.04</v>
      </c>
      <c r="F142" s="2" t="n">
        <f aca="false">IFERROR(__xludf.dummyfunction("""COMPUTED_VALUE"""),1528574)</f>
        <v>1528574</v>
      </c>
    </row>
    <row r="143" customFormat="false" ht="15.75" hidden="false" customHeight="false" outlineLevel="0" collapsed="false">
      <c r="A143" s="3" t="n">
        <f aca="false">IFERROR(__xludf.dummyfunction("""COMPUTED_VALUE"""),44404.6666666667)</f>
        <v>44404.6666666667</v>
      </c>
      <c r="B143" s="2" t="n">
        <f aca="false">IFERROR(__xludf.dummyfunction("""COMPUTED_VALUE"""),134.25)</f>
        <v>134.25</v>
      </c>
      <c r="C143" s="2" t="n">
        <f aca="false">IFERROR(__xludf.dummyfunction("""COMPUTED_VALUE"""),134.4)</f>
        <v>134.4</v>
      </c>
      <c r="D143" s="2" t="n">
        <f aca="false">IFERROR(__xludf.dummyfunction("""COMPUTED_VALUE"""),130.1)</f>
        <v>130.1</v>
      </c>
      <c r="E143" s="2" t="n">
        <f aca="false">IFERROR(__xludf.dummyfunction("""COMPUTED_VALUE"""),131.9)</f>
        <v>131.9</v>
      </c>
      <c r="F143" s="2" t="n">
        <f aca="false">IFERROR(__xludf.dummyfunction("""COMPUTED_VALUE"""),2735474)</f>
        <v>2735474</v>
      </c>
    </row>
    <row r="144" customFormat="false" ht="15.75" hidden="false" customHeight="false" outlineLevel="0" collapsed="false">
      <c r="A144" s="3" t="n">
        <f aca="false">IFERROR(__xludf.dummyfunction("""COMPUTED_VALUE"""),44405.6666666667)</f>
        <v>44405.6666666667</v>
      </c>
      <c r="B144" s="2" t="n">
        <f aca="false">IFERROR(__xludf.dummyfunction("""COMPUTED_VALUE"""),136.31)</f>
        <v>136.31</v>
      </c>
      <c r="C144" s="2" t="n">
        <f aca="false">IFERROR(__xludf.dummyfunction("""COMPUTED_VALUE"""),138.3)</f>
        <v>138.3</v>
      </c>
      <c r="D144" s="2" t="n">
        <f aca="false">IFERROR(__xludf.dummyfunction("""COMPUTED_VALUE"""),135.28)</f>
        <v>135.28</v>
      </c>
      <c r="E144" s="2" t="n">
        <f aca="false">IFERROR(__xludf.dummyfunction("""COMPUTED_VALUE"""),136.09)</f>
        <v>136.09</v>
      </c>
      <c r="F144" s="2" t="n">
        <f aca="false">IFERROR(__xludf.dummyfunction("""COMPUTED_VALUE"""),4756530)</f>
        <v>4756530</v>
      </c>
    </row>
    <row r="145" customFormat="false" ht="15.75" hidden="false" customHeight="false" outlineLevel="0" collapsed="false">
      <c r="A145" s="3" t="n">
        <f aca="false">IFERROR(__xludf.dummyfunction("""COMPUTED_VALUE"""),44406.6666666667)</f>
        <v>44406.6666666667</v>
      </c>
      <c r="B145" s="2" t="n">
        <f aca="false">IFERROR(__xludf.dummyfunction("""COMPUTED_VALUE"""),136.15)</f>
        <v>136.15</v>
      </c>
      <c r="C145" s="2" t="n">
        <f aca="false">IFERROR(__xludf.dummyfunction("""COMPUTED_VALUE"""),136.66)</f>
        <v>136.66</v>
      </c>
      <c r="D145" s="2" t="n">
        <f aca="false">IFERROR(__xludf.dummyfunction("""COMPUTED_VALUE"""),135.54)</f>
        <v>135.54</v>
      </c>
      <c r="E145" s="2" t="n">
        <f aca="false">IFERROR(__xludf.dummyfunction("""COMPUTED_VALUE"""),135.78)</f>
        <v>135.78</v>
      </c>
      <c r="F145" s="2" t="n">
        <f aca="false">IFERROR(__xludf.dummyfunction("""COMPUTED_VALUE"""),1585786)</f>
        <v>1585786</v>
      </c>
    </row>
    <row r="146" customFormat="false" ht="15.75" hidden="false" customHeight="false" outlineLevel="0" collapsed="false">
      <c r="A146" s="3" t="n">
        <f aca="false">IFERROR(__xludf.dummyfunction("""COMPUTED_VALUE"""),44407.6666666667)</f>
        <v>44407.6666666667</v>
      </c>
      <c r="B146" s="2" t="n">
        <f aca="false">IFERROR(__xludf.dummyfunction("""COMPUTED_VALUE"""),135.04)</f>
        <v>135.04</v>
      </c>
      <c r="C146" s="2" t="n">
        <f aca="false">IFERROR(__xludf.dummyfunction("""COMPUTED_VALUE"""),135.3)</f>
        <v>135.3</v>
      </c>
      <c r="D146" s="2" t="n">
        <f aca="false">IFERROR(__xludf.dummyfunction("""COMPUTED_VALUE"""),134.26)</f>
        <v>134.26</v>
      </c>
      <c r="E146" s="2" t="n">
        <f aca="false">IFERROR(__xludf.dummyfunction("""COMPUTED_VALUE"""),134.73)</f>
        <v>134.73</v>
      </c>
      <c r="F146" s="2" t="n">
        <f aca="false">IFERROR(__xludf.dummyfunction("""COMPUTED_VALUE"""),1278789)</f>
        <v>1278789</v>
      </c>
    </row>
    <row r="147" customFormat="false" ht="15.75" hidden="false" customHeight="false" outlineLevel="0" collapsed="false">
      <c r="A147" s="3" t="n">
        <f aca="false">IFERROR(__xludf.dummyfunction("""COMPUTED_VALUE"""),44410.6666666667)</f>
        <v>44410.6666666667</v>
      </c>
      <c r="B147" s="2" t="n">
        <f aca="false">IFERROR(__xludf.dummyfunction("""COMPUTED_VALUE"""),135.12)</f>
        <v>135.12</v>
      </c>
      <c r="C147" s="2" t="n">
        <f aca="false">IFERROR(__xludf.dummyfunction("""COMPUTED_VALUE"""),135.34)</f>
        <v>135.34</v>
      </c>
      <c r="D147" s="2" t="n">
        <f aca="false">IFERROR(__xludf.dummyfunction("""COMPUTED_VALUE"""),133.79)</f>
        <v>133.79</v>
      </c>
      <c r="E147" s="2" t="n">
        <f aca="false">IFERROR(__xludf.dummyfunction("""COMPUTED_VALUE"""),134.85)</f>
        <v>134.85</v>
      </c>
      <c r="F147" s="2" t="n">
        <f aca="false">IFERROR(__xludf.dummyfunction("""COMPUTED_VALUE"""),1081710)</f>
        <v>1081710</v>
      </c>
    </row>
    <row r="148" customFormat="false" ht="15.75" hidden="false" customHeight="false" outlineLevel="0" collapsed="false">
      <c r="A148" s="3" t="n">
        <f aca="false">IFERROR(__xludf.dummyfunction("""COMPUTED_VALUE"""),44411.6666666667)</f>
        <v>44411.6666666667</v>
      </c>
      <c r="B148" s="2" t="n">
        <f aca="false">IFERROR(__xludf.dummyfunction("""COMPUTED_VALUE"""),135.14)</f>
        <v>135.14</v>
      </c>
      <c r="C148" s="2" t="n">
        <f aca="false">IFERROR(__xludf.dummyfunction("""COMPUTED_VALUE"""),135.73)</f>
        <v>135.73</v>
      </c>
      <c r="D148" s="2" t="n">
        <f aca="false">IFERROR(__xludf.dummyfunction("""COMPUTED_VALUE"""),133.32)</f>
        <v>133.32</v>
      </c>
      <c r="E148" s="2" t="n">
        <f aca="false">IFERROR(__xludf.dummyfunction("""COMPUTED_VALUE"""),135.63)</f>
        <v>135.63</v>
      </c>
      <c r="F148" s="2" t="n">
        <f aca="false">IFERROR(__xludf.dummyfunction("""COMPUTED_VALUE"""),1038094)</f>
        <v>1038094</v>
      </c>
    </row>
    <row r="149" customFormat="false" ht="15.75" hidden="false" customHeight="false" outlineLevel="0" collapsed="false">
      <c r="A149" s="3" t="n">
        <f aca="false">IFERROR(__xludf.dummyfunction("""COMPUTED_VALUE"""),44412.6666666667)</f>
        <v>44412.6666666667</v>
      </c>
      <c r="B149" s="2" t="n">
        <f aca="false">IFERROR(__xludf.dummyfunction("""COMPUTED_VALUE"""),135.35)</f>
        <v>135.35</v>
      </c>
      <c r="C149" s="2" t="n">
        <f aca="false">IFERROR(__xludf.dummyfunction("""COMPUTED_VALUE"""),135.65)</f>
        <v>135.65</v>
      </c>
      <c r="D149" s="2" t="n">
        <f aca="false">IFERROR(__xludf.dummyfunction("""COMPUTED_VALUE"""),134.49)</f>
        <v>134.49</v>
      </c>
      <c r="E149" s="2" t="n">
        <f aca="false">IFERROR(__xludf.dummyfunction("""COMPUTED_VALUE"""),135.13)</f>
        <v>135.13</v>
      </c>
      <c r="F149" s="2" t="n">
        <f aca="false">IFERROR(__xludf.dummyfunction("""COMPUTED_VALUE"""),983801)</f>
        <v>983801</v>
      </c>
    </row>
    <row r="150" customFormat="false" ht="15.75" hidden="false" customHeight="false" outlineLevel="0" collapsed="false">
      <c r="A150" s="3" t="n">
        <f aca="false">IFERROR(__xludf.dummyfunction("""COMPUTED_VALUE"""),44413.6666666667)</f>
        <v>44413.6666666667</v>
      </c>
      <c r="B150" s="2" t="n">
        <f aca="false">IFERROR(__xludf.dummyfunction("""COMPUTED_VALUE"""),135.68)</f>
        <v>135.68</v>
      </c>
      <c r="C150" s="2" t="n">
        <f aca="false">IFERROR(__xludf.dummyfunction("""COMPUTED_VALUE"""),136.35)</f>
        <v>136.35</v>
      </c>
      <c r="D150" s="2" t="n">
        <f aca="false">IFERROR(__xludf.dummyfunction("""COMPUTED_VALUE"""),134.85)</f>
        <v>134.85</v>
      </c>
      <c r="E150" s="2" t="n">
        <f aca="false">IFERROR(__xludf.dummyfunction("""COMPUTED_VALUE"""),136.25)</f>
        <v>136.25</v>
      </c>
      <c r="F150" s="2" t="n">
        <f aca="false">IFERROR(__xludf.dummyfunction("""COMPUTED_VALUE"""),893450)</f>
        <v>893450</v>
      </c>
    </row>
    <row r="151" customFormat="false" ht="15.75" hidden="false" customHeight="false" outlineLevel="0" collapsed="false">
      <c r="A151" s="3" t="n">
        <f aca="false">IFERROR(__xludf.dummyfunction("""COMPUTED_VALUE"""),44414.6666666667)</f>
        <v>44414.6666666667</v>
      </c>
      <c r="B151" s="2" t="n">
        <f aca="false">IFERROR(__xludf.dummyfunction("""COMPUTED_VALUE"""),136.04)</f>
        <v>136.04</v>
      </c>
      <c r="C151" s="2" t="n">
        <f aca="false">IFERROR(__xludf.dummyfunction("""COMPUTED_VALUE"""),136.47)</f>
        <v>136.47</v>
      </c>
      <c r="D151" s="2" t="n">
        <f aca="false">IFERROR(__xludf.dummyfunction("""COMPUTED_VALUE"""),135.21)</f>
        <v>135.21</v>
      </c>
      <c r="E151" s="2" t="n">
        <f aca="false">IFERROR(__xludf.dummyfunction("""COMPUTED_VALUE"""),135.74)</f>
        <v>135.74</v>
      </c>
      <c r="F151" s="2" t="n">
        <f aca="false">IFERROR(__xludf.dummyfunction("""COMPUTED_VALUE"""),1024406)</f>
        <v>1024406</v>
      </c>
    </row>
    <row r="152" customFormat="false" ht="15.75" hidden="false" customHeight="false" outlineLevel="0" collapsed="false">
      <c r="A152" s="3" t="n">
        <f aca="false">IFERROR(__xludf.dummyfunction("""COMPUTED_VALUE"""),44417.6666666667)</f>
        <v>44417.6666666667</v>
      </c>
      <c r="B152" s="2" t="n">
        <f aca="false">IFERROR(__xludf.dummyfunction("""COMPUTED_VALUE"""),135.94)</f>
        <v>135.94</v>
      </c>
      <c r="C152" s="2" t="n">
        <f aca="false">IFERROR(__xludf.dummyfunction("""COMPUTED_VALUE"""),137.18)</f>
        <v>137.18</v>
      </c>
      <c r="D152" s="2" t="n">
        <f aca="false">IFERROR(__xludf.dummyfunction("""COMPUTED_VALUE"""),135.34)</f>
        <v>135.34</v>
      </c>
      <c r="E152" s="2" t="n">
        <f aca="false">IFERROR(__xludf.dummyfunction("""COMPUTED_VALUE"""),136.91)</f>
        <v>136.91</v>
      </c>
      <c r="F152" s="2" t="n">
        <f aca="false">IFERROR(__xludf.dummyfunction("""COMPUTED_VALUE"""),888300)</f>
        <v>888300</v>
      </c>
    </row>
    <row r="153" customFormat="false" ht="15.75" hidden="false" customHeight="false" outlineLevel="0" collapsed="false">
      <c r="A153" s="3" t="n">
        <f aca="false">IFERROR(__xludf.dummyfunction("""COMPUTED_VALUE"""),44418.6666666667)</f>
        <v>44418.6666666667</v>
      </c>
      <c r="B153" s="2" t="n">
        <f aca="false">IFERROR(__xludf.dummyfunction("""COMPUTED_VALUE"""),137.34)</f>
        <v>137.34</v>
      </c>
      <c r="C153" s="2" t="n">
        <f aca="false">IFERROR(__xludf.dummyfunction("""COMPUTED_VALUE"""),137.77)</f>
        <v>137.77</v>
      </c>
      <c r="D153" s="2" t="n">
        <f aca="false">IFERROR(__xludf.dummyfunction("""COMPUTED_VALUE"""),136.36)</f>
        <v>136.36</v>
      </c>
      <c r="E153" s="2" t="n">
        <f aca="false">IFERROR(__xludf.dummyfunction("""COMPUTED_VALUE"""),136.81)</f>
        <v>136.81</v>
      </c>
      <c r="F153" s="2" t="n">
        <f aca="false">IFERROR(__xludf.dummyfunction("""COMPUTED_VALUE"""),970704)</f>
        <v>970704</v>
      </c>
    </row>
    <row r="154" customFormat="false" ht="15.75" hidden="false" customHeight="false" outlineLevel="0" collapsed="false">
      <c r="A154" s="3" t="n">
        <f aca="false">IFERROR(__xludf.dummyfunction("""COMPUTED_VALUE"""),44419.6666666667)</f>
        <v>44419.6666666667</v>
      </c>
      <c r="B154" s="2" t="n">
        <f aca="false">IFERROR(__xludf.dummyfunction("""COMPUTED_VALUE"""),137.18)</f>
        <v>137.18</v>
      </c>
      <c r="C154" s="2" t="n">
        <f aca="false">IFERROR(__xludf.dummyfunction("""COMPUTED_VALUE"""),137.68)</f>
        <v>137.68</v>
      </c>
      <c r="D154" s="2" t="n">
        <f aca="false">IFERROR(__xludf.dummyfunction("""COMPUTED_VALUE"""),136.27)</f>
        <v>136.27</v>
      </c>
      <c r="E154" s="2" t="n">
        <f aca="false">IFERROR(__xludf.dummyfunction("""COMPUTED_VALUE"""),136.28)</f>
        <v>136.28</v>
      </c>
      <c r="F154" s="2" t="n">
        <f aca="false">IFERROR(__xludf.dummyfunction("""COMPUTED_VALUE"""),767600)</f>
        <v>767600</v>
      </c>
    </row>
    <row r="155" customFormat="false" ht="15.75" hidden="false" customHeight="false" outlineLevel="0" collapsed="false">
      <c r="A155" s="3" t="n">
        <f aca="false">IFERROR(__xludf.dummyfunction("""COMPUTED_VALUE"""),44420.6666666667)</f>
        <v>44420.6666666667</v>
      </c>
      <c r="B155" s="2" t="n">
        <f aca="false">IFERROR(__xludf.dummyfunction("""COMPUTED_VALUE"""),135.98)</f>
        <v>135.98</v>
      </c>
      <c r="C155" s="2" t="n">
        <f aca="false">IFERROR(__xludf.dummyfunction("""COMPUTED_VALUE"""),137.3)</f>
        <v>137.3</v>
      </c>
      <c r="D155" s="2" t="n">
        <f aca="false">IFERROR(__xludf.dummyfunction("""COMPUTED_VALUE"""),135.43)</f>
        <v>135.43</v>
      </c>
      <c r="E155" s="2" t="n">
        <f aca="false">IFERROR(__xludf.dummyfunction("""COMPUTED_VALUE"""),137.19)</f>
        <v>137.19</v>
      </c>
      <c r="F155" s="2" t="n">
        <f aca="false">IFERROR(__xludf.dummyfunction("""COMPUTED_VALUE"""),825943)</f>
        <v>825943</v>
      </c>
    </row>
    <row r="156" customFormat="false" ht="15.75" hidden="false" customHeight="false" outlineLevel="0" collapsed="false">
      <c r="A156" s="3" t="n">
        <f aca="false">IFERROR(__xludf.dummyfunction("""COMPUTED_VALUE"""),44421.6666666667)</f>
        <v>44421.6666666667</v>
      </c>
      <c r="B156" s="2" t="n">
        <f aca="false">IFERROR(__xludf.dummyfunction("""COMPUTED_VALUE"""),137.25)</f>
        <v>137.25</v>
      </c>
      <c r="C156" s="2" t="n">
        <f aca="false">IFERROR(__xludf.dummyfunction("""COMPUTED_VALUE"""),137.86)</f>
        <v>137.86</v>
      </c>
      <c r="D156" s="2" t="n">
        <f aca="false">IFERROR(__xludf.dummyfunction("""COMPUTED_VALUE"""),137.03)</f>
        <v>137.03</v>
      </c>
      <c r="E156" s="2" t="n">
        <f aca="false">IFERROR(__xludf.dummyfunction("""COMPUTED_VALUE"""),137.73)</f>
        <v>137.73</v>
      </c>
      <c r="F156" s="2" t="n">
        <f aca="false">IFERROR(__xludf.dummyfunction("""COMPUTED_VALUE"""),797372)</f>
        <v>797372</v>
      </c>
    </row>
    <row r="157" customFormat="false" ht="15.75" hidden="false" customHeight="false" outlineLevel="0" collapsed="false">
      <c r="A157" s="3" t="n">
        <f aca="false">IFERROR(__xludf.dummyfunction("""COMPUTED_VALUE"""),44424.6666666667)</f>
        <v>44424.6666666667</v>
      </c>
      <c r="B157" s="2" t="n">
        <f aca="false">IFERROR(__xludf.dummyfunction("""COMPUTED_VALUE"""),137.52)</f>
        <v>137.52</v>
      </c>
      <c r="C157" s="2" t="n">
        <f aca="false">IFERROR(__xludf.dummyfunction("""COMPUTED_VALUE"""),138.36)</f>
        <v>138.36</v>
      </c>
      <c r="D157" s="2" t="n">
        <f aca="false">IFERROR(__xludf.dummyfunction("""COMPUTED_VALUE"""),135.3)</f>
        <v>135.3</v>
      </c>
      <c r="E157" s="2" t="n">
        <f aca="false">IFERROR(__xludf.dummyfunction("""COMPUTED_VALUE"""),138.31)</f>
        <v>138.31</v>
      </c>
      <c r="F157" s="2" t="n">
        <f aca="false">IFERROR(__xludf.dummyfunction("""COMPUTED_VALUE"""),1119918)</f>
        <v>1119918</v>
      </c>
    </row>
    <row r="158" customFormat="false" ht="15.75" hidden="false" customHeight="false" outlineLevel="0" collapsed="false">
      <c r="A158" s="3" t="n">
        <f aca="false">IFERROR(__xludf.dummyfunction("""COMPUTED_VALUE"""),44425.6666666667)</f>
        <v>44425.6666666667</v>
      </c>
      <c r="B158" s="2" t="n">
        <f aca="false">IFERROR(__xludf.dummyfunction("""COMPUTED_VALUE"""),137.75)</f>
        <v>137.75</v>
      </c>
      <c r="C158" s="2" t="n">
        <f aca="false">IFERROR(__xludf.dummyfunction("""COMPUTED_VALUE"""),138.27)</f>
        <v>138.27</v>
      </c>
      <c r="D158" s="2" t="n">
        <f aca="false">IFERROR(__xludf.dummyfunction("""COMPUTED_VALUE"""),136.08)</f>
        <v>136.08</v>
      </c>
      <c r="E158" s="2" t="n">
        <f aca="false">IFERROR(__xludf.dummyfunction("""COMPUTED_VALUE"""),136.66)</f>
        <v>136.66</v>
      </c>
      <c r="F158" s="2" t="n">
        <f aca="false">IFERROR(__xludf.dummyfunction("""COMPUTED_VALUE"""),1085760)</f>
        <v>1085760</v>
      </c>
    </row>
    <row r="159" customFormat="false" ht="15.75" hidden="false" customHeight="false" outlineLevel="0" collapsed="false">
      <c r="A159" s="3" t="n">
        <f aca="false">IFERROR(__xludf.dummyfunction("""COMPUTED_VALUE"""),44426.6666666667)</f>
        <v>44426.6666666667</v>
      </c>
      <c r="B159" s="2" t="n">
        <f aca="false">IFERROR(__xludf.dummyfunction("""COMPUTED_VALUE"""),136.5)</f>
        <v>136.5</v>
      </c>
      <c r="C159" s="2" t="n">
        <f aca="false">IFERROR(__xludf.dummyfunction("""COMPUTED_VALUE"""),137.1)</f>
        <v>137.1</v>
      </c>
      <c r="D159" s="2" t="n">
        <f aca="false">IFERROR(__xludf.dummyfunction("""COMPUTED_VALUE"""),135.32)</f>
        <v>135.32</v>
      </c>
      <c r="E159" s="2" t="n">
        <f aca="false">IFERROR(__xludf.dummyfunction("""COMPUTED_VALUE"""),135.45)</f>
        <v>135.45</v>
      </c>
      <c r="F159" s="2" t="n">
        <f aca="false">IFERROR(__xludf.dummyfunction("""COMPUTED_VALUE"""),962947)</f>
        <v>962947</v>
      </c>
    </row>
    <row r="160" customFormat="false" ht="15.75" hidden="false" customHeight="false" outlineLevel="0" collapsed="false">
      <c r="A160" s="3" t="n">
        <f aca="false">IFERROR(__xludf.dummyfunction("""COMPUTED_VALUE"""),44427.6666666667)</f>
        <v>44427.6666666667</v>
      </c>
      <c r="B160" s="2" t="n">
        <f aca="false">IFERROR(__xludf.dummyfunction("""COMPUTED_VALUE"""),134.44)</f>
        <v>134.44</v>
      </c>
      <c r="C160" s="2" t="n">
        <f aca="false">IFERROR(__xludf.dummyfunction("""COMPUTED_VALUE"""),136.35)</f>
        <v>136.35</v>
      </c>
      <c r="D160" s="2" t="n">
        <f aca="false">IFERROR(__xludf.dummyfunction("""COMPUTED_VALUE"""),134.25)</f>
        <v>134.25</v>
      </c>
      <c r="E160" s="2" t="n">
        <f aca="false">IFERROR(__xludf.dummyfunction("""COMPUTED_VALUE"""),135.68)</f>
        <v>135.68</v>
      </c>
      <c r="F160" s="2" t="n">
        <f aca="false">IFERROR(__xludf.dummyfunction("""COMPUTED_VALUE"""),1089127)</f>
        <v>1089127</v>
      </c>
    </row>
    <row r="161" customFormat="false" ht="15.75" hidden="false" customHeight="false" outlineLevel="0" collapsed="false">
      <c r="A161" s="3" t="n">
        <f aca="false">IFERROR(__xludf.dummyfunction("""COMPUTED_VALUE"""),44428.6666666667)</f>
        <v>44428.6666666667</v>
      </c>
      <c r="B161" s="2" t="n">
        <f aca="false">IFERROR(__xludf.dummyfunction("""COMPUTED_VALUE"""),136)</f>
        <v>136</v>
      </c>
      <c r="C161" s="2" t="n">
        <f aca="false">IFERROR(__xludf.dummyfunction("""COMPUTED_VALUE"""),137.55)</f>
        <v>137.55</v>
      </c>
      <c r="D161" s="2" t="n">
        <f aca="false">IFERROR(__xludf.dummyfunction("""COMPUTED_VALUE"""),135.25)</f>
        <v>135.25</v>
      </c>
      <c r="E161" s="2" t="n">
        <f aca="false">IFERROR(__xludf.dummyfunction("""COMPUTED_VALUE"""),137.43)</f>
        <v>137.43</v>
      </c>
      <c r="F161" s="2" t="n">
        <f aca="false">IFERROR(__xludf.dummyfunction("""COMPUTED_VALUE"""),1559658)</f>
        <v>1559658</v>
      </c>
    </row>
    <row r="162" customFormat="false" ht="15.75" hidden="false" customHeight="false" outlineLevel="0" collapsed="false">
      <c r="A162" s="3" t="n">
        <f aca="false">IFERROR(__xludf.dummyfunction("""COMPUTED_VALUE"""),44431.6666666667)</f>
        <v>44431.6666666667</v>
      </c>
      <c r="B162" s="2" t="n">
        <f aca="false">IFERROR(__xludf.dummyfunction("""COMPUTED_VALUE"""),137.97)</f>
        <v>137.97</v>
      </c>
      <c r="C162" s="2" t="n">
        <f aca="false">IFERROR(__xludf.dummyfunction("""COMPUTED_VALUE"""),140.87)</f>
        <v>140.87</v>
      </c>
      <c r="D162" s="2" t="n">
        <f aca="false">IFERROR(__xludf.dummyfunction("""COMPUTED_VALUE"""),137.61)</f>
        <v>137.61</v>
      </c>
      <c r="E162" s="2" t="n">
        <f aca="false">IFERROR(__xludf.dummyfunction("""COMPUTED_VALUE"""),140.04)</f>
        <v>140.04</v>
      </c>
      <c r="F162" s="2" t="n">
        <f aca="false">IFERROR(__xludf.dummyfunction("""COMPUTED_VALUE"""),1422670)</f>
        <v>1422670</v>
      </c>
    </row>
    <row r="163" customFormat="false" ht="15.75" hidden="false" customHeight="false" outlineLevel="0" collapsed="false">
      <c r="A163" s="3" t="n">
        <f aca="false">IFERROR(__xludf.dummyfunction("""COMPUTED_VALUE"""),44432.6666666667)</f>
        <v>44432.6666666667</v>
      </c>
      <c r="B163" s="2" t="n">
        <f aca="false">IFERROR(__xludf.dummyfunction("""COMPUTED_VALUE"""),140.61)</f>
        <v>140.61</v>
      </c>
      <c r="C163" s="2" t="n">
        <f aca="false">IFERROR(__xludf.dummyfunction("""COMPUTED_VALUE"""),142.08)</f>
        <v>142.08</v>
      </c>
      <c r="D163" s="2" t="n">
        <f aca="false">IFERROR(__xludf.dummyfunction("""COMPUTED_VALUE"""),140.34)</f>
        <v>140.34</v>
      </c>
      <c r="E163" s="2" t="n">
        <f aca="false">IFERROR(__xludf.dummyfunction("""COMPUTED_VALUE"""),141.26)</f>
        <v>141.26</v>
      </c>
      <c r="F163" s="2" t="n">
        <f aca="false">IFERROR(__xludf.dummyfunction("""COMPUTED_VALUE"""),963361)</f>
        <v>963361</v>
      </c>
    </row>
    <row r="164" customFormat="false" ht="15.75" hidden="false" customHeight="false" outlineLevel="0" collapsed="false">
      <c r="A164" s="3" t="n">
        <f aca="false">IFERROR(__xludf.dummyfunction("""COMPUTED_VALUE"""),44433.6666666667)</f>
        <v>44433.6666666667</v>
      </c>
      <c r="B164" s="2" t="n">
        <f aca="false">IFERROR(__xludf.dummyfunction("""COMPUTED_VALUE"""),141.63)</f>
        <v>141.63</v>
      </c>
      <c r="C164" s="2" t="n">
        <f aca="false">IFERROR(__xludf.dummyfunction("""COMPUTED_VALUE"""),142.19)</f>
        <v>142.19</v>
      </c>
      <c r="D164" s="2" t="n">
        <f aca="false">IFERROR(__xludf.dummyfunction("""COMPUTED_VALUE"""),141.38)</f>
        <v>141.38</v>
      </c>
      <c r="E164" s="2" t="n">
        <f aca="false">IFERROR(__xludf.dummyfunction("""COMPUTED_VALUE"""),142.08)</f>
        <v>142.08</v>
      </c>
      <c r="F164" s="2" t="n">
        <f aca="false">IFERROR(__xludf.dummyfunction("""COMPUTED_VALUE"""),792574)</f>
        <v>792574</v>
      </c>
    </row>
    <row r="165" customFormat="false" ht="15.75" hidden="false" customHeight="false" outlineLevel="0" collapsed="false">
      <c r="A165" s="3" t="n">
        <f aca="false">IFERROR(__xludf.dummyfunction("""COMPUTED_VALUE"""),44434.6666666667)</f>
        <v>44434.6666666667</v>
      </c>
      <c r="B165" s="2" t="n">
        <f aca="false">IFERROR(__xludf.dummyfunction("""COMPUTED_VALUE"""),141.75)</f>
        <v>141.75</v>
      </c>
      <c r="C165" s="2" t="n">
        <f aca="false">IFERROR(__xludf.dummyfunction("""COMPUTED_VALUE"""),142.42)</f>
        <v>142.42</v>
      </c>
      <c r="D165" s="2" t="n">
        <f aca="false">IFERROR(__xludf.dummyfunction("""COMPUTED_VALUE"""),141.36)</f>
        <v>141.36</v>
      </c>
      <c r="E165" s="2" t="n">
        <f aca="false">IFERROR(__xludf.dummyfunction("""COMPUTED_VALUE"""),141.44)</f>
        <v>141.44</v>
      </c>
      <c r="F165" s="2" t="n">
        <f aca="false">IFERROR(__xludf.dummyfunction("""COMPUTED_VALUE"""),1030466)</f>
        <v>1030466</v>
      </c>
    </row>
    <row r="166" customFormat="false" ht="15.75" hidden="false" customHeight="false" outlineLevel="0" collapsed="false">
      <c r="A166" s="3" t="n">
        <f aca="false">IFERROR(__xludf.dummyfunction("""COMPUTED_VALUE"""),44435.6666666667)</f>
        <v>44435.6666666667</v>
      </c>
      <c r="B166" s="2" t="n">
        <f aca="false">IFERROR(__xludf.dummyfunction("""COMPUTED_VALUE"""),141.65)</f>
        <v>141.65</v>
      </c>
      <c r="C166" s="2" t="n">
        <f aca="false">IFERROR(__xludf.dummyfunction("""COMPUTED_VALUE"""),144.51)</f>
        <v>144.51</v>
      </c>
      <c r="D166" s="2" t="n">
        <f aca="false">IFERROR(__xludf.dummyfunction("""COMPUTED_VALUE"""),141.5)</f>
        <v>141.5</v>
      </c>
      <c r="E166" s="2" t="n">
        <f aca="false">IFERROR(__xludf.dummyfunction("""COMPUTED_VALUE"""),144)</f>
        <v>144</v>
      </c>
      <c r="F166" s="2" t="n">
        <f aca="false">IFERROR(__xludf.dummyfunction("""COMPUTED_VALUE"""),1439010)</f>
        <v>1439010</v>
      </c>
    </row>
    <row r="167" customFormat="false" ht="15.75" hidden="false" customHeight="false" outlineLevel="0" collapsed="false">
      <c r="A167" s="3" t="n">
        <f aca="false">IFERROR(__xludf.dummyfunction("""COMPUTED_VALUE"""),44438.6666666667)</f>
        <v>44438.6666666667</v>
      </c>
      <c r="B167" s="2" t="n">
        <f aca="false">IFERROR(__xludf.dummyfunction("""COMPUTED_VALUE"""),144.4)</f>
        <v>144.4</v>
      </c>
      <c r="C167" s="2" t="n">
        <f aca="false">IFERROR(__xludf.dummyfunction("""COMPUTED_VALUE"""),145.97)</f>
        <v>145.97</v>
      </c>
      <c r="D167" s="2" t="n">
        <f aca="false">IFERROR(__xludf.dummyfunction("""COMPUTED_VALUE"""),144.16)</f>
        <v>144.16</v>
      </c>
      <c r="E167" s="2" t="n">
        <f aca="false">IFERROR(__xludf.dummyfunction("""COMPUTED_VALUE"""),144.59)</f>
        <v>144.59</v>
      </c>
      <c r="F167" s="2" t="n">
        <f aca="false">IFERROR(__xludf.dummyfunction("""COMPUTED_VALUE"""),1221710)</f>
        <v>1221710</v>
      </c>
    </row>
    <row r="168" customFormat="false" ht="15.75" hidden="false" customHeight="false" outlineLevel="0" collapsed="false">
      <c r="A168" s="3" t="n">
        <f aca="false">IFERROR(__xludf.dummyfunction("""COMPUTED_VALUE"""),44439.6666666667)</f>
        <v>44439.6666666667</v>
      </c>
      <c r="B168" s="2" t="n">
        <f aca="false">IFERROR(__xludf.dummyfunction("""COMPUTED_VALUE"""),145.15)</f>
        <v>145.15</v>
      </c>
      <c r="C168" s="2" t="n">
        <f aca="false">IFERROR(__xludf.dummyfunction("""COMPUTED_VALUE"""),145.17)</f>
        <v>145.17</v>
      </c>
      <c r="D168" s="2" t="n">
        <f aca="false">IFERROR(__xludf.dummyfunction("""COMPUTED_VALUE"""),144.28)</f>
        <v>144.28</v>
      </c>
      <c r="E168" s="2" t="n">
        <f aca="false">IFERROR(__xludf.dummyfunction("""COMPUTED_VALUE"""),144.7)</f>
        <v>144.7</v>
      </c>
      <c r="F168" s="2" t="n">
        <f aca="false">IFERROR(__xludf.dummyfunction("""COMPUTED_VALUE"""),1122438)</f>
        <v>1122438</v>
      </c>
    </row>
    <row r="169" customFormat="false" ht="15.75" hidden="false" customHeight="false" outlineLevel="0" collapsed="false">
      <c r="A169" s="3" t="n">
        <f aca="false">IFERROR(__xludf.dummyfunction("""COMPUTED_VALUE"""),44440.6666666667)</f>
        <v>44440.6666666667</v>
      </c>
      <c r="B169" s="2" t="n">
        <f aca="false">IFERROR(__xludf.dummyfunction("""COMPUTED_VALUE"""),145)</f>
        <v>145</v>
      </c>
      <c r="C169" s="2" t="n">
        <f aca="false">IFERROR(__xludf.dummyfunction("""COMPUTED_VALUE"""),146.25)</f>
        <v>146.25</v>
      </c>
      <c r="D169" s="2" t="n">
        <f aca="false">IFERROR(__xludf.dummyfunction("""COMPUTED_VALUE"""),144.88)</f>
        <v>144.88</v>
      </c>
      <c r="E169" s="2" t="n">
        <f aca="false">IFERROR(__xludf.dummyfunction("""COMPUTED_VALUE"""),145.22)</f>
        <v>145.22</v>
      </c>
      <c r="F169" s="2" t="n">
        <f aca="false">IFERROR(__xludf.dummyfunction("""COMPUTED_VALUE"""),1096805)</f>
        <v>1096805</v>
      </c>
    </row>
    <row r="170" customFormat="false" ht="15.75" hidden="false" customHeight="false" outlineLevel="0" collapsed="false">
      <c r="A170" s="3" t="n">
        <f aca="false">IFERROR(__xludf.dummyfunction("""COMPUTED_VALUE"""),44441.6666666667)</f>
        <v>44441.6666666667</v>
      </c>
      <c r="B170" s="2" t="n">
        <f aca="false">IFERROR(__xludf.dummyfunction("""COMPUTED_VALUE"""),145.22)</f>
        <v>145.22</v>
      </c>
      <c r="C170" s="2" t="n">
        <f aca="false">IFERROR(__xludf.dummyfunction("""COMPUTED_VALUE"""),145.52)</f>
        <v>145.52</v>
      </c>
      <c r="D170" s="2" t="n">
        <f aca="false">IFERROR(__xludf.dummyfunction("""COMPUTED_VALUE"""),143.18)</f>
        <v>143.18</v>
      </c>
      <c r="E170" s="2" t="n">
        <f aca="false">IFERROR(__xludf.dummyfunction("""COMPUTED_VALUE"""),143.29)</f>
        <v>143.29</v>
      </c>
      <c r="F170" s="2" t="n">
        <f aca="false">IFERROR(__xludf.dummyfunction("""COMPUTED_VALUE"""),1617907)</f>
        <v>1617907</v>
      </c>
    </row>
    <row r="171" customFormat="false" ht="15.75" hidden="false" customHeight="false" outlineLevel="0" collapsed="false">
      <c r="A171" s="3" t="n">
        <f aca="false">IFERROR(__xludf.dummyfunction("""COMPUTED_VALUE"""),44442.6666666667)</f>
        <v>44442.6666666667</v>
      </c>
      <c r="B171" s="2" t="n">
        <f aca="false">IFERROR(__xludf.dummyfunction("""COMPUTED_VALUE"""),143.08)</f>
        <v>143.08</v>
      </c>
      <c r="C171" s="2" t="n">
        <f aca="false">IFERROR(__xludf.dummyfunction("""COMPUTED_VALUE"""),144.16)</f>
        <v>144.16</v>
      </c>
      <c r="D171" s="2" t="n">
        <f aca="false">IFERROR(__xludf.dummyfunction("""COMPUTED_VALUE"""),142.4)</f>
        <v>142.4</v>
      </c>
      <c r="E171" s="2" t="n">
        <f aca="false">IFERROR(__xludf.dummyfunction("""COMPUTED_VALUE"""),143.74)</f>
        <v>143.74</v>
      </c>
      <c r="F171" s="2" t="n">
        <f aca="false">IFERROR(__xludf.dummyfunction("""COMPUTED_VALUE"""),992718)</f>
        <v>992718</v>
      </c>
    </row>
    <row r="172" customFormat="false" ht="15.75" hidden="false" customHeight="false" outlineLevel="0" collapsed="false">
      <c r="A172" s="3" t="n">
        <f aca="false">IFERROR(__xludf.dummyfunction("""COMPUTED_VALUE"""),44446.6666666667)</f>
        <v>44446.6666666667</v>
      </c>
      <c r="B172" s="2" t="n">
        <f aca="false">IFERROR(__xludf.dummyfunction("""COMPUTED_VALUE"""),143.83)</f>
        <v>143.83</v>
      </c>
      <c r="C172" s="2" t="n">
        <f aca="false">IFERROR(__xludf.dummyfunction("""COMPUTED_VALUE"""),144.57)</f>
        <v>144.57</v>
      </c>
      <c r="D172" s="2" t="n">
        <f aca="false">IFERROR(__xludf.dummyfunction("""COMPUTED_VALUE"""),143.62)</f>
        <v>143.62</v>
      </c>
      <c r="E172" s="2" t="n">
        <f aca="false">IFERROR(__xludf.dummyfunction("""COMPUTED_VALUE"""),144.28)</f>
        <v>144.28</v>
      </c>
      <c r="F172" s="2" t="n">
        <f aca="false">IFERROR(__xludf.dummyfunction("""COMPUTED_VALUE"""),1006595)</f>
        <v>1006595</v>
      </c>
    </row>
    <row r="173" customFormat="false" ht="15.75" hidden="false" customHeight="false" outlineLevel="0" collapsed="false">
      <c r="A173" s="3" t="n">
        <f aca="false">IFERROR(__xludf.dummyfunction("""COMPUTED_VALUE"""),44447.6666666667)</f>
        <v>44447.6666666667</v>
      </c>
      <c r="B173" s="2" t="n">
        <f aca="false">IFERROR(__xludf.dummyfunction("""COMPUTED_VALUE"""),144.1)</f>
        <v>144.1</v>
      </c>
      <c r="C173" s="2" t="n">
        <f aca="false">IFERROR(__xludf.dummyfunction("""COMPUTED_VALUE"""),144.4)</f>
        <v>144.4</v>
      </c>
      <c r="D173" s="2" t="n">
        <f aca="false">IFERROR(__xludf.dummyfunction("""COMPUTED_VALUE"""),143)</f>
        <v>143</v>
      </c>
      <c r="E173" s="2" t="n">
        <f aca="false">IFERROR(__xludf.dummyfunction("""COMPUTED_VALUE"""),143.69)</f>
        <v>143.69</v>
      </c>
      <c r="F173" s="2" t="n">
        <f aca="false">IFERROR(__xludf.dummyfunction("""COMPUTED_VALUE"""),917511)</f>
        <v>917511</v>
      </c>
    </row>
    <row r="174" customFormat="false" ht="15.75" hidden="false" customHeight="false" outlineLevel="0" collapsed="false">
      <c r="A174" s="3" t="n">
        <f aca="false">IFERROR(__xludf.dummyfunction("""COMPUTED_VALUE"""),44448.6666666667)</f>
        <v>44448.6666666667</v>
      </c>
      <c r="B174" s="2" t="n">
        <f aca="false">IFERROR(__xludf.dummyfunction("""COMPUTED_VALUE"""),143.84)</f>
        <v>143.84</v>
      </c>
      <c r="C174" s="2" t="n">
        <f aca="false">IFERROR(__xludf.dummyfunction("""COMPUTED_VALUE"""),144.31)</f>
        <v>144.31</v>
      </c>
      <c r="D174" s="2" t="n">
        <f aca="false">IFERROR(__xludf.dummyfunction("""COMPUTED_VALUE"""),143.18)</f>
        <v>143.18</v>
      </c>
      <c r="E174" s="2" t="n">
        <f aca="false">IFERROR(__xludf.dummyfunction("""COMPUTED_VALUE"""),143.54)</f>
        <v>143.54</v>
      </c>
      <c r="F174" s="2" t="n">
        <f aca="false">IFERROR(__xludf.dummyfunction("""COMPUTED_VALUE"""),765855)</f>
        <v>765855</v>
      </c>
    </row>
    <row r="175" customFormat="false" ht="15.75" hidden="false" customHeight="false" outlineLevel="0" collapsed="false">
      <c r="A175" s="3" t="n">
        <f aca="false">IFERROR(__xludf.dummyfunction("""COMPUTED_VALUE"""),44449.6666666667)</f>
        <v>44449.6666666667</v>
      </c>
      <c r="B175" s="2" t="n">
        <f aca="false">IFERROR(__xludf.dummyfunction("""COMPUTED_VALUE"""),144.21)</f>
        <v>144.21</v>
      </c>
      <c r="C175" s="2" t="n">
        <f aca="false">IFERROR(__xludf.dummyfunction("""COMPUTED_VALUE"""),144.72)</f>
        <v>144.72</v>
      </c>
      <c r="D175" s="2" t="n">
        <f aca="false">IFERROR(__xludf.dummyfunction("""COMPUTED_VALUE"""),140.74)</f>
        <v>140.74</v>
      </c>
      <c r="E175" s="2" t="n">
        <f aca="false">IFERROR(__xludf.dummyfunction("""COMPUTED_VALUE"""),140.88)</f>
        <v>140.88</v>
      </c>
      <c r="F175" s="2" t="n">
        <f aca="false">IFERROR(__xludf.dummyfunction("""COMPUTED_VALUE"""),1841967)</f>
        <v>1841967</v>
      </c>
    </row>
    <row r="176" customFormat="false" ht="15.75" hidden="false" customHeight="false" outlineLevel="0" collapsed="false">
      <c r="A176" s="3" t="n">
        <f aca="false">IFERROR(__xludf.dummyfunction("""COMPUTED_VALUE"""),44452.6666666667)</f>
        <v>44452.6666666667</v>
      </c>
      <c r="B176" s="2" t="n">
        <f aca="false">IFERROR(__xludf.dummyfunction("""COMPUTED_VALUE"""),141.95)</f>
        <v>141.95</v>
      </c>
      <c r="C176" s="2" t="n">
        <f aca="false">IFERROR(__xludf.dummyfunction("""COMPUTED_VALUE"""),142.95)</f>
        <v>142.95</v>
      </c>
      <c r="D176" s="2" t="n">
        <f aca="false">IFERROR(__xludf.dummyfunction("""COMPUTED_VALUE"""),141.25)</f>
        <v>141.25</v>
      </c>
      <c r="E176" s="2" t="n">
        <f aca="false">IFERROR(__xludf.dummyfunction("""COMPUTED_VALUE"""),142.33)</f>
        <v>142.33</v>
      </c>
      <c r="F176" s="2" t="n">
        <f aca="false">IFERROR(__xludf.dummyfunction("""COMPUTED_VALUE"""),1104692)</f>
        <v>1104692</v>
      </c>
    </row>
    <row r="177" customFormat="false" ht="15.75" hidden="false" customHeight="false" outlineLevel="0" collapsed="false">
      <c r="A177" s="3" t="n">
        <f aca="false">IFERROR(__xludf.dummyfunction("""COMPUTED_VALUE"""),44453.6666666667)</f>
        <v>44453.6666666667</v>
      </c>
      <c r="B177" s="2" t="n">
        <f aca="false">IFERROR(__xludf.dummyfunction("""COMPUTED_VALUE"""),143)</f>
        <v>143</v>
      </c>
      <c r="C177" s="2" t="n">
        <f aca="false">IFERROR(__xludf.dummyfunction("""COMPUTED_VALUE"""),143.36)</f>
        <v>143.36</v>
      </c>
      <c r="D177" s="2" t="n">
        <f aca="false">IFERROR(__xludf.dummyfunction("""COMPUTED_VALUE"""),141.75)</f>
        <v>141.75</v>
      </c>
      <c r="E177" s="2" t="n">
        <f aca="false">IFERROR(__xludf.dummyfunction("""COMPUTED_VALUE"""),142.54)</f>
        <v>142.54</v>
      </c>
      <c r="F177" s="2" t="n">
        <f aca="false">IFERROR(__xludf.dummyfunction("""COMPUTED_VALUE"""),983693)</f>
        <v>983693</v>
      </c>
    </row>
    <row r="178" customFormat="false" ht="15.75" hidden="false" customHeight="false" outlineLevel="0" collapsed="false">
      <c r="A178" s="3" t="n">
        <f aca="false">IFERROR(__xludf.dummyfunction("""COMPUTED_VALUE"""),44454.6666666667)</f>
        <v>44454.6666666667</v>
      </c>
      <c r="B178" s="2" t="n">
        <f aca="false">IFERROR(__xludf.dummyfunction("""COMPUTED_VALUE"""),142.77)</f>
        <v>142.77</v>
      </c>
      <c r="C178" s="2" t="n">
        <f aca="false">IFERROR(__xludf.dummyfunction("""COMPUTED_VALUE"""),144.45)</f>
        <v>144.45</v>
      </c>
      <c r="D178" s="2" t="n">
        <f aca="false">IFERROR(__xludf.dummyfunction("""COMPUTED_VALUE"""),141.35)</f>
        <v>141.35</v>
      </c>
      <c r="E178" s="2" t="n">
        <f aca="false">IFERROR(__xludf.dummyfunction("""COMPUTED_VALUE"""),144.43)</f>
        <v>144.43</v>
      </c>
      <c r="F178" s="2" t="n">
        <f aca="false">IFERROR(__xludf.dummyfunction("""COMPUTED_VALUE"""),1370379)</f>
        <v>1370379</v>
      </c>
    </row>
    <row r="179" customFormat="false" ht="15.75" hidden="false" customHeight="false" outlineLevel="0" collapsed="false">
      <c r="A179" s="3" t="n">
        <f aca="false">IFERROR(__xludf.dummyfunction("""COMPUTED_VALUE"""),44455.6666666667)</f>
        <v>44455.6666666667</v>
      </c>
      <c r="B179" s="2" t="n">
        <f aca="false">IFERROR(__xludf.dummyfunction("""COMPUTED_VALUE"""),143.95)</f>
        <v>143.95</v>
      </c>
      <c r="C179" s="2" t="n">
        <f aca="false">IFERROR(__xludf.dummyfunction("""COMPUTED_VALUE"""),144.3)</f>
        <v>144.3</v>
      </c>
      <c r="D179" s="2" t="n">
        <f aca="false">IFERROR(__xludf.dummyfunction("""COMPUTED_VALUE"""),142.4)</f>
        <v>142.4</v>
      </c>
      <c r="E179" s="2" t="n">
        <f aca="false">IFERROR(__xludf.dummyfunction("""COMPUTED_VALUE"""),143.61)</f>
        <v>143.61</v>
      </c>
      <c r="F179" s="2" t="n">
        <f aca="false">IFERROR(__xludf.dummyfunction("""COMPUTED_VALUE"""),1309771)</f>
        <v>1309771</v>
      </c>
    </row>
    <row r="180" customFormat="false" ht="15.75" hidden="false" customHeight="false" outlineLevel="0" collapsed="false">
      <c r="A180" s="3" t="n">
        <f aca="false">IFERROR(__xludf.dummyfunction("""COMPUTED_VALUE"""),44456.6666666667)</f>
        <v>44456.6666666667</v>
      </c>
      <c r="B180" s="2" t="n">
        <f aca="false">IFERROR(__xludf.dummyfunction("""COMPUTED_VALUE"""),143.03)</f>
        <v>143.03</v>
      </c>
      <c r="C180" s="2" t="n">
        <f aca="false">IFERROR(__xludf.dummyfunction("""COMPUTED_VALUE"""),143.45)</f>
        <v>143.45</v>
      </c>
      <c r="D180" s="2" t="n">
        <f aca="false">IFERROR(__xludf.dummyfunction("""COMPUTED_VALUE"""),140.47)</f>
        <v>140.47</v>
      </c>
      <c r="E180" s="2" t="n">
        <f aca="false">IFERROR(__xludf.dummyfunction("""COMPUTED_VALUE"""),140.8)</f>
        <v>140.8</v>
      </c>
      <c r="F180" s="2" t="n">
        <f aca="false">IFERROR(__xludf.dummyfunction("""COMPUTED_VALUE"""),2669223)</f>
        <v>2669223</v>
      </c>
    </row>
    <row r="181" customFormat="false" ht="15.75" hidden="false" customHeight="false" outlineLevel="0" collapsed="false">
      <c r="A181" s="3" t="n">
        <f aca="false">IFERROR(__xludf.dummyfunction("""COMPUTED_VALUE"""),44459.6666666667)</f>
        <v>44459.6666666667</v>
      </c>
      <c r="B181" s="2" t="n">
        <f aca="false">IFERROR(__xludf.dummyfunction("""COMPUTED_VALUE"""),138.16)</f>
        <v>138.16</v>
      </c>
      <c r="C181" s="2" t="n">
        <f aca="false">IFERROR(__xludf.dummyfunction("""COMPUTED_VALUE"""),139)</f>
        <v>139</v>
      </c>
      <c r="D181" s="2" t="n">
        <f aca="false">IFERROR(__xludf.dummyfunction("""COMPUTED_VALUE"""),136.32)</f>
        <v>136.32</v>
      </c>
      <c r="E181" s="2" t="n">
        <f aca="false">IFERROR(__xludf.dummyfunction("""COMPUTED_VALUE"""),138.72)</f>
        <v>138.72</v>
      </c>
      <c r="F181" s="2" t="n">
        <f aca="false">IFERROR(__xludf.dummyfunction("""COMPUTED_VALUE"""),2325902)</f>
        <v>2325902</v>
      </c>
    </row>
    <row r="182" customFormat="false" ht="15.75" hidden="false" customHeight="false" outlineLevel="0" collapsed="false">
      <c r="A182" s="3" t="n">
        <f aca="false">IFERROR(__xludf.dummyfunction("""COMPUTED_VALUE"""),44460.6666666667)</f>
        <v>44460.6666666667</v>
      </c>
      <c r="B182" s="2" t="n">
        <f aca="false">IFERROR(__xludf.dummyfunction("""COMPUTED_VALUE"""),139.75)</f>
        <v>139.75</v>
      </c>
      <c r="C182" s="2" t="n">
        <f aca="false">IFERROR(__xludf.dummyfunction("""COMPUTED_VALUE"""),140.01)</f>
        <v>140.01</v>
      </c>
      <c r="D182" s="2" t="n">
        <f aca="false">IFERROR(__xludf.dummyfunction("""COMPUTED_VALUE"""),138.28)</f>
        <v>138.28</v>
      </c>
      <c r="E182" s="2" t="n">
        <f aca="false">IFERROR(__xludf.dummyfunction("""COMPUTED_VALUE"""),139.03)</f>
        <v>139.03</v>
      </c>
      <c r="F182" s="2" t="n">
        <f aca="false">IFERROR(__xludf.dummyfunction("""COMPUTED_VALUE"""),1266595)</f>
        <v>1266595</v>
      </c>
    </row>
    <row r="183" customFormat="false" ht="15.75" hidden="false" customHeight="false" outlineLevel="0" collapsed="false">
      <c r="A183" s="3" t="n">
        <f aca="false">IFERROR(__xludf.dummyfunction("""COMPUTED_VALUE"""),44461.6666666667)</f>
        <v>44461.6666666667</v>
      </c>
      <c r="B183" s="2" t="n">
        <f aca="false">IFERROR(__xludf.dummyfunction("""COMPUTED_VALUE"""),139.3)</f>
        <v>139.3</v>
      </c>
      <c r="C183" s="2" t="n">
        <f aca="false">IFERROR(__xludf.dummyfunction("""COMPUTED_VALUE"""),140.89)</f>
        <v>140.89</v>
      </c>
      <c r="D183" s="2" t="n">
        <f aca="false">IFERROR(__xludf.dummyfunction("""COMPUTED_VALUE"""),138.55)</f>
        <v>138.55</v>
      </c>
      <c r="E183" s="2" t="n">
        <f aca="false">IFERROR(__xludf.dummyfunction("""COMPUTED_VALUE"""),140.28)</f>
        <v>140.28</v>
      </c>
      <c r="F183" s="2" t="n">
        <f aca="false">IFERROR(__xludf.dummyfunction("""COMPUTED_VALUE"""),1252778)</f>
        <v>1252778</v>
      </c>
    </row>
    <row r="184" customFormat="false" ht="15.75" hidden="false" customHeight="false" outlineLevel="0" collapsed="false">
      <c r="A184" s="3" t="n">
        <f aca="false">IFERROR(__xludf.dummyfunction("""COMPUTED_VALUE"""),44462.6666666667)</f>
        <v>44462.6666666667</v>
      </c>
      <c r="B184" s="2" t="n">
        <f aca="false">IFERROR(__xludf.dummyfunction("""COMPUTED_VALUE"""),140.99)</f>
        <v>140.99</v>
      </c>
      <c r="C184" s="2" t="n">
        <f aca="false">IFERROR(__xludf.dummyfunction("""COMPUTED_VALUE"""),141.7)</f>
        <v>141.7</v>
      </c>
      <c r="D184" s="2" t="n">
        <f aca="false">IFERROR(__xludf.dummyfunction("""COMPUTED_VALUE"""),140.4)</f>
        <v>140.4</v>
      </c>
      <c r="E184" s="2" t="n">
        <f aca="false">IFERROR(__xludf.dummyfunction("""COMPUTED_VALUE"""),141.22)</f>
        <v>141.22</v>
      </c>
      <c r="F184" s="2" t="n">
        <f aca="false">IFERROR(__xludf.dummyfunction("""COMPUTED_VALUE"""),1047550)</f>
        <v>1047550</v>
      </c>
    </row>
    <row r="185" customFormat="false" ht="15.75" hidden="false" customHeight="false" outlineLevel="0" collapsed="false">
      <c r="A185" s="3" t="n">
        <f aca="false">IFERROR(__xludf.dummyfunction("""COMPUTED_VALUE"""),44463.6666666667)</f>
        <v>44463.6666666667</v>
      </c>
      <c r="B185" s="2" t="n">
        <f aca="false">IFERROR(__xludf.dummyfunction("""COMPUTED_VALUE"""),140.54)</f>
        <v>140.54</v>
      </c>
      <c r="C185" s="2" t="n">
        <f aca="false">IFERROR(__xludf.dummyfunction("""COMPUTED_VALUE"""),142.33)</f>
        <v>142.33</v>
      </c>
      <c r="D185" s="2" t="n">
        <f aca="false">IFERROR(__xludf.dummyfunction("""COMPUTED_VALUE"""),140.24)</f>
        <v>140.24</v>
      </c>
      <c r="E185" s="2" t="n">
        <f aca="false">IFERROR(__xludf.dummyfunction("""COMPUTED_VALUE"""),142.22)</f>
        <v>142.22</v>
      </c>
      <c r="F185" s="2" t="n">
        <f aca="false">IFERROR(__xludf.dummyfunction("""COMPUTED_VALUE"""),1149195)</f>
        <v>1149195</v>
      </c>
    </row>
    <row r="186" customFormat="false" ht="15.75" hidden="false" customHeight="false" outlineLevel="0" collapsed="false">
      <c r="A186" s="3" t="n">
        <f aca="false">IFERROR(__xludf.dummyfunction("""COMPUTED_VALUE"""),44466.6666666667)</f>
        <v>44466.6666666667</v>
      </c>
      <c r="B186" s="2" t="n">
        <f aca="false">IFERROR(__xludf.dummyfunction("""COMPUTED_VALUE"""),140.8)</f>
        <v>140.8</v>
      </c>
      <c r="C186" s="2" t="n">
        <f aca="false">IFERROR(__xludf.dummyfunction("""COMPUTED_VALUE"""),141.94)</f>
        <v>141.94</v>
      </c>
      <c r="D186" s="2" t="n">
        <f aca="false">IFERROR(__xludf.dummyfunction("""COMPUTED_VALUE"""),140.07)</f>
        <v>140.07</v>
      </c>
      <c r="E186" s="2" t="n">
        <f aca="false">IFERROR(__xludf.dummyfunction("""COMPUTED_VALUE"""),141.07)</f>
        <v>141.07</v>
      </c>
      <c r="F186" s="2" t="n">
        <f aca="false">IFERROR(__xludf.dummyfunction("""COMPUTED_VALUE"""),1094098)</f>
        <v>1094098</v>
      </c>
    </row>
    <row r="187" customFormat="false" ht="15.75" hidden="false" customHeight="false" outlineLevel="0" collapsed="false">
      <c r="A187" s="3" t="n">
        <f aca="false">IFERROR(__xludf.dummyfunction("""COMPUTED_VALUE"""),44467.6666666667)</f>
        <v>44467.6666666667</v>
      </c>
      <c r="B187" s="2" t="n">
        <f aca="false">IFERROR(__xludf.dummyfunction("""COMPUTED_VALUE"""),138.66)</f>
        <v>138.66</v>
      </c>
      <c r="C187" s="2" t="n">
        <f aca="false">IFERROR(__xludf.dummyfunction("""COMPUTED_VALUE"""),139.1)</f>
        <v>139.1</v>
      </c>
      <c r="D187" s="2" t="n">
        <f aca="false">IFERROR(__xludf.dummyfunction("""COMPUTED_VALUE"""),135.36)</f>
        <v>135.36</v>
      </c>
      <c r="E187" s="2" t="n">
        <f aca="false">IFERROR(__xludf.dummyfunction("""COMPUTED_VALUE"""),135.83)</f>
        <v>135.83</v>
      </c>
      <c r="F187" s="2" t="n">
        <f aca="false">IFERROR(__xludf.dummyfunction("""COMPUTED_VALUE"""),2288610)</f>
        <v>2288610</v>
      </c>
    </row>
    <row r="188" customFormat="false" ht="15.75" hidden="false" customHeight="false" outlineLevel="0" collapsed="false">
      <c r="A188" s="3" t="n">
        <f aca="false">IFERROR(__xludf.dummyfunction("""COMPUTED_VALUE"""),44468.6666666667)</f>
        <v>44468.6666666667</v>
      </c>
      <c r="B188" s="2" t="n">
        <f aca="false">IFERROR(__xludf.dummyfunction("""COMPUTED_VALUE"""),136.98)</f>
        <v>136.98</v>
      </c>
      <c r="C188" s="2" t="n">
        <f aca="false">IFERROR(__xludf.dummyfunction("""COMPUTED_VALUE"""),137.15)</f>
        <v>137.15</v>
      </c>
      <c r="D188" s="2" t="n">
        <f aca="false">IFERROR(__xludf.dummyfunction("""COMPUTED_VALUE"""),133.87)</f>
        <v>133.87</v>
      </c>
      <c r="E188" s="2" t="n">
        <f aca="false">IFERROR(__xludf.dummyfunction("""COMPUTED_VALUE"""),134.35)</f>
        <v>134.35</v>
      </c>
      <c r="F188" s="2" t="n">
        <f aca="false">IFERROR(__xludf.dummyfunction("""COMPUTED_VALUE"""),1542435)</f>
        <v>1542435</v>
      </c>
    </row>
    <row r="189" customFormat="false" ht="15.75" hidden="false" customHeight="false" outlineLevel="0" collapsed="false">
      <c r="A189" s="3" t="n">
        <f aca="false">IFERROR(__xludf.dummyfunction("""COMPUTED_VALUE"""),44469.6666666667)</f>
        <v>44469.6666666667</v>
      </c>
      <c r="B189" s="2" t="n">
        <f aca="false">IFERROR(__xludf.dummyfunction("""COMPUTED_VALUE"""),134.26)</f>
        <v>134.26</v>
      </c>
      <c r="C189" s="2" t="n">
        <f aca="false">IFERROR(__xludf.dummyfunction("""COMPUTED_VALUE"""),135.54)</f>
        <v>135.54</v>
      </c>
      <c r="D189" s="2" t="n">
        <f aca="false">IFERROR(__xludf.dummyfunction("""COMPUTED_VALUE"""),133.56)</f>
        <v>133.56</v>
      </c>
      <c r="E189" s="2" t="n">
        <f aca="false">IFERROR(__xludf.dummyfunction("""COMPUTED_VALUE"""),133.68)</f>
        <v>133.68</v>
      </c>
      <c r="F189" s="2" t="n">
        <f aca="false">IFERROR(__xludf.dummyfunction("""COMPUTED_VALUE"""),1901440)</f>
        <v>1901440</v>
      </c>
    </row>
    <row r="190" customFormat="false" ht="15.75" hidden="false" customHeight="false" outlineLevel="0" collapsed="false">
      <c r="A190" s="3" t="n">
        <f aca="false">IFERROR(__xludf.dummyfunction("""COMPUTED_VALUE"""),44470.6666666667)</f>
        <v>44470.6666666667</v>
      </c>
      <c r="B190" s="2" t="n">
        <f aca="false">IFERROR(__xludf.dummyfunction("""COMPUTED_VALUE"""),134.45)</f>
        <v>134.45</v>
      </c>
      <c r="C190" s="2" t="n">
        <f aca="false">IFERROR(__xludf.dummyfunction("""COMPUTED_VALUE"""),136.91)</f>
        <v>136.91</v>
      </c>
      <c r="D190" s="2" t="n">
        <f aca="false">IFERROR(__xludf.dummyfunction("""COMPUTED_VALUE"""),134.07)</f>
        <v>134.07</v>
      </c>
      <c r="E190" s="2" t="n">
        <f aca="false">IFERROR(__xludf.dummyfunction("""COMPUTED_VALUE"""),136.54)</f>
        <v>136.54</v>
      </c>
      <c r="F190" s="2" t="n">
        <f aca="false">IFERROR(__xludf.dummyfunction("""COMPUTED_VALUE"""),1768009)</f>
        <v>1768009</v>
      </c>
    </row>
    <row r="191" customFormat="false" ht="15.75" hidden="false" customHeight="false" outlineLevel="0" collapsed="false">
      <c r="A191" s="3" t="n">
        <f aca="false">IFERROR(__xludf.dummyfunction("""COMPUTED_VALUE"""),44473.6666666667)</f>
        <v>44473.6666666667</v>
      </c>
      <c r="B191" s="2" t="n">
        <f aca="false">IFERROR(__xludf.dummyfunction("""COMPUTED_VALUE"""),135.96)</f>
        <v>135.96</v>
      </c>
      <c r="C191" s="2" t="n">
        <f aca="false">IFERROR(__xludf.dummyfunction("""COMPUTED_VALUE"""),135.96)</f>
        <v>135.96</v>
      </c>
      <c r="D191" s="2" t="n">
        <f aca="false">IFERROR(__xludf.dummyfunction("""COMPUTED_VALUE"""),131.05)</f>
        <v>131.05</v>
      </c>
      <c r="E191" s="2" t="n">
        <f aca="false">IFERROR(__xludf.dummyfunction("""COMPUTED_VALUE"""),133.66)</f>
        <v>133.66</v>
      </c>
      <c r="F191" s="2" t="n">
        <f aca="false">IFERROR(__xludf.dummyfunction("""COMPUTED_VALUE"""),2560097)</f>
        <v>2560097</v>
      </c>
    </row>
    <row r="192" customFormat="false" ht="15.75" hidden="false" customHeight="false" outlineLevel="0" collapsed="false">
      <c r="A192" s="3" t="n">
        <f aca="false">IFERROR(__xludf.dummyfunction("""COMPUTED_VALUE"""),44474.6666666667)</f>
        <v>44474.6666666667</v>
      </c>
      <c r="B192" s="2" t="n">
        <f aca="false">IFERROR(__xludf.dummyfunction("""COMPUTED_VALUE"""),134.04)</f>
        <v>134.04</v>
      </c>
      <c r="C192" s="2" t="n">
        <f aca="false">IFERROR(__xludf.dummyfunction("""COMPUTED_VALUE"""),137.22)</f>
        <v>137.22</v>
      </c>
      <c r="D192" s="2" t="n">
        <f aca="false">IFERROR(__xludf.dummyfunction("""COMPUTED_VALUE"""),134.04)</f>
        <v>134.04</v>
      </c>
      <c r="E192" s="2" t="n">
        <f aca="false">IFERROR(__xludf.dummyfunction("""COMPUTED_VALUE"""),136.02)</f>
        <v>136.02</v>
      </c>
      <c r="F192" s="2" t="n">
        <f aca="false">IFERROR(__xludf.dummyfunction("""COMPUTED_VALUE"""),1620163)</f>
        <v>1620163</v>
      </c>
    </row>
    <row r="193" customFormat="false" ht="15.75" hidden="false" customHeight="false" outlineLevel="0" collapsed="false">
      <c r="A193" s="3" t="n">
        <f aca="false">IFERROR(__xludf.dummyfunction("""COMPUTED_VALUE"""),44475.6666666667)</f>
        <v>44475.6666666667</v>
      </c>
      <c r="B193" s="2" t="n">
        <f aca="false">IFERROR(__xludf.dummyfunction("""COMPUTED_VALUE"""),134.75)</f>
        <v>134.75</v>
      </c>
      <c r="C193" s="2" t="n">
        <f aca="false">IFERROR(__xludf.dummyfunction("""COMPUTED_VALUE"""),137.75)</f>
        <v>137.75</v>
      </c>
      <c r="D193" s="2" t="n">
        <f aca="false">IFERROR(__xludf.dummyfunction("""COMPUTED_VALUE"""),134.55)</f>
        <v>134.55</v>
      </c>
      <c r="E193" s="2" t="n">
        <f aca="false">IFERROR(__xludf.dummyfunction("""COMPUTED_VALUE"""),137.57)</f>
        <v>137.57</v>
      </c>
      <c r="F193" s="2" t="n">
        <f aca="false">IFERROR(__xludf.dummyfunction("""COMPUTED_VALUE"""),1218214)</f>
        <v>1218214</v>
      </c>
    </row>
    <row r="194" customFormat="false" ht="15.75" hidden="false" customHeight="false" outlineLevel="0" collapsed="false">
      <c r="A194" s="3" t="n">
        <f aca="false">IFERROR(__xludf.dummyfunction("""COMPUTED_VALUE"""),44476.6666666667)</f>
        <v>44476.6666666667</v>
      </c>
      <c r="B194" s="2" t="n">
        <f aca="false">IFERROR(__xludf.dummyfunction("""COMPUTED_VALUE"""),138.89)</f>
        <v>138.89</v>
      </c>
      <c r="C194" s="2" t="n">
        <f aca="false">IFERROR(__xludf.dummyfunction("""COMPUTED_VALUE"""),140.04)</f>
        <v>140.04</v>
      </c>
      <c r="D194" s="2" t="n">
        <f aca="false">IFERROR(__xludf.dummyfunction("""COMPUTED_VALUE"""),138.65)</f>
        <v>138.65</v>
      </c>
      <c r="E194" s="2" t="n">
        <f aca="false">IFERROR(__xludf.dummyfunction("""COMPUTED_VALUE"""),139.23)</f>
        <v>139.23</v>
      </c>
      <c r="F194" s="2" t="n">
        <f aca="false">IFERROR(__xludf.dummyfunction("""COMPUTED_VALUE"""),1255507)</f>
        <v>1255507</v>
      </c>
    </row>
    <row r="195" customFormat="false" ht="15.75" hidden="false" customHeight="false" outlineLevel="0" collapsed="false">
      <c r="A195" s="3" t="n">
        <f aca="false">IFERROR(__xludf.dummyfunction("""COMPUTED_VALUE"""),44477.6666666667)</f>
        <v>44477.6666666667</v>
      </c>
      <c r="B195" s="2" t="n">
        <f aca="false">IFERROR(__xludf.dummyfunction("""COMPUTED_VALUE"""),139.58)</f>
        <v>139.58</v>
      </c>
      <c r="C195" s="2" t="n">
        <f aca="false">IFERROR(__xludf.dummyfunction("""COMPUTED_VALUE"""),140.33)</f>
        <v>140.33</v>
      </c>
      <c r="D195" s="2" t="n">
        <f aca="false">IFERROR(__xludf.dummyfunction("""COMPUTED_VALUE"""),139.22)</f>
        <v>139.22</v>
      </c>
      <c r="E195" s="2" t="n">
        <f aca="false">IFERROR(__xludf.dummyfunction("""COMPUTED_VALUE"""),139.79)</f>
        <v>139.79</v>
      </c>
      <c r="F195" s="2" t="n">
        <f aca="false">IFERROR(__xludf.dummyfunction("""COMPUTED_VALUE"""),1326292)</f>
        <v>1326292</v>
      </c>
    </row>
    <row r="196" customFormat="false" ht="15.75" hidden="false" customHeight="false" outlineLevel="0" collapsed="false">
      <c r="A196" s="3" t="n">
        <f aca="false">IFERROR(__xludf.dummyfunction("""COMPUTED_VALUE"""),44480.6666666667)</f>
        <v>44480.6666666667</v>
      </c>
      <c r="B196" s="2" t="n">
        <f aca="false">IFERROR(__xludf.dummyfunction("""COMPUTED_VALUE"""),139.29)</f>
        <v>139.29</v>
      </c>
      <c r="C196" s="2" t="n">
        <f aca="false">IFERROR(__xludf.dummyfunction("""COMPUTED_VALUE"""),140.71)</f>
        <v>140.71</v>
      </c>
      <c r="D196" s="2" t="n">
        <f aca="false">IFERROR(__xludf.dummyfunction("""COMPUTED_VALUE"""),138.86)</f>
        <v>138.86</v>
      </c>
      <c r="E196" s="2" t="n">
        <f aca="false">IFERROR(__xludf.dummyfunction("""COMPUTED_VALUE"""),138.91)</f>
        <v>138.91</v>
      </c>
      <c r="F196" s="2" t="n">
        <f aca="false">IFERROR(__xludf.dummyfunction("""COMPUTED_VALUE"""),897681)</f>
        <v>897681</v>
      </c>
    </row>
    <row r="197" customFormat="false" ht="15.75" hidden="false" customHeight="false" outlineLevel="0" collapsed="false">
      <c r="A197" s="3" t="n">
        <f aca="false">IFERROR(__xludf.dummyfunction("""COMPUTED_VALUE"""),44481.6666666667)</f>
        <v>44481.6666666667</v>
      </c>
      <c r="B197" s="2" t="n">
        <f aca="false">IFERROR(__xludf.dummyfunction("""COMPUTED_VALUE"""),139.48)</f>
        <v>139.48</v>
      </c>
      <c r="C197" s="2" t="n">
        <f aca="false">IFERROR(__xludf.dummyfunction("""COMPUTED_VALUE"""),139.51)</f>
        <v>139.51</v>
      </c>
      <c r="D197" s="2" t="n">
        <f aca="false">IFERROR(__xludf.dummyfunction("""COMPUTED_VALUE"""),135.76)</f>
        <v>135.76</v>
      </c>
      <c r="E197" s="2" t="n">
        <f aca="false">IFERROR(__xludf.dummyfunction("""COMPUTED_VALUE"""),136.45)</f>
        <v>136.45</v>
      </c>
      <c r="F197" s="2" t="n">
        <f aca="false">IFERROR(__xludf.dummyfunction("""COMPUTED_VALUE"""),1816612)</f>
        <v>1816612</v>
      </c>
    </row>
    <row r="198" customFormat="false" ht="15.75" hidden="false" customHeight="false" outlineLevel="0" collapsed="false">
      <c r="A198" s="3" t="n">
        <f aca="false">IFERROR(__xludf.dummyfunction("""COMPUTED_VALUE"""),44482.6666666667)</f>
        <v>44482.6666666667</v>
      </c>
      <c r="B198" s="2" t="n">
        <f aca="false">IFERROR(__xludf.dummyfunction("""COMPUTED_VALUE"""),137.4)</f>
        <v>137.4</v>
      </c>
      <c r="C198" s="2" t="n">
        <f aca="false">IFERROR(__xludf.dummyfunction("""COMPUTED_VALUE"""),138)</f>
        <v>138</v>
      </c>
      <c r="D198" s="2" t="n">
        <f aca="false">IFERROR(__xludf.dummyfunction("""COMPUTED_VALUE"""),136.52)</f>
        <v>136.52</v>
      </c>
      <c r="E198" s="2" t="n">
        <f aca="false">IFERROR(__xludf.dummyfunction("""COMPUTED_VALUE"""),137.58)</f>
        <v>137.58</v>
      </c>
      <c r="F198" s="2" t="n">
        <f aca="false">IFERROR(__xludf.dummyfunction("""COMPUTED_VALUE"""),983116)</f>
        <v>983116</v>
      </c>
    </row>
    <row r="199" customFormat="false" ht="15.75" hidden="false" customHeight="false" outlineLevel="0" collapsed="false">
      <c r="A199" s="3" t="n">
        <f aca="false">IFERROR(__xludf.dummyfunction("""COMPUTED_VALUE"""),44483.6666666667)</f>
        <v>44483.6666666667</v>
      </c>
      <c r="B199" s="2" t="n">
        <f aca="false">IFERROR(__xludf.dummyfunction("""COMPUTED_VALUE"""),139.47)</f>
        <v>139.47</v>
      </c>
      <c r="C199" s="2" t="n">
        <f aca="false">IFERROR(__xludf.dummyfunction("""COMPUTED_VALUE"""),141.34)</f>
        <v>141.34</v>
      </c>
      <c r="D199" s="2" t="n">
        <f aca="false">IFERROR(__xludf.dummyfunction("""COMPUTED_VALUE"""),138.82)</f>
        <v>138.82</v>
      </c>
      <c r="E199" s="2" t="n">
        <f aca="false">IFERROR(__xludf.dummyfunction("""COMPUTED_VALUE"""),141.15)</f>
        <v>141.15</v>
      </c>
      <c r="F199" s="2" t="n">
        <f aca="false">IFERROR(__xludf.dummyfunction("""COMPUTED_VALUE"""),1596397)</f>
        <v>1596397</v>
      </c>
    </row>
    <row r="200" customFormat="false" ht="15.75" hidden="false" customHeight="false" outlineLevel="0" collapsed="false">
      <c r="A200" s="3" t="n">
        <f aca="false">IFERROR(__xludf.dummyfunction("""COMPUTED_VALUE"""),44484.6666666667)</f>
        <v>44484.6666666667</v>
      </c>
      <c r="B200" s="2" t="n">
        <f aca="false">IFERROR(__xludf.dummyfunction("""COMPUTED_VALUE"""),141.61)</f>
        <v>141.61</v>
      </c>
      <c r="C200" s="2" t="n">
        <f aca="false">IFERROR(__xludf.dummyfunction("""COMPUTED_VALUE"""),141.72)</f>
        <v>141.72</v>
      </c>
      <c r="D200" s="2" t="n">
        <f aca="false">IFERROR(__xludf.dummyfunction("""COMPUTED_VALUE"""),140.76)</f>
        <v>140.76</v>
      </c>
      <c r="E200" s="2" t="n">
        <f aca="false">IFERROR(__xludf.dummyfunction("""COMPUTED_VALUE"""),141.37)</f>
        <v>141.37</v>
      </c>
      <c r="F200" s="2" t="n">
        <f aca="false">IFERROR(__xludf.dummyfunction("""COMPUTED_VALUE"""),1513722)</f>
        <v>1513722</v>
      </c>
    </row>
    <row r="201" customFormat="false" ht="15.75" hidden="false" customHeight="false" outlineLevel="0" collapsed="false">
      <c r="A201" s="3" t="n">
        <f aca="false">IFERROR(__xludf.dummyfunction("""COMPUTED_VALUE"""),44487.6666666667)</f>
        <v>44487.6666666667</v>
      </c>
      <c r="B201" s="2" t="n">
        <f aca="false">IFERROR(__xludf.dummyfunction("""COMPUTED_VALUE"""),141.08)</f>
        <v>141.08</v>
      </c>
      <c r="C201" s="2" t="n">
        <f aca="false">IFERROR(__xludf.dummyfunction("""COMPUTED_VALUE"""),142.8)</f>
        <v>142.8</v>
      </c>
      <c r="D201" s="2" t="n">
        <f aca="false">IFERROR(__xludf.dummyfunction("""COMPUTED_VALUE"""),141.07)</f>
        <v>141.07</v>
      </c>
      <c r="E201" s="2" t="n">
        <f aca="false">IFERROR(__xludf.dummyfunction("""COMPUTED_VALUE"""),142.78)</f>
        <v>142.78</v>
      </c>
      <c r="F201" s="2" t="n">
        <f aca="false">IFERROR(__xludf.dummyfunction("""COMPUTED_VALUE"""),1019808)</f>
        <v>1019808</v>
      </c>
    </row>
    <row r="202" customFormat="false" ht="15.75" hidden="false" customHeight="false" outlineLevel="0" collapsed="false">
      <c r="A202" s="3" t="n">
        <f aca="false">IFERROR(__xludf.dummyfunction("""COMPUTED_VALUE"""),44488.6666666667)</f>
        <v>44488.6666666667</v>
      </c>
      <c r="B202" s="2" t="n">
        <f aca="false">IFERROR(__xludf.dummyfunction("""COMPUTED_VALUE"""),143.39)</f>
        <v>143.39</v>
      </c>
      <c r="C202" s="2" t="n">
        <f aca="false">IFERROR(__xludf.dummyfunction("""COMPUTED_VALUE"""),143.66)</f>
        <v>143.66</v>
      </c>
      <c r="D202" s="2" t="n">
        <f aca="false">IFERROR(__xludf.dummyfunction("""COMPUTED_VALUE"""),142.6)</f>
        <v>142.6</v>
      </c>
      <c r="E202" s="2" t="n">
        <f aca="false">IFERROR(__xludf.dummyfunction("""COMPUTED_VALUE"""),143.24)</f>
        <v>143.24</v>
      </c>
      <c r="F202" s="2" t="n">
        <f aca="false">IFERROR(__xludf.dummyfunction("""COMPUTED_VALUE"""),1008150)</f>
        <v>1008150</v>
      </c>
    </row>
    <row r="203" customFormat="false" ht="15.75" hidden="false" customHeight="false" outlineLevel="0" collapsed="false">
      <c r="A203" s="3" t="n">
        <f aca="false">IFERROR(__xludf.dummyfunction("""COMPUTED_VALUE"""),44489.6666666667)</f>
        <v>44489.6666666667</v>
      </c>
      <c r="B203" s="2" t="n">
        <f aca="false">IFERROR(__xludf.dummyfunction("""COMPUTED_VALUE"""),143.34)</f>
        <v>143.34</v>
      </c>
      <c r="C203" s="2" t="n">
        <f aca="false">IFERROR(__xludf.dummyfunction("""COMPUTED_VALUE"""),143.55)</f>
        <v>143.55</v>
      </c>
      <c r="D203" s="2" t="n">
        <f aca="false">IFERROR(__xludf.dummyfunction("""COMPUTED_VALUE"""),141.38)</f>
        <v>141.38</v>
      </c>
      <c r="E203" s="2" t="n">
        <f aca="false">IFERROR(__xludf.dummyfunction("""COMPUTED_VALUE"""),141.77)</f>
        <v>141.77</v>
      </c>
      <c r="F203" s="2" t="n">
        <f aca="false">IFERROR(__xludf.dummyfunction("""COMPUTED_VALUE"""),1164403)</f>
        <v>1164403</v>
      </c>
    </row>
    <row r="204" customFormat="false" ht="15.75" hidden="false" customHeight="false" outlineLevel="0" collapsed="false">
      <c r="A204" s="3" t="n">
        <f aca="false">IFERROR(__xludf.dummyfunction("""COMPUTED_VALUE"""),44490.6666666667)</f>
        <v>44490.6666666667</v>
      </c>
      <c r="B204" s="2" t="n">
        <f aca="false">IFERROR(__xludf.dummyfunction("""COMPUTED_VALUE"""),141.77)</f>
        <v>141.77</v>
      </c>
      <c r="C204" s="2" t="n">
        <f aca="false">IFERROR(__xludf.dummyfunction("""COMPUTED_VALUE"""),142.16)</f>
        <v>142.16</v>
      </c>
      <c r="D204" s="2" t="n">
        <f aca="false">IFERROR(__xludf.dummyfunction("""COMPUTED_VALUE"""),140.5)</f>
        <v>140.5</v>
      </c>
      <c r="E204" s="2" t="n">
        <f aca="false">IFERROR(__xludf.dummyfunction("""COMPUTED_VALUE"""),141.89)</f>
        <v>141.89</v>
      </c>
      <c r="F204" s="2" t="n">
        <f aca="false">IFERROR(__xludf.dummyfunction("""COMPUTED_VALUE"""),1314613)</f>
        <v>1314613</v>
      </c>
    </row>
    <row r="205" customFormat="false" ht="15.75" hidden="false" customHeight="false" outlineLevel="0" collapsed="false">
      <c r="A205" s="3" t="n">
        <f aca="false">IFERROR(__xludf.dummyfunction("""COMPUTED_VALUE"""),44491.6666666667)</f>
        <v>44491.6666666667</v>
      </c>
      <c r="B205" s="2" t="n">
        <f aca="false">IFERROR(__xludf.dummyfunction("""COMPUTED_VALUE"""),139.15)</f>
        <v>139.15</v>
      </c>
      <c r="C205" s="2" t="n">
        <f aca="false">IFERROR(__xludf.dummyfunction("""COMPUTED_VALUE"""),140.58)</f>
        <v>140.58</v>
      </c>
      <c r="D205" s="2" t="n">
        <f aca="false">IFERROR(__xludf.dummyfunction("""COMPUTED_VALUE"""),136.06)</f>
        <v>136.06</v>
      </c>
      <c r="E205" s="2" t="n">
        <f aca="false">IFERROR(__xludf.dummyfunction("""COMPUTED_VALUE"""),137.57)</f>
        <v>137.57</v>
      </c>
      <c r="F205" s="2" t="n">
        <f aca="false">IFERROR(__xludf.dummyfunction("""COMPUTED_VALUE"""),2529448)</f>
        <v>2529448</v>
      </c>
    </row>
    <row r="206" customFormat="false" ht="15.75" hidden="false" customHeight="false" outlineLevel="0" collapsed="false">
      <c r="A206" s="3" t="n">
        <f aca="false">IFERROR(__xludf.dummyfunction("""COMPUTED_VALUE"""),44494.6666666667)</f>
        <v>44494.6666666667</v>
      </c>
      <c r="B206" s="2" t="n">
        <f aca="false">IFERROR(__xludf.dummyfunction("""COMPUTED_VALUE"""),137.55)</f>
        <v>137.55</v>
      </c>
      <c r="C206" s="2" t="n">
        <f aca="false">IFERROR(__xludf.dummyfunction("""COMPUTED_VALUE"""),138)</f>
        <v>138</v>
      </c>
      <c r="D206" s="2" t="n">
        <f aca="false">IFERROR(__xludf.dummyfunction("""COMPUTED_VALUE"""),135.42)</f>
        <v>135.42</v>
      </c>
      <c r="E206" s="2" t="n">
        <f aca="false">IFERROR(__xludf.dummyfunction("""COMPUTED_VALUE"""),137.45)</f>
        <v>137.45</v>
      </c>
      <c r="F206" s="2" t="n">
        <f aca="false">IFERROR(__xludf.dummyfunction("""COMPUTED_VALUE"""),1720613)</f>
        <v>1720613</v>
      </c>
    </row>
    <row r="207" customFormat="false" ht="15.75" hidden="false" customHeight="false" outlineLevel="0" collapsed="false">
      <c r="A207" s="3" t="n">
        <f aca="false">IFERROR(__xludf.dummyfunction("""COMPUTED_VALUE"""),44495.6666666667)</f>
        <v>44495.6666666667</v>
      </c>
      <c r="B207" s="2" t="n">
        <f aca="false">IFERROR(__xludf.dummyfunction("""COMPUTED_VALUE"""),139.26)</f>
        <v>139.26</v>
      </c>
      <c r="C207" s="2" t="n">
        <f aca="false">IFERROR(__xludf.dummyfunction("""COMPUTED_VALUE"""),140.08)</f>
        <v>140.08</v>
      </c>
      <c r="D207" s="2" t="n">
        <f aca="false">IFERROR(__xludf.dummyfunction("""COMPUTED_VALUE"""),138.3)</f>
        <v>138.3</v>
      </c>
      <c r="E207" s="2" t="n">
        <f aca="false">IFERROR(__xludf.dummyfunction("""COMPUTED_VALUE"""),139.31)</f>
        <v>139.31</v>
      </c>
      <c r="F207" s="2" t="n">
        <f aca="false">IFERROR(__xludf.dummyfunction("""COMPUTED_VALUE"""),2461751)</f>
        <v>2461751</v>
      </c>
    </row>
    <row r="208" customFormat="false" ht="15.75" hidden="false" customHeight="false" outlineLevel="0" collapsed="false">
      <c r="A208" s="3" t="n">
        <f aca="false">IFERROR(__xludf.dummyfunction("""COMPUTED_VALUE"""),44496.6666666667)</f>
        <v>44496.6666666667</v>
      </c>
      <c r="B208" s="2" t="n">
        <f aca="false">IFERROR(__xludf.dummyfunction("""COMPUTED_VALUE"""),139.41)</f>
        <v>139.41</v>
      </c>
      <c r="C208" s="2" t="n">
        <f aca="false">IFERROR(__xludf.dummyfunction("""COMPUTED_VALUE"""),148.65)</f>
        <v>148.65</v>
      </c>
      <c r="D208" s="2" t="n">
        <f aca="false">IFERROR(__xludf.dummyfunction("""COMPUTED_VALUE"""),139.41)</f>
        <v>139.41</v>
      </c>
      <c r="E208" s="2" t="n">
        <f aca="false">IFERROR(__xludf.dummyfunction("""COMPUTED_VALUE"""),146.22)</f>
        <v>146.22</v>
      </c>
      <c r="F208" s="2" t="n">
        <f aca="false">IFERROR(__xludf.dummyfunction("""COMPUTED_VALUE"""),4289070)</f>
        <v>4289070</v>
      </c>
    </row>
    <row r="209" customFormat="false" ht="15.75" hidden="false" customHeight="false" outlineLevel="0" collapsed="false">
      <c r="A209" s="3" t="n">
        <f aca="false">IFERROR(__xludf.dummyfunction("""COMPUTED_VALUE"""),44497.6666666667)</f>
        <v>44497.6666666667</v>
      </c>
      <c r="B209" s="2" t="n">
        <f aca="false">IFERROR(__xludf.dummyfunction("""COMPUTED_VALUE"""),147.13)</f>
        <v>147.13</v>
      </c>
      <c r="C209" s="2" t="n">
        <f aca="false">IFERROR(__xludf.dummyfunction("""COMPUTED_VALUE"""),147.16)</f>
        <v>147.16</v>
      </c>
      <c r="D209" s="2" t="n">
        <f aca="false">IFERROR(__xludf.dummyfunction("""COMPUTED_VALUE"""),144.63)</f>
        <v>144.63</v>
      </c>
      <c r="E209" s="2" t="n">
        <f aca="false">IFERROR(__xludf.dummyfunction("""COMPUTED_VALUE"""),145.85)</f>
        <v>145.85</v>
      </c>
      <c r="F209" s="2" t="n">
        <f aca="false">IFERROR(__xludf.dummyfunction("""COMPUTED_VALUE"""),1810319)</f>
        <v>1810319</v>
      </c>
    </row>
    <row r="210" customFormat="false" ht="15.75" hidden="false" customHeight="false" outlineLevel="0" collapsed="false">
      <c r="A210" s="3" t="n">
        <f aca="false">IFERROR(__xludf.dummyfunction("""COMPUTED_VALUE"""),44498.6666666667)</f>
        <v>44498.6666666667</v>
      </c>
      <c r="B210" s="2" t="n">
        <f aca="false">IFERROR(__xludf.dummyfunction("""COMPUTED_VALUE"""),145.08)</f>
        <v>145.08</v>
      </c>
      <c r="C210" s="2" t="n">
        <f aca="false">IFERROR(__xludf.dummyfunction("""COMPUTED_VALUE"""),148.24)</f>
        <v>148.24</v>
      </c>
      <c r="D210" s="2" t="n">
        <f aca="false">IFERROR(__xludf.dummyfunction("""COMPUTED_VALUE"""),144.65)</f>
        <v>144.65</v>
      </c>
      <c r="E210" s="2" t="n">
        <f aca="false">IFERROR(__xludf.dummyfunction("""COMPUTED_VALUE"""),148.05)</f>
        <v>148.05</v>
      </c>
      <c r="F210" s="2" t="n">
        <f aca="false">IFERROR(__xludf.dummyfunction("""COMPUTED_VALUE"""),2166015)</f>
        <v>2166015</v>
      </c>
    </row>
    <row r="211" customFormat="false" ht="15.75" hidden="false" customHeight="false" outlineLevel="0" collapsed="false">
      <c r="A211" s="3" t="n">
        <f aca="false">IFERROR(__xludf.dummyfunction("""COMPUTED_VALUE"""),44501.6666666667)</f>
        <v>44501.6666666667</v>
      </c>
      <c r="B211" s="2" t="n">
        <f aca="false">IFERROR(__xludf.dummyfunction("""COMPUTED_VALUE"""),148.05)</f>
        <v>148.05</v>
      </c>
      <c r="C211" s="2" t="n">
        <f aca="false">IFERROR(__xludf.dummyfunction("""COMPUTED_VALUE"""),148.05)</f>
        <v>148.05</v>
      </c>
      <c r="D211" s="2" t="n">
        <f aca="false">IFERROR(__xludf.dummyfunction("""COMPUTED_VALUE"""),143.23)</f>
        <v>143.23</v>
      </c>
      <c r="E211" s="2" t="n">
        <f aca="false">IFERROR(__xludf.dummyfunction("""COMPUTED_VALUE"""),143.5)</f>
        <v>143.5</v>
      </c>
      <c r="F211" s="2" t="n">
        <f aca="false">IFERROR(__xludf.dummyfunction("""COMPUTED_VALUE"""),2346162)</f>
        <v>2346162</v>
      </c>
    </row>
    <row r="212" customFormat="false" ht="15.75" hidden="false" customHeight="false" outlineLevel="0" collapsed="false">
      <c r="A212" s="3" t="n">
        <f aca="false">IFERROR(__xludf.dummyfunction("""COMPUTED_VALUE"""),44502.6666666667)</f>
        <v>44502.6666666667</v>
      </c>
      <c r="B212" s="2" t="n">
        <f aca="false">IFERROR(__xludf.dummyfunction("""COMPUTED_VALUE"""),144.58)</f>
        <v>144.58</v>
      </c>
      <c r="C212" s="2" t="n">
        <f aca="false">IFERROR(__xludf.dummyfunction("""COMPUTED_VALUE"""),146.61)</f>
        <v>146.61</v>
      </c>
      <c r="D212" s="2" t="n">
        <f aca="false">IFERROR(__xludf.dummyfunction("""COMPUTED_VALUE"""),144.34)</f>
        <v>144.34</v>
      </c>
      <c r="E212" s="2" t="n">
        <f aca="false">IFERROR(__xludf.dummyfunction("""COMPUTED_VALUE"""),145.43)</f>
        <v>145.43</v>
      </c>
      <c r="F212" s="2" t="n">
        <f aca="false">IFERROR(__xludf.dummyfunction("""COMPUTED_VALUE"""),1674112)</f>
        <v>1674112</v>
      </c>
    </row>
    <row r="213" customFormat="false" ht="15.75" hidden="false" customHeight="false" outlineLevel="0" collapsed="false">
      <c r="A213" s="3" t="n">
        <f aca="false">IFERROR(__xludf.dummyfunction("""COMPUTED_VALUE"""),44503.6666666667)</f>
        <v>44503.6666666667</v>
      </c>
      <c r="B213" s="2" t="n">
        <f aca="false">IFERROR(__xludf.dummyfunction("""COMPUTED_VALUE"""),145.9)</f>
        <v>145.9</v>
      </c>
      <c r="C213" s="2" t="n">
        <f aca="false">IFERROR(__xludf.dummyfunction("""COMPUTED_VALUE"""),146.67)</f>
        <v>146.67</v>
      </c>
      <c r="D213" s="2" t="n">
        <f aca="false">IFERROR(__xludf.dummyfunction("""COMPUTED_VALUE"""),144.59)</f>
        <v>144.59</v>
      </c>
      <c r="E213" s="2" t="n">
        <f aca="false">IFERROR(__xludf.dummyfunction("""COMPUTED_VALUE"""),146.6)</f>
        <v>146.6</v>
      </c>
      <c r="F213" s="2" t="n">
        <f aca="false">IFERROR(__xludf.dummyfunction("""COMPUTED_VALUE"""),1374662)</f>
        <v>1374662</v>
      </c>
    </row>
    <row r="214" customFormat="false" ht="15.75" hidden="false" customHeight="false" outlineLevel="0" collapsed="false">
      <c r="A214" s="3" t="n">
        <f aca="false">IFERROR(__xludf.dummyfunction("""COMPUTED_VALUE"""),44504.6666666667)</f>
        <v>44504.6666666667</v>
      </c>
      <c r="B214" s="2" t="n">
        <f aca="false">IFERROR(__xludf.dummyfunction("""COMPUTED_VALUE"""),147.12)</f>
        <v>147.12</v>
      </c>
      <c r="C214" s="2" t="n">
        <f aca="false">IFERROR(__xludf.dummyfunction("""COMPUTED_VALUE"""),149.73)</f>
        <v>149.73</v>
      </c>
      <c r="D214" s="2" t="n">
        <f aca="false">IFERROR(__xludf.dummyfunction("""COMPUTED_VALUE"""),146.31)</f>
        <v>146.31</v>
      </c>
      <c r="E214" s="2" t="n">
        <f aca="false">IFERROR(__xludf.dummyfunction("""COMPUTED_VALUE"""),148.27)</f>
        <v>148.27</v>
      </c>
      <c r="F214" s="2" t="n">
        <f aca="false">IFERROR(__xludf.dummyfunction("""COMPUTED_VALUE"""),1920563)</f>
        <v>1920563</v>
      </c>
    </row>
    <row r="215" customFormat="false" ht="15.75" hidden="false" customHeight="false" outlineLevel="0" collapsed="false">
      <c r="A215" s="3" t="n">
        <f aca="false">IFERROR(__xludf.dummyfunction("""COMPUTED_VALUE"""),44505.6666666667)</f>
        <v>44505.6666666667</v>
      </c>
      <c r="B215" s="2" t="n">
        <f aca="false">IFERROR(__xludf.dummyfunction("""COMPUTED_VALUE"""),149.17)</f>
        <v>149.17</v>
      </c>
      <c r="C215" s="2" t="n">
        <f aca="false">IFERROR(__xludf.dummyfunction("""COMPUTED_VALUE"""),150.33)</f>
        <v>150.33</v>
      </c>
      <c r="D215" s="2" t="n">
        <f aca="false">IFERROR(__xludf.dummyfunction("""COMPUTED_VALUE"""),148.2)</f>
        <v>148.2</v>
      </c>
      <c r="E215" s="2" t="n">
        <f aca="false">IFERROR(__xludf.dummyfunction("""COMPUTED_VALUE"""),148.85)</f>
        <v>148.85</v>
      </c>
      <c r="F215" s="2" t="n">
        <f aca="false">IFERROR(__xludf.dummyfunction("""COMPUTED_VALUE"""),1917737)</f>
        <v>1917737</v>
      </c>
    </row>
    <row r="216" customFormat="false" ht="15.75" hidden="false" customHeight="false" outlineLevel="0" collapsed="false">
      <c r="A216" s="3" t="n">
        <f aca="false">IFERROR(__xludf.dummyfunction("""COMPUTED_VALUE"""),44508.6666666667)</f>
        <v>44508.6666666667</v>
      </c>
      <c r="B216" s="2" t="n">
        <f aca="false">IFERROR(__xludf.dummyfunction("""COMPUTED_VALUE"""),149.82)</f>
        <v>149.82</v>
      </c>
      <c r="C216" s="2" t="n">
        <f aca="false">IFERROR(__xludf.dummyfunction("""COMPUTED_VALUE"""),150.61)</f>
        <v>150.61</v>
      </c>
      <c r="D216" s="2" t="n">
        <f aca="false">IFERROR(__xludf.dummyfunction("""COMPUTED_VALUE"""),148.43)</f>
        <v>148.43</v>
      </c>
      <c r="E216" s="2" t="n">
        <f aca="false">IFERROR(__xludf.dummyfunction("""COMPUTED_VALUE"""),149.03)</f>
        <v>149.03</v>
      </c>
      <c r="F216" s="2" t="n">
        <f aca="false">IFERROR(__xludf.dummyfunction("""COMPUTED_VALUE"""),1152625)</f>
        <v>1152625</v>
      </c>
    </row>
    <row r="217" customFormat="false" ht="15.75" hidden="false" customHeight="false" outlineLevel="0" collapsed="false">
      <c r="A217" s="3" t="n">
        <f aca="false">IFERROR(__xludf.dummyfunction("""COMPUTED_VALUE"""),44509.6666666667)</f>
        <v>44509.6666666667</v>
      </c>
      <c r="B217" s="2" t="n">
        <f aca="false">IFERROR(__xludf.dummyfunction("""COMPUTED_VALUE"""),149.23)</f>
        <v>149.23</v>
      </c>
      <c r="C217" s="2" t="n">
        <f aca="false">IFERROR(__xludf.dummyfunction("""COMPUTED_VALUE"""),149.83)</f>
        <v>149.83</v>
      </c>
      <c r="D217" s="2" t="n">
        <f aca="false">IFERROR(__xludf.dummyfunction("""COMPUTED_VALUE"""),147.24)</f>
        <v>147.24</v>
      </c>
      <c r="E217" s="2" t="n">
        <f aca="false">IFERROR(__xludf.dummyfunction("""COMPUTED_VALUE"""),148.92)</f>
        <v>148.92</v>
      </c>
      <c r="F217" s="2" t="n">
        <f aca="false">IFERROR(__xludf.dummyfunction("""COMPUTED_VALUE"""),976487)</f>
        <v>976487</v>
      </c>
    </row>
    <row r="218" customFormat="false" ht="15.75" hidden="false" customHeight="false" outlineLevel="0" collapsed="false">
      <c r="A218" s="3" t="n">
        <f aca="false">IFERROR(__xludf.dummyfunction("""COMPUTED_VALUE"""),44510.6666666667)</f>
        <v>44510.6666666667</v>
      </c>
      <c r="B218" s="2" t="n">
        <f aca="false">IFERROR(__xludf.dummyfunction("""COMPUTED_VALUE"""),147.5)</f>
        <v>147.5</v>
      </c>
      <c r="C218" s="2" t="n">
        <f aca="false">IFERROR(__xludf.dummyfunction("""COMPUTED_VALUE"""),148.07)</f>
        <v>148.07</v>
      </c>
      <c r="D218" s="2" t="n">
        <f aca="false">IFERROR(__xludf.dummyfunction("""COMPUTED_VALUE"""),144.54)</f>
        <v>144.54</v>
      </c>
      <c r="E218" s="2" t="n">
        <f aca="false">IFERROR(__xludf.dummyfunction("""COMPUTED_VALUE"""),145.89)</f>
        <v>145.89</v>
      </c>
      <c r="F218" s="2" t="n">
        <f aca="false">IFERROR(__xludf.dummyfunction("""COMPUTED_VALUE"""),1498490)</f>
        <v>1498490</v>
      </c>
    </row>
    <row r="219" customFormat="false" ht="15.75" hidden="false" customHeight="false" outlineLevel="0" collapsed="false">
      <c r="A219" s="3" t="n">
        <f aca="false">IFERROR(__xludf.dummyfunction("""COMPUTED_VALUE"""),44511.6666666667)</f>
        <v>44511.6666666667</v>
      </c>
      <c r="B219" s="2" t="n">
        <f aca="false">IFERROR(__xludf.dummyfunction("""COMPUTED_VALUE"""),146.49)</f>
        <v>146.49</v>
      </c>
      <c r="C219" s="2" t="n">
        <f aca="false">IFERROR(__xludf.dummyfunction("""COMPUTED_VALUE"""),147.54)</f>
        <v>147.54</v>
      </c>
      <c r="D219" s="2" t="n">
        <f aca="false">IFERROR(__xludf.dummyfunction("""COMPUTED_VALUE"""),145.6)</f>
        <v>145.6</v>
      </c>
      <c r="E219" s="2" t="n">
        <f aca="false">IFERROR(__xludf.dummyfunction("""COMPUTED_VALUE"""),145.77)</f>
        <v>145.77</v>
      </c>
      <c r="F219" s="2" t="n">
        <f aca="false">IFERROR(__xludf.dummyfunction("""COMPUTED_VALUE"""),825874)</f>
        <v>825874</v>
      </c>
    </row>
    <row r="220" customFormat="false" ht="15.75" hidden="false" customHeight="false" outlineLevel="0" collapsed="false">
      <c r="A220" s="3" t="n">
        <f aca="false">IFERROR(__xludf.dummyfunction("""COMPUTED_VALUE"""),44512.6666666667)</f>
        <v>44512.6666666667</v>
      </c>
      <c r="B220" s="2" t="n">
        <f aca="false">IFERROR(__xludf.dummyfunction("""COMPUTED_VALUE"""),146.62)</f>
        <v>146.62</v>
      </c>
      <c r="C220" s="2" t="n">
        <f aca="false">IFERROR(__xludf.dummyfunction("""COMPUTED_VALUE"""),148.85)</f>
        <v>148.85</v>
      </c>
      <c r="D220" s="2" t="n">
        <f aca="false">IFERROR(__xludf.dummyfunction("""COMPUTED_VALUE"""),145.41)</f>
        <v>145.41</v>
      </c>
      <c r="E220" s="2" t="n">
        <f aca="false">IFERROR(__xludf.dummyfunction("""COMPUTED_VALUE"""),148.68)</f>
        <v>148.68</v>
      </c>
      <c r="F220" s="2" t="n">
        <f aca="false">IFERROR(__xludf.dummyfunction("""COMPUTED_VALUE"""),1118000)</f>
        <v>1118000</v>
      </c>
    </row>
    <row r="221" customFormat="false" ht="15.75" hidden="false" customHeight="false" outlineLevel="0" collapsed="false">
      <c r="A221" s="3" t="n">
        <f aca="false">IFERROR(__xludf.dummyfunction("""COMPUTED_VALUE"""),44515.6666666667)</f>
        <v>44515.6666666667</v>
      </c>
      <c r="B221" s="2" t="n">
        <f aca="false">IFERROR(__xludf.dummyfunction("""COMPUTED_VALUE"""),148.9)</f>
        <v>148.9</v>
      </c>
      <c r="C221" s="2" t="n">
        <f aca="false">IFERROR(__xludf.dummyfunction("""COMPUTED_VALUE"""),149.55)</f>
        <v>149.55</v>
      </c>
      <c r="D221" s="2" t="n">
        <f aca="false">IFERROR(__xludf.dummyfunction("""COMPUTED_VALUE"""),147.57)</f>
        <v>147.57</v>
      </c>
      <c r="E221" s="2" t="n">
        <f aca="false">IFERROR(__xludf.dummyfunction("""COMPUTED_VALUE"""),148.45)</f>
        <v>148.45</v>
      </c>
      <c r="F221" s="2" t="n">
        <f aca="false">IFERROR(__xludf.dummyfunction("""COMPUTED_VALUE"""),1175352)</f>
        <v>1175352</v>
      </c>
    </row>
    <row r="222" customFormat="false" ht="15.75" hidden="false" customHeight="false" outlineLevel="0" collapsed="false">
      <c r="A222" s="3" t="n">
        <f aca="false">IFERROR(__xludf.dummyfunction("""COMPUTED_VALUE"""),44516.6666666667)</f>
        <v>44516.6666666667</v>
      </c>
      <c r="B222" s="2" t="n">
        <f aca="false">IFERROR(__xludf.dummyfunction("""COMPUTED_VALUE"""),148.15)</f>
        <v>148.15</v>
      </c>
      <c r="C222" s="2" t="n">
        <f aca="false">IFERROR(__xludf.dummyfunction("""COMPUTED_VALUE"""),148.76)</f>
        <v>148.76</v>
      </c>
      <c r="D222" s="2" t="n">
        <f aca="false">IFERROR(__xludf.dummyfunction("""COMPUTED_VALUE"""),147.31)</f>
        <v>147.31</v>
      </c>
      <c r="E222" s="2" t="n">
        <f aca="false">IFERROR(__xludf.dummyfunction("""COMPUTED_VALUE"""),147.88)</f>
        <v>147.88</v>
      </c>
      <c r="F222" s="2" t="n">
        <f aca="false">IFERROR(__xludf.dummyfunction("""COMPUTED_VALUE"""),945200)</f>
        <v>945200</v>
      </c>
    </row>
    <row r="223" customFormat="false" ht="15.75" hidden="false" customHeight="false" outlineLevel="0" collapsed="false">
      <c r="A223" s="3" t="n">
        <f aca="false">IFERROR(__xludf.dummyfunction("""COMPUTED_VALUE"""),44517.6666666667)</f>
        <v>44517.6666666667</v>
      </c>
      <c r="B223" s="2" t="n">
        <f aca="false">IFERROR(__xludf.dummyfunction("""COMPUTED_VALUE"""),148.03)</f>
        <v>148.03</v>
      </c>
      <c r="C223" s="2" t="n">
        <f aca="false">IFERROR(__xludf.dummyfunction("""COMPUTED_VALUE"""),148.56)</f>
        <v>148.56</v>
      </c>
      <c r="D223" s="2" t="n">
        <f aca="false">IFERROR(__xludf.dummyfunction("""COMPUTED_VALUE"""),147.24)</f>
        <v>147.24</v>
      </c>
      <c r="E223" s="2" t="n">
        <f aca="false">IFERROR(__xludf.dummyfunction("""COMPUTED_VALUE"""),148.05)</f>
        <v>148.05</v>
      </c>
      <c r="F223" s="2" t="n">
        <f aca="false">IFERROR(__xludf.dummyfunction("""COMPUTED_VALUE"""),979975)</f>
        <v>979975</v>
      </c>
    </row>
    <row r="224" customFormat="false" ht="15.75" hidden="false" customHeight="false" outlineLevel="0" collapsed="false">
      <c r="A224" s="3" t="n">
        <f aca="false">IFERROR(__xludf.dummyfunction("""COMPUTED_VALUE"""),44518.6666666667)</f>
        <v>44518.6666666667</v>
      </c>
      <c r="B224" s="2" t="n">
        <f aca="false">IFERROR(__xludf.dummyfunction("""COMPUTED_VALUE"""),148.24)</f>
        <v>148.24</v>
      </c>
      <c r="C224" s="2" t="n">
        <f aca="false">IFERROR(__xludf.dummyfunction("""COMPUTED_VALUE"""),150.58)</f>
        <v>150.58</v>
      </c>
      <c r="D224" s="2" t="n">
        <f aca="false">IFERROR(__xludf.dummyfunction("""COMPUTED_VALUE"""),147.88)</f>
        <v>147.88</v>
      </c>
      <c r="E224" s="2" t="n">
        <f aca="false">IFERROR(__xludf.dummyfunction("""COMPUTED_VALUE"""),149.84)</f>
        <v>149.84</v>
      </c>
      <c r="F224" s="2" t="n">
        <f aca="false">IFERROR(__xludf.dummyfunction("""COMPUTED_VALUE"""),1781411)</f>
        <v>1781411</v>
      </c>
    </row>
    <row r="225" customFormat="false" ht="15.75" hidden="false" customHeight="false" outlineLevel="0" collapsed="false">
      <c r="A225" s="3" t="n">
        <f aca="false">IFERROR(__xludf.dummyfunction("""COMPUTED_VALUE"""),44519.6666666667)</f>
        <v>44519.6666666667</v>
      </c>
      <c r="B225" s="2" t="n">
        <f aca="false">IFERROR(__xludf.dummyfunction("""COMPUTED_VALUE"""),149.98)</f>
        <v>149.98</v>
      </c>
      <c r="C225" s="2" t="n">
        <f aca="false">IFERROR(__xludf.dummyfunction("""COMPUTED_VALUE"""),150.97)</f>
        <v>150.97</v>
      </c>
      <c r="D225" s="2" t="n">
        <f aca="false">IFERROR(__xludf.dummyfunction("""COMPUTED_VALUE"""),148.9)</f>
        <v>148.9</v>
      </c>
      <c r="E225" s="2" t="n">
        <f aca="false">IFERROR(__xludf.dummyfunction("""COMPUTED_VALUE"""),148.93)</f>
        <v>148.93</v>
      </c>
      <c r="F225" s="2" t="n">
        <f aca="false">IFERROR(__xludf.dummyfunction("""COMPUTED_VALUE"""),1684969)</f>
        <v>1684969</v>
      </c>
    </row>
    <row r="226" customFormat="false" ht="15.75" hidden="false" customHeight="false" outlineLevel="0" collapsed="false">
      <c r="A226" s="3" t="n">
        <f aca="false">IFERROR(__xludf.dummyfunction("""COMPUTED_VALUE"""),44522.6666666667)</f>
        <v>44522.6666666667</v>
      </c>
      <c r="B226" s="2" t="n">
        <f aca="false">IFERROR(__xludf.dummyfunction("""COMPUTED_VALUE"""),149.33)</f>
        <v>149.33</v>
      </c>
      <c r="C226" s="2" t="n">
        <f aca="false">IFERROR(__xludf.dummyfunction("""COMPUTED_VALUE"""),149.83)</f>
        <v>149.83</v>
      </c>
      <c r="D226" s="2" t="n">
        <f aca="false">IFERROR(__xludf.dummyfunction("""COMPUTED_VALUE"""),146.15)</f>
        <v>146.15</v>
      </c>
      <c r="E226" s="2" t="n">
        <f aca="false">IFERROR(__xludf.dummyfunction("""COMPUTED_VALUE"""),146.3)</f>
        <v>146.3</v>
      </c>
      <c r="F226" s="2" t="n">
        <f aca="false">IFERROR(__xludf.dummyfunction("""COMPUTED_VALUE"""),1531460)</f>
        <v>1531460</v>
      </c>
    </row>
    <row r="227" customFormat="false" ht="15.75" hidden="false" customHeight="false" outlineLevel="0" collapsed="false">
      <c r="A227" s="3" t="n">
        <f aca="false">IFERROR(__xludf.dummyfunction("""COMPUTED_VALUE"""),44523.6666666667)</f>
        <v>44523.6666666667</v>
      </c>
      <c r="B227" s="2" t="n">
        <f aca="false">IFERROR(__xludf.dummyfunction("""COMPUTED_VALUE"""),146.15)</f>
        <v>146.15</v>
      </c>
      <c r="C227" s="2" t="n">
        <f aca="false">IFERROR(__xludf.dummyfunction("""COMPUTED_VALUE"""),146.66)</f>
        <v>146.66</v>
      </c>
      <c r="D227" s="2" t="n">
        <f aca="false">IFERROR(__xludf.dummyfunction("""COMPUTED_VALUE"""),144.12)</f>
        <v>144.12</v>
      </c>
      <c r="E227" s="2" t="n">
        <f aca="false">IFERROR(__xludf.dummyfunction("""COMPUTED_VALUE"""),145.78)</f>
        <v>145.78</v>
      </c>
      <c r="F227" s="2" t="n">
        <f aca="false">IFERROR(__xludf.dummyfunction("""COMPUTED_VALUE"""),1361558)</f>
        <v>1361558</v>
      </c>
    </row>
    <row r="228" customFormat="false" ht="15.75" hidden="false" customHeight="false" outlineLevel="0" collapsed="false">
      <c r="A228" s="3" t="n">
        <f aca="false">IFERROR(__xludf.dummyfunction("""COMPUTED_VALUE"""),44524.6666666667)</f>
        <v>44524.6666666667</v>
      </c>
      <c r="B228" s="2" t="n">
        <f aca="false">IFERROR(__xludf.dummyfunction("""COMPUTED_VALUE"""),145.47)</f>
        <v>145.47</v>
      </c>
      <c r="C228" s="2" t="n">
        <f aca="false">IFERROR(__xludf.dummyfunction("""COMPUTED_VALUE"""),146.25)</f>
        <v>146.25</v>
      </c>
      <c r="D228" s="2" t="n">
        <f aca="false">IFERROR(__xludf.dummyfunction("""COMPUTED_VALUE"""),144.37)</f>
        <v>144.37</v>
      </c>
      <c r="E228" s="2" t="n">
        <f aca="false">IFERROR(__xludf.dummyfunction("""COMPUTED_VALUE"""),146.12)</f>
        <v>146.12</v>
      </c>
      <c r="F228" s="2" t="n">
        <f aca="false">IFERROR(__xludf.dummyfunction("""COMPUTED_VALUE"""),902007)</f>
        <v>902007</v>
      </c>
    </row>
    <row r="229" customFormat="false" ht="15.75" hidden="false" customHeight="false" outlineLevel="0" collapsed="false">
      <c r="A229" s="3" t="n">
        <f aca="false">IFERROR(__xludf.dummyfunction("""COMPUTED_VALUE"""),44526.5416666667)</f>
        <v>44526.5416666667</v>
      </c>
      <c r="B229" s="2" t="n">
        <f aca="false">IFERROR(__xludf.dummyfunction("""COMPUTED_VALUE"""),144.35)</f>
        <v>144.35</v>
      </c>
      <c r="C229" s="2" t="n">
        <f aca="false">IFERROR(__xludf.dummyfunction("""COMPUTED_VALUE"""),144.56)</f>
        <v>144.56</v>
      </c>
      <c r="D229" s="2" t="n">
        <f aca="false">IFERROR(__xludf.dummyfunction("""COMPUTED_VALUE"""),141.84)</f>
        <v>141.84</v>
      </c>
      <c r="E229" s="2" t="n">
        <f aca="false">IFERROR(__xludf.dummyfunction("""COMPUTED_VALUE"""),142.18)</f>
        <v>142.18</v>
      </c>
      <c r="F229" s="2" t="n">
        <f aca="false">IFERROR(__xludf.dummyfunction("""COMPUTED_VALUE"""),1523462)</f>
        <v>1523462</v>
      </c>
    </row>
    <row r="230" customFormat="false" ht="15.75" hidden="false" customHeight="false" outlineLevel="0" collapsed="false">
      <c r="A230" s="3" t="n">
        <f aca="false">IFERROR(__xludf.dummyfunction("""COMPUTED_VALUE"""),44529.6666666667)</f>
        <v>44529.6666666667</v>
      </c>
      <c r="B230" s="2" t="n">
        <f aca="false">IFERROR(__xludf.dummyfunction("""COMPUTED_VALUE"""),144)</f>
        <v>144</v>
      </c>
      <c r="C230" s="2" t="n">
        <f aca="false">IFERROR(__xludf.dummyfunction("""COMPUTED_VALUE"""),146.3)</f>
        <v>146.3</v>
      </c>
      <c r="D230" s="2" t="n">
        <f aca="false">IFERROR(__xludf.dummyfunction("""COMPUTED_VALUE"""),143.89)</f>
        <v>143.89</v>
      </c>
      <c r="E230" s="2" t="n">
        <f aca="false">IFERROR(__xludf.dummyfunction("""COMPUTED_VALUE"""),145.53)</f>
        <v>145.53</v>
      </c>
      <c r="F230" s="2" t="n">
        <f aca="false">IFERROR(__xludf.dummyfunction("""COMPUTED_VALUE"""),1629752)</f>
        <v>1629752</v>
      </c>
    </row>
    <row r="231" customFormat="false" ht="15.75" hidden="false" customHeight="false" outlineLevel="0" collapsed="false">
      <c r="A231" s="3" t="n">
        <f aca="false">IFERROR(__xludf.dummyfunction("""COMPUTED_VALUE"""),44530.6666666667)</f>
        <v>44530.6666666667</v>
      </c>
      <c r="B231" s="2" t="n">
        <f aca="false">IFERROR(__xludf.dummyfunction("""COMPUTED_VALUE"""),145.01)</f>
        <v>145.01</v>
      </c>
      <c r="C231" s="2" t="n">
        <f aca="false">IFERROR(__xludf.dummyfunction("""COMPUTED_VALUE"""),146)</f>
        <v>146</v>
      </c>
      <c r="D231" s="2" t="n">
        <f aca="false">IFERROR(__xludf.dummyfunction("""COMPUTED_VALUE"""),141.6)</f>
        <v>141.6</v>
      </c>
      <c r="E231" s="2" t="n">
        <f aca="false">IFERROR(__xludf.dummyfunction("""COMPUTED_VALUE"""),141.9)</f>
        <v>141.9</v>
      </c>
      <c r="F231" s="2" t="n">
        <f aca="false">IFERROR(__xludf.dummyfunction("""COMPUTED_VALUE"""),2103361)</f>
        <v>2103361</v>
      </c>
    </row>
    <row r="232" customFormat="false" ht="15.75" hidden="false" customHeight="false" outlineLevel="0" collapsed="false">
      <c r="A232" s="3" t="n">
        <f aca="false">IFERROR(__xludf.dummyfunction("""COMPUTED_VALUE"""),44531.6666666667)</f>
        <v>44531.6666666667</v>
      </c>
      <c r="B232" s="2" t="n">
        <f aca="false">IFERROR(__xludf.dummyfunction("""COMPUTED_VALUE"""),144)</f>
        <v>144</v>
      </c>
      <c r="C232" s="2" t="n">
        <f aca="false">IFERROR(__xludf.dummyfunction("""COMPUTED_VALUE"""),145.95)</f>
        <v>145.95</v>
      </c>
      <c r="D232" s="2" t="n">
        <f aca="false">IFERROR(__xludf.dummyfunction("""COMPUTED_VALUE"""),140.91)</f>
        <v>140.91</v>
      </c>
      <c r="E232" s="2" t="n">
        <f aca="false">IFERROR(__xludf.dummyfunction("""COMPUTED_VALUE"""),141.05)</f>
        <v>141.05</v>
      </c>
      <c r="F232" s="2" t="n">
        <f aca="false">IFERROR(__xludf.dummyfunction("""COMPUTED_VALUE"""),1702762)</f>
        <v>1702762</v>
      </c>
    </row>
    <row r="233" customFormat="false" ht="15.75" hidden="false" customHeight="false" outlineLevel="0" collapsed="false">
      <c r="A233" s="3" t="n">
        <f aca="false">IFERROR(__xludf.dummyfunction("""COMPUTED_VALUE"""),44532.6666666667)</f>
        <v>44532.6666666667</v>
      </c>
      <c r="B233" s="2" t="n">
        <f aca="false">IFERROR(__xludf.dummyfunction("""COMPUTED_VALUE"""),141.25)</f>
        <v>141.25</v>
      </c>
      <c r="C233" s="2" t="n">
        <f aca="false">IFERROR(__xludf.dummyfunction("""COMPUTED_VALUE"""),143.86)</f>
        <v>143.86</v>
      </c>
      <c r="D233" s="2" t="n">
        <f aca="false">IFERROR(__xludf.dummyfunction("""COMPUTED_VALUE"""),140.21)</f>
        <v>140.21</v>
      </c>
      <c r="E233" s="2" t="n">
        <f aca="false">IFERROR(__xludf.dummyfunction("""COMPUTED_VALUE"""),142.97)</f>
        <v>142.97</v>
      </c>
      <c r="F233" s="2" t="n">
        <f aca="false">IFERROR(__xludf.dummyfunction("""COMPUTED_VALUE"""),1459742)</f>
        <v>1459742</v>
      </c>
    </row>
    <row r="234" customFormat="false" ht="15.75" hidden="false" customHeight="false" outlineLevel="0" collapsed="false">
      <c r="A234" s="3" t="n">
        <f aca="false">IFERROR(__xludf.dummyfunction("""COMPUTED_VALUE"""),44533.6666666667)</f>
        <v>44533.6666666667</v>
      </c>
      <c r="B234" s="2" t="n">
        <f aca="false">IFERROR(__xludf.dummyfunction("""COMPUTED_VALUE"""),143.68)</f>
        <v>143.68</v>
      </c>
      <c r="C234" s="2" t="n">
        <f aca="false">IFERROR(__xludf.dummyfunction("""COMPUTED_VALUE"""),144.4)</f>
        <v>144.4</v>
      </c>
      <c r="D234" s="2" t="n">
        <f aca="false">IFERROR(__xludf.dummyfunction("""COMPUTED_VALUE"""),140.3)</f>
        <v>140.3</v>
      </c>
      <c r="E234" s="2" t="n">
        <f aca="false">IFERROR(__xludf.dummyfunction("""COMPUTED_VALUE"""),142)</f>
        <v>142</v>
      </c>
      <c r="F234" s="2" t="n">
        <f aca="false">IFERROR(__xludf.dummyfunction("""COMPUTED_VALUE"""),2061508)</f>
        <v>2061508</v>
      </c>
    </row>
    <row r="235" customFormat="false" ht="15.75" hidden="false" customHeight="false" outlineLevel="0" collapsed="false">
      <c r="A235" s="3" t="n">
        <f aca="false">IFERROR(__xludf.dummyfunction("""COMPUTED_VALUE"""),44536.6666666667)</f>
        <v>44536.6666666667</v>
      </c>
      <c r="B235" s="2" t="n">
        <f aca="false">IFERROR(__xludf.dummyfunction("""COMPUTED_VALUE"""),143.04)</f>
        <v>143.04</v>
      </c>
      <c r="C235" s="2" t="n">
        <f aca="false">IFERROR(__xludf.dummyfunction("""COMPUTED_VALUE"""),143.85)</f>
        <v>143.85</v>
      </c>
      <c r="D235" s="2" t="n">
        <f aca="false">IFERROR(__xludf.dummyfunction("""COMPUTED_VALUE"""),140.15)</f>
        <v>140.15</v>
      </c>
      <c r="E235" s="2" t="n">
        <f aca="false">IFERROR(__xludf.dummyfunction("""COMPUTED_VALUE"""),143.16)</f>
        <v>143.16</v>
      </c>
      <c r="F235" s="2" t="n">
        <f aca="false">IFERROR(__xludf.dummyfunction("""COMPUTED_VALUE"""),1530905)</f>
        <v>1530905</v>
      </c>
    </row>
    <row r="236" customFormat="false" ht="15.75" hidden="false" customHeight="false" outlineLevel="0" collapsed="false">
      <c r="A236" s="3" t="n">
        <f aca="false">IFERROR(__xludf.dummyfunction("""COMPUTED_VALUE"""),44537.6666666667)</f>
        <v>44537.6666666667</v>
      </c>
      <c r="B236" s="2" t="n">
        <f aca="false">IFERROR(__xludf.dummyfunction("""COMPUTED_VALUE"""),145.6)</f>
        <v>145.6</v>
      </c>
      <c r="C236" s="2" t="n">
        <f aca="false">IFERROR(__xludf.dummyfunction("""COMPUTED_VALUE"""),147.53)</f>
        <v>147.53</v>
      </c>
      <c r="D236" s="2" t="n">
        <f aca="false">IFERROR(__xludf.dummyfunction("""COMPUTED_VALUE"""),145.23)</f>
        <v>145.23</v>
      </c>
      <c r="E236" s="2" t="n">
        <f aca="false">IFERROR(__xludf.dummyfunction("""COMPUTED_VALUE"""),147.27)</f>
        <v>147.27</v>
      </c>
      <c r="F236" s="2" t="n">
        <f aca="false">IFERROR(__xludf.dummyfunction("""COMPUTED_VALUE"""),1612015)</f>
        <v>1612015</v>
      </c>
    </row>
    <row r="237" customFormat="false" ht="15.75" hidden="false" customHeight="false" outlineLevel="0" collapsed="false">
      <c r="A237" s="3" t="n">
        <f aca="false">IFERROR(__xludf.dummyfunction("""COMPUTED_VALUE"""),44538.6666666667)</f>
        <v>44538.6666666667</v>
      </c>
      <c r="B237" s="2" t="n">
        <f aca="false">IFERROR(__xludf.dummyfunction("""COMPUTED_VALUE"""),147.6)</f>
        <v>147.6</v>
      </c>
      <c r="C237" s="2" t="n">
        <f aca="false">IFERROR(__xludf.dummyfunction("""COMPUTED_VALUE"""),148.39)</f>
        <v>148.39</v>
      </c>
      <c r="D237" s="2" t="n">
        <f aca="false">IFERROR(__xludf.dummyfunction("""COMPUTED_VALUE"""),146.41)</f>
        <v>146.41</v>
      </c>
      <c r="E237" s="2" t="n">
        <f aca="false">IFERROR(__xludf.dummyfunction("""COMPUTED_VALUE"""),148.19)</f>
        <v>148.19</v>
      </c>
      <c r="F237" s="2" t="n">
        <f aca="false">IFERROR(__xludf.dummyfunction("""COMPUTED_VALUE"""),1213516)</f>
        <v>1213516</v>
      </c>
    </row>
    <row r="238" customFormat="false" ht="15.75" hidden="false" customHeight="false" outlineLevel="0" collapsed="false">
      <c r="A238" s="3" t="n">
        <f aca="false">IFERROR(__xludf.dummyfunction("""COMPUTED_VALUE"""),44539.6666666667)</f>
        <v>44539.6666666667</v>
      </c>
      <c r="B238" s="2" t="n">
        <f aca="false">IFERROR(__xludf.dummyfunction("""COMPUTED_VALUE"""),147.59)</f>
        <v>147.59</v>
      </c>
      <c r="C238" s="2" t="n">
        <f aca="false">IFERROR(__xludf.dummyfunction("""COMPUTED_VALUE"""),149.1)</f>
        <v>149.1</v>
      </c>
      <c r="D238" s="2" t="n">
        <f aca="false">IFERROR(__xludf.dummyfunction("""COMPUTED_VALUE"""),147.12)</f>
        <v>147.12</v>
      </c>
      <c r="E238" s="2" t="n">
        <f aca="false">IFERROR(__xludf.dummyfunction("""COMPUTED_VALUE"""),147.64)</f>
        <v>147.64</v>
      </c>
      <c r="F238" s="2" t="n">
        <f aca="false">IFERROR(__xludf.dummyfunction("""COMPUTED_VALUE"""),1163486)</f>
        <v>1163486</v>
      </c>
    </row>
    <row r="239" customFormat="false" ht="15.75" hidden="false" customHeight="false" outlineLevel="0" collapsed="false">
      <c r="A239" s="3" t="n">
        <f aca="false">IFERROR(__xludf.dummyfunction("""COMPUTED_VALUE"""),44540.6666666667)</f>
        <v>44540.6666666667</v>
      </c>
      <c r="B239" s="2" t="n">
        <f aca="false">IFERROR(__xludf.dummyfunction("""COMPUTED_VALUE"""),148.7)</f>
        <v>148.7</v>
      </c>
      <c r="C239" s="2" t="n">
        <f aca="false">IFERROR(__xludf.dummyfunction("""COMPUTED_VALUE"""),148.98)</f>
        <v>148.98</v>
      </c>
      <c r="D239" s="2" t="n">
        <f aca="false">IFERROR(__xludf.dummyfunction("""COMPUTED_VALUE"""),146.7)</f>
        <v>146.7</v>
      </c>
      <c r="E239" s="2" t="n">
        <f aca="false">IFERROR(__xludf.dummyfunction("""COMPUTED_VALUE"""),148)</f>
        <v>148</v>
      </c>
      <c r="F239" s="2" t="n">
        <f aca="false">IFERROR(__xludf.dummyfunction("""COMPUTED_VALUE"""),1223138)</f>
        <v>1223138</v>
      </c>
    </row>
    <row r="240" customFormat="false" ht="15.75" hidden="false" customHeight="false" outlineLevel="0" collapsed="false">
      <c r="A240" s="3" t="n">
        <f aca="false">IFERROR(__xludf.dummyfunction("""COMPUTED_VALUE"""),44543.6666666667)</f>
        <v>44543.6666666667</v>
      </c>
      <c r="B240" s="2" t="n">
        <f aca="false">IFERROR(__xludf.dummyfunction("""COMPUTED_VALUE"""),147.78)</f>
        <v>147.78</v>
      </c>
      <c r="C240" s="2" t="n">
        <f aca="false">IFERROR(__xludf.dummyfunction("""COMPUTED_VALUE"""),147.97)</f>
        <v>147.97</v>
      </c>
      <c r="D240" s="2" t="n">
        <f aca="false">IFERROR(__xludf.dummyfunction("""COMPUTED_VALUE"""),145.52)</f>
        <v>145.52</v>
      </c>
      <c r="E240" s="2" t="n">
        <f aca="false">IFERROR(__xludf.dummyfunction("""COMPUTED_VALUE"""),145.83)</f>
        <v>145.83</v>
      </c>
      <c r="F240" s="2" t="n">
        <f aca="false">IFERROR(__xludf.dummyfunction("""COMPUTED_VALUE"""),1353470)</f>
        <v>1353470</v>
      </c>
    </row>
    <row r="241" customFormat="false" ht="15.75" hidden="false" customHeight="false" outlineLevel="0" collapsed="false">
      <c r="A241" s="3" t="n">
        <f aca="false">IFERROR(__xludf.dummyfunction("""COMPUTED_VALUE"""),44544.6666666667)</f>
        <v>44544.6666666667</v>
      </c>
      <c r="B241" s="2" t="n">
        <f aca="false">IFERROR(__xludf.dummyfunction("""COMPUTED_VALUE"""),143.97)</f>
        <v>143.97</v>
      </c>
      <c r="C241" s="2" t="n">
        <f aca="false">IFERROR(__xludf.dummyfunction("""COMPUTED_VALUE"""),144.48)</f>
        <v>144.48</v>
      </c>
      <c r="D241" s="2" t="n">
        <f aca="false">IFERROR(__xludf.dummyfunction("""COMPUTED_VALUE"""),141.21)</f>
        <v>141.21</v>
      </c>
      <c r="E241" s="2" t="n">
        <f aca="false">IFERROR(__xludf.dummyfunction("""COMPUTED_VALUE"""),143.91)</f>
        <v>143.91</v>
      </c>
      <c r="F241" s="2" t="n">
        <f aca="false">IFERROR(__xludf.dummyfunction("""COMPUTED_VALUE"""),1922312)</f>
        <v>1922312</v>
      </c>
    </row>
    <row r="242" customFormat="false" ht="15.75" hidden="false" customHeight="false" outlineLevel="0" collapsed="false">
      <c r="A242" s="3" t="n">
        <f aca="false">IFERROR(__xludf.dummyfunction("""COMPUTED_VALUE"""),44545.6666666667)</f>
        <v>44545.6666666667</v>
      </c>
      <c r="B242" s="2" t="n">
        <f aca="false">IFERROR(__xludf.dummyfunction("""COMPUTED_VALUE"""),143.41)</f>
        <v>143.41</v>
      </c>
      <c r="C242" s="2" t="n">
        <f aca="false">IFERROR(__xludf.dummyfunction("""COMPUTED_VALUE"""),146.72)</f>
        <v>146.72</v>
      </c>
      <c r="D242" s="2" t="n">
        <f aca="false">IFERROR(__xludf.dummyfunction("""COMPUTED_VALUE"""),141.68)</f>
        <v>141.68</v>
      </c>
      <c r="E242" s="2" t="n">
        <f aca="false">IFERROR(__xludf.dummyfunction("""COMPUTED_VALUE"""),146.44)</f>
        <v>146.44</v>
      </c>
      <c r="F242" s="2" t="n">
        <f aca="false">IFERROR(__xludf.dummyfunction("""COMPUTED_VALUE"""),1818523)</f>
        <v>1818523</v>
      </c>
    </row>
    <row r="243" customFormat="false" ht="15.75" hidden="false" customHeight="false" outlineLevel="0" collapsed="false">
      <c r="A243" s="3" t="n">
        <f aca="false">IFERROR(__xludf.dummyfunction("""COMPUTED_VALUE"""),44546.6666666667)</f>
        <v>44546.6666666667</v>
      </c>
      <c r="B243" s="2" t="n">
        <f aca="false">IFERROR(__xludf.dummyfunction("""COMPUTED_VALUE"""),147.17)</f>
        <v>147.17</v>
      </c>
      <c r="C243" s="2" t="n">
        <f aca="false">IFERROR(__xludf.dummyfunction("""COMPUTED_VALUE"""),147.68)</f>
        <v>147.68</v>
      </c>
      <c r="D243" s="2" t="n">
        <f aca="false">IFERROR(__xludf.dummyfunction("""COMPUTED_VALUE"""),143.61)</f>
        <v>143.61</v>
      </c>
      <c r="E243" s="2" t="n">
        <f aca="false">IFERROR(__xludf.dummyfunction("""COMPUTED_VALUE"""),144.45)</f>
        <v>144.45</v>
      </c>
      <c r="F243" s="2" t="n">
        <f aca="false">IFERROR(__xludf.dummyfunction("""COMPUTED_VALUE"""),1682519)</f>
        <v>1682519</v>
      </c>
    </row>
    <row r="244" customFormat="false" ht="15.75" hidden="false" customHeight="false" outlineLevel="0" collapsed="false">
      <c r="A244" s="3" t="n">
        <f aca="false">IFERROR(__xludf.dummyfunction("""COMPUTED_VALUE"""),44547.6666666667)</f>
        <v>44547.6666666667</v>
      </c>
      <c r="B244" s="2" t="n">
        <f aca="false">IFERROR(__xludf.dummyfunction("""COMPUTED_VALUE"""),142.5)</f>
        <v>142.5</v>
      </c>
      <c r="C244" s="2" t="n">
        <f aca="false">IFERROR(__xludf.dummyfunction("""COMPUTED_VALUE"""),143.83)</f>
        <v>143.83</v>
      </c>
      <c r="D244" s="2" t="n">
        <f aca="false">IFERROR(__xludf.dummyfunction("""COMPUTED_VALUE"""),141.3)</f>
        <v>141.3</v>
      </c>
      <c r="E244" s="2" t="n">
        <f aca="false">IFERROR(__xludf.dummyfunction("""COMPUTED_VALUE"""),141.73)</f>
        <v>141.73</v>
      </c>
      <c r="F244" s="2" t="n">
        <f aca="false">IFERROR(__xludf.dummyfunction("""COMPUTED_VALUE"""),2550894)</f>
        <v>2550894</v>
      </c>
    </row>
    <row r="245" customFormat="false" ht="15.75" hidden="false" customHeight="false" outlineLevel="0" collapsed="false">
      <c r="A245" s="3" t="n">
        <f aca="false">IFERROR(__xludf.dummyfunction("""COMPUTED_VALUE"""),44550.6666666667)</f>
        <v>44550.6666666667</v>
      </c>
      <c r="B245" s="2" t="n">
        <f aca="false">IFERROR(__xludf.dummyfunction("""COMPUTED_VALUE"""),140)</f>
        <v>140</v>
      </c>
      <c r="C245" s="2" t="n">
        <f aca="false">IFERROR(__xludf.dummyfunction("""COMPUTED_VALUE"""),141.77)</f>
        <v>141.77</v>
      </c>
      <c r="D245" s="2" t="n">
        <f aca="false">IFERROR(__xludf.dummyfunction("""COMPUTED_VALUE"""),139.32)</f>
        <v>139.32</v>
      </c>
      <c r="E245" s="2" t="n">
        <f aca="false">IFERROR(__xludf.dummyfunction("""COMPUTED_VALUE"""),141.61)</f>
        <v>141.61</v>
      </c>
      <c r="F245" s="2" t="n">
        <f aca="false">IFERROR(__xludf.dummyfunction("""COMPUTED_VALUE"""),1359618)</f>
        <v>1359618</v>
      </c>
    </row>
    <row r="246" customFormat="false" ht="15.75" hidden="false" customHeight="false" outlineLevel="0" collapsed="false">
      <c r="A246" s="3" t="n">
        <f aca="false">IFERROR(__xludf.dummyfunction("""COMPUTED_VALUE"""),44551.6666666667)</f>
        <v>44551.6666666667</v>
      </c>
      <c r="B246" s="2" t="n">
        <f aca="false">IFERROR(__xludf.dummyfunction("""COMPUTED_VALUE"""),142.05)</f>
        <v>142.05</v>
      </c>
      <c r="C246" s="2" t="n">
        <f aca="false">IFERROR(__xludf.dummyfunction("""COMPUTED_VALUE"""),143.87)</f>
        <v>143.87</v>
      </c>
      <c r="D246" s="2" t="n">
        <f aca="false">IFERROR(__xludf.dummyfunction("""COMPUTED_VALUE"""),140.5)</f>
        <v>140.5</v>
      </c>
      <c r="E246" s="2" t="n">
        <f aca="false">IFERROR(__xludf.dummyfunction("""COMPUTED_VALUE"""),143.47)</f>
        <v>143.47</v>
      </c>
      <c r="F246" s="2" t="n">
        <f aca="false">IFERROR(__xludf.dummyfunction("""COMPUTED_VALUE"""),1437768)</f>
        <v>1437768</v>
      </c>
    </row>
    <row r="247" customFormat="false" ht="15.75" hidden="false" customHeight="false" outlineLevel="0" collapsed="false">
      <c r="A247" s="3" t="n">
        <f aca="false">IFERROR(__xludf.dummyfunction("""COMPUTED_VALUE"""),44552.6666666667)</f>
        <v>44552.6666666667</v>
      </c>
      <c r="B247" s="2" t="n">
        <f aca="false">IFERROR(__xludf.dummyfunction("""COMPUTED_VALUE"""),143.07)</f>
        <v>143.07</v>
      </c>
      <c r="C247" s="2" t="n">
        <f aca="false">IFERROR(__xludf.dummyfunction("""COMPUTED_VALUE"""),146.5)</f>
        <v>146.5</v>
      </c>
      <c r="D247" s="2" t="n">
        <f aca="false">IFERROR(__xludf.dummyfunction("""COMPUTED_VALUE"""),143.07)</f>
        <v>143.07</v>
      </c>
      <c r="E247" s="2" t="n">
        <f aca="false">IFERROR(__xludf.dummyfunction("""COMPUTED_VALUE"""),146.42)</f>
        <v>146.42</v>
      </c>
      <c r="F247" s="2" t="n">
        <f aca="false">IFERROR(__xludf.dummyfunction("""COMPUTED_VALUE"""),1316119)</f>
        <v>1316119</v>
      </c>
    </row>
    <row r="248" customFormat="false" ht="15.75" hidden="false" customHeight="false" outlineLevel="0" collapsed="false">
      <c r="A248" s="3" t="n">
        <f aca="false">IFERROR(__xludf.dummyfunction("""COMPUTED_VALUE"""),44553.6666666667)</f>
        <v>44553.6666666667</v>
      </c>
      <c r="B248" s="2" t="n">
        <f aca="false">IFERROR(__xludf.dummyfunction("""COMPUTED_VALUE"""),146.5)</f>
        <v>146.5</v>
      </c>
      <c r="C248" s="2" t="n">
        <f aca="false">IFERROR(__xludf.dummyfunction("""COMPUTED_VALUE"""),148.24)</f>
        <v>148.24</v>
      </c>
      <c r="D248" s="2" t="n">
        <f aca="false">IFERROR(__xludf.dummyfunction("""COMPUTED_VALUE"""),146.45)</f>
        <v>146.45</v>
      </c>
      <c r="E248" s="2" t="n">
        <f aca="false">IFERROR(__xludf.dummyfunction("""COMPUTED_VALUE"""),146.92)</f>
        <v>146.92</v>
      </c>
      <c r="F248" s="2" t="n">
        <f aca="false">IFERROR(__xludf.dummyfunction("""COMPUTED_VALUE"""),1319172)</f>
        <v>1319172</v>
      </c>
    </row>
    <row r="249" customFormat="false" ht="15.75" hidden="false" customHeight="false" outlineLevel="0" collapsed="false">
      <c r="A249" s="3" t="n">
        <f aca="false">IFERROR(__xludf.dummyfunction("""COMPUTED_VALUE"""),44557.6666666667)</f>
        <v>44557.6666666667</v>
      </c>
      <c r="B249" s="2" t="n">
        <f aca="false">IFERROR(__xludf.dummyfunction("""COMPUTED_VALUE"""),147.26)</f>
        <v>147.26</v>
      </c>
      <c r="C249" s="2" t="n">
        <f aca="false">IFERROR(__xludf.dummyfunction("""COMPUTED_VALUE"""),148.34)</f>
        <v>148.34</v>
      </c>
      <c r="D249" s="2" t="n">
        <f aca="false">IFERROR(__xludf.dummyfunction("""COMPUTED_VALUE"""),147.17)</f>
        <v>147.17</v>
      </c>
      <c r="E249" s="2" t="n">
        <f aca="false">IFERROR(__xludf.dummyfunction("""COMPUTED_VALUE"""),147.91)</f>
        <v>147.91</v>
      </c>
      <c r="F249" s="2" t="n">
        <f aca="false">IFERROR(__xludf.dummyfunction("""COMPUTED_VALUE"""),799223)</f>
        <v>799223</v>
      </c>
    </row>
    <row r="250" customFormat="false" ht="15.75" hidden="false" customHeight="false" outlineLevel="0" collapsed="false">
      <c r="A250" s="3" t="n">
        <f aca="false">IFERROR(__xludf.dummyfunction("""COMPUTED_VALUE"""),44558.6666666667)</f>
        <v>44558.6666666667</v>
      </c>
      <c r="B250" s="2" t="n">
        <f aca="false">IFERROR(__xludf.dummyfunction("""COMPUTED_VALUE"""),148.24)</f>
        <v>148.24</v>
      </c>
      <c r="C250" s="2" t="n">
        <f aca="false">IFERROR(__xludf.dummyfunction("""COMPUTED_VALUE"""),148.3)</f>
        <v>148.3</v>
      </c>
      <c r="D250" s="2" t="n">
        <f aca="false">IFERROR(__xludf.dummyfunction("""COMPUTED_VALUE"""),146.05)</f>
        <v>146.05</v>
      </c>
      <c r="E250" s="2" t="n">
        <f aca="false">IFERROR(__xludf.dummyfunction("""COMPUTED_VALUE"""),146.69)</f>
        <v>146.69</v>
      </c>
      <c r="F250" s="2" t="n">
        <f aca="false">IFERROR(__xludf.dummyfunction("""COMPUTED_VALUE"""),912715)</f>
        <v>912715</v>
      </c>
    </row>
    <row r="251" customFormat="false" ht="15.75" hidden="false" customHeight="false" outlineLevel="0" collapsed="false">
      <c r="A251" s="3" t="n">
        <f aca="false">IFERROR(__xludf.dummyfunction("""COMPUTED_VALUE"""),44559.6666666667)</f>
        <v>44559.6666666667</v>
      </c>
      <c r="B251" s="2" t="n">
        <f aca="false">IFERROR(__xludf.dummyfunction("""COMPUTED_VALUE"""),146.64)</f>
        <v>146.64</v>
      </c>
      <c r="C251" s="2" t="n">
        <f aca="false">IFERROR(__xludf.dummyfunction("""COMPUTED_VALUE"""),147.42)</f>
        <v>147.42</v>
      </c>
      <c r="D251" s="2" t="n">
        <f aca="false">IFERROR(__xludf.dummyfunction("""COMPUTED_VALUE"""),145.65)</f>
        <v>145.65</v>
      </c>
      <c r="E251" s="2" t="n">
        <f aca="false">IFERROR(__xludf.dummyfunction("""COMPUTED_VALUE"""),146.66)</f>
        <v>146.66</v>
      </c>
      <c r="F251" s="2" t="n">
        <f aca="false">IFERROR(__xludf.dummyfunction("""COMPUTED_VALUE"""),889373)</f>
        <v>889373</v>
      </c>
    </row>
    <row r="252" customFormat="false" ht="15.75" hidden="false" customHeight="false" outlineLevel="0" collapsed="false">
      <c r="A252" s="3" t="n">
        <f aca="false">IFERROR(__xludf.dummyfunction("""COMPUTED_VALUE"""),44560.6666666667)</f>
        <v>44560.6666666667</v>
      </c>
      <c r="B252" s="2" t="n">
        <f aca="false">IFERROR(__xludf.dummyfunction("""COMPUTED_VALUE"""),146.69)</f>
        <v>146.69</v>
      </c>
      <c r="C252" s="2" t="n">
        <f aca="false">IFERROR(__xludf.dummyfunction("""COMPUTED_VALUE"""),147.3)</f>
        <v>147.3</v>
      </c>
      <c r="D252" s="2" t="n">
        <f aca="false">IFERROR(__xludf.dummyfunction("""COMPUTED_VALUE"""),145.99)</f>
        <v>145.99</v>
      </c>
      <c r="E252" s="2" t="n">
        <f aca="false">IFERROR(__xludf.dummyfunction("""COMPUTED_VALUE"""),146.2)</f>
        <v>146.2</v>
      </c>
      <c r="F252" s="2" t="n">
        <f aca="false">IFERROR(__xludf.dummyfunction("""COMPUTED_VALUE"""),784386)</f>
        <v>784386</v>
      </c>
    </row>
    <row r="253" customFormat="false" ht="15.75" hidden="false" customHeight="false" outlineLevel="0" collapsed="false">
      <c r="A253" s="3" t="n">
        <f aca="false">IFERROR(__xludf.dummyfunction("""COMPUTED_VALUE"""),44561.6666666667)</f>
        <v>44561.6666666667</v>
      </c>
      <c r="B253" s="2" t="n">
        <f aca="false">IFERROR(__xludf.dummyfunction("""COMPUTED_VALUE"""),146.05)</f>
        <v>146.05</v>
      </c>
      <c r="C253" s="2" t="n">
        <f aca="false">IFERROR(__xludf.dummyfunction("""COMPUTED_VALUE"""),146.7)</f>
        <v>146.7</v>
      </c>
      <c r="D253" s="2" t="n">
        <f aca="false">IFERROR(__xludf.dummyfunction("""COMPUTED_VALUE"""),144.85)</f>
        <v>144.85</v>
      </c>
      <c r="E253" s="2" t="n">
        <f aca="false">IFERROR(__xludf.dummyfunction("""COMPUTED_VALUE"""),144.85)</f>
        <v>144.85</v>
      </c>
      <c r="F253" s="2" t="n">
        <f aca="false">IFERROR(__xludf.dummyfunction("""COMPUTED_VALUE"""),906759)</f>
        <v>906759</v>
      </c>
    </row>
    <row r="254" customFormat="false" ht="15.75" hidden="false" customHeight="false" outlineLevel="0" collapsed="false">
      <c r="A254" s="3" t="n">
        <f aca="false">IFERROR(__xludf.dummyfunction("""COMPUTED_VALUE"""),44564.6666666667)</f>
        <v>44564.6666666667</v>
      </c>
      <c r="B254" s="2" t="n">
        <f aca="false">IFERROR(__xludf.dummyfunction("""COMPUTED_VALUE"""),145.06)</f>
        <v>145.06</v>
      </c>
      <c r="C254" s="2" t="n">
        <f aca="false">IFERROR(__xludf.dummyfunction("""COMPUTED_VALUE"""),145.85)</f>
        <v>145.85</v>
      </c>
      <c r="D254" s="2" t="n">
        <f aca="false">IFERROR(__xludf.dummyfunction("""COMPUTED_VALUE"""),143.71)</f>
        <v>143.71</v>
      </c>
      <c r="E254" s="2" t="n">
        <f aca="false">IFERROR(__xludf.dummyfunction("""COMPUTED_VALUE"""),144.99)</f>
        <v>144.99</v>
      </c>
      <c r="F254" s="2" t="n">
        <f aca="false">IFERROR(__xludf.dummyfunction("""COMPUTED_VALUE"""),1433947)</f>
        <v>1433947</v>
      </c>
    </row>
    <row r="255" customFormat="false" ht="15.75" hidden="false" customHeight="false" outlineLevel="0" collapsed="false">
      <c r="A255" s="3" t="n">
        <f aca="false">IFERROR(__xludf.dummyfunction("""COMPUTED_VALUE"""),44565.6666666667)</f>
        <v>44565.6666666667</v>
      </c>
      <c r="B255" s="2" t="n">
        <f aca="false">IFERROR(__xludf.dummyfunction("""COMPUTED_VALUE"""),145.4)</f>
        <v>145.4</v>
      </c>
      <c r="C255" s="2" t="n">
        <f aca="false">IFERROR(__xludf.dummyfunction("""COMPUTED_VALUE"""),146.48)</f>
        <v>146.48</v>
      </c>
      <c r="D255" s="2" t="n">
        <f aca="false">IFERROR(__xludf.dummyfunction("""COMPUTED_VALUE"""),143.72)</f>
        <v>143.72</v>
      </c>
      <c r="E255" s="2" t="n">
        <f aca="false">IFERROR(__xludf.dummyfunction("""COMPUTED_VALUE"""),144.4)</f>
        <v>144.4</v>
      </c>
      <c r="F255" s="2" t="n">
        <f aca="false">IFERROR(__xludf.dummyfunction("""COMPUTED_VALUE"""),1419972)</f>
        <v>1419972</v>
      </c>
    </row>
    <row r="256" customFormat="false" ht="15.75" hidden="false" customHeight="false" outlineLevel="0" collapsed="false">
      <c r="A256" s="3" t="n">
        <f aca="false">IFERROR(__xludf.dummyfunction("""COMPUTED_VALUE"""),44566.6666666667)</f>
        <v>44566.6666666667</v>
      </c>
      <c r="B256" s="2" t="n">
        <f aca="false">IFERROR(__xludf.dummyfunction("""COMPUTED_VALUE"""),144.42)</f>
        <v>144.42</v>
      </c>
      <c r="C256" s="2" t="n">
        <f aca="false">IFERROR(__xludf.dummyfunction("""COMPUTED_VALUE"""),144.5)</f>
        <v>144.5</v>
      </c>
      <c r="D256" s="2" t="n">
        <f aca="false">IFERROR(__xludf.dummyfunction("""COMPUTED_VALUE"""),137.69)</f>
        <v>137.69</v>
      </c>
      <c r="E256" s="2" t="n">
        <f aca="false">IFERROR(__xludf.dummyfunction("""COMPUTED_VALUE"""),137.78)</f>
        <v>137.78</v>
      </c>
      <c r="F256" s="2" t="n">
        <f aca="false">IFERROR(__xludf.dummyfunction("""COMPUTED_VALUE"""),2730914)</f>
        <v>2730914</v>
      </c>
    </row>
    <row r="257" customFormat="false" ht="15.75" hidden="false" customHeight="false" outlineLevel="0" collapsed="false">
      <c r="A257" s="3" t="n">
        <f aca="false">IFERROR(__xludf.dummyfunction("""COMPUTED_VALUE"""),44567.6666666667)</f>
        <v>44567.6666666667</v>
      </c>
      <c r="B257" s="2" t="n">
        <f aca="false">IFERROR(__xludf.dummyfunction("""COMPUTED_VALUE"""),137)</f>
        <v>137</v>
      </c>
      <c r="C257" s="2" t="n">
        <f aca="false">IFERROR(__xludf.dummyfunction("""COMPUTED_VALUE"""),139.94)</f>
        <v>139.94</v>
      </c>
      <c r="D257" s="2" t="n">
        <f aca="false">IFERROR(__xludf.dummyfunction("""COMPUTED_VALUE"""),136.56)</f>
        <v>136.56</v>
      </c>
      <c r="E257" s="2" t="n">
        <f aca="false">IFERROR(__xludf.dummyfunction("""COMPUTED_VALUE"""),137.75)</f>
        <v>137.75</v>
      </c>
      <c r="F257" s="2" t="n">
        <f aca="false">IFERROR(__xludf.dummyfunction("""COMPUTED_VALUE"""),1867371)</f>
        <v>1867371</v>
      </c>
    </row>
    <row r="258" customFormat="false" ht="15.75" hidden="false" customHeight="false" outlineLevel="0" collapsed="false">
      <c r="A258" s="3" t="n">
        <f aca="false">IFERROR(__xludf.dummyfunction("""COMPUTED_VALUE"""),44568.6666666667)</f>
        <v>44568.6666666667</v>
      </c>
      <c r="B258" s="2" t="n">
        <f aca="false">IFERROR(__xludf.dummyfunction("""COMPUTED_VALUE"""),138.15)</f>
        <v>138.15</v>
      </c>
      <c r="C258" s="2" t="n">
        <f aca="false">IFERROR(__xludf.dummyfunction("""COMPUTED_VALUE"""),138.45)</f>
        <v>138.45</v>
      </c>
      <c r="D258" s="2" t="n">
        <f aca="false">IFERROR(__xludf.dummyfunction("""COMPUTED_VALUE"""),135.77)</f>
        <v>135.77</v>
      </c>
      <c r="E258" s="2" t="n">
        <f aca="false">IFERROR(__xludf.dummyfunction("""COMPUTED_VALUE"""),137.02)</f>
        <v>137.02</v>
      </c>
      <c r="F258" s="2" t="n">
        <f aca="false">IFERROR(__xludf.dummyfunction("""COMPUTED_VALUE"""),1488028)</f>
        <v>1488028</v>
      </c>
    </row>
    <row r="259" customFormat="false" ht="15.75" hidden="false" customHeight="false" outlineLevel="0" collapsed="false">
      <c r="A259" s="3" t="n">
        <f aca="false">IFERROR(__xludf.dummyfunction("""COMPUTED_VALUE"""),44571.6666666667)</f>
        <v>44571.6666666667</v>
      </c>
      <c r="B259" s="2" t="n">
        <f aca="false">IFERROR(__xludf.dummyfunction("""COMPUTED_VALUE"""),135.08)</f>
        <v>135.08</v>
      </c>
      <c r="C259" s="2" t="n">
        <f aca="false">IFERROR(__xludf.dummyfunction("""COMPUTED_VALUE"""),138.82)</f>
        <v>138.82</v>
      </c>
      <c r="D259" s="2" t="n">
        <f aca="false">IFERROR(__xludf.dummyfunction("""COMPUTED_VALUE"""),133.16)</f>
        <v>133.16</v>
      </c>
      <c r="E259" s="2" t="n">
        <f aca="false">IFERROR(__xludf.dummyfunction("""COMPUTED_VALUE"""),138.67)</f>
        <v>138.67</v>
      </c>
      <c r="F259" s="2" t="n">
        <f aca="false">IFERROR(__xludf.dummyfunction("""COMPUTED_VALUE"""),2220406)</f>
        <v>2220406</v>
      </c>
    </row>
    <row r="260" customFormat="false" ht="15.75" hidden="false" customHeight="false" outlineLevel="0" collapsed="false">
      <c r="A260" s="3" t="n">
        <f aca="false">IFERROR(__xludf.dummyfunction("""COMPUTED_VALUE"""),44572.6666666667)</f>
        <v>44572.6666666667</v>
      </c>
      <c r="B260" s="2" t="n">
        <f aca="false">IFERROR(__xludf.dummyfunction("""COMPUTED_VALUE"""),138.01)</f>
        <v>138.01</v>
      </c>
      <c r="C260" s="2" t="n">
        <f aca="false">IFERROR(__xludf.dummyfunction("""COMPUTED_VALUE"""),140.22)</f>
        <v>140.22</v>
      </c>
      <c r="D260" s="2" t="n">
        <f aca="false">IFERROR(__xludf.dummyfunction("""COMPUTED_VALUE"""),136.69)</f>
        <v>136.69</v>
      </c>
      <c r="E260" s="2" t="n">
        <f aca="false">IFERROR(__xludf.dummyfunction("""COMPUTED_VALUE"""),139.74)</f>
        <v>139.74</v>
      </c>
      <c r="F260" s="2" t="n">
        <f aca="false">IFERROR(__xludf.dummyfunction("""COMPUTED_VALUE"""),1436485)</f>
        <v>1436485</v>
      </c>
    </row>
    <row r="261" customFormat="false" ht="15.75" hidden="false" customHeight="false" outlineLevel="0" collapsed="false">
      <c r="A261" s="3" t="n">
        <f aca="false">IFERROR(__xludf.dummyfunction("""COMPUTED_VALUE"""),44573.6666666667)</f>
        <v>44573.6666666667</v>
      </c>
      <c r="B261" s="2" t="n">
        <f aca="false">IFERROR(__xludf.dummyfunction("""COMPUTED_VALUE"""),141.15)</f>
        <v>141.15</v>
      </c>
      <c r="C261" s="2" t="n">
        <f aca="false">IFERROR(__xludf.dummyfunction("""COMPUTED_VALUE"""),142.61)</f>
        <v>142.61</v>
      </c>
      <c r="D261" s="2" t="n">
        <f aca="false">IFERROR(__xludf.dummyfunction("""COMPUTED_VALUE"""),140.69)</f>
        <v>140.69</v>
      </c>
      <c r="E261" s="2" t="n">
        <f aca="false">IFERROR(__xludf.dummyfunction("""COMPUTED_VALUE"""),141.43)</f>
        <v>141.43</v>
      </c>
      <c r="F261" s="2" t="n">
        <f aca="false">IFERROR(__xludf.dummyfunction("""COMPUTED_VALUE"""),1305602)</f>
        <v>1305602</v>
      </c>
    </row>
    <row r="262" customFormat="false" ht="15.75" hidden="false" customHeight="false" outlineLevel="0" collapsed="false">
      <c r="A262" s="3" t="n">
        <f aca="false">IFERROR(__xludf.dummyfunction("""COMPUTED_VALUE"""),44574.6666666667)</f>
        <v>44574.6666666667</v>
      </c>
      <c r="B262" s="2" t="n">
        <f aca="false">IFERROR(__xludf.dummyfunction("""COMPUTED_VALUE"""),141.54)</f>
        <v>141.54</v>
      </c>
      <c r="C262" s="2" t="n">
        <f aca="false">IFERROR(__xludf.dummyfunction("""COMPUTED_VALUE"""),142.85)</f>
        <v>142.85</v>
      </c>
      <c r="D262" s="2" t="n">
        <f aca="false">IFERROR(__xludf.dummyfunction("""COMPUTED_VALUE"""),138.41)</f>
        <v>138.41</v>
      </c>
      <c r="E262" s="2" t="n">
        <f aca="false">IFERROR(__xludf.dummyfunction("""COMPUTED_VALUE"""),138.59)</f>
        <v>138.59</v>
      </c>
      <c r="F262" s="2" t="n">
        <f aca="false">IFERROR(__xludf.dummyfunction("""COMPUTED_VALUE"""),1571830)</f>
        <v>1571830</v>
      </c>
    </row>
    <row r="263" customFormat="false" ht="15.75" hidden="false" customHeight="false" outlineLevel="0" collapsed="false">
      <c r="A263" s="3" t="n">
        <f aca="false">IFERROR(__xludf.dummyfunction("""COMPUTED_VALUE"""),44575.6666666667)</f>
        <v>44575.6666666667</v>
      </c>
      <c r="B263" s="2" t="n">
        <f aca="false">IFERROR(__xludf.dummyfunction("""COMPUTED_VALUE"""),137.08)</f>
        <v>137.08</v>
      </c>
      <c r="C263" s="2" t="n">
        <f aca="false">IFERROR(__xludf.dummyfunction("""COMPUTED_VALUE"""),140.74)</f>
        <v>140.74</v>
      </c>
      <c r="D263" s="2" t="n">
        <f aca="false">IFERROR(__xludf.dummyfunction("""COMPUTED_VALUE"""),137)</f>
        <v>137</v>
      </c>
      <c r="E263" s="2" t="n">
        <f aca="false">IFERROR(__xludf.dummyfunction("""COMPUTED_VALUE"""),139.48)</f>
        <v>139.48</v>
      </c>
      <c r="F263" s="2" t="n">
        <f aca="false">IFERROR(__xludf.dummyfunction("""COMPUTED_VALUE"""),1483064)</f>
        <v>1483064</v>
      </c>
    </row>
    <row r="264" customFormat="false" ht="15.75" hidden="false" customHeight="false" outlineLevel="0" collapsed="false">
      <c r="A264" s="3" t="n">
        <f aca="false">IFERROR(__xludf.dummyfunction("""COMPUTED_VALUE"""),44579.6666666667)</f>
        <v>44579.6666666667</v>
      </c>
      <c r="B264" s="2" t="n">
        <f aca="false">IFERROR(__xludf.dummyfunction("""COMPUTED_VALUE"""),136.18)</f>
        <v>136.18</v>
      </c>
      <c r="C264" s="2" t="n">
        <f aca="false">IFERROR(__xludf.dummyfunction("""COMPUTED_VALUE"""),137.13)</f>
        <v>137.13</v>
      </c>
      <c r="D264" s="2" t="n">
        <f aca="false">IFERROR(__xludf.dummyfunction("""COMPUTED_VALUE"""),135.44)</f>
        <v>135.44</v>
      </c>
      <c r="E264" s="2" t="n">
        <f aca="false">IFERROR(__xludf.dummyfunction("""COMPUTED_VALUE"""),136)</f>
        <v>136</v>
      </c>
      <c r="F264" s="2" t="n">
        <f aca="false">IFERROR(__xludf.dummyfunction("""COMPUTED_VALUE"""),1744405)</f>
        <v>1744405</v>
      </c>
    </row>
    <row r="265" customFormat="false" ht="15.75" hidden="false" customHeight="false" outlineLevel="0" collapsed="false">
      <c r="A265" s="3" t="n">
        <f aca="false">IFERROR(__xludf.dummyfunction("""COMPUTED_VALUE"""),44580.6666666667)</f>
        <v>44580.6666666667</v>
      </c>
      <c r="B265" s="2" t="n">
        <f aca="false">IFERROR(__xludf.dummyfunction("""COMPUTED_VALUE"""),136.52)</f>
        <v>136.52</v>
      </c>
      <c r="C265" s="2" t="n">
        <f aca="false">IFERROR(__xludf.dummyfunction("""COMPUTED_VALUE"""),137.96)</f>
        <v>137.96</v>
      </c>
      <c r="D265" s="2" t="n">
        <f aca="false">IFERROR(__xludf.dummyfunction("""COMPUTED_VALUE"""),135.02)</f>
        <v>135.02</v>
      </c>
      <c r="E265" s="2" t="n">
        <f aca="false">IFERROR(__xludf.dummyfunction("""COMPUTED_VALUE"""),135.12)</f>
        <v>135.12</v>
      </c>
      <c r="F265" s="2" t="n">
        <f aca="false">IFERROR(__xludf.dummyfunction("""COMPUTED_VALUE"""),1432382)</f>
        <v>1432382</v>
      </c>
    </row>
    <row r="266" customFormat="false" ht="15.75" hidden="false" customHeight="false" outlineLevel="0" collapsed="false">
      <c r="A266" s="3" t="n">
        <f aca="false">IFERROR(__xludf.dummyfunction("""COMPUTED_VALUE"""),44581.6666666667)</f>
        <v>44581.6666666667</v>
      </c>
      <c r="B266" s="2" t="n">
        <f aca="false">IFERROR(__xludf.dummyfunction("""COMPUTED_VALUE"""),136.25)</f>
        <v>136.25</v>
      </c>
      <c r="C266" s="2" t="n">
        <f aca="false">IFERROR(__xludf.dummyfunction("""COMPUTED_VALUE"""),137.63)</f>
        <v>137.63</v>
      </c>
      <c r="D266" s="2" t="n">
        <f aca="false">IFERROR(__xludf.dummyfunction("""COMPUTED_VALUE"""),132.96)</f>
        <v>132.96</v>
      </c>
      <c r="E266" s="2" t="n">
        <f aca="false">IFERROR(__xludf.dummyfunction("""COMPUTED_VALUE"""),133.31)</f>
        <v>133.31</v>
      </c>
      <c r="F266" s="2" t="n">
        <f aca="false">IFERROR(__xludf.dummyfunction("""COMPUTED_VALUE"""),1495357)</f>
        <v>1495357</v>
      </c>
    </row>
    <row r="267" customFormat="false" ht="15.75" hidden="false" customHeight="false" outlineLevel="0" collapsed="false">
      <c r="A267" s="3" t="n">
        <f aca="false">IFERROR(__xludf.dummyfunction("""COMPUTED_VALUE"""),44582.6666666667)</f>
        <v>44582.6666666667</v>
      </c>
      <c r="B267" s="2" t="n">
        <f aca="false">IFERROR(__xludf.dummyfunction("""COMPUTED_VALUE"""),132.59)</f>
        <v>132.59</v>
      </c>
      <c r="C267" s="2" t="n">
        <f aca="false">IFERROR(__xludf.dummyfunction("""COMPUTED_VALUE"""),134.87)</f>
        <v>134.87</v>
      </c>
      <c r="D267" s="2" t="n">
        <f aca="false">IFERROR(__xludf.dummyfunction("""COMPUTED_VALUE"""),130.09)</f>
        <v>130.09</v>
      </c>
      <c r="E267" s="2" t="n">
        <f aca="false">IFERROR(__xludf.dummyfunction("""COMPUTED_VALUE"""),130.35)</f>
        <v>130.35</v>
      </c>
      <c r="F267" s="2" t="n">
        <f aca="false">IFERROR(__xludf.dummyfunction("""COMPUTED_VALUE"""),2782571)</f>
        <v>2782571</v>
      </c>
    </row>
    <row r="268" customFormat="false" ht="15.75" hidden="false" customHeight="false" outlineLevel="0" collapsed="false">
      <c r="A268" s="3" t="n">
        <f aca="false">IFERROR(__xludf.dummyfunction("""COMPUTED_VALUE"""),44585.6666666667)</f>
        <v>44585.6666666667</v>
      </c>
      <c r="B268" s="2" t="n">
        <f aca="false">IFERROR(__xludf.dummyfunction("""COMPUTED_VALUE"""),125.98)</f>
        <v>125.98</v>
      </c>
      <c r="C268" s="2" t="n">
        <f aca="false">IFERROR(__xludf.dummyfunction("""COMPUTED_VALUE"""),131.2)</f>
        <v>131.2</v>
      </c>
      <c r="D268" s="2" t="n">
        <f aca="false">IFERROR(__xludf.dummyfunction("""COMPUTED_VALUE"""),124.5)</f>
        <v>124.5</v>
      </c>
      <c r="E268" s="2" t="n">
        <f aca="false">IFERROR(__xludf.dummyfunction("""COMPUTED_VALUE"""),130.8)</f>
        <v>130.8</v>
      </c>
      <c r="F268" s="2" t="n">
        <f aca="false">IFERROR(__xludf.dummyfunction("""COMPUTED_VALUE"""),3834712)</f>
        <v>3834712</v>
      </c>
    </row>
    <row r="269" customFormat="false" ht="15.75" hidden="false" customHeight="false" outlineLevel="0" collapsed="false">
      <c r="A269" s="3" t="n">
        <f aca="false">IFERROR(__xludf.dummyfunction("""COMPUTED_VALUE"""),44586.6666666667)</f>
        <v>44586.6666666667</v>
      </c>
      <c r="B269" s="2" t="n">
        <f aca="false">IFERROR(__xludf.dummyfunction("""COMPUTED_VALUE"""),128.74)</f>
        <v>128.74</v>
      </c>
      <c r="C269" s="2" t="n">
        <f aca="false">IFERROR(__xludf.dummyfunction("""COMPUTED_VALUE"""),129.4)</f>
        <v>129.4</v>
      </c>
      <c r="D269" s="2" t="n">
        <f aca="false">IFERROR(__xludf.dummyfunction("""COMPUTED_VALUE"""),126.5)</f>
        <v>126.5</v>
      </c>
      <c r="E269" s="2" t="n">
        <f aca="false">IFERROR(__xludf.dummyfunction("""COMPUTED_VALUE"""),126.94)</f>
        <v>126.94</v>
      </c>
      <c r="F269" s="2" t="n">
        <f aca="false">IFERROR(__xludf.dummyfunction("""COMPUTED_VALUE"""),2348028)</f>
        <v>2348028</v>
      </c>
    </row>
    <row r="270" customFormat="false" ht="15.75" hidden="false" customHeight="false" outlineLevel="0" collapsed="false">
      <c r="A270" s="3" t="n">
        <f aca="false">IFERROR(__xludf.dummyfunction("""COMPUTED_VALUE"""),44587.6666666667)</f>
        <v>44587.6666666667</v>
      </c>
      <c r="B270" s="2" t="n">
        <f aca="false">IFERROR(__xludf.dummyfunction("""COMPUTED_VALUE"""),131.12)</f>
        <v>131.12</v>
      </c>
      <c r="C270" s="2" t="n">
        <f aca="false">IFERROR(__xludf.dummyfunction("""COMPUTED_VALUE"""),133)</f>
        <v>133</v>
      </c>
      <c r="D270" s="2" t="n">
        <f aca="false">IFERROR(__xludf.dummyfunction("""COMPUTED_VALUE"""),127.14)</f>
        <v>127.14</v>
      </c>
      <c r="E270" s="2" t="n">
        <f aca="false">IFERROR(__xludf.dummyfunction("""COMPUTED_VALUE"""),129.23)</f>
        <v>129.23</v>
      </c>
      <c r="F270" s="2" t="n">
        <f aca="false">IFERROR(__xludf.dummyfunction("""COMPUTED_VALUE"""),2456475)</f>
        <v>2456475</v>
      </c>
    </row>
    <row r="271" customFormat="false" ht="15.75" hidden="false" customHeight="false" outlineLevel="0" collapsed="false">
      <c r="A271" s="3" t="n">
        <f aca="false">IFERROR(__xludf.dummyfunction("""COMPUTED_VALUE"""),44588.6666666667)</f>
        <v>44588.6666666667</v>
      </c>
      <c r="B271" s="2" t="n">
        <f aca="false">IFERROR(__xludf.dummyfunction("""COMPUTED_VALUE"""),131.3)</f>
        <v>131.3</v>
      </c>
      <c r="C271" s="2" t="n">
        <f aca="false">IFERROR(__xludf.dummyfunction("""COMPUTED_VALUE"""),132.65)</f>
        <v>132.65</v>
      </c>
      <c r="D271" s="2" t="n">
        <f aca="false">IFERROR(__xludf.dummyfunction("""COMPUTED_VALUE"""),128.93)</f>
        <v>128.93</v>
      </c>
      <c r="E271" s="2" t="n">
        <f aca="false">IFERROR(__xludf.dummyfunction("""COMPUTED_VALUE"""),129.01)</f>
        <v>129.01</v>
      </c>
      <c r="F271" s="2" t="n">
        <f aca="false">IFERROR(__xludf.dummyfunction("""COMPUTED_VALUE"""),1600939)</f>
        <v>1600939</v>
      </c>
    </row>
    <row r="272" customFormat="false" ht="15.75" hidden="false" customHeight="false" outlineLevel="0" collapsed="false">
      <c r="A272" s="3" t="n">
        <f aca="false">IFERROR(__xludf.dummyfunction("""COMPUTED_VALUE"""),44589.6666666667)</f>
        <v>44589.6666666667</v>
      </c>
      <c r="B272" s="2" t="n">
        <f aca="false">IFERROR(__xludf.dummyfunction("""COMPUTED_VALUE"""),129.66)</f>
        <v>129.66</v>
      </c>
      <c r="C272" s="2" t="n">
        <f aca="false">IFERROR(__xludf.dummyfunction("""COMPUTED_VALUE"""),133.36)</f>
        <v>133.36</v>
      </c>
      <c r="D272" s="2" t="n">
        <f aca="false">IFERROR(__xludf.dummyfunction("""COMPUTED_VALUE"""),128.49)</f>
        <v>128.49</v>
      </c>
      <c r="E272" s="2" t="n">
        <f aca="false">IFERROR(__xludf.dummyfunction("""COMPUTED_VALUE"""),133.35)</f>
        <v>133.35</v>
      </c>
      <c r="F272" s="2" t="n">
        <f aca="false">IFERROR(__xludf.dummyfunction("""COMPUTED_VALUE"""),1718074)</f>
        <v>1718074</v>
      </c>
    </row>
    <row r="273" customFormat="false" ht="15.75" hidden="false" customHeight="false" outlineLevel="0" collapsed="false">
      <c r="A273" s="3" t="n">
        <f aca="false">IFERROR(__xludf.dummyfunction("""COMPUTED_VALUE"""),44592.6666666667)</f>
        <v>44592.6666666667</v>
      </c>
      <c r="B273" s="2" t="n">
        <f aca="false">IFERROR(__xludf.dummyfunction("""COMPUTED_VALUE"""),134.16)</f>
        <v>134.16</v>
      </c>
      <c r="C273" s="2" t="n">
        <f aca="false">IFERROR(__xludf.dummyfunction("""COMPUTED_VALUE"""),135.47)</f>
        <v>135.47</v>
      </c>
      <c r="D273" s="2" t="n">
        <f aca="false">IFERROR(__xludf.dummyfunction("""COMPUTED_VALUE"""),132.21)</f>
        <v>132.21</v>
      </c>
      <c r="E273" s="2" t="n">
        <f aca="false">IFERROR(__xludf.dummyfunction("""COMPUTED_VALUE"""),135.3)</f>
        <v>135.3</v>
      </c>
      <c r="F273" s="2" t="n">
        <f aca="false">IFERROR(__xludf.dummyfunction("""COMPUTED_VALUE"""),1999300)</f>
        <v>1999300</v>
      </c>
    </row>
    <row r="274" customFormat="false" ht="15.75" hidden="false" customHeight="false" outlineLevel="0" collapsed="false">
      <c r="A274" s="3" t="n">
        <f aca="false">IFERROR(__xludf.dummyfunction("""COMPUTED_VALUE"""),44593.6666666667)</f>
        <v>44593.6666666667</v>
      </c>
      <c r="B274" s="2" t="n">
        <f aca="false">IFERROR(__xludf.dummyfunction("""COMPUTED_VALUE"""),137.59)</f>
        <v>137.59</v>
      </c>
      <c r="C274" s="2" t="n">
        <f aca="false">IFERROR(__xludf.dummyfunction("""COMPUTED_VALUE"""),137.79)</f>
        <v>137.79</v>
      </c>
      <c r="D274" s="2" t="n">
        <f aca="false">IFERROR(__xludf.dummyfunction("""COMPUTED_VALUE"""),134.37)</f>
        <v>134.37</v>
      </c>
      <c r="E274" s="2" t="n">
        <f aca="false">IFERROR(__xludf.dummyfunction("""COMPUTED_VALUE"""),137.64)</f>
        <v>137.64</v>
      </c>
      <c r="F274" s="2" t="n">
        <f aca="false">IFERROR(__xludf.dummyfunction("""COMPUTED_VALUE"""),3432182)</f>
        <v>3432182</v>
      </c>
    </row>
    <row r="275" customFormat="false" ht="15.75" hidden="false" customHeight="false" outlineLevel="0" collapsed="false">
      <c r="A275" s="3" t="n">
        <f aca="false">IFERROR(__xludf.dummyfunction("""COMPUTED_VALUE"""),44594.6666666667)</f>
        <v>44594.6666666667</v>
      </c>
      <c r="B275" s="2" t="n">
        <f aca="false">IFERROR(__xludf.dummyfunction("""COMPUTED_VALUE"""),151.25)</f>
        <v>151.25</v>
      </c>
      <c r="C275" s="2" t="n">
        <f aca="false">IFERROR(__xludf.dummyfunction("""COMPUTED_VALUE"""),151.55)</f>
        <v>151.55</v>
      </c>
      <c r="D275" s="2" t="n">
        <f aca="false">IFERROR(__xludf.dummyfunction("""COMPUTED_VALUE"""),145.52)</f>
        <v>145.52</v>
      </c>
      <c r="E275" s="2" t="n">
        <f aca="false">IFERROR(__xludf.dummyfunction("""COMPUTED_VALUE"""),148)</f>
        <v>148</v>
      </c>
      <c r="F275" s="2" t="n">
        <f aca="false">IFERROR(__xludf.dummyfunction("""COMPUTED_VALUE"""),6159961)</f>
        <v>6159961</v>
      </c>
    </row>
    <row r="276" customFormat="false" ht="15.75" hidden="false" customHeight="false" outlineLevel="0" collapsed="false">
      <c r="A276" s="3" t="n">
        <f aca="false">IFERROR(__xludf.dummyfunction("""COMPUTED_VALUE"""),44595.6666666667)</f>
        <v>44595.6666666667</v>
      </c>
      <c r="B276" s="2" t="n">
        <f aca="false">IFERROR(__xludf.dummyfunction("""COMPUTED_VALUE"""),145.71)</f>
        <v>145.71</v>
      </c>
      <c r="C276" s="2" t="n">
        <f aca="false">IFERROR(__xludf.dummyfunction("""COMPUTED_VALUE"""),149.68)</f>
        <v>149.68</v>
      </c>
      <c r="D276" s="2" t="n">
        <f aca="false">IFERROR(__xludf.dummyfunction("""COMPUTED_VALUE"""),142.67)</f>
        <v>142.67</v>
      </c>
      <c r="E276" s="2" t="n">
        <f aca="false">IFERROR(__xludf.dummyfunction("""COMPUTED_VALUE"""),143.09)</f>
        <v>143.09</v>
      </c>
      <c r="F276" s="2" t="n">
        <f aca="false">IFERROR(__xludf.dummyfunction("""COMPUTED_VALUE"""),3575861)</f>
        <v>3575861</v>
      </c>
    </row>
    <row r="277" customFormat="false" ht="15.75" hidden="false" customHeight="false" outlineLevel="0" collapsed="false">
      <c r="A277" s="3" t="n">
        <f aca="false">IFERROR(__xludf.dummyfunction("""COMPUTED_VALUE"""),44596.6666666667)</f>
        <v>44596.6666666667</v>
      </c>
      <c r="B277" s="2" t="n">
        <f aca="false">IFERROR(__xludf.dummyfunction("""COMPUTED_VALUE"""),143.44)</f>
        <v>143.44</v>
      </c>
      <c r="C277" s="2" t="n">
        <f aca="false">IFERROR(__xludf.dummyfunction("""COMPUTED_VALUE"""),144.88)</f>
        <v>144.88</v>
      </c>
      <c r="D277" s="2" t="n">
        <f aca="false">IFERROR(__xludf.dummyfunction("""COMPUTED_VALUE"""),140.51)</f>
        <v>140.51</v>
      </c>
      <c r="E277" s="2" t="n">
        <f aca="false">IFERROR(__xludf.dummyfunction("""COMPUTED_VALUE"""),143.29)</f>
        <v>143.29</v>
      </c>
      <c r="F277" s="2" t="n">
        <f aca="false">IFERROR(__xludf.dummyfunction("""COMPUTED_VALUE"""),2899911)</f>
        <v>2899911</v>
      </c>
    </row>
    <row r="278" customFormat="false" ht="15.75" hidden="false" customHeight="false" outlineLevel="0" collapsed="false">
      <c r="A278" s="3" t="n">
        <f aca="false">IFERROR(__xludf.dummyfunction("""COMPUTED_VALUE"""),44599.6666666667)</f>
        <v>44599.6666666667</v>
      </c>
      <c r="B278" s="2" t="n">
        <f aca="false">IFERROR(__xludf.dummyfunction("""COMPUTED_VALUE"""),144.25)</f>
        <v>144.25</v>
      </c>
      <c r="C278" s="2" t="n">
        <f aca="false">IFERROR(__xludf.dummyfunction("""COMPUTED_VALUE"""),144.25)</f>
        <v>144.25</v>
      </c>
      <c r="D278" s="2" t="n">
        <f aca="false">IFERROR(__xludf.dummyfunction("""COMPUTED_VALUE"""),138.9)</f>
        <v>138.9</v>
      </c>
      <c r="E278" s="2" t="n">
        <f aca="false">IFERROR(__xludf.dummyfunction("""COMPUTED_VALUE"""),139.2)</f>
        <v>139.2</v>
      </c>
      <c r="F278" s="2" t="n">
        <f aca="false">IFERROR(__xludf.dummyfunction("""COMPUTED_VALUE"""),2748665)</f>
        <v>2748665</v>
      </c>
    </row>
    <row r="279" customFormat="false" ht="15.75" hidden="false" customHeight="false" outlineLevel="0" collapsed="false">
      <c r="A279" s="3" t="n">
        <f aca="false">IFERROR(__xludf.dummyfunction("""COMPUTED_VALUE"""),44600.6666666667)</f>
        <v>44600.6666666667</v>
      </c>
      <c r="B279" s="2" t="n">
        <f aca="false">IFERROR(__xludf.dummyfunction("""COMPUTED_VALUE"""),139.03)</f>
        <v>139.03</v>
      </c>
      <c r="C279" s="2" t="n">
        <f aca="false">IFERROR(__xludf.dummyfunction("""COMPUTED_VALUE"""),140)</f>
        <v>140</v>
      </c>
      <c r="D279" s="2" t="n">
        <f aca="false">IFERROR(__xludf.dummyfunction("""COMPUTED_VALUE"""),137.01)</f>
        <v>137.01</v>
      </c>
      <c r="E279" s="2" t="n">
        <f aca="false">IFERROR(__xludf.dummyfunction("""COMPUTED_VALUE"""),139.4)</f>
        <v>139.4</v>
      </c>
      <c r="F279" s="2" t="n">
        <f aca="false">IFERROR(__xludf.dummyfunction("""COMPUTED_VALUE"""),2714180)</f>
        <v>2714180</v>
      </c>
    </row>
    <row r="280" customFormat="false" ht="15.75" hidden="false" customHeight="false" outlineLevel="0" collapsed="false">
      <c r="A280" s="3" t="n">
        <f aca="false">IFERROR(__xludf.dummyfunction("""COMPUTED_VALUE"""),44601.6666666667)</f>
        <v>44601.6666666667</v>
      </c>
      <c r="B280" s="2" t="n">
        <f aca="false">IFERROR(__xludf.dummyfunction("""COMPUTED_VALUE"""),140.96)</f>
        <v>140.96</v>
      </c>
      <c r="C280" s="2" t="n">
        <f aca="false">IFERROR(__xludf.dummyfunction("""COMPUTED_VALUE"""),142.52)</f>
        <v>142.52</v>
      </c>
      <c r="D280" s="2" t="n">
        <f aca="false">IFERROR(__xludf.dummyfunction("""COMPUTED_VALUE"""),140.19)</f>
        <v>140.19</v>
      </c>
      <c r="E280" s="2" t="n">
        <f aca="false">IFERROR(__xludf.dummyfunction("""COMPUTED_VALUE"""),141.59)</f>
        <v>141.59</v>
      </c>
      <c r="F280" s="2" t="n">
        <f aca="false">IFERROR(__xludf.dummyfunction("""COMPUTED_VALUE"""),2007194)</f>
        <v>2007194</v>
      </c>
    </row>
    <row r="281" customFormat="false" ht="15.75" hidden="false" customHeight="false" outlineLevel="0" collapsed="false">
      <c r="A281" s="3" t="n">
        <f aca="false">IFERROR(__xludf.dummyfunction("""COMPUTED_VALUE"""),44602.6666666667)</f>
        <v>44602.6666666667</v>
      </c>
      <c r="B281" s="2" t="n">
        <f aca="false">IFERROR(__xludf.dummyfunction("""COMPUTED_VALUE"""),139.7)</f>
        <v>139.7</v>
      </c>
      <c r="C281" s="2" t="n">
        <f aca="false">IFERROR(__xludf.dummyfunction("""COMPUTED_VALUE"""),141.48)</f>
        <v>141.48</v>
      </c>
      <c r="D281" s="2" t="n">
        <f aca="false">IFERROR(__xludf.dummyfunction("""COMPUTED_VALUE"""),137.96)</f>
        <v>137.96</v>
      </c>
      <c r="E281" s="2" t="n">
        <f aca="false">IFERROR(__xludf.dummyfunction("""COMPUTED_VALUE"""),138.62)</f>
        <v>138.62</v>
      </c>
      <c r="F281" s="2" t="n">
        <f aca="false">IFERROR(__xludf.dummyfunction("""COMPUTED_VALUE"""),1966533)</f>
        <v>1966533</v>
      </c>
    </row>
    <row r="282" customFormat="false" ht="15.75" hidden="false" customHeight="false" outlineLevel="0" collapsed="false">
      <c r="A282" s="3" t="n">
        <f aca="false">IFERROR(__xludf.dummyfunction("""COMPUTED_VALUE"""),44603.6666666667)</f>
        <v>44603.6666666667</v>
      </c>
      <c r="B282" s="2" t="n">
        <f aca="false">IFERROR(__xludf.dummyfunction("""COMPUTED_VALUE"""),138.6)</f>
        <v>138.6</v>
      </c>
      <c r="C282" s="2" t="n">
        <f aca="false">IFERROR(__xludf.dummyfunction("""COMPUTED_VALUE"""),139.16)</f>
        <v>139.16</v>
      </c>
      <c r="D282" s="2" t="n">
        <f aca="false">IFERROR(__xludf.dummyfunction("""COMPUTED_VALUE"""),133.4)</f>
        <v>133.4</v>
      </c>
      <c r="E282" s="2" t="n">
        <f aca="false">IFERROR(__xludf.dummyfunction("""COMPUTED_VALUE"""),134.28)</f>
        <v>134.28</v>
      </c>
      <c r="F282" s="2" t="n">
        <f aca="false">IFERROR(__xludf.dummyfunction("""COMPUTED_VALUE"""),1997917)</f>
        <v>1997917</v>
      </c>
    </row>
    <row r="283" customFormat="false" ht="15.75" hidden="false" customHeight="false" outlineLevel="0" collapsed="false">
      <c r="A283" s="3" t="n">
        <f aca="false">IFERROR(__xludf.dummyfunction("""COMPUTED_VALUE"""),44606.6666666667)</f>
        <v>44606.6666666667</v>
      </c>
      <c r="B283" s="2" t="n">
        <f aca="false">IFERROR(__xludf.dummyfunction("""COMPUTED_VALUE"""),133.26)</f>
        <v>133.26</v>
      </c>
      <c r="C283" s="2" t="n">
        <f aca="false">IFERROR(__xludf.dummyfunction("""COMPUTED_VALUE"""),136.3)</f>
        <v>136.3</v>
      </c>
      <c r="D283" s="2" t="n">
        <f aca="false">IFERROR(__xludf.dummyfunction("""COMPUTED_VALUE"""),133.26)</f>
        <v>133.26</v>
      </c>
      <c r="E283" s="2" t="n">
        <f aca="false">IFERROR(__xludf.dummyfunction("""COMPUTED_VALUE"""),135.53)</f>
        <v>135.53</v>
      </c>
      <c r="F283" s="2" t="n">
        <f aca="false">IFERROR(__xludf.dummyfunction("""COMPUTED_VALUE"""),1715054)</f>
        <v>1715054</v>
      </c>
    </row>
    <row r="284" customFormat="false" ht="15.75" hidden="false" customHeight="false" outlineLevel="0" collapsed="false">
      <c r="A284" s="3" t="n">
        <f aca="false">IFERROR(__xludf.dummyfunction("""COMPUTED_VALUE"""),44607.6666666667)</f>
        <v>44607.6666666667</v>
      </c>
      <c r="B284" s="2" t="n">
        <f aca="false">IFERROR(__xludf.dummyfunction("""COMPUTED_VALUE"""),137.57)</f>
        <v>137.57</v>
      </c>
      <c r="C284" s="2" t="n">
        <f aca="false">IFERROR(__xludf.dummyfunction("""COMPUTED_VALUE"""),138.11)</f>
        <v>138.11</v>
      </c>
      <c r="D284" s="2" t="n">
        <f aca="false">IFERROR(__xludf.dummyfunction("""COMPUTED_VALUE"""),135.82)</f>
        <v>135.82</v>
      </c>
      <c r="E284" s="2" t="n">
        <f aca="false">IFERROR(__xludf.dummyfunction("""COMPUTED_VALUE"""),136.61)</f>
        <v>136.61</v>
      </c>
      <c r="F284" s="2" t="n">
        <f aca="false">IFERROR(__xludf.dummyfunction("""COMPUTED_VALUE"""),1335563)</f>
        <v>1335563</v>
      </c>
    </row>
    <row r="285" customFormat="false" ht="15.75" hidden="false" customHeight="false" outlineLevel="0" collapsed="false">
      <c r="A285" s="3" t="n">
        <f aca="false">IFERROR(__xludf.dummyfunction("""COMPUTED_VALUE"""),44608.6666666667)</f>
        <v>44608.6666666667</v>
      </c>
      <c r="B285" s="2" t="n">
        <f aca="false">IFERROR(__xludf.dummyfunction("""COMPUTED_VALUE"""),136.65)</f>
        <v>136.65</v>
      </c>
      <c r="C285" s="2" t="n">
        <f aca="false">IFERROR(__xludf.dummyfunction("""COMPUTED_VALUE"""),138.09)</f>
        <v>138.09</v>
      </c>
      <c r="D285" s="2" t="n">
        <f aca="false">IFERROR(__xludf.dummyfunction("""COMPUTED_VALUE"""),134.92)</f>
        <v>134.92</v>
      </c>
      <c r="E285" s="2" t="n">
        <f aca="false">IFERROR(__xludf.dummyfunction("""COMPUTED_VALUE"""),137.74)</f>
        <v>137.74</v>
      </c>
      <c r="F285" s="2" t="n">
        <f aca="false">IFERROR(__xludf.dummyfunction("""COMPUTED_VALUE"""),1251065)</f>
        <v>1251065</v>
      </c>
    </row>
    <row r="286" customFormat="false" ht="15.75" hidden="false" customHeight="false" outlineLevel="0" collapsed="false">
      <c r="A286" s="3" t="n">
        <f aca="false">IFERROR(__xludf.dummyfunction("""COMPUTED_VALUE"""),44609.6666666667)</f>
        <v>44609.6666666667</v>
      </c>
      <c r="B286" s="2" t="n">
        <f aca="false">IFERROR(__xludf.dummyfunction("""COMPUTED_VALUE"""),136.24)</f>
        <v>136.24</v>
      </c>
      <c r="C286" s="2" t="n">
        <f aca="false">IFERROR(__xludf.dummyfunction("""COMPUTED_VALUE"""),137.11)</f>
        <v>137.11</v>
      </c>
      <c r="D286" s="2" t="n">
        <f aca="false">IFERROR(__xludf.dummyfunction("""COMPUTED_VALUE"""),132.48)</f>
        <v>132.48</v>
      </c>
      <c r="E286" s="2" t="n">
        <f aca="false">IFERROR(__xludf.dummyfunction("""COMPUTED_VALUE"""),132.54)</f>
        <v>132.54</v>
      </c>
      <c r="F286" s="2" t="n">
        <f aca="false">IFERROR(__xludf.dummyfunction("""COMPUTED_VALUE"""),1947475)</f>
        <v>1947475</v>
      </c>
    </row>
    <row r="287" customFormat="false" ht="15.75" hidden="false" customHeight="false" outlineLevel="0" collapsed="false">
      <c r="A287" s="3" t="n">
        <f aca="false">IFERROR(__xludf.dummyfunction("""COMPUTED_VALUE"""),44610.6666666667)</f>
        <v>44610.6666666667</v>
      </c>
      <c r="B287" s="2" t="n">
        <f aca="false">IFERROR(__xludf.dummyfunction("""COMPUTED_VALUE"""),133.47)</f>
        <v>133.47</v>
      </c>
      <c r="C287" s="2" t="n">
        <f aca="false">IFERROR(__xludf.dummyfunction("""COMPUTED_VALUE"""),134.07)</f>
        <v>134.07</v>
      </c>
      <c r="D287" s="2" t="n">
        <f aca="false">IFERROR(__xludf.dummyfunction("""COMPUTED_VALUE"""),130.2)</f>
        <v>130.2</v>
      </c>
      <c r="E287" s="2" t="n">
        <f aca="false">IFERROR(__xludf.dummyfunction("""COMPUTED_VALUE"""),130.4)</f>
        <v>130.4</v>
      </c>
      <c r="F287" s="2" t="n">
        <f aca="false">IFERROR(__xludf.dummyfunction("""COMPUTED_VALUE"""),2280972)</f>
        <v>2280972</v>
      </c>
    </row>
    <row r="288" customFormat="false" ht="15.75" hidden="false" customHeight="false" outlineLevel="0" collapsed="false">
      <c r="A288" s="3" t="n">
        <f aca="false">IFERROR(__xludf.dummyfunction("""COMPUTED_VALUE"""),44614.6666666667)</f>
        <v>44614.6666666667</v>
      </c>
      <c r="B288" s="2" t="n">
        <f aca="false">IFERROR(__xludf.dummyfunction("""COMPUTED_VALUE"""),129.84)</f>
        <v>129.84</v>
      </c>
      <c r="C288" s="2" t="n">
        <f aca="false">IFERROR(__xludf.dummyfunction("""COMPUTED_VALUE"""),132.18)</f>
        <v>132.18</v>
      </c>
      <c r="D288" s="2" t="n">
        <f aca="false">IFERROR(__xludf.dummyfunction("""COMPUTED_VALUE"""),128.22)</f>
        <v>128.22</v>
      </c>
      <c r="E288" s="2" t="n">
        <f aca="false">IFERROR(__xludf.dummyfunction("""COMPUTED_VALUE"""),129.81)</f>
        <v>129.81</v>
      </c>
      <c r="F288" s="2" t="n">
        <f aca="false">IFERROR(__xludf.dummyfunction("""COMPUTED_VALUE"""),2249537)</f>
        <v>2249537</v>
      </c>
    </row>
    <row r="289" customFormat="false" ht="15.75" hidden="false" customHeight="false" outlineLevel="0" collapsed="false">
      <c r="A289" s="3" t="n">
        <f aca="false">IFERROR(__xludf.dummyfunction("""COMPUTED_VALUE"""),44615.6666666667)</f>
        <v>44615.6666666667</v>
      </c>
      <c r="B289" s="2" t="n">
        <f aca="false">IFERROR(__xludf.dummyfunction("""COMPUTED_VALUE"""),131.65)</f>
        <v>131.65</v>
      </c>
      <c r="C289" s="2" t="n">
        <f aca="false">IFERROR(__xludf.dummyfunction("""COMPUTED_VALUE"""),132.05)</f>
        <v>132.05</v>
      </c>
      <c r="D289" s="2" t="n">
        <f aca="false">IFERROR(__xludf.dummyfunction("""COMPUTED_VALUE"""),127.53)</f>
        <v>127.53</v>
      </c>
      <c r="E289" s="2" t="n">
        <f aca="false">IFERROR(__xludf.dummyfunction("""COMPUTED_VALUE"""),127.59)</f>
        <v>127.59</v>
      </c>
      <c r="F289" s="2" t="n">
        <f aca="false">IFERROR(__xludf.dummyfunction("""COMPUTED_VALUE"""),1639301)</f>
        <v>1639301</v>
      </c>
    </row>
    <row r="290" customFormat="false" ht="15.75" hidden="false" customHeight="false" outlineLevel="0" collapsed="false">
      <c r="A290" s="3" t="n">
        <f aca="false">IFERROR(__xludf.dummyfunction("""COMPUTED_VALUE"""),44616.6666666667)</f>
        <v>44616.6666666667</v>
      </c>
      <c r="B290" s="2" t="n">
        <f aca="false">IFERROR(__xludf.dummyfunction("""COMPUTED_VALUE"""),124.95)</f>
        <v>124.95</v>
      </c>
      <c r="C290" s="2" t="n">
        <f aca="false">IFERROR(__xludf.dummyfunction("""COMPUTED_VALUE"""),133)</f>
        <v>133</v>
      </c>
      <c r="D290" s="2" t="n">
        <f aca="false">IFERROR(__xludf.dummyfunction("""COMPUTED_VALUE"""),124.95)</f>
        <v>124.95</v>
      </c>
      <c r="E290" s="2" t="n">
        <f aca="false">IFERROR(__xludf.dummyfunction("""COMPUTED_VALUE"""),132.69)</f>
        <v>132.69</v>
      </c>
      <c r="F290" s="2" t="n">
        <f aca="false">IFERROR(__xludf.dummyfunction("""COMPUTED_VALUE"""),2722754)</f>
        <v>2722754</v>
      </c>
    </row>
    <row r="291" customFormat="false" ht="15.75" hidden="false" customHeight="false" outlineLevel="0" collapsed="false">
      <c r="A291" s="3" t="n">
        <f aca="false">IFERROR(__xludf.dummyfunction("""COMPUTED_VALUE"""),44617.6666666667)</f>
        <v>44617.6666666667</v>
      </c>
      <c r="B291" s="2" t="n">
        <f aca="false">IFERROR(__xludf.dummyfunction("""COMPUTED_VALUE"""),133.55)</f>
        <v>133.55</v>
      </c>
      <c r="C291" s="2" t="n">
        <f aca="false">IFERROR(__xludf.dummyfunction("""COMPUTED_VALUE"""),135.27)</f>
        <v>135.27</v>
      </c>
      <c r="D291" s="2" t="n">
        <f aca="false">IFERROR(__xludf.dummyfunction("""COMPUTED_VALUE"""),131.75)</f>
        <v>131.75</v>
      </c>
      <c r="E291" s="2" t="n">
        <f aca="false">IFERROR(__xludf.dummyfunction("""COMPUTED_VALUE"""),134.46)</f>
        <v>134.46</v>
      </c>
      <c r="F291" s="2" t="n">
        <f aca="false">IFERROR(__xludf.dummyfunction("""COMPUTED_VALUE"""),1820299)</f>
        <v>1820299</v>
      </c>
    </row>
    <row r="292" customFormat="false" ht="15.75" hidden="false" customHeight="false" outlineLevel="0" collapsed="false">
      <c r="A292" s="3" t="n">
        <f aca="false">IFERROR(__xludf.dummyfunction("""COMPUTED_VALUE"""),44620.6666666667)</f>
        <v>44620.6666666667</v>
      </c>
      <c r="B292" s="2" t="n">
        <f aca="false">IFERROR(__xludf.dummyfunction("""COMPUTED_VALUE"""),133.05)</f>
        <v>133.05</v>
      </c>
      <c r="C292" s="2" t="n">
        <f aca="false">IFERROR(__xludf.dummyfunction("""COMPUTED_VALUE"""),135.75)</f>
        <v>135.75</v>
      </c>
      <c r="D292" s="2" t="n">
        <f aca="false">IFERROR(__xludf.dummyfunction("""COMPUTED_VALUE"""),132.59)</f>
        <v>132.59</v>
      </c>
      <c r="E292" s="2" t="n">
        <f aca="false">IFERROR(__xludf.dummyfunction("""COMPUTED_VALUE"""),135.06)</f>
        <v>135.06</v>
      </c>
      <c r="F292" s="2" t="n">
        <f aca="false">IFERROR(__xludf.dummyfunction("""COMPUTED_VALUE"""),1943221)</f>
        <v>1943221</v>
      </c>
    </row>
    <row r="293" customFormat="false" ht="15.75" hidden="false" customHeight="false" outlineLevel="0" collapsed="false">
      <c r="A293" s="3" t="n">
        <f aca="false">IFERROR(__xludf.dummyfunction("""COMPUTED_VALUE"""),44621.6666666667)</f>
        <v>44621.6666666667</v>
      </c>
      <c r="B293" s="2" t="n">
        <f aca="false">IFERROR(__xludf.dummyfunction("""COMPUTED_VALUE"""),134.88)</f>
        <v>134.88</v>
      </c>
      <c r="C293" s="2" t="n">
        <f aca="false">IFERROR(__xludf.dummyfunction("""COMPUTED_VALUE"""),136.26)</f>
        <v>136.26</v>
      </c>
      <c r="D293" s="2" t="n">
        <f aca="false">IFERROR(__xludf.dummyfunction("""COMPUTED_VALUE"""),133.22)</f>
        <v>133.22</v>
      </c>
      <c r="E293" s="2" t="n">
        <f aca="false">IFERROR(__xludf.dummyfunction("""COMPUTED_VALUE"""),134.06)</f>
        <v>134.06</v>
      </c>
      <c r="F293" s="2" t="n">
        <f aca="false">IFERROR(__xludf.dummyfunction("""COMPUTED_VALUE"""),1324768)</f>
        <v>1324768</v>
      </c>
    </row>
    <row r="294" customFormat="false" ht="15.75" hidden="false" customHeight="false" outlineLevel="0" collapsed="false">
      <c r="A294" s="3" t="n">
        <f aca="false">IFERROR(__xludf.dummyfunction("""COMPUTED_VALUE"""),44622.6666666667)</f>
        <v>44622.6666666667</v>
      </c>
      <c r="B294" s="2" t="n">
        <f aca="false">IFERROR(__xludf.dummyfunction("""COMPUTED_VALUE"""),134.63)</f>
        <v>134.63</v>
      </c>
      <c r="C294" s="2" t="n">
        <f aca="false">IFERROR(__xludf.dummyfunction("""COMPUTED_VALUE"""),135.26)</f>
        <v>135.26</v>
      </c>
      <c r="D294" s="2" t="n">
        <f aca="false">IFERROR(__xludf.dummyfunction("""COMPUTED_VALUE"""),133.07)</f>
        <v>133.07</v>
      </c>
      <c r="E294" s="2" t="n">
        <f aca="false">IFERROR(__xludf.dummyfunction("""COMPUTED_VALUE"""),134.57)</f>
        <v>134.57</v>
      </c>
      <c r="F294" s="2" t="n">
        <f aca="false">IFERROR(__xludf.dummyfunction("""COMPUTED_VALUE"""),1175990)</f>
        <v>1175990</v>
      </c>
    </row>
    <row r="295" customFormat="false" ht="15.75" hidden="false" customHeight="false" outlineLevel="0" collapsed="false">
      <c r="A295" s="3" t="n">
        <f aca="false">IFERROR(__xludf.dummyfunction("""COMPUTED_VALUE"""),44623.6666666667)</f>
        <v>44623.6666666667</v>
      </c>
      <c r="B295" s="2" t="n">
        <f aca="false">IFERROR(__xludf.dummyfunction("""COMPUTED_VALUE"""),136.01)</f>
        <v>136.01</v>
      </c>
      <c r="C295" s="2" t="n">
        <f aca="false">IFERROR(__xludf.dummyfunction("""COMPUTED_VALUE"""),136.44)</f>
        <v>136.44</v>
      </c>
      <c r="D295" s="2" t="n">
        <f aca="false">IFERROR(__xludf.dummyfunction("""COMPUTED_VALUE"""),133.03)</f>
        <v>133.03</v>
      </c>
      <c r="E295" s="2" t="n">
        <f aca="false">IFERROR(__xludf.dummyfunction("""COMPUTED_VALUE"""),133.9)</f>
        <v>133.9</v>
      </c>
      <c r="F295" s="2" t="n">
        <f aca="false">IFERROR(__xludf.dummyfunction("""COMPUTED_VALUE"""),1230162)</f>
        <v>1230162</v>
      </c>
    </row>
    <row r="296" customFormat="false" ht="15.75" hidden="false" customHeight="false" outlineLevel="0" collapsed="false">
      <c r="A296" s="3" t="n">
        <f aca="false">IFERROR(__xludf.dummyfunction("""COMPUTED_VALUE"""),44624.6666666667)</f>
        <v>44624.6666666667</v>
      </c>
      <c r="B296" s="2" t="n">
        <f aca="false">IFERROR(__xludf.dummyfunction("""COMPUTED_VALUE"""),132.93)</f>
        <v>132.93</v>
      </c>
      <c r="C296" s="2" t="n">
        <f aca="false">IFERROR(__xludf.dummyfunction("""COMPUTED_VALUE"""),133.85)</f>
        <v>133.85</v>
      </c>
      <c r="D296" s="2" t="n">
        <f aca="false">IFERROR(__xludf.dummyfunction("""COMPUTED_VALUE"""),130.34)</f>
        <v>130.34</v>
      </c>
      <c r="E296" s="2" t="n">
        <f aca="false">IFERROR(__xludf.dummyfunction("""COMPUTED_VALUE"""),131.91)</f>
        <v>131.91</v>
      </c>
      <c r="F296" s="2" t="n">
        <f aca="false">IFERROR(__xludf.dummyfunction("""COMPUTED_VALUE"""),1522532)</f>
        <v>1522532</v>
      </c>
    </row>
    <row r="297" customFormat="false" ht="15.75" hidden="false" customHeight="false" outlineLevel="0" collapsed="false">
      <c r="A297" s="3" t="n">
        <f aca="false">IFERROR(__xludf.dummyfunction("""COMPUTED_VALUE"""),44627.6666666667)</f>
        <v>44627.6666666667</v>
      </c>
      <c r="B297" s="2" t="n">
        <f aca="false">IFERROR(__xludf.dummyfunction("""COMPUTED_VALUE"""),131.49)</f>
        <v>131.49</v>
      </c>
      <c r="C297" s="2" t="n">
        <f aca="false">IFERROR(__xludf.dummyfunction("""COMPUTED_VALUE"""),131.74)</f>
        <v>131.74</v>
      </c>
      <c r="D297" s="2" t="n">
        <f aca="false">IFERROR(__xludf.dummyfunction("""COMPUTED_VALUE"""),126.3)</f>
        <v>126.3</v>
      </c>
      <c r="E297" s="2" t="n">
        <f aca="false">IFERROR(__xludf.dummyfunction("""COMPUTED_VALUE"""),126.38)</f>
        <v>126.38</v>
      </c>
      <c r="F297" s="2" t="n">
        <f aca="false">IFERROR(__xludf.dummyfunction("""COMPUTED_VALUE"""),2255647)</f>
        <v>2255647</v>
      </c>
    </row>
    <row r="298" customFormat="false" ht="15.75" hidden="false" customHeight="false" outlineLevel="0" collapsed="false">
      <c r="A298" s="3" t="n">
        <f aca="false">IFERROR(__xludf.dummyfunction("""COMPUTED_VALUE"""),44628.6666666667)</f>
        <v>44628.6666666667</v>
      </c>
      <c r="B298" s="2" t="n">
        <f aca="false">IFERROR(__xludf.dummyfunction("""COMPUTED_VALUE"""),126.25)</f>
        <v>126.25</v>
      </c>
      <c r="C298" s="2" t="n">
        <f aca="false">IFERROR(__xludf.dummyfunction("""COMPUTED_VALUE"""),131.25)</f>
        <v>131.25</v>
      </c>
      <c r="D298" s="2" t="n">
        <f aca="false">IFERROR(__xludf.dummyfunction("""COMPUTED_VALUE"""),125.67)</f>
        <v>125.67</v>
      </c>
      <c r="E298" s="2" t="n">
        <f aca="false">IFERROR(__xludf.dummyfunction("""COMPUTED_VALUE"""),127.1)</f>
        <v>127.1</v>
      </c>
      <c r="F298" s="2" t="n">
        <f aca="false">IFERROR(__xludf.dummyfunction("""COMPUTED_VALUE"""),2021355)</f>
        <v>2021355</v>
      </c>
    </row>
    <row r="299" customFormat="false" ht="15.75" hidden="false" customHeight="false" outlineLevel="0" collapsed="false">
      <c r="A299" s="3" t="n">
        <f aca="false">IFERROR(__xludf.dummyfunction("""COMPUTED_VALUE"""),44629.6666666667)</f>
        <v>44629.6666666667</v>
      </c>
      <c r="B299" s="2" t="n">
        <f aca="false">IFERROR(__xludf.dummyfunction("""COMPUTED_VALUE"""),131.25)</f>
        <v>131.25</v>
      </c>
      <c r="C299" s="2" t="n">
        <f aca="false">IFERROR(__xludf.dummyfunction("""COMPUTED_VALUE"""),133.74)</f>
        <v>133.74</v>
      </c>
      <c r="D299" s="2" t="n">
        <f aca="false">IFERROR(__xludf.dummyfunction("""COMPUTED_VALUE"""),129.9)</f>
        <v>129.9</v>
      </c>
      <c r="E299" s="2" t="n">
        <f aca="false">IFERROR(__xludf.dummyfunction("""COMPUTED_VALUE"""),133.42)</f>
        <v>133.42</v>
      </c>
      <c r="F299" s="2" t="n">
        <f aca="false">IFERROR(__xludf.dummyfunction("""COMPUTED_VALUE"""),1851270)</f>
        <v>1851270</v>
      </c>
    </row>
    <row r="300" customFormat="false" ht="15.75" hidden="false" customHeight="false" outlineLevel="0" collapsed="false">
      <c r="A300" s="3" t="n">
        <f aca="false">IFERROR(__xludf.dummyfunction("""COMPUTED_VALUE"""),44630.6666666667)</f>
        <v>44630.6666666667</v>
      </c>
      <c r="B300" s="2" t="n">
        <f aca="false">IFERROR(__xludf.dummyfunction("""COMPUTED_VALUE"""),131.27)</f>
        <v>131.27</v>
      </c>
      <c r="C300" s="2" t="n">
        <f aca="false">IFERROR(__xludf.dummyfunction("""COMPUTED_VALUE"""),133.27)</f>
        <v>133.27</v>
      </c>
      <c r="D300" s="2" t="n">
        <f aca="false">IFERROR(__xludf.dummyfunction("""COMPUTED_VALUE"""),130.91)</f>
        <v>130.91</v>
      </c>
      <c r="E300" s="2" t="n">
        <f aca="false">IFERROR(__xludf.dummyfunction("""COMPUTED_VALUE"""),132.43)</f>
        <v>132.43</v>
      </c>
      <c r="F300" s="2" t="n">
        <f aca="false">IFERROR(__xludf.dummyfunction("""COMPUTED_VALUE"""),1355070)</f>
        <v>1355070</v>
      </c>
    </row>
    <row r="301" customFormat="false" ht="15.75" hidden="false" customHeight="false" outlineLevel="0" collapsed="false">
      <c r="A301" s="3" t="n">
        <f aca="false">IFERROR(__xludf.dummyfunction("""COMPUTED_VALUE"""),44631.6666666667)</f>
        <v>44631.6666666667</v>
      </c>
      <c r="B301" s="2" t="n">
        <f aca="false">IFERROR(__xludf.dummyfunction("""COMPUTED_VALUE"""),133.49)</f>
        <v>133.49</v>
      </c>
      <c r="C301" s="2" t="n">
        <f aca="false">IFERROR(__xludf.dummyfunction("""COMPUTED_VALUE"""),133.8)</f>
        <v>133.8</v>
      </c>
      <c r="D301" s="2" t="n">
        <f aca="false">IFERROR(__xludf.dummyfunction("""COMPUTED_VALUE"""),129.63)</f>
        <v>129.63</v>
      </c>
      <c r="E301" s="2" t="n">
        <f aca="false">IFERROR(__xludf.dummyfunction("""COMPUTED_VALUE"""),129.87)</f>
        <v>129.87</v>
      </c>
      <c r="F301" s="2" t="n">
        <f aca="false">IFERROR(__xludf.dummyfunction("""COMPUTED_VALUE"""),1576322)</f>
        <v>1576322</v>
      </c>
    </row>
    <row r="302" customFormat="false" ht="15.75" hidden="false" customHeight="false" outlineLevel="0" collapsed="false">
      <c r="A302" s="3" t="n">
        <f aca="false">IFERROR(__xludf.dummyfunction("""COMPUTED_VALUE"""),44634.6666666667)</f>
        <v>44634.6666666667</v>
      </c>
      <c r="B302" s="2" t="n">
        <f aca="false">IFERROR(__xludf.dummyfunction("""COMPUTED_VALUE"""),130.25)</f>
        <v>130.25</v>
      </c>
      <c r="C302" s="2" t="n">
        <f aca="false">IFERROR(__xludf.dummyfunction("""COMPUTED_VALUE"""),130.41)</f>
        <v>130.41</v>
      </c>
      <c r="D302" s="2" t="n">
        <f aca="false">IFERROR(__xludf.dummyfunction("""COMPUTED_VALUE"""),125.28)</f>
        <v>125.28</v>
      </c>
      <c r="E302" s="2" t="n">
        <f aca="false">IFERROR(__xludf.dummyfunction("""COMPUTED_VALUE"""),125.95)</f>
        <v>125.95</v>
      </c>
      <c r="F302" s="2" t="n">
        <f aca="false">IFERROR(__xludf.dummyfunction("""COMPUTED_VALUE"""),1940563)</f>
        <v>1940563</v>
      </c>
    </row>
    <row r="303" customFormat="false" ht="15.75" hidden="false" customHeight="false" outlineLevel="0" collapsed="false">
      <c r="A303" s="3" t="n">
        <f aca="false">IFERROR(__xludf.dummyfunction("""COMPUTED_VALUE"""),44635.6666666667)</f>
        <v>44635.6666666667</v>
      </c>
      <c r="B303" s="2" t="n">
        <f aca="false">IFERROR(__xludf.dummyfunction("""COMPUTED_VALUE"""),126.98)</f>
        <v>126.98</v>
      </c>
      <c r="C303" s="2" t="n">
        <f aca="false">IFERROR(__xludf.dummyfunction("""COMPUTED_VALUE"""),129.85)</f>
        <v>129.85</v>
      </c>
      <c r="D303" s="2" t="n">
        <f aca="false">IFERROR(__xludf.dummyfunction("""COMPUTED_VALUE"""),125.72)</f>
        <v>125.72</v>
      </c>
      <c r="E303" s="2" t="n">
        <f aca="false">IFERROR(__xludf.dummyfunction("""COMPUTED_VALUE"""),129.2)</f>
        <v>129.2</v>
      </c>
      <c r="F303" s="2" t="n">
        <f aca="false">IFERROR(__xludf.dummyfunction("""COMPUTED_VALUE"""),1545976)</f>
        <v>1545976</v>
      </c>
    </row>
    <row r="304" customFormat="false" ht="15.75" hidden="false" customHeight="false" outlineLevel="0" collapsed="false">
      <c r="A304" s="3" t="n">
        <f aca="false">IFERROR(__xludf.dummyfunction("""COMPUTED_VALUE"""),44636.6666666667)</f>
        <v>44636.6666666667</v>
      </c>
      <c r="B304" s="2" t="n">
        <f aca="false">IFERROR(__xludf.dummyfunction("""COMPUTED_VALUE"""),130.73)</f>
        <v>130.73</v>
      </c>
      <c r="C304" s="2" t="n">
        <f aca="false">IFERROR(__xludf.dummyfunction("""COMPUTED_VALUE"""),133.33)</f>
        <v>133.33</v>
      </c>
      <c r="D304" s="2" t="n">
        <f aca="false">IFERROR(__xludf.dummyfunction("""COMPUTED_VALUE"""),128.73)</f>
        <v>128.73</v>
      </c>
      <c r="E304" s="2" t="n">
        <f aca="false">IFERROR(__xludf.dummyfunction("""COMPUTED_VALUE"""),133.28)</f>
        <v>133.28</v>
      </c>
      <c r="F304" s="2" t="n">
        <f aca="false">IFERROR(__xludf.dummyfunction("""COMPUTED_VALUE"""),1778849)</f>
        <v>1778849</v>
      </c>
    </row>
    <row r="305" customFormat="false" ht="15.75" hidden="false" customHeight="false" outlineLevel="0" collapsed="false">
      <c r="A305" s="3" t="n">
        <f aca="false">IFERROR(__xludf.dummyfunction("""COMPUTED_VALUE"""),44637.6666666667)</f>
        <v>44637.6666666667</v>
      </c>
      <c r="B305" s="2" t="n">
        <f aca="false">IFERROR(__xludf.dummyfunction("""COMPUTED_VALUE"""),133.15)</f>
        <v>133.15</v>
      </c>
      <c r="C305" s="2" t="n">
        <f aca="false">IFERROR(__xludf.dummyfunction("""COMPUTED_VALUE"""),134.08)</f>
        <v>134.08</v>
      </c>
      <c r="D305" s="2" t="n">
        <f aca="false">IFERROR(__xludf.dummyfunction("""COMPUTED_VALUE"""),132.19)</f>
        <v>132.19</v>
      </c>
      <c r="E305" s="2" t="n">
        <f aca="false">IFERROR(__xludf.dummyfunction("""COMPUTED_VALUE"""),133.84)</f>
        <v>133.84</v>
      </c>
      <c r="F305" s="2" t="n">
        <f aca="false">IFERROR(__xludf.dummyfunction("""COMPUTED_VALUE"""),1413196)</f>
        <v>1413196</v>
      </c>
    </row>
    <row r="306" customFormat="false" ht="15.75" hidden="false" customHeight="false" outlineLevel="0" collapsed="false">
      <c r="A306" s="3" t="n">
        <f aca="false">IFERROR(__xludf.dummyfunction("""COMPUTED_VALUE"""),44638.6666666667)</f>
        <v>44638.6666666667</v>
      </c>
      <c r="B306" s="2" t="n">
        <f aca="false">IFERROR(__xludf.dummyfunction("""COMPUTED_VALUE"""),133.42)</f>
        <v>133.42</v>
      </c>
      <c r="C306" s="2" t="n">
        <f aca="false">IFERROR(__xludf.dummyfunction("""COMPUTED_VALUE"""),136.24)</f>
        <v>136.24</v>
      </c>
      <c r="D306" s="2" t="n">
        <f aca="false">IFERROR(__xludf.dummyfunction("""COMPUTED_VALUE"""),132.26)</f>
        <v>132.26</v>
      </c>
      <c r="E306" s="2" t="n">
        <f aca="false">IFERROR(__xludf.dummyfunction("""COMPUTED_VALUE"""),136.13)</f>
        <v>136.13</v>
      </c>
      <c r="F306" s="2" t="n">
        <f aca="false">IFERROR(__xludf.dummyfunction("""COMPUTED_VALUE"""),2228345)</f>
        <v>2228345</v>
      </c>
    </row>
    <row r="307" customFormat="false" ht="15.75" hidden="false" customHeight="false" outlineLevel="0" collapsed="false">
      <c r="A307" s="3" t="n">
        <f aca="false">IFERROR(__xludf.dummyfunction("""COMPUTED_VALUE"""),44641.6666666667)</f>
        <v>44641.6666666667</v>
      </c>
      <c r="B307" s="2" t="n">
        <f aca="false">IFERROR(__xludf.dummyfunction("""COMPUTED_VALUE"""),136.16)</f>
        <v>136.16</v>
      </c>
      <c r="C307" s="2" t="n">
        <f aca="false">IFERROR(__xludf.dummyfunction("""COMPUTED_VALUE"""),137.05)</f>
        <v>137.05</v>
      </c>
      <c r="D307" s="2" t="n">
        <f aca="false">IFERROR(__xludf.dummyfunction("""COMPUTED_VALUE"""),134.09)</f>
        <v>134.09</v>
      </c>
      <c r="E307" s="2" t="n">
        <f aca="false">IFERROR(__xludf.dummyfunction("""COMPUTED_VALUE"""),136.1)</f>
        <v>136.1</v>
      </c>
      <c r="F307" s="2" t="n">
        <f aca="false">IFERROR(__xludf.dummyfunction("""COMPUTED_VALUE"""),1341584)</f>
        <v>1341584</v>
      </c>
    </row>
    <row r="308" customFormat="false" ht="15.75" hidden="false" customHeight="false" outlineLevel="0" collapsed="false">
      <c r="A308" s="3" t="n">
        <f aca="false">IFERROR(__xludf.dummyfunction("""COMPUTED_VALUE"""),44642.6666666667)</f>
        <v>44642.6666666667</v>
      </c>
      <c r="B308" s="2" t="n">
        <f aca="false">IFERROR(__xludf.dummyfunction("""COMPUTED_VALUE"""),136.1)</f>
        <v>136.1</v>
      </c>
      <c r="C308" s="2" t="n">
        <f aca="false">IFERROR(__xludf.dummyfunction("""COMPUTED_VALUE"""),141.05)</f>
        <v>141.05</v>
      </c>
      <c r="D308" s="2" t="n">
        <f aca="false">IFERROR(__xludf.dummyfunction("""COMPUTED_VALUE"""),136.1)</f>
        <v>136.1</v>
      </c>
      <c r="E308" s="2" t="n">
        <f aca="false">IFERROR(__xludf.dummyfunction("""COMPUTED_VALUE"""),139.87)</f>
        <v>139.87</v>
      </c>
      <c r="F308" s="2" t="n">
        <f aca="false">IFERROR(__xludf.dummyfunction("""COMPUTED_VALUE"""),1774777)</f>
        <v>1774777</v>
      </c>
    </row>
    <row r="309" customFormat="false" ht="15.75" hidden="false" customHeight="false" outlineLevel="0" collapsed="false">
      <c r="A309" s="3" t="n">
        <f aca="false">IFERROR(__xludf.dummyfunction("""COMPUTED_VALUE"""),44643.6666666667)</f>
        <v>44643.6666666667</v>
      </c>
      <c r="B309" s="2" t="n">
        <f aca="false">IFERROR(__xludf.dummyfunction("""COMPUTED_VALUE"""),138.7)</f>
        <v>138.7</v>
      </c>
      <c r="C309" s="2" t="n">
        <f aca="false">IFERROR(__xludf.dummyfunction("""COMPUTED_VALUE"""),139.59)</f>
        <v>139.59</v>
      </c>
      <c r="D309" s="2" t="n">
        <f aca="false">IFERROR(__xludf.dummyfunction("""COMPUTED_VALUE"""),137.84)</f>
        <v>137.84</v>
      </c>
      <c r="E309" s="2" t="n">
        <f aca="false">IFERROR(__xludf.dummyfunction("""COMPUTED_VALUE"""),138.28)</f>
        <v>138.28</v>
      </c>
      <c r="F309" s="2" t="n">
        <f aca="false">IFERROR(__xludf.dummyfunction("""COMPUTED_VALUE"""),1257670)</f>
        <v>1257670</v>
      </c>
    </row>
    <row r="310" customFormat="false" ht="15.75" hidden="false" customHeight="false" outlineLevel="0" collapsed="false">
      <c r="A310" s="3" t="n">
        <f aca="false">IFERROR(__xludf.dummyfunction("""COMPUTED_VALUE"""),44644.6666666667)</f>
        <v>44644.6666666667</v>
      </c>
      <c r="B310" s="2" t="n">
        <f aca="false">IFERROR(__xludf.dummyfunction("""COMPUTED_VALUE"""),139.2)</f>
        <v>139.2</v>
      </c>
      <c r="C310" s="2" t="n">
        <f aca="false">IFERROR(__xludf.dummyfunction("""COMPUTED_VALUE"""),141.62)</f>
        <v>141.62</v>
      </c>
      <c r="D310" s="2" t="n">
        <f aca="false">IFERROR(__xludf.dummyfunction("""COMPUTED_VALUE"""),137.75)</f>
        <v>137.75</v>
      </c>
      <c r="E310" s="2" t="n">
        <f aca="false">IFERROR(__xludf.dummyfunction("""COMPUTED_VALUE"""),141.57)</f>
        <v>141.57</v>
      </c>
      <c r="F310" s="2" t="n">
        <f aca="false">IFERROR(__xludf.dummyfunction("""COMPUTED_VALUE"""),1319828)</f>
        <v>1319828</v>
      </c>
    </row>
    <row r="311" customFormat="false" ht="15.75" hidden="false" customHeight="false" outlineLevel="0" collapsed="false">
      <c r="A311" s="3" t="n">
        <f aca="false">IFERROR(__xludf.dummyfunction("""COMPUTED_VALUE"""),44645.6666666667)</f>
        <v>44645.6666666667</v>
      </c>
      <c r="B311" s="2" t="n">
        <f aca="false">IFERROR(__xludf.dummyfunction("""COMPUTED_VALUE"""),141.92)</f>
        <v>141.92</v>
      </c>
      <c r="C311" s="2" t="n">
        <f aca="false">IFERROR(__xludf.dummyfunction("""COMPUTED_VALUE"""),142.04)</f>
        <v>142.04</v>
      </c>
      <c r="D311" s="2" t="n">
        <f aca="false">IFERROR(__xludf.dummyfunction("""COMPUTED_VALUE"""),139.74)</f>
        <v>139.74</v>
      </c>
      <c r="E311" s="2" t="n">
        <f aca="false">IFERROR(__xludf.dummyfunction("""COMPUTED_VALUE"""),141.67)</f>
        <v>141.67</v>
      </c>
      <c r="F311" s="2" t="n">
        <f aca="false">IFERROR(__xludf.dummyfunction("""COMPUTED_VALUE"""),1207154)</f>
        <v>1207154</v>
      </c>
    </row>
    <row r="312" customFormat="false" ht="15.75" hidden="false" customHeight="false" outlineLevel="0" collapsed="false">
      <c r="A312" s="3" t="n">
        <f aca="false">IFERROR(__xludf.dummyfunction("""COMPUTED_VALUE"""),44648.6666666667)</f>
        <v>44648.6666666667</v>
      </c>
      <c r="B312" s="2" t="n">
        <f aca="false">IFERROR(__xludf.dummyfunction("""COMPUTED_VALUE"""),140.9)</f>
        <v>140.9</v>
      </c>
      <c r="C312" s="2" t="n">
        <f aca="false">IFERROR(__xludf.dummyfunction("""COMPUTED_VALUE"""),142)</f>
        <v>142</v>
      </c>
      <c r="D312" s="2" t="n">
        <f aca="false">IFERROR(__xludf.dummyfunction("""COMPUTED_VALUE"""),139.81)</f>
        <v>139.81</v>
      </c>
      <c r="E312" s="2" t="n">
        <f aca="false">IFERROR(__xludf.dummyfunction("""COMPUTED_VALUE"""),141.46)</f>
        <v>141.46</v>
      </c>
      <c r="F312" s="2" t="n">
        <f aca="false">IFERROR(__xludf.dummyfunction("""COMPUTED_VALUE"""),1752463)</f>
        <v>1752463</v>
      </c>
    </row>
    <row r="313" customFormat="false" ht="15.75" hidden="false" customHeight="false" outlineLevel="0" collapsed="false">
      <c r="A313" s="3" t="n">
        <f aca="false">IFERROR(__xludf.dummyfunction("""COMPUTED_VALUE"""),44649.6666666667)</f>
        <v>44649.6666666667</v>
      </c>
      <c r="B313" s="2" t="n">
        <f aca="false">IFERROR(__xludf.dummyfunction("""COMPUTED_VALUE"""),142.65)</f>
        <v>142.65</v>
      </c>
      <c r="C313" s="2" t="n">
        <f aca="false">IFERROR(__xludf.dummyfunction("""COMPUTED_VALUE"""),143.79)</f>
        <v>143.79</v>
      </c>
      <c r="D313" s="2" t="n">
        <f aca="false">IFERROR(__xludf.dummyfunction("""COMPUTED_VALUE"""),142.04)</f>
        <v>142.04</v>
      </c>
      <c r="E313" s="2" t="n">
        <f aca="false">IFERROR(__xludf.dummyfunction("""COMPUTED_VALUE"""),142.51)</f>
        <v>142.51</v>
      </c>
      <c r="F313" s="2" t="n">
        <f aca="false">IFERROR(__xludf.dummyfunction("""COMPUTED_VALUE"""),1715851)</f>
        <v>1715851</v>
      </c>
    </row>
    <row r="314" customFormat="false" ht="15.75" hidden="false" customHeight="false" outlineLevel="0" collapsed="false">
      <c r="A314" s="3" t="n">
        <f aca="false">IFERROR(__xludf.dummyfunction("""COMPUTED_VALUE"""),44650.6666666667)</f>
        <v>44650.6666666667</v>
      </c>
      <c r="B314" s="2" t="n">
        <f aca="false">IFERROR(__xludf.dummyfunction("""COMPUTED_VALUE"""),142.46)</f>
        <v>142.46</v>
      </c>
      <c r="C314" s="2" t="n">
        <f aca="false">IFERROR(__xludf.dummyfunction("""COMPUTED_VALUE"""),142.72)</f>
        <v>142.72</v>
      </c>
      <c r="D314" s="2" t="n">
        <f aca="false">IFERROR(__xludf.dummyfunction("""COMPUTED_VALUE"""),141.6)</f>
        <v>141.6</v>
      </c>
      <c r="E314" s="2" t="n">
        <f aca="false">IFERROR(__xludf.dummyfunction("""COMPUTED_VALUE"""),141.94)</f>
        <v>141.94</v>
      </c>
      <c r="F314" s="2" t="n">
        <f aca="false">IFERROR(__xludf.dummyfunction("""COMPUTED_VALUE"""),994238)</f>
        <v>994238</v>
      </c>
    </row>
    <row r="315" customFormat="false" ht="15.75" hidden="false" customHeight="false" outlineLevel="0" collapsed="false">
      <c r="A315" s="3" t="n">
        <f aca="false">IFERROR(__xludf.dummyfunction("""COMPUTED_VALUE"""),44651.6666666667)</f>
        <v>44651.6666666667</v>
      </c>
      <c r="B315" s="2" t="n">
        <f aca="false">IFERROR(__xludf.dummyfunction("""COMPUTED_VALUE"""),142.05)</f>
        <v>142.05</v>
      </c>
      <c r="C315" s="2" t="n">
        <f aca="false">IFERROR(__xludf.dummyfunction("""COMPUTED_VALUE"""),142.11)</f>
        <v>142.11</v>
      </c>
      <c r="D315" s="2" t="n">
        <f aca="false">IFERROR(__xludf.dummyfunction("""COMPUTED_VALUE"""),139.02)</f>
        <v>139.02</v>
      </c>
      <c r="E315" s="2" t="n">
        <f aca="false">IFERROR(__xludf.dummyfunction("""COMPUTED_VALUE"""),139.07)</f>
        <v>139.07</v>
      </c>
      <c r="F315" s="2" t="n">
        <f aca="false">IFERROR(__xludf.dummyfunction("""COMPUTED_VALUE"""),1876236)</f>
        <v>1876236</v>
      </c>
    </row>
    <row r="316" customFormat="false" ht="15.75" hidden="false" customHeight="false" outlineLevel="0" collapsed="false">
      <c r="A316" s="3" t="n">
        <f aca="false">IFERROR(__xludf.dummyfunction("""COMPUTED_VALUE"""),44652.6666666667)</f>
        <v>44652.6666666667</v>
      </c>
      <c r="B316" s="2" t="n">
        <f aca="false">IFERROR(__xludf.dummyfunction("""COMPUTED_VALUE"""),139.5)</f>
        <v>139.5</v>
      </c>
      <c r="C316" s="2" t="n">
        <f aca="false">IFERROR(__xludf.dummyfunction("""COMPUTED_VALUE"""),140.47)</f>
        <v>140.47</v>
      </c>
      <c r="D316" s="2" t="n">
        <f aca="false">IFERROR(__xludf.dummyfunction("""COMPUTED_VALUE"""),138.31)</f>
        <v>138.31</v>
      </c>
      <c r="E316" s="2" t="n">
        <f aca="false">IFERROR(__xludf.dummyfunction("""COMPUTED_VALUE"""),140.15)</f>
        <v>140.15</v>
      </c>
      <c r="F316" s="2" t="n">
        <f aca="false">IFERROR(__xludf.dummyfunction("""COMPUTED_VALUE"""),1297072)</f>
        <v>1297072</v>
      </c>
    </row>
    <row r="317" customFormat="false" ht="15.75" hidden="false" customHeight="false" outlineLevel="0" collapsed="false">
      <c r="A317" s="3" t="n">
        <f aca="false">IFERROR(__xludf.dummyfunction("""COMPUTED_VALUE"""),44655.6666666667)</f>
        <v>44655.6666666667</v>
      </c>
      <c r="B317" s="2" t="n">
        <f aca="false">IFERROR(__xludf.dummyfunction("""COMPUTED_VALUE"""),140.36)</f>
        <v>140.36</v>
      </c>
      <c r="C317" s="2" t="n">
        <f aca="false">IFERROR(__xludf.dummyfunction("""COMPUTED_VALUE"""),143.71)</f>
        <v>143.71</v>
      </c>
      <c r="D317" s="2" t="n">
        <f aca="false">IFERROR(__xludf.dummyfunction("""COMPUTED_VALUE"""),140.31)</f>
        <v>140.31</v>
      </c>
      <c r="E317" s="2" t="n">
        <f aca="false">IFERROR(__xludf.dummyfunction("""COMPUTED_VALUE"""),142.97)</f>
        <v>142.97</v>
      </c>
      <c r="F317" s="2" t="n">
        <f aca="false">IFERROR(__xludf.dummyfunction("""COMPUTED_VALUE"""),1298542)</f>
        <v>1298542</v>
      </c>
    </row>
    <row r="318" customFormat="false" ht="15.75" hidden="false" customHeight="false" outlineLevel="0" collapsed="false">
      <c r="A318" s="3" t="n">
        <f aca="false">IFERROR(__xludf.dummyfunction("""COMPUTED_VALUE"""),44656.6666666667)</f>
        <v>44656.6666666667</v>
      </c>
      <c r="B318" s="2" t="n">
        <f aca="false">IFERROR(__xludf.dummyfunction("""COMPUTED_VALUE"""),142.87)</f>
        <v>142.87</v>
      </c>
      <c r="C318" s="2" t="n">
        <f aca="false">IFERROR(__xludf.dummyfunction("""COMPUTED_VALUE"""),142.99)</f>
        <v>142.99</v>
      </c>
      <c r="D318" s="2" t="n">
        <f aca="false">IFERROR(__xludf.dummyfunction("""COMPUTED_VALUE"""),140.38)</f>
        <v>140.38</v>
      </c>
      <c r="E318" s="2" t="n">
        <f aca="false">IFERROR(__xludf.dummyfunction("""COMPUTED_VALUE"""),140.59)</f>
        <v>140.59</v>
      </c>
      <c r="F318" s="2" t="n">
        <f aca="false">IFERROR(__xludf.dummyfunction("""COMPUTED_VALUE"""),1070906)</f>
        <v>1070906</v>
      </c>
    </row>
    <row r="319" customFormat="false" ht="15.75" hidden="false" customHeight="false" outlineLevel="0" collapsed="false">
      <c r="A319" s="3" t="n">
        <f aca="false">IFERROR(__xludf.dummyfunction("""COMPUTED_VALUE"""),44657.6666666667)</f>
        <v>44657.6666666667</v>
      </c>
      <c r="B319" s="2" t="n">
        <f aca="false">IFERROR(__xludf.dummyfunction("""COMPUTED_VALUE"""),138.75)</f>
        <v>138.75</v>
      </c>
      <c r="C319" s="2" t="n">
        <f aca="false">IFERROR(__xludf.dummyfunction("""COMPUTED_VALUE"""),139.36)</f>
        <v>139.36</v>
      </c>
      <c r="D319" s="2" t="n">
        <f aca="false">IFERROR(__xludf.dummyfunction("""COMPUTED_VALUE"""),135.52)</f>
        <v>135.52</v>
      </c>
      <c r="E319" s="2" t="n">
        <f aca="false">IFERROR(__xludf.dummyfunction("""COMPUTED_VALUE"""),136.55)</f>
        <v>136.55</v>
      </c>
      <c r="F319" s="2" t="n">
        <f aca="false">IFERROR(__xludf.dummyfunction("""COMPUTED_VALUE"""),1623424)</f>
        <v>1623424</v>
      </c>
    </row>
    <row r="320" customFormat="false" ht="15.75" hidden="false" customHeight="false" outlineLevel="0" collapsed="false">
      <c r="A320" s="3" t="n">
        <f aca="false">IFERROR(__xludf.dummyfunction("""COMPUTED_VALUE"""),44658.6666666667)</f>
        <v>44658.6666666667</v>
      </c>
      <c r="B320" s="2" t="n">
        <f aca="false">IFERROR(__xludf.dummyfunction("""COMPUTED_VALUE"""),136.01)</f>
        <v>136.01</v>
      </c>
      <c r="C320" s="2" t="n">
        <f aca="false">IFERROR(__xludf.dummyfunction("""COMPUTED_VALUE"""),137.16)</f>
        <v>137.16</v>
      </c>
      <c r="D320" s="2" t="n">
        <f aca="false">IFERROR(__xludf.dummyfunction("""COMPUTED_VALUE"""),134.23)</f>
        <v>134.23</v>
      </c>
      <c r="E320" s="2" t="n">
        <f aca="false">IFERROR(__xludf.dummyfunction("""COMPUTED_VALUE"""),135.89)</f>
        <v>135.89</v>
      </c>
      <c r="F320" s="2" t="n">
        <f aca="false">IFERROR(__xludf.dummyfunction("""COMPUTED_VALUE"""),1311680)</f>
        <v>1311680</v>
      </c>
    </row>
    <row r="321" customFormat="false" ht="15.75" hidden="false" customHeight="false" outlineLevel="0" collapsed="false">
      <c r="A321" s="3" t="n">
        <f aca="false">IFERROR(__xludf.dummyfunction("""COMPUTED_VALUE"""),44659.6666666667)</f>
        <v>44659.6666666667</v>
      </c>
      <c r="B321" s="2" t="n">
        <f aca="false">IFERROR(__xludf.dummyfunction("""COMPUTED_VALUE"""),135.58)</f>
        <v>135.58</v>
      </c>
      <c r="C321" s="2" t="n">
        <f aca="false">IFERROR(__xludf.dummyfunction("""COMPUTED_VALUE"""),135.67)</f>
        <v>135.67</v>
      </c>
      <c r="D321" s="2" t="n">
        <f aca="false">IFERROR(__xludf.dummyfunction("""COMPUTED_VALUE"""),132.97)</f>
        <v>132.97</v>
      </c>
      <c r="E321" s="2" t="n">
        <f aca="false">IFERROR(__xludf.dummyfunction("""COMPUTED_VALUE"""),133.29)</f>
        <v>133.29</v>
      </c>
      <c r="F321" s="2" t="n">
        <f aca="false">IFERROR(__xludf.dummyfunction("""COMPUTED_VALUE"""),1257140)</f>
        <v>1257140</v>
      </c>
    </row>
    <row r="322" customFormat="false" ht="15.75" hidden="false" customHeight="false" outlineLevel="0" collapsed="false">
      <c r="A322" s="3" t="n">
        <f aca="false">IFERROR(__xludf.dummyfunction("""COMPUTED_VALUE"""),44662.6666666667)</f>
        <v>44662.6666666667</v>
      </c>
      <c r="B322" s="2" t="n">
        <f aca="false">IFERROR(__xludf.dummyfunction("""COMPUTED_VALUE"""),131.82)</f>
        <v>131.82</v>
      </c>
      <c r="C322" s="2" t="n">
        <f aca="false">IFERROR(__xludf.dummyfunction("""COMPUTED_VALUE"""),132.09)</f>
        <v>132.09</v>
      </c>
      <c r="D322" s="2" t="n">
        <f aca="false">IFERROR(__xludf.dummyfunction("""COMPUTED_VALUE"""),128.67)</f>
        <v>128.67</v>
      </c>
      <c r="E322" s="2" t="n">
        <f aca="false">IFERROR(__xludf.dummyfunction("""COMPUTED_VALUE"""),128.82)</f>
        <v>128.82</v>
      </c>
      <c r="F322" s="2" t="n">
        <f aca="false">IFERROR(__xludf.dummyfunction("""COMPUTED_VALUE"""),1844153)</f>
        <v>1844153</v>
      </c>
    </row>
    <row r="323" customFormat="false" ht="15.75" hidden="false" customHeight="false" outlineLevel="0" collapsed="false">
      <c r="A323" s="3" t="n">
        <f aca="false">IFERROR(__xludf.dummyfunction("""COMPUTED_VALUE"""),44663.6666666667)</f>
        <v>44663.6666666667</v>
      </c>
      <c r="B323" s="2" t="n">
        <f aca="false">IFERROR(__xludf.dummyfunction("""COMPUTED_VALUE"""),131.6)</f>
        <v>131.6</v>
      </c>
      <c r="C323" s="2" t="n">
        <f aca="false">IFERROR(__xludf.dummyfunction("""COMPUTED_VALUE"""),131.6)</f>
        <v>131.6</v>
      </c>
      <c r="D323" s="2" t="n">
        <f aca="false">IFERROR(__xludf.dummyfunction("""COMPUTED_VALUE"""),126.79)</f>
        <v>126.79</v>
      </c>
      <c r="E323" s="2" t="n">
        <f aca="false">IFERROR(__xludf.dummyfunction("""COMPUTED_VALUE"""),127.71)</f>
        <v>127.71</v>
      </c>
      <c r="F323" s="2" t="n">
        <f aca="false">IFERROR(__xludf.dummyfunction("""COMPUTED_VALUE"""),1635535)</f>
        <v>1635535</v>
      </c>
    </row>
    <row r="324" customFormat="false" ht="15.75" hidden="false" customHeight="false" outlineLevel="0" collapsed="false">
      <c r="A324" s="3" t="n">
        <f aca="false">IFERROR(__xludf.dummyfunction("""COMPUTED_VALUE"""),44664.6666666667)</f>
        <v>44664.6666666667</v>
      </c>
      <c r="B324" s="2" t="n">
        <f aca="false">IFERROR(__xludf.dummyfunction("""COMPUTED_VALUE"""),128)</f>
        <v>128</v>
      </c>
      <c r="C324" s="2" t="n">
        <f aca="false">IFERROR(__xludf.dummyfunction("""COMPUTED_VALUE"""),130.33)</f>
        <v>130.33</v>
      </c>
      <c r="D324" s="2" t="n">
        <f aca="false">IFERROR(__xludf.dummyfunction("""COMPUTED_VALUE"""),127.74)</f>
        <v>127.74</v>
      </c>
      <c r="E324" s="2" t="n">
        <f aca="false">IFERROR(__xludf.dummyfunction("""COMPUTED_VALUE"""),129.89)</f>
        <v>129.89</v>
      </c>
      <c r="F324" s="2" t="n">
        <f aca="false">IFERROR(__xludf.dummyfunction("""COMPUTED_VALUE"""),1396362)</f>
        <v>1396362</v>
      </c>
    </row>
    <row r="325" customFormat="false" ht="15.75" hidden="false" customHeight="false" outlineLevel="0" collapsed="false">
      <c r="A325" s="3" t="n">
        <f aca="false">IFERROR(__xludf.dummyfunction("""COMPUTED_VALUE"""),44665.6666666667)</f>
        <v>44665.6666666667</v>
      </c>
      <c r="B325" s="2" t="n">
        <f aca="false">IFERROR(__xludf.dummyfunction("""COMPUTED_VALUE"""),130.48)</f>
        <v>130.48</v>
      </c>
      <c r="C325" s="2" t="n">
        <f aca="false">IFERROR(__xludf.dummyfunction("""COMPUTED_VALUE"""),130.48)</f>
        <v>130.48</v>
      </c>
      <c r="D325" s="2" t="n">
        <f aca="false">IFERROR(__xludf.dummyfunction("""COMPUTED_VALUE"""),126.6)</f>
        <v>126.6</v>
      </c>
      <c r="E325" s="2" t="n">
        <f aca="false">IFERROR(__xludf.dummyfunction("""COMPUTED_VALUE"""),126.73)</f>
        <v>126.73</v>
      </c>
      <c r="F325" s="2" t="n">
        <f aca="false">IFERROR(__xludf.dummyfunction("""COMPUTED_VALUE"""),1579899)</f>
        <v>1579899</v>
      </c>
    </row>
    <row r="326" customFormat="false" ht="15.75" hidden="false" customHeight="false" outlineLevel="0" collapsed="false">
      <c r="A326" s="3" t="n">
        <f aca="false">IFERROR(__xludf.dummyfunction("""COMPUTED_VALUE"""),44669.6666666667)</f>
        <v>44669.6666666667</v>
      </c>
      <c r="B326" s="2" t="n">
        <f aca="false">IFERROR(__xludf.dummyfunction("""COMPUTED_VALUE"""),127)</f>
        <v>127</v>
      </c>
      <c r="C326" s="2" t="n">
        <f aca="false">IFERROR(__xludf.dummyfunction("""COMPUTED_VALUE"""),128.21)</f>
        <v>128.21</v>
      </c>
      <c r="D326" s="2" t="n">
        <f aca="false">IFERROR(__xludf.dummyfunction("""COMPUTED_VALUE"""),126.18)</f>
        <v>126.18</v>
      </c>
      <c r="E326" s="2" t="n">
        <f aca="false">IFERROR(__xludf.dummyfunction("""COMPUTED_VALUE"""),127.68)</f>
        <v>127.68</v>
      </c>
      <c r="F326" s="2" t="n">
        <f aca="false">IFERROR(__xludf.dummyfunction("""COMPUTED_VALUE"""),1040433)</f>
        <v>1040433</v>
      </c>
    </row>
    <row r="327" customFormat="false" ht="15.75" hidden="false" customHeight="false" outlineLevel="0" collapsed="false">
      <c r="A327" s="3" t="n">
        <f aca="false">IFERROR(__xludf.dummyfunction("""COMPUTED_VALUE"""),44670.6666666667)</f>
        <v>44670.6666666667</v>
      </c>
      <c r="B327" s="2" t="n">
        <f aca="false">IFERROR(__xludf.dummyfunction("""COMPUTED_VALUE"""),127.69)</f>
        <v>127.69</v>
      </c>
      <c r="C327" s="2" t="n">
        <f aca="false">IFERROR(__xludf.dummyfunction("""COMPUTED_VALUE"""),130.33)</f>
        <v>130.33</v>
      </c>
      <c r="D327" s="2" t="n">
        <f aca="false">IFERROR(__xludf.dummyfunction("""COMPUTED_VALUE"""),127)</f>
        <v>127</v>
      </c>
      <c r="E327" s="2" t="n">
        <f aca="false">IFERROR(__xludf.dummyfunction("""COMPUTED_VALUE"""),130.01)</f>
        <v>130.01</v>
      </c>
      <c r="F327" s="2" t="n">
        <f aca="false">IFERROR(__xludf.dummyfunction("""COMPUTED_VALUE"""),1324488)</f>
        <v>1324488</v>
      </c>
    </row>
    <row r="328" customFormat="false" ht="15.75" hidden="false" customHeight="false" outlineLevel="0" collapsed="false">
      <c r="A328" s="3" t="n">
        <f aca="false">IFERROR(__xludf.dummyfunction("""COMPUTED_VALUE"""),44671.6666666667)</f>
        <v>44671.6666666667</v>
      </c>
      <c r="B328" s="2" t="n">
        <f aca="false">IFERROR(__xludf.dummyfunction("""COMPUTED_VALUE"""),130.89)</f>
        <v>130.89</v>
      </c>
      <c r="C328" s="2" t="n">
        <f aca="false">IFERROR(__xludf.dummyfunction("""COMPUTED_VALUE"""),131.4)</f>
        <v>131.4</v>
      </c>
      <c r="D328" s="2" t="n">
        <f aca="false">IFERROR(__xludf.dummyfunction("""COMPUTED_VALUE"""),127.5)</f>
        <v>127.5</v>
      </c>
      <c r="E328" s="2" t="n">
        <f aca="false">IFERROR(__xludf.dummyfunction("""COMPUTED_VALUE"""),128.04)</f>
        <v>128.04</v>
      </c>
      <c r="F328" s="2" t="n">
        <f aca="false">IFERROR(__xludf.dummyfunction("""COMPUTED_VALUE"""),1584773)</f>
        <v>1584773</v>
      </c>
    </row>
    <row r="329" customFormat="false" ht="15.75" hidden="false" customHeight="false" outlineLevel="0" collapsed="false">
      <c r="A329" s="3" t="n">
        <f aca="false">IFERROR(__xludf.dummyfunction("""COMPUTED_VALUE"""),44672.6666666667)</f>
        <v>44672.6666666667</v>
      </c>
      <c r="B329" s="2" t="n">
        <f aca="false">IFERROR(__xludf.dummyfunction("""COMPUTED_VALUE"""),129.25)</f>
        <v>129.25</v>
      </c>
      <c r="C329" s="2" t="n">
        <f aca="false">IFERROR(__xludf.dummyfunction("""COMPUTED_VALUE"""),130.1)</f>
        <v>130.1</v>
      </c>
      <c r="D329" s="2" t="n">
        <f aca="false">IFERROR(__xludf.dummyfunction("""COMPUTED_VALUE"""),124.53)</f>
        <v>124.53</v>
      </c>
      <c r="E329" s="2" t="n">
        <f aca="false">IFERROR(__xludf.dummyfunction("""COMPUTED_VALUE"""),124.81)</f>
        <v>124.81</v>
      </c>
      <c r="F329" s="2" t="n">
        <f aca="false">IFERROR(__xludf.dummyfunction("""COMPUTED_VALUE"""),1822258)</f>
        <v>1822258</v>
      </c>
    </row>
    <row r="330" customFormat="false" ht="15.75" hidden="false" customHeight="false" outlineLevel="0" collapsed="false">
      <c r="A330" s="3" t="n">
        <f aca="false">IFERROR(__xludf.dummyfunction("""COMPUTED_VALUE"""),44673.6666666667)</f>
        <v>44673.6666666667</v>
      </c>
      <c r="B330" s="2" t="n">
        <f aca="false">IFERROR(__xludf.dummyfunction("""COMPUTED_VALUE"""),125)</f>
        <v>125</v>
      </c>
      <c r="C330" s="2" t="n">
        <f aca="false">IFERROR(__xludf.dummyfunction("""COMPUTED_VALUE"""),125.4)</f>
        <v>125.4</v>
      </c>
      <c r="D330" s="2" t="n">
        <f aca="false">IFERROR(__xludf.dummyfunction("""COMPUTED_VALUE"""),118.93)</f>
        <v>118.93</v>
      </c>
      <c r="E330" s="2" t="n">
        <f aca="false">IFERROR(__xludf.dummyfunction("""COMPUTED_VALUE"""),119.64)</f>
        <v>119.64</v>
      </c>
      <c r="F330" s="2" t="n">
        <f aca="false">IFERROR(__xludf.dummyfunction("""COMPUTED_VALUE"""),2844186)</f>
        <v>2844186</v>
      </c>
    </row>
    <row r="331" customFormat="false" ht="15.75" hidden="false" customHeight="false" outlineLevel="0" collapsed="false">
      <c r="A331" s="3" t="n">
        <f aca="false">IFERROR(__xludf.dummyfunction("""COMPUTED_VALUE"""),44676.6666666667)</f>
        <v>44676.6666666667</v>
      </c>
      <c r="B331" s="2" t="n">
        <f aca="false">IFERROR(__xludf.dummyfunction("""COMPUTED_VALUE"""),119.1)</f>
        <v>119.1</v>
      </c>
      <c r="C331" s="2" t="n">
        <f aca="false">IFERROR(__xludf.dummyfunction("""COMPUTED_VALUE"""),123.28)</f>
        <v>123.28</v>
      </c>
      <c r="D331" s="2" t="n">
        <f aca="false">IFERROR(__xludf.dummyfunction("""COMPUTED_VALUE"""),118.51)</f>
        <v>118.51</v>
      </c>
      <c r="E331" s="2" t="n">
        <f aca="false">IFERROR(__xludf.dummyfunction("""COMPUTED_VALUE"""),123.07)</f>
        <v>123.07</v>
      </c>
      <c r="F331" s="2" t="n">
        <f aca="false">IFERROR(__xludf.dummyfunction("""COMPUTED_VALUE"""),2306413)</f>
        <v>2306413</v>
      </c>
    </row>
    <row r="332" customFormat="false" ht="15.75" hidden="false" customHeight="false" outlineLevel="0" collapsed="false">
      <c r="A332" s="3" t="n">
        <f aca="false">IFERROR(__xludf.dummyfunction("""COMPUTED_VALUE"""),44677.6666666667)</f>
        <v>44677.6666666667</v>
      </c>
      <c r="B332" s="2" t="n">
        <f aca="false">IFERROR(__xludf.dummyfunction("""COMPUTED_VALUE"""),122.29)</f>
        <v>122.29</v>
      </c>
      <c r="C332" s="2" t="n">
        <f aca="false">IFERROR(__xludf.dummyfunction("""COMPUTED_VALUE"""),122.51)</f>
        <v>122.51</v>
      </c>
      <c r="D332" s="2" t="n">
        <f aca="false">IFERROR(__xludf.dummyfunction("""COMPUTED_VALUE"""),118.51)</f>
        <v>118.51</v>
      </c>
      <c r="E332" s="2" t="n">
        <f aca="false">IFERROR(__xludf.dummyfunction("""COMPUTED_VALUE"""),118.65)</f>
        <v>118.65</v>
      </c>
      <c r="F332" s="2" t="n">
        <f aca="false">IFERROR(__xludf.dummyfunction("""COMPUTED_VALUE"""),3652744)</f>
        <v>3652744</v>
      </c>
    </row>
    <row r="333" customFormat="false" ht="15.75" hidden="false" customHeight="false" outlineLevel="0" collapsed="false">
      <c r="A333" s="3" t="n">
        <f aca="false">IFERROR(__xludf.dummyfunction("""COMPUTED_VALUE"""),44678.6666666667)</f>
        <v>44678.6666666667</v>
      </c>
      <c r="B333" s="2" t="n">
        <f aca="false">IFERROR(__xludf.dummyfunction("""COMPUTED_VALUE"""),114.47)</f>
        <v>114.47</v>
      </c>
      <c r="C333" s="2" t="n">
        <f aca="false">IFERROR(__xludf.dummyfunction("""COMPUTED_VALUE"""),117.24)</f>
        <v>117.24</v>
      </c>
      <c r="D333" s="2" t="n">
        <f aca="false">IFERROR(__xludf.dummyfunction("""COMPUTED_VALUE"""),112.74)</f>
        <v>112.74</v>
      </c>
      <c r="E333" s="2" t="n">
        <f aca="false">IFERROR(__xludf.dummyfunction("""COMPUTED_VALUE"""),114.29)</f>
        <v>114.29</v>
      </c>
      <c r="F333" s="2" t="n">
        <f aca="false">IFERROR(__xludf.dummyfunction("""COMPUTED_VALUE"""),4591029)</f>
        <v>4591029</v>
      </c>
    </row>
    <row r="334" customFormat="false" ht="15.75" hidden="false" customHeight="false" outlineLevel="0" collapsed="false">
      <c r="A334" s="3" t="n">
        <f aca="false">IFERROR(__xludf.dummyfunction("""COMPUTED_VALUE"""),44679.6666666667)</f>
        <v>44679.6666666667</v>
      </c>
      <c r="B334" s="2" t="n">
        <f aca="false">IFERROR(__xludf.dummyfunction("""COMPUTED_VALUE"""),116.42)</f>
        <v>116.42</v>
      </c>
      <c r="C334" s="2" t="n">
        <f aca="false">IFERROR(__xludf.dummyfunction("""COMPUTED_VALUE"""),119.65)</f>
        <v>119.65</v>
      </c>
      <c r="D334" s="2" t="n">
        <f aca="false">IFERROR(__xludf.dummyfunction("""COMPUTED_VALUE"""),114.12)</f>
        <v>114.12</v>
      </c>
      <c r="E334" s="2" t="n">
        <f aca="false">IFERROR(__xludf.dummyfunction("""COMPUTED_VALUE"""),118.52)</f>
        <v>118.52</v>
      </c>
      <c r="F334" s="2" t="n">
        <f aca="false">IFERROR(__xludf.dummyfunction("""COMPUTED_VALUE"""),2444232)</f>
        <v>2444232</v>
      </c>
    </row>
    <row r="335" customFormat="false" ht="15.75" hidden="false" customHeight="false" outlineLevel="0" collapsed="false">
      <c r="A335" s="3" t="n">
        <f aca="false">IFERROR(__xludf.dummyfunction("""COMPUTED_VALUE"""),44680.6666666667)</f>
        <v>44680.6666666667</v>
      </c>
      <c r="B335" s="2" t="n">
        <f aca="false">IFERROR(__xludf.dummyfunction("""COMPUTED_VALUE"""),116.73)</f>
        <v>116.73</v>
      </c>
      <c r="C335" s="2" t="n">
        <f aca="false">IFERROR(__xludf.dummyfunction("""COMPUTED_VALUE"""),117.92)</f>
        <v>117.92</v>
      </c>
      <c r="D335" s="2" t="n">
        <f aca="false">IFERROR(__xludf.dummyfunction("""COMPUTED_VALUE"""),113.81)</f>
        <v>113.81</v>
      </c>
      <c r="E335" s="2" t="n">
        <f aca="false">IFERROR(__xludf.dummyfunction("""COMPUTED_VALUE"""),114.11)</f>
        <v>114.11</v>
      </c>
      <c r="F335" s="2" t="n">
        <f aca="false">IFERROR(__xludf.dummyfunction("""COMPUTED_VALUE"""),2133800)</f>
        <v>2133800</v>
      </c>
    </row>
    <row r="336" customFormat="false" ht="15.75" hidden="false" customHeight="false" outlineLevel="0" collapsed="false">
      <c r="A336" s="3" t="n">
        <f aca="false">IFERROR(__xludf.dummyfunction("""COMPUTED_VALUE"""),44683.6666666667)</f>
        <v>44683.6666666667</v>
      </c>
      <c r="B336" s="2" t="n">
        <f aca="false">IFERROR(__xludf.dummyfunction("""COMPUTED_VALUE"""),113.41)</f>
        <v>113.41</v>
      </c>
      <c r="C336" s="2" t="n">
        <f aca="false">IFERROR(__xludf.dummyfunction("""COMPUTED_VALUE"""),116.75)</f>
        <v>116.75</v>
      </c>
      <c r="D336" s="2" t="n">
        <f aca="false">IFERROR(__xludf.dummyfunction("""COMPUTED_VALUE"""),112.6)</f>
        <v>112.6</v>
      </c>
      <c r="E336" s="2" t="n">
        <f aca="false">IFERROR(__xludf.dummyfunction("""COMPUTED_VALUE"""),116.58)</f>
        <v>116.58</v>
      </c>
      <c r="F336" s="2" t="n">
        <f aca="false">IFERROR(__xludf.dummyfunction("""COMPUTED_VALUE"""),1776651)</f>
        <v>1776651</v>
      </c>
    </row>
    <row r="337" customFormat="false" ht="15.75" hidden="false" customHeight="false" outlineLevel="0" collapsed="false">
      <c r="A337" s="3" t="n">
        <f aca="false">IFERROR(__xludf.dummyfunction("""COMPUTED_VALUE"""),44684.6666666667)</f>
        <v>44684.6666666667</v>
      </c>
      <c r="B337" s="2" t="n">
        <f aca="false">IFERROR(__xludf.dummyfunction("""COMPUTED_VALUE"""),116.43)</f>
        <v>116.43</v>
      </c>
      <c r="C337" s="2" t="n">
        <f aca="false">IFERROR(__xludf.dummyfunction("""COMPUTED_VALUE"""),118.44)</f>
        <v>118.44</v>
      </c>
      <c r="D337" s="2" t="n">
        <f aca="false">IFERROR(__xludf.dummyfunction("""COMPUTED_VALUE"""),116.03)</f>
        <v>116.03</v>
      </c>
      <c r="E337" s="2" t="n">
        <f aca="false">IFERROR(__xludf.dummyfunction("""COMPUTED_VALUE"""),117.33)</f>
        <v>117.33</v>
      </c>
      <c r="F337" s="2" t="n">
        <f aca="false">IFERROR(__xludf.dummyfunction("""COMPUTED_VALUE"""),1248368)</f>
        <v>1248368</v>
      </c>
    </row>
    <row r="338" customFormat="false" ht="15.75" hidden="false" customHeight="false" outlineLevel="0" collapsed="false">
      <c r="A338" s="3" t="n">
        <f aca="false">IFERROR(__xludf.dummyfunction("""COMPUTED_VALUE"""),44685.6666666667)</f>
        <v>44685.6666666667</v>
      </c>
      <c r="B338" s="2" t="n">
        <f aca="false">IFERROR(__xludf.dummyfunction("""COMPUTED_VALUE"""),117.03)</f>
        <v>117.03</v>
      </c>
      <c r="C338" s="2" t="n">
        <f aca="false">IFERROR(__xludf.dummyfunction("""COMPUTED_VALUE"""),122.85)</f>
        <v>122.85</v>
      </c>
      <c r="D338" s="2" t="n">
        <f aca="false">IFERROR(__xludf.dummyfunction("""COMPUTED_VALUE"""),115.12)</f>
        <v>115.12</v>
      </c>
      <c r="E338" s="2" t="n">
        <f aca="false">IFERROR(__xludf.dummyfunction("""COMPUTED_VALUE"""),122.26)</f>
        <v>122.26</v>
      </c>
      <c r="F338" s="2" t="n">
        <f aca="false">IFERROR(__xludf.dummyfunction("""COMPUTED_VALUE"""),2495764)</f>
        <v>2495764</v>
      </c>
    </row>
    <row r="339" customFormat="false" ht="15.75" hidden="false" customHeight="false" outlineLevel="0" collapsed="false">
      <c r="A339" s="3" t="n">
        <f aca="false">IFERROR(__xludf.dummyfunction("""COMPUTED_VALUE"""),44686.6666666667)</f>
        <v>44686.6666666667</v>
      </c>
      <c r="B339" s="2" t="n">
        <f aca="false">IFERROR(__xludf.dummyfunction("""COMPUTED_VALUE"""),120.2)</f>
        <v>120.2</v>
      </c>
      <c r="C339" s="2" t="n">
        <f aca="false">IFERROR(__xludf.dummyfunction("""COMPUTED_VALUE"""),121.04)</f>
        <v>121.04</v>
      </c>
      <c r="D339" s="2" t="n">
        <f aca="false">IFERROR(__xludf.dummyfunction("""COMPUTED_VALUE"""),115.01)</f>
        <v>115.01</v>
      </c>
      <c r="E339" s="2" t="n">
        <f aca="false">IFERROR(__xludf.dummyfunction("""COMPUTED_VALUE"""),116.51)</f>
        <v>116.51</v>
      </c>
      <c r="F339" s="2" t="n">
        <f aca="false">IFERROR(__xludf.dummyfunction("""COMPUTED_VALUE"""),2292029)</f>
        <v>2292029</v>
      </c>
    </row>
    <row r="340" customFormat="false" ht="15.75" hidden="false" customHeight="false" outlineLevel="0" collapsed="false">
      <c r="A340" s="3" t="n">
        <f aca="false">IFERROR(__xludf.dummyfunction("""COMPUTED_VALUE"""),44687.6666666667)</f>
        <v>44687.6666666667</v>
      </c>
      <c r="B340" s="2" t="n">
        <f aca="false">IFERROR(__xludf.dummyfunction("""COMPUTED_VALUE"""),115.18)</f>
        <v>115.18</v>
      </c>
      <c r="C340" s="2" t="n">
        <f aca="false">IFERROR(__xludf.dummyfunction("""COMPUTED_VALUE"""),117.57)</f>
        <v>117.57</v>
      </c>
      <c r="D340" s="2" t="n">
        <f aca="false">IFERROR(__xludf.dummyfunction("""COMPUTED_VALUE"""),114.02)</f>
        <v>114.02</v>
      </c>
      <c r="E340" s="2" t="n">
        <f aca="false">IFERROR(__xludf.dummyfunction("""COMPUTED_VALUE"""),115.75)</f>
        <v>115.75</v>
      </c>
      <c r="F340" s="2" t="n">
        <f aca="false">IFERROR(__xludf.dummyfunction("""COMPUTED_VALUE"""),1985479)</f>
        <v>1985479</v>
      </c>
    </row>
    <row r="341" customFormat="false" ht="15.75" hidden="false" customHeight="false" outlineLevel="0" collapsed="false">
      <c r="A341" s="3" t="n">
        <f aca="false">IFERROR(__xludf.dummyfunction("""COMPUTED_VALUE"""),44690.6666666667)</f>
        <v>44690.6666666667</v>
      </c>
      <c r="B341" s="2" t="n">
        <f aca="false">IFERROR(__xludf.dummyfunction("""COMPUTED_VALUE"""),113.25)</f>
        <v>113.25</v>
      </c>
      <c r="C341" s="2" t="n">
        <f aca="false">IFERROR(__xludf.dummyfunction("""COMPUTED_VALUE"""),115.08)</f>
        <v>115.08</v>
      </c>
      <c r="D341" s="2" t="n">
        <f aca="false">IFERROR(__xludf.dummyfunction("""COMPUTED_VALUE"""),112)</f>
        <v>112</v>
      </c>
      <c r="E341" s="2" t="n">
        <f aca="false">IFERROR(__xludf.dummyfunction("""COMPUTED_VALUE"""),112.51)</f>
        <v>112.51</v>
      </c>
      <c r="F341" s="2" t="n">
        <f aca="false">IFERROR(__xludf.dummyfunction("""COMPUTED_VALUE"""),2040143)</f>
        <v>2040143</v>
      </c>
    </row>
    <row r="342" customFormat="false" ht="15.75" hidden="false" customHeight="false" outlineLevel="0" collapsed="false">
      <c r="A342" s="3" t="n">
        <f aca="false">IFERROR(__xludf.dummyfunction("""COMPUTED_VALUE"""),44691.6666666667)</f>
        <v>44691.6666666667</v>
      </c>
      <c r="B342" s="2" t="n">
        <f aca="false">IFERROR(__xludf.dummyfunction("""COMPUTED_VALUE"""),115.51)</f>
        <v>115.51</v>
      </c>
      <c r="C342" s="2" t="n">
        <f aca="false">IFERROR(__xludf.dummyfunction("""COMPUTED_VALUE"""),116.25)</f>
        <v>116.25</v>
      </c>
      <c r="D342" s="2" t="n">
        <f aca="false">IFERROR(__xludf.dummyfunction("""COMPUTED_VALUE"""),112.9)</f>
        <v>112.9</v>
      </c>
      <c r="E342" s="2" t="n">
        <f aca="false">IFERROR(__xludf.dummyfunction("""COMPUTED_VALUE"""),114.4)</f>
        <v>114.4</v>
      </c>
      <c r="F342" s="2" t="n">
        <f aca="false">IFERROR(__xludf.dummyfunction("""COMPUTED_VALUE"""),1995019)</f>
        <v>1995019</v>
      </c>
    </row>
    <row r="343" customFormat="false" ht="15.75" hidden="false" customHeight="false" outlineLevel="0" collapsed="false">
      <c r="A343" s="3" t="n">
        <f aca="false">IFERROR(__xludf.dummyfunction("""COMPUTED_VALUE"""),44692.6666666667)</f>
        <v>44692.6666666667</v>
      </c>
      <c r="B343" s="2" t="n">
        <f aca="false">IFERROR(__xludf.dummyfunction("""COMPUTED_VALUE"""),113.24)</f>
        <v>113.24</v>
      </c>
      <c r="C343" s="2" t="n">
        <f aca="false">IFERROR(__xludf.dummyfunction("""COMPUTED_VALUE"""),116.36)</f>
        <v>116.36</v>
      </c>
      <c r="D343" s="2" t="n">
        <f aca="false">IFERROR(__xludf.dummyfunction("""COMPUTED_VALUE"""),113.24)</f>
        <v>113.24</v>
      </c>
      <c r="E343" s="2" t="n">
        <f aca="false">IFERROR(__xludf.dummyfunction("""COMPUTED_VALUE"""),113.6)</f>
        <v>113.6</v>
      </c>
      <c r="F343" s="2" t="n">
        <f aca="false">IFERROR(__xludf.dummyfunction("""COMPUTED_VALUE"""),1876737)</f>
        <v>1876737</v>
      </c>
    </row>
    <row r="344" customFormat="false" ht="15.75" hidden="false" customHeight="false" outlineLevel="0" collapsed="false">
      <c r="A344" s="3" t="n">
        <f aca="false">IFERROR(__xludf.dummyfunction("""COMPUTED_VALUE"""),44693.6666666667)</f>
        <v>44693.6666666667</v>
      </c>
      <c r="B344" s="2" t="n">
        <f aca="false">IFERROR(__xludf.dummyfunction("""COMPUTED_VALUE"""),111.38)</f>
        <v>111.38</v>
      </c>
      <c r="C344" s="2" t="n">
        <f aca="false">IFERROR(__xludf.dummyfunction("""COMPUTED_VALUE"""),114.3)</f>
        <v>114.3</v>
      </c>
      <c r="D344" s="2" t="n">
        <f aca="false">IFERROR(__xludf.dummyfunction("""COMPUTED_VALUE"""),109.82)</f>
        <v>109.82</v>
      </c>
      <c r="E344" s="2" t="n">
        <f aca="false">IFERROR(__xludf.dummyfunction("""COMPUTED_VALUE"""),112.84)</f>
        <v>112.84</v>
      </c>
      <c r="F344" s="2" t="n">
        <f aca="false">IFERROR(__xludf.dummyfunction("""COMPUTED_VALUE"""),2691809)</f>
        <v>2691809</v>
      </c>
    </row>
    <row r="345" customFormat="false" ht="15.75" hidden="false" customHeight="false" outlineLevel="0" collapsed="false">
      <c r="A345" s="3" t="n">
        <f aca="false">IFERROR(__xludf.dummyfunction("""COMPUTED_VALUE"""),44694.6666666667)</f>
        <v>44694.6666666667</v>
      </c>
      <c r="B345" s="2" t="n">
        <f aca="false">IFERROR(__xludf.dummyfunction("""COMPUTED_VALUE"""),114.53)</f>
        <v>114.53</v>
      </c>
      <c r="C345" s="2" t="n">
        <f aca="false">IFERROR(__xludf.dummyfunction("""COMPUTED_VALUE"""),117.88)</f>
        <v>117.88</v>
      </c>
      <c r="D345" s="2" t="n">
        <f aca="false">IFERROR(__xludf.dummyfunction("""COMPUTED_VALUE"""),113.61)</f>
        <v>113.61</v>
      </c>
      <c r="E345" s="2" t="n">
        <f aca="false">IFERROR(__xludf.dummyfunction("""COMPUTED_VALUE"""),116.05)</f>
        <v>116.05</v>
      </c>
      <c r="F345" s="2" t="n">
        <f aca="false">IFERROR(__xludf.dummyfunction("""COMPUTED_VALUE"""),1751924)</f>
        <v>1751924</v>
      </c>
    </row>
    <row r="346" customFormat="false" ht="15.75" hidden="false" customHeight="false" outlineLevel="0" collapsed="false">
      <c r="A346" s="3" t="n">
        <f aca="false">IFERROR(__xludf.dummyfunction("""COMPUTED_VALUE"""),44697.6666666667)</f>
        <v>44697.6666666667</v>
      </c>
      <c r="B346" s="2" t="n">
        <f aca="false">IFERROR(__xludf.dummyfunction("""COMPUTED_VALUE"""),114.96)</f>
        <v>114.96</v>
      </c>
      <c r="C346" s="2" t="n">
        <f aca="false">IFERROR(__xludf.dummyfunction("""COMPUTED_VALUE"""),116.17)</f>
        <v>116.17</v>
      </c>
      <c r="D346" s="2" t="n">
        <f aca="false">IFERROR(__xludf.dummyfunction("""COMPUTED_VALUE"""),113.89)</f>
        <v>113.89</v>
      </c>
      <c r="E346" s="2" t="n">
        <f aca="false">IFERROR(__xludf.dummyfunction("""COMPUTED_VALUE"""),114.45)</f>
        <v>114.45</v>
      </c>
      <c r="F346" s="2" t="n">
        <f aca="false">IFERROR(__xludf.dummyfunction("""COMPUTED_VALUE"""),1299522)</f>
        <v>1299522</v>
      </c>
    </row>
    <row r="347" customFormat="false" ht="15.75" hidden="false" customHeight="false" outlineLevel="0" collapsed="false">
      <c r="A347" s="3" t="n">
        <f aca="false">IFERROR(__xludf.dummyfunction("""COMPUTED_VALUE"""),44698.6666666667)</f>
        <v>44698.6666666667</v>
      </c>
      <c r="B347" s="2" t="n">
        <f aca="false">IFERROR(__xludf.dummyfunction("""COMPUTED_VALUE"""),116.84)</f>
        <v>116.84</v>
      </c>
      <c r="C347" s="2" t="n">
        <f aca="false">IFERROR(__xludf.dummyfunction("""COMPUTED_VALUE"""),116.9)</f>
        <v>116.9</v>
      </c>
      <c r="D347" s="2" t="n">
        <f aca="false">IFERROR(__xludf.dummyfunction("""COMPUTED_VALUE"""),114.87)</f>
        <v>114.87</v>
      </c>
      <c r="E347" s="2" t="n">
        <f aca="false">IFERROR(__xludf.dummyfunction("""COMPUTED_VALUE"""),116.47)</f>
        <v>116.47</v>
      </c>
      <c r="F347" s="2" t="n">
        <f aca="false">IFERROR(__xludf.dummyfunction("""COMPUTED_VALUE"""),1152658)</f>
        <v>1152658</v>
      </c>
    </row>
    <row r="348" customFormat="false" ht="15.75" hidden="false" customHeight="false" outlineLevel="0" collapsed="false">
      <c r="A348" s="3" t="n">
        <f aca="false">IFERROR(__xludf.dummyfunction("""COMPUTED_VALUE"""),44699.6666666667)</f>
        <v>44699.6666666667</v>
      </c>
      <c r="B348" s="2" t="n">
        <f aca="false">IFERROR(__xludf.dummyfunction("""COMPUTED_VALUE"""),115)</f>
        <v>115</v>
      </c>
      <c r="C348" s="2" t="n">
        <f aca="false">IFERROR(__xludf.dummyfunction("""COMPUTED_VALUE"""),115.4)</f>
        <v>115.4</v>
      </c>
      <c r="D348" s="2" t="n">
        <f aca="false">IFERROR(__xludf.dummyfunction("""COMPUTED_VALUE"""),111.56)</f>
        <v>111.56</v>
      </c>
      <c r="E348" s="2" t="n">
        <f aca="false">IFERROR(__xludf.dummyfunction("""COMPUTED_VALUE"""),111.9)</f>
        <v>111.9</v>
      </c>
      <c r="F348" s="2" t="n">
        <f aca="false">IFERROR(__xludf.dummyfunction("""COMPUTED_VALUE"""),1756299)</f>
        <v>1756299</v>
      </c>
    </row>
    <row r="349" customFormat="false" ht="15.75" hidden="false" customHeight="false" outlineLevel="0" collapsed="false">
      <c r="A349" s="3" t="n">
        <f aca="false">IFERROR(__xludf.dummyfunction("""COMPUTED_VALUE"""),44700.6666666667)</f>
        <v>44700.6666666667</v>
      </c>
      <c r="B349" s="2" t="n">
        <f aca="false">IFERROR(__xludf.dummyfunction("""COMPUTED_VALUE"""),111.43)</f>
        <v>111.43</v>
      </c>
      <c r="C349" s="2" t="n">
        <f aca="false">IFERROR(__xludf.dummyfunction("""COMPUTED_VALUE"""),113.01)</f>
        <v>113.01</v>
      </c>
      <c r="D349" s="2" t="n">
        <f aca="false">IFERROR(__xludf.dummyfunction("""COMPUTED_VALUE"""),110)</f>
        <v>110</v>
      </c>
      <c r="E349" s="2" t="n">
        <f aca="false">IFERROR(__xludf.dummyfunction("""COMPUTED_VALUE"""),110.38)</f>
        <v>110.38</v>
      </c>
      <c r="F349" s="2" t="n">
        <f aca="false">IFERROR(__xludf.dummyfunction("""COMPUTED_VALUE"""),1707220)</f>
        <v>1707220</v>
      </c>
    </row>
    <row r="350" customFormat="false" ht="15.75" hidden="false" customHeight="false" outlineLevel="0" collapsed="false">
      <c r="A350" s="3" t="n">
        <f aca="false">IFERROR(__xludf.dummyfunction("""COMPUTED_VALUE"""),44701.6666666667)</f>
        <v>44701.6666666667</v>
      </c>
      <c r="B350" s="2" t="n">
        <f aca="false">IFERROR(__xludf.dummyfunction("""COMPUTED_VALUE"""),111.95)</f>
        <v>111.95</v>
      </c>
      <c r="C350" s="2" t="n">
        <f aca="false">IFERROR(__xludf.dummyfunction("""COMPUTED_VALUE"""),112.18)</f>
        <v>112.18</v>
      </c>
      <c r="D350" s="2" t="n">
        <f aca="false">IFERROR(__xludf.dummyfunction("""COMPUTED_VALUE"""),105.8)</f>
        <v>105.8</v>
      </c>
      <c r="E350" s="2" t="n">
        <f aca="false">IFERROR(__xludf.dummyfunction("""COMPUTED_VALUE"""),108.91)</f>
        <v>108.91</v>
      </c>
      <c r="F350" s="2" t="n">
        <f aca="false">IFERROR(__xludf.dummyfunction("""COMPUTED_VALUE"""),2448148)</f>
        <v>2448148</v>
      </c>
    </row>
    <row r="351" customFormat="false" ht="15.75" hidden="false" customHeight="false" outlineLevel="0" collapsed="false">
      <c r="A351" s="3" t="n">
        <f aca="false">IFERROR(__xludf.dummyfunction("""COMPUTED_VALUE"""),44704.6666666667)</f>
        <v>44704.6666666667</v>
      </c>
      <c r="B351" s="2" t="n">
        <f aca="false">IFERROR(__xludf.dummyfunction("""COMPUTED_VALUE"""),109.59)</f>
        <v>109.59</v>
      </c>
      <c r="C351" s="2" t="n">
        <f aca="false">IFERROR(__xludf.dummyfunction("""COMPUTED_VALUE"""),112.15)</f>
        <v>112.15</v>
      </c>
      <c r="D351" s="2" t="n">
        <f aca="false">IFERROR(__xludf.dummyfunction("""COMPUTED_VALUE"""),108.74)</f>
        <v>108.74</v>
      </c>
      <c r="E351" s="2" t="n">
        <f aca="false">IFERROR(__xludf.dummyfunction("""COMPUTED_VALUE"""),111.49)</f>
        <v>111.49</v>
      </c>
      <c r="F351" s="2" t="n">
        <f aca="false">IFERROR(__xludf.dummyfunction("""COMPUTED_VALUE"""),1859247)</f>
        <v>1859247</v>
      </c>
    </row>
    <row r="352" customFormat="false" ht="15.75" hidden="false" customHeight="false" outlineLevel="0" collapsed="false">
      <c r="A352" s="3" t="n">
        <f aca="false">IFERROR(__xludf.dummyfunction("""COMPUTED_VALUE"""),44705.6666666667)</f>
        <v>44705.6666666667</v>
      </c>
      <c r="B352" s="2" t="n">
        <f aca="false">IFERROR(__xludf.dummyfunction("""COMPUTED_VALUE"""),105.77)</f>
        <v>105.77</v>
      </c>
      <c r="C352" s="2" t="n">
        <f aca="false">IFERROR(__xludf.dummyfunction("""COMPUTED_VALUE"""),106.46)</f>
        <v>106.46</v>
      </c>
      <c r="D352" s="2" t="n">
        <f aca="false">IFERROR(__xludf.dummyfunction("""COMPUTED_VALUE"""),101.88)</f>
        <v>101.88</v>
      </c>
      <c r="E352" s="2" t="n">
        <f aca="false">IFERROR(__xludf.dummyfunction("""COMPUTED_VALUE"""),105.97)</f>
        <v>105.97</v>
      </c>
      <c r="F352" s="2" t="n">
        <f aca="false">IFERROR(__xludf.dummyfunction("""COMPUTED_VALUE"""),3838989)</f>
        <v>3838989</v>
      </c>
    </row>
    <row r="353" customFormat="false" ht="15.75" hidden="false" customHeight="false" outlineLevel="0" collapsed="false">
      <c r="A353" s="3" t="n">
        <f aca="false">IFERROR(__xludf.dummyfunction("""COMPUTED_VALUE"""),44706.6666666667)</f>
        <v>44706.6666666667</v>
      </c>
      <c r="B353" s="2" t="n">
        <f aca="false">IFERROR(__xludf.dummyfunction("""COMPUTED_VALUE"""),104.99)</f>
        <v>104.99</v>
      </c>
      <c r="C353" s="2" t="n">
        <f aca="false">IFERROR(__xludf.dummyfunction("""COMPUTED_VALUE"""),106.5)</f>
        <v>106.5</v>
      </c>
      <c r="D353" s="2" t="n">
        <f aca="false">IFERROR(__xludf.dummyfunction("""COMPUTED_VALUE"""),103.86)</f>
        <v>103.86</v>
      </c>
      <c r="E353" s="2" t="n">
        <f aca="false">IFERROR(__xludf.dummyfunction("""COMPUTED_VALUE"""),105.81)</f>
        <v>105.81</v>
      </c>
      <c r="F353" s="2" t="n">
        <f aca="false">IFERROR(__xludf.dummyfunction("""COMPUTED_VALUE"""),2012867)</f>
        <v>2012867</v>
      </c>
    </row>
    <row r="354" customFormat="false" ht="15.75" hidden="false" customHeight="false" outlineLevel="0" collapsed="false">
      <c r="A354" s="3" t="n">
        <f aca="false">IFERROR(__xludf.dummyfunction("""COMPUTED_VALUE"""),44707.6666666667)</f>
        <v>44707.6666666667</v>
      </c>
      <c r="B354" s="2" t="n">
        <f aca="false">IFERROR(__xludf.dummyfunction("""COMPUTED_VALUE"""),105.68)</f>
        <v>105.68</v>
      </c>
      <c r="C354" s="2" t="n">
        <f aca="false">IFERROR(__xludf.dummyfunction("""COMPUTED_VALUE"""),108.65)</f>
        <v>108.65</v>
      </c>
      <c r="D354" s="2" t="n">
        <f aca="false">IFERROR(__xludf.dummyfunction("""COMPUTED_VALUE"""),105.22)</f>
        <v>105.22</v>
      </c>
      <c r="E354" s="2" t="n">
        <f aca="false">IFERROR(__xludf.dummyfunction("""COMPUTED_VALUE"""),107.79)</f>
        <v>107.79</v>
      </c>
      <c r="F354" s="2" t="n">
        <f aca="false">IFERROR(__xludf.dummyfunction("""COMPUTED_VALUE"""),1897361)</f>
        <v>1897361</v>
      </c>
    </row>
    <row r="355" customFormat="false" ht="15.75" hidden="false" customHeight="false" outlineLevel="0" collapsed="false">
      <c r="A355" s="3" t="n">
        <f aca="false">IFERROR(__xludf.dummyfunction("""COMPUTED_VALUE"""),44708.6666666667)</f>
        <v>44708.6666666667</v>
      </c>
      <c r="B355" s="2" t="n">
        <f aca="false">IFERROR(__xludf.dummyfunction("""COMPUTED_VALUE"""),109.48)</f>
        <v>109.48</v>
      </c>
      <c r="C355" s="2" t="n">
        <f aca="false">IFERROR(__xludf.dummyfunction("""COMPUTED_VALUE"""),112.32)</f>
        <v>112.32</v>
      </c>
      <c r="D355" s="2" t="n">
        <f aca="false">IFERROR(__xludf.dummyfunction("""COMPUTED_VALUE"""),109.14)</f>
        <v>109.14</v>
      </c>
      <c r="E355" s="2" t="n">
        <f aca="false">IFERROR(__xludf.dummyfunction("""COMPUTED_VALUE"""),112.32)</f>
        <v>112.32</v>
      </c>
      <c r="F355" s="2" t="n">
        <f aca="false">IFERROR(__xludf.dummyfunction("""COMPUTED_VALUE"""),1895706)</f>
        <v>1895706</v>
      </c>
    </row>
    <row r="356" customFormat="false" ht="15.75" hidden="false" customHeight="false" outlineLevel="0" collapsed="false">
      <c r="A356" s="3" t="n">
        <f aca="false">IFERROR(__xludf.dummyfunction("""COMPUTED_VALUE"""),44712.6666666667)</f>
        <v>44712.6666666667</v>
      </c>
      <c r="B356" s="2" t="n">
        <f aca="false">IFERROR(__xludf.dummyfunction("""COMPUTED_VALUE"""),112.75)</f>
        <v>112.75</v>
      </c>
      <c r="C356" s="2" t="n">
        <f aca="false">IFERROR(__xludf.dummyfunction("""COMPUTED_VALUE"""),115.74)</f>
        <v>115.74</v>
      </c>
      <c r="D356" s="2" t="n">
        <f aca="false">IFERROR(__xludf.dummyfunction("""COMPUTED_VALUE"""),112.08)</f>
        <v>112.08</v>
      </c>
      <c r="E356" s="2" t="n">
        <f aca="false">IFERROR(__xludf.dummyfunction("""COMPUTED_VALUE"""),113.76)</f>
        <v>113.76</v>
      </c>
      <c r="F356" s="2" t="n">
        <f aca="false">IFERROR(__xludf.dummyfunction("""COMPUTED_VALUE"""),2500613)</f>
        <v>2500613</v>
      </c>
    </row>
    <row r="357" customFormat="false" ht="15.75" hidden="false" customHeight="false" outlineLevel="0" collapsed="false">
      <c r="A357" s="3" t="n">
        <f aca="false">IFERROR(__xludf.dummyfunction("""COMPUTED_VALUE"""),44713.6666666667)</f>
        <v>44713.6666666667</v>
      </c>
      <c r="B357" s="2" t="n">
        <f aca="false">IFERROR(__xludf.dummyfunction("""COMPUTED_VALUE"""),114.86)</f>
        <v>114.86</v>
      </c>
      <c r="C357" s="2" t="n">
        <f aca="false">IFERROR(__xludf.dummyfunction("""COMPUTED_VALUE"""),117.1)</f>
        <v>117.1</v>
      </c>
      <c r="D357" s="2" t="n">
        <f aca="false">IFERROR(__xludf.dummyfunction("""COMPUTED_VALUE"""),113.25)</f>
        <v>113.25</v>
      </c>
      <c r="E357" s="2" t="n">
        <f aca="false">IFERROR(__xludf.dummyfunction("""COMPUTED_VALUE"""),113.89)</f>
        <v>113.89</v>
      </c>
      <c r="F357" s="2" t="n">
        <f aca="false">IFERROR(__xludf.dummyfunction("""COMPUTED_VALUE"""),1830276)</f>
        <v>1830276</v>
      </c>
    </row>
    <row r="358" customFormat="false" ht="15.75" hidden="false" customHeight="false" outlineLevel="0" collapsed="false">
      <c r="A358" s="3" t="n">
        <f aca="false">IFERROR(__xludf.dummyfunction("""COMPUTED_VALUE"""),44714.6666666667)</f>
        <v>44714.6666666667</v>
      </c>
      <c r="B358" s="2" t="n">
        <f aca="false">IFERROR(__xludf.dummyfunction("""COMPUTED_VALUE"""),114)</f>
        <v>114</v>
      </c>
      <c r="C358" s="2" t="n">
        <f aca="false">IFERROR(__xludf.dummyfunction("""COMPUTED_VALUE"""),117.9)</f>
        <v>117.9</v>
      </c>
      <c r="D358" s="2" t="n">
        <f aca="false">IFERROR(__xludf.dummyfunction("""COMPUTED_VALUE"""),112.95)</f>
        <v>112.95</v>
      </c>
      <c r="E358" s="2" t="n">
        <f aca="false">IFERROR(__xludf.dummyfunction("""COMPUTED_VALUE"""),117.62)</f>
        <v>117.62</v>
      </c>
      <c r="F358" s="2" t="n">
        <f aca="false">IFERROR(__xludf.dummyfunction("""COMPUTED_VALUE"""),1899614)</f>
        <v>1899614</v>
      </c>
    </row>
    <row r="359" customFormat="false" ht="15.75" hidden="false" customHeight="false" outlineLevel="0" collapsed="false">
      <c r="A359" s="3" t="n">
        <f aca="false">IFERROR(__xludf.dummyfunction("""COMPUTED_VALUE"""),44715.6666666667)</f>
        <v>44715.6666666667</v>
      </c>
      <c r="B359" s="2" t="n">
        <f aca="false">IFERROR(__xludf.dummyfunction("""COMPUTED_VALUE"""),116.06)</f>
        <v>116.06</v>
      </c>
      <c r="C359" s="2" t="n">
        <f aca="false">IFERROR(__xludf.dummyfunction("""COMPUTED_VALUE"""),116.32)</f>
        <v>116.32</v>
      </c>
      <c r="D359" s="2" t="n">
        <f aca="false">IFERROR(__xludf.dummyfunction("""COMPUTED_VALUE"""),113.52)</f>
        <v>113.52</v>
      </c>
      <c r="E359" s="2" t="n">
        <f aca="false">IFERROR(__xludf.dummyfunction("""COMPUTED_VALUE"""),114.54)</f>
        <v>114.54</v>
      </c>
      <c r="F359" s="2" t="n">
        <f aca="false">IFERROR(__xludf.dummyfunction("""COMPUTED_VALUE"""),1306773)</f>
        <v>1306773</v>
      </c>
    </row>
    <row r="360" customFormat="false" ht="15.75" hidden="false" customHeight="false" outlineLevel="0" collapsed="false">
      <c r="A360" s="3" t="n">
        <f aca="false">IFERROR(__xludf.dummyfunction("""COMPUTED_VALUE"""),44718.6666666667)</f>
        <v>44718.6666666667</v>
      </c>
      <c r="B360" s="2" t="n">
        <f aca="false">IFERROR(__xludf.dummyfunction("""COMPUTED_VALUE"""),116.7)</f>
        <v>116.7</v>
      </c>
      <c r="C360" s="2" t="n">
        <f aca="false">IFERROR(__xludf.dummyfunction("""COMPUTED_VALUE"""),119.35)</f>
        <v>119.35</v>
      </c>
      <c r="D360" s="2" t="n">
        <f aca="false">IFERROR(__xludf.dummyfunction("""COMPUTED_VALUE"""),116.16)</f>
        <v>116.16</v>
      </c>
      <c r="E360" s="2" t="n">
        <f aca="false">IFERROR(__xludf.dummyfunction("""COMPUTED_VALUE"""),116.82)</f>
        <v>116.82</v>
      </c>
      <c r="F360" s="2" t="n">
        <f aca="false">IFERROR(__xludf.dummyfunction("""COMPUTED_VALUE"""),1677077)</f>
        <v>1677077</v>
      </c>
    </row>
    <row r="361" customFormat="false" ht="15.75" hidden="false" customHeight="false" outlineLevel="0" collapsed="false">
      <c r="A361" s="3" t="n">
        <f aca="false">IFERROR(__xludf.dummyfunction("""COMPUTED_VALUE"""),44719.6666666667)</f>
        <v>44719.6666666667</v>
      </c>
      <c r="B361" s="2" t="n">
        <f aca="false">IFERROR(__xludf.dummyfunction("""COMPUTED_VALUE"""),115.48)</f>
        <v>115.48</v>
      </c>
      <c r="C361" s="2" t="n">
        <f aca="false">IFERROR(__xludf.dummyfunction("""COMPUTED_VALUE"""),117.69)</f>
        <v>117.69</v>
      </c>
      <c r="D361" s="2" t="n">
        <f aca="false">IFERROR(__xludf.dummyfunction("""COMPUTED_VALUE"""),115.05)</f>
        <v>115.05</v>
      </c>
      <c r="E361" s="2" t="n">
        <f aca="false">IFERROR(__xludf.dummyfunction("""COMPUTED_VALUE"""),117.15)</f>
        <v>117.15</v>
      </c>
      <c r="F361" s="2" t="n">
        <f aca="false">IFERROR(__xludf.dummyfunction("""COMPUTED_VALUE"""),1579523)</f>
        <v>1579523</v>
      </c>
    </row>
    <row r="362" customFormat="false" ht="15.75" hidden="false" customHeight="false" outlineLevel="0" collapsed="false">
      <c r="A362" s="3" t="n">
        <f aca="false">IFERROR(__xludf.dummyfunction("""COMPUTED_VALUE"""),44720.6666666667)</f>
        <v>44720.6666666667</v>
      </c>
      <c r="B362" s="2" t="n">
        <f aca="false">IFERROR(__xludf.dummyfunction("""COMPUTED_VALUE"""),116.76)</f>
        <v>116.76</v>
      </c>
      <c r="C362" s="2" t="n">
        <f aca="false">IFERROR(__xludf.dummyfunction("""COMPUTED_VALUE"""),118.57)</f>
        <v>118.57</v>
      </c>
      <c r="D362" s="2" t="n">
        <f aca="false">IFERROR(__xludf.dummyfunction("""COMPUTED_VALUE"""),116.6)</f>
        <v>116.6</v>
      </c>
      <c r="E362" s="2" t="n">
        <f aca="false">IFERROR(__xludf.dummyfunction("""COMPUTED_VALUE"""),117.19)</f>
        <v>117.19</v>
      </c>
      <c r="F362" s="2" t="n">
        <f aca="false">IFERROR(__xludf.dummyfunction("""COMPUTED_VALUE"""),1305387)</f>
        <v>1305387</v>
      </c>
    </row>
    <row r="363" customFormat="false" ht="15.75" hidden="false" customHeight="false" outlineLevel="0" collapsed="false">
      <c r="A363" s="3" t="n">
        <f aca="false">IFERROR(__xludf.dummyfunction("""COMPUTED_VALUE"""),44721.6666666667)</f>
        <v>44721.6666666667</v>
      </c>
      <c r="B363" s="2" t="n">
        <f aca="false">IFERROR(__xludf.dummyfunction("""COMPUTED_VALUE"""),116.33)</f>
        <v>116.33</v>
      </c>
      <c r="C363" s="2" t="n">
        <f aca="false">IFERROR(__xludf.dummyfunction("""COMPUTED_VALUE"""),118.3)</f>
        <v>118.3</v>
      </c>
      <c r="D363" s="2" t="n">
        <f aca="false">IFERROR(__xludf.dummyfunction("""COMPUTED_VALUE"""),114.78)</f>
        <v>114.78</v>
      </c>
      <c r="E363" s="2" t="n">
        <f aca="false">IFERROR(__xludf.dummyfunction("""COMPUTED_VALUE"""),114.84)</f>
        <v>114.84</v>
      </c>
      <c r="F363" s="2" t="n">
        <f aca="false">IFERROR(__xludf.dummyfunction("""COMPUTED_VALUE"""),1289898)</f>
        <v>1289898</v>
      </c>
    </row>
    <row r="364" customFormat="false" ht="15.75" hidden="false" customHeight="false" outlineLevel="0" collapsed="false">
      <c r="A364" s="3" t="n">
        <f aca="false">IFERROR(__xludf.dummyfunction("""COMPUTED_VALUE"""),44722.6666666667)</f>
        <v>44722.6666666667</v>
      </c>
      <c r="B364" s="2" t="n">
        <f aca="false">IFERROR(__xludf.dummyfunction("""COMPUTED_VALUE"""),112.45)</f>
        <v>112.45</v>
      </c>
      <c r="C364" s="2" t="n">
        <f aca="false">IFERROR(__xludf.dummyfunction("""COMPUTED_VALUE"""),113.28)</f>
        <v>113.28</v>
      </c>
      <c r="D364" s="2" t="n">
        <f aca="false">IFERROR(__xludf.dummyfunction("""COMPUTED_VALUE"""),110.37)</f>
        <v>110.37</v>
      </c>
      <c r="E364" s="2" t="n">
        <f aca="false">IFERROR(__xludf.dummyfunction("""COMPUTED_VALUE"""),111.16)</f>
        <v>111.16</v>
      </c>
      <c r="F364" s="2" t="n">
        <f aca="false">IFERROR(__xludf.dummyfunction("""COMPUTED_VALUE"""),2074092)</f>
        <v>2074092</v>
      </c>
    </row>
    <row r="365" customFormat="false" ht="15.75" hidden="false" customHeight="false" outlineLevel="0" collapsed="false">
      <c r="A365" s="3" t="n">
        <f aca="false">IFERROR(__xludf.dummyfunction("""COMPUTED_VALUE"""),44725.6666666667)</f>
        <v>44725.6666666667</v>
      </c>
      <c r="B365" s="2" t="n">
        <f aca="false">IFERROR(__xludf.dummyfunction("""COMPUTED_VALUE"""),106.79)</f>
        <v>106.79</v>
      </c>
      <c r="C365" s="2" t="n">
        <f aca="false">IFERROR(__xludf.dummyfunction("""COMPUTED_VALUE"""),108.79)</f>
        <v>108.79</v>
      </c>
      <c r="D365" s="2" t="n">
        <f aca="false">IFERROR(__xludf.dummyfunction("""COMPUTED_VALUE"""),106.12)</f>
        <v>106.12</v>
      </c>
      <c r="E365" s="2" t="n">
        <f aca="false">IFERROR(__xludf.dummyfunction("""COMPUTED_VALUE"""),106.39)</f>
        <v>106.39</v>
      </c>
      <c r="F365" s="2" t="n">
        <f aca="false">IFERROR(__xludf.dummyfunction("""COMPUTED_VALUE"""),2362596)</f>
        <v>2362596</v>
      </c>
    </row>
    <row r="366" customFormat="false" ht="15.75" hidden="false" customHeight="false" outlineLevel="0" collapsed="false">
      <c r="A366" s="3" t="n">
        <f aca="false">IFERROR(__xludf.dummyfunction("""COMPUTED_VALUE"""),44726.6666666667)</f>
        <v>44726.6666666667</v>
      </c>
      <c r="B366" s="2" t="n">
        <f aca="false">IFERROR(__xludf.dummyfunction("""COMPUTED_VALUE"""),106.54)</f>
        <v>106.54</v>
      </c>
      <c r="C366" s="2" t="n">
        <f aca="false">IFERROR(__xludf.dummyfunction("""COMPUTED_VALUE"""),107.92)</f>
        <v>107.92</v>
      </c>
      <c r="D366" s="2" t="n">
        <f aca="false">IFERROR(__xludf.dummyfunction("""COMPUTED_VALUE"""),105.8)</f>
        <v>105.8</v>
      </c>
      <c r="E366" s="2" t="n">
        <f aca="false">IFERROR(__xludf.dummyfunction("""COMPUTED_VALUE"""),106.72)</f>
        <v>106.72</v>
      </c>
      <c r="F366" s="2" t="n">
        <f aca="false">IFERROR(__xludf.dummyfunction("""COMPUTED_VALUE"""),1685313)</f>
        <v>1685313</v>
      </c>
    </row>
    <row r="367" customFormat="false" ht="15.75" hidden="false" customHeight="false" outlineLevel="0" collapsed="false">
      <c r="A367" s="3" t="n">
        <f aca="false">IFERROR(__xludf.dummyfunction("""COMPUTED_VALUE"""),44727.6666666667)</f>
        <v>44727.6666666667</v>
      </c>
      <c r="B367" s="2" t="n">
        <f aca="false">IFERROR(__xludf.dummyfunction("""COMPUTED_VALUE"""),108.55)</f>
        <v>108.55</v>
      </c>
      <c r="C367" s="2" t="n">
        <f aca="false">IFERROR(__xludf.dummyfunction("""COMPUTED_VALUE"""),111.42)</f>
        <v>111.42</v>
      </c>
      <c r="D367" s="2" t="n">
        <f aca="false">IFERROR(__xludf.dummyfunction("""COMPUTED_VALUE"""),107.67)</f>
        <v>107.67</v>
      </c>
      <c r="E367" s="2" t="n">
        <f aca="false">IFERROR(__xludf.dummyfunction("""COMPUTED_VALUE"""),109.76)</f>
        <v>109.76</v>
      </c>
      <c r="F367" s="2" t="n">
        <f aca="false">IFERROR(__xludf.dummyfunction("""COMPUTED_VALUE"""),1984909)</f>
        <v>1984909</v>
      </c>
    </row>
    <row r="368" customFormat="false" ht="15.75" hidden="false" customHeight="false" outlineLevel="0" collapsed="false">
      <c r="A368" s="3" t="n">
        <f aca="false">IFERROR(__xludf.dummyfunction("""COMPUTED_VALUE"""),44728.6666666667)</f>
        <v>44728.6666666667</v>
      </c>
      <c r="B368" s="2" t="n">
        <f aca="false">IFERROR(__xludf.dummyfunction("""COMPUTED_VALUE"""),107.22)</f>
        <v>107.22</v>
      </c>
      <c r="C368" s="2" t="n">
        <f aca="false">IFERROR(__xludf.dummyfunction("""COMPUTED_VALUE"""),108.65)</f>
        <v>108.65</v>
      </c>
      <c r="D368" s="2" t="n">
        <f aca="false">IFERROR(__xludf.dummyfunction("""COMPUTED_VALUE"""),105.14)</f>
        <v>105.14</v>
      </c>
      <c r="E368" s="2" t="n">
        <f aca="false">IFERROR(__xludf.dummyfunction("""COMPUTED_VALUE"""),106.03)</f>
        <v>106.03</v>
      </c>
      <c r="F368" s="2" t="n">
        <f aca="false">IFERROR(__xludf.dummyfunction("""COMPUTED_VALUE"""),2584248)</f>
        <v>2584248</v>
      </c>
    </row>
    <row r="369" customFormat="false" ht="15.75" hidden="false" customHeight="false" outlineLevel="0" collapsed="false">
      <c r="A369" s="3" t="n">
        <f aca="false">IFERROR(__xludf.dummyfunction("""COMPUTED_VALUE"""),44729.6666666667)</f>
        <v>44729.6666666667</v>
      </c>
      <c r="B369" s="2" t="n">
        <f aca="false">IFERROR(__xludf.dummyfunction("""COMPUTED_VALUE"""),106.03)</f>
        <v>106.03</v>
      </c>
      <c r="C369" s="2" t="n">
        <f aca="false">IFERROR(__xludf.dummyfunction("""COMPUTED_VALUE"""),108.7)</f>
        <v>108.7</v>
      </c>
      <c r="D369" s="2" t="n">
        <f aca="false">IFERROR(__xludf.dummyfunction("""COMPUTED_VALUE"""),105.05)</f>
        <v>105.05</v>
      </c>
      <c r="E369" s="2" t="n">
        <f aca="false">IFERROR(__xludf.dummyfunction("""COMPUTED_VALUE"""),107.14)</f>
        <v>107.14</v>
      </c>
      <c r="F369" s="2" t="n">
        <f aca="false">IFERROR(__xludf.dummyfunction("""COMPUTED_VALUE"""),2568826)</f>
        <v>2568826</v>
      </c>
    </row>
    <row r="370" customFormat="false" ht="15.75" hidden="false" customHeight="false" outlineLevel="0" collapsed="false">
      <c r="A370" s="3" t="n">
        <f aca="false">IFERROR(__xludf.dummyfunction("""COMPUTED_VALUE"""),44733.6666666667)</f>
        <v>44733.6666666667</v>
      </c>
      <c r="B370" s="2" t="n">
        <f aca="false">IFERROR(__xludf.dummyfunction("""COMPUTED_VALUE"""),108.93)</f>
        <v>108.93</v>
      </c>
      <c r="C370" s="2" t="n">
        <f aca="false">IFERROR(__xludf.dummyfunction("""COMPUTED_VALUE"""),112.49)</f>
        <v>112.49</v>
      </c>
      <c r="D370" s="2" t="n">
        <f aca="false">IFERROR(__xludf.dummyfunction("""COMPUTED_VALUE"""),108.6)</f>
        <v>108.6</v>
      </c>
      <c r="E370" s="2" t="n">
        <f aca="false">IFERROR(__xludf.dummyfunction("""COMPUTED_VALUE"""),111.54)</f>
        <v>111.54</v>
      </c>
      <c r="F370" s="2" t="n">
        <f aca="false">IFERROR(__xludf.dummyfunction("""COMPUTED_VALUE"""),2370790)</f>
        <v>2370790</v>
      </c>
    </row>
    <row r="371" customFormat="false" ht="15.75" hidden="false" customHeight="false" outlineLevel="0" collapsed="false">
      <c r="A371" s="3" t="n">
        <f aca="false">IFERROR(__xludf.dummyfunction("""COMPUTED_VALUE"""),44734.6666666667)</f>
        <v>44734.6666666667</v>
      </c>
      <c r="B371" s="2" t="n">
        <f aca="false">IFERROR(__xludf.dummyfunction("""COMPUTED_VALUE"""),110.56)</f>
        <v>110.56</v>
      </c>
      <c r="C371" s="2" t="n">
        <f aca="false">IFERROR(__xludf.dummyfunction("""COMPUTED_VALUE"""),113.35)</f>
        <v>113.35</v>
      </c>
      <c r="D371" s="2" t="n">
        <f aca="false">IFERROR(__xludf.dummyfunction("""COMPUTED_VALUE"""),110.38)</f>
        <v>110.38</v>
      </c>
      <c r="E371" s="2" t="n">
        <f aca="false">IFERROR(__xludf.dummyfunction("""COMPUTED_VALUE"""),111.49)</f>
        <v>111.49</v>
      </c>
      <c r="F371" s="2" t="n">
        <f aca="false">IFERROR(__xludf.dummyfunction("""COMPUTED_VALUE"""),1538707)</f>
        <v>1538707</v>
      </c>
    </row>
    <row r="372" customFormat="false" ht="15.75" hidden="false" customHeight="false" outlineLevel="0" collapsed="false">
      <c r="A372" s="3" t="n">
        <f aca="false">IFERROR(__xludf.dummyfunction("""COMPUTED_VALUE"""),44735.6666666667)</f>
        <v>44735.6666666667</v>
      </c>
      <c r="B372" s="2" t="n">
        <f aca="false">IFERROR(__xludf.dummyfunction("""COMPUTED_VALUE"""),112.23)</f>
        <v>112.23</v>
      </c>
      <c r="C372" s="2" t="n">
        <f aca="false">IFERROR(__xludf.dummyfunction("""COMPUTED_VALUE"""),112.74)</f>
        <v>112.74</v>
      </c>
      <c r="D372" s="2" t="n">
        <f aca="false">IFERROR(__xludf.dummyfunction("""COMPUTED_VALUE"""),110.5)</f>
        <v>110.5</v>
      </c>
      <c r="E372" s="2" t="n">
        <f aca="false">IFERROR(__xludf.dummyfunction("""COMPUTED_VALUE"""),112.24)</f>
        <v>112.24</v>
      </c>
      <c r="F372" s="2" t="n">
        <f aca="false">IFERROR(__xludf.dummyfunction("""COMPUTED_VALUE"""),1418096)</f>
        <v>1418096</v>
      </c>
    </row>
    <row r="373" customFormat="false" ht="15.75" hidden="false" customHeight="false" outlineLevel="0" collapsed="false">
      <c r="A373" s="3" t="n">
        <f aca="false">IFERROR(__xludf.dummyfunction("""COMPUTED_VALUE"""),44736.6666666667)</f>
        <v>44736.6666666667</v>
      </c>
      <c r="B373" s="2" t="n">
        <f aca="false">IFERROR(__xludf.dummyfunction("""COMPUTED_VALUE"""),113)</f>
        <v>113</v>
      </c>
      <c r="C373" s="2" t="n">
        <f aca="false">IFERROR(__xludf.dummyfunction("""COMPUTED_VALUE"""),118.08)</f>
        <v>118.08</v>
      </c>
      <c r="D373" s="2" t="n">
        <f aca="false">IFERROR(__xludf.dummyfunction("""COMPUTED_VALUE"""),112.95)</f>
        <v>112.95</v>
      </c>
      <c r="E373" s="2" t="n">
        <f aca="false">IFERROR(__xludf.dummyfunction("""COMPUTED_VALUE"""),117.98)</f>
        <v>117.98</v>
      </c>
      <c r="F373" s="2" t="n">
        <f aca="false">IFERROR(__xludf.dummyfunction("""COMPUTED_VALUE"""),2058184)</f>
        <v>2058184</v>
      </c>
    </row>
    <row r="374" customFormat="false" ht="15.75" hidden="false" customHeight="false" outlineLevel="0" collapsed="false">
      <c r="A374" s="3" t="n">
        <f aca="false">IFERROR(__xludf.dummyfunction("""COMPUTED_VALUE"""),44739.6666666667)</f>
        <v>44739.6666666667</v>
      </c>
      <c r="B374" s="2" t="n">
        <f aca="false">IFERROR(__xludf.dummyfunction("""COMPUTED_VALUE"""),118.27)</f>
        <v>118.27</v>
      </c>
      <c r="C374" s="2" t="n">
        <f aca="false">IFERROR(__xludf.dummyfunction("""COMPUTED_VALUE"""),118.58)</f>
        <v>118.58</v>
      </c>
      <c r="D374" s="2" t="n">
        <f aca="false">IFERROR(__xludf.dummyfunction("""COMPUTED_VALUE"""),115.18)</f>
        <v>115.18</v>
      </c>
      <c r="E374" s="2" t="n">
        <f aca="false">IFERROR(__xludf.dummyfunction("""COMPUTED_VALUE"""),115.83)</f>
        <v>115.83</v>
      </c>
      <c r="F374" s="2" t="n">
        <f aca="false">IFERROR(__xludf.dummyfunction("""COMPUTED_VALUE"""),1821038)</f>
        <v>1821038</v>
      </c>
    </row>
    <row r="375" customFormat="false" ht="15.75" hidden="false" customHeight="false" outlineLevel="0" collapsed="false">
      <c r="A375" s="3" t="n">
        <f aca="false">IFERROR(__xludf.dummyfunction("""COMPUTED_VALUE"""),44740.6666666667)</f>
        <v>44740.6666666667</v>
      </c>
      <c r="B375" s="2" t="n">
        <f aca="false">IFERROR(__xludf.dummyfunction("""COMPUTED_VALUE"""),115.8)</f>
        <v>115.8</v>
      </c>
      <c r="C375" s="2" t="n">
        <f aca="false">IFERROR(__xludf.dummyfunction("""COMPUTED_VALUE"""),117.31)</f>
        <v>117.31</v>
      </c>
      <c r="D375" s="2" t="n">
        <f aca="false">IFERROR(__xludf.dummyfunction("""COMPUTED_VALUE"""),111.85)</f>
        <v>111.85</v>
      </c>
      <c r="E375" s="2" t="n">
        <f aca="false">IFERROR(__xludf.dummyfunction("""COMPUTED_VALUE"""),112.01)</f>
        <v>112.01</v>
      </c>
      <c r="F375" s="2" t="n">
        <f aca="false">IFERROR(__xludf.dummyfunction("""COMPUTED_VALUE"""),1794048)</f>
        <v>1794048</v>
      </c>
    </row>
    <row r="376" customFormat="false" ht="15.75" hidden="false" customHeight="false" outlineLevel="0" collapsed="false">
      <c r="A376" s="3" t="n">
        <f aca="false">IFERROR(__xludf.dummyfunction("""COMPUTED_VALUE"""),44741.6666666667)</f>
        <v>44741.6666666667</v>
      </c>
      <c r="B376" s="2" t="n">
        <f aca="false">IFERROR(__xludf.dummyfunction("""COMPUTED_VALUE"""),111.55)</f>
        <v>111.55</v>
      </c>
      <c r="C376" s="2" t="n">
        <f aca="false">IFERROR(__xludf.dummyfunction("""COMPUTED_VALUE"""),113.16)</f>
        <v>113.16</v>
      </c>
      <c r="D376" s="2" t="n">
        <f aca="false">IFERROR(__xludf.dummyfunction("""COMPUTED_VALUE"""),110.87)</f>
        <v>110.87</v>
      </c>
      <c r="E376" s="2" t="n">
        <f aca="false">IFERROR(__xludf.dummyfunction("""COMPUTED_VALUE"""),111.7)</f>
        <v>111.7</v>
      </c>
      <c r="F376" s="2" t="n">
        <f aca="false">IFERROR(__xludf.dummyfunction("""COMPUTED_VALUE"""),1235841)</f>
        <v>1235841</v>
      </c>
    </row>
    <row r="377" customFormat="false" ht="15.75" hidden="false" customHeight="false" outlineLevel="0" collapsed="false">
      <c r="A377" s="3" t="n">
        <f aca="false">IFERROR(__xludf.dummyfunction("""COMPUTED_VALUE"""),44742.6666666667)</f>
        <v>44742.6666666667</v>
      </c>
      <c r="B377" s="2" t="n">
        <f aca="false">IFERROR(__xludf.dummyfunction("""COMPUTED_VALUE"""),110)</f>
        <v>110</v>
      </c>
      <c r="C377" s="2" t="n">
        <f aca="false">IFERROR(__xludf.dummyfunction("""COMPUTED_VALUE"""),110.89)</f>
        <v>110.89</v>
      </c>
      <c r="D377" s="2" t="n">
        <f aca="false">IFERROR(__xludf.dummyfunction("""COMPUTED_VALUE"""),106.75)</f>
        <v>106.75</v>
      </c>
      <c r="E377" s="2" t="n">
        <f aca="false">IFERROR(__xludf.dummyfunction("""COMPUTED_VALUE"""),108.96)</f>
        <v>108.96</v>
      </c>
      <c r="F377" s="2" t="n">
        <f aca="false">IFERROR(__xludf.dummyfunction("""COMPUTED_VALUE"""),2158453)</f>
        <v>2158453</v>
      </c>
    </row>
    <row r="378" customFormat="false" ht="15.75" hidden="false" customHeight="false" outlineLevel="0" collapsed="false">
      <c r="A378" s="3" t="n">
        <f aca="false">IFERROR(__xludf.dummyfunction("""COMPUTED_VALUE"""),44743.6666666667)</f>
        <v>44743.6666666667</v>
      </c>
      <c r="B378" s="2" t="n">
        <f aca="false">IFERROR(__xludf.dummyfunction("""COMPUTED_VALUE"""),107.93)</f>
        <v>107.93</v>
      </c>
      <c r="C378" s="2" t="n">
        <f aca="false">IFERROR(__xludf.dummyfunction("""COMPUTED_VALUE"""),109.25)</f>
        <v>109.25</v>
      </c>
      <c r="D378" s="2" t="n">
        <f aca="false">IFERROR(__xludf.dummyfunction("""COMPUTED_VALUE"""),106.73)</f>
        <v>106.73</v>
      </c>
      <c r="E378" s="2" t="n">
        <f aca="false">IFERROR(__xludf.dummyfunction("""COMPUTED_VALUE"""),108.74)</f>
        <v>108.74</v>
      </c>
      <c r="F378" s="2" t="n">
        <f aca="false">IFERROR(__xludf.dummyfunction("""COMPUTED_VALUE"""),1773783)</f>
        <v>1773783</v>
      </c>
    </row>
    <row r="379" customFormat="false" ht="15.75" hidden="false" customHeight="false" outlineLevel="0" collapsed="false">
      <c r="A379" s="3" t="n">
        <f aca="false">IFERROR(__xludf.dummyfunction("""COMPUTED_VALUE"""),44747.6666666667)</f>
        <v>44747.6666666667</v>
      </c>
      <c r="B379" s="2" t="n">
        <f aca="false">IFERROR(__xludf.dummyfunction("""COMPUTED_VALUE"""),107.1)</f>
        <v>107.1</v>
      </c>
      <c r="C379" s="2" t="n">
        <f aca="false">IFERROR(__xludf.dummyfunction("""COMPUTED_VALUE"""),113.38)</f>
        <v>113.38</v>
      </c>
      <c r="D379" s="2" t="n">
        <f aca="false">IFERROR(__xludf.dummyfunction("""COMPUTED_VALUE"""),105.73)</f>
        <v>105.73</v>
      </c>
      <c r="E379" s="2" t="n">
        <f aca="false">IFERROR(__xludf.dummyfunction("""COMPUTED_VALUE"""),113.26)</f>
        <v>113.26</v>
      </c>
      <c r="F379" s="2" t="n">
        <f aca="false">IFERROR(__xludf.dummyfunction("""COMPUTED_VALUE"""),1969982)</f>
        <v>1969982</v>
      </c>
    </row>
    <row r="380" customFormat="false" ht="15.75" hidden="false" customHeight="false" outlineLevel="0" collapsed="false">
      <c r="A380" s="3" t="n">
        <f aca="false">IFERROR(__xludf.dummyfunction("""COMPUTED_VALUE"""),44748.6666666667)</f>
        <v>44748.6666666667</v>
      </c>
      <c r="B380" s="2" t="n">
        <f aca="false">IFERROR(__xludf.dummyfunction("""COMPUTED_VALUE"""),113.3)</f>
        <v>113.3</v>
      </c>
      <c r="C380" s="2" t="n">
        <f aca="false">IFERROR(__xludf.dummyfunction("""COMPUTED_VALUE"""),115.59)</f>
        <v>115.59</v>
      </c>
      <c r="D380" s="2" t="n">
        <f aca="false">IFERROR(__xludf.dummyfunction("""COMPUTED_VALUE"""),111.48)</f>
        <v>111.48</v>
      </c>
      <c r="E380" s="2" t="n">
        <f aca="false">IFERROR(__xludf.dummyfunction("""COMPUTED_VALUE"""),114.57)</f>
        <v>114.57</v>
      </c>
      <c r="F380" s="2" t="n">
        <f aca="false">IFERROR(__xludf.dummyfunction("""COMPUTED_VALUE"""),1871569)</f>
        <v>1871569</v>
      </c>
    </row>
    <row r="381" customFormat="false" ht="15.75" hidden="false" customHeight="false" outlineLevel="0" collapsed="false">
      <c r="A381" s="3" t="n">
        <f aca="false">IFERROR(__xludf.dummyfunction("""COMPUTED_VALUE"""),44749.6666666667)</f>
        <v>44749.6666666667</v>
      </c>
      <c r="B381" s="2" t="n">
        <f aca="false">IFERROR(__xludf.dummyfunction("""COMPUTED_VALUE"""),115.08)</f>
        <v>115.08</v>
      </c>
      <c r="C381" s="2" t="n">
        <f aca="false">IFERROR(__xludf.dummyfunction("""COMPUTED_VALUE"""),119.19)</f>
        <v>119.19</v>
      </c>
      <c r="D381" s="2" t="n">
        <f aca="false">IFERROR(__xludf.dummyfunction("""COMPUTED_VALUE"""),114.83)</f>
        <v>114.83</v>
      </c>
      <c r="E381" s="2" t="n">
        <f aca="false">IFERROR(__xludf.dummyfunction("""COMPUTED_VALUE"""),118.78)</f>
        <v>118.78</v>
      </c>
      <c r="F381" s="2" t="n">
        <f aca="false">IFERROR(__xludf.dummyfunction("""COMPUTED_VALUE"""),2046794)</f>
        <v>2046794</v>
      </c>
    </row>
    <row r="382" customFormat="false" ht="15.75" hidden="false" customHeight="false" outlineLevel="0" collapsed="false">
      <c r="A382" s="3" t="n">
        <f aca="false">IFERROR(__xludf.dummyfunction("""COMPUTED_VALUE"""),44750.6666666667)</f>
        <v>44750.6666666667</v>
      </c>
      <c r="B382" s="2" t="n">
        <f aca="false">IFERROR(__xludf.dummyfunction("""COMPUTED_VALUE"""),117.25)</f>
        <v>117.25</v>
      </c>
      <c r="C382" s="2" t="n">
        <f aca="false">IFERROR(__xludf.dummyfunction("""COMPUTED_VALUE"""),119.69)</f>
        <v>119.69</v>
      </c>
      <c r="D382" s="2" t="n">
        <f aca="false">IFERROR(__xludf.dummyfunction("""COMPUTED_VALUE"""),116.9)</f>
        <v>116.9</v>
      </c>
      <c r="E382" s="2" t="n">
        <f aca="false">IFERROR(__xludf.dummyfunction("""COMPUTED_VALUE"""),119.35)</f>
        <v>119.35</v>
      </c>
      <c r="F382" s="2" t="n">
        <f aca="false">IFERROR(__xludf.dummyfunction("""COMPUTED_VALUE"""),1911908)</f>
        <v>1911908</v>
      </c>
    </row>
    <row r="383" customFormat="false" ht="15.75" hidden="false" customHeight="false" outlineLevel="0" collapsed="false">
      <c r="A383" s="3" t="n">
        <f aca="false">IFERROR(__xludf.dummyfunction("""COMPUTED_VALUE"""),44753.6666666667)</f>
        <v>44753.6666666667</v>
      </c>
      <c r="B383" s="2" t="n">
        <f aca="false">IFERROR(__xludf.dummyfunction("""COMPUTED_VALUE"""),118)</f>
        <v>118</v>
      </c>
      <c r="C383" s="2" t="n">
        <f aca="false">IFERROR(__xludf.dummyfunction("""COMPUTED_VALUE"""),118)</f>
        <v>118</v>
      </c>
      <c r="D383" s="2" t="n">
        <f aca="false">IFERROR(__xludf.dummyfunction("""COMPUTED_VALUE"""),115.33)</f>
        <v>115.33</v>
      </c>
      <c r="E383" s="2" t="n">
        <f aca="false">IFERROR(__xludf.dummyfunction("""COMPUTED_VALUE"""),115.68)</f>
        <v>115.68</v>
      </c>
      <c r="F383" s="2" t="n">
        <f aca="false">IFERROR(__xludf.dummyfunction("""COMPUTED_VALUE"""),1562185)</f>
        <v>1562185</v>
      </c>
    </row>
    <row r="384" customFormat="false" ht="15.75" hidden="false" customHeight="false" outlineLevel="0" collapsed="false">
      <c r="A384" s="3" t="n">
        <f aca="false">IFERROR(__xludf.dummyfunction("""COMPUTED_VALUE"""),44754.6666666667)</f>
        <v>44754.6666666667</v>
      </c>
      <c r="B384" s="2" t="n">
        <f aca="false">IFERROR(__xludf.dummyfunction("""COMPUTED_VALUE"""),116.22)</f>
        <v>116.22</v>
      </c>
      <c r="C384" s="2" t="n">
        <f aca="false">IFERROR(__xludf.dummyfunction("""COMPUTED_VALUE"""),116.97)</f>
        <v>116.97</v>
      </c>
      <c r="D384" s="2" t="n">
        <f aca="false">IFERROR(__xludf.dummyfunction("""COMPUTED_VALUE"""),113.69)</f>
        <v>113.69</v>
      </c>
      <c r="E384" s="2" t="n">
        <f aca="false">IFERROR(__xludf.dummyfunction("""COMPUTED_VALUE"""),114.02)</f>
        <v>114.02</v>
      </c>
      <c r="F384" s="2" t="n">
        <f aca="false">IFERROR(__xludf.dummyfunction("""COMPUTED_VALUE"""),1497985)</f>
        <v>1497985</v>
      </c>
    </row>
    <row r="385" customFormat="false" ht="15.75" hidden="false" customHeight="false" outlineLevel="0" collapsed="false">
      <c r="A385" s="3" t="n">
        <f aca="false">IFERROR(__xludf.dummyfunction("""COMPUTED_VALUE"""),44755.6666666667)</f>
        <v>44755.6666666667</v>
      </c>
      <c r="B385" s="2" t="n">
        <f aca="false">IFERROR(__xludf.dummyfunction("""COMPUTED_VALUE"""),111.7)</f>
        <v>111.7</v>
      </c>
      <c r="C385" s="2" t="n">
        <f aca="false">IFERROR(__xludf.dummyfunction("""COMPUTED_VALUE"""),114.2)</f>
        <v>114.2</v>
      </c>
      <c r="D385" s="2" t="n">
        <f aca="false">IFERROR(__xludf.dummyfunction("""COMPUTED_VALUE"""),111.2)</f>
        <v>111.2</v>
      </c>
      <c r="E385" s="2" t="n">
        <f aca="false">IFERROR(__xludf.dummyfunction("""COMPUTED_VALUE"""),111.35)</f>
        <v>111.35</v>
      </c>
      <c r="F385" s="2" t="n">
        <f aca="false">IFERROR(__xludf.dummyfunction("""COMPUTED_VALUE"""),2186101)</f>
        <v>2186101</v>
      </c>
    </row>
    <row r="386" customFormat="false" ht="15.75" hidden="false" customHeight="false" outlineLevel="0" collapsed="false">
      <c r="A386" s="3" t="n">
        <f aca="false">IFERROR(__xludf.dummyfunction("""COMPUTED_VALUE"""),44756.6666666667)</f>
        <v>44756.6666666667</v>
      </c>
      <c r="B386" s="2" t="n">
        <f aca="false">IFERROR(__xludf.dummyfunction("""COMPUTED_VALUE"""),110.21)</f>
        <v>110.21</v>
      </c>
      <c r="C386" s="2" t="n">
        <f aca="false">IFERROR(__xludf.dummyfunction("""COMPUTED_VALUE"""),111.09)</f>
        <v>111.09</v>
      </c>
      <c r="D386" s="2" t="n">
        <f aca="false">IFERROR(__xludf.dummyfunction("""COMPUTED_VALUE"""),108.37)</f>
        <v>108.37</v>
      </c>
      <c r="E386" s="2" t="n">
        <f aca="false">IFERROR(__xludf.dummyfunction("""COMPUTED_VALUE"""),110.37)</f>
        <v>110.37</v>
      </c>
      <c r="F386" s="2" t="n">
        <f aca="false">IFERROR(__xludf.dummyfunction("""COMPUTED_VALUE"""),1850152)</f>
        <v>1850152</v>
      </c>
    </row>
    <row r="387" customFormat="false" ht="15.75" hidden="false" customHeight="false" outlineLevel="0" collapsed="false">
      <c r="A387" s="3" t="n">
        <f aca="false">IFERROR(__xludf.dummyfunction("""COMPUTED_VALUE"""),44757.6666666667)</f>
        <v>44757.6666666667</v>
      </c>
      <c r="B387" s="2" t="n">
        <f aca="false">IFERROR(__xludf.dummyfunction("""COMPUTED_VALUE"""),112)</f>
        <v>112</v>
      </c>
      <c r="C387" s="2" t="n">
        <f aca="false">IFERROR(__xludf.dummyfunction("""COMPUTED_VALUE"""),113.14)</f>
        <v>113.14</v>
      </c>
      <c r="D387" s="2" t="n">
        <f aca="false">IFERROR(__xludf.dummyfunction("""COMPUTED_VALUE"""),110.9)</f>
        <v>110.9</v>
      </c>
      <c r="E387" s="2" t="n">
        <f aca="false">IFERROR(__xludf.dummyfunction("""COMPUTED_VALUE"""),111.78)</f>
        <v>111.78</v>
      </c>
      <c r="F387" s="2" t="n">
        <f aca="false">IFERROR(__xludf.dummyfunction("""COMPUTED_VALUE"""),2338456)</f>
        <v>2338456</v>
      </c>
    </row>
    <row r="388" customFormat="false" ht="15.75" hidden="false" customHeight="false" outlineLevel="0" collapsed="false">
      <c r="A388" s="3" t="n">
        <f aca="false">IFERROR(__xludf.dummyfunction("""COMPUTED_VALUE"""),44760.6666666667)</f>
        <v>44760.6666666667</v>
      </c>
      <c r="B388" s="2" t="n">
        <f aca="false">IFERROR(__xludf.dummyfunction("""COMPUTED_VALUE"""),112.64)</f>
        <v>112.64</v>
      </c>
      <c r="C388" s="2" t="n">
        <f aca="false">IFERROR(__xludf.dummyfunction("""COMPUTED_VALUE"""),113.68)</f>
        <v>113.68</v>
      </c>
      <c r="D388" s="2" t="n">
        <f aca="false">IFERROR(__xludf.dummyfunction("""COMPUTED_VALUE"""),108.37)</f>
        <v>108.37</v>
      </c>
      <c r="E388" s="2" t="n">
        <f aca="false">IFERROR(__xludf.dummyfunction("""COMPUTED_VALUE"""),109.03)</f>
        <v>109.03</v>
      </c>
      <c r="F388" s="2" t="n">
        <f aca="false">IFERROR(__xludf.dummyfunction("""COMPUTED_VALUE"""),43164588)</f>
        <v>43164588</v>
      </c>
    </row>
    <row r="389" customFormat="false" ht="15.75" hidden="false" customHeight="false" outlineLevel="0" collapsed="false">
      <c r="A389" s="3" t="n">
        <f aca="false">IFERROR(__xludf.dummyfunction("""COMPUTED_VALUE"""),44761.6666666667)</f>
        <v>44761.6666666667</v>
      </c>
      <c r="B389" s="2" t="n">
        <f aca="false">IFERROR(__xludf.dummyfunction("""COMPUTED_VALUE"""),110.85)</f>
        <v>110.85</v>
      </c>
      <c r="C389" s="2" t="n">
        <f aca="false">IFERROR(__xludf.dummyfunction("""COMPUTED_VALUE"""),114.02)</f>
        <v>114.02</v>
      </c>
      <c r="D389" s="2" t="n">
        <f aca="false">IFERROR(__xludf.dummyfunction("""COMPUTED_VALUE"""),109.56)</f>
        <v>109.56</v>
      </c>
      <c r="E389" s="2" t="n">
        <f aca="false">IFERROR(__xludf.dummyfunction("""COMPUTED_VALUE"""),113.81)</f>
        <v>113.81</v>
      </c>
      <c r="F389" s="2" t="n">
        <f aca="false">IFERROR(__xludf.dummyfunction("""COMPUTED_VALUE"""),36530945)</f>
        <v>36530945</v>
      </c>
    </row>
    <row r="390" customFormat="false" ht="15.75" hidden="false" customHeight="false" outlineLevel="0" collapsed="false">
      <c r="A390" s="3" t="n">
        <f aca="false">IFERROR(__xludf.dummyfunction("""COMPUTED_VALUE"""),44762.6666666667)</f>
        <v>44762.6666666667</v>
      </c>
      <c r="B390" s="2" t="n">
        <f aca="false">IFERROR(__xludf.dummyfunction("""COMPUTED_VALUE"""),113.17)</f>
        <v>113.17</v>
      </c>
      <c r="C390" s="2" t="n">
        <f aca="false">IFERROR(__xludf.dummyfunction("""COMPUTED_VALUE"""),115.4)</f>
        <v>115.4</v>
      </c>
      <c r="D390" s="2" t="n">
        <f aca="false">IFERROR(__xludf.dummyfunction("""COMPUTED_VALUE"""),112.48)</f>
        <v>112.48</v>
      </c>
      <c r="E390" s="2" t="n">
        <f aca="false">IFERROR(__xludf.dummyfunction("""COMPUTED_VALUE"""),113.9)</f>
        <v>113.9</v>
      </c>
      <c r="F390" s="2" t="n">
        <f aca="false">IFERROR(__xludf.dummyfunction("""COMPUTED_VALUE"""),35600426)</f>
        <v>35600426</v>
      </c>
    </row>
    <row r="391" customFormat="false" ht="15.75" hidden="false" customHeight="false" outlineLevel="0" collapsed="false">
      <c r="A391" s="3" t="n">
        <f aca="false">IFERROR(__xludf.dummyfunction("""COMPUTED_VALUE"""),44763.6666666667)</f>
        <v>44763.6666666667</v>
      </c>
      <c r="B391" s="2" t="n">
        <f aca="false">IFERROR(__xludf.dummyfunction("""COMPUTED_VALUE"""),114.28)</f>
        <v>114.28</v>
      </c>
      <c r="C391" s="2" t="n">
        <f aca="false">IFERROR(__xludf.dummyfunction("""COMPUTED_VALUE"""),114.55)</f>
        <v>114.55</v>
      </c>
      <c r="D391" s="2" t="n">
        <f aca="false">IFERROR(__xludf.dummyfunction("""COMPUTED_VALUE"""),111.11)</f>
        <v>111.11</v>
      </c>
      <c r="E391" s="2" t="n">
        <f aca="false">IFERROR(__xludf.dummyfunction("""COMPUTED_VALUE"""),114.34)</f>
        <v>114.34</v>
      </c>
      <c r="F391" s="2" t="n">
        <f aca="false">IFERROR(__xludf.dummyfunction("""COMPUTED_VALUE"""),32676166)</f>
        <v>32676166</v>
      </c>
    </row>
    <row r="392" customFormat="false" ht="15.75" hidden="false" customHeight="false" outlineLevel="0" collapsed="false">
      <c r="A392" s="3" t="n">
        <f aca="false">IFERROR(__xludf.dummyfunction("""COMPUTED_VALUE"""),44764.6666666667)</f>
        <v>44764.6666666667</v>
      </c>
      <c r="B392" s="2" t="n">
        <f aca="false">IFERROR(__xludf.dummyfunction("""COMPUTED_VALUE"""),111)</f>
        <v>111</v>
      </c>
      <c r="C392" s="2" t="n">
        <f aca="false">IFERROR(__xludf.dummyfunction("""COMPUTED_VALUE"""),112.34)</f>
        <v>112.34</v>
      </c>
      <c r="D392" s="2" t="n">
        <f aca="false">IFERROR(__xludf.dummyfunction("""COMPUTED_VALUE"""),106.5)</f>
        <v>106.5</v>
      </c>
      <c r="E392" s="2" t="n">
        <f aca="false">IFERROR(__xludf.dummyfunction("""COMPUTED_VALUE"""),107.9)</f>
        <v>107.9</v>
      </c>
      <c r="F392" s="2" t="n">
        <f aca="false">IFERROR(__xludf.dummyfunction("""COMPUTED_VALUE"""),48901184)</f>
        <v>48901184</v>
      </c>
    </row>
    <row r="393" customFormat="false" ht="15.75" hidden="false" customHeight="false" outlineLevel="0" collapsed="false">
      <c r="A393" s="3" t="n">
        <f aca="false">IFERROR(__xludf.dummyfunction("""COMPUTED_VALUE"""),44767.6666666667)</f>
        <v>44767.6666666667</v>
      </c>
      <c r="B393" s="2" t="n">
        <f aca="false">IFERROR(__xludf.dummyfunction("""COMPUTED_VALUE"""),108.41)</f>
        <v>108.41</v>
      </c>
      <c r="C393" s="2" t="n">
        <f aca="false">IFERROR(__xludf.dummyfunction("""COMPUTED_VALUE"""),109.87)</f>
        <v>109.87</v>
      </c>
      <c r="D393" s="2" t="n">
        <f aca="false">IFERROR(__xludf.dummyfunction("""COMPUTED_VALUE"""),106.3)</f>
        <v>106.3</v>
      </c>
      <c r="E393" s="2" t="n">
        <f aca="false">IFERROR(__xludf.dummyfunction("""COMPUTED_VALUE"""),107.51)</f>
        <v>107.51</v>
      </c>
      <c r="F393" s="2" t="n">
        <f aca="false">IFERROR(__xludf.dummyfunction("""COMPUTED_VALUE"""),34690894)</f>
        <v>34690894</v>
      </c>
    </row>
    <row r="394" customFormat="false" ht="15.75" hidden="false" customHeight="false" outlineLevel="0" collapsed="false">
      <c r="A394" s="3" t="n">
        <f aca="false">IFERROR(__xludf.dummyfunction("""COMPUTED_VALUE"""),44768.6666666667)</f>
        <v>44768.6666666667</v>
      </c>
      <c r="B394" s="2" t="n">
        <f aca="false">IFERROR(__xludf.dummyfunction("""COMPUTED_VALUE"""),106.6)</f>
        <v>106.6</v>
      </c>
      <c r="C394" s="2" t="n">
        <f aca="false">IFERROR(__xludf.dummyfunction("""COMPUTED_VALUE"""),107.2)</f>
        <v>107.2</v>
      </c>
      <c r="D394" s="2" t="n">
        <f aca="false">IFERROR(__xludf.dummyfunction("""COMPUTED_VALUE"""),104.07)</f>
        <v>104.07</v>
      </c>
      <c r="E394" s="2" t="n">
        <f aca="false">IFERROR(__xludf.dummyfunction("""COMPUTED_VALUE"""),105.02)</f>
        <v>105.02</v>
      </c>
      <c r="F394" s="2" t="n">
        <f aca="false">IFERROR(__xludf.dummyfunction("""COMPUTED_VALUE"""),47990963)</f>
        <v>47990963</v>
      </c>
    </row>
    <row r="395" customFormat="false" ht="15.75" hidden="false" customHeight="false" outlineLevel="0" collapsed="false">
      <c r="A395" s="3" t="n">
        <f aca="false">IFERROR(__xludf.dummyfunction("""COMPUTED_VALUE"""),44769.6666666667)</f>
        <v>44769.6666666667</v>
      </c>
      <c r="B395" s="2" t="n">
        <f aca="false">IFERROR(__xludf.dummyfunction("""COMPUTED_VALUE"""),109.26)</f>
        <v>109.26</v>
      </c>
      <c r="C395" s="2" t="n">
        <f aca="false">IFERROR(__xludf.dummyfunction("""COMPUTED_VALUE"""),113.91)</f>
        <v>113.91</v>
      </c>
      <c r="D395" s="2" t="n">
        <f aca="false">IFERROR(__xludf.dummyfunction("""COMPUTED_VALUE"""),108.01)</f>
        <v>108.01</v>
      </c>
      <c r="E395" s="2" t="n">
        <f aca="false">IFERROR(__xludf.dummyfunction("""COMPUTED_VALUE"""),113.06)</f>
        <v>113.06</v>
      </c>
      <c r="F395" s="2" t="n">
        <f aca="false">IFERROR(__xludf.dummyfunction("""COMPUTED_VALUE"""),59858495)</f>
        <v>59858495</v>
      </c>
    </row>
    <row r="396" customFormat="false" ht="15.75" hidden="false" customHeight="false" outlineLevel="0" collapsed="false">
      <c r="A396" s="3" t="n">
        <f aca="false">IFERROR(__xludf.dummyfunction("""COMPUTED_VALUE"""),44770.6666666667)</f>
        <v>44770.6666666667</v>
      </c>
      <c r="B396" s="2" t="n">
        <f aca="false">IFERROR(__xludf.dummyfunction("""COMPUTED_VALUE"""),112.37)</f>
        <v>112.37</v>
      </c>
      <c r="C396" s="2" t="n">
        <f aca="false">IFERROR(__xludf.dummyfunction("""COMPUTED_VALUE"""),114.34)</f>
        <v>114.34</v>
      </c>
      <c r="D396" s="2" t="n">
        <f aca="false">IFERROR(__xludf.dummyfunction("""COMPUTED_VALUE"""),111.46)</f>
        <v>111.46</v>
      </c>
      <c r="E396" s="2" t="n">
        <f aca="false">IFERROR(__xludf.dummyfunction("""COMPUTED_VALUE"""),114.22)</f>
        <v>114.22</v>
      </c>
      <c r="F396" s="2" t="n">
        <f aca="false">IFERROR(__xludf.dummyfunction("""COMPUTED_VALUE"""),32816568)</f>
        <v>32816568</v>
      </c>
    </row>
    <row r="397" customFormat="false" ht="15.75" hidden="false" customHeight="false" outlineLevel="0" collapsed="false">
      <c r="A397" s="3" t="n">
        <f aca="false">IFERROR(__xludf.dummyfunction("""COMPUTED_VALUE"""),44771.6666666667)</f>
        <v>44771.6666666667</v>
      </c>
      <c r="B397" s="2" t="n">
        <f aca="false">IFERROR(__xludf.dummyfunction("""COMPUTED_VALUE"""),113.08)</f>
        <v>113.08</v>
      </c>
      <c r="C397" s="2" t="n">
        <f aca="false">IFERROR(__xludf.dummyfunction("""COMPUTED_VALUE"""),116.71)</f>
        <v>116.71</v>
      </c>
      <c r="D397" s="2" t="n">
        <f aca="false">IFERROR(__xludf.dummyfunction("""COMPUTED_VALUE"""),113.06)</f>
        <v>113.06</v>
      </c>
      <c r="E397" s="2" t="n">
        <f aca="false">IFERROR(__xludf.dummyfunction("""COMPUTED_VALUE"""),116.32)</f>
        <v>116.32</v>
      </c>
      <c r="F397" s="2" t="n">
        <f aca="false">IFERROR(__xludf.dummyfunction("""COMPUTED_VALUE"""),37223391)</f>
        <v>37223391</v>
      </c>
    </row>
    <row r="398" customFormat="false" ht="15.75" hidden="false" customHeight="false" outlineLevel="0" collapsed="false">
      <c r="A398" s="3" t="n">
        <f aca="false">IFERROR(__xludf.dummyfunction("""COMPUTED_VALUE"""),44774.6666666667)</f>
        <v>44774.6666666667</v>
      </c>
      <c r="B398" s="2" t="n">
        <f aca="false">IFERROR(__xludf.dummyfunction("""COMPUTED_VALUE"""),115.3)</f>
        <v>115.3</v>
      </c>
      <c r="C398" s="2" t="n">
        <f aca="false">IFERROR(__xludf.dummyfunction("""COMPUTED_VALUE"""),116.72)</f>
        <v>116.72</v>
      </c>
      <c r="D398" s="2" t="n">
        <f aca="false">IFERROR(__xludf.dummyfunction("""COMPUTED_VALUE"""),114.34)</f>
        <v>114.34</v>
      </c>
      <c r="E398" s="2" t="n">
        <f aca="false">IFERROR(__xludf.dummyfunction("""COMPUTED_VALUE"""),114.86)</f>
        <v>114.86</v>
      </c>
      <c r="F398" s="2" t="n">
        <f aca="false">IFERROR(__xludf.dummyfunction("""COMPUTED_VALUE"""),26034288)</f>
        <v>26034288</v>
      </c>
    </row>
    <row r="399" customFormat="false" ht="15.75" hidden="false" customHeight="false" outlineLevel="0" collapsed="false">
      <c r="A399" s="3" t="n">
        <f aca="false">IFERROR(__xludf.dummyfunction("""COMPUTED_VALUE"""),44775.6666666667)</f>
        <v>44775.6666666667</v>
      </c>
      <c r="B399" s="2" t="n">
        <f aca="false">IFERROR(__xludf.dummyfunction("""COMPUTED_VALUE"""),114)</f>
        <v>114</v>
      </c>
      <c r="C399" s="2" t="n">
        <f aca="false">IFERROR(__xludf.dummyfunction("""COMPUTED_VALUE"""),116.35)</f>
        <v>116.35</v>
      </c>
      <c r="D399" s="2" t="n">
        <f aca="false">IFERROR(__xludf.dummyfunction("""COMPUTED_VALUE"""),113.72)</f>
        <v>113.72</v>
      </c>
      <c r="E399" s="2" t="n">
        <f aca="false">IFERROR(__xludf.dummyfunction("""COMPUTED_VALUE"""),115.13)</f>
        <v>115.13</v>
      </c>
      <c r="F399" s="2" t="n">
        <f aca="false">IFERROR(__xludf.dummyfunction("""COMPUTED_VALUE"""),20236029)</f>
        <v>20236029</v>
      </c>
    </row>
    <row r="400" customFormat="false" ht="15.75" hidden="false" customHeight="false" outlineLevel="0" collapsed="false">
      <c r="A400" s="3" t="n">
        <f aca="false">IFERROR(__xludf.dummyfunction("""COMPUTED_VALUE"""),44776.6666666667)</f>
        <v>44776.6666666667</v>
      </c>
      <c r="B400" s="2" t="n">
        <f aca="false">IFERROR(__xludf.dummyfunction("""COMPUTED_VALUE"""),115.71)</f>
        <v>115.71</v>
      </c>
      <c r="C400" s="2" t="n">
        <f aca="false">IFERROR(__xludf.dummyfunction("""COMPUTED_VALUE"""),118.62)</f>
        <v>118.62</v>
      </c>
      <c r="D400" s="2" t="n">
        <f aca="false">IFERROR(__xludf.dummyfunction("""COMPUTED_VALUE"""),115.48)</f>
        <v>115.48</v>
      </c>
      <c r="E400" s="2" t="n">
        <f aca="false">IFERROR(__xludf.dummyfunction("""COMPUTED_VALUE"""),118.08)</f>
        <v>118.08</v>
      </c>
      <c r="F400" s="2" t="n">
        <f aca="false">IFERROR(__xludf.dummyfunction("""COMPUTED_VALUE"""),28499014)</f>
        <v>28499014</v>
      </c>
    </row>
    <row r="401" customFormat="false" ht="15.75" hidden="false" customHeight="false" outlineLevel="0" collapsed="false">
      <c r="A401" s="3" t="n">
        <f aca="false">IFERROR(__xludf.dummyfunction("""COMPUTED_VALUE"""),44777.6666666667)</f>
        <v>44777.6666666667</v>
      </c>
      <c r="B401" s="2" t="n">
        <f aca="false">IFERROR(__xludf.dummyfunction("""COMPUTED_VALUE"""),117.48)</f>
        <v>117.48</v>
      </c>
      <c r="C401" s="2" t="n">
        <f aca="false">IFERROR(__xludf.dummyfunction("""COMPUTED_VALUE"""),118.78)</f>
        <v>118.78</v>
      </c>
      <c r="D401" s="2" t="n">
        <f aca="false">IFERROR(__xludf.dummyfunction("""COMPUTED_VALUE"""),116.89)</f>
        <v>116.89</v>
      </c>
      <c r="E401" s="2" t="n">
        <f aca="false">IFERROR(__xludf.dummyfunction("""COMPUTED_VALUE"""),118.19)</f>
        <v>118.19</v>
      </c>
      <c r="F401" s="2" t="n">
        <f aca="false">IFERROR(__xludf.dummyfunction("""COMPUTED_VALUE"""),21602925)</f>
        <v>21602925</v>
      </c>
    </row>
    <row r="402" customFormat="false" ht="15.75" hidden="false" customHeight="false" outlineLevel="0" collapsed="false">
      <c r="A402" s="3" t="n">
        <f aca="false">IFERROR(__xludf.dummyfunction("""COMPUTED_VALUE"""),44778.6666666667)</f>
        <v>44778.6666666667</v>
      </c>
      <c r="B402" s="2" t="n">
        <f aca="false">IFERROR(__xludf.dummyfunction("""COMPUTED_VALUE"""),116.23)</f>
        <v>116.23</v>
      </c>
      <c r="C402" s="2" t="n">
        <f aca="false">IFERROR(__xludf.dummyfunction("""COMPUTED_VALUE"""),118.11)</f>
        <v>118.11</v>
      </c>
      <c r="D402" s="2" t="n">
        <f aca="false">IFERROR(__xludf.dummyfunction("""COMPUTED_VALUE"""),116)</f>
        <v>116</v>
      </c>
      <c r="E402" s="2" t="n">
        <f aca="false">IFERROR(__xludf.dummyfunction("""COMPUTED_VALUE"""),117.47)</f>
        <v>117.47</v>
      </c>
      <c r="F402" s="2" t="n">
        <f aca="false">IFERROR(__xludf.dummyfunction("""COMPUTED_VALUE"""),19159520)</f>
        <v>19159520</v>
      </c>
    </row>
    <row r="403" customFormat="false" ht="15.75" hidden="false" customHeight="false" outlineLevel="0" collapsed="false">
      <c r="A403" s="3" t="n">
        <f aca="false">IFERROR(__xludf.dummyfunction("""COMPUTED_VALUE"""),44781.6666666667)</f>
        <v>44781.6666666667</v>
      </c>
      <c r="B403" s="2" t="n">
        <f aca="false">IFERROR(__xludf.dummyfunction("""COMPUTED_VALUE"""),118.39)</f>
        <v>118.39</v>
      </c>
      <c r="C403" s="2" t="n">
        <f aca="false">IFERROR(__xludf.dummyfunction("""COMPUTED_VALUE"""),120.15)</f>
        <v>120.15</v>
      </c>
      <c r="D403" s="2" t="n">
        <f aca="false">IFERROR(__xludf.dummyfunction("""COMPUTED_VALUE"""),116.88)</f>
        <v>116.88</v>
      </c>
      <c r="E403" s="2" t="n">
        <f aca="false">IFERROR(__xludf.dummyfunction("""COMPUTED_VALUE"""),117.3)</f>
        <v>117.3</v>
      </c>
      <c r="F403" s="2" t="n">
        <f aca="false">IFERROR(__xludf.dummyfunction("""COMPUTED_VALUE"""),19169479)</f>
        <v>19169479</v>
      </c>
    </row>
    <row r="404" customFormat="false" ht="15.75" hidden="false" customHeight="false" outlineLevel="0" collapsed="false">
      <c r="A404" s="3" t="n">
        <f aca="false">IFERROR(__xludf.dummyfunction("""COMPUTED_VALUE"""),44782.6666666667)</f>
        <v>44782.6666666667</v>
      </c>
      <c r="B404" s="2" t="n">
        <f aca="false">IFERROR(__xludf.dummyfunction("""COMPUTED_VALUE"""),117.14)</f>
        <v>117.14</v>
      </c>
      <c r="C404" s="2" t="n">
        <f aca="false">IFERROR(__xludf.dummyfunction("""COMPUTED_VALUE"""),117.32)</f>
        <v>117.32</v>
      </c>
      <c r="D404" s="2" t="n">
        <f aca="false">IFERROR(__xludf.dummyfunction("""COMPUTED_VALUE"""),115.71)</f>
        <v>115.71</v>
      </c>
      <c r="E404" s="2" t="n">
        <f aca="false">IFERROR(__xludf.dummyfunction("""COMPUTED_VALUE"""),116.63)</f>
        <v>116.63</v>
      </c>
      <c r="F404" s="2" t="n">
        <f aca="false">IFERROR(__xludf.dummyfunction("""COMPUTED_VALUE"""),19086465)</f>
        <v>19086465</v>
      </c>
    </row>
    <row r="405" customFormat="false" ht="15.75" hidden="false" customHeight="false" outlineLevel="0" collapsed="false">
      <c r="A405" s="3" t="n">
        <f aca="false">IFERROR(__xludf.dummyfunction("""COMPUTED_VALUE"""),44783.6666666667)</f>
        <v>44783.6666666667</v>
      </c>
      <c r="B405" s="2" t="n">
        <f aca="false">IFERROR(__xludf.dummyfunction("""COMPUTED_VALUE"""),118.78)</f>
        <v>118.78</v>
      </c>
      <c r="C405" s="2" t="n">
        <f aca="false">IFERROR(__xludf.dummyfunction("""COMPUTED_VALUE"""),120.92)</f>
        <v>120.92</v>
      </c>
      <c r="D405" s="2" t="n">
        <f aca="false">IFERROR(__xludf.dummyfunction("""COMPUTED_VALUE"""),118.41)</f>
        <v>118.41</v>
      </c>
      <c r="E405" s="2" t="n">
        <f aca="false">IFERROR(__xludf.dummyfunction("""COMPUTED_VALUE"""),119.7)</f>
        <v>119.7</v>
      </c>
      <c r="F405" s="2" t="n">
        <f aca="false">IFERROR(__xludf.dummyfunction("""COMPUTED_VALUE"""),30930350)</f>
        <v>30930350</v>
      </c>
    </row>
    <row r="406" customFormat="false" ht="15.75" hidden="false" customHeight="false" outlineLevel="0" collapsed="false">
      <c r="A406" s="3" t="n">
        <f aca="false">IFERROR(__xludf.dummyfunction("""COMPUTED_VALUE"""),44784.6666666667)</f>
        <v>44784.6666666667</v>
      </c>
      <c r="B406" s="2" t="n">
        <f aca="false">IFERROR(__xludf.dummyfunction("""COMPUTED_VALUE"""),121.28)</f>
        <v>121.28</v>
      </c>
      <c r="C406" s="2" t="n">
        <f aca="false">IFERROR(__xludf.dummyfunction("""COMPUTED_VALUE"""),121.49)</f>
        <v>121.49</v>
      </c>
      <c r="D406" s="2" t="n">
        <f aca="false">IFERROR(__xludf.dummyfunction("""COMPUTED_VALUE"""),118.56)</f>
        <v>118.56</v>
      </c>
      <c r="E406" s="2" t="n">
        <f aca="false">IFERROR(__xludf.dummyfunction("""COMPUTED_VALUE"""),118.84)</f>
        <v>118.84</v>
      </c>
      <c r="F406" s="2" t="n">
        <f aca="false">IFERROR(__xludf.dummyfunction("""COMPUTED_VALUE"""),24293654)</f>
        <v>24293654</v>
      </c>
    </row>
    <row r="407" customFormat="false" ht="15.75" hidden="false" customHeight="false" outlineLevel="0" collapsed="false">
      <c r="A407" s="3" t="n">
        <f aca="false">IFERROR(__xludf.dummyfunction("""COMPUTED_VALUE"""),44785.6666666667)</f>
        <v>44785.6666666667</v>
      </c>
      <c r="B407" s="2" t="n">
        <f aca="false">IFERROR(__xludf.dummyfunction("""COMPUTED_VALUE"""),120.26)</f>
        <v>120.26</v>
      </c>
      <c r="C407" s="2" t="n">
        <f aca="false">IFERROR(__xludf.dummyfunction("""COMPUTED_VALUE"""),121.68)</f>
        <v>121.68</v>
      </c>
      <c r="D407" s="2" t="n">
        <f aca="false">IFERROR(__xludf.dummyfunction("""COMPUTED_VALUE"""),119.46)</f>
        <v>119.46</v>
      </c>
      <c r="E407" s="2" t="n">
        <f aca="false">IFERROR(__xludf.dummyfunction("""COMPUTED_VALUE"""),121.68)</f>
        <v>121.68</v>
      </c>
      <c r="F407" s="2" t="n">
        <f aca="false">IFERROR(__xludf.dummyfunction("""COMPUTED_VALUE"""),19096268)</f>
        <v>19096268</v>
      </c>
    </row>
    <row r="408" customFormat="false" ht="15.75" hidden="false" customHeight="false" outlineLevel="0" collapsed="false">
      <c r="A408" s="3" t="n">
        <f aca="false">IFERROR(__xludf.dummyfunction("""COMPUTED_VALUE"""),44788.6666666667)</f>
        <v>44788.6666666667</v>
      </c>
      <c r="B408" s="2" t="n">
        <f aca="false">IFERROR(__xludf.dummyfunction("""COMPUTED_VALUE"""),121.13)</f>
        <v>121.13</v>
      </c>
      <c r="C408" s="2" t="n">
        <f aca="false">IFERROR(__xludf.dummyfunction("""COMPUTED_VALUE"""),122.3)</f>
        <v>122.3</v>
      </c>
      <c r="D408" s="2" t="n">
        <f aca="false">IFERROR(__xludf.dummyfunction("""COMPUTED_VALUE"""),120.61)</f>
        <v>120.61</v>
      </c>
      <c r="E408" s="2" t="n">
        <f aca="false">IFERROR(__xludf.dummyfunction("""COMPUTED_VALUE"""),122.08)</f>
        <v>122.08</v>
      </c>
      <c r="F408" s="2" t="n">
        <f aca="false">IFERROR(__xludf.dummyfunction("""COMPUTED_VALUE"""),19494825)</f>
        <v>19494825</v>
      </c>
    </row>
    <row r="409" customFormat="false" ht="15.75" hidden="false" customHeight="false" outlineLevel="0" collapsed="false">
      <c r="A409" s="3" t="n">
        <f aca="false">IFERROR(__xludf.dummyfunction("""COMPUTED_VALUE"""),44789.6666666667)</f>
        <v>44789.6666666667</v>
      </c>
      <c r="B409" s="2" t="n">
        <f aca="false">IFERROR(__xludf.dummyfunction("""COMPUTED_VALUE"""),121.52)</f>
        <v>121.52</v>
      </c>
      <c r="C409" s="2" t="n">
        <f aca="false">IFERROR(__xludf.dummyfunction("""COMPUTED_VALUE"""),122.43)</f>
        <v>122.43</v>
      </c>
      <c r="D409" s="2" t="n">
        <f aca="false">IFERROR(__xludf.dummyfunction("""COMPUTED_VALUE"""),120.64)</f>
        <v>120.64</v>
      </c>
      <c r="E409" s="2" t="n">
        <f aca="false">IFERROR(__xludf.dummyfunction("""COMPUTED_VALUE"""),121.7)</f>
        <v>121.7</v>
      </c>
      <c r="F409" s="2" t="n">
        <f aca="false">IFERROR(__xludf.dummyfunction("""COMPUTED_VALUE"""),19041230)</f>
        <v>19041230</v>
      </c>
    </row>
    <row r="410" customFormat="false" ht="15.75" hidden="false" customHeight="false" outlineLevel="0" collapsed="false">
      <c r="A410" s="3" t="n">
        <f aca="false">IFERROR(__xludf.dummyfunction("""COMPUTED_VALUE"""),44790.6666666667)</f>
        <v>44790.6666666667</v>
      </c>
      <c r="B410" s="2" t="n">
        <f aca="false">IFERROR(__xludf.dummyfunction("""COMPUTED_VALUE"""),120.12)</f>
        <v>120.12</v>
      </c>
      <c r="C410" s="2" t="n">
        <f aca="false">IFERROR(__xludf.dummyfunction("""COMPUTED_VALUE"""),121.29)</f>
        <v>121.29</v>
      </c>
      <c r="D410" s="2" t="n">
        <f aca="false">IFERROR(__xludf.dummyfunction("""COMPUTED_VALUE"""),119.38)</f>
        <v>119.38</v>
      </c>
      <c r="E410" s="2" t="n">
        <f aca="false">IFERROR(__xludf.dummyfunction("""COMPUTED_VALUE"""),119.55)</f>
        <v>119.55</v>
      </c>
      <c r="F410" s="2" t="n">
        <f aca="false">IFERROR(__xludf.dummyfunction("""COMPUTED_VALUE"""),22846958)</f>
        <v>22846958</v>
      </c>
    </row>
    <row r="411" customFormat="false" ht="15.75" hidden="false" customHeight="false" outlineLevel="0" collapsed="false">
      <c r="A411" s="3" t="n">
        <f aca="false">IFERROR(__xludf.dummyfunction("""COMPUTED_VALUE"""),44791.6666666667)</f>
        <v>44791.6666666667</v>
      </c>
      <c r="B411" s="2" t="n">
        <f aca="false">IFERROR(__xludf.dummyfunction("""COMPUTED_VALUE"""),119.43)</f>
        <v>119.43</v>
      </c>
      <c r="C411" s="2" t="n">
        <f aca="false">IFERROR(__xludf.dummyfunction("""COMPUTED_VALUE"""),120.82)</f>
        <v>120.82</v>
      </c>
      <c r="D411" s="2" t="n">
        <f aca="false">IFERROR(__xludf.dummyfunction("""COMPUTED_VALUE"""),118.72)</f>
        <v>118.72</v>
      </c>
      <c r="E411" s="2" t="n">
        <f aca="false">IFERROR(__xludf.dummyfunction("""COMPUTED_VALUE"""),120.17)</f>
        <v>120.17</v>
      </c>
      <c r="F411" s="2" t="n">
        <f aca="false">IFERROR(__xludf.dummyfunction("""COMPUTED_VALUE"""),17987660)</f>
        <v>17987660</v>
      </c>
    </row>
    <row r="412" customFormat="false" ht="15.75" hidden="false" customHeight="false" outlineLevel="0" collapsed="false">
      <c r="A412" s="3" t="n">
        <f aca="false">IFERROR(__xludf.dummyfunction("""COMPUTED_VALUE"""),44792.6666666667)</f>
        <v>44792.6666666667</v>
      </c>
      <c r="B412" s="2" t="n">
        <f aca="false">IFERROR(__xludf.dummyfunction("""COMPUTED_VALUE"""),119.06)</f>
        <v>119.06</v>
      </c>
      <c r="C412" s="2" t="n">
        <f aca="false">IFERROR(__xludf.dummyfunction("""COMPUTED_VALUE"""),119.15)</f>
        <v>119.15</v>
      </c>
      <c r="D412" s="2" t="n">
        <f aca="false">IFERROR(__xludf.dummyfunction("""COMPUTED_VALUE"""),116.76)</f>
        <v>116.76</v>
      </c>
      <c r="E412" s="2" t="n">
        <f aca="false">IFERROR(__xludf.dummyfunction("""COMPUTED_VALUE"""),117.21)</f>
        <v>117.21</v>
      </c>
      <c r="F412" s="2" t="n">
        <f aca="false">IFERROR(__xludf.dummyfunction("""COMPUTED_VALUE"""),21809528)</f>
        <v>21809528</v>
      </c>
    </row>
    <row r="413" customFormat="false" ht="15.75" hidden="false" customHeight="false" outlineLevel="0" collapsed="false">
      <c r="A413" s="3" t="n">
        <f aca="false">IFERROR(__xludf.dummyfunction("""COMPUTED_VALUE"""),44795.6666666667)</f>
        <v>44795.6666666667</v>
      </c>
      <c r="B413" s="2" t="n">
        <f aca="false">IFERROR(__xludf.dummyfunction("""COMPUTED_VALUE"""),115.2)</f>
        <v>115.2</v>
      </c>
      <c r="C413" s="2" t="n">
        <f aca="false">IFERROR(__xludf.dummyfunction("""COMPUTED_VALUE"""),115.63)</f>
        <v>115.63</v>
      </c>
      <c r="D413" s="2" t="n">
        <f aca="false">IFERROR(__xludf.dummyfunction("""COMPUTED_VALUE"""),113.85)</f>
        <v>113.85</v>
      </c>
      <c r="E413" s="2" t="n">
        <f aca="false">IFERROR(__xludf.dummyfunction("""COMPUTED_VALUE"""),114.24)</f>
        <v>114.24</v>
      </c>
      <c r="F413" s="2" t="n">
        <f aca="false">IFERROR(__xludf.dummyfunction("""COMPUTED_VALUE"""),21456648)</f>
        <v>21456648</v>
      </c>
    </row>
    <row r="414" customFormat="false" ht="15.75" hidden="false" customHeight="false" outlineLevel="0" collapsed="false">
      <c r="A414" s="3" t="n">
        <f aca="false">IFERROR(__xludf.dummyfunction("""COMPUTED_VALUE"""),44796.6666666667)</f>
        <v>44796.6666666667</v>
      </c>
      <c r="B414" s="2" t="n">
        <f aca="false">IFERROR(__xludf.dummyfunction("""COMPUTED_VALUE"""),113.48)</f>
        <v>113.48</v>
      </c>
      <c r="C414" s="2" t="n">
        <f aca="false">IFERROR(__xludf.dummyfunction("""COMPUTED_VALUE"""),115.01)</f>
        <v>115.01</v>
      </c>
      <c r="D414" s="2" t="n">
        <f aca="false">IFERROR(__xludf.dummyfunction("""COMPUTED_VALUE"""),113.43)</f>
        <v>113.43</v>
      </c>
      <c r="E414" s="2" t="n">
        <f aca="false">IFERROR(__xludf.dummyfunction("""COMPUTED_VALUE"""),113.86)</f>
        <v>113.86</v>
      </c>
      <c r="F414" s="2" t="n">
        <f aca="false">IFERROR(__xludf.dummyfunction("""COMPUTED_VALUE"""),15870373)</f>
        <v>15870373</v>
      </c>
    </row>
    <row r="415" customFormat="false" ht="15.75" hidden="false" customHeight="false" outlineLevel="0" collapsed="false">
      <c r="A415" s="3" t="n">
        <f aca="false">IFERROR(__xludf.dummyfunction("""COMPUTED_VALUE"""),44797.6666666667)</f>
        <v>44797.6666666667</v>
      </c>
      <c r="B415" s="2" t="n">
        <f aca="false">IFERROR(__xludf.dummyfunction("""COMPUTED_VALUE"""),113.5)</f>
        <v>113.5</v>
      </c>
      <c r="C415" s="2" t="n">
        <f aca="false">IFERROR(__xludf.dummyfunction("""COMPUTED_VALUE"""),114.78)</f>
        <v>114.78</v>
      </c>
      <c r="D415" s="2" t="n">
        <f aca="false">IFERROR(__xludf.dummyfunction("""COMPUTED_VALUE"""),112.87)</f>
        <v>112.87</v>
      </c>
      <c r="E415" s="2" t="n">
        <f aca="false">IFERROR(__xludf.dummyfunction("""COMPUTED_VALUE"""),113.69)</f>
        <v>113.69</v>
      </c>
      <c r="F415" s="2" t="n">
        <f aca="false">IFERROR(__xludf.dummyfunction("""COMPUTED_VALUE"""),17734624)</f>
        <v>17734624</v>
      </c>
    </row>
    <row r="416" customFormat="false" ht="15.75" hidden="false" customHeight="false" outlineLevel="0" collapsed="false">
      <c r="A416" s="3" t="n">
        <f aca="false">IFERROR(__xludf.dummyfunction("""COMPUTED_VALUE"""),44798.6666666667)</f>
        <v>44798.6666666667</v>
      </c>
      <c r="B416" s="2" t="n">
        <f aca="false">IFERROR(__xludf.dummyfunction("""COMPUTED_VALUE"""),114.24)</f>
        <v>114.24</v>
      </c>
      <c r="C416" s="2" t="n">
        <f aca="false">IFERROR(__xludf.dummyfunction("""COMPUTED_VALUE"""),116.72)</f>
        <v>116.72</v>
      </c>
      <c r="D416" s="2" t="n">
        <f aca="false">IFERROR(__xludf.dummyfunction("""COMPUTED_VALUE"""),114.11)</f>
        <v>114.11</v>
      </c>
      <c r="E416" s="2" t="n">
        <f aca="false">IFERROR(__xludf.dummyfunction("""COMPUTED_VALUE"""),116.65)</f>
        <v>116.65</v>
      </c>
      <c r="F416" s="2" t="n">
        <f aca="false">IFERROR(__xludf.dummyfunction("""COMPUTED_VALUE"""),16956794)</f>
        <v>16956794</v>
      </c>
    </row>
    <row r="417" customFormat="false" ht="15.75" hidden="false" customHeight="false" outlineLevel="0" collapsed="false">
      <c r="A417" s="3" t="n">
        <f aca="false">IFERROR(__xludf.dummyfunction("""COMPUTED_VALUE"""),44799.6666666667)</f>
        <v>44799.6666666667</v>
      </c>
      <c r="B417" s="2" t="n">
        <f aca="false">IFERROR(__xludf.dummyfunction("""COMPUTED_VALUE"""),114.72)</f>
        <v>114.72</v>
      </c>
      <c r="C417" s="2" t="n">
        <f aca="false">IFERROR(__xludf.dummyfunction("""COMPUTED_VALUE"""),115.12)</f>
        <v>115.12</v>
      </c>
      <c r="D417" s="2" t="n">
        <f aca="false">IFERROR(__xludf.dummyfunction("""COMPUTED_VALUE"""),110.19)</f>
        <v>110.19</v>
      </c>
      <c r="E417" s="2" t="n">
        <f aca="false">IFERROR(__xludf.dummyfunction("""COMPUTED_VALUE"""),110.34)</f>
        <v>110.34</v>
      </c>
      <c r="F417" s="2" t="n">
        <f aca="false">IFERROR(__xludf.dummyfunction("""COMPUTED_VALUE"""),37245697)</f>
        <v>37245697</v>
      </c>
    </row>
    <row r="418" customFormat="false" ht="15.75" hidden="false" customHeight="false" outlineLevel="0" collapsed="false">
      <c r="A418" s="3" t="n">
        <f aca="false">IFERROR(__xludf.dummyfunction("""COMPUTED_VALUE"""),44802.6666666667)</f>
        <v>44802.6666666667</v>
      </c>
      <c r="B418" s="2" t="n">
        <f aca="false">IFERROR(__xludf.dummyfunction("""COMPUTED_VALUE"""),109.99)</f>
        <v>109.99</v>
      </c>
      <c r="C418" s="2" t="n">
        <f aca="false">IFERROR(__xludf.dummyfunction("""COMPUTED_VALUE"""),110.95)</f>
        <v>110.95</v>
      </c>
      <c r="D418" s="2" t="n">
        <f aca="false">IFERROR(__xludf.dummyfunction("""COMPUTED_VALUE"""),108.8)</f>
        <v>108.8</v>
      </c>
      <c r="E418" s="2" t="n">
        <f aca="false">IFERROR(__xludf.dummyfunction("""COMPUTED_VALUE"""),109.42)</f>
        <v>109.42</v>
      </c>
      <c r="F418" s="2" t="n">
        <f aca="false">IFERROR(__xludf.dummyfunction("""COMPUTED_VALUE"""),21191157)</f>
        <v>21191157</v>
      </c>
    </row>
    <row r="419" customFormat="false" ht="15.75" hidden="false" customHeight="false" outlineLevel="0" collapsed="false">
      <c r="A419" s="3" t="n">
        <f aca="false">IFERROR(__xludf.dummyfunction("""COMPUTED_VALUE"""),44803.6666666667)</f>
        <v>44803.6666666667</v>
      </c>
      <c r="B419" s="2" t="n">
        <f aca="false">IFERROR(__xludf.dummyfunction("""COMPUTED_VALUE"""),110.17)</f>
        <v>110.17</v>
      </c>
      <c r="C419" s="2" t="n">
        <f aca="false">IFERROR(__xludf.dummyfunction("""COMPUTED_VALUE"""),110.5)</f>
        <v>110.5</v>
      </c>
      <c r="D419" s="2" t="n">
        <f aca="false">IFERROR(__xludf.dummyfunction("""COMPUTED_VALUE"""),107.8)</f>
        <v>107.8</v>
      </c>
      <c r="E419" s="2" t="n">
        <f aca="false">IFERROR(__xludf.dummyfunction("""COMPUTED_VALUE"""),108.94)</f>
        <v>108.94</v>
      </c>
      <c r="F419" s="2" t="n">
        <f aca="false">IFERROR(__xludf.dummyfunction("""COMPUTED_VALUE"""),27513255)</f>
        <v>27513255</v>
      </c>
    </row>
    <row r="420" customFormat="false" ht="15.75" hidden="false" customHeight="false" outlineLevel="0" collapsed="false">
      <c r="A420" s="3" t="n">
        <f aca="false">IFERROR(__xludf.dummyfunction("""COMPUTED_VALUE"""),44804.6666666667)</f>
        <v>44804.6666666667</v>
      </c>
      <c r="B420" s="2" t="n">
        <f aca="false">IFERROR(__xludf.dummyfunction("""COMPUTED_VALUE"""),110.65)</f>
        <v>110.65</v>
      </c>
      <c r="C420" s="2" t="n">
        <f aca="false">IFERROR(__xludf.dummyfunction("""COMPUTED_VALUE"""),110.85)</f>
        <v>110.85</v>
      </c>
      <c r="D420" s="2" t="n">
        <f aca="false">IFERROR(__xludf.dummyfunction("""COMPUTED_VALUE"""),108.13)</f>
        <v>108.13</v>
      </c>
      <c r="E420" s="2" t="n">
        <f aca="false">IFERROR(__xludf.dummyfunction("""COMPUTED_VALUE"""),108.22)</f>
        <v>108.22</v>
      </c>
      <c r="F420" s="2" t="n">
        <f aca="false">IFERROR(__xludf.dummyfunction("""COMPUTED_VALUE"""),28626972)</f>
        <v>28626972</v>
      </c>
    </row>
    <row r="421" customFormat="false" ht="15.75" hidden="false" customHeight="false" outlineLevel="0" collapsed="false">
      <c r="A421" s="3" t="n">
        <f aca="false">IFERROR(__xludf.dummyfunction("""COMPUTED_VALUE"""),44805.6666666667)</f>
        <v>44805.6666666667</v>
      </c>
      <c r="B421" s="2" t="n">
        <f aca="false">IFERROR(__xludf.dummyfunction("""COMPUTED_VALUE"""),108.28)</f>
        <v>108.28</v>
      </c>
      <c r="C421" s="2" t="n">
        <f aca="false">IFERROR(__xludf.dummyfunction("""COMPUTED_VALUE"""),110.45)</f>
        <v>110.45</v>
      </c>
      <c r="D421" s="2" t="n">
        <f aca="false">IFERROR(__xludf.dummyfunction("""COMPUTED_VALUE"""),107.36)</f>
        <v>107.36</v>
      </c>
      <c r="E421" s="2" t="n">
        <f aca="false">IFERROR(__xludf.dummyfunction("""COMPUTED_VALUE"""),109.74)</f>
        <v>109.74</v>
      </c>
      <c r="F421" s="2" t="n">
        <f aca="false">IFERROR(__xludf.dummyfunction("""COMPUTED_VALUE"""),28360926)</f>
        <v>28360926</v>
      </c>
    </row>
    <row r="422" customFormat="false" ht="15.75" hidden="false" customHeight="false" outlineLevel="0" collapsed="false">
      <c r="A422" s="3" t="n">
        <f aca="false">IFERROR(__xludf.dummyfunction("""COMPUTED_VALUE"""),44806.6666666667)</f>
        <v>44806.6666666667</v>
      </c>
      <c r="B422" s="2" t="n">
        <f aca="false">IFERROR(__xludf.dummyfunction("""COMPUTED_VALUE"""),110.59)</f>
        <v>110.59</v>
      </c>
      <c r="C422" s="2" t="n">
        <f aca="false">IFERROR(__xludf.dummyfunction("""COMPUTED_VALUE"""),110.74)</f>
        <v>110.74</v>
      </c>
      <c r="D422" s="2" t="n">
        <f aca="false">IFERROR(__xludf.dummyfunction("""COMPUTED_VALUE"""),107.26)</f>
        <v>107.26</v>
      </c>
      <c r="E422" s="2" t="n">
        <f aca="false">IFERROR(__xludf.dummyfunction("""COMPUTED_VALUE"""),107.85)</f>
        <v>107.85</v>
      </c>
      <c r="F422" s="2" t="n">
        <f aca="false">IFERROR(__xludf.dummyfunction("""COMPUTED_VALUE"""),24160711)</f>
        <v>24160711</v>
      </c>
    </row>
    <row r="423" customFormat="false" ht="15.75" hidden="false" customHeight="false" outlineLevel="0" collapsed="false">
      <c r="A423" s="3" t="n">
        <f aca="false">IFERROR(__xludf.dummyfunction("""COMPUTED_VALUE"""),44810.6666666667)</f>
        <v>44810.6666666667</v>
      </c>
      <c r="B423" s="2" t="n">
        <f aca="false">IFERROR(__xludf.dummyfunction("""COMPUTED_VALUE"""),107.3)</f>
        <v>107.3</v>
      </c>
      <c r="C423" s="2" t="n">
        <f aca="false">IFERROR(__xludf.dummyfunction("""COMPUTED_VALUE"""),108.03)</f>
        <v>108.03</v>
      </c>
      <c r="D423" s="2" t="n">
        <f aca="false">IFERROR(__xludf.dummyfunction("""COMPUTED_VALUE"""),105.78)</f>
        <v>105.78</v>
      </c>
      <c r="E423" s="2" t="n">
        <f aca="false">IFERROR(__xludf.dummyfunction("""COMPUTED_VALUE"""),106.81)</f>
        <v>106.81</v>
      </c>
      <c r="F423" s="2" t="n">
        <f aca="false">IFERROR(__xludf.dummyfunction("""COMPUTED_VALUE"""),25068280)</f>
        <v>25068280</v>
      </c>
    </row>
    <row r="424" customFormat="false" ht="15.75" hidden="false" customHeight="false" outlineLevel="0" collapsed="false">
      <c r="A424" s="3" t="n">
        <f aca="false">IFERROR(__xludf.dummyfunction("""COMPUTED_VALUE"""),44811.6666666667)</f>
        <v>44811.6666666667</v>
      </c>
      <c r="B424" s="2" t="n">
        <f aca="false">IFERROR(__xludf.dummyfunction("""COMPUTED_VALUE"""),107.06)</f>
        <v>107.06</v>
      </c>
      <c r="C424" s="2" t="n">
        <f aca="false">IFERROR(__xludf.dummyfunction("""COMPUTED_VALUE"""),109.98)</f>
        <v>109.98</v>
      </c>
      <c r="D424" s="2" t="n">
        <f aca="false">IFERROR(__xludf.dummyfunction("""COMPUTED_VALUE"""),106.9)</f>
        <v>106.9</v>
      </c>
      <c r="E424" s="2" t="n">
        <f aca="false">IFERROR(__xludf.dummyfunction("""COMPUTED_VALUE"""),109.45)</f>
        <v>109.45</v>
      </c>
      <c r="F424" s="2" t="n">
        <f aca="false">IFERROR(__xludf.dummyfunction("""COMPUTED_VALUE"""),23166967)</f>
        <v>23166967</v>
      </c>
    </row>
    <row r="425" customFormat="false" ht="15.75" hidden="false" customHeight="false" outlineLevel="0" collapsed="false">
      <c r="A425" s="3" t="n">
        <f aca="false">IFERROR(__xludf.dummyfunction("""COMPUTED_VALUE"""),44812.6666666667)</f>
        <v>44812.6666666667</v>
      </c>
      <c r="B425" s="2" t="n">
        <f aca="false">IFERROR(__xludf.dummyfunction("""COMPUTED_VALUE"""),108.04)</f>
        <v>108.04</v>
      </c>
      <c r="C425" s="2" t="n">
        <f aca="false">IFERROR(__xludf.dummyfunction("""COMPUTED_VALUE"""),109.6)</f>
        <v>109.6</v>
      </c>
      <c r="D425" s="2" t="n">
        <f aca="false">IFERROR(__xludf.dummyfunction("""COMPUTED_VALUE"""),107.16)</f>
        <v>107.16</v>
      </c>
      <c r="E425" s="2" t="n">
        <f aca="false">IFERROR(__xludf.dummyfunction("""COMPUTED_VALUE"""),108.38)</f>
        <v>108.38</v>
      </c>
      <c r="F425" s="2" t="n">
        <f aca="false">IFERROR(__xludf.dummyfunction("""COMPUTED_VALUE"""),24238293)</f>
        <v>24238293</v>
      </c>
    </row>
    <row r="426" customFormat="false" ht="15.75" hidden="false" customHeight="false" outlineLevel="0" collapsed="false">
      <c r="A426" s="3" t="n">
        <f aca="false">IFERROR(__xludf.dummyfunction("""COMPUTED_VALUE"""),44813.6666666667)</f>
        <v>44813.6666666667</v>
      </c>
      <c r="B426" s="2" t="n">
        <f aca="false">IFERROR(__xludf.dummyfunction("""COMPUTED_VALUE"""),109.07)</f>
        <v>109.07</v>
      </c>
      <c r="C426" s="2" t="n">
        <f aca="false">IFERROR(__xludf.dummyfunction("""COMPUTED_VALUE"""),110.99)</f>
        <v>110.99</v>
      </c>
      <c r="D426" s="2" t="n">
        <f aca="false">IFERROR(__xludf.dummyfunction("""COMPUTED_VALUE"""),109.02)</f>
        <v>109.02</v>
      </c>
      <c r="E426" s="2" t="n">
        <f aca="false">IFERROR(__xludf.dummyfunction("""COMPUTED_VALUE"""),110.65)</f>
        <v>110.65</v>
      </c>
      <c r="F426" s="2" t="n">
        <f aca="false">IFERROR(__xludf.dummyfunction("""COMPUTED_VALUE"""),23213585)</f>
        <v>23213585</v>
      </c>
    </row>
    <row r="427" customFormat="false" ht="15.75" hidden="false" customHeight="false" outlineLevel="0" collapsed="false">
      <c r="A427" s="3" t="n">
        <f aca="false">IFERROR(__xludf.dummyfunction("""COMPUTED_VALUE"""),44816.6666666667)</f>
        <v>44816.6666666667</v>
      </c>
      <c r="B427" s="2" t="n">
        <f aca="false">IFERROR(__xludf.dummyfunction("""COMPUTED_VALUE"""),110.99)</f>
        <v>110.99</v>
      </c>
      <c r="C427" s="2" t="n">
        <f aca="false">IFERROR(__xludf.dummyfunction("""COMPUTED_VALUE"""),111.62)</f>
        <v>111.62</v>
      </c>
      <c r="D427" s="2" t="n">
        <f aca="false">IFERROR(__xludf.dummyfunction("""COMPUTED_VALUE"""),109.93)</f>
        <v>109.93</v>
      </c>
      <c r="E427" s="2" t="n">
        <f aca="false">IFERROR(__xludf.dummyfunction("""COMPUTED_VALUE"""),110.86)</f>
        <v>110.86</v>
      </c>
      <c r="F427" s="2" t="n">
        <f aca="false">IFERROR(__xludf.dummyfunction("""COMPUTED_VALUE"""),22966752)</f>
        <v>22966752</v>
      </c>
    </row>
    <row r="428" customFormat="false" ht="15.75" hidden="false" customHeight="false" outlineLevel="0" collapsed="false">
      <c r="A428" s="3" t="n">
        <f aca="false">IFERROR(__xludf.dummyfunction("""COMPUTED_VALUE"""),44817.6666666667)</f>
        <v>44817.6666666667</v>
      </c>
      <c r="B428" s="2" t="n">
        <f aca="false">IFERROR(__xludf.dummyfunction("""COMPUTED_VALUE"""),107.8)</f>
        <v>107.8</v>
      </c>
      <c r="C428" s="2" t="n">
        <f aca="false">IFERROR(__xludf.dummyfunction("""COMPUTED_VALUE"""),108.3)</f>
        <v>108.3</v>
      </c>
      <c r="D428" s="2" t="n">
        <f aca="false">IFERROR(__xludf.dummyfunction("""COMPUTED_VALUE"""),104.09)</f>
        <v>104.09</v>
      </c>
      <c r="E428" s="2" t="n">
        <f aca="false">IFERROR(__xludf.dummyfunction("""COMPUTED_VALUE"""),104.32)</f>
        <v>104.32</v>
      </c>
      <c r="F428" s="2" t="n">
        <f aca="false">IFERROR(__xludf.dummyfunction("""COMPUTED_VALUE"""),38172871)</f>
        <v>38172871</v>
      </c>
    </row>
    <row r="429" customFormat="false" ht="15.75" hidden="false" customHeight="false" outlineLevel="0" collapsed="false">
      <c r="A429" s="3" t="n">
        <f aca="false">IFERROR(__xludf.dummyfunction("""COMPUTED_VALUE"""),44818.6666666667)</f>
        <v>44818.6666666667</v>
      </c>
      <c r="B429" s="2" t="n">
        <f aca="false">IFERROR(__xludf.dummyfunction("""COMPUTED_VALUE"""),104.57)</f>
        <v>104.57</v>
      </c>
      <c r="C429" s="2" t="n">
        <f aca="false">IFERROR(__xludf.dummyfunction("""COMPUTED_VALUE"""),105.28)</f>
        <v>105.28</v>
      </c>
      <c r="D429" s="2" t="n">
        <f aca="false">IFERROR(__xludf.dummyfunction("""COMPUTED_VALUE"""),103.66)</f>
        <v>103.66</v>
      </c>
      <c r="E429" s="2" t="n">
        <f aca="false">IFERROR(__xludf.dummyfunction("""COMPUTED_VALUE"""),105)</f>
        <v>105</v>
      </c>
      <c r="F429" s="2" t="n">
        <f aca="false">IFERROR(__xludf.dummyfunction("""COMPUTED_VALUE"""),26395134)</f>
        <v>26395134</v>
      </c>
    </row>
    <row r="430" customFormat="false" ht="15.75" hidden="false" customHeight="false" outlineLevel="0" collapsed="false">
      <c r="A430" s="3" t="n">
        <f aca="false">IFERROR(__xludf.dummyfunction("""COMPUTED_VALUE"""),44819.6666666667)</f>
        <v>44819.6666666667</v>
      </c>
      <c r="B430" s="2" t="n">
        <f aca="false">IFERROR(__xludf.dummyfunction("""COMPUTED_VALUE"""),104.03)</f>
        <v>104.03</v>
      </c>
      <c r="C430" s="2" t="n">
        <f aca="false">IFERROR(__xludf.dummyfunction("""COMPUTED_VALUE"""),105.27)</f>
        <v>105.27</v>
      </c>
      <c r="D430" s="2" t="n">
        <f aca="false">IFERROR(__xludf.dummyfunction("""COMPUTED_VALUE"""),102.35)</f>
        <v>102.35</v>
      </c>
      <c r="E430" s="2" t="n">
        <f aca="false">IFERROR(__xludf.dummyfunction("""COMPUTED_VALUE"""),102.91)</f>
        <v>102.91</v>
      </c>
      <c r="F430" s="2" t="n">
        <f aca="false">IFERROR(__xludf.dummyfunction("""COMPUTED_VALUE"""),34188284)</f>
        <v>34188284</v>
      </c>
    </row>
    <row r="431" customFormat="false" ht="15.75" hidden="false" customHeight="false" outlineLevel="0" collapsed="false">
      <c r="A431" s="3" t="n">
        <f aca="false">IFERROR(__xludf.dummyfunction("""COMPUTED_VALUE"""),44820.6666666667)</f>
        <v>44820.6666666667</v>
      </c>
      <c r="B431" s="2" t="n">
        <f aca="false">IFERROR(__xludf.dummyfunction("""COMPUTED_VALUE"""),102.07)</f>
        <v>102.07</v>
      </c>
      <c r="C431" s="2" t="n">
        <f aca="false">IFERROR(__xludf.dummyfunction("""COMPUTED_VALUE"""),103.13)</f>
        <v>103.13</v>
      </c>
      <c r="D431" s="2" t="n">
        <f aca="false">IFERROR(__xludf.dummyfunction("""COMPUTED_VALUE"""),100.94)</f>
        <v>100.94</v>
      </c>
      <c r="E431" s="2" t="n">
        <f aca="false">IFERROR(__xludf.dummyfunction("""COMPUTED_VALUE"""),102.8)</f>
        <v>102.8</v>
      </c>
      <c r="F431" s="2" t="n">
        <f aca="false">IFERROR(__xludf.dummyfunction("""COMPUTED_VALUE"""),42797172)</f>
        <v>42797172</v>
      </c>
    </row>
    <row r="432" customFormat="false" ht="15.75" hidden="false" customHeight="false" outlineLevel="0" collapsed="false">
      <c r="A432" s="3" t="n">
        <f aca="false">IFERROR(__xludf.dummyfunction("""COMPUTED_VALUE"""),44823.6666666667)</f>
        <v>44823.6666666667</v>
      </c>
      <c r="B432" s="2" t="n">
        <f aca="false">IFERROR(__xludf.dummyfunction("""COMPUTED_VALUE"""),101.75)</f>
        <v>101.75</v>
      </c>
      <c r="C432" s="2" t="n">
        <f aca="false">IFERROR(__xludf.dummyfunction("""COMPUTED_VALUE"""),103.33)</f>
        <v>103.33</v>
      </c>
      <c r="D432" s="2" t="n">
        <f aca="false">IFERROR(__xludf.dummyfunction("""COMPUTED_VALUE"""),101.55)</f>
        <v>101.55</v>
      </c>
      <c r="E432" s="2" t="n">
        <f aca="false">IFERROR(__xludf.dummyfunction("""COMPUTED_VALUE"""),103.07)</f>
        <v>103.07</v>
      </c>
      <c r="F432" s="2" t="n">
        <f aca="false">IFERROR(__xludf.dummyfunction("""COMPUTED_VALUE"""),23036811)</f>
        <v>23036811</v>
      </c>
    </row>
    <row r="433" customFormat="false" ht="15.75" hidden="false" customHeight="false" outlineLevel="0" collapsed="false">
      <c r="A433" s="3" t="n">
        <f aca="false">IFERROR(__xludf.dummyfunction("""COMPUTED_VALUE"""),44824.6666666667)</f>
        <v>44824.6666666667</v>
      </c>
      <c r="B433" s="2" t="n">
        <f aca="false">IFERROR(__xludf.dummyfunction("""COMPUTED_VALUE"""),102.08)</f>
        <v>102.08</v>
      </c>
      <c r="C433" s="2" t="n">
        <f aca="false">IFERROR(__xludf.dummyfunction("""COMPUTED_VALUE"""),102.37)</f>
        <v>102.37</v>
      </c>
      <c r="D433" s="2" t="n">
        <f aca="false">IFERROR(__xludf.dummyfunction("""COMPUTED_VALUE"""),100.52)</f>
        <v>100.52</v>
      </c>
      <c r="E433" s="2" t="n">
        <f aca="false">IFERROR(__xludf.dummyfunction("""COMPUTED_VALUE"""),101.14)</f>
        <v>101.14</v>
      </c>
      <c r="F433" s="2" t="n">
        <f aca="false">IFERROR(__xludf.dummyfunction("""COMPUTED_VALUE"""),26517123)</f>
        <v>26517123</v>
      </c>
    </row>
    <row r="434" customFormat="false" ht="15.75" hidden="false" customHeight="false" outlineLevel="0" collapsed="false">
      <c r="A434" s="3" t="n">
        <f aca="false">IFERROR(__xludf.dummyfunction("""COMPUTED_VALUE"""),44825.6666666667)</f>
        <v>44825.6666666667</v>
      </c>
      <c r="B434" s="2" t="n">
        <f aca="false">IFERROR(__xludf.dummyfunction("""COMPUTED_VALUE"""),101.67)</f>
        <v>101.67</v>
      </c>
      <c r="C434" s="2" t="n">
        <f aca="false">IFERROR(__xludf.dummyfunction("""COMPUTED_VALUE"""),102.88)</f>
        <v>102.88</v>
      </c>
      <c r="D434" s="2" t="n">
        <f aca="false">IFERROR(__xludf.dummyfunction("""COMPUTED_VALUE"""),99.27)</f>
        <v>99.27</v>
      </c>
      <c r="E434" s="2" t="n">
        <f aca="false">IFERROR(__xludf.dummyfunction("""COMPUTED_VALUE"""),99.28)</f>
        <v>99.28</v>
      </c>
      <c r="F434" s="2" t="n">
        <f aca="false">IFERROR(__xludf.dummyfunction("""COMPUTED_VALUE"""),31487265)</f>
        <v>31487265</v>
      </c>
    </row>
    <row r="435" customFormat="false" ht="15.75" hidden="false" customHeight="false" outlineLevel="0" collapsed="false">
      <c r="A435" s="3" t="n">
        <f aca="false">IFERROR(__xludf.dummyfunction("""COMPUTED_VALUE"""),44826.6666666667)</f>
        <v>44826.6666666667</v>
      </c>
      <c r="B435" s="2" t="n">
        <f aca="false">IFERROR(__xludf.dummyfunction("""COMPUTED_VALUE"""),98.82)</f>
        <v>98.82</v>
      </c>
      <c r="C435" s="2" t="n">
        <f aca="false">IFERROR(__xludf.dummyfunction("""COMPUTED_VALUE"""),101.24)</f>
        <v>101.24</v>
      </c>
      <c r="D435" s="2" t="n">
        <f aca="false">IFERROR(__xludf.dummyfunction("""COMPUTED_VALUE"""),98.79)</f>
        <v>98.79</v>
      </c>
      <c r="E435" s="2" t="n">
        <f aca="false">IFERROR(__xludf.dummyfunction("""COMPUTED_VALUE"""),100.14)</f>
        <v>100.14</v>
      </c>
      <c r="F435" s="2" t="n">
        <f aca="false">IFERROR(__xludf.dummyfunction("""COMPUTED_VALUE"""),34298619)</f>
        <v>34298619</v>
      </c>
    </row>
    <row r="436" customFormat="false" ht="15.75" hidden="false" customHeight="false" outlineLevel="0" collapsed="false">
      <c r="A436" s="3" t="n">
        <f aca="false">IFERROR(__xludf.dummyfunction("""COMPUTED_VALUE"""),44827.6666666667)</f>
        <v>44827.6666666667</v>
      </c>
      <c r="B436" s="2" t="n">
        <f aca="false">IFERROR(__xludf.dummyfunction("""COMPUTED_VALUE"""),99.63)</f>
        <v>99.63</v>
      </c>
      <c r="C436" s="2" t="n">
        <f aca="false">IFERROR(__xludf.dummyfunction("""COMPUTED_VALUE"""),99.66)</f>
        <v>99.66</v>
      </c>
      <c r="D436" s="2" t="n">
        <f aca="false">IFERROR(__xludf.dummyfunction("""COMPUTED_VALUE"""),97.47)</f>
        <v>97.47</v>
      </c>
      <c r="E436" s="2" t="n">
        <f aca="false">IFERROR(__xludf.dummyfunction("""COMPUTED_VALUE"""),98.74)</f>
        <v>98.74</v>
      </c>
      <c r="F436" s="2" t="n">
        <f aca="false">IFERROR(__xludf.dummyfunction("""COMPUTED_VALUE"""),31625437)</f>
        <v>31625437</v>
      </c>
    </row>
    <row r="437" customFormat="false" ht="15.75" hidden="false" customHeight="false" outlineLevel="0" collapsed="false">
      <c r="A437" s="3" t="n">
        <f aca="false">IFERROR(__xludf.dummyfunction("""COMPUTED_VALUE"""),44830.6666666667)</f>
        <v>44830.6666666667</v>
      </c>
      <c r="B437" s="2" t="n">
        <f aca="false">IFERROR(__xludf.dummyfunction("""COMPUTED_VALUE"""),98.1)</f>
        <v>98.1</v>
      </c>
      <c r="C437" s="2" t="n">
        <f aca="false">IFERROR(__xludf.dummyfunction("""COMPUTED_VALUE"""),99.88)</f>
        <v>99.88</v>
      </c>
      <c r="D437" s="2" t="n">
        <f aca="false">IFERROR(__xludf.dummyfunction("""COMPUTED_VALUE"""),97.8)</f>
        <v>97.8</v>
      </c>
      <c r="E437" s="2" t="n">
        <f aca="false">IFERROR(__xludf.dummyfunction("""COMPUTED_VALUE"""),98.17)</f>
        <v>98.17</v>
      </c>
      <c r="F437" s="2" t="n">
        <f aca="false">IFERROR(__xludf.dummyfunction("""COMPUTED_VALUE"""),27072662)</f>
        <v>27072662</v>
      </c>
    </row>
    <row r="438" customFormat="false" ht="15.75" hidden="false" customHeight="false" outlineLevel="0" collapsed="false">
      <c r="A438" s="3" t="n">
        <f aca="false">IFERROR(__xludf.dummyfunction("""COMPUTED_VALUE"""),44831.6666666667)</f>
        <v>44831.6666666667</v>
      </c>
      <c r="B438" s="2" t="n">
        <f aca="false">IFERROR(__xludf.dummyfunction("""COMPUTED_VALUE"""),99.43)</f>
        <v>99.43</v>
      </c>
      <c r="C438" s="2" t="n">
        <f aca="false">IFERROR(__xludf.dummyfunction("""COMPUTED_VALUE"""),100)</f>
        <v>100</v>
      </c>
      <c r="D438" s="2" t="n">
        <f aca="false">IFERROR(__xludf.dummyfunction("""COMPUTED_VALUE"""),96.87)</f>
        <v>96.87</v>
      </c>
      <c r="E438" s="2" t="n">
        <f aca="false">IFERROR(__xludf.dummyfunction("""COMPUTED_VALUE"""),97.5)</f>
        <v>97.5</v>
      </c>
      <c r="F438" s="2" t="n">
        <f aca="false">IFERROR(__xludf.dummyfunction("""COMPUTED_VALUE"""),30072781)</f>
        <v>30072781</v>
      </c>
    </row>
    <row r="439" customFormat="false" ht="15.75" hidden="false" customHeight="false" outlineLevel="0" collapsed="false">
      <c r="A439" s="3" t="n">
        <f aca="false">IFERROR(__xludf.dummyfunction("""COMPUTED_VALUE"""),44832.6666666667)</f>
        <v>44832.6666666667</v>
      </c>
      <c r="B439" s="2" t="n">
        <f aca="false">IFERROR(__xludf.dummyfunction("""COMPUTED_VALUE"""),97.65)</f>
        <v>97.65</v>
      </c>
      <c r="C439" s="2" t="n">
        <f aca="false">IFERROR(__xludf.dummyfunction("""COMPUTED_VALUE"""),100.7)</f>
        <v>100.7</v>
      </c>
      <c r="D439" s="2" t="n">
        <f aca="false">IFERROR(__xludf.dummyfunction("""COMPUTED_VALUE"""),97.11)</f>
        <v>97.11</v>
      </c>
      <c r="E439" s="2" t="n">
        <f aca="false">IFERROR(__xludf.dummyfunction("""COMPUTED_VALUE"""),100.05)</f>
        <v>100.05</v>
      </c>
      <c r="F439" s="2" t="n">
        <f aca="false">IFERROR(__xludf.dummyfunction("""COMPUTED_VALUE"""),32466323)</f>
        <v>32466323</v>
      </c>
    </row>
    <row r="440" customFormat="false" ht="15.75" hidden="false" customHeight="false" outlineLevel="0" collapsed="false">
      <c r="A440" s="3" t="n">
        <f aca="false">IFERROR(__xludf.dummyfunction("""COMPUTED_VALUE"""),44833.6666666667)</f>
        <v>44833.6666666667</v>
      </c>
      <c r="B440" s="2" t="n">
        <f aca="false">IFERROR(__xludf.dummyfunction("""COMPUTED_VALUE"""),98.64)</f>
        <v>98.64</v>
      </c>
      <c r="C440" s="2" t="n">
        <f aca="false">IFERROR(__xludf.dummyfunction("""COMPUTED_VALUE"""),98.64)</f>
        <v>98.64</v>
      </c>
      <c r="D440" s="2" t="n">
        <f aca="false">IFERROR(__xludf.dummyfunction("""COMPUTED_VALUE"""),95.96)</f>
        <v>95.96</v>
      </c>
      <c r="E440" s="2" t="n">
        <f aca="false">IFERROR(__xludf.dummyfunction("""COMPUTED_VALUE"""),97.42)</f>
        <v>97.42</v>
      </c>
      <c r="F440" s="2" t="n">
        <f aca="false">IFERROR(__xludf.dummyfunction("""COMPUTED_VALUE"""),31047224)</f>
        <v>31047224</v>
      </c>
    </row>
    <row r="441" customFormat="false" ht="15.75" hidden="false" customHeight="false" outlineLevel="0" collapsed="false">
      <c r="A441" s="3" t="n">
        <f aca="false">IFERROR(__xludf.dummyfunction("""COMPUTED_VALUE"""),44834.6666666667)</f>
        <v>44834.6666666667</v>
      </c>
      <c r="B441" s="2" t="n">
        <f aca="false">IFERROR(__xludf.dummyfunction("""COMPUTED_VALUE"""),97.05)</f>
        <v>97.05</v>
      </c>
      <c r="C441" s="2" t="n">
        <f aca="false">IFERROR(__xludf.dummyfunction("""COMPUTED_VALUE"""),98.9)</f>
        <v>98.9</v>
      </c>
      <c r="D441" s="2" t="n">
        <f aca="false">IFERROR(__xludf.dummyfunction("""COMPUTED_VALUE"""),95.56)</f>
        <v>95.56</v>
      </c>
      <c r="E441" s="2" t="n">
        <f aca="false">IFERROR(__xludf.dummyfunction("""COMPUTED_VALUE"""),95.65)</f>
        <v>95.65</v>
      </c>
      <c r="F441" s="2" t="n">
        <f aca="false">IFERROR(__xludf.dummyfunction("""COMPUTED_VALUE"""),32941493)</f>
        <v>32941493</v>
      </c>
    </row>
    <row r="442" customFormat="false" ht="15.75" hidden="false" customHeight="false" outlineLevel="0" collapsed="false">
      <c r="A442" s="3" t="n">
        <f aca="false">IFERROR(__xludf.dummyfunction("""COMPUTED_VALUE"""),44837.6666666667)</f>
        <v>44837.6666666667</v>
      </c>
      <c r="B442" s="2" t="n">
        <f aca="false">IFERROR(__xludf.dummyfunction("""COMPUTED_VALUE"""),96.76)</f>
        <v>96.76</v>
      </c>
      <c r="C442" s="2" t="n">
        <f aca="false">IFERROR(__xludf.dummyfunction("""COMPUTED_VALUE"""),99.29)</f>
        <v>99.29</v>
      </c>
      <c r="D442" s="2" t="n">
        <f aca="false">IFERROR(__xludf.dummyfunction("""COMPUTED_VALUE"""),96.52)</f>
        <v>96.52</v>
      </c>
      <c r="E442" s="2" t="n">
        <f aca="false">IFERROR(__xludf.dummyfunction("""COMPUTED_VALUE"""),98.64)</f>
        <v>98.64</v>
      </c>
      <c r="F442" s="2" t="n">
        <f aca="false">IFERROR(__xludf.dummyfunction("""COMPUTED_VALUE"""),27982031)</f>
        <v>27982031</v>
      </c>
    </row>
    <row r="443" customFormat="false" ht="15.75" hidden="false" customHeight="false" outlineLevel="0" collapsed="false">
      <c r="A443" s="3" t="n">
        <f aca="false">IFERROR(__xludf.dummyfunction("""COMPUTED_VALUE"""),44838.6666666667)</f>
        <v>44838.6666666667</v>
      </c>
      <c r="B443" s="2" t="n">
        <f aca="false">IFERROR(__xludf.dummyfunction("""COMPUTED_VALUE"""),100.44)</f>
        <v>100.44</v>
      </c>
      <c r="C443" s="2" t="n">
        <f aca="false">IFERROR(__xludf.dummyfunction("""COMPUTED_VALUE"""),101.84)</f>
        <v>101.84</v>
      </c>
      <c r="D443" s="2" t="n">
        <f aca="false">IFERROR(__xludf.dummyfunction("""COMPUTED_VALUE"""),100.38)</f>
        <v>100.38</v>
      </c>
      <c r="E443" s="2" t="n">
        <f aca="false">IFERROR(__xludf.dummyfunction("""COMPUTED_VALUE"""),101.64)</f>
        <v>101.64</v>
      </c>
      <c r="F443" s="2" t="n">
        <f aca="false">IFERROR(__xludf.dummyfunction("""COMPUTED_VALUE"""),28850773)</f>
        <v>28850773</v>
      </c>
    </row>
    <row r="444" customFormat="false" ht="15.75" hidden="false" customHeight="false" outlineLevel="0" collapsed="false">
      <c r="A444" s="3" t="n">
        <f aca="false">IFERROR(__xludf.dummyfunction("""COMPUTED_VALUE"""),44839.6666666667)</f>
        <v>44839.6666666667</v>
      </c>
      <c r="B444" s="2" t="n">
        <f aca="false">IFERROR(__xludf.dummyfunction("""COMPUTED_VALUE"""),99.83)</f>
        <v>99.83</v>
      </c>
      <c r="C444" s="2" t="n">
        <f aca="false">IFERROR(__xludf.dummyfunction("""COMPUTED_VALUE"""),101.93)</f>
        <v>101.93</v>
      </c>
      <c r="D444" s="2" t="n">
        <f aca="false">IFERROR(__xludf.dummyfunction("""COMPUTED_VALUE"""),98.8)</f>
        <v>98.8</v>
      </c>
      <c r="E444" s="2" t="n">
        <f aca="false">IFERROR(__xludf.dummyfunction("""COMPUTED_VALUE"""),101.43)</f>
        <v>101.43</v>
      </c>
      <c r="F444" s="2" t="n">
        <f aca="false">IFERROR(__xludf.dummyfunction("""COMPUTED_VALUE"""),22176903)</f>
        <v>22176903</v>
      </c>
    </row>
    <row r="445" customFormat="false" ht="15.75" hidden="false" customHeight="false" outlineLevel="0" collapsed="false">
      <c r="A445" s="3" t="n">
        <f aca="false">IFERROR(__xludf.dummyfunction("""COMPUTED_VALUE"""),44840.6666666667)</f>
        <v>44840.6666666667</v>
      </c>
      <c r="B445" s="2" t="n">
        <f aca="false">IFERROR(__xludf.dummyfunction("""COMPUTED_VALUE"""),100.68)</f>
        <v>100.68</v>
      </c>
      <c r="C445" s="2" t="n">
        <f aca="false">IFERROR(__xludf.dummyfunction("""COMPUTED_VALUE"""),102.93)</f>
        <v>102.93</v>
      </c>
      <c r="D445" s="2" t="n">
        <f aca="false">IFERROR(__xludf.dummyfunction("""COMPUTED_VALUE"""),100.59)</f>
        <v>100.59</v>
      </c>
      <c r="E445" s="2" t="n">
        <f aca="false">IFERROR(__xludf.dummyfunction("""COMPUTED_VALUE"""),101.42)</f>
        <v>101.42</v>
      </c>
      <c r="F445" s="2" t="n">
        <f aca="false">IFERROR(__xludf.dummyfunction("""COMPUTED_VALUE"""),22323989)</f>
        <v>22323989</v>
      </c>
    </row>
    <row r="446" customFormat="false" ht="15.75" hidden="false" customHeight="false" outlineLevel="0" collapsed="false">
      <c r="A446" s="3" t="n">
        <f aca="false">IFERROR(__xludf.dummyfunction("""COMPUTED_VALUE"""),44841.6666666667)</f>
        <v>44841.6666666667</v>
      </c>
      <c r="B446" s="2" t="n">
        <f aca="false">IFERROR(__xludf.dummyfunction("""COMPUTED_VALUE"""),99.85)</f>
        <v>99.85</v>
      </c>
      <c r="C446" s="2" t="n">
        <f aca="false">IFERROR(__xludf.dummyfunction("""COMPUTED_VALUE"""),100.53)</f>
        <v>100.53</v>
      </c>
      <c r="D446" s="2" t="n">
        <f aca="false">IFERROR(__xludf.dummyfunction("""COMPUTED_VALUE"""),98.3)</f>
        <v>98.3</v>
      </c>
      <c r="E446" s="2" t="n">
        <f aca="false">IFERROR(__xludf.dummyfunction("""COMPUTED_VALUE"""),98.68)</f>
        <v>98.68</v>
      </c>
      <c r="F446" s="2" t="n">
        <f aca="false">IFERROR(__xludf.dummyfunction("""COMPUTED_VALUE"""),27502765)</f>
        <v>27502765</v>
      </c>
    </row>
    <row r="447" customFormat="false" ht="15.75" hidden="false" customHeight="false" outlineLevel="0" collapsed="false">
      <c r="A447" s="3" t="n">
        <f aca="false">IFERROR(__xludf.dummyfunction("""COMPUTED_VALUE"""),44844.6666666667)</f>
        <v>44844.6666666667</v>
      </c>
      <c r="B447" s="2" t="n">
        <f aca="false">IFERROR(__xludf.dummyfunction("""COMPUTED_VALUE"""),99)</f>
        <v>99</v>
      </c>
      <c r="C447" s="2" t="n">
        <f aca="false">IFERROR(__xludf.dummyfunction("""COMPUTED_VALUE"""),99.1)</f>
        <v>99.1</v>
      </c>
      <c r="D447" s="2" t="n">
        <f aca="false">IFERROR(__xludf.dummyfunction("""COMPUTED_VALUE"""),97.01)</f>
        <v>97.01</v>
      </c>
      <c r="E447" s="2" t="n">
        <f aca="false">IFERROR(__xludf.dummyfunction("""COMPUTED_VALUE"""),97.86)</f>
        <v>97.86</v>
      </c>
      <c r="F447" s="2" t="n">
        <f aca="false">IFERROR(__xludf.dummyfunction("""COMPUTED_VALUE"""),18225094)</f>
        <v>18225094</v>
      </c>
    </row>
    <row r="448" customFormat="false" ht="15.75" hidden="false" customHeight="false" outlineLevel="0" collapsed="false">
      <c r="A448" s="3" t="n">
        <f aca="false">IFERROR(__xludf.dummyfunction("""COMPUTED_VALUE"""),44845.6666666667)</f>
        <v>44845.6666666667</v>
      </c>
      <c r="B448" s="2" t="n">
        <f aca="false">IFERROR(__xludf.dummyfunction("""COMPUTED_VALUE"""),97.43)</f>
        <v>97.43</v>
      </c>
      <c r="C448" s="2" t="n">
        <f aca="false">IFERROR(__xludf.dummyfunction("""COMPUTED_VALUE"""),99.25)</f>
        <v>99.25</v>
      </c>
      <c r="D448" s="2" t="n">
        <f aca="false">IFERROR(__xludf.dummyfunction("""COMPUTED_VALUE"""),96.31)</f>
        <v>96.31</v>
      </c>
      <c r="E448" s="2" t="n">
        <f aca="false">IFERROR(__xludf.dummyfunction("""COMPUTED_VALUE"""),97.18)</f>
        <v>97.18</v>
      </c>
      <c r="F448" s="2" t="n">
        <f aca="false">IFERROR(__xludf.dummyfunction("""COMPUTED_VALUE"""),26507103)</f>
        <v>26507103</v>
      </c>
    </row>
    <row r="449" customFormat="false" ht="15.75" hidden="false" customHeight="false" outlineLevel="0" collapsed="false">
      <c r="A449" s="3" t="n">
        <f aca="false">IFERROR(__xludf.dummyfunction("""COMPUTED_VALUE"""),44846.6666666667)</f>
        <v>44846.6666666667</v>
      </c>
      <c r="B449" s="2" t="n">
        <f aca="false">IFERROR(__xludf.dummyfunction("""COMPUTED_VALUE"""),97.3)</f>
        <v>97.3</v>
      </c>
      <c r="C449" s="2" t="n">
        <f aca="false">IFERROR(__xludf.dummyfunction("""COMPUTED_VALUE"""),98.75)</f>
        <v>98.75</v>
      </c>
      <c r="D449" s="2" t="n">
        <f aca="false">IFERROR(__xludf.dummyfunction("""COMPUTED_VALUE"""),96.74)</f>
        <v>96.74</v>
      </c>
      <c r="E449" s="2" t="n">
        <f aca="false">IFERROR(__xludf.dummyfunction("""COMPUTED_VALUE"""),97.56)</f>
        <v>97.56</v>
      </c>
      <c r="F449" s="2" t="n">
        <f aca="false">IFERROR(__xludf.dummyfunction("""COMPUTED_VALUE"""),21876362)</f>
        <v>21876362</v>
      </c>
    </row>
    <row r="450" customFormat="false" ht="15.75" hidden="false" customHeight="false" outlineLevel="0" collapsed="false">
      <c r="A450" s="3" t="n">
        <f aca="false">IFERROR(__xludf.dummyfunction("""COMPUTED_VALUE"""),44847.6666666667)</f>
        <v>44847.6666666667</v>
      </c>
      <c r="B450" s="2" t="n">
        <f aca="false">IFERROR(__xludf.dummyfunction("""COMPUTED_VALUE"""),95.15)</f>
        <v>95.15</v>
      </c>
      <c r="C450" s="2" t="n">
        <f aca="false">IFERROR(__xludf.dummyfunction("""COMPUTED_VALUE"""),99.78)</f>
        <v>99.78</v>
      </c>
      <c r="D450" s="2" t="n">
        <f aca="false">IFERROR(__xludf.dummyfunction("""COMPUTED_VALUE"""),94.38)</f>
        <v>94.38</v>
      </c>
      <c r="E450" s="2" t="n">
        <f aca="false">IFERROR(__xludf.dummyfunction("""COMPUTED_VALUE"""),99.06)</f>
        <v>99.06</v>
      </c>
      <c r="F450" s="2" t="n">
        <f aca="false">IFERROR(__xludf.dummyfunction("""COMPUTED_VALUE"""),34574549)</f>
        <v>34574549</v>
      </c>
    </row>
    <row r="451" customFormat="false" ht="15.75" hidden="false" customHeight="false" outlineLevel="0" collapsed="false">
      <c r="A451" s="3" t="n">
        <f aca="false">IFERROR(__xludf.dummyfunction("""COMPUTED_VALUE"""),44848.6666666667)</f>
        <v>44848.6666666667</v>
      </c>
      <c r="B451" s="2" t="n">
        <f aca="false">IFERROR(__xludf.dummyfunction("""COMPUTED_VALUE"""),99.99)</f>
        <v>99.99</v>
      </c>
      <c r="C451" s="2" t="n">
        <f aca="false">IFERROR(__xludf.dummyfunction("""COMPUTED_VALUE"""),100.69)</f>
        <v>100.69</v>
      </c>
      <c r="D451" s="2" t="n">
        <f aca="false">IFERROR(__xludf.dummyfunction("""COMPUTED_VALUE"""),96.37)</f>
        <v>96.37</v>
      </c>
      <c r="E451" s="2" t="n">
        <f aca="false">IFERROR(__xludf.dummyfunction("""COMPUTED_VALUE"""),96.56)</f>
        <v>96.56</v>
      </c>
      <c r="F451" s="2" t="n">
        <f aca="false">IFERROR(__xludf.dummyfunction("""COMPUTED_VALUE"""),25410674)</f>
        <v>25410674</v>
      </c>
    </row>
    <row r="452" customFormat="false" ht="15.75" hidden="false" customHeight="false" outlineLevel="0" collapsed="false">
      <c r="A452" s="3" t="n">
        <f aca="false">IFERROR(__xludf.dummyfunction("""COMPUTED_VALUE"""),44851.6666666667)</f>
        <v>44851.6666666667</v>
      </c>
      <c r="B452" s="2" t="n">
        <f aca="false">IFERROR(__xludf.dummyfunction("""COMPUTED_VALUE"""),98.86)</f>
        <v>98.86</v>
      </c>
      <c r="C452" s="2" t="n">
        <f aca="false">IFERROR(__xludf.dummyfunction("""COMPUTED_VALUE"""),100.93)</f>
        <v>100.93</v>
      </c>
      <c r="D452" s="2" t="n">
        <f aca="false">IFERROR(__xludf.dummyfunction("""COMPUTED_VALUE"""),98.83)</f>
        <v>98.83</v>
      </c>
      <c r="E452" s="2" t="n">
        <f aca="false">IFERROR(__xludf.dummyfunction("""COMPUTED_VALUE"""),99.97)</f>
        <v>99.97</v>
      </c>
      <c r="F452" s="2" t="n">
        <f aca="false">IFERROR(__xludf.dummyfunction("""COMPUTED_VALUE"""),28419192)</f>
        <v>28419192</v>
      </c>
    </row>
    <row r="453" customFormat="false" ht="15.75" hidden="false" customHeight="false" outlineLevel="0" collapsed="false">
      <c r="A453" s="3" t="n">
        <f aca="false">IFERROR(__xludf.dummyfunction("""COMPUTED_VALUE"""),44852.6666666667)</f>
        <v>44852.6666666667</v>
      </c>
      <c r="B453" s="2" t="n">
        <f aca="false">IFERROR(__xludf.dummyfunction("""COMPUTED_VALUE"""),103.13)</f>
        <v>103.13</v>
      </c>
      <c r="C453" s="2" t="n">
        <f aca="false">IFERROR(__xludf.dummyfunction("""COMPUTED_VALUE"""),103.47)</f>
        <v>103.47</v>
      </c>
      <c r="D453" s="2" t="n">
        <f aca="false">IFERROR(__xludf.dummyfunction("""COMPUTED_VALUE"""),99.97)</f>
        <v>99.97</v>
      </c>
      <c r="E453" s="2" t="n">
        <f aca="false">IFERROR(__xludf.dummyfunction("""COMPUTED_VALUE"""),100.77)</f>
        <v>100.77</v>
      </c>
      <c r="F453" s="2" t="n">
        <f aca="false">IFERROR(__xludf.dummyfunction("""COMPUTED_VALUE"""),24060671)</f>
        <v>24060671</v>
      </c>
    </row>
    <row r="454" customFormat="false" ht="15.75" hidden="false" customHeight="false" outlineLevel="0" collapsed="false">
      <c r="A454" s="3" t="n">
        <f aca="false">IFERROR(__xludf.dummyfunction("""COMPUTED_VALUE"""),44853.6666666667)</f>
        <v>44853.6666666667</v>
      </c>
      <c r="B454" s="2" t="n">
        <f aca="false">IFERROR(__xludf.dummyfunction("""COMPUTED_VALUE"""),100.01)</f>
        <v>100.01</v>
      </c>
      <c r="C454" s="2" t="n">
        <f aca="false">IFERROR(__xludf.dummyfunction("""COMPUTED_VALUE"""),101.02)</f>
        <v>101.02</v>
      </c>
      <c r="D454" s="2" t="n">
        <f aca="false">IFERROR(__xludf.dummyfunction("""COMPUTED_VALUE"""),98.92)</f>
        <v>98.92</v>
      </c>
      <c r="E454" s="2" t="n">
        <f aca="false">IFERROR(__xludf.dummyfunction("""COMPUTED_VALUE"""),99.63)</f>
        <v>99.63</v>
      </c>
      <c r="F454" s="2" t="n">
        <f aca="false">IFERROR(__xludf.dummyfunction("""COMPUTED_VALUE"""),23811064)</f>
        <v>23811064</v>
      </c>
    </row>
    <row r="455" customFormat="false" ht="15.75" hidden="false" customHeight="false" outlineLevel="0" collapsed="false">
      <c r="A455" s="3" t="n">
        <f aca="false">IFERROR(__xludf.dummyfunction("""COMPUTED_VALUE"""),44854.6666666667)</f>
        <v>44854.6666666667</v>
      </c>
      <c r="B455" s="2" t="n">
        <f aca="false">IFERROR(__xludf.dummyfunction("""COMPUTED_VALUE"""),100)</f>
        <v>100</v>
      </c>
      <c r="C455" s="2" t="n">
        <f aca="false">IFERROR(__xludf.dummyfunction("""COMPUTED_VALUE"""),102.32)</f>
        <v>102.32</v>
      </c>
      <c r="D455" s="2" t="n">
        <f aca="false">IFERROR(__xludf.dummyfunction("""COMPUTED_VALUE"""),99.39)</f>
        <v>99.39</v>
      </c>
      <c r="E455" s="2" t="n">
        <f aca="false">IFERROR(__xludf.dummyfunction("""COMPUTED_VALUE"""),99.97)</f>
        <v>99.97</v>
      </c>
      <c r="F455" s="2" t="n">
        <f aca="false">IFERROR(__xludf.dummyfunction("""COMPUTED_VALUE"""),25323202)</f>
        <v>25323202</v>
      </c>
    </row>
    <row r="456" customFormat="false" ht="15.75" hidden="false" customHeight="false" outlineLevel="0" collapsed="false">
      <c r="A456" s="3" t="n">
        <f aca="false">IFERROR(__xludf.dummyfunction("""COMPUTED_VALUE"""),44855.6666666667)</f>
        <v>44855.6666666667</v>
      </c>
      <c r="B456" s="2" t="n">
        <f aca="false">IFERROR(__xludf.dummyfunction("""COMPUTED_VALUE"""),97.85)</f>
        <v>97.85</v>
      </c>
      <c r="C456" s="2" t="n">
        <f aca="false">IFERROR(__xludf.dummyfunction("""COMPUTED_VALUE"""),101.31)</f>
        <v>101.31</v>
      </c>
      <c r="D456" s="2" t="n">
        <f aca="false">IFERROR(__xludf.dummyfunction("""COMPUTED_VALUE"""),97.72)</f>
        <v>97.72</v>
      </c>
      <c r="E456" s="2" t="n">
        <f aca="false">IFERROR(__xludf.dummyfunction("""COMPUTED_VALUE"""),101.13)</f>
        <v>101.13</v>
      </c>
      <c r="F456" s="2" t="n">
        <f aca="false">IFERROR(__xludf.dummyfunction("""COMPUTED_VALUE"""),32458722)</f>
        <v>32458722</v>
      </c>
    </row>
    <row r="457" customFormat="false" ht="15.75" hidden="false" customHeight="false" outlineLevel="0" collapsed="false">
      <c r="A457" s="3" t="n">
        <f aca="false">IFERROR(__xludf.dummyfunction("""COMPUTED_VALUE"""),44858.6666666667)</f>
        <v>44858.6666666667</v>
      </c>
      <c r="B457" s="2" t="n">
        <f aca="false">IFERROR(__xludf.dummyfunction("""COMPUTED_VALUE"""),101.8)</f>
        <v>101.8</v>
      </c>
      <c r="C457" s="2" t="n">
        <f aca="false">IFERROR(__xludf.dummyfunction("""COMPUTED_VALUE"""),102.75)</f>
        <v>102.75</v>
      </c>
      <c r="D457" s="2" t="n">
        <f aca="false">IFERROR(__xludf.dummyfunction("""COMPUTED_VALUE"""),99.98)</f>
        <v>99.98</v>
      </c>
      <c r="E457" s="2" t="n">
        <f aca="false">IFERROR(__xludf.dummyfunction("""COMPUTED_VALUE"""),102.52)</f>
        <v>102.52</v>
      </c>
      <c r="F457" s="2" t="n">
        <f aca="false">IFERROR(__xludf.dummyfunction("""COMPUTED_VALUE"""),27176417)</f>
        <v>27176417</v>
      </c>
    </row>
    <row r="458" customFormat="false" ht="15.75" hidden="false" customHeight="false" outlineLevel="0" collapsed="false">
      <c r="A458" s="3" t="n">
        <f aca="false">IFERROR(__xludf.dummyfunction("""COMPUTED_VALUE"""),44859.6666666667)</f>
        <v>44859.6666666667</v>
      </c>
      <c r="B458" s="2" t="n">
        <f aca="false">IFERROR(__xludf.dummyfunction("""COMPUTED_VALUE"""),102.9)</f>
        <v>102.9</v>
      </c>
      <c r="C458" s="2" t="n">
        <f aca="false">IFERROR(__xludf.dummyfunction("""COMPUTED_VALUE"""),104.82)</f>
        <v>104.82</v>
      </c>
      <c r="D458" s="2" t="n">
        <f aca="false">IFERROR(__xludf.dummyfunction("""COMPUTED_VALUE"""),102.72)</f>
        <v>102.72</v>
      </c>
      <c r="E458" s="2" t="n">
        <f aca="false">IFERROR(__xludf.dummyfunction("""COMPUTED_VALUE"""),104.48)</f>
        <v>104.48</v>
      </c>
      <c r="F458" s="2" t="n">
        <f aca="false">IFERROR(__xludf.dummyfunction("""COMPUTED_VALUE"""),40611375)</f>
        <v>40611375</v>
      </c>
    </row>
    <row r="459" customFormat="false" ht="15.75" hidden="false" customHeight="false" outlineLevel="0" collapsed="false">
      <c r="A459" s="3" t="n">
        <f aca="false">IFERROR(__xludf.dummyfunction("""COMPUTED_VALUE"""),44860.6666666667)</f>
        <v>44860.6666666667</v>
      </c>
      <c r="B459" s="2" t="n">
        <f aca="false">IFERROR(__xludf.dummyfunction("""COMPUTED_VALUE"""),96.43)</f>
        <v>96.43</v>
      </c>
      <c r="C459" s="2" t="n">
        <f aca="false">IFERROR(__xludf.dummyfunction("""COMPUTED_VALUE"""),98.31)</f>
        <v>98.31</v>
      </c>
      <c r="D459" s="2" t="n">
        <f aca="false">IFERROR(__xludf.dummyfunction("""COMPUTED_VALUE"""),94.69)</f>
        <v>94.69</v>
      </c>
      <c r="E459" s="2" t="n">
        <f aca="false">IFERROR(__xludf.dummyfunction("""COMPUTED_VALUE"""),94.93)</f>
        <v>94.93</v>
      </c>
      <c r="F459" s="2" t="n">
        <f aca="false">IFERROR(__xludf.dummyfunction("""COMPUTED_VALUE"""),88279042)</f>
        <v>88279042</v>
      </c>
    </row>
    <row r="460" customFormat="false" ht="15.75" hidden="false" customHeight="false" outlineLevel="0" collapsed="false">
      <c r="A460" s="3" t="n">
        <f aca="false">IFERROR(__xludf.dummyfunction("""COMPUTED_VALUE"""),44861.6666666667)</f>
        <v>44861.6666666667</v>
      </c>
      <c r="B460" s="2" t="n">
        <f aca="false">IFERROR(__xludf.dummyfunction("""COMPUTED_VALUE"""),94.52)</f>
        <v>94.52</v>
      </c>
      <c r="C460" s="2" t="n">
        <f aca="false">IFERROR(__xludf.dummyfunction("""COMPUTED_VALUE"""),95.43)</f>
        <v>95.43</v>
      </c>
      <c r="D460" s="2" t="n">
        <f aca="false">IFERROR(__xludf.dummyfunction("""COMPUTED_VALUE"""),91.8)</f>
        <v>91.8</v>
      </c>
      <c r="E460" s="2" t="n">
        <f aca="false">IFERROR(__xludf.dummyfunction("""COMPUTED_VALUE"""),92.22)</f>
        <v>92.22</v>
      </c>
      <c r="F460" s="2" t="n">
        <f aca="false">IFERROR(__xludf.dummyfunction("""COMPUTED_VALUE"""),60710859)</f>
        <v>60710859</v>
      </c>
    </row>
    <row r="461" customFormat="false" ht="15.75" hidden="false" customHeight="false" outlineLevel="0" collapsed="false">
      <c r="A461" s="3" t="n">
        <f aca="false">IFERROR(__xludf.dummyfunction("""COMPUTED_VALUE"""),44862.6666666667)</f>
        <v>44862.6666666667</v>
      </c>
      <c r="B461" s="2" t="n">
        <f aca="false">IFERROR(__xludf.dummyfunction("""COMPUTED_VALUE"""),92.27)</f>
        <v>92.27</v>
      </c>
      <c r="C461" s="2" t="n">
        <f aca="false">IFERROR(__xludf.dummyfunction("""COMPUTED_VALUE"""),96.55)</f>
        <v>96.55</v>
      </c>
      <c r="D461" s="2" t="n">
        <f aca="false">IFERROR(__xludf.dummyfunction("""COMPUTED_VALUE"""),92.13)</f>
        <v>92.13</v>
      </c>
      <c r="E461" s="2" t="n">
        <f aca="false">IFERROR(__xludf.dummyfunction("""COMPUTED_VALUE"""),96.29)</f>
        <v>96.29</v>
      </c>
      <c r="F461" s="2" t="n">
        <f aca="false">IFERROR(__xludf.dummyfunction("""COMPUTED_VALUE"""),43697286)</f>
        <v>43697286</v>
      </c>
    </row>
    <row r="462" customFormat="false" ht="15.75" hidden="false" customHeight="false" outlineLevel="0" collapsed="false">
      <c r="A462" s="3" t="n">
        <f aca="false">IFERROR(__xludf.dummyfunction("""COMPUTED_VALUE"""),44865.6666666667)</f>
        <v>44865.6666666667</v>
      </c>
      <c r="B462" s="2" t="n">
        <f aca="false">IFERROR(__xludf.dummyfunction("""COMPUTED_VALUE"""),95.42)</f>
        <v>95.42</v>
      </c>
      <c r="C462" s="2" t="n">
        <f aca="false">IFERROR(__xludf.dummyfunction("""COMPUTED_VALUE"""),96.03)</f>
        <v>96.03</v>
      </c>
      <c r="D462" s="2" t="n">
        <f aca="false">IFERROR(__xludf.dummyfunction("""COMPUTED_VALUE"""),93.98)</f>
        <v>93.98</v>
      </c>
      <c r="E462" s="2" t="n">
        <f aca="false">IFERROR(__xludf.dummyfunction("""COMPUTED_VALUE"""),94.51)</f>
        <v>94.51</v>
      </c>
      <c r="F462" s="2" t="n">
        <f aca="false">IFERROR(__xludf.dummyfunction("""COMPUTED_VALUE"""),31675036)</f>
        <v>31675036</v>
      </c>
    </row>
    <row r="463" customFormat="false" ht="15.75" hidden="false" customHeight="false" outlineLevel="0" collapsed="false">
      <c r="A463" s="3" t="n">
        <f aca="false">IFERROR(__xludf.dummyfunction("""COMPUTED_VALUE"""),44866.6666666667)</f>
        <v>44866.6666666667</v>
      </c>
      <c r="B463" s="2" t="n">
        <f aca="false">IFERROR(__xludf.dummyfunction("""COMPUTED_VALUE"""),95.45)</f>
        <v>95.45</v>
      </c>
      <c r="C463" s="2" t="n">
        <f aca="false">IFERROR(__xludf.dummyfunction("""COMPUTED_VALUE"""),96.03)</f>
        <v>96.03</v>
      </c>
      <c r="D463" s="2" t="n">
        <f aca="false">IFERROR(__xludf.dummyfunction("""COMPUTED_VALUE"""),90.37)</f>
        <v>90.37</v>
      </c>
      <c r="E463" s="2" t="n">
        <f aca="false">IFERROR(__xludf.dummyfunction("""COMPUTED_VALUE"""),90.47)</f>
        <v>90.47</v>
      </c>
      <c r="F463" s="2" t="n">
        <f aca="false">IFERROR(__xludf.dummyfunction("""COMPUTED_VALUE"""),47161351)</f>
        <v>47161351</v>
      </c>
    </row>
    <row r="464" customFormat="false" ht="15.75" hidden="false" customHeight="false" outlineLevel="0" collapsed="false">
      <c r="A464" s="3" t="n">
        <f aca="false">IFERROR(__xludf.dummyfunction("""COMPUTED_VALUE"""),44867.6666666667)</f>
        <v>44867.6666666667</v>
      </c>
      <c r="B464" s="2" t="n">
        <f aca="false">IFERROR(__xludf.dummyfunction("""COMPUTED_VALUE"""),90.94)</f>
        <v>90.94</v>
      </c>
      <c r="C464" s="2" t="n">
        <f aca="false">IFERROR(__xludf.dummyfunction("""COMPUTED_VALUE"""),91.18)</f>
        <v>91.18</v>
      </c>
      <c r="D464" s="2" t="n">
        <f aca="false">IFERROR(__xludf.dummyfunction("""COMPUTED_VALUE"""),86.88)</f>
        <v>86.88</v>
      </c>
      <c r="E464" s="2" t="n">
        <f aca="false">IFERROR(__xludf.dummyfunction("""COMPUTED_VALUE"""),86.97)</f>
        <v>86.97</v>
      </c>
      <c r="F464" s="2" t="n">
        <f aca="false">IFERROR(__xludf.dummyfunction("""COMPUTED_VALUE"""),57038282)</f>
        <v>57038282</v>
      </c>
    </row>
    <row r="465" customFormat="false" ht="15.75" hidden="false" customHeight="false" outlineLevel="0" collapsed="false">
      <c r="A465" s="3" t="n">
        <f aca="false">IFERROR(__xludf.dummyfunction("""COMPUTED_VALUE"""),44868.6666666667)</f>
        <v>44868.6666666667</v>
      </c>
      <c r="B465" s="2" t="n">
        <f aca="false">IFERROR(__xludf.dummyfunction("""COMPUTED_VALUE"""),86.32)</f>
        <v>86.32</v>
      </c>
      <c r="C465" s="2" t="n">
        <f aca="false">IFERROR(__xludf.dummyfunction("""COMPUTED_VALUE"""),86.52)</f>
        <v>86.52</v>
      </c>
      <c r="D465" s="2" t="n">
        <f aca="false">IFERROR(__xludf.dummyfunction("""COMPUTED_VALUE"""),83.34)</f>
        <v>83.34</v>
      </c>
      <c r="E465" s="2" t="n">
        <f aca="false">IFERROR(__xludf.dummyfunction("""COMPUTED_VALUE"""),83.43)</f>
        <v>83.43</v>
      </c>
      <c r="F465" s="2" t="n">
        <f aca="false">IFERROR(__xludf.dummyfunction("""COMPUTED_VALUE"""),61288019)</f>
        <v>61288019</v>
      </c>
    </row>
    <row r="466" customFormat="false" ht="15.75" hidden="false" customHeight="false" outlineLevel="0" collapsed="false">
      <c r="A466" s="3" t="n">
        <f aca="false">IFERROR(__xludf.dummyfunction("""COMPUTED_VALUE"""),44869.6666666667)</f>
        <v>44869.6666666667</v>
      </c>
      <c r="B466" s="2" t="n">
        <f aca="false">IFERROR(__xludf.dummyfunction("""COMPUTED_VALUE"""),85.4)</f>
        <v>85.4</v>
      </c>
      <c r="C466" s="2" t="n">
        <f aca="false">IFERROR(__xludf.dummyfunction("""COMPUTED_VALUE"""),86.64)</f>
        <v>86.64</v>
      </c>
      <c r="D466" s="2" t="n">
        <f aca="false">IFERROR(__xludf.dummyfunction("""COMPUTED_VALUE"""),83.71)</f>
        <v>83.71</v>
      </c>
      <c r="E466" s="2" t="n">
        <f aca="false">IFERROR(__xludf.dummyfunction("""COMPUTED_VALUE"""),86.58)</f>
        <v>86.58</v>
      </c>
      <c r="F466" s="2" t="n">
        <f aca="false">IFERROR(__xludf.dummyfunction("""COMPUTED_VALUE"""),51124904)</f>
        <v>51124904</v>
      </c>
    </row>
    <row r="467" customFormat="false" ht="15.75" hidden="false" customHeight="false" outlineLevel="0" collapsed="false">
      <c r="A467" s="3" t="n">
        <f aca="false">IFERROR(__xludf.dummyfunction("""COMPUTED_VALUE"""),44872.6666666667)</f>
        <v>44872.6666666667</v>
      </c>
      <c r="B467" s="2" t="n">
        <f aca="false">IFERROR(__xludf.dummyfunction("""COMPUTED_VALUE"""),87.28)</f>
        <v>87.28</v>
      </c>
      <c r="C467" s="2" t="n">
        <f aca="false">IFERROR(__xludf.dummyfunction("""COMPUTED_VALUE"""),88.9)</f>
        <v>88.9</v>
      </c>
      <c r="D467" s="2" t="n">
        <f aca="false">IFERROR(__xludf.dummyfunction("""COMPUTED_VALUE"""),86.85)</f>
        <v>86.85</v>
      </c>
      <c r="E467" s="2" t="n">
        <f aca="false">IFERROR(__xludf.dummyfunction("""COMPUTED_VALUE"""),88.49)</f>
        <v>88.49</v>
      </c>
      <c r="F467" s="2" t="n">
        <f aca="false">IFERROR(__xludf.dummyfunction("""COMPUTED_VALUE"""),34078912)</f>
        <v>34078912</v>
      </c>
    </row>
    <row r="468" customFormat="false" ht="15.75" hidden="false" customHeight="false" outlineLevel="0" collapsed="false">
      <c r="A468" s="3" t="n">
        <f aca="false">IFERROR(__xludf.dummyfunction("""COMPUTED_VALUE"""),44873.6666666667)</f>
        <v>44873.6666666667</v>
      </c>
      <c r="B468" s="2" t="n">
        <f aca="false">IFERROR(__xludf.dummyfunction("""COMPUTED_VALUE"""),88.9)</f>
        <v>88.9</v>
      </c>
      <c r="C468" s="2" t="n">
        <f aca="false">IFERROR(__xludf.dummyfunction("""COMPUTED_VALUE"""),90.32)</f>
        <v>90.32</v>
      </c>
      <c r="D468" s="2" t="n">
        <f aca="false">IFERROR(__xludf.dummyfunction("""COMPUTED_VALUE"""),87.59)</f>
        <v>87.59</v>
      </c>
      <c r="E468" s="2" t="n">
        <f aca="false">IFERROR(__xludf.dummyfunction("""COMPUTED_VALUE"""),88.9)</f>
        <v>88.9</v>
      </c>
      <c r="F468" s="2" t="n">
        <f aca="false">IFERROR(__xludf.dummyfunction("""COMPUTED_VALUE"""),30429025)</f>
        <v>30429025</v>
      </c>
    </row>
    <row r="469" customFormat="false" ht="15.75" hidden="false" customHeight="false" outlineLevel="0" collapsed="false">
      <c r="A469" s="3" t="n">
        <f aca="false">IFERROR(__xludf.dummyfunction("""COMPUTED_VALUE"""),44874.6666666667)</f>
        <v>44874.6666666667</v>
      </c>
      <c r="B469" s="2" t="n">
        <f aca="false">IFERROR(__xludf.dummyfunction("""COMPUTED_VALUE"""),88.45)</f>
        <v>88.45</v>
      </c>
      <c r="C469" s="2" t="n">
        <f aca="false">IFERROR(__xludf.dummyfunction("""COMPUTED_VALUE"""),89.44)</f>
        <v>89.44</v>
      </c>
      <c r="D469" s="2" t="n">
        <f aca="false">IFERROR(__xludf.dummyfunction("""COMPUTED_VALUE"""),87.28)</f>
        <v>87.28</v>
      </c>
      <c r="E469" s="2" t="n">
        <f aca="false">IFERROR(__xludf.dummyfunction("""COMPUTED_VALUE"""),87.32)</f>
        <v>87.32</v>
      </c>
      <c r="F469" s="2" t="n">
        <f aca="false">IFERROR(__xludf.dummyfunction("""COMPUTED_VALUE"""),31769099)</f>
        <v>31769099</v>
      </c>
    </row>
    <row r="470" customFormat="false" ht="15.75" hidden="false" customHeight="false" outlineLevel="0" collapsed="false">
      <c r="A470" s="3" t="n">
        <f aca="false">IFERROR(__xludf.dummyfunction("""COMPUTED_VALUE"""),44875.6666666667)</f>
        <v>44875.6666666667</v>
      </c>
      <c r="B470" s="2" t="n">
        <f aca="false">IFERROR(__xludf.dummyfunction("""COMPUTED_VALUE"""),92.25)</f>
        <v>92.25</v>
      </c>
      <c r="C470" s="2" t="n">
        <f aca="false">IFERROR(__xludf.dummyfunction("""COMPUTED_VALUE"""),94.39)</f>
        <v>94.39</v>
      </c>
      <c r="D470" s="2" t="n">
        <f aca="false">IFERROR(__xludf.dummyfunction("""COMPUTED_VALUE"""),91.61)</f>
        <v>91.61</v>
      </c>
      <c r="E470" s="2" t="n">
        <f aca="false">IFERROR(__xludf.dummyfunction("""COMPUTED_VALUE"""),93.94)</f>
        <v>93.94</v>
      </c>
      <c r="F470" s="2" t="n">
        <f aca="false">IFERROR(__xludf.dummyfunction("""COMPUTED_VALUE"""),51620136)</f>
        <v>51620136</v>
      </c>
    </row>
    <row r="471" customFormat="false" ht="15.75" hidden="false" customHeight="false" outlineLevel="0" collapsed="false">
      <c r="A471" s="3" t="n">
        <f aca="false">IFERROR(__xludf.dummyfunction("""COMPUTED_VALUE"""),44876.6666666667)</f>
        <v>44876.6666666667</v>
      </c>
      <c r="B471" s="2" t="n">
        <f aca="false">IFERROR(__xludf.dummyfunction("""COMPUTED_VALUE"""),94.69)</f>
        <v>94.69</v>
      </c>
      <c r="C471" s="2" t="n">
        <f aca="false">IFERROR(__xludf.dummyfunction("""COMPUTED_VALUE"""),96.93)</f>
        <v>96.93</v>
      </c>
      <c r="D471" s="2" t="n">
        <f aca="false">IFERROR(__xludf.dummyfunction("""COMPUTED_VALUE"""),93.92)</f>
        <v>93.92</v>
      </c>
      <c r="E471" s="2" t="n">
        <f aca="false">IFERROR(__xludf.dummyfunction("""COMPUTED_VALUE"""),96.41)</f>
        <v>96.41</v>
      </c>
      <c r="F471" s="2" t="n">
        <f aca="false">IFERROR(__xludf.dummyfunction("""COMPUTED_VALUE"""),33090482)</f>
        <v>33090482</v>
      </c>
    </row>
    <row r="472" customFormat="false" ht="15.75" hidden="false" customHeight="false" outlineLevel="0" collapsed="false">
      <c r="A472" s="3" t="n">
        <f aca="false">IFERROR(__xludf.dummyfunction("""COMPUTED_VALUE"""),44879.6666666667)</f>
        <v>44879.6666666667</v>
      </c>
      <c r="B472" s="2" t="n">
        <f aca="false">IFERROR(__xludf.dummyfunction("""COMPUTED_VALUE"""),95.09)</f>
        <v>95.09</v>
      </c>
      <c r="C472" s="2" t="n">
        <f aca="false">IFERROR(__xludf.dummyfunction("""COMPUTED_VALUE"""),96.79)</f>
        <v>96.79</v>
      </c>
      <c r="D472" s="2" t="n">
        <f aca="false">IFERROR(__xludf.dummyfunction("""COMPUTED_VALUE"""),94.51)</f>
        <v>94.51</v>
      </c>
      <c r="E472" s="2" t="n">
        <f aca="false">IFERROR(__xludf.dummyfunction("""COMPUTED_VALUE"""),95.7)</f>
        <v>95.7</v>
      </c>
      <c r="F472" s="2" t="n">
        <f aca="false">IFERROR(__xludf.dummyfunction("""COMPUTED_VALUE"""),30179539)</f>
        <v>30179539</v>
      </c>
    </row>
    <row r="473" customFormat="false" ht="15.75" hidden="false" customHeight="false" outlineLevel="0" collapsed="false">
      <c r="A473" s="3" t="n">
        <f aca="false">IFERROR(__xludf.dummyfunction("""COMPUTED_VALUE"""),44880.6666666667)</f>
        <v>44880.6666666667</v>
      </c>
      <c r="B473" s="2" t="n">
        <f aca="false">IFERROR(__xludf.dummyfunction("""COMPUTED_VALUE"""),98.26)</f>
        <v>98.26</v>
      </c>
      <c r="C473" s="2" t="n">
        <f aca="false">IFERROR(__xludf.dummyfunction("""COMPUTED_VALUE"""),100.14)</f>
        <v>100.14</v>
      </c>
      <c r="D473" s="2" t="n">
        <f aca="false">IFERROR(__xludf.dummyfunction("""COMPUTED_VALUE"""),96.71)</f>
        <v>96.71</v>
      </c>
      <c r="E473" s="2" t="n">
        <f aca="false">IFERROR(__xludf.dummyfunction("""COMPUTED_VALUE"""),98.44)</f>
        <v>98.44</v>
      </c>
      <c r="F473" s="2" t="n">
        <f aca="false">IFERROR(__xludf.dummyfunction("""COMPUTED_VALUE"""),41640816)</f>
        <v>41640816</v>
      </c>
    </row>
    <row r="474" customFormat="false" ht="15.75" hidden="false" customHeight="false" outlineLevel="0" collapsed="false">
      <c r="A474" s="3" t="n">
        <f aca="false">IFERROR(__xludf.dummyfunction("""COMPUTED_VALUE"""),44881.6666666667)</f>
        <v>44881.6666666667</v>
      </c>
      <c r="B474" s="2" t="n">
        <f aca="false">IFERROR(__xludf.dummyfunction("""COMPUTED_VALUE"""),97.9)</f>
        <v>97.9</v>
      </c>
      <c r="C474" s="2" t="n">
        <f aca="false">IFERROR(__xludf.dummyfunction("""COMPUTED_VALUE"""),99.64)</f>
        <v>99.64</v>
      </c>
      <c r="D474" s="2" t="n">
        <f aca="false">IFERROR(__xludf.dummyfunction("""COMPUTED_VALUE"""),97.64)</f>
        <v>97.64</v>
      </c>
      <c r="E474" s="2" t="n">
        <f aca="false">IFERROR(__xludf.dummyfunction("""COMPUTED_VALUE"""),98.85)</f>
        <v>98.85</v>
      </c>
      <c r="F474" s="2" t="n">
        <f aca="false">IFERROR(__xludf.dummyfunction("""COMPUTED_VALUE"""),29105154)</f>
        <v>29105154</v>
      </c>
    </row>
    <row r="475" customFormat="false" ht="15.75" hidden="false" customHeight="false" outlineLevel="0" collapsed="false">
      <c r="A475" s="3" t="n">
        <f aca="false">IFERROR(__xludf.dummyfunction("""COMPUTED_VALUE"""),44882.6666666667)</f>
        <v>44882.6666666667</v>
      </c>
      <c r="B475" s="2" t="n">
        <f aca="false">IFERROR(__xludf.dummyfunction("""COMPUTED_VALUE"""),96.97)</f>
        <v>96.97</v>
      </c>
      <c r="C475" s="2" t="n">
        <f aca="false">IFERROR(__xludf.dummyfunction("""COMPUTED_VALUE"""),99.28)</f>
        <v>99.28</v>
      </c>
      <c r="D475" s="2" t="n">
        <f aca="false">IFERROR(__xludf.dummyfunction("""COMPUTED_VALUE"""),96.79)</f>
        <v>96.79</v>
      </c>
      <c r="E475" s="2" t="n">
        <f aca="false">IFERROR(__xludf.dummyfunction("""COMPUTED_VALUE"""),98.36)</f>
        <v>98.36</v>
      </c>
      <c r="F475" s="2" t="n">
        <f aca="false">IFERROR(__xludf.dummyfunction("""COMPUTED_VALUE"""),26052599)</f>
        <v>26052599</v>
      </c>
    </row>
    <row r="476" customFormat="false" ht="15.75" hidden="false" customHeight="false" outlineLevel="0" collapsed="false">
      <c r="A476" s="3" t="n">
        <f aca="false">IFERROR(__xludf.dummyfunction("""COMPUTED_VALUE"""),44883.6666666667)</f>
        <v>44883.6666666667</v>
      </c>
      <c r="B476" s="2" t="n">
        <f aca="false">IFERROR(__xludf.dummyfunction("""COMPUTED_VALUE"""),98.77)</f>
        <v>98.77</v>
      </c>
      <c r="C476" s="2" t="n">
        <f aca="false">IFERROR(__xludf.dummyfunction("""COMPUTED_VALUE"""),98.9)</f>
        <v>98.9</v>
      </c>
      <c r="D476" s="2" t="n">
        <f aca="false">IFERROR(__xludf.dummyfunction("""COMPUTED_VALUE"""),96.37)</f>
        <v>96.37</v>
      </c>
      <c r="E476" s="2" t="n">
        <f aca="false">IFERROR(__xludf.dummyfunction("""COMPUTED_VALUE"""),97.43)</f>
        <v>97.43</v>
      </c>
      <c r="F476" s="2" t="n">
        <f aca="false">IFERROR(__xludf.dummyfunction("""COMPUTED_VALUE"""),28342297)</f>
        <v>28342297</v>
      </c>
    </row>
    <row r="477" customFormat="false" ht="15.75" hidden="false" customHeight="false" outlineLevel="0" collapsed="false">
      <c r="A477" s="3" t="n">
        <f aca="false">IFERROR(__xludf.dummyfunction("""COMPUTED_VALUE"""),44886.6666666667)</f>
        <v>44886.6666666667</v>
      </c>
      <c r="B477" s="2" t="n">
        <f aca="false">IFERROR(__xludf.dummyfunction("""COMPUTED_VALUE"""),97.29)</f>
        <v>97.29</v>
      </c>
      <c r="C477" s="2" t="n">
        <f aca="false">IFERROR(__xludf.dummyfunction("""COMPUTED_VALUE"""),98.4)</f>
        <v>98.4</v>
      </c>
      <c r="D477" s="2" t="n">
        <f aca="false">IFERROR(__xludf.dummyfunction("""COMPUTED_VALUE"""),95.36)</f>
        <v>95.36</v>
      </c>
      <c r="E477" s="2" t="n">
        <f aca="false">IFERROR(__xludf.dummyfunction("""COMPUTED_VALUE"""),95.6)</f>
        <v>95.6</v>
      </c>
      <c r="F477" s="2" t="n">
        <f aca="false">IFERROR(__xludf.dummyfunction("""COMPUTED_VALUE"""),21647387)</f>
        <v>21647387</v>
      </c>
    </row>
    <row r="478" customFormat="false" ht="15.75" hidden="false" customHeight="false" outlineLevel="0" collapsed="false">
      <c r="A478" s="3" t="n">
        <f aca="false">IFERROR(__xludf.dummyfunction("""COMPUTED_VALUE"""),44887.6666666667)</f>
        <v>44887.6666666667</v>
      </c>
      <c r="B478" s="2" t="n">
        <f aca="false">IFERROR(__xludf.dummyfunction("""COMPUTED_VALUE"""),95.95)</f>
        <v>95.95</v>
      </c>
      <c r="C478" s="2" t="n">
        <f aca="false">IFERROR(__xludf.dummyfunction("""COMPUTED_VALUE"""),97.22)</f>
        <v>97.22</v>
      </c>
      <c r="D478" s="2" t="n">
        <f aca="false">IFERROR(__xludf.dummyfunction("""COMPUTED_VALUE"""),94.05)</f>
        <v>94.05</v>
      </c>
      <c r="E478" s="2" t="n">
        <f aca="false">IFERROR(__xludf.dummyfunction("""COMPUTED_VALUE"""),97.05)</f>
        <v>97.05</v>
      </c>
      <c r="F478" s="2" t="n">
        <f aca="false">IFERROR(__xludf.dummyfunction("""COMPUTED_VALUE"""),23438480)</f>
        <v>23438480</v>
      </c>
    </row>
    <row r="479" customFormat="false" ht="15.75" hidden="false" customHeight="false" outlineLevel="0" collapsed="false">
      <c r="A479" s="3" t="n">
        <f aca="false">IFERROR(__xludf.dummyfunction("""COMPUTED_VALUE"""),44888.6666666667)</f>
        <v>44888.6666666667</v>
      </c>
      <c r="B479" s="2" t="n">
        <f aca="false">IFERROR(__xludf.dummyfunction("""COMPUTED_VALUE"""),97.09)</f>
        <v>97.09</v>
      </c>
      <c r="C479" s="2" t="n">
        <f aca="false">IFERROR(__xludf.dummyfunction("""COMPUTED_VALUE"""),98.76)</f>
        <v>98.76</v>
      </c>
      <c r="D479" s="2" t="n">
        <f aca="false">IFERROR(__xludf.dummyfunction("""COMPUTED_VALUE"""),97.09)</f>
        <v>97.09</v>
      </c>
      <c r="E479" s="2" t="n">
        <f aca="false">IFERROR(__xludf.dummyfunction("""COMPUTED_VALUE"""),98.46)</f>
        <v>98.46</v>
      </c>
      <c r="F479" s="2" t="n">
        <f aca="false">IFERROR(__xludf.dummyfunction("""COMPUTED_VALUE"""),18868092)</f>
        <v>18868092</v>
      </c>
    </row>
    <row r="480" customFormat="false" ht="15.75" hidden="false" customHeight="false" outlineLevel="0" collapsed="false">
      <c r="A480" s="3" t="n">
        <f aca="false">IFERROR(__xludf.dummyfunction("""COMPUTED_VALUE"""),44890.5451388889)</f>
        <v>44890.5451388889</v>
      </c>
      <c r="B480" s="2" t="n">
        <f aca="false">IFERROR(__xludf.dummyfunction("""COMPUTED_VALUE"""),98.24)</f>
        <v>98.24</v>
      </c>
      <c r="C480" s="2" t="n">
        <f aca="false">IFERROR(__xludf.dummyfunction("""COMPUTED_VALUE"""),98.64)</f>
        <v>98.64</v>
      </c>
      <c r="D480" s="2" t="n">
        <f aca="false">IFERROR(__xludf.dummyfunction("""COMPUTED_VALUE"""),97.4)</f>
        <v>97.4</v>
      </c>
      <c r="E480" s="2" t="n">
        <f aca="false">IFERROR(__xludf.dummyfunction("""COMPUTED_VALUE"""),97.46)</f>
        <v>97.46</v>
      </c>
      <c r="F480" s="2" t="n">
        <f aca="false">IFERROR(__xludf.dummyfunction("""COMPUTED_VALUE"""),9701441)</f>
        <v>9701441</v>
      </c>
    </row>
    <row r="481" customFormat="false" ht="15.75" hidden="false" customHeight="false" outlineLevel="0" collapsed="false">
      <c r="A481" s="3" t="n">
        <f aca="false">IFERROR(__xludf.dummyfunction("""COMPUTED_VALUE"""),44893.6666666667)</f>
        <v>44893.6666666667</v>
      </c>
      <c r="B481" s="2" t="n">
        <f aca="false">IFERROR(__xludf.dummyfunction("""COMPUTED_VALUE"""),97.04)</f>
        <v>97.04</v>
      </c>
      <c r="C481" s="2" t="n">
        <f aca="false">IFERROR(__xludf.dummyfunction("""COMPUTED_VALUE"""),97.58)</f>
        <v>97.58</v>
      </c>
      <c r="D481" s="2" t="n">
        <f aca="false">IFERROR(__xludf.dummyfunction("""COMPUTED_VALUE"""),95.61)</f>
        <v>95.61</v>
      </c>
      <c r="E481" s="2" t="n">
        <f aca="false">IFERROR(__xludf.dummyfunction("""COMPUTED_VALUE"""),96.05)</f>
        <v>96.05</v>
      </c>
      <c r="F481" s="2" t="n">
        <f aca="false">IFERROR(__xludf.dummyfunction("""COMPUTED_VALUE"""),26252433)</f>
        <v>26252433</v>
      </c>
    </row>
    <row r="482" customFormat="false" ht="15.75" hidden="false" customHeight="false" outlineLevel="0" collapsed="false">
      <c r="A482" s="3" t="n">
        <f aca="false">IFERROR(__xludf.dummyfunction("""COMPUTED_VALUE"""),44894.6666666667)</f>
        <v>44894.6666666667</v>
      </c>
      <c r="B482" s="2" t="n">
        <f aca="false">IFERROR(__xludf.dummyfunction("""COMPUTED_VALUE"""),95.73)</f>
        <v>95.73</v>
      </c>
      <c r="C482" s="2" t="n">
        <f aca="false">IFERROR(__xludf.dummyfunction("""COMPUTED_VALUE"""),96.12)</f>
        <v>96.12</v>
      </c>
      <c r="D482" s="2" t="n">
        <f aca="false">IFERROR(__xludf.dummyfunction("""COMPUTED_VALUE"""),94.11)</f>
        <v>94.11</v>
      </c>
      <c r="E482" s="2" t="n">
        <f aca="false">IFERROR(__xludf.dummyfunction("""COMPUTED_VALUE"""),95.19)</f>
        <v>95.19</v>
      </c>
      <c r="F482" s="2" t="n">
        <f aca="false">IFERROR(__xludf.dummyfunction("""COMPUTED_VALUE"""),20061720)</f>
        <v>20061720</v>
      </c>
    </row>
    <row r="483" customFormat="false" ht="15.75" hidden="false" customHeight="false" outlineLevel="0" collapsed="false">
      <c r="A483" s="3" t="n">
        <f aca="false">IFERROR(__xludf.dummyfunction("""COMPUTED_VALUE"""),44895.6666666667)</f>
        <v>44895.6666666667</v>
      </c>
      <c r="B483" s="2" t="n">
        <f aca="false">IFERROR(__xludf.dummyfunction("""COMPUTED_VALUE"""),94.82)</f>
        <v>94.82</v>
      </c>
      <c r="C483" s="2" t="n">
        <f aca="false">IFERROR(__xludf.dummyfunction("""COMPUTED_VALUE"""),101.04)</f>
        <v>101.04</v>
      </c>
      <c r="D483" s="2" t="n">
        <f aca="false">IFERROR(__xludf.dummyfunction("""COMPUTED_VALUE"""),94.42)</f>
        <v>94.42</v>
      </c>
      <c r="E483" s="2" t="n">
        <f aca="false">IFERROR(__xludf.dummyfunction("""COMPUTED_VALUE"""),100.99)</f>
        <v>100.99</v>
      </c>
      <c r="F483" s="2" t="n">
        <f aca="false">IFERROR(__xludf.dummyfunction("""COMPUTED_VALUE"""),43647481)</f>
        <v>43647481</v>
      </c>
    </row>
    <row r="484" customFormat="false" ht="15.75" hidden="false" customHeight="false" outlineLevel="0" collapsed="false">
      <c r="A484" s="3" t="n">
        <f aca="false">IFERROR(__xludf.dummyfunction("""COMPUTED_VALUE"""),44896.6666666667)</f>
        <v>44896.6666666667</v>
      </c>
      <c r="B484" s="2" t="n">
        <f aca="false">IFERROR(__xludf.dummyfunction("""COMPUTED_VALUE"""),101.02)</f>
        <v>101.02</v>
      </c>
      <c r="C484" s="2" t="n">
        <f aca="false">IFERROR(__xludf.dummyfunction("""COMPUTED_VALUE"""),102.25)</f>
        <v>102.25</v>
      </c>
      <c r="D484" s="2" t="n">
        <f aca="false">IFERROR(__xludf.dummyfunction("""COMPUTED_VALUE"""),100.25)</f>
        <v>100.25</v>
      </c>
      <c r="E484" s="2" t="n">
        <f aca="false">IFERROR(__xludf.dummyfunction("""COMPUTED_VALUE"""),100.99)</f>
        <v>100.99</v>
      </c>
      <c r="F484" s="2" t="n">
        <f aca="false">IFERROR(__xludf.dummyfunction("""COMPUTED_VALUE"""),28687096)</f>
        <v>28687096</v>
      </c>
    </row>
    <row r="485" customFormat="false" ht="15.75" hidden="false" customHeight="false" outlineLevel="0" collapsed="false">
      <c r="A485" s="3" t="n">
        <f aca="false">IFERROR(__xludf.dummyfunction("""COMPUTED_VALUE"""),44897.6666666667)</f>
        <v>44897.6666666667</v>
      </c>
      <c r="B485" s="2" t="n">
        <f aca="false">IFERROR(__xludf.dummyfunction("""COMPUTED_VALUE"""),99.05)</f>
        <v>99.05</v>
      </c>
      <c r="C485" s="2" t="n">
        <f aca="false">IFERROR(__xludf.dummyfunction("""COMPUTED_VALUE"""),100.77)</f>
        <v>100.77</v>
      </c>
      <c r="D485" s="2" t="n">
        <f aca="false">IFERROR(__xludf.dummyfunction("""COMPUTED_VALUE"""),98.9)</f>
        <v>98.9</v>
      </c>
      <c r="E485" s="2" t="n">
        <f aca="false">IFERROR(__xludf.dummyfunction("""COMPUTED_VALUE"""),100.44)</f>
        <v>100.44</v>
      </c>
      <c r="F485" s="2" t="n">
        <f aca="false">IFERROR(__xludf.dummyfunction("""COMPUTED_VALUE"""),21480703)</f>
        <v>21480703</v>
      </c>
    </row>
    <row r="486" customFormat="false" ht="15.75" hidden="false" customHeight="false" outlineLevel="0" collapsed="false">
      <c r="A486" s="3" t="n">
        <f aca="false">IFERROR(__xludf.dummyfunction("""COMPUTED_VALUE"""),44900.6666666667)</f>
        <v>44900.6666666667</v>
      </c>
      <c r="B486" s="2" t="n">
        <f aca="false">IFERROR(__xludf.dummyfunction("""COMPUTED_VALUE"""),99.4)</f>
        <v>99.4</v>
      </c>
      <c r="C486" s="2" t="n">
        <f aca="false">IFERROR(__xludf.dummyfunction("""COMPUTED_VALUE"""),101.38)</f>
        <v>101.38</v>
      </c>
      <c r="D486" s="2" t="n">
        <f aca="false">IFERROR(__xludf.dummyfunction("""COMPUTED_VALUE"""),99)</f>
        <v>99</v>
      </c>
      <c r="E486" s="2" t="n">
        <f aca="false">IFERROR(__xludf.dummyfunction("""COMPUTED_VALUE"""),99.48)</f>
        <v>99.48</v>
      </c>
      <c r="F486" s="2" t="n">
        <f aca="false">IFERROR(__xludf.dummyfunction("""COMPUTED_VALUE"""),24405087)</f>
        <v>24405087</v>
      </c>
    </row>
    <row r="487" customFormat="false" ht="15.75" hidden="false" customHeight="false" outlineLevel="0" collapsed="false">
      <c r="A487" s="3" t="n">
        <f aca="false">IFERROR(__xludf.dummyfunction("""COMPUTED_VALUE"""),44901.6666666667)</f>
        <v>44901.6666666667</v>
      </c>
      <c r="B487" s="2" t="n">
        <f aca="false">IFERROR(__xludf.dummyfunction("""COMPUTED_VALUE"""),99.3)</f>
        <v>99.3</v>
      </c>
      <c r="C487" s="2" t="n">
        <f aca="false">IFERROR(__xludf.dummyfunction("""COMPUTED_VALUE"""),99.78)</f>
        <v>99.78</v>
      </c>
      <c r="D487" s="2" t="n">
        <f aca="false">IFERROR(__xludf.dummyfunction("""COMPUTED_VALUE"""),96.42)</f>
        <v>96.42</v>
      </c>
      <c r="E487" s="2" t="n">
        <f aca="false">IFERROR(__xludf.dummyfunction("""COMPUTED_VALUE"""),96.98)</f>
        <v>96.98</v>
      </c>
      <c r="F487" s="2" t="n">
        <f aca="false">IFERROR(__xludf.dummyfunction("""COMPUTED_VALUE"""),24910655)</f>
        <v>24910655</v>
      </c>
    </row>
    <row r="488" customFormat="false" ht="15.75" hidden="false" customHeight="false" outlineLevel="0" collapsed="false">
      <c r="A488" s="3" t="n">
        <f aca="false">IFERROR(__xludf.dummyfunction("""COMPUTED_VALUE"""),44902.6666666667)</f>
        <v>44902.6666666667</v>
      </c>
      <c r="B488" s="2" t="n">
        <f aca="false">IFERROR(__xludf.dummyfunction("""COMPUTED_VALUE"""),96.41)</f>
        <v>96.41</v>
      </c>
      <c r="C488" s="2" t="n">
        <f aca="false">IFERROR(__xludf.dummyfunction("""COMPUTED_VALUE"""),96.88)</f>
        <v>96.88</v>
      </c>
      <c r="D488" s="2" t="n">
        <f aca="false">IFERROR(__xludf.dummyfunction("""COMPUTED_VALUE"""),94.72)</f>
        <v>94.72</v>
      </c>
      <c r="E488" s="2" t="n">
        <f aca="false">IFERROR(__xludf.dummyfunction("""COMPUTED_VALUE"""),94.94)</f>
        <v>94.94</v>
      </c>
      <c r="F488" s="2" t="n">
        <f aca="false">IFERROR(__xludf.dummyfunction("""COMPUTED_VALUE"""),31045449)</f>
        <v>31045449</v>
      </c>
    </row>
    <row r="489" customFormat="false" ht="15.75" hidden="false" customHeight="false" outlineLevel="0" collapsed="false">
      <c r="A489" s="3" t="n">
        <f aca="false">IFERROR(__xludf.dummyfunction("""COMPUTED_VALUE"""),44903.6666666667)</f>
        <v>44903.6666666667</v>
      </c>
      <c r="B489" s="2" t="n">
        <f aca="false">IFERROR(__xludf.dummyfunction("""COMPUTED_VALUE"""),95.38)</f>
        <v>95.38</v>
      </c>
      <c r="C489" s="2" t="n">
        <f aca="false">IFERROR(__xludf.dummyfunction("""COMPUTED_VALUE"""),95.58)</f>
        <v>95.58</v>
      </c>
      <c r="D489" s="2" t="n">
        <f aca="false">IFERROR(__xludf.dummyfunction("""COMPUTED_VALUE"""),93.45)</f>
        <v>93.45</v>
      </c>
      <c r="E489" s="2" t="n">
        <f aca="false">IFERROR(__xludf.dummyfunction("""COMPUTED_VALUE"""),93.71)</f>
        <v>93.71</v>
      </c>
      <c r="F489" s="2" t="n">
        <f aca="false">IFERROR(__xludf.dummyfunction("""COMPUTED_VALUE"""),32213288)</f>
        <v>32213288</v>
      </c>
    </row>
    <row r="490" customFormat="false" ht="15.75" hidden="false" customHeight="false" outlineLevel="0" collapsed="false">
      <c r="A490" s="3" t="n">
        <f aca="false">IFERROR(__xludf.dummyfunction("""COMPUTED_VALUE"""),44904.6666666667)</f>
        <v>44904.6666666667</v>
      </c>
      <c r="B490" s="2" t="n">
        <f aca="false">IFERROR(__xludf.dummyfunction("""COMPUTED_VALUE"""),93.77)</f>
        <v>93.77</v>
      </c>
      <c r="C490" s="2" t="n">
        <f aca="false">IFERROR(__xludf.dummyfunction("""COMPUTED_VALUE"""),94.26)</f>
        <v>94.26</v>
      </c>
      <c r="D490" s="2" t="n">
        <f aca="false">IFERROR(__xludf.dummyfunction("""COMPUTED_VALUE"""),92.75)</f>
        <v>92.75</v>
      </c>
      <c r="E490" s="2" t="n">
        <f aca="false">IFERROR(__xludf.dummyfunction("""COMPUTED_VALUE"""),92.83)</f>
        <v>92.83</v>
      </c>
      <c r="F490" s="2" t="n">
        <f aca="false">IFERROR(__xludf.dummyfunction("""COMPUTED_VALUE"""),28225448)</f>
        <v>28225448</v>
      </c>
    </row>
    <row r="491" customFormat="false" ht="15.75" hidden="false" customHeight="false" outlineLevel="0" collapsed="false">
      <c r="A491" s="3" t="n">
        <f aca="false">IFERROR(__xludf.dummyfunction("""COMPUTED_VALUE"""),44907.6666666667)</f>
        <v>44907.6666666667</v>
      </c>
      <c r="B491" s="2" t="n">
        <f aca="false">IFERROR(__xludf.dummyfunction("""COMPUTED_VALUE"""),92.71)</f>
        <v>92.71</v>
      </c>
      <c r="C491" s="2" t="n">
        <f aca="false">IFERROR(__xludf.dummyfunction("""COMPUTED_VALUE"""),93.56)</f>
        <v>93.56</v>
      </c>
      <c r="D491" s="2" t="n">
        <f aca="false">IFERROR(__xludf.dummyfunction("""COMPUTED_VALUE"""),91.61)</f>
        <v>91.61</v>
      </c>
      <c r="E491" s="2" t="n">
        <f aca="false">IFERROR(__xludf.dummyfunction("""COMPUTED_VALUE"""),93.31)</f>
        <v>93.31</v>
      </c>
      <c r="F491" s="2" t="n">
        <f aca="false">IFERROR(__xludf.dummyfunction("""COMPUTED_VALUE"""),29009013)</f>
        <v>29009013</v>
      </c>
    </row>
    <row r="492" customFormat="false" ht="15.75" hidden="false" customHeight="false" outlineLevel="0" collapsed="false">
      <c r="A492" s="3" t="n">
        <f aca="false">IFERROR(__xludf.dummyfunction("""COMPUTED_VALUE"""),44908.6666666667)</f>
        <v>44908.6666666667</v>
      </c>
      <c r="B492" s="2" t="n">
        <f aca="false">IFERROR(__xludf.dummyfunction("""COMPUTED_VALUE"""),97.76)</f>
        <v>97.76</v>
      </c>
      <c r="C492" s="2" t="n">
        <f aca="false">IFERROR(__xludf.dummyfunction("""COMPUTED_VALUE"""),99.53)</f>
        <v>99.53</v>
      </c>
      <c r="D492" s="2" t="n">
        <f aca="false">IFERROR(__xludf.dummyfunction("""COMPUTED_VALUE"""),95.03)</f>
        <v>95.03</v>
      </c>
      <c r="E492" s="2" t="n">
        <f aca="false">IFERROR(__xludf.dummyfunction("""COMPUTED_VALUE"""),95.63)</f>
        <v>95.63</v>
      </c>
      <c r="F492" s="2" t="n">
        <f aca="false">IFERROR(__xludf.dummyfunction("""COMPUTED_VALUE"""),40593656)</f>
        <v>40593656</v>
      </c>
    </row>
    <row r="493" customFormat="false" ht="15.75" hidden="false" customHeight="false" outlineLevel="0" collapsed="false">
      <c r="A493" s="3" t="n">
        <f aca="false">IFERROR(__xludf.dummyfunction("""COMPUTED_VALUE"""),44909.6666666667)</f>
        <v>44909.6666666667</v>
      </c>
      <c r="B493" s="2" t="n">
        <f aca="false">IFERROR(__xludf.dummyfunction("""COMPUTED_VALUE"""),95.2)</f>
        <v>95.2</v>
      </c>
      <c r="C493" s="2" t="n">
        <f aca="false">IFERROR(__xludf.dummyfunction("""COMPUTED_VALUE"""),96.87)</f>
        <v>96.87</v>
      </c>
      <c r="D493" s="2" t="n">
        <f aca="false">IFERROR(__xludf.dummyfunction("""COMPUTED_VALUE"""),93.6)</f>
        <v>93.6</v>
      </c>
      <c r="E493" s="2" t="n">
        <f aca="false">IFERROR(__xludf.dummyfunction("""COMPUTED_VALUE"""),95.07)</f>
        <v>95.07</v>
      </c>
      <c r="F493" s="2" t="n">
        <f aca="false">IFERROR(__xludf.dummyfunction("""COMPUTED_VALUE"""),28733599)</f>
        <v>28733599</v>
      </c>
    </row>
    <row r="494" customFormat="false" ht="15.75" hidden="false" customHeight="false" outlineLevel="0" collapsed="false">
      <c r="A494" s="3" t="n">
        <f aca="false">IFERROR(__xludf.dummyfunction("""COMPUTED_VALUE"""),44910.6666666667)</f>
        <v>44910.6666666667</v>
      </c>
      <c r="B494" s="2" t="n">
        <f aca="false">IFERROR(__xludf.dummyfunction("""COMPUTED_VALUE"""),93.13)</f>
        <v>93.13</v>
      </c>
      <c r="C494" s="2" t="n">
        <f aca="false">IFERROR(__xludf.dummyfunction("""COMPUTED_VALUE"""),93.64)</f>
        <v>93.64</v>
      </c>
      <c r="D494" s="2" t="n">
        <f aca="false">IFERROR(__xludf.dummyfunction("""COMPUTED_VALUE"""),90.01)</f>
        <v>90.01</v>
      </c>
      <c r="E494" s="2" t="n">
        <f aca="false">IFERROR(__xludf.dummyfunction("""COMPUTED_VALUE"""),90.86)</f>
        <v>90.86</v>
      </c>
      <c r="F494" s="2" t="n">
        <f aca="false">IFERROR(__xludf.dummyfunction("""COMPUTED_VALUE"""),40107033)</f>
        <v>40107033</v>
      </c>
    </row>
    <row r="495" customFormat="false" ht="15.75" hidden="false" customHeight="false" outlineLevel="0" collapsed="false">
      <c r="A495" s="3" t="n">
        <f aca="false">IFERROR(__xludf.dummyfunction("""COMPUTED_VALUE"""),44911.6666666667)</f>
        <v>44911.6666666667</v>
      </c>
      <c r="B495" s="2" t="n">
        <f aca="false">IFERROR(__xludf.dummyfunction("""COMPUTED_VALUE"""),90.76)</f>
        <v>90.76</v>
      </c>
      <c r="C495" s="2" t="n">
        <f aca="false">IFERROR(__xludf.dummyfunction("""COMPUTED_VALUE"""),91.33)</f>
        <v>91.33</v>
      </c>
      <c r="D495" s="2" t="n">
        <f aca="false">IFERROR(__xludf.dummyfunction("""COMPUTED_VALUE"""),89.52)</f>
        <v>89.52</v>
      </c>
      <c r="E495" s="2" t="n">
        <f aca="false">IFERROR(__xludf.dummyfunction("""COMPUTED_VALUE"""),90.26)</f>
        <v>90.26</v>
      </c>
      <c r="F495" s="2" t="n">
        <f aca="false">IFERROR(__xludf.dummyfunction("""COMPUTED_VALUE"""),58011847)</f>
        <v>58011847</v>
      </c>
    </row>
    <row r="496" customFormat="false" ht="15.75" hidden="false" customHeight="false" outlineLevel="0" collapsed="false">
      <c r="A496" s="3" t="n">
        <f aca="false">IFERROR(__xludf.dummyfunction("""COMPUTED_VALUE"""),44914.6666666667)</f>
        <v>44914.6666666667</v>
      </c>
      <c r="B496" s="2" t="n">
        <f aca="false">IFERROR(__xludf.dummyfunction("""COMPUTED_VALUE"""),90.26)</f>
        <v>90.26</v>
      </c>
      <c r="C496" s="2" t="n">
        <f aca="false">IFERROR(__xludf.dummyfunction("""COMPUTED_VALUE"""),90.56)</f>
        <v>90.56</v>
      </c>
      <c r="D496" s="2" t="n">
        <f aca="false">IFERROR(__xludf.dummyfunction("""COMPUTED_VALUE"""),88.21)</f>
        <v>88.21</v>
      </c>
      <c r="E496" s="2" t="n">
        <f aca="false">IFERROR(__xludf.dummyfunction("""COMPUTED_VALUE"""),88.44)</f>
        <v>88.44</v>
      </c>
      <c r="F496" s="2" t="n">
        <f aca="false">IFERROR(__xludf.dummyfunction("""COMPUTED_VALUE"""),29493030)</f>
        <v>29493030</v>
      </c>
    </row>
    <row r="497" customFormat="false" ht="15.75" hidden="false" customHeight="false" outlineLevel="0" collapsed="false">
      <c r="A497" s="3" t="n">
        <f aca="false">IFERROR(__xludf.dummyfunction("""COMPUTED_VALUE"""),44915.6666666667)</f>
        <v>44915.6666666667</v>
      </c>
      <c r="B497" s="2" t="n">
        <f aca="false">IFERROR(__xludf.dummyfunction("""COMPUTED_VALUE"""),88.11)</f>
        <v>88.11</v>
      </c>
      <c r="C497" s="2" t="n">
        <f aca="false">IFERROR(__xludf.dummyfunction("""COMPUTED_VALUE"""),89.18)</f>
        <v>89.18</v>
      </c>
      <c r="D497" s="2" t="n">
        <f aca="false">IFERROR(__xludf.dummyfunction("""COMPUTED_VALUE"""),87.44)</f>
        <v>87.44</v>
      </c>
      <c r="E497" s="2" t="n">
        <f aca="false">IFERROR(__xludf.dummyfunction("""COMPUTED_VALUE"""),89.02)</f>
        <v>89.02</v>
      </c>
      <c r="F497" s="2" t="n">
        <f aca="false">IFERROR(__xludf.dummyfunction("""COMPUTED_VALUE"""),23453836)</f>
        <v>23453836</v>
      </c>
    </row>
    <row r="498" customFormat="false" ht="15.75" hidden="false" customHeight="false" outlineLevel="0" collapsed="false">
      <c r="A498" s="3" t="n">
        <f aca="false">IFERROR(__xludf.dummyfunction("""COMPUTED_VALUE"""),44916.6666666667)</f>
        <v>44916.6666666667</v>
      </c>
      <c r="B498" s="2" t="n">
        <f aca="false">IFERROR(__xludf.dummyfunction("""COMPUTED_VALUE"""),89.08)</f>
        <v>89.08</v>
      </c>
      <c r="C498" s="2" t="n">
        <f aca="false">IFERROR(__xludf.dummyfunction("""COMPUTED_VALUE"""),90.22)</f>
        <v>90.22</v>
      </c>
      <c r="D498" s="2" t="n">
        <f aca="false">IFERROR(__xludf.dummyfunction("""COMPUTED_VALUE"""),88.32)</f>
        <v>88.32</v>
      </c>
      <c r="E498" s="2" t="n">
        <f aca="false">IFERROR(__xludf.dummyfunction("""COMPUTED_VALUE"""),89.58)</f>
        <v>89.58</v>
      </c>
      <c r="F498" s="2" t="n">
        <f aca="false">IFERROR(__xludf.dummyfunction("""COMPUTED_VALUE"""),24745637)</f>
        <v>24745637</v>
      </c>
    </row>
    <row r="499" customFormat="false" ht="15.75" hidden="false" customHeight="false" outlineLevel="0" collapsed="false">
      <c r="A499" s="3" t="n">
        <f aca="false">IFERROR(__xludf.dummyfunction("""COMPUTED_VALUE"""),44917.6666666667)</f>
        <v>44917.6666666667</v>
      </c>
      <c r="B499" s="2" t="n">
        <f aca="false">IFERROR(__xludf.dummyfunction("""COMPUTED_VALUE"""),88.16)</f>
        <v>88.16</v>
      </c>
      <c r="C499" s="2" t="n">
        <f aca="false">IFERROR(__xludf.dummyfunction("""COMPUTED_VALUE"""),88.54)</f>
        <v>88.54</v>
      </c>
      <c r="D499" s="2" t="n">
        <f aca="false">IFERROR(__xludf.dummyfunction("""COMPUTED_VALUE"""),86.32)</f>
        <v>86.32</v>
      </c>
      <c r="E499" s="2" t="n">
        <f aca="false">IFERROR(__xludf.dummyfunction("""COMPUTED_VALUE"""),87.76)</f>
        <v>87.76</v>
      </c>
      <c r="F499" s="2" t="n">
        <f aca="false">IFERROR(__xludf.dummyfunction("""COMPUTED_VALUE"""),27658293)</f>
        <v>27658293</v>
      </c>
    </row>
    <row r="500" customFormat="false" ht="15.75" hidden="false" customHeight="false" outlineLevel="0" collapsed="false">
      <c r="A500" s="3" t="n">
        <f aca="false">IFERROR(__xludf.dummyfunction("""COMPUTED_VALUE"""),44918.6666666667)</f>
        <v>44918.6666666667</v>
      </c>
      <c r="B500" s="2" t="n">
        <f aca="false">IFERROR(__xludf.dummyfunction("""COMPUTED_VALUE"""),87.11)</f>
        <v>87.11</v>
      </c>
      <c r="C500" s="2" t="n">
        <f aca="false">IFERROR(__xludf.dummyfunction("""COMPUTED_VALUE"""),89.55)</f>
        <v>89.55</v>
      </c>
      <c r="D500" s="2" t="n">
        <f aca="false">IFERROR(__xludf.dummyfunction("""COMPUTED_VALUE"""),87.07)</f>
        <v>87.07</v>
      </c>
      <c r="E500" s="2" t="n">
        <f aca="false">IFERROR(__xludf.dummyfunction("""COMPUTED_VALUE"""),89.23)</f>
        <v>89.23</v>
      </c>
      <c r="F500" s="2" t="n">
        <f aca="false">IFERROR(__xludf.dummyfunction("""COMPUTED_VALUE"""),23003035)</f>
        <v>23003035</v>
      </c>
    </row>
    <row r="501" customFormat="false" ht="15.75" hidden="false" customHeight="false" outlineLevel="0" collapsed="false">
      <c r="A501" s="3" t="n">
        <f aca="false">IFERROR(__xludf.dummyfunction("""COMPUTED_VALUE"""),44922.6666666667)</f>
        <v>44922.6666666667</v>
      </c>
      <c r="B501" s="2" t="n">
        <f aca="false">IFERROR(__xludf.dummyfunction("""COMPUTED_VALUE"""),88.8)</f>
        <v>88.8</v>
      </c>
      <c r="C501" s="2" t="n">
        <f aca="false">IFERROR(__xludf.dummyfunction("""COMPUTED_VALUE"""),88.94)</f>
        <v>88.94</v>
      </c>
      <c r="D501" s="2" t="n">
        <f aca="false">IFERROR(__xludf.dummyfunction("""COMPUTED_VALUE"""),87.01)</f>
        <v>87.01</v>
      </c>
      <c r="E501" s="2" t="n">
        <f aca="false">IFERROR(__xludf.dummyfunction("""COMPUTED_VALUE"""),87.39)</f>
        <v>87.39</v>
      </c>
      <c r="F501" s="2" t="n">
        <f aca="false">IFERROR(__xludf.dummyfunction("""COMPUTED_VALUE"""),20097346)</f>
        <v>20097346</v>
      </c>
    </row>
    <row r="502" customFormat="false" ht="15.75" hidden="false" customHeight="false" outlineLevel="0" collapsed="false">
      <c r="A502" s="3" t="n">
        <f aca="false">IFERROR(__xludf.dummyfunction("""COMPUTED_VALUE"""),44923.6666666667)</f>
        <v>44923.6666666667</v>
      </c>
      <c r="B502" s="2" t="n">
        <f aca="false">IFERROR(__xludf.dummyfunction("""COMPUTED_VALUE"""),86.98)</f>
        <v>86.98</v>
      </c>
      <c r="C502" s="2" t="n">
        <f aca="false">IFERROR(__xludf.dummyfunction("""COMPUTED_VALUE"""),88.04)</f>
        <v>88.04</v>
      </c>
      <c r="D502" s="2" t="n">
        <f aca="false">IFERROR(__xludf.dummyfunction("""COMPUTED_VALUE"""),85.94)</f>
        <v>85.94</v>
      </c>
      <c r="E502" s="2" t="n">
        <f aca="false">IFERROR(__xludf.dummyfunction("""COMPUTED_VALUE"""),86.02)</f>
        <v>86.02</v>
      </c>
      <c r="F502" s="2" t="n">
        <f aca="false">IFERROR(__xludf.dummyfunction("""COMPUTED_VALUE"""),19523176)</f>
        <v>19523176</v>
      </c>
    </row>
    <row r="503" customFormat="false" ht="15.75" hidden="false" customHeight="false" outlineLevel="0" collapsed="false">
      <c r="A503" s="3" t="n">
        <f aca="false">IFERROR(__xludf.dummyfunction("""COMPUTED_VALUE"""),44924.6666666667)</f>
        <v>44924.6666666667</v>
      </c>
      <c r="B503" s="2" t="n">
        <f aca="false">IFERROR(__xludf.dummyfunction("""COMPUTED_VALUE"""),86.62)</f>
        <v>86.62</v>
      </c>
      <c r="C503" s="2" t="n">
        <f aca="false">IFERROR(__xludf.dummyfunction("""COMPUTED_VALUE"""),88.85)</f>
        <v>88.85</v>
      </c>
      <c r="D503" s="2" t="n">
        <f aca="false">IFERROR(__xludf.dummyfunction("""COMPUTED_VALUE"""),86.61)</f>
        <v>86.61</v>
      </c>
      <c r="E503" s="2" t="n">
        <f aca="false">IFERROR(__xludf.dummyfunction("""COMPUTED_VALUE"""),88.45)</f>
        <v>88.45</v>
      </c>
      <c r="F503" s="2" t="n">
        <f aca="false">IFERROR(__xludf.dummyfunction("""COMPUTED_VALUE"""),23333537)</f>
        <v>23333537</v>
      </c>
    </row>
    <row r="504" customFormat="false" ht="15.75" hidden="false" customHeight="false" outlineLevel="0" collapsed="false">
      <c r="A504" s="3" t="n">
        <f aca="false">IFERROR(__xludf.dummyfunction("""COMPUTED_VALUE"""),44925.6666666667)</f>
        <v>44925.6666666667</v>
      </c>
      <c r="B504" s="2" t="n">
        <f aca="false">IFERROR(__xludf.dummyfunction("""COMPUTED_VALUE"""),86.98)</f>
        <v>86.98</v>
      </c>
      <c r="C504" s="2" t="n">
        <f aca="false">IFERROR(__xludf.dummyfunction("""COMPUTED_VALUE"""),88.3)</f>
        <v>88.3</v>
      </c>
      <c r="D504" s="2" t="n">
        <f aca="false">IFERROR(__xludf.dummyfunction("""COMPUTED_VALUE"""),86.57)</f>
        <v>86.57</v>
      </c>
      <c r="E504" s="2" t="n">
        <f aca="false">IFERROR(__xludf.dummyfunction("""COMPUTED_VALUE"""),88.23)</f>
        <v>88.23</v>
      </c>
      <c r="F504" s="2" t="n">
        <f aca="false">IFERROR(__xludf.dummyfunction("""COMPUTED_VALUE"""),23986297)</f>
        <v>23986297</v>
      </c>
    </row>
    <row r="505" customFormat="false" ht="15.75" hidden="false" customHeight="false" outlineLevel="0" collapsed="false">
      <c r="A505" s="3" t="n">
        <f aca="false">IFERROR(__xludf.dummyfunction("""COMPUTED_VALUE"""),44929.6666666667)</f>
        <v>44929.6666666667</v>
      </c>
      <c r="B505" s="2" t="n">
        <f aca="false">IFERROR(__xludf.dummyfunction("""COMPUTED_VALUE"""),89.59)</f>
        <v>89.59</v>
      </c>
      <c r="C505" s="2" t="n">
        <f aca="false">IFERROR(__xludf.dummyfunction("""COMPUTED_VALUE"""),91.05)</f>
        <v>91.05</v>
      </c>
      <c r="D505" s="2" t="n">
        <f aca="false">IFERROR(__xludf.dummyfunction("""COMPUTED_VALUE"""),88.52)</f>
        <v>88.52</v>
      </c>
      <c r="E505" s="2" t="n">
        <f aca="false">IFERROR(__xludf.dummyfunction("""COMPUTED_VALUE"""),89.12)</f>
        <v>89.12</v>
      </c>
      <c r="F505" s="2" t="n">
        <f aca="false">IFERROR(__xludf.dummyfunction("""COMPUTED_VALUE"""),28131224)</f>
        <v>28131224</v>
      </c>
    </row>
    <row r="506" customFormat="false" ht="15.75" hidden="false" customHeight="false" outlineLevel="0" collapsed="false">
      <c r="A506" s="3" t="n">
        <f aca="false">IFERROR(__xludf.dummyfunction("""COMPUTED_VALUE"""),44930.6666666667)</f>
        <v>44930.6666666667</v>
      </c>
      <c r="B506" s="2" t="n">
        <f aca="false">IFERROR(__xludf.dummyfunction("""COMPUTED_VALUE"""),90.35)</f>
        <v>90.35</v>
      </c>
      <c r="C506" s="2" t="n">
        <f aca="false">IFERROR(__xludf.dummyfunction("""COMPUTED_VALUE"""),90.65)</f>
        <v>90.65</v>
      </c>
      <c r="D506" s="2" t="n">
        <f aca="false">IFERROR(__xludf.dummyfunction("""COMPUTED_VALUE"""),87.27)</f>
        <v>87.27</v>
      </c>
      <c r="E506" s="2" t="n">
        <f aca="false">IFERROR(__xludf.dummyfunction("""COMPUTED_VALUE"""),88.08)</f>
        <v>88.08</v>
      </c>
      <c r="F506" s="2" t="n">
        <f aca="false">IFERROR(__xludf.dummyfunction("""COMPUTED_VALUE"""),34854776)</f>
        <v>34854776</v>
      </c>
    </row>
    <row r="507" customFormat="false" ht="15.75" hidden="false" customHeight="false" outlineLevel="0" collapsed="false">
      <c r="A507" s="3" t="n">
        <f aca="false">IFERROR(__xludf.dummyfunction("""COMPUTED_VALUE"""),44931.6666666667)</f>
        <v>44931.6666666667</v>
      </c>
      <c r="B507" s="2" t="n">
        <f aca="false">IFERROR(__xludf.dummyfunction("""COMPUTED_VALUE"""),87.47)</f>
        <v>87.47</v>
      </c>
      <c r="C507" s="2" t="n">
        <f aca="false">IFERROR(__xludf.dummyfunction("""COMPUTED_VALUE"""),87.57)</f>
        <v>87.57</v>
      </c>
      <c r="D507" s="2" t="n">
        <f aca="false">IFERROR(__xludf.dummyfunction("""COMPUTED_VALUE"""),85.9)</f>
        <v>85.9</v>
      </c>
      <c r="E507" s="2" t="n">
        <f aca="false">IFERROR(__xludf.dummyfunction("""COMPUTED_VALUE"""),86.2)</f>
        <v>86.2</v>
      </c>
      <c r="F507" s="2" t="n">
        <f aca="false">IFERROR(__xludf.dummyfunction("""COMPUTED_VALUE"""),27194375)</f>
        <v>27194375</v>
      </c>
    </row>
    <row r="508" customFormat="false" ht="15.75" hidden="false" customHeight="false" outlineLevel="0" collapsed="false">
      <c r="A508" s="3" t="n">
        <f aca="false">IFERROR(__xludf.dummyfunction("""COMPUTED_VALUE"""),44932.6666666667)</f>
        <v>44932.6666666667</v>
      </c>
      <c r="B508" s="2" t="n">
        <f aca="false">IFERROR(__xludf.dummyfunction("""COMPUTED_VALUE"""),86.79)</f>
        <v>86.79</v>
      </c>
      <c r="C508" s="2" t="n">
        <f aca="false">IFERROR(__xludf.dummyfunction("""COMPUTED_VALUE"""),87.69)</f>
        <v>87.69</v>
      </c>
      <c r="D508" s="2" t="n">
        <f aca="false">IFERROR(__xludf.dummyfunction("""COMPUTED_VALUE"""),84.86)</f>
        <v>84.86</v>
      </c>
      <c r="E508" s="2" t="n">
        <f aca="false">IFERROR(__xludf.dummyfunction("""COMPUTED_VALUE"""),87.34)</f>
        <v>87.34</v>
      </c>
      <c r="F508" s="2" t="n">
        <f aca="false">IFERROR(__xludf.dummyfunction("""COMPUTED_VALUE"""),41381495)</f>
        <v>41381495</v>
      </c>
    </row>
    <row r="509" customFormat="false" ht="15.75" hidden="false" customHeight="false" outlineLevel="0" collapsed="false">
      <c r="A509" s="3" t="n">
        <f aca="false">IFERROR(__xludf.dummyfunction("""COMPUTED_VALUE"""),44935.6666666667)</f>
        <v>44935.6666666667</v>
      </c>
      <c r="B509" s="2" t="n">
        <f aca="false">IFERROR(__xludf.dummyfunction("""COMPUTED_VALUE"""),88.36)</f>
        <v>88.36</v>
      </c>
      <c r="C509" s="2" t="n">
        <f aca="false">IFERROR(__xludf.dummyfunction("""COMPUTED_VALUE"""),90.05)</f>
        <v>90.05</v>
      </c>
      <c r="D509" s="2" t="n">
        <f aca="false">IFERROR(__xludf.dummyfunction("""COMPUTED_VALUE"""),87.86)</f>
        <v>87.86</v>
      </c>
      <c r="E509" s="2" t="n">
        <f aca="false">IFERROR(__xludf.dummyfunction("""COMPUTED_VALUE"""),88.02)</f>
        <v>88.02</v>
      </c>
      <c r="F509" s="2" t="n">
        <f aca="false">IFERROR(__xludf.dummyfunction("""COMPUTED_VALUE"""),29003901)</f>
        <v>29003901</v>
      </c>
    </row>
    <row r="510" customFormat="false" ht="15.75" hidden="false" customHeight="false" outlineLevel="0" collapsed="false">
      <c r="A510" s="3" t="n">
        <f aca="false">IFERROR(__xludf.dummyfunction("""COMPUTED_VALUE"""),44936.6666666667)</f>
        <v>44936.6666666667</v>
      </c>
      <c r="B510" s="2" t="n">
        <f aca="false">IFERROR(__xludf.dummyfunction("""COMPUTED_VALUE"""),85.98)</f>
        <v>85.98</v>
      </c>
      <c r="C510" s="2" t="n">
        <f aca="false">IFERROR(__xludf.dummyfunction("""COMPUTED_VALUE"""),88.67)</f>
        <v>88.67</v>
      </c>
      <c r="D510" s="2" t="n">
        <f aca="false">IFERROR(__xludf.dummyfunction("""COMPUTED_VALUE"""),85.83)</f>
        <v>85.83</v>
      </c>
      <c r="E510" s="2" t="n">
        <f aca="false">IFERROR(__xludf.dummyfunction("""COMPUTED_VALUE"""),88.42)</f>
        <v>88.42</v>
      </c>
      <c r="F510" s="2" t="n">
        <f aca="false">IFERROR(__xludf.dummyfunction("""COMPUTED_VALUE"""),30467755)</f>
        <v>30467755</v>
      </c>
    </row>
    <row r="511" customFormat="false" ht="15.75" hidden="false" customHeight="false" outlineLevel="0" collapsed="false">
      <c r="A511" s="3" t="n">
        <f aca="false">IFERROR(__xludf.dummyfunction("""COMPUTED_VALUE"""),44937.6666666667)</f>
        <v>44937.6666666667</v>
      </c>
      <c r="B511" s="2" t="n">
        <f aca="false">IFERROR(__xludf.dummyfunction("""COMPUTED_VALUE"""),89.18)</f>
        <v>89.18</v>
      </c>
      <c r="C511" s="2" t="n">
        <f aca="false">IFERROR(__xludf.dummyfunction("""COMPUTED_VALUE"""),91.6)</f>
        <v>91.6</v>
      </c>
      <c r="D511" s="2" t="n">
        <f aca="false">IFERROR(__xludf.dummyfunction("""COMPUTED_VALUE"""),89.01)</f>
        <v>89.01</v>
      </c>
      <c r="E511" s="2" t="n">
        <f aca="false">IFERROR(__xludf.dummyfunction("""COMPUTED_VALUE"""),91.52)</f>
        <v>91.52</v>
      </c>
      <c r="F511" s="2" t="n">
        <f aca="false">IFERROR(__xludf.dummyfunction("""COMPUTED_VALUE"""),26861969)</f>
        <v>26861969</v>
      </c>
    </row>
    <row r="512" customFormat="false" ht="15.75" hidden="false" customHeight="false" outlineLevel="0" collapsed="false">
      <c r="A512" s="3" t="n">
        <f aca="false">IFERROR(__xludf.dummyfunction("""COMPUTED_VALUE"""),44938.6666666667)</f>
        <v>44938.6666666667</v>
      </c>
      <c r="B512" s="2" t="n">
        <f aca="false">IFERROR(__xludf.dummyfunction("""COMPUTED_VALUE"""),91.48)</f>
        <v>91.48</v>
      </c>
      <c r="C512" s="2" t="n">
        <f aca="false">IFERROR(__xludf.dummyfunction("""COMPUTED_VALUE"""),91.87)</f>
        <v>91.87</v>
      </c>
      <c r="D512" s="2" t="n">
        <f aca="false">IFERROR(__xludf.dummyfunction("""COMPUTED_VALUE"""),89.75)</f>
        <v>89.75</v>
      </c>
      <c r="E512" s="2" t="n">
        <f aca="false">IFERROR(__xludf.dummyfunction("""COMPUTED_VALUE"""),91.13)</f>
        <v>91.13</v>
      </c>
      <c r="F512" s="2" t="n">
        <f aca="false">IFERROR(__xludf.dummyfunction("""COMPUTED_VALUE"""),30258135)</f>
        <v>30258135</v>
      </c>
    </row>
    <row r="513" customFormat="false" ht="15.75" hidden="false" customHeight="false" outlineLevel="0" collapsed="false">
      <c r="A513" s="3" t="n">
        <f aca="false">IFERROR(__xludf.dummyfunction("""COMPUTED_VALUE"""),44939.6666666667)</f>
        <v>44939.6666666667</v>
      </c>
      <c r="B513" s="2" t="n">
        <f aca="false">IFERROR(__xludf.dummyfunction("""COMPUTED_VALUE"""),90.85)</f>
        <v>90.85</v>
      </c>
      <c r="C513" s="2" t="n">
        <f aca="false">IFERROR(__xludf.dummyfunction("""COMPUTED_VALUE"""),92.19)</f>
        <v>92.19</v>
      </c>
      <c r="D513" s="2" t="n">
        <f aca="false">IFERROR(__xludf.dummyfunction("""COMPUTED_VALUE"""),90.13)</f>
        <v>90.13</v>
      </c>
      <c r="E513" s="2" t="n">
        <f aca="false">IFERROR(__xludf.dummyfunction("""COMPUTED_VALUE"""),92.12)</f>
        <v>92.12</v>
      </c>
      <c r="F513" s="2" t="n">
        <f aca="false">IFERROR(__xludf.dummyfunction("""COMPUTED_VALUE"""),26329212)</f>
        <v>26329212</v>
      </c>
    </row>
    <row r="514" customFormat="false" ht="15.75" hidden="false" customHeight="false" outlineLevel="0" collapsed="false">
      <c r="A514" s="3" t="n">
        <f aca="false">IFERROR(__xludf.dummyfunction("""COMPUTED_VALUE"""),44943.6666666667)</f>
        <v>44943.6666666667</v>
      </c>
      <c r="B514" s="2" t="n">
        <f aca="false">IFERROR(__xludf.dummyfunction("""COMPUTED_VALUE"""),92.06)</f>
        <v>92.06</v>
      </c>
      <c r="C514" s="2" t="n">
        <f aca="false">IFERROR(__xludf.dummyfunction("""COMPUTED_VALUE"""),92.25)</f>
        <v>92.25</v>
      </c>
      <c r="D514" s="2" t="n">
        <f aca="false">IFERROR(__xludf.dummyfunction("""COMPUTED_VALUE"""),90.05)</f>
        <v>90.05</v>
      </c>
      <c r="E514" s="2" t="n">
        <f aca="false">IFERROR(__xludf.dummyfunction("""COMPUTED_VALUE"""),91.29)</f>
        <v>91.29</v>
      </c>
      <c r="F514" s="2" t="n">
        <f aca="false">IFERROR(__xludf.dummyfunction("""COMPUTED_VALUE"""),32602423)</f>
        <v>32602423</v>
      </c>
    </row>
    <row r="515" customFormat="false" ht="15.75" hidden="false" customHeight="false" outlineLevel="0" collapsed="false">
      <c r="A515" s="3" t="n">
        <f aca="false">IFERROR(__xludf.dummyfunction("""COMPUTED_VALUE"""),44944.6666666667)</f>
        <v>44944.6666666667</v>
      </c>
      <c r="B515" s="2" t="n">
        <f aca="false">IFERROR(__xludf.dummyfunction("""COMPUTED_VALUE"""),92.14)</f>
        <v>92.14</v>
      </c>
      <c r="C515" s="2" t="n">
        <f aca="false">IFERROR(__xludf.dummyfunction("""COMPUTED_VALUE"""),92.8)</f>
        <v>92.8</v>
      </c>
      <c r="D515" s="2" t="n">
        <f aca="false">IFERROR(__xludf.dummyfunction("""COMPUTED_VALUE"""),90.64)</f>
        <v>90.64</v>
      </c>
      <c r="E515" s="2" t="n">
        <f aca="false">IFERROR(__xludf.dummyfunction("""COMPUTED_VALUE"""),91.12)</f>
        <v>91.12</v>
      </c>
      <c r="F515" s="2" t="n">
        <f aca="false">IFERROR(__xludf.dummyfunction("""COMPUTED_VALUE"""),29116691)</f>
        <v>29116691</v>
      </c>
    </row>
    <row r="516" customFormat="false" ht="15.75" hidden="false" customHeight="false" outlineLevel="0" collapsed="false">
      <c r="A516" s="3" t="n">
        <f aca="false">IFERROR(__xludf.dummyfunction("""COMPUTED_VALUE"""),44945.6666666667)</f>
        <v>44945.6666666667</v>
      </c>
      <c r="B516" s="2" t="n">
        <f aca="false">IFERROR(__xludf.dummyfunction("""COMPUTED_VALUE"""),90.72)</f>
        <v>90.72</v>
      </c>
      <c r="C516" s="2" t="n">
        <f aca="false">IFERROR(__xludf.dummyfunction("""COMPUTED_VALUE"""),93.61)</f>
        <v>93.61</v>
      </c>
      <c r="D516" s="2" t="n">
        <f aca="false">IFERROR(__xludf.dummyfunction("""COMPUTED_VALUE"""),90.63)</f>
        <v>90.63</v>
      </c>
      <c r="E516" s="2" t="n">
        <f aca="false">IFERROR(__xludf.dummyfunction("""COMPUTED_VALUE"""),93.05)</f>
        <v>93.05</v>
      </c>
      <c r="F516" s="2" t="n">
        <f aca="false">IFERROR(__xludf.dummyfunction("""COMPUTED_VALUE"""),37000395)</f>
        <v>37000395</v>
      </c>
    </row>
    <row r="517" customFormat="false" ht="15.75" hidden="false" customHeight="false" outlineLevel="0" collapsed="false">
      <c r="A517" s="3" t="n">
        <f aca="false">IFERROR(__xludf.dummyfunction("""COMPUTED_VALUE"""),44946.6666666667)</f>
        <v>44946.6666666667</v>
      </c>
      <c r="B517" s="2" t="n">
        <f aca="false">IFERROR(__xludf.dummyfunction("""COMPUTED_VALUE"""),95.1)</f>
        <v>95.1</v>
      </c>
      <c r="C517" s="2" t="n">
        <f aca="false">IFERROR(__xludf.dummyfunction("""COMPUTED_VALUE"""),98.3)</f>
        <v>98.3</v>
      </c>
      <c r="D517" s="2" t="n">
        <f aca="false">IFERROR(__xludf.dummyfunction("""COMPUTED_VALUE"""),95.02)</f>
        <v>95.02</v>
      </c>
      <c r="E517" s="2" t="n">
        <f aca="false">IFERROR(__xludf.dummyfunction("""COMPUTED_VALUE"""),98.02)</f>
        <v>98.02</v>
      </c>
      <c r="F517" s="2" t="n">
        <f aca="false">IFERROR(__xludf.dummyfunction("""COMPUTED_VALUE"""),63191078)</f>
        <v>63191078</v>
      </c>
    </row>
    <row r="518" customFormat="false" ht="15.75" hidden="false" customHeight="false" outlineLevel="0" collapsed="false">
      <c r="A518" s="3" t="n">
        <f aca="false">IFERROR(__xludf.dummyfunction("""COMPUTED_VALUE"""),44949.6666666667)</f>
        <v>44949.6666666667</v>
      </c>
      <c r="B518" s="2" t="n">
        <f aca="false">IFERROR(__xludf.dummyfunction("""COMPUTED_VALUE"""),97.95)</f>
        <v>97.95</v>
      </c>
      <c r="C518" s="2" t="n">
        <f aca="false">IFERROR(__xludf.dummyfunction("""COMPUTED_VALUE"""),100.04)</f>
        <v>100.04</v>
      </c>
      <c r="D518" s="2" t="n">
        <f aca="false">IFERROR(__xludf.dummyfunction("""COMPUTED_VALUE"""),97.5)</f>
        <v>97.5</v>
      </c>
      <c r="E518" s="2" t="n">
        <f aca="false">IFERROR(__xludf.dummyfunction("""COMPUTED_VALUE"""),99.79)</f>
        <v>99.79</v>
      </c>
      <c r="F518" s="2" t="n">
        <f aca="false">IFERROR(__xludf.dummyfunction("""COMPUTED_VALUE"""),40005055)</f>
        <v>40005055</v>
      </c>
    </row>
    <row r="519" customFormat="false" ht="15.75" hidden="false" customHeight="false" outlineLevel="0" collapsed="false">
      <c r="A519" s="3" t="n">
        <f aca="false">IFERROR(__xludf.dummyfunction("""COMPUTED_VALUE"""),44950.6666666667)</f>
        <v>44950.6666666667</v>
      </c>
      <c r="B519" s="2" t="n">
        <f aca="false">IFERROR(__xludf.dummyfunction("""COMPUTED_VALUE"""),98.1)</f>
        <v>98.1</v>
      </c>
      <c r="C519" s="2" t="n">
        <f aca="false">IFERROR(__xludf.dummyfunction("""COMPUTED_VALUE"""),99.61)</f>
        <v>99.61</v>
      </c>
      <c r="D519" s="2" t="n">
        <f aca="false">IFERROR(__xludf.dummyfunction("""COMPUTED_VALUE"""),97.2)</f>
        <v>97.2</v>
      </c>
      <c r="E519" s="2" t="n">
        <f aca="false">IFERROR(__xludf.dummyfunction("""COMPUTED_VALUE"""),97.7)</f>
        <v>97.7</v>
      </c>
      <c r="F519" s="2" t="n">
        <f aca="false">IFERROR(__xludf.dummyfunction("""COMPUTED_VALUE"""),33078512)</f>
        <v>33078512</v>
      </c>
    </row>
    <row r="520" customFormat="false" ht="15.75" hidden="false" customHeight="false" outlineLevel="0" collapsed="false">
      <c r="A520" s="3" t="n">
        <f aca="false">IFERROR(__xludf.dummyfunction("""COMPUTED_VALUE"""),44951.6666666667)</f>
        <v>44951.6666666667</v>
      </c>
      <c r="B520" s="2" t="n">
        <f aca="false">IFERROR(__xludf.dummyfunction("""COMPUTED_VALUE"""),95.57)</f>
        <v>95.57</v>
      </c>
      <c r="C520" s="2" t="n">
        <f aca="false">IFERROR(__xludf.dummyfunction("""COMPUTED_VALUE"""),96.16)</f>
        <v>96.16</v>
      </c>
      <c r="D520" s="2" t="n">
        <f aca="false">IFERROR(__xludf.dummyfunction("""COMPUTED_VALUE"""),93.76)</f>
        <v>93.76</v>
      </c>
      <c r="E520" s="2" t="n">
        <f aca="false">IFERROR(__xludf.dummyfunction("""COMPUTED_VALUE"""),95.22)</f>
        <v>95.22</v>
      </c>
      <c r="F520" s="2" t="n">
        <f aca="false">IFERROR(__xludf.dummyfunction("""COMPUTED_VALUE"""),42329952)</f>
        <v>42329952</v>
      </c>
    </row>
    <row r="521" customFormat="false" ht="15.75" hidden="false" customHeight="false" outlineLevel="0" collapsed="false">
      <c r="A521" s="3" t="n">
        <f aca="false">IFERROR(__xludf.dummyfunction("""COMPUTED_VALUE"""),44952.6666666667)</f>
        <v>44952.6666666667</v>
      </c>
      <c r="B521" s="2" t="n">
        <f aca="false">IFERROR(__xludf.dummyfunction("""COMPUTED_VALUE"""),96.5)</f>
        <v>96.5</v>
      </c>
      <c r="C521" s="2" t="n">
        <f aca="false">IFERROR(__xludf.dummyfunction("""COMPUTED_VALUE"""),97.57)</f>
        <v>97.57</v>
      </c>
      <c r="D521" s="2" t="n">
        <f aca="false">IFERROR(__xludf.dummyfunction("""COMPUTED_VALUE"""),95.38)</f>
        <v>95.38</v>
      </c>
      <c r="E521" s="2" t="n">
        <f aca="false">IFERROR(__xludf.dummyfunction("""COMPUTED_VALUE"""),97.52)</f>
        <v>97.52</v>
      </c>
      <c r="F521" s="2" t="n">
        <f aca="false">IFERROR(__xludf.dummyfunction("""COMPUTED_VALUE"""),30113974)</f>
        <v>30113974</v>
      </c>
    </row>
    <row r="522" customFormat="false" ht="15.75" hidden="false" customHeight="false" outlineLevel="0" collapsed="false">
      <c r="A522" s="3" t="n">
        <f aca="false">IFERROR(__xludf.dummyfunction("""COMPUTED_VALUE"""),44953.6666666667)</f>
        <v>44953.6666666667</v>
      </c>
      <c r="B522" s="2" t="n">
        <f aca="false">IFERROR(__xludf.dummyfunction("""COMPUTED_VALUE"""),97.31)</f>
        <v>97.31</v>
      </c>
      <c r="C522" s="2" t="n">
        <f aca="false">IFERROR(__xludf.dummyfunction("""COMPUTED_VALUE"""),100.32)</f>
        <v>100.32</v>
      </c>
      <c r="D522" s="2" t="n">
        <f aca="false">IFERROR(__xludf.dummyfunction("""COMPUTED_VALUE"""),97.31)</f>
        <v>97.31</v>
      </c>
      <c r="E522" s="2" t="n">
        <f aca="false">IFERROR(__xludf.dummyfunction("""COMPUTED_VALUE"""),99.37)</f>
        <v>99.37</v>
      </c>
      <c r="F522" s="2" t="n">
        <f aca="false">IFERROR(__xludf.dummyfunction("""COMPUTED_VALUE"""),33879753)</f>
        <v>33879753</v>
      </c>
    </row>
    <row r="523" customFormat="false" ht="15.75" hidden="false" customHeight="false" outlineLevel="0" collapsed="false">
      <c r="A523" s="3" t="n">
        <f aca="false">IFERROR(__xludf.dummyfunction("""COMPUTED_VALUE"""),44956.6666666667)</f>
        <v>44956.6666666667</v>
      </c>
      <c r="B523" s="2" t="n">
        <f aca="false">IFERROR(__xludf.dummyfunction("""COMPUTED_VALUE"""),97.48)</f>
        <v>97.48</v>
      </c>
      <c r="C523" s="2" t="n">
        <f aca="false">IFERROR(__xludf.dummyfunction("""COMPUTED_VALUE"""),98.29)</f>
        <v>98.29</v>
      </c>
      <c r="D523" s="2" t="n">
        <f aca="false">IFERROR(__xludf.dummyfunction("""COMPUTED_VALUE"""),96.4)</f>
        <v>96.4</v>
      </c>
      <c r="E523" s="2" t="n">
        <f aca="false">IFERROR(__xludf.dummyfunction("""COMPUTED_VALUE"""),96.94)</f>
        <v>96.94</v>
      </c>
      <c r="F523" s="2" t="n">
        <f aca="false">IFERROR(__xludf.dummyfunction("""COMPUTED_VALUE"""),27226198)</f>
        <v>27226198</v>
      </c>
    </row>
    <row r="524" customFormat="false" ht="15.75" hidden="false" customHeight="false" outlineLevel="0" collapsed="false">
      <c r="A524" s="3" t="n">
        <f aca="false">IFERROR(__xludf.dummyfunction("""COMPUTED_VALUE"""),44957.6666666667)</f>
        <v>44957.6666666667</v>
      </c>
      <c r="B524" s="2" t="n">
        <f aca="false">IFERROR(__xludf.dummyfunction("""COMPUTED_VALUE"""),96.87)</f>
        <v>96.87</v>
      </c>
      <c r="C524" s="2" t="n">
        <f aca="false">IFERROR(__xludf.dummyfunction("""COMPUTED_VALUE"""),98.88)</f>
        <v>98.88</v>
      </c>
      <c r="D524" s="2" t="n">
        <f aca="false">IFERROR(__xludf.dummyfunction("""COMPUTED_VALUE"""),96.82)</f>
        <v>96.82</v>
      </c>
      <c r="E524" s="2" t="n">
        <f aca="false">IFERROR(__xludf.dummyfunction("""COMPUTED_VALUE"""),98.84)</f>
        <v>98.84</v>
      </c>
      <c r="F524" s="2" t="n">
        <f aca="false">IFERROR(__xludf.dummyfunction("""COMPUTED_VALUE"""),29870669)</f>
        <v>29870669</v>
      </c>
    </row>
    <row r="525" customFormat="false" ht="15.75" hidden="false" customHeight="false" outlineLevel="0" collapsed="false">
      <c r="A525" s="3" t="n">
        <f aca="false">IFERROR(__xludf.dummyfunction("""COMPUTED_VALUE"""),44958.6666666667)</f>
        <v>44958.6666666667</v>
      </c>
      <c r="B525" s="2" t="n">
        <f aca="false">IFERROR(__xludf.dummyfunction("""COMPUTED_VALUE"""),98.71)</f>
        <v>98.71</v>
      </c>
      <c r="C525" s="2" t="n">
        <f aca="false">IFERROR(__xludf.dummyfunction("""COMPUTED_VALUE"""),101.19)</f>
        <v>101.19</v>
      </c>
      <c r="D525" s="2" t="n">
        <f aca="false">IFERROR(__xludf.dummyfunction("""COMPUTED_VALUE"""),97.58)</f>
        <v>97.58</v>
      </c>
      <c r="E525" s="2" t="n">
        <f aca="false">IFERROR(__xludf.dummyfunction("""COMPUTED_VALUE"""),100.43)</f>
        <v>100.43</v>
      </c>
      <c r="F525" s="2" t="n">
        <f aca="false">IFERROR(__xludf.dummyfunction("""COMPUTED_VALUE"""),35531104)</f>
        <v>35531104</v>
      </c>
    </row>
    <row r="526" customFormat="false" ht="15.75" hidden="false" customHeight="false" outlineLevel="0" collapsed="false">
      <c r="A526" s="3" t="n">
        <f aca="false">IFERROR(__xludf.dummyfunction("""COMPUTED_VALUE"""),44959.6666666667)</f>
        <v>44959.6666666667</v>
      </c>
      <c r="B526" s="2" t="n">
        <f aca="false">IFERROR(__xludf.dummyfunction("""COMPUTED_VALUE"""),105.8)</f>
        <v>105.8</v>
      </c>
      <c r="C526" s="2" t="n">
        <f aca="false">IFERROR(__xludf.dummyfunction("""COMPUTED_VALUE"""),107.85)</f>
        <v>107.85</v>
      </c>
      <c r="D526" s="2" t="n">
        <f aca="false">IFERROR(__xludf.dummyfunction("""COMPUTED_VALUE"""),105.61)</f>
        <v>105.61</v>
      </c>
      <c r="E526" s="2" t="n">
        <f aca="false">IFERROR(__xludf.dummyfunction("""COMPUTED_VALUE"""),107.74)</f>
        <v>107.74</v>
      </c>
      <c r="F526" s="2" t="n">
        <f aca="false">IFERROR(__xludf.dummyfunction("""COMPUTED_VALUE"""),69883762)</f>
        <v>69883762</v>
      </c>
    </row>
    <row r="527" customFormat="false" ht="15.75" hidden="false" customHeight="false" outlineLevel="0" collapsed="false">
      <c r="A527" s="3" t="n">
        <f aca="false">IFERROR(__xludf.dummyfunction("""COMPUTED_VALUE"""),44960.6666666667)</f>
        <v>44960.6666666667</v>
      </c>
      <c r="B527" s="2" t="n">
        <f aca="false">IFERROR(__xludf.dummyfunction("""COMPUTED_VALUE"""),102.93)</f>
        <v>102.93</v>
      </c>
      <c r="C527" s="2" t="n">
        <f aca="false">IFERROR(__xludf.dummyfunction("""COMPUTED_VALUE"""),107.81)</f>
        <v>107.81</v>
      </c>
      <c r="D527" s="2" t="n">
        <f aca="false">IFERROR(__xludf.dummyfunction("""COMPUTED_VALUE"""),102.58)</f>
        <v>102.58</v>
      </c>
      <c r="E527" s="2" t="n">
        <f aca="false">IFERROR(__xludf.dummyfunction("""COMPUTED_VALUE"""),104.78)</f>
        <v>104.78</v>
      </c>
      <c r="F527" s="2" t="n">
        <f aca="false">IFERROR(__xludf.dummyfunction("""COMPUTED_VALUE"""),65309261)</f>
        <v>65309261</v>
      </c>
    </row>
    <row r="528" customFormat="false" ht="15.75" hidden="false" customHeight="false" outlineLevel="0" collapsed="false">
      <c r="A528" s="3" t="n">
        <f aca="false">IFERROR(__xludf.dummyfunction("""COMPUTED_VALUE"""),44963.6666666667)</f>
        <v>44963.6666666667</v>
      </c>
      <c r="B528" s="2" t="n">
        <f aca="false">IFERROR(__xludf.dummyfunction("""COMPUTED_VALUE"""),102.4)</f>
        <v>102.4</v>
      </c>
      <c r="C528" s="2" t="n">
        <f aca="false">IFERROR(__xludf.dummyfunction("""COMPUTED_VALUE"""),104.36)</f>
        <v>104.36</v>
      </c>
      <c r="D528" s="2" t="n">
        <f aca="false">IFERROR(__xludf.dummyfunction("""COMPUTED_VALUE"""),101.88)</f>
        <v>101.88</v>
      </c>
      <c r="E528" s="2" t="n">
        <f aca="false">IFERROR(__xludf.dummyfunction("""COMPUTED_VALUE"""),102.9)</f>
        <v>102.9</v>
      </c>
      <c r="F528" s="2" t="n">
        <f aca="false">IFERROR(__xludf.dummyfunction("""COMPUTED_VALUE"""),31999562)</f>
        <v>31999562</v>
      </c>
    </row>
    <row r="529" customFormat="false" ht="15.75" hidden="false" customHeight="false" outlineLevel="0" collapsed="false">
      <c r="A529" s="3" t="n">
        <f aca="false">IFERROR(__xludf.dummyfunction("""COMPUTED_VALUE"""),44964.6666666667)</f>
        <v>44964.6666666667</v>
      </c>
      <c r="B529" s="2" t="n">
        <f aca="false">IFERROR(__xludf.dummyfunction("""COMPUTED_VALUE"""),103.22)</f>
        <v>103.22</v>
      </c>
      <c r="C529" s="2" t="n">
        <f aca="false">IFERROR(__xludf.dummyfunction("""COMPUTED_VALUE"""),108.18)</f>
        <v>108.18</v>
      </c>
      <c r="D529" s="2" t="n">
        <f aca="false">IFERROR(__xludf.dummyfunction("""COMPUTED_VALUE"""),103.12)</f>
        <v>103.12</v>
      </c>
      <c r="E529" s="2" t="n">
        <f aca="false">IFERROR(__xludf.dummyfunction("""COMPUTED_VALUE"""),107.64)</f>
        <v>107.64</v>
      </c>
      <c r="F529" s="2" t="n">
        <f aca="false">IFERROR(__xludf.dummyfunction("""COMPUTED_VALUE"""),49010230)</f>
        <v>49010230</v>
      </c>
    </row>
    <row r="530" customFormat="false" ht="15.75" hidden="false" customHeight="false" outlineLevel="0" collapsed="false">
      <c r="A530" s="3" t="n">
        <f aca="false">IFERROR(__xludf.dummyfunction("""COMPUTED_VALUE"""),44965.6666666667)</f>
        <v>44965.6666666667</v>
      </c>
      <c r="B530" s="2" t="n">
        <f aca="false">IFERROR(__xludf.dummyfunction("""COMPUTED_VALUE"""),102.05)</f>
        <v>102.05</v>
      </c>
      <c r="C530" s="2" t="n">
        <f aca="false">IFERROR(__xludf.dummyfunction("""COMPUTED_VALUE"""),103.14)</f>
        <v>103.14</v>
      </c>
      <c r="D530" s="2" t="n">
        <f aca="false">IFERROR(__xludf.dummyfunction("""COMPUTED_VALUE"""),98.04)</f>
        <v>98.04</v>
      </c>
      <c r="E530" s="2" t="n">
        <f aca="false">IFERROR(__xludf.dummyfunction("""COMPUTED_VALUE"""),99.37)</f>
        <v>99.37</v>
      </c>
      <c r="F530" s="2" t="n">
        <f aca="false">IFERROR(__xludf.dummyfunction("""COMPUTED_VALUE"""),94743515)</f>
        <v>94743515</v>
      </c>
    </row>
    <row r="531" customFormat="false" ht="15.75" hidden="false" customHeight="false" outlineLevel="0" collapsed="false">
      <c r="A531" s="3" t="n">
        <f aca="false">IFERROR(__xludf.dummyfunction("""COMPUTED_VALUE"""),44966.6666666667)</f>
        <v>44966.6666666667</v>
      </c>
      <c r="B531" s="2" t="n">
        <f aca="false">IFERROR(__xludf.dummyfunction("""COMPUTED_VALUE"""),100)</f>
        <v>100</v>
      </c>
      <c r="C531" s="2" t="n">
        <f aca="false">IFERROR(__xludf.dummyfunction("""COMPUTED_VALUE"""),100.03)</f>
        <v>100.03</v>
      </c>
      <c r="D531" s="2" t="n">
        <f aca="false">IFERROR(__xludf.dummyfunction("""COMPUTED_VALUE"""),93.63)</f>
        <v>93.63</v>
      </c>
      <c r="E531" s="2" t="n">
        <f aca="false">IFERROR(__xludf.dummyfunction("""COMPUTED_VALUE"""),95.01)</f>
        <v>95.01</v>
      </c>
      <c r="F531" s="2" t="n">
        <f aca="false">IFERROR(__xludf.dummyfunction("""COMPUTED_VALUE"""),119455020)</f>
        <v>119455020</v>
      </c>
    </row>
    <row r="532" customFormat="false" ht="15.75" hidden="false" customHeight="false" outlineLevel="0" collapsed="false">
      <c r="A532" s="3" t="n">
        <f aca="false">IFERROR(__xludf.dummyfunction("""COMPUTED_VALUE"""),44967.6666666667)</f>
        <v>44967.6666666667</v>
      </c>
      <c r="B532" s="2" t="n">
        <f aca="false">IFERROR(__xludf.dummyfunction("""COMPUTED_VALUE"""),95.45)</f>
        <v>95.45</v>
      </c>
      <c r="C532" s="2" t="n">
        <f aca="false">IFERROR(__xludf.dummyfunction("""COMPUTED_VALUE"""),96.75)</f>
        <v>96.75</v>
      </c>
      <c r="D532" s="2" t="n">
        <f aca="false">IFERROR(__xludf.dummyfunction("""COMPUTED_VALUE"""),94.25)</f>
        <v>94.25</v>
      </c>
      <c r="E532" s="2" t="n">
        <f aca="false">IFERROR(__xludf.dummyfunction("""COMPUTED_VALUE"""),94.57)</f>
        <v>94.57</v>
      </c>
      <c r="F532" s="2" t="n">
        <f aca="false">IFERROR(__xludf.dummyfunction("""COMPUTED_VALUE"""),54980696)</f>
        <v>54980696</v>
      </c>
    </row>
    <row r="533" customFormat="false" ht="15.75" hidden="false" customHeight="false" outlineLevel="0" collapsed="false">
      <c r="A533" s="3" t="n">
        <f aca="false">IFERROR(__xludf.dummyfunction("""COMPUTED_VALUE"""),44970.6666666667)</f>
        <v>44970.6666666667</v>
      </c>
      <c r="B533" s="2" t="n">
        <f aca="false">IFERROR(__xludf.dummyfunction("""COMPUTED_VALUE"""),94.74)</f>
        <v>94.74</v>
      </c>
      <c r="C533" s="2" t="n">
        <f aca="false">IFERROR(__xludf.dummyfunction("""COMPUTED_VALUE"""),95.2)</f>
        <v>95.2</v>
      </c>
      <c r="D533" s="2" t="n">
        <f aca="false">IFERROR(__xludf.dummyfunction("""COMPUTED_VALUE"""),93.84)</f>
        <v>93.84</v>
      </c>
      <c r="E533" s="2" t="n">
        <f aca="false">IFERROR(__xludf.dummyfunction("""COMPUTED_VALUE"""),94.61)</f>
        <v>94.61</v>
      </c>
      <c r="F533" s="2" t="n">
        <f aca="false">IFERROR(__xludf.dummyfunction("""COMPUTED_VALUE"""),50076120)</f>
        <v>50076120</v>
      </c>
    </row>
    <row r="534" customFormat="false" ht="15.75" hidden="false" customHeight="false" outlineLevel="0" collapsed="false">
      <c r="A534" s="3" t="n">
        <f aca="false">IFERROR(__xludf.dummyfunction("""COMPUTED_VALUE"""),44971.6666666667)</f>
        <v>44971.6666666667</v>
      </c>
      <c r="B534" s="2" t="n">
        <f aca="false">IFERROR(__xludf.dummyfunction("""COMPUTED_VALUE"""),94.43)</f>
        <v>94.43</v>
      </c>
      <c r="C534" s="2" t="n">
        <f aca="false">IFERROR(__xludf.dummyfunction("""COMPUTED_VALUE"""),94.85)</f>
        <v>94.85</v>
      </c>
      <c r="D534" s="2" t="n">
        <f aca="false">IFERROR(__xludf.dummyfunction("""COMPUTED_VALUE"""),92.26)</f>
        <v>92.26</v>
      </c>
      <c r="E534" s="2" t="n">
        <f aca="false">IFERROR(__xludf.dummyfunction("""COMPUTED_VALUE"""),94.68)</f>
        <v>94.68</v>
      </c>
      <c r="F534" s="2" t="n">
        <f aca="false">IFERROR(__xludf.dummyfunction("""COMPUTED_VALUE"""),54726120)</f>
        <v>54726120</v>
      </c>
    </row>
    <row r="535" customFormat="false" ht="15.75" hidden="false" customHeight="false" outlineLevel="0" collapsed="false">
      <c r="A535" s="3" t="n">
        <f aca="false">IFERROR(__xludf.dummyfunction("""COMPUTED_VALUE"""),44972.6666666667)</f>
        <v>44972.6666666667</v>
      </c>
      <c r="B535" s="2" t="n">
        <f aca="false">IFERROR(__xludf.dummyfunction("""COMPUTED_VALUE"""),94.49)</f>
        <v>94.49</v>
      </c>
      <c r="C535" s="2" t="n">
        <f aca="false">IFERROR(__xludf.dummyfunction("""COMPUTED_VALUE"""),97.12)</f>
        <v>97.12</v>
      </c>
      <c r="D535" s="2" t="n">
        <f aca="false">IFERROR(__xludf.dummyfunction("""COMPUTED_VALUE"""),94.15)</f>
        <v>94.15</v>
      </c>
      <c r="E535" s="2" t="n">
        <f aca="false">IFERROR(__xludf.dummyfunction("""COMPUTED_VALUE"""),96.94)</f>
        <v>96.94</v>
      </c>
      <c r="F535" s="2" t="n">
        <f aca="false">IFERROR(__xludf.dummyfunction("""COMPUTED_VALUE"""),50298481)</f>
        <v>50298481</v>
      </c>
    </row>
    <row r="536" customFormat="false" ht="15.75" hidden="false" customHeight="false" outlineLevel="0" collapsed="false">
      <c r="A536" s="3" t="n">
        <f aca="false">IFERROR(__xludf.dummyfunction("""COMPUTED_VALUE"""),44973.6666666667)</f>
        <v>44973.6666666667</v>
      </c>
      <c r="B536" s="2" t="n">
        <f aca="false">IFERROR(__xludf.dummyfunction("""COMPUTED_VALUE"""),95.37)</f>
        <v>95.37</v>
      </c>
      <c r="C536" s="2" t="n">
        <f aca="false">IFERROR(__xludf.dummyfunction("""COMPUTED_VALUE"""),97.68)</f>
        <v>97.68</v>
      </c>
      <c r="D536" s="2" t="n">
        <f aca="false">IFERROR(__xludf.dummyfunction("""COMPUTED_VALUE"""),94.74)</f>
        <v>94.74</v>
      </c>
      <c r="E536" s="2" t="n">
        <f aca="false">IFERROR(__xludf.dummyfunction("""COMPUTED_VALUE"""),95.51)</f>
        <v>95.51</v>
      </c>
      <c r="F536" s="2" t="n">
        <f aca="false">IFERROR(__xludf.dummyfunction("""COMPUTED_VALUE"""),42462618)</f>
        <v>42462618</v>
      </c>
    </row>
    <row r="537" customFormat="false" ht="15.75" hidden="false" customHeight="false" outlineLevel="0" collapsed="false">
      <c r="A537" s="3" t="n">
        <f aca="false">IFERROR(__xludf.dummyfunction("""COMPUTED_VALUE"""),44974.6666666667)</f>
        <v>44974.6666666667</v>
      </c>
      <c r="B537" s="2" t="n">
        <f aca="false">IFERROR(__xludf.dummyfunction("""COMPUTED_VALUE"""),94.85)</f>
        <v>94.85</v>
      </c>
      <c r="C537" s="2" t="n">
        <f aca="false">IFERROR(__xludf.dummyfunction("""COMPUTED_VALUE"""),95.56)</f>
        <v>95.56</v>
      </c>
      <c r="D537" s="2" t="n">
        <f aca="false">IFERROR(__xludf.dummyfunction("""COMPUTED_VALUE"""),93.21)</f>
        <v>93.21</v>
      </c>
      <c r="E537" s="2" t="n">
        <f aca="false">IFERROR(__xludf.dummyfunction("""COMPUTED_VALUE"""),94.35)</f>
        <v>94.35</v>
      </c>
      <c r="F537" s="2" t="n">
        <f aca="false">IFERROR(__xludf.dummyfunction("""COMPUTED_VALUE"""),34284118)</f>
        <v>34284118</v>
      </c>
    </row>
    <row r="538" customFormat="false" ht="15.75" hidden="false" customHeight="false" outlineLevel="0" collapsed="false">
      <c r="A538" s="3" t="n">
        <f aca="false">IFERROR(__xludf.dummyfunction("""COMPUTED_VALUE"""),44978.6666666667)</f>
        <v>44978.6666666667</v>
      </c>
      <c r="B538" s="2" t="n">
        <f aca="false">IFERROR(__xludf.dummyfunction("""COMPUTED_VALUE"""),93)</f>
        <v>93</v>
      </c>
      <c r="C538" s="2" t="n">
        <f aca="false">IFERROR(__xludf.dummyfunction("""COMPUTED_VALUE"""),93.1)</f>
        <v>93.1</v>
      </c>
      <c r="D538" s="2" t="n">
        <f aca="false">IFERROR(__xludf.dummyfunction("""COMPUTED_VALUE"""),91.72)</f>
        <v>91.72</v>
      </c>
      <c r="E538" s="2" t="n">
        <f aca="false">IFERROR(__xludf.dummyfunction("""COMPUTED_VALUE"""),91.79)</f>
        <v>91.79</v>
      </c>
      <c r="F538" s="2" t="n">
        <f aca="false">IFERROR(__xludf.dummyfunction("""COMPUTED_VALUE"""),33629256)</f>
        <v>33629256</v>
      </c>
    </row>
    <row r="539" customFormat="false" ht="15.75" hidden="false" customHeight="false" outlineLevel="0" collapsed="false">
      <c r="A539" s="3" t="n">
        <f aca="false">IFERROR(__xludf.dummyfunction("""COMPUTED_VALUE"""),44979.6666666667)</f>
        <v>44979.6666666667</v>
      </c>
      <c r="B539" s="2" t="n">
        <f aca="false">IFERROR(__xludf.dummyfunction("""COMPUTED_VALUE"""),91.7)</f>
        <v>91.7</v>
      </c>
      <c r="C539" s="2" t="n">
        <f aca="false">IFERROR(__xludf.dummyfunction("""COMPUTED_VALUE"""),92.11)</f>
        <v>92.11</v>
      </c>
      <c r="D539" s="2" t="n">
        <f aca="false">IFERROR(__xludf.dummyfunction("""COMPUTED_VALUE"""),90.61)</f>
        <v>90.61</v>
      </c>
      <c r="E539" s="2" t="n">
        <f aca="false">IFERROR(__xludf.dummyfunction("""COMPUTED_VALUE"""),91.65)</f>
        <v>91.65</v>
      </c>
      <c r="F539" s="2" t="n">
        <f aca="false">IFERROR(__xludf.dummyfunction("""COMPUTED_VALUE"""),30884017)</f>
        <v>30884017</v>
      </c>
    </row>
    <row r="540" customFormat="false" ht="15.75" hidden="false" customHeight="false" outlineLevel="0" collapsed="false">
      <c r="A540" s="3" t="n">
        <f aca="false">IFERROR(__xludf.dummyfunction("""COMPUTED_VALUE"""),44980.6666666667)</f>
        <v>44980.6666666667</v>
      </c>
      <c r="B540" s="2" t="n">
        <f aca="false">IFERROR(__xludf.dummyfunction("""COMPUTED_VALUE"""),91.92)</f>
        <v>91.92</v>
      </c>
      <c r="C540" s="2" t="n">
        <f aca="false">IFERROR(__xludf.dummyfunction("""COMPUTED_VALUE"""),91.94)</f>
        <v>91.94</v>
      </c>
      <c r="D540" s="2" t="n">
        <f aca="false">IFERROR(__xludf.dummyfunction("""COMPUTED_VALUE"""),89.76)</f>
        <v>89.76</v>
      </c>
      <c r="E540" s="2" t="n">
        <f aca="false">IFERROR(__xludf.dummyfunction("""COMPUTED_VALUE"""),90.89)</f>
        <v>90.89</v>
      </c>
      <c r="F540" s="2" t="n">
        <f aca="false">IFERROR(__xludf.dummyfunction("""COMPUTED_VALUE"""),41206380)</f>
        <v>41206380</v>
      </c>
    </row>
    <row r="541" customFormat="false" ht="15.75" hidden="false" customHeight="false" outlineLevel="0" collapsed="false">
      <c r="A541" s="3" t="n">
        <f aca="false">IFERROR(__xludf.dummyfunction("""COMPUTED_VALUE"""),44981.6666666667)</f>
        <v>44981.6666666667</v>
      </c>
      <c r="B541" s="2" t="n">
        <f aca="false">IFERROR(__xludf.dummyfunction("""COMPUTED_VALUE"""),89.44)</f>
        <v>89.44</v>
      </c>
      <c r="C541" s="2" t="n">
        <f aca="false">IFERROR(__xludf.dummyfunction("""COMPUTED_VALUE"""),89.89)</f>
        <v>89.89</v>
      </c>
      <c r="D541" s="2" t="n">
        <f aca="false">IFERROR(__xludf.dummyfunction("""COMPUTED_VALUE"""),88.58)</f>
        <v>88.58</v>
      </c>
      <c r="E541" s="2" t="n">
        <f aca="false">IFERROR(__xludf.dummyfunction("""COMPUTED_VALUE"""),89.13)</f>
        <v>89.13</v>
      </c>
      <c r="F541" s="2" t="n">
        <f aca="false">IFERROR(__xludf.dummyfunction("""COMPUTED_VALUE"""),36585093)</f>
        <v>36585093</v>
      </c>
    </row>
    <row r="542" customFormat="false" ht="15.75" hidden="false" customHeight="false" outlineLevel="0" collapsed="false">
      <c r="A542" s="3" t="n">
        <f aca="false">IFERROR(__xludf.dummyfunction("""COMPUTED_VALUE"""),44984.6666666667)</f>
        <v>44984.6666666667</v>
      </c>
      <c r="B542" s="2" t="n">
        <f aca="false">IFERROR(__xludf.dummyfunction("""COMPUTED_VALUE"""),89.87)</f>
        <v>89.87</v>
      </c>
      <c r="C542" s="2" t="n">
        <f aca="false">IFERROR(__xludf.dummyfunction("""COMPUTED_VALUE"""),90.16)</f>
        <v>90.16</v>
      </c>
      <c r="D542" s="2" t="n">
        <f aca="false">IFERROR(__xludf.dummyfunction("""COMPUTED_VALUE"""),89.34)</f>
        <v>89.34</v>
      </c>
      <c r="E542" s="2" t="n">
        <f aca="false">IFERROR(__xludf.dummyfunction("""COMPUTED_VALUE"""),89.87)</f>
        <v>89.87</v>
      </c>
      <c r="F542" s="2" t="n">
        <f aca="false">IFERROR(__xludf.dummyfunction("""COMPUTED_VALUE"""),27502302)</f>
        <v>27502302</v>
      </c>
    </row>
    <row r="543" customFormat="false" ht="15.75" hidden="false" customHeight="false" outlineLevel="0" collapsed="false">
      <c r="A543" s="3" t="n">
        <f aca="false">IFERROR(__xludf.dummyfunction("""COMPUTED_VALUE"""),44985.6666666667)</f>
        <v>44985.6666666667</v>
      </c>
      <c r="B543" s="2" t="n">
        <f aca="false">IFERROR(__xludf.dummyfunction("""COMPUTED_VALUE"""),89.33)</f>
        <v>89.33</v>
      </c>
      <c r="C543" s="2" t="n">
        <f aca="false">IFERROR(__xludf.dummyfunction("""COMPUTED_VALUE"""),91.23)</f>
        <v>91.23</v>
      </c>
      <c r="D543" s="2" t="n">
        <f aca="false">IFERROR(__xludf.dummyfunction("""COMPUTED_VALUE"""),89.32)</f>
        <v>89.32</v>
      </c>
      <c r="E543" s="2" t="n">
        <f aca="false">IFERROR(__xludf.dummyfunction("""COMPUTED_VALUE"""),90.06)</f>
        <v>90.06</v>
      </c>
      <c r="F543" s="2" t="n">
        <f aca="false">IFERROR(__xludf.dummyfunction("""COMPUTED_VALUE"""),30142039)</f>
        <v>30142039</v>
      </c>
    </row>
    <row r="544" customFormat="false" ht="15.75" hidden="false" customHeight="false" outlineLevel="0" collapsed="false">
      <c r="A544" s="3" t="n">
        <f aca="false">IFERROR(__xludf.dummyfunction("""COMPUTED_VALUE"""),44986.6666666667)</f>
        <v>44986.6666666667</v>
      </c>
      <c r="B544" s="2" t="n">
        <f aca="false">IFERROR(__xludf.dummyfunction("""COMPUTED_VALUE"""),89.98)</f>
        <v>89.98</v>
      </c>
      <c r="C544" s="2" t="n">
        <f aca="false">IFERROR(__xludf.dummyfunction("""COMPUTED_VALUE"""),91.03)</f>
        <v>91.03</v>
      </c>
      <c r="D544" s="2" t="n">
        <f aca="false">IFERROR(__xludf.dummyfunction("""COMPUTED_VALUE"""),89.67)</f>
        <v>89.67</v>
      </c>
      <c r="E544" s="2" t="n">
        <f aca="false">IFERROR(__xludf.dummyfunction("""COMPUTED_VALUE"""),90.36)</f>
        <v>90.36</v>
      </c>
      <c r="F544" s="2" t="n">
        <f aca="false">IFERROR(__xludf.dummyfunction("""COMPUTED_VALUE"""),31111225)</f>
        <v>31111225</v>
      </c>
    </row>
    <row r="545" customFormat="false" ht="15.75" hidden="false" customHeight="false" outlineLevel="0" collapsed="false">
      <c r="A545" s="3" t="n">
        <f aca="false">IFERROR(__xludf.dummyfunction("""COMPUTED_VALUE"""),44987.6666666667)</f>
        <v>44987.6666666667</v>
      </c>
      <c r="B545" s="2" t="n">
        <f aca="false">IFERROR(__xludf.dummyfunction("""COMPUTED_VALUE"""),89.66)</f>
        <v>89.66</v>
      </c>
      <c r="C545" s="2" t="n">
        <f aca="false">IFERROR(__xludf.dummyfunction("""COMPUTED_VALUE"""),92.28)</f>
        <v>92.28</v>
      </c>
      <c r="D545" s="2" t="n">
        <f aca="false">IFERROR(__xludf.dummyfunction("""COMPUTED_VALUE"""),89.59)</f>
        <v>89.59</v>
      </c>
      <c r="E545" s="2" t="n">
        <f aca="false">IFERROR(__xludf.dummyfunction("""COMPUTED_VALUE"""),92)</f>
        <v>92</v>
      </c>
      <c r="F545" s="2" t="n">
        <f aca="false">IFERROR(__xludf.dummyfunction("""COMPUTED_VALUE"""),32226229)</f>
        <v>32226229</v>
      </c>
    </row>
    <row r="546" customFormat="false" ht="15.75" hidden="false" customHeight="false" outlineLevel="0" collapsed="false">
      <c r="A546" s="3" t="n">
        <f aca="false">IFERROR(__xludf.dummyfunction("""COMPUTED_VALUE"""),44988.6666666667)</f>
        <v>44988.6666666667</v>
      </c>
      <c r="B546" s="2" t="n">
        <f aca="false">IFERROR(__xludf.dummyfunction("""COMPUTED_VALUE"""),92.48)</f>
        <v>92.48</v>
      </c>
      <c r="C546" s="2" t="n">
        <f aca="false">IFERROR(__xludf.dummyfunction("""COMPUTED_VALUE"""),93.73)</f>
        <v>93.73</v>
      </c>
      <c r="D546" s="2" t="n">
        <f aca="false">IFERROR(__xludf.dummyfunction("""COMPUTED_VALUE"""),92.45)</f>
        <v>92.45</v>
      </c>
      <c r="E546" s="2" t="n">
        <f aca="false">IFERROR(__xludf.dummyfunction("""COMPUTED_VALUE"""),93.65)</f>
        <v>93.65</v>
      </c>
      <c r="F546" s="2" t="n">
        <f aca="false">IFERROR(__xludf.dummyfunction("""COMPUTED_VALUE"""),35160105)</f>
        <v>35160105</v>
      </c>
    </row>
    <row r="547" customFormat="false" ht="15.75" hidden="false" customHeight="false" outlineLevel="0" collapsed="false">
      <c r="A547" s="3" t="n">
        <f aca="false">IFERROR(__xludf.dummyfunction("""COMPUTED_VALUE"""),44991.6666666667)</f>
        <v>44991.6666666667</v>
      </c>
      <c r="B547" s="2" t="n">
        <f aca="false">IFERROR(__xludf.dummyfunction("""COMPUTED_VALUE"""),94.02)</f>
        <v>94.02</v>
      </c>
      <c r="C547" s="2" t="n">
        <f aca="false">IFERROR(__xludf.dummyfunction("""COMPUTED_VALUE"""),95.97)</f>
        <v>95.97</v>
      </c>
      <c r="D547" s="2" t="n">
        <f aca="false">IFERROR(__xludf.dummyfunction("""COMPUTED_VALUE"""),94)</f>
        <v>94</v>
      </c>
      <c r="E547" s="2" t="n">
        <f aca="false">IFERROR(__xludf.dummyfunction("""COMPUTED_VALUE"""),95.13)</f>
        <v>95.13</v>
      </c>
      <c r="F547" s="2" t="n">
        <f aca="false">IFERROR(__xludf.dummyfunction("""COMPUTED_VALUE"""),32639313)</f>
        <v>32639313</v>
      </c>
    </row>
    <row r="548" customFormat="false" ht="15.75" hidden="false" customHeight="false" outlineLevel="0" collapsed="false">
      <c r="A548" s="3" t="n">
        <f aca="false">IFERROR(__xludf.dummyfunction("""COMPUTED_VALUE"""),44992.6666666667)</f>
        <v>44992.6666666667</v>
      </c>
      <c r="B548" s="2" t="n">
        <f aca="false">IFERROR(__xludf.dummyfunction("""COMPUTED_VALUE"""),94.98)</f>
        <v>94.98</v>
      </c>
      <c r="C548" s="2" t="n">
        <f aca="false">IFERROR(__xludf.dummyfunction("""COMPUTED_VALUE"""),95.67)</f>
        <v>95.67</v>
      </c>
      <c r="D548" s="2" t="n">
        <f aca="false">IFERROR(__xludf.dummyfunction("""COMPUTED_VALUE"""),93.53)</f>
        <v>93.53</v>
      </c>
      <c r="E548" s="2" t="n">
        <f aca="false">IFERROR(__xludf.dummyfunction("""COMPUTED_VALUE"""),93.86)</f>
        <v>93.86</v>
      </c>
      <c r="F548" s="2" t="n">
        <f aca="false">IFERROR(__xludf.dummyfunction("""COMPUTED_VALUE"""),27835476)</f>
        <v>27835476</v>
      </c>
    </row>
    <row r="549" customFormat="false" ht="15.75" hidden="false" customHeight="false" outlineLevel="0" collapsed="false">
      <c r="A549" s="3" t="n">
        <f aca="false">IFERROR(__xludf.dummyfunction("""COMPUTED_VALUE"""),44993.6666666667)</f>
        <v>44993.6666666667</v>
      </c>
      <c r="B549" s="2" t="n">
        <f aca="false">IFERROR(__xludf.dummyfunction("""COMPUTED_VALUE"""),94.12)</f>
        <v>94.12</v>
      </c>
      <c r="C549" s="2" t="n">
        <f aca="false">IFERROR(__xludf.dummyfunction("""COMPUTED_VALUE"""),95.96)</f>
        <v>95.96</v>
      </c>
      <c r="D549" s="2" t="n">
        <f aca="false">IFERROR(__xludf.dummyfunction("""COMPUTED_VALUE"""),94)</f>
        <v>94</v>
      </c>
      <c r="E549" s="2" t="n">
        <f aca="false">IFERROR(__xludf.dummyfunction("""COMPUTED_VALUE"""),94.25)</f>
        <v>94.25</v>
      </c>
      <c r="F549" s="2" t="n">
        <f aca="false">IFERROR(__xludf.dummyfunction("""COMPUTED_VALUE"""),34103265)</f>
        <v>34103265</v>
      </c>
    </row>
    <row r="550" customFormat="false" ht="15.75" hidden="false" customHeight="false" outlineLevel="0" collapsed="false">
      <c r="A550" s="3" t="n">
        <f aca="false">IFERROR(__xludf.dummyfunction("""COMPUTED_VALUE"""),44994.6666666667)</f>
        <v>44994.6666666667</v>
      </c>
      <c r="B550" s="2" t="n">
        <f aca="false">IFERROR(__xludf.dummyfunction("""COMPUTED_VALUE"""),94.05)</f>
        <v>94.05</v>
      </c>
      <c r="C550" s="2" t="n">
        <f aca="false">IFERROR(__xludf.dummyfunction("""COMPUTED_VALUE"""),95.53)</f>
        <v>95.53</v>
      </c>
      <c r="D550" s="2" t="n">
        <f aca="false">IFERROR(__xludf.dummyfunction("""COMPUTED_VALUE"""),91.9)</f>
        <v>91.9</v>
      </c>
      <c r="E550" s="2" t="n">
        <f aca="false">IFERROR(__xludf.dummyfunction("""COMPUTED_VALUE"""),92.32)</f>
        <v>92.32</v>
      </c>
      <c r="F550" s="2" t="n">
        <f aca="false">IFERROR(__xludf.dummyfunction("""COMPUTED_VALUE"""),28813532)</f>
        <v>28813532</v>
      </c>
    </row>
    <row r="551" customFormat="false" ht="15.75" hidden="false" customHeight="false" outlineLevel="0" collapsed="false">
      <c r="A551" s="3" t="n">
        <f aca="false">IFERROR(__xludf.dummyfunction("""COMPUTED_VALUE"""),44995.6666666667)</f>
        <v>44995.6666666667</v>
      </c>
      <c r="B551" s="2" t="n">
        <f aca="false">IFERROR(__xludf.dummyfunction("""COMPUTED_VALUE"""),92.17)</f>
        <v>92.17</v>
      </c>
      <c r="C551" s="2" t="n">
        <f aca="false">IFERROR(__xludf.dummyfunction("""COMPUTED_VALUE"""),92.79)</f>
        <v>92.79</v>
      </c>
      <c r="D551" s="2" t="n">
        <f aca="false">IFERROR(__xludf.dummyfunction("""COMPUTED_VALUE"""),90.4)</f>
        <v>90.4</v>
      </c>
      <c r="E551" s="2" t="n">
        <f aca="false">IFERROR(__xludf.dummyfunction("""COMPUTED_VALUE"""),90.63)</f>
        <v>90.63</v>
      </c>
      <c r="F551" s="2" t="n">
        <f aca="false">IFERROR(__xludf.dummyfunction("""COMPUTED_VALUE"""),35941046)</f>
        <v>35941046</v>
      </c>
    </row>
    <row r="552" customFormat="false" ht="15.75" hidden="false" customHeight="false" outlineLevel="0" collapsed="false">
      <c r="A552" s="3" t="n">
        <f aca="false">IFERROR(__xludf.dummyfunction("""COMPUTED_VALUE"""),44998.6666666667)</f>
        <v>44998.6666666667</v>
      </c>
      <c r="B552" s="2" t="n">
        <f aca="false">IFERROR(__xludf.dummyfunction("""COMPUTED_VALUE"""),90.09)</f>
        <v>90.09</v>
      </c>
      <c r="C552" s="2" t="n">
        <f aca="false">IFERROR(__xludf.dummyfunction("""COMPUTED_VALUE"""),92.57)</f>
        <v>92.57</v>
      </c>
      <c r="D552" s="2" t="n">
        <f aca="false">IFERROR(__xludf.dummyfunction("""COMPUTED_VALUE"""),89.42)</f>
        <v>89.42</v>
      </c>
      <c r="E552" s="2" t="n">
        <f aca="false">IFERROR(__xludf.dummyfunction("""COMPUTED_VALUE"""),91.11)</f>
        <v>91.11</v>
      </c>
      <c r="F552" s="2" t="n">
        <f aca="false">IFERROR(__xludf.dummyfunction("""COMPUTED_VALUE"""),37335573)</f>
        <v>37335573</v>
      </c>
    </row>
    <row r="553" customFormat="false" ht="15.75" hidden="false" customHeight="false" outlineLevel="0" collapsed="false">
      <c r="A553" s="3" t="n">
        <f aca="false">IFERROR(__xludf.dummyfunction("""COMPUTED_VALUE"""),44999.6666666667)</f>
        <v>44999.6666666667</v>
      </c>
      <c r="B553" s="2" t="n">
        <f aca="false">IFERROR(__xludf.dummyfunction("""COMPUTED_VALUE"""),92.56)</f>
        <v>92.56</v>
      </c>
      <c r="C553" s="2" t="n">
        <f aca="false">IFERROR(__xludf.dummyfunction("""COMPUTED_VALUE"""),94.36)</f>
        <v>94.36</v>
      </c>
      <c r="D553" s="2" t="n">
        <f aca="false">IFERROR(__xludf.dummyfunction("""COMPUTED_VALUE"""),92.44)</f>
        <v>92.44</v>
      </c>
      <c r="E553" s="2" t="n">
        <f aca="false">IFERROR(__xludf.dummyfunction("""COMPUTED_VALUE"""),93.97)</f>
        <v>93.97</v>
      </c>
      <c r="F553" s="2" t="n">
        <f aca="false">IFERROR(__xludf.dummyfunction("""COMPUTED_VALUE"""),36050214)</f>
        <v>36050214</v>
      </c>
    </row>
    <row r="554" customFormat="false" ht="15.75" hidden="false" customHeight="false" outlineLevel="0" collapsed="false">
      <c r="A554" s="3" t="n">
        <f aca="false">IFERROR(__xludf.dummyfunction("""COMPUTED_VALUE"""),45000.6666666667)</f>
        <v>45000.6666666667</v>
      </c>
      <c r="B554" s="2" t="n">
        <f aca="false">IFERROR(__xludf.dummyfunction("""COMPUTED_VALUE"""),93.22)</f>
        <v>93.22</v>
      </c>
      <c r="C554" s="2" t="n">
        <f aca="false">IFERROR(__xludf.dummyfunction("""COMPUTED_VALUE"""),96.93)</f>
        <v>96.93</v>
      </c>
      <c r="D554" s="2" t="n">
        <f aca="false">IFERROR(__xludf.dummyfunction("""COMPUTED_VALUE"""),92.64)</f>
        <v>92.64</v>
      </c>
      <c r="E554" s="2" t="n">
        <f aca="false">IFERROR(__xludf.dummyfunction("""COMPUTED_VALUE"""),96.11)</f>
        <v>96.11</v>
      </c>
      <c r="F554" s="2" t="n">
        <f aca="false">IFERROR(__xludf.dummyfunction("""COMPUTED_VALUE"""),50622050)</f>
        <v>50622050</v>
      </c>
    </row>
    <row r="555" customFormat="false" ht="15.75" hidden="false" customHeight="false" outlineLevel="0" collapsed="false">
      <c r="A555" s="3" t="n">
        <f aca="false">IFERROR(__xludf.dummyfunction("""COMPUTED_VALUE"""),45001.6666666667)</f>
        <v>45001.6666666667</v>
      </c>
      <c r="B555" s="2" t="n">
        <f aca="false">IFERROR(__xludf.dummyfunction("""COMPUTED_VALUE"""),96.2)</f>
        <v>96.2</v>
      </c>
      <c r="C555" s="2" t="n">
        <f aca="false">IFERROR(__xludf.dummyfunction("""COMPUTED_VALUE"""),101.19)</f>
        <v>101.19</v>
      </c>
      <c r="D555" s="2" t="n">
        <f aca="false">IFERROR(__xludf.dummyfunction("""COMPUTED_VALUE"""),95.5)</f>
        <v>95.5</v>
      </c>
      <c r="E555" s="2" t="n">
        <f aca="false">IFERROR(__xludf.dummyfunction("""COMPUTED_VALUE"""),100.32)</f>
        <v>100.32</v>
      </c>
      <c r="F555" s="2" t="n">
        <f aca="false">IFERROR(__xludf.dummyfunction("""COMPUTED_VALUE"""),65567656)</f>
        <v>65567656</v>
      </c>
    </row>
    <row r="556" customFormat="false" ht="15.75" hidden="false" customHeight="false" outlineLevel="0" collapsed="false">
      <c r="A556" s="3" t="n">
        <f aca="false">IFERROR(__xludf.dummyfunction("""COMPUTED_VALUE"""),45002.6666666667)</f>
        <v>45002.6666666667</v>
      </c>
      <c r="B556" s="2" t="n">
        <f aca="false">IFERROR(__xludf.dummyfunction("""COMPUTED_VALUE"""),100.26)</f>
        <v>100.26</v>
      </c>
      <c r="C556" s="2" t="n">
        <f aca="false">IFERROR(__xludf.dummyfunction("""COMPUTED_VALUE"""),102.84)</f>
        <v>102.84</v>
      </c>
      <c r="D556" s="2" t="n">
        <f aca="false">IFERROR(__xludf.dummyfunction("""COMPUTED_VALUE"""),100.1)</f>
        <v>100.1</v>
      </c>
      <c r="E556" s="2" t="n">
        <f aca="false">IFERROR(__xludf.dummyfunction("""COMPUTED_VALUE"""),101.62)</f>
        <v>101.62</v>
      </c>
      <c r="F556" s="2" t="n">
        <f aca="false">IFERROR(__xludf.dummyfunction("""COMPUTED_VALUE"""),61028547)</f>
        <v>61028547</v>
      </c>
    </row>
    <row r="557" customFormat="false" ht="15.75" hidden="false" customHeight="false" outlineLevel="0" collapsed="false">
      <c r="A557" s="3" t="n">
        <f aca="false">IFERROR(__xludf.dummyfunction("""COMPUTED_VALUE"""),45005.6666666667)</f>
        <v>45005.6666666667</v>
      </c>
      <c r="B557" s="2" t="n">
        <f aca="false">IFERROR(__xludf.dummyfunction("""COMPUTED_VALUE"""),100.12)</f>
        <v>100.12</v>
      </c>
      <c r="C557" s="2" t="n">
        <f aca="false">IFERROR(__xludf.dummyfunction("""COMPUTED_VALUE"""),101.75)</f>
        <v>101.75</v>
      </c>
      <c r="D557" s="2" t="n">
        <f aca="false">IFERROR(__xludf.dummyfunction("""COMPUTED_VALUE"""),99.87)</f>
        <v>99.87</v>
      </c>
      <c r="E557" s="2" t="n">
        <f aca="false">IFERROR(__xludf.dummyfunction("""COMPUTED_VALUE"""),101.22)</f>
        <v>101.22</v>
      </c>
      <c r="F557" s="2" t="n">
        <f aca="false">IFERROR(__xludf.dummyfunction("""COMPUTED_VALUE"""),32960440)</f>
        <v>32960440</v>
      </c>
    </row>
    <row r="558" customFormat="false" ht="15.75" hidden="false" customHeight="false" outlineLevel="0" collapsed="false">
      <c r="A558" s="3" t="n">
        <f aca="false">IFERROR(__xludf.dummyfunction("""COMPUTED_VALUE"""),45006.6666666667)</f>
        <v>45006.6666666667</v>
      </c>
      <c r="B558" s="2" t="n">
        <f aca="false">IFERROR(__xludf.dummyfunction("""COMPUTED_VALUE"""),101.25)</f>
        <v>101.25</v>
      </c>
      <c r="C558" s="2" t="n">
        <f aca="false">IFERROR(__xludf.dummyfunction("""COMPUTED_VALUE"""),105.1)</f>
        <v>105.1</v>
      </c>
      <c r="D558" s="2" t="n">
        <f aca="false">IFERROR(__xludf.dummyfunction("""COMPUTED_VALUE"""),101.22)</f>
        <v>101.22</v>
      </c>
      <c r="E558" s="2" t="n">
        <f aca="false">IFERROR(__xludf.dummyfunction("""COMPUTED_VALUE"""),104.92)</f>
        <v>104.92</v>
      </c>
      <c r="F558" s="2" t="n">
        <f aca="false">IFERROR(__xludf.dummyfunction("""COMPUTED_VALUE"""),42110279)</f>
        <v>42110279</v>
      </c>
    </row>
    <row r="559" customFormat="false" ht="15.75" hidden="false" customHeight="false" outlineLevel="0" collapsed="false">
      <c r="A559" s="3" t="n">
        <f aca="false">IFERROR(__xludf.dummyfunction("""COMPUTED_VALUE"""),45007.6666666667)</f>
        <v>45007.6666666667</v>
      </c>
      <c r="B559" s="2" t="n">
        <f aca="false">IFERROR(__xludf.dummyfunction("""COMPUTED_VALUE"""),104.27)</f>
        <v>104.27</v>
      </c>
      <c r="C559" s="2" t="n">
        <f aca="false">IFERROR(__xludf.dummyfunction("""COMPUTED_VALUE"""),106.59)</f>
        <v>106.59</v>
      </c>
      <c r="D559" s="2" t="n">
        <f aca="false">IFERROR(__xludf.dummyfunction("""COMPUTED_VALUE"""),103.33)</f>
        <v>103.33</v>
      </c>
      <c r="E559" s="2" t="n">
        <f aca="false">IFERROR(__xludf.dummyfunction("""COMPUTED_VALUE"""),103.37)</f>
        <v>103.37</v>
      </c>
      <c r="F559" s="2" t="n">
        <f aca="false">IFERROR(__xludf.dummyfunction("""COMPUTED_VALUE"""),43427419)</f>
        <v>43427419</v>
      </c>
    </row>
    <row r="560" customFormat="false" ht="15.75" hidden="false" customHeight="false" outlineLevel="0" collapsed="false">
      <c r="A560" s="3" t="n">
        <f aca="false">IFERROR(__xludf.dummyfunction("""COMPUTED_VALUE"""),45008.6666666667)</f>
        <v>45008.6666666667</v>
      </c>
      <c r="B560" s="2" t="n">
        <f aca="false">IFERROR(__xludf.dummyfunction("""COMPUTED_VALUE"""),105.06)</f>
        <v>105.06</v>
      </c>
      <c r="C560" s="2" t="n">
        <f aca="false">IFERROR(__xludf.dummyfunction("""COMPUTED_VALUE"""),106.3)</f>
        <v>106.3</v>
      </c>
      <c r="D560" s="2" t="n">
        <f aca="false">IFERROR(__xludf.dummyfunction("""COMPUTED_VALUE"""),104.46)</f>
        <v>104.46</v>
      </c>
      <c r="E560" s="2" t="n">
        <f aca="false">IFERROR(__xludf.dummyfunction("""COMPUTED_VALUE"""),105.6)</f>
        <v>105.6</v>
      </c>
      <c r="F560" s="2" t="n">
        <f aca="false">IFERROR(__xludf.dummyfunction("""COMPUTED_VALUE"""),40797769)</f>
        <v>40797769</v>
      </c>
    </row>
    <row r="561" customFormat="false" ht="15.75" hidden="false" customHeight="false" outlineLevel="0" collapsed="false">
      <c r="A561" s="3" t="n">
        <f aca="false">IFERROR(__xludf.dummyfunction("""COMPUTED_VALUE"""),45009.6666666667)</f>
        <v>45009.6666666667</v>
      </c>
      <c r="B561" s="2" t="n">
        <f aca="false">IFERROR(__xludf.dummyfunction("""COMPUTED_VALUE"""),104.99)</f>
        <v>104.99</v>
      </c>
      <c r="C561" s="2" t="n">
        <f aca="false">IFERROR(__xludf.dummyfunction("""COMPUTED_VALUE"""),105.49)</f>
        <v>105.49</v>
      </c>
      <c r="D561" s="2" t="n">
        <f aca="false">IFERROR(__xludf.dummyfunction("""COMPUTED_VALUE"""),103.84)</f>
        <v>103.84</v>
      </c>
      <c r="E561" s="2" t="n">
        <f aca="false">IFERROR(__xludf.dummyfunction("""COMPUTED_VALUE"""),105.44)</f>
        <v>105.44</v>
      </c>
      <c r="F561" s="2" t="n">
        <f aca="false">IFERROR(__xludf.dummyfunction("""COMPUTED_VALUE"""),30411043)</f>
        <v>30411043</v>
      </c>
    </row>
    <row r="562" customFormat="false" ht="15.75" hidden="false" customHeight="false" outlineLevel="0" collapsed="false">
      <c r="A562" s="3" t="n">
        <f aca="false">IFERROR(__xludf.dummyfunction("""COMPUTED_VALUE"""),45012.6666666667)</f>
        <v>45012.6666666667</v>
      </c>
      <c r="B562" s="2" t="n">
        <f aca="false">IFERROR(__xludf.dummyfunction("""COMPUTED_VALUE"""),104.62)</f>
        <v>104.62</v>
      </c>
      <c r="C562" s="2" t="n">
        <f aca="false">IFERROR(__xludf.dummyfunction("""COMPUTED_VALUE"""),104.76)</f>
        <v>104.76</v>
      </c>
      <c r="D562" s="2" t="n">
        <f aca="false">IFERROR(__xludf.dummyfunction("""COMPUTED_VALUE"""),101.93)</f>
        <v>101.93</v>
      </c>
      <c r="E562" s="2" t="n">
        <f aca="false">IFERROR(__xludf.dummyfunction("""COMPUTED_VALUE"""),102.46)</f>
        <v>102.46</v>
      </c>
      <c r="F562" s="2" t="n">
        <f aca="false">IFERROR(__xludf.dummyfunction("""COMPUTED_VALUE"""),31120864)</f>
        <v>31120864</v>
      </c>
    </row>
    <row r="563" customFormat="false" ht="15.75" hidden="false" customHeight="false" outlineLevel="0" collapsed="false">
      <c r="A563" s="3" t="n">
        <f aca="false">IFERROR(__xludf.dummyfunction("""COMPUTED_VALUE"""),45013.6666666667)</f>
        <v>45013.6666666667</v>
      </c>
      <c r="B563" s="2" t="n">
        <f aca="false">IFERROR(__xludf.dummyfunction("""COMPUTED_VALUE"""),102.44)</f>
        <v>102.44</v>
      </c>
      <c r="C563" s="2" t="n">
        <f aca="false">IFERROR(__xludf.dummyfunction("""COMPUTED_VALUE"""),102.45)</f>
        <v>102.45</v>
      </c>
      <c r="D563" s="2" t="n">
        <f aca="false">IFERROR(__xludf.dummyfunction("""COMPUTED_VALUE"""),99.74)</f>
        <v>99.74</v>
      </c>
      <c r="E563" s="2" t="n">
        <f aca="false">IFERROR(__xludf.dummyfunction("""COMPUTED_VALUE"""),101.03)</f>
        <v>101.03</v>
      </c>
      <c r="F563" s="2" t="n">
        <f aca="false">IFERROR(__xludf.dummyfunction("""COMPUTED_VALUE"""),32057865)</f>
        <v>32057865</v>
      </c>
    </row>
    <row r="564" customFormat="false" ht="15.75" hidden="false" customHeight="false" outlineLevel="0" collapsed="false">
      <c r="A564" s="3" t="n">
        <f aca="false">IFERROR(__xludf.dummyfunction("""COMPUTED_VALUE"""),45014.6666666667)</f>
        <v>45014.6666666667</v>
      </c>
      <c r="B564" s="2" t="n">
        <f aca="false">IFERROR(__xludf.dummyfunction("""COMPUTED_VALUE"""),102.28)</f>
        <v>102.28</v>
      </c>
      <c r="C564" s="2" t="n">
        <f aca="false">IFERROR(__xludf.dummyfunction("""COMPUTED_VALUE"""),102.49)</f>
        <v>102.49</v>
      </c>
      <c r="D564" s="2" t="n">
        <f aca="false">IFERROR(__xludf.dummyfunction("""COMPUTED_VALUE"""),100.65)</f>
        <v>100.65</v>
      </c>
      <c r="E564" s="2" t="n">
        <f aca="false">IFERROR(__xludf.dummyfunction("""COMPUTED_VALUE"""),101.39)</f>
        <v>101.39</v>
      </c>
      <c r="F564" s="2" t="n">
        <f aca="false">IFERROR(__xludf.dummyfunction("""COMPUTED_VALUE"""),28779572)</f>
        <v>28779572</v>
      </c>
    </row>
    <row r="565" customFormat="false" ht="15.75" hidden="false" customHeight="false" outlineLevel="0" collapsed="false">
      <c r="A565" s="3" t="n">
        <f aca="false">IFERROR(__xludf.dummyfunction("""COMPUTED_VALUE"""),45015.6666666667)</f>
        <v>45015.6666666667</v>
      </c>
      <c r="B565" s="2" t="n">
        <f aca="false">IFERROR(__xludf.dummyfunction("""COMPUTED_VALUE"""),100.91)</f>
        <v>100.91</v>
      </c>
      <c r="C565" s="2" t="n">
        <f aca="false">IFERROR(__xludf.dummyfunction("""COMPUTED_VALUE"""),101.16)</f>
        <v>101.16</v>
      </c>
      <c r="D565" s="2" t="n">
        <f aca="false">IFERROR(__xludf.dummyfunction("""COMPUTED_VALUE"""),99.78)</f>
        <v>99.78</v>
      </c>
      <c r="E565" s="2" t="n">
        <f aca="false">IFERROR(__xludf.dummyfunction("""COMPUTED_VALUE"""),100.89)</f>
        <v>100.89</v>
      </c>
      <c r="F565" s="2" t="n">
        <f aca="false">IFERROR(__xludf.dummyfunction("""COMPUTED_VALUE"""),33086183)</f>
        <v>33086183</v>
      </c>
    </row>
    <row r="566" customFormat="false" ht="15.75" hidden="false" customHeight="false" outlineLevel="0" collapsed="false">
      <c r="A566" s="3" t="n">
        <f aca="false">IFERROR(__xludf.dummyfunction("""COMPUTED_VALUE"""),45016.6666666667)</f>
        <v>45016.6666666667</v>
      </c>
      <c r="B566" s="2" t="n">
        <f aca="false">IFERROR(__xludf.dummyfunction("""COMPUTED_VALUE"""),101.3)</f>
        <v>101.3</v>
      </c>
      <c r="C566" s="2" t="n">
        <f aca="false">IFERROR(__xludf.dummyfunction("""COMPUTED_VALUE"""),103.89)</f>
        <v>103.89</v>
      </c>
      <c r="D566" s="2" t="n">
        <f aca="false">IFERROR(__xludf.dummyfunction("""COMPUTED_VALUE"""),101.04)</f>
        <v>101.04</v>
      </c>
      <c r="E566" s="2" t="n">
        <f aca="false">IFERROR(__xludf.dummyfunction("""COMPUTED_VALUE"""),103.73)</f>
        <v>103.73</v>
      </c>
      <c r="F566" s="2" t="n">
        <f aca="false">IFERROR(__xludf.dummyfunction("""COMPUTED_VALUE"""),36863369)</f>
        <v>36863369</v>
      </c>
    </row>
    <row r="567" customFormat="false" ht="15.75" hidden="false" customHeight="false" outlineLevel="0" collapsed="false">
      <c r="A567" s="3" t="n">
        <f aca="false">IFERROR(__xludf.dummyfunction("""COMPUTED_VALUE"""),45019.6666666667)</f>
        <v>45019.6666666667</v>
      </c>
      <c r="B567" s="2" t="n">
        <f aca="false">IFERROR(__xludf.dummyfunction("""COMPUTED_VALUE"""),102.39)</f>
        <v>102.39</v>
      </c>
      <c r="C567" s="2" t="n">
        <f aca="false">IFERROR(__xludf.dummyfunction("""COMPUTED_VALUE"""),104.53)</f>
        <v>104.53</v>
      </c>
      <c r="D567" s="2" t="n">
        <f aca="false">IFERROR(__xludf.dummyfunction("""COMPUTED_VALUE"""),101.93)</f>
        <v>101.93</v>
      </c>
      <c r="E567" s="2" t="n">
        <f aca="false">IFERROR(__xludf.dummyfunction("""COMPUTED_VALUE"""),104.36)</f>
        <v>104.36</v>
      </c>
      <c r="F567" s="2" t="n">
        <f aca="false">IFERROR(__xludf.dummyfunction("""COMPUTED_VALUE"""),25035399)</f>
        <v>25035399</v>
      </c>
    </row>
    <row r="568" customFormat="false" ht="15.75" hidden="false" customHeight="false" outlineLevel="0" collapsed="false">
      <c r="A568" s="3" t="n">
        <f aca="false">IFERROR(__xludf.dummyfunction("""COMPUTED_VALUE"""),45020.6666666667)</f>
        <v>45020.6666666667</v>
      </c>
      <c r="B568" s="2" t="n">
        <f aca="false">IFERROR(__xludf.dummyfunction("""COMPUTED_VALUE"""),104.33)</f>
        <v>104.33</v>
      </c>
      <c r="C568" s="2" t="n">
        <f aca="false">IFERROR(__xludf.dummyfunction("""COMPUTED_VALUE"""),105.58)</f>
        <v>105.58</v>
      </c>
      <c r="D568" s="2" t="n">
        <f aca="false">IFERROR(__xludf.dummyfunction("""COMPUTED_VALUE"""),104.04)</f>
        <v>104.04</v>
      </c>
      <c r="E568" s="2" t="n">
        <f aca="false">IFERROR(__xludf.dummyfunction("""COMPUTED_VALUE"""),104.72)</f>
        <v>104.72</v>
      </c>
      <c r="F568" s="2" t="n">
        <f aca="false">IFERROR(__xludf.dummyfunction("""COMPUTED_VALUE"""),24420079)</f>
        <v>24420079</v>
      </c>
    </row>
    <row r="569" customFormat="false" ht="15.75" hidden="false" customHeight="false" outlineLevel="0" collapsed="false">
      <c r="A569" s="3" t="n">
        <f aca="false">IFERROR(__xludf.dummyfunction("""COMPUTED_VALUE"""),45021.6666666667)</f>
        <v>45021.6666666667</v>
      </c>
      <c r="B569" s="2" t="n">
        <f aca="false">IFERROR(__xludf.dummyfunction("""COMPUTED_VALUE"""),105.78)</f>
        <v>105.78</v>
      </c>
      <c r="C569" s="2" t="n">
        <f aca="false">IFERROR(__xludf.dummyfunction("""COMPUTED_VALUE"""),106.1)</f>
        <v>106.1</v>
      </c>
      <c r="D569" s="2" t="n">
        <f aca="false">IFERROR(__xludf.dummyfunction("""COMPUTED_VALUE"""),103.66)</f>
        <v>103.66</v>
      </c>
      <c r="E569" s="2" t="n">
        <f aca="false">IFERROR(__xludf.dummyfunction("""COMPUTED_VALUE"""),104.47)</f>
        <v>104.47</v>
      </c>
      <c r="F569" s="2" t="n">
        <f aca="false">IFERROR(__xludf.dummyfunction("""COMPUTED_VALUE"""),28290503)</f>
        <v>28290503</v>
      </c>
    </row>
    <row r="570" customFormat="false" ht="15.75" hidden="false" customHeight="false" outlineLevel="0" collapsed="false">
      <c r="A570" s="3" t="n">
        <f aca="false">IFERROR(__xludf.dummyfunction("""COMPUTED_VALUE"""),45022.6666666667)</f>
        <v>45022.6666666667</v>
      </c>
      <c r="B570" s="2" t="n">
        <f aca="false">IFERROR(__xludf.dummyfunction("""COMPUTED_VALUE"""),105.26)</f>
        <v>105.26</v>
      </c>
      <c r="C570" s="2" t="n">
        <f aca="false">IFERROR(__xludf.dummyfunction("""COMPUTED_VALUE"""),109.17)</f>
        <v>109.17</v>
      </c>
      <c r="D570" s="2" t="n">
        <f aca="false">IFERROR(__xludf.dummyfunction("""COMPUTED_VALUE"""),104.33)</f>
        <v>104.33</v>
      </c>
      <c r="E570" s="2" t="n">
        <f aca="false">IFERROR(__xludf.dummyfunction("""COMPUTED_VALUE"""),108.42)</f>
        <v>108.42</v>
      </c>
      <c r="F570" s="2" t="n">
        <f aca="false">IFERROR(__xludf.dummyfunction("""COMPUTED_VALUE"""),48711480)</f>
        <v>48711480</v>
      </c>
    </row>
    <row r="571" customFormat="false" ht="15.75" hidden="false" customHeight="false" outlineLevel="0" collapsed="false">
      <c r="A571" s="3" t="n">
        <f aca="false">IFERROR(__xludf.dummyfunction("""COMPUTED_VALUE"""),45026.6666666667)</f>
        <v>45026.6666666667</v>
      </c>
      <c r="B571" s="2" t="n">
        <f aca="false">IFERROR(__xludf.dummyfunction("""COMPUTED_VALUE"""),106.98)</f>
        <v>106.98</v>
      </c>
      <c r="C571" s="2" t="n">
        <f aca="false">IFERROR(__xludf.dummyfunction("""COMPUTED_VALUE"""),107.59)</f>
        <v>107.59</v>
      </c>
      <c r="D571" s="2" t="n">
        <f aca="false">IFERROR(__xludf.dummyfunction("""COMPUTED_VALUE"""),105.12)</f>
        <v>105.12</v>
      </c>
      <c r="E571" s="2" t="n">
        <f aca="false">IFERROR(__xludf.dummyfunction("""COMPUTED_VALUE"""),106.44)</f>
        <v>106.44</v>
      </c>
      <c r="F571" s="2" t="n">
        <f aca="false">IFERROR(__xludf.dummyfunction("""COMPUTED_VALUE"""),27067355)</f>
        <v>27067355</v>
      </c>
    </row>
    <row r="572" customFormat="false" ht="15.75" hidden="false" customHeight="false" outlineLevel="0" collapsed="false">
      <c r="A572" s="3" t="n">
        <f aca="false">IFERROR(__xludf.dummyfunction("""COMPUTED_VALUE"""),45027.6666666667)</f>
        <v>45027.6666666667</v>
      </c>
      <c r="B572" s="2" t="n">
        <f aca="false">IFERROR(__xludf.dummyfunction("""COMPUTED_VALUE"""),106.55)</f>
        <v>106.55</v>
      </c>
      <c r="C572" s="2" t="n">
        <f aca="false">IFERROR(__xludf.dummyfunction("""COMPUTED_VALUE"""),106.73)</f>
        <v>106.73</v>
      </c>
      <c r="D572" s="2" t="n">
        <f aca="false">IFERROR(__xludf.dummyfunction("""COMPUTED_VALUE"""),104.68)</f>
        <v>104.68</v>
      </c>
      <c r="E572" s="2" t="n">
        <f aca="false">IFERROR(__xludf.dummyfunction("""COMPUTED_VALUE"""),105.35)</f>
        <v>105.35</v>
      </c>
      <c r="F572" s="2" t="n">
        <f aca="false">IFERROR(__xludf.dummyfunction("""COMPUTED_VALUE"""),26311803)</f>
        <v>26311803</v>
      </c>
    </row>
    <row r="573" customFormat="false" ht="15.75" hidden="false" customHeight="false" outlineLevel="0" collapsed="false">
      <c r="A573" s="3" t="n">
        <f aca="false">IFERROR(__xludf.dummyfunction("""COMPUTED_VALUE"""),45028.6666666667)</f>
        <v>45028.6666666667</v>
      </c>
      <c r="B573" s="2" t="n">
        <f aca="false">IFERROR(__xludf.dummyfunction("""COMPUTED_VALUE"""),106.58)</f>
        <v>106.58</v>
      </c>
      <c r="C573" s="2" t="n">
        <f aca="false">IFERROR(__xludf.dummyfunction("""COMPUTED_VALUE"""),106.75)</f>
        <v>106.75</v>
      </c>
      <c r="D573" s="2" t="n">
        <f aca="false">IFERROR(__xludf.dummyfunction("""COMPUTED_VALUE"""),104.34)</f>
        <v>104.34</v>
      </c>
      <c r="E573" s="2" t="n">
        <f aca="false">IFERROR(__xludf.dummyfunction("""COMPUTED_VALUE"""),104.64)</f>
        <v>104.64</v>
      </c>
      <c r="F573" s="2" t="n">
        <f aca="false">IFERROR(__xludf.dummyfunction("""COMPUTED_VALUE"""),24370274)</f>
        <v>24370274</v>
      </c>
    </row>
    <row r="574" customFormat="false" ht="15.75" hidden="false" customHeight="false" outlineLevel="0" collapsed="false">
      <c r="A574" s="3" t="n">
        <f aca="false">IFERROR(__xludf.dummyfunction("""COMPUTED_VALUE"""),45029.6666666667)</f>
        <v>45029.6666666667</v>
      </c>
      <c r="B574" s="2" t="n">
        <f aca="false">IFERROR(__xludf.dummyfunction("""COMPUTED_VALUE"""),105.84)</f>
        <v>105.84</v>
      </c>
      <c r="C574" s="2" t="n">
        <f aca="false">IFERROR(__xludf.dummyfunction("""COMPUTED_VALUE"""),107.49)</f>
        <v>107.49</v>
      </c>
      <c r="D574" s="2" t="n">
        <f aca="false">IFERROR(__xludf.dummyfunction("""COMPUTED_VALUE"""),105.84)</f>
        <v>105.84</v>
      </c>
      <c r="E574" s="2" t="n">
        <f aca="false">IFERROR(__xludf.dummyfunction("""COMPUTED_VALUE"""),107.43)</f>
        <v>107.43</v>
      </c>
      <c r="F574" s="2" t="n">
        <f aca="false">IFERROR(__xludf.dummyfunction("""COMPUTED_VALUE"""),24843579)</f>
        <v>24843579</v>
      </c>
    </row>
    <row r="575" customFormat="false" ht="15.75" hidden="false" customHeight="false" outlineLevel="0" collapsed="false">
      <c r="A575" s="3" t="n">
        <f aca="false">IFERROR(__xludf.dummyfunction("""COMPUTED_VALUE"""),45030.6666666667)</f>
        <v>45030.6666666667</v>
      </c>
      <c r="B575" s="2" t="n">
        <f aca="false">IFERROR(__xludf.dummyfunction("""COMPUTED_VALUE"""),106.89)</f>
        <v>106.89</v>
      </c>
      <c r="C575" s="2" t="n">
        <f aca="false">IFERROR(__xludf.dummyfunction("""COMPUTED_VALUE"""),108.94)</f>
        <v>108.94</v>
      </c>
      <c r="D575" s="2" t="n">
        <f aca="false">IFERROR(__xludf.dummyfunction("""COMPUTED_VALUE"""),106.84)</f>
        <v>106.84</v>
      </c>
      <c r="E575" s="2" t="n">
        <f aca="false">IFERROR(__xludf.dummyfunction("""COMPUTED_VALUE"""),108.87)</f>
        <v>108.87</v>
      </c>
      <c r="F575" s="2" t="n">
        <f aca="false">IFERROR(__xludf.dummyfunction("""COMPUTED_VALUE"""),26578002)</f>
        <v>26578002</v>
      </c>
    </row>
    <row r="576" customFormat="false" ht="15.75" hidden="false" customHeight="false" outlineLevel="0" collapsed="false">
      <c r="A576" s="3" t="n">
        <f aca="false">IFERROR(__xludf.dummyfunction("""COMPUTED_VALUE"""),45033.6666666667)</f>
        <v>45033.6666666667</v>
      </c>
      <c r="B576" s="2" t="n">
        <f aca="false">IFERROR(__xludf.dummyfunction("""COMPUTED_VALUE"""),104.66)</f>
        <v>104.66</v>
      </c>
      <c r="C576" s="2" t="n">
        <f aca="false">IFERROR(__xludf.dummyfunction("""COMPUTED_VALUE"""),106.16)</f>
        <v>106.16</v>
      </c>
      <c r="D576" s="2" t="n">
        <f aca="false">IFERROR(__xludf.dummyfunction("""COMPUTED_VALUE"""),104.52)</f>
        <v>104.52</v>
      </c>
      <c r="E576" s="2" t="n">
        <f aca="false">IFERROR(__xludf.dummyfunction("""COMPUTED_VALUE"""),105.97)</f>
        <v>105.97</v>
      </c>
      <c r="F576" s="2" t="n">
        <f aca="false">IFERROR(__xludf.dummyfunction("""COMPUTED_VALUE"""),37571218)</f>
        <v>37571218</v>
      </c>
    </row>
    <row r="577" customFormat="false" ht="15.75" hidden="false" customHeight="false" outlineLevel="0" collapsed="false">
      <c r="A577" s="3" t="n">
        <f aca="false">IFERROR(__xludf.dummyfunction("""COMPUTED_VALUE"""),45034.6666666667)</f>
        <v>45034.6666666667</v>
      </c>
      <c r="B577" s="2" t="n">
        <f aca="false">IFERROR(__xludf.dummyfunction("""COMPUTED_VALUE"""),106.49)</f>
        <v>106.49</v>
      </c>
      <c r="C577" s="2" t="n">
        <f aca="false">IFERROR(__xludf.dummyfunction("""COMPUTED_VALUE"""),106.54)</f>
        <v>106.54</v>
      </c>
      <c r="D577" s="2" t="n">
        <f aca="false">IFERROR(__xludf.dummyfunction("""COMPUTED_VALUE"""),104.07)</f>
        <v>104.07</v>
      </c>
      <c r="E577" s="2" t="n">
        <f aca="false">IFERROR(__xludf.dummyfunction("""COMPUTED_VALUE"""),104.5)</f>
        <v>104.5</v>
      </c>
      <c r="F577" s="2" t="n">
        <f aca="false">IFERROR(__xludf.dummyfunction("""COMPUTED_VALUE"""),26596445)</f>
        <v>26596445</v>
      </c>
    </row>
    <row r="578" customFormat="false" ht="15.75" hidden="false" customHeight="false" outlineLevel="0" collapsed="false">
      <c r="A578" s="3" t="n">
        <f aca="false">IFERROR(__xludf.dummyfunction("""COMPUTED_VALUE"""),45035.6666666667)</f>
        <v>45035.6666666667</v>
      </c>
      <c r="B578" s="2" t="n">
        <f aca="false">IFERROR(__xludf.dummyfunction("""COMPUTED_VALUE"""),103.58)</f>
        <v>103.58</v>
      </c>
      <c r="C578" s="2" t="n">
        <f aca="false">IFERROR(__xludf.dummyfunction("""COMPUTED_VALUE"""),104.98)</f>
        <v>104.98</v>
      </c>
      <c r="D578" s="2" t="n">
        <f aca="false">IFERROR(__xludf.dummyfunction("""COMPUTED_VALUE"""),103.07)</f>
        <v>103.07</v>
      </c>
      <c r="E578" s="2" t="n">
        <f aca="false">IFERROR(__xludf.dummyfunction("""COMPUTED_VALUE"""),104.18)</f>
        <v>104.18</v>
      </c>
      <c r="F578" s="2" t="n">
        <f aca="false">IFERROR(__xludf.dummyfunction("""COMPUTED_VALUE"""),20905684)</f>
        <v>20905684</v>
      </c>
    </row>
    <row r="579" customFormat="false" ht="15.75" hidden="false" customHeight="false" outlineLevel="0" collapsed="false">
      <c r="A579" s="3" t="n">
        <f aca="false">IFERROR(__xludf.dummyfunction("""COMPUTED_VALUE"""),45036.6666666667)</f>
        <v>45036.6666666667</v>
      </c>
      <c r="B579" s="2" t="n">
        <f aca="false">IFERROR(__xludf.dummyfunction("""COMPUTED_VALUE"""),103.91)</f>
        <v>103.91</v>
      </c>
      <c r="C579" s="2" t="n">
        <f aca="false">IFERROR(__xludf.dummyfunction("""COMPUTED_VALUE"""),106.25)</f>
        <v>106.25</v>
      </c>
      <c r="D579" s="2" t="n">
        <f aca="false">IFERROR(__xludf.dummyfunction("""COMPUTED_VALUE"""),103.87)</f>
        <v>103.87</v>
      </c>
      <c r="E579" s="2" t="n">
        <f aca="false">IFERROR(__xludf.dummyfunction("""COMPUTED_VALUE"""),105.29)</f>
        <v>105.29</v>
      </c>
      <c r="F579" s="2" t="n">
        <f aca="false">IFERROR(__xludf.dummyfunction("""COMPUTED_VALUE"""),27820794)</f>
        <v>27820794</v>
      </c>
    </row>
    <row r="580" customFormat="false" ht="15.75" hidden="false" customHeight="false" outlineLevel="0" collapsed="false">
      <c r="A580" s="3" t="n">
        <f aca="false">IFERROR(__xludf.dummyfunction("""COMPUTED_VALUE"""),45037.6666666667)</f>
        <v>45037.6666666667</v>
      </c>
      <c r="B580" s="2" t="n">
        <f aca="false">IFERROR(__xludf.dummyfunction("""COMPUTED_VALUE"""),105.47)</f>
        <v>105.47</v>
      </c>
      <c r="C580" s="2" t="n">
        <f aca="false">IFERROR(__xludf.dummyfunction("""COMPUTED_VALUE"""),106)</f>
        <v>106</v>
      </c>
      <c r="D580" s="2" t="n">
        <f aca="false">IFERROR(__xludf.dummyfunction("""COMPUTED_VALUE"""),104.78)</f>
        <v>104.78</v>
      </c>
      <c r="E580" s="2" t="n">
        <f aca="false">IFERROR(__xludf.dummyfunction("""COMPUTED_VALUE"""),105.41)</f>
        <v>105.41</v>
      </c>
      <c r="F580" s="2" t="n">
        <f aca="false">IFERROR(__xludf.dummyfunction("""COMPUTED_VALUE"""),25800082)</f>
        <v>25800082</v>
      </c>
    </row>
    <row r="581" customFormat="false" ht="15.75" hidden="false" customHeight="false" outlineLevel="0" collapsed="false">
      <c r="A581" s="3" t="n">
        <f aca="false">IFERROR(__xludf.dummyfunction("""COMPUTED_VALUE"""),45040.6666666667)</f>
        <v>45040.6666666667</v>
      </c>
      <c r="B581" s="2" t="n">
        <f aca="false">IFERROR(__xludf.dummyfunction("""COMPUTED_VALUE"""),105.49)</f>
        <v>105.49</v>
      </c>
      <c r="C581" s="2" t="n">
        <f aca="false">IFERROR(__xludf.dummyfunction("""COMPUTED_VALUE"""),106.63)</f>
        <v>106.63</v>
      </c>
      <c r="D581" s="2" t="n">
        <f aca="false">IFERROR(__xludf.dummyfunction("""COMPUTED_VALUE"""),104.7)</f>
        <v>104.7</v>
      </c>
      <c r="E581" s="2" t="n">
        <f aca="false">IFERROR(__xludf.dummyfunction("""COMPUTED_VALUE"""),105.97)</f>
        <v>105.97</v>
      </c>
      <c r="F581" s="2" t="n">
        <f aca="false">IFERROR(__xludf.dummyfunction("""COMPUTED_VALUE"""),23542829)</f>
        <v>23542829</v>
      </c>
    </row>
    <row r="582" customFormat="false" ht="15.75" hidden="false" customHeight="false" outlineLevel="0" collapsed="false">
      <c r="A582" s="3" t="n">
        <f aca="false">IFERROR(__xludf.dummyfunction("""COMPUTED_VALUE"""),45041.6666666667)</f>
        <v>45041.6666666667</v>
      </c>
      <c r="B582" s="2" t="n">
        <f aca="false">IFERROR(__xludf.dummyfunction("""COMPUTED_VALUE"""),105.83)</f>
        <v>105.83</v>
      </c>
      <c r="C582" s="2" t="n">
        <f aca="false">IFERROR(__xludf.dummyfunction("""COMPUTED_VALUE"""),106.69)</f>
        <v>106.69</v>
      </c>
      <c r="D582" s="2" t="n">
        <f aca="false">IFERROR(__xludf.dummyfunction("""COMPUTED_VALUE"""),103.84)</f>
        <v>103.84</v>
      </c>
      <c r="E582" s="2" t="n">
        <f aca="false">IFERROR(__xludf.dummyfunction("""COMPUTED_VALUE"""),103.85)</f>
        <v>103.85</v>
      </c>
      <c r="F582" s="2" t="n">
        <f aca="false">IFERROR(__xludf.dummyfunction("""COMPUTED_VALUE"""),46664104)</f>
        <v>46664104</v>
      </c>
    </row>
    <row r="583" customFormat="false" ht="15.75" hidden="false" customHeight="false" outlineLevel="0" collapsed="false">
      <c r="A583" s="3" t="n">
        <f aca="false">IFERROR(__xludf.dummyfunction("""COMPUTED_VALUE"""),45042.6666666667)</f>
        <v>45042.6666666667</v>
      </c>
      <c r="B583" s="2" t="n">
        <f aca="false">IFERROR(__xludf.dummyfunction("""COMPUTED_VALUE"""),104.92)</f>
        <v>104.92</v>
      </c>
      <c r="C583" s="2" t="n">
        <f aca="false">IFERROR(__xludf.dummyfunction("""COMPUTED_VALUE"""),106.35)</f>
        <v>106.35</v>
      </c>
      <c r="D583" s="2" t="n">
        <f aca="false">IFERROR(__xludf.dummyfunction("""COMPUTED_VALUE"""),102.63)</f>
        <v>102.63</v>
      </c>
      <c r="E583" s="2" t="n">
        <f aca="false">IFERROR(__xludf.dummyfunction("""COMPUTED_VALUE"""),103.71)</f>
        <v>103.71</v>
      </c>
      <c r="F583" s="2" t="n">
        <f aca="false">IFERROR(__xludf.dummyfunction("""COMPUTED_VALUE"""),53347560)</f>
        <v>53347560</v>
      </c>
    </row>
    <row r="584" customFormat="false" ht="15.75" hidden="false" customHeight="false" outlineLevel="0" collapsed="false">
      <c r="A584" s="3" t="n">
        <f aca="false">IFERROR(__xludf.dummyfunction("""COMPUTED_VALUE"""),45043.6666666667)</f>
        <v>45043.6666666667</v>
      </c>
      <c r="B584" s="2" t="n">
        <f aca="false">IFERROR(__xludf.dummyfunction("""COMPUTED_VALUE"""),104.45)</f>
        <v>104.45</v>
      </c>
      <c r="C584" s="2" t="n">
        <f aca="false">IFERROR(__xludf.dummyfunction("""COMPUTED_VALUE"""),108.37)</f>
        <v>108.37</v>
      </c>
      <c r="D584" s="2" t="n">
        <f aca="false">IFERROR(__xludf.dummyfunction("""COMPUTED_VALUE"""),103.54)</f>
        <v>103.54</v>
      </c>
      <c r="E584" s="2" t="n">
        <f aca="false">IFERROR(__xludf.dummyfunction("""COMPUTED_VALUE"""),107.59)</f>
        <v>107.59</v>
      </c>
      <c r="F584" s="2" t="n">
        <f aca="false">IFERROR(__xludf.dummyfunction("""COMPUTED_VALUE"""),50089187)</f>
        <v>50089187</v>
      </c>
    </row>
    <row r="585" customFormat="false" ht="15.75" hidden="false" customHeight="false" outlineLevel="0" collapsed="false">
      <c r="A585" s="3" t="n">
        <f aca="false">IFERROR(__xludf.dummyfunction("""COMPUTED_VALUE"""),45044.6666666667)</f>
        <v>45044.6666666667</v>
      </c>
      <c r="B585" s="2" t="n">
        <f aca="false">IFERROR(__xludf.dummyfunction("""COMPUTED_VALUE"""),107.04)</f>
        <v>107.04</v>
      </c>
      <c r="C585" s="2" t="n">
        <f aca="false">IFERROR(__xludf.dummyfunction("""COMPUTED_VALUE"""),107.35)</f>
        <v>107.35</v>
      </c>
      <c r="D585" s="2" t="n">
        <f aca="false">IFERROR(__xludf.dummyfunction("""COMPUTED_VALUE"""),105.09)</f>
        <v>105.09</v>
      </c>
      <c r="E585" s="2" t="n">
        <f aca="false">IFERROR(__xludf.dummyfunction("""COMPUTED_VALUE"""),107.34)</f>
        <v>107.34</v>
      </c>
      <c r="F585" s="2" t="n">
        <f aca="false">IFERROR(__xludf.dummyfunction("""COMPUTED_VALUE"""),36139847)</f>
        <v>36139847</v>
      </c>
    </row>
    <row r="586" customFormat="false" ht="15.75" hidden="false" customHeight="false" outlineLevel="0" collapsed="false">
      <c r="A586" s="3" t="n">
        <f aca="false">IFERROR(__xludf.dummyfunction("""COMPUTED_VALUE"""),45047.6666666667)</f>
        <v>45047.6666666667</v>
      </c>
      <c r="B586" s="2" t="n">
        <f aca="false">IFERROR(__xludf.dummyfunction("""COMPUTED_VALUE"""),106.84)</f>
        <v>106.84</v>
      </c>
      <c r="C586" s="2" t="n">
        <f aca="false">IFERROR(__xludf.dummyfunction("""COMPUTED_VALUE"""),107.99)</f>
        <v>107.99</v>
      </c>
      <c r="D586" s="2" t="n">
        <f aca="false">IFERROR(__xludf.dummyfunction("""COMPUTED_VALUE"""),106.82)</f>
        <v>106.82</v>
      </c>
      <c r="E586" s="2" t="n">
        <f aca="false">IFERROR(__xludf.dummyfunction("""COMPUTED_VALUE"""),107.2)</f>
        <v>107.2</v>
      </c>
      <c r="F586" s="2" t="n">
        <f aca="false">IFERROR(__xludf.dummyfunction("""COMPUTED_VALUE"""),26681680)</f>
        <v>26681680</v>
      </c>
    </row>
    <row r="587" customFormat="false" ht="15.75" hidden="false" customHeight="false" outlineLevel="0" collapsed="false">
      <c r="A587" s="3" t="n">
        <f aca="false">IFERROR(__xludf.dummyfunction("""COMPUTED_VALUE"""),45048.6666666667)</f>
        <v>45048.6666666667</v>
      </c>
      <c r="B587" s="2" t="n">
        <f aca="false">IFERROR(__xludf.dummyfunction("""COMPUTED_VALUE"""),107.14)</f>
        <v>107.14</v>
      </c>
      <c r="C587" s="2" t="n">
        <f aca="false">IFERROR(__xludf.dummyfunction("""COMPUTED_VALUE"""),107.2)</f>
        <v>107.2</v>
      </c>
      <c r="D587" s="2" t="n">
        <f aca="false">IFERROR(__xludf.dummyfunction("""COMPUTED_VALUE"""),103.71)</f>
        <v>103.71</v>
      </c>
      <c r="E587" s="2" t="n">
        <f aca="false">IFERROR(__xludf.dummyfunction("""COMPUTED_VALUE"""),105.32)</f>
        <v>105.32</v>
      </c>
      <c r="F587" s="2" t="n">
        <f aca="false">IFERROR(__xludf.dummyfunction("""COMPUTED_VALUE"""),30997245)</f>
        <v>30997245</v>
      </c>
    </row>
    <row r="588" customFormat="false" ht="15.75" hidden="false" customHeight="false" outlineLevel="0" collapsed="false">
      <c r="A588" s="3" t="n">
        <f aca="false">IFERROR(__xludf.dummyfunction("""COMPUTED_VALUE"""),45049.6666666667)</f>
        <v>45049.6666666667</v>
      </c>
      <c r="B588" s="2" t="n">
        <f aca="false">IFERROR(__xludf.dummyfunction("""COMPUTED_VALUE"""),105.53)</f>
        <v>105.53</v>
      </c>
      <c r="C588" s="2" t="n">
        <f aca="false">IFERROR(__xludf.dummyfunction("""COMPUTED_VALUE"""),107.49)</f>
        <v>107.49</v>
      </c>
      <c r="D588" s="2" t="n">
        <f aca="false">IFERROR(__xludf.dummyfunction("""COMPUTED_VALUE"""),104.96)</f>
        <v>104.96</v>
      </c>
      <c r="E588" s="2" t="n">
        <f aca="false">IFERROR(__xludf.dummyfunction("""COMPUTED_VALUE"""),105.41)</f>
        <v>105.41</v>
      </c>
      <c r="F588" s="2" t="n">
        <f aca="false">IFERROR(__xludf.dummyfunction("""COMPUTED_VALUE"""),21795405)</f>
        <v>21795405</v>
      </c>
    </row>
    <row r="589" customFormat="false" ht="15.75" hidden="false" customHeight="false" outlineLevel="0" collapsed="false">
      <c r="A589" s="3" t="n">
        <f aca="false">IFERROR(__xludf.dummyfunction("""COMPUTED_VALUE"""),45050.6666666667)</f>
        <v>45050.6666666667</v>
      </c>
      <c r="B589" s="2" t="n">
        <f aca="false">IFERROR(__xludf.dummyfunction("""COMPUTED_VALUE"""),105.49)</f>
        <v>105.49</v>
      </c>
      <c r="C589" s="2" t="n">
        <f aca="false">IFERROR(__xludf.dummyfunction("""COMPUTED_VALUE"""),105.6)</f>
        <v>105.6</v>
      </c>
      <c r="D589" s="2" t="n">
        <f aca="false">IFERROR(__xludf.dummyfunction("""COMPUTED_VALUE"""),103.97)</f>
        <v>103.97</v>
      </c>
      <c r="E589" s="2" t="n">
        <f aca="false">IFERROR(__xludf.dummyfunction("""COMPUTED_VALUE"""),104.69)</f>
        <v>104.69</v>
      </c>
      <c r="F589" s="2" t="n">
        <f aca="false">IFERROR(__xludf.dummyfunction("""COMPUTED_VALUE"""),23419506)</f>
        <v>23419506</v>
      </c>
    </row>
    <row r="590" customFormat="false" ht="15.75" hidden="false" customHeight="false" outlineLevel="0" collapsed="false">
      <c r="A590" s="3" t="n">
        <f aca="false">IFERROR(__xludf.dummyfunction("""COMPUTED_VALUE"""),45051.6666666667)</f>
        <v>45051.6666666667</v>
      </c>
      <c r="B590" s="2" t="n">
        <f aca="false">IFERROR(__xludf.dummyfunction("""COMPUTED_VALUE"""),104.82)</f>
        <v>104.82</v>
      </c>
      <c r="C590" s="2" t="n">
        <f aca="false">IFERROR(__xludf.dummyfunction("""COMPUTED_VALUE"""),105.88)</f>
        <v>105.88</v>
      </c>
      <c r="D590" s="2" t="n">
        <f aca="false">IFERROR(__xludf.dummyfunction("""COMPUTED_VALUE"""),104.11)</f>
        <v>104.11</v>
      </c>
      <c r="E590" s="2" t="n">
        <f aca="false">IFERROR(__xludf.dummyfunction("""COMPUTED_VALUE"""),105.57)</f>
        <v>105.57</v>
      </c>
      <c r="F590" s="2" t="n">
        <f aca="false">IFERROR(__xludf.dummyfunction("""COMPUTED_VALUE"""),26639254)</f>
        <v>26639254</v>
      </c>
    </row>
    <row r="591" customFormat="false" ht="15.75" hidden="false" customHeight="false" outlineLevel="0" collapsed="false">
      <c r="A591" s="3" t="n">
        <f aca="false">IFERROR(__xludf.dummyfunction("""COMPUTED_VALUE"""),45054.6666666667)</f>
        <v>45054.6666666667</v>
      </c>
      <c r="B591" s="2" t="n">
        <f aca="false">IFERROR(__xludf.dummyfunction("""COMPUTED_VALUE"""),105.18)</f>
        <v>105.18</v>
      </c>
      <c r="C591" s="2" t="n">
        <f aca="false">IFERROR(__xludf.dummyfunction("""COMPUTED_VALUE"""),107.96)</f>
        <v>107.96</v>
      </c>
      <c r="D591" s="2" t="n">
        <f aca="false">IFERROR(__xludf.dummyfunction("""COMPUTED_VALUE"""),105.16)</f>
        <v>105.16</v>
      </c>
      <c r="E591" s="2" t="n">
        <f aca="false">IFERROR(__xludf.dummyfunction("""COMPUTED_VALUE"""),107.77)</f>
        <v>107.77</v>
      </c>
      <c r="F591" s="2" t="n">
        <f aca="false">IFERROR(__xludf.dummyfunction("""COMPUTED_VALUE"""),26511445)</f>
        <v>26511445</v>
      </c>
    </row>
    <row r="592" customFormat="false" ht="15.75" hidden="false" customHeight="false" outlineLevel="0" collapsed="false">
      <c r="A592" s="3" t="n">
        <f aca="false">IFERROR(__xludf.dummyfunction("""COMPUTED_VALUE"""),45055.6666666667)</f>
        <v>45055.6666666667</v>
      </c>
      <c r="B592" s="2" t="n">
        <f aca="false">IFERROR(__xludf.dummyfunction("""COMPUTED_VALUE"""),108.39)</f>
        <v>108.39</v>
      </c>
      <c r="C592" s="2" t="n">
        <f aca="false">IFERROR(__xludf.dummyfunction("""COMPUTED_VALUE"""),110.15)</f>
        <v>110.15</v>
      </c>
      <c r="D592" s="2" t="n">
        <f aca="false">IFERROR(__xludf.dummyfunction("""COMPUTED_VALUE"""),107.19)</f>
        <v>107.19</v>
      </c>
      <c r="E592" s="2" t="n">
        <f aca="false">IFERROR(__xludf.dummyfunction("""COMPUTED_VALUE"""),107.35)</f>
        <v>107.35</v>
      </c>
      <c r="F592" s="2" t="n">
        <f aca="false">IFERROR(__xludf.dummyfunction("""COMPUTED_VALUE"""),36360141)</f>
        <v>36360141</v>
      </c>
    </row>
    <row r="593" customFormat="false" ht="15.75" hidden="false" customHeight="false" outlineLevel="0" collapsed="false">
      <c r="A593" s="3" t="n">
        <f aca="false">IFERROR(__xludf.dummyfunction("""COMPUTED_VALUE"""),45056.6666666667)</f>
        <v>45056.6666666667</v>
      </c>
      <c r="B593" s="2" t="n">
        <f aca="false">IFERROR(__xludf.dummyfunction("""COMPUTED_VALUE"""),107.97)</f>
        <v>107.97</v>
      </c>
      <c r="C593" s="2" t="n">
        <f aca="false">IFERROR(__xludf.dummyfunction("""COMPUTED_VALUE"""),112.94)</f>
        <v>112.94</v>
      </c>
      <c r="D593" s="2" t="n">
        <f aca="false">IFERROR(__xludf.dummyfunction("""COMPUTED_VALUE"""),107.93)</f>
        <v>107.93</v>
      </c>
      <c r="E593" s="2" t="n">
        <f aca="false">IFERROR(__xludf.dummyfunction("""COMPUTED_VALUE"""),111.75)</f>
        <v>111.75</v>
      </c>
      <c r="F593" s="2" t="n">
        <f aca="false">IFERROR(__xludf.dummyfunction("""COMPUTED_VALUE"""),63153367)</f>
        <v>63153367</v>
      </c>
    </row>
    <row r="594" customFormat="false" ht="15.75" hidden="false" customHeight="false" outlineLevel="0" collapsed="false">
      <c r="A594" s="3" t="n">
        <f aca="false">IFERROR(__xludf.dummyfunction("""COMPUTED_VALUE"""),45057.6666666667)</f>
        <v>45057.6666666667</v>
      </c>
      <c r="B594" s="2" t="n">
        <f aca="false">IFERROR(__xludf.dummyfunction("""COMPUTED_VALUE"""),115.4)</f>
        <v>115.4</v>
      </c>
      <c r="C594" s="2" t="n">
        <f aca="false">IFERROR(__xludf.dummyfunction("""COMPUTED_VALUE"""),117.92)</f>
        <v>117.92</v>
      </c>
      <c r="D594" s="2" t="n">
        <f aca="false">IFERROR(__xludf.dummyfunction("""COMPUTED_VALUE"""),114.41)</f>
        <v>114.41</v>
      </c>
      <c r="E594" s="2" t="n">
        <f aca="false">IFERROR(__xludf.dummyfunction("""COMPUTED_VALUE"""),116.57)</f>
        <v>116.57</v>
      </c>
      <c r="F594" s="2" t="n">
        <f aca="false">IFERROR(__xludf.dummyfunction("""COMPUTED_VALUE"""),78900029)</f>
        <v>78900029</v>
      </c>
    </row>
    <row r="595" customFormat="false" ht="15.75" hidden="false" customHeight="false" outlineLevel="0" collapsed="false">
      <c r="A595" s="3" t="n">
        <f aca="false">IFERROR(__xludf.dummyfunction("""COMPUTED_VALUE"""),45058.6666666667)</f>
        <v>45058.6666666667</v>
      </c>
      <c r="B595" s="2" t="n">
        <f aca="false">IFERROR(__xludf.dummyfunction("""COMPUTED_VALUE"""),116.68)</f>
        <v>116.68</v>
      </c>
      <c r="C595" s="2" t="n">
        <f aca="false">IFERROR(__xludf.dummyfunction("""COMPUTED_VALUE"""),118.03)</f>
        <v>118.03</v>
      </c>
      <c r="D595" s="2" t="n">
        <f aca="false">IFERROR(__xludf.dummyfunction("""COMPUTED_VALUE"""),116.11)</f>
        <v>116.11</v>
      </c>
      <c r="E595" s="2" t="n">
        <f aca="false">IFERROR(__xludf.dummyfunction("""COMPUTED_VALUE"""),117.51)</f>
        <v>117.51</v>
      </c>
      <c r="F595" s="2" t="n">
        <f aca="false">IFERROR(__xludf.dummyfunction("""COMPUTED_VALUE"""),41102330)</f>
        <v>41102330</v>
      </c>
    </row>
    <row r="596" customFormat="false" ht="15.75" hidden="false" customHeight="false" outlineLevel="0" collapsed="false">
      <c r="A596" s="3" t="n">
        <f aca="false">IFERROR(__xludf.dummyfunction("""COMPUTED_VALUE"""),45061.6666666667)</f>
        <v>45061.6666666667</v>
      </c>
      <c r="B596" s="2" t="n">
        <f aca="false">IFERROR(__xludf.dummyfunction("""COMPUTED_VALUE"""),116.11)</f>
        <v>116.11</v>
      </c>
      <c r="C596" s="2" t="n">
        <f aca="false">IFERROR(__xludf.dummyfunction("""COMPUTED_VALUE"""),118.48)</f>
        <v>118.48</v>
      </c>
      <c r="D596" s="2" t="n">
        <f aca="false">IFERROR(__xludf.dummyfunction("""COMPUTED_VALUE"""),116.01)</f>
        <v>116.01</v>
      </c>
      <c r="E596" s="2" t="n">
        <f aca="false">IFERROR(__xludf.dummyfunction("""COMPUTED_VALUE"""),116.51)</f>
        <v>116.51</v>
      </c>
      <c r="F596" s="2" t="n">
        <f aca="false">IFERROR(__xludf.dummyfunction("""COMPUTED_VALUE"""),36266765)</f>
        <v>36266765</v>
      </c>
    </row>
    <row r="597" customFormat="false" ht="15.75" hidden="false" customHeight="false" outlineLevel="0" collapsed="false">
      <c r="A597" s="3" t="n">
        <f aca="false">IFERROR(__xludf.dummyfunction("""COMPUTED_VALUE"""),45062.6666666667)</f>
        <v>45062.6666666667</v>
      </c>
      <c r="B597" s="2" t="n">
        <f aca="false">IFERROR(__xludf.dummyfunction("""COMPUTED_VALUE"""),116.49)</f>
        <v>116.49</v>
      </c>
      <c r="C597" s="2" t="n">
        <f aca="false">IFERROR(__xludf.dummyfunction("""COMPUTED_VALUE"""),120.75)</f>
        <v>120.75</v>
      </c>
      <c r="D597" s="2" t="n">
        <f aca="false">IFERROR(__xludf.dummyfunction("""COMPUTED_VALUE"""),116.43)</f>
        <v>116.43</v>
      </c>
      <c r="E597" s="2" t="n">
        <f aca="false">IFERROR(__xludf.dummyfunction("""COMPUTED_VALUE"""),119.51)</f>
        <v>119.51</v>
      </c>
      <c r="F597" s="2" t="n">
        <f aca="false">IFERROR(__xludf.dummyfunction("""COMPUTED_VALUE"""),45035558)</f>
        <v>45035558</v>
      </c>
    </row>
    <row r="598" customFormat="false" ht="15.75" hidden="false" customHeight="false" outlineLevel="0" collapsed="false">
      <c r="A598" s="3" t="n">
        <f aca="false">IFERROR(__xludf.dummyfunction("""COMPUTED_VALUE"""),45063.6666666667)</f>
        <v>45063.6666666667</v>
      </c>
      <c r="B598" s="2" t="n">
        <f aca="false">IFERROR(__xludf.dummyfunction("""COMPUTED_VALUE"""),119.61)</f>
        <v>119.61</v>
      </c>
      <c r="C598" s="2" t="n">
        <f aca="false">IFERROR(__xludf.dummyfunction("""COMPUTED_VALUE"""),121.67)</f>
        <v>121.67</v>
      </c>
      <c r="D598" s="2" t="n">
        <f aca="false">IFERROR(__xludf.dummyfunction("""COMPUTED_VALUE"""),118.89)</f>
        <v>118.89</v>
      </c>
      <c r="E598" s="2" t="n">
        <f aca="false">IFERROR(__xludf.dummyfunction("""COMPUTED_VALUE"""),120.84)</f>
        <v>120.84</v>
      </c>
      <c r="F598" s="2" t="n">
        <f aca="false">IFERROR(__xludf.dummyfunction("""COMPUTED_VALUE"""),33323588)</f>
        <v>33323588</v>
      </c>
    </row>
    <row r="599" customFormat="false" ht="15.75" hidden="false" customHeight="false" outlineLevel="0" collapsed="false">
      <c r="A599" s="3" t="n">
        <f aca="false">IFERROR(__xludf.dummyfunction("""COMPUTED_VALUE"""),45064.6666666667)</f>
        <v>45064.6666666667</v>
      </c>
      <c r="B599" s="2" t="n">
        <f aca="false">IFERROR(__xludf.dummyfunction("""COMPUTED_VALUE"""),120.95)</f>
        <v>120.95</v>
      </c>
      <c r="C599" s="2" t="n">
        <f aca="false">IFERROR(__xludf.dummyfunction("""COMPUTED_VALUE"""),123.31)</f>
        <v>123.31</v>
      </c>
      <c r="D599" s="2" t="n">
        <f aca="false">IFERROR(__xludf.dummyfunction("""COMPUTED_VALUE"""),120.83)</f>
        <v>120.83</v>
      </c>
      <c r="E599" s="2" t="n">
        <f aca="false">IFERROR(__xludf.dummyfunction("""COMPUTED_VALUE"""),122.83)</f>
        <v>122.83</v>
      </c>
      <c r="F599" s="2" t="n">
        <f aca="false">IFERROR(__xludf.dummyfunction("""COMPUTED_VALUE"""),35234233)</f>
        <v>35234233</v>
      </c>
    </row>
    <row r="600" customFormat="false" ht="15.75" hidden="false" customHeight="false" outlineLevel="0" collapsed="false">
      <c r="A600" s="3" t="n">
        <f aca="false">IFERROR(__xludf.dummyfunction("""COMPUTED_VALUE"""),45065.6666666667)</f>
        <v>45065.6666666667</v>
      </c>
      <c r="B600" s="2" t="n">
        <f aca="false">IFERROR(__xludf.dummyfunction("""COMPUTED_VALUE"""),123.55)</f>
        <v>123.55</v>
      </c>
      <c r="C600" s="2" t="n">
        <f aca="false">IFERROR(__xludf.dummyfunction("""COMPUTED_VALUE"""),125.97)</f>
        <v>125.97</v>
      </c>
      <c r="D600" s="2" t="n">
        <f aca="false">IFERROR(__xludf.dummyfunction("""COMPUTED_VALUE"""),122.15)</f>
        <v>122.15</v>
      </c>
      <c r="E600" s="2" t="n">
        <f aca="false">IFERROR(__xludf.dummyfunction("""COMPUTED_VALUE"""),122.76)</f>
        <v>122.76</v>
      </c>
      <c r="F600" s="2" t="n">
        <f aca="false">IFERROR(__xludf.dummyfunction("""COMPUTED_VALUE"""),41353445)</f>
        <v>41353445</v>
      </c>
    </row>
    <row r="601" customFormat="false" ht="15.75" hidden="false" customHeight="false" outlineLevel="0" collapsed="false">
      <c r="A601" s="3" t="n">
        <f aca="false">IFERROR(__xludf.dummyfunction("""COMPUTED_VALUE"""),45068.6666666667)</f>
        <v>45068.6666666667</v>
      </c>
      <c r="B601" s="2" t="n">
        <f aca="false">IFERROR(__xludf.dummyfunction("""COMPUTED_VALUE"""),122.94)</f>
        <v>122.94</v>
      </c>
      <c r="C601" s="2" t="n">
        <f aca="false">IFERROR(__xludf.dummyfunction("""COMPUTED_VALUE"""),126.43)</f>
        <v>126.43</v>
      </c>
      <c r="D601" s="2" t="n">
        <f aca="false">IFERROR(__xludf.dummyfunction("""COMPUTED_VALUE"""),122.74)</f>
        <v>122.74</v>
      </c>
      <c r="E601" s="2" t="n">
        <f aca="false">IFERROR(__xludf.dummyfunction("""COMPUTED_VALUE"""),125.05)</f>
        <v>125.05</v>
      </c>
      <c r="F601" s="2" t="n">
        <f aca="false">IFERROR(__xludf.dummyfunction("""COMPUTED_VALUE"""),35253034)</f>
        <v>35253034</v>
      </c>
    </row>
    <row r="602" customFormat="false" ht="15.75" hidden="false" customHeight="false" outlineLevel="0" collapsed="false">
      <c r="A602" s="3" t="n">
        <f aca="false">IFERROR(__xludf.dummyfunction("""COMPUTED_VALUE"""),45069.6666666667)</f>
        <v>45069.6666666667</v>
      </c>
      <c r="B602" s="2" t="n">
        <f aca="false">IFERROR(__xludf.dummyfunction("""COMPUTED_VALUE"""),124.16)</f>
        <v>124.16</v>
      </c>
      <c r="C602" s="2" t="n">
        <f aca="false">IFERROR(__xludf.dummyfunction("""COMPUTED_VALUE"""),124.63)</f>
        <v>124.63</v>
      </c>
      <c r="D602" s="2" t="n">
        <f aca="false">IFERROR(__xludf.dummyfunction("""COMPUTED_VALUE"""),122.21)</f>
        <v>122.21</v>
      </c>
      <c r="E602" s="2" t="n">
        <f aca="false">IFERROR(__xludf.dummyfunction("""COMPUTED_VALUE"""),122.56)</f>
        <v>122.56</v>
      </c>
      <c r="F602" s="2" t="n">
        <f aca="false">IFERROR(__xludf.dummyfunction("""COMPUTED_VALUE"""),34046251)</f>
        <v>34046251</v>
      </c>
    </row>
    <row r="603" customFormat="false" ht="15.75" hidden="false" customHeight="false" outlineLevel="0" collapsed="false">
      <c r="A603" s="3" t="n">
        <f aca="false">IFERROR(__xludf.dummyfunction("""COMPUTED_VALUE"""),45070.6666666667)</f>
        <v>45070.6666666667</v>
      </c>
      <c r="B603" s="2" t="n">
        <f aca="false">IFERROR(__xludf.dummyfunction("""COMPUTED_VALUE"""),121.12)</f>
        <v>121.12</v>
      </c>
      <c r="C603" s="2" t="n">
        <f aca="false">IFERROR(__xludf.dummyfunction("""COMPUTED_VALUE"""),121.91)</f>
        <v>121.91</v>
      </c>
      <c r="D603" s="2" t="n">
        <f aca="false">IFERROR(__xludf.dummyfunction("""COMPUTED_VALUE"""),119.86)</f>
        <v>119.86</v>
      </c>
      <c r="E603" s="2" t="n">
        <f aca="false">IFERROR(__xludf.dummyfunction("""COMPUTED_VALUE"""),120.9)</f>
        <v>120.9</v>
      </c>
      <c r="F603" s="2" t="n">
        <f aca="false">IFERROR(__xludf.dummyfunction("""COMPUTED_VALUE"""),34182635)</f>
        <v>34182635</v>
      </c>
    </row>
    <row r="604" customFormat="false" ht="15.75" hidden="false" customHeight="false" outlineLevel="0" collapsed="false">
      <c r="A604" s="3" t="n">
        <f aca="false">IFERROR(__xludf.dummyfunction("""COMPUTED_VALUE"""),45071.6666666667)</f>
        <v>45071.6666666667</v>
      </c>
      <c r="B604" s="2" t="n">
        <f aca="false">IFERROR(__xludf.dummyfunction("""COMPUTED_VALUE"""),124.52)</f>
        <v>124.52</v>
      </c>
      <c r="C604" s="2" t="n">
        <f aca="false">IFERROR(__xludf.dummyfunction("""COMPUTED_VALUE"""),125.32)</f>
        <v>125.32</v>
      </c>
      <c r="D604" s="2" t="n">
        <f aca="false">IFERROR(__xludf.dummyfunction("""COMPUTED_VALUE"""),121.96)</f>
        <v>121.96</v>
      </c>
      <c r="E604" s="2" t="n">
        <f aca="false">IFERROR(__xludf.dummyfunction("""COMPUTED_VALUE"""),123.48)</f>
        <v>123.48</v>
      </c>
      <c r="F604" s="2" t="n">
        <f aca="false">IFERROR(__xludf.dummyfunction("""COMPUTED_VALUE"""),42316986)</f>
        <v>42316986</v>
      </c>
    </row>
    <row r="605" customFormat="false" ht="15.75" hidden="false" customHeight="false" outlineLevel="0" collapsed="false">
      <c r="A605" s="3" t="n">
        <f aca="false">IFERROR(__xludf.dummyfunction("""COMPUTED_VALUE"""),45072.6666666667)</f>
        <v>45072.6666666667</v>
      </c>
      <c r="B605" s="2" t="n">
        <f aca="false">IFERROR(__xludf.dummyfunction("""COMPUTED_VALUE"""),123.17)</f>
        <v>123.17</v>
      </c>
      <c r="C605" s="2" t="n">
        <f aca="false">IFERROR(__xludf.dummyfunction("""COMPUTED_VALUE"""),125.26)</f>
        <v>125.26</v>
      </c>
      <c r="D605" s="2" t="n">
        <f aca="false">IFERROR(__xludf.dummyfunction("""COMPUTED_VALUE"""),122.45)</f>
        <v>122.45</v>
      </c>
      <c r="E605" s="2" t="n">
        <f aca="false">IFERROR(__xludf.dummyfunction("""COMPUTED_VALUE"""),124.61)</f>
        <v>124.61</v>
      </c>
      <c r="F605" s="2" t="n">
        <f aca="false">IFERROR(__xludf.dummyfunction("""COMPUTED_VALUE"""),35635937)</f>
        <v>35635937</v>
      </c>
    </row>
    <row r="606" customFormat="false" ht="15.75" hidden="false" customHeight="false" outlineLevel="0" collapsed="false">
      <c r="A606" s="3" t="n">
        <f aca="false">IFERROR(__xludf.dummyfunction("""COMPUTED_VALUE"""),45076.6666666667)</f>
        <v>45076.6666666667</v>
      </c>
      <c r="B606" s="2" t="n">
        <f aca="false">IFERROR(__xludf.dummyfunction("""COMPUTED_VALUE"""),125.64)</f>
        <v>125.64</v>
      </c>
      <c r="C606" s="2" t="n">
        <f aca="false">IFERROR(__xludf.dummyfunction("""COMPUTED_VALUE"""),125.66)</f>
        <v>125.66</v>
      </c>
      <c r="D606" s="2" t="n">
        <f aca="false">IFERROR(__xludf.dummyfunction("""COMPUTED_VALUE"""),122)</f>
        <v>122</v>
      </c>
      <c r="E606" s="2" t="n">
        <f aca="false">IFERROR(__xludf.dummyfunction("""COMPUTED_VALUE"""),123.67)</f>
        <v>123.67</v>
      </c>
      <c r="F606" s="2" t="n">
        <f aca="false">IFERROR(__xludf.dummyfunction("""COMPUTED_VALUE"""),35076658)</f>
        <v>35076658</v>
      </c>
    </row>
    <row r="607" customFormat="false" ht="15.75" hidden="false" customHeight="false" outlineLevel="0" collapsed="false">
      <c r="A607" s="3" t="n">
        <f aca="false">IFERROR(__xludf.dummyfunction("""COMPUTED_VALUE"""),45077.6666666667)</f>
        <v>45077.6666666667</v>
      </c>
      <c r="B607" s="2" t="n">
        <f aca="false">IFERROR(__xludf.dummyfunction("""COMPUTED_VALUE"""),122.75)</f>
        <v>122.75</v>
      </c>
      <c r="C607" s="2" t="n">
        <f aca="false">IFERROR(__xludf.dummyfunction("""COMPUTED_VALUE"""),124.06)</f>
        <v>124.06</v>
      </c>
      <c r="D607" s="2" t="n">
        <f aca="false">IFERROR(__xludf.dummyfunction("""COMPUTED_VALUE"""),122.5)</f>
        <v>122.5</v>
      </c>
      <c r="E607" s="2" t="n">
        <f aca="false">IFERROR(__xludf.dummyfunction("""COMPUTED_VALUE"""),122.87)</f>
        <v>122.87</v>
      </c>
      <c r="F607" s="2" t="n">
        <f aca="false">IFERROR(__xludf.dummyfunction("""COMPUTED_VALUE"""),37325787)</f>
        <v>37325787</v>
      </c>
    </row>
    <row r="608" customFormat="false" ht="15.75" hidden="false" customHeight="false" outlineLevel="0" collapsed="false">
      <c r="A608" s="3" t="n">
        <f aca="false">IFERROR(__xludf.dummyfunction("""COMPUTED_VALUE"""),45078.6666666667)</f>
        <v>45078.6666666667</v>
      </c>
      <c r="B608" s="2" t="n">
        <f aca="false">IFERROR(__xludf.dummyfunction("""COMPUTED_VALUE"""),122.82)</f>
        <v>122.82</v>
      </c>
      <c r="C608" s="2" t="n">
        <f aca="false">IFERROR(__xludf.dummyfunction("""COMPUTED_VALUE"""),124.42)</f>
        <v>124.42</v>
      </c>
      <c r="D608" s="2" t="n">
        <f aca="false">IFERROR(__xludf.dummyfunction("""COMPUTED_VALUE"""),122.62)</f>
        <v>122.62</v>
      </c>
      <c r="E608" s="2" t="n">
        <f aca="false">IFERROR(__xludf.dummyfunction("""COMPUTED_VALUE"""),123.72)</f>
        <v>123.72</v>
      </c>
      <c r="F608" s="2" t="n">
        <f aca="false">IFERROR(__xludf.dummyfunction("""COMPUTED_VALUE"""),30772683)</f>
        <v>30772683</v>
      </c>
    </row>
    <row r="609" customFormat="false" ht="15.75" hidden="false" customHeight="false" outlineLevel="0" collapsed="false">
      <c r="A609" s="3" t="n">
        <f aca="false">IFERROR(__xludf.dummyfunction("""COMPUTED_VALUE"""),45079.6666666667)</f>
        <v>45079.6666666667</v>
      </c>
      <c r="B609" s="2" t="n">
        <f aca="false">IFERROR(__xludf.dummyfunction("""COMPUTED_VALUE"""),123.99)</f>
        <v>123.99</v>
      </c>
      <c r="C609" s="2" t="n">
        <f aca="false">IFERROR(__xludf.dummyfunction("""COMPUTED_VALUE"""),126.15)</f>
        <v>126.15</v>
      </c>
      <c r="D609" s="2" t="n">
        <f aca="false">IFERROR(__xludf.dummyfunction("""COMPUTED_VALUE"""),123.76)</f>
        <v>123.76</v>
      </c>
      <c r="E609" s="2" t="n">
        <f aca="false">IFERROR(__xludf.dummyfunction("""COMPUTED_VALUE"""),124.67)</f>
        <v>124.67</v>
      </c>
      <c r="F609" s="2" t="n">
        <f aca="false">IFERROR(__xludf.dummyfunction("""COMPUTED_VALUE"""),26980147)</f>
        <v>26980147</v>
      </c>
    </row>
    <row r="610" customFormat="false" ht="15.75" hidden="false" customHeight="false" outlineLevel="0" collapsed="false">
      <c r="A610" s="3" t="n">
        <f aca="false">IFERROR(__xludf.dummyfunction("""COMPUTED_VALUE"""),45082.6666666667)</f>
        <v>45082.6666666667</v>
      </c>
      <c r="B610" s="2" t="n">
        <f aca="false">IFERROR(__xludf.dummyfunction("""COMPUTED_VALUE"""),124.01)</f>
        <v>124.01</v>
      </c>
      <c r="C610" s="2" t="n">
        <f aca="false">IFERROR(__xludf.dummyfunction("""COMPUTED_VALUE"""),127.43)</f>
        <v>127.43</v>
      </c>
      <c r="D610" s="2" t="n">
        <f aca="false">IFERROR(__xludf.dummyfunction("""COMPUTED_VALUE"""),123.84)</f>
        <v>123.84</v>
      </c>
      <c r="E610" s="2" t="n">
        <f aca="false">IFERROR(__xludf.dummyfunction("""COMPUTED_VALUE"""),126.01)</f>
        <v>126.01</v>
      </c>
      <c r="F610" s="2" t="n">
        <f aca="false">IFERROR(__xludf.dummyfunction("""COMPUTED_VALUE"""),32305531)</f>
        <v>32305531</v>
      </c>
    </row>
    <row r="611" customFormat="false" ht="15.75" hidden="false" customHeight="false" outlineLevel="0" collapsed="false">
      <c r="A611" s="3" t="n">
        <f aca="false">IFERROR(__xludf.dummyfunction("""COMPUTED_VALUE"""),45083.6666666667)</f>
        <v>45083.6666666667</v>
      </c>
      <c r="B611" s="2" t="n">
        <f aca="false">IFERROR(__xludf.dummyfunction("""COMPUTED_VALUE"""),126.01)</f>
        <v>126.01</v>
      </c>
      <c r="C611" s="2" t="n">
        <f aca="false">IFERROR(__xludf.dummyfunction("""COMPUTED_VALUE"""),128.29)</f>
        <v>128.29</v>
      </c>
      <c r="D611" s="2" t="n">
        <f aca="false">IFERROR(__xludf.dummyfunction("""COMPUTED_VALUE"""),125.36)</f>
        <v>125.36</v>
      </c>
      <c r="E611" s="2" t="n">
        <f aca="false">IFERROR(__xludf.dummyfunction("""COMPUTED_VALUE"""),127.31)</f>
        <v>127.31</v>
      </c>
      <c r="F611" s="2" t="n">
        <f aca="false">IFERROR(__xludf.dummyfunction("""COMPUTED_VALUE"""),26638295)</f>
        <v>26638295</v>
      </c>
    </row>
    <row r="612" customFormat="false" ht="15.75" hidden="false" customHeight="false" outlineLevel="0" collapsed="false">
      <c r="A612" s="3" t="n">
        <f aca="false">IFERROR(__xludf.dummyfunction("""COMPUTED_VALUE"""),45084.6666666667)</f>
        <v>45084.6666666667</v>
      </c>
      <c r="B612" s="2" t="n">
        <f aca="false">IFERROR(__xludf.dummyfunction("""COMPUTED_VALUE"""),126.97)</f>
        <v>126.97</v>
      </c>
      <c r="C612" s="2" t="n">
        <f aca="false">IFERROR(__xludf.dummyfunction("""COMPUTED_VALUE"""),129.04)</f>
        <v>129.04</v>
      </c>
      <c r="D612" s="2" t="n">
        <f aca="false">IFERROR(__xludf.dummyfunction("""COMPUTED_VALUE"""),122.12)</f>
        <v>122.12</v>
      </c>
      <c r="E612" s="2" t="n">
        <f aca="false">IFERROR(__xludf.dummyfunction("""COMPUTED_VALUE"""),122.5)</f>
        <v>122.5</v>
      </c>
      <c r="F612" s="2" t="n">
        <f aca="false">IFERROR(__xludf.dummyfunction("""COMPUTED_VALUE"""),52538986)</f>
        <v>52538986</v>
      </c>
    </row>
    <row r="613" customFormat="false" ht="15.75" hidden="false" customHeight="false" outlineLevel="0" collapsed="false">
      <c r="A613" s="3" t="n">
        <f aca="false">IFERROR(__xludf.dummyfunction("""COMPUTED_VALUE"""),45085.6666666667)</f>
        <v>45085.6666666667</v>
      </c>
      <c r="B613" s="2" t="n">
        <f aca="false">IFERROR(__xludf.dummyfunction("""COMPUTED_VALUE"""),122.23)</f>
        <v>122.23</v>
      </c>
      <c r="C613" s="2" t="n">
        <f aca="false">IFERROR(__xludf.dummyfunction("""COMPUTED_VALUE"""),123.23)</f>
        <v>123.23</v>
      </c>
      <c r="D613" s="2" t="n">
        <f aca="false">IFERROR(__xludf.dummyfunction("""COMPUTED_VALUE"""),121.24)</f>
        <v>121.24</v>
      </c>
      <c r="E613" s="2" t="n">
        <f aca="false">IFERROR(__xludf.dummyfunction("""COMPUTED_VALUE"""),122.14)</f>
        <v>122.14</v>
      </c>
      <c r="F613" s="2" t="n">
        <f aca="false">IFERROR(__xludf.dummyfunction("""COMPUTED_VALUE"""),29389167)</f>
        <v>29389167</v>
      </c>
    </row>
    <row r="614" customFormat="false" ht="15.75" hidden="false" customHeight="false" outlineLevel="0" collapsed="false">
      <c r="A614" s="3" t="n">
        <f aca="false">IFERROR(__xludf.dummyfunction("""COMPUTED_VALUE"""),45086.6666666667)</f>
        <v>45086.6666666667</v>
      </c>
      <c r="B614" s="2" t="n">
        <f aca="false">IFERROR(__xludf.dummyfunction("""COMPUTED_VALUE"""),122.25)</f>
        <v>122.25</v>
      </c>
      <c r="C614" s="2" t="n">
        <f aca="false">IFERROR(__xludf.dummyfunction("""COMPUTED_VALUE"""),123.76)</f>
        <v>123.76</v>
      </c>
      <c r="D614" s="2" t="n">
        <f aca="false">IFERROR(__xludf.dummyfunction("""COMPUTED_VALUE"""),121.91)</f>
        <v>121.91</v>
      </c>
      <c r="E614" s="2" t="n">
        <f aca="false">IFERROR(__xludf.dummyfunction("""COMPUTED_VALUE"""),122.23)</f>
        <v>122.23</v>
      </c>
      <c r="F614" s="2" t="n">
        <f aca="false">IFERROR(__xludf.dummyfunction("""COMPUTED_VALUE"""),23778319)</f>
        <v>23778319</v>
      </c>
    </row>
    <row r="615" customFormat="false" ht="15.75" hidden="false" customHeight="false" outlineLevel="0" collapsed="false">
      <c r="A615" s="3" t="n">
        <f aca="false">IFERROR(__xludf.dummyfunction("""COMPUTED_VALUE"""),45089.6666666667)</f>
        <v>45089.6666666667</v>
      </c>
      <c r="B615" s="2" t="n">
        <f aca="false">IFERROR(__xludf.dummyfunction("""COMPUTED_VALUE"""),122.79)</f>
        <v>122.79</v>
      </c>
      <c r="C615" s="2" t="n">
        <f aca="false">IFERROR(__xludf.dummyfunction("""COMPUTED_VALUE"""),124.05)</f>
        <v>124.05</v>
      </c>
      <c r="D615" s="2" t="n">
        <f aca="false">IFERROR(__xludf.dummyfunction("""COMPUTED_VALUE"""),121.66)</f>
        <v>121.66</v>
      </c>
      <c r="E615" s="2" t="n">
        <f aca="false">IFERROR(__xludf.dummyfunction("""COMPUTED_VALUE"""),123.64)</f>
        <v>123.64</v>
      </c>
      <c r="F615" s="2" t="n">
        <f aca="false">IFERROR(__xludf.dummyfunction("""COMPUTED_VALUE"""),28338743)</f>
        <v>28338743</v>
      </c>
    </row>
    <row r="616" customFormat="false" ht="15.75" hidden="false" customHeight="false" outlineLevel="0" collapsed="false">
      <c r="A616" s="3" t="n">
        <f aca="false">IFERROR(__xludf.dummyfunction("""COMPUTED_VALUE"""),45090.6666666667)</f>
        <v>45090.6666666667</v>
      </c>
      <c r="B616" s="2" t="n">
        <f aca="false">IFERROR(__xludf.dummyfunction("""COMPUTED_VALUE"""),124.98)</f>
        <v>124.98</v>
      </c>
      <c r="C616" s="2" t="n">
        <f aca="false">IFERROR(__xludf.dummyfunction("""COMPUTED_VALUE"""),125.16)</f>
        <v>125.16</v>
      </c>
      <c r="D616" s="2" t="n">
        <f aca="false">IFERROR(__xludf.dummyfunction("""COMPUTED_VALUE"""),123.18)</f>
        <v>123.18</v>
      </c>
      <c r="E616" s="2" t="n">
        <f aca="false">IFERROR(__xludf.dummyfunction("""COMPUTED_VALUE"""),123.83)</f>
        <v>123.83</v>
      </c>
      <c r="F616" s="2" t="n">
        <f aca="false">IFERROR(__xludf.dummyfunction("""COMPUTED_VALUE"""),22278313)</f>
        <v>22278313</v>
      </c>
    </row>
    <row r="617" customFormat="false" ht="15.75" hidden="false" customHeight="false" outlineLevel="0" collapsed="false">
      <c r="A617" s="3" t="n">
        <f aca="false">IFERROR(__xludf.dummyfunction("""COMPUTED_VALUE"""),45091.6666666667)</f>
        <v>45091.6666666667</v>
      </c>
      <c r="B617" s="2" t="n">
        <f aca="false">IFERROR(__xludf.dummyfunction("""COMPUTED_VALUE"""),123.1)</f>
        <v>123.1</v>
      </c>
      <c r="C617" s="2" t="n">
        <f aca="false">IFERROR(__xludf.dummyfunction("""COMPUTED_VALUE"""),124.05)</f>
        <v>124.05</v>
      </c>
      <c r="D617" s="2" t="n">
        <f aca="false">IFERROR(__xludf.dummyfunction("""COMPUTED_VALUE"""),121.45)</f>
        <v>121.45</v>
      </c>
      <c r="E617" s="2" t="n">
        <f aca="false">IFERROR(__xludf.dummyfunction("""COMPUTED_VALUE"""),123.67)</f>
        <v>123.67</v>
      </c>
      <c r="F617" s="2" t="n">
        <f aca="false">IFERROR(__xludf.dummyfunction("""COMPUTED_VALUE"""),30592297)</f>
        <v>30592297</v>
      </c>
    </row>
    <row r="618" customFormat="false" ht="15.75" hidden="false" customHeight="false" outlineLevel="0" collapsed="false">
      <c r="A618" s="3" t="n">
        <f aca="false">IFERROR(__xludf.dummyfunction("""COMPUTED_VALUE"""),45092.6666666667)</f>
        <v>45092.6666666667</v>
      </c>
      <c r="B618" s="2" t="n">
        <f aca="false">IFERROR(__xludf.dummyfunction("""COMPUTED_VALUE"""),123.14)</f>
        <v>123.14</v>
      </c>
      <c r="C618" s="2" t="n">
        <f aca="false">IFERROR(__xludf.dummyfunction("""COMPUTED_VALUE"""),125.46)</f>
        <v>125.46</v>
      </c>
      <c r="D618" s="2" t="n">
        <f aca="false">IFERROR(__xludf.dummyfunction("""COMPUTED_VALUE"""),122.4)</f>
        <v>122.4</v>
      </c>
      <c r="E618" s="2" t="n">
        <f aca="false">IFERROR(__xludf.dummyfunction("""COMPUTED_VALUE"""),125.09)</f>
        <v>125.09</v>
      </c>
      <c r="F618" s="2" t="n">
        <f aca="false">IFERROR(__xludf.dummyfunction("""COMPUTED_VALUE"""),35246268)</f>
        <v>35246268</v>
      </c>
    </row>
    <row r="619" customFormat="false" ht="15.75" hidden="false" customHeight="false" outlineLevel="0" collapsed="false">
      <c r="A619" s="3" t="n">
        <f aca="false">IFERROR(__xludf.dummyfunction("""COMPUTED_VALUE"""),45093.6666666667)</f>
        <v>45093.6666666667</v>
      </c>
      <c r="B619" s="2" t="n">
        <f aca="false">IFERROR(__xludf.dummyfunction("""COMPUTED_VALUE"""),125.93)</f>
        <v>125.93</v>
      </c>
      <c r="C619" s="2" t="n">
        <f aca="false">IFERROR(__xludf.dummyfunction("""COMPUTED_VALUE"""),126.11)</f>
        <v>126.11</v>
      </c>
      <c r="D619" s="2" t="n">
        <f aca="false">IFERROR(__xludf.dummyfunction("""COMPUTED_VALUE"""),123.28)</f>
        <v>123.28</v>
      </c>
      <c r="E619" s="2" t="n">
        <f aca="false">IFERROR(__xludf.dummyfunction("""COMPUTED_VALUE"""),123.53)</f>
        <v>123.53</v>
      </c>
      <c r="F619" s="2" t="n">
        <f aca="false">IFERROR(__xludf.dummyfunction("""COMPUTED_VALUE"""),45535553)</f>
        <v>45535553</v>
      </c>
    </row>
    <row r="620" customFormat="false" ht="15.75" hidden="false" customHeight="false" outlineLevel="0" collapsed="false">
      <c r="A620" s="3" t="n">
        <f aca="false">IFERROR(__xludf.dummyfunction("""COMPUTED_VALUE"""),45097.6666666667)</f>
        <v>45097.6666666667</v>
      </c>
      <c r="B620" s="2" t="n">
        <f aca="false">IFERROR(__xludf.dummyfunction("""COMPUTED_VALUE"""),122.93)</f>
        <v>122.93</v>
      </c>
      <c r="C620" s="2" t="n">
        <f aca="false">IFERROR(__xludf.dummyfunction("""COMPUTED_VALUE"""),124.57)</f>
        <v>124.57</v>
      </c>
      <c r="D620" s="2" t="n">
        <f aca="false">IFERROR(__xludf.dummyfunction("""COMPUTED_VALUE"""),122.14)</f>
        <v>122.14</v>
      </c>
      <c r="E620" s="2" t="n">
        <f aca="false">IFERROR(__xludf.dummyfunction("""COMPUTED_VALUE"""),123.1)</f>
        <v>123.1</v>
      </c>
      <c r="F620" s="2" t="n">
        <f aca="false">IFERROR(__xludf.dummyfunction("""COMPUTED_VALUE"""),26097492)</f>
        <v>26097492</v>
      </c>
    </row>
    <row r="621" customFormat="false" ht="15.75" hidden="false" customHeight="false" outlineLevel="0" collapsed="false">
      <c r="A621" s="3" t="n">
        <f aca="false">IFERROR(__xludf.dummyfunction("""COMPUTED_VALUE"""),45098.6666666667)</f>
        <v>45098.6666666667</v>
      </c>
      <c r="B621" s="2" t="n">
        <f aca="false">IFERROR(__xludf.dummyfunction("""COMPUTED_VALUE"""),122.4)</f>
        <v>122.4</v>
      </c>
      <c r="C621" s="2" t="n">
        <f aca="false">IFERROR(__xludf.dummyfunction("""COMPUTED_VALUE"""),122.66)</f>
        <v>122.66</v>
      </c>
      <c r="D621" s="2" t="n">
        <f aca="false">IFERROR(__xludf.dummyfunction("""COMPUTED_VALUE"""),120.1)</f>
        <v>120.1</v>
      </c>
      <c r="E621" s="2" t="n">
        <f aca="false">IFERROR(__xludf.dummyfunction("""COMPUTED_VALUE"""),120.55)</f>
        <v>120.55</v>
      </c>
      <c r="F621" s="2" t="n">
        <f aca="false">IFERROR(__xludf.dummyfunction("""COMPUTED_VALUE"""),30306336)</f>
        <v>30306336</v>
      </c>
    </row>
    <row r="622" customFormat="false" ht="15.75" hidden="false" customHeight="false" outlineLevel="0" collapsed="false">
      <c r="A622" s="3" t="n">
        <f aca="false">IFERROR(__xludf.dummyfunction("""COMPUTED_VALUE"""),45099.6666666667)</f>
        <v>45099.6666666667</v>
      </c>
      <c r="B622" s="2" t="n">
        <f aca="false">IFERROR(__xludf.dummyfunction("""COMPUTED_VALUE"""),120)</f>
        <v>120</v>
      </c>
      <c r="C622" s="2" t="n">
        <f aca="false">IFERROR(__xludf.dummyfunction("""COMPUTED_VALUE"""),123.24)</f>
        <v>123.24</v>
      </c>
      <c r="D622" s="2" t="n">
        <f aca="false">IFERROR(__xludf.dummyfunction("""COMPUTED_VALUE"""),118.83)</f>
        <v>118.83</v>
      </c>
      <c r="E622" s="2" t="n">
        <f aca="false">IFERROR(__xludf.dummyfunction("""COMPUTED_VALUE"""),123.15)</f>
        <v>123.15</v>
      </c>
      <c r="F622" s="2" t="n">
        <f aca="false">IFERROR(__xludf.dummyfunction("""COMPUTED_VALUE"""),26952246)</f>
        <v>26952246</v>
      </c>
    </row>
    <row r="623" customFormat="false" ht="15.75" hidden="false" customHeight="false" outlineLevel="0" collapsed="false">
      <c r="A623" s="3" t="n">
        <f aca="false">IFERROR(__xludf.dummyfunction("""COMPUTED_VALUE"""),45100.6666666667)</f>
        <v>45100.6666666667</v>
      </c>
      <c r="B623" s="2" t="n">
        <f aca="false">IFERROR(__xludf.dummyfunction("""COMPUTED_VALUE"""),121.38)</f>
        <v>121.38</v>
      </c>
      <c r="C623" s="2" t="n">
        <f aca="false">IFERROR(__xludf.dummyfunction("""COMPUTED_VALUE"""),122.79)</f>
        <v>122.79</v>
      </c>
      <c r="D623" s="2" t="n">
        <f aca="false">IFERROR(__xludf.dummyfunction("""COMPUTED_VALUE"""),121.06)</f>
        <v>121.06</v>
      </c>
      <c r="E623" s="2" t="n">
        <f aca="false">IFERROR(__xludf.dummyfunction("""COMPUTED_VALUE"""),122.34)</f>
        <v>122.34</v>
      </c>
      <c r="F623" s="2" t="n">
        <f aca="false">IFERROR(__xludf.dummyfunction("""COMPUTED_VALUE"""),34913637)</f>
        <v>34913637</v>
      </c>
    </row>
    <row r="624" customFormat="false" ht="15.75" hidden="false" customHeight="false" outlineLevel="0" collapsed="false">
      <c r="A624" s="3" t="n">
        <f aca="false">IFERROR(__xludf.dummyfunction("""COMPUTED_VALUE"""),45103.6666666667)</f>
        <v>45103.6666666667</v>
      </c>
      <c r="B624" s="2" t="n">
        <f aca="false">IFERROR(__xludf.dummyfunction("""COMPUTED_VALUE"""),120.76)</f>
        <v>120.76</v>
      </c>
      <c r="C624" s="2" t="n">
        <f aca="false">IFERROR(__xludf.dummyfunction("""COMPUTED_VALUE"""),122)</f>
        <v>122</v>
      </c>
      <c r="D624" s="2" t="n">
        <f aca="false">IFERROR(__xludf.dummyfunction("""COMPUTED_VALUE"""),118.27)</f>
        <v>118.27</v>
      </c>
      <c r="E624" s="2" t="n">
        <f aca="false">IFERROR(__xludf.dummyfunction("""COMPUTED_VALUE"""),118.34)</f>
        <v>118.34</v>
      </c>
      <c r="F624" s="2" t="n">
        <f aca="false">IFERROR(__xludf.dummyfunction("""COMPUTED_VALUE"""),33969897)</f>
        <v>33969897</v>
      </c>
    </row>
    <row r="625" customFormat="false" ht="15.75" hidden="false" customHeight="false" outlineLevel="0" collapsed="false">
      <c r="A625" s="3" t="n">
        <f aca="false">IFERROR(__xludf.dummyfunction("""COMPUTED_VALUE"""),45104.6666666667)</f>
        <v>45104.6666666667</v>
      </c>
      <c r="B625" s="2" t="n">
        <f aca="false">IFERROR(__xludf.dummyfunction("""COMPUTED_VALUE"""),117.08)</f>
        <v>117.08</v>
      </c>
      <c r="C625" s="2" t="n">
        <f aca="false">IFERROR(__xludf.dummyfunction("""COMPUTED_VALUE"""),119.08)</f>
        <v>119.08</v>
      </c>
      <c r="D625" s="2" t="n">
        <f aca="false">IFERROR(__xludf.dummyfunction("""COMPUTED_VALUE"""),116.1)</f>
        <v>116.1</v>
      </c>
      <c r="E625" s="2" t="n">
        <f aca="false">IFERROR(__xludf.dummyfunction("""COMPUTED_VALUE"""),118.33)</f>
        <v>118.33</v>
      </c>
      <c r="F625" s="2" t="n">
        <f aca="false">IFERROR(__xludf.dummyfunction("""COMPUTED_VALUE"""),39535936)</f>
        <v>39535936</v>
      </c>
    </row>
    <row r="626" customFormat="false" ht="15.75" hidden="false" customHeight="false" outlineLevel="0" collapsed="false">
      <c r="A626" s="3" t="n">
        <f aca="false">IFERROR(__xludf.dummyfunction("""COMPUTED_VALUE"""),45105.6666666667)</f>
        <v>45105.6666666667</v>
      </c>
      <c r="B626" s="2" t="n">
        <f aca="false">IFERROR(__xludf.dummyfunction("""COMPUTED_VALUE"""),117.09)</f>
        <v>117.09</v>
      </c>
      <c r="C626" s="2" t="n">
        <f aca="false">IFERROR(__xludf.dummyfunction("""COMPUTED_VALUE"""),120.39)</f>
        <v>120.39</v>
      </c>
      <c r="D626" s="2" t="n">
        <f aca="false">IFERROR(__xludf.dummyfunction("""COMPUTED_VALUE"""),116.85)</f>
        <v>116.85</v>
      </c>
      <c r="E626" s="2" t="n">
        <f aca="false">IFERROR(__xludf.dummyfunction("""COMPUTED_VALUE"""),120.18)</f>
        <v>120.18</v>
      </c>
      <c r="F626" s="2" t="n">
        <f aca="false">IFERROR(__xludf.dummyfunction("""COMPUTED_VALUE"""),27091449)</f>
        <v>27091449</v>
      </c>
    </row>
    <row r="627" customFormat="false" ht="15.75" hidden="false" customHeight="false" outlineLevel="0" collapsed="false">
      <c r="A627" s="3" t="n">
        <f aca="false">IFERROR(__xludf.dummyfunction("""COMPUTED_VALUE"""),45106.6666666667)</f>
        <v>45106.6666666667</v>
      </c>
      <c r="B627" s="2" t="n">
        <f aca="false">IFERROR(__xludf.dummyfunction("""COMPUTED_VALUE"""),119.24)</f>
        <v>119.24</v>
      </c>
      <c r="C627" s="2" t="n">
        <f aca="false">IFERROR(__xludf.dummyfunction("""COMPUTED_VALUE"""),120.06)</f>
        <v>120.06</v>
      </c>
      <c r="D627" s="2" t="n">
        <f aca="false">IFERROR(__xludf.dummyfunction("""COMPUTED_VALUE"""),118.3)</f>
        <v>118.3</v>
      </c>
      <c r="E627" s="2" t="n">
        <f aca="false">IFERROR(__xludf.dummyfunction("""COMPUTED_VALUE"""),119.1)</f>
        <v>119.1</v>
      </c>
      <c r="F627" s="2" t="n">
        <f aca="false">IFERROR(__xludf.dummyfunction("""COMPUTED_VALUE"""),24090902)</f>
        <v>24090902</v>
      </c>
    </row>
    <row r="628" customFormat="false" ht="15.75" hidden="false" customHeight="false" outlineLevel="0" collapsed="false">
      <c r="A628" s="3" t="n">
        <f aca="false">IFERROR(__xludf.dummyfunction("""COMPUTED_VALUE"""),45107.6666666667)</f>
        <v>45107.6666666667</v>
      </c>
      <c r="B628" s="2" t="n">
        <f aca="false">IFERROR(__xludf.dummyfunction("""COMPUTED_VALUE"""),120.17)</f>
        <v>120.17</v>
      </c>
      <c r="C628" s="2" t="n">
        <f aca="false">IFERROR(__xludf.dummyfunction("""COMPUTED_VALUE"""),121.08)</f>
        <v>121.08</v>
      </c>
      <c r="D628" s="2" t="n">
        <f aca="false">IFERROR(__xludf.dummyfunction("""COMPUTED_VALUE"""),119.69)</f>
        <v>119.69</v>
      </c>
      <c r="E628" s="2" t="n">
        <f aca="false">IFERROR(__xludf.dummyfunction("""COMPUTED_VALUE"""),119.7)</f>
        <v>119.7</v>
      </c>
      <c r="F628" s="2" t="n">
        <f aca="false">IFERROR(__xludf.dummyfunction("""COMPUTED_VALUE"""),29532241)</f>
        <v>29532241</v>
      </c>
    </row>
    <row r="629" customFormat="false" ht="15.75" hidden="false" customHeight="false" outlineLevel="0" collapsed="false">
      <c r="A629" s="3" t="n">
        <f aca="false">IFERROR(__xludf.dummyfunction("""COMPUTED_VALUE"""),45110.5451388889)</f>
        <v>45110.5451388889</v>
      </c>
      <c r="B629" s="2" t="n">
        <f aca="false">IFERROR(__xludf.dummyfunction("""COMPUTED_VALUE"""),119.24)</f>
        <v>119.24</v>
      </c>
      <c r="C629" s="2" t="n">
        <f aca="false">IFERROR(__xludf.dummyfunction("""COMPUTED_VALUE"""),120.19)</f>
        <v>120.19</v>
      </c>
      <c r="D629" s="2" t="n">
        <f aca="false">IFERROR(__xludf.dummyfunction("""COMPUTED_VALUE"""),118.82)</f>
        <v>118.82</v>
      </c>
      <c r="E629" s="2" t="n">
        <f aca="false">IFERROR(__xludf.dummyfunction("""COMPUTED_VALUE"""),119.9)</f>
        <v>119.9</v>
      </c>
      <c r="F629" s="2" t="n">
        <f aca="false">IFERROR(__xludf.dummyfunction("""COMPUTED_VALUE"""),14467850)</f>
        <v>14467850</v>
      </c>
    </row>
    <row r="630" customFormat="false" ht="15.75" hidden="false" customHeight="false" outlineLevel="0" collapsed="false">
      <c r="A630" s="3" t="n">
        <f aca="false">IFERROR(__xludf.dummyfunction("""COMPUTED_VALUE"""),45112.6666666667)</f>
        <v>45112.6666666667</v>
      </c>
      <c r="B630" s="2" t="n">
        <f aca="false">IFERROR(__xludf.dummyfunction("""COMPUTED_VALUE"""),119.24)</f>
        <v>119.24</v>
      </c>
      <c r="C630" s="2" t="n">
        <f aca="false">IFERROR(__xludf.dummyfunction("""COMPUTED_VALUE"""),122.61)</f>
        <v>122.61</v>
      </c>
      <c r="D630" s="2" t="n">
        <f aca="false">IFERROR(__xludf.dummyfunction("""COMPUTED_VALUE"""),119.23)</f>
        <v>119.23</v>
      </c>
      <c r="E630" s="2" t="n">
        <f aca="false">IFERROR(__xludf.dummyfunction("""COMPUTED_VALUE"""),121.75)</f>
        <v>121.75</v>
      </c>
      <c r="F630" s="2" t="n">
        <f aca="false">IFERROR(__xludf.dummyfunction("""COMPUTED_VALUE"""),27584809)</f>
        <v>27584809</v>
      </c>
    </row>
    <row r="631" customFormat="false" ht="15.75" hidden="false" customHeight="false" outlineLevel="0" collapsed="false">
      <c r="A631" s="3" t="n">
        <f aca="false">IFERROR(__xludf.dummyfunction("""COMPUTED_VALUE"""),45113.6666666667)</f>
        <v>45113.6666666667</v>
      </c>
      <c r="B631" s="2" t="n">
        <f aca="false">IFERROR(__xludf.dummyfunction("""COMPUTED_VALUE"""),119.8)</f>
        <v>119.8</v>
      </c>
      <c r="C631" s="2" t="n">
        <f aca="false">IFERROR(__xludf.dummyfunction("""COMPUTED_VALUE"""),120.3)</f>
        <v>120.3</v>
      </c>
      <c r="D631" s="2" t="n">
        <f aca="false">IFERROR(__xludf.dummyfunction("""COMPUTED_VALUE"""),118.4)</f>
        <v>118.4</v>
      </c>
      <c r="E631" s="2" t="n">
        <f aca="false">IFERROR(__xludf.dummyfunction("""COMPUTED_VALUE"""),120.11)</f>
        <v>120.11</v>
      </c>
      <c r="F631" s="2" t="n">
        <f aca="false">IFERROR(__xludf.dummyfunction("""COMPUTED_VALUE"""),24778801)</f>
        <v>24778801</v>
      </c>
    </row>
    <row r="632" customFormat="false" ht="15.75" hidden="false" customHeight="false" outlineLevel="0" collapsed="false">
      <c r="A632" s="3" t="n">
        <f aca="false">IFERROR(__xludf.dummyfunction("""COMPUTED_VALUE"""),45114.6666666667)</f>
        <v>45114.6666666667</v>
      </c>
      <c r="B632" s="2" t="n">
        <f aca="false">IFERROR(__xludf.dummyfunction("""COMPUTED_VALUE"""),120.1)</f>
        <v>120.1</v>
      </c>
      <c r="C632" s="2" t="n">
        <f aca="false">IFERROR(__xludf.dummyfunction("""COMPUTED_VALUE"""),121.05)</f>
        <v>121.05</v>
      </c>
      <c r="D632" s="2" t="n">
        <f aca="false">IFERROR(__xludf.dummyfunction("""COMPUTED_VALUE"""),119.4)</f>
        <v>119.4</v>
      </c>
      <c r="E632" s="2" t="n">
        <f aca="false">IFERROR(__xludf.dummyfunction("""COMPUTED_VALUE"""),119.48)</f>
        <v>119.48</v>
      </c>
      <c r="F632" s="2" t="n">
        <f aca="false">IFERROR(__xludf.dummyfunction("""COMPUTED_VALUE"""),21709549)</f>
        <v>21709549</v>
      </c>
    </row>
    <row r="633" customFormat="false" ht="15.75" hidden="false" customHeight="false" outlineLevel="0" collapsed="false">
      <c r="A633" s="3" t="n">
        <f aca="false">IFERROR(__xludf.dummyfunction("""COMPUTED_VALUE"""),45117.6666666667)</f>
        <v>45117.6666666667</v>
      </c>
      <c r="B633" s="2" t="n">
        <f aca="false">IFERROR(__xludf.dummyfunction("""COMPUTED_VALUE"""),118.3)</f>
        <v>118.3</v>
      </c>
      <c r="C633" s="2" t="n">
        <f aca="false">IFERROR(__xludf.dummyfunction("""COMPUTED_VALUE"""),118.31)</f>
        <v>118.31</v>
      </c>
      <c r="D633" s="2" t="n">
        <f aca="false">IFERROR(__xludf.dummyfunction("""COMPUTED_VALUE"""),116.14)</f>
        <v>116.14</v>
      </c>
      <c r="E633" s="2" t="n">
        <f aca="false">IFERROR(__xludf.dummyfunction("""COMPUTED_VALUE"""),116.45)</f>
        <v>116.45</v>
      </c>
      <c r="F633" s="2" t="n">
        <f aca="false">IFERROR(__xludf.dummyfunction("""COMPUTED_VALUE"""),35315235)</f>
        <v>35315235</v>
      </c>
    </row>
    <row r="634" customFormat="false" ht="15.75" hidden="false" customHeight="false" outlineLevel="0" collapsed="false">
      <c r="A634" s="3" t="n">
        <f aca="false">IFERROR(__xludf.dummyfunction("""COMPUTED_VALUE"""),45118.6666666667)</f>
        <v>45118.6666666667</v>
      </c>
      <c r="B634" s="2" t="n">
        <f aca="false">IFERROR(__xludf.dummyfunction("""COMPUTED_VALUE"""),116.29)</f>
        <v>116.29</v>
      </c>
      <c r="C634" s="2" t="n">
        <f aca="false">IFERROR(__xludf.dummyfunction("""COMPUTED_VALUE"""),117.71)</f>
        <v>117.71</v>
      </c>
      <c r="D634" s="2" t="n">
        <f aca="false">IFERROR(__xludf.dummyfunction("""COMPUTED_VALUE"""),115.35)</f>
        <v>115.35</v>
      </c>
      <c r="E634" s="2" t="n">
        <f aca="false">IFERROR(__xludf.dummyfunction("""COMPUTED_VALUE"""),117.14)</f>
        <v>117.14</v>
      </c>
      <c r="F634" s="2" t="n">
        <f aca="false">IFERROR(__xludf.dummyfunction("""COMPUTED_VALUE"""),23078782)</f>
        <v>23078782</v>
      </c>
    </row>
    <row r="635" customFormat="false" ht="15.75" hidden="false" customHeight="false" outlineLevel="0" collapsed="false">
      <c r="A635" s="3" t="n">
        <f aca="false">IFERROR(__xludf.dummyfunction("""COMPUTED_VALUE"""),45119.6666666667)</f>
        <v>45119.6666666667</v>
      </c>
      <c r="B635" s="2" t="n">
        <f aca="false">IFERROR(__xludf.dummyfunction("""COMPUTED_VALUE"""),118.8)</f>
        <v>118.8</v>
      </c>
      <c r="C635" s="2" t="n">
        <f aca="false">IFERROR(__xludf.dummyfunction("""COMPUTED_VALUE"""),120.33)</f>
        <v>120.33</v>
      </c>
      <c r="D635" s="2" t="n">
        <f aca="false">IFERROR(__xludf.dummyfunction("""COMPUTED_VALUE"""),118.41)</f>
        <v>118.41</v>
      </c>
      <c r="E635" s="2" t="n">
        <f aca="false">IFERROR(__xludf.dummyfunction("""COMPUTED_VALUE"""),118.93)</f>
        <v>118.93</v>
      </c>
      <c r="F635" s="2" t="n">
        <f aca="false">IFERROR(__xludf.dummyfunction("""COMPUTED_VALUE"""),30404409)</f>
        <v>30404409</v>
      </c>
    </row>
    <row r="636" customFormat="false" ht="15.75" hidden="false" customHeight="false" outlineLevel="0" collapsed="false">
      <c r="A636" s="3" t="n">
        <f aca="false">IFERROR(__xludf.dummyfunction("""COMPUTED_VALUE"""),45120.6666666667)</f>
        <v>45120.6666666667</v>
      </c>
      <c r="B636" s="2" t="n">
        <f aca="false">IFERROR(__xludf.dummyfunction("""COMPUTED_VALUE"""),120.93)</f>
        <v>120.93</v>
      </c>
      <c r="C636" s="2" t="n">
        <f aca="false">IFERROR(__xludf.dummyfunction("""COMPUTED_VALUE"""),124.83)</f>
        <v>124.83</v>
      </c>
      <c r="D636" s="2" t="n">
        <f aca="false">IFERROR(__xludf.dummyfunction("""COMPUTED_VALUE"""),120.45)</f>
        <v>120.45</v>
      </c>
      <c r="E636" s="2" t="n">
        <f aca="false">IFERROR(__xludf.dummyfunction("""COMPUTED_VALUE"""),124.54)</f>
        <v>124.54</v>
      </c>
      <c r="F636" s="2" t="n">
        <f aca="false">IFERROR(__xludf.dummyfunction("""COMPUTED_VALUE"""),44297915)</f>
        <v>44297915</v>
      </c>
    </row>
    <row r="637" customFormat="false" ht="15.75" hidden="false" customHeight="false" outlineLevel="0" collapsed="false">
      <c r="A637" s="3" t="n">
        <f aca="false">IFERROR(__xludf.dummyfunction("""COMPUTED_VALUE"""),45121.6666666667)</f>
        <v>45121.6666666667</v>
      </c>
      <c r="B637" s="2" t="n">
        <f aca="false">IFERROR(__xludf.dummyfunction("""COMPUTED_VALUE"""),124.8)</f>
        <v>124.8</v>
      </c>
      <c r="C637" s="2" t="n">
        <f aca="false">IFERROR(__xludf.dummyfunction("""COMPUTED_VALUE"""),126.78)</f>
        <v>126.78</v>
      </c>
      <c r="D637" s="2" t="n">
        <f aca="false">IFERROR(__xludf.dummyfunction("""COMPUTED_VALUE"""),123.49)</f>
        <v>123.49</v>
      </c>
      <c r="E637" s="2" t="n">
        <f aca="false">IFERROR(__xludf.dummyfunction("""COMPUTED_VALUE"""),125.42)</f>
        <v>125.42</v>
      </c>
      <c r="F637" s="2" t="n">
        <f aca="false">IFERROR(__xludf.dummyfunction("""COMPUTED_VALUE"""),33283076)</f>
        <v>33283076</v>
      </c>
    </row>
    <row r="638" customFormat="false" ht="15.75" hidden="false" customHeight="false" outlineLevel="0" collapsed="false">
      <c r="A638" s="3" t="n">
        <f aca="false">IFERROR(__xludf.dummyfunction("""COMPUTED_VALUE"""),45124.6666666667)</f>
        <v>45124.6666666667</v>
      </c>
      <c r="B638" s="2" t="n">
        <f aca="false">IFERROR(__xludf.dummyfunction("""COMPUTED_VALUE"""),125.94)</f>
        <v>125.94</v>
      </c>
      <c r="C638" s="2" t="n">
        <f aca="false">IFERROR(__xludf.dummyfunction("""COMPUTED_VALUE"""),127.1)</f>
        <v>127.1</v>
      </c>
      <c r="D638" s="2" t="n">
        <f aca="false">IFERROR(__xludf.dummyfunction("""COMPUTED_VALUE"""),124.2)</f>
        <v>124.2</v>
      </c>
      <c r="E638" s="2" t="n">
        <f aca="false">IFERROR(__xludf.dummyfunction("""COMPUTED_VALUE"""),124.65)</f>
        <v>124.65</v>
      </c>
      <c r="F638" s="2" t="n">
        <f aca="false">IFERROR(__xludf.dummyfunction("""COMPUTED_VALUE"""),25716215)</f>
        <v>25716215</v>
      </c>
    </row>
    <row r="639" customFormat="false" ht="15.75" hidden="false" customHeight="false" outlineLevel="0" collapsed="false">
      <c r="A639" s="3" t="n">
        <f aca="false">IFERROR(__xludf.dummyfunction("""COMPUTED_VALUE"""),45125.6666666667)</f>
        <v>45125.6666666667</v>
      </c>
      <c r="B639" s="2" t="n">
        <f aca="false">IFERROR(__xludf.dummyfunction("""COMPUTED_VALUE"""),124.6)</f>
        <v>124.6</v>
      </c>
      <c r="C639" s="2" t="n">
        <f aca="false">IFERROR(__xludf.dummyfunction("""COMPUTED_VALUE"""),124.68)</f>
        <v>124.68</v>
      </c>
      <c r="D639" s="2" t="n">
        <f aca="false">IFERROR(__xludf.dummyfunction("""COMPUTED_VALUE"""),122.96)</f>
        <v>122.96</v>
      </c>
      <c r="E639" s="2" t="n">
        <f aca="false">IFERROR(__xludf.dummyfunction("""COMPUTED_VALUE"""),123.76)</f>
        <v>123.76</v>
      </c>
      <c r="F639" s="2" t="n">
        <f aca="false">IFERROR(__xludf.dummyfunction("""COMPUTED_VALUE"""),26226447)</f>
        <v>26226447</v>
      </c>
    </row>
    <row r="640" customFormat="false" ht="15.75" hidden="false" customHeight="false" outlineLevel="0" collapsed="false">
      <c r="A640" s="3" t="n">
        <f aca="false">IFERROR(__xludf.dummyfunction("""COMPUTED_VALUE"""),45126.6666666667)</f>
        <v>45126.6666666667</v>
      </c>
      <c r="B640" s="2" t="n">
        <f aca="false">IFERROR(__xludf.dummyfunction("""COMPUTED_VALUE"""),124.6)</f>
        <v>124.6</v>
      </c>
      <c r="C640" s="2" t="n">
        <f aca="false">IFERROR(__xludf.dummyfunction("""COMPUTED_VALUE"""),125.18)</f>
        <v>125.18</v>
      </c>
      <c r="D640" s="2" t="n">
        <f aca="false">IFERROR(__xludf.dummyfunction("""COMPUTED_VALUE"""),121.8)</f>
        <v>121.8</v>
      </c>
      <c r="E640" s="2" t="n">
        <f aca="false">IFERROR(__xludf.dummyfunction("""COMPUTED_VALUE"""),122.03)</f>
        <v>122.03</v>
      </c>
      <c r="F640" s="2" t="n">
        <f aca="false">IFERROR(__xludf.dummyfunction("""COMPUTED_VALUE"""),37224033)</f>
        <v>37224033</v>
      </c>
    </row>
    <row r="641" customFormat="false" ht="15.75" hidden="false" customHeight="false" outlineLevel="0" collapsed="false">
      <c r="A641" s="3" t="n">
        <f aca="false">IFERROR(__xludf.dummyfunction("""COMPUTED_VALUE"""),45127.6666666667)</f>
        <v>45127.6666666667</v>
      </c>
      <c r="B641" s="2" t="n">
        <f aca="false">IFERROR(__xludf.dummyfunction("""COMPUTED_VALUE"""),121.42)</f>
        <v>121.42</v>
      </c>
      <c r="C641" s="2" t="n">
        <f aca="false">IFERROR(__xludf.dummyfunction("""COMPUTED_VALUE"""),124.09)</f>
        <v>124.09</v>
      </c>
      <c r="D641" s="2" t="n">
        <f aca="false">IFERROR(__xludf.dummyfunction("""COMPUTED_VALUE"""),118.22)</f>
        <v>118.22</v>
      </c>
      <c r="E641" s="2" t="n">
        <f aca="false">IFERROR(__xludf.dummyfunction("""COMPUTED_VALUE"""),119.2)</f>
        <v>119.2</v>
      </c>
      <c r="F641" s="2" t="n">
        <f aca="false">IFERROR(__xludf.dummyfunction("""COMPUTED_VALUE"""),37906763)</f>
        <v>37906763</v>
      </c>
    </row>
    <row r="642" customFormat="false" ht="15.75" hidden="false" customHeight="false" outlineLevel="0" collapsed="false">
      <c r="A642" s="3" t="n">
        <f aca="false">IFERROR(__xludf.dummyfunction("""COMPUTED_VALUE"""),45128.6666666667)</f>
        <v>45128.6666666667</v>
      </c>
      <c r="B642" s="2" t="n">
        <f aca="false">IFERROR(__xludf.dummyfunction("""COMPUTED_VALUE"""),120.62)</f>
        <v>120.62</v>
      </c>
      <c r="C642" s="2" t="n">
        <f aca="false">IFERROR(__xludf.dummyfunction("""COMPUTED_VALUE"""),120.99)</f>
        <v>120.99</v>
      </c>
      <c r="D642" s="2" t="n">
        <f aca="false">IFERROR(__xludf.dummyfunction("""COMPUTED_VALUE"""),118.73)</f>
        <v>118.73</v>
      </c>
      <c r="E642" s="2" t="n">
        <f aca="false">IFERROR(__xludf.dummyfunction("""COMPUTED_VALUE"""),120.02)</f>
        <v>120.02</v>
      </c>
      <c r="F642" s="2" t="n">
        <f aca="false">IFERROR(__xludf.dummyfunction("""COMPUTED_VALUE"""),71606474)</f>
        <v>71606474</v>
      </c>
    </row>
    <row r="643" customFormat="false" ht="15.75" hidden="false" customHeight="false" outlineLevel="0" collapsed="false">
      <c r="A643" s="3" t="n">
        <f aca="false">IFERROR(__xludf.dummyfunction("""COMPUTED_VALUE"""),45131.6666666667)</f>
        <v>45131.6666666667</v>
      </c>
      <c r="B643" s="2" t="n">
        <f aca="false">IFERROR(__xludf.dummyfunction("""COMPUTED_VALUE"""),121.66)</f>
        <v>121.66</v>
      </c>
      <c r="C643" s="2" t="n">
        <f aca="false">IFERROR(__xludf.dummyfunction("""COMPUTED_VALUE"""),123)</f>
        <v>123</v>
      </c>
      <c r="D643" s="2" t="n">
        <f aca="false">IFERROR(__xludf.dummyfunction("""COMPUTED_VALUE"""),120.98)</f>
        <v>120.98</v>
      </c>
      <c r="E643" s="2" t="n">
        <f aca="false">IFERROR(__xludf.dummyfunction("""COMPUTED_VALUE"""),121.53)</f>
        <v>121.53</v>
      </c>
      <c r="F643" s="2" t="n">
        <f aca="false">IFERROR(__xludf.dummyfunction("""COMPUTED_VALUE"""),29723667)</f>
        <v>29723667</v>
      </c>
    </row>
    <row r="644" customFormat="false" ht="15.75" hidden="false" customHeight="false" outlineLevel="0" collapsed="false">
      <c r="A644" s="3" t="n">
        <f aca="false">IFERROR(__xludf.dummyfunction("""COMPUTED_VALUE"""),45132.6666666667)</f>
        <v>45132.6666666667</v>
      </c>
      <c r="B644" s="2" t="n">
        <f aca="false">IFERROR(__xludf.dummyfunction("""COMPUTED_VALUE"""),121.36)</f>
        <v>121.36</v>
      </c>
      <c r="C644" s="2" t="n">
        <f aca="false">IFERROR(__xludf.dummyfunction("""COMPUTED_VALUE"""),123.15)</f>
        <v>123.15</v>
      </c>
      <c r="D644" s="2" t="n">
        <f aca="false">IFERROR(__xludf.dummyfunction("""COMPUTED_VALUE"""),121.02)</f>
        <v>121.02</v>
      </c>
      <c r="E644" s="2" t="n">
        <f aca="false">IFERROR(__xludf.dummyfunction("""COMPUTED_VALUE"""),122.21)</f>
        <v>122.21</v>
      </c>
      <c r="F644" s="2" t="n">
        <f aca="false">IFERROR(__xludf.dummyfunction("""COMPUTED_VALUE"""),52509551)</f>
        <v>52509551</v>
      </c>
    </row>
    <row r="645" customFormat="false" ht="15.75" hidden="false" customHeight="false" outlineLevel="0" collapsed="false">
      <c r="A645" s="3" t="n">
        <f aca="false">IFERROR(__xludf.dummyfunction("""COMPUTED_VALUE"""),45133.6666666667)</f>
        <v>45133.6666666667</v>
      </c>
      <c r="B645" s="2" t="n">
        <f aca="false">IFERROR(__xludf.dummyfunction("""COMPUTED_VALUE"""),130.07)</f>
        <v>130.07</v>
      </c>
      <c r="C645" s="2" t="n">
        <f aca="false">IFERROR(__xludf.dummyfunction("""COMPUTED_VALUE"""),130.98)</f>
        <v>130.98</v>
      </c>
      <c r="D645" s="2" t="n">
        <f aca="false">IFERROR(__xludf.dummyfunction("""COMPUTED_VALUE"""),128.32)</f>
        <v>128.32</v>
      </c>
      <c r="E645" s="2" t="n">
        <f aca="false">IFERROR(__xludf.dummyfunction("""COMPUTED_VALUE"""),129.27)</f>
        <v>129.27</v>
      </c>
      <c r="F645" s="2" t="n">
        <f aca="false">IFERROR(__xludf.dummyfunction("""COMPUTED_VALUE"""),61682093)</f>
        <v>61682093</v>
      </c>
    </row>
    <row r="646" customFormat="false" ht="15.75" hidden="false" customHeight="false" outlineLevel="0" collapsed="false">
      <c r="A646" s="3" t="n">
        <f aca="false">IFERROR(__xludf.dummyfunction("""COMPUTED_VALUE"""),45134.6666666667)</f>
        <v>45134.6666666667</v>
      </c>
      <c r="B646" s="2" t="n">
        <f aca="false">IFERROR(__xludf.dummyfunction("""COMPUTED_VALUE"""),131.67)</f>
        <v>131.67</v>
      </c>
      <c r="C646" s="2" t="n">
        <f aca="false">IFERROR(__xludf.dummyfunction("""COMPUTED_VALUE"""),133.24)</f>
        <v>133.24</v>
      </c>
      <c r="D646" s="2" t="n">
        <f aca="false">IFERROR(__xludf.dummyfunction("""COMPUTED_VALUE"""),128.79)</f>
        <v>128.79</v>
      </c>
      <c r="E646" s="2" t="n">
        <f aca="false">IFERROR(__xludf.dummyfunction("""COMPUTED_VALUE"""),129.4)</f>
        <v>129.4</v>
      </c>
      <c r="F646" s="2" t="n">
        <f aca="false">IFERROR(__xludf.dummyfunction("""COMPUTED_VALUE"""),44952074)</f>
        <v>44952074</v>
      </c>
    </row>
    <row r="647" customFormat="false" ht="15.75" hidden="false" customHeight="false" outlineLevel="0" collapsed="false">
      <c r="A647" s="3" t="n">
        <f aca="false">IFERROR(__xludf.dummyfunction("""COMPUTED_VALUE"""),45135.6666666667)</f>
        <v>45135.6666666667</v>
      </c>
      <c r="B647" s="2" t="n">
        <f aca="false">IFERROR(__xludf.dummyfunction("""COMPUTED_VALUE"""),130.78)</f>
        <v>130.78</v>
      </c>
      <c r="C647" s="2" t="n">
        <f aca="false">IFERROR(__xludf.dummyfunction("""COMPUTED_VALUE"""),133.74)</f>
        <v>133.74</v>
      </c>
      <c r="D647" s="2" t="n">
        <f aca="false">IFERROR(__xludf.dummyfunction("""COMPUTED_VALUE"""),130.57)</f>
        <v>130.57</v>
      </c>
      <c r="E647" s="2" t="n">
        <f aca="false">IFERROR(__xludf.dummyfunction("""COMPUTED_VALUE"""),132.58)</f>
        <v>132.58</v>
      </c>
      <c r="F647" s="2" t="n">
        <f aca="false">IFERROR(__xludf.dummyfunction("""COMPUTED_VALUE"""),36591158)</f>
        <v>36591158</v>
      </c>
    </row>
    <row r="648" customFormat="false" ht="15.75" hidden="false" customHeight="false" outlineLevel="0" collapsed="false">
      <c r="A648" s="3" t="n">
        <f aca="false">IFERROR(__xludf.dummyfunction("""COMPUTED_VALUE"""),45138.6666666667)</f>
        <v>45138.6666666667</v>
      </c>
      <c r="B648" s="2" t="n">
        <f aca="false">IFERROR(__xludf.dummyfunction("""COMPUTED_VALUE"""),132.73)</f>
        <v>132.73</v>
      </c>
      <c r="C648" s="2" t="n">
        <f aca="false">IFERROR(__xludf.dummyfunction("""COMPUTED_VALUE"""),133.53)</f>
        <v>133.53</v>
      </c>
      <c r="D648" s="2" t="n">
        <f aca="false">IFERROR(__xludf.dummyfunction("""COMPUTED_VALUE"""),131.78)</f>
        <v>131.78</v>
      </c>
      <c r="E648" s="2" t="n">
        <f aca="false">IFERROR(__xludf.dummyfunction("""COMPUTED_VALUE"""),132.72)</f>
        <v>132.72</v>
      </c>
      <c r="F648" s="2" t="n">
        <f aca="false">IFERROR(__xludf.dummyfunction("""COMPUTED_VALUE"""),28055531)</f>
        <v>28055531</v>
      </c>
    </row>
    <row r="649" customFormat="false" ht="15.75" hidden="false" customHeight="false" outlineLevel="0" collapsed="false">
      <c r="A649" s="3" t="n">
        <f aca="false">IFERROR(__xludf.dummyfunction("""COMPUTED_VALUE"""),45139.6666666667)</f>
        <v>45139.6666666667</v>
      </c>
      <c r="B649" s="2" t="n">
        <f aca="false">IFERROR(__xludf.dummyfunction("""COMPUTED_VALUE"""),130.78)</f>
        <v>130.78</v>
      </c>
      <c r="C649" s="2" t="n">
        <f aca="false">IFERROR(__xludf.dummyfunction("""COMPUTED_VALUE"""),132.63)</f>
        <v>132.63</v>
      </c>
      <c r="D649" s="2" t="n">
        <f aca="false">IFERROR(__xludf.dummyfunction("""COMPUTED_VALUE"""),130.68)</f>
        <v>130.68</v>
      </c>
      <c r="E649" s="2" t="n">
        <f aca="false">IFERROR(__xludf.dummyfunction("""COMPUTED_VALUE"""),131.55)</f>
        <v>131.55</v>
      </c>
      <c r="F649" s="2" t="n">
        <f aca="false">IFERROR(__xludf.dummyfunction("""COMPUTED_VALUE"""),23276440)</f>
        <v>23276440</v>
      </c>
    </row>
    <row r="650" customFormat="false" ht="15.75" hidden="false" customHeight="false" outlineLevel="0" collapsed="false">
      <c r="A650" s="3" t="n">
        <f aca="false">IFERROR(__xludf.dummyfunction("""COMPUTED_VALUE"""),45140.6666666667)</f>
        <v>45140.6666666667</v>
      </c>
      <c r="B650" s="2" t="n">
        <f aca="false">IFERROR(__xludf.dummyfunction("""COMPUTED_VALUE"""),129.45)</f>
        <v>129.45</v>
      </c>
      <c r="C650" s="2" t="n">
        <f aca="false">IFERROR(__xludf.dummyfunction("""COMPUTED_VALUE"""),130.09)</f>
        <v>130.09</v>
      </c>
      <c r="D650" s="2" t="n">
        <f aca="false">IFERROR(__xludf.dummyfunction("""COMPUTED_VALUE"""),127.56)</f>
        <v>127.56</v>
      </c>
      <c r="E650" s="2" t="n">
        <f aca="false">IFERROR(__xludf.dummyfunction("""COMPUTED_VALUE"""),128.38)</f>
        <v>128.38</v>
      </c>
      <c r="F650" s="2" t="n">
        <f aca="false">IFERROR(__xludf.dummyfunction("""COMPUTED_VALUE"""),26273258)</f>
        <v>26273258</v>
      </c>
    </row>
    <row r="651" customFormat="false" ht="15.75" hidden="false" customHeight="false" outlineLevel="0" collapsed="false">
      <c r="A651" s="3" t="n">
        <f aca="false">IFERROR(__xludf.dummyfunction("""COMPUTED_VALUE"""),45141.6666666667)</f>
        <v>45141.6666666667</v>
      </c>
      <c r="B651" s="2" t="n">
        <f aca="false">IFERROR(__xludf.dummyfunction("""COMPUTED_VALUE"""),127.97)</f>
        <v>127.97</v>
      </c>
      <c r="C651" s="2" t="n">
        <f aca="false">IFERROR(__xludf.dummyfunction("""COMPUTED_VALUE"""),129.39)</f>
        <v>129.39</v>
      </c>
      <c r="D651" s="2" t="n">
        <f aca="false">IFERROR(__xludf.dummyfunction("""COMPUTED_VALUE"""),127.42)</f>
        <v>127.42</v>
      </c>
      <c r="E651" s="2" t="n">
        <f aca="false">IFERROR(__xludf.dummyfunction("""COMPUTED_VALUE"""),128.45)</f>
        <v>128.45</v>
      </c>
      <c r="F651" s="2" t="n">
        <f aca="false">IFERROR(__xludf.dummyfunction("""COMPUTED_VALUE"""),20159528)</f>
        <v>20159528</v>
      </c>
    </row>
    <row r="652" customFormat="false" ht="15.75" hidden="false" customHeight="false" outlineLevel="0" collapsed="false">
      <c r="A652" s="3" t="n">
        <f aca="false">IFERROR(__xludf.dummyfunction("""COMPUTED_VALUE"""),45142.6666666667)</f>
        <v>45142.6666666667</v>
      </c>
      <c r="B652" s="2" t="n">
        <f aca="false">IFERROR(__xludf.dummyfunction("""COMPUTED_VALUE"""),129.28)</f>
        <v>129.28</v>
      </c>
      <c r="C652" s="2" t="n">
        <f aca="false">IFERROR(__xludf.dummyfunction("""COMPUTED_VALUE"""),131.51)</f>
        <v>131.51</v>
      </c>
      <c r="D652" s="2" t="n">
        <f aca="false">IFERROR(__xludf.dummyfunction("""COMPUTED_VALUE"""),127.91)</f>
        <v>127.91</v>
      </c>
      <c r="E652" s="2" t="n">
        <f aca="false">IFERROR(__xludf.dummyfunction("""COMPUTED_VALUE"""),128.11)</f>
        <v>128.11</v>
      </c>
      <c r="F652" s="2" t="n">
        <f aca="false">IFERROR(__xludf.dummyfunction("""COMPUTED_VALUE"""),26147158)</f>
        <v>26147158</v>
      </c>
    </row>
    <row r="653" customFormat="false" ht="15.75" hidden="false" customHeight="false" outlineLevel="0" collapsed="false">
      <c r="A653" s="3" t="n">
        <f aca="false">IFERROR(__xludf.dummyfunction("""COMPUTED_VALUE"""),45145.6666666667)</f>
        <v>45145.6666666667</v>
      </c>
      <c r="B653" s="2" t="n">
        <f aca="false">IFERROR(__xludf.dummyfunction("""COMPUTED_VALUE"""),129.16)</f>
        <v>129.16</v>
      </c>
      <c r="C653" s="2" t="n">
        <f aca="false">IFERROR(__xludf.dummyfunction("""COMPUTED_VALUE"""),131.61)</f>
        <v>131.61</v>
      </c>
      <c r="D653" s="2" t="n">
        <f aca="false">IFERROR(__xludf.dummyfunction("""COMPUTED_VALUE"""),129.02)</f>
        <v>129.02</v>
      </c>
      <c r="E653" s="2" t="n">
        <f aca="false">IFERROR(__xludf.dummyfunction("""COMPUTED_VALUE"""),131.53)</f>
        <v>131.53</v>
      </c>
      <c r="F653" s="2" t="n">
        <f aca="false">IFERROR(__xludf.dummyfunction("""COMPUTED_VALUE"""),22746290)</f>
        <v>22746290</v>
      </c>
    </row>
    <row r="654" customFormat="false" ht="15.75" hidden="false" customHeight="false" outlineLevel="0" collapsed="false">
      <c r="A654" s="3" t="n">
        <f aca="false">IFERROR(__xludf.dummyfunction("""COMPUTED_VALUE"""),45146.6666666667)</f>
        <v>45146.6666666667</v>
      </c>
      <c r="B654" s="2" t="n">
        <f aca="false">IFERROR(__xludf.dummyfunction("""COMPUTED_VALUE"""),130.62)</f>
        <v>130.62</v>
      </c>
      <c r="C654" s="2" t="n">
        <f aca="false">IFERROR(__xludf.dummyfunction("""COMPUTED_VALUE"""),131.51)</f>
        <v>131.51</v>
      </c>
      <c r="D654" s="2" t="n">
        <f aca="false">IFERROR(__xludf.dummyfunction("""COMPUTED_VALUE"""),129.54)</f>
        <v>129.54</v>
      </c>
      <c r="E654" s="2" t="n">
        <f aca="false">IFERROR(__xludf.dummyfunction("""COMPUTED_VALUE"""),131.4)</f>
        <v>131.4</v>
      </c>
      <c r="F654" s="2" t="n">
        <f aca="false">IFERROR(__xludf.dummyfunction("""COMPUTED_VALUE"""),23535181)</f>
        <v>23535181</v>
      </c>
    </row>
    <row r="655" customFormat="false" ht="15.75" hidden="false" customHeight="false" outlineLevel="0" collapsed="false">
      <c r="A655" s="3" t="n">
        <f aca="false">IFERROR(__xludf.dummyfunction("""COMPUTED_VALUE"""),45147.6666666667)</f>
        <v>45147.6666666667</v>
      </c>
      <c r="B655" s="2" t="n">
        <f aca="false">IFERROR(__xludf.dummyfunction("""COMPUTED_VALUE"""),131.66)</f>
        <v>131.66</v>
      </c>
      <c r="C655" s="2" t="n">
        <f aca="false">IFERROR(__xludf.dummyfunction("""COMPUTED_VALUE"""),132.04)</f>
        <v>132.04</v>
      </c>
      <c r="D655" s="2" t="n">
        <f aca="false">IFERROR(__xludf.dummyfunction("""COMPUTED_VALUE"""),129)</f>
        <v>129</v>
      </c>
      <c r="E655" s="2" t="n">
        <f aca="false">IFERROR(__xludf.dummyfunction("""COMPUTED_VALUE"""),129.66)</f>
        <v>129.66</v>
      </c>
      <c r="F655" s="2" t="n">
        <f aca="false">IFERROR(__xludf.dummyfunction("""COMPUTED_VALUE"""),24912918)</f>
        <v>24912918</v>
      </c>
    </row>
    <row r="656" customFormat="false" ht="15.75" hidden="false" customHeight="false" outlineLevel="0" collapsed="false">
      <c r="A656" s="3" t="n">
        <f aca="false">IFERROR(__xludf.dummyfunction("""COMPUTED_VALUE"""),45148.6666666667)</f>
        <v>45148.6666666667</v>
      </c>
      <c r="B656" s="2" t="n">
        <f aca="false">IFERROR(__xludf.dummyfunction("""COMPUTED_VALUE"""),131.32)</f>
        <v>131.32</v>
      </c>
      <c r="C656" s="2" t="n">
        <f aca="false">IFERROR(__xludf.dummyfunction("""COMPUTED_VALUE"""),132.05)</f>
        <v>132.05</v>
      </c>
      <c r="D656" s="2" t="n">
        <f aca="false">IFERROR(__xludf.dummyfunction("""COMPUTED_VALUE"""),129.45)</f>
        <v>129.45</v>
      </c>
      <c r="E656" s="2" t="n">
        <f aca="false">IFERROR(__xludf.dummyfunction("""COMPUTED_VALUE"""),129.69)</f>
        <v>129.69</v>
      </c>
      <c r="F656" s="2" t="n">
        <f aca="false">IFERROR(__xludf.dummyfunction("""COMPUTED_VALUE"""),20857754)</f>
        <v>20857754</v>
      </c>
    </row>
    <row r="657" customFormat="false" ht="15.75" hidden="false" customHeight="false" outlineLevel="0" collapsed="false">
      <c r="A657" s="3" t="n">
        <f aca="false">IFERROR(__xludf.dummyfunction("""COMPUTED_VALUE"""),45149.6666666667)</f>
        <v>45149.6666666667</v>
      </c>
      <c r="B657" s="2" t="n">
        <f aca="false">IFERROR(__xludf.dummyfunction("""COMPUTED_VALUE"""),128.66)</f>
        <v>128.66</v>
      </c>
      <c r="C657" s="2" t="n">
        <f aca="false">IFERROR(__xludf.dummyfunction("""COMPUTED_VALUE"""),129.93)</f>
        <v>129.93</v>
      </c>
      <c r="D657" s="2" t="n">
        <f aca="false">IFERROR(__xludf.dummyfunction("""COMPUTED_VALUE"""),128.17)</f>
        <v>128.17</v>
      </c>
      <c r="E657" s="2" t="n">
        <f aca="false">IFERROR(__xludf.dummyfunction("""COMPUTED_VALUE"""),129.56)</f>
        <v>129.56</v>
      </c>
      <c r="F657" s="2" t="n">
        <f aca="false">IFERROR(__xludf.dummyfunction("""COMPUTED_VALUE"""),19591080)</f>
        <v>19591080</v>
      </c>
    </row>
    <row r="658" customFormat="false" ht="15.75" hidden="false" customHeight="false" outlineLevel="0" collapsed="false">
      <c r="A658" s="3" t="n">
        <f aca="false">IFERROR(__xludf.dummyfunction("""COMPUTED_VALUE"""),45152.6666666667)</f>
        <v>45152.6666666667</v>
      </c>
      <c r="B658" s="2" t="n">
        <f aca="false">IFERROR(__xludf.dummyfunction("""COMPUTED_VALUE"""),129.39)</f>
        <v>129.39</v>
      </c>
      <c r="C658" s="2" t="n">
        <f aca="false">IFERROR(__xludf.dummyfunction("""COMPUTED_VALUE"""),131.37)</f>
        <v>131.37</v>
      </c>
      <c r="D658" s="2" t="n">
        <f aca="false">IFERROR(__xludf.dummyfunction("""COMPUTED_VALUE"""),128.96)</f>
        <v>128.96</v>
      </c>
      <c r="E658" s="2" t="n">
        <f aca="false">IFERROR(__xludf.dummyfunction("""COMPUTED_VALUE"""),131.33)</f>
        <v>131.33</v>
      </c>
      <c r="F658" s="2" t="n">
        <f aca="false">IFERROR(__xludf.dummyfunction("""COMPUTED_VALUE"""),24695608)</f>
        <v>24695608</v>
      </c>
    </row>
    <row r="659" customFormat="false" ht="15.75" hidden="false" customHeight="false" outlineLevel="0" collapsed="false">
      <c r="A659" s="3" t="n">
        <f aca="false">IFERROR(__xludf.dummyfunction("""COMPUTED_VALUE"""),45153.6666666667)</f>
        <v>45153.6666666667</v>
      </c>
      <c r="B659" s="2" t="n">
        <f aca="false">IFERROR(__xludf.dummyfunction("""COMPUTED_VALUE"""),131.1)</f>
        <v>131.1</v>
      </c>
      <c r="C659" s="2" t="n">
        <f aca="false">IFERROR(__xludf.dummyfunction("""COMPUTED_VALUE"""),131.42)</f>
        <v>131.42</v>
      </c>
      <c r="D659" s="2" t="n">
        <f aca="false">IFERROR(__xludf.dummyfunction("""COMPUTED_VALUE"""),129.28)</f>
        <v>129.28</v>
      </c>
      <c r="E659" s="2" t="n">
        <f aca="false">IFERROR(__xludf.dummyfunction("""COMPUTED_VALUE"""),129.78)</f>
        <v>129.78</v>
      </c>
      <c r="F659" s="2" t="n">
        <f aca="false">IFERROR(__xludf.dummyfunction("""COMPUTED_VALUE"""),19770732)</f>
        <v>19770732</v>
      </c>
    </row>
    <row r="660" customFormat="false" ht="15.75" hidden="false" customHeight="false" outlineLevel="0" collapsed="false">
      <c r="A660" s="3" t="n">
        <f aca="false">IFERROR(__xludf.dummyfunction("""COMPUTED_VALUE"""),45154.6666666667)</f>
        <v>45154.6666666667</v>
      </c>
      <c r="B660" s="2" t="n">
        <f aca="false">IFERROR(__xludf.dummyfunction("""COMPUTED_VALUE"""),128.7)</f>
        <v>128.7</v>
      </c>
      <c r="C660" s="2" t="n">
        <f aca="false">IFERROR(__xludf.dummyfunction("""COMPUTED_VALUE"""),130.28)</f>
        <v>130.28</v>
      </c>
      <c r="D660" s="2" t="n">
        <f aca="false">IFERROR(__xludf.dummyfunction("""COMPUTED_VALUE"""),127.87)</f>
        <v>127.87</v>
      </c>
      <c r="E660" s="2" t="n">
        <f aca="false">IFERROR(__xludf.dummyfunction("""COMPUTED_VALUE"""),128.7)</f>
        <v>128.7</v>
      </c>
      <c r="F660" s="2" t="n">
        <f aca="false">IFERROR(__xludf.dummyfunction("""COMPUTED_VALUE"""),25216068)</f>
        <v>25216068</v>
      </c>
    </row>
    <row r="661" customFormat="false" ht="15.75" hidden="false" customHeight="false" outlineLevel="0" collapsed="false">
      <c r="A661" s="3" t="n">
        <f aca="false">IFERROR(__xludf.dummyfunction("""COMPUTED_VALUE"""),45155.6666666667)</f>
        <v>45155.6666666667</v>
      </c>
      <c r="B661" s="2" t="n">
        <f aca="false">IFERROR(__xludf.dummyfunction("""COMPUTED_VALUE"""),129.8)</f>
        <v>129.8</v>
      </c>
      <c r="C661" s="2" t="n">
        <f aca="false">IFERROR(__xludf.dummyfunction("""COMPUTED_VALUE"""),131.99)</f>
        <v>131.99</v>
      </c>
      <c r="D661" s="2" t="n">
        <f aca="false">IFERROR(__xludf.dummyfunction("""COMPUTED_VALUE"""),129.29)</f>
        <v>129.29</v>
      </c>
      <c r="E661" s="2" t="n">
        <f aca="false">IFERROR(__xludf.dummyfunction("""COMPUTED_VALUE"""),129.92)</f>
        <v>129.92</v>
      </c>
      <c r="F661" s="2" t="n">
        <f aca="false">IFERROR(__xludf.dummyfunction("""COMPUTED_VALUE"""),33446280)</f>
        <v>33446280</v>
      </c>
    </row>
    <row r="662" customFormat="false" ht="15.75" hidden="false" customHeight="false" outlineLevel="0" collapsed="false">
      <c r="A662" s="3" t="n">
        <f aca="false">IFERROR(__xludf.dummyfunction("""COMPUTED_VALUE"""),45156.6666666667)</f>
        <v>45156.6666666667</v>
      </c>
      <c r="B662" s="2" t="n">
        <f aca="false">IFERROR(__xludf.dummyfunction("""COMPUTED_VALUE"""),128.51)</f>
        <v>128.51</v>
      </c>
      <c r="C662" s="2" t="n">
        <f aca="false">IFERROR(__xludf.dummyfunction("""COMPUTED_VALUE"""),129.25)</f>
        <v>129.25</v>
      </c>
      <c r="D662" s="2" t="n">
        <f aca="false">IFERROR(__xludf.dummyfunction("""COMPUTED_VALUE"""),126.38)</f>
        <v>126.38</v>
      </c>
      <c r="E662" s="2" t="n">
        <f aca="false">IFERROR(__xludf.dummyfunction("""COMPUTED_VALUE"""),127.46)</f>
        <v>127.46</v>
      </c>
      <c r="F662" s="2" t="n">
        <f aca="false">IFERROR(__xludf.dummyfunction("""COMPUTED_VALUE"""),30504769)</f>
        <v>30504769</v>
      </c>
    </row>
    <row r="663" customFormat="false" ht="15.75" hidden="false" customHeight="false" outlineLevel="0" collapsed="false">
      <c r="A663" s="3" t="n">
        <f aca="false">IFERROR(__xludf.dummyfunction("""COMPUTED_VALUE"""),45159.6666666667)</f>
        <v>45159.6666666667</v>
      </c>
      <c r="B663" s="2" t="n">
        <f aca="false">IFERROR(__xludf.dummyfunction("""COMPUTED_VALUE"""),127.18)</f>
        <v>127.18</v>
      </c>
      <c r="C663" s="2" t="n">
        <f aca="false">IFERROR(__xludf.dummyfunction("""COMPUTED_VALUE"""),128.73)</f>
        <v>128.73</v>
      </c>
      <c r="D663" s="2" t="n">
        <f aca="false">IFERROR(__xludf.dummyfunction("""COMPUTED_VALUE"""),126.56)</f>
        <v>126.56</v>
      </c>
      <c r="E663" s="2" t="n">
        <f aca="false">IFERROR(__xludf.dummyfunction("""COMPUTED_VALUE"""),128.37)</f>
        <v>128.37</v>
      </c>
      <c r="F663" s="2" t="n">
        <f aca="false">IFERROR(__xludf.dummyfunction("""COMPUTED_VALUE"""),25248729)</f>
        <v>25248729</v>
      </c>
    </row>
    <row r="664" customFormat="false" ht="15.75" hidden="false" customHeight="false" outlineLevel="0" collapsed="false">
      <c r="A664" s="3" t="n">
        <f aca="false">IFERROR(__xludf.dummyfunction("""COMPUTED_VALUE"""),45160.6666666667)</f>
        <v>45160.6666666667</v>
      </c>
      <c r="B664" s="2" t="n">
        <f aca="false">IFERROR(__xludf.dummyfunction("""COMPUTED_VALUE"""),128.51)</f>
        <v>128.51</v>
      </c>
      <c r="C664" s="2" t="n">
        <f aca="false">IFERROR(__xludf.dummyfunction("""COMPUTED_VALUE"""),130.28)</f>
        <v>130.28</v>
      </c>
      <c r="D664" s="2" t="n">
        <f aca="false">IFERROR(__xludf.dummyfunction("""COMPUTED_VALUE"""),128.32)</f>
        <v>128.32</v>
      </c>
      <c r="E664" s="2" t="n">
        <f aca="false">IFERROR(__xludf.dummyfunction("""COMPUTED_VALUE"""),129.08)</f>
        <v>129.08</v>
      </c>
      <c r="F664" s="2" t="n">
        <f aca="false">IFERROR(__xludf.dummyfunction("""COMPUTED_VALUE"""),22067520)</f>
        <v>22067520</v>
      </c>
    </row>
    <row r="665" customFormat="false" ht="15.75" hidden="false" customHeight="false" outlineLevel="0" collapsed="false">
      <c r="A665" s="3" t="n">
        <f aca="false">IFERROR(__xludf.dummyfunction("""COMPUTED_VALUE"""),45161.6666666667)</f>
        <v>45161.6666666667</v>
      </c>
      <c r="B665" s="2" t="n">
        <f aca="false">IFERROR(__xludf.dummyfunction("""COMPUTED_VALUE"""),130.18)</f>
        <v>130.18</v>
      </c>
      <c r="C665" s="2" t="n">
        <f aca="false">IFERROR(__xludf.dummyfunction("""COMPUTED_VALUE"""),133.41)</f>
        <v>133.41</v>
      </c>
      <c r="D665" s="2" t="n">
        <f aca="false">IFERROR(__xludf.dummyfunction("""COMPUTED_VALUE"""),129.87)</f>
        <v>129.87</v>
      </c>
      <c r="E665" s="2" t="n">
        <f aca="false">IFERROR(__xludf.dummyfunction("""COMPUTED_VALUE"""),132.37)</f>
        <v>132.37</v>
      </c>
      <c r="F665" s="2" t="n">
        <f aca="false">IFERROR(__xludf.dummyfunction("""COMPUTED_VALUE"""),27819713)</f>
        <v>27819713</v>
      </c>
    </row>
    <row r="666" customFormat="false" ht="15.75" hidden="false" customHeight="false" outlineLevel="0" collapsed="false">
      <c r="A666" s="3" t="n">
        <f aca="false">IFERROR(__xludf.dummyfunction("""COMPUTED_VALUE"""),45162.6666666667)</f>
        <v>45162.6666666667</v>
      </c>
      <c r="B666" s="2" t="n">
        <f aca="false">IFERROR(__xludf.dummyfunction("""COMPUTED_VALUE"""),133.95)</f>
        <v>133.95</v>
      </c>
      <c r="C666" s="2" t="n">
        <f aca="false">IFERROR(__xludf.dummyfunction("""COMPUTED_VALUE"""),134.25)</f>
        <v>134.25</v>
      </c>
      <c r="D666" s="2" t="n">
        <f aca="false">IFERROR(__xludf.dummyfunction("""COMPUTED_VALUE"""),129.57)</f>
        <v>129.57</v>
      </c>
      <c r="E666" s="2" t="n">
        <f aca="false">IFERROR(__xludf.dummyfunction("""COMPUTED_VALUE"""),129.78)</f>
        <v>129.78</v>
      </c>
      <c r="F666" s="2" t="n">
        <f aca="false">IFERROR(__xludf.dummyfunction("""COMPUTED_VALUE"""),28500694)</f>
        <v>28500694</v>
      </c>
    </row>
    <row r="667" customFormat="false" ht="15.75" hidden="false" customHeight="false" outlineLevel="0" collapsed="false">
      <c r="A667" s="3" t="n">
        <f aca="false">IFERROR(__xludf.dummyfunction("""COMPUTED_VALUE"""),45163.6666666667)</f>
        <v>45163.6666666667</v>
      </c>
      <c r="B667" s="2" t="n">
        <f aca="false">IFERROR(__xludf.dummyfunction("""COMPUTED_VALUE"""),129.54)</f>
        <v>129.54</v>
      </c>
      <c r="C667" s="2" t="n">
        <f aca="false">IFERROR(__xludf.dummyfunction("""COMPUTED_VALUE"""),130.76)</f>
        <v>130.76</v>
      </c>
      <c r="D667" s="2" t="n">
        <f aca="false">IFERROR(__xludf.dummyfunction("""COMPUTED_VALUE"""),127.25)</f>
        <v>127.25</v>
      </c>
      <c r="E667" s="2" t="n">
        <f aca="false">IFERROR(__xludf.dummyfunction("""COMPUTED_VALUE"""),129.88)</f>
        <v>129.88</v>
      </c>
      <c r="F667" s="2" t="n">
        <f aca="false">IFERROR(__xludf.dummyfunction("""COMPUTED_VALUE"""),26762891)</f>
        <v>26762891</v>
      </c>
    </row>
    <row r="668" customFormat="false" ht="15.75" hidden="false" customHeight="false" outlineLevel="0" collapsed="false">
      <c r="A668" s="3" t="n">
        <f aca="false">IFERROR(__xludf.dummyfunction("""COMPUTED_VALUE"""),45166.6666666667)</f>
        <v>45166.6666666667</v>
      </c>
      <c r="B668" s="2" t="n">
        <f aca="false">IFERROR(__xludf.dummyfunction("""COMPUTED_VALUE"""),131.31)</f>
        <v>131.31</v>
      </c>
      <c r="C668" s="2" t="n">
        <f aca="false">IFERROR(__xludf.dummyfunction("""COMPUTED_VALUE"""),132.54)</f>
        <v>132.54</v>
      </c>
      <c r="D668" s="2" t="n">
        <f aca="false">IFERROR(__xludf.dummyfunction("""COMPUTED_VALUE"""),130.14)</f>
        <v>130.14</v>
      </c>
      <c r="E668" s="2" t="n">
        <f aca="false">IFERROR(__xludf.dummyfunction("""COMPUTED_VALUE"""),131.01)</f>
        <v>131.01</v>
      </c>
      <c r="F668" s="2" t="n">
        <f aca="false">IFERROR(__xludf.dummyfunction("""COMPUTED_VALUE"""),20543266)</f>
        <v>20543266</v>
      </c>
    </row>
    <row r="669" customFormat="false" ht="15.75" hidden="false" customHeight="false" outlineLevel="0" collapsed="false">
      <c r="A669" s="3" t="n">
        <f aca="false">IFERROR(__xludf.dummyfunction("""COMPUTED_VALUE"""),45167.6666666667)</f>
        <v>45167.6666666667</v>
      </c>
      <c r="B669" s="2" t="n">
        <f aca="false">IFERROR(__xludf.dummyfunction("""COMPUTED_VALUE"""),132.24)</f>
        <v>132.24</v>
      </c>
      <c r="C669" s="2" t="n">
        <f aca="false">IFERROR(__xludf.dummyfunction("""COMPUTED_VALUE"""),136.57)</f>
        <v>136.57</v>
      </c>
      <c r="D669" s="2" t="n">
        <f aca="false">IFERROR(__xludf.dummyfunction("""COMPUTED_VALUE"""),132.24)</f>
        <v>132.24</v>
      </c>
      <c r="E669" s="2" t="n">
        <f aca="false">IFERROR(__xludf.dummyfunction("""COMPUTED_VALUE"""),134.57)</f>
        <v>134.57</v>
      </c>
      <c r="F669" s="2" t="n">
        <f aca="false">IFERROR(__xludf.dummyfunction("""COMPUTED_VALUE"""),43075556)</f>
        <v>43075556</v>
      </c>
    </row>
    <row r="670" customFormat="false" ht="15.75" hidden="false" customHeight="false" outlineLevel="0" collapsed="false">
      <c r="A670" s="3" t="n">
        <f aca="false">IFERROR(__xludf.dummyfunction("""COMPUTED_VALUE"""),45168.6666666667)</f>
        <v>45168.6666666667</v>
      </c>
      <c r="B670" s="2" t="n">
        <f aca="false">IFERROR(__xludf.dummyfunction("""COMPUTED_VALUE"""),134.78)</f>
        <v>134.78</v>
      </c>
      <c r="C670" s="2" t="n">
        <f aca="false">IFERROR(__xludf.dummyfunction("""COMPUTED_VALUE"""),136.28)</f>
        <v>136.28</v>
      </c>
      <c r="D670" s="2" t="n">
        <f aca="false">IFERROR(__xludf.dummyfunction("""COMPUTED_VALUE"""),134.07)</f>
        <v>134.07</v>
      </c>
      <c r="E670" s="2" t="n">
        <f aca="false">IFERROR(__xludf.dummyfunction("""COMPUTED_VALUE"""),135.88)</f>
        <v>135.88</v>
      </c>
      <c r="F670" s="2" t="n">
        <f aca="false">IFERROR(__xludf.dummyfunction("""COMPUTED_VALUE"""),28315769)</f>
        <v>28315769</v>
      </c>
    </row>
    <row r="671" customFormat="false" ht="15.75" hidden="false" customHeight="false" outlineLevel="0" collapsed="false">
      <c r="A671" s="3" t="n">
        <f aca="false">IFERROR(__xludf.dummyfunction("""COMPUTED_VALUE"""),45169.6666666667)</f>
        <v>45169.6666666667</v>
      </c>
      <c r="B671" s="2" t="n">
        <f aca="false">IFERROR(__xludf.dummyfunction("""COMPUTED_VALUE"""),136.01)</f>
        <v>136.01</v>
      </c>
      <c r="C671" s="2" t="n">
        <f aca="false">IFERROR(__xludf.dummyfunction("""COMPUTED_VALUE"""),138)</f>
        <v>138</v>
      </c>
      <c r="D671" s="2" t="n">
        <f aca="false">IFERROR(__xludf.dummyfunction("""COMPUTED_VALUE"""),135.79)</f>
        <v>135.79</v>
      </c>
      <c r="E671" s="2" t="n">
        <f aca="false">IFERROR(__xludf.dummyfunction("""COMPUTED_VALUE"""),136.17)</f>
        <v>136.17</v>
      </c>
      <c r="F671" s="2" t="n">
        <f aca="false">IFERROR(__xludf.dummyfunction("""COMPUTED_VALUE"""),30053800)</f>
        <v>30053800</v>
      </c>
    </row>
    <row r="672" customFormat="false" ht="15.75" hidden="false" customHeight="false" outlineLevel="0" collapsed="false">
      <c r="A672" s="3" t="n">
        <f aca="false">IFERROR(__xludf.dummyfunction("""COMPUTED_VALUE"""),45170.6666666667)</f>
        <v>45170.6666666667</v>
      </c>
      <c r="B672" s="2" t="n">
        <f aca="false">IFERROR(__xludf.dummyfunction("""COMPUTED_VALUE"""),137.46)</f>
        <v>137.46</v>
      </c>
      <c r="C672" s="2" t="n">
        <f aca="false">IFERROR(__xludf.dummyfunction("""COMPUTED_VALUE"""),137.46)</f>
        <v>137.46</v>
      </c>
      <c r="D672" s="2" t="n">
        <f aca="false">IFERROR(__xludf.dummyfunction("""COMPUTED_VALUE"""),134.85)</f>
        <v>134.85</v>
      </c>
      <c r="E672" s="2" t="n">
        <f aca="false">IFERROR(__xludf.dummyfunction("""COMPUTED_VALUE"""),135.66)</f>
        <v>135.66</v>
      </c>
      <c r="F672" s="2" t="n">
        <f aca="false">IFERROR(__xludf.dummyfunction("""COMPUTED_VALUE"""),21543687)</f>
        <v>21543687</v>
      </c>
    </row>
    <row r="673" customFormat="false" ht="15.75" hidden="false" customHeight="false" outlineLevel="0" collapsed="false">
      <c r="A673" s="3" t="n">
        <f aca="false">IFERROR(__xludf.dummyfunction("""COMPUTED_VALUE"""),45174.6666666667)</f>
        <v>45174.6666666667</v>
      </c>
      <c r="B673" s="2" t="n">
        <f aca="false">IFERROR(__xludf.dummyfunction("""COMPUTED_VALUE"""),135.44)</f>
        <v>135.44</v>
      </c>
      <c r="C673" s="2" t="n">
        <f aca="false">IFERROR(__xludf.dummyfunction("""COMPUTED_VALUE"""),136.42)</f>
        <v>136.42</v>
      </c>
      <c r="D673" s="2" t="n">
        <f aca="false">IFERROR(__xludf.dummyfunction("""COMPUTED_VALUE"""),134.58)</f>
        <v>134.58</v>
      </c>
      <c r="E673" s="2" t="n">
        <f aca="false">IFERROR(__xludf.dummyfunction("""COMPUTED_VALUE"""),135.77)</f>
        <v>135.77</v>
      </c>
      <c r="F673" s="2" t="n">
        <f aca="false">IFERROR(__xludf.dummyfunction("""COMPUTED_VALUE"""),19403112)</f>
        <v>19403112</v>
      </c>
    </row>
    <row r="674" customFormat="false" ht="15.75" hidden="false" customHeight="false" outlineLevel="0" collapsed="false">
      <c r="A674" s="3" t="n">
        <f aca="false">IFERROR(__xludf.dummyfunction("""COMPUTED_VALUE"""),45175.6666666667)</f>
        <v>45175.6666666667</v>
      </c>
      <c r="B674" s="2" t="n">
        <f aca="false">IFERROR(__xludf.dummyfunction("""COMPUTED_VALUE"""),136.02)</f>
        <v>136.02</v>
      </c>
      <c r="C674" s="2" t="n">
        <f aca="false">IFERROR(__xludf.dummyfunction("""COMPUTED_VALUE"""),136.53)</f>
        <v>136.53</v>
      </c>
      <c r="D674" s="2" t="n">
        <f aca="false">IFERROR(__xludf.dummyfunction("""COMPUTED_VALUE"""),133.67)</f>
        <v>133.67</v>
      </c>
      <c r="E674" s="2" t="n">
        <f aca="false">IFERROR(__xludf.dummyfunction("""COMPUTED_VALUE"""),134.46)</f>
        <v>134.46</v>
      </c>
      <c r="F674" s="2" t="n">
        <f aca="false">IFERROR(__xludf.dummyfunction("""COMPUTED_VALUE"""),18684534)</f>
        <v>18684534</v>
      </c>
    </row>
    <row r="675" customFormat="false" ht="15.75" hidden="false" customHeight="false" outlineLevel="0" collapsed="false">
      <c r="A675" s="3" t="n">
        <f aca="false">IFERROR(__xludf.dummyfunction("""COMPUTED_VALUE"""),45176.6666666667)</f>
        <v>45176.6666666667</v>
      </c>
      <c r="B675" s="2" t="n">
        <f aca="false">IFERROR(__xludf.dummyfunction("""COMPUTED_VALUE"""),133.59)</f>
        <v>133.59</v>
      </c>
      <c r="C675" s="2" t="n">
        <f aca="false">IFERROR(__xludf.dummyfunction("""COMPUTED_VALUE"""),135.58)</f>
        <v>135.58</v>
      </c>
      <c r="D675" s="2" t="n">
        <f aca="false">IFERROR(__xludf.dummyfunction("""COMPUTED_VALUE"""),132.95)</f>
        <v>132.95</v>
      </c>
      <c r="E675" s="2" t="n">
        <f aca="false">IFERROR(__xludf.dummyfunction("""COMPUTED_VALUE"""),135.26)</f>
        <v>135.26</v>
      </c>
      <c r="F675" s="2" t="n">
        <f aca="false">IFERROR(__xludf.dummyfunction("""COMPUTED_VALUE"""),18844342)</f>
        <v>18844342</v>
      </c>
    </row>
    <row r="676" customFormat="false" ht="15.75" hidden="false" customHeight="false" outlineLevel="0" collapsed="false">
      <c r="A676" s="3" t="n">
        <f aca="false">IFERROR(__xludf.dummyfunction("""COMPUTED_VALUE"""),45177.6666666667)</f>
        <v>45177.6666666667</v>
      </c>
      <c r="B676" s="2" t="n">
        <f aca="false">IFERROR(__xludf.dummyfunction("""COMPUTED_VALUE"""),134.91)</f>
        <v>134.91</v>
      </c>
      <c r="C676" s="2" t="n">
        <f aca="false">IFERROR(__xludf.dummyfunction("""COMPUTED_VALUE"""),136.66)</f>
        <v>136.66</v>
      </c>
      <c r="D676" s="2" t="n">
        <f aca="false">IFERROR(__xludf.dummyfunction("""COMPUTED_VALUE"""),134.85)</f>
        <v>134.85</v>
      </c>
      <c r="E676" s="2" t="n">
        <f aca="false">IFERROR(__xludf.dummyfunction("""COMPUTED_VALUE"""),136.38)</f>
        <v>136.38</v>
      </c>
      <c r="F676" s="2" t="n">
        <f aca="false">IFERROR(__xludf.dummyfunction("""COMPUTED_VALUE"""),23584188)</f>
        <v>23584188</v>
      </c>
    </row>
    <row r="677" customFormat="false" ht="15.75" hidden="false" customHeight="false" outlineLevel="0" collapsed="false">
      <c r="A677" s="3" t="n">
        <f aca="false">IFERROR(__xludf.dummyfunction("""COMPUTED_VALUE"""),45180.6666666667)</f>
        <v>45180.6666666667</v>
      </c>
      <c r="B677" s="2" t="n">
        <f aca="false">IFERROR(__xludf.dummyfunction("""COMPUTED_VALUE"""),136.54)</f>
        <v>136.54</v>
      </c>
      <c r="C677" s="2" t="n">
        <f aca="false">IFERROR(__xludf.dummyfunction("""COMPUTED_VALUE"""),137.48)</f>
        <v>137.48</v>
      </c>
      <c r="D677" s="2" t="n">
        <f aca="false">IFERROR(__xludf.dummyfunction("""COMPUTED_VALUE"""),135.79)</f>
        <v>135.79</v>
      </c>
      <c r="E677" s="2" t="n">
        <f aca="false">IFERROR(__xludf.dummyfunction("""COMPUTED_VALUE"""),136.92)</f>
        <v>136.92</v>
      </c>
      <c r="F677" s="2" t="n">
        <f aca="false">IFERROR(__xludf.dummyfunction("""COMPUTED_VALUE"""),20763350)</f>
        <v>20763350</v>
      </c>
    </row>
    <row r="678" customFormat="false" ht="15.75" hidden="false" customHeight="false" outlineLevel="0" collapsed="false">
      <c r="A678" s="3" t="n">
        <f aca="false">IFERROR(__xludf.dummyfunction("""COMPUTED_VALUE"""),45181.6666666667)</f>
        <v>45181.6666666667</v>
      </c>
      <c r="B678" s="2" t="n">
        <f aca="false">IFERROR(__xludf.dummyfunction("""COMPUTED_VALUE"""),136.26)</f>
        <v>136.26</v>
      </c>
      <c r="C678" s="2" t="n">
        <f aca="false">IFERROR(__xludf.dummyfunction("""COMPUTED_VALUE"""),136.87)</f>
        <v>136.87</v>
      </c>
      <c r="D678" s="2" t="n">
        <f aca="false">IFERROR(__xludf.dummyfunction("""COMPUTED_VALUE"""),135.19)</f>
        <v>135.19</v>
      </c>
      <c r="E678" s="2" t="n">
        <f aca="false">IFERROR(__xludf.dummyfunction("""COMPUTED_VALUE"""),135.34)</f>
        <v>135.34</v>
      </c>
      <c r="F678" s="2" t="n">
        <f aca="false">IFERROR(__xludf.dummyfunction("""COMPUTED_VALUE"""),18405505)</f>
        <v>18405505</v>
      </c>
    </row>
    <row r="679" customFormat="false" ht="15.75" hidden="false" customHeight="false" outlineLevel="0" collapsed="false">
      <c r="A679" s="3" t="n">
        <f aca="false">IFERROR(__xludf.dummyfunction("""COMPUTED_VALUE"""),45182.6666666667)</f>
        <v>45182.6666666667</v>
      </c>
      <c r="B679" s="2" t="n">
        <f aca="false">IFERROR(__xludf.dummyfunction("""COMPUTED_VALUE"""),135.09)</f>
        <v>135.09</v>
      </c>
      <c r="C679" s="2" t="n">
        <f aca="false">IFERROR(__xludf.dummyfunction("""COMPUTED_VALUE"""),136.9)</f>
        <v>136.9</v>
      </c>
      <c r="D679" s="2" t="n">
        <f aca="false">IFERROR(__xludf.dummyfunction("""COMPUTED_VALUE"""),134.15)</f>
        <v>134.15</v>
      </c>
      <c r="E679" s="2" t="n">
        <f aca="false">IFERROR(__xludf.dummyfunction("""COMPUTED_VALUE"""),136.71)</f>
        <v>136.71</v>
      </c>
      <c r="F679" s="2" t="n">
        <f aca="false">IFERROR(__xludf.dummyfunction("""COMPUTED_VALUE"""),20749496)</f>
        <v>20749496</v>
      </c>
    </row>
    <row r="680" customFormat="false" ht="15.75" hidden="false" customHeight="false" outlineLevel="0" collapsed="false">
      <c r="A680" s="3" t="n">
        <f aca="false">IFERROR(__xludf.dummyfunction("""COMPUTED_VALUE"""),45183.6666666667)</f>
        <v>45183.6666666667</v>
      </c>
      <c r="B680" s="2" t="n">
        <f aca="false">IFERROR(__xludf.dummyfunction("""COMPUTED_VALUE"""),137.6)</f>
        <v>137.6</v>
      </c>
      <c r="C680" s="2" t="n">
        <f aca="false">IFERROR(__xludf.dummyfunction("""COMPUTED_VALUE"""),138.7)</f>
        <v>138.7</v>
      </c>
      <c r="D680" s="2" t="n">
        <f aca="false">IFERROR(__xludf.dummyfunction("""COMPUTED_VALUE"""),136.24)</f>
        <v>136.24</v>
      </c>
      <c r="E680" s="2" t="n">
        <f aca="false">IFERROR(__xludf.dummyfunction("""COMPUTED_VALUE"""),138.1)</f>
        <v>138.1</v>
      </c>
      <c r="F680" s="2" t="n">
        <f aca="false">IFERROR(__xludf.dummyfunction("""COMPUTED_VALUE"""),24750968)</f>
        <v>24750968</v>
      </c>
    </row>
    <row r="681" customFormat="false" ht="15.75" hidden="false" customHeight="false" outlineLevel="0" collapsed="false">
      <c r="A681" s="3" t="n">
        <f aca="false">IFERROR(__xludf.dummyfunction("""COMPUTED_VALUE"""),45184.6666666667)</f>
        <v>45184.6666666667</v>
      </c>
      <c r="B681" s="2" t="n">
        <f aca="false">IFERROR(__xludf.dummyfunction("""COMPUTED_VALUE"""),137.98)</f>
        <v>137.98</v>
      </c>
      <c r="C681" s="2" t="n">
        <f aca="false">IFERROR(__xludf.dummyfunction("""COMPUTED_VALUE"""),138.52)</f>
        <v>138.52</v>
      </c>
      <c r="D681" s="2" t="n">
        <f aca="false">IFERROR(__xludf.dummyfunction("""COMPUTED_VALUE"""),136.48)</f>
        <v>136.48</v>
      </c>
      <c r="E681" s="2" t="n">
        <f aca="false">IFERROR(__xludf.dummyfunction("""COMPUTED_VALUE"""),137.4)</f>
        <v>137.4</v>
      </c>
      <c r="F681" s="2" t="n">
        <f aca="false">IFERROR(__xludf.dummyfunction("""COMPUTED_VALUE"""),38919614)</f>
        <v>38919614</v>
      </c>
    </row>
    <row r="682" customFormat="false" ht="15.75" hidden="false" customHeight="false" outlineLevel="0" collapsed="false">
      <c r="A682" s="3" t="n">
        <f aca="false">IFERROR(__xludf.dummyfunction("""COMPUTED_VALUE"""),45187.6666666667)</f>
        <v>45187.6666666667</v>
      </c>
      <c r="B682" s="2" t="n">
        <f aca="false">IFERROR(__xludf.dummyfunction("""COMPUTED_VALUE"""),136.61)</f>
        <v>136.61</v>
      </c>
      <c r="C682" s="2" t="n">
        <f aca="false">IFERROR(__xludf.dummyfunction("""COMPUTED_VALUE"""),139.16)</f>
        <v>139.16</v>
      </c>
      <c r="D682" s="2" t="n">
        <f aca="false">IFERROR(__xludf.dummyfunction("""COMPUTED_VALUE"""),136.61)</f>
        <v>136.61</v>
      </c>
      <c r="E682" s="2" t="n">
        <f aca="false">IFERROR(__xludf.dummyfunction("""COMPUTED_VALUE"""),138.21)</f>
        <v>138.21</v>
      </c>
      <c r="F682" s="2" t="n">
        <f aca="false">IFERROR(__xludf.dummyfunction("""COMPUTED_VALUE"""),21861346)</f>
        <v>21861346</v>
      </c>
    </row>
    <row r="683" customFormat="false" ht="15.75" hidden="false" customHeight="false" outlineLevel="0" collapsed="false">
      <c r="A683" s="3" t="n">
        <f aca="false">IFERROR(__xludf.dummyfunction("""COMPUTED_VALUE"""),45188.6666666667)</f>
        <v>45188.6666666667</v>
      </c>
      <c r="B683" s="2" t="n">
        <f aca="false">IFERROR(__xludf.dummyfunction("""COMPUTED_VALUE"""),137.42)</f>
        <v>137.42</v>
      </c>
      <c r="C683" s="2" t="n">
        <f aca="false">IFERROR(__xludf.dummyfunction("""COMPUTED_VALUE"""),138.41)</f>
        <v>138.41</v>
      </c>
      <c r="D683" s="2" t="n">
        <f aca="false">IFERROR(__xludf.dummyfunction("""COMPUTED_VALUE"""),136.62)</f>
        <v>136.62</v>
      </c>
      <c r="E683" s="2" t="n">
        <f aca="false">IFERROR(__xludf.dummyfunction("""COMPUTED_VALUE"""),138.04)</f>
        <v>138.04</v>
      </c>
      <c r="F683" s="2" t="n">
        <f aca="false">IFERROR(__xludf.dummyfunction("""COMPUTED_VALUE"""),20353653)</f>
        <v>20353653</v>
      </c>
    </row>
    <row r="684" customFormat="false" ht="15.75" hidden="false" customHeight="false" outlineLevel="0" collapsed="false">
      <c r="A684" s="3" t="n">
        <f aca="false">IFERROR(__xludf.dummyfunction("""COMPUTED_VALUE"""),45189.6666666667)</f>
        <v>45189.6666666667</v>
      </c>
      <c r="B684" s="2" t="n">
        <f aca="false">IFERROR(__xludf.dummyfunction("""COMPUTED_VALUE"""),138.08)</f>
        <v>138.08</v>
      </c>
      <c r="C684" s="2" t="n">
        <f aca="false">IFERROR(__xludf.dummyfunction("""COMPUTED_VALUE"""),138.08)</f>
        <v>138.08</v>
      </c>
      <c r="D684" s="2" t="n">
        <f aca="false">IFERROR(__xludf.dummyfunction("""COMPUTED_VALUE"""),133.62)</f>
        <v>133.62</v>
      </c>
      <c r="E684" s="2" t="n">
        <f aca="false">IFERROR(__xludf.dummyfunction("""COMPUTED_VALUE"""),133.74)</f>
        <v>133.74</v>
      </c>
      <c r="F684" s="2" t="n">
        <f aca="false">IFERROR(__xludf.dummyfunction("""COMPUTED_VALUE"""),29927475)</f>
        <v>29927475</v>
      </c>
    </row>
    <row r="685" customFormat="false" ht="15.75" hidden="false" customHeight="false" outlineLevel="0" collapsed="false">
      <c r="A685" s="3" t="n">
        <f aca="false">IFERROR(__xludf.dummyfunction("""COMPUTED_VALUE"""),45190.6666666667)</f>
        <v>45190.6666666667</v>
      </c>
      <c r="B685" s="2" t="n">
        <f aca="false">IFERROR(__xludf.dummyfunction("""COMPUTED_VALUE"""),131.44)</f>
        <v>131.44</v>
      </c>
      <c r="C685" s="2" t="n">
        <f aca="false">IFERROR(__xludf.dummyfunction("""COMPUTED_VALUE"""),132.23)</f>
        <v>132.23</v>
      </c>
      <c r="D685" s="2" t="n">
        <f aca="false">IFERROR(__xludf.dummyfunction("""COMPUTED_VALUE"""),130.07)</f>
        <v>130.07</v>
      </c>
      <c r="E685" s="2" t="n">
        <f aca="false">IFERROR(__xludf.dummyfunction("""COMPUTED_VALUE"""),130.44)</f>
        <v>130.44</v>
      </c>
      <c r="F685" s="2" t="n">
        <f aca="false">IFERROR(__xludf.dummyfunction("""COMPUTED_VALUE"""),31503910)</f>
        <v>31503910</v>
      </c>
    </row>
    <row r="686" customFormat="false" ht="15.75" hidden="false" customHeight="false" outlineLevel="0" collapsed="false">
      <c r="A686" s="3" t="n">
        <f aca="false">IFERROR(__xludf.dummyfunction("""COMPUTED_VALUE"""),45191.6666666667)</f>
        <v>45191.6666666667</v>
      </c>
      <c r="B686" s="2" t="n">
        <f aca="false">IFERROR(__xludf.dummyfunction("""COMPUTED_VALUE"""),130.76)</f>
        <v>130.76</v>
      </c>
      <c r="C686" s="2" t="n">
        <f aca="false">IFERROR(__xludf.dummyfunction("""COMPUTED_VALUE"""),132.03)</f>
        <v>132.03</v>
      </c>
      <c r="D686" s="2" t="n">
        <f aca="false">IFERROR(__xludf.dummyfunction("""COMPUTED_VALUE"""),129.6)</f>
        <v>129.6</v>
      </c>
      <c r="E686" s="2" t="n">
        <f aca="false">IFERROR(__xludf.dummyfunction("""COMPUTED_VALUE"""),130.25)</f>
        <v>130.25</v>
      </c>
      <c r="F686" s="2" t="n">
        <f aca="false">IFERROR(__xludf.dummyfunction("""COMPUTED_VALUE"""),26397337)</f>
        <v>26397337</v>
      </c>
    </row>
    <row r="687" customFormat="false" ht="15.75" hidden="false" customHeight="false" outlineLevel="0" collapsed="false">
      <c r="A687" s="3" t="n">
        <f aca="false">IFERROR(__xludf.dummyfunction("""COMPUTED_VALUE"""),45194.6666666667)</f>
        <v>45194.6666666667</v>
      </c>
      <c r="B687" s="2" t="n">
        <f aca="false">IFERROR(__xludf.dummyfunction("""COMPUTED_VALUE"""),129.83)</f>
        <v>129.83</v>
      </c>
      <c r="C687" s="2" t="n">
        <f aca="false">IFERROR(__xludf.dummyfunction("""COMPUTED_VALUE"""),131.17)</f>
        <v>131.17</v>
      </c>
      <c r="D687" s="2" t="n">
        <f aca="false">IFERROR(__xludf.dummyfunction("""COMPUTED_VALUE"""),128.96)</f>
        <v>128.96</v>
      </c>
      <c r="E687" s="2" t="n">
        <f aca="false">IFERROR(__xludf.dummyfunction("""COMPUTED_VALUE"""),131.11)</f>
        <v>131.11</v>
      </c>
      <c r="F687" s="2" t="n">
        <f aca="false">IFERROR(__xludf.dummyfunction("""COMPUTED_VALUE"""),20094643)</f>
        <v>20094643</v>
      </c>
    </row>
    <row r="688" customFormat="false" ht="15.75" hidden="false" customHeight="false" outlineLevel="0" collapsed="false">
      <c r="A688" s="3" t="n">
        <f aca="false">IFERROR(__xludf.dummyfunction("""COMPUTED_VALUE"""),45195.6666666667)</f>
        <v>45195.6666666667</v>
      </c>
      <c r="B688" s="2" t="n">
        <f aca="false">IFERROR(__xludf.dummyfunction("""COMPUTED_VALUE"""),129.77)</f>
        <v>129.77</v>
      </c>
      <c r="C688" s="2" t="n">
        <f aca="false">IFERROR(__xludf.dummyfunction("""COMPUTED_VALUE"""),130.36)</f>
        <v>130.36</v>
      </c>
      <c r="D688" s="2" t="n">
        <f aca="false">IFERROR(__xludf.dummyfunction("""COMPUTED_VALUE"""),127.22)</f>
        <v>127.22</v>
      </c>
      <c r="E688" s="2" t="n">
        <f aca="false">IFERROR(__xludf.dummyfunction("""COMPUTED_VALUE"""),128.57)</f>
        <v>128.57</v>
      </c>
      <c r="F688" s="2" t="n">
        <f aca="false">IFERROR(__xludf.dummyfunction("""COMPUTED_VALUE"""),25718704)</f>
        <v>25718704</v>
      </c>
    </row>
    <row r="689" customFormat="false" ht="15.75" hidden="false" customHeight="false" outlineLevel="0" collapsed="false">
      <c r="A689" s="3" t="n">
        <f aca="false">IFERROR(__xludf.dummyfunction("""COMPUTED_VALUE"""),45196.6666666667)</f>
        <v>45196.6666666667</v>
      </c>
      <c r="B689" s="2" t="n">
        <f aca="false">IFERROR(__xludf.dummyfunction("""COMPUTED_VALUE"""),128.57)</f>
        <v>128.57</v>
      </c>
      <c r="C689" s="2" t="n">
        <f aca="false">IFERROR(__xludf.dummyfunction("""COMPUTED_VALUE"""),130.9)</f>
        <v>130.9</v>
      </c>
      <c r="D689" s="2" t="n">
        <f aca="false">IFERROR(__xludf.dummyfunction("""COMPUTED_VALUE"""),128.57)</f>
        <v>128.57</v>
      </c>
      <c r="E689" s="2" t="n">
        <f aca="false">IFERROR(__xludf.dummyfunction("""COMPUTED_VALUE"""),130.54)</f>
        <v>130.54</v>
      </c>
      <c r="F689" s="2" t="n">
        <f aca="false">IFERROR(__xludf.dummyfunction("""COMPUTED_VALUE"""),22746452)</f>
        <v>22746452</v>
      </c>
    </row>
    <row r="690" customFormat="false" ht="15.75" hidden="false" customHeight="false" outlineLevel="0" collapsed="false">
      <c r="A690" s="3" t="n">
        <f aca="false">IFERROR(__xludf.dummyfunction("""COMPUTED_VALUE"""),45197.6666666667)</f>
        <v>45197.6666666667</v>
      </c>
      <c r="B690" s="2" t="n">
        <f aca="false">IFERROR(__xludf.dummyfunction("""COMPUTED_VALUE"""),129.84)</f>
        <v>129.84</v>
      </c>
      <c r="C690" s="2" t="n">
        <f aca="false">IFERROR(__xludf.dummyfunction("""COMPUTED_VALUE"""),133.3)</f>
        <v>133.3</v>
      </c>
      <c r="D690" s="2" t="n">
        <f aca="false">IFERROR(__xludf.dummyfunction("""COMPUTED_VALUE"""),129.79)</f>
        <v>129.79</v>
      </c>
      <c r="E690" s="2" t="n">
        <f aca="false">IFERROR(__xludf.dummyfunction("""COMPUTED_VALUE"""),132.31)</f>
        <v>132.31</v>
      </c>
      <c r="F690" s="2" t="n">
        <f aca="false">IFERROR(__xludf.dummyfunction("""COMPUTED_VALUE"""),22513132)</f>
        <v>22513132</v>
      </c>
    </row>
    <row r="691" customFormat="false" ht="15.75" hidden="false" customHeight="false" outlineLevel="0" collapsed="false">
      <c r="A691" s="3" t="n">
        <f aca="false">IFERROR(__xludf.dummyfunction("""COMPUTED_VALUE"""),45198.6666666667)</f>
        <v>45198.6666666667</v>
      </c>
      <c r="B691" s="2" t="n">
        <f aca="false">IFERROR(__xludf.dummyfunction("""COMPUTED_VALUE"""),133.28)</f>
        <v>133.28</v>
      </c>
      <c r="C691" s="2" t="n">
        <f aca="false">IFERROR(__xludf.dummyfunction("""COMPUTED_VALUE"""),134.05)</f>
        <v>134.05</v>
      </c>
      <c r="D691" s="2" t="n">
        <f aca="false">IFERROR(__xludf.dummyfunction("""COMPUTED_VALUE"""),130.36)</f>
        <v>130.36</v>
      </c>
      <c r="E691" s="2" t="n">
        <f aca="false">IFERROR(__xludf.dummyfunction("""COMPUTED_VALUE"""),130.86)</f>
        <v>130.86</v>
      </c>
      <c r="F691" s="2" t="n">
        <f aca="false">IFERROR(__xludf.dummyfunction("""COMPUTED_VALUE"""),30859790)</f>
        <v>30859790</v>
      </c>
    </row>
    <row r="692" customFormat="false" ht="15.75" hidden="false" customHeight="false" outlineLevel="0" collapsed="false">
      <c r="A692" s="3" t="n">
        <f aca="false">IFERROR(__xludf.dummyfunction("""COMPUTED_VALUE"""),45201.6666666667)</f>
        <v>45201.6666666667</v>
      </c>
      <c r="B692" s="2" t="n">
        <f aca="false">IFERROR(__xludf.dummyfunction("""COMPUTED_VALUE"""),131.21)</f>
        <v>131.21</v>
      </c>
      <c r="C692" s="2" t="n">
        <f aca="false">IFERROR(__xludf.dummyfunction("""COMPUTED_VALUE"""),134.42)</f>
        <v>134.42</v>
      </c>
      <c r="D692" s="2" t="n">
        <f aca="false">IFERROR(__xludf.dummyfunction("""COMPUTED_VALUE"""),131.17)</f>
        <v>131.17</v>
      </c>
      <c r="E692" s="2" t="n">
        <f aca="false">IFERROR(__xludf.dummyfunction("""COMPUTED_VALUE"""),134.17)</f>
        <v>134.17</v>
      </c>
      <c r="F692" s="2" t="n">
        <f aca="false">IFERROR(__xludf.dummyfunction("""COMPUTED_VALUE"""),22288038)</f>
        <v>22288038</v>
      </c>
    </row>
    <row r="693" customFormat="false" ht="15.75" hidden="false" customHeight="false" outlineLevel="0" collapsed="false">
      <c r="A693" s="3" t="n">
        <f aca="false">IFERROR(__xludf.dummyfunction("""COMPUTED_VALUE"""),45202.6666666667)</f>
        <v>45202.6666666667</v>
      </c>
      <c r="B693" s="2" t="n">
        <f aca="false">IFERROR(__xludf.dummyfunction("""COMPUTED_VALUE"""),133.94)</f>
        <v>133.94</v>
      </c>
      <c r="C693" s="2" t="n">
        <f aca="false">IFERROR(__xludf.dummyfunction("""COMPUTED_VALUE"""),134.26)</f>
        <v>134.26</v>
      </c>
      <c r="D693" s="2" t="n">
        <f aca="false">IFERROR(__xludf.dummyfunction("""COMPUTED_VALUE"""),131.84)</f>
        <v>131.84</v>
      </c>
      <c r="E693" s="2" t="n">
        <f aca="false">IFERROR(__xludf.dummyfunction("""COMPUTED_VALUE"""),132.43)</f>
        <v>132.43</v>
      </c>
      <c r="F693" s="2" t="n">
        <f aca="false">IFERROR(__xludf.dummyfunction("""COMPUTED_VALUE"""),22989401)</f>
        <v>22989401</v>
      </c>
    </row>
    <row r="694" customFormat="false" ht="15.75" hidden="false" customHeight="false" outlineLevel="0" collapsed="false">
      <c r="A694" s="3" t="n">
        <f aca="false">IFERROR(__xludf.dummyfunction("""COMPUTED_VALUE"""),45203.6666666667)</f>
        <v>45203.6666666667</v>
      </c>
      <c r="B694" s="2" t="n">
        <f aca="false">IFERROR(__xludf.dummyfunction("""COMPUTED_VALUE"""),132.79)</f>
        <v>132.79</v>
      </c>
      <c r="C694" s="2" t="n">
        <f aca="false">IFERROR(__xludf.dummyfunction("""COMPUTED_VALUE"""),135.57)</f>
        <v>135.57</v>
      </c>
      <c r="D694" s="2" t="n">
        <f aca="false">IFERROR(__xludf.dummyfunction("""COMPUTED_VALUE"""),132.53)</f>
        <v>132.53</v>
      </c>
      <c r="E694" s="2" t="n">
        <f aca="false">IFERROR(__xludf.dummyfunction("""COMPUTED_VALUE"""),135.24)</f>
        <v>135.24</v>
      </c>
      <c r="F694" s="2" t="n">
        <f aca="false">IFERROR(__xludf.dummyfunction("""COMPUTED_VALUE"""),26752295)</f>
        <v>26752295</v>
      </c>
    </row>
    <row r="695" customFormat="false" ht="15.75" hidden="false" customHeight="false" outlineLevel="0" collapsed="false">
      <c r="A695" s="3" t="n">
        <f aca="false">IFERROR(__xludf.dummyfunction("""COMPUTED_VALUE"""),45204.6666666667)</f>
        <v>45204.6666666667</v>
      </c>
      <c r="B695" s="2" t="n">
        <f aca="false">IFERROR(__xludf.dummyfunction("""COMPUTED_VALUE"""),135.07)</f>
        <v>135.07</v>
      </c>
      <c r="C695" s="2" t="n">
        <f aca="false">IFERROR(__xludf.dummyfunction("""COMPUTED_VALUE"""),135.49)</f>
        <v>135.49</v>
      </c>
      <c r="D695" s="2" t="n">
        <f aca="false">IFERROR(__xludf.dummyfunction("""COMPUTED_VALUE"""),133.45)</f>
        <v>133.45</v>
      </c>
      <c r="E695" s="2" t="n">
        <f aca="false">IFERROR(__xludf.dummyfunction("""COMPUTED_VALUE"""),135.07)</f>
        <v>135.07</v>
      </c>
      <c r="F695" s="2" t="n">
        <f aca="false">IFERROR(__xludf.dummyfunction("""COMPUTED_VALUE"""),19832615)</f>
        <v>19832615</v>
      </c>
    </row>
    <row r="696" customFormat="false" ht="15.75" hidden="false" customHeight="false" outlineLevel="0" collapsed="false">
      <c r="A696" s="3" t="n">
        <f aca="false">IFERROR(__xludf.dummyfunction("""COMPUTED_VALUE"""),45205.6666666667)</f>
        <v>45205.6666666667</v>
      </c>
      <c r="B696" s="2" t="n">
        <f aca="false">IFERROR(__xludf.dummyfunction("""COMPUTED_VALUE"""),134.01)</f>
        <v>134.01</v>
      </c>
      <c r="C696" s="2" t="n">
        <f aca="false">IFERROR(__xludf.dummyfunction("""COMPUTED_VALUE"""),138.16)</f>
        <v>138.16</v>
      </c>
      <c r="D696" s="2" t="n">
        <f aca="false">IFERROR(__xludf.dummyfunction("""COMPUTED_VALUE"""),134.01)</f>
        <v>134.01</v>
      </c>
      <c r="E696" s="2" t="n">
        <f aca="false">IFERROR(__xludf.dummyfunction("""COMPUTED_VALUE"""),137.58)</f>
        <v>137.58</v>
      </c>
      <c r="F696" s="2" t="n">
        <f aca="false">IFERROR(__xludf.dummyfunction("""COMPUTED_VALUE"""),27597598)</f>
        <v>27597598</v>
      </c>
    </row>
    <row r="697" customFormat="false" ht="15.75" hidden="false" customHeight="false" outlineLevel="0" collapsed="false">
      <c r="A697" s="3" t="n">
        <f aca="false">IFERROR(__xludf.dummyfunction("""COMPUTED_VALUE"""),45208.6666666667)</f>
        <v>45208.6666666667</v>
      </c>
      <c r="B697" s="2" t="n">
        <f aca="false">IFERROR(__xludf.dummyfunction("""COMPUTED_VALUE"""),136.94)</f>
        <v>136.94</v>
      </c>
      <c r="C697" s="2" t="n">
        <f aca="false">IFERROR(__xludf.dummyfunction("""COMPUTED_VALUE"""),138.94)</f>
        <v>138.94</v>
      </c>
      <c r="D697" s="2" t="n">
        <f aca="false">IFERROR(__xludf.dummyfunction("""COMPUTED_VALUE"""),135.61)</f>
        <v>135.61</v>
      </c>
      <c r="E697" s="2" t="n">
        <f aca="false">IFERROR(__xludf.dummyfunction("""COMPUTED_VALUE"""),138.42)</f>
        <v>138.42</v>
      </c>
      <c r="F697" s="2" t="n">
        <f aca="false">IFERROR(__xludf.dummyfunction("""COMPUTED_VALUE"""),19278070)</f>
        <v>19278070</v>
      </c>
    </row>
    <row r="698" customFormat="false" ht="15.75" hidden="false" customHeight="false" outlineLevel="0" collapsed="false">
      <c r="A698" s="3" t="n">
        <f aca="false">IFERROR(__xludf.dummyfunction("""COMPUTED_VALUE"""),45209.6666666667)</f>
        <v>45209.6666666667</v>
      </c>
      <c r="B698" s="2" t="n">
        <f aca="false">IFERROR(__xludf.dummyfunction("""COMPUTED_VALUE"""),138.5)</f>
        <v>138.5</v>
      </c>
      <c r="C698" s="2" t="n">
        <f aca="false">IFERROR(__xludf.dummyfunction("""COMPUTED_VALUE"""),139.72)</f>
        <v>139.72</v>
      </c>
      <c r="D698" s="2" t="n">
        <f aca="false">IFERROR(__xludf.dummyfunction("""COMPUTED_VALUE"""),137.33)</f>
        <v>137.33</v>
      </c>
      <c r="E698" s="2" t="n">
        <f aca="false">IFERROR(__xludf.dummyfunction("""COMPUTED_VALUE"""),138.06)</f>
        <v>138.06</v>
      </c>
      <c r="F698" s="2" t="n">
        <f aca="false">IFERROR(__xludf.dummyfunction("""COMPUTED_VALUE"""),27786613)</f>
        <v>27786613</v>
      </c>
    </row>
    <row r="699" customFormat="false" ht="15.75" hidden="false" customHeight="false" outlineLevel="0" collapsed="false">
      <c r="A699" s="3" t="n">
        <f aca="false">IFERROR(__xludf.dummyfunction("""COMPUTED_VALUE"""),45210.6666666667)</f>
        <v>45210.6666666667</v>
      </c>
      <c r="B699" s="2" t="n">
        <f aca="false">IFERROR(__xludf.dummyfunction("""COMPUTED_VALUE"""),138.58)</f>
        <v>138.58</v>
      </c>
      <c r="C699" s="2" t="n">
        <f aca="false">IFERROR(__xludf.dummyfunction("""COMPUTED_VALUE"""),141.11)</f>
        <v>141.11</v>
      </c>
      <c r="D699" s="2" t="n">
        <f aca="false">IFERROR(__xludf.dummyfunction("""COMPUTED_VALUE"""),138.58)</f>
        <v>138.58</v>
      </c>
      <c r="E699" s="2" t="n">
        <f aca="false">IFERROR(__xludf.dummyfunction("""COMPUTED_VALUE"""),140.55)</f>
        <v>140.55</v>
      </c>
      <c r="F699" s="2" t="n">
        <f aca="false">IFERROR(__xludf.dummyfunction("""COMPUTED_VALUE"""),25884303)</f>
        <v>25884303</v>
      </c>
    </row>
    <row r="700" customFormat="false" ht="15.75" hidden="false" customHeight="false" outlineLevel="0" collapsed="false">
      <c r="A700" s="3" t="n">
        <f aca="false">IFERROR(__xludf.dummyfunction("""COMPUTED_VALUE"""),45211.6666666667)</f>
        <v>45211.6666666667</v>
      </c>
      <c r="B700" s="2" t="n">
        <f aca="false">IFERROR(__xludf.dummyfunction("""COMPUTED_VALUE"""),141.05)</f>
        <v>141.05</v>
      </c>
      <c r="C700" s="2" t="n">
        <f aca="false">IFERROR(__xludf.dummyfunction("""COMPUTED_VALUE"""),141.22)</f>
        <v>141.22</v>
      </c>
      <c r="D700" s="2" t="n">
        <f aca="false">IFERROR(__xludf.dummyfunction("""COMPUTED_VALUE"""),138.26)</f>
        <v>138.26</v>
      </c>
      <c r="E700" s="2" t="n">
        <f aca="false">IFERROR(__xludf.dummyfunction("""COMPUTED_VALUE"""),138.97)</f>
        <v>138.97</v>
      </c>
      <c r="F700" s="2" t="n">
        <f aca="false">IFERROR(__xludf.dummyfunction("""COMPUTED_VALUE"""),24765537)</f>
        <v>24765537</v>
      </c>
    </row>
    <row r="701" customFormat="false" ht="15.75" hidden="false" customHeight="false" outlineLevel="0" collapsed="false">
      <c r="A701" s="3" t="n">
        <f aca="false">IFERROR(__xludf.dummyfunction("""COMPUTED_VALUE"""),45212.6666666667)</f>
        <v>45212.6666666667</v>
      </c>
      <c r="B701" s="2" t="n">
        <f aca="false">IFERROR(__xludf.dummyfunction("""COMPUTED_VALUE"""),139.38)</f>
        <v>139.38</v>
      </c>
      <c r="C701" s="2" t="n">
        <f aca="false">IFERROR(__xludf.dummyfunction("""COMPUTED_VALUE"""),140)</f>
        <v>140</v>
      </c>
      <c r="D701" s="2" t="n">
        <f aca="false">IFERROR(__xludf.dummyfunction("""COMPUTED_VALUE"""),136.62)</f>
        <v>136.62</v>
      </c>
      <c r="E701" s="2" t="n">
        <f aca="false">IFERROR(__xludf.dummyfunction("""COMPUTED_VALUE"""),137.36)</f>
        <v>137.36</v>
      </c>
      <c r="F701" s="2" t="n">
        <f aca="false">IFERROR(__xludf.dummyfunction("""COMPUTED_VALUE"""),23435599)</f>
        <v>23435599</v>
      </c>
    </row>
    <row r="702" customFormat="false" ht="15.75" hidden="false" customHeight="false" outlineLevel="0" collapsed="false">
      <c r="A702" s="3" t="n">
        <f aca="false">IFERROR(__xludf.dummyfunction("""COMPUTED_VALUE"""),45215.6666666667)</f>
        <v>45215.6666666667</v>
      </c>
      <c r="B702" s="2" t="n">
        <f aca="false">IFERROR(__xludf.dummyfunction("""COMPUTED_VALUE"""),138.17)</f>
        <v>138.17</v>
      </c>
      <c r="C702" s="2" t="n">
        <f aca="false">IFERROR(__xludf.dummyfunction("""COMPUTED_VALUE"""),139.63)</f>
        <v>139.63</v>
      </c>
      <c r="D702" s="2" t="n">
        <f aca="false">IFERROR(__xludf.dummyfunction("""COMPUTED_VALUE"""),137.99)</f>
        <v>137.99</v>
      </c>
      <c r="E702" s="2" t="n">
        <f aca="false">IFERROR(__xludf.dummyfunction("""COMPUTED_VALUE"""),139.1)</f>
        <v>139.1</v>
      </c>
      <c r="F702" s="2" t="n">
        <f aca="false">IFERROR(__xludf.dummyfunction("""COMPUTED_VALUE"""),28501871)</f>
        <v>28501871</v>
      </c>
    </row>
    <row r="703" customFormat="false" ht="15.75" hidden="false" customHeight="false" outlineLevel="0" collapsed="false">
      <c r="A703" s="3" t="n">
        <f aca="false">IFERROR(__xludf.dummyfunction("""COMPUTED_VALUE"""),45216.6666666667)</f>
        <v>45216.6666666667</v>
      </c>
      <c r="B703" s="2" t="n">
        <f aca="false">IFERROR(__xludf.dummyfunction("""COMPUTED_VALUE"""),138.63)</f>
        <v>138.63</v>
      </c>
      <c r="C703" s="2" t="n">
        <f aca="false">IFERROR(__xludf.dummyfunction("""COMPUTED_VALUE"""),139.9)</f>
        <v>139.9</v>
      </c>
      <c r="D703" s="2" t="n">
        <f aca="false">IFERROR(__xludf.dummyfunction("""COMPUTED_VALUE"""),137.18)</f>
        <v>137.18</v>
      </c>
      <c r="E703" s="2" t="n">
        <f aca="false">IFERROR(__xludf.dummyfunction("""COMPUTED_VALUE"""),139.72)</f>
        <v>139.72</v>
      </c>
      <c r="F703" s="2" t="n">
        <f aca="false">IFERROR(__xludf.dummyfunction("""COMPUTED_VALUE"""),23515780)</f>
        <v>23515780</v>
      </c>
    </row>
    <row r="704" customFormat="false" ht="15.75" hidden="false" customHeight="false" outlineLevel="0" collapsed="false">
      <c r="A704" s="3" t="n">
        <f aca="false">IFERROR(__xludf.dummyfunction("""COMPUTED_VALUE"""),45217.6666666667)</f>
        <v>45217.6666666667</v>
      </c>
      <c r="B704" s="2" t="n">
        <f aca="false">IFERROR(__xludf.dummyfunction("""COMPUTED_VALUE"""),139.45)</f>
        <v>139.45</v>
      </c>
      <c r="C704" s="2" t="n">
        <f aca="false">IFERROR(__xludf.dummyfunction("""COMPUTED_VALUE"""),140.72)</f>
        <v>140.72</v>
      </c>
      <c r="D704" s="2" t="n">
        <f aca="false">IFERROR(__xludf.dummyfunction("""COMPUTED_VALUE"""),137.38)</f>
        <v>137.38</v>
      </c>
      <c r="E704" s="2" t="n">
        <f aca="false">IFERROR(__xludf.dummyfunction("""COMPUTED_VALUE"""),137.96)</f>
        <v>137.96</v>
      </c>
      <c r="F704" s="2" t="n">
        <f aca="false">IFERROR(__xludf.dummyfunction("""COMPUTED_VALUE"""),23374998)</f>
        <v>23374998</v>
      </c>
    </row>
    <row r="705" customFormat="false" ht="15.75" hidden="false" customHeight="false" outlineLevel="0" collapsed="false">
      <c r="A705" s="3" t="n">
        <f aca="false">IFERROR(__xludf.dummyfunction("""COMPUTED_VALUE"""),45218.6666666667)</f>
        <v>45218.6666666667</v>
      </c>
      <c r="B705" s="2" t="n">
        <f aca="false">IFERROR(__xludf.dummyfunction("""COMPUTED_VALUE"""),138.5)</f>
        <v>138.5</v>
      </c>
      <c r="C705" s="2" t="n">
        <f aca="false">IFERROR(__xludf.dummyfunction("""COMPUTED_VALUE"""),139.66)</f>
        <v>139.66</v>
      </c>
      <c r="D705" s="2" t="n">
        <f aca="false">IFERROR(__xludf.dummyfunction("""COMPUTED_VALUE"""),137.38)</f>
        <v>137.38</v>
      </c>
      <c r="E705" s="2" t="n">
        <f aca="false">IFERROR(__xludf.dummyfunction("""COMPUTED_VALUE"""),137.75)</f>
        <v>137.75</v>
      </c>
      <c r="F705" s="2" t="n">
        <f aca="false">IFERROR(__xludf.dummyfunction("""COMPUTED_VALUE"""),26066011)</f>
        <v>26066011</v>
      </c>
    </row>
    <row r="706" customFormat="false" ht="15.75" hidden="false" customHeight="false" outlineLevel="0" collapsed="false">
      <c r="A706" s="3" t="n">
        <f aca="false">IFERROR(__xludf.dummyfunction("""COMPUTED_VALUE"""),45219.6666666667)</f>
        <v>45219.6666666667</v>
      </c>
      <c r="B706" s="2" t="n">
        <f aca="false">IFERROR(__xludf.dummyfunction("""COMPUTED_VALUE"""),137.33)</f>
        <v>137.33</v>
      </c>
      <c r="C706" s="2" t="n">
        <f aca="false">IFERROR(__xludf.dummyfunction("""COMPUTED_VALUE"""),137.87)</f>
        <v>137.87</v>
      </c>
      <c r="D706" s="2" t="n">
        <f aca="false">IFERROR(__xludf.dummyfunction("""COMPUTED_VALUE"""),135.08)</f>
        <v>135.08</v>
      </c>
      <c r="E706" s="2" t="n">
        <f aca="false">IFERROR(__xludf.dummyfunction("""COMPUTED_VALUE"""),135.6)</f>
        <v>135.6</v>
      </c>
      <c r="F706" s="2" t="n">
        <f aca="false">IFERROR(__xludf.dummyfunction("""COMPUTED_VALUE"""),26335673)</f>
        <v>26335673</v>
      </c>
    </row>
    <row r="707" customFormat="false" ht="15.75" hidden="false" customHeight="false" outlineLevel="0" collapsed="false">
      <c r="A707" s="3" t="n">
        <f aca="false">IFERROR(__xludf.dummyfunction("""COMPUTED_VALUE"""),45222.6666666667)</f>
        <v>45222.6666666667</v>
      </c>
      <c r="B707" s="2" t="n">
        <f aca="false">IFERROR(__xludf.dummyfunction("""COMPUTED_VALUE"""),135.04)</f>
        <v>135.04</v>
      </c>
      <c r="C707" s="2" t="n">
        <f aca="false">IFERROR(__xludf.dummyfunction("""COMPUTED_VALUE"""),137.66)</f>
        <v>137.66</v>
      </c>
      <c r="D707" s="2" t="n">
        <f aca="false">IFERROR(__xludf.dummyfunction("""COMPUTED_VALUE"""),133.95)</f>
        <v>133.95</v>
      </c>
      <c r="E707" s="2" t="n">
        <f aca="false">IFERROR(__xludf.dummyfunction("""COMPUTED_VALUE"""),136.5)</f>
        <v>136.5</v>
      </c>
      <c r="F707" s="2" t="n">
        <f aca="false">IFERROR(__xludf.dummyfunction("""COMPUTED_VALUE"""),26317930)</f>
        <v>26317930</v>
      </c>
    </row>
    <row r="708" customFormat="false" ht="15.75" hidden="false" customHeight="false" outlineLevel="0" collapsed="false">
      <c r="A708" s="3" t="n">
        <f aca="false">IFERROR(__xludf.dummyfunction("""COMPUTED_VALUE"""),45223.6666666667)</f>
        <v>45223.6666666667</v>
      </c>
      <c r="B708" s="2" t="n">
        <f aca="false">IFERROR(__xludf.dummyfunction("""COMPUTED_VALUE"""),137.83)</f>
        <v>137.83</v>
      </c>
      <c r="C708" s="2" t="n">
        <f aca="false">IFERROR(__xludf.dummyfunction("""COMPUTED_VALUE"""),139.36)</f>
        <v>139.36</v>
      </c>
      <c r="D708" s="2" t="n">
        <f aca="false">IFERROR(__xludf.dummyfunction("""COMPUTED_VALUE"""),137.42)</f>
        <v>137.42</v>
      </c>
      <c r="E708" s="2" t="n">
        <f aca="false">IFERROR(__xludf.dummyfunction("""COMPUTED_VALUE"""),138.81)</f>
        <v>138.81</v>
      </c>
      <c r="F708" s="2" t="n">
        <f aca="false">IFERROR(__xludf.dummyfunction("""COMPUTED_VALUE"""),44814321)</f>
        <v>44814321</v>
      </c>
    </row>
    <row r="709" customFormat="false" ht="15.75" hidden="false" customHeight="false" outlineLevel="0" collapsed="false">
      <c r="A709" s="3" t="n">
        <f aca="false">IFERROR(__xludf.dummyfunction("""COMPUTED_VALUE"""),45224.6666666667)</f>
        <v>45224.6666666667</v>
      </c>
      <c r="B709" s="2" t="n">
        <f aca="false">IFERROR(__xludf.dummyfunction("""COMPUTED_VALUE"""),128.16)</f>
        <v>128.16</v>
      </c>
      <c r="C709" s="2" t="n">
        <f aca="false">IFERROR(__xludf.dummyfunction("""COMPUTED_VALUE"""),128.31)</f>
        <v>128.31</v>
      </c>
      <c r="D709" s="2" t="n">
        <f aca="false">IFERROR(__xludf.dummyfunction("""COMPUTED_VALUE"""),125.07)</f>
        <v>125.07</v>
      </c>
      <c r="E709" s="2" t="n">
        <f aca="false">IFERROR(__xludf.dummyfunction("""COMPUTED_VALUE"""),125.61)</f>
        <v>125.61</v>
      </c>
      <c r="F709" s="2" t="n">
        <f aca="false">IFERROR(__xludf.dummyfunction("""COMPUTED_VALUE"""),84366208)</f>
        <v>84366208</v>
      </c>
    </row>
    <row r="710" customFormat="false" ht="15.75" hidden="false" customHeight="false" outlineLevel="0" collapsed="false">
      <c r="A710" s="3" t="n">
        <f aca="false">IFERROR(__xludf.dummyfunction("""COMPUTED_VALUE"""),45225.6666666667)</f>
        <v>45225.6666666667</v>
      </c>
      <c r="B710" s="2" t="n">
        <f aca="false">IFERROR(__xludf.dummyfunction("""COMPUTED_VALUE"""),123.27)</f>
        <v>123.27</v>
      </c>
      <c r="C710" s="2" t="n">
        <f aca="false">IFERROR(__xludf.dummyfunction("""COMPUTED_VALUE"""),124.33)</f>
        <v>124.33</v>
      </c>
      <c r="D710" s="2" t="n">
        <f aca="false">IFERROR(__xludf.dummyfunction("""COMPUTED_VALUE"""),121.27)</f>
        <v>121.27</v>
      </c>
      <c r="E710" s="2" t="n">
        <f aca="false">IFERROR(__xludf.dummyfunction("""COMPUTED_VALUE"""),122.28)</f>
        <v>122.28</v>
      </c>
      <c r="F710" s="2" t="n">
        <f aca="false">IFERROR(__xludf.dummyfunction("""COMPUTED_VALUE"""),57061140)</f>
        <v>57061140</v>
      </c>
    </row>
    <row r="711" customFormat="false" ht="15.75" hidden="false" customHeight="false" outlineLevel="0" collapsed="false">
      <c r="A711" s="3" t="n">
        <f aca="false">IFERROR(__xludf.dummyfunction("""COMPUTED_VALUE"""),45226.6666666667)</f>
        <v>45226.6666666667</v>
      </c>
      <c r="B711" s="2" t="n">
        <f aca="false">IFERROR(__xludf.dummyfunction("""COMPUTED_VALUE"""),122.88)</f>
        <v>122.88</v>
      </c>
      <c r="C711" s="2" t="n">
        <f aca="false">IFERROR(__xludf.dummyfunction("""COMPUTED_VALUE"""),123.31)</f>
        <v>123.31</v>
      </c>
      <c r="D711" s="2" t="n">
        <f aca="false">IFERROR(__xludf.dummyfunction("""COMPUTED_VALUE"""),120.21)</f>
        <v>120.21</v>
      </c>
      <c r="E711" s="2" t="n">
        <f aca="false">IFERROR(__xludf.dummyfunction("""COMPUTED_VALUE"""),122.17)</f>
        <v>122.17</v>
      </c>
      <c r="F711" s="2" t="n">
        <f aca="false">IFERROR(__xludf.dummyfunction("""COMPUTED_VALUE"""),44566506)</f>
        <v>44566506</v>
      </c>
    </row>
    <row r="712" customFormat="false" ht="15.75" hidden="false" customHeight="false" outlineLevel="0" collapsed="false">
      <c r="A712" s="3" t="n">
        <f aca="false">IFERROR(__xludf.dummyfunction("""COMPUTED_VALUE"""),45229.6666666667)</f>
        <v>45229.6666666667</v>
      </c>
      <c r="B712" s="2" t="n">
        <f aca="false">IFERROR(__xludf.dummyfunction("""COMPUTED_VALUE"""),123.21)</f>
        <v>123.21</v>
      </c>
      <c r="C712" s="2" t="n">
        <f aca="false">IFERROR(__xludf.dummyfunction("""COMPUTED_VALUE"""),125.4)</f>
        <v>125.4</v>
      </c>
      <c r="D712" s="2" t="n">
        <f aca="false">IFERROR(__xludf.dummyfunction("""COMPUTED_VALUE"""),122.75)</f>
        <v>122.75</v>
      </c>
      <c r="E712" s="2" t="n">
        <f aca="false">IFERROR(__xludf.dummyfunction("""COMPUTED_VALUE"""),124.46)</f>
        <v>124.46</v>
      </c>
      <c r="F712" s="2" t="n">
        <f aca="false">IFERROR(__xludf.dummyfunction("""COMPUTED_VALUE"""),28940081)</f>
        <v>28940081</v>
      </c>
    </row>
    <row r="713" customFormat="false" ht="15.75" hidden="false" customHeight="false" outlineLevel="0" collapsed="false">
      <c r="A713" s="3" t="n">
        <f aca="false">IFERROR(__xludf.dummyfunction("""COMPUTED_VALUE"""),45230.6666666667)</f>
        <v>45230.6666666667</v>
      </c>
      <c r="B713" s="2" t="n">
        <f aca="false">IFERROR(__xludf.dummyfunction("""COMPUTED_VALUE"""),125.06)</f>
        <v>125.06</v>
      </c>
      <c r="C713" s="2" t="n">
        <f aca="false">IFERROR(__xludf.dummyfunction("""COMPUTED_VALUE"""),125.37)</f>
        <v>125.37</v>
      </c>
      <c r="D713" s="2" t="n">
        <f aca="false">IFERROR(__xludf.dummyfunction("""COMPUTED_VALUE"""),122.69)</f>
        <v>122.69</v>
      </c>
      <c r="E713" s="2" t="n">
        <f aca="false">IFERROR(__xludf.dummyfunction("""COMPUTED_VALUE"""),124.08)</f>
        <v>124.08</v>
      </c>
      <c r="F713" s="2" t="n">
        <f aca="false">IFERROR(__xludf.dummyfunction("""COMPUTED_VALUE"""),26292342)</f>
        <v>26292342</v>
      </c>
    </row>
    <row r="714" customFormat="false" ht="15.75" hidden="false" customHeight="false" outlineLevel="0" collapsed="false">
      <c r="A714" s="3" t="n">
        <f aca="false">IFERROR(__xludf.dummyfunction("""COMPUTED_VALUE"""),45231.6666666667)</f>
        <v>45231.6666666667</v>
      </c>
      <c r="B714" s="2" t="n">
        <f aca="false">IFERROR(__xludf.dummyfunction("""COMPUTED_VALUE"""),124.07)</f>
        <v>124.07</v>
      </c>
      <c r="C714" s="2" t="n">
        <f aca="false">IFERROR(__xludf.dummyfunction("""COMPUTED_VALUE"""),126.49)</f>
        <v>126.49</v>
      </c>
      <c r="D714" s="2" t="n">
        <f aca="false">IFERROR(__xludf.dummyfunction("""COMPUTED_VALUE"""),123.72)</f>
        <v>123.72</v>
      </c>
      <c r="E714" s="2" t="n">
        <f aca="false">IFERROR(__xludf.dummyfunction("""COMPUTED_VALUE"""),126.45)</f>
        <v>126.45</v>
      </c>
      <c r="F714" s="2" t="n">
        <f aca="false">IFERROR(__xludf.dummyfunction("""COMPUTED_VALUE"""),30082438)</f>
        <v>30082438</v>
      </c>
    </row>
    <row r="715" customFormat="false" ht="15.75" hidden="false" customHeight="false" outlineLevel="0" collapsed="false">
      <c r="A715" s="3" t="n">
        <f aca="false">IFERROR(__xludf.dummyfunction("""COMPUTED_VALUE"""),45232.6666666667)</f>
        <v>45232.6666666667</v>
      </c>
      <c r="B715" s="2" t="n">
        <f aca="false">IFERROR(__xludf.dummyfunction("""COMPUTED_VALUE"""),128.42)</f>
        <v>128.42</v>
      </c>
      <c r="C715" s="2" t="n">
        <f aca="false">IFERROR(__xludf.dummyfunction("""COMPUTED_VALUE"""),128.98)</f>
        <v>128.98</v>
      </c>
      <c r="D715" s="2" t="n">
        <f aca="false">IFERROR(__xludf.dummyfunction("""COMPUTED_VALUE"""),126.93)</f>
        <v>126.93</v>
      </c>
      <c r="E715" s="2" t="n">
        <f aca="false">IFERROR(__xludf.dummyfunction("""COMPUTED_VALUE"""),127.49)</f>
        <v>127.49</v>
      </c>
      <c r="F715" s="2" t="n">
        <f aca="false">IFERROR(__xludf.dummyfunction("""COMPUTED_VALUE"""),27124647)</f>
        <v>27124647</v>
      </c>
    </row>
    <row r="716" customFormat="false" ht="15.75" hidden="false" customHeight="false" outlineLevel="0" collapsed="false">
      <c r="A716" s="3" t="n">
        <f aca="false">IFERROR(__xludf.dummyfunction("""COMPUTED_VALUE"""),45233.6666666667)</f>
        <v>45233.6666666667</v>
      </c>
      <c r="B716" s="2" t="n">
        <f aca="false">IFERROR(__xludf.dummyfunction("""COMPUTED_VALUE"""),128.02)</f>
        <v>128.02</v>
      </c>
      <c r="C716" s="2" t="n">
        <f aca="false">IFERROR(__xludf.dummyfunction("""COMPUTED_VALUE"""),129.53)</f>
        <v>129.53</v>
      </c>
      <c r="D716" s="2" t="n">
        <f aca="false">IFERROR(__xludf.dummyfunction("""COMPUTED_VALUE"""),127.86)</f>
        <v>127.86</v>
      </c>
      <c r="E716" s="2" t="n">
        <f aca="false">IFERROR(__xludf.dummyfunction("""COMPUTED_VALUE"""),129.1)</f>
        <v>129.1</v>
      </c>
      <c r="F716" s="2" t="n">
        <f aca="false">IFERROR(__xludf.dummyfunction("""COMPUTED_VALUE"""),26393109)</f>
        <v>26393109</v>
      </c>
    </row>
    <row r="717" customFormat="false" ht="15.75" hidden="false" customHeight="false" outlineLevel="0" collapsed="false">
      <c r="A717" s="3" t="n">
        <f aca="false">IFERROR(__xludf.dummyfunction("""COMPUTED_VALUE"""),45236.6666666667)</f>
        <v>45236.6666666667</v>
      </c>
      <c r="B717" s="2" t="n">
        <f aca="false">IFERROR(__xludf.dummyfunction("""COMPUTED_VALUE"""),129.05)</f>
        <v>129.05</v>
      </c>
      <c r="C717" s="2" t="n">
        <f aca="false">IFERROR(__xludf.dummyfunction("""COMPUTED_VALUE"""),130.34)</f>
        <v>130.34</v>
      </c>
      <c r="D717" s="2" t="n">
        <f aca="false">IFERROR(__xludf.dummyfunction("""COMPUTED_VALUE"""),128.67)</f>
        <v>128.67</v>
      </c>
      <c r="E717" s="2" t="n">
        <f aca="false">IFERROR(__xludf.dummyfunction("""COMPUTED_VALUE"""),130.25)</f>
        <v>130.25</v>
      </c>
      <c r="F717" s="2" t="n">
        <f aca="false">IFERROR(__xludf.dummyfunction("""COMPUTED_VALUE"""),19052740)</f>
        <v>19052740</v>
      </c>
    </row>
    <row r="718" customFormat="false" ht="15.75" hidden="false" customHeight="false" outlineLevel="0" collapsed="false">
      <c r="A718" s="3" t="n">
        <f aca="false">IFERROR(__xludf.dummyfunction("""COMPUTED_VALUE"""),45237.6666666667)</f>
        <v>45237.6666666667</v>
      </c>
      <c r="B718" s="2" t="n">
        <f aca="false">IFERROR(__xludf.dummyfunction("""COMPUTED_VALUE"""),130.71)</f>
        <v>130.71</v>
      </c>
      <c r="C718" s="2" t="n">
        <f aca="false">IFERROR(__xludf.dummyfunction("""COMPUTED_VALUE"""),131.91)</f>
        <v>131.91</v>
      </c>
      <c r="D718" s="2" t="n">
        <f aca="false">IFERROR(__xludf.dummyfunction("""COMPUTED_VALUE"""),129.88)</f>
        <v>129.88</v>
      </c>
      <c r="E718" s="2" t="n">
        <f aca="false">IFERROR(__xludf.dummyfunction("""COMPUTED_VALUE"""),130.97)</f>
        <v>130.97</v>
      </c>
      <c r="F718" s="2" t="n">
        <f aca="false">IFERROR(__xludf.dummyfunction("""COMPUTED_VALUE"""),29757276)</f>
        <v>29757276</v>
      </c>
    </row>
    <row r="719" customFormat="false" ht="15.75" hidden="false" customHeight="false" outlineLevel="0" collapsed="false">
      <c r="A719" s="3" t="n">
        <f aca="false">IFERROR(__xludf.dummyfunction("""COMPUTED_VALUE"""),45238.6666666667)</f>
        <v>45238.6666666667</v>
      </c>
      <c r="B719" s="2" t="n">
        <f aca="false">IFERROR(__xludf.dummyfunction("""COMPUTED_VALUE"""),130.97)</f>
        <v>130.97</v>
      </c>
      <c r="C719" s="2" t="n">
        <f aca="false">IFERROR(__xludf.dummyfunction("""COMPUTED_VALUE"""),132.21)</f>
        <v>132.21</v>
      </c>
      <c r="D719" s="2" t="n">
        <f aca="false">IFERROR(__xludf.dummyfunction("""COMPUTED_VALUE"""),130.78)</f>
        <v>130.78</v>
      </c>
      <c r="E719" s="2" t="n">
        <f aca="false">IFERROR(__xludf.dummyfunction("""COMPUTED_VALUE"""),131.84)</f>
        <v>131.84</v>
      </c>
      <c r="F719" s="2" t="n">
        <f aca="false">IFERROR(__xludf.dummyfunction("""COMPUTED_VALUE"""),26425849)</f>
        <v>26425849</v>
      </c>
    </row>
    <row r="720" customFormat="false" ht="15.75" hidden="false" customHeight="false" outlineLevel="0" collapsed="false">
      <c r="A720" s="3" t="n">
        <f aca="false">IFERROR(__xludf.dummyfunction("""COMPUTED_VALUE"""),45239.6666666667)</f>
        <v>45239.6666666667</v>
      </c>
      <c r="B720" s="2" t="n">
        <f aca="false">IFERROR(__xludf.dummyfunction("""COMPUTED_VALUE"""),131.96)</f>
        <v>131.96</v>
      </c>
      <c r="C720" s="2" t="n">
        <f aca="false">IFERROR(__xludf.dummyfunction("""COMPUTED_VALUE"""),132.55)</f>
        <v>132.55</v>
      </c>
      <c r="D720" s="2" t="n">
        <f aca="false">IFERROR(__xludf.dummyfunction("""COMPUTED_VALUE"""),130.07)</f>
        <v>130.07</v>
      </c>
      <c r="E720" s="2" t="n">
        <f aca="false">IFERROR(__xludf.dummyfunction("""COMPUTED_VALUE"""),130.24)</f>
        <v>130.24</v>
      </c>
      <c r="F720" s="2" t="n">
        <f aca="false">IFERROR(__xludf.dummyfunction("""COMPUTED_VALUE"""),23747773)</f>
        <v>23747773</v>
      </c>
    </row>
    <row r="721" customFormat="false" ht="15.75" hidden="false" customHeight="false" outlineLevel="0" collapsed="false">
      <c r="A721" s="3" t="n">
        <f aca="false">IFERROR(__xludf.dummyfunction("""COMPUTED_VALUE"""),45240.6666666667)</f>
        <v>45240.6666666667</v>
      </c>
      <c r="B721" s="2" t="n">
        <f aca="false">IFERROR(__xludf.dummyfunction("""COMPUTED_VALUE"""),130.1)</f>
        <v>130.1</v>
      </c>
      <c r="C721" s="2" t="n">
        <f aca="false">IFERROR(__xludf.dummyfunction("""COMPUTED_VALUE"""),132.8)</f>
        <v>132.8</v>
      </c>
      <c r="D721" s="2" t="n">
        <f aca="false">IFERROR(__xludf.dummyfunction("""COMPUTED_VALUE"""),129.41)</f>
        <v>129.41</v>
      </c>
      <c r="E721" s="2" t="n">
        <f aca="false">IFERROR(__xludf.dummyfunction("""COMPUTED_VALUE"""),132.59)</f>
        <v>132.59</v>
      </c>
      <c r="F721" s="2" t="n">
        <f aca="false">IFERROR(__xludf.dummyfunction("""COMPUTED_VALUE"""),26927826)</f>
        <v>26927826</v>
      </c>
    </row>
    <row r="722" customFormat="false" ht="15.75" hidden="false" customHeight="false" outlineLevel="0" collapsed="false">
      <c r="A722" s="3" t="n">
        <f aca="false">IFERROR(__xludf.dummyfunction("""COMPUTED_VALUE"""),45243.6666666667)</f>
        <v>45243.6666666667</v>
      </c>
      <c r="B722" s="2" t="n">
        <f aca="false">IFERROR(__xludf.dummyfunction("""COMPUTED_VALUE"""),131.78)</f>
        <v>131.78</v>
      </c>
      <c r="C722" s="2" t="n">
        <f aca="false">IFERROR(__xludf.dummyfunction("""COMPUTED_VALUE"""),132.59)</f>
        <v>132.59</v>
      </c>
      <c r="D722" s="2" t="n">
        <f aca="false">IFERROR(__xludf.dummyfunction("""COMPUTED_VALUE"""),131.25)</f>
        <v>131.25</v>
      </c>
      <c r="E722" s="2" t="n">
        <f aca="false">IFERROR(__xludf.dummyfunction("""COMPUTED_VALUE"""),132.09)</f>
        <v>132.09</v>
      </c>
      <c r="F722" s="2" t="n">
        <f aca="false">IFERROR(__xludf.dummyfunction("""COMPUTED_VALUE"""),18324751)</f>
        <v>18324751</v>
      </c>
    </row>
    <row r="723" customFormat="false" ht="15.75" hidden="false" customHeight="false" outlineLevel="0" collapsed="false">
      <c r="A723" s="3" t="n">
        <f aca="false">IFERROR(__xludf.dummyfunction("""COMPUTED_VALUE"""),45244.6666666667)</f>
        <v>45244.6666666667</v>
      </c>
      <c r="B723" s="2" t="n">
        <f aca="false">IFERROR(__xludf.dummyfunction("""COMPUTED_VALUE"""),134.19)</f>
        <v>134.19</v>
      </c>
      <c r="C723" s="2" t="n">
        <f aca="false">IFERROR(__xludf.dummyfunction("""COMPUTED_VALUE"""),135.7)</f>
        <v>135.7</v>
      </c>
      <c r="D723" s="2" t="n">
        <f aca="false">IFERROR(__xludf.dummyfunction("""COMPUTED_VALUE"""),133.32)</f>
        <v>133.32</v>
      </c>
      <c r="E723" s="2" t="n">
        <f aca="false">IFERROR(__xludf.dummyfunction("""COMPUTED_VALUE"""),133.62)</f>
        <v>133.62</v>
      </c>
      <c r="F723" s="2" t="n">
        <f aca="false">IFERROR(__xludf.dummyfunction("""COMPUTED_VALUE"""),32395178)</f>
        <v>32395178</v>
      </c>
    </row>
    <row r="724" customFormat="false" ht="15.75" hidden="false" customHeight="false" outlineLevel="0" collapsed="false">
      <c r="A724" s="3" t="n">
        <f aca="false">IFERROR(__xludf.dummyfunction("""COMPUTED_VALUE"""),45245.6666666667)</f>
        <v>45245.6666666667</v>
      </c>
      <c r="B724" s="2" t="n">
        <f aca="false">IFERROR(__xludf.dummyfunction("""COMPUTED_VALUE"""),134.87)</f>
        <v>134.87</v>
      </c>
      <c r="C724" s="2" t="n">
        <f aca="false">IFERROR(__xludf.dummyfunction("""COMPUTED_VALUE"""),135.03)</f>
        <v>135.03</v>
      </c>
      <c r="D724" s="2" t="n">
        <f aca="false">IFERROR(__xludf.dummyfunction("""COMPUTED_VALUE"""),133.57)</f>
        <v>133.57</v>
      </c>
      <c r="E724" s="2" t="n">
        <f aca="false">IFERROR(__xludf.dummyfunction("""COMPUTED_VALUE"""),134.62)</f>
        <v>134.62</v>
      </c>
      <c r="F724" s="2" t="n">
        <f aca="false">IFERROR(__xludf.dummyfunction("""COMPUTED_VALUE"""),23861515)</f>
        <v>23861515</v>
      </c>
    </row>
    <row r="725" customFormat="false" ht="15.75" hidden="false" customHeight="false" outlineLevel="0" collapsed="false">
      <c r="A725" s="3" t="n">
        <f aca="false">IFERROR(__xludf.dummyfunction("""COMPUTED_VALUE"""),45246.6666666667)</f>
        <v>45246.6666666667</v>
      </c>
      <c r="B725" s="2" t="n">
        <f aca="false">IFERROR(__xludf.dummyfunction("""COMPUTED_VALUE"""),135.19)</f>
        <v>135.19</v>
      </c>
      <c r="C725" s="2" t="n">
        <f aca="false">IFERROR(__xludf.dummyfunction("""COMPUTED_VALUE"""),137.22)</f>
        <v>137.22</v>
      </c>
      <c r="D725" s="2" t="n">
        <f aca="false">IFERROR(__xludf.dummyfunction("""COMPUTED_VALUE"""),134.32)</f>
        <v>134.32</v>
      </c>
      <c r="E725" s="2" t="n">
        <f aca="false">IFERROR(__xludf.dummyfunction("""COMPUTED_VALUE"""),136.93)</f>
        <v>136.93</v>
      </c>
      <c r="F725" s="2" t="n">
        <f aca="false">IFERROR(__xludf.dummyfunction("""COMPUTED_VALUE"""),28013179)</f>
        <v>28013179</v>
      </c>
    </row>
    <row r="726" customFormat="false" ht="15.75" hidden="false" customHeight="false" outlineLevel="0" collapsed="false">
      <c r="A726" s="3" t="n">
        <f aca="false">IFERROR(__xludf.dummyfunction("""COMPUTED_VALUE"""),45247.6666666667)</f>
        <v>45247.6666666667</v>
      </c>
      <c r="B726" s="2" t="n">
        <f aca="false">IFERROR(__xludf.dummyfunction("""COMPUTED_VALUE"""),136)</f>
        <v>136</v>
      </c>
      <c r="C726" s="2" t="n">
        <f aca="false">IFERROR(__xludf.dummyfunction("""COMPUTED_VALUE"""),136.06)</f>
        <v>136.06</v>
      </c>
      <c r="D726" s="2" t="n">
        <f aca="false">IFERROR(__xludf.dummyfunction("""COMPUTED_VALUE"""),133.65)</f>
        <v>133.65</v>
      </c>
      <c r="E726" s="2" t="n">
        <f aca="false">IFERROR(__xludf.dummyfunction("""COMPUTED_VALUE"""),135.31)</f>
        <v>135.31</v>
      </c>
      <c r="F726" s="2" t="n">
        <f aca="false">IFERROR(__xludf.dummyfunction("""COMPUTED_VALUE"""),37287691)</f>
        <v>37287691</v>
      </c>
    </row>
    <row r="727" customFormat="false" ht="15.75" hidden="false" customHeight="false" outlineLevel="0" collapsed="false">
      <c r="A727" s="3" t="n">
        <f aca="false">IFERROR(__xludf.dummyfunction("""COMPUTED_VALUE"""),45250.6666666667)</f>
        <v>45250.6666666667</v>
      </c>
      <c r="B727" s="2" t="n">
        <f aca="false">IFERROR(__xludf.dummyfunction("""COMPUTED_VALUE"""),133.69)</f>
        <v>133.69</v>
      </c>
      <c r="C727" s="2" t="n">
        <f aca="false">IFERROR(__xludf.dummyfunction("""COMPUTED_VALUE"""),136.66)</f>
        <v>136.66</v>
      </c>
      <c r="D727" s="2" t="n">
        <f aca="false">IFERROR(__xludf.dummyfunction("""COMPUTED_VALUE"""),133.62)</f>
        <v>133.62</v>
      </c>
      <c r="E727" s="2" t="n">
        <f aca="false">IFERROR(__xludf.dummyfunction("""COMPUTED_VALUE"""),136.25)</f>
        <v>136.25</v>
      </c>
      <c r="F727" s="2" t="n">
        <f aca="false">IFERROR(__xludf.dummyfunction("""COMPUTED_VALUE"""),27850762)</f>
        <v>27850762</v>
      </c>
    </row>
    <row r="728" customFormat="false" ht="15.75" hidden="false" customHeight="false" outlineLevel="0" collapsed="false">
      <c r="A728" s="3" t="n">
        <f aca="false">IFERROR(__xludf.dummyfunction("""COMPUTED_VALUE"""),45251.6666666667)</f>
        <v>45251.6666666667</v>
      </c>
      <c r="B728" s="2" t="n">
        <f aca="false">IFERROR(__xludf.dummyfunction("""COMPUTED_VALUE"""),136.29)</f>
        <v>136.29</v>
      </c>
      <c r="C728" s="2" t="n">
        <f aca="false">IFERROR(__xludf.dummyfunction("""COMPUTED_VALUE"""),137.18)</f>
        <v>137.18</v>
      </c>
      <c r="D728" s="2" t="n">
        <f aca="false">IFERROR(__xludf.dummyfunction("""COMPUTED_VALUE"""),135.96)</f>
        <v>135.96</v>
      </c>
      <c r="E728" s="2" t="n">
        <f aca="false">IFERROR(__xludf.dummyfunction("""COMPUTED_VALUE"""),136.97)</f>
        <v>136.97</v>
      </c>
      <c r="F728" s="2" t="n">
        <f aca="false">IFERROR(__xludf.dummyfunction("""COMPUTED_VALUE"""),22635272)</f>
        <v>22635272</v>
      </c>
    </row>
    <row r="729" customFormat="false" ht="15.75" hidden="false" customHeight="false" outlineLevel="0" collapsed="false">
      <c r="A729" s="3" t="n">
        <f aca="false">IFERROR(__xludf.dummyfunction("""COMPUTED_VALUE"""),45252.6666666667)</f>
        <v>45252.6666666667</v>
      </c>
      <c r="B729" s="2" t="n">
        <f aca="false">IFERROR(__xludf.dummyfunction("""COMPUTED_VALUE"""),137.47)</f>
        <v>137.47</v>
      </c>
      <c r="C729" s="2" t="n">
        <f aca="false">IFERROR(__xludf.dummyfunction("""COMPUTED_VALUE"""),139.42)</f>
        <v>139.42</v>
      </c>
      <c r="D729" s="2" t="n">
        <f aca="false">IFERROR(__xludf.dummyfunction("""COMPUTED_VALUE"""),137.47)</f>
        <v>137.47</v>
      </c>
      <c r="E729" s="2" t="n">
        <f aca="false">IFERROR(__xludf.dummyfunction("""COMPUTED_VALUE"""),138.49)</f>
        <v>138.49</v>
      </c>
      <c r="F729" s="2" t="n">
        <f aca="false">IFERROR(__xludf.dummyfunction("""COMPUTED_VALUE"""),17820456)</f>
        <v>17820456</v>
      </c>
    </row>
    <row r="730" customFormat="false" ht="15.75" hidden="false" customHeight="false" outlineLevel="0" collapsed="false">
      <c r="A730" s="3" t="n">
        <f aca="false">IFERROR(__xludf.dummyfunction("""COMPUTED_VALUE"""),45254.5451388889)</f>
        <v>45254.5451388889</v>
      </c>
      <c r="B730" s="2" t="n">
        <f aca="false">IFERROR(__xludf.dummyfunction("""COMPUTED_VALUE"""),138.03)</f>
        <v>138.03</v>
      </c>
      <c r="C730" s="2" t="n">
        <f aca="false">IFERROR(__xludf.dummyfunction("""COMPUTED_VALUE"""),138.13)</f>
        <v>138.13</v>
      </c>
      <c r="D730" s="2" t="n">
        <f aca="false">IFERROR(__xludf.dummyfunction("""COMPUTED_VALUE"""),135.99)</f>
        <v>135.99</v>
      </c>
      <c r="E730" s="2" t="n">
        <f aca="false">IFERROR(__xludf.dummyfunction("""COMPUTED_VALUE"""),136.69)</f>
        <v>136.69</v>
      </c>
      <c r="F730" s="2" t="n">
        <f aca="false">IFERROR(__xludf.dummyfunction("""COMPUTED_VALUE"""),12514322)</f>
        <v>12514322</v>
      </c>
    </row>
    <row r="731" customFormat="false" ht="15.75" hidden="false" customHeight="false" outlineLevel="0" collapsed="false">
      <c r="A731" s="3" t="n">
        <f aca="false">IFERROR(__xludf.dummyfunction("""COMPUTED_VALUE"""),45257.6666666667)</f>
        <v>45257.6666666667</v>
      </c>
      <c r="B731" s="2" t="n">
        <f aca="false">IFERROR(__xludf.dummyfunction("""COMPUTED_VALUE"""),136.03)</f>
        <v>136.03</v>
      </c>
      <c r="C731" s="2" t="n">
        <f aca="false">IFERROR(__xludf.dummyfunction("""COMPUTED_VALUE"""),138.42)</f>
        <v>138.42</v>
      </c>
      <c r="D731" s="2" t="n">
        <f aca="false">IFERROR(__xludf.dummyfunction("""COMPUTED_VALUE"""),136)</f>
        <v>136</v>
      </c>
      <c r="E731" s="2" t="n">
        <f aca="false">IFERROR(__xludf.dummyfunction("""COMPUTED_VALUE"""),136.41)</f>
        <v>136.41</v>
      </c>
      <c r="F731" s="2" t="n">
        <f aca="false">IFERROR(__xludf.dummyfunction("""COMPUTED_VALUE"""),23436526)</f>
        <v>23436526</v>
      </c>
    </row>
    <row r="732" customFormat="false" ht="15.75" hidden="false" customHeight="false" outlineLevel="0" collapsed="false">
      <c r="A732" s="3" t="n">
        <f aca="false">IFERROR(__xludf.dummyfunction("""COMPUTED_VALUE"""),45258.6666666667)</f>
        <v>45258.6666666667</v>
      </c>
      <c r="B732" s="2" t="n">
        <f aca="false">IFERROR(__xludf.dummyfunction("""COMPUTED_VALUE"""),136.08)</f>
        <v>136.08</v>
      </c>
      <c r="C732" s="2" t="n">
        <f aca="false">IFERROR(__xludf.dummyfunction("""COMPUTED_VALUE"""),137.25)</f>
        <v>137.25</v>
      </c>
      <c r="D732" s="2" t="n">
        <f aca="false">IFERROR(__xludf.dummyfunction("""COMPUTED_VALUE"""),135.42)</f>
        <v>135.42</v>
      </c>
      <c r="E732" s="2" t="n">
        <f aca="false">IFERROR(__xludf.dummyfunction("""COMPUTED_VALUE"""),137.2)</f>
        <v>137.2</v>
      </c>
      <c r="F732" s="2" t="n">
        <f aca="false">IFERROR(__xludf.dummyfunction("""COMPUTED_VALUE"""),18730032)</f>
        <v>18730032</v>
      </c>
    </row>
    <row r="733" customFormat="false" ht="15.75" hidden="false" customHeight="false" outlineLevel="0" collapsed="false">
      <c r="A733" s="3" t="n">
        <f aca="false">IFERROR(__xludf.dummyfunction("""COMPUTED_VALUE"""),45259.6666666667)</f>
        <v>45259.6666666667</v>
      </c>
      <c r="B733" s="2" t="n">
        <f aca="false">IFERROR(__xludf.dummyfunction("""COMPUTED_VALUE"""),137.57)</f>
        <v>137.57</v>
      </c>
      <c r="C733" s="2" t="n">
        <f aca="false">IFERROR(__xludf.dummyfunction("""COMPUTED_VALUE"""),138.29)</f>
        <v>138.29</v>
      </c>
      <c r="D733" s="2" t="n">
        <f aca="false">IFERROR(__xludf.dummyfunction("""COMPUTED_VALUE"""),134.84)</f>
        <v>134.84</v>
      </c>
      <c r="E733" s="2" t="n">
        <f aca="false">IFERROR(__xludf.dummyfunction("""COMPUTED_VALUE"""),134.99)</f>
        <v>134.99</v>
      </c>
      <c r="F733" s="2" t="n">
        <f aca="false">IFERROR(__xludf.dummyfunction("""COMPUTED_VALUE"""),23967222)</f>
        <v>23967222</v>
      </c>
    </row>
    <row r="734" customFormat="false" ht="15.75" hidden="false" customHeight="false" outlineLevel="0" collapsed="false">
      <c r="A734" s="3" t="n">
        <f aca="false">IFERROR(__xludf.dummyfunction("""COMPUTED_VALUE"""),45260.6666666667)</f>
        <v>45260.6666666667</v>
      </c>
      <c r="B734" s="2" t="n">
        <f aca="false">IFERROR(__xludf.dummyfunction("""COMPUTED_VALUE"""),135.05)</f>
        <v>135.05</v>
      </c>
      <c r="C734" s="2" t="n">
        <f aca="false">IFERROR(__xludf.dummyfunction("""COMPUTED_VALUE"""),135.55)</f>
        <v>135.55</v>
      </c>
      <c r="D734" s="2" t="n">
        <f aca="false">IFERROR(__xludf.dummyfunction("""COMPUTED_VALUE"""),131.28)</f>
        <v>131.28</v>
      </c>
      <c r="E734" s="2" t="n">
        <f aca="false">IFERROR(__xludf.dummyfunction("""COMPUTED_VALUE"""),132.53)</f>
        <v>132.53</v>
      </c>
      <c r="F734" s="2" t="n">
        <f aca="false">IFERROR(__xludf.dummyfunction("""COMPUTED_VALUE"""),38988263)</f>
        <v>38988263</v>
      </c>
    </row>
    <row r="735" customFormat="false" ht="15.75" hidden="false" customHeight="false" outlineLevel="0" collapsed="false">
      <c r="A735" s="3" t="n">
        <f aca="false">IFERROR(__xludf.dummyfunction("""COMPUTED_VALUE"""),45261.6666666667)</f>
        <v>45261.6666666667</v>
      </c>
      <c r="B735" s="2" t="n">
        <f aca="false">IFERROR(__xludf.dummyfunction("""COMPUTED_VALUE"""),131.86)</f>
        <v>131.86</v>
      </c>
      <c r="C735" s="2" t="n">
        <f aca="false">IFERROR(__xludf.dummyfunction("""COMPUTED_VALUE"""),132.11)</f>
        <v>132.11</v>
      </c>
      <c r="D735" s="2" t="n">
        <f aca="false">IFERROR(__xludf.dummyfunction("""COMPUTED_VALUE"""),130.67)</f>
        <v>130.67</v>
      </c>
      <c r="E735" s="2" t="n">
        <f aca="false">IFERROR(__xludf.dummyfunction("""COMPUTED_VALUE"""),131.86)</f>
        <v>131.86</v>
      </c>
      <c r="F735" s="2" t="n">
        <f aca="false">IFERROR(__xludf.dummyfunction("""COMPUTED_VALUE"""),31442263)</f>
        <v>31442263</v>
      </c>
    </row>
    <row r="736" customFormat="false" ht="15.75" hidden="false" customHeight="false" outlineLevel="0" collapsed="false">
      <c r="A736" s="3" t="n">
        <f aca="false">IFERROR(__xludf.dummyfunction("""COMPUTED_VALUE"""),45264.6666666667)</f>
        <v>45264.6666666667</v>
      </c>
      <c r="B736" s="2" t="n">
        <f aca="false">IFERROR(__xludf.dummyfunction("""COMPUTED_VALUE"""),129.88)</f>
        <v>129.88</v>
      </c>
      <c r="C736" s="2" t="n">
        <f aca="false">IFERROR(__xludf.dummyfunction("""COMPUTED_VALUE"""),130.03)</f>
        <v>130.03</v>
      </c>
      <c r="D736" s="2" t="n">
        <f aca="false">IFERROR(__xludf.dummyfunction("""COMPUTED_VALUE"""),127.9)</f>
        <v>127.9</v>
      </c>
      <c r="E736" s="2" t="n">
        <f aca="false">IFERROR(__xludf.dummyfunction("""COMPUTED_VALUE"""),129.27)</f>
        <v>129.27</v>
      </c>
      <c r="F736" s="2" t="n">
        <f aca="false">IFERROR(__xludf.dummyfunction("""COMPUTED_VALUE"""),36669876)</f>
        <v>36669876</v>
      </c>
    </row>
    <row r="737" customFormat="false" ht="15.75" hidden="false" customHeight="false" outlineLevel="0" collapsed="false">
      <c r="A737" s="3" t="n">
        <f aca="false">IFERROR(__xludf.dummyfunction("""COMPUTED_VALUE"""),45265.6666666667)</f>
        <v>45265.6666666667</v>
      </c>
      <c r="B737" s="2" t="n">
        <f aca="false">IFERROR(__xludf.dummyfunction("""COMPUTED_VALUE"""),128.95)</f>
        <v>128.95</v>
      </c>
      <c r="C737" s="2" t="n">
        <f aca="false">IFERROR(__xludf.dummyfunction("""COMPUTED_VALUE"""),132.14)</f>
        <v>132.14</v>
      </c>
      <c r="D737" s="2" t="n">
        <f aca="false">IFERROR(__xludf.dummyfunction("""COMPUTED_VALUE"""),128.25)</f>
        <v>128.25</v>
      </c>
      <c r="E737" s="2" t="n">
        <f aca="false">IFERROR(__xludf.dummyfunction("""COMPUTED_VALUE"""),130.99)</f>
        <v>130.99</v>
      </c>
      <c r="F737" s="2" t="n">
        <f aca="false">IFERROR(__xludf.dummyfunction("""COMPUTED_VALUE"""),27384784)</f>
        <v>27384784</v>
      </c>
    </row>
    <row r="738" customFormat="false" ht="15.75" hidden="false" customHeight="false" outlineLevel="0" collapsed="false">
      <c r="A738" s="3" t="n">
        <f aca="false">IFERROR(__xludf.dummyfunction("""COMPUTED_VALUE"""),45266.6666666667)</f>
        <v>45266.6666666667</v>
      </c>
      <c r="B738" s="2" t="n">
        <f aca="false">IFERROR(__xludf.dummyfunction("""COMPUTED_VALUE"""),131.44)</f>
        <v>131.44</v>
      </c>
      <c r="C738" s="2" t="n">
        <f aca="false">IFERROR(__xludf.dummyfunction("""COMPUTED_VALUE"""),131.84)</f>
        <v>131.84</v>
      </c>
      <c r="D738" s="2" t="n">
        <f aca="false">IFERROR(__xludf.dummyfunction("""COMPUTED_VALUE"""),129.88)</f>
        <v>129.88</v>
      </c>
      <c r="E738" s="2" t="n">
        <f aca="false">IFERROR(__xludf.dummyfunction("""COMPUTED_VALUE"""),130.02)</f>
        <v>130.02</v>
      </c>
      <c r="F738" s="2" t="n">
        <f aca="false">IFERROR(__xludf.dummyfunction("""COMPUTED_VALUE"""),23576176)</f>
        <v>23576176</v>
      </c>
    </row>
    <row r="739" customFormat="false" ht="15.75" hidden="false" customHeight="false" outlineLevel="0" collapsed="false">
      <c r="A739" s="3" t="n">
        <f aca="false">IFERROR(__xludf.dummyfunction("""COMPUTED_VALUE"""),45267.6666666667)</f>
        <v>45267.6666666667</v>
      </c>
      <c r="B739" s="2" t="n">
        <f aca="false">IFERROR(__xludf.dummyfunction("""COMPUTED_VALUE"""),135.04)</f>
        <v>135.04</v>
      </c>
      <c r="C739" s="2" t="n">
        <f aca="false">IFERROR(__xludf.dummyfunction("""COMPUTED_VALUE"""),138.56)</f>
        <v>138.56</v>
      </c>
      <c r="D739" s="2" t="n">
        <f aca="false">IFERROR(__xludf.dummyfunction("""COMPUTED_VALUE"""),134.7)</f>
        <v>134.7</v>
      </c>
      <c r="E739" s="2" t="n">
        <f aca="false">IFERROR(__xludf.dummyfunction("""COMPUTED_VALUE"""),136.93)</f>
        <v>136.93</v>
      </c>
      <c r="F739" s="2" t="n">
        <f aca="false">IFERROR(__xludf.dummyfunction("""COMPUTED_VALUE"""),56767100)</f>
        <v>56767100</v>
      </c>
    </row>
    <row r="740" customFormat="false" ht="15.75" hidden="false" customHeight="false" outlineLevel="0" collapsed="false">
      <c r="A740" s="3" t="n">
        <f aca="false">IFERROR(__xludf.dummyfunction("""COMPUTED_VALUE"""),45268.6666666667)</f>
        <v>45268.6666666667</v>
      </c>
      <c r="B740" s="2" t="n">
        <f aca="false">IFERROR(__xludf.dummyfunction("""COMPUTED_VALUE"""),134.2)</f>
        <v>134.2</v>
      </c>
      <c r="C740" s="2" t="n">
        <f aca="false">IFERROR(__xludf.dummyfunction("""COMPUTED_VALUE"""),136.4)</f>
        <v>136.4</v>
      </c>
      <c r="D740" s="2" t="n">
        <f aca="false">IFERROR(__xludf.dummyfunction("""COMPUTED_VALUE"""),134.03)</f>
        <v>134.03</v>
      </c>
      <c r="E740" s="2" t="n">
        <f aca="false">IFERROR(__xludf.dummyfunction("""COMPUTED_VALUE"""),134.99)</f>
        <v>134.99</v>
      </c>
      <c r="F740" s="2" t="n">
        <f aca="false">IFERROR(__xludf.dummyfunction("""COMPUTED_VALUE"""),32260112)</f>
        <v>32260112</v>
      </c>
    </row>
    <row r="741" customFormat="false" ht="15.75" hidden="false" customHeight="false" outlineLevel="0" collapsed="false">
      <c r="A741" s="3" t="n">
        <f aca="false">IFERROR(__xludf.dummyfunction("""COMPUTED_VALUE"""),45271.6666666667)</f>
        <v>45271.6666666667</v>
      </c>
      <c r="B741" s="2" t="n">
        <f aca="false">IFERROR(__xludf.dummyfunction("""COMPUTED_VALUE"""),132.38)</f>
        <v>132.38</v>
      </c>
      <c r="C741" s="2" t="n">
        <f aca="false">IFERROR(__xludf.dummyfunction("""COMPUTED_VALUE"""),133.34)</f>
        <v>133.34</v>
      </c>
      <c r="D741" s="2" t="n">
        <f aca="false">IFERROR(__xludf.dummyfunction("""COMPUTED_VALUE"""),131.36)</f>
        <v>131.36</v>
      </c>
      <c r="E741" s="2" t="n">
        <f aca="false">IFERROR(__xludf.dummyfunction("""COMPUTED_VALUE"""),133.29)</f>
        <v>133.29</v>
      </c>
      <c r="F741" s="2" t="n">
        <f aca="false">IFERROR(__xludf.dummyfunction("""COMPUTED_VALUE"""),31138011)</f>
        <v>31138011</v>
      </c>
    </row>
    <row r="742" customFormat="false" ht="15.75" hidden="false" customHeight="false" outlineLevel="0" collapsed="false">
      <c r="A742" s="3" t="n">
        <f aca="false">IFERROR(__xludf.dummyfunction("""COMPUTED_VALUE"""),45272.6666666667)</f>
        <v>45272.6666666667</v>
      </c>
      <c r="B742" s="2" t="n">
        <f aca="false">IFERROR(__xludf.dummyfunction("""COMPUTED_VALUE"""),131.81)</f>
        <v>131.81</v>
      </c>
      <c r="C742" s="2" t="n">
        <f aca="false">IFERROR(__xludf.dummyfunction("""COMPUTED_VALUE"""),133)</f>
        <v>133</v>
      </c>
      <c r="D742" s="2" t="n">
        <f aca="false">IFERROR(__xludf.dummyfunction("""COMPUTED_VALUE"""),131.26)</f>
        <v>131.26</v>
      </c>
      <c r="E742" s="2" t="n">
        <f aca="false">IFERROR(__xludf.dummyfunction("""COMPUTED_VALUE"""),132.52)</f>
        <v>132.52</v>
      </c>
      <c r="F742" s="2" t="n">
        <f aca="false">IFERROR(__xludf.dummyfunction("""COMPUTED_VALUE"""),29032831)</f>
        <v>29032831</v>
      </c>
    </row>
    <row r="743" customFormat="false" ht="15.75" hidden="false" customHeight="false" outlineLevel="0" collapsed="false">
      <c r="A743" s="3" t="n">
        <f aca="false">IFERROR(__xludf.dummyfunction("""COMPUTED_VALUE"""),45273.6666666667)</f>
        <v>45273.6666666667</v>
      </c>
      <c r="B743" s="2" t="n">
        <f aca="false">IFERROR(__xludf.dummyfunction("""COMPUTED_VALUE"""),133.38)</f>
        <v>133.38</v>
      </c>
      <c r="C743" s="2" t="n">
        <f aca="false">IFERROR(__xludf.dummyfunction("""COMPUTED_VALUE"""),133.5)</f>
        <v>133.5</v>
      </c>
      <c r="D743" s="2" t="n">
        <f aca="false">IFERROR(__xludf.dummyfunction("""COMPUTED_VALUE"""),131.57)</f>
        <v>131.57</v>
      </c>
      <c r="E743" s="2" t="n">
        <f aca="false">IFERROR(__xludf.dummyfunction("""COMPUTED_VALUE"""),132.57)</f>
        <v>132.57</v>
      </c>
      <c r="F743" s="2" t="n">
        <f aca="false">IFERROR(__xludf.dummyfunction("""COMPUTED_VALUE"""),30104775)</f>
        <v>30104775</v>
      </c>
    </row>
    <row r="744" customFormat="false" ht="15.75" hidden="false" customHeight="false" outlineLevel="0" collapsed="false">
      <c r="A744" s="3" t="n">
        <f aca="false">IFERROR(__xludf.dummyfunction("""COMPUTED_VALUE"""),45274.6666666667)</f>
        <v>45274.6666666667</v>
      </c>
      <c r="B744" s="2" t="n">
        <f aca="false">IFERROR(__xludf.dummyfunction("""COMPUTED_VALUE"""),133.38)</f>
        <v>133.38</v>
      </c>
      <c r="C744" s="2" t="n">
        <f aca="false">IFERROR(__xludf.dummyfunction("""COMPUTED_VALUE"""),133.72)</f>
        <v>133.72</v>
      </c>
      <c r="D744" s="2" t="n">
        <f aca="false">IFERROR(__xludf.dummyfunction("""COMPUTED_VALUE"""),129.69)</f>
        <v>129.69</v>
      </c>
      <c r="E744" s="2" t="n">
        <f aca="false">IFERROR(__xludf.dummyfunction("""COMPUTED_VALUE"""),131.94)</f>
        <v>131.94</v>
      </c>
      <c r="F744" s="2" t="n">
        <f aca="false">IFERROR(__xludf.dummyfunction("""COMPUTED_VALUE"""),38722413)</f>
        <v>38722413</v>
      </c>
    </row>
    <row r="745" customFormat="false" ht="15.75" hidden="false" customHeight="false" outlineLevel="0" collapsed="false">
      <c r="A745" s="3" t="n">
        <f aca="false">IFERROR(__xludf.dummyfunction("""COMPUTED_VALUE"""),45275.6666666667)</f>
        <v>45275.6666666667</v>
      </c>
      <c r="B745" s="2" t="n">
        <f aca="false">IFERROR(__xludf.dummyfunction("""COMPUTED_VALUE"""),131.62)</f>
        <v>131.62</v>
      </c>
      <c r="C745" s="2" t="n">
        <f aca="false">IFERROR(__xludf.dummyfunction("""COMPUTED_VALUE"""),133.51)</f>
        <v>133.51</v>
      </c>
      <c r="D745" s="2" t="n">
        <f aca="false">IFERROR(__xludf.dummyfunction("""COMPUTED_VALUE"""),131.18)</f>
        <v>131.18</v>
      </c>
      <c r="E745" s="2" t="n">
        <f aca="false">IFERROR(__xludf.dummyfunction("""COMPUTED_VALUE"""),132.6)</f>
        <v>132.6</v>
      </c>
      <c r="F745" s="2" t="n">
        <f aca="false">IFERROR(__xludf.dummyfunction("""COMPUTED_VALUE"""),50847113)</f>
        <v>50847113</v>
      </c>
    </row>
    <row r="746" customFormat="false" ht="15.75" hidden="false" customHeight="false" outlineLevel="0" collapsed="false">
      <c r="A746" s="3" t="n">
        <f aca="false">IFERROR(__xludf.dummyfunction("""COMPUTED_VALUE"""),45278.6666666667)</f>
        <v>45278.6666666667</v>
      </c>
      <c r="B746" s="2" t="n">
        <f aca="false">IFERROR(__xludf.dummyfunction("""COMPUTED_VALUE"""),132.63)</f>
        <v>132.63</v>
      </c>
      <c r="C746" s="2" t="n">
        <f aca="false">IFERROR(__xludf.dummyfunction("""COMPUTED_VALUE"""),137.15)</f>
        <v>137.15</v>
      </c>
      <c r="D746" s="2" t="n">
        <f aca="false">IFERROR(__xludf.dummyfunction("""COMPUTED_VALUE"""),132.43)</f>
        <v>132.43</v>
      </c>
      <c r="E746" s="2" t="n">
        <f aca="false">IFERROR(__xludf.dummyfunction("""COMPUTED_VALUE"""),135.8)</f>
        <v>135.8</v>
      </c>
      <c r="F746" s="2" t="n">
        <f aca="false">IFERROR(__xludf.dummyfunction("""COMPUTED_VALUE"""),32257967)</f>
        <v>32257967</v>
      </c>
    </row>
    <row r="747" customFormat="false" ht="15.75" hidden="false" customHeight="false" outlineLevel="0" collapsed="false">
      <c r="A747" s="3" t="n">
        <f aca="false">IFERROR(__xludf.dummyfunction("""COMPUTED_VALUE"""),45279.6666666667)</f>
        <v>45279.6666666667</v>
      </c>
      <c r="B747" s="2" t="n">
        <f aca="false">IFERROR(__xludf.dummyfunction("""COMPUTED_VALUE"""),136.84)</f>
        <v>136.84</v>
      </c>
      <c r="C747" s="2" t="n">
        <f aca="false">IFERROR(__xludf.dummyfunction("""COMPUTED_VALUE"""),137.47)</f>
        <v>137.47</v>
      </c>
      <c r="D747" s="2" t="n">
        <f aca="false">IFERROR(__xludf.dummyfunction("""COMPUTED_VALUE"""),136.08)</f>
        <v>136.08</v>
      </c>
      <c r="E747" s="2" t="n">
        <f aca="false">IFERROR(__xludf.dummyfunction("""COMPUTED_VALUE"""),136.65)</f>
        <v>136.65</v>
      </c>
      <c r="F747" s="2" t="n">
        <f aca="false">IFERROR(__xludf.dummyfunction("""COMPUTED_VALUE"""),25476753)</f>
        <v>25476753</v>
      </c>
    </row>
    <row r="748" customFormat="false" ht="15.75" hidden="false" customHeight="false" outlineLevel="0" collapsed="false">
      <c r="A748" s="3" t="n">
        <f aca="false">IFERROR(__xludf.dummyfunction("""COMPUTED_VALUE"""),45280.6666666667)</f>
        <v>45280.6666666667</v>
      </c>
      <c r="B748" s="2" t="n">
        <f aca="false">IFERROR(__xludf.dummyfunction("""COMPUTED_VALUE"""),138.97)</f>
        <v>138.97</v>
      </c>
      <c r="C748" s="2" t="n">
        <f aca="false">IFERROR(__xludf.dummyfunction("""COMPUTED_VALUE"""),141.7)</f>
        <v>141.7</v>
      </c>
      <c r="D748" s="2" t="n">
        <f aca="false">IFERROR(__xludf.dummyfunction("""COMPUTED_VALUE"""),138.07)</f>
        <v>138.07</v>
      </c>
      <c r="E748" s="2" t="n">
        <f aca="false">IFERROR(__xludf.dummyfunction("""COMPUTED_VALUE"""),138.34)</f>
        <v>138.34</v>
      </c>
      <c r="F748" s="2" t="n">
        <f aca="false">IFERROR(__xludf.dummyfunction("""COMPUTED_VALUE"""),49107179)</f>
        <v>49107179</v>
      </c>
    </row>
    <row r="749" customFormat="false" ht="15.75" hidden="false" customHeight="false" outlineLevel="0" collapsed="false">
      <c r="A749" s="3" t="n">
        <f aca="false">IFERROR(__xludf.dummyfunction("""COMPUTED_VALUE"""),45281.6666666667)</f>
        <v>45281.6666666667</v>
      </c>
      <c r="B749" s="2" t="n">
        <f aca="false">IFERROR(__xludf.dummyfunction("""COMPUTED_VALUE"""),139.49)</f>
        <v>139.49</v>
      </c>
      <c r="C749" s="2" t="n">
        <f aca="false">IFERROR(__xludf.dummyfunction("""COMPUTED_VALUE"""),140.69)</f>
        <v>140.69</v>
      </c>
      <c r="D749" s="2" t="n">
        <f aca="false">IFERROR(__xludf.dummyfunction("""COMPUTED_VALUE"""),139.18)</f>
        <v>139.18</v>
      </c>
      <c r="E749" s="2" t="n">
        <f aca="false">IFERROR(__xludf.dummyfunction("""COMPUTED_VALUE"""),140.42)</f>
        <v>140.42</v>
      </c>
      <c r="F749" s="2" t="n">
        <f aca="false">IFERROR(__xludf.dummyfunction("""COMPUTED_VALUE"""),27488284)</f>
        <v>27488284</v>
      </c>
    </row>
    <row r="750" customFormat="false" ht="15.75" hidden="false" customHeight="false" outlineLevel="0" collapsed="false">
      <c r="A750" s="3" t="n">
        <f aca="false">IFERROR(__xludf.dummyfunction("""COMPUTED_VALUE"""),45282.6666666667)</f>
        <v>45282.6666666667</v>
      </c>
      <c r="B750" s="2" t="n">
        <f aca="false">IFERROR(__xludf.dummyfunction("""COMPUTED_VALUE"""),140.77)</f>
        <v>140.77</v>
      </c>
      <c r="C750" s="2" t="n">
        <f aca="false">IFERROR(__xludf.dummyfunction("""COMPUTED_VALUE"""),141.99)</f>
        <v>141.99</v>
      </c>
      <c r="D750" s="2" t="n">
        <f aca="false">IFERROR(__xludf.dummyfunction("""COMPUTED_VALUE"""),140.71)</f>
        <v>140.71</v>
      </c>
      <c r="E750" s="2" t="n">
        <f aca="false">IFERROR(__xludf.dummyfunction("""COMPUTED_VALUE"""),141.49)</f>
        <v>141.49</v>
      </c>
      <c r="F750" s="2" t="n">
        <f aca="false">IFERROR(__xludf.dummyfunction("""COMPUTED_VALUE"""),26532199)</f>
        <v>26532199</v>
      </c>
    </row>
    <row r="751" customFormat="false" ht="15.75" hidden="false" customHeight="false" outlineLevel="0" collapsed="false">
      <c r="A751" s="3" t="n">
        <f aca="false">IFERROR(__xludf.dummyfunction("""COMPUTED_VALUE"""),45286.6666666667)</f>
        <v>45286.6666666667</v>
      </c>
      <c r="B751" s="2" t="n">
        <f aca="false">IFERROR(__xludf.dummyfunction("""COMPUTED_VALUE"""),141.59)</f>
        <v>141.59</v>
      </c>
      <c r="C751" s="2" t="n">
        <f aca="false">IFERROR(__xludf.dummyfunction("""COMPUTED_VALUE"""),142.68)</f>
        <v>142.68</v>
      </c>
      <c r="D751" s="2" t="n">
        <f aca="false">IFERROR(__xludf.dummyfunction("""COMPUTED_VALUE"""),141.19)</f>
        <v>141.19</v>
      </c>
      <c r="E751" s="2" t="n">
        <f aca="false">IFERROR(__xludf.dummyfunction("""COMPUTED_VALUE"""),141.52)</f>
        <v>141.52</v>
      </c>
      <c r="F751" s="2" t="n">
        <f aca="false">IFERROR(__xludf.dummyfunction("""COMPUTED_VALUE"""),16780333)</f>
        <v>16780333</v>
      </c>
    </row>
    <row r="752" customFormat="false" ht="15.75" hidden="false" customHeight="false" outlineLevel="0" collapsed="false">
      <c r="A752" s="3" t="n">
        <f aca="false">IFERROR(__xludf.dummyfunction("""COMPUTED_VALUE"""),45287.6666666667)</f>
        <v>45287.6666666667</v>
      </c>
      <c r="B752" s="2" t="n">
        <f aca="false">IFERROR(__xludf.dummyfunction("""COMPUTED_VALUE"""),141.59)</f>
        <v>141.59</v>
      </c>
      <c r="C752" s="2" t="n">
        <f aca="false">IFERROR(__xludf.dummyfunction("""COMPUTED_VALUE"""),142.08)</f>
        <v>142.08</v>
      </c>
      <c r="D752" s="2" t="n">
        <f aca="false">IFERROR(__xludf.dummyfunction("""COMPUTED_VALUE"""),139.89)</f>
        <v>139.89</v>
      </c>
      <c r="E752" s="2" t="n">
        <f aca="false">IFERROR(__xludf.dummyfunction("""COMPUTED_VALUE"""),140.37)</f>
        <v>140.37</v>
      </c>
      <c r="F752" s="2" t="n">
        <f aca="false">IFERROR(__xludf.dummyfunction("""COMPUTED_VALUE"""),19628618)</f>
        <v>19628618</v>
      </c>
    </row>
    <row r="753" customFormat="false" ht="15.75" hidden="false" customHeight="false" outlineLevel="0" collapsed="false">
      <c r="A753" s="3" t="n">
        <f aca="false">IFERROR(__xludf.dummyfunction("""COMPUTED_VALUE"""),45288.6666666667)</f>
        <v>45288.6666666667</v>
      </c>
      <c r="B753" s="2" t="n">
        <f aca="false">IFERROR(__xludf.dummyfunction("""COMPUTED_VALUE"""),140.78)</f>
        <v>140.78</v>
      </c>
      <c r="C753" s="2" t="n">
        <f aca="false">IFERROR(__xludf.dummyfunction("""COMPUTED_VALUE"""),141.14)</f>
        <v>141.14</v>
      </c>
      <c r="D753" s="2" t="n">
        <f aca="false">IFERROR(__xludf.dummyfunction("""COMPUTED_VALUE"""),139.75)</f>
        <v>139.75</v>
      </c>
      <c r="E753" s="2" t="n">
        <f aca="false">IFERROR(__xludf.dummyfunction("""COMPUTED_VALUE"""),140.23)</f>
        <v>140.23</v>
      </c>
      <c r="F753" s="2" t="n">
        <f aca="false">IFERROR(__xludf.dummyfunction("""COMPUTED_VALUE"""),16045712)</f>
        <v>16045712</v>
      </c>
    </row>
    <row r="754" customFormat="false" ht="15.75" hidden="false" customHeight="false" outlineLevel="0" collapsed="false">
      <c r="A754" s="3" t="n">
        <f aca="false">IFERROR(__xludf.dummyfunction("""COMPUTED_VALUE"""),45289.6666666667)</f>
        <v>45289.6666666667</v>
      </c>
      <c r="B754" s="2" t="n">
        <f aca="false">IFERROR(__xludf.dummyfunction("""COMPUTED_VALUE"""),139.63)</f>
        <v>139.63</v>
      </c>
      <c r="C754" s="2" t="n">
        <f aca="false">IFERROR(__xludf.dummyfunction("""COMPUTED_VALUE"""),140.36)</f>
        <v>140.36</v>
      </c>
      <c r="D754" s="2" t="n">
        <f aca="false">IFERROR(__xludf.dummyfunction("""COMPUTED_VALUE"""),138.78)</f>
        <v>138.78</v>
      </c>
      <c r="E754" s="2" t="n">
        <f aca="false">IFERROR(__xludf.dummyfunction("""COMPUTED_VALUE"""),139.69)</f>
        <v>139.69</v>
      </c>
      <c r="F754" s="2" t="n">
        <f aca="false">IFERROR(__xludf.dummyfunction("""COMPUTED_VALUE"""),18733017)</f>
        <v>18733017</v>
      </c>
    </row>
    <row r="755" customFormat="false" ht="15.75" hidden="false" customHeight="false" outlineLevel="0" collapsed="false">
      <c r="A755" s="3" t="n">
        <f aca="false">IFERROR(__xludf.dummyfunction("""COMPUTED_VALUE"""),45293.6666666667)</f>
        <v>45293.6666666667</v>
      </c>
      <c r="B755" s="2" t="n">
        <f aca="false">IFERROR(__xludf.dummyfunction("""COMPUTED_VALUE"""),138.55)</f>
        <v>138.55</v>
      </c>
      <c r="C755" s="2" t="n">
        <f aca="false">IFERROR(__xludf.dummyfunction("""COMPUTED_VALUE"""),139.45)</f>
        <v>139.45</v>
      </c>
      <c r="D755" s="2" t="n">
        <f aca="false">IFERROR(__xludf.dummyfunction("""COMPUTED_VALUE"""),136.48)</f>
        <v>136.48</v>
      </c>
      <c r="E755" s="2" t="n">
        <f aca="false">IFERROR(__xludf.dummyfunction("""COMPUTED_VALUE"""),138.17)</f>
        <v>138.17</v>
      </c>
      <c r="F755" s="2" t="n">
        <f aca="false">IFERROR(__xludf.dummyfunction("""COMPUTED_VALUE"""),23711220)</f>
        <v>23711220</v>
      </c>
    </row>
    <row r="756" customFormat="false" ht="15.75" hidden="false" customHeight="false" outlineLevel="0" collapsed="false">
      <c r="A756" s="3" t="n">
        <f aca="false">IFERROR(__xludf.dummyfunction("""COMPUTED_VALUE"""),45294.6666666667)</f>
        <v>45294.6666666667</v>
      </c>
      <c r="B756" s="2" t="n">
        <f aca="false">IFERROR(__xludf.dummyfunction("""COMPUTED_VALUE"""),137.25)</f>
        <v>137.25</v>
      </c>
      <c r="C756" s="2" t="n">
        <f aca="false">IFERROR(__xludf.dummyfunction("""COMPUTED_VALUE"""),139.63)</f>
        <v>139.63</v>
      </c>
      <c r="D756" s="2" t="n">
        <f aca="false">IFERROR(__xludf.dummyfunction("""COMPUTED_VALUE"""),137.08)</f>
        <v>137.08</v>
      </c>
      <c r="E756" s="2" t="n">
        <f aca="false">IFERROR(__xludf.dummyfunction("""COMPUTED_VALUE"""),138.92)</f>
        <v>138.92</v>
      </c>
      <c r="F756" s="2" t="n">
        <f aca="false">IFERROR(__xludf.dummyfunction("""COMPUTED_VALUE"""),24212147)</f>
        <v>24212147</v>
      </c>
    </row>
    <row r="757" customFormat="false" ht="15.75" hidden="false" customHeight="false" outlineLevel="0" collapsed="false">
      <c r="A757" s="3" t="n">
        <f aca="false">IFERROR(__xludf.dummyfunction("""COMPUTED_VALUE"""),45295.6666666667)</f>
        <v>45295.6666666667</v>
      </c>
      <c r="B757" s="2" t="n">
        <f aca="false">IFERROR(__xludf.dummyfunction("""COMPUTED_VALUE"""),138.42)</f>
        <v>138.42</v>
      </c>
      <c r="C757" s="2" t="n">
        <f aca="false">IFERROR(__xludf.dummyfunction("""COMPUTED_VALUE"""),139.16)</f>
        <v>139.16</v>
      </c>
      <c r="D757" s="2" t="n">
        <f aca="false">IFERROR(__xludf.dummyfunction("""COMPUTED_VALUE"""),136.35)</f>
        <v>136.35</v>
      </c>
      <c r="E757" s="2" t="n">
        <f aca="false">IFERROR(__xludf.dummyfunction("""COMPUTED_VALUE"""),136.39)</f>
        <v>136.39</v>
      </c>
      <c r="F757" s="2" t="n">
        <f aca="false">IFERROR(__xludf.dummyfunction("""COMPUTED_VALUE"""),27137735)</f>
        <v>27137735</v>
      </c>
    </row>
    <row r="758" customFormat="false" ht="15.75" hidden="false" customHeight="false" outlineLevel="0" collapsed="false">
      <c r="A758" s="3" t="n">
        <f aca="false">IFERROR(__xludf.dummyfunction("""COMPUTED_VALUE"""),45296.6666666667)</f>
        <v>45296.6666666667</v>
      </c>
      <c r="B758" s="2" t="n">
        <f aca="false">IFERROR(__xludf.dummyfunction("""COMPUTED_VALUE"""),136.75)</f>
        <v>136.75</v>
      </c>
      <c r="C758" s="2" t="n">
        <f aca="false">IFERROR(__xludf.dummyfunction("""COMPUTED_VALUE"""),137.16)</f>
        <v>137.16</v>
      </c>
      <c r="D758" s="2" t="n">
        <f aca="false">IFERROR(__xludf.dummyfunction("""COMPUTED_VALUE"""),135.15)</f>
        <v>135.15</v>
      </c>
      <c r="E758" s="2" t="n">
        <f aca="false">IFERROR(__xludf.dummyfunction("""COMPUTED_VALUE"""),135.73)</f>
        <v>135.73</v>
      </c>
      <c r="F758" s="2" t="n">
        <f aca="false">IFERROR(__xludf.dummyfunction("""COMPUTED_VALUE"""),22513854)</f>
        <v>22513854</v>
      </c>
    </row>
    <row r="759" customFormat="false" ht="15.75" hidden="false" customHeight="false" outlineLevel="0" collapsed="false">
      <c r="A759" s="3" t="n">
        <f aca="false">IFERROR(__xludf.dummyfunction("""COMPUTED_VALUE"""),45299.6666666667)</f>
        <v>45299.6666666667</v>
      </c>
      <c r="B759" s="2" t="n">
        <f aca="false">IFERROR(__xludf.dummyfunction("""COMPUTED_VALUE"""),136.29)</f>
        <v>136.29</v>
      </c>
      <c r="C759" s="2" t="n">
        <f aca="false">IFERROR(__xludf.dummyfunction("""COMPUTED_VALUE"""),139.01)</f>
        <v>139.01</v>
      </c>
      <c r="D759" s="2" t="n">
        <f aca="false">IFERROR(__xludf.dummyfunction("""COMPUTED_VALUE"""),136.26)</f>
        <v>136.26</v>
      </c>
      <c r="E759" s="2" t="n">
        <f aca="false">IFERROR(__xludf.dummyfunction("""COMPUTED_VALUE"""),138.84)</f>
        <v>138.84</v>
      </c>
      <c r="F759" s="2" t="n">
        <f aca="false">IFERROR(__xludf.dummyfunction("""COMPUTED_VALUE"""),21403982)</f>
        <v>21403982</v>
      </c>
    </row>
    <row r="760" customFormat="false" ht="15.75" hidden="false" customHeight="false" outlineLevel="0" collapsed="false">
      <c r="A760" s="3" t="n">
        <f aca="false">IFERROR(__xludf.dummyfunction("""COMPUTED_VALUE"""),45300.6666666667)</f>
        <v>45300.6666666667</v>
      </c>
      <c r="B760" s="2" t="n">
        <f aca="false">IFERROR(__xludf.dummyfunction("""COMPUTED_VALUE"""),138.5)</f>
        <v>138.5</v>
      </c>
      <c r="C760" s="2" t="n">
        <f aca="false">IFERROR(__xludf.dummyfunction("""COMPUTED_VALUE"""),141.49)</f>
        <v>141.49</v>
      </c>
      <c r="D760" s="2" t="n">
        <f aca="false">IFERROR(__xludf.dummyfunction("""COMPUTED_VALUE"""),138.15)</f>
        <v>138.15</v>
      </c>
      <c r="E760" s="2" t="n">
        <f aca="false">IFERROR(__xludf.dummyfunction("""COMPUTED_VALUE"""),140.95)</f>
        <v>140.95</v>
      </c>
      <c r="F760" s="2" t="n">
        <f aca="false">IFERROR(__xludf.dummyfunction("""COMPUTED_VALUE"""),24759598)</f>
        <v>24759598</v>
      </c>
    </row>
    <row r="761" customFormat="false" ht="15.75" hidden="false" customHeight="false" outlineLevel="0" collapsed="false">
      <c r="A761" s="3" t="n">
        <f aca="false">IFERROR(__xludf.dummyfunction("""COMPUTED_VALUE"""),45301.6666666667)</f>
        <v>45301.6666666667</v>
      </c>
      <c r="B761" s="2" t="n">
        <f aca="false">IFERROR(__xludf.dummyfunction("""COMPUTED_VALUE"""),141)</f>
        <v>141</v>
      </c>
      <c r="C761" s="2" t="n">
        <f aca="false">IFERROR(__xludf.dummyfunction("""COMPUTED_VALUE"""),143)</f>
        <v>143</v>
      </c>
      <c r="D761" s="2" t="n">
        <f aca="false">IFERROR(__xludf.dummyfunction("""COMPUTED_VALUE"""),140.91)</f>
        <v>140.91</v>
      </c>
      <c r="E761" s="2" t="n">
        <f aca="false">IFERROR(__xludf.dummyfunction("""COMPUTED_VALUE"""),142.28)</f>
        <v>142.28</v>
      </c>
      <c r="F761" s="2" t="n">
        <f aca="false">IFERROR(__xludf.dummyfunction("""COMPUTED_VALUE"""),21320203)</f>
        <v>21320203</v>
      </c>
    </row>
    <row r="762" customFormat="false" ht="15.75" hidden="false" customHeight="false" outlineLevel="0" collapsed="false">
      <c r="A762" s="3" t="n">
        <f aca="false">IFERROR(__xludf.dummyfunction("""COMPUTED_VALUE"""),45302.6666666667)</f>
        <v>45302.6666666667</v>
      </c>
      <c r="B762" s="2" t="n">
        <f aca="false">IFERROR(__xludf.dummyfunction("""COMPUTED_VALUE"""),143.49)</f>
        <v>143.49</v>
      </c>
      <c r="C762" s="2" t="n">
        <f aca="false">IFERROR(__xludf.dummyfunction("""COMPUTED_VALUE"""),145.22)</f>
        <v>145.22</v>
      </c>
      <c r="D762" s="2" t="n">
        <f aca="false">IFERROR(__xludf.dummyfunction("""COMPUTED_VALUE"""),140.64)</f>
        <v>140.64</v>
      </c>
      <c r="E762" s="2" t="n">
        <f aca="false">IFERROR(__xludf.dummyfunction("""COMPUTED_VALUE"""),142.08)</f>
        <v>142.08</v>
      </c>
      <c r="F762" s="2" t="n">
        <f aca="false">IFERROR(__xludf.dummyfunction("""COMPUTED_VALUE"""),24008722)</f>
        <v>24008722</v>
      </c>
    </row>
    <row r="763" customFormat="false" ht="15.75" hidden="false" customHeight="false" outlineLevel="0" collapsed="false">
      <c r="A763" s="3" t="n">
        <f aca="false">IFERROR(__xludf.dummyfunction("""COMPUTED_VALUE"""),45303.6666666667)</f>
        <v>45303.6666666667</v>
      </c>
      <c r="B763" s="2" t="n">
        <f aca="false">IFERROR(__xludf.dummyfunction("""COMPUTED_VALUE"""),142.67)</f>
        <v>142.67</v>
      </c>
      <c r="C763" s="2" t="n">
        <f aca="false">IFERROR(__xludf.dummyfunction("""COMPUTED_VALUE"""),143.2)</f>
        <v>143.2</v>
      </c>
      <c r="D763" s="2" t="n">
        <f aca="false">IFERROR(__xludf.dummyfunction("""COMPUTED_VALUE"""),141.82)</f>
        <v>141.82</v>
      </c>
      <c r="E763" s="2" t="n">
        <f aca="false">IFERROR(__xludf.dummyfunction("""COMPUTED_VALUE"""),142.65)</f>
        <v>142.65</v>
      </c>
      <c r="F763" s="2" t="n">
        <f aca="false">IFERROR(__xludf.dummyfunction("""COMPUTED_VALUE"""),18785514)</f>
        <v>18785514</v>
      </c>
    </row>
    <row r="764" customFormat="false" ht="15.75" hidden="false" customHeight="false" outlineLevel="0" collapsed="false">
      <c r="A764" s="3" t="n">
        <f aca="false">IFERROR(__xludf.dummyfunction("""COMPUTED_VALUE"""),45307.6666666667)</f>
        <v>45307.6666666667</v>
      </c>
      <c r="B764" s="2" t="n">
        <f aca="false">IFERROR(__xludf.dummyfunction("""COMPUTED_VALUE"""),142)</f>
        <v>142</v>
      </c>
      <c r="C764" s="2" t="n">
        <f aca="false">IFERROR(__xludf.dummyfunction("""COMPUTED_VALUE"""),144.35)</f>
        <v>144.35</v>
      </c>
      <c r="D764" s="2" t="n">
        <f aca="false">IFERROR(__xludf.dummyfunction("""COMPUTED_VALUE"""),141.45)</f>
        <v>141.45</v>
      </c>
      <c r="E764" s="2" t="n">
        <f aca="false">IFERROR(__xludf.dummyfunction("""COMPUTED_VALUE"""),142.49)</f>
        <v>142.49</v>
      </c>
      <c r="F764" s="2" t="n">
        <f aca="false">IFERROR(__xludf.dummyfunction("""COMPUTED_VALUE"""),22670467)</f>
        <v>22670467</v>
      </c>
    </row>
    <row r="765" customFormat="false" ht="15.75" hidden="false" customHeight="false" outlineLevel="0" collapsed="false">
      <c r="A765" s="3" t="n">
        <f aca="false">IFERROR(__xludf.dummyfunction("""COMPUTED_VALUE"""),45308.6666666667)</f>
        <v>45308.6666666667</v>
      </c>
      <c r="B765" s="2" t="n">
        <f aca="false">IFERROR(__xludf.dummyfunction("""COMPUTED_VALUE"""),141.35)</f>
        <v>141.35</v>
      </c>
      <c r="C765" s="2" t="n">
        <f aca="false">IFERROR(__xludf.dummyfunction("""COMPUTED_VALUE"""),141.84)</f>
        <v>141.84</v>
      </c>
      <c r="D765" s="2" t="n">
        <f aca="false">IFERROR(__xludf.dummyfunction("""COMPUTED_VALUE"""),138.9)</f>
        <v>138.9</v>
      </c>
      <c r="E765" s="2" t="n">
        <f aca="false">IFERROR(__xludf.dummyfunction("""COMPUTED_VALUE"""),141.47)</f>
        <v>141.47</v>
      </c>
      <c r="F765" s="2" t="n">
        <f aca="false">IFERROR(__xludf.dummyfunction("""COMPUTED_VALUE"""),20968649)</f>
        <v>20968649</v>
      </c>
    </row>
    <row r="766" customFormat="false" ht="15.75" hidden="false" customHeight="false" outlineLevel="0" collapsed="false">
      <c r="A766" s="3" t="n">
        <f aca="false">IFERROR(__xludf.dummyfunction("""COMPUTED_VALUE"""),45309.6666666667)</f>
        <v>45309.6666666667</v>
      </c>
      <c r="B766" s="2" t="n">
        <f aca="false">IFERROR(__xludf.dummyfunction("""COMPUTED_VALUE"""),142.05)</f>
        <v>142.05</v>
      </c>
      <c r="C766" s="2" t="n">
        <f aca="false">IFERROR(__xludf.dummyfunction("""COMPUTED_VALUE"""),144.21)</f>
        <v>144.21</v>
      </c>
      <c r="D766" s="2" t="n">
        <f aca="false">IFERROR(__xludf.dummyfunction("""COMPUTED_VALUE"""),141.99)</f>
        <v>141.99</v>
      </c>
      <c r="E766" s="2" t="n">
        <f aca="false">IFERROR(__xludf.dummyfunction("""COMPUTED_VALUE"""),143.48)</f>
        <v>143.48</v>
      </c>
      <c r="F766" s="2" t="n">
        <f aca="false">IFERROR(__xludf.dummyfunction("""COMPUTED_VALUE"""),25746417)</f>
        <v>25746417</v>
      </c>
    </row>
    <row r="767" customFormat="false" ht="15.75" hidden="false" customHeight="false" outlineLevel="0" collapsed="false">
      <c r="A767" s="3" t="n">
        <f aca="false">IFERROR(__xludf.dummyfunction("""COMPUTED_VALUE"""),45310.6666666667)</f>
        <v>45310.6666666667</v>
      </c>
      <c r="B767" s="2" t="n">
        <f aca="false">IFERROR(__xludf.dummyfunction("""COMPUTED_VALUE"""),144.74)</f>
        <v>144.74</v>
      </c>
      <c r="C767" s="2" t="n">
        <f aca="false">IFERROR(__xludf.dummyfunction("""COMPUTED_VALUE"""),146.45)</f>
        <v>146.45</v>
      </c>
      <c r="D767" s="2" t="n">
        <f aca="false">IFERROR(__xludf.dummyfunction("""COMPUTED_VALUE"""),144.38)</f>
        <v>144.38</v>
      </c>
      <c r="E767" s="2" t="n">
        <f aca="false">IFERROR(__xludf.dummyfunction("""COMPUTED_VALUE"""),146.38)</f>
        <v>146.38</v>
      </c>
      <c r="F767" s="2" t="n">
        <f aca="false">IFERROR(__xludf.dummyfunction("""COMPUTED_VALUE"""),34271867)</f>
        <v>34271867</v>
      </c>
    </row>
    <row r="768" customFormat="false" ht="15.75" hidden="false" customHeight="false" outlineLevel="0" collapsed="false">
      <c r="A768" s="3" t="n">
        <f aca="false">IFERROR(__xludf.dummyfunction("""COMPUTED_VALUE"""),45313.6666666667)</f>
        <v>45313.6666666667</v>
      </c>
      <c r="B768" s="2" t="n">
        <f aca="false">IFERROR(__xludf.dummyfunction("""COMPUTED_VALUE"""),147.1)</f>
        <v>147.1</v>
      </c>
      <c r="C768" s="2" t="n">
        <f aca="false">IFERROR(__xludf.dummyfunction("""COMPUTED_VALUE"""),148.39)</f>
        <v>148.39</v>
      </c>
      <c r="D768" s="2" t="n">
        <f aca="false">IFERROR(__xludf.dummyfunction("""COMPUTED_VALUE"""),145.84)</f>
        <v>145.84</v>
      </c>
      <c r="E768" s="2" t="n">
        <f aca="false">IFERROR(__xludf.dummyfunction("""COMPUTED_VALUE"""),145.99)</f>
        <v>145.99</v>
      </c>
      <c r="F768" s="2" t="n">
        <f aca="false">IFERROR(__xludf.dummyfunction("""COMPUTED_VALUE"""),32200369)</f>
        <v>32200369</v>
      </c>
    </row>
    <row r="769" customFormat="false" ht="15.75" hidden="false" customHeight="false" outlineLevel="0" collapsed="false">
      <c r="A769" s="3" t="n">
        <f aca="false">IFERROR(__xludf.dummyfunction("""COMPUTED_VALUE"""),45314.6666666667)</f>
        <v>45314.6666666667</v>
      </c>
      <c r="B769" s="2" t="n">
        <f aca="false">IFERROR(__xludf.dummyfunction("""COMPUTED_VALUE"""),145.89)</f>
        <v>145.89</v>
      </c>
      <c r="C769" s="2" t="n">
        <f aca="false">IFERROR(__xludf.dummyfunction("""COMPUTED_VALUE"""),147.18)</f>
        <v>147.18</v>
      </c>
      <c r="D769" s="2" t="n">
        <f aca="false">IFERROR(__xludf.dummyfunction("""COMPUTED_VALUE"""),145.5)</f>
        <v>145.5</v>
      </c>
      <c r="E769" s="2" t="n">
        <f aca="false">IFERROR(__xludf.dummyfunction("""COMPUTED_VALUE"""),147.04)</f>
        <v>147.04</v>
      </c>
      <c r="F769" s="2" t="n">
        <f aca="false">IFERROR(__xludf.dummyfunction("""COMPUTED_VALUE"""),21636129)</f>
        <v>21636129</v>
      </c>
    </row>
    <row r="770" customFormat="false" ht="15.75" hidden="false" customHeight="false" outlineLevel="0" collapsed="false">
      <c r="A770" s="3" t="n">
        <f aca="false">IFERROR(__xludf.dummyfunction("""COMPUTED_VALUE"""),45315.6666666667)</f>
        <v>45315.6666666667</v>
      </c>
      <c r="B770" s="2" t="n">
        <f aca="false">IFERROR(__xludf.dummyfunction("""COMPUTED_VALUE"""),148.54)</f>
        <v>148.54</v>
      </c>
      <c r="C770" s="2" t="n">
        <f aca="false">IFERROR(__xludf.dummyfunction("""COMPUTED_VALUE"""),149.85)</f>
        <v>149.85</v>
      </c>
      <c r="D770" s="2" t="n">
        <f aca="false">IFERROR(__xludf.dummyfunction("""COMPUTED_VALUE"""),148.1)</f>
        <v>148.1</v>
      </c>
      <c r="E770" s="2" t="n">
        <f aca="false">IFERROR(__xludf.dummyfunction("""COMPUTED_VALUE"""),148.7)</f>
        <v>148.7</v>
      </c>
      <c r="F770" s="2" t="n">
        <f aca="false">IFERROR(__xludf.dummyfunction("""COMPUTED_VALUE"""),25233450)</f>
        <v>25233450</v>
      </c>
    </row>
    <row r="771" customFormat="false" ht="15.75" hidden="false" customHeight="false" outlineLevel="0" collapsed="false">
      <c r="A771" s="3" t="n">
        <f aca="false">IFERROR(__xludf.dummyfunction("""COMPUTED_VALUE"""),45316.6666666667)</f>
        <v>45316.6666666667</v>
      </c>
      <c r="B771" s="2" t="n">
        <f aca="false">IFERROR(__xludf.dummyfunction("""COMPUTED_VALUE"""),150.07)</f>
        <v>150.07</v>
      </c>
      <c r="C771" s="2" t="n">
        <f aca="false">IFERROR(__xludf.dummyfunction("""COMPUTED_VALUE"""),153.05)</f>
        <v>153.05</v>
      </c>
      <c r="D771" s="2" t="n">
        <f aca="false">IFERROR(__xludf.dummyfunction("""COMPUTED_VALUE"""),149.54)</f>
        <v>149.54</v>
      </c>
      <c r="E771" s="2" t="n">
        <f aca="false">IFERROR(__xludf.dummyfunction("""COMPUTED_VALUE"""),151.87)</f>
        <v>151.87</v>
      </c>
      <c r="F771" s="2" t="n">
        <f aca="false">IFERROR(__xludf.dummyfunction("""COMPUTED_VALUE"""),29149069)</f>
        <v>29149069</v>
      </c>
    </row>
    <row r="772" customFormat="false" ht="15.75" hidden="false" customHeight="false" outlineLevel="0" collapsed="false">
      <c r="A772" s="3" t="n">
        <f aca="false">IFERROR(__xludf.dummyfunction("""COMPUTED_VALUE"""),45317.6666666667)</f>
        <v>45317.6666666667</v>
      </c>
      <c r="B772" s="2" t="n">
        <f aca="false">IFERROR(__xludf.dummyfunction("""COMPUTED_VALUE"""),151.1)</f>
        <v>151.1</v>
      </c>
      <c r="C772" s="2" t="n">
        <f aca="false">IFERROR(__xludf.dummyfunction("""COMPUTED_VALUE"""),152.54)</f>
        <v>152.54</v>
      </c>
      <c r="D772" s="2" t="n">
        <f aca="false">IFERROR(__xludf.dummyfunction("""COMPUTED_VALUE"""),151.01)</f>
        <v>151.01</v>
      </c>
      <c r="E772" s="2" t="n">
        <f aca="false">IFERROR(__xludf.dummyfunction("""COMPUTED_VALUE"""),152.19)</f>
        <v>152.19</v>
      </c>
      <c r="F772" s="2" t="n">
        <f aca="false">IFERROR(__xludf.dummyfunction("""COMPUTED_VALUE"""),26115494)</f>
        <v>26115494</v>
      </c>
    </row>
    <row r="773" customFormat="false" ht="15.75" hidden="false" customHeight="false" outlineLevel="0" collapsed="false">
      <c r="A773" s="3" t="n">
        <f aca="false">IFERROR(__xludf.dummyfunction("""COMPUTED_VALUE"""),45320.6666666667)</f>
        <v>45320.6666666667</v>
      </c>
      <c r="B773" s="2" t="n">
        <f aca="false">IFERROR(__xludf.dummyfunction("""COMPUTED_VALUE"""),152.06)</f>
        <v>152.06</v>
      </c>
      <c r="C773" s="2" t="n">
        <f aca="false">IFERROR(__xludf.dummyfunction("""COMPUTED_VALUE"""),153.78)</f>
        <v>153.78</v>
      </c>
      <c r="D773" s="2" t="n">
        <f aca="false">IFERROR(__xludf.dummyfunction("""COMPUTED_VALUE"""),151.43)</f>
        <v>151.43</v>
      </c>
      <c r="E773" s="2" t="n">
        <f aca="false">IFERROR(__xludf.dummyfunction("""COMPUTED_VALUE"""),153.51)</f>
        <v>153.51</v>
      </c>
      <c r="F773" s="2" t="n">
        <f aca="false">IFERROR(__xludf.dummyfunction("""COMPUTED_VALUE"""),27784259)</f>
        <v>27784259</v>
      </c>
    </row>
    <row r="774" customFormat="false" ht="15.75" hidden="false" customHeight="false" outlineLevel="0" collapsed="false">
      <c r="A774" s="3" t="n">
        <f aca="false">IFERROR(__xludf.dummyfunction("""COMPUTED_VALUE"""),45321.6666666667)</f>
        <v>45321.6666666667</v>
      </c>
      <c r="B774" s="2" t="n">
        <f aca="false">IFERROR(__xludf.dummyfunction("""COMPUTED_VALUE"""),152.8)</f>
        <v>152.8</v>
      </c>
      <c r="C774" s="2" t="n">
        <f aca="false">IFERROR(__xludf.dummyfunction("""COMPUTED_VALUE"""),153.62)</f>
        <v>153.62</v>
      </c>
      <c r="D774" s="2" t="n">
        <f aca="false">IFERROR(__xludf.dummyfunction("""COMPUTED_VALUE"""),151.19)</f>
        <v>151.19</v>
      </c>
      <c r="E774" s="2" t="n">
        <f aca="false">IFERROR(__xludf.dummyfunction("""COMPUTED_VALUE"""),151.46)</f>
        <v>151.46</v>
      </c>
      <c r="F774" s="2" t="n">
        <f aca="false">IFERROR(__xludf.dummyfunction("""COMPUTED_VALUE"""),36331833)</f>
        <v>36331833</v>
      </c>
    </row>
    <row r="775" customFormat="false" ht="15.75" hidden="false" customHeight="false" outlineLevel="0" collapsed="false">
      <c r="A775" s="3" t="n">
        <f aca="false">IFERROR(__xludf.dummyfunction("""COMPUTED_VALUE"""),45322.6666666667)</f>
        <v>45322.6666666667</v>
      </c>
      <c r="B775" s="2" t="n">
        <f aca="false">IFERROR(__xludf.dummyfunction("""COMPUTED_VALUE"""),143.62)</f>
        <v>143.62</v>
      </c>
      <c r="C775" s="2" t="n">
        <f aca="false">IFERROR(__xludf.dummyfunction("""COMPUTED_VALUE"""),144)</f>
        <v>144</v>
      </c>
      <c r="D775" s="2" t="n">
        <f aca="false">IFERROR(__xludf.dummyfunction("""COMPUTED_VALUE"""),139.87)</f>
        <v>139.87</v>
      </c>
      <c r="E775" s="2" t="n">
        <f aca="false">IFERROR(__xludf.dummyfunction("""COMPUTED_VALUE"""),140.1)</f>
        <v>140.1</v>
      </c>
      <c r="F775" s="2" t="n">
        <f aca="false">IFERROR(__xludf.dummyfunction("""COMPUTED_VALUE"""),71910044)</f>
        <v>71910044</v>
      </c>
    </row>
    <row r="776" customFormat="false" ht="15.75" hidden="false" customHeight="false" outlineLevel="0" collapsed="false">
      <c r="A776" s="3" t="n">
        <f aca="false">IFERROR(__xludf.dummyfunction("""COMPUTED_VALUE"""),45323.6666666667)</f>
        <v>45323.6666666667</v>
      </c>
      <c r="B776" s="2" t="n">
        <f aca="false">IFERROR(__xludf.dummyfunction("""COMPUTED_VALUE"""),142.12)</f>
        <v>142.12</v>
      </c>
      <c r="C776" s="2" t="n">
        <f aca="false">IFERROR(__xludf.dummyfunction("""COMPUTED_VALUE"""),143.06)</f>
        <v>143.06</v>
      </c>
      <c r="D776" s="2" t="n">
        <f aca="false">IFERROR(__xludf.dummyfunction("""COMPUTED_VALUE"""),140.79)</f>
        <v>140.79</v>
      </c>
      <c r="E776" s="2" t="n">
        <f aca="false">IFERROR(__xludf.dummyfunction("""COMPUTED_VALUE"""),141.16)</f>
        <v>141.16</v>
      </c>
      <c r="F776" s="2" t="n">
        <f aca="false">IFERROR(__xludf.dummyfunction("""COMPUTED_VALUE"""),40466549)</f>
        <v>40466549</v>
      </c>
    </row>
    <row r="777" customFormat="false" ht="15.75" hidden="false" customHeight="false" outlineLevel="0" collapsed="false">
      <c r="A777" s="3" t="n">
        <f aca="false">IFERROR(__xludf.dummyfunction("""COMPUTED_VALUE"""),45324.6666666667)</f>
        <v>45324.6666666667</v>
      </c>
      <c r="B777" s="2" t="n">
        <f aca="false">IFERROR(__xludf.dummyfunction("""COMPUTED_VALUE"""),139.26)</f>
        <v>139.26</v>
      </c>
      <c r="C777" s="2" t="n">
        <f aca="false">IFERROR(__xludf.dummyfunction("""COMPUTED_VALUE"""),142.62)</f>
        <v>142.62</v>
      </c>
      <c r="D777" s="2" t="n">
        <f aca="false">IFERROR(__xludf.dummyfunction("""COMPUTED_VALUE"""),136.5)</f>
        <v>136.5</v>
      </c>
      <c r="E777" s="2" t="n">
        <f aca="false">IFERROR(__xludf.dummyfunction("""COMPUTED_VALUE"""),142.38)</f>
        <v>142.38</v>
      </c>
      <c r="F777" s="2" t="n">
        <f aca="false">IFERROR(__xludf.dummyfunction("""COMPUTED_VALUE"""),62499574)</f>
        <v>62499574</v>
      </c>
    </row>
    <row r="778" customFormat="false" ht="15.75" hidden="false" customHeight="false" outlineLevel="0" collapsed="false">
      <c r="A778" s="3" t="n">
        <f aca="false">IFERROR(__xludf.dummyfunction("""COMPUTED_VALUE"""),45327.6666666667)</f>
        <v>45327.6666666667</v>
      </c>
      <c r="B778" s="2" t="n">
        <f aca="false">IFERROR(__xludf.dummyfunction("""COMPUTED_VALUE"""),142.82)</f>
        <v>142.82</v>
      </c>
      <c r="C778" s="2" t="n">
        <f aca="false">IFERROR(__xludf.dummyfunction("""COMPUTED_VALUE"""),145.47)</f>
        <v>145.47</v>
      </c>
      <c r="D778" s="2" t="n">
        <f aca="false">IFERROR(__xludf.dummyfunction("""COMPUTED_VALUE"""),142.78)</f>
        <v>142.78</v>
      </c>
      <c r="E778" s="2" t="n">
        <f aca="false">IFERROR(__xludf.dummyfunction("""COMPUTED_VALUE"""),143.68)</f>
        <v>143.68</v>
      </c>
      <c r="F778" s="2" t="n">
        <f aca="false">IFERROR(__xludf.dummyfunction("""COMPUTED_VALUE"""),38505405)</f>
        <v>38505405</v>
      </c>
    </row>
    <row r="779" customFormat="false" ht="15.75" hidden="false" customHeight="false" outlineLevel="0" collapsed="false">
      <c r="A779" s="3" t="n">
        <f aca="false">IFERROR(__xludf.dummyfunction("""COMPUTED_VALUE"""),45328.6666666667)</f>
        <v>45328.6666666667</v>
      </c>
      <c r="B779" s="2" t="n">
        <f aca="false">IFERROR(__xludf.dummyfunction("""COMPUTED_VALUE"""),144.65)</f>
        <v>144.65</v>
      </c>
      <c r="C779" s="2" t="n">
        <f aca="false">IFERROR(__xludf.dummyfunction("""COMPUTED_VALUE"""),145.36)</f>
        <v>145.36</v>
      </c>
      <c r="D779" s="2" t="n">
        <f aca="false">IFERROR(__xludf.dummyfunction("""COMPUTED_VALUE"""),143.19)</f>
        <v>143.19</v>
      </c>
      <c r="E779" s="2" t="n">
        <f aca="false">IFERROR(__xludf.dummyfunction("""COMPUTED_VALUE"""),144.1)</f>
        <v>144.1</v>
      </c>
      <c r="F779" s="2" t="n">
        <f aca="false">IFERROR(__xludf.dummyfunction("""COMPUTED_VALUE"""),29128201)</f>
        <v>29128201</v>
      </c>
    </row>
    <row r="780" customFormat="false" ht="15.75" hidden="false" customHeight="false" outlineLevel="0" collapsed="false">
      <c r="A780" s="3" t="n">
        <f aca="false">IFERROR(__xludf.dummyfunction("""COMPUTED_VALUE"""),45329.6666666667)</f>
        <v>45329.6666666667</v>
      </c>
      <c r="B780" s="2" t="n">
        <f aca="false">IFERROR(__xludf.dummyfunction("""COMPUTED_VALUE"""),144.76)</f>
        <v>144.76</v>
      </c>
      <c r="C780" s="2" t="n">
        <f aca="false">IFERROR(__xludf.dummyfunction("""COMPUTED_VALUE"""),145.62)</f>
        <v>145.62</v>
      </c>
      <c r="D780" s="2" t="n">
        <f aca="false">IFERROR(__xludf.dummyfunction("""COMPUTED_VALUE"""),143.93)</f>
        <v>143.93</v>
      </c>
      <c r="E780" s="2" t="n">
        <f aca="false">IFERROR(__xludf.dummyfunction("""COMPUTED_VALUE"""),145.54)</f>
        <v>145.54</v>
      </c>
      <c r="F780" s="2" t="n">
        <f aca="false">IFERROR(__xludf.dummyfunction("""COMPUTED_VALUE"""),25208862)</f>
        <v>25208862</v>
      </c>
    </row>
    <row r="781" customFormat="false" ht="15.75" hidden="false" customHeight="false" outlineLevel="0" collapsed="false">
      <c r="A781" s="3" t="n">
        <f aca="false">IFERROR(__xludf.dummyfunction("""COMPUTED_VALUE"""),45330.6666666667)</f>
        <v>45330.6666666667</v>
      </c>
      <c r="B781" s="2" t="n">
        <f aca="false">IFERROR(__xludf.dummyfunction("""COMPUTED_VALUE"""),145.83)</f>
        <v>145.83</v>
      </c>
      <c r="C781" s="2" t="n">
        <f aca="false">IFERROR(__xludf.dummyfunction("""COMPUTED_VALUE"""),146.33)</f>
        <v>146.33</v>
      </c>
      <c r="D781" s="2" t="n">
        <f aca="false">IFERROR(__xludf.dummyfunction("""COMPUTED_VALUE"""),145.1)</f>
        <v>145.1</v>
      </c>
      <c r="E781" s="2" t="n">
        <f aca="false">IFERROR(__xludf.dummyfunction("""COMPUTED_VALUE"""),145.91)</f>
        <v>145.91</v>
      </c>
      <c r="F781" s="2" t="n">
        <f aca="false">IFERROR(__xludf.dummyfunction("""COMPUTED_VALUE"""),22563764)</f>
        <v>22563764</v>
      </c>
    </row>
    <row r="782" customFormat="false" ht="15.75" hidden="false" customHeight="false" outlineLevel="0" collapsed="false">
      <c r="A782" s="3" t="n">
        <f aca="false">IFERROR(__xludf.dummyfunction("""COMPUTED_VALUE"""),45331.6666666667)</f>
        <v>45331.6666666667</v>
      </c>
      <c r="B782" s="2" t="n">
        <f aca="false">IFERROR(__xludf.dummyfunction("""COMPUTED_VALUE"""),146.68)</f>
        <v>146.68</v>
      </c>
      <c r="C782" s="2" t="n">
        <f aca="false">IFERROR(__xludf.dummyfunction("""COMPUTED_VALUE"""),149.44)</f>
        <v>149.44</v>
      </c>
      <c r="D782" s="2" t="n">
        <f aca="false">IFERROR(__xludf.dummyfunction("""COMPUTED_VALUE"""),146.18)</f>
        <v>146.18</v>
      </c>
      <c r="E782" s="2" t="n">
        <f aca="false">IFERROR(__xludf.dummyfunction("""COMPUTED_VALUE"""),149)</f>
        <v>149</v>
      </c>
      <c r="F782" s="2" t="n">
        <f aca="false">IFERROR(__xludf.dummyfunction("""COMPUTED_VALUE"""),26829504)</f>
        <v>26829504</v>
      </c>
    </row>
    <row r="783" customFormat="false" ht="15.75" hidden="false" customHeight="false" outlineLevel="0" collapsed="false">
      <c r="A783" s="3" t="n">
        <f aca="false">IFERROR(__xludf.dummyfunction("""COMPUTED_VALUE"""),45334.6666666667)</f>
        <v>45334.6666666667</v>
      </c>
      <c r="B783" s="2" t="n">
        <f aca="false">IFERROR(__xludf.dummyfunction("""COMPUTED_VALUE"""),148.42)</f>
        <v>148.42</v>
      </c>
      <c r="C783" s="2" t="n">
        <f aca="false">IFERROR(__xludf.dummyfunction("""COMPUTED_VALUE"""),149.34)</f>
        <v>149.34</v>
      </c>
      <c r="D783" s="2" t="n">
        <f aca="false">IFERROR(__xludf.dummyfunction("""COMPUTED_VALUE"""),147.37)</f>
        <v>147.37</v>
      </c>
      <c r="E783" s="2" t="n">
        <f aca="false">IFERROR(__xludf.dummyfunction("""COMPUTED_VALUE"""),147.53)</f>
        <v>147.53</v>
      </c>
      <c r="F783" s="2" t="n">
        <f aca="false">IFERROR(__xludf.dummyfunction("""COMPUTED_VALUE"""),21564085)</f>
        <v>21564085</v>
      </c>
    </row>
    <row r="784" customFormat="false" ht="15.75" hidden="false" customHeight="false" outlineLevel="0" collapsed="false">
      <c r="A784" s="3" t="n">
        <f aca="false">IFERROR(__xludf.dummyfunction("""COMPUTED_VALUE"""),45335.6666666667)</f>
        <v>45335.6666666667</v>
      </c>
      <c r="B784" s="2" t="n">
        <f aca="false">IFERROR(__xludf.dummyfunction("""COMPUTED_VALUE"""),144.92)</f>
        <v>144.92</v>
      </c>
      <c r="C784" s="2" t="n">
        <f aca="false">IFERROR(__xludf.dummyfunction("""COMPUTED_VALUE"""),146.67)</f>
        <v>146.67</v>
      </c>
      <c r="D784" s="2" t="n">
        <f aca="false">IFERROR(__xludf.dummyfunction("""COMPUTED_VALUE"""),143.69)</f>
        <v>143.69</v>
      </c>
      <c r="E784" s="2" t="n">
        <f aca="false">IFERROR(__xludf.dummyfunction("""COMPUTED_VALUE"""),145.14)</f>
        <v>145.14</v>
      </c>
      <c r="F784" s="2" t="n">
        <f aca="false">IFERROR(__xludf.dummyfunction("""COMPUTED_VALUE"""),27837730)</f>
        <v>27837730</v>
      </c>
    </row>
    <row r="785" customFormat="false" ht="15.75" hidden="false" customHeight="false" outlineLevel="0" collapsed="false">
      <c r="A785" s="3" t="n">
        <f aca="false">IFERROR(__xludf.dummyfunction("""COMPUTED_VALUE"""),45336.6666666667)</f>
        <v>45336.6666666667</v>
      </c>
      <c r="B785" s="2" t="n">
        <f aca="false">IFERROR(__xludf.dummyfunction("""COMPUTED_VALUE"""),146.08)</f>
        <v>146.08</v>
      </c>
      <c r="C785" s="2" t="n">
        <f aca="false">IFERROR(__xludf.dummyfunction("""COMPUTED_VALUE"""),146.52)</f>
        <v>146.52</v>
      </c>
      <c r="D785" s="2" t="n">
        <f aca="false">IFERROR(__xludf.dummyfunction("""COMPUTED_VALUE"""),144.09)</f>
        <v>144.09</v>
      </c>
      <c r="E785" s="2" t="n">
        <f aca="false">IFERROR(__xludf.dummyfunction("""COMPUTED_VALUE"""),145.94)</f>
        <v>145.94</v>
      </c>
      <c r="F785" s="2" t="n">
        <f aca="false">IFERROR(__xludf.dummyfunction("""COMPUTED_VALUE"""),22704166)</f>
        <v>22704166</v>
      </c>
    </row>
    <row r="786" customFormat="false" ht="15.75" hidden="false" customHeight="false" outlineLevel="0" collapsed="false">
      <c r="A786" s="3" t="n">
        <f aca="false">IFERROR(__xludf.dummyfunction("""COMPUTED_VALUE"""),45337.6666666667)</f>
        <v>45337.6666666667</v>
      </c>
      <c r="B786" s="2" t="n">
        <f aca="false">IFERROR(__xludf.dummyfunction("""COMPUTED_VALUE"""),143.14)</f>
        <v>143.14</v>
      </c>
      <c r="C786" s="2" t="n">
        <f aca="false">IFERROR(__xludf.dummyfunction("""COMPUTED_VALUE"""),143.52)</f>
        <v>143.52</v>
      </c>
      <c r="D786" s="2" t="n">
        <f aca="false">IFERROR(__xludf.dummyfunction("""COMPUTED_VALUE"""),140.46)</f>
        <v>140.46</v>
      </c>
      <c r="E786" s="2" t="n">
        <f aca="false">IFERROR(__xludf.dummyfunction("""COMPUTED_VALUE"""),142.77)</f>
        <v>142.77</v>
      </c>
      <c r="F786" s="2" t="n">
        <f aca="false">IFERROR(__xludf.dummyfunction("""COMPUTED_VALUE"""),37590695)</f>
        <v>37590695</v>
      </c>
    </row>
    <row r="787" customFormat="false" ht="15.75" hidden="false" customHeight="false" outlineLevel="0" collapsed="false">
      <c r="A787" s="3" t="n">
        <f aca="false">IFERROR(__xludf.dummyfunction("""COMPUTED_VALUE"""),45338.6666666667)</f>
        <v>45338.6666666667</v>
      </c>
      <c r="B787" s="2" t="n">
        <f aca="false">IFERROR(__xludf.dummyfunction("""COMPUTED_VALUE"""),142.99)</f>
        <v>142.99</v>
      </c>
      <c r="C787" s="2" t="n">
        <f aca="false">IFERROR(__xludf.dummyfunction("""COMPUTED_VALUE"""),143.19)</f>
        <v>143.19</v>
      </c>
      <c r="D787" s="2" t="n">
        <f aca="false">IFERROR(__xludf.dummyfunction("""COMPUTED_VALUE"""),140.14)</f>
        <v>140.14</v>
      </c>
      <c r="E787" s="2" t="n">
        <f aca="false">IFERROR(__xludf.dummyfunction("""COMPUTED_VALUE"""),140.52)</f>
        <v>140.52</v>
      </c>
      <c r="F787" s="2" t="n">
        <f aca="false">IFERROR(__xludf.dummyfunction("""COMPUTED_VALUE"""),31468926)</f>
        <v>31468926</v>
      </c>
    </row>
    <row r="788" customFormat="false" ht="15.75" hidden="false" customHeight="false" outlineLevel="0" collapsed="false">
      <c r="A788" s="3" t="n">
        <f aca="false">IFERROR(__xludf.dummyfunction("""COMPUTED_VALUE"""),45342.6666666667)</f>
        <v>45342.6666666667</v>
      </c>
      <c r="B788" s="2" t="n">
        <f aca="false">IFERROR(__xludf.dummyfunction("""COMPUTED_VALUE"""),139.66)</f>
        <v>139.66</v>
      </c>
      <c r="C788" s="2" t="n">
        <f aca="false">IFERROR(__xludf.dummyfunction("""COMPUTED_VALUE"""),142.08)</f>
        <v>142.08</v>
      </c>
      <c r="D788" s="2" t="n">
        <f aca="false">IFERROR(__xludf.dummyfunction("""COMPUTED_VALUE"""),139.49)</f>
        <v>139.49</v>
      </c>
      <c r="E788" s="2" t="n">
        <f aca="false">IFERROR(__xludf.dummyfunction("""COMPUTED_VALUE"""),141.12)</f>
        <v>141.12</v>
      </c>
      <c r="F788" s="2" t="n">
        <f aca="false">IFERROR(__xludf.dummyfunction("""COMPUTED_VALUE"""),24935710)</f>
        <v>24935710</v>
      </c>
    </row>
    <row r="789" customFormat="false" ht="15.75" hidden="false" customHeight="false" outlineLevel="0" collapsed="false">
      <c r="A789" s="3" t="n">
        <f aca="false">IFERROR(__xludf.dummyfunction("""COMPUTED_VALUE"""),45343.6666666667)</f>
        <v>45343.6666666667</v>
      </c>
      <c r="B789" s="2" t="n">
        <f aca="false">IFERROR(__xludf.dummyfunction("""COMPUTED_VALUE"""),141.45)</f>
        <v>141.45</v>
      </c>
      <c r="C789" s="2" t="n">
        <f aca="false">IFERROR(__xludf.dummyfunction("""COMPUTED_VALUE"""),142.69)</f>
        <v>142.69</v>
      </c>
      <c r="D789" s="2" t="n">
        <f aca="false">IFERROR(__xludf.dummyfunction("""COMPUTED_VALUE"""),140.68)</f>
        <v>140.68</v>
      </c>
      <c r="E789" s="2" t="n">
        <f aca="false">IFERROR(__xludf.dummyfunction("""COMPUTED_VALUE"""),142.55)</f>
        <v>142.55</v>
      </c>
      <c r="F789" s="2" t="n">
        <f aca="false">IFERROR(__xludf.dummyfunction("""COMPUTED_VALUE"""),23315687)</f>
        <v>23315687</v>
      </c>
    </row>
    <row r="790" customFormat="false" ht="15.75" hidden="false" customHeight="false" outlineLevel="0" collapsed="false">
      <c r="A790" s="3" t="n">
        <f aca="false">IFERROR(__xludf.dummyfunction("""COMPUTED_VALUE"""),45344.6666666667)</f>
        <v>45344.6666666667</v>
      </c>
      <c r="B790" s="2" t="n">
        <f aca="false">IFERROR(__xludf.dummyfunction("""COMPUTED_VALUE"""),144.93)</f>
        <v>144.93</v>
      </c>
      <c r="C790" s="2" t="n">
        <f aca="false">IFERROR(__xludf.dummyfunction("""COMPUTED_VALUE"""),145)</f>
        <v>145</v>
      </c>
      <c r="D790" s="2" t="n">
        <f aca="false">IFERROR(__xludf.dummyfunction("""COMPUTED_VALUE"""),142.8)</f>
        <v>142.8</v>
      </c>
      <c r="E790" s="2" t="n">
        <f aca="false">IFERROR(__xludf.dummyfunction("""COMPUTED_VALUE"""),144.09)</f>
        <v>144.09</v>
      </c>
      <c r="F790" s="2" t="n">
        <f aca="false">IFERROR(__xludf.dummyfunction("""COMPUTED_VALUE"""),27191892)</f>
        <v>27191892</v>
      </c>
    </row>
    <row r="791" customFormat="false" ht="15.75" hidden="false" customHeight="false" outlineLevel="0" collapsed="false">
      <c r="A791" s="3" t="n">
        <f aca="false">IFERROR(__xludf.dummyfunction("""COMPUTED_VALUE"""),45345.6666666667)</f>
        <v>45345.6666666667</v>
      </c>
      <c r="B791" s="2" t="n">
        <f aca="false">IFERROR(__xludf.dummyfunction("""COMPUTED_VALUE"""),143.67)</f>
        <v>143.67</v>
      </c>
      <c r="C791" s="2" t="n">
        <f aca="false">IFERROR(__xludf.dummyfunction("""COMPUTED_VALUE"""),144.68)</f>
        <v>144.68</v>
      </c>
      <c r="D791" s="2" t="n">
        <f aca="false">IFERROR(__xludf.dummyfunction("""COMPUTED_VALUE"""),143.43)</f>
        <v>143.43</v>
      </c>
      <c r="E791" s="2" t="n">
        <f aca="false">IFERROR(__xludf.dummyfunction("""COMPUTED_VALUE"""),143.96)</f>
        <v>143.96</v>
      </c>
      <c r="F791" s="2" t="n">
        <f aca="false">IFERROR(__xludf.dummyfunction("""COMPUTED_VALUE"""),19493752)</f>
        <v>19493752</v>
      </c>
    </row>
    <row r="792" customFormat="false" ht="15.75" hidden="false" customHeight="false" outlineLevel="0" collapsed="false">
      <c r="A792" s="3" t="n">
        <f aca="false">IFERROR(__xludf.dummyfunction("""COMPUTED_VALUE"""),45348.6666666667)</f>
        <v>45348.6666666667</v>
      </c>
      <c r="B792" s="2" t="n">
        <f aca="false">IFERROR(__xludf.dummyfunction("""COMPUTED_VALUE"""),142.14)</f>
        <v>142.14</v>
      </c>
      <c r="C792" s="2" t="n">
        <f aca="false">IFERROR(__xludf.dummyfunction("""COMPUTED_VALUE"""),142.44)</f>
        <v>142.44</v>
      </c>
      <c r="D792" s="2" t="n">
        <f aca="false">IFERROR(__xludf.dummyfunction("""COMPUTED_VALUE"""),137.39)</f>
        <v>137.39</v>
      </c>
      <c r="E792" s="2" t="n">
        <f aca="false">IFERROR(__xludf.dummyfunction("""COMPUTED_VALUE"""),137.57)</f>
        <v>137.57</v>
      </c>
      <c r="F792" s="2" t="n">
        <f aca="false">IFERROR(__xludf.dummyfunction("""COMPUTED_VALUE"""),53641795)</f>
        <v>53641795</v>
      </c>
    </row>
    <row r="793" customFormat="false" ht="15.75" hidden="false" customHeight="false" outlineLevel="0" collapsed="false">
      <c r="A793" s="3" t="n">
        <f aca="false">IFERROR(__xludf.dummyfunction("""COMPUTED_VALUE"""),45349.6666666667)</f>
        <v>45349.6666666667</v>
      </c>
      <c r="B793" s="2" t="n">
        <f aca="false">IFERROR(__xludf.dummyfunction("""COMPUTED_VALUE"""),138.02)</f>
        <v>138.02</v>
      </c>
      <c r="C793" s="2" t="n">
        <f aca="false">IFERROR(__xludf.dummyfunction("""COMPUTED_VALUE"""),139.25)</f>
        <v>139.25</v>
      </c>
      <c r="D793" s="2" t="n">
        <f aca="false">IFERROR(__xludf.dummyfunction("""COMPUTED_VALUE"""),137.09)</f>
        <v>137.09</v>
      </c>
      <c r="E793" s="2" t="n">
        <f aca="false">IFERROR(__xludf.dummyfunction("""COMPUTED_VALUE"""),138.88)</f>
        <v>138.88</v>
      </c>
      <c r="F793" s="2" t="n">
        <f aca="false">IFERROR(__xludf.dummyfunction("""COMPUTED_VALUE"""),33099190)</f>
        <v>33099190</v>
      </c>
    </row>
    <row r="794" customFormat="false" ht="15.75" hidden="false" customHeight="false" outlineLevel="0" collapsed="false">
      <c r="A794" s="3" t="n">
        <f aca="false">IFERROR(__xludf.dummyfunction("""COMPUTED_VALUE"""),45350.6666666667)</f>
        <v>45350.6666666667</v>
      </c>
      <c r="B794" s="2" t="n">
        <f aca="false">IFERROR(__xludf.dummyfunction("""COMPUTED_VALUE"""),137.9)</f>
        <v>137.9</v>
      </c>
      <c r="C794" s="2" t="n">
        <f aca="false">IFERROR(__xludf.dummyfunction("""COMPUTED_VALUE"""),138.01)</f>
        <v>138.01</v>
      </c>
      <c r="D794" s="2" t="n">
        <f aca="false">IFERROR(__xludf.dummyfunction("""COMPUTED_VALUE"""),135.41)</f>
        <v>135.41</v>
      </c>
      <c r="E794" s="2" t="n">
        <f aca="false">IFERROR(__xludf.dummyfunction("""COMPUTED_VALUE"""),136.38)</f>
        <v>136.38</v>
      </c>
      <c r="F794" s="2" t="n">
        <f aca="false">IFERROR(__xludf.dummyfunction("""COMPUTED_VALUE"""),37328558)</f>
        <v>37328558</v>
      </c>
    </row>
    <row r="795" customFormat="false" ht="15.75" hidden="false" customHeight="false" outlineLevel="0" collapsed="false">
      <c r="A795" s="3" t="n">
        <f aca="false">IFERROR(__xludf.dummyfunction("""COMPUTED_VALUE"""),45351.6666666667)</f>
        <v>45351.6666666667</v>
      </c>
      <c r="B795" s="2" t="n">
        <f aca="false">IFERROR(__xludf.dummyfunction("""COMPUTED_VALUE"""),137.28)</f>
        <v>137.28</v>
      </c>
      <c r="C795" s="2" t="n">
        <f aca="false">IFERROR(__xludf.dummyfunction("""COMPUTED_VALUE"""),138.86)</f>
        <v>138.86</v>
      </c>
      <c r="D795" s="2" t="n">
        <f aca="false">IFERROR(__xludf.dummyfunction("""COMPUTED_VALUE"""),136.4)</f>
        <v>136.4</v>
      </c>
      <c r="E795" s="2" t="n">
        <f aca="false">IFERROR(__xludf.dummyfunction("""COMPUTED_VALUE"""),138.46)</f>
        <v>138.46</v>
      </c>
      <c r="F795" s="2" t="n">
        <f aca="false">IFERROR(__xludf.dummyfunction("""COMPUTED_VALUE"""),42132953)</f>
        <v>42132953</v>
      </c>
    </row>
    <row r="796" customFormat="false" ht="15.75" hidden="false" customHeight="false" outlineLevel="0" collapsed="false">
      <c r="A796" s="3" t="n">
        <f aca="false">IFERROR(__xludf.dummyfunction("""COMPUTED_VALUE"""),45352.6666666667)</f>
        <v>45352.6666666667</v>
      </c>
      <c r="B796" s="2" t="n">
        <f aca="false">IFERROR(__xludf.dummyfunction("""COMPUTED_VALUE"""),138.43)</f>
        <v>138.43</v>
      </c>
      <c r="C796" s="2" t="n">
        <f aca="false">IFERROR(__xludf.dummyfunction("""COMPUTED_VALUE"""),138.87)</f>
        <v>138.87</v>
      </c>
      <c r="D796" s="2" t="n">
        <f aca="false">IFERROR(__xludf.dummyfunction("""COMPUTED_VALUE"""),136.92)</f>
        <v>136.92</v>
      </c>
      <c r="E796" s="2" t="n">
        <f aca="false">IFERROR(__xludf.dummyfunction("""COMPUTED_VALUE"""),137.14)</f>
        <v>137.14</v>
      </c>
      <c r="F796" s="2" t="n">
        <f aca="false">IFERROR(__xludf.dummyfunction("""COMPUTED_VALUE"""),31151116)</f>
        <v>31151116</v>
      </c>
    </row>
    <row r="797" customFormat="false" ht="15.75" hidden="false" customHeight="false" outlineLevel="0" collapsed="false">
      <c r="A797" s="3" t="n">
        <f aca="false">IFERROR(__xludf.dummyfunction("""COMPUTED_VALUE"""),45355.6666666667)</f>
        <v>45355.6666666667</v>
      </c>
      <c r="B797" s="2" t="n">
        <f aca="false">IFERROR(__xludf.dummyfunction("""COMPUTED_VALUE"""),135.66)</f>
        <v>135.66</v>
      </c>
      <c r="C797" s="2" t="n">
        <f aca="false">IFERROR(__xludf.dummyfunction("""COMPUTED_VALUE"""),135.66)</f>
        <v>135.66</v>
      </c>
      <c r="D797" s="2" t="n">
        <f aca="false">IFERROR(__xludf.dummyfunction("""COMPUTED_VALUE"""),131.91)</f>
        <v>131.91</v>
      </c>
      <c r="E797" s="2" t="n">
        <f aca="false">IFERROR(__xludf.dummyfunction("""COMPUTED_VALUE"""),133.35)</f>
        <v>133.35</v>
      </c>
      <c r="F797" s="2" t="n">
        <f aca="false">IFERROR(__xludf.dummyfunction("""COMPUTED_VALUE"""),55999415)</f>
        <v>55999415</v>
      </c>
    </row>
    <row r="798" customFormat="false" ht="15.75" hidden="false" customHeight="false" outlineLevel="0" collapsed="false">
      <c r="A798" s="3" t="n">
        <f aca="false">IFERROR(__xludf.dummyfunction("""COMPUTED_VALUE"""),45356.6666666667)</f>
        <v>45356.6666666667</v>
      </c>
      <c r="B798" s="2" t="n">
        <f aca="false">IFERROR(__xludf.dummyfunction("""COMPUTED_VALUE"""),131.88)</f>
        <v>131.88</v>
      </c>
      <c r="C798" s="2" t="n">
        <f aca="false">IFERROR(__xludf.dummyfunction("""COMPUTED_VALUE"""),133.24)</f>
        <v>133.24</v>
      </c>
      <c r="D798" s="2" t="n">
        <f aca="false">IFERROR(__xludf.dummyfunction("""COMPUTED_VALUE"""),130.67)</f>
        <v>130.67</v>
      </c>
      <c r="E798" s="2" t="n">
        <f aca="false">IFERROR(__xludf.dummyfunction("""COMPUTED_VALUE"""),132.67)</f>
        <v>132.67</v>
      </c>
      <c r="F798" s="2" t="n">
        <f aca="false">IFERROR(__xludf.dummyfunction("""COMPUTED_VALUE"""),40194757)</f>
        <v>40194757</v>
      </c>
    </row>
    <row r="799" customFormat="false" ht="15.75" hidden="false" customHeight="false" outlineLevel="0" collapsed="false">
      <c r="A799" s="3" t="n">
        <f aca="false">IFERROR(__xludf.dummyfunction("""COMPUTED_VALUE"""),45357.6666666667)</f>
        <v>45357.6666666667</v>
      </c>
      <c r="B799" s="2" t="n">
        <f aca="false">IFERROR(__xludf.dummyfunction("""COMPUTED_VALUE"""),133.12)</f>
        <v>133.12</v>
      </c>
      <c r="C799" s="2" t="n">
        <f aca="false">IFERROR(__xludf.dummyfunction("""COMPUTED_VALUE"""),133.58)</f>
        <v>133.58</v>
      </c>
      <c r="D799" s="2" t="n">
        <f aca="false">IFERROR(__xludf.dummyfunction("""COMPUTED_VALUE"""),130.85)</f>
        <v>130.85</v>
      </c>
      <c r="E799" s="2" t="n">
        <f aca="false">IFERROR(__xludf.dummyfunction("""COMPUTED_VALUE"""),131.4)</f>
        <v>131.4</v>
      </c>
      <c r="F799" s="2" t="n">
        <f aca="false">IFERROR(__xludf.dummyfunction("""COMPUTED_VALUE"""),35318610)</f>
        <v>35318610</v>
      </c>
    </row>
    <row r="800" customFormat="false" ht="15.75" hidden="false" customHeight="false" outlineLevel="0" collapsed="false">
      <c r="A800" s="3" t="n">
        <f aca="false">IFERROR(__xludf.dummyfunction("""COMPUTED_VALUE"""),45358.6666666667)</f>
        <v>45358.6666666667</v>
      </c>
      <c r="B800" s="2" t="n">
        <f aca="false">IFERROR(__xludf.dummyfunction("""COMPUTED_VALUE"""),132.79)</f>
        <v>132.79</v>
      </c>
      <c r="C800" s="2" t="n">
        <f aca="false">IFERROR(__xludf.dummyfunction("""COMPUTED_VALUE"""),134.94)</f>
        <v>134.94</v>
      </c>
      <c r="D800" s="2" t="n">
        <f aca="false">IFERROR(__xludf.dummyfunction("""COMPUTED_VALUE"""),131.61)</f>
        <v>131.61</v>
      </c>
      <c r="E800" s="2" t="n">
        <f aca="false">IFERROR(__xludf.dummyfunction("""COMPUTED_VALUE"""),134.38)</f>
        <v>134.38</v>
      </c>
      <c r="F800" s="2" t="n">
        <f aca="false">IFERROR(__xludf.dummyfunction("""COMPUTED_VALUE"""),37738209)</f>
        <v>37738209</v>
      </c>
    </row>
    <row r="801" customFormat="false" ht="15.75" hidden="false" customHeight="false" outlineLevel="0" collapsed="false">
      <c r="A801" s="3" t="n">
        <f aca="false">IFERROR(__xludf.dummyfunction("""COMPUTED_VALUE"""),45359.6666666667)</f>
        <v>45359.6666666667</v>
      </c>
      <c r="B801" s="2" t="n">
        <f aca="false">IFERROR(__xludf.dummyfunction("""COMPUTED_VALUE"""),134.21)</f>
        <v>134.21</v>
      </c>
      <c r="C801" s="2" t="n">
        <f aca="false">IFERROR(__xludf.dummyfunction("""COMPUTED_VALUE"""),138.09)</f>
        <v>138.09</v>
      </c>
      <c r="D801" s="2" t="n">
        <f aca="false">IFERROR(__xludf.dummyfunction("""COMPUTED_VALUE"""),134)</f>
        <v>134</v>
      </c>
      <c r="E801" s="2" t="n">
        <f aca="false">IFERROR(__xludf.dummyfunction("""COMPUTED_VALUE"""),135.41)</f>
        <v>135.41</v>
      </c>
      <c r="F801" s="2" t="n">
        <f aca="false">IFERROR(__xludf.dummyfunction("""COMPUTED_VALUE"""),39370392)</f>
        <v>39370392</v>
      </c>
    </row>
    <row r="802" customFormat="false" ht="15.75" hidden="false" customHeight="false" outlineLevel="0" collapsed="false">
      <c r="A802" s="3" t="n">
        <f aca="false">IFERROR(__xludf.dummyfunction("""COMPUTED_VALUE"""),45362.6666666667)</f>
        <v>45362.6666666667</v>
      </c>
      <c r="B802" s="2" t="n">
        <f aca="false">IFERROR(__xludf.dummyfunction("""COMPUTED_VALUE"""),136.13)</f>
        <v>136.13</v>
      </c>
      <c r="C802" s="2" t="n">
        <f aca="false">IFERROR(__xludf.dummyfunction("""COMPUTED_VALUE"""),139.1)</f>
        <v>139.1</v>
      </c>
      <c r="D802" s="2" t="n">
        <f aca="false">IFERROR(__xludf.dummyfunction("""COMPUTED_VALUE"""),136.13)</f>
        <v>136.13</v>
      </c>
      <c r="E802" s="2" t="n">
        <f aca="false">IFERROR(__xludf.dummyfunction("""COMPUTED_VALUE"""),137.67)</f>
        <v>137.67</v>
      </c>
      <c r="F802" s="2" t="n">
        <f aca="false">IFERROR(__xludf.dummyfunction("""COMPUTED_VALUE"""),32437772)</f>
        <v>32437772</v>
      </c>
    </row>
    <row r="803" customFormat="false" ht="15.75" hidden="false" customHeight="false" outlineLevel="0" collapsed="false">
      <c r="A803" s="3" t="n">
        <f aca="false">IFERROR(__xludf.dummyfunction("""COMPUTED_VALUE"""),45363.6666666667)</f>
        <v>45363.6666666667</v>
      </c>
      <c r="B803" s="2" t="n">
        <f aca="false">IFERROR(__xludf.dummyfunction("""COMPUTED_VALUE"""),137.03)</f>
        <v>137.03</v>
      </c>
      <c r="C803" s="2" t="n">
        <f aca="false">IFERROR(__xludf.dummyfunction("""COMPUTED_VALUE"""),139.38)</f>
        <v>139.38</v>
      </c>
      <c r="D803" s="2" t="n">
        <f aca="false">IFERROR(__xludf.dummyfunction("""COMPUTED_VALUE"""),137.03)</f>
        <v>137.03</v>
      </c>
      <c r="E803" s="2" t="n">
        <f aca="false">IFERROR(__xludf.dummyfunction("""COMPUTED_VALUE"""),138.5)</f>
        <v>138.5</v>
      </c>
      <c r="F803" s="2" t="n">
        <f aca="false">IFERROR(__xludf.dummyfunction("""COMPUTED_VALUE"""),27563354)</f>
        <v>27563354</v>
      </c>
    </row>
    <row r="804" customFormat="false" ht="15.75" hidden="false" customHeight="false" outlineLevel="0" collapsed="false">
      <c r="A804" s="3" t="n">
        <f aca="false">IFERROR(__xludf.dummyfunction("""COMPUTED_VALUE"""),45364.6666666667)</f>
        <v>45364.6666666667</v>
      </c>
      <c r="B804" s="2" t="n">
        <f aca="false">IFERROR(__xludf.dummyfunction("""COMPUTED_VALUE"""),139)</f>
        <v>139</v>
      </c>
      <c r="C804" s="2" t="n">
        <f aca="false">IFERROR(__xludf.dummyfunction("""COMPUTED_VALUE"""),141.09)</f>
        <v>141.09</v>
      </c>
      <c r="D804" s="2" t="n">
        <f aca="false">IFERROR(__xludf.dummyfunction("""COMPUTED_VALUE"""),138.99)</f>
        <v>138.99</v>
      </c>
      <c r="E804" s="2" t="n">
        <f aca="false">IFERROR(__xludf.dummyfunction("""COMPUTED_VALUE"""),139.79)</f>
        <v>139.79</v>
      </c>
      <c r="F804" s="2" t="n">
        <f aca="false">IFERROR(__xludf.dummyfunction("""COMPUTED_VALUE"""),23347208)</f>
        <v>23347208</v>
      </c>
    </row>
    <row r="805" customFormat="false" ht="15.75" hidden="false" customHeight="false" outlineLevel="0" collapsed="false">
      <c r="A805" s="3" t="n">
        <f aca="false">IFERROR(__xludf.dummyfunction("""COMPUTED_VALUE"""),45365.6666666667)</f>
        <v>45365.6666666667</v>
      </c>
      <c r="B805" s="2" t="n">
        <f aca="false">IFERROR(__xludf.dummyfunction("""COMPUTED_VALUE"""),141.19)</f>
        <v>141.19</v>
      </c>
      <c r="C805" s="2" t="n">
        <f aca="false">IFERROR(__xludf.dummyfunction("""COMPUTED_VALUE"""),143.59)</f>
        <v>143.59</v>
      </c>
      <c r="D805" s="2" t="n">
        <f aca="false">IFERROR(__xludf.dummyfunction("""COMPUTED_VALUE"""),140.46)</f>
        <v>140.46</v>
      </c>
      <c r="E805" s="2" t="n">
        <f aca="false">IFERROR(__xludf.dummyfunction("""COMPUTED_VALUE"""),143.1)</f>
        <v>143.1</v>
      </c>
      <c r="F805" s="2" t="n">
        <f aca="false">IFERROR(__xludf.dummyfunction("""COMPUTED_VALUE"""),42753387)</f>
        <v>42753387</v>
      </c>
    </row>
    <row r="806" customFormat="false" ht="15.75" hidden="false" customHeight="false" outlineLevel="0" collapsed="false">
      <c r="A806" s="3" t="n">
        <f aca="false">IFERROR(__xludf.dummyfunction("""COMPUTED_VALUE"""),45366.6666666667)</f>
        <v>45366.6666666667</v>
      </c>
      <c r="B806" s="2" t="n">
        <f aca="false">IFERROR(__xludf.dummyfunction("""COMPUTED_VALUE"""),142.5)</f>
        <v>142.5</v>
      </c>
      <c r="C806" s="2" t="n">
        <f aca="false">IFERROR(__xludf.dummyfunction("""COMPUTED_VALUE"""),143.18)</f>
        <v>143.18</v>
      </c>
      <c r="D806" s="2" t="n">
        <f aca="false">IFERROR(__xludf.dummyfunction("""COMPUTED_VALUE"""),140.03)</f>
        <v>140.03</v>
      </c>
      <c r="E806" s="2" t="n">
        <f aca="false">IFERROR(__xludf.dummyfunction("""COMPUTED_VALUE"""),141.18)</f>
        <v>141.18</v>
      </c>
      <c r="F806" s="2" t="n">
        <f aca="false">IFERROR(__xludf.dummyfunction("""COMPUTED_VALUE"""),49475417)</f>
        <v>49475417</v>
      </c>
    </row>
    <row r="807" customFormat="false" ht="15.75" hidden="false" customHeight="false" outlineLevel="0" collapsed="false">
      <c r="A807" s="3" t="n">
        <f aca="false">IFERROR(__xludf.dummyfunction("""COMPUTED_VALUE"""),45369.6666666667)</f>
        <v>45369.6666666667</v>
      </c>
      <c r="B807" s="2" t="n">
        <f aca="false">IFERROR(__xludf.dummyfunction("""COMPUTED_VALUE"""),148.61)</f>
        <v>148.61</v>
      </c>
      <c r="C807" s="2" t="n">
        <f aca="false">IFERROR(__xludf.dummyfunction("""COMPUTED_VALUE"""),152.15)</f>
        <v>152.15</v>
      </c>
      <c r="D807" s="2" t="n">
        <f aca="false">IFERROR(__xludf.dummyfunction("""COMPUTED_VALUE"""),147.17)</f>
        <v>147.17</v>
      </c>
      <c r="E807" s="2" t="n">
        <f aca="false">IFERROR(__xludf.dummyfunction("""COMPUTED_VALUE"""),147.68)</f>
        <v>147.68</v>
      </c>
      <c r="F807" s="2" t="n">
        <f aca="false">IFERROR(__xludf.dummyfunction("""COMPUTED_VALUE"""),69273699)</f>
        <v>69273699</v>
      </c>
    </row>
    <row r="808" customFormat="false" ht="15.75" hidden="false" customHeight="false" outlineLevel="0" collapsed="false">
      <c r="A808" s="3" t="n">
        <f aca="false">IFERROR(__xludf.dummyfunction("""COMPUTED_VALUE"""),45370.6666666667)</f>
        <v>45370.6666666667</v>
      </c>
      <c r="B808" s="2" t="n">
        <f aca="false">IFERROR(__xludf.dummyfunction("""COMPUTED_VALUE"""),148.16)</f>
        <v>148.16</v>
      </c>
      <c r="C808" s="2" t="n">
        <f aca="false">IFERROR(__xludf.dummyfunction("""COMPUTED_VALUE"""),148.79)</f>
        <v>148.79</v>
      </c>
      <c r="D808" s="2" t="n">
        <f aca="false">IFERROR(__xludf.dummyfunction("""COMPUTED_VALUE"""),146.08)</f>
        <v>146.08</v>
      </c>
      <c r="E808" s="2" t="n">
        <f aca="false">IFERROR(__xludf.dummyfunction("""COMPUTED_VALUE"""),147.03)</f>
        <v>147.03</v>
      </c>
      <c r="F808" s="2" t="n">
        <f aca="false">IFERROR(__xludf.dummyfunction("""COMPUTED_VALUE"""),24070435)</f>
        <v>24070435</v>
      </c>
    </row>
    <row r="809" customFormat="false" ht="15.75" hidden="false" customHeight="false" outlineLevel="0" collapsed="false">
      <c r="A809" s="3" t="n">
        <f aca="false">IFERROR(__xludf.dummyfunction("""COMPUTED_VALUE"""),45371.6666666667)</f>
        <v>45371.6666666667</v>
      </c>
      <c r="B809" s="2" t="n">
        <f aca="false">IFERROR(__xludf.dummyfunction("""COMPUTED_VALUE"""),148)</f>
        <v>148</v>
      </c>
      <c r="C809" s="2" t="n">
        <f aca="false">IFERROR(__xludf.dummyfunction("""COMPUTED_VALUE"""),148.86)</f>
        <v>148.86</v>
      </c>
      <c r="D809" s="2" t="n">
        <f aca="false">IFERROR(__xludf.dummyfunction("""COMPUTED_VALUE"""),146.74)</f>
        <v>146.74</v>
      </c>
      <c r="E809" s="2" t="n">
        <f aca="false">IFERROR(__xludf.dummyfunction("""COMPUTED_VALUE"""),148.74)</f>
        <v>148.74</v>
      </c>
      <c r="F809" s="2" t="n">
        <f aca="false">IFERROR(__xludf.dummyfunction("""COMPUTED_VALUE"""),21311501)</f>
        <v>21311501</v>
      </c>
    </row>
    <row r="810" customFormat="false" ht="15.75" hidden="false" customHeight="false" outlineLevel="0" collapsed="false">
      <c r="A810" s="3" t="n">
        <f aca="false">IFERROR(__xludf.dummyfunction("""COMPUTED_VALUE"""),45372.6666666667)</f>
        <v>45372.6666666667</v>
      </c>
      <c r="B810" s="2" t="n">
        <f aca="false">IFERROR(__xludf.dummyfunction("""COMPUTED_VALUE"""),149.47)</f>
        <v>149.47</v>
      </c>
      <c r="C810" s="2" t="n">
        <f aca="false">IFERROR(__xludf.dummyfunction("""COMPUTED_VALUE"""),150.37)</f>
        <v>150.37</v>
      </c>
      <c r="D810" s="2" t="n">
        <f aca="false">IFERROR(__xludf.dummyfunction("""COMPUTED_VALUE"""),146.9)</f>
        <v>146.9</v>
      </c>
      <c r="E810" s="2" t="n">
        <f aca="false">IFERROR(__xludf.dummyfunction("""COMPUTED_VALUE"""),147.6)</f>
        <v>147.6</v>
      </c>
      <c r="F810" s="2" t="n">
        <f aca="false">IFERROR(__xludf.dummyfunction("""COMPUTED_VALUE"""),24755597)</f>
        <v>24755597</v>
      </c>
    </row>
    <row r="811" customFormat="false" ht="15.75" hidden="false" customHeight="false" outlineLevel="0" collapsed="false">
      <c r="A811" s="3" t="n">
        <f aca="false">IFERROR(__xludf.dummyfunction("""COMPUTED_VALUE"""),45373.6666666667)</f>
        <v>45373.6666666667</v>
      </c>
      <c r="B811" s="2" t="n">
        <f aca="false">IFERROR(__xludf.dummyfunction("""COMPUTED_VALUE"""),149.12)</f>
        <v>149.12</v>
      </c>
      <c r="C811" s="2" t="n">
        <f aca="false">IFERROR(__xludf.dummyfunction("""COMPUTED_VALUE"""),151.58)</f>
        <v>151.58</v>
      </c>
      <c r="D811" s="2" t="n">
        <f aca="false">IFERROR(__xludf.dummyfunction("""COMPUTED_VALUE"""),148.98)</f>
        <v>148.98</v>
      </c>
      <c r="E811" s="2" t="n">
        <f aca="false">IFERROR(__xludf.dummyfunction("""COMPUTED_VALUE"""),150.77)</f>
        <v>150.77</v>
      </c>
      <c r="F811" s="2" t="n">
        <f aca="false">IFERROR(__xludf.dummyfunction("""COMPUTED_VALUE"""),29211769)</f>
        <v>29211769</v>
      </c>
    </row>
    <row r="812" customFormat="false" ht="15.75" hidden="false" customHeight="false" outlineLevel="0" collapsed="false">
      <c r="A812" s="3" t="n">
        <f aca="false">IFERROR(__xludf.dummyfunction("""COMPUTED_VALUE"""),45376.6666666667)</f>
        <v>45376.6666666667</v>
      </c>
      <c r="B812" s="2" t="n">
        <f aca="false">IFERROR(__xludf.dummyfunction("""COMPUTED_VALUE"""),149.94)</f>
        <v>149.94</v>
      </c>
      <c r="C812" s="2" t="n">
        <f aca="false">IFERROR(__xludf.dummyfunction("""COMPUTED_VALUE"""),150.38)</f>
        <v>150.38</v>
      </c>
      <c r="D812" s="2" t="n">
        <f aca="false">IFERROR(__xludf.dummyfunction("""COMPUTED_VALUE"""),147.82)</f>
        <v>147.82</v>
      </c>
      <c r="E812" s="2" t="n">
        <f aca="false">IFERROR(__xludf.dummyfunction("""COMPUTED_VALUE"""),150.07)</f>
        <v>150.07</v>
      </c>
      <c r="F812" s="2" t="n">
        <f aca="false">IFERROR(__xludf.dummyfunction("""COMPUTED_VALUE"""),19229285)</f>
        <v>19229285</v>
      </c>
    </row>
    <row r="813" customFormat="false" ht="15.75" hidden="false" customHeight="false" outlineLevel="0" collapsed="false">
      <c r="A813" s="3" t="n">
        <f aca="false">IFERROR(__xludf.dummyfunction("""COMPUTED_VALUE"""),45377.6666666667)</f>
        <v>45377.6666666667</v>
      </c>
      <c r="B813" s="2" t="n">
        <f aca="false">IFERROR(__xludf.dummyfunction("""COMPUTED_VALUE"""),150.22)</f>
        <v>150.22</v>
      </c>
      <c r="C813" s="2" t="n">
        <f aca="false">IFERROR(__xludf.dummyfunction("""COMPUTED_VALUE"""),152.26)</f>
        <v>152.26</v>
      </c>
      <c r="D813" s="2" t="n">
        <f aca="false">IFERROR(__xludf.dummyfunction("""COMPUTED_VALUE"""),149.98)</f>
        <v>149.98</v>
      </c>
      <c r="E813" s="2" t="n">
        <f aca="false">IFERROR(__xludf.dummyfunction("""COMPUTED_VALUE"""),150.67)</f>
        <v>150.67</v>
      </c>
      <c r="F813" s="2" t="n">
        <f aca="false">IFERROR(__xludf.dummyfunction("""COMPUTED_VALUE"""),22149137)</f>
        <v>22149137</v>
      </c>
    </row>
    <row r="814" customFormat="false" ht="15.75" hidden="false" customHeight="false" outlineLevel="0" collapsed="false">
      <c r="A814" s="3" t="n">
        <f aca="false">IFERROR(__xludf.dummyfunction("""COMPUTED_VALUE"""),45378.6666666667)</f>
        <v>45378.6666666667</v>
      </c>
      <c r="B814" s="2" t="n">
        <f aca="false">IFERROR(__xludf.dummyfunction("""COMPUTED_VALUE"""),151.18)</f>
        <v>151.18</v>
      </c>
      <c r="C814" s="2" t="n">
        <f aca="false">IFERROR(__xludf.dummyfunction("""COMPUTED_VALUE"""),151.64)</f>
        <v>151.64</v>
      </c>
      <c r="D814" s="2" t="n">
        <f aca="false">IFERROR(__xludf.dummyfunction("""COMPUTED_VALUE"""),148.9)</f>
        <v>148.9</v>
      </c>
      <c r="E814" s="2" t="n">
        <f aca="false">IFERROR(__xludf.dummyfunction("""COMPUTED_VALUE"""),150.87)</f>
        <v>150.87</v>
      </c>
      <c r="F814" s="2" t="n">
        <f aca="false">IFERROR(__xludf.dummyfunction("""COMPUTED_VALUE"""),22879178)</f>
        <v>22879178</v>
      </c>
    </row>
    <row r="815" customFormat="false" ht="15.75" hidden="false" customHeight="false" outlineLevel="0" collapsed="false">
      <c r="A815" s="3" t="n">
        <f aca="false">IFERROR(__xludf.dummyfunction("""COMPUTED_VALUE"""),45379.6666666667)</f>
        <v>45379.6666666667</v>
      </c>
      <c r="B815" s="2" t="n">
        <f aca="false">IFERROR(__xludf.dummyfunction("""COMPUTED_VALUE"""),150.85)</f>
        <v>150.85</v>
      </c>
      <c r="C815" s="2" t="n">
        <f aca="false">IFERROR(__xludf.dummyfunction("""COMPUTED_VALUE"""),151.43)</f>
        <v>151.43</v>
      </c>
      <c r="D815" s="2" t="n">
        <f aca="false">IFERROR(__xludf.dummyfunction("""COMPUTED_VALUE"""),150.17)</f>
        <v>150.17</v>
      </c>
      <c r="E815" s="2" t="n">
        <f aca="false">IFERROR(__xludf.dummyfunction("""COMPUTED_VALUE"""),150.93)</f>
        <v>150.93</v>
      </c>
      <c r="F815" s="2" t="n">
        <f aca="false">IFERROR(__xludf.dummyfunction("""COMPUTED_VALUE"""),24485390)</f>
        <v>24485390</v>
      </c>
    </row>
    <row r="816" customFormat="false" ht="15.75" hidden="false" customHeight="false" outlineLevel="0" collapsed="false">
      <c r="A816" s="3" t="n">
        <f aca="false">IFERROR(__xludf.dummyfunction("""COMPUTED_VALUE"""),45383.6666666667)</f>
        <v>45383.6666666667</v>
      </c>
      <c r="B816" s="2" t="n">
        <f aca="false">IFERROR(__xludf.dummyfunction("""COMPUTED_VALUE"""),150.69)</f>
        <v>150.69</v>
      </c>
      <c r="C816" s="2" t="n">
        <f aca="false">IFERROR(__xludf.dummyfunction("""COMPUTED_VALUE"""),155.74)</f>
        <v>155.74</v>
      </c>
      <c r="D816" s="2" t="n">
        <f aca="false">IFERROR(__xludf.dummyfunction("""COMPUTED_VALUE"""),150.61)</f>
        <v>150.61</v>
      </c>
      <c r="E816" s="2" t="n">
        <f aca="false">IFERROR(__xludf.dummyfunction("""COMPUTED_VALUE"""),155.49)</f>
        <v>155.49</v>
      </c>
      <c r="F816" s="2" t="n">
        <f aca="false">IFERROR(__xludf.dummyfunction("""COMPUTED_VALUE"""),31730848)</f>
        <v>31730848</v>
      </c>
    </row>
    <row r="817" customFormat="false" ht="15.75" hidden="false" customHeight="false" outlineLevel="0" collapsed="false">
      <c r="A817" s="3" t="n">
        <f aca="false">IFERROR(__xludf.dummyfunction("""COMPUTED_VALUE"""),45384.6666666667)</f>
        <v>45384.6666666667</v>
      </c>
      <c r="B817" s="2" t="n">
        <f aca="false">IFERROR(__xludf.dummyfunction("""COMPUTED_VALUE"""),153.5)</f>
        <v>153.5</v>
      </c>
      <c r="C817" s="2" t="n">
        <f aca="false">IFERROR(__xludf.dummyfunction("""COMPUTED_VALUE"""),154.7)</f>
        <v>154.7</v>
      </c>
      <c r="D817" s="2" t="n">
        <f aca="false">IFERROR(__xludf.dummyfunction("""COMPUTED_VALUE"""),152.15)</f>
        <v>152.15</v>
      </c>
      <c r="E817" s="2" t="n">
        <f aca="false">IFERROR(__xludf.dummyfunction("""COMPUTED_VALUE"""),154.56)</f>
        <v>154.56</v>
      </c>
      <c r="F817" s="2" t="n">
        <f aca="false">IFERROR(__xludf.dummyfunction("""COMPUTED_VALUE"""),24585985)</f>
        <v>24585985</v>
      </c>
    </row>
    <row r="818" customFormat="false" ht="15.75" hidden="false" customHeight="false" outlineLevel="0" collapsed="false">
      <c r="A818" s="3" t="n">
        <f aca="false">IFERROR(__xludf.dummyfunction("""COMPUTED_VALUE"""),45385.6666666667)</f>
        <v>45385.6666666667</v>
      </c>
      <c r="B818" s="2" t="n">
        <f aca="false">IFERROR(__xludf.dummyfunction("""COMPUTED_VALUE"""),153.6)</f>
        <v>153.6</v>
      </c>
      <c r="C818" s="2" t="n">
        <f aca="false">IFERROR(__xludf.dummyfunction("""COMPUTED_VALUE"""),155.08)</f>
        <v>155.08</v>
      </c>
      <c r="D818" s="2" t="n">
        <f aca="false">IFERROR(__xludf.dummyfunction("""COMPUTED_VALUE"""),152.73)</f>
        <v>152.73</v>
      </c>
      <c r="E818" s="2" t="n">
        <f aca="false">IFERROR(__xludf.dummyfunction("""COMPUTED_VALUE"""),154.92)</f>
        <v>154.92</v>
      </c>
      <c r="F818" s="2" t="n">
        <f aca="false">IFERROR(__xludf.dummyfunction("""COMPUTED_VALUE"""),24704991)</f>
        <v>24704991</v>
      </c>
    </row>
    <row r="819" customFormat="false" ht="15.75" hidden="false" customHeight="false" outlineLevel="0" collapsed="false">
      <c r="A819" s="3" t="n">
        <f aca="false">IFERROR(__xludf.dummyfunction("""COMPUTED_VALUE"""),45386.6666666667)</f>
        <v>45386.6666666667</v>
      </c>
      <c r="B819" s="2" t="n">
        <f aca="false">IFERROR(__xludf.dummyfunction("""COMPUTED_VALUE"""),153.5)</f>
        <v>153.5</v>
      </c>
      <c r="C819" s="2" t="n">
        <f aca="false">IFERROR(__xludf.dummyfunction("""COMPUTED_VALUE"""),154.77)</f>
        <v>154.77</v>
      </c>
      <c r="D819" s="2" t="n">
        <f aca="false">IFERROR(__xludf.dummyfunction("""COMPUTED_VALUE"""),150.45)</f>
        <v>150.45</v>
      </c>
      <c r="E819" s="2" t="n">
        <f aca="false">IFERROR(__xludf.dummyfunction("""COMPUTED_VALUE"""),150.53)</f>
        <v>150.53</v>
      </c>
      <c r="F819" s="2" t="n">
        <f aca="false">IFERROR(__xludf.dummyfunction("""COMPUTED_VALUE"""),34724738)</f>
        <v>34724738</v>
      </c>
    </row>
    <row r="820" customFormat="false" ht="15.75" hidden="false" customHeight="false" outlineLevel="0" collapsed="false">
      <c r="A820" s="3" t="n">
        <f aca="false">IFERROR(__xludf.dummyfunction("""COMPUTED_VALUE"""),45387.6666666667)</f>
        <v>45387.6666666667</v>
      </c>
      <c r="B820" s="2" t="n">
        <f aca="false">IFERROR(__xludf.dummyfunction("""COMPUTED_VALUE"""),150.03)</f>
        <v>150.03</v>
      </c>
      <c r="C820" s="2" t="n">
        <f aca="false">IFERROR(__xludf.dummyfunction("""COMPUTED_VALUE"""),153.42)</f>
        <v>153.42</v>
      </c>
      <c r="D820" s="2" t="n">
        <f aca="false">IFERROR(__xludf.dummyfunction("""COMPUTED_VALUE"""),149.6)</f>
        <v>149.6</v>
      </c>
      <c r="E820" s="2" t="n">
        <f aca="false">IFERROR(__xludf.dummyfunction("""COMPUTED_VALUE"""),152.5)</f>
        <v>152.5</v>
      </c>
      <c r="F820" s="2" t="n">
        <f aca="false">IFERROR(__xludf.dummyfunction("""COMPUTED_VALUE"""),23459246)</f>
        <v>23459246</v>
      </c>
    </row>
    <row r="821" customFormat="false" ht="15.75" hidden="false" customHeight="false" outlineLevel="0" collapsed="false">
      <c r="A821" s="3" t="n">
        <f aca="false">IFERROR(__xludf.dummyfunction("""COMPUTED_VALUE"""),45390.6666666667)</f>
        <v>45390.6666666667</v>
      </c>
      <c r="B821" s="2" t="n">
        <f aca="false">IFERROR(__xludf.dummyfunction("""COMPUTED_VALUE"""),152.78)</f>
        <v>152.78</v>
      </c>
      <c r="C821" s="2" t="n">
        <f aca="false">IFERROR(__xludf.dummyfunction("""COMPUTED_VALUE"""),155.27)</f>
        <v>155.27</v>
      </c>
      <c r="D821" s="2" t="n">
        <f aca="false">IFERROR(__xludf.dummyfunction("""COMPUTED_VALUE"""),152.61)</f>
        <v>152.61</v>
      </c>
      <c r="E821" s="2" t="n">
        <f aca="false">IFERROR(__xludf.dummyfunction("""COMPUTED_VALUE"""),154.85)</f>
        <v>154.85</v>
      </c>
      <c r="F821" s="2" t="n">
        <f aca="false">IFERROR(__xludf.dummyfunction("""COMPUTED_VALUE"""),20701974)</f>
        <v>20701974</v>
      </c>
    </row>
    <row r="822" customFormat="false" ht="15.75" hidden="false" customHeight="false" outlineLevel="0" collapsed="false">
      <c r="A822" s="3" t="n">
        <f aca="false">IFERROR(__xludf.dummyfunction("""COMPUTED_VALUE"""),45391.6666666667)</f>
        <v>45391.6666666667</v>
      </c>
      <c r="B822" s="2" t="n">
        <f aca="false">IFERROR(__xludf.dummyfunction("""COMPUTED_VALUE"""),156.09)</f>
        <v>156.09</v>
      </c>
      <c r="C822" s="2" t="n">
        <f aca="false">IFERROR(__xludf.dummyfunction("""COMPUTED_VALUE"""),158.56)</f>
        <v>158.56</v>
      </c>
      <c r="D822" s="2" t="n">
        <f aca="false">IFERROR(__xludf.dummyfunction("""COMPUTED_VALUE"""),155.19)</f>
        <v>155.19</v>
      </c>
      <c r="E822" s="2" t="n">
        <f aca="false">IFERROR(__xludf.dummyfunction("""COMPUTED_VALUE"""),156.6)</f>
        <v>156.6</v>
      </c>
      <c r="F822" s="2" t="n">
        <f aca="false">IFERROR(__xludf.dummyfunction("""COMPUTED_VALUE"""),31113013)</f>
        <v>31113013</v>
      </c>
    </row>
    <row r="823" customFormat="false" ht="15.75" hidden="false" customHeight="false" outlineLevel="0" collapsed="false">
      <c r="A823" s="3" t="n">
        <f aca="false">IFERROR(__xludf.dummyfunction("""COMPUTED_VALUE"""),45392.6666666667)</f>
        <v>45392.6666666667</v>
      </c>
      <c r="B823" s="2" t="n">
        <f aca="false">IFERROR(__xludf.dummyfunction("""COMPUTED_VALUE"""),156.21)</f>
        <v>156.21</v>
      </c>
      <c r="C823" s="2" t="n">
        <f aca="false">IFERROR(__xludf.dummyfunction("""COMPUTED_VALUE"""),156.61)</f>
        <v>156.61</v>
      </c>
      <c r="D823" s="2" t="n">
        <f aca="false">IFERROR(__xludf.dummyfunction("""COMPUTED_VALUE"""),154.68)</f>
        <v>154.68</v>
      </c>
      <c r="E823" s="2" t="n">
        <f aca="false">IFERROR(__xludf.dummyfunction("""COMPUTED_VALUE"""),156.14)</f>
        <v>156.14</v>
      </c>
      <c r="F823" s="2" t="n">
        <f aca="false">IFERROR(__xludf.dummyfunction("""COMPUTED_VALUE"""),22838629)</f>
        <v>22838629</v>
      </c>
    </row>
    <row r="824" customFormat="false" ht="15.75" hidden="false" customHeight="false" outlineLevel="0" collapsed="false">
      <c r="A824" s="3" t="n">
        <f aca="false">IFERROR(__xludf.dummyfunction("""COMPUTED_VALUE"""),45393.6666666667)</f>
        <v>45393.6666666667</v>
      </c>
      <c r="B824" s="2" t="n">
        <f aca="false">IFERROR(__xludf.dummyfunction("""COMPUTED_VALUE"""),156.91)</f>
        <v>156.91</v>
      </c>
      <c r="C824" s="2" t="n">
        <f aca="false">IFERROR(__xludf.dummyfunction("""COMPUTED_VALUE"""),159.68)</f>
        <v>159.68</v>
      </c>
      <c r="D824" s="2" t="n">
        <f aca="false">IFERROR(__xludf.dummyfunction("""COMPUTED_VALUE"""),156.46)</f>
        <v>156.46</v>
      </c>
      <c r="E824" s="2" t="n">
        <f aca="false">IFERROR(__xludf.dummyfunction("""COMPUTED_VALUE"""),159.41)</f>
        <v>159.41</v>
      </c>
      <c r="F824" s="2" t="n">
        <f aca="false">IFERROR(__xludf.dummyfunction("""COMPUTED_VALUE"""),27166431)</f>
        <v>27166431</v>
      </c>
    </row>
    <row r="825" customFormat="false" ht="15.75" hidden="false" customHeight="false" outlineLevel="0" collapsed="false">
      <c r="A825" s="3" t="n">
        <f aca="false">IFERROR(__xludf.dummyfunction("""COMPUTED_VALUE"""),45394.6666666667)</f>
        <v>45394.6666666667</v>
      </c>
      <c r="B825" s="2" t="n">
        <f aca="false">IFERROR(__xludf.dummyfunction("""COMPUTED_VALUE"""),157.96)</f>
        <v>157.96</v>
      </c>
      <c r="C825" s="2" t="n">
        <f aca="false">IFERROR(__xludf.dummyfunction("""COMPUTED_VALUE"""),160.22)</f>
        <v>160.22</v>
      </c>
      <c r="D825" s="2" t="n">
        <f aca="false">IFERROR(__xludf.dummyfunction("""COMPUTED_VALUE"""),157.14)</f>
        <v>157.14</v>
      </c>
      <c r="E825" s="2" t="n">
        <f aca="false">IFERROR(__xludf.dummyfunction("""COMPUTED_VALUE"""),157.73)</f>
        <v>157.73</v>
      </c>
      <c r="F825" s="2" t="n">
        <f aca="false">IFERROR(__xludf.dummyfunction("""COMPUTED_VALUE"""),25353746)</f>
        <v>25353746</v>
      </c>
    </row>
    <row r="826" customFormat="false" ht="15.75" hidden="false" customHeight="false" outlineLevel="0" collapsed="false">
      <c r="A826" s="3" t="n">
        <f aca="false">IFERROR(__xludf.dummyfunction("""COMPUTED_VALUE"""),45397.6666666667)</f>
        <v>45397.6666666667</v>
      </c>
      <c r="B826" s="2" t="n">
        <f aca="false">IFERROR(__xludf.dummyfunction("""COMPUTED_VALUE"""),158.86)</f>
        <v>158.86</v>
      </c>
      <c r="C826" s="2" t="n">
        <f aca="false">IFERROR(__xludf.dummyfunction("""COMPUTED_VALUE"""),159.24)</f>
        <v>159.24</v>
      </c>
      <c r="D826" s="2" t="n">
        <f aca="false">IFERROR(__xludf.dummyfunction("""COMPUTED_VALUE"""),154.59)</f>
        <v>154.59</v>
      </c>
      <c r="E826" s="2" t="n">
        <f aca="false">IFERROR(__xludf.dummyfunction("""COMPUTED_VALUE"""),154.86)</f>
        <v>154.86</v>
      </c>
      <c r="F826" s="2" t="n">
        <f aca="false">IFERROR(__xludf.dummyfunction("""COMPUTED_VALUE"""),27136472)</f>
        <v>27136472</v>
      </c>
    </row>
    <row r="827" customFormat="false" ht="15.75" hidden="false" customHeight="false" outlineLevel="0" collapsed="false">
      <c r="A827" s="3" t="n">
        <f aca="false">IFERROR(__xludf.dummyfunction("""COMPUTED_VALUE"""),45398.6666666667)</f>
        <v>45398.6666666667</v>
      </c>
      <c r="B827" s="2" t="n">
        <f aca="false">IFERROR(__xludf.dummyfunction("""COMPUTED_VALUE"""),154.19)</f>
        <v>154.19</v>
      </c>
      <c r="C827" s="2" t="n">
        <f aca="false">IFERROR(__xludf.dummyfunction("""COMPUTED_VALUE"""),155.65)</f>
        <v>155.65</v>
      </c>
      <c r="D827" s="2" t="n">
        <f aca="false">IFERROR(__xludf.dummyfunction("""COMPUTED_VALUE"""),153.43)</f>
        <v>153.43</v>
      </c>
      <c r="E827" s="2" t="n">
        <f aca="false">IFERROR(__xludf.dummyfunction("""COMPUTED_VALUE"""),154.4)</f>
        <v>154.4</v>
      </c>
      <c r="F827" s="2" t="n">
        <f aca="false">IFERROR(__xludf.dummyfunction("""COMPUTED_VALUE"""),20779495)</f>
        <v>20779495</v>
      </c>
    </row>
    <row r="828" customFormat="false" ht="15.75" hidden="false" customHeight="false" outlineLevel="0" collapsed="false">
      <c r="A828" s="3" t="n">
        <f aca="false">IFERROR(__xludf.dummyfunction("""COMPUTED_VALUE"""),45399.6666666667)</f>
        <v>45399.6666666667</v>
      </c>
      <c r="B828" s="2" t="n">
        <f aca="false">IFERROR(__xludf.dummyfunction("""COMPUTED_VALUE"""),155.62)</f>
        <v>155.62</v>
      </c>
      <c r="C828" s="2" t="n">
        <f aca="false">IFERROR(__xludf.dummyfunction("""COMPUTED_VALUE"""),157.08)</f>
        <v>157.08</v>
      </c>
      <c r="D828" s="2" t="n">
        <f aca="false">IFERROR(__xludf.dummyfunction("""COMPUTED_VALUE"""),154.58)</f>
        <v>154.58</v>
      </c>
      <c r="E828" s="2" t="n">
        <f aca="false">IFERROR(__xludf.dummyfunction("""COMPUTED_VALUE"""),155.47)</f>
        <v>155.47</v>
      </c>
      <c r="F828" s="2" t="n">
        <f aca="false">IFERROR(__xludf.dummyfunction("""COMPUTED_VALUE"""),21763130)</f>
        <v>21763130</v>
      </c>
    </row>
    <row r="829" customFormat="false" ht="15.75" hidden="false" customHeight="false" outlineLevel="0" collapsed="false">
      <c r="A829" s="3" t="n">
        <f aca="false">IFERROR(__xludf.dummyfunction("""COMPUTED_VALUE"""),45400.6666666667)</f>
        <v>45400.6666666667</v>
      </c>
      <c r="B829" s="2" t="n">
        <f aca="false">IFERROR(__xludf.dummyfunction("""COMPUTED_VALUE"""),155.34)</f>
        <v>155.34</v>
      </c>
      <c r="C829" s="2" t="n">
        <f aca="false">IFERROR(__xludf.dummyfunction("""COMPUTED_VALUE"""),156.94)</f>
        <v>156.94</v>
      </c>
      <c r="D829" s="2" t="n">
        <f aca="false">IFERROR(__xludf.dummyfunction("""COMPUTED_VALUE"""),154.62)</f>
        <v>154.62</v>
      </c>
      <c r="E829" s="2" t="n">
        <f aca="false">IFERROR(__xludf.dummyfunction("""COMPUTED_VALUE"""),156.01)</f>
        <v>156.01</v>
      </c>
      <c r="F829" s="2" t="n">
        <f aca="false">IFERROR(__xludf.dummyfunction("""COMPUTED_VALUE"""),19883044)</f>
        <v>19883044</v>
      </c>
    </row>
    <row r="830" customFormat="false" ht="15.75" hidden="false" customHeight="false" outlineLevel="0" collapsed="false">
      <c r="A830" s="3" t="n">
        <f aca="false">IFERROR(__xludf.dummyfunction("""COMPUTED_VALUE"""),45401.6666666667)</f>
        <v>45401.6666666667</v>
      </c>
      <c r="B830" s="2" t="n">
        <f aca="false">IFERROR(__xludf.dummyfunction("""COMPUTED_VALUE"""),156.2)</f>
        <v>156.2</v>
      </c>
      <c r="C830" s="2" t="n">
        <f aca="false">IFERROR(__xludf.dummyfunction("""COMPUTED_VALUE"""),156.36)</f>
        <v>156.36</v>
      </c>
      <c r="D830" s="2" t="n">
        <f aca="false">IFERROR(__xludf.dummyfunction("""COMPUTED_VALUE"""),152.3)</f>
        <v>152.3</v>
      </c>
      <c r="E830" s="2" t="n">
        <f aca="false">IFERROR(__xludf.dummyfunction("""COMPUTED_VALUE"""),154.09)</f>
        <v>154.09</v>
      </c>
      <c r="F830" s="2" t="n">
        <f aca="false">IFERROR(__xludf.dummyfunction("""COMPUTED_VALUE"""),32615639)</f>
        <v>32615639</v>
      </c>
    </row>
    <row r="831" customFormat="false" ht="15.75" hidden="false" customHeight="false" outlineLevel="0" collapsed="false">
      <c r="A831" s="3" t="n">
        <f aca="false">IFERROR(__xludf.dummyfunction("""COMPUTED_VALUE"""),45404.6666666667)</f>
        <v>45404.6666666667</v>
      </c>
      <c r="B831" s="2" t="n">
        <f aca="false">IFERROR(__xludf.dummyfunction("""COMPUTED_VALUE"""),154.31)</f>
        <v>154.31</v>
      </c>
      <c r="C831" s="2" t="n">
        <f aca="false">IFERROR(__xludf.dummyfunction("""COMPUTED_VALUE"""),157.64)</f>
        <v>157.64</v>
      </c>
      <c r="D831" s="2" t="n">
        <f aca="false">IFERROR(__xludf.dummyfunction("""COMPUTED_VALUE"""),154.06)</f>
        <v>154.06</v>
      </c>
      <c r="E831" s="2" t="n">
        <f aca="false">IFERROR(__xludf.dummyfunction("""COMPUTED_VALUE"""),156.28)</f>
        <v>156.28</v>
      </c>
      <c r="F831" s="2" t="n">
        <f aca="false">IFERROR(__xludf.dummyfunction("""COMPUTED_VALUE"""),26446206)</f>
        <v>26446206</v>
      </c>
    </row>
    <row r="832" customFormat="false" ht="15.75" hidden="false" customHeight="false" outlineLevel="0" collapsed="false">
      <c r="A832" s="3" t="n">
        <f aca="false">IFERROR(__xludf.dummyfunction("""COMPUTED_VALUE"""),45405.6666666667)</f>
        <v>45405.6666666667</v>
      </c>
      <c r="B832" s="2" t="n">
        <f aca="false">IFERROR(__xludf.dummyfunction("""COMPUTED_VALUE"""),156.96)</f>
        <v>156.96</v>
      </c>
      <c r="C832" s="2" t="n">
        <f aca="false">IFERROR(__xludf.dummyfunction("""COMPUTED_VALUE"""),158.97)</f>
        <v>158.97</v>
      </c>
      <c r="D832" s="2" t="n">
        <f aca="false">IFERROR(__xludf.dummyfunction("""COMPUTED_VALUE"""),156.28)</f>
        <v>156.28</v>
      </c>
      <c r="E832" s="2" t="n">
        <f aca="false">IFERROR(__xludf.dummyfunction("""COMPUTED_VALUE"""),158.26)</f>
        <v>158.26</v>
      </c>
      <c r="F832" s="2" t="n">
        <f aca="false">IFERROR(__xludf.dummyfunction("""COMPUTED_VALUE"""),21151568)</f>
        <v>21151568</v>
      </c>
    </row>
    <row r="833" customFormat="false" ht="15.75" hidden="false" customHeight="false" outlineLevel="0" collapsed="false">
      <c r="A833" s="3" t="n">
        <f aca="false">IFERROR(__xludf.dummyfunction("""COMPUTED_VALUE"""),45406.6666666667)</f>
        <v>45406.6666666667</v>
      </c>
      <c r="B833" s="2" t="n">
        <f aca="false">IFERROR(__xludf.dummyfunction("""COMPUTED_VALUE"""),157.49)</f>
        <v>157.49</v>
      </c>
      <c r="C833" s="2" t="n">
        <f aca="false">IFERROR(__xludf.dummyfunction("""COMPUTED_VALUE"""),159.57)</f>
        <v>159.57</v>
      </c>
      <c r="D833" s="2" t="n">
        <f aca="false">IFERROR(__xludf.dummyfunction("""COMPUTED_VALUE"""),157.17)</f>
        <v>157.17</v>
      </c>
      <c r="E833" s="2" t="n">
        <f aca="false">IFERROR(__xludf.dummyfunction("""COMPUTED_VALUE"""),159.13)</f>
        <v>159.13</v>
      </c>
      <c r="F833" s="2" t="n">
        <f aca="false">IFERROR(__xludf.dummyfunction("""COMPUTED_VALUE"""),22779112)</f>
        <v>22779112</v>
      </c>
    </row>
    <row r="834" customFormat="false" ht="15.75" hidden="false" customHeight="false" outlineLevel="0" collapsed="false">
      <c r="A834" s="3" t="n">
        <f aca="false">IFERROR(__xludf.dummyfunction("""COMPUTED_VALUE"""),45407.6666666667)</f>
        <v>45407.6666666667</v>
      </c>
      <c r="B834" s="2" t="n">
        <f aca="false">IFERROR(__xludf.dummyfunction("""COMPUTED_VALUE"""),151.33)</f>
        <v>151.33</v>
      </c>
      <c r="C834" s="2" t="n">
        <f aca="false">IFERROR(__xludf.dummyfunction("""COMPUTED_VALUE"""),156.49)</f>
        <v>156.49</v>
      </c>
      <c r="D834" s="2" t="n">
        <f aca="false">IFERROR(__xludf.dummyfunction("""COMPUTED_VALUE"""),150.87)</f>
        <v>150.87</v>
      </c>
      <c r="E834" s="2" t="n">
        <f aca="false">IFERROR(__xludf.dummyfunction("""COMPUTED_VALUE"""),156)</f>
        <v>156</v>
      </c>
      <c r="F834" s="2" t="n">
        <f aca="false">IFERROR(__xludf.dummyfunction("""COMPUTED_VALUE"""),57109730)</f>
        <v>57109730</v>
      </c>
    </row>
    <row r="835" customFormat="false" ht="15.75" hidden="false" customHeight="false" outlineLevel="0" collapsed="false">
      <c r="A835" s="3" t="n">
        <f aca="false">IFERROR(__xludf.dummyfunction("""COMPUTED_VALUE"""),45408.6666666667)</f>
        <v>45408.6666666667</v>
      </c>
      <c r="B835" s="2" t="n">
        <f aca="false">IFERROR(__xludf.dummyfunction("""COMPUTED_VALUE"""),174.37)</f>
        <v>174.37</v>
      </c>
      <c r="C835" s="2" t="n">
        <f aca="false">IFERROR(__xludf.dummyfunction("""COMPUTED_VALUE"""),174.71)</f>
        <v>174.71</v>
      </c>
      <c r="D835" s="2" t="n">
        <f aca="false">IFERROR(__xludf.dummyfunction("""COMPUTED_VALUE"""),169.65)</f>
        <v>169.65</v>
      </c>
      <c r="E835" s="2" t="n">
        <f aca="false">IFERROR(__xludf.dummyfunction("""COMPUTED_VALUE"""),171.95)</f>
        <v>171.95</v>
      </c>
      <c r="F835" s="2" t="n">
        <f aca="false">IFERROR(__xludf.dummyfunction("""COMPUTED_VALUE"""),64665299)</f>
        <v>64665299</v>
      </c>
    </row>
    <row r="836" customFormat="false" ht="15.75" hidden="false" customHeight="false" outlineLevel="0" collapsed="false">
      <c r="A836" s="3" t="n">
        <f aca="false">IFERROR(__xludf.dummyfunction("""COMPUTED_VALUE"""),45411.6666666667)</f>
        <v>45411.6666666667</v>
      </c>
      <c r="B836" s="2" t="n">
        <f aca="false">IFERROR(__xludf.dummyfunction("""COMPUTED_VALUE"""),169.06)</f>
        <v>169.06</v>
      </c>
      <c r="C836" s="2" t="n">
        <f aca="false">IFERROR(__xludf.dummyfunction("""COMPUTED_VALUE"""),169.55)</f>
        <v>169.55</v>
      </c>
      <c r="D836" s="2" t="n">
        <f aca="false">IFERROR(__xludf.dummyfunction("""COMPUTED_VALUE"""),165.21)</f>
        <v>165.21</v>
      </c>
      <c r="E836" s="2" t="n">
        <f aca="false">IFERROR(__xludf.dummyfunction("""COMPUTED_VALUE"""),166.15)</f>
        <v>166.15</v>
      </c>
      <c r="F836" s="2" t="n">
        <f aca="false">IFERROR(__xludf.dummyfunction("""COMPUTED_VALUE"""),45610024)</f>
        <v>45610024</v>
      </c>
    </row>
    <row r="837" customFormat="false" ht="15.75" hidden="false" customHeight="false" outlineLevel="0" collapsed="false">
      <c r="A837" s="3" t="n">
        <f aca="false">IFERROR(__xludf.dummyfunction("""COMPUTED_VALUE"""),45412.6666666667)</f>
        <v>45412.6666666667</v>
      </c>
      <c r="B837" s="2" t="n">
        <f aca="false">IFERROR(__xludf.dummyfunction("""COMPUTED_VALUE"""),165.61)</f>
        <v>165.61</v>
      </c>
      <c r="C837" s="2" t="n">
        <f aca="false">IFERROR(__xludf.dummyfunction("""COMPUTED_VALUE"""),168.1)</f>
        <v>168.1</v>
      </c>
      <c r="D837" s="2" t="n">
        <f aca="false">IFERROR(__xludf.dummyfunction("""COMPUTED_VALUE"""),162.6)</f>
        <v>162.6</v>
      </c>
      <c r="E837" s="2" t="n">
        <f aca="false">IFERROR(__xludf.dummyfunction("""COMPUTED_VALUE"""),162.78)</f>
        <v>162.78</v>
      </c>
      <c r="F837" s="2" t="n">
        <f aca="false">IFERROR(__xludf.dummyfunction("""COMPUTED_VALUE"""),33562861)</f>
        <v>33562861</v>
      </c>
    </row>
    <row r="838" customFormat="false" ht="15.75" hidden="false" customHeight="false" outlineLevel="0" collapsed="false">
      <c r="A838" s="3" t="n">
        <f aca="false">IFERROR(__xludf.dummyfunction("""COMPUTED_VALUE"""),45413.6666666667)</f>
        <v>45413.6666666667</v>
      </c>
      <c r="B838" s="2" t="n">
        <f aca="false">IFERROR(__xludf.dummyfunction("""COMPUTED_VALUE"""),164.3)</f>
        <v>164.3</v>
      </c>
      <c r="C838" s="2" t="n">
        <f aca="false">IFERROR(__xludf.dummyfunction("""COMPUTED_VALUE"""),167.12)</f>
        <v>167.12</v>
      </c>
      <c r="D838" s="2" t="n">
        <f aca="false">IFERROR(__xludf.dummyfunction("""COMPUTED_VALUE"""),163.09)</f>
        <v>163.09</v>
      </c>
      <c r="E838" s="2" t="n">
        <f aca="false">IFERROR(__xludf.dummyfunction("""COMPUTED_VALUE"""),163.86)</f>
        <v>163.86</v>
      </c>
      <c r="F838" s="2" t="n">
        <f aca="false">IFERROR(__xludf.dummyfunction("""COMPUTED_VALUE"""),33493151)</f>
        <v>33493151</v>
      </c>
    </row>
    <row r="839" customFormat="false" ht="15.75" hidden="false" customHeight="false" outlineLevel="0" collapsed="false">
      <c r="A839" s="3" t="n">
        <f aca="false">IFERROR(__xludf.dummyfunction("""COMPUTED_VALUE"""),45414.6666666667)</f>
        <v>45414.6666666667</v>
      </c>
      <c r="B839" s="2" t="n">
        <f aca="false">IFERROR(__xludf.dummyfunction("""COMPUTED_VALUE"""),164.79)</f>
        <v>164.79</v>
      </c>
      <c r="C839" s="2" t="n">
        <f aca="false">IFERROR(__xludf.dummyfunction("""COMPUTED_VALUE"""),166.73)</f>
        <v>166.73</v>
      </c>
      <c r="D839" s="2" t="n">
        <f aca="false">IFERROR(__xludf.dummyfunction("""COMPUTED_VALUE"""),163.89)</f>
        <v>163.89</v>
      </c>
      <c r="E839" s="2" t="n">
        <f aca="false">IFERROR(__xludf.dummyfunction("""COMPUTED_VALUE"""),166.62)</f>
        <v>166.62</v>
      </c>
      <c r="F839" s="2" t="n">
        <f aca="false">IFERROR(__xludf.dummyfunction("""COMPUTED_VALUE"""),24294549)</f>
        <v>24294549</v>
      </c>
    </row>
    <row r="840" customFormat="false" ht="15.75" hidden="false" customHeight="false" outlineLevel="0" collapsed="false">
      <c r="A840" s="3" t="n">
        <f aca="false">IFERROR(__xludf.dummyfunction("""COMPUTED_VALUE"""),45415.6666666667)</f>
        <v>45415.6666666667</v>
      </c>
      <c r="B840" s="2" t="n">
        <f aca="false">IFERROR(__xludf.dummyfunction("""COMPUTED_VALUE"""),167.56)</f>
        <v>167.56</v>
      </c>
      <c r="C840" s="2" t="n">
        <f aca="false">IFERROR(__xludf.dummyfunction("""COMPUTED_VALUE"""),167.96)</f>
        <v>167.96</v>
      </c>
      <c r="D840" s="2" t="n">
        <f aca="false">IFERROR(__xludf.dummyfunction("""COMPUTED_VALUE"""),163.05)</f>
        <v>163.05</v>
      </c>
      <c r="E840" s="2" t="n">
        <f aca="false">IFERROR(__xludf.dummyfunction("""COMPUTED_VALUE"""),167.24)</f>
        <v>167.24</v>
      </c>
      <c r="F840" s="2" t="n">
        <f aca="false">IFERROR(__xludf.dummyfunction("""COMPUTED_VALUE"""),34662432)</f>
        <v>34662432</v>
      </c>
    </row>
    <row r="841" customFormat="false" ht="15.75" hidden="false" customHeight="false" outlineLevel="0" collapsed="false">
      <c r="A841" s="3" t="n">
        <f aca="false">IFERROR(__xludf.dummyfunction("""COMPUTED_VALUE"""),45418.6666666667)</f>
        <v>45418.6666666667</v>
      </c>
      <c r="B841" s="2" t="n">
        <f aca="false">IFERROR(__xludf.dummyfunction("""COMPUTED_VALUE"""),167.46)</f>
        <v>167.46</v>
      </c>
      <c r="C841" s="2" t="n">
        <f aca="false">IFERROR(__xludf.dummyfunction("""COMPUTED_VALUE"""),168.14)</f>
        <v>168.14</v>
      </c>
      <c r="D841" s="2" t="n">
        <f aca="false">IFERROR(__xludf.dummyfunction("""COMPUTED_VALUE"""),166.03)</f>
        <v>166.03</v>
      </c>
      <c r="E841" s="2" t="n">
        <f aca="false">IFERROR(__xludf.dummyfunction("""COMPUTED_VALUE"""),168.1)</f>
        <v>168.1</v>
      </c>
      <c r="F841" s="2" t="n">
        <f aca="false">IFERROR(__xludf.dummyfunction("""COMPUTED_VALUE"""),21871283)</f>
        <v>21871283</v>
      </c>
    </row>
    <row r="842" customFormat="false" ht="15.75" hidden="false" customHeight="false" outlineLevel="0" collapsed="false">
      <c r="A842" s="3" t="n">
        <f aca="false">IFERROR(__xludf.dummyfunction("""COMPUTED_VALUE"""),45419.6666666667)</f>
        <v>45419.6666666667</v>
      </c>
      <c r="B842" s="2" t="n">
        <f aca="false">IFERROR(__xludf.dummyfunction("""COMPUTED_VALUE"""),168.5)</f>
        <v>168.5</v>
      </c>
      <c r="C842" s="2" t="n">
        <f aca="false">IFERROR(__xludf.dummyfunction("""COMPUTED_VALUE"""),171.76)</f>
        <v>171.76</v>
      </c>
      <c r="D842" s="2" t="n">
        <f aca="false">IFERROR(__xludf.dummyfunction("""COMPUTED_VALUE"""),168.39)</f>
        <v>168.39</v>
      </c>
      <c r="E842" s="2" t="n">
        <f aca="false">IFERROR(__xludf.dummyfunction("""COMPUTED_VALUE"""),171.25)</f>
        <v>171.25</v>
      </c>
      <c r="F842" s="2" t="n">
        <f aca="false">IFERROR(__xludf.dummyfunction("""COMPUTED_VALUE"""),28039696)</f>
        <v>28039696</v>
      </c>
    </row>
    <row r="843" customFormat="false" ht="15.75" hidden="false" customHeight="false" outlineLevel="0" collapsed="false">
      <c r="A843" s="3" t="n">
        <f aca="false">IFERROR(__xludf.dummyfunction("""COMPUTED_VALUE"""),45420.6666666667)</f>
        <v>45420.6666666667</v>
      </c>
      <c r="B843" s="2" t="n">
        <f aca="false">IFERROR(__xludf.dummyfunction("""COMPUTED_VALUE"""),169)</f>
        <v>169</v>
      </c>
      <c r="C843" s="2" t="n">
        <f aca="false">IFERROR(__xludf.dummyfunction("""COMPUTED_VALUE"""),170.15)</f>
        <v>170.15</v>
      </c>
      <c r="D843" s="2" t="n">
        <f aca="false">IFERROR(__xludf.dummyfunction("""COMPUTED_VALUE"""),168.74)</f>
        <v>168.74</v>
      </c>
      <c r="E843" s="2" t="n">
        <f aca="false">IFERROR(__xludf.dummyfunction("""COMPUTED_VALUE"""),169.38)</f>
        <v>169.38</v>
      </c>
      <c r="F843" s="2" t="n">
        <f aca="false">IFERROR(__xludf.dummyfunction("""COMPUTED_VALUE"""),19569146)</f>
        <v>19569146</v>
      </c>
    </row>
    <row r="844" customFormat="false" ht="15.75" hidden="false" customHeight="false" outlineLevel="0" collapsed="false">
      <c r="A844" s="3" t="n">
        <f aca="false">IFERROR(__xludf.dummyfunction("""COMPUTED_VALUE"""),45421.6666666667)</f>
        <v>45421.6666666667</v>
      </c>
      <c r="B844" s="2" t="n">
        <f aca="false">IFERROR(__xludf.dummyfunction("""COMPUTED_VALUE"""),169.39)</f>
        <v>169.39</v>
      </c>
      <c r="C844" s="2" t="n">
        <f aca="false">IFERROR(__xludf.dummyfunction("""COMPUTED_VALUE"""),170.69)</f>
        <v>170.69</v>
      </c>
      <c r="D844" s="2" t="n">
        <f aca="false">IFERROR(__xludf.dummyfunction("""COMPUTED_VALUE"""),168.18)</f>
        <v>168.18</v>
      </c>
      <c r="E844" s="2" t="n">
        <f aca="false">IFERROR(__xludf.dummyfunction("""COMPUTED_VALUE"""),169.96)</f>
        <v>169.96</v>
      </c>
      <c r="F844" s="2" t="n">
        <f aca="false">IFERROR(__xludf.dummyfunction("""COMPUTED_VALUE"""),15346700)</f>
        <v>15346700</v>
      </c>
    </row>
    <row r="845" customFormat="false" ht="15.75" hidden="false" customHeight="false" outlineLevel="0" collapsed="false">
      <c r="A845" s="3" t="n">
        <f aca="false">IFERROR(__xludf.dummyfunction("""COMPUTED_VALUE"""),45422.6666666667)</f>
        <v>45422.6666666667</v>
      </c>
      <c r="B845" s="2" t="n">
        <f aca="false">IFERROR(__xludf.dummyfunction("""COMPUTED_VALUE"""),168.03)</f>
        <v>168.03</v>
      </c>
      <c r="C845" s="2" t="n">
        <f aca="false">IFERROR(__xludf.dummyfunction("""COMPUTED_VALUE"""),169.85)</f>
        <v>169.85</v>
      </c>
      <c r="D845" s="2" t="n">
        <f aca="false">IFERROR(__xludf.dummyfunction("""COMPUTED_VALUE"""),166.19)</f>
        <v>166.19</v>
      </c>
      <c r="E845" s="2" t="n">
        <f aca="false">IFERROR(__xludf.dummyfunction("""COMPUTED_VALUE"""),168.65)</f>
        <v>168.65</v>
      </c>
      <c r="F845" s="2" t="n">
        <f aca="false">IFERROR(__xludf.dummyfunction("""COMPUTED_VALUE"""),29799931)</f>
        <v>29799931</v>
      </c>
    </row>
    <row r="846" customFormat="false" ht="15.75" hidden="false" customHeight="false" outlineLevel="0" collapsed="false">
      <c r="A846" s="3" t="n">
        <f aca="false">IFERROR(__xludf.dummyfunction("""COMPUTED_VALUE"""),45425.6666666667)</f>
        <v>45425.6666666667</v>
      </c>
      <c r="B846" s="2" t="n">
        <f aca="false">IFERROR(__xludf.dummyfunction("""COMPUTED_VALUE"""),164.26)</f>
        <v>164.26</v>
      </c>
      <c r="C846" s="2" t="n">
        <f aca="false">IFERROR(__xludf.dummyfunction("""COMPUTED_VALUE"""),169.28)</f>
        <v>169.28</v>
      </c>
      <c r="D846" s="2" t="n">
        <f aca="false">IFERROR(__xludf.dummyfunction("""COMPUTED_VALUE"""),164)</f>
        <v>164</v>
      </c>
      <c r="E846" s="2" t="n">
        <f aca="false">IFERROR(__xludf.dummyfunction("""COMPUTED_VALUE"""),169.14)</f>
        <v>169.14</v>
      </c>
      <c r="F846" s="2" t="n">
        <f aca="false">IFERROR(__xludf.dummyfunction("""COMPUTED_VALUE"""),31327602)</f>
        <v>31327602</v>
      </c>
    </row>
    <row r="847" customFormat="false" ht="15.75" hidden="false" customHeight="false" outlineLevel="0" collapsed="false">
      <c r="A847" s="3" t="n">
        <f aca="false">IFERROR(__xludf.dummyfunction("""COMPUTED_VALUE"""),45426.6666666667)</f>
        <v>45426.6666666667</v>
      </c>
      <c r="B847" s="2" t="n">
        <f aca="false">IFERROR(__xludf.dummyfunction("""COMPUTED_VALUE"""),169.77)</f>
        <v>169.77</v>
      </c>
      <c r="C847" s="2" t="n">
        <f aca="false">IFERROR(__xludf.dummyfunction("""COMPUTED_VALUE"""),171.25)</f>
        <v>171.25</v>
      </c>
      <c r="D847" s="2" t="n">
        <f aca="false">IFERROR(__xludf.dummyfunction("""COMPUTED_VALUE"""),168.8)</f>
        <v>168.8</v>
      </c>
      <c r="E847" s="2" t="n">
        <f aca="false">IFERROR(__xludf.dummyfunction("""COMPUTED_VALUE"""),170.34)</f>
        <v>170.34</v>
      </c>
      <c r="F847" s="2" t="n">
        <f aca="false">IFERROR(__xludf.dummyfunction("""COMPUTED_VALUE"""),25127138)</f>
        <v>25127138</v>
      </c>
    </row>
    <row r="848" customFormat="false" ht="15.75" hidden="false" customHeight="false" outlineLevel="0" collapsed="false">
      <c r="A848" s="3" t="n">
        <f aca="false">IFERROR(__xludf.dummyfunction("""COMPUTED_VALUE"""),45427.6666666667)</f>
        <v>45427.6666666667</v>
      </c>
      <c r="B848" s="2" t="n">
        <f aca="false">IFERROR(__xludf.dummyfunction("""COMPUTED_VALUE"""),170.63)</f>
        <v>170.63</v>
      </c>
      <c r="C848" s="2" t="n">
        <f aca="false">IFERROR(__xludf.dummyfunction("""COMPUTED_VALUE"""),172.65)</f>
        <v>172.65</v>
      </c>
      <c r="D848" s="2" t="n">
        <f aca="false">IFERROR(__xludf.dummyfunction("""COMPUTED_VALUE"""),170.51)</f>
        <v>170.51</v>
      </c>
      <c r="E848" s="2" t="n">
        <f aca="false">IFERROR(__xludf.dummyfunction("""COMPUTED_VALUE"""),172.51)</f>
        <v>172.51</v>
      </c>
      <c r="F848" s="2" t="n">
        <f aca="false">IFERROR(__xludf.dummyfunction("""COMPUTED_VALUE"""),26948370)</f>
        <v>26948370</v>
      </c>
    </row>
    <row r="849" customFormat="false" ht="15.75" hidden="false" customHeight="false" outlineLevel="0" collapsed="false">
      <c r="A849" s="3" t="n">
        <f aca="false">IFERROR(__xludf.dummyfunction("""COMPUTED_VALUE"""),45428.6666666667)</f>
        <v>45428.6666666667</v>
      </c>
      <c r="B849" s="2" t="n">
        <f aca="false">IFERROR(__xludf.dummyfunction("""COMPUTED_VALUE"""),173.29)</f>
        <v>173.29</v>
      </c>
      <c r="C849" s="2" t="n">
        <f aca="false">IFERROR(__xludf.dummyfunction("""COMPUTED_VALUE"""),175.12)</f>
        <v>175.12</v>
      </c>
      <c r="D849" s="2" t="n">
        <f aca="false">IFERROR(__xludf.dummyfunction("""COMPUTED_VALUE"""),172.69)</f>
        <v>172.69</v>
      </c>
      <c r="E849" s="2" t="n">
        <f aca="false">IFERROR(__xludf.dummyfunction("""COMPUTED_VALUE"""),174.18)</f>
        <v>174.18</v>
      </c>
      <c r="F849" s="2" t="n">
        <f aca="false">IFERROR(__xludf.dummyfunction("""COMPUTED_VALUE"""),27867947)</f>
        <v>27867947</v>
      </c>
    </row>
    <row r="850" customFormat="false" ht="15.75" hidden="false" customHeight="false" outlineLevel="0" collapsed="false">
      <c r="A850" s="3" t="n">
        <f aca="false">IFERROR(__xludf.dummyfunction("""COMPUTED_VALUE"""),45429.6666666667)</f>
        <v>45429.6666666667</v>
      </c>
      <c r="B850" s="2" t="n">
        <f aca="false">IFERROR(__xludf.dummyfunction("""COMPUTED_VALUE"""),174.18)</f>
        <v>174.18</v>
      </c>
      <c r="C850" s="2" t="n">
        <f aca="false">IFERROR(__xludf.dummyfunction("""COMPUTED_VALUE"""),176.27)</f>
        <v>176.27</v>
      </c>
      <c r="D850" s="2" t="n">
        <f aca="false">IFERROR(__xludf.dummyfunction("""COMPUTED_VALUE"""),173.69)</f>
        <v>173.69</v>
      </c>
      <c r="E850" s="2" t="n">
        <f aca="false">IFERROR(__xludf.dummyfunction("""COMPUTED_VALUE"""),176.06)</f>
        <v>176.06</v>
      </c>
      <c r="F850" s="2" t="n">
        <f aca="false">IFERROR(__xludf.dummyfunction("""COMPUTED_VALUE"""),24479262)</f>
        <v>24479262</v>
      </c>
    </row>
    <row r="851" customFormat="false" ht="15.75" hidden="false" customHeight="false" outlineLevel="0" collapsed="false">
      <c r="A851" s="3" t="n">
        <f aca="false">IFERROR(__xludf.dummyfunction("""COMPUTED_VALUE"""),45432.6666666667)</f>
        <v>45432.6666666667</v>
      </c>
      <c r="B851" s="2" t="n">
        <f aca="false">IFERROR(__xludf.dummyfunction("""COMPUTED_VALUE"""),176.19)</f>
        <v>176.19</v>
      </c>
      <c r="C851" s="2" t="n">
        <f aca="false">IFERROR(__xludf.dummyfunction("""COMPUTED_VALUE"""),178.77)</f>
        <v>178.77</v>
      </c>
      <c r="D851" s="2" t="n">
        <f aca="false">IFERROR(__xludf.dummyfunction("""COMPUTED_VALUE"""),176.08)</f>
        <v>176.08</v>
      </c>
      <c r="E851" s="2" t="n">
        <f aca="false">IFERROR(__xludf.dummyfunction("""COMPUTED_VALUE"""),176.92)</f>
        <v>176.92</v>
      </c>
      <c r="F851" s="2" t="n">
        <f aca="false">IFERROR(__xludf.dummyfunction("""COMPUTED_VALUE"""),22554400)</f>
        <v>22554400</v>
      </c>
    </row>
    <row r="852" customFormat="false" ht="15.75" hidden="false" customHeight="false" outlineLevel="0" collapsed="false">
      <c r="A852" s="3" t="n">
        <f aca="false">IFERROR(__xludf.dummyfunction("""COMPUTED_VALUE"""),45433.6666666667)</f>
        <v>45433.6666666667</v>
      </c>
      <c r="B852" s="2" t="n">
        <f aca="false">IFERROR(__xludf.dummyfunction("""COMPUTED_VALUE"""),176.9)</f>
        <v>176.9</v>
      </c>
      <c r="C852" s="2" t="n">
        <f aca="false">IFERROR(__xludf.dummyfunction("""COMPUTED_VALUE"""),178.15)</f>
        <v>178.15</v>
      </c>
      <c r="D852" s="2" t="n">
        <f aca="false">IFERROR(__xludf.dummyfunction("""COMPUTED_VALUE"""),175.81)</f>
        <v>175.81</v>
      </c>
      <c r="E852" s="2" t="n">
        <f aca="false">IFERROR(__xludf.dummyfunction("""COMPUTED_VALUE"""),177.85)</f>
        <v>177.85</v>
      </c>
      <c r="F852" s="2" t="n">
        <f aca="false">IFERROR(__xludf.dummyfunction("""COMPUTED_VALUE"""),16989369)</f>
        <v>16989369</v>
      </c>
    </row>
    <row r="853" customFormat="false" ht="15.75" hidden="false" customHeight="false" outlineLevel="0" collapsed="false">
      <c r="A853" s="3" t="n">
        <f aca="false">IFERROR(__xludf.dummyfunction("""COMPUTED_VALUE"""),45434.6666666667)</f>
        <v>45434.6666666667</v>
      </c>
      <c r="B853" s="2" t="n">
        <f aca="false">IFERROR(__xludf.dummyfunction("""COMPUTED_VALUE"""),176.64)</f>
        <v>176.64</v>
      </c>
      <c r="C853" s="2" t="n">
        <f aca="false">IFERROR(__xludf.dummyfunction("""COMPUTED_VALUE"""),177.15)</f>
        <v>177.15</v>
      </c>
      <c r="D853" s="2" t="n">
        <f aca="false">IFERROR(__xludf.dummyfunction("""COMPUTED_VALUE"""),175.21)</f>
        <v>175.21</v>
      </c>
      <c r="E853" s="2" t="n">
        <f aca="false">IFERROR(__xludf.dummyfunction("""COMPUTED_VALUE"""),176.38)</f>
        <v>176.38</v>
      </c>
      <c r="F853" s="2" t="n">
        <f aca="false">IFERROR(__xludf.dummyfunction("""COMPUTED_VALUE"""),17880042)</f>
        <v>17880042</v>
      </c>
    </row>
    <row r="854" customFormat="false" ht="15.75" hidden="false" customHeight="false" outlineLevel="0" collapsed="false">
      <c r="A854" s="3" t="n">
        <f aca="false">IFERROR(__xludf.dummyfunction("""COMPUTED_VALUE"""),45435.6666666667)</f>
        <v>45435.6666666667</v>
      </c>
      <c r="B854" s="2" t="n">
        <f aca="false">IFERROR(__xludf.dummyfunction("""COMPUTED_VALUE"""),177.07)</f>
        <v>177.07</v>
      </c>
      <c r="C854" s="2" t="n">
        <f aca="false">IFERROR(__xludf.dummyfunction("""COMPUTED_VALUE"""),178.25)</f>
        <v>178.25</v>
      </c>
      <c r="D854" s="2" t="n">
        <f aca="false">IFERROR(__xludf.dummyfunction("""COMPUTED_VALUE"""),172.95)</f>
        <v>172.95</v>
      </c>
      <c r="E854" s="2" t="n">
        <f aca="false">IFERROR(__xludf.dummyfunction("""COMPUTED_VALUE"""),173.55)</f>
        <v>173.55</v>
      </c>
      <c r="F854" s="2" t="n">
        <f aca="false">IFERROR(__xludf.dummyfunction("""COMPUTED_VALUE"""),21024935)</f>
        <v>21024935</v>
      </c>
    </row>
    <row r="855" customFormat="false" ht="15.75" hidden="false" customHeight="false" outlineLevel="0" collapsed="false">
      <c r="A855" s="3" t="n">
        <f aca="false">IFERROR(__xludf.dummyfunction("""COMPUTED_VALUE"""),45436.6666666667)</f>
        <v>45436.6666666667</v>
      </c>
      <c r="B855" s="2" t="n">
        <f aca="false">IFERROR(__xludf.dummyfunction("""COMPUTED_VALUE"""),174.98)</f>
        <v>174.98</v>
      </c>
      <c r="C855" s="2" t="n">
        <f aca="false">IFERROR(__xludf.dummyfunction("""COMPUTED_VALUE"""),175.77)</f>
        <v>175.77</v>
      </c>
      <c r="D855" s="2" t="n">
        <f aca="false">IFERROR(__xludf.dummyfunction("""COMPUTED_VALUE"""),173.65)</f>
        <v>173.65</v>
      </c>
      <c r="E855" s="2" t="n">
        <f aca="false">IFERROR(__xludf.dummyfunction("""COMPUTED_VALUE"""),174.99)</f>
        <v>174.99</v>
      </c>
      <c r="F855" s="2" t="n">
        <f aca="false">IFERROR(__xludf.dummyfunction("""COMPUTED_VALUE"""),16579438)</f>
        <v>16579438</v>
      </c>
    </row>
    <row r="856" customFormat="false" ht="15.75" hidden="false" customHeight="false" outlineLevel="0" collapsed="false">
      <c r="A856" s="3" t="n">
        <f aca="false">IFERROR(__xludf.dummyfunction("""COMPUTED_VALUE"""),45440.6666666667)</f>
        <v>45440.6666666667</v>
      </c>
      <c r="B856" s="2" t="n">
        <f aca="false">IFERROR(__xludf.dummyfunction("""COMPUTED_VALUE"""),174.45)</f>
        <v>174.45</v>
      </c>
      <c r="C856" s="2" t="n">
        <f aca="false">IFERROR(__xludf.dummyfunction("""COMPUTED_VALUE"""),177.27)</f>
        <v>177.27</v>
      </c>
      <c r="D856" s="2" t="n">
        <f aca="false">IFERROR(__xludf.dummyfunction("""COMPUTED_VALUE"""),174.37)</f>
        <v>174.37</v>
      </c>
      <c r="E856" s="2" t="n">
        <f aca="false">IFERROR(__xludf.dummyfunction("""COMPUTED_VALUE"""),176.4)</f>
        <v>176.4</v>
      </c>
      <c r="F856" s="2" t="n">
        <f aca="false">IFERROR(__xludf.dummyfunction("""COMPUTED_VALUE"""),20572157)</f>
        <v>20572157</v>
      </c>
    </row>
    <row r="857" customFormat="false" ht="15.75" hidden="false" customHeight="false" outlineLevel="0" collapsed="false">
      <c r="A857" s="3" t="n">
        <f aca="false">IFERROR(__xludf.dummyfunction("""COMPUTED_VALUE"""),45441.6666666667)</f>
        <v>45441.6666666667</v>
      </c>
      <c r="B857" s="2" t="n">
        <f aca="false">IFERROR(__xludf.dummyfunction("""COMPUTED_VALUE"""),175.43)</f>
        <v>175.43</v>
      </c>
      <c r="C857" s="2" t="n">
        <f aca="false">IFERROR(__xludf.dummyfunction("""COMPUTED_VALUE"""),176.84)</f>
        <v>176.84</v>
      </c>
      <c r="D857" s="2" t="n">
        <f aca="false">IFERROR(__xludf.dummyfunction("""COMPUTED_VALUE"""),174.72)</f>
        <v>174.72</v>
      </c>
      <c r="E857" s="2" t="n">
        <f aca="false">IFERROR(__xludf.dummyfunction("""COMPUTED_VALUE"""),175.9)</f>
        <v>175.9</v>
      </c>
      <c r="F857" s="2" t="n">
        <f aca="false">IFERROR(__xludf.dummyfunction("""COMPUTED_VALUE"""),23388693)</f>
        <v>23388693</v>
      </c>
    </row>
    <row r="858" customFormat="false" ht="15.75" hidden="false" customHeight="false" outlineLevel="0" collapsed="false">
      <c r="A858" s="3" t="n">
        <f aca="false">IFERROR(__xludf.dummyfunction("""COMPUTED_VALUE"""),45442.6666666667)</f>
        <v>45442.6666666667</v>
      </c>
      <c r="B858" s="2" t="n">
        <f aca="false">IFERROR(__xludf.dummyfunction("""COMPUTED_VALUE"""),175.2)</f>
        <v>175.2</v>
      </c>
      <c r="C858" s="2" t="n">
        <f aca="false">IFERROR(__xludf.dummyfunction("""COMPUTED_VALUE"""),175.22)</f>
        <v>175.22</v>
      </c>
      <c r="D858" s="2" t="n">
        <f aca="false">IFERROR(__xludf.dummyfunction("""COMPUTED_VALUE"""),171.79)</f>
        <v>171.79</v>
      </c>
      <c r="E858" s="2" t="n">
        <f aca="false">IFERROR(__xludf.dummyfunction("""COMPUTED_VALUE"""),172.11)</f>
        <v>172.11</v>
      </c>
      <c r="F858" s="2" t="n">
        <f aca="false">IFERROR(__xludf.dummyfunction("""COMPUTED_VALUE"""),22958677)</f>
        <v>22958677</v>
      </c>
    </row>
    <row r="859" customFormat="false" ht="15.75" hidden="false" customHeight="false" outlineLevel="0" collapsed="false">
      <c r="A859" s="3" t="n">
        <f aca="false">IFERROR(__xludf.dummyfunction("""COMPUTED_VALUE"""),45443.6666666667)</f>
        <v>45443.6666666667</v>
      </c>
      <c r="B859" s="2" t="n">
        <f aca="false">IFERROR(__xludf.dummyfunction("""COMPUTED_VALUE"""),171.86)</f>
        <v>171.86</v>
      </c>
      <c r="C859" s="2" t="n">
        <f aca="false">IFERROR(__xludf.dummyfunction("""COMPUTED_VALUE"""),173.06)</f>
        <v>173.06</v>
      </c>
      <c r="D859" s="2" t="n">
        <f aca="false">IFERROR(__xludf.dummyfunction("""COMPUTED_VALUE"""),169.44)</f>
        <v>169.44</v>
      </c>
      <c r="E859" s="2" t="n">
        <f aca="false">IFERROR(__xludf.dummyfunction("""COMPUTED_VALUE"""),172.5)</f>
        <v>172.5</v>
      </c>
      <c r="F859" s="2" t="n">
        <f aca="false">IFERROR(__xludf.dummyfunction("""COMPUTED_VALUE"""),37638876)</f>
        <v>37638876</v>
      </c>
    </row>
    <row r="860" customFormat="false" ht="15.75" hidden="false" customHeight="false" outlineLevel="0" collapsed="false">
      <c r="A860" s="3" t="n">
        <f aca="false">IFERROR(__xludf.dummyfunction("""COMPUTED_VALUE"""),45446.6666666667)</f>
        <v>45446.6666666667</v>
      </c>
      <c r="B860" s="2" t="n">
        <f aca="false">IFERROR(__xludf.dummyfunction("""COMPUTED_VALUE"""),172.54)</f>
        <v>172.54</v>
      </c>
      <c r="C860" s="2" t="n">
        <f aca="false">IFERROR(__xludf.dummyfunction("""COMPUTED_VALUE"""),174.53)</f>
        <v>174.53</v>
      </c>
      <c r="D860" s="2" t="n">
        <f aca="false">IFERROR(__xludf.dummyfunction("""COMPUTED_VALUE"""),171.16)</f>
        <v>171.16</v>
      </c>
      <c r="E860" s="2" t="n">
        <f aca="false">IFERROR(__xludf.dummyfunction("""COMPUTED_VALUE"""),173.17)</f>
        <v>173.17</v>
      </c>
      <c r="F860" s="2" t="n">
        <f aca="false">IFERROR(__xludf.dummyfunction("""COMPUTED_VALUE"""),27459118)</f>
        <v>27459118</v>
      </c>
    </row>
    <row r="861" customFormat="false" ht="15.75" hidden="false" customHeight="false" outlineLevel="0" collapsed="false">
      <c r="A861" s="3" t="n">
        <f aca="false">IFERROR(__xludf.dummyfunction("""COMPUTED_VALUE"""),45447.6666666667)</f>
        <v>45447.6666666667</v>
      </c>
      <c r="B861" s="2" t="n">
        <f aca="false">IFERROR(__xludf.dummyfunction("""COMPUTED_VALUE"""),173.28)</f>
        <v>173.28</v>
      </c>
      <c r="C861" s="2" t="n">
        <f aca="false">IFERROR(__xludf.dummyfunction("""COMPUTED_VALUE"""),173.85)</f>
        <v>173.85</v>
      </c>
      <c r="D861" s="2" t="n">
        <f aca="false">IFERROR(__xludf.dummyfunction("""COMPUTED_VALUE"""),171.89)</f>
        <v>171.89</v>
      </c>
      <c r="E861" s="2" t="n">
        <f aca="false">IFERROR(__xludf.dummyfunction("""COMPUTED_VALUE"""),173.79)</f>
        <v>173.79</v>
      </c>
      <c r="F861" s="2" t="n">
        <f aca="false">IFERROR(__xludf.dummyfunction("""COMPUTED_VALUE"""),26879596)</f>
        <v>26879596</v>
      </c>
    </row>
    <row r="862" customFormat="false" ht="15.75" hidden="false" customHeight="false" outlineLevel="0" collapsed="false">
      <c r="A862" s="3" t="n">
        <f aca="false">IFERROR(__xludf.dummyfunction("""COMPUTED_VALUE"""),45448.6666666667)</f>
        <v>45448.6666666667</v>
      </c>
      <c r="B862" s="2" t="n">
        <f aca="false">IFERROR(__xludf.dummyfunction("""COMPUTED_VALUE"""),175.2)</f>
        <v>175.2</v>
      </c>
      <c r="C862" s="2" t="n">
        <f aca="false">IFERROR(__xludf.dummyfunction("""COMPUTED_VALUE"""),176.65)</f>
        <v>176.65</v>
      </c>
      <c r="D862" s="2" t="n">
        <f aca="false">IFERROR(__xludf.dummyfunction("""COMPUTED_VALUE"""),173.93)</f>
        <v>173.93</v>
      </c>
      <c r="E862" s="2" t="n">
        <f aca="false">IFERROR(__xludf.dummyfunction("""COMPUTED_VALUE"""),175.41)</f>
        <v>175.41</v>
      </c>
      <c r="F862" s="2" t="n">
        <f aca="false">IFERROR(__xludf.dummyfunction("""COMPUTED_VALUE"""),22068519)</f>
        <v>22068519</v>
      </c>
    </row>
    <row r="863" customFormat="false" ht="15.75" hidden="false" customHeight="false" outlineLevel="0" collapsed="false">
      <c r="A863" s="3" t="n">
        <f aca="false">IFERROR(__xludf.dummyfunction("""COMPUTED_VALUE"""),45449.6666666667)</f>
        <v>45449.6666666667</v>
      </c>
      <c r="B863" s="2" t="n">
        <f aca="false">IFERROR(__xludf.dummyfunction("""COMPUTED_VALUE"""),175.9)</f>
        <v>175.9</v>
      </c>
      <c r="C863" s="2" t="n">
        <f aca="false">IFERROR(__xludf.dummyfunction("""COMPUTED_VALUE"""),177.15)</f>
        <v>177.15</v>
      </c>
      <c r="D863" s="2" t="n">
        <f aca="false">IFERROR(__xludf.dummyfunction("""COMPUTED_VALUE"""),175.75)</f>
        <v>175.75</v>
      </c>
      <c r="E863" s="2" t="n">
        <f aca="false">IFERROR(__xludf.dummyfunction("""COMPUTED_VALUE"""),176.73)</f>
        <v>176.73</v>
      </c>
      <c r="F863" s="2" t="n">
        <f aca="false">IFERROR(__xludf.dummyfunction("""COMPUTED_VALUE"""),23251013)</f>
        <v>23251013</v>
      </c>
    </row>
    <row r="864" customFormat="false" ht="15.75" hidden="false" customHeight="false" outlineLevel="0" collapsed="false">
      <c r="A864" s="3" t="n">
        <f aca="false">IFERROR(__xludf.dummyfunction("""COMPUTED_VALUE"""),45450.6666666667)</f>
        <v>45450.6666666667</v>
      </c>
      <c r="B864" s="2" t="n">
        <f aca="false">IFERROR(__xludf.dummyfunction("""COMPUTED_VALUE"""),177.05)</f>
        <v>177.05</v>
      </c>
      <c r="C864" s="2" t="n">
        <f aca="false">IFERROR(__xludf.dummyfunction("""COMPUTED_VALUE"""),177.87)</f>
        <v>177.87</v>
      </c>
      <c r="D864" s="2" t="n">
        <f aca="false">IFERROR(__xludf.dummyfunction("""COMPUTED_VALUE"""),174.3)</f>
        <v>174.3</v>
      </c>
      <c r="E864" s="2" t="n">
        <f aca="false">IFERROR(__xludf.dummyfunction("""COMPUTED_VALUE"""),174.46)</f>
        <v>174.46</v>
      </c>
      <c r="F864" s="2" t="n">
        <f aca="false">IFERROR(__xludf.dummyfunction("""COMPUTED_VALUE"""),19661399)</f>
        <v>19661399</v>
      </c>
    </row>
    <row r="865" customFormat="false" ht="15.75" hidden="false" customHeight="false" outlineLevel="0" collapsed="false">
      <c r="A865" s="3" t="n">
        <f aca="false">IFERROR(__xludf.dummyfunction("""COMPUTED_VALUE"""),45453.6666666667)</f>
        <v>45453.6666666667</v>
      </c>
      <c r="B865" s="2" t="n">
        <f aca="false">IFERROR(__xludf.dummyfunction("""COMPUTED_VALUE"""),174.97)</f>
        <v>174.97</v>
      </c>
      <c r="C865" s="2" t="n">
        <f aca="false">IFERROR(__xludf.dummyfunction("""COMPUTED_VALUE"""),177.06)</f>
        <v>177.06</v>
      </c>
      <c r="D865" s="2" t="n">
        <f aca="false">IFERROR(__xludf.dummyfunction("""COMPUTED_VALUE"""),172.76)</f>
        <v>172.76</v>
      </c>
      <c r="E865" s="2" t="n">
        <f aca="false">IFERROR(__xludf.dummyfunction("""COMPUTED_VALUE"""),175.01)</f>
        <v>175.01</v>
      </c>
      <c r="F865" s="2" t="n">
        <f aca="false">IFERROR(__xludf.dummyfunction("""COMPUTED_VALUE"""),23779218)</f>
        <v>23779218</v>
      </c>
    </row>
    <row r="866" customFormat="false" ht="15.75" hidden="false" customHeight="false" outlineLevel="0" collapsed="false">
      <c r="A866" s="3" t="n">
        <f aca="false">IFERROR(__xludf.dummyfunction("""COMPUTED_VALUE"""),45454.6666666667)</f>
        <v>45454.6666666667</v>
      </c>
      <c r="B866" s="2" t="n">
        <f aca="false">IFERROR(__xludf.dummyfunction("""COMPUTED_VALUE"""),176.22)</f>
        <v>176.22</v>
      </c>
      <c r="C866" s="2" t="n">
        <f aca="false">IFERROR(__xludf.dummyfunction("""COMPUTED_VALUE"""),176.84)</f>
        <v>176.84</v>
      </c>
      <c r="D866" s="2" t="n">
        <f aca="false">IFERROR(__xludf.dummyfunction("""COMPUTED_VALUE"""),173.77)</f>
        <v>173.77</v>
      </c>
      <c r="E866" s="2" t="n">
        <f aca="false">IFERROR(__xludf.dummyfunction("""COMPUTED_VALUE"""),176.62)</f>
        <v>176.62</v>
      </c>
      <c r="F866" s="2" t="n">
        <f aca="false">IFERROR(__xludf.dummyfunction("""COMPUTED_VALUE"""),21540582)</f>
        <v>21540582</v>
      </c>
    </row>
    <row r="867" customFormat="false" ht="15.75" hidden="false" customHeight="false" outlineLevel="0" collapsed="false">
      <c r="A867" s="3" t="n">
        <f aca="false">IFERROR(__xludf.dummyfunction("""COMPUTED_VALUE"""),45455.6666666667)</f>
        <v>45455.6666666667</v>
      </c>
      <c r="B867" s="2" t="n">
        <f aca="false">IFERROR(__xludf.dummyfunction("""COMPUTED_VALUE"""),178.25)</f>
        <v>178.25</v>
      </c>
      <c r="C867" s="2" t="n">
        <f aca="false">IFERROR(__xludf.dummyfunction("""COMPUTED_VALUE"""),180.41)</f>
        <v>180.41</v>
      </c>
      <c r="D867" s="2" t="n">
        <f aca="false">IFERROR(__xludf.dummyfunction("""COMPUTED_VALUE"""),176.11)</f>
        <v>176.11</v>
      </c>
      <c r="E867" s="2" t="n">
        <f aca="false">IFERROR(__xludf.dummyfunction("""COMPUTED_VALUE"""),177.79)</f>
        <v>177.79</v>
      </c>
      <c r="F867" s="2" t="n">
        <f aca="false">IFERROR(__xludf.dummyfunction("""COMPUTED_VALUE"""),27864737)</f>
        <v>27864737</v>
      </c>
    </row>
    <row r="868" customFormat="false" ht="15.75" hidden="false" customHeight="false" outlineLevel="0" collapsed="false">
      <c r="A868" s="3" t="n">
        <f aca="false">IFERROR(__xludf.dummyfunction("""COMPUTED_VALUE"""),45456.6666666667)</f>
        <v>45456.6666666667</v>
      </c>
      <c r="B868" s="2" t="n">
        <f aca="false">IFERROR(__xludf.dummyfunction("""COMPUTED_VALUE"""),176.11)</f>
        <v>176.11</v>
      </c>
      <c r="C868" s="2" t="n">
        <f aca="false">IFERROR(__xludf.dummyfunction("""COMPUTED_VALUE"""),176.74)</f>
        <v>176.74</v>
      </c>
      <c r="D868" s="2" t="n">
        <f aca="false">IFERROR(__xludf.dummyfunction("""COMPUTED_VALUE"""),174.88)</f>
        <v>174.88</v>
      </c>
      <c r="E868" s="2" t="n">
        <f aca="false">IFERROR(__xludf.dummyfunction("""COMPUTED_VALUE"""),175.16)</f>
        <v>175.16</v>
      </c>
      <c r="F868" s="2" t="n">
        <f aca="false">IFERROR(__xludf.dummyfunction("""COMPUTED_VALUE"""),20913299)</f>
        <v>20913299</v>
      </c>
    </row>
    <row r="869" customFormat="false" ht="15.75" hidden="false" customHeight="false" outlineLevel="0" collapsed="false">
      <c r="A869" s="3" t="n">
        <f aca="false">IFERROR(__xludf.dummyfunction("""COMPUTED_VALUE"""),45457.6666666667)</f>
        <v>45457.6666666667</v>
      </c>
      <c r="B869" s="2" t="n">
        <f aca="false">IFERROR(__xludf.dummyfunction("""COMPUTED_VALUE"""),174.22)</f>
        <v>174.22</v>
      </c>
      <c r="C869" s="2" t="n">
        <f aca="false">IFERROR(__xludf.dummyfunction("""COMPUTED_VALUE"""),177.06)</f>
        <v>177.06</v>
      </c>
      <c r="D869" s="2" t="n">
        <f aca="false">IFERROR(__xludf.dummyfunction("""COMPUTED_VALUE"""),174.15)</f>
        <v>174.15</v>
      </c>
      <c r="E869" s="2" t="n">
        <f aca="false">IFERROR(__xludf.dummyfunction("""COMPUTED_VALUE"""),176.79)</f>
        <v>176.79</v>
      </c>
      <c r="F869" s="2" t="n">
        <f aca="false">IFERROR(__xludf.dummyfunction("""COMPUTED_VALUE"""),18063555)</f>
        <v>18063555</v>
      </c>
    </row>
    <row r="870" customFormat="false" ht="15.75" hidden="false" customHeight="false" outlineLevel="0" collapsed="false">
      <c r="A870" s="3" t="n">
        <f aca="false">IFERROR(__xludf.dummyfunction("""COMPUTED_VALUE"""),45460.6666666667)</f>
        <v>45460.6666666667</v>
      </c>
      <c r="B870" s="2" t="n">
        <f aca="false">IFERROR(__xludf.dummyfunction("""COMPUTED_VALUE"""),175.46)</f>
        <v>175.46</v>
      </c>
      <c r="C870" s="2" t="n">
        <f aca="false">IFERROR(__xludf.dummyfunction("""COMPUTED_VALUE"""),178.36)</f>
        <v>178.36</v>
      </c>
      <c r="D870" s="2" t="n">
        <f aca="false">IFERROR(__xludf.dummyfunction("""COMPUTED_VALUE"""),174.81)</f>
        <v>174.81</v>
      </c>
      <c r="E870" s="2" t="n">
        <f aca="false">IFERROR(__xludf.dummyfunction("""COMPUTED_VALUE"""),177.24)</f>
        <v>177.24</v>
      </c>
      <c r="F870" s="2" t="n">
        <f aca="false">IFERROR(__xludf.dummyfunction("""COMPUTED_VALUE"""),19618497)</f>
        <v>19618497</v>
      </c>
    </row>
    <row r="871" customFormat="false" ht="15.75" hidden="false" customHeight="false" outlineLevel="0" collapsed="false">
      <c r="A871" s="3" t="n">
        <f aca="false">IFERROR(__xludf.dummyfunction("""COMPUTED_VALUE"""),45461.6666666667)</f>
        <v>45461.6666666667</v>
      </c>
      <c r="B871" s="2" t="n">
        <f aca="false">IFERROR(__xludf.dummyfunction("""COMPUTED_VALUE"""),177.14)</f>
        <v>177.14</v>
      </c>
      <c r="C871" s="2" t="n">
        <f aca="false">IFERROR(__xludf.dummyfunction("""COMPUTED_VALUE"""),177.39)</f>
        <v>177.39</v>
      </c>
      <c r="D871" s="2" t="n">
        <f aca="false">IFERROR(__xludf.dummyfunction("""COMPUTED_VALUE"""),174.1)</f>
        <v>174.1</v>
      </c>
      <c r="E871" s="2" t="n">
        <f aca="false">IFERROR(__xludf.dummyfunction("""COMPUTED_VALUE"""),175.09)</f>
        <v>175.09</v>
      </c>
      <c r="F871" s="2" t="n">
        <f aca="false">IFERROR(__xludf.dummyfunction("""COMPUTED_VALUE"""),21869857)</f>
        <v>21869857</v>
      </c>
    </row>
    <row r="872" customFormat="false" ht="15.75" hidden="false" customHeight="false" outlineLevel="0" collapsed="false">
      <c r="A872" s="3" t="n">
        <f aca="false">IFERROR(__xludf.dummyfunction("""COMPUTED_VALUE"""),45463.6666666667)</f>
        <v>45463.6666666667</v>
      </c>
      <c r="B872" s="2" t="n">
        <f aca="false">IFERROR(__xludf.dummyfunction("""COMPUTED_VALUE"""),175.37)</f>
        <v>175.37</v>
      </c>
      <c r="C872" s="2" t="n">
        <f aca="false">IFERROR(__xludf.dummyfunction("""COMPUTED_VALUE"""),177.29)</f>
        <v>177.29</v>
      </c>
      <c r="D872" s="2" t="n">
        <f aca="false">IFERROR(__xludf.dummyfunction("""COMPUTED_VALUE"""),174.99)</f>
        <v>174.99</v>
      </c>
      <c r="E872" s="2" t="n">
        <f aca="false">IFERROR(__xludf.dummyfunction("""COMPUTED_VALUE"""),176.3)</f>
        <v>176.3</v>
      </c>
      <c r="F872" s="2" t="n">
        <f aca="false">IFERROR(__xludf.dummyfunction("""COMPUTED_VALUE"""),20160085)</f>
        <v>20160085</v>
      </c>
    </row>
    <row r="873" customFormat="false" ht="15.75" hidden="false" customHeight="false" outlineLevel="0" collapsed="false">
      <c r="A873" s="3" t="n">
        <f aca="false">IFERROR(__xludf.dummyfunction("""COMPUTED_VALUE"""),45464.6666666667)</f>
        <v>45464.6666666667</v>
      </c>
      <c r="B873" s="2" t="n">
        <f aca="false">IFERROR(__xludf.dummyfunction("""COMPUTED_VALUE"""),177)</f>
        <v>177</v>
      </c>
      <c r="C873" s="2" t="n">
        <f aca="false">IFERROR(__xludf.dummyfunction("""COMPUTED_VALUE"""),180.85)</f>
        <v>180.85</v>
      </c>
      <c r="D873" s="2" t="n">
        <f aca="false">IFERROR(__xludf.dummyfunction("""COMPUTED_VALUE"""),176.61)</f>
        <v>176.61</v>
      </c>
      <c r="E873" s="2" t="n">
        <f aca="false">IFERROR(__xludf.dummyfunction("""COMPUTED_VALUE"""),179.63)</f>
        <v>179.63</v>
      </c>
      <c r="F873" s="2" t="n">
        <f aca="false">IFERROR(__xludf.dummyfunction("""COMPUTED_VALUE"""),58582743)</f>
        <v>58582743</v>
      </c>
    </row>
    <row r="874" customFormat="false" ht="15.75" hidden="false" customHeight="false" outlineLevel="0" collapsed="false">
      <c r="A874" s="3" t="n">
        <f aca="false">IFERROR(__xludf.dummyfunction("""COMPUTED_VALUE"""),45467.6666666667)</f>
        <v>45467.6666666667</v>
      </c>
      <c r="B874" s="2" t="n">
        <f aca="false">IFERROR(__xludf.dummyfunction("""COMPUTED_VALUE"""),180.16)</f>
        <v>180.16</v>
      </c>
      <c r="C874" s="2" t="n">
        <f aca="false">IFERROR(__xludf.dummyfunction("""COMPUTED_VALUE"""),180.89)</f>
        <v>180.89</v>
      </c>
      <c r="D874" s="2" t="n">
        <f aca="false">IFERROR(__xludf.dummyfunction("""COMPUTED_VALUE"""),178.67)</f>
        <v>178.67</v>
      </c>
      <c r="E874" s="2" t="n">
        <f aca="false">IFERROR(__xludf.dummyfunction("""COMPUTED_VALUE"""),179.22)</f>
        <v>179.22</v>
      </c>
      <c r="F874" s="2" t="n">
        <f aca="false">IFERROR(__xludf.dummyfunction("""COMPUTED_VALUE"""),18298012)</f>
        <v>18298012</v>
      </c>
    </row>
    <row r="875" customFormat="false" ht="15.75" hidden="false" customHeight="false" outlineLevel="0" collapsed="false">
      <c r="A875" s="3" t="n">
        <f aca="false">IFERROR(__xludf.dummyfunction("""COMPUTED_VALUE"""),45468.6666666667)</f>
        <v>45468.6666666667</v>
      </c>
      <c r="B875" s="2" t="n">
        <f aca="false">IFERROR(__xludf.dummyfunction("""COMPUTED_VALUE"""),179.62)</f>
        <v>179.62</v>
      </c>
      <c r="C875" s="2" t="n">
        <f aca="false">IFERROR(__xludf.dummyfunction("""COMPUTED_VALUE"""),184.29)</f>
        <v>184.29</v>
      </c>
      <c r="D875" s="2" t="n">
        <f aca="false">IFERROR(__xludf.dummyfunction("""COMPUTED_VALUE"""),179.42)</f>
        <v>179.42</v>
      </c>
      <c r="E875" s="2" t="n">
        <f aca="false">IFERROR(__xludf.dummyfunction("""COMPUTED_VALUE"""),184.03)</f>
        <v>184.03</v>
      </c>
      <c r="F875" s="2" t="n">
        <f aca="false">IFERROR(__xludf.dummyfunction("""COMPUTED_VALUE"""),23235589)</f>
        <v>23235589</v>
      </c>
    </row>
    <row r="876" customFormat="false" ht="15.75" hidden="false" customHeight="false" outlineLevel="0" collapsed="false">
      <c r="A876" s="3" t="n">
        <f aca="false">IFERROR(__xludf.dummyfunction("""COMPUTED_VALUE"""),45469.6666666667)</f>
        <v>45469.6666666667</v>
      </c>
      <c r="B876" s="2" t="n">
        <f aca="false">IFERROR(__xludf.dummyfunction("""COMPUTED_VALUE"""),182.63)</f>
        <v>182.63</v>
      </c>
      <c r="C876" s="2" t="n">
        <f aca="false">IFERROR(__xludf.dummyfunction("""COMPUTED_VALUE"""),184.51)</f>
        <v>184.51</v>
      </c>
      <c r="D876" s="2" t="n">
        <f aca="false">IFERROR(__xludf.dummyfunction("""COMPUTED_VALUE"""),182.48)</f>
        <v>182.48</v>
      </c>
      <c r="E876" s="2" t="n">
        <f aca="false">IFERROR(__xludf.dummyfunction("""COMPUTED_VALUE"""),183.88)</f>
        <v>183.88</v>
      </c>
      <c r="F876" s="2" t="n">
        <f aca="false">IFERROR(__xludf.dummyfunction("""COMPUTED_VALUE"""),19838972)</f>
        <v>19838972</v>
      </c>
    </row>
    <row r="877" customFormat="false" ht="15.75" hidden="false" customHeight="false" outlineLevel="0" collapsed="false">
      <c r="A877" s="3" t="n">
        <f aca="false">IFERROR(__xludf.dummyfunction("""COMPUTED_VALUE"""),45470.6666666667)</f>
        <v>45470.6666666667</v>
      </c>
      <c r="B877" s="2" t="n">
        <f aca="false">IFERROR(__xludf.dummyfunction("""COMPUTED_VALUE"""),184.18)</f>
        <v>184.18</v>
      </c>
      <c r="C877" s="2" t="n">
        <f aca="false">IFERROR(__xludf.dummyfunction("""COMPUTED_VALUE"""),186.05)</f>
        <v>186.05</v>
      </c>
      <c r="D877" s="2" t="n">
        <f aca="false">IFERROR(__xludf.dummyfunction("""COMPUTED_VALUE"""),184.02)</f>
        <v>184.02</v>
      </c>
      <c r="E877" s="2" t="n">
        <f aca="false">IFERROR(__xludf.dummyfunction("""COMPUTED_VALUE"""),185.41)</f>
        <v>185.41</v>
      </c>
      <c r="F877" s="2" t="n">
        <f aca="false">IFERROR(__xludf.dummyfunction("""COMPUTED_VALUE"""),18848884)</f>
        <v>18848884</v>
      </c>
    </row>
    <row r="878" customFormat="false" ht="15.75" hidden="false" customHeight="false" outlineLevel="0" collapsed="false">
      <c r="A878" s="3" t="n">
        <f aca="false">IFERROR(__xludf.dummyfunction("""COMPUTED_VALUE"""),45471.6666666667)</f>
        <v>45471.6666666667</v>
      </c>
      <c r="B878" s="2" t="n">
        <f aca="false">IFERROR(__xludf.dummyfunction("""COMPUTED_VALUE"""),184.32)</f>
        <v>184.32</v>
      </c>
      <c r="C878" s="2" t="n">
        <f aca="false">IFERROR(__xludf.dummyfunction("""COMPUTED_VALUE"""),185.13)</f>
        <v>185.13</v>
      </c>
      <c r="D878" s="2" t="n">
        <f aca="false">IFERROR(__xludf.dummyfunction("""COMPUTED_VALUE"""),181.96)</f>
        <v>181.96</v>
      </c>
      <c r="E878" s="2" t="n">
        <f aca="false">IFERROR(__xludf.dummyfunction("""COMPUTED_VALUE"""),182.15)</f>
        <v>182.15</v>
      </c>
      <c r="F878" s="2" t="n">
        <f aca="false">IFERROR(__xludf.dummyfunction("""COMPUTED_VALUE"""),29156644)</f>
        <v>29156644</v>
      </c>
    </row>
    <row r="879" customFormat="false" ht="15.75" hidden="false" customHeight="false" outlineLevel="0" collapsed="false">
      <c r="A879" s="3" t="n">
        <f aca="false">IFERROR(__xludf.dummyfunction("""COMPUTED_VALUE"""),45474.6666666667)</f>
        <v>45474.6666666667</v>
      </c>
      <c r="B879" s="2" t="n">
        <f aca="false">IFERROR(__xludf.dummyfunction("""COMPUTED_VALUE"""),183.03)</f>
        <v>183.03</v>
      </c>
      <c r="C879" s="2" t="n">
        <f aca="false">IFERROR(__xludf.dummyfunction("""COMPUTED_VALUE"""),183.88)</f>
        <v>183.88</v>
      </c>
      <c r="D879" s="2" t="n">
        <f aca="false">IFERROR(__xludf.dummyfunction("""COMPUTED_VALUE"""),181.3)</f>
        <v>181.3</v>
      </c>
      <c r="E879" s="2" t="n">
        <f aca="false">IFERROR(__xludf.dummyfunction("""COMPUTED_VALUE"""),182.99)</f>
        <v>182.99</v>
      </c>
      <c r="F879" s="2" t="n">
        <f aca="false">IFERROR(__xludf.dummyfunction("""COMPUTED_VALUE"""),16006128)</f>
        <v>16006128</v>
      </c>
    </row>
    <row r="880" customFormat="false" ht="15.75" hidden="false" customHeight="false" outlineLevel="0" collapsed="false">
      <c r="A880" s="3" t="n">
        <f aca="false">IFERROR(__xludf.dummyfunction("""COMPUTED_VALUE"""),45475.6666666667)</f>
        <v>45475.6666666667</v>
      </c>
      <c r="B880" s="2" t="n">
        <f aca="false">IFERROR(__xludf.dummyfunction("""COMPUTED_VALUE"""),182.05)</f>
        <v>182.05</v>
      </c>
      <c r="C880" s="2" t="n">
        <f aca="false">IFERROR(__xludf.dummyfunction("""COMPUTED_VALUE"""),185.57)</f>
        <v>185.57</v>
      </c>
      <c r="D880" s="2" t="n">
        <f aca="false">IFERROR(__xludf.dummyfunction("""COMPUTED_VALUE"""),181.56)</f>
        <v>181.56</v>
      </c>
      <c r="E880" s="2" t="n">
        <f aca="false">IFERROR(__xludf.dummyfunction("""COMPUTED_VALUE"""),185.24)</f>
        <v>185.24</v>
      </c>
      <c r="F880" s="2" t="n">
        <f aca="false">IFERROR(__xludf.dummyfunction("""COMPUTED_VALUE"""),17372485)</f>
        <v>17372485</v>
      </c>
    </row>
    <row r="881" customFormat="false" ht="15.75" hidden="false" customHeight="false" outlineLevel="0" collapsed="false">
      <c r="A881" s="3" t="n">
        <f aca="false">IFERROR(__xludf.dummyfunction("""COMPUTED_VALUE"""),45476.5451388889)</f>
        <v>45476.5451388889</v>
      </c>
      <c r="B881" s="2" t="n">
        <f aca="false">IFERROR(__xludf.dummyfunction("""COMPUTED_VALUE"""),184.85)</f>
        <v>184.85</v>
      </c>
      <c r="C881" s="2" t="n">
        <f aca="false">IFERROR(__xludf.dummyfunction("""COMPUTED_VALUE"""),186.09)</f>
        <v>186.09</v>
      </c>
      <c r="D881" s="2" t="n">
        <f aca="false">IFERROR(__xludf.dummyfunction("""COMPUTED_VALUE"""),184)</f>
        <v>184</v>
      </c>
      <c r="E881" s="2" t="n">
        <f aca="false">IFERROR(__xludf.dummyfunction("""COMPUTED_VALUE"""),185.82)</f>
        <v>185.82</v>
      </c>
      <c r="F881" s="2" t="n">
        <f aca="false">IFERROR(__xludf.dummyfunction("""COMPUTED_VALUE"""),10242126)</f>
        <v>10242126</v>
      </c>
    </row>
    <row r="882" customFormat="false" ht="15.75" hidden="false" customHeight="false" outlineLevel="0" collapsed="false">
      <c r="A882" s="3" t="n">
        <f aca="false">IFERROR(__xludf.dummyfunction("""COMPUTED_VALUE"""),45478.6666666667)</f>
        <v>45478.6666666667</v>
      </c>
      <c r="B882" s="2" t="n">
        <f aca="false">IFERROR(__xludf.dummyfunction("""COMPUTED_VALUE"""),185.86)</f>
        <v>185.86</v>
      </c>
      <c r="C882" s="2" t="n">
        <f aca="false">IFERROR(__xludf.dummyfunction("""COMPUTED_VALUE"""),190.86)</f>
        <v>190.86</v>
      </c>
      <c r="D882" s="2" t="n">
        <f aca="false">IFERROR(__xludf.dummyfunction("""COMPUTED_VALUE"""),185.8)</f>
        <v>185.8</v>
      </c>
      <c r="E882" s="2" t="n">
        <f aca="false">IFERROR(__xludf.dummyfunction("""COMPUTED_VALUE"""),190.6)</f>
        <v>190.6</v>
      </c>
      <c r="F882" s="2" t="n">
        <f aca="false">IFERROR(__xludf.dummyfunction("""COMPUTED_VALUE"""),20967450)</f>
        <v>20967450</v>
      </c>
    </row>
    <row r="883" customFormat="false" ht="15.75" hidden="false" customHeight="false" outlineLevel="0" collapsed="false">
      <c r="A883" s="3" t="n">
        <f aca="false">IFERROR(__xludf.dummyfunction("""COMPUTED_VALUE"""),45481.6666666667)</f>
        <v>45481.6666666667</v>
      </c>
      <c r="B883" s="2" t="n">
        <f aca="false">IFERROR(__xludf.dummyfunction("""COMPUTED_VALUE"""),189.9)</f>
        <v>189.9</v>
      </c>
      <c r="C883" s="2" t="n">
        <f aca="false">IFERROR(__xludf.dummyfunction("""COMPUTED_VALUE"""),190.17)</f>
        <v>190.17</v>
      </c>
      <c r="D883" s="2" t="n">
        <f aca="false">IFERROR(__xludf.dummyfunction("""COMPUTED_VALUE"""),187.78)</f>
        <v>187.78</v>
      </c>
      <c r="E883" s="2" t="n">
        <f aca="false">IFERROR(__xludf.dummyfunction("""COMPUTED_VALUE"""),189.03)</f>
        <v>189.03</v>
      </c>
      <c r="F883" s="2" t="n">
        <f aca="false">IFERROR(__xludf.dummyfunction("""COMPUTED_VALUE"""),21035886)</f>
        <v>21035886</v>
      </c>
    </row>
    <row r="884" customFormat="false" ht="15.75" hidden="false" customHeight="false" outlineLevel="0" collapsed="false">
      <c r="A884" s="3" t="n">
        <f aca="false">IFERROR(__xludf.dummyfunction("""COMPUTED_VALUE"""),45482.6666666667)</f>
        <v>45482.6666666667</v>
      </c>
      <c r="B884" s="2" t="n">
        <f aca="false">IFERROR(__xludf.dummyfunction("""COMPUTED_VALUE"""),190.31)</f>
        <v>190.31</v>
      </c>
      <c r="C884" s="2" t="n">
        <f aca="false">IFERROR(__xludf.dummyfunction("""COMPUTED_VALUE"""),191.36)</f>
        <v>191.36</v>
      </c>
      <c r="D884" s="2" t="n">
        <f aca="false">IFERROR(__xludf.dummyfunction("""COMPUTED_VALUE"""),188.72)</f>
        <v>188.72</v>
      </c>
      <c r="E884" s="2" t="n">
        <f aca="false">IFERROR(__xludf.dummyfunction("""COMPUTED_VALUE"""),188.98)</f>
        <v>188.98</v>
      </c>
      <c r="F884" s="2" t="n">
        <f aca="false">IFERROR(__xludf.dummyfunction("""COMPUTED_VALUE"""),15141312)</f>
        <v>15141312</v>
      </c>
    </row>
    <row r="885" customFormat="false" ht="15.75" hidden="false" customHeight="false" outlineLevel="0" collapsed="false">
      <c r="A885" s="3" t="n">
        <f aca="false">IFERROR(__xludf.dummyfunction("""COMPUTED_VALUE"""),45483.6666666667)</f>
        <v>45483.6666666667</v>
      </c>
      <c r="B885" s="2" t="n">
        <f aca="false">IFERROR(__xludf.dummyfunction("""COMPUTED_VALUE"""),189.15)</f>
        <v>189.15</v>
      </c>
      <c r="C885" s="2" t="n">
        <f aca="false">IFERROR(__xludf.dummyfunction("""COMPUTED_VALUE"""),191.75)</f>
        <v>191.75</v>
      </c>
      <c r="D885" s="2" t="n">
        <f aca="false">IFERROR(__xludf.dummyfunction("""COMPUTED_VALUE"""),189.03)</f>
        <v>189.03</v>
      </c>
      <c r="E885" s="2" t="n">
        <f aca="false">IFERROR(__xludf.dummyfunction("""COMPUTED_VALUE"""),191.18)</f>
        <v>191.18</v>
      </c>
      <c r="F885" s="2" t="n">
        <f aca="false">IFERROR(__xludf.dummyfunction("""COMPUTED_VALUE"""),15952454)</f>
        <v>15952454</v>
      </c>
    </row>
    <row r="886" customFormat="false" ht="15.75" hidden="false" customHeight="false" outlineLevel="0" collapsed="false">
      <c r="A886" s="3" t="n">
        <f aca="false">IFERROR(__xludf.dummyfunction("""COMPUTED_VALUE"""),45484.6666666667)</f>
        <v>45484.6666666667</v>
      </c>
      <c r="B886" s="2" t="n">
        <f aca="false">IFERROR(__xludf.dummyfunction("""COMPUTED_VALUE"""),189.85)</f>
        <v>189.85</v>
      </c>
      <c r="C886" s="2" t="n">
        <f aca="false">IFERROR(__xludf.dummyfunction("""COMPUTED_VALUE"""),190.86)</f>
        <v>190.86</v>
      </c>
      <c r="D886" s="2" t="n">
        <f aca="false">IFERROR(__xludf.dummyfunction("""COMPUTED_VALUE"""),185.08)</f>
        <v>185.08</v>
      </c>
      <c r="E886" s="2" t="n">
        <f aca="false">IFERROR(__xludf.dummyfunction("""COMPUTED_VALUE"""),185.57)</f>
        <v>185.57</v>
      </c>
      <c r="F886" s="2" t="n">
        <f aca="false">IFERROR(__xludf.dummyfunction("""COMPUTED_VALUE"""),25625784)</f>
        <v>25625784</v>
      </c>
    </row>
    <row r="887" customFormat="false" ht="15.75" hidden="false" customHeight="false" outlineLevel="0" collapsed="false">
      <c r="A887" s="3" t="n">
        <f aca="false">IFERROR(__xludf.dummyfunction("""COMPUTED_VALUE"""),45485.6666666667)</f>
        <v>45485.6666666667</v>
      </c>
      <c r="B887" s="2" t="n">
        <f aca="false">IFERROR(__xludf.dummyfunction("""COMPUTED_VALUE"""),185.08)</f>
        <v>185.08</v>
      </c>
      <c r="C887" s="2" t="n">
        <f aca="false">IFERROR(__xludf.dummyfunction("""COMPUTED_VALUE"""),187.11)</f>
        <v>187.11</v>
      </c>
      <c r="D887" s="2" t="n">
        <f aca="false">IFERROR(__xludf.dummyfunction("""COMPUTED_VALUE"""),184.49)</f>
        <v>184.49</v>
      </c>
      <c r="E887" s="2" t="n">
        <f aca="false">IFERROR(__xludf.dummyfunction("""COMPUTED_VALUE"""),185.07)</f>
        <v>185.07</v>
      </c>
      <c r="F887" s="2" t="n">
        <f aca="false">IFERROR(__xludf.dummyfunction("""COMPUTED_VALUE"""),22898406)</f>
        <v>22898406</v>
      </c>
    </row>
    <row r="888" customFormat="false" ht="15.75" hidden="false" customHeight="false" outlineLevel="0" collapsed="false">
      <c r="A888" s="3" t="n">
        <f aca="false">IFERROR(__xludf.dummyfunction("""COMPUTED_VALUE"""),45488.6666666667)</f>
        <v>45488.6666666667</v>
      </c>
      <c r="B888" s="2" t="n">
        <f aca="false">IFERROR(__xludf.dummyfunction("""COMPUTED_VALUE"""),184.92)</f>
        <v>184.92</v>
      </c>
      <c r="C888" s="2" t="n">
        <f aca="false">IFERROR(__xludf.dummyfunction("""COMPUTED_VALUE"""),188.24)</f>
        <v>188.24</v>
      </c>
      <c r="D888" s="2" t="n">
        <f aca="false">IFERROR(__xludf.dummyfunction("""COMPUTED_VALUE"""),184.92)</f>
        <v>184.92</v>
      </c>
      <c r="E888" s="2" t="n">
        <f aca="false">IFERROR(__xludf.dummyfunction("""COMPUTED_VALUE"""),186.53)</f>
        <v>186.53</v>
      </c>
      <c r="F888" s="2" t="n">
        <f aca="false">IFERROR(__xludf.dummyfunction("""COMPUTED_VALUE"""),16474043)</f>
        <v>16474043</v>
      </c>
    </row>
    <row r="889" customFormat="false" ht="15.75" hidden="false" customHeight="false" outlineLevel="0" collapsed="false">
      <c r="A889" s="3" t="n">
        <f aca="false">IFERROR(__xludf.dummyfunction("""COMPUTED_VALUE"""),45489.6666666667)</f>
        <v>45489.6666666667</v>
      </c>
      <c r="B889" s="2" t="n">
        <f aca="false">IFERROR(__xludf.dummyfunction("""COMPUTED_VALUE"""),187.36)</f>
        <v>187.36</v>
      </c>
      <c r="C889" s="2" t="n">
        <f aca="false">IFERROR(__xludf.dummyfunction("""COMPUTED_VALUE"""),188.68)</f>
        <v>188.68</v>
      </c>
      <c r="D889" s="2" t="n">
        <f aca="false">IFERROR(__xludf.dummyfunction("""COMPUTED_VALUE"""),183.37)</f>
        <v>183.37</v>
      </c>
      <c r="E889" s="2" t="n">
        <f aca="false">IFERROR(__xludf.dummyfunction("""COMPUTED_VALUE"""),183.92)</f>
        <v>183.92</v>
      </c>
      <c r="F889" s="2" t="n">
        <f aca="false">IFERROR(__xludf.dummyfunction("""COMPUTED_VALUE"""),18290722)</f>
        <v>18290722</v>
      </c>
    </row>
    <row r="890" customFormat="false" ht="15.75" hidden="false" customHeight="false" outlineLevel="0" collapsed="false">
      <c r="A890" s="3" t="n">
        <f aca="false">IFERROR(__xludf.dummyfunction("""COMPUTED_VALUE"""),45490.6666666667)</f>
        <v>45490.6666666667</v>
      </c>
      <c r="B890" s="2" t="n">
        <f aca="false">IFERROR(__xludf.dummyfunction("""COMPUTED_VALUE"""),182.97)</f>
        <v>182.97</v>
      </c>
      <c r="C890" s="2" t="n">
        <f aca="false">IFERROR(__xludf.dummyfunction("""COMPUTED_VALUE"""),183.55)</f>
        <v>183.55</v>
      </c>
      <c r="D890" s="2" t="n">
        <f aca="false">IFERROR(__xludf.dummyfunction("""COMPUTED_VALUE"""),179.9)</f>
        <v>179.9</v>
      </c>
      <c r="E890" s="2" t="n">
        <f aca="false">IFERROR(__xludf.dummyfunction("""COMPUTED_VALUE"""),181.02)</f>
        <v>181.02</v>
      </c>
      <c r="F890" s="2" t="n">
        <f aca="false">IFERROR(__xludf.dummyfunction("""COMPUTED_VALUE"""),20734071)</f>
        <v>20734071</v>
      </c>
    </row>
    <row r="891" customFormat="false" ht="15.75" hidden="false" customHeight="false" outlineLevel="0" collapsed="false">
      <c r="A891" s="3" t="n">
        <f aca="false">IFERROR(__xludf.dummyfunction("""COMPUTED_VALUE"""),45491.6666666667)</f>
        <v>45491.6666666667</v>
      </c>
      <c r="B891" s="2" t="n">
        <f aca="false">IFERROR(__xludf.dummyfunction("""COMPUTED_VALUE"""),181.93)</f>
        <v>181.93</v>
      </c>
      <c r="C891" s="2" t="n">
        <f aca="false">IFERROR(__xludf.dummyfunction("""COMPUTED_VALUE"""),182.5)</f>
        <v>182.5</v>
      </c>
      <c r="D891" s="2" t="n">
        <f aca="false">IFERROR(__xludf.dummyfunction("""COMPUTED_VALUE"""),176.47)</f>
        <v>176.47</v>
      </c>
      <c r="E891" s="2" t="n">
        <f aca="false">IFERROR(__xludf.dummyfunction("""COMPUTED_VALUE"""),177.69)</f>
        <v>177.69</v>
      </c>
      <c r="F891" s="2" t="n">
        <f aca="false">IFERROR(__xludf.dummyfunction("""COMPUTED_VALUE"""),25315727)</f>
        <v>25315727</v>
      </c>
    </row>
    <row r="892" customFormat="false" ht="15.75" hidden="false" customHeight="false" outlineLevel="0" collapsed="false">
      <c r="A892" s="3" t="n">
        <f aca="false">IFERROR(__xludf.dummyfunction("""COMPUTED_VALUE"""),45492.6666666667)</f>
        <v>45492.6666666667</v>
      </c>
      <c r="B892" s="2" t="n">
        <f aca="false">IFERROR(__xludf.dummyfunction("""COMPUTED_VALUE"""),178.88)</f>
        <v>178.88</v>
      </c>
      <c r="C892" s="2" t="n">
        <f aca="false">IFERROR(__xludf.dummyfunction("""COMPUTED_VALUE"""),180.29)</f>
        <v>180.29</v>
      </c>
      <c r="D892" s="2" t="n">
        <f aca="false">IFERROR(__xludf.dummyfunction("""COMPUTED_VALUE"""),177.13)</f>
        <v>177.13</v>
      </c>
      <c r="E892" s="2" t="n">
        <f aca="false">IFERROR(__xludf.dummyfunction("""COMPUTED_VALUE"""),177.66)</f>
        <v>177.66</v>
      </c>
      <c r="F892" s="2" t="n">
        <f aca="false">IFERROR(__xludf.dummyfunction("""COMPUTED_VALUE"""),18881885)</f>
        <v>18881885</v>
      </c>
    </row>
    <row r="893" customFormat="false" ht="15.75" hidden="false" customHeight="false" outlineLevel="0" collapsed="false">
      <c r="A893" s="3" t="n">
        <f aca="false">IFERROR(__xludf.dummyfunction("""COMPUTED_VALUE"""),45495.6666666667)</f>
        <v>45495.6666666667</v>
      </c>
      <c r="B893" s="2" t="n">
        <f aca="false">IFERROR(__xludf.dummyfunction("""COMPUTED_VALUE"""),180.59)</f>
        <v>180.59</v>
      </c>
      <c r="C893" s="2" t="n">
        <f aca="false">IFERROR(__xludf.dummyfunction("""COMPUTED_VALUE"""),182.7)</f>
        <v>182.7</v>
      </c>
      <c r="D893" s="2" t="n">
        <f aca="false">IFERROR(__xludf.dummyfunction("""COMPUTED_VALUE"""),180.23)</f>
        <v>180.23</v>
      </c>
      <c r="E893" s="2" t="n">
        <f aca="false">IFERROR(__xludf.dummyfunction("""COMPUTED_VALUE"""),181.67)</f>
        <v>181.67</v>
      </c>
      <c r="F893" s="2" t="n">
        <f aca="false">IFERROR(__xludf.dummyfunction("""COMPUTED_VALUE"""),24100345)</f>
        <v>24100345</v>
      </c>
    </row>
    <row r="894" customFormat="false" ht="15.75" hidden="false" customHeight="false" outlineLevel="0" collapsed="false">
      <c r="A894" s="3" t="n">
        <f aca="false">IFERROR(__xludf.dummyfunction("""COMPUTED_VALUE"""),45496.6666666667)</f>
        <v>45496.6666666667</v>
      </c>
      <c r="B894" s="2" t="n">
        <f aca="false">IFERROR(__xludf.dummyfunction("""COMPUTED_VALUE"""),182.05)</f>
        <v>182.05</v>
      </c>
      <c r="C894" s="2" t="n">
        <f aca="false">IFERROR(__xludf.dummyfunction("""COMPUTED_VALUE"""),183.61)</f>
        <v>183.61</v>
      </c>
      <c r="D894" s="2" t="n">
        <f aca="false">IFERROR(__xludf.dummyfunction("""COMPUTED_VALUE"""),181.54)</f>
        <v>181.54</v>
      </c>
      <c r="E894" s="2" t="n">
        <f aca="false">IFERROR(__xludf.dummyfunction("""COMPUTED_VALUE"""),181.79)</f>
        <v>181.79</v>
      </c>
      <c r="F894" s="2" t="n">
        <f aca="false">IFERROR(__xludf.dummyfunction("""COMPUTED_VALUE"""),36352714)</f>
        <v>36352714</v>
      </c>
    </row>
    <row r="895" customFormat="false" ht="15.75" hidden="false" customHeight="false" outlineLevel="0" collapsed="false">
      <c r="A895" s="3" t="n">
        <f aca="false">IFERROR(__xludf.dummyfunction("""COMPUTED_VALUE"""),45497.6666666667)</f>
        <v>45497.6666666667</v>
      </c>
      <c r="B895" s="2" t="n">
        <f aca="false">IFERROR(__xludf.dummyfunction("""COMPUTED_VALUE"""),173.6)</f>
        <v>173.6</v>
      </c>
      <c r="C895" s="2" t="n">
        <f aca="false">IFERROR(__xludf.dummyfunction("""COMPUTED_VALUE"""),176.19)</f>
        <v>176.19</v>
      </c>
      <c r="D895" s="2" t="n">
        <f aca="false">IFERROR(__xludf.dummyfunction("""COMPUTED_VALUE"""),171.82)</f>
        <v>171.82</v>
      </c>
      <c r="E895" s="2" t="n">
        <f aca="false">IFERROR(__xludf.dummyfunction("""COMPUTED_VALUE"""),172.63)</f>
        <v>172.63</v>
      </c>
      <c r="F895" s="2" t="n">
        <f aca="false">IFERROR(__xludf.dummyfunction("""COMPUTED_VALUE"""),49585203)</f>
        <v>49585203</v>
      </c>
    </row>
    <row r="896" customFormat="false" ht="15.75" hidden="false" customHeight="false" outlineLevel="0" collapsed="false">
      <c r="A896" s="3" t="n">
        <f aca="false">IFERROR(__xludf.dummyfunction("""COMPUTED_VALUE"""),45498.6666666667)</f>
        <v>45498.6666666667</v>
      </c>
      <c r="B896" s="2" t="n">
        <f aca="false">IFERROR(__xludf.dummyfunction("""COMPUTED_VALUE"""),172.52)</f>
        <v>172.52</v>
      </c>
      <c r="C896" s="2" t="n">
        <f aca="false">IFERROR(__xludf.dummyfunction("""COMPUTED_VALUE"""),173.42)</f>
        <v>173.42</v>
      </c>
      <c r="D896" s="2" t="n">
        <f aca="false">IFERROR(__xludf.dummyfunction("""COMPUTED_VALUE"""),167.19)</f>
        <v>167.19</v>
      </c>
      <c r="E896" s="2" t="n">
        <f aca="false">IFERROR(__xludf.dummyfunction("""COMPUTED_VALUE"""),167.28)</f>
        <v>167.28</v>
      </c>
      <c r="F896" s="2" t="n">
        <f aca="false">IFERROR(__xludf.dummyfunction("""COMPUTED_VALUE"""),44851973)</f>
        <v>44851973</v>
      </c>
    </row>
    <row r="897" customFormat="false" ht="15.75" hidden="false" customHeight="false" outlineLevel="0" collapsed="false">
      <c r="A897" s="3" t="n">
        <f aca="false">IFERROR(__xludf.dummyfunction("""COMPUTED_VALUE"""),45499.6666666667)</f>
        <v>45499.6666666667</v>
      </c>
      <c r="B897" s="2" t="n">
        <f aca="false">IFERROR(__xludf.dummyfunction("""COMPUTED_VALUE"""),167.15)</f>
        <v>167.15</v>
      </c>
      <c r="C897" s="2" t="n">
        <f aca="false">IFERROR(__xludf.dummyfunction("""COMPUTED_VALUE"""),168.09)</f>
        <v>168.09</v>
      </c>
      <c r="D897" s="2" t="n">
        <f aca="false">IFERROR(__xludf.dummyfunction("""COMPUTED_VALUE"""),164.06)</f>
        <v>164.06</v>
      </c>
      <c r="E897" s="2" t="n">
        <f aca="false">IFERROR(__xludf.dummyfunction("""COMPUTED_VALUE"""),167)</f>
        <v>167</v>
      </c>
      <c r="F897" s="2" t="n">
        <f aca="false">IFERROR(__xludf.dummyfunction("""COMPUTED_VALUE"""),41336886)</f>
        <v>41336886</v>
      </c>
    </row>
    <row r="898" customFormat="false" ht="15.75" hidden="false" customHeight="false" outlineLevel="0" collapsed="false">
      <c r="A898" s="3" t="n">
        <f aca="false">IFERROR(__xludf.dummyfunction("""COMPUTED_VALUE"""),45502.6666666667)</f>
        <v>45502.6666666667</v>
      </c>
      <c r="B898" s="2" t="n">
        <f aca="false">IFERROR(__xludf.dummyfunction("""COMPUTED_VALUE"""),168.83)</f>
        <v>168.83</v>
      </c>
      <c r="C898" s="2" t="n">
        <f aca="false">IFERROR(__xludf.dummyfunction("""COMPUTED_VALUE"""),170.43)</f>
        <v>170.43</v>
      </c>
      <c r="D898" s="2" t="n">
        <f aca="false">IFERROR(__xludf.dummyfunction("""COMPUTED_VALUE"""),167.99)</f>
        <v>167.99</v>
      </c>
      <c r="E898" s="2" t="n">
        <f aca="false">IFERROR(__xludf.dummyfunction("""COMPUTED_VALUE"""),169.53)</f>
        <v>169.53</v>
      </c>
      <c r="F898" s="2" t="n">
        <f aca="false">IFERROR(__xludf.dummyfunction("""COMPUTED_VALUE"""),20293822)</f>
        <v>20293822</v>
      </c>
    </row>
    <row r="899" customFormat="false" ht="15.75" hidden="false" customHeight="false" outlineLevel="0" collapsed="false">
      <c r="A899" s="3" t="n">
        <f aca="false">IFERROR(__xludf.dummyfunction("""COMPUTED_VALUE"""),45503.6666666667)</f>
        <v>45503.6666666667</v>
      </c>
      <c r="B899" s="2" t="n">
        <f aca="false">IFERROR(__xludf.dummyfunction("""COMPUTED_VALUE"""),170.24)</f>
        <v>170.24</v>
      </c>
      <c r="C899" s="2" t="n">
        <f aca="false">IFERROR(__xludf.dummyfunction("""COMPUTED_VALUE"""),171.23)</f>
        <v>171.23</v>
      </c>
      <c r="D899" s="2" t="n">
        <f aca="false">IFERROR(__xludf.dummyfunction("""COMPUTED_VALUE"""),168.44)</f>
        <v>168.44</v>
      </c>
      <c r="E899" s="2" t="n">
        <f aca="false">IFERROR(__xludf.dummyfunction("""COMPUTED_VALUE"""),170.29)</f>
        <v>170.29</v>
      </c>
      <c r="F899" s="2" t="n">
        <f aca="false">IFERROR(__xludf.dummyfunction("""COMPUTED_VALUE"""),18959686)</f>
        <v>18959686</v>
      </c>
    </row>
    <row r="900" customFormat="false" ht="15.75" hidden="false" customHeight="false" outlineLevel="0" collapsed="false">
      <c r="A900" s="3" t="n">
        <f aca="false">IFERROR(__xludf.dummyfunction("""COMPUTED_VALUE"""),45504.6666666667)</f>
        <v>45504.6666666667</v>
      </c>
      <c r="B900" s="2" t="n">
        <f aca="false">IFERROR(__xludf.dummyfunction("""COMPUTED_VALUE"""),173.24)</f>
        <v>173.24</v>
      </c>
      <c r="C900" s="2" t="n">
        <f aca="false">IFERROR(__xludf.dummyfunction("""COMPUTED_VALUE"""),174.25)</f>
        <v>174.25</v>
      </c>
      <c r="D900" s="2" t="n">
        <f aca="false">IFERROR(__xludf.dummyfunction("""COMPUTED_VALUE"""),170.01)</f>
        <v>170.01</v>
      </c>
      <c r="E900" s="2" t="n">
        <f aca="false">IFERROR(__xludf.dummyfunction("""COMPUTED_VALUE"""),171.54)</f>
        <v>171.54</v>
      </c>
      <c r="F900" s="2" t="n">
        <f aca="false">IFERROR(__xludf.dummyfunction("""COMPUTED_VALUE"""),25729090)</f>
        <v>25729090</v>
      </c>
    </row>
    <row r="901" customFormat="false" ht="15.75" hidden="false" customHeight="false" outlineLevel="0" collapsed="false">
      <c r="A901" s="3" t="n">
        <f aca="false">IFERROR(__xludf.dummyfunction("""COMPUTED_VALUE"""),45505.6666666667)</f>
        <v>45505.6666666667</v>
      </c>
      <c r="B901" s="2" t="n">
        <f aca="false">IFERROR(__xludf.dummyfunction("""COMPUTED_VALUE"""),170.25)</f>
        <v>170.25</v>
      </c>
      <c r="C901" s="2" t="n">
        <f aca="false">IFERROR(__xludf.dummyfunction("""COMPUTED_VALUE"""),174.05)</f>
        <v>174.05</v>
      </c>
      <c r="D901" s="2" t="n">
        <f aca="false">IFERROR(__xludf.dummyfunction("""COMPUTED_VALUE"""),168.88)</f>
        <v>168.88</v>
      </c>
      <c r="E901" s="2" t="n">
        <f aca="false">IFERROR(__xludf.dummyfunction("""COMPUTED_VALUE"""),170.76)</f>
        <v>170.76</v>
      </c>
      <c r="F901" s="2" t="n">
        <f aca="false">IFERROR(__xludf.dummyfunction("""COMPUTED_VALUE"""),24531392)</f>
        <v>24531392</v>
      </c>
    </row>
    <row r="902" customFormat="false" ht="15.75" hidden="false" customHeight="false" outlineLevel="0" collapsed="false">
      <c r="A902" s="3" t="n">
        <f aca="false">IFERROR(__xludf.dummyfunction("""COMPUTED_VALUE"""),45506.6666666667)</f>
        <v>45506.6666666667</v>
      </c>
      <c r="B902" s="2" t="n">
        <f aca="false">IFERROR(__xludf.dummyfunction("""COMPUTED_VALUE"""),166.44)</f>
        <v>166.44</v>
      </c>
      <c r="C902" s="2" t="n">
        <f aca="false">IFERROR(__xludf.dummyfunction("""COMPUTED_VALUE"""),168.51)</f>
        <v>168.51</v>
      </c>
      <c r="D902" s="2" t="n">
        <f aca="false">IFERROR(__xludf.dummyfunction("""COMPUTED_VALUE"""),164.67)</f>
        <v>164.67</v>
      </c>
      <c r="E902" s="2" t="n">
        <f aca="false">IFERROR(__xludf.dummyfunction("""COMPUTED_VALUE"""),166.66)</f>
        <v>166.66</v>
      </c>
      <c r="F902" s="2" t="n">
        <f aca="false">IFERROR(__xludf.dummyfunction("""COMPUTED_VALUE"""),29130102)</f>
        <v>29130102</v>
      </c>
    </row>
    <row r="903" customFormat="false" ht="15.75" hidden="false" customHeight="false" outlineLevel="0" collapsed="false">
      <c r="A903" s="3" t="n">
        <f aca="false">IFERROR(__xludf.dummyfunction("""COMPUTED_VALUE"""),45509.6666666667)</f>
        <v>45509.6666666667</v>
      </c>
      <c r="B903" s="2" t="n">
        <f aca="false">IFERROR(__xludf.dummyfunction("""COMPUTED_VALUE"""),155.5)</f>
        <v>155.5</v>
      </c>
      <c r="C903" s="2" t="n">
        <f aca="false">IFERROR(__xludf.dummyfunction("""COMPUTED_VALUE"""),164.43)</f>
        <v>164.43</v>
      </c>
      <c r="D903" s="2" t="n">
        <f aca="false">IFERROR(__xludf.dummyfunction("""COMPUTED_VALUE"""),154.93)</f>
        <v>154.93</v>
      </c>
      <c r="E903" s="2" t="n">
        <f aca="false">IFERROR(__xludf.dummyfunction("""COMPUTED_VALUE"""),159.25)</f>
        <v>159.25</v>
      </c>
      <c r="F903" s="2" t="n">
        <f aca="false">IFERROR(__xludf.dummyfunction("""COMPUTED_VALUE"""),53630673)</f>
        <v>53630673</v>
      </c>
    </row>
    <row r="904" customFormat="false" ht="15.75" hidden="false" customHeight="false" outlineLevel="0" collapsed="false">
      <c r="A904" s="3" t="n">
        <f aca="false">IFERROR(__xludf.dummyfunction("""COMPUTED_VALUE"""),45510.6666666667)</f>
        <v>45510.6666666667</v>
      </c>
      <c r="B904" s="2" t="n">
        <f aca="false">IFERROR(__xludf.dummyfunction("""COMPUTED_VALUE"""),159.33)</f>
        <v>159.33</v>
      </c>
      <c r="C904" s="2" t="n">
        <f aca="false">IFERROR(__xludf.dummyfunction("""COMPUTED_VALUE"""),160.57)</f>
        <v>160.57</v>
      </c>
      <c r="D904" s="2" t="n">
        <f aca="false">IFERROR(__xludf.dummyfunction("""COMPUTED_VALUE"""),156.41)</f>
        <v>156.41</v>
      </c>
      <c r="E904" s="2" t="n">
        <f aca="false">IFERROR(__xludf.dummyfunction("""COMPUTED_VALUE"""),158.29)</f>
        <v>158.29</v>
      </c>
      <c r="F904" s="2" t="n">
        <f aca="false">IFERROR(__xludf.dummyfunction("""COMPUTED_VALUE"""),49004561)</f>
        <v>49004561</v>
      </c>
    </row>
    <row r="905" customFormat="false" ht="15.75" hidden="false" customHeight="false" outlineLevel="0" collapsed="false">
      <c r="A905" s="3" t="n">
        <f aca="false">IFERROR(__xludf.dummyfunction("""COMPUTED_VALUE"""),45511.6666666667)</f>
        <v>45511.6666666667</v>
      </c>
      <c r="B905" s="2" t="n">
        <f aca="false">IFERROR(__xludf.dummyfunction("""COMPUTED_VALUE"""),161.25)</f>
        <v>161.25</v>
      </c>
      <c r="C905" s="2" t="n">
        <f aca="false">IFERROR(__xludf.dummyfunction("""COMPUTED_VALUE"""),162.98)</f>
        <v>162.98</v>
      </c>
      <c r="D905" s="2" t="n">
        <f aca="false">IFERROR(__xludf.dummyfunction("""COMPUTED_VALUE"""),158.47)</f>
        <v>158.47</v>
      </c>
      <c r="E905" s="2" t="n">
        <f aca="false">IFERROR(__xludf.dummyfunction("""COMPUTED_VALUE"""),158.94)</f>
        <v>158.94</v>
      </c>
      <c r="F905" s="2" t="n">
        <f aca="false">IFERROR(__xludf.dummyfunction("""COMPUTED_VALUE"""),25138573)</f>
        <v>25138573</v>
      </c>
    </row>
    <row r="906" customFormat="false" ht="15.75" hidden="false" customHeight="false" outlineLevel="0" collapsed="false">
      <c r="A906" s="3" t="n">
        <f aca="false">IFERROR(__xludf.dummyfunction("""COMPUTED_VALUE"""),45512.6666666667)</f>
        <v>45512.6666666667</v>
      </c>
      <c r="B906" s="2" t="n">
        <f aca="false">IFERROR(__xludf.dummyfunction("""COMPUTED_VALUE"""),160.51)</f>
        <v>160.51</v>
      </c>
      <c r="C906" s="2" t="n">
        <f aca="false">IFERROR(__xludf.dummyfunction("""COMPUTED_VALUE"""),163.69)</f>
        <v>163.69</v>
      </c>
      <c r="D906" s="2" t="n">
        <f aca="false">IFERROR(__xludf.dummyfunction("""COMPUTED_VALUE"""),160.21)</f>
        <v>160.21</v>
      </c>
      <c r="E906" s="2" t="n">
        <f aca="false">IFERROR(__xludf.dummyfunction("""COMPUTED_VALUE"""),162.03)</f>
        <v>162.03</v>
      </c>
      <c r="F906" s="2" t="n">
        <f aca="false">IFERROR(__xludf.dummyfunction("""COMPUTED_VALUE"""),25578839)</f>
        <v>25578839</v>
      </c>
    </row>
    <row r="907" customFormat="false" ht="15.75" hidden="false" customHeight="false" outlineLevel="0" collapsed="false">
      <c r="A907" s="3" t="n">
        <f aca="false">IFERROR(__xludf.dummyfunction("""COMPUTED_VALUE"""),45513.6666666667)</f>
        <v>45513.6666666667</v>
      </c>
      <c r="B907" s="2" t="n">
        <f aca="false">IFERROR(__xludf.dummyfunction("""COMPUTED_VALUE"""),160.01)</f>
        <v>160.01</v>
      </c>
      <c r="C907" s="2" t="n">
        <f aca="false">IFERROR(__xludf.dummyfunction("""COMPUTED_VALUE"""),163.79)</f>
        <v>163.79</v>
      </c>
      <c r="D907" s="2" t="n">
        <f aca="false">IFERROR(__xludf.dummyfunction("""COMPUTED_VALUE"""),159.06)</f>
        <v>159.06</v>
      </c>
      <c r="E907" s="2" t="n">
        <f aca="false">IFERROR(__xludf.dummyfunction("""COMPUTED_VALUE"""),163.67)</f>
        <v>163.67</v>
      </c>
      <c r="F907" s="2" t="n">
        <f aca="false">IFERROR(__xludf.dummyfunction("""COMPUTED_VALUE"""),28602285)</f>
        <v>28602285</v>
      </c>
    </row>
    <row r="908" customFormat="false" ht="15.75" hidden="false" customHeight="false" outlineLevel="0" collapsed="false">
      <c r="A908" s="3" t="n">
        <f aca="false">IFERROR(__xludf.dummyfunction("""COMPUTED_VALUE"""),45516.6666666667)</f>
        <v>45516.6666666667</v>
      </c>
      <c r="B908" s="2" t="n">
        <f aca="false">IFERROR(__xludf.dummyfunction("""COMPUTED_VALUE"""),164.35)</f>
        <v>164.35</v>
      </c>
      <c r="C908" s="2" t="n">
        <f aca="false">IFERROR(__xludf.dummyfunction("""COMPUTED_VALUE"""),164.9)</f>
        <v>164.9</v>
      </c>
      <c r="D908" s="2" t="n">
        <f aca="false">IFERROR(__xludf.dummyfunction("""COMPUTED_VALUE"""),161.84)</f>
        <v>161.84</v>
      </c>
      <c r="E908" s="2" t="n">
        <f aca="false">IFERROR(__xludf.dummyfunction("""COMPUTED_VALUE"""),162.29)</f>
        <v>162.29</v>
      </c>
      <c r="F908" s="2" t="n">
        <f aca="false">IFERROR(__xludf.dummyfunction("""COMPUTED_VALUE"""),15895286)</f>
        <v>15895286</v>
      </c>
    </row>
    <row r="909" customFormat="false" ht="15.75" hidden="false" customHeight="false" outlineLevel="0" collapsed="false">
      <c r="A909" s="3" t="n">
        <f aca="false">IFERROR(__xludf.dummyfunction("""COMPUTED_VALUE"""),45517.6666666667)</f>
        <v>45517.6666666667</v>
      </c>
      <c r="B909" s="2" t="n">
        <f aca="false">IFERROR(__xludf.dummyfunction("""COMPUTED_VALUE"""),163.41)</f>
        <v>163.41</v>
      </c>
      <c r="C909" s="2" t="n">
        <f aca="false">IFERROR(__xludf.dummyfunction("""COMPUTED_VALUE"""),164.73)</f>
        <v>164.73</v>
      </c>
      <c r="D909" s="2" t="n">
        <f aca="false">IFERROR(__xludf.dummyfunction("""COMPUTED_VALUE"""),162.97)</f>
        <v>162.97</v>
      </c>
      <c r="E909" s="2" t="n">
        <f aca="false">IFERROR(__xludf.dummyfunction("""COMPUTED_VALUE"""),164.16)</f>
        <v>164.16</v>
      </c>
      <c r="F909" s="2" t="n">
        <f aca="false">IFERROR(__xludf.dummyfunction("""COMPUTED_VALUE"""),18551690)</f>
        <v>18551690</v>
      </c>
    </row>
    <row r="910" customFormat="false" ht="15.75" hidden="false" customHeight="false" outlineLevel="0" collapsed="false">
      <c r="A910" s="3" t="n">
        <f aca="false">IFERROR(__xludf.dummyfunction("""COMPUTED_VALUE"""),45518.6666666667)</f>
        <v>45518.6666666667</v>
      </c>
      <c r="B910" s="2" t="n">
        <f aca="false">IFERROR(__xludf.dummyfunction("""COMPUTED_VALUE"""),162.4)</f>
        <v>162.4</v>
      </c>
      <c r="C910" s="2" t="n">
        <f aca="false">IFERROR(__xludf.dummyfunction("""COMPUTED_VALUE"""),163.22)</f>
        <v>163.22</v>
      </c>
      <c r="D910" s="2" t="n">
        <f aca="false">IFERROR(__xludf.dummyfunction("""COMPUTED_VALUE"""),157.71)</f>
        <v>157.71</v>
      </c>
      <c r="E910" s="2" t="n">
        <f aca="false">IFERROR(__xludf.dummyfunction("""COMPUTED_VALUE"""),160.37)</f>
        <v>160.37</v>
      </c>
      <c r="F910" s="2" t="n">
        <f aca="false">IFERROR(__xludf.dummyfunction("""COMPUTED_VALUE"""),40591126)</f>
        <v>40591126</v>
      </c>
    </row>
    <row r="911" customFormat="false" ht="15.75" hidden="false" customHeight="false" outlineLevel="0" collapsed="false">
      <c r="A911" s="3" t="n">
        <f aca="false">IFERROR(__xludf.dummyfunction("""COMPUTED_VALUE"""),45519.6666666667)</f>
        <v>45519.6666666667</v>
      </c>
      <c r="B911" s="2" t="n">
        <f aca="false">IFERROR(__xludf.dummyfunction("""COMPUTED_VALUE"""),160.5)</f>
        <v>160.5</v>
      </c>
      <c r="C911" s="2" t="n">
        <f aca="false">IFERROR(__xludf.dummyfunction("""COMPUTED_VALUE"""),161.64)</f>
        <v>161.64</v>
      </c>
      <c r="D911" s="2" t="n">
        <f aca="false">IFERROR(__xludf.dummyfunction("""COMPUTED_VALUE"""),159.61)</f>
        <v>159.61</v>
      </c>
      <c r="E911" s="2" t="n">
        <f aca="false">IFERROR(__xludf.dummyfunction("""COMPUTED_VALUE"""),161.3)</f>
        <v>161.3</v>
      </c>
      <c r="F911" s="2" t="n">
        <f aca="false">IFERROR(__xludf.dummyfunction("""COMPUTED_VALUE"""),31524252)</f>
        <v>31524252</v>
      </c>
    </row>
    <row r="912" customFormat="false" ht="15.75" hidden="false" customHeight="false" outlineLevel="0" collapsed="false">
      <c r="A912" s="3" t="n">
        <f aca="false">IFERROR(__xludf.dummyfunction("""COMPUTED_VALUE"""),45520.6666666667)</f>
        <v>45520.6666666667</v>
      </c>
      <c r="B912" s="2" t="n">
        <f aca="false">IFERROR(__xludf.dummyfunction("""COMPUTED_VALUE"""),161.47)</f>
        <v>161.47</v>
      </c>
      <c r="C912" s="2" t="n">
        <f aca="false">IFERROR(__xludf.dummyfunction("""COMPUTED_VALUE"""),165.06)</f>
        <v>165.06</v>
      </c>
      <c r="D912" s="2" t="n">
        <f aca="false">IFERROR(__xludf.dummyfunction("""COMPUTED_VALUE"""),161.13)</f>
        <v>161.13</v>
      </c>
      <c r="E912" s="2" t="n">
        <f aca="false">IFERROR(__xludf.dummyfunction("""COMPUTED_VALUE"""),162.96)</f>
        <v>162.96</v>
      </c>
      <c r="F912" s="2" t="n">
        <f aca="false">IFERROR(__xludf.dummyfunction("""COMPUTED_VALUE"""),24208647)</f>
        <v>24208647</v>
      </c>
    </row>
    <row r="913" customFormat="false" ht="15.75" hidden="false" customHeight="false" outlineLevel="0" collapsed="false">
      <c r="A913" s="3" t="n">
        <f aca="false">IFERROR(__xludf.dummyfunction("""COMPUTED_VALUE"""),45523.6666666667)</f>
        <v>45523.6666666667</v>
      </c>
      <c r="B913" s="2" t="n">
        <f aca="false">IFERROR(__xludf.dummyfunction("""COMPUTED_VALUE"""),165.28)</f>
        <v>165.28</v>
      </c>
      <c r="C913" s="2" t="n">
        <f aca="false">IFERROR(__xludf.dummyfunction("""COMPUTED_VALUE"""),166.69)</f>
        <v>166.69</v>
      </c>
      <c r="D913" s="2" t="n">
        <f aca="false">IFERROR(__xludf.dummyfunction("""COMPUTED_VALUE"""),164.26)</f>
        <v>164.26</v>
      </c>
      <c r="E913" s="2" t="n">
        <f aca="false">IFERROR(__xludf.dummyfunction("""COMPUTED_VALUE"""),166.67)</f>
        <v>166.67</v>
      </c>
      <c r="F913" s="2" t="n">
        <f aca="false">IFERROR(__xludf.dummyfunction("""COMPUTED_VALUE"""),22416185)</f>
        <v>22416185</v>
      </c>
    </row>
    <row r="914" customFormat="false" ht="15.75" hidden="false" customHeight="false" outlineLevel="0" collapsed="false">
      <c r="A914" s="3" t="n">
        <f aca="false">IFERROR(__xludf.dummyfunction("""COMPUTED_VALUE"""),45524.6666666667)</f>
        <v>45524.6666666667</v>
      </c>
      <c r="B914" s="2" t="n">
        <f aca="false">IFERROR(__xludf.dummyfunction("""COMPUTED_VALUE"""),166.9)</f>
        <v>166.9</v>
      </c>
      <c r="C914" s="2" t="n">
        <f aca="false">IFERROR(__xludf.dummyfunction("""COMPUTED_VALUE"""),168.64)</f>
        <v>168.64</v>
      </c>
      <c r="D914" s="2" t="n">
        <f aca="false">IFERROR(__xludf.dummyfunction("""COMPUTED_VALUE"""),166.82)</f>
        <v>166.82</v>
      </c>
      <c r="E914" s="2" t="n">
        <f aca="false">IFERROR(__xludf.dummyfunction("""COMPUTED_VALUE"""),167.18)</f>
        <v>167.18</v>
      </c>
      <c r="F914" s="2" t="n">
        <f aca="false">IFERROR(__xludf.dummyfunction("""COMPUTED_VALUE"""),18341533)</f>
        <v>18341533</v>
      </c>
    </row>
    <row r="915" customFormat="false" ht="15.75" hidden="false" customHeight="false" outlineLevel="0" collapsed="false">
      <c r="A915" s="3" t="n">
        <f aca="false">IFERROR(__xludf.dummyfunction("""COMPUTED_VALUE"""),45525.6666666667)</f>
        <v>45525.6666666667</v>
      </c>
      <c r="B915" s="2" t="n">
        <f aca="false">IFERROR(__xludf.dummyfunction("""COMPUTED_VALUE"""),165.15)</f>
        <v>165.15</v>
      </c>
      <c r="C915" s="2" t="n">
        <f aca="false">IFERROR(__xludf.dummyfunction("""COMPUTED_VALUE"""),166.85)</f>
        <v>166.85</v>
      </c>
      <c r="D915" s="2" t="n">
        <f aca="false">IFERROR(__xludf.dummyfunction("""COMPUTED_VALUE"""),164.67)</f>
        <v>164.67</v>
      </c>
      <c r="E915" s="2" t="n">
        <f aca="false">IFERROR(__xludf.dummyfunction("""COMPUTED_VALUE"""),165.85)</f>
        <v>165.85</v>
      </c>
      <c r="F915" s="2" t="n">
        <f aca="false">IFERROR(__xludf.dummyfunction("""COMPUTED_VALUE"""),22901997)</f>
        <v>22901997</v>
      </c>
    </row>
    <row r="916" customFormat="false" ht="15.75" hidden="false" customHeight="false" outlineLevel="0" collapsed="false">
      <c r="A916" s="3" t="n">
        <f aca="false">IFERROR(__xludf.dummyfunction("""COMPUTED_VALUE"""),45526.6666666667)</f>
        <v>45526.6666666667</v>
      </c>
      <c r="B916" s="2" t="n">
        <f aca="false">IFERROR(__xludf.dummyfunction("""COMPUTED_VALUE"""),167.26)</f>
        <v>167.26</v>
      </c>
      <c r="C916" s="2" t="n">
        <f aca="false">IFERROR(__xludf.dummyfunction("""COMPUTED_VALUE"""),167.59)</f>
        <v>167.59</v>
      </c>
      <c r="D916" s="2" t="n">
        <f aca="false">IFERROR(__xludf.dummyfunction("""COMPUTED_VALUE"""),163.31)</f>
        <v>163.31</v>
      </c>
      <c r="E916" s="2" t="n">
        <f aca="false">IFERROR(__xludf.dummyfunction("""COMPUTED_VALUE"""),163.8)</f>
        <v>163.8</v>
      </c>
      <c r="F916" s="2" t="n">
        <f aca="false">IFERROR(__xludf.dummyfunction("""COMPUTED_VALUE"""),22493275)</f>
        <v>22493275</v>
      </c>
    </row>
    <row r="917" customFormat="false" ht="15.75" hidden="false" customHeight="false" outlineLevel="0" collapsed="false">
      <c r="A917" s="3" t="n">
        <f aca="false">IFERROR(__xludf.dummyfunction("""COMPUTED_VALUE"""),45527.6666666667)</f>
        <v>45527.6666666667</v>
      </c>
      <c r="B917" s="2" t="n">
        <f aca="false">IFERROR(__xludf.dummyfunction("""COMPUTED_VALUE"""),164.72)</f>
        <v>164.72</v>
      </c>
      <c r="C917" s="2" t="n">
        <f aca="false">IFERROR(__xludf.dummyfunction("""COMPUTED_VALUE"""),166.18)</f>
        <v>166.18</v>
      </c>
      <c r="D917" s="2" t="n">
        <f aca="false">IFERROR(__xludf.dummyfunction("""COMPUTED_VALUE"""),163.83)</f>
        <v>163.83</v>
      </c>
      <c r="E917" s="2" t="n">
        <f aca="false">IFERROR(__xludf.dummyfunction("""COMPUTED_VALUE"""),165.62)</f>
        <v>165.62</v>
      </c>
      <c r="F917" s="2" t="n">
        <f aca="false">IFERROR(__xludf.dummyfunction("""COMPUTED_VALUE"""),13955741)</f>
        <v>13955741</v>
      </c>
    </row>
    <row r="918" customFormat="false" ht="15.75" hidden="false" customHeight="false" outlineLevel="0" collapsed="false">
      <c r="A918" s="3" t="n">
        <f aca="false">IFERROR(__xludf.dummyfunction("""COMPUTED_VALUE"""),45530.6666666667)</f>
        <v>45530.6666666667</v>
      </c>
      <c r="B918" s="2" t="n">
        <f aca="false">IFERROR(__xludf.dummyfunction("""COMPUTED_VALUE"""),166.38)</f>
        <v>166.38</v>
      </c>
      <c r="C918" s="2" t="n">
        <f aca="false">IFERROR(__xludf.dummyfunction("""COMPUTED_VALUE"""),167.55)</f>
        <v>167.55</v>
      </c>
      <c r="D918" s="2" t="n">
        <f aca="false">IFERROR(__xludf.dummyfunction("""COMPUTED_VALUE"""),164.46)</f>
        <v>164.46</v>
      </c>
      <c r="E918" s="2" t="n">
        <f aca="false">IFERROR(__xludf.dummyfunction("""COMPUTED_VALUE"""),166.16)</f>
        <v>166.16</v>
      </c>
      <c r="F918" s="2" t="n">
        <f aca="false">IFERROR(__xludf.dummyfunction("""COMPUTED_VALUE"""),14190417)</f>
        <v>14190417</v>
      </c>
    </row>
    <row r="919" customFormat="false" ht="15.75" hidden="false" customHeight="false" outlineLevel="0" collapsed="false">
      <c r="A919" s="3" t="n">
        <f aca="false">IFERROR(__xludf.dummyfunction("""COMPUTED_VALUE"""),45531.6666666667)</f>
        <v>45531.6666666667</v>
      </c>
      <c r="B919" s="2" t="n">
        <f aca="false">IFERROR(__xludf.dummyfunction("""COMPUTED_VALUE"""),165.84)</f>
        <v>165.84</v>
      </c>
      <c r="C919" s="2" t="n">
        <f aca="false">IFERROR(__xludf.dummyfunction("""COMPUTED_VALUE"""),166.44)</f>
        <v>166.44</v>
      </c>
      <c r="D919" s="2" t="n">
        <f aca="false">IFERROR(__xludf.dummyfunction("""COMPUTED_VALUE"""),164.46)</f>
        <v>164.46</v>
      </c>
      <c r="E919" s="2" t="n">
        <f aca="false">IFERROR(__xludf.dummyfunction("""COMPUTED_VALUE"""),164.68)</f>
        <v>164.68</v>
      </c>
      <c r="F919" s="2" t="n">
        <f aca="false">IFERROR(__xludf.dummyfunction("""COMPUTED_VALUE"""),11821941)</f>
        <v>11821941</v>
      </c>
    </row>
    <row r="920" customFormat="false" ht="15.75" hidden="false" customHeight="false" outlineLevel="0" collapsed="false">
      <c r="A920" s="3" t="n">
        <f aca="false">IFERROR(__xludf.dummyfunction("""COMPUTED_VALUE"""),45532.6666666667)</f>
        <v>45532.6666666667</v>
      </c>
      <c r="B920" s="2" t="n">
        <f aca="false">IFERROR(__xludf.dummyfunction("""COMPUTED_VALUE"""),165.04)</f>
        <v>165.04</v>
      </c>
      <c r="C920" s="2" t="n">
        <f aca="false">IFERROR(__xludf.dummyfunction("""COMPUTED_VALUE"""),165.6)</f>
        <v>165.6</v>
      </c>
      <c r="D920" s="2" t="n">
        <f aca="false">IFERROR(__xludf.dummyfunction("""COMPUTED_VALUE"""),161.53)</f>
        <v>161.53</v>
      </c>
      <c r="E920" s="2" t="n">
        <f aca="false">IFERROR(__xludf.dummyfunction("""COMPUTED_VALUE"""),162.85)</f>
        <v>162.85</v>
      </c>
      <c r="F920" s="2" t="n">
        <f aca="false">IFERROR(__xludf.dummyfunction("""COMPUTED_VALUE"""),16407444)</f>
        <v>16407444</v>
      </c>
    </row>
    <row r="921" customFormat="false" ht="15.75" hidden="false" customHeight="false" outlineLevel="0" collapsed="false">
      <c r="A921" s="3" t="n">
        <f aca="false">IFERROR(__xludf.dummyfunction("""COMPUTED_VALUE"""),45533.6666666667)</f>
        <v>45533.6666666667</v>
      </c>
      <c r="B921" s="2" t="n">
        <f aca="false">IFERROR(__xludf.dummyfunction("""COMPUTED_VALUE"""),164.31)</f>
        <v>164.31</v>
      </c>
      <c r="C921" s="2" t="n">
        <f aca="false">IFERROR(__xludf.dummyfunction("""COMPUTED_VALUE"""),165.97)</f>
        <v>165.97</v>
      </c>
      <c r="D921" s="2" t="n">
        <f aca="false">IFERROR(__xludf.dummyfunction("""COMPUTED_VALUE"""),160.25)</f>
        <v>160.25</v>
      </c>
      <c r="E921" s="2" t="n">
        <f aca="false">IFERROR(__xludf.dummyfunction("""COMPUTED_VALUE"""),161.78)</f>
        <v>161.78</v>
      </c>
      <c r="F921" s="2" t="n">
        <f aca="false">IFERROR(__xludf.dummyfunction("""COMPUTED_VALUE"""),19699767)</f>
        <v>19699767</v>
      </c>
    </row>
    <row r="922" customFormat="false" ht="15.75" hidden="false" customHeight="false" outlineLevel="0" collapsed="false">
      <c r="A922" s="3" t="n">
        <f aca="false">IFERROR(__xludf.dummyfunction("""COMPUTED_VALUE"""),45534.6666666667)</f>
        <v>45534.6666666667</v>
      </c>
      <c r="B922" s="2" t="n">
        <f aca="false">IFERROR(__xludf.dummyfunction("""COMPUTED_VALUE"""),162.62)</f>
        <v>162.62</v>
      </c>
      <c r="C922" s="2" t="n">
        <f aca="false">IFERROR(__xludf.dummyfunction("""COMPUTED_VALUE"""),163.66)</f>
        <v>163.66</v>
      </c>
      <c r="D922" s="2" t="n">
        <f aca="false">IFERROR(__xludf.dummyfunction("""COMPUTED_VALUE"""),161.69)</f>
        <v>161.69</v>
      </c>
      <c r="E922" s="2" t="n">
        <f aca="false">IFERROR(__xludf.dummyfunction("""COMPUTED_VALUE"""),163.38)</f>
        <v>163.38</v>
      </c>
      <c r="F922" s="2" t="n">
        <f aca="false">IFERROR(__xludf.dummyfunction("""COMPUTED_VALUE"""),22123811)</f>
        <v>22123811</v>
      </c>
    </row>
    <row r="923" customFormat="false" ht="15.75" hidden="false" customHeight="false" outlineLevel="0" collapsed="false">
      <c r="A923" s="3" t="n">
        <f aca="false">IFERROR(__xludf.dummyfunction("""COMPUTED_VALUE"""),45538.6666666667)</f>
        <v>45538.6666666667</v>
      </c>
      <c r="B923" s="2" t="n">
        <f aca="false">IFERROR(__xludf.dummyfunction("""COMPUTED_VALUE"""),161.72)</f>
        <v>161.72</v>
      </c>
      <c r="C923" s="2" t="n">
        <f aca="false">IFERROR(__xludf.dummyfunction("""COMPUTED_VALUE"""),161.85)</f>
        <v>161.85</v>
      </c>
      <c r="D923" s="2" t="n">
        <f aca="false">IFERROR(__xludf.dummyfunction("""COMPUTED_VALUE"""),156.48)</f>
        <v>156.48</v>
      </c>
      <c r="E923" s="2" t="n">
        <f aca="false">IFERROR(__xludf.dummyfunction("""COMPUTED_VALUE"""),157.36)</f>
        <v>157.36</v>
      </c>
      <c r="F923" s="2" t="n">
        <f aca="false">IFERROR(__xludf.dummyfunction("""COMPUTED_VALUE"""),38945301)</f>
        <v>38945301</v>
      </c>
    </row>
    <row r="924" customFormat="false" ht="15.75" hidden="false" customHeight="false" outlineLevel="0" collapsed="false">
      <c r="A924" s="3" t="n">
        <f aca="false">IFERROR(__xludf.dummyfunction("""COMPUTED_VALUE"""),45539.6666666667)</f>
        <v>45539.6666666667</v>
      </c>
      <c r="B924" s="2" t="n">
        <f aca="false">IFERROR(__xludf.dummyfunction("""COMPUTED_VALUE"""),156.66)</f>
        <v>156.66</v>
      </c>
      <c r="C924" s="2" t="n">
        <f aca="false">IFERROR(__xludf.dummyfunction("""COMPUTED_VALUE"""),159)</f>
        <v>159</v>
      </c>
      <c r="D924" s="2" t="n">
        <f aca="false">IFERROR(__xludf.dummyfunction("""COMPUTED_VALUE"""),155.96)</f>
        <v>155.96</v>
      </c>
      <c r="E924" s="2" t="n">
        <f aca="false">IFERROR(__xludf.dummyfunction("""COMPUTED_VALUE"""),156.45)</f>
        <v>156.45</v>
      </c>
      <c r="F924" s="2" t="n">
        <f aca="false">IFERROR(__xludf.dummyfunction("""COMPUTED_VALUE"""),19353759)</f>
        <v>19353759</v>
      </c>
    </row>
    <row r="925" customFormat="false" ht="15.75" hidden="false" customHeight="false" outlineLevel="0" collapsed="false">
      <c r="A925" s="3" t="n">
        <f aca="false">IFERROR(__xludf.dummyfunction("""COMPUTED_VALUE"""),45540.6666666667)</f>
        <v>45540.6666666667</v>
      </c>
      <c r="B925" s="2" t="n">
        <f aca="false">IFERROR(__xludf.dummyfunction("""COMPUTED_VALUE"""),156.3)</f>
        <v>156.3</v>
      </c>
      <c r="C925" s="2" t="n">
        <f aca="false">IFERROR(__xludf.dummyfunction("""COMPUTED_VALUE"""),159.45)</f>
        <v>159.45</v>
      </c>
      <c r="D925" s="2" t="n">
        <f aca="false">IFERROR(__xludf.dummyfunction("""COMPUTED_VALUE"""),155.98)</f>
        <v>155.98</v>
      </c>
      <c r="E925" s="2" t="n">
        <f aca="false">IFERROR(__xludf.dummyfunction("""COMPUTED_VALUE"""),157.24)</f>
        <v>157.24</v>
      </c>
      <c r="F925" s="2" t="n">
        <f aca="false">IFERROR(__xludf.dummyfunction("""COMPUTED_VALUE"""),18688747)</f>
        <v>18688747</v>
      </c>
    </row>
    <row r="926" customFormat="false" ht="15.75" hidden="false" customHeight="false" outlineLevel="0" collapsed="false">
      <c r="A926" s="3" t="n">
        <f aca="false">IFERROR(__xludf.dummyfunction("""COMPUTED_VALUE"""),45541.6666666667)</f>
        <v>45541.6666666667</v>
      </c>
      <c r="B926" s="2" t="n">
        <f aca="false">IFERROR(__xludf.dummyfunction("""COMPUTED_VALUE"""),157.3)</f>
        <v>157.3</v>
      </c>
      <c r="C926" s="2" t="n">
        <f aca="false">IFERROR(__xludf.dummyfunction("""COMPUTED_VALUE"""),157.83)</f>
        <v>157.83</v>
      </c>
      <c r="D926" s="2" t="n">
        <f aca="false">IFERROR(__xludf.dummyfunction("""COMPUTED_VALUE"""),150.55)</f>
        <v>150.55</v>
      </c>
      <c r="E926" s="2" t="n">
        <f aca="false">IFERROR(__xludf.dummyfunction("""COMPUTED_VALUE"""),150.92)</f>
        <v>150.92</v>
      </c>
      <c r="F926" s="2" t="n">
        <f aca="false">IFERROR(__xludf.dummyfunction("""COMPUTED_VALUE"""),37912130)</f>
        <v>37912130</v>
      </c>
    </row>
    <row r="927" customFormat="false" ht="15.75" hidden="false" customHeight="false" outlineLevel="0" collapsed="false">
      <c r="A927" s="3" t="n">
        <f aca="false">IFERROR(__xludf.dummyfunction("""COMPUTED_VALUE"""),45544.6666666667)</f>
        <v>45544.6666666667</v>
      </c>
      <c r="B927" s="2" t="n">
        <f aca="false">IFERROR(__xludf.dummyfunction("""COMPUTED_VALUE"""),152.51)</f>
        <v>152.51</v>
      </c>
      <c r="C927" s="2" t="n">
        <f aca="false">IFERROR(__xludf.dummyfunction("""COMPUTED_VALUE"""),153.4)</f>
        <v>153.4</v>
      </c>
      <c r="D927" s="2" t="n">
        <f aca="false">IFERROR(__xludf.dummyfunction("""COMPUTED_VALUE"""),147.22)</f>
        <v>147.22</v>
      </c>
      <c r="E927" s="2" t="n">
        <f aca="false">IFERROR(__xludf.dummyfunction("""COMPUTED_VALUE"""),148.71)</f>
        <v>148.71</v>
      </c>
      <c r="F927" s="2" t="n">
        <f aca="false">IFERROR(__xludf.dummyfunction("""COMPUTED_VALUE"""),39260451)</f>
        <v>39260451</v>
      </c>
    </row>
    <row r="928" customFormat="false" ht="15.75" hidden="false" customHeight="false" outlineLevel="0" collapsed="false">
      <c r="A928" s="3" t="n">
        <f aca="false">IFERROR(__xludf.dummyfunction("""COMPUTED_VALUE"""),45545.6666666667)</f>
        <v>45545.6666666667</v>
      </c>
      <c r="B928" s="2" t="n">
        <f aca="false">IFERROR(__xludf.dummyfunction("""COMPUTED_VALUE"""),150.45)</f>
        <v>150.45</v>
      </c>
      <c r="C928" s="2" t="n">
        <f aca="false">IFERROR(__xludf.dummyfunction("""COMPUTED_VALUE"""),151.27)</f>
        <v>151.27</v>
      </c>
      <c r="D928" s="2" t="n">
        <f aca="false">IFERROR(__xludf.dummyfunction("""COMPUTED_VALUE"""),148.34)</f>
        <v>148.34</v>
      </c>
      <c r="E928" s="2" t="n">
        <f aca="false">IFERROR(__xludf.dummyfunction("""COMPUTED_VALUE"""),148.66)</f>
        <v>148.66</v>
      </c>
      <c r="F928" s="2" t="n">
        <f aca="false">IFERROR(__xludf.dummyfunction("""COMPUTED_VALUE"""),31118765)</f>
        <v>31118765</v>
      </c>
    </row>
    <row r="929" customFormat="false" ht="15.75" hidden="false" customHeight="false" outlineLevel="0" collapsed="false">
      <c r="A929" s="3" t="n">
        <f aca="false">IFERROR(__xludf.dummyfunction("""COMPUTED_VALUE"""),45546.6666666667)</f>
        <v>45546.6666666667</v>
      </c>
      <c r="B929" s="2" t="n">
        <f aca="false">IFERROR(__xludf.dummyfunction("""COMPUTED_VALUE"""),149.92)</f>
        <v>149.92</v>
      </c>
      <c r="C929" s="2" t="n">
        <f aca="false">IFERROR(__xludf.dummyfunction("""COMPUTED_VALUE"""),151.5)</f>
        <v>151.5</v>
      </c>
      <c r="D929" s="2" t="n">
        <f aca="false">IFERROR(__xludf.dummyfunction("""COMPUTED_VALUE"""),147.52)</f>
        <v>147.52</v>
      </c>
      <c r="E929" s="2" t="n">
        <f aca="false">IFERROR(__xludf.dummyfunction("""COMPUTED_VALUE"""),151.16)</f>
        <v>151.16</v>
      </c>
      <c r="F929" s="2" t="n">
        <f aca="false">IFERROR(__xludf.dummyfunction("""COMPUTED_VALUE"""),29607693)</f>
        <v>29607693</v>
      </c>
    </row>
    <row r="930" customFormat="false" ht="15.75" hidden="false" customHeight="false" outlineLevel="0" collapsed="false">
      <c r="A930" s="3" t="n">
        <f aca="false">IFERROR(__xludf.dummyfunction("""COMPUTED_VALUE"""),45547.6666666667)</f>
        <v>45547.6666666667</v>
      </c>
      <c r="B930" s="2" t="n">
        <f aca="false">IFERROR(__xludf.dummyfunction("""COMPUTED_VALUE"""),153.8)</f>
        <v>153.8</v>
      </c>
      <c r="C930" s="2" t="n">
        <f aca="false">IFERROR(__xludf.dummyfunction("""COMPUTED_VALUE"""),154.82)</f>
        <v>154.82</v>
      </c>
      <c r="D930" s="2" t="n">
        <f aca="false">IFERROR(__xludf.dummyfunction("""COMPUTED_VALUE"""),152.65)</f>
        <v>152.65</v>
      </c>
      <c r="E930" s="2" t="n">
        <f aca="false">IFERROR(__xludf.dummyfunction("""COMPUTED_VALUE"""),154.69)</f>
        <v>154.69</v>
      </c>
      <c r="F930" s="2" t="n">
        <f aca="false">IFERROR(__xludf.dummyfunction("""COMPUTED_VALUE"""),29695048)</f>
        <v>29695048</v>
      </c>
    </row>
    <row r="931" customFormat="false" ht="15.75" hidden="false" customHeight="false" outlineLevel="0" collapsed="false">
      <c r="A931" s="3" t="n">
        <f aca="false">IFERROR(__xludf.dummyfunction("""COMPUTED_VALUE"""),45548.6666666667)</f>
        <v>45548.6666666667</v>
      </c>
      <c r="B931" s="2" t="n">
        <f aca="false">IFERROR(__xludf.dummyfunction("""COMPUTED_VALUE"""),155.43)</f>
        <v>155.43</v>
      </c>
      <c r="C931" s="2" t="n">
        <f aca="false">IFERROR(__xludf.dummyfunction("""COMPUTED_VALUE"""),158.38)</f>
        <v>158.38</v>
      </c>
      <c r="D931" s="2" t="n">
        <f aca="false">IFERROR(__xludf.dummyfunction("""COMPUTED_VALUE"""),155.21)</f>
        <v>155.21</v>
      </c>
      <c r="E931" s="2" t="n">
        <f aca="false">IFERROR(__xludf.dummyfunction("""COMPUTED_VALUE"""),157.46)</f>
        <v>157.46</v>
      </c>
      <c r="F931" s="2" t="n">
        <f aca="false">IFERROR(__xludf.dummyfunction("""COMPUTED_VALUE"""),29591152)</f>
        <v>29591152</v>
      </c>
    </row>
    <row r="932" customFormat="false" ht="15.75" hidden="false" customHeight="false" outlineLevel="0" collapsed="false">
      <c r="A932" s="3" t="n">
        <f aca="false">IFERROR(__xludf.dummyfunction("""COMPUTED_VALUE"""),45551.6666666667)</f>
        <v>45551.6666666667</v>
      </c>
      <c r="B932" s="2" t="n">
        <f aca="false">IFERROR(__xludf.dummyfunction("""COMPUTED_VALUE"""),157.31)</f>
        <v>157.31</v>
      </c>
      <c r="C932" s="2" t="n">
        <f aca="false">IFERROR(__xludf.dummyfunction("""COMPUTED_VALUE"""),158.25)</f>
        <v>158.25</v>
      </c>
      <c r="D932" s="2" t="n">
        <f aca="false">IFERROR(__xludf.dummyfunction("""COMPUTED_VALUE"""),156.6)</f>
        <v>156.6</v>
      </c>
      <c r="E932" s="2" t="n">
        <f aca="false">IFERROR(__xludf.dummyfunction("""COMPUTED_VALUE"""),158.06)</f>
        <v>158.06</v>
      </c>
      <c r="F932" s="2" t="n">
        <f aca="false">IFERROR(__xludf.dummyfunction("""COMPUTED_VALUE"""),18379775)</f>
        <v>18379775</v>
      </c>
    </row>
    <row r="933" customFormat="false" ht="15.75" hidden="false" customHeight="false" outlineLevel="0" collapsed="false">
      <c r="A933" s="3" t="n">
        <f aca="false">IFERROR(__xludf.dummyfunction("""COMPUTED_VALUE"""),45552.6666666667)</f>
        <v>45552.6666666667</v>
      </c>
      <c r="B933" s="2" t="n">
        <f aca="false">IFERROR(__xludf.dummyfunction("""COMPUTED_VALUE"""),159.02)</f>
        <v>159.02</v>
      </c>
      <c r="C933" s="2" t="n">
        <f aca="false">IFERROR(__xludf.dummyfunction("""COMPUTED_VALUE"""),160.55)</f>
        <v>160.55</v>
      </c>
      <c r="D933" s="2" t="n">
        <f aca="false">IFERROR(__xludf.dummyfunction("""COMPUTED_VALUE"""),158.38)</f>
        <v>158.38</v>
      </c>
      <c r="E933" s="2" t="n">
        <f aca="false">IFERROR(__xludf.dummyfunction("""COMPUTED_VALUE"""),159.32)</f>
        <v>159.32</v>
      </c>
      <c r="F933" s="2" t="n">
        <f aca="false">IFERROR(__xludf.dummyfunction("""COMPUTED_VALUE"""),20715612)</f>
        <v>20715612</v>
      </c>
    </row>
    <row r="934" customFormat="false" ht="15.75" hidden="false" customHeight="false" outlineLevel="0" collapsed="false">
      <c r="A934" s="3" t="n">
        <f aca="false">IFERROR(__xludf.dummyfunction("""COMPUTED_VALUE"""),45553.6666666667)</f>
        <v>45553.6666666667</v>
      </c>
      <c r="B934" s="2" t="n">
        <f aca="false">IFERROR(__xludf.dummyfunction("""COMPUTED_VALUE"""),159.86)</f>
        <v>159.86</v>
      </c>
      <c r="C934" s="2" t="n">
        <f aca="false">IFERROR(__xludf.dummyfunction("""COMPUTED_VALUE"""),160.5)</f>
        <v>160.5</v>
      </c>
      <c r="D934" s="2" t="n">
        <f aca="false">IFERROR(__xludf.dummyfunction("""COMPUTED_VALUE"""),158.6)</f>
        <v>158.6</v>
      </c>
      <c r="E934" s="2" t="n">
        <f aca="false">IFERROR(__xludf.dummyfunction("""COMPUTED_VALUE"""),159.81)</f>
        <v>159.81</v>
      </c>
      <c r="F934" s="2" t="n">
        <f aca="false">IFERROR(__xludf.dummyfunction("""COMPUTED_VALUE"""),23677315)</f>
        <v>23677315</v>
      </c>
    </row>
    <row r="935" customFormat="false" ht="15.75" hidden="false" customHeight="false" outlineLevel="0" collapsed="false">
      <c r="A935" s="3" t="n">
        <f aca="false">IFERROR(__xludf.dummyfunction("""COMPUTED_VALUE"""),45554.6666666667)</f>
        <v>45554.6666666667</v>
      </c>
      <c r="B935" s="2" t="n">
        <f aca="false">IFERROR(__xludf.dummyfunction("""COMPUTED_VALUE"""),163.71)</f>
        <v>163.71</v>
      </c>
      <c r="C935" s="2" t="n">
        <f aca="false">IFERROR(__xludf.dummyfunction("""COMPUTED_VALUE"""),163.79)</f>
        <v>163.79</v>
      </c>
      <c r="D935" s="2" t="n">
        <f aca="false">IFERROR(__xludf.dummyfunction("""COMPUTED_VALUE"""),161.34)</f>
        <v>161.34</v>
      </c>
      <c r="E935" s="2" t="n">
        <f aca="false">IFERROR(__xludf.dummyfunction("""COMPUTED_VALUE"""),162.14)</f>
        <v>162.14</v>
      </c>
      <c r="F935" s="2" t="n">
        <f aca="false">IFERROR(__xludf.dummyfunction("""COMPUTED_VALUE"""),26587733)</f>
        <v>26587733</v>
      </c>
    </row>
    <row r="936" customFormat="false" ht="15.75" hidden="false" customHeight="false" outlineLevel="0" collapsed="false">
      <c r="A936" s="3" t="n">
        <f aca="false">IFERROR(__xludf.dummyfunction("""COMPUTED_VALUE"""),45555.6666666667)</f>
        <v>45555.6666666667</v>
      </c>
      <c r="B936" s="2" t="n">
        <f aca="false">IFERROR(__xludf.dummyfunction("""COMPUTED_VALUE"""),163.5)</f>
        <v>163.5</v>
      </c>
      <c r="C936" s="2" t="n">
        <f aca="false">IFERROR(__xludf.dummyfunction("""COMPUTED_VALUE"""),163.73)</f>
        <v>163.73</v>
      </c>
      <c r="D936" s="2" t="n">
        <f aca="false">IFERROR(__xludf.dummyfunction("""COMPUTED_VALUE"""),162.06)</f>
        <v>162.06</v>
      </c>
      <c r="E936" s="2" t="n">
        <f aca="false">IFERROR(__xludf.dummyfunction("""COMPUTED_VALUE"""),163.59)</f>
        <v>163.59</v>
      </c>
      <c r="F936" s="2" t="n">
        <f aca="false">IFERROR(__xludf.dummyfunction("""COMPUTED_VALUE"""),40896438)</f>
        <v>40896438</v>
      </c>
    </row>
    <row r="937" customFormat="false" ht="15.75" hidden="false" customHeight="false" outlineLevel="0" collapsed="false">
      <c r="A937" s="3" t="n">
        <f aca="false">IFERROR(__xludf.dummyfunction("""COMPUTED_VALUE"""),45558.6666666667)</f>
        <v>45558.6666666667</v>
      </c>
      <c r="B937" s="2" t="n">
        <f aca="false">IFERROR(__xludf.dummyfunction("""COMPUTED_VALUE"""),164.35)</f>
        <v>164.35</v>
      </c>
      <c r="C937" s="2" t="n">
        <f aca="false">IFERROR(__xludf.dummyfunction("""COMPUTED_VALUE"""),165.49)</f>
        <v>165.49</v>
      </c>
      <c r="D937" s="2" t="n">
        <f aca="false">IFERROR(__xludf.dummyfunction("""COMPUTED_VALUE"""),161.67)</f>
        <v>161.67</v>
      </c>
      <c r="E937" s="2" t="n">
        <f aca="false">IFERROR(__xludf.dummyfunction("""COMPUTED_VALUE"""),161.85)</f>
        <v>161.85</v>
      </c>
      <c r="F937" s="2" t="n">
        <f aca="false">IFERROR(__xludf.dummyfunction("""COMPUTED_VALUE"""),24150852)</f>
        <v>24150852</v>
      </c>
    </row>
    <row r="938" customFormat="false" ht="15.75" hidden="false" customHeight="false" outlineLevel="0" collapsed="false">
      <c r="A938" s="3" t="n">
        <f aca="false">IFERROR(__xludf.dummyfunction("""COMPUTED_VALUE"""),45559.6666666667)</f>
        <v>45559.6666666667</v>
      </c>
      <c r="B938" s="2" t="n">
        <f aca="false">IFERROR(__xludf.dummyfunction("""COMPUTED_VALUE"""),163.03)</f>
        <v>163.03</v>
      </c>
      <c r="C938" s="2" t="n">
        <f aca="false">IFERROR(__xludf.dummyfunction("""COMPUTED_VALUE"""),163.22)</f>
        <v>163.22</v>
      </c>
      <c r="D938" s="2" t="n">
        <f aca="false">IFERROR(__xludf.dummyfunction("""COMPUTED_VALUE"""),160.69)</f>
        <v>160.69</v>
      </c>
      <c r="E938" s="2" t="n">
        <f aca="false">IFERROR(__xludf.dummyfunction("""COMPUTED_VALUE"""),162.29)</f>
        <v>162.29</v>
      </c>
      <c r="F938" s="2" t="n">
        <f aca="false">IFERROR(__xludf.dummyfunction("""COMPUTED_VALUE"""),23332147)</f>
        <v>23332147</v>
      </c>
    </row>
    <row r="939" customFormat="false" ht="15.75" hidden="false" customHeight="false" outlineLevel="0" collapsed="false">
      <c r="A939" s="3" t="n">
        <f aca="false">IFERROR(__xludf.dummyfunction("""COMPUTED_VALUE"""),45560.6666666667)</f>
        <v>45560.6666666667</v>
      </c>
      <c r="B939" s="2" t="n">
        <f aca="false">IFERROR(__xludf.dummyfunction("""COMPUTED_VALUE"""),161.47)</f>
        <v>161.47</v>
      </c>
      <c r="C939" s="2" t="n">
        <f aca="false">IFERROR(__xludf.dummyfunction("""COMPUTED_VALUE"""),162.81)</f>
        <v>162.81</v>
      </c>
      <c r="D939" s="2" t="n">
        <f aca="false">IFERROR(__xludf.dummyfunction("""COMPUTED_VALUE"""),161.3)</f>
        <v>161.3</v>
      </c>
      <c r="E939" s="2" t="n">
        <f aca="false">IFERROR(__xludf.dummyfunction("""COMPUTED_VALUE"""),161.49)</f>
        <v>161.49</v>
      </c>
      <c r="F939" s="2" t="n">
        <f aca="false">IFERROR(__xludf.dummyfunction("""COMPUTED_VALUE"""),18869199)</f>
        <v>18869199</v>
      </c>
    </row>
    <row r="940" customFormat="false" ht="15.75" hidden="false" customHeight="false" outlineLevel="0" collapsed="false">
      <c r="A940" s="3" t="n">
        <f aca="false">IFERROR(__xludf.dummyfunction("""COMPUTED_VALUE"""),45561.6666666667)</f>
        <v>45561.6666666667</v>
      </c>
      <c r="B940" s="2" t="n">
        <f aca="false">IFERROR(__xludf.dummyfunction("""COMPUTED_VALUE"""),163.64)</f>
        <v>163.64</v>
      </c>
      <c r="C940" s="2" t="n">
        <f aca="false">IFERROR(__xludf.dummyfunction("""COMPUTED_VALUE"""),164.08)</f>
        <v>164.08</v>
      </c>
      <c r="D940" s="2" t="n">
        <f aca="false">IFERROR(__xludf.dummyfunction("""COMPUTED_VALUE"""),162.28)</f>
        <v>162.28</v>
      </c>
      <c r="E940" s="2" t="n">
        <f aca="false">IFERROR(__xludf.dummyfunction("""COMPUTED_VALUE"""),162.73)</f>
        <v>162.73</v>
      </c>
      <c r="F940" s="2" t="n">
        <f aca="false">IFERROR(__xludf.dummyfunction("""COMPUTED_VALUE"""),20319336)</f>
        <v>20319336</v>
      </c>
    </row>
    <row r="941" customFormat="false" ht="15.75" hidden="false" customHeight="false" outlineLevel="0" collapsed="false">
      <c r="A941" s="3" t="n">
        <f aca="false">IFERROR(__xludf.dummyfunction("""COMPUTED_VALUE"""),45562.6666666667)</f>
        <v>45562.6666666667</v>
      </c>
      <c r="B941" s="2" t="n">
        <f aca="false">IFERROR(__xludf.dummyfunction("""COMPUTED_VALUE"""),162.81)</f>
        <v>162.81</v>
      </c>
      <c r="C941" s="2" t="n">
        <f aca="false">IFERROR(__xludf.dummyfunction("""COMPUTED_VALUE"""),165.7)</f>
        <v>165.7</v>
      </c>
      <c r="D941" s="2" t="n">
        <f aca="false">IFERROR(__xludf.dummyfunction("""COMPUTED_VALUE"""),162.63)</f>
        <v>162.63</v>
      </c>
      <c r="E941" s="2" t="n">
        <f aca="false">IFERROR(__xludf.dummyfunction("""COMPUTED_VALUE"""),163.95)</f>
        <v>163.95</v>
      </c>
      <c r="F941" s="2" t="n">
        <f aca="false">IFERROR(__xludf.dummyfunction("""COMPUTED_VALUE"""),21101307)</f>
        <v>21101307</v>
      </c>
    </row>
    <row r="942" customFormat="false" ht="15.75" hidden="false" customHeight="false" outlineLevel="0" collapsed="false">
      <c r="A942" s="3" t="n">
        <f aca="false">IFERROR(__xludf.dummyfunction("""COMPUTED_VALUE"""),45565.6666666667)</f>
        <v>45565.6666666667</v>
      </c>
      <c r="B942" s="2" t="n">
        <f aca="false">IFERROR(__xludf.dummyfunction("""COMPUTED_VALUE"""),163.32)</f>
        <v>163.32</v>
      </c>
      <c r="C942" s="2" t="n">
        <f aca="false">IFERROR(__xludf.dummyfunction("""COMPUTED_VALUE"""),166.15)</f>
        <v>166.15</v>
      </c>
      <c r="D942" s="2" t="n">
        <f aca="false">IFERROR(__xludf.dummyfunction("""COMPUTED_VALUE"""),163.26)</f>
        <v>163.26</v>
      </c>
      <c r="E942" s="2" t="n">
        <f aca="false">IFERROR(__xludf.dummyfunction("""COMPUTED_VALUE"""),165.85)</f>
        <v>165.85</v>
      </c>
      <c r="F942" s="2" t="n">
        <f aca="false">IFERROR(__xludf.dummyfunction("""COMPUTED_VALUE"""),20481303)</f>
        <v>20481303</v>
      </c>
    </row>
    <row r="943" customFormat="false" ht="15.75" hidden="false" customHeight="false" outlineLevel="0" collapsed="false">
      <c r="A943" s="3" t="n">
        <f aca="false">IFERROR(__xludf.dummyfunction("""COMPUTED_VALUE"""),45566.6666666667)</f>
        <v>45566.6666666667</v>
      </c>
      <c r="B943" s="2" t="n">
        <f aca="false">IFERROR(__xludf.dummyfunction("""COMPUTED_VALUE"""),167.69)</f>
        <v>167.69</v>
      </c>
      <c r="C943" s="2" t="n">
        <f aca="false">IFERROR(__xludf.dummyfunction("""COMPUTED_VALUE"""),169.16)</f>
        <v>169.16</v>
      </c>
      <c r="D943" s="2" t="n">
        <f aca="false">IFERROR(__xludf.dummyfunction("""COMPUTED_VALUE"""),164.58)</f>
        <v>164.58</v>
      </c>
      <c r="E943" s="2" t="n">
        <f aca="false">IFERROR(__xludf.dummyfunction("""COMPUTED_VALUE"""),166.99)</f>
        <v>166.99</v>
      </c>
      <c r="F943" s="2" t="n">
        <f aca="false">IFERROR(__xludf.dummyfunction("""COMPUTED_VALUE"""),28338123)</f>
        <v>28338123</v>
      </c>
    </row>
    <row r="944" customFormat="false" ht="15.75" hidden="false" customHeight="false" outlineLevel="0" collapsed="false">
      <c r="A944" s="3" t="n">
        <f aca="false">IFERROR(__xludf.dummyfunction("""COMPUTED_VALUE"""),45567.6666666667)</f>
        <v>45567.6666666667</v>
      </c>
      <c r="B944" s="2" t="n">
        <f aca="false">IFERROR(__xludf.dummyfunction("""COMPUTED_VALUE"""),166.42)</f>
        <v>166.42</v>
      </c>
      <c r="C944" s="2" t="n">
        <f aca="false">IFERROR(__xludf.dummyfunction("""COMPUTED_VALUE"""),167.52)</f>
        <v>167.52</v>
      </c>
      <c r="D944" s="2" t="n">
        <f aca="false">IFERROR(__xludf.dummyfunction("""COMPUTED_VALUE"""),164.73)</f>
        <v>164.73</v>
      </c>
      <c r="E944" s="2" t="n">
        <f aca="false">IFERROR(__xludf.dummyfunction("""COMPUTED_VALUE"""),165.86)</f>
        <v>165.86</v>
      </c>
      <c r="F944" s="2" t="n">
        <f aca="false">IFERROR(__xludf.dummyfunction("""COMPUTED_VALUE"""),17760179)</f>
        <v>17760179</v>
      </c>
    </row>
    <row r="945" customFormat="false" ht="15.75" hidden="false" customHeight="false" outlineLevel="0" collapsed="false">
      <c r="A945" s="3" t="n">
        <f aca="false">IFERROR(__xludf.dummyfunction("""COMPUTED_VALUE"""),45568.6666666667)</f>
        <v>45568.6666666667</v>
      </c>
      <c r="B945" s="2" t="n">
        <f aca="false">IFERROR(__xludf.dummyfunction("""COMPUTED_VALUE"""),164.41)</f>
        <v>164.41</v>
      </c>
      <c r="C945" s="2" t="n">
        <f aca="false">IFERROR(__xludf.dummyfunction("""COMPUTED_VALUE"""),166.64)</f>
        <v>166.64</v>
      </c>
      <c r="D945" s="2" t="n">
        <f aca="false">IFERROR(__xludf.dummyfunction("""COMPUTED_VALUE"""),163.92)</f>
        <v>163.92</v>
      </c>
      <c r="E945" s="2" t="n">
        <f aca="false">IFERROR(__xludf.dummyfunction("""COMPUTED_VALUE"""),165.86)</f>
        <v>165.86</v>
      </c>
      <c r="F945" s="2" t="n">
        <f aca="false">IFERROR(__xludf.dummyfunction("""COMPUTED_VALUE"""),15073101)</f>
        <v>15073101</v>
      </c>
    </row>
    <row r="946" customFormat="false" ht="15.75" hidden="false" customHeight="false" outlineLevel="0" collapsed="false">
      <c r="A946" s="3" t="n">
        <f aca="false">IFERROR(__xludf.dummyfunction("""COMPUTED_VALUE"""),45569.6666666667)</f>
        <v>45569.6666666667</v>
      </c>
      <c r="B946" s="2" t="n">
        <f aca="false">IFERROR(__xludf.dummyfunction("""COMPUTED_VALUE"""),168.06)</f>
        <v>168.06</v>
      </c>
      <c r="C946" s="2" t="n">
        <f aca="false">IFERROR(__xludf.dummyfunction("""COMPUTED_VALUE"""),168.23)</f>
        <v>168.23</v>
      </c>
      <c r="D946" s="2" t="n">
        <f aca="false">IFERROR(__xludf.dummyfunction("""COMPUTED_VALUE"""),165.48)</f>
        <v>165.48</v>
      </c>
      <c r="E946" s="2" t="n">
        <f aca="false">IFERROR(__xludf.dummyfunction("""COMPUTED_VALUE"""),167.06)</f>
        <v>167.06</v>
      </c>
      <c r="F946" s="2" t="n">
        <f aca="false">IFERROR(__xludf.dummyfunction("""COMPUTED_VALUE"""),19093724)</f>
        <v>19093724</v>
      </c>
    </row>
    <row r="947" customFormat="false" ht="15.75" hidden="false" customHeight="false" outlineLevel="0" collapsed="false">
      <c r="A947" s="3" t="n">
        <f aca="false">IFERROR(__xludf.dummyfunction("""COMPUTED_VALUE"""),45572.6666666667)</f>
        <v>45572.6666666667</v>
      </c>
      <c r="B947" s="2" t="n">
        <f aca="false">IFERROR(__xludf.dummyfunction("""COMPUTED_VALUE"""),167.72)</f>
        <v>167.72</v>
      </c>
      <c r="C947" s="2" t="n">
        <f aca="false">IFERROR(__xludf.dummyfunction("""COMPUTED_VALUE"""),168.48)</f>
        <v>168.48</v>
      </c>
      <c r="D947" s="2" t="n">
        <f aca="false">IFERROR(__xludf.dummyfunction("""COMPUTED_VALUE"""),162.75)</f>
        <v>162.75</v>
      </c>
      <c r="E947" s="2" t="n">
        <f aca="false">IFERROR(__xludf.dummyfunction("""COMPUTED_VALUE"""),162.98)</f>
        <v>162.98</v>
      </c>
      <c r="F947" s="2" t="n">
        <f aca="false">IFERROR(__xludf.dummyfunction("""COMPUTED_VALUE"""),22463140)</f>
        <v>22463140</v>
      </c>
    </row>
    <row r="948" customFormat="false" ht="15.75" hidden="false" customHeight="false" outlineLevel="0" collapsed="false">
      <c r="A948" s="3" t="n">
        <f aca="false">IFERROR(__xludf.dummyfunction("""COMPUTED_VALUE"""),45573.6666666667)</f>
        <v>45573.6666666667</v>
      </c>
      <c r="B948" s="2" t="n">
        <f aca="false">IFERROR(__xludf.dummyfunction("""COMPUTED_VALUE"""),163.94)</f>
        <v>163.94</v>
      </c>
      <c r="C948" s="2" t="n">
        <f aca="false">IFERROR(__xludf.dummyfunction("""COMPUTED_VALUE"""),164.73)</f>
        <v>164.73</v>
      </c>
      <c r="D948" s="2" t="n">
        <f aca="false">IFERROR(__xludf.dummyfunction("""COMPUTED_VALUE"""),162.87)</f>
        <v>162.87</v>
      </c>
      <c r="E948" s="2" t="n">
        <f aca="false">IFERROR(__xludf.dummyfunction("""COMPUTED_VALUE"""),164.38)</f>
        <v>164.38</v>
      </c>
      <c r="F948" s="2" t="n">
        <f aca="false">IFERROR(__xludf.dummyfunction("""COMPUTED_VALUE"""),23072733)</f>
        <v>23072733</v>
      </c>
    </row>
    <row r="949" customFormat="false" ht="15.75" hidden="false" customHeight="false" outlineLevel="0" collapsed="false">
      <c r="A949" s="3" t="n">
        <f aca="false">IFERROR(__xludf.dummyfunction("""COMPUTED_VALUE"""),45574.6666666667)</f>
        <v>45574.6666666667</v>
      </c>
      <c r="B949" s="2" t="n">
        <f aca="false">IFERROR(__xludf.dummyfunction("""COMPUTED_VALUE"""),163.45)</f>
        <v>163.45</v>
      </c>
      <c r="C949" s="2" t="n">
        <f aca="false">IFERROR(__xludf.dummyfunction("""COMPUTED_VALUE"""),164.84)</f>
        <v>164.84</v>
      </c>
      <c r="D949" s="2" t="n">
        <f aca="false">IFERROR(__xludf.dummyfunction("""COMPUTED_VALUE"""),159.74)</f>
        <v>159.74</v>
      </c>
      <c r="E949" s="2" t="n">
        <f aca="false">IFERROR(__xludf.dummyfunction("""COMPUTED_VALUE"""),161.86)</f>
        <v>161.86</v>
      </c>
      <c r="F949" s="2" t="n">
        <f aca="false">IFERROR(__xludf.dummyfunction("""COMPUTED_VALUE"""),31181774)</f>
        <v>31181774</v>
      </c>
    </row>
    <row r="950" customFormat="false" ht="15.75" hidden="false" customHeight="false" outlineLevel="0" collapsed="false">
      <c r="A950" s="3" t="n">
        <f aca="false">IFERROR(__xludf.dummyfunction("""COMPUTED_VALUE"""),45575.6666666667)</f>
        <v>45575.6666666667</v>
      </c>
      <c r="B950" s="2" t="n">
        <f aca="false">IFERROR(__xludf.dummyfunction("""COMPUTED_VALUE"""),160.87)</f>
        <v>160.87</v>
      </c>
      <c r="C950" s="2" t="n">
        <f aca="false">IFERROR(__xludf.dummyfunction("""COMPUTED_VALUE"""),163.07)</f>
        <v>163.07</v>
      </c>
      <c r="D950" s="2" t="n">
        <f aca="false">IFERROR(__xludf.dummyfunction("""COMPUTED_VALUE"""),160.4)</f>
        <v>160.4</v>
      </c>
      <c r="E950" s="2" t="n">
        <f aca="false">IFERROR(__xludf.dummyfunction("""COMPUTED_VALUE"""),162.08)</f>
        <v>162.08</v>
      </c>
      <c r="F950" s="2" t="n">
        <f aca="false">IFERROR(__xludf.dummyfunction("""COMPUTED_VALUE"""),14144068)</f>
        <v>14144068</v>
      </c>
    </row>
    <row r="951" customFormat="false" ht="15.75" hidden="false" customHeight="false" outlineLevel="0" collapsed="false">
      <c r="A951" s="3" t="n">
        <f aca="false">IFERROR(__xludf.dummyfunction("""COMPUTED_VALUE"""),45576.6666666667)</f>
        <v>45576.6666666667</v>
      </c>
      <c r="B951" s="2" t="n">
        <f aca="false">IFERROR(__xludf.dummyfunction("""COMPUTED_VALUE"""),162.13)</f>
        <v>162.13</v>
      </c>
      <c r="C951" s="2" t="n">
        <f aca="false">IFERROR(__xludf.dummyfunction("""COMPUTED_VALUE"""),163.9)</f>
        <v>163.9</v>
      </c>
      <c r="D951" s="2" t="n">
        <f aca="false">IFERROR(__xludf.dummyfunction("""COMPUTED_VALUE"""),161.24)</f>
        <v>161.24</v>
      </c>
      <c r="E951" s="2" t="n">
        <f aca="false">IFERROR(__xludf.dummyfunction("""COMPUTED_VALUE"""),163.24)</f>
        <v>163.24</v>
      </c>
      <c r="F951" s="2" t="n">
        <f aca="false">IFERROR(__xludf.dummyfunction("""COMPUTED_VALUE"""),15344251)</f>
        <v>15344251</v>
      </c>
    </row>
    <row r="952" customFormat="false" ht="15.75" hidden="false" customHeight="false" outlineLevel="0" collapsed="false">
      <c r="A952" s="3" t="n">
        <f aca="false">IFERROR(__xludf.dummyfunction("""COMPUTED_VALUE"""),45579.6666666667)</f>
        <v>45579.6666666667</v>
      </c>
      <c r="B952" s="2" t="n">
        <f aca="false">IFERROR(__xludf.dummyfunction("""COMPUTED_VALUE"""),163.64)</f>
        <v>163.64</v>
      </c>
      <c r="C952" s="2" t="n">
        <f aca="false">IFERROR(__xludf.dummyfunction("""COMPUTED_VALUE"""),166.23)</f>
        <v>166.23</v>
      </c>
      <c r="D952" s="2" t="n">
        <f aca="false">IFERROR(__xludf.dummyfunction("""COMPUTED_VALUE"""),163.4)</f>
        <v>163.4</v>
      </c>
      <c r="E952" s="2" t="n">
        <f aca="false">IFERROR(__xludf.dummyfunction("""COMPUTED_VALUE"""),164.96)</f>
        <v>164.96</v>
      </c>
      <c r="F952" s="2" t="n">
        <f aca="false">IFERROR(__xludf.dummyfunction("""COMPUTED_VALUE"""),19016141)</f>
        <v>19016141</v>
      </c>
    </row>
    <row r="953" customFormat="false" ht="15.75" hidden="false" customHeight="false" outlineLevel="0" collapsed="false">
      <c r="A953" s="3" t="n">
        <f aca="false">IFERROR(__xludf.dummyfunction("""COMPUTED_VALUE"""),45580.6666666667)</f>
        <v>45580.6666666667</v>
      </c>
      <c r="B953" s="2" t="n">
        <f aca="false">IFERROR(__xludf.dummyfunction("""COMPUTED_VALUE"""),163.64)</f>
        <v>163.64</v>
      </c>
      <c r="C953" s="2" t="n">
        <f aca="false">IFERROR(__xludf.dummyfunction("""COMPUTED_VALUE"""),166.23)</f>
        <v>166.23</v>
      </c>
      <c r="D953" s="2" t="n">
        <f aca="false">IFERROR(__xludf.dummyfunction("""COMPUTED_VALUE"""),163.4)</f>
        <v>163.4</v>
      </c>
      <c r="E953" s="2" t="n">
        <f aca="false">IFERROR(__xludf.dummyfunction("""COMPUTED_VALUE"""),164.96)</f>
        <v>164.96</v>
      </c>
      <c r="F953" s="2" t="n">
        <f aca="false">IFERROR(__xludf.dummyfunction("""COMPUTED_VALUE"""),235341)</f>
        <v>235341</v>
      </c>
    </row>
    <row r="954" customFormat="false" ht="15.75" hidden="false" customHeight="false" outlineLevel="0" collapsed="false">
      <c r="A954" s="3" t="n">
        <f aca="false">IFERROR(__xludf.dummyfunction("""COMPUTED_VALUE"""),45581.6666666667)</f>
        <v>45581.6666666667</v>
      </c>
      <c r="B954" s="2" t="n">
        <f aca="false">IFERROR(__xludf.dummyfunction("""COMPUTED_VALUE"""),164.53)</f>
        <v>164.53</v>
      </c>
      <c r="C954" s="2" t="n">
        <f aca="false">IFERROR(__xludf.dummyfunction("""COMPUTED_VALUE"""),165.8)</f>
        <v>165.8</v>
      </c>
      <c r="D954" s="2" t="n">
        <f aca="false">IFERROR(__xludf.dummyfunction("""COMPUTED_VALUE"""),163.74)</f>
        <v>163.74</v>
      </c>
      <c r="E954" s="2" t="n">
        <f aca="false">IFERROR(__xludf.dummyfunction("""COMPUTED_VALUE"""),165.16)</f>
        <v>165.16</v>
      </c>
      <c r="F954" s="2" t="n">
        <f aca="false">IFERROR(__xludf.dummyfunction("""COMPUTED_VALUE"""),16406030)</f>
        <v>16406030</v>
      </c>
    </row>
    <row r="955" customFormat="false" ht="15.75" hidden="false" customHeight="false" outlineLevel="0" collapsed="false">
      <c r="A955" s="3" t="n">
        <f aca="false">IFERROR(__xludf.dummyfunction("""COMPUTED_VALUE"""),45582.6666666667)</f>
        <v>45582.6666666667</v>
      </c>
      <c r="B955" s="2" t="n">
        <f aca="false">IFERROR(__xludf.dummyfunction("""COMPUTED_VALUE"""),165.73)</f>
        <v>165.73</v>
      </c>
      <c r="C955" s="2" t="n">
        <f aca="false">IFERROR(__xludf.dummyfunction("""COMPUTED_VALUE"""),166.37)</f>
        <v>166.37</v>
      </c>
      <c r="D955" s="2" t="n">
        <f aca="false">IFERROR(__xludf.dummyfunction("""COMPUTED_VALUE"""),162.76)</f>
        <v>162.76</v>
      </c>
      <c r="E955" s="2" t="n">
        <f aca="false">IFERROR(__xludf.dummyfunction("""COMPUTED_VALUE"""),162.93)</f>
        <v>162.93</v>
      </c>
      <c r="F955" s="2" t="n">
        <f aca="false">IFERROR(__xludf.dummyfunction("""COMPUTED_VALUE"""),21453395)</f>
        <v>21453395</v>
      </c>
    </row>
    <row r="956" customFormat="false" ht="15.75" hidden="false" customHeight="false" outlineLevel="0" collapsed="false">
      <c r="A956" s="3" t="n">
        <f aca="false">IFERROR(__xludf.dummyfunction("""COMPUTED_VALUE"""),45583.6666666667)</f>
        <v>45583.6666666667</v>
      </c>
      <c r="B956" s="2" t="n">
        <f aca="false">IFERROR(__xludf.dummyfunction("""COMPUTED_VALUE"""),163.19)</f>
        <v>163.19</v>
      </c>
      <c r="C956" s="2" t="n">
        <f aca="false">IFERROR(__xludf.dummyfunction("""COMPUTED_VALUE"""),164.71)</f>
        <v>164.71</v>
      </c>
      <c r="D956" s="2" t="n">
        <f aca="false">IFERROR(__xludf.dummyfunction("""COMPUTED_VALUE"""),163.08)</f>
        <v>163.08</v>
      </c>
      <c r="E956" s="2" t="n">
        <f aca="false">IFERROR(__xludf.dummyfunction("""COMPUTED_VALUE"""),163.42)</f>
        <v>163.42</v>
      </c>
      <c r="F956" s="2" t="n">
        <f aca="false">IFERROR(__xludf.dummyfunction("""COMPUTED_VALUE"""),19757661)</f>
        <v>19757661</v>
      </c>
    </row>
    <row r="957" customFormat="false" ht="15.75" hidden="false" customHeight="false" outlineLevel="0" collapsed="false">
      <c r="A957" s="3" t="n">
        <f aca="false">IFERROR(__xludf.dummyfunction("""COMPUTED_VALUE"""),45586.6666666667)</f>
        <v>45586.6666666667</v>
      </c>
      <c r="B957" s="2" t="n">
        <f aca="false">IFERROR(__xludf.dummyfunction("""COMPUTED_VALUE"""),162.95)</f>
        <v>162.95</v>
      </c>
      <c r="C957" s="2" t="n">
        <f aca="false">IFERROR(__xludf.dummyfunction("""COMPUTED_VALUE"""),164.5)</f>
        <v>164.5</v>
      </c>
      <c r="D957" s="2" t="n">
        <f aca="false">IFERROR(__xludf.dummyfunction("""COMPUTED_VALUE"""),162.62)</f>
        <v>162.62</v>
      </c>
      <c r="E957" s="2" t="n">
        <f aca="false">IFERROR(__xludf.dummyfunction("""COMPUTED_VALUE"""),164.07)</f>
        <v>164.07</v>
      </c>
      <c r="F957" s="2" t="n">
        <f aca="false">IFERROR(__xludf.dummyfunction("""COMPUTED_VALUE"""),20946455)</f>
        <v>20946455</v>
      </c>
    </row>
    <row r="958" customFormat="false" ht="15.75" hidden="false" customHeight="false" outlineLevel="0" collapsed="false">
      <c r="A958" s="3" t="n">
        <f aca="false">IFERROR(__xludf.dummyfunction("""COMPUTED_VALUE"""),45587.6666666667)</f>
        <v>45587.6666666667</v>
      </c>
      <c r="B958" s="2" t="n">
        <f aca="false">IFERROR(__xludf.dummyfunction("""COMPUTED_VALUE"""),162.98)</f>
        <v>162.98</v>
      </c>
      <c r="C958" s="2" t="n">
        <f aca="false">IFERROR(__xludf.dummyfunction("""COMPUTED_VALUE"""),165.77)</f>
        <v>165.77</v>
      </c>
      <c r="D958" s="2" t="n">
        <f aca="false">IFERROR(__xludf.dummyfunction("""COMPUTED_VALUE"""),162.98)</f>
        <v>162.98</v>
      </c>
      <c r="E958" s="2" t="n">
        <f aca="false">IFERROR(__xludf.dummyfunction("""COMPUTED_VALUE"""),165.14)</f>
        <v>165.14</v>
      </c>
      <c r="F958" s="2" t="n">
        <f aca="false">IFERROR(__xludf.dummyfunction("""COMPUTED_VALUE"""),16568121)</f>
        <v>16568121</v>
      </c>
    </row>
    <row r="959" customFormat="false" ht="15.75" hidden="false" customHeight="false" outlineLevel="0" collapsed="false">
      <c r="A959" s="3" t="n">
        <f aca="false">IFERROR(__xludf.dummyfunction("""COMPUTED_VALUE"""),45588.6666666667)</f>
        <v>45588.6666666667</v>
      </c>
      <c r="B959" s="2" t="n">
        <f aca="false">IFERROR(__xludf.dummyfunction("""COMPUTED_VALUE"""),164.76)</f>
        <v>164.76</v>
      </c>
      <c r="C959" s="2" t="n">
        <f aca="false">IFERROR(__xludf.dummyfunction("""COMPUTED_VALUE"""),165.82)</f>
        <v>165.82</v>
      </c>
      <c r="D959" s="2" t="n">
        <f aca="false">IFERROR(__xludf.dummyfunction("""COMPUTED_VALUE"""),161.93)</f>
        <v>161.93</v>
      </c>
      <c r="E959" s="2" t="n">
        <f aca="false">IFERROR(__xludf.dummyfunction("""COMPUTED_VALUE"""),162.78)</f>
        <v>162.78</v>
      </c>
      <c r="F959" s="2" t="n">
        <f aca="false">IFERROR(__xludf.dummyfunction("""COMPUTED_VALUE"""),18280518)</f>
        <v>18280518</v>
      </c>
    </row>
    <row r="960" customFormat="false" ht="15.75" hidden="false" customHeight="false" outlineLevel="0" collapsed="false">
      <c r="A960" s="3" t="n">
        <f aca="false">IFERROR(__xludf.dummyfunction("""COMPUTED_VALUE"""),45589.6666666667)</f>
        <v>45589.6666666667</v>
      </c>
      <c r="B960" s="2" t="n">
        <f aca="false">IFERROR(__xludf.dummyfunction("""COMPUTED_VALUE"""),162.83)</f>
        <v>162.83</v>
      </c>
      <c r="C960" s="2" t="n">
        <f aca="false">IFERROR(__xludf.dummyfunction("""COMPUTED_VALUE"""),163.33)</f>
        <v>163.33</v>
      </c>
      <c r="D960" s="2" t="n">
        <f aca="false">IFERROR(__xludf.dummyfunction("""COMPUTED_VALUE"""),161.01)</f>
        <v>161.01</v>
      </c>
      <c r="E960" s="2" t="n">
        <f aca="false">IFERROR(__xludf.dummyfunction("""COMPUTED_VALUE"""),162.72)</f>
        <v>162.72</v>
      </c>
      <c r="F960" s="2" t="n">
        <f aca="false">IFERROR(__xludf.dummyfunction("""COMPUTED_VALUE"""),22412527)</f>
        <v>22412527</v>
      </c>
    </row>
    <row r="961" customFormat="false" ht="15.75" hidden="false" customHeight="false" outlineLevel="0" collapsed="false">
      <c r="A961" s="3" t="n">
        <f aca="false">IFERROR(__xludf.dummyfunction("""COMPUTED_VALUE"""),45590.6666666667)</f>
        <v>45590.6666666667</v>
      </c>
      <c r="B961" s="2" t="n">
        <f aca="false">IFERROR(__xludf.dummyfunction("""COMPUTED_VALUE"""),163.67)</f>
        <v>163.67</v>
      </c>
      <c r="C961" s="2" t="n">
        <f aca="false">IFERROR(__xludf.dummyfunction("""COMPUTED_VALUE"""),165.59)</f>
        <v>165.59</v>
      </c>
      <c r="D961" s="2" t="n">
        <f aca="false">IFERROR(__xludf.dummyfunction("""COMPUTED_VALUE"""),163.42)</f>
        <v>163.42</v>
      </c>
      <c r="E961" s="2" t="n">
        <f aca="false">IFERROR(__xludf.dummyfunction("""COMPUTED_VALUE"""),165.27)</f>
        <v>165.27</v>
      </c>
      <c r="F961" s="2" t="n">
        <f aca="false">IFERROR(__xludf.dummyfunction("""COMPUTED_VALUE"""),19828884)</f>
        <v>19828884</v>
      </c>
    </row>
    <row r="962" customFormat="false" ht="15.75" hidden="false" customHeight="false" outlineLevel="0" collapsed="false">
      <c r="A962" s="3" t="n">
        <f aca="false">IFERROR(__xludf.dummyfunction("""COMPUTED_VALUE"""),45593.6666666667)</f>
        <v>45593.6666666667</v>
      </c>
      <c r="B962" s="2" t="n">
        <f aca="false">IFERROR(__xludf.dummyfunction("""COMPUTED_VALUE"""),168.75)</f>
        <v>168.75</v>
      </c>
      <c r="C962" s="2" t="n">
        <f aca="false">IFERROR(__xludf.dummyfunction("""COMPUTED_VALUE"""),168.75)</f>
        <v>168.75</v>
      </c>
      <c r="D962" s="2" t="n">
        <f aca="false">IFERROR(__xludf.dummyfunction("""COMPUTED_VALUE"""),163.95)</f>
        <v>163.95</v>
      </c>
      <c r="E962" s="2" t="n">
        <f aca="false">IFERROR(__xludf.dummyfunction("""COMPUTED_VALUE"""),166.72)</f>
        <v>166.72</v>
      </c>
      <c r="F962" s="2" t="n">
        <f aca="false">IFERROR(__xludf.dummyfunction("""COMPUTED_VALUE"""),32138641)</f>
        <v>32138641</v>
      </c>
    </row>
    <row r="963" customFormat="false" ht="15.75" hidden="false" customHeight="false" outlineLevel="0" collapsed="false">
      <c r="A963" s="3" t="n">
        <f aca="false">IFERROR(__xludf.dummyfunction("""COMPUTED_VALUE"""),45594.6666666667)</f>
        <v>45594.6666666667</v>
      </c>
      <c r="B963" s="2" t="n">
        <f aca="false">IFERROR(__xludf.dummyfunction("""COMPUTED_VALUE"""),167.73)</f>
        <v>167.73</v>
      </c>
      <c r="C963" s="2" t="n">
        <f aca="false">IFERROR(__xludf.dummyfunction("""COMPUTED_VALUE"""),170.38)</f>
        <v>170.38</v>
      </c>
      <c r="D963" s="2" t="n">
        <f aca="false">IFERROR(__xludf.dummyfunction("""COMPUTED_VALUE"""),167.09)</f>
        <v>167.09</v>
      </c>
      <c r="E963" s="2" t="n">
        <f aca="false">IFERROR(__xludf.dummyfunction("""COMPUTED_VALUE"""),169.68)</f>
        <v>169.68</v>
      </c>
      <c r="F963" s="2" t="n">
        <f aca="false">IFERROR(__xludf.dummyfunction("""COMPUTED_VALUE"""),42169025)</f>
        <v>42169025</v>
      </c>
    </row>
    <row r="964" customFormat="false" ht="15.75" hidden="false" customHeight="false" outlineLevel="0" collapsed="false">
      <c r="A964" s="3" t="n">
        <f aca="false">IFERROR(__xludf.dummyfunction("""COMPUTED_VALUE"""),45595.6666666667)</f>
        <v>45595.6666666667</v>
      </c>
      <c r="B964" s="2" t="n">
        <f aca="false">IFERROR(__xludf.dummyfunction("""COMPUTED_VALUE"""),180.68)</f>
        <v>180.68</v>
      </c>
      <c r="C964" s="2" t="n">
        <f aca="false">IFERROR(__xludf.dummyfunction("""COMPUTED_VALUE"""),182.02)</f>
        <v>182.02</v>
      </c>
      <c r="D964" s="2" t="n">
        <f aca="false">IFERROR(__xludf.dummyfunction("""COMPUTED_VALUE"""),174.06)</f>
        <v>174.06</v>
      </c>
      <c r="E964" s="2" t="n">
        <f aca="false">IFERROR(__xludf.dummyfunction("""COMPUTED_VALUE"""),174.46)</f>
        <v>174.46</v>
      </c>
      <c r="F964" s="2" t="n">
        <f aca="false">IFERROR(__xludf.dummyfunction("""COMPUTED_VALUE"""),68890787)</f>
        <v>68890787</v>
      </c>
    </row>
    <row r="965" customFormat="false" ht="15.75" hidden="false" customHeight="false" outlineLevel="0" collapsed="false">
      <c r="A965" s="3" t="n">
        <f aca="false">IFERROR(__xludf.dummyfunction("""COMPUTED_VALUE"""),45596.6666666667)</f>
        <v>45596.6666666667</v>
      </c>
      <c r="B965" s="2" t="n">
        <f aca="false">IFERROR(__xludf.dummyfunction("""COMPUTED_VALUE"""),173.13)</f>
        <v>173.13</v>
      </c>
      <c r="C965" s="2" t="n">
        <f aca="false">IFERROR(__xludf.dummyfunction("""COMPUTED_VALUE"""),176.82)</f>
        <v>176.82</v>
      </c>
      <c r="D965" s="2" t="n">
        <f aca="false">IFERROR(__xludf.dummyfunction("""COMPUTED_VALUE"""),171)</f>
        <v>171</v>
      </c>
      <c r="E965" s="2" t="n">
        <f aca="false">IFERROR(__xludf.dummyfunction("""COMPUTED_VALUE"""),171.11)</f>
        <v>171.11</v>
      </c>
      <c r="F965" s="2" t="n">
        <f aca="false">IFERROR(__xludf.dummyfunction("""COMPUTED_VALUE"""),44768981)</f>
        <v>44768981</v>
      </c>
    </row>
    <row r="966" customFormat="false" ht="15.75" hidden="false" customHeight="false" outlineLevel="0" collapsed="false">
      <c r="A966" s="3" t="n">
        <f aca="false">IFERROR(__xludf.dummyfunction("""COMPUTED_VALUE"""),45597.6666666667)</f>
        <v>45597.6666666667</v>
      </c>
      <c r="B966" s="2" t="n">
        <f aca="false">IFERROR(__xludf.dummyfunction("""COMPUTED_VALUE"""),170.07)</f>
        <v>170.07</v>
      </c>
      <c r="C966" s="2" t="n">
        <f aca="false">IFERROR(__xludf.dummyfunction("""COMPUTED_VALUE"""),172.32)</f>
        <v>172.32</v>
      </c>
      <c r="D966" s="2" t="n">
        <f aca="false">IFERROR(__xludf.dummyfunction("""COMPUTED_VALUE"""),168.88)</f>
        <v>168.88</v>
      </c>
      <c r="E966" s="2" t="n">
        <f aca="false">IFERROR(__xludf.dummyfunction("""COMPUTED_VALUE"""),171.29)</f>
        <v>171.29</v>
      </c>
      <c r="F966" s="2" t="n">
        <f aca="false">IFERROR(__xludf.dummyfunction("""COMPUTED_VALUE"""),31796477)</f>
        <v>31796477</v>
      </c>
    </row>
    <row r="967" customFormat="false" ht="15.75" hidden="false" customHeight="false" outlineLevel="0" collapsed="false">
      <c r="A967" s="3" t="n">
        <f aca="false">IFERROR(__xludf.dummyfunction("""COMPUTED_VALUE"""),45600.6666666667)</f>
        <v>45600.6666666667</v>
      </c>
      <c r="B967" s="2" t="n">
        <f aca="false">IFERROR(__xludf.dummyfunction("""COMPUTED_VALUE"""),169.93)</f>
        <v>169.93</v>
      </c>
      <c r="C967" s="2" t="n">
        <f aca="false">IFERROR(__xludf.dummyfunction("""COMPUTED_VALUE"""),170.73)</f>
        <v>170.73</v>
      </c>
      <c r="D967" s="2" t="n">
        <f aca="false">IFERROR(__xludf.dummyfunction("""COMPUTED_VALUE"""),168.01)</f>
        <v>168.01</v>
      </c>
      <c r="E967" s="2" t="n">
        <f aca="false">IFERROR(__xludf.dummyfunction("""COMPUTED_VALUE"""),169.24)</f>
        <v>169.24</v>
      </c>
      <c r="F967" s="2" t="n">
        <f aca="false">IFERROR(__xludf.dummyfunction("""COMPUTED_VALUE"""),21492744)</f>
        <v>21492744</v>
      </c>
    </row>
    <row r="968" customFormat="false" ht="15.75" hidden="false" customHeight="false" outlineLevel="0" collapsed="false">
      <c r="A968" s="3" t="n">
        <f aca="false">IFERROR(__xludf.dummyfunction("""COMPUTED_VALUE"""),45601.6666666667)</f>
        <v>45601.6666666667</v>
      </c>
      <c r="B968" s="2" t="n">
        <f aca="false">IFERROR(__xludf.dummyfunction("""COMPUTED_VALUE"""),169.43)</f>
        <v>169.43</v>
      </c>
      <c r="C968" s="2" t="n">
        <f aca="false">IFERROR(__xludf.dummyfunction("""COMPUTED_VALUE"""),170.53)</f>
        <v>170.53</v>
      </c>
      <c r="D968" s="2" t="n">
        <f aca="false">IFERROR(__xludf.dummyfunction("""COMPUTED_VALUE"""),168.84)</f>
        <v>168.84</v>
      </c>
      <c r="E968" s="2" t="n">
        <f aca="false">IFERROR(__xludf.dummyfunction("""COMPUTED_VALUE"""),169.74)</f>
        <v>169.74</v>
      </c>
      <c r="F968" s="2" t="n">
        <f aca="false">IFERROR(__xludf.dummyfunction("""COMPUTED_VALUE"""),18242050)</f>
        <v>18242050</v>
      </c>
    </row>
    <row r="969" customFormat="false" ht="15.75" hidden="false" customHeight="false" outlineLevel="0" collapsed="false">
      <c r="A969" s="3" t="n">
        <f aca="false">IFERROR(__xludf.dummyfunction("""COMPUTED_VALUE"""),45602.6666666667)</f>
        <v>45602.6666666667</v>
      </c>
      <c r="B969" s="2" t="n">
        <f aca="false">IFERROR(__xludf.dummyfunction("""COMPUTED_VALUE"""),173.8)</f>
        <v>173.8</v>
      </c>
      <c r="C969" s="2" t="n">
        <f aca="false">IFERROR(__xludf.dummyfunction("""COMPUTED_VALUE"""),176.94)</f>
        <v>176.94</v>
      </c>
      <c r="D969" s="2" t="n">
        <f aca="false">IFERROR(__xludf.dummyfunction("""COMPUTED_VALUE"""),173.5)</f>
        <v>173.5</v>
      </c>
      <c r="E969" s="2" t="n">
        <f aca="false">IFERROR(__xludf.dummyfunction("""COMPUTED_VALUE"""),176.51)</f>
        <v>176.51</v>
      </c>
      <c r="F969" s="2" t="n">
        <f aca="false">IFERROR(__xludf.dummyfunction("""COMPUTED_VALUE"""),33695538)</f>
        <v>33695538</v>
      </c>
    </row>
    <row r="970" customFormat="false" ht="15.75" hidden="false" customHeight="false" outlineLevel="0" collapsed="false">
      <c r="A970" s="3" t="n">
        <f aca="false">IFERROR(__xludf.dummyfunction("""COMPUTED_VALUE"""),45603.6666666667)</f>
        <v>45603.6666666667</v>
      </c>
      <c r="B970" s="2" t="n">
        <f aca="false">IFERROR(__xludf.dummyfunction("""COMPUTED_VALUE"""),177.41)</f>
        <v>177.41</v>
      </c>
      <c r="C970" s="2" t="n">
        <f aca="false">IFERROR(__xludf.dummyfunction("""COMPUTED_VALUE"""),181.08)</f>
        <v>181.08</v>
      </c>
      <c r="D970" s="2" t="n">
        <f aca="false">IFERROR(__xludf.dummyfunction("""COMPUTED_VALUE"""),177.19)</f>
        <v>177.19</v>
      </c>
      <c r="E970" s="2" t="n">
        <f aca="false">IFERROR(__xludf.dummyfunction("""COMPUTED_VALUE"""),180.75)</f>
        <v>180.75</v>
      </c>
      <c r="F970" s="2" t="n">
        <f aca="false">IFERROR(__xludf.dummyfunction("""COMPUTED_VALUE"""),25352939)</f>
        <v>25352939</v>
      </c>
    </row>
    <row r="971" customFormat="false" ht="15.75" hidden="false" customHeight="false" outlineLevel="0" collapsed="false">
      <c r="A971" s="3" t="n">
        <f aca="false">IFERROR(__xludf.dummyfunction("""COMPUTED_VALUE"""),45604.6666666667)</f>
        <v>45604.6666666667</v>
      </c>
      <c r="B971" s="2" t="n">
        <f aca="false">IFERROR(__xludf.dummyfunction("""COMPUTED_VALUE"""),180.65)</f>
        <v>180.65</v>
      </c>
      <c r="C971" s="2" t="n">
        <f aca="false">IFERROR(__xludf.dummyfunction("""COMPUTED_VALUE"""),180.9)</f>
        <v>180.9</v>
      </c>
      <c r="D971" s="2" t="n">
        <f aca="false">IFERROR(__xludf.dummyfunction("""COMPUTED_VALUE"""),178.08)</f>
        <v>178.08</v>
      </c>
      <c r="E971" s="2" t="n">
        <f aca="false">IFERROR(__xludf.dummyfunction("""COMPUTED_VALUE"""),178.35)</f>
        <v>178.35</v>
      </c>
      <c r="F971" s="2" t="n">
        <f aca="false">IFERROR(__xludf.dummyfunction("""COMPUTED_VALUE"""),22006182)</f>
        <v>22006182</v>
      </c>
    </row>
    <row r="972" customFormat="false" ht="15.75" hidden="false" customHeight="false" outlineLevel="0" collapsed="false">
      <c r="A972" s="3" t="n">
        <f aca="false">IFERROR(__xludf.dummyfunction("""COMPUTED_VALUE"""),45607.6666666667)</f>
        <v>45607.6666666667</v>
      </c>
      <c r="B972" s="2" t="n">
        <f aca="false">IFERROR(__xludf.dummyfunction("""COMPUTED_VALUE"""),178.58)</f>
        <v>178.58</v>
      </c>
      <c r="C972" s="2" t="n">
        <f aca="false">IFERROR(__xludf.dummyfunction("""COMPUTED_VALUE"""),180.55)</f>
        <v>180.55</v>
      </c>
      <c r="D972" s="2" t="n">
        <f aca="false">IFERROR(__xludf.dummyfunction("""COMPUTED_VALUE"""),178.47)</f>
        <v>178.47</v>
      </c>
      <c r="E972" s="2" t="n">
        <f aca="false">IFERROR(__xludf.dummyfunction("""COMPUTED_VALUE"""),180.35)</f>
        <v>180.35</v>
      </c>
      <c r="F972" s="2" t="n">
        <f aca="false">IFERROR(__xludf.dummyfunction("""COMPUTED_VALUE"""),17450354)</f>
        <v>17450354</v>
      </c>
    </row>
    <row r="973" customFormat="false" ht="15.75" hidden="false" customHeight="false" outlineLevel="0" collapsed="false">
      <c r="A973" s="3" t="n">
        <f aca="false">IFERROR(__xludf.dummyfunction("""COMPUTED_VALUE"""),45608.6666666667)</f>
        <v>45608.6666666667</v>
      </c>
      <c r="B973" s="2" t="n">
        <f aca="false">IFERROR(__xludf.dummyfunction("""COMPUTED_VALUE"""),179.82)</f>
        <v>179.82</v>
      </c>
      <c r="C973" s="2" t="n">
        <f aca="false">IFERROR(__xludf.dummyfunction("""COMPUTED_VALUE"""),182.49)</f>
        <v>182.49</v>
      </c>
      <c r="D973" s="2" t="n">
        <f aca="false">IFERROR(__xludf.dummyfunction("""COMPUTED_VALUE"""),179.39)</f>
        <v>179.39</v>
      </c>
      <c r="E973" s="2" t="n">
        <f aca="false">IFERROR(__xludf.dummyfunction("""COMPUTED_VALUE"""),181.62)</f>
        <v>181.62</v>
      </c>
      <c r="F973" s="2" t="n">
        <f aca="false">IFERROR(__xludf.dummyfunction("""COMPUTED_VALUE"""),25134905)</f>
        <v>25134905</v>
      </c>
    </row>
    <row r="974" customFormat="false" ht="15.75" hidden="false" customHeight="false" outlineLevel="0" collapsed="false">
      <c r="A974" s="3" t="n">
        <f aca="false">IFERROR(__xludf.dummyfunction("""COMPUTED_VALUE"""),45609.6666666667)</f>
        <v>45609.6666666667</v>
      </c>
      <c r="B974" s="2" t="n">
        <f aca="false">IFERROR(__xludf.dummyfunction("""COMPUTED_VALUE"""),180.46)</f>
        <v>180.46</v>
      </c>
      <c r="C974" s="2" t="n">
        <f aca="false">IFERROR(__xludf.dummyfunction("""COMPUTED_VALUE"""),180.96)</f>
        <v>180.96</v>
      </c>
      <c r="D974" s="2" t="n">
        <f aca="false">IFERROR(__xludf.dummyfunction("""COMPUTED_VALUE"""),178.54)</f>
        <v>178.54</v>
      </c>
      <c r="E974" s="2" t="n">
        <f aca="false">IFERROR(__xludf.dummyfunction("""COMPUTED_VALUE"""),178.88)</f>
        <v>178.88</v>
      </c>
      <c r="F974" s="2" t="n">
        <f aca="false">IFERROR(__xludf.dummyfunction("""COMPUTED_VALUE"""),23184003)</f>
        <v>23184003</v>
      </c>
    </row>
    <row r="975" customFormat="false" ht="15.75" hidden="false" customHeight="false" outlineLevel="0" collapsed="false">
      <c r="A975" s="3" t="n">
        <f aca="false">IFERROR(__xludf.dummyfunction("""COMPUTED_VALUE"""),45610.6666666667)</f>
        <v>45610.6666666667</v>
      </c>
      <c r="B975" s="2" t="n">
        <f aca="false">IFERROR(__xludf.dummyfunction("""COMPUTED_VALUE"""),178.28)</f>
        <v>178.28</v>
      </c>
      <c r="C975" s="2" t="n">
        <f aca="false">IFERROR(__xludf.dummyfunction("""COMPUTED_VALUE"""),178.82)</f>
        <v>178.82</v>
      </c>
      <c r="D975" s="2" t="n">
        <f aca="false">IFERROR(__xludf.dummyfunction("""COMPUTED_VALUE"""),174.32)</f>
        <v>174.32</v>
      </c>
      <c r="E975" s="2" t="n">
        <f aca="false">IFERROR(__xludf.dummyfunction("""COMPUTED_VALUE"""),175.58)</f>
        <v>175.58</v>
      </c>
      <c r="F975" s="2" t="n">
        <f aca="false">IFERROR(__xludf.dummyfunction("""COMPUTED_VALUE"""),31007457)</f>
        <v>31007457</v>
      </c>
    </row>
    <row r="976" customFormat="false" ht="15.75" hidden="false" customHeight="false" outlineLevel="0" collapsed="false">
      <c r="A976" s="3" t="n">
        <f aca="false">IFERROR(__xludf.dummyfunction("""COMPUTED_VALUE"""),45611.6666666667)</f>
        <v>45611.6666666667</v>
      </c>
      <c r="B976" s="2" t="n">
        <f aca="false">IFERROR(__xludf.dummyfunction("""COMPUTED_VALUE"""),173.73)</f>
        <v>173.73</v>
      </c>
      <c r="C976" s="2" t="n">
        <f aca="false">IFERROR(__xludf.dummyfunction("""COMPUTED_VALUE"""),174.14)</f>
        <v>174.14</v>
      </c>
      <c r="D976" s="2" t="n">
        <f aca="false">IFERROR(__xludf.dummyfunction("""COMPUTED_VALUE"""),171.22)</f>
        <v>171.22</v>
      </c>
      <c r="E976" s="2" t="n">
        <f aca="false">IFERROR(__xludf.dummyfunction("""COMPUTED_VALUE"""),172.49)</f>
        <v>172.49</v>
      </c>
      <c r="F976" s="2" t="n">
        <f aca="false">IFERROR(__xludf.dummyfunction("""COMPUTED_VALUE"""),32504649)</f>
        <v>32504649</v>
      </c>
    </row>
    <row r="977" customFormat="false" ht="15.75" hidden="false" customHeight="false" outlineLevel="0" collapsed="false">
      <c r="A977" s="3" t="n">
        <f aca="false">IFERROR(__xludf.dummyfunction("""COMPUTED_VALUE"""),45614.6666666667)</f>
        <v>45614.6666666667</v>
      </c>
      <c r="B977" s="2" t="n">
        <f aca="false">IFERROR(__xludf.dummyfunction("""COMPUTED_VALUE"""),173.42)</f>
        <v>173.42</v>
      </c>
      <c r="C977" s="2" t="n">
        <f aca="false">IFERROR(__xludf.dummyfunction("""COMPUTED_VALUE"""),175.44)</f>
        <v>175.44</v>
      </c>
      <c r="D977" s="2" t="n">
        <f aca="false">IFERROR(__xludf.dummyfunction("""COMPUTED_VALUE"""),172.9)</f>
        <v>172.9</v>
      </c>
      <c r="E977" s="2" t="n">
        <f aca="false">IFERROR(__xludf.dummyfunction("""COMPUTED_VALUE"""),175.3)</f>
        <v>175.3</v>
      </c>
      <c r="F977" s="2" t="n">
        <f aca="false">IFERROR(__xludf.dummyfunction("""COMPUTED_VALUE"""),20206613)</f>
        <v>20206613</v>
      </c>
    </row>
    <row r="978" customFormat="false" ht="15.75" hidden="false" customHeight="false" outlineLevel="0" collapsed="false">
      <c r="A978" s="3" t="n">
        <f aca="false">IFERROR(__xludf.dummyfunction("""COMPUTED_VALUE"""),45615.6666666667)</f>
        <v>45615.6666666667</v>
      </c>
      <c r="B978" s="2" t="n">
        <f aca="false">IFERROR(__xludf.dummyfunction("""COMPUTED_VALUE"""),173.72)</f>
        <v>173.72</v>
      </c>
      <c r="C978" s="2" t="n">
        <f aca="false">IFERROR(__xludf.dummyfunction("""COMPUTED_VALUE"""),178.87)</f>
        <v>178.87</v>
      </c>
      <c r="D978" s="2" t="n">
        <f aca="false">IFERROR(__xludf.dummyfunction("""COMPUTED_VALUE"""),173.56)</f>
        <v>173.56</v>
      </c>
      <c r="E978" s="2" t="n">
        <f aca="false">IFERROR(__xludf.dummyfunction("""COMPUTED_VALUE"""),178.12)</f>
        <v>178.12</v>
      </c>
      <c r="F978" s="2" t="n">
        <f aca="false">IFERROR(__xludf.dummyfunction("""COMPUTED_VALUE"""),23434925)</f>
        <v>23434925</v>
      </c>
    </row>
    <row r="979" customFormat="false" ht="15.75" hidden="false" customHeight="false" outlineLevel="0" collapsed="false">
      <c r="A979" s="3" t="n">
        <f aca="false">IFERROR(__xludf.dummyfunction("""COMPUTED_VALUE"""),45616.6666666667)</f>
        <v>45616.6666666667</v>
      </c>
      <c r="B979" s="2" t="n">
        <f aca="false">IFERROR(__xludf.dummyfunction("""COMPUTED_VALUE"""),177.34)</f>
        <v>177.34</v>
      </c>
      <c r="C979" s="2" t="n">
        <f aca="false">IFERROR(__xludf.dummyfunction("""COMPUTED_VALUE"""),177.68)</f>
        <v>177.68</v>
      </c>
      <c r="D979" s="2" t="n">
        <f aca="false">IFERROR(__xludf.dummyfunction("""COMPUTED_VALUE"""),173.78)</f>
        <v>173.78</v>
      </c>
      <c r="E979" s="2" t="n">
        <f aca="false">IFERROR(__xludf.dummyfunction("""COMPUTED_VALUE"""),175.98)</f>
        <v>175.98</v>
      </c>
      <c r="F979" s="2" t="n">
        <f aca="false">IFERROR(__xludf.dummyfunction("""COMPUTED_VALUE"""),18997111)</f>
        <v>18997111</v>
      </c>
    </row>
    <row r="980" customFormat="false" ht="15.75" hidden="false" customHeight="false" outlineLevel="0" collapsed="false">
      <c r="A980" s="3" t="n">
        <f aca="false">IFERROR(__xludf.dummyfunction("""COMPUTED_VALUE"""),45617.6666666667)</f>
        <v>45617.6666666667</v>
      </c>
      <c r="B980" s="2" t="n">
        <f aca="false">IFERROR(__xludf.dummyfunction("""COMPUTED_VALUE"""),173.9)</f>
        <v>173.9</v>
      </c>
      <c r="C980" s="2" t="n">
        <f aca="false">IFERROR(__xludf.dummyfunction("""COMPUTED_VALUE"""),174.13)</f>
        <v>174.13</v>
      </c>
      <c r="D980" s="2" t="n">
        <f aca="false">IFERROR(__xludf.dummyfunction("""COMPUTED_VALUE"""),163.7)</f>
        <v>163.7</v>
      </c>
      <c r="E980" s="2" t="n">
        <f aca="false">IFERROR(__xludf.dummyfunction("""COMPUTED_VALUE"""),167.63)</f>
        <v>167.63</v>
      </c>
      <c r="F980" s="2" t="n">
        <f aca="false">IFERROR(__xludf.dummyfunction("""COMPUTED_VALUE"""),59734379)</f>
        <v>59734379</v>
      </c>
    </row>
    <row r="981" customFormat="false" ht="15.75" hidden="false" customHeight="false" outlineLevel="0" collapsed="false">
      <c r="A981" s="3" t="n">
        <f aca="false">IFERROR(__xludf.dummyfunction("""COMPUTED_VALUE"""),45618.6666666667)</f>
        <v>45618.6666666667</v>
      </c>
      <c r="B981" s="2" t="n">
        <f aca="false">IFERROR(__xludf.dummyfunction("""COMPUTED_VALUE"""),165.85)</f>
        <v>165.85</v>
      </c>
      <c r="C981" s="2" t="n">
        <f aca="false">IFERROR(__xludf.dummyfunction("""COMPUTED_VALUE"""),166.46)</f>
        <v>166.46</v>
      </c>
      <c r="D981" s="2" t="n">
        <f aca="false">IFERROR(__xludf.dummyfunction("""COMPUTED_VALUE"""),163.9)</f>
        <v>163.9</v>
      </c>
      <c r="E981" s="2" t="n">
        <f aca="false">IFERROR(__xludf.dummyfunction("""COMPUTED_VALUE"""),164.76)</f>
        <v>164.76</v>
      </c>
      <c r="F981" s="2" t="n">
        <f aca="false">IFERROR(__xludf.dummyfunction("""COMPUTED_VALUE"""),38604587)</f>
        <v>38604587</v>
      </c>
    </row>
    <row r="982" customFormat="false" ht="15.75" hidden="false" customHeight="false" outlineLevel="0" collapsed="false">
      <c r="A982" s="3" t="n">
        <f aca="false">IFERROR(__xludf.dummyfunction("""COMPUTED_VALUE"""),45621.6666666667)</f>
        <v>45621.6666666667</v>
      </c>
      <c r="B982" s="2" t="n">
        <f aca="false">IFERROR(__xludf.dummyfunction("""COMPUTED_VALUE"""),166.09)</f>
        <v>166.09</v>
      </c>
      <c r="C982" s="2" t="n">
        <f aca="false">IFERROR(__xludf.dummyfunction("""COMPUTED_VALUE"""),168.63)</f>
        <v>168.63</v>
      </c>
      <c r="D982" s="2" t="n">
        <f aca="false">IFERROR(__xludf.dummyfunction("""COMPUTED_VALUE"""),165.61)</f>
        <v>165.61</v>
      </c>
      <c r="E982" s="2" t="n">
        <f aca="false">IFERROR(__xludf.dummyfunction("""COMPUTED_VALUE"""),167.65)</f>
        <v>167.65</v>
      </c>
      <c r="F982" s="2" t="n">
        <f aca="false">IFERROR(__xludf.dummyfunction("""COMPUTED_VALUE"""),33135263)</f>
        <v>33135263</v>
      </c>
    </row>
    <row r="983" customFormat="false" ht="15.75" hidden="false" customHeight="false" outlineLevel="0" collapsed="false">
      <c r="A983" s="3" t="n">
        <f aca="false">IFERROR(__xludf.dummyfunction("""COMPUTED_VALUE"""),45622.6666666667)</f>
        <v>45622.6666666667</v>
      </c>
      <c r="B983" s="2" t="n">
        <f aca="false">IFERROR(__xludf.dummyfunction("""COMPUTED_VALUE"""),167.63)</f>
        <v>167.63</v>
      </c>
      <c r="C983" s="2" t="n">
        <f aca="false">IFERROR(__xludf.dummyfunction("""COMPUTED_VALUE"""),169.82)</f>
        <v>169.82</v>
      </c>
      <c r="D983" s="2" t="n">
        <f aca="false">IFERROR(__xludf.dummyfunction("""COMPUTED_VALUE"""),167.58)</f>
        <v>167.58</v>
      </c>
      <c r="E983" s="2" t="n">
        <f aca="false">IFERROR(__xludf.dummyfunction("""COMPUTED_VALUE"""),169.12)</f>
        <v>169.12</v>
      </c>
      <c r="F983" s="2" t="n">
        <f aca="false">IFERROR(__xludf.dummyfunction("""COMPUTED_VALUE"""),20486720)</f>
        <v>20486720</v>
      </c>
    </row>
    <row r="984" customFormat="false" ht="15.75" hidden="false" customHeight="false" outlineLevel="0" collapsed="false">
      <c r="A984" s="3" t="n">
        <f aca="false">IFERROR(__xludf.dummyfunction("""COMPUTED_VALUE"""),45623.6666666667)</f>
        <v>45623.6666666667</v>
      </c>
      <c r="B984" s="2" t="n">
        <f aca="false">IFERROR(__xludf.dummyfunction("""COMPUTED_VALUE"""),169)</f>
        <v>169</v>
      </c>
      <c r="C984" s="2" t="n">
        <f aca="false">IFERROR(__xludf.dummyfunction("""COMPUTED_VALUE"""),169.48)</f>
        <v>169.48</v>
      </c>
      <c r="D984" s="2" t="n">
        <f aca="false">IFERROR(__xludf.dummyfunction("""COMPUTED_VALUE"""),168.02)</f>
        <v>168.02</v>
      </c>
      <c r="E984" s="2" t="n">
        <f aca="false">IFERROR(__xludf.dummyfunction("""COMPUTED_VALUE"""),169.23)</f>
        <v>169.23</v>
      </c>
      <c r="F984" s="2" t="n">
        <f aca="false">IFERROR(__xludf.dummyfunction("""COMPUTED_VALUE"""),19266511)</f>
        <v>19266511</v>
      </c>
    </row>
    <row r="985" customFormat="false" ht="15.75" hidden="false" customHeight="false" outlineLevel="0" collapsed="false">
      <c r="A985" s="3" t="n">
        <f aca="false">IFERROR(__xludf.dummyfunction("""COMPUTED_VALUE"""),45625.5451388889)</f>
        <v>45625.5451388889</v>
      </c>
      <c r="B985" s="2" t="n">
        <f aca="false">IFERROR(__xludf.dummyfunction("""COMPUTED_VALUE"""),168.5)</f>
        <v>168.5</v>
      </c>
      <c r="C985" s="2" t="n">
        <f aca="false">IFERROR(__xludf.dummyfunction("""COMPUTED_VALUE"""),169.43)</f>
        <v>169.43</v>
      </c>
      <c r="D985" s="2" t="n">
        <f aca="false">IFERROR(__xludf.dummyfunction("""COMPUTED_VALUE"""),167.16)</f>
        <v>167.16</v>
      </c>
      <c r="E985" s="2" t="n">
        <f aca="false">IFERROR(__xludf.dummyfunction("""COMPUTED_VALUE"""),168.95)</f>
        <v>168.95</v>
      </c>
      <c r="F985" s="2" t="n">
        <f aca="false">IFERROR(__xludf.dummyfunction("""COMPUTED_VALUE"""),14257244)</f>
        <v>14257244</v>
      </c>
    </row>
    <row r="986" customFormat="false" ht="15.75" hidden="false" customHeight="false" outlineLevel="0" collapsed="false">
      <c r="A986" s="3" t="n">
        <f aca="false">IFERROR(__xludf.dummyfunction("""COMPUTED_VALUE"""),45628.6666666667)</f>
        <v>45628.6666666667</v>
      </c>
      <c r="B986" s="2" t="n">
        <f aca="false">IFERROR(__xludf.dummyfunction("""COMPUTED_VALUE"""),168.77)</f>
        <v>168.77</v>
      </c>
      <c r="C986" s="2" t="n">
        <f aca="false">IFERROR(__xludf.dummyfunction("""COMPUTED_VALUE"""),172.08)</f>
        <v>172.08</v>
      </c>
      <c r="D986" s="2" t="n">
        <f aca="false">IFERROR(__xludf.dummyfunction("""COMPUTED_VALUE"""),168.57)</f>
        <v>168.57</v>
      </c>
      <c r="E986" s="2" t="n">
        <f aca="false">IFERROR(__xludf.dummyfunction("""COMPUTED_VALUE"""),171.49)</f>
        <v>171.49</v>
      </c>
      <c r="F986" s="2" t="n">
        <f aca="false">IFERROR(__xludf.dummyfunction("""COMPUTED_VALUE"""),23789084)</f>
        <v>23789084</v>
      </c>
    </row>
    <row r="987" customFormat="false" ht="15.75" hidden="false" customHeight="false" outlineLevel="0" collapsed="false">
      <c r="A987" s="3" t="n">
        <f aca="false">IFERROR(__xludf.dummyfunction("""COMPUTED_VALUE"""),45629.6666666667)</f>
        <v>45629.6666666667</v>
      </c>
      <c r="B987" s="2" t="n">
        <f aca="false">IFERROR(__xludf.dummyfunction("""COMPUTED_VALUE"""),171.49)</f>
        <v>171.49</v>
      </c>
      <c r="C987" s="2" t="n">
        <f aca="false">IFERROR(__xludf.dummyfunction("""COMPUTED_VALUE"""),172.68)</f>
        <v>172.68</v>
      </c>
      <c r="D987" s="2" t="n">
        <f aca="false">IFERROR(__xludf.dummyfunction("""COMPUTED_VALUE"""),170.85)</f>
        <v>170.85</v>
      </c>
      <c r="E987" s="2" t="n">
        <f aca="false">IFERROR(__xludf.dummyfunction("""COMPUTED_VALUE"""),171.34)</f>
        <v>171.34</v>
      </c>
      <c r="F987" s="2" t="n">
        <f aca="false">IFERROR(__xludf.dummyfunction("""COMPUTED_VALUE"""),22248705)</f>
        <v>22248705</v>
      </c>
    </row>
    <row r="988" customFormat="false" ht="15.75" hidden="false" customHeight="false" outlineLevel="0" collapsed="false">
      <c r="A988" s="3" t="n">
        <f aca="false">IFERROR(__xludf.dummyfunction("""COMPUTED_VALUE"""),45630.6666666667)</f>
        <v>45630.6666666667</v>
      </c>
      <c r="B988" s="2" t="n">
        <f aca="false">IFERROR(__xludf.dummyfunction("""COMPUTED_VALUE"""),171.15)</f>
        <v>171.15</v>
      </c>
      <c r="C988" s="2" t="n">
        <f aca="false">IFERROR(__xludf.dummyfunction("""COMPUTED_VALUE"""),174.91)</f>
        <v>174.91</v>
      </c>
      <c r="D988" s="2" t="n">
        <f aca="false">IFERROR(__xludf.dummyfunction("""COMPUTED_VALUE"""),171.06)</f>
        <v>171.06</v>
      </c>
      <c r="E988" s="2" t="n">
        <f aca="false">IFERROR(__xludf.dummyfunction("""COMPUTED_VALUE"""),174.37)</f>
        <v>174.37</v>
      </c>
      <c r="F988" s="2" t="n">
        <f aca="false">IFERROR(__xludf.dummyfunction("""COMPUTED_VALUE"""),31615137)</f>
        <v>31615137</v>
      </c>
    </row>
    <row r="989" customFormat="false" ht="15.75" hidden="false" customHeight="false" outlineLevel="0" collapsed="false">
      <c r="A989" s="3" t="n">
        <f aca="false">IFERROR(__xludf.dummyfunction("""COMPUTED_VALUE"""),45631.6666666667)</f>
        <v>45631.6666666667</v>
      </c>
      <c r="B989" s="2" t="n">
        <f aca="false">IFERROR(__xludf.dummyfunction("""COMPUTED_VALUE"""),175.36)</f>
        <v>175.36</v>
      </c>
      <c r="C989" s="2" t="n">
        <f aca="false">IFERROR(__xludf.dummyfunction("""COMPUTED_VALUE"""),176.06)</f>
        <v>176.06</v>
      </c>
      <c r="D989" s="2" t="n">
        <f aca="false">IFERROR(__xludf.dummyfunction("""COMPUTED_VALUE"""),172.33)</f>
        <v>172.33</v>
      </c>
      <c r="E989" s="2" t="n">
        <f aca="false">IFERROR(__xludf.dummyfunction("""COMPUTED_VALUE"""),172.64)</f>
        <v>172.64</v>
      </c>
      <c r="F989" s="2" t="n">
        <f aca="false">IFERROR(__xludf.dummyfunction("""COMPUTED_VALUE"""),21356243)</f>
        <v>21356243</v>
      </c>
    </row>
    <row r="990" customFormat="false" ht="15.75" hidden="false" customHeight="false" outlineLevel="0" collapsed="false">
      <c r="A990" s="3" t="n">
        <f aca="false">IFERROR(__xludf.dummyfunction("""COMPUTED_VALUE"""),45632.6666666667)</f>
        <v>45632.6666666667</v>
      </c>
      <c r="B990" s="2" t="n">
        <f aca="false">IFERROR(__xludf.dummyfunction("""COMPUTED_VALUE"""),172.03)</f>
        <v>172.03</v>
      </c>
      <c r="C990" s="2" t="n">
        <f aca="false">IFERROR(__xludf.dummyfunction("""COMPUTED_VALUE"""),175.08)</f>
        <v>175.08</v>
      </c>
      <c r="D990" s="2" t="n">
        <f aca="false">IFERROR(__xludf.dummyfunction("""COMPUTED_VALUE"""),171.86)</f>
        <v>171.86</v>
      </c>
      <c r="E990" s="2" t="n">
        <f aca="false">IFERROR(__xludf.dummyfunction("""COMPUTED_VALUE"""),174.71)</f>
        <v>174.71</v>
      </c>
      <c r="F990" s="2" t="n">
        <f aca="false">IFERROR(__xludf.dummyfunction("""COMPUTED_VALUE"""),21462393)</f>
        <v>21462393</v>
      </c>
    </row>
    <row r="991" customFormat="false" ht="15.75" hidden="false" customHeight="false" outlineLevel="0" collapsed="false">
      <c r="A991" s="3" t="n">
        <f aca="false">IFERROR(__xludf.dummyfunction("""COMPUTED_VALUE"""),45635.6666666667)</f>
        <v>45635.6666666667</v>
      </c>
      <c r="B991" s="2" t="n">
        <f aca="false">IFERROR(__xludf.dummyfunction("""COMPUTED_VALUE"""),173.96)</f>
        <v>173.96</v>
      </c>
      <c r="C991" s="2" t="n">
        <f aca="false">IFERROR(__xludf.dummyfunction("""COMPUTED_VALUE"""),176.26)</f>
        <v>176.26</v>
      </c>
      <c r="D991" s="2" t="n">
        <f aca="false">IFERROR(__xludf.dummyfunction("""COMPUTED_VALUE"""),173.65)</f>
        <v>173.65</v>
      </c>
      <c r="E991" s="2" t="n">
        <f aca="false">IFERROR(__xludf.dummyfunction("""COMPUTED_VALUE"""),175.37)</f>
        <v>175.37</v>
      </c>
      <c r="F991" s="2" t="n">
        <f aca="false">IFERROR(__xludf.dummyfunction("""COMPUTED_VALUE"""),25389631)</f>
        <v>25389631</v>
      </c>
    </row>
    <row r="992" customFormat="false" ht="15.75" hidden="false" customHeight="false" outlineLevel="0" collapsed="false">
      <c r="A992" s="3" t="n">
        <f aca="false">IFERROR(__xludf.dummyfunction("""COMPUTED_VALUE"""),45636.6666666667)</f>
        <v>45636.6666666667</v>
      </c>
      <c r="B992" s="2" t="n">
        <f aca="false">IFERROR(__xludf.dummyfunction("""COMPUTED_VALUE"""),182.85)</f>
        <v>182.85</v>
      </c>
      <c r="C992" s="2" t="n">
        <f aca="false">IFERROR(__xludf.dummyfunction("""COMPUTED_VALUE"""),186.36)</f>
        <v>186.36</v>
      </c>
      <c r="D992" s="2" t="n">
        <f aca="false">IFERROR(__xludf.dummyfunction("""COMPUTED_VALUE"""),181.05)</f>
        <v>181.05</v>
      </c>
      <c r="E992" s="2" t="n">
        <f aca="false">IFERROR(__xludf.dummyfunction("""COMPUTED_VALUE"""),185.17)</f>
        <v>185.17</v>
      </c>
      <c r="F992" s="2" t="n">
        <f aca="false">IFERROR(__xludf.dummyfunction("""COMPUTED_VALUE"""),54813022)</f>
        <v>54813022</v>
      </c>
    </row>
    <row r="993" customFormat="false" ht="15.75" hidden="false" customHeight="false" outlineLevel="0" collapsed="false">
      <c r="A993" s="3" t="n">
        <f aca="false">IFERROR(__xludf.dummyfunction("""COMPUTED_VALUE"""),45637.6666666667)</f>
        <v>45637.6666666667</v>
      </c>
      <c r="B993" s="2" t="n">
        <f aca="false">IFERROR(__xludf.dummyfunction("""COMPUTED_VALUE"""),185.31)</f>
        <v>185.31</v>
      </c>
      <c r="C993" s="2" t="n">
        <f aca="false">IFERROR(__xludf.dummyfunction("""COMPUTED_VALUE"""),195.61)</f>
        <v>195.61</v>
      </c>
      <c r="D993" s="2" t="n">
        <f aca="false">IFERROR(__xludf.dummyfunction("""COMPUTED_VALUE"""),184.85)</f>
        <v>184.85</v>
      </c>
      <c r="E993" s="2" t="n">
        <f aca="false">IFERROR(__xludf.dummyfunction("""COMPUTED_VALUE"""),195.4)</f>
        <v>195.4</v>
      </c>
      <c r="F993" s="2" t="n">
        <f aca="false">IFERROR(__xludf.dummyfunction("""COMPUTED_VALUE"""),67894071)</f>
        <v>67894071</v>
      </c>
    </row>
    <row r="994" customFormat="false" ht="15.75" hidden="false" customHeight="false" outlineLevel="0" collapsed="false">
      <c r="A994" s="3" t="n">
        <f aca="false">IFERROR(__xludf.dummyfunction("""COMPUTED_VALUE"""),45638.6666666667)</f>
        <v>45638.6666666667</v>
      </c>
      <c r="B994" s="2" t="n">
        <f aca="false">IFERROR(__xludf.dummyfunction("""COMPUTED_VALUE"""),195)</f>
        <v>195</v>
      </c>
      <c r="C994" s="2" t="n">
        <f aca="false">IFERROR(__xludf.dummyfunction("""COMPUTED_VALUE"""),195.18)</f>
        <v>195.18</v>
      </c>
      <c r="D994" s="2" t="n">
        <f aca="false">IFERROR(__xludf.dummyfunction("""COMPUTED_VALUE"""),191.71)</f>
        <v>191.71</v>
      </c>
      <c r="E994" s="2" t="n">
        <f aca="false">IFERROR(__xludf.dummyfunction("""COMPUTED_VALUE"""),191.96)</f>
        <v>191.96</v>
      </c>
      <c r="F994" s="2" t="n">
        <f aca="false">IFERROR(__xludf.dummyfunction("""COMPUTED_VALUE"""),34817486)</f>
        <v>34817486</v>
      </c>
    </row>
    <row r="995" customFormat="false" ht="15.75" hidden="false" customHeight="false" outlineLevel="0" collapsed="false">
      <c r="A995" s="3" t="n">
        <f aca="false">IFERROR(__xludf.dummyfunction("""COMPUTED_VALUE"""),45639.6666666667)</f>
        <v>45639.6666666667</v>
      </c>
      <c r="B995" s="2" t="n">
        <f aca="false">IFERROR(__xludf.dummyfunction("""COMPUTED_VALUE"""),191.01)</f>
        <v>191.01</v>
      </c>
      <c r="C995" s="2" t="n">
        <f aca="false">IFERROR(__xludf.dummyfunction("""COMPUTED_VALUE"""),192.73)</f>
        <v>192.73</v>
      </c>
      <c r="D995" s="2" t="n">
        <f aca="false">IFERROR(__xludf.dummyfunction("""COMPUTED_VALUE"""),189.64)</f>
        <v>189.64</v>
      </c>
      <c r="E995" s="2" t="n">
        <f aca="false">IFERROR(__xludf.dummyfunction("""COMPUTED_VALUE"""),189.82)</f>
        <v>189.82</v>
      </c>
      <c r="F995" s="2" t="n">
        <f aca="false">IFERROR(__xludf.dummyfunction("""COMPUTED_VALUE"""),25143495)</f>
        <v>25143495</v>
      </c>
    </row>
    <row r="996" customFormat="false" ht="15.75" hidden="false" customHeight="false" outlineLevel="0" collapsed="false">
      <c r="A996" s="3" t="n">
        <f aca="false">IFERROR(__xludf.dummyfunction("""COMPUTED_VALUE"""),45642.6666666667)</f>
        <v>45642.6666666667</v>
      </c>
      <c r="B996" s="2" t="n">
        <f aca="false">IFERROR(__xludf.dummyfunction("""COMPUTED_VALUE"""),192.87)</f>
        <v>192.87</v>
      </c>
      <c r="C996" s="2" t="n">
        <f aca="false">IFERROR(__xludf.dummyfunction("""COMPUTED_VALUE"""),199)</f>
        <v>199</v>
      </c>
      <c r="D996" s="2" t="n">
        <f aca="false">IFERROR(__xludf.dummyfunction("""COMPUTED_VALUE"""),192.62)</f>
        <v>192.62</v>
      </c>
      <c r="E996" s="2" t="n">
        <f aca="false">IFERROR(__xludf.dummyfunction("""COMPUTED_VALUE"""),196.66)</f>
        <v>196.66</v>
      </c>
      <c r="F996" s="2" t="n">
        <f aca="false">IFERROR(__xludf.dummyfunction("""COMPUTED_VALUE"""),44934901)</f>
        <v>44934901</v>
      </c>
    </row>
    <row r="997" customFormat="false" ht="15.75" hidden="false" customHeight="false" outlineLevel="0" collapsed="false">
      <c r="A997" s="3" t="n">
        <f aca="false">IFERROR(__xludf.dummyfunction("""COMPUTED_VALUE"""),45643.6666666667)</f>
        <v>45643.6666666667</v>
      </c>
      <c r="B997" s="2" t="n">
        <f aca="false">IFERROR(__xludf.dummyfunction("""COMPUTED_VALUE"""),197.25)</f>
        <v>197.25</v>
      </c>
      <c r="C997" s="2" t="n">
        <f aca="false">IFERROR(__xludf.dummyfunction("""COMPUTED_VALUE"""),201.42)</f>
        <v>201.42</v>
      </c>
      <c r="D997" s="2" t="n">
        <f aca="false">IFERROR(__xludf.dummyfunction("""COMPUTED_VALUE"""),194.98)</f>
        <v>194.98</v>
      </c>
      <c r="E997" s="2" t="n">
        <f aca="false">IFERROR(__xludf.dummyfunction("""COMPUTED_VALUE"""),195.42)</f>
        <v>195.42</v>
      </c>
      <c r="F997" s="2" t="n">
        <f aca="false">IFERROR(__xludf.dummyfunction("""COMPUTED_VALUE"""),43504025)</f>
        <v>43504025</v>
      </c>
    </row>
    <row r="998" customFormat="false" ht="15.75" hidden="false" customHeight="false" outlineLevel="0" collapsed="false">
      <c r="A998" s="3" t="n">
        <f aca="false">IFERROR(__xludf.dummyfunction("""COMPUTED_VALUE"""),45644.6666666667)</f>
        <v>45644.6666666667</v>
      </c>
      <c r="B998" s="2" t="n">
        <f aca="false">IFERROR(__xludf.dummyfunction("""COMPUTED_VALUE"""),195.22)</f>
        <v>195.22</v>
      </c>
      <c r="C998" s="2" t="n">
        <f aca="false">IFERROR(__xludf.dummyfunction("""COMPUTED_VALUE"""),197)</f>
        <v>197</v>
      </c>
      <c r="D998" s="2" t="n">
        <f aca="false">IFERROR(__xludf.dummyfunction("""COMPUTED_VALUE"""),187.74)</f>
        <v>187.74</v>
      </c>
      <c r="E998" s="2" t="n">
        <f aca="false">IFERROR(__xludf.dummyfunction("""COMPUTED_VALUE"""),188.4)</f>
        <v>188.4</v>
      </c>
      <c r="F998" s="2" t="n">
        <f aca="false">IFERROR(__xludf.dummyfunction("""COMPUTED_VALUE"""),34166074)</f>
        <v>34166074</v>
      </c>
    </row>
    <row r="999" customFormat="false" ht="15.75" hidden="false" customHeight="false" outlineLevel="0" collapsed="false">
      <c r="A999" s="3" t="n">
        <f aca="false">IFERROR(__xludf.dummyfunction("""COMPUTED_VALUE"""),45645.6666666667)</f>
        <v>45645.6666666667</v>
      </c>
      <c r="B999" s="2" t="n">
        <f aca="false">IFERROR(__xludf.dummyfunction("""COMPUTED_VALUE"""),191.63)</f>
        <v>191.63</v>
      </c>
      <c r="C999" s="2" t="n">
        <f aca="false">IFERROR(__xludf.dummyfunction("""COMPUTED_VALUE"""),193.03)</f>
        <v>193.03</v>
      </c>
      <c r="D999" s="2" t="n">
        <f aca="false">IFERROR(__xludf.dummyfunction("""COMPUTED_VALUE"""),188.38)</f>
        <v>188.38</v>
      </c>
      <c r="E999" s="2" t="n">
        <f aca="false">IFERROR(__xludf.dummyfunction("""COMPUTED_VALUE"""),188.51)</f>
        <v>188.51</v>
      </c>
      <c r="F999" s="2" t="n">
        <f aca="false">IFERROR(__xludf.dummyfunction("""COMPUTED_VALUE"""),32265241)</f>
        <v>32265241</v>
      </c>
    </row>
    <row r="1000" customFormat="false" ht="15.75" hidden="false" customHeight="false" outlineLevel="0" collapsed="false">
      <c r="A1000" s="3" t="n">
        <f aca="false">IFERROR(__xludf.dummyfunction("""COMPUTED_VALUE"""),45646.6666666667)</f>
        <v>45646.6666666667</v>
      </c>
      <c r="B1000" s="2" t="n">
        <f aca="false">IFERROR(__xludf.dummyfunction("""COMPUTED_VALUE"""),185.78)</f>
        <v>185.78</v>
      </c>
      <c r="C1000" s="2" t="n">
        <f aca="false">IFERROR(__xludf.dummyfunction("""COMPUTED_VALUE"""),192.89)</f>
        <v>192.89</v>
      </c>
      <c r="D1000" s="2" t="n">
        <f aca="false">IFERROR(__xludf.dummyfunction("""COMPUTED_VALUE"""),185.22)</f>
        <v>185.22</v>
      </c>
      <c r="E1000" s="2" t="n">
        <f aca="false">IFERROR(__xludf.dummyfunction("""COMPUTED_VALUE"""),191.41)</f>
        <v>191.41</v>
      </c>
      <c r="F1000" s="2" t="n">
        <f aca="false">IFERROR(__xludf.dummyfunction("""COMPUTED_VALUE"""),63462934)</f>
        <v>63462934</v>
      </c>
    </row>
    <row r="1001" customFormat="false" ht="15.75" hidden="false" customHeight="false" outlineLevel="0" collapsed="false">
      <c r="A1001" s="3" t="n">
        <f aca="false">IFERROR(__xludf.dummyfunction("""COMPUTED_VALUE"""),45649.6666666667)</f>
        <v>45649.6666666667</v>
      </c>
      <c r="B1001" s="2" t="n">
        <f aca="false">IFERROR(__xludf.dummyfunction("""COMPUTED_VALUE"""),192.62)</f>
        <v>192.62</v>
      </c>
      <c r="C1001" s="2" t="n">
        <f aca="false">IFERROR(__xludf.dummyfunction("""COMPUTED_VALUE"""),195.1)</f>
        <v>195.1</v>
      </c>
      <c r="D1001" s="2" t="n">
        <f aca="false">IFERROR(__xludf.dummyfunction("""COMPUTED_VALUE"""),190.15)</f>
        <v>190.15</v>
      </c>
      <c r="E1001" s="2" t="n">
        <f aca="false">IFERROR(__xludf.dummyfunction("""COMPUTED_VALUE"""),194.63)</f>
        <v>194.63</v>
      </c>
      <c r="F1001" s="2" t="n">
        <f aca="false">IFERROR(__xludf.dummyfunction("""COMPUTED_VALUE"""),25675014)</f>
        <v>25675014</v>
      </c>
    </row>
    <row r="1002" customFormat="false" ht="15.75" hidden="false" customHeight="false" outlineLevel="0" collapsed="false">
      <c r="A1002" s="3" t="n">
        <f aca="false">IFERROR(__xludf.dummyfunction("""COMPUTED_VALUE"""),45650.5451388889)</f>
        <v>45650.5451388889</v>
      </c>
      <c r="B1002" s="2" t="n">
        <f aca="false">IFERROR(__xludf.dummyfunction("""COMPUTED_VALUE"""),194.84)</f>
        <v>194.84</v>
      </c>
      <c r="C1002" s="2" t="n">
        <f aca="false">IFERROR(__xludf.dummyfunction("""COMPUTED_VALUE"""),196.11)</f>
        <v>196.11</v>
      </c>
      <c r="D1002" s="2" t="n">
        <f aca="false">IFERROR(__xludf.dummyfunction("""COMPUTED_VALUE"""),193.78)</f>
        <v>193.78</v>
      </c>
      <c r="E1002" s="2" t="n">
        <f aca="false">IFERROR(__xludf.dummyfunction("""COMPUTED_VALUE"""),196.11)</f>
        <v>196.11</v>
      </c>
      <c r="F1002" s="2" t="n">
        <f aca="false">IFERROR(__xludf.dummyfunction("""COMPUTED_VALUE"""),10403259)</f>
        <v>10403259</v>
      </c>
    </row>
    <row r="1003" customFormat="false" ht="15.75" hidden="false" customHeight="false" outlineLevel="0" collapsed="false">
      <c r="A1003" s="3" t="n">
        <f aca="false">IFERROR(__xludf.dummyfunction("""COMPUTED_VALUE"""),45652.6666666667)</f>
        <v>45652.6666666667</v>
      </c>
      <c r="B1003" s="2" t="n">
        <f aca="false">IFERROR(__xludf.dummyfunction("""COMPUTED_VALUE"""),195.15)</f>
        <v>195.15</v>
      </c>
      <c r="C1003" s="2" t="n">
        <f aca="false">IFERROR(__xludf.dummyfunction("""COMPUTED_VALUE"""),196.75)</f>
        <v>196.75</v>
      </c>
      <c r="D1003" s="2" t="n">
        <f aca="false">IFERROR(__xludf.dummyfunction("""COMPUTED_VALUE"""),194.38)</f>
        <v>194.38</v>
      </c>
      <c r="E1003" s="2" t="n">
        <f aca="false">IFERROR(__xludf.dummyfunction("""COMPUTED_VALUE"""),195.6)</f>
        <v>195.6</v>
      </c>
      <c r="F1003" s="2" t="n">
        <f aca="false">IFERROR(__xludf.dummyfunction("""COMPUTED_VALUE"""),12057210)</f>
        <v>12057210</v>
      </c>
    </row>
    <row r="1004" customFormat="false" ht="15.75" hidden="false" customHeight="false" outlineLevel="0" collapsed="false">
      <c r="A1004" s="3" t="n">
        <f aca="false">IFERROR(__xludf.dummyfunction("""COMPUTED_VALUE"""),45653.6666666667)</f>
        <v>45653.6666666667</v>
      </c>
      <c r="B1004" s="2" t="n">
        <f aca="false">IFERROR(__xludf.dummyfunction("""COMPUTED_VALUE"""),194.95)</f>
        <v>194.95</v>
      </c>
      <c r="C1004" s="2" t="n">
        <f aca="false">IFERROR(__xludf.dummyfunction("""COMPUTED_VALUE"""),195.32)</f>
        <v>195.32</v>
      </c>
      <c r="D1004" s="2" t="n">
        <f aca="false">IFERROR(__xludf.dummyfunction("""COMPUTED_VALUE"""),190.65)</f>
        <v>190.65</v>
      </c>
      <c r="E1004" s="2" t="n">
        <f aca="false">IFERROR(__xludf.dummyfunction("""COMPUTED_VALUE"""),192.76)</f>
        <v>192.76</v>
      </c>
      <c r="F1004" s="2" t="n">
        <f aca="false">IFERROR(__xludf.dummyfunction("""COMPUTED_VALUE"""),18891362)</f>
        <v>18891362</v>
      </c>
    </row>
    <row r="1005" customFormat="false" ht="15.75" hidden="false" customHeight="false" outlineLevel="0" collapsed="false">
      <c r="A1005" s="3" t="n">
        <f aca="false">IFERROR(__xludf.dummyfunction("""COMPUTED_VALUE"""),45656.6666666667)</f>
        <v>45656.6666666667</v>
      </c>
      <c r="B1005" s="2" t="n">
        <f aca="false">IFERROR(__xludf.dummyfunction("""COMPUTED_VALUE"""),189.8)</f>
        <v>189.8</v>
      </c>
      <c r="C1005" s="2" t="n">
        <f aca="false">IFERROR(__xludf.dummyfunction("""COMPUTED_VALUE"""),192.55)</f>
        <v>192.55</v>
      </c>
      <c r="D1005" s="2" t="n">
        <f aca="false">IFERROR(__xludf.dummyfunction("""COMPUTED_VALUE"""),189.12)</f>
        <v>189.12</v>
      </c>
      <c r="E1005" s="2" t="n">
        <f aca="false">IFERROR(__xludf.dummyfunction("""COMPUTED_VALUE"""),191.24)</f>
        <v>191.24</v>
      </c>
      <c r="F1005" s="2" t="n">
        <f aca="false">IFERROR(__xludf.dummyfunction("""COMPUTED_VALUE"""),14264659)</f>
        <v>14264659</v>
      </c>
    </row>
    <row r="1006" customFormat="false" ht="15.75" hidden="false" customHeight="false" outlineLevel="0" collapsed="false">
      <c r="A1006" s="3" t="n">
        <f aca="false">IFERROR(__xludf.dummyfunction("""COMPUTED_VALUE"""),45657.6666666667)</f>
        <v>45657.6666666667</v>
      </c>
      <c r="B1006" s="2" t="n">
        <f aca="false">IFERROR(__xludf.dummyfunction("""COMPUTED_VALUE"""),191.08)</f>
        <v>191.08</v>
      </c>
      <c r="C1006" s="2" t="n">
        <f aca="false">IFERROR(__xludf.dummyfunction("""COMPUTED_VALUE"""),191.96)</f>
        <v>191.96</v>
      </c>
      <c r="D1006" s="2" t="n">
        <f aca="false">IFERROR(__xludf.dummyfunction("""COMPUTED_VALUE"""),188.51)</f>
        <v>188.51</v>
      </c>
      <c r="E1006" s="2" t="n">
        <f aca="false">IFERROR(__xludf.dummyfunction("""COMPUTED_VALUE"""),189.3)</f>
        <v>189.3</v>
      </c>
      <c r="F1006" s="2" t="n">
        <f aca="false">IFERROR(__xludf.dummyfunction("""COMPUTED_VALUE"""),17466919)</f>
        <v>17466919</v>
      </c>
    </row>
    <row r="1007" customFormat="false" ht="15.75" hidden="false" customHeight="false" outlineLevel="0" collapsed="false">
      <c r="A1007" s="3" t="n">
        <f aca="false">IFERROR(__xludf.dummyfunction("""COMPUTED_VALUE"""),45659.6666666667)</f>
        <v>45659.6666666667</v>
      </c>
      <c r="B1007" s="2" t="n">
        <f aca="false">IFERROR(__xludf.dummyfunction("""COMPUTED_VALUE"""),190.65)</f>
        <v>190.65</v>
      </c>
      <c r="C1007" s="2" t="n">
        <f aca="false">IFERROR(__xludf.dummyfunction("""COMPUTED_VALUE"""),192)</f>
        <v>192</v>
      </c>
      <c r="D1007" s="2" t="n">
        <f aca="false">IFERROR(__xludf.dummyfunction("""COMPUTED_VALUE"""),187.5)</f>
        <v>187.5</v>
      </c>
      <c r="E1007" s="2" t="n">
        <f aca="false">IFERROR(__xludf.dummyfunction("""COMPUTED_VALUE"""),189.43)</f>
        <v>189.43</v>
      </c>
      <c r="F1007" s="2" t="n">
        <f aca="false">IFERROR(__xludf.dummyfunction("""COMPUTED_VALUE"""),20370828)</f>
        <v>20370828</v>
      </c>
    </row>
    <row r="1008" customFormat="false" ht="15.75" hidden="false" customHeight="false" outlineLevel="0" collapsed="false">
      <c r="A1008" s="3" t="n">
        <f aca="false">IFERROR(__xludf.dummyfunction("""COMPUTED_VALUE"""),45660.6666666667)</f>
        <v>45660.6666666667</v>
      </c>
      <c r="B1008" s="2" t="n">
        <f aca="false">IFERROR(__xludf.dummyfunction("""COMPUTED_VALUE"""),191.37)</f>
        <v>191.37</v>
      </c>
      <c r="C1008" s="2" t="n">
        <f aca="false">IFERROR(__xludf.dummyfunction("""COMPUTED_VALUE"""),193.21)</f>
        <v>193.21</v>
      </c>
      <c r="D1008" s="2" t="n">
        <f aca="false">IFERROR(__xludf.dummyfunction("""COMPUTED_VALUE"""),189.98)</f>
        <v>189.98</v>
      </c>
      <c r="E1008" s="2" t="n">
        <f aca="false">IFERROR(__xludf.dummyfunction("""COMPUTED_VALUE"""),191.79)</f>
        <v>191.79</v>
      </c>
      <c r="F1008" s="2" t="n">
        <f aca="false">IFERROR(__xludf.dummyfunction("""COMPUTED_VALUE"""),18596159)</f>
        <v>18596159</v>
      </c>
    </row>
    <row r="1009" customFormat="false" ht="15.75" hidden="false" customHeight="false" outlineLevel="0" collapsed="false">
      <c r="A1009" s="3" t="n">
        <f aca="false">IFERROR(__xludf.dummyfunction("""COMPUTED_VALUE"""),45663.6666666667)</f>
        <v>45663.6666666667</v>
      </c>
      <c r="B1009" s="2" t="n">
        <f aca="false">IFERROR(__xludf.dummyfunction("""COMPUTED_VALUE"""),193.98)</f>
        <v>193.98</v>
      </c>
      <c r="C1009" s="2" t="n">
        <f aca="false">IFERROR(__xludf.dummyfunction("""COMPUTED_VALUE"""),198.22)</f>
        <v>198.22</v>
      </c>
      <c r="D1009" s="2" t="n">
        <f aca="false">IFERROR(__xludf.dummyfunction("""COMPUTED_VALUE"""),193.85)</f>
        <v>193.85</v>
      </c>
      <c r="E1009" s="2" t="n">
        <f aca="false">IFERROR(__xludf.dummyfunction("""COMPUTED_VALUE"""),196.87)</f>
        <v>196.87</v>
      </c>
      <c r="F1009" s="2" t="n">
        <f aca="false">IFERROR(__xludf.dummyfunction("""COMPUTED_VALUE"""),29563638)</f>
        <v>29563638</v>
      </c>
    </row>
    <row r="1010" customFormat="false" ht="15.75" hidden="false" customHeight="false" outlineLevel="0" collapsed="false">
      <c r="A1010" s="3" t="n">
        <f aca="false">IFERROR(__xludf.dummyfunction("""COMPUTED_VALUE"""),45664.6666666667)</f>
        <v>45664.6666666667</v>
      </c>
      <c r="B1010" s="2" t="n">
        <f aca="false">IFERROR(__xludf.dummyfunction("""COMPUTED_VALUE"""),197.11)</f>
        <v>197.11</v>
      </c>
      <c r="C1010" s="2" t="n">
        <f aca="false">IFERROR(__xludf.dummyfunction("""COMPUTED_VALUE"""),201)</f>
        <v>201</v>
      </c>
      <c r="D1010" s="2" t="n">
        <f aca="false">IFERROR(__xludf.dummyfunction("""COMPUTED_VALUE"""),194.6)</f>
        <v>194.6</v>
      </c>
      <c r="E1010" s="2" t="n">
        <f aca="false">IFERROR(__xludf.dummyfunction("""COMPUTED_VALUE"""),195.49)</f>
        <v>195.49</v>
      </c>
      <c r="F1010" s="2" t="n">
        <f aca="false">IFERROR(__xludf.dummyfunction("""COMPUTED_VALUE"""),26487244)</f>
        <v>26487244</v>
      </c>
    </row>
    <row r="1011" customFormat="false" ht="15.75" hidden="false" customHeight="false" outlineLevel="0" collapsed="false">
      <c r="A1011" s="3" t="n">
        <f aca="false">IFERROR(__xludf.dummyfunction("""COMPUTED_VALUE"""),45665.6666666667)</f>
        <v>45665.6666666667</v>
      </c>
      <c r="B1011" s="2" t="n">
        <f aca="false">IFERROR(__xludf.dummyfunction("""COMPUTED_VALUE"""),192.57)</f>
        <v>192.57</v>
      </c>
      <c r="C1011" s="2" t="n">
        <f aca="false">IFERROR(__xludf.dummyfunction("""COMPUTED_VALUE"""),196.29)</f>
        <v>196.29</v>
      </c>
      <c r="D1011" s="2" t="n">
        <f aca="false">IFERROR(__xludf.dummyfunction("""COMPUTED_VALUE"""),192.38)</f>
        <v>192.38</v>
      </c>
      <c r="E1011" s="2" t="n">
        <f aca="false">IFERROR(__xludf.dummyfunction("""COMPUTED_VALUE"""),193.95)</f>
        <v>193.95</v>
      </c>
      <c r="F1011" s="2" t="n">
        <f aca="false">IFERROR(__xludf.dummyfunction("""COMPUTED_VALUE"""),24864766)</f>
        <v>24864766</v>
      </c>
    </row>
    <row r="1012" customFormat="false" ht="15.75" hidden="false" customHeight="false" outlineLevel="0" collapsed="false">
      <c r="A1012" s="3" t="n">
        <f aca="false">IFERROR(__xludf.dummyfunction("""COMPUTED_VALUE"""),45667.6666666667)</f>
        <v>45667.6666666667</v>
      </c>
      <c r="B1012" s="2" t="n">
        <f aca="false">IFERROR(__xludf.dummyfunction("""COMPUTED_VALUE"""),194.3)</f>
        <v>194.3</v>
      </c>
      <c r="C1012" s="2" t="n">
        <f aca="false">IFERROR(__xludf.dummyfunction("""COMPUTED_VALUE"""),196.52)</f>
        <v>196.52</v>
      </c>
      <c r="D1012" s="2" t="n">
        <f aca="false">IFERROR(__xludf.dummyfunction("""COMPUTED_VALUE"""),190.31)</f>
        <v>190.31</v>
      </c>
      <c r="E1012" s="2" t="n">
        <f aca="false">IFERROR(__xludf.dummyfunction("""COMPUTED_VALUE"""),192.04)</f>
        <v>192.04</v>
      </c>
      <c r="F1012" s="2" t="n">
        <f aca="false">IFERROR(__xludf.dummyfunction("""COMPUTED_VALUE"""),26665206)</f>
        <v>26665206</v>
      </c>
    </row>
    <row r="1013" customFormat="false" ht="15.75" hidden="false" customHeight="false" outlineLevel="0" collapsed="false">
      <c r="A1013" s="3" t="n">
        <f aca="false">IFERROR(__xludf.dummyfunction("""COMPUTED_VALUE"""),45670.6666666667)</f>
        <v>45670.6666666667</v>
      </c>
      <c r="B1013" s="2" t="n">
        <f aca="false">IFERROR(__xludf.dummyfunction("""COMPUTED_VALUE"""),190.07)</f>
        <v>190.07</v>
      </c>
      <c r="C1013" s="2" t="n">
        <f aca="false">IFERROR(__xludf.dummyfunction("""COMPUTED_VALUE"""),191.18)</f>
        <v>191.18</v>
      </c>
      <c r="D1013" s="2" t="n">
        <f aca="false">IFERROR(__xludf.dummyfunction("""COMPUTED_VALUE"""),187.36)</f>
        <v>187.36</v>
      </c>
      <c r="E1013" s="2" t="n">
        <f aca="false">IFERROR(__xludf.dummyfunction("""COMPUTED_VALUE"""),191.01)</f>
        <v>191.01</v>
      </c>
      <c r="F1013" s="2" t="n">
        <f aca="false">IFERROR(__xludf.dummyfunction("""COMPUTED_VALUE"""),21823699)</f>
        <v>21823699</v>
      </c>
    </row>
    <row r="1014" customFormat="false" ht="15.75" hidden="false" customHeight="false" outlineLevel="0" collapsed="false">
      <c r="A1014" s="3" t="n">
        <f aca="false">IFERROR(__xludf.dummyfunction("""COMPUTED_VALUE"""),45671.6666666667)</f>
        <v>45671.6666666667</v>
      </c>
      <c r="B1014" s="2" t="n">
        <f aca="false">IFERROR(__xludf.dummyfunction("""COMPUTED_VALUE"""),191.24)</f>
        <v>191.24</v>
      </c>
      <c r="C1014" s="2" t="n">
        <f aca="false">IFERROR(__xludf.dummyfunction("""COMPUTED_VALUE"""),191.98)</f>
        <v>191.98</v>
      </c>
      <c r="D1014" s="2" t="n">
        <f aca="false">IFERROR(__xludf.dummyfunction("""COMPUTED_VALUE"""),188.31)</f>
        <v>188.31</v>
      </c>
      <c r="E1014" s="2" t="n">
        <f aca="false">IFERROR(__xludf.dummyfunction("""COMPUTED_VALUE"""),189.66)</f>
        <v>189.66</v>
      </c>
      <c r="F1014" s="2" t="n">
        <f aca="false">IFERROR(__xludf.dummyfunction("""COMPUTED_VALUE"""),17174854)</f>
        <v>17174854</v>
      </c>
    </row>
    <row r="1015" customFormat="false" ht="15.75" hidden="false" customHeight="false" outlineLevel="0" collapsed="false">
      <c r="A1015" s="3" t="n">
        <f aca="false">IFERROR(__xludf.dummyfunction("""COMPUTED_VALUE"""),45672.6666666667)</f>
        <v>45672.6666666667</v>
      </c>
      <c r="B1015" s="2" t="n">
        <f aca="false">IFERROR(__xludf.dummyfunction("""COMPUTED_VALUE"""),193.09)</f>
        <v>193.09</v>
      </c>
      <c r="C1015" s="2" t="n">
        <f aca="false">IFERROR(__xludf.dummyfunction("""COMPUTED_VALUE"""),196.36)</f>
        <v>196.36</v>
      </c>
      <c r="D1015" s="2" t="n">
        <f aca="false">IFERROR(__xludf.dummyfunction("""COMPUTED_VALUE"""),191.86)</f>
        <v>191.86</v>
      </c>
      <c r="E1015" s="2" t="n">
        <f aca="false">IFERROR(__xludf.dummyfunction("""COMPUTED_VALUE"""),195.55)</f>
        <v>195.55</v>
      </c>
      <c r="F1015" s="2" t="n">
        <f aca="false">IFERROR(__xludf.dummyfunction("""COMPUTED_VALUE"""),21775969)</f>
        <v>21775969</v>
      </c>
    </row>
    <row r="1016" customFormat="false" ht="15.75" hidden="false" customHeight="false" outlineLevel="0" collapsed="false">
      <c r="A1016" s="3" t="n">
        <f aca="false">IFERROR(__xludf.dummyfunction("""COMPUTED_VALUE"""),45673.6666666667)</f>
        <v>45673.6666666667</v>
      </c>
      <c r="B1016" s="2" t="n">
        <f aca="false">IFERROR(__xludf.dummyfunction("""COMPUTED_VALUE"""),194.14)</f>
        <v>194.14</v>
      </c>
      <c r="C1016" s="2" t="n">
        <f aca="false">IFERROR(__xludf.dummyfunction("""COMPUTED_VALUE"""),195.48)</f>
        <v>195.48</v>
      </c>
      <c r="D1016" s="2" t="n">
        <f aca="false">IFERROR(__xludf.dummyfunction("""COMPUTED_VALUE"""),192.81)</f>
        <v>192.81</v>
      </c>
      <c r="E1016" s="2" t="n">
        <f aca="false">IFERROR(__xludf.dummyfunction("""COMPUTED_VALUE"""),192.91)</f>
        <v>192.91</v>
      </c>
      <c r="F1016" s="2" t="n">
        <f aca="false">IFERROR(__xludf.dummyfunction("""COMPUTED_VALUE"""),17815432)</f>
        <v>17815432</v>
      </c>
    </row>
    <row r="1017" customFormat="false" ht="15.75" hidden="false" customHeight="false" outlineLevel="0" collapsed="false">
      <c r="A1017" s="3" t="n">
        <f aca="false">IFERROR(__xludf.dummyfunction("""COMPUTED_VALUE"""),45674.6666666667)</f>
        <v>45674.6666666667</v>
      </c>
      <c r="B1017" s="2" t="n">
        <f aca="false">IFERROR(__xludf.dummyfunction("""COMPUTED_VALUE"""),196.53)</f>
        <v>196.53</v>
      </c>
      <c r="C1017" s="2" t="n">
        <f aca="false">IFERROR(__xludf.dummyfunction("""COMPUTED_VALUE"""),197.23)</f>
        <v>197.23</v>
      </c>
      <c r="D1017" s="2" t="n">
        <f aca="false">IFERROR(__xludf.dummyfunction("""COMPUTED_VALUE"""),193.75)</f>
        <v>193.75</v>
      </c>
      <c r="E1017" s="2" t="n">
        <f aca="false">IFERROR(__xludf.dummyfunction("""COMPUTED_VALUE"""),196)</f>
        <v>196</v>
      </c>
      <c r="F1017" s="2" t="n">
        <f aca="false">IFERROR(__xludf.dummyfunction("""COMPUTED_VALUE"""),27735089)</f>
        <v>27735089</v>
      </c>
    </row>
    <row r="1018" customFormat="false" ht="15.75" hidden="false" customHeight="false" outlineLevel="0" collapsed="false">
      <c r="A1018" s="3" t="n">
        <f aca="false">IFERROR(__xludf.dummyfunction("""COMPUTED_VALUE"""),45678.6666666667)</f>
        <v>45678.6666666667</v>
      </c>
      <c r="B1018" s="2" t="n">
        <f aca="false">IFERROR(__xludf.dummyfunction("""COMPUTED_VALUE"""),199.07)</f>
        <v>199.07</v>
      </c>
      <c r="C1018" s="2" t="n">
        <f aca="false">IFERROR(__xludf.dummyfunction("""COMPUTED_VALUE"""),202.29)</f>
        <v>202.29</v>
      </c>
      <c r="D1018" s="2" t="n">
        <f aca="false">IFERROR(__xludf.dummyfunction("""COMPUTED_VALUE"""),197.87)</f>
        <v>197.87</v>
      </c>
      <c r="E1018" s="2" t="n">
        <f aca="false">IFERROR(__xludf.dummyfunction("""COMPUTED_VALUE"""),198.05)</f>
        <v>198.05</v>
      </c>
      <c r="F1018" s="2" t="n">
        <f aca="false">IFERROR(__xludf.dummyfunction("""COMPUTED_VALUE"""),29971292)</f>
        <v>29971292</v>
      </c>
    </row>
    <row r="1019" customFormat="false" ht="15.75" hidden="false" customHeight="false" outlineLevel="0" collapsed="false">
      <c r="A1019" s="3" t="n">
        <f aca="false">IFERROR(__xludf.dummyfunction("""COMPUTED_VALUE"""),45679.6666666667)</f>
        <v>45679.6666666667</v>
      </c>
      <c r="B1019" s="2" t="n">
        <f aca="false">IFERROR(__xludf.dummyfunction("""COMPUTED_VALUE"""),199.06)</f>
        <v>199.06</v>
      </c>
      <c r="C1019" s="2" t="n">
        <f aca="false">IFERROR(__xludf.dummyfunction("""COMPUTED_VALUE"""),200.48)</f>
        <v>200.48</v>
      </c>
      <c r="D1019" s="2" t="n">
        <f aca="false">IFERROR(__xludf.dummyfunction("""COMPUTED_VALUE"""),197.53)</f>
        <v>197.53</v>
      </c>
      <c r="E1019" s="2" t="n">
        <f aca="false">IFERROR(__xludf.dummyfunction("""COMPUTED_VALUE"""),198.37)</f>
        <v>198.37</v>
      </c>
      <c r="F1019" s="2" t="n">
        <f aca="false">IFERROR(__xludf.dummyfunction("""COMPUTED_VALUE"""),26200617)</f>
        <v>26200617</v>
      </c>
    </row>
    <row r="1020" customFormat="false" ht="15.75" hidden="false" customHeight="false" outlineLevel="0" collapsed="false">
      <c r="A1020" s="3" t="n">
        <f aca="false">IFERROR(__xludf.dummyfunction("""COMPUTED_VALUE"""),45680.6666666667)</f>
        <v>45680.6666666667</v>
      </c>
      <c r="B1020" s="2" t="n">
        <f aca="false">IFERROR(__xludf.dummyfunction("""COMPUTED_VALUE"""),198.14)</f>
        <v>198.14</v>
      </c>
      <c r="C1020" s="2" t="n">
        <f aca="false">IFERROR(__xludf.dummyfunction("""COMPUTED_VALUE"""),200.3)</f>
        <v>200.3</v>
      </c>
      <c r="D1020" s="2" t="n">
        <f aca="false">IFERROR(__xludf.dummyfunction("""COMPUTED_VALUE"""),195.2)</f>
        <v>195.2</v>
      </c>
      <c r="E1020" s="2" t="n">
        <f aca="false">IFERROR(__xludf.dummyfunction("""COMPUTED_VALUE"""),197.98)</f>
        <v>197.98</v>
      </c>
      <c r="F1020" s="2" t="n">
        <f aca="false">IFERROR(__xludf.dummyfunction("""COMPUTED_VALUE"""),26951357)</f>
        <v>26951357</v>
      </c>
    </row>
    <row r="1021" customFormat="false" ht="15.75" hidden="false" customHeight="false" outlineLevel="0" collapsed="false">
      <c r="A1021" s="3" t="n">
        <f aca="false">IFERROR(__xludf.dummyfunction("""COMPUTED_VALUE"""),45681.6666666667)</f>
        <v>45681.6666666667</v>
      </c>
      <c r="B1021" s="2" t="n">
        <f aca="false">IFERROR(__xludf.dummyfunction("""COMPUTED_VALUE"""),198.1)</f>
        <v>198.1</v>
      </c>
      <c r="C1021" s="2" t="n">
        <f aca="false">IFERROR(__xludf.dummyfunction("""COMPUTED_VALUE"""),200.9)</f>
        <v>200.9</v>
      </c>
      <c r="D1021" s="2" t="n">
        <f aca="false">IFERROR(__xludf.dummyfunction("""COMPUTED_VALUE"""),198)</f>
        <v>198</v>
      </c>
      <c r="E1021" s="2" t="n">
        <f aca="false">IFERROR(__xludf.dummyfunction("""COMPUTED_VALUE"""),200.21)</f>
        <v>200.21</v>
      </c>
      <c r="F1021" s="2" t="n">
        <f aca="false">IFERROR(__xludf.dummyfunction("""COMPUTED_VALUE"""),23877521)</f>
        <v>23877521</v>
      </c>
    </row>
    <row r="1022" customFormat="false" ht="15.75" hidden="false" customHeight="false" outlineLevel="0" collapsed="false">
      <c r="A1022" s="3" t="n">
        <f aca="false">IFERROR(__xludf.dummyfunction("""COMPUTED_VALUE"""),45684.6666666667)</f>
        <v>45684.6666666667</v>
      </c>
      <c r="B1022" s="2" t="n">
        <f aca="false">IFERROR(__xludf.dummyfunction("""COMPUTED_VALUE"""),192.41)</f>
        <v>192.41</v>
      </c>
      <c r="C1022" s="2" t="n">
        <f aca="false">IFERROR(__xludf.dummyfunction("""COMPUTED_VALUE"""),196.88)</f>
        <v>196.88</v>
      </c>
      <c r="D1022" s="2" t="n">
        <f aca="false">IFERROR(__xludf.dummyfunction("""COMPUTED_VALUE"""),190.73)</f>
        <v>190.73</v>
      </c>
      <c r="E1022" s="2" t="n">
        <f aca="false">IFERROR(__xludf.dummyfunction("""COMPUTED_VALUE"""),191.81)</f>
        <v>191.81</v>
      </c>
      <c r="F1022" s="2" t="n">
        <f aca="false">IFERROR(__xludf.dummyfunction("""COMPUTED_VALUE"""),41728893)</f>
        <v>41728893</v>
      </c>
    </row>
    <row r="1023" customFormat="false" ht="15.75" hidden="false" customHeight="false" outlineLevel="0" collapsed="false">
      <c r="A1023" s="3" t="n">
        <f aca="false">IFERROR(__xludf.dummyfunction("""COMPUTED_VALUE"""),45685.6666666667)</f>
        <v>45685.6666666667</v>
      </c>
      <c r="B1023" s="2" t="n">
        <f aca="false">IFERROR(__xludf.dummyfunction("""COMPUTED_VALUE"""),192.75)</f>
        <v>192.75</v>
      </c>
      <c r="C1023" s="2" t="n">
        <f aca="false">IFERROR(__xludf.dummyfunction("""COMPUTED_VALUE"""),195.48)</f>
        <v>195.48</v>
      </c>
      <c r="D1023" s="2" t="n">
        <f aca="false">IFERROR(__xludf.dummyfunction("""COMPUTED_VALUE"""),190.68)</f>
        <v>190.68</v>
      </c>
      <c r="E1023" s="2" t="n">
        <f aca="false">IFERROR(__xludf.dummyfunction("""COMPUTED_VALUE"""),195.3)</f>
        <v>195.3</v>
      </c>
      <c r="F1023" s="2" t="n">
        <f aca="false">IFERROR(__xludf.dummyfunction("""COMPUTED_VALUE"""),24157929)</f>
        <v>24157929</v>
      </c>
    </row>
    <row r="1024" customFormat="false" ht="15.75" hidden="false" customHeight="false" outlineLevel="0" collapsed="false">
      <c r="A1024" s="3" t="n">
        <f aca="false">IFERROR(__xludf.dummyfunction("""COMPUTED_VALUE"""),45686.6666666667)</f>
        <v>45686.6666666667</v>
      </c>
      <c r="B1024" s="2" t="n">
        <f aca="false">IFERROR(__xludf.dummyfunction("""COMPUTED_VALUE"""),195.56)</f>
        <v>195.56</v>
      </c>
      <c r="C1024" s="2" t="n">
        <f aca="false">IFERROR(__xludf.dummyfunction("""COMPUTED_VALUE"""),196.79)</f>
        <v>196.79</v>
      </c>
      <c r="D1024" s="2" t="n">
        <f aca="false">IFERROR(__xludf.dummyfunction("""COMPUTED_VALUE"""),193.43)</f>
        <v>193.43</v>
      </c>
      <c r="E1024" s="2" t="n">
        <f aca="false">IFERROR(__xludf.dummyfunction("""COMPUTED_VALUE"""),195.41)</f>
        <v>195.41</v>
      </c>
      <c r="F1024" s="2" t="n">
        <f aca="false">IFERROR(__xludf.dummyfunction("""COMPUTED_VALUE"""),18218256)</f>
        <v>18218256</v>
      </c>
    </row>
    <row r="1025" customFormat="false" ht="15.75" hidden="false" customHeight="false" outlineLevel="0" collapsed="false">
      <c r="A1025" s="3" t="n">
        <f aca="false">IFERROR(__xludf.dummyfunction("""COMPUTED_VALUE"""),45687.6666666667)</f>
        <v>45687.6666666667</v>
      </c>
      <c r="B1025" s="2" t="n">
        <f aca="false">IFERROR(__xludf.dummyfunction("""COMPUTED_VALUE"""),198)</f>
        <v>198</v>
      </c>
      <c r="C1025" s="2" t="n">
        <f aca="false">IFERROR(__xludf.dummyfunction("""COMPUTED_VALUE"""),201.4)</f>
        <v>201.4</v>
      </c>
      <c r="D1025" s="2" t="n">
        <f aca="false">IFERROR(__xludf.dummyfunction("""COMPUTED_VALUE"""),197.67)</f>
        <v>197.67</v>
      </c>
      <c r="E1025" s="2" t="n">
        <f aca="false">IFERROR(__xludf.dummyfunction("""COMPUTED_VALUE"""),200.87)</f>
        <v>200.87</v>
      </c>
      <c r="F1025" s="2" t="n">
        <f aca="false">IFERROR(__xludf.dummyfunction("""COMPUTED_VALUE"""),24354684)</f>
        <v>24354684</v>
      </c>
    </row>
    <row r="1026" customFormat="false" ht="15.75" hidden="false" customHeight="false" outlineLevel="0" collapsed="false">
      <c r="A1026" s="3" t="n">
        <f aca="false">IFERROR(__xludf.dummyfunction("""COMPUTED_VALUE"""),45688.6666666667)</f>
        <v>45688.6666666667</v>
      </c>
      <c r="B1026" s="2" t="n">
        <f aca="false">IFERROR(__xludf.dummyfunction("""COMPUTED_VALUE"""),202)</f>
        <v>202</v>
      </c>
      <c r="C1026" s="2" t="n">
        <f aca="false">IFERROR(__xludf.dummyfunction("""COMPUTED_VALUE"""),205.48)</f>
        <v>205.48</v>
      </c>
      <c r="D1026" s="2" t="n">
        <f aca="false">IFERROR(__xludf.dummyfunction("""COMPUTED_VALUE"""),201.8)</f>
        <v>201.8</v>
      </c>
      <c r="E1026" s="2" t="n">
        <f aca="false">IFERROR(__xludf.dummyfunction("""COMPUTED_VALUE"""),204.02)</f>
        <v>204.02</v>
      </c>
      <c r="F1026" s="2" t="n">
        <f aca="false">IFERROR(__xludf.dummyfunction("""COMPUTED_VALUE"""),32041952)</f>
        <v>32041952</v>
      </c>
    </row>
    <row r="1027" customFormat="false" ht="15.75" hidden="false" customHeight="false" outlineLevel="0" collapsed="false">
      <c r="A1027" s="3" t="n">
        <f aca="false">IFERROR(__xludf.dummyfunction("""COMPUTED_VALUE"""),45691.6666666667)</f>
        <v>45691.6666666667</v>
      </c>
      <c r="B1027" s="2" t="n">
        <f aca="false">IFERROR(__xludf.dummyfunction("""COMPUTED_VALUE"""),200.69)</f>
        <v>200.69</v>
      </c>
      <c r="C1027" s="2" t="n">
        <f aca="false">IFERROR(__xludf.dummyfunction("""COMPUTED_VALUE"""),203.75)</f>
        <v>203.75</v>
      </c>
      <c r="D1027" s="2" t="n">
        <f aca="false">IFERROR(__xludf.dummyfunction("""COMPUTED_VALUE"""),200.1)</f>
        <v>200.1</v>
      </c>
      <c r="E1027" s="2" t="n">
        <f aca="false">IFERROR(__xludf.dummyfunction("""COMPUTED_VALUE"""),201.23)</f>
        <v>201.23</v>
      </c>
      <c r="F1027" s="2" t="n">
        <f aca="false">IFERROR(__xludf.dummyfunction("""COMPUTED_VALUE"""),27838348)</f>
        <v>27838348</v>
      </c>
    </row>
    <row r="1028" customFormat="false" ht="15.75" hidden="false" customHeight="false" outlineLevel="0" collapsed="false">
      <c r="A1028" s="3" t="n">
        <f aca="false">IFERROR(__xludf.dummyfunction("""COMPUTED_VALUE"""),45692.6666666667)</f>
        <v>45692.6666666667</v>
      </c>
      <c r="B1028" s="2" t="n">
        <f aca="false">IFERROR(__xludf.dummyfunction("""COMPUTED_VALUE"""),203.39)</f>
        <v>203.39</v>
      </c>
      <c r="C1028" s="2" t="n">
        <f aca="false">IFERROR(__xludf.dummyfunction("""COMPUTED_VALUE"""),207.05)</f>
        <v>207.05</v>
      </c>
      <c r="D1028" s="2" t="n">
        <f aca="false">IFERROR(__xludf.dummyfunction("""COMPUTED_VALUE"""),202.81)</f>
        <v>202.81</v>
      </c>
      <c r="E1028" s="2" t="n">
        <f aca="false">IFERROR(__xludf.dummyfunction("""COMPUTED_VALUE"""),206.38)</f>
        <v>206.38</v>
      </c>
      <c r="F1028" s="2" t="n">
        <f aca="false">IFERROR(__xludf.dummyfunction("""COMPUTED_VALUE"""),43856425)</f>
        <v>43856425</v>
      </c>
    </row>
    <row r="1029" customFormat="false" ht="15.75" hidden="false" customHeight="false" outlineLevel="0" collapsed="false">
      <c r="A1029" s="3" t="n">
        <f aca="false">IFERROR(__xludf.dummyfunction("""COMPUTED_VALUE"""),45693.6666666667)</f>
        <v>45693.6666666667</v>
      </c>
      <c r="B1029" s="2" t="n">
        <f aca="false">IFERROR(__xludf.dummyfunction("""COMPUTED_VALUE"""),191.07)</f>
        <v>191.07</v>
      </c>
      <c r="C1029" s="2" t="n">
        <f aca="false">IFERROR(__xludf.dummyfunction("""COMPUTED_VALUE"""),192.75)</f>
        <v>192.75</v>
      </c>
      <c r="D1029" s="2" t="n">
        <f aca="false">IFERROR(__xludf.dummyfunction("""COMPUTED_VALUE"""),188.03)</f>
        <v>188.03</v>
      </c>
      <c r="E1029" s="2" t="n">
        <f aca="false">IFERROR(__xludf.dummyfunction("""COMPUTED_VALUE"""),191.33)</f>
        <v>191.33</v>
      </c>
      <c r="F1029" s="2" t="n">
        <f aca="false">IFERROR(__xludf.dummyfunction("""COMPUTED_VALUE"""),70461770)</f>
        <v>70461770</v>
      </c>
    </row>
    <row r="1030" customFormat="false" ht="15.75" hidden="false" customHeight="false" outlineLevel="0" collapsed="false">
      <c r="A1030" s="3" t="n">
        <f aca="false">IFERROR(__xludf.dummyfunction("""COMPUTED_VALUE"""),45694.6666666667)</f>
        <v>45694.6666666667</v>
      </c>
      <c r="B1030" s="2" t="n">
        <f aca="false">IFERROR(__xludf.dummyfunction("""COMPUTED_VALUE"""),189.5)</f>
        <v>189.5</v>
      </c>
      <c r="C1030" s="2" t="n">
        <f aca="false">IFERROR(__xludf.dummyfunction("""COMPUTED_VALUE"""),192.1)</f>
        <v>192.1</v>
      </c>
      <c r="D1030" s="2" t="n">
        <f aca="false">IFERROR(__xludf.dummyfunction("""COMPUTED_VALUE"""),188.72)</f>
        <v>188.72</v>
      </c>
      <c r="E1030" s="2" t="n">
        <f aca="false">IFERROR(__xludf.dummyfunction("""COMPUTED_VALUE"""),191.6)</f>
        <v>191.6</v>
      </c>
      <c r="F1030" s="2" t="n">
        <f aca="false">IFERROR(__xludf.dummyfunction("""COMPUTED_VALUE"""),29297442)</f>
        <v>29297442</v>
      </c>
    </row>
    <row r="1031" customFormat="false" ht="15.75" hidden="false" customHeight="false" outlineLevel="0" collapsed="false">
      <c r="A1031" s="3" t="n">
        <f aca="false">IFERROR(__xludf.dummyfunction("""COMPUTED_VALUE"""),45695.6666666667)</f>
        <v>45695.6666666667</v>
      </c>
      <c r="B1031" s="2" t="n">
        <f aca="false">IFERROR(__xludf.dummyfunction("""COMPUTED_VALUE"""),191.05)</f>
        <v>191.05</v>
      </c>
      <c r="C1031" s="2" t="n">
        <f aca="false">IFERROR(__xludf.dummyfunction("""COMPUTED_VALUE"""),191.18)</f>
        <v>191.18</v>
      </c>
      <c r="D1031" s="2" t="n">
        <f aca="false">IFERROR(__xludf.dummyfunction("""COMPUTED_VALUE"""),183.24)</f>
        <v>183.24</v>
      </c>
      <c r="E1031" s="2" t="n">
        <f aca="false">IFERROR(__xludf.dummyfunction("""COMPUTED_VALUE"""),185.34)</f>
        <v>185.34</v>
      </c>
      <c r="F1031" s="2" t="n">
        <f aca="false">IFERROR(__xludf.dummyfunction("""COMPUTED_VALUE"""),49314961)</f>
        <v>49314961</v>
      </c>
    </row>
    <row r="1032" customFormat="false" ht="15.75" hidden="false" customHeight="false" outlineLevel="0" collapsed="false">
      <c r="A1032" s="3" t="n">
        <f aca="false">IFERROR(__xludf.dummyfunction("""COMPUTED_VALUE"""),45698.6666666667)</f>
        <v>45698.6666666667</v>
      </c>
      <c r="B1032" s="2" t="n">
        <f aca="false">IFERROR(__xludf.dummyfunction("""COMPUTED_VALUE"""),187.35)</f>
        <v>187.35</v>
      </c>
      <c r="C1032" s="2" t="n">
        <f aca="false">IFERROR(__xludf.dummyfunction("""COMPUTED_VALUE"""),188.2)</f>
        <v>188.2</v>
      </c>
      <c r="D1032" s="2" t="n">
        <f aca="false">IFERROR(__xludf.dummyfunction("""COMPUTED_VALUE"""),185.86)</f>
        <v>185.86</v>
      </c>
      <c r="E1032" s="2" t="n">
        <f aca="false">IFERROR(__xludf.dummyfunction("""COMPUTED_VALUE"""),186.47)</f>
        <v>186.47</v>
      </c>
      <c r="F1032" s="2" t="n">
        <f aca="false">IFERROR(__xludf.dummyfunction("""COMPUTED_VALUE"""),23105649)</f>
        <v>23105649</v>
      </c>
    </row>
    <row r="1033" customFormat="false" ht="15.75" hidden="false" customHeight="false" outlineLevel="0" collapsed="false">
      <c r="A1033" s="3" t="n">
        <f aca="false">IFERROR(__xludf.dummyfunction("""COMPUTED_VALUE"""),45699.6666666667)</f>
        <v>45699.6666666667</v>
      </c>
      <c r="B1033" s="2" t="n">
        <f aca="false">IFERROR(__xludf.dummyfunction("""COMPUTED_VALUE"""),185.03)</f>
        <v>185.03</v>
      </c>
      <c r="C1033" s="2" t="n">
        <f aca="false">IFERROR(__xludf.dummyfunction("""COMPUTED_VALUE"""),186.94)</f>
        <v>186.94</v>
      </c>
      <c r="D1033" s="2" t="n">
        <f aca="false">IFERROR(__xludf.dummyfunction("""COMPUTED_VALUE"""),184.28)</f>
        <v>184.28</v>
      </c>
      <c r="E1033" s="2" t="n">
        <f aca="false">IFERROR(__xludf.dummyfunction("""COMPUTED_VALUE"""),185.32)</f>
        <v>185.32</v>
      </c>
      <c r="F1033" s="2" t="n">
        <f aca="false">IFERROR(__xludf.dummyfunction("""COMPUTED_VALUE"""),21239519)</f>
        <v>21239519</v>
      </c>
    </row>
    <row r="1034" customFormat="false" ht="15.75" hidden="false" customHeight="false" outlineLevel="0" collapsed="false">
      <c r="A1034" s="3" t="n">
        <f aca="false">IFERROR(__xludf.dummyfunction("""COMPUTED_VALUE"""),45700.6666666667)</f>
        <v>45700.6666666667</v>
      </c>
      <c r="B1034" s="2" t="n">
        <f aca="false">IFERROR(__xludf.dummyfunction("""COMPUTED_VALUE"""),183.22)</f>
        <v>183.22</v>
      </c>
      <c r="C1034" s="2" t="n">
        <f aca="false">IFERROR(__xludf.dummyfunction("""COMPUTED_VALUE"""),185.11)</f>
        <v>185.11</v>
      </c>
      <c r="D1034" s="2" t="n">
        <f aca="false">IFERROR(__xludf.dummyfunction("""COMPUTED_VALUE"""),181.83)</f>
        <v>181.83</v>
      </c>
      <c r="E1034" s="2" t="n">
        <f aca="false">IFERROR(__xludf.dummyfunction("""COMPUTED_VALUE"""),183.61)</f>
        <v>183.61</v>
      </c>
      <c r="F1034" s="2" t="n">
        <f aca="false">IFERROR(__xludf.dummyfunction("""COMPUTED_VALUE"""),22072559)</f>
        <v>22072559</v>
      </c>
    </row>
    <row r="1035" customFormat="false" ht="15.75" hidden="false" customHeight="false" outlineLevel="0" collapsed="false">
      <c r="A1035" s="3" t="n">
        <f aca="false">IFERROR(__xludf.dummyfunction("""COMPUTED_VALUE"""),45701.6666666667)</f>
        <v>45701.6666666667</v>
      </c>
      <c r="B1035" s="2" t="n">
        <f aca="false">IFERROR(__xludf.dummyfunction("""COMPUTED_VALUE"""),184.32)</f>
        <v>184.32</v>
      </c>
      <c r="C1035" s="2" t="n">
        <f aca="false">IFERROR(__xludf.dummyfunction("""COMPUTED_VALUE"""),186.28)</f>
        <v>186.28</v>
      </c>
      <c r="D1035" s="2" t="n">
        <f aca="false">IFERROR(__xludf.dummyfunction("""COMPUTED_VALUE"""),183.14)</f>
        <v>183.14</v>
      </c>
      <c r="E1035" s="2" t="n">
        <f aca="false">IFERROR(__xludf.dummyfunction("""COMPUTED_VALUE"""),186.14)</f>
        <v>186.14</v>
      </c>
      <c r="F1035" s="2" t="n">
        <f aca="false">IFERROR(__xludf.dummyfunction("""COMPUTED_VALUE"""),21402523)</f>
        <v>21402523</v>
      </c>
    </row>
    <row r="1036" customFormat="false" ht="15.75" hidden="false" customHeight="false" outlineLevel="0" collapsed="false">
      <c r="A1036" s="3" t="n">
        <f aca="false">IFERROR(__xludf.dummyfunction("""COMPUTED_VALUE"""),45702.6666666667)</f>
        <v>45702.6666666667</v>
      </c>
      <c r="B1036" s="2" t="n">
        <f aca="false">IFERROR(__xludf.dummyfunction("""COMPUTED_VALUE"""),185.06)</f>
        <v>185.06</v>
      </c>
      <c r="C1036" s="2" t="n">
        <f aca="false">IFERROR(__xludf.dummyfunction("""COMPUTED_VALUE"""),186.4)</f>
        <v>186.4</v>
      </c>
      <c r="D1036" s="2" t="n">
        <f aca="false">IFERROR(__xludf.dummyfunction("""COMPUTED_VALUE"""),184.32)</f>
        <v>184.32</v>
      </c>
      <c r="E1036" s="2" t="n">
        <f aca="false">IFERROR(__xludf.dummyfunction("""COMPUTED_VALUE"""),185.23)</f>
        <v>185.23</v>
      </c>
      <c r="F1036" s="2" t="n">
        <f aca="false">IFERROR(__xludf.dummyfunction("""COMPUTED_VALUE"""),20448437)</f>
        <v>20448437</v>
      </c>
    </row>
    <row r="1037" customFormat="false" ht="15.75" hidden="false" customHeight="false" outlineLevel="0" collapsed="false">
      <c r="A1037" s="3" t="n">
        <f aca="false">IFERROR(__xludf.dummyfunction("""COMPUTED_VALUE"""),45706.6666666667)</f>
        <v>45706.6666666667</v>
      </c>
      <c r="B1037" s="2" t="n">
        <f aca="false">IFERROR(__xludf.dummyfunction("""COMPUTED_VALUE"""),185.6)</f>
        <v>185.6</v>
      </c>
      <c r="C1037" s="2" t="n">
        <f aca="false">IFERROR(__xludf.dummyfunction("""COMPUTED_VALUE"""),185.96)</f>
        <v>185.96</v>
      </c>
      <c r="D1037" s="2" t="n">
        <f aca="false">IFERROR(__xludf.dummyfunction("""COMPUTED_VALUE"""),181.74)</f>
        <v>181.74</v>
      </c>
      <c r="E1037" s="2" t="n">
        <f aca="false">IFERROR(__xludf.dummyfunction("""COMPUTED_VALUE"""),183.77)</f>
        <v>183.77</v>
      </c>
      <c r="F1037" s="2" t="n">
        <f aca="false">IFERROR(__xludf.dummyfunction("""COMPUTED_VALUE"""),29916675)</f>
        <v>29916675</v>
      </c>
    </row>
    <row r="1038" customFormat="false" ht="15.75" hidden="false" customHeight="false" outlineLevel="0" collapsed="false">
      <c r="A1038" s="3" t="n">
        <f aca="false">IFERROR(__xludf.dummyfunction("""COMPUTED_VALUE"""),45707.6666666667)</f>
        <v>45707.6666666667</v>
      </c>
      <c r="B1038" s="2" t="n">
        <f aca="false">IFERROR(__xludf.dummyfunction("""COMPUTED_VALUE"""),184.07)</f>
        <v>184.07</v>
      </c>
      <c r="C1038" s="2" t="n">
        <f aca="false">IFERROR(__xludf.dummyfunction("""COMPUTED_VALUE"""),185.46)</f>
        <v>185.46</v>
      </c>
      <c r="D1038" s="2" t="n">
        <f aca="false">IFERROR(__xludf.dummyfunction("""COMPUTED_VALUE"""),183.59)</f>
        <v>183.59</v>
      </c>
      <c r="E1038" s="2" t="n">
        <f aca="false">IFERROR(__xludf.dummyfunction("""COMPUTED_VALUE"""),185.27)</f>
        <v>185.27</v>
      </c>
      <c r="F1038" s="2" t="n">
        <f aca="false">IFERROR(__xludf.dummyfunction("""COMPUTED_VALUE"""),19549396)</f>
        <v>19549396</v>
      </c>
    </row>
    <row r="1039" customFormat="false" ht="15.75" hidden="false" customHeight="false" outlineLevel="0" collapsed="false">
      <c r="A1039" s="3" t="n">
        <f aca="false">IFERROR(__xludf.dummyfunction("""COMPUTED_VALUE"""),45708.6666666667)</f>
        <v>45708.6666666667</v>
      </c>
      <c r="B1039" s="2" t="n">
        <f aca="false">IFERROR(__xludf.dummyfunction("""COMPUTED_VALUE"""),184.8)</f>
        <v>184.8</v>
      </c>
      <c r="C1039" s="2" t="n">
        <f aca="false">IFERROR(__xludf.dummyfunction("""COMPUTED_VALUE"""),185.31)</f>
        <v>185.31</v>
      </c>
      <c r="D1039" s="2" t="n">
        <f aca="false">IFERROR(__xludf.dummyfunction("""COMPUTED_VALUE"""),182.72)</f>
        <v>182.72</v>
      </c>
      <c r="E1039" s="2" t="n">
        <f aca="false">IFERROR(__xludf.dummyfunction("""COMPUTED_VALUE"""),184.56)</f>
        <v>184.56</v>
      </c>
      <c r="F1039" s="2" t="n">
        <f aca="false">IFERROR(__xludf.dummyfunction("""COMPUTED_VALUE"""),20441462)</f>
        <v>20441462</v>
      </c>
    </row>
    <row r="1040" customFormat="false" ht="15.75" hidden="false" customHeight="false" outlineLevel="0" collapsed="false">
      <c r="A1040" s="3" t="n">
        <f aca="false">IFERROR(__xludf.dummyfunction("""COMPUTED_VALUE"""),45709.6666666667)</f>
        <v>45709.6666666667</v>
      </c>
      <c r="B1040" s="2" t="n">
        <f aca="false">IFERROR(__xludf.dummyfunction("""COMPUTED_VALUE"""),185.15)</f>
        <v>185.15</v>
      </c>
      <c r="C1040" s="2" t="n">
        <f aca="false">IFERROR(__xludf.dummyfunction("""COMPUTED_VALUE"""),185.34)</f>
        <v>185.34</v>
      </c>
      <c r="D1040" s="2" t="n">
        <f aca="false">IFERROR(__xludf.dummyfunction("""COMPUTED_VALUE"""),179.08)</f>
        <v>179.08</v>
      </c>
      <c r="E1040" s="2" t="n">
        <f aca="false">IFERROR(__xludf.dummyfunction("""COMPUTED_VALUE"""),179.66)</f>
        <v>179.66</v>
      </c>
      <c r="F1040" s="2" t="n">
        <f aca="false">IFERROR(__xludf.dummyfunction("""COMPUTED_VALUE"""),35199239)</f>
        <v>35199239</v>
      </c>
    </row>
    <row r="1041" customFormat="false" ht="15.75" hidden="false" customHeight="false" outlineLevel="0" collapsed="false">
      <c r="A1041" s="3" t="n">
        <f aca="false">IFERROR(__xludf.dummyfunction("""COMPUTED_VALUE"""),45712.6666666667)</f>
        <v>45712.6666666667</v>
      </c>
      <c r="B1041" s="2" t="n">
        <f aca="false">IFERROR(__xludf.dummyfunction("""COMPUTED_VALUE"""),181.99)</f>
        <v>181.99</v>
      </c>
      <c r="C1041" s="2" t="n">
        <f aca="false">IFERROR(__xludf.dummyfunction("""COMPUTED_VALUE"""),183.12)</f>
        <v>183.12</v>
      </c>
      <c r="D1041" s="2" t="n">
        <f aca="false">IFERROR(__xludf.dummyfunction("""COMPUTED_VALUE"""),178.89)</f>
        <v>178.89</v>
      </c>
      <c r="E1041" s="2" t="n">
        <f aca="false">IFERROR(__xludf.dummyfunction("""COMPUTED_VALUE"""),179.25)</f>
        <v>179.25</v>
      </c>
      <c r="F1041" s="2" t="n">
        <f aca="false">IFERROR(__xludf.dummyfunction("""COMPUTED_VALUE"""),29854206)</f>
        <v>29854206</v>
      </c>
    </row>
    <row r="1042" customFormat="false" ht="15.75" hidden="false" customHeight="false" outlineLevel="0" collapsed="false">
      <c r="A1042" s="3" t="n">
        <f aca="false">IFERROR(__xludf.dummyfunction("""COMPUTED_VALUE"""),45713.6666666667)</f>
        <v>45713.6666666667</v>
      </c>
      <c r="B1042" s="2" t="n">
        <f aca="false">IFERROR(__xludf.dummyfunction("""COMPUTED_VALUE"""),178.04)</f>
        <v>178.04</v>
      </c>
      <c r="C1042" s="2" t="n">
        <f aca="false">IFERROR(__xludf.dummyfunction("""COMPUTED_VALUE"""),178.74)</f>
        <v>178.74</v>
      </c>
      <c r="D1042" s="2" t="n">
        <f aca="false">IFERROR(__xludf.dummyfunction("""COMPUTED_VALUE"""),174.69)</f>
        <v>174.69</v>
      </c>
      <c r="E1042" s="2" t="n">
        <f aca="false">IFERROR(__xludf.dummyfunction("""COMPUTED_VALUE"""),175.42)</f>
        <v>175.42</v>
      </c>
      <c r="F1042" s="2" t="n">
        <f aca="false">IFERROR(__xludf.dummyfunction("""COMPUTED_VALUE"""),41913411)</f>
        <v>41913411</v>
      </c>
    </row>
    <row r="1043" customFormat="false" ht="15.75" hidden="false" customHeight="false" outlineLevel="0" collapsed="false">
      <c r="A1043" s="3" t="n">
        <f aca="false">IFERROR(__xludf.dummyfunction("""COMPUTED_VALUE"""),45714.6666666667)</f>
        <v>45714.6666666667</v>
      </c>
      <c r="B1043" s="2" t="n">
        <f aca="false">IFERROR(__xludf.dummyfunction("""COMPUTED_VALUE"""),175.07)</f>
        <v>175.07</v>
      </c>
      <c r="C1043" s="2" t="n">
        <f aca="false">IFERROR(__xludf.dummyfunction("""COMPUTED_VALUE"""),176.08)</f>
        <v>176.08</v>
      </c>
      <c r="D1043" s="2" t="n">
        <f aca="false">IFERROR(__xludf.dummyfunction("""COMPUTED_VALUE"""),171.58)</f>
        <v>171.58</v>
      </c>
      <c r="E1043" s="2" t="n">
        <f aca="false">IFERROR(__xludf.dummyfunction("""COMPUTED_VALUE"""),172.73)</f>
        <v>172.73</v>
      </c>
      <c r="F1043" s="2" t="n">
        <f aca="false">IFERROR(__xludf.dummyfunction("""COMPUTED_VALUE"""),35431268)</f>
        <v>35431268</v>
      </c>
    </row>
    <row r="1044" customFormat="false" ht="15.75" hidden="false" customHeight="false" outlineLevel="0" collapsed="false">
      <c r="A1044" s="3" t="n">
        <f aca="false">IFERROR(__xludf.dummyfunction("""COMPUTED_VALUE"""),45715.6666666667)</f>
        <v>45715.6666666667</v>
      </c>
      <c r="B1044" s="2" t="n">
        <f aca="false">IFERROR(__xludf.dummyfunction("""COMPUTED_VALUE"""),173.99)</f>
        <v>173.99</v>
      </c>
      <c r="C1044" s="2" t="n">
        <f aca="false">IFERROR(__xludf.dummyfunction("""COMPUTED_VALUE"""),174.56)</f>
        <v>174.56</v>
      </c>
      <c r="D1044" s="2" t="n">
        <f aca="false">IFERROR(__xludf.dummyfunction("""COMPUTED_VALUE"""),167.94)</f>
        <v>167.94</v>
      </c>
      <c r="E1044" s="2" t="n">
        <f aca="false">IFERROR(__xludf.dummyfunction("""COMPUTED_VALUE"""),168.5)</f>
        <v>168.5</v>
      </c>
      <c r="F1044" s="2" t="n">
        <f aca="false">IFERROR(__xludf.dummyfunction("""COMPUTED_VALUE"""),39991015)</f>
        <v>39991015</v>
      </c>
    </row>
    <row r="1045" customFormat="false" ht="15.75" hidden="false" customHeight="false" outlineLevel="0" collapsed="false">
      <c r="A1045" s="3" t="n">
        <f aca="false">IFERROR(__xludf.dummyfunction("""COMPUTED_VALUE"""),45716.6666666667)</f>
        <v>45716.6666666667</v>
      </c>
      <c r="B1045" s="2" t="n">
        <f aca="false">IFERROR(__xludf.dummyfunction("""COMPUTED_VALUE"""),168.68)</f>
        <v>168.68</v>
      </c>
      <c r="C1045" s="2" t="n">
        <f aca="false">IFERROR(__xludf.dummyfunction("""COMPUTED_VALUE"""),170.61)</f>
        <v>170.61</v>
      </c>
      <c r="D1045" s="2" t="n">
        <f aca="false">IFERROR(__xludf.dummyfunction("""COMPUTED_VALUE"""),166.77)</f>
        <v>166.77</v>
      </c>
      <c r="E1045" s="2" t="n">
        <f aca="false">IFERROR(__xludf.dummyfunction("""COMPUTED_VALUE"""),170.28)</f>
        <v>170.28</v>
      </c>
      <c r="F1045" s="2" t="n">
        <f aca="false">IFERROR(__xludf.dummyfunction("""COMPUTED_VALUE"""),48130565)</f>
        <v>48130565</v>
      </c>
    </row>
    <row r="1046" customFormat="false" ht="15.75" hidden="false" customHeight="false" outlineLevel="0" collapsed="false">
      <c r="A1046" s="3" t="n">
        <f aca="false">IFERROR(__xludf.dummyfunction("""COMPUTED_VALUE"""),45719.6666666667)</f>
        <v>45719.6666666667</v>
      </c>
      <c r="B1046" s="2" t="n">
        <f aca="false">IFERROR(__xludf.dummyfunction("""COMPUTED_VALUE"""),171.93)</f>
        <v>171.93</v>
      </c>
      <c r="C1046" s="2" t="n">
        <f aca="false">IFERROR(__xludf.dummyfunction("""COMPUTED_VALUE"""),173.37)</f>
        <v>173.37</v>
      </c>
      <c r="D1046" s="2" t="n">
        <f aca="false">IFERROR(__xludf.dummyfunction("""COMPUTED_VALUE"""),165.93)</f>
        <v>165.93</v>
      </c>
      <c r="E1046" s="2" t="n">
        <f aca="false">IFERROR(__xludf.dummyfunction("""COMPUTED_VALUE"""),167.01)</f>
        <v>167.01</v>
      </c>
      <c r="F1046" s="2" t="n">
        <f aca="false">IFERROR(__xludf.dummyfunction("""COMPUTED_VALUE"""),40770451)</f>
        <v>40770451</v>
      </c>
    </row>
    <row r="1047" customFormat="false" ht="15.75" hidden="false" customHeight="false" outlineLevel="0" collapsed="false">
      <c r="A1047" s="3" t="n">
        <f aca="false">IFERROR(__xludf.dummyfunction("""COMPUTED_VALUE"""),45720.6666666667)</f>
        <v>45720.6666666667</v>
      </c>
      <c r="B1047" s="2" t="n">
        <f aca="false">IFERROR(__xludf.dummyfunction("""COMPUTED_VALUE"""),166.24)</f>
        <v>166.24</v>
      </c>
      <c r="C1047" s="2" t="n">
        <f aca="false">IFERROR(__xludf.dummyfunction("""COMPUTED_VALUE"""),173.29)</f>
        <v>173.29</v>
      </c>
      <c r="D1047" s="2" t="n">
        <f aca="false">IFERROR(__xludf.dummyfunction("""COMPUTED_VALUE"""),165.8)</f>
        <v>165.8</v>
      </c>
      <c r="E1047" s="2" t="n">
        <f aca="false">IFERROR(__xludf.dummyfunction("""COMPUTED_VALUE"""),170.92)</f>
        <v>170.92</v>
      </c>
      <c r="F1047" s="2" t="n">
        <f aca="false">IFERROR(__xludf.dummyfunction("""COMPUTED_VALUE"""),45387996)</f>
        <v>45387996</v>
      </c>
    </row>
    <row r="1048" customFormat="false" ht="15.75" hidden="false" customHeight="false" outlineLevel="0" collapsed="false">
      <c r="A1048" s="3" t="n">
        <f aca="false">IFERROR(__xludf.dummyfunction("""COMPUTED_VALUE"""),45721.6666666667)</f>
        <v>45721.6666666667</v>
      </c>
      <c r="B1048" s="2" t="n">
        <f aca="false">IFERROR(__xludf.dummyfunction("""COMPUTED_VALUE"""),170.52)</f>
        <v>170.52</v>
      </c>
      <c r="C1048" s="2" t="n">
        <f aca="false">IFERROR(__xludf.dummyfunction("""COMPUTED_VALUE"""),173.78)</f>
        <v>173.78</v>
      </c>
      <c r="D1048" s="2" t="n">
        <f aca="false">IFERROR(__xludf.dummyfunction("""COMPUTED_VALUE"""),169.06)</f>
        <v>169.06</v>
      </c>
      <c r="E1048" s="2" t="n">
        <f aca="false">IFERROR(__xludf.dummyfunction("""COMPUTED_VALUE"""),173.02)</f>
        <v>173.02</v>
      </c>
      <c r="F1048" s="2" t="n">
        <f aca="false">IFERROR(__xludf.dummyfunction("""COMPUTED_VALUE"""),30954922)</f>
        <v>30954922</v>
      </c>
    </row>
    <row r="1049" customFormat="false" ht="15.75" hidden="false" customHeight="false" outlineLevel="0" collapsed="false">
      <c r="A1049" s="3" t="n">
        <f aca="false">IFERROR(__xludf.dummyfunction("""COMPUTED_VALUE"""),45722.6666666667)</f>
        <v>45722.6666666667</v>
      </c>
      <c r="B1049" s="2" t="n">
        <f aca="false">IFERROR(__xludf.dummyfunction("""COMPUTED_VALUE"""),170.53)</f>
        <v>170.53</v>
      </c>
      <c r="C1049" s="2" t="n">
        <f aca="false">IFERROR(__xludf.dummyfunction("""COMPUTED_VALUE"""),174.81)</f>
        <v>174.81</v>
      </c>
      <c r="D1049" s="2" t="n">
        <f aca="false">IFERROR(__xludf.dummyfunction("""COMPUTED_VALUE"""),170.5)</f>
        <v>170.5</v>
      </c>
      <c r="E1049" s="2" t="n">
        <f aca="false">IFERROR(__xludf.dummyfunction("""COMPUTED_VALUE"""),172.35)</f>
        <v>172.35</v>
      </c>
      <c r="F1049" s="2" t="n">
        <f aca="false">IFERROR(__xludf.dummyfunction("""COMPUTED_VALUE"""),28301953)</f>
        <v>28301953</v>
      </c>
    </row>
    <row r="1050" customFormat="false" ht="15.75" hidden="false" customHeight="false" outlineLevel="0" collapsed="false">
      <c r="A1050" s="3" t="n">
        <f aca="false">IFERROR(__xludf.dummyfunction("""COMPUTED_VALUE"""),45723.6666666667)</f>
        <v>45723.6666666667</v>
      </c>
      <c r="B1050" s="2" t="n">
        <f aca="false">IFERROR(__xludf.dummyfunction("""COMPUTED_VALUE"""),171.26)</f>
        <v>171.26</v>
      </c>
      <c r="C1050" s="2" t="n">
        <f aca="false">IFERROR(__xludf.dummyfunction("""COMPUTED_VALUE"""),174.97)</f>
        <v>174.97</v>
      </c>
      <c r="D1050" s="2" t="n">
        <f aca="false">IFERROR(__xludf.dummyfunction("""COMPUTED_VALUE"""),170.27)</f>
        <v>170.27</v>
      </c>
      <c r="E1050" s="2" t="n">
        <f aca="false">IFERROR(__xludf.dummyfunction("""COMPUTED_VALUE"""),173.86)</f>
        <v>173.86</v>
      </c>
      <c r="F1050" s="2" t="n">
        <f aca="false">IFERROR(__xludf.dummyfunction("""COMPUTED_VALUE"""),27385813)</f>
        <v>27385813</v>
      </c>
    </row>
    <row r="1051" customFormat="false" ht="15.75" hidden="false" customHeight="false" outlineLevel="0" collapsed="false">
      <c r="A1051" s="3" t="n">
        <f aca="false">IFERROR(__xludf.dummyfunction("""COMPUTED_VALUE"""),45726.6666666667)</f>
        <v>45726.6666666667</v>
      </c>
      <c r="B1051" s="2" t="n">
        <f aca="false">IFERROR(__xludf.dummyfunction("""COMPUTED_VALUE"""),168.26)</f>
        <v>168.26</v>
      </c>
      <c r="C1051" s="2" t="n">
        <f aca="false">IFERROR(__xludf.dummyfunction("""COMPUTED_VALUE"""),168.46)</f>
        <v>168.46</v>
      </c>
      <c r="D1051" s="2" t="n">
        <f aca="false">IFERROR(__xludf.dummyfunction("""COMPUTED_VALUE"""),163.69)</f>
        <v>163.69</v>
      </c>
      <c r="E1051" s="2" t="n">
        <f aca="false">IFERROR(__xludf.dummyfunction("""COMPUTED_VALUE"""),165.87)</f>
        <v>165.87</v>
      </c>
      <c r="F1051" s="2" t="n">
        <f aca="false">IFERROR(__xludf.dummyfunction("""COMPUTED_VALUE"""),43604027)</f>
        <v>43604027</v>
      </c>
    </row>
    <row r="1052" customFormat="false" ht="15.75" hidden="false" customHeight="false" outlineLevel="0" collapsed="false">
      <c r="A1052" s="3" t="n">
        <f aca="false">IFERROR(__xludf.dummyfunction("""COMPUTED_VALUE"""),45727.6666666667)</f>
        <v>45727.6666666667</v>
      </c>
      <c r="B1052" s="2" t="n">
        <f aca="false">IFERROR(__xludf.dummyfunction("""COMPUTED_VALUE"""),164.91)</f>
        <v>164.91</v>
      </c>
      <c r="C1052" s="2" t="n">
        <f aca="false">IFERROR(__xludf.dummyfunction("""COMPUTED_VALUE"""),166.75)</f>
        <v>166.75</v>
      </c>
      <c r="D1052" s="2" t="n">
        <f aca="false">IFERROR(__xludf.dummyfunction("""COMPUTED_VALUE"""),161.37)</f>
        <v>161.37</v>
      </c>
      <c r="E1052" s="2" t="n">
        <f aca="false">IFERROR(__xludf.dummyfunction("""COMPUTED_VALUE"""),164.04)</f>
        <v>164.04</v>
      </c>
      <c r="F1052" s="2" t="n">
        <f aca="false">IFERROR(__xludf.dummyfunction("""COMPUTED_VALUE"""),39587414)</f>
        <v>39587414</v>
      </c>
    </row>
    <row r="1053" customFormat="false" ht="15.75" hidden="false" customHeight="false" outlineLevel="0" collapsed="false">
      <c r="A1053" s="3" t="n">
        <f aca="false">IFERROR(__xludf.dummyfunction("""COMPUTED_VALUE"""),45728.6666666667)</f>
        <v>45728.6666666667</v>
      </c>
      <c r="B1053" s="2" t="n">
        <f aca="false">IFERROR(__xludf.dummyfunction("""COMPUTED_VALUE"""),166.58)</f>
        <v>166.58</v>
      </c>
      <c r="C1053" s="2" t="n">
        <f aca="false">IFERROR(__xludf.dummyfunction("""COMPUTED_VALUE"""),167.64)</f>
        <v>167.64</v>
      </c>
      <c r="D1053" s="2" t="n">
        <f aca="false">IFERROR(__xludf.dummyfunction("""COMPUTED_VALUE"""),163.53)</f>
        <v>163.53</v>
      </c>
      <c r="E1053" s="2" t="n">
        <f aca="false">IFERROR(__xludf.dummyfunction("""COMPUTED_VALUE"""),167.11)</f>
        <v>167.11</v>
      </c>
      <c r="F1053" s="2" t="n">
        <f aca="false">IFERROR(__xludf.dummyfunction("""COMPUTED_VALUE"""),28372396)</f>
        <v>28372396</v>
      </c>
    </row>
    <row r="1054" customFormat="false" ht="15.75" hidden="false" customHeight="false" outlineLevel="0" collapsed="false">
      <c r="A1054" s="3" t="n">
        <f aca="false">IFERROR(__xludf.dummyfunction("""COMPUTED_VALUE"""),45729.6666666667)</f>
        <v>45729.6666666667</v>
      </c>
      <c r="B1054" s="2" t="n">
        <f aca="false">IFERROR(__xludf.dummyfunction("""COMPUTED_VALUE"""),166.04)</f>
        <v>166.04</v>
      </c>
      <c r="C1054" s="2" t="n">
        <f aca="false">IFERROR(__xludf.dummyfunction("""COMPUTED_VALUE"""),166.13)</f>
        <v>166.13</v>
      </c>
      <c r="D1054" s="2" t="n">
        <f aca="false">IFERROR(__xludf.dummyfunction("""COMPUTED_VALUE"""),162.11)</f>
        <v>162.11</v>
      </c>
      <c r="E1054" s="2" t="n">
        <f aca="false">IFERROR(__xludf.dummyfunction("""COMPUTED_VALUE"""),162.76)</f>
        <v>162.76</v>
      </c>
      <c r="F1054" s="2" t="n">
        <f aca="false">IFERROR(__xludf.dummyfunction("""COMPUTED_VALUE"""),31756214)</f>
        <v>31756214</v>
      </c>
    </row>
    <row r="1055" customFormat="false" ht="15.75" hidden="false" customHeight="false" outlineLevel="0" collapsed="false">
      <c r="A1055" s="3" t="n">
        <f aca="false">IFERROR(__xludf.dummyfunction("""COMPUTED_VALUE"""),45730.6666666667)</f>
        <v>45730.6666666667</v>
      </c>
      <c r="B1055" s="2" t="n">
        <f aca="false">IFERROR(__xludf.dummyfunction("""COMPUTED_VALUE"""),163.27)</f>
        <v>163.27</v>
      </c>
      <c r="C1055" s="2" t="n">
        <f aca="false">IFERROR(__xludf.dummyfunction("""COMPUTED_VALUE"""),166.49)</f>
        <v>166.49</v>
      </c>
      <c r="D1055" s="2" t="n">
        <f aca="false">IFERROR(__xludf.dummyfunction("""COMPUTED_VALUE"""),162.45)</f>
        <v>162.45</v>
      </c>
      <c r="E1055" s="2" t="n">
        <f aca="false">IFERROR(__xludf.dummyfunction("""COMPUTED_VALUE"""),165.49)</f>
        <v>165.49</v>
      </c>
      <c r="F1055" s="2" t="n">
        <f aca="false">IFERROR(__xludf.dummyfunction("""COMPUTED_VALUE"""),31995894)</f>
        <v>31995894</v>
      </c>
    </row>
    <row r="1056" customFormat="false" ht="15.75" hidden="false" customHeight="false" outlineLevel="0" collapsed="false">
      <c r="A1056" s="3" t="n">
        <f aca="false">IFERROR(__xludf.dummyfunction("""COMPUTED_VALUE"""),45733.6666666667)</f>
        <v>45733.6666666667</v>
      </c>
      <c r="B1056" s="2" t="n">
        <f aca="false">IFERROR(__xludf.dummyfunction("""COMPUTED_VALUE"""),165.03)</f>
        <v>165.03</v>
      </c>
      <c r="C1056" s="2" t="n">
        <f aca="false">IFERROR(__xludf.dummyfunction("""COMPUTED_VALUE"""),166.3)</f>
        <v>166.3</v>
      </c>
      <c r="D1056" s="2" t="n">
        <f aca="false">IFERROR(__xludf.dummyfunction("""COMPUTED_VALUE"""),163.67)</f>
        <v>163.67</v>
      </c>
      <c r="E1056" s="2" t="n">
        <f aca="false">IFERROR(__xludf.dummyfunction("""COMPUTED_VALUE"""),164.29)</f>
        <v>164.29</v>
      </c>
      <c r="F1056" s="2" t="n">
        <f aca="false">IFERROR(__xludf.dummyfunction("""COMPUTED_VALUE"""),31184335)</f>
        <v>31184335</v>
      </c>
    </row>
    <row r="1057" customFormat="false" ht="15.75" hidden="false" customHeight="false" outlineLevel="0" collapsed="false">
      <c r="A1057" s="3" t="n">
        <f aca="false">IFERROR(__xludf.dummyfunction("""COMPUTED_VALUE"""),45734.6666666667)</f>
        <v>45734.6666666667</v>
      </c>
      <c r="B1057" s="2" t="n">
        <f aca="false">IFERROR(__xludf.dummyfunction("""COMPUTED_VALUE"""),163.68)</f>
        <v>163.68</v>
      </c>
      <c r="C1057" s="2" t="n">
        <f aca="false">IFERROR(__xludf.dummyfunction("""COMPUTED_VALUE"""),164.25)</f>
        <v>164.25</v>
      </c>
      <c r="D1057" s="2" t="n">
        <f aca="false">IFERROR(__xludf.dummyfunction("""COMPUTED_VALUE"""),156.72)</f>
        <v>156.72</v>
      </c>
      <c r="E1057" s="2" t="n">
        <f aca="false">IFERROR(__xludf.dummyfunction("""COMPUTED_VALUE"""),160.67)</f>
        <v>160.67</v>
      </c>
      <c r="F1057" s="2" t="n">
        <f aca="false">IFERROR(__xludf.dummyfunction("""COMPUTED_VALUE"""),42074751)</f>
        <v>42074751</v>
      </c>
    </row>
    <row r="1058" customFormat="false" ht="15.75" hidden="false" customHeight="false" outlineLevel="0" collapsed="false">
      <c r="A1058" s="3" t="n">
        <f aca="false">IFERROR(__xludf.dummyfunction("""COMPUTED_VALUE"""),45735.6666666667)</f>
        <v>45735.6666666667</v>
      </c>
      <c r="B1058" s="2" t="n">
        <f aca="false">IFERROR(__xludf.dummyfunction("""COMPUTED_VALUE"""),161.76)</f>
        <v>161.76</v>
      </c>
      <c r="C1058" s="2" t="n">
        <f aca="false">IFERROR(__xludf.dummyfunction("""COMPUTED_VALUE"""),165.87)</f>
        <v>165.87</v>
      </c>
      <c r="D1058" s="2" t="n">
        <f aca="false">IFERROR(__xludf.dummyfunction("""COMPUTED_VALUE"""),161)</f>
        <v>161</v>
      </c>
      <c r="E1058" s="2" t="n">
        <f aca="false">IFERROR(__xludf.dummyfunction("""COMPUTED_VALUE"""),163.89)</f>
        <v>163.89</v>
      </c>
      <c r="F1058" s="2" t="n">
        <f aca="false">IFERROR(__xludf.dummyfunction("""COMPUTED_VALUE"""),34275582)</f>
        <v>34275582</v>
      </c>
    </row>
    <row r="1059" customFormat="false" ht="15.75" hidden="false" customHeight="false" outlineLevel="0" collapsed="false">
      <c r="A1059" s="3" t="n">
        <f aca="false">IFERROR(__xludf.dummyfunction("""COMPUTED_VALUE"""),45736.6666666667)</f>
        <v>45736.6666666667</v>
      </c>
      <c r="B1059" s="2" t="n">
        <f aca="false">IFERROR(__xludf.dummyfunction("""COMPUTED_VALUE"""),161.57)</f>
        <v>161.57</v>
      </c>
      <c r="C1059" s="2" t="n">
        <f aca="false">IFERROR(__xludf.dummyfunction("""COMPUTED_VALUE"""),164.89)</f>
        <v>164.89</v>
      </c>
      <c r="D1059" s="2" t="n">
        <f aca="false">IFERROR(__xludf.dummyfunction("""COMPUTED_VALUE"""),160.96)</f>
        <v>160.96</v>
      </c>
      <c r="E1059" s="2" t="n">
        <f aca="false">IFERROR(__xludf.dummyfunction("""COMPUTED_VALUE"""),162.8)</f>
        <v>162.8</v>
      </c>
      <c r="F1059" s="2" t="n">
        <f aca="false">IFERROR(__xludf.dummyfunction("""COMPUTED_VALUE"""),28138464)</f>
        <v>28138464</v>
      </c>
    </row>
    <row r="1060" customFormat="false" ht="15.75" hidden="false" customHeight="false" outlineLevel="0" collapsed="false">
      <c r="A1060" s="3" t="n">
        <f aca="false">IFERROR(__xludf.dummyfunction("""COMPUTED_VALUE"""),45737.6666666667)</f>
        <v>45737.6666666667</v>
      </c>
      <c r="B1060" s="2" t="n">
        <f aca="false">IFERROR(__xludf.dummyfunction("""COMPUTED_VALUE"""),161.21)</f>
        <v>161.21</v>
      </c>
      <c r="C1060" s="2" t="n">
        <f aca="false">IFERROR(__xludf.dummyfunction("""COMPUTED_VALUE"""),164.24)</f>
        <v>164.24</v>
      </c>
      <c r="D1060" s="2" t="n">
        <f aca="false">IFERROR(__xludf.dummyfunction("""COMPUTED_VALUE"""),160.89)</f>
        <v>160.89</v>
      </c>
      <c r="E1060" s="2" t="n">
        <f aca="false">IFERROR(__xludf.dummyfunction("""COMPUTED_VALUE"""),163.99)</f>
        <v>163.99</v>
      </c>
      <c r="F1060" s="2" t="n">
        <f aca="false">IFERROR(__xludf.dummyfunction("""COMPUTED_VALUE"""),36625764)</f>
        <v>36625764</v>
      </c>
    </row>
    <row r="1061" customFormat="false" ht="15.75" hidden="false" customHeight="false" outlineLevel="0" collapsed="false">
      <c r="A1061" s="3" t="n">
        <f aca="false">IFERROR(__xludf.dummyfunction("""COMPUTED_VALUE"""),45740.6666666667)</f>
        <v>45740.6666666667</v>
      </c>
      <c r="B1061" s="2" t="n">
        <f aca="false">IFERROR(__xludf.dummyfunction("""COMPUTED_VALUE"""),167.07)</f>
        <v>167.07</v>
      </c>
      <c r="C1061" s="2" t="n">
        <f aca="false">IFERROR(__xludf.dummyfunction("""COMPUTED_VALUE"""),168.32)</f>
        <v>168.32</v>
      </c>
      <c r="D1061" s="2" t="n">
        <f aca="false">IFERROR(__xludf.dummyfunction("""COMPUTED_VALUE"""),165.14)</f>
        <v>165.14</v>
      </c>
      <c r="E1061" s="2" t="n">
        <f aca="false">IFERROR(__xludf.dummyfunction("""COMPUTED_VALUE"""),167.68)</f>
        <v>167.68</v>
      </c>
      <c r="F1061" s="2" t="n">
        <f aca="false">IFERROR(__xludf.dummyfunction("""COMPUTED_VALUE"""),30879129)</f>
        <v>30879129</v>
      </c>
    </row>
    <row r="1062" customFormat="false" ht="15.75" hidden="false" customHeight="false" outlineLevel="0" collapsed="false">
      <c r="A1062" s="3" t="n">
        <f aca="false">IFERROR(__xludf.dummyfunction("""COMPUTED_VALUE"""),45741.6666666667)</f>
        <v>45741.6666666667</v>
      </c>
      <c r="B1062" s="2" t="n">
        <f aca="false">IFERROR(__xludf.dummyfunction("""COMPUTED_VALUE"""),168.98)</f>
        <v>168.98</v>
      </c>
      <c r="C1062" s="2" t="n">
        <f aca="false">IFERROR(__xludf.dummyfunction("""COMPUTED_VALUE"""),170.63)</f>
        <v>170.63</v>
      </c>
      <c r="D1062" s="2" t="n">
        <f aca="false">IFERROR(__xludf.dummyfunction("""COMPUTED_VALUE"""),168.32)</f>
        <v>168.32</v>
      </c>
      <c r="E1062" s="2" t="n">
        <f aca="false">IFERROR(__xludf.dummyfunction("""COMPUTED_VALUE"""),170.56)</f>
        <v>170.56</v>
      </c>
      <c r="F1062" s="2" t="n">
        <f aca="false">IFERROR(__xludf.dummyfunction("""COMPUTED_VALUE"""),24174373)</f>
        <v>24174373</v>
      </c>
    </row>
    <row r="1063" customFormat="false" ht="15.75" hidden="false" customHeight="false" outlineLevel="0" collapsed="false">
      <c r="A1063" s="3" t="n">
        <f aca="false">IFERROR(__xludf.dummyfunction("""COMPUTED_VALUE"""),45742.6666666667)</f>
        <v>45742.6666666667</v>
      </c>
      <c r="B1063" s="2" t="n">
        <f aca="false">IFERROR(__xludf.dummyfunction("""COMPUTED_VALUE"""),169)</f>
        <v>169</v>
      </c>
      <c r="C1063" s="2" t="n">
        <f aca="false">IFERROR(__xludf.dummyfunction("""COMPUTED_VALUE"""),169.61)</f>
        <v>169.61</v>
      </c>
      <c r="D1063" s="2" t="n">
        <f aca="false">IFERROR(__xludf.dummyfunction("""COMPUTED_VALUE"""),164.84)</f>
        <v>164.84</v>
      </c>
      <c r="E1063" s="2" t="n">
        <f aca="false">IFERROR(__xludf.dummyfunction("""COMPUTED_VALUE"""),165.06)</f>
        <v>165.06</v>
      </c>
      <c r="F1063" s="2" t="n">
        <f aca="false">IFERROR(__xludf.dummyfunction("""COMPUTED_VALUE"""),28939326)</f>
        <v>28939326</v>
      </c>
    </row>
    <row r="1064" customFormat="false" ht="15.75" hidden="false" customHeight="false" outlineLevel="0" collapsed="false">
      <c r="A1064" s="3" t="n">
        <f aca="false">IFERROR(__xludf.dummyfunction("""COMPUTED_VALUE"""),45743.6666666667)</f>
        <v>45743.6666666667</v>
      </c>
      <c r="B1064" s="2" t="n">
        <f aca="false">IFERROR(__xludf.dummyfunction("""COMPUTED_VALUE"""),164.63)</f>
        <v>164.63</v>
      </c>
      <c r="C1064" s="2" t="n">
        <f aca="false">IFERROR(__xludf.dummyfunction("""COMPUTED_VALUE"""),165.42)</f>
        <v>165.42</v>
      </c>
      <c r="D1064" s="2" t="n">
        <f aca="false">IFERROR(__xludf.dummyfunction("""COMPUTED_VALUE"""),162)</f>
        <v>162</v>
      </c>
      <c r="E1064" s="2" t="n">
        <f aca="false">IFERROR(__xludf.dummyfunction("""COMPUTED_VALUE"""),162.24)</f>
        <v>162.24</v>
      </c>
      <c r="F1064" s="2" t="n">
        <f aca="false">IFERROR(__xludf.dummyfunction("""COMPUTED_VALUE"""),24508273)</f>
        <v>24508273</v>
      </c>
    </row>
    <row r="1065" customFormat="false" ht="15.75" hidden="false" customHeight="false" outlineLevel="0" collapsed="false">
      <c r="A1065" s="3" t="n">
        <f aca="false">IFERROR(__xludf.dummyfunction("""COMPUTED_VALUE"""),45744.6666666667)</f>
        <v>45744.6666666667</v>
      </c>
      <c r="B1065" s="2" t="n">
        <f aca="false">IFERROR(__xludf.dummyfunction("""COMPUTED_VALUE"""),160.49)</f>
        <v>160.49</v>
      </c>
      <c r="C1065" s="2" t="n">
        <f aca="false">IFERROR(__xludf.dummyfunction("""COMPUTED_VALUE"""),161.82)</f>
        <v>161.82</v>
      </c>
      <c r="D1065" s="2" t="n">
        <f aca="false">IFERROR(__xludf.dummyfunction("""COMPUTED_VALUE"""),153.63)</f>
        <v>153.63</v>
      </c>
      <c r="E1065" s="2" t="n">
        <f aca="false">IFERROR(__xludf.dummyfunction("""COMPUTED_VALUE"""),154.33)</f>
        <v>154.33</v>
      </c>
      <c r="F1065" s="2" t="n">
        <f aca="false">IFERROR(__xludf.dummyfunction("""COMPUTED_VALUE"""),48669335)</f>
        <v>48669335</v>
      </c>
    </row>
    <row r="1066" customFormat="false" ht="15.75" hidden="false" customHeight="false" outlineLevel="0" collapsed="false">
      <c r="A1066" s="3" t="n">
        <f aca="false">IFERROR(__xludf.dummyfunction("""COMPUTED_VALUE"""),45747.6666666667)</f>
        <v>45747.6666666667</v>
      </c>
      <c r="B1066" s="2" t="n">
        <f aca="false">IFERROR(__xludf.dummyfunction("""COMPUTED_VALUE"""),153.11)</f>
        <v>153.11</v>
      </c>
      <c r="C1066" s="2" t="n">
        <f aca="false">IFERROR(__xludf.dummyfunction("""COMPUTED_VALUE"""),155.54)</f>
        <v>155.54</v>
      </c>
      <c r="D1066" s="2" t="n">
        <f aca="false">IFERROR(__xludf.dummyfunction("""COMPUTED_VALUE"""),150.66)</f>
        <v>150.66</v>
      </c>
      <c r="E1066" s="2" t="n">
        <f aca="false">IFERROR(__xludf.dummyfunction("""COMPUTED_VALUE"""),154.64)</f>
        <v>154.64</v>
      </c>
      <c r="F1066" s="2" t="n">
        <f aca="false">IFERROR(__xludf.dummyfunction("""COMPUTED_VALUE"""),54603464)</f>
        <v>54603464</v>
      </c>
    </row>
    <row r="1067" customFormat="false" ht="15.75" hidden="false" customHeight="false" outlineLevel="0" collapsed="false">
      <c r="A1067" s="3" t="n">
        <f aca="false">IFERROR(__xludf.dummyfunction("""COMPUTED_VALUE"""),45748.6666666667)</f>
        <v>45748.6666666667</v>
      </c>
      <c r="B1067" s="2" t="n">
        <f aca="false">IFERROR(__xludf.dummyfunction("""COMPUTED_VALUE"""),153.62)</f>
        <v>153.62</v>
      </c>
      <c r="C1067" s="2" t="n">
        <f aca="false">IFERROR(__xludf.dummyfunction("""COMPUTED_VALUE"""),158.1)</f>
        <v>158.1</v>
      </c>
      <c r="D1067" s="2" t="n">
        <f aca="false">IFERROR(__xludf.dummyfunction("""COMPUTED_VALUE"""),153.62)</f>
        <v>153.62</v>
      </c>
      <c r="E1067" s="2" t="n">
        <f aca="false">IFERROR(__xludf.dummyfunction("""COMPUTED_VALUE"""),157.07)</f>
        <v>157.07</v>
      </c>
      <c r="F1067" s="2" t="n">
        <f aca="false">IFERROR(__xludf.dummyfunction("""COMPUTED_VALUE"""),30672899)</f>
        <v>30672899</v>
      </c>
    </row>
    <row r="1068" customFormat="false" ht="15.75" hidden="false" customHeight="false" outlineLevel="0" collapsed="false">
      <c r="A1068" s="3" t="n">
        <f aca="false">IFERROR(__xludf.dummyfunction("""COMPUTED_VALUE"""),45749.6666666667)</f>
        <v>45749.6666666667</v>
      </c>
      <c r="B1068" s="2" t="n">
        <f aca="false">IFERROR(__xludf.dummyfunction("""COMPUTED_VALUE"""),155.15)</f>
        <v>155.15</v>
      </c>
      <c r="C1068" s="2" t="n">
        <f aca="false">IFERROR(__xludf.dummyfunction("""COMPUTED_VALUE"""),158.41)</f>
        <v>158.41</v>
      </c>
      <c r="D1068" s="2" t="n">
        <f aca="false">IFERROR(__xludf.dummyfunction("""COMPUTED_VALUE"""),154.7)</f>
        <v>154.7</v>
      </c>
      <c r="E1068" s="2" t="n">
        <f aca="false">IFERROR(__xludf.dummyfunction("""COMPUTED_VALUE"""),157.04)</f>
        <v>157.04</v>
      </c>
      <c r="F1068" s="2" t="n">
        <f aca="false">IFERROR(__xludf.dummyfunction("""COMPUTED_VALUE"""),25041730)</f>
        <v>25041730</v>
      </c>
    </row>
    <row r="1069" customFormat="false" ht="15.75" hidden="false" customHeight="false" outlineLevel="0" collapsed="false">
      <c r="A1069" s="3" t="n">
        <f aca="false">IFERROR(__xludf.dummyfunction("""COMPUTED_VALUE"""),45750.6666666667)</f>
        <v>45750.6666666667</v>
      </c>
      <c r="B1069" s="2" t="n">
        <f aca="false">IFERROR(__xludf.dummyfunction("""COMPUTED_VALUE"""),151.11)</f>
        <v>151.11</v>
      </c>
      <c r="C1069" s="2" t="n">
        <f aca="false">IFERROR(__xludf.dummyfunction("""COMPUTED_VALUE"""),152.78)</f>
        <v>152.78</v>
      </c>
      <c r="D1069" s="2" t="n">
        <f aca="false">IFERROR(__xludf.dummyfunction("""COMPUTED_VALUE"""),150.39)</f>
        <v>150.39</v>
      </c>
      <c r="E1069" s="2" t="n">
        <f aca="false">IFERROR(__xludf.dummyfunction("""COMPUTED_VALUE"""),150.72)</f>
        <v>150.72</v>
      </c>
      <c r="F1069" s="2" t="n">
        <f aca="false">IFERROR(__xludf.dummyfunction("""COMPUTED_VALUE"""),46883371)</f>
        <v>46883371</v>
      </c>
    </row>
    <row r="1070" customFormat="false" ht="15.75" hidden="false" customHeight="false" outlineLevel="0" collapsed="false">
      <c r="A1070" s="3" t="n">
        <f aca="false">IFERROR(__xludf.dummyfunction("""COMPUTED_VALUE"""),45751.6666666667)</f>
        <v>45751.6666666667</v>
      </c>
      <c r="B1070" s="2" t="n">
        <f aca="false">IFERROR(__xludf.dummyfunction("""COMPUTED_VALUE"""),148.01)</f>
        <v>148.01</v>
      </c>
      <c r="C1070" s="2" t="n">
        <f aca="false">IFERROR(__xludf.dummyfunction("""COMPUTED_VALUE"""),151.07)</f>
        <v>151.07</v>
      </c>
      <c r="D1070" s="2" t="n">
        <f aca="false">IFERROR(__xludf.dummyfunction("""COMPUTED_VALUE"""),145.38)</f>
        <v>145.38</v>
      </c>
      <c r="E1070" s="2" t="n">
        <f aca="false">IFERROR(__xludf.dummyfunction("""COMPUTED_VALUE"""),145.6)</f>
        <v>145.6</v>
      </c>
      <c r="F1070" s="2" t="n">
        <f aca="false">IFERROR(__xludf.dummyfunction("""COMPUTED_VALUE"""),62259539)</f>
        <v>62259539</v>
      </c>
    </row>
    <row r="1071" customFormat="false" ht="15.75" hidden="false" customHeight="false" outlineLevel="0" collapsed="false">
      <c r="A1071" s="3" t="n">
        <f aca="false">IFERROR(__xludf.dummyfunction("""COMPUTED_VALUE"""),45754.6666666667)</f>
        <v>45754.6666666667</v>
      </c>
      <c r="B1071" s="2" t="n">
        <f aca="false">IFERROR(__xludf.dummyfunction("""COMPUTED_VALUE"""),141.55)</f>
        <v>141.55</v>
      </c>
      <c r="C1071" s="2" t="n">
        <f aca="false">IFERROR(__xludf.dummyfunction("""COMPUTED_VALUE"""),152.85)</f>
        <v>152.85</v>
      </c>
      <c r="D1071" s="2" t="n">
        <f aca="false">IFERROR(__xludf.dummyfunction("""COMPUTED_VALUE"""),140.53)</f>
        <v>140.53</v>
      </c>
      <c r="E1071" s="2" t="n">
        <f aca="false">IFERROR(__xludf.dummyfunction("""COMPUTED_VALUE"""),146.75)</f>
        <v>146.75</v>
      </c>
      <c r="F1071" s="2" t="n">
        <f aca="false">IFERROR(__xludf.dummyfunction("""COMPUTED_VALUE"""),76794136)</f>
        <v>76794136</v>
      </c>
    </row>
    <row r="1072" customFormat="false" ht="15.75" hidden="false" customHeight="false" outlineLevel="0" collapsed="false">
      <c r="A1072" s="3" t="n">
        <f aca="false">IFERROR(__xludf.dummyfunction("""COMPUTED_VALUE"""),45755.6666666667)</f>
        <v>45755.6666666667</v>
      </c>
      <c r="B1072" s="2" t="n">
        <f aca="false">IFERROR(__xludf.dummyfunction("""COMPUTED_VALUE"""),151.22)</f>
        <v>151.22</v>
      </c>
      <c r="C1072" s="2" t="n">
        <f aca="false">IFERROR(__xludf.dummyfunction("""COMPUTED_VALUE"""),152.24)</f>
        <v>152.24</v>
      </c>
      <c r="D1072" s="2" t="n">
        <f aca="false">IFERROR(__xludf.dummyfunction("""COMPUTED_VALUE"""),143.03)</f>
        <v>143.03</v>
      </c>
      <c r="E1072" s="2" t="n">
        <f aca="false">IFERROR(__xludf.dummyfunction("""COMPUTED_VALUE"""),144.7)</f>
        <v>144.7</v>
      </c>
      <c r="F1072" s="2" t="n">
        <f aca="false">IFERROR(__xludf.dummyfunction("""COMPUTED_VALUE"""),52200208)</f>
        <v>52200208</v>
      </c>
    </row>
    <row r="1073" customFormat="false" ht="15.75" hidden="false" customHeight="false" outlineLevel="0" collapsed="false">
      <c r="A1073" s="3" t="n">
        <f aca="false">IFERROR(__xludf.dummyfunction("""COMPUTED_VALUE"""),45756.6666666667)</f>
        <v>45756.6666666667</v>
      </c>
      <c r="B1073" s="2" t="n">
        <f aca="false">IFERROR(__xludf.dummyfunction("""COMPUTED_VALUE"""),144.42)</f>
        <v>144.42</v>
      </c>
      <c r="C1073" s="2" t="n">
        <f aca="false">IFERROR(__xludf.dummyfunction("""COMPUTED_VALUE"""),159.55)</f>
        <v>159.55</v>
      </c>
      <c r="D1073" s="2" t="n">
        <f aca="false">IFERROR(__xludf.dummyfunction("""COMPUTED_VALUE"""),143.91)</f>
        <v>143.91</v>
      </c>
      <c r="E1073" s="2" t="n">
        <f aca="false">IFERROR(__xludf.dummyfunction("""COMPUTED_VALUE"""),158.71)</f>
        <v>158.71</v>
      </c>
      <c r="F1073" s="2" t="n">
        <f aca="false">IFERROR(__xludf.dummyfunction("""COMPUTED_VALUE"""),70406232)</f>
        <v>70406232</v>
      </c>
    </row>
    <row r="1074" customFormat="false" ht="15.75" hidden="false" customHeight="false" outlineLevel="0" collapsed="false">
      <c r="A1074" s="3" t="n">
        <f aca="false">IFERROR(__xludf.dummyfunction("""COMPUTED_VALUE"""),45757.6666666667)</f>
        <v>45757.6666666667</v>
      </c>
      <c r="B1074" s="2" t="n">
        <f aca="false">IFERROR(__xludf.dummyfunction("""COMPUTED_VALUE"""),156.54)</f>
        <v>156.54</v>
      </c>
      <c r="C1074" s="2" t="n">
        <f aca="false">IFERROR(__xludf.dummyfunction("""COMPUTED_VALUE"""),157.72)</f>
        <v>157.72</v>
      </c>
      <c r="D1074" s="2" t="n">
        <f aca="false">IFERROR(__xludf.dummyfunction("""COMPUTED_VALUE"""),149.93)</f>
        <v>149.93</v>
      </c>
      <c r="E1074" s="2" t="n">
        <f aca="false">IFERROR(__xludf.dummyfunction("""COMPUTED_VALUE"""),152.82)</f>
        <v>152.82</v>
      </c>
      <c r="F1074" s="2" t="n">
        <f aca="false">IFERROR(__xludf.dummyfunction("""COMPUTED_VALUE"""),48021972)</f>
        <v>48021972</v>
      </c>
    </row>
    <row r="1075" customFormat="false" ht="15.75" hidden="false" customHeight="false" outlineLevel="0" collapsed="false">
      <c r="A1075" s="3" t="n">
        <f aca="false">IFERROR(__xludf.dummyfunction("""COMPUTED_VALUE"""),45758.6666666667)</f>
        <v>45758.6666666667</v>
      </c>
      <c r="B1075" s="2" t="n">
        <f aca="false">IFERROR(__xludf.dummyfunction("""COMPUTED_VALUE"""),152.9)</f>
        <v>152.9</v>
      </c>
      <c r="C1075" s="2" t="n">
        <f aca="false">IFERROR(__xludf.dummyfunction("""COMPUTED_VALUE"""),157.67)</f>
        <v>157.67</v>
      </c>
      <c r="D1075" s="2" t="n">
        <f aca="false">IFERROR(__xludf.dummyfunction("""COMPUTED_VALUE"""),152.82)</f>
        <v>152.82</v>
      </c>
      <c r="E1075" s="2" t="n">
        <f aca="false">IFERROR(__xludf.dummyfunction("""COMPUTED_VALUE"""),157.14)</f>
        <v>157.14</v>
      </c>
      <c r="F1075" s="2" t="n">
        <f aca="false">IFERROR(__xludf.dummyfunction("""COMPUTED_VALUE"""),33636239)</f>
        <v>33636239</v>
      </c>
    </row>
    <row r="1076" customFormat="false" ht="15.75" hidden="false" customHeight="false" outlineLevel="0" collapsed="false">
      <c r="A1076" s="3" t="n">
        <f aca="false">IFERROR(__xludf.dummyfunction("""COMPUTED_VALUE"""),45761.6666666667)</f>
        <v>45761.6666666667</v>
      </c>
      <c r="B1076" s="2" t="n">
        <f aca="false">IFERROR(__xludf.dummyfunction("""COMPUTED_VALUE"""),160)</f>
        <v>160</v>
      </c>
      <c r="C1076" s="2" t="n">
        <f aca="false">IFERROR(__xludf.dummyfunction("""COMPUTED_VALUE"""),161.72)</f>
        <v>161.72</v>
      </c>
      <c r="D1076" s="2" t="n">
        <f aca="false">IFERROR(__xludf.dummyfunction("""COMPUTED_VALUE"""),157.56)</f>
        <v>157.56</v>
      </c>
      <c r="E1076" s="2" t="n">
        <f aca="false">IFERROR(__xludf.dummyfunction("""COMPUTED_VALUE"""),159.07)</f>
        <v>159.07</v>
      </c>
      <c r="F1076" s="2" t="n">
        <f aca="false">IFERROR(__xludf.dummyfunction("""COMPUTED_VALUE"""),30332957)</f>
        <v>30332957</v>
      </c>
    </row>
    <row r="1077" customFormat="false" ht="15.75" hidden="false" customHeight="false" outlineLevel="0" collapsed="false">
      <c r="A1077" s="3" t="n">
        <f aca="false">IFERROR(__xludf.dummyfunction("""COMPUTED_VALUE"""),45762.6666666667)</f>
        <v>45762.6666666667</v>
      </c>
      <c r="B1077" s="2" t="n">
        <f aca="false">IFERROR(__xludf.dummyfunction("""COMPUTED_VALUE"""),159.13)</f>
        <v>159.13</v>
      </c>
      <c r="C1077" s="2" t="n">
        <f aca="false">IFERROR(__xludf.dummyfunction("""COMPUTED_VALUE"""),159.65)</f>
        <v>159.65</v>
      </c>
      <c r="D1077" s="2" t="n">
        <f aca="false">IFERROR(__xludf.dummyfunction("""COMPUTED_VALUE"""),155.21)</f>
        <v>155.21</v>
      </c>
      <c r="E1077" s="2" t="n">
        <f aca="false">IFERROR(__xludf.dummyfunction("""COMPUTED_VALUE"""),156.31)</f>
        <v>156.31</v>
      </c>
      <c r="F1077" s="2" t="n">
        <f aca="false">IFERROR(__xludf.dummyfunction("""COMPUTED_VALUE"""),27551534)</f>
        <v>27551534</v>
      </c>
    </row>
    <row r="1078" customFormat="false" ht="15.75" hidden="false" customHeight="false" outlineLevel="0" collapsed="false">
      <c r="A1078" s="3" t="n">
        <f aca="false">IFERROR(__xludf.dummyfunction("""COMPUTED_VALUE"""),45763.6666666667)</f>
        <v>45763.6666666667</v>
      </c>
      <c r="B1078" s="2" t="n">
        <f aca="false">IFERROR(__xludf.dummyfunction("""COMPUTED_VALUE"""),153.1)</f>
        <v>153.1</v>
      </c>
      <c r="C1078" s="2" t="n">
        <f aca="false">IFERROR(__xludf.dummyfunction("""COMPUTED_VALUE"""),155.89)</f>
        <v>155.89</v>
      </c>
      <c r="D1078" s="2" t="n">
        <f aca="false">IFERROR(__xludf.dummyfunction("""COMPUTED_VALUE"""),151.51)</f>
        <v>151.51</v>
      </c>
      <c r="E1078" s="2" t="n">
        <f aca="false">IFERROR(__xludf.dummyfunction("""COMPUTED_VALUE"""),153.33)</f>
        <v>153.33</v>
      </c>
      <c r="F1078" s="2" t="n">
        <f aca="false">IFERROR(__xludf.dummyfunction("""COMPUTED_VALUE"""),28187421)</f>
        <v>28187421</v>
      </c>
    </row>
    <row r="1079" customFormat="false" ht="15.75" hidden="false" customHeight="false" outlineLevel="0" collapsed="false">
      <c r="A1079" s="3" t="n">
        <f aca="false">IFERROR(__xludf.dummyfunction("""COMPUTED_VALUE"""),45764.6666666667)</f>
        <v>45764.6666666667</v>
      </c>
      <c r="B1079" s="2" t="n">
        <f aca="false">IFERROR(__xludf.dummyfunction("""COMPUTED_VALUE"""),154.29)</f>
        <v>154.29</v>
      </c>
      <c r="C1079" s="2" t="n">
        <f aca="false">IFERROR(__xludf.dummyfunction("""COMPUTED_VALUE"""),154.68)</f>
        <v>154.68</v>
      </c>
      <c r="D1079" s="2" t="n">
        <f aca="false">IFERROR(__xludf.dummyfunction("""COMPUTED_VALUE"""),148.5)</f>
        <v>148.5</v>
      </c>
      <c r="E1079" s="2" t="n">
        <f aca="false">IFERROR(__xludf.dummyfunction("""COMPUTED_VALUE"""),151.16)</f>
        <v>151.16</v>
      </c>
      <c r="F1079" s="2" t="n">
        <f aca="false">IFERROR(__xludf.dummyfunction("""COMPUTED_VALUE"""),33046576)</f>
        <v>33046576</v>
      </c>
    </row>
    <row r="1080" customFormat="false" ht="15.75" hidden="false" customHeight="false" outlineLevel="0" collapsed="false">
      <c r="A1080" s="3" t="n">
        <f aca="false">IFERROR(__xludf.dummyfunction("""COMPUTED_VALUE"""),45768.6666666667)</f>
        <v>45768.6666666667</v>
      </c>
      <c r="B1080" s="2" t="n">
        <f aca="false">IFERROR(__xludf.dummyfunction("""COMPUTED_VALUE"""),148.88)</f>
        <v>148.88</v>
      </c>
      <c r="C1080" s="2" t="n">
        <f aca="false">IFERROR(__xludf.dummyfunction("""COMPUTED_VALUE"""),148.95)</f>
        <v>148.95</v>
      </c>
      <c r="D1080" s="2" t="n">
        <f aca="false">IFERROR(__xludf.dummyfunction("""COMPUTED_VALUE"""),146.1)</f>
        <v>146.1</v>
      </c>
      <c r="E1080" s="2" t="n">
        <f aca="false">IFERROR(__xludf.dummyfunction("""COMPUTED_VALUE"""),147.67)</f>
        <v>147.67</v>
      </c>
      <c r="F1080" s="2" t="n">
        <f aca="false">IFERROR(__xludf.dummyfunction("""COMPUTED_VALUE"""),26049115)</f>
        <v>26049115</v>
      </c>
    </row>
    <row r="1081" customFormat="false" ht="15.75" hidden="false" customHeight="false" outlineLevel="0" collapsed="false">
      <c r="A1081" s="3" t="n">
        <f aca="false">IFERROR(__xludf.dummyfunction("""COMPUTED_VALUE"""),45769.6666666667)</f>
        <v>45769.6666666667</v>
      </c>
      <c r="B1081" s="2" t="n">
        <f aca="false">IFERROR(__xludf.dummyfunction("""COMPUTED_VALUE"""),148.89)</f>
        <v>148.89</v>
      </c>
      <c r="C1081" s="2" t="n">
        <f aca="false">IFERROR(__xludf.dummyfunction("""COMPUTED_VALUE"""),152.19)</f>
        <v>152.19</v>
      </c>
      <c r="D1081" s="2" t="n">
        <f aca="false">IFERROR(__xludf.dummyfunction("""COMPUTED_VALUE"""),148.54)</f>
        <v>148.54</v>
      </c>
      <c r="E1081" s="2" t="n">
        <f aca="false">IFERROR(__xludf.dummyfunction("""COMPUTED_VALUE"""),151.47)</f>
        <v>151.47</v>
      </c>
      <c r="F1081" s="2" t="n">
        <f aca="false">IFERROR(__xludf.dummyfunction("""COMPUTED_VALUE"""),26971774)</f>
        <v>26971774</v>
      </c>
    </row>
    <row r="1082" customFormat="false" ht="15.75" hidden="false" customHeight="false" outlineLevel="0" collapsed="false">
      <c r="A1082" s="3" t="n">
        <f aca="false">IFERROR(__xludf.dummyfunction("""COMPUTED_VALUE"""),45770.6666666667)</f>
        <v>45770.6666666667</v>
      </c>
      <c r="B1082" s="2" t="n">
        <f aca="false">IFERROR(__xludf.dummyfunction("""COMPUTED_VALUE"""),155.61)</f>
        <v>155.61</v>
      </c>
      <c r="C1082" s="2" t="n">
        <f aca="false">IFERROR(__xludf.dummyfunction("""COMPUTED_VALUE"""),157.53)</f>
        <v>157.53</v>
      </c>
      <c r="D1082" s="2" t="n">
        <f aca="false">IFERROR(__xludf.dummyfunction("""COMPUTED_VALUE"""),153.81)</f>
        <v>153.81</v>
      </c>
      <c r="E1082" s="2" t="n">
        <f aca="false">IFERROR(__xludf.dummyfunction("""COMPUTED_VALUE"""),155.35)</f>
        <v>155.35</v>
      </c>
      <c r="F1082" s="2" t="n">
        <f aca="false">IFERROR(__xludf.dummyfunction("""COMPUTED_VALUE"""),31128833)</f>
        <v>31128833</v>
      </c>
    </row>
    <row r="1083" customFormat="false" ht="15.75" hidden="false" customHeight="false" outlineLevel="0" collapsed="false">
      <c r="A1083" s="3" t="n">
        <f aca="false">IFERROR(__xludf.dummyfunction("""COMPUTED_VALUE"""),45771.6666666667)</f>
        <v>45771.6666666667</v>
      </c>
      <c r="B1083" s="2" t="n">
        <f aca="false">IFERROR(__xludf.dummyfunction("""COMPUTED_VALUE"""),156.15)</f>
        <v>156.15</v>
      </c>
      <c r="C1083" s="2" t="n">
        <f aca="false">IFERROR(__xludf.dummyfunction("""COMPUTED_VALUE"""),159.59)</f>
        <v>159.59</v>
      </c>
      <c r="D1083" s="2" t="n">
        <f aca="false">IFERROR(__xludf.dummyfunction("""COMPUTED_VALUE"""),155.79)</f>
        <v>155.79</v>
      </c>
      <c r="E1083" s="2" t="n">
        <f aca="false">IFERROR(__xludf.dummyfunction("""COMPUTED_VALUE"""),159.28)</f>
        <v>159.28</v>
      </c>
      <c r="F1083" s="2" t="n">
        <f aca="false">IFERROR(__xludf.dummyfunction("""COMPUTED_VALUE"""),45893951)</f>
        <v>45893951</v>
      </c>
    </row>
    <row r="1084" customFormat="false" ht="15.75" hidden="false" customHeight="false" outlineLevel="0" collapsed="false">
      <c r="A1084" s="3" t="n">
        <f aca="false">IFERROR(__xludf.dummyfunction("""COMPUTED_VALUE"""),45772.6666666667)</f>
        <v>45772.6666666667</v>
      </c>
      <c r="B1084" s="2" t="n">
        <f aca="false">IFERROR(__xludf.dummyfunction("""COMPUTED_VALUE"""),165.07)</f>
        <v>165.07</v>
      </c>
      <c r="C1084" s="2" t="n">
        <f aca="false">IFERROR(__xludf.dummyfunction("""COMPUTED_VALUE"""),166.1)</f>
        <v>166.1</v>
      </c>
      <c r="D1084" s="2" t="n">
        <f aca="false">IFERROR(__xludf.dummyfunction("""COMPUTED_VALUE"""),161.04)</f>
        <v>161.04</v>
      </c>
      <c r="E1084" s="2" t="n">
        <f aca="false">IFERROR(__xludf.dummyfunction("""COMPUTED_VALUE"""),161.96)</f>
        <v>161.96</v>
      </c>
      <c r="F1084" s="2" t="n">
        <f aca="false">IFERROR(__xludf.dummyfunction("""COMPUTED_VALUE"""),56033995)</f>
        <v>56033995</v>
      </c>
    </row>
    <row r="1085" customFormat="false" ht="15.75" hidden="false" customHeight="false" outlineLevel="0" collapsed="false">
      <c r="A1085" s="3" t="n">
        <f aca="false">IFERROR(__xludf.dummyfunction("""COMPUTED_VALUE"""),45775.6666666667)</f>
        <v>45775.6666666667</v>
      </c>
      <c r="B1085" s="2" t="n">
        <f aca="false">IFERROR(__xludf.dummyfunction("""COMPUTED_VALUE"""),162.43)</f>
        <v>162.43</v>
      </c>
      <c r="C1085" s="2" t="n">
        <f aca="false">IFERROR(__xludf.dummyfunction("""COMPUTED_VALUE"""),163.15)</f>
        <v>163.15</v>
      </c>
      <c r="D1085" s="2" t="n">
        <f aca="false">IFERROR(__xludf.dummyfunction("""COMPUTED_VALUE"""),158.6)</f>
        <v>158.6</v>
      </c>
      <c r="E1085" s="2" t="n">
        <f aca="false">IFERROR(__xludf.dummyfunction("""COMPUTED_VALUE"""),160.61)</f>
        <v>160.61</v>
      </c>
      <c r="F1085" s="2" t="n">
        <f aca="false">IFERROR(__xludf.dummyfunction("""COMPUTED_VALUE"""),29745782)</f>
        <v>29745782</v>
      </c>
    </row>
    <row r="1086" customFormat="false" ht="15.75" hidden="false" customHeight="false" outlineLevel="0" collapsed="false">
      <c r="A1086" s="3" t="n">
        <f aca="false">IFERROR(__xludf.dummyfunction("""COMPUTED_VALUE"""),45776.6666666667)</f>
        <v>45776.6666666667</v>
      </c>
      <c r="B1086" s="2" t="n">
        <f aca="false">IFERROR(__xludf.dummyfunction("""COMPUTED_VALUE"""),160.32)</f>
        <v>160.32</v>
      </c>
      <c r="C1086" s="2" t="n">
        <f aca="false">IFERROR(__xludf.dummyfunction("""COMPUTED_VALUE"""),160.74)</f>
        <v>160.74</v>
      </c>
      <c r="D1086" s="2" t="n">
        <f aca="false">IFERROR(__xludf.dummyfunction("""COMPUTED_VALUE"""),157.52)</f>
        <v>157.52</v>
      </c>
      <c r="E1086" s="2" t="n">
        <f aca="false">IFERROR(__xludf.dummyfunction("""COMPUTED_VALUE"""),160.16)</f>
        <v>160.16</v>
      </c>
      <c r="F1086" s="2" t="n">
        <f aca="false">IFERROR(__xludf.dummyfunction("""COMPUTED_VALUE"""),26808958)</f>
        <v>26808958</v>
      </c>
    </row>
    <row r="1087" customFormat="false" ht="15.75" hidden="false" customHeight="false" outlineLevel="0" collapsed="false">
      <c r="A1087" s="3" t="n">
        <f aca="false">IFERROR(__xludf.dummyfunction("""COMPUTED_VALUE"""),45777.6666666667)</f>
        <v>45777.6666666667</v>
      </c>
      <c r="B1087" s="2" t="n">
        <f aca="false">IFERROR(__xludf.dummyfunction("""COMPUTED_VALUE"""),157.98)</f>
        <v>157.98</v>
      </c>
      <c r="C1087" s="2" t="n">
        <f aca="false">IFERROR(__xludf.dummyfunction("""COMPUTED_VALUE"""),159.27)</f>
        <v>159.27</v>
      </c>
      <c r="D1087" s="2" t="n">
        <f aca="false">IFERROR(__xludf.dummyfunction("""COMPUTED_VALUE"""),155.4)</f>
        <v>155.4</v>
      </c>
      <c r="E1087" s="2" t="n">
        <f aca="false">IFERROR(__xludf.dummyfunction("""COMPUTED_VALUE"""),158.8)</f>
        <v>158.8</v>
      </c>
      <c r="F1087" s="2" t="n">
        <f aca="false">IFERROR(__xludf.dummyfunction("""COMPUTED_VALUE"""),34981059)</f>
        <v>34981059</v>
      </c>
    </row>
    <row r="1088" customFormat="false" ht="15.75" hidden="false" customHeight="false" outlineLevel="0" collapsed="false">
      <c r="A1088" s="3" t="n">
        <f aca="false">IFERROR(__xludf.dummyfunction("""COMPUTED_VALUE"""),45778.6666666667)</f>
        <v>45778.6666666667</v>
      </c>
      <c r="B1088" s="2" t="n">
        <f aca="false">IFERROR(__xludf.dummyfunction("""COMPUTED_VALUE"""),160.45)</f>
        <v>160.45</v>
      </c>
      <c r="C1088" s="2" t="n">
        <f aca="false">IFERROR(__xludf.dummyfunction("""COMPUTED_VALUE"""),161.95)</f>
        <v>161.95</v>
      </c>
      <c r="D1088" s="2" t="n">
        <f aca="false">IFERROR(__xludf.dummyfunction("""COMPUTED_VALUE"""),158.91)</f>
        <v>158.91</v>
      </c>
      <c r="E1088" s="2" t="n">
        <f aca="false">IFERROR(__xludf.dummyfunction("""COMPUTED_VALUE"""),161.3)</f>
        <v>161.3</v>
      </c>
      <c r="F1088" s="2" t="n">
        <f aca="false">IFERROR(__xludf.dummyfunction("""COMPUTED_VALUE"""),30203248)</f>
        <v>30203248</v>
      </c>
    </row>
    <row r="1089" customFormat="false" ht="15.75" hidden="false" customHeight="false" outlineLevel="0" collapsed="false">
      <c r="A1089" s="3" t="n">
        <f aca="false">IFERROR(__xludf.dummyfunction("""COMPUTED_VALUE"""),45779.6666666667)</f>
        <v>45779.6666666667</v>
      </c>
      <c r="B1089" s="2" t="n">
        <f aca="false">IFERROR(__xludf.dummyfunction("""COMPUTED_VALUE"""),163.41)</f>
        <v>163.41</v>
      </c>
      <c r="C1089" s="2" t="n">
        <f aca="false">IFERROR(__xludf.dummyfunction("""COMPUTED_VALUE"""),164.97)</f>
        <v>164.97</v>
      </c>
      <c r="D1089" s="2" t="n">
        <f aca="false">IFERROR(__xludf.dummyfunction("""COMPUTED_VALUE"""),161.87)</f>
        <v>161.87</v>
      </c>
      <c r="E1089" s="2" t="n">
        <f aca="false">IFERROR(__xludf.dummyfunction("""COMPUTED_VALUE"""),164.03)</f>
        <v>164.03</v>
      </c>
      <c r="F1089" s="2" t="n">
        <f aca="false">IFERROR(__xludf.dummyfunction("""COMPUTED_VALUE"""),25715005)</f>
        <v>25715005</v>
      </c>
    </row>
    <row r="1090" customFormat="false" ht="15.75" hidden="false" customHeight="false" outlineLevel="0" collapsed="false">
      <c r="A1090" s="3" t="n">
        <f aca="false">IFERROR(__xludf.dummyfunction("""COMPUTED_VALUE"""),45782.6666666667)</f>
        <v>45782.6666666667</v>
      </c>
      <c r="B1090" s="2" t="n">
        <f aca="false">IFERROR(__xludf.dummyfunction("""COMPUTED_VALUE"""),163)</f>
        <v>163</v>
      </c>
      <c r="C1090" s="2" t="n">
        <f aca="false">IFERROR(__xludf.dummyfunction("""COMPUTED_VALUE"""),165.39)</f>
        <v>165.39</v>
      </c>
      <c r="D1090" s="2" t="n">
        <f aca="false">IFERROR(__xludf.dummyfunction("""COMPUTED_VALUE"""),162.72)</f>
        <v>162.72</v>
      </c>
      <c r="E1090" s="2" t="n">
        <f aca="false">IFERROR(__xludf.dummyfunction("""COMPUTED_VALUE"""),164.21)</f>
        <v>164.21</v>
      </c>
      <c r="F1090" s="2" t="n">
        <f aca="false">IFERROR(__xludf.dummyfunction("""COMPUTED_VALUE"""),21341814)</f>
        <v>21341814</v>
      </c>
    </row>
    <row r="1091" customFormat="false" ht="15.75" hidden="false" customHeight="false" outlineLevel="0" collapsed="false">
      <c r="A1091" s="3" t="n">
        <f aca="false">IFERROR(__xludf.dummyfunction("""COMPUTED_VALUE"""),45783.6666666667)</f>
        <v>45783.6666666667</v>
      </c>
      <c r="B1091" s="2" t="n">
        <f aca="false">IFERROR(__xludf.dummyfunction("""COMPUTED_VALUE"""),162.17)</f>
        <v>162.17</v>
      </c>
      <c r="C1091" s="2" t="n">
        <f aca="false">IFERROR(__xludf.dummyfunction("""COMPUTED_VALUE"""),164.8)</f>
        <v>164.8</v>
      </c>
      <c r="D1091" s="2" t="n">
        <f aca="false">IFERROR(__xludf.dummyfunction("""COMPUTED_VALUE"""),161.19)</f>
        <v>161.19</v>
      </c>
      <c r="E1091" s="2" t="n">
        <f aca="false">IFERROR(__xludf.dummyfunction("""COMPUTED_VALUE"""),163.23)</f>
        <v>163.23</v>
      </c>
      <c r="F1091" s="2" t="n">
        <f aca="false">IFERROR(__xludf.dummyfunction("""COMPUTED_VALUE"""),21277210)</f>
        <v>21277210</v>
      </c>
    </row>
    <row r="1092" customFormat="false" ht="15.75" hidden="false" customHeight="false" outlineLevel="0" collapsed="false">
      <c r="A1092" s="3" t="n">
        <f aca="false">IFERROR(__xludf.dummyfunction("""COMPUTED_VALUE"""),45784.6666666667)</f>
        <v>45784.6666666667</v>
      </c>
      <c r="B1092" s="2" t="n">
        <f aca="false">IFERROR(__xludf.dummyfunction("""COMPUTED_VALUE"""),164.08)</f>
        <v>164.08</v>
      </c>
      <c r="C1092" s="2" t="n">
        <f aca="false">IFERROR(__xludf.dummyfunction("""COMPUTED_VALUE"""),165)</f>
        <v>165</v>
      </c>
      <c r="D1092" s="2" t="n">
        <f aca="false">IFERROR(__xludf.dummyfunction("""COMPUTED_VALUE"""),147.84)</f>
        <v>147.84</v>
      </c>
      <c r="E1092" s="2" t="n">
        <f aca="false">IFERROR(__xludf.dummyfunction("""COMPUTED_VALUE"""),151.38)</f>
        <v>151.38</v>
      </c>
      <c r="F1092" s="2" t="n">
        <f aca="false">IFERROR(__xludf.dummyfunction("""COMPUTED_VALUE"""),127747554)</f>
        <v>127747554</v>
      </c>
    </row>
    <row r="1093" customFormat="false" ht="15.75" hidden="false" customHeight="false" outlineLevel="0" collapsed="false">
      <c r="A1093" s="3" t="n">
        <f aca="false">IFERROR(__xludf.dummyfunction("""COMPUTED_VALUE"""),45785.6666666667)</f>
        <v>45785.6666666667</v>
      </c>
      <c r="B1093" s="2" t="n">
        <f aca="false">IFERROR(__xludf.dummyfunction("""COMPUTED_VALUE"""),155)</f>
        <v>155</v>
      </c>
      <c r="C1093" s="2" t="n">
        <f aca="false">IFERROR(__xludf.dummyfunction("""COMPUTED_VALUE"""),155.93)</f>
        <v>155.93</v>
      </c>
      <c r="D1093" s="2" t="n">
        <f aca="false">IFERROR(__xludf.dummyfunction("""COMPUTED_VALUE"""),152.9)</f>
        <v>152.9</v>
      </c>
      <c r="E1093" s="2" t="n">
        <f aca="false">IFERROR(__xludf.dummyfunction("""COMPUTED_VALUE"""),154.28)</f>
        <v>154.28</v>
      </c>
      <c r="F1093" s="2" t="n">
        <f aca="false">IFERROR(__xludf.dummyfunction("""COMPUTED_VALUE"""),57498692)</f>
        <v>57498692</v>
      </c>
    </row>
    <row r="1094" customFormat="false" ht="15.75" hidden="false" customHeight="false" outlineLevel="0" collapsed="false">
      <c r="A1094" s="3" t="n">
        <f aca="false">IFERROR(__xludf.dummyfunction("""COMPUTED_VALUE"""),45786.6666666667)</f>
        <v>45786.6666666667</v>
      </c>
      <c r="B1094" s="2" t="n">
        <f aca="false">IFERROR(__xludf.dummyfunction("""COMPUTED_VALUE"""),154.17)</f>
        <v>154.17</v>
      </c>
      <c r="C1094" s="2" t="n">
        <f aca="false">IFERROR(__xludf.dummyfunction("""COMPUTED_VALUE"""),155.05)</f>
        <v>155.05</v>
      </c>
      <c r="D1094" s="2" t="n">
        <f aca="false">IFERROR(__xludf.dummyfunction("""COMPUTED_VALUE"""),152.2)</f>
        <v>152.2</v>
      </c>
      <c r="E1094" s="2" t="n">
        <f aca="false">IFERROR(__xludf.dummyfunction("""COMPUTED_VALUE"""),152.75)</f>
        <v>152.75</v>
      </c>
      <c r="F1094" s="2" t="n">
        <f aca="false">IFERROR(__xludf.dummyfunction("""COMPUTED_VALUE"""),32435281)</f>
        <v>32435281</v>
      </c>
    </row>
    <row r="1095" customFormat="false" ht="15.75" hidden="false" customHeight="false" outlineLevel="0" collapsed="false">
      <c r="A1095" s="3" t="n">
        <f aca="false">IFERROR(__xludf.dummyfunction("""COMPUTED_VALUE"""),45789.6666666667)</f>
        <v>45789.6666666667</v>
      </c>
      <c r="B1095" s="2" t="n">
        <f aca="false">IFERROR(__xludf.dummyfunction("""COMPUTED_VALUE"""),157.49)</f>
        <v>157.49</v>
      </c>
      <c r="C1095" s="2" t="n">
        <f aca="false">IFERROR(__xludf.dummyfunction("""COMPUTED_VALUE"""),159.1)</f>
        <v>159.1</v>
      </c>
      <c r="D1095" s="2" t="n">
        <f aca="false">IFERROR(__xludf.dummyfunction("""COMPUTED_VALUE"""),156.25)</f>
        <v>156.25</v>
      </c>
      <c r="E1095" s="2" t="n">
        <f aca="false">IFERROR(__xludf.dummyfunction("""COMPUTED_VALUE"""),158.46)</f>
        <v>158.46</v>
      </c>
      <c r="F1095" s="2" t="n">
        <f aca="false">IFERROR(__xludf.dummyfunction("""COMPUTED_VALUE"""),44138818)</f>
        <v>44138818</v>
      </c>
    </row>
    <row r="1096" customFormat="false" ht="15.75" hidden="false" customHeight="false" outlineLevel="0" collapsed="false">
      <c r="A1096" s="3" t="n">
        <f aca="false">IFERROR(__xludf.dummyfunction("""COMPUTED_VALUE"""),45790.6666666667)</f>
        <v>45790.6666666667</v>
      </c>
      <c r="B1096" s="2" t="n">
        <f aca="false">IFERROR(__xludf.dummyfunction("""COMPUTED_VALUE"""),158.79)</f>
        <v>158.79</v>
      </c>
      <c r="C1096" s="2" t="n">
        <f aca="false">IFERROR(__xludf.dummyfunction("""COMPUTED_VALUE"""),160.57)</f>
        <v>160.57</v>
      </c>
      <c r="D1096" s="2" t="n">
        <f aca="false">IFERROR(__xludf.dummyfunction("""COMPUTED_VALUE"""),156.16)</f>
        <v>156.16</v>
      </c>
      <c r="E1096" s="2" t="n">
        <f aca="false">IFERROR(__xludf.dummyfunction("""COMPUTED_VALUE"""),159.53)</f>
        <v>159.53</v>
      </c>
      <c r="F1096" s="2" t="n">
        <f aca="false">IFERROR(__xludf.dummyfunction("""COMPUTED_VALUE"""),42382126)</f>
        <v>42382126</v>
      </c>
    </row>
    <row r="1097" customFormat="false" ht="15.75" hidden="false" customHeight="false" outlineLevel="0" collapsed="false">
      <c r="A1097" s="3" t="n">
        <f aca="false">IFERROR(__xludf.dummyfunction("""COMPUTED_VALUE"""),45791.6666666667)</f>
        <v>45791.6666666667</v>
      </c>
      <c r="B1097" s="2" t="n">
        <f aca="false">IFERROR(__xludf.dummyfunction("""COMPUTED_VALUE"""),159.96)</f>
        <v>159.96</v>
      </c>
      <c r="C1097" s="2" t="n">
        <f aca="false">IFERROR(__xludf.dummyfunction("""COMPUTED_VALUE"""),167)</f>
        <v>167</v>
      </c>
      <c r="D1097" s="2" t="n">
        <f aca="false">IFERROR(__xludf.dummyfunction("""COMPUTED_VALUE"""),159.61)</f>
        <v>159.61</v>
      </c>
      <c r="E1097" s="2" t="n">
        <f aca="false">IFERROR(__xludf.dummyfunction("""COMPUTED_VALUE"""),165.37)</f>
        <v>165.37</v>
      </c>
      <c r="F1097" s="2" t="n">
        <f aca="false">IFERROR(__xludf.dummyfunction("""COMPUTED_VALUE"""),48755869)</f>
        <v>48755869</v>
      </c>
    </row>
    <row r="1098" customFormat="false" ht="15.75" hidden="false" customHeight="false" outlineLevel="0" collapsed="false">
      <c r="A1098" s="3" t="n">
        <f aca="false">IFERROR(__xludf.dummyfunction("""COMPUTED_VALUE"""),45792.6666666667)</f>
        <v>45792.6666666667</v>
      </c>
      <c r="B1098" s="2" t="n">
        <f aca="false">IFERROR(__xludf.dummyfunction("""COMPUTED_VALUE"""),165.84)</f>
        <v>165.84</v>
      </c>
      <c r="C1098" s="2" t="n">
        <f aca="false">IFERROR(__xludf.dummyfunction("""COMPUTED_VALUE"""),166.21)</f>
        <v>166.21</v>
      </c>
      <c r="D1098" s="2" t="n">
        <f aca="false">IFERROR(__xludf.dummyfunction("""COMPUTED_VALUE"""),162.37)</f>
        <v>162.37</v>
      </c>
      <c r="E1098" s="2" t="n">
        <f aca="false">IFERROR(__xludf.dummyfunction("""COMPUTED_VALUE"""),163.96)</f>
        <v>163.96</v>
      </c>
      <c r="F1098" s="2" t="n">
        <f aca="false">IFERROR(__xludf.dummyfunction("""COMPUTED_VALUE"""),33146669)</f>
        <v>33146669</v>
      </c>
    </row>
    <row r="1099" customFormat="false" ht="15.75" hidden="false" customHeight="false" outlineLevel="0" collapsed="false">
      <c r="A1099" s="3" t="n">
        <f aca="false">IFERROR(__xludf.dummyfunction("""COMPUTED_VALUE"""),45793.6666666667)</f>
        <v>45793.6666666667</v>
      </c>
      <c r="B1099" s="2" t="n">
        <f aca="false">IFERROR(__xludf.dummyfunction("""COMPUTED_VALUE"""),167.73)</f>
        <v>167.73</v>
      </c>
      <c r="C1099" s="2" t="n">
        <f aca="false">IFERROR(__xludf.dummyfunction("""COMPUTED_VALUE"""),169.35)</f>
        <v>169.35</v>
      </c>
      <c r="D1099" s="2" t="n">
        <f aca="false">IFERROR(__xludf.dummyfunction("""COMPUTED_VALUE"""),165.62)</f>
        <v>165.62</v>
      </c>
      <c r="E1099" s="2" t="n">
        <f aca="false">IFERROR(__xludf.dummyfunction("""COMPUTED_VALUE"""),166.19)</f>
        <v>166.19</v>
      </c>
      <c r="F1099" s="2" t="n">
        <f aca="false">IFERROR(__xludf.dummyfunction("""COMPUTED_VALUE"""),42846925)</f>
        <v>42846925</v>
      </c>
    </row>
    <row r="1100" customFormat="false" ht="15.75" hidden="false" customHeight="false" outlineLevel="0" collapsed="false">
      <c r="A1100" s="3" t="n">
        <f aca="false">IFERROR(__xludf.dummyfunction("""COMPUTED_VALUE"""),45796.6666666667)</f>
        <v>45796.6666666667</v>
      </c>
      <c r="B1100" s="2" t="n">
        <f aca="false">IFERROR(__xludf.dummyfunction("""COMPUTED_VALUE"""),164.51)</f>
        <v>164.51</v>
      </c>
      <c r="C1100" s="2" t="n">
        <f aca="false">IFERROR(__xludf.dummyfunction("""COMPUTED_VALUE"""),166.64)</f>
        <v>166.64</v>
      </c>
      <c r="D1100" s="2" t="n">
        <f aca="false">IFERROR(__xludf.dummyfunction("""COMPUTED_VALUE"""),164.22)</f>
        <v>164.22</v>
      </c>
      <c r="E1100" s="2" t="n">
        <f aca="false">IFERROR(__xludf.dummyfunction("""COMPUTED_VALUE"""),166.54)</f>
        <v>166.54</v>
      </c>
      <c r="F1100" s="2" t="n">
        <f aca="false">IFERROR(__xludf.dummyfunction("""COMPUTED_VALUE"""),30426097)</f>
        <v>30426097</v>
      </c>
    </row>
    <row r="1101" customFormat="false" ht="15.75" hidden="false" customHeight="false" outlineLevel="0" collapsed="false">
      <c r="A1101" s="3" t="n">
        <f aca="false">IFERROR(__xludf.dummyfunction("""COMPUTED_VALUE"""),45797.6666666667)</f>
        <v>45797.6666666667</v>
      </c>
      <c r="B1101" s="2" t="n">
        <f aca="false">IFERROR(__xludf.dummyfunction("""COMPUTED_VALUE"""),166.43)</f>
        <v>166.43</v>
      </c>
      <c r="C1101" s="2" t="n">
        <f aca="false">IFERROR(__xludf.dummyfunction("""COMPUTED_VALUE"""),168.5)</f>
        <v>168.5</v>
      </c>
      <c r="D1101" s="2" t="n">
        <f aca="false">IFERROR(__xludf.dummyfunction("""COMPUTED_VALUE"""),162.9)</f>
        <v>162.9</v>
      </c>
      <c r="E1101" s="2" t="n">
        <f aca="false">IFERROR(__xludf.dummyfunction("""COMPUTED_VALUE"""),163.98)</f>
        <v>163.98</v>
      </c>
      <c r="F1101" s="2" t="n">
        <f aca="false">IFERROR(__xludf.dummyfunction("""COMPUTED_VALUE"""),46607656)</f>
        <v>46607656</v>
      </c>
    </row>
    <row r="1102" customFormat="false" ht="15.75" hidden="false" customHeight="false" outlineLevel="0" collapsed="false">
      <c r="A1102" s="3" t="n">
        <f aca="false">IFERROR(__xludf.dummyfunction("""COMPUTED_VALUE"""),45798.6666666667)</f>
        <v>45798.6666666667</v>
      </c>
      <c r="B1102" s="2" t="n">
        <f aca="false">IFERROR(__xludf.dummyfunction("""COMPUTED_VALUE"""),163.69)</f>
        <v>163.69</v>
      </c>
      <c r="C1102" s="2" t="n">
        <f aca="false">IFERROR(__xludf.dummyfunction("""COMPUTED_VALUE"""),173.14)</f>
        <v>173.14</v>
      </c>
      <c r="D1102" s="2" t="n">
        <f aca="false">IFERROR(__xludf.dummyfunction("""COMPUTED_VALUE"""),163.56)</f>
        <v>163.56</v>
      </c>
      <c r="E1102" s="2" t="n">
        <f aca="false">IFERROR(__xludf.dummyfunction("""COMPUTED_VALUE"""),168.56)</f>
        <v>168.56</v>
      </c>
      <c r="F1102" s="2" t="n">
        <f aca="false">IFERROR(__xludf.dummyfunction("""COMPUTED_VALUE"""),73415956)</f>
        <v>73415956</v>
      </c>
    </row>
    <row r="1103" customFormat="false" ht="15.75" hidden="false" customHeight="false" outlineLevel="0" collapsed="false">
      <c r="A1103" s="3" t="n">
        <f aca="false">IFERROR(__xludf.dummyfunction("""COMPUTED_VALUE"""),45799.6666666667)</f>
        <v>45799.6666666667</v>
      </c>
      <c r="B1103" s="2" t="n">
        <f aca="false">IFERROR(__xludf.dummyfunction("""COMPUTED_VALUE"""),171.85)</f>
        <v>171.85</v>
      </c>
      <c r="C1103" s="2" t="n">
        <f aca="false">IFERROR(__xludf.dummyfunction("""COMPUTED_VALUE"""),176.77)</f>
        <v>176.77</v>
      </c>
      <c r="D1103" s="2" t="n">
        <f aca="false">IFERROR(__xludf.dummyfunction("""COMPUTED_VALUE"""),170.71)</f>
        <v>170.71</v>
      </c>
      <c r="E1103" s="2" t="n">
        <f aca="false">IFERROR(__xludf.dummyfunction("""COMPUTED_VALUE"""),170.87)</f>
        <v>170.87</v>
      </c>
      <c r="F1103" s="2" t="n">
        <f aca="false">IFERROR(__xludf.dummyfunction("""COMPUTED_VALUE"""),74864418)</f>
        <v>74864418</v>
      </c>
    </row>
    <row r="1104" customFormat="false" ht="15.75" hidden="false" customHeight="false" outlineLevel="0" collapsed="false">
      <c r="A1104" s="3" t="n">
        <f aca="false">IFERROR(__xludf.dummyfunction("""COMPUTED_VALUE"""),45800.6666666667)</f>
        <v>45800.6666666667</v>
      </c>
      <c r="B1104" s="2" t="n">
        <f aca="false">IFERROR(__xludf.dummyfunction("""COMPUTED_VALUE"""),169.06)</f>
        <v>169.06</v>
      </c>
      <c r="C1104" s="2" t="n">
        <f aca="false">IFERROR(__xludf.dummyfunction("""COMPUTED_VALUE"""),169.96)</f>
        <v>169.96</v>
      </c>
      <c r="D1104" s="2" t="n">
        <f aca="false">IFERROR(__xludf.dummyfunction("""COMPUTED_VALUE"""),167.89)</f>
        <v>167.89</v>
      </c>
      <c r="E1104" s="2" t="n">
        <f aca="false">IFERROR(__xludf.dummyfunction("""COMPUTED_VALUE"""),168.47)</f>
        <v>168.47</v>
      </c>
      <c r="F1104" s="2" t="n">
        <f aca="false">IFERROR(__xludf.dummyfunction("""COMPUTED_VALUE"""),35211439)</f>
        <v>35211439</v>
      </c>
    </row>
    <row r="1105" customFormat="false" ht="15.75" hidden="false" customHeight="false" outlineLevel="0" collapsed="false">
      <c r="A1105" s="3" t="n">
        <f aca="false">IFERROR(__xludf.dummyfunction("""COMPUTED_VALUE"""),45804.6666666667)</f>
        <v>45804.6666666667</v>
      </c>
      <c r="B1105" s="2" t="n">
        <f aca="false">IFERROR(__xludf.dummyfunction("""COMPUTED_VALUE"""),170.16)</f>
        <v>170.16</v>
      </c>
      <c r="C1105" s="2" t="n">
        <f aca="false">IFERROR(__xludf.dummyfunction("""COMPUTED_VALUE"""),173.17)</f>
        <v>173.17</v>
      </c>
      <c r="D1105" s="2" t="n">
        <f aca="false">IFERROR(__xludf.dummyfunction("""COMPUTED_VALUE"""),170)</f>
        <v>170</v>
      </c>
      <c r="E1105" s="2" t="n">
        <f aca="false">IFERROR(__xludf.dummyfunction("""COMPUTED_VALUE"""),172.9)</f>
        <v>172.9</v>
      </c>
      <c r="F1105" s="2" t="n">
        <f aca="false">IFERROR(__xludf.dummyfunction("""COMPUTED_VALUE"""),37995670)</f>
        <v>37995670</v>
      </c>
    </row>
    <row r="1106" customFormat="false" ht="15.75" hidden="false" customHeight="false" outlineLevel="0" collapsed="false">
      <c r="A1106" s="3" t="n">
        <f aca="false">IFERROR(__xludf.dummyfunction("""COMPUTED_VALUE"""),45805.6666666667)</f>
        <v>45805.6666666667</v>
      </c>
      <c r="B1106" s="2" t="n">
        <f aca="false">IFERROR(__xludf.dummyfunction("""COMPUTED_VALUE"""),173.16)</f>
        <v>173.16</v>
      </c>
      <c r="C1106" s="2" t="n">
        <f aca="false">IFERROR(__xludf.dummyfunction("""COMPUTED_VALUE"""),175.27)</f>
        <v>175.27</v>
      </c>
      <c r="D1106" s="2" t="n">
        <f aca="false">IFERROR(__xludf.dummyfunction("""COMPUTED_VALUE"""),171.91)</f>
        <v>171.91</v>
      </c>
      <c r="E1106" s="2" t="n">
        <f aca="false">IFERROR(__xludf.dummyfunction("""COMPUTED_VALUE"""),172.36)</f>
        <v>172.36</v>
      </c>
      <c r="F1106" s="2" t="n">
        <f aca="false">IFERROR(__xludf.dummyfunction("""COMPUTED_VALUE"""),34783997)</f>
        <v>34783997</v>
      </c>
    </row>
    <row r="1107" customFormat="false" ht="15.75" hidden="false" customHeight="false" outlineLevel="0" collapsed="false">
      <c r="A1107" s="3" t="n">
        <f aca="false">IFERROR(__xludf.dummyfunction("""COMPUTED_VALUE"""),45806.6666666667)</f>
        <v>45806.6666666667</v>
      </c>
      <c r="B1107" s="2" t="n">
        <f aca="false">IFERROR(__xludf.dummyfunction("""COMPUTED_VALUE"""),174)</f>
        <v>174</v>
      </c>
      <c r="C1107" s="2" t="n">
        <f aca="false">IFERROR(__xludf.dummyfunction("""COMPUTED_VALUE"""),174.42)</f>
        <v>174.42</v>
      </c>
      <c r="D1107" s="2" t="n">
        <f aca="false">IFERROR(__xludf.dummyfunction("""COMPUTED_VALUE"""),170.63)</f>
        <v>170.63</v>
      </c>
      <c r="E1107" s="2" t="n">
        <f aca="false">IFERROR(__xludf.dummyfunction("""COMPUTED_VALUE"""),171.86)</f>
        <v>171.86</v>
      </c>
      <c r="F1107" s="2" t="n">
        <f aca="false">IFERROR(__xludf.dummyfunction("""COMPUTED_VALUE"""),29373803)</f>
        <v>29373803</v>
      </c>
    </row>
    <row r="1108" customFormat="false" ht="15.75" hidden="false" customHeight="false" outlineLevel="0" collapsed="false">
      <c r="A1108" s="3" t="n">
        <f aca="false">IFERROR(__xludf.dummyfunction("""COMPUTED_VALUE"""),45807.6666666667)</f>
        <v>45807.6666666667</v>
      </c>
      <c r="B1108" s="2" t="n">
        <f aca="false">IFERROR(__xludf.dummyfunction("""COMPUTED_VALUE"""),171.35)</f>
        <v>171.35</v>
      </c>
      <c r="C1108" s="2" t="n">
        <f aca="false">IFERROR(__xludf.dummyfunction("""COMPUTED_VALUE"""),172.21)</f>
        <v>172.21</v>
      </c>
      <c r="D1108" s="2" t="n">
        <f aca="false">IFERROR(__xludf.dummyfunction("""COMPUTED_VALUE"""),167.44)</f>
        <v>167.44</v>
      </c>
      <c r="E1108" s="2" t="n">
        <f aca="false">IFERROR(__xludf.dummyfunction("""COMPUTED_VALUE"""),171.74)</f>
        <v>171.74</v>
      </c>
      <c r="F1108" s="2" t="n">
        <f aca="false">IFERROR(__xludf.dummyfunction("""COMPUTED_VALUE"""),52639911)</f>
        <v>52639911</v>
      </c>
    </row>
    <row r="1109" customFormat="false" ht="15.75" hidden="false" customHeight="false" outlineLevel="0" collapsed="false">
      <c r="A1109" s="3" t="n">
        <f aca="false">IFERROR(__xludf.dummyfunction("""COMPUTED_VALUE"""),45810.6666666667)</f>
        <v>45810.6666666667</v>
      </c>
      <c r="B1109" s="2" t="n">
        <f aca="false">IFERROR(__xludf.dummyfunction("""COMPUTED_VALUE"""),167.84)</f>
        <v>167.84</v>
      </c>
      <c r="C1109" s="2" t="n">
        <f aca="false">IFERROR(__xludf.dummyfunction("""COMPUTED_VALUE"""),169.87)</f>
        <v>169.87</v>
      </c>
      <c r="D1109" s="2" t="n">
        <f aca="false">IFERROR(__xludf.dummyfunction("""COMPUTED_VALUE"""),167.39)</f>
        <v>167.39</v>
      </c>
      <c r="E1109" s="2" t="n">
        <f aca="false">IFERROR(__xludf.dummyfunction("""COMPUTED_VALUE"""),169.03)</f>
        <v>169.03</v>
      </c>
      <c r="F1109" s="2" t="n">
        <f aca="false">IFERROR(__xludf.dummyfunction("""COMPUTED_VALUE"""),38612272)</f>
        <v>38612272</v>
      </c>
    </row>
    <row r="1110" customFormat="false" ht="15.75" hidden="false" customHeight="false" outlineLevel="0" collapsed="false">
      <c r="A1110" s="3" t="n">
        <f aca="false">IFERROR(__xludf.dummyfunction("""COMPUTED_VALUE"""),45811.6666666667)</f>
        <v>45811.6666666667</v>
      </c>
      <c r="B1110" s="2" t="n">
        <f aca="false">IFERROR(__xludf.dummyfunction("""COMPUTED_VALUE"""),167.49)</f>
        <v>167.49</v>
      </c>
      <c r="C1110" s="2" t="n">
        <f aca="false">IFERROR(__xludf.dummyfunction("""COMPUTED_VALUE"""),168.48)</f>
        <v>168.48</v>
      </c>
      <c r="D1110" s="2" t="n">
        <f aca="false">IFERROR(__xludf.dummyfunction("""COMPUTED_VALUE"""),165.28)</f>
        <v>165.28</v>
      </c>
      <c r="E1110" s="2" t="n">
        <f aca="false">IFERROR(__xludf.dummyfunction("""COMPUTED_VALUE"""),166.18)</f>
        <v>166.18</v>
      </c>
      <c r="F1110" s="2" t="n">
        <f aca="false">IFERROR(__xludf.dummyfunction("""COMPUTED_VALUE"""),45084903)</f>
        <v>45084903</v>
      </c>
    </row>
    <row r="1111" customFormat="false" ht="15.75" hidden="false" customHeight="false" outlineLevel="0" collapsed="false">
      <c r="A1111" s="3" t="n">
        <f aca="false">IFERROR(__xludf.dummyfunction("""COMPUTED_VALUE"""),45812.6666666667)</f>
        <v>45812.6666666667</v>
      </c>
      <c r="B1111" s="2" t="n">
        <f aca="false">IFERROR(__xludf.dummyfunction("""COMPUTED_VALUE"""),166.74)</f>
        <v>166.74</v>
      </c>
      <c r="C1111" s="2" t="n">
        <f aca="false">IFERROR(__xludf.dummyfunction("""COMPUTED_VALUE"""),168.22)</f>
        <v>168.22</v>
      </c>
      <c r="D1111" s="2" t="n">
        <f aca="false">IFERROR(__xludf.dummyfunction("""COMPUTED_VALUE"""),166.36)</f>
        <v>166.36</v>
      </c>
      <c r="E1111" s="2" t="n">
        <f aca="false">IFERROR(__xludf.dummyfunction("""COMPUTED_VALUE"""),168.05)</f>
        <v>168.05</v>
      </c>
      <c r="F1111" s="2" t="n">
        <f aca="false">IFERROR(__xludf.dummyfunction("""COMPUTED_VALUE"""),26900838)</f>
        <v>26900838</v>
      </c>
    </row>
    <row r="1112" customFormat="false" ht="15.75" hidden="false" customHeight="false" outlineLevel="0" collapsed="false">
      <c r="A1112" s="3" t="n">
        <f aca="false">IFERROR(__xludf.dummyfunction("""COMPUTED_VALUE"""),45813.6666666667)</f>
        <v>45813.6666666667</v>
      </c>
      <c r="B1112" s="2" t="n">
        <f aca="false">IFERROR(__xludf.dummyfunction("""COMPUTED_VALUE"""),170.34)</f>
        <v>170.34</v>
      </c>
      <c r="C1112" s="2" t="n">
        <f aca="false">IFERROR(__xludf.dummyfunction("""COMPUTED_VALUE"""),170.93)</f>
        <v>170.93</v>
      </c>
      <c r="D1112" s="2" t="n">
        <f aca="false">IFERROR(__xludf.dummyfunction("""COMPUTED_VALUE"""),167.59)</f>
        <v>167.59</v>
      </c>
      <c r="E1112" s="2" t="n">
        <f aca="false">IFERROR(__xludf.dummyfunction("""COMPUTED_VALUE"""),168.21)</f>
        <v>168.21</v>
      </c>
      <c r="F1112" s="2" t="n">
        <f aca="false">IFERROR(__xludf.dummyfunction("""COMPUTED_VALUE"""),36444564)</f>
        <v>36444564</v>
      </c>
    </row>
    <row r="1113" customFormat="false" ht="15.75" hidden="false" customHeight="false" outlineLevel="0" collapsed="false">
      <c r="A1113" s="3" t="n">
        <f aca="false">IFERROR(__xludf.dummyfunction("""COMPUTED_VALUE"""),45814.6666666667)</f>
        <v>45814.6666666667</v>
      </c>
      <c r="B1113" s="2" t="n">
        <f aca="false">IFERROR(__xludf.dummyfunction("""COMPUTED_VALUE"""),170.83)</f>
        <v>170.83</v>
      </c>
      <c r="C1113" s="2" t="n">
        <f aca="false">IFERROR(__xludf.dummyfunction("""COMPUTED_VALUE"""),174.5)</f>
        <v>174.5</v>
      </c>
      <c r="D1113" s="2" t="n">
        <f aca="false">IFERROR(__xludf.dummyfunction("""COMPUTED_VALUE"""),170.83)</f>
        <v>170.83</v>
      </c>
      <c r="E1113" s="2" t="n">
        <f aca="false">IFERROR(__xludf.dummyfunction("""COMPUTED_VALUE"""),173.68)</f>
        <v>173.68</v>
      </c>
      <c r="F1113" s="2" t="n">
        <f aca="false">IFERROR(__xludf.dummyfunction("""COMPUTED_VALUE"""),35731832)</f>
        <v>35731832</v>
      </c>
    </row>
    <row r="1114" customFormat="false" ht="15.75" hidden="false" customHeight="false" outlineLevel="0" collapsed="false">
      <c r="A1114" s="3" t="n">
        <f aca="false">IFERROR(__xludf.dummyfunction("""COMPUTED_VALUE"""),45817.6666666667)</f>
        <v>45817.6666666667</v>
      </c>
      <c r="B1114" s="2" t="n">
        <f aca="false">IFERROR(__xludf.dummyfunction("""COMPUTED_VALUE"""),174.54)</f>
        <v>174.54</v>
      </c>
      <c r="C1114" s="2" t="n">
        <f aca="false">IFERROR(__xludf.dummyfunction("""COMPUTED_VALUE"""),176.47)</f>
        <v>176.47</v>
      </c>
      <c r="D1114" s="2" t="n">
        <f aca="false">IFERROR(__xludf.dummyfunction("""COMPUTED_VALUE"""),174.37)</f>
        <v>174.37</v>
      </c>
      <c r="E1114" s="2" t="n">
        <f aca="false">IFERROR(__xludf.dummyfunction("""COMPUTED_VALUE"""),176.09)</f>
        <v>176.09</v>
      </c>
      <c r="F1114" s="2" t="n">
        <f aca="false">IFERROR(__xludf.dummyfunction("""COMPUTED_VALUE"""),28935906)</f>
        <v>28935906</v>
      </c>
    </row>
    <row r="1115" customFormat="false" ht="15.75" hidden="false" customHeight="false" outlineLevel="0" collapsed="false">
      <c r="A1115" s="3" t="n">
        <f aca="false">IFERROR(__xludf.dummyfunction("""COMPUTED_VALUE"""),45818.6666666667)</f>
        <v>45818.6666666667</v>
      </c>
      <c r="B1115" s="2" t="n">
        <f aca="false">IFERROR(__xludf.dummyfunction("""COMPUTED_VALUE"""),176.2)</f>
        <v>176.2</v>
      </c>
      <c r="C1115" s="2" t="n">
        <f aca="false">IFERROR(__xludf.dummyfunction("""COMPUTED_VALUE"""),181.11)</f>
        <v>181.11</v>
      </c>
      <c r="D1115" s="2" t="n">
        <f aca="false">IFERROR(__xludf.dummyfunction("""COMPUTED_VALUE"""),174.91)</f>
        <v>174.91</v>
      </c>
      <c r="E1115" s="2" t="n">
        <f aca="false">IFERROR(__xludf.dummyfunction("""COMPUTED_VALUE"""),178.6)</f>
        <v>178.6</v>
      </c>
      <c r="F1115" s="2" t="n">
        <f aca="false">IFERROR(__xludf.dummyfunction("""COMPUTED_VALUE"""),61766121)</f>
        <v>61766121</v>
      </c>
    </row>
    <row r="1116" customFormat="false" ht="15.75" hidden="false" customHeight="false" outlineLevel="0" collapsed="false">
      <c r="A1116" s="3" t="n">
        <f aca="false">IFERROR(__xludf.dummyfunction("""COMPUTED_VALUE"""),45819.6666666667)</f>
        <v>45819.6666666667</v>
      </c>
      <c r="B1116" s="2" t="n">
        <f aca="false">IFERROR(__xludf.dummyfunction("""COMPUTED_VALUE"""),179.77)</f>
        <v>179.77</v>
      </c>
      <c r="C1116" s="2" t="n">
        <f aca="false">IFERROR(__xludf.dummyfunction("""COMPUTED_VALUE"""),180.37)</f>
        <v>180.37</v>
      </c>
      <c r="D1116" s="2" t="n">
        <f aca="false">IFERROR(__xludf.dummyfunction("""COMPUTED_VALUE"""),176.75)</f>
        <v>176.75</v>
      </c>
      <c r="E1116" s="2" t="n">
        <f aca="false">IFERROR(__xludf.dummyfunction("""COMPUTED_VALUE"""),177.35)</f>
        <v>177.35</v>
      </c>
      <c r="F1116" s="2" t="n">
        <f aca="false">IFERROR(__xludf.dummyfunction("""COMPUTED_VALUE"""),31646757)</f>
        <v>31646757</v>
      </c>
    </row>
    <row r="1117" customFormat="false" ht="15.75" hidden="false" customHeight="false" outlineLevel="0" collapsed="false">
      <c r="A1117" s="3" t="n">
        <f aca="false">IFERROR(__xludf.dummyfunction("""COMPUTED_VALUE"""),45820.6666666667)</f>
        <v>45820.6666666667</v>
      </c>
      <c r="B1117" s="2" t="n">
        <f aca="false">IFERROR(__xludf.dummyfunction("""COMPUTED_VALUE"""),176.18)</f>
        <v>176.18</v>
      </c>
      <c r="C1117" s="2" t="n">
        <f aca="false">IFERROR(__xludf.dummyfunction("""COMPUTED_VALUE"""),176.72)</f>
        <v>176.72</v>
      </c>
      <c r="D1117" s="2" t="n">
        <f aca="false">IFERROR(__xludf.dummyfunction("""COMPUTED_VALUE"""),174.75)</f>
        <v>174.75</v>
      </c>
      <c r="E1117" s="2" t="n">
        <f aca="false">IFERROR(__xludf.dummyfunction("""COMPUTED_VALUE"""),175.7)</f>
        <v>175.7</v>
      </c>
      <c r="F1117" s="2" t="n">
        <f aca="false">IFERROR(__xludf.dummyfunction("""COMPUTED_VALUE"""),20941873)</f>
        <v>20941873</v>
      </c>
    </row>
    <row r="1118" customFormat="false" ht="15.75" hidden="false" customHeight="false" outlineLevel="0" collapsed="false">
      <c r="A1118" s="3" t="n">
        <f aca="false">IFERROR(__xludf.dummyfunction("""COMPUTED_VALUE"""),45821.6666666667)</f>
        <v>45821.6666666667</v>
      </c>
      <c r="B1118" s="2" t="n">
        <f aca="false">IFERROR(__xludf.dummyfunction("""COMPUTED_VALUE"""),172.44)</f>
        <v>172.44</v>
      </c>
      <c r="C1118" s="2" t="n">
        <f aca="false">IFERROR(__xludf.dummyfunction("""COMPUTED_VALUE"""),177.13)</f>
        <v>177.13</v>
      </c>
      <c r="D1118" s="2" t="n">
        <f aca="false">IFERROR(__xludf.dummyfunction("""COMPUTED_VALUE"""),172.39)</f>
        <v>172.39</v>
      </c>
      <c r="E1118" s="2" t="n">
        <f aca="false">IFERROR(__xludf.dummyfunction("""COMPUTED_VALUE"""),174.67)</f>
        <v>174.67</v>
      </c>
      <c r="F1118" s="2" t="n">
        <f aca="false">IFERROR(__xludf.dummyfunction("""COMPUTED_VALUE"""),27663107)</f>
        <v>27663107</v>
      </c>
    </row>
    <row r="1119" customFormat="false" ht="15.75" hidden="false" customHeight="false" outlineLevel="0" collapsed="false">
      <c r="A1119" s="3" t="n">
        <f aca="false">IFERROR(__xludf.dummyfunction("""COMPUTED_VALUE"""),45824.6666666667)</f>
        <v>45824.6666666667</v>
      </c>
      <c r="B1119" s="2" t="n">
        <f aca="false">IFERROR(__xludf.dummyfunction("""COMPUTED_VALUE"""),174.73)</f>
        <v>174.73</v>
      </c>
      <c r="C1119" s="2" t="n">
        <f aca="false">IFERROR(__xludf.dummyfunction("""COMPUTED_VALUE"""),176.94)</f>
        <v>176.94</v>
      </c>
      <c r="D1119" s="2" t="n">
        <f aca="false">IFERROR(__xludf.dummyfunction("""COMPUTED_VALUE"""),174.65)</f>
        <v>174.65</v>
      </c>
      <c r="E1119" s="2" t="n">
        <f aca="false">IFERROR(__xludf.dummyfunction("""COMPUTED_VALUE"""),176.77)</f>
        <v>176.77</v>
      </c>
      <c r="F1119" s="2" t="n">
        <f aca="false">IFERROR(__xludf.dummyfunction("""COMPUTED_VALUE"""),27389208)</f>
        <v>27389208</v>
      </c>
    </row>
    <row r="1120" customFormat="false" ht="15.75" hidden="false" customHeight="false" outlineLevel="0" collapsed="false">
      <c r="A1120" s="3" t="n">
        <f aca="false">IFERROR(__xludf.dummyfunction("""COMPUTED_VALUE"""),45825.6666666667)</f>
        <v>45825.6666666667</v>
      </c>
      <c r="B1120" s="2" t="n">
        <f aca="false">IFERROR(__xludf.dummyfunction("""COMPUTED_VALUE"""),175.7)</f>
        <v>175.7</v>
      </c>
      <c r="C1120" s="2" t="n">
        <f aca="false">IFERROR(__xludf.dummyfunction("""COMPUTED_VALUE"""),177.36)</f>
        <v>177.36</v>
      </c>
      <c r="D1120" s="2" t="n">
        <f aca="false">IFERROR(__xludf.dummyfunction("""COMPUTED_VALUE"""),174.58)</f>
        <v>174.58</v>
      </c>
      <c r="E1120" s="2" t="n">
        <f aca="false">IFERROR(__xludf.dummyfunction("""COMPUTED_VALUE"""),175.95)</f>
        <v>175.95</v>
      </c>
      <c r="F1120" s="2" t="n">
        <f aca="false">IFERROR(__xludf.dummyfunction("""COMPUTED_VALUE"""),24973043)</f>
        <v>24973043</v>
      </c>
    </row>
    <row r="1121" customFormat="false" ht="15.75" hidden="false" customHeight="false" outlineLevel="0" collapsed="false">
      <c r="A1121" s="3" t="n">
        <f aca="false">IFERROR(__xludf.dummyfunction("""COMPUTED_VALUE"""),45826.6666666667)</f>
        <v>45826.6666666667</v>
      </c>
      <c r="B1121" s="2" t="n">
        <f aca="false">IFERROR(__xludf.dummyfunction("""COMPUTED_VALUE"""),176.01)</f>
        <v>176.01</v>
      </c>
      <c r="C1121" s="2" t="n">
        <f aca="false">IFERROR(__xludf.dummyfunction("""COMPUTED_VALUE"""),176.56)</f>
        <v>176.56</v>
      </c>
      <c r="D1121" s="2" t="n">
        <f aca="false">IFERROR(__xludf.dummyfunction("""COMPUTED_VALUE"""),173.2)</f>
        <v>173.2</v>
      </c>
      <c r="E1121" s="2" t="n">
        <f aca="false">IFERROR(__xludf.dummyfunction("""COMPUTED_VALUE"""),173.32)</f>
        <v>173.32</v>
      </c>
      <c r="F1121" s="2" t="n">
        <f aca="false">IFERROR(__xludf.dummyfunction("""COMPUTED_VALUE"""),28707524)</f>
        <v>28707524</v>
      </c>
    </row>
    <row r="1122" customFormat="false" ht="15.75" hidden="false" customHeight="false" outlineLevel="0" collapsed="false">
      <c r="A1122" s="3" t="n">
        <f aca="false">IFERROR(__xludf.dummyfunction("""COMPUTED_VALUE"""),45828.6666666667)</f>
        <v>45828.6666666667</v>
      </c>
      <c r="B1122" s="2" t="n">
        <f aca="false">IFERROR(__xludf.dummyfunction("""COMPUTED_VALUE"""),173.95)</f>
        <v>173.95</v>
      </c>
      <c r="C1122" s="2" t="n">
        <f aca="false">IFERROR(__xludf.dummyfunction("""COMPUTED_VALUE"""),174.34)</f>
        <v>174.34</v>
      </c>
      <c r="D1122" s="2" t="n">
        <f aca="false">IFERROR(__xludf.dummyfunction("""COMPUTED_VALUE"""),165.46)</f>
        <v>165.46</v>
      </c>
      <c r="E1122" s="2" t="n">
        <f aca="false">IFERROR(__xludf.dummyfunction("""COMPUTED_VALUE"""),166.64)</f>
        <v>166.64</v>
      </c>
      <c r="F1122" s="2" t="n">
        <f aca="false">IFERROR(__xludf.dummyfunction("""COMPUTED_VALUE"""),75659917)</f>
        <v>75659917</v>
      </c>
    </row>
    <row r="1123" customFormat="false" ht="15.75" hidden="false" customHeight="false" outlineLevel="0" collapsed="false">
      <c r="A1123" s="3" t="n">
        <f aca="false">IFERROR(__xludf.dummyfunction("""COMPUTED_VALUE"""),45831.6666666667)</f>
        <v>45831.6666666667</v>
      </c>
      <c r="B1123" s="2" t="n">
        <f aca="false">IFERROR(__xludf.dummyfunction("""COMPUTED_VALUE"""),166.27)</f>
        <v>166.27</v>
      </c>
      <c r="C1123" s="2" t="n">
        <f aca="false">IFERROR(__xludf.dummyfunction("""COMPUTED_VALUE"""),167.34)</f>
        <v>167.34</v>
      </c>
      <c r="D1123" s="2" t="n">
        <f aca="false">IFERROR(__xludf.dummyfunction("""COMPUTED_VALUE"""),162)</f>
        <v>162</v>
      </c>
      <c r="E1123" s="2" t="n">
        <f aca="false">IFERROR(__xludf.dummyfunction("""COMPUTED_VALUE"""),165.19)</f>
        <v>165.19</v>
      </c>
      <c r="F1123" s="2" t="n">
        <f aca="false">IFERROR(__xludf.dummyfunction("""COMPUTED_VALUE"""),57670985)</f>
        <v>57670985</v>
      </c>
    </row>
    <row r="1124" customFormat="false" ht="15.75" hidden="false" customHeight="false" outlineLevel="0" collapsed="false">
      <c r="A1124" s="3" t="n">
        <f aca="false">IFERROR(__xludf.dummyfunction("""COMPUTED_VALUE"""),45832.6666666667)</f>
        <v>45832.6666666667</v>
      </c>
      <c r="B1124" s="2" t="n">
        <f aca="false">IFERROR(__xludf.dummyfunction("""COMPUTED_VALUE"""),166.92)</f>
        <v>166.92</v>
      </c>
      <c r="C1124" s="2" t="n">
        <f aca="false">IFERROR(__xludf.dummyfunction("""COMPUTED_VALUE"""),168.22)</f>
        <v>168.22</v>
      </c>
      <c r="D1124" s="2" t="n">
        <f aca="false">IFERROR(__xludf.dummyfunction("""COMPUTED_VALUE"""),166.13)</f>
        <v>166.13</v>
      </c>
      <c r="E1124" s="2" t="n">
        <f aca="false">IFERROR(__xludf.dummyfunction("""COMPUTED_VALUE"""),166.77)</f>
        <v>166.77</v>
      </c>
      <c r="F1124" s="2" t="n">
        <f aca="false">IFERROR(__xludf.dummyfunction("""COMPUTED_VALUE"""),40524312)</f>
        <v>40524312</v>
      </c>
    </row>
    <row r="1125" customFormat="false" ht="15.75" hidden="false" customHeight="false" outlineLevel="0" collapsed="false">
      <c r="A1125" s="3" t="n">
        <f aca="false">IFERROR(__xludf.dummyfunction("""COMPUTED_VALUE"""),45833.6666666667)</f>
        <v>45833.6666666667</v>
      </c>
      <c r="B1125" s="2" t="n">
        <f aca="false">IFERROR(__xludf.dummyfunction("""COMPUTED_VALUE"""),167.63)</f>
        <v>167.63</v>
      </c>
      <c r="C1125" s="2" t="n">
        <f aca="false">IFERROR(__xludf.dummyfunction("""COMPUTED_VALUE"""),172.36)</f>
        <v>172.36</v>
      </c>
      <c r="D1125" s="2" t="n">
        <f aca="false">IFERROR(__xludf.dummyfunction("""COMPUTED_VALUE"""),167.55)</f>
        <v>167.55</v>
      </c>
      <c r="E1125" s="2" t="n">
        <f aca="false">IFERROR(__xludf.dummyfunction("""COMPUTED_VALUE"""),170.68)</f>
        <v>170.68</v>
      </c>
      <c r="F1125" s="2" t="n">
        <f aca="false">IFERROR(__xludf.dummyfunction("""COMPUTED_VALUE"""),35478989)</f>
        <v>35478989</v>
      </c>
    </row>
    <row r="1126" customFormat="false" ht="15.75" hidden="false" customHeight="false" outlineLevel="0" collapsed="false">
      <c r="A1126" s="3" t="n">
        <f aca="false">IFERROR(__xludf.dummyfunction("""COMPUTED_VALUE"""),45834.6666666667)</f>
        <v>45834.6666666667</v>
      </c>
      <c r="B1126" s="2" t="n">
        <f aca="false">IFERROR(__xludf.dummyfunction("""COMPUTED_VALUE"""),172.43)</f>
        <v>172.43</v>
      </c>
      <c r="C1126" s="2" t="n">
        <f aca="false">IFERROR(__xludf.dummyfunction("""COMPUTED_VALUE"""),173.69)</f>
        <v>173.69</v>
      </c>
      <c r="D1126" s="2" t="n">
        <f aca="false">IFERROR(__xludf.dummyfunction("""COMPUTED_VALUE"""),169.94)</f>
        <v>169.94</v>
      </c>
      <c r="E1126" s="2" t="n">
        <f aca="false">IFERROR(__xludf.dummyfunction("""COMPUTED_VALUE"""),173.54)</f>
        <v>173.54</v>
      </c>
      <c r="F1126" s="2" t="n">
        <f aca="false">IFERROR(__xludf.dummyfunction("""COMPUTED_VALUE"""),31796690)</f>
        <v>31796690</v>
      </c>
    </row>
    <row r="1127" customFormat="false" ht="15.75" hidden="false" customHeight="false" outlineLevel="0" collapsed="false">
      <c r="A1127" s="3" t="n">
        <f aca="false">IFERROR(__xludf.dummyfunction("""COMPUTED_VALUE"""),45835.6666666667)</f>
        <v>45835.6666666667</v>
      </c>
      <c r="B1127" s="2" t="n">
        <f aca="false">IFERROR(__xludf.dummyfunction("""COMPUTED_VALUE"""),173.54)</f>
        <v>173.54</v>
      </c>
      <c r="C1127" s="2" t="n">
        <f aca="false">IFERROR(__xludf.dummyfunction("""COMPUTED_VALUE"""),178.68)</f>
        <v>178.68</v>
      </c>
      <c r="D1127" s="2" t="n">
        <f aca="false">IFERROR(__xludf.dummyfunction("""COMPUTED_VALUE"""),171.73)</f>
        <v>171.73</v>
      </c>
      <c r="E1127" s="2" t="n">
        <f aca="false">IFERROR(__xludf.dummyfunction("""COMPUTED_VALUE"""),178.53)</f>
        <v>178.53</v>
      </c>
      <c r="F1127" s="2" t="n">
        <f aca="false">IFERROR(__xludf.dummyfunction("""COMPUTED_VALUE"""),108140200)</f>
        <v>108140200</v>
      </c>
    </row>
    <row r="1128" customFormat="false" ht="15.75" hidden="false" customHeight="false" outlineLevel="0" collapsed="false">
      <c r="A1128" s="3" t="n">
        <f aca="false">IFERROR(__xludf.dummyfunction("""COMPUTED_VALUE"""),45838.6666666667)</f>
        <v>45838.6666666667</v>
      </c>
      <c r="B1128" s="2" t="n">
        <f aca="false">IFERROR(__xludf.dummyfunction("""COMPUTED_VALUE"""),180.78)</f>
        <v>180.78</v>
      </c>
      <c r="C1128" s="2" t="n">
        <f aca="false">IFERROR(__xludf.dummyfunction("""COMPUTED_VALUE"""),181.23)</f>
        <v>181.23</v>
      </c>
      <c r="D1128" s="2" t="n">
        <f aca="false">IFERROR(__xludf.dummyfunction("""COMPUTED_VALUE"""),174.58)</f>
        <v>174.58</v>
      </c>
      <c r="E1128" s="2" t="n">
        <f aca="false">IFERROR(__xludf.dummyfunction("""COMPUTED_VALUE"""),176.23)</f>
        <v>176.23</v>
      </c>
      <c r="F1128" s="2" t="n">
        <f aca="false">IFERROR(__xludf.dummyfunction("""COMPUTED_VALUE"""),63378856)</f>
        <v>63378856</v>
      </c>
    </row>
    <row r="1129" customFormat="false" ht="15.75" hidden="false" customHeight="false" outlineLevel="0" collapsed="false">
      <c r="A1129" s="3" t="n">
        <f aca="false">IFERROR(__xludf.dummyfunction("""COMPUTED_VALUE"""),45839.6666666667)</f>
        <v>45839.6666666667</v>
      </c>
      <c r="B1129" s="2" t="n">
        <f aca="false">IFERROR(__xludf.dummyfunction("""COMPUTED_VALUE"""),175.74)</f>
        <v>175.74</v>
      </c>
      <c r="C1129" s="2" t="n">
        <f aca="false">IFERROR(__xludf.dummyfunction("""COMPUTED_VALUE"""),176.09)</f>
        <v>176.09</v>
      </c>
      <c r="D1129" s="2" t="n">
        <f aca="false">IFERROR(__xludf.dummyfunction("""COMPUTED_VALUE"""),173.53)</f>
        <v>173.53</v>
      </c>
      <c r="E1129" s="2" t="n">
        <f aca="false">IFERROR(__xludf.dummyfunction("""COMPUTED_VALUE"""),175.84)</f>
        <v>175.84</v>
      </c>
      <c r="F1129" s="2" t="n">
        <f aca="false">IFERROR(__xludf.dummyfunction("""COMPUTED_VALUE"""),35904526)</f>
        <v>35904526</v>
      </c>
    </row>
    <row r="1130" customFormat="false" ht="15.75" hidden="false" customHeight="false" outlineLevel="0" collapsed="false">
      <c r="A1130" s="3" t="n">
        <f aca="false">IFERROR(__xludf.dummyfunction("""COMPUTED_VALUE"""),45840.6666666667)</f>
        <v>45840.6666666667</v>
      </c>
      <c r="B1130" s="2" t="n">
        <f aca="false">IFERROR(__xludf.dummyfunction("""COMPUTED_VALUE"""),175.54)</f>
        <v>175.54</v>
      </c>
      <c r="C1130" s="2" t="n">
        <f aca="false">IFERROR(__xludf.dummyfunction("""COMPUTED_VALUE"""),178.86)</f>
        <v>178.86</v>
      </c>
      <c r="D1130" s="2" t="n">
        <f aca="false">IFERROR(__xludf.dummyfunction("""COMPUTED_VALUE"""),175.07)</f>
        <v>175.07</v>
      </c>
      <c r="E1130" s="2" t="n">
        <f aca="false">IFERROR(__xludf.dummyfunction("""COMPUTED_VALUE"""),178.64)</f>
        <v>178.64</v>
      </c>
      <c r="F1130" s="2" t="n">
        <f aca="false">IFERROR(__xludf.dummyfunction("""COMPUTED_VALUE"""),29128947)</f>
        <v>29128947</v>
      </c>
    </row>
    <row r="1131" customFormat="false" ht="15.75" hidden="false" customHeight="false" outlineLevel="0" collapsed="false">
      <c r="A1131" s="3" t="n">
        <f aca="false">IFERROR(__xludf.dummyfunction("""COMPUTED_VALUE"""),45841.5451388889)</f>
        <v>45841.5451388889</v>
      </c>
      <c r="B1131" s="2" t="n">
        <f aca="false">IFERROR(__xludf.dummyfunction("""COMPUTED_VALUE"""),178.5)</f>
        <v>178.5</v>
      </c>
      <c r="C1131" s="2" t="n">
        <f aca="false">IFERROR(__xludf.dummyfunction("""COMPUTED_VALUE"""),179.67)</f>
        <v>179.67</v>
      </c>
      <c r="D1131" s="2" t="n">
        <f aca="false">IFERROR(__xludf.dummyfunction("""COMPUTED_VALUE"""),177.05)</f>
        <v>177.05</v>
      </c>
      <c r="E1131" s="2" t="n">
        <f aca="false">IFERROR(__xludf.dummyfunction("""COMPUTED_VALUE"""),179.53)</f>
        <v>179.53</v>
      </c>
      <c r="F1131" s="2" t="n">
        <f aca="false">IFERROR(__xludf.dummyfunction("""COMPUTED_VALUE"""),21689729)</f>
        <v>21689729</v>
      </c>
    </row>
    <row r="1132" customFormat="false" ht="15.75" hidden="false" customHeight="false" outlineLevel="0" collapsed="false">
      <c r="A1132" s="3" t="n">
        <f aca="false">IFERROR(__xludf.dummyfunction("""COMPUTED_VALUE"""),45845.6666666667)</f>
        <v>45845.6666666667</v>
      </c>
      <c r="B1132" s="2" t="n">
        <f aca="false">IFERROR(__xludf.dummyfunction("""COMPUTED_VALUE"""),179.06)</f>
        <v>179.06</v>
      </c>
      <c r="C1132" s="2" t="n">
        <f aca="false">IFERROR(__xludf.dummyfunction("""COMPUTED_VALUE"""),179.3)</f>
        <v>179.3</v>
      </c>
      <c r="D1132" s="2" t="n">
        <f aca="false">IFERROR(__xludf.dummyfunction("""COMPUTED_VALUE"""),175.68)</f>
        <v>175.68</v>
      </c>
      <c r="E1132" s="2" t="n">
        <f aca="false">IFERROR(__xludf.dummyfunction("""COMPUTED_VALUE"""),176.79)</f>
        <v>176.79</v>
      </c>
      <c r="F1132" s="2" t="n">
        <f aca="false">IFERROR(__xludf.dummyfunction("""COMPUTED_VALUE"""),34175648)</f>
        <v>34175648</v>
      </c>
    </row>
    <row r="1133" customFormat="false" ht="15.75" hidden="false" customHeight="false" outlineLevel="0" collapsed="false">
      <c r="A1133" s="3" t="n">
        <f aca="false">IFERROR(__xludf.dummyfunction("""COMPUTED_VALUE"""),45846.6666666667)</f>
        <v>45846.6666666667</v>
      </c>
      <c r="B1133" s="2" t="n">
        <f aca="false">IFERROR(__xludf.dummyfunction("""COMPUTED_VALUE"""),177.85)</f>
        <v>177.85</v>
      </c>
      <c r="C1133" s="2" t="n">
        <f aca="false">IFERROR(__xludf.dummyfunction("""COMPUTED_VALUE"""),177.95)</f>
        <v>177.95</v>
      </c>
      <c r="D1133" s="2" t="n">
        <f aca="false">IFERROR(__xludf.dummyfunction("""COMPUTED_VALUE"""),172.81)</f>
        <v>172.81</v>
      </c>
      <c r="E1133" s="2" t="n">
        <f aca="false">IFERROR(__xludf.dummyfunction("""COMPUTED_VALUE"""),174.36)</f>
        <v>174.36</v>
      </c>
      <c r="F1133" s="2" t="n">
        <f aca="false">IFERROR(__xludf.dummyfunction("""COMPUTED_VALUE"""),40442535)</f>
        <v>40442535</v>
      </c>
    </row>
    <row r="1134" customFormat="false" ht="15.75" hidden="false" customHeight="false" outlineLevel="0" collapsed="false">
      <c r="A1134" s="3" t="n">
        <f aca="false">IFERROR(__xludf.dummyfunction("""COMPUTED_VALUE"""),45847.6666666667)</f>
        <v>45847.6666666667</v>
      </c>
      <c r="B1134" s="2" t="n">
        <f aca="false">IFERROR(__xludf.dummyfunction("""COMPUTED_VALUE"""),175.25)</f>
        <v>175.25</v>
      </c>
      <c r="C1134" s="2" t="n">
        <f aca="false">IFERROR(__xludf.dummyfunction("""COMPUTED_VALUE"""),179.44)</f>
        <v>179.44</v>
      </c>
      <c r="D1134" s="2" t="n">
        <f aca="false">IFERROR(__xludf.dummyfunction("""COMPUTED_VALUE"""),172.77)</f>
        <v>172.77</v>
      </c>
      <c r="E1134" s="2" t="n">
        <f aca="false">IFERROR(__xludf.dummyfunction("""COMPUTED_VALUE"""),176.62)</f>
        <v>176.62</v>
      </c>
      <c r="F1134" s="2" t="n">
        <f aca="false">IFERROR(__xludf.dummyfunction("""COMPUTED_VALUE"""),43025594)</f>
        <v>43025594</v>
      </c>
    </row>
    <row r="1135" customFormat="false" ht="15.75" hidden="false" customHeight="false" outlineLevel="0" collapsed="false">
      <c r="A1135" s="3" t="n">
        <f aca="false">IFERROR(__xludf.dummyfunction("""COMPUTED_VALUE"""),45848.6666666667)</f>
        <v>45848.6666666667</v>
      </c>
      <c r="B1135" s="2" t="n">
        <f aca="false">IFERROR(__xludf.dummyfunction("""COMPUTED_VALUE"""),175.63)</f>
        <v>175.63</v>
      </c>
      <c r="C1135" s="2" t="n">
        <f aca="false">IFERROR(__xludf.dummyfunction("""COMPUTED_VALUE"""),178.43)</f>
        <v>178.43</v>
      </c>
      <c r="D1135" s="2" t="n">
        <f aca="false">IFERROR(__xludf.dummyfunction("""COMPUTED_VALUE"""),174.38)</f>
        <v>174.38</v>
      </c>
      <c r="E1135" s="2" t="n">
        <f aca="false">IFERROR(__xludf.dummyfunction("""COMPUTED_VALUE"""),177.62)</f>
        <v>177.62</v>
      </c>
      <c r="F1135" s="2" t="n">
        <f aca="false">IFERROR(__xludf.dummyfunction("""COMPUTED_VALUE"""),29252386)</f>
        <v>29252386</v>
      </c>
    </row>
    <row r="1136" customFormat="false" ht="15.75" hidden="false" customHeight="false" outlineLevel="0" collapsed="false">
      <c r="A1136" s="3" t="n">
        <f aca="false">IFERROR(__xludf.dummyfunction("""COMPUTED_VALUE"""),45849.6666666667)</f>
        <v>45849.6666666667</v>
      </c>
      <c r="B1136" s="2" t="n">
        <f aca="false">IFERROR(__xludf.dummyfunction("""COMPUTED_VALUE"""),176.79)</f>
        <v>176.79</v>
      </c>
      <c r="C1136" s="2" t="n">
        <f aca="false">IFERROR(__xludf.dummyfunction("""COMPUTED_VALUE"""),181.43)</f>
        <v>181.43</v>
      </c>
      <c r="D1136" s="2" t="n">
        <f aca="false">IFERROR(__xludf.dummyfunction("""COMPUTED_VALUE"""),176.48)</f>
        <v>176.48</v>
      </c>
      <c r="E1136" s="2" t="n">
        <f aca="false">IFERROR(__xludf.dummyfunction("""COMPUTED_VALUE"""),180.19)</f>
        <v>180.19</v>
      </c>
      <c r="F1136" s="2" t="n">
        <f aca="false">IFERROR(__xludf.dummyfunction("""COMPUTED_VALUE"""),34282922)</f>
        <v>34282922</v>
      </c>
    </row>
    <row r="1137" customFormat="false" ht="15.75" hidden="false" customHeight="false" outlineLevel="0" collapsed="false">
      <c r="A1137" s="3" t="n">
        <f aca="false">IFERROR(__xludf.dummyfunction("""COMPUTED_VALUE"""),45852.6666666667)</f>
        <v>45852.6666666667</v>
      </c>
      <c r="B1137" s="2" t="n">
        <f aca="false">IFERROR(__xludf.dummyfunction("""COMPUTED_VALUE"""),181.01)</f>
        <v>181.01</v>
      </c>
      <c r="C1137" s="2" t="n">
        <f aca="false">IFERROR(__xludf.dummyfunction("""COMPUTED_VALUE"""),183.67)</f>
        <v>183.67</v>
      </c>
      <c r="D1137" s="2" t="n">
        <f aca="false">IFERROR(__xludf.dummyfunction("""COMPUTED_VALUE"""),179.68)</f>
        <v>179.68</v>
      </c>
      <c r="E1137" s="2" t="n">
        <f aca="false">IFERROR(__xludf.dummyfunction("""COMPUTED_VALUE"""),181.56)</f>
        <v>181.56</v>
      </c>
      <c r="F1137" s="2" t="n">
        <f aca="false">IFERROR(__xludf.dummyfunction("""COMPUTED_VALUE"""),32536632)</f>
        <v>32536632</v>
      </c>
    </row>
    <row r="1138" customFormat="false" ht="15.75" hidden="false" customHeight="false" outlineLevel="0" collapsed="false">
      <c r="A1138" s="3" t="n">
        <f aca="false">IFERROR(__xludf.dummyfunction("""COMPUTED_VALUE"""),45853.6666666667)</f>
        <v>45853.6666666667</v>
      </c>
      <c r="B1138" s="2" t="n">
        <f aca="false">IFERROR(__xludf.dummyfunction("""COMPUTED_VALUE"""),182.81)</f>
        <v>182.81</v>
      </c>
      <c r="C1138" s="2" t="n">
        <f aca="false">IFERROR(__xludf.dummyfunction("""COMPUTED_VALUE"""),184.22)</f>
        <v>184.22</v>
      </c>
      <c r="D1138" s="2" t="n">
        <f aca="false">IFERROR(__xludf.dummyfunction("""COMPUTED_VALUE"""),181.6)</f>
        <v>181.6</v>
      </c>
      <c r="E1138" s="2" t="n">
        <f aca="false">IFERROR(__xludf.dummyfunction("""COMPUTED_VALUE"""),182)</f>
        <v>182</v>
      </c>
      <c r="F1138" s="2" t="n">
        <f aca="false">IFERROR(__xludf.dummyfunction("""COMPUTED_VALUE"""),33448251)</f>
        <v>33448251</v>
      </c>
    </row>
    <row r="1139" customFormat="false" ht="15.75" hidden="false" customHeight="false" outlineLevel="0" collapsed="false">
      <c r="A1139" s="3" t="n">
        <f aca="false">IFERROR(__xludf.dummyfunction("""COMPUTED_VALUE"""),45854.6666666667)</f>
        <v>45854.6666666667</v>
      </c>
      <c r="B1139" s="2" t="n">
        <f aca="false">IFERROR(__xludf.dummyfunction("""COMPUTED_VALUE"""),183.24)</f>
        <v>183.24</v>
      </c>
      <c r="C1139" s="2" t="n">
        <f aca="false">IFERROR(__xludf.dummyfunction("""COMPUTED_VALUE"""),184.33)</f>
        <v>184.33</v>
      </c>
      <c r="D1139" s="2" t="n">
        <f aca="false">IFERROR(__xludf.dummyfunction("""COMPUTED_VALUE"""),182.03)</f>
        <v>182.03</v>
      </c>
      <c r="E1139" s="2" t="n">
        <f aca="false">IFERROR(__xludf.dummyfunction("""COMPUTED_VALUE"""),182.97)</f>
        <v>182.97</v>
      </c>
      <c r="F1139" s="2" t="n">
        <f aca="false">IFERROR(__xludf.dummyfunction("""COMPUTED_VALUE"""),33104193)</f>
        <v>33104193</v>
      </c>
    </row>
    <row r="1140" customFormat="false" ht="15.75" hidden="false" customHeight="false" outlineLevel="0" collapsed="false">
      <c r="A1140" s="3" t="n">
        <f aca="false">IFERROR(__xludf.dummyfunction("""COMPUTED_VALUE"""),45855.6666666667)</f>
        <v>45855.6666666667</v>
      </c>
      <c r="B1140" s="2" t="n">
        <f aca="false">IFERROR(__xludf.dummyfunction("""COMPUTED_VALUE"""),182.14)</f>
        <v>182.14</v>
      </c>
      <c r="C1140" s="2" t="n">
        <f aca="false">IFERROR(__xludf.dummyfunction("""COMPUTED_VALUE"""),184.06)</f>
        <v>184.06</v>
      </c>
      <c r="D1140" s="2" t="n">
        <f aca="false">IFERROR(__xludf.dummyfunction("""COMPUTED_VALUE"""),180.48)</f>
        <v>180.48</v>
      </c>
      <c r="E1140" s="2" t="n">
        <f aca="false">IFERROR(__xludf.dummyfunction("""COMPUTED_VALUE"""),183.58)</f>
        <v>183.58</v>
      </c>
      <c r="F1140" s="2" t="n">
        <f aca="false">IFERROR(__xludf.dummyfunction("""COMPUTED_VALUE"""),31992565)</f>
        <v>31992565</v>
      </c>
    </row>
    <row r="1141" customFormat="false" ht="15.75" hidden="false" customHeight="false" outlineLevel="0" collapsed="false">
      <c r="A1141" s="3" t="n">
        <f aca="false">IFERROR(__xludf.dummyfunction("""COMPUTED_VALUE"""),45856.6666666667)</f>
        <v>45856.6666666667</v>
      </c>
      <c r="B1141" s="2" t="n">
        <f aca="false">IFERROR(__xludf.dummyfunction("""COMPUTED_VALUE"""),185.4)</f>
        <v>185.4</v>
      </c>
      <c r="C1141" s="2" t="n">
        <f aca="false">IFERROR(__xludf.dummyfunction("""COMPUTED_VALUE"""),186.42)</f>
        <v>186.42</v>
      </c>
      <c r="D1141" s="2" t="n">
        <f aca="false">IFERROR(__xludf.dummyfunction("""COMPUTED_VALUE"""),183.71)</f>
        <v>183.71</v>
      </c>
      <c r="E1141" s="2" t="n">
        <f aca="false">IFERROR(__xludf.dummyfunction("""COMPUTED_VALUE"""),185.06)</f>
        <v>185.06</v>
      </c>
      <c r="F1141" s="2" t="n">
        <f aca="false">IFERROR(__xludf.dummyfunction("""COMPUTED_VALUE"""),34014509)</f>
        <v>34014509</v>
      </c>
    </row>
    <row r="1142" customFormat="false" ht="15.75" hidden="false" customHeight="false" outlineLevel="0" collapsed="false">
      <c r="A1142" s="3" t="n">
        <f aca="false">IFERROR(__xludf.dummyfunction("""COMPUTED_VALUE"""),45859.6666666667)</f>
        <v>45859.6666666667</v>
      </c>
      <c r="B1142" s="2" t="n">
        <f aca="false">IFERROR(__xludf.dummyfunction("""COMPUTED_VALUE"""),186.25)</f>
        <v>186.25</v>
      </c>
      <c r="C1142" s="2" t="n">
        <f aca="false">IFERROR(__xludf.dummyfunction("""COMPUTED_VALUE"""),190.29)</f>
        <v>190.29</v>
      </c>
      <c r="D1142" s="2" t="n">
        <f aca="false">IFERROR(__xludf.dummyfunction("""COMPUTED_VALUE"""),186.15)</f>
        <v>186.15</v>
      </c>
      <c r="E1142" s="2" t="n">
        <f aca="false">IFERROR(__xludf.dummyfunction("""COMPUTED_VALUE"""),190.1)</f>
        <v>190.1</v>
      </c>
      <c r="F1142" s="2" t="n">
        <f aca="false">IFERROR(__xludf.dummyfunction("""COMPUTED_VALUE"""),45803129)</f>
        <v>45803129</v>
      </c>
    </row>
    <row r="1143" customFormat="false" ht="15.75" hidden="false" customHeight="false" outlineLevel="0" collapsed="false">
      <c r="A1143" s="3" t="n">
        <f aca="false">IFERROR(__xludf.dummyfunction("""COMPUTED_VALUE"""),45860.6666666667)</f>
        <v>45860.6666666667</v>
      </c>
      <c r="B1143" s="2" t="n">
        <f aca="false">IFERROR(__xludf.dummyfunction("""COMPUTED_VALUE"""),191.5)</f>
        <v>191.5</v>
      </c>
      <c r="C1143" s="2" t="n">
        <f aca="false">IFERROR(__xludf.dummyfunction("""COMPUTED_VALUE"""),191.65)</f>
        <v>191.65</v>
      </c>
      <c r="D1143" s="2" t="n">
        <f aca="false">IFERROR(__xludf.dummyfunction("""COMPUTED_VALUE"""),187.46)</f>
        <v>187.46</v>
      </c>
      <c r="E1143" s="2" t="n">
        <f aca="false">IFERROR(__xludf.dummyfunction("""COMPUTED_VALUE"""),191.34)</f>
        <v>191.34</v>
      </c>
      <c r="F1143" s="2" t="n">
        <f aca="false">IFERROR(__xludf.dummyfunction("""COMPUTED_VALUE"""),44660215)</f>
        <v>44660215</v>
      </c>
    </row>
    <row r="1144" customFormat="false" ht="15.75" hidden="false" customHeight="false" outlineLevel="0" collapsed="false">
      <c r="A1144" s="3" t="n">
        <f aca="false">IFERROR(__xludf.dummyfunction("""COMPUTED_VALUE"""),45861.6666666667)</f>
        <v>45861.6666666667</v>
      </c>
      <c r="B1144" s="2" t="n">
        <f aca="false">IFERROR(__xludf.dummyfunction("""COMPUTED_VALUE"""),191.5)</f>
        <v>191.5</v>
      </c>
      <c r="C1144" s="2" t="n">
        <f aca="false">IFERROR(__xludf.dummyfunction("""COMPUTED_VALUE"""),192.53)</f>
        <v>192.53</v>
      </c>
      <c r="D1144" s="2" t="n">
        <f aca="false">IFERROR(__xludf.dummyfunction("""COMPUTED_VALUE"""),189.18)</f>
        <v>189.18</v>
      </c>
      <c r="E1144" s="2" t="n">
        <f aca="false">IFERROR(__xludf.dummyfunction("""COMPUTED_VALUE"""),190.23)</f>
        <v>190.23</v>
      </c>
      <c r="F1144" s="2" t="n">
        <f aca="false">IFERROR(__xludf.dummyfunction("""COMPUTED_VALUE"""),58681948)</f>
        <v>58681948</v>
      </c>
    </row>
    <row r="1145" customFormat="false" ht="15.75" hidden="false" customHeight="false" outlineLevel="0" collapsed="false">
      <c r="A1145" s="3" t="n">
        <f aca="false">IFERROR(__xludf.dummyfunction("""COMPUTED_VALUE"""),45862.6666666667)</f>
        <v>45862.6666666667</v>
      </c>
      <c r="B1145" s="2" t="n">
        <f aca="false">IFERROR(__xludf.dummyfunction("""COMPUTED_VALUE"""),197.03)</f>
        <v>197.03</v>
      </c>
      <c r="C1145" s="2" t="n">
        <f aca="false">IFERROR(__xludf.dummyfunction("""COMPUTED_VALUE"""),197.95)</f>
        <v>197.95</v>
      </c>
      <c r="D1145" s="2" t="n">
        <f aca="false">IFERROR(__xludf.dummyfunction("""COMPUTED_VALUE"""),191)</f>
        <v>191</v>
      </c>
      <c r="E1145" s="2" t="n">
        <f aca="false">IFERROR(__xludf.dummyfunction("""COMPUTED_VALUE"""),192.17)</f>
        <v>192.17</v>
      </c>
      <c r="F1145" s="2" t="n">
        <f aca="false">IFERROR(__xludf.dummyfunction("""COMPUTED_VALUE"""),74881687)</f>
        <v>74881687</v>
      </c>
    </row>
    <row r="1146" customFormat="false" ht="15.75" hidden="false" customHeight="false" outlineLevel="0" collapsed="false">
      <c r="A1146" s="3" t="n">
        <f aca="false">IFERROR(__xludf.dummyfunction("""COMPUTED_VALUE"""),45863.6666666667)</f>
        <v>45863.6666666667</v>
      </c>
      <c r="B1146" s="2" t="n">
        <f aca="false">IFERROR(__xludf.dummyfunction("""COMPUTED_VALUE"""),191.98)</f>
        <v>191.98</v>
      </c>
      <c r="C1146" s="2" t="n">
        <f aca="false">IFERROR(__xludf.dummyfunction("""COMPUTED_VALUE"""),194.33)</f>
        <v>194.33</v>
      </c>
      <c r="D1146" s="2" t="n">
        <f aca="false">IFERROR(__xludf.dummyfunction("""COMPUTED_VALUE"""),191.26)</f>
        <v>191.26</v>
      </c>
      <c r="E1146" s="2" t="n">
        <f aca="false">IFERROR(__xludf.dummyfunction("""COMPUTED_VALUE"""),193.18)</f>
        <v>193.18</v>
      </c>
      <c r="F1146" s="2" t="n">
        <f aca="false">IFERROR(__xludf.dummyfunction("""COMPUTED_VALUE"""),39785863)</f>
        <v>39785863</v>
      </c>
    </row>
    <row r="1147" customFormat="false" ht="15.75" hidden="false" customHeight="false" outlineLevel="0" collapsed="false">
      <c r="A1147" s="3" t="n">
        <f aca="false">IFERROR(__xludf.dummyfunction("""COMPUTED_VALUE"""),45866.6666666667)</f>
        <v>45866.6666666667</v>
      </c>
      <c r="B1147" s="2" t="n">
        <f aca="false">IFERROR(__xludf.dummyfunction("""COMPUTED_VALUE"""),193.65)</f>
        <v>193.65</v>
      </c>
      <c r="C1147" s="2" t="n">
        <f aca="false">IFERROR(__xludf.dummyfunction("""COMPUTED_VALUE"""),194.05)</f>
        <v>194.05</v>
      </c>
      <c r="D1147" s="2" t="n">
        <f aca="false">IFERROR(__xludf.dummyfunction("""COMPUTED_VALUE"""),190.84)</f>
        <v>190.84</v>
      </c>
      <c r="E1147" s="2" t="n">
        <f aca="false">IFERROR(__xludf.dummyfunction("""COMPUTED_VALUE"""),192.58)</f>
        <v>192.58</v>
      </c>
      <c r="F1147" s="2" t="n">
        <f aca="false">IFERROR(__xludf.dummyfunction("""COMPUTED_VALUE"""),38139504)</f>
        <v>38139504</v>
      </c>
    </row>
    <row r="1148" customFormat="false" ht="15.75" hidden="false" customHeight="false" outlineLevel="0" collapsed="false">
      <c r="A1148" s="3" t="n">
        <f aca="false">IFERROR(__xludf.dummyfunction("""COMPUTED_VALUE"""),45867.6666666667)</f>
        <v>45867.6666666667</v>
      </c>
      <c r="B1148" s="2" t="n">
        <f aca="false">IFERROR(__xludf.dummyfunction("""COMPUTED_VALUE"""),192.43)</f>
        <v>192.43</v>
      </c>
      <c r="C1148" s="2" t="n">
        <f aca="false">IFERROR(__xludf.dummyfunction("""COMPUTED_VALUE"""),195.92)</f>
        <v>195.92</v>
      </c>
      <c r="D1148" s="2" t="n">
        <f aca="false">IFERROR(__xludf.dummyfunction("""COMPUTED_VALUE"""),192.08)</f>
        <v>192.08</v>
      </c>
      <c r="E1148" s="2" t="n">
        <f aca="false">IFERROR(__xludf.dummyfunction("""COMPUTED_VALUE"""),195.75)</f>
        <v>195.75</v>
      </c>
      <c r="F1148" s="2" t="n">
        <f aca="false">IFERROR(__xludf.dummyfunction("""COMPUTED_VALUE"""),41389153)</f>
        <v>41389153</v>
      </c>
    </row>
    <row r="1149" customFormat="false" ht="15.75" hidden="false" customHeight="false" outlineLevel="0" collapsed="false">
      <c r="A1149" s="3" t="n">
        <f aca="false">IFERROR(__xludf.dummyfunction("""COMPUTED_VALUE"""),45868.6666666667)</f>
        <v>45868.6666666667</v>
      </c>
      <c r="B1149" s="2" t="n">
        <f aca="false">IFERROR(__xludf.dummyfunction("""COMPUTED_VALUE"""),195.6)</f>
        <v>195.6</v>
      </c>
      <c r="C1149" s="2" t="n">
        <f aca="false">IFERROR(__xludf.dummyfunction("""COMPUTED_VALUE"""),197.6)</f>
        <v>197.6</v>
      </c>
      <c r="D1149" s="2" t="n">
        <f aca="false">IFERROR(__xludf.dummyfunction("""COMPUTED_VALUE"""),194.69)</f>
        <v>194.69</v>
      </c>
      <c r="E1149" s="2" t="n">
        <f aca="false">IFERROR(__xludf.dummyfunction("""COMPUTED_VALUE"""),196.53)</f>
        <v>196.53</v>
      </c>
      <c r="F1149" s="2" t="n">
        <f aca="false">IFERROR(__xludf.dummyfunction("""COMPUTED_VALUE"""),32445405)</f>
        <v>32445405</v>
      </c>
    </row>
    <row r="1150" customFormat="false" ht="15.75" hidden="false" customHeight="false" outlineLevel="0" collapsed="false">
      <c r="A1150" s="3" t="n">
        <f aca="false">IFERROR(__xludf.dummyfunction("""COMPUTED_VALUE"""),45869.6666666667)</f>
        <v>45869.6666666667</v>
      </c>
      <c r="B1150" s="2" t="n">
        <f aca="false">IFERROR(__xludf.dummyfunction("""COMPUTED_VALUE"""),195.71)</f>
        <v>195.71</v>
      </c>
      <c r="C1150" s="2" t="n">
        <f aca="false">IFERROR(__xludf.dummyfunction("""COMPUTED_VALUE"""),195.99)</f>
        <v>195.99</v>
      </c>
      <c r="D1150" s="2" t="n">
        <f aca="false">IFERROR(__xludf.dummyfunction("""COMPUTED_VALUE"""),191.09)</f>
        <v>191.09</v>
      </c>
      <c r="E1150" s="2" t="n">
        <f aca="false">IFERROR(__xludf.dummyfunction("""COMPUTED_VALUE"""),191.9)</f>
        <v>191.9</v>
      </c>
      <c r="F1150" s="2" t="n">
        <f aca="false">IFERROR(__xludf.dummyfunction("""COMPUTED_VALUE"""),51329163)</f>
        <v>51329163</v>
      </c>
    </row>
    <row r="1151" customFormat="false" ht="15.75" hidden="false" customHeight="false" outlineLevel="0" collapsed="false">
      <c r="A1151" s="3" t="n">
        <f aca="false">IFERROR(__xludf.dummyfunction("""COMPUTED_VALUE"""),45870.6666666667)</f>
        <v>45870.6666666667</v>
      </c>
      <c r="B1151" s="2" t="n">
        <f aca="false">IFERROR(__xludf.dummyfunction("""COMPUTED_VALUE"""),189.03)</f>
        <v>189.03</v>
      </c>
      <c r="C1151" s="2" t="n">
        <f aca="false">IFERROR(__xludf.dummyfunction("""COMPUTED_VALUE"""),190.83)</f>
        <v>190.83</v>
      </c>
      <c r="D1151" s="2" t="n">
        <f aca="false">IFERROR(__xludf.dummyfunction("""COMPUTED_VALUE"""),187.82)</f>
        <v>187.82</v>
      </c>
      <c r="E1151" s="2" t="n">
        <f aca="false">IFERROR(__xludf.dummyfunction("""COMPUTED_VALUE"""),189.13)</f>
        <v>189.13</v>
      </c>
      <c r="F1151" s="2" t="n">
        <f aca="false">IFERROR(__xludf.dummyfunction("""COMPUTED_VALUE"""),34832181)</f>
        <v>34832181</v>
      </c>
    </row>
    <row r="1152" customFormat="false" ht="15.75" hidden="false" customHeight="false" outlineLevel="0" collapsed="false">
      <c r="A1152" s="3" t="n">
        <f aca="false">IFERROR(__xludf.dummyfunction("""COMPUTED_VALUE"""),45873.6666666667)</f>
        <v>45873.6666666667</v>
      </c>
      <c r="B1152" s="2" t="n">
        <f aca="false">IFERROR(__xludf.dummyfunction("""COMPUTED_VALUE"""),190.29)</f>
        <v>190.29</v>
      </c>
      <c r="C1152" s="2" t="n">
        <f aca="false">IFERROR(__xludf.dummyfunction("""COMPUTED_VALUE"""),195.27)</f>
        <v>195.27</v>
      </c>
      <c r="D1152" s="2" t="n">
        <f aca="false">IFERROR(__xludf.dummyfunction("""COMPUTED_VALUE"""),190.12)</f>
        <v>190.12</v>
      </c>
      <c r="E1152" s="2" t="n">
        <f aca="false">IFERROR(__xludf.dummyfunction("""COMPUTED_VALUE"""),195.04)</f>
        <v>195.04</v>
      </c>
      <c r="F1152" s="2" t="n">
        <f aca="false">IFERROR(__xludf.dummyfunction("""COMPUTED_VALUE"""),31547350)</f>
        <v>31547350</v>
      </c>
    </row>
    <row r="1153" customFormat="false" ht="15.75" hidden="false" customHeight="false" outlineLevel="0" collapsed="false">
      <c r="A1153" s="3" t="n">
        <f aca="false">IFERROR(__xludf.dummyfunction("""COMPUTED_VALUE"""),45874.6666666667)</f>
        <v>45874.6666666667</v>
      </c>
      <c r="B1153" s="2" t="n">
        <f aca="false">IFERROR(__xludf.dummyfunction("""COMPUTED_VALUE"""),194.71)</f>
        <v>194.71</v>
      </c>
      <c r="C1153" s="2" t="n">
        <f aca="false">IFERROR(__xludf.dummyfunction("""COMPUTED_VALUE"""),197.86)</f>
        <v>197.86</v>
      </c>
      <c r="D1153" s="2" t="n">
        <f aca="false">IFERROR(__xludf.dummyfunction("""COMPUTED_VALUE"""),193.89)</f>
        <v>193.89</v>
      </c>
      <c r="E1153" s="2" t="n">
        <f aca="false">IFERROR(__xludf.dummyfunction("""COMPUTED_VALUE"""),194.67)</f>
        <v>194.67</v>
      </c>
      <c r="F1153" s="2" t="n">
        <f aca="false">IFERROR(__xludf.dummyfunction("""COMPUTED_VALUE"""),31602340)</f>
        <v>31602340</v>
      </c>
    </row>
    <row r="1154" customFormat="false" ht="15.75" hidden="false" customHeight="false" outlineLevel="0" collapsed="false">
      <c r="A1154" s="3" t="n">
        <f aca="false">IFERROR(__xludf.dummyfunction("""COMPUTED_VALUE"""),45875.6666666667)</f>
        <v>45875.6666666667</v>
      </c>
      <c r="B1154" s="2" t="n">
        <f aca="false">IFERROR(__xludf.dummyfunction("""COMPUTED_VALUE"""),194.5)</f>
        <v>194.5</v>
      </c>
      <c r="C1154" s="2" t="n">
        <f aca="false">IFERROR(__xludf.dummyfunction("""COMPUTED_VALUE"""),196.63)</f>
        <v>196.63</v>
      </c>
      <c r="D1154" s="2" t="n">
        <f aca="false">IFERROR(__xludf.dummyfunction("""COMPUTED_VALUE"""),193.67)</f>
        <v>193.67</v>
      </c>
      <c r="E1154" s="2" t="n">
        <f aca="false">IFERROR(__xludf.dummyfunction("""COMPUTED_VALUE"""),196.09)</f>
        <v>196.09</v>
      </c>
      <c r="F1154" s="2" t="n">
        <f aca="false">IFERROR(__xludf.dummyfunction("""COMPUTED_VALUE"""),21562908)</f>
        <v>21562908</v>
      </c>
    </row>
    <row r="1155" customFormat="false" ht="15.75" hidden="false" customHeight="false" outlineLevel="0" collapsed="false">
      <c r="A1155" s="3" t="n">
        <f aca="false">IFERROR(__xludf.dummyfunction("""COMPUTED_VALUE"""),45876.6666666667)</f>
        <v>45876.6666666667</v>
      </c>
      <c r="B1155" s="2" t="n">
        <f aca="false">IFERROR(__xludf.dummyfunction("""COMPUTED_VALUE"""),197.06)</f>
        <v>197.06</v>
      </c>
      <c r="C1155" s="2" t="n">
        <f aca="false">IFERROR(__xludf.dummyfunction("""COMPUTED_VALUE"""),197.54)</f>
        <v>197.54</v>
      </c>
      <c r="D1155" s="2" t="n">
        <f aca="false">IFERROR(__xludf.dummyfunction("""COMPUTED_VALUE"""),194.33)</f>
        <v>194.33</v>
      </c>
      <c r="E1155" s="2" t="n">
        <f aca="false">IFERROR(__xludf.dummyfunction("""COMPUTED_VALUE"""),196.52)</f>
        <v>196.52</v>
      </c>
      <c r="F1155" s="2" t="n">
        <f aca="false">IFERROR(__xludf.dummyfunction("""COMPUTED_VALUE"""),26321811)</f>
        <v>26321811</v>
      </c>
    </row>
    <row r="1156" customFormat="false" ht="15.75" hidden="false" customHeight="false" outlineLevel="0" collapsed="false">
      <c r="A1156" s="3" t="n">
        <f aca="false">IFERROR(__xludf.dummyfunction("""COMPUTED_VALUE"""),45877.6666666667)</f>
        <v>45877.6666666667</v>
      </c>
      <c r="B1156" s="2" t="n">
        <f aca="false">IFERROR(__xludf.dummyfunction("""COMPUTED_VALUE"""),197.22)</f>
        <v>197.22</v>
      </c>
      <c r="C1156" s="2" t="n">
        <f aca="false">IFERROR(__xludf.dummyfunction("""COMPUTED_VALUE"""),202.61)</f>
        <v>202.61</v>
      </c>
      <c r="D1156" s="2" t="n">
        <f aca="false">IFERROR(__xludf.dummyfunction("""COMPUTED_VALUE"""),197.17)</f>
        <v>197.17</v>
      </c>
      <c r="E1156" s="2" t="n">
        <f aca="false">IFERROR(__xludf.dummyfunction("""COMPUTED_VALUE"""),201.42)</f>
        <v>201.42</v>
      </c>
      <c r="F1156" s="2" t="n">
        <f aca="false">IFERROR(__xludf.dummyfunction("""COMPUTED_VALUE"""),39161826)</f>
        <v>39161826</v>
      </c>
    </row>
    <row r="1157" customFormat="false" ht="15.75" hidden="false" customHeight="false" outlineLevel="0" collapsed="false">
      <c r="A1157" s="3" t="n">
        <f aca="false">IFERROR(__xludf.dummyfunction("""COMPUTED_VALUE"""),45880.6666666667)</f>
        <v>45880.6666666667</v>
      </c>
      <c r="B1157" s="2" t="n">
        <f aca="false">IFERROR(__xludf.dummyfunction("""COMPUTED_VALUE"""),200.94)</f>
        <v>200.94</v>
      </c>
      <c r="C1157" s="2" t="n">
        <f aca="false">IFERROR(__xludf.dummyfunction("""COMPUTED_VALUE"""),201.48)</f>
        <v>201.48</v>
      </c>
      <c r="D1157" s="2" t="n">
        <f aca="false">IFERROR(__xludf.dummyfunction("""COMPUTED_VALUE"""),199.07)</f>
        <v>199.07</v>
      </c>
      <c r="E1157" s="2" t="n">
        <f aca="false">IFERROR(__xludf.dummyfunction("""COMPUTED_VALUE"""),201)</f>
        <v>201</v>
      </c>
      <c r="F1157" s="2" t="n">
        <f aca="false">IFERROR(__xludf.dummyfunction("""COMPUTED_VALUE"""),25832435)</f>
        <v>25832435</v>
      </c>
    </row>
    <row r="1158" customFormat="false" ht="15.75" hidden="false" customHeight="false" outlineLevel="0" collapsed="false">
      <c r="A1158" s="3" t="n">
        <f aca="false">IFERROR(__xludf.dummyfunction("""COMPUTED_VALUE"""),45881.6666666667)</f>
        <v>45881.6666666667</v>
      </c>
      <c r="B1158" s="2" t="n">
        <f aca="false">IFERROR(__xludf.dummyfunction("""COMPUTED_VALUE"""),201.37)</f>
        <v>201.37</v>
      </c>
      <c r="C1158" s="2" t="n">
        <f aca="false">IFERROR(__xludf.dummyfunction("""COMPUTED_VALUE"""),204.5)</f>
        <v>204.5</v>
      </c>
      <c r="D1158" s="2" t="n">
        <f aca="false">IFERROR(__xludf.dummyfunction("""COMPUTED_VALUE"""),200.59)</f>
        <v>200.59</v>
      </c>
      <c r="E1158" s="2" t="n">
        <f aca="false">IFERROR(__xludf.dummyfunction("""COMPUTED_VALUE"""),203.34)</f>
        <v>203.34</v>
      </c>
      <c r="F1158" s="2" t="n">
        <f aca="false">IFERROR(__xludf.dummyfunction("""COMPUTED_VALUE"""),30424452)</f>
        <v>30424452</v>
      </c>
    </row>
    <row r="1159" customFormat="false" ht="15.75" hidden="false" customHeight="false" outlineLevel="0" collapsed="false">
      <c r="A1159" s="3" t="n">
        <f aca="false">IFERROR(__xludf.dummyfunction("""COMPUTED_VALUE"""),45882.6666666667)</f>
        <v>45882.6666666667</v>
      </c>
      <c r="B1159" s="2" t="n">
        <f aca="false">IFERROR(__xludf.dummyfunction("""COMPUTED_VALUE"""),204.13)</f>
        <v>204.13</v>
      </c>
      <c r="C1159" s="2" t="n">
        <f aca="false">IFERROR(__xludf.dummyfunction("""COMPUTED_VALUE"""),204.53)</f>
        <v>204.53</v>
      </c>
      <c r="D1159" s="2" t="n">
        <f aca="false">IFERROR(__xludf.dummyfunction("""COMPUTED_VALUE"""),197.51)</f>
        <v>197.51</v>
      </c>
      <c r="E1159" s="2" t="n">
        <f aca="false">IFERROR(__xludf.dummyfunction("""COMPUTED_VALUE"""),201.96)</f>
        <v>201.96</v>
      </c>
      <c r="F1159" s="2" t="n">
        <f aca="false">IFERROR(__xludf.dummyfunction("""COMPUTED_VALUE"""),28342922)</f>
        <v>28342922</v>
      </c>
    </row>
    <row r="1160" customFormat="false" ht="15.75" hidden="false" customHeight="false" outlineLevel="0" collapsed="false">
      <c r="A1160" s="3" t="n">
        <f aca="false">IFERROR(__xludf.dummyfunction("""COMPUTED_VALUE"""),45883.6666666667)</f>
        <v>45883.6666666667</v>
      </c>
      <c r="B1160" s="2" t="n">
        <f aca="false">IFERROR(__xludf.dummyfunction("""COMPUTED_VALUE"""),201.5)</f>
        <v>201.5</v>
      </c>
      <c r="C1160" s="2" t="n">
        <f aca="false">IFERROR(__xludf.dummyfunction("""COMPUTED_VALUE"""),204.44)</f>
        <v>204.44</v>
      </c>
      <c r="D1160" s="2" t="n">
        <f aca="false">IFERROR(__xludf.dummyfunction("""COMPUTED_VALUE"""),201.23)</f>
        <v>201.23</v>
      </c>
      <c r="E1160" s="2" t="n">
        <f aca="false">IFERROR(__xludf.dummyfunction("""COMPUTED_VALUE"""),202.94)</f>
        <v>202.94</v>
      </c>
      <c r="F1160" s="2" t="n">
        <f aca="false">IFERROR(__xludf.dummyfunction("""COMPUTED_VALUE"""),25230427)</f>
        <v>25230427</v>
      </c>
    </row>
    <row r="1161" customFormat="false" ht="15.75" hidden="false" customHeight="false" outlineLevel="0" collapsed="false">
      <c r="A1161" s="3" t="n">
        <f aca="false">IFERROR(__xludf.dummyfunction("""COMPUTED_VALUE"""),45884.6666666667)</f>
        <v>45884.6666666667</v>
      </c>
      <c r="B1161" s="2" t="n">
        <f aca="false">IFERROR(__xludf.dummyfunction("""COMPUTED_VALUE"""),203.85)</f>
        <v>203.85</v>
      </c>
      <c r="C1161" s="2" t="n">
        <f aca="false">IFERROR(__xludf.dummyfunction("""COMPUTED_VALUE"""),206.44)</f>
        <v>206.44</v>
      </c>
      <c r="D1161" s="2" t="n">
        <f aca="false">IFERROR(__xludf.dummyfunction("""COMPUTED_VALUE"""),201.28)</f>
        <v>201.28</v>
      </c>
      <c r="E1161" s="2" t="n">
        <f aca="false">IFERROR(__xludf.dummyfunction("""COMPUTED_VALUE"""),203.9)</f>
        <v>203.9</v>
      </c>
      <c r="F1161" s="2" t="n">
        <f aca="false">IFERROR(__xludf.dummyfunction("""COMPUTED_VALUE"""),34931422)</f>
        <v>34931422</v>
      </c>
    </row>
    <row r="1162" customFormat="false" ht="15.75" hidden="false" customHeight="false" outlineLevel="0" collapsed="false">
      <c r="A1162" s="3" t="n">
        <f aca="false">IFERROR(__xludf.dummyfunction("""COMPUTED_VALUE"""),45887.6666666667)</f>
        <v>45887.6666666667</v>
      </c>
      <c r="B1162" s="2" t="n">
        <f aca="false">IFERROR(__xludf.dummyfunction("""COMPUTED_VALUE"""),204.2)</f>
        <v>204.2</v>
      </c>
      <c r="C1162" s="2" t="n">
        <f aca="false">IFERROR(__xludf.dummyfunction("""COMPUTED_VALUE"""),205.27)</f>
        <v>205.27</v>
      </c>
      <c r="D1162" s="2" t="n">
        <f aca="false">IFERROR(__xludf.dummyfunction("""COMPUTED_VALUE"""),202.49)</f>
        <v>202.49</v>
      </c>
      <c r="E1162" s="2" t="n">
        <f aca="false">IFERROR(__xludf.dummyfunction("""COMPUTED_VALUE"""),203.5)</f>
        <v>203.5</v>
      </c>
      <c r="F1162" s="2" t="n">
        <f aca="false">IFERROR(__xludf.dummyfunction("""COMPUTED_VALUE"""),18526594)</f>
        <v>18526594</v>
      </c>
    </row>
    <row r="1163" customFormat="false" ht="15.75" hidden="false" customHeight="false" outlineLevel="0" collapsed="false">
      <c r="A1163" s="3" t="n">
        <f aca="false">IFERROR(__xludf.dummyfunction("""COMPUTED_VALUE"""),45888.6666666667)</f>
        <v>45888.6666666667</v>
      </c>
      <c r="B1163" s="2" t="n">
        <f aca="false">IFERROR(__xludf.dummyfunction("""COMPUTED_VALUE"""),203.03)</f>
        <v>203.03</v>
      </c>
      <c r="C1163" s="2" t="n">
        <f aca="false">IFERROR(__xludf.dummyfunction("""COMPUTED_VALUE"""),203.44)</f>
        <v>203.44</v>
      </c>
      <c r="D1163" s="2" t="n">
        <f aca="false">IFERROR(__xludf.dummyfunction("""COMPUTED_VALUE"""),199.96)</f>
        <v>199.96</v>
      </c>
      <c r="E1163" s="2" t="n">
        <f aca="false">IFERROR(__xludf.dummyfunction("""COMPUTED_VALUE"""),201.57)</f>
        <v>201.57</v>
      </c>
      <c r="F1163" s="2" t="n">
        <f aca="false">IFERROR(__xludf.dummyfunction("""COMPUTED_VALUE"""),24240233)</f>
        <v>24240233</v>
      </c>
    </row>
    <row r="1164" customFormat="false" ht="15.75" hidden="false" customHeight="false" outlineLevel="0" collapsed="false">
      <c r="A1164" s="3" t="n">
        <f aca="false">IFERROR(__xludf.dummyfunction("""COMPUTED_VALUE"""),45889.6666666667)</f>
        <v>45889.6666666667</v>
      </c>
      <c r="B1164" s="2" t="n">
        <f aca="false">IFERROR(__xludf.dummyfunction("""COMPUTED_VALUE"""),200.73)</f>
        <v>200.73</v>
      </c>
      <c r="C1164" s="2" t="n">
        <f aca="false">IFERROR(__xludf.dummyfunction("""COMPUTED_VALUE"""),201.28)</f>
        <v>201.28</v>
      </c>
      <c r="D1164" s="2" t="n">
        <f aca="false">IFERROR(__xludf.dummyfunction("""COMPUTED_VALUE"""),196.6)</f>
        <v>196.6</v>
      </c>
      <c r="E1164" s="2" t="n">
        <f aca="false">IFERROR(__xludf.dummyfunction("""COMPUTED_VALUE"""),199.32)</f>
        <v>199.32</v>
      </c>
      <c r="F1164" s="2" t="n">
        <f aca="false">IFERROR(__xludf.dummyfunction("""COMPUTED_VALUE"""),28955498)</f>
        <v>28955498</v>
      </c>
    </row>
    <row r="1165" customFormat="false" ht="15.75" hidden="false" customHeight="false" outlineLevel="0" collapsed="false">
      <c r="A1165" s="3" t="n">
        <f aca="false">IFERROR(__xludf.dummyfunction("""COMPUTED_VALUE"""),45890.6666666667)</f>
        <v>45890.6666666667</v>
      </c>
      <c r="B1165" s="2" t="n">
        <f aca="false">IFERROR(__xludf.dummyfunction("""COMPUTED_VALUE"""),199.75)</f>
        <v>199.75</v>
      </c>
      <c r="C1165" s="2" t="n">
        <f aca="false">IFERROR(__xludf.dummyfunction("""COMPUTED_VALUE"""),202.48)</f>
        <v>202.48</v>
      </c>
      <c r="D1165" s="2" t="n">
        <f aca="false">IFERROR(__xludf.dummyfunction("""COMPUTED_VALUE"""),199.43)</f>
        <v>199.43</v>
      </c>
      <c r="E1165" s="2" t="n">
        <f aca="false">IFERROR(__xludf.dummyfunction("""COMPUTED_VALUE"""),199.75)</f>
        <v>199.75</v>
      </c>
      <c r="F1165" s="2" t="n">
        <f aca="false">IFERROR(__xludf.dummyfunction("""COMPUTED_VALUE"""),19774633)</f>
        <v>19774633</v>
      </c>
    </row>
    <row r="1166" customFormat="false" ht="15.75" hidden="false" customHeight="false" outlineLevel="0" collapsed="false">
      <c r="A1166" s="3" t="n">
        <f aca="false">IFERROR(__xludf.dummyfunction("""COMPUTED_VALUE"""),45891.6666666667)</f>
        <v>45891.6666666667</v>
      </c>
      <c r="B1166" s="2" t="n">
        <f aca="false">IFERROR(__xludf.dummyfunction("""COMPUTED_VALUE"""),202.73)</f>
        <v>202.73</v>
      </c>
      <c r="C1166" s="2" t="n">
        <f aca="false">IFERROR(__xludf.dummyfunction("""COMPUTED_VALUE"""),208.54)</f>
        <v>208.54</v>
      </c>
      <c r="D1166" s="2" t="n">
        <f aca="false">IFERROR(__xludf.dummyfunction("""COMPUTED_VALUE"""),201.3)</f>
        <v>201.3</v>
      </c>
      <c r="E1166" s="2" t="n">
        <f aca="false">IFERROR(__xludf.dummyfunction("""COMPUTED_VALUE"""),206.09)</f>
        <v>206.09</v>
      </c>
      <c r="F1166" s="2" t="n">
        <f aca="false">IFERROR(__xludf.dummyfunction("""COMPUTED_VALUE"""),42827040)</f>
        <v>42827040</v>
      </c>
    </row>
    <row r="1167" customFormat="false" ht="15.75" hidden="false" customHeight="false" outlineLevel="0" collapsed="false">
      <c r="A1167" s="3" t="n">
        <f aca="false">IFERROR(__xludf.dummyfunction("""COMPUTED_VALUE"""),45894.6666666667)</f>
        <v>45894.6666666667</v>
      </c>
      <c r="B1167" s="2" t="n">
        <f aca="false">IFERROR(__xludf.dummyfunction("""COMPUTED_VALUE"""),206.43)</f>
        <v>206.43</v>
      </c>
      <c r="C1167" s="2" t="n">
        <f aca="false">IFERROR(__xludf.dummyfunction("""COMPUTED_VALUE"""),210.52)</f>
        <v>210.52</v>
      </c>
      <c r="D1167" s="2" t="n">
        <f aca="false">IFERROR(__xludf.dummyfunction("""COMPUTED_VALUE"""),205.28)</f>
        <v>205.28</v>
      </c>
      <c r="E1167" s="2" t="n">
        <f aca="false">IFERROR(__xludf.dummyfunction("""COMPUTED_VALUE"""),208.49)</f>
        <v>208.49</v>
      </c>
      <c r="F1167" s="2" t="n">
        <f aca="false">IFERROR(__xludf.dummyfunction("""COMPUTED_VALUE"""),29928878)</f>
        <v>29928878</v>
      </c>
    </row>
    <row r="1168" customFormat="false" ht="15.75" hidden="false" customHeight="false" outlineLevel="0" collapsed="false">
      <c r="A1168" s="3" t="n">
        <f aca="false">IFERROR(__xludf.dummyfunction("""COMPUTED_VALUE"""),45895.6666666667)</f>
        <v>45895.6666666667</v>
      </c>
      <c r="B1168" s="2" t="n">
        <f aca="false">IFERROR(__xludf.dummyfunction("""COMPUTED_VALUE"""),207.51)</f>
        <v>207.51</v>
      </c>
      <c r="C1168" s="2" t="n">
        <f aca="false">IFERROR(__xludf.dummyfunction("""COMPUTED_VALUE"""),207.85)</f>
        <v>207.85</v>
      </c>
      <c r="D1168" s="2" t="n">
        <f aca="false">IFERROR(__xludf.dummyfunction("""COMPUTED_VALUE"""),205.7)</f>
        <v>205.7</v>
      </c>
      <c r="E1168" s="2" t="n">
        <f aca="false">IFERROR(__xludf.dummyfunction("""COMPUTED_VALUE"""),207.14)</f>
        <v>207.14</v>
      </c>
      <c r="F1168" s="2" t="n">
        <f aca="false">IFERROR(__xludf.dummyfunction("""COMPUTED_VALUE"""),28464130)</f>
        <v>28464130</v>
      </c>
    </row>
    <row r="1169" customFormat="false" ht="15.75" hidden="false" customHeight="false" outlineLevel="0" collapsed="false">
      <c r="A1169" s="3" t="n">
        <f aca="false">IFERROR(__xludf.dummyfunction("""COMPUTED_VALUE"""),45896.6666666667)</f>
        <v>45896.6666666667</v>
      </c>
      <c r="B1169" s="2" t="n">
        <f aca="false">IFERROR(__xludf.dummyfunction("""COMPUTED_VALUE"""),205.7)</f>
        <v>205.7</v>
      </c>
      <c r="C1169" s="2" t="n">
        <f aca="false">IFERROR(__xludf.dummyfunction("""COMPUTED_VALUE"""),208.91)</f>
        <v>208.91</v>
      </c>
      <c r="D1169" s="2" t="n">
        <f aca="false">IFERROR(__xludf.dummyfunction("""COMPUTED_VALUE"""),205.65)</f>
        <v>205.65</v>
      </c>
      <c r="E1169" s="2" t="n">
        <f aca="false">IFERROR(__xludf.dummyfunction("""COMPUTED_VALUE"""),207.48)</f>
        <v>207.48</v>
      </c>
      <c r="F1169" s="2" t="n">
        <f aca="false">IFERROR(__xludf.dummyfunction("""COMPUTED_VALUE"""),23022850)</f>
        <v>23022850</v>
      </c>
    </row>
    <row r="1170" customFormat="false" ht="15.75" hidden="false" customHeight="false" outlineLevel="0" collapsed="false">
      <c r="A1170" s="3" t="n">
        <f aca="false">IFERROR(__xludf.dummyfunction("""COMPUTED_VALUE"""),45897.6666666667)</f>
        <v>45897.6666666667</v>
      </c>
      <c r="B1170" s="2" t="n">
        <f aca="false">IFERROR(__xludf.dummyfunction("""COMPUTED_VALUE"""),207.25)</f>
        <v>207.25</v>
      </c>
      <c r="C1170" s="2" t="n">
        <f aca="false">IFERROR(__xludf.dummyfunction("""COMPUTED_VALUE"""),212.22)</f>
        <v>212.22</v>
      </c>
      <c r="D1170" s="2" t="n">
        <f aca="false">IFERROR(__xludf.dummyfunction("""COMPUTED_VALUE"""),206.9)</f>
        <v>206.9</v>
      </c>
      <c r="E1170" s="2" t="n">
        <f aca="false">IFERROR(__xludf.dummyfunction("""COMPUTED_VALUE"""),211.64)</f>
        <v>211.64</v>
      </c>
      <c r="F1170" s="2" t="n">
        <f aca="false">IFERROR(__xludf.dummyfunction("""COMPUTED_VALUE"""),32339307)</f>
        <v>32339307</v>
      </c>
    </row>
    <row r="1171" customFormat="false" ht="15.75" hidden="false" customHeight="false" outlineLevel="0" collapsed="false">
      <c r="A1171" s="3" t="n">
        <f aca="false">IFERROR(__xludf.dummyfunction("""COMPUTED_VALUE"""),45898.6666666667)</f>
        <v>45898.6666666667</v>
      </c>
      <c r="B1171" s="2" t="n">
        <f aca="false">IFERROR(__xludf.dummyfunction("""COMPUTED_VALUE"""),210.51)</f>
        <v>210.51</v>
      </c>
      <c r="C1171" s="2" t="n">
        <f aca="false">IFERROR(__xludf.dummyfunction("""COMPUTED_VALUE"""),214.65)</f>
        <v>214.65</v>
      </c>
      <c r="D1171" s="2" t="n">
        <f aca="false">IFERROR(__xludf.dummyfunction("""COMPUTED_VALUE"""),210.2)</f>
        <v>210.2</v>
      </c>
      <c r="E1171" s="2" t="n">
        <f aca="false">IFERROR(__xludf.dummyfunction("""COMPUTED_VALUE"""),212.91)</f>
        <v>212.91</v>
      </c>
      <c r="F1171" s="2" t="n">
        <f aca="false">IFERROR(__xludf.dummyfunction("""COMPUTED_VALUE"""),39728364)</f>
        <v>39728364</v>
      </c>
    </row>
    <row r="1172" customFormat="false" ht="15.75" hidden="false" customHeight="false" outlineLevel="0" collapsed="false">
      <c r="A1172" s="3" t="n">
        <f aca="false">IFERROR(__xludf.dummyfunction("""COMPUTED_VALUE"""),45902.6666666667)</f>
        <v>45902.6666666667</v>
      </c>
      <c r="B1172" s="2" t="n">
        <f aca="false">IFERROR(__xludf.dummyfunction("""COMPUTED_VALUE"""),208.44)</f>
        <v>208.44</v>
      </c>
      <c r="C1172" s="2" t="n">
        <f aca="false">IFERROR(__xludf.dummyfunction("""COMPUTED_VALUE"""),211.68)</f>
        <v>211.68</v>
      </c>
      <c r="D1172" s="2" t="n">
        <f aca="false">IFERROR(__xludf.dummyfunction("""COMPUTED_VALUE"""),206.2)</f>
        <v>206.2</v>
      </c>
      <c r="E1172" s="2" t="n">
        <f aca="false">IFERROR(__xludf.dummyfunction("""COMPUTED_VALUE"""),211.35)</f>
        <v>211.35</v>
      </c>
      <c r="F1172" s="2" t="n">
        <f aca="false">IFERROR(__xludf.dummyfunction("""COMPUTED_VALUE"""),47523037)</f>
        <v>47523037</v>
      </c>
    </row>
    <row r="1173" customFormat="false" ht="15.75" hidden="false" customHeight="false" outlineLevel="0" collapsed="false">
      <c r="A1173" s="3" t="n">
        <f aca="false">IFERROR(__xludf.dummyfunction("""COMPUTED_VALUE"""),45903.6666666667)</f>
        <v>45903.6666666667</v>
      </c>
      <c r="B1173" s="2" t="n">
        <f aca="false">IFERROR(__xludf.dummyfunction("""COMPUTED_VALUE"""),226.21)</f>
        <v>226.21</v>
      </c>
      <c r="C1173" s="2" t="n">
        <f aca="false">IFERROR(__xludf.dummyfunction("""COMPUTED_VALUE"""),231.31)</f>
        <v>231.31</v>
      </c>
      <c r="D1173" s="2" t="n">
        <f aca="false">IFERROR(__xludf.dummyfunction("""COMPUTED_VALUE"""),224.79)</f>
        <v>224.79</v>
      </c>
      <c r="E1173" s="2" t="n">
        <f aca="false">IFERROR(__xludf.dummyfunction("""COMPUTED_VALUE"""),230.66)</f>
        <v>230.66</v>
      </c>
      <c r="F1173" s="2" t="n">
        <f aca="false">IFERROR(__xludf.dummyfunction("""COMPUTED_VALUE"""),103336125)</f>
        <v>103336125</v>
      </c>
    </row>
    <row r="1174" customFormat="false" ht="15.75" hidden="false" customHeight="false" outlineLevel="0" collapsed="false">
      <c r="A1174" s="3" t="n">
        <f aca="false">IFERROR(__xludf.dummyfunction("""COMPUTED_VALUE"""),45904.6666666667)</f>
        <v>45904.6666666667</v>
      </c>
      <c r="B1174" s="2" t="n">
        <f aca="false">IFERROR(__xludf.dummyfunction("""COMPUTED_VALUE"""),229.65)</f>
        <v>229.65</v>
      </c>
      <c r="C1174" s="2" t="n">
        <f aca="false">IFERROR(__xludf.dummyfunction("""COMPUTED_VALUE"""),232.37)</f>
        <v>232.37</v>
      </c>
      <c r="D1174" s="2" t="n">
        <f aca="false">IFERROR(__xludf.dummyfunction("""COMPUTED_VALUE"""),226.11)</f>
        <v>226.11</v>
      </c>
      <c r="E1174" s="2" t="n">
        <f aca="false">IFERROR(__xludf.dummyfunction("""COMPUTED_VALUE"""),232.3)</f>
        <v>232.3</v>
      </c>
      <c r="F1174" s="2" t="n">
        <f aca="false">IFERROR(__xludf.dummyfunction("""COMPUTED_VALUE"""),51684167)</f>
        <v>51684167</v>
      </c>
    </row>
    <row r="1175" customFormat="false" ht="15.75" hidden="false" customHeight="false" outlineLevel="0" collapsed="false">
      <c r="A1175" s="3" t="n">
        <f aca="false">IFERROR(__xludf.dummyfunction("""COMPUTED_VALUE"""),45905.6666666667)</f>
        <v>45905.6666666667</v>
      </c>
      <c r="B1175" s="2" t="n">
        <f aca="false">IFERROR(__xludf.dummyfunction("""COMPUTED_VALUE"""),232.2)</f>
        <v>232.2</v>
      </c>
      <c r="C1175" s="2" t="n">
        <f aca="false">IFERROR(__xludf.dummyfunction("""COMPUTED_VALUE"""),235.76)</f>
        <v>235.76</v>
      </c>
      <c r="D1175" s="2" t="n">
        <f aca="false">IFERROR(__xludf.dummyfunction("""COMPUTED_VALUE"""),231.9)</f>
        <v>231.9</v>
      </c>
      <c r="E1175" s="2" t="n">
        <f aca="false">IFERROR(__xludf.dummyfunction("""COMPUTED_VALUE"""),235)</f>
        <v>235</v>
      </c>
      <c r="F1175" s="2" t="n">
        <f aca="false">IFERROR(__xludf.dummyfunction("""COMPUTED_VALUE"""),46588925)</f>
        <v>46588925</v>
      </c>
    </row>
    <row r="1176" customFormat="false" ht="15.75" hidden="false" customHeight="false" outlineLevel="0" collapsed="false">
      <c r="A1176" s="3" t="n">
        <f aca="false">IFERROR(__xludf.dummyfunction("""COMPUTED_VALUE"""),45908.6666666667)</f>
        <v>45908.6666666667</v>
      </c>
      <c r="B1176" s="2" t="n">
        <f aca="false">IFERROR(__xludf.dummyfunction("""COMPUTED_VALUE"""),235.47)</f>
        <v>235.47</v>
      </c>
      <c r="C1176" s="2" t="n">
        <f aca="false">IFERROR(__xludf.dummyfunction("""COMPUTED_VALUE"""),238.13)</f>
        <v>238.13</v>
      </c>
      <c r="D1176" s="2" t="n">
        <f aca="false">IFERROR(__xludf.dummyfunction("""COMPUTED_VALUE"""),233.67)</f>
        <v>233.67</v>
      </c>
      <c r="E1176" s="2" t="n">
        <f aca="false">IFERROR(__xludf.dummyfunction("""COMPUTED_VALUE"""),234.04)</f>
        <v>234.04</v>
      </c>
      <c r="F1176" s="2" t="n">
        <f aca="false">IFERROR(__xludf.dummyfunction("""COMPUTED_VALUE"""),32474743)</f>
        <v>32474743</v>
      </c>
    </row>
    <row r="1177" customFormat="false" ht="15.75" hidden="false" customHeight="false" outlineLevel="0" collapsed="false">
      <c r="A1177" s="3" t="n">
        <f aca="false">IFERROR(__xludf.dummyfunction("""COMPUTED_VALUE"""),45909.6666666667)</f>
        <v>45909.6666666667</v>
      </c>
      <c r="B1177" s="2" t="n">
        <f aca="false">IFERROR(__xludf.dummyfunction("""COMPUTED_VALUE"""),234.17)</f>
        <v>234.17</v>
      </c>
      <c r="C1177" s="2" t="n">
        <f aca="false">IFERROR(__xludf.dummyfunction("""COMPUTED_VALUE"""),240.47)</f>
        <v>240.47</v>
      </c>
      <c r="D1177" s="2" t="n">
        <f aca="false">IFERROR(__xludf.dummyfunction("""COMPUTED_VALUE"""),233.23)</f>
        <v>233.23</v>
      </c>
      <c r="E1177" s="2" t="n">
        <f aca="false">IFERROR(__xludf.dummyfunction("""COMPUTED_VALUE"""),239.63)</f>
        <v>239.63</v>
      </c>
      <c r="F1177" s="2" t="n">
        <f aca="false">IFERROR(__xludf.dummyfunction("""COMPUTED_VALUE"""),38060959)</f>
        <v>38060959</v>
      </c>
    </row>
    <row r="1178" customFormat="false" ht="15.75" hidden="false" customHeight="false" outlineLevel="0" collapsed="false">
      <c r="A1178" s="3" t="n">
        <f aca="false">IFERROR(__xludf.dummyfunction("""COMPUTED_VALUE"""),45910.6666666667)</f>
        <v>45910.6666666667</v>
      </c>
      <c r="B1178" s="2" t="n">
        <f aca="false">IFERROR(__xludf.dummyfunction("""COMPUTED_VALUE"""),238.9)</f>
        <v>238.9</v>
      </c>
      <c r="C1178" s="2" t="n">
        <f aca="false">IFERROR(__xludf.dummyfunction("""COMPUTED_VALUE"""),241.66)</f>
        <v>241.66</v>
      </c>
      <c r="D1178" s="2" t="n">
        <f aca="false">IFERROR(__xludf.dummyfunction("""COMPUTED_VALUE"""),237.85)</f>
        <v>237.85</v>
      </c>
      <c r="E1178" s="2" t="n">
        <f aca="false">IFERROR(__xludf.dummyfunction("""COMPUTED_VALUE"""),239.17)</f>
        <v>239.17</v>
      </c>
      <c r="F1178" s="2" t="n">
        <f aca="false">IFERROR(__xludf.dummyfunction("""COMPUTED_VALUE"""),35141074)</f>
        <v>35141074</v>
      </c>
    </row>
    <row r="1179" customFormat="false" ht="15.75" hidden="false" customHeight="false" outlineLevel="0" collapsed="false">
      <c r="A1179" s="3" t="n">
        <f aca="false">IFERROR(__xludf.dummyfunction("""COMPUTED_VALUE"""),45911.6666666667)</f>
        <v>45911.6666666667</v>
      </c>
      <c r="B1179" s="2" t="n">
        <f aca="false">IFERROR(__xludf.dummyfunction("""COMPUTED_VALUE"""),239.88)</f>
        <v>239.88</v>
      </c>
      <c r="C1179" s="2" t="n">
        <f aca="false">IFERROR(__xludf.dummyfunction("""COMPUTED_VALUE"""),242.25)</f>
        <v>242.25</v>
      </c>
      <c r="D1179" s="2" t="n">
        <f aca="false">IFERROR(__xludf.dummyfunction("""COMPUTED_VALUE"""),236.25)</f>
        <v>236.25</v>
      </c>
      <c r="E1179" s="2" t="n">
        <f aca="false">IFERROR(__xludf.dummyfunction("""COMPUTED_VALUE"""),240.37)</f>
        <v>240.37</v>
      </c>
      <c r="F1179" s="2" t="n">
        <f aca="false">IFERROR(__xludf.dummyfunction("""COMPUTED_VALUE"""),30599328)</f>
        <v>30599328</v>
      </c>
    </row>
    <row r="1180" customFormat="false" ht="15.75" hidden="false" customHeight="false" outlineLevel="0" collapsed="false">
      <c r="A1180" s="3" t="n">
        <f aca="false">IFERROR(__xludf.dummyfunction("""COMPUTED_VALUE"""),45912.6666666667)</f>
        <v>45912.6666666667</v>
      </c>
      <c r="B1180" s="2" t="n">
        <f aca="false">IFERROR(__xludf.dummyfunction("""COMPUTED_VALUE"""),240.37)</f>
        <v>240.37</v>
      </c>
      <c r="C1180" s="2" t="n">
        <f aca="false">IFERROR(__xludf.dummyfunction("""COMPUTED_VALUE"""),242.08)</f>
        <v>242.08</v>
      </c>
      <c r="D1180" s="2" t="n">
        <f aca="false">IFERROR(__xludf.dummyfunction("""COMPUTED_VALUE"""),238)</f>
        <v>238</v>
      </c>
      <c r="E1180" s="2" t="n">
        <f aca="false">IFERROR(__xludf.dummyfunction("""COMPUTED_VALUE"""),240.8)</f>
        <v>240.8</v>
      </c>
      <c r="F1180" s="2" t="n">
        <f aca="false">IFERROR(__xludf.dummyfunction("""COMPUTED_VALUE"""),26771610)</f>
        <v>26771610</v>
      </c>
    </row>
    <row r="1181" customFormat="false" ht="15.75" hidden="false" customHeight="false" outlineLevel="0" collapsed="false">
      <c r="A1181" s="3" t="n">
        <f aca="false">IFERROR(__xludf.dummyfunction("""COMPUTED_VALUE"""),45915.6666666667)</f>
        <v>45915.6666666667</v>
      </c>
      <c r="B1181" s="2" t="n">
        <f aca="false">IFERROR(__xludf.dummyfunction("""COMPUTED_VALUE"""),244.66)</f>
        <v>244.66</v>
      </c>
      <c r="C1181" s="2" t="n">
        <f aca="false">IFERROR(__xludf.dummyfunction("""COMPUTED_VALUE"""),252.41)</f>
        <v>252.41</v>
      </c>
      <c r="D1181" s="2" t="n">
        <f aca="false">IFERROR(__xludf.dummyfunction("""COMPUTED_VALUE"""),244.66)</f>
        <v>244.66</v>
      </c>
      <c r="E1181" s="2" t="n">
        <f aca="false">IFERROR(__xludf.dummyfunction("""COMPUTED_VALUE"""),251.61)</f>
        <v>251.61</v>
      </c>
      <c r="F1181" s="2" t="n">
        <f aca="false">IFERROR(__xludf.dummyfunction("""COMPUTED_VALUE"""),58383796)</f>
        <v>58383796</v>
      </c>
    </row>
    <row r="1182" customFormat="false" ht="15.75" hidden="false" customHeight="false" outlineLevel="0" collapsed="false">
      <c r="A1182" s="3" t="n">
        <f aca="false">IFERROR(__xludf.dummyfunction("""COMPUTED_VALUE"""),45916.6666666667)</f>
        <v>45916.6666666667</v>
      </c>
      <c r="B1182" s="2" t="n">
        <f aca="false">IFERROR(__xludf.dummyfunction("""COMPUTED_VALUE"""),252.08)</f>
        <v>252.08</v>
      </c>
      <c r="C1182" s="2" t="n">
        <f aca="false">IFERROR(__xludf.dummyfunction("""COMPUTED_VALUE"""),253.04)</f>
        <v>253.04</v>
      </c>
      <c r="D1182" s="2" t="n">
        <f aca="false">IFERROR(__xludf.dummyfunction("""COMPUTED_VALUE"""),249.47)</f>
        <v>249.47</v>
      </c>
      <c r="E1182" s="2" t="n">
        <f aca="false">IFERROR(__xludf.dummyfunction("""COMPUTED_VALUE"""),251.16)</f>
        <v>251.16</v>
      </c>
      <c r="F1182" s="2" t="n">
        <f aca="false">IFERROR(__xludf.dummyfunction("""COMPUTED_VALUE"""),34109720)</f>
        <v>34109720</v>
      </c>
    </row>
    <row r="1183" customFormat="false" ht="15.75" hidden="false" customHeight="false" outlineLevel="0" collapsed="false">
      <c r="A1183" s="3" t="n">
        <f aca="false">IFERROR(__xludf.dummyfunction("""COMPUTED_VALUE"""),45917.6666666667)</f>
        <v>45917.6666666667</v>
      </c>
      <c r="B1183" s="2" t="n">
        <f aca="false">IFERROR(__xludf.dummyfunction("""COMPUTED_VALUE"""),251.22)</f>
        <v>251.22</v>
      </c>
      <c r="C1183" s="2" t="n">
        <f aca="false">IFERROR(__xludf.dummyfunction("""COMPUTED_VALUE"""),251.6)</f>
        <v>251.6</v>
      </c>
      <c r="D1183" s="2" t="n">
        <f aca="false">IFERROR(__xludf.dummyfunction("""COMPUTED_VALUE"""),246.28)</f>
        <v>246.28</v>
      </c>
      <c r="E1183" s="2" t="n">
        <f aca="false">IFERROR(__xludf.dummyfunction("""COMPUTED_VALUE"""),249.53)</f>
        <v>249.53</v>
      </c>
      <c r="F1183" s="2" t="n">
        <f aca="false">IFERROR(__xludf.dummyfunction("""COMPUTED_VALUE"""),34107992)</f>
        <v>34107992</v>
      </c>
    </row>
    <row r="1184" customFormat="false" ht="15.75" hidden="false" customHeight="false" outlineLevel="0" collapsed="false">
      <c r="A1184" s="3" t="n">
        <f aca="false">IFERROR(__xludf.dummyfunction("""COMPUTED_VALUE"""),45918.6666666667)</f>
        <v>45918.6666666667</v>
      </c>
      <c r="B1184" s="2" t="n">
        <f aca="false">IFERROR(__xludf.dummyfunction("""COMPUTED_VALUE"""),251.68)</f>
        <v>251.68</v>
      </c>
      <c r="C1184" s="2" t="n">
        <f aca="false">IFERROR(__xludf.dummyfunction("""COMPUTED_VALUE"""),253.99)</f>
        <v>253.99</v>
      </c>
      <c r="D1184" s="2" t="n">
        <f aca="false">IFERROR(__xludf.dummyfunction("""COMPUTED_VALUE"""),249.8)</f>
        <v>249.8</v>
      </c>
      <c r="E1184" s="2" t="n">
        <f aca="false">IFERROR(__xludf.dummyfunction("""COMPUTED_VALUE"""),252.03)</f>
        <v>252.03</v>
      </c>
      <c r="F1184" s="2" t="n">
        <f aca="false">IFERROR(__xludf.dummyfunction("""COMPUTED_VALUE"""),31239474)</f>
        <v>31239474</v>
      </c>
    </row>
    <row r="1185" customFormat="false" ht="15.75" hidden="false" customHeight="false" outlineLevel="0" collapsed="false">
      <c r="A1185" s="3" t="n">
        <f aca="false">IFERROR(__xludf.dummyfunction("""COMPUTED_VALUE"""),45919.6666666667)</f>
        <v>45919.6666666667</v>
      </c>
      <c r="B1185" s="2" t="n">
        <f aca="false">IFERROR(__xludf.dummyfunction("""COMPUTED_VALUE"""),253.25)</f>
        <v>253.25</v>
      </c>
      <c r="C1185" s="2" t="n">
        <f aca="false">IFERROR(__xludf.dummyfunction("""COMPUTED_VALUE"""),256)</f>
        <v>256</v>
      </c>
      <c r="D1185" s="2" t="n">
        <f aca="false">IFERROR(__xludf.dummyfunction("""COMPUTED_VALUE"""),251.81)</f>
        <v>251.81</v>
      </c>
      <c r="E1185" s="2" t="n">
        <f aca="false">IFERROR(__xludf.dummyfunction("""COMPUTED_VALUE"""),254.72)</f>
        <v>254.72</v>
      </c>
      <c r="F1185" s="2" t="n">
        <f aca="false">IFERROR(__xludf.dummyfunction("""COMPUTED_VALUE"""),55571424)</f>
        <v>55571424</v>
      </c>
    </row>
    <row r="1186" customFormat="false" ht="15.75" hidden="false" customHeight="false" outlineLevel="0" collapsed="false">
      <c r="A1186" s="3" t="n">
        <f aca="false">IFERROR(__xludf.dummyfunction("""COMPUTED_VALUE"""),45922.6666666667)</f>
        <v>45922.6666666667</v>
      </c>
      <c r="B1186" s="2" t="n">
        <f aca="false">IFERROR(__xludf.dummyfunction("""COMPUTED_VALUE"""),254.43)</f>
        <v>254.43</v>
      </c>
      <c r="C1186" s="2" t="n">
        <f aca="false">IFERROR(__xludf.dummyfunction("""COMPUTED_VALUE"""),255.78)</f>
        <v>255.78</v>
      </c>
      <c r="D1186" s="2" t="n">
        <f aca="false">IFERROR(__xludf.dummyfunction("""COMPUTED_VALUE"""),250.3)</f>
        <v>250.3</v>
      </c>
      <c r="E1186" s="2" t="n">
        <f aca="false">IFERROR(__xludf.dummyfunction("""COMPUTED_VALUE"""),252.53)</f>
        <v>252.53</v>
      </c>
      <c r="F1186" s="2" t="n">
        <f aca="false">IFERROR(__xludf.dummyfunction("""COMPUTED_VALUE"""),32290538)</f>
        <v>32290538</v>
      </c>
    </row>
    <row r="1187" customFormat="false" ht="15.75" hidden="false" customHeight="false" outlineLevel="0" collapsed="false">
      <c r="A1187" s="3" t="n">
        <f aca="false">IFERROR(__xludf.dummyfunction("""COMPUTED_VALUE"""),45923.6666666667)</f>
        <v>45923.6666666667</v>
      </c>
      <c r="B1187" s="2" t="n">
        <f aca="false">IFERROR(__xludf.dummyfunction("""COMPUTED_VALUE"""),253.04)</f>
        <v>253.04</v>
      </c>
      <c r="C1187" s="2" t="n">
        <f aca="false">IFERROR(__xludf.dummyfunction("""COMPUTED_VALUE"""),254.36)</f>
        <v>254.36</v>
      </c>
      <c r="D1187" s="2" t="n">
        <f aca="false">IFERROR(__xludf.dummyfunction("""COMPUTED_VALUE"""),250.48)</f>
        <v>250.48</v>
      </c>
      <c r="E1187" s="2" t="n">
        <f aca="false">IFERROR(__xludf.dummyfunction("""COMPUTED_VALUE"""),251.66)</f>
        <v>251.66</v>
      </c>
      <c r="F1187" s="2" t="n">
        <f aca="false">IFERROR(__xludf.dummyfunction("""COMPUTED_VALUE"""),26628016)</f>
        <v>26628016</v>
      </c>
    </row>
    <row r="1188" customFormat="false" ht="15.75" hidden="false" customHeight="false" outlineLevel="0" collapsed="false">
      <c r="A1188" s="3" t="n">
        <f aca="false">IFERROR(__xludf.dummyfunction("""COMPUTED_VALUE"""),45924.6666666667)</f>
        <v>45924.6666666667</v>
      </c>
      <c r="B1188" s="2" t="n">
        <f aca="false">IFERROR(__xludf.dummyfunction("""COMPUTED_VALUE"""),251.66)</f>
        <v>251.66</v>
      </c>
      <c r="C1188" s="2" t="n">
        <f aca="false">IFERROR(__xludf.dummyfunction("""COMPUTED_VALUE"""),252.35)</f>
        <v>252.35</v>
      </c>
      <c r="D1188" s="2" t="n">
        <f aca="false">IFERROR(__xludf.dummyfunction("""COMPUTED_VALUE"""),246.44)</f>
        <v>246.44</v>
      </c>
      <c r="E1188" s="2" t="n">
        <f aca="false">IFERROR(__xludf.dummyfunction("""COMPUTED_VALUE"""),247.14)</f>
        <v>247.14</v>
      </c>
      <c r="F1188" s="2" t="n">
        <f aca="false">IFERROR(__xludf.dummyfunction("""COMPUTED_VALUE"""),28201003)</f>
        <v>28201003</v>
      </c>
    </row>
    <row r="1189" customFormat="false" ht="15.75" hidden="false" customHeight="false" outlineLevel="0" collapsed="false">
      <c r="A1189" s="3" t="n">
        <f aca="false">IFERROR(__xludf.dummyfunction("""COMPUTED_VALUE"""),45925.6666666667)</f>
        <v>45925.6666666667</v>
      </c>
      <c r="B1189" s="2" t="n">
        <f aca="false">IFERROR(__xludf.dummyfunction("""COMPUTED_VALUE"""),244.4)</f>
        <v>244.4</v>
      </c>
      <c r="C1189" s="2" t="n">
        <f aca="false">IFERROR(__xludf.dummyfunction("""COMPUTED_VALUE"""),246.49)</f>
        <v>246.49</v>
      </c>
      <c r="D1189" s="2" t="n">
        <f aca="false">IFERROR(__xludf.dummyfunction("""COMPUTED_VALUE"""),240.74)</f>
        <v>240.74</v>
      </c>
      <c r="E1189" s="2" t="n">
        <f aca="false">IFERROR(__xludf.dummyfunction("""COMPUTED_VALUE"""),245.79)</f>
        <v>245.79</v>
      </c>
      <c r="F1189" s="2" t="n">
        <f aca="false">IFERROR(__xludf.dummyfunction("""COMPUTED_VALUE"""),31020383)</f>
        <v>31020383</v>
      </c>
    </row>
    <row r="1190" customFormat="false" ht="15.75" hidden="false" customHeight="false" outlineLevel="0" collapsed="false">
      <c r="A1190" s="3" t="n">
        <f aca="false">IFERROR(__xludf.dummyfunction("""COMPUTED_VALUE"""),45926.6666666667)</f>
        <v>45926.6666666667</v>
      </c>
      <c r="B1190" s="2" t="n">
        <f aca="false">IFERROR(__xludf.dummyfunction("""COMPUTED_VALUE"""),247.07)</f>
        <v>247.07</v>
      </c>
      <c r="C1190" s="2" t="n">
        <f aca="false">IFERROR(__xludf.dummyfunction("""COMPUTED_VALUE"""),249.42)</f>
        <v>249.42</v>
      </c>
      <c r="D1190" s="2" t="n">
        <f aca="false">IFERROR(__xludf.dummyfunction("""COMPUTED_VALUE"""),245.97)</f>
        <v>245.97</v>
      </c>
      <c r="E1190" s="2" t="n">
        <f aca="false">IFERROR(__xludf.dummyfunction("""COMPUTED_VALUE"""),246.54)</f>
        <v>246.54</v>
      </c>
      <c r="F1190" s="2" t="n">
        <f aca="false">IFERROR(__xludf.dummyfunction("""COMPUTED_VALUE"""),18503194)</f>
        <v>18503194</v>
      </c>
    </row>
    <row r="1191" customFormat="false" ht="15.75" hidden="false" customHeight="false" outlineLevel="0" collapsed="false">
      <c r="A1191" s="3" t="n">
        <f aca="false">IFERROR(__xludf.dummyfunction("""COMPUTED_VALUE"""),45929.6666666667)</f>
        <v>45929.6666666667</v>
      </c>
      <c r="B1191" s="2" t="n">
        <f aca="false">IFERROR(__xludf.dummyfunction("""COMPUTED_VALUE"""),247.85)</f>
        <v>247.85</v>
      </c>
      <c r="C1191" s="2" t="n">
        <f aca="false">IFERROR(__xludf.dummyfunction("""COMPUTED_VALUE"""),251.15)</f>
        <v>251.15</v>
      </c>
      <c r="D1191" s="2" t="n">
        <f aca="false">IFERROR(__xludf.dummyfunction("""COMPUTED_VALUE"""),242.77)</f>
        <v>242.77</v>
      </c>
      <c r="E1191" s="2" t="n">
        <f aca="false">IFERROR(__xludf.dummyfunction("""COMPUTED_VALUE"""),244.05)</f>
        <v>244.05</v>
      </c>
      <c r="F1191" s="2" t="n">
        <f aca="false">IFERROR(__xludf.dummyfunction("""COMPUTED_VALUE"""),32505777)</f>
        <v>32505777</v>
      </c>
    </row>
    <row r="1192" customFormat="false" ht="15.75" hidden="false" customHeight="false" outlineLevel="0" collapsed="false">
      <c r="A1192" s="3" t="n">
        <f aca="false">IFERROR(__xludf.dummyfunction("""COMPUTED_VALUE"""),45930.6666666667)</f>
        <v>45930.6666666667</v>
      </c>
      <c r="B1192" s="2" t="n">
        <f aca="false">IFERROR(__xludf.dummyfunction("""COMPUTED_VALUE"""),242.81)</f>
        <v>242.81</v>
      </c>
      <c r="C1192" s="2" t="n">
        <f aca="false">IFERROR(__xludf.dummyfunction("""COMPUTED_VALUE"""),243.29)</f>
        <v>243.29</v>
      </c>
      <c r="D1192" s="2" t="n">
        <f aca="false">IFERROR(__xludf.dummyfunction("""COMPUTED_VALUE"""),239.25)</f>
        <v>239.25</v>
      </c>
      <c r="E1192" s="2" t="n">
        <f aca="false">IFERROR(__xludf.dummyfunction("""COMPUTED_VALUE"""),243.1)</f>
        <v>243.1</v>
      </c>
      <c r="F1192" s="2" t="n">
        <f aca="false">IFERROR(__xludf.dummyfunction("""COMPUTED_VALUE"""),34724346)</f>
        <v>34724346</v>
      </c>
    </row>
    <row r="1193" customFormat="false" ht="15.75" hidden="false" customHeight="false" outlineLevel="0" collapsed="false">
      <c r="A1193" s="3" t="n">
        <f aca="false">IFERROR(__xludf.dummyfunction("""COMPUTED_VALUE"""),45931.6666666667)</f>
        <v>45931.6666666667</v>
      </c>
      <c r="B1193" s="2" t="n">
        <f aca="false">IFERROR(__xludf.dummyfunction("""COMPUTED_VALUE"""),240.75)</f>
        <v>240.75</v>
      </c>
      <c r="C1193" s="2" t="n">
        <f aca="false">IFERROR(__xludf.dummyfunction("""COMPUTED_VALUE"""),246.3)</f>
        <v>246.3</v>
      </c>
      <c r="D1193" s="2" t="n">
        <f aca="false">IFERROR(__xludf.dummyfunction("""COMPUTED_VALUE"""),238.61)</f>
        <v>238.61</v>
      </c>
      <c r="E1193" s="2" t="n">
        <f aca="false">IFERROR(__xludf.dummyfunction("""COMPUTED_VALUE"""),244.9)</f>
        <v>244.9</v>
      </c>
      <c r="F1193" s="2" t="n">
        <f aca="false">IFERROR(__xludf.dummyfunction("""COMPUTED_VALUE"""),31658234)</f>
        <v>31658234</v>
      </c>
    </row>
    <row r="1194" customFormat="false" ht="15.75" hidden="false" customHeight="false" outlineLevel="0" collapsed="false">
      <c r="A1194" s="3" t="n">
        <f aca="false">IFERROR(__xludf.dummyfunction("""COMPUTED_VALUE"""),45932.6666666667)</f>
        <v>45932.6666666667</v>
      </c>
      <c r="B1194" s="2" t="n">
        <f aca="false">IFERROR(__xludf.dummyfunction("""COMPUTED_VALUE"""),245.15)</f>
        <v>245.15</v>
      </c>
      <c r="C1194" s="2" t="n">
        <f aca="false">IFERROR(__xludf.dummyfunction("""COMPUTED_VALUE"""),246.81)</f>
        <v>246.81</v>
      </c>
      <c r="D1194" s="2" t="n">
        <f aca="false">IFERROR(__xludf.dummyfunction("""COMPUTED_VALUE"""),242.3)</f>
        <v>242.3</v>
      </c>
      <c r="E1194" s="2" t="n">
        <f aca="false">IFERROR(__xludf.dummyfunction("""COMPUTED_VALUE"""),245.69)</f>
        <v>245.69</v>
      </c>
      <c r="F1194" s="2" t="n">
        <f aca="false">IFERROR(__xludf.dummyfunction("""COMPUTED_VALUE"""),25483298)</f>
        <v>25483298</v>
      </c>
    </row>
    <row r="1195" customFormat="false" ht="15.75" hidden="false" customHeight="false" outlineLevel="0" collapsed="false">
      <c r="A1195" s="3" t="n">
        <f aca="false">IFERROR(__xludf.dummyfunction("""COMPUTED_VALUE"""),45933.6666666667)</f>
        <v>45933.6666666667</v>
      </c>
      <c r="B1195" s="2" t="n">
        <f aca="false">IFERROR(__xludf.dummyfunction("""COMPUTED_VALUE"""),244.49)</f>
        <v>244.49</v>
      </c>
      <c r="C1195" s="2" t="n">
        <f aca="false">IFERROR(__xludf.dummyfunction("""COMPUTED_VALUE"""),246.3)</f>
        <v>246.3</v>
      </c>
      <c r="D1195" s="2" t="n">
        <f aca="false">IFERROR(__xludf.dummyfunction("""COMPUTED_VALUE"""),241.66)</f>
        <v>241.66</v>
      </c>
      <c r="E1195" s="2" t="n">
        <f aca="false">IFERROR(__xludf.dummyfunction("""COMPUTED_VALUE"""),245.35)</f>
        <v>245.35</v>
      </c>
      <c r="F1195" s="2" t="n">
        <f aca="false">IFERROR(__xludf.dummyfunction("""COMPUTED_VALUE"""),30249559)</f>
        <v>30249559</v>
      </c>
    </row>
    <row r="1196" customFormat="false" ht="15.75" hidden="false" customHeight="false" outlineLevel="0" collapsed="false">
      <c r="A1196" s="3" t="n">
        <f aca="false">IFERROR(__xludf.dummyfunction("""COMPUTED_VALUE"""),45936.6666666667)</f>
        <v>45936.6666666667</v>
      </c>
      <c r="B1196" s="2" t="n">
        <f aca="false">IFERROR(__xludf.dummyfunction("""COMPUTED_VALUE"""),244.78)</f>
        <v>244.78</v>
      </c>
      <c r="C1196" s="2" t="n">
        <f aca="false">IFERROR(__xludf.dummyfunction("""COMPUTED_VALUE"""),251.32)</f>
        <v>251.32</v>
      </c>
      <c r="D1196" s="2" t="n">
        <f aca="false">IFERROR(__xludf.dummyfunction("""COMPUTED_VALUE"""),244.58)</f>
        <v>244.58</v>
      </c>
      <c r="E1196" s="2" t="n">
        <f aca="false">IFERROR(__xludf.dummyfunction("""COMPUTED_VALUE"""),250.43)</f>
        <v>250.43</v>
      </c>
      <c r="F1196" s="2" t="n">
        <f aca="false">IFERROR(__xludf.dummyfunction("""COMPUTED_VALUE"""),28894653)</f>
        <v>28894653</v>
      </c>
    </row>
    <row r="1197" customFormat="false" ht="15.75" hidden="false" customHeight="false" outlineLevel="0" collapsed="false">
      <c r="A1197" s="3" t="n">
        <f aca="false">IFERROR(__xludf.dummyfunction("""COMPUTED_VALUE"""),45937.6666666667)</f>
        <v>45937.6666666667</v>
      </c>
      <c r="B1197" s="2" t="n">
        <f aca="false">IFERROR(__xludf.dummyfunction("""COMPUTED_VALUE"""),248.27)</f>
        <v>248.27</v>
      </c>
      <c r="C1197" s="2" t="n">
        <f aca="false">IFERROR(__xludf.dummyfunction("""COMPUTED_VALUE"""),250.44)</f>
        <v>250.44</v>
      </c>
      <c r="D1197" s="2" t="n">
        <f aca="false">IFERROR(__xludf.dummyfunction("""COMPUTED_VALUE"""),245.52)</f>
        <v>245.52</v>
      </c>
      <c r="E1197" s="2" t="n">
        <f aca="false">IFERROR(__xludf.dummyfunction("""COMPUTED_VALUE"""),245.76)</f>
        <v>245.76</v>
      </c>
      <c r="F1197" s="2" t="n">
        <f aca="false">IFERROR(__xludf.dummyfunction("""COMPUTED_VALUE"""),23181285)</f>
        <v>23181285</v>
      </c>
    </row>
    <row r="1198" customFormat="false" ht="15.75" hidden="false" customHeight="false" outlineLevel="0" collapsed="false">
      <c r="A1198" s="3" t="n">
        <f aca="false">IFERROR(__xludf.dummyfunction("""COMPUTED_VALUE"""),45938.6666666667)</f>
        <v>45938.6666666667</v>
      </c>
      <c r="B1198" s="2" t="n">
        <f aca="false">IFERROR(__xludf.dummyfunction("""COMPUTED_VALUE"""),244.96)</f>
        <v>244.96</v>
      </c>
      <c r="C1198" s="2" t="n">
        <f aca="false">IFERROR(__xludf.dummyfunction("""COMPUTED_VALUE"""),246.01)</f>
        <v>246.01</v>
      </c>
      <c r="D1198" s="2" t="n">
        <f aca="false">IFERROR(__xludf.dummyfunction("""COMPUTED_VALUE"""),243.82)</f>
        <v>243.82</v>
      </c>
      <c r="E1198" s="2" t="n">
        <f aca="false">IFERROR(__xludf.dummyfunction("""COMPUTED_VALUE"""),244.62)</f>
        <v>244.62</v>
      </c>
      <c r="F1198" s="2" t="n">
        <f aca="false">IFERROR(__xludf.dummyfunction("""COMPUTED_VALUE"""),21307104)</f>
        <v>21307104</v>
      </c>
    </row>
    <row r="1199" customFormat="false" ht="15.75" hidden="false" customHeight="false" outlineLevel="0" collapsed="false">
      <c r="A1199" s="3" t="n">
        <f aca="false">IFERROR(__xludf.dummyfunction("""COMPUTED_VALUE"""),45939.6666666667)</f>
        <v>45939.6666666667</v>
      </c>
      <c r="B1199" s="2" t="n">
        <f aca="false">IFERROR(__xludf.dummyfunction("""COMPUTED_VALUE"""),244.47)</f>
        <v>244.47</v>
      </c>
      <c r="C1199" s="2" t="n">
        <f aca="false">IFERROR(__xludf.dummyfunction("""COMPUTED_VALUE"""),244.76)</f>
        <v>244.76</v>
      </c>
      <c r="D1199" s="2" t="n">
        <f aca="false">IFERROR(__xludf.dummyfunction("""COMPUTED_VALUE"""),239.15)</f>
        <v>239.15</v>
      </c>
      <c r="E1199" s="2" t="n">
        <f aca="false">IFERROR(__xludf.dummyfunction("""COMPUTED_VALUE"""),241.53)</f>
        <v>241.53</v>
      </c>
      <c r="F1199" s="2" t="n">
        <f aca="false">IFERROR(__xludf.dummyfunction("""COMPUTED_VALUE"""),27892086)</f>
        <v>27892086</v>
      </c>
    </row>
    <row r="1200" customFormat="false" ht="15.75" hidden="false" customHeight="false" outlineLevel="0" collapsed="false">
      <c r="A1200" s="3" t="n">
        <f aca="false">IFERROR(__xludf.dummyfunction("""COMPUTED_VALUE"""),45940.6666666667)</f>
        <v>45940.6666666667</v>
      </c>
      <c r="B1200" s="2" t="n">
        <f aca="false">IFERROR(__xludf.dummyfunction("""COMPUTED_VALUE"""),241.43)</f>
        <v>241.43</v>
      </c>
      <c r="C1200" s="2" t="n">
        <f aca="false">IFERROR(__xludf.dummyfunction("""COMPUTED_VALUE"""),244.09)</f>
        <v>244.09</v>
      </c>
      <c r="D1200" s="2" t="n">
        <f aca="false">IFERROR(__xludf.dummyfunction("""COMPUTED_VALUE"""),235.84)</f>
        <v>235.84</v>
      </c>
      <c r="E1200" s="2" t="n">
        <f aca="false">IFERROR(__xludf.dummyfunction("""COMPUTED_VALUE"""),236.57)</f>
        <v>236.57</v>
      </c>
      <c r="F1200" s="2" t="n">
        <f aca="false">IFERROR(__xludf.dummyfunction("""COMPUTED_VALUE"""),33180323)</f>
        <v>33180323</v>
      </c>
    </row>
    <row r="1201" customFormat="false" ht="15.75" hidden="false" customHeight="false" outlineLevel="0" collapsed="false">
      <c r="A1201" s="3" t="n">
        <f aca="false">IFERROR(__xludf.dummyfunction("""COMPUTED_VALUE"""),45943.6666666667)</f>
        <v>45943.6666666667</v>
      </c>
      <c r="B1201" s="2" t="n">
        <f aca="false">IFERROR(__xludf.dummyfunction("""COMPUTED_VALUE"""),240.21)</f>
        <v>240.21</v>
      </c>
      <c r="C1201" s="2" t="n">
        <f aca="false">IFERROR(__xludf.dummyfunction("""COMPUTED_VALUE"""),244.5)</f>
        <v>244.5</v>
      </c>
      <c r="D1201" s="2" t="n">
        <f aca="false">IFERROR(__xludf.dummyfunction("""COMPUTED_VALUE"""),239.71)</f>
        <v>239.71</v>
      </c>
      <c r="E1201" s="2" t="n">
        <f aca="false">IFERROR(__xludf.dummyfunction("""COMPUTED_VALUE"""),244.15)</f>
        <v>244.15</v>
      </c>
      <c r="F1201" s="2" t="n">
        <f aca="false">IFERROR(__xludf.dummyfunction("""COMPUTED_VALUE"""),24995028)</f>
        <v>24995028</v>
      </c>
    </row>
    <row r="1202" customFormat="false" ht="15.75" hidden="false" customHeight="false" outlineLevel="0" collapsed="false">
      <c r="A1202" s="3" t="n">
        <f aca="false">IFERROR(__xludf.dummyfunction("""COMPUTED_VALUE"""),45944.6666666667)</f>
        <v>45944.6666666667</v>
      </c>
      <c r="B1202" s="2" t="n">
        <f aca="false">IFERROR(__xludf.dummyfunction("""COMPUTED_VALUE"""),241.23)</f>
        <v>241.23</v>
      </c>
      <c r="C1202" s="2" t="n">
        <f aca="false">IFERROR(__xludf.dummyfunction("""COMPUTED_VALUE"""),247.12)</f>
        <v>247.12</v>
      </c>
      <c r="D1202" s="2" t="n">
        <f aca="false">IFERROR(__xludf.dummyfunction("""COMPUTED_VALUE"""),240.51)</f>
        <v>240.51</v>
      </c>
      <c r="E1202" s="2" t="n">
        <f aca="false">IFERROR(__xludf.dummyfunction("""COMPUTED_VALUE"""),245.45)</f>
        <v>245.45</v>
      </c>
      <c r="F1202" s="2" t="n">
        <f aca="false">IFERROR(__xludf.dummyfunction("""COMPUTED_VALUE"""),22111572)</f>
        <v>22111572</v>
      </c>
    </row>
    <row r="1203" customFormat="false" ht="15.75" hidden="false" customHeight="false" outlineLevel="0" collapsed="false">
      <c r="A1203" s="3" t="n">
        <f aca="false">IFERROR(__xludf.dummyfunction("""COMPUTED_VALUE"""),45945.6666666667)</f>
        <v>45945.6666666667</v>
      </c>
      <c r="B1203" s="2" t="n">
        <f aca="false">IFERROR(__xludf.dummyfunction("""COMPUTED_VALUE"""),247.25)</f>
        <v>247.25</v>
      </c>
      <c r="C1203" s="2" t="n">
        <f aca="false">IFERROR(__xludf.dummyfunction("""COMPUTED_VALUE"""),252.11)</f>
        <v>252.11</v>
      </c>
      <c r="D1203" s="2" t="n">
        <f aca="false">IFERROR(__xludf.dummyfunction("""COMPUTED_VALUE"""),245.99)</f>
        <v>245.99</v>
      </c>
      <c r="E1203" s="2" t="n">
        <f aca="false">IFERROR(__xludf.dummyfunction("""COMPUTED_VALUE"""),251.03)</f>
        <v>251.03</v>
      </c>
      <c r="F1203" s="2" t="n">
        <f aca="false">IFERROR(__xludf.dummyfunction("""COMPUTED_VALUE"""),27007690)</f>
        <v>27007690</v>
      </c>
    </row>
    <row r="1204" customFormat="false" ht="15.75" hidden="false" customHeight="false" outlineLevel="0" collapsed="false">
      <c r="A1204" s="3" t="n">
        <f aca="false">IFERROR(__xludf.dummyfunction("""COMPUTED_VALUE"""),45946.6666666667)</f>
        <v>45946.6666666667</v>
      </c>
      <c r="B1204" s="2" t="n">
        <f aca="false">IFERROR(__xludf.dummyfunction("""COMPUTED_VALUE"""),251.77)</f>
        <v>251.77</v>
      </c>
      <c r="C1204" s="2" t="n">
        <f aca="false">IFERROR(__xludf.dummyfunction("""COMPUTED_VALUE"""),256.96)</f>
        <v>256.96</v>
      </c>
      <c r="D1204" s="2" t="n">
        <f aca="false">IFERROR(__xludf.dummyfunction("""COMPUTED_VALUE"""),250.1)</f>
        <v>250.1</v>
      </c>
      <c r="E1204" s="2" t="n">
        <f aca="false">IFERROR(__xludf.dummyfunction("""COMPUTED_VALUE"""),251.46)</f>
        <v>251.46</v>
      </c>
      <c r="F1204" s="2" t="n">
        <f aca="false">IFERROR(__xludf.dummyfunction("""COMPUTED_VALUE"""),27997159)</f>
        <v>27997159</v>
      </c>
    </row>
    <row r="1205" customFormat="false" ht="15.75" hidden="false" customHeight="false" outlineLevel="0" collapsed="false">
      <c r="A1205" s="3" t="n">
        <f aca="false">IFERROR(__xludf.dummyfunction("""COMPUTED_VALUE"""),45947.6666666667)</f>
        <v>45947.6666666667</v>
      </c>
      <c r="B1205" s="2" t="n">
        <f aca="false">IFERROR(__xludf.dummyfunction("""COMPUTED_VALUE"""),250.76)</f>
        <v>250.76</v>
      </c>
      <c r="C1205" s="2" t="n">
        <f aca="false">IFERROR(__xludf.dummyfunction("""COMPUTED_VALUE"""),254.22)</f>
        <v>254.22</v>
      </c>
      <c r="D1205" s="2" t="n">
        <f aca="false">IFERROR(__xludf.dummyfunction("""COMPUTED_VALUE"""),247.81)</f>
        <v>247.81</v>
      </c>
      <c r="E1205" s="2" t="n">
        <f aca="false">IFERROR(__xludf.dummyfunction("""COMPUTED_VALUE"""),253.3)</f>
        <v>253.3</v>
      </c>
      <c r="F1205" s="2" t="n">
        <f aca="false">IFERROR(__xludf.dummyfunction("""COMPUTED_VALUE"""),29671629)</f>
        <v>29671629</v>
      </c>
    </row>
    <row r="1206" customFormat="false" ht="15.75" hidden="false" customHeight="false" outlineLevel="0" collapsed="false">
      <c r="A1206" s="3" t="n">
        <f aca="false">IFERROR(__xludf.dummyfunction("""COMPUTED_VALUE"""),45950.6666666667)</f>
        <v>45950.6666666667</v>
      </c>
      <c r="B1206" s="2" t="n">
        <f aca="false">IFERROR(__xludf.dummyfunction("""COMPUTED_VALUE"""),254.69)</f>
        <v>254.69</v>
      </c>
      <c r="C1206" s="2" t="n">
        <f aca="false">IFERROR(__xludf.dummyfunction("""COMPUTED_VALUE"""),257.33)</f>
        <v>257.33</v>
      </c>
      <c r="D1206" s="2" t="n">
        <f aca="false">IFERROR(__xludf.dummyfunction("""COMPUTED_VALUE"""),254.23)</f>
        <v>254.23</v>
      </c>
      <c r="E1206" s="2" t="n">
        <f aca="false">IFERROR(__xludf.dummyfunction("""COMPUTED_VALUE"""),256.55)</f>
        <v>256.55</v>
      </c>
      <c r="F1206" s="2" t="n">
        <f aca="false">IFERROR(__xludf.dummyfunction("""COMPUTED_VALUE"""),22350155)</f>
        <v>22350155</v>
      </c>
    </row>
    <row r="1207" customFormat="false" ht="15.75" hidden="false" customHeight="false" outlineLevel="0" collapsed="false">
      <c r="A1207" s="3" t="n">
        <f aca="false">IFERROR(__xludf.dummyfunction("""COMPUTED_VALUE"""),45951.6666666667)</f>
        <v>45951.6666666667</v>
      </c>
      <c r="B1207" s="2" t="n">
        <f aca="false">IFERROR(__xludf.dummyfunction("""COMPUTED_VALUE"""),254.74)</f>
        <v>254.74</v>
      </c>
      <c r="C1207" s="2" t="n">
        <f aca="false">IFERROR(__xludf.dummyfunction("""COMPUTED_VALUE"""),254.88)</f>
        <v>254.88</v>
      </c>
      <c r="D1207" s="2" t="n">
        <f aca="false">IFERROR(__xludf.dummyfunction("""COMPUTED_VALUE"""),244.15)</f>
        <v>244.15</v>
      </c>
      <c r="E1207" s="2" t="n">
        <f aca="false">IFERROR(__xludf.dummyfunction("""COMPUTED_VALUE"""),250.46)</f>
        <v>250.46</v>
      </c>
      <c r="F1207" s="2" t="n">
        <f aca="false">IFERROR(__xludf.dummyfunction("""COMPUTED_VALUE"""),47312098)</f>
        <v>47312098</v>
      </c>
    </row>
    <row r="1208" customFormat="false" ht="15.75" hidden="false" customHeight="false" outlineLevel="0" collapsed="false">
      <c r="A1208" s="3" t="n">
        <f aca="false">IFERROR(__xludf.dummyfunction("""COMPUTED_VALUE"""),45952.6666666667)</f>
        <v>45952.6666666667</v>
      </c>
      <c r="B1208" s="2" t="n">
        <f aca="false">IFERROR(__xludf.dummyfunction("""COMPUTED_VALUE"""),254.37)</f>
        <v>254.37</v>
      </c>
      <c r="C1208" s="2" t="n">
        <f aca="false">IFERROR(__xludf.dummyfunction("""COMPUTED_VALUE"""),256.36)</f>
        <v>256.36</v>
      </c>
      <c r="D1208" s="2" t="n">
        <f aca="false">IFERROR(__xludf.dummyfunction("""COMPUTED_VALUE"""),249.29)</f>
        <v>249.29</v>
      </c>
      <c r="E1208" s="2" t="n">
        <f aca="false">IFERROR(__xludf.dummyfunction("""COMPUTED_VALUE"""),251.69)</f>
        <v>251.69</v>
      </c>
      <c r="F1208" s="2" t="n">
        <f aca="false">IFERROR(__xludf.dummyfunction("""COMPUTED_VALUE"""),35029370)</f>
        <v>35029370</v>
      </c>
    </row>
    <row r="1209" customFormat="false" ht="15.75" hidden="false" customHeight="false" outlineLevel="0" collapsed="false">
      <c r="A1209" s="3" t="n">
        <f aca="false">IFERROR(__xludf.dummyfunction("""COMPUTED_VALUE"""),45953.6666666667)</f>
        <v>45953.6666666667</v>
      </c>
      <c r="B1209" s="2" t="n">
        <f aca="false">IFERROR(__xludf.dummyfunction("""COMPUTED_VALUE"""),252.98)</f>
        <v>252.98</v>
      </c>
      <c r="C1209" s="2" t="n">
        <f aca="false">IFERROR(__xludf.dummyfunction("""COMPUTED_VALUE"""),255.04)</f>
        <v>255.04</v>
      </c>
      <c r="D1209" s="2" t="n">
        <f aca="false">IFERROR(__xludf.dummyfunction("""COMPUTED_VALUE"""),251.85)</f>
        <v>251.85</v>
      </c>
      <c r="E1209" s="2" t="n">
        <f aca="false">IFERROR(__xludf.dummyfunction("""COMPUTED_VALUE"""),253.08)</f>
        <v>253.08</v>
      </c>
      <c r="F1209" s="2" t="n">
        <f aca="false">IFERROR(__xludf.dummyfunction("""COMPUTED_VALUE"""),19901425)</f>
        <v>19901425</v>
      </c>
    </row>
    <row r="1210" customFormat="false" ht="15.75" hidden="false" customHeight="false" outlineLevel="0" collapsed="false">
      <c r="A1210" s="3" t="n">
        <f aca="false">IFERROR(__xludf.dummyfunction("""COMPUTED_VALUE"""),45954.6666666667)</f>
        <v>45954.6666666667</v>
      </c>
      <c r="B1210" s="2" t="n">
        <f aca="false">IFERROR(__xludf.dummyfunction("""COMPUTED_VALUE"""),256.58)</f>
        <v>256.58</v>
      </c>
      <c r="C1210" s="2" t="n">
        <f aca="false">IFERROR(__xludf.dummyfunction("""COMPUTED_VALUE"""),261.68)</f>
        <v>261.68</v>
      </c>
      <c r="D1210" s="2" t="n">
        <f aca="false">IFERROR(__xludf.dummyfunction("""COMPUTED_VALUE"""),255.32)</f>
        <v>255.32</v>
      </c>
      <c r="E1210" s="2" t="n">
        <f aca="false">IFERROR(__xludf.dummyfunction("""COMPUTED_VALUE"""),259.92)</f>
        <v>259.92</v>
      </c>
      <c r="F1210" s="2" t="n">
        <f aca="false">IFERROR(__xludf.dummyfunction("""COMPUTED_VALUE"""),28655126)</f>
        <v>28655126</v>
      </c>
    </row>
    <row r="1211" customFormat="false" ht="15.75" hidden="false" customHeight="false" outlineLevel="0" collapsed="false">
      <c r="A1211" s="3" t="n">
        <f aca="false">IFERROR(__xludf.dummyfunction("""COMPUTED_VALUE"""),45957.6666666667)</f>
        <v>45957.6666666667</v>
      </c>
      <c r="B1211" s="2" t="n">
        <f aca="false">IFERROR(__xludf.dummyfunction("""COMPUTED_VALUE"""),264.82)</f>
        <v>264.82</v>
      </c>
      <c r="C1211" s="2" t="n">
        <f aca="false">IFERROR(__xludf.dummyfunction("""COMPUTED_VALUE"""),270.14)</f>
        <v>270.14</v>
      </c>
      <c r="D1211" s="2" t="n">
        <f aca="false">IFERROR(__xludf.dummyfunction("""COMPUTED_VALUE"""),264.28)</f>
        <v>264.28</v>
      </c>
      <c r="E1211" s="2" t="n">
        <f aca="false">IFERROR(__xludf.dummyfunction("""COMPUTED_VALUE"""),269.27)</f>
        <v>269.27</v>
      </c>
      <c r="F1211" s="2" t="n">
        <f aca="false">IFERROR(__xludf.dummyfunction("""COMPUTED_VALUE"""),35235231)</f>
        <v>35235231</v>
      </c>
    </row>
    <row r="1212" customFormat="false" ht="15.75" hidden="false" customHeight="false" outlineLevel="0" collapsed="false">
      <c r="A1212" s="3" t="n">
        <f aca="false">IFERROR(__xludf.dummyfunction("""COMPUTED_VALUE"""),45958.6666666667)</f>
        <v>45958.6666666667</v>
      </c>
      <c r="B1212" s="2" t="n">
        <f aca="false">IFERROR(__xludf.dummyfunction("""COMPUTED_VALUE"""),269.69)</f>
        <v>269.69</v>
      </c>
      <c r="C1212" s="2" t="n">
        <f aca="false">IFERROR(__xludf.dummyfunction("""COMPUTED_VALUE"""),270.73)</f>
        <v>270.73</v>
      </c>
      <c r="D1212" s="2" t="n">
        <f aca="false">IFERROR(__xludf.dummyfunction("""COMPUTED_VALUE"""),266.5)</f>
        <v>266.5</v>
      </c>
      <c r="E1212" s="2" t="n">
        <f aca="false">IFERROR(__xludf.dummyfunction("""COMPUTED_VALUE"""),267.47)</f>
        <v>267.47</v>
      </c>
      <c r="F1212" s="2" t="n">
        <f aca="false">IFERROR(__xludf.dummyfunction("""COMPUTED_VALUE"""),29738564)</f>
        <v>29738564</v>
      </c>
    </row>
    <row r="1213" customFormat="false" ht="15.75" hidden="false" customHeight="false" outlineLevel="0" collapsed="false">
      <c r="A1213" s="3" t="n">
        <f aca="false">IFERROR(__xludf.dummyfunction("""COMPUTED_VALUE"""),45959.6666666667)</f>
        <v>45959.6666666667</v>
      </c>
      <c r="B1213" s="2" t="n">
        <f aca="false">IFERROR(__xludf.dummyfunction("""COMPUTED_VALUE"""),267.75)</f>
        <v>267.75</v>
      </c>
      <c r="C1213" s="2" t="n">
        <f aca="false">IFERROR(__xludf.dummyfunction("""COMPUTED_VALUE"""),275.34)</f>
        <v>275.34</v>
      </c>
      <c r="D1213" s="2" t="n">
        <f aca="false">IFERROR(__xludf.dummyfunction("""COMPUTED_VALUE"""),267.67)</f>
        <v>267.67</v>
      </c>
      <c r="E1213" s="2" t="n">
        <f aca="false">IFERROR(__xludf.dummyfunction("""COMPUTED_VALUE"""),274.57)</f>
        <v>274.57</v>
      </c>
      <c r="F1213" s="2" t="n">
        <f aca="false">IFERROR(__xludf.dummyfunction("""COMPUTED_VALUE"""),43580277)</f>
        <v>43580277</v>
      </c>
    </row>
    <row r="1214" customFormat="false" ht="15.75" hidden="false" customHeight="false" outlineLevel="0" collapsed="false">
      <c r="A1214" s="3" t="n">
        <f aca="false">IFERROR(__xludf.dummyfunction("""COMPUTED_VALUE"""),45960.6666666667)</f>
        <v>45960.6666666667</v>
      </c>
      <c r="B1214" s="2" t="n">
        <f aca="false">IFERROR(__xludf.dummyfunction("""COMPUTED_VALUE"""),291.59)</f>
        <v>291.59</v>
      </c>
      <c r="C1214" s="2" t="n">
        <f aca="false">IFERROR(__xludf.dummyfunction("""COMPUTED_VALUE"""),291.59)</f>
        <v>291.59</v>
      </c>
      <c r="D1214" s="2" t="n">
        <f aca="false">IFERROR(__xludf.dummyfunction("""COMPUTED_VALUE"""),280.06)</f>
        <v>280.06</v>
      </c>
      <c r="E1214" s="2" t="n">
        <f aca="false">IFERROR(__xludf.dummyfunction("""COMPUTED_VALUE"""),281.48)</f>
        <v>281.48</v>
      </c>
      <c r="F1214" s="2" t="n">
        <f aca="false">IFERROR(__xludf.dummyfunction("""COMPUTED_VALUE"""),74875990)</f>
        <v>74875990</v>
      </c>
    </row>
    <row r="1215" customFormat="false" ht="15.75" hidden="false" customHeight="false" outlineLevel="0" collapsed="false">
      <c r="A1215" s="3" t="n">
        <f aca="false">IFERROR(__xludf.dummyfunction("""COMPUTED_VALUE"""),45961.6666666667)</f>
        <v>45961.6666666667</v>
      </c>
      <c r="B1215" s="2" t="n">
        <f aca="false">IFERROR(__xludf.dummyfunction("""COMPUTED_VALUE"""),283.21)</f>
        <v>283.21</v>
      </c>
      <c r="C1215" s="2" t="n">
        <f aca="false">IFERROR(__xludf.dummyfunction("""COMPUTED_VALUE"""),286)</f>
        <v>286</v>
      </c>
      <c r="D1215" s="2" t="n">
        <f aca="false">IFERROR(__xludf.dummyfunction("""COMPUTED_VALUE"""),277.03)</f>
        <v>277.03</v>
      </c>
      <c r="E1215" s="2" t="n">
        <f aca="false">IFERROR(__xludf.dummyfunction("""COMPUTED_VALUE"""),281.19)</f>
        <v>281.19</v>
      </c>
      <c r="F1215" s="2" t="n">
        <f aca="false">IFERROR(__xludf.dummyfunction("""COMPUTED_VALUE"""),39267945)</f>
        <v>39267945</v>
      </c>
    </row>
    <row r="1216" customFormat="false" ht="15.75" hidden="false" customHeight="false" outlineLevel="0" collapsed="false">
      <c r="A1216" s="3" t="n">
        <f aca="false">IFERROR(__xludf.dummyfunction("""COMPUTED_VALUE"""),45964.6666666667)</f>
        <v>45964.6666666667</v>
      </c>
      <c r="B1216" s="2" t="n">
        <f aca="false">IFERROR(__xludf.dummyfunction("""COMPUTED_VALUE"""),282.18)</f>
        <v>282.18</v>
      </c>
      <c r="C1216" s="2" t="n">
        <f aca="false">IFERROR(__xludf.dummyfunction("""COMPUTED_VALUE"""),285.53)</f>
        <v>285.53</v>
      </c>
      <c r="D1216" s="2" t="n">
        <f aca="false">IFERROR(__xludf.dummyfunction("""COMPUTED_VALUE"""),279.8)</f>
        <v>279.8</v>
      </c>
      <c r="E1216" s="2" t="n">
        <f aca="false">IFERROR(__xludf.dummyfunction("""COMPUTED_VALUE"""),283.72)</f>
        <v>283.72</v>
      </c>
      <c r="F1216" s="2" t="n">
        <f aca="false">IFERROR(__xludf.dummyfunction("""COMPUTED_VALUE"""),29785996)</f>
        <v>29785996</v>
      </c>
    </row>
    <row r="1217" customFormat="false" ht="15.75" hidden="false" customHeight="false" outlineLevel="0" collapsed="false">
      <c r="A1217" s="3" t="n">
        <f aca="false">IFERROR(__xludf.dummyfunction("""COMPUTED_VALUE"""),45965.6666666667)</f>
        <v>45965.6666666667</v>
      </c>
      <c r="B1217" s="2" t="n">
        <f aca="false">IFERROR(__xludf.dummyfunction("""COMPUTED_VALUE"""),276.75)</f>
        <v>276.75</v>
      </c>
      <c r="C1217" s="2" t="n">
        <f aca="false">IFERROR(__xludf.dummyfunction("""COMPUTED_VALUE"""),281.27)</f>
        <v>281.27</v>
      </c>
      <c r="D1217" s="2" t="n">
        <f aca="false">IFERROR(__xludf.dummyfunction("""COMPUTED_VALUE"""),276.26)</f>
        <v>276.26</v>
      </c>
      <c r="E1217" s="2" t="n">
        <f aca="false">IFERROR(__xludf.dummyfunction("""COMPUTED_VALUE"""),277.54)</f>
        <v>277.54</v>
      </c>
      <c r="F1217" s="2" t="n">
        <f aca="false">IFERROR(__xludf.dummyfunction("""COMPUTED_VALUE"""),30078369)</f>
        <v>30078369</v>
      </c>
    </row>
    <row r="1218" customFormat="false" ht="15.75" hidden="false" customHeight="false" outlineLevel="0" collapsed="false">
      <c r="A1218" s="3" t="n">
        <f aca="false">IFERROR(__xludf.dummyfunction("""COMPUTED_VALUE"""),45966.6666666667)</f>
        <v>45966.6666666667</v>
      </c>
      <c r="B1218" s="2" t="n">
        <f aca="false">IFERROR(__xludf.dummyfunction("""COMPUTED_VALUE"""),278.87)</f>
        <v>278.87</v>
      </c>
      <c r="C1218" s="2" t="n">
        <f aca="false">IFERROR(__xludf.dummyfunction("""COMPUTED_VALUE"""),286.42)</f>
        <v>286.42</v>
      </c>
      <c r="D1218" s="2" t="n">
        <f aca="false">IFERROR(__xludf.dummyfunction("""COMPUTED_VALUE"""),277.34)</f>
        <v>277.34</v>
      </c>
      <c r="E1218" s="2" t="n">
        <f aca="false">IFERROR(__xludf.dummyfunction("""COMPUTED_VALUE"""),284.31)</f>
        <v>284.31</v>
      </c>
      <c r="F1218" s="2" t="n">
        <f aca="false">IFERROR(__xludf.dummyfunction("""COMPUTED_VALUE"""),31010302)</f>
        <v>31010302</v>
      </c>
    </row>
    <row r="1219" customFormat="false" ht="15.75" hidden="false" customHeight="false" outlineLevel="0" collapsed="false">
      <c r="A1219" s="3" t="n">
        <f aca="false">IFERROR(__xludf.dummyfunction("""COMPUTED_VALUE"""),45967.6666666667)</f>
        <v>45967.6666666667</v>
      </c>
      <c r="B1219" s="2" t="n">
        <f aca="false">IFERROR(__xludf.dummyfunction("""COMPUTED_VALUE"""),285.33)</f>
        <v>285.33</v>
      </c>
      <c r="C1219" s="2" t="n">
        <f aca="false">IFERROR(__xludf.dummyfunction("""COMPUTED_VALUE"""),288.35)</f>
        <v>288.35</v>
      </c>
      <c r="D1219" s="2" t="n">
        <f aca="false">IFERROR(__xludf.dummyfunction("""COMPUTED_VALUE"""),281.14)</f>
        <v>281.14</v>
      </c>
      <c r="E1219" s="2" t="n">
        <f aca="false">IFERROR(__xludf.dummyfunction("""COMPUTED_VALUE"""),284.75)</f>
        <v>284.75</v>
      </c>
      <c r="F1219" s="2" t="n">
        <f aca="false">IFERROR(__xludf.dummyfunction("""COMPUTED_VALUE"""),37173648)</f>
        <v>37173648</v>
      </c>
    </row>
    <row r="1220" customFormat="false" ht="15.75" hidden="false" customHeight="false" outlineLevel="0" collapsed="false">
      <c r="A1220" s="3" t="n">
        <f aca="false">IFERROR(__xludf.dummyfunction("""COMPUTED_VALUE"""),45968.6666666667)</f>
        <v>45968.6666666667</v>
      </c>
      <c r="B1220" s="2" t="n">
        <f aca="false">IFERROR(__xludf.dummyfunction("""COMPUTED_VALUE"""),283.21)</f>
        <v>283.21</v>
      </c>
      <c r="C1220" s="2" t="n">
        <f aca="false">IFERROR(__xludf.dummyfunction("""COMPUTED_VALUE"""),283.78)</f>
        <v>283.78</v>
      </c>
      <c r="D1220" s="2" t="n">
        <f aca="false">IFERROR(__xludf.dummyfunction("""COMPUTED_VALUE"""),275.19)</f>
        <v>275.19</v>
      </c>
      <c r="E1220" s="2" t="n">
        <f aca="false">IFERROR(__xludf.dummyfunction("""COMPUTED_VALUE"""),278.83)</f>
        <v>278.83</v>
      </c>
      <c r="F1220" s="2" t="n">
        <f aca="false">IFERROR(__xludf.dummyfunction("""COMPUTED_VALUE"""),34479588)</f>
        <v>34479588</v>
      </c>
    </row>
    <row r="1221" customFormat="false" ht="15.75" hidden="false" customHeight="false" outlineLevel="0" collapsed="false">
      <c r="A1221" s="3" t="n">
        <f aca="false">IFERROR(__xludf.dummyfunction("""COMPUTED_VALUE"""),45971.6666666667)</f>
        <v>45971.6666666667</v>
      </c>
      <c r="B1221" s="2" t="n">
        <f aca="false">IFERROR(__xludf.dummyfunction("""COMPUTED_VALUE"""),284.42)</f>
        <v>284.42</v>
      </c>
      <c r="C1221" s="2" t="n">
        <f aca="false">IFERROR(__xludf.dummyfunction("""COMPUTED_VALUE"""),290.8)</f>
        <v>290.8</v>
      </c>
      <c r="D1221" s="2" t="n">
        <f aca="false">IFERROR(__xludf.dummyfunction("""COMPUTED_VALUE"""),282.86)</f>
        <v>282.86</v>
      </c>
      <c r="E1221" s="2" t="n">
        <f aca="false">IFERROR(__xludf.dummyfunction("""COMPUTED_VALUE"""),290.1)</f>
        <v>290.1</v>
      </c>
      <c r="F1221" s="2" t="n">
        <f aca="false">IFERROR(__xludf.dummyfunction("""COMPUTED_VALUE"""),29557309)</f>
        <v>29557309</v>
      </c>
    </row>
    <row r="1222" customFormat="false" ht="15.75" hidden="false" customHeight="false" outlineLevel="0" collapsed="false">
      <c r="A1222" s="3" t="n">
        <f aca="false">IFERROR(__xludf.dummyfunction("""COMPUTED_VALUE"""),45972.6666666667)</f>
        <v>45972.6666666667</v>
      </c>
      <c r="B1222" s="2" t="n">
        <f aca="false">IFERROR(__xludf.dummyfunction("""COMPUTED_VALUE"""),287.75)</f>
        <v>287.75</v>
      </c>
      <c r="C1222" s="2" t="n">
        <f aca="false">IFERROR(__xludf.dummyfunction("""COMPUTED_VALUE"""),291.92)</f>
        <v>291.92</v>
      </c>
      <c r="D1222" s="2" t="n">
        <f aca="false">IFERROR(__xludf.dummyfunction("""COMPUTED_VALUE"""),287.32)</f>
        <v>287.32</v>
      </c>
      <c r="E1222" s="2" t="n">
        <f aca="false">IFERROR(__xludf.dummyfunction("""COMPUTED_VALUE"""),291.31)</f>
        <v>291.31</v>
      </c>
      <c r="F1222" s="2" t="n">
        <f aca="false">IFERROR(__xludf.dummyfunction("""COMPUTED_VALUE"""),19842136)</f>
        <v>19842136</v>
      </c>
    </row>
    <row r="1223" customFormat="false" ht="15.75" hidden="false" customHeight="false" outlineLevel="0" collapsed="false">
      <c r="A1223" s="3" t="n">
        <f aca="false">IFERROR(__xludf.dummyfunction("""COMPUTED_VALUE"""),45973.6666666667)</f>
        <v>45973.6666666667</v>
      </c>
      <c r="B1223" s="2" t="n">
        <f aca="false">IFERROR(__xludf.dummyfunction("""COMPUTED_VALUE"""),291.68)</f>
        <v>291.68</v>
      </c>
      <c r="C1223" s="2" t="n">
        <f aca="false">IFERROR(__xludf.dummyfunction("""COMPUTED_VALUE"""),292.01)</f>
        <v>292.01</v>
      </c>
      <c r="D1223" s="2" t="n">
        <f aca="false">IFERROR(__xludf.dummyfunction("""COMPUTED_VALUE"""),283.69)</f>
        <v>283.69</v>
      </c>
      <c r="E1223" s="2" t="n">
        <f aca="false">IFERROR(__xludf.dummyfunction("""COMPUTED_VALUE"""),286.71)</f>
        <v>286.71</v>
      </c>
      <c r="F1223" s="2" t="n">
        <f aca="false">IFERROR(__xludf.dummyfunction("""COMPUTED_VALUE"""),24829923)</f>
        <v>24829923</v>
      </c>
    </row>
    <row r="1224" customFormat="false" ht="15.75" hidden="false" customHeight="false" outlineLevel="0" collapsed="false">
      <c r="A1224" s="3" t="n">
        <f aca="false">IFERROR(__xludf.dummyfunction("""COMPUTED_VALUE"""),45974.6666666667)</f>
        <v>45974.6666666667</v>
      </c>
      <c r="B1224" s="2" t="n">
        <f aca="false">IFERROR(__xludf.dummyfunction("""COMPUTED_VALUE"""),282.34)</f>
        <v>282.34</v>
      </c>
      <c r="C1224" s="2" t="n">
        <f aca="false">IFERROR(__xludf.dummyfunction("""COMPUTED_VALUE"""),282.84)</f>
        <v>282.84</v>
      </c>
      <c r="D1224" s="2" t="n">
        <f aca="false">IFERROR(__xludf.dummyfunction("""COMPUTED_VALUE"""),277.24)</f>
        <v>277.24</v>
      </c>
      <c r="E1224" s="2" t="n">
        <f aca="false">IFERROR(__xludf.dummyfunction("""COMPUTED_VALUE"""),278.57)</f>
        <v>278.57</v>
      </c>
      <c r="F1224" s="2" t="n">
        <f aca="false">IFERROR(__xludf.dummyfunction("""COMPUTED_VALUE"""),29494040)</f>
        <v>29494040</v>
      </c>
    </row>
    <row r="1225" customFormat="false" ht="15.75" hidden="false" customHeight="false" outlineLevel="0" collapsed="false">
      <c r="A1225" s="3" t="n">
        <f aca="false">IFERROR(__xludf.dummyfunction("""COMPUTED_VALUE"""),45975.6666666667)</f>
        <v>45975.6666666667</v>
      </c>
      <c r="B1225" s="2" t="n">
        <f aca="false">IFERROR(__xludf.dummyfunction("""COMPUTED_VALUE"""),271.4)</f>
        <v>271.4</v>
      </c>
      <c r="C1225" s="2" t="n">
        <f aca="false">IFERROR(__xludf.dummyfunction("""COMPUTED_VALUE"""),278.56)</f>
        <v>278.56</v>
      </c>
      <c r="D1225" s="2" t="n">
        <f aca="false">IFERROR(__xludf.dummyfunction("""COMPUTED_VALUE"""),270.7)</f>
        <v>270.7</v>
      </c>
      <c r="E1225" s="2" t="n">
        <f aca="false">IFERROR(__xludf.dummyfunction("""COMPUTED_VALUE"""),276.41)</f>
        <v>276.41</v>
      </c>
      <c r="F1225" s="2" t="n">
        <f aca="false">IFERROR(__xludf.dummyfunction("""COMPUTED_VALUE"""),31647227)</f>
        <v>31647227</v>
      </c>
    </row>
    <row r="1226" customFormat="false" ht="15.75" hidden="false" customHeight="false" outlineLevel="0" collapsed="false">
      <c r="A1226" s="3" t="n">
        <f aca="false">IFERROR(__xludf.dummyfunction("""COMPUTED_VALUE"""),45978.6666666667)</f>
        <v>45978.6666666667</v>
      </c>
      <c r="B1226" s="2" t="n">
        <f aca="false">IFERROR(__xludf.dummyfunction("""COMPUTED_VALUE"""),285.77)</f>
        <v>285.77</v>
      </c>
      <c r="C1226" s="2" t="n">
        <f aca="false">IFERROR(__xludf.dummyfunction("""COMPUTED_VALUE"""),293.95)</f>
        <v>293.95</v>
      </c>
      <c r="D1226" s="2" t="n">
        <f aca="false">IFERROR(__xludf.dummyfunction("""COMPUTED_VALUE"""),283.57)</f>
        <v>283.57</v>
      </c>
      <c r="E1226" s="2" t="n">
        <f aca="false">IFERROR(__xludf.dummyfunction("""COMPUTED_VALUE"""),285.02)</f>
        <v>285.02</v>
      </c>
      <c r="F1226" s="2" t="n">
        <f aca="false">IFERROR(__xludf.dummyfunction("""COMPUTED_VALUE"""),52670192)</f>
        <v>52670192</v>
      </c>
    </row>
    <row r="1227" customFormat="false" ht="15.75" hidden="false" customHeight="false" outlineLevel="0" collapsed="false">
      <c r="A1227" s="3" t="n">
        <f aca="false">IFERROR(__xludf.dummyfunction("""COMPUTED_VALUE"""),45979.6666666667)</f>
        <v>45979.6666666667</v>
      </c>
      <c r="B1227" s="2" t="n">
        <f aca="false">IFERROR(__xludf.dummyfunction("""COMPUTED_VALUE"""),287.92)</f>
        <v>287.92</v>
      </c>
      <c r="C1227" s="2" t="n">
        <f aca="false">IFERROR(__xludf.dummyfunction("""COMPUTED_VALUE"""),288.8)</f>
        <v>288.8</v>
      </c>
      <c r="D1227" s="2" t="n">
        <f aca="false">IFERROR(__xludf.dummyfunction("""COMPUTED_VALUE"""),278.2)</f>
        <v>278.2</v>
      </c>
      <c r="E1227" s="2" t="n">
        <f aca="false">IFERROR(__xludf.dummyfunction("""COMPUTED_VALUE"""),284.28)</f>
        <v>284.28</v>
      </c>
      <c r="F1227" s="2" t="n">
        <f aca="false">IFERROR(__xludf.dummyfunction("""COMPUTED_VALUE"""),49158743)</f>
        <v>49158743</v>
      </c>
    </row>
    <row r="1228" customFormat="false" ht="15.75" hidden="false" customHeight="false" outlineLevel="0" collapsed="false">
      <c r="A1228" s="3" t="n">
        <f aca="false">IFERROR(__xludf.dummyfunction("""COMPUTED_VALUE"""),45980.6666666667)</f>
        <v>45980.6666666667</v>
      </c>
      <c r="B1228" s="2" t="n">
        <f aca="false">IFERROR(__xludf.dummyfunction("""COMPUTED_VALUE"""),287.16)</f>
        <v>287.16</v>
      </c>
      <c r="C1228" s="2" t="n">
        <f aca="false">IFERROR(__xludf.dummyfunction("""COMPUTED_VALUE"""),303.81)</f>
        <v>303.81</v>
      </c>
      <c r="D1228" s="2" t="n">
        <f aca="false">IFERROR(__xludf.dummyfunction("""COMPUTED_VALUE"""),286.63)</f>
        <v>286.63</v>
      </c>
      <c r="E1228" s="2" t="n">
        <f aca="false">IFERROR(__xludf.dummyfunction("""COMPUTED_VALUE"""),292.81)</f>
        <v>292.81</v>
      </c>
      <c r="F1228" s="2" t="n">
        <f aca="false">IFERROR(__xludf.dummyfunction("""COMPUTED_VALUE"""),68198944)</f>
        <v>68198944</v>
      </c>
    </row>
    <row r="1229" customFormat="false" ht="15.75" hidden="false" customHeight="false" outlineLevel="0" collapsed="false">
      <c r="A1229" s="3" t="n">
        <f aca="false">IFERROR(__xludf.dummyfunction("""COMPUTED_VALUE"""),45981.6666666667)</f>
        <v>45981.6666666667</v>
      </c>
      <c r="B1229" s="2" t="n">
        <f aca="false">IFERROR(__xludf.dummyfunction("""COMPUTED_VALUE"""),304.54)</f>
        <v>304.54</v>
      </c>
      <c r="C1229" s="2" t="n">
        <f aca="false">IFERROR(__xludf.dummyfunction("""COMPUTED_VALUE"""),306.42)</f>
        <v>306.42</v>
      </c>
      <c r="D1229" s="2" t="n">
        <f aca="false">IFERROR(__xludf.dummyfunction("""COMPUTED_VALUE"""),288.67)</f>
        <v>288.67</v>
      </c>
      <c r="E1229" s="2" t="n">
        <f aca="false">IFERROR(__xludf.dummyfunction("""COMPUTED_VALUE"""),289.45)</f>
        <v>289.45</v>
      </c>
      <c r="F1229" s="2" t="n">
        <f aca="false">IFERROR(__xludf.dummyfunction("""COMPUTED_VALUE"""),62025218)</f>
        <v>62025218</v>
      </c>
    </row>
    <row r="1230" customFormat="false" ht="15.75" hidden="false" customHeight="false" outlineLevel="0" collapsed="false">
      <c r="A1230" s="3" t="n">
        <f aca="false">IFERROR(__xludf.dummyfunction("""COMPUTED_VALUE"""),45982.6666666667)</f>
        <v>45982.6666666667</v>
      </c>
      <c r="B1230" s="2" t="n">
        <f aca="false">IFERROR(__xludf.dummyfunction("""COMPUTED_VALUE"""),296.42)</f>
        <v>296.42</v>
      </c>
      <c r="C1230" s="2" t="n">
        <f aca="false">IFERROR(__xludf.dummyfunction("""COMPUTED_VALUE"""),303.92)</f>
        <v>303.92</v>
      </c>
      <c r="D1230" s="2" t="n">
        <f aca="false">IFERROR(__xludf.dummyfunction("""COMPUTED_VALUE"""),293.85)</f>
        <v>293.85</v>
      </c>
      <c r="E1230" s="2" t="n">
        <f aca="false">IFERROR(__xludf.dummyfunction("""COMPUTED_VALUE"""),299.66)</f>
        <v>299.66</v>
      </c>
      <c r="F1230" s="2" t="n">
        <f aca="false">IFERROR(__xludf.dummyfunction("""COMPUTED_VALUE"""),74137697)</f>
        <v>74137697</v>
      </c>
    </row>
    <row r="1231" customFormat="false" ht="15.75" hidden="false" customHeight="false" outlineLevel="0" collapsed="false">
      <c r="A1231" s="3" t="n">
        <f aca="false">IFERROR(__xludf.dummyfunction("""COMPUTED_VALUE"""),45985.6666666667)</f>
        <v>45985.6666666667</v>
      </c>
      <c r="B1231" s="2" t="n">
        <f aca="false">IFERROR(__xludf.dummyfunction("""COMPUTED_VALUE"""),311.13)</f>
        <v>311.13</v>
      </c>
      <c r="C1231" s="2" t="n">
        <f aca="false">IFERROR(__xludf.dummyfunction("""COMPUTED_VALUE"""),319.48)</f>
        <v>319.48</v>
      </c>
      <c r="D1231" s="2" t="n">
        <f aca="false">IFERROR(__xludf.dummyfunction("""COMPUTED_VALUE"""),309.6)</f>
        <v>309.6</v>
      </c>
      <c r="E1231" s="2" t="n">
        <f aca="false">IFERROR(__xludf.dummyfunction("""COMPUTED_VALUE"""),318.58)</f>
        <v>318.58</v>
      </c>
      <c r="F1231" s="2" t="n">
        <f aca="false">IFERROR(__xludf.dummyfunction("""COMPUTED_VALUE"""),85165123)</f>
        <v>85165123</v>
      </c>
    </row>
    <row r="1232" customFormat="false" ht="15.75" hidden="false" customHeight="false" outlineLevel="0" collapsed="false">
      <c r="A1232" s="3" t="n">
        <f aca="false">IFERROR(__xludf.dummyfunction("""COMPUTED_VALUE"""),45986.6666666667)</f>
        <v>45986.6666666667</v>
      </c>
      <c r="B1232" s="2" t="n">
        <f aca="false">IFERROR(__xludf.dummyfunction("""COMPUTED_VALUE"""),326.21)</f>
        <v>326.21</v>
      </c>
      <c r="C1232" s="2" t="n">
        <f aca="false">IFERROR(__xludf.dummyfunction("""COMPUTED_VALUE"""),328.83)</f>
        <v>328.83</v>
      </c>
      <c r="D1232" s="2" t="n">
        <f aca="false">IFERROR(__xludf.dummyfunction("""COMPUTED_VALUE"""),317.65)</f>
        <v>317.65</v>
      </c>
      <c r="E1232" s="2" t="n">
        <f aca="false">IFERROR(__xludf.dummyfunction("""COMPUTED_VALUE"""),323.44)</f>
        <v>323.44</v>
      </c>
      <c r="F1232" s="2" t="n">
        <f aca="false">IFERROR(__xludf.dummyfunction("""COMPUTED_VALUE"""),88632074)</f>
        <v>88632074</v>
      </c>
    </row>
    <row r="1233" customFormat="false" ht="15.75" hidden="false" customHeight="false" outlineLevel="0" collapsed="false">
      <c r="A1233" s="3" t="n">
        <f aca="false">IFERROR(__xludf.dummyfunction("""COMPUTED_VALUE"""),45987.6666666667)</f>
        <v>45987.6666666667</v>
      </c>
      <c r="B1233" s="2" t="n">
        <f aca="false">IFERROR(__xludf.dummyfunction("""COMPUTED_VALUE"""),320.68)</f>
        <v>320.68</v>
      </c>
      <c r="C1233" s="2" t="n">
        <f aca="false">IFERROR(__xludf.dummyfunction("""COMPUTED_VALUE"""),324.5)</f>
        <v>324.5</v>
      </c>
      <c r="D1233" s="2" t="n">
        <f aca="false">IFERROR(__xludf.dummyfunction("""COMPUTED_VALUE"""),316.79)</f>
        <v>316.79</v>
      </c>
      <c r="E1233" s="2" t="n">
        <f aca="false">IFERROR(__xludf.dummyfunction("""COMPUTED_VALUE"""),319.95)</f>
        <v>319.95</v>
      </c>
      <c r="F1233" s="2" t="n">
        <f aca="false">IFERROR(__xludf.dummyfunction("""COMPUTED_VALUE"""),51373361)</f>
        <v>51373361</v>
      </c>
    </row>
    <row r="1234" customFormat="false" ht="15.75" hidden="false" customHeight="false" outlineLevel="0" collapsed="false">
      <c r="A1234" s="3" t="n">
        <f aca="false">IFERROR(__xludf.dummyfunction("""COMPUTED_VALUE"""),45989.5451388889)</f>
        <v>45989.5451388889</v>
      </c>
      <c r="B1234" s="2" t="n">
        <f aca="false">IFERROR(__xludf.dummyfunction("""COMPUTED_VALUE"""),323.37)</f>
        <v>323.37</v>
      </c>
      <c r="C1234" s="2" t="n">
        <f aca="false">IFERROR(__xludf.dummyfunction("""COMPUTED_VALUE"""),326.85)</f>
        <v>326.85</v>
      </c>
      <c r="D1234" s="2" t="n">
        <f aca="false">IFERROR(__xludf.dummyfunction("""COMPUTED_VALUE"""),316.79)</f>
        <v>316.79</v>
      </c>
      <c r="E1234" s="2" t="n">
        <f aca="false">IFERROR(__xludf.dummyfunction("""COMPUTED_VALUE"""),320.18)</f>
        <v>320.18</v>
      </c>
      <c r="F1234" s="2" t="n">
        <f aca="false">IFERROR(__xludf.dummyfunction("""COMPUTED_VALUE"""),26018568)</f>
        <v>26018568</v>
      </c>
    </row>
    <row r="1235" customFormat="false" ht="15.75" hidden="false" customHeight="false" outlineLevel="0" collapsed="false">
      <c r="A1235" s="3" t="n">
        <f aca="false">IFERROR(__xludf.dummyfunction("""COMPUTED_VALUE"""),45992.6666666667)</f>
        <v>45992.6666666667</v>
      </c>
      <c r="B1235" s="2" t="n">
        <f aca="false">IFERROR(__xludf.dummyfunction("""COMPUTED_VALUE"""),317.7)</f>
        <v>317.7</v>
      </c>
      <c r="C1235" s="2" t="n">
        <f aca="false">IFERROR(__xludf.dummyfunction("""COMPUTED_VALUE"""),319.85)</f>
        <v>319.85</v>
      </c>
      <c r="D1235" s="2" t="n">
        <f aca="false">IFERROR(__xludf.dummyfunction("""COMPUTED_VALUE"""),313.89)</f>
        <v>313.89</v>
      </c>
      <c r="E1235" s="2" t="n">
        <f aca="false">IFERROR(__xludf.dummyfunction("""COMPUTED_VALUE"""),314.89)</f>
        <v>314.89</v>
      </c>
      <c r="F1235" s="2" t="n">
        <f aca="false">IFERROR(__xludf.dummyfunction("""COMPUTED_VALUE"""),41182956)</f>
        <v>41182956</v>
      </c>
    </row>
    <row r="1236" customFormat="false" ht="15.75" hidden="false" customHeight="false" outlineLevel="0" collapsed="false">
      <c r="A1236" s="3" t="n">
        <f aca="false">IFERROR(__xludf.dummyfunction("""COMPUTED_VALUE"""),45993.6666666667)</f>
        <v>45993.6666666667</v>
      </c>
      <c r="B1236" s="2" t="n">
        <f aca="false">IFERROR(__xludf.dummyfunction("""COMPUTED_VALUE"""),316.74)</f>
        <v>316.74</v>
      </c>
      <c r="C1236" s="2" t="n">
        <f aca="false">IFERROR(__xludf.dummyfunction("""COMPUTED_VALUE"""),318.38)</f>
        <v>318.38</v>
      </c>
      <c r="D1236" s="2" t="n">
        <f aca="false">IFERROR(__xludf.dummyfunction("""COMPUTED_VALUE"""),313.91)</f>
        <v>313.91</v>
      </c>
      <c r="E1236" s="2" t="n">
        <f aca="false">IFERROR(__xludf.dummyfunction("""COMPUTED_VALUE"""),315.81)</f>
        <v>315.81</v>
      </c>
      <c r="F1236" s="2" t="n">
        <f aca="false">IFERROR(__xludf.dummyfunction("""COMPUTED_VALUE"""),35854744)</f>
        <v>35854744</v>
      </c>
    </row>
    <row r="1237" customFormat="false" ht="15.75" hidden="false" customHeight="false" outlineLevel="0" collapsed="false">
      <c r="A1237" s="3" t="n">
        <f aca="false">IFERROR(__xludf.dummyfunction("""COMPUTED_VALUE"""),45994.6666666667)</f>
        <v>45994.6666666667</v>
      </c>
      <c r="B1237" s="2" t="n">
        <f aca="false">IFERROR(__xludf.dummyfunction("""COMPUTED_VALUE"""),315.89)</f>
        <v>315.89</v>
      </c>
      <c r="C1237" s="2" t="n">
        <f aca="false">IFERROR(__xludf.dummyfunction("""COMPUTED_VALUE"""),321.58)</f>
        <v>321.58</v>
      </c>
      <c r="D1237" s="2" t="n">
        <f aca="false">IFERROR(__xludf.dummyfunction("""COMPUTED_VALUE"""),314.1)</f>
        <v>314.1</v>
      </c>
      <c r="E1237" s="2" t="n">
        <f aca="false">IFERROR(__xludf.dummyfunction("""COMPUTED_VALUE"""),319.63)</f>
        <v>319.63</v>
      </c>
      <c r="F1237" s="2" t="n">
        <f aca="false">IFERROR(__xludf.dummyfunction("""COMPUTED_VALUE"""),41838317)</f>
        <v>41838317</v>
      </c>
    </row>
    <row r="1238" customFormat="false" ht="15.75" hidden="false" customHeight="false" outlineLevel="0" collapsed="false">
      <c r="A1238" s="3" t="n">
        <f aca="false">IFERROR(__xludf.dummyfunction("""COMPUTED_VALUE"""),45995.6666666667)</f>
        <v>45995.6666666667</v>
      </c>
      <c r="B1238" s="2" t="n">
        <f aca="false">IFERROR(__xludf.dummyfunction("""COMPUTED_VALUE"""),322.23)</f>
        <v>322.23</v>
      </c>
      <c r="C1238" s="2" t="n">
        <f aca="false">IFERROR(__xludf.dummyfunction("""COMPUTED_VALUE"""),322.36)</f>
        <v>322.36</v>
      </c>
      <c r="D1238" s="2" t="n">
        <f aca="false">IFERROR(__xludf.dummyfunction("""COMPUTED_VALUE"""),314.7)</f>
        <v>314.7</v>
      </c>
      <c r="E1238" s="2" t="n">
        <f aca="false">IFERROR(__xludf.dummyfunction("""COMPUTED_VALUE"""),317.62)</f>
        <v>317.62</v>
      </c>
      <c r="F1238" s="2" t="n">
        <f aca="false">IFERROR(__xludf.dummyfunction("""COMPUTED_VALUE"""),31240924)</f>
        <v>31240924</v>
      </c>
    </row>
    <row r="1239" customFormat="false" ht="15.75" hidden="false" customHeight="false" outlineLevel="0" collapsed="false">
      <c r="A1239" s="3" t="n">
        <f aca="false">IFERROR(__xludf.dummyfunction("""COMPUTED_VALUE"""),45996.6666666667)</f>
        <v>45996.6666666667</v>
      </c>
      <c r="B1239" s="2" t="n">
        <f aca="false">IFERROR(__xludf.dummyfunction("""COMPUTED_VALUE"""),319.49)</f>
        <v>319.49</v>
      </c>
      <c r="C1239" s="2" t="n">
        <f aca="false">IFERROR(__xludf.dummyfunction("""COMPUTED_VALUE"""),323.16)</f>
        <v>323.16</v>
      </c>
      <c r="D1239" s="2" t="n">
        <f aca="false">IFERROR(__xludf.dummyfunction("""COMPUTED_VALUE"""),319.17)</f>
        <v>319.17</v>
      </c>
      <c r="E1239" s="2" t="n">
        <f aca="false">IFERROR(__xludf.dummyfunction("""COMPUTED_VALUE"""),321.27)</f>
        <v>321.27</v>
      </c>
      <c r="F1239" s="2" t="n">
        <f aca="false">IFERROR(__xludf.dummyfunction("""COMPUTED_VALUE"""),28851705)</f>
        <v>28851705</v>
      </c>
    </row>
    <row r="1240" customFormat="false" ht="15.75" hidden="false" customHeight="false" outlineLevel="0" collapsed="false">
      <c r="A1240" s="3" t="n">
        <f aca="false">IFERROR(__xludf.dummyfunction("""COMPUTED_VALUE"""),45999.6666666667)</f>
        <v>45999.6666666667</v>
      </c>
      <c r="B1240" s="2" t="n">
        <f aca="false">IFERROR(__xludf.dummyfunction("""COMPUTED_VALUE"""),320.05)</f>
        <v>320.05</v>
      </c>
      <c r="C1240" s="2" t="n">
        <f aca="false">IFERROR(__xludf.dummyfunction("""COMPUTED_VALUE"""),320.44)</f>
        <v>320.44</v>
      </c>
      <c r="D1240" s="2" t="n">
        <f aca="false">IFERROR(__xludf.dummyfunction("""COMPUTED_VALUE"""),311.22)</f>
        <v>311.22</v>
      </c>
      <c r="E1240" s="2" t="n">
        <f aca="false">IFERROR(__xludf.dummyfunction("""COMPUTED_VALUE"""),313.72)</f>
        <v>313.72</v>
      </c>
      <c r="F1240" s="2" t="n">
        <f aca="false">IFERROR(__xludf.dummyfunction("""COMPUTED_VALUE"""),33909433)</f>
        <v>33909433</v>
      </c>
    </row>
    <row r="1241" customFormat="false" ht="15.75" hidden="false" customHeight="false" outlineLevel="0" collapsed="false">
      <c r="A1241" s="3" t="n">
        <f aca="false">IFERROR(__xludf.dummyfunction("""COMPUTED_VALUE"""),46000.6666666667)</f>
        <v>46000.6666666667</v>
      </c>
      <c r="B1241" s="2" t="n">
        <f aca="false">IFERROR(__xludf.dummyfunction("""COMPUTED_VALUE"""),312.37)</f>
        <v>312.37</v>
      </c>
      <c r="C1241" s="2" t="n">
        <f aca="false">IFERROR(__xludf.dummyfunction("""COMPUTED_VALUE"""),317.99)</f>
        <v>317.99</v>
      </c>
      <c r="D1241" s="2" t="n">
        <f aca="false">IFERROR(__xludf.dummyfunction("""COMPUTED_VALUE"""),311.9)</f>
        <v>311.9</v>
      </c>
      <c r="E1241" s="2" t="n">
        <f aca="false">IFERROR(__xludf.dummyfunction("""COMPUTED_VALUE"""),317.08)</f>
        <v>317.08</v>
      </c>
      <c r="F1241" s="2" t="n">
        <f aca="false">IFERROR(__xludf.dummyfunction("""COMPUTED_VALUE"""),30194027)</f>
        <v>30194027</v>
      </c>
    </row>
    <row r="1242" customFormat="false" ht="15.75" hidden="false" customHeight="false" outlineLevel="0" collapsed="false">
      <c r="A1242" s="3" t="n">
        <f aca="false">IFERROR(__xludf.dummyfunction("""COMPUTED_VALUE"""),46001.6666666667)</f>
        <v>46001.6666666667</v>
      </c>
      <c r="B1242" s="2" t="n">
        <f aca="false">IFERROR(__xludf.dummyfunction("""COMPUTED_VALUE"""),315.83)</f>
        <v>315.83</v>
      </c>
      <c r="C1242" s="2" t="n">
        <f aca="false">IFERROR(__xludf.dummyfunction("""COMPUTED_VALUE"""),321.31)</f>
        <v>321.31</v>
      </c>
      <c r="D1242" s="2" t="n">
        <f aca="false">IFERROR(__xludf.dummyfunction("""COMPUTED_VALUE"""),314.68)</f>
        <v>314.68</v>
      </c>
      <c r="E1242" s="2" t="n">
        <f aca="false">IFERROR(__xludf.dummyfunction("""COMPUTED_VALUE"""),320.21)</f>
        <v>320.21</v>
      </c>
      <c r="F1242" s="2" t="n">
        <f aca="false">IFERROR(__xludf.dummyfunction("""COMPUTED_VALUE"""),33428923)</f>
        <v>33428923</v>
      </c>
    </row>
    <row r="1243" customFormat="false" ht="15.75" hidden="false" customHeight="false" outlineLevel="0" collapsed="false">
      <c r="A1243" s="3" t="n">
        <f aca="false">IFERROR(__xludf.dummyfunction("""COMPUTED_VALUE"""),46002.6666666667)</f>
        <v>46002.6666666667</v>
      </c>
      <c r="B1243" s="2" t="n">
        <f aca="false">IFERROR(__xludf.dummyfunction("""COMPUTED_VALUE"""),320.08)</f>
        <v>320.08</v>
      </c>
      <c r="C1243" s="2" t="n">
        <f aca="false">IFERROR(__xludf.dummyfunction("""COMPUTED_VALUE"""),321.12)</f>
        <v>321.12</v>
      </c>
      <c r="D1243" s="2" t="n">
        <f aca="false">IFERROR(__xludf.dummyfunction("""COMPUTED_VALUE"""),308.6)</f>
        <v>308.6</v>
      </c>
      <c r="E1243" s="2" t="n">
        <f aca="false">IFERROR(__xludf.dummyfunction("""COMPUTED_VALUE"""),312.43)</f>
        <v>312.43</v>
      </c>
      <c r="F1243" s="2" t="n">
        <f aca="false">IFERROR(__xludf.dummyfunction("""COMPUTED_VALUE"""),42353697)</f>
        <v>42353697</v>
      </c>
    </row>
    <row r="1244" customFormat="false" ht="15.75" hidden="false" customHeight="false" outlineLevel="0" collapsed="false">
      <c r="A1244" s="3" t="n">
        <f aca="false">IFERROR(__xludf.dummyfunction("""COMPUTED_VALUE"""),46003.6666666667)</f>
        <v>46003.6666666667</v>
      </c>
      <c r="B1244" s="2" t="n">
        <f aca="false">IFERROR(__xludf.dummyfunction("""COMPUTED_VALUE"""),313.7)</f>
        <v>313.7</v>
      </c>
      <c r="C1244" s="2" t="n">
        <f aca="false">IFERROR(__xludf.dummyfunction("""COMPUTED_VALUE"""),314.87)</f>
        <v>314.87</v>
      </c>
      <c r="D1244" s="2" t="n">
        <f aca="false">IFERROR(__xludf.dummyfunction("""COMPUTED_VALUE"""),305.56)</f>
        <v>305.56</v>
      </c>
      <c r="E1244" s="2" t="n">
        <f aca="false">IFERROR(__xludf.dummyfunction("""COMPUTED_VALUE"""),309.29)</f>
        <v>309.29</v>
      </c>
      <c r="F1244" s="2" t="n">
        <f aca="false">IFERROR(__xludf.dummyfunction("""COMPUTED_VALUE"""),35940170)</f>
        <v>35940170</v>
      </c>
    </row>
    <row r="1245" customFormat="false" ht="15.75" hidden="false" customHeight="false" outlineLevel="0" collapsed="false">
      <c r="A1245" s="3" t="n">
        <f aca="false">IFERROR(__xludf.dummyfunction("""COMPUTED_VALUE"""),46006.6666666667)</f>
        <v>46006.6666666667</v>
      </c>
      <c r="B1245" s="2" t="n">
        <f aca="false">IFERROR(__xludf.dummyfunction("""COMPUTED_VALUE"""),311.32)</f>
        <v>311.32</v>
      </c>
      <c r="C1245" s="2" t="n">
        <f aca="false">IFERROR(__xludf.dummyfunction("""COMPUTED_VALUE"""),311.42)</f>
        <v>311.42</v>
      </c>
      <c r="D1245" s="2" t="n">
        <f aca="false">IFERROR(__xludf.dummyfunction("""COMPUTED_VALUE"""),304.88)</f>
        <v>304.88</v>
      </c>
      <c r="E1245" s="2" t="n">
        <f aca="false">IFERROR(__xludf.dummyfunction("""COMPUTED_VALUE"""),308.22)</f>
        <v>308.22</v>
      </c>
      <c r="F1245" s="2" t="n">
        <f aca="false">IFERROR(__xludf.dummyfunction("""COMPUTED_VALUE"""),29151889)</f>
        <v>29151889</v>
      </c>
    </row>
    <row r="1246" customFormat="false" ht="15.75" hidden="false" customHeight="false" outlineLevel="0" collapsed="false">
      <c r="A1246" s="3" t="n">
        <f aca="false">IFERROR(__xludf.dummyfunction("""COMPUTED_VALUE"""),46007.6666666667)</f>
        <v>46007.6666666667</v>
      </c>
      <c r="B1246" s="2" t="n">
        <f aca="false">IFERROR(__xludf.dummyfunction("""COMPUTED_VALUE"""),304.95)</f>
        <v>304.95</v>
      </c>
      <c r="C1246" s="2" t="n">
        <f aca="false">IFERROR(__xludf.dummyfunction("""COMPUTED_VALUE"""),310.77)</f>
        <v>310.77</v>
      </c>
      <c r="D1246" s="2" t="n">
        <f aca="false">IFERROR(__xludf.dummyfunction("""COMPUTED_VALUE"""),302.59)</f>
        <v>302.59</v>
      </c>
      <c r="E1246" s="2" t="n">
        <f aca="false">IFERROR(__xludf.dummyfunction("""COMPUTED_VALUE"""),306.57)</f>
        <v>306.57</v>
      </c>
      <c r="F1246" s="2" t="n">
        <f aca="false">IFERROR(__xludf.dummyfunction("""COMPUTED_VALUE"""),30585020)</f>
        <v>30585020</v>
      </c>
    </row>
    <row r="1247" customFormat="false" ht="15.75" hidden="false" customHeight="false" outlineLevel="0" collapsed="false">
      <c r="A1247" s="3" t="n">
        <f aca="false">IFERROR(__xludf.dummyfunction("""COMPUTED_VALUE"""),46008.6666666667)</f>
        <v>46008.6666666667</v>
      </c>
      <c r="B1247" s="2" t="n">
        <f aca="false">IFERROR(__xludf.dummyfunction("""COMPUTED_VALUE"""),308.01)</f>
        <v>308.01</v>
      </c>
      <c r="C1247" s="2" t="n">
        <f aca="false">IFERROR(__xludf.dummyfunction("""COMPUTED_VALUE"""),308.09)</f>
        <v>308.09</v>
      </c>
      <c r="D1247" s="2" t="n">
        <f aca="false">IFERROR(__xludf.dummyfunction("""COMPUTED_VALUE"""),296.12)</f>
        <v>296.12</v>
      </c>
      <c r="E1247" s="2" t="n">
        <f aca="false">IFERROR(__xludf.dummyfunction("""COMPUTED_VALUE"""),296.72)</f>
        <v>296.72</v>
      </c>
      <c r="F1247" s="2" t="n">
        <f aca="false">IFERROR(__xludf.dummyfunction("""COMPUTED_VALUE"""),43930358)</f>
        <v>43930358</v>
      </c>
    </row>
    <row r="1248" customFormat="false" ht="15.75" hidden="false" customHeight="false" outlineLevel="0" collapsed="false">
      <c r="A1248" s="3" t="n">
        <f aca="false">IFERROR(__xludf.dummyfunction("""COMPUTED_VALUE"""),46009.6666666667)</f>
        <v>46009.6666666667</v>
      </c>
      <c r="B1248" s="2" t="n">
        <f aca="false">IFERROR(__xludf.dummyfunction("""COMPUTED_VALUE"""),301.72)</f>
        <v>301.72</v>
      </c>
      <c r="C1248" s="2" t="n">
        <f aca="false">IFERROR(__xludf.dummyfunction("""COMPUTED_VALUE"""),303.96)</f>
        <v>303.96</v>
      </c>
      <c r="D1248" s="2" t="n">
        <f aca="false">IFERROR(__xludf.dummyfunction("""COMPUTED_VALUE"""),299.23)</f>
        <v>299.23</v>
      </c>
      <c r="E1248" s="2" t="n">
        <f aca="false">IFERROR(__xludf.dummyfunction("""COMPUTED_VALUE"""),302.46)</f>
        <v>302.46</v>
      </c>
      <c r="F1248" s="2" t="n">
        <f aca="false">IFERROR(__xludf.dummyfunction("""COMPUTED_VALUE"""),33518048)</f>
        <v>33518048</v>
      </c>
    </row>
    <row r="1249" customFormat="false" ht="15.75" hidden="false" customHeight="false" outlineLevel="0" collapsed="false">
      <c r="A1249" s="3" t="n">
        <f aca="false">IFERROR(__xludf.dummyfunction("""COMPUTED_VALUE"""),46010.6666666667)</f>
        <v>46010.6666666667</v>
      </c>
      <c r="B1249" s="2" t="n">
        <f aca="false">IFERROR(__xludf.dummyfunction("""COMPUTED_VALUE"""),301.73)</f>
        <v>301.73</v>
      </c>
      <c r="C1249" s="2" t="n">
        <f aca="false">IFERROR(__xludf.dummyfunction("""COMPUTED_VALUE"""),307.25)</f>
        <v>307.25</v>
      </c>
      <c r="D1249" s="2" t="n">
        <f aca="false">IFERROR(__xludf.dummyfunction("""COMPUTED_VALUE"""),300.97)</f>
        <v>300.97</v>
      </c>
      <c r="E1249" s="2" t="n">
        <f aca="false">IFERROR(__xludf.dummyfunction("""COMPUTED_VALUE"""),307.16)</f>
        <v>307.16</v>
      </c>
      <c r="F1249" s="2" t="n">
        <f aca="false">IFERROR(__xludf.dummyfunction("""COMPUTED_VALUE"""),59943239)</f>
        <v>59943239</v>
      </c>
    </row>
    <row r="1250" customFormat="false" ht="15.75" hidden="false" customHeight="false" outlineLevel="0" collapsed="false">
      <c r="A1250" s="3" t="n">
        <f aca="false">IFERROR(__xludf.dummyfunction("""COMPUTED_VALUE"""),46013.6666666667)</f>
        <v>46013.6666666667</v>
      </c>
      <c r="B1250" s="2" t="n">
        <f aca="false">IFERROR(__xludf.dummyfunction("""COMPUTED_VALUE"""),309.88)</f>
        <v>309.88</v>
      </c>
      <c r="C1250" s="2" t="n">
        <f aca="false">IFERROR(__xludf.dummyfunction("""COMPUTED_VALUE"""),310.13)</f>
        <v>310.13</v>
      </c>
      <c r="D1250" s="2" t="n">
        <f aca="false">IFERROR(__xludf.dummyfunction("""COMPUTED_VALUE"""),305.3)</f>
        <v>305.3</v>
      </c>
      <c r="E1250" s="2" t="n">
        <f aca="false">IFERROR(__xludf.dummyfunction("""COMPUTED_VALUE"""),309.78)</f>
        <v>309.78</v>
      </c>
      <c r="F1250" s="2" t="n">
        <f aca="false">IFERROR(__xludf.dummyfunction("""COMPUTED_VALUE"""),26429937)</f>
        <v>26429937</v>
      </c>
    </row>
    <row r="1251" customFormat="false" ht="15.75" hidden="false" customHeight="false" outlineLevel="0" collapsed="false">
      <c r="A1251" s="3" t="n">
        <f aca="false">IFERROR(__xludf.dummyfunction("""COMPUTED_VALUE"""),46014.6666666667)</f>
        <v>46014.6666666667</v>
      </c>
      <c r="B1251" s="2" t="n">
        <f aca="false">IFERROR(__xludf.dummyfunction("""COMPUTED_VALUE"""),309.63)</f>
        <v>309.63</v>
      </c>
      <c r="C1251" s="2" t="n">
        <f aca="false">IFERROR(__xludf.dummyfunction("""COMPUTED_VALUE"""),314.94)</f>
        <v>314.94</v>
      </c>
      <c r="D1251" s="2" t="n">
        <f aca="false">IFERROR(__xludf.dummyfunction("""COMPUTED_VALUE"""),309.32)</f>
        <v>309.32</v>
      </c>
      <c r="E1251" s="2" t="n">
        <f aca="false">IFERROR(__xludf.dummyfunction("""COMPUTED_VALUE"""),314.35)</f>
        <v>314.35</v>
      </c>
      <c r="F1251" s="2" t="n">
        <f aca="false">IFERROR(__xludf.dummyfunction("""COMPUTED_VALUE"""),25478670)</f>
        <v>25478670</v>
      </c>
    </row>
    <row r="1252" customFormat="false" ht="15.75" hidden="false" customHeight="false" outlineLevel="0" collapsed="false">
      <c r="A1252" s="3" t="n">
        <f aca="false">IFERROR(__xludf.dummyfunction("""COMPUTED_VALUE"""),46015.5451388889)</f>
        <v>46015.5451388889</v>
      </c>
      <c r="B1252" s="2" t="n">
        <f aca="false">IFERROR(__xludf.dummyfunction("""COMPUTED_VALUE"""),314.77)</f>
        <v>314.77</v>
      </c>
      <c r="C1252" s="2" t="n">
        <f aca="false">IFERROR(__xludf.dummyfunction("""COMPUTED_VALUE"""),315.08)</f>
        <v>315.08</v>
      </c>
      <c r="D1252" s="2" t="n">
        <f aca="false">IFERROR(__xludf.dummyfunction("""COMPUTED_VALUE"""),311.92)</f>
        <v>311.92</v>
      </c>
      <c r="E1252" s="2" t="n">
        <f aca="false">IFERROR(__xludf.dummyfunction("""COMPUTED_VALUE"""),314.09)</f>
        <v>314.09</v>
      </c>
      <c r="F1252" s="2" t="n">
        <f aca="false">IFERROR(__xludf.dummyfunction("""COMPUTED_VALUE"""),10097361)</f>
        <v>10097361</v>
      </c>
    </row>
    <row r="1253" customFormat="false" ht="15.75" hidden="false" customHeight="false" outlineLevel="0" collapsed="false">
      <c r="A1253" s="3" t="n">
        <f aca="false">IFERROR(__xludf.dummyfunction("""COMPUTED_VALUE"""),46017.6666666667)</f>
        <v>46017.6666666667</v>
      </c>
      <c r="B1253" s="2" t="n">
        <f aca="false">IFERROR(__xludf.dummyfunction("""COMPUTED_VALUE"""),314.48)</f>
        <v>314.48</v>
      </c>
      <c r="C1253" s="2" t="n">
        <f aca="false">IFERROR(__xludf.dummyfunction("""COMPUTED_VALUE"""),315.08)</f>
        <v>315.08</v>
      </c>
      <c r="D1253" s="2" t="n">
        <f aca="false">IFERROR(__xludf.dummyfunction("""COMPUTED_VALUE"""),312.27)</f>
        <v>312.27</v>
      </c>
      <c r="E1253" s="2" t="n">
        <f aca="false">IFERROR(__xludf.dummyfunction("""COMPUTED_VALUE"""),313.51)</f>
        <v>313.51</v>
      </c>
      <c r="F1253" s="2" t="n">
        <f aca="false">IFERROR(__xludf.dummyfunction("""COMPUTED_VALUE"""),10899017)</f>
        <v>10899017</v>
      </c>
    </row>
    <row r="1254" customFormat="false" ht="15.75" hidden="false" customHeight="false" outlineLevel="0" collapsed="false">
      <c r="A1254" s="3" t="n">
        <f aca="false">IFERROR(__xludf.dummyfunction("""COMPUTED_VALUE"""),46020.6666666667)</f>
        <v>46020.6666666667</v>
      </c>
      <c r="B1254" s="2" t="n">
        <f aca="false">IFERROR(__xludf.dummyfunction("""COMPUTED_VALUE"""),311.37)</f>
        <v>311.37</v>
      </c>
      <c r="C1254" s="2" t="n">
        <f aca="false">IFERROR(__xludf.dummyfunction("""COMPUTED_VALUE"""),314.02)</f>
        <v>314.02</v>
      </c>
      <c r="D1254" s="2" t="n">
        <f aca="false">IFERROR(__xludf.dummyfunction("""COMPUTED_VALUE"""),310.62)</f>
        <v>310.62</v>
      </c>
      <c r="E1254" s="2" t="n">
        <f aca="false">IFERROR(__xludf.dummyfunction("""COMPUTED_VALUE"""),313.56)</f>
        <v>313.56</v>
      </c>
      <c r="F1254" s="2" t="n">
        <f aca="false">IFERROR(__xludf.dummyfunction("""COMPUTED_VALUE"""),19621777)</f>
        <v>19621777</v>
      </c>
    </row>
    <row r="1255" customFormat="false" ht="15.75" hidden="false" customHeight="false" outlineLevel="0" collapsed="false">
      <c r="A1255" s="3" t="n">
        <f aca="false">IFERROR(__xludf.dummyfunction("""COMPUTED_VALUE"""),46021.6666666667)</f>
        <v>46021.6666666667</v>
      </c>
      <c r="B1255" s="2" t="n">
        <f aca="false">IFERROR(__xludf.dummyfunction("""COMPUTED_VALUE"""),312.5)</f>
        <v>312.5</v>
      </c>
      <c r="C1255" s="2" t="n">
        <f aca="false">IFERROR(__xludf.dummyfunction("""COMPUTED_VALUE"""),316.95)</f>
        <v>316.95</v>
      </c>
      <c r="D1255" s="2" t="n">
        <f aca="false">IFERROR(__xludf.dummyfunction("""COMPUTED_VALUE"""),312.46)</f>
        <v>312.46</v>
      </c>
      <c r="E1255" s="2" t="n">
        <f aca="false">IFERROR(__xludf.dummyfunction("""COMPUTED_VALUE"""),313.85)</f>
        <v>313.85</v>
      </c>
      <c r="F1255" s="2" t="n">
        <f aca="false">IFERROR(__xludf.dummyfunction("""COMPUTED_VALUE"""),17380888)</f>
        <v>17380888</v>
      </c>
    </row>
    <row r="1256" customFormat="false" ht="15.75" hidden="false" customHeight="false" outlineLevel="0" collapsed="false">
      <c r="A1256" s="3" t="n">
        <f aca="false">IFERROR(__xludf.dummyfunction("""COMPUTED_VALUE"""),46022.6666666667)</f>
        <v>46022.6666666667</v>
      </c>
      <c r="B1256" s="2" t="n">
        <f aca="false">IFERROR(__xludf.dummyfunction("""COMPUTED_VALUE"""),312.85)</f>
        <v>312.85</v>
      </c>
      <c r="C1256" s="2" t="n">
        <f aca="false">IFERROR(__xludf.dummyfunction("""COMPUTED_VALUE"""),314.58)</f>
        <v>314.58</v>
      </c>
      <c r="D1256" s="2" t="n">
        <f aca="false">IFERROR(__xludf.dummyfunction("""COMPUTED_VALUE"""),311.44)</f>
        <v>311.44</v>
      </c>
      <c r="E1256" s="2" t="n">
        <f aca="false">IFERROR(__xludf.dummyfunction("""COMPUTED_VALUE"""),313)</f>
        <v>313</v>
      </c>
      <c r="F1256" s="2" t="n">
        <f aca="false">IFERROR(__xludf.dummyfunction("""COMPUTED_VALUE"""),16377689)</f>
        <v>16377689</v>
      </c>
    </row>
    <row r="1257" customFormat="false" ht="15.75" hidden="false" customHeight="false" outlineLevel="0" collapsed="false">
      <c r="A1257" s="3" t="n">
        <f aca="false">IFERROR(__xludf.dummyfunction("""COMPUTED_VALUE"""),46024.6666666667)</f>
        <v>46024.6666666667</v>
      </c>
      <c r="B1257" s="2" t="n">
        <f aca="false">IFERROR(__xludf.dummyfunction("""COMPUTED_VALUE"""),316.9)</f>
        <v>316.9</v>
      </c>
      <c r="C1257" s="2" t="n">
        <f aca="false">IFERROR(__xludf.dummyfunction("""COMPUTED_VALUE"""),322.5)</f>
        <v>322.5</v>
      </c>
      <c r="D1257" s="2" t="n">
        <f aca="false">IFERROR(__xludf.dummyfunction("""COMPUTED_VALUE"""),310.33)</f>
        <v>310.33</v>
      </c>
      <c r="E1257" s="2" t="n">
        <f aca="false">IFERROR(__xludf.dummyfunction("""COMPUTED_VALUE"""),315.15)</f>
        <v>315.15</v>
      </c>
      <c r="F1257" s="2" t="n">
        <f aca="false">IFERROR(__xludf.dummyfunction("""COMPUTED_VALUE"""),32009385)</f>
        <v>32009385</v>
      </c>
    </row>
    <row r="1258" customFormat="false" ht="15.75" hidden="false" customHeight="false" outlineLevel="0" collapsed="false">
      <c r="A1258" s="3" t="n">
        <f aca="false">IFERROR(__xludf.dummyfunction("""COMPUTED_VALUE"""),46027.6666666667)</f>
        <v>46027.6666666667</v>
      </c>
      <c r="B1258" s="2" t="n">
        <f aca="false">IFERROR(__xludf.dummyfunction("""COMPUTED_VALUE"""),317.65)</f>
        <v>317.65</v>
      </c>
      <c r="C1258" s="2" t="n">
        <f aca="false">IFERROR(__xludf.dummyfunction("""COMPUTED_VALUE"""),319.02)</f>
        <v>319.02</v>
      </c>
      <c r="D1258" s="2" t="n">
        <f aca="false">IFERROR(__xludf.dummyfunction("""COMPUTED_VALUE"""),314.63)</f>
        <v>314.63</v>
      </c>
      <c r="E1258" s="2" t="n">
        <f aca="false">IFERROR(__xludf.dummyfunction("""COMPUTED_VALUE"""),316.54)</f>
        <v>316.54</v>
      </c>
      <c r="F1258" s="2" t="n">
        <f aca="false">IFERROR(__xludf.dummyfunction("""COMPUTED_VALUE"""),30195597)</f>
        <v>30195597</v>
      </c>
    </row>
    <row r="1259" customFormat="false" ht="15.75" hidden="false" customHeight="false" outlineLevel="0" collapsed="false">
      <c r="A1259" s="3" t="n">
        <f aca="false">IFERROR(__xludf.dummyfunction("""COMPUTED_VALUE"""),46028.6666666667)</f>
        <v>46028.6666666667</v>
      </c>
      <c r="B1259" s="2" t="n">
        <f aca="false">IFERROR(__xludf.dummyfunction("""COMPUTED_VALUE"""),316.4)</f>
        <v>316.4</v>
      </c>
      <c r="C1259" s="2" t="n">
        <f aca="false">IFERROR(__xludf.dummyfunction("""COMPUTED_VALUE"""),320.94)</f>
        <v>320.94</v>
      </c>
      <c r="D1259" s="2" t="n">
        <f aca="false">IFERROR(__xludf.dummyfunction("""COMPUTED_VALUE"""),311.78)</f>
        <v>311.78</v>
      </c>
      <c r="E1259" s="2" t="n">
        <f aca="false">IFERROR(__xludf.dummyfunction("""COMPUTED_VALUE"""),314.34)</f>
        <v>314.34</v>
      </c>
      <c r="F1259" s="2" t="n">
        <f aca="false">IFERROR(__xludf.dummyfunction("""COMPUTED_VALUE"""),31212101)</f>
        <v>31212101</v>
      </c>
    </row>
    <row r="1260" customFormat="false" ht="15.75" hidden="false" customHeight="false" outlineLevel="0" collapsed="false">
      <c r="A1260" s="3" t="n">
        <f aca="false">IFERROR(__xludf.dummyfunction("""COMPUTED_VALUE"""),46029.6666666667)</f>
        <v>46029.6666666667</v>
      </c>
      <c r="B1260" s="2" t="n">
        <f aca="false">IFERROR(__xludf.dummyfunction("""COMPUTED_VALUE"""),314.36)</f>
        <v>314.36</v>
      </c>
      <c r="C1260" s="2" t="n">
        <f aca="false">IFERROR(__xludf.dummyfunction("""COMPUTED_VALUE"""),326.15)</f>
        <v>326.15</v>
      </c>
      <c r="D1260" s="2" t="n">
        <f aca="false">IFERROR(__xludf.dummyfunction("""COMPUTED_VALUE"""),314.19)</f>
        <v>314.19</v>
      </c>
      <c r="E1260" s="2" t="n">
        <f aca="false">IFERROR(__xludf.dummyfunction("""COMPUTED_VALUE"""),321.98)</f>
        <v>321.98</v>
      </c>
      <c r="F1260" s="2" t="n">
        <f aca="false">IFERROR(__xludf.dummyfunction("""COMPUTED_VALUE"""),35104425)</f>
        <v>35104425</v>
      </c>
    </row>
    <row r="1261" customFormat="false" ht="15.75" hidden="false" customHeight="false" outlineLevel="0" collapsed="false">
      <c r="A1261" s="3" t="n">
        <f aca="false">IFERROR(__xludf.dummyfunction("""COMPUTED_VALUE"""),46030.6666666667)</f>
        <v>46030.6666666667</v>
      </c>
      <c r="B1261" s="2" t="n">
        <f aca="false">IFERROR(__xludf.dummyfunction("""COMPUTED_VALUE"""),328.97)</f>
        <v>328.97</v>
      </c>
      <c r="C1261" s="2" t="n">
        <f aca="false">IFERROR(__xludf.dummyfunction("""COMPUTED_VALUE"""),330.32)</f>
        <v>330.32</v>
      </c>
      <c r="D1261" s="2" t="n">
        <f aca="false">IFERROR(__xludf.dummyfunction("""COMPUTED_VALUE"""),321.5)</f>
        <v>321.5</v>
      </c>
      <c r="E1261" s="2" t="n">
        <f aca="false">IFERROR(__xludf.dummyfunction("""COMPUTED_VALUE"""),325.44)</f>
        <v>325.44</v>
      </c>
      <c r="F1261" s="2" t="n">
        <f aca="false">IFERROR(__xludf.dummyfunction("""COMPUTED_VALUE"""),31896101)</f>
        <v>31896101</v>
      </c>
    </row>
    <row r="1262" customFormat="false" ht="15.75" hidden="false" customHeight="false" outlineLevel="0" collapsed="false">
      <c r="A1262" s="3" t="n">
        <f aca="false">IFERROR(__xludf.dummyfunction("""COMPUTED_VALUE"""),46031.6666666667)</f>
        <v>46031.6666666667</v>
      </c>
      <c r="B1262" s="2" t="n">
        <f aca="false">IFERROR(__xludf.dummyfunction("""COMPUTED_VALUE"""),327.09)</f>
        <v>327.09</v>
      </c>
      <c r="C1262" s="2" t="n">
        <f aca="false">IFERROR(__xludf.dummyfunction("""COMPUTED_VALUE"""),330.83)</f>
        <v>330.83</v>
      </c>
      <c r="D1262" s="2" t="n">
        <f aca="false">IFERROR(__xludf.dummyfunction("""COMPUTED_VALUE"""),325.8)</f>
        <v>325.8</v>
      </c>
      <c r="E1262" s="2" t="n">
        <f aca="false">IFERROR(__xludf.dummyfunction("""COMPUTED_VALUE"""),328.57)</f>
        <v>328.57</v>
      </c>
      <c r="F1262" s="2" t="n">
        <f aca="false">IFERROR(__xludf.dummyfunction("""COMPUTED_VALUE"""),26214166)</f>
        <v>26214166</v>
      </c>
    </row>
    <row r="1263" customFormat="false" ht="15.75" hidden="false" customHeight="false" outlineLevel="0" collapsed="false">
      <c r="A1263" s="3" t="n">
        <f aca="false">IFERROR(__xludf.dummyfunction("""COMPUTED_VALUE"""),46034.6666666667)</f>
        <v>46034.6666666667</v>
      </c>
      <c r="B1263" s="2" t="n">
        <f aca="false">IFERROR(__xludf.dummyfunction("""COMPUTED_VALUE"""),325.8)</f>
        <v>325.8</v>
      </c>
      <c r="C1263" s="2" t="n">
        <f aca="false">IFERROR(__xludf.dummyfunction("""COMPUTED_VALUE"""),334.04)</f>
        <v>334.04</v>
      </c>
      <c r="D1263" s="2" t="n">
        <f aca="false">IFERROR(__xludf.dummyfunction("""COMPUTED_VALUE"""),325)</f>
        <v>325</v>
      </c>
      <c r="E1263" s="2" t="n">
        <f aca="false">IFERROR(__xludf.dummyfunction("""COMPUTED_VALUE"""),331.86)</f>
        <v>331.86</v>
      </c>
      <c r="F1263" s="2" t="n">
        <f aca="false">IFERROR(__xludf.dummyfunction("""COMPUTED_VALUE"""),33923928)</f>
        <v>33923928</v>
      </c>
    </row>
    <row r="1264" customFormat="false" ht="15.75" hidden="false" customHeight="false" outlineLevel="0" collapsed="false">
      <c r="A1264" s="3" t="n">
        <f aca="false">IFERROR(__xludf.dummyfunction("""COMPUTED_VALUE"""),46035.6666666667)</f>
        <v>46035.6666666667</v>
      </c>
      <c r="B1264" s="2" t="n">
        <f aca="false">IFERROR(__xludf.dummyfunction("""COMPUTED_VALUE"""),334.95)</f>
        <v>334.95</v>
      </c>
      <c r="C1264" s="2" t="n">
        <f aca="false">IFERROR(__xludf.dummyfunction("""COMPUTED_VALUE"""),340.49)</f>
        <v>340.49</v>
      </c>
      <c r="D1264" s="2" t="n">
        <f aca="false">IFERROR(__xludf.dummyfunction("""COMPUTED_VALUE"""),333.62)</f>
        <v>333.62</v>
      </c>
      <c r="E1264" s="2" t="n">
        <f aca="false">IFERROR(__xludf.dummyfunction("""COMPUTED_VALUE"""),335.97)</f>
        <v>335.97</v>
      </c>
      <c r="F1264" s="2" t="n">
        <f aca="false">IFERROR(__xludf.dummyfunction("""COMPUTED_VALUE"""),33517607)</f>
        <v>33517607</v>
      </c>
    </row>
    <row r="1265" customFormat="false" ht="15.75" hidden="false" customHeight="false" outlineLevel="0" collapsed="false">
      <c r="A1265" s="3" t="n">
        <f aca="false">IFERROR(__xludf.dummyfunction("""COMPUTED_VALUE"""),46036.6666666667)</f>
        <v>46036.6666666667</v>
      </c>
      <c r="B1265" s="2" t="n">
        <f aca="false">IFERROR(__xludf.dummyfunction("""COMPUTED_VALUE"""),335.06)</f>
        <v>335.06</v>
      </c>
      <c r="C1265" s="2" t="n">
        <f aca="false">IFERROR(__xludf.dummyfunction("""COMPUTED_VALUE"""),336.52)</f>
        <v>336.52</v>
      </c>
      <c r="D1265" s="2" t="n">
        <f aca="false">IFERROR(__xludf.dummyfunction("""COMPUTED_VALUE"""),330.48)</f>
        <v>330.48</v>
      </c>
      <c r="E1265" s="2" t="n">
        <f aca="false">IFERROR(__xludf.dummyfunction("""COMPUTED_VALUE"""),335.84)</f>
        <v>335.84</v>
      </c>
      <c r="F1265" s="2" t="n">
        <f aca="false">IFERROR(__xludf.dummyfunction("""COMPUTED_VALUE"""),28525571)</f>
        <v>28525571</v>
      </c>
    </row>
    <row r="1266" customFormat="false" ht="15.75" hidden="false" customHeight="false" outlineLevel="0" collapsed="false">
      <c r="A1266" s="3" t="n">
        <f aca="false">IFERROR(__xludf.dummyfunction("""COMPUTED_VALUE"""),46037.6666666667)</f>
        <v>46037.6666666667</v>
      </c>
      <c r="B1266" s="2" t="n">
        <f aca="false">IFERROR(__xludf.dummyfunction("""COMPUTED_VALUE"""),337.65)</f>
        <v>337.65</v>
      </c>
      <c r="C1266" s="2" t="n">
        <f aca="false">IFERROR(__xludf.dummyfunction("""COMPUTED_VALUE"""),337.69)</f>
        <v>337.69</v>
      </c>
      <c r="D1266" s="2" t="n">
        <f aca="false">IFERROR(__xludf.dummyfunction("""COMPUTED_VALUE"""),330.74)</f>
        <v>330.74</v>
      </c>
      <c r="E1266" s="2" t="n">
        <f aca="false">IFERROR(__xludf.dummyfunction("""COMPUTED_VALUE"""),332.78)</f>
        <v>332.78</v>
      </c>
      <c r="F1266" s="2" t="n">
        <f aca="false">IFERROR(__xludf.dummyfunction("""COMPUTED_VALUE"""),28442406)</f>
        <v>28442406</v>
      </c>
    </row>
    <row r="1267" customFormat="false" ht="15.75" hidden="false" customHeight="false" outlineLevel="0" collapsed="false">
      <c r="A1267" s="3" t="n">
        <f aca="false">IFERROR(__xludf.dummyfunction("""COMPUTED_VALUE"""),46038.6666666667)</f>
        <v>46038.6666666667</v>
      </c>
      <c r="B1267" s="2" t="n">
        <f aca="false">IFERROR(__xludf.dummyfunction("""COMPUTED_VALUE"""),334.41)</f>
        <v>334.41</v>
      </c>
      <c r="C1267" s="2" t="n">
        <f aca="false">IFERROR(__xludf.dummyfunction("""COMPUTED_VALUE"""),334.65)</f>
        <v>334.65</v>
      </c>
      <c r="D1267" s="2" t="n">
        <f aca="false">IFERROR(__xludf.dummyfunction("""COMPUTED_VALUE"""),327.7)</f>
        <v>327.7</v>
      </c>
      <c r="E1267" s="2" t="n">
        <f aca="false">IFERROR(__xludf.dummyfunction("""COMPUTED_VALUE"""),330)</f>
        <v>330</v>
      </c>
      <c r="F1267" s="2" t="n">
        <f aca="false">IFERROR(__xludf.dummyfunction("""COMPUTED_VALUE"""),40341637)</f>
        <v>40341637</v>
      </c>
    </row>
    <row r="1268" customFormat="false" ht="15.75" hidden="false" customHeight="false" outlineLevel="0" collapsed="false">
      <c r="A1268" s="3" t="n">
        <f aca="false">IFERROR(__xludf.dummyfunction("""COMPUTED_VALUE"""),46042.6666666667)</f>
        <v>46042.6666666667</v>
      </c>
      <c r="B1268" s="2" t="n">
        <f aca="false">IFERROR(__xludf.dummyfunction("""COMPUTED_VALUE"""),320.87)</f>
        <v>320.87</v>
      </c>
      <c r="C1268" s="2" t="n">
        <f aca="false">IFERROR(__xludf.dummyfunction("""COMPUTED_VALUE"""),327.73)</f>
        <v>327.73</v>
      </c>
      <c r="D1268" s="2" t="n">
        <f aca="false">IFERROR(__xludf.dummyfunction("""COMPUTED_VALUE"""),320.43)</f>
        <v>320.43</v>
      </c>
      <c r="E1268" s="2" t="n">
        <f aca="false">IFERROR(__xludf.dummyfunction("""COMPUTED_VALUE"""),322)</f>
        <v>322</v>
      </c>
      <c r="F1268" s="2" t="n">
        <f aca="false">IFERROR(__xludf.dummyfunction("""COMPUTED_VALUE"""),35361045)</f>
        <v>35361045</v>
      </c>
    </row>
    <row r="1269" customFormat="false" ht="15.75" hidden="false" customHeight="false" outlineLevel="0" collapsed="false">
      <c r="A1269" s="3" t="n">
        <f aca="false">IFERROR(__xludf.dummyfunction("""COMPUTED_VALUE"""),46043.6666666667)</f>
        <v>46043.6666666667</v>
      </c>
      <c r="B1269" s="2" t="n">
        <f aca="false">IFERROR(__xludf.dummyfunction("""COMPUTED_VALUE"""),320.92)</f>
        <v>320.92</v>
      </c>
      <c r="C1269" s="2" t="n">
        <f aca="false">IFERROR(__xludf.dummyfunction("""COMPUTED_VALUE"""),332.48)</f>
        <v>332.48</v>
      </c>
      <c r="D1269" s="2" t="n">
        <f aca="false">IFERROR(__xludf.dummyfunction("""COMPUTED_VALUE"""),319.35)</f>
        <v>319.35</v>
      </c>
      <c r="E1269" s="2" t="n">
        <f aca="false">IFERROR(__xludf.dummyfunction("""COMPUTED_VALUE"""),328.38)</f>
        <v>328.38</v>
      </c>
      <c r="F1269" s="2" t="n">
        <f aca="false">IFERROR(__xludf.dummyfunction("""COMPUTED_VALUE"""),35386603)</f>
        <v>35386603</v>
      </c>
    </row>
    <row r="1270" customFormat="false" ht="15.75" hidden="false" customHeight="false" outlineLevel="0" collapsed="false">
      <c r="A1270" s="3" t="n">
        <f aca="false">IFERROR(__xludf.dummyfunction("""COMPUTED_VALUE"""),46044.6666666667)</f>
        <v>46044.6666666667</v>
      </c>
      <c r="B1270" s="2" t="n">
        <f aca="false">IFERROR(__xludf.dummyfunction("""COMPUTED_VALUE"""),334.45)</f>
        <v>334.45</v>
      </c>
      <c r="C1270" s="2" t="n">
        <f aca="false">IFERROR(__xludf.dummyfunction("""COMPUTED_VALUE"""),335.15)</f>
        <v>335.15</v>
      </c>
      <c r="D1270" s="2" t="n">
        <f aca="false">IFERROR(__xludf.dummyfunction("""COMPUTED_VALUE"""),328.75)</f>
        <v>328.75</v>
      </c>
      <c r="E1270" s="2" t="n">
        <f aca="false">IFERROR(__xludf.dummyfunction("""COMPUTED_VALUE"""),330.54)</f>
        <v>330.54</v>
      </c>
      <c r="F1270" s="2" t="n">
        <f aca="false">IFERROR(__xludf.dummyfunction("""COMPUTED_VALUE"""),26253640)</f>
        <v>26253640</v>
      </c>
    </row>
    <row r="1271" customFormat="false" ht="15.75" hidden="false" customHeight="false" outlineLevel="0" collapsed="false">
      <c r="A1271" s="3" t="n">
        <f aca="false">IFERROR(__xludf.dummyfunction("""COMPUTED_VALUE"""),46045.6666666667)</f>
        <v>46045.6666666667</v>
      </c>
      <c r="B1271" s="2" t="n">
        <f aca="false">IFERROR(__xludf.dummyfunction("""COMPUTED_VALUE"""),332.49)</f>
        <v>332.49</v>
      </c>
      <c r="C1271" s="2" t="n">
        <f aca="false">IFERROR(__xludf.dummyfunction("""COMPUTED_VALUE"""),333.69)</f>
        <v>333.69</v>
      </c>
      <c r="D1271" s="2" t="n">
        <f aca="false">IFERROR(__xludf.dummyfunction("""COMPUTED_VALUE"""),327.45)</f>
        <v>327.45</v>
      </c>
      <c r="E1271" s="2" t="n">
        <f aca="false">IFERROR(__xludf.dummyfunction("""COMPUTED_VALUE"""),327.93)</f>
        <v>327.93</v>
      </c>
      <c r="F1271" s="2" t="n">
        <f aca="false">IFERROR(__xludf.dummyfunction("""COMPUTED_VALUE"""),27279974)</f>
        <v>27279974</v>
      </c>
    </row>
    <row r="1272" customFormat="false" ht="15.75" hidden="false" customHeight="false" outlineLevel="0" collapsed="false">
      <c r="A1272" s="3" t="n">
        <f aca="false">IFERROR(__xludf.dummyfunction("""COMPUTED_VALUE"""),46048.6666666667)</f>
        <v>46048.6666666667</v>
      </c>
      <c r="B1272" s="2" t="n">
        <f aca="false">IFERROR(__xludf.dummyfunction("""COMPUTED_VALUE"""),327.81)</f>
        <v>327.81</v>
      </c>
      <c r="C1272" s="2" t="n">
        <f aca="false">IFERROR(__xludf.dummyfunction("""COMPUTED_VALUE"""),335.84)</f>
        <v>335.84</v>
      </c>
      <c r="D1272" s="2" t="n">
        <f aca="false">IFERROR(__xludf.dummyfunction("""COMPUTED_VALUE"""),327)</f>
        <v>327</v>
      </c>
      <c r="E1272" s="2" t="n">
        <f aca="false">IFERROR(__xludf.dummyfunction("""COMPUTED_VALUE"""),333.26)</f>
        <v>333.26</v>
      </c>
      <c r="F1272" s="2" t="n">
        <f aca="false">IFERROR(__xludf.dummyfunction("""COMPUTED_VALUE"""),26042120)</f>
        <v>26042120</v>
      </c>
    </row>
    <row r="1273" customFormat="false" ht="15.75" hidden="false" customHeight="false" outlineLevel="0" collapsed="false">
      <c r="A1273" s="3" t="n">
        <f aca="false">IFERROR(__xludf.dummyfunction("""COMPUTED_VALUE"""),46049.6666666667)</f>
        <v>46049.6666666667</v>
      </c>
      <c r="B1273" s="2" t="n">
        <f aca="false">IFERROR(__xludf.dummyfunction("""COMPUTED_VALUE"""),335.37)</f>
        <v>335.37</v>
      </c>
      <c r="C1273" s="2" t="n">
        <f aca="false">IFERROR(__xludf.dummyfunction("""COMPUTED_VALUE"""),337.91)</f>
        <v>337.91</v>
      </c>
      <c r="D1273" s="2" t="n">
        <f aca="false">IFERROR(__xludf.dummyfunction("""COMPUTED_VALUE"""),333.48)</f>
        <v>333.48</v>
      </c>
      <c r="E1273" s="2" t="n">
        <f aca="false">IFERROR(__xludf.dummyfunction("""COMPUTED_VALUE"""),334.55)</f>
        <v>334.55</v>
      </c>
      <c r="F1273" s="2" t="n">
        <f aca="false">IFERROR(__xludf.dummyfunction("""COMPUTED_VALUE"""),21636164)</f>
        <v>21636164</v>
      </c>
    </row>
    <row r="1274" customFormat="false" ht="15.75" hidden="false" customHeight="false" outlineLevel="0" collapsed="false">
      <c r="A1274" s="3" t="n">
        <f aca="false">IFERROR(__xludf.dummyfunction("""COMPUTED_VALUE"""),46050.6666666667)</f>
        <v>46050.6666666667</v>
      </c>
      <c r="B1274" s="2" t="n">
        <f aca="false">IFERROR(__xludf.dummyfunction("""COMPUTED_VALUE"""),336.06)</f>
        <v>336.06</v>
      </c>
      <c r="C1274" s="2" t="n">
        <f aca="false">IFERROR(__xludf.dummyfunction("""COMPUTED_VALUE"""),337.54)</f>
        <v>337.54</v>
      </c>
      <c r="D1274" s="2" t="n">
        <f aca="false">IFERROR(__xludf.dummyfunction("""COMPUTED_VALUE"""),331.94)</f>
        <v>331.94</v>
      </c>
      <c r="E1274" s="2" t="n">
        <f aca="false">IFERROR(__xludf.dummyfunction("""COMPUTED_VALUE"""),336.01)</f>
        <v>336.01</v>
      </c>
      <c r="F1274" s="2" t="n">
        <f aca="false">IFERROR(__xludf.dummyfunction("""COMPUTED_VALUE"""),27434434)</f>
        <v>27434434</v>
      </c>
    </row>
    <row r="1275" customFormat="false" ht="15.75" hidden="false" customHeight="false" outlineLevel="0" collapsed="false">
      <c r="A1275" s="3" t="n">
        <f aca="false">IFERROR(__xludf.dummyfunction("""COMPUTED_VALUE"""),46051.6666666667)</f>
        <v>46051.6666666667</v>
      </c>
      <c r="B1275" s="2" t="n">
        <f aca="false">IFERROR(__xludf.dummyfunction("""COMPUTED_VALUE"""),340.3)</f>
        <v>340.3</v>
      </c>
      <c r="C1275" s="2" t="n">
        <f aca="false">IFERROR(__xludf.dummyfunction("""COMPUTED_VALUE"""),342.29)</f>
        <v>342.29</v>
      </c>
      <c r="D1275" s="2" t="n">
        <f aca="false">IFERROR(__xludf.dummyfunction("""COMPUTED_VALUE"""),326.54)</f>
        <v>326.54</v>
      </c>
      <c r="E1275" s="2" t="n">
        <f aca="false">IFERROR(__xludf.dummyfunction("""COMPUTED_VALUE"""),338.25)</f>
        <v>338.25</v>
      </c>
      <c r="F1275" s="2" t="n">
        <f aca="false">IFERROR(__xludf.dummyfunction("""COMPUTED_VALUE"""),39785612)</f>
        <v>39785612</v>
      </c>
    </row>
    <row r="1276" customFormat="false" ht="15.75" hidden="false" customHeight="false" outlineLevel="0" collapsed="false">
      <c r="A1276" s="3" t="n">
        <f aca="false">IFERROR(__xludf.dummyfunction("""COMPUTED_VALUE"""),46052.6666666667)</f>
        <v>46052.6666666667</v>
      </c>
      <c r="B1276" s="2" t="n">
        <f aca="false">IFERROR(__xludf.dummyfunction("""COMPUTED_VALUE"""),340)</f>
        <v>340</v>
      </c>
      <c r="C1276" s="2" t="n">
        <f aca="false">IFERROR(__xludf.dummyfunction("""COMPUTED_VALUE"""),340)</f>
        <v>340</v>
      </c>
      <c r="D1276" s="2" t="n">
        <f aca="false">IFERROR(__xludf.dummyfunction("""COMPUTED_VALUE"""),332.29)</f>
        <v>332.29</v>
      </c>
      <c r="E1276" s="2" t="n">
        <f aca="false">IFERROR(__xludf.dummyfunction("""COMPUTED_VALUE"""),338)</f>
        <v>338</v>
      </c>
      <c r="F1276" s="2" t="n">
        <f aca="false">IFERROR(__xludf.dummyfunction("""COMPUTED_VALUE"""),31023954)</f>
        <v>31023954</v>
      </c>
    </row>
    <row r="1277" customFormat="false" ht="15.75" hidden="false" customHeight="false" outlineLevel="0" collapsed="false">
      <c r="A1277" s="3" t="n">
        <f aca="false">IFERROR(__xludf.dummyfunction("""COMPUTED_VALUE"""),46055.6666666667)</f>
        <v>46055.6666666667</v>
      </c>
      <c r="B1277" s="2" t="n">
        <f aca="false">IFERROR(__xludf.dummyfunction("""COMPUTED_VALUE"""),336.22)</f>
        <v>336.22</v>
      </c>
      <c r="C1277" s="2" t="n">
        <f aca="false">IFERROR(__xludf.dummyfunction("""COMPUTED_VALUE"""),344.83)</f>
        <v>344.83</v>
      </c>
      <c r="D1277" s="2" t="n">
        <f aca="false">IFERROR(__xludf.dummyfunction("""COMPUTED_VALUE"""),335.63)</f>
        <v>335.63</v>
      </c>
      <c r="E1277" s="2" t="n">
        <f aca="false">IFERROR(__xludf.dummyfunction("""COMPUTED_VALUE"""),343.69)</f>
        <v>343.69</v>
      </c>
      <c r="F1277" s="2" t="n">
        <f aca="false">IFERROR(__xludf.dummyfunction("""COMPUTED_VALUE"""),32006052)</f>
        <v>32006052</v>
      </c>
    </row>
    <row r="1278" customFormat="false" ht="15.75" hidden="false" customHeight="false" outlineLevel="0" collapsed="false">
      <c r="A1278" s="3" t="n">
        <f aca="false">IFERROR(__xludf.dummyfunction("""COMPUTED_VALUE"""),46056.6666666667)</f>
        <v>46056.6666666667</v>
      </c>
      <c r="B1278" s="2" t="n">
        <f aca="false">IFERROR(__xludf.dummyfunction("""COMPUTED_VALUE"""),347.34)</f>
        <v>347.34</v>
      </c>
      <c r="C1278" s="2" t="n">
        <f aca="false">IFERROR(__xludf.dummyfunction("""COMPUTED_VALUE"""),349)</f>
        <v>349</v>
      </c>
      <c r="D1278" s="2" t="n">
        <f aca="false">IFERROR(__xludf.dummyfunction("""COMPUTED_VALUE"""),337.47)</f>
        <v>337.47</v>
      </c>
      <c r="E1278" s="2" t="n">
        <f aca="false">IFERROR(__xludf.dummyfunction("""COMPUTED_VALUE"""),339.71)</f>
        <v>339.71</v>
      </c>
      <c r="F1278" s="2" t="n">
        <f aca="false">IFERROR(__xludf.dummyfunction("""COMPUTED_VALUE"""),36506709)</f>
        <v>36506709</v>
      </c>
    </row>
    <row r="1279" customFormat="false" ht="15.75" hidden="false" customHeight="false" outlineLevel="0" collapsed="false">
      <c r="A1279" s="3" t="n">
        <f aca="false">IFERROR(__xludf.dummyfunction("""COMPUTED_VALUE"""),46057.6666666667)</f>
        <v>46057.6666666667</v>
      </c>
      <c r="B1279" s="2" t="n">
        <f aca="false">IFERROR(__xludf.dummyfunction("""COMPUTED_VALUE"""),342.96)</f>
        <v>342.96</v>
      </c>
      <c r="C1279" s="2" t="n">
        <f aca="false">IFERROR(__xludf.dummyfunction("""COMPUTED_VALUE"""),343.31)</f>
        <v>343.31</v>
      </c>
      <c r="D1279" s="2" t="n">
        <f aca="false">IFERROR(__xludf.dummyfunction("""COMPUTED_VALUE"""),328.52)</f>
        <v>328.52</v>
      </c>
      <c r="E1279" s="2" t="n">
        <f aca="false">IFERROR(__xludf.dummyfunction("""COMPUTED_VALUE"""),333.04)</f>
        <v>333.04</v>
      </c>
      <c r="F1279" s="2" t="n">
        <f aca="false">IFERROR(__xludf.dummyfunction("""COMPUTED_VALUE"""),70618398)</f>
        <v>70618398</v>
      </c>
    </row>
    <row r="1280" customFormat="false" ht="15.75" hidden="false" customHeight="false" outlineLevel="0" collapsed="false">
      <c r="A1280" s="3" t="n">
        <f aca="false">IFERROR(__xludf.dummyfunction("""COMPUTED_VALUE"""),46058.6666666667)</f>
        <v>46058.6666666667</v>
      </c>
      <c r="B1280" s="2" t="n">
        <f aca="false">IFERROR(__xludf.dummyfunction("""COMPUTED_VALUE"""),312.22)</f>
        <v>312.22</v>
      </c>
      <c r="C1280" s="2" t="n">
        <f aca="false">IFERROR(__xludf.dummyfunction("""COMPUTED_VALUE"""),332.69)</f>
        <v>332.69</v>
      </c>
      <c r="D1280" s="2" t="n">
        <f aca="false">IFERROR(__xludf.dummyfunction("""COMPUTED_VALUE"""),306.46)</f>
        <v>306.46</v>
      </c>
      <c r="E1280" s="2" t="n">
        <f aca="false">IFERROR(__xludf.dummyfunction("""COMPUTED_VALUE"""),331.25)</f>
        <v>331.25</v>
      </c>
      <c r="F1280" s="2" t="n">
        <f aca="false">IFERROR(__xludf.dummyfunction("""COMPUTED_VALUE"""),88205849)</f>
        <v>88205849</v>
      </c>
    </row>
    <row r="1281" customFormat="false" ht="15.75" hidden="false" customHeight="false" outlineLevel="0" collapsed="false">
      <c r="A1281" s="3" t="n">
        <f aca="false">IFERROR(__xludf.dummyfunction("""COMPUTED_VALUE"""),46059.6666666667)</f>
        <v>46059.6666666667</v>
      </c>
      <c r="B1281" s="2" t="n">
        <f aca="false">IFERROR(__xludf.dummyfunction("""COMPUTED_VALUE"""),327.18)</f>
        <v>327.18</v>
      </c>
      <c r="C1281" s="2" t="n">
        <f aca="false">IFERROR(__xludf.dummyfunction("""COMPUTED_VALUE"""),330.38)</f>
        <v>330.38</v>
      </c>
      <c r="D1281" s="2" t="n">
        <f aca="false">IFERROR(__xludf.dummyfunction("""COMPUTED_VALUE"""),319.92)</f>
        <v>319.92</v>
      </c>
      <c r="E1281" s="2" t="n">
        <f aca="false">IFERROR(__xludf.dummyfunction("""COMPUTED_VALUE"""),322.86)</f>
        <v>322.86</v>
      </c>
      <c r="F1281" s="2" t="n">
        <f aca="false">IFERROR(__xludf.dummyfunction("""COMPUTED_VALUE"""),56380484)</f>
        <v>56380484</v>
      </c>
    </row>
    <row r="1282" customFormat="false" ht="15.75" hidden="false" customHeight="false" outlineLevel="0" collapsed="false">
      <c r="A1282" s="3" t="n">
        <f aca="false">IFERROR(__xludf.dummyfunction("""COMPUTED_VALUE"""),46062.6666666667)</f>
        <v>46062.6666666667</v>
      </c>
      <c r="B1282" s="2" t="n">
        <f aca="false">IFERROR(__xludf.dummyfunction("""COMPUTED_VALUE"""),320.93)</f>
        <v>320.93</v>
      </c>
      <c r="C1282" s="2" t="n">
        <f aca="false">IFERROR(__xludf.dummyfunction("""COMPUTED_VALUE"""),327.7)</f>
        <v>327.7</v>
      </c>
      <c r="D1282" s="2" t="n">
        <f aca="false">IFERROR(__xludf.dummyfunction("""COMPUTED_VALUE"""),317.26)</f>
        <v>317.26</v>
      </c>
      <c r="E1282" s="2" t="n">
        <f aca="false">IFERROR(__xludf.dummyfunction("""COMPUTED_VALUE"""),324.32)</f>
        <v>324.32</v>
      </c>
      <c r="F1282" s="2" t="n">
        <f aca="false">IFERROR(__xludf.dummyfunction("""COMPUTED_VALUE"""),39640055)</f>
        <v>39640055</v>
      </c>
    </row>
    <row r="1283" customFormat="false" ht="15.75" hidden="false" customHeight="false" outlineLevel="0" collapsed="false">
      <c r="A1283" s="3" t="n">
        <f aca="false">IFERROR(__xludf.dummyfunction("""COMPUTED_VALUE"""),46063.6666666667)</f>
        <v>46063.6666666667</v>
      </c>
      <c r="B1283" s="2" t="n">
        <f aca="false">IFERROR(__xludf.dummyfunction("""COMPUTED_VALUE"""),320.97)</f>
        <v>320.97</v>
      </c>
      <c r="C1283" s="2" t="n">
        <f aca="false">IFERROR(__xludf.dummyfunction("""COMPUTED_VALUE"""),321.67)</f>
        <v>321.67</v>
      </c>
      <c r="D1283" s="2" t="n">
        <f aca="false">IFERROR(__xludf.dummyfunction("""COMPUTED_VALUE"""),314.61)</f>
        <v>314.61</v>
      </c>
      <c r="E1283" s="2" t="n">
        <f aca="false">IFERROR(__xludf.dummyfunction("""COMPUTED_VALUE"""),318.58)</f>
        <v>318.58</v>
      </c>
      <c r="F1283" s="2" t="n">
        <f aca="false">IFERROR(__xludf.dummyfunction("""COMPUTED_VALUE"""),39170012)</f>
        <v>39170012</v>
      </c>
    </row>
    <row r="1284" customFormat="false" ht="15.75" hidden="false" customHeight="false" outlineLevel="0" collapsed="false">
      <c r="A1284" s="3" t="n">
        <f aca="false">IFERROR(__xludf.dummyfunction("""COMPUTED_VALUE"""),46064.6666666667)</f>
        <v>46064.6666666667</v>
      </c>
      <c r="B1284" s="2" t="n">
        <f aca="false">IFERROR(__xludf.dummyfunction("""COMPUTED_VALUE"""),318.97)</f>
        <v>318.97</v>
      </c>
      <c r="C1284" s="2" t="n">
        <f aca="false">IFERROR(__xludf.dummyfunction("""COMPUTED_VALUE"""),321.06)</f>
        <v>321.06</v>
      </c>
      <c r="D1284" s="2" t="n">
        <f aca="false">IFERROR(__xludf.dummyfunction("""COMPUTED_VALUE"""),309.66)</f>
        <v>309.66</v>
      </c>
      <c r="E1284" s="2" t="n">
        <f aca="false">IFERROR(__xludf.dummyfunction("""COMPUTED_VALUE"""),310.96)</f>
        <v>310.96</v>
      </c>
      <c r="F1284" s="2" t="n">
        <f aca="false">IFERROR(__xludf.dummyfunction("""COMPUTED_VALUE"""),45406405)</f>
        <v>45406405</v>
      </c>
    </row>
    <row r="1285" customFormat="false" ht="15.75" hidden="false" customHeight="false" outlineLevel="0" collapsed="false">
      <c r="A1285" s="3" t="n">
        <f aca="false">IFERROR(__xludf.dummyfunction("""COMPUTED_VALUE"""),46065.6666666667)</f>
        <v>46065.6666666667</v>
      </c>
      <c r="B1285" s="2" t="n">
        <f aca="false">IFERROR(__xludf.dummyfunction("""COMPUTED_VALUE"""),312.09)</f>
        <v>312.09</v>
      </c>
      <c r="C1285" s="2" t="n">
        <f aca="false">IFERROR(__xludf.dummyfunction("""COMPUTED_VALUE"""),316.24)</f>
        <v>316.24</v>
      </c>
      <c r="D1285" s="2" t="n">
        <f aca="false">IFERROR(__xludf.dummyfunction("""COMPUTED_VALUE"""),307.2)</f>
        <v>307.2</v>
      </c>
      <c r="E1285" s="2" t="n">
        <f aca="false">IFERROR(__xludf.dummyfunction("""COMPUTED_VALUE"""),309)</f>
        <v>309</v>
      </c>
      <c r="F1285" s="2" t="n">
        <f aca="false">IFERROR(__xludf.dummyfunction("""COMPUTED_VALUE"""),47761288)</f>
        <v>47761288</v>
      </c>
    </row>
    <row r="1286" customFormat="false" ht="15.75" hidden="false" customHeight="false" outlineLevel="0" collapsed="false">
      <c r="A1286" s="3" t="n">
        <f aca="false">IFERROR(__xludf.dummyfunction("""COMPUTED_VALUE"""),46066.6666666667)</f>
        <v>46066.6666666667</v>
      </c>
      <c r="B1286" s="2" t="n">
        <f aca="false">IFERROR(__xludf.dummyfunction("""COMPUTED_VALUE"""),307.73)</f>
        <v>307.73</v>
      </c>
      <c r="C1286" s="2" t="n">
        <f aca="false">IFERROR(__xludf.dummyfunction("""COMPUTED_VALUE"""),308.63)</f>
        <v>308.63</v>
      </c>
      <c r="D1286" s="2" t="n">
        <f aca="false">IFERROR(__xludf.dummyfunction("""COMPUTED_VALUE"""),303.71)</f>
        <v>303.71</v>
      </c>
      <c r="E1286" s="2" t="n">
        <f aca="false">IFERROR(__xludf.dummyfunction("""COMPUTED_VALUE"""),305.72)</f>
        <v>305.72</v>
      </c>
      <c r="F1286" s="2" t="n">
        <f aca="false">IFERROR(__xludf.dummyfunction("""COMPUTED_VALUE"""),38499701)</f>
        <v>38499701</v>
      </c>
    </row>
    <row r="1287" customFormat="false" ht="15.75" hidden="false" customHeight="false" outlineLevel="0" collapsed="false">
      <c r="A1287" s="3" t="n">
        <f aca="false">IFERROR(__xludf.dummyfunction("""COMPUTED_VALUE"""),46070.6666666667)</f>
        <v>46070.6666666667</v>
      </c>
      <c r="B1287" s="2" t="n">
        <f aca="false">IFERROR(__xludf.dummyfunction("""COMPUTED_VALUE"""),300.04)</f>
        <v>300.04</v>
      </c>
      <c r="C1287" s="2" t="n">
        <f aca="false">IFERROR(__xludf.dummyfunction("""COMPUTED_VALUE"""),304.44)</f>
        <v>304.44</v>
      </c>
      <c r="D1287" s="2" t="n">
        <f aca="false">IFERROR(__xludf.dummyfunction("""COMPUTED_VALUE"""),296.25)</f>
        <v>296.25</v>
      </c>
      <c r="E1287" s="2" t="n">
        <f aca="false">IFERROR(__xludf.dummyfunction("""COMPUTED_VALUE"""),302.02)</f>
        <v>302.02</v>
      </c>
      <c r="F1287" s="2" t="n">
        <f aca="false">IFERROR(__xludf.dummyfunction("""COMPUTED_VALUE"""),39247556)</f>
        <v>39247556</v>
      </c>
    </row>
    <row r="1288" customFormat="false" ht="15.75" hidden="false" customHeight="false" outlineLevel="0" collapsed="false">
      <c r="A1288" s="3" t="n">
        <f aca="false">IFERROR(__xludf.dummyfunction("""COMPUTED_VALUE"""),46071.6666666667)</f>
        <v>46071.6666666667</v>
      </c>
      <c r="B1288" s="2" t="n">
        <f aca="false">IFERROR(__xludf.dummyfunction("""COMPUTED_VALUE"""),302.09)</f>
        <v>302.09</v>
      </c>
      <c r="C1288" s="2" t="n">
        <f aca="false">IFERROR(__xludf.dummyfunction("""COMPUTED_VALUE"""),305.38)</f>
        <v>305.38</v>
      </c>
      <c r="D1288" s="2" t="n">
        <f aca="false">IFERROR(__xludf.dummyfunction("""COMPUTED_VALUE"""),301.25)</f>
        <v>301.25</v>
      </c>
      <c r="E1288" s="2" t="n">
        <f aca="false">IFERROR(__xludf.dummyfunction("""COMPUTED_VALUE"""),303.33)</f>
        <v>303.33</v>
      </c>
      <c r="F1288" s="2" t="n">
        <f aca="false">IFERROR(__xludf.dummyfunction("""COMPUTED_VALUE"""),28482075)</f>
        <v>28482075</v>
      </c>
    </row>
    <row r="1289" customFormat="false" ht="15.75" hidden="false" customHeight="false" outlineLevel="0" collapsed="false">
      <c r="A1289" s="3" t="n">
        <f aca="false">IFERROR(__xludf.dummyfunction("""COMPUTED_VALUE"""),46072.6666666667)</f>
        <v>46072.6666666667</v>
      </c>
      <c r="B1289" s="2" t="n">
        <f aca="false">IFERROR(__xludf.dummyfunction("""COMPUTED_VALUE"""),301.82)</f>
        <v>301.82</v>
      </c>
      <c r="C1289" s="2" t="n">
        <f aca="false">IFERROR(__xludf.dummyfunction("""COMPUTED_VALUE"""),305.47)</f>
        <v>305.47</v>
      </c>
      <c r="D1289" s="2" t="n">
        <f aca="false">IFERROR(__xludf.dummyfunction("""COMPUTED_VALUE"""),300.04)</f>
        <v>300.04</v>
      </c>
      <c r="E1289" s="2" t="n">
        <f aca="false">IFERROR(__xludf.dummyfunction("""COMPUTED_VALUE"""),302.85)</f>
        <v>302.85</v>
      </c>
      <c r="F1289" s="2" t="n">
        <f aca="false">IFERROR(__xludf.dummyfunction("""COMPUTED_VALUE"""),25834395)</f>
        <v>25834395</v>
      </c>
    </row>
    <row r="1290" customFormat="false" ht="15.75" hidden="false" customHeight="false" outlineLevel="0" collapsed="false">
      <c r="A1290" s="3" t="n">
        <f aca="false">IFERROR(__xludf.dummyfunction("""COMPUTED_VALUE"""),46073.6666666667)</f>
        <v>46073.6666666667</v>
      </c>
      <c r="B1290" s="2" t="n">
        <f aca="false">IFERROR(__xludf.dummyfunction("""COMPUTED_VALUE"""),304.32)</f>
        <v>304.32</v>
      </c>
      <c r="C1290" s="2" t="n">
        <f aca="false">IFERROR(__xludf.dummyfunction("""COMPUTED_VALUE"""),316.5)</f>
        <v>316.5</v>
      </c>
      <c r="D1290" s="2" t="n">
        <f aca="false">IFERROR(__xludf.dummyfunction("""COMPUTED_VALUE"""),303.9)</f>
        <v>303.9</v>
      </c>
      <c r="E1290" s="2" t="n">
        <f aca="false">IFERROR(__xludf.dummyfunction("""COMPUTED_VALUE"""),314.98)</f>
        <v>314.98</v>
      </c>
      <c r="F1290" s="2" t="n">
        <f aca="false">IFERROR(__xludf.dummyfunction("""COMPUTED_VALUE"""),53210820)</f>
        <v>53210820</v>
      </c>
    </row>
    <row r="1291" customFormat="false" ht="15.75" hidden="false" customHeight="false" outlineLevel="0" collapsed="false">
      <c r="A1291" s="3" t="n">
        <f aca="false">IFERROR(__xludf.dummyfunction("""COMPUTED_VALUE"""),46076.6666666667)</f>
        <v>46076.6666666667</v>
      </c>
      <c r="B1291" s="2" t="n">
        <f aca="false">IFERROR(__xludf.dummyfunction("""COMPUTED_VALUE"""),319.05)</f>
        <v>319.05</v>
      </c>
      <c r="C1291" s="2" t="n">
        <f aca="false">IFERROR(__xludf.dummyfunction("""COMPUTED_VALUE"""),319.52)</f>
        <v>319.52</v>
      </c>
      <c r="D1291" s="2" t="n">
        <f aca="false">IFERROR(__xludf.dummyfunction("""COMPUTED_VALUE"""),309.87)</f>
        <v>309.87</v>
      </c>
      <c r="E1291" s="2" t="n">
        <f aca="false">IFERROR(__xludf.dummyfunction("""COMPUTED_VALUE"""),311.49)</f>
        <v>311.49</v>
      </c>
      <c r="F1291" s="2" t="n">
        <f aca="false">IFERROR(__xludf.dummyfunction("""COMPUTED_VALUE"""),31320794)</f>
        <v>31320794</v>
      </c>
    </row>
    <row r="1292" customFormat="false" ht="15.75" hidden="false" customHeight="false" outlineLevel="0" collapsed="false">
      <c r="A1292" s="3" t="n">
        <f aca="false">IFERROR(__xludf.dummyfunction("""COMPUTED_VALUE"""),46077.6666666667)</f>
        <v>46077.6666666667</v>
      </c>
      <c r="B1292" s="2" t="n">
        <f aca="false">IFERROR(__xludf.dummyfunction("""COMPUTED_VALUE"""),310.52)</f>
        <v>310.52</v>
      </c>
      <c r="C1292" s="2" t="n">
        <f aca="false">IFERROR(__xludf.dummyfunction("""COMPUTED_VALUE"""),312.27)</f>
        <v>312.27</v>
      </c>
      <c r="D1292" s="2" t="n">
        <f aca="false">IFERROR(__xludf.dummyfunction("""COMPUTED_VALUE"""),305.93)</f>
        <v>305.93</v>
      </c>
      <c r="E1292" s="2" t="n">
        <f aca="false">IFERROR(__xludf.dummyfunction("""COMPUTED_VALUE"""),310.9)</f>
        <v>310.9</v>
      </c>
      <c r="F1292" s="2" t="n">
        <f aca="false">IFERROR(__xludf.dummyfunction("""COMPUTED_VALUE"""),25454402)</f>
        <v>25454402</v>
      </c>
    </row>
    <row r="1293" customFormat="false" ht="15.75" hidden="false" customHeight="false" outlineLevel="0" collapsed="false">
      <c r="A1293" s="3" t="n">
        <f aca="false">IFERROR(__xludf.dummyfunction("""COMPUTED_VALUE"""),46078.6666666667)</f>
        <v>46078.6666666667</v>
      </c>
      <c r="B1293" s="2" t="n">
        <f aca="false">IFERROR(__xludf.dummyfunction("""COMPUTED_VALUE"""),312.06)</f>
        <v>312.06</v>
      </c>
      <c r="C1293" s="2" t="n">
        <f aca="false">IFERROR(__xludf.dummyfunction("""COMPUTED_VALUE"""),313.64)</f>
        <v>313.64</v>
      </c>
      <c r="D1293" s="2" t="n">
        <f aca="false">IFERROR(__xludf.dummyfunction("""COMPUTED_VALUE"""),309.44)</f>
        <v>309.44</v>
      </c>
      <c r="E1293" s="2" t="n">
        <f aca="false">IFERROR(__xludf.dummyfunction("""COMPUTED_VALUE"""),312.9)</f>
        <v>312.9</v>
      </c>
      <c r="F1293" s="2" t="n">
        <f aca="false">IFERROR(__xludf.dummyfunction("""COMPUTED_VALUE"""),28996801)</f>
        <v>28996801</v>
      </c>
    </row>
    <row r="1294" customFormat="false" ht="15.75" hidden="false" customHeight="false" outlineLevel="0" collapsed="false">
      <c r="A1294" s="3" t="n">
        <f aca="false">IFERROR(__xludf.dummyfunction("""COMPUTED_VALUE"""),46079.6666666667)</f>
        <v>46079.6666666667</v>
      </c>
      <c r="B1294" s="2" t="n">
        <f aca="false">IFERROR(__xludf.dummyfunction("""COMPUTED_VALUE"""),312.64)</f>
        <v>312.64</v>
      </c>
      <c r="C1294" s="2" t="n">
        <f aca="false">IFERROR(__xludf.dummyfunction("""COMPUTED_VALUE"""),313.14)</f>
        <v>313.14</v>
      </c>
      <c r="D1294" s="2" t="n">
        <f aca="false">IFERROR(__xludf.dummyfunction("""COMPUTED_VALUE"""),302.35)</f>
        <v>302.35</v>
      </c>
      <c r="E1294" s="2" t="n">
        <f aca="false">IFERROR(__xludf.dummyfunction("""COMPUTED_VALUE"""),307.38)</f>
        <v>307.38</v>
      </c>
      <c r="F1294" s="2" t="n">
        <f aca="false">IFERROR(__xludf.dummyfunction("""COMPUTED_VALUE"""),35575976)</f>
        <v>35575976</v>
      </c>
    </row>
    <row r="1295" customFormat="false" ht="15.75" hidden="false" customHeight="false" outlineLevel="0" collapsed="false">
      <c r="A1295" s="3" t="n">
        <f aca="false">IFERROR(__xludf.dummyfunction("""COMPUTED_VALUE"""),46080.6666666667)</f>
        <v>46080.6666666667</v>
      </c>
      <c r="B1295" s="2" t="n">
        <f aca="false">IFERROR(__xludf.dummyfunction("""COMPUTED_VALUE"""),304.14)</f>
        <v>304.14</v>
      </c>
      <c r="C1295" s="2" t="n">
        <f aca="false">IFERROR(__xludf.dummyfunction("""COMPUTED_VALUE"""),312.37)</f>
        <v>312.37</v>
      </c>
      <c r="D1295" s="2" t="n">
        <f aca="false">IFERROR(__xludf.dummyfunction("""COMPUTED_VALUE"""),303.8)</f>
        <v>303.8</v>
      </c>
      <c r="E1295" s="2" t="n">
        <f aca="false">IFERROR(__xludf.dummyfunction("""COMPUTED_VALUE"""),311.76)</f>
        <v>311.76</v>
      </c>
      <c r="F1295" s="2" t="n">
        <f aca="false">IFERROR(__xludf.dummyfunction("""COMPUTED_VALUE"""),44123520)</f>
        <v>44123520</v>
      </c>
    </row>
    <row r="1296" customFormat="false" ht="15.75" hidden="false" customHeight="false" outlineLevel="0" collapsed="false">
      <c r="A1296" s="3" t="n">
        <f aca="false">IFERROR(__xludf.dummyfunction("""COMPUTED_VALUE"""),46083.6666666667)</f>
        <v>46083.6666666667</v>
      </c>
      <c r="B1296" s="2" t="n">
        <f aca="false">IFERROR(__xludf.dummyfunction("""COMPUTED_VALUE"""),303.23)</f>
        <v>303.23</v>
      </c>
      <c r="C1296" s="2" t="n">
        <f aca="false">IFERROR(__xludf.dummyfunction("""COMPUTED_VALUE"""),308.49)</f>
        <v>308.49</v>
      </c>
      <c r="D1296" s="2" t="n">
        <f aca="false">IFERROR(__xludf.dummyfunction("""COMPUTED_VALUE"""),301.3)</f>
        <v>301.3</v>
      </c>
      <c r="E1296" s="2" t="n">
        <f aca="false">IFERROR(__xludf.dummyfunction("""COMPUTED_VALUE"""),306.52)</f>
        <v>306.52</v>
      </c>
      <c r="F1296" s="2" t="n">
        <f aca="false">IFERROR(__xludf.dummyfunction("""COMPUTED_VALUE"""),596029)</f>
        <v>596029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5.0390625" defaultRowHeight="15.75" customHeight="true" zeroHeight="false" outlineLevelRow="0" outlineLevelCol="0"/>
  <cols>
    <col collapsed="false" customWidth="false" hidden="false" outlineLevel="0" max="16384" min="1" style="4" width="25.04"/>
  </cols>
  <sheetData>
    <row r="1" customFormat="false" ht="15.75" hidden="false" customHeight="false" outlineLevel="0" collapsed="false">
      <c r="A1" s="2" t="str">
        <f aca="false">IFERROR(__xludf.dummyfunction("GOOGLEFINANCE(""MSFT"" , ""ALL"" , DATE(2021,1,1) , TODAY())"),"Date")</f>
        <v>Date</v>
      </c>
      <c r="B1" s="5" t="str">
        <f aca="false">IFERROR(__xludf.dummyfunction("""COMPUTED_VALUE"""),"Open")</f>
        <v>Open</v>
      </c>
      <c r="C1" s="5" t="str">
        <f aca="false">IFERROR(__xludf.dummyfunction("""COMPUTED_VALUE"""),"High")</f>
        <v>High</v>
      </c>
      <c r="D1" s="5" t="str">
        <f aca="false">IFERROR(__xludf.dummyfunction("""COMPUTED_VALUE"""),"Low")</f>
        <v>Low</v>
      </c>
      <c r="E1" s="5" t="str">
        <f aca="false">IFERROR(__xludf.dummyfunction("""COMPUTED_VALUE"""),"Close")</f>
        <v>Close</v>
      </c>
      <c r="F1" s="5" t="str">
        <f aca="false">IFERROR(__xludf.dummyfunction("""COMPUTED_VALUE"""),"Volume")</f>
        <v>Volume</v>
      </c>
    </row>
    <row r="2" customFormat="false" ht="15.75" hidden="false" customHeight="false" outlineLevel="0" collapsed="false">
      <c r="A2" s="6" t="n">
        <f aca="false">IFERROR(__xludf.dummyfunction("""COMPUTED_VALUE"""),44200.6666666667)</f>
        <v>44200.6666666667</v>
      </c>
      <c r="B2" s="5" t="n">
        <f aca="false">IFERROR(__xludf.dummyfunction("""COMPUTED_VALUE"""),222.53)</f>
        <v>222.53</v>
      </c>
      <c r="C2" s="5" t="n">
        <f aca="false">IFERROR(__xludf.dummyfunction("""COMPUTED_VALUE"""),223)</f>
        <v>223</v>
      </c>
      <c r="D2" s="5" t="n">
        <f aca="false">IFERROR(__xludf.dummyfunction("""COMPUTED_VALUE"""),214.81)</f>
        <v>214.81</v>
      </c>
      <c r="E2" s="5" t="n">
        <f aca="false">IFERROR(__xludf.dummyfunction("""COMPUTED_VALUE"""),217.69)</f>
        <v>217.69</v>
      </c>
      <c r="F2" s="5" t="n">
        <f aca="false">IFERROR(__xludf.dummyfunction("""COMPUTED_VALUE"""),37130139)</f>
        <v>37130139</v>
      </c>
    </row>
    <row r="3" customFormat="false" ht="15.75" hidden="false" customHeight="false" outlineLevel="0" collapsed="false">
      <c r="A3" s="6" t="n">
        <f aca="false">IFERROR(__xludf.dummyfunction("""COMPUTED_VALUE"""),44201.6666666667)</f>
        <v>44201.6666666667</v>
      </c>
      <c r="B3" s="5" t="n">
        <f aca="false">IFERROR(__xludf.dummyfunction("""COMPUTED_VALUE"""),217.26)</f>
        <v>217.26</v>
      </c>
      <c r="C3" s="5" t="n">
        <f aca="false">IFERROR(__xludf.dummyfunction("""COMPUTED_VALUE"""),218.52)</f>
        <v>218.52</v>
      </c>
      <c r="D3" s="5" t="n">
        <f aca="false">IFERROR(__xludf.dummyfunction("""COMPUTED_VALUE"""),215.7)</f>
        <v>215.7</v>
      </c>
      <c r="E3" s="5" t="n">
        <f aca="false">IFERROR(__xludf.dummyfunction("""COMPUTED_VALUE"""),217.9)</f>
        <v>217.9</v>
      </c>
      <c r="F3" s="5" t="n">
        <f aca="false">IFERROR(__xludf.dummyfunction("""COMPUTED_VALUE"""),23822953)</f>
        <v>23822953</v>
      </c>
    </row>
    <row r="4" customFormat="false" ht="15.75" hidden="false" customHeight="false" outlineLevel="0" collapsed="false">
      <c r="A4" s="6" t="n">
        <f aca="false">IFERROR(__xludf.dummyfunction("""COMPUTED_VALUE"""),44202.6666666667)</f>
        <v>44202.6666666667</v>
      </c>
      <c r="B4" s="5" t="n">
        <f aca="false">IFERROR(__xludf.dummyfunction("""COMPUTED_VALUE"""),212.17)</f>
        <v>212.17</v>
      </c>
      <c r="C4" s="5" t="n">
        <f aca="false">IFERROR(__xludf.dummyfunction("""COMPUTED_VALUE"""),216.49)</f>
        <v>216.49</v>
      </c>
      <c r="D4" s="5" t="n">
        <f aca="false">IFERROR(__xludf.dummyfunction("""COMPUTED_VALUE"""),211.94)</f>
        <v>211.94</v>
      </c>
      <c r="E4" s="5" t="n">
        <f aca="false">IFERROR(__xludf.dummyfunction("""COMPUTED_VALUE"""),212.25)</f>
        <v>212.25</v>
      </c>
      <c r="F4" s="5" t="n">
        <f aca="false">IFERROR(__xludf.dummyfunction("""COMPUTED_VALUE"""),35930653)</f>
        <v>35930653</v>
      </c>
    </row>
    <row r="5" customFormat="false" ht="15.75" hidden="false" customHeight="false" outlineLevel="0" collapsed="false">
      <c r="A5" s="6" t="n">
        <f aca="false">IFERROR(__xludf.dummyfunction("""COMPUTED_VALUE"""),44203.6666666667)</f>
        <v>44203.6666666667</v>
      </c>
      <c r="B5" s="5" t="n">
        <f aca="false">IFERROR(__xludf.dummyfunction("""COMPUTED_VALUE"""),214.04)</f>
        <v>214.04</v>
      </c>
      <c r="C5" s="5" t="n">
        <f aca="false">IFERROR(__xludf.dummyfunction("""COMPUTED_VALUE"""),219.34)</f>
        <v>219.34</v>
      </c>
      <c r="D5" s="5" t="n">
        <f aca="false">IFERROR(__xludf.dummyfunction("""COMPUTED_VALUE"""),213.71)</f>
        <v>213.71</v>
      </c>
      <c r="E5" s="5" t="n">
        <f aca="false">IFERROR(__xludf.dummyfunction("""COMPUTED_VALUE"""),218.29)</f>
        <v>218.29</v>
      </c>
      <c r="F5" s="5" t="n">
        <f aca="false">IFERROR(__xludf.dummyfunction("""COMPUTED_VALUE"""),27694480)</f>
        <v>27694480</v>
      </c>
    </row>
    <row r="6" customFormat="false" ht="15.75" hidden="false" customHeight="false" outlineLevel="0" collapsed="false">
      <c r="A6" s="6" t="n">
        <f aca="false">IFERROR(__xludf.dummyfunction("""COMPUTED_VALUE"""),44204.6666666667)</f>
        <v>44204.6666666667</v>
      </c>
      <c r="B6" s="5" t="n">
        <f aca="false">IFERROR(__xludf.dummyfunction("""COMPUTED_VALUE"""),218.68)</f>
        <v>218.68</v>
      </c>
      <c r="C6" s="5" t="n">
        <f aca="false">IFERROR(__xludf.dummyfunction("""COMPUTED_VALUE"""),220.58)</f>
        <v>220.58</v>
      </c>
      <c r="D6" s="5" t="n">
        <f aca="false">IFERROR(__xludf.dummyfunction("""COMPUTED_VALUE"""),217.03)</f>
        <v>217.03</v>
      </c>
      <c r="E6" s="5" t="n">
        <f aca="false">IFERROR(__xludf.dummyfunction("""COMPUTED_VALUE"""),219.62)</f>
        <v>219.62</v>
      </c>
      <c r="F6" s="5" t="n">
        <f aca="false">IFERROR(__xludf.dummyfunction("""COMPUTED_VALUE"""),22956206)</f>
        <v>22956206</v>
      </c>
    </row>
    <row r="7" customFormat="false" ht="15.75" hidden="false" customHeight="false" outlineLevel="0" collapsed="false">
      <c r="A7" s="6" t="n">
        <f aca="false">IFERROR(__xludf.dummyfunction("""COMPUTED_VALUE"""),44207.6666666667)</f>
        <v>44207.6666666667</v>
      </c>
      <c r="B7" s="5" t="n">
        <f aca="false">IFERROR(__xludf.dummyfunction("""COMPUTED_VALUE"""),218.47)</f>
        <v>218.47</v>
      </c>
      <c r="C7" s="5" t="n">
        <f aca="false">IFERROR(__xludf.dummyfunction("""COMPUTED_VALUE"""),218.91)</f>
        <v>218.91</v>
      </c>
      <c r="D7" s="5" t="n">
        <f aca="false">IFERROR(__xludf.dummyfunction("""COMPUTED_VALUE"""),216.73)</f>
        <v>216.73</v>
      </c>
      <c r="E7" s="5" t="n">
        <f aca="false">IFERROR(__xludf.dummyfunction("""COMPUTED_VALUE"""),217.49)</f>
        <v>217.49</v>
      </c>
      <c r="F7" s="5" t="n">
        <f aca="false">IFERROR(__xludf.dummyfunction("""COMPUTED_VALUE"""),23047029)</f>
        <v>23047029</v>
      </c>
    </row>
    <row r="8" customFormat="false" ht="15.75" hidden="false" customHeight="false" outlineLevel="0" collapsed="false">
      <c r="A8" s="6" t="n">
        <f aca="false">IFERROR(__xludf.dummyfunction("""COMPUTED_VALUE"""),44208.6666666667)</f>
        <v>44208.6666666667</v>
      </c>
      <c r="B8" s="5" t="n">
        <f aca="false">IFERROR(__xludf.dummyfunction("""COMPUTED_VALUE"""),216.5)</f>
        <v>216.5</v>
      </c>
      <c r="C8" s="5" t="n">
        <f aca="false">IFERROR(__xludf.dummyfunction("""COMPUTED_VALUE"""),217.1)</f>
        <v>217.1</v>
      </c>
      <c r="D8" s="5" t="n">
        <f aca="false">IFERROR(__xludf.dummyfunction("""COMPUTED_VALUE"""),213.32)</f>
        <v>213.32</v>
      </c>
      <c r="E8" s="5" t="n">
        <f aca="false">IFERROR(__xludf.dummyfunction("""COMPUTED_VALUE"""),214.93)</f>
        <v>214.93</v>
      </c>
      <c r="F8" s="5" t="n">
        <f aca="false">IFERROR(__xludf.dummyfunction("""COMPUTED_VALUE"""),23249336)</f>
        <v>23249336</v>
      </c>
    </row>
    <row r="9" customFormat="false" ht="15.75" hidden="false" customHeight="false" outlineLevel="0" collapsed="false">
      <c r="A9" s="6" t="n">
        <f aca="false">IFERROR(__xludf.dummyfunction("""COMPUTED_VALUE"""),44209.6666666667)</f>
        <v>44209.6666666667</v>
      </c>
      <c r="B9" s="5" t="n">
        <f aca="false">IFERROR(__xludf.dummyfunction("""COMPUTED_VALUE"""),214.02)</f>
        <v>214.02</v>
      </c>
      <c r="C9" s="5" t="n">
        <f aca="false">IFERROR(__xludf.dummyfunction("""COMPUTED_VALUE"""),216.76)</f>
        <v>216.76</v>
      </c>
      <c r="D9" s="5" t="n">
        <f aca="false">IFERROR(__xludf.dummyfunction("""COMPUTED_VALUE"""),213.93)</f>
        <v>213.93</v>
      </c>
      <c r="E9" s="5" t="n">
        <f aca="false">IFERROR(__xludf.dummyfunction("""COMPUTED_VALUE"""),216.34)</f>
        <v>216.34</v>
      </c>
      <c r="F9" s="5" t="n">
        <f aca="false">IFERROR(__xludf.dummyfunction("""COMPUTED_VALUE"""),20087080)</f>
        <v>20087080</v>
      </c>
    </row>
    <row r="10" customFormat="false" ht="15.75" hidden="false" customHeight="false" outlineLevel="0" collapsed="false">
      <c r="A10" s="6" t="n">
        <f aca="false">IFERROR(__xludf.dummyfunction("""COMPUTED_VALUE"""),44210.6666666667)</f>
        <v>44210.6666666667</v>
      </c>
      <c r="B10" s="5" t="n">
        <f aca="false">IFERROR(__xludf.dummyfunction("""COMPUTED_VALUE"""),215.91)</f>
        <v>215.91</v>
      </c>
      <c r="C10" s="5" t="n">
        <f aca="false">IFERROR(__xludf.dummyfunction("""COMPUTED_VALUE"""),217.46)</f>
        <v>217.46</v>
      </c>
      <c r="D10" s="5" t="n">
        <f aca="false">IFERROR(__xludf.dummyfunction("""COMPUTED_VALUE"""),212.74)</f>
        <v>212.74</v>
      </c>
      <c r="E10" s="5" t="n">
        <f aca="false">IFERROR(__xludf.dummyfunction("""COMPUTED_VALUE"""),213.02)</f>
        <v>213.02</v>
      </c>
      <c r="F10" s="5" t="n">
        <f aca="false">IFERROR(__xludf.dummyfunction("""COMPUTED_VALUE"""),29346737)</f>
        <v>29346737</v>
      </c>
    </row>
    <row r="11" customFormat="false" ht="15.75" hidden="false" customHeight="false" outlineLevel="0" collapsed="false">
      <c r="A11" s="6" t="n">
        <f aca="false">IFERROR(__xludf.dummyfunction("""COMPUTED_VALUE"""),44211.6666666667)</f>
        <v>44211.6666666667</v>
      </c>
      <c r="B11" s="5" t="n">
        <f aca="false">IFERROR(__xludf.dummyfunction("""COMPUTED_VALUE"""),213.52)</f>
        <v>213.52</v>
      </c>
      <c r="C11" s="5" t="n">
        <f aca="false">IFERROR(__xludf.dummyfunction("""COMPUTED_VALUE"""),214.51)</f>
        <v>214.51</v>
      </c>
      <c r="D11" s="5" t="n">
        <f aca="false">IFERROR(__xludf.dummyfunction("""COMPUTED_VALUE"""),212.03)</f>
        <v>212.03</v>
      </c>
      <c r="E11" s="5" t="n">
        <f aca="false">IFERROR(__xludf.dummyfunction("""COMPUTED_VALUE"""),212.65)</f>
        <v>212.65</v>
      </c>
      <c r="F11" s="5" t="n">
        <f aca="false">IFERROR(__xludf.dummyfunction("""COMPUTED_VALUE"""),31746512)</f>
        <v>31746512</v>
      </c>
    </row>
    <row r="12" customFormat="false" ht="15.75" hidden="false" customHeight="false" outlineLevel="0" collapsed="false">
      <c r="A12" s="6" t="n">
        <f aca="false">IFERROR(__xludf.dummyfunction("""COMPUTED_VALUE"""),44215.6666666667)</f>
        <v>44215.6666666667</v>
      </c>
      <c r="B12" s="5" t="n">
        <f aca="false">IFERROR(__xludf.dummyfunction("""COMPUTED_VALUE"""),213.75)</f>
        <v>213.75</v>
      </c>
      <c r="C12" s="5" t="n">
        <f aca="false">IFERROR(__xludf.dummyfunction("""COMPUTED_VALUE"""),216.98)</f>
        <v>216.98</v>
      </c>
      <c r="D12" s="5" t="n">
        <f aca="false">IFERROR(__xludf.dummyfunction("""COMPUTED_VALUE"""),212.63)</f>
        <v>212.63</v>
      </c>
      <c r="E12" s="5" t="n">
        <f aca="false">IFERROR(__xludf.dummyfunction("""COMPUTED_VALUE"""),216.44)</f>
        <v>216.44</v>
      </c>
      <c r="F12" s="5" t="n">
        <f aca="false">IFERROR(__xludf.dummyfunction("""COMPUTED_VALUE"""),30480859)</f>
        <v>30480859</v>
      </c>
    </row>
    <row r="13" customFormat="false" ht="15.75" hidden="false" customHeight="false" outlineLevel="0" collapsed="false">
      <c r="A13" s="6" t="n">
        <f aca="false">IFERROR(__xludf.dummyfunction("""COMPUTED_VALUE"""),44216.6666666667)</f>
        <v>44216.6666666667</v>
      </c>
      <c r="B13" s="5" t="n">
        <f aca="false">IFERROR(__xludf.dummyfunction("""COMPUTED_VALUE"""),217.7)</f>
        <v>217.7</v>
      </c>
      <c r="C13" s="5" t="n">
        <f aca="false">IFERROR(__xludf.dummyfunction("""COMPUTED_VALUE"""),225.79)</f>
        <v>225.79</v>
      </c>
      <c r="D13" s="5" t="n">
        <f aca="false">IFERROR(__xludf.dummyfunction("""COMPUTED_VALUE"""),217.29)</f>
        <v>217.29</v>
      </c>
      <c r="E13" s="5" t="n">
        <f aca="false">IFERROR(__xludf.dummyfunction("""COMPUTED_VALUE"""),224.34)</f>
        <v>224.34</v>
      </c>
      <c r="F13" s="5" t="n">
        <f aca="false">IFERROR(__xludf.dummyfunction("""COMPUTED_VALUE"""),37777260)</f>
        <v>37777260</v>
      </c>
    </row>
    <row r="14" customFormat="false" ht="15.75" hidden="false" customHeight="false" outlineLevel="0" collapsed="false">
      <c r="A14" s="6" t="n">
        <f aca="false">IFERROR(__xludf.dummyfunction("""COMPUTED_VALUE"""),44217.6666666667)</f>
        <v>44217.6666666667</v>
      </c>
      <c r="B14" s="5" t="n">
        <f aca="false">IFERROR(__xludf.dummyfunction("""COMPUTED_VALUE"""),224.7)</f>
        <v>224.7</v>
      </c>
      <c r="C14" s="5" t="n">
        <f aca="false">IFERROR(__xludf.dummyfunction("""COMPUTED_VALUE"""),226.3)</f>
        <v>226.3</v>
      </c>
      <c r="D14" s="5" t="n">
        <f aca="false">IFERROR(__xludf.dummyfunction("""COMPUTED_VALUE"""),222.42)</f>
        <v>222.42</v>
      </c>
      <c r="E14" s="5" t="n">
        <f aca="false">IFERROR(__xludf.dummyfunction("""COMPUTED_VALUE"""),224.97)</f>
        <v>224.97</v>
      </c>
      <c r="F14" s="5" t="n">
        <f aca="false">IFERROR(__xludf.dummyfunction("""COMPUTED_VALUE"""),30749553)</f>
        <v>30749553</v>
      </c>
    </row>
    <row r="15" customFormat="false" ht="15.75" hidden="false" customHeight="false" outlineLevel="0" collapsed="false">
      <c r="A15" s="6" t="n">
        <f aca="false">IFERROR(__xludf.dummyfunction("""COMPUTED_VALUE"""),44218.6666666667)</f>
        <v>44218.6666666667</v>
      </c>
      <c r="B15" s="5" t="n">
        <f aca="false">IFERROR(__xludf.dummyfunction("""COMPUTED_VALUE"""),227.08)</f>
        <v>227.08</v>
      </c>
      <c r="C15" s="5" t="n">
        <f aca="false">IFERROR(__xludf.dummyfunction("""COMPUTED_VALUE"""),230.07)</f>
        <v>230.07</v>
      </c>
      <c r="D15" s="5" t="n">
        <f aca="false">IFERROR(__xludf.dummyfunction("""COMPUTED_VALUE"""),225.8)</f>
        <v>225.8</v>
      </c>
      <c r="E15" s="5" t="n">
        <f aca="false">IFERROR(__xludf.dummyfunction("""COMPUTED_VALUE"""),225.95)</f>
        <v>225.95</v>
      </c>
      <c r="F15" s="5" t="n">
        <f aca="false">IFERROR(__xludf.dummyfunction("""COMPUTED_VALUE"""),30172663)</f>
        <v>30172663</v>
      </c>
    </row>
    <row r="16" customFormat="false" ht="15.75" hidden="false" customHeight="false" outlineLevel="0" collapsed="false">
      <c r="A16" s="6" t="n">
        <f aca="false">IFERROR(__xludf.dummyfunction("""COMPUTED_VALUE"""),44221.6666666667)</f>
        <v>44221.6666666667</v>
      </c>
      <c r="B16" s="5" t="n">
        <f aca="false">IFERROR(__xludf.dummyfunction("""COMPUTED_VALUE"""),229.12)</f>
        <v>229.12</v>
      </c>
      <c r="C16" s="5" t="n">
        <f aca="false">IFERROR(__xludf.dummyfunction("""COMPUTED_VALUE"""),229.78)</f>
        <v>229.78</v>
      </c>
      <c r="D16" s="5" t="n">
        <f aca="false">IFERROR(__xludf.dummyfunction("""COMPUTED_VALUE"""),224.22)</f>
        <v>224.22</v>
      </c>
      <c r="E16" s="5" t="n">
        <f aca="false">IFERROR(__xludf.dummyfunction("""COMPUTED_VALUE"""),229.53)</f>
        <v>229.53</v>
      </c>
      <c r="F16" s="5" t="n">
        <f aca="false">IFERROR(__xludf.dummyfunction("""COMPUTED_VALUE"""),33152095)</f>
        <v>33152095</v>
      </c>
    </row>
    <row r="17" customFormat="false" ht="15.75" hidden="false" customHeight="false" outlineLevel="0" collapsed="false">
      <c r="A17" s="6" t="n">
        <f aca="false">IFERROR(__xludf.dummyfunction("""COMPUTED_VALUE"""),44222.6666666667)</f>
        <v>44222.6666666667</v>
      </c>
      <c r="B17" s="5" t="n">
        <f aca="false">IFERROR(__xludf.dummyfunction("""COMPUTED_VALUE"""),231.86)</f>
        <v>231.86</v>
      </c>
      <c r="C17" s="5" t="n">
        <f aca="false">IFERROR(__xludf.dummyfunction("""COMPUTED_VALUE"""),234.18)</f>
        <v>234.18</v>
      </c>
      <c r="D17" s="5" t="n">
        <f aca="false">IFERROR(__xludf.dummyfunction("""COMPUTED_VALUE"""),230.08)</f>
        <v>230.08</v>
      </c>
      <c r="E17" s="5" t="n">
        <f aca="false">IFERROR(__xludf.dummyfunction("""COMPUTED_VALUE"""),232.33)</f>
        <v>232.33</v>
      </c>
      <c r="F17" s="5" t="n">
        <f aca="false">IFERROR(__xludf.dummyfunction("""COMPUTED_VALUE"""),49169601)</f>
        <v>49169601</v>
      </c>
    </row>
    <row r="18" customFormat="false" ht="15.75" hidden="false" customHeight="false" outlineLevel="0" collapsed="false">
      <c r="A18" s="6" t="n">
        <f aca="false">IFERROR(__xludf.dummyfunction("""COMPUTED_VALUE"""),44223.6666666667)</f>
        <v>44223.6666666667</v>
      </c>
      <c r="B18" s="5" t="n">
        <f aca="false">IFERROR(__xludf.dummyfunction("""COMPUTED_VALUE"""),238)</f>
        <v>238</v>
      </c>
      <c r="C18" s="5" t="n">
        <f aca="false">IFERROR(__xludf.dummyfunction("""COMPUTED_VALUE"""),240.44)</f>
        <v>240.44</v>
      </c>
      <c r="D18" s="5" t="n">
        <f aca="false">IFERROR(__xludf.dummyfunction("""COMPUTED_VALUE"""),230.14)</f>
        <v>230.14</v>
      </c>
      <c r="E18" s="5" t="n">
        <f aca="false">IFERROR(__xludf.dummyfunction("""COMPUTED_VALUE"""),232.9)</f>
        <v>232.9</v>
      </c>
      <c r="F18" s="5" t="n">
        <f aca="false">IFERROR(__xludf.dummyfunction("""COMPUTED_VALUE"""),69870638)</f>
        <v>69870638</v>
      </c>
    </row>
    <row r="19" customFormat="false" ht="15.75" hidden="false" customHeight="false" outlineLevel="0" collapsed="false">
      <c r="A19" s="6" t="n">
        <f aca="false">IFERROR(__xludf.dummyfunction("""COMPUTED_VALUE"""),44224.6666666667)</f>
        <v>44224.6666666667</v>
      </c>
      <c r="B19" s="5" t="n">
        <f aca="false">IFERROR(__xludf.dummyfunction("""COMPUTED_VALUE"""),235.61)</f>
        <v>235.61</v>
      </c>
      <c r="C19" s="5" t="n">
        <f aca="false">IFERROR(__xludf.dummyfunction("""COMPUTED_VALUE"""),242.64)</f>
        <v>242.64</v>
      </c>
      <c r="D19" s="5" t="n">
        <f aca="false">IFERROR(__xludf.dummyfunction("""COMPUTED_VALUE"""),235.09)</f>
        <v>235.09</v>
      </c>
      <c r="E19" s="5" t="n">
        <f aca="false">IFERROR(__xludf.dummyfunction("""COMPUTED_VALUE"""),238.93)</f>
        <v>238.93</v>
      </c>
      <c r="F19" s="5" t="n">
        <f aca="false">IFERROR(__xludf.dummyfunction("""COMPUTED_VALUE"""),49111159)</f>
        <v>49111159</v>
      </c>
    </row>
    <row r="20" customFormat="false" ht="15.75" hidden="false" customHeight="false" outlineLevel="0" collapsed="false">
      <c r="A20" s="6" t="n">
        <f aca="false">IFERROR(__xludf.dummyfunction("""COMPUTED_VALUE"""),44225.6666666667)</f>
        <v>44225.6666666667</v>
      </c>
      <c r="B20" s="5" t="n">
        <f aca="false">IFERROR(__xludf.dummyfunction("""COMPUTED_VALUE"""),235.99)</f>
        <v>235.99</v>
      </c>
      <c r="C20" s="5" t="n">
        <f aca="false">IFERROR(__xludf.dummyfunction("""COMPUTED_VALUE"""),238.02)</f>
        <v>238.02</v>
      </c>
      <c r="D20" s="5" t="n">
        <f aca="false">IFERROR(__xludf.dummyfunction("""COMPUTED_VALUE"""),231.35)</f>
        <v>231.35</v>
      </c>
      <c r="E20" s="5" t="n">
        <f aca="false">IFERROR(__xludf.dummyfunction("""COMPUTED_VALUE"""),231.96)</f>
        <v>231.96</v>
      </c>
      <c r="F20" s="5" t="n">
        <f aca="false">IFERROR(__xludf.dummyfunction("""COMPUTED_VALUE"""),42503138)</f>
        <v>42503138</v>
      </c>
    </row>
    <row r="21" customFormat="false" ht="15.75" hidden="false" customHeight="false" outlineLevel="0" collapsed="false">
      <c r="A21" s="6" t="n">
        <f aca="false">IFERROR(__xludf.dummyfunction("""COMPUTED_VALUE"""),44228.6666666667)</f>
        <v>44228.6666666667</v>
      </c>
      <c r="B21" s="5" t="n">
        <f aca="false">IFERROR(__xludf.dummyfunction("""COMPUTED_VALUE"""),235.06)</f>
        <v>235.06</v>
      </c>
      <c r="C21" s="5" t="n">
        <f aca="false">IFERROR(__xludf.dummyfunction("""COMPUTED_VALUE"""),242.5)</f>
        <v>242.5</v>
      </c>
      <c r="D21" s="5" t="n">
        <f aca="false">IFERROR(__xludf.dummyfunction("""COMPUTED_VALUE"""),232.43)</f>
        <v>232.43</v>
      </c>
      <c r="E21" s="5" t="n">
        <f aca="false">IFERROR(__xludf.dummyfunction("""COMPUTED_VALUE"""),239.65)</f>
        <v>239.65</v>
      </c>
      <c r="F21" s="5" t="n">
        <f aca="false">IFERROR(__xludf.dummyfunction("""COMPUTED_VALUE"""),33314193)</f>
        <v>33314193</v>
      </c>
    </row>
    <row r="22" customFormat="false" ht="15.75" hidden="false" customHeight="false" outlineLevel="0" collapsed="false">
      <c r="A22" s="6" t="n">
        <f aca="false">IFERROR(__xludf.dummyfunction("""COMPUTED_VALUE"""),44229.6666666667)</f>
        <v>44229.6666666667</v>
      </c>
      <c r="B22" s="5" t="n">
        <f aca="false">IFERROR(__xludf.dummyfunction("""COMPUTED_VALUE"""),241.3)</f>
        <v>241.3</v>
      </c>
      <c r="C22" s="5" t="n">
        <f aca="false">IFERROR(__xludf.dummyfunction("""COMPUTED_VALUE"""),242.31)</f>
        <v>242.31</v>
      </c>
      <c r="D22" s="5" t="n">
        <f aca="false">IFERROR(__xludf.dummyfunction("""COMPUTED_VALUE"""),238.69)</f>
        <v>238.69</v>
      </c>
      <c r="E22" s="5" t="n">
        <f aca="false">IFERROR(__xludf.dummyfunction("""COMPUTED_VALUE"""),239.51)</f>
        <v>239.51</v>
      </c>
      <c r="F22" s="5" t="n">
        <f aca="false">IFERROR(__xludf.dummyfunction("""COMPUTED_VALUE"""),25916337)</f>
        <v>25916337</v>
      </c>
    </row>
    <row r="23" customFormat="false" ht="15.75" hidden="false" customHeight="false" outlineLevel="0" collapsed="false">
      <c r="A23" s="6" t="n">
        <f aca="false">IFERROR(__xludf.dummyfunction("""COMPUTED_VALUE"""),44230.6666666667)</f>
        <v>44230.6666666667</v>
      </c>
      <c r="B23" s="5" t="n">
        <f aca="false">IFERROR(__xludf.dummyfunction("""COMPUTED_VALUE"""),239.57)</f>
        <v>239.57</v>
      </c>
      <c r="C23" s="5" t="n">
        <f aca="false">IFERROR(__xludf.dummyfunction("""COMPUTED_VALUE"""),245.09)</f>
        <v>245.09</v>
      </c>
      <c r="D23" s="5" t="n">
        <f aca="false">IFERROR(__xludf.dummyfunction("""COMPUTED_VALUE"""),239.26)</f>
        <v>239.26</v>
      </c>
      <c r="E23" s="5" t="n">
        <f aca="false">IFERROR(__xludf.dummyfunction("""COMPUTED_VALUE"""),243)</f>
        <v>243</v>
      </c>
      <c r="F23" s="5" t="n">
        <f aca="false">IFERROR(__xludf.dummyfunction("""COMPUTED_VALUE"""),27158104)</f>
        <v>27158104</v>
      </c>
    </row>
    <row r="24" customFormat="false" ht="15.75" hidden="false" customHeight="false" outlineLevel="0" collapsed="false">
      <c r="A24" s="6" t="n">
        <f aca="false">IFERROR(__xludf.dummyfunction("""COMPUTED_VALUE"""),44231.6666666667)</f>
        <v>44231.6666666667</v>
      </c>
      <c r="B24" s="5" t="n">
        <f aca="false">IFERROR(__xludf.dummyfunction("""COMPUTED_VALUE"""),242.66)</f>
        <v>242.66</v>
      </c>
      <c r="C24" s="5" t="n">
        <f aca="false">IFERROR(__xludf.dummyfunction("""COMPUTED_VALUE"""),243.24)</f>
        <v>243.24</v>
      </c>
      <c r="D24" s="5" t="n">
        <f aca="false">IFERROR(__xludf.dummyfunction("""COMPUTED_VALUE"""),240.37)</f>
        <v>240.37</v>
      </c>
      <c r="E24" s="5" t="n">
        <f aca="false">IFERROR(__xludf.dummyfunction("""COMPUTED_VALUE"""),242.01)</f>
        <v>242.01</v>
      </c>
      <c r="F24" s="5" t="n">
        <f aca="false">IFERROR(__xludf.dummyfunction("""COMPUTED_VALUE"""),25296100)</f>
        <v>25296100</v>
      </c>
    </row>
    <row r="25" customFormat="false" ht="15.75" hidden="false" customHeight="false" outlineLevel="0" collapsed="false">
      <c r="A25" s="6" t="n">
        <f aca="false">IFERROR(__xludf.dummyfunction("""COMPUTED_VALUE"""),44232.6666666667)</f>
        <v>44232.6666666667</v>
      </c>
      <c r="B25" s="5" t="n">
        <f aca="false">IFERROR(__xludf.dummyfunction("""COMPUTED_VALUE"""),242.23)</f>
        <v>242.23</v>
      </c>
      <c r="C25" s="5" t="n">
        <f aca="false">IFERROR(__xludf.dummyfunction("""COMPUTED_VALUE"""),243.28)</f>
        <v>243.28</v>
      </c>
      <c r="D25" s="5" t="n">
        <f aca="false">IFERROR(__xludf.dummyfunction("""COMPUTED_VALUE"""),240.42)</f>
        <v>240.42</v>
      </c>
      <c r="E25" s="5" t="n">
        <f aca="false">IFERROR(__xludf.dummyfunction("""COMPUTED_VALUE"""),242.2)</f>
        <v>242.2</v>
      </c>
      <c r="F25" s="5" t="n">
        <f aca="false">IFERROR(__xludf.dummyfunction("""COMPUTED_VALUE"""),18054752)</f>
        <v>18054752</v>
      </c>
    </row>
    <row r="26" customFormat="false" ht="15.75" hidden="false" customHeight="false" outlineLevel="0" collapsed="false">
      <c r="A26" s="6" t="n">
        <f aca="false">IFERROR(__xludf.dummyfunction("""COMPUTED_VALUE"""),44235.6666666667)</f>
        <v>44235.6666666667</v>
      </c>
      <c r="B26" s="5" t="n">
        <f aca="false">IFERROR(__xludf.dummyfunction("""COMPUTED_VALUE"""),243.15)</f>
        <v>243.15</v>
      </c>
      <c r="C26" s="5" t="n">
        <f aca="false">IFERROR(__xludf.dummyfunction("""COMPUTED_VALUE"""),243.68)</f>
        <v>243.68</v>
      </c>
      <c r="D26" s="5" t="n">
        <f aca="false">IFERROR(__xludf.dummyfunction("""COMPUTED_VALUE"""),240.81)</f>
        <v>240.81</v>
      </c>
      <c r="E26" s="5" t="n">
        <f aca="false">IFERROR(__xludf.dummyfunction("""COMPUTED_VALUE"""),242.47)</f>
        <v>242.47</v>
      </c>
      <c r="F26" s="5" t="n">
        <f aca="false">IFERROR(__xludf.dummyfunction("""COMPUTED_VALUE"""),22211929)</f>
        <v>22211929</v>
      </c>
    </row>
    <row r="27" customFormat="false" ht="15.75" hidden="false" customHeight="false" outlineLevel="0" collapsed="false">
      <c r="A27" s="6" t="n">
        <f aca="false">IFERROR(__xludf.dummyfunction("""COMPUTED_VALUE"""),44236.6666666667)</f>
        <v>44236.6666666667</v>
      </c>
      <c r="B27" s="5" t="n">
        <f aca="false">IFERROR(__xludf.dummyfunction("""COMPUTED_VALUE"""),241.87)</f>
        <v>241.87</v>
      </c>
      <c r="C27" s="5" t="n">
        <f aca="false">IFERROR(__xludf.dummyfunction("""COMPUTED_VALUE"""),244.76)</f>
        <v>244.76</v>
      </c>
      <c r="D27" s="5" t="n">
        <f aca="false">IFERROR(__xludf.dummyfunction("""COMPUTED_VALUE"""),241.38)</f>
        <v>241.38</v>
      </c>
      <c r="E27" s="5" t="n">
        <f aca="false">IFERROR(__xludf.dummyfunction("""COMPUTED_VALUE"""),243.77)</f>
        <v>243.77</v>
      </c>
      <c r="F27" s="5" t="n">
        <f aca="false">IFERROR(__xludf.dummyfunction("""COMPUTED_VALUE"""),23564953)</f>
        <v>23564953</v>
      </c>
    </row>
    <row r="28" customFormat="false" ht="15.75" hidden="false" customHeight="false" outlineLevel="0" collapsed="false">
      <c r="A28" s="6" t="n">
        <f aca="false">IFERROR(__xludf.dummyfunction("""COMPUTED_VALUE"""),44237.6666666667)</f>
        <v>44237.6666666667</v>
      </c>
      <c r="B28" s="5" t="n">
        <f aca="false">IFERROR(__xludf.dummyfunction("""COMPUTED_VALUE"""),245)</f>
        <v>245</v>
      </c>
      <c r="C28" s="5" t="n">
        <f aca="false">IFERROR(__xludf.dummyfunction("""COMPUTED_VALUE"""),245.92)</f>
        <v>245.92</v>
      </c>
      <c r="D28" s="5" t="n">
        <f aca="false">IFERROR(__xludf.dummyfunction("""COMPUTED_VALUE"""),240.89)</f>
        <v>240.89</v>
      </c>
      <c r="E28" s="5" t="n">
        <f aca="false">IFERROR(__xludf.dummyfunction("""COMPUTED_VALUE"""),242.82)</f>
        <v>242.82</v>
      </c>
      <c r="F28" s="5" t="n">
        <f aca="false">IFERROR(__xludf.dummyfunction("""COMPUTED_VALUE"""),22186706)</f>
        <v>22186706</v>
      </c>
    </row>
    <row r="29" customFormat="false" ht="15.75" hidden="false" customHeight="false" outlineLevel="0" collapsed="false">
      <c r="A29" s="6" t="n">
        <f aca="false">IFERROR(__xludf.dummyfunction("""COMPUTED_VALUE"""),44238.6666666667)</f>
        <v>44238.6666666667</v>
      </c>
      <c r="B29" s="5" t="n">
        <f aca="false">IFERROR(__xludf.dummyfunction("""COMPUTED_VALUE"""),244.78)</f>
        <v>244.78</v>
      </c>
      <c r="C29" s="5" t="n">
        <f aca="false">IFERROR(__xludf.dummyfunction("""COMPUTED_VALUE"""),245.15)</f>
        <v>245.15</v>
      </c>
      <c r="D29" s="5" t="n">
        <f aca="false">IFERROR(__xludf.dummyfunction("""COMPUTED_VALUE"""),242.15)</f>
        <v>242.15</v>
      </c>
      <c r="E29" s="5" t="n">
        <f aca="false">IFERROR(__xludf.dummyfunction("""COMPUTED_VALUE"""),244.49)</f>
        <v>244.49</v>
      </c>
      <c r="F29" s="5" t="n">
        <f aca="false">IFERROR(__xludf.dummyfunction("""COMPUTED_VALUE"""),15751059)</f>
        <v>15751059</v>
      </c>
    </row>
    <row r="30" customFormat="false" ht="15.75" hidden="false" customHeight="false" outlineLevel="0" collapsed="false">
      <c r="A30" s="6" t="n">
        <f aca="false">IFERROR(__xludf.dummyfunction("""COMPUTED_VALUE"""),44239.6666666667)</f>
        <v>44239.6666666667</v>
      </c>
      <c r="B30" s="5" t="n">
        <f aca="false">IFERROR(__xludf.dummyfunction("""COMPUTED_VALUE"""),243.93)</f>
        <v>243.93</v>
      </c>
      <c r="C30" s="5" t="n">
        <f aca="false">IFERROR(__xludf.dummyfunction("""COMPUTED_VALUE"""),245.3)</f>
        <v>245.3</v>
      </c>
      <c r="D30" s="5" t="n">
        <f aca="false">IFERROR(__xludf.dummyfunction("""COMPUTED_VALUE"""),242.73)</f>
        <v>242.73</v>
      </c>
      <c r="E30" s="5" t="n">
        <f aca="false">IFERROR(__xludf.dummyfunction("""COMPUTED_VALUE"""),244.99)</f>
        <v>244.99</v>
      </c>
      <c r="F30" s="5" t="n">
        <f aca="false">IFERROR(__xludf.dummyfunction("""COMPUTED_VALUE"""),16561079)</f>
        <v>16561079</v>
      </c>
    </row>
    <row r="31" customFormat="false" ht="15.75" hidden="false" customHeight="false" outlineLevel="0" collapsed="false">
      <c r="A31" s="6" t="n">
        <f aca="false">IFERROR(__xludf.dummyfunction("""COMPUTED_VALUE"""),44243.6666666667)</f>
        <v>44243.6666666667</v>
      </c>
      <c r="B31" s="5" t="n">
        <f aca="false">IFERROR(__xludf.dummyfunction("""COMPUTED_VALUE"""),245.03)</f>
        <v>245.03</v>
      </c>
      <c r="C31" s="5" t="n">
        <f aca="false">IFERROR(__xludf.dummyfunction("""COMPUTED_VALUE"""),246.13)</f>
        <v>246.13</v>
      </c>
      <c r="D31" s="5" t="n">
        <f aca="false">IFERROR(__xludf.dummyfunction("""COMPUTED_VALUE"""),242.92)</f>
        <v>242.92</v>
      </c>
      <c r="E31" s="5" t="n">
        <f aca="false">IFERROR(__xludf.dummyfunction("""COMPUTED_VALUE"""),243.7)</f>
        <v>243.7</v>
      </c>
      <c r="F31" s="5" t="n">
        <f aca="false">IFERROR(__xludf.dummyfunction("""COMPUTED_VALUE"""),26728490)</f>
        <v>26728490</v>
      </c>
    </row>
    <row r="32" customFormat="false" ht="15.75" hidden="false" customHeight="false" outlineLevel="0" collapsed="false">
      <c r="A32" s="6" t="n">
        <f aca="false">IFERROR(__xludf.dummyfunction("""COMPUTED_VALUE"""),44244.6666666667)</f>
        <v>44244.6666666667</v>
      </c>
      <c r="B32" s="5" t="n">
        <f aca="false">IFERROR(__xludf.dummyfunction("""COMPUTED_VALUE"""),241.32)</f>
        <v>241.32</v>
      </c>
      <c r="C32" s="5" t="n">
        <f aca="false">IFERROR(__xludf.dummyfunction("""COMPUTED_VALUE"""),244.31)</f>
        <v>244.31</v>
      </c>
      <c r="D32" s="5" t="n">
        <f aca="false">IFERROR(__xludf.dummyfunction("""COMPUTED_VALUE"""),240.94)</f>
        <v>240.94</v>
      </c>
      <c r="E32" s="5" t="n">
        <f aca="false">IFERROR(__xludf.dummyfunction("""COMPUTED_VALUE"""),244.2)</f>
        <v>244.2</v>
      </c>
      <c r="F32" s="5" t="n">
        <f aca="false">IFERROR(__xludf.dummyfunction("""COMPUTED_VALUE"""),21673109)</f>
        <v>21673109</v>
      </c>
    </row>
    <row r="33" customFormat="false" ht="15.75" hidden="false" customHeight="false" outlineLevel="0" collapsed="false">
      <c r="A33" s="6" t="n">
        <f aca="false">IFERROR(__xludf.dummyfunction("""COMPUTED_VALUE"""),44245.6666666667)</f>
        <v>44245.6666666667</v>
      </c>
      <c r="B33" s="5" t="n">
        <f aca="false">IFERROR(__xludf.dummyfunction("""COMPUTED_VALUE"""),241.8)</f>
        <v>241.8</v>
      </c>
      <c r="C33" s="5" t="n">
        <f aca="false">IFERROR(__xludf.dummyfunction("""COMPUTED_VALUE"""),243.93)</f>
        <v>243.93</v>
      </c>
      <c r="D33" s="5" t="n">
        <f aca="false">IFERROR(__xludf.dummyfunction("""COMPUTED_VALUE"""),240.86)</f>
        <v>240.86</v>
      </c>
      <c r="E33" s="5" t="n">
        <f aca="false">IFERROR(__xludf.dummyfunction("""COMPUTED_VALUE"""),243.79)</f>
        <v>243.79</v>
      </c>
      <c r="F33" s="5" t="n">
        <f aca="false">IFERROR(__xludf.dummyfunction("""COMPUTED_VALUE"""),16925563)</f>
        <v>16925563</v>
      </c>
    </row>
    <row r="34" customFormat="false" ht="15.75" hidden="false" customHeight="false" outlineLevel="0" collapsed="false">
      <c r="A34" s="6" t="n">
        <f aca="false">IFERROR(__xludf.dummyfunction("""COMPUTED_VALUE"""),44246.6666666667)</f>
        <v>44246.6666666667</v>
      </c>
      <c r="B34" s="5" t="n">
        <f aca="false">IFERROR(__xludf.dummyfunction("""COMPUTED_VALUE"""),243.75)</f>
        <v>243.75</v>
      </c>
      <c r="C34" s="5" t="n">
        <f aca="false">IFERROR(__xludf.dummyfunction("""COMPUTED_VALUE"""),243.86)</f>
        <v>243.86</v>
      </c>
      <c r="D34" s="5" t="n">
        <f aca="false">IFERROR(__xludf.dummyfunction("""COMPUTED_VALUE"""),240.18)</f>
        <v>240.18</v>
      </c>
      <c r="E34" s="5" t="n">
        <f aca="false">IFERROR(__xludf.dummyfunction("""COMPUTED_VALUE"""),240.97)</f>
        <v>240.97</v>
      </c>
      <c r="F34" s="5" t="n">
        <f aca="false">IFERROR(__xludf.dummyfunction("""COMPUTED_VALUE"""),25262600)</f>
        <v>25262600</v>
      </c>
    </row>
    <row r="35" customFormat="false" ht="15.75" hidden="false" customHeight="false" outlineLevel="0" collapsed="false">
      <c r="A35" s="6" t="n">
        <f aca="false">IFERROR(__xludf.dummyfunction("""COMPUTED_VALUE"""),44249.6666666667)</f>
        <v>44249.6666666667</v>
      </c>
      <c r="B35" s="5" t="n">
        <f aca="false">IFERROR(__xludf.dummyfunction("""COMPUTED_VALUE"""),237.42)</f>
        <v>237.42</v>
      </c>
      <c r="C35" s="5" t="n">
        <f aca="false">IFERROR(__xludf.dummyfunction("""COMPUTED_VALUE"""),237.93)</f>
        <v>237.93</v>
      </c>
      <c r="D35" s="5" t="n">
        <f aca="false">IFERROR(__xludf.dummyfunction("""COMPUTED_VALUE"""),232.4)</f>
        <v>232.4</v>
      </c>
      <c r="E35" s="5" t="n">
        <f aca="false">IFERROR(__xludf.dummyfunction("""COMPUTED_VALUE"""),234.51)</f>
        <v>234.51</v>
      </c>
      <c r="F35" s="5" t="n">
        <f aca="false">IFERROR(__xludf.dummyfunction("""COMPUTED_VALUE"""),36446936)</f>
        <v>36446936</v>
      </c>
    </row>
    <row r="36" customFormat="false" ht="15.75" hidden="false" customHeight="false" outlineLevel="0" collapsed="false">
      <c r="A36" s="6" t="n">
        <f aca="false">IFERROR(__xludf.dummyfunction("""COMPUTED_VALUE"""),44250.6666666667)</f>
        <v>44250.6666666667</v>
      </c>
      <c r="B36" s="5" t="n">
        <f aca="false">IFERROR(__xludf.dummyfunction("""COMPUTED_VALUE"""),230.33)</f>
        <v>230.33</v>
      </c>
      <c r="C36" s="5" t="n">
        <f aca="false">IFERROR(__xludf.dummyfunction("""COMPUTED_VALUE"""),234.83)</f>
        <v>234.83</v>
      </c>
      <c r="D36" s="5" t="n">
        <f aca="false">IFERROR(__xludf.dummyfunction("""COMPUTED_VALUE"""),228.73)</f>
        <v>228.73</v>
      </c>
      <c r="E36" s="5" t="n">
        <f aca="false">IFERROR(__xludf.dummyfunction("""COMPUTED_VALUE"""),233.27)</f>
        <v>233.27</v>
      </c>
      <c r="F36" s="5" t="n">
        <f aca="false">IFERROR(__xludf.dummyfunction("""COMPUTED_VALUE"""),30228704)</f>
        <v>30228704</v>
      </c>
    </row>
    <row r="37" customFormat="false" ht="15.75" hidden="false" customHeight="false" outlineLevel="0" collapsed="false">
      <c r="A37" s="6" t="n">
        <f aca="false">IFERROR(__xludf.dummyfunction("""COMPUTED_VALUE"""),44251.6666666667)</f>
        <v>44251.6666666667</v>
      </c>
      <c r="B37" s="5" t="n">
        <f aca="false">IFERROR(__xludf.dummyfunction("""COMPUTED_VALUE"""),230.01)</f>
        <v>230.01</v>
      </c>
      <c r="C37" s="5" t="n">
        <f aca="false">IFERROR(__xludf.dummyfunction("""COMPUTED_VALUE"""),235.2)</f>
        <v>235.2</v>
      </c>
      <c r="D37" s="5" t="n">
        <f aca="false">IFERROR(__xludf.dummyfunction("""COMPUTED_VALUE"""),229)</f>
        <v>229</v>
      </c>
      <c r="E37" s="5" t="n">
        <f aca="false">IFERROR(__xludf.dummyfunction("""COMPUTED_VALUE"""),234.55)</f>
        <v>234.55</v>
      </c>
      <c r="F37" s="5" t="n">
        <f aca="false">IFERROR(__xludf.dummyfunction("""COMPUTED_VALUE"""),26339746)</f>
        <v>26339746</v>
      </c>
    </row>
    <row r="38" customFormat="false" ht="15.75" hidden="false" customHeight="false" outlineLevel="0" collapsed="false">
      <c r="A38" s="6" t="n">
        <f aca="false">IFERROR(__xludf.dummyfunction("""COMPUTED_VALUE"""),44252.6666666667)</f>
        <v>44252.6666666667</v>
      </c>
      <c r="B38" s="5" t="n">
        <f aca="false">IFERROR(__xludf.dummyfunction("""COMPUTED_VALUE"""),232.08)</f>
        <v>232.08</v>
      </c>
      <c r="C38" s="5" t="n">
        <f aca="false">IFERROR(__xludf.dummyfunction("""COMPUTED_VALUE"""),234.59)</f>
        <v>234.59</v>
      </c>
      <c r="D38" s="5" t="n">
        <f aca="false">IFERROR(__xludf.dummyfunction("""COMPUTED_VALUE"""),227.88)</f>
        <v>227.88</v>
      </c>
      <c r="E38" s="5" t="n">
        <f aca="false">IFERROR(__xludf.dummyfunction("""COMPUTED_VALUE"""),228.99)</f>
        <v>228.99</v>
      </c>
      <c r="F38" s="5" t="n">
        <f aca="false">IFERROR(__xludf.dummyfunction("""COMPUTED_VALUE"""),39542235)</f>
        <v>39542235</v>
      </c>
    </row>
    <row r="39" customFormat="false" ht="15.75" hidden="false" customHeight="false" outlineLevel="0" collapsed="false">
      <c r="A39" s="6" t="n">
        <f aca="false">IFERROR(__xludf.dummyfunction("""COMPUTED_VALUE"""),44253.6666666667)</f>
        <v>44253.6666666667</v>
      </c>
      <c r="B39" s="5" t="n">
        <f aca="false">IFERROR(__xludf.dummyfunction("""COMPUTED_VALUE"""),231.53)</f>
        <v>231.53</v>
      </c>
      <c r="C39" s="5" t="n">
        <f aca="false">IFERROR(__xludf.dummyfunction("""COMPUTED_VALUE"""),235.37)</f>
        <v>235.37</v>
      </c>
      <c r="D39" s="5" t="n">
        <f aca="false">IFERROR(__xludf.dummyfunction("""COMPUTED_VALUE"""),229.54)</f>
        <v>229.54</v>
      </c>
      <c r="E39" s="5" t="n">
        <f aca="false">IFERROR(__xludf.dummyfunction("""COMPUTED_VALUE"""),232.38)</f>
        <v>232.38</v>
      </c>
      <c r="F39" s="5" t="n">
        <f aca="false">IFERROR(__xludf.dummyfunction("""COMPUTED_VALUE"""),37819227)</f>
        <v>37819227</v>
      </c>
    </row>
    <row r="40" customFormat="false" ht="15.75" hidden="false" customHeight="false" outlineLevel="0" collapsed="false">
      <c r="A40" s="6" t="n">
        <f aca="false">IFERROR(__xludf.dummyfunction("""COMPUTED_VALUE"""),44256.6666666667)</f>
        <v>44256.6666666667</v>
      </c>
      <c r="B40" s="5" t="n">
        <f aca="false">IFERROR(__xludf.dummyfunction("""COMPUTED_VALUE"""),235.9)</f>
        <v>235.9</v>
      </c>
      <c r="C40" s="5" t="n">
        <f aca="false">IFERROR(__xludf.dummyfunction("""COMPUTED_VALUE"""),237.47)</f>
        <v>237.47</v>
      </c>
      <c r="D40" s="5" t="n">
        <f aca="false">IFERROR(__xludf.dummyfunction("""COMPUTED_VALUE"""),233.15)</f>
        <v>233.15</v>
      </c>
      <c r="E40" s="5" t="n">
        <f aca="false">IFERROR(__xludf.dummyfunction("""COMPUTED_VALUE"""),236.94)</f>
        <v>236.94</v>
      </c>
      <c r="F40" s="5" t="n">
        <f aca="false">IFERROR(__xludf.dummyfunction("""COMPUTED_VALUE"""),25332837)</f>
        <v>25332837</v>
      </c>
    </row>
    <row r="41" customFormat="false" ht="15.75" hidden="false" customHeight="false" outlineLevel="0" collapsed="false">
      <c r="A41" s="6" t="n">
        <f aca="false">IFERROR(__xludf.dummyfunction("""COMPUTED_VALUE"""),44257.6666666667)</f>
        <v>44257.6666666667</v>
      </c>
      <c r="B41" s="5" t="n">
        <f aca="false">IFERROR(__xludf.dummyfunction("""COMPUTED_VALUE"""),237.01)</f>
        <v>237.01</v>
      </c>
      <c r="C41" s="5" t="n">
        <f aca="false">IFERROR(__xludf.dummyfunction("""COMPUTED_VALUE"""),237.3)</f>
        <v>237.3</v>
      </c>
      <c r="D41" s="5" t="n">
        <f aca="false">IFERROR(__xludf.dummyfunction("""COMPUTED_VALUE"""),233.45)</f>
        <v>233.45</v>
      </c>
      <c r="E41" s="5" t="n">
        <f aca="false">IFERROR(__xludf.dummyfunction("""COMPUTED_VALUE"""),233.87)</f>
        <v>233.87</v>
      </c>
      <c r="F41" s="5" t="n">
        <f aca="false">IFERROR(__xludf.dummyfunction("""COMPUTED_VALUE"""),22812459)</f>
        <v>22812459</v>
      </c>
    </row>
    <row r="42" customFormat="false" ht="15.75" hidden="false" customHeight="false" outlineLevel="0" collapsed="false">
      <c r="A42" s="6" t="n">
        <f aca="false">IFERROR(__xludf.dummyfunction("""COMPUTED_VALUE"""),44258.6666666667)</f>
        <v>44258.6666666667</v>
      </c>
      <c r="B42" s="5" t="n">
        <f aca="false">IFERROR(__xludf.dummyfunction("""COMPUTED_VALUE"""),232.16)</f>
        <v>232.16</v>
      </c>
      <c r="C42" s="5" t="n">
        <f aca="false">IFERROR(__xludf.dummyfunction("""COMPUTED_VALUE"""),233.58)</f>
        <v>233.58</v>
      </c>
      <c r="D42" s="5" t="n">
        <f aca="false">IFERROR(__xludf.dummyfunction("""COMPUTED_VALUE"""),227.26)</f>
        <v>227.26</v>
      </c>
      <c r="E42" s="5" t="n">
        <f aca="false">IFERROR(__xludf.dummyfunction("""COMPUTED_VALUE"""),227.56)</f>
        <v>227.56</v>
      </c>
      <c r="F42" s="5" t="n">
        <f aca="false">IFERROR(__xludf.dummyfunction("""COMPUTED_VALUE"""),34029526)</f>
        <v>34029526</v>
      </c>
    </row>
    <row r="43" customFormat="false" ht="15.75" hidden="false" customHeight="false" outlineLevel="0" collapsed="false">
      <c r="A43" s="6" t="n">
        <f aca="false">IFERROR(__xludf.dummyfunction("""COMPUTED_VALUE"""),44259.6666666667)</f>
        <v>44259.6666666667</v>
      </c>
      <c r="B43" s="5" t="n">
        <f aca="false">IFERROR(__xludf.dummyfunction("""COMPUTED_VALUE"""),226.74)</f>
        <v>226.74</v>
      </c>
      <c r="C43" s="5" t="n">
        <f aca="false">IFERROR(__xludf.dummyfunction("""COMPUTED_VALUE"""),232.49)</f>
        <v>232.49</v>
      </c>
      <c r="D43" s="5" t="n">
        <f aca="false">IFERROR(__xludf.dummyfunction("""COMPUTED_VALUE"""),224.26)</f>
        <v>224.26</v>
      </c>
      <c r="E43" s="5" t="n">
        <f aca="false">IFERROR(__xludf.dummyfunction("""COMPUTED_VALUE"""),226.73)</f>
        <v>226.73</v>
      </c>
      <c r="F43" s="5" t="n">
        <f aca="false">IFERROR(__xludf.dummyfunction("""COMPUTED_VALUE"""),44727785)</f>
        <v>44727785</v>
      </c>
    </row>
    <row r="44" customFormat="false" ht="15.75" hidden="false" customHeight="false" outlineLevel="0" collapsed="false">
      <c r="A44" s="6" t="n">
        <f aca="false">IFERROR(__xludf.dummyfunction("""COMPUTED_VALUE"""),44260.6666666667)</f>
        <v>44260.6666666667</v>
      </c>
      <c r="B44" s="5" t="n">
        <f aca="false">IFERROR(__xludf.dummyfunction("""COMPUTED_VALUE"""),229.52)</f>
        <v>229.52</v>
      </c>
      <c r="C44" s="5" t="n">
        <f aca="false">IFERROR(__xludf.dummyfunction("""COMPUTED_VALUE"""),233.27)</f>
        <v>233.27</v>
      </c>
      <c r="D44" s="5" t="n">
        <f aca="false">IFERROR(__xludf.dummyfunction("""COMPUTED_VALUE"""),226.46)</f>
        <v>226.46</v>
      </c>
      <c r="E44" s="5" t="n">
        <f aca="false">IFERROR(__xludf.dummyfunction("""COMPUTED_VALUE"""),231.6)</f>
        <v>231.6</v>
      </c>
      <c r="F44" s="5" t="n">
        <f aca="false">IFERROR(__xludf.dummyfunction("""COMPUTED_VALUE"""),41872770)</f>
        <v>41872770</v>
      </c>
    </row>
    <row r="45" customFormat="false" ht="15.75" hidden="false" customHeight="false" outlineLevel="0" collapsed="false">
      <c r="A45" s="6" t="n">
        <f aca="false">IFERROR(__xludf.dummyfunction("""COMPUTED_VALUE"""),44263.6666666667)</f>
        <v>44263.6666666667</v>
      </c>
      <c r="B45" s="5" t="n">
        <f aca="false">IFERROR(__xludf.dummyfunction("""COMPUTED_VALUE"""),231.37)</f>
        <v>231.37</v>
      </c>
      <c r="C45" s="5" t="n">
        <f aca="false">IFERROR(__xludf.dummyfunction("""COMPUTED_VALUE"""),233.37)</f>
        <v>233.37</v>
      </c>
      <c r="D45" s="5" t="n">
        <f aca="false">IFERROR(__xludf.dummyfunction("""COMPUTED_VALUE"""),227.13)</f>
        <v>227.13</v>
      </c>
      <c r="E45" s="5" t="n">
        <f aca="false">IFERROR(__xludf.dummyfunction("""COMPUTED_VALUE"""),227.39)</f>
        <v>227.39</v>
      </c>
      <c r="F45" s="5" t="n">
        <f aca="false">IFERROR(__xludf.dummyfunction("""COMPUTED_VALUE"""),35267440)</f>
        <v>35267440</v>
      </c>
    </row>
    <row r="46" customFormat="false" ht="15.75" hidden="false" customHeight="false" outlineLevel="0" collapsed="false">
      <c r="A46" s="6" t="n">
        <f aca="false">IFERROR(__xludf.dummyfunction("""COMPUTED_VALUE"""),44264.6666666667)</f>
        <v>44264.6666666667</v>
      </c>
      <c r="B46" s="5" t="n">
        <f aca="false">IFERROR(__xludf.dummyfunction("""COMPUTED_VALUE"""),232.88)</f>
        <v>232.88</v>
      </c>
      <c r="C46" s="5" t="n">
        <f aca="false">IFERROR(__xludf.dummyfunction("""COMPUTED_VALUE"""),235.38)</f>
        <v>235.38</v>
      </c>
      <c r="D46" s="5" t="n">
        <f aca="false">IFERROR(__xludf.dummyfunction("""COMPUTED_VALUE"""),231.67)</f>
        <v>231.67</v>
      </c>
      <c r="E46" s="5" t="n">
        <f aca="false">IFERROR(__xludf.dummyfunction("""COMPUTED_VALUE"""),233.78)</f>
        <v>233.78</v>
      </c>
      <c r="F46" s="5" t="n">
        <f aca="false">IFERROR(__xludf.dummyfunction("""COMPUTED_VALUE"""),33080531)</f>
        <v>33080531</v>
      </c>
    </row>
    <row r="47" customFormat="false" ht="15.75" hidden="false" customHeight="false" outlineLevel="0" collapsed="false">
      <c r="A47" s="6" t="n">
        <f aca="false">IFERROR(__xludf.dummyfunction("""COMPUTED_VALUE"""),44265.6666666667)</f>
        <v>44265.6666666667</v>
      </c>
      <c r="B47" s="5" t="n">
        <f aca="false">IFERROR(__xludf.dummyfunction("""COMPUTED_VALUE"""),237)</f>
        <v>237</v>
      </c>
      <c r="C47" s="5" t="n">
        <f aca="false">IFERROR(__xludf.dummyfunction("""COMPUTED_VALUE"""),237)</f>
        <v>237</v>
      </c>
      <c r="D47" s="5" t="n">
        <f aca="false">IFERROR(__xludf.dummyfunction("""COMPUTED_VALUE"""),232.04)</f>
        <v>232.04</v>
      </c>
      <c r="E47" s="5" t="n">
        <f aca="false">IFERROR(__xludf.dummyfunction("""COMPUTED_VALUE"""),232.42)</f>
        <v>232.42</v>
      </c>
      <c r="F47" s="5" t="n">
        <f aca="false">IFERROR(__xludf.dummyfunction("""COMPUTED_VALUE"""),29746812)</f>
        <v>29746812</v>
      </c>
    </row>
    <row r="48" customFormat="false" ht="15.75" hidden="false" customHeight="false" outlineLevel="0" collapsed="false">
      <c r="A48" s="6" t="n">
        <f aca="false">IFERROR(__xludf.dummyfunction("""COMPUTED_VALUE"""),44266.6666666667)</f>
        <v>44266.6666666667</v>
      </c>
      <c r="B48" s="5" t="n">
        <f aca="false">IFERROR(__xludf.dummyfunction("""COMPUTED_VALUE"""),234.96)</f>
        <v>234.96</v>
      </c>
      <c r="C48" s="5" t="n">
        <f aca="false">IFERROR(__xludf.dummyfunction("""COMPUTED_VALUE"""),239.17)</f>
        <v>239.17</v>
      </c>
      <c r="D48" s="5" t="n">
        <f aca="false">IFERROR(__xludf.dummyfunction("""COMPUTED_VALUE"""),234.31)</f>
        <v>234.31</v>
      </c>
      <c r="E48" s="5" t="n">
        <f aca="false">IFERROR(__xludf.dummyfunction("""COMPUTED_VALUE"""),237.13)</f>
        <v>237.13</v>
      </c>
      <c r="F48" s="5" t="n">
        <f aca="false">IFERROR(__xludf.dummyfunction("""COMPUTED_VALUE"""),29907586)</f>
        <v>29907586</v>
      </c>
    </row>
    <row r="49" customFormat="false" ht="15.75" hidden="false" customHeight="false" outlineLevel="0" collapsed="false">
      <c r="A49" s="6" t="n">
        <f aca="false">IFERROR(__xludf.dummyfunction("""COMPUTED_VALUE"""),44267.6666666667)</f>
        <v>44267.6666666667</v>
      </c>
      <c r="B49" s="5" t="n">
        <f aca="false">IFERROR(__xludf.dummyfunction("""COMPUTED_VALUE"""),234.01)</f>
        <v>234.01</v>
      </c>
      <c r="C49" s="5" t="n">
        <f aca="false">IFERROR(__xludf.dummyfunction("""COMPUTED_VALUE"""),235.82)</f>
        <v>235.82</v>
      </c>
      <c r="D49" s="5" t="n">
        <f aca="false">IFERROR(__xludf.dummyfunction("""COMPUTED_VALUE"""),233.23)</f>
        <v>233.23</v>
      </c>
      <c r="E49" s="5" t="n">
        <f aca="false">IFERROR(__xludf.dummyfunction("""COMPUTED_VALUE"""),235.75)</f>
        <v>235.75</v>
      </c>
      <c r="F49" s="5" t="n">
        <f aca="false">IFERROR(__xludf.dummyfunction("""COMPUTED_VALUE"""),22653662)</f>
        <v>22653662</v>
      </c>
    </row>
    <row r="50" customFormat="false" ht="15.75" hidden="false" customHeight="false" outlineLevel="0" collapsed="false">
      <c r="A50" s="6" t="n">
        <f aca="false">IFERROR(__xludf.dummyfunction("""COMPUTED_VALUE"""),44270.6666666667)</f>
        <v>44270.6666666667</v>
      </c>
      <c r="B50" s="5" t="n">
        <f aca="false">IFERROR(__xludf.dummyfunction("""COMPUTED_VALUE"""),234.96)</f>
        <v>234.96</v>
      </c>
      <c r="C50" s="5" t="n">
        <f aca="false">IFERROR(__xludf.dummyfunction("""COMPUTED_VALUE"""),235.19)</f>
        <v>235.19</v>
      </c>
      <c r="D50" s="5" t="n">
        <f aca="false">IFERROR(__xludf.dummyfunction("""COMPUTED_VALUE"""),231.81)</f>
        <v>231.81</v>
      </c>
      <c r="E50" s="5" t="n">
        <f aca="false">IFERROR(__xludf.dummyfunction("""COMPUTED_VALUE"""),234.81)</f>
        <v>234.81</v>
      </c>
      <c r="F50" s="5" t="n">
        <f aca="false">IFERROR(__xludf.dummyfunction("""COMPUTED_VALUE"""),26042669)</f>
        <v>26042669</v>
      </c>
    </row>
    <row r="51" customFormat="false" ht="15.75" hidden="false" customHeight="false" outlineLevel="0" collapsed="false">
      <c r="A51" s="6" t="n">
        <f aca="false">IFERROR(__xludf.dummyfunction("""COMPUTED_VALUE"""),44271.6666666667)</f>
        <v>44271.6666666667</v>
      </c>
      <c r="B51" s="5" t="n">
        <f aca="false">IFERROR(__xludf.dummyfunction("""COMPUTED_VALUE"""),236.28)</f>
        <v>236.28</v>
      </c>
      <c r="C51" s="5" t="n">
        <f aca="false">IFERROR(__xludf.dummyfunction("""COMPUTED_VALUE"""),240.06)</f>
        <v>240.06</v>
      </c>
      <c r="D51" s="5" t="n">
        <f aca="false">IFERROR(__xludf.dummyfunction("""COMPUTED_VALUE"""),235.94)</f>
        <v>235.94</v>
      </c>
      <c r="E51" s="5" t="n">
        <f aca="false">IFERROR(__xludf.dummyfunction("""COMPUTED_VALUE"""),237.71)</f>
        <v>237.71</v>
      </c>
      <c r="F51" s="5" t="n">
        <f aca="false">IFERROR(__xludf.dummyfunction("""COMPUTED_VALUE"""),28092196)</f>
        <v>28092196</v>
      </c>
    </row>
    <row r="52" customFormat="false" ht="15.75" hidden="false" customHeight="false" outlineLevel="0" collapsed="false">
      <c r="A52" s="6" t="n">
        <f aca="false">IFERROR(__xludf.dummyfunction("""COMPUTED_VALUE"""),44272.6666666667)</f>
        <v>44272.6666666667</v>
      </c>
      <c r="B52" s="5" t="n">
        <f aca="false">IFERROR(__xludf.dummyfunction("""COMPUTED_VALUE"""),236.15)</f>
        <v>236.15</v>
      </c>
      <c r="C52" s="5" t="n">
        <f aca="false">IFERROR(__xludf.dummyfunction("""COMPUTED_VALUE"""),238.55)</f>
        <v>238.55</v>
      </c>
      <c r="D52" s="5" t="n">
        <f aca="false">IFERROR(__xludf.dummyfunction("""COMPUTED_VALUE"""),233.23)</f>
        <v>233.23</v>
      </c>
      <c r="E52" s="5" t="n">
        <f aca="false">IFERROR(__xludf.dummyfunction("""COMPUTED_VALUE"""),237.04)</f>
        <v>237.04</v>
      </c>
      <c r="F52" s="5" t="n">
        <f aca="false">IFERROR(__xludf.dummyfunction("""COMPUTED_VALUE"""),29562100)</f>
        <v>29562100</v>
      </c>
    </row>
    <row r="53" customFormat="false" ht="15.75" hidden="false" customHeight="false" outlineLevel="0" collapsed="false">
      <c r="A53" s="6" t="n">
        <f aca="false">IFERROR(__xludf.dummyfunction("""COMPUTED_VALUE"""),44273.6666666667)</f>
        <v>44273.6666666667</v>
      </c>
      <c r="B53" s="5" t="n">
        <f aca="false">IFERROR(__xludf.dummyfunction("""COMPUTED_VALUE"""),232.56)</f>
        <v>232.56</v>
      </c>
      <c r="C53" s="5" t="n">
        <f aca="false">IFERROR(__xludf.dummyfunction("""COMPUTED_VALUE"""),234.19)</f>
        <v>234.19</v>
      </c>
      <c r="D53" s="5" t="n">
        <f aca="false">IFERROR(__xludf.dummyfunction("""COMPUTED_VALUE"""),230.33)</f>
        <v>230.33</v>
      </c>
      <c r="E53" s="5" t="n">
        <f aca="false">IFERROR(__xludf.dummyfunction("""COMPUTED_VALUE"""),230.72)</f>
        <v>230.72</v>
      </c>
      <c r="F53" s="5" t="n">
        <f aca="false">IFERROR(__xludf.dummyfunction("""COMPUTED_VALUE"""),34852251)</f>
        <v>34852251</v>
      </c>
    </row>
    <row r="54" customFormat="false" ht="15.75" hidden="false" customHeight="false" outlineLevel="0" collapsed="false">
      <c r="A54" s="6" t="n">
        <f aca="false">IFERROR(__xludf.dummyfunction("""COMPUTED_VALUE"""),44274.6666666667)</f>
        <v>44274.6666666667</v>
      </c>
      <c r="B54" s="5" t="n">
        <f aca="false">IFERROR(__xludf.dummyfunction("""COMPUTED_VALUE"""),231.02)</f>
        <v>231.02</v>
      </c>
      <c r="C54" s="5" t="n">
        <f aca="false">IFERROR(__xludf.dummyfunction("""COMPUTED_VALUE"""),232.47)</f>
        <v>232.47</v>
      </c>
      <c r="D54" s="5" t="n">
        <f aca="false">IFERROR(__xludf.dummyfunction("""COMPUTED_VALUE"""),229.35)</f>
        <v>229.35</v>
      </c>
      <c r="E54" s="5" t="n">
        <f aca="false">IFERROR(__xludf.dummyfunction("""COMPUTED_VALUE"""),230.35)</f>
        <v>230.35</v>
      </c>
      <c r="F54" s="5" t="n">
        <f aca="false">IFERROR(__xludf.dummyfunction("""COMPUTED_VALUE"""),46430730)</f>
        <v>46430730</v>
      </c>
    </row>
    <row r="55" customFormat="false" ht="15.75" hidden="false" customHeight="false" outlineLevel="0" collapsed="false">
      <c r="A55" s="6" t="n">
        <f aca="false">IFERROR(__xludf.dummyfunction("""COMPUTED_VALUE"""),44277.6666666667)</f>
        <v>44277.6666666667</v>
      </c>
      <c r="B55" s="5" t="n">
        <f aca="false">IFERROR(__xludf.dummyfunction("""COMPUTED_VALUE"""),230.27)</f>
        <v>230.27</v>
      </c>
      <c r="C55" s="5" t="n">
        <f aca="false">IFERROR(__xludf.dummyfunction("""COMPUTED_VALUE"""),236.9)</f>
        <v>236.9</v>
      </c>
      <c r="D55" s="5" t="n">
        <f aca="false">IFERROR(__xludf.dummyfunction("""COMPUTED_VALUE"""),230.14)</f>
        <v>230.14</v>
      </c>
      <c r="E55" s="5" t="n">
        <f aca="false">IFERROR(__xludf.dummyfunction("""COMPUTED_VALUE"""),235.99)</f>
        <v>235.99</v>
      </c>
      <c r="F55" s="5" t="n">
        <f aca="false">IFERROR(__xludf.dummyfunction("""COMPUTED_VALUE"""),30127005)</f>
        <v>30127005</v>
      </c>
    </row>
    <row r="56" customFormat="false" ht="15.75" hidden="false" customHeight="false" outlineLevel="0" collapsed="false">
      <c r="A56" s="6" t="n">
        <f aca="false">IFERROR(__xludf.dummyfunction("""COMPUTED_VALUE"""),44278.6666666667)</f>
        <v>44278.6666666667</v>
      </c>
      <c r="B56" s="5" t="n">
        <f aca="false">IFERROR(__xludf.dummyfunction("""COMPUTED_VALUE"""),237.49)</f>
        <v>237.49</v>
      </c>
      <c r="C56" s="5" t="n">
        <f aca="false">IFERROR(__xludf.dummyfunction("""COMPUTED_VALUE"""),241.05)</f>
        <v>241.05</v>
      </c>
      <c r="D56" s="5" t="n">
        <f aca="false">IFERROR(__xludf.dummyfunction("""COMPUTED_VALUE"""),237.07)</f>
        <v>237.07</v>
      </c>
      <c r="E56" s="5" t="n">
        <f aca="false">IFERROR(__xludf.dummyfunction("""COMPUTED_VALUE"""),237.58)</f>
        <v>237.58</v>
      </c>
      <c r="F56" s="5" t="n">
        <f aca="false">IFERROR(__xludf.dummyfunction("""COMPUTED_VALUE"""),31638376)</f>
        <v>31638376</v>
      </c>
    </row>
    <row r="57" customFormat="false" ht="15.75" hidden="false" customHeight="false" outlineLevel="0" collapsed="false">
      <c r="A57" s="6" t="n">
        <f aca="false">IFERROR(__xludf.dummyfunction("""COMPUTED_VALUE"""),44279.6666666667)</f>
        <v>44279.6666666667</v>
      </c>
      <c r="B57" s="5" t="n">
        <f aca="false">IFERROR(__xludf.dummyfunction("""COMPUTED_VALUE"""),237.85)</f>
        <v>237.85</v>
      </c>
      <c r="C57" s="5" t="n">
        <f aca="false">IFERROR(__xludf.dummyfunction("""COMPUTED_VALUE"""),238)</f>
        <v>238</v>
      </c>
      <c r="D57" s="5" t="n">
        <f aca="false">IFERROR(__xludf.dummyfunction("""COMPUTED_VALUE"""),235.32)</f>
        <v>235.32</v>
      </c>
      <c r="E57" s="5" t="n">
        <f aca="false">IFERROR(__xludf.dummyfunction("""COMPUTED_VALUE"""),235.46)</f>
        <v>235.46</v>
      </c>
      <c r="F57" s="5" t="n">
        <f aca="false">IFERROR(__xludf.dummyfunction("""COMPUTED_VALUE"""),25620127)</f>
        <v>25620127</v>
      </c>
    </row>
    <row r="58" customFormat="false" ht="15.75" hidden="false" customHeight="false" outlineLevel="0" collapsed="false">
      <c r="A58" s="6" t="n">
        <f aca="false">IFERROR(__xludf.dummyfunction("""COMPUTED_VALUE"""),44280.6666666667)</f>
        <v>44280.6666666667</v>
      </c>
      <c r="B58" s="5" t="n">
        <f aca="false">IFERROR(__xludf.dummyfunction("""COMPUTED_VALUE"""),235.3)</f>
        <v>235.3</v>
      </c>
      <c r="C58" s="5" t="n">
        <f aca="false">IFERROR(__xludf.dummyfunction("""COMPUTED_VALUE"""),236.94)</f>
        <v>236.94</v>
      </c>
      <c r="D58" s="5" t="n">
        <f aca="false">IFERROR(__xludf.dummyfunction("""COMPUTED_VALUE"""),231.57)</f>
        <v>231.57</v>
      </c>
      <c r="E58" s="5" t="n">
        <f aca="false">IFERROR(__xludf.dummyfunction("""COMPUTED_VALUE"""),232.34)</f>
        <v>232.34</v>
      </c>
      <c r="F58" s="5" t="n">
        <f aca="false">IFERROR(__xludf.dummyfunction("""COMPUTED_VALUE"""),34061853)</f>
        <v>34061853</v>
      </c>
    </row>
    <row r="59" customFormat="false" ht="15.75" hidden="false" customHeight="false" outlineLevel="0" collapsed="false">
      <c r="A59" s="6" t="n">
        <f aca="false">IFERROR(__xludf.dummyfunction("""COMPUTED_VALUE"""),44281.6666666667)</f>
        <v>44281.6666666667</v>
      </c>
      <c r="B59" s="5" t="n">
        <f aca="false">IFERROR(__xludf.dummyfunction("""COMPUTED_VALUE"""),231.55)</f>
        <v>231.55</v>
      </c>
      <c r="C59" s="5" t="n">
        <f aca="false">IFERROR(__xludf.dummyfunction("""COMPUTED_VALUE"""),236.71)</f>
        <v>236.71</v>
      </c>
      <c r="D59" s="5" t="n">
        <f aca="false">IFERROR(__xludf.dummyfunction("""COMPUTED_VALUE"""),231.55)</f>
        <v>231.55</v>
      </c>
      <c r="E59" s="5" t="n">
        <f aca="false">IFERROR(__xludf.dummyfunction("""COMPUTED_VALUE"""),236.48)</f>
        <v>236.48</v>
      </c>
      <c r="F59" s="5" t="n">
        <f aca="false">IFERROR(__xludf.dummyfunction("""COMPUTED_VALUE"""),25479853)</f>
        <v>25479853</v>
      </c>
    </row>
    <row r="60" customFormat="false" ht="15.75" hidden="false" customHeight="false" outlineLevel="0" collapsed="false">
      <c r="A60" s="6" t="n">
        <f aca="false">IFERROR(__xludf.dummyfunction("""COMPUTED_VALUE"""),44284.6666666667)</f>
        <v>44284.6666666667</v>
      </c>
      <c r="B60" s="5" t="n">
        <f aca="false">IFERROR(__xludf.dummyfunction("""COMPUTED_VALUE"""),236.59)</f>
        <v>236.59</v>
      </c>
      <c r="C60" s="5" t="n">
        <f aca="false">IFERROR(__xludf.dummyfunction("""COMPUTED_VALUE"""),236.8)</f>
        <v>236.8</v>
      </c>
      <c r="D60" s="5" t="n">
        <f aca="false">IFERROR(__xludf.dummyfunction("""COMPUTED_VALUE"""),231.88)</f>
        <v>231.88</v>
      </c>
      <c r="E60" s="5" t="n">
        <f aca="false">IFERROR(__xludf.dummyfunction("""COMPUTED_VALUE"""),235.24)</f>
        <v>235.24</v>
      </c>
      <c r="F60" s="5" t="n">
        <f aca="false">IFERROR(__xludf.dummyfunction("""COMPUTED_VALUE"""),25227455)</f>
        <v>25227455</v>
      </c>
    </row>
    <row r="61" customFormat="false" ht="15.75" hidden="false" customHeight="false" outlineLevel="0" collapsed="false">
      <c r="A61" s="6" t="n">
        <f aca="false">IFERROR(__xludf.dummyfunction("""COMPUTED_VALUE"""),44285.6666666667)</f>
        <v>44285.6666666667</v>
      </c>
      <c r="B61" s="5" t="n">
        <f aca="false">IFERROR(__xludf.dummyfunction("""COMPUTED_VALUE"""),233.53)</f>
        <v>233.53</v>
      </c>
      <c r="C61" s="5" t="n">
        <f aca="false">IFERROR(__xludf.dummyfunction("""COMPUTED_VALUE"""),233.85)</f>
        <v>233.85</v>
      </c>
      <c r="D61" s="5" t="n">
        <f aca="false">IFERROR(__xludf.dummyfunction("""COMPUTED_VALUE"""),231.1)</f>
        <v>231.1</v>
      </c>
      <c r="E61" s="5" t="n">
        <f aca="false">IFERROR(__xludf.dummyfunction("""COMPUTED_VALUE"""),231.85)</f>
        <v>231.85</v>
      </c>
      <c r="F61" s="5" t="n">
        <f aca="false">IFERROR(__xludf.dummyfunction("""COMPUTED_VALUE"""),24792012)</f>
        <v>24792012</v>
      </c>
    </row>
    <row r="62" customFormat="false" ht="15.75" hidden="false" customHeight="false" outlineLevel="0" collapsed="false">
      <c r="A62" s="6" t="n">
        <f aca="false">IFERROR(__xludf.dummyfunction("""COMPUTED_VALUE"""),44286.6666666667)</f>
        <v>44286.6666666667</v>
      </c>
      <c r="B62" s="5" t="n">
        <f aca="false">IFERROR(__xludf.dummyfunction("""COMPUTED_VALUE"""),232.91)</f>
        <v>232.91</v>
      </c>
      <c r="C62" s="5" t="n">
        <f aca="false">IFERROR(__xludf.dummyfunction("""COMPUTED_VALUE"""),239.1)</f>
        <v>239.1</v>
      </c>
      <c r="D62" s="5" t="n">
        <f aca="false">IFERROR(__xludf.dummyfunction("""COMPUTED_VALUE"""),232.39)</f>
        <v>232.39</v>
      </c>
      <c r="E62" s="5" t="n">
        <f aca="false">IFERROR(__xludf.dummyfunction("""COMPUTED_VALUE"""),235.77)</f>
        <v>235.77</v>
      </c>
      <c r="F62" s="5" t="n">
        <f aca="false">IFERROR(__xludf.dummyfunction("""COMPUTED_VALUE"""),43623471)</f>
        <v>43623471</v>
      </c>
    </row>
    <row r="63" customFormat="false" ht="15.75" hidden="false" customHeight="false" outlineLevel="0" collapsed="false">
      <c r="A63" s="6" t="n">
        <f aca="false">IFERROR(__xludf.dummyfunction("""COMPUTED_VALUE"""),44287.6666666667)</f>
        <v>44287.6666666667</v>
      </c>
      <c r="B63" s="5" t="n">
        <f aca="false">IFERROR(__xludf.dummyfunction("""COMPUTED_VALUE"""),238.47)</f>
        <v>238.47</v>
      </c>
      <c r="C63" s="5" t="n">
        <f aca="false">IFERROR(__xludf.dummyfunction("""COMPUTED_VALUE"""),242.84)</f>
        <v>242.84</v>
      </c>
      <c r="D63" s="5" t="n">
        <f aca="false">IFERROR(__xludf.dummyfunction("""COMPUTED_VALUE"""),238.05)</f>
        <v>238.05</v>
      </c>
      <c r="E63" s="5" t="n">
        <f aca="false">IFERROR(__xludf.dummyfunction("""COMPUTED_VALUE"""),242.35)</f>
        <v>242.35</v>
      </c>
      <c r="F63" s="5" t="n">
        <f aca="false">IFERROR(__xludf.dummyfunction("""COMPUTED_VALUE"""),30337982)</f>
        <v>30337982</v>
      </c>
    </row>
    <row r="64" customFormat="false" ht="15.75" hidden="false" customHeight="false" outlineLevel="0" collapsed="false">
      <c r="A64" s="6" t="n">
        <f aca="false">IFERROR(__xludf.dummyfunction("""COMPUTED_VALUE"""),44291.6666666667)</f>
        <v>44291.6666666667</v>
      </c>
      <c r="B64" s="5" t="n">
        <f aca="false">IFERROR(__xludf.dummyfunction("""COMPUTED_VALUE"""),242.76)</f>
        <v>242.76</v>
      </c>
      <c r="C64" s="5" t="n">
        <f aca="false">IFERROR(__xludf.dummyfunction("""COMPUTED_VALUE"""),249.96)</f>
        <v>249.96</v>
      </c>
      <c r="D64" s="5" t="n">
        <f aca="false">IFERROR(__xludf.dummyfunction("""COMPUTED_VALUE"""),242.7)</f>
        <v>242.7</v>
      </c>
      <c r="E64" s="5" t="n">
        <f aca="false">IFERROR(__xludf.dummyfunction("""COMPUTED_VALUE"""),249.07)</f>
        <v>249.07</v>
      </c>
      <c r="F64" s="5" t="n">
        <f aca="false">IFERROR(__xludf.dummyfunction("""COMPUTED_VALUE"""),36910609)</f>
        <v>36910609</v>
      </c>
    </row>
    <row r="65" customFormat="false" ht="15.75" hidden="false" customHeight="false" outlineLevel="0" collapsed="false">
      <c r="A65" s="6" t="n">
        <f aca="false">IFERROR(__xludf.dummyfunction("""COMPUTED_VALUE"""),44292.6666666667)</f>
        <v>44292.6666666667</v>
      </c>
      <c r="B65" s="5" t="n">
        <f aca="false">IFERROR(__xludf.dummyfunction("""COMPUTED_VALUE"""),247.61)</f>
        <v>247.61</v>
      </c>
      <c r="C65" s="5" t="n">
        <f aca="false">IFERROR(__xludf.dummyfunction("""COMPUTED_VALUE"""),249.4)</f>
        <v>249.4</v>
      </c>
      <c r="D65" s="5" t="n">
        <f aca="false">IFERROR(__xludf.dummyfunction("""COMPUTED_VALUE"""),246.88)</f>
        <v>246.88</v>
      </c>
      <c r="E65" s="5" t="n">
        <f aca="false">IFERROR(__xludf.dummyfunction("""COMPUTED_VALUE"""),247.86)</f>
        <v>247.86</v>
      </c>
      <c r="F65" s="5" t="n">
        <f aca="false">IFERROR(__xludf.dummyfunction("""COMPUTED_VALUE"""),22931923)</f>
        <v>22931923</v>
      </c>
    </row>
    <row r="66" customFormat="false" ht="15.75" hidden="false" customHeight="false" outlineLevel="0" collapsed="false">
      <c r="A66" s="6" t="n">
        <f aca="false">IFERROR(__xludf.dummyfunction("""COMPUTED_VALUE"""),44293.6666666667)</f>
        <v>44293.6666666667</v>
      </c>
      <c r="B66" s="5" t="n">
        <f aca="false">IFERROR(__xludf.dummyfunction("""COMPUTED_VALUE"""),247.81)</f>
        <v>247.81</v>
      </c>
      <c r="C66" s="5" t="n">
        <f aca="false">IFERROR(__xludf.dummyfunction("""COMPUTED_VALUE"""),250.93)</f>
        <v>250.93</v>
      </c>
      <c r="D66" s="5" t="n">
        <f aca="false">IFERROR(__xludf.dummyfunction("""COMPUTED_VALUE"""),247.19)</f>
        <v>247.19</v>
      </c>
      <c r="E66" s="5" t="n">
        <f aca="false">IFERROR(__xludf.dummyfunction("""COMPUTED_VALUE"""),249.9)</f>
        <v>249.9</v>
      </c>
      <c r="F66" s="5" t="n">
        <f aca="false">IFERROR(__xludf.dummyfunction("""COMPUTED_VALUE"""),22719835)</f>
        <v>22719835</v>
      </c>
    </row>
    <row r="67" customFormat="false" ht="15.75" hidden="false" customHeight="false" outlineLevel="0" collapsed="false">
      <c r="A67" s="6" t="n">
        <f aca="false">IFERROR(__xludf.dummyfunction("""COMPUTED_VALUE"""),44294.6666666667)</f>
        <v>44294.6666666667</v>
      </c>
      <c r="B67" s="5" t="n">
        <f aca="false">IFERROR(__xludf.dummyfunction("""COMPUTED_VALUE"""),252.77)</f>
        <v>252.77</v>
      </c>
      <c r="C67" s="5" t="n">
        <f aca="false">IFERROR(__xludf.dummyfunction("""COMPUTED_VALUE"""),254.14)</f>
        <v>254.14</v>
      </c>
      <c r="D67" s="5" t="n">
        <f aca="false">IFERROR(__xludf.dummyfunction("""COMPUTED_VALUE"""),252)</f>
        <v>252</v>
      </c>
      <c r="E67" s="5" t="n">
        <f aca="false">IFERROR(__xludf.dummyfunction("""COMPUTED_VALUE"""),253.25)</f>
        <v>253.25</v>
      </c>
      <c r="F67" s="5" t="n">
        <f aca="false">IFERROR(__xludf.dummyfunction("""COMPUTED_VALUE"""),23625197)</f>
        <v>23625197</v>
      </c>
    </row>
    <row r="68" customFormat="false" ht="15.75" hidden="false" customHeight="false" outlineLevel="0" collapsed="false">
      <c r="A68" s="6" t="n">
        <f aca="false">IFERROR(__xludf.dummyfunction("""COMPUTED_VALUE"""),44295.6666666667)</f>
        <v>44295.6666666667</v>
      </c>
      <c r="B68" s="5" t="n">
        <f aca="false">IFERROR(__xludf.dummyfunction("""COMPUTED_VALUE"""),252.87)</f>
        <v>252.87</v>
      </c>
      <c r="C68" s="5" t="n">
        <f aca="false">IFERROR(__xludf.dummyfunction("""COMPUTED_VALUE"""),255.99)</f>
        <v>255.99</v>
      </c>
      <c r="D68" s="5" t="n">
        <f aca="false">IFERROR(__xludf.dummyfunction("""COMPUTED_VALUE"""),252.44)</f>
        <v>252.44</v>
      </c>
      <c r="E68" s="5" t="n">
        <f aca="false">IFERROR(__xludf.dummyfunction("""COMPUTED_VALUE"""),255.85)</f>
        <v>255.85</v>
      </c>
      <c r="F68" s="5" t="n">
        <f aca="false">IFERROR(__xludf.dummyfunction("""COMPUTED_VALUE"""),24326833)</f>
        <v>24326833</v>
      </c>
    </row>
    <row r="69" customFormat="false" ht="15.75" hidden="false" customHeight="false" outlineLevel="0" collapsed="false">
      <c r="A69" s="6" t="n">
        <f aca="false">IFERROR(__xludf.dummyfunction("""COMPUTED_VALUE"""),44298.6666666667)</f>
        <v>44298.6666666667</v>
      </c>
      <c r="B69" s="5" t="n">
        <f aca="false">IFERROR(__xludf.dummyfunction("""COMPUTED_VALUE"""),254.71)</f>
        <v>254.71</v>
      </c>
      <c r="C69" s="5" t="n">
        <f aca="false">IFERROR(__xludf.dummyfunction("""COMPUTED_VALUE"""),257.67)</f>
        <v>257.67</v>
      </c>
      <c r="D69" s="5" t="n">
        <f aca="false">IFERROR(__xludf.dummyfunction("""COMPUTED_VALUE"""),254.62)</f>
        <v>254.62</v>
      </c>
      <c r="E69" s="5" t="n">
        <f aca="false">IFERROR(__xludf.dummyfunction("""COMPUTED_VALUE"""),255.91)</f>
        <v>255.91</v>
      </c>
      <c r="F69" s="5" t="n">
        <f aca="false">IFERROR(__xludf.dummyfunction("""COMPUTED_VALUE"""),27148668)</f>
        <v>27148668</v>
      </c>
    </row>
    <row r="70" customFormat="false" ht="15.75" hidden="false" customHeight="false" outlineLevel="0" collapsed="false">
      <c r="A70" s="6" t="n">
        <f aca="false">IFERROR(__xludf.dummyfunction("""COMPUTED_VALUE"""),44299.6666666667)</f>
        <v>44299.6666666667</v>
      </c>
      <c r="B70" s="5" t="n">
        <f aca="false">IFERROR(__xludf.dummyfunction("""COMPUTED_VALUE"""),257.26)</f>
        <v>257.26</v>
      </c>
      <c r="C70" s="5" t="n">
        <f aca="false">IFERROR(__xludf.dummyfunction("""COMPUTED_VALUE"""),259.19)</f>
        <v>259.19</v>
      </c>
      <c r="D70" s="5" t="n">
        <f aca="false">IFERROR(__xludf.dummyfunction("""COMPUTED_VALUE"""),256.83)</f>
        <v>256.83</v>
      </c>
      <c r="E70" s="5" t="n">
        <f aca="false">IFERROR(__xludf.dummyfunction("""COMPUTED_VALUE"""),258.49)</f>
        <v>258.49</v>
      </c>
      <c r="F70" s="5" t="n">
        <f aca="false">IFERROR(__xludf.dummyfunction("""COMPUTED_VALUE"""),23837469)</f>
        <v>23837469</v>
      </c>
    </row>
    <row r="71" customFormat="false" ht="15.75" hidden="false" customHeight="false" outlineLevel="0" collapsed="false">
      <c r="A71" s="6" t="n">
        <f aca="false">IFERROR(__xludf.dummyfunction("""COMPUTED_VALUE"""),44300.6666666667)</f>
        <v>44300.6666666667</v>
      </c>
      <c r="B71" s="5" t="n">
        <f aca="false">IFERROR(__xludf.dummyfunction("""COMPUTED_VALUE"""),257.48)</f>
        <v>257.48</v>
      </c>
      <c r="C71" s="5" t="n">
        <f aca="false">IFERROR(__xludf.dummyfunction("""COMPUTED_VALUE"""),258.83)</f>
        <v>258.83</v>
      </c>
      <c r="D71" s="5" t="n">
        <f aca="false">IFERROR(__xludf.dummyfunction("""COMPUTED_VALUE"""),255.16)</f>
        <v>255.16</v>
      </c>
      <c r="E71" s="5" t="n">
        <f aca="false">IFERROR(__xludf.dummyfunction("""COMPUTED_VALUE"""),255.59)</f>
        <v>255.59</v>
      </c>
      <c r="F71" s="5" t="n">
        <f aca="false">IFERROR(__xludf.dummyfunction("""COMPUTED_VALUE"""),23070938)</f>
        <v>23070938</v>
      </c>
    </row>
    <row r="72" customFormat="false" ht="15.75" hidden="false" customHeight="false" outlineLevel="0" collapsed="false">
      <c r="A72" s="6" t="n">
        <f aca="false">IFERROR(__xludf.dummyfunction("""COMPUTED_VALUE"""),44301.6666666667)</f>
        <v>44301.6666666667</v>
      </c>
      <c r="B72" s="5" t="n">
        <f aca="false">IFERROR(__xludf.dummyfunction("""COMPUTED_VALUE"""),257.93)</f>
        <v>257.93</v>
      </c>
      <c r="C72" s="5" t="n">
        <f aca="false">IFERROR(__xludf.dummyfunction("""COMPUTED_VALUE"""),259.93)</f>
        <v>259.93</v>
      </c>
      <c r="D72" s="5" t="n">
        <f aca="false">IFERROR(__xludf.dummyfunction("""COMPUTED_VALUE"""),257.73)</f>
        <v>257.73</v>
      </c>
      <c r="E72" s="5" t="n">
        <f aca="false">IFERROR(__xludf.dummyfunction("""COMPUTED_VALUE"""),259.5)</f>
        <v>259.5</v>
      </c>
      <c r="F72" s="5" t="n">
        <f aca="false">IFERROR(__xludf.dummyfunction("""COMPUTED_VALUE"""),25627481)</f>
        <v>25627481</v>
      </c>
    </row>
    <row r="73" customFormat="false" ht="15.75" hidden="false" customHeight="false" outlineLevel="0" collapsed="false">
      <c r="A73" s="6" t="n">
        <f aca="false">IFERROR(__xludf.dummyfunction("""COMPUTED_VALUE"""),44302.6666666667)</f>
        <v>44302.6666666667</v>
      </c>
      <c r="B73" s="5" t="n">
        <f aca="false">IFERROR(__xludf.dummyfunction("""COMPUTED_VALUE"""),259.47)</f>
        <v>259.47</v>
      </c>
      <c r="C73" s="5" t="n">
        <f aca="false">IFERROR(__xludf.dummyfunction("""COMPUTED_VALUE"""),261)</f>
        <v>261</v>
      </c>
      <c r="D73" s="5" t="n">
        <f aca="false">IFERROR(__xludf.dummyfunction("""COMPUTED_VALUE"""),257.6)</f>
        <v>257.6</v>
      </c>
      <c r="E73" s="5" t="n">
        <f aca="false">IFERROR(__xludf.dummyfunction("""COMPUTED_VALUE"""),260.74)</f>
        <v>260.74</v>
      </c>
      <c r="F73" s="5" t="n">
        <f aca="false">IFERROR(__xludf.dummyfunction("""COMPUTED_VALUE"""),24878582)</f>
        <v>24878582</v>
      </c>
    </row>
    <row r="74" customFormat="false" ht="15.75" hidden="false" customHeight="false" outlineLevel="0" collapsed="false">
      <c r="A74" s="6" t="n">
        <f aca="false">IFERROR(__xludf.dummyfunction("""COMPUTED_VALUE"""),44305.6666666667)</f>
        <v>44305.6666666667</v>
      </c>
      <c r="B74" s="5" t="n">
        <f aca="false">IFERROR(__xludf.dummyfunction("""COMPUTED_VALUE"""),260.19)</f>
        <v>260.19</v>
      </c>
      <c r="C74" s="5" t="n">
        <f aca="false">IFERROR(__xludf.dummyfunction("""COMPUTED_VALUE"""),261.48)</f>
        <v>261.48</v>
      </c>
      <c r="D74" s="5" t="n">
        <f aca="false">IFERROR(__xludf.dummyfunction("""COMPUTED_VALUE"""),257.82)</f>
        <v>257.82</v>
      </c>
      <c r="E74" s="5" t="n">
        <f aca="false">IFERROR(__xludf.dummyfunction("""COMPUTED_VALUE"""),258.74)</f>
        <v>258.74</v>
      </c>
      <c r="F74" s="5" t="n">
        <f aca="false">IFERROR(__xludf.dummyfunction("""COMPUTED_VALUE"""),23209260)</f>
        <v>23209260</v>
      </c>
    </row>
    <row r="75" customFormat="false" ht="15.75" hidden="false" customHeight="false" outlineLevel="0" collapsed="false">
      <c r="A75" s="6" t="n">
        <f aca="false">IFERROR(__xludf.dummyfunction("""COMPUTED_VALUE"""),44306.6666666667)</f>
        <v>44306.6666666667</v>
      </c>
      <c r="B75" s="5" t="n">
        <f aca="false">IFERROR(__xludf.dummyfunction("""COMPUTED_VALUE"""),257.82)</f>
        <v>257.82</v>
      </c>
      <c r="C75" s="5" t="n">
        <f aca="false">IFERROR(__xludf.dummyfunction("""COMPUTED_VALUE"""),260.2)</f>
        <v>260.2</v>
      </c>
      <c r="D75" s="5" t="n">
        <f aca="false">IFERROR(__xludf.dummyfunction("""COMPUTED_VALUE"""),256.84)</f>
        <v>256.84</v>
      </c>
      <c r="E75" s="5" t="n">
        <f aca="false">IFERROR(__xludf.dummyfunction("""COMPUTED_VALUE"""),258.26)</f>
        <v>258.26</v>
      </c>
      <c r="F75" s="5" t="n">
        <f aca="false">IFERROR(__xludf.dummyfunction("""COMPUTED_VALUE"""),19722875)</f>
        <v>19722875</v>
      </c>
    </row>
    <row r="76" customFormat="false" ht="15.75" hidden="false" customHeight="false" outlineLevel="0" collapsed="false">
      <c r="A76" s="6" t="n">
        <f aca="false">IFERROR(__xludf.dummyfunction("""COMPUTED_VALUE"""),44307.6666666667)</f>
        <v>44307.6666666667</v>
      </c>
      <c r="B76" s="5" t="n">
        <f aca="false">IFERROR(__xludf.dummyfunction("""COMPUTED_VALUE"""),258.94)</f>
        <v>258.94</v>
      </c>
      <c r="C76" s="5" t="n">
        <f aca="false">IFERROR(__xludf.dummyfunction("""COMPUTED_VALUE"""),260.68)</f>
        <v>260.68</v>
      </c>
      <c r="D76" s="5" t="n">
        <f aca="false">IFERROR(__xludf.dummyfunction("""COMPUTED_VALUE"""),257.25)</f>
        <v>257.25</v>
      </c>
      <c r="E76" s="5" t="n">
        <f aca="false">IFERROR(__xludf.dummyfunction("""COMPUTED_VALUE"""),260.58)</f>
        <v>260.58</v>
      </c>
      <c r="F76" s="5" t="n">
        <f aca="false">IFERROR(__xludf.dummyfunction("""COMPUTED_VALUE"""),24030383)</f>
        <v>24030383</v>
      </c>
    </row>
    <row r="77" customFormat="false" ht="15.75" hidden="false" customHeight="false" outlineLevel="0" collapsed="false">
      <c r="A77" s="6" t="n">
        <f aca="false">IFERROR(__xludf.dummyfunction("""COMPUTED_VALUE"""),44308.6666666667)</f>
        <v>44308.6666666667</v>
      </c>
      <c r="B77" s="5" t="n">
        <f aca="false">IFERROR(__xludf.dummyfunction("""COMPUTED_VALUE"""),260.21)</f>
        <v>260.21</v>
      </c>
      <c r="C77" s="5" t="n">
        <f aca="false">IFERROR(__xludf.dummyfunction("""COMPUTED_VALUE"""),261.78)</f>
        <v>261.78</v>
      </c>
      <c r="D77" s="5" t="n">
        <f aca="false">IFERROR(__xludf.dummyfunction("""COMPUTED_VALUE"""),255.64)</f>
        <v>255.64</v>
      </c>
      <c r="E77" s="5" t="n">
        <f aca="false">IFERROR(__xludf.dummyfunction("""COMPUTED_VALUE"""),257.17)</f>
        <v>257.17</v>
      </c>
      <c r="F77" s="5" t="n">
        <f aca="false">IFERROR(__xludf.dummyfunction("""COMPUTED_VALUE"""),25606152)</f>
        <v>25606152</v>
      </c>
    </row>
    <row r="78" customFormat="false" ht="15.75" hidden="false" customHeight="false" outlineLevel="0" collapsed="false">
      <c r="A78" s="6" t="n">
        <f aca="false">IFERROR(__xludf.dummyfunction("""COMPUTED_VALUE"""),44309.6666666667)</f>
        <v>44309.6666666667</v>
      </c>
      <c r="B78" s="5" t="n">
        <f aca="false">IFERROR(__xludf.dummyfunction("""COMPUTED_VALUE"""),257.88)</f>
        <v>257.88</v>
      </c>
      <c r="C78" s="5" t="n">
        <f aca="false">IFERROR(__xludf.dummyfunction("""COMPUTED_VALUE"""),261.51)</f>
        <v>261.51</v>
      </c>
      <c r="D78" s="5" t="n">
        <f aca="false">IFERROR(__xludf.dummyfunction("""COMPUTED_VALUE"""),257.27)</f>
        <v>257.27</v>
      </c>
      <c r="E78" s="5" t="n">
        <f aca="false">IFERROR(__xludf.dummyfunction("""COMPUTED_VALUE"""),261.15)</f>
        <v>261.15</v>
      </c>
      <c r="F78" s="5" t="n">
        <f aca="false">IFERROR(__xludf.dummyfunction("""COMPUTED_VALUE"""),21499286)</f>
        <v>21499286</v>
      </c>
    </row>
    <row r="79" customFormat="false" ht="15.75" hidden="false" customHeight="false" outlineLevel="0" collapsed="false">
      <c r="A79" s="6" t="n">
        <f aca="false">IFERROR(__xludf.dummyfunction("""COMPUTED_VALUE"""),44312.6666666667)</f>
        <v>44312.6666666667</v>
      </c>
      <c r="B79" s="5" t="n">
        <f aca="false">IFERROR(__xludf.dummyfunction("""COMPUTED_VALUE"""),261.66)</f>
        <v>261.66</v>
      </c>
      <c r="C79" s="5" t="n">
        <f aca="false">IFERROR(__xludf.dummyfunction("""COMPUTED_VALUE"""),262.44)</f>
        <v>262.44</v>
      </c>
      <c r="D79" s="5" t="n">
        <f aca="false">IFERROR(__xludf.dummyfunction("""COMPUTED_VALUE"""),260.17)</f>
        <v>260.17</v>
      </c>
      <c r="E79" s="5" t="n">
        <f aca="false">IFERROR(__xludf.dummyfunction("""COMPUTED_VALUE"""),261.55)</f>
        <v>261.55</v>
      </c>
      <c r="F79" s="5" t="n">
        <f aca="false">IFERROR(__xludf.dummyfunction("""COMPUTED_VALUE"""),19763346)</f>
        <v>19763346</v>
      </c>
    </row>
    <row r="80" customFormat="false" ht="15.75" hidden="false" customHeight="false" outlineLevel="0" collapsed="false">
      <c r="A80" s="6" t="n">
        <f aca="false">IFERROR(__xludf.dummyfunction("""COMPUTED_VALUE"""),44313.6666666667)</f>
        <v>44313.6666666667</v>
      </c>
      <c r="B80" s="5" t="n">
        <f aca="false">IFERROR(__xludf.dummyfunction("""COMPUTED_VALUE"""),261.58)</f>
        <v>261.58</v>
      </c>
      <c r="C80" s="5" t="n">
        <f aca="false">IFERROR(__xludf.dummyfunction("""COMPUTED_VALUE"""),263.19)</f>
        <v>263.19</v>
      </c>
      <c r="D80" s="5" t="n">
        <f aca="false">IFERROR(__xludf.dummyfunction("""COMPUTED_VALUE"""),260.12)</f>
        <v>260.12</v>
      </c>
      <c r="E80" s="5" t="n">
        <f aca="false">IFERROR(__xludf.dummyfunction("""COMPUTED_VALUE"""),261.97)</f>
        <v>261.97</v>
      </c>
      <c r="F80" s="5" t="n">
        <f aca="false">IFERROR(__xludf.dummyfunction("""COMPUTED_VALUE"""),31014213)</f>
        <v>31014213</v>
      </c>
    </row>
    <row r="81" customFormat="false" ht="15.75" hidden="false" customHeight="false" outlineLevel="0" collapsed="false">
      <c r="A81" s="6" t="n">
        <f aca="false">IFERROR(__xludf.dummyfunction("""COMPUTED_VALUE"""),44314.6666666667)</f>
        <v>44314.6666666667</v>
      </c>
      <c r="B81" s="5" t="n">
        <f aca="false">IFERROR(__xludf.dummyfunction("""COMPUTED_VALUE"""),256.08)</f>
        <v>256.08</v>
      </c>
      <c r="C81" s="5" t="n">
        <f aca="false">IFERROR(__xludf.dummyfunction("""COMPUTED_VALUE"""),256.54)</f>
        <v>256.54</v>
      </c>
      <c r="D81" s="5" t="n">
        <f aca="false">IFERROR(__xludf.dummyfunction("""COMPUTED_VALUE"""),252.95)</f>
        <v>252.95</v>
      </c>
      <c r="E81" s="5" t="n">
        <f aca="false">IFERROR(__xludf.dummyfunction("""COMPUTED_VALUE"""),254.56)</f>
        <v>254.56</v>
      </c>
      <c r="F81" s="5" t="n">
        <f aca="false">IFERROR(__xludf.dummyfunction("""COMPUTED_VALUE"""),46903119)</f>
        <v>46903119</v>
      </c>
    </row>
    <row r="82" customFormat="false" ht="15.75" hidden="false" customHeight="false" outlineLevel="0" collapsed="false">
      <c r="A82" s="6" t="n">
        <f aca="false">IFERROR(__xludf.dummyfunction("""COMPUTED_VALUE"""),44315.6666666667)</f>
        <v>44315.6666666667</v>
      </c>
      <c r="B82" s="5" t="n">
        <f aca="false">IFERROR(__xludf.dummyfunction("""COMPUTED_VALUE"""),255.46)</f>
        <v>255.46</v>
      </c>
      <c r="C82" s="5" t="n">
        <f aca="false">IFERROR(__xludf.dummyfunction("""COMPUTED_VALUE"""),256.1)</f>
        <v>256.1</v>
      </c>
      <c r="D82" s="5" t="n">
        <f aca="false">IFERROR(__xludf.dummyfunction("""COMPUTED_VALUE"""),249)</f>
        <v>249</v>
      </c>
      <c r="E82" s="5" t="n">
        <f aca="false">IFERROR(__xludf.dummyfunction("""COMPUTED_VALUE"""),252.51)</f>
        <v>252.51</v>
      </c>
      <c r="F82" s="5" t="n">
        <f aca="false">IFERROR(__xludf.dummyfunction("""COMPUTED_VALUE"""),40589023)</f>
        <v>40589023</v>
      </c>
    </row>
    <row r="83" customFormat="false" ht="15.75" hidden="false" customHeight="false" outlineLevel="0" collapsed="false">
      <c r="A83" s="6" t="n">
        <f aca="false">IFERROR(__xludf.dummyfunction("""COMPUTED_VALUE"""),44316.6666666667)</f>
        <v>44316.6666666667</v>
      </c>
      <c r="B83" s="5" t="n">
        <f aca="false">IFERROR(__xludf.dummyfunction("""COMPUTED_VALUE"""),249.74)</f>
        <v>249.74</v>
      </c>
      <c r="C83" s="5" t="n">
        <f aca="false">IFERROR(__xludf.dummyfunction("""COMPUTED_VALUE"""),253.08)</f>
        <v>253.08</v>
      </c>
      <c r="D83" s="5" t="n">
        <f aca="false">IFERROR(__xludf.dummyfunction("""COMPUTED_VALUE"""),249.6)</f>
        <v>249.6</v>
      </c>
      <c r="E83" s="5" t="n">
        <f aca="false">IFERROR(__xludf.dummyfunction("""COMPUTED_VALUE"""),252.18)</f>
        <v>252.18</v>
      </c>
      <c r="F83" s="5" t="n">
        <f aca="false">IFERROR(__xludf.dummyfunction("""COMPUTED_VALUE"""),30945098)</f>
        <v>30945098</v>
      </c>
    </row>
    <row r="84" customFormat="false" ht="15.75" hidden="false" customHeight="false" outlineLevel="0" collapsed="false">
      <c r="A84" s="6" t="n">
        <f aca="false">IFERROR(__xludf.dummyfunction("""COMPUTED_VALUE"""),44319.6666666667)</f>
        <v>44319.6666666667</v>
      </c>
      <c r="B84" s="5" t="n">
        <f aca="false">IFERROR(__xludf.dummyfunction("""COMPUTED_VALUE"""),253.4)</f>
        <v>253.4</v>
      </c>
      <c r="C84" s="5" t="n">
        <f aca="false">IFERROR(__xludf.dummyfunction("""COMPUTED_VALUE"""),254.35)</f>
        <v>254.35</v>
      </c>
      <c r="D84" s="5" t="n">
        <f aca="false">IFERROR(__xludf.dummyfunction("""COMPUTED_VALUE"""),251.12)</f>
        <v>251.12</v>
      </c>
      <c r="E84" s="5" t="n">
        <f aca="false">IFERROR(__xludf.dummyfunction("""COMPUTED_VALUE"""),251.86)</f>
        <v>251.86</v>
      </c>
      <c r="F84" s="5" t="n">
        <f aca="false">IFERROR(__xludf.dummyfunction("""COMPUTED_VALUE"""),19626568)</f>
        <v>19626568</v>
      </c>
    </row>
    <row r="85" customFormat="false" ht="15.75" hidden="false" customHeight="false" outlineLevel="0" collapsed="false">
      <c r="A85" s="6" t="n">
        <f aca="false">IFERROR(__xludf.dummyfunction("""COMPUTED_VALUE"""),44320.6666666667)</f>
        <v>44320.6666666667</v>
      </c>
      <c r="B85" s="5" t="n">
        <f aca="false">IFERROR(__xludf.dummyfunction("""COMPUTED_VALUE"""),250.97)</f>
        <v>250.97</v>
      </c>
      <c r="C85" s="5" t="n">
        <f aca="false">IFERROR(__xludf.dummyfunction("""COMPUTED_VALUE"""),251.21)</f>
        <v>251.21</v>
      </c>
      <c r="D85" s="5" t="n">
        <f aca="false">IFERROR(__xludf.dummyfunction("""COMPUTED_VALUE"""),245.76)</f>
        <v>245.76</v>
      </c>
      <c r="E85" s="5" t="n">
        <f aca="false">IFERROR(__xludf.dummyfunction("""COMPUTED_VALUE"""),247.79)</f>
        <v>247.79</v>
      </c>
      <c r="F85" s="5" t="n">
        <f aca="false">IFERROR(__xludf.dummyfunction("""COMPUTED_VALUE"""),32756052)</f>
        <v>32756052</v>
      </c>
    </row>
    <row r="86" customFormat="false" ht="15.75" hidden="false" customHeight="false" outlineLevel="0" collapsed="false">
      <c r="A86" s="6" t="n">
        <f aca="false">IFERROR(__xludf.dummyfunction("""COMPUTED_VALUE"""),44321.6666666667)</f>
        <v>44321.6666666667</v>
      </c>
      <c r="B86" s="5" t="n">
        <f aca="false">IFERROR(__xludf.dummyfunction("""COMPUTED_VALUE"""),249.06)</f>
        <v>249.06</v>
      </c>
      <c r="C86" s="5" t="n">
        <f aca="false">IFERROR(__xludf.dummyfunction("""COMPUTED_VALUE"""),249.5)</f>
        <v>249.5</v>
      </c>
      <c r="D86" s="5" t="n">
        <f aca="false">IFERROR(__xludf.dummyfunction("""COMPUTED_VALUE"""),245.82)</f>
        <v>245.82</v>
      </c>
      <c r="E86" s="5" t="n">
        <f aca="false">IFERROR(__xludf.dummyfunction("""COMPUTED_VALUE"""),246.47)</f>
        <v>246.47</v>
      </c>
      <c r="F86" s="5" t="n">
        <f aca="false">IFERROR(__xludf.dummyfunction("""COMPUTED_VALUE"""),21901325)</f>
        <v>21901325</v>
      </c>
    </row>
    <row r="87" customFormat="false" ht="15.75" hidden="false" customHeight="false" outlineLevel="0" collapsed="false">
      <c r="A87" s="6" t="n">
        <f aca="false">IFERROR(__xludf.dummyfunction("""COMPUTED_VALUE"""),44322.6666666667)</f>
        <v>44322.6666666667</v>
      </c>
      <c r="B87" s="5" t="n">
        <f aca="false">IFERROR(__xludf.dummyfunction("""COMPUTED_VALUE"""),246.45)</f>
        <v>246.45</v>
      </c>
      <c r="C87" s="5" t="n">
        <f aca="false">IFERROR(__xludf.dummyfunction("""COMPUTED_VALUE"""),249.86)</f>
        <v>249.86</v>
      </c>
      <c r="D87" s="5" t="n">
        <f aca="false">IFERROR(__xludf.dummyfunction("""COMPUTED_VALUE"""),244.69)</f>
        <v>244.69</v>
      </c>
      <c r="E87" s="5" t="n">
        <f aca="false">IFERROR(__xludf.dummyfunction("""COMPUTED_VALUE"""),249.73)</f>
        <v>249.73</v>
      </c>
      <c r="F87" s="5" t="n">
        <f aca="false">IFERROR(__xludf.dummyfunction("""COMPUTED_VALUE"""),26491085)</f>
        <v>26491085</v>
      </c>
    </row>
    <row r="88" customFormat="false" ht="15.75" hidden="false" customHeight="false" outlineLevel="0" collapsed="false">
      <c r="A88" s="6" t="n">
        <f aca="false">IFERROR(__xludf.dummyfunction("""COMPUTED_VALUE"""),44323.6666666667)</f>
        <v>44323.6666666667</v>
      </c>
      <c r="B88" s="5" t="n">
        <f aca="false">IFERROR(__xludf.dummyfunction("""COMPUTED_VALUE"""),252.15)</f>
        <v>252.15</v>
      </c>
      <c r="C88" s="5" t="n">
        <f aca="false">IFERROR(__xludf.dummyfunction("""COMPUTED_VALUE"""),254.3)</f>
        <v>254.3</v>
      </c>
      <c r="D88" s="5" t="n">
        <f aca="false">IFERROR(__xludf.dummyfunction("""COMPUTED_VALUE"""),251.17)</f>
        <v>251.17</v>
      </c>
      <c r="E88" s="5" t="n">
        <f aca="false">IFERROR(__xludf.dummyfunction("""COMPUTED_VALUE"""),252.46)</f>
        <v>252.46</v>
      </c>
      <c r="F88" s="5" t="n">
        <f aca="false">IFERROR(__xludf.dummyfunction("""COMPUTED_VALUE"""),27032912)</f>
        <v>27032912</v>
      </c>
    </row>
    <row r="89" customFormat="false" ht="15.75" hidden="false" customHeight="false" outlineLevel="0" collapsed="false">
      <c r="A89" s="6" t="n">
        <f aca="false">IFERROR(__xludf.dummyfunction("""COMPUTED_VALUE"""),44326.6666666667)</f>
        <v>44326.6666666667</v>
      </c>
      <c r="B89" s="5" t="n">
        <f aca="false">IFERROR(__xludf.dummyfunction("""COMPUTED_VALUE"""),250.87)</f>
        <v>250.87</v>
      </c>
      <c r="C89" s="5" t="n">
        <f aca="false">IFERROR(__xludf.dummyfunction("""COMPUTED_VALUE"""),251.73)</f>
        <v>251.73</v>
      </c>
      <c r="D89" s="5" t="n">
        <f aca="false">IFERROR(__xludf.dummyfunction("""COMPUTED_VALUE"""),247.12)</f>
        <v>247.12</v>
      </c>
      <c r="E89" s="5" t="n">
        <f aca="false">IFERROR(__xludf.dummyfunction("""COMPUTED_VALUE"""),247.18)</f>
        <v>247.18</v>
      </c>
      <c r="F89" s="5" t="n">
        <f aca="false">IFERROR(__xludf.dummyfunction("""COMPUTED_VALUE"""),29299890)</f>
        <v>29299890</v>
      </c>
    </row>
    <row r="90" customFormat="false" ht="15.75" hidden="false" customHeight="false" outlineLevel="0" collapsed="false">
      <c r="A90" s="6" t="n">
        <f aca="false">IFERROR(__xludf.dummyfunction("""COMPUTED_VALUE"""),44327.6666666667)</f>
        <v>44327.6666666667</v>
      </c>
      <c r="B90" s="5" t="n">
        <f aca="false">IFERROR(__xludf.dummyfunction("""COMPUTED_VALUE"""),244.55)</f>
        <v>244.55</v>
      </c>
      <c r="C90" s="5" t="n">
        <f aca="false">IFERROR(__xludf.dummyfunction("""COMPUTED_VALUE"""),246.6)</f>
        <v>246.6</v>
      </c>
      <c r="D90" s="5" t="n">
        <f aca="false">IFERROR(__xludf.dummyfunction("""COMPUTED_VALUE"""),242.57)</f>
        <v>242.57</v>
      </c>
      <c r="E90" s="5" t="n">
        <f aca="false">IFERROR(__xludf.dummyfunction("""COMPUTED_VALUE"""),246.23)</f>
        <v>246.23</v>
      </c>
      <c r="F90" s="5" t="n">
        <f aca="false">IFERROR(__xludf.dummyfunction("""COMPUTED_VALUE"""),33641589)</f>
        <v>33641589</v>
      </c>
    </row>
    <row r="91" customFormat="false" ht="15.75" hidden="false" customHeight="false" outlineLevel="0" collapsed="false">
      <c r="A91" s="6" t="n">
        <f aca="false">IFERROR(__xludf.dummyfunction("""COMPUTED_VALUE"""),44328.6666666667)</f>
        <v>44328.6666666667</v>
      </c>
      <c r="B91" s="5" t="n">
        <f aca="false">IFERROR(__xludf.dummyfunction("""COMPUTED_VALUE"""),242.17)</f>
        <v>242.17</v>
      </c>
      <c r="C91" s="5" t="n">
        <f aca="false">IFERROR(__xludf.dummyfunction("""COMPUTED_VALUE"""),244.38)</f>
        <v>244.38</v>
      </c>
      <c r="D91" s="5" t="n">
        <f aca="false">IFERROR(__xludf.dummyfunction("""COMPUTED_VALUE"""),238.07)</f>
        <v>238.07</v>
      </c>
      <c r="E91" s="5" t="n">
        <f aca="false">IFERROR(__xludf.dummyfunction("""COMPUTED_VALUE"""),239)</f>
        <v>239</v>
      </c>
      <c r="F91" s="5" t="n">
        <f aca="false">IFERROR(__xludf.dummyfunction("""COMPUTED_VALUE"""),36684370)</f>
        <v>36684370</v>
      </c>
    </row>
    <row r="92" customFormat="false" ht="15.75" hidden="false" customHeight="false" outlineLevel="0" collapsed="false">
      <c r="A92" s="6" t="n">
        <f aca="false">IFERROR(__xludf.dummyfunction("""COMPUTED_VALUE"""),44329.6666666667)</f>
        <v>44329.6666666667</v>
      </c>
      <c r="B92" s="5" t="n">
        <f aca="false">IFERROR(__xludf.dummyfunction("""COMPUTED_VALUE"""),241.8)</f>
        <v>241.8</v>
      </c>
      <c r="C92" s="5" t="n">
        <f aca="false">IFERROR(__xludf.dummyfunction("""COMPUTED_VALUE"""),245.6)</f>
        <v>245.6</v>
      </c>
      <c r="D92" s="5" t="n">
        <f aca="false">IFERROR(__xludf.dummyfunction("""COMPUTED_VALUE"""),241.42)</f>
        <v>241.42</v>
      </c>
      <c r="E92" s="5" t="n">
        <f aca="false">IFERROR(__xludf.dummyfunction("""COMPUTED_VALUE"""),243.03)</f>
        <v>243.03</v>
      </c>
      <c r="F92" s="5" t="n">
        <f aca="false">IFERROR(__xludf.dummyfunction("""COMPUTED_VALUE"""),29624298)</f>
        <v>29624298</v>
      </c>
    </row>
    <row r="93" customFormat="false" ht="15.75" hidden="false" customHeight="false" outlineLevel="0" collapsed="false">
      <c r="A93" s="6" t="n">
        <f aca="false">IFERROR(__xludf.dummyfunction("""COMPUTED_VALUE"""),44330.6666666667)</f>
        <v>44330.6666666667</v>
      </c>
      <c r="B93" s="5" t="n">
        <f aca="false">IFERROR(__xludf.dummyfunction("""COMPUTED_VALUE"""),245.58)</f>
        <v>245.58</v>
      </c>
      <c r="C93" s="5" t="n">
        <f aca="false">IFERROR(__xludf.dummyfunction("""COMPUTED_VALUE"""),249.18)</f>
        <v>249.18</v>
      </c>
      <c r="D93" s="5" t="n">
        <f aca="false">IFERROR(__xludf.dummyfunction("""COMPUTED_VALUE"""),245.49)</f>
        <v>245.49</v>
      </c>
      <c r="E93" s="5" t="n">
        <f aca="false">IFERROR(__xludf.dummyfunction("""COMPUTED_VALUE"""),248.15)</f>
        <v>248.15</v>
      </c>
      <c r="F93" s="5" t="n">
        <f aca="false">IFERROR(__xludf.dummyfunction("""COMPUTED_VALUE"""),23901081)</f>
        <v>23901081</v>
      </c>
    </row>
    <row r="94" customFormat="false" ht="15.75" hidden="false" customHeight="false" outlineLevel="0" collapsed="false">
      <c r="A94" s="6" t="n">
        <f aca="false">IFERROR(__xludf.dummyfunction("""COMPUTED_VALUE"""),44333.6666666667)</f>
        <v>44333.6666666667</v>
      </c>
      <c r="B94" s="5" t="n">
        <f aca="false">IFERROR(__xludf.dummyfunction("""COMPUTED_VALUE"""),246.55)</f>
        <v>246.55</v>
      </c>
      <c r="C94" s="5" t="n">
        <f aca="false">IFERROR(__xludf.dummyfunction("""COMPUTED_VALUE"""),246.59)</f>
        <v>246.59</v>
      </c>
      <c r="D94" s="5" t="n">
        <f aca="false">IFERROR(__xludf.dummyfunction("""COMPUTED_VALUE"""),243.52)</f>
        <v>243.52</v>
      </c>
      <c r="E94" s="5" t="n">
        <f aca="false">IFERROR(__xludf.dummyfunction("""COMPUTED_VALUE"""),245.18)</f>
        <v>245.18</v>
      </c>
      <c r="F94" s="5" t="n">
        <f aca="false">IFERROR(__xludf.dummyfunction("""COMPUTED_VALUE"""),24970168)</f>
        <v>24970168</v>
      </c>
    </row>
    <row r="95" customFormat="false" ht="15.75" hidden="false" customHeight="false" outlineLevel="0" collapsed="false">
      <c r="A95" s="6" t="n">
        <f aca="false">IFERROR(__xludf.dummyfunction("""COMPUTED_VALUE"""),44334.6666666667)</f>
        <v>44334.6666666667</v>
      </c>
      <c r="B95" s="5" t="n">
        <f aca="false">IFERROR(__xludf.dummyfunction("""COMPUTED_VALUE"""),246.27)</f>
        <v>246.27</v>
      </c>
      <c r="C95" s="5" t="n">
        <f aca="false">IFERROR(__xludf.dummyfunction("""COMPUTED_VALUE"""),246.41)</f>
        <v>246.41</v>
      </c>
      <c r="D95" s="5" t="n">
        <f aca="false">IFERROR(__xludf.dummyfunction("""COMPUTED_VALUE"""),242.9)</f>
        <v>242.9</v>
      </c>
      <c r="E95" s="5" t="n">
        <f aca="false">IFERROR(__xludf.dummyfunction("""COMPUTED_VALUE"""),243.08)</f>
        <v>243.08</v>
      </c>
      <c r="F95" s="5" t="n">
        <f aca="false">IFERROR(__xludf.dummyfunction("""COMPUTED_VALUE"""),20167975)</f>
        <v>20167975</v>
      </c>
    </row>
    <row r="96" customFormat="false" ht="15.75" hidden="false" customHeight="false" outlineLevel="0" collapsed="false">
      <c r="A96" s="6" t="n">
        <f aca="false">IFERROR(__xludf.dummyfunction("""COMPUTED_VALUE"""),44335.6666666667)</f>
        <v>44335.6666666667</v>
      </c>
      <c r="B96" s="5" t="n">
        <f aca="false">IFERROR(__xludf.dummyfunction("""COMPUTED_VALUE"""),239.31)</f>
        <v>239.31</v>
      </c>
      <c r="C96" s="5" t="n">
        <f aca="false">IFERROR(__xludf.dummyfunction("""COMPUTED_VALUE"""),243.23)</f>
        <v>243.23</v>
      </c>
      <c r="D96" s="5" t="n">
        <f aca="false">IFERROR(__xludf.dummyfunction("""COMPUTED_VALUE"""),238.6)</f>
        <v>238.6</v>
      </c>
      <c r="E96" s="5" t="n">
        <f aca="false">IFERROR(__xludf.dummyfunction("""COMPUTED_VALUE"""),243.12)</f>
        <v>243.12</v>
      </c>
      <c r="F96" s="5" t="n">
        <f aca="false">IFERROR(__xludf.dummyfunction("""COMPUTED_VALUE"""),25739807)</f>
        <v>25739807</v>
      </c>
    </row>
    <row r="97" customFormat="false" ht="15.75" hidden="false" customHeight="false" outlineLevel="0" collapsed="false">
      <c r="A97" s="6" t="n">
        <f aca="false">IFERROR(__xludf.dummyfunction("""COMPUTED_VALUE"""),44336.6666666667)</f>
        <v>44336.6666666667</v>
      </c>
      <c r="B97" s="5" t="n">
        <f aca="false">IFERROR(__xludf.dummyfunction("""COMPUTED_VALUE"""),243.96)</f>
        <v>243.96</v>
      </c>
      <c r="C97" s="5" t="n">
        <f aca="false">IFERROR(__xludf.dummyfunction("""COMPUTED_VALUE"""),247.95)</f>
        <v>247.95</v>
      </c>
      <c r="D97" s="5" t="n">
        <f aca="false">IFERROR(__xludf.dummyfunction("""COMPUTED_VALUE"""),243.86)</f>
        <v>243.86</v>
      </c>
      <c r="E97" s="5" t="n">
        <f aca="false">IFERROR(__xludf.dummyfunction("""COMPUTED_VALUE"""),246.48)</f>
        <v>246.48</v>
      </c>
      <c r="F97" s="5" t="n">
        <f aca="false">IFERROR(__xludf.dummyfunction("""COMPUTED_VALUE"""),21800716)</f>
        <v>21800716</v>
      </c>
    </row>
    <row r="98" customFormat="false" ht="15.75" hidden="false" customHeight="false" outlineLevel="0" collapsed="false">
      <c r="A98" s="6" t="n">
        <f aca="false">IFERROR(__xludf.dummyfunction("""COMPUTED_VALUE"""),44337.6666666667)</f>
        <v>44337.6666666667</v>
      </c>
      <c r="B98" s="5" t="n">
        <f aca="false">IFERROR(__xludf.dummyfunction("""COMPUTED_VALUE"""),247.57)</f>
        <v>247.57</v>
      </c>
      <c r="C98" s="5" t="n">
        <f aca="false">IFERROR(__xludf.dummyfunction("""COMPUTED_VALUE"""),248.33)</f>
        <v>248.33</v>
      </c>
      <c r="D98" s="5" t="n">
        <f aca="false">IFERROR(__xludf.dummyfunction("""COMPUTED_VALUE"""),244.74)</f>
        <v>244.74</v>
      </c>
      <c r="E98" s="5" t="n">
        <f aca="false">IFERROR(__xludf.dummyfunction("""COMPUTED_VALUE"""),245.17)</f>
        <v>245.17</v>
      </c>
      <c r="F98" s="5" t="n">
        <f aca="false">IFERROR(__xludf.dummyfunction("""COMPUTED_VALUE"""),21863058)</f>
        <v>21863058</v>
      </c>
    </row>
    <row r="99" customFormat="false" ht="15.75" hidden="false" customHeight="false" outlineLevel="0" collapsed="false">
      <c r="A99" s="6" t="n">
        <f aca="false">IFERROR(__xludf.dummyfunction("""COMPUTED_VALUE"""),44340.6666666667)</f>
        <v>44340.6666666667</v>
      </c>
      <c r="B99" s="5" t="n">
        <f aca="false">IFERROR(__xludf.dummyfunction("""COMPUTED_VALUE"""),247.79)</f>
        <v>247.79</v>
      </c>
      <c r="C99" s="5" t="n">
        <f aca="false">IFERROR(__xludf.dummyfunction("""COMPUTED_VALUE"""),251.16)</f>
        <v>251.16</v>
      </c>
      <c r="D99" s="5" t="n">
        <f aca="false">IFERROR(__xludf.dummyfunction("""COMPUTED_VALUE"""),247.51)</f>
        <v>247.51</v>
      </c>
      <c r="E99" s="5" t="n">
        <f aca="false">IFERROR(__xludf.dummyfunction("""COMPUTED_VALUE"""),250.78)</f>
        <v>250.78</v>
      </c>
      <c r="F99" s="5" t="n">
        <f aca="false">IFERROR(__xludf.dummyfunction("""COMPUTED_VALUE"""),21411547)</f>
        <v>21411547</v>
      </c>
    </row>
    <row r="100" customFormat="false" ht="15.75" hidden="false" customHeight="false" outlineLevel="0" collapsed="false">
      <c r="A100" s="6" t="n">
        <f aca="false">IFERROR(__xludf.dummyfunction("""COMPUTED_VALUE"""),44341.6666666667)</f>
        <v>44341.6666666667</v>
      </c>
      <c r="B100" s="5" t="n">
        <f aca="false">IFERROR(__xludf.dummyfunction("""COMPUTED_VALUE"""),251.77)</f>
        <v>251.77</v>
      </c>
      <c r="C100" s="5" t="n">
        <f aca="false">IFERROR(__xludf.dummyfunction("""COMPUTED_VALUE"""),252.75)</f>
        <v>252.75</v>
      </c>
      <c r="D100" s="5" t="n">
        <f aca="false">IFERROR(__xludf.dummyfunction("""COMPUTED_VALUE"""),250.82)</f>
        <v>250.82</v>
      </c>
      <c r="E100" s="5" t="n">
        <f aca="false">IFERROR(__xludf.dummyfunction("""COMPUTED_VALUE"""),251.72)</f>
        <v>251.72</v>
      </c>
      <c r="F100" s="5" t="n">
        <f aca="false">IFERROR(__xludf.dummyfunction("""COMPUTED_VALUE"""),17704303)</f>
        <v>17704303</v>
      </c>
    </row>
    <row r="101" customFormat="false" ht="15.75" hidden="false" customHeight="false" outlineLevel="0" collapsed="false">
      <c r="A101" s="6" t="n">
        <f aca="false">IFERROR(__xludf.dummyfunction("""COMPUTED_VALUE"""),44342.6666666667)</f>
        <v>44342.6666666667</v>
      </c>
      <c r="B101" s="5" t="n">
        <f aca="false">IFERROR(__xludf.dummyfunction("""COMPUTED_VALUE"""),251.43)</f>
        <v>251.43</v>
      </c>
      <c r="C101" s="5" t="n">
        <f aca="false">IFERROR(__xludf.dummyfunction("""COMPUTED_VALUE"""),252.94)</f>
        <v>252.94</v>
      </c>
      <c r="D101" s="5" t="n">
        <f aca="false">IFERROR(__xludf.dummyfunction("""COMPUTED_VALUE"""),250.75)</f>
        <v>250.75</v>
      </c>
      <c r="E101" s="5" t="n">
        <f aca="false">IFERROR(__xludf.dummyfunction("""COMPUTED_VALUE"""),251.49)</f>
        <v>251.49</v>
      </c>
      <c r="F101" s="5" t="n">
        <f aca="false">IFERROR(__xludf.dummyfunction("""COMPUTED_VALUE"""),17771600)</f>
        <v>17771600</v>
      </c>
    </row>
    <row r="102" customFormat="false" ht="15.75" hidden="false" customHeight="false" outlineLevel="0" collapsed="false">
      <c r="A102" s="6" t="n">
        <f aca="false">IFERROR(__xludf.dummyfunction("""COMPUTED_VALUE"""),44343.6666666667)</f>
        <v>44343.6666666667</v>
      </c>
      <c r="B102" s="5" t="n">
        <f aca="false">IFERROR(__xludf.dummyfunction("""COMPUTED_VALUE"""),251.17)</f>
        <v>251.17</v>
      </c>
      <c r="C102" s="5" t="n">
        <f aca="false">IFERROR(__xludf.dummyfunction("""COMPUTED_VALUE"""),251.48)</f>
        <v>251.48</v>
      </c>
      <c r="D102" s="5" t="n">
        <f aca="false">IFERROR(__xludf.dummyfunction("""COMPUTED_VALUE"""),249.25)</f>
        <v>249.25</v>
      </c>
      <c r="E102" s="5" t="n">
        <f aca="false">IFERROR(__xludf.dummyfunction("""COMPUTED_VALUE"""),249.31)</f>
        <v>249.31</v>
      </c>
      <c r="F102" s="5" t="n">
        <f aca="false">IFERROR(__xludf.dummyfunction("""COMPUTED_VALUE"""),24426244)</f>
        <v>24426244</v>
      </c>
    </row>
    <row r="103" customFormat="false" ht="15.75" hidden="false" customHeight="false" outlineLevel="0" collapsed="false">
      <c r="A103" s="6" t="n">
        <f aca="false">IFERROR(__xludf.dummyfunction("""COMPUTED_VALUE"""),44344.6666666667)</f>
        <v>44344.6666666667</v>
      </c>
      <c r="B103" s="5" t="n">
        <f aca="false">IFERROR(__xludf.dummyfunction("""COMPUTED_VALUE"""),251)</f>
        <v>251</v>
      </c>
      <c r="C103" s="5" t="n">
        <f aca="false">IFERROR(__xludf.dummyfunction("""COMPUTED_VALUE"""),252.08)</f>
        <v>252.08</v>
      </c>
      <c r="D103" s="5" t="n">
        <f aca="false">IFERROR(__xludf.dummyfunction("""COMPUTED_VALUE"""),249.56)</f>
        <v>249.56</v>
      </c>
      <c r="E103" s="5" t="n">
        <f aca="false">IFERROR(__xludf.dummyfunction("""COMPUTED_VALUE"""),249.68)</f>
        <v>249.68</v>
      </c>
      <c r="F103" s="5" t="n">
        <f aca="false">IFERROR(__xludf.dummyfunction("""COMPUTED_VALUE"""),18274942)</f>
        <v>18274942</v>
      </c>
    </row>
    <row r="104" customFormat="false" ht="15.75" hidden="false" customHeight="false" outlineLevel="0" collapsed="false">
      <c r="A104" s="6" t="n">
        <f aca="false">IFERROR(__xludf.dummyfunction("""COMPUTED_VALUE"""),44348.6666666667)</f>
        <v>44348.6666666667</v>
      </c>
      <c r="B104" s="5" t="n">
        <f aca="false">IFERROR(__xludf.dummyfunction("""COMPUTED_VALUE"""),251.23)</f>
        <v>251.23</v>
      </c>
      <c r="C104" s="5" t="n">
        <f aca="false">IFERROR(__xludf.dummyfunction("""COMPUTED_VALUE"""),251.29)</f>
        <v>251.29</v>
      </c>
      <c r="D104" s="5" t="n">
        <f aca="false">IFERROR(__xludf.dummyfunction("""COMPUTED_VALUE"""),246.96)</f>
        <v>246.96</v>
      </c>
      <c r="E104" s="5" t="n">
        <f aca="false">IFERROR(__xludf.dummyfunction("""COMPUTED_VALUE"""),247.4)</f>
        <v>247.4</v>
      </c>
      <c r="F104" s="5" t="n">
        <f aca="false">IFERROR(__xludf.dummyfunction("""COMPUTED_VALUE"""),23213310)</f>
        <v>23213310</v>
      </c>
    </row>
    <row r="105" customFormat="false" ht="15.75" hidden="false" customHeight="false" outlineLevel="0" collapsed="false">
      <c r="A105" s="6" t="n">
        <f aca="false">IFERROR(__xludf.dummyfunction("""COMPUTED_VALUE"""),44349.6666666667)</f>
        <v>44349.6666666667</v>
      </c>
      <c r="B105" s="5" t="n">
        <f aca="false">IFERROR(__xludf.dummyfunction("""COMPUTED_VALUE"""),248.13)</f>
        <v>248.13</v>
      </c>
      <c r="C105" s="5" t="n">
        <f aca="false">IFERROR(__xludf.dummyfunction("""COMPUTED_VALUE"""),249.27)</f>
        <v>249.27</v>
      </c>
      <c r="D105" s="5" t="n">
        <f aca="false">IFERROR(__xludf.dummyfunction("""COMPUTED_VALUE"""),245.84)</f>
        <v>245.84</v>
      </c>
      <c r="E105" s="5" t="n">
        <f aca="false">IFERROR(__xludf.dummyfunction("""COMPUTED_VALUE"""),247.3)</f>
        <v>247.3</v>
      </c>
      <c r="F105" s="5" t="n">
        <f aca="false">IFERROR(__xludf.dummyfunction("""COMPUTED_VALUE"""),19406705)</f>
        <v>19406705</v>
      </c>
    </row>
    <row r="106" customFormat="false" ht="15.75" hidden="false" customHeight="false" outlineLevel="0" collapsed="false">
      <c r="A106" s="6" t="n">
        <f aca="false">IFERROR(__xludf.dummyfunction("""COMPUTED_VALUE"""),44350.6666666667)</f>
        <v>44350.6666666667</v>
      </c>
      <c r="B106" s="5" t="n">
        <f aca="false">IFERROR(__xludf.dummyfunction("""COMPUTED_VALUE"""),245.22)</f>
        <v>245.22</v>
      </c>
      <c r="C106" s="5" t="n">
        <f aca="false">IFERROR(__xludf.dummyfunction("""COMPUTED_VALUE"""),246.34)</f>
        <v>246.34</v>
      </c>
      <c r="D106" s="5" t="n">
        <f aca="false">IFERROR(__xludf.dummyfunction("""COMPUTED_VALUE"""),243)</f>
        <v>243</v>
      </c>
      <c r="E106" s="5" t="n">
        <f aca="false">IFERROR(__xludf.dummyfunction("""COMPUTED_VALUE"""),245.71)</f>
        <v>245.71</v>
      </c>
      <c r="F106" s="5" t="n">
        <f aca="false">IFERROR(__xludf.dummyfunction("""COMPUTED_VALUE"""),25307711)</f>
        <v>25307711</v>
      </c>
    </row>
    <row r="107" customFormat="false" ht="15.75" hidden="false" customHeight="false" outlineLevel="0" collapsed="false">
      <c r="A107" s="6" t="n">
        <f aca="false">IFERROR(__xludf.dummyfunction("""COMPUTED_VALUE"""),44351.6666666667)</f>
        <v>44351.6666666667</v>
      </c>
      <c r="B107" s="5" t="n">
        <f aca="false">IFERROR(__xludf.dummyfunction("""COMPUTED_VALUE"""),247.76)</f>
        <v>247.76</v>
      </c>
      <c r="C107" s="5" t="n">
        <f aca="false">IFERROR(__xludf.dummyfunction("""COMPUTED_VALUE"""),251.65)</f>
        <v>251.65</v>
      </c>
      <c r="D107" s="5" t="n">
        <f aca="false">IFERROR(__xludf.dummyfunction("""COMPUTED_VALUE"""),247.51)</f>
        <v>247.51</v>
      </c>
      <c r="E107" s="5" t="n">
        <f aca="false">IFERROR(__xludf.dummyfunction("""COMPUTED_VALUE"""),250.79)</f>
        <v>250.79</v>
      </c>
      <c r="F107" s="5" t="n">
        <f aca="false">IFERROR(__xludf.dummyfunction("""COMPUTED_VALUE"""),25281094)</f>
        <v>25281094</v>
      </c>
    </row>
    <row r="108" customFormat="false" ht="15.75" hidden="false" customHeight="false" outlineLevel="0" collapsed="false">
      <c r="A108" s="6" t="n">
        <f aca="false">IFERROR(__xludf.dummyfunction("""COMPUTED_VALUE"""),44354.6666666667)</f>
        <v>44354.6666666667</v>
      </c>
      <c r="B108" s="5" t="n">
        <f aca="false">IFERROR(__xludf.dummyfunction("""COMPUTED_VALUE"""),249.98)</f>
        <v>249.98</v>
      </c>
      <c r="C108" s="5" t="n">
        <f aca="false">IFERROR(__xludf.dummyfunction("""COMPUTED_VALUE"""),254.09)</f>
        <v>254.09</v>
      </c>
      <c r="D108" s="5" t="n">
        <f aca="false">IFERROR(__xludf.dummyfunction("""COMPUTED_VALUE"""),249.81)</f>
        <v>249.81</v>
      </c>
      <c r="E108" s="5" t="n">
        <f aca="false">IFERROR(__xludf.dummyfunction("""COMPUTED_VALUE"""),253.81)</f>
        <v>253.81</v>
      </c>
      <c r="F108" s="5" t="n">
        <f aca="false">IFERROR(__xludf.dummyfunction("""COMPUTED_VALUE"""),23079167)</f>
        <v>23079167</v>
      </c>
    </row>
    <row r="109" customFormat="false" ht="15.75" hidden="false" customHeight="false" outlineLevel="0" collapsed="false">
      <c r="A109" s="6" t="n">
        <f aca="false">IFERROR(__xludf.dummyfunction("""COMPUTED_VALUE"""),44355.6666666667)</f>
        <v>44355.6666666667</v>
      </c>
      <c r="B109" s="5" t="n">
        <f aca="false">IFERROR(__xludf.dummyfunction("""COMPUTED_VALUE"""),255.16)</f>
        <v>255.16</v>
      </c>
      <c r="C109" s="5" t="n">
        <f aca="false">IFERROR(__xludf.dummyfunction("""COMPUTED_VALUE"""),256.01)</f>
        <v>256.01</v>
      </c>
      <c r="D109" s="5" t="n">
        <f aca="false">IFERROR(__xludf.dummyfunction("""COMPUTED_VALUE"""),252.51)</f>
        <v>252.51</v>
      </c>
      <c r="E109" s="5" t="n">
        <f aca="false">IFERROR(__xludf.dummyfunction("""COMPUTED_VALUE"""),252.57)</f>
        <v>252.57</v>
      </c>
      <c r="F109" s="5" t="n">
        <f aca="false">IFERROR(__xludf.dummyfunction("""COMPUTED_VALUE"""),22454998)</f>
        <v>22454998</v>
      </c>
    </row>
    <row r="110" customFormat="false" ht="15.75" hidden="false" customHeight="false" outlineLevel="0" collapsed="false">
      <c r="A110" s="6" t="n">
        <f aca="false">IFERROR(__xludf.dummyfunction("""COMPUTED_VALUE"""),44356.6666666667)</f>
        <v>44356.6666666667</v>
      </c>
      <c r="B110" s="5" t="n">
        <f aca="false">IFERROR(__xludf.dummyfunction("""COMPUTED_VALUE"""),253.81)</f>
        <v>253.81</v>
      </c>
      <c r="C110" s="5" t="n">
        <f aca="false">IFERROR(__xludf.dummyfunction("""COMPUTED_VALUE"""),255.53)</f>
        <v>255.53</v>
      </c>
      <c r="D110" s="5" t="n">
        <f aca="false">IFERROR(__xludf.dummyfunction("""COMPUTED_VALUE"""),253.21)</f>
        <v>253.21</v>
      </c>
      <c r="E110" s="5" t="n">
        <f aca="false">IFERROR(__xludf.dummyfunction("""COMPUTED_VALUE"""),253.59)</f>
        <v>253.59</v>
      </c>
      <c r="F110" s="5" t="n">
        <f aca="false">IFERROR(__xludf.dummyfunction("""COMPUTED_VALUE"""),17937634)</f>
        <v>17937634</v>
      </c>
    </row>
    <row r="111" customFormat="false" ht="15.75" hidden="false" customHeight="false" outlineLevel="0" collapsed="false">
      <c r="A111" s="6" t="n">
        <f aca="false">IFERROR(__xludf.dummyfunction("""COMPUTED_VALUE"""),44357.6666666667)</f>
        <v>44357.6666666667</v>
      </c>
      <c r="B111" s="5" t="n">
        <f aca="false">IFERROR(__xludf.dummyfunction("""COMPUTED_VALUE"""),254.29)</f>
        <v>254.29</v>
      </c>
      <c r="C111" s="5" t="n">
        <f aca="false">IFERROR(__xludf.dummyfunction("""COMPUTED_VALUE"""),257.46)</f>
        <v>257.46</v>
      </c>
      <c r="D111" s="5" t="n">
        <f aca="false">IFERROR(__xludf.dummyfunction("""COMPUTED_VALUE"""),253.67)</f>
        <v>253.67</v>
      </c>
      <c r="E111" s="5" t="n">
        <f aca="false">IFERROR(__xludf.dummyfunction("""COMPUTED_VALUE"""),257.24)</f>
        <v>257.24</v>
      </c>
      <c r="F111" s="5" t="n">
        <f aca="false">IFERROR(__xludf.dummyfunction("""COMPUTED_VALUE"""),24563619)</f>
        <v>24563619</v>
      </c>
    </row>
    <row r="112" customFormat="false" ht="15.75" hidden="false" customHeight="false" outlineLevel="0" collapsed="false">
      <c r="A112" s="6" t="n">
        <f aca="false">IFERROR(__xludf.dummyfunction("""COMPUTED_VALUE"""),44358.6666666667)</f>
        <v>44358.6666666667</v>
      </c>
      <c r="B112" s="5" t="n">
        <f aca="false">IFERROR(__xludf.dummyfunction("""COMPUTED_VALUE"""),257.99)</f>
        <v>257.99</v>
      </c>
      <c r="C112" s="5" t="n">
        <f aca="false">IFERROR(__xludf.dummyfunction("""COMPUTED_VALUE"""),258.49)</f>
        <v>258.49</v>
      </c>
      <c r="D112" s="5" t="n">
        <f aca="false">IFERROR(__xludf.dummyfunction("""COMPUTED_VALUE"""),256.61)</f>
        <v>256.61</v>
      </c>
      <c r="E112" s="5" t="n">
        <f aca="false">IFERROR(__xludf.dummyfunction("""COMPUTED_VALUE"""),257.89)</f>
        <v>257.89</v>
      </c>
      <c r="F112" s="5" t="n">
        <f aca="false">IFERROR(__xludf.dummyfunction("""COMPUTED_VALUE"""),18999731)</f>
        <v>18999731</v>
      </c>
    </row>
    <row r="113" customFormat="false" ht="15.75" hidden="false" customHeight="false" outlineLevel="0" collapsed="false">
      <c r="A113" s="6" t="n">
        <f aca="false">IFERROR(__xludf.dummyfunction("""COMPUTED_VALUE"""),44361.6666666667)</f>
        <v>44361.6666666667</v>
      </c>
      <c r="B113" s="5" t="n">
        <f aca="false">IFERROR(__xludf.dummyfunction("""COMPUTED_VALUE"""),257.9)</f>
        <v>257.9</v>
      </c>
      <c r="C113" s="5" t="n">
        <f aca="false">IFERROR(__xludf.dummyfunction("""COMPUTED_VALUE"""),259.95)</f>
        <v>259.95</v>
      </c>
      <c r="D113" s="5" t="n">
        <f aca="false">IFERROR(__xludf.dummyfunction("""COMPUTED_VALUE"""),256.8)</f>
        <v>256.8</v>
      </c>
      <c r="E113" s="5" t="n">
        <f aca="false">IFERROR(__xludf.dummyfunction("""COMPUTED_VALUE"""),259.89)</f>
        <v>259.89</v>
      </c>
      <c r="F113" s="5" t="n">
        <f aca="false">IFERROR(__xludf.dummyfunction("""COMPUTED_VALUE"""),19150507)</f>
        <v>19150507</v>
      </c>
    </row>
    <row r="114" customFormat="false" ht="15.75" hidden="false" customHeight="false" outlineLevel="0" collapsed="false">
      <c r="A114" s="6" t="n">
        <f aca="false">IFERROR(__xludf.dummyfunction("""COMPUTED_VALUE"""),44362.6666666667)</f>
        <v>44362.6666666667</v>
      </c>
      <c r="B114" s="5" t="n">
        <f aca="false">IFERROR(__xludf.dummyfunction("""COMPUTED_VALUE"""),259.77)</f>
        <v>259.77</v>
      </c>
      <c r="C114" s="5" t="n">
        <f aca="false">IFERROR(__xludf.dummyfunction("""COMPUTED_VALUE"""),259.99)</f>
        <v>259.99</v>
      </c>
      <c r="D114" s="5" t="n">
        <f aca="false">IFERROR(__xludf.dummyfunction("""COMPUTED_VALUE"""),257.68)</f>
        <v>257.68</v>
      </c>
      <c r="E114" s="5" t="n">
        <f aca="false">IFERROR(__xludf.dummyfunction("""COMPUTED_VALUE"""),258.36)</f>
        <v>258.36</v>
      </c>
      <c r="F114" s="5" t="n">
        <f aca="false">IFERROR(__xludf.dummyfunction("""COMPUTED_VALUE"""),18038931)</f>
        <v>18038931</v>
      </c>
    </row>
    <row r="115" customFormat="false" ht="15.75" hidden="false" customHeight="false" outlineLevel="0" collapsed="false">
      <c r="A115" s="6" t="n">
        <f aca="false">IFERROR(__xludf.dummyfunction("""COMPUTED_VALUE"""),44363.6666666667)</f>
        <v>44363.6666666667</v>
      </c>
      <c r="B115" s="5" t="n">
        <f aca="false">IFERROR(__xludf.dummyfunction("""COMPUTED_VALUE"""),259.4)</f>
        <v>259.4</v>
      </c>
      <c r="C115" s="5" t="n">
        <f aca="false">IFERROR(__xludf.dummyfunction("""COMPUTED_VALUE"""),260.58)</f>
        <v>260.58</v>
      </c>
      <c r="D115" s="5" t="n">
        <f aca="false">IFERROR(__xludf.dummyfunction("""COMPUTED_VALUE"""),254.42)</f>
        <v>254.42</v>
      </c>
      <c r="E115" s="5" t="n">
        <f aca="false">IFERROR(__xludf.dummyfunction("""COMPUTED_VALUE"""),257.38)</f>
        <v>257.38</v>
      </c>
      <c r="F115" s="5" t="n">
        <f aca="false">IFERROR(__xludf.dummyfunction("""COMPUTED_VALUE"""),27219956)</f>
        <v>27219956</v>
      </c>
    </row>
    <row r="116" customFormat="false" ht="15.75" hidden="false" customHeight="false" outlineLevel="0" collapsed="false">
      <c r="A116" s="6" t="n">
        <f aca="false">IFERROR(__xludf.dummyfunction("""COMPUTED_VALUE"""),44364.6666666667)</f>
        <v>44364.6666666667</v>
      </c>
      <c r="B116" s="5" t="n">
        <f aca="false">IFERROR(__xludf.dummyfunction("""COMPUTED_VALUE"""),256.07)</f>
        <v>256.07</v>
      </c>
      <c r="C116" s="5" t="n">
        <f aca="false">IFERROR(__xludf.dummyfunction("""COMPUTED_VALUE"""),261.75)</f>
        <v>261.75</v>
      </c>
      <c r="D116" s="5" t="n">
        <f aca="false">IFERROR(__xludf.dummyfunction("""COMPUTED_VALUE"""),256.01)</f>
        <v>256.01</v>
      </c>
      <c r="E116" s="5" t="n">
        <f aca="false">IFERROR(__xludf.dummyfunction("""COMPUTED_VALUE"""),260.9)</f>
        <v>260.9</v>
      </c>
      <c r="F116" s="5" t="n">
        <f aca="false">IFERROR(__xludf.dummyfunction("""COMPUTED_VALUE"""),27565537)</f>
        <v>27565537</v>
      </c>
    </row>
    <row r="117" customFormat="false" ht="15.75" hidden="false" customHeight="false" outlineLevel="0" collapsed="false">
      <c r="A117" s="6" t="n">
        <f aca="false">IFERROR(__xludf.dummyfunction("""COMPUTED_VALUE"""),44365.6666666667)</f>
        <v>44365.6666666667</v>
      </c>
      <c r="B117" s="5" t="n">
        <f aca="false">IFERROR(__xludf.dummyfunction("""COMPUTED_VALUE"""),259.63)</f>
        <v>259.63</v>
      </c>
      <c r="C117" s="5" t="n">
        <f aca="false">IFERROR(__xludf.dummyfunction("""COMPUTED_VALUE"""),262.3)</f>
        <v>262.3</v>
      </c>
      <c r="D117" s="5" t="n">
        <f aca="false">IFERROR(__xludf.dummyfunction("""COMPUTED_VALUE"""),258.75)</f>
        <v>258.75</v>
      </c>
      <c r="E117" s="5" t="n">
        <f aca="false">IFERROR(__xludf.dummyfunction("""COMPUTED_VALUE"""),259.43)</f>
        <v>259.43</v>
      </c>
      <c r="F117" s="5" t="n">
        <f aca="false">IFERROR(__xludf.dummyfunction("""COMPUTED_VALUE"""),37202217)</f>
        <v>37202217</v>
      </c>
    </row>
    <row r="118" customFormat="false" ht="15.75" hidden="false" customHeight="false" outlineLevel="0" collapsed="false">
      <c r="A118" s="6" t="n">
        <f aca="false">IFERROR(__xludf.dummyfunction("""COMPUTED_VALUE"""),44368.6666666667)</f>
        <v>44368.6666666667</v>
      </c>
      <c r="B118" s="5" t="n">
        <f aca="false">IFERROR(__xludf.dummyfunction("""COMPUTED_VALUE"""),259.82)</f>
        <v>259.82</v>
      </c>
      <c r="C118" s="5" t="n">
        <f aca="false">IFERROR(__xludf.dummyfunction("""COMPUTED_VALUE"""),263.52)</f>
        <v>263.52</v>
      </c>
      <c r="D118" s="5" t="n">
        <f aca="false">IFERROR(__xludf.dummyfunction("""COMPUTED_VALUE"""),257.92)</f>
        <v>257.92</v>
      </c>
      <c r="E118" s="5" t="n">
        <f aca="false">IFERROR(__xludf.dummyfunction("""COMPUTED_VALUE"""),262.63)</f>
        <v>262.63</v>
      </c>
      <c r="F118" s="5" t="n">
        <f aca="false">IFERROR(__xludf.dummyfunction("""COMPUTED_VALUE"""),26696119)</f>
        <v>26696119</v>
      </c>
    </row>
    <row r="119" customFormat="false" ht="15.75" hidden="false" customHeight="false" outlineLevel="0" collapsed="false">
      <c r="A119" s="6" t="n">
        <f aca="false">IFERROR(__xludf.dummyfunction("""COMPUTED_VALUE"""),44369.6666666667)</f>
        <v>44369.6666666667</v>
      </c>
      <c r="B119" s="5" t="n">
        <f aca="false">IFERROR(__xludf.dummyfunction("""COMPUTED_VALUE"""),262.72)</f>
        <v>262.72</v>
      </c>
      <c r="C119" s="5" t="n">
        <f aca="false">IFERROR(__xludf.dummyfunction("""COMPUTED_VALUE"""),265.79)</f>
        <v>265.79</v>
      </c>
      <c r="D119" s="5" t="n">
        <f aca="false">IFERROR(__xludf.dummyfunction("""COMPUTED_VALUE"""),262.4)</f>
        <v>262.4</v>
      </c>
      <c r="E119" s="5" t="n">
        <f aca="false">IFERROR(__xludf.dummyfunction("""COMPUTED_VALUE"""),265.51)</f>
        <v>265.51</v>
      </c>
      <c r="F119" s="5" t="n">
        <f aca="false">IFERROR(__xludf.dummyfunction("""COMPUTED_VALUE"""),24694090)</f>
        <v>24694090</v>
      </c>
    </row>
    <row r="120" customFormat="false" ht="15.75" hidden="false" customHeight="false" outlineLevel="0" collapsed="false">
      <c r="A120" s="6" t="n">
        <f aca="false">IFERROR(__xludf.dummyfunction("""COMPUTED_VALUE"""),44370.6666666667)</f>
        <v>44370.6666666667</v>
      </c>
      <c r="B120" s="5" t="n">
        <f aca="false">IFERROR(__xludf.dummyfunction("""COMPUTED_VALUE"""),265.99)</f>
        <v>265.99</v>
      </c>
      <c r="C120" s="5" t="n">
        <f aca="false">IFERROR(__xludf.dummyfunction("""COMPUTED_VALUE"""),266.83)</f>
        <v>266.83</v>
      </c>
      <c r="D120" s="5" t="n">
        <f aca="false">IFERROR(__xludf.dummyfunction("""COMPUTED_VALUE"""),264.43)</f>
        <v>264.43</v>
      </c>
      <c r="E120" s="5" t="n">
        <f aca="false">IFERROR(__xludf.dummyfunction("""COMPUTED_VALUE"""),265.27)</f>
        <v>265.27</v>
      </c>
      <c r="F120" s="5" t="n">
        <f aca="false">IFERROR(__xludf.dummyfunction("""COMPUTED_VALUE"""),19518681)</f>
        <v>19518681</v>
      </c>
    </row>
    <row r="121" customFormat="false" ht="15.75" hidden="false" customHeight="false" outlineLevel="0" collapsed="false">
      <c r="A121" s="6" t="n">
        <f aca="false">IFERROR(__xludf.dummyfunction("""COMPUTED_VALUE"""),44371.6666666667)</f>
        <v>44371.6666666667</v>
      </c>
      <c r="B121" s="5" t="n">
        <f aca="false">IFERROR(__xludf.dummyfunction("""COMPUTED_VALUE"""),266.16)</f>
        <v>266.16</v>
      </c>
      <c r="C121" s="5" t="n">
        <f aca="false">IFERROR(__xludf.dummyfunction("""COMPUTED_VALUE"""),267.85)</f>
        <v>267.85</v>
      </c>
      <c r="D121" s="5" t="n">
        <f aca="false">IFERROR(__xludf.dummyfunction("""COMPUTED_VALUE"""),265.47)</f>
        <v>265.47</v>
      </c>
      <c r="E121" s="5" t="n">
        <f aca="false">IFERROR(__xludf.dummyfunction("""COMPUTED_VALUE"""),266.69)</f>
        <v>266.69</v>
      </c>
      <c r="F121" s="5" t="n">
        <f aca="false">IFERROR(__xludf.dummyfunction("""COMPUTED_VALUE"""),21446867)</f>
        <v>21446867</v>
      </c>
    </row>
    <row r="122" customFormat="false" ht="15.75" hidden="false" customHeight="false" outlineLevel="0" collapsed="false">
      <c r="A122" s="6" t="n">
        <f aca="false">IFERROR(__xludf.dummyfunction("""COMPUTED_VALUE"""),44372.6666666667)</f>
        <v>44372.6666666667</v>
      </c>
      <c r="B122" s="5" t="n">
        <f aca="false">IFERROR(__xludf.dummyfunction("""COMPUTED_VALUE"""),266.23)</f>
        <v>266.23</v>
      </c>
      <c r="C122" s="5" t="n">
        <f aca="false">IFERROR(__xludf.dummyfunction("""COMPUTED_VALUE"""),267.25)</f>
        <v>267.25</v>
      </c>
      <c r="D122" s="5" t="n">
        <f aca="false">IFERROR(__xludf.dummyfunction("""COMPUTED_VALUE"""),264.76)</f>
        <v>264.76</v>
      </c>
      <c r="E122" s="5" t="n">
        <f aca="false">IFERROR(__xludf.dummyfunction("""COMPUTED_VALUE"""),265.02)</f>
        <v>265.02</v>
      </c>
      <c r="F122" s="5" t="n">
        <f aca="false">IFERROR(__xludf.dummyfunction("""COMPUTED_VALUE"""),25611113)</f>
        <v>25611113</v>
      </c>
    </row>
    <row r="123" customFormat="false" ht="15.75" hidden="false" customHeight="false" outlineLevel="0" collapsed="false">
      <c r="A123" s="6" t="n">
        <f aca="false">IFERROR(__xludf.dummyfunction("""COMPUTED_VALUE"""),44375.6666666667)</f>
        <v>44375.6666666667</v>
      </c>
      <c r="B123" s="5" t="n">
        <f aca="false">IFERROR(__xludf.dummyfunction("""COMPUTED_VALUE"""),266.19)</f>
        <v>266.19</v>
      </c>
      <c r="C123" s="5" t="n">
        <f aca="false">IFERROR(__xludf.dummyfunction("""COMPUTED_VALUE"""),268.9)</f>
        <v>268.9</v>
      </c>
      <c r="D123" s="5" t="n">
        <f aca="false">IFERROR(__xludf.dummyfunction("""COMPUTED_VALUE"""),265.91)</f>
        <v>265.91</v>
      </c>
      <c r="E123" s="5" t="n">
        <f aca="false">IFERROR(__xludf.dummyfunction("""COMPUTED_VALUE"""),268.72)</f>
        <v>268.72</v>
      </c>
      <c r="F123" s="5" t="n">
        <f aca="false">IFERROR(__xludf.dummyfunction("""COMPUTED_VALUE"""),19590024)</f>
        <v>19590024</v>
      </c>
    </row>
    <row r="124" customFormat="false" ht="15.75" hidden="false" customHeight="false" outlineLevel="0" collapsed="false">
      <c r="A124" s="6" t="n">
        <f aca="false">IFERROR(__xludf.dummyfunction("""COMPUTED_VALUE"""),44376.6666666667)</f>
        <v>44376.6666666667</v>
      </c>
      <c r="B124" s="5" t="n">
        <f aca="false">IFERROR(__xludf.dummyfunction("""COMPUTED_VALUE"""),268.87)</f>
        <v>268.87</v>
      </c>
      <c r="C124" s="5" t="n">
        <f aca="false">IFERROR(__xludf.dummyfunction("""COMPUTED_VALUE"""),271.65)</f>
        <v>271.65</v>
      </c>
      <c r="D124" s="5" t="n">
        <f aca="false">IFERROR(__xludf.dummyfunction("""COMPUTED_VALUE"""),267.98)</f>
        <v>267.98</v>
      </c>
      <c r="E124" s="5" t="n">
        <f aca="false">IFERROR(__xludf.dummyfunction("""COMPUTED_VALUE"""),271.4)</f>
        <v>271.4</v>
      </c>
      <c r="F124" s="5" t="n">
        <f aca="false">IFERROR(__xludf.dummyfunction("""COMPUTED_VALUE"""),19937811)</f>
        <v>19937811</v>
      </c>
    </row>
    <row r="125" customFormat="false" ht="15.75" hidden="false" customHeight="false" outlineLevel="0" collapsed="false">
      <c r="A125" s="6" t="n">
        <f aca="false">IFERROR(__xludf.dummyfunction("""COMPUTED_VALUE"""),44377.6666666667)</f>
        <v>44377.6666666667</v>
      </c>
      <c r="B125" s="5" t="n">
        <f aca="false">IFERROR(__xludf.dummyfunction("""COMPUTED_VALUE"""),270.69)</f>
        <v>270.69</v>
      </c>
      <c r="C125" s="5" t="n">
        <f aca="false">IFERROR(__xludf.dummyfunction("""COMPUTED_VALUE"""),271.36)</f>
        <v>271.36</v>
      </c>
      <c r="D125" s="5" t="n">
        <f aca="false">IFERROR(__xludf.dummyfunction("""COMPUTED_VALUE"""),269.6)</f>
        <v>269.6</v>
      </c>
      <c r="E125" s="5" t="n">
        <f aca="false">IFERROR(__xludf.dummyfunction("""COMPUTED_VALUE"""),270.9)</f>
        <v>270.9</v>
      </c>
      <c r="F125" s="5" t="n">
        <f aca="false">IFERROR(__xludf.dummyfunction("""COMPUTED_VALUE"""),21656457)</f>
        <v>21656457</v>
      </c>
    </row>
    <row r="126" customFormat="false" ht="15.75" hidden="false" customHeight="false" outlineLevel="0" collapsed="false">
      <c r="A126" s="6" t="n">
        <f aca="false">IFERROR(__xludf.dummyfunction("""COMPUTED_VALUE"""),44378.6666666667)</f>
        <v>44378.6666666667</v>
      </c>
      <c r="B126" s="5" t="n">
        <f aca="false">IFERROR(__xludf.dummyfunction("""COMPUTED_VALUE"""),269.61)</f>
        <v>269.61</v>
      </c>
      <c r="C126" s="5" t="n">
        <f aca="false">IFERROR(__xludf.dummyfunction("""COMPUTED_VALUE"""),271.84)</f>
        <v>271.84</v>
      </c>
      <c r="D126" s="5" t="n">
        <f aca="false">IFERROR(__xludf.dummyfunction("""COMPUTED_VALUE"""),269.6)</f>
        <v>269.6</v>
      </c>
      <c r="E126" s="5" t="n">
        <f aca="false">IFERROR(__xludf.dummyfunction("""COMPUTED_VALUE"""),271.6)</f>
        <v>271.6</v>
      </c>
      <c r="F126" s="5" t="n">
        <f aca="false">IFERROR(__xludf.dummyfunction("""COMPUTED_VALUE"""),16725323)</f>
        <v>16725323</v>
      </c>
    </row>
    <row r="127" customFormat="false" ht="15.75" hidden="false" customHeight="false" outlineLevel="0" collapsed="false">
      <c r="A127" s="6" t="n">
        <f aca="false">IFERROR(__xludf.dummyfunction("""COMPUTED_VALUE"""),44379.6666666667)</f>
        <v>44379.6666666667</v>
      </c>
      <c r="B127" s="5" t="n">
        <f aca="false">IFERROR(__xludf.dummyfunction("""COMPUTED_VALUE"""),272.82)</f>
        <v>272.82</v>
      </c>
      <c r="C127" s="5" t="n">
        <f aca="false">IFERROR(__xludf.dummyfunction("""COMPUTED_VALUE"""),278)</f>
        <v>278</v>
      </c>
      <c r="D127" s="5" t="n">
        <f aca="false">IFERROR(__xludf.dummyfunction("""COMPUTED_VALUE"""),272.5)</f>
        <v>272.5</v>
      </c>
      <c r="E127" s="5" t="n">
        <f aca="false">IFERROR(__xludf.dummyfunction("""COMPUTED_VALUE"""),277.65)</f>
        <v>277.65</v>
      </c>
      <c r="F127" s="5" t="n">
        <f aca="false">IFERROR(__xludf.dummyfunction("""COMPUTED_VALUE"""),26474408)</f>
        <v>26474408</v>
      </c>
    </row>
    <row r="128" customFormat="false" ht="15.75" hidden="false" customHeight="false" outlineLevel="0" collapsed="false">
      <c r="A128" s="6" t="n">
        <f aca="false">IFERROR(__xludf.dummyfunction("""COMPUTED_VALUE"""),44383.6666666667)</f>
        <v>44383.6666666667</v>
      </c>
      <c r="B128" s="5" t="n">
        <f aca="false">IFERROR(__xludf.dummyfunction("""COMPUTED_VALUE"""),278.03)</f>
        <v>278.03</v>
      </c>
      <c r="C128" s="5" t="n">
        <f aca="false">IFERROR(__xludf.dummyfunction("""COMPUTED_VALUE"""),279.37)</f>
        <v>279.37</v>
      </c>
      <c r="D128" s="5" t="n">
        <f aca="false">IFERROR(__xludf.dummyfunction("""COMPUTED_VALUE"""),274.3)</f>
        <v>274.3</v>
      </c>
      <c r="E128" s="5" t="n">
        <f aca="false">IFERROR(__xludf.dummyfunction("""COMPUTED_VALUE"""),277.66)</f>
        <v>277.66</v>
      </c>
      <c r="F128" s="5" t="n">
        <f aca="false">IFERROR(__xludf.dummyfunction("""COMPUTED_VALUE"""),31565560)</f>
        <v>31565560</v>
      </c>
    </row>
    <row r="129" customFormat="false" ht="15.75" hidden="false" customHeight="false" outlineLevel="0" collapsed="false">
      <c r="A129" s="6" t="n">
        <f aca="false">IFERROR(__xludf.dummyfunction("""COMPUTED_VALUE"""),44384.6666666667)</f>
        <v>44384.6666666667</v>
      </c>
      <c r="B129" s="5" t="n">
        <f aca="false">IFERROR(__xludf.dummyfunction("""COMPUTED_VALUE"""),279.4)</f>
        <v>279.4</v>
      </c>
      <c r="C129" s="5" t="n">
        <f aca="false">IFERROR(__xludf.dummyfunction("""COMPUTED_VALUE"""),280.69)</f>
        <v>280.69</v>
      </c>
      <c r="D129" s="5" t="n">
        <f aca="false">IFERROR(__xludf.dummyfunction("""COMPUTED_VALUE"""),277.15)</f>
        <v>277.15</v>
      </c>
      <c r="E129" s="5" t="n">
        <f aca="false">IFERROR(__xludf.dummyfunction("""COMPUTED_VALUE"""),279.93)</f>
        <v>279.93</v>
      </c>
      <c r="F129" s="5" t="n">
        <f aca="false">IFERROR(__xludf.dummyfunction("""COMPUTED_VALUE"""),23260031)</f>
        <v>23260031</v>
      </c>
    </row>
    <row r="130" customFormat="false" ht="15.75" hidden="false" customHeight="false" outlineLevel="0" collapsed="false">
      <c r="A130" s="6" t="n">
        <f aca="false">IFERROR(__xludf.dummyfunction("""COMPUTED_VALUE"""),44385.6666666667)</f>
        <v>44385.6666666667</v>
      </c>
      <c r="B130" s="5" t="n">
        <f aca="false">IFERROR(__xludf.dummyfunction("""COMPUTED_VALUE"""),276.9)</f>
        <v>276.9</v>
      </c>
      <c r="C130" s="5" t="n">
        <f aca="false">IFERROR(__xludf.dummyfunction("""COMPUTED_VALUE"""),278.73)</f>
        <v>278.73</v>
      </c>
      <c r="D130" s="5" t="n">
        <f aca="false">IFERROR(__xludf.dummyfunction("""COMPUTED_VALUE"""),274.87)</f>
        <v>274.87</v>
      </c>
      <c r="E130" s="5" t="n">
        <f aca="false">IFERROR(__xludf.dummyfunction("""COMPUTED_VALUE"""),277.42)</f>
        <v>277.42</v>
      </c>
      <c r="F130" s="5" t="n">
        <f aca="false">IFERROR(__xludf.dummyfunction("""COMPUTED_VALUE"""),24618591)</f>
        <v>24618591</v>
      </c>
    </row>
    <row r="131" customFormat="false" ht="15.75" hidden="false" customHeight="false" outlineLevel="0" collapsed="false">
      <c r="A131" s="6" t="n">
        <f aca="false">IFERROR(__xludf.dummyfunction("""COMPUTED_VALUE"""),44386.6666666667)</f>
        <v>44386.6666666667</v>
      </c>
      <c r="B131" s="5" t="n">
        <f aca="false">IFERROR(__xludf.dummyfunction("""COMPUTED_VALUE"""),275.72)</f>
        <v>275.72</v>
      </c>
      <c r="C131" s="5" t="n">
        <f aca="false">IFERROR(__xludf.dummyfunction("""COMPUTED_VALUE"""),278.05)</f>
        <v>278.05</v>
      </c>
      <c r="D131" s="5" t="n">
        <f aca="false">IFERROR(__xludf.dummyfunction("""COMPUTED_VALUE"""),275.32)</f>
        <v>275.32</v>
      </c>
      <c r="E131" s="5" t="n">
        <f aca="false">IFERROR(__xludf.dummyfunction("""COMPUTED_VALUE"""),277.94)</f>
        <v>277.94</v>
      </c>
      <c r="F131" s="5" t="n">
        <f aca="false">IFERROR(__xludf.dummyfunction("""COMPUTED_VALUE"""),23916665)</f>
        <v>23916665</v>
      </c>
    </row>
    <row r="132" customFormat="false" ht="15.75" hidden="false" customHeight="false" outlineLevel="0" collapsed="false">
      <c r="A132" s="6" t="n">
        <f aca="false">IFERROR(__xludf.dummyfunction("""COMPUTED_VALUE"""),44389.6666666667)</f>
        <v>44389.6666666667</v>
      </c>
      <c r="B132" s="5" t="n">
        <f aca="false">IFERROR(__xludf.dummyfunction("""COMPUTED_VALUE"""),279.16)</f>
        <v>279.16</v>
      </c>
      <c r="C132" s="5" t="n">
        <f aca="false">IFERROR(__xludf.dummyfunction("""COMPUTED_VALUE"""),279.77)</f>
        <v>279.77</v>
      </c>
      <c r="D132" s="5" t="n">
        <f aca="false">IFERROR(__xludf.dummyfunction("""COMPUTED_VALUE"""),276.58)</f>
        <v>276.58</v>
      </c>
      <c r="E132" s="5" t="n">
        <f aca="false">IFERROR(__xludf.dummyfunction("""COMPUTED_VALUE"""),277.32)</f>
        <v>277.32</v>
      </c>
      <c r="F132" s="5" t="n">
        <f aca="false">IFERROR(__xludf.dummyfunction("""COMPUTED_VALUE"""),18931695)</f>
        <v>18931695</v>
      </c>
    </row>
    <row r="133" customFormat="false" ht="15.75" hidden="false" customHeight="false" outlineLevel="0" collapsed="false">
      <c r="A133" s="6" t="n">
        <f aca="false">IFERROR(__xludf.dummyfunction("""COMPUTED_VALUE"""),44390.6666666667)</f>
        <v>44390.6666666667</v>
      </c>
      <c r="B133" s="5" t="n">
        <f aca="false">IFERROR(__xludf.dummyfunction("""COMPUTED_VALUE"""),277.52)</f>
        <v>277.52</v>
      </c>
      <c r="C133" s="5" t="n">
        <f aca="false">IFERROR(__xludf.dummyfunction("""COMPUTED_VALUE"""),282.85)</f>
        <v>282.85</v>
      </c>
      <c r="D133" s="5" t="n">
        <f aca="false">IFERROR(__xludf.dummyfunction("""COMPUTED_VALUE"""),277.39)</f>
        <v>277.39</v>
      </c>
      <c r="E133" s="5" t="n">
        <f aca="false">IFERROR(__xludf.dummyfunction("""COMPUTED_VALUE"""),280.98)</f>
        <v>280.98</v>
      </c>
      <c r="F133" s="5" t="n">
        <f aca="false">IFERROR(__xludf.dummyfunction("""COMPUTED_VALUE"""),26120128)</f>
        <v>26120128</v>
      </c>
    </row>
    <row r="134" customFormat="false" ht="15.75" hidden="false" customHeight="false" outlineLevel="0" collapsed="false">
      <c r="A134" s="6" t="n">
        <f aca="false">IFERROR(__xludf.dummyfunction("""COMPUTED_VALUE"""),44391.6666666667)</f>
        <v>44391.6666666667</v>
      </c>
      <c r="B134" s="5" t="n">
        <f aca="false">IFERROR(__xludf.dummyfunction("""COMPUTED_VALUE"""),282.35)</f>
        <v>282.35</v>
      </c>
      <c r="C134" s="5" t="n">
        <f aca="false">IFERROR(__xludf.dummyfunction("""COMPUTED_VALUE"""),283.66)</f>
        <v>283.66</v>
      </c>
      <c r="D134" s="5" t="n">
        <f aca="false">IFERROR(__xludf.dummyfunction("""COMPUTED_VALUE"""),280.55)</f>
        <v>280.55</v>
      </c>
      <c r="E134" s="5" t="n">
        <f aca="false">IFERROR(__xludf.dummyfunction("""COMPUTED_VALUE"""),282.51)</f>
        <v>282.51</v>
      </c>
      <c r="F134" s="5" t="n">
        <f aca="false">IFERROR(__xludf.dummyfunction("""COMPUTED_VALUE"""),23113662)</f>
        <v>23113662</v>
      </c>
    </row>
    <row r="135" customFormat="false" ht="15.75" hidden="false" customHeight="false" outlineLevel="0" collapsed="false">
      <c r="A135" s="6" t="n">
        <f aca="false">IFERROR(__xludf.dummyfunction("""COMPUTED_VALUE"""),44392.6666666667)</f>
        <v>44392.6666666667</v>
      </c>
      <c r="B135" s="5" t="n">
        <f aca="false">IFERROR(__xludf.dummyfunction("""COMPUTED_VALUE"""),282)</f>
        <v>282</v>
      </c>
      <c r="C135" s="5" t="n">
        <f aca="false">IFERROR(__xludf.dummyfunction("""COMPUTED_VALUE"""),282.51)</f>
        <v>282.51</v>
      </c>
      <c r="D135" s="5" t="n">
        <f aca="false">IFERROR(__xludf.dummyfunction("""COMPUTED_VALUE"""),279.83)</f>
        <v>279.83</v>
      </c>
      <c r="E135" s="5" t="n">
        <f aca="false">IFERROR(__xludf.dummyfunction("""COMPUTED_VALUE"""),281.03)</f>
        <v>281.03</v>
      </c>
      <c r="F135" s="5" t="n">
        <f aca="false">IFERROR(__xludf.dummyfunction("""COMPUTED_VALUE"""),22604227)</f>
        <v>22604227</v>
      </c>
    </row>
    <row r="136" customFormat="false" ht="15.75" hidden="false" customHeight="false" outlineLevel="0" collapsed="false">
      <c r="A136" s="6" t="n">
        <f aca="false">IFERROR(__xludf.dummyfunction("""COMPUTED_VALUE"""),44393.6666666667)</f>
        <v>44393.6666666667</v>
      </c>
      <c r="B136" s="5" t="n">
        <f aca="false">IFERROR(__xludf.dummyfunction("""COMPUTED_VALUE"""),282.07)</f>
        <v>282.07</v>
      </c>
      <c r="C136" s="5" t="n">
        <f aca="false">IFERROR(__xludf.dummyfunction("""COMPUTED_VALUE"""),284.1)</f>
        <v>284.1</v>
      </c>
      <c r="D136" s="5" t="n">
        <f aca="false">IFERROR(__xludf.dummyfunction("""COMPUTED_VALUE"""),279.46)</f>
        <v>279.46</v>
      </c>
      <c r="E136" s="5" t="n">
        <f aca="false">IFERROR(__xludf.dummyfunction("""COMPUTED_VALUE"""),280.75)</f>
        <v>280.75</v>
      </c>
      <c r="F136" s="5" t="n">
        <f aca="false">IFERROR(__xludf.dummyfunction("""COMPUTED_VALUE"""),26186848)</f>
        <v>26186848</v>
      </c>
    </row>
    <row r="137" customFormat="false" ht="15.75" hidden="false" customHeight="false" outlineLevel="0" collapsed="false">
      <c r="A137" s="6" t="n">
        <f aca="false">IFERROR(__xludf.dummyfunction("""COMPUTED_VALUE"""),44396.6666666667)</f>
        <v>44396.6666666667</v>
      </c>
      <c r="B137" s="5" t="n">
        <f aca="false">IFERROR(__xludf.dummyfunction("""COMPUTED_VALUE"""),278.93)</f>
        <v>278.93</v>
      </c>
      <c r="C137" s="5" t="n">
        <f aca="false">IFERROR(__xludf.dummyfunction("""COMPUTED_VALUE"""),280.37)</f>
        <v>280.37</v>
      </c>
      <c r="D137" s="5" t="n">
        <f aca="false">IFERROR(__xludf.dummyfunction("""COMPUTED_VALUE"""),274.45)</f>
        <v>274.45</v>
      </c>
      <c r="E137" s="5" t="n">
        <f aca="false">IFERROR(__xludf.dummyfunction("""COMPUTED_VALUE"""),277.01)</f>
        <v>277.01</v>
      </c>
      <c r="F137" s="5" t="n">
        <f aca="false">IFERROR(__xludf.dummyfunction("""COMPUTED_VALUE"""),32935634)</f>
        <v>32935634</v>
      </c>
    </row>
    <row r="138" customFormat="false" ht="15.75" hidden="false" customHeight="false" outlineLevel="0" collapsed="false">
      <c r="A138" s="6" t="n">
        <f aca="false">IFERROR(__xludf.dummyfunction("""COMPUTED_VALUE"""),44397.6666666667)</f>
        <v>44397.6666666667</v>
      </c>
      <c r="B138" s="5" t="n">
        <f aca="false">IFERROR(__xludf.dummyfunction("""COMPUTED_VALUE"""),278.03)</f>
        <v>278.03</v>
      </c>
      <c r="C138" s="5" t="n">
        <f aca="false">IFERROR(__xludf.dummyfunction("""COMPUTED_VALUE"""),280.97)</f>
        <v>280.97</v>
      </c>
      <c r="D138" s="5" t="n">
        <f aca="false">IFERROR(__xludf.dummyfunction("""COMPUTED_VALUE"""),276.26)</f>
        <v>276.26</v>
      </c>
      <c r="E138" s="5" t="n">
        <f aca="false">IFERROR(__xludf.dummyfunction("""COMPUTED_VALUE"""),279.32)</f>
        <v>279.32</v>
      </c>
      <c r="F138" s="5" t="n">
        <f aca="false">IFERROR(__xludf.dummyfunction("""COMPUTED_VALUE"""),26259741)</f>
        <v>26259741</v>
      </c>
    </row>
    <row r="139" customFormat="false" ht="15.75" hidden="false" customHeight="false" outlineLevel="0" collapsed="false">
      <c r="A139" s="6" t="n">
        <f aca="false">IFERROR(__xludf.dummyfunction("""COMPUTED_VALUE"""),44398.6666666667)</f>
        <v>44398.6666666667</v>
      </c>
      <c r="B139" s="5" t="n">
        <f aca="false">IFERROR(__xludf.dummyfunction("""COMPUTED_VALUE"""),278.9)</f>
        <v>278.9</v>
      </c>
      <c r="C139" s="5" t="n">
        <f aca="false">IFERROR(__xludf.dummyfunction("""COMPUTED_VALUE"""),281.52)</f>
        <v>281.52</v>
      </c>
      <c r="D139" s="5" t="n">
        <f aca="false">IFERROR(__xludf.dummyfunction("""COMPUTED_VALUE"""),277.29)</f>
        <v>277.29</v>
      </c>
      <c r="E139" s="5" t="n">
        <f aca="false">IFERROR(__xludf.dummyfunction("""COMPUTED_VALUE"""),281.4)</f>
        <v>281.4</v>
      </c>
      <c r="F139" s="5" t="n">
        <f aca="false">IFERROR(__xludf.dummyfunction("""COMPUTED_VALUE"""),24364320)</f>
        <v>24364320</v>
      </c>
    </row>
    <row r="140" customFormat="false" ht="15.75" hidden="false" customHeight="false" outlineLevel="0" collapsed="false">
      <c r="A140" s="6" t="n">
        <f aca="false">IFERROR(__xludf.dummyfunction("""COMPUTED_VALUE"""),44399.6666666667)</f>
        <v>44399.6666666667</v>
      </c>
      <c r="B140" s="5" t="n">
        <f aca="false">IFERROR(__xludf.dummyfunction("""COMPUTED_VALUE"""),283.84)</f>
        <v>283.84</v>
      </c>
      <c r="C140" s="5" t="n">
        <f aca="false">IFERROR(__xludf.dummyfunction("""COMPUTED_VALUE"""),286.42)</f>
        <v>286.42</v>
      </c>
      <c r="D140" s="5" t="n">
        <f aca="false">IFERROR(__xludf.dummyfunction("""COMPUTED_VALUE"""),283.42)</f>
        <v>283.42</v>
      </c>
      <c r="E140" s="5" t="n">
        <f aca="false">IFERROR(__xludf.dummyfunction("""COMPUTED_VALUE"""),286.14)</f>
        <v>286.14</v>
      </c>
      <c r="F140" s="5" t="n">
        <f aca="false">IFERROR(__xludf.dummyfunction("""COMPUTED_VALUE"""),23384059)</f>
        <v>23384059</v>
      </c>
    </row>
    <row r="141" customFormat="false" ht="15.75" hidden="false" customHeight="false" outlineLevel="0" collapsed="false">
      <c r="A141" s="6" t="n">
        <f aca="false">IFERROR(__xludf.dummyfunction("""COMPUTED_VALUE"""),44400.6666666667)</f>
        <v>44400.6666666667</v>
      </c>
      <c r="B141" s="5" t="n">
        <f aca="false">IFERROR(__xludf.dummyfunction("""COMPUTED_VALUE"""),287.37)</f>
        <v>287.37</v>
      </c>
      <c r="C141" s="5" t="n">
        <f aca="false">IFERROR(__xludf.dummyfunction("""COMPUTED_VALUE"""),289.99)</f>
        <v>289.99</v>
      </c>
      <c r="D141" s="5" t="n">
        <f aca="false">IFERROR(__xludf.dummyfunction("""COMPUTED_VALUE"""),286.5)</f>
        <v>286.5</v>
      </c>
      <c r="E141" s="5" t="n">
        <f aca="false">IFERROR(__xludf.dummyfunction("""COMPUTED_VALUE"""),289.67)</f>
        <v>289.67</v>
      </c>
      <c r="F141" s="5" t="n">
        <f aca="false">IFERROR(__xludf.dummyfunction("""COMPUTED_VALUE"""),22768071)</f>
        <v>22768071</v>
      </c>
    </row>
    <row r="142" customFormat="false" ht="15.75" hidden="false" customHeight="false" outlineLevel="0" collapsed="false">
      <c r="A142" s="6" t="n">
        <f aca="false">IFERROR(__xludf.dummyfunction("""COMPUTED_VALUE"""),44403.6666666667)</f>
        <v>44403.6666666667</v>
      </c>
      <c r="B142" s="5" t="n">
        <f aca="false">IFERROR(__xludf.dummyfunction("""COMPUTED_VALUE"""),289)</f>
        <v>289</v>
      </c>
      <c r="C142" s="5" t="n">
        <f aca="false">IFERROR(__xludf.dummyfunction("""COMPUTED_VALUE"""),289.69)</f>
        <v>289.69</v>
      </c>
      <c r="D142" s="5" t="n">
        <f aca="false">IFERROR(__xludf.dummyfunction("""COMPUTED_VALUE"""),286.64)</f>
        <v>286.64</v>
      </c>
      <c r="E142" s="5" t="n">
        <f aca="false">IFERROR(__xludf.dummyfunction("""COMPUTED_VALUE"""),289.05)</f>
        <v>289.05</v>
      </c>
      <c r="F142" s="5" t="n">
        <f aca="false">IFERROR(__xludf.dummyfunction("""COMPUTED_VALUE"""),23176073)</f>
        <v>23176073</v>
      </c>
    </row>
    <row r="143" customFormat="false" ht="15.75" hidden="false" customHeight="false" outlineLevel="0" collapsed="false">
      <c r="A143" s="6" t="n">
        <f aca="false">IFERROR(__xludf.dummyfunction("""COMPUTED_VALUE"""),44404.6666666667)</f>
        <v>44404.6666666667</v>
      </c>
      <c r="B143" s="5" t="n">
        <f aca="false">IFERROR(__xludf.dummyfunction("""COMPUTED_VALUE"""),289.43)</f>
        <v>289.43</v>
      </c>
      <c r="C143" s="5" t="n">
        <f aca="false">IFERROR(__xludf.dummyfunction("""COMPUTED_VALUE"""),289.58)</f>
        <v>289.58</v>
      </c>
      <c r="D143" s="5" t="n">
        <f aca="false">IFERROR(__xludf.dummyfunction("""COMPUTED_VALUE"""),282.95)</f>
        <v>282.95</v>
      </c>
      <c r="E143" s="5" t="n">
        <f aca="false">IFERROR(__xludf.dummyfunction("""COMPUTED_VALUE"""),286.54)</f>
        <v>286.54</v>
      </c>
      <c r="F143" s="5" t="n">
        <f aca="false">IFERROR(__xludf.dummyfunction("""COMPUTED_VALUE"""),33604073)</f>
        <v>33604073</v>
      </c>
    </row>
    <row r="144" customFormat="false" ht="15.75" hidden="false" customHeight="false" outlineLevel="0" collapsed="false">
      <c r="A144" s="6" t="n">
        <f aca="false">IFERROR(__xludf.dummyfunction("""COMPUTED_VALUE"""),44405.6666666667)</f>
        <v>44405.6666666667</v>
      </c>
      <c r="B144" s="5" t="n">
        <f aca="false">IFERROR(__xludf.dummyfunction("""COMPUTED_VALUE"""),288.99)</f>
        <v>288.99</v>
      </c>
      <c r="C144" s="5" t="n">
        <f aca="false">IFERROR(__xludf.dummyfunction("""COMPUTED_VALUE"""),290.15)</f>
        <v>290.15</v>
      </c>
      <c r="D144" s="5" t="n">
        <f aca="false">IFERROR(__xludf.dummyfunction("""COMPUTED_VALUE"""),283.83)</f>
        <v>283.83</v>
      </c>
      <c r="E144" s="5" t="n">
        <f aca="false">IFERROR(__xludf.dummyfunction("""COMPUTED_VALUE"""),286.22)</f>
        <v>286.22</v>
      </c>
      <c r="F144" s="5" t="n">
        <f aca="false">IFERROR(__xludf.dummyfunction("""COMPUTED_VALUE"""),33566853)</f>
        <v>33566853</v>
      </c>
    </row>
    <row r="145" customFormat="false" ht="15.75" hidden="false" customHeight="false" outlineLevel="0" collapsed="false">
      <c r="A145" s="6" t="n">
        <f aca="false">IFERROR(__xludf.dummyfunction("""COMPUTED_VALUE"""),44406.6666666667)</f>
        <v>44406.6666666667</v>
      </c>
      <c r="B145" s="5" t="n">
        <f aca="false">IFERROR(__xludf.dummyfunction("""COMPUTED_VALUE"""),286.24)</f>
        <v>286.24</v>
      </c>
      <c r="C145" s="5" t="n">
        <f aca="false">IFERROR(__xludf.dummyfunction("""COMPUTED_VALUE"""),288.62)</f>
        <v>288.62</v>
      </c>
      <c r="D145" s="5" t="n">
        <f aca="false">IFERROR(__xludf.dummyfunction("""COMPUTED_VALUE"""),286.08)</f>
        <v>286.08</v>
      </c>
      <c r="E145" s="5" t="n">
        <f aca="false">IFERROR(__xludf.dummyfunction("""COMPUTED_VALUE"""),286.5)</f>
        <v>286.5</v>
      </c>
      <c r="F145" s="5" t="n">
        <f aca="false">IFERROR(__xludf.dummyfunction("""COMPUTED_VALUE"""),18168294)</f>
        <v>18168294</v>
      </c>
    </row>
    <row r="146" customFormat="false" ht="15.75" hidden="false" customHeight="false" outlineLevel="0" collapsed="false">
      <c r="A146" s="6" t="n">
        <f aca="false">IFERROR(__xludf.dummyfunction("""COMPUTED_VALUE"""),44407.6666666667)</f>
        <v>44407.6666666667</v>
      </c>
      <c r="B146" s="5" t="n">
        <f aca="false">IFERROR(__xludf.dummyfunction("""COMPUTED_VALUE"""),285.17)</f>
        <v>285.17</v>
      </c>
      <c r="C146" s="5" t="n">
        <f aca="false">IFERROR(__xludf.dummyfunction("""COMPUTED_VALUE"""),286.66)</f>
        <v>286.66</v>
      </c>
      <c r="D146" s="5" t="n">
        <f aca="false">IFERROR(__xludf.dummyfunction("""COMPUTED_VALUE"""),283.91)</f>
        <v>283.91</v>
      </c>
      <c r="E146" s="5" t="n">
        <f aca="false">IFERROR(__xludf.dummyfunction("""COMPUTED_VALUE"""),284.91)</f>
        <v>284.91</v>
      </c>
      <c r="F146" s="5" t="n">
        <f aca="false">IFERROR(__xludf.dummyfunction("""COMPUTED_VALUE"""),20944846)</f>
        <v>20944846</v>
      </c>
    </row>
    <row r="147" customFormat="false" ht="15.75" hidden="false" customHeight="false" outlineLevel="0" collapsed="false">
      <c r="A147" s="6" t="n">
        <f aca="false">IFERROR(__xludf.dummyfunction("""COMPUTED_VALUE"""),44410.6666666667)</f>
        <v>44410.6666666667</v>
      </c>
      <c r="B147" s="5" t="n">
        <f aca="false">IFERROR(__xludf.dummyfunction("""COMPUTED_VALUE"""),286.36)</f>
        <v>286.36</v>
      </c>
      <c r="C147" s="5" t="n">
        <f aca="false">IFERROR(__xludf.dummyfunction("""COMPUTED_VALUE"""),286.77)</f>
        <v>286.77</v>
      </c>
      <c r="D147" s="5" t="n">
        <f aca="false">IFERROR(__xludf.dummyfunction("""COMPUTED_VALUE"""),283.74)</f>
        <v>283.74</v>
      </c>
      <c r="E147" s="5" t="n">
        <f aca="false">IFERROR(__xludf.dummyfunction("""COMPUTED_VALUE"""),284.82)</f>
        <v>284.82</v>
      </c>
      <c r="F147" s="5" t="n">
        <f aca="false">IFERROR(__xludf.dummyfunction("""COMPUTED_VALUE"""),16267357)</f>
        <v>16267357</v>
      </c>
    </row>
    <row r="148" customFormat="false" ht="15.75" hidden="false" customHeight="false" outlineLevel="0" collapsed="false">
      <c r="A148" s="6" t="n">
        <f aca="false">IFERROR(__xludf.dummyfunction("""COMPUTED_VALUE"""),44411.6666666667)</f>
        <v>44411.6666666667</v>
      </c>
      <c r="B148" s="5" t="n">
        <f aca="false">IFERROR(__xludf.dummyfunction("""COMPUTED_VALUE"""),285.42)</f>
        <v>285.42</v>
      </c>
      <c r="C148" s="5" t="n">
        <f aca="false">IFERROR(__xludf.dummyfunction("""COMPUTED_VALUE"""),287.23)</f>
        <v>287.23</v>
      </c>
      <c r="D148" s="5" t="n">
        <f aca="false">IFERROR(__xludf.dummyfunction("""COMPUTED_VALUE"""),284)</f>
        <v>284</v>
      </c>
      <c r="E148" s="5" t="n">
        <f aca="false">IFERROR(__xludf.dummyfunction("""COMPUTED_VALUE"""),287.12)</f>
        <v>287.12</v>
      </c>
      <c r="F148" s="5" t="n">
        <f aca="false">IFERROR(__xludf.dummyfunction("""COMPUTED_VALUE"""),17879048)</f>
        <v>17879048</v>
      </c>
    </row>
    <row r="149" customFormat="false" ht="15.75" hidden="false" customHeight="false" outlineLevel="0" collapsed="false">
      <c r="A149" s="6" t="n">
        <f aca="false">IFERROR(__xludf.dummyfunction("""COMPUTED_VALUE"""),44412.6666666667)</f>
        <v>44412.6666666667</v>
      </c>
      <c r="B149" s="5" t="n">
        <f aca="false">IFERROR(__xludf.dummyfunction("""COMPUTED_VALUE"""),286.22)</f>
        <v>286.22</v>
      </c>
      <c r="C149" s="5" t="n">
        <f aca="false">IFERROR(__xludf.dummyfunction("""COMPUTED_VALUE"""),287.59)</f>
        <v>287.59</v>
      </c>
      <c r="D149" s="5" t="n">
        <f aca="false">IFERROR(__xludf.dummyfunction("""COMPUTED_VALUE"""),284.65)</f>
        <v>284.65</v>
      </c>
      <c r="E149" s="5" t="n">
        <f aca="false">IFERROR(__xludf.dummyfunction("""COMPUTED_VALUE"""),286.51)</f>
        <v>286.51</v>
      </c>
      <c r="F149" s="5" t="n">
        <f aca="false">IFERROR(__xludf.dummyfunction("""COMPUTED_VALUE"""),16191301)</f>
        <v>16191301</v>
      </c>
    </row>
    <row r="150" customFormat="false" ht="15.75" hidden="false" customHeight="false" outlineLevel="0" collapsed="false">
      <c r="A150" s="6" t="n">
        <f aca="false">IFERROR(__xludf.dummyfunction("""COMPUTED_VALUE"""),44413.6666666667)</f>
        <v>44413.6666666667</v>
      </c>
      <c r="B150" s="5" t="n">
        <f aca="false">IFERROR(__xludf.dummyfunction("""COMPUTED_VALUE"""),286.88)</f>
        <v>286.88</v>
      </c>
      <c r="C150" s="5" t="n">
        <f aca="false">IFERROR(__xludf.dummyfunction("""COMPUTED_VALUE"""),289.63)</f>
        <v>289.63</v>
      </c>
      <c r="D150" s="5" t="n">
        <f aca="false">IFERROR(__xludf.dummyfunction("""COMPUTED_VALUE"""),286.1)</f>
        <v>286.1</v>
      </c>
      <c r="E150" s="5" t="n">
        <f aca="false">IFERROR(__xludf.dummyfunction("""COMPUTED_VALUE"""),289.52)</f>
        <v>289.52</v>
      </c>
      <c r="F150" s="5" t="n">
        <f aca="false">IFERROR(__xludf.dummyfunction("""COMPUTED_VALUE"""),13900167)</f>
        <v>13900167</v>
      </c>
    </row>
    <row r="151" customFormat="false" ht="15.75" hidden="false" customHeight="false" outlineLevel="0" collapsed="false">
      <c r="A151" s="6" t="n">
        <f aca="false">IFERROR(__xludf.dummyfunction("""COMPUTED_VALUE"""),44414.6666666667)</f>
        <v>44414.6666666667</v>
      </c>
      <c r="B151" s="5" t="n">
        <f aca="false">IFERROR(__xludf.dummyfunction("""COMPUTED_VALUE"""),288.51)</f>
        <v>288.51</v>
      </c>
      <c r="C151" s="5" t="n">
        <f aca="false">IFERROR(__xludf.dummyfunction("""COMPUTED_VALUE"""),289.5)</f>
        <v>289.5</v>
      </c>
      <c r="D151" s="5" t="n">
        <f aca="false">IFERROR(__xludf.dummyfunction("""COMPUTED_VALUE"""),287.62)</f>
        <v>287.62</v>
      </c>
      <c r="E151" s="5" t="n">
        <f aca="false">IFERROR(__xludf.dummyfunction("""COMPUTED_VALUE"""),289.46)</f>
        <v>289.46</v>
      </c>
      <c r="F151" s="5" t="n">
        <f aca="false">IFERROR(__xludf.dummyfunction("""COMPUTED_VALUE"""),16589336)</f>
        <v>16589336</v>
      </c>
    </row>
    <row r="152" customFormat="false" ht="15.75" hidden="false" customHeight="false" outlineLevel="0" collapsed="false">
      <c r="A152" s="6" t="n">
        <f aca="false">IFERROR(__xludf.dummyfunction("""COMPUTED_VALUE"""),44417.6666666667)</f>
        <v>44417.6666666667</v>
      </c>
      <c r="B152" s="5" t="n">
        <f aca="false">IFERROR(__xludf.dummyfunction("""COMPUTED_VALUE"""),289.75)</f>
        <v>289.75</v>
      </c>
      <c r="C152" s="5" t="n">
        <f aca="false">IFERROR(__xludf.dummyfunction("""COMPUTED_VALUE"""),291.55)</f>
        <v>291.55</v>
      </c>
      <c r="D152" s="5" t="n">
        <f aca="false">IFERROR(__xludf.dummyfunction("""COMPUTED_VALUE"""),287.81)</f>
        <v>287.81</v>
      </c>
      <c r="E152" s="5" t="n">
        <f aca="false">IFERROR(__xludf.dummyfunction("""COMPUTED_VALUE"""),288.33)</f>
        <v>288.33</v>
      </c>
      <c r="F152" s="5" t="n">
        <f aca="false">IFERROR(__xludf.dummyfunction("""COMPUTED_VALUE"""),16117629)</f>
        <v>16117629</v>
      </c>
    </row>
    <row r="153" customFormat="false" ht="15.75" hidden="false" customHeight="false" outlineLevel="0" collapsed="false">
      <c r="A153" s="6" t="n">
        <f aca="false">IFERROR(__xludf.dummyfunction("""COMPUTED_VALUE"""),44418.6666666667)</f>
        <v>44418.6666666667</v>
      </c>
      <c r="B153" s="5" t="n">
        <f aca="false">IFERROR(__xludf.dummyfunction("""COMPUTED_VALUE"""),288.8)</f>
        <v>288.8</v>
      </c>
      <c r="C153" s="5" t="n">
        <f aca="false">IFERROR(__xludf.dummyfunction("""COMPUTED_VALUE"""),289.25)</f>
        <v>289.25</v>
      </c>
      <c r="D153" s="5" t="n">
        <f aca="false">IFERROR(__xludf.dummyfunction("""COMPUTED_VALUE"""),285.2)</f>
        <v>285.2</v>
      </c>
      <c r="E153" s="5" t="n">
        <f aca="false">IFERROR(__xludf.dummyfunction("""COMPUTED_VALUE"""),286.44)</f>
        <v>286.44</v>
      </c>
      <c r="F153" s="5" t="n">
        <f aca="false">IFERROR(__xludf.dummyfunction("""COMPUTED_VALUE"""),18616578)</f>
        <v>18616578</v>
      </c>
    </row>
    <row r="154" customFormat="false" ht="15.75" hidden="false" customHeight="false" outlineLevel="0" collapsed="false">
      <c r="A154" s="6" t="n">
        <f aca="false">IFERROR(__xludf.dummyfunction("""COMPUTED_VALUE"""),44419.6666666667)</f>
        <v>44419.6666666667</v>
      </c>
      <c r="B154" s="5" t="n">
        <f aca="false">IFERROR(__xludf.dummyfunction("""COMPUTED_VALUE"""),287.21)</f>
        <v>287.21</v>
      </c>
      <c r="C154" s="5" t="n">
        <f aca="false">IFERROR(__xludf.dummyfunction("""COMPUTED_VALUE"""),288.66)</f>
        <v>288.66</v>
      </c>
      <c r="D154" s="5" t="n">
        <f aca="false">IFERROR(__xludf.dummyfunction("""COMPUTED_VALUE"""),285.86)</f>
        <v>285.86</v>
      </c>
      <c r="E154" s="5" t="n">
        <f aca="false">IFERROR(__xludf.dummyfunction("""COMPUTED_VALUE"""),286.95)</f>
        <v>286.95</v>
      </c>
      <c r="F154" s="5" t="n">
        <f aca="false">IFERROR(__xludf.dummyfunction("""COMPUTED_VALUE"""),13955934)</f>
        <v>13955934</v>
      </c>
    </row>
    <row r="155" customFormat="false" ht="15.75" hidden="false" customHeight="false" outlineLevel="0" collapsed="false">
      <c r="A155" s="6" t="n">
        <f aca="false">IFERROR(__xludf.dummyfunction("""COMPUTED_VALUE"""),44420.6666666667)</f>
        <v>44420.6666666667</v>
      </c>
      <c r="B155" s="5" t="n">
        <f aca="false">IFERROR(__xludf.dummyfunction("""COMPUTED_VALUE"""),286.63)</f>
        <v>286.63</v>
      </c>
      <c r="C155" s="5" t="n">
        <f aca="false">IFERROR(__xludf.dummyfunction("""COMPUTED_VALUE"""),289.97)</f>
        <v>289.97</v>
      </c>
      <c r="D155" s="5" t="n">
        <f aca="false">IFERROR(__xludf.dummyfunction("""COMPUTED_VALUE"""),286.34)</f>
        <v>286.34</v>
      </c>
      <c r="E155" s="5" t="n">
        <f aca="false">IFERROR(__xludf.dummyfunction("""COMPUTED_VALUE"""),289.81)</f>
        <v>289.81</v>
      </c>
      <c r="F155" s="5" t="n">
        <f aca="false">IFERROR(__xludf.dummyfunction("""COMPUTED_VALUE"""),14570391)</f>
        <v>14570391</v>
      </c>
    </row>
    <row r="156" customFormat="false" ht="15.75" hidden="false" customHeight="false" outlineLevel="0" collapsed="false">
      <c r="A156" s="6" t="n">
        <f aca="false">IFERROR(__xludf.dummyfunction("""COMPUTED_VALUE"""),44421.6666666667)</f>
        <v>44421.6666666667</v>
      </c>
      <c r="B156" s="5" t="n">
        <f aca="false">IFERROR(__xludf.dummyfunction("""COMPUTED_VALUE"""),289.48)</f>
        <v>289.48</v>
      </c>
      <c r="C156" s="5" t="n">
        <f aca="false">IFERROR(__xludf.dummyfunction("""COMPUTED_VALUE"""),292.9)</f>
        <v>292.9</v>
      </c>
      <c r="D156" s="5" t="n">
        <f aca="false">IFERROR(__xludf.dummyfunction("""COMPUTED_VALUE"""),289.3)</f>
        <v>289.3</v>
      </c>
      <c r="E156" s="5" t="n">
        <f aca="false">IFERROR(__xludf.dummyfunction("""COMPUTED_VALUE"""),292.85)</f>
        <v>292.85</v>
      </c>
      <c r="F156" s="5" t="n">
        <f aca="false">IFERROR(__xludf.dummyfunction("""COMPUTED_VALUE"""),18249046)</f>
        <v>18249046</v>
      </c>
    </row>
    <row r="157" customFormat="false" ht="15.75" hidden="false" customHeight="false" outlineLevel="0" collapsed="false">
      <c r="A157" s="6" t="n">
        <f aca="false">IFERROR(__xludf.dummyfunction("""COMPUTED_VALUE"""),44424.6666666667)</f>
        <v>44424.6666666667</v>
      </c>
      <c r="B157" s="5" t="n">
        <f aca="false">IFERROR(__xludf.dummyfunction("""COMPUTED_VALUE"""),293.19)</f>
        <v>293.19</v>
      </c>
      <c r="C157" s="5" t="n">
        <f aca="false">IFERROR(__xludf.dummyfunction("""COMPUTED_VALUE"""),294.82)</f>
        <v>294.82</v>
      </c>
      <c r="D157" s="5" t="n">
        <f aca="false">IFERROR(__xludf.dummyfunction("""COMPUTED_VALUE"""),290.02)</f>
        <v>290.02</v>
      </c>
      <c r="E157" s="5" t="n">
        <f aca="false">IFERROR(__xludf.dummyfunction("""COMPUTED_VALUE"""),294.6)</f>
        <v>294.6</v>
      </c>
      <c r="F157" s="5" t="n">
        <f aca="false">IFERROR(__xludf.dummyfunction("""COMPUTED_VALUE"""),22516027)</f>
        <v>22516027</v>
      </c>
    </row>
    <row r="158" customFormat="false" ht="15.75" hidden="false" customHeight="false" outlineLevel="0" collapsed="false">
      <c r="A158" s="6" t="n">
        <f aca="false">IFERROR(__xludf.dummyfunction("""COMPUTED_VALUE"""),44425.6666666667)</f>
        <v>44425.6666666667</v>
      </c>
      <c r="B158" s="5" t="n">
        <f aca="false">IFERROR(__xludf.dummyfunction("""COMPUTED_VALUE"""),292.39)</f>
        <v>292.39</v>
      </c>
      <c r="C158" s="5" t="n">
        <f aca="false">IFERROR(__xludf.dummyfunction("""COMPUTED_VALUE"""),293.43)</f>
        <v>293.43</v>
      </c>
      <c r="D158" s="5" t="n">
        <f aca="false">IFERROR(__xludf.dummyfunction("""COMPUTED_VALUE"""),291.08)</f>
        <v>291.08</v>
      </c>
      <c r="E158" s="5" t="n">
        <f aca="false">IFERROR(__xludf.dummyfunction("""COMPUTED_VALUE"""),293.08)</f>
        <v>293.08</v>
      </c>
      <c r="F158" s="5" t="n">
        <f aca="false">IFERROR(__xludf.dummyfunction("""COMPUTED_VALUE"""),20075250)</f>
        <v>20075250</v>
      </c>
    </row>
    <row r="159" customFormat="false" ht="15.75" hidden="false" customHeight="false" outlineLevel="0" collapsed="false">
      <c r="A159" s="6" t="n">
        <f aca="false">IFERROR(__xludf.dummyfunction("""COMPUTED_VALUE"""),44426.6666666667)</f>
        <v>44426.6666666667</v>
      </c>
      <c r="B159" s="5" t="n">
        <f aca="false">IFERROR(__xludf.dummyfunction("""COMPUTED_VALUE"""),292.04)</f>
        <v>292.04</v>
      </c>
      <c r="C159" s="5" t="n">
        <f aca="false">IFERROR(__xludf.dummyfunction("""COMPUTED_VALUE"""),294.82)</f>
        <v>294.82</v>
      </c>
      <c r="D159" s="5" t="n">
        <f aca="false">IFERROR(__xludf.dummyfunction("""COMPUTED_VALUE"""),290.27)</f>
        <v>290.27</v>
      </c>
      <c r="E159" s="5" t="n">
        <f aca="false">IFERROR(__xludf.dummyfunction("""COMPUTED_VALUE"""),290.73)</f>
        <v>290.73</v>
      </c>
      <c r="F159" s="5" t="n">
        <f aca="false">IFERROR(__xludf.dummyfunction("""COMPUTED_VALUE"""),21812985)</f>
        <v>21812985</v>
      </c>
    </row>
    <row r="160" customFormat="false" ht="15.75" hidden="false" customHeight="false" outlineLevel="0" collapsed="false">
      <c r="A160" s="6" t="n">
        <f aca="false">IFERROR(__xludf.dummyfunction("""COMPUTED_VALUE"""),44427.6666666667)</f>
        <v>44427.6666666667</v>
      </c>
      <c r="B160" s="5" t="n">
        <f aca="false">IFERROR(__xludf.dummyfunction("""COMPUTED_VALUE"""),288.69)</f>
        <v>288.69</v>
      </c>
      <c r="C160" s="5" t="n">
        <f aca="false">IFERROR(__xludf.dummyfunction("""COMPUTED_VALUE"""),297.47)</f>
        <v>297.47</v>
      </c>
      <c r="D160" s="5" t="n">
        <f aca="false">IFERROR(__xludf.dummyfunction("""COMPUTED_VALUE"""),288.64)</f>
        <v>288.64</v>
      </c>
      <c r="E160" s="5" t="n">
        <f aca="false">IFERROR(__xludf.dummyfunction("""COMPUTED_VALUE"""),296.77)</f>
        <v>296.77</v>
      </c>
      <c r="F160" s="5" t="n">
        <f aca="false">IFERROR(__xludf.dummyfunction("""COMPUTED_VALUE"""),29850461)</f>
        <v>29850461</v>
      </c>
    </row>
    <row r="161" customFormat="false" ht="15.75" hidden="false" customHeight="false" outlineLevel="0" collapsed="false">
      <c r="A161" s="6" t="n">
        <f aca="false">IFERROR(__xludf.dummyfunction("""COMPUTED_VALUE"""),44428.6666666667)</f>
        <v>44428.6666666667</v>
      </c>
      <c r="B161" s="5" t="n">
        <f aca="false">IFERROR(__xludf.dummyfunction("""COMPUTED_VALUE"""),299.72)</f>
        <v>299.72</v>
      </c>
      <c r="C161" s="5" t="n">
        <f aca="false">IFERROR(__xludf.dummyfunction("""COMPUTED_VALUE"""),305.84)</f>
        <v>305.84</v>
      </c>
      <c r="D161" s="5" t="n">
        <f aca="false">IFERROR(__xludf.dummyfunction("""COMPUTED_VALUE"""),298.06)</f>
        <v>298.06</v>
      </c>
      <c r="E161" s="5" t="n">
        <f aca="false">IFERROR(__xludf.dummyfunction("""COMPUTED_VALUE"""),304.36)</f>
        <v>304.36</v>
      </c>
      <c r="F161" s="5" t="n">
        <f aca="false">IFERROR(__xludf.dummyfunction("""COMPUTED_VALUE"""),40817646)</f>
        <v>40817646</v>
      </c>
    </row>
    <row r="162" customFormat="false" ht="15.75" hidden="false" customHeight="false" outlineLevel="0" collapsed="false">
      <c r="A162" s="6" t="n">
        <f aca="false">IFERROR(__xludf.dummyfunction("""COMPUTED_VALUE"""),44431.6666666667)</f>
        <v>44431.6666666667</v>
      </c>
      <c r="B162" s="5" t="n">
        <f aca="false">IFERROR(__xludf.dummyfunction("""COMPUTED_VALUE"""),303.25)</f>
        <v>303.25</v>
      </c>
      <c r="C162" s="5" t="n">
        <f aca="false">IFERROR(__xludf.dummyfunction("""COMPUTED_VALUE"""),305.4)</f>
        <v>305.4</v>
      </c>
      <c r="D162" s="5" t="n">
        <f aca="false">IFERROR(__xludf.dummyfunction("""COMPUTED_VALUE"""),301.85)</f>
        <v>301.85</v>
      </c>
      <c r="E162" s="5" t="n">
        <f aca="false">IFERROR(__xludf.dummyfunction("""COMPUTED_VALUE"""),304.65)</f>
        <v>304.65</v>
      </c>
      <c r="F162" s="5" t="n">
        <f aca="false">IFERROR(__xludf.dummyfunction("""COMPUTED_VALUE"""),22830157)</f>
        <v>22830157</v>
      </c>
    </row>
    <row r="163" customFormat="false" ht="15.75" hidden="false" customHeight="false" outlineLevel="0" collapsed="false">
      <c r="A163" s="6" t="n">
        <f aca="false">IFERROR(__xludf.dummyfunction("""COMPUTED_VALUE"""),44432.6666666667)</f>
        <v>44432.6666666667</v>
      </c>
      <c r="B163" s="5" t="n">
        <f aca="false">IFERROR(__xludf.dummyfunction("""COMPUTED_VALUE"""),305.02)</f>
        <v>305.02</v>
      </c>
      <c r="C163" s="5" t="n">
        <f aca="false">IFERROR(__xludf.dummyfunction("""COMPUTED_VALUE"""),305.65)</f>
        <v>305.65</v>
      </c>
      <c r="D163" s="5" t="n">
        <f aca="false">IFERROR(__xludf.dummyfunction("""COMPUTED_VALUE"""),302)</f>
        <v>302</v>
      </c>
      <c r="E163" s="5" t="n">
        <f aca="false">IFERROR(__xludf.dummyfunction("""COMPUTED_VALUE"""),302.62)</f>
        <v>302.62</v>
      </c>
      <c r="F163" s="5" t="n">
        <f aca="false">IFERROR(__xludf.dummyfunction("""COMPUTED_VALUE"""),18175774)</f>
        <v>18175774</v>
      </c>
    </row>
    <row r="164" customFormat="false" ht="15.75" hidden="false" customHeight="false" outlineLevel="0" collapsed="false">
      <c r="A164" s="6" t="n">
        <f aca="false">IFERROR(__xludf.dummyfunction("""COMPUTED_VALUE"""),44433.6666666667)</f>
        <v>44433.6666666667</v>
      </c>
      <c r="B164" s="5" t="n">
        <f aca="false">IFERROR(__xludf.dummyfunction("""COMPUTED_VALUE"""),304.3)</f>
        <v>304.3</v>
      </c>
      <c r="C164" s="5" t="n">
        <f aca="false">IFERROR(__xludf.dummyfunction("""COMPUTED_VALUE"""),304.59)</f>
        <v>304.59</v>
      </c>
      <c r="D164" s="5" t="n">
        <f aca="false">IFERROR(__xludf.dummyfunction("""COMPUTED_VALUE"""),300.42)</f>
        <v>300.42</v>
      </c>
      <c r="E164" s="5" t="n">
        <f aca="false">IFERROR(__xludf.dummyfunction("""COMPUTED_VALUE"""),302.01)</f>
        <v>302.01</v>
      </c>
      <c r="F164" s="5" t="n">
        <f aca="false">IFERROR(__xludf.dummyfunction("""COMPUTED_VALUE"""),20006057)</f>
        <v>20006057</v>
      </c>
    </row>
    <row r="165" customFormat="false" ht="15.75" hidden="false" customHeight="false" outlineLevel="0" collapsed="false">
      <c r="A165" s="6" t="n">
        <f aca="false">IFERROR(__xludf.dummyfunction("""COMPUTED_VALUE"""),44434.6666666667)</f>
        <v>44434.6666666667</v>
      </c>
      <c r="B165" s="5" t="n">
        <f aca="false">IFERROR(__xludf.dummyfunction("""COMPUTED_VALUE"""),300.99)</f>
        <v>300.99</v>
      </c>
      <c r="C165" s="5" t="n">
        <f aca="false">IFERROR(__xludf.dummyfunction("""COMPUTED_VALUE"""),302.43)</f>
        <v>302.43</v>
      </c>
      <c r="D165" s="5" t="n">
        <f aca="false">IFERROR(__xludf.dummyfunction("""COMPUTED_VALUE"""),298.95)</f>
        <v>298.95</v>
      </c>
      <c r="E165" s="5" t="n">
        <f aca="false">IFERROR(__xludf.dummyfunction("""COMPUTED_VALUE"""),299.09)</f>
        <v>299.09</v>
      </c>
      <c r="F165" s="5" t="n">
        <f aca="false">IFERROR(__xludf.dummyfunction("""COMPUTED_VALUE"""),17666084)</f>
        <v>17666084</v>
      </c>
    </row>
    <row r="166" customFormat="false" ht="15.75" hidden="false" customHeight="false" outlineLevel="0" collapsed="false">
      <c r="A166" s="6" t="n">
        <f aca="false">IFERROR(__xludf.dummyfunction("""COMPUTED_VALUE"""),44435.6666666667)</f>
        <v>44435.6666666667</v>
      </c>
      <c r="B166" s="5" t="n">
        <f aca="false">IFERROR(__xludf.dummyfunction("""COMPUTED_VALUE"""),298.99)</f>
        <v>298.99</v>
      </c>
      <c r="C166" s="5" t="n">
        <f aca="false">IFERROR(__xludf.dummyfunction("""COMPUTED_VALUE"""),300.87)</f>
        <v>300.87</v>
      </c>
      <c r="D166" s="5" t="n">
        <f aca="false">IFERROR(__xludf.dummyfunction("""COMPUTED_VALUE"""),296.83)</f>
        <v>296.83</v>
      </c>
      <c r="E166" s="5" t="n">
        <f aca="false">IFERROR(__xludf.dummyfunction("""COMPUTED_VALUE"""),299.72)</f>
        <v>299.72</v>
      </c>
      <c r="F166" s="5" t="n">
        <f aca="false">IFERROR(__xludf.dummyfunction("""COMPUTED_VALUE"""),22605726)</f>
        <v>22605726</v>
      </c>
    </row>
    <row r="167" customFormat="false" ht="15.75" hidden="false" customHeight="false" outlineLevel="0" collapsed="false">
      <c r="A167" s="6" t="n">
        <f aca="false">IFERROR(__xludf.dummyfunction("""COMPUTED_VALUE"""),44438.6666666667)</f>
        <v>44438.6666666667</v>
      </c>
      <c r="B167" s="5" t="n">
        <f aca="false">IFERROR(__xludf.dummyfunction("""COMPUTED_VALUE"""),301.12)</f>
        <v>301.12</v>
      </c>
      <c r="C167" s="5" t="n">
        <f aca="false">IFERROR(__xludf.dummyfunction("""COMPUTED_VALUE"""),304.22)</f>
        <v>304.22</v>
      </c>
      <c r="D167" s="5" t="n">
        <f aca="false">IFERROR(__xludf.dummyfunction("""COMPUTED_VALUE"""),301.06)</f>
        <v>301.06</v>
      </c>
      <c r="E167" s="5" t="n">
        <f aca="false">IFERROR(__xludf.dummyfunction("""COMPUTED_VALUE"""),303.59)</f>
        <v>303.59</v>
      </c>
      <c r="F167" s="5" t="n">
        <f aca="false">IFERROR(__xludf.dummyfunction("""COMPUTED_VALUE"""),16348072)</f>
        <v>16348072</v>
      </c>
    </row>
    <row r="168" customFormat="false" ht="15.75" hidden="false" customHeight="false" outlineLevel="0" collapsed="false">
      <c r="A168" s="6" t="n">
        <f aca="false">IFERROR(__xludf.dummyfunction("""COMPUTED_VALUE"""),44439.6666666667)</f>
        <v>44439.6666666667</v>
      </c>
      <c r="B168" s="5" t="n">
        <f aca="false">IFERROR(__xludf.dummyfunction("""COMPUTED_VALUE"""),304.42)</f>
        <v>304.42</v>
      </c>
      <c r="C168" s="5" t="n">
        <f aca="false">IFERROR(__xludf.dummyfunction("""COMPUTED_VALUE"""),304.5)</f>
        <v>304.5</v>
      </c>
      <c r="D168" s="5" t="n">
        <f aca="false">IFERROR(__xludf.dummyfunction("""COMPUTED_VALUE"""),301.5)</f>
        <v>301.5</v>
      </c>
      <c r="E168" s="5" t="n">
        <f aca="false">IFERROR(__xludf.dummyfunction("""COMPUTED_VALUE"""),301.88)</f>
        <v>301.88</v>
      </c>
      <c r="F168" s="5" t="n">
        <f aca="false">IFERROR(__xludf.dummyfunction("""COMPUTED_VALUE"""),26285338)</f>
        <v>26285338</v>
      </c>
    </row>
    <row r="169" customFormat="false" ht="15.75" hidden="false" customHeight="false" outlineLevel="0" collapsed="false">
      <c r="A169" s="6" t="n">
        <f aca="false">IFERROR(__xludf.dummyfunction("""COMPUTED_VALUE"""),44440.6666666667)</f>
        <v>44440.6666666667</v>
      </c>
      <c r="B169" s="5" t="n">
        <f aca="false">IFERROR(__xludf.dummyfunction("""COMPUTED_VALUE"""),302.87)</f>
        <v>302.87</v>
      </c>
      <c r="C169" s="5" t="n">
        <f aca="false">IFERROR(__xludf.dummyfunction("""COMPUTED_VALUE"""),305.19)</f>
        <v>305.19</v>
      </c>
      <c r="D169" s="5" t="n">
        <f aca="false">IFERROR(__xludf.dummyfunction("""COMPUTED_VALUE"""),301.49)</f>
        <v>301.49</v>
      </c>
      <c r="E169" s="5" t="n">
        <f aca="false">IFERROR(__xludf.dummyfunction("""COMPUTED_VALUE"""),301.83)</f>
        <v>301.83</v>
      </c>
      <c r="F169" s="5" t="n">
        <f aca="false">IFERROR(__xludf.dummyfunction("""COMPUTED_VALUE"""),18983826)</f>
        <v>18983826</v>
      </c>
    </row>
    <row r="170" customFormat="false" ht="15.75" hidden="false" customHeight="false" outlineLevel="0" collapsed="false">
      <c r="A170" s="6" t="n">
        <f aca="false">IFERROR(__xludf.dummyfunction("""COMPUTED_VALUE"""),44441.6666666667)</f>
        <v>44441.6666666667</v>
      </c>
      <c r="B170" s="5" t="n">
        <f aca="false">IFERROR(__xludf.dummyfunction("""COMPUTED_VALUE"""),302.2)</f>
        <v>302.2</v>
      </c>
      <c r="C170" s="5" t="n">
        <f aca="false">IFERROR(__xludf.dummyfunction("""COMPUTED_VALUE"""),303.36)</f>
        <v>303.36</v>
      </c>
      <c r="D170" s="5" t="n">
        <f aca="false">IFERROR(__xludf.dummyfunction("""COMPUTED_VALUE"""),300.18)</f>
        <v>300.18</v>
      </c>
      <c r="E170" s="5" t="n">
        <f aca="false">IFERROR(__xludf.dummyfunction("""COMPUTED_VALUE"""),301.15)</f>
        <v>301.15</v>
      </c>
      <c r="F170" s="5" t="n">
        <f aca="false">IFERROR(__xludf.dummyfunction("""COMPUTED_VALUE"""),16290545)</f>
        <v>16290545</v>
      </c>
    </row>
    <row r="171" customFormat="false" ht="15.75" hidden="false" customHeight="false" outlineLevel="0" collapsed="false">
      <c r="A171" s="6" t="n">
        <f aca="false">IFERROR(__xludf.dummyfunction("""COMPUTED_VALUE"""),44442.6666666667)</f>
        <v>44442.6666666667</v>
      </c>
      <c r="B171" s="5" t="n">
        <f aca="false">IFERROR(__xludf.dummyfunction("""COMPUTED_VALUE"""),300.99)</f>
        <v>300.99</v>
      </c>
      <c r="C171" s="5" t="n">
        <f aca="false">IFERROR(__xludf.dummyfunction("""COMPUTED_VALUE"""),302.6)</f>
        <v>302.6</v>
      </c>
      <c r="D171" s="5" t="n">
        <f aca="false">IFERROR(__xludf.dummyfunction("""COMPUTED_VALUE"""),300.26)</f>
        <v>300.26</v>
      </c>
      <c r="E171" s="5" t="n">
        <f aca="false">IFERROR(__xludf.dummyfunction("""COMPUTED_VALUE"""),301.14)</f>
        <v>301.14</v>
      </c>
      <c r="F171" s="5" t="n">
        <f aca="false">IFERROR(__xludf.dummyfunction("""COMPUTED_VALUE"""),14751610)</f>
        <v>14751610</v>
      </c>
    </row>
    <row r="172" customFormat="false" ht="15.75" hidden="false" customHeight="false" outlineLevel="0" collapsed="false">
      <c r="A172" s="6" t="n">
        <f aca="false">IFERROR(__xludf.dummyfunction("""COMPUTED_VALUE"""),44446.6666666667)</f>
        <v>44446.6666666667</v>
      </c>
      <c r="B172" s="5" t="n">
        <f aca="false">IFERROR(__xludf.dummyfunction("""COMPUTED_VALUE"""),301.01)</f>
        <v>301.01</v>
      </c>
      <c r="C172" s="5" t="n">
        <f aca="false">IFERROR(__xludf.dummyfunction("""COMPUTED_VALUE"""),301.09)</f>
        <v>301.09</v>
      </c>
      <c r="D172" s="5" t="n">
        <f aca="false">IFERROR(__xludf.dummyfunction("""COMPUTED_VALUE"""),298.2)</f>
        <v>298.2</v>
      </c>
      <c r="E172" s="5" t="n">
        <f aca="false">IFERROR(__xludf.dummyfunction("""COMPUTED_VALUE"""),300.18)</f>
        <v>300.18</v>
      </c>
      <c r="F172" s="5" t="n">
        <f aca="false">IFERROR(__xludf.dummyfunction("""COMPUTED_VALUE"""),17184083)</f>
        <v>17184083</v>
      </c>
    </row>
    <row r="173" customFormat="false" ht="15.75" hidden="false" customHeight="false" outlineLevel="0" collapsed="false">
      <c r="A173" s="6" t="n">
        <f aca="false">IFERROR(__xludf.dummyfunction("""COMPUTED_VALUE"""),44447.6666666667)</f>
        <v>44447.6666666667</v>
      </c>
      <c r="B173" s="5" t="n">
        <f aca="false">IFERROR(__xludf.dummyfunction("""COMPUTED_VALUE"""),299.78)</f>
        <v>299.78</v>
      </c>
      <c r="C173" s="5" t="n">
        <f aca="false">IFERROR(__xludf.dummyfunction("""COMPUTED_VALUE"""),300.61)</f>
        <v>300.61</v>
      </c>
      <c r="D173" s="5" t="n">
        <f aca="false">IFERROR(__xludf.dummyfunction("""COMPUTED_VALUE"""),297.47)</f>
        <v>297.47</v>
      </c>
      <c r="E173" s="5" t="n">
        <f aca="false">IFERROR(__xludf.dummyfunction("""COMPUTED_VALUE"""),300.21)</f>
        <v>300.21</v>
      </c>
      <c r="F173" s="5" t="n">
        <f aca="false">IFERROR(__xludf.dummyfunction("""COMPUTED_VALUE"""),15046819)</f>
        <v>15046819</v>
      </c>
    </row>
    <row r="174" customFormat="false" ht="15.75" hidden="false" customHeight="false" outlineLevel="0" collapsed="false">
      <c r="A174" s="6" t="n">
        <f aca="false">IFERROR(__xludf.dummyfunction("""COMPUTED_VALUE"""),44448.6666666667)</f>
        <v>44448.6666666667</v>
      </c>
      <c r="B174" s="5" t="n">
        <f aca="false">IFERROR(__xludf.dummyfunction("""COMPUTED_VALUE"""),300.82)</f>
        <v>300.82</v>
      </c>
      <c r="C174" s="5" t="n">
        <f aca="false">IFERROR(__xludf.dummyfunction("""COMPUTED_VALUE"""),302.14)</f>
        <v>302.14</v>
      </c>
      <c r="D174" s="5" t="n">
        <f aca="false">IFERROR(__xludf.dummyfunction("""COMPUTED_VALUE"""),297)</f>
        <v>297</v>
      </c>
      <c r="E174" s="5" t="n">
        <f aca="false">IFERROR(__xludf.dummyfunction("""COMPUTED_VALUE"""),297.25)</f>
        <v>297.25</v>
      </c>
      <c r="F174" s="5" t="n">
        <f aca="false">IFERROR(__xludf.dummyfunction("""COMPUTED_VALUE"""),19927000)</f>
        <v>19927000</v>
      </c>
    </row>
    <row r="175" customFormat="false" ht="15.75" hidden="false" customHeight="false" outlineLevel="0" collapsed="false">
      <c r="A175" s="6" t="n">
        <f aca="false">IFERROR(__xludf.dummyfunction("""COMPUTED_VALUE"""),44449.6666666667)</f>
        <v>44449.6666666667</v>
      </c>
      <c r="B175" s="5" t="n">
        <f aca="false">IFERROR(__xludf.dummyfunction("""COMPUTED_VALUE"""),298.42)</f>
        <v>298.42</v>
      </c>
      <c r="C175" s="5" t="n">
        <f aca="false">IFERROR(__xludf.dummyfunction("""COMPUTED_VALUE"""),299.92)</f>
        <v>299.92</v>
      </c>
      <c r="D175" s="5" t="n">
        <f aca="false">IFERROR(__xludf.dummyfunction("""COMPUTED_VALUE"""),295.38)</f>
        <v>295.38</v>
      </c>
      <c r="E175" s="5" t="n">
        <f aca="false">IFERROR(__xludf.dummyfunction("""COMPUTED_VALUE"""),295.71)</f>
        <v>295.71</v>
      </c>
      <c r="F175" s="5" t="n">
        <f aca="false">IFERROR(__xludf.dummyfunction("""COMPUTED_VALUE"""),19633363)</f>
        <v>19633363</v>
      </c>
    </row>
    <row r="176" customFormat="false" ht="15.75" hidden="false" customHeight="false" outlineLevel="0" collapsed="false">
      <c r="A176" s="6" t="n">
        <f aca="false">IFERROR(__xludf.dummyfunction("""COMPUTED_VALUE"""),44452.6666666667)</f>
        <v>44452.6666666667</v>
      </c>
      <c r="B176" s="5" t="n">
        <f aca="false">IFERROR(__xludf.dummyfunction("""COMPUTED_VALUE"""),297.55)</f>
        <v>297.55</v>
      </c>
      <c r="C176" s="5" t="n">
        <f aca="false">IFERROR(__xludf.dummyfunction("""COMPUTED_VALUE"""),298.54)</f>
        <v>298.54</v>
      </c>
      <c r="D176" s="5" t="n">
        <f aca="false">IFERROR(__xludf.dummyfunction("""COMPUTED_VALUE"""),294.08)</f>
        <v>294.08</v>
      </c>
      <c r="E176" s="5" t="n">
        <f aca="false">IFERROR(__xludf.dummyfunction("""COMPUTED_VALUE"""),296.99)</f>
        <v>296.99</v>
      </c>
      <c r="F176" s="5" t="n">
        <f aca="false">IFERROR(__xludf.dummyfunction("""COMPUTED_VALUE"""),23652949)</f>
        <v>23652949</v>
      </c>
    </row>
    <row r="177" customFormat="false" ht="15.75" hidden="false" customHeight="false" outlineLevel="0" collapsed="false">
      <c r="A177" s="6" t="n">
        <f aca="false">IFERROR(__xludf.dummyfunction("""COMPUTED_VALUE"""),44453.6666666667)</f>
        <v>44453.6666666667</v>
      </c>
      <c r="B177" s="5" t="n">
        <f aca="false">IFERROR(__xludf.dummyfunction("""COMPUTED_VALUE"""),299.56)</f>
        <v>299.56</v>
      </c>
      <c r="C177" s="5" t="n">
        <f aca="false">IFERROR(__xludf.dummyfunction("""COMPUTED_VALUE"""),301.39)</f>
        <v>301.39</v>
      </c>
      <c r="D177" s="5" t="n">
        <f aca="false">IFERROR(__xludf.dummyfunction("""COMPUTED_VALUE"""),298.1)</f>
        <v>298.1</v>
      </c>
      <c r="E177" s="5" t="n">
        <f aca="false">IFERROR(__xludf.dummyfunction("""COMPUTED_VALUE"""),299.79)</f>
        <v>299.79</v>
      </c>
      <c r="F177" s="5" t="n">
        <f aca="false">IFERROR(__xludf.dummyfunction("""COMPUTED_VALUE"""),21853433)</f>
        <v>21853433</v>
      </c>
    </row>
    <row r="178" customFormat="false" ht="15.75" hidden="false" customHeight="false" outlineLevel="0" collapsed="false">
      <c r="A178" s="6" t="n">
        <f aca="false">IFERROR(__xludf.dummyfunction("""COMPUTED_VALUE"""),44454.6666666667)</f>
        <v>44454.6666666667</v>
      </c>
      <c r="B178" s="5" t="n">
        <f aca="false">IFERROR(__xludf.dummyfunction("""COMPUTED_VALUE"""),303.26)</f>
        <v>303.26</v>
      </c>
      <c r="C178" s="5" t="n">
        <f aca="false">IFERROR(__xludf.dummyfunction("""COMPUTED_VALUE"""),305.32)</f>
        <v>305.32</v>
      </c>
      <c r="D178" s="5" t="n">
        <f aca="false">IFERROR(__xludf.dummyfunction("""COMPUTED_VALUE"""),301.82)</f>
        <v>301.82</v>
      </c>
      <c r="E178" s="5" t="n">
        <f aca="false">IFERROR(__xludf.dummyfunction("""COMPUTED_VALUE"""),304.82)</f>
        <v>304.82</v>
      </c>
      <c r="F178" s="5" t="n">
        <f aca="false">IFERROR(__xludf.dummyfunction("""COMPUTED_VALUE"""),28356304)</f>
        <v>28356304</v>
      </c>
    </row>
    <row r="179" customFormat="false" ht="15.75" hidden="false" customHeight="false" outlineLevel="0" collapsed="false">
      <c r="A179" s="6" t="n">
        <f aca="false">IFERROR(__xludf.dummyfunction("""COMPUTED_VALUE"""),44455.6666666667)</f>
        <v>44455.6666666667</v>
      </c>
      <c r="B179" s="5" t="n">
        <f aca="false">IFERROR(__xludf.dummyfunction("""COMPUTED_VALUE"""),303.76)</f>
        <v>303.76</v>
      </c>
      <c r="C179" s="5" t="n">
        <f aca="false">IFERROR(__xludf.dummyfunction("""COMPUTED_VALUE"""),305.31)</f>
        <v>305.31</v>
      </c>
      <c r="D179" s="5" t="n">
        <f aca="false">IFERROR(__xludf.dummyfunction("""COMPUTED_VALUE"""),300.76)</f>
        <v>300.76</v>
      </c>
      <c r="E179" s="5" t="n">
        <f aca="false">IFERROR(__xludf.dummyfunction("""COMPUTED_VALUE"""),305.22)</f>
        <v>305.22</v>
      </c>
      <c r="F179" s="5" t="n">
        <f aca="false">IFERROR(__xludf.dummyfunction("""COMPUTED_VALUE"""),19550815)</f>
        <v>19550815</v>
      </c>
    </row>
    <row r="180" customFormat="false" ht="15.75" hidden="false" customHeight="false" outlineLevel="0" collapsed="false">
      <c r="A180" s="6" t="n">
        <f aca="false">IFERROR(__xludf.dummyfunction("""COMPUTED_VALUE"""),44456.6666666667)</f>
        <v>44456.6666666667</v>
      </c>
      <c r="B180" s="5" t="n">
        <f aca="false">IFERROR(__xludf.dummyfunction("""COMPUTED_VALUE"""),304.17)</f>
        <v>304.17</v>
      </c>
      <c r="C180" s="5" t="n">
        <f aca="false">IFERROR(__xludf.dummyfunction("""COMPUTED_VALUE"""),304.5)</f>
        <v>304.5</v>
      </c>
      <c r="D180" s="5" t="n">
        <f aca="false">IFERROR(__xludf.dummyfunction("""COMPUTED_VALUE"""),299.53)</f>
        <v>299.53</v>
      </c>
      <c r="E180" s="5" t="n">
        <f aca="false">IFERROR(__xludf.dummyfunction("""COMPUTED_VALUE"""),299.87)</f>
        <v>299.87</v>
      </c>
      <c r="F180" s="5" t="n">
        <f aca="false">IFERROR(__xludf.dummyfunction("""COMPUTED_VALUE"""),41372457)</f>
        <v>41372457</v>
      </c>
    </row>
    <row r="181" customFormat="false" ht="15.75" hidden="false" customHeight="false" outlineLevel="0" collapsed="false">
      <c r="A181" s="6" t="n">
        <f aca="false">IFERROR(__xludf.dummyfunction("""COMPUTED_VALUE"""),44459.6666666667)</f>
        <v>44459.6666666667</v>
      </c>
      <c r="B181" s="5" t="n">
        <f aca="false">IFERROR(__xludf.dummyfunction("""COMPUTED_VALUE"""),296.33)</f>
        <v>296.33</v>
      </c>
      <c r="C181" s="5" t="n">
        <f aca="false">IFERROR(__xludf.dummyfunction("""COMPUTED_VALUE"""),298.72)</f>
        <v>298.72</v>
      </c>
      <c r="D181" s="5" t="n">
        <f aca="false">IFERROR(__xludf.dummyfunction("""COMPUTED_VALUE"""),289.52)</f>
        <v>289.52</v>
      </c>
      <c r="E181" s="5" t="n">
        <f aca="false">IFERROR(__xludf.dummyfunction("""COMPUTED_VALUE"""),294.3)</f>
        <v>294.3</v>
      </c>
      <c r="F181" s="5" t="n">
        <f aca="false">IFERROR(__xludf.dummyfunction("""COMPUTED_VALUE"""),38278661)</f>
        <v>38278661</v>
      </c>
    </row>
    <row r="182" customFormat="false" ht="15.75" hidden="false" customHeight="false" outlineLevel="0" collapsed="false">
      <c r="A182" s="6" t="n">
        <f aca="false">IFERROR(__xludf.dummyfunction("""COMPUTED_VALUE"""),44460.6666666667)</f>
        <v>44460.6666666667</v>
      </c>
      <c r="B182" s="5" t="n">
        <f aca="false">IFERROR(__xludf.dummyfunction("""COMPUTED_VALUE"""),295.69)</f>
        <v>295.69</v>
      </c>
      <c r="C182" s="5" t="n">
        <f aca="false">IFERROR(__xludf.dummyfunction("""COMPUTED_VALUE"""),297.54)</f>
        <v>297.54</v>
      </c>
      <c r="D182" s="5" t="n">
        <f aca="false">IFERROR(__xludf.dummyfunction("""COMPUTED_VALUE"""),294.07)</f>
        <v>294.07</v>
      </c>
      <c r="E182" s="5" t="n">
        <f aca="false">IFERROR(__xludf.dummyfunction("""COMPUTED_VALUE"""),294.8)</f>
        <v>294.8</v>
      </c>
      <c r="F182" s="5" t="n">
        <f aca="false">IFERROR(__xludf.dummyfunction("""COMPUTED_VALUE"""),22364103)</f>
        <v>22364103</v>
      </c>
    </row>
    <row r="183" customFormat="false" ht="15.75" hidden="false" customHeight="false" outlineLevel="0" collapsed="false">
      <c r="A183" s="6" t="n">
        <f aca="false">IFERROR(__xludf.dummyfunction("""COMPUTED_VALUE"""),44461.6666666667)</f>
        <v>44461.6666666667</v>
      </c>
      <c r="B183" s="5" t="n">
        <f aca="false">IFERROR(__xludf.dummyfunction("""COMPUTED_VALUE"""),296.73)</f>
        <v>296.73</v>
      </c>
      <c r="C183" s="5" t="n">
        <f aca="false">IFERROR(__xludf.dummyfunction("""COMPUTED_VALUE"""),300.22)</f>
        <v>300.22</v>
      </c>
      <c r="D183" s="5" t="n">
        <f aca="false">IFERROR(__xludf.dummyfunction("""COMPUTED_VALUE"""),294.51)</f>
        <v>294.51</v>
      </c>
      <c r="E183" s="5" t="n">
        <f aca="false">IFERROR(__xludf.dummyfunction("""COMPUTED_VALUE"""),298.58)</f>
        <v>298.58</v>
      </c>
      <c r="F183" s="5" t="n">
        <f aca="false">IFERROR(__xludf.dummyfunction("""COMPUTED_VALUE"""),26626342)</f>
        <v>26626342</v>
      </c>
    </row>
    <row r="184" customFormat="false" ht="15.75" hidden="false" customHeight="false" outlineLevel="0" collapsed="false">
      <c r="A184" s="6" t="n">
        <f aca="false">IFERROR(__xludf.dummyfunction("""COMPUTED_VALUE"""),44462.6666666667)</f>
        <v>44462.6666666667</v>
      </c>
      <c r="B184" s="5" t="n">
        <f aca="false">IFERROR(__xludf.dummyfunction("""COMPUTED_VALUE"""),298.85)</f>
        <v>298.85</v>
      </c>
      <c r="C184" s="5" t="n">
        <f aca="false">IFERROR(__xludf.dummyfunction("""COMPUTED_VALUE"""),300.9)</f>
        <v>300.9</v>
      </c>
      <c r="D184" s="5" t="n">
        <f aca="false">IFERROR(__xludf.dummyfunction("""COMPUTED_VALUE"""),297.53)</f>
        <v>297.53</v>
      </c>
      <c r="E184" s="5" t="n">
        <f aca="false">IFERROR(__xludf.dummyfunction("""COMPUTED_VALUE"""),299.56)</f>
        <v>299.56</v>
      </c>
      <c r="F184" s="5" t="n">
        <f aca="false">IFERROR(__xludf.dummyfunction("""COMPUTED_VALUE"""),18604601)</f>
        <v>18604601</v>
      </c>
    </row>
    <row r="185" customFormat="false" ht="15.75" hidden="false" customHeight="false" outlineLevel="0" collapsed="false">
      <c r="A185" s="6" t="n">
        <f aca="false">IFERROR(__xludf.dummyfunction("""COMPUTED_VALUE"""),44463.6666666667)</f>
        <v>44463.6666666667</v>
      </c>
      <c r="B185" s="5" t="n">
        <f aca="false">IFERROR(__xludf.dummyfunction("""COMPUTED_VALUE"""),298.23)</f>
        <v>298.23</v>
      </c>
      <c r="C185" s="5" t="n">
        <f aca="false">IFERROR(__xludf.dummyfunction("""COMPUTED_VALUE"""),299.8)</f>
        <v>299.8</v>
      </c>
      <c r="D185" s="5" t="n">
        <f aca="false">IFERROR(__xludf.dummyfunction("""COMPUTED_VALUE"""),296.93)</f>
        <v>296.93</v>
      </c>
      <c r="E185" s="5" t="n">
        <f aca="false">IFERROR(__xludf.dummyfunction("""COMPUTED_VALUE"""),299.35)</f>
        <v>299.35</v>
      </c>
      <c r="F185" s="5" t="n">
        <f aca="false">IFERROR(__xludf.dummyfunction("""COMPUTED_VALUE"""),14998978)</f>
        <v>14998978</v>
      </c>
    </row>
    <row r="186" customFormat="false" ht="15.75" hidden="false" customHeight="false" outlineLevel="0" collapsed="false">
      <c r="A186" s="6" t="n">
        <f aca="false">IFERROR(__xludf.dummyfunction("""COMPUTED_VALUE"""),44466.6666666667)</f>
        <v>44466.6666666667</v>
      </c>
      <c r="B186" s="5" t="n">
        <f aca="false">IFERROR(__xludf.dummyfunction("""COMPUTED_VALUE"""),296.14)</f>
        <v>296.14</v>
      </c>
      <c r="C186" s="5" t="n">
        <f aca="false">IFERROR(__xludf.dummyfunction("""COMPUTED_VALUE"""),296.47)</f>
        <v>296.47</v>
      </c>
      <c r="D186" s="5" t="n">
        <f aca="false">IFERROR(__xludf.dummyfunction("""COMPUTED_VALUE"""),292.94)</f>
        <v>292.94</v>
      </c>
      <c r="E186" s="5" t="n">
        <f aca="false">IFERROR(__xludf.dummyfunction("""COMPUTED_VALUE"""),294.17)</f>
        <v>294.17</v>
      </c>
      <c r="F186" s="5" t="n">
        <f aca="false">IFERROR(__xludf.dummyfunction("""COMPUTED_VALUE"""),23571742)</f>
        <v>23571742</v>
      </c>
    </row>
    <row r="187" customFormat="false" ht="15.75" hidden="false" customHeight="false" outlineLevel="0" collapsed="false">
      <c r="A187" s="6" t="n">
        <f aca="false">IFERROR(__xludf.dummyfunction("""COMPUTED_VALUE"""),44467.6666666667)</f>
        <v>44467.6666666667</v>
      </c>
      <c r="B187" s="5" t="n">
        <f aca="false">IFERROR(__xludf.dummyfunction("""COMPUTED_VALUE"""),289.8)</f>
        <v>289.8</v>
      </c>
      <c r="C187" s="5" t="n">
        <f aca="false">IFERROR(__xludf.dummyfunction("""COMPUTED_VALUE"""),290.78)</f>
        <v>290.78</v>
      </c>
      <c r="D187" s="5" t="n">
        <f aca="false">IFERROR(__xludf.dummyfunction("""COMPUTED_VALUE"""),282.75)</f>
        <v>282.75</v>
      </c>
      <c r="E187" s="5" t="n">
        <f aca="false">IFERROR(__xludf.dummyfunction("""COMPUTED_VALUE"""),283.52)</f>
        <v>283.52</v>
      </c>
      <c r="F187" s="5" t="n">
        <f aca="false">IFERROR(__xludf.dummyfunction("""COMPUTED_VALUE"""),43186237)</f>
        <v>43186237</v>
      </c>
    </row>
    <row r="188" customFormat="false" ht="15.75" hidden="false" customHeight="false" outlineLevel="0" collapsed="false">
      <c r="A188" s="6" t="n">
        <f aca="false">IFERROR(__xludf.dummyfunction("""COMPUTED_VALUE"""),44468.6666666667)</f>
        <v>44468.6666666667</v>
      </c>
      <c r="B188" s="5" t="n">
        <f aca="false">IFERROR(__xludf.dummyfunction("""COMPUTED_VALUE"""),285.1)</f>
        <v>285.1</v>
      </c>
      <c r="C188" s="5" t="n">
        <f aca="false">IFERROR(__xludf.dummyfunction("""COMPUTED_VALUE"""),286.77)</f>
        <v>286.77</v>
      </c>
      <c r="D188" s="5" t="n">
        <f aca="false">IFERROR(__xludf.dummyfunction("""COMPUTED_VALUE"""),283.01)</f>
        <v>283.01</v>
      </c>
      <c r="E188" s="5" t="n">
        <f aca="false">IFERROR(__xludf.dummyfunction("""COMPUTED_VALUE"""),284)</f>
        <v>284</v>
      </c>
      <c r="F188" s="5" t="n">
        <f aca="false">IFERROR(__xludf.dummyfunction("""COMPUTED_VALUE"""),26353696)</f>
        <v>26353696</v>
      </c>
    </row>
    <row r="189" customFormat="false" ht="15.75" hidden="false" customHeight="false" outlineLevel="0" collapsed="false">
      <c r="A189" s="6" t="n">
        <f aca="false">IFERROR(__xludf.dummyfunction("""COMPUTED_VALUE"""),44469.6666666667)</f>
        <v>44469.6666666667</v>
      </c>
      <c r="B189" s="5" t="n">
        <f aca="false">IFERROR(__xludf.dummyfunction("""COMPUTED_VALUE"""),285.71)</f>
        <v>285.71</v>
      </c>
      <c r="C189" s="5" t="n">
        <f aca="false">IFERROR(__xludf.dummyfunction("""COMPUTED_VALUE"""),287.83)</f>
        <v>287.83</v>
      </c>
      <c r="D189" s="5" t="n">
        <f aca="false">IFERROR(__xludf.dummyfunction("""COMPUTED_VALUE"""),281.62)</f>
        <v>281.62</v>
      </c>
      <c r="E189" s="5" t="n">
        <f aca="false">IFERROR(__xludf.dummyfunction("""COMPUTED_VALUE"""),281.92)</f>
        <v>281.92</v>
      </c>
      <c r="F189" s="5" t="n">
        <f aca="false">IFERROR(__xludf.dummyfunction("""COMPUTED_VALUE"""),32343635)</f>
        <v>32343635</v>
      </c>
    </row>
    <row r="190" customFormat="false" ht="15.75" hidden="false" customHeight="false" outlineLevel="0" collapsed="false">
      <c r="A190" s="6" t="n">
        <f aca="false">IFERROR(__xludf.dummyfunction("""COMPUTED_VALUE"""),44470.6666666667)</f>
        <v>44470.6666666667</v>
      </c>
      <c r="B190" s="5" t="n">
        <f aca="false">IFERROR(__xludf.dummyfunction("""COMPUTED_VALUE"""),282.12)</f>
        <v>282.12</v>
      </c>
      <c r="C190" s="5" t="n">
        <f aca="false">IFERROR(__xludf.dummyfunction("""COMPUTED_VALUE"""),289.98)</f>
        <v>289.98</v>
      </c>
      <c r="D190" s="5" t="n">
        <f aca="false">IFERROR(__xludf.dummyfunction("""COMPUTED_VALUE"""),281.29)</f>
        <v>281.29</v>
      </c>
      <c r="E190" s="5" t="n">
        <f aca="false">IFERROR(__xludf.dummyfunction("""COMPUTED_VALUE"""),289.1)</f>
        <v>289.1</v>
      </c>
      <c r="F190" s="5" t="n">
        <f aca="false">IFERROR(__xludf.dummyfunction("""COMPUTED_VALUE"""),30086280)</f>
        <v>30086280</v>
      </c>
    </row>
    <row r="191" customFormat="false" ht="15.75" hidden="false" customHeight="false" outlineLevel="0" collapsed="false">
      <c r="A191" s="6" t="n">
        <f aca="false">IFERROR(__xludf.dummyfunction("""COMPUTED_VALUE"""),44473.6666666667)</f>
        <v>44473.6666666667</v>
      </c>
      <c r="B191" s="5" t="n">
        <f aca="false">IFERROR(__xludf.dummyfunction("""COMPUTED_VALUE"""),287.4)</f>
        <v>287.4</v>
      </c>
      <c r="C191" s="5" t="n">
        <f aca="false">IFERROR(__xludf.dummyfunction("""COMPUTED_VALUE"""),287.75)</f>
        <v>287.75</v>
      </c>
      <c r="D191" s="5" t="n">
        <f aca="false">IFERROR(__xludf.dummyfunction("""COMPUTED_VALUE"""),280.25)</f>
        <v>280.25</v>
      </c>
      <c r="E191" s="5" t="n">
        <f aca="false">IFERROR(__xludf.dummyfunction("""COMPUTED_VALUE"""),283.11)</f>
        <v>283.11</v>
      </c>
      <c r="F191" s="5" t="n">
        <f aca="false">IFERROR(__xludf.dummyfunction("""COMPUTED_VALUE"""),31350747)</f>
        <v>31350747</v>
      </c>
    </row>
    <row r="192" customFormat="false" ht="15.75" hidden="false" customHeight="false" outlineLevel="0" collapsed="false">
      <c r="A192" s="6" t="n">
        <f aca="false">IFERROR(__xludf.dummyfunction("""COMPUTED_VALUE"""),44474.6666666667)</f>
        <v>44474.6666666667</v>
      </c>
      <c r="B192" s="5" t="n">
        <f aca="false">IFERROR(__xludf.dummyfunction("""COMPUTED_VALUE"""),284.05)</f>
        <v>284.05</v>
      </c>
      <c r="C192" s="5" t="n">
        <f aca="false">IFERROR(__xludf.dummyfunction("""COMPUTED_VALUE"""),290.4)</f>
        <v>290.4</v>
      </c>
      <c r="D192" s="5" t="n">
        <f aca="false">IFERROR(__xludf.dummyfunction("""COMPUTED_VALUE"""),284.05)</f>
        <v>284.05</v>
      </c>
      <c r="E192" s="5" t="n">
        <f aca="false">IFERROR(__xludf.dummyfunction("""COMPUTED_VALUE"""),288.76)</f>
        <v>288.76</v>
      </c>
      <c r="F192" s="5" t="n">
        <f aca="false">IFERROR(__xludf.dummyfunction("""COMPUTED_VALUE"""),24993024)</f>
        <v>24993024</v>
      </c>
    </row>
    <row r="193" customFormat="false" ht="15.75" hidden="false" customHeight="false" outlineLevel="0" collapsed="false">
      <c r="A193" s="6" t="n">
        <f aca="false">IFERROR(__xludf.dummyfunction("""COMPUTED_VALUE"""),44475.6666666667)</f>
        <v>44475.6666666667</v>
      </c>
      <c r="B193" s="5" t="n">
        <f aca="false">IFERROR(__xludf.dummyfunction("""COMPUTED_VALUE"""),285.78)</f>
        <v>285.78</v>
      </c>
      <c r="C193" s="5" t="n">
        <f aca="false">IFERROR(__xludf.dummyfunction("""COMPUTED_VALUE"""),293.63)</f>
        <v>293.63</v>
      </c>
      <c r="D193" s="5" t="n">
        <f aca="false">IFERROR(__xludf.dummyfunction("""COMPUTED_VALUE"""),285.51)</f>
        <v>285.51</v>
      </c>
      <c r="E193" s="5" t="n">
        <f aca="false">IFERROR(__xludf.dummyfunction("""COMPUTED_VALUE"""),293.11)</f>
        <v>293.11</v>
      </c>
      <c r="F193" s="5" t="n">
        <f aca="false">IFERROR(__xludf.dummyfunction("""COMPUTED_VALUE"""),28002559)</f>
        <v>28002559</v>
      </c>
    </row>
    <row r="194" customFormat="false" ht="15.75" hidden="false" customHeight="false" outlineLevel="0" collapsed="false">
      <c r="A194" s="6" t="n">
        <f aca="false">IFERROR(__xludf.dummyfunction("""COMPUTED_VALUE"""),44476.6666666667)</f>
        <v>44476.6666666667</v>
      </c>
      <c r="B194" s="5" t="n">
        <f aca="false">IFERROR(__xludf.dummyfunction("""COMPUTED_VALUE"""),295.18)</f>
        <v>295.18</v>
      </c>
      <c r="C194" s="5" t="n">
        <f aca="false">IFERROR(__xludf.dummyfunction("""COMPUTED_VALUE"""),296.64)</f>
        <v>296.64</v>
      </c>
      <c r="D194" s="5" t="n">
        <f aca="false">IFERROR(__xludf.dummyfunction("""COMPUTED_VALUE"""),293.92)</f>
        <v>293.92</v>
      </c>
      <c r="E194" s="5" t="n">
        <f aca="false">IFERROR(__xludf.dummyfunction("""COMPUTED_VALUE"""),294.85)</f>
        <v>294.85</v>
      </c>
      <c r="F194" s="5" t="n">
        <f aca="false">IFERROR(__xludf.dummyfunction("""COMPUTED_VALUE"""),20430471)</f>
        <v>20430471</v>
      </c>
    </row>
    <row r="195" customFormat="false" ht="15.75" hidden="false" customHeight="false" outlineLevel="0" collapsed="false">
      <c r="A195" s="6" t="n">
        <f aca="false">IFERROR(__xludf.dummyfunction("""COMPUTED_VALUE"""),44477.6666666667)</f>
        <v>44477.6666666667</v>
      </c>
      <c r="B195" s="5" t="n">
        <f aca="false">IFERROR(__xludf.dummyfunction("""COMPUTED_VALUE"""),296.22)</f>
        <v>296.22</v>
      </c>
      <c r="C195" s="5" t="n">
        <f aca="false">IFERROR(__xludf.dummyfunction("""COMPUTED_VALUE"""),296.64)</f>
        <v>296.64</v>
      </c>
      <c r="D195" s="5" t="n">
        <f aca="false">IFERROR(__xludf.dummyfunction("""COMPUTED_VALUE"""),293.76)</f>
        <v>293.76</v>
      </c>
      <c r="E195" s="5" t="n">
        <f aca="false">IFERROR(__xludf.dummyfunction("""COMPUTED_VALUE"""),294.85)</f>
        <v>294.85</v>
      </c>
      <c r="F195" s="5" t="n">
        <f aca="false">IFERROR(__xludf.dummyfunction("""COMPUTED_VALUE"""),17685700)</f>
        <v>17685700</v>
      </c>
    </row>
    <row r="196" customFormat="false" ht="15.75" hidden="false" customHeight="false" outlineLevel="0" collapsed="false">
      <c r="A196" s="6" t="n">
        <f aca="false">IFERROR(__xludf.dummyfunction("""COMPUTED_VALUE"""),44480.6666666667)</f>
        <v>44480.6666666667</v>
      </c>
      <c r="B196" s="5" t="n">
        <f aca="false">IFERROR(__xludf.dummyfunction("""COMPUTED_VALUE"""),292.92)</f>
        <v>292.92</v>
      </c>
      <c r="C196" s="5" t="n">
        <f aca="false">IFERROR(__xludf.dummyfunction("""COMPUTED_VALUE"""),297.97)</f>
        <v>297.97</v>
      </c>
      <c r="D196" s="5" t="n">
        <f aca="false">IFERROR(__xludf.dummyfunction("""COMPUTED_VALUE"""),292.75)</f>
        <v>292.75</v>
      </c>
      <c r="E196" s="5" t="n">
        <f aca="false">IFERROR(__xludf.dummyfunction("""COMPUTED_VALUE"""),294.23)</f>
        <v>294.23</v>
      </c>
      <c r="F196" s="5" t="n">
        <f aca="false">IFERROR(__xludf.dummyfunction("""COMPUTED_VALUE"""),19298634)</f>
        <v>19298634</v>
      </c>
    </row>
    <row r="197" customFormat="false" ht="15.75" hidden="false" customHeight="false" outlineLevel="0" collapsed="false">
      <c r="A197" s="6" t="n">
        <f aca="false">IFERROR(__xludf.dummyfunction("""COMPUTED_VALUE"""),44481.6666666667)</f>
        <v>44481.6666666667</v>
      </c>
      <c r="B197" s="5" t="n">
        <f aca="false">IFERROR(__xludf.dummyfunction("""COMPUTED_VALUE"""),295.34)</f>
        <v>295.34</v>
      </c>
      <c r="C197" s="5" t="n">
        <f aca="false">IFERROR(__xludf.dummyfunction("""COMPUTED_VALUE"""),295.44)</f>
        <v>295.44</v>
      </c>
      <c r="D197" s="5" t="n">
        <f aca="false">IFERROR(__xludf.dummyfunction("""COMPUTED_VALUE"""),292.35)</f>
        <v>292.35</v>
      </c>
      <c r="E197" s="5" t="n">
        <f aca="false">IFERROR(__xludf.dummyfunction("""COMPUTED_VALUE"""),292.88)</f>
        <v>292.88</v>
      </c>
      <c r="F197" s="5" t="n">
        <f aca="false">IFERROR(__xludf.dummyfunction("""COMPUTED_VALUE"""),17974143)</f>
        <v>17974143</v>
      </c>
    </row>
    <row r="198" customFormat="false" ht="15.75" hidden="false" customHeight="false" outlineLevel="0" collapsed="false">
      <c r="A198" s="6" t="n">
        <f aca="false">IFERROR(__xludf.dummyfunction("""COMPUTED_VALUE"""),44482.6666666667)</f>
        <v>44482.6666666667</v>
      </c>
      <c r="B198" s="5" t="n">
        <f aca="false">IFERROR(__xludf.dummyfunction("""COMPUTED_VALUE"""),294.91)</f>
        <v>294.91</v>
      </c>
      <c r="C198" s="5" t="n">
        <f aca="false">IFERROR(__xludf.dummyfunction("""COMPUTED_VALUE"""),297.28)</f>
        <v>297.28</v>
      </c>
      <c r="D198" s="5" t="n">
        <f aca="false">IFERROR(__xludf.dummyfunction("""COMPUTED_VALUE"""),293.49)</f>
        <v>293.49</v>
      </c>
      <c r="E198" s="5" t="n">
        <f aca="false">IFERROR(__xludf.dummyfunction("""COMPUTED_VALUE"""),296.31)</f>
        <v>296.31</v>
      </c>
      <c r="F198" s="5" t="n">
        <f aca="false">IFERROR(__xludf.dummyfunction("""COMPUTED_VALUE"""),23424025)</f>
        <v>23424025</v>
      </c>
    </row>
    <row r="199" customFormat="false" ht="15.75" hidden="false" customHeight="false" outlineLevel="0" collapsed="false">
      <c r="A199" s="6" t="n">
        <f aca="false">IFERROR(__xludf.dummyfunction("""COMPUTED_VALUE"""),44483.6666666667)</f>
        <v>44483.6666666667</v>
      </c>
      <c r="B199" s="5" t="n">
        <f aca="false">IFERROR(__xludf.dummyfunction("""COMPUTED_VALUE"""),299.21)</f>
        <v>299.21</v>
      </c>
      <c r="C199" s="5" t="n">
        <f aca="false">IFERROR(__xludf.dummyfunction("""COMPUTED_VALUE"""),303.27)</f>
        <v>303.27</v>
      </c>
      <c r="D199" s="5" t="n">
        <f aca="false">IFERROR(__xludf.dummyfunction("""COMPUTED_VALUE"""),297.83)</f>
        <v>297.83</v>
      </c>
      <c r="E199" s="5" t="n">
        <f aca="false">IFERROR(__xludf.dummyfunction("""COMPUTED_VALUE"""),302.75)</f>
        <v>302.75</v>
      </c>
      <c r="F199" s="5" t="n">
        <f aca="false">IFERROR(__xludf.dummyfunction("""COMPUTED_VALUE"""),27262902)</f>
        <v>27262902</v>
      </c>
    </row>
    <row r="200" customFormat="false" ht="15.75" hidden="false" customHeight="false" outlineLevel="0" collapsed="false">
      <c r="A200" s="6" t="n">
        <f aca="false">IFERROR(__xludf.dummyfunction("""COMPUTED_VALUE"""),44484.6666666667)</f>
        <v>44484.6666666667</v>
      </c>
      <c r="B200" s="5" t="n">
        <f aca="false">IFERROR(__xludf.dummyfunction("""COMPUTED_VALUE"""),302.34)</f>
        <v>302.34</v>
      </c>
      <c r="C200" s="5" t="n">
        <f aca="false">IFERROR(__xludf.dummyfunction("""COMPUTED_VALUE"""),304.45)</f>
        <v>304.45</v>
      </c>
      <c r="D200" s="5" t="n">
        <f aca="false">IFERROR(__xludf.dummyfunction("""COMPUTED_VALUE"""),300.52)</f>
        <v>300.52</v>
      </c>
      <c r="E200" s="5" t="n">
        <f aca="false">IFERROR(__xludf.dummyfunction("""COMPUTED_VALUE"""),304.21)</f>
        <v>304.21</v>
      </c>
      <c r="F200" s="5" t="n">
        <f aca="false">IFERROR(__xludf.dummyfunction("""COMPUTED_VALUE"""),25384803)</f>
        <v>25384803</v>
      </c>
    </row>
    <row r="201" customFormat="false" ht="15.75" hidden="false" customHeight="false" outlineLevel="0" collapsed="false">
      <c r="A201" s="6" t="n">
        <f aca="false">IFERROR(__xludf.dummyfunction("""COMPUTED_VALUE"""),44487.6666666667)</f>
        <v>44487.6666666667</v>
      </c>
      <c r="B201" s="5" t="n">
        <f aca="false">IFERROR(__xludf.dummyfunction("""COMPUTED_VALUE"""),303.57)</f>
        <v>303.57</v>
      </c>
      <c r="C201" s="5" t="n">
        <f aca="false">IFERROR(__xludf.dummyfunction("""COMPUTED_VALUE"""),308.21)</f>
        <v>308.21</v>
      </c>
      <c r="D201" s="5" t="n">
        <f aca="false">IFERROR(__xludf.dummyfunction("""COMPUTED_VALUE"""),302.69)</f>
        <v>302.69</v>
      </c>
      <c r="E201" s="5" t="n">
        <f aca="false">IFERROR(__xludf.dummyfunction("""COMPUTED_VALUE"""),307.29)</f>
        <v>307.29</v>
      </c>
      <c r="F201" s="5" t="n">
        <f aca="false">IFERROR(__xludf.dummyfunction("""COMPUTED_VALUE"""),22729297)</f>
        <v>22729297</v>
      </c>
    </row>
    <row r="202" customFormat="false" ht="15.75" hidden="false" customHeight="false" outlineLevel="0" collapsed="false">
      <c r="A202" s="6" t="n">
        <f aca="false">IFERROR(__xludf.dummyfunction("""COMPUTED_VALUE"""),44488.6666666667)</f>
        <v>44488.6666666667</v>
      </c>
      <c r="B202" s="5" t="n">
        <f aca="false">IFERROR(__xludf.dummyfunction("""COMPUTED_VALUE"""),308.35)</f>
        <v>308.35</v>
      </c>
      <c r="C202" s="5" t="n">
        <f aca="false">IFERROR(__xludf.dummyfunction("""COMPUTED_VALUE"""),309.3)</f>
        <v>309.3</v>
      </c>
      <c r="D202" s="5" t="n">
        <f aca="false">IFERROR(__xludf.dummyfunction("""COMPUTED_VALUE"""),307.22)</f>
        <v>307.22</v>
      </c>
      <c r="E202" s="5" t="n">
        <f aca="false">IFERROR(__xludf.dummyfunction("""COMPUTED_VALUE"""),308.23)</f>
        <v>308.23</v>
      </c>
      <c r="F202" s="5" t="n">
        <f aca="false">IFERROR(__xludf.dummyfunction("""COMPUTED_VALUE"""),17682139)</f>
        <v>17682139</v>
      </c>
    </row>
    <row r="203" customFormat="false" ht="15.75" hidden="false" customHeight="false" outlineLevel="0" collapsed="false">
      <c r="A203" s="6" t="n">
        <f aca="false">IFERROR(__xludf.dummyfunction("""COMPUTED_VALUE"""),44489.6666666667)</f>
        <v>44489.6666666667</v>
      </c>
      <c r="B203" s="5" t="n">
        <f aca="false">IFERROR(__xludf.dummyfunction("""COMPUTED_VALUE"""),309.21)</f>
        <v>309.21</v>
      </c>
      <c r="C203" s="5" t="n">
        <f aca="false">IFERROR(__xludf.dummyfunction("""COMPUTED_VALUE"""),309.7)</f>
        <v>309.7</v>
      </c>
      <c r="D203" s="5" t="n">
        <f aca="false">IFERROR(__xludf.dummyfunction("""COMPUTED_VALUE"""),306.11)</f>
        <v>306.11</v>
      </c>
      <c r="E203" s="5" t="n">
        <f aca="false">IFERROR(__xludf.dummyfunction("""COMPUTED_VALUE"""),307.41)</f>
        <v>307.41</v>
      </c>
      <c r="F203" s="5" t="n">
        <f aca="false">IFERROR(__xludf.dummyfunction("""COMPUTED_VALUE"""),16537069)</f>
        <v>16537069</v>
      </c>
    </row>
    <row r="204" customFormat="false" ht="15.75" hidden="false" customHeight="false" outlineLevel="0" collapsed="false">
      <c r="A204" s="6" t="n">
        <f aca="false">IFERROR(__xludf.dummyfunction("""COMPUTED_VALUE"""),44490.6666666667)</f>
        <v>44490.6666666667</v>
      </c>
      <c r="B204" s="5" t="n">
        <f aca="false">IFERROR(__xludf.dummyfunction("""COMPUTED_VALUE"""),307.17)</f>
        <v>307.17</v>
      </c>
      <c r="C204" s="5" t="n">
        <f aca="false">IFERROR(__xludf.dummyfunction("""COMPUTED_VALUE"""),311.02)</f>
        <v>311.02</v>
      </c>
      <c r="D204" s="5" t="n">
        <f aca="false">IFERROR(__xludf.dummyfunction("""COMPUTED_VALUE"""),306.36)</f>
        <v>306.36</v>
      </c>
      <c r="E204" s="5" t="n">
        <f aca="false">IFERROR(__xludf.dummyfunction("""COMPUTED_VALUE"""),310.76)</f>
        <v>310.76</v>
      </c>
      <c r="F204" s="5" t="n">
        <f aca="false">IFERROR(__xludf.dummyfunction("""COMPUTED_VALUE"""),16918100)</f>
        <v>16918100</v>
      </c>
    </row>
    <row r="205" customFormat="false" ht="15.75" hidden="false" customHeight="false" outlineLevel="0" collapsed="false">
      <c r="A205" s="6" t="n">
        <f aca="false">IFERROR(__xludf.dummyfunction("""COMPUTED_VALUE"""),44491.6666666667)</f>
        <v>44491.6666666667</v>
      </c>
      <c r="B205" s="5" t="n">
        <f aca="false">IFERROR(__xludf.dummyfunction("""COMPUTED_VALUE"""),310.4)</f>
        <v>310.4</v>
      </c>
      <c r="C205" s="5" t="n">
        <f aca="false">IFERROR(__xludf.dummyfunction("""COMPUTED_VALUE"""),311.09)</f>
        <v>311.09</v>
      </c>
      <c r="D205" s="5" t="n">
        <f aca="false">IFERROR(__xludf.dummyfunction("""COMPUTED_VALUE"""),307.8)</f>
        <v>307.8</v>
      </c>
      <c r="E205" s="5" t="n">
        <f aca="false">IFERROR(__xludf.dummyfunction("""COMPUTED_VALUE"""),309.16)</f>
        <v>309.16</v>
      </c>
      <c r="F205" s="5" t="n">
        <f aca="false">IFERROR(__xludf.dummyfunction("""COMPUTED_VALUE"""),17449332)</f>
        <v>17449332</v>
      </c>
    </row>
    <row r="206" customFormat="false" ht="15.75" hidden="false" customHeight="false" outlineLevel="0" collapsed="false">
      <c r="A206" s="6" t="n">
        <f aca="false">IFERROR(__xludf.dummyfunction("""COMPUTED_VALUE"""),44494.6666666667)</f>
        <v>44494.6666666667</v>
      </c>
      <c r="B206" s="5" t="n">
        <f aca="false">IFERROR(__xludf.dummyfunction("""COMPUTED_VALUE"""),309.36)</f>
        <v>309.36</v>
      </c>
      <c r="C206" s="5" t="n">
        <f aca="false">IFERROR(__xludf.dummyfunction("""COMPUTED_VALUE"""),309.4)</f>
        <v>309.4</v>
      </c>
      <c r="D206" s="5" t="n">
        <f aca="false">IFERROR(__xludf.dummyfunction("""COMPUTED_VALUE"""),306.46)</f>
        <v>306.46</v>
      </c>
      <c r="E206" s="5" t="n">
        <f aca="false">IFERROR(__xludf.dummyfunction("""COMPUTED_VALUE"""),308.13)</f>
        <v>308.13</v>
      </c>
      <c r="F206" s="5" t="n">
        <f aca="false">IFERROR(__xludf.dummyfunction("""COMPUTED_VALUE"""),17554469)</f>
        <v>17554469</v>
      </c>
    </row>
    <row r="207" customFormat="false" ht="15.75" hidden="false" customHeight="false" outlineLevel="0" collapsed="false">
      <c r="A207" s="6" t="n">
        <f aca="false">IFERROR(__xludf.dummyfunction("""COMPUTED_VALUE"""),44495.6666666667)</f>
        <v>44495.6666666667</v>
      </c>
      <c r="B207" s="5" t="n">
        <f aca="false">IFERROR(__xludf.dummyfunction("""COMPUTED_VALUE"""),311)</f>
        <v>311</v>
      </c>
      <c r="C207" s="5" t="n">
        <f aca="false">IFERROR(__xludf.dummyfunction("""COMPUTED_VALUE"""),312.4)</f>
        <v>312.4</v>
      </c>
      <c r="D207" s="5" t="n">
        <f aca="false">IFERROR(__xludf.dummyfunction("""COMPUTED_VALUE"""),308.6)</f>
        <v>308.6</v>
      </c>
      <c r="E207" s="5" t="n">
        <f aca="false">IFERROR(__xludf.dummyfunction("""COMPUTED_VALUE"""),310.11)</f>
        <v>310.11</v>
      </c>
      <c r="F207" s="5" t="n">
        <f aca="false">IFERROR(__xludf.dummyfunction("""COMPUTED_VALUE"""),28107349)</f>
        <v>28107349</v>
      </c>
    </row>
    <row r="208" customFormat="false" ht="15.75" hidden="false" customHeight="false" outlineLevel="0" collapsed="false">
      <c r="A208" s="6" t="n">
        <f aca="false">IFERROR(__xludf.dummyfunction("""COMPUTED_VALUE"""),44496.6666666667)</f>
        <v>44496.6666666667</v>
      </c>
      <c r="B208" s="5" t="n">
        <f aca="false">IFERROR(__xludf.dummyfunction("""COMPUTED_VALUE"""),316)</f>
        <v>316</v>
      </c>
      <c r="C208" s="5" t="n">
        <f aca="false">IFERROR(__xludf.dummyfunction("""COMPUTED_VALUE"""),326.1)</f>
        <v>326.1</v>
      </c>
      <c r="D208" s="5" t="n">
        <f aca="false">IFERROR(__xludf.dummyfunction("""COMPUTED_VALUE"""),316)</f>
        <v>316</v>
      </c>
      <c r="E208" s="5" t="n">
        <f aca="false">IFERROR(__xludf.dummyfunction("""COMPUTED_VALUE"""),323.17)</f>
        <v>323.17</v>
      </c>
      <c r="F208" s="5" t="n">
        <f aca="false">IFERROR(__xludf.dummyfunction("""COMPUTED_VALUE"""),52588690)</f>
        <v>52588690</v>
      </c>
    </row>
    <row r="209" customFormat="false" ht="15.75" hidden="false" customHeight="false" outlineLevel="0" collapsed="false">
      <c r="A209" s="6" t="n">
        <f aca="false">IFERROR(__xludf.dummyfunction("""COMPUTED_VALUE"""),44497.6666666667)</f>
        <v>44497.6666666667</v>
      </c>
      <c r="B209" s="5" t="n">
        <f aca="false">IFERROR(__xludf.dummyfunction("""COMPUTED_VALUE"""),324.33)</f>
        <v>324.33</v>
      </c>
      <c r="C209" s="5" t="n">
        <f aca="false">IFERROR(__xludf.dummyfunction("""COMPUTED_VALUE"""),324.87)</f>
        <v>324.87</v>
      </c>
      <c r="D209" s="5" t="n">
        <f aca="false">IFERROR(__xludf.dummyfunction("""COMPUTED_VALUE"""),321.36)</f>
        <v>321.36</v>
      </c>
      <c r="E209" s="5" t="n">
        <f aca="false">IFERROR(__xludf.dummyfunction("""COMPUTED_VALUE"""),324.35)</f>
        <v>324.35</v>
      </c>
      <c r="F209" s="5" t="n">
        <f aca="false">IFERROR(__xludf.dummyfunction("""COMPUTED_VALUE"""),26297943)</f>
        <v>26297943</v>
      </c>
    </row>
    <row r="210" customFormat="false" ht="15.75" hidden="false" customHeight="false" outlineLevel="0" collapsed="false">
      <c r="A210" s="6" t="n">
        <f aca="false">IFERROR(__xludf.dummyfunction("""COMPUTED_VALUE"""),44498.6666666667)</f>
        <v>44498.6666666667</v>
      </c>
      <c r="B210" s="5" t="n">
        <f aca="false">IFERROR(__xludf.dummyfunction("""COMPUTED_VALUE"""),324.13)</f>
        <v>324.13</v>
      </c>
      <c r="C210" s="5" t="n">
        <f aca="false">IFERROR(__xludf.dummyfunction("""COMPUTED_VALUE"""),332)</f>
        <v>332</v>
      </c>
      <c r="D210" s="5" t="n">
        <f aca="false">IFERROR(__xludf.dummyfunction("""COMPUTED_VALUE"""),323.9)</f>
        <v>323.9</v>
      </c>
      <c r="E210" s="5" t="n">
        <f aca="false">IFERROR(__xludf.dummyfunction("""COMPUTED_VALUE"""),331.62)</f>
        <v>331.62</v>
      </c>
      <c r="F210" s="5" t="n">
        <f aca="false">IFERROR(__xludf.dummyfunction("""COMPUTED_VALUE"""),34765982)</f>
        <v>34765982</v>
      </c>
    </row>
    <row r="211" customFormat="false" ht="15.75" hidden="false" customHeight="false" outlineLevel="0" collapsed="false">
      <c r="A211" s="6" t="n">
        <f aca="false">IFERROR(__xludf.dummyfunction("""COMPUTED_VALUE"""),44501.6666666667)</f>
        <v>44501.6666666667</v>
      </c>
      <c r="B211" s="5" t="n">
        <f aca="false">IFERROR(__xludf.dummyfunction("""COMPUTED_VALUE"""),331.36)</f>
        <v>331.36</v>
      </c>
      <c r="C211" s="5" t="n">
        <f aca="false">IFERROR(__xludf.dummyfunction("""COMPUTED_VALUE"""),331.49)</f>
        <v>331.49</v>
      </c>
      <c r="D211" s="5" t="n">
        <f aca="false">IFERROR(__xludf.dummyfunction("""COMPUTED_VALUE"""),326.37)</f>
        <v>326.37</v>
      </c>
      <c r="E211" s="5" t="n">
        <f aca="false">IFERROR(__xludf.dummyfunction("""COMPUTED_VALUE"""),329.37)</f>
        <v>329.37</v>
      </c>
      <c r="F211" s="5" t="n">
        <f aca="false">IFERROR(__xludf.dummyfunction("""COMPUTED_VALUE"""),27073182)</f>
        <v>27073182</v>
      </c>
    </row>
    <row r="212" customFormat="false" ht="15.75" hidden="false" customHeight="false" outlineLevel="0" collapsed="false">
      <c r="A212" s="6" t="n">
        <f aca="false">IFERROR(__xludf.dummyfunction("""COMPUTED_VALUE"""),44502.6666666667)</f>
        <v>44502.6666666667</v>
      </c>
      <c r="B212" s="5" t="n">
        <f aca="false">IFERROR(__xludf.dummyfunction("""COMPUTED_VALUE"""),330.31)</f>
        <v>330.31</v>
      </c>
      <c r="C212" s="5" t="n">
        <f aca="false">IFERROR(__xludf.dummyfunction("""COMPUTED_VALUE"""),333.45)</f>
        <v>333.45</v>
      </c>
      <c r="D212" s="5" t="n">
        <f aca="false">IFERROR(__xludf.dummyfunction("""COMPUTED_VALUE"""),330)</f>
        <v>330</v>
      </c>
      <c r="E212" s="5" t="n">
        <f aca="false">IFERROR(__xludf.dummyfunction("""COMPUTED_VALUE"""),333.13)</f>
        <v>333.13</v>
      </c>
      <c r="F212" s="5" t="n">
        <f aca="false">IFERROR(__xludf.dummyfunction("""COMPUTED_VALUE"""),26487109)</f>
        <v>26487109</v>
      </c>
    </row>
    <row r="213" customFormat="false" ht="15.75" hidden="false" customHeight="false" outlineLevel="0" collapsed="false">
      <c r="A213" s="6" t="n">
        <f aca="false">IFERROR(__xludf.dummyfunction("""COMPUTED_VALUE"""),44503.6666666667)</f>
        <v>44503.6666666667</v>
      </c>
      <c r="B213" s="5" t="n">
        <f aca="false">IFERROR(__xludf.dummyfunction("""COMPUTED_VALUE"""),333.9)</f>
        <v>333.9</v>
      </c>
      <c r="C213" s="5" t="n">
        <f aca="false">IFERROR(__xludf.dummyfunction("""COMPUTED_VALUE"""),334.9)</f>
        <v>334.9</v>
      </c>
      <c r="D213" s="5" t="n">
        <f aca="false">IFERROR(__xludf.dummyfunction("""COMPUTED_VALUE"""),330.65)</f>
        <v>330.65</v>
      </c>
      <c r="E213" s="5" t="n">
        <f aca="false">IFERROR(__xludf.dummyfunction("""COMPUTED_VALUE"""),334)</f>
        <v>334</v>
      </c>
      <c r="F213" s="5" t="n">
        <f aca="false">IFERROR(__xludf.dummyfunction("""COMPUTED_VALUE"""),21500082)</f>
        <v>21500082</v>
      </c>
    </row>
    <row r="214" customFormat="false" ht="15.75" hidden="false" customHeight="false" outlineLevel="0" collapsed="false">
      <c r="A214" s="6" t="n">
        <f aca="false">IFERROR(__xludf.dummyfunction("""COMPUTED_VALUE"""),44504.6666666667)</f>
        <v>44504.6666666667</v>
      </c>
      <c r="B214" s="5" t="n">
        <f aca="false">IFERROR(__xludf.dummyfunction("""COMPUTED_VALUE"""),332.89)</f>
        <v>332.89</v>
      </c>
      <c r="C214" s="5" t="n">
        <f aca="false">IFERROR(__xludf.dummyfunction("""COMPUTED_VALUE"""),336.54)</f>
        <v>336.54</v>
      </c>
      <c r="D214" s="5" t="n">
        <f aca="false">IFERROR(__xludf.dummyfunction("""COMPUTED_VALUE"""),329.51)</f>
        <v>329.51</v>
      </c>
      <c r="E214" s="5" t="n">
        <f aca="false">IFERROR(__xludf.dummyfunction("""COMPUTED_VALUE"""),336.44)</f>
        <v>336.44</v>
      </c>
      <c r="F214" s="5" t="n">
        <f aca="false">IFERROR(__xludf.dummyfunction("""COMPUTED_VALUE"""),23992202)</f>
        <v>23992202</v>
      </c>
    </row>
    <row r="215" customFormat="false" ht="15.75" hidden="false" customHeight="false" outlineLevel="0" collapsed="false">
      <c r="A215" s="6" t="n">
        <f aca="false">IFERROR(__xludf.dummyfunction("""COMPUTED_VALUE"""),44505.6666666667)</f>
        <v>44505.6666666667</v>
      </c>
      <c r="B215" s="5" t="n">
        <f aca="false">IFERROR(__xludf.dummyfunction("""COMPUTED_VALUE"""),338.51)</f>
        <v>338.51</v>
      </c>
      <c r="C215" s="5" t="n">
        <f aca="false">IFERROR(__xludf.dummyfunction("""COMPUTED_VALUE"""),338.79)</f>
        <v>338.79</v>
      </c>
      <c r="D215" s="5" t="n">
        <f aca="false">IFERROR(__xludf.dummyfunction("""COMPUTED_VALUE"""),334.42)</f>
        <v>334.42</v>
      </c>
      <c r="E215" s="5" t="n">
        <f aca="false">IFERROR(__xludf.dummyfunction("""COMPUTED_VALUE"""),336.06)</f>
        <v>336.06</v>
      </c>
      <c r="F215" s="5" t="n">
        <f aca="false">IFERROR(__xludf.dummyfunction("""COMPUTED_VALUE"""),22570098)</f>
        <v>22570098</v>
      </c>
    </row>
    <row r="216" customFormat="false" ht="15.75" hidden="false" customHeight="false" outlineLevel="0" collapsed="false">
      <c r="A216" s="6" t="n">
        <f aca="false">IFERROR(__xludf.dummyfunction("""COMPUTED_VALUE"""),44508.6666666667)</f>
        <v>44508.6666666667</v>
      </c>
      <c r="B216" s="5" t="n">
        <f aca="false">IFERROR(__xludf.dummyfunction("""COMPUTED_VALUE"""),337.3)</f>
        <v>337.3</v>
      </c>
      <c r="C216" s="5" t="n">
        <f aca="false">IFERROR(__xludf.dummyfunction("""COMPUTED_VALUE"""),337.65)</f>
        <v>337.65</v>
      </c>
      <c r="D216" s="5" t="n">
        <f aca="false">IFERROR(__xludf.dummyfunction("""COMPUTED_VALUE"""),334.44)</f>
        <v>334.44</v>
      </c>
      <c r="E216" s="5" t="n">
        <f aca="false">IFERROR(__xludf.dummyfunction("""COMPUTED_VALUE"""),336.99)</f>
        <v>336.99</v>
      </c>
      <c r="F216" s="5" t="n">
        <f aca="false">IFERROR(__xludf.dummyfunction("""COMPUTED_VALUE"""),20897001)</f>
        <v>20897001</v>
      </c>
    </row>
    <row r="217" customFormat="false" ht="15.75" hidden="false" customHeight="false" outlineLevel="0" collapsed="false">
      <c r="A217" s="6" t="n">
        <f aca="false">IFERROR(__xludf.dummyfunction("""COMPUTED_VALUE"""),44509.6666666667)</f>
        <v>44509.6666666667</v>
      </c>
      <c r="B217" s="5" t="n">
        <f aca="false">IFERROR(__xludf.dummyfunction("""COMPUTED_VALUE"""),337.11)</f>
        <v>337.11</v>
      </c>
      <c r="C217" s="5" t="n">
        <f aca="false">IFERROR(__xludf.dummyfunction("""COMPUTED_VALUE"""),338.72)</f>
        <v>338.72</v>
      </c>
      <c r="D217" s="5" t="n">
        <f aca="false">IFERROR(__xludf.dummyfunction("""COMPUTED_VALUE"""),334.53)</f>
        <v>334.53</v>
      </c>
      <c r="E217" s="5" t="n">
        <f aca="false">IFERROR(__xludf.dummyfunction("""COMPUTED_VALUE"""),335.95)</f>
        <v>335.95</v>
      </c>
      <c r="F217" s="5" t="n">
        <f aca="false">IFERROR(__xludf.dummyfunction("""COMPUTED_VALUE"""),21307370)</f>
        <v>21307370</v>
      </c>
    </row>
    <row r="218" customFormat="false" ht="15.75" hidden="false" customHeight="false" outlineLevel="0" collapsed="false">
      <c r="A218" s="6" t="n">
        <f aca="false">IFERROR(__xludf.dummyfunction("""COMPUTED_VALUE"""),44510.6666666667)</f>
        <v>44510.6666666667</v>
      </c>
      <c r="B218" s="5" t="n">
        <f aca="false">IFERROR(__xludf.dummyfunction("""COMPUTED_VALUE"""),334.57)</f>
        <v>334.57</v>
      </c>
      <c r="C218" s="5" t="n">
        <f aca="false">IFERROR(__xludf.dummyfunction("""COMPUTED_VALUE"""),334.63)</f>
        <v>334.63</v>
      </c>
      <c r="D218" s="5" t="n">
        <f aca="false">IFERROR(__xludf.dummyfunction("""COMPUTED_VALUE"""),329.92)</f>
        <v>329.92</v>
      </c>
      <c r="E218" s="5" t="n">
        <f aca="false">IFERROR(__xludf.dummyfunction("""COMPUTED_VALUE"""),330.8)</f>
        <v>330.8</v>
      </c>
      <c r="F218" s="5" t="n">
        <f aca="false">IFERROR(__xludf.dummyfunction("""COMPUTED_VALUE"""),25500938)</f>
        <v>25500938</v>
      </c>
    </row>
    <row r="219" customFormat="false" ht="15.75" hidden="false" customHeight="false" outlineLevel="0" collapsed="false">
      <c r="A219" s="6" t="n">
        <f aca="false">IFERROR(__xludf.dummyfunction("""COMPUTED_VALUE"""),44511.6666666667)</f>
        <v>44511.6666666667</v>
      </c>
      <c r="B219" s="5" t="n">
        <f aca="false">IFERROR(__xludf.dummyfunction("""COMPUTED_VALUE"""),331.25)</f>
        <v>331.25</v>
      </c>
      <c r="C219" s="5" t="n">
        <f aca="false">IFERROR(__xludf.dummyfunction("""COMPUTED_VALUE"""),333.77)</f>
        <v>333.77</v>
      </c>
      <c r="D219" s="5" t="n">
        <f aca="false">IFERROR(__xludf.dummyfunction("""COMPUTED_VALUE"""),330.51)</f>
        <v>330.51</v>
      </c>
      <c r="E219" s="5" t="n">
        <f aca="false">IFERROR(__xludf.dummyfunction("""COMPUTED_VALUE"""),332.43)</f>
        <v>332.43</v>
      </c>
      <c r="F219" s="5" t="n">
        <f aca="false">IFERROR(__xludf.dummyfunction("""COMPUTED_VALUE"""),16849844)</f>
        <v>16849844</v>
      </c>
    </row>
    <row r="220" customFormat="false" ht="15.75" hidden="false" customHeight="false" outlineLevel="0" collapsed="false">
      <c r="A220" s="6" t="n">
        <f aca="false">IFERROR(__xludf.dummyfunction("""COMPUTED_VALUE"""),44512.6666666667)</f>
        <v>44512.6666666667</v>
      </c>
      <c r="B220" s="5" t="n">
        <f aca="false">IFERROR(__xludf.dummyfunction("""COMPUTED_VALUE"""),333.92)</f>
        <v>333.92</v>
      </c>
      <c r="C220" s="5" t="n">
        <f aca="false">IFERROR(__xludf.dummyfunction("""COMPUTED_VALUE"""),337.23)</f>
        <v>337.23</v>
      </c>
      <c r="D220" s="5" t="n">
        <f aca="false">IFERROR(__xludf.dummyfunction("""COMPUTED_VALUE"""),333.79)</f>
        <v>333.79</v>
      </c>
      <c r="E220" s="5" t="n">
        <f aca="false">IFERROR(__xludf.dummyfunction("""COMPUTED_VALUE"""),336.72)</f>
        <v>336.72</v>
      </c>
      <c r="F220" s="5" t="n">
        <f aca="false">IFERROR(__xludf.dummyfunction("""COMPUTED_VALUE"""),23831049)</f>
        <v>23831049</v>
      </c>
    </row>
    <row r="221" customFormat="false" ht="15.75" hidden="false" customHeight="false" outlineLevel="0" collapsed="false">
      <c r="A221" s="6" t="n">
        <f aca="false">IFERROR(__xludf.dummyfunction("""COMPUTED_VALUE"""),44515.6666666667)</f>
        <v>44515.6666666667</v>
      </c>
      <c r="B221" s="5" t="n">
        <f aca="false">IFERROR(__xludf.dummyfunction("""COMPUTED_VALUE"""),337.54)</f>
        <v>337.54</v>
      </c>
      <c r="C221" s="5" t="n">
        <f aca="false">IFERROR(__xludf.dummyfunction("""COMPUTED_VALUE"""),337.88)</f>
        <v>337.88</v>
      </c>
      <c r="D221" s="5" t="n">
        <f aca="false">IFERROR(__xludf.dummyfunction("""COMPUTED_VALUE"""),334.03)</f>
        <v>334.03</v>
      </c>
      <c r="E221" s="5" t="n">
        <f aca="false">IFERROR(__xludf.dummyfunction("""COMPUTED_VALUE"""),336.07)</f>
        <v>336.07</v>
      </c>
      <c r="F221" s="5" t="n">
        <f aca="false">IFERROR(__xludf.dummyfunction("""COMPUTED_VALUE"""),16723009)</f>
        <v>16723009</v>
      </c>
    </row>
    <row r="222" customFormat="false" ht="15.75" hidden="false" customHeight="false" outlineLevel="0" collapsed="false">
      <c r="A222" s="6" t="n">
        <f aca="false">IFERROR(__xludf.dummyfunction("""COMPUTED_VALUE"""),44516.6666666667)</f>
        <v>44516.6666666667</v>
      </c>
      <c r="B222" s="5" t="n">
        <f aca="false">IFERROR(__xludf.dummyfunction("""COMPUTED_VALUE"""),335.68)</f>
        <v>335.68</v>
      </c>
      <c r="C222" s="5" t="n">
        <f aca="false">IFERROR(__xludf.dummyfunction("""COMPUTED_VALUE"""),340.67)</f>
        <v>340.67</v>
      </c>
      <c r="D222" s="5" t="n">
        <f aca="false">IFERROR(__xludf.dummyfunction("""COMPUTED_VALUE"""),335.51)</f>
        <v>335.51</v>
      </c>
      <c r="E222" s="5" t="n">
        <f aca="false">IFERROR(__xludf.dummyfunction("""COMPUTED_VALUE"""),339.51)</f>
        <v>339.51</v>
      </c>
      <c r="F222" s="5" t="n">
        <f aca="false">IFERROR(__xludf.dummyfunction("""COMPUTED_VALUE"""),20886832)</f>
        <v>20886832</v>
      </c>
    </row>
    <row r="223" customFormat="false" ht="15.75" hidden="false" customHeight="false" outlineLevel="0" collapsed="false">
      <c r="A223" s="6" t="n">
        <f aca="false">IFERROR(__xludf.dummyfunction("""COMPUTED_VALUE"""),44517.6666666667)</f>
        <v>44517.6666666667</v>
      </c>
      <c r="B223" s="5" t="n">
        <f aca="false">IFERROR(__xludf.dummyfunction("""COMPUTED_VALUE"""),338.94)</f>
        <v>338.94</v>
      </c>
      <c r="C223" s="5" t="n">
        <f aca="false">IFERROR(__xludf.dummyfunction("""COMPUTED_VALUE"""),342.19)</f>
        <v>342.19</v>
      </c>
      <c r="D223" s="5" t="n">
        <f aca="false">IFERROR(__xludf.dummyfunction("""COMPUTED_VALUE"""),338)</f>
        <v>338</v>
      </c>
      <c r="E223" s="5" t="n">
        <f aca="false">IFERROR(__xludf.dummyfunction("""COMPUTED_VALUE"""),339.12)</f>
        <v>339.12</v>
      </c>
      <c r="F223" s="5" t="n">
        <f aca="false">IFERROR(__xludf.dummyfunction("""COMPUTED_VALUE"""),19053380)</f>
        <v>19053380</v>
      </c>
    </row>
    <row r="224" customFormat="false" ht="15.75" hidden="false" customHeight="false" outlineLevel="0" collapsed="false">
      <c r="A224" s="6" t="n">
        <f aca="false">IFERROR(__xludf.dummyfunction("""COMPUTED_VALUE"""),44518.6666666667)</f>
        <v>44518.6666666667</v>
      </c>
      <c r="B224" s="5" t="n">
        <f aca="false">IFERROR(__xludf.dummyfunction("""COMPUTED_VALUE"""),338.18)</f>
        <v>338.18</v>
      </c>
      <c r="C224" s="5" t="n">
        <f aca="false">IFERROR(__xludf.dummyfunction("""COMPUTED_VALUE"""),342.45)</f>
        <v>342.45</v>
      </c>
      <c r="D224" s="5" t="n">
        <f aca="false">IFERROR(__xludf.dummyfunction("""COMPUTED_VALUE"""),337.12)</f>
        <v>337.12</v>
      </c>
      <c r="E224" s="5" t="n">
        <f aca="false">IFERROR(__xludf.dummyfunction("""COMPUTED_VALUE"""),341.27)</f>
        <v>341.27</v>
      </c>
      <c r="F224" s="5" t="n">
        <f aca="false">IFERROR(__xludf.dummyfunction("""COMPUTED_VALUE"""),22463533)</f>
        <v>22463533</v>
      </c>
    </row>
    <row r="225" customFormat="false" ht="15.75" hidden="false" customHeight="false" outlineLevel="0" collapsed="false">
      <c r="A225" s="6" t="n">
        <f aca="false">IFERROR(__xludf.dummyfunction("""COMPUTED_VALUE"""),44519.6666666667)</f>
        <v>44519.6666666667</v>
      </c>
      <c r="B225" s="5" t="n">
        <f aca="false">IFERROR(__xludf.dummyfunction("""COMPUTED_VALUE"""),342.64)</f>
        <v>342.64</v>
      </c>
      <c r="C225" s="5" t="n">
        <f aca="false">IFERROR(__xludf.dummyfunction("""COMPUTED_VALUE"""),345.1)</f>
        <v>345.1</v>
      </c>
      <c r="D225" s="5" t="n">
        <f aca="false">IFERROR(__xludf.dummyfunction("""COMPUTED_VALUE"""),342.2)</f>
        <v>342.2</v>
      </c>
      <c r="E225" s="5" t="n">
        <f aca="false">IFERROR(__xludf.dummyfunction("""COMPUTED_VALUE"""),343.11)</f>
        <v>343.11</v>
      </c>
      <c r="F225" s="5" t="n">
        <f aca="false">IFERROR(__xludf.dummyfunction("""COMPUTED_VALUE"""),21963403)</f>
        <v>21963403</v>
      </c>
    </row>
    <row r="226" customFormat="false" ht="15.75" hidden="false" customHeight="false" outlineLevel="0" collapsed="false">
      <c r="A226" s="6" t="n">
        <f aca="false">IFERROR(__xludf.dummyfunction("""COMPUTED_VALUE"""),44522.6666666667)</f>
        <v>44522.6666666667</v>
      </c>
      <c r="B226" s="5" t="n">
        <f aca="false">IFERROR(__xludf.dummyfunction("""COMPUTED_VALUE"""),344.62)</f>
        <v>344.62</v>
      </c>
      <c r="C226" s="5" t="n">
        <f aca="false">IFERROR(__xludf.dummyfunction("""COMPUTED_VALUE"""),349.67)</f>
        <v>349.67</v>
      </c>
      <c r="D226" s="5" t="n">
        <f aca="false">IFERROR(__xludf.dummyfunction("""COMPUTED_VALUE"""),339.55)</f>
        <v>339.55</v>
      </c>
      <c r="E226" s="5" t="n">
        <f aca="false">IFERROR(__xludf.dummyfunction("""COMPUTED_VALUE"""),339.83)</f>
        <v>339.83</v>
      </c>
      <c r="F226" s="5" t="n">
        <f aca="false">IFERROR(__xludf.dummyfunction("""COMPUTED_VALUE"""),31031113)</f>
        <v>31031113</v>
      </c>
    </row>
    <row r="227" customFormat="false" ht="15.75" hidden="false" customHeight="false" outlineLevel="0" collapsed="false">
      <c r="A227" s="6" t="n">
        <f aca="false">IFERROR(__xludf.dummyfunction("""COMPUTED_VALUE"""),44523.6666666667)</f>
        <v>44523.6666666667</v>
      </c>
      <c r="B227" s="5" t="n">
        <f aca="false">IFERROR(__xludf.dummyfunction("""COMPUTED_VALUE"""),337.05)</f>
        <v>337.05</v>
      </c>
      <c r="C227" s="5" t="n">
        <f aca="false">IFERROR(__xludf.dummyfunction("""COMPUTED_VALUE"""),339.45)</f>
        <v>339.45</v>
      </c>
      <c r="D227" s="5" t="n">
        <f aca="false">IFERROR(__xludf.dummyfunction("""COMPUTED_VALUE"""),333.56)</f>
        <v>333.56</v>
      </c>
      <c r="E227" s="5" t="n">
        <f aca="false">IFERROR(__xludf.dummyfunction("""COMPUTED_VALUE"""),337.68)</f>
        <v>337.68</v>
      </c>
      <c r="F227" s="5" t="n">
        <f aca="false">IFERROR(__xludf.dummyfunction("""COMPUTED_VALUE"""),30427563)</f>
        <v>30427563</v>
      </c>
    </row>
    <row r="228" customFormat="false" ht="15.75" hidden="false" customHeight="false" outlineLevel="0" collapsed="false">
      <c r="A228" s="6" t="n">
        <f aca="false">IFERROR(__xludf.dummyfunction("""COMPUTED_VALUE"""),44524.6666666667)</f>
        <v>44524.6666666667</v>
      </c>
      <c r="B228" s="5" t="n">
        <f aca="false">IFERROR(__xludf.dummyfunction("""COMPUTED_VALUE"""),336.28)</f>
        <v>336.28</v>
      </c>
      <c r="C228" s="5" t="n">
        <f aca="false">IFERROR(__xludf.dummyfunction("""COMPUTED_VALUE"""),338.16)</f>
        <v>338.16</v>
      </c>
      <c r="D228" s="5" t="n">
        <f aca="false">IFERROR(__xludf.dummyfunction("""COMPUTED_VALUE"""),333.91)</f>
        <v>333.91</v>
      </c>
      <c r="E228" s="5" t="n">
        <f aca="false">IFERROR(__xludf.dummyfunction("""COMPUTED_VALUE"""),337.91)</f>
        <v>337.91</v>
      </c>
      <c r="F228" s="5" t="n">
        <f aca="false">IFERROR(__xludf.dummyfunction("""COMPUTED_VALUE"""),21661307)</f>
        <v>21661307</v>
      </c>
    </row>
    <row r="229" customFormat="false" ht="15.75" hidden="false" customHeight="false" outlineLevel="0" collapsed="false">
      <c r="A229" s="6" t="n">
        <f aca="false">IFERROR(__xludf.dummyfunction("""COMPUTED_VALUE"""),44526.5416666667)</f>
        <v>44526.5416666667</v>
      </c>
      <c r="B229" s="5" t="n">
        <f aca="false">IFERROR(__xludf.dummyfunction("""COMPUTED_VALUE"""),334.35)</f>
        <v>334.35</v>
      </c>
      <c r="C229" s="5" t="n">
        <f aca="false">IFERROR(__xludf.dummyfunction("""COMPUTED_VALUE"""),337.93)</f>
        <v>337.93</v>
      </c>
      <c r="D229" s="5" t="n">
        <f aca="false">IFERROR(__xludf.dummyfunction("""COMPUTED_VALUE"""),328.12)</f>
        <v>328.12</v>
      </c>
      <c r="E229" s="5" t="n">
        <f aca="false">IFERROR(__xludf.dummyfunction("""COMPUTED_VALUE"""),329.68)</f>
        <v>329.68</v>
      </c>
      <c r="F229" s="5" t="n">
        <f aca="false">IFERROR(__xludf.dummyfunction("""COMPUTED_VALUE"""),24217242)</f>
        <v>24217242</v>
      </c>
    </row>
    <row r="230" customFormat="false" ht="15.75" hidden="false" customHeight="false" outlineLevel="0" collapsed="false">
      <c r="A230" s="6" t="n">
        <f aca="false">IFERROR(__xludf.dummyfunction("""COMPUTED_VALUE"""),44529.6666666667)</f>
        <v>44529.6666666667</v>
      </c>
      <c r="B230" s="5" t="n">
        <f aca="false">IFERROR(__xludf.dummyfunction("""COMPUTED_VALUE"""),334.94)</f>
        <v>334.94</v>
      </c>
      <c r="C230" s="5" t="n">
        <f aca="false">IFERROR(__xludf.dummyfunction("""COMPUTED_VALUE"""),339.03)</f>
        <v>339.03</v>
      </c>
      <c r="D230" s="5" t="n">
        <f aca="false">IFERROR(__xludf.dummyfunction("""COMPUTED_VALUE"""),334.74)</f>
        <v>334.74</v>
      </c>
      <c r="E230" s="5" t="n">
        <f aca="false">IFERROR(__xludf.dummyfunction("""COMPUTED_VALUE"""),336.63)</f>
        <v>336.63</v>
      </c>
      <c r="F230" s="5" t="n">
        <f aca="false">IFERROR(__xludf.dummyfunction("""COMPUTED_VALUE"""),28563481)</f>
        <v>28563481</v>
      </c>
    </row>
    <row r="231" customFormat="false" ht="15.75" hidden="false" customHeight="false" outlineLevel="0" collapsed="false">
      <c r="A231" s="6" t="n">
        <f aca="false">IFERROR(__xludf.dummyfunction("""COMPUTED_VALUE"""),44530.6666666667)</f>
        <v>44530.6666666667</v>
      </c>
      <c r="B231" s="5" t="n">
        <f aca="false">IFERROR(__xludf.dummyfunction("""COMPUTED_VALUE"""),335.32)</f>
        <v>335.32</v>
      </c>
      <c r="C231" s="5" t="n">
        <f aca="false">IFERROR(__xludf.dummyfunction("""COMPUTED_VALUE"""),337.78)</f>
        <v>337.78</v>
      </c>
      <c r="D231" s="5" t="n">
        <f aca="false">IFERROR(__xludf.dummyfunction("""COMPUTED_VALUE"""),328.99)</f>
        <v>328.99</v>
      </c>
      <c r="E231" s="5" t="n">
        <f aca="false">IFERROR(__xludf.dummyfunction("""COMPUTED_VALUE"""),330.59)</f>
        <v>330.59</v>
      </c>
      <c r="F231" s="5" t="n">
        <f aca="false">IFERROR(__xludf.dummyfunction("""COMPUTED_VALUE"""),42885609)</f>
        <v>42885609</v>
      </c>
    </row>
    <row r="232" customFormat="false" ht="15.75" hidden="false" customHeight="false" outlineLevel="0" collapsed="false">
      <c r="A232" s="6" t="n">
        <f aca="false">IFERROR(__xludf.dummyfunction("""COMPUTED_VALUE"""),44531.6666666667)</f>
        <v>44531.6666666667</v>
      </c>
      <c r="B232" s="5" t="n">
        <f aca="false">IFERROR(__xludf.dummyfunction("""COMPUTED_VALUE"""),335.13)</f>
        <v>335.13</v>
      </c>
      <c r="C232" s="5" t="n">
        <f aca="false">IFERROR(__xludf.dummyfunction("""COMPUTED_VALUE"""),339.28)</f>
        <v>339.28</v>
      </c>
      <c r="D232" s="5" t="n">
        <f aca="false">IFERROR(__xludf.dummyfunction("""COMPUTED_VALUE"""),329.39)</f>
        <v>329.39</v>
      </c>
      <c r="E232" s="5" t="n">
        <f aca="false">IFERROR(__xludf.dummyfunction("""COMPUTED_VALUE"""),330.08)</f>
        <v>330.08</v>
      </c>
      <c r="F232" s="5" t="n">
        <f aca="false">IFERROR(__xludf.dummyfunction("""COMPUTED_VALUE"""),33401146)</f>
        <v>33401146</v>
      </c>
    </row>
    <row r="233" customFormat="false" ht="15.75" hidden="false" customHeight="false" outlineLevel="0" collapsed="false">
      <c r="A233" s="6" t="n">
        <f aca="false">IFERROR(__xludf.dummyfunction("""COMPUTED_VALUE"""),44532.6666666667)</f>
        <v>44532.6666666667</v>
      </c>
      <c r="B233" s="5" t="n">
        <f aca="false">IFERROR(__xludf.dummyfunction("""COMPUTED_VALUE"""),330.3)</f>
        <v>330.3</v>
      </c>
      <c r="C233" s="5" t="n">
        <f aca="false">IFERROR(__xludf.dummyfunction("""COMPUTED_VALUE"""),333.49)</f>
        <v>333.49</v>
      </c>
      <c r="D233" s="5" t="n">
        <f aca="false">IFERROR(__xludf.dummyfunction("""COMPUTED_VALUE"""),327.8)</f>
        <v>327.8</v>
      </c>
      <c r="E233" s="5" t="n">
        <f aca="false">IFERROR(__xludf.dummyfunction("""COMPUTED_VALUE"""),329.49)</f>
        <v>329.49</v>
      </c>
      <c r="F233" s="5" t="n">
        <f aca="false">IFERROR(__xludf.dummyfunction("""COMPUTED_VALUE"""),30765980)</f>
        <v>30765980</v>
      </c>
    </row>
    <row r="234" customFormat="false" ht="15.75" hidden="false" customHeight="false" outlineLevel="0" collapsed="false">
      <c r="A234" s="6" t="n">
        <f aca="false">IFERROR(__xludf.dummyfunction("""COMPUTED_VALUE"""),44533.6666666667)</f>
        <v>44533.6666666667</v>
      </c>
      <c r="B234" s="5" t="n">
        <f aca="false">IFERROR(__xludf.dummyfunction("""COMPUTED_VALUE"""),331.99)</f>
        <v>331.99</v>
      </c>
      <c r="C234" s="5" t="n">
        <f aca="false">IFERROR(__xludf.dummyfunction("""COMPUTED_VALUE"""),332.7)</f>
        <v>332.7</v>
      </c>
      <c r="D234" s="5" t="n">
        <f aca="false">IFERROR(__xludf.dummyfunction("""COMPUTED_VALUE"""),318.03)</f>
        <v>318.03</v>
      </c>
      <c r="E234" s="5" t="n">
        <f aca="false">IFERROR(__xludf.dummyfunction("""COMPUTED_VALUE"""),323.01)</f>
        <v>323.01</v>
      </c>
      <c r="F234" s="5" t="n">
        <f aca="false">IFERROR(__xludf.dummyfunction("""COMPUTED_VALUE"""),41779279)</f>
        <v>41779279</v>
      </c>
    </row>
    <row r="235" customFormat="false" ht="15.75" hidden="false" customHeight="false" outlineLevel="0" collapsed="false">
      <c r="A235" s="6" t="n">
        <f aca="false">IFERROR(__xludf.dummyfunction("""COMPUTED_VALUE"""),44536.6666666667)</f>
        <v>44536.6666666667</v>
      </c>
      <c r="B235" s="5" t="n">
        <f aca="false">IFERROR(__xludf.dummyfunction("""COMPUTED_VALUE"""),323.95)</f>
        <v>323.95</v>
      </c>
      <c r="C235" s="5" t="n">
        <f aca="false">IFERROR(__xludf.dummyfunction("""COMPUTED_VALUE"""),327.45)</f>
        <v>327.45</v>
      </c>
      <c r="D235" s="5" t="n">
        <f aca="false">IFERROR(__xludf.dummyfunction("""COMPUTED_VALUE"""),319.23)</f>
        <v>319.23</v>
      </c>
      <c r="E235" s="5" t="n">
        <f aca="false">IFERROR(__xludf.dummyfunction("""COMPUTED_VALUE"""),326.19)</f>
        <v>326.19</v>
      </c>
      <c r="F235" s="5" t="n">
        <f aca="false">IFERROR(__xludf.dummyfunction("""COMPUTED_VALUE"""),30032556)</f>
        <v>30032556</v>
      </c>
    </row>
    <row r="236" customFormat="false" ht="15.75" hidden="false" customHeight="false" outlineLevel="0" collapsed="false">
      <c r="A236" s="6" t="n">
        <f aca="false">IFERROR(__xludf.dummyfunction("""COMPUTED_VALUE"""),44537.6666666667)</f>
        <v>44537.6666666667</v>
      </c>
      <c r="B236" s="5" t="n">
        <f aca="false">IFERROR(__xludf.dummyfunction("""COMPUTED_VALUE"""),331.64)</f>
        <v>331.64</v>
      </c>
      <c r="C236" s="5" t="n">
        <f aca="false">IFERROR(__xludf.dummyfunction("""COMPUTED_VALUE"""),335.8)</f>
        <v>335.8</v>
      </c>
      <c r="D236" s="5" t="n">
        <f aca="false">IFERROR(__xludf.dummyfunction("""COMPUTED_VALUE"""),330.1)</f>
        <v>330.1</v>
      </c>
      <c r="E236" s="5" t="n">
        <f aca="false">IFERROR(__xludf.dummyfunction("""COMPUTED_VALUE"""),334.92)</f>
        <v>334.92</v>
      </c>
      <c r="F236" s="5" t="n">
        <f aca="false">IFERROR(__xludf.dummyfunction("""COMPUTED_VALUE"""),31021936)</f>
        <v>31021936</v>
      </c>
    </row>
    <row r="237" customFormat="false" ht="15.75" hidden="false" customHeight="false" outlineLevel="0" collapsed="false">
      <c r="A237" s="6" t="n">
        <f aca="false">IFERROR(__xludf.dummyfunction("""COMPUTED_VALUE"""),44538.6666666667)</f>
        <v>44538.6666666667</v>
      </c>
      <c r="B237" s="5" t="n">
        <f aca="false">IFERROR(__xludf.dummyfunction("""COMPUTED_VALUE"""),335.31)</f>
        <v>335.31</v>
      </c>
      <c r="C237" s="5" t="n">
        <f aca="false">IFERROR(__xludf.dummyfunction("""COMPUTED_VALUE"""),335.5)</f>
        <v>335.5</v>
      </c>
      <c r="D237" s="5" t="n">
        <f aca="false">IFERROR(__xludf.dummyfunction("""COMPUTED_VALUE"""),330.8)</f>
        <v>330.8</v>
      </c>
      <c r="E237" s="5" t="n">
        <f aca="false">IFERROR(__xludf.dummyfunction("""COMPUTED_VALUE"""),334.97)</f>
        <v>334.97</v>
      </c>
      <c r="F237" s="5" t="n">
        <f aca="false">IFERROR(__xludf.dummyfunction("""COMPUTED_VALUE"""),24760988)</f>
        <v>24760988</v>
      </c>
    </row>
    <row r="238" customFormat="false" ht="15.75" hidden="false" customHeight="false" outlineLevel="0" collapsed="false">
      <c r="A238" s="6" t="n">
        <f aca="false">IFERROR(__xludf.dummyfunction("""COMPUTED_VALUE"""),44539.6666666667)</f>
        <v>44539.6666666667</v>
      </c>
      <c r="B238" s="5" t="n">
        <f aca="false">IFERROR(__xludf.dummyfunction("""COMPUTED_VALUE"""),334.41)</f>
        <v>334.41</v>
      </c>
      <c r="C238" s="5" t="n">
        <f aca="false">IFERROR(__xludf.dummyfunction("""COMPUTED_VALUE"""),336.49)</f>
        <v>336.49</v>
      </c>
      <c r="D238" s="5" t="n">
        <f aca="false">IFERROR(__xludf.dummyfunction("""COMPUTED_VALUE"""),332.12)</f>
        <v>332.12</v>
      </c>
      <c r="E238" s="5" t="n">
        <f aca="false">IFERROR(__xludf.dummyfunction("""COMPUTED_VALUE"""),333.1)</f>
        <v>333.1</v>
      </c>
      <c r="F238" s="5" t="n">
        <f aca="false">IFERROR(__xludf.dummyfunction("""COMPUTED_VALUE"""),22214158)</f>
        <v>22214158</v>
      </c>
    </row>
    <row r="239" customFormat="false" ht="15.75" hidden="false" customHeight="false" outlineLevel="0" collapsed="false">
      <c r="A239" s="6" t="n">
        <f aca="false">IFERROR(__xludf.dummyfunction("""COMPUTED_VALUE"""),44540.6666666667)</f>
        <v>44540.6666666667</v>
      </c>
      <c r="B239" s="5" t="n">
        <f aca="false">IFERROR(__xludf.dummyfunction("""COMPUTED_VALUE"""),334.98)</f>
        <v>334.98</v>
      </c>
      <c r="C239" s="5" t="n">
        <f aca="false">IFERROR(__xludf.dummyfunction("""COMPUTED_VALUE"""),343)</f>
        <v>343</v>
      </c>
      <c r="D239" s="5" t="n">
        <f aca="false">IFERROR(__xludf.dummyfunction("""COMPUTED_VALUE"""),334.79)</f>
        <v>334.79</v>
      </c>
      <c r="E239" s="5" t="n">
        <f aca="false">IFERROR(__xludf.dummyfunction("""COMPUTED_VALUE"""),342.54)</f>
        <v>342.54</v>
      </c>
      <c r="F239" s="5" t="n">
        <f aca="false">IFERROR(__xludf.dummyfunction("""COMPUTED_VALUE"""),38095694)</f>
        <v>38095694</v>
      </c>
    </row>
    <row r="240" customFormat="false" ht="15.75" hidden="false" customHeight="false" outlineLevel="0" collapsed="false">
      <c r="A240" s="6" t="n">
        <f aca="false">IFERROR(__xludf.dummyfunction("""COMPUTED_VALUE"""),44543.6666666667)</f>
        <v>44543.6666666667</v>
      </c>
      <c r="B240" s="5" t="n">
        <f aca="false">IFERROR(__xludf.dummyfunction("""COMPUTED_VALUE"""),340.68)</f>
        <v>340.68</v>
      </c>
      <c r="C240" s="5" t="n">
        <f aca="false">IFERROR(__xludf.dummyfunction("""COMPUTED_VALUE"""),343.79)</f>
        <v>343.79</v>
      </c>
      <c r="D240" s="5" t="n">
        <f aca="false">IFERROR(__xludf.dummyfunction("""COMPUTED_VALUE"""),339.08)</f>
        <v>339.08</v>
      </c>
      <c r="E240" s="5" t="n">
        <f aca="false">IFERROR(__xludf.dummyfunction("""COMPUTED_VALUE"""),339.4)</f>
        <v>339.4</v>
      </c>
      <c r="F240" s="5" t="n">
        <f aca="false">IFERROR(__xludf.dummyfunction("""COMPUTED_VALUE"""),28899431)</f>
        <v>28899431</v>
      </c>
    </row>
    <row r="241" customFormat="false" ht="15.75" hidden="false" customHeight="false" outlineLevel="0" collapsed="false">
      <c r="A241" s="6" t="n">
        <f aca="false">IFERROR(__xludf.dummyfunction("""COMPUTED_VALUE"""),44544.6666666667)</f>
        <v>44544.6666666667</v>
      </c>
      <c r="B241" s="5" t="n">
        <f aca="false">IFERROR(__xludf.dummyfunction("""COMPUTED_VALUE"""),333.22)</f>
        <v>333.22</v>
      </c>
      <c r="C241" s="5" t="n">
        <f aca="false">IFERROR(__xludf.dummyfunction("""COMPUTED_VALUE"""),334.64)</f>
        <v>334.64</v>
      </c>
      <c r="D241" s="5" t="n">
        <f aca="false">IFERROR(__xludf.dummyfunction("""COMPUTED_VALUE"""),324.11)</f>
        <v>324.11</v>
      </c>
      <c r="E241" s="5" t="n">
        <f aca="false">IFERROR(__xludf.dummyfunction("""COMPUTED_VALUE"""),328.34)</f>
        <v>328.34</v>
      </c>
      <c r="F241" s="5" t="n">
        <f aca="false">IFERROR(__xludf.dummyfunction("""COMPUTED_VALUE"""),44438699)</f>
        <v>44438699</v>
      </c>
    </row>
    <row r="242" customFormat="false" ht="15.75" hidden="false" customHeight="false" outlineLevel="0" collapsed="false">
      <c r="A242" s="6" t="n">
        <f aca="false">IFERROR(__xludf.dummyfunction("""COMPUTED_VALUE"""),44545.6666666667)</f>
        <v>44545.6666666667</v>
      </c>
      <c r="B242" s="5" t="n">
        <f aca="false">IFERROR(__xludf.dummyfunction("""COMPUTED_VALUE"""),328.61)</f>
        <v>328.61</v>
      </c>
      <c r="C242" s="5" t="n">
        <f aca="false">IFERROR(__xludf.dummyfunction("""COMPUTED_VALUE"""),335.19)</f>
        <v>335.19</v>
      </c>
      <c r="D242" s="5" t="n">
        <f aca="false">IFERROR(__xludf.dummyfunction("""COMPUTED_VALUE"""),324.5)</f>
        <v>324.5</v>
      </c>
      <c r="E242" s="5" t="n">
        <f aca="false">IFERROR(__xludf.dummyfunction("""COMPUTED_VALUE"""),334.65)</f>
        <v>334.65</v>
      </c>
      <c r="F242" s="5" t="n">
        <f aca="false">IFERROR(__xludf.dummyfunction("""COMPUTED_VALUE"""),35381122)</f>
        <v>35381122</v>
      </c>
    </row>
    <row r="243" customFormat="false" ht="15.75" hidden="false" customHeight="false" outlineLevel="0" collapsed="false">
      <c r="A243" s="6" t="n">
        <f aca="false">IFERROR(__xludf.dummyfunction("""COMPUTED_VALUE"""),44546.6666666667)</f>
        <v>44546.6666666667</v>
      </c>
      <c r="B243" s="5" t="n">
        <f aca="false">IFERROR(__xludf.dummyfunction("""COMPUTED_VALUE"""),335.71)</f>
        <v>335.71</v>
      </c>
      <c r="C243" s="5" t="n">
        <f aca="false">IFERROR(__xludf.dummyfunction("""COMPUTED_VALUE"""),336.76)</f>
        <v>336.76</v>
      </c>
      <c r="D243" s="5" t="n">
        <f aca="false">IFERROR(__xludf.dummyfunction("""COMPUTED_VALUE"""),323.02)</f>
        <v>323.02</v>
      </c>
      <c r="E243" s="5" t="n">
        <f aca="false">IFERROR(__xludf.dummyfunction("""COMPUTED_VALUE"""),324.9)</f>
        <v>324.9</v>
      </c>
      <c r="F243" s="5" t="n">
        <f aca="false">IFERROR(__xludf.dummyfunction("""COMPUTED_VALUE"""),35034831)</f>
        <v>35034831</v>
      </c>
    </row>
    <row r="244" customFormat="false" ht="15.75" hidden="false" customHeight="false" outlineLevel="0" collapsed="false">
      <c r="A244" s="6" t="n">
        <f aca="false">IFERROR(__xludf.dummyfunction("""COMPUTED_VALUE"""),44547.6666666667)</f>
        <v>44547.6666666667</v>
      </c>
      <c r="B244" s="5" t="n">
        <f aca="false">IFERROR(__xludf.dummyfunction("""COMPUTED_VALUE"""),320.88)</f>
        <v>320.88</v>
      </c>
      <c r="C244" s="5" t="n">
        <f aca="false">IFERROR(__xludf.dummyfunction("""COMPUTED_VALUE"""),324.92)</f>
        <v>324.92</v>
      </c>
      <c r="D244" s="5" t="n">
        <f aca="false">IFERROR(__xludf.dummyfunction("""COMPUTED_VALUE"""),317.25)</f>
        <v>317.25</v>
      </c>
      <c r="E244" s="5" t="n">
        <f aca="false">IFERROR(__xludf.dummyfunction("""COMPUTED_VALUE"""),323.8)</f>
        <v>323.8</v>
      </c>
      <c r="F244" s="5" t="n">
        <f aca="false">IFERROR(__xludf.dummyfunction("""COMPUTED_VALUE"""),47983713)</f>
        <v>47983713</v>
      </c>
    </row>
    <row r="245" customFormat="false" ht="15.75" hidden="false" customHeight="false" outlineLevel="0" collapsed="false">
      <c r="A245" s="6" t="n">
        <f aca="false">IFERROR(__xludf.dummyfunction("""COMPUTED_VALUE"""),44550.6666666667)</f>
        <v>44550.6666666667</v>
      </c>
      <c r="B245" s="5" t="n">
        <f aca="false">IFERROR(__xludf.dummyfunction("""COMPUTED_VALUE"""),320.05)</f>
        <v>320.05</v>
      </c>
      <c r="C245" s="5" t="n">
        <f aca="false">IFERROR(__xludf.dummyfunction("""COMPUTED_VALUE"""),322.8)</f>
        <v>322.8</v>
      </c>
      <c r="D245" s="5" t="n">
        <f aca="false">IFERROR(__xludf.dummyfunction("""COMPUTED_VALUE"""),317.57)</f>
        <v>317.57</v>
      </c>
      <c r="E245" s="5" t="n">
        <f aca="false">IFERROR(__xludf.dummyfunction("""COMPUTED_VALUE"""),319.91)</f>
        <v>319.91</v>
      </c>
      <c r="F245" s="5" t="n">
        <f aca="false">IFERROR(__xludf.dummyfunction("""COMPUTED_VALUE"""),28326532)</f>
        <v>28326532</v>
      </c>
    </row>
    <row r="246" customFormat="false" ht="15.75" hidden="false" customHeight="false" outlineLevel="0" collapsed="false">
      <c r="A246" s="6" t="n">
        <f aca="false">IFERROR(__xludf.dummyfunction("""COMPUTED_VALUE"""),44551.6666666667)</f>
        <v>44551.6666666667</v>
      </c>
      <c r="B246" s="5" t="n">
        <f aca="false">IFERROR(__xludf.dummyfunction("""COMPUTED_VALUE"""),323.29)</f>
        <v>323.29</v>
      </c>
      <c r="C246" s="5" t="n">
        <f aca="false">IFERROR(__xludf.dummyfunction("""COMPUTED_VALUE"""),327.73)</f>
        <v>327.73</v>
      </c>
      <c r="D246" s="5" t="n">
        <f aca="false">IFERROR(__xludf.dummyfunction("""COMPUTED_VALUE"""),319.8)</f>
        <v>319.8</v>
      </c>
      <c r="E246" s="5" t="n">
        <f aca="false">IFERROR(__xludf.dummyfunction("""COMPUTED_VALUE"""),327.29)</f>
        <v>327.29</v>
      </c>
      <c r="F246" s="5" t="n">
        <f aca="false">IFERROR(__xludf.dummyfunction("""COMPUTED_VALUE"""),24740597)</f>
        <v>24740597</v>
      </c>
    </row>
    <row r="247" customFormat="false" ht="15.75" hidden="false" customHeight="false" outlineLevel="0" collapsed="false">
      <c r="A247" s="6" t="n">
        <f aca="false">IFERROR(__xludf.dummyfunction("""COMPUTED_VALUE"""),44552.6666666667)</f>
        <v>44552.6666666667</v>
      </c>
      <c r="B247" s="5" t="n">
        <f aca="false">IFERROR(__xludf.dummyfunction("""COMPUTED_VALUE"""),328.3)</f>
        <v>328.3</v>
      </c>
      <c r="C247" s="5" t="n">
        <f aca="false">IFERROR(__xludf.dummyfunction("""COMPUTED_VALUE"""),333.61)</f>
        <v>333.61</v>
      </c>
      <c r="D247" s="5" t="n">
        <f aca="false">IFERROR(__xludf.dummyfunction("""COMPUTED_VALUE"""),325.75)</f>
        <v>325.75</v>
      </c>
      <c r="E247" s="5" t="n">
        <f aca="false">IFERROR(__xludf.dummyfunction("""COMPUTED_VALUE"""),333.2)</f>
        <v>333.2</v>
      </c>
      <c r="F247" s="5" t="n">
        <f aca="false">IFERROR(__xludf.dummyfunction("""COMPUTED_VALUE"""),24831493)</f>
        <v>24831493</v>
      </c>
    </row>
    <row r="248" customFormat="false" ht="15.75" hidden="false" customHeight="false" outlineLevel="0" collapsed="false">
      <c r="A248" s="6" t="n">
        <f aca="false">IFERROR(__xludf.dummyfunction("""COMPUTED_VALUE"""),44553.6666666667)</f>
        <v>44553.6666666667</v>
      </c>
      <c r="B248" s="5" t="n">
        <f aca="false">IFERROR(__xludf.dummyfunction("""COMPUTED_VALUE"""),332.75)</f>
        <v>332.75</v>
      </c>
      <c r="C248" s="5" t="n">
        <f aca="false">IFERROR(__xludf.dummyfunction("""COMPUTED_VALUE"""),336.39)</f>
        <v>336.39</v>
      </c>
      <c r="D248" s="5" t="n">
        <f aca="false">IFERROR(__xludf.dummyfunction("""COMPUTED_VALUE"""),332.73)</f>
        <v>332.73</v>
      </c>
      <c r="E248" s="5" t="n">
        <f aca="false">IFERROR(__xludf.dummyfunction("""COMPUTED_VALUE"""),334.69)</f>
        <v>334.69</v>
      </c>
      <c r="F248" s="5" t="n">
        <f aca="false">IFERROR(__xludf.dummyfunction("""COMPUTED_VALUE"""),19617848)</f>
        <v>19617848</v>
      </c>
    </row>
    <row r="249" customFormat="false" ht="15.75" hidden="false" customHeight="false" outlineLevel="0" collapsed="false">
      <c r="A249" s="6" t="n">
        <f aca="false">IFERROR(__xludf.dummyfunction("""COMPUTED_VALUE"""),44557.6666666667)</f>
        <v>44557.6666666667</v>
      </c>
      <c r="B249" s="5" t="n">
        <f aca="false">IFERROR(__xludf.dummyfunction("""COMPUTED_VALUE"""),335.46)</f>
        <v>335.46</v>
      </c>
      <c r="C249" s="5" t="n">
        <f aca="false">IFERROR(__xludf.dummyfunction("""COMPUTED_VALUE"""),342.48)</f>
        <v>342.48</v>
      </c>
      <c r="D249" s="5" t="n">
        <f aca="false">IFERROR(__xludf.dummyfunction("""COMPUTED_VALUE"""),335.43)</f>
        <v>335.43</v>
      </c>
      <c r="E249" s="5" t="n">
        <f aca="false">IFERROR(__xludf.dummyfunction("""COMPUTED_VALUE"""),342.45)</f>
        <v>342.45</v>
      </c>
      <c r="F249" s="5" t="n">
        <f aca="false">IFERROR(__xludf.dummyfunction("""COMPUTED_VALUE"""),19947029)</f>
        <v>19947029</v>
      </c>
    </row>
    <row r="250" customFormat="false" ht="15.75" hidden="false" customHeight="false" outlineLevel="0" collapsed="false">
      <c r="A250" s="6" t="n">
        <f aca="false">IFERROR(__xludf.dummyfunction("""COMPUTED_VALUE"""),44558.6666666667)</f>
        <v>44558.6666666667</v>
      </c>
      <c r="B250" s="5" t="n">
        <f aca="false">IFERROR(__xludf.dummyfunction("""COMPUTED_VALUE"""),343.15)</f>
        <v>343.15</v>
      </c>
      <c r="C250" s="5" t="n">
        <f aca="false">IFERROR(__xludf.dummyfunction("""COMPUTED_VALUE"""),343.81)</f>
        <v>343.81</v>
      </c>
      <c r="D250" s="5" t="n">
        <f aca="false">IFERROR(__xludf.dummyfunction("""COMPUTED_VALUE"""),340.32)</f>
        <v>340.32</v>
      </c>
      <c r="E250" s="5" t="n">
        <f aca="false">IFERROR(__xludf.dummyfunction("""COMPUTED_VALUE"""),341.25)</f>
        <v>341.25</v>
      </c>
      <c r="F250" s="5" t="n">
        <f aca="false">IFERROR(__xludf.dummyfunction("""COMPUTED_VALUE"""),15661467)</f>
        <v>15661467</v>
      </c>
    </row>
    <row r="251" customFormat="false" ht="15.75" hidden="false" customHeight="false" outlineLevel="0" collapsed="false">
      <c r="A251" s="6" t="n">
        <f aca="false">IFERROR(__xludf.dummyfunction("""COMPUTED_VALUE"""),44559.6666666667)</f>
        <v>44559.6666666667</v>
      </c>
      <c r="B251" s="5" t="n">
        <f aca="false">IFERROR(__xludf.dummyfunction("""COMPUTED_VALUE"""),341.3)</f>
        <v>341.3</v>
      </c>
      <c r="C251" s="5" t="n">
        <f aca="false">IFERROR(__xludf.dummyfunction("""COMPUTED_VALUE"""),344.3)</f>
        <v>344.3</v>
      </c>
      <c r="D251" s="5" t="n">
        <f aca="false">IFERROR(__xludf.dummyfunction("""COMPUTED_VALUE"""),339.68)</f>
        <v>339.68</v>
      </c>
      <c r="E251" s="5" t="n">
        <f aca="false">IFERROR(__xludf.dummyfunction("""COMPUTED_VALUE"""),341.95)</f>
        <v>341.95</v>
      </c>
      <c r="F251" s="5" t="n">
        <f aca="false">IFERROR(__xludf.dummyfunction("""COMPUTED_VALUE"""),15041956)</f>
        <v>15041956</v>
      </c>
    </row>
    <row r="252" customFormat="false" ht="15.75" hidden="false" customHeight="false" outlineLevel="0" collapsed="false">
      <c r="A252" s="6" t="n">
        <f aca="false">IFERROR(__xludf.dummyfunction("""COMPUTED_VALUE"""),44560.6666666667)</f>
        <v>44560.6666666667</v>
      </c>
      <c r="B252" s="5" t="n">
        <f aca="false">IFERROR(__xludf.dummyfunction("""COMPUTED_VALUE"""),341.91)</f>
        <v>341.91</v>
      </c>
      <c r="C252" s="5" t="n">
        <f aca="false">IFERROR(__xludf.dummyfunction("""COMPUTED_VALUE"""),343.13)</f>
        <v>343.13</v>
      </c>
      <c r="D252" s="5" t="n">
        <f aca="false">IFERROR(__xludf.dummyfunction("""COMPUTED_VALUE"""),338.82)</f>
        <v>338.82</v>
      </c>
      <c r="E252" s="5" t="n">
        <f aca="false">IFERROR(__xludf.dummyfunction("""COMPUTED_VALUE"""),339.32)</f>
        <v>339.32</v>
      </c>
      <c r="F252" s="5" t="n">
        <f aca="false">IFERROR(__xludf.dummyfunction("""COMPUTED_VALUE"""),15994471)</f>
        <v>15994471</v>
      </c>
    </row>
    <row r="253" customFormat="false" ht="15.75" hidden="false" customHeight="false" outlineLevel="0" collapsed="false">
      <c r="A253" s="6" t="n">
        <f aca="false">IFERROR(__xludf.dummyfunction("""COMPUTED_VALUE"""),44561.6666666667)</f>
        <v>44561.6666666667</v>
      </c>
      <c r="B253" s="5" t="n">
        <f aca="false">IFERROR(__xludf.dummyfunction("""COMPUTED_VALUE"""),338.51)</f>
        <v>338.51</v>
      </c>
      <c r="C253" s="5" t="n">
        <f aca="false">IFERROR(__xludf.dummyfunction("""COMPUTED_VALUE"""),339.36)</f>
        <v>339.36</v>
      </c>
      <c r="D253" s="5" t="n">
        <f aca="false">IFERROR(__xludf.dummyfunction("""COMPUTED_VALUE"""),335.85)</f>
        <v>335.85</v>
      </c>
      <c r="E253" s="5" t="n">
        <f aca="false">IFERROR(__xludf.dummyfunction("""COMPUTED_VALUE"""),336.32)</f>
        <v>336.32</v>
      </c>
      <c r="F253" s="5" t="n">
        <f aca="false">IFERROR(__xludf.dummyfunction("""COMPUTED_VALUE"""),18000797)</f>
        <v>18000797</v>
      </c>
    </row>
    <row r="254" customFormat="false" ht="15.75" hidden="false" customHeight="false" outlineLevel="0" collapsed="false">
      <c r="A254" s="6" t="n">
        <f aca="false">IFERROR(__xludf.dummyfunction("""COMPUTED_VALUE"""),44564.6666666667)</f>
        <v>44564.6666666667</v>
      </c>
      <c r="B254" s="5" t="n">
        <f aca="false">IFERROR(__xludf.dummyfunction("""COMPUTED_VALUE"""),335.35)</f>
        <v>335.35</v>
      </c>
      <c r="C254" s="5" t="n">
        <f aca="false">IFERROR(__xludf.dummyfunction("""COMPUTED_VALUE"""),338)</f>
        <v>338</v>
      </c>
      <c r="D254" s="5" t="n">
        <f aca="false">IFERROR(__xludf.dummyfunction("""COMPUTED_VALUE"""),329.78)</f>
        <v>329.78</v>
      </c>
      <c r="E254" s="5" t="n">
        <f aca="false">IFERROR(__xludf.dummyfunction("""COMPUTED_VALUE"""),334.75)</f>
        <v>334.75</v>
      </c>
      <c r="F254" s="5" t="n">
        <f aca="false">IFERROR(__xludf.dummyfunction("""COMPUTED_VALUE"""),28918013)</f>
        <v>28918013</v>
      </c>
    </row>
    <row r="255" customFormat="false" ht="15.75" hidden="false" customHeight="false" outlineLevel="0" collapsed="false">
      <c r="A255" s="6" t="n">
        <f aca="false">IFERROR(__xludf.dummyfunction("""COMPUTED_VALUE"""),44565.6666666667)</f>
        <v>44565.6666666667</v>
      </c>
      <c r="B255" s="5" t="n">
        <f aca="false">IFERROR(__xludf.dummyfunction("""COMPUTED_VALUE"""),334.83)</f>
        <v>334.83</v>
      </c>
      <c r="C255" s="5" t="n">
        <f aca="false">IFERROR(__xludf.dummyfunction("""COMPUTED_VALUE"""),335.2)</f>
        <v>335.2</v>
      </c>
      <c r="D255" s="5" t="n">
        <f aca="false">IFERROR(__xludf.dummyfunction("""COMPUTED_VALUE"""),326.12)</f>
        <v>326.12</v>
      </c>
      <c r="E255" s="5" t="n">
        <f aca="false">IFERROR(__xludf.dummyfunction("""COMPUTED_VALUE"""),329.01)</f>
        <v>329.01</v>
      </c>
      <c r="F255" s="5" t="n">
        <f aca="false">IFERROR(__xludf.dummyfunction("""COMPUTED_VALUE"""),32674306)</f>
        <v>32674306</v>
      </c>
    </row>
    <row r="256" customFormat="false" ht="15.75" hidden="false" customHeight="false" outlineLevel="0" collapsed="false">
      <c r="A256" s="6" t="n">
        <f aca="false">IFERROR(__xludf.dummyfunction("""COMPUTED_VALUE"""),44566.6666666667)</f>
        <v>44566.6666666667</v>
      </c>
      <c r="B256" s="5" t="n">
        <f aca="false">IFERROR(__xludf.dummyfunction("""COMPUTED_VALUE"""),325.86)</f>
        <v>325.86</v>
      </c>
      <c r="C256" s="5" t="n">
        <f aca="false">IFERROR(__xludf.dummyfunction("""COMPUTED_VALUE"""),326.07)</f>
        <v>326.07</v>
      </c>
      <c r="D256" s="5" t="n">
        <f aca="false">IFERROR(__xludf.dummyfunction("""COMPUTED_VALUE"""),315.98)</f>
        <v>315.98</v>
      </c>
      <c r="E256" s="5" t="n">
        <f aca="false">IFERROR(__xludf.dummyfunction("""COMPUTED_VALUE"""),316.38)</f>
        <v>316.38</v>
      </c>
      <c r="F256" s="5" t="n">
        <f aca="false">IFERROR(__xludf.dummyfunction("""COMPUTED_VALUE"""),40054327)</f>
        <v>40054327</v>
      </c>
    </row>
    <row r="257" customFormat="false" ht="15.75" hidden="false" customHeight="false" outlineLevel="0" collapsed="false">
      <c r="A257" s="6" t="n">
        <f aca="false">IFERROR(__xludf.dummyfunction("""COMPUTED_VALUE"""),44567.6666666667)</f>
        <v>44567.6666666667</v>
      </c>
      <c r="B257" s="5" t="n">
        <f aca="false">IFERROR(__xludf.dummyfunction("""COMPUTED_VALUE"""),313.15)</f>
        <v>313.15</v>
      </c>
      <c r="C257" s="5" t="n">
        <f aca="false">IFERROR(__xludf.dummyfunction("""COMPUTED_VALUE"""),318.7)</f>
        <v>318.7</v>
      </c>
      <c r="D257" s="5" t="n">
        <f aca="false">IFERROR(__xludf.dummyfunction("""COMPUTED_VALUE"""),311.49)</f>
        <v>311.49</v>
      </c>
      <c r="E257" s="5" t="n">
        <f aca="false">IFERROR(__xludf.dummyfunction("""COMPUTED_VALUE"""),313.88)</f>
        <v>313.88</v>
      </c>
      <c r="F257" s="5" t="n">
        <f aca="false">IFERROR(__xludf.dummyfunction("""COMPUTED_VALUE"""),39646148)</f>
        <v>39646148</v>
      </c>
    </row>
    <row r="258" customFormat="false" ht="15.75" hidden="false" customHeight="false" outlineLevel="0" collapsed="false">
      <c r="A258" s="6" t="n">
        <f aca="false">IFERROR(__xludf.dummyfunction("""COMPUTED_VALUE"""),44568.6666666667)</f>
        <v>44568.6666666667</v>
      </c>
      <c r="B258" s="5" t="n">
        <f aca="false">IFERROR(__xludf.dummyfunction("""COMPUTED_VALUE"""),314.15)</f>
        <v>314.15</v>
      </c>
      <c r="C258" s="5" t="n">
        <f aca="false">IFERROR(__xludf.dummyfunction("""COMPUTED_VALUE"""),316.5)</f>
        <v>316.5</v>
      </c>
      <c r="D258" s="5" t="n">
        <f aca="false">IFERROR(__xludf.dummyfunction("""COMPUTED_VALUE"""),310.09)</f>
        <v>310.09</v>
      </c>
      <c r="E258" s="5" t="n">
        <f aca="false">IFERROR(__xludf.dummyfunction("""COMPUTED_VALUE"""),314.04)</f>
        <v>314.04</v>
      </c>
      <c r="F258" s="5" t="n">
        <f aca="false">IFERROR(__xludf.dummyfunction("""COMPUTED_VALUE"""),32720018)</f>
        <v>32720018</v>
      </c>
    </row>
    <row r="259" customFormat="false" ht="15.75" hidden="false" customHeight="false" outlineLevel="0" collapsed="false">
      <c r="A259" s="6" t="n">
        <f aca="false">IFERROR(__xludf.dummyfunction("""COMPUTED_VALUE"""),44571.6666666667)</f>
        <v>44571.6666666667</v>
      </c>
      <c r="B259" s="5" t="n">
        <f aca="false">IFERROR(__xludf.dummyfunction("""COMPUTED_VALUE"""),309.49)</f>
        <v>309.49</v>
      </c>
      <c r="C259" s="5" t="n">
        <f aca="false">IFERROR(__xludf.dummyfunction("""COMPUTED_VALUE"""),314.72)</f>
        <v>314.72</v>
      </c>
      <c r="D259" s="5" t="n">
        <f aca="false">IFERROR(__xludf.dummyfunction("""COMPUTED_VALUE"""),304.69)</f>
        <v>304.69</v>
      </c>
      <c r="E259" s="5" t="n">
        <f aca="false">IFERROR(__xludf.dummyfunction("""COMPUTED_VALUE"""),314.27)</f>
        <v>314.27</v>
      </c>
      <c r="F259" s="5" t="n">
        <f aca="false">IFERROR(__xludf.dummyfunction("""COMPUTED_VALUE"""),44289467)</f>
        <v>44289467</v>
      </c>
    </row>
    <row r="260" customFormat="false" ht="15.75" hidden="false" customHeight="false" outlineLevel="0" collapsed="false">
      <c r="A260" s="6" t="n">
        <f aca="false">IFERROR(__xludf.dummyfunction("""COMPUTED_VALUE"""),44572.6666666667)</f>
        <v>44572.6666666667</v>
      </c>
      <c r="B260" s="5" t="n">
        <f aca="false">IFERROR(__xludf.dummyfunction("""COMPUTED_VALUE"""),313.38)</f>
        <v>313.38</v>
      </c>
      <c r="C260" s="5" t="n">
        <f aca="false">IFERROR(__xludf.dummyfunction("""COMPUTED_VALUE"""),316.61)</f>
        <v>316.61</v>
      </c>
      <c r="D260" s="5" t="n">
        <f aca="false">IFERROR(__xludf.dummyfunction("""COMPUTED_VALUE"""),309.89)</f>
        <v>309.89</v>
      </c>
      <c r="E260" s="5" t="n">
        <f aca="false">IFERROR(__xludf.dummyfunction("""COMPUTED_VALUE"""),314.98)</f>
        <v>314.98</v>
      </c>
      <c r="F260" s="5" t="n">
        <f aca="false">IFERROR(__xludf.dummyfunction("""COMPUTED_VALUE"""),29386774)</f>
        <v>29386774</v>
      </c>
    </row>
    <row r="261" customFormat="false" ht="15.75" hidden="false" customHeight="false" outlineLevel="0" collapsed="false">
      <c r="A261" s="6" t="n">
        <f aca="false">IFERROR(__xludf.dummyfunction("""COMPUTED_VALUE"""),44573.6666666667)</f>
        <v>44573.6666666667</v>
      </c>
      <c r="B261" s="5" t="n">
        <f aca="false">IFERROR(__xludf.dummyfunction("""COMPUTED_VALUE"""),319.67)</f>
        <v>319.67</v>
      </c>
      <c r="C261" s="5" t="n">
        <f aca="false">IFERROR(__xludf.dummyfunction("""COMPUTED_VALUE"""),323.41)</f>
        <v>323.41</v>
      </c>
      <c r="D261" s="5" t="n">
        <f aca="false">IFERROR(__xludf.dummyfunction("""COMPUTED_VALUE"""),317.08)</f>
        <v>317.08</v>
      </c>
      <c r="E261" s="5" t="n">
        <f aca="false">IFERROR(__xludf.dummyfunction("""COMPUTED_VALUE"""),318.27)</f>
        <v>318.27</v>
      </c>
      <c r="F261" s="5" t="n">
        <f aca="false">IFERROR(__xludf.dummyfunction("""COMPUTED_VALUE"""),34372217)</f>
        <v>34372217</v>
      </c>
    </row>
    <row r="262" customFormat="false" ht="15.75" hidden="false" customHeight="false" outlineLevel="0" collapsed="false">
      <c r="A262" s="6" t="n">
        <f aca="false">IFERROR(__xludf.dummyfunction("""COMPUTED_VALUE"""),44574.6666666667)</f>
        <v>44574.6666666667</v>
      </c>
      <c r="B262" s="5" t="n">
        <f aca="false">IFERROR(__xludf.dummyfunction("""COMPUTED_VALUE"""),320.47)</f>
        <v>320.47</v>
      </c>
      <c r="C262" s="5" t="n">
        <f aca="false">IFERROR(__xludf.dummyfunction("""COMPUTED_VALUE"""),320.88)</f>
        <v>320.88</v>
      </c>
      <c r="D262" s="5" t="n">
        <f aca="false">IFERROR(__xludf.dummyfunction("""COMPUTED_VALUE"""),304)</f>
        <v>304</v>
      </c>
      <c r="E262" s="5" t="n">
        <f aca="false">IFERROR(__xludf.dummyfunction("""COMPUTED_VALUE"""),304.8)</f>
        <v>304.8</v>
      </c>
      <c r="F262" s="5" t="n">
        <f aca="false">IFERROR(__xludf.dummyfunction("""COMPUTED_VALUE"""),45365979)</f>
        <v>45365979</v>
      </c>
    </row>
    <row r="263" customFormat="false" ht="15.75" hidden="false" customHeight="false" outlineLevel="0" collapsed="false">
      <c r="A263" s="6" t="n">
        <f aca="false">IFERROR(__xludf.dummyfunction("""COMPUTED_VALUE"""),44575.6666666667)</f>
        <v>44575.6666666667</v>
      </c>
      <c r="B263" s="5" t="n">
        <f aca="false">IFERROR(__xludf.dummyfunction("""COMPUTED_VALUE"""),304.25)</f>
        <v>304.25</v>
      </c>
      <c r="C263" s="5" t="n">
        <f aca="false">IFERROR(__xludf.dummyfunction("""COMPUTED_VALUE"""),310.82)</f>
        <v>310.82</v>
      </c>
      <c r="D263" s="5" t="n">
        <f aca="false">IFERROR(__xludf.dummyfunction("""COMPUTED_VALUE"""),303.75)</f>
        <v>303.75</v>
      </c>
      <c r="E263" s="5" t="n">
        <f aca="false">IFERROR(__xludf.dummyfunction("""COMPUTED_VALUE"""),310.2)</f>
        <v>310.2</v>
      </c>
      <c r="F263" s="5" t="n">
        <f aca="false">IFERROR(__xludf.dummyfunction("""COMPUTED_VALUE"""),39846414)</f>
        <v>39846414</v>
      </c>
    </row>
    <row r="264" customFormat="false" ht="15.75" hidden="false" customHeight="false" outlineLevel="0" collapsed="false">
      <c r="A264" s="6" t="n">
        <f aca="false">IFERROR(__xludf.dummyfunction("""COMPUTED_VALUE"""),44579.6666666667)</f>
        <v>44579.6666666667</v>
      </c>
      <c r="B264" s="5" t="n">
        <f aca="false">IFERROR(__xludf.dummyfunction("""COMPUTED_VALUE"""),304.07)</f>
        <v>304.07</v>
      </c>
      <c r="C264" s="5" t="n">
        <f aca="false">IFERROR(__xludf.dummyfunction("""COMPUTED_VALUE"""),309.8)</f>
        <v>309.8</v>
      </c>
      <c r="D264" s="5" t="n">
        <f aca="false">IFERROR(__xludf.dummyfunction("""COMPUTED_VALUE"""),301.74)</f>
        <v>301.74</v>
      </c>
      <c r="E264" s="5" t="n">
        <f aca="false">IFERROR(__xludf.dummyfunction("""COMPUTED_VALUE"""),302.65)</f>
        <v>302.65</v>
      </c>
      <c r="F264" s="5" t="n">
        <f aca="false">IFERROR(__xludf.dummyfunction("""COMPUTED_VALUE"""),42434112)</f>
        <v>42434112</v>
      </c>
    </row>
    <row r="265" customFormat="false" ht="15.75" hidden="false" customHeight="false" outlineLevel="0" collapsed="false">
      <c r="A265" s="6" t="n">
        <f aca="false">IFERROR(__xludf.dummyfunction("""COMPUTED_VALUE"""),44580.6666666667)</f>
        <v>44580.6666666667</v>
      </c>
      <c r="B265" s="5" t="n">
        <f aca="false">IFERROR(__xludf.dummyfunction("""COMPUTED_VALUE"""),306.29)</f>
        <v>306.29</v>
      </c>
      <c r="C265" s="5" t="n">
        <f aca="false">IFERROR(__xludf.dummyfunction("""COMPUTED_VALUE"""),313.91)</f>
        <v>313.91</v>
      </c>
      <c r="D265" s="5" t="n">
        <f aca="false">IFERROR(__xludf.dummyfunction("""COMPUTED_VALUE"""),302.7)</f>
        <v>302.7</v>
      </c>
      <c r="E265" s="5" t="n">
        <f aca="false">IFERROR(__xludf.dummyfunction("""COMPUTED_VALUE"""),303.33)</f>
        <v>303.33</v>
      </c>
      <c r="F265" s="5" t="n">
        <f aca="false">IFERROR(__xludf.dummyfunction("""COMPUTED_VALUE"""),45933855)</f>
        <v>45933855</v>
      </c>
    </row>
    <row r="266" customFormat="false" ht="15.75" hidden="false" customHeight="false" outlineLevel="0" collapsed="false">
      <c r="A266" s="6" t="n">
        <f aca="false">IFERROR(__xludf.dummyfunction("""COMPUTED_VALUE"""),44581.6666666667)</f>
        <v>44581.6666666667</v>
      </c>
      <c r="B266" s="5" t="n">
        <f aca="false">IFERROR(__xludf.dummyfunction("""COMPUTED_VALUE"""),309.07)</f>
        <v>309.07</v>
      </c>
      <c r="C266" s="5" t="n">
        <f aca="false">IFERROR(__xludf.dummyfunction("""COMPUTED_VALUE"""),311.65)</f>
        <v>311.65</v>
      </c>
      <c r="D266" s="5" t="n">
        <f aca="false">IFERROR(__xludf.dummyfunction("""COMPUTED_VALUE"""),301.14)</f>
        <v>301.14</v>
      </c>
      <c r="E266" s="5" t="n">
        <f aca="false">IFERROR(__xludf.dummyfunction("""COMPUTED_VALUE"""),301.6)</f>
        <v>301.6</v>
      </c>
      <c r="F266" s="5" t="n">
        <f aca="false">IFERROR(__xludf.dummyfunction("""COMPUTED_VALUE"""),35380675)</f>
        <v>35380675</v>
      </c>
    </row>
    <row r="267" customFormat="false" ht="15.75" hidden="false" customHeight="false" outlineLevel="0" collapsed="false">
      <c r="A267" s="6" t="n">
        <f aca="false">IFERROR(__xludf.dummyfunction("""COMPUTED_VALUE"""),44582.6666666667)</f>
        <v>44582.6666666667</v>
      </c>
      <c r="B267" s="5" t="n">
        <f aca="false">IFERROR(__xludf.dummyfunction("""COMPUTED_VALUE"""),302.69)</f>
        <v>302.69</v>
      </c>
      <c r="C267" s="5" t="n">
        <f aca="false">IFERROR(__xludf.dummyfunction("""COMPUTED_VALUE"""),304.11)</f>
        <v>304.11</v>
      </c>
      <c r="D267" s="5" t="n">
        <f aca="false">IFERROR(__xludf.dummyfunction("""COMPUTED_VALUE"""),295.61)</f>
        <v>295.61</v>
      </c>
      <c r="E267" s="5" t="n">
        <f aca="false">IFERROR(__xludf.dummyfunction("""COMPUTED_VALUE"""),296.03)</f>
        <v>296.03</v>
      </c>
      <c r="F267" s="5" t="n">
        <f aca="false">IFERROR(__xludf.dummyfunction("""COMPUTED_VALUE"""),57984403)</f>
        <v>57984403</v>
      </c>
    </row>
    <row r="268" customFormat="false" ht="15.75" hidden="false" customHeight="false" outlineLevel="0" collapsed="false">
      <c r="A268" s="6" t="n">
        <f aca="false">IFERROR(__xludf.dummyfunction("""COMPUTED_VALUE"""),44585.6666666667)</f>
        <v>44585.6666666667</v>
      </c>
      <c r="B268" s="5" t="n">
        <f aca="false">IFERROR(__xludf.dummyfunction("""COMPUTED_VALUE"""),292.2)</f>
        <v>292.2</v>
      </c>
      <c r="C268" s="5" t="n">
        <f aca="false">IFERROR(__xludf.dummyfunction("""COMPUTED_VALUE"""),297.11)</f>
        <v>297.11</v>
      </c>
      <c r="D268" s="5" t="n">
        <f aca="false">IFERROR(__xludf.dummyfunction("""COMPUTED_VALUE"""),276.05)</f>
        <v>276.05</v>
      </c>
      <c r="E268" s="5" t="n">
        <f aca="false">IFERROR(__xludf.dummyfunction("""COMPUTED_VALUE"""),296.37)</f>
        <v>296.37</v>
      </c>
      <c r="F268" s="5" t="n">
        <f aca="false">IFERROR(__xludf.dummyfunction("""COMPUTED_VALUE"""),86035393)</f>
        <v>86035393</v>
      </c>
    </row>
    <row r="269" customFormat="false" ht="15.75" hidden="false" customHeight="false" outlineLevel="0" collapsed="false">
      <c r="A269" s="6" t="n">
        <f aca="false">IFERROR(__xludf.dummyfunction("""COMPUTED_VALUE"""),44586.6666666667)</f>
        <v>44586.6666666667</v>
      </c>
      <c r="B269" s="5" t="n">
        <f aca="false">IFERROR(__xludf.dummyfunction("""COMPUTED_VALUE"""),291.52)</f>
        <v>291.52</v>
      </c>
      <c r="C269" s="5" t="n">
        <f aca="false">IFERROR(__xludf.dummyfunction("""COMPUTED_VALUE"""),294.99)</f>
        <v>294.99</v>
      </c>
      <c r="D269" s="5" t="n">
        <f aca="false">IFERROR(__xludf.dummyfunction("""COMPUTED_VALUE"""),285.17)</f>
        <v>285.17</v>
      </c>
      <c r="E269" s="5" t="n">
        <f aca="false">IFERROR(__xludf.dummyfunction("""COMPUTED_VALUE"""),288.49)</f>
        <v>288.49</v>
      </c>
      <c r="F269" s="5" t="n">
        <f aca="false">IFERROR(__xludf.dummyfunction("""COMPUTED_VALUE"""),72848638)</f>
        <v>72848638</v>
      </c>
    </row>
    <row r="270" customFormat="false" ht="15.75" hidden="false" customHeight="false" outlineLevel="0" collapsed="false">
      <c r="A270" s="6" t="n">
        <f aca="false">IFERROR(__xludf.dummyfunction("""COMPUTED_VALUE"""),44587.6666666667)</f>
        <v>44587.6666666667</v>
      </c>
      <c r="B270" s="5" t="n">
        <f aca="false">IFERROR(__xludf.dummyfunction("""COMPUTED_VALUE"""),307.99)</f>
        <v>307.99</v>
      </c>
      <c r="C270" s="5" t="n">
        <f aca="false">IFERROR(__xludf.dummyfunction("""COMPUTED_VALUE"""),308.5)</f>
        <v>308.5</v>
      </c>
      <c r="D270" s="5" t="n">
        <f aca="false">IFERROR(__xludf.dummyfunction("""COMPUTED_VALUE"""),293.03)</f>
        <v>293.03</v>
      </c>
      <c r="E270" s="5" t="n">
        <f aca="false">IFERROR(__xludf.dummyfunction("""COMPUTED_VALUE"""),296.71)</f>
        <v>296.71</v>
      </c>
      <c r="F270" s="5" t="n">
        <f aca="false">IFERROR(__xludf.dummyfunction("""COMPUTED_VALUE"""),90428853)</f>
        <v>90428853</v>
      </c>
    </row>
    <row r="271" customFormat="false" ht="15.75" hidden="false" customHeight="false" outlineLevel="0" collapsed="false">
      <c r="A271" s="6" t="n">
        <f aca="false">IFERROR(__xludf.dummyfunction("""COMPUTED_VALUE"""),44588.6666666667)</f>
        <v>44588.6666666667</v>
      </c>
      <c r="B271" s="5" t="n">
        <f aca="false">IFERROR(__xludf.dummyfunction("""COMPUTED_VALUE"""),302.66)</f>
        <v>302.66</v>
      </c>
      <c r="C271" s="5" t="n">
        <f aca="false">IFERROR(__xludf.dummyfunction("""COMPUTED_VALUE"""),307.3)</f>
        <v>307.3</v>
      </c>
      <c r="D271" s="5" t="n">
        <f aca="false">IFERROR(__xludf.dummyfunction("""COMPUTED_VALUE"""),297.93)</f>
        <v>297.93</v>
      </c>
      <c r="E271" s="5" t="n">
        <f aca="false">IFERROR(__xludf.dummyfunction("""COMPUTED_VALUE"""),299.84)</f>
        <v>299.84</v>
      </c>
      <c r="F271" s="5" t="n">
        <f aca="false">IFERROR(__xludf.dummyfunction("""COMPUTED_VALUE"""),53481317)</f>
        <v>53481317</v>
      </c>
    </row>
    <row r="272" customFormat="false" ht="15.75" hidden="false" customHeight="false" outlineLevel="0" collapsed="false">
      <c r="A272" s="6" t="n">
        <f aca="false">IFERROR(__xludf.dummyfunction("""COMPUTED_VALUE"""),44589.6666666667)</f>
        <v>44589.6666666667</v>
      </c>
      <c r="B272" s="5" t="n">
        <f aca="false">IFERROR(__xludf.dummyfunction("""COMPUTED_VALUE"""),300.23)</f>
        <v>300.23</v>
      </c>
      <c r="C272" s="5" t="n">
        <f aca="false">IFERROR(__xludf.dummyfunction("""COMPUTED_VALUE"""),308.48)</f>
        <v>308.48</v>
      </c>
      <c r="D272" s="5" t="n">
        <f aca="false">IFERROR(__xludf.dummyfunction("""COMPUTED_VALUE"""),294.45)</f>
        <v>294.45</v>
      </c>
      <c r="E272" s="5" t="n">
        <f aca="false">IFERROR(__xludf.dummyfunction("""COMPUTED_VALUE"""),308.26)</f>
        <v>308.26</v>
      </c>
      <c r="F272" s="5" t="n">
        <f aca="false">IFERROR(__xludf.dummyfunction("""COMPUTED_VALUE"""),49743698)</f>
        <v>49743698</v>
      </c>
    </row>
    <row r="273" customFormat="false" ht="15.75" hidden="false" customHeight="false" outlineLevel="0" collapsed="false">
      <c r="A273" s="6" t="n">
        <f aca="false">IFERROR(__xludf.dummyfunction("""COMPUTED_VALUE"""),44592.6666666667)</f>
        <v>44592.6666666667</v>
      </c>
      <c r="B273" s="5" t="n">
        <f aca="false">IFERROR(__xludf.dummyfunction("""COMPUTED_VALUE"""),308.95)</f>
        <v>308.95</v>
      </c>
      <c r="C273" s="5" t="n">
        <f aca="false">IFERROR(__xludf.dummyfunction("""COMPUTED_VALUE"""),312.38)</f>
        <v>312.38</v>
      </c>
      <c r="D273" s="5" t="n">
        <f aca="false">IFERROR(__xludf.dummyfunction("""COMPUTED_VALUE"""),306.37)</f>
        <v>306.37</v>
      </c>
      <c r="E273" s="5" t="n">
        <f aca="false">IFERROR(__xludf.dummyfunction("""COMPUTED_VALUE"""),310.98)</f>
        <v>310.98</v>
      </c>
      <c r="F273" s="5" t="n">
        <f aca="false">IFERROR(__xludf.dummyfunction("""COMPUTED_VALUE"""),46444536)</f>
        <v>46444536</v>
      </c>
    </row>
    <row r="274" customFormat="false" ht="15.75" hidden="false" customHeight="false" outlineLevel="0" collapsed="false">
      <c r="A274" s="6" t="n">
        <f aca="false">IFERROR(__xludf.dummyfunction("""COMPUTED_VALUE"""),44593.6666666667)</f>
        <v>44593.6666666667</v>
      </c>
      <c r="B274" s="5" t="n">
        <f aca="false">IFERROR(__xludf.dummyfunction("""COMPUTED_VALUE"""),310.41)</f>
        <v>310.41</v>
      </c>
      <c r="C274" s="5" t="n">
        <f aca="false">IFERROR(__xludf.dummyfunction("""COMPUTED_VALUE"""),310.63)</f>
        <v>310.63</v>
      </c>
      <c r="D274" s="5" t="n">
        <f aca="false">IFERROR(__xludf.dummyfunction("""COMPUTED_VALUE"""),305.13)</f>
        <v>305.13</v>
      </c>
      <c r="E274" s="5" t="n">
        <f aca="false">IFERROR(__xludf.dummyfunction("""COMPUTED_VALUE"""),308.76)</f>
        <v>308.76</v>
      </c>
      <c r="F274" s="5" t="n">
        <f aca="false">IFERROR(__xludf.dummyfunction("""COMPUTED_VALUE"""),40950396)</f>
        <v>40950396</v>
      </c>
    </row>
    <row r="275" customFormat="false" ht="15.75" hidden="false" customHeight="false" outlineLevel="0" collapsed="false">
      <c r="A275" s="6" t="n">
        <f aca="false">IFERROR(__xludf.dummyfunction("""COMPUTED_VALUE"""),44594.6666666667)</f>
        <v>44594.6666666667</v>
      </c>
      <c r="B275" s="5" t="n">
        <f aca="false">IFERROR(__xludf.dummyfunction("""COMPUTED_VALUE"""),309.63)</f>
        <v>309.63</v>
      </c>
      <c r="C275" s="5" t="n">
        <f aca="false">IFERROR(__xludf.dummyfunction("""COMPUTED_VALUE"""),315.12)</f>
        <v>315.12</v>
      </c>
      <c r="D275" s="5" t="n">
        <f aca="false">IFERROR(__xludf.dummyfunction("""COMPUTED_VALUE"""),308.88)</f>
        <v>308.88</v>
      </c>
      <c r="E275" s="5" t="n">
        <f aca="false">IFERROR(__xludf.dummyfunction("""COMPUTED_VALUE"""),313.46)</f>
        <v>313.46</v>
      </c>
      <c r="F275" s="5" t="n">
        <f aca="false">IFERROR(__xludf.dummyfunction("""COMPUTED_VALUE"""),36635989)</f>
        <v>36635989</v>
      </c>
    </row>
    <row r="276" customFormat="false" ht="15.75" hidden="false" customHeight="false" outlineLevel="0" collapsed="false">
      <c r="A276" s="6" t="n">
        <f aca="false">IFERROR(__xludf.dummyfunction("""COMPUTED_VALUE"""),44595.6666666667)</f>
        <v>44595.6666666667</v>
      </c>
      <c r="B276" s="5" t="n">
        <f aca="false">IFERROR(__xludf.dummyfunction("""COMPUTED_VALUE"""),309.49)</f>
        <v>309.49</v>
      </c>
      <c r="C276" s="5" t="n">
        <f aca="false">IFERROR(__xludf.dummyfunction("""COMPUTED_VALUE"""),311.23)</f>
        <v>311.23</v>
      </c>
      <c r="D276" s="5" t="n">
        <f aca="false">IFERROR(__xludf.dummyfunction("""COMPUTED_VALUE"""),299.96)</f>
        <v>299.96</v>
      </c>
      <c r="E276" s="5" t="n">
        <f aca="false">IFERROR(__xludf.dummyfunction("""COMPUTED_VALUE"""),301.25)</f>
        <v>301.25</v>
      </c>
      <c r="F276" s="5" t="n">
        <f aca="false">IFERROR(__xludf.dummyfunction("""COMPUTED_VALUE"""),43729972)</f>
        <v>43729972</v>
      </c>
    </row>
    <row r="277" customFormat="false" ht="15.75" hidden="false" customHeight="false" outlineLevel="0" collapsed="false">
      <c r="A277" s="6" t="n">
        <f aca="false">IFERROR(__xludf.dummyfunction("""COMPUTED_VALUE"""),44596.6666666667)</f>
        <v>44596.6666666667</v>
      </c>
      <c r="B277" s="5" t="n">
        <f aca="false">IFERROR(__xludf.dummyfunction("""COMPUTED_VALUE"""),300.21)</f>
        <v>300.21</v>
      </c>
      <c r="C277" s="5" t="n">
        <f aca="false">IFERROR(__xludf.dummyfunction("""COMPUTED_VALUE"""),308.8)</f>
        <v>308.8</v>
      </c>
      <c r="D277" s="5" t="n">
        <f aca="false">IFERROR(__xludf.dummyfunction("""COMPUTED_VALUE"""),299.97)</f>
        <v>299.97</v>
      </c>
      <c r="E277" s="5" t="n">
        <f aca="false">IFERROR(__xludf.dummyfunction("""COMPUTED_VALUE"""),305.94)</f>
        <v>305.94</v>
      </c>
      <c r="F277" s="5" t="n">
        <f aca="false">IFERROR(__xludf.dummyfunction("""COMPUTED_VALUE"""),35096488)</f>
        <v>35096488</v>
      </c>
    </row>
    <row r="278" customFormat="false" ht="15.75" hidden="false" customHeight="false" outlineLevel="0" collapsed="false">
      <c r="A278" s="6" t="n">
        <f aca="false">IFERROR(__xludf.dummyfunction("""COMPUTED_VALUE"""),44599.6666666667)</f>
        <v>44599.6666666667</v>
      </c>
      <c r="B278" s="5" t="n">
        <f aca="false">IFERROR(__xludf.dummyfunction("""COMPUTED_VALUE"""),306.17)</f>
        <v>306.17</v>
      </c>
      <c r="C278" s="5" t="n">
        <f aca="false">IFERROR(__xludf.dummyfunction("""COMPUTED_VALUE"""),307.84)</f>
        <v>307.84</v>
      </c>
      <c r="D278" s="5" t="n">
        <f aca="false">IFERROR(__xludf.dummyfunction("""COMPUTED_VALUE"""),299.9)</f>
        <v>299.9</v>
      </c>
      <c r="E278" s="5" t="n">
        <f aca="false">IFERROR(__xludf.dummyfunction("""COMPUTED_VALUE"""),300.95)</f>
        <v>300.95</v>
      </c>
      <c r="F278" s="5" t="n">
        <f aca="false">IFERROR(__xludf.dummyfunction("""COMPUTED_VALUE"""),28533286)</f>
        <v>28533286</v>
      </c>
    </row>
    <row r="279" customFormat="false" ht="15.75" hidden="false" customHeight="false" outlineLevel="0" collapsed="false">
      <c r="A279" s="6" t="n">
        <f aca="false">IFERROR(__xludf.dummyfunction("""COMPUTED_VALUE"""),44600.6666666667)</f>
        <v>44600.6666666667</v>
      </c>
      <c r="B279" s="5" t="n">
        <f aca="false">IFERROR(__xludf.dummyfunction("""COMPUTED_VALUE"""),301.25)</f>
        <v>301.25</v>
      </c>
      <c r="C279" s="5" t="n">
        <f aca="false">IFERROR(__xludf.dummyfunction("""COMPUTED_VALUE"""),305.56)</f>
        <v>305.56</v>
      </c>
      <c r="D279" s="5" t="n">
        <f aca="false">IFERROR(__xludf.dummyfunction("""COMPUTED_VALUE"""),299.95)</f>
        <v>299.95</v>
      </c>
      <c r="E279" s="5" t="n">
        <f aca="false">IFERROR(__xludf.dummyfunction("""COMPUTED_VALUE"""),304.56)</f>
        <v>304.56</v>
      </c>
      <c r="F279" s="5" t="n">
        <f aca="false">IFERROR(__xludf.dummyfunction("""COMPUTED_VALUE"""),32421188)</f>
        <v>32421188</v>
      </c>
    </row>
    <row r="280" customFormat="false" ht="15.75" hidden="false" customHeight="false" outlineLevel="0" collapsed="false">
      <c r="A280" s="6" t="n">
        <f aca="false">IFERROR(__xludf.dummyfunction("""COMPUTED_VALUE"""),44601.6666666667)</f>
        <v>44601.6666666667</v>
      </c>
      <c r="B280" s="5" t="n">
        <f aca="false">IFERROR(__xludf.dummyfunction("""COMPUTED_VALUE"""),309.87)</f>
        <v>309.87</v>
      </c>
      <c r="C280" s="5" t="n">
        <f aca="false">IFERROR(__xludf.dummyfunction("""COMPUTED_VALUE"""),311.93)</f>
        <v>311.93</v>
      </c>
      <c r="D280" s="5" t="n">
        <f aca="false">IFERROR(__xludf.dummyfunction("""COMPUTED_VALUE"""),307.39)</f>
        <v>307.39</v>
      </c>
      <c r="E280" s="5" t="n">
        <f aca="false">IFERROR(__xludf.dummyfunction("""COMPUTED_VALUE"""),311.21)</f>
        <v>311.21</v>
      </c>
      <c r="F280" s="5" t="n">
        <f aca="false">IFERROR(__xludf.dummyfunction("""COMPUTED_VALUE"""),31284671)</f>
        <v>31284671</v>
      </c>
    </row>
    <row r="281" customFormat="false" ht="15.75" hidden="false" customHeight="false" outlineLevel="0" collapsed="false">
      <c r="A281" s="6" t="n">
        <f aca="false">IFERROR(__xludf.dummyfunction("""COMPUTED_VALUE"""),44602.6666666667)</f>
        <v>44602.6666666667</v>
      </c>
      <c r="B281" s="5" t="n">
        <f aca="false">IFERROR(__xludf.dummyfunction("""COMPUTED_VALUE"""),304.04)</f>
        <v>304.04</v>
      </c>
      <c r="C281" s="5" t="n">
        <f aca="false">IFERROR(__xludf.dummyfunction("""COMPUTED_VALUE"""),309.12)</f>
        <v>309.12</v>
      </c>
      <c r="D281" s="5" t="n">
        <f aca="false">IFERROR(__xludf.dummyfunction("""COMPUTED_VALUE"""),300.7)</f>
        <v>300.7</v>
      </c>
      <c r="E281" s="5" t="n">
        <f aca="false">IFERROR(__xludf.dummyfunction("""COMPUTED_VALUE"""),302.38)</f>
        <v>302.38</v>
      </c>
      <c r="F281" s="5" t="n">
        <f aca="false">IFERROR(__xludf.dummyfunction("""COMPUTED_VALUE"""),45386199)</f>
        <v>45386199</v>
      </c>
    </row>
    <row r="282" customFormat="false" ht="15.75" hidden="false" customHeight="false" outlineLevel="0" collapsed="false">
      <c r="A282" s="6" t="n">
        <f aca="false">IFERROR(__xludf.dummyfunction("""COMPUTED_VALUE"""),44603.6666666667)</f>
        <v>44603.6666666667</v>
      </c>
      <c r="B282" s="5" t="n">
        <f aca="false">IFERROR(__xludf.dummyfunction("""COMPUTED_VALUE"""),303.19)</f>
        <v>303.19</v>
      </c>
      <c r="C282" s="5" t="n">
        <f aca="false">IFERROR(__xludf.dummyfunction("""COMPUTED_VALUE"""),304.29)</f>
        <v>304.29</v>
      </c>
      <c r="D282" s="5" t="n">
        <f aca="false">IFERROR(__xludf.dummyfunction("""COMPUTED_VALUE"""),294.22)</f>
        <v>294.22</v>
      </c>
      <c r="E282" s="5" t="n">
        <f aca="false">IFERROR(__xludf.dummyfunction("""COMPUTED_VALUE"""),295.04)</f>
        <v>295.04</v>
      </c>
      <c r="F282" s="5" t="n">
        <f aca="false">IFERROR(__xludf.dummyfunction("""COMPUTED_VALUE"""),39175620)</f>
        <v>39175620</v>
      </c>
    </row>
    <row r="283" customFormat="false" ht="15.75" hidden="false" customHeight="false" outlineLevel="0" collapsed="false">
      <c r="A283" s="6" t="n">
        <f aca="false">IFERROR(__xludf.dummyfunction("""COMPUTED_VALUE"""),44606.6666666667)</f>
        <v>44606.6666666667</v>
      </c>
      <c r="B283" s="5" t="n">
        <f aca="false">IFERROR(__xludf.dummyfunction("""COMPUTED_VALUE"""),293.77)</f>
        <v>293.77</v>
      </c>
      <c r="C283" s="5" t="n">
        <f aca="false">IFERROR(__xludf.dummyfunction("""COMPUTED_VALUE"""),296.76)</f>
        <v>296.76</v>
      </c>
      <c r="D283" s="5" t="n">
        <f aca="false">IFERROR(__xludf.dummyfunction("""COMPUTED_VALUE"""),291.35)</f>
        <v>291.35</v>
      </c>
      <c r="E283" s="5" t="n">
        <f aca="false">IFERROR(__xludf.dummyfunction("""COMPUTED_VALUE"""),295)</f>
        <v>295</v>
      </c>
      <c r="F283" s="5" t="n">
        <f aca="false">IFERROR(__xludf.dummyfunction("""COMPUTED_VALUE"""),36359487)</f>
        <v>36359487</v>
      </c>
    </row>
    <row r="284" customFormat="false" ht="15.75" hidden="false" customHeight="false" outlineLevel="0" collapsed="false">
      <c r="A284" s="6" t="n">
        <f aca="false">IFERROR(__xludf.dummyfunction("""COMPUTED_VALUE"""),44607.6666666667)</f>
        <v>44607.6666666667</v>
      </c>
      <c r="B284" s="5" t="n">
        <f aca="false">IFERROR(__xludf.dummyfunction("""COMPUTED_VALUE"""),300.01)</f>
        <v>300.01</v>
      </c>
      <c r="C284" s="5" t="n">
        <f aca="false">IFERROR(__xludf.dummyfunction("""COMPUTED_VALUE"""),300.8)</f>
        <v>300.8</v>
      </c>
      <c r="D284" s="5" t="n">
        <f aca="false">IFERROR(__xludf.dummyfunction("""COMPUTED_VALUE"""),297.02)</f>
        <v>297.02</v>
      </c>
      <c r="E284" s="5" t="n">
        <f aca="false">IFERROR(__xludf.dummyfunction("""COMPUTED_VALUE"""),300.47)</f>
        <v>300.47</v>
      </c>
      <c r="F284" s="5" t="n">
        <f aca="false">IFERROR(__xludf.dummyfunction("""COMPUTED_VALUE"""),27379488)</f>
        <v>27379488</v>
      </c>
    </row>
    <row r="285" customFormat="false" ht="15.75" hidden="false" customHeight="false" outlineLevel="0" collapsed="false">
      <c r="A285" s="6" t="n">
        <f aca="false">IFERROR(__xludf.dummyfunction("""COMPUTED_VALUE"""),44608.6666666667)</f>
        <v>44608.6666666667</v>
      </c>
      <c r="B285" s="5" t="n">
        <f aca="false">IFERROR(__xludf.dummyfunction("""COMPUTED_VALUE"""),298.37)</f>
        <v>298.37</v>
      </c>
      <c r="C285" s="5" t="n">
        <f aca="false">IFERROR(__xludf.dummyfunction("""COMPUTED_VALUE"""),300.87)</f>
        <v>300.87</v>
      </c>
      <c r="D285" s="5" t="n">
        <f aca="false">IFERROR(__xludf.dummyfunction("""COMPUTED_VALUE"""),293.68)</f>
        <v>293.68</v>
      </c>
      <c r="E285" s="5" t="n">
        <f aca="false">IFERROR(__xludf.dummyfunction("""COMPUTED_VALUE"""),299.5)</f>
        <v>299.5</v>
      </c>
      <c r="F285" s="5" t="n">
        <f aca="false">IFERROR(__xludf.dummyfunction("""COMPUTED_VALUE"""),29982121)</f>
        <v>29982121</v>
      </c>
    </row>
    <row r="286" customFormat="false" ht="15.75" hidden="false" customHeight="false" outlineLevel="0" collapsed="false">
      <c r="A286" s="6" t="n">
        <f aca="false">IFERROR(__xludf.dummyfunction("""COMPUTED_VALUE"""),44609.6666666667)</f>
        <v>44609.6666666667</v>
      </c>
      <c r="B286" s="5" t="n">
        <f aca="false">IFERROR(__xludf.dummyfunction("""COMPUTED_VALUE"""),296.36)</f>
        <v>296.36</v>
      </c>
      <c r="C286" s="5" t="n">
        <f aca="false">IFERROR(__xludf.dummyfunction("""COMPUTED_VALUE"""),296.8)</f>
        <v>296.8</v>
      </c>
      <c r="D286" s="5" t="n">
        <f aca="false">IFERROR(__xludf.dummyfunction("""COMPUTED_VALUE"""),290)</f>
        <v>290</v>
      </c>
      <c r="E286" s="5" t="n">
        <f aca="false">IFERROR(__xludf.dummyfunction("""COMPUTED_VALUE"""),290.73)</f>
        <v>290.73</v>
      </c>
      <c r="F286" s="5" t="n">
        <f aca="false">IFERROR(__xludf.dummyfunction("""COMPUTED_VALUE"""),32461580)</f>
        <v>32461580</v>
      </c>
    </row>
    <row r="287" customFormat="false" ht="15.75" hidden="false" customHeight="false" outlineLevel="0" collapsed="false">
      <c r="A287" s="6" t="n">
        <f aca="false">IFERROR(__xludf.dummyfunction("""COMPUTED_VALUE"""),44610.6666666667)</f>
        <v>44610.6666666667</v>
      </c>
      <c r="B287" s="5" t="n">
        <f aca="false">IFERROR(__xludf.dummyfunction("""COMPUTED_VALUE"""),293.05)</f>
        <v>293.05</v>
      </c>
      <c r="C287" s="5" t="n">
        <f aca="false">IFERROR(__xludf.dummyfunction("""COMPUTED_VALUE"""),293.86)</f>
        <v>293.86</v>
      </c>
      <c r="D287" s="5" t="n">
        <f aca="false">IFERROR(__xludf.dummyfunction("""COMPUTED_VALUE"""),286.31)</f>
        <v>286.31</v>
      </c>
      <c r="E287" s="5" t="n">
        <f aca="false">IFERROR(__xludf.dummyfunction("""COMPUTED_VALUE"""),287.93)</f>
        <v>287.93</v>
      </c>
      <c r="F287" s="5" t="n">
        <f aca="false">IFERROR(__xludf.dummyfunction("""COMPUTED_VALUE"""),34264008)</f>
        <v>34264008</v>
      </c>
    </row>
    <row r="288" customFormat="false" ht="15.75" hidden="false" customHeight="false" outlineLevel="0" collapsed="false">
      <c r="A288" s="6" t="n">
        <f aca="false">IFERROR(__xludf.dummyfunction("""COMPUTED_VALUE"""),44614.6666666667)</f>
        <v>44614.6666666667</v>
      </c>
      <c r="B288" s="5" t="n">
        <f aca="false">IFERROR(__xludf.dummyfunction("""COMPUTED_VALUE"""),285)</f>
        <v>285</v>
      </c>
      <c r="C288" s="5" t="n">
        <f aca="false">IFERROR(__xludf.dummyfunction("""COMPUTED_VALUE"""),291.54)</f>
        <v>291.54</v>
      </c>
      <c r="D288" s="5" t="n">
        <f aca="false">IFERROR(__xludf.dummyfunction("""COMPUTED_VALUE"""),284.5)</f>
        <v>284.5</v>
      </c>
      <c r="E288" s="5" t="n">
        <f aca="false">IFERROR(__xludf.dummyfunction("""COMPUTED_VALUE"""),287.72)</f>
        <v>287.72</v>
      </c>
      <c r="F288" s="5" t="n">
        <f aca="false">IFERROR(__xludf.dummyfunction("""COMPUTED_VALUE"""),41736117)</f>
        <v>41736117</v>
      </c>
    </row>
    <row r="289" customFormat="false" ht="15.75" hidden="false" customHeight="false" outlineLevel="0" collapsed="false">
      <c r="A289" s="6" t="n">
        <f aca="false">IFERROR(__xludf.dummyfunction("""COMPUTED_VALUE"""),44615.6666666667)</f>
        <v>44615.6666666667</v>
      </c>
      <c r="B289" s="5" t="n">
        <f aca="false">IFERROR(__xludf.dummyfunction("""COMPUTED_VALUE"""),290.18)</f>
        <v>290.18</v>
      </c>
      <c r="C289" s="5" t="n">
        <f aca="false">IFERROR(__xludf.dummyfunction("""COMPUTED_VALUE"""),291.7)</f>
        <v>291.7</v>
      </c>
      <c r="D289" s="5" t="n">
        <f aca="false">IFERROR(__xludf.dummyfunction("""COMPUTED_VALUE"""),280.1)</f>
        <v>280.1</v>
      </c>
      <c r="E289" s="5" t="n">
        <f aca="false">IFERROR(__xludf.dummyfunction("""COMPUTED_VALUE"""),280.27)</f>
        <v>280.27</v>
      </c>
      <c r="F289" s="5" t="n">
        <f aca="false">IFERROR(__xludf.dummyfunction("""COMPUTED_VALUE"""),37811167)</f>
        <v>37811167</v>
      </c>
    </row>
    <row r="290" customFormat="false" ht="15.75" hidden="false" customHeight="false" outlineLevel="0" collapsed="false">
      <c r="A290" s="6" t="n">
        <f aca="false">IFERROR(__xludf.dummyfunction("""COMPUTED_VALUE"""),44616.6666666667)</f>
        <v>44616.6666666667</v>
      </c>
      <c r="B290" s="5" t="n">
        <f aca="false">IFERROR(__xludf.dummyfunction("""COMPUTED_VALUE"""),272.51)</f>
        <v>272.51</v>
      </c>
      <c r="C290" s="5" t="n">
        <f aca="false">IFERROR(__xludf.dummyfunction("""COMPUTED_VALUE"""),295.16)</f>
        <v>295.16</v>
      </c>
      <c r="D290" s="5" t="n">
        <f aca="false">IFERROR(__xludf.dummyfunction("""COMPUTED_VALUE"""),271.52)</f>
        <v>271.52</v>
      </c>
      <c r="E290" s="5" t="n">
        <f aca="false">IFERROR(__xludf.dummyfunction("""COMPUTED_VALUE"""),294.59)</f>
        <v>294.59</v>
      </c>
      <c r="F290" s="5" t="n">
        <f aca="false">IFERROR(__xludf.dummyfunction("""COMPUTED_VALUE"""),56989686)</f>
        <v>56989686</v>
      </c>
    </row>
    <row r="291" customFormat="false" ht="15.75" hidden="false" customHeight="false" outlineLevel="0" collapsed="false">
      <c r="A291" s="6" t="n">
        <f aca="false">IFERROR(__xludf.dummyfunction("""COMPUTED_VALUE"""),44617.6666666667)</f>
        <v>44617.6666666667</v>
      </c>
      <c r="B291" s="5" t="n">
        <f aca="false">IFERROR(__xludf.dummyfunction("""COMPUTED_VALUE"""),295.14)</f>
        <v>295.14</v>
      </c>
      <c r="C291" s="5" t="n">
        <f aca="false">IFERROR(__xludf.dummyfunction("""COMPUTED_VALUE"""),297.63)</f>
        <v>297.63</v>
      </c>
      <c r="D291" s="5" t="n">
        <f aca="false">IFERROR(__xludf.dummyfunction("""COMPUTED_VALUE"""),291.65)</f>
        <v>291.65</v>
      </c>
      <c r="E291" s="5" t="n">
        <f aca="false">IFERROR(__xludf.dummyfunction("""COMPUTED_VALUE"""),297.31)</f>
        <v>297.31</v>
      </c>
      <c r="F291" s="5" t="n">
        <f aca="false">IFERROR(__xludf.dummyfunction("""COMPUTED_VALUE"""),32546721)</f>
        <v>32546721</v>
      </c>
    </row>
    <row r="292" customFormat="false" ht="15.75" hidden="false" customHeight="false" outlineLevel="0" collapsed="false">
      <c r="A292" s="6" t="n">
        <f aca="false">IFERROR(__xludf.dummyfunction("""COMPUTED_VALUE"""),44620.6666666667)</f>
        <v>44620.6666666667</v>
      </c>
      <c r="B292" s="5" t="n">
        <f aca="false">IFERROR(__xludf.dummyfunction("""COMPUTED_VALUE"""),294.31)</f>
        <v>294.31</v>
      </c>
      <c r="C292" s="5" t="n">
        <f aca="false">IFERROR(__xludf.dummyfunction("""COMPUTED_VALUE"""),299.14)</f>
        <v>299.14</v>
      </c>
      <c r="D292" s="5" t="n">
        <f aca="false">IFERROR(__xludf.dummyfunction("""COMPUTED_VALUE"""),293)</f>
        <v>293</v>
      </c>
      <c r="E292" s="5" t="n">
        <f aca="false">IFERROR(__xludf.dummyfunction("""COMPUTED_VALUE"""),298.79)</f>
        <v>298.79</v>
      </c>
      <c r="F292" s="5" t="n">
        <f aca="false">IFERROR(__xludf.dummyfunction("""COMPUTED_VALUE"""),34627457)</f>
        <v>34627457</v>
      </c>
    </row>
    <row r="293" customFormat="false" ht="15.75" hidden="false" customHeight="false" outlineLevel="0" collapsed="false">
      <c r="A293" s="6" t="n">
        <f aca="false">IFERROR(__xludf.dummyfunction("""COMPUTED_VALUE"""),44621.6666666667)</f>
        <v>44621.6666666667</v>
      </c>
      <c r="B293" s="5" t="n">
        <f aca="false">IFERROR(__xludf.dummyfunction("""COMPUTED_VALUE"""),296.4)</f>
        <v>296.4</v>
      </c>
      <c r="C293" s="5" t="n">
        <f aca="false">IFERROR(__xludf.dummyfunction("""COMPUTED_VALUE"""),299.97)</f>
        <v>299.97</v>
      </c>
      <c r="D293" s="5" t="n">
        <f aca="false">IFERROR(__xludf.dummyfunction("""COMPUTED_VALUE"""),292.15)</f>
        <v>292.15</v>
      </c>
      <c r="E293" s="5" t="n">
        <f aca="false">IFERROR(__xludf.dummyfunction("""COMPUTED_VALUE"""),294.95)</f>
        <v>294.95</v>
      </c>
      <c r="F293" s="5" t="n">
        <f aca="false">IFERROR(__xludf.dummyfunction("""COMPUTED_VALUE"""),31217778)</f>
        <v>31217778</v>
      </c>
    </row>
    <row r="294" customFormat="false" ht="15.75" hidden="false" customHeight="false" outlineLevel="0" collapsed="false">
      <c r="A294" s="6" t="n">
        <f aca="false">IFERROR(__xludf.dummyfunction("""COMPUTED_VALUE"""),44622.6666666667)</f>
        <v>44622.6666666667</v>
      </c>
      <c r="B294" s="5" t="n">
        <f aca="false">IFERROR(__xludf.dummyfunction("""COMPUTED_VALUE"""),295.36)</f>
        <v>295.36</v>
      </c>
      <c r="C294" s="5" t="n">
        <f aca="false">IFERROR(__xludf.dummyfunction("""COMPUTED_VALUE"""),301.47)</f>
        <v>301.47</v>
      </c>
      <c r="D294" s="5" t="n">
        <f aca="false">IFERROR(__xludf.dummyfunction("""COMPUTED_VALUE"""),293.7)</f>
        <v>293.7</v>
      </c>
      <c r="E294" s="5" t="n">
        <f aca="false">IFERROR(__xludf.dummyfunction("""COMPUTED_VALUE"""),300.19)</f>
        <v>300.19</v>
      </c>
      <c r="F294" s="5" t="n">
        <f aca="false">IFERROR(__xludf.dummyfunction("""COMPUTED_VALUE"""),31873007)</f>
        <v>31873007</v>
      </c>
    </row>
    <row r="295" customFormat="false" ht="15.75" hidden="false" customHeight="false" outlineLevel="0" collapsed="false">
      <c r="A295" s="6" t="n">
        <f aca="false">IFERROR(__xludf.dummyfunction("""COMPUTED_VALUE"""),44623.6666666667)</f>
        <v>44623.6666666667</v>
      </c>
      <c r="B295" s="5" t="n">
        <f aca="false">IFERROR(__xludf.dummyfunction("""COMPUTED_VALUE"""),302.89)</f>
        <v>302.89</v>
      </c>
      <c r="C295" s="5" t="n">
        <f aca="false">IFERROR(__xludf.dummyfunction("""COMPUTED_VALUE"""),303.13)</f>
        <v>303.13</v>
      </c>
      <c r="D295" s="5" t="n">
        <f aca="false">IFERROR(__xludf.dummyfunction("""COMPUTED_VALUE"""),294.05)</f>
        <v>294.05</v>
      </c>
      <c r="E295" s="5" t="n">
        <f aca="false">IFERROR(__xludf.dummyfunction("""COMPUTED_VALUE"""),295.92)</f>
        <v>295.92</v>
      </c>
      <c r="F295" s="5" t="n">
        <f aca="false">IFERROR(__xludf.dummyfunction("""COMPUTED_VALUE"""),27314469)</f>
        <v>27314469</v>
      </c>
    </row>
    <row r="296" customFormat="false" ht="15.75" hidden="false" customHeight="false" outlineLevel="0" collapsed="false">
      <c r="A296" s="6" t="n">
        <f aca="false">IFERROR(__xludf.dummyfunction("""COMPUTED_VALUE"""),44624.6666666667)</f>
        <v>44624.6666666667</v>
      </c>
      <c r="B296" s="5" t="n">
        <f aca="false">IFERROR(__xludf.dummyfunction("""COMPUTED_VALUE"""),294.29)</f>
        <v>294.29</v>
      </c>
      <c r="C296" s="5" t="n">
        <f aca="false">IFERROR(__xludf.dummyfunction("""COMPUTED_VALUE"""),295.66)</f>
        <v>295.66</v>
      </c>
      <c r="D296" s="5" t="n">
        <f aca="false">IFERROR(__xludf.dummyfunction("""COMPUTED_VALUE"""),287.17)</f>
        <v>287.17</v>
      </c>
      <c r="E296" s="5" t="n">
        <f aca="false">IFERROR(__xludf.dummyfunction("""COMPUTED_VALUE"""),289.86)</f>
        <v>289.86</v>
      </c>
      <c r="F296" s="5" t="n">
        <f aca="false">IFERROR(__xludf.dummyfunction("""COMPUTED_VALUE"""),32369655)</f>
        <v>32369655</v>
      </c>
    </row>
    <row r="297" customFormat="false" ht="15.75" hidden="false" customHeight="false" outlineLevel="0" collapsed="false">
      <c r="A297" s="6" t="n">
        <f aca="false">IFERROR(__xludf.dummyfunction("""COMPUTED_VALUE"""),44627.6666666667)</f>
        <v>44627.6666666667</v>
      </c>
      <c r="B297" s="5" t="n">
        <f aca="false">IFERROR(__xludf.dummyfunction("""COMPUTED_VALUE"""),288.53)</f>
        <v>288.53</v>
      </c>
      <c r="C297" s="5" t="n">
        <f aca="false">IFERROR(__xludf.dummyfunction("""COMPUTED_VALUE"""),289.69)</f>
        <v>289.69</v>
      </c>
      <c r="D297" s="5" t="n">
        <f aca="false">IFERROR(__xludf.dummyfunction("""COMPUTED_VALUE"""),278.53)</f>
        <v>278.53</v>
      </c>
      <c r="E297" s="5" t="n">
        <f aca="false">IFERROR(__xludf.dummyfunction("""COMPUTED_VALUE"""),278.91)</f>
        <v>278.91</v>
      </c>
      <c r="F297" s="5" t="n">
        <f aca="false">IFERROR(__xludf.dummyfunction("""COMPUTED_VALUE"""),43157178)</f>
        <v>43157178</v>
      </c>
    </row>
    <row r="298" customFormat="false" ht="15.75" hidden="false" customHeight="false" outlineLevel="0" collapsed="false">
      <c r="A298" s="6" t="n">
        <f aca="false">IFERROR(__xludf.dummyfunction("""COMPUTED_VALUE"""),44628.6666666667)</f>
        <v>44628.6666666667</v>
      </c>
      <c r="B298" s="5" t="n">
        <f aca="false">IFERROR(__xludf.dummyfunction("""COMPUTED_VALUE"""),277.8)</f>
        <v>277.8</v>
      </c>
      <c r="C298" s="5" t="n">
        <f aca="false">IFERROR(__xludf.dummyfunction("""COMPUTED_VALUE"""),283.96)</f>
        <v>283.96</v>
      </c>
      <c r="D298" s="5" t="n">
        <f aca="false">IFERROR(__xludf.dummyfunction("""COMPUTED_VALUE"""),270)</f>
        <v>270</v>
      </c>
      <c r="E298" s="5" t="n">
        <f aca="false">IFERROR(__xludf.dummyfunction("""COMPUTED_VALUE"""),275.85)</f>
        <v>275.85</v>
      </c>
      <c r="F298" s="5" t="n">
        <f aca="false">IFERROR(__xludf.dummyfunction("""COMPUTED_VALUE"""),48159475)</f>
        <v>48159475</v>
      </c>
    </row>
    <row r="299" customFormat="false" ht="15.75" hidden="false" customHeight="false" outlineLevel="0" collapsed="false">
      <c r="A299" s="6" t="n">
        <f aca="false">IFERROR(__xludf.dummyfunction("""COMPUTED_VALUE"""),44629.6666666667)</f>
        <v>44629.6666666667</v>
      </c>
      <c r="B299" s="5" t="n">
        <f aca="false">IFERROR(__xludf.dummyfunction("""COMPUTED_VALUE"""),283.44)</f>
        <v>283.44</v>
      </c>
      <c r="C299" s="5" t="n">
        <f aca="false">IFERROR(__xludf.dummyfunction("""COMPUTED_VALUE"""),289.6)</f>
        <v>289.6</v>
      </c>
      <c r="D299" s="5" t="n">
        <f aca="false">IFERROR(__xludf.dummyfunction("""COMPUTED_VALUE"""),280.78)</f>
        <v>280.78</v>
      </c>
      <c r="E299" s="5" t="n">
        <f aca="false">IFERROR(__xludf.dummyfunction("""COMPUTED_VALUE"""),288.5)</f>
        <v>288.5</v>
      </c>
      <c r="F299" s="5" t="n">
        <f aca="false">IFERROR(__xludf.dummyfunction("""COMPUTED_VALUE"""),35204480)</f>
        <v>35204480</v>
      </c>
    </row>
    <row r="300" customFormat="false" ht="15.75" hidden="false" customHeight="false" outlineLevel="0" collapsed="false">
      <c r="A300" s="6" t="n">
        <f aca="false">IFERROR(__xludf.dummyfunction("""COMPUTED_VALUE"""),44630.6666666667)</f>
        <v>44630.6666666667</v>
      </c>
      <c r="B300" s="5" t="n">
        <f aca="false">IFERROR(__xludf.dummyfunction("""COMPUTED_VALUE"""),283.02)</f>
        <v>283.02</v>
      </c>
      <c r="C300" s="5" t="n">
        <f aca="false">IFERROR(__xludf.dummyfunction("""COMPUTED_VALUE"""),286.6)</f>
        <v>286.6</v>
      </c>
      <c r="D300" s="5" t="n">
        <f aca="false">IFERROR(__xludf.dummyfunction("""COMPUTED_VALUE"""),280.58)</f>
        <v>280.58</v>
      </c>
      <c r="E300" s="5" t="n">
        <f aca="false">IFERROR(__xludf.dummyfunction("""COMPUTED_VALUE"""),285.59)</f>
        <v>285.59</v>
      </c>
      <c r="F300" s="5" t="n">
        <f aca="false">IFERROR(__xludf.dummyfunction("""COMPUTED_VALUE"""),30628012)</f>
        <v>30628012</v>
      </c>
    </row>
    <row r="301" customFormat="false" ht="15.75" hidden="false" customHeight="false" outlineLevel="0" collapsed="false">
      <c r="A301" s="6" t="n">
        <f aca="false">IFERROR(__xludf.dummyfunction("""COMPUTED_VALUE"""),44631.6666666667)</f>
        <v>44631.6666666667</v>
      </c>
      <c r="B301" s="5" t="n">
        <f aca="false">IFERROR(__xludf.dummyfunction("""COMPUTED_VALUE"""),287.96)</f>
        <v>287.96</v>
      </c>
      <c r="C301" s="5" t="n">
        <f aca="false">IFERROR(__xludf.dummyfunction("""COMPUTED_VALUE"""),289.51)</f>
        <v>289.51</v>
      </c>
      <c r="D301" s="5" t="n">
        <f aca="false">IFERROR(__xludf.dummyfunction("""COMPUTED_VALUE"""),279.43)</f>
        <v>279.43</v>
      </c>
      <c r="E301" s="5" t="n">
        <f aca="false">IFERROR(__xludf.dummyfunction("""COMPUTED_VALUE"""),280.07)</f>
        <v>280.07</v>
      </c>
      <c r="F301" s="5" t="n">
        <f aca="false">IFERROR(__xludf.dummyfunction("""COMPUTED_VALUE"""),27209330)</f>
        <v>27209330</v>
      </c>
    </row>
    <row r="302" customFormat="false" ht="15.75" hidden="false" customHeight="false" outlineLevel="0" collapsed="false">
      <c r="A302" s="6" t="n">
        <f aca="false">IFERROR(__xludf.dummyfunction("""COMPUTED_VALUE"""),44634.6666666667)</f>
        <v>44634.6666666667</v>
      </c>
      <c r="B302" s="5" t="n">
        <f aca="false">IFERROR(__xludf.dummyfunction("""COMPUTED_VALUE"""),280.34)</f>
        <v>280.34</v>
      </c>
      <c r="C302" s="5" t="n">
        <f aca="false">IFERROR(__xludf.dummyfunction("""COMPUTED_VALUE"""),285.4)</f>
        <v>285.4</v>
      </c>
      <c r="D302" s="5" t="n">
        <f aca="false">IFERROR(__xludf.dummyfunction("""COMPUTED_VALUE"""),275.82)</f>
        <v>275.82</v>
      </c>
      <c r="E302" s="5" t="n">
        <f aca="false">IFERROR(__xludf.dummyfunction("""COMPUTED_VALUE"""),276.44)</f>
        <v>276.44</v>
      </c>
      <c r="F302" s="5" t="n">
        <f aca="false">IFERROR(__xludf.dummyfunction("""COMPUTED_VALUE"""),30660747)</f>
        <v>30660747</v>
      </c>
    </row>
    <row r="303" customFormat="false" ht="15.75" hidden="false" customHeight="false" outlineLevel="0" collapsed="false">
      <c r="A303" s="6" t="n">
        <f aca="false">IFERROR(__xludf.dummyfunction("""COMPUTED_VALUE"""),44635.6666666667)</f>
        <v>44635.6666666667</v>
      </c>
      <c r="B303" s="5" t="n">
        <f aca="false">IFERROR(__xludf.dummyfunction("""COMPUTED_VALUE"""),280.35)</f>
        <v>280.35</v>
      </c>
      <c r="C303" s="5" t="n">
        <f aca="false">IFERROR(__xludf.dummyfunction("""COMPUTED_VALUE"""),287.82)</f>
        <v>287.82</v>
      </c>
      <c r="D303" s="5" t="n">
        <f aca="false">IFERROR(__xludf.dummyfunction("""COMPUTED_VALUE"""),278.73)</f>
        <v>278.73</v>
      </c>
      <c r="E303" s="5" t="n">
        <f aca="false">IFERROR(__xludf.dummyfunction("""COMPUTED_VALUE"""),287.15)</f>
        <v>287.15</v>
      </c>
      <c r="F303" s="5" t="n">
        <f aca="false">IFERROR(__xludf.dummyfunction("""COMPUTED_VALUE"""),34245085)</f>
        <v>34245085</v>
      </c>
    </row>
    <row r="304" customFormat="false" ht="15.75" hidden="false" customHeight="false" outlineLevel="0" collapsed="false">
      <c r="A304" s="6" t="n">
        <f aca="false">IFERROR(__xludf.dummyfunction("""COMPUTED_VALUE"""),44636.6666666667)</f>
        <v>44636.6666666667</v>
      </c>
      <c r="B304" s="5" t="n">
        <f aca="false">IFERROR(__xludf.dummyfunction("""COMPUTED_VALUE"""),289.11)</f>
        <v>289.11</v>
      </c>
      <c r="C304" s="5" t="n">
        <f aca="false">IFERROR(__xludf.dummyfunction("""COMPUTED_VALUE"""),294.57)</f>
        <v>294.57</v>
      </c>
      <c r="D304" s="5" t="n">
        <f aca="false">IFERROR(__xludf.dummyfunction("""COMPUTED_VALUE"""),283.2)</f>
        <v>283.2</v>
      </c>
      <c r="E304" s="5" t="n">
        <f aca="false">IFERROR(__xludf.dummyfunction("""COMPUTED_VALUE"""),294.39)</f>
        <v>294.39</v>
      </c>
      <c r="F304" s="5" t="n">
        <f aca="false">IFERROR(__xludf.dummyfunction("""COMPUTED_VALUE"""),37826329)</f>
        <v>37826329</v>
      </c>
    </row>
    <row r="305" customFormat="false" ht="15.75" hidden="false" customHeight="false" outlineLevel="0" collapsed="false">
      <c r="A305" s="6" t="n">
        <f aca="false">IFERROR(__xludf.dummyfunction("""COMPUTED_VALUE"""),44637.6666666667)</f>
        <v>44637.6666666667</v>
      </c>
      <c r="B305" s="5" t="n">
        <f aca="false">IFERROR(__xludf.dummyfunction("""COMPUTED_VALUE"""),293.29)</f>
        <v>293.29</v>
      </c>
      <c r="C305" s="5" t="n">
        <f aca="false">IFERROR(__xludf.dummyfunction("""COMPUTED_VALUE"""),295.61)</f>
        <v>295.61</v>
      </c>
      <c r="D305" s="5" t="n">
        <f aca="false">IFERROR(__xludf.dummyfunction("""COMPUTED_VALUE"""),289.37)</f>
        <v>289.37</v>
      </c>
      <c r="E305" s="5" t="n">
        <f aca="false">IFERROR(__xludf.dummyfunction("""COMPUTED_VALUE"""),295.22)</f>
        <v>295.22</v>
      </c>
      <c r="F305" s="5" t="n">
        <f aca="false">IFERROR(__xludf.dummyfunction("""COMPUTED_VALUE"""),30816633)</f>
        <v>30816633</v>
      </c>
    </row>
    <row r="306" customFormat="false" ht="15.75" hidden="false" customHeight="false" outlineLevel="0" collapsed="false">
      <c r="A306" s="6" t="n">
        <f aca="false">IFERROR(__xludf.dummyfunction("""COMPUTED_VALUE"""),44638.6666666667)</f>
        <v>44638.6666666667</v>
      </c>
      <c r="B306" s="5" t="n">
        <f aca="false">IFERROR(__xludf.dummyfunction("""COMPUTED_VALUE"""),295.37)</f>
        <v>295.37</v>
      </c>
      <c r="C306" s="5" t="n">
        <f aca="false">IFERROR(__xludf.dummyfunction("""COMPUTED_VALUE"""),301)</f>
        <v>301</v>
      </c>
      <c r="D306" s="5" t="n">
        <f aca="false">IFERROR(__xludf.dummyfunction("""COMPUTED_VALUE"""),292.73)</f>
        <v>292.73</v>
      </c>
      <c r="E306" s="5" t="n">
        <f aca="false">IFERROR(__xludf.dummyfunction("""COMPUTED_VALUE"""),300.43)</f>
        <v>300.43</v>
      </c>
      <c r="F306" s="5" t="n">
        <f aca="false">IFERROR(__xludf.dummyfunction("""COMPUTED_VALUE"""),43390625)</f>
        <v>43390625</v>
      </c>
    </row>
    <row r="307" customFormat="false" ht="15.75" hidden="false" customHeight="false" outlineLevel="0" collapsed="false">
      <c r="A307" s="6" t="n">
        <f aca="false">IFERROR(__xludf.dummyfunction("""COMPUTED_VALUE"""),44641.6666666667)</f>
        <v>44641.6666666667</v>
      </c>
      <c r="B307" s="5" t="n">
        <f aca="false">IFERROR(__xludf.dummyfunction("""COMPUTED_VALUE"""),298.89)</f>
        <v>298.89</v>
      </c>
      <c r="C307" s="5" t="n">
        <f aca="false">IFERROR(__xludf.dummyfunction("""COMPUTED_VALUE"""),300.14)</f>
        <v>300.14</v>
      </c>
      <c r="D307" s="5" t="n">
        <f aca="false">IFERROR(__xludf.dummyfunction("""COMPUTED_VALUE"""),294.9)</f>
        <v>294.9</v>
      </c>
      <c r="E307" s="5" t="n">
        <f aca="false">IFERROR(__xludf.dummyfunction("""COMPUTED_VALUE"""),299.16)</f>
        <v>299.16</v>
      </c>
      <c r="F307" s="5" t="n">
        <f aca="false">IFERROR(__xludf.dummyfunction("""COMPUTED_VALUE"""),28351245)</f>
        <v>28351245</v>
      </c>
    </row>
    <row r="308" customFormat="false" ht="15.75" hidden="false" customHeight="false" outlineLevel="0" collapsed="false">
      <c r="A308" s="6" t="n">
        <f aca="false">IFERROR(__xludf.dummyfunction("""COMPUTED_VALUE"""),44642.6666666667)</f>
        <v>44642.6666666667</v>
      </c>
      <c r="B308" s="5" t="n">
        <f aca="false">IFERROR(__xludf.dummyfunction("""COMPUTED_VALUE"""),299.8)</f>
        <v>299.8</v>
      </c>
      <c r="C308" s="5" t="n">
        <f aca="false">IFERROR(__xludf.dummyfunction("""COMPUTED_VALUE"""),305)</f>
        <v>305</v>
      </c>
      <c r="D308" s="5" t="n">
        <f aca="false">IFERROR(__xludf.dummyfunction("""COMPUTED_VALUE"""),298.77)</f>
        <v>298.77</v>
      </c>
      <c r="E308" s="5" t="n">
        <f aca="false">IFERROR(__xludf.dummyfunction("""COMPUTED_VALUE"""),304.06)</f>
        <v>304.06</v>
      </c>
      <c r="F308" s="5" t="n">
        <f aca="false">IFERROR(__xludf.dummyfunction("""COMPUTED_VALUE"""),27599689)</f>
        <v>27599689</v>
      </c>
    </row>
    <row r="309" customFormat="false" ht="15.75" hidden="false" customHeight="false" outlineLevel="0" collapsed="false">
      <c r="A309" s="6" t="n">
        <f aca="false">IFERROR(__xludf.dummyfunction("""COMPUTED_VALUE"""),44643.6666666667)</f>
        <v>44643.6666666667</v>
      </c>
      <c r="B309" s="5" t="n">
        <f aca="false">IFERROR(__xludf.dummyfunction("""COMPUTED_VALUE"""),300.51)</f>
        <v>300.51</v>
      </c>
      <c r="C309" s="5" t="n">
        <f aca="false">IFERROR(__xludf.dummyfunction("""COMPUTED_VALUE"""),303.23)</f>
        <v>303.23</v>
      </c>
      <c r="D309" s="5" t="n">
        <f aca="false">IFERROR(__xludf.dummyfunction("""COMPUTED_VALUE"""),297.72)</f>
        <v>297.72</v>
      </c>
      <c r="E309" s="5" t="n">
        <f aca="false">IFERROR(__xludf.dummyfunction("""COMPUTED_VALUE"""),299.49)</f>
        <v>299.49</v>
      </c>
      <c r="F309" s="5" t="n">
        <f aca="false">IFERROR(__xludf.dummyfunction("""COMPUTED_VALUE"""),25715377)</f>
        <v>25715377</v>
      </c>
    </row>
    <row r="310" customFormat="false" ht="15.75" hidden="false" customHeight="false" outlineLevel="0" collapsed="false">
      <c r="A310" s="6" t="n">
        <f aca="false">IFERROR(__xludf.dummyfunction("""COMPUTED_VALUE"""),44644.6666666667)</f>
        <v>44644.6666666667</v>
      </c>
      <c r="B310" s="5" t="n">
        <f aca="false">IFERROR(__xludf.dummyfunction("""COMPUTED_VALUE"""),299.14)</f>
        <v>299.14</v>
      </c>
      <c r="C310" s="5" t="n">
        <f aca="false">IFERROR(__xludf.dummyfunction("""COMPUTED_VALUE"""),304.2)</f>
        <v>304.2</v>
      </c>
      <c r="D310" s="5" t="n">
        <f aca="false">IFERROR(__xludf.dummyfunction("""COMPUTED_VALUE"""),298.32)</f>
        <v>298.32</v>
      </c>
      <c r="E310" s="5" t="n">
        <f aca="false">IFERROR(__xludf.dummyfunction("""COMPUTED_VALUE"""),304.1)</f>
        <v>304.1</v>
      </c>
      <c r="F310" s="5" t="n">
        <f aca="false">IFERROR(__xludf.dummyfunction("""COMPUTED_VALUE"""),24484456)</f>
        <v>24484456</v>
      </c>
    </row>
    <row r="311" customFormat="false" ht="15.75" hidden="false" customHeight="false" outlineLevel="0" collapsed="false">
      <c r="A311" s="6" t="n">
        <f aca="false">IFERROR(__xludf.dummyfunction("""COMPUTED_VALUE"""),44645.6666666667)</f>
        <v>44645.6666666667</v>
      </c>
      <c r="B311" s="5" t="n">
        <f aca="false">IFERROR(__xludf.dummyfunction("""COMPUTED_VALUE"""),305.23)</f>
        <v>305.23</v>
      </c>
      <c r="C311" s="5" t="n">
        <f aca="false">IFERROR(__xludf.dummyfunction("""COMPUTED_VALUE"""),305.5)</f>
        <v>305.5</v>
      </c>
      <c r="D311" s="5" t="n">
        <f aca="false">IFERROR(__xludf.dummyfunction("""COMPUTED_VALUE"""),299.29)</f>
        <v>299.29</v>
      </c>
      <c r="E311" s="5" t="n">
        <f aca="false">IFERROR(__xludf.dummyfunction("""COMPUTED_VALUE"""),303.68)</f>
        <v>303.68</v>
      </c>
      <c r="F311" s="5" t="n">
        <f aca="false">IFERROR(__xludf.dummyfunction("""COMPUTED_VALUE"""),22566453)</f>
        <v>22566453</v>
      </c>
    </row>
    <row r="312" customFormat="false" ht="15.75" hidden="false" customHeight="false" outlineLevel="0" collapsed="false">
      <c r="A312" s="6" t="n">
        <f aca="false">IFERROR(__xludf.dummyfunction("""COMPUTED_VALUE"""),44648.6666666667)</f>
        <v>44648.6666666667</v>
      </c>
      <c r="B312" s="5" t="n">
        <f aca="false">IFERROR(__xludf.dummyfunction("""COMPUTED_VALUE"""),304.33)</f>
        <v>304.33</v>
      </c>
      <c r="C312" s="5" t="n">
        <f aca="false">IFERROR(__xludf.dummyfunction("""COMPUTED_VALUE"""),310.8)</f>
        <v>310.8</v>
      </c>
      <c r="D312" s="5" t="n">
        <f aca="false">IFERROR(__xludf.dummyfunction("""COMPUTED_VALUE"""),304.33)</f>
        <v>304.33</v>
      </c>
      <c r="E312" s="5" t="n">
        <f aca="false">IFERROR(__xludf.dummyfunction("""COMPUTED_VALUE"""),310.7)</f>
        <v>310.7</v>
      </c>
      <c r="F312" s="5" t="n">
        <f aca="false">IFERROR(__xludf.dummyfunction("""COMPUTED_VALUE"""),29578188)</f>
        <v>29578188</v>
      </c>
    </row>
    <row r="313" customFormat="false" ht="15.75" hidden="false" customHeight="false" outlineLevel="0" collapsed="false">
      <c r="A313" s="6" t="n">
        <f aca="false">IFERROR(__xludf.dummyfunction("""COMPUTED_VALUE"""),44649.6666666667)</f>
        <v>44649.6666666667</v>
      </c>
      <c r="B313" s="5" t="n">
        <f aca="false">IFERROR(__xludf.dummyfunction("""COMPUTED_VALUE"""),313.91)</f>
        <v>313.91</v>
      </c>
      <c r="C313" s="5" t="n">
        <f aca="false">IFERROR(__xludf.dummyfunction("""COMPUTED_VALUE"""),315.82)</f>
        <v>315.82</v>
      </c>
      <c r="D313" s="5" t="n">
        <f aca="false">IFERROR(__xludf.dummyfunction("""COMPUTED_VALUE"""),309.05)</f>
        <v>309.05</v>
      </c>
      <c r="E313" s="5" t="n">
        <f aca="false">IFERROR(__xludf.dummyfunction("""COMPUTED_VALUE"""),315.41)</f>
        <v>315.41</v>
      </c>
      <c r="F313" s="5" t="n">
        <f aca="false">IFERROR(__xludf.dummyfunction("""COMPUTED_VALUE"""),30393403)</f>
        <v>30393403</v>
      </c>
    </row>
    <row r="314" customFormat="false" ht="15.75" hidden="false" customHeight="false" outlineLevel="0" collapsed="false">
      <c r="A314" s="6" t="n">
        <f aca="false">IFERROR(__xludf.dummyfunction("""COMPUTED_VALUE"""),44650.6666666667)</f>
        <v>44650.6666666667</v>
      </c>
      <c r="B314" s="5" t="n">
        <f aca="false">IFERROR(__xludf.dummyfunction("""COMPUTED_VALUE"""),313.76)</f>
        <v>313.76</v>
      </c>
      <c r="C314" s="5" t="n">
        <f aca="false">IFERROR(__xludf.dummyfunction("""COMPUTED_VALUE"""),315.95)</f>
        <v>315.95</v>
      </c>
      <c r="D314" s="5" t="n">
        <f aca="false">IFERROR(__xludf.dummyfunction("""COMPUTED_VALUE"""),311.58)</f>
        <v>311.58</v>
      </c>
      <c r="E314" s="5" t="n">
        <f aca="false">IFERROR(__xludf.dummyfunction("""COMPUTED_VALUE"""),313.86)</f>
        <v>313.86</v>
      </c>
      <c r="F314" s="5" t="n">
        <f aca="false">IFERROR(__xludf.dummyfunction("""COMPUTED_VALUE"""),28163555)</f>
        <v>28163555</v>
      </c>
    </row>
    <row r="315" customFormat="false" ht="15.75" hidden="false" customHeight="false" outlineLevel="0" collapsed="false">
      <c r="A315" s="6" t="n">
        <f aca="false">IFERROR(__xludf.dummyfunction("""COMPUTED_VALUE"""),44651.6666666667)</f>
        <v>44651.6666666667</v>
      </c>
      <c r="B315" s="5" t="n">
        <f aca="false">IFERROR(__xludf.dummyfunction("""COMPUTED_VALUE"""),313.9)</f>
        <v>313.9</v>
      </c>
      <c r="C315" s="5" t="n">
        <f aca="false">IFERROR(__xludf.dummyfunction("""COMPUTED_VALUE"""),315.14)</f>
        <v>315.14</v>
      </c>
      <c r="D315" s="5" t="n">
        <f aca="false">IFERROR(__xludf.dummyfunction("""COMPUTED_VALUE"""),307.89)</f>
        <v>307.89</v>
      </c>
      <c r="E315" s="5" t="n">
        <f aca="false">IFERROR(__xludf.dummyfunction("""COMPUTED_VALUE"""),308.31)</f>
        <v>308.31</v>
      </c>
      <c r="F315" s="5" t="n">
        <f aca="false">IFERROR(__xludf.dummyfunction("""COMPUTED_VALUE"""),33422070)</f>
        <v>33422070</v>
      </c>
    </row>
    <row r="316" customFormat="false" ht="15.75" hidden="false" customHeight="false" outlineLevel="0" collapsed="false">
      <c r="A316" s="6" t="n">
        <f aca="false">IFERROR(__xludf.dummyfunction("""COMPUTED_VALUE"""),44652.6666666667)</f>
        <v>44652.6666666667</v>
      </c>
      <c r="B316" s="5" t="n">
        <f aca="false">IFERROR(__xludf.dummyfunction("""COMPUTED_VALUE"""),309.37)</f>
        <v>309.37</v>
      </c>
      <c r="C316" s="5" t="n">
        <f aca="false">IFERROR(__xludf.dummyfunction("""COMPUTED_VALUE"""),310.13)</f>
        <v>310.13</v>
      </c>
      <c r="D316" s="5" t="n">
        <f aca="false">IFERROR(__xludf.dummyfunction("""COMPUTED_VALUE"""),305.54)</f>
        <v>305.54</v>
      </c>
      <c r="E316" s="5" t="n">
        <f aca="false">IFERROR(__xludf.dummyfunction("""COMPUTED_VALUE"""),309.42)</f>
        <v>309.42</v>
      </c>
      <c r="F316" s="5" t="n">
        <f aca="false">IFERROR(__xludf.dummyfunction("""COMPUTED_VALUE"""),27110529)</f>
        <v>27110529</v>
      </c>
    </row>
    <row r="317" customFormat="false" ht="15.75" hidden="false" customHeight="false" outlineLevel="0" collapsed="false">
      <c r="A317" s="6" t="n">
        <f aca="false">IFERROR(__xludf.dummyfunction("""COMPUTED_VALUE"""),44655.6666666667)</f>
        <v>44655.6666666667</v>
      </c>
      <c r="B317" s="5" t="n">
        <f aca="false">IFERROR(__xludf.dummyfunction("""COMPUTED_VALUE"""),310.09)</f>
        <v>310.09</v>
      </c>
      <c r="C317" s="5" t="n">
        <f aca="false">IFERROR(__xludf.dummyfunction("""COMPUTED_VALUE"""),315.11)</f>
        <v>315.11</v>
      </c>
      <c r="D317" s="5" t="n">
        <f aca="false">IFERROR(__xludf.dummyfunction("""COMPUTED_VALUE"""),309.71)</f>
        <v>309.71</v>
      </c>
      <c r="E317" s="5" t="n">
        <f aca="false">IFERROR(__xludf.dummyfunction("""COMPUTED_VALUE"""),314.97)</f>
        <v>314.97</v>
      </c>
      <c r="F317" s="5" t="n">
        <f aca="false">IFERROR(__xludf.dummyfunction("""COMPUTED_VALUE"""),24335868)</f>
        <v>24335868</v>
      </c>
    </row>
    <row r="318" customFormat="false" ht="15.75" hidden="false" customHeight="false" outlineLevel="0" collapsed="false">
      <c r="A318" s="6" t="n">
        <f aca="false">IFERROR(__xludf.dummyfunction("""COMPUTED_VALUE"""),44656.6666666667)</f>
        <v>44656.6666666667</v>
      </c>
      <c r="B318" s="5" t="n">
        <f aca="false">IFERROR(__xludf.dummyfunction("""COMPUTED_VALUE"""),313.27)</f>
        <v>313.27</v>
      </c>
      <c r="C318" s="5" t="n">
        <f aca="false">IFERROR(__xludf.dummyfunction("""COMPUTED_VALUE"""),314.87)</f>
        <v>314.87</v>
      </c>
      <c r="D318" s="5" t="n">
        <f aca="false">IFERROR(__xludf.dummyfunction("""COMPUTED_VALUE"""),309.87)</f>
        <v>309.87</v>
      </c>
      <c r="E318" s="5" t="n">
        <f aca="false">IFERROR(__xludf.dummyfunction("""COMPUTED_VALUE"""),310.88)</f>
        <v>310.88</v>
      </c>
      <c r="F318" s="5" t="n">
        <f aca="false">IFERROR(__xludf.dummyfunction("""COMPUTED_VALUE"""),23156719)</f>
        <v>23156719</v>
      </c>
    </row>
    <row r="319" customFormat="false" ht="15.75" hidden="false" customHeight="false" outlineLevel="0" collapsed="false">
      <c r="A319" s="6" t="n">
        <f aca="false">IFERROR(__xludf.dummyfunction("""COMPUTED_VALUE"""),44657.6666666667)</f>
        <v>44657.6666666667</v>
      </c>
      <c r="B319" s="5" t="n">
        <f aca="false">IFERROR(__xludf.dummyfunction("""COMPUTED_VALUE"""),305.19)</f>
        <v>305.19</v>
      </c>
      <c r="C319" s="5" t="n">
        <f aca="false">IFERROR(__xludf.dummyfunction("""COMPUTED_VALUE"""),307)</f>
        <v>307</v>
      </c>
      <c r="D319" s="5" t="n">
        <f aca="false">IFERROR(__xludf.dummyfunction("""COMPUTED_VALUE"""),296.71)</f>
        <v>296.71</v>
      </c>
      <c r="E319" s="5" t="n">
        <f aca="false">IFERROR(__xludf.dummyfunction("""COMPUTED_VALUE"""),299.5)</f>
        <v>299.5</v>
      </c>
      <c r="F319" s="5" t="n">
        <f aca="false">IFERROR(__xludf.dummyfunction("""COMPUTED_VALUE"""),40110372)</f>
        <v>40110372</v>
      </c>
    </row>
    <row r="320" customFormat="false" ht="15.75" hidden="false" customHeight="false" outlineLevel="0" collapsed="false">
      <c r="A320" s="6" t="n">
        <f aca="false">IFERROR(__xludf.dummyfunction("""COMPUTED_VALUE"""),44658.6666666667)</f>
        <v>44658.6666666667</v>
      </c>
      <c r="B320" s="5" t="n">
        <f aca="false">IFERROR(__xludf.dummyfunction("""COMPUTED_VALUE"""),296.66)</f>
        <v>296.66</v>
      </c>
      <c r="C320" s="5" t="n">
        <f aca="false">IFERROR(__xludf.dummyfunction("""COMPUTED_VALUE"""),303.65)</f>
        <v>303.65</v>
      </c>
      <c r="D320" s="5" t="n">
        <f aca="false">IFERROR(__xludf.dummyfunction("""COMPUTED_VALUE"""),296.35)</f>
        <v>296.35</v>
      </c>
      <c r="E320" s="5" t="n">
        <f aca="false">IFERROR(__xludf.dummyfunction("""COMPUTED_VALUE"""),301.37)</f>
        <v>301.37</v>
      </c>
      <c r="F320" s="5" t="n">
        <f aca="false">IFERROR(__xludf.dummyfunction("""COMPUTED_VALUE"""),31411155)</f>
        <v>31411155</v>
      </c>
    </row>
    <row r="321" customFormat="false" ht="15.75" hidden="false" customHeight="false" outlineLevel="0" collapsed="false">
      <c r="A321" s="6" t="n">
        <f aca="false">IFERROR(__xludf.dummyfunction("""COMPUTED_VALUE"""),44659.6666666667)</f>
        <v>44659.6666666667</v>
      </c>
      <c r="B321" s="5" t="n">
        <f aca="false">IFERROR(__xludf.dummyfunction("""COMPUTED_VALUE"""),300.44)</f>
        <v>300.44</v>
      </c>
      <c r="C321" s="5" t="n">
        <f aca="false">IFERROR(__xludf.dummyfunction("""COMPUTED_VALUE"""),301.12)</f>
        <v>301.12</v>
      </c>
      <c r="D321" s="5" t="n">
        <f aca="false">IFERROR(__xludf.dummyfunction("""COMPUTED_VALUE"""),296.28)</f>
        <v>296.28</v>
      </c>
      <c r="E321" s="5" t="n">
        <f aca="false">IFERROR(__xludf.dummyfunction("""COMPUTED_VALUE"""),296.97)</f>
        <v>296.97</v>
      </c>
      <c r="F321" s="5" t="n">
        <f aca="false">IFERROR(__xludf.dummyfunction("""COMPUTED_VALUE"""),24361917)</f>
        <v>24361917</v>
      </c>
    </row>
    <row r="322" customFormat="false" ht="15.75" hidden="false" customHeight="false" outlineLevel="0" collapsed="false">
      <c r="A322" s="6" t="n">
        <f aca="false">IFERROR(__xludf.dummyfunction("""COMPUTED_VALUE"""),44662.6666666667)</f>
        <v>44662.6666666667</v>
      </c>
      <c r="B322" s="5" t="n">
        <f aca="false">IFERROR(__xludf.dummyfunction("""COMPUTED_VALUE"""),291.79)</f>
        <v>291.79</v>
      </c>
      <c r="C322" s="5" t="n">
        <f aca="false">IFERROR(__xludf.dummyfunction("""COMPUTED_VALUE"""),292.61)</f>
        <v>292.61</v>
      </c>
      <c r="D322" s="5" t="n">
        <f aca="false">IFERROR(__xludf.dummyfunction("""COMPUTED_VALUE"""),285)</f>
        <v>285</v>
      </c>
      <c r="E322" s="5" t="n">
        <f aca="false">IFERROR(__xludf.dummyfunction("""COMPUTED_VALUE"""),285.26)</f>
        <v>285.26</v>
      </c>
      <c r="F322" s="5" t="n">
        <f aca="false">IFERROR(__xludf.dummyfunction("""COMPUTED_VALUE"""),34569264)</f>
        <v>34569264</v>
      </c>
    </row>
    <row r="323" customFormat="false" ht="15.75" hidden="false" customHeight="false" outlineLevel="0" collapsed="false">
      <c r="A323" s="6" t="n">
        <f aca="false">IFERROR(__xludf.dummyfunction("""COMPUTED_VALUE"""),44663.6666666667)</f>
        <v>44663.6666666667</v>
      </c>
      <c r="B323" s="5" t="n">
        <f aca="false">IFERROR(__xludf.dummyfunction("""COMPUTED_VALUE"""),289.24)</f>
        <v>289.24</v>
      </c>
      <c r="C323" s="5" t="n">
        <f aca="false">IFERROR(__xludf.dummyfunction("""COMPUTED_VALUE"""),290.74)</f>
        <v>290.74</v>
      </c>
      <c r="D323" s="5" t="n">
        <f aca="false">IFERROR(__xludf.dummyfunction("""COMPUTED_VALUE"""),280.49)</f>
        <v>280.49</v>
      </c>
      <c r="E323" s="5" t="n">
        <f aca="false">IFERROR(__xludf.dummyfunction("""COMPUTED_VALUE"""),282.06)</f>
        <v>282.06</v>
      </c>
      <c r="F323" s="5" t="n">
        <f aca="false">IFERROR(__xludf.dummyfunction("""COMPUTED_VALUE"""),30966721)</f>
        <v>30966721</v>
      </c>
    </row>
    <row r="324" customFormat="false" ht="15.75" hidden="false" customHeight="false" outlineLevel="0" collapsed="false">
      <c r="A324" s="6" t="n">
        <f aca="false">IFERROR(__xludf.dummyfunction("""COMPUTED_VALUE"""),44664.6666666667)</f>
        <v>44664.6666666667</v>
      </c>
      <c r="B324" s="5" t="n">
        <f aca="false">IFERROR(__xludf.dummyfunction("""COMPUTED_VALUE"""),282.73)</f>
        <v>282.73</v>
      </c>
      <c r="C324" s="5" t="n">
        <f aca="false">IFERROR(__xludf.dummyfunction("""COMPUTED_VALUE"""),288.58)</f>
        <v>288.58</v>
      </c>
      <c r="D324" s="5" t="n">
        <f aca="false">IFERROR(__xludf.dummyfunction("""COMPUTED_VALUE"""),281.3)</f>
        <v>281.3</v>
      </c>
      <c r="E324" s="5" t="n">
        <f aca="false">IFERROR(__xludf.dummyfunction("""COMPUTED_VALUE"""),287.62)</f>
        <v>287.62</v>
      </c>
      <c r="F324" s="5" t="n">
        <f aca="false">IFERROR(__xludf.dummyfunction("""COMPUTED_VALUE"""),21907176)</f>
        <v>21907176</v>
      </c>
    </row>
    <row r="325" customFormat="false" ht="15.75" hidden="false" customHeight="false" outlineLevel="0" collapsed="false">
      <c r="A325" s="6" t="n">
        <f aca="false">IFERROR(__xludf.dummyfunction("""COMPUTED_VALUE"""),44665.6666666667)</f>
        <v>44665.6666666667</v>
      </c>
      <c r="B325" s="5" t="n">
        <f aca="false">IFERROR(__xludf.dummyfunction("""COMPUTED_VALUE"""),288.09)</f>
        <v>288.09</v>
      </c>
      <c r="C325" s="5" t="n">
        <f aca="false">IFERROR(__xludf.dummyfunction("""COMPUTED_VALUE"""),288.31)</f>
        <v>288.31</v>
      </c>
      <c r="D325" s="5" t="n">
        <f aca="false">IFERROR(__xludf.dummyfunction("""COMPUTED_VALUE"""),279.32)</f>
        <v>279.32</v>
      </c>
      <c r="E325" s="5" t="n">
        <f aca="false">IFERROR(__xludf.dummyfunction("""COMPUTED_VALUE"""),279.83)</f>
        <v>279.83</v>
      </c>
      <c r="F325" s="5" t="n">
        <f aca="false">IFERROR(__xludf.dummyfunction("""COMPUTED_VALUE"""),28221607)</f>
        <v>28221607</v>
      </c>
    </row>
    <row r="326" customFormat="false" ht="15.75" hidden="false" customHeight="false" outlineLevel="0" collapsed="false">
      <c r="A326" s="6" t="n">
        <f aca="false">IFERROR(__xludf.dummyfunction("""COMPUTED_VALUE"""),44669.6666666667)</f>
        <v>44669.6666666667</v>
      </c>
      <c r="B326" s="5" t="n">
        <f aca="false">IFERROR(__xludf.dummyfunction("""COMPUTED_VALUE"""),278.91)</f>
        <v>278.91</v>
      </c>
      <c r="C326" s="5" t="n">
        <f aca="false">IFERROR(__xludf.dummyfunction("""COMPUTED_VALUE"""),282.46)</f>
        <v>282.46</v>
      </c>
      <c r="D326" s="5" t="n">
        <f aca="false">IFERROR(__xludf.dummyfunction("""COMPUTED_VALUE"""),278.34)</f>
        <v>278.34</v>
      </c>
      <c r="E326" s="5" t="n">
        <f aca="false">IFERROR(__xludf.dummyfunction("""COMPUTED_VALUE"""),280.52)</f>
        <v>280.52</v>
      </c>
      <c r="F326" s="5" t="n">
        <f aca="false">IFERROR(__xludf.dummyfunction("""COMPUTED_VALUE"""),20778000)</f>
        <v>20778000</v>
      </c>
    </row>
    <row r="327" customFormat="false" ht="15.75" hidden="false" customHeight="false" outlineLevel="0" collapsed="false">
      <c r="A327" s="6" t="n">
        <f aca="false">IFERROR(__xludf.dummyfunction("""COMPUTED_VALUE"""),44670.6666666667)</f>
        <v>44670.6666666667</v>
      </c>
      <c r="B327" s="5" t="n">
        <f aca="false">IFERROR(__xludf.dummyfunction("""COMPUTED_VALUE"""),279.38)</f>
        <v>279.38</v>
      </c>
      <c r="C327" s="5" t="n">
        <f aca="false">IFERROR(__xludf.dummyfunction("""COMPUTED_VALUE"""),286.17)</f>
        <v>286.17</v>
      </c>
      <c r="D327" s="5" t="n">
        <f aca="false">IFERROR(__xludf.dummyfunction("""COMPUTED_VALUE"""),278.41)</f>
        <v>278.41</v>
      </c>
      <c r="E327" s="5" t="n">
        <f aca="false">IFERROR(__xludf.dummyfunction("""COMPUTED_VALUE"""),285.3)</f>
        <v>285.3</v>
      </c>
      <c r="F327" s="5" t="n">
        <f aca="false">IFERROR(__xludf.dummyfunction("""COMPUTED_VALUE"""),22297720)</f>
        <v>22297720</v>
      </c>
    </row>
    <row r="328" customFormat="false" ht="15.75" hidden="false" customHeight="false" outlineLevel="0" collapsed="false">
      <c r="A328" s="6" t="n">
        <f aca="false">IFERROR(__xludf.dummyfunction("""COMPUTED_VALUE"""),44671.6666666667)</f>
        <v>44671.6666666667</v>
      </c>
      <c r="B328" s="5" t="n">
        <f aca="false">IFERROR(__xludf.dummyfunction("""COMPUTED_VALUE"""),289.4)</f>
        <v>289.4</v>
      </c>
      <c r="C328" s="5" t="n">
        <f aca="false">IFERROR(__xludf.dummyfunction("""COMPUTED_VALUE"""),289.7)</f>
        <v>289.7</v>
      </c>
      <c r="D328" s="5" t="n">
        <f aca="false">IFERROR(__xludf.dummyfunction("""COMPUTED_VALUE"""),285.37)</f>
        <v>285.37</v>
      </c>
      <c r="E328" s="5" t="n">
        <f aca="false">IFERROR(__xludf.dummyfunction("""COMPUTED_VALUE"""),286.36)</f>
        <v>286.36</v>
      </c>
      <c r="F328" s="5" t="n">
        <f aca="false">IFERROR(__xludf.dummyfunction("""COMPUTED_VALUE"""),22906667)</f>
        <v>22906667</v>
      </c>
    </row>
    <row r="329" customFormat="false" ht="15.75" hidden="false" customHeight="false" outlineLevel="0" collapsed="false">
      <c r="A329" s="6" t="n">
        <f aca="false">IFERROR(__xludf.dummyfunction("""COMPUTED_VALUE"""),44672.6666666667)</f>
        <v>44672.6666666667</v>
      </c>
      <c r="B329" s="5" t="n">
        <f aca="false">IFERROR(__xludf.dummyfunction("""COMPUTED_VALUE"""),288.58)</f>
        <v>288.58</v>
      </c>
      <c r="C329" s="5" t="n">
        <f aca="false">IFERROR(__xludf.dummyfunction("""COMPUTED_VALUE"""),293.3)</f>
        <v>293.3</v>
      </c>
      <c r="D329" s="5" t="n">
        <f aca="false">IFERROR(__xludf.dummyfunction("""COMPUTED_VALUE"""),280.06)</f>
        <v>280.06</v>
      </c>
      <c r="E329" s="5" t="n">
        <f aca="false">IFERROR(__xludf.dummyfunction("""COMPUTED_VALUE"""),280.81)</f>
        <v>280.81</v>
      </c>
      <c r="F329" s="5" t="n">
        <f aca="false">IFERROR(__xludf.dummyfunction("""COMPUTED_VALUE"""),29454587)</f>
        <v>29454587</v>
      </c>
    </row>
    <row r="330" customFormat="false" ht="15.75" hidden="false" customHeight="false" outlineLevel="0" collapsed="false">
      <c r="A330" s="6" t="n">
        <f aca="false">IFERROR(__xludf.dummyfunction("""COMPUTED_VALUE"""),44673.6666666667)</f>
        <v>44673.6666666667</v>
      </c>
      <c r="B330" s="5" t="n">
        <f aca="false">IFERROR(__xludf.dummyfunction("""COMPUTED_VALUE"""),281.68)</f>
        <v>281.68</v>
      </c>
      <c r="C330" s="5" t="n">
        <f aca="false">IFERROR(__xludf.dummyfunction("""COMPUTED_VALUE"""),283.2)</f>
        <v>283.2</v>
      </c>
      <c r="D330" s="5" t="n">
        <f aca="false">IFERROR(__xludf.dummyfunction("""COMPUTED_VALUE"""),273.38)</f>
        <v>273.38</v>
      </c>
      <c r="E330" s="5" t="n">
        <f aca="false">IFERROR(__xludf.dummyfunction("""COMPUTED_VALUE"""),274.03)</f>
        <v>274.03</v>
      </c>
      <c r="F330" s="5" t="n">
        <f aca="false">IFERROR(__xludf.dummyfunction("""COMPUTED_VALUE"""),29405798)</f>
        <v>29405798</v>
      </c>
    </row>
    <row r="331" customFormat="false" ht="15.75" hidden="false" customHeight="false" outlineLevel="0" collapsed="false">
      <c r="A331" s="6" t="n">
        <f aca="false">IFERROR(__xludf.dummyfunction("""COMPUTED_VALUE"""),44676.6666666667)</f>
        <v>44676.6666666667</v>
      </c>
      <c r="B331" s="5" t="n">
        <f aca="false">IFERROR(__xludf.dummyfunction("""COMPUTED_VALUE"""),273.29)</f>
        <v>273.29</v>
      </c>
      <c r="C331" s="5" t="n">
        <f aca="false">IFERROR(__xludf.dummyfunction("""COMPUTED_VALUE"""),281.11)</f>
        <v>281.11</v>
      </c>
      <c r="D331" s="5" t="n">
        <f aca="false">IFERROR(__xludf.dummyfunction("""COMPUTED_VALUE"""),270.77)</f>
        <v>270.77</v>
      </c>
      <c r="E331" s="5" t="n">
        <f aca="false">IFERROR(__xludf.dummyfunction("""COMPUTED_VALUE"""),280.72)</f>
        <v>280.72</v>
      </c>
      <c r="F331" s="5" t="n">
        <f aca="false">IFERROR(__xludf.dummyfunction("""COMPUTED_VALUE"""),35678852)</f>
        <v>35678852</v>
      </c>
    </row>
    <row r="332" customFormat="false" ht="15.75" hidden="false" customHeight="false" outlineLevel="0" collapsed="false">
      <c r="A332" s="6" t="n">
        <f aca="false">IFERROR(__xludf.dummyfunction("""COMPUTED_VALUE"""),44677.6666666667)</f>
        <v>44677.6666666667</v>
      </c>
      <c r="B332" s="5" t="n">
        <f aca="false">IFERROR(__xludf.dummyfunction("""COMPUTED_VALUE"""),277.5)</f>
        <v>277.5</v>
      </c>
      <c r="C332" s="5" t="n">
        <f aca="false">IFERROR(__xludf.dummyfunction("""COMPUTED_VALUE"""),278.36)</f>
        <v>278.36</v>
      </c>
      <c r="D332" s="5" t="n">
        <f aca="false">IFERROR(__xludf.dummyfunction("""COMPUTED_VALUE"""),270)</f>
        <v>270</v>
      </c>
      <c r="E332" s="5" t="n">
        <f aca="false">IFERROR(__xludf.dummyfunction("""COMPUTED_VALUE"""),270.22)</f>
        <v>270.22</v>
      </c>
      <c r="F332" s="5" t="n">
        <f aca="false">IFERROR(__xludf.dummyfunction("""COMPUTED_VALUE"""),46518445)</f>
        <v>46518445</v>
      </c>
    </row>
    <row r="333" customFormat="false" ht="15.75" hidden="false" customHeight="false" outlineLevel="0" collapsed="false">
      <c r="A333" s="6" t="n">
        <f aca="false">IFERROR(__xludf.dummyfunction("""COMPUTED_VALUE"""),44678.6666666667)</f>
        <v>44678.6666666667</v>
      </c>
      <c r="B333" s="5" t="n">
        <f aca="false">IFERROR(__xludf.dummyfunction("""COMPUTED_VALUE"""),282.1)</f>
        <v>282.1</v>
      </c>
      <c r="C333" s="5" t="n">
        <f aca="false">IFERROR(__xludf.dummyfunction("""COMPUTED_VALUE"""),290.97)</f>
        <v>290.97</v>
      </c>
      <c r="D333" s="5" t="n">
        <f aca="false">IFERROR(__xludf.dummyfunction("""COMPUTED_VALUE"""),279.16)</f>
        <v>279.16</v>
      </c>
      <c r="E333" s="5" t="n">
        <f aca="false">IFERROR(__xludf.dummyfunction("""COMPUTED_VALUE"""),283.22)</f>
        <v>283.22</v>
      </c>
      <c r="F333" s="5" t="n">
        <f aca="false">IFERROR(__xludf.dummyfunction("""COMPUTED_VALUE"""),63477694)</f>
        <v>63477694</v>
      </c>
    </row>
    <row r="334" customFormat="false" ht="15.75" hidden="false" customHeight="false" outlineLevel="0" collapsed="false">
      <c r="A334" s="6" t="n">
        <f aca="false">IFERROR(__xludf.dummyfunction("""COMPUTED_VALUE"""),44679.6666666667)</f>
        <v>44679.6666666667</v>
      </c>
      <c r="B334" s="5" t="n">
        <f aca="false">IFERROR(__xludf.dummyfunction("""COMPUTED_VALUE"""),285.19)</f>
        <v>285.19</v>
      </c>
      <c r="C334" s="5" t="n">
        <f aca="false">IFERROR(__xludf.dummyfunction("""COMPUTED_VALUE"""),290.98)</f>
        <v>290.98</v>
      </c>
      <c r="D334" s="5" t="n">
        <f aca="false">IFERROR(__xludf.dummyfunction("""COMPUTED_VALUE"""),281.46)</f>
        <v>281.46</v>
      </c>
      <c r="E334" s="5" t="n">
        <f aca="false">IFERROR(__xludf.dummyfunction("""COMPUTED_VALUE"""),289.63)</f>
        <v>289.63</v>
      </c>
      <c r="F334" s="5" t="n">
        <f aca="false">IFERROR(__xludf.dummyfunction("""COMPUTED_VALUE"""),33646570)</f>
        <v>33646570</v>
      </c>
    </row>
    <row r="335" customFormat="false" ht="15.75" hidden="false" customHeight="false" outlineLevel="0" collapsed="false">
      <c r="A335" s="6" t="n">
        <f aca="false">IFERROR(__xludf.dummyfunction("""COMPUTED_VALUE"""),44680.6666666667)</f>
        <v>44680.6666666667</v>
      </c>
      <c r="B335" s="5" t="n">
        <f aca="false">IFERROR(__xludf.dummyfunction("""COMPUTED_VALUE"""),288.61)</f>
        <v>288.61</v>
      </c>
      <c r="C335" s="5" t="n">
        <f aca="false">IFERROR(__xludf.dummyfunction("""COMPUTED_VALUE"""),289.88)</f>
        <v>289.88</v>
      </c>
      <c r="D335" s="5" t="n">
        <f aca="false">IFERROR(__xludf.dummyfunction("""COMPUTED_VALUE"""),276.5)</f>
        <v>276.5</v>
      </c>
      <c r="E335" s="5" t="n">
        <f aca="false">IFERROR(__xludf.dummyfunction("""COMPUTED_VALUE"""),277.52)</f>
        <v>277.52</v>
      </c>
      <c r="F335" s="5" t="n">
        <f aca="false">IFERROR(__xludf.dummyfunction("""COMPUTED_VALUE"""),37073923)</f>
        <v>37073923</v>
      </c>
    </row>
    <row r="336" customFormat="false" ht="15.75" hidden="false" customHeight="false" outlineLevel="0" collapsed="false">
      <c r="A336" s="6" t="n">
        <f aca="false">IFERROR(__xludf.dummyfunction("""COMPUTED_VALUE"""),44683.6666666667)</f>
        <v>44683.6666666667</v>
      </c>
      <c r="B336" s="5" t="n">
        <f aca="false">IFERROR(__xludf.dummyfunction("""COMPUTED_VALUE"""),277.71)</f>
        <v>277.71</v>
      </c>
      <c r="C336" s="5" t="n">
        <f aca="false">IFERROR(__xludf.dummyfunction("""COMPUTED_VALUE"""),284.94)</f>
        <v>284.94</v>
      </c>
      <c r="D336" s="5" t="n">
        <f aca="false">IFERROR(__xludf.dummyfunction("""COMPUTED_VALUE"""),276.22)</f>
        <v>276.22</v>
      </c>
      <c r="E336" s="5" t="n">
        <f aca="false">IFERROR(__xludf.dummyfunction("""COMPUTED_VALUE"""),284.47)</f>
        <v>284.47</v>
      </c>
      <c r="F336" s="5" t="n">
        <f aca="false">IFERROR(__xludf.dummyfunction("""COMPUTED_VALUE"""),35151105)</f>
        <v>35151105</v>
      </c>
    </row>
    <row r="337" customFormat="false" ht="15.75" hidden="false" customHeight="false" outlineLevel="0" collapsed="false">
      <c r="A337" s="6" t="n">
        <f aca="false">IFERROR(__xludf.dummyfunction("""COMPUTED_VALUE"""),44684.6666666667)</f>
        <v>44684.6666666667</v>
      </c>
      <c r="B337" s="5" t="n">
        <f aca="false">IFERROR(__xludf.dummyfunction("""COMPUTED_VALUE"""),283.96)</f>
        <v>283.96</v>
      </c>
      <c r="C337" s="5" t="n">
        <f aca="false">IFERROR(__xludf.dummyfunction("""COMPUTED_VALUE"""),284.13)</f>
        <v>284.13</v>
      </c>
      <c r="D337" s="5" t="n">
        <f aca="false">IFERROR(__xludf.dummyfunction("""COMPUTED_VALUE"""),280.15)</f>
        <v>280.15</v>
      </c>
      <c r="E337" s="5" t="n">
        <f aca="false">IFERROR(__xludf.dummyfunction("""COMPUTED_VALUE"""),281.78)</f>
        <v>281.78</v>
      </c>
      <c r="F337" s="5" t="n">
        <f aca="false">IFERROR(__xludf.dummyfunction("""COMPUTED_VALUE"""),25978605)</f>
        <v>25978605</v>
      </c>
    </row>
    <row r="338" customFormat="false" ht="15.75" hidden="false" customHeight="false" outlineLevel="0" collapsed="false">
      <c r="A338" s="6" t="n">
        <f aca="false">IFERROR(__xludf.dummyfunction("""COMPUTED_VALUE"""),44685.6666666667)</f>
        <v>44685.6666666667</v>
      </c>
      <c r="B338" s="5" t="n">
        <f aca="false">IFERROR(__xludf.dummyfunction("""COMPUTED_VALUE"""),282.59)</f>
        <v>282.59</v>
      </c>
      <c r="C338" s="5" t="n">
        <f aca="false">IFERROR(__xludf.dummyfunction("""COMPUTED_VALUE"""),290.88)</f>
        <v>290.88</v>
      </c>
      <c r="D338" s="5" t="n">
        <f aca="false">IFERROR(__xludf.dummyfunction("""COMPUTED_VALUE"""),276.73)</f>
        <v>276.73</v>
      </c>
      <c r="E338" s="5" t="n">
        <f aca="false">IFERROR(__xludf.dummyfunction("""COMPUTED_VALUE"""),289.98)</f>
        <v>289.98</v>
      </c>
      <c r="F338" s="5" t="n">
        <f aca="false">IFERROR(__xludf.dummyfunction("""COMPUTED_VALUE"""),33599320)</f>
        <v>33599320</v>
      </c>
    </row>
    <row r="339" customFormat="false" ht="15.75" hidden="false" customHeight="false" outlineLevel="0" collapsed="false">
      <c r="A339" s="6" t="n">
        <f aca="false">IFERROR(__xludf.dummyfunction("""COMPUTED_VALUE"""),44686.6666666667)</f>
        <v>44686.6666666667</v>
      </c>
      <c r="B339" s="5" t="n">
        <f aca="false">IFERROR(__xludf.dummyfunction("""COMPUTED_VALUE"""),285.54)</f>
        <v>285.54</v>
      </c>
      <c r="C339" s="5" t="n">
        <f aca="false">IFERROR(__xludf.dummyfunction("""COMPUTED_VALUE"""),286.35)</f>
        <v>286.35</v>
      </c>
      <c r="D339" s="5" t="n">
        <f aca="false">IFERROR(__xludf.dummyfunction("""COMPUTED_VALUE"""),274.34)</f>
        <v>274.34</v>
      </c>
      <c r="E339" s="5" t="n">
        <f aca="false">IFERROR(__xludf.dummyfunction("""COMPUTED_VALUE"""),277.35)</f>
        <v>277.35</v>
      </c>
      <c r="F339" s="5" t="n">
        <f aca="false">IFERROR(__xludf.dummyfunction("""COMPUTED_VALUE"""),43260386)</f>
        <v>43260386</v>
      </c>
    </row>
    <row r="340" customFormat="false" ht="15.75" hidden="false" customHeight="false" outlineLevel="0" collapsed="false">
      <c r="A340" s="6" t="n">
        <f aca="false">IFERROR(__xludf.dummyfunction("""COMPUTED_VALUE"""),44687.6666666667)</f>
        <v>44687.6666666667</v>
      </c>
      <c r="B340" s="5" t="n">
        <f aca="false">IFERROR(__xludf.dummyfunction("""COMPUTED_VALUE"""),274.81)</f>
        <v>274.81</v>
      </c>
      <c r="C340" s="5" t="n">
        <f aca="false">IFERROR(__xludf.dummyfunction("""COMPUTED_VALUE"""),279.25)</f>
        <v>279.25</v>
      </c>
      <c r="D340" s="5" t="n">
        <f aca="false">IFERROR(__xludf.dummyfunction("""COMPUTED_VALUE"""),271.27)</f>
        <v>271.27</v>
      </c>
      <c r="E340" s="5" t="n">
        <f aca="false">IFERROR(__xludf.dummyfunction("""COMPUTED_VALUE"""),274.73)</f>
        <v>274.73</v>
      </c>
      <c r="F340" s="5" t="n">
        <f aca="false">IFERROR(__xludf.dummyfunction("""COMPUTED_VALUE"""),37780322)</f>
        <v>37780322</v>
      </c>
    </row>
    <row r="341" customFormat="false" ht="15.75" hidden="false" customHeight="false" outlineLevel="0" collapsed="false">
      <c r="A341" s="6" t="n">
        <f aca="false">IFERROR(__xludf.dummyfunction("""COMPUTED_VALUE"""),44690.6666666667)</f>
        <v>44690.6666666667</v>
      </c>
      <c r="B341" s="5" t="n">
        <f aca="false">IFERROR(__xludf.dummyfunction("""COMPUTED_VALUE"""),270.06)</f>
        <v>270.06</v>
      </c>
      <c r="C341" s="5" t="n">
        <f aca="false">IFERROR(__xludf.dummyfunction("""COMPUTED_VALUE"""),272.36)</f>
        <v>272.36</v>
      </c>
      <c r="D341" s="5" t="n">
        <f aca="false">IFERROR(__xludf.dummyfunction("""COMPUTED_VALUE"""),263.32)</f>
        <v>263.32</v>
      </c>
      <c r="E341" s="5" t="n">
        <f aca="false">IFERROR(__xludf.dummyfunction("""COMPUTED_VALUE"""),264.58)</f>
        <v>264.58</v>
      </c>
      <c r="F341" s="5" t="n">
        <f aca="false">IFERROR(__xludf.dummyfunction("""COMPUTED_VALUE"""),47725952)</f>
        <v>47725952</v>
      </c>
    </row>
    <row r="342" customFormat="false" ht="15.75" hidden="false" customHeight="false" outlineLevel="0" collapsed="false">
      <c r="A342" s="6" t="n">
        <f aca="false">IFERROR(__xludf.dummyfunction("""COMPUTED_VALUE"""),44691.6666666667)</f>
        <v>44691.6666666667</v>
      </c>
      <c r="B342" s="5" t="n">
        <f aca="false">IFERROR(__xludf.dummyfunction("""COMPUTED_VALUE"""),271.69)</f>
        <v>271.69</v>
      </c>
      <c r="C342" s="5" t="n">
        <f aca="false">IFERROR(__xludf.dummyfunction("""COMPUTED_VALUE"""),273.75)</f>
        <v>273.75</v>
      </c>
      <c r="D342" s="5" t="n">
        <f aca="false">IFERROR(__xludf.dummyfunction("""COMPUTED_VALUE"""),265.07)</f>
        <v>265.07</v>
      </c>
      <c r="E342" s="5" t="n">
        <f aca="false">IFERROR(__xludf.dummyfunction("""COMPUTED_VALUE"""),269.5)</f>
        <v>269.5</v>
      </c>
      <c r="F342" s="5" t="n">
        <f aca="false">IFERROR(__xludf.dummyfunction("""COMPUTED_VALUE"""),39336424)</f>
        <v>39336424</v>
      </c>
    </row>
    <row r="343" customFormat="false" ht="15.75" hidden="false" customHeight="false" outlineLevel="0" collapsed="false">
      <c r="A343" s="6" t="n">
        <f aca="false">IFERROR(__xludf.dummyfunction("""COMPUTED_VALUE"""),44692.6666666667)</f>
        <v>44692.6666666667</v>
      </c>
      <c r="B343" s="5" t="n">
        <f aca="false">IFERROR(__xludf.dummyfunction("""COMPUTED_VALUE"""),265.68)</f>
        <v>265.68</v>
      </c>
      <c r="C343" s="5" t="n">
        <f aca="false">IFERROR(__xludf.dummyfunction("""COMPUTED_VALUE"""),271.36)</f>
        <v>271.36</v>
      </c>
      <c r="D343" s="5" t="n">
        <f aca="false">IFERROR(__xludf.dummyfunction("""COMPUTED_VALUE"""),259.3)</f>
        <v>259.3</v>
      </c>
      <c r="E343" s="5" t="n">
        <f aca="false">IFERROR(__xludf.dummyfunction("""COMPUTED_VALUE"""),260.55)</f>
        <v>260.55</v>
      </c>
      <c r="F343" s="5" t="n">
        <f aca="false">IFERROR(__xludf.dummyfunction("""COMPUTED_VALUE"""),48975898)</f>
        <v>48975898</v>
      </c>
    </row>
    <row r="344" customFormat="false" ht="15.75" hidden="false" customHeight="false" outlineLevel="0" collapsed="false">
      <c r="A344" s="6" t="n">
        <f aca="false">IFERROR(__xludf.dummyfunction("""COMPUTED_VALUE"""),44693.6666666667)</f>
        <v>44693.6666666667</v>
      </c>
      <c r="B344" s="5" t="n">
        <f aca="false">IFERROR(__xludf.dummyfunction("""COMPUTED_VALUE"""),257.69)</f>
        <v>257.69</v>
      </c>
      <c r="C344" s="5" t="n">
        <f aca="false">IFERROR(__xludf.dummyfunction("""COMPUTED_VALUE"""),259.88)</f>
        <v>259.88</v>
      </c>
      <c r="D344" s="5" t="n">
        <f aca="false">IFERROR(__xludf.dummyfunction("""COMPUTED_VALUE"""),250.02)</f>
        <v>250.02</v>
      </c>
      <c r="E344" s="5" t="n">
        <f aca="false">IFERROR(__xludf.dummyfunction("""COMPUTED_VALUE"""),255.35)</f>
        <v>255.35</v>
      </c>
      <c r="F344" s="5" t="n">
        <f aca="false">IFERROR(__xludf.dummyfunction("""COMPUTED_VALUE"""),51033802)</f>
        <v>51033802</v>
      </c>
    </row>
    <row r="345" customFormat="false" ht="15.75" hidden="false" customHeight="false" outlineLevel="0" collapsed="false">
      <c r="A345" s="6" t="n">
        <f aca="false">IFERROR(__xludf.dummyfunction("""COMPUTED_VALUE"""),44694.6666666667)</f>
        <v>44694.6666666667</v>
      </c>
      <c r="B345" s="5" t="n">
        <f aca="false">IFERROR(__xludf.dummyfunction("""COMPUTED_VALUE"""),257.35)</f>
        <v>257.35</v>
      </c>
      <c r="C345" s="5" t="n">
        <f aca="false">IFERROR(__xludf.dummyfunction("""COMPUTED_VALUE"""),263.04)</f>
        <v>263.04</v>
      </c>
      <c r="D345" s="5" t="n">
        <f aca="false">IFERROR(__xludf.dummyfunction("""COMPUTED_VALUE"""),255.35)</f>
        <v>255.35</v>
      </c>
      <c r="E345" s="5" t="n">
        <f aca="false">IFERROR(__xludf.dummyfunction("""COMPUTED_VALUE"""),261.12)</f>
        <v>261.12</v>
      </c>
      <c r="F345" s="5" t="n">
        <f aca="false">IFERROR(__xludf.dummyfunction("""COMPUTED_VALUE"""),34925093)</f>
        <v>34925093</v>
      </c>
    </row>
    <row r="346" customFormat="false" ht="15.75" hidden="false" customHeight="false" outlineLevel="0" collapsed="false">
      <c r="A346" s="6" t="n">
        <f aca="false">IFERROR(__xludf.dummyfunction("""COMPUTED_VALUE"""),44697.6666666667)</f>
        <v>44697.6666666667</v>
      </c>
      <c r="B346" s="5" t="n">
        <f aca="false">IFERROR(__xludf.dummyfunction("""COMPUTED_VALUE"""),259.96)</f>
        <v>259.96</v>
      </c>
      <c r="C346" s="5" t="n">
        <f aca="false">IFERROR(__xludf.dummyfunction("""COMPUTED_VALUE"""),265.82)</f>
        <v>265.82</v>
      </c>
      <c r="D346" s="5" t="n">
        <f aca="false">IFERROR(__xludf.dummyfunction("""COMPUTED_VALUE"""),255.78)</f>
        <v>255.78</v>
      </c>
      <c r="E346" s="5" t="n">
        <f aca="false">IFERROR(__xludf.dummyfunction("""COMPUTED_VALUE"""),261.5)</f>
        <v>261.5</v>
      </c>
      <c r="F346" s="5" t="n">
        <f aca="false">IFERROR(__xludf.dummyfunction("""COMPUTED_VALUE"""),32550933)</f>
        <v>32550933</v>
      </c>
    </row>
    <row r="347" customFormat="false" ht="15.75" hidden="false" customHeight="false" outlineLevel="0" collapsed="false">
      <c r="A347" s="6" t="n">
        <f aca="false">IFERROR(__xludf.dummyfunction("""COMPUTED_VALUE"""),44698.6666666667)</f>
        <v>44698.6666666667</v>
      </c>
      <c r="B347" s="5" t="n">
        <f aca="false">IFERROR(__xludf.dummyfunction("""COMPUTED_VALUE"""),266.11)</f>
        <v>266.11</v>
      </c>
      <c r="C347" s="5" t="n">
        <f aca="false">IFERROR(__xludf.dummyfunction("""COMPUTED_VALUE"""),268.33)</f>
        <v>268.33</v>
      </c>
      <c r="D347" s="5" t="n">
        <f aca="false">IFERROR(__xludf.dummyfunction("""COMPUTED_VALUE"""),262.46)</f>
        <v>262.46</v>
      </c>
      <c r="E347" s="5" t="n">
        <f aca="false">IFERROR(__xludf.dummyfunction("""COMPUTED_VALUE"""),266.82)</f>
        <v>266.82</v>
      </c>
      <c r="F347" s="5" t="n">
        <f aca="false">IFERROR(__xludf.dummyfunction("""COMPUTED_VALUE"""),28828799)</f>
        <v>28828799</v>
      </c>
    </row>
    <row r="348" customFormat="false" ht="15.75" hidden="false" customHeight="false" outlineLevel="0" collapsed="false">
      <c r="A348" s="6" t="n">
        <f aca="false">IFERROR(__xludf.dummyfunction("""COMPUTED_VALUE"""),44699.6666666667)</f>
        <v>44699.6666666667</v>
      </c>
      <c r="B348" s="5" t="n">
        <f aca="false">IFERROR(__xludf.dummyfunction("""COMPUTED_VALUE"""),263)</f>
        <v>263</v>
      </c>
      <c r="C348" s="5" t="n">
        <f aca="false">IFERROR(__xludf.dummyfunction("""COMPUTED_VALUE"""),263.6)</f>
        <v>263.6</v>
      </c>
      <c r="D348" s="5" t="n">
        <f aca="false">IFERROR(__xludf.dummyfunction("""COMPUTED_VALUE"""),252.77)</f>
        <v>252.77</v>
      </c>
      <c r="E348" s="5" t="n">
        <f aca="false">IFERROR(__xludf.dummyfunction("""COMPUTED_VALUE"""),254.08)</f>
        <v>254.08</v>
      </c>
      <c r="F348" s="5" t="n">
        <f aca="false">IFERROR(__xludf.dummyfunction("""COMPUTED_VALUE"""),31355985)</f>
        <v>31355985</v>
      </c>
    </row>
    <row r="349" customFormat="false" ht="15.75" hidden="false" customHeight="false" outlineLevel="0" collapsed="false">
      <c r="A349" s="6" t="n">
        <f aca="false">IFERROR(__xludf.dummyfunction("""COMPUTED_VALUE"""),44700.6666666667)</f>
        <v>44700.6666666667</v>
      </c>
      <c r="B349" s="5" t="n">
        <f aca="false">IFERROR(__xludf.dummyfunction("""COMPUTED_VALUE"""),253.9)</f>
        <v>253.9</v>
      </c>
      <c r="C349" s="5" t="n">
        <f aca="false">IFERROR(__xludf.dummyfunction("""COMPUTED_VALUE"""),257.67)</f>
        <v>257.67</v>
      </c>
      <c r="D349" s="5" t="n">
        <f aca="false">IFERROR(__xludf.dummyfunction("""COMPUTED_VALUE"""),251.88)</f>
        <v>251.88</v>
      </c>
      <c r="E349" s="5" t="n">
        <f aca="false">IFERROR(__xludf.dummyfunction("""COMPUTED_VALUE"""),253.14)</f>
        <v>253.14</v>
      </c>
      <c r="F349" s="5" t="n">
        <f aca="false">IFERROR(__xludf.dummyfunction("""COMPUTED_VALUE"""),32692286)</f>
        <v>32692286</v>
      </c>
    </row>
    <row r="350" customFormat="false" ht="15.75" hidden="false" customHeight="false" outlineLevel="0" collapsed="false">
      <c r="A350" s="6" t="n">
        <f aca="false">IFERROR(__xludf.dummyfunction("""COMPUTED_VALUE"""),44701.6666666667)</f>
        <v>44701.6666666667</v>
      </c>
      <c r="B350" s="5" t="n">
        <f aca="false">IFERROR(__xludf.dummyfunction("""COMPUTED_VALUE"""),257.24)</f>
        <v>257.24</v>
      </c>
      <c r="C350" s="5" t="n">
        <f aca="false">IFERROR(__xludf.dummyfunction("""COMPUTED_VALUE"""),258.54)</f>
        <v>258.54</v>
      </c>
      <c r="D350" s="5" t="n">
        <f aca="false">IFERROR(__xludf.dummyfunction("""COMPUTED_VALUE"""),246.44)</f>
        <v>246.44</v>
      </c>
      <c r="E350" s="5" t="n">
        <f aca="false">IFERROR(__xludf.dummyfunction("""COMPUTED_VALUE"""),252.56)</f>
        <v>252.56</v>
      </c>
      <c r="F350" s="5" t="n">
        <f aca="false">IFERROR(__xludf.dummyfunction("""COMPUTED_VALUE"""),39199279)</f>
        <v>39199279</v>
      </c>
    </row>
    <row r="351" customFormat="false" ht="15.75" hidden="false" customHeight="false" outlineLevel="0" collapsed="false">
      <c r="A351" s="6" t="n">
        <f aca="false">IFERROR(__xludf.dummyfunction("""COMPUTED_VALUE"""),44704.6666666667)</f>
        <v>44704.6666666667</v>
      </c>
      <c r="B351" s="5" t="n">
        <f aca="false">IFERROR(__xludf.dummyfunction("""COMPUTED_VALUE"""),255.49)</f>
        <v>255.49</v>
      </c>
      <c r="C351" s="5" t="n">
        <f aca="false">IFERROR(__xludf.dummyfunction("""COMPUTED_VALUE"""),261.5)</f>
        <v>261.5</v>
      </c>
      <c r="D351" s="5" t="n">
        <f aca="false">IFERROR(__xludf.dummyfunction("""COMPUTED_VALUE"""),253.43)</f>
        <v>253.43</v>
      </c>
      <c r="E351" s="5" t="n">
        <f aca="false">IFERROR(__xludf.dummyfunction("""COMPUTED_VALUE"""),260.65)</f>
        <v>260.65</v>
      </c>
      <c r="F351" s="5" t="n">
        <f aca="false">IFERROR(__xludf.dummyfunction("""COMPUTED_VALUE"""),33175379)</f>
        <v>33175379</v>
      </c>
    </row>
    <row r="352" customFormat="false" ht="15.75" hidden="false" customHeight="false" outlineLevel="0" collapsed="false">
      <c r="A352" s="6" t="n">
        <f aca="false">IFERROR(__xludf.dummyfunction("""COMPUTED_VALUE"""),44705.6666666667)</f>
        <v>44705.6666666667</v>
      </c>
      <c r="B352" s="5" t="n">
        <f aca="false">IFERROR(__xludf.dummyfunction("""COMPUTED_VALUE"""),257.89)</f>
        <v>257.89</v>
      </c>
      <c r="C352" s="5" t="n">
        <f aca="false">IFERROR(__xludf.dummyfunction("""COMPUTED_VALUE"""),261.33)</f>
        <v>261.33</v>
      </c>
      <c r="D352" s="5" t="n">
        <f aca="false">IFERROR(__xludf.dummyfunction("""COMPUTED_VALUE"""),253.5)</f>
        <v>253.5</v>
      </c>
      <c r="E352" s="5" t="n">
        <f aca="false">IFERROR(__xludf.dummyfunction("""COMPUTED_VALUE"""),259.62)</f>
        <v>259.62</v>
      </c>
      <c r="F352" s="5" t="n">
        <f aca="false">IFERROR(__xludf.dummyfunction("""COMPUTED_VALUE"""),29043904)</f>
        <v>29043904</v>
      </c>
    </row>
    <row r="353" customFormat="false" ht="15.75" hidden="false" customHeight="false" outlineLevel="0" collapsed="false">
      <c r="A353" s="6" t="n">
        <f aca="false">IFERROR(__xludf.dummyfunction("""COMPUTED_VALUE"""),44706.6666666667)</f>
        <v>44706.6666666667</v>
      </c>
      <c r="B353" s="5" t="n">
        <f aca="false">IFERROR(__xludf.dummyfunction("""COMPUTED_VALUE"""),258.14)</f>
        <v>258.14</v>
      </c>
      <c r="C353" s="5" t="n">
        <f aca="false">IFERROR(__xludf.dummyfunction("""COMPUTED_VALUE"""),264.58)</f>
        <v>264.58</v>
      </c>
      <c r="D353" s="5" t="n">
        <f aca="false">IFERROR(__xludf.dummyfunction("""COMPUTED_VALUE"""),257.13)</f>
        <v>257.13</v>
      </c>
      <c r="E353" s="5" t="n">
        <f aca="false">IFERROR(__xludf.dummyfunction("""COMPUTED_VALUE"""),262.52)</f>
        <v>262.52</v>
      </c>
      <c r="F353" s="5" t="n">
        <f aca="false">IFERROR(__xludf.dummyfunction("""COMPUTED_VALUE"""),28547947)</f>
        <v>28547947</v>
      </c>
    </row>
    <row r="354" customFormat="false" ht="15.75" hidden="false" customHeight="false" outlineLevel="0" collapsed="false">
      <c r="A354" s="6" t="n">
        <f aca="false">IFERROR(__xludf.dummyfunction("""COMPUTED_VALUE"""),44707.6666666667)</f>
        <v>44707.6666666667</v>
      </c>
      <c r="B354" s="5" t="n">
        <f aca="false">IFERROR(__xludf.dummyfunction("""COMPUTED_VALUE"""),262.27)</f>
        <v>262.27</v>
      </c>
      <c r="C354" s="5" t="n">
        <f aca="false">IFERROR(__xludf.dummyfunction("""COMPUTED_VALUE"""),267.11)</f>
        <v>267.11</v>
      </c>
      <c r="D354" s="5" t="n">
        <f aca="false">IFERROR(__xludf.dummyfunction("""COMPUTED_VALUE"""),261.43)</f>
        <v>261.43</v>
      </c>
      <c r="E354" s="5" t="n">
        <f aca="false">IFERROR(__xludf.dummyfunction("""COMPUTED_VALUE"""),265.9)</f>
        <v>265.9</v>
      </c>
      <c r="F354" s="5" t="n">
        <f aca="false">IFERROR(__xludf.dummyfunction("""COMPUTED_VALUE"""),25002105)</f>
        <v>25002105</v>
      </c>
    </row>
    <row r="355" customFormat="false" ht="15.75" hidden="false" customHeight="false" outlineLevel="0" collapsed="false">
      <c r="A355" s="6" t="n">
        <f aca="false">IFERROR(__xludf.dummyfunction("""COMPUTED_VALUE"""),44708.6666666667)</f>
        <v>44708.6666666667</v>
      </c>
      <c r="B355" s="5" t="n">
        <f aca="false">IFERROR(__xludf.dummyfunction("""COMPUTED_VALUE"""),268.48)</f>
        <v>268.48</v>
      </c>
      <c r="C355" s="5" t="n">
        <f aca="false">IFERROR(__xludf.dummyfunction("""COMPUTED_VALUE"""),273.34)</f>
        <v>273.34</v>
      </c>
      <c r="D355" s="5" t="n">
        <f aca="false">IFERROR(__xludf.dummyfunction("""COMPUTED_VALUE"""),267.56)</f>
        <v>267.56</v>
      </c>
      <c r="E355" s="5" t="n">
        <f aca="false">IFERROR(__xludf.dummyfunction("""COMPUTED_VALUE"""),273.24)</f>
        <v>273.24</v>
      </c>
      <c r="F355" s="5" t="n">
        <f aca="false">IFERROR(__xludf.dummyfunction("""COMPUTED_VALUE"""),26910806)</f>
        <v>26910806</v>
      </c>
    </row>
    <row r="356" customFormat="false" ht="15.75" hidden="false" customHeight="false" outlineLevel="0" collapsed="false">
      <c r="A356" s="6" t="n">
        <f aca="false">IFERROR(__xludf.dummyfunction("""COMPUTED_VALUE"""),44712.6666666667)</f>
        <v>44712.6666666667</v>
      </c>
      <c r="B356" s="5" t="n">
        <f aca="false">IFERROR(__xludf.dummyfunction("""COMPUTED_VALUE"""),272.53)</f>
        <v>272.53</v>
      </c>
      <c r="C356" s="5" t="n">
        <f aca="false">IFERROR(__xludf.dummyfunction("""COMPUTED_VALUE"""),274.77)</f>
        <v>274.77</v>
      </c>
      <c r="D356" s="5" t="n">
        <f aca="false">IFERROR(__xludf.dummyfunction("""COMPUTED_VALUE"""),268.93)</f>
        <v>268.93</v>
      </c>
      <c r="E356" s="5" t="n">
        <f aca="false">IFERROR(__xludf.dummyfunction("""COMPUTED_VALUE"""),271.87)</f>
        <v>271.87</v>
      </c>
      <c r="F356" s="5" t="n">
        <f aca="false">IFERROR(__xludf.dummyfunction("""COMPUTED_VALUE"""),37827695)</f>
        <v>37827695</v>
      </c>
    </row>
    <row r="357" customFormat="false" ht="15.75" hidden="false" customHeight="false" outlineLevel="0" collapsed="false">
      <c r="A357" s="6" t="n">
        <f aca="false">IFERROR(__xludf.dummyfunction("""COMPUTED_VALUE"""),44713.6666666667)</f>
        <v>44713.6666666667</v>
      </c>
      <c r="B357" s="5" t="n">
        <f aca="false">IFERROR(__xludf.dummyfunction("""COMPUTED_VALUE"""),275.2)</f>
        <v>275.2</v>
      </c>
      <c r="C357" s="5" t="n">
        <f aca="false">IFERROR(__xludf.dummyfunction("""COMPUTED_VALUE"""),277.69)</f>
        <v>277.69</v>
      </c>
      <c r="D357" s="5" t="n">
        <f aca="false">IFERROR(__xludf.dummyfunction("""COMPUTED_VALUE"""),270.04)</f>
        <v>270.04</v>
      </c>
      <c r="E357" s="5" t="n">
        <f aca="false">IFERROR(__xludf.dummyfunction("""COMPUTED_VALUE"""),272.42)</f>
        <v>272.42</v>
      </c>
      <c r="F357" s="5" t="n">
        <f aca="false">IFERROR(__xludf.dummyfunction("""COMPUTED_VALUE"""),25292174)</f>
        <v>25292174</v>
      </c>
    </row>
    <row r="358" customFormat="false" ht="15.75" hidden="false" customHeight="false" outlineLevel="0" collapsed="false">
      <c r="A358" s="6" t="n">
        <f aca="false">IFERROR(__xludf.dummyfunction("""COMPUTED_VALUE"""),44714.6666666667)</f>
        <v>44714.6666666667</v>
      </c>
      <c r="B358" s="5" t="n">
        <f aca="false">IFERROR(__xludf.dummyfunction("""COMPUTED_VALUE"""),264.45)</f>
        <v>264.45</v>
      </c>
      <c r="C358" s="5" t="n">
        <f aca="false">IFERROR(__xludf.dummyfunction("""COMPUTED_VALUE"""),274.65)</f>
        <v>274.65</v>
      </c>
      <c r="D358" s="5" t="n">
        <f aca="false">IFERROR(__xludf.dummyfunction("""COMPUTED_VALUE"""),261.6)</f>
        <v>261.6</v>
      </c>
      <c r="E358" s="5" t="n">
        <f aca="false">IFERROR(__xludf.dummyfunction("""COMPUTED_VALUE"""),274.58)</f>
        <v>274.58</v>
      </c>
      <c r="F358" s="5" t="n">
        <f aca="false">IFERROR(__xludf.dummyfunction("""COMPUTED_VALUE"""),44008209)</f>
        <v>44008209</v>
      </c>
    </row>
    <row r="359" customFormat="false" ht="15.75" hidden="false" customHeight="false" outlineLevel="0" collapsed="false">
      <c r="A359" s="6" t="n">
        <f aca="false">IFERROR(__xludf.dummyfunction("""COMPUTED_VALUE"""),44715.6666666667)</f>
        <v>44715.6666666667</v>
      </c>
      <c r="B359" s="5" t="n">
        <f aca="false">IFERROR(__xludf.dummyfunction("""COMPUTED_VALUE"""),270.31)</f>
        <v>270.31</v>
      </c>
      <c r="C359" s="5" t="n">
        <f aca="false">IFERROR(__xludf.dummyfunction("""COMPUTED_VALUE"""),273.45)</f>
        <v>273.45</v>
      </c>
      <c r="D359" s="5" t="n">
        <f aca="false">IFERROR(__xludf.dummyfunction("""COMPUTED_VALUE"""),268.41)</f>
        <v>268.41</v>
      </c>
      <c r="E359" s="5" t="n">
        <f aca="false">IFERROR(__xludf.dummyfunction("""COMPUTED_VALUE"""),270.02)</f>
        <v>270.02</v>
      </c>
      <c r="F359" s="5" t="n">
        <f aca="false">IFERROR(__xludf.dummyfunction("""COMPUTED_VALUE"""),28058958)</f>
        <v>28058958</v>
      </c>
    </row>
    <row r="360" customFormat="false" ht="15.75" hidden="false" customHeight="false" outlineLevel="0" collapsed="false">
      <c r="A360" s="6" t="n">
        <f aca="false">IFERROR(__xludf.dummyfunction("""COMPUTED_VALUE"""),44718.6666666667)</f>
        <v>44718.6666666667</v>
      </c>
      <c r="B360" s="5" t="n">
        <f aca="false">IFERROR(__xludf.dummyfunction("""COMPUTED_VALUE"""),272.06)</f>
        <v>272.06</v>
      </c>
      <c r="C360" s="5" t="n">
        <f aca="false">IFERROR(__xludf.dummyfunction("""COMPUTED_VALUE"""),274.18)</f>
        <v>274.18</v>
      </c>
      <c r="D360" s="5" t="n">
        <f aca="false">IFERROR(__xludf.dummyfunction("""COMPUTED_VALUE"""),267.22)</f>
        <v>267.22</v>
      </c>
      <c r="E360" s="5" t="n">
        <f aca="false">IFERROR(__xludf.dummyfunction("""COMPUTED_VALUE"""),268.75)</f>
        <v>268.75</v>
      </c>
      <c r="F360" s="5" t="n">
        <f aca="false">IFERROR(__xludf.dummyfunction("""COMPUTED_VALUE"""),22400342)</f>
        <v>22400342</v>
      </c>
    </row>
    <row r="361" customFormat="false" ht="15.75" hidden="false" customHeight="false" outlineLevel="0" collapsed="false">
      <c r="A361" s="6" t="n">
        <f aca="false">IFERROR(__xludf.dummyfunction("""COMPUTED_VALUE"""),44719.6666666667)</f>
        <v>44719.6666666667</v>
      </c>
      <c r="B361" s="5" t="n">
        <f aca="false">IFERROR(__xludf.dummyfunction("""COMPUTED_VALUE"""),266.64)</f>
        <v>266.64</v>
      </c>
      <c r="C361" s="5" t="n">
        <f aca="false">IFERROR(__xludf.dummyfunction("""COMPUTED_VALUE"""),273.13)</f>
        <v>273.13</v>
      </c>
      <c r="D361" s="5" t="n">
        <f aca="false">IFERROR(__xludf.dummyfunction("""COMPUTED_VALUE"""),265.94)</f>
        <v>265.94</v>
      </c>
      <c r="E361" s="5" t="n">
        <f aca="false">IFERROR(__xludf.dummyfunction("""COMPUTED_VALUE"""),272.5)</f>
        <v>272.5</v>
      </c>
      <c r="F361" s="5" t="n">
        <f aca="false">IFERROR(__xludf.dummyfunction("""COMPUTED_VALUE"""),22860677)</f>
        <v>22860677</v>
      </c>
    </row>
    <row r="362" customFormat="false" ht="15.75" hidden="false" customHeight="false" outlineLevel="0" collapsed="false">
      <c r="A362" s="6" t="n">
        <f aca="false">IFERROR(__xludf.dummyfunction("""COMPUTED_VALUE"""),44720.6666666667)</f>
        <v>44720.6666666667</v>
      </c>
      <c r="B362" s="5" t="n">
        <f aca="false">IFERROR(__xludf.dummyfunction("""COMPUTED_VALUE"""),271.71)</f>
        <v>271.71</v>
      </c>
      <c r="C362" s="5" t="n">
        <f aca="false">IFERROR(__xludf.dummyfunction("""COMPUTED_VALUE"""),273)</f>
        <v>273</v>
      </c>
      <c r="D362" s="5" t="n">
        <f aca="false">IFERROR(__xludf.dummyfunction("""COMPUTED_VALUE"""),269.61)</f>
        <v>269.61</v>
      </c>
      <c r="E362" s="5" t="n">
        <f aca="false">IFERROR(__xludf.dummyfunction("""COMPUTED_VALUE"""),270.41)</f>
        <v>270.41</v>
      </c>
      <c r="F362" s="5" t="n">
        <f aca="false">IFERROR(__xludf.dummyfunction("""COMPUTED_VALUE"""),17372341)</f>
        <v>17372341</v>
      </c>
    </row>
    <row r="363" customFormat="false" ht="15.75" hidden="false" customHeight="false" outlineLevel="0" collapsed="false">
      <c r="A363" s="6" t="n">
        <f aca="false">IFERROR(__xludf.dummyfunction("""COMPUTED_VALUE"""),44721.6666666667)</f>
        <v>44721.6666666667</v>
      </c>
      <c r="B363" s="5" t="n">
        <f aca="false">IFERROR(__xludf.dummyfunction("""COMPUTED_VALUE"""),267.78)</f>
        <v>267.78</v>
      </c>
      <c r="C363" s="5" t="n">
        <f aca="false">IFERROR(__xludf.dummyfunction("""COMPUTED_VALUE"""),272.71)</f>
        <v>272.71</v>
      </c>
      <c r="D363" s="5" t="n">
        <f aca="false">IFERROR(__xludf.dummyfunction("""COMPUTED_VALUE"""),264.63)</f>
        <v>264.63</v>
      </c>
      <c r="E363" s="5" t="n">
        <f aca="false">IFERROR(__xludf.dummyfunction("""COMPUTED_VALUE"""),264.79)</f>
        <v>264.79</v>
      </c>
      <c r="F363" s="5" t="n">
        <f aca="false">IFERROR(__xludf.dummyfunction("""COMPUTED_VALUE"""),26439728)</f>
        <v>26439728</v>
      </c>
    </row>
    <row r="364" customFormat="false" ht="15.75" hidden="false" customHeight="false" outlineLevel="0" collapsed="false">
      <c r="A364" s="6" t="n">
        <f aca="false">IFERROR(__xludf.dummyfunction("""COMPUTED_VALUE"""),44722.6666666667)</f>
        <v>44722.6666666667</v>
      </c>
      <c r="B364" s="5" t="n">
        <f aca="false">IFERROR(__xludf.dummyfunction("""COMPUTED_VALUE"""),260.58)</f>
        <v>260.58</v>
      </c>
      <c r="C364" s="5" t="n">
        <f aca="false">IFERROR(__xludf.dummyfunction("""COMPUTED_VALUE"""),260.58)</f>
        <v>260.58</v>
      </c>
      <c r="D364" s="5" t="n">
        <f aca="false">IFERROR(__xludf.dummyfunction("""COMPUTED_VALUE"""),252.53)</f>
        <v>252.53</v>
      </c>
      <c r="E364" s="5" t="n">
        <f aca="false">IFERROR(__xludf.dummyfunction("""COMPUTED_VALUE"""),252.99)</f>
        <v>252.99</v>
      </c>
      <c r="F364" s="5" t="n">
        <f aca="false">IFERROR(__xludf.dummyfunction("""COMPUTED_VALUE"""),31445841)</f>
        <v>31445841</v>
      </c>
    </row>
    <row r="365" customFormat="false" ht="15.75" hidden="false" customHeight="false" outlineLevel="0" collapsed="false">
      <c r="A365" s="6" t="n">
        <f aca="false">IFERROR(__xludf.dummyfunction("""COMPUTED_VALUE"""),44725.6666666667)</f>
        <v>44725.6666666667</v>
      </c>
      <c r="B365" s="5" t="n">
        <f aca="false">IFERROR(__xludf.dummyfunction("""COMPUTED_VALUE"""),245.11)</f>
        <v>245.11</v>
      </c>
      <c r="C365" s="5" t="n">
        <f aca="false">IFERROR(__xludf.dummyfunction("""COMPUTED_VALUE"""),249.02)</f>
        <v>249.02</v>
      </c>
      <c r="D365" s="5" t="n">
        <f aca="false">IFERROR(__xludf.dummyfunction("""COMPUTED_VALUE"""),241.53)</f>
        <v>241.53</v>
      </c>
      <c r="E365" s="5" t="n">
        <f aca="false">IFERROR(__xludf.dummyfunction("""COMPUTED_VALUE"""),242.26)</f>
        <v>242.26</v>
      </c>
      <c r="F365" s="5" t="n">
        <f aca="false">IFERROR(__xludf.dummyfunction("""COMPUTED_VALUE"""),46135788)</f>
        <v>46135788</v>
      </c>
    </row>
    <row r="366" customFormat="false" ht="15.75" hidden="false" customHeight="false" outlineLevel="0" collapsed="false">
      <c r="A366" s="6" t="n">
        <f aca="false">IFERROR(__xludf.dummyfunction("""COMPUTED_VALUE"""),44726.6666666667)</f>
        <v>44726.6666666667</v>
      </c>
      <c r="B366" s="5" t="n">
        <f aca="false">IFERROR(__xludf.dummyfunction("""COMPUTED_VALUE"""),243.86)</f>
        <v>243.86</v>
      </c>
      <c r="C366" s="5" t="n">
        <f aca="false">IFERROR(__xludf.dummyfunction("""COMPUTED_VALUE"""),245.74)</f>
        <v>245.74</v>
      </c>
      <c r="D366" s="5" t="n">
        <f aca="false">IFERROR(__xludf.dummyfunction("""COMPUTED_VALUE"""),241.51)</f>
        <v>241.51</v>
      </c>
      <c r="E366" s="5" t="n">
        <f aca="false">IFERROR(__xludf.dummyfunction("""COMPUTED_VALUE"""),244.49)</f>
        <v>244.49</v>
      </c>
      <c r="F366" s="5" t="n">
        <f aca="false">IFERROR(__xludf.dummyfunction("""COMPUTED_VALUE"""),28651487)</f>
        <v>28651487</v>
      </c>
    </row>
    <row r="367" customFormat="false" ht="15.75" hidden="false" customHeight="false" outlineLevel="0" collapsed="false">
      <c r="A367" s="6" t="n">
        <f aca="false">IFERROR(__xludf.dummyfunction("""COMPUTED_VALUE"""),44727.6666666667)</f>
        <v>44727.6666666667</v>
      </c>
      <c r="B367" s="5" t="n">
        <f aca="false">IFERROR(__xludf.dummyfunction("""COMPUTED_VALUE"""),248.31)</f>
        <v>248.31</v>
      </c>
      <c r="C367" s="5" t="n">
        <f aca="false">IFERROR(__xludf.dummyfunction("""COMPUTED_VALUE"""),255.3)</f>
        <v>255.3</v>
      </c>
      <c r="D367" s="5" t="n">
        <f aca="false">IFERROR(__xludf.dummyfunction("""COMPUTED_VALUE"""),246.42)</f>
        <v>246.42</v>
      </c>
      <c r="E367" s="5" t="n">
        <f aca="false">IFERROR(__xludf.dummyfunction("""COMPUTED_VALUE"""),251.76)</f>
        <v>251.76</v>
      </c>
      <c r="F367" s="5" t="n">
        <f aca="false">IFERROR(__xludf.dummyfunction("""COMPUTED_VALUE"""),33111729)</f>
        <v>33111729</v>
      </c>
    </row>
    <row r="368" customFormat="false" ht="15.75" hidden="false" customHeight="false" outlineLevel="0" collapsed="false">
      <c r="A368" s="6" t="n">
        <f aca="false">IFERROR(__xludf.dummyfunction("""COMPUTED_VALUE"""),44728.6666666667)</f>
        <v>44728.6666666667</v>
      </c>
      <c r="B368" s="5" t="n">
        <f aca="false">IFERROR(__xludf.dummyfunction("""COMPUTED_VALUE"""),245.98)</f>
        <v>245.98</v>
      </c>
      <c r="C368" s="5" t="n">
        <f aca="false">IFERROR(__xludf.dummyfunction("""COMPUTED_VALUE"""),247.42)</f>
        <v>247.42</v>
      </c>
      <c r="D368" s="5" t="n">
        <f aca="false">IFERROR(__xludf.dummyfunction("""COMPUTED_VALUE"""),243.02)</f>
        <v>243.02</v>
      </c>
      <c r="E368" s="5" t="n">
        <f aca="false">IFERROR(__xludf.dummyfunction("""COMPUTED_VALUE"""),244.97)</f>
        <v>244.97</v>
      </c>
      <c r="F368" s="5" t="n">
        <f aca="false">IFERROR(__xludf.dummyfunction("""COMPUTED_VALUE"""),33169160)</f>
        <v>33169160</v>
      </c>
    </row>
    <row r="369" customFormat="false" ht="15.75" hidden="false" customHeight="false" outlineLevel="0" collapsed="false">
      <c r="A369" s="6" t="n">
        <f aca="false">IFERROR(__xludf.dummyfunction("""COMPUTED_VALUE"""),44729.6666666667)</f>
        <v>44729.6666666667</v>
      </c>
      <c r="B369" s="5" t="n">
        <f aca="false">IFERROR(__xludf.dummyfunction("""COMPUTED_VALUE"""),244.7)</f>
        <v>244.7</v>
      </c>
      <c r="C369" s="5" t="n">
        <f aca="false">IFERROR(__xludf.dummyfunction("""COMPUTED_VALUE"""),250.5)</f>
        <v>250.5</v>
      </c>
      <c r="D369" s="5" t="n">
        <f aca="false">IFERROR(__xludf.dummyfunction("""COMPUTED_VALUE"""),244.03)</f>
        <v>244.03</v>
      </c>
      <c r="E369" s="5" t="n">
        <f aca="false">IFERROR(__xludf.dummyfunction("""COMPUTED_VALUE"""),247.65)</f>
        <v>247.65</v>
      </c>
      <c r="F369" s="5" t="n">
        <f aca="false">IFERROR(__xludf.dummyfunction("""COMPUTED_VALUE"""),43084780)</f>
        <v>43084780</v>
      </c>
    </row>
    <row r="370" customFormat="false" ht="15.75" hidden="false" customHeight="false" outlineLevel="0" collapsed="false">
      <c r="A370" s="6" t="n">
        <f aca="false">IFERROR(__xludf.dummyfunction("""COMPUTED_VALUE"""),44733.6666666667)</f>
        <v>44733.6666666667</v>
      </c>
      <c r="B370" s="5" t="n">
        <f aca="false">IFERROR(__xludf.dummyfunction("""COMPUTED_VALUE"""),250.26)</f>
        <v>250.26</v>
      </c>
      <c r="C370" s="5" t="n">
        <f aca="false">IFERROR(__xludf.dummyfunction("""COMPUTED_VALUE"""),254.75)</f>
        <v>254.75</v>
      </c>
      <c r="D370" s="5" t="n">
        <f aca="false">IFERROR(__xludf.dummyfunction("""COMPUTED_VALUE"""),249.51)</f>
        <v>249.51</v>
      </c>
      <c r="E370" s="5" t="n">
        <f aca="false">IFERROR(__xludf.dummyfunction("""COMPUTED_VALUE"""),253.74)</f>
        <v>253.74</v>
      </c>
      <c r="F370" s="5" t="n">
        <f aca="false">IFERROR(__xludf.dummyfunction("""COMPUTED_VALUE"""),29928297)</f>
        <v>29928297</v>
      </c>
    </row>
    <row r="371" customFormat="false" ht="15.75" hidden="false" customHeight="false" outlineLevel="0" collapsed="false">
      <c r="A371" s="6" t="n">
        <f aca="false">IFERROR(__xludf.dummyfunction("""COMPUTED_VALUE"""),44734.6666666667)</f>
        <v>44734.6666666667</v>
      </c>
      <c r="B371" s="5" t="n">
        <f aca="false">IFERROR(__xludf.dummyfunction("""COMPUTED_VALUE"""),251.89)</f>
        <v>251.89</v>
      </c>
      <c r="C371" s="5" t="n">
        <f aca="false">IFERROR(__xludf.dummyfunction("""COMPUTED_VALUE"""),257.17)</f>
        <v>257.17</v>
      </c>
      <c r="D371" s="5" t="n">
        <f aca="false">IFERROR(__xludf.dummyfunction("""COMPUTED_VALUE"""),250.37)</f>
        <v>250.37</v>
      </c>
      <c r="E371" s="5" t="n">
        <f aca="false">IFERROR(__xludf.dummyfunction("""COMPUTED_VALUE"""),253.13)</f>
        <v>253.13</v>
      </c>
      <c r="F371" s="5" t="n">
        <f aca="false">IFERROR(__xludf.dummyfunction("""COMPUTED_VALUE"""),25961215)</f>
        <v>25961215</v>
      </c>
    </row>
    <row r="372" customFormat="false" ht="15.75" hidden="false" customHeight="false" outlineLevel="0" collapsed="false">
      <c r="A372" s="6" t="n">
        <f aca="false">IFERROR(__xludf.dummyfunction("""COMPUTED_VALUE"""),44735.6666666667)</f>
        <v>44735.6666666667</v>
      </c>
      <c r="B372" s="5" t="n">
        <f aca="false">IFERROR(__xludf.dummyfunction("""COMPUTED_VALUE"""),255.57)</f>
        <v>255.57</v>
      </c>
      <c r="C372" s="5" t="n">
        <f aca="false">IFERROR(__xludf.dummyfunction("""COMPUTED_VALUE"""),259.37)</f>
        <v>259.37</v>
      </c>
      <c r="D372" s="5" t="n">
        <f aca="false">IFERROR(__xludf.dummyfunction("""COMPUTED_VALUE"""),253.63)</f>
        <v>253.63</v>
      </c>
      <c r="E372" s="5" t="n">
        <f aca="false">IFERROR(__xludf.dummyfunction("""COMPUTED_VALUE"""),258.86)</f>
        <v>258.86</v>
      </c>
      <c r="F372" s="5" t="n">
        <f aca="false">IFERROR(__xludf.dummyfunction("""COMPUTED_VALUE"""),25861449)</f>
        <v>25861449</v>
      </c>
    </row>
    <row r="373" customFormat="false" ht="15.75" hidden="false" customHeight="false" outlineLevel="0" collapsed="false">
      <c r="A373" s="6" t="n">
        <f aca="false">IFERROR(__xludf.dummyfunction("""COMPUTED_VALUE"""),44736.6666666667)</f>
        <v>44736.6666666667</v>
      </c>
      <c r="B373" s="5" t="n">
        <f aca="false">IFERROR(__xludf.dummyfunction("""COMPUTED_VALUE"""),261.81)</f>
        <v>261.81</v>
      </c>
      <c r="C373" s="5" t="n">
        <f aca="false">IFERROR(__xludf.dummyfunction("""COMPUTED_VALUE"""),267.98)</f>
        <v>267.98</v>
      </c>
      <c r="D373" s="5" t="n">
        <f aca="false">IFERROR(__xludf.dummyfunction("""COMPUTED_VALUE"""),261.72)</f>
        <v>261.72</v>
      </c>
      <c r="E373" s="5" t="n">
        <f aca="false">IFERROR(__xludf.dummyfunction("""COMPUTED_VALUE"""),267.7)</f>
        <v>267.7</v>
      </c>
      <c r="F373" s="5" t="n">
        <f aca="false">IFERROR(__xludf.dummyfunction("""COMPUTED_VALUE"""),33923231)</f>
        <v>33923231</v>
      </c>
    </row>
    <row r="374" customFormat="false" ht="15.75" hidden="false" customHeight="false" outlineLevel="0" collapsed="false">
      <c r="A374" s="6" t="n">
        <f aca="false">IFERROR(__xludf.dummyfunction("""COMPUTED_VALUE"""),44739.6666666667)</f>
        <v>44739.6666666667</v>
      </c>
      <c r="B374" s="5" t="n">
        <f aca="false">IFERROR(__xludf.dummyfunction("""COMPUTED_VALUE"""),268.21)</f>
        <v>268.21</v>
      </c>
      <c r="C374" s="5" t="n">
        <f aca="false">IFERROR(__xludf.dummyfunction("""COMPUTED_VALUE"""),268.3)</f>
        <v>268.3</v>
      </c>
      <c r="D374" s="5" t="n">
        <f aca="false">IFERROR(__xludf.dummyfunction("""COMPUTED_VALUE"""),263.28)</f>
        <v>263.28</v>
      </c>
      <c r="E374" s="5" t="n">
        <f aca="false">IFERROR(__xludf.dummyfunction("""COMPUTED_VALUE"""),264.89)</f>
        <v>264.89</v>
      </c>
      <c r="F374" s="5" t="n">
        <f aca="false">IFERROR(__xludf.dummyfunction("""COMPUTED_VALUE"""),24615114)</f>
        <v>24615114</v>
      </c>
    </row>
    <row r="375" customFormat="false" ht="15.75" hidden="false" customHeight="false" outlineLevel="0" collapsed="false">
      <c r="A375" s="6" t="n">
        <f aca="false">IFERROR(__xludf.dummyfunction("""COMPUTED_VALUE"""),44740.6666666667)</f>
        <v>44740.6666666667</v>
      </c>
      <c r="B375" s="5" t="n">
        <f aca="false">IFERROR(__xludf.dummyfunction("""COMPUTED_VALUE"""),263.98)</f>
        <v>263.98</v>
      </c>
      <c r="C375" s="5" t="n">
        <f aca="false">IFERROR(__xludf.dummyfunction("""COMPUTED_VALUE"""),266.91)</f>
        <v>266.91</v>
      </c>
      <c r="D375" s="5" t="n">
        <f aca="false">IFERROR(__xludf.dummyfunction("""COMPUTED_VALUE"""),256.32)</f>
        <v>256.32</v>
      </c>
      <c r="E375" s="5" t="n">
        <f aca="false">IFERROR(__xludf.dummyfunction("""COMPUTED_VALUE"""),256.48)</f>
        <v>256.48</v>
      </c>
      <c r="F375" s="5" t="n">
        <f aca="false">IFERROR(__xludf.dummyfunction("""COMPUTED_VALUE"""),27380247)</f>
        <v>27380247</v>
      </c>
    </row>
    <row r="376" customFormat="false" ht="15.75" hidden="false" customHeight="false" outlineLevel="0" collapsed="false">
      <c r="A376" s="6" t="n">
        <f aca="false">IFERROR(__xludf.dummyfunction("""COMPUTED_VALUE"""),44741.6666666667)</f>
        <v>44741.6666666667</v>
      </c>
      <c r="B376" s="5" t="n">
        <f aca="false">IFERROR(__xludf.dummyfunction("""COMPUTED_VALUE"""),257.59)</f>
        <v>257.59</v>
      </c>
      <c r="C376" s="5" t="n">
        <f aca="false">IFERROR(__xludf.dummyfunction("""COMPUTED_VALUE"""),261.97)</f>
        <v>261.97</v>
      </c>
      <c r="D376" s="5" t="n">
        <f aca="false">IFERROR(__xludf.dummyfunction("""COMPUTED_VALUE"""),255.76)</f>
        <v>255.76</v>
      </c>
      <c r="E376" s="5" t="n">
        <f aca="false">IFERROR(__xludf.dummyfunction("""COMPUTED_VALUE"""),260.26)</f>
        <v>260.26</v>
      </c>
      <c r="F376" s="5" t="n">
        <f aca="false">IFERROR(__xludf.dummyfunction("""COMPUTED_VALUE"""),20069839)</f>
        <v>20069839</v>
      </c>
    </row>
    <row r="377" customFormat="false" ht="15.75" hidden="false" customHeight="false" outlineLevel="0" collapsed="false">
      <c r="A377" s="6" t="n">
        <f aca="false">IFERROR(__xludf.dummyfunction("""COMPUTED_VALUE"""),44742.6666666667)</f>
        <v>44742.6666666667</v>
      </c>
      <c r="B377" s="5" t="n">
        <f aca="false">IFERROR(__xludf.dummyfunction("""COMPUTED_VALUE"""),257.05)</f>
        <v>257.05</v>
      </c>
      <c r="C377" s="5" t="n">
        <f aca="false">IFERROR(__xludf.dummyfunction("""COMPUTED_VALUE"""),259.53)</f>
        <v>259.53</v>
      </c>
      <c r="D377" s="5" t="n">
        <f aca="false">IFERROR(__xludf.dummyfunction("""COMPUTED_VALUE"""),252.9)</f>
        <v>252.9</v>
      </c>
      <c r="E377" s="5" t="n">
        <f aca="false">IFERROR(__xludf.dummyfunction("""COMPUTED_VALUE"""),256.83)</f>
        <v>256.83</v>
      </c>
      <c r="F377" s="5" t="n">
        <f aca="false">IFERROR(__xludf.dummyfunction("""COMPUTED_VALUE"""),31730868)</f>
        <v>31730868</v>
      </c>
    </row>
    <row r="378" customFormat="false" ht="15.75" hidden="false" customHeight="false" outlineLevel="0" collapsed="false">
      <c r="A378" s="6" t="n">
        <f aca="false">IFERROR(__xludf.dummyfunction("""COMPUTED_VALUE"""),44743.6666666667)</f>
        <v>44743.6666666667</v>
      </c>
      <c r="B378" s="5" t="n">
        <f aca="false">IFERROR(__xludf.dummyfunction("""COMPUTED_VALUE"""),256.39)</f>
        <v>256.39</v>
      </c>
      <c r="C378" s="5" t="n">
        <f aca="false">IFERROR(__xludf.dummyfunction("""COMPUTED_VALUE"""),259.77)</f>
        <v>259.77</v>
      </c>
      <c r="D378" s="5" t="n">
        <f aca="false">IFERROR(__xludf.dummyfunction("""COMPUTED_VALUE"""),254.61)</f>
        <v>254.61</v>
      </c>
      <c r="E378" s="5" t="n">
        <f aca="false">IFERROR(__xludf.dummyfunction("""COMPUTED_VALUE"""),259.58)</f>
        <v>259.58</v>
      </c>
      <c r="F378" s="5" t="n">
        <f aca="false">IFERROR(__xludf.dummyfunction("""COMPUTED_VALUE"""),22837692)</f>
        <v>22837692</v>
      </c>
    </row>
    <row r="379" customFormat="false" ht="15.75" hidden="false" customHeight="false" outlineLevel="0" collapsed="false">
      <c r="A379" s="6" t="n">
        <f aca="false">IFERROR(__xludf.dummyfunction("""COMPUTED_VALUE"""),44747.6666666667)</f>
        <v>44747.6666666667</v>
      </c>
      <c r="B379" s="5" t="n">
        <f aca="false">IFERROR(__xludf.dummyfunction("""COMPUTED_VALUE"""),256.16)</f>
        <v>256.16</v>
      </c>
      <c r="C379" s="5" t="n">
        <f aca="false">IFERROR(__xludf.dummyfunction("""COMPUTED_VALUE"""),262.98)</f>
        <v>262.98</v>
      </c>
      <c r="D379" s="5" t="n">
        <f aca="false">IFERROR(__xludf.dummyfunction("""COMPUTED_VALUE"""),254.74)</f>
        <v>254.74</v>
      </c>
      <c r="E379" s="5" t="n">
        <f aca="false">IFERROR(__xludf.dummyfunction("""COMPUTED_VALUE"""),262.85)</f>
        <v>262.85</v>
      </c>
      <c r="F379" s="5" t="n">
        <f aca="false">IFERROR(__xludf.dummyfunction("""COMPUTED_VALUE"""),22971634)</f>
        <v>22971634</v>
      </c>
    </row>
    <row r="380" customFormat="false" ht="15.75" hidden="false" customHeight="false" outlineLevel="0" collapsed="false">
      <c r="A380" s="6" t="n">
        <f aca="false">IFERROR(__xludf.dummyfunction("""COMPUTED_VALUE"""),44748.6666666667)</f>
        <v>44748.6666666667</v>
      </c>
      <c r="B380" s="5" t="n">
        <f aca="false">IFERROR(__xludf.dummyfunction("""COMPUTED_VALUE"""),263.75)</f>
        <v>263.75</v>
      </c>
      <c r="C380" s="5" t="n">
        <f aca="false">IFERROR(__xludf.dummyfunction("""COMPUTED_VALUE"""),267.99)</f>
        <v>267.99</v>
      </c>
      <c r="D380" s="5" t="n">
        <f aca="false">IFERROR(__xludf.dummyfunction("""COMPUTED_VALUE"""),262.4)</f>
        <v>262.4</v>
      </c>
      <c r="E380" s="5" t="n">
        <f aca="false">IFERROR(__xludf.dummyfunction("""COMPUTED_VALUE"""),266.21)</f>
        <v>266.21</v>
      </c>
      <c r="F380" s="5" t="n">
        <f aca="false">IFERROR(__xludf.dummyfunction("""COMPUTED_VALUE"""),23824419)</f>
        <v>23824419</v>
      </c>
    </row>
    <row r="381" customFormat="false" ht="15.75" hidden="false" customHeight="false" outlineLevel="0" collapsed="false">
      <c r="A381" s="6" t="n">
        <f aca="false">IFERROR(__xludf.dummyfunction("""COMPUTED_VALUE"""),44749.6666666667)</f>
        <v>44749.6666666667</v>
      </c>
      <c r="B381" s="5" t="n">
        <f aca="false">IFERROR(__xludf.dummyfunction("""COMPUTED_VALUE"""),265.12)</f>
        <v>265.12</v>
      </c>
      <c r="C381" s="5" t="n">
        <f aca="false">IFERROR(__xludf.dummyfunction("""COMPUTED_VALUE"""),269.06)</f>
        <v>269.06</v>
      </c>
      <c r="D381" s="5" t="n">
        <f aca="false">IFERROR(__xludf.dummyfunction("""COMPUTED_VALUE"""),265.02)</f>
        <v>265.02</v>
      </c>
      <c r="E381" s="5" t="n">
        <f aca="false">IFERROR(__xludf.dummyfunction("""COMPUTED_VALUE"""),268.4)</f>
        <v>268.4</v>
      </c>
      <c r="F381" s="5" t="n">
        <f aca="false">IFERROR(__xludf.dummyfunction("""COMPUTED_VALUE"""),20859874)</f>
        <v>20859874</v>
      </c>
    </row>
    <row r="382" customFormat="false" ht="15.75" hidden="false" customHeight="false" outlineLevel="0" collapsed="false">
      <c r="A382" s="6" t="n">
        <f aca="false">IFERROR(__xludf.dummyfunction("""COMPUTED_VALUE"""),44750.6666666667)</f>
        <v>44750.6666666667</v>
      </c>
      <c r="B382" s="5" t="n">
        <f aca="false">IFERROR(__xludf.dummyfunction("""COMPUTED_VALUE"""),264.79)</f>
        <v>264.79</v>
      </c>
      <c r="C382" s="5" t="n">
        <f aca="false">IFERROR(__xludf.dummyfunction("""COMPUTED_VALUE"""),268.1)</f>
        <v>268.1</v>
      </c>
      <c r="D382" s="5" t="n">
        <f aca="false">IFERROR(__xludf.dummyfunction("""COMPUTED_VALUE"""),263.29)</f>
        <v>263.29</v>
      </c>
      <c r="E382" s="5" t="n">
        <f aca="false">IFERROR(__xludf.dummyfunction("""COMPUTED_VALUE"""),267.66)</f>
        <v>267.66</v>
      </c>
      <c r="F382" s="5" t="n">
        <f aca="false">IFERROR(__xludf.dummyfunction("""COMPUTED_VALUE"""),19658751)</f>
        <v>19658751</v>
      </c>
    </row>
    <row r="383" customFormat="false" ht="15.75" hidden="false" customHeight="false" outlineLevel="0" collapsed="false">
      <c r="A383" s="6" t="n">
        <f aca="false">IFERROR(__xludf.dummyfunction("""COMPUTED_VALUE"""),44753.6666666667)</f>
        <v>44753.6666666667</v>
      </c>
      <c r="B383" s="5" t="n">
        <f aca="false">IFERROR(__xludf.dummyfunction("""COMPUTED_VALUE"""),265.65)</f>
        <v>265.65</v>
      </c>
      <c r="C383" s="5" t="n">
        <f aca="false">IFERROR(__xludf.dummyfunction("""COMPUTED_VALUE"""),266.53)</f>
        <v>266.53</v>
      </c>
      <c r="D383" s="5" t="n">
        <f aca="false">IFERROR(__xludf.dummyfunction("""COMPUTED_VALUE"""),262.18)</f>
        <v>262.18</v>
      </c>
      <c r="E383" s="5" t="n">
        <f aca="false">IFERROR(__xludf.dummyfunction("""COMPUTED_VALUE"""),264.51)</f>
        <v>264.51</v>
      </c>
      <c r="F383" s="5" t="n">
        <f aca="false">IFERROR(__xludf.dummyfunction("""COMPUTED_VALUE"""),19519108)</f>
        <v>19519108</v>
      </c>
    </row>
    <row r="384" customFormat="false" ht="15.75" hidden="false" customHeight="false" outlineLevel="0" collapsed="false">
      <c r="A384" s="6" t="n">
        <f aca="false">IFERROR(__xludf.dummyfunction("""COMPUTED_VALUE"""),44754.6666666667)</f>
        <v>44754.6666666667</v>
      </c>
      <c r="B384" s="5" t="n">
        <f aca="false">IFERROR(__xludf.dummyfunction("""COMPUTED_VALUE"""),265.88)</f>
        <v>265.88</v>
      </c>
      <c r="C384" s="5" t="n">
        <f aca="false">IFERROR(__xludf.dummyfunction("""COMPUTED_VALUE"""),265.94)</f>
        <v>265.94</v>
      </c>
      <c r="D384" s="5" t="n">
        <f aca="false">IFERROR(__xludf.dummyfunction("""COMPUTED_VALUE"""),252.04)</f>
        <v>252.04</v>
      </c>
      <c r="E384" s="5" t="n">
        <f aca="false">IFERROR(__xludf.dummyfunction("""COMPUTED_VALUE"""),253.67)</f>
        <v>253.67</v>
      </c>
      <c r="F384" s="5" t="n">
        <f aca="false">IFERROR(__xludf.dummyfunction("""COMPUTED_VALUE"""),35868450)</f>
        <v>35868450</v>
      </c>
    </row>
    <row r="385" customFormat="false" ht="15.75" hidden="false" customHeight="false" outlineLevel="0" collapsed="false">
      <c r="A385" s="6" t="n">
        <f aca="false">IFERROR(__xludf.dummyfunction("""COMPUTED_VALUE"""),44755.6666666667)</f>
        <v>44755.6666666667</v>
      </c>
      <c r="B385" s="5" t="n">
        <f aca="false">IFERROR(__xludf.dummyfunction("""COMPUTED_VALUE"""),250.19)</f>
        <v>250.19</v>
      </c>
      <c r="C385" s="5" t="n">
        <f aca="false">IFERROR(__xludf.dummyfunction("""COMPUTED_VALUE"""),253.55)</f>
        <v>253.55</v>
      </c>
      <c r="D385" s="5" t="n">
        <f aca="false">IFERROR(__xludf.dummyfunction("""COMPUTED_VALUE"""),248.11)</f>
        <v>248.11</v>
      </c>
      <c r="E385" s="5" t="n">
        <f aca="false">IFERROR(__xludf.dummyfunction("""COMPUTED_VALUE"""),252.72)</f>
        <v>252.72</v>
      </c>
      <c r="F385" s="5" t="n">
        <f aca="false">IFERROR(__xludf.dummyfunction("""COMPUTED_VALUE"""),29497423)</f>
        <v>29497423</v>
      </c>
    </row>
    <row r="386" customFormat="false" ht="15.75" hidden="false" customHeight="false" outlineLevel="0" collapsed="false">
      <c r="A386" s="6" t="n">
        <f aca="false">IFERROR(__xludf.dummyfunction("""COMPUTED_VALUE"""),44756.6666666667)</f>
        <v>44756.6666666667</v>
      </c>
      <c r="B386" s="5" t="n">
        <f aca="false">IFERROR(__xludf.dummyfunction("""COMPUTED_VALUE"""),250.57)</f>
        <v>250.57</v>
      </c>
      <c r="C386" s="5" t="n">
        <f aca="false">IFERROR(__xludf.dummyfunction("""COMPUTED_VALUE"""),255.14)</f>
        <v>255.14</v>
      </c>
      <c r="D386" s="5" t="n">
        <f aca="false">IFERROR(__xludf.dummyfunction("""COMPUTED_VALUE"""),245.94)</f>
        <v>245.94</v>
      </c>
      <c r="E386" s="5" t="n">
        <f aca="false">IFERROR(__xludf.dummyfunction("""COMPUTED_VALUE"""),254.08)</f>
        <v>254.08</v>
      </c>
      <c r="F386" s="5" t="n">
        <f aca="false">IFERROR(__xludf.dummyfunction("""COMPUTED_VALUE"""),25102823)</f>
        <v>25102823</v>
      </c>
    </row>
    <row r="387" customFormat="false" ht="15.75" hidden="false" customHeight="false" outlineLevel="0" collapsed="false">
      <c r="A387" s="6" t="n">
        <f aca="false">IFERROR(__xludf.dummyfunction("""COMPUTED_VALUE"""),44757.6666666667)</f>
        <v>44757.6666666667</v>
      </c>
      <c r="B387" s="5" t="n">
        <f aca="false">IFERROR(__xludf.dummyfunction("""COMPUTED_VALUE"""),255.72)</f>
        <v>255.72</v>
      </c>
      <c r="C387" s="5" t="n">
        <f aca="false">IFERROR(__xludf.dummyfunction("""COMPUTED_VALUE"""),260.37)</f>
        <v>260.37</v>
      </c>
      <c r="D387" s="5" t="n">
        <f aca="false">IFERROR(__xludf.dummyfunction("""COMPUTED_VALUE"""),254.77)</f>
        <v>254.77</v>
      </c>
      <c r="E387" s="5" t="n">
        <f aca="false">IFERROR(__xludf.dummyfunction("""COMPUTED_VALUE"""),256.72)</f>
        <v>256.72</v>
      </c>
      <c r="F387" s="5" t="n">
        <f aca="false">IFERROR(__xludf.dummyfunction("""COMPUTED_VALUE"""),29774050)</f>
        <v>29774050</v>
      </c>
    </row>
    <row r="388" customFormat="false" ht="15.75" hidden="false" customHeight="false" outlineLevel="0" collapsed="false">
      <c r="A388" s="6" t="n">
        <f aca="false">IFERROR(__xludf.dummyfunction("""COMPUTED_VALUE"""),44760.6666666667)</f>
        <v>44760.6666666667</v>
      </c>
      <c r="B388" s="5" t="n">
        <f aca="false">IFERROR(__xludf.dummyfunction("""COMPUTED_VALUE"""),259.75)</f>
        <v>259.75</v>
      </c>
      <c r="C388" s="5" t="n">
        <f aca="false">IFERROR(__xludf.dummyfunction("""COMPUTED_VALUE"""),260.84)</f>
        <v>260.84</v>
      </c>
      <c r="D388" s="5" t="n">
        <f aca="false">IFERROR(__xludf.dummyfunction("""COMPUTED_VALUE"""),253.3)</f>
        <v>253.3</v>
      </c>
      <c r="E388" s="5" t="n">
        <f aca="false">IFERROR(__xludf.dummyfunction("""COMPUTED_VALUE"""),254.25)</f>
        <v>254.25</v>
      </c>
      <c r="F388" s="5" t="n">
        <f aca="false">IFERROR(__xludf.dummyfunction("""COMPUTED_VALUE"""),20975034)</f>
        <v>20975034</v>
      </c>
    </row>
    <row r="389" customFormat="false" ht="15.75" hidden="false" customHeight="false" outlineLevel="0" collapsed="false">
      <c r="A389" s="6" t="n">
        <f aca="false">IFERROR(__xludf.dummyfunction("""COMPUTED_VALUE"""),44761.6666666667)</f>
        <v>44761.6666666667</v>
      </c>
      <c r="B389" s="5" t="n">
        <f aca="false">IFERROR(__xludf.dummyfunction("""COMPUTED_VALUE"""),257.58)</f>
        <v>257.58</v>
      </c>
      <c r="C389" s="5" t="n">
        <f aca="false">IFERROR(__xludf.dummyfunction("""COMPUTED_VALUE"""),259.72)</f>
        <v>259.72</v>
      </c>
      <c r="D389" s="5" t="n">
        <f aca="false">IFERROR(__xludf.dummyfunction("""COMPUTED_VALUE"""),253.68)</f>
        <v>253.68</v>
      </c>
      <c r="E389" s="5" t="n">
        <f aca="false">IFERROR(__xludf.dummyfunction("""COMPUTED_VALUE"""),259.53)</f>
        <v>259.53</v>
      </c>
      <c r="F389" s="5" t="n">
        <f aca="false">IFERROR(__xludf.dummyfunction("""COMPUTED_VALUE"""),25012562)</f>
        <v>25012562</v>
      </c>
    </row>
    <row r="390" customFormat="false" ht="15.75" hidden="false" customHeight="false" outlineLevel="0" collapsed="false">
      <c r="A390" s="6" t="n">
        <f aca="false">IFERROR(__xludf.dummyfunction("""COMPUTED_VALUE"""),44762.6666666667)</f>
        <v>44762.6666666667</v>
      </c>
      <c r="B390" s="5" t="n">
        <f aca="false">IFERROR(__xludf.dummyfunction("""COMPUTED_VALUE"""),259.9)</f>
        <v>259.9</v>
      </c>
      <c r="C390" s="5" t="n">
        <f aca="false">IFERROR(__xludf.dummyfunction("""COMPUTED_VALUE"""),264.87)</f>
        <v>264.87</v>
      </c>
      <c r="D390" s="5" t="n">
        <f aca="false">IFERROR(__xludf.dummyfunction("""COMPUTED_VALUE"""),258.91)</f>
        <v>258.91</v>
      </c>
      <c r="E390" s="5" t="n">
        <f aca="false">IFERROR(__xludf.dummyfunction("""COMPUTED_VALUE"""),262.27)</f>
        <v>262.27</v>
      </c>
      <c r="F390" s="5" t="n">
        <f aca="false">IFERROR(__xludf.dummyfunction("""COMPUTED_VALUE"""),22788282)</f>
        <v>22788282</v>
      </c>
    </row>
    <row r="391" customFormat="false" ht="15.75" hidden="false" customHeight="false" outlineLevel="0" collapsed="false">
      <c r="A391" s="6" t="n">
        <f aca="false">IFERROR(__xludf.dummyfunction("""COMPUTED_VALUE"""),44763.6666666667)</f>
        <v>44763.6666666667</v>
      </c>
      <c r="B391" s="5" t="n">
        <f aca="false">IFERROR(__xludf.dummyfunction("""COMPUTED_VALUE"""),259.79)</f>
        <v>259.79</v>
      </c>
      <c r="C391" s="5" t="n">
        <f aca="false">IFERROR(__xludf.dummyfunction("""COMPUTED_VALUE"""),264.89)</f>
        <v>264.89</v>
      </c>
      <c r="D391" s="5" t="n">
        <f aca="false">IFERROR(__xludf.dummyfunction("""COMPUTED_VALUE"""),257.03)</f>
        <v>257.03</v>
      </c>
      <c r="E391" s="5" t="n">
        <f aca="false">IFERROR(__xludf.dummyfunction("""COMPUTED_VALUE"""),264.84)</f>
        <v>264.84</v>
      </c>
      <c r="F391" s="5" t="n">
        <f aca="false">IFERROR(__xludf.dummyfunction("""COMPUTED_VALUE"""),22404675)</f>
        <v>22404675</v>
      </c>
    </row>
    <row r="392" customFormat="false" ht="15.75" hidden="false" customHeight="false" outlineLevel="0" collapsed="false">
      <c r="A392" s="6" t="n">
        <f aca="false">IFERROR(__xludf.dummyfunction("""COMPUTED_VALUE"""),44764.6666666667)</f>
        <v>44764.6666666667</v>
      </c>
      <c r="B392" s="5" t="n">
        <f aca="false">IFERROR(__xludf.dummyfunction("""COMPUTED_VALUE"""),265.24)</f>
        <v>265.24</v>
      </c>
      <c r="C392" s="5" t="n">
        <f aca="false">IFERROR(__xludf.dummyfunction("""COMPUTED_VALUE"""),265.33)</f>
        <v>265.33</v>
      </c>
      <c r="D392" s="5" t="n">
        <f aca="false">IFERROR(__xludf.dummyfunction("""COMPUTED_VALUE"""),259.07)</f>
        <v>259.07</v>
      </c>
      <c r="E392" s="5" t="n">
        <f aca="false">IFERROR(__xludf.dummyfunction("""COMPUTED_VALUE"""),260.36)</f>
        <v>260.36</v>
      </c>
      <c r="F392" s="5" t="n">
        <f aca="false">IFERROR(__xludf.dummyfunction("""COMPUTED_VALUE"""),21881290)</f>
        <v>21881290</v>
      </c>
    </row>
    <row r="393" customFormat="false" ht="15.75" hidden="false" customHeight="false" outlineLevel="0" collapsed="false">
      <c r="A393" s="6" t="n">
        <f aca="false">IFERROR(__xludf.dummyfunction("""COMPUTED_VALUE"""),44767.6666666667)</f>
        <v>44767.6666666667</v>
      </c>
      <c r="B393" s="5" t="n">
        <f aca="false">IFERROR(__xludf.dummyfunction("""COMPUTED_VALUE"""),261)</f>
        <v>261</v>
      </c>
      <c r="C393" s="5" t="n">
        <f aca="false">IFERROR(__xludf.dummyfunction("""COMPUTED_VALUE"""),261.5)</f>
        <v>261.5</v>
      </c>
      <c r="D393" s="5" t="n">
        <f aca="false">IFERROR(__xludf.dummyfunction("""COMPUTED_VALUE"""),256.81)</f>
        <v>256.81</v>
      </c>
      <c r="E393" s="5" t="n">
        <f aca="false">IFERROR(__xludf.dummyfunction("""COMPUTED_VALUE"""),258.83)</f>
        <v>258.83</v>
      </c>
      <c r="F393" s="5" t="n">
        <f aca="false">IFERROR(__xludf.dummyfunction("""COMPUTED_VALUE"""),21055998)</f>
        <v>21055998</v>
      </c>
    </row>
    <row r="394" customFormat="false" ht="15.75" hidden="false" customHeight="false" outlineLevel="0" collapsed="false">
      <c r="A394" s="6" t="n">
        <f aca="false">IFERROR(__xludf.dummyfunction("""COMPUTED_VALUE"""),44768.6666666667)</f>
        <v>44768.6666666667</v>
      </c>
      <c r="B394" s="5" t="n">
        <f aca="false">IFERROR(__xludf.dummyfunction("""COMPUTED_VALUE"""),259.86)</f>
        <v>259.86</v>
      </c>
      <c r="C394" s="5" t="n">
        <f aca="false">IFERROR(__xludf.dummyfunction("""COMPUTED_VALUE"""),259.88)</f>
        <v>259.88</v>
      </c>
      <c r="D394" s="5" t="n">
        <f aca="false">IFERROR(__xludf.dummyfunction("""COMPUTED_VALUE"""),249.57)</f>
        <v>249.57</v>
      </c>
      <c r="E394" s="5" t="n">
        <f aca="false">IFERROR(__xludf.dummyfunction("""COMPUTED_VALUE"""),251.9)</f>
        <v>251.9</v>
      </c>
      <c r="F394" s="5" t="n">
        <f aca="false">IFERROR(__xludf.dummyfunction("""COMPUTED_VALUE"""),39347957)</f>
        <v>39347957</v>
      </c>
    </row>
    <row r="395" customFormat="false" ht="15.75" hidden="false" customHeight="false" outlineLevel="0" collapsed="false">
      <c r="A395" s="6" t="n">
        <f aca="false">IFERROR(__xludf.dummyfunction("""COMPUTED_VALUE"""),44769.6666666667)</f>
        <v>44769.6666666667</v>
      </c>
      <c r="B395" s="5" t="n">
        <f aca="false">IFERROR(__xludf.dummyfunction("""COMPUTED_VALUE"""),261.16)</f>
        <v>261.16</v>
      </c>
      <c r="C395" s="5" t="n">
        <f aca="false">IFERROR(__xludf.dummyfunction("""COMPUTED_VALUE"""),270.05)</f>
        <v>270.05</v>
      </c>
      <c r="D395" s="5" t="n">
        <f aca="false">IFERROR(__xludf.dummyfunction("""COMPUTED_VALUE"""),258.85)</f>
        <v>258.85</v>
      </c>
      <c r="E395" s="5" t="n">
        <f aca="false">IFERROR(__xludf.dummyfunction("""COMPUTED_VALUE"""),268.74)</f>
        <v>268.74</v>
      </c>
      <c r="F395" s="5" t="n">
        <f aca="false">IFERROR(__xludf.dummyfunction("""COMPUTED_VALUE"""),45994049)</f>
        <v>45994049</v>
      </c>
    </row>
    <row r="396" customFormat="false" ht="15.75" hidden="false" customHeight="false" outlineLevel="0" collapsed="false">
      <c r="A396" s="6" t="n">
        <f aca="false">IFERROR(__xludf.dummyfunction("""COMPUTED_VALUE"""),44770.6666666667)</f>
        <v>44770.6666666667</v>
      </c>
      <c r="B396" s="5" t="n">
        <f aca="false">IFERROR(__xludf.dummyfunction("""COMPUTED_VALUE"""),269.75)</f>
        <v>269.75</v>
      </c>
      <c r="C396" s="5" t="n">
        <f aca="false">IFERROR(__xludf.dummyfunction("""COMPUTED_VALUE"""),277.84)</f>
        <v>277.84</v>
      </c>
      <c r="D396" s="5" t="n">
        <f aca="false">IFERROR(__xludf.dummyfunction("""COMPUTED_VALUE"""),267.87)</f>
        <v>267.87</v>
      </c>
      <c r="E396" s="5" t="n">
        <f aca="false">IFERROR(__xludf.dummyfunction("""COMPUTED_VALUE"""),276.41)</f>
        <v>276.41</v>
      </c>
      <c r="F396" s="5" t="n">
        <f aca="false">IFERROR(__xludf.dummyfunction("""COMPUTED_VALUE"""),33459327)</f>
        <v>33459327</v>
      </c>
    </row>
    <row r="397" customFormat="false" ht="15.75" hidden="false" customHeight="false" outlineLevel="0" collapsed="false">
      <c r="A397" s="6" t="n">
        <f aca="false">IFERROR(__xludf.dummyfunction("""COMPUTED_VALUE"""),44771.6666666667)</f>
        <v>44771.6666666667</v>
      </c>
      <c r="B397" s="5" t="n">
        <f aca="false">IFERROR(__xludf.dummyfunction("""COMPUTED_VALUE"""),277.7)</f>
        <v>277.7</v>
      </c>
      <c r="C397" s="5" t="n">
        <f aca="false">IFERROR(__xludf.dummyfunction("""COMPUTED_VALUE"""),282)</f>
        <v>282</v>
      </c>
      <c r="D397" s="5" t="n">
        <f aca="false">IFERROR(__xludf.dummyfunction("""COMPUTED_VALUE"""),276.63)</f>
        <v>276.63</v>
      </c>
      <c r="E397" s="5" t="n">
        <f aca="false">IFERROR(__xludf.dummyfunction("""COMPUTED_VALUE"""),280.74)</f>
        <v>280.74</v>
      </c>
      <c r="F397" s="5" t="n">
        <f aca="false">IFERROR(__xludf.dummyfunction("""COMPUTED_VALUE"""),32152752)</f>
        <v>32152752</v>
      </c>
    </row>
    <row r="398" customFormat="false" ht="15.75" hidden="false" customHeight="false" outlineLevel="0" collapsed="false">
      <c r="A398" s="6" t="n">
        <f aca="false">IFERROR(__xludf.dummyfunction("""COMPUTED_VALUE"""),44774.6666666667)</f>
        <v>44774.6666666667</v>
      </c>
      <c r="B398" s="5" t="n">
        <f aca="false">IFERROR(__xludf.dummyfunction("""COMPUTED_VALUE"""),277.82)</f>
        <v>277.82</v>
      </c>
      <c r="C398" s="5" t="n">
        <f aca="false">IFERROR(__xludf.dummyfunction("""COMPUTED_VALUE"""),281.28)</f>
        <v>281.28</v>
      </c>
      <c r="D398" s="5" t="n">
        <f aca="false">IFERROR(__xludf.dummyfunction("""COMPUTED_VALUE"""),275.84)</f>
        <v>275.84</v>
      </c>
      <c r="E398" s="5" t="n">
        <f aca="false">IFERROR(__xludf.dummyfunction("""COMPUTED_VALUE"""),278.01)</f>
        <v>278.01</v>
      </c>
      <c r="F398" s="5" t="n">
        <f aca="false">IFERROR(__xludf.dummyfunction("""COMPUTED_VALUE"""),21539580)</f>
        <v>21539580</v>
      </c>
    </row>
    <row r="399" customFormat="false" ht="15.75" hidden="false" customHeight="false" outlineLevel="0" collapsed="false">
      <c r="A399" s="6" t="n">
        <f aca="false">IFERROR(__xludf.dummyfunction("""COMPUTED_VALUE"""),44775.6666666667)</f>
        <v>44775.6666666667</v>
      </c>
      <c r="B399" s="5" t="n">
        <f aca="false">IFERROR(__xludf.dummyfunction("""COMPUTED_VALUE"""),276)</f>
        <v>276</v>
      </c>
      <c r="C399" s="5" t="n">
        <f aca="false">IFERROR(__xludf.dummyfunction("""COMPUTED_VALUE"""),277.89)</f>
        <v>277.89</v>
      </c>
      <c r="D399" s="5" t="n">
        <f aca="false">IFERROR(__xludf.dummyfunction("""COMPUTED_VALUE"""),272.38)</f>
        <v>272.38</v>
      </c>
      <c r="E399" s="5" t="n">
        <f aca="false">IFERROR(__xludf.dummyfunction("""COMPUTED_VALUE"""),274.82)</f>
        <v>274.82</v>
      </c>
      <c r="F399" s="5" t="n">
        <f aca="false">IFERROR(__xludf.dummyfunction("""COMPUTED_VALUE"""),22754184)</f>
        <v>22754184</v>
      </c>
    </row>
    <row r="400" customFormat="false" ht="15.75" hidden="false" customHeight="false" outlineLevel="0" collapsed="false">
      <c r="A400" s="6" t="n">
        <f aca="false">IFERROR(__xludf.dummyfunction("""COMPUTED_VALUE"""),44776.6666666667)</f>
        <v>44776.6666666667</v>
      </c>
      <c r="B400" s="5" t="n">
        <f aca="false">IFERROR(__xludf.dummyfunction("""COMPUTED_VALUE"""),276.76)</f>
        <v>276.76</v>
      </c>
      <c r="C400" s="5" t="n">
        <f aca="false">IFERROR(__xludf.dummyfunction("""COMPUTED_VALUE"""),283.5)</f>
        <v>283.5</v>
      </c>
      <c r="D400" s="5" t="n">
        <f aca="false">IFERROR(__xludf.dummyfunction("""COMPUTED_VALUE"""),276.61)</f>
        <v>276.61</v>
      </c>
      <c r="E400" s="5" t="n">
        <f aca="false">IFERROR(__xludf.dummyfunction("""COMPUTED_VALUE"""),282.47)</f>
        <v>282.47</v>
      </c>
      <c r="F400" s="5" t="n">
        <f aca="false">IFERROR(__xludf.dummyfunction("""COMPUTED_VALUE"""),23518874)</f>
        <v>23518874</v>
      </c>
    </row>
    <row r="401" customFormat="false" ht="15.75" hidden="false" customHeight="false" outlineLevel="0" collapsed="false">
      <c r="A401" s="6" t="n">
        <f aca="false">IFERROR(__xludf.dummyfunction("""COMPUTED_VALUE"""),44777.6666666667)</f>
        <v>44777.6666666667</v>
      </c>
      <c r="B401" s="5" t="n">
        <f aca="false">IFERROR(__xludf.dummyfunction("""COMPUTED_VALUE"""),281.8)</f>
        <v>281.8</v>
      </c>
      <c r="C401" s="5" t="n">
        <f aca="false">IFERROR(__xludf.dummyfunction("""COMPUTED_VALUE"""),283.8)</f>
        <v>283.8</v>
      </c>
      <c r="D401" s="5" t="n">
        <f aca="false">IFERROR(__xludf.dummyfunction("""COMPUTED_VALUE"""),280.17)</f>
        <v>280.17</v>
      </c>
      <c r="E401" s="5" t="n">
        <f aca="false">IFERROR(__xludf.dummyfunction("""COMPUTED_VALUE"""),283.65)</f>
        <v>283.65</v>
      </c>
      <c r="F401" s="5" t="n">
        <f aca="false">IFERROR(__xludf.dummyfunction("""COMPUTED_VALUE"""),18098668)</f>
        <v>18098668</v>
      </c>
    </row>
    <row r="402" customFormat="false" ht="15.75" hidden="false" customHeight="false" outlineLevel="0" collapsed="false">
      <c r="A402" s="6" t="n">
        <f aca="false">IFERROR(__xludf.dummyfunction("""COMPUTED_VALUE"""),44778.6666666667)</f>
        <v>44778.6666666667</v>
      </c>
      <c r="B402" s="5" t="n">
        <f aca="false">IFERROR(__xludf.dummyfunction("""COMPUTED_VALUE"""),279.15)</f>
        <v>279.15</v>
      </c>
      <c r="C402" s="5" t="n">
        <f aca="false">IFERROR(__xludf.dummyfunction("""COMPUTED_VALUE"""),283.65)</f>
        <v>283.65</v>
      </c>
      <c r="D402" s="5" t="n">
        <f aca="false">IFERROR(__xludf.dummyfunction("""COMPUTED_VALUE"""),278.68)</f>
        <v>278.68</v>
      </c>
      <c r="E402" s="5" t="n">
        <f aca="false">IFERROR(__xludf.dummyfunction("""COMPUTED_VALUE"""),282.91)</f>
        <v>282.91</v>
      </c>
      <c r="F402" s="5" t="n">
        <f aca="false">IFERROR(__xludf.dummyfunction("""COMPUTED_VALUE"""),16774606)</f>
        <v>16774606</v>
      </c>
    </row>
    <row r="403" customFormat="false" ht="15.75" hidden="false" customHeight="false" outlineLevel="0" collapsed="false">
      <c r="A403" s="6" t="n">
        <f aca="false">IFERROR(__xludf.dummyfunction("""COMPUTED_VALUE"""),44781.6666666667)</f>
        <v>44781.6666666667</v>
      </c>
      <c r="B403" s="5" t="n">
        <f aca="false">IFERROR(__xludf.dummyfunction("""COMPUTED_VALUE"""),284.05)</f>
        <v>284.05</v>
      </c>
      <c r="C403" s="5" t="n">
        <f aca="false">IFERROR(__xludf.dummyfunction("""COMPUTED_VALUE"""),285.92)</f>
        <v>285.92</v>
      </c>
      <c r="D403" s="5" t="n">
        <f aca="false">IFERROR(__xludf.dummyfunction("""COMPUTED_VALUE"""),279.32)</f>
        <v>279.32</v>
      </c>
      <c r="E403" s="5" t="n">
        <f aca="false">IFERROR(__xludf.dummyfunction("""COMPUTED_VALUE"""),280.32)</f>
        <v>280.32</v>
      </c>
      <c r="F403" s="5" t="n">
        <f aca="false">IFERROR(__xludf.dummyfunction("""COMPUTED_VALUE"""),18757818)</f>
        <v>18757818</v>
      </c>
    </row>
    <row r="404" customFormat="false" ht="15.75" hidden="false" customHeight="false" outlineLevel="0" collapsed="false">
      <c r="A404" s="6" t="n">
        <f aca="false">IFERROR(__xludf.dummyfunction("""COMPUTED_VALUE"""),44782.6666666667)</f>
        <v>44782.6666666667</v>
      </c>
      <c r="B404" s="5" t="n">
        <f aca="false">IFERROR(__xludf.dummyfunction("""COMPUTED_VALUE"""),279.64)</f>
        <v>279.64</v>
      </c>
      <c r="C404" s="5" t="n">
        <f aca="false">IFERROR(__xludf.dummyfunction("""COMPUTED_VALUE"""),283.08)</f>
        <v>283.08</v>
      </c>
      <c r="D404" s="5" t="n">
        <f aca="false">IFERROR(__xludf.dummyfunction("""COMPUTED_VALUE"""),277.61)</f>
        <v>277.61</v>
      </c>
      <c r="E404" s="5" t="n">
        <f aca="false">IFERROR(__xludf.dummyfunction("""COMPUTED_VALUE"""),282.3)</f>
        <v>282.3</v>
      </c>
      <c r="F404" s="5" t="n">
        <f aca="false">IFERROR(__xludf.dummyfunction("""COMPUTED_VALUE"""),23405238)</f>
        <v>23405238</v>
      </c>
    </row>
    <row r="405" customFormat="false" ht="15.75" hidden="false" customHeight="false" outlineLevel="0" collapsed="false">
      <c r="A405" s="6" t="n">
        <f aca="false">IFERROR(__xludf.dummyfunction("""COMPUTED_VALUE"""),44783.6666666667)</f>
        <v>44783.6666666667</v>
      </c>
      <c r="B405" s="5" t="n">
        <f aca="false">IFERROR(__xludf.dummyfunction("""COMPUTED_VALUE"""),288.17)</f>
        <v>288.17</v>
      </c>
      <c r="C405" s="5" t="n">
        <f aca="false">IFERROR(__xludf.dummyfunction("""COMPUTED_VALUE"""),289.81)</f>
        <v>289.81</v>
      </c>
      <c r="D405" s="5" t="n">
        <f aca="false">IFERROR(__xludf.dummyfunction("""COMPUTED_VALUE"""),286.94)</f>
        <v>286.94</v>
      </c>
      <c r="E405" s="5" t="n">
        <f aca="false">IFERROR(__xludf.dummyfunction("""COMPUTED_VALUE"""),289.16)</f>
        <v>289.16</v>
      </c>
      <c r="F405" s="5" t="n">
        <f aca="false">IFERROR(__xludf.dummyfunction("""COMPUTED_VALUE"""),24687845)</f>
        <v>24687845</v>
      </c>
    </row>
    <row r="406" customFormat="false" ht="15.75" hidden="false" customHeight="false" outlineLevel="0" collapsed="false">
      <c r="A406" s="6" t="n">
        <f aca="false">IFERROR(__xludf.dummyfunction("""COMPUTED_VALUE"""),44784.6666666667)</f>
        <v>44784.6666666667</v>
      </c>
      <c r="B406" s="5" t="n">
        <f aca="false">IFERROR(__xludf.dummyfunction("""COMPUTED_VALUE"""),290.85)</f>
        <v>290.85</v>
      </c>
      <c r="C406" s="5" t="n">
        <f aca="false">IFERROR(__xludf.dummyfunction("""COMPUTED_VALUE"""),291.21)</f>
        <v>291.21</v>
      </c>
      <c r="D406" s="5" t="n">
        <f aca="false">IFERROR(__xludf.dummyfunction("""COMPUTED_VALUE"""),286.51)</f>
        <v>286.51</v>
      </c>
      <c r="E406" s="5" t="n">
        <f aca="false">IFERROR(__xludf.dummyfunction("""COMPUTED_VALUE"""),287.02)</f>
        <v>287.02</v>
      </c>
      <c r="F406" s="5" t="n">
        <f aca="false">IFERROR(__xludf.dummyfunction("""COMPUTED_VALUE"""),20065938)</f>
        <v>20065938</v>
      </c>
    </row>
    <row r="407" customFormat="false" ht="15.75" hidden="false" customHeight="false" outlineLevel="0" collapsed="false">
      <c r="A407" s="6" t="n">
        <f aca="false">IFERROR(__xludf.dummyfunction("""COMPUTED_VALUE"""),44785.6666666667)</f>
        <v>44785.6666666667</v>
      </c>
      <c r="B407" s="5" t="n">
        <f aca="false">IFERROR(__xludf.dummyfunction("""COMPUTED_VALUE"""),288.48)</f>
        <v>288.48</v>
      </c>
      <c r="C407" s="5" t="n">
        <f aca="false">IFERROR(__xludf.dummyfunction("""COMPUTED_VALUE"""),291.91)</f>
        <v>291.91</v>
      </c>
      <c r="D407" s="5" t="n">
        <f aca="false">IFERROR(__xludf.dummyfunction("""COMPUTED_VALUE"""),286.94)</f>
        <v>286.94</v>
      </c>
      <c r="E407" s="5" t="n">
        <f aca="false">IFERROR(__xludf.dummyfunction("""COMPUTED_VALUE"""),291.91)</f>
        <v>291.91</v>
      </c>
      <c r="F407" s="5" t="n">
        <f aca="false">IFERROR(__xludf.dummyfunction("""COMPUTED_VALUE"""),22619675)</f>
        <v>22619675</v>
      </c>
    </row>
    <row r="408" customFormat="false" ht="15.75" hidden="false" customHeight="false" outlineLevel="0" collapsed="false">
      <c r="A408" s="6" t="n">
        <f aca="false">IFERROR(__xludf.dummyfunction("""COMPUTED_VALUE"""),44788.6666666667)</f>
        <v>44788.6666666667</v>
      </c>
      <c r="B408" s="5" t="n">
        <f aca="false">IFERROR(__xludf.dummyfunction("""COMPUTED_VALUE"""),291)</f>
        <v>291</v>
      </c>
      <c r="C408" s="5" t="n">
        <f aca="false">IFERROR(__xludf.dummyfunction("""COMPUTED_VALUE"""),294.18)</f>
        <v>294.18</v>
      </c>
      <c r="D408" s="5" t="n">
        <f aca="false">IFERROR(__xludf.dummyfunction("""COMPUTED_VALUE"""),290.11)</f>
        <v>290.11</v>
      </c>
      <c r="E408" s="5" t="n">
        <f aca="false">IFERROR(__xludf.dummyfunction("""COMPUTED_VALUE"""),293.47)</f>
        <v>293.47</v>
      </c>
      <c r="F408" s="5" t="n">
        <f aca="false">IFERROR(__xludf.dummyfunction("""COMPUTED_VALUE"""),18085654)</f>
        <v>18085654</v>
      </c>
    </row>
    <row r="409" customFormat="false" ht="15.75" hidden="false" customHeight="false" outlineLevel="0" collapsed="false">
      <c r="A409" s="6" t="n">
        <f aca="false">IFERROR(__xludf.dummyfunction("""COMPUTED_VALUE"""),44789.6666666667)</f>
        <v>44789.6666666667</v>
      </c>
      <c r="B409" s="5" t="n">
        <f aca="false">IFERROR(__xludf.dummyfunction("""COMPUTED_VALUE"""),291.99)</f>
        <v>291.99</v>
      </c>
      <c r="C409" s="5" t="n">
        <f aca="false">IFERROR(__xludf.dummyfunction("""COMPUTED_VALUE"""),294.04)</f>
        <v>294.04</v>
      </c>
      <c r="D409" s="5" t="n">
        <f aca="false">IFERROR(__xludf.dummyfunction("""COMPUTED_VALUE"""),290.42)</f>
        <v>290.42</v>
      </c>
      <c r="E409" s="5" t="n">
        <f aca="false">IFERROR(__xludf.dummyfunction("""COMPUTED_VALUE"""),292.71)</f>
        <v>292.71</v>
      </c>
      <c r="F409" s="5" t="n">
        <f aca="false">IFERROR(__xludf.dummyfunction("""COMPUTED_VALUE"""),18102882)</f>
        <v>18102882</v>
      </c>
    </row>
    <row r="410" customFormat="false" ht="15.75" hidden="false" customHeight="false" outlineLevel="0" collapsed="false">
      <c r="A410" s="6" t="n">
        <f aca="false">IFERROR(__xludf.dummyfunction("""COMPUTED_VALUE"""),44790.6666666667)</f>
        <v>44790.6666666667</v>
      </c>
      <c r="B410" s="5" t="n">
        <f aca="false">IFERROR(__xludf.dummyfunction("""COMPUTED_VALUE"""),289.74)</f>
        <v>289.74</v>
      </c>
      <c r="C410" s="5" t="n">
        <f aca="false">IFERROR(__xludf.dummyfunction("""COMPUTED_VALUE"""),293.35)</f>
        <v>293.35</v>
      </c>
      <c r="D410" s="5" t="n">
        <f aca="false">IFERROR(__xludf.dummyfunction("""COMPUTED_VALUE"""),289.47)</f>
        <v>289.47</v>
      </c>
      <c r="E410" s="5" t="n">
        <f aca="false">IFERROR(__xludf.dummyfunction("""COMPUTED_VALUE"""),291.32)</f>
        <v>291.32</v>
      </c>
      <c r="F410" s="5" t="n">
        <f aca="false">IFERROR(__xludf.dummyfunction("""COMPUTED_VALUE"""),18253358)</f>
        <v>18253358</v>
      </c>
    </row>
    <row r="411" customFormat="false" ht="15.75" hidden="false" customHeight="false" outlineLevel="0" collapsed="false">
      <c r="A411" s="6" t="n">
        <f aca="false">IFERROR(__xludf.dummyfunction("""COMPUTED_VALUE"""),44791.6666666667)</f>
        <v>44791.6666666667</v>
      </c>
      <c r="B411" s="5" t="n">
        <f aca="false">IFERROR(__xludf.dummyfunction("""COMPUTED_VALUE"""),290.19)</f>
        <v>290.19</v>
      </c>
      <c r="C411" s="5" t="n">
        <f aca="false">IFERROR(__xludf.dummyfunction("""COMPUTED_VALUE"""),291.91)</f>
        <v>291.91</v>
      </c>
      <c r="D411" s="5" t="n">
        <f aca="false">IFERROR(__xludf.dummyfunction("""COMPUTED_VALUE"""),289.08)</f>
        <v>289.08</v>
      </c>
      <c r="E411" s="5" t="n">
        <f aca="false">IFERROR(__xludf.dummyfunction("""COMPUTED_VALUE"""),290.17)</f>
        <v>290.17</v>
      </c>
      <c r="F411" s="5" t="n">
        <f aca="false">IFERROR(__xludf.dummyfunction("""COMPUTED_VALUE"""),17186192)</f>
        <v>17186192</v>
      </c>
    </row>
    <row r="412" customFormat="false" ht="15.75" hidden="false" customHeight="false" outlineLevel="0" collapsed="false">
      <c r="A412" s="6" t="n">
        <f aca="false">IFERROR(__xludf.dummyfunction("""COMPUTED_VALUE"""),44792.6666666667)</f>
        <v>44792.6666666667</v>
      </c>
      <c r="B412" s="5" t="n">
        <f aca="false">IFERROR(__xludf.dummyfunction("""COMPUTED_VALUE"""),288.9)</f>
        <v>288.9</v>
      </c>
      <c r="C412" s="5" t="n">
        <f aca="false">IFERROR(__xludf.dummyfunction("""COMPUTED_VALUE"""),289.25)</f>
        <v>289.25</v>
      </c>
      <c r="D412" s="5" t="n">
        <f aca="false">IFERROR(__xludf.dummyfunction("""COMPUTED_VALUE"""),285.56)</f>
        <v>285.56</v>
      </c>
      <c r="E412" s="5" t="n">
        <f aca="false">IFERROR(__xludf.dummyfunction("""COMPUTED_VALUE"""),286.15)</f>
        <v>286.15</v>
      </c>
      <c r="F412" s="5" t="n">
        <f aca="false">IFERROR(__xludf.dummyfunction("""COMPUTED_VALUE"""),20570033)</f>
        <v>20570033</v>
      </c>
    </row>
    <row r="413" customFormat="false" ht="15.75" hidden="false" customHeight="false" outlineLevel="0" collapsed="false">
      <c r="A413" s="6" t="n">
        <f aca="false">IFERROR(__xludf.dummyfunction("""COMPUTED_VALUE"""),44795.6666666667)</f>
        <v>44795.6666666667</v>
      </c>
      <c r="B413" s="5" t="n">
        <f aca="false">IFERROR(__xludf.dummyfunction("""COMPUTED_VALUE"""),282.08)</f>
        <v>282.08</v>
      </c>
      <c r="C413" s="5" t="n">
        <f aca="false">IFERROR(__xludf.dummyfunction("""COMPUTED_VALUE"""),282.46)</f>
        <v>282.46</v>
      </c>
      <c r="D413" s="5" t="n">
        <f aca="false">IFERROR(__xludf.dummyfunction("""COMPUTED_VALUE"""),277.22)</f>
        <v>277.22</v>
      </c>
      <c r="E413" s="5" t="n">
        <f aca="false">IFERROR(__xludf.dummyfunction("""COMPUTED_VALUE"""),277.75)</f>
        <v>277.75</v>
      </c>
      <c r="F413" s="5" t="n">
        <f aca="false">IFERROR(__xludf.dummyfunction("""COMPUTED_VALUE"""),25061070)</f>
        <v>25061070</v>
      </c>
    </row>
    <row r="414" customFormat="false" ht="15.75" hidden="false" customHeight="false" outlineLevel="0" collapsed="false">
      <c r="A414" s="6" t="n">
        <f aca="false">IFERROR(__xludf.dummyfunction("""COMPUTED_VALUE"""),44796.6666666667)</f>
        <v>44796.6666666667</v>
      </c>
      <c r="B414" s="5" t="n">
        <f aca="false">IFERROR(__xludf.dummyfunction("""COMPUTED_VALUE"""),276.44)</f>
        <v>276.44</v>
      </c>
      <c r="C414" s="5" t="n">
        <f aca="false">IFERROR(__xludf.dummyfunction("""COMPUTED_VALUE"""),278.86)</f>
        <v>278.86</v>
      </c>
      <c r="D414" s="5" t="n">
        <f aca="false">IFERROR(__xludf.dummyfunction("""COMPUTED_VALUE"""),275.4)</f>
        <v>275.4</v>
      </c>
      <c r="E414" s="5" t="n">
        <f aca="false">IFERROR(__xludf.dummyfunction("""COMPUTED_VALUE"""),276.44)</f>
        <v>276.44</v>
      </c>
      <c r="F414" s="5" t="n">
        <f aca="false">IFERROR(__xludf.dummyfunction("""COMPUTED_VALUE"""),17527409)</f>
        <v>17527409</v>
      </c>
    </row>
    <row r="415" customFormat="false" ht="15.75" hidden="false" customHeight="false" outlineLevel="0" collapsed="false">
      <c r="A415" s="6" t="n">
        <f aca="false">IFERROR(__xludf.dummyfunction("""COMPUTED_VALUE"""),44797.6666666667)</f>
        <v>44797.6666666667</v>
      </c>
      <c r="B415" s="5" t="n">
        <f aca="false">IFERROR(__xludf.dummyfunction("""COMPUTED_VALUE"""),275.41)</f>
        <v>275.41</v>
      </c>
      <c r="C415" s="5" t="n">
        <f aca="false">IFERROR(__xludf.dummyfunction("""COMPUTED_VALUE"""),277.23)</f>
        <v>277.23</v>
      </c>
      <c r="D415" s="5" t="n">
        <f aca="false">IFERROR(__xludf.dummyfunction("""COMPUTED_VALUE"""),275.11)</f>
        <v>275.11</v>
      </c>
      <c r="E415" s="5" t="n">
        <f aca="false">IFERROR(__xludf.dummyfunction("""COMPUTED_VALUE"""),275.79)</f>
        <v>275.79</v>
      </c>
      <c r="F415" s="5" t="n">
        <f aca="false">IFERROR(__xludf.dummyfunction("""COMPUTED_VALUE"""),18137019)</f>
        <v>18137019</v>
      </c>
    </row>
    <row r="416" customFormat="false" ht="15.75" hidden="false" customHeight="false" outlineLevel="0" collapsed="false">
      <c r="A416" s="6" t="n">
        <f aca="false">IFERROR(__xludf.dummyfunction("""COMPUTED_VALUE"""),44798.6666666667)</f>
        <v>44798.6666666667</v>
      </c>
      <c r="B416" s="5" t="n">
        <f aca="false">IFERROR(__xludf.dummyfunction("""COMPUTED_VALUE"""),277.33)</f>
        <v>277.33</v>
      </c>
      <c r="C416" s="5" t="n">
        <f aca="false">IFERROR(__xludf.dummyfunction("""COMPUTED_VALUE"""),279.02)</f>
        <v>279.02</v>
      </c>
      <c r="D416" s="5" t="n">
        <f aca="false">IFERROR(__xludf.dummyfunction("""COMPUTED_VALUE"""),274.52)</f>
        <v>274.52</v>
      </c>
      <c r="E416" s="5" t="n">
        <f aca="false">IFERROR(__xludf.dummyfunction("""COMPUTED_VALUE"""),278.85)</f>
        <v>278.85</v>
      </c>
      <c r="F416" s="5" t="n">
        <f aca="false">IFERROR(__xludf.dummyfunction("""COMPUTED_VALUE"""),16583407)</f>
        <v>16583407</v>
      </c>
    </row>
    <row r="417" customFormat="false" ht="15.75" hidden="false" customHeight="false" outlineLevel="0" collapsed="false">
      <c r="A417" s="6" t="n">
        <f aca="false">IFERROR(__xludf.dummyfunction("""COMPUTED_VALUE"""),44799.6666666667)</f>
        <v>44799.6666666667</v>
      </c>
      <c r="B417" s="5" t="n">
        <f aca="false">IFERROR(__xludf.dummyfunction("""COMPUTED_VALUE"""),279.08)</f>
        <v>279.08</v>
      </c>
      <c r="C417" s="5" t="n">
        <f aca="false">IFERROR(__xludf.dummyfunction("""COMPUTED_VALUE"""),280.34)</f>
        <v>280.34</v>
      </c>
      <c r="D417" s="5" t="n">
        <f aca="false">IFERROR(__xludf.dummyfunction("""COMPUTED_VALUE"""),267.98)</f>
        <v>267.98</v>
      </c>
      <c r="E417" s="5" t="n">
        <f aca="false">IFERROR(__xludf.dummyfunction("""COMPUTED_VALUE"""),268.09)</f>
        <v>268.09</v>
      </c>
      <c r="F417" s="5" t="n">
        <f aca="false">IFERROR(__xludf.dummyfunction("""COMPUTED_VALUE"""),27549307)</f>
        <v>27549307</v>
      </c>
    </row>
    <row r="418" customFormat="false" ht="15.75" hidden="false" customHeight="false" outlineLevel="0" collapsed="false">
      <c r="A418" s="6" t="n">
        <f aca="false">IFERROR(__xludf.dummyfunction("""COMPUTED_VALUE"""),44802.6666666667)</f>
        <v>44802.6666666667</v>
      </c>
      <c r="B418" s="5" t="n">
        <f aca="false">IFERROR(__xludf.dummyfunction("""COMPUTED_VALUE"""),265.85)</f>
        <v>265.85</v>
      </c>
      <c r="C418" s="5" t="n">
        <f aca="false">IFERROR(__xludf.dummyfunction("""COMPUTED_VALUE"""),267.4)</f>
        <v>267.4</v>
      </c>
      <c r="D418" s="5" t="n">
        <f aca="false">IFERROR(__xludf.dummyfunction("""COMPUTED_VALUE"""),263.85)</f>
        <v>263.85</v>
      </c>
      <c r="E418" s="5" t="n">
        <f aca="false">IFERROR(__xludf.dummyfunction("""COMPUTED_VALUE"""),265.23)</f>
        <v>265.23</v>
      </c>
      <c r="F418" s="5" t="n">
        <f aca="false">IFERROR(__xludf.dummyfunction("""COMPUTED_VALUE"""),20338544)</f>
        <v>20338544</v>
      </c>
    </row>
    <row r="419" customFormat="false" ht="15.75" hidden="false" customHeight="false" outlineLevel="0" collapsed="false">
      <c r="A419" s="6" t="n">
        <f aca="false">IFERROR(__xludf.dummyfunction("""COMPUTED_VALUE"""),44803.6666666667)</f>
        <v>44803.6666666667</v>
      </c>
      <c r="B419" s="5" t="n">
        <f aca="false">IFERROR(__xludf.dummyfunction("""COMPUTED_VALUE"""),266.67)</f>
        <v>266.67</v>
      </c>
      <c r="C419" s="5" t="n">
        <f aca="false">IFERROR(__xludf.dummyfunction("""COMPUTED_VALUE"""),267.05)</f>
        <v>267.05</v>
      </c>
      <c r="D419" s="5" t="n">
        <f aca="false">IFERROR(__xludf.dummyfunction("""COMPUTED_VALUE"""),260.66)</f>
        <v>260.66</v>
      </c>
      <c r="E419" s="5" t="n">
        <f aca="false">IFERROR(__xludf.dummyfunction("""COMPUTED_VALUE"""),262.97)</f>
        <v>262.97</v>
      </c>
      <c r="F419" s="5" t="n">
        <f aca="false">IFERROR(__xludf.dummyfunction("""COMPUTED_VALUE"""),22767071)</f>
        <v>22767071</v>
      </c>
    </row>
    <row r="420" customFormat="false" ht="15.75" hidden="false" customHeight="false" outlineLevel="0" collapsed="false">
      <c r="A420" s="6" t="n">
        <f aca="false">IFERROR(__xludf.dummyfunction("""COMPUTED_VALUE"""),44804.6666666667)</f>
        <v>44804.6666666667</v>
      </c>
      <c r="B420" s="5" t="n">
        <f aca="false">IFERROR(__xludf.dummyfunction("""COMPUTED_VALUE"""),265.39)</f>
        <v>265.39</v>
      </c>
      <c r="C420" s="5" t="n">
        <f aca="false">IFERROR(__xludf.dummyfunction("""COMPUTED_VALUE"""),267.11)</f>
        <v>267.11</v>
      </c>
      <c r="D420" s="5" t="n">
        <f aca="false">IFERROR(__xludf.dummyfunction("""COMPUTED_VALUE"""),261.33)</f>
        <v>261.33</v>
      </c>
      <c r="E420" s="5" t="n">
        <f aca="false">IFERROR(__xludf.dummyfunction("""COMPUTED_VALUE"""),261.47)</f>
        <v>261.47</v>
      </c>
      <c r="F420" s="5" t="n">
        <f aca="false">IFERROR(__xludf.dummyfunction("""COMPUTED_VALUE"""),24791834)</f>
        <v>24791834</v>
      </c>
    </row>
    <row r="421" customFormat="false" ht="15.75" hidden="false" customHeight="false" outlineLevel="0" collapsed="false">
      <c r="A421" s="6" t="n">
        <f aca="false">IFERROR(__xludf.dummyfunction("""COMPUTED_VALUE"""),44805.6666666667)</f>
        <v>44805.6666666667</v>
      </c>
      <c r="B421" s="5" t="n">
        <f aca="false">IFERROR(__xludf.dummyfunction("""COMPUTED_VALUE"""),258.87)</f>
        <v>258.87</v>
      </c>
      <c r="C421" s="5" t="n">
        <f aca="false">IFERROR(__xludf.dummyfunction("""COMPUTED_VALUE"""),260.89)</f>
        <v>260.89</v>
      </c>
      <c r="D421" s="5" t="n">
        <f aca="false">IFERROR(__xludf.dummyfunction("""COMPUTED_VALUE"""),255.41)</f>
        <v>255.41</v>
      </c>
      <c r="E421" s="5" t="n">
        <f aca="false">IFERROR(__xludf.dummyfunction("""COMPUTED_VALUE"""),260.4)</f>
        <v>260.4</v>
      </c>
      <c r="F421" s="5" t="n">
        <f aca="false">IFERROR(__xludf.dummyfunction("""COMPUTED_VALUE"""),23263431)</f>
        <v>23263431</v>
      </c>
    </row>
    <row r="422" customFormat="false" ht="15.75" hidden="false" customHeight="false" outlineLevel="0" collapsed="false">
      <c r="A422" s="6" t="n">
        <f aca="false">IFERROR(__xludf.dummyfunction("""COMPUTED_VALUE"""),44806.6666666667)</f>
        <v>44806.6666666667</v>
      </c>
      <c r="B422" s="5" t="n">
        <f aca="false">IFERROR(__xludf.dummyfunction("""COMPUTED_VALUE"""),261.7)</f>
        <v>261.7</v>
      </c>
      <c r="C422" s="5" t="n">
        <f aca="false">IFERROR(__xludf.dummyfunction("""COMPUTED_VALUE"""),264.74)</f>
        <v>264.74</v>
      </c>
      <c r="D422" s="5" t="n">
        <f aca="false">IFERROR(__xludf.dummyfunction("""COMPUTED_VALUE"""),254.47)</f>
        <v>254.47</v>
      </c>
      <c r="E422" s="5" t="n">
        <f aca="false">IFERROR(__xludf.dummyfunction("""COMPUTED_VALUE"""),256.06)</f>
        <v>256.06</v>
      </c>
      <c r="F422" s="5" t="n">
        <f aca="false">IFERROR(__xludf.dummyfunction("""COMPUTED_VALUE"""),22855380)</f>
        <v>22855380</v>
      </c>
    </row>
    <row r="423" customFormat="false" ht="15.75" hidden="false" customHeight="false" outlineLevel="0" collapsed="false">
      <c r="A423" s="6" t="n">
        <f aca="false">IFERROR(__xludf.dummyfunction("""COMPUTED_VALUE"""),44810.6666666667)</f>
        <v>44810.6666666667</v>
      </c>
      <c r="B423" s="5" t="n">
        <f aca="false">IFERROR(__xludf.dummyfunction("""COMPUTED_VALUE"""),256.2)</f>
        <v>256.2</v>
      </c>
      <c r="C423" s="5" t="n">
        <f aca="false">IFERROR(__xludf.dummyfunction("""COMPUTED_VALUE"""),257.83)</f>
        <v>257.83</v>
      </c>
      <c r="D423" s="5" t="n">
        <f aca="false">IFERROR(__xludf.dummyfunction("""COMPUTED_VALUE"""),251.94)</f>
        <v>251.94</v>
      </c>
      <c r="E423" s="5" t="n">
        <f aca="false">IFERROR(__xludf.dummyfunction("""COMPUTED_VALUE"""),253.25)</f>
        <v>253.25</v>
      </c>
      <c r="F423" s="5" t="n">
        <f aca="false">IFERROR(__xludf.dummyfunction("""COMPUTED_VALUE"""),21328242)</f>
        <v>21328242</v>
      </c>
    </row>
    <row r="424" customFormat="false" ht="15.75" hidden="false" customHeight="false" outlineLevel="0" collapsed="false">
      <c r="A424" s="6" t="n">
        <f aca="false">IFERROR(__xludf.dummyfunction("""COMPUTED_VALUE"""),44811.6666666667)</f>
        <v>44811.6666666667</v>
      </c>
      <c r="B424" s="5" t="n">
        <f aca="false">IFERROR(__xludf.dummyfunction("""COMPUTED_VALUE"""),254.7)</f>
        <v>254.7</v>
      </c>
      <c r="C424" s="5" t="n">
        <f aca="false">IFERROR(__xludf.dummyfunction("""COMPUTED_VALUE"""),258.83)</f>
        <v>258.83</v>
      </c>
      <c r="D424" s="5" t="n">
        <f aca="false">IFERROR(__xludf.dummyfunction("""COMPUTED_VALUE"""),253.22)</f>
        <v>253.22</v>
      </c>
      <c r="E424" s="5" t="n">
        <f aca="false">IFERROR(__xludf.dummyfunction("""COMPUTED_VALUE"""),258.09)</f>
        <v>258.09</v>
      </c>
      <c r="F424" s="5" t="n">
        <f aca="false">IFERROR(__xludf.dummyfunction("""COMPUTED_VALUE"""),24126700)</f>
        <v>24126700</v>
      </c>
    </row>
    <row r="425" customFormat="false" ht="15.75" hidden="false" customHeight="false" outlineLevel="0" collapsed="false">
      <c r="A425" s="6" t="n">
        <f aca="false">IFERROR(__xludf.dummyfunction("""COMPUTED_VALUE"""),44812.6666666667)</f>
        <v>44812.6666666667</v>
      </c>
      <c r="B425" s="5" t="n">
        <f aca="false">IFERROR(__xludf.dummyfunction("""COMPUTED_VALUE"""),257.51)</f>
        <v>257.51</v>
      </c>
      <c r="C425" s="5" t="n">
        <f aca="false">IFERROR(__xludf.dummyfunction("""COMPUTED_VALUE"""),260.43)</f>
        <v>260.43</v>
      </c>
      <c r="D425" s="5" t="n">
        <f aca="false">IFERROR(__xludf.dummyfunction("""COMPUTED_VALUE"""),254.79)</f>
        <v>254.79</v>
      </c>
      <c r="E425" s="5" t="n">
        <f aca="false">IFERROR(__xludf.dummyfunction("""COMPUTED_VALUE"""),258.52)</f>
        <v>258.52</v>
      </c>
      <c r="F425" s="5" t="n">
        <f aca="false">IFERROR(__xludf.dummyfunction("""COMPUTED_VALUE"""),20319911)</f>
        <v>20319911</v>
      </c>
    </row>
    <row r="426" customFormat="false" ht="15.75" hidden="false" customHeight="false" outlineLevel="0" collapsed="false">
      <c r="A426" s="6" t="n">
        <f aca="false">IFERROR(__xludf.dummyfunction("""COMPUTED_VALUE"""),44813.6666666667)</f>
        <v>44813.6666666667</v>
      </c>
      <c r="B426" s="5" t="n">
        <f aca="false">IFERROR(__xludf.dummyfunction("""COMPUTED_VALUE"""),260.5)</f>
        <v>260.5</v>
      </c>
      <c r="C426" s="5" t="n">
        <f aca="false">IFERROR(__xludf.dummyfunction("""COMPUTED_VALUE"""),265.23)</f>
        <v>265.23</v>
      </c>
      <c r="D426" s="5" t="n">
        <f aca="false">IFERROR(__xludf.dummyfunction("""COMPUTED_VALUE"""),260.29)</f>
        <v>260.29</v>
      </c>
      <c r="E426" s="5" t="n">
        <f aca="false">IFERROR(__xludf.dummyfunction("""COMPUTED_VALUE"""),264.46)</f>
        <v>264.46</v>
      </c>
      <c r="F426" s="5" t="n">
        <f aca="false">IFERROR(__xludf.dummyfunction("""COMPUTED_VALUE"""),22093190)</f>
        <v>22093190</v>
      </c>
    </row>
    <row r="427" customFormat="false" ht="15.75" hidden="false" customHeight="false" outlineLevel="0" collapsed="false">
      <c r="A427" s="6" t="n">
        <f aca="false">IFERROR(__xludf.dummyfunction("""COMPUTED_VALUE"""),44816.6666666667)</f>
        <v>44816.6666666667</v>
      </c>
      <c r="B427" s="5" t="n">
        <f aca="false">IFERROR(__xludf.dummyfunction("""COMPUTED_VALUE"""),265.78)</f>
        <v>265.78</v>
      </c>
      <c r="C427" s="5" t="n">
        <f aca="false">IFERROR(__xludf.dummyfunction("""COMPUTED_VALUE"""),267.45)</f>
        <v>267.45</v>
      </c>
      <c r="D427" s="5" t="n">
        <f aca="false">IFERROR(__xludf.dummyfunction("""COMPUTED_VALUE"""),265.16)</f>
        <v>265.16</v>
      </c>
      <c r="E427" s="5" t="n">
        <f aca="false">IFERROR(__xludf.dummyfunction("""COMPUTED_VALUE"""),266.65)</f>
        <v>266.65</v>
      </c>
      <c r="F427" s="5" t="n">
        <f aca="false">IFERROR(__xludf.dummyfunction("""COMPUTED_VALUE"""),18747690)</f>
        <v>18747690</v>
      </c>
    </row>
    <row r="428" customFormat="false" ht="15.75" hidden="false" customHeight="false" outlineLevel="0" collapsed="false">
      <c r="A428" s="6" t="n">
        <f aca="false">IFERROR(__xludf.dummyfunction("""COMPUTED_VALUE"""),44817.6666666667)</f>
        <v>44817.6666666667</v>
      </c>
      <c r="B428" s="5" t="n">
        <f aca="false">IFERROR(__xludf.dummyfunction("""COMPUTED_VALUE"""),258.84)</f>
        <v>258.84</v>
      </c>
      <c r="C428" s="5" t="n">
        <f aca="false">IFERROR(__xludf.dummyfunction("""COMPUTED_VALUE"""),260.4)</f>
        <v>260.4</v>
      </c>
      <c r="D428" s="5" t="n">
        <f aca="false">IFERROR(__xludf.dummyfunction("""COMPUTED_VALUE"""),251.59)</f>
        <v>251.59</v>
      </c>
      <c r="E428" s="5" t="n">
        <f aca="false">IFERROR(__xludf.dummyfunction("""COMPUTED_VALUE"""),251.99)</f>
        <v>251.99</v>
      </c>
      <c r="F428" s="5" t="n">
        <f aca="false">IFERROR(__xludf.dummyfunction("""COMPUTED_VALUE"""),33353318)</f>
        <v>33353318</v>
      </c>
    </row>
    <row r="429" customFormat="false" ht="15.75" hidden="false" customHeight="false" outlineLevel="0" collapsed="false">
      <c r="A429" s="6" t="n">
        <f aca="false">IFERROR(__xludf.dummyfunction("""COMPUTED_VALUE"""),44818.6666666667)</f>
        <v>44818.6666666667</v>
      </c>
      <c r="B429" s="5" t="n">
        <f aca="false">IFERROR(__xludf.dummyfunction("""COMPUTED_VALUE"""),253.53)</f>
        <v>253.53</v>
      </c>
      <c r="C429" s="5" t="n">
        <f aca="false">IFERROR(__xludf.dummyfunction("""COMPUTED_VALUE"""),254.23)</f>
        <v>254.23</v>
      </c>
      <c r="D429" s="5" t="n">
        <f aca="false">IFERROR(__xludf.dummyfunction("""COMPUTED_VALUE"""),249.86)</f>
        <v>249.86</v>
      </c>
      <c r="E429" s="5" t="n">
        <f aca="false">IFERROR(__xludf.dummyfunction("""COMPUTED_VALUE"""),252.22)</f>
        <v>252.22</v>
      </c>
      <c r="F429" s="5" t="n">
        <f aca="false">IFERROR(__xludf.dummyfunction("""COMPUTED_VALUE"""),23912954)</f>
        <v>23912954</v>
      </c>
    </row>
    <row r="430" customFormat="false" ht="15.75" hidden="false" customHeight="false" outlineLevel="0" collapsed="false">
      <c r="A430" s="6" t="n">
        <f aca="false">IFERROR(__xludf.dummyfunction("""COMPUTED_VALUE"""),44819.6666666667)</f>
        <v>44819.6666666667</v>
      </c>
      <c r="B430" s="5" t="n">
        <f aca="false">IFERROR(__xludf.dummyfunction("""COMPUTED_VALUE"""),249.77)</f>
        <v>249.77</v>
      </c>
      <c r="C430" s="5" t="n">
        <f aca="false">IFERROR(__xludf.dummyfunction("""COMPUTED_VALUE"""),251.4)</f>
        <v>251.4</v>
      </c>
      <c r="D430" s="5" t="n">
        <f aca="false">IFERROR(__xludf.dummyfunction("""COMPUTED_VALUE"""),244.02)</f>
        <v>244.02</v>
      </c>
      <c r="E430" s="5" t="n">
        <f aca="false">IFERROR(__xludf.dummyfunction("""COMPUTED_VALUE"""),245.38)</f>
        <v>245.38</v>
      </c>
      <c r="F430" s="5" t="n">
        <f aca="false">IFERROR(__xludf.dummyfunction("""COMPUTED_VALUE"""),31530948)</f>
        <v>31530948</v>
      </c>
    </row>
    <row r="431" customFormat="false" ht="15.75" hidden="false" customHeight="false" outlineLevel="0" collapsed="false">
      <c r="A431" s="6" t="n">
        <f aca="false">IFERROR(__xludf.dummyfunction("""COMPUTED_VALUE"""),44820.6666666667)</f>
        <v>44820.6666666667</v>
      </c>
      <c r="B431" s="5" t="n">
        <f aca="false">IFERROR(__xludf.dummyfunction("""COMPUTED_VALUE"""),244.26)</f>
        <v>244.26</v>
      </c>
      <c r="C431" s="5" t="n">
        <f aca="false">IFERROR(__xludf.dummyfunction("""COMPUTED_VALUE"""),245.3)</f>
        <v>245.3</v>
      </c>
      <c r="D431" s="5" t="n">
        <f aca="false">IFERROR(__xludf.dummyfunction("""COMPUTED_VALUE"""),242.06)</f>
        <v>242.06</v>
      </c>
      <c r="E431" s="5" t="n">
        <f aca="false">IFERROR(__xludf.dummyfunction("""COMPUTED_VALUE"""),244.74)</f>
        <v>244.74</v>
      </c>
      <c r="F431" s="5" t="n">
        <f aca="false">IFERROR(__xludf.dummyfunction("""COMPUTED_VALUE"""),39791768)</f>
        <v>39791768</v>
      </c>
    </row>
    <row r="432" customFormat="false" ht="15.75" hidden="false" customHeight="false" outlineLevel="0" collapsed="false">
      <c r="A432" s="6" t="n">
        <f aca="false">IFERROR(__xludf.dummyfunction("""COMPUTED_VALUE"""),44823.6666666667)</f>
        <v>44823.6666666667</v>
      </c>
      <c r="B432" s="5" t="n">
        <f aca="false">IFERROR(__xludf.dummyfunction("""COMPUTED_VALUE"""),242.47)</f>
        <v>242.47</v>
      </c>
      <c r="C432" s="5" t="n">
        <f aca="false">IFERROR(__xludf.dummyfunction("""COMPUTED_VALUE"""),245.14)</f>
        <v>245.14</v>
      </c>
      <c r="D432" s="5" t="n">
        <f aca="false">IFERROR(__xludf.dummyfunction("""COMPUTED_VALUE"""),240.85)</f>
        <v>240.85</v>
      </c>
      <c r="E432" s="5" t="n">
        <f aca="false">IFERROR(__xludf.dummyfunction("""COMPUTED_VALUE"""),244.52)</f>
        <v>244.52</v>
      </c>
      <c r="F432" s="5" t="n">
        <f aca="false">IFERROR(__xludf.dummyfunction("""COMPUTED_VALUE"""),26826931)</f>
        <v>26826931</v>
      </c>
    </row>
    <row r="433" customFormat="false" ht="15.75" hidden="false" customHeight="false" outlineLevel="0" collapsed="false">
      <c r="A433" s="6" t="n">
        <f aca="false">IFERROR(__xludf.dummyfunction("""COMPUTED_VALUE"""),44824.6666666667)</f>
        <v>44824.6666666667</v>
      </c>
      <c r="B433" s="5" t="n">
        <f aca="false">IFERROR(__xludf.dummyfunction("""COMPUTED_VALUE"""),242.07)</f>
        <v>242.07</v>
      </c>
      <c r="C433" s="5" t="n">
        <f aca="false">IFERROR(__xludf.dummyfunction("""COMPUTED_VALUE"""),243.51)</f>
        <v>243.51</v>
      </c>
      <c r="D433" s="5" t="n">
        <f aca="false">IFERROR(__xludf.dummyfunction("""COMPUTED_VALUE"""),239.64)</f>
        <v>239.64</v>
      </c>
      <c r="E433" s="5" t="n">
        <f aca="false">IFERROR(__xludf.dummyfunction("""COMPUTED_VALUE"""),242.45)</f>
        <v>242.45</v>
      </c>
      <c r="F433" s="5" t="n">
        <f aca="false">IFERROR(__xludf.dummyfunction("""COMPUTED_VALUE"""),26660299)</f>
        <v>26660299</v>
      </c>
    </row>
    <row r="434" customFormat="false" ht="15.75" hidden="false" customHeight="false" outlineLevel="0" collapsed="false">
      <c r="A434" s="6" t="n">
        <f aca="false">IFERROR(__xludf.dummyfunction("""COMPUTED_VALUE"""),44825.6666666667)</f>
        <v>44825.6666666667</v>
      </c>
      <c r="B434" s="5" t="n">
        <f aca="false">IFERROR(__xludf.dummyfunction("""COMPUTED_VALUE"""),244.27)</f>
        <v>244.27</v>
      </c>
      <c r="C434" s="5" t="n">
        <f aca="false">IFERROR(__xludf.dummyfunction("""COMPUTED_VALUE"""),247.66)</f>
        <v>247.66</v>
      </c>
      <c r="D434" s="5" t="n">
        <f aca="false">IFERROR(__xludf.dummyfunction("""COMPUTED_VALUE"""),238.9)</f>
        <v>238.9</v>
      </c>
      <c r="E434" s="5" t="n">
        <f aca="false">IFERROR(__xludf.dummyfunction("""COMPUTED_VALUE"""),238.95)</f>
        <v>238.95</v>
      </c>
      <c r="F434" s="5" t="n">
        <f aca="false">IFERROR(__xludf.dummyfunction("""COMPUTED_VALUE"""),28625557)</f>
        <v>28625557</v>
      </c>
    </row>
    <row r="435" customFormat="false" ht="15.75" hidden="false" customHeight="false" outlineLevel="0" collapsed="false">
      <c r="A435" s="6" t="n">
        <f aca="false">IFERROR(__xludf.dummyfunction("""COMPUTED_VALUE"""),44826.6666666667)</f>
        <v>44826.6666666667</v>
      </c>
      <c r="B435" s="5" t="n">
        <f aca="false">IFERROR(__xludf.dummyfunction("""COMPUTED_VALUE"""),237.87)</f>
        <v>237.87</v>
      </c>
      <c r="C435" s="5" t="n">
        <f aca="false">IFERROR(__xludf.dummyfunction("""COMPUTED_VALUE"""),243.86)</f>
        <v>243.86</v>
      </c>
      <c r="D435" s="5" t="n">
        <f aca="false">IFERROR(__xludf.dummyfunction("""COMPUTED_VALUE"""),237.57)</f>
        <v>237.57</v>
      </c>
      <c r="E435" s="5" t="n">
        <f aca="false">IFERROR(__xludf.dummyfunction("""COMPUTED_VALUE"""),240.98)</f>
        <v>240.98</v>
      </c>
      <c r="F435" s="5" t="n">
        <f aca="false">IFERROR(__xludf.dummyfunction("""COMPUTED_VALUE"""),31061162)</f>
        <v>31061162</v>
      </c>
    </row>
    <row r="436" customFormat="false" ht="15.75" hidden="false" customHeight="false" outlineLevel="0" collapsed="false">
      <c r="A436" s="6" t="n">
        <f aca="false">IFERROR(__xludf.dummyfunction("""COMPUTED_VALUE"""),44827.6666666667)</f>
        <v>44827.6666666667</v>
      </c>
      <c r="B436" s="5" t="n">
        <f aca="false">IFERROR(__xludf.dummyfunction("""COMPUTED_VALUE"""),239.54)</f>
        <v>239.54</v>
      </c>
      <c r="C436" s="5" t="n">
        <f aca="false">IFERROR(__xludf.dummyfunction("""COMPUTED_VALUE"""),241.13)</f>
        <v>241.13</v>
      </c>
      <c r="D436" s="5" t="n">
        <f aca="false">IFERROR(__xludf.dummyfunction("""COMPUTED_VALUE"""),235.2)</f>
        <v>235.2</v>
      </c>
      <c r="E436" s="5" t="n">
        <f aca="false">IFERROR(__xludf.dummyfunction("""COMPUTED_VALUE"""),237.92)</f>
        <v>237.92</v>
      </c>
      <c r="F436" s="5" t="n">
        <f aca="false">IFERROR(__xludf.dummyfunction("""COMPUTED_VALUE"""),34176048)</f>
        <v>34176048</v>
      </c>
    </row>
    <row r="437" customFormat="false" ht="15.75" hidden="false" customHeight="false" outlineLevel="0" collapsed="false">
      <c r="A437" s="6" t="n">
        <f aca="false">IFERROR(__xludf.dummyfunction("""COMPUTED_VALUE"""),44830.6666666667)</f>
        <v>44830.6666666667</v>
      </c>
      <c r="B437" s="5" t="n">
        <f aca="false">IFERROR(__xludf.dummyfunction("""COMPUTED_VALUE"""),237.05)</f>
        <v>237.05</v>
      </c>
      <c r="C437" s="5" t="n">
        <f aca="false">IFERROR(__xludf.dummyfunction("""COMPUTED_VALUE"""),241.45)</f>
        <v>241.45</v>
      </c>
      <c r="D437" s="5" t="n">
        <f aca="false">IFERROR(__xludf.dummyfunction("""COMPUTED_VALUE"""),236.9)</f>
        <v>236.9</v>
      </c>
      <c r="E437" s="5" t="n">
        <f aca="false">IFERROR(__xludf.dummyfunction("""COMPUTED_VALUE"""),237.45)</f>
        <v>237.45</v>
      </c>
      <c r="F437" s="5" t="n">
        <f aca="false">IFERROR(__xludf.dummyfunction("""COMPUTED_VALUE"""),27694190)</f>
        <v>27694190</v>
      </c>
    </row>
    <row r="438" customFormat="false" ht="15.75" hidden="false" customHeight="false" outlineLevel="0" collapsed="false">
      <c r="A438" s="6" t="n">
        <f aca="false">IFERROR(__xludf.dummyfunction("""COMPUTED_VALUE"""),44831.6666666667)</f>
        <v>44831.6666666667</v>
      </c>
      <c r="B438" s="5" t="n">
        <f aca="false">IFERROR(__xludf.dummyfunction("""COMPUTED_VALUE"""),239.98)</f>
        <v>239.98</v>
      </c>
      <c r="C438" s="5" t="n">
        <f aca="false">IFERROR(__xludf.dummyfunction("""COMPUTED_VALUE"""),241.8)</f>
        <v>241.8</v>
      </c>
      <c r="D438" s="5" t="n">
        <f aca="false">IFERROR(__xludf.dummyfunction("""COMPUTED_VALUE"""),234.5)</f>
        <v>234.5</v>
      </c>
      <c r="E438" s="5" t="n">
        <f aca="false">IFERROR(__xludf.dummyfunction("""COMPUTED_VALUE"""),236.41)</f>
        <v>236.41</v>
      </c>
      <c r="F438" s="5" t="n">
        <f aca="false">IFERROR(__xludf.dummyfunction("""COMPUTED_VALUE"""),27018732)</f>
        <v>27018732</v>
      </c>
    </row>
    <row r="439" customFormat="false" ht="15.75" hidden="false" customHeight="false" outlineLevel="0" collapsed="false">
      <c r="A439" s="6" t="n">
        <f aca="false">IFERROR(__xludf.dummyfunction("""COMPUTED_VALUE"""),44832.6666666667)</f>
        <v>44832.6666666667</v>
      </c>
      <c r="B439" s="5" t="n">
        <f aca="false">IFERROR(__xludf.dummyfunction("""COMPUTED_VALUE"""),236.81)</f>
        <v>236.81</v>
      </c>
      <c r="C439" s="5" t="n">
        <f aca="false">IFERROR(__xludf.dummyfunction("""COMPUTED_VALUE"""),242.33)</f>
        <v>242.33</v>
      </c>
      <c r="D439" s="5" t="n">
        <f aca="false">IFERROR(__xludf.dummyfunction("""COMPUTED_VALUE"""),234.73)</f>
        <v>234.73</v>
      </c>
      <c r="E439" s="5" t="n">
        <f aca="false">IFERROR(__xludf.dummyfunction("""COMPUTED_VALUE"""),241.07)</f>
        <v>241.07</v>
      </c>
      <c r="F439" s="5" t="n">
        <f aca="false">IFERROR(__xludf.dummyfunction("""COMPUTED_VALUE"""),29029679)</f>
        <v>29029679</v>
      </c>
    </row>
    <row r="440" customFormat="false" ht="15.75" hidden="false" customHeight="false" outlineLevel="0" collapsed="false">
      <c r="A440" s="6" t="n">
        <f aca="false">IFERROR(__xludf.dummyfunction("""COMPUTED_VALUE"""),44833.6666666667)</f>
        <v>44833.6666666667</v>
      </c>
      <c r="B440" s="5" t="n">
        <f aca="false">IFERROR(__xludf.dummyfunction("""COMPUTED_VALUE"""),238.89)</f>
        <v>238.89</v>
      </c>
      <c r="C440" s="5" t="n">
        <f aca="false">IFERROR(__xludf.dummyfunction("""COMPUTED_VALUE"""),239.95)</f>
        <v>239.95</v>
      </c>
      <c r="D440" s="5" t="n">
        <f aca="false">IFERROR(__xludf.dummyfunction("""COMPUTED_VALUE"""),234.41)</f>
        <v>234.41</v>
      </c>
      <c r="E440" s="5" t="n">
        <f aca="false">IFERROR(__xludf.dummyfunction("""COMPUTED_VALUE"""),237.5)</f>
        <v>237.5</v>
      </c>
      <c r="F440" s="5" t="n">
        <f aca="false">IFERROR(__xludf.dummyfunction("""COMPUTED_VALUE"""),27484233)</f>
        <v>27484233</v>
      </c>
    </row>
    <row r="441" customFormat="false" ht="15.75" hidden="false" customHeight="false" outlineLevel="0" collapsed="false">
      <c r="A441" s="6" t="n">
        <f aca="false">IFERROR(__xludf.dummyfunction("""COMPUTED_VALUE"""),44834.6666666667)</f>
        <v>44834.6666666667</v>
      </c>
      <c r="B441" s="5" t="n">
        <f aca="false">IFERROR(__xludf.dummyfunction("""COMPUTED_VALUE"""),238.29)</f>
        <v>238.29</v>
      </c>
      <c r="C441" s="5" t="n">
        <f aca="false">IFERROR(__xludf.dummyfunction("""COMPUTED_VALUE"""),240.54)</f>
        <v>240.54</v>
      </c>
      <c r="D441" s="5" t="n">
        <f aca="false">IFERROR(__xludf.dummyfunction("""COMPUTED_VALUE"""),232.73)</f>
        <v>232.73</v>
      </c>
      <c r="E441" s="5" t="n">
        <f aca="false">IFERROR(__xludf.dummyfunction("""COMPUTED_VALUE"""),232.9)</f>
        <v>232.9</v>
      </c>
      <c r="F441" s="5" t="n">
        <f aca="false">IFERROR(__xludf.dummyfunction("""COMPUTED_VALUE"""),35694832)</f>
        <v>35694832</v>
      </c>
    </row>
    <row r="442" customFormat="false" ht="15.75" hidden="false" customHeight="false" outlineLevel="0" collapsed="false">
      <c r="A442" s="6" t="n">
        <f aca="false">IFERROR(__xludf.dummyfunction("""COMPUTED_VALUE"""),44837.6666666667)</f>
        <v>44837.6666666667</v>
      </c>
      <c r="B442" s="5" t="n">
        <f aca="false">IFERROR(__xludf.dummyfunction("""COMPUTED_VALUE"""),235.41)</f>
        <v>235.41</v>
      </c>
      <c r="C442" s="5" t="n">
        <f aca="false">IFERROR(__xludf.dummyfunction("""COMPUTED_VALUE"""),241.61)</f>
        <v>241.61</v>
      </c>
      <c r="D442" s="5" t="n">
        <f aca="false">IFERROR(__xludf.dummyfunction("""COMPUTED_VALUE"""),234.66)</f>
        <v>234.66</v>
      </c>
      <c r="E442" s="5" t="n">
        <f aca="false">IFERROR(__xludf.dummyfunction("""COMPUTED_VALUE"""),240.74)</f>
        <v>240.74</v>
      </c>
      <c r="F442" s="5" t="n">
        <f aca="false">IFERROR(__xludf.dummyfunction("""COMPUTED_VALUE"""),28880357)</f>
        <v>28880357</v>
      </c>
    </row>
    <row r="443" customFormat="false" ht="15.75" hidden="false" customHeight="false" outlineLevel="0" collapsed="false">
      <c r="A443" s="6" t="n">
        <f aca="false">IFERROR(__xludf.dummyfunction("""COMPUTED_VALUE"""),44838.6666666667)</f>
        <v>44838.6666666667</v>
      </c>
      <c r="B443" s="5" t="n">
        <f aca="false">IFERROR(__xludf.dummyfunction("""COMPUTED_VALUE"""),245.09)</f>
        <v>245.09</v>
      </c>
      <c r="C443" s="5" t="n">
        <f aca="false">IFERROR(__xludf.dummyfunction("""COMPUTED_VALUE"""),250.36)</f>
        <v>250.36</v>
      </c>
      <c r="D443" s="5" t="n">
        <f aca="false">IFERROR(__xludf.dummyfunction("""COMPUTED_VALUE"""),244.98)</f>
        <v>244.98</v>
      </c>
      <c r="E443" s="5" t="n">
        <f aca="false">IFERROR(__xludf.dummyfunction("""COMPUTED_VALUE"""),248.88)</f>
        <v>248.88</v>
      </c>
      <c r="F443" s="5" t="n">
        <f aca="false">IFERROR(__xludf.dummyfunction("""COMPUTED_VALUE"""),34888416)</f>
        <v>34888416</v>
      </c>
    </row>
    <row r="444" customFormat="false" ht="15.75" hidden="false" customHeight="false" outlineLevel="0" collapsed="false">
      <c r="A444" s="6" t="n">
        <f aca="false">IFERROR(__xludf.dummyfunction("""COMPUTED_VALUE"""),44839.6666666667)</f>
        <v>44839.6666666667</v>
      </c>
      <c r="B444" s="5" t="n">
        <f aca="false">IFERROR(__xludf.dummyfunction("""COMPUTED_VALUE"""),245.99)</f>
        <v>245.99</v>
      </c>
      <c r="C444" s="5" t="n">
        <f aca="false">IFERROR(__xludf.dummyfunction("""COMPUTED_VALUE"""),250.58)</f>
        <v>250.58</v>
      </c>
      <c r="D444" s="5" t="n">
        <f aca="false">IFERROR(__xludf.dummyfunction("""COMPUTED_VALUE"""),244.1)</f>
        <v>244.1</v>
      </c>
      <c r="E444" s="5" t="n">
        <f aca="false">IFERROR(__xludf.dummyfunction("""COMPUTED_VALUE"""),249.2)</f>
        <v>249.2</v>
      </c>
      <c r="F444" s="5" t="n">
        <f aca="false">IFERROR(__xludf.dummyfunction("""COMPUTED_VALUE"""),20347136)</f>
        <v>20347136</v>
      </c>
    </row>
    <row r="445" customFormat="false" ht="15.75" hidden="false" customHeight="false" outlineLevel="0" collapsed="false">
      <c r="A445" s="6" t="n">
        <f aca="false">IFERROR(__xludf.dummyfunction("""COMPUTED_VALUE"""),44840.6666666667)</f>
        <v>44840.6666666667</v>
      </c>
      <c r="B445" s="5" t="n">
        <f aca="false">IFERROR(__xludf.dummyfunction("""COMPUTED_VALUE"""),247.93)</f>
        <v>247.93</v>
      </c>
      <c r="C445" s="5" t="n">
        <f aca="false">IFERROR(__xludf.dummyfunction("""COMPUTED_VALUE"""),250.34)</f>
        <v>250.34</v>
      </c>
      <c r="D445" s="5" t="n">
        <f aca="false">IFERROR(__xludf.dummyfunction("""COMPUTED_VALUE"""),246.08)</f>
        <v>246.08</v>
      </c>
      <c r="E445" s="5" t="n">
        <f aca="false">IFERROR(__xludf.dummyfunction("""COMPUTED_VALUE"""),246.79)</f>
        <v>246.79</v>
      </c>
      <c r="F445" s="5" t="n">
        <f aca="false">IFERROR(__xludf.dummyfunction("""COMPUTED_VALUE"""),20239886)</f>
        <v>20239886</v>
      </c>
    </row>
    <row r="446" customFormat="false" ht="15.75" hidden="false" customHeight="false" outlineLevel="0" collapsed="false">
      <c r="A446" s="6" t="n">
        <f aca="false">IFERROR(__xludf.dummyfunction("""COMPUTED_VALUE"""),44841.6666666667)</f>
        <v>44841.6666666667</v>
      </c>
      <c r="B446" s="5" t="n">
        <f aca="false">IFERROR(__xludf.dummyfunction("""COMPUTED_VALUE"""),240.9)</f>
        <v>240.9</v>
      </c>
      <c r="C446" s="5" t="n">
        <f aca="false">IFERROR(__xludf.dummyfunction("""COMPUTED_VALUE"""),241.32)</f>
        <v>241.32</v>
      </c>
      <c r="D446" s="5" t="n">
        <f aca="false">IFERROR(__xludf.dummyfunction("""COMPUTED_VALUE"""),233.17)</f>
        <v>233.17</v>
      </c>
      <c r="E446" s="5" t="n">
        <f aca="false">IFERROR(__xludf.dummyfunction("""COMPUTED_VALUE"""),234.24)</f>
        <v>234.24</v>
      </c>
      <c r="F446" s="5" t="n">
        <f aca="false">IFERROR(__xludf.dummyfunction("""COMPUTED_VALUE"""),37769602)</f>
        <v>37769602</v>
      </c>
    </row>
    <row r="447" customFormat="false" ht="15.75" hidden="false" customHeight="false" outlineLevel="0" collapsed="false">
      <c r="A447" s="6" t="n">
        <f aca="false">IFERROR(__xludf.dummyfunction("""COMPUTED_VALUE"""),44844.6666666667)</f>
        <v>44844.6666666667</v>
      </c>
      <c r="B447" s="5" t="n">
        <f aca="false">IFERROR(__xludf.dummyfunction("""COMPUTED_VALUE"""),233.05)</f>
        <v>233.05</v>
      </c>
      <c r="C447" s="5" t="n">
        <f aca="false">IFERROR(__xludf.dummyfunction("""COMPUTED_VALUE"""),234.56)</f>
        <v>234.56</v>
      </c>
      <c r="D447" s="5" t="n">
        <f aca="false">IFERROR(__xludf.dummyfunction("""COMPUTED_VALUE"""),226.73)</f>
        <v>226.73</v>
      </c>
      <c r="E447" s="5" t="n">
        <f aca="false">IFERROR(__xludf.dummyfunction("""COMPUTED_VALUE"""),229.25)</f>
        <v>229.25</v>
      </c>
      <c r="F447" s="5" t="n">
        <f aca="false">IFERROR(__xludf.dummyfunction("""COMPUTED_VALUE"""),29743608)</f>
        <v>29743608</v>
      </c>
    </row>
    <row r="448" customFormat="false" ht="15.75" hidden="false" customHeight="false" outlineLevel="0" collapsed="false">
      <c r="A448" s="6" t="n">
        <f aca="false">IFERROR(__xludf.dummyfunction("""COMPUTED_VALUE"""),44845.6666666667)</f>
        <v>44845.6666666667</v>
      </c>
      <c r="B448" s="5" t="n">
        <f aca="false">IFERROR(__xludf.dummyfunction("""COMPUTED_VALUE"""),227.62)</f>
        <v>227.62</v>
      </c>
      <c r="C448" s="5" t="n">
        <f aca="false">IFERROR(__xludf.dummyfunction("""COMPUTED_VALUE"""),229.06)</f>
        <v>229.06</v>
      </c>
      <c r="D448" s="5" t="n">
        <f aca="false">IFERROR(__xludf.dummyfunction("""COMPUTED_VALUE"""),224.11)</f>
        <v>224.11</v>
      </c>
      <c r="E448" s="5" t="n">
        <f aca="false">IFERROR(__xludf.dummyfunction("""COMPUTED_VALUE"""),225.41)</f>
        <v>225.41</v>
      </c>
      <c r="F448" s="5" t="n">
        <f aca="false">IFERROR(__xludf.dummyfunction("""COMPUTED_VALUE"""),30473954)</f>
        <v>30473954</v>
      </c>
    </row>
    <row r="449" customFormat="false" ht="15.75" hidden="false" customHeight="false" outlineLevel="0" collapsed="false">
      <c r="A449" s="6" t="n">
        <f aca="false">IFERROR(__xludf.dummyfunction("""COMPUTED_VALUE"""),44846.6666666667)</f>
        <v>44846.6666666667</v>
      </c>
      <c r="B449" s="5" t="n">
        <f aca="false">IFERROR(__xludf.dummyfunction("""COMPUTED_VALUE"""),225.4)</f>
        <v>225.4</v>
      </c>
      <c r="C449" s="5" t="n">
        <f aca="false">IFERROR(__xludf.dummyfunction("""COMPUTED_VALUE"""),227.86)</f>
        <v>227.86</v>
      </c>
      <c r="D449" s="5" t="n">
        <f aca="false">IFERROR(__xludf.dummyfunction("""COMPUTED_VALUE"""),223.96)</f>
        <v>223.96</v>
      </c>
      <c r="E449" s="5" t="n">
        <f aca="false">IFERROR(__xludf.dummyfunction("""COMPUTED_VALUE"""),225.75)</f>
        <v>225.75</v>
      </c>
      <c r="F449" s="5" t="n">
        <f aca="false">IFERROR(__xludf.dummyfunction("""COMPUTED_VALUE"""),21903937)</f>
        <v>21903937</v>
      </c>
    </row>
    <row r="450" customFormat="false" ht="15.75" hidden="false" customHeight="false" outlineLevel="0" collapsed="false">
      <c r="A450" s="6" t="n">
        <f aca="false">IFERROR(__xludf.dummyfunction("""COMPUTED_VALUE"""),44847.6666666667)</f>
        <v>44847.6666666667</v>
      </c>
      <c r="B450" s="5" t="n">
        <f aca="false">IFERROR(__xludf.dummyfunction("""COMPUTED_VALUE"""),219.85)</f>
        <v>219.85</v>
      </c>
      <c r="C450" s="5" t="n">
        <f aca="false">IFERROR(__xludf.dummyfunction("""COMPUTED_VALUE"""),236.1)</f>
        <v>236.1</v>
      </c>
      <c r="D450" s="5" t="n">
        <f aca="false">IFERROR(__xludf.dummyfunction("""COMPUTED_VALUE"""),219.13)</f>
        <v>219.13</v>
      </c>
      <c r="E450" s="5" t="n">
        <f aca="false">IFERROR(__xludf.dummyfunction("""COMPUTED_VALUE"""),234.24)</f>
        <v>234.24</v>
      </c>
      <c r="F450" s="5" t="n">
        <f aca="false">IFERROR(__xludf.dummyfunction("""COMPUTED_VALUE"""),42551818)</f>
        <v>42551818</v>
      </c>
    </row>
    <row r="451" customFormat="false" ht="15.75" hidden="false" customHeight="false" outlineLevel="0" collapsed="false">
      <c r="A451" s="6" t="n">
        <f aca="false">IFERROR(__xludf.dummyfunction("""COMPUTED_VALUE"""),44848.6666666667)</f>
        <v>44848.6666666667</v>
      </c>
      <c r="B451" s="5" t="n">
        <f aca="false">IFERROR(__xludf.dummyfunction("""COMPUTED_VALUE"""),235.54)</f>
        <v>235.54</v>
      </c>
      <c r="C451" s="5" t="n">
        <f aca="false">IFERROR(__xludf.dummyfunction("""COMPUTED_VALUE"""),237.24)</f>
        <v>237.24</v>
      </c>
      <c r="D451" s="5" t="n">
        <f aca="false">IFERROR(__xludf.dummyfunction("""COMPUTED_VALUE"""),228.34)</f>
        <v>228.34</v>
      </c>
      <c r="E451" s="5" t="n">
        <f aca="false">IFERROR(__xludf.dummyfunction("""COMPUTED_VALUE"""),228.56)</f>
        <v>228.56</v>
      </c>
      <c r="F451" s="5" t="n">
        <f aca="false">IFERROR(__xludf.dummyfunction("""COMPUTED_VALUE"""),30198588)</f>
        <v>30198588</v>
      </c>
    </row>
    <row r="452" customFormat="false" ht="15.75" hidden="false" customHeight="false" outlineLevel="0" collapsed="false">
      <c r="A452" s="6" t="n">
        <f aca="false">IFERROR(__xludf.dummyfunction("""COMPUTED_VALUE"""),44851.6666666667)</f>
        <v>44851.6666666667</v>
      </c>
      <c r="B452" s="5" t="n">
        <f aca="false">IFERROR(__xludf.dummyfunction("""COMPUTED_VALUE"""),235.82)</f>
        <v>235.82</v>
      </c>
      <c r="C452" s="5" t="n">
        <f aca="false">IFERROR(__xludf.dummyfunction("""COMPUTED_VALUE"""),238.96)</f>
        <v>238.96</v>
      </c>
      <c r="D452" s="5" t="n">
        <f aca="false">IFERROR(__xludf.dummyfunction("""COMPUTED_VALUE"""),235.14)</f>
        <v>235.14</v>
      </c>
      <c r="E452" s="5" t="n">
        <f aca="false">IFERROR(__xludf.dummyfunction("""COMPUTED_VALUE"""),237.53)</f>
        <v>237.53</v>
      </c>
      <c r="F452" s="5" t="n">
        <f aca="false">IFERROR(__xludf.dummyfunction("""COMPUTED_VALUE"""),28142268)</f>
        <v>28142268</v>
      </c>
    </row>
    <row r="453" customFormat="false" ht="15.75" hidden="false" customHeight="false" outlineLevel="0" collapsed="false">
      <c r="A453" s="6" t="n">
        <f aca="false">IFERROR(__xludf.dummyfunction("""COMPUTED_VALUE"""),44852.6666666667)</f>
        <v>44852.6666666667</v>
      </c>
      <c r="B453" s="5" t="n">
        <f aca="false">IFERROR(__xludf.dummyfunction("""COMPUTED_VALUE"""),243.24)</f>
        <v>243.24</v>
      </c>
      <c r="C453" s="5" t="n">
        <f aca="false">IFERROR(__xludf.dummyfunction("""COMPUTED_VALUE"""),243.93)</f>
        <v>243.93</v>
      </c>
      <c r="D453" s="5" t="n">
        <f aca="false">IFERROR(__xludf.dummyfunction("""COMPUTED_VALUE"""),235.37)</f>
        <v>235.37</v>
      </c>
      <c r="E453" s="5" t="n">
        <f aca="false">IFERROR(__xludf.dummyfunction("""COMPUTED_VALUE"""),238.5)</f>
        <v>238.5</v>
      </c>
      <c r="F453" s="5" t="n">
        <f aca="false">IFERROR(__xludf.dummyfunction("""COMPUTED_VALUE"""),26329591)</f>
        <v>26329591</v>
      </c>
    </row>
    <row r="454" customFormat="false" ht="15.75" hidden="false" customHeight="false" outlineLevel="0" collapsed="false">
      <c r="A454" s="6" t="n">
        <f aca="false">IFERROR(__xludf.dummyfunction("""COMPUTED_VALUE"""),44853.6666666667)</f>
        <v>44853.6666666667</v>
      </c>
      <c r="B454" s="5" t="n">
        <f aca="false">IFERROR(__xludf.dummyfunction("""COMPUTED_VALUE"""),237.04)</f>
        <v>237.04</v>
      </c>
      <c r="C454" s="5" t="n">
        <f aca="false">IFERROR(__xludf.dummyfunction("""COMPUTED_VALUE"""),239.61)</f>
        <v>239.61</v>
      </c>
      <c r="D454" s="5" t="n">
        <f aca="false">IFERROR(__xludf.dummyfunction("""COMPUTED_VALUE"""),234.29)</f>
        <v>234.29</v>
      </c>
      <c r="E454" s="5" t="n">
        <f aca="false">IFERROR(__xludf.dummyfunction("""COMPUTED_VALUE"""),236.48)</f>
        <v>236.48</v>
      </c>
      <c r="F454" s="5" t="n">
        <f aca="false">IFERROR(__xludf.dummyfunction("""COMPUTED_VALUE"""),19985698)</f>
        <v>19985698</v>
      </c>
    </row>
    <row r="455" customFormat="false" ht="15.75" hidden="false" customHeight="false" outlineLevel="0" collapsed="false">
      <c r="A455" s="6" t="n">
        <f aca="false">IFERROR(__xludf.dummyfunction("""COMPUTED_VALUE"""),44854.6666666667)</f>
        <v>44854.6666666667</v>
      </c>
      <c r="B455" s="5" t="n">
        <f aca="false">IFERROR(__xludf.dummyfunction("""COMPUTED_VALUE"""),235.77)</f>
        <v>235.77</v>
      </c>
      <c r="C455" s="5" t="n">
        <f aca="false">IFERROR(__xludf.dummyfunction("""COMPUTED_VALUE"""),241.31)</f>
        <v>241.31</v>
      </c>
      <c r="D455" s="5" t="n">
        <f aca="false">IFERROR(__xludf.dummyfunction("""COMPUTED_VALUE"""),234.87)</f>
        <v>234.87</v>
      </c>
      <c r="E455" s="5" t="n">
        <f aca="false">IFERROR(__xludf.dummyfunction("""COMPUTED_VALUE"""),236.15)</f>
        <v>236.15</v>
      </c>
      <c r="F455" s="5" t="n">
        <f aca="false">IFERROR(__xludf.dummyfunction("""COMPUTED_VALUE"""),21811015)</f>
        <v>21811015</v>
      </c>
    </row>
    <row r="456" customFormat="false" ht="15.75" hidden="false" customHeight="false" outlineLevel="0" collapsed="false">
      <c r="A456" s="6" t="n">
        <f aca="false">IFERROR(__xludf.dummyfunction("""COMPUTED_VALUE"""),44855.6666666667)</f>
        <v>44855.6666666667</v>
      </c>
      <c r="B456" s="5" t="n">
        <f aca="false">IFERROR(__xludf.dummyfunction("""COMPUTED_VALUE"""),234.74)</f>
        <v>234.74</v>
      </c>
      <c r="C456" s="5" t="n">
        <f aca="false">IFERROR(__xludf.dummyfunction("""COMPUTED_VALUE"""),243)</f>
        <v>243</v>
      </c>
      <c r="D456" s="5" t="n">
        <f aca="false">IFERROR(__xludf.dummyfunction("""COMPUTED_VALUE"""),234.5)</f>
        <v>234.5</v>
      </c>
      <c r="E456" s="5" t="n">
        <f aca="false">IFERROR(__xludf.dummyfunction("""COMPUTED_VALUE"""),242.12)</f>
        <v>242.12</v>
      </c>
      <c r="F456" s="5" t="n">
        <f aca="false">IFERROR(__xludf.dummyfunction("""COMPUTED_VALUE"""),26299733)</f>
        <v>26299733</v>
      </c>
    </row>
    <row r="457" customFormat="false" ht="15.75" hidden="false" customHeight="false" outlineLevel="0" collapsed="false">
      <c r="A457" s="6" t="n">
        <f aca="false">IFERROR(__xludf.dummyfunction("""COMPUTED_VALUE"""),44858.6666666667)</f>
        <v>44858.6666666667</v>
      </c>
      <c r="B457" s="5" t="n">
        <f aca="false">IFERROR(__xludf.dummyfunction("""COMPUTED_VALUE"""),243.76)</f>
        <v>243.76</v>
      </c>
      <c r="C457" s="5" t="n">
        <f aca="false">IFERROR(__xludf.dummyfunction("""COMPUTED_VALUE"""),247.84)</f>
        <v>247.84</v>
      </c>
      <c r="D457" s="5" t="n">
        <f aca="false">IFERROR(__xludf.dummyfunction("""COMPUTED_VALUE"""),241.3)</f>
        <v>241.3</v>
      </c>
      <c r="E457" s="5" t="n">
        <f aca="false">IFERROR(__xludf.dummyfunction("""COMPUTED_VALUE"""),247.25)</f>
        <v>247.25</v>
      </c>
      <c r="F457" s="5" t="n">
        <f aca="false">IFERROR(__xludf.dummyfunction("""COMPUTED_VALUE"""),24911212)</f>
        <v>24911212</v>
      </c>
    </row>
    <row r="458" customFormat="false" ht="15.75" hidden="false" customHeight="false" outlineLevel="0" collapsed="false">
      <c r="A458" s="6" t="n">
        <f aca="false">IFERROR(__xludf.dummyfunction("""COMPUTED_VALUE"""),44859.6666666667)</f>
        <v>44859.6666666667</v>
      </c>
      <c r="B458" s="5" t="n">
        <f aca="false">IFERROR(__xludf.dummyfunction("""COMPUTED_VALUE"""),247.26)</f>
        <v>247.26</v>
      </c>
      <c r="C458" s="5" t="n">
        <f aca="false">IFERROR(__xludf.dummyfunction("""COMPUTED_VALUE"""),251.04)</f>
        <v>251.04</v>
      </c>
      <c r="D458" s="5" t="n">
        <f aca="false">IFERROR(__xludf.dummyfunction("""COMPUTED_VALUE"""),245.83)</f>
        <v>245.83</v>
      </c>
      <c r="E458" s="5" t="n">
        <f aca="false">IFERROR(__xludf.dummyfunction("""COMPUTED_VALUE"""),250.66)</f>
        <v>250.66</v>
      </c>
      <c r="F458" s="5" t="n">
        <f aca="false">IFERROR(__xludf.dummyfunction("""COMPUTED_VALUE"""),34775505)</f>
        <v>34775505</v>
      </c>
    </row>
    <row r="459" customFormat="false" ht="15.75" hidden="false" customHeight="false" outlineLevel="0" collapsed="false">
      <c r="A459" s="6" t="n">
        <f aca="false">IFERROR(__xludf.dummyfunction("""COMPUTED_VALUE"""),44860.6666666667)</f>
        <v>44860.6666666667</v>
      </c>
      <c r="B459" s="5" t="n">
        <f aca="false">IFERROR(__xludf.dummyfunction("""COMPUTED_VALUE"""),231.17)</f>
        <v>231.17</v>
      </c>
      <c r="C459" s="5" t="n">
        <f aca="false">IFERROR(__xludf.dummyfunction("""COMPUTED_VALUE"""),238.3)</f>
        <v>238.3</v>
      </c>
      <c r="D459" s="5" t="n">
        <f aca="false">IFERROR(__xludf.dummyfunction("""COMPUTED_VALUE"""),230.06)</f>
        <v>230.06</v>
      </c>
      <c r="E459" s="5" t="n">
        <f aca="false">IFERROR(__xludf.dummyfunction("""COMPUTED_VALUE"""),231.32)</f>
        <v>231.32</v>
      </c>
      <c r="F459" s="5" t="n">
        <f aca="false">IFERROR(__xludf.dummyfunction("""COMPUTED_VALUE"""),82684846)</f>
        <v>82684846</v>
      </c>
    </row>
    <row r="460" customFormat="false" ht="15.75" hidden="false" customHeight="false" outlineLevel="0" collapsed="false">
      <c r="A460" s="6" t="n">
        <f aca="false">IFERROR(__xludf.dummyfunction("""COMPUTED_VALUE"""),44861.6666666667)</f>
        <v>44861.6666666667</v>
      </c>
      <c r="B460" s="5" t="n">
        <f aca="false">IFERROR(__xludf.dummyfunction("""COMPUTED_VALUE"""),231.04)</f>
        <v>231.04</v>
      </c>
      <c r="C460" s="5" t="n">
        <f aca="false">IFERROR(__xludf.dummyfunction("""COMPUTED_VALUE"""),233.69)</f>
        <v>233.69</v>
      </c>
      <c r="D460" s="5" t="n">
        <f aca="false">IFERROR(__xludf.dummyfunction("""COMPUTED_VALUE"""),225.78)</f>
        <v>225.78</v>
      </c>
      <c r="E460" s="5" t="n">
        <f aca="false">IFERROR(__xludf.dummyfunction("""COMPUTED_VALUE"""),226.75)</f>
        <v>226.75</v>
      </c>
      <c r="F460" s="5" t="n">
        <f aca="false">IFERROR(__xludf.dummyfunction("""COMPUTED_VALUE"""),40424645)</f>
        <v>40424645</v>
      </c>
    </row>
    <row r="461" customFormat="false" ht="15.75" hidden="false" customHeight="false" outlineLevel="0" collapsed="false">
      <c r="A461" s="6" t="n">
        <f aca="false">IFERROR(__xludf.dummyfunction("""COMPUTED_VALUE"""),44862.6666666667)</f>
        <v>44862.6666666667</v>
      </c>
      <c r="B461" s="5" t="n">
        <f aca="false">IFERROR(__xludf.dummyfunction("""COMPUTED_VALUE"""),226.24)</f>
        <v>226.24</v>
      </c>
      <c r="C461" s="5" t="n">
        <f aca="false">IFERROR(__xludf.dummyfunction("""COMPUTED_VALUE"""),236.6)</f>
        <v>236.6</v>
      </c>
      <c r="D461" s="5" t="n">
        <f aca="false">IFERROR(__xludf.dummyfunction("""COMPUTED_VALUE"""),226.05)</f>
        <v>226.05</v>
      </c>
      <c r="E461" s="5" t="n">
        <f aca="false">IFERROR(__xludf.dummyfunction("""COMPUTED_VALUE"""),235.87)</f>
        <v>235.87</v>
      </c>
      <c r="F461" s="5" t="n">
        <f aca="false">IFERROR(__xludf.dummyfunction("""COMPUTED_VALUE"""),40647724)</f>
        <v>40647724</v>
      </c>
    </row>
    <row r="462" customFormat="false" ht="15.75" hidden="false" customHeight="false" outlineLevel="0" collapsed="false">
      <c r="A462" s="6" t="n">
        <f aca="false">IFERROR(__xludf.dummyfunction("""COMPUTED_VALUE"""),44865.6666666667)</f>
        <v>44865.6666666667</v>
      </c>
      <c r="B462" s="5" t="n">
        <f aca="false">IFERROR(__xludf.dummyfunction("""COMPUTED_VALUE"""),233.76)</f>
        <v>233.76</v>
      </c>
      <c r="C462" s="5" t="n">
        <f aca="false">IFERROR(__xludf.dummyfunction("""COMPUTED_VALUE"""),234.92)</f>
        <v>234.92</v>
      </c>
      <c r="D462" s="5" t="n">
        <f aca="false">IFERROR(__xludf.dummyfunction("""COMPUTED_VALUE"""),231.15)</f>
        <v>231.15</v>
      </c>
      <c r="E462" s="5" t="n">
        <f aca="false">IFERROR(__xludf.dummyfunction("""COMPUTED_VALUE"""),232.13)</f>
        <v>232.13</v>
      </c>
      <c r="F462" s="5" t="n">
        <f aca="false">IFERROR(__xludf.dummyfunction("""COMPUTED_VALUE"""),28357265)</f>
        <v>28357265</v>
      </c>
    </row>
    <row r="463" customFormat="false" ht="15.75" hidden="false" customHeight="false" outlineLevel="0" collapsed="false">
      <c r="A463" s="6" t="n">
        <f aca="false">IFERROR(__xludf.dummyfunction("""COMPUTED_VALUE"""),44866.6666666667)</f>
        <v>44866.6666666667</v>
      </c>
      <c r="B463" s="5" t="n">
        <f aca="false">IFERROR(__xludf.dummyfunction("""COMPUTED_VALUE"""),234.6)</f>
        <v>234.6</v>
      </c>
      <c r="C463" s="5" t="n">
        <f aca="false">IFERROR(__xludf.dummyfunction("""COMPUTED_VALUE"""),235.74)</f>
        <v>235.74</v>
      </c>
      <c r="D463" s="5" t="n">
        <f aca="false">IFERROR(__xludf.dummyfunction("""COMPUTED_VALUE"""),227.33)</f>
        <v>227.33</v>
      </c>
      <c r="E463" s="5" t="n">
        <f aca="false">IFERROR(__xludf.dummyfunction("""COMPUTED_VALUE"""),228.17)</f>
        <v>228.17</v>
      </c>
      <c r="F463" s="5" t="n">
        <f aca="false">IFERROR(__xludf.dummyfunction("""COMPUTED_VALUE"""),30592271)</f>
        <v>30592271</v>
      </c>
    </row>
    <row r="464" customFormat="false" ht="15.75" hidden="false" customHeight="false" outlineLevel="0" collapsed="false">
      <c r="A464" s="6" t="n">
        <f aca="false">IFERROR(__xludf.dummyfunction("""COMPUTED_VALUE"""),44867.6666666667)</f>
        <v>44867.6666666667</v>
      </c>
      <c r="B464" s="5" t="n">
        <f aca="false">IFERROR(__xludf.dummyfunction("""COMPUTED_VALUE"""),229.46)</f>
        <v>229.46</v>
      </c>
      <c r="C464" s="5" t="n">
        <f aca="false">IFERROR(__xludf.dummyfunction("""COMPUTED_VALUE"""),231.3)</f>
        <v>231.3</v>
      </c>
      <c r="D464" s="5" t="n">
        <f aca="false">IFERROR(__xludf.dummyfunction("""COMPUTED_VALUE"""),220.04)</f>
        <v>220.04</v>
      </c>
      <c r="E464" s="5" t="n">
        <f aca="false">IFERROR(__xludf.dummyfunction("""COMPUTED_VALUE"""),220.1)</f>
        <v>220.1</v>
      </c>
      <c r="F464" s="5" t="n">
        <f aca="false">IFERROR(__xludf.dummyfunction("""COMPUTED_VALUE"""),38407008)</f>
        <v>38407008</v>
      </c>
    </row>
    <row r="465" customFormat="false" ht="15.75" hidden="false" customHeight="false" outlineLevel="0" collapsed="false">
      <c r="A465" s="6" t="n">
        <f aca="false">IFERROR(__xludf.dummyfunction("""COMPUTED_VALUE"""),44868.6666666667)</f>
        <v>44868.6666666667</v>
      </c>
      <c r="B465" s="5" t="n">
        <f aca="false">IFERROR(__xludf.dummyfunction("""COMPUTED_VALUE"""),220.09)</f>
        <v>220.09</v>
      </c>
      <c r="C465" s="5" t="n">
        <f aca="false">IFERROR(__xludf.dummyfunction("""COMPUTED_VALUE"""),220.41)</f>
        <v>220.41</v>
      </c>
      <c r="D465" s="5" t="n">
        <f aca="false">IFERROR(__xludf.dummyfunction("""COMPUTED_VALUE"""),213.98)</f>
        <v>213.98</v>
      </c>
      <c r="E465" s="5" t="n">
        <f aca="false">IFERROR(__xludf.dummyfunction("""COMPUTED_VALUE"""),214.25)</f>
        <v>214.25</v>
      </c>
      <c r="F465" s="5" t="n">
        <f aca="false">IFERROR(__xludf.dummyfunction("""COMPUTED_VALUE"""),36633922)</f>
        <v>36633922</v>
      </c>
    </row>
    <row r="466" customFormat="false" ht="15.75" hidden="false" customHeight="false" outlineLevel="0" collapsed="false">
      <c r="A466" s="6" t="n">
        <f aca="false">IFERROR(__xludf.dummyfunction("""COMPUTED_VALUE"""),44869.6666666667)</f>
        <v>44869.6666666667</v>
      </c>
      <c r="B466" s="5" t="n">
        <f aca="false">IFERROR(__xludf.dummyfunction("""COMPUTED_VALUE"""),217.55)</f>
        <v>217.55</v>
      </c>
      <c r="C466" s="5" t="n">
        <f aca="false">IFERROR(__xludf.dummyfunction("""COMPUTED_VALUE"""),221.59)</f>
        <v>221.59</v>
      </c>
      <c r="D466" s="5" t="n">
        <f aca="false">IFERROR(__xludf.dummyfunction("""COMPUTED_VALUE"""),213.43)</f>
        <v>213.43</v>
      </c>
      <c r="E466" s="5" t="n">
        <f aca="false">IFERROR(__xludf.dummyfunction("""COMPUTED_VALUE"""),221.39)</f>
        <v>221.39</v>
      </c>
      <c r="F466" s="5" t="n">
        <f aca="false">IFERROR(__xludf.dummyfunction("""COMPUTED_VALUE"""),36789063)</f>
        <v>36789063</v>
      </c>
    </row>
    <row r="467" customFormat="false" ht="15.75" hidden="false" customHeight="false" outlineLevel="0" collapsed="false">
      <c r="A467" s="6" t="n">
        <f aca="false">IFERROR(__xludf.dummyfunction("""COMPUTED_VALUE"""),44872.6666666667)</f>
        <v>44872.6666666667</v>
      </c>
      <c r="B467" s="5" t="n">
        <f aca="false">IFERROR(__xludf.dummyfunction("""COMPUTED_VALUE"""),221.99)</f>
        <v>221.99</v>
      </c>
      <c r="C467" s="5" t="n">
        <f aca="false">IFERROR(__xludf.dummyfunction("""COMPUTED_VALUE"""),228.41)</f>
        <v>228.41</v>
      </c>
      <c r="D467" s="5" t="n">
        <f aca="false">IFERROR(__xludf.dummyfunction("""COMPUTED_VALUE"""),221.28)</f>
        <v>221.28</v>
      </c>
      <c r="E467" s="5" t="n">
        <f aca="false">IFERROR(__xludf.dummyfunction("""COMPUTED_VALUE"""),227.87)</f>
        <v>227.87</v>
      </c>
      <c r="F467" s="5" t="n">
        <f aca="false">IFERROR(__xludf.dummyfunction("""COMPUTED_VALUE"""),33497979)</f>
        <v>33497979</v>
      </c>
    </row>
    <row r="468" customFormat="false" ht="15.75" hidden="false" customHeight="false" outlineLevel="0" collapsed="false">
      <c r="A468" s="6" t="n">
        <f aca="false">IFERROR(__xludf.dummyfunction("""COMPUTED_VALUE"""),44873.6666666667)</f>
        <v>44873.6666666667</v>
      </c>
      <c r="B468" s="5" t="n">
        <f aca="false">IFERROR(__xludf.dummyfunction("""COMPUTED_VALUE"""),228.7)</f>
        <v>228.7</v>
      </c>
      <c r="C468" s="5" t="n">
        <f aca="false">IFERROR(__xludf.dummyfunction("""COMPUTED_VALUE"""),231.65)</f>
        <v>231.65</v>
      </c>
      <c r="D468" s="5" t="n">
        <f aca="false">IFERROR(__xludf.dummyfunction("""COMPUTED_VALUE"""),225.84)</f>
        <v>225.84</v>
      </c>
      <c r="E468" s="5" t="n">
        <f aca="false">IFERROR(__xludf.dummyfunction("""COMPUTED_VALUE"""),228.87)</f>
        <v>228.87</v>
      </c>
      <c r="F468" s="5" t="n">
        <f aca="false">IFERROR(__xludf.dummyfunction("""COMPUTED_VALUE"""),28192548)</f>
        <v>28192548</v>
      </c>
    </row>
    <row r="469" customFormat="false" ht="15.75" hidden="false" customHeight="false" outlineLevel="0" collapsed="false">
      <c r="A469" s="6" t="n">
        <f aca="false">IFERROR(__xludf.dummyfunction("""COMPUTED_VALUE"""),44874.6666666667)</f>
        <v>44874.6666666667</v>
      </c>
      <c r="B469" s="5" t="n">
        <f aca="false">IFERROR(__xludf.dummyfunction("""COMPUTED_VALUE"""),227.37)</f>
        <v>227.37</v>
      </c>
      <c r="C469" s="5" t="n">
        <f aca="false">IFERROR(__xludf.dummyfunction("""COMPUTED_VALUE"""),228.63)</f>
        <v>228.63</v>
      </c>
      <c r="D469" s="5" t="n">
        <f aca="false">IFERROR(__xludf.dummyfunction("""COMPUTED_VALUE"""),224.33)</f>
        <v>224.33</v>
      </c>
      <c r="E469" s="5" t="n">
        <f aca="false">IFERROR(__xludf.dummyfunction("""COMPUTED_VALUE"""),224.51)</f>
        <v>224.51</v>
      </c>
      <c r="F469" s="5" t="n">
        <f aca="false">IFERROR(__xludf.dummyfunction("""COMPUTED_VALUE"""),27852910)</f>
        <v>27852910</v>
      </c>
    </row>
    <row r="470" customFormat="false" ht="15.75" hidden="false" customHeight="false" outlineLevel="0" collapsed="false">
      <c r="A470" s="6" t="n">
        <f aca="false">IFERROR(__xludf.dummyfunction("""COMPUTED_VALUE"""),44875.6666666667)</f>
        <v>44875.6666666667</v>
      </c>
      <c r="B470" s="5" t="n">
        <f aca="false">IFERROR(__xludf.dummyfunction("""COMPUTED_VALUE"""),235.43)</f>
        <v>235.43</v>
      </c>
      <c r="C470" s="5" t="n">
        <f aca="false">IFERROR(__xludf.dummyfunction("""COMPUTED_VALUE"""),243.33)</f>
        <v>243.33</v>
      </c>
      <c r="D470" s="5" t="n">
        <f aca="false">IFERROR(__xludf.dummyfunction("""COMPUTED_VALUE"""),235)</f>
        <v>235</v>
      </c>
      <c r="E470" s="5" t="n">
        <f aca="false">IFERROR(__xludf.dummyfunction("""COMPUTED_VALUE"""),242.98)</f>
        <v>242.98</v>
      </c>
      <c r="F470" s="5" t="n">
        <f aca="false">IFERROR(__xludf.dummyfunction("""COMPUTED_VALUE"""),46268021)</f>
        <v>46268021</v>
      </c>
    </row>
    <row r="471" customFormat="false" ht="15.75" hidden="false" customHeight="false" outlineLevel="0" collapsed="false">
      <c r="A471" s="6" t="n">
        <f aca="false">IFERROR(__xludf.dummyfunction("""COMPUTED_VALUE"""),44876.6666666667)</f>
        <v>44876.6666666667</v>
      </c>
      <c r="B471" s="5" t="n">
        <f aca="false">IFERROR(__xludf.dummyfunction("""COMPUTED_VALUE"""),242.99)</f>
        <v>242.99</v>
      </c>
      <c r="C471" s="5" t="n">
        <f aca="false">IFERROR(__xludf.dummyfunction("""COMPUTED_VALUE"""),247.99)</f>
        <v>247.99</v>
      </c>
      <c r="D471" s="5" t="n">
        <f aca="false">IFERROR(__xludf.dummyfunction("""COMPUTED_VALUE"""),241.93)</f>
        <v>241.93</v>
      </c>
      <c r="E471" s="5" t="n">
        <f aca="false">IFERROR(__xludf.dummyfunction("""COMPUTED_VALUE"""),247.11)</f>
        <v>247.11</v>
      </c>
      <c r="F471" s="5" t="n">
        <f aca="false">IFERROR(__xludf.dummyfunction("""COMPUTED_VALUE"""),34620246)</f>
        <v>34620246</v>
      </c>
    </row>
    <row r="472" customFormat="false" ht="15.75" hidden="false" customHeight="false" outlineLevel="0" collapsed="false">
      <c r="A472" s="6" t="n">
        <f aca="false">IFERROR(__xludf.dummyfunction("""COMPUTED_VALUE"""),44879.6666666667)</f>
        <v>44879.6666666667</v>
      </c>
      <c r="B472" s="5" t="n">
        <f aca="false">IFERROR(__xludf.dummyfunction("""COMPUTED_VALUE"""),241.99)</f>
        <v>241.99</v>
      </c>
      <c r="C472" s="5" t="n">
        <f aca="false">IFERROR(__xludf.dummyfunction("""COMPUTED_VALUE"""),243.91)</f>
        <v>243.91</v>
      </c>
      <c r="D472" s="5" t="n">
        <f aca="false">IFERROR(__xludf.dummyfunction("""COMPUTED_VALUE"""),239.21)</f>
        <v>239.21</v>
      </c>
      <c r="E472" s="5" t="n">
        <f aca="false">IFERROR(__xludf.dummyfunction("""COMPUTED_VALUE"""),241.55)</f>
        <v>241.55</v>
      </c>
      <c r="F472" s="5" t="n">
        <f aca="false">IFERROR(__xludf.dummyfunction("""COMPUTED_VALUE"""),31123340)</f>
        <v>31123340</v>
      </c>
    </row>
    <row r="473" customFormat="false" ht="15.75" hidden="false" customHeight="false" outlineLevel="0" collapsed="false">
      <c r="A473" s="6" t="n">
        <f aca="false">IFERROR(__xludf.dummyfunction("""COMPUTED_VALUE"""),44880.6666666667)</f>
        <v>44880.6666666667</v>
      </c>
      <c r="B473" s="5" t="n">
        <f aca="false">IFERROR(__xludf.dummyfunction("""COMPUTED_VALUE"""),245.66)</f>
        <v>245.66</v>
      </c>
      <c r="C473" s="5" t="n">
        <f aca="false">IFERROR(__xludf.dummyfunction("""COMPUTED_VALUE"""),247)</f>
        <v>247</v>
      </c>
      <c r="D473" s="5" t="n">
        <f aca="false">IFERROR(__xludf.dummyfunction("""COMPUTED_VALUE"""),240.03)</f>
        <v>240.03</v>
      </c>
      <c r="E473" s="5" t="n">
        <f aca="false">IFERROR(__xludf.dummyfunction("""COMPUTED_VALUE"""),241.97)</f>
        <v>241.97</v>
      </c>
      <c r="F473" s="5" t="n">
        <f aca="false">IFERROR(__xludf.dummyfunction("""COMPUTED_VALUE"""),31390117)</f>
        <v>31390117</v>
      </c>
    </row>
    <row r="474" customFormat="false" ht="15.75" hidden="false" customHeight="false" outlineLevel="0" collapsed="false">
      <c r="A474" s="6" t="n">
        <f aca="false">IFERROR(__xludf.dummyfunction("""COMPUTED_VALUE"""),44881.6666666667)</f>
        <v>44881.6666666667</v>
      </c>
      <c r="B474" s="5" t="n">
        <f aca="false">IFERROR(__xludf.dummyfunction("""COMPUTED_VALUE"""),242.79)</f>
        <v>242.79</v>
      </c>
      <c r="C474" s="5" t="n">
        <f aca="false">IFERROR(__xludf.dummyfunction("""COMPUTED_VALUE"""),243.8)</f>
        <v>243.8</v>
      </c>
      <c r="D474" s="5" t="n">
        <f aca="false">IFERROR(__xludf.dummyfunction("""COMPUTED_VALUE"""),240.42)</f>
        <v>240.42</v>
      </c>
      <c r="E474" s="5" t="n">
        <f aca="false">IFERROR(__xludf.dummyfunction("""COMPUTED_VALUE"""),241.73)</f>
        <v>241.73</v>
      </c>
      <c r="F474" s="5" t="n">
        <f aca="false">IFERROR(__xludf.dummyfunction("""COMPUTED_VALUE"""),24093272)</f>
        <v>24093272</v>
      </c>
    </row>
    <row r="475" customFormat="false" ht="15.75" hidden="false" customHeight="false" outlineLevel="0" collapsed="false">
      <c r="A475" s="6" t="n">
        <f aca="false">IFERROR(__xludf.dummyfunction("""COMPUTED_VALUE"""),44882.6666666667)</f>
        <v>44882.6666666667</v>
      </c>
      <c r="B475" s="5" t="n">
        <f aca="false">IFERROR(__xludf.dummyfunction("""COMPUTED_VALUE"""),237.78)</f>
        <v>237.78</v>
      </c>
      <c r="C475" s="5" t="n">
        <f aca="false">IFERROR(__xludf.dummyfunction("""COMPUTED_VALUE"""),243.25)</f>
        <v>243.25</v>
      </c>
      <c r="D475" s="5" t="n">
        <f aca="false">IFERROR(__xludf.dummyfunction("""COMPUTED_VALUE"""),237.63)</f>
        <v>237.63</v>
      </c>
      <c r="E475" s="5" t="n">
        <f aca="false">IFERROR(__xludf.dummyfunction("""COMPUTED_VALUE"""),241.68)</f>
        <v>241.68</v>
      </c>
      <c r="F475" s="5" t="n">
        <f aca="false">IFERROR(__xludf.dummyfunction("""COMPUTED_VALUE"""),23123544)</f>
        <v>23123544</v>
      </c>
    </row>
    <row r="476" customFormat="false" ht="15.75" hidden="false" customHeight="false" outlineLevel="0" collapsed="false">
      <c r="A476" s="6" t="n">
        <f aca="false">IFERROR(__xludf.dummyfunction("""COMPUTED_VALUE"""),44883.6666666667)</f>
        <v>44883.6666666667</v>
      </c>
      <c r="B476" s="5" t="n">
        <f aca="false">IFERROR(__xludf.dummyfunction("""COMPUTED_VALUE"""),243.51)</f>
        <v>243.51</v>
      </c>
      <c r="C476" s="5" t="n">
        <f aca="false">IFERROR(__xludf.dummyfunction("""COMPUTED_VALUE"""),243.74)</f>
        <v>243.74</v>
      </c>
      <c r="D476" s="5" t="n">
        <f aca="false">IFERROR(__xludf.dummyfunction("""COMPUTED_VALUE"""),239.03)</f>
        <v>239.03</v>
      </c>
      <c r="E476" s="5" t="n">
        <f aca="false">IFERROR(__xludf.dummyfunction("""COMPUTED_VALUE"""),241.22)</f>
        <v>241.22</v>
      </c>
      <c r="F476" s="5" t="n">
        <f aca="false">IFERROR(__xludf.dummyfunction("""COMPUTED_VALUE"""),27613523)</f>
        <v>27613523</v>
      </c>
    </row>
    <row r="477" customFormat="false" ht="15.75" hidden="false" customHeight="false" outlineLevel="0" collapsed="false">
      <c r="A477" s="6" t="n">
        <f aca="false">IFERROR(__xludf.dummyfunction("""COMPUTED_VALUE"""),44886.6666666667)</f>
        <v>44886.6666666667</v>
      </c>
      <c r="B477" s="5" t="n">
        <f aca="false">IFERROR(__xludf.dummyfunction("""COMPUTED_VALUE"""),241.43)</f>
        <v>241.43</v>
      </c>
      <c r="C477" s="5" t="n">
        <f aca="false">IFERROR(__xludf.dummyfunction("""COMPUTED_VALUE"""),244.67)</f>
        <v>244.67</v>
      </c>
      <c r="D477" s="5" t="n">
        <f aca="false">IFERROR(__xludf.dummyfunction("""COMPUTED_VALUE"""),241.19)</f>
        <v>241.19</v>
      </c>
      <c r="E477" s="5" t="n">
        <f aca="false">IFERROR(__xludf.dummyfunction("""COMPUTED_VALUE"""),242.05)</f>
        <v>242.05</v>
      </c>
      <c r="F477" s="5" t="n">
        <f aca="false">IFERROR(__xludf.dummyfunction("""COMPUTED_VALUE"""),26394700)</f>
        <v>26394700</v>
      </c>
    </row>
    <row r="478" customFormat="false" ht="15.75" hidden="false" customHeight="false" outlineLevel="0" collapsed="false">
      <c r="A478" s="6" t="n">
        <f aca="false">IFERROR(__xludf.dummyfunction("""COMPUTED_VALUE"""),44887.6666666667)</f>
        <v>44887.6666666667</v>
      </c>
      <c r="B478" s="5" t="n">
        <f aca="false">IFERROR(__xludf.dummyfunction("""COMPUTED_VALUE"""),243.59)</f>
        <v>243.59</v>
      </c>
      <c r="C478" s="5" t="n">
        <f aca="false">IFERROR(__xludf.dummyfunction("""COMPUTED_VALUE"""),245.31)</f>
        <v>245.31</v>
      </c>
      <c r="D478" s="5" t="n">
        <f aca="false">IFERROR(__xludf.dummyfunction("""COMPUTED_VALUE"""),240.71)</f>
        <v>240.71</v>
      </c>
      <c r="E478" s="5" t="n">
        <f aca="false">IFERROR(__xludf.dummyfunction("""COMPUTED_VALUE"""),245.03)</f>
        <v>245.03</v>
      </c>
      <c r="F478" s="5" t="n">
        <f aca="false">IFERROR(__xludf.dummyfunction("""COMPUTED_VALUE"""),19665699)</f>
        <v>19665699</v>
      </c>
    </row>
    <row r="479" customFormat="false" ht="15.75" hidden="false" customHeight="false" outlineLevel="0" collapsed="false">
      <c r="A479" s="6" t="n">
        <f aca="false">IFERROR(__xludf.dummyfunction("""COMPUTED_VALUE"""),44888.6666666667)</f>
        <v>44888.6666666667</v>
      </c>
      <c r="B479" s="5" t="n">
        <f aca="false">IFERROR(__xludf.dummyfunction("""COMPUTED_VALUE"""),245.11)</f>
        <v>245.11</v>
      </c>
      <c r="C479" s="5" t="n">
        <f aca="false">IFERROR(__xludf.dummyfunction("""COMPUTED_VALUE"""),248.28)</f>
        <v>248.28</v>
      </c>
      <c r="D479" s="5" t="n">
        <f aca="false">IFERROR(__xludf.dummyfunction("""COMPUTED_VALUE"""),244.27)</f>
        <v>244.27</v>
      </c>
      <c r="E479" s="5" t="n">
        <f aca="false">IFERROR(__xludf.dummyfunction("""COMPUTED_VALUE"""),247.58)</f>
        <v>247.58</v>
      </c>
      <c r="F479" s="5" t="n">
        <f aca="false">IFERROR(__xludf.dummyfunction("""COMPUTED_VALUE"""),19508462)</f>
        <v>19508462</v>
      </c>
    </row>
    <row r="480" customFormat="false" ht="15.75" hidden="false" customHeight="false" outlineLevel="0" collapsed="false">
      <c r="A480" s="6" t="n">
        <f aca="false">IFERROR(__xludf.dummyfunction("""COMPUTED_VALUE"""),44890.5451388889)</f>
        <v>44890.5451388889</v>
      </c>
      <c r="B480" s="5" t="n">
        <f aca="false">IFERROR(__xludf.dummyfunction("""COMPUTED_VALUE"""),247.31)</f>
        <v>247.31</v>
      </c>
      <c r="C480" s="5" t="n">
        <f aca="false">IFERROR(__xludf.dummyfunction("""COMPUTED_VALUE"""),248.7)</f>
        <v>248.7</v>
      </c>
      <c r="D480" s="5" t="n">
        <f aca="false">IFERROR(__xludf.dummyfunction("""COMPUTED_VALUE"""),246.73)</f>
        <v>246.73</v>
      </c>
      <c r="E480" s="5" t="n">
        <f aca="false">IFERROR(__xludf.dummyfunction("""COMPUTED_VALUE"""),247.49)</f>
        <v>247.49</v>
      </c>
      <c r="F480" s="5" t="n">
        <f aca="false">IFERROR(__xludf.dummyfunction("""COMPUTED_VALUE"""),9200772)</f>
        <v>9200772</v>
      </c>
    </row>
    <row r="481" customFormat="false" ht="15.75" hidden="false" customHeight="false" outlineLevel="0" collapsed="false">
      <c r="A481" s="6" t="n">
        <f aca="false">IFERROR(__xludf.dummyfunction("""COMPUTED_VALUE"""),44893.6666666667)</f>
        <v>44893.6666666667</v>
      </c>
      <c r="B481" s="5" t="n">
        <f aca="false">IFERROR(__xludf.dummyfunction("""COMPUTED_VALUE"""),246.08)</f>
        <v>246.08</v>
      </c>
      <c r="C481" s="5" t="n">
        <f aca="false">IFERROR(__xludf.dummyfunction("""COMPUTED_VALUE"""),246.65)</f>
        <v>246.65</v>
      </c>
      <c r="D481" s="5" t="n">
        <f aca="false">IFERROR(__xludf.dummyfunction("""COMPUTED_VALUE"""),240.8)</f>
        <v>240.8</v>
      </c>
      <c r="E481" s="5" t="n">
        <f aca="false">IFERROR(__xludf.dummyfunction("""COMPUTED_VALUE"""),241.76)</f>
        <v>241.76</v>
      </c>
      <c r="F481" s="5" t="n">
        <f aca="false">IFERROR(__xludf.dummyfunction("""COMPUTED_VALUE"""),24810271)</f>
        <v>24810271</v>
      </c>
    </row>
    <row r="482" customFormat="false" ht="15.75" hidden="false" customHeight="false" outlineLevel="0" collapsed="false">
      <c r="A482" s="6" t="n">
        <f aca="false">IFERROR(__xludf.dummyfunction("""COMPUTED_VALUE"""),44894.6666666667)</f>
        <v>44894.6666666667</v>
      </c>
      <c r="B482" s="5" t="n">
        <f aca="false">IFERROR(__xludf.dummyfunction("""COMPUTED_VALUE"""),241.4)</f>
        <v>241.4</v>
      </c>
      <c r="C482" s="5" t="n">
        <f aca="false">IFERROR(__xludf.dummyfunction("""COMPUTED_VALUE"""),242.79)</f>
        <v>242.79</v>
      </c>
      <c r="D482" s="5" t="n">
        <f aca="false">IFERROR(__xludf.dummyfunction("""COMPUTED_VALUE"""),238.21)</f>
        <v>238.21</v>
      </c>
      <c r="E482" s="5" t="n">
        <f aca="false">IFERROR(__xludf.dummyfunction("""COMPUTED_VALUE"""),240.33)</f>
        <v>240.33</v>
      </c>
      <c r="F482" s="5" t="n">
        <f aca="false">IFERROR(__xludf.dummyfunction("""COMPUTED_VALUE"""),17956313)</f>
        <v>17956313</v>
      </c>
    </row>
    <row r="483" customFormat="false" ht="15.75" hidden="false" customHeight="false" outlineLevel="0" collapsed="false">
      <c r="A483" s="6" t="n">
        <f aca="false">IFERROR(__xludf.dummyfunction("""COMPUTED_VALUE"""),44895.6666666667)</f>
        <v>44895.6666666667</v>
      </c>
      <c r="B483" s="5" t="n">
        <f aca="false">IFERROR(__xludf.dummyfunction("""COMPUTED_VALUE"""),240.57)</f>
        <v>240.57</v>
      </c>
      <c r="C483" s="5" t="n">
        <f aca="false">IFERROR(__xludf.dummyfunction("""COMPUTED_VALUE"""),255.33)</f>
        <v>255.33</v>
      </c>
      <c r="D483" s="5" t="n">
        <f aca="false">IFERROR(__xludf.dummyfunction("""COMPUTED_VALUE"""),239.86)</f>
        <v>239.86</v>
      </c>
      <c r="E483" s="5" t="n">
        <f aca="false">IFERROR(__xludf.dummyfunction("""COMPUTED_VALUE"""),255.14)</f>
        <v>255.14</v>
      </c>
      <c r="F483" s="5" t="n">
        <f aca="false">IFERROR(__xludf.dummyfunction("""COMPUTED_VALUE"""),47594239)</f>
        <v>47594239</v>
      </c>
    </row>
    <row r="484" customFormat="false" ht="15.75" hidden="false" customHeight="false" outlineLevel="0" collapsed="false">
      <c r="A484" s="6" t="n">
        <f aca="false">IFERROR(__xludf.dummyfunction("""COMPUTED_VALUE"""),44896.6666666667)</f>
        <v>44896.6666666667</v>
      </c>
      <c r="B484" s="5" t="n">
        <f aca="false">IFERROR(__xludf.dummyfunction("""COMPUTED_VALUE"""),253.87)</f>
        <v>253.87</v>
      </c>
      <c r="C484" s="5" t="n">
        <f aca="false">IFERROR(__xludf.dummyfunction("""COMPUTED_VALUE"""),256.12)</f>
        <v>256.12</v>
      </c>
      <c r="D484" s="5" t="n">
        <f aca="false">IFERROR(__xludf.dummyfunction("""COMPUTED_VALUE"""),250.92)</f>
        <v>250.92</v>
      </c>
      <c r="E484" s="5" t="n">
        <f aca="false">IFERROR(__xludf.dummyfunction("""COMPUTED_VALUE"""),254.69)</f>
        <v>254.69</v>
      </c>
      <c r="F484" s="5" t="n">
        <f aca="false">IFERROR(__xludf.dummyfunction("""COMPUTED_VALUE"""),26041524)</f>
        <v>26041524</v>
      </c>
    </row>
    <row r="485" customFormat="false" ht="15.75" hidden="false" customHeight="false" outlineLevel="0" collapsed="false">
      <c r="A485" s="6" t="n">
        <f aca="false">IFERROR(__xludf.dummyfunction("""COMPUTED_VALUE"""),44897.6666666667)</f>
        <v>44897.6666666667</v>
      </c>
      <c r="B485" s="5" t="n">
        <f aca="false">IFERROR(__xludf.dummyfunction("""COMPUTED_VALUE"""),249.82)</f>
        <v>249.82</v>
      </c>
      <c r="C485" s="5" t="n">
        <f aca="false">IFERROR(__xludf.dummyfunction("""COMPUTED_VALUE"""),256.06)</f>
        <v>256.06</v>
      </c>
      <c r="D485" s="5" t="n">
        <f aca="false">IFERROR(__xludf.dummyfunction("""COMPUTED_VALUE"""),249.69)</f>
        <v>249.69</v>
      </c>
      <c r="E485" s="5" t="n">
        <f aca="false">IFERROR(__xludf.dummyfunction("""COMPUTED_VALUE"""),255.02)</f>
        <v>255.02</v>
      </c>
      <c r="F485" s="5" t="n">
        <f aca="false">IFERROR(__xludf.dummyfunction("""COMPUTED_VALUE"""),21528520)</f>
        <v>21528520</v>
      </c>
    </row>
    <row r="486" customFormat="false" ht="15.75" hidden="false" customHeight="false" outlineLevel="0" collapsed="false">
      <c r="A486" s="6" t="n">
        <f aca="false">IFERROR(__xludf.dummyfunction("""COMPUTED_VALUE"""),44900.6666666667)</f>
        <v>44900.6666666667</v>
      </c>
      <c r="B486" s="5" t="n">
        <f aca="false">IFERROR(__xludf.dummyfunction("""COMPUTED_VALUE"""),252.01)</f>
        <v>252.01</v>
      </c>
      <c r="C486" s="5" t="n">
        <f aca="false">IFERROR(__xludf.dummyfunction("""COMPUTED_VALUE"""),253.82)</f>
        <v>253.82</v>
      </c>
      <c r="D486" s="5" t="n">
        <f aca="false">IFERROR(__xludf.dummyfunction("""COMPUTED_VALUE"""),248.06)</f>
        <v>248.06</v>
      </c>
      <c r="E486" s="5" t="n">
        <f aca="false">IFERROR(__xludf.dummyfunction("""COMPUTED_VALUE"""),250.2)</f>
        <v>250.2</v>
      </c>
      <c r="F486" s="5" t="n">
        <f aca="false">IFERROR(__xludf.dummyfunction("""COMPUTED_VALUE"""),23435294)</f>
        <v>23435294</v>
      </c>
    </row>
    <row r="487" customFormat="false" ht="15.75" hidden="false" customHeight="false" outlineLevel="0" collapsed="false">
      <c r="A487" s="6" t="n">
        <f aca="false">IFERROR(__xludf.dummyfunction("""COMPUTED_VALUE"""),44901.6666666667)</f>
        <v>44901.6666666667</v>
      </c>
      <c r="B487" s="5" t="n">
        <f aca="false">IFERROR(__xludf.dummyfunction("""COMPUTED_VALUE"""),250.82)</f>
        <v>250.82</v>
      </c>
      <c r="C487" s="5" t="n">
        <f aca="false">IFERROR(__xludf.dummyfunction("""COMPUTED_VALUE"""),251.86)</f>
        <v>251.86</v>
      </c>
      <c r="D487" s="5" t="n">
        <f aca="false">IFERROR(__xludf.dummyfunction("""COMPUTED_VALUE"""),243.78)</f>
        <v>243.78</v>
      </c>
      <c r="E487" s="5" t="n">
        <f aca="false">IFERROR(__xludf.dummyfunction("""COMPUTED_VALUE"""),245.12)</f>
        <v>245.12</v>
      </c>
      <c r="F487" s="5" t="n">
        <f aca="false">IFERROR(__xludf.dummyfunction("""COMPUTED_VALUE"""),22463727)</f>
        <v>22463727</v>
      </c>
    </row>
    <row r="488" customFormat="false" ht="15.75" hidden="false" customHeight="false" outlineLevel="0" collapsed="false">
      <c r="A488" s="6" t="n">
        <f aca="false">IFERROR(__xludf.dummyfunction("""COMPUTED_VALUE"""),44902.6666666667)</f>
        <v>44902.6666666667</v>
      </c>
      <c r="B488" s="5" t="n">
        <f aca="false">IFERROR(__xludf.dummyfunction("""COMPUTED_VALUE"""),244.83)</f>
        <v>244.83</v>
      </c>
      <c r="C488" s="5" t="n">
        <f aca="false">IFERROR(__xludf.dummyfunction("""COMPUTED_VALUE"""),246.16)</f>
        <v>246.16</v>
      </c>
      <c r="D488" s="5" t="n">
        <f aca="false">IFERROR(__xludf.dummyfunction("""COMPUTED_VALUE"""),242.21)</f>
        <v>242.21</v>
      </c>
      <c r="E488" s="5" t="n">
        <f aca="false">IFERROR(__xludf.dummyfunction("""COMPUTED_VALUE"""),244.37)</f>
        <v>244.37</v>
      </c>
      <c r="F488" s="5" t="n">
        <f aca="false">IFERROR(__xludf.dummyfunction("""COMPUTED_VALUE"""),20481522)</f>
        <v>20481522</v>
      </c>
    </row>
    <row r="489" customFormat="false" ht="15.75" hidden="false" customHeight="false" outlineLevel="0" collapsed="false">
      <c r="A489" s="6" t="n">
        <f aca="false">IFERROR(__xludf.dummyfunction("""COMPUTED_VALUE"""),44903.6666666667)</f>
        <v>44903.6666666667</v>
      </c>
      <c r="B489" s="5" t="n">
        <f aca="false">IFERROR(__xludf.dummyfunction("""COMPUTED_VALUE"""),244.84)</f>
        <v>244.84</v>
      </c>
      <c r="C489" s="5" t="n">
        <f aca="false">IFERROR(__xludf.dummyfunction("""COMPUTED_VALUE"""),248.74)</f>
        <v>248.74</v>
      </c>
      <c r="D489" s="5" t="n">
        <f aca="false">IFERROR(__xludf.dummyfunction("""COMPUTED_VALUE"""),243.06)</f>
        <v>243.06</v>
      </c>
      <c r="E489" s="5" t="n">
        <f aca="false">IFERROR(__xludf.dummyfunction("""COMPUTED_VALUE"""),247.4)</f>
        <v>247.4</v>
      </c>
      <c r="F489" s="5" t="n">
        <f aca="false">IFERROR(__xludf.dummyfunction("""COMPUTED_VALUE"""),22611757)</f>
        <v>22611757</v>
      </c>
    </row>
    <row r="490" customFormat="false" ht="15.75" hidden="false" customHeight="false" outlineLevel="0" collapsed="false">
      <c r="A490" s="6" t="n">
        <f aca="false">IFERROR(__xludf.dummyfunction("""COMPUTED_VALUE"""),44904.6666666667)</f>
        <v>44904.6666666667</v>
      </c>
      <c r="B490" s="5" t="n">
        <f aca="false">IFERROR(__xludf.dummyfunction("""COMPUTED_VALUE"""),244.7)</f>
        <v>244.7</v>
      </c>
      <c r="C490" s="5" t="n">
        <f aca="false">IFERROR(__xludf.dummyfunction("""COMPUTED_VALUE"""),248.31)</f>
        <v>248.31</v>
      </c>
      <c r="D490" s="5" t="n">
        <f aca="false">IFERROR(__xludf.dummyfunction("""COMPUTED_VALUE"""),244.16)</f>
        <v>244.16</v>
      </c>
      <c r="E490" s="5" t="n">
        <f aca="false">IFERROR(__xludf.dummyfunction("""COMPUTED_VALUE"""),245.42)</f>
        <v>245.42</v>
      </c>
      <c r="F490" s="5" t="n">
        <f aca="false">IFERROR(__xludf.dummyfunction("""COMPUTED_VALUE"""),20609743)</f>
        <v>20609743</v>
      </c>
    </row>
    <row r="491" customFormat="false" ht="15.75" hidden="false" customHeight="false" outlineLevel="0" collapsed="false">
      <c r="A491" s="6" t="n">
        <f aca="false">IFERROR(__xludf.dummyfunction("""COMPUTED_VALUE"""),44907.6666666667)</f>
        <v>44907.6666666667</v>
      </c>
      <c r="B491" s="5" t="n">
        <f aca="false">IFERROR(__xludf.dummyfunction("""COMPUTED_VALUE"""),247.45)</f>
        <v>247.45</v>
      </c>
      <c r="C491" s="5" t="n">
        <f aca="false">IFERROR(__xludf.dummyfunction("""COMPUTED_VALUE"""),252.54)</f>
        <v>252.54</v>
      </c>
      <c r="D491" s="5" t="n">
        <f aca="false">IFERROR(__xludf.dummyfunction("""COMPUTED_VALUE"""),247.17)</f>
        <v>247.17</v>
      </c>
      <c r="E491" s="5" t="n">
        <f aca="false">IFERROR(__xludf.dummyfunction("""COMPUTED_VALUE"""),252.51)</f>
        <v>252.51</v>
      </c>
      <c r="F491" s="5" t="n">
        <f aca="false">IFERROR(__xludf.dummyfunction("""COMPUTED_VALUE"""),30665069)</f>
        <v>30665069</v>
      </c>
    </row>
    <row r="492" customFormat="false" ht="15.75" hidden="false" customHeight="false" outlineLevel="0" collapsed="false">
      <c r="A492" s="6" t="n">
        <f aca="false">IFERROR(__xludf.dummyfunction("""COMPUTED_VALUE"""),44908.6666666667)</f>
        <v>44908.6666666667</v>
      </c>
      <c r="B492" s="5" t="n">
        <f aca="false">IFERROR(__xludf.dummyfunction("""COMPUTED_VALUE"""),261.69)</f>
        <v>261.69</v>
      </c>
      <c r="C492" s="5" t="n">
        <f aca="false">IFERROR(__xludf.dummyfunction("""COMPUTED_VALUE"""),263.92)</f>
        <v>263.92</v>
      </c>
      <c r="D492" s="5" t="n">
        <f aca="false">IFERROR(__xludf.dummyfunction("""COMPUTED_VALUE"""),253.07)</f>
        <v>253.07</v>
      </c>
      <c r="E492" s="5" t="n">
        <f aca="false">IFERROR(__xludf.dummyfunction("""COMPUTED_VALUE"""),256.92)</f>
        <v>256.92</v>
      </c>
      <c r="F492" s="5" t="n">
        <f aca="false">IFERROR(__xludf.dummyfunction("""COMPUTED_VALUE"""),42196884)</f>
        <v>42196884</v>
      </c>
    </row>
    <row r="493" customFormat="false" ht="15.75" hidden="false" customHeight="false" outlineLevel="0" collapsed="false">
      <c r="A493" s="6" t="n">
        <f aca="false">IFERROR(__xludf.dummyfunction("""COMPUTED_VALUE"""),44909.6666666667)</f>
        <v>44909.6666666667</v>
      </c>
      <c r="B493" s="5" t="n">
        <f aca="false">IFERROR(__xludf.dummyfunction("""COMPUTED_VALUE"""),257.13)</f>
        <v>257.13</v>
      </c>
      <c r="C493" s="5" t="n">
        <f aca="false">IFERROR(__xludf.dummyfunction("""COMPUTED_VALUE"""),262.59)</f>
        <v>262.59</v>
      </c>
      <c r="D493" s="5" t="n">
        <f aca="false">IFERROR(__xludf.dummyfunction("""COMPUTED_VALUE"""),254.31)</f>
        <v>254.31</v>
      </c>
      <c r="E493" s="5" t="n">
        <f aca="false">IFERROR(__xludf.dummyfunction("""COMPUTED_VALUE"""),257.22)</f>
        <v>257.22</v>
      </c>
      <c r="F493" s="5" t="n">
        <f aca="false">IFERROR(__xludf.dummyfunction("""COMPUTED_VALUE"""),35410933)</f>
        <v>35410933</v>
      </c>
    </row>
    <row r="494" customFormat="false" ht="15.75" hidden="false" customHeight="false" outlineLevel="0" collapsed="false">
      <c r="A494" s="6" t="n">
        <f aca="false">IFERROR(__xludf.dummyfunction("""COMPUTED_VALUE"""),44910.6666666667)</f>
        <v>44910.6666666667</v>
      </c>
      <c r="B494" s="5" t="n">
        <f aca="false">IFERROR(__xludf.dummyfunction("""COMPUTED_VALUE"""),253.72)</f>
        <v>253.72</v>
      </c>
      <c r="C494" s="5" t="n">
        <f aca="false">IFERROR(__xludf.dummyfunction("""COMPUTED_VALUE"""),254.2)</f>
        <v>254.2</v>
      </c>
      <c r="D494" s="5" t="n">
        <f aca="false">IFERROR(__xludf.dummyfunction("""COMPUTED_VALUE"""),247.34)</f>
        <v>247.34</v>
      </c>
      <c r="E494" s="5" t="n">
        <f aca="false">IFERROR(__xludf.dummyfunction("""COMPUTED_VALUE"""),249.01)</f>
        <v>249.01</v>
      </c>
      <c r="F494" s="5" t="n">
        <f aca="false">IFERROR(__xludf.dummyfunction("""COMPUTED_VALUE"""),35568093)</f>
        <v>35568093</v>
      </c>
    </row>
    <row r="495" customFormat="false" ht="15.75" hidden="false" customHeight="false" outlineLevel="0" collapsed="false">
      <c r="A495" s="6" t="n">
        <f aca="false">IFERROR(__xludf.dummyfunction("""COMPUTED_VALUE"""),44911.6666666667)</f>
        <v>44911.6666666667</v>
      </c>
      <c r="B495" s="5" t="n">
        <f aca="false">IFERROR(__xludf.dummyfunction("""COMPUTED_VALUE"""),248.55)</f>
        <v>248.55</v>
      </c>
      <c r="C495" s="5" t="n">
        <f aca="false">IFERROR(__xludf.dummyfunction("""COMPUTED_VALUE"""),249.84)</f>
        <v>249.84</v>
      </c>
      <c r="D495" s="5" t="n">
        <f aca="false">IFERROR(__xludf.dummyfunction("""COMPUTED_VALUE"""),243.51)</f>
        <v>243.51</v>
      </c>
      <c r="E495" s="5" t="n">
        <f aca="false">IFERROR(__xludf.dummyfunction("""COMPUTED_VALUE"""),244.69)</f>
        <v>244.69</v>
      </c>
      <c r="F495" s="5" t="n">
        <f aca="false">IFERROR(__xludf.dummyfunction("""COMPUTED_VALUE"""),86101994)</f>
        <v>86101994</v>
      </c>
    </row>
    <row r="496" customFormat="false" ht="15.75" hidden="false" customHeight="false" outlineLevel="0" collapsed="false">
      <c r="A496" s="6" t="n">
        <f aca="false">IFERROR(__xludf.dummyfunction("""COMPUTED_VALUE"""),44914.6666666667)</f>
        <v>44914.6666666667</v>
      </c>
      <c r="B496" s="5" t="n">
        <f aca="false">IFERROR(__xludf.dummyfunction("""COMPUTED_VALUE"""),244.86)</f>
        <v>244.86</v>
      </c>
      <c r="C496" s="5" t="n">
        <f aca="false">IFERROR(__xludf.dummyfunction("""COMPUTED_VALUE"""),245.21)</f>
        <v>245.21</v>
      </c>
      <c r="D496" s="5" t="n">
        <f aca="false">IFERROR(__xludf.dummyfunction("""COMPUTED_VALUE"""),238.71)</f>
        <v>238.71</v>
      </c>
      <c r="E496" s="5" t="n">
        <f aca="false">IFERROR(__xludf.dummyfunction("""COMPUTED_VALUE"""),240.45)</f>
        <v>240.45</v>
      </c>
      <c r="F496" s="5" t="n">
        <f aca="false">IFERROR(__xludf.dummyfunction("""COMPUTED_VALUE"""),29696436)</f>
        <v>29696436</v>
      </c>
    </row>
    <row r="497" customFormat="false" ht="15.75" hidden="false" customHeight="false" outlineLevel="0" collapsed="false">
      <c r="A497" s="6" t="n">
        <f aca="false">IFERROR(__xludf.dummyfunction("""COMPUTED_VALUE"""),44915.6666666667)</f>
        <v>44915.6666666667</v>
      </c>
      <c r="B497" s="5" t="n">
        <f aca="false">IFERROR(__xludf.dummyfunction("""COMPUTED_VALUE"""),239.4)</f>
        <v>239.4</v>
      </c>
      <c r="C497" s="5" t="n">
        <f aca="false">IFERROR(__xludf.dummyfunction("""COMPUTED_VALUE"""),242.91)</f>
        <v>242.91</v>
      </c>
      <c r="D497" s="5" t="n">
        <f aca="false">IFERROR(__xludf.dummyfunction("""COMPUTED_VALUE"""),238.42)</f>
        <v>238.42</v>
      </c>
      <c r="E497" s="5" t="n">
        <f aca="false">IFERROR(__xludf.dummyfunction("""COMPUTED_VALUE"""),241.8)</f>
        <v>241.8</v>
      </c>
      <c r="F497" s="5" t="n">
        <f aca="false">IFERROR(__xludf.dummyfunction("""COMPUTED_VALUE"""),25150802)</f>
        <v>25150802</v>
      </c>
    </row>
    <row r="498" customFormat="false" ht="15.75" hidden="false" customHeight="false" outlineLevel="0" collapsed="false">
      <c r="A498" s="6" t="n">
        <f aca="false">IFERROR(__xludf.dummyfunction("""COMPUTED_VALUE"""),44916.6666666667)</f>
        <v>44916.6666666667</v>
      </c>
      <c r="B498" s="5" t="n">
        <f aca="false">IFERROR(__xludf.dummyfunction("""COMPUTED_VALUE"""),241.69)</f>
        <v>241.69</v>
      </c>
      <c r="C498" s="5" t="n">
        <f aca="false">IFERROR(__xludf.dummyfunction("""COMPUTED_VALUE"""),245.62)</f>
        <v>245.62</v>
      </c>
      <c r="D498" s="5" t="n">
        <f aca="false">IFERROR(__xludf.dummyfunction("""COMPUTED_VALUE"""),240.11)</f>
        <v>240.11</v>
      </c>
      <c r="E498" s="5" t="n">
        <f aca="false">IFERROR(__xludf.dummyfunction("""COMPUTED_VALUE"""),244.43)</f>
        <v>244.43</v>
      </c>
      <c r="F498" s="5" t="n">
        <f aca="false">IFERROR(__xludf.dummyfunction("""COMPUTED_VALUE"""),23690607)</f>
        <v>23690607</v>
      </c>
    </row>
    <row r="499" customFormat="false" ht="15.75" hidden="false" customHeight="false" outlineLevel="0" collapsed="false">
      <c r="A499" s="6" t="n">
        <f aca="false">IFERROR(__xludf.dummyfunction("""COMPUTED_VALUE"""),44917.6666666667)</f>
        <v>44917.6666666667</v>
      </c>
      <c r="B499" s="5" t="n">
        <f aca="false">IFERROR(__xludf.dummyfunction("""COMPUTED_VALUE"""),241.26)</f>
        <v>241.26</v>
      </c>
      <c r="C499" s="5" t="n">
        <f aca="false">IFERROR(__xludf.dummyfunction("""COMPUTED_VALUE"""),241.99)</f>
        <v>241.99</v>
      </c>
      <c r="D499" s="5" t="n">
        <f aca="false">IFERROR(__xludf.dummyfunction("""COMPUTED_VALUE"""),233.87)</f>
        <v>233.87</v>
      </c>
      <c r="E499" s="5" t="n">
        <f aca="false">IFERROR(__xludf.dummyfunction("""COMPUTED_VALUE"""),238.19)</f>
        <v>238.19</v>
      </c>
      <c r="F499" s="5" t="n">
        <f aca="false">IFERROR(__xludf.dummyfunction("""COMPUTED_VALUE"""),28651664)</f>
        <v>28651664</v>
      </c>
    </row>
    <row r="500" customFormat="false" ht="15.75" hidden="false" customHeight="false" outlineLevel="0" collapsed="false">
      <c r="A500" s="6" t="n">
        <f aca="false">IFERROR(__xludf.dummyfunction("""COMPUTED_VALUE"""),44918.6666666667)</f>
        <v>44918.6666666667</v>
      </c>
      <c r="B500" s="5" t="n">
        <f aca="false">IFERROR(__xludf.dummyfunction("""COMPUTED_VALUE"""),236.11)</f>
        <v>236.11</v>
      </c>
      <c r="C500" s="5" t="n">
        <f aca="false">IFERROR(__xludf.dummyfunction("""COMPUTED_VALUE"""),238.87)</f>
        <v>238.87</v>
      </c>
      <c r="D500" s="5" t="n">
        <f aca="false">IFERROR(__xludf.dummyfunction("""COMPUTED_VALUE"""),233.94)</f>
        <v>233.94</v>
      </c>
      <c r="E500" s="5" t="n">
        <f aca="false">IFERROR(__xludf.dummyfunction("""COMPUTED_VALUE"""),238.73)</f>
        <v>238.73</v>
      </c>
      <c r="F500" s="5" t="n">
        <f aca="false">IFERROR(__xludf.dummyfunction("""COMPUTED_VALUE"""),21206982)</f>
        <v>21206982</v>
      </c>
    </row>
    <row r="501" customFormat="false" ht="15.75" hidden="false" customHeight="false" outlineLevel="0" collapsed="false">
      <c r="A501" s="6" t="n">
        <f aca="false">IFERROR(__xludf.dummyfunction("""COMPUTED_VALUE"""),44922.6666666667)</f>
        <v>44922.6666666667</v>
      </c>
      <c r="B501" s="5" t="n">
        <f aca="false">IFERROR(__xludf.dummyfunction("""COMPUTED_VALUE"""),238.7)</f>
        <v>238.7</v>
      </c>
      <c r="C501" s="5" t="n">
        <f aca="false">IFERROR(__xludf.dummyfunction("""COMPUTED_VALUE"""),238.93)</f>
        <v>238.93</v>
      </c>
      <c r="D501" s="5" t="n">
        <f aca="false">IFERROR(__xludf.dummyfunction("""COMPUTED_VALUE"""),235.83)</f>
        <v>235.83</v>
      </c>
      <c r="E501" s="5" t="n">
        <f aca="false">IFERROR(__xludf.dummyfunction("""COMPUTED_VALUE"""),236.96)</f>
        <v>236.96</v>
      </c>
      <c r="F501" s="5" t="n">
        <f aca="false">IFERROR(__xludf.dummyfunction("""COMPUTED_VALUE"""),16688648)</f>
        <v>16688648</v>
      </c>
    </row>
    <row r="502" customFormat="false" ht="15.75" hidden="false" customHeight="false" outlineLevel="0" collapsed="false">
      <c r="A502" s="6" t="n">
        <f aca="false">IFERROR(__xludf.dummyfunction("""COMPUTED_VALUE"""),44923.6666666667)</f>
        <v>44923.6666666667</v>
      </c>
      <c r="B502" s="5" t="n">
        <f aca="false">IFERROR(__xludf.dummyfunction("""COMPUTED_VALUE"""),236.89)</f>
        <v>236.89</v>
      </c>
      <c r="C502" s="5" t="n">
        <f aca="false">IFERROR(__xludf.dummyfunction("""COMPUTED_VALUE"""),239.72)</f>
        <v>239.72</v>
      </c>
      <c r="D502" s="5" t="n">
        <f aca="false">IFERROR(__xludf.dummyfunction("""COMPUTED_VALUE"""),234.17)</f>
        <v>234.17</v>
      </c>
      <c r="E502" s="5" t="n">
        <f aca="false">IFERROR(__xludf.dummyfunction("""COMPUTED_VALUE"""),234.53)</f>
        <v>234.53</v>
      </c>
      <c r="F502" s="5" t="n">
        <f aca="false">IFERROR(__xludf.dummyfunction("""COMPUTED_VALUE"""),17457104)</f>
        <v>17457104</v>
      </c>
    </row>
    <row r="503" customFormat="false" ht="15.75" hidden="false" customHeight="false" outlineLevel="0" collapsed="false">
      <c r="A503" s="6" t="n">
        <f aca="false">IFERROR(__xludf.dummyfunction("""COMPUTED_VALUE"""),44924.6666666667)</f>
        <v>44924.6666666667</v>
      </c>
      <c r="B503" s="5" t="n">
        <f aca="false">IFERROR(__xludf.dummyfunction("""COMPUTED_VALUE"""),235.65)</f>
        <v>235.65</v>
      </c>
      <c r="C503" s="5" t="n">
        <f aca="false">IFERROR(__xludf.dummyfunction("""COMPUTED_VALUE"""),241.92)</f>
        <v>241.92</v>
      </c>
      <c r="D503" s="5" t="n">
        <f aca="false">IFERROR(__xludf.dummyfunction("""COMPUTED_VALUE"""),235.65)</f>
        <v>235.65</v>
      </c>
      <c r="E503" s="5" t="n">
        <f aca="false">IFERROR(__xludf.dummyfunction("""COMPUTED_VALUE"""),241.01)</f>
        <v>241.01</v>
      </c>
      <c r="F503" s="5" t="n">
        <f aca="false">IFERROR(__xludf.dummyfunction("""COMPUTED_VALUE"""),19770693)</f>
        <v>19770693</v>
      </c>
    </row>
    <row r="504" customFormat="false" ht="15.75" hidden="false" customHeight="false" outlineLevel="0" collapsed="false">
      <c r="A504" s="6" t="n">
        <f aca="false">IFERROR(__xludf.dummyfunction("""COMPUTED_VALUE"""),44925.6666666667)</f>
        <v>44925.6666666667</v>
      </c>
      <c r="B504" s="5" t="n">
        <f aca="false">IFERROR(__xludf.dummyfunction("""COMPUTED_VALUE"""),238.21)</f>
        <v>238.21</v>
      </c>
      <c r="C504" s="5" t="n">
        <f aca="false">IFERROR(__xludf.dummyfunction("""COMPUTED_VALUE"""),239.96)</f>
        <v>239.96</v>
      </c>
      <c r="D504" s="5" t="n">
        <f aca="false">IFERROR(__xludf.dummyfunction("""COMPUTED_VALUE"""),236.66)</f>
        <v>236.66</v>
      </c>
      <c r="E504" s="5" t="n">
        <f aca="false">IFERROR(__xludf.dummyfunction("""COMPUTED_VALUE"""),239.82)</f>
        <v>239.82</v>
      </c>
      <c r="F504" s="5" t="n">
        <f aca="false">IFERROR(__xludf.dummyfunction("""COMPUTED_VALUE"""),21938472)</f>
        <v>21938472</v>
      </c>
    </row>
    <row r="505" customFormat="false" ht="15.75" hidden="false" customHeight="false" outlineLevel="0" collapsed="false">
      <c r="A505" s="6" t="n">
        <f aca="false">IFERROR(__xludf.dummyfunction("""COMPUTED_VALUE"""),44929.6666666667)</f>
        <v>44929.6666666667</v>
      </c>
      <c r="B505" s="5" t="n">
        <f aca="false">IFERROR(__xludf.dummyfunction("""COMPUTED_VALUE"""),243.08)</f>
        <v>243.08</v>
      </c>
      <c r="C505" s="5" t="n">
        <f aca="false">IFERROR(__xludf.dummyfunction("""COMPUTED_VALUE"""),245.75)</f>
        <v>245.75</v>
      </c>
      <c r="D505" s="5" t="n">
        <f aca="false">IFERROR(__xludf.dummyfunction("""COMPUTED_VALUE"""),237.4)</f>
        <v>237.4</v>
      </c>
      <c r="E505" s="5" t="n">
        <f aca="false">IFERROR(__xludf.dummyfunction("""COMPUTED_VALUE"""),239.58)</f>
        <v>239.58</v>
      </c>
      <c r="F505" s="5" t="n">
        <f aca="false">IFERROR(__xludf.dummyfunction("""COMPUTED_VALUE"""),25740036)</f>
        <v>25740036</v>
      </c>
    </row>
    <row r="506" customFormat="false" ht="15.75" hidden="false" customHeight="false" outlineLevel="0" collapsed="false">
      <c r="A506" s="6" t="n">
        <f aca="false">IFERROR(__xludf.dummyfunction("""COMPUTED_VALUE"""),44930.6666666667)</f>
        <v>44930.6666666667</v>
      </c>
      <c r="B506" s="5" t="n">
        <f aca="false">IFERROR(__xludf.dummyfunction("""COMPUTED_VALUE"""),232.28)</f>
        <v>232.28</v>
      </c>
      <c r="C506" s="5" t="n">
        <f aca="false">IFERROR(__xludf.dummyfunction("""COMPUTED_VALUE"""),232.87)</f>
        <v>232.87</v>
      </c>
      <c r="D506" s="5" t="n">
        <f aca="false">IFERROR(__xludf.dummyfunction("""COMPUTED_VALUE"""),225.96)</f>
        <v>225.96</v>
      </c>
      <c r="E506" s="5" t="n">
        <f aca="false">IFERROR(__xludf.dummyfunction("""COMPUTED_VALUE"""),229.1)</f>
        <v>229.1</v>
      </c>
      <c r="F506" s="5" t="n">
        <f aca="false">IFERROR(__xludf.dummyfunction("""COMPUTED_VALUE"""),50623394)</f>
        <v>50623394</v>
      </c>
    </row>
    <row r="507" customFormat="false" ht="15.75" hidden="false" customHeight="false" outlineLevel="0" collapsed="false">
      <c r="A507" s="6" t="n">
        <f aca="false">IFERROR(__xludf.dummyfunction("""COMPUTED_VALUE"""),44931.6666666667)</f>
        <v>44931.6666666667</v>
      </c>
      <c r="B507" s="5" t="n">
        <f aca="false">IFERROR(__xludf.dummyfunction("""COMPUTED_VALUE"""),227.2)</f>
        <v>227.2</v>
      </c>
      <c r="C507" s="5" t="n">
        <f aca="false">IFERROR(__xludf.dummyfunction("""COMPUTED_VALUE"""),227.55)</f>
        <v>227.55</v>
      </c>
      <c r="D507" s="5" t="n">
        <f aca="false">IFERROR(__xludf.dummyfunction("""COMPUTED_VALUE"""),221.76)</f>
        <v>221.76</v>
      </c>
      <c r="E507" s="5" t="n">
        <f aca="false">IFERROR(__xludf.dummyfunction("""COMPUTED_VALUE"""),222.31)</f>
        <v>222.31</v>
      </c>
      <c r="F507" s="5" t="n">
        <f aca="false">IFERROR(__xludf.dummyfunction("""COMPUTED_VALUE"""),39585623)</f>
        <v>39585623</v>
      </c>
    </row>
    <row r="508" customFormat="false" ht="15.75" hidden="false" customHeight="false" outlineLevel="0" collapsed="false">
      <c r="A508" s="6" t="n">
        <f aca="false">IFERROR(__xludf.dummyfunction("""COMPUTED_VALUE"""),44932.6666666667)</f>
        <v>44932.6666666667</v>
      </c>
      <c r="B508" s="5" t="n">
        <f aca="false">IFERROR(__xludf.dummyfunction("""COMPUTED_VALUE"""),223)</f>
        <v>223</v>
      </c>
      <c r="C508" s="5" t="n">
        <f aca="false">IFERROR(__xludf.dummyfunction("""COMPUTED_VALUE"""),225.76)</f>
        <v>225.76</v>
      </c>
      <c r="D508" s="5" t="n">
        <f aca="false">IFERROR(__xludf.dummyfunction("""COMPUTED_VALUE"""),219.35)</f>
        <v>219.35</v>
      </c>
      <c r="E508" s="5" t="n">
        <f aca="false">IFERROR(__xludf.dummyfunction("""COMPUTED_VALUE"""),224.93)</f>
        <v>224.93</v>
      </c>
      <c r="F508" s="5" t="n">
        <f aca="false">IFERROR(__xludf.dummyfunction("""COMPUTED_VALUE"""),43613574)</f>
        <v>43613574</v>
      </c>
    </row>
    <row r="509" customFormat="false" ht="15.75" hidden="false" customHeight="false" outlineLevel="0" collapsed="false">
      <c r="A509" s="6" t="n">
        <f aca="false">IFERROR(__xludf.dummyfunction("""COMPUTED_VALUE"""),44935.6666666667)</f>
        <v>44935.6666666667</v>
      </c>
      <c r="B509" s="5" t="n">
        <f aca="false">IFERROR(__xludf.dummyfunction("""COMPUTED_VALUE"""),226.45)</f>
        <v>226.45</v>
      </c>
      <c r="C509" s="5" t="n">
        <f aca="false">IFERROR(__xludf.dummyfunction("""COMPUTED_VALUE"""),231.24)</f>
        <v>231.24</v>
      </c>
      <c r="D509" s="5" t="n">
        <f aca="false">IFERROR(__xludf.dummyfunction("""COMPUTED_VALUE"""),226.41)</f>
        <v>226.41</v>
      </c>
      <c r="E509" s="5" t="n">
        <f aca="false">IFERROR(__xludf.dummyfunction("""COMPUTED_VALUE"""),227.12)</f>
        <v>227.12</v>
      </c>
      <c r="F509" s="5" t="n">
        <f aca="false">IFERROR(__xludf.dummyfunction("""COMPUTED_VALUE"""),27369784)</f>
        <v>27369784</v>
      </c>
    </row>
    <row r="510" customFormat="false" ht="15.75" hidden="false" customHeight="false" outlineLevel="0" collapsed="false">
      <c r="A510" s="6" t="n">
        <f aca="false">IFERROR(__xludf.dummyfunction("""COMPUTED_VALUE"""),44936.6666666667)</f>
        <v>44936.6666666667</v>
      </c>
      <c r="B510" s="5" t="n">
        <f aca="false">IFERROR(__xludf.dummyfunction("""COMPUTED_VALUE"""),227.76)</f>
        <v>227.76</v>
      </c>
      <c r="C510" s="5" t="n">
        <f aca="false">IFERROR(__xludf.dummyfunction("""COMPUTED_VALUE"""),231.31)</f>
        <v>231.31</v>
      </c>
      <c r="D510" s="5" t="n">
        <f aca="false">IFERROR(__xludf.dummyfunction("""COMPUTED_VALUE"""),227.33)</f>
        <v>227.33</v>
      </c>
      <c r="E510" s="5" t="n">
        <f aca="false">IFERROR(__xludf.dummyfunction("""COMPUTED_VALUE"""),228.85)</f>
        <v>228.85</v>
      </c>
      <c r="F510" s="5" t="n">
        <f aca="false">IFERROR(__xludf.dummyfunction("""COMPUTED_VALUE"""),27033881)</f>
        <v>27033881</v>
      </c>
    </row>
    <row r="511" customFormat="false" ht="15.75" hidden="false" customHeight="false" outlineLevel="0" collapsed="false">
      <c r="A511" s="6" t="n">
        <f aca="false">IFERROR(__xludf.dummyfunction("""COMPUTED_VALUE"""),44937.6666666667)</f>
        <v>44937.6666666667</v>
      </c>
      <c r="B511" s="5" t="n">
        <f aca="false">IFERROR(__xludf.dummyfunction("""COMPUTED_VALUE"""),231.29)</f>
        <v>231.29</v>
      </c>
      <c r="C511" s="5" t="n">
        <f aca="false">IFERROR(__xludf.dummyfunction("""COMPUTED_VALUE"""),235.95)</f>
        <v>235.95</v>
      </c>
      <c r="D511" s="5" t="n">
        <f aca="false">IFERROR(__xludf.dummyfunction("""COMPUTED_VALUE"""),231.11)</f>
        <v>231.11</v>
      </c>
      <c r="E511" s="5" t="n">
        <f aca="false">IFERROR(__xludf.dummyfunction("""COMPUTED_VALUE"""),235.77)</f>
        <v>235.77</v>
      </c>
      <c r="F511" s="5" t="n">
        <f aca="false">IFERROR(__xludf.dummyfunction("""COMPUTED_VALUE"""),28669331)</f>
        <v>28669331</v>
      </c>
    </row>
    <row r="512" customFormat="false" ht="15.75" hidden="false" customHeight="false" outlineLevel="0" collapsed="false">
      <c r="A512" s="6" t="n">
        <f aca="false">IFERROR(__xludf.dummyfunction("""COMPUTED_VALUE"""),44938.6666666667)</f>
        <v>44938.6666666667</v>
      </c>
      <c r="B512" s="5" t="n">
        <f aca="false">IFERROR(__xludf.dummyfunction("""COMPUTED_VALUE"""),235.26)</f>
        <v>235.26</v>
      </c>
      <c r="C512" s="5" t="n">
        <f aca="false">IFERROR(__xludf.dummyfunction("""COMPUTED_VALUE"""),239.9)</f>
        <v>239.9</v>
      </c>
      <c r="D512" s="5" t="n">
        <f aca="false">IFERROR(__xludf.dummyfunction("""COMPUTED_VALUE"""),233.56)</f>
        <v>233.56</v>
      </c>
      <c r="E512" s="5" t="n">
        <f aca="false">IFERROR(__xludf.dummyfunction("""COMPUTED_VALUE"""),238.51)</f>
        <v>238.51</v>
      </c>
      <c r="F512" s="5" t="n">
        <f aca="false">IFERROR(__xludf.dummyfunction("""COMPUTED_VALUE"""),27269486)</f>
        <v>27269486</v>
      </c>
    </row>
    <row r="513" customFormat="false" ht="15.75" hidden="false" customHeight="false" outlineLevel="0" collapsed="false">
      <c r="A513" s="6" t="n">
        <f aca="false">IFERROR(__xludf.dummyfunction("""COMPUTED_VALUE"""),44939.6666666667)</f>
        <v>44939.6666666667</v>
      </c>
      <c r="B513" s="5" t="n">
        <f aca="false">IFERROR(__xludf.dummyfunction("""COMPUTED_VALUE"""),237)</f>
        <v>237</v>
      </c>
      <c r="C513" s="5" t="n">
        <f aca="false">IFERROR(__xludf.dummyfunction("""COMPUTED_VALUE"""),239.37)</f>
        <v>239.37</v>
      </c>
      <c r="D513" s="5" t="n">
        <f aca="false">IFERROR(__xludf.dummyfunction("""COMPUTED_VALUE"""),234.92)</f>
        <v>234.92</v>
      </c>
      <c r="E513" s="5" t="n">
        <f aca="false">IFERROR(__xludf.dummyfunction("""COMPUTED_VALUE"""),239.23)</f>
        <v>239.23</v>
      </c>
      <c r="F513" s="5" t="n">
        <f aca="false">IFERROR(__xludf.dummyfunction("""COMPUTED_VALUE"""),21333265)</f>
        <v>21333265</v>
      </c>
    </row>
    <row r="514" customFormat="false" ht="15.75" hidden="false" customHeight="false" outlineLevel="0" collapsed="false">
      <c r="A514" s="6" t="n">
        <f aca="false">IFERROR(__xludf.dummyfunction("""COMPUTED_VALUE"""),44943.6666666667)</f>
        <v>44943.6666666667</v>
      </c>
      <c r="B514" s="5" t="n">
        <f aca="false">IFERROR(__xludf.dummyfunction("""COMPUTED_VALUE"""),237.97)</f>
        <v>237.97</v>
      </c>
      <c r="C514" s="5" t="n">
        <f aca="false">IFERROR(__xludf.dummyfunction("""COMPUTED_VALUE"""),240.91)</f>
        <v>240.91</v>
      </c>
      <c r="D514" s="5" t="n">
        <f aca="false">IFERROR(__xludf.dummyfunction("""COMPUTED_VALUE"""),237.09)</f>
        <v>237.09</v>
      </c>
      <c r="E514" s="5" t="n">
        <f aca="false">IFERROR(__xludf.dummyfunction("""COMPUTED_VALUE"""),240.35)</f>
        <v>240.35</v>
      </c>
      <c r="F514" s="5" t="n">
        <f aca="false">IFERROR(__xludf.dummyfunction("""COMPUTED_VALUE"""),29831257)</f>
        <v>29831257</v>
      </c>
    </row>
    <row r="515" customFormat="false" ht="15.75" hidden="false" customHeight="false" outlineLevel="0" collapsed="false">
      <c r="A515" s="6" t="n">
        <f aca="false">IFERROR(__xludf.dummyfunction("""COMPUTED_VALUE"""),44944.6666666667)</f>
        <v>44944.6666666667</v>
      </c>
      <c r="B515" s="5" t="n">
        <f aca="false">IFERROR(__xludf.dummyfunction("""COMPUTED_VALUE"""),241.57)</f>
        <v>241.57</v>
      </c>
      <c r="C515" s="5" t="n">
        <f aca="false">IFERROR(__xludf.dummyfunction("""COMPUTED_VALUE"""),242.38)</f>
        <v>242.38</v>
      </c>
      <c r="D515" s="5" t="n">
        <f aca="false">IFERROR(__xludf.dummyfunction("""COMPUTED_VALUE"""),235.52)</f>
        <v>235.52</v>
      </c>
      <c r="E515" s="5" t="n">
        <f aca="false">IFERROR(__xludf.dummyfunction("""COMPUTED_VALUE"""),235.81)</f>
        <v>235.81</v>
      </c>
      <c r="F515" s="5" t="n">
        <f aca="false">IFERROR(__xludf.dummyfunction("""COMPUTED_VALUE"""),30028692)</f>
        <v>30028692</v>
      </c>
    </row>
    <row r="516" customFormat="false" ht="15.75" hidden="false" customHeight="false" outlineLevel="0" collapsed="false">
      <c r="A516" s="6" t="n">
        <f aca="false">IFERROR(__xludf.dummyfunction("""COMPUTED_VALUE"""),44945.6666666667)</f>
        <v>44945.6666666667</v>
      </c>
      <c r="B516" s="5" t="n">
        <f aca="false">IFERROR(__xludf.dummyfunction("""COMPUTED_VALUE"""),233.78)</f>
        <v>233.78</v>
      </c>
      <c r="C516" s="5" t="n">
        <f aca="false">IFERROR(__xludf.dummyfunction("""COMPUTED_VALUE"""),235.52)</f>
        <v>235.52</v>
      </c>
      <c r="D516" s="5" t="n">
        <f aca="false">IFERROR(__xludf.dummyfunction("""COMPUTED_VALUE"""),230.68)</f>
        <v>230.68</v>
      </c>
      <c r="E516" s="5" t="n">
        <f aca="false">IFERROR(__xludf.dummyfunction("""COMPUTED_VALUE"""),231.93)</f>
        <v>231.93</v>
      </c>
      <c r="F516" s="5" t="n">
        <f aca="false">IFERROR(__xludf.dummyfunction("""COMPUTED_VALUE"""),28623033)</f>
        <v>28623033</v>
      </c>
    </row>
    <row r="517" customFormat="false" ht="15.75" hidden="false" customHeight="false" outlineLevel="0" collapsed="false">
      <c r="A517" s="6" t="n">
        <f aca="false">IFERROR(__xludf.dummyfunction("""COMPUTED_VALUE"""),44946.6666666667)</f>
        <v>44946.6666666667</v>
      </c>
      <c r="B517" s="5" t="n">
        <f aca="false">IFERROR(__xludf.dummyfunction("""COMPUTED_VALUE"""),234.86)</f>
        <v>234.86</v>
      </c>
      <c r="C517" s="5" t="n">
        <f aca="false">IFERROR(__xludf.dummyfunction("""COMPUTED_VALUE"""),240.74)</f>
        <v>240.74</v>
      </c>
      <c r="D517" s="5" t="n">
        <f aca="false">IFERROR(__xludf.dummyfunction("""COMPUTED_VALUE"""),234.51)</f>
        <v>234.51</v>
      </c>
      <c r="E517" s="5" t="n">
        <f aca="false">IFERROR(__xludf.dummyfunction("""COMPUTED_VALUE"""),240.22)</f>
        <v>240.22</v>
      </c>
      <c r="F517" s="5" t="n">
        <f aca="false">IFERROR(__xludf.dummyfunction("""COMPUTED_VALUE"""),35389809)</f>
        <v>35389809</v>
      </c>
    </row>
    <row r="518" customFormat="false" ht="15.75" hidden="false" customHeight="false" outlineLevel="0" collapsed="false">
      <c r="A518" s="6" t="n">
        <f aca="false">IFERROR(__xludf.dummyfunction("""COMPUTED_VALUE"""),44949.6666666667)</f>
        <v>44949.6666666667</v>
      </c>
      <c r="B518" s="5" t="n">
        <f aca="false">IFERROR(__xludf.dummyfunction("""COMPUTED_VALUE"""),241.1)</f>
        <v>241.1</v>
      </c>
      <c r="C518" s="5" t="n">
        <f aca="false">IFERROR(__xludf.dummyfunction("""COMPUTED_VALUE"""),245.17)</f>
        <v>245.17</v>
      </c>
      <c r="D518" s="5" t="n">
        <f aca="false">IFERROR(__xludf.dummyfunction("""COMPUTED_VALUE"""),239.65)</f>
        <v>239.65</v>
      </c>
      <c r="E518" s="5" t="n">
        <f aca="false">IFERROR(__xludf.dummyfunction("""COMPUTED_VALUE"""),242.58)</f>
        <v>242.58</v>
      </c>
      <c r="F518" s="5" t="n">
        <f aca="false">IFERROR(__xludf.dummyfunction("""COMPUTED_VALUE"""),31933951)</f>
        <v>31933951</v>
      </c>
    </row>
    <row r="519" customFormat="false" ht="15.75" hidden="false" customHeight="false" outlineLevel="0" collapsed="false">
      <c r="A519" s="6" t="n">
        <f aca="false">IFERROR(__xludf.dummyfunction("""COMPUTED_VALUE"""),44950.6666666667)</f>
        <v>44950.6666666667</v>
      </c>
      <c r="B519" s="5" t="n">
        <f aca="false">IFERROR(__xludf.dummyfunction("""COMPUTED_VALUE"""),242.5)</f>
        <v>242.5</v>
      </c>
      <c r="C519" s="5" t="n">
        <f aca="false">IFERROR(__xludf.dummyfunction("""COMPUTED_VALUE"""),243.95)</f>
        <v>243.95</v>
      </c>
      <c r="D519" s="5" t="n">
        <f aca="false">IFERROR(__xludf.dummyfunction("""COMPUTED_VALUE"""),240.44)</f>
        <v>240.44</v>
      </c>
      <c r="E519" s="5" t="n">
        <f aca="false">IFERROR(__xludf.dummyfunction("""COMPUTED_VALUE"""),242.04)</f>
        <v>242.04</v>
      </c>
      <c r="F519" s="5" t="n">
        <f aca="false">IFERROR(__xludf.dummyfunction("""COMPUTED_VALUE"""),40234444)</f>
        <v>40234444</v>
      </c>
    </row>
    <row r="520" customFormat="false" ht="15.75" hidden="false" customHeight="false" outlineLevel="0" collapsed="false">
      <c r="A520" s="6" t="n">
        <f aca="false">IFERROR(__xludf.dummyfunction("""COMPUTED_VALUE"""),44951.6666666667)</f>
        <v>44951.6666666667</v>
      </c>
      <c r="B520" s="5" t="n">
        <f aca="false">IFERROR(__xludf.dummyfunction("""COMPUTED_VALUE"""),234.48)</f>
        <v>234.48</v>
      </c>
      <c r="C520" s="5" t="n">
        <f aca="false">IFERROR(__xludf.dummyfunction("""COMPUTED_VALUE"""),243.3)</f>
        <v>243.3</v>
      </c>
      <c r="D520" s="5" t="n">
        <f aca="false">IFERROR(__xludf.dummyfunction("""COMPUTED_VALUE"""),230.9)</f>
        <v>230.9</v>
      </c>
      <c r="E520" s="5" t="n">
        <f aca="false">IFERROR(__xludf.dummyfunction("""COMPUTED_VALUE"""),240.61)</f>
        <v>240.61</v>
      </c>
      <c r="F520" s="5" t="n">
        <f aca="false">IFERROR(__xludf.dummyfunction("""COMPUTED_VALUE"""),66526641)</f>
        <v>66526641</v>
      </c>
    </row>
    <row r="521" customFormat="false" ht="15.75" hidden="false" customHeight="false" outlineLevel="0" collapsed="false">
      <c r="A521" s="6" t="n">
        <f aca="false">IFERROR(__xludf.dummyfunction("""COMPUTED_VALUE"""),44952.6666666667)</f>
        <v>44952.6666666667</v>
      </c>
      <c r="B521" s="5" t="n">
        <f aca="false">IFERROR(__xludf.dummyfunction("""COMPUTED_VALUE"""),243.65)</f>
        <v>243.65</v>
      </c>
      <c r="C521" s="5" t="n">
        <f aca="false">IFERROR(__xludf.dummyfunction("""COMPUTED_VALUE"""),248.31)</f>
        <v>248.31</v>
      </c>
      <c r="D521" s="5" t="n">
        <f aca="false">IFERROR(__xludf.dummyfunction("""COMPUTED_VALUE"""),242)</f>
        <v>242</v>
      </c>
      <c r="E521" s="5" t="n">
        <f aca="false">IFERROR(__xludf.dummyfunction("""COMPUTED_VALUE"""),248)</f>
        <v>248</v>
      </c>
      <c r="F521" s="5" t="n">
        <f aca="false">IFERROR(__xludf.dummyfunction("""COMPUTED_VALUE"""),33454491)</f>
        <v>33454491</v>
      </c>
    </row>
    <row r="522" customFormat="false" ht="15.75" hidden="false" customHeight="false" outlineLevel="0" collapsed="false">
      <c r="A522" s="6" t="n">
        <f aca="false">IFERROR(__xludf.dummyfunction("""COMPUTED_VALUE"""),44953.6666666667)</f>
        <v>44953.6666666667</v>
      </c>
      <c r="B522" s="5" t="n">
        <f aca="false">IFERROR(__xludf.dummyfunction("""COMPUTED_VALUE"""),248.99)</f>
        <v>248.99</v>
      </c>
      <c r="C522" s="5" t="n">
        <f aca="false">IFERROR(__xludf.dummyfunction("""COMPUTED_VALUE"""),249.83)</f>
        <v>249.83</v>
      </c>
      <c r="D522" s="5" t="n">
        <f aca="false">IFERROR(__xludf.dummyfunction("""COMPUTED_VALUE"""),246.83)</f>
        <v>246.83</v>
      </c>
      <c r="E522" s="5" t="n">
        <f aca="false">IFERROR(__xludf.dummyfunction("""COMPUTED_VALUE"""),248.16)</f>
        <v>248.16</v>
      </c>
      <c r="F522" s="5" t="n">
        <f aca="false">IFERROR(__xludf.dummyfunction("""COMPUTED_VALUE"""),26498939)</f>
        <v>26498939</v>
      </c>
    </row>
    <row r="523" customFormat="false" ht="15.75" hidden="false" customHeight="false" outlineLevel="0" collapsed="false">
      <c r="A523" s="6" t="n">
        <f aca="false">IFERROR(__xludf.dummyfunction("""COMPUTED_VALUE"""),44956.6666666667)</f>
        <v>44956.6666666667</v>
      </c>
      <c r="B523" s="5" t="n">
        <f aca="false">IFERROR(__xludf.dummyfunction("""COMPUTED_VALUE"""),244.51)</f>
        <v>244.51</v>
      </c>
      <c r="C523" s="5" t="n">
        <f aca="false">IFERROR(__xludf.dummyfunction("""COMPUTED_VALUE"""),245.6)</f>
        <v>245.6</v>
      </c>
      <c r="D523" s="5" t="n">
        <f aca="false">IFERROR(__xludf.dummyfunction("""COMPUTED_VALUE"""),242.2)</f>
        <v>242.2</v>
      </c>
      <c r="E523" s="5" t="n">
        <f aca="false">IFERROR(__xludf.dummyfunction("""COMPUTED_VALUE"""),242.71)</f>
        <v>242.71</v>
      </c>
      <c r="F523" s="5" t="n">
        <f aca="false">IFERROR(__xludf.dummyfunction("""COMPUTED_VALUE"""),25867365)</f>
        <v>25867365</v>
      </c>
    </row>
    <row r="524" customFormat="false" ht="15.75" hidden="false" customHeight="false" outlineLevel="0" collapsed="false">
      <c r="A524" s="6" t="n">
        <f aca="false">IFERROR(__xludf.dummyfunction("""COMPUTED_VALUE"""),44957.6666666667)</f>
        <v>44957.6666666667</v>
      </c>
      <c r="B524" s="5" t="n">
        <f aca="false">IFERROR(__xludf.dummyfunction("""COMPUTED_VALUE"""),243.45)</f>
        <v>243.45</v>
      </c>
      <c r="C524" s="5" t="n">
        <f aca="false">IFERROR(__xludf.dummyfunction("""COMPUTED_VALUE"""),247.95)</f>
        <v>247.95</v>
      </c>
      <c r="D524" s="5" t="n">
        <f aca="false">IFERROR(__xludf.dummyfunction("""COMPUTED_VALUE"""),242.95)</f>
        <v>242.95</v>
      </c>
      <c r="E524" s="5" t="n">
        <f aca="false">IFERROR(__xludf.dummyfunction("""COMPUTED_VALUE"""),247.81)</f>
        <v>247.81</v>
      </c>
      <c r="F524" s="5" t="n">
        <f aca="false">IFERROR(__xludf.dummyfunction("""COMPUTED_VALUE"""),26541072)</f>
        <v>26541072</v>
      </c>
    </row>
    <row r="525" customFormat="false" ht="15.75" hidden="false" customHeight="false" outlineLevel="0" collapsed="false">
      <c r="A525" s="6" t="n">
        <f aca="false">IFERROR(__xludf.dummyfunction("""COMPUTED_VALUE"""),44958.6666666667)</f>
        <v>44958.6666666667</v>
      </c>
      <c r="B525" s="5" t="n">
        <f aca="false">IFERROR(__xludf.dummyfunction("""COMPUTED_VALUE"""),248)</f>
        <v>248</v>
      </c>
      <c r="C525" s="5" t="n">
        <f aca="false">IFERROR(__xludf.dummyfunction("""COMPUTED_VALUE"""),255.18)</f>
        <v>255.18</v>
      </c>
      <c r="D525" s="5" t="n">
        <f aca="false">IFERROR(__xludf.dummyfunction("""COMPUTED_VALUE"""),245.47)</f>
        <v>245.47</v>
      </c>
      <c r="E525" s="5" t="n">
        <f aca="false">IFERROR(__xludf.dummyfunction("""COMPUTED_VALUE"""),252.75)</f>
        <v>252.75</v>
      </c>
      <c r="F525" s="5" t="n">
        <f aca="false">IFERROR(__xludf.dummyfunction("""COMPUTED_VALUE"""),31259912)</f>
        <v>31259912</v>
      </c>
    </row>
    <row r="526" customFormat="false" ht="15.75" hidden="false" customHeight="false" outlineLevel="0" collapsed="false">
      <c r="A526" s="6" t="n">
        <f aca="false">IFERROR(__xludf.dummyfunction("""COMPUTED_VALUE"""),44959.6666666667)</f>
        <v>44959.6666666667</v>
      </c>
      <c r="B526" s="5" t="n">
        <f aca="false">IFERROR(__xludf.dummyfunction("""COMPUTED_VALUE"""),258.82)</f>
        <v>258.82</v>
      </c>
      <c r="C526" s="5" t="n">
        <f aca="false">IFERROR(__xludf.dummyfunction("""COMPUTED_VALUE"""),264.69)</f>
        <v>264.69</v>
      </c>
      <c r="D526" s="5" t="n">
        <f aca="false">IFERROR(__xludf.dummyfunction("""COMPUTED_VALUE"""),257.25)</f>
        <v>257.25</v>
      </c>
      <c r="E526" s="5" t="n">
        <f aca="false">IFERROR(__xludf.dummyfunction("""COMPUTED_VALUE"""),264.6)</f>
        <v>264.6</v>
      </c>
      <c r="F526" s="5" t="n">
        <f aca="false">IFERROR(__xludf.dummyfunction("""COMPUTED_VALUE"""),39940437)</f>
        <v>39940437</v>
      </c>
    </row>
    <row r="527" customFormat="false" ht="15.75" hidden="false" customHeight="false" outlineLevel="0" collapsed="false">
      <c r="A527" s="6" t="n">
        <f aca="false">IFERROR(__xludf.dummyfunction("""COMPUTED_VALUE"""),44960.6666666667)</f>
        <v>44960.6666666667</v>
      </c>
      <c r="B527" s="5" t="n">
        <f aca="false">IFERROR(__xludf.dummyfunction("""COMPUTED_VALUE"""),259.54)</f>
        <v>259.54</v>
      </c>
      <c r="C527" s="5" t="n">
        <f aca="false">IFERROR(__xludf.dummyfunction("""COMPUTED_VALUE"""),264.2)</f>
        <v>264.2</v>
      </c>
      <c r="D527" s="5" t="n">
        <f aca="false">IFERROR(__xludf.dummyfunction("""COMPUTED_VALUE"""),257.1)</f>
        <v>257.1</v>
      </c>
      <c r="E527" s="5" t="n">
        <f aca="false">IFERROR(__xludf.dummyfunction("""COMPUTED_VALUE"""),258.35)</f>
        <v>258.35</v>
      </c>
      <c r="F527" s="5" t="n">
        <f aca="false">IFERROR(__xludf.dummyfunction("""COMPUTED_VALUE"""),29077256)</f>
        <v>29077256</v>
      </c>
    </row>
    <row r="528" customFormat="false" ht="15.75" hidden="false" customHeight="false" outlineLevel="0" collapsed="false">
      <c r="A528" s="6" t="n">
        <f aca="false">IFERROR(__xludf.dummyfunction("""COMPUTED_VALUE"""),44963.6666666667)</f>
        <v>44963.6666666667</v>
      </c>
      <c r="B528" s="5" t="n">
        <f aca="false">IFERROR(__xludf.dummyfunction("""COMPUTED_VALUE"""),257.44)</f>
        <v>257.44</v>
      </c>
      <c r="C528" s="5" t="n">
        <f aca="false">IFERROR(__xludf.dummyfunction("""COMPUTED_VALUE"""),258.3)</f>
        <v>258.3</v>
      </c>
      <c r="D528" s="5" t="n">
        <f aca="false">IFERROR(__xludf.dummyfunction("""COMPUTED_VALUE"""),254.78)</f>
        <v>254.78</v>
      </c>
      <c r="E528" s="5" t="n">
        <f aca="false">IFERROR(__xludf.dummyfunction("""COMPUTED_VALUE"""),256.77)</f>
        <v>256.77</v>
      </c>
      <c r="F528" s="5" t="n">
        <f aca="false">IFERROR(__xludf.dummyfunction("""COMPUTED_VALUE"""),22517997)</f>
        <v>22517997</v>
      </c>
    </row>
    <row r="529" customFormat="false" ht="15.75" hidden="false" customHeight="false" outlineLevel="0" collapsed="false">
      <c r="A529" s="6" t="n">
        <f aca="false">IFERROR(__xludf.dummyfunction("""COMPUTED_VALUE"""),44964.6666666667)</f>
        <v>44964.6666666667</v>
      </c>
      <c r="B529" s="5" t="n">
        <f aca="false">IFERROR(__xludf.dummyfunction("""COMPUTED_VALUE"""),260.53)</f>
        <v>260.53</v>
      </c>
      <c r="C529" s="5" t="n">
        <f aca="false">IFERROR(__xludf.dummyfunction("""COMPUTED_VALUE"""),268.77)</f>
        <v>268.77</v>
      </c>
      <c r="D529" s="5" t="n">
        <f aca="false">IFERROR(__xludf.dummyfunction("""COMPUTED_VALUE"""),260.08)</f>
        <v>260.08</v>
      </c>
      <c r="E529" s="5" t="n">
        <f aca="false">IFERROR(__xludf.dummyfunction("""COMPUTED_VALUE"""),267.56)</f>
        <v>267.56</v>
      </c>
      <c r="F529" s="5" t="n">
        <f aca="false">IFERROR(__xludf.dummyfunction("""COMPUTED_VALUE"""),50841365)</f>
        <v>50841365</v>
      </c>
    </row>
    <row r="530" customFormat="false" ht="15.75" hidden="false" customHeight="false" outlineLevel="0" collapsed="false">
      <c r="A530" s="6" t="n">
        <f aca="false">IFERROR(__xludf.dummyfunction("""COMPUTED_VALUE"""),44965.6666666667)</f>
        <v>44965.6666666667</v>
      </c>
      <c r="B530" s="5" t="n">
        <f aca="false">IFERROR(__xludf.dummyfunction("""COMPUTED_VALUE"""),273.2)</f>
        <v>273.2</v>
      </c>
      <c r="C530" s="5" t="n">
        <f aca="false">IFERROR(__xludf.dummyfunction("""COMPUTED_VALUE"""),276.76)</f>
        <v>276.76</v>
      </c>
      <c r="D530" s="5" t="n">
        <f aca="false">IFERROR(__xludf.dummyfunction("""COMPUTED_VALUE"""),266.21)</f>
        <v>266.21</v>
      </c>
      <c r="E530" s="5" t="n">
        <f aca="false">IFERROR(__xludf.dummyfunction("""COMPUTED_VALUE"""),266.73)</f>
        <v>266.73</v>
      </c>
      <c r="F530" s="5" t="n">
        <f aca="false">IFERROR(__xludf.dummyfunction("""COMPUTED_VALUE"""),54686049)</f>
        <v>54686049</v>
      </c>
    </row>
    <row r="531" customFormat="false" ht="15.75" hidden="false" customHeight="false" outlineLevel="0" collapsed="false">
      <c r="A531" s="6" t="n">
        <f aca="false">IFERROR(__xludf.dummyfunction("""COMPUTED_VALUE"""),44966.6666666667)</f>
        <v>44966.6666666667</v>
      </c>
      <c r="B531" s="5" t="n">
        <f aca="false">IFERROR(__xludf.dummyfunction("""COMPUTED_VALUE"""),273.8)</f>
        <v>273.8</v>
      </c>
      <c r="C531" s="5" t="n">
        <f aca="false">IFERROR(__xludf.dummyfunction("""COMPUTED_VALUE"""),273.98)</f>
        <v>273.98</v>
      </c>
      <c r="D531" s="5" t="n">
        <f aca="false">IFERROR(__xludf.dummyfunction("""COMPUTED_VALUE"""),262.8)</f>
        <v>262.8</v>
      </c>
      <c r="E531" s="5" t="n">
        <f aca="false">IFERROR(__xludf.dummyfunction("""COMPUTED_VALUE"""),263.62)</f>
        <v>263.62</v>
      </c>
      <c r="F531" s="5" t="n">
        <f aca="false">IFERROR(__xludf.dummyfunction("""COMPUTED_VALUE"""),42375102)</f>
        <v>42375102</v>
      </c>
    </row>
    <row r="532" customFormat="false" ht="15.75" hidden="false" customHeight="false" outlineLevel="0" collapsed="false">
      <c r="A532" s="6" t="n">
        <f aca="false">IFERROR(__xludf.dummyfunction("""COMPUTED_VALUE"""),44967.6666666667)</f>
        <v>44967.6666666667</v>
      </c>
      <c r="B532" s="5" t="n">
        <f aca="false">IFERROR(__xludf.dummyfunction("""COMPUTED_VALUE"""),261.53)</f>
        <v>261.53</v>
      </c>
      <c r="C532" s="5" t="n">
        <f aca="false">IFERROR(__xludf.dummyfunction("""COMPUTED_VALUE"""),264.09)</f>
        <v>264.09</v>
      </c>
      <c r="D532" s="5" t="n">
        <f aca="false">IFERROR(__xludf.dummyfunction("""COMPUTED_VALUE"""),260.66)</f>
        <v>260.66</v>
      </c>
      <c r="E532" s="5" t="n">
        <f aca="false">IFERROR(__xludf.dummyfunction("""COMPUTED_VALUE"""),263.1)</f>
        <v>263.1</v>
      </c>
      <c r="F532" s="5" t="n">
        <f aca="false">IFERROR(__xludf.dummyfunction("""COMPUTED_VALUE"""),25818489)</f>
        <v>25818489</v>
      </c>
    </row>
    <row r="533" customFormat="false" ht="15.75" hidden="false" customHeight="false" outlineLevel="0" collapsed="false">
      <c r="A533" s="6" t="n">
        <f aca="false">IFERROR(__xludf.dummyfunction("""COMPUTED_VALUE"""),44970.6666666667)</f>
        <v>44970.6666666667</v>
      </c>
      <c r="B533" s="5" t="n">
        <f aca="false">IFERROR(__xludf.dummyfunction("""COMPUTED_VALUE"""),267.64)</f>
        <v>267.64</v>
      </c>
      <c r="C533" s="5" t="n">
        <f aca="false">IFERROR(__xludf.dummyfunction("""COMPUTED_VALUE"""),274.6)</f>
        <v>274.6</v>
      </c>
      <c r="D533" s="5" t="n">
        <f aca="false">IFERROR(__xludf.dummyfunction("""COMPUTED_VALUE"""),267.15)</f>
        <v>267.15</v>
      </c>
      <c r="E533" s="5" t="n">
        <f aca="false">IFERROR(__xludf.dummyfunction("""COMPUTED_VALUE"""),271.32)</f>
        <v>271.32</v>
      </c>
      <c r="F533" s="5" t="n">
        <f aca="false">IFERROR(__xludf.dummyfunction("""COMPUTED_VALUE"""),44630921)</f>
        <v>44630921</v>
      </c>
    </row>
    <row r="534" customFormat="false" ht="15.75" hidden="false" customHeight="false" outlineLevel="0" collapsed="false">
      <c r="A534" s="6" t="n">
        <f aca="false">IFERROR(__xludf.dummyfunction("""COMPUTED_VALUE"""),44971.6666666667)</f>
        <v>44971.6666666667</v>
      </c>
      <c r="B534" s="5" t="n">
        <f aca="false">IFERROR(__xludf.dummyfunction("""COMPUTED_VALUE"""),272.67)</f>
        <v>272.67</v>
      </c>
      <c r="C534" s="5" t="n">
        <f aca="false">IFERROR(__xludf.dummyfunction("""COMPUTED_VALUE"""),274.97)</f>
        <v>274.97</v>
      </c>
      <c r="D534" s="5" t="n">
        <f aca="false">IFERROR(__xludf.dummyfunction("""COMPUTED_VALUE"""),269.28)</f>
        <v>269.28</v>
      </c>
      <c r="E534" s="5" t="n">
        <f aca="false">IFERROR(__xludf.dummyfunction("""COMPUTED_VALUE"""),272.17)</f>
        <v>272.17</v>
      </c>
      <c r="F534" s="5" t="n">
        <f aca="false">IFERROR(__xludf.dummyfunction("""COMPUTED_VALUE"""),37047924)</f>
        <v>37047924</v>
      </c>
    </row>
    <row r="535" customFormat="false" ht="15.75" hidden="false" customHeight="false" outlineLevel="0" collapsed="false">
      <c r="A535" s="6" t="n">
        <f aca="false">IFERROR(__xludf.dummyfunction("""COMPUTED_VALUE"""),44972.6666666667)</f>
        <v>44972.6666666667</v>
      </c>
      <c r="B535" s="5" t="n">
        <f aca="false">IFERROR(__xludf.dummyfunction("""COMPUTED_VALUE"""),268.32)</f>
        <v>268.32</v>
      </c>
      <c r="C535" s="5" t="n">
        <f aca="false">IFERROR(__xludf.dummyfunction("""COMPUTED_VALUE"""),270.73)</f>
        <v>270.73</v>
      </c>
      <c r="D535" s="5" t="n">
        <f aca="false">IFERROR(__xludf.dummyfunction("""COMPUTED_VALUE"""),266.18)</f>
        <v>266.18</v>
      </c>
      <c r="E535" s="5" t="n">
        <f aca="false">IFERROR(__xludf.dummyfunction("""COMPUTED_VALUE"""),269.32)</f>
        <v>269.32</v>
      </c>
      <c r="F535" s="5" t="n">
        <f aca="false">IFERROR(__xludf.dummyfunction("""COMPUTED_VALUE"""),28962163)</f>
        <v>28962163</v>
      </c>
    </row>
    <row r="536" customFormat="false" ht="15.75" hidden="false" customHeight="false" outlineLevel="0" collapsed="false">
      <c r="A536" s="6" t="n">
        <f aca="false">IFERROR(__xludf.dummyfunction("""COMPUTED_VALUE"""),44973.6666666667)</f>
        <v>44973.6666666667</v>
      </c>
      <c r="B536" s="5" t="n">
        <f aca="false">IFERROR(__xludf.dummyfunction("""COMPUTED_VALUE"""),264.02)</f>
        <v>264.02</v>
      </c>
      <c r="C536" s="5" t="n">
        <f aca="false">IFERROR(__xludf.dummyfunction("""COMPUTED_VALUE"""),266.74)</f>
        <v>266.74</v>
      </c>
      <c r="D536" s="5" t="n">
        <f aca="false">IFERROR(__xludf.dummyfunction("""COMPUTED_VALUE"""),261.9)</f>
        <v>261.9</v>
      </c>
      <c r="E536" s="5" t="n">
        <f aca="false">IFERROR(__xludf.dummyfunction("""COMPUTED_VALUE"""),262.15)</f>
        <v>262.15</v>
      </c>
      <c r="F536" s="5" t="n">
        <f aca="false">IFERROR(__xludf.dummyfunction("""COMPUTED_VALUE"""),29603616)</f>
        <v>29603616</v>
      </c>
    </row>
    <row r="537" customFormat="false" ht="15.75" hidden="false" customHeight="false" outlineLevel="0" collapsed="false">
      <c r="A537" s="6" t="n">
        <f aca="false">IFERROR(__xludf.dummyfunction("""COMPUTED_VALUE"""),44974.6666666667)</f>
        <v>44974.6666666667</v>
      </c>
      <c r="B537" s="5" t="n">
        <f aca="false">IFERROR(__xludf.dummyfunction("""COMPUTED_VALUE"""),259.39)</f>
        <v>259.39</v>
      </c>
      <c r="C537" s="5" t="n">
        <f aca="false">IFERROR(__xludf.dummyfunction("""COMPUTED_VALUE"""),260.09)</f>
        <v>260.09</v>
      </c>
      <c r="D537" s="5" t="n">
        <f aca="false">IFERROR(__xludf.dummyfunction("""COMPUTED_VALUE"""),256)</f>
        <v>256</v>
      </c>
      <c r="E537" s="5" t="n">
        <f aca="false">IFERROR(__xludf.dummyfunction("""COMPUTED_VALUE"""),258.06)</f>
        <v>258.06</v>
      </c>
      <c r="F537" s="5" t="n">
        <f aca="false">IFERROR(__xludf.dummyfunction("""COMPUTED_VALUE"""),30000055)</f>
        <v>30000055</v>
      </c>
    </row>
    <row r="538" customFormat="false" ht="15.75" hidden="false" customHeight="false" outlineLevel="0" collapsed="false">
      <c r="A538" s="6" t="n">
        <f aca="false">IFERROR(__xludf.dummyfunction("""COMPUTED_VALUE"""),44978.6666666667)</f>
        <v>44978.6666666667</v>
      </c>
      <c r="B538" s="5" t="n">
        <f aca="false">IFERROR(__xludf.dummyfunction("""COMPUTED_VALUE"""),254.48)</f>
        <v>254.48</v>
      </c>
      <c r="C538" s="5" t="n">
        <f aca="false">IFERROR(__xludf.dummyfunction("""COMPUTED_VALUE"""),255.49)</f>
        <v>255.49</v>
      </c>
      <c r="D538" s="5" t="n">
        <f aca="false">IFERROR(__xludf.dummyfunction("""COMPUTED_VALUE"""),251.59)</f>
        <v>251.59</v>
      </c>
      <c r="E538" s="5" t="n">
        <f aca="false">IFERROR(__xludf.dummyfunction("""COMPUTED_VALUE"""),252.67)</f>
        <v>252.67</v>
      </c>
      <c r="F538" s="5" t="n">
        <f aca="false">IFERROR(__xludf.dummyfunction("""COMPUTED_VALUE"""),28397444)</f>
        <v>28397444</v>
      </c>
    </row>
    <row r="539" customFormat="false" ht="15.75" hidden="false" customHeight="false" outlineLevel="0" collapsed="false">
      <c r="A539" s="6" t="n">
        <f aca="false">IFERROR(__xludf.dummyfunction("""COMPUTED_VALUE"""),44979.6666666667)</f>
        <v>44979.6666666667</v>
      </c>
      <c r="B539" s="5" t="n">
        <f aca="false">IFERROR(__xludf.dummyfunction("""COMPUTED_VALUE"""),254.09)</f>
        <v>254.09</v>
      </c>
      <c r="C539" s="5" t="n">
        <f aca="false">IFERROR(__xludf.dummyfunction("""COMPUTED_VALUE"""),254.34)</f>
        <v>254.34</v>
      </c>
      <c r="D539" s="5" t="n">
        <f aca="false">IFERROR(__xludf.dummyfunction("""COMPUTED_VALUE"""),250.34)</f>
        <v>250.34</v>
      </c>
      <c r="E539" s="5" t="n">
        <f aca="false">IFERROR(__xludf.dummyfunction("""COMPUTED_VALUE"""),251.51)</f>
        <v>251.51</v>
      </c>
      <c r="F539" s="5" t="n">
        <f aca="false">IFERROR(__xludf.dummyfunction("""COMPUTED_VALUE"""),22491056)</f>
        <v>22491056</v>
      </c>
    </row>
    <row r="540" customFormat="false" ht="15.75" hidden="false" customHeight="false" outlineLevel="0" collapsed="false">
      <c r="A540" s="6" t="n">
        <f aca="false">IFERROR(__xludf.dummyfunction("""COMPUTED_VALUE"""),44980.6666666667)</f>
        <v>44980.6666666667</v>
      </c>
      <c r="B540" s="5" t="n">
        <f aca="false">IFERROR(__xludf.dummyfunction("""COMPUTED_VALUE"""),255.56)</f>
        <v>255.56</v>
      </c>
      <c r="C540" s="5" t="n">
        <f aca="false">IFERROR(__xludf.dummyfunction("""COMPUTED_VALUE"""),256.84)</f>
        <v>256.84</v>
      </c>
      <c r="D540" s="5" t="n">
        <f aca="false">IFERROR(__xludf.dummyfunction("""COMPUTED_VALUE"""),250.48)</f>
        <v>250.48</v>
      </c>
      <c r="E540" s="5" t="n">
        <f aca="false">IFERROR(__xludf.dummyfunction("""COMPUTED_VALUE"""),254.77)</f>
        <v>254.77</v>
      </c>
      <c r="F540" s="5" t="n">
        <f aca="false">IFERROR(__xludf.dummyfunction("""COMPUTED_VALUE"""),29219095)</f>
        <v>29219095</v>
      </c>
    </row>
    <row r="541" customFormat="false" ht="15.75" hidden="false" customHeight="false" outlineLevel="0" collapsed="false">
      <c r="A541" s="6" t="n">
        <f aca="false">IFERROR(__xludf.dummyfunction("""COMPUTED_VALUE"""),44981.6666666667)</f>
        <v>44981.6666666667</v>
      </c>
      <c r="B541" s="5" t="n">
        <f aca="false">IFERROR(__xludf.dummyfunction("""COMPUTED_VALUE"""),249.96)</f>
        <v>249.96</v>
      </c>
      <c r="C541" s="5" t="n">
        <f aca="false">IFERROR(__xludf.dummyfunction("""COMPUTED_VALUE"""),251)</f>
        <v>251</v>
      </c>
      <c r="D541" s="5" t="n">
        <f aca="false">IFERROR(__xludf.dummyfunction("""COMPUTED_VALUE"""),248.1)</f>
        <v>248.1</v>
      </c>
      <c r="E541" s="5" t="n">
        <f aca="false">IFERROR(__xludf.dummyfunction("""COMPUTED_VALUE"""),249.22)</f>
        <v>249.22</v>
      </c>
      <c r="F541" s="5" t="n">
        <f aca="false">IFERROR(__xludf.dummyfunction("""COMPUTED_VALUE"""),24990905)</f>
        <v>24990905</v>
      </c>
    </row>
    <row r="542" customFormat="false" ht="15.75" hidden="false" customHeight="false" outlineLevel="0" collapsed="false">
      <c r="A542" s="6" t="n">
        <f aca="false">IFERROR(__xludf.dummyfunction("""COMPUTED_VALUE"""),44984.6666666667)</f>
        <v>44984.6666666667</v>
      </c>
      <c r="B542" s="5" t="n">
        <f aca="false">IFERROR(__xludf.dummyfunction("""COMPUTED_VALUE"""),252.46)</f>
        <v>252.46</v>
      </c>
      <c r="C542" s="5" t="n">
        <f aca="false">IFERROR(__xludf.dummyfunction("""COMPUTED_VALUE"""),252.82)</f>
        <v>252.82</v>
      </c>
      <c r="D542" s="5" t="n">
        <f aca="false">IFERROR(__xludf.dummyfunction("""COMPUTED_VALUE"""),249.39)</f>
        <v>249.39</v>
      </c>
      <c r="E542" s="5" t="n">
        <f aca="false">IFERROR(__xludf.dummyfunction("""COMPUTED_VALUE"""),250.16)</f>
        <v>250.16</v>
      </c>
      <c r="F542" s="5" t="n">
        <f aca="false">IFERROR(__xludf.dummyfunction("""COMPUTED_VALUE"""),21190042)</f>
        <v>21190042</v>
      </c>
    </row>
    <row r="543" customFormat="false" ht="15.75" hidden="false" customHeight="false" outlineLevel="0" collapsed="false">
      <c r="A543" s="6" t="n">
        <f aca="false">IFERROR(__xludf.dummyfunction("""COMPUTED_VALUE"""),44985.6666666667)</f>
        <v>44985.6666666667</v>
      </c>
      <c r="B543" s="5" t="n">
        <f aca="false">IFERROR(__xludf.dummyfunction("""COMPUTED_VALUE"""),249.07)</f>
        <v>249.07</v>
      </c>
      <c r="C543" s="5" t="n">
        <f aca="false">IFERROR(__xludf.dummyfunction("""COMPUTED_VALUE"""),251.49)</f>
        <v>251.49</v>
      </c>
      <c r="D543" s="5" t="n">
        <f aca="false">IFERROR(__xludf.dummyfunction("""COMPUTED_VALUE"""),248.73)</f>
        <v>248.73</v>
      </c>
      <c r="E543" s="5" t="n">
        <f aca="false">IFERROR(__xludf.dummyfunction("""COMPUTED_VALUE"""),249.42)</f>
        <v>249.42</v>
      </c>
      <c r="F543" s="5" t="n">
        <f aca="false">IFERROR(__xludf.dummyfunction("""COMPUTED_VALUE"""),22490950)</f>
        <v>22490950</v>
      </c>
    </row>
    <row r="544" customFormat="false" ht="15.75" hidden="false" customHeight="false" outlineLevel="0" collapsed="false">
      <c r="A544" s="6" t="n">
        <f aca="false">IFERROR(__xludf.dummyfunction("""COMPUTED_VALUE"""),44986.6666666667)</f>
        <v>44986.6666666667</v>
      </c>
      <c r="B544" s="5" t="n">
        <f aca="false">IFERROR(__xludf.dummyfunction("""COMPUTED_VALUE"""),250.76)</f>
        <v>250.76</v>
      </c>
      <c r="C544" s="5" t="n">
        <f aca="false">IFERROR(__xludf.dummyfunction("""COMPUTED_VALUE"""),250.93)</f>
        <v>250.93</v>
      </c>
      <c r="D544" s="5" t="n">
        <f aca="false">IFERROR(__xludf.dummyfunction("""COMPUTED_VALUE"""),245.79)</f>
        <v>245.79</v>
      </c>
      <c r="E544" s="5" t="n">
        <f aca="false">IFERROR(__xludf.dummyfunction("""COMPUTED_VALUE"""),246.27)</f>
        <v>246.27</v>
      </c>
      <c r="F544" s="5" t="n">
        <f aca="false">IFERROR(__xludf.dummyfunction("""COMPUTED_VALUE"""),27565259)</f>
        <v>27565259</v>
      </c>
    </row>
    <row r="545" customFormat="false" ht="15.75" hidden="false" customHeight="false" outlineLevel="0" collapsed="false">
      <c r="A545" s="6" t="n">
        <f aca="false">IFERROR(__xludf.dummyfunction("""COMPUTED_VALUE"""),44987.6666666667)</f>
        <v>44987.6666666667</v>
      </c>
      <c r="B545" s="5" t="n">
        <f aca="false">IFERROR(__xludf.dummyfunction("""COMPUTED_VALUE"""),246.55)</f>
        <v>246.55</v>
      </c>
      <c r="C545" s="5" t="n">
        <f aca="false">IFERROR(__xludf.dummyfunction("""COMPUTED_VALUE"""),251.4)</f>
        <v>251.4</v>
      </c>
      <c r="D545" s="5" t="n">
        <f aca="false">IFERROR(__xludf.dummyfunction("""COMPUTED_VALUE"""),245.61)</f>
        <v>245.61</v>
      </c>
      <c r="E545" s="5" t="n">
        <f aca="false">IFERROR(__xludf.dummyfunction("""COMPUTED_VALUE"""),251.11)</f>
        <v>251.11</v>
      </c>
      <c r="F545" s="5" t="n">
        <f aca="false">IFERROR(__xludf.dummyfunction("""COMPUTED_VALUE"""),24833646)</f>
        <v>24833646</v>
      </c>
    </row>
    <row r="546" customFormat="false" ht="15.75" hidden="false" customHeight="false" outlineLevel="0" collapsed="false">
      <c r="A546" s="6" t="n">
        <f aca="false">IFERROR(__xludf.dummyfunction("""COMPUTED_VALUE"""),44988.6666666667)</f>
        <v>44988.6666666667</v>
      </c>
      <c r="B546" s="5" t="n">
        <f aca="false">IFERROR(__xludf.dummyfunction("""COMPUTED_VALUE"""),252.19)</f>
        <v>252.19</v>
      </c>
      <c r="C546" s="5" t="n">
        <f aca="false">IFERROR(__xludf.dummyfunction("""COMPUTED_VALUE"""),255.62)</f>
        <v>255.62</v>
      </c>
      <c r="D546" s="5" t="n">
        <f aca="false">IFERROR(__xludf.dummyfunction("""COMPUTED_VALUE"""),251.39)</f>
        <v>251.39</v>
      </c>
      <c r="E546" s="5" t="n">
        <f aca="false">IFERROR(__xludf.dummyfunction("""COMPUTED_VALUE"""),255.29)</f>
        <v>255.29</v>
      </c>
      <c r="F546" s="5" t="n">
        <f aca="false">IFERROR(__xludf.dummyfunction("""COMPUTED_VALUE"""),30760136)</f>
        <v>30760136</v>
      </c>
    </row>
    <row r="547" customFormat="false" ht="15.75" hidden="false" customHeight="false" outlineLevel="0" collapsed="false">
      <c r="A547" s="6" t="n">
        <f aca="false">IFERROR(__xludf.dummyfunction("""COMPUTED_VALUE"""),44991.6666666667)</f>
        <v>44991.6666666667</v>
      </c>
      <c r="B547" s="5" t="n">
        <f aca="false">IFERROR(__xludf.dummyfunction("""COMPUTED_VALUE"""),256.43)</f>
        <v>256.43</v>
      </c>
      <c r="C547" s="5" t="n">
        <f aca="false">IFERROR(__xludf.dummyfunction("""COMPUTED_VALUE"""),260.12)</f>
        <v>260.12</v>
      </c>
      <c r="D547" s="5" t="n">
        <f aca="false">IFERROR(__xludf.dummyfunction("""COMPUTED_VALUE"""),255.98)</f>
        <v>255.98</v>
      </c>
      <c r="E547" s="5" t="n">
        <f aca="false">IFERROR(__xludf.dummyfunction("""COMPUTED_VALUE"""),256.87)</f>
        <v>256.87</v>
      </c>
      <c r="F547" s="5" t="n">
        <f aca="false">IFERROR(__xludf.dummyfunction("""COMPUTED_VALUE"""),24109849)</f>
        <v>24109849</v>
      </c>
    </row>
    <row r="548" customFormat="false" ht="15.75" hidden="false" customHeight="false" outlineLevel="0" collapsed="false">
      <c r="A548" s="6" t="n">
        <f aca="false">IFERROR(__xludf.dummyfunction("""COMPUTED_VALUE"""),44992.6666666667)</f>
        <v>44992.6666666667</v>
      </c>
      <c r="B548" s="5" t="n">
        <f aca="false">IFERROR(__xludf.dummyfunction("""COMPUTED_VALUE"""),256.3)</f>
        <v>256.3</v>
      </c>
      <c r="C548" s="5" t="n">
        <f aca="false">IFERROR(__xludf.dummyfunction("""COMPUTED_VALUE"""),257.69)</f>
        <v>257.69</v>
      </c>
      <c r="D548" s="5" t="n">
        <f aca="false">IFERROR(__xludf.dummyfunction("""COMPUTED_VALUE"""),253.39)</f>
        <v>253.39</v>
      </c>
      <c r="E548" s="5" t="n">
        <f aca="false">IFERROR(__xludf.dummyfunction("""COMPUTED_VALUE"""),254.15)</f>
        <v>254.15</v>
      </c>
      <c r="F548" s="5" t="n">
        <f aca="false">IFERROR(__xludf.dummyfunction("""COMPUTED_VALUE"""),21473179)</f>
        <v>21473179</v>
      </c>
    </row>
    <row r="549" customFormat="false" ht="15.75" hidden="false" customHeight="false" outlineLevel="0" collapsed="false">
      <c r="A549" s="6" t="n">
        <f aca="false">IFERROR(__xludf.dummyfunction("""COMPUTED_VALUE"""),44993.6666666667)</f>
        <v>44993.6666666667</v>
      </c>
      <c r="B549" s="5" t="n">
        <f aca="false">IFERROR(__xludf.dummyfunction("""COMPUTED_VALUE"""),254.04)</f>
        <v>254.04</v>
      </c>
      <c r="C549" s="5" t="n">
        <f aca="false">IFERROR(__xludf.dummyfunction("""COMPUTED_VALUE"""),254.54)</f>
        <v>254.54</v>
      </c>
      <c r="D549" s="5" t="n">
        <f aca="false">IFERROR(__xludf.dummyfunction("""COMPUTED_VALUE"""),250.81)</f>
        <v>250.81</v>
      </c>
      <c r="E549" s="5" t="n">
        <f aca="false">IFERROR(__xludf.dummyfunction("""COMPUTED_VALUE"""),253.7)</f>
        <v>253.7</v>
      </c>
      <c r="F549" s="5" t="n">
        <f aca="false">IFERROR(__xludf.dummyfunction("""COMPUTED_VALUE"""),17340217)</f>
        <v>17340217</v>
      </c>
    </row>
    <row r="550" customFormat="false" ht="15.75" hidden="false" customHeight="false" outlineLevel="0" collapsed="false">
      <c r="A550" s="6" t="n">
        <f aca="false">IFERROR(__xludf.dummyfunction("""COMPUTED_VALUE"""),44994.6666666667)</f>
        <v>44994.6666666667</v>
      </c>
      <c r="B550" s="5" t="n">
        <f aca="false">IFERROR(__xludf.dummyfunction("""COMPUTED_VALUE"""),255.82)</f>
        <v>255.82</v>
      </c>
      <c r="C550" s="5" t="n">
        <f aca="false">IFERROR(__xludf.dummyfunction("""COMPUTED_VALUE"""),259.56)</f>
        <v>259.56</v>
      </c>
      <c r="D550" s="5" t="n">
        <f aca="false">IFERROR(__xludf.dummyfunction("""COMPUTED_VALUE"""),251.58)</f>
        <v>251.58</v>
      </c>
      <c r="E550" s="5" t="n">
        <f aca="false">IFERROR(__xludf.dummyfunction("""COMPUTED_VALUE"""),252.32)</f>
        <v>252.32</v>
      </c>
      <c r="F550" s="5" t="n">
        <f aca="false">IFERROR(__xludf.dummyfunction("""COMPUTED_VALUE"""),26653387)</f>
        <v>26653387</v>
      </c>
    </row>
    <row r="551" customFormat="false" ht="15.75" hidden="false" customHeight="false" outlineLevel="0" collapsed="false">
      <c r="A551" s="6" t="n">
        <f aca="false">IFERROR(__xludf.dummyfunction("""COMPUTED_VALUE"""),44995.6666666667)</f>
        <v>44995.6666666667</v>
      </c>
      <c r="B551" s="5" t="n">
        <f aca="false">IFERROR(__xludf.dummyfunction("""COMPUTED_VALUE"""),251.08)</f>
        <v>251.08</v>
      </c>
      <c r="C551" s="5" t="n">
        <f aca="false">IFERROR(__xludf.dummyfunction("""COMPUTED_VALUE"""),252.79)</f>
        <v>252.79</v>
      </c>
      <c r="D551" s="5" t="n">
        <f aca="false">IFERROR(__xludf.dummyfunction("""COMPUTED_VALUE"""),247.6)</f>
        <v>247.6</v>
      </c>
      <c r="E551" s="5" t="n">
        <f aca="false">IFERROR(__xludf.dummyfunction("""COMPUTED_VALUE"""),248.59)</f>
        <v>248.59</v>
      </c>
      <c r="F551" s="5" t="n">
        <f aca="false">IFERROR(__xludf.dummyfunction("""COMPUTED_VALUE"""),28333930)</f>
        <v>28333930</v>
      </c>
    </row>
    <row r="552" customFormat="false" ht="15.75" hidden="false" customHeight="false" outlineLevel="0" collapsed="false">
      <c r="A552" s="6" t="n">
        <f aca="false">IFERROR(__xludf.dummyfunction("""COMPUTED_VALUE"""),44998.6666666667)</f>
        <v>44998.6666666667</v>
      </c>
      <c r="B552" s="5" t="n">
        <f aca="false">IFERROR(__xludf.dummyfunction("""COMPUTED_VALUE"""),247.4)</f>
        <v>247.4</v>
      </c>
      <c r="C552" s="5" t="n">
        <f aca="false">IFERROR(__xludf.dummyfunction("""COMPUTED_VALUE"""),257.91)</f>
        <v>257.91</v>
      </c>
      <c r="D552" s="5" t="n">
        <f aca="false">IFERROR(__xludf.dummyfunction("""COMPUTED_VALUE"""),245.73)</f>
        <v>245.73</v>
      </c>
      <c r="E552" s="5" t="n">
        <f aca="false">IFERROR(__xludf.dummyfunction("""COMPUTED_VALUE"""),253.92)</f>
        <v>253.92</v>
      </c>
      <c r="F552" s="5" t="n">
        <f aca="false">IFERROR(__xludf.dummyfunction("""COMPUTED_VALUE"""),33339721)</f>
        <v>33339721</v>
      </c>
    </row>
    <row r="553" customFormat="false" ht="15.75" hidden="false" customHeight="false" outlineLevel="0" collapsed="false">
      <c r="A553" s="6" t="n">
        <f aca="false">IFERROR(__xludf.dummyfunction("""COMPUTED_VALUE"""),44999.6666666667)</f>
        <v>44999.6666666667</v>
      </c>
      <c r="B553" s="5" t="n">
        <f aca="false">IFERROR(__xludf.dummyfunction("""COMPUTED_VALUE"""),256.75)</f>
        <v>256.75</v>
      </c>
      <c r="C553" s="5" t="n">
        <f aca="false">IFERROR(__xludf.dummyfunction("""COMPUTED_VALUE"""),261.07)</f>
        <v>261.07</v>
      </c>
      <c r="D553" s="5" t="n">
        <f aca="false">IFERROR(__xludf.dummyfunction("""COMPUTED_VALUE"""),255.86)</f>
        <v>255.86</v>
      </c>
      <c r="E553" s="5" t="n">
        <f aca="false">IFERROR(__xludf.dummyfunction("""COMPUTED_VALUE"""),260.79)</f>
        <v>260.79</v>
      </c>
      <c r="F553" s="5" t="n">
        <f aca="false">IFERROR(__xludf.dummyfunction("""COMPUTED_VALUE"""),33620293)</f>
        <v>33620293</v>
      </c>
    </row>
    <row r="554" customFormat="false" ht="15.75" hidden="false" customHeight="false" outlineLevel="0" collapsed="false">
      <c r="A554" s="6" t="n">
        <f aca="false">IFERROR(__xludf.dummyfunction("""COMPUTED_VALUE"""),45000.6666666667)</f>
        <v>45000.6666666667</v>
      </c>
      <c r="B554" s="5" t="n">
        <f aca="false">IFERROR(__xludf.dummyfunction("""COMPUTED_VALUE"""),259.98)</f>
        <v>259.98</v>
      </c>
      <c r="C554" s="5" t="n">
        <f aca="false">IFERROR(__xludf.dummyfunction("""COMPUTED_VALUE"""),266.48)</f>
        <v>266.48</v>
      </c>
      <c r="D554" s="5" t="n">
        <f aca="false">IFERROR(__xludf.dummyfunction("""COMPUTED_VALUE"""),259.21)</f>
        <v>259.21</v>
      </c>
      <c r="E554" s="5" t="n">
        <f aca="false">IFERROR(__xludf.dummyfunction("""COMPUTED_VALUE"""),265.44)</f>
        <v>265.44</v>
      </c>
      <c r="F554" s="5" t="n">
        <f aca="false">IFERROR(__xludf.dummyfunction("""COMPUTED_VALUE"""),46028047)</f>
        <v>46028047</v>
      </c>
    </row>
    <row r="555" customFormat="false" ht="15.75" hidden="false" customHeight="false" outlineLevel="0" collapsed="false">
      <c r="A555" s="6" t="n">
        <f aca="false">IFERROR(__xludf.dummyfunction("""COMPUTED_VALUE"""),45001.6666666667)</f>
        <v>45001.6666666667</v>
      </c>
      <c r="B555" s="5" t="n">
        <f aca="false">IFERROR(__xludf.dummyfunction("""COMPUTED_VALUE"""),265.21)</f>
        <v>265.21</v>
      </c>
      <c r="C555" s="5" t="n">
        <f aca="false">IFERROR(__xludf.dummyfunction("""COMPUTED_VALUE"""),276.56)</f>
        <v>276.56</v>
      </c>
      <c r="D555" s="5" t="n">
        <f aca="false">IFERROR(__xludf.dummyfunction("""COMPUTED_VALUE"""),263.28)</f>
        <v>263.28</v>
      </c>
      <c r="E555" s="5" t="n">
        <f aca="false">IFERROR(__xludf.dummyfunction("""COMPUTED_VALUE"""),276.2)</f>
        <v>276.2</v>
      </c>
      <c r="F555" s="5" t="n">
        <f aca="false">IFERROR(__xludf.dummyfunction("""COMPUTED_VALUE"""),54832140)</f>
        <v>54832140</v>
      </c>
    </row>
    <row r="556" customFormat="false" ht="15.75" hidden="false" customHeight="false" outlineLevel="0" collapsed="false">
      <c r="A556" s="6" t="n">
        <f aca="false">IFERROR(__xludf.dummyfunction("""COMPUTED_VALUE"""),45002.6666666667)</f>
        <v>45002.6666666667</v>
      </c>
      <c r="B556" s="5" t="n">
        <f aca="false">IFERROR(__xludf.dummyfunction("""COMPUTED_VALUE"""),278.26)</f>
        <v>278.26</v>
      </c>
      <c r="C556" s="5" t="n">
        <f aca="false">IFERROR(__xludf.dummyfunction("""COMPUTED_VALUE"""),283.33)</f>
        <v>283.33</v>
      </c>
      <c r="D556" s="5" t="n">
        <f aca="false">IFERROR(__xludf.dummyfunction("""COMPUTED_VALUE"""),276.32)</f>
        <v>276.32</v>
      </c>
      <c r="E556" s="5" t="n">
        <f aca="false">IFERROR(__xludf.dummyfunction("""COMPUTED_VALUE"""),279.43)</f>
        <v>279.43</v>
      </c>
      <c r="F556" s="5" t="n">
        <f aca="false">IFERROR(__xludf.dummyfunction("""COMPUTED_VALUE"""),69527371)</f>
        <v>69527371</v>
      </c>
    </row>
    <row r="557" customFormat="false" ht="15.75" hidden="false" customHeight="false" outlineLevel="0" collapsed="false">
      <c r="A557" s="6" t="n">
        <f aca="false">IFERROR(__xludf.dummyfunction("""COMPUTED_VALUE"""),45005.6666666667)</f>
        <v>45005.6666666667</v>
      </c>
      <c r="B557" s="5" t="n">
        <f aca="false">IFERROR(__xludf.dummyfunction("""COMPUTED_VALUE"""),276.98)</f>
        <v>276.98</v>
      </c>
      <c r="C557" s="5" t="n">
        <f aca="false">IFERROR(__xludf.dummyfunction("""COMPUTED_VALUE"""),277.48)</f>
        <v>277.48</v>
      </c>
      <c r="D557" s="5" t="n">
        <f aca="false">IFERROR(__xludf.dummyfunction("""COMPUTED_VALUE"""),269.85)</f>
        <v>269.85</v>
      </c>
      <c r="E557" s="5" t="n">
        <f aca="false">IFERROR(__xludf.dummyfunction("""COMPUTED_VALUE"""),272.23)</f>
        <v>272.23</v>
      </c>
      <c r="F557" s="5" t="n">
        <f aca="false">IFERROR(__xludf.dummyfunction("""COMPUTED_VALUE"""),43466649)</f>
        <v>43466649</v>
      </c>
    </row>
    <row r="558" customFormat="false" ht="15.75" hidden="false" customHeight="false" outlineLevel="0" collapsed="false">
      <c r="A558" s="6" t="n">
        <f aca="false">IFERROR(__xludf.dummyfunction("""COMPUTED_VALUE"""),45006.6666666667)</f>
        <v>45006.6666666667</v>
      </c>
      <c r="B558" s="5" t="n">
        <f aca="false">IFERROR(__xludf.dummyfunction("""COMPUTED_VALUE"""),274.88)</f>
        <v>274.88</v>
      </c>
      <c r="C558" s="5" t="n">
        <f aca="false">IFERROR(__xludf.dummyfunction("""COMPUTED_VALUE"""),275)</f>
        <v>275</v>
      </c>
      <c r="D558" s="5" t="n">
        <f aca="false">IFERROR(__xludf.dummyfunction("""COMPUTED_VALUE"""),269.52)</f>
        <v>269.52</v>
      </c>
      <c r="E558" s="5" t="n">
        <f aca="false">IFERROR(__xludf.dummyfunction("""COMPUTED_VALUE"""),273.78)</f>
        <v>273.78</v>
      </c>
      <c r="F558" s="5" t="n">
        <f aca="false">IFERROR(__xludf.dummyfunction("""COMPUTED_VALUE"""),34558704)</f>
        <v>34558704</v>
      </c>
    </row>
    <row r="559" customFormat="false" ht="15.75" hidden="false" customHeight="false" outlineLevel="0" collapsed="false">
      <c r="A559" s="6" t="n">
        <f aca="false">IFERROR(__xludf.dummyfunction("""COMPUTED_VALUE"""),45007.6666666667)</f>
        <v>45007.6666666667</v>
      </c>
      <c r="B559" s="5" t="n">
        <f aca="false">IFERROR(__xludf.dummyfunction("""COMPUTED_VALUE"""),273.4)</f>
        <v>273.4</v>
      </c>
      <c r="C559" s="5" t="n">
        <f aca="false">IFERROR(__xludf.dummyfunction("""COMPUTED_VALUE"""),281.04)</f>
        <v>281.04</v>
      </c>
      <c r="D559" s="5" t="n">
        <f aca="false">IFERROR(__xludf.dummyfunction("""COMPUTED_VALUE"""),272.18)</f>
        <v>272.18</v>
      </c>
      <c r="E559" s="5" t="n">
        <f aca="false">IFERROR(__xludf.dummyfunction("""COMPUTED_VALUE"""),272.29)</f>
        <v>272.29</v>
      </c>
      <c r="F559" s="5" t="n">
        <f aca="false">IFERROR(__xludf.dummyfunction("""COMPUTED_VALUE"""),34873330)</f>
        <v>34873330</v>
      </c>
    </row>
    <row r="560" customFormat="false" ht="15.75" hidden="false" customHeight="false" outlineLevel="0" collapsed="false">
      <c r="A560" s="6" t="n">
        <f aca="false">IFERROR(__xludf.dummyfunction("""COMPUTED_VALUE"""),45008.6666666667)</f>
        <v>45008.6666666667</v>
      </c>
      <c r="B560" s="5" t="n">
        <f aca="false">IFERROR(__xludf.dummyfunction("""COMPUTED_VALUE"""),277.94)</f>
        <v>277.94</v>
      </c>
      <c r="C560" s="5" t="n">
        <f aca="false">IFERROR(__xludf.dummyfunction("""COMPUTED_VALUE"""),281.06)</f>
        <v>281.06</v>
      </c>
      <c r="D560" s="5" t="n">
        <f aca="false">IFERROR(__xludf.dummyfunction("""COMPUTED_VALUE"""),275.2)</f>
        <v>275.2</v>
      </c>
      <c r="E560" s="5" t="n">
        <f aca="false">IFERROR(__xludf.dummyfunction("""COMPUTED_VALUE"""),277.66)</f>
        <v>277.66</v>
      </c>
      <c r="F560" s="5" t="n">
        <f aca="false">IFERROR(__xludf.dummyfunction("""COMPUTED_VALUE"""),36610879)</f>
        <v>36610879</v>
      </c>
    </row>
    <row r="561" customFormat="false" ht="15.75" hidden="false" customHeight="false" outlineLevel="0" collapsed="false">
      <c r="A561" s="6" t="n">
        <f aca="false">IFERROR(__xludf.dummyfunction("""COMPUTED_VALUE"""),45009.6666666667)</f>
        <v>45009.6666666667</v>
      </c>
      <c r="B561" s="5" t="n">
        <f aca="false">IFERROR(__xludf.dummyfunction("""COMPUTED_VALUE"""),277.24)</f>
        <v>277.24</v>
      </c>
      <c r="C561" s="5" t="n">
        <f aca="false">IFERROR(__xludf.dummyfunction("""COMPUTED_VALUE"""),280.63)</f>
        <v>280.63</v>
      </c>
      <c r="D561" s="5" t="n">
        <f aca="false">IFERROR(__xludf.dummyfunction("""COMPUTED_VALUE"""),275.28)</f>
        <v>275.28</v>
      </c>
      <c r="E561" s="5" t="n">
        <f aca="false">IFERROR(__xludf.dummyfunction("""COMPUTED_VALUE"""),280.57)</f>
        <v>280.57</v>
      </c>
      <c r="F561" s="5" t="n">
        <f aca="false">IFERROR(__xludf.dummyfunction("""COMPUTED_VALUE"""),28199962)</f>
        <v>28199962</v>
      </c>
    </row>
    <row r="562" customFormat="false" ht="15.75" hidden="false" customHeight="false" outlineLevel="0" collapsed="false">
      <c r="A562" s="6" t="n">
        <f aca="false">IFERROR(__xludf.dummyfunction("""COMPUTED_VALUE"""),45012.6666666667)</f>
        <v>45012.6666666667</v>
      </c>
      <c r="B562" s="5" t="n">
        <f aca="false">IFERROR(__xludf.dummyfunction("""COMPUTED_VALUE"""),280.5)</f>
        <v>280.5</v>
      </c>
      <c r="C562" s="5" t="n">
        <f aca="false">IFERROR(__xludf.dummyfunction("""COMPUTED_VALUE"""),281.46)</f>
        <v>281.46</v>
      </c>
      <c r="D562" s="5" t="n">
        <f aca="false">IFERROR(__xludf.dummyfunction("""COMPUTED_VALUE"""),275.52)</f>
        <v>275.52</v>
      </c>
      <c r="E562" s="5" t="n">
        <f aca="false">IFERROR(__xludf.dummyfunction("""COMPUTED_VALUE"""),276.38)</f>
        <v>276.38</v>
      </c>
      <c r="F562" s="5" t="n">
        <f aca="false">IFERROR(__xludf.dummyfunction("""COMPUTED_VALUE"""),26840212)</f>
        <v>26840212</v>
      </c>
    </row>
    <row r="563" customFormat="false" ht="15.75" hidden="false" customHeight="false" outlineLevel="0" collapsed="false">
      <c r="A563" s="6" t="n">
        <f aca="false">IFERROR(__xludf.dummyfunction("""COMPUTED_VALUE"""),45013.6666666667)</f>
        <v>45013.6666666667</v>
      </c>
      <c r="B563" s="5" t="n">
        <f aca="false">IFERROR(__xludf.dummyfunction("""COMPUTED_VALUE"""),275.79)</f>
        <v>275.79</v>
      </c>
      <c r="C563" s="5" t="n">
        <f aca="false">IFERROR(__xludf.dummyfunction("""COMPUTED_VALUE"""),276.14)</f>
        <v>276.14</v>
      </c>
      <c r="D563" s="5" t="n">
        <f aca="false">IFERROR(__xludf.dummyfunction("""COMPUTED_VALUE"""),272.05)</f>
        <v>272.05</v>
      </c>
      <c r="E563" s="5" t="n">
        <f aca="false">IFERROR(__xludf.dummyfunction("""COMPUTED_VALUE"""),275.23)</f>
        <v>275.23</v>
      </c>
      <c r="F563" s="5" t="n">
        <f aca="false">IFERROR(__xludf.dummyfunction("""COMPUTED_VALUE"""),21878647)</f>
        <v>21878647</v>
      </c>
    </row>
    <row r="564" customFormat="false" ht="15.75" hidden="false" customHeight="false" outlineLevel="0" collapsed="false">
      <c r="A564" s="6" t="n">
        <f aca="false">IFERROR(__xludf.dummyfunction("""COMPUTED_VALUE"""),45014.6666666667)</f>
        <v>45014.6666666667</v>
      </c>
      <c r="B564" s="5" t="n">
        <f aca="false">IFERROR(__xludf.dummyfunction("""COMPUTED_VALUE"""),278.96)</f>
        <v>278.96</v>
      </c>
      <c r="C564" s="5" t="n">
        <f aca="false">IFERROR(__xludf.dummyfunction("""COMPUTED_VALUE"""),281.14)</f>
        <v>281.14</v>
      </c>
      <c r="D564" s="5" t="n">
        <f aca="false">IFERROR(__xludf.dummyfunction("""COMPUTED_VALUE"""),278.41)</f>
        <v>278.41</v>
      </c>
      <c r="E564" s="5" t="n">
        <f aca="false">IFERROR(__xludf.dummyfunction("""COMPUTED_VALUE"""),280.51)</f>
        <v>280.51</v>
      </c>
      <c r="F564" s="5" t="n">
        <f aca="false">IFERROR(__xludf.dummyfunction("""COMPUTED_VALUE"""),25087032)</f>
        <v>25087032</v>
      </c>
    </row>
    <row r="565" customFormat="false" ht="15.75" hidden="false" customHeight="false" outlineLevel="0" collapsed="false">
      <c r="A565" s="6" t="n">
        <f aca="false">IFERROR(__xludf.dummyfunction("""COMPUTED_VALUE"""),45015.6666666667)</f>
        <v>45015.6666666667</v>
      </c>
      <c r="B565" s="5" t="n">
        <f aca="false">IFERROR(__xludf.dummyfunction("""COMPUTED_VALUE"""),284.23)</f>
        <v>284.23</v>
      </c>
      <c r="C565" s="5" t="n">
        <f aca="false">IFERROR(__xludf.dummyfunction("""COMPUTED_VALUE"""),284.46)</f>
        <v>284.46</v>
      </c>
      <c r="D565" s="5" t="n">
        <f aca="false">IFERROR(__xludf.dummyfunction("""COMPUTED_VALUE"""),281.48)</f>
        <v>281.48</v>
      </c>
      <c r="E565" s="5" t="n">
        <f aca="false">IFERROR(__xludf.dummyfunction("""COMPUTED_VALUE"""),284.05)</f>
        <v>284.05</v>
      </c>
      <c r="F565" s="5" t="n">
        <f aca="false">IFERROR(__xludf.dummyfunction("""COMPUTED_VALUE"""),25053410)</f>
        <v>25053410</v>
      </c>
    </row>
    <row r="566" customFormat="false" ht="15.75" hidden="false" customHeight="false" outlineLevel="0" collapsed="false">
      <c r="A566" s="6" t="n">
        <f aca="false">IFERROR(__xludf.dummyfunction("""COMPUTED_VALUE"""),45016.6666666667)</f>
        <v>45016.6666666667</v>
      </c>
      <c r="B566" s="5" t="n">
        <f aca="false">IFERROR(__xludf.dummyfunction("""COMPUTED_VALUE"""),283.73)</f>
        <v>283.73</v>
      </c>
      <c r="C566" s="5" t="n">
        <f aca="false">IFERROR(__xludf.dummyfunction("""COMPUTED_VALUE"""),289.27)</f>
        <v>289.27</v>
      </c>
      <c r="D566" s="5" t="n">
        <f aca="false">IFERROR(__xludf.dummyfunction("""COMPUTED_VALUE"""),283)</f>
        <v>283</v>
      </c>
      <c r="E566" s="5" t="n">
        <f aca="false">IFERROR(__xludf.dummyfunction("""COMPUTED_VALUE"""),288.3)</f>
        <v>288.3</v>
      </c>
      <c r="F566" s="5" t="n">
        <f aca="false">IFERROR(__xludf.dummyfunction("""COMPUTED_VALUE"""),32765976)</f>
        <v>32765976</v>
      </c>
    </row>
    <row r="567" customFormat="false" ht="15.75" hidden="false" customHeight="false" outlineLevel="0" collapsed="false">
      <c r="A567" s="6" t="n">
        <f aca="false">IFERROR(__xludf.dummyfunction("""COMPUTED_VALUE"""),45019.6666666667)</f>
        <v>45019.6666666667</v>
      </c>
      <c r="B567" s="5" t="n">
        <f aca="false">IFERROR(__xludf.dummyfunction("""COMPUTED_VALUE"""),286.52)</f>
        <v>286.52</v>
      </c>
      <c r="C567" s="5" t="n">
        <f aca="false">IFERROR(__xludf.dummyfunction("""COMPUTED_VALUE"""),288.27)</f>
        <v>288.27</v>
      </c>
      <c r="D567" s="5" t="n">
        <f aca="false">IFERROR(__xludf.dummyfunction("""COMPUTED_VALUE"""),283.95)</f>
        <v>283.95</v>
      </c>
      <c r="E567" s="5" t="n">
        <f aca="false">IFERROR(__xludf.dummyfunction("""COMPUTED_VALUE"""),287.23)</f>
        <v>287.23</v>
      </c>
      <c r="F567" s="5" t="n">
        <f aca="false">IFERROR(__xludf.dummyfunction("""COMPUTED_VALUE"""),24883342)</f>
        <v>24883342</v>
      </c>
    </row>
    <row r="568" customFormat="false" ht="15.75" hidden="false" customHeight="false" outlineLevel="0" collapsed="false">
      <c r="A568" s="6" t="n">
        <f aca="false">IFERROR(__xludf.dummyfunction("""COMPUTED_VALUE"""),45020.6666666667)</f>
        <v>45020.6666666667</v>
      </c>
      <c r="B568" s="5" t="n">
        <f aca="false">IFERROR(__xludf.dummyfunction("""COMPUTED_VALUE"""),287.23)</f>
        <v>287.23</v>
      </c>
      <c r="C568" s="5" t="n">
        <f aca="false">IFERROR(__xludf.dummyfunction("""COMPUTED_VALUE"""),290.45)</f>
        <v>290.45</v>
      </c>
      <c r="D568" s="5" t="n">
        <f aca="false">IFERROR(__xludf.dummyfunction("""COMPUTED_VALUE"""),285.67)</f>
        <v>285.67</v>
      </c>
      <c r="E568" s="5" t="n">
        <f aca="false">IFERROR(__xludf.dummyfunction("""COMPUTED_VALUE"""),287.18)</f>
        <v>287.18</v>
      </c>
      <c r="F568" s="5" t="n">
        <f aca="false">IFERROR(__xludf.dummyfunction("""COMPUTED_VALUE"""),25824299)</f>
        <v>25824299</v>
      </c>
    </row>
    <row r="569" customFormat="false" ht="15.75" hidden="false" customHeight="false" outlineLevel="0" collapsed="false">
      <c r="A569" s="6" t="n">
        <f aca="false">IFERROR(__xludf.dummyfunction("""COMPUTED_VALUE"""),45021.6666666667)</f>
        <v>45021.6666666667</v>
      </c>
      <c r="B569" s="5" t="n">
        <f aca="false">IFERROR(__xludf.dummyfunction("""COMPUTED_VALUE"""),285.85)</f>
        <v>285.85</v>
      </c>
      <c r="C569" s="5" t="n">
        <f aca="false">IFERROR(__xludf.dummyfunction("""COMPUTED_VALUE"""),287.15)</f>
        <v>287.15</v>
      </c>
      <c r="D569" s="5" t="n">
        <f aca="false">IFERROR(__xludf.dummyfunction("""COMPUTED_VALUE"""),282.92)</f>
        <v>282.92</v>
      </c>
      <c r="E569" s="5" t="n">
        <f aca="false">IFERROR(__xludf.dummyfunction("""COMPUTED_VALUE"""),284.34)</f>
        <v>284.34</v>
      </c>
      <c r="F569" s="5" t="n">
        <f aca="false">IFERROR(__xludf.dummyfunction("""COMPUTED_VALUE"""),22064770)</f>
        <v>22064770</v>
      </c>
    </row>
    <row r="570" customFormat="false" ht="15.75" hidden="false" customHeight="false" outlineLevel="0" collapsed="false">
      <c r="A570" s="6" t="n">
        <f aca="false">IFERROR(__xludf.dummyfunction("""COMPUTED_VALUE"""),45022.6666666667)</f>
        <v>45022.6666666667</v>
      </c>
      <c r="B570" s="5" t="n">
        <f aca="false">IFERROR(__xludf.dummyfunction("""COMPUTED_VALUE"""),283.21)</f>
        <v>283.21</v>
      </c>
      <c r="C570" s="5" t="n">
        <f aca="false">IFERROR(__xludf.dummyfunction("""COMPUTED_VALUE"""),292.08)</f>
        <v>292.08</v>
      </c>
      <c r="D570" s="5" t="n">
        <f aca="false">IFERROR(__xludf.dummyfunction("""COMPUTED_VALUE"""),282.03)</f>
        <v>282.03</v>
      </c>
      <c r="E570" s="5" t="n">
        <f aca="false">IFERROR(__xludf.dummyfunction("""COMPUTED_VALUE"""),291.6)</f>
        <v>291.6</v>
      </c>
      <c r="F570" s="5" t="n">
        <f aca="false">IFERROR(__xludf.dummyfunction("""COMPUTED_VALUE"""),29770334)</f>
        <v>29770334</v>
      </c>
    </row>
    <row r="571" customFormat="false" ht="15.75" hidden="false" customHeight="false" outlineLevel="0" collapsed="false">
      <c r="A571" s="6" t="n">
        <f aca="false">IFERROR(__xludf.dummyfunction("""COMPUTED_VALUE"""),45026.6666666667)</f>
        <v>45026.6666666667</v>
      </c>
      <c r="B571" s="5" t="n">
        <f aca="false">IFERROR(__xludf.dummyfunction("""COMPUTED_VALUE"""),289.21)</f>
        <v>289.21</v>
      </c>
      <c r="C571" s="5" t="n">
        <f aca="false">IFERROR(__xludf.dummyfunction("""COMPUTED_VALUE"""),289.6)</f>
        <v>289.6</v>
      </c>
      <c r="D571" s="5" t="n">
        <f aca="false">IFERROR(__xludf.dummyfunction("""COMPUTED_VALUE"""),284.71)</f>
        <v>284.71</v>
      </c>
      <c r="E571" s="5" t="n">
        <f aca="false">IFERROR(__xludf.dummyfunction("""COMPUTED_VALUE"""),289.39)</f>
        <v>289.39</v>
      </c>
      <c r="F571" s="5" t="n">
        <f aca="false">IFERROR(__xludf.dummyfunction("""COMPUTED_VALUE"""),23102994)</f>
        <v>23102994</v>
      </c>
    </row>
    <row r="572" customFormat="false" ht="15.75" hidden="false" customHeight="false" outlineLevel="0" collapsed="false">
      <c r="A572" s="6" t="n">
        <f aca="false">IFERROR(__xludf.dummyfunction("""COMPUTED_VALUE"""),45027.6666666667)</f>
        <v>45027.6666666667</v>
      </c>
      <c r="B572" s="5" t="n">
        <f aca="false">IFERROR(__xludf.dummyfunction("""COMPUTED_VALUE"""),285.75)</f>
        <v>285.75</v>
      </c>
      <c r="C572" s="5" t="n">
        <f aca="false">IFERROR(__xludf.dummyfunction("""COMPUTED_VALUE"""),285.98)</f>
        <v>285.98</v>
      </c>
      <c r="D572" s="5" t="n">
        <f aca="false">IFERROR(__xludf.dummyfunction("""COMPUTED_VALUE"""),281.64)</f>
        <v>281.64</v>
      </c>
      <c r="E572" s="5" t="n">
        <f aca="false">IFERROR(__xludf.dummyfunction("""COMPUTED_VALUE"""),282.83)</f>
        <v>282.83</v>
      </c>
      <c r="F572" s="5" t="n">
        <f aca="false">IFERROR(__xludf.dummyfunction("""COMPUTED_VALUE"""),27276589)</f>
        <v>27276589</v>
      </c>
    </row>
    <row r="573" customFormat="false" ht="15.75" hidden="false" customHeight="false" outlineLevel="0" collapsed="false">
      <c r="A573" s="6" t="n">
        <f aca="false">IFERROR(__xludf.dummyfunction("""COMPUTED_VALUE"""),45028.6666666667)</f>
        <v>45028.6666666667</v>
      </c>
      <c r="B573" s="5" t="n">
        <f aca="false">IFERROR(__xludf.dummyfunction("""COMPUTED_VALUE"""),284.79)</f>
        <v>284.79</v>
      </c>
      <c r="C573" s="5" t="n">
        <f aca="false">IFERROR(__xludf.dummyfunction("""COMPUTED_VALUE"""),287.01)</f>
        <v>287.01</v>
      </c>
      <c r="D573" s="5" t="n">
        <f aca="false">IFERROR(__xludf.dummyfunction("""COMPUTED_VALUE"""),281.96)</f>
        <v>281.96</v>
      </c>
      <c r="E573" s="5" t="n">
        <f aca="false">IFERROR(__xludf.dummyfunction("""COMPUTED_VALUE"""),283.49)</f>
        <v>283.49</v>
      </c>
      <c r="F573" s="5" t="n">
        <f aca="false">IFERROR(__xludf.dummyfunction("""COMPUTED_VALUE"""),27403432)</f>
        <v>27403432</v>
      </c>
    </row>
    <row r="574" customFormat="false" ht="15.75" hidden="false" customHeight="false" outlineLevel="0" collapsed="false">
      <c r="A574" s="6" t="n">
        <f aca="false">IFERROR(__xludf.dummyfunction("""COMPUTED_VALUE"""),45029.6666666667)</f>
        <v>45029.6666666667</v>
      </c>
      <c r="B574" s="5" t="n">
        <f aca="false">IFERROR(__xludf.dummyfunction("""COMPUTED_VALUE"""),283.59)</f>
        <v>283.59</v>
      </c>
      <c r="C574" s="5" t="n">
        <f aca="false">IFERROR(__xludf.dummyfunction("""COMPUTED_VALUE"""),289.9)</f>
        <v>289.9</v>
      </c>
      <c r="D574" s="5" t="n">
        <f aca="false">IFERROR(__xludf.dummyfunction("""COMPUTED_VALUE"""),283.17)</f>
        <v>283.17</v>
      </c>
      <c r="E574" s="5" t="n">
        <f aca="false">IFERROR(__xludf.dummyfunction("""COMPUTED_VALUE"""),289.84)</f>
        <v>289.84</v>
      </c>
      <c r="F574" s="5" t="n">
        <f aca="false">IFERROR(__xludf.dummyfunction("""COMPUTED_VALUE"""),24222678)</f>
        <v>24222678</v>
      </c>
    </row>
    <row r="575" customFormat="false" ht="15.75" hidden="false" customHeight="false" outlineLevel="0" collapsed="false">
      <c r="A575" s="6" t="n">
        <f aca="false">IFERROR(__xludf.dummyfunction("""COMPUTED_VALUE"""),45030.6666666667)</f>
        <v>45030.6666666667</v>
      </c>
      <c r="B575" s="5" t="n">
        <f aca="false">IFERROR(__xludf.dummyfunction("""COMPUTED_VALUE"""),287)</f>
        <v>287</v>
      </c>
      <c r="C575" s="5" t="n">
        <f aca="false">IFERROR(__xludf.dummyfunction("""COMPUTED_VALUE"""),288.48)</f>
        <v>288.48</v>
      </c>
      <c r="D575" s="5" t="n">
        <f aca="false">IFERROR(__xludf.dummyfunction("""COMPUTED_VALUE"""),283.69)</f>
        <v>283.69</v>
      </c>
      <c r="E575" s="5" t="n">
        <f aca="false">IFERROR(__xludf.dummyfunction("""COMPUTED_VALUE"""),286.14)</f>
        <v>286.14</v>
      </c>
      <c r="F575" s="5" t="n">
        <f aca="false">IFERROR(__xludf.dummyfunction("""COMPUTED_VALUE"""),20987917)</f>
        <v>20987917</v>
      </c>
    </row>
    <row r="576" customFormat="false" ht="15.75" hidden="false" customHeight="false" outlineLevel="0" collapsed="false">
      <c r="A576" s="6" t="n">
        <f aca="false">IFERROR(__xludf.dummyfunction("""COMPUTED_VALUE"""),45033.6666666667)</f>
        <v>45033.6666666667</v>
      </c>
      <c r="B576" s="5" t="n">
        <f aca="false">IFERROR(__xludf.dummyfunction("""COMPUTED_VALUE"""),289.93)</f>
        <v>289.93</v>
      </c>
      <c r="C576" s="5" t="n">
        <f aca="false">IFERROR(__xludf.dummyfunction("""COMPUTED_VALUE"""),291.6)</f>
        <v>291.6</v>
      </c>
      <c r="D576" s="5" t="n">
        <f aca="false">IFERROR(__xludf.dummyfunction("""COMPUTED_VALUE"""),286.16)</f>
        <v>286.16</v>
      </c>
      <c r="E576" s="5" t="n">
        <f aca="false">IFERROR(__xludf.dummyfunction("""COMPUTED_VALUE"""),288.8)</f>
        <v>288.8</v>
      </c>
      <c r="F576" s="5" t="n">
        <f aca="false">IFERROR(__xludf.dummyfunction("""COMPUTED_VALUE"""),23836223)</f>
        <v>23836223</v>
      </c>
    </row>
    <row r="577" customFormat="false" ht="15.75" hidden="false" customHeight="false" outlineLevel="0" collapsed="false">
      <c r="A577" s="6" t="n">
        <f aca="false">IFERROR(__xludf.dummyfunction("""COMPUTED_VALUE"""),45034.6666666667)</f>
        <v>45034.6666666667</v>
      </c>
      <c r="B577" s="5" t="n">
        <f aca="false">IFERROR(__xludf.dummyfunction("""COMPUTED_VALUE"""),291.57)</f>
        <v>291.57</v>
      </c>
      <c r="C577" s="5" t="n">
        <f aca="false">IFERROR(__xludf.dummyfunction("""COMPUTED_VALUE"""),291.76)</f>
        <v>291.76</v>
      </c>
      <c r="D577" s="5" t="n">
        <f aca="false">IFERROR(__xludf.dummyfunction("""COMPUTED_VALUE"""),287.01)</f>
        <v>287.01</v>
      </c>
      <c r="E577" s="5" t="n">
        <f aca="false">IFERROR(__xludf.dummyfunction("""COMPUTED_VALUE"""),288.37)</f>
        <v>288.37</v>
      </c>
      <c r="F577" s="5" t="n">
        <f aca="false">IFERROR(__xludf.dummyfunction("""COMPUTED_VALUE"""),20161845)</f>
        <v>20161845</v>
      </c>
    </row>
    <row r="578" customFormat="false" ht="15.75" hidden="false" customHeight="false" outlineLevel="0" collapsed="false">
      <c r="A578" s="6" t="n">
        <f aca="false">IFERROR(__xludf.dummyfunction("""COMPUTED_VALUE"""),45035.6666666667)</f>
        <v>45035.6666666667</v>
      </c>
      <c r="B578" s="5" t="n">
        <f aca="false">IFERROR(__xludf.dummyfunction("""COMPUTED_VALUE"""),285.99)</f>
        <v>285.99</v>
      </c>
      <c r="C578" s="5" t="n">
        <f aca="false">IFERROR(__xludf.dummyfunction("""COMPUTED_VALUE"""),289.05)</f>
        <v>289.05</v>
      </c>
      <c r="D578" s="5" t="n">
        <f aca="false">IFERROR(__xludf.dummyfunction("""COMPUTED_VALUE"""),284.54)</f>
        <v>284.54</v>
      </c>
      <c r="E578" s="5" t="n">
        <f aca="false">IFERROR(__xludf.dummyfunction("""COMPUTED_VALUE"""),288.45)</f>
        <v>288.45</v>
      </c>
      <c r="F578" s="5" t="n">
        <f aca="false">IFERROR(__xludf.dummyfunction("""COMPUTED_VALUE"""),17150271)</f>
        <v>17150271</v>
      </c>
    </row>
    <row r="579" customFormat="false" ht="15.75" hidden="false" customHeight="false" outlineLevel="0" collapsed="false">
      <c r="A579" s="6" t="n">
        <f aca="false">IFERROR(__xludf.dummyfunction("""COMPUTED_VALUE"""),45036.6666666667)</f>
        <v>45036.6666666667</v>
      </c>
      <c r="B579" s="5" t="n">
        <f aca="false">IFERROR(__xludf.dummyfunction("""COMPUTED_VALUE"""),285.25)</f>
        <v>285.25</v>
      </c>
      <c r="C579" s="5" t="n">
        <f aca="false">IFERROR(__xludf.dummyfunction("""COMPUTED_VALUE"""),289.03)</f>
        <v>289.03</v>
      </c>
      <c r="D579" s="5" t="n">
        <f aca="false">IFERROR(__xludf.dummyfunction("""COMPUTED_VALUE"""),285.08)</f>
        <v>285.08</v>
      </c>
      <c r="E579" s="5" t="n">
        <f aca="false">IFERROR(__xludf.dummyfunction("""COMPUTED_VALUE"""),286.11)</f>
        <v>286.11</v>
      </c>
      <c r="F579" s="5" t="n">
        <f aca="false">IFERROR(__xludf.dummyfunction("""COMPUTED_VALUE"""),23244363)</f>
        <v>23244363</v>
      </c>
    </row>
    <row r="580" customFormat="false" ht="15.75" hidden="false" customHeight="false" outlineLevel="0" collapsed="false">
      <c r="A580" s="6" t="n">
        <f aca="false">IFERROR(__xludf.dummyfunction("""COMPUTED_VALUE"""),45037.6666666667)</f>
        <v>45037.6666666667</v>
      </c>
      <c r="B580" s="5" t="n">
        <f aca="false">IFERROR(__xludf.dummyfunction("""COMPUTED_VALUE"""),285.01)</f>
        <v>285.01</v>
      </c>
      <c r="C580" s="5" t="n">
        <f aca="false">IFERROR(__xludf.dummyfunction("""COMPUTED_VALUE"""),286.27)</f>
        <v>286.27</v>
      </c>
      <c r="D580" s="5" t="n">
        <f aca="false">IFERROR(__xludf.dummyfunction("""COMPUTED_VALUE"""),283.06)</f>
        <v>283.06</v>
      </c>
      <c r="E580" s="5" t="n">
        <f aca="false">IFERROR(__xludf.dummyfunction("""COMPUTED_VALUE"""),285.76)</f>
        <v>285.76</v>
      </c>
      <c r="F580" s="5" t="n">
        <f aca="false">IFERROR(__xludf.dummyfunction("""COMPUTED_VALUE"""),21676387)</f>
        <v>21676387</v>
      </c>
    </row>
    <row r="581" customFormat="false" ht="15.75" hidden="false" customHeight="false" outlineLevel="0" collapsed="false">
      <c r="A581" s="6" t="n">
        <f aca="false">IFERROR(__xludf.dummyfunction("""COMPUTED_VALUE"""),45040.6666666667)</f>
        <v>45040.6666666667</v>
      </c>
      <c r="B581" s="5" t="n">
        <f aca="false">IFERROR(__xludf.dummyfunction("""COMPUTED_VALUE"""),282.09)</f>
        <v>282.09</v>
      </c>
      <c r="C581" s="5" t="n">
        <f aca="false">IFERROR(__xludf.dummyfunction("""COMPUTED_VALUE"""),284.95)</f>
        <v>284.95</v>
      </c>
      <c r="D581" s="5" t="n">
        <f aca="false">IFERROR(__xludf.dummyfunction("""COMPUTED_VALUE"""),278.72)</f>
        <v>278.72</v>
      </c>
      <c r="E581" s="5" t="n">
        <f aca="false">IFERROR(__xludf.dummyfunction("""COMPUTED_VALUE"""),281.77)</f>
        <v>281.77</v>
      </c>
      <c r="F581" s="5" t="n">
        <f aca="false">IFERROR(__xludf.dummyfunction("""COMPUTED_VALUE"""),26611014)</f>
        <v>26611014</v>
      </c>
    </row>
    <row r="582" customFormat="false" ht="15.75" hidden="false" customHeight="false" outlineLevel="0" collapsed="false">
      <c r="A582" s="6" t="n">
        <f aca="false">IFERROR(__xludf.dummyfunction("""COMPUTED_VALUE"""),45041.6666666667)</f>
        <v>45041.6666666667</v>
      </c>
      <c r="B582" s="5" t="n">
        <f aca="false">IFERROR(__xludf.dummyfunction("""COMPUTED_VALUE"""),279.51)</f>
        <v>279.51</v>
      </c>
      <c r="C582" s="5" t="n">
        <f aca="false">IFERROR(__xludf.dummyfunction("""COMPUTED_VALUE"""),281.6)</f>
        <v>281.6</v>
      </c>
      <c r="D582" s="5" t="n">
        <f aca="false">IFERROR(__xludf.dummyfunction("""COMPUTED_VALUE"""),275.37)</f>
        <v>275.37</v>
      </c>
      <c r="E582" s="5" t="n">
        <f aca="false">IFERROR(__xludf.dummyfunction("""COMPUTED_VALUE"""),275.42)</f>
        <v>275.42</v>
      </c>
      <c r="F582" s="5" t="n">
        <f aca="false">IFERROR(__xludf.dummyfunction("""COMPUTED_VALUE"""),45772236)</f>
        <v>45772236</v>
      </c>
    </row>
    <row r="583" customFormat="false" ht="15.75" hidden="false" customHeight="false" outlineLevel="0" collapsed="false">
      <c r="A583" s="6" t="n">
        <f aca="false">IFERROR(__xludf.dummyfunction("""COMPUTED_VALUE"""),45042.6666666667)</f>
        <v>45042.6666666667</v>
      </c>
      <c r="B583" s="5" t="n">
        <f aca="false">IFERROR(__xludf.dummyfunction("""COMPUTED_VALUE"""),296.7)</f>
        <v>296.7</v>
      </c>
      <c r="C583" s="5" t="n">
        <f aca="false">IFERROR(__xludf.dummyfunction("""COMPUTED_VALUE"""),299.57)</f>
        <v>299.57</v>
      </c>
      <c r="D583" s="5" t="n">
        <f aca="false">IFERROR(__xludf.dummyfunction("""COMPUTED_VALUE"""),292.73)</f>
        <v>292.73</v>
      </c>
      <c r="E583" s="5" t="n">
        <f aca="false">IFERROR(__xludf.dummyfunction("""COMPUTED_VALUE"""),295.37)</f>
        <v>295.37</v>
      </c>
      <c r="F583" s="5" t="n">
        <f aca="false">IFERROR(__xludf.dummyfunction("""COMPUTED_VALUE"""),64599182)</f>
        <v>64599182</v>
      </c>
    </row>
    <row r="584" customFormat="false" ht="15.75" hidden="false" customHeight="false" outlineLevel="0" collapsed="false">
      <c r="A584" s="6" t="n">
        <f aca="false">IFERROR(__xludf.dummyfunction("""COMPUTED_VALUE"""),45043.6666666667)</f>
        <v>45043.6666666667</v>
      </c>
      <c r="B584" s="5" t="n">
        <f aca="false">IFERROR(__xludf.dummyfunction("""COMPUTED_VALUE"""),295.97)</f>
        <v>295.97</v>
      </c>
      <c r="C584" s="5" t="n">
        <f aca="false">IFERROR(__xludf.dummyfunction("""COMPUTED_VALUE"""),305.2)</f>
        <v>305.2</v>
      </c>
      <c r="D584" s="5" t="n">
        <f aca="false">IFERROR(__xludf.dummyfunction("""COMPUTED_VALUE"""),295.25)</f>
        <v>295.25</v>
      </c>
      <c r="E584" s="5" t="n">
        <f aca="false">IFERROR(__xludf.dummyfunction("""COMPUTED_VALUE"""),304.83)</f>
        <v>304.83</v>
      </c>
      <c r="F584" s="5" t="n">
        <f aca="false">IFERROR(__xludf.dummyfunction("""COMPUTED_VALUE"""),46462638)</f>
        <v>46462638</v>
      </c>
    </row>
    <row r="585" customFormat="false" ht="15.75" hidden="false" customHeight="false" outlineLevel="0" collapsed="false">
      <c r="A585" s="6" t="n">
        <f aca="false">IFERROR(__xludf.dummyfunction("""COMPUTED_VALUE"""),45044.6666666667)</f>
        <v>45044.6666666667</v>
      </c>
      <c r="B585" s="5" t="n">
        <f aca="false">IFERROR(__xludf.dummyfunction("""COMPUTED_VALUE"""),304.01)</f>
        <v>304.01</v>
      </c>
      <c r="C585" s="5" t="n">
        <f aca="false">IFERROR(__xludf.dummyfunction("""COMPUTED_VALUE"""),308.93)</f>
        <v>308.93</v>
      </c>
      <c r="D585" s="5" t="n">
        <f aca="false">IFERROR(__xludf.dummyfunction("""COMPUTED_VALUE"""),303.31)</f>
        <v>303.31</v>
      </c>
      <c r="E585" s="5" t="n">
        <f aca="false">IFERROR(__xludf.dummyfunction("""COMPUTED_VALUE"""),307.26)</f>
        <v>307.26</v>
      </c>
      <c r="F585" s="5" t="n">
        <f aca="false">IFERROR(__xludf.dummyfunction("""COMPUTED_VALUE"""),36469613)</f>
        <v>36469613</v>
      </c>
    </row>
    <row r="586" customFormat="false" ht="15.75" hidden="false" customHeight="false" outlineLevel="0" collapsed="false">
      <c r="A586" s="6" t="n">
        <f aca="false">IFERROR(__xludf.dummyfunction("""COMPUTED_VALUE"""),45047.6666666667)</f>
        <v>45047.6666666667</v>
      </c>
      <c r="B586" s="5" t="n">
        <f aca="false">IFERROR(__xludf.dummyfunction("""COMPUTED_VALUE"""),306.97)</f>
        <v>306.97</v>
      </c>
      <c r="C586" s="5" t="n">
        <f aca="false">IFERROR(__xludf.dummyfunction("""COMPUTED_VALUE"""),308.6)</f>
        <v>308.6</v>
      </c>
      <c r="D586" s="5" t="n">
        <f aca="false">IFERROR(__xludf.dummyfunction("""COMPUTED_VALUE"""),305.15)</f>
        <v>305.15</v>
      </c>
      <c r="E586" s="5" t="n">
        <f aca="false">IFERROR(__xludf.dummyfunction("""COMPUTED_VALUE"""),305.56)</f>
        <v>305.56</v>
      </c>
      <c r="F586" s="5" t="n">
        <f aca="false">IFERROR(__xludf.dummyfunction("""COMPUTED_VALUE"""),21294115)</f>
        <v>21294115</v>
      </c>
    </row>
    <row r="587" customFormat="false" ht="15.75" hidden="false" customHeight="false" outlineLevel="0" collapsed="false">
      <c r="A587" s="6" t="n">
        <f aca="false">IFERROR(__xludf.dummyfunction("""COMPUTED_VALUE"""),45048.6666666667)</f>
        <v>45048.6666666667</v>
      </c>
      <c r="B587" s="5" t="n">
        <f aca="false">IFERROR(__xludf.dummyfunction("""COMPUTED_VALUE"""),307.76)</f>
        <v>307.76</v>
      </c>
      <c r="C587" s="5" t="n">
        <f aca="false">IFERROR(__xludf.dummyfunction("""COMPUTED_VALUE"""),309.18)</f>
        <v>309.18</v>
      </c>
      <c r="D587" s="5" t="n">
        <f aca="false">IFERROR(__xludf.dummyfunction("""COMPUTED_VALUE"""),303.91)</f>
        <v>303.91</v>
      </c>
      <c r="E587" s="5" t="n">
        <f aca="false">IFERROR(__xludf.dummyfunction("""COMPUTED_VALUE"""),305.41)</f>
        <v>305.41</v>
      </c>
      <c r="F587" s="5" t="n">
        <f aca="false">IFERROR(__xludf.dummyfunction("""COMPUTED_VALUE"""),26404431)</f>
        <v>26404431</v>
      </c>
    </row>
    <row r="588" customFormat="false" ht="15.75" hidden="false" customHeight="false" outlineLevel="0" collapsed="false">
      <c r="A588" s="6" t="n">
        <f aca="false">IFERROR(__xludf.dummyfunction("""COMPUTED_VALUE"""),45049.6666666667)</f>
        <v>45049.6666666667</v>
      </c>
      <c r="B588" s="5" t="n">
        <f aca="false">IFERROR(__xludf.dummyfunction("""COMPUTED_VALUE"""),306.62)</f>
        <v>306.62</v>
      </c>
      <c r="C588" s="5" t="n">
        <f aca="false">IFERROR(__xludf.dummyfunction("""COMPUTED_VALUE"""),308.61)</f>
        <v>308.61</v>
      </c>
      <c r="D588" s="5" t="n">
        <f aca="false">IFERROR(__xludf.dummyfunction("""COMPUTED_VALUE"""),304.09)</f>
        <v>304.09</v>
      </c>
      <c r="E588" s="5" t="n">
        <f aca="false">IFERROR(__xludf.dummyfunction("""COMPUTED_VALUE"""),304.4)</f>
        <v>304.4</v>
      </c>
      <c r="F588" s="5" t="n">
        <f aca="false">IFERROR(__xludf.dummyfunction("""COMPUTED_VALUE"""),22360754)</f>
        <v>22360754</v>
      </c>
    </row>
    <row r="589" customFormat="false" ht="15.75" hidden="false" customHeight="false" outlineLevel="0" collapsed="false">
      <c r="A589" s="6" t="n">
        <f aca="false">IFERROR(__xludf.dummyfunction("""COMPUTED_VALUE"""),45050.6666666667)</f>
        <v>45050.6666666667</v>
      </c>
      <c r="B589" s="5" t="n">
        <f aca="false">IFERROR(__xludf.dummyfunction("""COMPUTED_VALUE"""),306.24)</f>
        <v>306.24</v>
      </c>
      <c r="C589" s="5" t="n">
        <f aca="false">IFERROR(__xludf.dummyfunction("""COMPUTED_VALUE"""),307.76)</f>
        <v>307.76</v>
      </c>
      <c r="D589" s="5" t="n">
        <f aca="false">IFERROR(__xludf.dummyfunction("""COMPUTED_VALUE"""),303.4)</f>
        <v>303.4</v>
      </c>
      <c r="E589" s="5" t="n">
        <f aca="false">IFERROR(__xludf.dummyfunction("""COMPUTED_VALUE"""),305.41)</f>
        <v>305.41</v>
      </c>
      <c r="F589" s="5" t="n">
        <f aca="false">IFERROR(__xludf.dummyfunction("""COMPUTED_VALUE"""),22519907)</f>
        <v>22519907</v>
      </c>
    </row>
    <row r="590" customFormat="false" ht="15.75" hidden="false" customHeight="false" outlineLevel="0" collapsed="false">
      <c r="A590" s="6" t="n">
        <f aca="false">IFERROR(__xludf.dummyfunction("""COMPUTED_VALUE"""),45051.6666666667)</f>
        <v>45051.6666666667</v>
      </c>
      <c r="B590" s="5" t="n">
        <f aca="false">IFERROR(__xludf.dummyfunction("""COMPUTED_VALUE"""),305.72)</f>
        <v>305.72</v>
      </c>
      <c r="C590" s="5" t="n">
        <f aca="false">IFERROR(__xludf.dummyfunction("""COMPUTED_VALUE"""),311.97)</f>
        <v>311.97</v>
      </c>
      <c r="D590" s="5" t="n">
        <f aca="false">IFERROR(__xludf.dummyfunction("""COMPUTED_VALUE"""),304.27)</f>
        <v>304.27</v>
      </c>
      <c r="E590" s="5" t="n">
        <f aca="false">IFERROR(__xludf.dummyfunction("""COMPUTED_VALUE"""),310.65)</f>
        <v>310.65</v>
      </c>
      <c r="F590" s="5" t="n">
        <f aca="false">IFERROR(__xludf.dummyfunction("""COMPUTED_VALUE"""),28197052)</f>
        <v>28197052</v>
      </c>
    </row>
    <row r="591" customFormat="false" ht="15.75" hidden="false" customHeight="false" outlineLevel="0" collapsed="false">
      <c r="A591" s="6" t="n">
        <f aca="false">IFERROR(__xludf.dummyfunction("""COMPUTED_VALUE"""),45054.6666666667)</f>
        <v>45054.6666666667</v>
      </c>
      <c r="B591" s="5" t="n">
        <f aca="false">IFERROR(__xludf.dummyfunction("""COMPUTED_VALUE"""),310.13)</f>
        <v>310.13</v>
      </c>
      <c r="C591" s="5" t="n">
        <f aca="false">IFERROR(__xludf.dummyfunction("""COMPUTED_VALUE"""),310.2)</f>
        <v>310.2</v>
      </c>
      <c r="D591" s="5" t="n">
        <f aca="false">IFERROR(__xludf.dummyfunction("""COMPUTED_VALUE"""),306.09)</f>
        <v>306.09</v>
      </c>
      <c r="E591" s="5" t="n">
        <f aca="false">IFERROR(__xludf.dummyfunction("""COMPUTED_VALUE"""),308.65)</f>
        <v>308.65</v>
      </c>
      <c r="F591" s="5" t="n">
        <f aca="false">IFERROR(__xludf.dummyfunction("""COMPUTED_VALUE"""),21318613)</f>
        <v>21318613</v>
      </c>
    </row>
    <row r="592" customFormat="false" ht="15.75" hidden="false" customHeight="false" outlineLevel="0" collapsed="false">
      <c r="A592" s="6" t="n">
        <f aca="false">IFERROR(__xludf.dummyfunction("""COMPUTED_VALUE"""),45055.6666666667)</f>
        <v>45055.6666666667</v>
      </c>
      <c r="B592" s="5" t="n">
        <f aca="false">IFERROR(__xludf.dummyfunction("""COMPUTED_VALUE"""),308)</f>
        <v>308</v>
      </c>
      <c r="C592" s="5" t="n">
        <f aca="false">IFERROR(__xludf.dummyfunction("""COMPUTED_VALUE"""),310.04)</f>
        <v>310.04</v>
      </c>
      <c r="D592" s="5" t="n">
        <f aca="false">IFERROR(__xludf.dummyfunction("""COMPUTED_VALUE"""),306.31)</f>
        <v>306.31</v>
      </c>
      <c r="E592" s="5" t="n">
        <f aca="false">IFERROR(__xludf.dummyfunction("""COMPUTED_VALUE"""),307)</f>
        <v>307</v>
      </c>
      <c r="F592" s="5" t="n">
        <f aca="false">IFERROR(__xludf.dummyfunction("""COMPUTED_VALUE"""),21340829)</f>
        <v>21340829</v>
      </c>
    </row>
    <row r="593" customFormat="false" ht="15.75" hidden="false" customHeight="false" outlineLevel="0" collapsed="false">
      <c r="A593" s="6" t="n">
        <f aca="false">IFERROR(__xludf.dummyfunction("""COMPUTED_VALUE"""),45056.6666666667)</f>
        <v>45056.6666666667</v>
      </c>
      <c r="B593" s="5" t="n">
        <f aca="false">IFERROR(__xludf.dummyfunction("""COMPUTED_VALUE"""),308.62)</f>
        <v>308.62</v>
      </c>
      <c r="C593" s="5" t="n">
        <f aca="false">IFERROR(__xludf.dummyfunction("""COMPUTED_VALUE"""),313)</f>
        <v>313</v>
      </c>
      <c r="D593" s="5" t="n">
        <f aca="false">IFERROR(__xludf.dummyfunction("""COMPUTED_VALUE"""),307.67)</f>
        <v>307.67</v>
      </c>
      <c r="E593" s="5" t="n">
        <f aca="false">IFERROR(__xludf.dummyfunction("""COMPUTED_VALUE"""),312.31)</f>
        <v>312.31</v>
      </c>
      <c r="F593" s="5" t="n">
        <f aca="false">IFERROR(__xludf.dummyfunction("""COMPUTED_VALUE"""),30078044)</f>
        <v>30078044</v>
      </c>
    </row>
    <row r="594" customFormat="false" ht="15.75" hidden="false" customHeight="false" outlineLevel="0" collapsed="false">
      <c r="A594" s="6" t="n">
        <f aca="false">IFERROR(__xludf.dummyfunction("""COMPUTED_VALUE"""),45057.6666666667)</f>
        <v>45057.6666666667</v>
      </c>
      <c r="B594" s="5" t="n">
        <f aca="false">IFERROR(__xludf.dummyfunction("""COMPUTED_VALUE"""),310.1)</f>
        <v>310.1</v>
      </c>
      <c r="C594" s="5" t="n">
        <f aca="false">IFERROR(__xludf.dummyfunction("""COMPUTED_VALUE"""),311.12)</f>
        <v>311.12</v>
      </c>
      <c r="D594" s="5" t="n">
        <f aca="false">IFERROR(__xludf.dummyfunction("""COMPUTED_VALUE"""),306.26)</f>
        <v>306.26</v>
      </c>
      <c r="E594" s="5" t="n">
        <f aca="false">IFERROR(__xludf.dummyfunction("""COMPUTED_VALUE"""),310.11)</f>
        <v>310.11</v>
      </c>
      <c r="F594" s="5" t="n">
        <f aca="false">IFERROR(__xludf.dummyfunction("""COMPUTED_VALUE"""),31680179)</f>
        <v>31680179</v>
      </c>
    </row>
    <row r="595" customFormat="false" ht="15.75" hidden="false" customHeight="false" outlineLevel="0" collapsed="false">
      <c r="A595" s="6" t="n">
        <f aca="false">IFERROR(__xludf.dummyfunction("""COMPUTED_VALUE"""),45058.6666666667)</f>
        <v>45058.6666666667</v>
      </c>
      <c r="B595" s="5" t="n">
        <f aca="false">IFERROR(__xludf.dummyfunction("""COMPUTED_VALUE"""),310.55)</f>
        <v>310.55</v>
      </c>
      <c r="C595" s="5" t="n">
        <f aca="false">IFERROR(__xludf.dummyfunction("""COMPUTED_VALUE"""),310.65)</f>
        <v>310.65</v>
      </c>
      <c r="D595" s="5" t="n">
        <f aca="false">IFERROR(__xludf.dummyfunction("""COMPUTED_VALUE"""),306.6)</f>
        <v>306.6</v>
      </c>
      <c r="E595" s="5" t="n">
        <f aca="false">IFERROR(__xludf.dummyfunction("""COMPUTED_VALUE"""),308.97)</f>
        <v>308.97</v>
      </c>
      <c r="F595" s="5" t="n">
        <f aca="false">IFERROR(__xludf.dummyfunction("""COMPUTED_VALUE"""),19774696)</f>
        <v>19774696</v>
      </c>
    </row>
    <row r="596" customFormat="false" ht="15.75" hidden="false" customHeight="false" outlineLevel="0" collapsed="false">
      <c r="A596" s="6" t="n">
        <f aca="false">IFERROR(__xludf.dummyfunction("""COMPUTED_VALUE"""),45061.6666666667)</f>
        <v>45061.6666666667</v>
      </c>
      <c r="B596" s="5" t="n">
        <f aca="false">IFERROR(__xludf.dummyfunction("""COMPUTED_VALUE"""),309.1)</f>
        <v>309.1</v>
      </c>
      <c r="C596" s="5" t="n">
        <f aca="false">IFERROR(__xludf.dummyfunction("""COMPUTED_VALUE"""),309.9)</f>
        <v>309.9</v>
      </c>
      <c r="D596" s="5" t="n">
        <f aca="false">IFERROR(__xludf.dummyfunction("""COMPUTED_VALUE"""),307.59)</f>
        <v>307.59</v>
      </c>
      <c r="E596" s="5" t="n">
        <f aca="false">IFERROR(__xludf.dummyfunction("""COMPUTED_VALUE"""),309.46)</f>
        <v>309.46</v>
      </c>
      <c r="F596" s="5" t="n">
        <f aca="false">IFERROR(__xludf.dummyfunction("""COMPUTED_VALUE"""),16336547)</f>
        <v>16336547</v>
      </c>
    </row>
    <row r="597" customFormat="false" ht="15.75" hidden="false" customHeight="false" outlineLevel="0" collapsed="false">
      <c r="A597" s="6" t="n">
        <f aca="false">IFERROR(__xludf.dummyfunction("""COMPUTED_VALUE"""),45062.6666666667)</f>
        <v>45062.6666666667</v>
      </c>
      <c r="B597" s="5" t="n">
        <f aca="false">IFERROR(__xludf.dummyfunction("""COMPUTED_VALUE"""),309.83)</f>
        <v>309.83</v>
      </c>
      <c r="C597" s="5" t="n">
        <f aca="false">IFERROR(__xludf.dummyfunction("""COMPUTED_VALUE"""),313.71)</f>
        <v>313.71</v>
      </c>
      <c r="D597" s="5" t="n">
        <f aca="false">IFERROR(__xludf.dummyfunction("""COMPUTED_VALUE"""),309.83)</f>
        <v>309.83</v>
      </c>
      <c r="E597" s="5" t="n">
        <f aca="false">IFERROR(__xludf.dummyfunction("""COMPUTED_VALUE"""),311.74)</f>
        <v>311.74</v>
      </c>
      <c r="F597" s="5" t="n">
        <f aca="false">IFERROR(__xludf.dummyfunction("""COMPUTED_VALUE"""),26730347)</f>
        <v>26730347</v>
      </c>
    </row>
    <row r="598" customFormat="false" ht="15.75" hidden="false" customHeight="false" outlineLevel="0" collapsed="false">
      <c r="A598" s="6" t="n">
        <f aca="false">IFERROR(__xludf.dummyfunction("""COMPUTED_VALUE"""),45063.6666666667)</f>
        <v>45063.6666666667</v>
      </c>
      <c r="B598" s="5" t="n">
        <f aca="false">IFERROR(__xludf.dummyfunction("""COMPUTED_VALUE"""),312.29)</f>
        <v>312.29</v>
      </c>
      <c r="C598" s="5" t="n">
        <f aca="false">IFERROR(__xludf.dummyfunction("""COMPUTED_VALUE"""),314.43)</f>
        <v>314.43</v>
      </c>
      <c r="D598" s="5" t="n">
        <f aca="false">IFERROR(__xludf.dummyfunction("""COMPUTED_VALUE"""),310.74)</f>
        <v>310.74</v>
      </c>
      <c r="E598" s="5" t="n">
        <f aca="false">IFERROR(__xludf.dummyfunction("""COMPUTED_VALUE"""),314)</f>
        <v>314</v>
      </c>
      <c r="F598" s="5" t="n">
        <f aca="false">IFERROR(__xludf.dummyfunction("""COMPUTED_VALUE"""),24315012)</f>
        <v>24315012</v>
      </c>
    </row>
    <row r="599" customFormat="false" ht="15.75" hidden="false" customHeight="false" outlineLevel="0" collapsed="false">
      <c r="A599" s="6" t="n">
        <f aca="false">IFERROR(__xludf.dummyfunction("""COMPUTED_VALUE"""),45064.6666666667)</f>
        <v>45064.6666666667</v>
      </c>
      <c r="B599" s="5" t="n">
        <f aca="false">IFERROR(__xludf.dummyfunction("""COMPUTED_VALUE"""),314.53)</f>
        <v>314.53</v>
      </c>
      <c r="C599" s="5" t="n">
        <f aca="false">IFERROR(__xludf.dummyfunction("""COMPUTED_VALUE"""),319.04)</f>
        <v>319.04</v>
      </c>
      <c r="D599" s="5" t="n">
        <f aca="false">IFERROR(__xludf.dummyfunction("""COMPUTED_VALUE"""),313.72)</f>
        <v>313.72</v>
      </c>
      <c r="E599" s="5" t="n">
        <f aca="false">IFERROR(__xludf.dummyfunction("""COMPUTED_VALUE"""),318.52)</f>
        <v>318.52</v>
      </c>
      <c r="F599" s="5" t="n">
        <f aca="false">IFERROR(__xludf.dummyfunction("""COMPUTED_VALUE"""),27275991)</f>
        <v>27275991</v>
      </c>
    </row>
    <row r="600" customFormat="false" ht="15.75" hidden="false" customHeight="false" outlineLevel="0" collapsed="false">
      <c r="A600" s="6" t="n">
        <f aca="false">IFERROR(__xludf.dummyfunction("""COMPUTED_VALUE"""),45065.6666666667)</f>
        <v>45065.6666666667</v>
      </c>
      <c r="B600" s="5" t="n">
        <f aca="false">IFERROR(__xludf.dummyfunction("""COMPUTED_VALUE"""),316.74)</f>
        <v>316.74</v>
      </c>
      <c r="C600" s="5" t="n">
        <f aca="false">IFERROR(__xludf.dummyfunction("""COMPUTED_VALUE"""),318.75)</f>
        <v>318.75</v>
      </c>
      <c r="D600" s="5" t="n">
        <f aca="false">IFERROR(__xludf.dummyfunction("""COMPUTED_VALUE"""),316.37)</f>
        <v>316.37</v>
      </c>
      <c r="E600" s="5" t="n">
        <f aca="false">IFERROR(__xludf.dummyfunction("""COMPUTED_VALUE"""),318.34)</f>
        <v>318.34</v>
      </c>
      <c r="F600" s="5" t="n">
        <f aca="false">IFERROR(__xludf.dummyfunction("""COMPUTED_VALUE"""),27546701)</f>
        <v>27546701</v>
      </c>
    </row>
    <row r="601" customFormat="false" ht="15.75" hidden="false" customHeight="false" outlineLevel="0" collapsed="false">
      <c r="A601" s="6" t="n">
        <f aca="false">IFERROR(__xludf.dummyfunction("""COMPUTED_VALUE"""),45068.6666666667)</f>
        <v>45068.6666666667</v>
      </c>
      <c r="B601" s="5" t="n">
        <f aca="false">IFERROR(__xludf.dummyfunction("""COMPUTED_VALUE"""),318.6)</f>
        <v>318.6</v>
      </c>
      <c r="C601" s="5" t="n">
        <f aca="false">IFERROR(__xludf.dummyfunction("""COMPUTED_VALUE"""),322.59)</f>
        <v>322.59</v>
      </c>
      <c r="D601" s="5" t="n">
        <f aca="false">IFERROR(__xludf.dummyfunction("""COMPUTED_VALUE"""),318.01)</f>
        <v>318.01</v>
      </c>
      <c r="E601" s="5" t="n">
        <f aca="false">IFERROR(__xludf.dummyfunction("""COMPUTED_VALUE"""),321.18)</f>
        <v>321.18</v>
      </c>
      <c r="F601" s="5" t="n">
        <f aca="false">IFERROR(__xludf.dummyfunction("""COMPUTED_VALUE"""),24115664)</f>
        <v>24115664</v>
      </c>
    </row>
    <row r="602" customFormat="false" ht="15.75" hidden="false" customHeight="false" outlineLevel="0" collapsed="false">
      <c r="A602" s="6" t="n">
        <f aca="false">IFERROR(__xludf.dummyfunction("""COMPUTED_VALUE"""),45069.6666666667)</f>
        <v>45069.6666666667</v>
      </c>
      <c r="B602" s="5" t="n">
        <f aca="false">IFERROR(__xludf.dummyfunction("""COMPUTED_VALUE"""),320.03)</f>
        <v>320.03</v>
      </c>
      <c r="C602" s="5" t="n">
        <f aca="false">IFERROR(__xludf.dummyfunction("""COMPUTED_VALUE"""),322.72)</f>
        <v>322.72</v>
      </c>
      <c r="D602" s="5" t="n">
        <f aca="false">IFERROR(__xludf.dummyfunction("""COMPUTED_VALUE"""),315.25)</f>
        <v>315.25</v>
      </c>
      <c r="E602" s="5" t="n">
        <f aca="false">IFERROR(__xludf.dummyfunction("""COMPUTED_VALUE"""),315.26)</f>
        <v>315.26</v>
      </c>
      <c r="F602" s="5" t="n">
        <f aca="false">IFERROR(__xludf.dummyfunction("""COMPUTED_VALUE"""),30797173)</f>
        <v>30797173</v>
      </c>
    </row>
    <row r="603" customFormat="false" ht="15.75" hidden="false" customHeight="false" outlineLevel="0" collapsed="false">
      <c r="A603" s="6" t="n">
        <f aca="false">IFERROR(__xludf.dummyfunction("""COMPUTED_VALUE"""),45070.6666666667)</f>
        <v>45070.6666666667</v>
      </c>
      <c r="B603" s="5" t="n">
        <f aca="false">IFERROR(__xludf.dummyfunction("""COMPUTED_VALUE"""),314.73)</f>
        <v>314.73</v>
      </c>
      <c r="C603" s="5" t="n">
        <f aca="false">IFERROR(__xludf.dummyfunction("""COMPUTED_VALUE"""),316.5)</f>
        <v>316.5</v>
      </c>
      <c r="D603" s="5" t="n">
        <f aca="false">IFERROR(__xludf.dummyfunction("""COMPUTED_VALUE"""),312.61)</f>
        <v>312.61</v>
      </c>
      <c r="E603" s="5" t="n">
        <f aca="false">IFERROR(__xludf.dummyfunction("""COMPUTED_VALUE"""),313.85)</f>
        <v>313.85</v>
      </c>
      <c r="F603" s="5" t="n">
        <f aca="false">IFERROR(__xludf.dummyfunction("""COMPUTED_VALUE"""),23384887)</f>
        <v>23384887</v>
      </c>
    </row>
    <row r="604" customFormat="false" ht="15.75" hidden="false" customHeight="false" outlineLevel="0" collapsed="false">
      <c r="A604" s="6" t="n">
        <f aca="false">IFERROR(__xludf.dummyfunction("""COMPUTED_VALUE"""),45071.6666666667)</f>
        <v>45071.6666666667</v>
      </c>
      <c r="B604" s="5" t="n">
        <f aca="false">IFERROR(__xludf.dummyfunction("""COMPUTED_VALUE"""),323.24)</f>
        <v>323.24</v>
      </c>
      <c r="C604" s="5" t="n">
        <f aca="false">IFERROR(__xludf.dummyfunction("""COMPUTED_VALUE"""),326.9)</f>
        <v>326.9</v>
      </c>
      <c r="D604" s="5" t="n">
        <f aca="false">IFERROR(__xludf.dummyfunction("""COMPUTED_VALUE"""),320)</f>
        <v>320</v>
      </c>
      <c r="E604" s="5" t="n">
        <f aca="false">IFERROR(__xludf.dummyfunction("""COMPUTED_VALUE"""),325.92)</f>
        <v>325.92</v>
      </c>
      <c r="F604" s="5" t="n">
        <f aca="false">IFERROR(__xludf.dummyfunction("""COMPUTED_VALUE"""),43301743)</f>
        <v>43301743</v>
      </c>
    </row>
    <row r="605" customFormat="false" ht="15.75" hidden="false" customHeight="false" outlineLevel="0" collapsed="false">
      <c r="A605" s="6" t="n">
        <f aca="false">IFERROR(__xludf.dummyfunction("""COMPUTED_VALUE"""),45072.6666666667)</f>
        <v>45072.6666666667</v>
      </c>
      <c r="B605" s="5" t="n">
        <f aca="false">IFERROR(__xludf.dummyfunction("""COMPUTED_VALUE"""),324.02)</f>
        <v>324.02</v>
      </c>
      <c r="C605" s="5" t="n">
        <f aca="false">IFERROR(__xludf.dummyfunction("""COMPUTED_VALUE"""),333.4)</f>
        <v>333.4</v>
      </c>
      <c r="D605" s="5" t="n">
        <f aca="false">IFERROR(__xludf.dummyfunction("""COMPUTED_VALUE"""),323.88)</f>
        <v>323.88</v>
      </c>
      <c r="E605" s="5" t="n">
        <f aca="false">IFERROR(__xludf.dummyfunction("""COMPUTED_VALUE"""),332.89)</f>
        <v>332.89</v>
      </c>
      <c r="F605" s="5" t="n">
        <f aca="false">IFERROR(__xludf.dummyfunction("""COMPUTED_VALUE"""),36630633)</f>
        <v>36630633</v>
      </c>
    </row>
    <row r="606" customFormat="false" ht="15.75" hidden="false" customHeight="false" outlineLevel="0" collapsed="false">
      <c r="A606" s="6" t="n">
        <f aca="false">IFERROR(__xludf.dummyfunction("""COMPUTED_VALUE"""),45076.6666666667)</f>
        <v>45076.6666666667</v>
      </c>
      <c r="B606" s="5" t="n">
        <f aca="false">IFERROR(__xludf.dummyfunction("""COMPUTED_VALUE"""),335.23)</f>
        <v>335.23</v>
      </c>
      <c r="C606" s="5" t="n">
        <f aca="false">IFERROR(__xludf.dummyfunction("""COMPUTED_VALUE"""),335.74)</f>
        <v>335.74</v>
      </c>
      <c r="D606" s="5" t="n">
        <f aca="false">IFERROR(__xludf.dummyfunction("""COMPUTED_VALUE"""),330.52)</f>
        <v>330.52</v>
      </c>
      <c r="E606" s="5" t="n">
        <f aca="false">IFERROR(__xludf.dummyfunction("""COMPUTED_VALUE"""),331.21)</f>
        <v>331.21</v>
      </c>
      <c r="F606" s="5" t="n">
        <f aca="false">IFERROR(__xludf.dummyfunction("""COMPUTED_VALUE"""),29503070)</f>
        <v>29503070</v>
      </c>
    </row>
    <row r="607" customFormat="false" ht="15.75" hidden="false" customHeight="false" outlineLevel="0" collapsed="false">
      <c r="A607" s="6" t="n">
        <f aca="false">IFERROR(__xludf.dummyfunction("""COMPUTED_VALUE"""),45077.6666666667)</f>
        <v>45077.6666666667</v>
      </c>
      <c r="B607" s="5" t="n">
        <f aca="false">IFERROR(__xludf.dummyfunction("""COMPUTED_VALUE"""),332.29)</f>
        <v>332.29</v>
      </c>
      <c r="C607" s="5" t="n">
        <f aca="false">IFERROR(__xludf.dummyfunction("""COMPUTED_VALUE"""),335.94)</f>
        <v>335.94</v>
      </c>
      <c r="D607" s="5" t="n">
        <f aca="false">IFERROR(__xludf.dummyfunction("""COMPUTED_VALUE"""),327.33)</f>
        <v>327.33</v>
      </c>
      <c r="E607" s="5" t="n">
        <f aca="false">IFERROR(__xludf.dummyfunction("""COMPUTED_VALUE"""),328.39)</f>
        <v>328.39</v>
      </c>
      <c r="F607" s="5" t="n">
        <f aca="false">IFERROR(__xludf.dummyfunction("""COMPUTED_VALUE"""),45950553)</f>
        <v>45950553</v>
      </c>
    </row>
    <row r="608" customFormat="false" ht="15.75" hidden="false" customHeight="false" outlineLevel="0" collapsed="false">
      <c r="A608" s="6" t="n">
        <f aca="false">IFERROR(__xludf.dummyfunction("""COMPUTED_VALUE"""),45078.6666666667)</f>
        <v>45078.6666666667</v>
      </c>
      <c r="B608" s="5" t="n">
        <f aca="false">IFERROR(__xludf.dummyfunction("""COMPUTED_VALUE"""),325.93)</f>
        <v>325.93</v>
      </c>
      <c r="C608" s="5" t="n">
        <f aca="false">IFERROR(__xludf.dummyfunction("""COMPUTED_VALUE"""),333.53)</f>
        <v>333.53</v>
      </c>
      <c r="D608" s="5" t="n">
        <f aca="false">IFERROR(__xludf.dummyfunction("""COMPUTED_VALUE"""),324.72)</f>
        <v>324.72</v>
      </c>
      <c r="E608" s="5" t="n">
        <f aca="false">IFERROR(__xludf.dummyfunction("""COMPUTED_VALUE"""),332.58)</f>
        <v>332.58</v>
      </c>
      <c r="F608" s="5" t="n">
        <f aca="false">IFERROR(__xludf.dummyfunction("""COMPUTED_VALUE"""),26773851)</f>
        <v>26773851</v>
      </c>
    </row>
    <row r="609" customFormat="false" ht="15.75" hidden="false" customHeight="false" outlineLevel="0" collapsed="false">
      <c r="A609" s="6" t="n">
        <f aca="false">IFERROR(__xludf.dummyfunction("""COMPUTED_VALUE"""),45079.6666666667)</f>
        <v>45079.6666666667</v>
      </c>
      <c r="B609" s="5" t="n">
        <f aca="false">IFERROR(__xludf.dummyfunction("""COMPUTED_VALUE"""),334.25)</f>
        <v>334.25</v>
      </c>
      <c r="C609" s="5" t="n">
        <f aca="false">IFERROR(__xludf.dummyfunction("""COMPUTED_VALUE"""),337.5)</f>
        <v>337.5</v>
      </c>
      <c r="D609" s="5" t="n">
        <f aca="false">IFERROR(__xludf.dummyfunction("""COMPUTED_VALUE"""),332.55)</f>
        <v>332.55</v>
      </c>
      <c r="E609" s="5" t="n">
        <f aca="false">IFERROR(__xludf.dummyfunction("""COMPUTED_VALUE"""),335.4)</f>
        <v>335.4</v>
      </c>
      <c r="F609" s="5" t="n">
        <f aca="false">IFERROR(__xludf.dummyfunction("""COMPUTED_VALUE"""),25873769)</f>
        <v>25873769</v>
      </c>
    </row>
    <row r="610" customFormat="false" ht="15.75" hidden="false" customHeight="false" outlineLevel="0" collapsed="false">
      <c r="A610" s="6" t="n">
        <f aca="false">IFERROR(__xludf.dummyfunction("""COMPUTED_VALUE"""),45082.6666666667)</f>
        <v>45082.6666666667</v>
      </c>
      <c r="B610" s="5" t="n">
        <f aca="false">IFERROR(__xludf.dummyfunction("""COMPUTED_VALUE"""),335.22)</f>
        <v>335.22</v>
      </c>
      <c r="C610" s="5" t="n">
        <f aca="false">IFERROR(__xludf.dummyfunction("""COMPUTED_VALUE"""),338.56)</f>
        <v>338.56</v>
      </c>
      <c r="D610" s="5" t="n">
        <f aca="false">IFERROR(__xludf.dummyfunction("""COMPUTED_VALUE"""),334.66)</f>
        <v>334.66</v>
      </c>
      <c r="E610" s="5" t="n">
        <f aca="false">IFERROR(__xludf.dummyfunction("""COMPUTED_VALUE"""),335.94)</f>
        <v>335.94</v>
      </c>
      <c r="F610" s="5" t="n">
        <f aca="false">IFERROR(__xludf.dummyfunction("""COMPUTED_VALUE"""),21307053)</f>
        <v>21307053</v>
      </c>
    </row>
    <row r="611" customFormat="false" ht="15.75" hidden="false" customHeight="false" outlineLevel="0" collapsed="false">
      <c r="A611" s="6" t="n">
        <f aca="false">IFERROR(__xludf.dummyfunction("""COMPUTED_VALUE"""),45083.6666666667)</f>
        <v>45083.6666666667</v>
      </c>
      <c r="B611" s="5" t="n">
        <f aca="false">IFERROR(__xludf.dummyfunction("""COMPUTED_VALUE"""),335.33)</f>
        <v>335.33</v>
      </c>
      <c r="C611" s="5" t="n">
        <f aca="false">IFERROR(__xludf.dummyfunction("""COMPUTED_VALUE"""),335.37)</f>
        <v>335.37</v>
      </c>
      <c r="D611" s="5" t="n">
        <f aca="false">IFERROR(__xludf.dummyfunction("""COMPUTED_VALUE"""),332.17)</f>
        <v>332.17</v>
      </c>
      <c r="E611" s="5" t="n">
        <f aca="false">IFERROR(__xludf.dummyfunction("""COMPUTED_VALUE"""),333.68)</f>
        <v>333.68</v>
      </c>
      <c r="F611" s="5" t="n">
        <f aca="false">IFERROR(__xludf.dummyfunction("""COMPUTED_VALUE"""),20396223)</f>
        <v>20396223</v>
      </c>
    </row>
    <row r="612" customFormat="false" ht="15.75" hidden="false" customHeight="false" outlineLevel="0" collapsed="false">
      <c r="A612" s="6" t="n">
        <f aca="false">IFERROR(__xludf.dummyfunction("""COMPUTED_VALUE"""),45084.6666666667)</f>
        <v>45084.6666666667</v>
      </c>
      <c r="B612" s="5" t="n">
        <f aca="false">IFERROR(__xludf.dummyfunction("""COMPUTED_VALUE"""),331.65)</f>
        <v>331.65</v>
      </c>
      <c r="C612" s="5" t="n">
        <f aca="false">IFERROR(__xludf.dummyfunction("""COMPUTED_VALUE"""),334.49)</f>
        <v>334.49</v>
      </c>
      <c r="D612" s="5" t="n">
        <f aca="false">IFERROR(__xludf.dummyfunction("""COMPUTED_VALUE"""),322.5)</f>
        <v>322.5</v>
      </c>
      <c r="E612" s="5" t="n">
        <f aca="false">IFERROR(__xludf.dummyfunction("""COMPUTED_VALUE"""),323.38)</f>
        <v>323.38</v>
      </c>
      <c r="F612" s="5" t="n">
        <f aca="false">IFERROR(__xludf.dummyfunction("""COMPUTED_VALUE"""),40717129)</f>
        <v>40717129</v>
      </c>
    </row>
    <row r="613" customFormat="false" ht="15.75" hidden="false" customHeight="false" outlineLevel="0" collapsed="false">
      <c r="A613" s="6" t="n">
        <f aca="false">IFERROR(__xludf.dummyfunction("""COMPUTED_VALUE"""),45085.6666666667)</f>
        <v>45085.6666666667</v>
      </c>
      <c r="B613" s="5" t="n">
        <f aca="false">IFERROR(__xludf.dummyfunction("""COMPUTED_VALUE"""),323.94)</f>
        <v>323.94</v>
      </c>
      <c r="C613" s="5" t="n">
        <f aca="false">IFERROR(__xludf.dummyfunction("""COMPUTED_VALUE"""),326.64)</f>
        <v>326.64</v>
      </c>
      <c r="D613" s="5" t="n">
        <f aca="false">IFERROR(__xludf.dummyfunction("""COMPUTED_VALUE"""),323.35)</f>
        <v>323.35</v>
      </c>
      <c r="E613" s="5" t="n">
        <f aca="false">IFERROR(__xludf.dummyfunction("""COMPUTED_VALUE"""),325.26)</f>
        <v>325.26</v>
      </c>
      <c r="F613" s="5" t="n">
        <f aca="false">IFERROR(__xludf.dummyfunction("""COMPUTED_VALUE"""),23277708)</f>
        <v>23277708</v>
      </c>
    </row>
    <row r="614" customFormat="false" ht="15.75" hidden="false" customHeight="false" outlineLevel="0" collapsed="false">
      <c r="A614" s="6" t="n">
        <f aca="false">IFERROR(__xludf.dummyfunction("""COMPUTED_VALUE"""),45086.6666666667)</f>
        <v>45086.6666666667</v>
      </c>
      <c r="B614" s="5" t="n">
        <f aca="false">IFERROR(__xludf.dummyfunction("""COMPUTED_VALUE"""),324.99)</f>
        <v>324.99</v>
      </c>
      <c r="C614" s="5" t="n">
        <f aca="false">IFERROR(__xludf.dummyfunction("""COMPUTED_VALUE"""),329.99)</f>
        <v>329.99</v>
      </c>
      <c r="D614" s="5" t="n">
        <f aca="false">IFERROR(__xludf.dummyfunction("""COMPUTED_VALUE"""),324.41)</f>
        <v>324.41</v>
      </c>
      <c r="E614" s="5" t="n">
        <f aca="false">IFERROR(__xludf.dummyfunction("""COMPUTED_VALUE"""),326.79)</f>
        <v>326.79</v>
      </c>
      <c r="F614" s="5" t="n">
        <f aca="false">IFERROR(__xludf.dummyfunction("""COMPUTED_VALUE"""),22528950)</f>
        <v>22528950</v>
      </c>
    </row>
    <row r="615" customFormat="false" ht="15.75" hidden="false" customHeight="false" outlineLevel="0" collapsed="false">
      <c r="A615" s="6" t="n">
        <f aca="false">IFERROR(__xludf.dummyfunction("""COMPUTED_VALUE"""),45089.6666666667)</f>
        <v>45089.6666666667</v>
      </c>
      <c r="B615" s="5" t="n">
        <f aca="false">IFERROR(__xludf.dummyfunction("""COMPUTED_VALUE"""),328.58)</f>
        <v>328.58</v>
      </c>
      <c r="C615" s="5" t="n">
        <f aca="false">IFERROR(__xludf.dummyfunction("""COMPUTED_VALUE"""),332.1)</f>
        <v>332.1</v>
      </c>
      <c r="D615" s="5" t="n">
        <f aca="false">IFERROR(__xludf.dummyfunction("""COMPUTED_VALUE"""),325.16)</f>
        <v>325.16</v>
      </c>
      <c r="E615" s="5" t="n">
        <f aca="false">IFERROR(__xludf.dummyfunction("""COMPUTED_VALUE"""),331.85)</f>
        <v>331.85</v>
      </c>
      <c r="F615" s="5" t="n">
        <f aca="false">IFERROR(__xludf.dummyfunction("""COMPUTED_VALUE"""),24306753)</f>
        <v>24306753</v>
      </c>
    </row>
    <row r="616" customFormat="false" ht="15.75" hidden="false" customHeight="false" outlineLevel="0" collapsed="false">
      <c r="A616" s="6" t="n">
        <f aca="false">IFERROR(__xludf.dummyfunction("""COMPUTED_VALUE"""),45090.6666666667)</f>
        <v>45090.6666666667</v>
      </c>
      <c r="B616" s="5" t="n">
        <f aca="false">IFERROR(__xludf.dummyfunction("""COMPUTED_VALUE"""),334.47)</f>
        <v>334.47</v>
      </c>
      <c r="C616" s="5" t="n">
        <f aca="false">IFERROR(__xludf.dummyfunction("""COMPUTED_VALUE"""),336.98)</f>
        <v>336.98</v>
      </c>
      <c r="D616" s="5" t="n">
        <f aca="false">IFERROR(__xludf.dummyfunction("""COMPUTED_VALUE"""),330.39)</f>
        <v>330.39</v>
      </c>
      <c r="E616" s="5" t="n">
        <f aca="false">IFERROR(__xludf.dummyfunction("""COMPUTED_VALUE"""),334.29)</f>
        <v>334.29</v>
      </c>
      <c r="F616" s="5" t="n">
        <f aca="false">IFERROR(__xludf.dummyfunction("""COMPUTED_VALUE"""),22951279)</f>
        <v>22951279</v>
      </c>
    </row>
    <row r="617" customFormat="false" ht="15.75" hidden="false" customHeight="false" outlineLevel="0" collapsed="false">
      <c r="A617" s="6" t="n">
        <f aca="false">IFERROR(__xludf.dummyfunction("""COMPUTED_VALUE"""),45091.6666666667)</f>
        <v>45091.6666666667</v>
      </c>
      <c r="B617" s="5" t="n">
        <f aca="false">IFERROR(__xludf.dummyfunction("""COMPUTED_VALUE"""),334.34)</f>
        <v>334.34</v>
      </c>
      <c r="C617" s="5" t="n">
        <f aca="false">IFERROR(__xludf.dummyfunction("""COMPUTED_VALUE"""),339.04)</f>
        <v>339.04</v>
      </c>
      <c r="D617" s="5" t="n">
        <f aca="false">IFERROR(__xludf.dummyfunction("""COMPUTED_VALUE"""),332.81)</f>
        <v>332.81</v>
      </c>
      <c r="E617" s="5" t="n">
        <f aca="false">IFERROR(__xludf.dummyfunction("""COMPUTED_VALUE"""),337.34)</f>
        <v>337.34</v>
      </c>
      <c r="F617" s="5" t="n">
        <f aca="false">IFERROR(__xludf.dummyfunction("""COMPUTED_VALUE"""),26003791)</f>
        <v>26003791</v>
      </c>
    </row>
    <row r="618" customFormat="false" ht="15.75" hidden="false" customHeight="false" outlineLevel="0" collapsed="false">
      <c r="A618" s="6" t="n">
        <f aca="false">IFERROR(__xludf.dummyfunction("""COMPUTED_VALUE"""),45092.6666666667)</f>
        <v>45092.6666666667</v>
      </c>
      <c r="B618" s="5" t="n">
        <f aca="false">IFERROR(__xludf.dummyfunction("""COMPUTED_VALUE"""),337.48)</f>
        <v>337.48</v>
      </c>
      <c r="C618" s="5" t="n">
        <f aca="false">IFERROR(__xludf.dummyfunction("""COMPUTED_VALUE"""),349.84)</f>
        <v>349.84</v>
      </c>
      <c r="D618" s="5" t="n">
        <f aca="false">IFERROR(__xludf.dummyfunction("""COMPUTED_VALUE"""),337.2)</f>
        <v>337.2</v>
      </c>
      <c r="E618" s="5" t="n">
        <f aca="false">IFERROR(__xludf.dummyfunction("""COMPUTED_VALUE"""),348.1)</f>
        <v>348.1</v>
      </c>
      <c r="F618" s="5" t="n">
        <f aca="false">IFERROR(__xludf.dummyfunction("""COMPUTED_VALUE"""),38899075)</f>
        <v>38899075</v>
      </c>
    </row>
    <row r="619" customFormat="false" ht="15.75" hidden="false" customHeight="false" outlineLevel="0" collapsed="false">
      <c r="A619" s="6" t="n">
        <f aca="false">IFERROR(__xludf.dummyfunction("""COMPUTED_VALUE"""),45093.6666666667)</f>
        <v>45093.6666666667</v>
      </c>
      <c r="B619" s="5" t="n">
        <f aca="false">IFERROR(__xludf.dummyfunction("""COMPUTED_VALUE"""),351.32)</f>
        <v>351.32</v>
      </c>
      <c r="C619" s="5" t="n">
        <f aca="false">IFERROR(__xludf.dummyfunction("""COMPUTED_VALUE"""),351.47)</f>
        <v>351.47</v>
      </c>
      <c r="D619" s="5" t="n">
        <f aca="false">IFERROR(__xludf.dummyfunction("""COMPUTED_VALUE"""),341.95)</f>
        <v>341.95</v>
      </c>
      <c r="E619" s="5" t="n">
        <f aca="false">IFERROR(__xludf.dummyfunction("""COMPUTED_VALUE"""),342.33)</f>
        <v>342.33</v>
      </c>
      <c r="F619" s="5" t="n">
        <f aca="false">IFERROR(__xludf.dummyfunction("""COMPUTED_VALUE"""),46551985)</f>
        <v>46551985</v>
      </c>
    </row>
    <row r="620" customFormat="false" ht="15.75" hidden="false" customHeight="false" outlineLevel="0" collapsed="false">
      <c r="A620" s="6" t="n">
        <f aca="false">IFERROR(__xludf.dummyfunction("""COMPUTED_VALUE"""),45097.6666666667)</f>
        <v>45097.6666666667</v>
      </c>
      <c r="B620" s="5" t="n">
        <f aca="false">IFERROR(__xludf.dummyfunction("""COMPUTED_VALUE"""),339.31)</f>
        <v>339.31</v>
      </c>
      <c r="C620" s="5" t="n">
        <f aca="false">IFERROR(__xludf.dummyfunction("""COMPUTED_VALUE"""),342.08)</f>
        <v>342.08</v>
      </c>
      <c r="D620" s="5" t="n">
        <f aca="false">IFERROR(__xludf.dummyfunction("""COMPUTED_VALUE"""),335.86)</f>
        <v>335.86</v>
      </c>
      <c r="E620" s="5" t="n">
        <f aca="false">IFERROR(__xludf.dummyfunction("""COMPUTED_VALUE"""),338.05)</f>
        <v>338.05</v>
      </c>
      <c r="F620" s="5" t="n">
        <f aca="false">IFERROR(__xludf.dummyfunction("""COMPUTED_VALUE"""),26375407)</f>
        <v>26375407</v>
      </c>
    </row>
    <row r="621" customFormat="false" ht="15.75" hidden="false" customHeight="false" outlineLevel="0" collapsed="false">
      <c r="A621" s="6" t="n">
        <f aca="false">IFERROR(__xludf.dummyfunction("""COMPUTED_VALUE"""),45098.6666666667)</f>
        <v>45098.6666666667</v>
      </c>
      <c r="B621" s="5" t="n">
        <f aca="false">IFERROR(__xludf.dummyfunction("""COMPUTED_VALUE"""),336.37)</f>
        <v>336.37</v>
      </c>
      <c r="C621" s="5" t="n">
        <f aca="false">IFERROR(__xludf.dummyfunction("""COMPUTED_VALUE"""),337.73)</f>
        <v>337.73</v>
      </c>
      <c r="D621" s="5" t="n">
        <f aca="false">IFERROR(__xludf.dummyfunction("""COMPUTED_VALUE"""),332.07)</f>
        <v>332.07</v>
      </c>
      <c r="E621" s="5" t="n">
        <f aca="false">IFERROR(__xludf.dummyfunction("""COMPUTED_VALUE"""),333.56)</f>
        <v>333.56</v>
      </c>
      <c r="F621" s="5" t="n">
        <f aca="false">IFERROR(__xludf.dummyfunction("""COMPUTED_VALUE"""),25117799)</f>
        <v>25117799</v>
      </c>
    </row>
    <row r="622" customFormat="false" ht="15.75" hidden="false" customHeight="false" outlineLevel="0" collapsed="false">
      <c r="A622" s="6" t="n">
        <f aca="false">IFERROR(__xludf.dummyfunction("""COMPUTED_VALUE"""),45099.6666666667)</f>
        <v>45099.6666666667</v>
      </c>
      <c r="B622" s="5" t="n">
        <f aca="false">IFERROR(__xludf.dummyfunction("""COMPUTED_VALUE"""),334.12)</f>
        <v>334.12</v>
      </c>
      <c r="C622" s="5" t="n">
        <f aca="false">IFERROR(__xludf.dummyfunction("""COMPUTED_VALUE"""),340.12)</f>
        <v>340.12</v>
      </c>
      <c r="D622" s="5" t="n">
        <f aca="false">IFERROR(__xludf.dummyfunction("""COMPUTED_VALUE"""),333.34)</f>
        <v>333.34</v>
      </c>
      <c r="E622" s="5" t="n">
        <f aca="false">IFERROR(__xludf.dummyfunction("""COMPUTED_VALUE"""),339.71)</f>
        <v>339.71</v>
      </c>
      <c r="F622" s="5" t="n">
        <f aca="false">IFERROR(__xludf.dummyfunction("""COMPUTED_VALUE"""),23556764)</f>
        <v>23556764</v>
      </c>
    </row>
    <row r="623" customFormat="false" ht="15.75" hidden="false" customHeight="false" outlineLevel="0" collapsed="false">
      <c r="A623" s="6" t="n">
        <f aca="false">IFERROR(__xludf.dummyfunction("""COMPUTED_VALUE"""),45100.6666666667)</f>
        <v>45100.6666666667</v>
      </c>
      <c r="B623" s="5" t="n">
        <f aca="false">IFERROR(__xludf.dummyfunction("""COMPUTED_VALUE"""),334.36)</f>
        <v>334.36</v>
      </c>
      <c r="C623" s="5" t="n">
        <f aca="false">IFERROR(__xludf.dummyfunction("""COMPUTED_VALUE"""),337.96)</f>
        <v>337.96</v>
      </c>
      <c r="D623" s="5" t="n">
        <f aca="false">IFERROR(__xludf.dummyfunction("""COMPUTED_VALUE"""),333.45)</f>
        <v>333.45</v>
      </c>
      <c r="E623" s="5" t="n">
        <f aca="false">IFERROR(__xludf.dummyfunction("""COMPUTED_VALUE"""),335.02)</f>
        <v>335.02</v>
      </c>
      <c r="F623" s="5" t="n">
        <f aca="false">IFERROR(__xludf.dummyfunction("""COMPUTED_VALUE"""),23146901)</f>
        <v>23146901</v>
      </c>
    </row>
    <row r="624" customFormat="false" ht="15.75" hidden="false" customHeight="false" outlineLevel="0" collapsed="false">
      <c r="A624" s="6" t="n">
        <f aca="false">IFERROR(__xludf.dummyfunction("""COMPUTED_VALUE"""),45103.6666666667)</f>
        <v>45103.6666666667</v>
      </c>
      <c r="B624" s="5" t="n">
        <f aca="false">IFERROR(__xludf.dummyfunction("""COMPUTED_VALUE"""),333.72)</f>
        <v>333.72</v>
      </c>
      <c r="C624" s="5" t="n">
        <f aca="false">IFERROR(__xludf.dummyfunction("""COMPUTED_VALUE"""),336.11)</f>
        <v>336.11</v>
      </c>
      <c r="D624" s="5" t="n">
        <f aca="false">IFERROR(__xludf.dummyfunction("""COMPUTED_VALUE"""),328.49)</f>
        <v>328.49</v>
      </c>
      <c r="E624" s="5" t="n">
        <f aca="false">IFERROR(__xludf.dummyfunction("""COMPUTED_VALUE"""),328.6)</f>
        <v>328.6</v>
      </c>
      <c r="F624" s="5" t="n">
        <f aca="false">IFERROR(__xludf.dummyfunction("""COMPUTED_VALUE"""),21520582)</f>
        <v>21520582</v>
      </c>
    </row>
    <row r="625" customFormat="false" ht="15.75" hidden="false" customHeight="false" outlineLevel="0" collapsed="false">
      <c r="A625" s="6" t="n">
        <f aca="false">IFERROR(__xludf.dummyfunction("""COMPUTED_VALUE"""),45104.6666666667)</f>
        <v>45104.6666666667</v>
      </c>
      <c r="B625" s="5" t="n">
        <f aca="false">IFERROR(__xludf.dummyfunction("""COMPUTED_VALUE"""),331.86)</f>
        <v>331.86</v>
      </c>
      <c r="C625" s="5" t="n">
        <f aca="false">IFERROR(__xludf.dummyfunction("""COMPUTED_VALUE"""),336.15)</f>
        <v>336.15</v>
      </c>
      <c r="D625" s="5" t="n">
        <f aca="false">IFERROR(__xludf.dummyfunction("""COMPUTED_VALUE"""),329.3)</f>
        <v>329.3</v>
      </c>
      <c r="E625" s="5" t="n">
        <f aca="false">IFERROR(__xludf.dummyfunction("""COMPUTED_VALUE"""),334.57)</f>
        <v>334.57</v>
      </c>
      <c r="F625" s="5" t="n">
        <f aca="false">IFERROR(__xludf.dummyfunction("""COMPUTED_VALUE"""),24354110)</f>
        <v>24354110</v>
      </c>
    </row>
    <row r="626" customFormat="false" ht="15.75" hidden="false" customHeight="false" outlineLevel="0" collapsed="false">
      <c r="A626" s="6" t="n">
        <f aca="false">IFERROR(__xludf.dummyfunction("""COMPUTED_VALUE"""),45105.6666666667)</f>
        <v>45105.6666666667</v>
      </c>
      <c r="B626" s="5" t="n">
        <f aca="false">IFERROR(__xludf.dummyfunction("""COMPUTED_VALUE"""),334.66)</f>
        <v>334.66</v>
      </c>
      <c r="C626" s="5" t="n">
        <f aca="false">IFERROR(__xludf.dummyfunction("""COMPUTED_VALUE"""),337.98)</f>
        <v>337.98</v>
      </c>
      <c r="D626" s="5" t="n">
        <f aca="false">IFERROR(__xludf.dummyfunction("""COMPUTED_VALUE"""),333.81)</f>
        <v>333.81</v>
      </c>
      <c r="E626" s="5" t="n">
        <f aca="false">IFERROR(__xludf.dummyfunction("""COMPUTED_VALUE"""),335.85)</f>
        <v>335.85</v>
      </c>
      <c r="F626" s="5" t="n">
        <f aca="false">IFERROR(__xludf.dummyfunction("""COMPUTED_VALUE"""),20259523)</f>
        <v>20259523</v>
      </c>
    </row>
    <row r="627" customFormat="false" ht="15.75" hidden="false" customHeight="false" outlineLevel="0" collapsed="false">
      <c r="A627" s="6" t="n">
        <f aca="false">IFERROR(__xludf.dummyfunction("""COMPUTED_VALUE"""),45106.6666666667)</f>
        <v>45106.6666666667</v>
      </c>
      <c r="B627" s="5" t="n">
        <f aca="false">IFERROR(__xludf.dummyfunction("""COMPUTED_VALUE"""),334.71)</f>
        <v>334.71</v>
      </c>
      <c r="C627" s="5" t="n">
        <f aca="false">IFERROR(__xludf.dummyfunction("""COMPUTED_VALUE"""),336.11)</f>
        <v>336.11</v>
      </c>
      <c r="D627" s="5" t="n">
        <f aca="false">IFERROR(__xludf.dummyfunction("""COMPUTED_VALUE"""),332.62)</f>
        <v>332.62</v>
      </c>
      <c r="E627" s="5" t="n">
        <f aca="false">IFERROR(__xludf.dummyfunction("""COMPUTED_VALUE"""),335.05)</f>
        <v>335.05</v>
      </c>
      <c r="F627" s="5" t="n">
        <f aca="false">IFERROR(__xludf.dummyfunction("""COMPUTED_VALUE"""),16997042)</f>
        <v>16997042</v>
      </c>
    </row>
    <row r="628" customFormat="false" ht="15.75" hidden="false" customHeight="false" outlineLevel="0" collapsed="false">
      <c r="A628" s="6" t="n">
        <f aca="false">IFERROR(__xludf.dummyfunction("""COMPUTED_VALUE"""),45107.6666666667)</f>
        <v>45107.6666666667</v>
      </c>
      <c r="B628" s="5" t="n">
        <f aca="false">IFERROR(__xludf.dummyfunction("""COMPUTED_VALUE"""),337.75)</f>
        <v>337.75</v>
      </c>
      <c r="C628" s="5" t="n">
        <f aca="false">IFERROR(__xludf.dummyfunction("""COMPUTED_VALUE"""),342.73)</f>
        <v>342.73</v>
      </c>
      <c r="D628" s="5" t="n">
        <f aca="false">IFERROR(__xludf.dummyfunction("""COMPUTED_VALUE"""),337.2)</f>
        <v>337.2</v>
      </c>
      <c r="E628" s="5" t="n">
        <f aca="false">IFERROR(__xludf.dummyfunction("""COMPUTED_VALUE"""),340.54)</f>
        <v>340.54</v>
      </c>
      <c r="F628" s="5" t="n">
        <f aca="false">IFERROR(__xludf.dummyfunction("""COMPUTED_VALUE"""),26832756)</f>
        <v>26832756</v>
      </c>
    </row>
    <row r="629" customFormat="false" ht="15.75" hidden="false" customHeight="false" outlineLevel="0" collapsed="false">
      <c r="A629" s="6" t="n">
        <f aca="false">IFERROR(__xludf.dummyfunction("""COMPUTED_VALUE"""),45110.5451388889)</f>
        <v>45110.5451388889</v>
      </c>
      <c r="B629" s="5" t="n">
        <f aca="false">IFERROR(__xludf.dummyfunction("""COMPUTED_VALUE"""),339.19)</f>
        <v>339.19</v>
      </c>
      <c r="C629" s="5" t="n">
        <f aca="false">IFERROR(__xludf.dummyfunction("""COMPUTED_VALUE"""),340.9)</f>
        <v>340.9</v>
      </c>
      <c r="D629" s="5" t="n">
        <f aca="false">IFERROR(__xludf.dummyfunction("""COMPUTED_VALUE"""),336.57)</f>
        <v>336.57</v>
      </c>
      <c r="E629" s="5" t="n">
        <f aca="false">IFERROR(__xludf.dummyfunction("""COMPUTED_VALUE"""),337.99)</f>
        <v>337.99</v>
      </c>
      <c r="F629" s="5" t="n">
        <f aca="false">IFERROR(__xludf.dummyfunction("""COMPUTED_VALUE"""),12508692)</f>
        <v>12508692</v>
      </c>
    </row>
    <row r="630" customFormat="false" ht="15.75" hidden="false" customHeight="false" outlineLevel="0" collapsed="false">
      <c r="A630" s="6" t="n">
        <f aca="false">IFERROR(__xludf.dummyfunction("""COMPUTED_VALUE"""),45112.6666666667)</f>
        <v>45112.6666666667</v>
      </c>
      <c r="B630" s="5" t="n">
        <f aca="false">IFERROR(__xludf.dummyfunction("""COMPUTED_VALUE"""),335.09)</f>
        <v>335.09</v>
      </c>
      <c r="C630" s="5" t="n">
        <f aca="false">IFERROR(__xludf.dummyfunction("""COMPUTED_VALUE"""),341.65)</f>
        <v>341.65</v>
      </c>
      <c r="D630" s="5" t="n">
        <f aca="false">IFERROR(__xludf.dummyfunction("""COMPUTED_VALUE"""),334.73)</f>
        <v>334.73</v>
      </c>
      <c r="E630" s="5" t="n">
        <f aca="false">IFERROR(__xludf.dummyfunction("""COMPUTED_VALUE"""),338.15)</f>
        <v>338.15</v>
      </c>
      <c r="F630" s="5" t="n">
        <f aca="false">IFERROR(__xludf.dummyfunction("""COMPUTED_VALUE"""),18172378)</f>
        <v>18172378</v>
      </c>
    </row>
    <row r="631" customFormat="false" ht="15.75" hidden="false" customHeight="false" outlineLevel="0" collapsed="false">
      <c r="A631" s="6" t="n">
        <f aca="false">IFERROR(__xludf.dummyfunction("""COMPUTED_VALUE"""),45113.6666666667)</f>
        <v>45113.6666666667</v>
      </c>
      <c r="B631" s="5" t="n">
        <f aca="false">IFERROR(__xludf.dummyfunction("""COMPUTED_VALUE"""),337.3)</f>
        <v>337.3</v>
      </c>
      <c r="C631" s="5" t="n">
        <f aca="false">IFERROR(__xludf.dummyfunction("""COMPUTED_VALUE"""),342.99)</f>
        <v>342.99</v>
      </c>
      <c r="D631" s="5" t="n">
        <f aca="false">IFERROR(__xludf.dummyfunction("""COMPUTED_VALUE"""),335.5)</f>
        <v>335.5</v>
      </c>
      <c r="E631" s="5" t="n">
        <f aca="false">IFERROR(__xludf.dummyfunction("""COMPUTED_VALUE"""),341.27)</f>
        <v>341.27</v>
      </c>
      <c r="F631" s="5" t="n">
        <f aca="false">IFERROR(__xludf.dummyfunction("""COMPUTED_VALUE"""),28195534)</f>
        <v>28195534</v>
      </c>
    </row>
    <row r="632" customFormat="false" ht="15.75" hidden="false" customHeight="false" outlineLevel="0" collapsed="false">
      <c r="A632" s="6" t="n">
        <f aca="false">IFERROR(__xludf.dummyfunction("""COMPUTED_VALUE"""),45114.6666666667)</f>
        <v>45114.6666666667</v>
      </c>
      <c r="B632" s="5" t="n">
        <f aca="false">IFERROR(__xludf.dummyfunction("""COMPUTED_VALUE"""),339.32)</f>
        <v>339.32</v>
      </c>
      <c r="C632" s="5" t="n">
        <f aca="false">IFERROR(__xludf.dummyfunction("""COMPUTED_VALUE"""),341.79)</f>
        <v>341.79</v>
      </c>
      <c r="D632" s="5" t="n">
        <f aca="false">IFERROR(__xludf.dummyfunction("""COMPUTED_VALUE"""),337)</f>
        <v>337</v>
      </c>
      <c r="E632" s="5" t="n">
        <f aca="false">IFERROR(__xludf.dummyfunction("""COMPUTED_VALUE"""),337.22)</f>
        <v>337.22</v>
      </c>
      <c r="F632" s="5" t="n">
        <f aca="false">IFERROR(__xludf.dummyfunction("""COMPUTED_VALUE"""),21214824)</f>
        <v>21214824</v>
      </c>
    </row>
    <row r="633" customFormat="false" ht="15.75" hidden="false" customHeight="false" outlineLevel="0" collapsed="false">
      <c r="A633" s="6" t="n">
        <f aca="false">IFERROR(__xludf.dummyfunction("""COMPUTED_VALUE"""),45117.6666666667)</f>
        <v>45117.6666666667</v>
      </c>
      <c r="B633" s="5" t="n">
        <f aca="false">IFERROR(__xludf.dummyfunction("""COMPUTED_VALUE"""),334.6)</f>
        <v>334.6</v>
      </c>
      <c r="C633" s="5" t="n">
        <f aca="false">IFERROR(__xludf.dummyfunction("""COMPUTED_VALUE"""),335.23)</f>
        <v>335.23</v>
      </c>
      <c r="D633" s="5" t="n">
        <f aca="false">IFERROR(__xludf.dummyfunction("""COMPUTED_VALUE"""),327.59)</f>
        <v>327.59</v>
      </c>
      <c r="E633" s="5" t="n">
        <f aca="false">IFERROR(__xludf.dummyfunction("""COMPUTED_VALUE"""),331.83)</f>
        <v>331.83</v>
      </c>
      <c r="F633" s="5" t="n">
        <f aca="false">IFERROR(__xludf.dummyfunction("""COMPUTED_VALUE"""),32791449)</f>
        <v>32791449</v>
      </c>
    </row>
    <row r="634" customFormat="false" ht="15.75" hidden="false" customHeight="false" outlineLevel="0" collapsed="false">
      <c r="A634" s="6" t="n">
        <f aca="false">IFERROR(__xludf.dummyfunction("""COMPUTED_VALUE"""),45118.6666666667)</f>
        <v>45118.6666666667</v>
      </c>
      <c r="B634" s="5" t="n">
        <f aca="false">IFERROR(__xludf.dummyfunction("""COMPUTED_VALUE"""),331.06)</f>
        <v>331.06</v>
      </c>
      <c r="C634" s="5" t="n">
        <f aca="false">IFERROR(__xludf.dummyfunction("""COMPUTED_VALUE"""),332.86)</f>
        <v>332.86</v>
      </c>
      <c r="D634" s="5" t="n">
        <f aca="false">IFERROR(__xludf.dummyfunction("""COMPUTED_VALUE"""),327)</f>
        <v>327</v>
      </c>
      <c r="E634" s="5" t="n">
        <f aca="false">IFERROR(__xludf.dummyfunction("""COMPUTED_VALUE"""),332.47)</f>
        <v>332.47</v>
      </c>
      <c r="F634" s="5" t="n">
        <f aca="false">IFERROR(__xludf.dummyfunction("""COMPUTED_VALUE"""),26698218)</f>
        <v>26698218</v>
      </c>
    </row>
    <row r="635" customFormat="false" ht="15.75" hidden="false" customHeight="false" outlineLevel="0" collapsed="false">
      <c r="A635" s="6" t="n">
        <f aca="false">IFERROR(__xludf.dummyfunction("""COMPUTED_VALUE"""),45119.6666666667)</f>
        <v>45119.6666666667</v>
      </c>
      <c r="B635" s="5" t="n">
        <f aca="false">IFERROR(__xludf.dummyfunction("""COMPUTED_VALUE"""),336.6)</f>
        <v>336.6</v>
      </c>
      <c r="C635" s="5" t="n">
        <f aca="false">IFERROR(__xludf.dummyfunction("""COMPUTED_VALUE"""),341.65)</f>
        <v>341.65</v>
      </c>
      <c r="D635" s="5" t="n">
        <f aca="false">IFERROR(__xludf.dummyfunction("""COMPUTED_VALUE"""),335.67)</f>
        <v>335.67</v>
      </c>
      <c r="E635" s="5" t="n">
        <f aca="false">IFERROR(__xludf.dummyfunction("""COMPUTED_VALUE"""),337.2)</f>
        <v>337.2</v>
      </c>
      <c r="F635" s="5" t="n">
        <f aca="false">IFERROR(__xludf.dummyfunction("""COMPUTED_VALUE"""),29995262)</f>
        <v>29995262</v>
      </c>
    </row>
    <row r="636" customFormat="false" ht="15.75" hidden="false" customHeight="false" outlineLevel="0" collapsed="false">
      <c r="A636" s="6" t="n">
        <f aca="false">IFERROR(__xludf.dummyfunction("""COMPUTED_VALUE"""),45120.6666666667)</f>
        <v>45120.6666666667</v>
      </c>
      <c r="B636" s="5" t="n">
        <f aca="false">IFERROR(__xludf.dummyfunction("""COMPUTED_VALUE"""),339.56)</f>
        <v>339.56</v>
      </c>
      <c r="C636" s="5" t="n">
        <f aca="false">IFERROR(__xludf.dummyfunction("""COMPUTED_VALUE"""),343.74)</f>
        <v>343.74</v>
      </c>
      <c r="D636" s="5" t="n">
        <f aca="false">IFERROR(__xludf.dummyfunction("""COMPUTED_VALUE"""),339.02)</f>
        <v>339.02</v>
      </c>
      <c r="E636" s="5" t="n">
        <f aca="false">IFERROR(__xludf.dummyfunction("""COMPUTED_VALUE"""),342.66)</f>
        <v>342.66</v>
      </c>
      <c r="F636" s="5" t="n">
        <f aca="false">IFERROR(__xludf.dummyfunction("""COMPUTED_VALUE"""),20567159)</f>
        <v>20567159</v>
      </c>
    </row>
    <row r="637" customFormat="false" ht="15.75" hidden="false" customHeight="false" outlineLevel="0" collapsed="false">
      <c r="A637" s="6" t="n">
        <f aca="false">IFERROR(__xludf.dummyfunction("""COMPUTED_VALUE"""),45121.6666666667)</f>
        <v>45121.6666666667</v>
      </c>
      <c r="B637" s="5" t="n">
        <f aca="false">IFERROR(__xludf.dummyfunction("""COMPUTED_VALUE"""),347.59)</f>
        <v>347.59</v>
      </c>
      <c r="C637" s="5" t="n">
        <f aca="false">IFERROR(__xludf.dummyfunction("""COMPUTED_VALUE"""),351.43)</f>
        <v>351.43</v>
      </c>
      <c r="D637" s="5" t="n">
        <f aca="false">IFERROR(__xludf.dummyfunction("""COMPUTED_VALUE"""),344.31)</f>
        <v>344.31</v>
      </c>
      <c r="E637" s="5" t="n">
        <f aca="false">IFERROR(__xludf.dummyfunction("""COMPUTED_VALUE"""),345.24)</f>
        <v>345.24</v>
      </c>
      <c r="F637" s="5" t="n">
        <f aca="false">IFERROR(__xludf.dummyfunction("""COMPUTED_VALUE"""),28352729)</f>
        <v>28352729</v>
      </c>
    </row>
    <row r="638" customFormat="false" ht="15.75" hidden="false" customHeight="false" outlineLevel="0" collapsed="false">
      <c r="A638" s="6" t="n">
        <f aca="false">IFERROR(__xludf.dummyfunction("""COMPUTED_VALUE"""),45124.6666666667)</f>
        <v>45124.6666666667</v>
      </c>
      <c r="B638" s="5" t="n">
        <f aca="false">IFERROR(__xludf.dummyfunction("""COMPUTED_VALUE"""),345.68)</f>
        <v>345.68</v>
      </c>
      <c r="C638" s="5" t="n">
        <f aca="false">IFERROR(__xludf.dummyfunction("""COMPUTED_VALUE"""),346.99)</f>
        <v>346.99</v>
      </c>
      <c r="D638" s="5" t="n">
        <f aca="false">IFERROR(__xludf.dummyfunction("""COMPUTED_VALUE"""),342.2)</f>
        <v>342.2</v>
      </c>
      <c r="E638" s="5" t="n">
        <f aca="false">IFERROR(__xludf.dummyfunction("""COMPUTED_VALUE"""),345.73)</f>
        <v>345.73</v>
      </c>
      <c r="F638" s="5" t="n">
        <f aca="false">IFERROR(__xludf.dummyfunction("""COMPUTED_VALUE"""),20363927)</f>
        <v>20363927</v>
      </c>
    </row>
    <row r="639" customFormat="false" ht="15.75" hidden="false" customHeight="false" outlineLevel="0" collapsed="false">
      <c r="A639" s="6" t="n">
        <f aca="false">IFERROR(__xludf.dummyfunction("""COMPUTED_VALUE"""),45125.6666666667)</f>
        <v>45125.6666666667</v>
      </c>
      <c r="B639" s="5" t="n">
        <f aca="false">IFERROR(__xludf.dummyfunction("""COMPUTED_VALUE"""),345.83)</f>
        <v>345.83</v>
      </c>
      <c r="C639" s="5" t="n">
        <f aca="false">IFERROR(__xludf.dummyfunction("""COMPUTED_VALUE"""),366.78)</f>
        <v>366.78</v>
      </c>
      <c r="D639" s="5" t="n">
        <f aca="false">IFERROR(__xludf.dummyfunction("""COMPUTED_VALUE"""),342.17)</f>
        <v>342.17</v>
      </c>
      <c r="E639" s="5" t="n">
        <f aca="false">IFERROR(__xludf.dummyfunction("""COMPUTED_VALUE"""),359.49)</f>
        <v>359.49</v>
      </c>
      <c r="F639" s="5" t="n">
        <f aca="false">IFERROR(__xludf.dummyfunction("""COMPUTED_VALUE"""),64872705)</f>
        <v>64872705</v>
      </c>
    </row>
    <row r="640" customFormat="false" ht="15.75" hidden="false" customHeight="false" outlineLevel="0" collapsed="false">
      <c r="A640" s="6" t="n">
        <f aca="false">IFERROR(__xludf.dummyfunction("""COMPUTED_VALUE"""),45126.6666666667)</f>
        <v>45126.6666666667</v>
      </c>
      <c r="B640" s="5" t="n">
        <f aca="false">IFERROR(__xludf.dummyfunction("""COMPUTED_VALUE"""),361.75)</f>
        <v>361.75</v>
      </c>
      <c r="C640" s="5" t="n">
        <f aca="false">IFERROR(__xludf.dummyfunction("""COMPUTED_VALUE"""),362.46)</f>
        <v>362.46</v>
      </c>
      <c r="D640" s="5" t="n">
        <f aca="false">IFERROR(__xludf.dummyfunction("""COMPUTED_VALUE"""),352.44)</f>
        <v>352.44</v>
      </c>
      <c r="E640" s="5" t="n">
        <f aca="false">IFERROR(__xludf.dummyfunction("""COMPUTED_VALUE"""),355.08)</f>
        <v>355.08</v>
      </c>
      <c r="F640" s="5" t="n">
        <f aca="false">IFERROR(__xludf.dummyfunction("""COMPUTED_VALUE"""),39732901)</f>
        <v>39732901</v>
      </c>
    </row>
    <row r="641" customFormat="false" ht="15.75" hidden="false" customHeight="false" outlineLevel="0" collapsed="false">
      <c r="A641" s="6" t="n">
        <f aca="false">IFERROR(__xludf.dummyfunction("""COMPUTED_VALUE"""),45127.6666666667)</f>
        <v>45127.6666666667</v>
      </c>
      <c r="B641" s="5" t="n">
        <f aca="false">IFERROR(__xludf.dummyfunction("""COMPUTED_VALUE"""),353.57)</f>
        <v>353.57</v>
      </c>
      <c r="C641" s="5" t="n">
        <f aca="false">IFERROR(__xludf.dummyfunction("""COMPUTED_VALUE"""),357.97)</f>
        <v>357.97</v>
      </c>
      <c r="D641" s="5" t="n">
        <f aca="false">IFERROR(__xludf.dummyfunction("""COMPUTED_VALUE"""),345.37)</f>
        <v>345.37</v>
      </c>
      <c r="E641" s="5" t="n">
        <f aca="false">IFERROR(__xludf.dummyfunction("""COMPUTED_VALUE"""),346.87)</f>
        <v>346.87</v>
      </c>
      <c r="F641" s="5" t="n">
        <f aca="false">IFERROR(__xludf.dummyfunction("""COMPUTED_VALUE"""),33778395)</f>
        <v>33778395</v>
      </c>
    </row>
    <row r="642" customFormat="false" ht="15.75" hidden="false" customHeight="false" outlineLevel="0" collapsed="false">
      <c r="A642" s="6" t="n">
        <f aca="false">IFERROR(__xludf.dummyfunction("""COMPUTED_VALUE"""),45128.6666666667)</f>
        <v>45128.6666666667</v>
      </c>
      <c r="B642" s="5" t="n">
        <f aca="false">IFERROR(__xludf.dummyfunction("""COMPUTED_VALUE"""),349.15)</f>
        <v>349.15</v>
      </c>
      <c r="C642" s="5" t="n">
        <f aca="false">IFERROR(__xludf.dummyfunction("""COMPUTED_VALUE"""),350.3)</f>
        <v>350.3</v>
      </c>
      <c r="D642" s="5" t="n">
        <f aca="false">IFERROR(__xludf.dummyfunction("""COMPUTED_VALUE"""),339.83)</f>
        <v>339.83</v>
      </c>
      <c r="E642" s="5" t="n">
        <f aca="false">IFERROR(__xludf.dummyfunction("""COMPUTED_VALUE"""),343.77)</f>
        <v>343.77</v>
      </c>
      <c r="F642" s="5" t="n">
        <f aca="false">IFERROR(__xludf.dummyfunction("""COMPUTED_VALUE"""),69405382)</f>
        <v>69405382</v>
      </c>
    </row>
    <row r="643" customFormat="false" ht="15.75" hidden="false" customHeight="false" outlineLevel="0" collapsed="false">
      <c r="A643" s="6" t="n">
        <f aca="false">IFERROR(__xludf.dummyfunction("""COMPUTED_VALUE"""),45131.6666666667)</f>
        <v>45131.6666666667</v>
      </c>
      <c r="B643" s="5" t="n">
        <f aca="false">IFERROR(__xludf.dummyfunction("""COMPUTED_VALUE"""),345.85)</f>
        <v>345.85</v>
      </c>
      <c r="C643" s="5" t="n">
        <f aca="false">IFERROR(__xludf.dummyfunction("""COMPUTED_VALUE"""),346.92)</f>
        <v>346.92</v>
      </c>
      <c r="D643" s="5" t="n">
        <f aca="false">IFERROR(__xludf.dummyfunction("""COMPUTED_VALUE"""),342.31)</f>
        <v>342.31</v>
      </c>
      <c r="E643" s="5" t="n">
        <f aca="false">IFERROR(__xludf.dummyfunction("""COMPUTED_VALUE"""),345.11)</f>
        <v>345.11</v>
      </c>
      <c r="F643" s="5" t="n">
        <f aca="false">IFERROR(__xludf.dummyfunction("""COMPUTED_VALUE"""),26719207)</f>
        <v>26719207</v>
      </c>
    </row>
    <row r="644" customFormat="false" ht="15.75" hidden="false" customHeight="false" outlineLevel="0" collapsed="false">
      <c r="A644" s="6" t="n">
        <f aca="false">IFERROR(__xludf.dummyfunction("""COMPUTED_VALUE"""),45132.6666666667)</f>
        <v>45132.6666666667</v>
      </c>
      <c r="B644" s="5" t="n">
        <f aca="false">IFERROR(__xludf.dummyfunction("""COMPUTED_VALUE"""),347.11)</f>
        <v>347.11</v>
      </c>
      <c r="C644" s="5" t="n">
        <f aca="false">IFERROR(__xludf.dummyfunction("""COMPUTED_VALUE"""),351.89)</f>
        <v>351.89</v>
      </c>
      <c r="D644" s="5" t="n">
        <f aca="false">IFERROR(__xludf.dummyfunction("""COMPUTED_VALUE"""),345.07)</f>
        <v>345.07</v>
      </c>
      <c r="E644" s="5" t="n">
        <f aca="false">IFERROR(__xludf.dummyfunction("""COMPUTED_VALUE"""),350.98)</f>
        <v>350.98</v>
      </c>
      <c r="F644" s="5" t="n">
        <f aca="false">IFERROR(__xludf.dummyfunction("""COMPUTED_VALUE"""),41637739)</f>
        <v>41637739</v>
      </c>
    </row>
    <row r="645" customFormat="false" ht="15.75" hidden="false" customHeight="false" outlineLevel="0" collapsed="false">
      <c r="A645" s="6" t="n">
        <f aca="false">IFERROR(__xludf.dummyfunction("""COMPUTED_VALUE"""),45133.6666666667)</f>
        <v>45133.6666666667</v>
      </c>
      <c r="B645" s="5" t="n">
        <f aca="false">IFERROR(__xludf.dummyfunction("""COMPUTED_VALUE"""),341.44)</f>
        <v>341.44</v>
      </c>
      <c r="C645" s="5" t="n">
        <f aca="false">IFERROR(__xludf.dummyfunction("""COMPUTED_VALUE"""),344.67)</f>
        <v>344.67</v>
      </c>
      <c r="D645" s="5" t="n">
        <f aca="false">IFERROR(__xludf.dummyfunction("""COMPUTED_VALUE"""),333.11)</f>
        <v>333.11</v>
      </c>
      <c r="E645" s="5" t="n">
        <f aca="false">IFERROR(__xludf.dummyfunction("""COMPUTED_VALUE"""),337.77)</f>
        <v>337.77</v>
      </c>
      <c r="F645" s="5" t="n">
        <f aca="false">IFERROR(__xludf.dummyfunction("""COMPUTED_VALUE"""),58383702)</f>
        <v>58383702</v>
      </c>
    </row>
    <row r="646" customFormat="false" ht="15.75" hidden="false" customHeight="false" outlineLevel="0" collapsed="false">
      <c r="A646" s="6" t="n">
        <f aca="false">IFERROR(__xludf.dummyfunction("""COMPUTED_VALUE"""),45134.6666666667)</f>
        <v>45134.6666666667</v>
      </c>
      <c r="B646" s="5" t="n">
        <f aca="false">IFERROR(__xludf.dummyfunction("""COMPUTED_VALUE"""),340.48)</f>
        <v>340.48</v>
      </c>
      <c r="C646" s="5" t="n">
        <f aca="false">IFERROR(__xludf.dummyfunction("""COMPUTED_VALUE"""),341.33)</f>
        <v>341.33</v>
      </c>
      <c r="D646" s="5" t="n">
        <f aca="false">IFERROR(__xludf.dummyfunction("""COMPUTED_VALUE"""),329.05)</f>
        <v>329.05</v>
      </c>
      <c r="E646" s="5" t="n">
        <f aca="false">IFERROR(__xludf.dummyfunction("""COMPUTED_VALUE"""),330.72)</f>
        <v>330.72</v>
      </c>
      <c r="F646" s="5" t="n">
        <f aca="false">IFERROR(__xludf.dummyfunction("""COMPUTED_VALUE"""),39635262)</f>
        <v>39635262</v>
      </c>
    </row>
    <row r="647" customFormat="false" ht="15.75" hidden="false" customHeight="false" outlineLevel="0" collapsed="false">
      <c r="A647" s="6" t="n">
        <f aca="false">IFERROR(__xludf.dummyfunction("""COMPUTED_VALUE"""),45135.6666666667)</f>
        <v>45135.6666666667</v>
      </c>
      <c r="B647" s="5" t="n">
        <f aca="false">IFERROR(__xludf.dummyfunction("""COMPUTED_VALUE"""),333.67)</f>
        <v>333.67</v>
      </c>
      <c r="C647" s="5" t="n">
        <f aca="false">IFERROR(__xludf.dummyfunction("""COMPUTED_VALUE"""),340.01)</f>
        <v>340.01</v>
      </c>
      <c r="D647" s="5" t="n">
        <f aca="false">IFERROR(__xludf.dummyfunction("""COMPUTED_VALUE"""),333.17)</f>
        <v>333.17</v>
      </c>
      <c r="E647" s="5" t="n">
        <f aca="false">IFERROR(__xludf.dummyfunction("""COMPUTED_VALUE"""),338.37)</f>
        <v>338.37</v>
      </c>
      <c r="F647" s="5" t="n">
        <f aca="false">IFERROR(__xludf.dummyfunction("""COMPUTED_VALUE"""),28484868)</f>
        <v>28484868</v>
      </c>
    </row>
    <row r="648" customFormat="false" ht="15.75" hidden="false" customHeight="false" outlineLevel="0" collapsed="false">
      <c r="A648" s="6" t="n">
        <f aca="false">IFERROR(__xludf.dummyfunction("""COMPUTED_VALUE"""),45138.6666666667)</f>
        <v>45138.6666666667</v>
      </c>
      <c r="B648" s="5" t="n">
        <f aca="false">IFERROR(__xludf.dummyfunction("""COMPUTED_VALUE"""),336.92)</f>
        <v>336.92</v>
      </c>
      <c r="C648" s="5" t="n">
        <f aca="false">IFERROR(__xludf.dummyfunction("""COMPUTED_VALUE"""),337.7)</f>
        <v>337.7</v>
      </c>
      <c r="D648" s="5" t="n">
        <f aca="false">IFERROR(__xludf.dummyfunction("""COMPUTED_VALUE"""),333.36)</f>
        <v>333.36</v>
      </c>
      <c r="E648" s="5" t="n">
        <f aca="false">IFERROR(__xludf.dummyfunction("""COMPUTED_VALUE"""),335.92)</f>
        <v>335.92</v>
      </c>
      <c r="F648" s="5" t="n">
        <f aca="false">IFERROR(__xludf.dummyfunction("""COMPUTED_VALUE"""),25446022)</f>
        <v>25446022</v>
      </c>
    </row>
    <row r="649" customFormat="false" ht="15.75" hidden="false" customHeight="false" outlineLevel="0" collapsed="false">
      <c r="A649" s="6" t="n">
        <f aca="false">IFERROR(__xludf.dummyfunction("""COMPUTED_VALUE"""),45139.6666666667)</f>
        <v>45139.6666666667</v>
      </c>
      <c r="B649" s="5" t="n">
        <f aca="false">IFERROR(__xludf.dummyfunction("""COMPUTED_VALUE"""),335.19)</f>
        <v>335.19</v>
      </c>
      <c r="C649" s="5" t="n">
        <f aca="false">IFERROR(__xludf.dummyfunction("""COMPUTED_VALUE"""),338.54)</f>
        <v>338.54</v>
      </c>
      <c r="D649" s="5" t="n">
        <f aca="false">IFERROR(__xludf.dummyfunction("""COMPUTED_VALUE"""),333.7)</f>
        <v>333.7</v>
      </c>
      <c r="E649" s="5" t="n">
        <f aca="false">IFERROR(__xludf.dummyfunction("""COMPUTED_VALUE"""),336.34)</f>
        <v>336.34</v>
      </c>
      <c r="F649" s="5" t="n">
        <f aca="false">IFERROR(__xludf.dummyfunction("""COMPUTED_VALUE"""),18381253)</f>
        <v>18381253</v>
      </c>
    </row>
    <row r="650" customFormat="false" ht="15.75" hidden="false" customHeight="false" outlineLevel="0" collapsed="false">
      <c r="A650" s="6" t="n">
        <f aca="false">IFERROR(__xludf.dummyfunction("""COMPUTED_VALUE"""),45140.6666666667)</f>
        <v>45140.6666666667</v>
      </c>
      <c r="B650" s="5" t="n">
        <f aca="false">IFERROR(__xludf.dummyfunction("""COMPUTED_VALUE"""),333.63)</f>
        <v>333.63</v>
      </c>
      <c r="C650" s="5" t="n">
        <f aca="false">IFERROR(__xludf.dummyfunction("""COMPUTED_VALUE"""),333.63)</f>
        <v>333.63</v>
      </c>
      <c r="D650" s="5" t="n">
        <f aca="false">IFERROR(__xludf.dummyfunction("""COMPUTED_VALUE"""),326.36)</f>
        <v>326.36</v>
      </c>
      <c r="E650" s="5" t="n">
        <f aca="false">IFERROR(__xludf.dummyfunction("""COMPUTED_VALUE"""),327.5)</f>
        <v>327.5</v>
      </c>
      <c r="F650" s="5" t="n">
        <f aca="false">IFERROR(__xludf.dummyfunction("""COMPUTED_VALUE"""),27761257)</f>
        <v>27761257</v>
      </c>
    </row>
    <row r="651" customFormat="false" ht="15.75" hidden="false" customHeight="false" outlineLevel="0" collapsed="false">
      <c r="A651" s="6" t="n">
        <f aca="false">IFERROR(__xludf.dummyfunction("""COMPUTED_VALUE"""),45141.6666666667)</f>
        <v>45141.6666666667</v>
      </c>
      <c r="B651" s="5" t="n">
        <f aca="false">IFERROR(__xludf.dummyfunction("""COMPUTED_VALUE"""),326)</f>
        <v>326</v>
      </c>
      <c r="C651" s="5" t="n">
        <f aca="false">IFERROR(__xludf.dummyfunction("""COMPUTED_VALUE"""),329.88)</f>
        <v>329.88</v>
      </c>
      <c r="D651" s="5" t="n">
        <f aca="false">IFERROR(__xludf.dummyfunction("""COMPUTED_VALUE"""),325.95)</f>
        <v>325.95</v>
      </c>
      <c r="E651" s="5" t="n">
        <f aca="false">IFERROR(__xludf.dummyfunction("""COMPUTED_VALUE"""),326.66)</f>
        <v>326.66</v>
      </c>
      <c r="F651" s="5" t="n">
        <f aca="false">IFERROR(__xludf.dummyfunction("""COMPUTED_VALUE"""),18360352)</f>
        <v>18360352</v>
      </c>
    </row>
    <row r="652" customFormat="false" ht="15.75" hidden="false" customHeight="false" outlineLevel="0" collapsed="false">
      <c r="A652" s="6" t="n">
        <f aca="false">IFERROR(__xludf.dummyfunction("""COMPUTED_VALUE"""),45142.6666666667)</f>
        <v>45142.6666666667</v>
      </c>
      <c r="B652" s="5" t="n">
        <f aca="false">IFERROR(__xludf.dummyfunction("""COMPUTED_VALUE"""),331.88)</f>
        <v>331.88</v>
      </c>
      <c r="C652" s="5" t="n">
        <f aca="false">IFERROR(__xludf.dummyfunction("""COMPUTED_VALUE"""),335.14)</f>
        <v>335.14</v>
      </c>
      <c r="D652" s="5" t="n">
        <f aca="false">IFERROR(__xludf.dummyfunction("""COMPUTED_VALUE"""),327.24)</f>
        <v>327.24</v>
      </c>
      <c r="E652" s="5" t="n">
        <f aca="false">IFERROR(__xludf.dummyfunction("""COMPUTED_VALUE"""),327.78)</f>
        <v>327.78</v>
      </c>
      <c r="F652" s="5" t="n">
        <f aca="false">IFERROR(__xludf.dummyfunction("""COMPUTED_VALUE"""),23741484)</f>
        <v>23741484</v>
      </c>
    </row>
    <row r="653" customFormat="false" ht="15.75" hidden="false" customHeight="false" outlineLevel="0" collapsed="false">
      <c r="A653" s="6" t="n">
        <f aca="false">IFERROR(__xludf.dummyfunction("""COMPUTED_VALUE"""),45145.6666666667)</f>
        <v>45145.6666666667</v>
      </c>
      <c r="B653" s="5" t="n">
        <f aca="false">IFERROR(__xludf.dummyfunction("""COMPUTED_VALUE"""),328.37)</f>
        <v>328.37</v>
      </c>
      <c r="C653" s="5" t="n">
        <f aca="false">IFERROR(__xludf.dummyfunction("""COMPUTED_VALUE"""),331.11)</f>
        <v>331.11</v>
      </c>
      <c r="D653" s="5" t="n">
        <f aca="false">IFERROR(__xludf.dummyfunction("""COMPUTED_VALUE"""),327.52)</f>
        <v>327.52</v>
      </c>
      <c r="E653" s="5" t="n">
        <f aca="false">IFERROR(__xludf.dummyfunction("""COMPUTED_VALUE"""),330.11)</f>
        <v>330.11</v>
      </c>
      <c r="F653" s="5" t="n">
        <f aca="false">IFERROR(__xludf.dummyfunction("""COMPUTED_VALUE"""),17741526)</f>
        <v>17741526</v>
      </c>
    </row>
    <row r="654" customFormat="false" ht="15.75" hidden="false" customHeight="false" outlineLevel="0" collapsed="false">
      <c r="A654" s="6" t="n">
        <f aca="false">IFERROR(__xludf.dummyfunction("""COMPUTED_VALUE"""),45146.6666666667)</f>
        <v>45146.6666666667</v>
      </c>
      <c r="B654" s="5" t="n">
        <f aca="false">IFERROR(__xludf.dummyfunction("""COMPUTED_VALUE"""),326.96)</f>
        <v>326.96</v>
      </c>
      <c r="C654" s="5" t="n">
        <f aca="false">IFERROR(__xludf.dummyfunction("""COMPUTED_VALUE"""),328.75)</f>
        <v>328.75</v>
      </c>
      <c r="D654" s="5" t="n">
        <f aca="false">IFERROR(__xludf.dummyfunction("""COMPUTED_VALUE"""),323)</f>
        <v>323</v>
      </c>
      <c r="E654" s="5" t="n">
        <f aca="false">IFERROR(__xludf.dummyfunction("""COMPUTED_VALUE"""),326.05)</f>
        <v>326.05</v>
      </c>
      <c r="F654" s="5" t="n">
        <f aca="false">IFERROR(__xludf.dummyfunction("""COMPUTED_VALUE"""),22327574)</f>
        <v>22327574</v>
      </c>
    </row>
    <row r="655" customFormat="false" ht="15.75" hidden="false" customHeight="false" outlineLevel="0" collapsed="false">
      <c r="A655" s="6" t="n">
        <f aca="false">IFERROR(__xludf.dummyfunction("""COMPUTED_VALUE"""),45147.6666666667)</f>
        <v>45147.6666666667</v>
      </c>
      <c r="B655" s="5" t="n">
        <f aca="false">IFERROR(__xludf.dummyfunction("""COMPUTED_VALUE"""),326.47)</f>
        <v>326.47</v>
      </c>
      <c r="C655" s="5" t="n">
        <f aca="false">IFERROR(__xludf.dummyfunction("""COMPUTED_VALUE"""),327.11)</f>
        <v>327.11</v>
      </c>
      <c r="D655" s="5" t="n">
        <f aca="false">IFERROR(__xludf.dummyfunction("""COMPUTED_VALUE"""),321.05)</f>
        <v>321.05</v>
      </c>
      <c r="E655" s="5" t="n">
        <f aca="false">IFERROR(__xludf.dummyfunction("""COMPUTED_VALUE"""),322.23)</f>
        <v>322.23</v>
      </c>
      <c r="F655" s="5" t="n">
        <f aca="false">IFERROR(__xludf.dummyfunction("""COMPUTED_VALUE"""),22373268)</f>
        <v>22373268</v>
      </c>
    </row>
    <row r="656" customFormat="false" ht="15.75" hidden="false" customHeight="false" outlineLevel="0" collapsed="false">
      <c r="A656" s="6" t="n">
        <f aca="false">IFERROR(__xludf.dummyfunction("""COMPUTED_VALUE"""),45148.6666666667)</f>
        <v>45148.6666666667</v>
      </c>
      <c r="B656" s="5" t="n">
        <f aca="false">IFERROR(__xludf.dummyfunction("""COMPUTED_VALUE"""),326.02)</f>
        <v>326.02</v>
      </c>
      <c r="C656" s="5" t="n">
        <f aca="false">IFERROR(__xludf.dummyfunction("""COMPUTED_VALUE"""),328.26)</f>
        <v>328.26</v>
      </c>
      <c r="D656" s="5" t="n">
        <f aca="false">IFERROR(__xludf.dummyfunction("""COMPUTED_VALUE"""),321.18)</f>
        <v>321.18</v>
      </c>
      <c r="E656" s="5" t="n">
        <f aca="false">IFERROR(__xludf.dummyfunction("""COMPUTED_VALUE"""),322.93)</f>
        <v>322.93</v>
      </c>
      <c r="F656" s="5" t="n">
        <f aca="false">IFERROR(__xludf.dummyfunction("""COMPUTED_VALUE"""),20113725)</f>
        <v>20113725</v>
      </c>
    </row>
    <row r="657" customFormat="false" ht="15.75" hidden="false" customHeight="false" outlineLevel="0" collapsed="false">
      <c r="A657" s="6" t="n">
        <f aca="false">IFERROR(__xludf.dummyfunction("""COMPUTED_VALUE"""),45149.6666666667)</f>
        <v>45149.6666666667</v>
      </c>
      <c r="B657" s="5" t="n">
        <f aca="false">IFERROR(__xludf.dummyfunction("""COMPUTED_VALUE"""),320.26)</f>
        <v>320.26</v>
      </c>
      <c r="C657" s="5" t="n">
        <f aca="false">IFERROR(__xludf.dummyfunction("""COMPUTED_VALUE"""),322.41)</f>
        <v>322.41</v>
      </c>
      <c r="D657" s="5" t="n">
        <f aca="false">IFERROR(__xludf.dummyfunction("""COMPUTED_VALUE"""),319.21)</f>
        <v>319.21</v>
      </c>
      <c r="E657" s="5" t="n">
        <f aca="false">IFERROR(__xludf.dummyfunction("""COMPUTED_VALUE"""),321.01)</f>
        <v>321.01</v>
      </c>
      <c r="F657" s="5" t="n">
        <f aca="false">IFERROR(__xludf.dummyfunction("""COMPUTED_VALUE"""),24355491)</f>
        <v>24355491</v>
      </c>
    </row>
    <row r="658" customFormat="false" ht="15.75" hidden="false" customHeight="false" outlineLevel="0" collapsed="false">
      <c r="A658" s="6" t="n">
        <f aca="false">IFERROR(__xludf.dummyfunction("""COMPUTED_VALUE"""),45152.6666666667)</f>
        <v>45152.6666666667</v>
      </c>
      <c r="B658" s="5" t="n">
        <f aca="false">IFERROR(__xludf.dummyfunction("""COMPUTED_VALUE"""),321.39)</f>
        <v>321.39</v>
      </c>
      <c r="C658" s="5" t="n">
        <f aca="false">IFERROR(__xludf.dummyfunction("""COMPUTED_VALUE"""),324.06)</f>
        <v>324.06</v>
      </c>
      <c r="D658" s="5" t="n">
        <f aca="false">IFERROR(__xludf.dummyfunction("""COMPUTED_VALUE"""),320.08)</f>
        <v>320.08</v>
      </c>
      <c r="E658" s="5" t="n">
        <f aca="false">IFERROR(__xludf.dummyfunction("""COMPUTED_VALUE"""),324.04)</f>
        <v>324.04</v>
      </c>
      <c r="F658" s="5" t="n">
        <f aca="false">IFERROR(__xludf.dummyfunction("""COMPUTED_VALUE"""),18836139)</f>
        <v>18836139</v>
      </c>
    </row>
    <row r="659" customFormat="false" ht="15.75" hidden="false" customHeight="false" outlineLevel="0" collapsed="false">
      <c r="A659" s="6" t="n">
        <f aca="false">IFERROR(__xludf.dummyfunction("""COMPUTED_VALUE"""),45153.6666666667)</f>
        <v>45153.6666666667</v>
      </c>
      <c r="B659" s="5" t="n">
        <f aca="false">IFERROR(__xludf.dummyfunction("""COMPUTED_VALUE"""),323)</f>
        <v>323</v>
      </c>
      <c r="C659" s="5" t="n">
        <f aca="false">IFERROR(__xludf.dummyfunction("""COMPUTED_VALUE"""),325.09)</f>
        <v>325.09</v>
      </c>
      <c r="D659" s="5" t="n">
        <f aca="false">IFERROR(__xludf.dummyfunction("""COMPUTED_VALUE"""),320.9)</f>
        <v>320.9</v>
      </c>
      <c r="E659" s="5" t="n">
        <f aca="false">IFERROR(__xludf.dummyfunction("""COMPUTED_VALUE"""),321.86)</f>
        <v>321.86</v>
      </c>
      <c r="F659" s="5" t="n">
        <f aca="false">IFERROR(__xludf.dummyfunction("""COMPUTED_VALUE"""),16966285)</f>
        <v>16966285</v>
      </c>
    </row>
    <row r="660" customFormat="false" ht="15.75" hidden="false" customHeight="false" outlineLevel="0" collapsed="false">
      <c r="A660" s="6" t="n">
        <f aca="false">IFERROR(__xludf.dummyfunction("""COMPUTED_VALUE"""),45154.6666666667)</f>
        <v>45154.6666666667</v>
      </c>
      <c r="B660" s="5" t="n">
        <f aca="false">IFERROR(__xludf.dummyfunction("""COMPUTED_VALUE"""),320.8)</f>
        <v>320.8</v>
      </c>
      <c r="C660" s="5" t="n">
        <f aca="false">IFERROR(__xludf.dummyfunction("""COMPUTED_VALUE"""),324.42)</f>
        <v>324.42</v>
      </c>
      <c r="D660" s="5" t="n">
        <f aca="false">IFERROR(__xludf.dummyfunction("""COMPUTED_VALUE"""),319.8)</f>
        <v>319.8</v>
      </c>
      <c r="E660" s="5" t="n">
        <f aca="false">IFERROR(__xludf.dummyfunction("""COMPUTED_VALUE"""),320.4)</f>
        <v>320.4</v>
      </c>
      <c r="F660" s="5" t="n">
        <f aca="false">IFERROR(__xludf.dummyfunction("""COMPUTED_VALUE"""),20698864)</f>
        <v>20698864</v>
      </c>
    </row>
    <row r="661" customFormat="false" ht="15.75" hidden="false" customHeight="false" outlineLevel="0" collapsed="false">
      <c r="A661" s="6" t="n">
        <f aca="false">IFERROR(__xludf.dummyfunction("""COMPUTED_VALUE"""),45155.6666666667)</f>
        <v>45155.6666666667</v>
      </c>
      <c r="B661" s="5" t="n">
        <f aca="false">IFERROR(__xludf.dummyfunction("""COMPUTED_VALUE"""),320.54)</f>
        <v>320.54</v>
      </c>
      <c r="C661" s="5" t="n">
        <f aca="false">IFERROR(__xludf.dummyfunction("""COMPUTED_VALUE"""),321.87)</f>
        <v>321.87</v>
      </c>
      <c r="D661" s="5" t="n">
        <f aca="false">IFERROR(__xludf.dummyfunction("""COMPUTED_VALUE"""),316.21)</f>
        <v>316.21</v>
      </c>
      <c r="E661" s="5" t="n">
        <f aca="false">IFERROR(__xludf.dummyfunction("""COMPUTED_VALUE"""),316.88)</f>
        <v>316.88</v>
      </c>
      <c r="F661" s="5" t="n">
        <f aca="false">IFERROR(__xludf.dummyfunction("""COMPUTED_VALUE"""),21257161)</f>
        <v>21257161</v>
      </c>
    </row>
    <row r="662" customFormat="false" ht="15.75" hidden="false" customHeight="false" outlineLevel="0" collapsed="false">
      <c r="A662" s="6" t="n">
        <f aca="false">IFERROR(__xludf.dummyfunction("""COMPUTED_VALUE"""),45156.6666666667)</f>
        <v>45156.6666666667</v>
      </c>
      <c r="B662" s="5" t="n">
        <f aca="false">IFERROR(__xludf.dummyfunction("""COMPUTED_VALUE"""),314.49)</f>
        <v>314.49</v>
      </c>
      <c r="C662" s="5" t="n">
        <f aca="false">IFERROR(__xludf.dummyfunction("""COMPUTED_VALUE"""),318.38)</f>
        <v>318.38</v>
      </c>
      <c r="D662" s="5" t="n">
        <f aca="false">IFERROR(__xludf.dummyfunction("""COMPUTED_VALUE"""),311.55)</f>
        <v>311.55</v>
      </c>
      <c r="E662" s="5" t="n">
        <f aca="false">IFERROR(__xludf.dummyfunction("""COMPUTED_VALUE"""),316.48)</f>
        <v>316.48</v>
      </c>
      <c r="F662" s="5" t="n">
        <f aca="false">IFERROR(__xludf.dummyfunction("""COMPUTED_VALUE"""),24755012)</f>
        <v>24755012</v>
      </c>
    </row>
    <row r="663" customFormat="false" ht="15.75" hidden="false" customHeight="false" outlineLevel="0" collapsed="false">
      <c r="A663" s="6" t="n">
        <f aca="false">IFERROR(__xludf.dummyfunction("""COMPUTED_VALUE"""),45159.6666666667)</f>
        <v>45159.6666666667</v>
      </c>
      <c r="B663" s="5" t="n">
        <f aca="false">IFERROR(__xludf.dummyfunction("""COMPUTED_VALUE"""),317.93)</f>
        <v>317.93</v>
      </c>
      <c r="C663" s="5" t="n">
        <f aca="false">IFERROR(__xludf.dummyfunction("""COMPUTED_VALUE"""),322.77)</f>
        <v>322.77</v>
      </c>
      <c r="D663" s="5" t="n">
        <f aca="false">IFERROR(__xludf.dummyfunction("""COMPUTED_VALUE"""),317.04)</f>
        <v>317.04</v>
      </c>
      <c r="E663" s="5" t="n">
        <f aca="false">IFERROR(__xludf.dummyfunction("""COMPUTED_VALUE"""),321.88)</f>
        <v>321.88</v>
      </c>
      <c r="F663" s="5" t="n">
        <f aca="false">IFERROR(__xludf.dummyfunction("""COMPUTED_VALUE"""),24039956)</f>
        <v>24039956</v>
      </c>
    </row>
    <row r="664" customFormat="false" ht="15.75" hidden="false" customHeight="false" outlineLevel="0" collapsed="false">
      <c r="A664" s="6" t="n">
        <f aca="false">IFERROR(__xludf.dummyfunction("""COMPUTED_VALUE"""),45160.6666666667)</f>
        <v>45160.6666666667</v>
      </c>
      <c r="B664" s="5" t="n">
        <f aca="false">IFERROR(__xludf.dummyfunction("""COMPUTED_VALUE"""),325.5)</f>
        <v>325.5</v>
      </c>
      <c r="C664" s="5" t="n">
        <f aca="false">IFERROR(__xludf.dummyfunction("""COMPUTED_VALUE"""),326.08)</f>
        <v>326.08</v>
      </c>
      <c r="D664" s="5" t="n">
        <f aca="false">IFERROR(__xludf.dummyfunction("""COMPUTED_VALUE"""),321.46)</f>
        <v>321.46</v>
      </c>
      <c r="E664" s="5" t="n">
        <f aca="false">IFERROR(__xludf.dummyfunction("""COMPUTED_VALUE"""),322.46)</f>
        <v>322.46</v>
      </c>
      <c r="F664" s="5" t="n">
        <f aca="false">IFERROR(__xludf.dummyfunction("""COMPUTED_VALUE"""),16102024)</f>
        <v>16102024</v>
      </c>
    </row>
    <row r="665" customFormat="false" ht="15.75" hidden="false" customHeight="false" outlineLevel="0" collapsed="false">
      <c r="A665" s="6" t="n">
        <f aca="false">IFERROR(__xludf.dummyfunction("""COMPUTED_VALUE"""),45161.6666666667)</f>
        <v>45161.6666666667</v>
      </c>
      <c r="B665" s="5" t="n">
        <f aca="false">IFERROR(__xludf.dummyfunction("""COMPUTED_VALUE"""),323.82)</f>
        <v>323.82</v>
      </c>
      <c r="C665" s="5" t="n">
        <f aca="false">IFERROR(__xludf.dummyfunction("""COMPUTED_VALUE"""),329.2)</f>
        <v>329.2</v>
      </c>
      <c r="D665" s="5" t="n">
        <f aca="false">IFERROR(__xludf.dummyfunction("""COMPUTED_VALUE"""),323.46)</f>
        <v>323.46</v>
      </c>
      <c r="E665" s="5" t="n">
        <f aca="false">IFERROR(__xludf.dummyfunction("""COMPUTED_VALUE"""),327)</f>
        <v>327</v>
      </c>
      <c r="F665" s="5" t="n">
        <f aca="false">IFERROR(__xludf.dummyfunction("""COMPUTED_VALUE"""),21166382)</f>
        <v>21166382</v>
      </c>
    </row>
    <row r="666" customFormat="false" ht="15.75" hidden="false" customHeight="false" outlineLevel="0" collapsed="false">
      <c r="A666" s="6" t="n">
        <f aca="false">IFERROR(__xludf.dummyfunction("""COMPUTED_VALUE"""),45162.6666666667)</f>
        <v>45162.6666666667</v>
      </c>
      <c r="B666" s="5" t="n">
        <f aca="false">IFERROR(__xludf.dummyfunction("""COMPUTED_VALUE"""),332.85)</f>
        <v>332.85</v>
      </c>
      <c r="C666" s="5" t="n">
        <f aca="false">IFERROR(__xludf.dummyfunction("""COMPUTED_VALUE"""),332.98)</f>
        <v>332.98</v>
      </c>
      <c r="D666" s="5" t="n">
        <f aca="false">IFERROR(__xludf.dummyfunction("""COMPUTED_VALUE"""),319.96)</f>
        <v>319.96</v>
      </c>
      <c r="E666" s="5" t="n">
        <f aca="false">IFERROR(__xludf.dummyfunction("""COMPUTED_VALUE"""),319.97)</f>
        <v>319.97</v>
      </c>
      <c r="F666" s="5" t="n">
        <f aca="false">IFERROR(__xludf.dummyfunction("""COMPUTED_VALUE"""),23281434)</f>
        <v>23281434</v>
      </c>
    </row>
    <row r="667" customFormat="false" ht="15.75" hidden="false" customHeight="false" outlineLevel="0" collapsed="false">
      <c r="A667" s="6" t="n">
        <f aca="false">IFERROR(__xludf.dummyfunction("""COMPUTED_VALUE"""),45163.6666666667)</f>
        <v>45163.6666666667</v>
      </c>
      <c r="B667" s="5" t="n">
        <f aca="false">IFERROR(__xludf.dummyfunction("""COMPUTED_VALUE"""),321.47)</f>
        <v>321.47</v>
      </c>
      <c r="C667" s="5" t="n">
        <f aca="false">IFERROR(__xludf.dummyfunction("""COMPUTED_VALUE"""),325.36)</f>
        <v>325.36</v>
      </c>
      <c r="D667" s="5" t="n">
        <f aca="false">IFERROR(__xludf.dummyfunction("""COMPUTED_VALUE"""),318.8)</f>
        <v>318.8</v>
      </c>
      <c r="E667" s="5" t="n">
        <f aca="false">IFERROR(__xludf.dummyfunction("""COMPUTED_VALUE"""),322.98)</f>
        <v>322.98</v>
      </c>
      <c r="F667" s="5" t="n">
        <f aca="false">IFERROR(__xludf.dummyfunction("""COMPUTED_VALUE"""),21684104)</f>
        <v>21684104</v>
      </c>
    </row>
    <row r="668" customFormat="false" ht="15.75" hidden="false" customHeight="false" outlineLevel="0" collapsed="false">
      <c r="A668" s="6" t="n">
        <f aca="false">IFERROR(__xludf.dummyfunction("""COMPUTED_VALUE"""),45166.6666666667)</f>
        <v>45166.6666666667</v>
      </c>
      <c r="B668" s="5" t="n">
        <f aca="false">IFERROR(__xludf.dummyfunction("""COMPUTED_VALUE"""),325.66)</f>
        <v>325.66</v>
      </c>
      <c r="C668" s="5" t="n">
        <f aca="false">IFERROR(__xludf.dummyfunction("""COMPUTED_VALUE"""),326.15)</f>
        <v>326.15</v>
      </c>
      <c r="D668" s="5" t="n">
        <f aca="false">IFERROR(__xludf.dummyfunction("""COMPUTED_VALUE"""),321.72)</f>
        <v>321.72</v>
      </c>
      <c r="E668" s="5" t="n">
        <f aca="false">IFERROR(__xludf.dummyfunction("""COMPUTED_VALUE"""),323.7)</f>
        <v>323.7</v>
      </c>
      <c r="F668" s="5" t="n">
        <f aca="false">IFERROR(__xludf.dummyfunction("""COMPUTED_VALUE"""),14808482)</f>
        <v>14808482</v>
      </c>
    </row>
    <row r="669" customFormat="false" ht="15.75" hidden="false" customHeight="false" outlineLevel="0" collapsed="false">
      <c r="A669" s="6" t="n">
        <f aca="false">IFERROR(__xludf.dummyfunction("""COMPUTED_VALUE"""),45167.6666666667)</f>
        <v>45167.6666666667</v>
      </c>
      <c r="B669" s="5" t="n">
        <f aca="false">IFERROR(__xludf.dummyfunction("""COMPUTED_VALUE"""),321.88)</f>
        <v>321.88</v>
      </c>
      <c r="C669" s="5" t="n">
        <f aca="false">IFERROR(__xludf.dummyfunction("""COMPUTED_VALUE"""),328.98)</f>
        <v>328.98</v>
      </c>
      <c r="D669" s="5" t="n">
        <f aca="false">IFERROR(__xludf.dummyfunction("""COMPUTED_VALUE"""),321.88)</f>
        <v>321.88</v>
      </c>
      <c r="E669" s="5" t="n">
        <f aca="false">IFERROR(__xludf.dummyfunction("""COMPUTED_VALUE"""),328.41)</f>
        <v>328.41</v>
      </c>
      <c r="F669" s="5" t="n">
        <f aca="false">IFERROR(__xludf.dummyfunction("""COMPUTED_VALUE"""),19284590)</f>
        <v>19284590</v>
      </c>
    </row>
    <row r="670" customFormat="false" ht="15.75" hidden="false" customHeight="false" outlineLevel="0" collapsed="false">
      <c r="A670" s="6" t="n">
        <f aca="false">IFERROR(__xludf.dummyfunction("""COMPUTED_VALUE"""),45168.6666666667)</f>
        <v>45168.6666666667</v>
      </c>
      <c r="B670" s="5" t="n">
        <f aca="false">IFERROR(__xludf.dummyfunction("""COMPUTED_VALUE"""),328.67)</f>
        <v>328.67</v>
      </c>
      <c r="C670" s="5" t="n">
        <f aca="false">IFERROR(__xludf.dummyfunction("""COMPUTED_VALUE"""),329.81)</f>
        <v>329.81</v>
      </c>
      <c r="D670" s="5" t="n">
        <f aca="false">IFERROR(__xludf.dummyfunction("""COMPUTED_VALUE"""),326.45)</f>
        <v>326.45</v>
      </c>
      <c r="E670" s="5" t="n">
        <f aca="false">IFERROR(__xludf.dummyfunction("""COMPUTED_VALUE"""),328.79)</f>
        <v>328.79</v>
      </c>
      <c r="F670" s="5" t="n">
        <f aca="false">IFERROR(__xludf.dummyfunction("""COMPUTED_VALUE"""),15222110)</f>
        <v>15222110</v>
      </c>
    </row>
    <row r="671" customFormat="false" ht="15.75" hidden="false" customHeight="false" outlineLevel="0" collapsed="false">
      <c r="A671" s="6" t="n">
        <f aca="false">IFERROR(__xludf.dummyfunction("""COMPUTED_VALUE"""),45169.6666666667)</f>
        <v>45169.6666666667</v>
      </c>
      <c r="B671" s="5" t="n">
        <f aca="false">IFERROR(__xludf.dummyfunction("""COMPUTED_VALUE"""),329.2)</f>
        <v>329.2</v>
      </c>
      <c r="C671" s="5" t="n">
        <f aca="false">IFERROR(__xludf.dummyfunction("""COMPUTED_VALUE"""),330.91)</f>
        <v>330.91</v>
      </c>
      <c r="D671" s="5" t="n">
        <f aca="false">IFERROR(__xludf.dummyfunction("""COMPUTED_VALUE"""),326.78)</f>
        <v>326.78</v>
      </c>
      <c r="E671" s="5" t="n">
        <f aca="false">IFERROR(__xludf.dummyfunction("""COMPUTED_VALUE"""),327.76)</f>
        <v>327.76</v>
      </c>
      <c r="F671" s="5" t="n">
        <f aca="false">IFERROR(__xludf.dummyfunction("""COMPUTED_VALUE"""),26410954)</f>
        <v>26410954</v>
      </c>
    </row>
    <row r="672" customFormat="false" ht="15.75" hidden="false" customHeight="false" outlineLevel="0" collapsed="false">
      <c r="A672" s="6" t="n">
        <f aca="false">IFERROR(__xludf.dummyfunction("""COMPUTED_VALUE"""),45170.6666666667)</f>
        <v>45170.6666666667</v>
      </c>
      <c r="B672" s="5" t="n">
        <f aca="false">IFERROR(__xludf.dummyfunction("""COMPUTED_VALUE"""),331.31)</f>
        <v>331.31</v>
      </c>
      <c r="C672" s="5" t="n">
        <f aca="false">IFERROR(__xludf.dummyfunction("""COMPUTED_VALUE"""),331.99)</f>
        <v>331.99</v>
      </c>
      <c r="D672" s="5" t="n">
        <f aca="false">IFERROR(__xludf.dummyfunction("""COMPUTED_VALUE"""),326.78)</f>
        <v>326.78</v>
      </c>
      <c r="E672" s="5" t="n">
        <f aca="false">IFERROR(__xludf.dummyfunction("""COMPUTED_VALUE"""),328.66)</f>
        <v>328.66</v>
      </c>
      <c r="F672" s="5" t="n">
        <f aca="false">IFERROR(__xludf.dummyfunction("""COMPUTED_VALUE"""),14942024)</f>
        <v>14942024</v>
      </c>
    </row>
    <row r="673" customFormat="false" ht="15.75" hidden="false" customHeight="false" outlineLevel="0" collapsed="false">
      <c r="A673" s="6" t="n">
        <f aca="false">IFERROR(__xludf.dummyfunction("""COMPUTED_VALUE"""),45174.6666666667)</f>
        <v>45174.6666666667</v>
      </c>
      <c r="B673" s="5" t="n">
        <f aca="false">IFERROR(__xludf.dummyfunction("""COMPUTED_VALUE"""),329)</f>
        <v>329</v>
      </c>
      <c r="C673" s="5" t="n">
        <f aca="false">IFERROR(__xludf.dummyfunction("""COMPUTED_VALUE"""),334.85)</f>
        <v>334.85</v>
      </c>
      <c r="D673" s="5" t="n">
        <f aca="false">IFERROR(__xludf.dummyfunction("""COMPUTED_VALUE"""),328.66)</f>
        <v>328.66</v>
      </c>
      <c r="E673" s="5" t="n">
        <f aca="false">IFERROR(__xludf.dummyfunction("""COMPUTED_VALUE"""),333.55)</f>
        <v>333.55</v>
      </c>
      <c r="F673" s="5" t="n">
        <f aca="false">IFERROR(__xludf.dummyfunction("""COMPUTED_VALUE"""),18553859)</f>
        <v>18553859</v>
      </c>
    </row>
    <row r="674" customFormat="false" ht="15.75" hidden="false" customHeight="false" outlineLevel="0" collapsed="false">
      <c r="A674" s="6" t="n">
        <f aca="false">IFERROR(__xludf.dummyfunction("""COMPUTED_VALUE"""),45175.6666666667)</f>
        <v>45175.6666666667</v>
      </c>
      <c r="B674" s="5" t="n">
        <f aca="false">IFERROR(__xludf.dummyfunction("""COMPUTED_VALUE"""),333.38)</f>
        <v>333.38</v>
      </c>
      <c r="C674" s="5" t="n">
        <f aca="false">IFERROR(__xludf.dummyfunction("""COMPUTED_VALUE"""),334.46)</f>
        <v>334.46</v>
      </c>
      <c r="D674" s="5" t="n">
        <f aca="false">IFERROR(__xludf.dummyfunction("""COMPUTED_VALUE"""),330.18)</f>
        <v>330.18</v>
      </c>
      <c r="E674" s="5" t="n">
        <f aca="false">IFERROR(__xludf.dummyfunction("""COMPUTED_VALUE"""),332.88)</f>
        <v>332.88</v>
      </c>
      <c r="F674" s="5" t="n">
        <f aca="false">IFERROR(__xludf.dummyfunction("""COMPUTED_VALUE"""),17535773)</f>
        <v>17535773</v>
      </c>
    </row>
    <row r="675" customFormat="false" ht="15.75" hidden="false" customHeight="false" outlineLevel="0" collapsed="false">
      <c r="A675" s="6" t="n">
        <f aca="false">IFERROR(__xludf.dummyfunction("""COMPUTED_VALUE"""),45176.6666666667)</f>
        <v>45176.6666666667</v>
      </c>
      <c r="B675" s="5" t="n">
        <f aca="false">IFERROR(__xludf.dummyfunction("""COMPUTED_VALUE"""),331.29)</f>
        <v>331.29</v>
      </c>
      <c r="C675" s="5" t="n">
        <f aca="false">IFERROR(__xludf.dummyfunction("""COMPUTED_VALUE"""),333.08)</f>
        <v>333.08</v>
      </c>
      <c r="D675" s="5" t="n">
        <f aca="false">IFERROR(__xludf.dummyfunction("""COMPUTED_VALUE"""),329.03)</f>
        <v>329.03</v>
      </c>
      <c r="E675" s="5" t="n">
        <f aca="false">IFERROR(__xludf.dummyfunction("""COMPUTED_VALUE"""),329.91)</f>
        <v>329.91</v>
      </c>
      <c r="F675" s="5" t="n">
        <f aca="false">IFERROR(__xludf.dummyfunction("""COMPUTED_VALUE"""),18380995)</f>
        <v>18380995</v>
      </c>
    </row>
    <row r="676" customFormat="false" ht="15.75" hidden="false" customHeight="false" outlineLevel="0" collapsed="false">
      <c r="A676" s="6" t="n">
        <f aca="false">IFERROR(__xludf.dummyfunction("""COMPUTED_VALUE"""),45177.6666666667)</f>
        <v>45177.6666666667</v>
      </c>
      <c r="B676" s="5" t="n">
        <f aca="false">IFERROR(__xludf.dummyfunction("""COMPUTED_VALUE"""),330.09)</f>
        <v>330.09</v>
      </c>
      <c r="C676" s="5" t="n">
        <f aca="false">IFERROR(__xludf.dummyfunction("""COMPUTED_VALUE"""),336.16)</f>
        <v>336.16</v>
      </c>
      <c r="D676" s="5" t="n">
        <f aca="false">IFERROR(__xludf.dummyfunction("""COMPUTED_VALUE"""),329.46)</f>
        <v>329.46</v>
      </c>
      <c r="E676" s="5" t="n">
        <f aca="false">IFERROR(__xludf.dummyfunction("""COMPUTED_VALUE"""),334.27)</f>
        <v>334.27</v>
      </c>
      <c r="F676" s="5" t="n">
        <f aca="false">IFERROR(__xludf.dummyfunction("""COMPUTED_VALUE"""),19548165)</f>
        <v>19548165</v>
      </c>
    </row>
    <row r="677" customFormat="false" ht="15.75" hidden="false" customHeight="false" outlineLevel="0" collapsed="false">
      <c r="A677" s="6" t="n">
        <f aca="false">IFERROR(__xludf.dummyfunction("""COMPUTED_VALUE"""),45180.6666666667)</f>
        <v>45180.6666666667</v>
      </c>
      <c r="B677" s="5" t="n">
        <f aca="false">IFERROR(__xludf.dummyfunction("""COMPUTED_VALUE"""),337.24)</f>
        <v>337.24</v>
      </c>
      <c r="C677" s="5" t="n">
        <f aca="false">IFERROR(__xludf.dummyfunction("""COMPUTED_VALUE"""),338.42)</f>
        <v>338.42</v>
      </c>
      <c r="D677" s="5" t="n">
        <f aca="false">IFERROR(__xludf.dummyfunction("""COMPUTED_VALUE"""),335.43)</f>
        <v>335.43</v>
      </c>
      <c r="E677" s="5" t="n">
        <f aca="false">IFERROR(__xludf.dummyfunction("""COMPUTED_VALUE"""),337.94)</f>
        <v>337.94</v>
      </c>
      <c r="F677" s="5" t="n">
        <f aca="false">IFERROR(__xludf.dummyfunction("""COMPUTED_VALUE"""),16583324)</f>
        <v>16583324</v>
      </c>
    </row>
    <row r="678" customFormat="false" ht="15.75" hidden="false" customHeight="false" outlineLevel="0" collapsed="false">
      <c r="A678" s="6" t="n">
        <f aca="false">IFERROR(__xludf.dummyfunction("""COMPUTED_VALUE"""),45181.6666666667)</f>
        <v>45181.6666666667</v>
      </c>
      <c r="B678" s="5" t="n">
        <f aca="false">IFERROR(__xludf.dummyfunction("""COMPUTED_VALUE"""),335.82)</f>
        <v>335.82</v>
      </c>
      <c r="C678" s="5" t="n">
        <f aca="false">IFERROR(__xludf.dummyfunction("""COMPUTED_VALUE"""),336.79)</f>
        <v>336.79</v>
      </c>
      <c r="D678" s="5" t="n">
        <f aca="false">IFERROR(__xludf.dummyfunction("""COMPUTED_VALUE"""),331.48)</f>
        <v>331.48</v>
      </c>
      <c r="E678" s="5" t="n">
        <f aca="false">IFERROR(__xludf.dummyfunction("""COMPUTED_VALUE"""),331.77)</f>
        <v>331.77</v>
      </c>
      <c r="F678" s="5" t="n">
        <f aca="false">IFERROR(__xludf.dummyfunction("""COMPUTED_VALUE"""),17565482)</f>
        <v>17565482</v>
      </c>
    </row>
    <row r="679" customFormat="false" ht="15.75" hidden="false" customHeight="false" outlineLevel="0" collapsed="false">
      <c r="A679" s="6" t="n">
        <f aca="false">IFERROR(__xludf.dummyfunction("""COMPUTED_VALUE"""),45182.6666666667)</f>
        <v>45182.6666666667</v>
      </c>
      <c r="B679" s="5" t="n">
        <f aca="false">IFERROR(__xludf.dummyfunction("""COMPUTED_VALUE"""),331.31)</f>
        <v>331.31</v>
      </c>
      <c r="C679" s="5" t="n">
        <f aca="false">IFERROR(__xludf.dummyfunction("""COMPUTED_VALUE"""),336.85)</f>
        <v>336.85</v>
      </c>
      <c r="D679" s="5" t="n">
        <f aca="false">IFERROR(__xludf.dummyfunction("""COMPUTED_VALUE"""),331.17)</f>
        <v>331.17</v>
      </c>
      <c r="E679" s="5" t="n">
        <f aca="false">IFERROR(__xludf.dummyfunction("""COMPUTED_VALUE"""),336.06)</f>
        <v>336.06</v>
      </c>
      <c r="F679" s="5" t="n">
        <f aca="false">IFERROR(__xludf.dummyfunction("""COMPUTED_VALUE"""),16544412)</f>
        <v>16544412</v>
      </c>
    </row>
    <row r="680" customFormat="false" ht="15.75" hidden="false" customHeight="false" outlineLevel="0" collapsed="false">
      <c r="A680" s="6" t="n">
        <f aca="false">IFERROR(__xludf.dummyfunction("""COMPUTED_VALUE"""),45183.6666666667)</f>
        <v>45183.6666666667</v>
      </c>
      <c r="B680" s="5" t="n">
        <f aca="false">IFERROR(__xludf.dummyfunction("""COMPUTED_VALUE"""),339.15)</f>
        <v>339.15</v>
      </c>
      <c r="C680" s="5" t="n">
        <f aca="false">IFERROR(__xludf.dummyfunction("""COMPUTED_VALUE"""),340.86)</f>
        <v>340.86</v>
      </c>
      <c r="D680" s="5" t="n">
        <f aca="false">IFERROR(__xludf.dummyfunction("""COMPUTED_VALUE"""),336.57)</f>
        <v>336.57</v>
      </c>
      <c r="E680" s="5" t="n">
        <f aca="false">IFERROR(__xludf.dummyfunction("""COMPUTED_VALUE"""),338.7)</f>
        <v>338.7</v>
      </c>
      <c r="F680" s="5" t="n">
        <f aca="false">IFERROR(__xludf.dummyfunction("""COMPUTED_VALUE"""),20267048)</f>
        <v>20267048</v>
      </c>
    </row>
    <row r="681" customFormat="false" ht="15.75" hidden="false" customHeight="false" outlineLevel="0" collapsed="false">
      <c r="A681" s="6" t="n">
        <f aca="false">IFERROR(__xludf.dummyfunction("""COMPUTED_VALUE"""),45184.6666666667)</f>
        <v>45184.6666666667</v>
      </c>
      <c r="B681" s="5" t="n">
        <f aca="false">IFERROR(__xludf.dummyfunction("""COMPUTED_VALUE"""),336.92)</f>
        <v>336.92</v>
      </c>
      <c r="C681" s="5" t="n">
        <f aca="false">IFERROR(__xludf.dummyfunction("""COMPUTED_VALUE"""),337.4)</f>
        <v>337.4</v>
      </c>
      <c r="D681" s="5" t="n">
        <f aca="false">IFERROR(__xludf.dummyfunction("""COMPUTED_VALUE"""),329.65)</f>
        <v>329.65</v>
      </c>
      <c r="E681" s="5" t="n">
        <f aca="false">IFERROR(__xludf.dummyfunction("""COMPUTED_VALUE"""),330.22)</f>
        <v>330.22</v>
      </c>
      <c r="F681" s="5" t="n">
        <f aca="false">IFERROR(__xludf.dummyfunction("""COMPUTED_VALUE"""),37679792)</f>
        <v>37679792</v>
      </c>
    </row>
    <row r="682" customFormat="false" ht="15.75" hidden="false" customHeight="false" outlineLevel="0" collapsed="false">
      <c r="A682" s="6" t="n">
        <f aca="false">IFERROR(__xludf.dummyfunction("""COMPUTED_VALUE"""),45187.6666666667)</f>
        <v>45187.6666666667</v>
      </c>
      <c r="B682" s="5" t="n">
        <f aca="false">IFERROR(__xludf.dummyfunction("""COMPUTED_VALUE"""),327.8)</f>
        <v>327.8</v>
      </c>
      <c r="C682" s="5" t="n">
        <f aca="false">IFERROR(__xludf.dummyfunction("""COMPUTED_VALUE"""),330.4)</f>
        <v>330.4</v>
      </c>
      <c r="D682" s="5" t="n">
        <f aca="false">IFERROR(__xludf.dummyfunction("""COMPUTED_VALUE"""),326.36)</f>
        <v>326.36</v>
      </c>
      <c r="E682" s="5" t="n">
        <f aca="false">IFERROR(__xludf.dummyfunction("""COMPUTED_VALUE"""),329.06)</f>
        <v>329.06</v>
      </c>
      <c r="F682" s="5" t="n">
        <f aca="false">IFERROR(__xludf.dummyfunction("""COMPUTED_VALUE"""),16834208)</f>
        <v>16834208</v>
      </c>
    </row>
    <row r="683" customFormat="false" ht="15.75" hidden="false" customHeight="false" outlineLevel="0" collapsed="false">
      <c r="A683" s="6" t="n">
        <f aca="false">IFERROR(__xludf.dummyfunction("""COMPUTED_VALUE"""),45188.6666666667)</f>
        <v>45188.6666666667</v>
      </c>
      <c r="B683" s="5" t="n">
        <f aca="false">IFERROR(__xludf.dummyfunction("""COMPUTED_VALUE"""),326.17)</f>
        <v>326.17</v>
      </c>
      <c r="C683" s="5" t="n">
        <f aca="false">IFERROR(__xludf.dummyfunction("""COMPUTED_VALUE"""),329.39)</f>
        <v>329.39</v>
      </c>
      <c r="D683" s="5" t="n">
        <f aca="false">IFERROR(__xludf.dummyfunction("""COMPUTED_VALUE"""),324.51)</f>
        <v>324.51</v>
      </c>
      <c r="E683" s="5" t="n">
        <f aca="false">IFERROR(__xludf.dummyfunction("""COMPUTED_VALUE"""),328.65)</f>
        <v>328.65</v>
      </c>
      <c r="F683" s="5" t="n">
        <f aca="false">IFERROR(__xludf.dummyfunction("""COMPUTED_VALUE"""),16514487)</f>
        <v>16514487</v>
      </c>
    </row>
    <row r="684" customFormat="false" ht="15.75" hidden="false" customHeight="false" outlineLevel="0" collapsed="false">
      <c r="A684" s="6" t="n">
        <f aca="false">IFERROR(__xludf.dummyfunction("""COMPUTED_VALUE"""),45189.6666666667)</f>
        <v>45189.6666666667</v>
      </c>
      <c r="B684" s="5" t="n">
        <f aca="false">IFERROR(__xludf.dummyfunction("""COMPUTED_VALUE"""),329.51)</f>
        <v>329.51</v>
      </c>
      <c r="C684" s="5" t="n">
        <f aca="false">IFERROR(__xludf.dummyfunction("""COMPUTED_VALUE"""),329.59)</f>
        <v>329.59</v>
      </c>
      <c r="D684" s="5" t="n">
        <f aca="false">IFERROR(__xludf.dummyfunction("""COMPUTED_VALUE"""),320.51)</f>
        <v>320.51</v>
      </c>
      <c r="E684" s="5" t="n">
        <f aca="false">IFERROR(__xludf.dummyfunction("""COMPUTED_VALUE"""),320.77)</f>
        <v>320.77</v>
      </c>
      <c r="F684" s="5" t="n">
        <f aca="false">IFERROR(__xludf.dummyfunction("""COMPUTED_VALUE"""),21436525)</f>
        <v>21436525</v>
      </c>
    </row>
    <row r="685" customFormat="false" ht="15.75" hidden="false" customHeight="false" outlineLevel="0" collapsed="false">
      <c r="A685" s="6" t="n">
        <f aca="false">IFERROR(__xludf.dummyfunction("""COMPUTED_VALUE"""),45190.6666666667)</f>
        <v>45190.6666666667</v>
      </c>
      <c r="B685" s="5" t="n">
        <f aca="false">IFERROR(__xludf.dummyfunction("""COMPUTED_VALUE"""),319.26)</f>
        <v>319.26</v>
      </c>
      <c r="C685" s="5" t="n">
        <f aca="false">IFERROR(__xludf.dummyfunction("""COMPUTED_VALUE"""),325.35)</f>
        <v>325.35</v>
      </c>
      <c r="D685" s="5" t="n">
        <f aca="false">IFERROR(__xludf.dummyfunction("""COMPUTED_VALUE"""),315)</f>
        <v>315</v>
      </c>
      <c r="E685" s="5" t="n">
        <f aca="false">IFERROR(__xludf.dummyfunction("""COMPUTED_VALUE"""),319.53)</f>
        <v>319.53</v>
      </c>
      <c r="F685" s="5" t="n">
        <f aca="false">IFERROR(__xludf.dummyfunction("""COMPUTED_VALUE"""),35560362)</f>
        <v>35560362</v>
      </c>
    </row>
    <row r="686" customFormat="false" ht="15.75" hidden="false" customHeight="false" outlineLevel="0" collapsed="false">
      <c r="A686" s="6" t="n">
        <f aca="false">IFERROR(__xludf.dummyfunction("""COMPUTED_VALUE"""),45191.6666666667)</f>
        <v>45191.6666666667</v>
      </c>
      <c r="B686" s="5" t="n">
        <f aca="false">IFERROR(__xludf.dummyfunction("""COMPUTED_VALUE"""),321.32)</f>
        <v>321.32</v>
      </c>
      <c r="C686" s="5" t="n">
        <f aca="false">IFERROR(__xludf.dummyfunction("""COMPUTED_VALUE"""),321.45)</f>
        <v>321.45</v>
      </c>
      <c r="D686" s="5" t="n">
        <f aca="false">IFERROR(__xludf.dummyfunction("""COMPUTED_VALUE"""),316.15)</f>
        <v>316.15</v>
      </c>
      <c r="E686" s="5" t="n">
        <f aca="false">IFERROR(__xludf.dummyfunction("""COMPUTED_VALUE"""),317.01)</f>
        <v>317.01</v>
      </c>
      <c r="F686" s="5" t="n">
        <f aca="false">IFERROR(__xludf.dummyfunction("""COMPUTED_VALUE"""),21447887)</f>
        <v>21447887</v>
      </c>
    </row>
    <row r="687" customFormat="false" ht="15.75" hidden="false" customHeight="false" outlineLevel="0" collapsed="false">
      <c r="A687" s="6" t="n">
        <f aca="false">IFERROR(__xludf.dummyfunction("""COMPUTED_VALUE"""),45194.6666666667)</f>
        <v>45194.6666666667</v>
      </c>
      <c r="B687" s="5" t="n">
        <f aca="false">IFERROR(__xludf.dummyfunction("""COMPUTED_VALUE"""),316.59)</f>
        <v>316.59</v>
      </c>
      <c r="C687" s="5" t="n">
        <f aca="false">IFERROR(__xludf.dummyfunction("""COMPUTED_VALUE"""),317.67)</f>
        <v>317.67</v>
      </c>
      <c r="D687" s="5" t="n">
        <f aca="false">IFERROR(__xludf.dummyfunction("""COMPUTED_VALUE"""),315)</f>
        <v>315</v>
      </c>
      <c r="E687" s="5" t="n">
        <f aca="false">IFERROR(__xludf.dummyfunction("""COMPUTED_VALUE"""),317.54)</f>
        <v>317.54</v>
      </c>
      <c r="F687" s="5" t="n">
        <f aca="false">IFERROR(__xludf.dummyfunction("""COMPUTED_VALUE"""),17835964)</f>
        <v>17835964</v>
      </c>
    </row>
    <row r="688" customFormat="false" ht="15.75" hidden="false" customHeight="false" outlineLevel="0" collapsed="false">
      <c r="A688" s="6" t="n">
        <f aca="false">IFERROR(__xludf.dummyfunction("""COMPUTED_VALUE"""),45195.6666666667)</f>
        <v>45195.6666666667</v>
      </c>
      <c r="B688" s="5" t="n">
        <f aca="false">IFERROR(__xludf.dummyfunction("""COMPUTED_VALUE"""),315.13)</f>
        <v>315.13</v>
      </c>
      <c r="C688" s="5" t="n">
        <f aca="false">IFERROR(__xludf.dummyfunction("""COMPUTED_VALUE"""),315.88)</f>
        <v>315.88</v>
      </c>
      <c r="D688" s="5" t="n">
        <f aca="false">IFERROR(__xludf.dummyfunction("""COMPUTED_VALUE"""),310.02)</f>
        <v>310.02</v>
      </c>
      <c r="E688" s="5" t="n">
        <f aca="false">IFERROR(__xludf.dummyfunction("""COMPUTED_VALUE"""),312.14)</f>
        <v>312.14</v>
      </c>
      <c r="F688" s="5" t="n">
        <f aca="false">IFERROR(__xludf.dummyfunction("""COMPUTED_VALUE"""),26297573)</f>
        <v>26297573</v>
      </c>
    </row>
    <row r="689" customFormat="false" ht="15.75" hidden="false" customHeight="false" outlineLevel="0" collapsed="false">
      <c r="A689" s="6" t="n">
        <f aca="false">IFERROR(__xludf.dummyfunction("""COMPUTED_VALUE"""),45196.6666666667)</f>
        <v>45196.6666666667</v>
      </c>
      <c r="B689" s="5" t="n">
        <f aca="false">IFERROR(__xludf.dummyfunction("""COMPUTED_VALUE"""),312.3)</f>
        <v>312.3</v>
      </c>
      <c r="C689" s="5" t="n">
        <f aca="false">IFERROR(__xludf.dummyfunction("""COMPUTED_VALUE"""),314.3)</f>
        <v>314.3</v>
      </c>
      <c r="D689" s="5" t="n">
        <f aca="false">IFERROR(__xludf.dummyfunction("""COMPUTED_VALUE"""),309.69)</f>
        <v>309.69</v>
      </c>
      <c r="E689" s="5" t="n">
        <f aca="false">IFERROR(__xludf.dummyfunction("""COMPUTED_VALUE"""),312.79)</f>
        <v>312.79</v>
      </c>
      <c r="F689" s="5" t="n">
        <f aca="false">IFERROR(__xludf.dummyfunction("""COMPUTED_VALUE"""),19410082)</f>
        <v>19410082</v>
      </c>
    </row>
    <row r="690" customFormat="false" ht="15.75" hidden="false" customHeight="false" outlineLevel="0" collapsed="false">
      <c r="A690" s="6" t="n">
        <f aca="false">IFERROR(__xludf.dummyfunction("""COMPUTED_VALUE"""),45197.6666666667)</f>
        <v>45197.6666666667</v>
      </c>
      <c r="B690" s="5" t="n">
        <f aca="false">IFERROR(__xludf.dummyfunction("""COMPUTED_VALUE"""),310.99)</f>
        <v>310.99</v>
      </c>
      <c r="C690" s="5" t="n">
        <f aca="false">IFERROR(__xludf.dummyfunction("""COMPUTED_VALUE"""),315.48)</f>
        <v>315.48</v>
      </c>
      <c r="D690" s="5" t="n">
        <f aca="false">IFERROR(__xludf.dummyfunction("""COMPUTED_VALUE"""),309.45)</f>
        <v>309.45</v>
      </c>
      <c r="E690" s="5" t="n">
        <f aca="false">IFERROR(__xludf.dummyfunction("""COMPUTED_VALUE"""),313.64)</f>
        <v>313.64</v>
      </c>
      <c r="F690" s="5" t="n">
        <f aca="false">IFERROR(__xludf.dummyfunction("""COMPUTED_VALUE"""),19683564)</f>
        <v>19683564</v>
      </c>
    </row>
    <row r="691" customFormat="false" ht="15.75" hidden="false" customHeight="false" outlineLevel="0" collapsed="false">
      <c r="A691" s="6" t="n">
        <f aca="false">IFERROR(__xludf.dummyfunction("""COMPUTED_VALUE"""),45198.6666666667)</f>
        <v>45198.6666666667</v>
      </c>
      <c r="B691" s="5" t="n">
        <f aca="false">IFERROR(__xludf.dummyfunction("""COMPUTED_VALUE"""),317.75)</f>
        <v>317.75</v>
      </c>
      <c r="C691" s="5" t="n">
        <f aca="false">IFERROR(__xludf.dummyfunction("""COMPUTED_VALUE"""),319.47)</f>
        <v>319.47</v>
      </c>
      <c r="D691" s="5" t="n">
        <f aca="false">IFERROR(__xludf.dummyfunction("""COMPUTED_VALUE"""),314.98)</f>
        <v>314.98</v>
      </c>
      <c r="E691" s="5" t="n">
        <f aca="false">IFERROR(__xludf.dummyfunction("""COMPUTED_VALUE"""),315.75)</f>
        <v>315.75</v>
      </c>
      <c r="F691" s="5" t="n">
        <f aca="false">IFERROR(__xludf.dummyfunction("""COMPUTED_VALUE"""),24147298)</f>
        <v>24147298</v>
      </c>
    </row>
    <row r="692" customFormat="false" ht="15.75" hidden="false" customHeight="false" outlineLevel="0" collapsed="false">
      <c r="A692" s="6" t="n">
        <f aca="false">IFERROR(__xludf.dummyfunction("""COMPUTED_VALUE"""),45201.6666666667)</f>
        <v>45201.6666666667</v>
      </c>
      <c r="B692" s="5" t="n">
        <f aca="false">IFERROR(__xludf.dummyfunction("""COMPUTED_VALUE"""),316.28)</f>
        <v>316.28</v>
      </c>
      <c r="C692" s="5" t="n">
        <f aca="false">IFERROR(__xludf.dummyfunction("""COMPUTED_VALUE"""),321.89)</f>
        <v>321.89</v>
      </c>
      <c r="D692" s="5" t="n">
        <f aca="false">IFERROR(__xludf.dummyfunction("""COMPUTED_VALUE"""),315.18)</f>
        <v>315.18</v>
      </c>
      <c r="E692" s="5" t="n">
        <f aca="false">IFERROR(__xludf.dummyfunction("""COMPUTED_VALUE"""),321.8)</f>
        <v>321.8</v>
      </c>
      <c r="F692" s="5" t="n">
        <f aca="false">IFERROR(__xludf.dummyfunction("""COMPUTED_VALUE"""),20570006)</f>
        <v>20570006</v>
      </c>
    </row>
    <row r="693" customFormat="false" ht="15.75" hidden="false" customHeight="false" outlineLevel="0" collapsed="false">
      <c r="A693" s="6" t="n">
        <f aca="false">IFERROR(__xludf.dummyfunction("""COMPUTED_VALUE"""),45202.6666666667)</f>
        <v>45202.6666666667</v>
      </c>
      <c r="B693" s="5" t="n">
        <f aca="false">IFERROR(__xludf.dummyfunction("""COMPUTED_VALUE"""),320.83)</f>
        <v>320.83</v>
      </c>
      <c r="C693" s="5" t="n">
        <f aca="false">IFERROR(__xludf.dummyfunction("""COMPUTED_VALUE"""),321.39)</f>
        <v>321.39</v>
      </c>
      <c r="D693" s="5" t="n">
        <f aca="false">IFERROR(__xludf.dummyfunction("""COMPUTED_VALUE"""),311.21)</f>
        <v>311.21</v>
      </c>
      <c r="E693" s="5" t="n">
        <f aca="false">IFERROR(__xludf.dummyfunction("""COMPUTED_VALUE"""),313.39)</f>
        <v>313.39</v>
      </c>
      <c r="F693" s="5" t="n">
        <f aca="false">IFERROR(__xludf.dummyfunction("""COMPUTED_VALUE"""),21033492)</f>
        <v>21033492</v>
      </c>
    </row>
    <row r="694" customFormat="false" ht="15.75" hidden="false" customHeight="false" outlineLevel="0" collapsed="false">
      <c r="A694" s="6" t="n">
        <f aca="false">IFERROR(__xludf.dummyfunction("""COMPUTED_VALUE"""),45203.6666666667)</f>
        <v>45203.6666666667</v>
      </c>
      <c r="B694" s="5" t="n">
        <f aca="false">IFERROR(__xludf.dummyfunction("""COMPUTED_VALUE"""),314.03)</f>
        <v>314.03</v>
      </c>
      <c r="C694" s="5" t="n">
        <f aca="false">IFERROR(__xludf.dummyfunction("""COMPUTED_VALUE"""),320.04)</f>
        <v>320.04</v>
      </c>
      <c r="D694" s="5" t="n">
        <f aca="false">IFERROR(__xludf.dummyfunction("""COMPUTED_VALUE"""),314)</f>
        <v>314</v>
      </c>
      <c r="E694" s="5" t="n">
        <f aca="false">IFERROR(__xludf.dummyfunction("""COMPUTED_VALUE"""),318.96)</f>
        <v>318.96</v>
      </c>
      <c r="F694" s="5" t="n">
        <f aca="false">IFERROR(__xludf.dummyfunction("""COMPUTED_VALUE"""),20720144)</f>
        <v>20720144</v>
      </c>
    </row>
    <row r="695" customFormat="false" ht="15.75" hidden="false" customHeight="false" outlineLevel="0" collapsed="false">
      <c r="A695" s="6" t="n">
        <f aca="false">IFERROR(__xludf.dummyfunction("""COMPUTED_VALUE"""),45204.6666666667)</f>
        <v>45204.6666666667</v>
      </c>
      <c r="B695" s="5" t="n">
        <f aca="false">IFERROR(__xludf.dummyfunction("""COMPUTED_VALUE"""),319.09)</f>
        <v>319.09</v>
      </c>
      <c r="C695" s="5" t="n">
        <f aca="false">IFERROR(__xludf.dummyfunction("""COMPUTED_VALUE"""),319.98)</f>
        <v>319.98</v>
      </c>
      <c r="D695" s="5" t="n">
        <f aca="false">IFERROR(__xludf.dummyfunction("""COMPUTED_VALUE"""),314.9)</f>
        <v>314.9</v>
      </c>
      <c r="E695" s="5" t="n">
        <f aca="false">IFERROR(__xludf.dummyfunction("""COMPUTED_VALUE"""),319.36)</f>
        <v>319.36</v>
      </c>
      <c r="F695" s="5" t="n">
        <f aca="false">IFERROR(__xludf.dummyfunction("""COMPUTED_VALUE"""),16965629)</f>
        <v>16965629</v>
      </c>
    </row>
    <row r="696" customFormat="false" ht="15.75" hidden="false" customHeight="false" outlineLevel="0" collapsed="false">
      <c r="A696" s="6" t="n">
        <f aca="false">IFERROR(__xludf.dummyfunction("""COMPUTED_VALUE"""),45205.6666666667)</f>
        <v>45205.6666666667</v>
      </c>
      <c r="B696" s="5" t="n">
        <f aca="false">IFERROR(__xludf.dummyfunction("""COMPUTED_VALUE"""),316.55)</f>
        <v>316.55</v>
      </c>
      <c r="C696" s="5" t="n">
        <f aca="false">IFERROR(__xludf.dummyfunction("""COMPUTED_VALUE"""),329.19)</f>
        <v>329.19</v>
      </c>
      <c r="D696" s="5" t="n">
        <f aca="false">IFERROR(__xludf.dummyfunction("""COMPUTED_VALUE"""),316.3)</f>
        <v>316.3</v>
      </c>
      <c r="E696" s="5" t="n">
        <f aca="false">IFERROR(__xludf.dummyfunction("""COMPUTED_VALUE"""),327.26)</f>
        <v>327.26</v>
      </c>
      <c r="F696" s="5" t="n">
        <f aca="false">IFERROR(__xludf.dummyfunction("""COMPUTED_VALUE"""),25673630)</f>
        <v>25673630</v>
      </c>
    </row>
    <row r="697" customFormat="false" ht="15.75" hidden="false" customHeight="false" outlineLevel="0" collapsed="false">
      <c r="A697" s="6" t="n">
        <f aca="false">IFERROR(__xludf.dummyfunction("""COMPUTED_VALUE"""),45208.6666666667)</f>
        <v>45208.6666666667</v>
      </c>
      <c r="B697" s="5" t="n">
        <f aca="false">IFERROR(__xludf.dummyfunction("""COMPUTED_VALUE"""),324.75)</f>
        <v>324.75</v>
      </c>
      <c r="C697" s="5" t="n">
        <f aca="false">IFERROR(__xludf.dummyfunction("""COMPUTED_VALUE"""),330.3)</f>
        <v>330.3</v>
      </c>
      <c r="D697" s="5" t="n">
        <f aca="false">IFERROR(__xludf.dummyfunction("""COMPUTED_VALUE"""),323.18)</f>
        <v>323.18</v>
      </c>
      <c r="E697" s="5" t="n">
        <f aca="false">IFERROR(__xludf.dummyfunction("""COMPUTED_VALUE"""),329.82)</f>
        <v>329.82</v>
      </c>
      <c r="F697" s="5" t="n">
        <f aca="false">IFERROR(__xludf.dummyfunction("""COMPUTED_VALUE"""),19891180)</f>
        <v>19891180</v>
      </c>
    </row>
    <row r="698" customFormat="false" ht="15.75" hidden="false" customHeight="false" outlineLevel="0" collapsed="false">
      <c r="A698" s="6" t="n">
        <f aca="false">IFERROR(__xludf.dummyfunction("""COMPUTED_VALUE"""),45209.6666666667)</f>
        <v>45209.6666666667</v>
      </c>
      <c r="B698" s="5" t="n">
        <f aca="false">IFERROR(__xludf.dummyfunction("""COMPUTED_VALUE"""),330.96)</f>
        <v>330.96</v>
      </c>
      <c r="C698" s="5" t="n">
        <f aca="false">IFERROR(__xludf.dummyfunction("""COMPUTED_VALUE"""),331.1)</f>
        <v>331.1</v>
      </c>
      <c r="D698" s="5" t="n">
        <f aca="false">IFERROR(__xludf.dummyfunction("""COMPUTED_VALUE"""),327.67)</f>
        <v>327.67</v>
      </c>
      <c r="E698" s="5" t="n">
        <f aca="false">IFERROR(__xludf.dummyfunction("""COMPUTED_VALUE"""),328.39)</f>
        <v>328.39</v>
      </c>
      <c r="F698" s="5" t="n">
        <f aca="false">IFERROR(__xludf.dummyfunction("""COMPUTED_VALUE"""),20557094)</f>
        <v>20557094</v>
      </c>
    </row>
    <row r="699" customFormat="false" ht="15.75" hidden="false" customHeight="false" outlineLevel="0" collapsed="false">
      <c r="A699" s="6" t="n">
        <f aca="false">IFERROR(__xludf.dummyfunction("""COMPUTED_VALUE"""),45210.6666666667)</f>
        <v>45210.6666666667</v>
      </c>
      <c r="B699" s="5" t="n">
        <f aca="false">IFERROR(__xludf.dummyfunction("""COMPUTED_VALUE"""),331.21)</f>
        <v>331.21</v>
      </c>
      <c r="C699" s="5" t="n">
        <f aca="false">IFERROR(__xludf.dummyfunction("""COMPUTED_VALUE"""),332.82)</f>
        <v>332.82</v>
      </c>
      <c r="D699" s="5" t="n">
        <f aca="false">IFERROR(__xludf.dummyfunction("""COMPUTED_VALUE"""),329.14)</f>
        <v>329.14</v>
      </c>
      <c r="E699" s="5" t="n">
        <f aca="false">IFERROR(__xludf.dummyfunction("""COMPUTED_VALUE"""),332.42)</f>
        <v>332.42</v>
      </c>
      <c r="F699" s="5" t="n">
        <f aca="false">IFERROR(__xludf.dummyfunction("""COMPUTED_VALUE"""),20063246)</f>
        <v>20063246</v>
      </c>
    </row>
    <row r="700" customFormat="false" ht="15.75" hidden="false" customHeight="false" outlineLevel="0" collapsed="false">
      <c r="A700" s="6" t="n">
        <f aca="false">IFERROR(__xludf.dummyfunction("""COMPUTED_VALUE"""),45211.6666666667)</f>
        <v>45211.6666666667</v>
      </c>
      <c r="B700" s="5" t="n">
        <f aca="false">IFERROR(__xludf.dummyfunction("""COMPUTED_VALUE"""),330.57)</f>
        <v>330.57</v>
      </c>
      <c r="C700" s="5" t="n">
        <f aca="false">IFERROR(__xludf.dummyfunction("""COMPUTED_VALUE"""),333.63)</f>
        <v>333.63</v>
      </c>
      <c r="D700" s="5" t="n">
        <f aca="false">IFERROR(__xludf.dummyfunction("""COMPUTED_VALUE"""),328.72)</f>
        <v>328.72</v>
      </c>
      <c r="E700" s="5" t="n">
        <f aca="false">IFERROR(__xludf.dummyfunction("""COMPUTED_VALUE"""),331.16)</f>
        <v>331.16</v>
      </c>
      <c r="F700" s="5" t="n">
        <f aca="false">IFERROR(__xludf.dummyfunction("""COMPUTED_VALUE"""),19313098)</f>
        <v>19313098</v>
      </c>
    </row>
    <row r="701" customFormat="false" ht="15.75" hidden="false" customHeight="false" outlineLevel="0" collapsed="false">
      <c r="A701" s="6" t="n">
        <f aca="false">IFERROR(__xludf.dummyfunction("""COMPUTED_VALUE"""),45212.6666666667)</f>
        <v>45212.6666666667</v>
      </c>
      <c r="B701" s="5" t="n">
        <f aca="false">IFERROR(__xludf.dummyfunction("""COMPUTED_VALUE"""),332.38)</f>
        <v>332.38</v>
      </c>
      <c r="C701" s="5" t="n">
        <f aca="false">IFERROR(__xludf.dummyfunction("""COMPUTED_VALUE"""),333.83)</f>
        <v>333.83</v>
      </c>
      <c r="D701" s="5" t="n">
        <f aca="false">IFERROR(__xludf.dummyfunction("""COMPUTED_VALUE"""),326.36)</f>
        <v>326.36</v>
      </c>
      <c r="E701" s="5" t="n">
        <f aca="false">IFERROR(__xludf.dummyfunction("""COMPUTED_VALUE"""),327.73)</f>
        <v>327.73</v>
      </c>
      <c r="F701" s="5" t="n">
        <f aca="false">IFERROR(__xludf.dummyfunction("""COMPUTED_VALUE"""),21085695)</f>
        <v>21085695</v>
      </c>
    </row>
    <row r="702" customFormat="false" ht="15.75" hidden="false" customHeight="false" outlineLevel="0" collapsed="false">
      <c r="A702" s="6" t="n">
        <f aca="false">IFERROR(__xludf.dummyfunction("""COMPUTED_VALUE"""),45215.6666666667)</f>
        <v>45215.6666666667</v>
      </c>
      <c r="B702" s="5" t="n">
        <f aca="false">IFERROR(__xludf.dummyfunction("""COMPUTED_VALUE"""),331.05)</f>
        <v>331.05</v>
      </c>
      <c r="C702" s="5" t="n">
        <f aca="false">IFERROR(__xludf.dummyfunction("""COMPUTED_VALUE"""),336.14)</f>
        <v>336.14</v>
      </c>
      <c r="D702" s="5" t="n">
        <f aca="false">IFERROR(__xludf.dummyfunction("""COMPUTED_VALUE"""),330.6)</f>
        <v>330.6</v>
      </c>
      <c r="E702" s="5" t="n">
        <f aca="false">IFERROR(__xludf.dummyfunction("""COMPUTED_VALUE"""),332.64)</f>
        <v>332.64</v>
      </c>
      <c r="F702" s="5" t="n">
        <f aca="false">IFERROR(__xludf.dummyfunction("""COMPUTED_VALUE"""),22158048)</f>
        <v>22158048</v>
      </c>
    </row>
    <row r="703" customFormat="false" ht="15.75" hidden="false" customHeight="false" outlineLevel="0" collapsed="false">
      <c r="A703" s="6" t="n">
        <f aca="false">IFERROR(__xludf.dummyfunction("""COMPUTED_VALUE"""),45216.6666666667)</f>
        <v>45216.6666666667</v>
      </c>
      <c r="B703" s="5" t="n">
        <f aca="false">IFERROR(__xludf.dummyfunction("""COMPUTED_VALUE"""),329.59)</f>
        <v>329.59</v>
      </c>
      <c r="C703" s="5" t="n">
        <f aca="false">IFERROR(__xludf.dummyfunction("""COMPUTED_VALUE"""),333.46)</f>
        <v>333.46</v>
      </c>
      <c r="D703" s="5" t="n">
        <f aca="false">IFERROR(__xludf.dummyfunction("""COMPUTED_VALUE"""),327.41)</f>
        <v>327.41</v>
      </c>
      <c r="E703" s="5" t="n">
        <f aca="false">IFERROR(__xludf.dummyfunction("""COMPUTED_VALUE"""),332.06)</f>
        <v>332.06</v>
      </c>
      <c r="F703" s="5" t="n">
        <f aca="false">IFERROR(__xludf.dummyfunction("""COMPUTED_VALUE"""),18338523)</f>
        <v>18338523</v>
      </c>
    </row>
    <row r="704" customFormat="false" ht="15.75" hidden="false" customHeight="false" outlineLevel="0" collapsed="false">
      <c r="A704" s="6" t="n">
        <f aca="false">IFERROR(__xludf.dummyfunction("""COMPUTED_VALUE"""),45217.6666666667)</f>
        <v>45217.6666666667</v>
      </c>
      <c r="B704" s="5" t="n">
        <f aca="false">IFERROR(__xludf.dummyfunction("""COMPUTED_VALUE"""),332.49)</f>
        <v>332.49</v>
      </c>
      <c r="C704" s="5" t="n">
        <f aca="false">IFERROR(__xludf.dummyfunction("""COMPUTED_VALUE"""),335.59)</f>
        <v>335.59</v>
      </c>
      <c r="D704" s="5" t="n">
        <f aca="false">IFERROR(__xludf.dummyfunction("""COMPUTED_VALUE"""),328.3)</f>
        <v>328.3</v>
      </c>
      <c r="E704" s="5" t="n">
        <f aca="false">IFERROR(__xludf.dummyfunction("""COMPUTED_VALUE"""),330.11)</f>
        <v>330.11</v>
      </c>
      <c r="F704" s="5" t="n">
        <f aca="false">IFERROR(__xludf.dummyfunction("""COMPUTED_VALUE"""),23153602)</f>
        <v>23153602</v>
      </c>
    </row>
    <row r="705" customFormat="false" ht="15.75" hidden="false" customHeight="false" outlineLevel="0" collapsed="false">
      <c r="A705" s="6" t="n">
        <f aca="false">IFERROR(__xludf.dummyfunction("""COMPUTED_VALUE"""),45218.6666666667)</f>
        <v>45218.6666666667</v>
      </c>
      <c r="B705" s="5" t="n">
        <f aca="false">IFERROR(__xludf.dummyfunction("""COMPUTED_VALUE"""),332.15)</f>
        <v>332.15</v>
      </c>
      <c r="C705" s="5" t="n">
        <f aca="false">IFERROR(__xludf.dummyfunction("""COMPUTED_VALUE"""),336.88)</f>
        <v>336.88</v>
      </c>
      <c r="D705" s="5" t="n">
        <f aca="false">IFERROR(__xludf.dummyfunction("""COMPUTED_VALUE"""),330.91)</f>
        <v>330.91</v>
      </c>
      <c r="E705" s="5" t="n">
        <f aca="false">IFERROR(__xludf.dummyfunction("""COMPUTED_VALUE"""),331.32)</f>
        <v>331.32</v>
      </c>
      <c r="F705" s="5" t="n">
        <f aca="false">IFERROR(__xludf.dummyfunction("""COMPUTED_VALUE"""),25052071)</f>
        <v>25052071</v>
      </c>
    </row>
    <row r="706" customFormat="false" ht="15.75" hidden="false" customHeight="false" outlineLevel="0" collapsed="false">
      <c r="A706" s="6" t="n">
        <f aca="false">IFERROR(__xludf.dummyfunction("""COMPUTED_VALUE"""),45219.6666666667)</f>
        <v>45219.6666666667</v>
      </c>
      <c r="B706" s="5" t="n">
        <f aca="false">IFERROR(__xludf.dummyfunction("""COMPUTED_VALUE"""),331.72)</f>
        <v>331.72</v>
      </c>
      <c r="C706" s="5" t="n">
        <f aca="false">IFERROR(__xludf.dummyfunction("""COMPUTED_VALUE"""),331.92)</f>
        <v>331.92</v>
      </c>
      <c r="D706" s="5" t="n">
        <f aca="false">IFERROR(__xludf.dummyfunction("""COMPUTED_VALUE"""),325.45)</f>
        <v>325.45</v>
      </c>
      <c r="E706" s="5" t="n">
        <f aca="false">IFERROR(__xludf.dummyfunction("""COMPUTED_VALUE"""),326.67)</f>
        <v>326.67</v>
      </c>
      <c r="F706" s="5" t="n">
        <f aca="false">IFERROR(__xludf.dummyfunction("""COMPUTED_VALUE"""),25027715)</f>
        <v>25027715</v>
      </c>
    </row>
    <row r="707" customFormat="false" ht="15.75" hidden="false" customHeight="false" outlineLevel="0" collapsed="false">
      <c r="A707" s="6" t="n">
        <f aca="false">IFERROR(__xludf.dummyfunction("""COMPUTED_VALUE"""),45222.6666666667)</f>
        <v>45222.6666666667</v>
      </c>
      <c r="B707" s="5" t="n">
        <f aca="false">IFERROR(__xludf.dummyfunction("""COMPUTED_VALUE"""),325.47)</f>
        <v>325.47</v>
      </c>
      <c r="C707" s="5" t="n">
        <f aca="false">IFERROR(__xludf.dummyfunction("""COMPUTED_VALUE"""),332.73)</f>
        <v>332.73</v>
      </c>
      <c r="D707" s="5" t="n">
        <f aca="false">IFERROR(__xludf.dummyfunction("""COMPUTED_VALUE"""),324.39)</f>
        <v>324.39</v>
      </c>
      <c r="E707" s="5" t="n">
        <f aca="false">IFERROR(__xludf.dummyfunction("""COMPUTED_VALUE"""),329.32)</f>
        <v>329.32</v>
      </c>
      <c r="F707" s="5" t="n">
        <f aca="false">IFERROR(__xludf.dummyfunction("""COMPUTED_VALUE"""),24374748)</f>
        <v>24374748</v>
      </c>
    </row>
    <row r="708" customFormat="false" ht="15.75" hidden="false" customHeight="false" outlineLevel="0" collapsed="false">
      <c r="A708" s="6" t="n">
        <f aca="false">IFERROR(__xludf.dummyfunction("""COMPUTED_VALUE"""),45223.6666666667)</f>
        <v>45223.6666666667</v>
      </c>
      <c r="B708" s="5" t="n">
        <f aca="false">IFERROR(__xludf.dummyfunction("""COMPUTED_VALUE"""),331.3)</f>
        <v>331.3</v>
      </c>
      <c r="C708" s="5" t="n">
        <f aca="false">IFERROR(__xludf.dummyfunction("""COMPUTED_VALUE"""),331.84)</f>
        <v>331.84</v>
      </c>
      <c r="D708" s="5" t="n">
        <f aca="false">IFERROR(__xludf.dummyfunction("""COMPUTED_VALUE"""),327.6)</f>
        <v>327.6</v>
      </c>
      <c r="E708" s="5" t="n">
        <f aca="false">IFERROR(__xludf.dummyfunction("""COMPUTED_VALUE"""),330.53)</f>
        <v>330.53</v>
      </c>
      <c r="F708" s="5" t="n">
        <f aca="false">IFERROR(__xludf.dummyfunction("""COMPUTED_VALUE"""),31153571)</f>
        <v>31153571</v>
      </c>
    </row>
    <row r="709" customFormat="false" ht="15.75" hidden="false" customHeight="false" outlineLevel="0" collapsed="false">
      <c r="A709" s="6" t="n">
        <f aca="false">IFERROR(__xludf.dummyfunction("""COMPUTED_VALUE"""),45224.6666666667)</f>
        <v>45224.6666666667</v>
      </c>
      <c r="B709" s="5" t="n">
        <f aca="false">IFERROR(__xludf.dummyfunction("""COMPUTED_VALUE"""),345.02)</f>
        <v>345.02</v>
      </c>
      <c r="C709" s="5" t="n">
        <f aca="false">IFERROR(__xludf.dummyfunction("""COMPUTED_VALUE"""),346.2)</f>
        <v>346.2</v>
      </c>
      <c r="D709" s="5" t="n">
        <f aca="false">IFERROR(__xludf.dummyfunction("""COMPUTED_VALUE"""),337.62)</f>
        <v>337.62</v>
      </c>
      <c r="E709" s="5" t="n">
        <f aca="false">IFERROR(__xludf.dummyfunction("""COMPUTED_VALUE"""),340.67)</f>
        <v>340.67</v>
      </c>
      <c r="F709" s="5" t="n">
        <f aca="false">IFERROR(__xludf.dummyfunction("""COMPUTED_VALUE"""),55053828)</f>
        <v>55053828</v>
      </c>
    </row>
    <row r="710" customFormat="false" ht="15.75" hidden="false" customHeight="false" outlineLevel="0" collapsed="false">
      <c r="A710" s="6" t="n">
        <f aca="false">IFERROR(__xludf.dummyfunction("""COMPUTED_VALUE"""),45225.6666666667)</f>
        <v>45225.6666666667</v>
      </c>
      <c r="B710" s="5" t="n">
        <f aca="false">IFERROR(__xludf.dummyfunction("""COMPUTED_VALUE"""),340.54)</f>
        <v>340.54</v>
      </c>
      <c r="C710" s="5" t="n">
        <f aca="false">IFERROR(__xludf.dummyfunction("""COMPUTED_VALUE"""),341.63)</f>
        <v>341.63</v>
      </c>
      <c r="D710" s="5" t="n">
        <f aca="false">IFERROR(__xludf.dummyfunction("""COMPUTED_VALUE"""),326.94)</f>
        <v>326.94</v>
      </c>
      <c r="E710" s="5" t="n">
        <f aca="false">IFERROR(__xludf.dummyfunction("""COMPUTED_VALUE"""),327.89)</f>
        <v>327.89</v>
      </c>
      <c r="F710" s="5" t="n">
        <f aca="false">IFERROR(__xludf.dummyfunction("""COMPUTED_VALUE"""),37828543)</f>
        <v>37828543</v>
      </c>
    </row>
    <row r="711" customFormat="false" ht="15.75" hidden="false" customHeight="false" outlineLevel="0" collapsed="false">
      <c r="A711" s="6" t="n">
        <f aca="false">IFERROR(__xludf.dummyfunction("""COMPUTED_VALUE"""),45226.6666666667)</f>
        <v>45226.6666666667</v>
      </c>
      <c r="B711" s="5" t="n">
        <f aca="false">IFERROR(__xludf.dummyfunction("""COMPUTED_VALUE"""),330.43)</f>
        <v>330.43</v>
      </c>
      <c r="C711" s="5" t="n">
        <f aca="false">IFERROR(__xludf.dummyfunction("""COMPUTED_VALUE"""),336.72)</f>
        <v>336.72</v>
      </c>
      <c r="D711" s="5" t="n">
        <f aca="false">IFERROR(__xludf.dummyfunction("""COMPUTED_VALUE"""),328.4)</f>
        <v>328.4</v>
      </c>
      <c r="E711" s="5" t="n">
        <f aca="false">IFERROR(__xludf.dummyfunction("""COMPUTED_VALUE"""),329.81)</f>
        <v>329.81</v>
      </c>
      <c r="F711" s="5" t="n">
        <f aca="false">IFERROR(__xludf.dummyfunction("""COMPUTED_VALUE"""),29856522)</f>
        <v>29856522</v>
      </c>
    </row>
    <row r="712" customFormat="false" ht="15.75" hidden="false" customHeight="false" outlineLevel="0" collapsed="false">
      <c r="A712" s="6" t="n">
        <f aca="false">IFERROR(__xludf.dummyfunction("""COMPUTED_VALUE"""),45229.6666666667)</f>
        <v>45229.6666666667</v>
      </c>
      <c r="B712" s="5" t="n">
        <f aca="false">IFERROR(__xludf.dummyfunction("""COMPUTED_VALUE"""),333.41)</f>
        <v>333.41</v>
      </c>
      <c r="C712" s="5" t="n">
        <f aca="false">IFERROR(__xludf.dummyfunction("""COMPUTED_VALUE"""),339.45)</f>
        <v>339.45</v>
      </c>
      <c r="D712" s="5" t="n">
        <f aca="false">IFERROR(__xludf.dummyfunction("""COMPUTED_VALUE"""),331.83)</f>
        <v>331.83</v>
      </c>
      <c r="E712" s="5" t="n">
        <f aca="false">IFERROR(__xludf.dummyfunction("""COMPUTED_VALUE"""),337.31)</f>
        <v>337.31</v>
      </c>
      <c r="F712" s="5" t="n">
        <f aca="false">IFERROR(__xludf.dummyfunction("""COMPUTED_VALUE"""),22828082)</f>
        <v>22828082</v>
      </c>
    </row>
    <row r="713" customFormat="false" ht="15.75" hidden="false" customHeight="false" outlineLevel="0" collapsed="false">
      <c r="A713" s="6" t="n">
        <f aca="false">IFERROR(__xludf.dummyfunction("""COMPUTED_VALUE"""),45230.6666666667)</f>
        <v>45230.6666666667</v>
      </c>
      <c r="B713" s="5" t="n">
        <f aca="false">IFERROR(__xludf.dummyfunction("""COMPUTED_VALUE"""),338.85)</f>
        <v>338.85</v>
      </c>
      <c r="C713" s="5" t="n">
        <f aca="false">IFERROR(__xludf.dummyfunction("""COMPUTED_VALUE"""),339)</f>
        <v>339</v>
      </c>
      <c r="D713" s="5" t="n">
        <f aca="false">IFERROR(__xludf.dummyfunction("""COMPUTED_VALUE"""),334.69)</f>
        <v>334.69</v>
      </c>
      <c r="E713" s="5" t="n">
        <f aca="false">IFERROR(__xludf.dummyfunction("""COMPUTED_VALUE"""),338.11)</f>
        <v>338.11</v>
      </c>
      <c r="F713" s="5" t="n">
        <f aca="false">IFERROR(__xludf.dummyfunction("""COMPUTED_VALUE"""),20265282)</f>
        <v>20265282</v>
      </c>
    </row>
    <row r="714" customFormat="false" ht="15.75" hidden="false" customHeight="false" outlineLevel="0" collapsed="false">
      <c r="A714" s="6" t="n">
        <f aca="false">IFERROR(__xludf.dummyfunction("""COMPUTED_VALUE"""),45231.6666666667)</f>
        <v>45231.6666666667</v>
      </c>
      <c r="B714" s="5" t="n">
        <f aca="false">IFERROR(__xludf.dummyfunction("""COMPUTED_VALUE"""),339.79)</f>
        <v>339.79</v>
      </c>
      <c r="C714" s="5" t="n">
        <f aca="false">IFERROR(__xludf.dummyfunction("""COMPUTED_VALUE"""),347.42)</f>
        <v>347.42</v>
      </c>
      <c r="D714" s="5" t="n">
        <f aca="false">IFERROR(__xludf.dummyfunction("""COMPUTED_VALUE"""),339.65)</f>
        <v>339.65</v>
      </c>
      <c r="E714" s="5" t="n">
        <f aca="false">IFERROR(__xludf.dummyfunction("""COMPUTED_VALUE"""),346.07)</f>
        <v>346.07</v>
      </c>
      <c r="F714" s="5" t="n">
        <f aca="false">IFERROR(__xludf.dummyfunction("""COMPUTED_VALUE"""),28158819)</f>
        <v>28158819</v>
      </c>
    </row>
    <row r="715" customFormat="false" ht="15.75" hidden="false" customHeight="false" outlineLevel="0" collapsed="false">
      <c r="A715" s="6" t="n">
        <f aca="false">IFERROR(__xludf.dummyfunction("""COMPUTED_VALUE"""),45232.6666666667)</f>
        <v>45232.6666666667</v>
      </c>
      <c r="B715" s="5" t="n">
        <f aca="false">IFERROR(__xludf.dummyfunction("""COMPUTED_VALUE"""),347.24)</f>
        <v>347.24</v>
      </c>
      <c r="C715" s="5" t="n">
        <f aca="false">IFERROR(__xludf.dummyfunction("""COMPUTED_VALUE"""),348.83)</f>
        <v>348.83</v>
      </c>
      <c r="D715" s="5" t="n">
        <f aca="false">IFERROR(__xludf.dummyfunction("""COMPUTED_VALUE"""),344.77)</f>
        <v>344.77</v>
      </c>
      <c r="E715" s="5" t="n">
        <f aca="false">IFERROR(__xludf.dummyfunction("""COMPUTED_VALUE"""),348.32)</f>
        <v>348.32</v>
      </c>
      <c r="F715" s="5" t="n">
        <f aca="false">IFERROR(__xludf.dummyfunction("""COMPUTED_VALUE"""),24348072)</f>
        <v>24348072</v>
      </c>
    </row>
    <row r="716" customFormat="false" ht="15.75" hidden="false" customHeight="false" outlineLevel="0" collapsed="false">
      <c r="A716" s="6" t="n">
        <f aca="false">IFERROR(__xludf.dummyfunction("""COMPUTED_VALUE"""),45233.6666666667)</f>
        <v>45233.6666666667</v>
      </c>
      <c r="B716" s="5" t="n">
        <f aca="false">IFERROR(__xludf.dummyfunction("""COMPUTED_VALUE"""),349.63)</f>
        <v>349.63</v>
      </c>
      <c r="C716" s="5" t="n">
        <f aca="false">IFERROR(__xludf.dummyfunction("""COMPUTED_VALUE"""),354.39)</f>
        <v>354.39</v>
      </c>
      <c r="D716" s="5" t="n">
        <f aca="false">IFERROR(__xludf.dummyfunction("""COMPUTED_VALUE"""),347.33)</f>
        <v>347.33</v>
      </c>
      <c r="E716" s="5" t="n">
        <f aca="false">IFERROR(__xludf.dummyfunction("""COMPUTED_VALUE"""),352.8)</f>
        <v>352.8</v>
      </c>
      <c r="F716" s="5" t="n">
        <f aca="false">IFERROR(__xludf.dummyfunction("""COMPUTED_VALUE"""),23637673)</f>
        <v>23637673</v>
      </c>
    </row>
    <row r="717" customFormat="false" ht="15.75" hidden="false" customHeight="false" outlineLevel="0" collapsed="false">
      <c r="A717" s="6" t="n">
        <f aca="false">IFERROR(__xludf.dummyfunction("""COMPUTED_VALUE"""),45236.6666666667)</f>
        <v>45236.6666666667</v>
      </c>
      <c r="B717" s="5" t="n">
        <f aca="false">IFERROR(__xludf.dummyfunction("""COMPUTED_VALUE"""),353.45)</f>
        <v>353.45</v>
      </c>
      <c r="C717" s="5" t="n">
        <f aca="false">IFERROR(__xludf.dummyfunction("""COMPUTED_VALUE"""),357.54)</f>
        <v>357.54</v>
      </c>
      <c r="D717" s="5" t="n">
        <f aca="false">IFERROR(__xludf.dummyfunction("""COMPUTED_VALUE"""),353.35)</f>
        <v>353.35</v>
      </c>
      <c r="E717" s="5" t="n">
        <f aca="false">IFERROR(__xludf.dummyfunction("""COMPUTED_VALUE"""),356.53)</f>
        <v>356.53</v>
      </c>
      <c r="F717" s="5" t="n">
        <f aca="false">IFERROR(__xludf.dummyfunction("""COMPUTED_VALUE"""),23828301)</f>
        <v>23828301</v>
      </c>
    </row>
    <row r="718" customFormat="false" ht="15.75" hidden="false" customHeight="false" outlineLevel="0" collapsed="false">
      <c r="A718" s="6" t="n">
        <f aca="false">IFERROR(__xludf.dummyfunction("""COMPUTED_VALUE"""),45237.6666666667)</f>
        <v>45237.6666666667</v>
      </c>
      <c r="B718" s="5" t="n">
        <f aca="false">IFERROR(__xludf.dummyfunction("""COMPUTED_VALUE"""),359.4)</f>
        <v>359.4</v>
      </c>
      <c r="C718" s="5" t="n">
        <f aca="false">IFERROR(__xludf.dummyfunction("""COMPUTED_VALUE"""),362.46)</f>
        <v>362.46</v>
      </c>
      <c r="D718" s="5" t="n">
        <f aca="false">IFERROR(__xludf.dummyfunction("""COMPUTED_VALUE"""),357.63)</f>
        <v>357.63</v>
      </c>
      <c r="E718" s="5" t="n">
        <f aca="false">IFERROR(__xludf.dummyfunction("""COMPUTED_VALUE"""),360.53)</f>
        <v>360.53</v>
      </c>
      <c r="F718" s="5" t="n">
        <f aca="false">IFERROR(__xludf.dummyfunction("""COMPUTED_VALUE"""),25833931)</f>
        <v>25833931</v>
      </c>
    </row>
    <row r="719" customFormat="false" ht="15.75" hidden="false" customHeight="false" outlineLevel="0" collapsed="false">
      <c r="A719" s="6" t="n">
        <f aca="false">IFERROR(__xludf.dummyfunction("""COMPUTED_VALUE"""),45238.6666666667)</f>
        <v>45238.6666666667</v>
      </c>
      <c r="B719" s="5" t="n">
        <f aca="false">IFERROR(__xludf.dummyfunction("""COMPUTED_VALUE"""),361.68)</f>
        <v>361.68</v>
      </c>
      <c r="C719" s="5" t="n">
        <f aca="false">IFERROR(__xludf.dummyfunction("""COMPUTED_VALUE"""),363.87)</f>
        <v>363.87</v>
      </c>
      <c r="D719" s="5" t="n">
        <f aca="false">IFERROR(__xludf.dummyfunction("""COMPUTED_VALUE"""),360.55)</f>
        <v>360.55</v>
      </c>
      <c r="E719" s="5" t="n">
        <f aca="false">IFERROR(__xludf.dummyfunction("""COMPUTED_VALUE"""),363.2)</f>
        <v>363.2</v>
      </c>
      <c r="F719" s="5" t="n">
        <f aca="false">IFERROR(__xludf.dummyfunction("""COMPUTED_VALUE"""),26767828)</f>
        <v>26767828</v>
      </c>
    </row>
    <row r="720" customFormat="false" ht="15.75" hidden="false" customHeight="false" outlineLevel="0" collapsed="false">
      <c r="A720" s="6" t="n">
        <f aca="false">IFERROR(__xludf.dummyfunction("""COMPUTED_VALUE"""),45239.6666666667)</f>
        <v>45239.6666666667</v>
      </c>
      <c r="B720" s="5" t="n">
        <f aca="false">IFERROR(__xludf.dummyfunction("""COMPUTED_VALUE"""),362.3)</f>
        <v>362.3</v>
      </c>
      <c r="C720" s="5" t="n">
        <f aca="false">IFERROR(__xludf.dummyfunction("""COMPUTED_VALUE"""),364.79)</f>
        <v>364.79</v>
      </c>
      <c r="D720" s="5" t="n">
        <f aca="false">IFERROR(__xludf.dummyfunction("""COMPUTED_VALUE"""),360.36)</f>
        <v>360.36</v>
      </c>
      <c r="E720" s="5" t="n">
        <f aca="false">IFERROR(__xludf.dummyfunction("""COMPUTED_VALUE"""),360.69)</f>
        <v>360.69</v>
      </c>
      <c r="F720" s="5" t="n">
        <f aca="false">IFERROR(__xludf.dummyfunction("""COMPUTED_VALUE"""),24847331)</f>
        <v>24847331</v>
      </c>
    </row>
    <row r="721" customFormat="false" ht="15.75" hidden="false" customHeight="false" outlineLevel="0" collapsed="false">
      <c r="A721" s="6" t="n">
        <f aca="false">IFERROR(__xludf.dummyfunction("""COMPUTED_VALUE"""),45240.6666666667)</f>
        <v>45240.6666666667</v>
      </c>
      <c r="B721" s="5" t="n">
        <f aca="false">IFERROR(__xludf.dummyfunction("""COMPUTED_VALUE"""),361.49)</f>
        <v>361.49</v>
      </c>
      <c r="C721" s="5" t="n">
        <f aca="false">IFERROR(__xludf.dummyfunction("""COMPUTED_VALUE"""),370.1)</f>
        <v>370.1</v>
      </c>
      <c r="D721" s="5" t="n">
        <f aca="false">IFERROR(__xludf.dummyfunction("""COMPUTED_VALUE"""),361.07)</f>
        <v>361.07</v>
      </c>
      <c r="E721" s="5" t="n">
        <f aca="false">IFERROR(__xludf.dummyfunction("""COMPUTED_VALUE"""),369.67)</f>
        <v>369.67</v>
      </c>
      <c r="F721" s="5" t="n">
        <f aca="false">IFERROR(__xludf.dummyfunction("""COMPUTED_VALUE"""),28065164)</f>
        <v>28065164</v>
      </c>
    </row>
    <row r="722" customFormat="false" ht="15.75" hidden="false" customHeight="false" outlineLevel="0" collapsed="false">
      <c r="A722" s="6" t="n">
        <f aca="false">IFERROR(__xludf.dummyfunction("""COMPUTED_VALUE"""),45243.6666666667)</f>
        <v>45243.6666666667</v>
      </c>
      <c r="B722" s="5" t="n">
        <f aca="false">IFERROR(__xludf.dummyfunction("""COMPUTED_VALUE"""),368.22)</f>
        <v>368.22</v>
      </c>
      <c r="C722" s="5" t="n">
        <f aca="false">IFERROR(__xludf.dummyfunction("""COMPUTED_VALUE"""),368.47)</f>
        <v>368.47</v>
      </c>
      <c r="D722" s="5" t="n">
        <f aca="false">IFERROR(__xludf.dummyfunction("""COMPUTED_VALUE"""),365.9)</f>
        <v>365.9</v>
      </c>
      <c r="E722" s="5" t="n">
        <f aca="false">IFERROR(__xludf.dummyfunction("""COMPUTED_VALUE"""),366.68)</f>
        <v>366.68</v>
      </c>
      <c r="F722" s="5" t="n">
        <f aca="false">IFERROR(__xludf.dummyfunction("""COMPUTED_VALUE"""),19986506)</f>
        <v>19986506</v>
      </c>
    </row>
    <row r="723" customFormat="false" ht="15.75" hidden="false" customHeight="false" outlineLevel="0" collapsed="false">
      <c r="A723" s="6" t="n">
        <f aca="false">IFERROR(__xludf.dummyfunction("""COMPUTED_VALUE"""),45244.6666666667)</f>
        <v>45244.6666666667</v>
      </c>
      <c r="B723" s="5" t="n">
        <f aca="false">IFERROR(__xludf.dummyfunction("""COMPUTED_VALUE"""),371.01)</f>
        <v>371.01</v>
      </c>
      <c r="C723" s="5" t="n">
        <f aca="false">IFERROR(__xludf.dummyfunction("""COMPUTED_VALUE"""),371.95)</f>
        <v>371.95</v>
      </c>
      <c r="D723" s="5" t="n">
        <f aca="false">IFERROR(__xludf.dummyfunction("""COMPUTED_VALUE"""),367.35)</f>
        <v>367.35</v>
      </c>
      <c r="E723" s="5" t="n">
        <f aca="false">IFERROR(__xludf.dummyfunction("""COMPUTED_VALUE"""),370.27)</f>
        <v>370.27</v>
      </c>
      <c r="F723" s="5" t="n">
        <f aca="false">IFERROR(__xludf.dummyfunction("""COMPUTED_VALUE"""),27683862)</f>
        <v>27683862</v>
      </c>
    </row>
    <row r="724" customFormat="false" ht="15.75" hidden="false" customHeight="false" outlineLevel="0" collapsed="false">
      <c r="A724" s="6" t="n">
        <f aca="false">IFERROR(__xludf.dummyfunction("""COMPUTED_VALUE"""),45245.6666666667)</f>
        <v>45245.6666666667</v>
      </c>
      <c r="B724" s="5" t="n">
        <f aca="false">IFERROR(__xludf.dummyfunction("""COMPUTED_VALUE"""),371.28)</f>
        <v>371.28</v>
      </c>
      <c r="C724" s="5" t="n">
        <f aca="false">IFERROR(__xludf.dummyfunction("""COMPUTED_VALUE"""),373.13)</f>
        <v>373.13</v>
      </c>
      <c r="D724" s="5" t="n">
        <f aca="false">IFERROR(__xludf.dummyfunction("""COMPUTED_VALUE"""),367.11)</f>
        <v>367.11</v>
      </c>
      <c r="E724" s="5" t="n">
        <f aca="false">IFERROR(__xludf.dummyfunction("""COMPUTED_VALUE"""),369.67)</f>
        <v>369.67</v>
      </c>
      <c r="F724" s="5" t="n">
        <f aca="false">IFERROR(__xludf.dummyfunction("""COMPUTED_VALUE"""),26860095)</f>
        <v>26860095</v>
      </c>
    </row>
    <row r="725" customFormat="false" ht="15.75" hidden="false" customHeight="false" outlineLevel="0" collapsed="false">
      <c r="A725" s="6" t="n">
        <f aca="false">IFERROR(__xludf.dummyfunction("""COMPUTED_VALUE"""),45246.6666666667)</f>
        <v>45246.6666666667</v>
      </c>
      <c r="B725" s="5" t="n">
        <f aca="false">IFERROR(__xludf.dummyfunction("""COMPUTED_VALUE"""),370.96)</f>
        <v>370.96</v>
      </c>
      <c r="C725" s="5" t="n">
        <f aca="false">IFERROR(__xludf.dummyfunction("""COMPUTED_VALUE"""),376.35)</f>
        <v>376.35</v>
      </c>
      <c r="D725" s="5" t="n">
        <f aca="false">IFERROR(__xludf.dummyfunction("""COMPUTED_VALUE"""),370.18)</f>
        <v>370.18</v>
      </c>
      <c r="E725" s="5" t="n">
        <f aca="false">IFERROR(__xludf.dummyfunction("""COMPUTED_VALUE"""),376.17)</f>
        <v>376.17</v>
      </c>
      <c r="F725" s="5" t="n">
        <f aca="false">IFERROR(__xludf.dummyfunction("""COMPUTED_VALUE"""),27182315)</f>
        <v>27182315</v>
      </c>
    </row>
    <row r="726" customFormat="false" ht="15.75" hidden="false" customHeight="false" outlineLevel="0" collapsed="false">
      <c r="A726" s="6" t="n">
        <f aca="false">IFERROR(__xludf.dummyfunction("""COMPUTED_VALUE"""),45247.6666666667)</f>
        <v>45247.6666666667</v>
      </c>
      <c r="B726" s="5" t="n">
        <f aca="false">IFERROR(__xludf.dummyfunction("""COMPUTED_VALUE"""),373.61)</f>
        <v>373.61</v>
      </c>
      <c r="C726" s="5" t="n">
        <f aca="false">IFERROR(__xludf.dummyfunction("""COMPUTED_VALUE"""),374.37)</f>
        <v>374.37</v>
      </c>
      <c r="D726" s="5" t="n">
        <f aca="false">IFERROR(__xludf.dummyfunction("""COMPUTED_VALUE"""),367)</f>
        <v>367</v>
      </c>
      <c r="E726" s="5" t="n">
        <f aca="false">IFERROR(__xludf.dummyfunction("""COMPUTED_VALUE"""),369.85)</f>
        <v>369.85</v>
      </c>
      <c r="F726" s="5" t="n">
        <f aca="false">IFERROR(__xludf.dummyfunction("""COMPUTED_VALUE"""),40325371)</f>
        <v>40325371</v>
      </c>
    </row>
    <row r="727" customFormat="false" ht="15.75" hidden="false" customHeight="false" outlineLevel="0" collapsed="false">
      <c r="A727" s="6" t="n">
        <f aca="false">IFERROR(__xludf.dummyfunction("""COMPUTED_VALUE"""),45250.6666666667)</f>
        <v>45250.6666666667</v>
      </c>
      <c r="B727" s="5" t="n">
        <f aca="false">IFERROR(__xludf.dummyfunction("""COMPUTED_VALUE"""),371.22)</f>
        <v>371.22</v>
      </c>
      <c r="C727" s="5" t="n">
        <f aca="false">IFERROR(__xludf.dummyfunction("""COMPUTED_VALUE"""),378.87)</f>
        <v>378.87</v>
      </c>
      <c r="D727" s="5" t="n">
        <f aca="false">IFERROR(__xludf.dummyfunction("""COMPUTED_VALUE"""),371)</f>
        <v>371</v>
      </c>
      <c r="E727" s="5" t="n">
        <f aca="false">IFERROR(__xludf.dummyfunction("""COMPUTED_VALUE"""),377.44)</f>
        <v>377.44</v>
      </c>
      <c r="F727" s="5" t="n">
        <f aca="false">IFERROR(__xludf.dummyfunction("""COMPUTED_VALUE"""),52528964)</f>
        <v>52528964</v>
      </c>
    </row>
    <row r="728" customFormat="false" ht="15.75" hidden="false" customHeight="false" outlineLevel="0" collapsed="false">
      <c r="A728" s="6" t="n">
        <f aca="false">IFERROR(__xludf.dummyfunction("""COMPUTED_VALUE"""),45251.6666666667)</f>
        <v>45251.6666666667</v>
      </c>
      <c r="B728" s="5" t="n">
        <f aca="false">IFERROR(__xludf.dummyfunction("""COMPUTED_VALUE"""),375.67)</f>
        <v>375.67</v>
      </c>
      <c r="C728" s="5" t="n">
        <f aca="false">IFERROR(__xludf.dummyfunction("""COMPUTED_VALUE"""),376.22)</f>
        <v>376.22</v>
      </c>
      <c r="D728" s="5" t="n">
        <f aca="false">IFERROR(__xludf.dummyfunction("""COMPUTED_VALUE"""),371.12)</f>
        <v>371.12</v>
      </c>
      <c r="E728" s="5" t="n">
        <f aca="false">IFERROR(__xludf.dummyfunction("""COMPUTED_VALUE"""),373.07)</f>
        <v>373.07</v>
      </c>
      <c r="F728" s="5" t="n">
        <f aca="false">IFERROR(__xludf.dummyfunction("""COMPUTED_VALUE"""),28423145)</f>
        <v>28423145</v>
      </c>
    </row>
    <row r="729" customFormat="false" ht="15.75" hidden="false" customHeight="false" outlineLevel="0" collapsed="false">
      <c r="A729" s="6" t="n">
        <f aca="false">IFERROR(__xludf.dummyfunction("""COMPUTED_VALUE"""),45252.6666666667)</f>
        <v>45252.6666666667</v>
      </c>
      <c r="B729" s="5" t="n">
        <f aca="false">IFERROR(__xludf.dummyfunction("""COMPUTED_VALUE"""),378)</f>
        <v>378</v>
      </c>
      <c r="C729" s="5" t="n">
        <f aca="false">IFERROR(__xludf.dummyfunction("""COMPUTED_VALUE"""),379.79)</f>
        <v>379.79</v>
      </c>
      <c r="D729" s="5" t="n">
        <f aca="false">IFERROR(__xludf.dummyfunction("""COMPUTED_VALUE"""),374.97)</f>
        <v>374.97</v>
      </c>
      <c r="E729" s="5" t="n">
        <f aca="false">IFERROR(__xludf.dummyfunction("""COMPUTED_VALUE"""),377.85)</f>
        <v>377.85</v>
      </c>
      <c r="F729" s="5" t="n">
        <f aca="false">IFERROR(__xludf.dummyfunction("""COMPUTED_VALUE"""),23361184)</f>
        <v>23361184</v>
      </c>
    </row>
    <row r="730" customFormat="false" ht="15.75" hidden="false" customHeight="false" outlineLevel="0" collapsed="false">
      <c r="A730" s="6" t="n">
        <f aca="false">IFERROR(__xludf.dummyfunction("""COMPUTED_VALUE"""),45254.5451388889)</f>
        <v>45254.5451388889</v>
      </c>
      <c r="B730" s="5" t="n">
        <f aca="false">IFERROR(__xludf.dummyfunction("""COMPUTED_VALUE"""),377.33)</f>
        <v>377.33</v>
      </c>
      <c r="C730" s="5" t="n">
        <f aca="false">IFERROR(__xludf.dummyfunction("""COMPUTED_VALUE"""),377.97)</f>
        <v>377.97</v>
      </c>
      <c r="D730" s="5" t="n">
        <f aca="false">IFERROR(__xludf.dummyfunction("""COMPUTED_VALUE"""),375.14)</f>
        <v>375.14</v>
      </c>
      <c r="E730" s="5" t="n">
        <f aca="false">IFERROR(__xludf.dummyfunction("""COMPUTED_VALUE"""),377.43)</f>
        <v>377.43</v>
      </c>
      <c r="F730" s="5" t="n">
        <f aca="false">IFERROR(__xludf.dummyfunction("""COMPUTED_VALUE"""),10176649)</f>
        <v>10176649</v>
      </c>
    </row>
    <row r="731" customFormat="false" ht="15.75" hidden="false" customHeight="false" outlineLevel="0" collapsed="false">
      <c r="A731" s="6" t="n">
        <f aca="false">IFERROR(__xludf.dummyfunction("""COMPUTED_VALUE"""),45257.6666666667)</f>
        <v>45257.6666666667</v>
      </c>
      <c r="B731" s="5" t="n">
        <f aca="false">IFERROR(__xludf.dummyfunction("""COMPUTED_VALUE"""),376.78)</f>
        <v>376.78</v>
      </c>
      <c r="C731" s="5" t="n">
        <f aca="false">IFERROR(__xludf.dummyfunction("""COMPUTED_VALUE"""),380.64)</f>
        <v>380.64</v>
      </c>
      <c r="D731" s="5" t="n">
        <f aca="false">IFERROR(__xludf.dummyfunction("""COMPUTED_VALUE"""),376.2)</f>
        <v>376.2</v>
      </c>
      <c r="E731" s="5" t="n">
        <f aca="false">IFERROR(__xludf.dummyfunction("""COMPUTED_VALUE"""),378.61)</f>
        <v>378.61</v>
      </c>
      <c r="F731" s="5" t="n">
        <f aca="false">IFERROR(__xludf.dummyfunction("""COMPUTED_VALUE"""),22179228)</f>
        <v>22179228</v>
      </c>
    </row>
    <row r="732" customFormat="false" ht="15.75" hidden="false" customHeight="false" outlineLevel="0" collapsed="false">
      <c r="A732" s="6" t="n">
        <f aca="false">IFERROR(__xludf.dummyfunction("""COMPUTED_VALUE"""),45258.6666666667)</f>
        <v>45258.6666666667</v>
      </c>
      <c r="B732" s="5" t="n">
        <f aca="false">IFERROR(__xludf.dummyfunction("""COMPUTED_VALUE"""),378.35)</f>
        <v>378.35</v>
      </c>
      <c r="C732" s="5" t="n">
        <f aca="false">IFERROR(__xludf.dummyfunction("""COMPUTED_VALUE"""),383)</f>
        <v>383</v>
      </c>
      <c r="D732" s="5" t="n">
        <f aca="false">IFERROR(__xludf.dummyfunction("""COMPUTED_VALUE"""),378.16)</f>
        <v>378.16</v>
      </c>
      <c r="E732" s="5" t="n">
        <f aca="false">IFERROR(__xludf.dummyfunction("""COMPUTED_VALUE"""),382.7)</f>
        <v>382.7</v>
      </c>
      <c r="F732" s="5" t="n">
        <f aca="false">IFERROR(__xludf.dummyfunction("""COMPUTED_VALUE"""),20453112)</f>
        <v>20453112</v>
      </c>
    </row>
    <row r="733" customFormat="false" ht="15.75" hidden="false" customHeight="false" outlineLevel="0" collapsed="false">
      <c r="A733" s="6" t="n">
        <f aca="false">IFERROR(__xludf.dummyfunction("""COMPUTED_VALUE"""),45259.6666666667)</f>
        <v>45259.6666666667</v>
      </c>
      <c r="B733" s="5" t="n">
        <f aca="false">IFERROR(__xludf.dummyfunction("""COMPUTED_VALUE"""),383.76)</f>
        <v>383.76</v>
      </c>
      <c r="C733" s="5" t="n">
        <f aca="false">IFERROR(__xludf.dummyfunction("""COMPUTED_VALUE"""),384.3)</f>
        <v>384.3</v>
      </c>
      <c r="D733" s="5" t="n">
        <f aca="false">IFERROR(__xludf.dummyfunction("""COMPUTED_VALUE"""),377.44)</f>
        <v>377.44</v>
      </c>
      <c r="E733" s="5" t="n">
        <f aca="false">IFERROR(__xludf.dummyfunction("""COMPUTED_VALUE"""),378.85)</f>
        <v>378.85</v>
      </c>
      <c r="F733" s="5" t="n">
        <f aca="false">IFERROR(__xludf.dummyfunction("""COMPUTED_VALUE"""),28963399)</f>
        <v>28963399</v>
      </c>
    </row>
    <row r="734" customFormat="false" ht="15.75" hidden="false" customHeight="false" outlineLevel="0" collapsed="false">
      <c r="A734" s="6" t="n">
        <f aca="false">IFERROR(__xludf.dummyfunction("""COMPUTED_VALUE"""),45260.6666666667)</f>
        <v>45260.6666666667</v>
      </c>
      <c r="B734" s="5" t="n">
        <f aca="false">IFERROR(__xludf.dummyfunction("""COMPUTED_VALUE"""),378.49)</f>
        <v>378.49</v>
      </c>
      <c r="C734" s="5" t="n">
        <f aca="false">IFERROR(__xludf.dummyfunction("""COMPUTED_VALUE"""),380.09)</f>
        <v>380.09</v>
      </c>
      <c r="D734" s="5" t="n">
        <f aca="false">IFERROR(__xludf.dummyfunction("""COMPUTED_VALUE"""),375.47)</f>
        <v>375.47</v>
      </c>
      <c r="E734" s="5" t="n">
        <f aca="false">IFERROR(__xludf.dummyfunction("""COMPUTED_VALUE"""),378.91)</f>
        <v>378.91</v>
      </c>
      <c r="F734" s="5" t="n">
        <f aca="false">IFERROR(__xludf.dummyfunction("""COMPUTED_VALUE"""),30554415)</f>
        <v>30554415</v>
      </c>
    </row>
    <row r="735" customFormat="false" ht="15.75" hidden="false" customHeight="false" outlineLevel="0" collapsed="false">
      <c r="A735" s="6" t="n">
        <f aca="false">IFERROR(__xludf.dummyfunction("""COMPUTED_VALUE"""),45261.6666666667)</f>
        <v>45261.6666666667</v>
      </c>
      <c r="B735" s="5" t="n">
        <f aca="false">IFERROR(__xludf.dummyfunction("""COMPUTED_VALUE"""),376.76)</f>
        <v>376.76</v>
      </c>
      <c r="C735" s="5" t="n">
        <f aca="false">IFERROR(__xludf.dummyfunction("""COMPUTED_VALUE"""),378.16)</f>
        <v>378.16</v>
      </c>
      <c r="D735" s="5" t="n">
        <f aca="false">IFERROR(__xludf.dummyfunction("""COMPUTED_VALUE"""),371.31)</f>
        <v>371.31</v>
      </c>
      <c r="E735" s="5" t="n">
        <f aca="false">IFERROR(__xludf.dummyfunction("""COMPUTED_VALUE"""),374.51)</f>
        <v>374.51</v>
      </c>
      <c r="F735" s="5" t="n">
        <f aca="false">IFERROR(__xludf.dummyfunction("""COMPUTED_VALUE"""),33040472)</f>
        <v>33040472</v>
      </c>
    </row>
    <row r="736" customFormat="false" ht="15.75" hidden="false" customHeight="false" outlineLevel="0" collapsed="false">
      <c r="A736" s="6" t="n">
        <f aca="false">IFERROR(__xludf.dummyfunction("""COMPUTED_VALUE"""),45264.6666666667)</f>
        <v>45264.6666666667</v>
      </c>
      <c r="B736" s="5" t="n">
        <f aca="false">IFERROR(__xludf.dummyfunction("""COMPUTED_VALUE"""),369.1)</f>
        <v>369.1</v>
      </c>
      <c r="C736" s="5" t="n">
        <f aca="false">IFERROR(__xludf.dummyfunction("""COMPUTED_VALUE"""),369.52)</f>
        <v>369.52</v>
      </c>
      <c r="D736" s="5" t="n">
        <f aca="false">IFERROR(__xludf.dummyfunction("""COMPUTED_VALUE"""),362.9)</f>
        <v>362.9</v>
      </c>
      <c r="E736" s="5" t="n">
        <f aca="false">IFERROR(__xludf.dummyfunction("""COMPUTED_VALUE"""),369.14)</f>
        <v>369.14</v>
      </c>
      <c r="F736" s="5" t="n">
        <f aca="false">IFERROR(__xludf.dummyfunction("""COMPUTED_VALUE"""),32063305)</f>
        <v>32063305</v>
      </c>
    </row>
    <row r="737" customFormat="false" ht="15.75" hidden="false" customHeight="false" outlineLevel="0" collapsed="false">
      <c r="A737" s="6" t="n">
        <f aca="false">IFERROR(__xludf.dummyfunction("""COMPUTED_VALUE"""),45265.6666666667)</f>
        <v>45265.6666666667</v>
      </c>
      <c r="B737" s="5" t="n">
        <f aca="false">IFERROR(__xludf.dummyfunction("""COMPUTED_VALUE"""),366.45)</f>
        <v>366.45</v>
      </c>
      <c r="C737" s="5" t="n">
        <f aca="false">IFERROR(__xludf.dummyfunction("""COMPUTED_VALUE"""),373.08)</f>
        <v>373.08</v>
      </c>
      <c r="D737" s="5" t="n">
        <f aca="false">IFERROR(__xludf.dummyfunction("""COMPUTED_VALUE"""),365.62)</f>
        <v>365.62</v>
      </c>
      <c r="E737" s="5" t="n">
        <f aca="false">IFERROR(__xludf.dummyfunction("""COMPUTED_VALUE"""),372.52)</f>
        <v>372.52</v>
      </c>
      <c r="F737" s="5" t="n">
        <f aca="false">IFERROR(__xludf.dummyfunction("""COMPUTED_VALUE"""),23065035)</f>
        <v>23065035</v>
      </c>
    </row>
    <row r="738" customFormat="false" ht="15.75" hidden="false" customHeight="false" outlineLevel="0" collapsed="false">
      <c r="A738" s="6" t="n">
        <f aca="false">IFERROR(__xludf.dummyfunction("""COMPUTED_VALUE"""),45266.6666666667)</f>
        <v>45266.6666666667</v>
      </c>
      <c r="B738" s="5" t="n">
        <f aca="false">IFERROR(__xludf.dummyfunction("""COMPUTED_VALUE"""),373.54)</f>
        <v>373.54</v>
      </c>
      <c r="C738" s="5" t="n">
        <f aca="false">IFERROR(__xludf.dummyfunction("""COMPUTED_VALUE"""),374.18)</f>
        <v>374.18</v>
      </c>
      <c r="D738" s="5" t="n">
        <f aca="false">IFERROR(__xludf.dummyfunction("""COMPUTED_VALUE"""),368.03)</f>
        <v>368.03</v>
      </c>
      <c r="E738" s="5" t="n">
        <f aca="false">IFERROR(__xludf.dummyfunction("""COMPUTED_VALUE"""),368.8)</f>
        <v>368.8</v>
      </c>
      <c r="F738" s="5" t="n">
        <f aca="false">IFERROR(__xludf.dummyfunction("""COMPUTED_VALUE"""),21182072)</f>
        <v>21182072</v>
      </c>
    </row>
    <row r="739" customFormat="false" ht="15.75" hidden="false" customHeight="false" outlineLevel="0" collapsed="false">
      <c r="A739" s="6" t="n">
        <f aca="false">IFERROR(__xludf.dummyfunction("""COMPUTED_VALUE"""),45267.6666666667)</f>
        <v>45267.6666666667</v>
      </c>
      <c r="B739" s="5" t="n">
        <f aca="false">IFERROR(__xludf.dummyfunction("""COMPUTED_VALUE"""),368.23)</f>
        <v>368.23</v>
      </c>
      <c r="C739" s="5" t="n">
        <f aca="false">IFERROR(__xludf.dummyfunction("""COMPUTED_VALUE"""),371.45)</f>
        <v>371.45</v>
      </c>
      <c r="D739" s="5" t="n">
        <f aca="false">IFERROR(__xludf.dummyfunction("""COMPUTED_VALUE"""),366.32)</f>
        <v>366.32</v>
      </c>
      <c r="E739" s="5" t="n">
        <f aca="false">IFERROR(__xludf.dummyfunction("""COMPUTED_VALUE"""),370.95)</f>
        <v>370.95</v>
      </c>
      <c r="F739" s="5" t="n">
        <f aca="false">IFERROR(__xludf.dummyfunction("""COMPUTED_VALUE"""),23118864)</f>
        <v>23118864</v>
      </c>
    </row>
    <row r="740" customFormat="false" ht="15.75" hidden="false" customHeight="false" outlineLevel="0" collapsed="false">
      <c r="A740" s="6" t="n">
        <f aca="false">IFERROR(__xludf.dummyfunction("""COMPUTED_VALUE"""),45268.6666666667)</f>
        <v>45268.6666666667</v>
      </c>
      <c r="B740" s="5" t="n">
        <f aca="false">IFERROR(__xludf.dummyfunction("""COMPUTED_VALUE"""),369.2)</f>
        <v>369.2</v>
      </c>
      <c r="C740" s="5" t="n">
        <f aca="false">IFERROR(__xludf.dummyfunction("""COMPUTED_VALUE"""),374.46)</f>
        <v>374.46</v>
      </c>
      <c r="D740" s="5" t="n">
        <f aca="false">IFERROR(__xludf.dummyfunction("""COMPUTED_VALUE"""),368.23)</f>
        <v>368.23</v>
      </c>
      <c r="E740" s="5" t="n">
        <f aca="false">IFERROR(__xludf.dummyfunction("""COMPUTED_VALUE"""),374.23)</f>
        <v>374.23</v>
      </c>
      <c r="F740" s="5" t="n">
        <f aca="false">IFERROR(__xludf.dummyfunction("""COMPUTED_VALUE"""),20154366)</f>
        <v>20154366</v>
      </c>
    </row>
    <row r="741" customFormat="false" ht="15.75" hidden="false" customHeight="false" outlineLevel="0" collapsed="false">
      <c r="A741" s="6" t="n">
        <f aca="false">IFERROR(__xludf.dummyfunction("""COMPUTED_VALUE"""),45271.6666666667)</f>
        <v>45271.6666666667</v>
      </c>
      <c r="B741" s="5" t="n">
        <f aca="false">IFERROR(__xludf.dummyfunction("""COMPUTED_VALUE"""),368.48)</f>
        <v>368.48</v>
      </c>
      <c r="C741" s="5" t="n">
        <f aca="false">IFERROR(__xludf.dummyfunction("""COMPUTED_VALUE"""),371.6)</f>
        <v>371.6</v>
      </c>
      <c r="D741" s="5" t="n">
        <f aca="false">IFERROR(__xludf.dummyfunction("""COMPUTED_VALUE"""),366.1)</f>
        <v>366.1</v>
      </c>
      <c r="E741" s="5" t="n">
        <f aca="false">IFERROR(__xludf.dummyfunction("""COMPUTED_VALUE"""),371.3)</f>
        <v>371.3</v>
      </c>
      <c r="F741" s="5" t="n">
        <f aca="false">IFERROR(__xludf.dummyfunction("""COMPUTED_VALUE"""),27708757)</f>
        <v>27708757</v>
      </c>
    </row>
    <row r="742" customFormat="false" ht="15.75" hidden="false" customHeight="false" outlineLevel="0" collapsed="false">
      <c r="A742" s="6" t="n">
        <f aca="false">IFERROR(__xludf.dummyfunction("""COMPUTED_VALUE"""),45272.6666666667)</f>
        <v>45272.6666666667</v>
      </c>
      <c r="B742" s="5" t="n">
        <f aca="false">IFERROR(__xludf.dummyfunction("""COMPUTED_VALUE"""),370.85)</f>
        <v>370.85</v>
      </c>
      <c r="C742" s="5" t="n">
        <f aca="false">IFERROR(__xludf.dummyfunction("""COMPUTED_VALUE"""),374.42)</f>
        <v>374.42</v>
      </c>
      <c r="D742" s="5" t="n">
        <f aca="false">IFERROR(__xludf.dummyfunction("""COMPUTED_VALUE"""),370.46)</f>
        <v>370.46</v>
      </c>
      <c r="E742" s="5" t="n">
        <f aca="false">IFERROR(__xludf.dummyfunction("""COMPUTED_VALUE"""),374.38)</f>
        <v>374.38</v>
      </c>
      <c r="F742" s="5" t="n">
        <f aca="false">IFERROR(__xludf.dummyfunction("""COMPUTED_VALUE"""),24838253)</f>
        <v>24838253</v>
      </c>
    </row>
    <row r="743" customFormat="false" ht="15.75" hidden="false" customHeight="false" outlineLevel="0" collapsed="false">
      <c r="A743" s="6" t="n">
        <f aca="false">IFERROR(__xludf.dummyfunction("""COMPUTED_VALUE"""),45273.6666666667)</f>
        <v>45273.6666666667</v>
      </c>
      <c r="B743" s="5" t="n">
        <f aca="false">IFERROR(__xludf.dummyfunction("""COMPUTED_VALUE"""),376.02)</f>
        <v>376.02</v>
      </c>
      <c r="C743" s="5" t="n">
        <f aca="false">IFERROR(__xludf.dummyfunction("""COMPUTED_VALUE"""),377.64)</f>
        <v>377.64</v>
      </c>
      <c r="D743" s="5" t="n">
        <f aca="false">IFERROR(__xludf.dummyfunction("""COMPUTED_VALUE"""),370.77)</f>
        <v>370.77</v>
      </c>
      <c r="E743" s="5" t="n">
        <f aca="false">IFERROR(__xludf.dummyfunction("""COMPUTED_VALUE"""),374.37)</f>
        <v>374.37</v>
      </c>
      <c r="F743" s="5" t="n">
        <f aca="false">IFERROR(__xludf.dummyfunction("""COMPUTED_VALUE"""),30955531)</f>
        <v>30955531</v>
      </c>
    </row>
    <row r="744" customFormat="false" ht="15.75" hidden="false" customHeight="false" outlineLevel="0" collapsed="false">
      <c r="A744" s="6" t="n">
        <f aca="false">IFERROR(__xludf.dummyfunction("""COMPUTED_VALUE"""),45274.6666666667)</f>
        <v>45274.6666666667</v>
      </c>
      <c r="B744" s="5" t="n">
        <f aca="false">IFERROR(__xludf.dummyfunction("""COMPUTED_VALUE"""),373.31)</f>
        <v>373.31</v>
      </c>
      <c r="C744" s="5" t="n">
        <f aca="false">IFERROR(__xludf.dummyfunction("""COMPUTED_VALUE"""),373.76)</f>
        <v>373.76</v>
      </c>
      <c r="D744" s="5" t="n">
        <f aca="false">IFERROR(__xludf.dummyfunction("""COMPUTED_VALUE"""),364.13)</f>
        <v>364.13</v>
      </c>
      <c r="E744" s="5" t="n">
        <f aca="false">IFERROR(__xludf.dummyfunction("""COMPUTED_VALUE"""),365.93)</f>
        <v>365.93</v>
      </c>
      <c r="F744" s="5" t="n">
        <f aca="false">IFERROR(__xludf.dummyfunction("""COMPUTED_VALUE"""),43277461)</f>
        <v>43277461</v>
      </c>
    </row>
    <row r="745" customFormat="false" ht="15.75" hidden="false" customHeight="false" outlineLevel="0" collapsed="false">
      <c r="A745" s="6" t="n">
        <f aca="false">IFERROR(__xludf.dummyfunction("""COMPUTED_VALUE"""),45275.6666666667)</f>
        <v>45275.6666666667</v>
      </c>
      <c r="B745" s="5" t="n">
        <f aca="false">IFERROR(__xludf.dummyfunction("""COMPUTED_VALUE"""),366.85)</f>
        <v>366.85</v>
      </c>
      <c r="C745" s="5" t="n">
        <f aca="false">IFERROR(__xludf.dummyfunction("""COMPUTED_VALUE"""),372.4)</f>
        <v>372.4</v>
      </c>
      <c r="D745" s="5" t="n">
        <f aca="false">IFERROR(__xludf.dummyfunction("""COMPUTED_VALUE"""),366.28)</f>
        <v>366.28</v>
      </c>
      <c r="E745" s="5" t="n">
        <f aca="false">IFERROR(__xludf.dummyfunction("""COMPUTED_VALUE"""),370.73)</f>
        <v>370.73</v>
      </c>
      <c r="F745" s="5" t="n">
        <f aca="false">IFERROR(__xludf.dummyfunction("""COMPUTED_VALUE"""),78502324)</f>
        <v>78502324</v>
      </c>
    </row>
    <row r="746" customFormat="false" ht="15.75" hidden="false" customHeight="false" outlineLevel="0" collapsed="false">
      <c r="A746" s="6" t="n">
        <f aca="false">IFERROR(__xludf.dummyfunction("""COMPUTED_VALUE"""),45278.6666666667)</f>
        <v>45278.6666666667</v>
      </c>
      <c r="B746" s="5" t="n">
        <f aca="false">IFERROR(__xludf.dummyfunction("""COMPUTED_VALUE"""),369.45)</f>
        <v>369.45</v>
      </c>
      <c r="C746" s="5" t="n">
        <f aca="false">IFERROR(__xludf.dummyfunction("""COMPUTED_VALUE"""),373)</f>
        <v>373</v>
      </c>
      <c r="D746" s="5" t="n">
        <f aca="false">IFERROR(__xludf.dummyfunction("""COMPUTED_VALUE"""),368.68)</f>
        <v>368.68</v>
      </c>
      <c r="E746" s="5" t="n">
        <f aca="false">IFERROR(__xludf.dummyfunction("""COMPUTED_VALUE"""),372.65)</f>
        <v>372.65</v>
      </c>
      <c r="F746" s="5" t="n">
        <f aca="false">IFERROR(__xludf.dummyfunction("""COMPUTED_VALUE"""),21802878)</f>
        <v>21802878</v>
      </c>
    </row>
    <row r="747" customFormat="false" ht="15.75" hidden="false" customHeight="false" outlineLevel="0" collapsed="false">
      <c r="A747" s="6" t="n">
        <f aca="false">IFERROR(__xludf.dummyfunction("""COMPUTED_VALUE"""),45279.6666666667)</f>
        <v>45279.6666666667</v>
      </c>
      <c r="B747" s="5" t="n">
        <f aca="false">IFERROR(__xludf.dummyfunction("""COMPUTED_VALUE"""),371.49)</f>
        <v>371.49</v>
      </c>
      <c r="C747" s="5" t="n">
        <f aca="false">IFERROR(__xludf.dummyfunction("""COMPUTED_VALUE"""),373.26)</f>
        <v>373.26</v>
      </c>
      <c r="D747" s="5" t="n">
        <f aca="false">IFERROR(__xludf.dummyfunction("""COMPUTED_VALUE"""),369.84)</f>
        <v>369.84</v>
      </c>
      <c r="E747" s="5" t="n">
        <f aca="false">IFERROR(__xludf.dummyfunction("""COMPUTED_VALUE"""),373.26)</f>
        <v>373.26</v>
      </c>
      <c r="F747" s="5" t="n">
        <f aca="false">IFERROR(__xludf.dummyfunction("""COMPUTED_VALUE"""),20603658)</f>
        <v>20603658</v>
      </c>
    </row>
    <row r="748" customFormat="false" ht="15.75" hidden="false" customHeight="false" outlineLevel="0" collapsed="false">
      <c r="A748" s="6" t="n">
        <f aca="false">IFERROR(__xludf.dummyfunction("""COMPUTED_VALUE"""),45280.6666666667)</f>
        <v>45280.6666666667</v>
      </c>
      <c r="B748" s="5" t="n">
        <f aca="false">IFERROR(__xludf.dummyfunction("""COMPUTED_VALUE"""),375)</f>
        <v>375</v>
      </c>
      <c r="C748" s="5" t="n">
        <f aca="false">IFERROR(__xludf.dummyfunction("""COMPUTED_VALUE"""),376.03)</f>
        <v>376.03</v>
      </c>
      <c r="D748" s="5" t="n">
        <f aca="false">IFERROR(__xludf.dummyfunction("""COMPUTED_VALUE"""),370.53)</f>
        <v>370.53</v>
      </c>
      <c r="E748" s="5" t="n">
        <f aca="false">IFERROR(__xludf.dummyfunction("""COMPUTED_VALUE"""),370.62)</f>
        <v>370.62</v>
      </c>
      <c r="F748" s="5" t="n">
        <f aca="false">IFERROR(__xludf.dummyfunction("""COMPUTED_VALUE"""),26316650)</f>
        <v>26316650</v>
      </c>
    </row>
    <row r="749" customFormat="false" ht="15.75" hidden="false" customHeight="false" outlineLevel="0" collapsed="false">
      <c r="A749" s="6" t="n">
        <f aca="false">IFERROR(__xludf.dummyfunction("""COMPUTED_VALUE"""),45281.6666666667)</f>
        <v>45281.6666666667</v>
      </c>
      <c r="B749" s="5" t="n">
        <f aca="false">IFERROR(__xludf.dummyfunction("""COMPUTED_VALUE"""),372.56)</f>
        <v>372.56</v>
      </c>
      <c r="C749" s="5" t="n">
        <f aca="false">IFERROR(__xludf.dummyfunction("""COMPUTED_VALUE"""),374.41)</f>
        <v>374.41</v>
      </c>
      <c r="D749" s="5" t="n">
        <f aca="false">IFERROR(__xludf.dummyfunction("""COMPUTED_VALUE"""),370.04)</f>
        <v>370.04</v>
      </c>
      <c r="E749" s="5" t="n">
        <f aca="false">IFERROR(__xludf.dummyfunction("""COMPUTED_VALUE"""),373.54)</f>
        <v>373.54</v>
      </c>
      <c r="F749" s="5" t="n">
        <f aca="false">IFERROR(__xludf.dummyfunction("""COMPUTED_VALUE"""),17708006)</f>
        <v>17708006</v>
      </c>
    </row>
    <row r="750" customFormat="false" ht="15.75" hidden="false" customHeight="false" outlineLevel="0" collapsed="false">
      <c r="A750" s="6" t="n">
        <f aca="false">IFERROR(__xludf.dummyfunction("""COMPUTED_VALUE"""),45282.6666666667)</f>
        <v>45282.6666666667</v>
      </c>
      <c r="B750" s="5" t="n">
        <f aca="false">IFERROR(__xludf.dummyfunction("""COMPUTED_VALUE"""),373.68)</f>
        <v>373.68</v>
      </c>
      <c r="C750" s="5" t="n">
        <f aca="false">IFERROR(__xludf.dummyfunction("""COMPUTED_VALUE"""),375.18)</f>
        <v>375.18</v>
      </c>
      <c r="D750" s="5" t="n">
        <f aca="false">IFERROR(__xludf.dummyfunction("""COMPUTED_VALUE"""),372.71)</f>
        <v>372.71</v>
      </c>
      <c r="E750" s="5" t="n">
        <f aca="false">IFERROR(__xludf.dummyfunction("""COMPUTED_VALUE"""),374.58)</f>
        <v>374.58</v>
      </c>
      <c r="F750" s="5" t="n">
        <f aca="false">IFERROR(__xludf.dummyfunction("""COMPUTED_VALUE"""),17107484)</f>
        <v>17107484</v>
      </c>
    </row>
    <row r="751" customFormat="false" ht="15.75" hidden="false" customHeight="false" outlineLevel="0" collapsed="false">
      <c r="A751" s="6" t="n">
        <f aca="false">IFERROR(__xludf.dummyfunction("""COMPUTED_VALUE"""),45286.6666666667)</f>
        <v>45286.6666666667</v>
      </c>
      <c r="B751" s="5" t="n">
        <f aca="false">IFERROR(__xludf.dummyfunction("""COMPUTED_VALUE"""),375)</f>
        <v>375</v>
      </c>
      <c r="C751" s="5" t="n">
        <f aca="false">IFERROR(__xludf.dummyfunction("""COMPUTED_VALUE"""),376.94)</f>
        <v>376.94</v>
      </c>
      <c r="D751" s="5" t="n">
        <f aca="false">IFERROR(__xludf.dummyfunction("""COMPUTED_VALUE"""),373.5)</f>
        <v>373.5</v>
      </c>
      <c r="E751" s="5" t="n">
        <f aca="false">IFERROR(__xludf.dummyfunction("""COMPUTED_VALUE"""),374.66)</f>
        <v>374.66</v>
      </c>
      <c r="F751" s="5" t="n">
        <f aca="false">IFERROR(__xludf.dummyfunction("""COMPUTED_VALUE"""),12673050)</f>
        <v>12673050</v>
      </c>
    </row>
    <row r="752" customFormat="false" ht="15.75" hidden="false" customHeight="false" outlineLevel="0" collapsed="false">
      <c r="A752" s="6" t="n">
        <f aca="false">IFERROR(__xludf.dummyfunction("""COMPUTED_VALUE"""),45287.6666666667)</f>
        <v>45287.6666666667</v>
      </c>
      <c r="B752" s="5" t="n">
        <f aca="false">IFERROR(__xludf.dummyfunction("""COMPUTED_VALUE"""),373.69)</f>
        <v>373.69</v>
      </c>
      <c r="C752" s="5" t="n">
        <f aca="false">IFERROR(__xludf.dummyfunction("""COMPUTED_VALUE"""),375.06)</f>
        <v>375.06</v>
      </c>
      <c r="D752" s="5" t="n">
        <f aca="false">IFERROR(__xludf.dummyfunction("""COMPUTED_VALUE"""),372.81)</f>
        <v>372.81</v>
      </c>
      <c r="E752" s="5" t="n">
        <f aca="false">IFERROR(__xludf.dummyfunction("""COMPUTED_VALUE"""),374.07)</f>
        <v>374.07</v>
      </c>
      <c r="F752" s="5" t="n">
        <f aca="false">IFERROR(__xludf.dummyfunction("""COMPUTED_VALUE"""),14905412)</f>
        <v>14905412</v>
      </c>
    </row>
    <row r="753" customFormat="false" ht="15.75" hidden="false" customHeight="false" outlineLevel="0" collapsed="false">
      <c r="A753" s="6" t="n">
        <f aca="false">IFERROR(__xludf.dummyfunction("""COMPUTED_VALUE"""),45288.6666666667)</f>
        <v>45288.6666666667</v>
      </c>
      <c r="B753" s="5" t="n">
        <f aca="false">IFERROR(__xludf.dummyfunction("""COMPUTED_VALUE"""),375.37)</f>
        <v>375.37</v>
      </c>
      <c r="C753" s="5" t="n">
        <f aca="false">IFERROR(__xludf.dummyfunction("""COMPUTED_VALUE"""),376.46)</f>
        <v>376.46</v>
      </c>
      <c r="D753" s="5" t="n">
        <f aca="false">IFERROR(__xludf.dummyfunction("""COMPUTED_VALUE"""),374.16)</f>
        <v>374.16</v>
      </c>
      <c r="E753" s="5" t="n">
        <f aca="false">IFERROR(__xludf.dummyfunction("""COMPUTED_VALUE"""),375.28)</f>
        <v>375.28</v>
      </c>
      <c r="F753" s="5" t="n">
        <f aca="false">IFERROR(__xludf.dummyfunction("""COMPUTED_VALUE"""),14327013)</f>
        <v>14327013</v>
      </c>
    </row>
    <row r="754" customFormat="false" ht="15.75" hidden="false" customHeight="false" outlineLevel="0" collapsed="false">
      <c r="A754" s="6" t="n">
        <f aca="false">IFERROR(__xludf.dummyfunction("""COMPUTED_VALUE"""),45289.6666666667)</f>
        <v>45289.6666666667</v>
      </c>
      <c r="B754" s="5" t="n">
        <f aca="false">IFERROR(__xludf.dummyfunction("""COMPUTED_VALUE"""),376)</f>
        <v>376</v>
      </c>
      <c r="C754" s="5" t="n">
        <f aca="false">IFERROR(__xludf.dummyfunction("""COMPUTED_VALUE"""),377.16)</f>
        <v>377.16</v>
      </c>
      <c r="D754" s="5" t="n">
        <f aca="false">IFERROR(__xludf.dummyfunction("""COMPUTED_VALUE"""),373.48)</f>
        <v>373.48</v>
      </c>
      <c r="E754" s="5" t="n">
        <f aca="false">IFERROR(__xludf.dummyfunction("""COMPUTED_VALUE"""),376.04)</f>
        <v>376.04</v>
      </c>
      <c r="F754" s="5" t="n">
        <f aca="false">IFERROR(__xludf.dummyfunction("""COMPUTED_VALUE"""),18730838)</f>
        <v>18730838</v>
      </c>
    </row>
    <row r="755" customFormat="false" ht="15.75" hidden="false" customHeight="false" outlineLevel="0" collapsed="false">
      <c r="A755" s="6" t="n">
        <f aca="false">IFERROR(__xludf.dummyfunction("""COMPUTED_VALUE"""),45293.6666666667)</f>
        <v>45293.6666666667</v>
      </c>
      <c r="B755" s="5" t="n">
        <f aca="false">IFERROR(__xludf.dummyfunction("""COMPUTED_VALUE"""),373.86)</f>
        <v>373.86</v>
      </c>
      <c r="C755" s="5" t="n">
        <f aca="false">IFERROR(__xludf.dummyfunction("""COMPUTED_VALUE"""),375.9)</f>
        <v>375.9</v>
      </c>
      <c r="D755" s="5" t="n">
        <f aca="false">IFERROR(__xludf.dummyfunction("""COMPUTED_VALUE"""),366.77)</f>
        <v>366.77</v>
      </c>
      <c r="E755" s="5" t="n">
        <f aca="false">IFERROR(__xludf.dummyfunction("""COMPUTED_VALUE"""),370.87)</f>
        <v>370.87</v>
      </c>
      <c r="F755" s="5" t="n">
        <f aca="false">IFERROR(__xludf.dummyfunction("""COMPUTED_VALUE"""),25258633)</f>
        <v>25258633</v>
      </c>
    </row>
    <row r="756" customFormat="false" ht="15.75" hidden="false" customHeight="false" outlineLevel="0" collapsed="false">
      <c r="A756" s="6" t="n">
        <f aca="false">IFERROR(__xludf.dummyfunction("""COMPUTED_VALUE"""),45294.6666666667)</f>
        <v>45294.6666666667</v>
      </c>
      <c r="B756" s="5" t="n">
        <f aca="false">IFERROR(__xludf.dummyfunction("""COMPUTED_VALUE"""),369.01)</f>
        <v>369.01</v>
      </c>
      <c r="C756" s="5" t="n">
        <f aca="false">IFERROR(__xludf.dummyfunction("""COMPUTED_VALUE"""),373.26)</f>
        <v>373.26</v>
      </c>
      <c r="D756" s="5" t="n">
        <f aca="false">IFERROR(__xludf.dummyfunction("""COMPUTED_VALUE"""),368.51)</f>
        <v>368.51</v>
      </c>
      <c r="E756" s="5" t="n">
        <f aca="false">IFERROR(__xludf.dummyfunction("""COMPUTED_VALUE"""),370.6)</f>
        <v>370.6</v>
      </c>
      <c r="F756" s="5" t="n">
        <f aca="false">IFERROR(__xludf.dummyfunction("""COMPUTED_VALUE"""),23083465)</f>
        <v>23083465</v>
      </c>
    </row>
    <row r="757" customFormat="false" ht="15.75" hidden="false" customHeight="false" outlineLevel="0" collapsed="false">
      <c r="A757" s="6" t="n">
        <f aca="false">IFERROR(__xludf.dummyfunction("""COMPUTED_VALUE"""),45295.6666666667)</f>
        <v>45295.6666666667</v>
      </c>
      <c r="B757" s="5" t="n">
        <f aca="false">IFERROR(__xludf.dummyfunction("""COMPUTED_VALUE"""),370.67)</f>
        <v>370.67</v>
      </c>
      <c r="C757" s="5" t="n">
        <f aca="false">IFERROR(__xludf.dummyfunction("""COMPUTED_VALUE"""),373.1)</f>
        <v>373.1</v>
      </c>
      <c r="D757" s="5" t="n">
        <f aca="false">IFERROR(__xludf.dummyfunction("""COMPUTED_VALUE"""),367.17)</f>
        <v>367.17</v>
      </c>
      <c r="E757" s="5" t="n">
        <f aca="false">IFERROR(__xludf.dummyfunction("""COMPUTED_VALUE"""),367.94)</f>
        <v>367.94</v>
      </c>
      <c r="F757" s="5" t="n">
        <f aca="false">IFERROR(__xludf.dummyfunction("""COMPUTED_VALUE"""),20901502)</f>
        <v>20901502</v>
      </c>
    </row>
    <row r="758" customFormat="false" ht="15.75" hidden="false" customHeight="false" outlineLevel="0" collapsed="false">
      <c r="A758" s="6" t="n">
        <f aca="false">IFERROR(__xludf.dummyfunction("""COMPUTED_VALUE"""),45296.6666666667)</f>
        <v>45296.6666666667</v>
      </c>
      <c r="B758" s="5" t="n">
        <f aca="false">IFERROR(__xludf.dummyfunction("""COMPUTED_VALUE"""),368.97)</f>
        <v>368.97</v>
      </c>
      <c r="C758" s="5" t="n">
        <f aca="false">IFERROR(__xludf.dummyfunction("""COMPUTED_VALUE"""),372.06)</f>
        <v>372.06</v>
      </c>
      <c r="D758" s="5" t="n">
        <f aca="false">IFERROR(__xludf.dummyfunction("""COMPUTED_VALUE"""),366.5)</f>
        <v>366.5</v>
      </c>
      <c r="E758" s="5" t="n">
        <f aca="false">IFERROR(__xludf.dummyfunction("""COMPUTED_VALUE"""),367.75)</f>
        <v>367.75</v>
      </c>
      <c r="F758" s="5" t="n">
        <f aca="false">IFERROR(__xludf.dummyfunction("""COMPUTED_VALUE"""),21004575)</f>
        <v>21004575</v>
      </c>
    </row>
    <row r="759" customFormat="false" ht="15.75" hidden="false" customHeight="false" outlineLevel="0" collapsed="false">
      <c r="A759" s="6" t="n">
        <f aca="false">IFERROR(__xludf.dummyfunction("""COMPUTED_VALUE"""),45299.6666666667)</f>
        <v>45299.6666666667</v>
      </c>
      <c r="B759" s="5" t="n">
        <f aca="false">IFERROR(__xludf.dummyfunction("""COMPUTED_VALUE"""),369.3)</f>
        <v>369.3</v>
      </c>
      <c r="C759" s="5" t="n">
        <f aca="false">IFERROR(__xludf.dummyfunction("""COMPUTED_VALUE"""),375.2)</f>
        <v>375.2</v>
      </c>
      <c r="D759" s="5" t="n">
        <f aca="false">IFERROR(__xludf.dummyfunction("""COMPUTED_VALUE"""),369.01)</f>
        <v>369.01</v>
      </c>
      <c r="E759" s="5" t="n">
        <f aca="false">IFERROR(__xludf.dummyfunction("""COMPUTED_VALUE"""),374.69)</f>
        <v>374.69</v>
      </c>
      <c r="F759" s="5" t="n">
        <f aca="false">IFERROR(__xludf.dummyfunction("""COMPUTED_VALUE"""),23133967)</f>
        <v>23133967</v>
      </c>
    </row>
    <row r="760" customFormat="false" ht="15.75" hidden="false" customHeight="false" outlineLevel="0" collapsed="false">
      <c r="A760" s="6" t="n">
        <f aca="false">IFERROR(__xludf.dummyfunction("""COMPUTED_VALUE"""),45300.6666666667)</f>
        <v>45300.6666666667</v>
      </c>
      <c r="B760" s="5" t="n">
        <f aca="false">IFERROR(__xludf.dummyfunction("""COMPUTED_VALUE"""),372.01)</f>
        <v>372.01</v>
      </c>
      <c r="C760" s="5" t="n">
        <f aca="false">IFERROR(__xludf.dummyfunction("""COMPUTED_VALUE"""),375.99)</f>
        <v>375.99</v>
      </c>
      <c r="D760" s="5" t="n">
        <f aca="false">IFERROR(__xludf.dummyfunction("""COMPUTED_VALUE"""),371.19)</f>
        <v>371.19</v>
      </c>
      <c r="E760" s="5" t="n">
        <f aca="false">IFERROR(__xludf.dummyfunction("""COMPUTED_VALUE"""),375.79)</f>
        <v>375.79</v>
      </c>
      <c r="F760" s="5" t="n">
        <f aca="false">IFERROR(__xludf.dummyfunction("""COMPUTED_VALUE"""),20829953)</f>
        <v>20829953</v>
      </c>
    </row>
    <row r="761" customFormat="false" ht="15.75" hidden="false" customHeight="false" outlineLevel="0" collapsed="false">
      <c r="A761" s="6" t="n">
        <f aca="false">IFERROR(__xludf.dummyfunction("""COMPUTED_VALUE"""),45301.6666666667)</f>
        <v>45301.6666666667</v>
      </c>
      <c r="B761" s="5" t="n">
        <f aca="false">IFERROR(__xludf.dummyfunction("""COMPUTED_VALUE"""),376.37)</f>
        <v>376.37</v>
      </c>
      <c r="C761" s="5" t="n">
        <f aca="false">IFERROR(__xludf.dummyfunction("""COMPUTED_VALUE"""),384.17)</f>
        <v>384.17</v>
      </c>
      <c r="D761" s="5" t="n">
        <f aca="false">IFERROR(__xludf.dummyfunction("""COMPUTED_VALUE"""),376.32)</f>
        <v>376.32</v>
      </c>
      <c r="E761" s="5" t="n">
        <f aca="false">IFERROR(__xludf.dummyfunction("""COMPUTED_VALUE"""),382.77)</f>
        <v>382.77</v>
      </c>
      <c r="F761" s="5" t="n">
        <f aca="false">IFERROR(__xludf.dummyfunction("""COMPUTED_VALUE"""),25514245)</f>
        <v>25514245</v>
      </c>
    </row>
    <row r="762" customFormat="false" ht="15.75" hidden="false" customHeight="false" outlineLevel="0" collapsed="false">
      <c r="A762" s="6" t="n">
        <f aca="false">IFERROR(__xludf.dummyfunction("""COMPUTED_VALUE"""),45302.6666666667)</f>
        <v>45302.6666666667</v>
      </c>
      <c r="B762" s="5" t="n">
        <f aca="false">IFERROR(__xludf.dummyfunction("""COMPUTED_VALUE"""),386)</f>
        <v>386</v>
      </c>
      <c r="C762" s="5" t="n">
        <f aca="false">IFERROR(__xludf.dummyfunction("""COMPUTED_VALUE"""),390.68)</f>
        <v>390.68</v>
      </c>
      <c r="D762" s="5" t="n">
        <f aca="false">IFERROR(__xludf.dummyfunction("""COMPUTED_VALUE"""),380.38)</f>
        <v>380.38</v>
      </c>
      <c r="E762" s="5" t="n">
        <f aca="false">IFERROR(__xludf.dummyfunction("""COMPUTED_VALUE"""),384.63)</f>
        <v>384.63</v>
      </c>
      <c r="F762" s="5" t="n">
        <f aca="false">IFERROR(__xludf.dummyfunction("""COMPUTED_VALUE"""),27850846)</f>
        <v>27850846</v>
      </c>
    </row>
    <row r="763" customFormat="false" ht="15.75" hidden="false" customHeight="false" outlineLevel="0" collapsed="false">
      <c r="A763" s="6" t="n">
        <f aca="false">IFERROR(__xludf.dummyfunction("""COMPUTED_VALUE"""),45303.6666666667)</f>
        <v>45303.6666666667</v>
      </c>
      <c r="B763" s="5" t="n">
        <f aca="false">IFERROR(__xludf.dummyfunction("""COMPUTED_VALUE"""),385.49)</f>
        <v>385.49</v>
      </c>
      <c r="C763" s="5" t="n">
        <f aca="false">IFERROR(__xludf.dummyfunction("""COMPUTED_VALUE"""),388.68)</f>
        <v>388.68</v>
      </c>
      <c r="D763" s="5" t="n">
        <f aca="false">IFERROR(__xludf.dummyfunction("""COMPUTED_VALUE"""),384.65)</f>
        <v>384.65</v>
      </c>
      <c r="E763" s="5" t="n">
        <f aca="false">IFERROR(__xludf.dummyfunction("""COMPUTED_VALUE"""),388.47)</f>
        <v>388.47</v>
      </c>
      <c r="F763" s="5" t="n">
        <f aca="false">IFERROR(__xludf.dummyfunction("""COMPUTED_VALUE"""),21661153)</f>
        <v>21661153</v>
      </c>
    </row>
    <row r="764" customFormat="false" ht="15.75" hidden="false" customHeight="false" outlineLevel="0" collapsed="false">
      <c r="A764" s="6" t="n">
        <f aca="false">IFERROR(__xludf.dummyfunction("""COMPUTED_VALUE"""),45307.6666666667)</f>
        <v>45307.6666666667</v>
      </c>
      <c r="B764" s="5" t="n">
        <f aca="false">IFERROR(__xludf.dummyfunction("""COMPUTED_VALUE"""),393.66)</f>
        <v>393.66</v>
      </c>
      <c r="C764" s="5" t="n">
        <f aca="false">IFERROR(__xludf.dummyfunction("""COMPUTED_VALUE"""),394.03)</f>
        <v>394.03</v>
      </c>
      <c r="D764" s="5" t="n">
        <f aca="false">IFERROR(__xludf.dummyfunction("""COMPUTED_VALUE"""),387.62)</f>
        <v>387.62</v>
      </c>
      <c r="E764" s="5" t="n">
        <f aca="false">IFERROR(__xludf.dummyfunction("""COMPUTED_VALUE"""),390.27)</f>
        <v>390.27</v>
      </c>
      <c r="F764" s="5" t="n">
        <f aca="false">IFERROR(__xludf.dummyfunction("""COMPUTED_VALUE"""),27202268)</f>
        <v>27202268</v>
      </c>
    </row>
    <row r="765" customFormat="false" ht="15.75" hidden="false" customHeight="false" outlineLevel="0" collapsed="false">
      <c r="A765" s="6" t="n">
        <f aca="false">IFERROR(__xludf.dummyfunction("""COMPUTED_VALUE"""),45308.6666666667)</f>
        <v>45308.6666666667</v>
      </c>
      <c r="B765" s="5" t="n">
        <f aca="false">IFERROR(__xludf.dummyfunction("""COMPUTED_VALUE"""),387.98)</f>
        <v>387.98</v>
      </c>
      <c r="C765" s="5" t="n">
        <f aca="false">IFERROR(__xludf.dummyfunction("""COMPUTED_VALUE"""),390.11)</f>
        <v>390.11</v>
      </c>
      <c r="D765" s="5" t="n">
        <f aca="false">IFERROR(__xludf.dummyfunction("""COMPUTED_VALUE"""),384.81)</f>
        <v>384.81</v>
      </c>
      <c r="E765" s="5" t="n">
        <f aca="false">IFERROR(__xludf.dummyfunction("""COMPUTED_VALUE"""),389.47)</f>
        <v>389.47</v>
      </c>
      <c r="F765" s="5" t="n">
        <f aca="false">IFERROR(__xludf.dummyfunction("""COMPUTED_VALUE"""),22234108)</f>
        <v>22234108</v>
      </c>
    </row>
    <row r="766" customFormat="false" ht="15.75" hidden="false" customHeight="false" outlineLevel="0" collapsed="false">
      <c r="A766" s="6" t="n">
        <f aca="false">IFERROR(__xludf.dummyfunction("""COMPUTED_VALUE"""),45309.6666666667)</f>
        <v>45309.6666666667</v>
      </c>
      <c r="B766" s="5" t="n">
        <f aca="false">IFERROR(__xludf.dummyfunction("""COMPUTED_VALUE"""),391.72)</f>
        <v>391.72</v>
      </c>
      <c r="C766" s="5" t="n">
        <f aca="false">IFERROR(__xludf.dummyfunction("""COMPUTED_VALUE"""),393.99)</f>
        <v>393.99</v>
      </c>
      <c r="D766" s="5" t="n">
        <f aca="false">IFERROR(__xludf.dummyfunction("""COMPUTED_VALUE"""),390.12)</f>
        <v>390.12</v>
      </c>
      <c r="E766" s="5" t="n">
        <f aca="false">IFERROR(__xludf.dummyfunction("""COMPUTED_VALUE"""),393.87)</f>
        <v>393.87</v>
      </c>
      <c r="F766" s="5" t="n">
        <f aca="false">IFERROR(__xludf.dummyfunction("""COMPUTED_VALUE"""),23392068)</f>
        <v>23392068</v>
      </c>
    </row>
    <row r="767" customFormat="false" ht="15.75" hidden="false" customHeight="false" outlineLevel="0" collapsed="false">
      <c r="A767" s="6" t="n">
        <f aca="false">IFERROR(__xludf.dummyfunction("""COMPUTED_VALUE"""),45310.6666666667)</f>
        <v>45310.6666666667</v>
      </c>
      <c r="B767" s="5" t="n">
        <f aca="false">IFERROR(__xludf.dummyfunction("""COMPUTED_VALUE"""),395.76)</f>
        <v>395.76</v>
      </c>
      <c r="C767" s="5" t="n">
        <f aca="false">IFERROR(__xludf.dummyfunction("""COMPUTED_VALUE"""),398.67)</f>
        <v>398.67</v>
      </c>
      <c r="D767" s="5" t="n">
        <f aca="false">IFERROR(__xludf.dummyfunction("""COMPUTED_VALUE"""),393.5)</f>
        <v>393.5</v>
      </c>
      <c r="E767" s="5" t="n">
        <f aca="false">IFERROR(__xludf.dummyfunction("""COMPUTED_VALUE"""),398.67)</f>
        <v>398.67</v>
      </c>
      <c r="F767" s="5" t="n">
        <f aca="false">IFERROR(__xludf.dummyfunction("""COMPUTED_VALUE"""),29331136)</f>
        <v>29331136</v>
      </c>
    </row>
    <row r="768" customFormat="false" ht="15.75" hidden="false" customHeight="false" outlineLevel="0" collapsed="false">
      <c r="A768" s="6" t="n">
        <f aca="false">IFERROR(__xludf.dummyfunction("""COMPUTED_VALUE"""),45313.6666666667)</f>
        <v>45313.6666666667</v>
      </c>
      <c r="B768" s="5" t="n">
        <f aca="false">IFERROR(__xludf.dummyfunction("""COMPUTED_VALUE"""),400.02)</f>
        <v>400.02</v>
      </c>
      <c r="C768" s="5" t="n">
        <f aca="false">IFERROR(__xludf.dummyfunction("""COMPUTED_VALUE"""),400.62)</f>
        <v>400.62</v>
      </c>
      <c r="D768" s="5" t="n">
        <f aca="false">IFERROR(__xludf.dummyfunction("""COMPUTED_VALUE"""),393.59)</f>
        <v>393.59</v>
      </c>
      <c r="E768" s="5" t="n">
        <f aca="false">IFERROR(__xludf.dummyfunction("""COMPUTED_VALUE"""),396.51)</f>
        <v>396.51</v>
      </c>
      <c r="F768" s="5" t="n">
        <f aca="false">IFERROR(__xludf.dummyfunction("""COMPUTED_VALUE"""),27016902)</f>
        <v>27016902</v>
      </c>
    </row>
    <row r="769" customFormat="false" ht="15.75" hidden="false" customHeight="false" outlineLevel="0" collapsed="false">
      <c r="A769" s="6" t="n">
        <f aca="false">IFERROR(__xludf.dummyfunction("""COMPUTED_VALUE"""),45314.6666666667)</f>
        <v>45314.6666666667</v>
      </c>
      <c r="B769" s="5" t="n">
        <f aca="false">IFERROR(__xludf.dummyfunction("""COMPUTED_VALUE"""),395.75)</f>
        <v>395.75</v>
      </c>
      <c r="C769" s="5" t="n">
        <f aca="false">IFERROR(__xludf.dummyfunction("""COMPUTED_VALUE"""),399.38)</f>
        <v>399.38</v>
      </c>
      <c r="D769" s="5" t="n">
        <f aca="false">IFERROR(__xludf.dummyfunction("""COMPUTED_VALUE"""),393.93)</f>
        <v>393.93</v>
      </c>
      <c r="E769" s="5" t="n">
        <f aca="false">IFERROR(__xludf.dummyfunction("""COMPUTED_VALUE"""),398.9)</f>
        <v>398.9</v>
      </c>
      <c r="F769" s="5" t="n">
        <f aca="false">IFERROR(__xludf.dummyfunction("""COMPUTED_VALUE"""),20525882)</f>
        <v>20525882</v>
      </c>
    </row>
    <row r="770" customFormat="false" ht="15.75" hidden="false" customHeight="false" outlineLevel="0" collapsed="false">
      <c r="A770" s="6" t="n">
        <f aca="false">IFERROR(__xludf.dummyfunction("""COMPUTED_VALUE"""),45315.6666666667)</f>
        <v>45315.6666666667</v>
      </c>
      <c r="B770" s="5" t="n">
        <f aca="false">IFERROR(__xludf.dummyfunction("""COMPUTED_VALUE"""),401.54)</f>
        <v>401.54</v>
      </c>
      <c r="C770" s="5" t="n">
        <f aca="false">IFERROR(__xludf.dummyfunction("""COMPUTED_VALUE"""),405.63)</f>
        <v>405.63</v>
      </c>
      <c r="D770" s="5" t="n">
        <f aca="false">IFERROR(__xludf.dummyfunction("""COMPUTED_VALUE"""),400.45)</f>
        <v>400.45</v>
      </c>
      <c r="E770" s="5" t="n">
        <f aca="false">IFERROR(__xludf.dummyfunction("""COMPUTED_VALUE"""),402.56)</f>
        <v>402.56</v>
      </c>
      <c r="F770" s="5" t="n">
        <f aca="false">IFERROR(__xludf.dummyfunction("""COMPUTED_VALUE"""),24866953)</f>
        <v>24866953</v>
      </c>
    </row>
    <row r="771" customFormat="false" ht="15.75" hidden="false" customHeight="false" outlineLevel="0" collapsed="false">
      <c r="A771" s="6" t="n">
        <f aca="false">IFERROR(__xludf.dummyfunction("""COMPUTED_VALUE"""),45316.6666666667)</f>
        <v>45316.6666666667</v>
      </c>
      <c r="B771" s="5" t="n">
        <f aca="false">IFERROR(__xludf.dummyfunction("""COMPUTED_VALUE"""),404.32)</f>
        <v>404.32</v>
      </c>
      <c r="C771" s="5" t="n">
        <f aca="false">IFERROR(__xludf.dummyfunction("""COMPUTED_VALUE"""),407.01)</f>
        <v>407.01</v>
      </c>
      <c r="D771" s="5" t="n">
        <f aca="false">IFERROR(__xludf.dummyfunction("""COMPUTED_VALUE"""),402.53)</f>
        <v>402.53</v>
      </c>
      <c r="E771" s="5" t="n">
        <f aca="false">IFERROR(__xludf.dummyfunction("""COMPUTED_VALUE"""),404.87)</f>
        <v>404.87</v>
      </c>
      <c r="F771" s="5" t="n">
        <f aca="false">IFERROR(__xludf.dummyfunction("""COMPUTED_VALUE"""),21021155)</f>
        <v>21021155</v>
      </c>
    </row>
    <row r="772" customFormat="false" ht="15.75" hidden="false" customHeight="false" outlineLevel="0" collapsed="false">
      <c r="A772" s="6" t="n">
        <f aca="false">IFERROR(__xludf.dummyfunction("""COMPUTED_VALUE"""),45317.6666666667)</f>
        <v>45317.6666666667</v>
      </c>
      <c r="B772" s="5" t="n">
        <f aca="false">IFERROR(__xludf.dummyfunction("""COMPUTED_VALUE"""),404.37)</f>
        <v>404.37</v>
      </c>
      <c r="C772" s="5" t="n">
        <f aca="false">IFERROR(__xludf.dummyfunction("""COMPUTED_VALUE"""),406.17)</f>
        <v>406.17</v>
      </c>
      <c r="D772" s="5" t="n">
        <f aca="false">IFERROR(__xludf.dummyfunction("""COMPUTED_VALUE"""),402.43)</f>
        <v>402.43</v>
      </c>
      <c r="E772" s="5" t="n">
        <f aca="false">IFERROR(__xludf.dummyfunction("""COMPUTED_VALUE"""),403.93)</f>
        <v>403.93</v>
      </c>
      <c r="F772" s="5" t="n">
        <f aca="false">IFERROR(__xludf.dummyfunction("""COMPUTED_VALUE"""),17803271)</f>
        <v>17803271</v>
      </c>
    </row>
    <row r="773" customFormat="false" ht="15.75" hidden="false" customHeight="false" outlineLevel="0" collapsed="false">
      <c r="A773" s="6" t="n">
        <f aca="false">IFERROR(__xludf.dummyfunction("""COMPUTED_VALUE"""),45320.6666666667)</f>
        <v>45320.6666666667</v>
      </c>
      <c r="B773" s="5" t="n">
        <f aca="false">IFERROR(__xludf.dummyfunction("""COMPUTED_VALUE"""),406.06)</f>
        <v>406.06</v>
      </c>
      <c r="C773" s="5" t="n">
        <f aca="false">IFERROR(__xludf.dummyfunction("""COMPUTED_VALUE"""),409.98)</f>
        <v>409.98</v>
      </c>
      <c r="D773" s="5" t="n">
        <f aca="false">IFERROR(__xludf.dummyfunction("""COMPUTED_VALUE"""),404.33)</f>
        <v>404.33</v>
      </c>
      <c r="E773" s="5" t="n">
        <f aca="false">IFERROR(__xludf.dummyfunction("""COMPUTED_VALUE"""),409.72)</f>
        <v>409.72</v>
      </c>
      <c r="F773" s="5" t="n">
        <f aca="false">IFERROR(__xludf.dummyfunction("""COMPUTED_VALUE"""),24510236)</f>
        <v>24510236</v>
      </c>
    </row>
    <row r="774" customFormat="false" ht="15.75" hidden="false" customHeight="false" outlineLevel="0" collapsed="false">
      <c r="A774" s="6" t="n">
        <f aca="false">IFERROR(__xludf.dummyfunction("""COMPUTED_VALUE"""),45321.6666666667)</f>
        <v>45321.6666666667</v>
      </c>
      <c r="B774" s="5" t="n">
        <f aca="false">IFERROR(__xludf.dummyfunction("""COMPUTED_VALUE"""),412.26)</f>
        <v>412.26</v>
      </c>
      <c r="C774" s="5" t="n">
        <f aca="false">IFERROR(__xludf.dummyfunction("""COMPUTED_VALUE"""),413.05)</f>
        <v>413.05</v>
      </c>
      <c r="D774" s="5" t="n">
        <f aca="false">IFERROR(__xludf.dummyfunction("""COMPUTED_VALUE"""),406.45)</f>
        <v>406.45</v>
      </c>
      <c r="E774" s="5" t="n">
        <f aca="false">IFERROR(__xludf.dummyfunction("""COMPUTED_VALUE"""),408.59)</f>
        <v>408.59</v>
      </c>
      <c r="F774" s="5" t="n">
        <f aca="false">IFERROR(__xludf.dummyfunction("""COMPUTED_VALUE"""),33477610)</f>
        <v>33477610</v>
      </c>
    </row>
    <row r="775" customFormat="false" ht="15.75" hidden="false" customHeight="false" outlineLevel="0" collapsed="false">
      <c r="A775" s="6" t="n">
        <f aca="false">IFERROR(__xludf.dummyfunction("""COMPUTED_VALUE"""),45322.6666666667)</f>
        <v>45322.6666666667</v>
      </c>
      <c r="B775" s="5" t="n">
        <f aca="false">IFERROR(__xludf.dummyfunction("""COMPUTED_VALUE"""),406.96)</f>
        <v>406.96</v>
      </c>
      <c r="C775" s="5" t="n">
        <f aca="false">IFERROR(__xludf.dummyfunction("""COMPUTED_VALUE"""),415.32)</f>
        <v>415.32</v>
      </c>
      <c r="D775" s="5" t="n">
        <f aca="false">IFERROR(__xludf.dummyfunction("""COMPUTED_VALUE"""),397.21)</f>
        <v>397.21</v>
      </c>
      <c r="E775" s="5" t="n">
        <f aca="false">IFERROR(__xludf.dummyfunction("""COMPUTED_VALUE"""),397.58)</f>
        <v>397.58</v>
      </c>
      <c r="F775" s="5" t="n">
        <f aca="false">IFERROR(__xludf.dummyfunction("""COMPUTED_VALUE"""),47871097)</f>
        <v>47871097</v>
      </c>
    </row>
    <row r="776" customFormat="false" ht="15.75" hidden="false" customHeight="false" outlineLevel="0" collapsed="false">
      <c r="A776" s="6" t="n">
        <f aca="false">IFERROR(__xludf.dummyfunction("""COMPUTED_VALUE"""),45323.6666666667)</f>
        <v>45323.6666666667</v>
      </c>
      <c r="B776" s="5" t="n">
        <f aca="false">IFERROR(__xludf.dummyfunction("""COMPUTED_VALUE"""),401.83)</f>
        <v>401.83</v>
      </c>
      <c r="C776" s="5" t="n">
        <f aca="false">IFERROR(__xludf.dummyfunction("""COMPUTED_VALUE"""),408)</f>
        <v>408</v>
      </c>
      <c r="D776" s="5" t="n">
        <f aca="false">IFERROR(__xludf.dummyfunction("""COMPUTED_VALUE"""),401.8)</f>
        <v>401.8</v>
      </c>
      <c r="E776" s="5" t="n">
        <f aca="false">IFERROR(__xludf.dummyfunction("""COMPUTED_VALUE"""),403.78)</f>
        <v>403.78</v>
      </c>
      <c r="F776" s="5" t="n">
        <f aca="false">IFERROR(__xludf.dummyfunction("""COMPUTED_VALUE"""),30657726)</f>
        <v>30657726</v>
      </c>
    </row>
    <row r="777" customFormat="false" ht="15.75" hidden="false" customHeight="false" outlineLevel="0" collapsed="false">
      <c r="A777" s="6" t="n">
        <f aca="false">IFERROR(__xludf.dummyfunction("""COMPUTED_VALUE"""),45324.6666666667)</f>
        <v>45324.6666666667</v>
      </c>
      <c r="B777" s="5" t="n">
        <f aca="false">IFERROR(__xludf.dummyfunction("""COMPUTED_VALUE"""),403.81)</f>
        <v>403.81</v>
      </c>
      <c r="C777" s="5" t="n">
        <f aca="false">IFERROR(__xludf.dummyfunction("""COMPUTED_VALUE"""),412.65)</f>
        <v>412.65</v>
      </c>
      <c r="D777" s="5" t="n">
        <f aca="false">IFERROR(__xludf.dummyfunction("""COMPUTED_VALUE"""),403.56)</f>
        <v>403.56</v>
      </c>
      <c r="E777" s="5" t="n">
        <f aca="false">IFERROR(__xludf.dummyfunction("""COMPUTED_VALUE"""),411.22)</f>
        <v>411.22</v>
      </c>
      <c r="F777" s="5" t="n">
        <f aca="false">IFERROR(__xludf.dummyfunction("""COMPUTED_VALUE"""),28256670)</f>
        <v>28256670</v>
      </c>
    </row>
    <row r="778" customFormat="false" ht="15.75" hidden="false" customHeight="false" outlineLevel="0" collapsed="false">
      <c r="A778" s="6" t="n">
        <f aca="false">IFERROR(__xludf.dummyfunction("""COMPUTED_VALUE"""),45327.6666666667)</f>
        <v>45327.6666666667</v>
      </c>
      <c r="B778" s="5" t="n">
        <f aca="false">IFERROR(__xludf.dummyfunction("""COMPUTED_VALUE"""),409.9)</f>
        <v>409.9</v>
      </c>
      <c r="C778" s="5" t="n">
        <f aca="false">IFERROR(__xludf.dummyfunction("""COMPUTED_VALUE"""),411.16)</f>
        <v>411.16</v>
      </c>
      <c r="D778" s="5" t="n">
        <f aca="false">IFERROR(__xludf.dummyfunction("""COMPUTED_VALUE"""),403.99)</f>
        <v>403.99</v>
      </c>
      <c r="E778" s="5" t="n">
        <f aca="false">IFERROR(__xludf.dummyfunction("""COMPUTED_VALUE"""),405.65)</f>
        <v>405.65</v>
      </c>
      <c r="F778" s="5" t="n">
        <f aca="false">IFERROR(__xludf.dummyfunction("""COMPUTED_VALUE"""),25352286)</f>
        <v>25352286</v>
      </c>
    </row>
    <row r="779" customFormat="false" ht="15.75" hidden="false" customHeight="false" outlineLevel="0" collapsed="false">
      <c r="A779" s="6" t="n">
        <f aca="false">IFERROR(__xludf.dummyfunction("""COMPUTED_VALUE"""),45328.6666666667)</f>
        <v>45328.6666666667</v>
      </c>
      <c r="B779" s="5" t="n">
        <f aca="false">IFERROR(__xludf.dummyfunction("""COMPUTED_VALUE"""),405.88)</f>
        <v>405.88</v>
      </c>
      <c r="C779" s="5" t="n">
        <f aca="false">IFERROR(__xludf.dummyfunction("""COMPUTED_VALUE"""),407.97)</f>
        <v>407.97</v>
      </c>
      <c r="D779" s="5" t="n">
        <f aca="false">IFERROR(__xludf.dummyfunction("""COMPUTED_VALUE"""),402.91)</f>
        <v>402.91</v>
      </c>
      <c r="E779" s="5" t="n">
        <f aca="false">IFERROR(__xludf.dummyfunction("""COMPUTED_VALUE"""),405.49)</f>
        <v>405.49</v>
      </c>
      <c r="F779" s="5" t="n">
        <f aca="false">IFERROR(__xludf.dummyfunction("""COMPUTED_VALUE"""),18382624)</f>
        <v>18382624</v>
      </c>
    </row>
    <row r="780" customFormat="false" ht="15.75" hidden="false" customHeight="false" outlineLevel="0" collapsed="false">
      <c r="A780" s="6" t="n">
        <f aca="false">IFERROR(__xludf.dummyfunction("""COMPUTED_VALUE"""),45329.6666666667)</f>
        <v>45329.6666666667</v>
      </c>
      <c r="B780" s="5" t="n">
        <f aca="false">IFERROR(__xludf.dummyfunction("""COMPUTED_VALUE"""),407.44)</f>
        <v>407.44</v>
      </c>
      <c r="C780" s="5" t="n">
        <f aca="false">IFERROR(__xludf.dummyfunction("""COMPUTED_VALUE"""),414.3)</f>
        <v>414.3</v>
      </c>
      <c r="D780" s="5" t="n">
        <f aca="false">IFERROR(__xludf.dummyfunction("""COMPUTED_VALUE"""),407.4)</f>
        <v>407.4</v>
      </c>
      <c r="E780" s="5" t="n">
        <f aca="false">IFERROR(__xludf.dummyfunction("""COMPUTED_VALUE"""),414.05)</f>
        <v>414.05</v>
      </c>
      <c r="F780" s="5" t="n">
        <f aca="false">IFERROR(__xludf.dummyfunction("""COMPUTED_VALUE"""),22340526)</f>
        <v>22340526</v>
      </c>
    </row>
    <row r="781" customFormat="false" ht="15.75" hidden="false" customHeight="false" outlineLevel="0" collapsed="false">
      <c r="A781" s="6" t="n">
        <f aca="false">IFERROR(__xludf.dummyfunction("""COMPUTED_VALUE"""),45330.6666666667)</f>
        <v>45330.6666666667</v>
      </c>
      <c r="B781" s="5" t="n">
        <f aca="false">IFERROR(__xludf.dummyfunction("""COMPUTED_VALUE"""),414.05)</f>
        <v>414.05</v>
      </c>
      <c r="C781" s="5" t="n">
        <f aca="false">IFERROR(__xludf.dummyfunction("""COMPUTED_VALUE"""),415.56)</f>
        <v>415.56</v>
      </c>
      <c r="D781" s="5" t="n">
        <f aca="false">IFERROR(__xludf.dummyfunction("""COMPUTED_VALUE"""),412.53)</f>
        <v>412.53</v>
      </c>
      <c r="E781" s="5" t="n">
        <f aca="false">IFERROR(__xludf.dummyfunction("""COMPUTED_VALUE"""),414.11)</f>
        <v>414.11</v>
      </c>
      <c r="F781" s="5" t="n">
        <f aca="false">IFERROR(__xludf.dummyfunction("""COMPUTED_VALUE"""),21225257)</f>
        <v>21225257</v>
      </c>
    </row>
    <row r="782" customFormat="false" ht="15.75" hidden="false" customHeight="false" outlineLevel="0" collapsed="false">
      <c r="A782" s="6" t="n">
        <f aca="false">IFERROR(__xludf.dummyfunction("""COMPUTED_VALUE"""),45331.6666666667)</f>
        <v>45331.6666666667</v>
      </c>
      <c r="B782" s="5" t="n">
        <f aca="false">IFERROR(__xludf.dummyfunction("""COMPUTED_VALUE"""),415.25)</f>
        <v>415.25</v>
      </c>
      <c r="C782" s="5" t="n">
        <f aca="false">IFERROR(__xludf.dummyfunction("""COMPUTED_VALUE"""),420.82)</f>
        <v>420.82</v>
      </c>
      <c r="D782" s="5" t="n">
        <f aca="false">IFERROR(__xludf.dummyfunction("""COMPUTED_VALUE"""),415.09)</f>
        <v>415.09</v>
      </c>
      <c r="E782" s="5" t="n">
        <f aca="false">IFERROR(__xludf.dummyfunction("""COMPUTED_VALUE"""),420.55)</f>
        <v>420.55</v>
      </c>
      <c r="F782" s="5" t="n">
        <f aca="false">IFERROR(__xludf.dummyfunction("""COMPUTED_VALUE"""),22032844)</f>
        <v>22032844</v>
      </c>
    </row>
    <row r="783" customFormat="false" ht="15.75" hidden="false" customHeight="false" outlineLevel="0" collapsed="false">
      <c r="A783" s="6" t="n">
        <f aca="false">IFERROR(__xludf.dummyfunction("""COMPUTED_VALUE"""),45334.6666666667)</f>
        <v>45334.6666666667</v>
      </c>
      <c r="B783" s="5" t="n">
        <f aca="false">IFERROR(__xludf.dummyfunction("""COMPUTED_VALUE"""),420.56)</f>
        <v>420.56</v>
      </c>
      <c r="C783" s="5" t="n">
        <f aca="false">IFERROR(__xludf.dummyfunction("""COMPUTED_VALUE"""),420.74)</f>
        <v>420.74</v>
      </c>
      <c r="D783" s="5" t="n">
        <f aca="false">IFERROR(__xludf.dummyfunction("""COMPUTED_VALUE"""),414.75)</f>
        <v>414.75</v>
      </c>
      <c r="E783" s="5" t="n">
        <f aca="false">IFERROR(__xludf.dummyfunction("""COMPUTED_VALUE"""),415.26)</f>
        <v>415.26</v>
      </c>
      <c r="F783" s="5" t="n">
        <f aca="false">IFERROR(__xludf.dummyfunction("""COMPUTED_VALUE"""),21202921)</f>
        <v>21202921</v>
      </c>
    </row>
    <row r="784" customFormat="false" ht="15.75" hidden="false" customHeight="false" outlineLevel="0" collapsed="false">
      <c r="A784" s="6" t="n">
        <f aca="false">IFERROR(__xludf.dummyfunction("""COMPUTED_VALUE"""),45335.6666666667)</f>
        <v>45335.6666666667</v>
      </c>
      <c r="B784" s="5" t="n">
        <f aca="false">IFERROR(__xludf.dummyfunction("""COMPUTED_VALUE"""),404.94)</f>
        <v>404.94</v>
      </c>
      <c r="C784" s="5" t="n">
        <f aca="false">IFERROR(__xludf.dummyfunction("""COMPUTED_VALUE"""),410.07)</f>
        <v>410.07</v>
      </c>
      <c r="D784" s="5" t="n">
        <f aca="false">IFERROR(__xludf.dummyfunction("""COMPUTED_VALUE"""),403.39)</f>
        <v>403.39</v>
      </c>
      <c r="E784" s="5" t="n">
        <f aca="false">IFERROR(__xludf.dummyfunction("""COMPUTED_VALUE"""),406.32)</f>
        <v>406.32</v>
      </c>
      <c r="F784" s="5" t="n">
        <f aca="false">IFERROR(__xludf.dummyfunction("""COMPUTED_VALUE"""),27824936)</f>
        <v>27824936</v>
      </c>
    </row>
    <row r="785" customFormat="false" ht="15.75" hidden="false" customHeight="false" outlineLevel="0" collapsed="false">
      <c r="A785" s="6" t="n">
        <f aca="false">IFERROR(__xludf.dummyfunction("""COMPUTED_VALUE"""),45336.6666666667)</f>
        <v>45336.6666666667</v>
      </c>
      <c r="B785" s="5" t="n">
        <f aca="false">IFERROR(__xludf.dummyfunction("""COMPUTED_VALUE"""),408.07)</f>
        <v>408.07</v>
      </c>
      <c r="C785" s="5" t="n">
        <f aca="false">IFERROR(__xludf.dummyfunction("""COMPUTED_VALUE"""),409.84)</f>
        <v>409.84</v>
      </c>
      <c r="D785" s="5" t="n">
        <f aca="false">IFERROR(__xludf.dummyfunction("""COMPUTED_VALUE"""),404.57)</f>
        <v>404.57</v>
      </c>
      <c r="E785" s="5" t="n">
        <f aca="false">IFERROR(__xludf.dummyfunction("""COMPUTED_VALUE"""),409.49)</f>
        <v>409.49</v>
      </c>
      <c r="F785" s="5" t="n">
        <f aca="false">IFERROR(__xludf.dummyfunction("""COMPUTED_VALUE"""),20401190)</f>
        <v>20401190</v>
      </c>
    </row>
    <row r="786" customFormat="false" ht="15.75" hidden="false" customHeight="false" outlineLevel="0" collapsed="false">
      <c r="A786" s="6" t="n">
        <f aca="false">IFERROR(__xludf.dummyfunction("""COMPUTED_VALUE"""),45337.6666666667)</f>
        <v>45337.6666666667</v>
      </c>
      <c r="B786" s="5" t="n">
        <f aca="false">IFERROR(__xludf.dummyfunction("""COMPUTED_VALUE"""),408.14)</f>
        <v>408.14</v>
      </c>
      <c r="C786" s="5" t="n">
        <f aca="false">IFERROR(__xludf.dummyfunction("""COMPUTED_VALUE"""),409.13)</f>
        <v>409.13</v>
      </c>
      <c r="D786" s="5" t="n">
        <f aca="false">IFERROR(__xludf.dummyfunction("""COMPUTED_VALUE"""),404.29)</f>
        <v>404.29</v>
      </c>
      <c r="E786" s="5" t="n">
        <f aca="false">IFERROR(__xludf.dummyfunction("""COMPUTED_VALUE"""),406.56)</f>
        <v>406.56</v>
      </c>
      <c r="F786" s="5" t="n">
        <f aca="false">IFERROR(__xludf.dummyfunction("""COMPUTED_VALUE"""),21825525)</f>
        <v>21825525</v>
      </c>
    </row>
    <row r="787" customFormat="false" ht="15.75" hidden="false" customHeight="false" outlineLevel="0" collapsed="false">
      <c r="A787" s="6" t="n">
        <f aca="false">IFERROR(__xludf.dummyfunction("""COMPUTED_VALUE"""),45338.6666666667)</f>
        <v>45338.6666666667</v>
      </c>
      <c r="B787" s="5" t="n">
        <f aca="false">IFERROR(__xludf.dummyfunction("""COMPUTED_VALUE"""),407.96)</f>
        <v>407.96</v>
      </c>
      <c r="C787" s="5" t="n">
        <f aca="false">IFERROR(__xludf.dummyfunction("""COMPUTED_VALUE"""),408.29)</f>
        <v>408.29</v>
      </c>
      <c r="D787" s="5" t="n">
        <f aca="false">IFERROR(__xludf.dummyfunction("""COMPUTED_VALUE"""),403.44)</f>
        <v>403.44</v>
      </c>
      <c r="E787" s="5" t="n">
        <f aca="false">IFERROR(__xludf.dummyfunction("""COMPUTED_VALUE"""),404.06)</f>
        <v>404.06</v>
      </c>
      <c r="F787" s="5" t="n">
        <f aca="false">IFERROR(__xludf.dummyfunction("""COMPUTED_VALUE"""),22296495)</f>
        <v>22296495</v>
      </c>
    </row>
    <row r="788" customFormat="false" ht="15.75" hidden="false" customHeight="false" outlineLevel="0" collapsed="false">
      <c r="A788" s="6" t="n">
        <f aca="false">IFERROR(__xludf.dummyfunction("""COMPUTED_VALUE"""),45342.6666666667)</f>
        <v>45342.6666666667</v>
      </c>
      <c r="B788" s="5" t="n">
        <f aca="false">IFERROR(__xludf.dummyfunction("""COMPUTED_VALUE"""),403.24)</f>
        <v>403.24</v>
      </c>
      <c r="C788" s="5" t="n">
        <f aca="false">IFERROR(__xludf.dummyfunction("""COMPUTED_VALUE"""),404.49)</f>
        <v>404.49</v>
      </c>
      <c r="D788" s="5" t="n">
        <f aca="false">IFERROR(__xludf.dummyfunction("""COMPUTED_VALUE"""),398.01)</f>
        <v>398.01</v>
      </c>
      <c r="E788" s="5" t="n">
        <f aca="false">IFERROR(__xludf.dummyfunction("""COMPUTED_VALUE"""),402.79)</f>
        <v>402.79</v>
      </c>
      <c r="F788" s="5" t="n">
        <f aca="false">IFERROR(__xludf.dummyfunction("""COMPUTED_VALUE"""),24307915)</f>
        <v>24307915</v>
      </c>
    </row>
    <row r="789" customFormat="false" ht="15.75" hidden="false" customHeight="false" outlineLevel="0" collapsed="false">
      <c r="A789" s="6" t="n">
        <f aca="false">IFERROR(__xludf.dummyfunction("""COMPUTED_VALUE"""),45343.6666666667)</f>
        <v>45343.6666666667</v>
      </c>
      <c r="B789" s="5" t="n">
        <f aca="false">IFERROR(__xludf.dummyfunction("""COMPUTED_VALUE"""),400.17)</f>
        <v>400.17</v>
      </c>
      <c r="C789" s="5" t="n">
        <f aca="false">IFERROR(__xludf.dummyfunction("""COMPUTED_VALUE"""),402.29)</f>
        <v>402.29</v>
      </c>
      <c r="D789" s="5" t="n">
        <f aca="false">IFERROR(__xludf.dummyfunction("""COMPUTED_VALUE"""),397.22)</f>
        <v>397.22</v>
      </c>
      <c r="E789" s="5" t="n">
        <f aca="false">IFERROR(__xludf.dummyfunction("""COMPUTED_VALUE"""),402.18)</f>
        <v>402.18</v>
      </c>
      <c r="F789" s="5" t="n">
        <f aca="false">IFERROR(__xludf.dummyfunction("""COMPUTED_VALUE"""),18631072)</f>
        <v>18631072</v>
      </c>
    </row>
    <row r="790" customFormat="false" ht="15.75" hidden="false" customHeight="false" outlineLevel="0" collapsed="false">
      <c r="A790" s="6" t="n">
        <f aca="false">IFERROR(__xludf.dummyfunction("""COMPUTED_VALUE"""),45344.6666666667)</f>
        <v>45344.6666666667</v>
      </c>
      <c r="B790" s="5" t="n">
        <f aca="false">IFERROR(__xludf.dummyfunction("""COMPUTED_VALUE"""),410.19)</f>
        <v>410.19</v>
      </c>
      <c r="C790" s="5" t="n">
        <f aca="false">IFERROR(__xludf.dummyfunction("""COMPUTED_VALUE"""),412.83)</f>
        <v>412.83</v>
      </c>
      <c r="D790" s="5" t="n">
        <f aca="false">IFERROR(__xludf.dummyfunction("""COMPUTED_VALUE"""),408.57)</f>
        <v>408.57</v>
      </c>
      <c r="E790" s="5" t="n">
        <f aca="false">IFERROR(__xludf.dummyfunction("""COMPUTED_VALUE"""),411.65)</f>
        <v>411.65</v>
      </c>
      <c r="F790" s="5" t="n">
        <f aca="false">IFERROR(__xludf.dummyfunction("""COMPUTED_VALUE"""),27009869)</f>
        <v>27009869</v>
      </c>
    </row>
    <row r="791" customFormat="false" ht="15.75" hidden="false" customHeight="false" outlineLevel="0" collapsed="false">
      <c r="A791" s="6" t="n">
        <f aca="false">IFERROR(__xludf.dummyfunction("""COMPUTED_VALUE"""),45345.6666666667)</f>
        <v>45345.6666666667</v>
      </c>
      <c r="B791" s="5" t="n">
        <f aca="false">IFERROR(__xludf.dummyfunction("""COMPUTED_VALUE"""),415.67)</f>
        <v>415.67</v>
      </c>
      <c r="C791" s="5" t="n">
        <f aca="false">IFERROR(__xludf.dummyfunction("""COMPUTED_VALUE"""),415.86)</f>
        <v>415.86</v>
      </c>
      <c r="D791" s="5" t="n">
        <f aca="false">IFERROR(__xludf.dummyfunction("""COMPUTED_VALUE"""),408.97)</f>
        <v>408.97</v>
      </c>
      <c r="E791" s="5" t="n">
        <f aca="false">IFERROR(__xludf.dummyfunction("""COMPUTED_VALUE"""),410.34)</f>
        <v>410.34</v>
      </c>
      <c r="F791" s="5" t="n">
        <f aca="false">IFERROR(__xludf.dummyfunction("""COMPUTED_VALUE"""),16295879)</f>
        <v>16295879</v>
      </c>
    </row>
    <row r="792" customFormat="false" ht="15.75" hidden="false" customHeight="false" outlineLevel="0" collapsed="false">
      <c r="A792" s="6" t="n">
        <f aca="false">IFERROR(__xludf.dummyfunction("""COMPUTED_VALUE"""),45348.6666666667)</f>
        <v>45348.6666666667</v>
      </c>
      <c r="B792" s="5" t="n">
        <f aca="false">IFERROR(__xludf.dummyfunction("""COMPUTED_VALUE"""),411.46)</f>
        <v>411.46</v>
      </c>
      <c r="C792" s="5" t="n">
        <f aca="false">IFERROR(__xludf.dummyfunction("""COMPUTED_VALUE"""),412.16)</f>
        <v>412.16</v>
      </c>
      <c r="D792" s="5" t="n">
        <f aca="false">IFERROR(__xludf.dummyfunction("""COMPUTED_VALUE"""),407.36)</f>
        <v>407.36</v>
      </c>
      <c r="E792" s="5" t="n">
        <f aca="false">IFERROR(__xludf.dummyfunction("""COMPUTED_VALUE"""),407.54)</f>
        <v>407.54</v>
      </c>
      <c r="F792" s="5" t="n">
        <f aca="false">IFERROR(__xludf.dummyfunction("""COMPUTED_VALUE"""),16193505)</f>
        <v>16193505</v>
      </c>
    </row>
    <row r="793" customFormat="false" ht="15.75" hidden="false" customHeight="false" outlineLevel="0" collapsed="false">
      <c r="A793" s="6" t="n">
        <f aca="false">IFERROR(__xludf.dummyfunction("""COMPUTED_VALUE"""),45349.6666666667)</f>
        <v>45349.6666666667</v>
      </c>
      <c r="B793" s="5" t="n">
        <f aca="false">IFERROR(__xludf.dummyfunction("""COMPUTED_VALUE"""),407.99)</f>
        <v>407.99</v>
      </c>
      <c r="C793" s="5" t="n">
        <f aca="false">IFERROR(__xludf.dummyfunction("""COMPUTED_VALUE"""),408.32)</f>
        <v>408.32</v>
      </c>
      <c r="D793" s="5" t="n">
        <f aca="false">IFERROR(__xludf.dummyfunction("""COMPUTED_VALUE"""),403.85)</f>
        <v>403.85</v>
      </c>
      <c r="E793" s="5" t="n">
        <f aca="false">IFERROR(__xludf.dummyfunction("""COMPUTED_VALUE"""),407.48)</f>
        <v>407.48</v>
      </c>
      <c r="F793" s="5" t="n">
        <f aca="false">IFERROR(__xludf.dummyfunction("""COMPUTED_VALUE"""),14835827)</f>
        <v>14835827</v>
      </c>
    </row>
    <row r="794" customFormat="false" ht="15.75" hidden="false" customHeight="false" outlineLevel="0" collapsed="false">
      <c r="A794" s="6" t="n">
        <f aca="false">IFERROR(__xludf.dummyfunction("""COMPUTED_VALUE"""),45350.6666666667)</f>
        <v>45350.6666666667</v>
      </c>
      <c r="B794" s="5" t="n">
        <f aca="false">IFERROR(__xludf.dummyfunction("""COMPUTED_VALUE"""),408.18)</f>
        <v>408.18</v>
      </c>
      <c r="C794" s="5" t="n">
        <f aca="false">IFERROR(__xludf.dummyfunction("""COMPUTED_VALUE"""),409.3)</f>
        <v>409.3</v>
      </c>
      <c r="D794" s="5" t="n">
        <f aca="false">IFERROR(__xludf.dummyfunction("""COMPUTED_VALUE"""),405.32)</f>
        <v>405.32</v>
      </c>
      <c r="E794" s="5" t="n">
        <f aca="false">IFERROR(__xludf.dummyfunction("""COMPUTED_VALUE"""),407.72)</f>
        <v>407.72</v>
      </c>
      <c r="F794" s="5" t="n">
        <f aca="false">IFERROR(__xludf.dummyfunction("""COMPUTED_VALUE"""),13183125)</f>
        <v>13183125</v>
      </c>
    </row>
    <row r="795" customFormat="false" ht="15.75" hidden="false" customHeight="false" outlineLevel="0" collapsed="false">
      <c r="A795" s="6" t="n">
        <f aca="false">IFERROR(__xludf.dummyfunction("""COMPUTED_VALUE"""),45351.6666666667)</f>
        <v>45351.6666666667</v>
      </c>
      <c r="B795" s="5" t="n">
        <f aca="false">IFERROR(__xludf.dummyfunction("""COMPUTED_VALUE"""),408.64)</f>
        <v>408.64</v>
      </c>
      <c r="C795" s="5" t="n">
        <f aca="false">IFERROR(__xludf.dummyfunction("""COMPUTED_VALUE"""),414.2)</f>
        <v>414.2</v>
      </c>
      <c r="D795" s="5" t="n">
        <f aca="false">IFERROR(__xludf.dummyfunction("""COMPUTED_VALUE"""),405.92)</f>
        <v>405.92</v>
      </c>
      <c r="E795" s="5" t="n">
        <f aca="false">IFERROR(__xludf.dummyfunction("""COMPUTED_VALUE"""),413.64)</f>
        <v>413.64</v>
      </c>
      <c r="F795" s="5" t="n">
        <f aca="false">IFERROR(__xludf.dummyfunction("""COMPUTED_VALUE"""),31947263)</f>
        <v>31947263</v>
      </c>
    </row>
    <row r="796" customFormat="false" ht="15.75" hidden="false" customHeight="false" outlineLevel="0" collapsed="false">
      <c r="A796" s="6" t="n">
        <f aca="false">IFERROR(__xludf.dummyfunction("""COMPUTED_VALUE"""),45352.6666666667)</f>
        <v>45352.6666666667</v>
      </c>
      <c r="B796" s="5" t="n">
        <f aca="false">IFERROR(__xludf.dummyfunction("""COMPUTED_VALUE"""),411.27)</f>
        <v>411.27</v>
      </c>
      <c r="C796" s="5" t="n">
        <f aca="false">IFERROR(__xludf.dummyfunction("""COMPUTED_VALUE"""),415.87)</f>
        <v>415.87</v>
      </c>
      <c r="D796" s="5" t="n">
        <f aca="false">IFERROR(__xludf.dummyfunction("""COMPUTED_VALUE"""),410.88)</f>
        <v>410.88</v>
      </c>
      <c r="E796" s="5" t="n">
        <f aca="false">IFERROR(__xludf.dummyfunction("""COMPUTED_VALUE"""),415.5)</f>
        <v>415.5</v>
      </c>
      <c r="F796" s="5" t="n">
        <f aca="false">IFERROR(__xludf.dummyfunction("""COMPUTED_VALUE"""),17823445)</f>
        <v>17823445</v>
      </c>
    </row>
    <row r="797" customFormat="false" ht="15.75" hidden="false" customHeight="false" outlineLevel="0" collapsed="false">
      <c r="A797" s="6" t="n">
        <f aca="false">IFERROR(__xludf.dummyfunction("""COMPUTED_VALUE"""),45355.6666666667)</f>
        <v>45355.6666666667</v>
      </c>
      <c r="B797" s="5" t="n">
        <f aca="false">IFERROR(__xludf.dummyfunction("""COMPUTED_VALUE"""),413.44)</f>
        <v>413.44</v>
      </c>
      <c r="C797" s="5" t="n">
        <f aca="false">IFERROR(__xludf.dummyfunction("""COMPUTED_VALUE"""),417.35)</f>
        <v>417.35</v>
      </c>
      <c r="D797" s="5" t="n">
        <f aca="false">IFERROR(__xludf.dummyfunction("""COMPUTED_VALUE"""),412.32)</f>
        <v>412.32</v>
      </c>
      <c r="E797" s="5" t="n">
        <f aca="false">IFERROR(__xludf.dummyfunction("""COMPUTED_VALUE"""),414.92)</f>
        <v>414.92</v>
      </c>
      <c r="F797" s="5" t="n">
        <f aca="false">IFERROR(__xludf.dummyfunction("""COMPUTED_VALUE"""),17595956)</f>
        <v>17595956</v>
      </c>
    </row>
    <row r="798" customFormat="false" ht="15.75" hidden="false" customHeight="false" outlineLevel="0" collapsed="false">
      <c r="A798" s="6" t="n">
        <f aca="false">IFERROR(__xludf.dummyfunction("""COMPUTED_VALUE"""),45356.6666666667)</f>
        <v>45356.6666666667</v>
      </c>
      <c r="B798" s="5" t="n">
        <f aca="false">IFERROR(__xludf.dummyfunction("""COMPUTED_VALUE"""),413.96)</f>
        <v>413.96</v>
      </c>
      <c r="C798" s="5" t="n">
        <f aca="false">IFERROR(__xludf.dummyfunction("""COMPUTED_VALUE"""),414.25)</f>
        <v>414.25</v>
      </c>
      <c r="D798" s="5" t="n">
        <f aca="false">IFERROR(__xludf.dummyfunction("""COMPUTED_VALUE"""),400.64)</f>
        <v>400.64</v>
      </c>
      <c r="E798" s="5" t="n">
        <f aca="false">IFERROR(__xludf.dummyfunction("""COMPUTED_VALUE"""),402.65)</f>
        <v>402.65</v>
      </c>
      <c r="F798" s="5" t="n">
        <f aca="false">IFERROR(__xludf.dummyfunction("""COMPUTED_VALUE"""),26919177)</f>
        <v>26919177</v>
      </c>
    </row>
    <row r="799" customFormat="false" ht="15.75" hidden="false" customHeight="false" outlineLevel="0" collapsed="false">
      <c r="A799" s="6" t="n">
        <f aca="false">IFERROR(__xludf.dummyfunction("""COMPUTED_VALUE"""),45357.6666666667)</f>
        <v>45357.6666666667</v>
      </c>
      <c r="B799" s="5" t="n">
        <f aca="false">IFERROR(__xludf.dummyfunction("""COMPUTED_VALUE"""),402.97)</f>
        <v>402.97</v>
      </c>
      <c r="C799" s="5" t="n">
        <f aca="false">IFERROR(__xludf.dummyfunction("""COMPUTED_VALUE"""),405.16)</f>
        <v>405.16</v>
      </c>
      <c r="D799" s="5" t="n">
        <f aca="false">IFERROR(__xludf.dummyfunction("""COMPUTED_VALUE"""),398.39)</f>
        <v>398.39</v>
      </c>
      <c r="E799" s="5" t="n">
        <f aca="false">IFERROR(__xludf.dummyfunction("""COMPUTED_VALUE"""),402.09)</f>
        <v>402.09</v>
      </c>
      <c r="F799" s="5" t="n">
        <f aca="false">IFERROR(__xludf.dummyfunction("""COMPUTED_VALUE"""),22344149)</f>
        <v>22344149</v>
      </c>
    </row>
    <row r="800" customFormat="false" ht="15.75" hidden="false" customHeight="false" outlineLevel="0" collapsed="false">
      <c r="A800" s="6" t="n">
        <f aca="false">IFERROR(__xludf.dummyfunction("""COMPUTED_VALUE"""),45358.6666666667)</f>
        <v>45358.6666666667</v>
      </c>
      <c r="B800" s="5" t="n">
        <f aca="false">IFERROR(__xludf.dummyfunction("""COMPUTED_VALUE"""),406.12)</f>
        <v>406.12</v>
      </c>
      <c r="C800" s="5" t="n">
        <f aca="false">IFERROR(__xludf.dummyfunction("""COMPUTED_VALUE"""),409.78)</f>
        <v>409.78</v>
      </c>
      <c r="D800" s="5" t="n">
        <f aca="false">IFERROR(__xludf.dummyfunction("""COMPUTED_VALUE"""),402.24)</f>
        <v>402.24</v>
      </c>
      <c r="E800" s="5" t="n">
        <f aca="false">IFERROR(__xludf.dummyfunction("""COMPUTED_VALUE"""),409.14)</f>
        <v>409.14</v>
      </c>
      <c r="F800" s="5" t="n">
        <f aca="false">IFERROR(__xludf.dummyfunction("""COMPUTED_VALUE"""),18718479)</f>
        <v>18718479</v>
      </c>
    </row>
    <row r="801" customFormat="false" ht="15.75" hidden="false" customHeight="false" outlineLevel="0" collapsed="false">
      <c r="A801" s="6" t="n">
        <f aca="false">IFERROR(__xludf.dummyfunction("""COMPUTED_VALUE"""),45359.6666666667)</f>
        <v>45359.6666666667</v>
      </c>
      <c r="B801" s="5" t="n">
        <f aca="false">IFERROR(__xludf.dummyfunction("""COMPUTED_VALUE"""),407.96)</f>
        <v>407.96</v>
      </c>
      <c r="C801" s="5" t="n">
        <f aca="false">IFERROR(__xludf.dummyfunction("""COMPUTED_VALUE"""),410.42)</f>
        <v>410.42</v>
      </c>
      <c r="D801" s="5" t="n">
        <f aca="false">IFERROR(__xludf.dummyfunction("""COMPUTED_VALUE"""),404.33)</f>
        <v>404.33</v>
      </c>
      <c r="E801" s="5" t="n">
        <f aca="false">IFERROR(__xludf.dummyfunction("""COMPUTED_VALUE"""),406.22)</f>
        <v>406.22</v>
      </c>
      <c r="F801" s="5" t="n">
        <f aca="false">IFERROR(__xludf.dummyfunction("""COMPUTED_VALUE"""),18002186)</f>
        <v>18002186</v>
      </c>
    </row>
    <row r="802" customFormat="false" ht="15.75" hidden="false" customHeight="false" outlineLevel="0" collapsed="false">
      <c r="A802" s="6" t="n">
        <f aca="false">IFERROR(__xludf.dummyfunction("""COMPUTED_VALUE"""),45362.6666666667)</f>
        <v>45362.6666666667</v>
      </c>
      <c r="B802" s="5" t="n">
        <f aca="false">IFERROR(__xludf.dummyfunction("""COMPUTED_VALUE"""),403.76)</f>
        <v>403.76</v>
      </c>
      <c r="C802" s="5" t="n">
        <f aca="false">IFERROR(__xludf.dummyfunction("""COMPUTED_VALUE"""),405.68)</f>
        <v>405.68</v>
      </c>
      <c r="D802" s="5" t="n">
        <f aca="false">IFERROR(__xludf.dummyfunction("""COMPUTED_VALUE"""),401.26)</f>
        <v>401.26</v>
      </c>
      <c r="E802" s="5" t="n">
        <f aca="false">IFERROR(__xludf.dummyfunction("""COMPUTED_VALUE"""),404.52)</f>
        <v>404.52</v>
      </c>
      <c r="F802" s="5" t="n">
        <f aca="false">IFERROR(__xludf.dummyfunction("""COMPUTED_VALUE"""),16120752)</f>
        <v>16120752</v>
      </c>
    </row>
    <row r="803" customFormat="false" ht="15.75" hidden="false" customHeight="false" outlineLevel="0" collapsed="false">
      <c r="A803" s="6" t="n">
        <f aca="false">IFERROR(__xludf.dummyfunction("""COMPUTED_VALUE"""),45363.6666666667)</f>
        <v>45363.6666666667</v>
      </c>
      <c r="B803" s="5" t="n">
        <f aca="false">IFERROR(__xludf.dummyfunction("""COMPUTED_VALUE"""),407.62)</f>
        <v>407.62</v>
      </c>
      <c r="C803" s="5" t="n">
        <f aca="false">IFERROR(__xludf.dummyfunction("""COMPUTED_VALUE"""),415.57)</f>
        <v>415.57</v>
      </c>
      <c r="D803" s="5" t="n">
        <f aca="false">IFERROR(__xludf.dummyfunction("""COMPUTED_VALUE"""),406.79)</f>
        <v>406.79</v>
      </c>
      <c r="E803" s="5" t="n">
        <f aca="false">IFERROR(__xludf.dummyfunction("""COMPUTED_VALUE"""),415.28)</f>
        <v>415.28</v>
      </c>
      <c r="F803" s="5" t="n">
        <f aca="false">IFERROR(__xludf.dummyfunction("""COMPUTED_VALUE"""),22457003)</f>
        <v>22457003</v>
      </c>
    </row>
    <row r="804" customFormat="false" ht="15.75" hidden="false" customHeight="false" outlineLevel="0" collapsed="false">
      <c r="A804" s="6" t="n">
        <f aca="false">IFERROR(__xludf.dummyfunction("""COMPUTED_VALUE"""),45364.6666666667)</f>
        <v>45364.6666666667</v>
      </c>
      <c r="B804" s="5" t="n">
        <f aca="false">IFERROR(__xludf.dummyfunction("""COMPUTED_VALUE"""),418.1)</f>
        <v>418.1</v>
      </c>
      <c r="C804" s="5" t="n">
        <f aca="false">IFERROR(__xludf.dummyfunction("""COMPUTED_VALUE"""),418.18)</f>
        <v>418.18</v>
      </c>
      <c r="D804" s="5" t="n">
        <f aca="false">IFERROR(__xludf.dummyfunction("""COMPUTED_VALUE"""),411.45)</f>
        <v>411.45</v>
      </c>
      <c r="E804" s="5" t="n">
        <f aca="false">IFERROR(__xludf.dummyfunction("""COMPUTED_VALUE"""),415.1)</f>
        <v>415.1</v>
      </c>
      <c r="F804" s="5" t="n">
        <f aca="false">IFERROR(__xludf.dummyfunction("""COMPUTED_VALUE"""),17115931)</f>
        <v>17115931</v>
      </c>
    </row>
    <row r="805" customFormat="false" ht="15.75" hidden="false" customHeight="false" outlineLevel="0" collapsed="false">
      <c r="A805" s="6" t="n">
        <f aca="false">IFERROR(__xludf.dummyfunction("""COMPUTED_VALUE"""),45365.6666666667)</f>
        <v>45365.6666666667</v>
      </c>
      <c r="B805" s="5" t="n">
        <f aca="false">IFERROR(__xludf.dummyfunction("""COMPUTED_VALUE"""),420.24)</f>
        <v>420.24</v>
      </c>
      <c r="C805" s="5" t="n">
        <f aca="false">IFERROR(__xludf.dummyfunction("""COMPUTED_VALUE"""),427.82)</f>
        <v>427.82</v>
      </c>
      <c r="D805" s="5" t="n">
        <f aca="false">IFERROR(__xludf.dummyfunction("""COMPUTED_VALUE"""),417.99)</f>
        <v>417.99</v>
      </c>
      <c r="E805" s="5" t="n">
        <f aca="false">IFERROR(__xludf.dummyfunction("""COMPUTED_VALUE"""),425.22)</f>
        <v>425.22</v>
      </c>
      <c r="F805" s="5" t="n">
        <f aca="false">IFERROR(__xludf.dummyfunction("""COMPUTED_VALUE"""),34157299)</f>
        <v>34157299</v>
      </c>
    </row>
    <row r="806" customFormat="false" ht="15.75" hidden="false" customHeight="false" outlineLevel="0" collapsed="false">
      <c r="A806" s="6" t="n">
        <f aca="false">IFERROR(__xludf.dummyfunction("""COMPUTED_VALUE"""),45366.6666666667)</f>
        <v>45366.6666666667</v>
      </c>
      <c r="B806" s="5" t="n">
        <f aca="false">IFERROR(__xludf.dummyfunction("""COMPUTED_VALUE"""),419.29)</f>
        <v>419.29</v>
      </c>
      <c r="C806" s="5" t="n">
        <f aca="false">IFERROR(__xludf.dummyfunction("""COMPUTED_VALUE"""),422.6)</f>
        <v>422.6</v>
      </c>
      <c r="D806" s="5" t="n">
        <f aca="false">IFERROR(__xludf.dummyfunction("""COMPUTED_VALUE"""),412.79)</f>
        <v>412.79</v>
      </c>
      <c r="E806" s="5" t="n">
        <f aca="false">IFERROR(__xludf.dummyfunction("""COMPUTED_VALUE"""),416.42)</f>
        <v>416.42</v>
      </c>
      <c r="F806" s="5" t="n">
        <f aca="false">IFERROR(__xludf.dummyfunction("""COMPUTED_VALUE"""),45079903)</f>
        <v>45079903</v>
      </c>
    </row>
    <row r="807" customFormat="false" ht="15.75" hidden="false" customHeight="false" outlineLevel="0" collapsed="false">
      <c r="A807" s="6" t="n">
        <f aca="false">IFERROR(__xludf.dummyfunction("""COMPUTED_VALUE"""),45369.6666666667)</f>
        <v>45369.6666666667</v>
      </c>
      <c r="B807" s="5" t="n">
        <f aca="false">IFERROR(__xludf.dummyfunction("""COMPUTED_VALUE"""),414.25)</f>
        <v>414.25</v>
      </c>
      <c r="C807" s="5" t="n">
        <f aca="false">IFERROR(__xludf.dummyfunction("""COMPUTED_VALUE"""),420.73)</f>
        <v>420.73</v>
      </c>
      <c r="D807" s="5" t="n">
        <f aca="false">IFERROR(__xludf.dummyfunction("""COMPUTED_VALUE"""),413.78)</f>
        <v>413.78</v>
      </c>
      <c r="E807" s="5" t="n">
        <f aca="false">IFERROR(__xludf.dummyfunction("""COMPUTED_VALUE"""),417.32)</f>
        <v>417.32</v>
      </c>
      <c r="F807" s="5" t="n">
        <f aca="false">IFERROR(__xludf.dummyfunction("""COMPUTED_VALUE"""),20105977)</f>
        <v>20105977</v>
      </c>
    </row>
    <row r="808" customFormat="false" ht="15.75" hidden="false" customHeight="false" outlineLevel="0" collapsed="false">
      <c r="A808" s="6" t="n">
        <f aca="false">IFERROR(__xludf.dummyfunction("""COMPUTED_VALUE"""),45370.6666666667)</f>
        <v>45370.6666666667</v>
      </c>
      <c r="B808" s="5" t="n">
        <f aca="false">IFERROR(__xludf.dummyfunction("""COMPUTED_VALUE"""),417.83)</f>
        <v>417.83</v>
      </c>
      <c r="C808" s="5" t="n">
        <f aca="false">IFERROR(__xludf.dummyfunction("""COMPUTED_VALUE"""),421.67)</f>
        <v>421.67</v>
      </c>
      <c r="D808" s="5" t="n">
        <f aca="false">IFERROR(__xludf.dummyfunction("""COMPUTED_VALUE"""),415.55)</f>
        <v>415.55</v>
      </c>
      <c r="E808" s="5" t="n">
        <f aca="false">IFERROR(__xludf.dummyfunction("""COMPUTED_VALUE"""),421.41)</f>
        <v>421.41</v>
      </c>
      <c r="F808" s="5" t="n">
        <f aca="false">IFERROR(__xludf.dummyfunction("""COMPUTED_VALUE"""),19837915)</f>
        <v>19837915</v>
      </c>
    </row>
    <row r="809" customFormat="false" ht="15.75" hidden="false" customHeight="false" outlineLevel="0" collapsed="false">
      <c r="A809" s="6" t="n">
        <f aca="false">IFERROR(__xludf.dummyfunction("""COMPUTED_VALUE"""),45371.6666666667)</f>
        <v>45371.6666666667</v>
      </c>
      <c r="B809" s="5" t="n">
        <f aca="false">IFERROR(__xludf.dummyfunction("""COMPUTED_VALUE"""),422)</f>
        <v>422</v>
      </c>
      <c r="C809" s="5" t="n">
        <f aca="false">IFERROR(__xludf.dummyfunction("""COMPUTED_VALUE"""),425.96)</f>
        <v>425.96</v>
      </c>
      <c r="D809" s="5" t="n">
        <f aca="false">IFERROR(__xludf.dummyfunction("""COMPUTED_VALUE"""),420.66)</f>
        <v>420.66</v>
      </c>
      <c r="E809" s="5" t="n">
        <f aca="false">IFERROR(__xludf.dummyfunction("""COMPUTED_VALUE"""),425.23)</f>
        <v>425.23</v>
      </c>
      <c r="F809" s="5" t="n">
        <f aca="false">IFERROR(__xludf.dummyfunction("""COMPUTED_VALUE"""),17860085)</f>
        <v>17860085</v>
      </c>
    </row>
    <row r="810" customFormat="false" ht="15.75" hidden="false" customHeight="false" outlineLevel="0" collapsed="false">
      <c r="A810" s="6" t="n">
        <f aca="false">IFERROR(__xludf.dummyfunction("""COMPUTED_VALUE"""),45372.6666666667)</f>
        <v>45372.6666666667</v>
      </c>
      <c r="B810" s="5" t="n">
        <f aca="false">IFERROR(__xludf.dummyfunction("""COMPUTED_VALUE"""),429.83)</f>
        <v>429.83</v>
      </c>
      <c r="C810" s="5" t="n">
        <f aca="false">IFERROR(__xludf.dummyfunction("""COMPUTED_VALUE"""),430.82)</f>
        <v>430.82</v>
      </c>
      <c r="D810" s="5" t="n">
        <f aca="false">IFERROR(__xludf.dummyfunction("""COMPUTED_VALUE"""),427.16)</f>
        <v>427.16</v>
      </c>
      <c r="E810" s="5" t="n">
        <f aca="false">IFERROR(__xludf.dummyfunction("""COMPUTED_VALUE"""),429.37)</f>
        <v>429.37</v>
      </c>
      <c r="F810" s="5" t="n">
        <f aca="false">IFERROR(__xludf.dummyfunction("""COMPUTED_VALUE"""),21296222)</f>
        <v>21296222</v>
      </c>
    </row>
    <row r="811" customFormat="false" ht="15.75" hidden="false" customHeight="false" outlineLevel="0" collapsed="false">
      <c r="A811" s="6" t="n">
        <f aca="false">IFERROR(__xludf.dummyfunction("""COMPUTED_VALUE"""),45373.6666666667)</f>
        <v>45373.6666666667</v>
      </c>
      <c r="B811" s="5" t="n">
        <f aca="false">IFERROR(__xludf.dummyfunction("""COMPUTED_VALUE"""),429.7)</f>
        <v>429.7</v>
      </c>
      <c r="C811" s="5" t="n">
        <f aca="false">IFERROR(__xludf.dummyfunction("""COMPUTED_VALUE"""),429.86)</f>
        <v>429.86</v>
      </c>
      <c r="D811" s="5" t="n">
        <f aca="false">IFERROR(__xludf.dummyfunction("""COMPUTED_VALUE"""),426.07)</f>
        <v>426.07</v>
      </c>
      <c r="E811" s="5" t="n">
        <f aca="false">IFERROR(__xludf.dummyfunction("""COMPUTED_VALUE"""),428.74)</f>
        <v>428.74</v>
      </c>
      <c r="F811" s="5" t="n">
        <f aca="false">IFERROR(__xludf.dummyfunction("""COMPUTED_VALUE"""),17648473)</f>
        <v>17648473</v>
      </c>
    </row>
    <row r="812" customFormat="false" ht="15.75" hidden="false" customHeight="false" outlineLevel="0" collapsed="false">
      <c r="A812" s="6" t="n">
        <f aca="false">IFERROR(__xludf.dummyfunction("""COMPUTED_VALUE"""),45376.6666666667)</f>
        <v>45376.6666666667</v>
      </c>
      <c r="B812" s="5" t="n">
        <f aca="false">IFERROR(__xludf.dummyfunction("""COMPUTED_VALUE"""),425.24)</f>
        <v>425.24</v>
      </c>
      <c r="C812" s="5" t="n">
        <f aca="false">IFERROR(__xludf.dummyfunction("""COMPUTED_VALUE"""),427.41)</f>
        <v>427.41</v>
      </c>
      <c r="D812" s="5" t="n">
        <f aca="false">IFERROR(__xludf.dummyfunction("""COMPUTED_VALUE"""),421.61)</f>
        <v>421.61</v>
      </c>
      <c r="E812" s="5" t="n">
        <f aca="false">IFERROR(__xludf.dummyfunction("""COMPUTED_VALUE"""),422.86)</f>
        <v>422.86</v>
      </c>
      <c r="F812" s="5" t="n">
        <f aca="false">IFERROR(__xludf.dummyfunction("""COMPUTED_VALUE"""),18060450)</f>
        <v>18060450</v>
      </c>
    </row>
    <row r="813" customFormat="false" ht="15.75" hidden="false" customHeight="false" outlineLevel="0" collapsed="false">
      <c r="A813" s="6" t="n">
        <f aca="false">IFERROR(__xludf.dummyfunction("""COMPUTED_VALUE"""),45377.6666666667)</f>
        <v>45377.6666666667</v>
      </c>
      <c r="B813" s="5" t="n">
        <f aca="false">IFERROR(__xludf.dummyfunction("""COMPUTED_VALUE"""),425.61)</f>
        <v>425.61</v>
      </c>
      <c r="C813" s="5" t="n">
        <f aca="false">IFERROR(__xludf.dummyfunction("""COMPUTED_VALUE"""),425.99)</f>
        <v>425.99</v>
      </c>
      <c r="D813" s="5" t="n">
        <f aca="false">IFERROR(__xludf.dummyfunction("""COMPUTED_VALUE"""),421.35)</f>
        <v>421.35</v>
      </c>
      <c r="E813" s="5" t="n">
        <f aca="false">IFERROR(__xludf.dummyfunction("""COMPUTED_VALUE"""),421.65)</f>
        <v>421.65</v>
      </c>
      <c r="F813" s="5" t="n">
        <f aca="false">IFERROR(__xludf.dummyfunction("""COMPUTED_VALUE"""),16725647)</f>
        <v>16725647</v>
      </c>
    </row>
    <row r="814" customFormat="false" ht="15.75" hidden="false" customHeight="false" outlineLevel="0" collapsed="false">
      <c r="A814" s="6" t="n">
        <f aca="false">IFERROR(__xludf.dummyfunction("""COMPUTED_VALUE"""),45378.6666666667)</f>
        <v>45378.6666666667</v>
      </c>
      <c r="B814" s="5" t="n">
        <f aca="false">IFERROR(__xludf.dummyfunction("""COMPUTED_VALUE"""),424.44)</f>
        <v>424.44</v>
      </c>
      <c r="C814" s="5" t="n">
        <f aca="false">IFERROR(__xludf.dummyfunction("""COMPUTED_VALUE"""),424.45)</f>
        <v>424.45</v>
      </c>
      <c r="D814" s="5" t="n">
        <f aca="false">IFERROR(__xludf.dummyfunction("""COMPUTED_VALUE"""),419.01)</f>
        <v>419.01</v>
      </c>
      <c r="E814" s="5" t="n">
        <f aca="false">IFERROR(__xludf.dummyfunction("""COMPUTED_VALUE"""),421.43)</f>
        <v>421.43</v>
      </c>
      <c r="F814" s="5" t="n">
        <f aca="false">IFERROR(__xludf.dummyfunction("""COMPUTED_VALUE"""),16704978)</f>
        <v>16704978</v>
      </c>
    </row>
    <row r="815" customFormat="false" ht="15.75" hidden="false" customHeight="false" outlineLevel="0" collapsed="false">
      <c r="A815" s="6" t="n">
        <f aca="false">IFERROR(__xludf.dummyfunction("""COMPUTED_VALUE"""),45379.6666666667)</f>
        <v>45379.6666666667</v>
      </c>
      <c r="B815" s="5" t="n">
        <f aca="false">IFERROR(__xludf.dummyfunction("""COMPUTED_VALUE"""),420.96)</f>
        <v>420.96</v>
      </c>
      <c r="C815" s="5" t="n">
        <f aca="false">IFERROR(__xludf.dummyfunction("""COMPUTED_VALUE"""),421.87)</f>
        <v>421.87</v>
      </c>
      <c r="D815" s="5" t="n">
        <f aca="false">IFERROR(__xludf.dummyfunction("""COMPUTED_VALUE"""),419.12)</f>
        <v>419.12</v>
      </c>
      <c r="E815" s="5" t="n">
        <f aca="false">IFERROR(__xludf.dummyfunction("""COMPUTED_VALUE"""),420.72)</f>
        <v>420.72</v>
      </c>
      <c r="F815" s="5" t="n">
        <f aca="false">IFERROR(__xludf.dummyfunction("""COMPUTED_VALUE"""),21871161)</f>
        <v>21871161</v>
      </c>
    </row>
    <row r="816" customFormat="false" ht="15.75" hidden="false" customHeight="false" outlineLevel="0" collapsed="false">
      <c r="A816" s="6" t="n">
        <f aca="false">IFERROR(__xludf.dummyfunction("""COMPUTED_VALUE"""),45383.6666666667)</f>
        <v>45383.6666666667</v>
      </c>
      <c r="B816" s="5" t="n">
        <f aca="false">IFERROR(__xludf.dummyfunction("""COMPUTED_VALUE"""),423.95)</f>
        <v>423.95</v>
      </c>
      <c r="C816" s="5" t="n">
        <f aca="false">IFERROR(__xludf.dummyfunction("""COMPUTED_VALUE"""),427.89)</f>
        <v>427.89</v>
      </c>
      <c r="D816" s="5" t="n">
        <f aca="false">IFERROR(__xludf.dummyfunction("""COMPUTED_VALUE"""),422.22)</f>
        <v>422.22</v>
      </c>
      <c r="E816" s="5" t="n">
        <f aca="false">IFERROR(__xludf.dummyfunction("""COMPUTED_VALUE"""),424.57)</f>
        <v>424.57</v>
      </c>
      <c r="F816" s="5" t="n">
        <f aca="false">IFERROR(__xludf.dummyfunction("""COMPUTED_VALUE"""),16315961)</f>
        <v>16315961</v>
      </c>
    </row>
    <row r="817" customFormat="false" ht="15.75" hidden="false" customHeight="false" outlineLevel="0" collapsed="false">
      <c r="A817" s="6" t="n">
        <f aca="false">IFERROR(__xludf.dummyfunction("""COMPUTED_VALUE"""),45384.6666666667)</f>
        <v>45384.6666666667</v>
      </c>
      <c r="B817" s="5" t="n">
        <f aca="false">IFERROR(__xludf.dummyfunction("""COMPUTED_VALUE"""),420.11)</f>
        <v>420.11</v>
      </c>
      <c r="C817" s="5" t="n">
        <f aca="false">IFERROR(__xludf.dummyfunction("""COMPUTED_VALUE"""),422.38)</f>
        <v>422.38</v>
      </c>
      <c r="D817" s="5" t="n">
        <f aca="false">IFERROR(__xludf.dummyfunction("""COMPUTED_VALUE"""),417.84)</f>
        <v>417.84</v>
      </c>
      <c r="E817" s="5" t="n">
        <f aca="false">IFERROR(__xludf.dummyfunction("""COMPUTED_VALUE"""),421.44)</f>
        <v>421.44</v>
      </c>
      <c r="F817" s="5" t="n">
        <f aca="false">IFERROR(__xludf.dummyfunction("""COMPUTED_VALUE"""),17911992)</f>
        <v>17911992</v>
      </c>
    </row>
    <row r="818" customFormat="false" ht="15.75" hidden="false" customHeight="false" outlineLevel="0" collapsed="false">
      <c r="A818" s="6" t="n">
        <f aca="false">IFERROR(__xludf.dummyfunction("""COMPUTED_VALUE"""),45385.6666666667)</f>
        <v>45385.6666666667</v>
      </c>
      <c r="B818" s="5" t="n">
        <f aca="false">IFERROR(__xludf.dummyfunction("""COMPUTED_VALUE"""),419.73)</f>
        <v>419.73</v>
      </c>
      <c r="C818" s="5" t="n">
        <f aca="false">IFERROR(__xludf.dummyfunction("""COMPUTED_VALUE"""),423.26)</f>
        <v>423.26</v>
      </c>
      <c r="D818" s="5" t="n">
        <f aca="false">IFERROR(__xludf.dummyfunction("""COMPUTED_VALUE"""),419.09)</f>
        <v>419.09</v>
      </c>
      <c r="E818" s="5" t="n">
        <f aca="false">IFERROR(__xludf.dummyfunction("""COMPUTED_VALUE"""),420.45)</f>
        <v>420.45</v>
      </c>
      <c r="F818" s="5" t="n">
        <f aca="false">IFERROR(__xludf.dummyfunction("""COMPUTED_VALUE"""),16502264)</f>
        <v>16502264</v>
      </c>
    </row>
    <row r="819" customFormat="false" ht="15.75" hidden="false" customHeight="false" outlineLevel="0" collapsed="false">
      <c r="A819" s="6" t="n">
        <f aca="false">IFERROR(__xludf.dummyfunction("""COMPUTED_VALUE"""),45386.6666666667)</f>
        <v>45386.6666666667</v>
      </c>
      <c r="B819" s="5" t="n">
        <f aca="false">IFERROR(__xludf.dummyfunction("""COMPUTED_VALUE"""),424.99)</f>
        <v>424.99</v>
      </c>
      <c r="C819" s="5" t="n">
        <f aca="false">IFERROR(__xludf.dummyfunction("""COMPUTED_VALUE"""),428.67)</f>
        <v>428.67</v>
      </c>
      <c r="D819" s="5" t="n">
        <f aca="false">IFERROR(__xludf.dummyfunction("""COMPUTED_VALUE"""),417.57)</f>
        <v>417.57</v>
      </c>
      <c r="E819" s="5" t="n">
        <f aca="false">IFERROR(__xludf.dummyfunction("""COMPUTED_VALUE"""),417.88)</f>
        <v>417.88</v>
      </c>
      <c r="F819" s="5" t="n">
        <f aca="false">IFERROR(__xludf.dummyfunction("""COMPUTED_VALUE"""),19370875)</f>
        <v>19370875</v>
      </c>
    </row>
    <row r="820" customFormat="false" ht="15.75" hidden="false" customHeight="false" outlineLevel="0" collapsed="false">
      <c r="A820" s="6" t="n">
        <f aca="false">IFERROR(__xludf.dummyfunction("""COMPUTED_VALUE"""),45387.6666666667)</f>
        <v>45387.6666666667</v>
      </c>
      <c r="B820" s="5" t="n">
        <f aca="false">IFERROR(__xludf.dummyfunction("""COMPUTED_VALUE"""),420.01)</f>
        <v>420.01</v>
      </c>
      <c r="C820" s="5" t="n">
        <f aca="false">IFERROR(__xludf.dummyfunction("""COMPUTED_VALUE"""),426.51)</f>
        <v>426.51</v>
      </c>
      <c r="D820" s="5" t="n">
        <f aca="false">IFERROR(__xludf.dummyfunction("""COMPUTED_VALUE"""),418.32)</f>
        <v>418.32</v>
      </c>
      <c r="E820" s="5" t="n">
        <f aca="false">IFERROR(__xludf.dummyfunction("""COMPUTED_VALUE"""),425.52)</f>
        <v>425.52</v>
      </c>
      <c r="F820" s="5" t="n">
        <f aca="false">IFERROR(__xludf.dummyfunction("""COMPUTED_VALUE"""),16554761)</f>
        <v>16554761</v>
      </c>
    </row>
    <row r="821" customFormat="false" ht="15.75" hidden="false" customHeight="false" outlineLevel="0" collapsed="false">
      <c r="A821" s="6" t="n">
        <f aca="false">IFERROR(__xludf.dummyfunction("""COMPUTED_VALUE"""),45390.6666666667)</f>
        <v>45390.6666666667</v>
      </c>
      <c r="B821" s="5" t="n">
        <f aca="false">IFERROR(__xludf.dummyfunction("""COMPUTED_VALUE"""),425.17)</f>
        <v>425.17</v>
      </c>
      <c r="C821" s="5" t="n">
        <f aca="false">IFERROR(__xludf.dummyfunction("""COMPUTED_VALUE"""),427.28)</f>
        <v>427.28</v>
      </c>
      <c r="D821" s="5" t="n">
        <f aca="false">IFERROR(__xludf.dummyfunction("""COMPUTED_VALUE"""),423.3)</f>
        <v>423.3</v>
      </c>
      <c r="E821" s="5" t="n">
        <f aca="false">IFERROR(__xludf.dummyfunction("""COMPUTED_VALUE"""),424.59)</f>
        <v>424.59</v>
      </c>
      <c r="F821" s="5" t="n">
        <f aca="false">IFERROR(__xludf.dummyfunction("""COMPUTED_VALUE"""),14272387)</f>
        <v>14272387</v>
      </c>
    </row>
    <row r="822" customFormat="false" ht="15.75" hidden="false" customHeight="false" outlineLevel="0" collapsed="false">
      <c r="A822" s="6" t="n">
        <f aca="false">IFERROR(__xludf.dummyfunction("""COMPUTED_VALUE"""),45391.6666666667)</f>
        <v>45391.6666666667</v>
      </c>
      <c r="B822" s="5" t="n">
        <f aca="false">IFERROR(__xludf.dummyfunction("""COMPUTED_VALUE"""),426.44)</f>
        <v>426.44</v>
      </c>
      <c r="C822" s="5" t="n">
        <f aca="false">IFERROR(__xludf.dummyfunction("""COMPUTED_VALUE"""),427.74)</f>
        <v>427.74</v>
      </c>
      <c r="D822" s="5" t="n">
        <f aca="false">IFERROR(__xludf.dummyfunction("""COMPUTED_VALUE"""),421.62)</f>
        <v>421.62</v>
      </c>
      <c r="E822" s="5" t="n">
        <f aca="false">IFERROR(__xludf.dummyfunction("""COMPUTED_VALUE"""),426.28)</f>
        <v>426.28</v>
      </c>
      <c r="F822" s="5" t="n">
        <f aca="false">IFERROR(__xludf.dummyfunction("""COMPUTED_VALUE"""),12512289)</f>
        <v>12512289</v>
      </c>
    </row>
    <row r="823" customFormat="false" ht="15.75" hidden="false" customHeight="false" outlineLevel="0" collapsed="false">
      <c r="A823" s="6" t="n">
        <f aca="false">IFERROR(__xludf.dummyfunction("""COMPUTED_VALUE"""),45392.6666666667)</f>
        <v>45392.6666666667</v>
      </c>
      <c r="B823" s="5" t="n">
        <f aca="false">IFERROR(__xludf.dummyfunction("""COMPUTED_VALUE"""),422.19)</f>
        <v>422.19</v>
      </c>
      <c r="C823" s="5" t="n">
        <f aca="false">IFERROR(__xludf.dummyfunction("""COMPUTED_VALUE"""),424.03)</f>
        <v>424.03</v>
      </c>
      <c r="D823" s="5" t="n">
        <f aca="false">IFERROR(__xludf.dummyfunction("""COMPUTED_VALUE"""),419.7)</f>
        <v>419.7</v>
      </c>
      <c r="E823" s="5" t="n">
        <f aca="false">IFERROR(__xludf.dummyfunction("""COMPUTED_VALUE"""),423.26)</f>
        <v>423.26</v>
      </c>
      <c r="F823" s="5" t="n">
        <f aca="false">IFERROR(__xludf.dummyfunction("""COMPUTED_VALUE"""),16216581)</f>
        <v>16216581</v>
      </c>
    </row>
    <row r="824" customFormat="false" ht="15.75" hidden="false" customHeight="false" outlineLevel="0" collapsed="false">
      <c r="A824" s="6" t="n">
        <f aca="false">IFERROR(__xludf.dummyfunction("""COMPUTED_VALUE"""),45393.6666666667)</f>
        <v>45393.6666666667</v>
      </c>
      <c r="B824" s="5" t="n">
        <f aca="false">IFERROR(__xludf.dummyfunction("""COMPUTED_VALUE"""),425.82)</f>
        <v>425.82</v>
      </c>
      <c r="C824" s="5" t="n">
        <f aca="false">IFERROR(__xludf.dummyfunction("""COMPUTED_VALUE"""),429.37)</f>
        <v>429.37</v>
      </c>
      <c r="D824" s="5" t="n">
        <f aca="false">IFERROR(__xludf.dummyfunction("""COMPUTED_VALUE"""),422.36)</f>
        <v>422.36</v>
      </c>
      <c r="E824" s="5" t="n">
        <f aca="false">IFERROR(__xludf.dummyfunction("""COMPUTED_VALUE"""),427.93)</f>
        <v>427.93</v>
      </c>
      <c r="F824" s="5" t="n">
        <f aca="false">IFERROR(__xludf.dummyfunction("""COMPUTED_VALUE"""),17966423)</f>
        <v>17966423</v>
      </c>
    </row>
    <row r="825" customFormat="false" ht="15.75" hidden="false" customHeight="false" outlineLevel="0" collapsed="false">
      <c r="A825" s="6" t="n">
        <f aca="false">IFERROR(__xludf.dummyfunction("""COMPUTED_VALUE"""),45394.6666666667)</f>
        <v>45394.6666666667</v>
      </c>
      <c r="B825" s="5" t="n">
        <f aca="false">IFERROR(__xludf.dummyfunction("""COMPUTED_VALUE"""),424.05)</f>
        <v>424.05</v>
      </c>
      <c r="C825" s="5" t="n">
        <f aca="false">IFERROR(__xludf.dummyfunction("""COMPUTED_VALUE"""),425.18)</f>
        <v>425.18</v>
      </c>
      <c r="D825" s="5" t="n">
        <f aca="false">IFERROR(__xludf.dummyfunction("""COMPUTED_VALUE"""),419.77)</f>
        <v>419.77</v>
      </c>
      <c r="E825" s="5" t="n">
        <f aca="false">IFERROR(__xludf.dummyfunction("""COMPUTED_VALUE"""),421.9)</f>
        <v>421.9</v>
      </c>
      <c r="F825" s="5" t="n">
        <f aca="false">IFERROR(__xludf.dummyfunction("""COMPUTED_VALUE"""),19253750)</f>
        <v>19253750</v>
      </c>
    </row>
    <row r="826" customFormat="false" ht="15.75" hidden="false" customHeight="false" outlineLevel="0" collapsed="false">
      <c r="A826" s="6" t="n">
        <f aca="false">IFERROR(__xludf.dummyfunction("""COMPUTED_VALUE"""),45397.6666666667)</f>
        <v>45397.6666666667</v>
      </c>
      <c r="B826" s="5" t="n">
        <f aca="false">IFERROR(__xludf.dummyfunction("""COMPUTED_VALUE"""),426.6)</f>
        <v>426.6</v>
      </c>
      <c r="C826" s="5" t="n">
        <f aca="false">IFERROR(__xludf.dummyfunction("""COMPUTED_VALUE"""),426.82)</f>
        <v>426.82</v>
      </c>
      <c r="D826" s="5" t="n">
        <f aca="false">IFERROR(__xludf.dummyfunction("""COMPUTED_VALUE"""),413.43)</f>
        <v>413.43</v>
      </c>
      <c r="E826" s="5" t="n">
        <f aca="false">IFERROR(__xludf.dummyfunction("""COMPUTED_VALUE"""),413.64)</f>
        <v>413.64</v>
      </c>
      <c r="F826" s="5" t="n">
        <f aca="false">IFERROR(__xludf.dummyfunction("""COMPUTED_VALUE"""),20273538)</f>
        <v>20273538</v>
      </c>
    </row>
    <row r="827" customFormat="false" ht="15.75" hidden="false" customHeight="false" outlineLevel="0" collapsed="false">
      <c r="A827" s="6" t="n">
        <f aca="false">IFERROR(__xludf.dummyfunction("""COMPUTED_VALUE"""),45398.6666666667)</f>
        <v>45398.6666666667</v>
      </c>
      <c r="B827" s="5" t="n">
        <f aca="false">IFERROR(__xludf.dummyfunction("""COMPUTED_VALUE"""),414.57)</f>
        <v>414.57</v>
      </c>
      <c r="C827" s="5" t="n">
        <f aca="false">IFERROR(__xludf.dummyfunction("""COMPUTED_VALUE"""),418.4)</f>
        <v>418.4</v>
      </c>
      <c r="D827" s="5" t="n">
        <f aca="false">IFERROR(__xludf.dummyfunction("""COMPUTED_VALUE"""),413.73)</f>
        <v>413.73</v>
      </c>
      <c r="E827" s="5" t="n">
        <f aca="false">IFERROR(__xludf.dummyfunction("""COMPUTED_VALUE"""),414.58)</f>
        <v>414.58</v>
      </c>
      <c r="F827" s="5" t="n">
        <f aca="false">IFERROR(__xludf.dummyfunction("""COMPUTED_VALUE"""),16765616)</f>
        <v>16765616</v>
      </c>
    </row>
    <row r="828" customFormat="false" ht="15.75" hidden="false" customHeight="false" outlineLevel="0" collapsed="false">
      <c r="A828" s="6" t="n">
        <f aca="false">IFERROR(__xludf.dummyfunction("""COMPUTED_VALUE"""),45399.6666666667)</f>
        <v>45399.6666666667</v>
      </c>
      <c r="B828" s="5" t="n">
        <f aca="false">IFERROR(__xludf.dummyfunction("""COMPUTED_VALUE"""),417.25)</f>
        <v>417.25</v>
      </c>
      <c r="C828" s="5" t="n">
        <f aca="false">IFERROR(__xludf.dummyfunction("""COMPUTED_VALUE"""),418.88)</f>
        <v>418.88</v>
      </c>
      <c r="D828" s="5" t="n">
        <f aca="false">IFERROR(__xludf.dummyfunction("""COMPUTED_VALUE"""),410.33)</f>
        <v>410.33</v>
      </c>
      <c r="E828" s="5" t="n">
        <f aca="false">IFERROR(__xludf.dummyfunction("""COMPUTED_VALUE"""),411.84)</f>
        <v>411.84</v>
      </c>
      <c r="F828" s="5" t="n">
        <f aca="false">IFERROR(__xludf.dummyfunction("""COMPUTED_VALUE"""),15855485)</f>
        <v>15855485</v>
      </c>
    </row>
    <row r="829" customFormat="false" ht="15.75" hidden="false" customHeight="false" outlineLevel="0" collapsed="false">
      <c r="A829" s="6" t="n">
        <f aca="false">IFERROR(__xludf.dummyfunction("""COMPUTED_VALUE"""),45400.6666666667)</f>
        <v>45400.6666666667</v>
      </c>
      <c r="B829" s="5" t="n">
        <f aca="false">IFERROR(__xludf.dummyfunction("""COMPUTED_VALUE"""),410.63)</f>
        <v>410.63</v>
      </c>
      <c r="C829" s="5" t="n">
        <f aca="false">IFERROR(__xludf.dummyfunction("""COMPUTED_VALUE"""),411.89)</f>
        <v>411.89</v>
      </c>
      <c r="D829" s="5" t="n">
        <f aca="false">IFERROR(__xludf.dummyfunction("""COMPUTED_VALUE"""),403.95)</f>
        <v>403.95</v>
      </c>
      <c r="E829" s="5" t="n">
        <f aca="false">IFERROR(__xludf.dummyfunction("""COMPUTED_VALUE"""),404.27)</f>
        <v>404.27</v>
      </c>
      <c r="F829" s="5" t="n">
        <f aca="false">IFERROR(__xludf.dummyfunction("""COMPUTED_VALUE"""),21029917)</f>
        <v>21029917</v>
      </c>
    </row>
    <row r="830" customFormat="false" ht="15.75" hidden="false" customHeight="false" outlineLevel="0" collapsed="false">
      <c r="A830" s="6" t="n">
        <f aca="false">IFERROR(__xludf.dummyfunction("""COMPUTED_VALUE"""),45401.6666666667)</f>
        <v>45401.6666666667</v>
      </c>
      <c r="B830" s="5" t="n">
        <f aca="false">IFERROR(__xludf.dummyfunction("""COMPUTED_VALUE"""),404.03)</f>
        <v>404.03</v>
      </c>
      <c r="C830" s="5" t="n">
        <f aca="false">IFERROR(__xludf.dummyfunction("""COMPUTED_VALUE"""),405.48)</f>
        <v>405.48</v>
      </c>
      <c r="D830" s="5" t="n">
        <f aca="false">IFERROR(__xludf.dummyfunction("""COMPUTED_VALUE"""),397.77)</f>
        <v>397.77</v>
      </c>
      <c r="E830" s="5" t="n">
        <f aca="false">IFERROR(__xludf.dummyfunction("""COMPUTED_VALUE"""),399.12)</f>
        <v>399.12</v>
      </c>
      <c r="F830" s="5" t="n">
        <f aca="false">IFERROR(__xludf.dummyfunction("""COMPUTED_VALUE"""),30565789)</f>
        <v>30565789</v>
      </c>
    </row>
    <row r="831" customFormat="false" ht="15.75" hidden="false" customHeight="false" outlineLevel="0" collapsed="false">
      <c r="A831" s="6" t="n">
        <f aca="false">IFERROR(__xludf.dummyfunction("""COMPUTED_VALUE"""),45404.6666666667)</f>
        <v>45404.6666666667</v>
      </c>
      <c r="B831" s="5" t="n">
        <f aca="false">IFERROR(__xludf.dummyfunction("""COMPUTED_VALUE"""),400.08)</f>
        <v>400.08</v>
      </c>
      <c r="C831" s="5" t="n">
        <f aca="false">IFERROR(__xludf.dummyfunction("""COMPUTED_VALUE"""),402.85)</f>
        <v>402.85</v>
      </c>
      <c r="D831" s="5" t="n">
        <f aca="false">IFERROR(__xludf.dummyfunction("""COMPUTED_VALUE"""),395.75)</f>
        <v>395.75</v>
      </c>
      <c r="E831" s="5" t="n">
        <f aca="false">IFERROR(__xludf.dummyfunction("""COMPUTED_VALUE"""),400.96)</f>
        <v>400.96</v>
      </c>
      <c r="F831" s="5" t="n">
        <f aca="false">IFERROR(__xludf.dummyfunction("""COMPUTED_VALUE"""),20286875)</f>
        <v>20286875</v>
      </c>
    </row>
    <row r="832" customFormat="false" ht="15.75" hidden="false" customHeight="false" outlineLevel="0" collapsed="false">
      <c r="A832" s="6" t="n">
        <f aca="false">IFERROR(__xludf.dummyfunction("""COMPUTED_VALUE"""),45405.6666666667)</f>
        <v>45405.6666666667</v>
      </c>
      <c r="B832" s="5" t="n">
        <f aca="false">IFERROR(__xludf.dummyfunction("""COMPUTED_VALUE"""),404.24)</f>
        <v>404.24</v>
      </c>
      <c r="C832" s="5" t="n">
        <f aca="false">IFERROR(__xludf.dummyfunction("""COMPUTED_VALUE"""),408.2)</f>
        <v>408.2</v>
      </c>
      <c r="D832" s="5" t="n">
        <f aca="false">IFERROR(__xludf.dummyfunction("""COMPUTED_VALUE"""),403.06)</f>
        <v>403.06</v>
      </c>
      <c r="E832" s="5" t="n">
        <f aca="false">IFERROR(__xludf.dummyfunction("""COMPUTED_VALUE"""),407.57)</f>
        <v>407.57</v>
      </c>
      <c r="F832" s="5" t="n">
        <f aca="false">IFERROR(__xludf.dummyfunction("""COMPUTED_VALUE"""),15734501)</f>
        <v>15734501</v>
      </c>
    </row>
    <row r="833" customFormat="false" ht="15.75" hidden="false" customHeight="false" outlineLevel="0" collapsed="false">
      <c r="A833" s="6" t="n">
        <f aca="false">IFERROR(__xludf.dummyfunction("""COMPUTED_VALUE"""),45406.6666666667)</f>
        <v>45406.6666666667</v>
      </c>
      <c r="B833" s="5" t="n">
        <f aca="false">IFERROR(__xludf.dummyfunction("""COMPUTED_VALUE"""),409.56)</f>
        <v>409.56</v>
      </c>
      <c r="C833" s="5" t="n">
        <f aca="false">IFERROR(__xludf.dummyfunction("""COMPUTED_VALUE"""),412.47)</f>
        <v>412.47</v>
      </c>
      <c r="D833" s="5" t="n">
        <f aca="false">IFERROR(__xludf.dummyfunction("""COMPUTED_VALUE"""),406.78)</f>
        <v>406.78</v>
      </c>
      <c r="E833" s="5" t="n">
        <f aca="false">IFERROR(__xludf.dummyfunction("""COMPUTED_VALUE"""),409.06)</f>
        <v>409.06</v>
      </c>
      <c r="F833" s="5" t="n">
        <f aca="false">IFERROR(__xludf.dummyfunction("""COMPUTED_VALUE"""),15065330)</f>
        <v>15065330</v>
      </c>
    </row>
    <row r="834" customFormat="false" ht="15.75" hidden="false" customHeight="false" outlineLevel="0" collapsed="false">
      <c r="A834" s="6" t="n">
        <f aca="false">IFERROR(__xludf.dummyfunction("""COMPUTED_VALUE"""),45407.6666666667)</f>
        <v>45407.6666666667</v>
      </c>
      <c r="B834" s="5" t="n">
        <f aca="false">IFERROR(__xludf.dummyfunction("""COMPUTED_VALUE"""),394.03)</f>
        <v>394.03</v>
      </c>
      <c r="C834" s="5" t="n">
        <f aca="false">IFERROR(__xludf.dummyfunction("""COMPUTED_VALUE"""),399.89)</f>
        <v>399.89</v>
      </c>
      <c r="D834" s="5" t="n">
        <f aca="false">IFERROR(__xludf.dummyfunction("""COMPUTED_VALUE"""),388.03)</f>
        <v>388.03</v>
      </c>
      <c r="E834" s="5" t="n">
        <f aca="false">IFERROR(__xludf.dummyfunction("""COMPUTED_VALUE"""),399.04)</f>
        <v>399.04</v>
      </c>
      <c r="F834" s="5" t="n">
        <f aca="false">IFERROR(__xludf.dummyfunction("""COMPUTED_VALUE"""),40586450)</f>
        <v>40586450</v>
      </c>
    </row>
    <row r="835" customFormat="false" ht="15.75" hidden="false" customHeight="false" outlineLevel="0" collapsed="false">
      <c r="A835" s="6" t="n">
        <f aca="false">IFERROR(__xludf.dummyfunction("""COMPUTED_VALUE"""),45408.6666666667)</f>
        <v>45408.6666666667</v>
      </c>
      <c r="B835" s="5" t="n">
        <f aca="false">IFERROR(__xludf.dummyfunction("""COMPUTED_VALUE"""),412.17)</f>
        <v>412.17</v>
      </c>
      <c r="C835" s="5" t="n">
        <f aca="false">IFERROR(__xludf.dummyfunction("""COMPUTED_VALUE"""),413)</f>
        <v>413</v>
      </c>
      <c r="D835" s="5" t="n">
        <f aca="false">IFERROR(__xludf.dummyfunction("""COMPUTED_VALUE"""),405.76)</f>
        <v>405.76</v>
      </c>
      <c r="E835" s="5" t="n">
        <f aca="false">IFERROR(__xludf.dummyfunction("""COMPUTED_VALUE"""),406.32)</f>
        <v>406.32</v>
      </c>
      <c r="F835" s="5" t="n">
        <f aca="false">IFERROR(__xludf.dummyfunction("""COMPUTED_VALUE"""),29694654)</f>
        <v>29694654</v>
      </c>
    </row>
    <row r="836" customFormat="false" ht="15.75" hidden="false" customHeight="false" outlineLevel="0" collapsed="false">
      <c r="A836" s="6" t="n">
        <f aca="false">IFERROR(__xludf.dummyfunction("""COMPUTED_VALUE"""),45411.6666666667)</f>
        <v>45411.6666666667</v>
      </c>
      <c r="B836" s="5" t="n">
        <f aca="false">IFERROR(__xludf.dummyfunction("""COMPUTED_VALUE"""),405.25)</f>
        <v>405.25</v>
      </c>
      <c r="C836" s="5" t="n">
        <f aca="false">IFERROR(__xludf.dummyfunction("""COMPUTED_VALUE"""),406.32)</f>
        <v>406.32</v>
      </c>
      <c r="D836" s="5" t="n">
        <f aca="false">IFERROR(__xludf.dummyfunction("""COMPUTED_VALUE"""),399.19)</f>
        <v>399.19</v>
      </c>
      <c r="E836" s="5" t="n">
        <f aca="false">IFERROR(__xludf.dummyfunction("""COMPUTED_VALUE"""),402.25)</f>
        <v>402.25</v>
      </c>
      <c r="F836" s="5" t="n">
        <f aca="false">IFERROR(__xludf.dummyfunction("""COMPUTED_VALUE"""),19582091)</f>
        <v>19582091</v>
      </c>
    </row>
    <row r="837" customFormat="false" ht="15.75" hidden="false" customHeight="false" outlineLevel="0" collapsed="false">
      <c r="A837" s="6" t="n">
        <f aca="false">IFERROR(__xludf.dummyfunction("""COMPUTED_VALUE"""),45412.6666666667)</f>
        <v>45412.6666666667</v>
      </c>
      <c r="B837" s="5" t="n">
        <f aca="false">IFERROR(__xludf.dummyfunction("""COMPUTED_VALUE"""),401.49)</f>
        <v>401.49</v>
      </c>
      <c r="C837" s="5" t="n">
        <f aca="false">IFERROR(__xludf.dummyfunction("""COMPUTED_VALUE"""),402.16)</f>
        <v>402.16</v>
      </c>
      <c r="D837" s="5" t="n">
        <f aca="false">IFERROR(__xludf.dummyfunction("""COMPUTED_VALUE"""),389.17)</f>
        <v>389.17</v>
      </c>
      <c r="E837" s="5" t="n">
        <f aca="false">IFERROR(__xludf.dummyfunction("""COMPUTED_VALUE"""),389.33)</f>
        <v>389.33</v>
      </c>
      <c r="F837" s="5" t="n">
        <f aca="false">IFERROR(__xludf.dummyfunction("""COMPUTED_VALUE"""),28781374)</f>
        <v>28781374</v>
      </c>
    </row>
    <row r="838" customFormat="false" ht="15.75" hidden="false" customHeight="false" outlineLevel="0" collapsed="false">
      <c r="A838" s="6" t="n">
        <f aca="false">IFERROR(__xludf.dummyfunction("""COMPUTED_VALUE"""),45413.6666666667)</f>
        <v>45413.6666666667</v>
      </c>
      <c r="B838" s="5" t="n">
        <f aca="false">IFERROR(__xludf.dummyfunction("""COMPUTED_VALUE"""),392.61)</f>
        <v>392.61</v>
      </c>
      <c r="C838" s="5" t="n">
        <f aca="false">IFERROR(__xludf.dummyfunction("""COMPUTED_VALUE"""),401.72)</f>
        <v>401.72</v>
      </c>
      <c r="D838" s="5" t="n">
        <f aca="false">IFERROR(__xludf.dummyfunction("""COMPUTED_VALUE"""),390.31)</f>
        <v>390.31</v>
      </c>
      <c r="E838" s="5" t="n">
        <f aca="false">IFERROR(__xludf.dummyfunction("""COMPUTED_VALUE"""),394.94)</f>
        <v>394.94</v>
      </c>
      <c r="F838" s="5" t="n">
        <f aca="false">IFERROR(__xludf.dummyfunction("""COMPUTED_VALUE"""),23562481)</f>
        <v>23562481</v>
      </c>
    </row>
    <row r="839" customFormat="false" ht="15.75" hidden="false" customHeight="false" outlineLevel="0" collapsed="false">
      <c r="A839" s="6" t="n">
        <f aca="false">IFERROR(__xludf.dummyfunction("""COMPUTED_VALUE"""),45414.6666666667)</f>
        <v>45414.6666666667</v>
      </c>
      <c r="B839" s="5" t="n">
        <f aca="false">IFERROR(__xludf.dummyfunction("""COMPUTED_VALUE"""),397.66)</f>
        <v>397.66</v>
      </c>
      <c r="C839" s="5" t="n">
        <f aca="false">IFERROR(__xludf.dummyfunction("""COMPUTED_VALUE"""),399.93)</f>
        <v>399.93</v>
      </c>
      <c r="D839" s="5" t="n">
        <f aca="false">IFERROR(__xludf.dummyfunction("""COMPUTED_VALUE"""),394.65)</f>
        <v>394.65</v>
      </c>
      <c r="E839" s="5" t="n">
        <f aca="false">IFERROR(__xludf.dummyfunction("""COMPUTED_VALUE"""),397.84)</f>
        <v>397.84</v>
      </c>
      <c r="F839" s="5" t="n">
        <f aca="false">IFERROR(__xludf.dummyfunction("""COMPUTED_VALUE"""),17709364)</f>
        <v>17709364</v>
      </c>
    </row>
    <row r="840" customFormat="false" ht="15.75" hidden="false" customHeight="false" outlineLevel="0" collapsed="false">
      <c r="A840" s="6" t="n">
        <f aca="false">IFERROR(__xludf.dummyfunction("""COMPUTED_VALUE"""),45415.6666666667)</f>
        <v>45415.6666666667</v>
      </c>
      <c r="B840" s="5" t="n">
        <f aca="false">IFERROR(__xludf.dummyfunction("""COMPUTED_VALUE"""),402.28)</f>
        <v>402.28</v>
      </c>
      <c r="C840" s="5" t="n">
        <f aca="false">IFERROR(__xludf.dummyfunction("""COMPUTED_VALUE"""),407.15)</f>
        <v>407.15</v>
      </c>
      <c r="D840" s="5" t="n">
        <f aca="false">IFERROR(__xludf.dummyfunction("""COMPUTED_VALUE"""),401.86)</f>
        <v>401.86</v>
      </c>
      <c r="E840" s="5" t="n">
        <f aca="false">IFERROR(__xludf.dummyfunction("""COMPUTED_VALUE"""),406.66)</f>
        <v>406.66</v>
      </c>
      <c r="F840" s="5" t="n">
        <f aca="false">IFERROR(__xludf.dummyfunction("""COMPUTED_VALUE"""),17446724)</f>
        <v>17446724</v>
      </c>
    </row>
    <row r="841" customFormat="false" ht="15.75" hidden="false" customHeight="false" outlineLevel="0" collapsed="false">
      <c r="A841" s="6" t="n">
        <f aca="false">IFERROR(__xludf.dummyfunction("""COMPUTED_VALUE"""),45418.6666666667)</f>
        <v>45418.6666666667</v>
      </c>
      <c r="B841" s="5" t="n">
        <f aca="false">IFERROR(__xludf.dummyfunction("""COMPUTED_VALUE"""),408.76)</f>
        <v>408.76</v>
      </c>
      <c r="C841" s="5" t="n">
        <f aca="false">IFERROR(__xludf.dummyfunction("""COMPUTED_VALUE"""),413.93)</f>
        <v>413.93</v>
      </c>
      <c r="D841" s="5" t="n">
        <f aca="false">IFERROR(__xludf.dummyfunction("""COMPUTED_VALUE"""),406.37)</f>
        <v>406.37</v>
      </c>
      <c r="E841" s="5" t="n">
        <f aca="false">IFERROR(__xludf.dummyfunction("""COMPUTED_VALUE"""),413.54)</f>
        <v>413.54</v>
      </c>
      <c r="F841" s="5" t="n">
        <f aca="false">IFERROR(__xludf.dummyfunction("""COMPUTED_VALUE"""),16996639)</f>
        <v>16996639</v>
      </c>
    </row>
    <row r="842" customFormat="false" ht="15.75" hidden="false" customHeight="false" outlineLevel="0" collapsed="false">
      <c r="A842" s="6" t="n">
        <f aca="false">IFERROR(__xludf.dummyfunction("""COMPUTED_VALUE"""),45419.6666666667)</f>
        <v>45419.6666666667</v>
      </c>
      <c r="B842" s="5" t="n">
        <f aca="false">IFERROR(__xludf.dummyfunction("""COMPUTED_VALUE"""),414.66)</f>
        <v>414.66</v>
      </c>
      <c r="C842" s="5" t="n">
        <f aca="false">IFERROR(__xludf.dummyfunction("""COMPUTED_VALUE"""),414.67)</f>
        <v>414.67</v>
      </c>
      <c r="D842" s="5" t="n">
        <f aca="false">IFERROR(__xludf.dummyfunction("""COMPUTED_VALUE"""),409.09)</f>
        <v>409.09</v>
      </c>
      <c r="E842" s="5" t="n">
        <f aca="false">IFERROR(__xludf.dummyfunction("""COMPUTED_VALUE"""),409.34)</f>
        <v>409.34</v>
      </c>
      <c r="F842" s="5" t="n">
        <f aca="false">IFERROR(__xludf.dummyfunction("""COMPUTED_VALUE"""),20018228)</f>
        <v>20018228</v>
      </c>
    </row>
    <row r="843" customFormat="false" ht="15.75" hidden="false" customHeight="false" outlineLevel="0" collapsed="false">
      <c r="A843" s="6" t="n">
        <f aca="false">IFERROR(__xludf.dummyfunction("""COMPUTED_VALUE"""),45420.6666666667)</f>
        <v>45420.6666666667</v>
      </c>
      <c r="B843" s="5" t="n">
        <f aca="false">IFERROR(__xludf.dummyfunction("""COMPUTED_VALUE"""),408.17)</f>
        <v>408.17</v>
      </c>
      <c r="C843" s="5" t="n">
        <f aca="false">IFERROR(__xludf.dummyfunction("""COMPUTED_VALUE"""),412.23)</f>
        <v>412.23</v>
      </c>
      <c r="D843" s="5" t="n">
        <f aca="false">IFERROR(__xludf.dummyfunction("""COMPUTED_VALUE"""),406.71)</f>
        <v>406.71</v>
      </c>
      <c r="E843" s="5" t="n">
        <f aca="false">IFERROR(__xludf.dummyfunction("""COMPUTED_VALUE"""),410.54)</f>
        <v>410.54</v>
      </c>
      <c r="F843" s="5" t="n">
        <f aca="false">IFERROR(__xludf.dummyfunction("""COMPUTED_VALUE"""),11792308)</f>
        <v>11792308</v>
      </c>
    </row>
    <row r="844" customFormat="false" ht="15.75" hidden="false" customHeight="false" outlineLevel="0" collapsed="false">
      <c r="A844" s="6" t="n">
        <f aca="false">IFERROR(__xludf.dummyfunction("""COMPUTED_VALUE"""),45421.6666666667)</f>
        <v>45421.6666666667</v>
      </c>
      <c r="B844" s="5" t="n">
        <f aca="false">IFERROR(__xludf.dummyfunction("""COMPUTED_VALUE"""),410.57)</f>
        <v>410.57</v>
      </c>
      <c r="C844" s="5" t="n">
        <f aca="false">IFERROR(__xludf.dummyfunction("""COMPUTED_VALUE"""),412.72)</f>
        <v>412.72</v>
      </c>
      <c r="D844" s="5" t="n">
        <f aca="false">IFERROR(__xludf.dummyfunction("""COMPUTED_VALUE"""),409.1)</f>
        <v>409.1</v>
      </c>
      <c r="E844" s="5" t="n">
        <f aca="false">IFERROR(__xludf.dummyfunction("""COMPUTED_VALUE"""),412.32)</f>
        <v>412.32</v>
      </c>
      <c r="F844" s="5" t="n">
        <f aca="false">IFERROR(__xludf.dummyfunction("""COMPUTED_VALUE"""),14689727)</f>
        <v>14689727</v>
      </c>
    </row>
    <row r="845" customFormat="false" ht="15.75" hidden="false" customHeight="false" outlineLevel="0" collapsed="false">
      <c r="A845" s="6" t="n">
        <f aca="false">IFERROR(__xludf.dummyfunction("""COMPUTED_VALUE"""),45422.6666666667)</f>
        <v>45422.6666666667</v>
      </c>
      <c r="B845" s="5" t="n">
        <f aca="false">IFERROR(__xludf.dummyfunction("""COMPUTED_VALUE"""),412.94)</f>
        <v>412.94</v>
      </c>
      <c r="C845" s="5" t="n">
        <f aca="false">IFERROR(__xludf.dummyfunction("""COMPUTED_VALUE"""),415.38)</f>
        <v>415.38</v>
      </c>
      <c r="D845" s="5" t="n">
        <f aca="false">IFERROR(__xludf.dummyfunction("""COMPUTED_VALUE"""),411.8)</f>
        <v>411.8</v>
      </c>
      <c r="E845" s="5" t="n">
        <f aca="false">IFERROR(__xludf.dummyfunction("""COMPUTED_VALUE"""),414.74)</f>
        <v>414.74</v>
      </c>
      <c r="F845" s="5" t="n">
        <f aca="false">IFERROR(__xludf.dummyfunction("""COMPUTED_VALUE"""),13402281)</f>
        <v>13402281</v>
      </c>
    </row>
    <row r="846" customFormat="false" ht="15.75" hidden="false" customHeight="false" outlineLevel="0" collapsed="false">
      <c r="A846" s="6" t="n">
        <f aca="false">IFERROR(__xludf.dummyfunction("""COMPUTED_VALUE"""),45425.6666666667)</f>
        <v>45425.6666666667</v>
      </c>
      <c r="B846" s="5" t="n">
        <f aca="false">IFERROR(__xludf.dummyfunction("""COMPUTED_VALUE"""),418.01)</f>
        <v>418.01</v>
      </c>
      <c r="C846" s="5" t="n">
        <f aca="false">IFERROR(__xludf.dummyfunction("""COMPUTED_VALUE"""),418.35)</f>
        <v>418.35</v>
      </c>
      <c r="D846" s="5" t="n">
        <f aca="false">IFERROR(__xludf.dummyfunction("""COMPUTED_VALUE"""),410.82)</f>
        <v>410.82</v>
      </c>
      <c r="E846" s="5" t="n">
        <f aca="false">IFERROR(__xludf.dummyfunction("""COMPUTED_VALUE"""),413.72)</f>
        <v>413.72</v>
      </c>
      <c r="F846" s="5" t="n">
        <f aca="false">IFERROR(__xludf.dummyfunction("""COMPUTED_VALUE"""),15440226)</f>
        <v>15440226</v>
      </c>
    </row>
    <row r="847" customFormat="false" ht="15.75" hidden="false" customHeight="false" outlineLevel="0" collapsed="false">
      <c r="A847" s="6" t="n">
        <f aca="false">IFERROR(__xludf.dummyfunction("""COMPUTED_VALUE"""),45426.6666666667)</f>
        <v>45426.6666666667</v>
      </c>
      <c r="B847" s="5" t="n">
        <f aca="false">IFERROR(__xludf.dummyfunction("""COMPUTED_VALUE"""),412.02)</f>
        <v>412.02</v>
      </c>
      <c r="C847" s="5" t="n">
        <f aca="false">IFERROR(__xludf.dummyfunction("""COMPUTED_VALUE"""),417.49)</f>
        <v>417.49</v>
      </c>
      <c r="D847" s="5" t="n">
        <f aca="false">IFERROR(__xludf.dummyfunction("""COMPUTED_VALUE"""),411.55)</f>
        <v>411.55</v>
      </c>
      <c r="E847" s="5" t="n">
        <f aca="false">IFERROR(__xludf.dummyfunction("""COMPUTED_VALUE"""),416.56)</f>
        <v>416.56</v>
      </c>
      <c r="F847" s="5" t="n">
        <f aca="false">IFERROR(__xludf.dummyfunction("""COMPUTED_VALUE"""),15109306)</f>
        <v>15109306</v>
      </c>
    </row>
    <row r="848" customFormat="false" ht="15.75" hidden="false" customHeight="false" outlineLevel="0" collapsed="false">
      <c r="A848" s="6" t="n">
        <f aca="false">IFERROR(__xludf.dummyfunction("""COMPUTED_VALUE"""),45427.6666666667)</f>
        <v>45427.6666666667</v>
      </c>
      <c r="B848" s="5" t="n">
        <f aca="false">IFERROR(__xludf.dummyfunction("""COMPUTED_VALUE"""),417.9)</f>
        <v>417.9</v>
      </c>
      <c r="C848" s="5" t="n">
        <f aca="false">IFERROR(__xludf.dummyfunction("""COMPUTED_VALUE"""),423.81)</f>
        <v>423.81</v>
      </c>
      <c r="D848" s="5" t="n">
        <f aca="false">IFERROR(__xludf.dummyfunction("""COMPUTED_VALUE"""),417.27)</f>
        <v>417.27</v>
      </c>
      <c r="E848" s="5" t="n">
        <f aca="false">IFERROR(__xludf.dummyfunction("""COMPUTED_VALUE"""),423.08)</f>
        <v>423.08</v>
      </c>
      <c r="F848" s="5" t="n">
        <f aca="false">IFERROR(__xludf.dummyfunction("""COMPUTED_VALUE"""),22239533)</f>
        <v>22239533</v>
      </c>
    </row>
    <row r="849" customFormat="false" ht="15.75" hidden="false" customHeight="false" outlineLevel="0" collapsed="false">
      <c r="A849" s="6" t="n">
        <f aca="false">IFERROR(__xludf.dummyfunction("""COMPUTED_VALUE"""),45428.6666666667)</f>
        <v>45428.6666666667</v>
      </c>
      <c r="B849" s="5" t="n">
        <f aca="false">IFERROR(__xludf.dummyfunction("""COMPUTED_VALUE"""),421.8)</f>
        <v>421.8</v>
      </c>
      <c r="C849" s="5" t="n">
        <f aca="false">IFERROR(__xludf.dummyfunction("""COMPUTED_VALUE"""),425.42)</f>
        <v>425.42</v>
      </c>
      <c r="D849" s="5" t="n">
        <f aca="false">IFERROR(__xludf.dummyfunction("""COMPUTED_VALUE"""),420.35)</f>
        <v>420.35</v>
      </c>
      <c r="E849" s="5" t="n">
        <f aca="false">IFERROR(__xludf.dummyfunction("""COMPUTED_VALUE"""),420.99)</f>
        <v>420.99</v>
      </c>
      <c r="F849" s="5" t="n">
        <f aca="false">IFERROR(__xludf.dummyfunction("""COMPUTED_VALUE"""),17530050)</f>
        <v>17530050</v>
      </c>
    </row>
    <row r="850" customFormat="false" ht="15.75" hidden="false" customHeight="false" outlineLevel="0" collapsed="false">
      <c r="A850" s="6" t="n">
        <f aca="false">IFERROR(__xludf.dummyfunction("""COMPUTED_VALUE"""),45429.6666666667)</f>
        <v>45429.6666666667</v>
      </c>
      <c r="B850" s="5" t="n">
        <f aca="false">IFERROR(__xludf.dummyfunction("""COMPUTED_VALUE"""),422.54)</f>
        <v>422.54</v>
      </c>
      <c r="C850" s="5" t="n">
        <f aca="false">IFERROR(__xludf.dummyfunction("""COMPUTED_VALUE"""),422.92)</f>
        <v>422.92</v>
      </c>
      <c r="D850" s="5" t="n">
        <f aca="false">IFERROR(__xludf.dummyfunction("""COMPUTED_VALUE"""),418.03)</f>
        <v>418.03</v>
      </c>
      <c r="E850" s="5" t="n">
        <f aca="false">IFERROR(__xludf.dummyfunction("""COMPUTED_VALUE"""),420.21)</f>
        <v>420.21</v>
      </c>
      <c r="F850" s="5" t="n">
        <f aca="false">IFERROR(__xludf.dummyfunction("""COMPUTED_VALUE"""),15352239)</f>
        <v>15352239</v>
      </c>
    </row>
    <row r="851" customFormat="false" ht="15.75" hidden="false" customHeight="false" outlineLevel="0" collapsed="false">
      <c r="A851" s="6" t="n">
        <f aca="false">IFERROR(__xludf.dummyfunction("""COMPUTED_VALUE"""),45432.6666666667)</f>
        <v>45432.6666666667</v>
      </c>
      <c r="B851" s="5" t="n">
        <f aca="false">IFERROR(__xludf.dummyfunction("""COMPUTED_VALUE"""),420.21)</f>
        <v>420.21</v>
      </c>
      <c r="C851" s="5" t="n">
        <f aca="false">IFERROR(__xludf.dummyfunction("""COMPUTED_VALUE"""),426.77)</f>
        <v>426.77</v>
      </c>
      <c r="D851" s="5" t="n">
        <f aca="false">IFERROR(__xludf.dummyfunction("""COMPUTED_VALUE"""),419.99)</f>
        <v>419.99</v>
      </c>
      <c r="E851" s="5" t="n">
        <f aca="false">IFERROR(__xludf.dummyfunction("""COMPUTED_VALUE"""),425.34)</f>
        <v>425.34</v>
      </c>
      <c r="F851" s="5" t="n">
        <f aca="false">IFERROR(__xludf.dummyfunction("""COMPUTED_VALUE"""),16272137)</f>
        <v>16272137</v>
      </c>
    </row>
    <row r="852" customFormat="false" ht="15.75" hidden="false" customHeight="false" outlineLevel="0" collapsed="false">
      <c r="A852" s="6" t="n">
        <f aca="false">IFERROR(__xludf.dummyfunction("""COMPUTED_VALUE"""),45433.6666666667)</f>
        <v>45433.6666666667</v>
      </c>
      <c r="B852" s="5" t="n">
        <f aca="false">IFERROR(__xludf.dummyfunction("""COMPUTED_VALUE"""),426.83)</f>
        <v>426.83</v>
      </c>
      <c r="C852" s="5" t="n">
        <f aca="false">IFERROR(__xludf.dummyfunction("""COMPUTED_VALUE"""),432.97)</f>
        <v>432.97</v>
      </c>
      <c r="D852" s="5" t="n">
        <f aca="false">IFERROR(__xludf.dummyfunction("""COMPUTED_VALUE"""),424.85)</f>
        <v>424.85</v>
      </c>
      <c r="E852" s="5" t="n">
        <f aca="false">IFERROR(__xludf.dummyfunction("""COMPUTED_VALUE"""),429.04)</f>
        <v>429.04</v>
      </c>
      <c r="F852" s="5" t="n">
        <f aca="false">IFERROR(__xludf.dummyfunction("""COMPUTED_VALUE"""),21453255)</f>
        <v>21453255</v>
      </c>
    </row>
    <row r="853" customFormat="false" ht="15.75" hidden="false" customHeight="false" outlineLevel="0" collapsed="false">
      <c r="A853" s="6" t="n">
        <f aca="false">IFERROR(__xludf.dummyfunction("""COMPUTED_VALUE"""),45434.6666666667)</f>
        <v>45434.6666666667</v>
      </c>
      <c r="B853" s="5" t="n">
        <f aca="false">IFERROR(__xludf.dummyfunction("""COMPUTED_VALUE"""),430.09)</f>
        <v>430.09</v>
      </c>
      <c r="C853" s="5" t="n">
        <f aca="false">IFERROR(__xludf.dummyfunction("""COMPUTED_VALUE"""),432.41)</f>
        <v>432.41</v>
      </c>
      <c r="D853" s="5" t="n">
        <f aca="false">IFERROR(__xludf.dummyfunction("""COMPUTED_VALUE"""),427.13)</f>
        <v>427.13</v>
      </c>
      <c r="E853" s="5" t="n">
        <f aca="false">IFERROR(__xludf.dummyfunction("""COMPUTED_VALUE"""),430.52)</f>
        <v>430.52</v>
      </c>
      <c r="F853" s="5" t="n">
        <f aca="false">IFERROR(__xludf.dummyfunction("""COMPUTED_VALUE"""),18073698)</f>
        <v>18073698</v>
      </c>
    </row>
    <row r="854" customFormat="false" ht="15.75" hidden="false" customHeight="false" outlineLevel="0" collapsed="false">
      <c r="A854" s="6" t="n">
        <f aca="false">IFERROR(__xludf.dummyfunction("""COMPUTED_VALUE"""),45435.6666666667)</f>
        <v>45435.6666666667</v>
      </c>
      <c r="B854" s="5" t="n">
        <f aca="false">IFERROR(__xludf.dummyfunction("""COMPUTED_VALUE"""),432.97)</f>
        <v>432.97</v>
      </c>
      <c r="C854" s="5" t="n">
        <f aca="false">IFERROR(__xludf.dummyfunction("""COMPUTED_VALUE"""),433.6)</f>
        <v>433.6</v>
      </c>
      <c r="D854" s="5" t="n">
        <f aca="false">IFERROR(__xludf.dummyfunction("""COMPUTED_VALUE"""),425.42)</f>
        <v>425.42</v>
      </c>
      <c r="E854" s="5" t="n">
        <f aca="false">IFERROR(__xludf.dummyfunction("""COMPUTED_VALUE"""),427)</f>
        <v>427</v>
      </c>
      <c r="F854" s="5" t="n">
        <f aca="false">IFERROR(__xludf.dummyfunction("""COMPUTED_VALUE"""),17211689)</f>
        <v>17211689</v>
      </c>
    </row>
    <row r="855" customFormat="false" ht="15.75" hidden="false" customHeight="false" outlineLevel="0" collapsed="false">
      <c r="A855" s="6" t="n">
        <f aca="false">IFERROR(__xludf.dummyfunction("""COMPUTED_VALUE"""),45436.6666666667)</f>
        <v>45436.6666666667</v>
      </c>
      <c r="B855" s="5" t="n">
        <f aca="false">IFERROR(__xludf.dummyfunction("""COMPUTED_VALUE"""),427.19)</f>
        <v>427.19</v>
      </c>
      <c r="C855" s="5" t="n">
        <f aca="false">IFERROR(__xludf.dummyfunction("""COMPUTED_VALUE"""),431.06)</f>
        <v>431.06</v>
      </c>
      <c r="D855" s="5" t="n">
        <f aca="false">IFERROR(__xludf.dummyfunction("""COMPUTED_VALUE"""),424.41)</f>
        <v>424.41</v>
      </c>
      <c r="E855" s="5" t="n">
        <f aca="false">IFERROR(__xludf.dummyfunction("""COMPUTED_VALUE"""),430.16)</f>
        <v>430.16</v>
      </c>
      <c r="F855" s="5" t="n">
        <f aca="false">IFERROR(__xludf.dummyfunction("""COMPUTED_VALUE"""),11855285)</f>
        <v>11855285</v>
      </c>
    </row>
    <row r="856" customFormat="false" ht="15.75" hidden="false" customHeight="false" outlineLevel="0" collapsed="false">
      <c r="A856" s="6" t="n">
        <f aca="false">IFERROR(__xludf.dummyfunction("""COMPUTED_VALUE"""),45440.6666666667)</f>
        <v>45440.6666666667</v>
      </c>
      <c r="B856" s="5" t="n">
        <f aca="false">IFERROR(__xludf.dummyfunction("""COMPUTED_VALUE"""),429.63)</f>
        <v>429.63</v>
      </c>
      <c r="C856" s="5" t="n">
        <f aca="false">IFERROR(__xludf.dummyfunction("""COMPUTED_VALUE"""),430.82)</f>
        <v>430.82</v>
      </c>
      <c r="D856" s="5" t="n">
        <f aca="false">IFERROR(__xludf.dummyfunction("""COMPUTED_VALUE"""),426.6)</f>
        <v>426.6</v>
      </c>
      <c r="E856" s="5" t="n">
        <f aca="false">IFERROR(__xludf.dummyfunction("""COMPUTED_VALUE"""),430.32)</f>
        <v>430.32</v>
      </c>
      <c r="F856" s="5" t="n">
        <f aca="false">IFERROR(__xludf.dummyfunction("""COMPUTED_VALUE"""),15718024)</f>
        <v>15718024</v>
      </c>
    </row>
    <row r="857" customFormat="false" ht="15.75" hidden="false" customHeight="false" outlineLevel="0" collapsed="false">
      <c r="A857" s="6" t="n">
        <f aca="false">IFERROR(__xludf.dummyfunction("""COMPUTED_VALUE"""),45441.6666666667)</f>
        <v>45441.6666666667</v>
      </c>
      <c r="B857" s="5" t="n">
        <f aca="false">IFERROR(__xludf.dummyfunction("""COMPUTED_VALUE"""),425.69)</f>
        <v>425.69</v>
      </c>
      <c r="C857" s="5" t="n">
        <f aca="false">IFERROR(__xludf.dummyfunction("""COMPUTED_VALUE"""),430.94)</f>
        <v>430.94</v>
      </c>
      <c r="D857" s="5" t="n">
        <f aca="false">IFERROR(__xludf.dummyfunction("""COMPUTED_VALUE"""),425.69)</f>
        <v>425.69</v>
      </c>
      <c r="E857" s="5" t="n">
        <f aca="false">IFERROR(__xludf.dummyfunction("""COMPUTED_VALUE"""),429.17)</f>
        <v>429.17</v>
      </c>
      <c r="F857" s="5" t="n">
        <f aca="false">IFERROR(__xludf.dummyfunction("""COMPUTED_VALUE"""),15517130)</f>
        <v>15517130</v>
      </c>
    </row>
    <row r="858" customFormat="false" ht="15.75" hidden="false" customHeight="false" outlineLevel="0" collapsed="false">
      <c r="A858" s="6" t="n">
        <f aca="false">IFERROR(__xludf.dummyfunction("""COMPUTED_VALUE"""),45442.6666666667)</f>
        <v>45442.6666666667</v>
      </c>
      <c r="B858" s="5" t="n">
        <f aca="false">IFERROR(__xludf.dummyfunction("""COMPUTED_VALUE"""),424.3)</f>
        <v>424.3</v>
      </c>
      <c r="C858" s="5" t="n">
        <f aca="false">IFERROR(__xludf.dummyfunction("""COMPUTED_VALUE"""),424.3)</f>
        <v>424.3</v>
      </c>
      <c r="D858" s="5" t="n">
        <f aca="false">IFERROR(__xludf.dummyfunction("""COMPUTED_VALUE"""),414.24)</f>
        <v>414.24</v>
      </c>
      <c r="E858" s="5" t="n">
        <f aca="false">IFERROR(__xludf.dummyfunction("""COMPUTED_VALUE"""),414.67)</f>
        <v>414.67</v>
      </c>
      <c r="F858" s="5" t="n">
        <f aca="false">IFERROR(__xludf.dummyfunction("""COMPUTED_VALUE"""),28424847)</f>
        <v>28424847</v>
      </c>
    </row>
    <row r="859" customFormat="false" ht="15.75" hidden="false" customHeight="false" outlineLevel="0" collapsed="false">
      <c r="A859" s="6" t="n">
        <f aca="false">IFERROR(__xludf.dummyfunction("""COMPUTED_VALUE"""),45443.6666666667)</f>
        <v>45443.6666666667</v>
      </c>
      <c r="B859" s="5" t="n">
        <f aca="false">IFERROR(__xludf.dummyfunction("""COMPUTED_VALUE"""),416.75)</f>
        <v>416.75</v>
      </c>
      <c r="C859" s="5" t="n">
        <f aca="false">IFERROR(__xludf.dummyfunction("""COMPUTED_VALUE"""),416.75)</f>
        <v>416.75</v>
      </c>
      <c r="D859" s="5" t="n">
        <f aca="false">IFERROR(__xludf.dummyfunction("""COMPUTED_VALUE"""),404.51)</f>
        <v>404.51</v>
      </c>
      <c r="E859" s="5" t="n">
        <f aca="false">IFERROR(__xludf.dummyfunction("""COMPUTED_VALUE"""),415.13)</f>
        <v>415.13</v>
      </c>
      <c r="F859" s="5" t="n">
        <f aca="false">IFERROR(__xludf.dummyfunction("""COMPUTED_VALUE"""),47995250)</f>
        <v>47995250</v>
      </c>
    </row>
    <row r="860" customFormat="false" ht="15.75" hidden="false" customHeight="false" outlineLevel="0" collapsed="false">
      <c r="A860" s="6" t="n">
        <f aca="false">IFERROR(__xludf.dummyfunction("""COMPUTED_VALUE"""),45446.6666666667)</f>
        <v>45446.6666666667</v>
      </c>
      <c r="B860" s="5" t="n">
        <f aca="false">IFERROR(__xludf.dummyfunction("""COMPUTED_VALUE"""),415.53)</f>
        <v>415.53</v>
      </c>
      <c r="C860" s="5" t="n">
        <f aca="false">IFERROR(__xludf.dummyfunction("""COMPUTED_VALUE"""),416.43)</f>
        <v>416.43</v>
      </c>
      <c r="D860" s="5" t="n">
        <f aca="false">IFERROR(__xludf.dummyfunction("""COMPUTED_VALUE"""),408.92)</f>
        <v>408.92</v>
      </c>
      <c r="E860" s="5" t="n">
        <f aca="false">IFERROR(__xludf.dummyfunction("""COMPUTED_VALUE"""),413.52)</f>
        <v>413.52</v>
      </c>
      <c r="F860" s="5" t="n">
        <f aca="false">IFERROR(__xludf.dummyfunction("""COMPUTED_VALUE"""),17484675)</f>
        <v>17484675</v>
      </c>
    </row>
    <row r="861" customFormat="false" ht="15.75" hidden="false" customHeight="false" outlineLevel="0" collapsed="false">
      <c r="A861" s="6" t="n">
        <f aca="false">IFERROR(__xludf.dummyfunction("""COMPUTED_VALUE"""),45447.6666666667)</f>
        <v>45447.6666666667</v>
      </c>
      <c r="B861" s="5" t="n">
        <f aca="false">IFERROR(__xludf.dummyfunction("""COMPUTED_VALUE"""),412.43)</f>
        <v>412.43</v>
      </c>
      <c r="C861" s="5" t="n">
        <f aca="false">IFERROR(__xludf.dummyfunction("""COMPUTED_VALUE"""),416.44)</f>
        <v>416.44</v>
      </c>
      <c r="D861" s="5" t="n">
        <f aca="false">IFERROR(__xludf.dummyfunction("""COMPUTED_VALUE"""),409.68)</f>
        <v>409.68</v>
      </c>
      <c r="E861" s="5" t="n">
        <f aca="false">IFERROR(__xludf.dummyfunction("""COMPUTED_VALUE"""),416.07)</f>
        <v>416.07</v>
      </c>
      <c r="F861" s="5" t="n">
        <f aca="false">IFERROR(__xludf.dummyfunction("""COMPUTED_VALUE"""),14348917)</f>
        <v>14348917</v>
      </c>
    </row>
    <row r="862" customFormat="false" ht="15.75" hidden="false" customHeight="false" outlineLevel="0" collapsed="false">
      <c r="A862" s="6" t="n">
        <f aca="false">IFERROR(__xludf.dummyfunction("""COMPUTED_VALUE"""),45448.6666666667)</f>
        <v>45448.6666666667</v>
      </c>
      <c r="B862" s="5" t="n">
        <f aca="false">IFERROR(__xludf.dummyfunction("""COMPUTED_VALUE"""),417.81)</f>
        <v>417.81</v>
      </c>
      <c r="C862" s="5" t="n">
        <f aca="false">IFERROR(__xludf.dummyfunction("""COMPUTED_VALUE"""),424.08)</f>
        <v>424.08</v>
      </c>
      <c r="D862" s="5" t="n">
        <f aca="false">IFERROR(__xludf.dummyfunction("""COMPUTED_VALUE"""),416.3)</f>
        <v>416.3</v>
      </c>
      <c r="E862" s="5" t="n">
        <f aca="false">IFERROR(__xludf.dummyfunction("""COMPUTED_VALUE"""),424.01)</f>
        <v>424.01</v>
      </c>
      <c r="F862" s="5" t="n">
        <f aca="false">IFERROR(__xludf.dummyfunction("""COMPUTED_VALUE"""),16988038)</f>
        <v>16988038</v>
      </c>
    </row>
    <row r="863" customFormat="false" ht="15.75" hidden="false" customHeight="false" outlineLevel="0" collapsed="false">
      <c r="A863" s="6" t="n">
        <f aca="false">IFERROR(__xludf.dummyfunction("""COMPUTED_VALUE"""),45449.6666666667)</f>
        <v>45449.6666666667</v>
      </c>
      <c r="B863" s="5" t="n">
        <f aca="false">IFERROR(__xludf.dummyfunction("""COMPUTED_VALUE"""),424.01)</f>
        <v>424.01</v>
      </c>
      <c r="C863" s="5" t="n">
        <f aca="false">IFERROR(__xludf.dummyfunction("""COMPUTED_VALUE"""),425.31)</f>
        <v>425.31</v>
      </c>
      <c r="D863" s="5" t="n">
        <f aca="false">IFERROR(__xludf.dummyfunction("""COMPUTED_VALUE"""),420.58)</f>
        <v>420.58</v>
      </c>
      <c r="E863" s="5" t="n">
        <f aca="false">IFERROR(__xludf.dummyfunction("""COMPUTED_VALUE"""),424.52)</f>
        <v>424.52</v>
      </c>
      <c r="F863" s="5" t="n">
        <f aca="false">IFERROR(__xludf.dummyfunction("""COMPUTED_VALUE"""),14861251)</f>
        <v>14861251</v>
      </c>
    </row>
    <row r="864" customFormat="false" ht="15.75" hidden="false" customHeight="false" outlineLevel="0" collapsed="false">
      <c r="A864" s="6" t="n">
        <f aca="false">IFERROR(__xludf.dummyfunction("""COMPUTED_VALUE"""),45450.6666666667)</f>
        <v>45450.6666666667</v>
      </c>
      <c r="B864" s="5" t="n">
        <f aca="false">IFERROR(__xludf.dummyfunction("""COMPUTED_VALUE"""),426.2)</f>
        <v>426.2</v>
      </c>
      <c r="C864" s="5" t="n">
        <f aca="false">IFERROR(__xludf.dummyfunction("""COMPUTED_VALUE"""),426.28)</f>
        <v>426.28</v>
      </c>
      <c r="D864" s="5" t="n">
        <f aca="false">IFERROR(__xludf.dummyfunction("""COMPUTED_VALUE"""),423)</f>
        <v>423</v>
      </c>
      <c r="E864" s="5" t="n">
        <f aca="false">IFERROR(__xludf.dummyfunction("""COMPUTED_VALUE"""),423.85)</f>
        <v>423.85</v>
      </c>
      <c r="F864" s="5" t="n">
        <f aca="false">IFERROR(__xludf.dummyfunction("""COMPUTED_VALUE"""),13621650)</f>
        <v>13621650</v>
      </c>
    </row>
    <row r="865" customFormat="false" ht="15.75" hidden="false" customHeight="false" outlineLevel="0" collapsed="false">
      <c r="A865" s="6" t="n">
        <f aca="false">IFERROR(__xludf.dummyfunction("""COMPUTED_VALUE"""),45453.6666666667)</f>
        <v>45453.6666666667</v>
      </c>
      <c r="B865" s="5" t="n">
        <f aca="false">IFERROR(__xludf.dummyfunction("""COMPUTED_VALUE"""),424.7)</f>
        <v>424.7</v>
      </c>
      <c r="C865" s="5" t="n">
        <f aca="false">IFERROR(__xludf.dummyfunction("""COMPUTED_VALUE"""),428.08)</f>
        <v>428.08</v>
      </c>
      <c r="D865" s="5" t="n">
        <f aca="false">IFERROR(__xludf.dummyfunction("""COMPUTED_VALUE"""),423.89)</f>
        <v>423.89</v>
      </c>
      <c r="E865" s="5" t="n">
        <f aca="false">IFERROR(__xludf.dummyfunction("""COMPUTED_VALUE"""),427.87)</f>
        <v>427.87</v>
      </c>
      <c r="F865" s="5" t="n">
        <f aca="false">IFERROR(__xludf.dummyfunction("""COMPUTED_VALUE"""),14003034)</f>
        <v>14003034</v>
      </c>
    </row>
    <row r="866" customFormat="false" ht="15.75" hidden="false" customHeight="false" outlineLevel="0" collapsed="false">
      <c r="A866" s="6" t="n">
        <f aca="false">IFERROR(__xludf.dummyfunction("""COMPUTED_VALUE"""),45454.6666666667)</f>
        <v>45454.6666666667</v>
      </c>
      <c r="B866" s="5" t="n">
        <f aca="false">IFERROR(__xludf.dummyfunction("""COMPUTED_VALUE"""),425.48)</f>
        <v>425.48</v>
      </c>
      <c r="C866" s="5" t="n">
        <f aca="false">IFERROR(__xludf.dummyfunction("""COMPUTED_VALUE"""),432.82)</f>
        <v>432.82</v>
      </c>
      <c r="D866" s="5" t="n">
        <f aca="false">IFERROR(__xludf.dummyfunction("""COMPUTED_VALUE"""),425.25)</f>
        <v>425.25</v>
      </c>
      <c r="E866" s="5" t="n">
        <f aca="false">IFERROR(__xludf.dummyfunction("""COMPUTED_VALUE"""),432.68)</f>
        <v>432.68</v>
      </c>
      <c r="F866" s="5" t="n">
        <f aca="false">IFERROR(__xludf.dummyfunction("""COMPUTED_VALUE"""),14551101)</f>
        <v>14551101</v>
      </c>
    </row>
    <row r="867" customFormat="false" ht="15.75" hidden="false" customHeight="false" outlineLevel="0" collapsed="false">
      <c r="A867" s="6" t="n">
        <f aca="false">IFERROR(__xludf.dummyfunction("""COMPUTED_VALUE"""),45455.6666666667)</f>
        <v>45455.6666666667</v>
      </c>
      <c r="B867" s="5" t="n">
        <f aca="false">IFERROR(__xludf.dummyfunction("""COMPUTED_VALUE"""),435.32)</f>
        <v>435.32</v>
      </c>
      <c r="C867" s="5" t="n">
        <f aca="false">IFERROR(__xludf.dummyfunction("""COMPUTED_VALUE"""),443.4)</f>
        <v>443.4</v>
      </c>
      <c r="D867" s="5" t="n">
        <f aca="false">IFERROR(__xludf.dummyfunction("""COMPUTED_VALUE"""),433.25)</f>
        <v>433.25</v>
      </c>
      <c r="E867" s="5" t="n">
        <f aca="false">IFERROR(__xludf.dummyfunction("""COMPUTED_VALUE"""),441.06)</f>
        <v>441.06</v>
      </c>
      <c r="F867" s="5" t="n">
        <f aca="false">IFERROR(__xludf.dummyfunction("""COMPUTED_VALUE"""),22366233)</f>
        <v>22366233</v>
      </c>
    </row>
    <row r="868" customFormat="false" ht="15.75" hidden="false" customHeight="false" outlineLevel="0" collapsed="false">
      <c r="A868" s="6" t="n">
        <f aca="false">IFERROR(__xludf.dummyfunction("""COMPUTED_VALUE"""),45456.6666666667)</f>
        <v>45456.6666666667</v>
      </c>
      <c r="B868" s="5" t="n">
        <f aca="false">IFERROR(__xludf.dummyfunction("""COMPUTED_VALUE"""),440.85)</f>
        <v>440.85</v>
      </c>
      <c r="C868" s="5" t="n">
        <f aca="false">IFERROR(__xludf.dummyfunction("""COMPUTED_VALUE"""),443.39)</f>
        <v>443.39</v>
      </c>
      <c r="D868" s="5" t="n">
        <f aca="false">IFERROR(__xludf.dummyfunction("""COMPUTED_VALUE"""),439.37)</f>
        <v>439.37</v>
      </c>
      <c r="E868" s="5" t="n">
        <f aca="false">IFERROR(__xludf.dummyfunction("""COMPUTED_VALUE"""),441.58)</f>
        <v>441.58</v>
      </c>
      <c r="F868" s="5" t="n">
        <f aca="false">IFERROR(__xludf.dummyfunction("""COMPUTED_VALUE"""),15960565)</f>
        <v>15960565</v>
      </c>
    </row>
    <row r="869" customFormat="false" ht="15.75" hidden="false" customHeight="false" outlineLevel="0" collapsed="false">
      <c r="A869" s="6" t="n">
        <f aca="false">IFERROR(__xludf.dummyfunction("""COMPUTED_VALUE"""),45457.6666666667)</f>
        <v>45457.6666666667</v>
      </c>
      <c r="B869" s="5" t="n">
        <f aca="false">IFERROR(__xludf.dummyfunction("""COMPUTED_VALUE"""),438.28)</f>
        <v>438.28</v>
      </c>
      <c r="C869" s="5" t="n">
        <f aca="false">IFERROR(__xludf.dummyfunction("""COMPUTED_VALUE"""),443.14)</f>
        <v>443.14</v>
      </c>
      <c r="D869" s="5" t="n">
        <f aca="false">IFERROR(__xludf.dummyfunction("""COMPUTED_VALUE"""),436.72)</f>
        <v>436.72</v>
      </c>
      <c r="E869" s="5" t="n">
        <f aca="false">IFERROR(__xludf.dummyfunction("""COMPUTED_VALUE"""),442.57)</f>
        <v>442.57</v>
      </c>
      <c r="F869" s="5" t="n">
        <f aca="false">IFERROR(__xludf.dummyfunction("""COMPUTED_VALUE"""),13581985)</f>
        <v>13581985</v>
      </c>
    </row>
    <row r="870" customFormat="false" ht="15.75" hidden="false" customHeight="false" outlineLevel="0" collapsed="false">
      <c r="A870" s="6" t="n">
        <f aca="false">IFERROR(__xludf.dummyfunction("""COMPUTED_VALUE"""),45460.6666666667)</f>
        <v>45460.6666666667</v>
      </c>
      <c r="B870" s="5" t="n">
        <f aca="false">IFERROR(__xludf.dummyfunction("""COMPUTED_VALUE"""),442.59)</f>
        <v>442.59</v>
      </c>
      <c r="C870" s="5" t="n">
        <f aca="false">IFERROR(__xludf.dummyfunction("""COMPUTED_VALUE"""),450.94)</f>
        <v>450.94</v>
      </c>
      <c r="D870" s="5" t="n">
        <f aca="false">IFERROR(__xludf.dummyfunction("""COMPUTED_VALUE"""),440.72)</f>
        <v>440.72</v>
      </c>
      <c r="E870" s="5" t="n">
        <f aca="false">IFERROR(__xludf.dummyfunction("""COMPUTED_VALUE"""),448.37)</f>
        <v>448.37</v>
      </c>
      <c r="F870" s="5" t="n">
        <f aca="false">IFERROR(__xludf.dummyfunction("""COMPUTED_VALUE"""),20790030)</f>
        <v>20790030</v>
      </c>
    </row>
    <row r="871" customFormat="false" ht="15.75" hidden="false" customHeight="false" outlineLevel="0" collapsed="false">
      <c r="A871" s="6" t="n">
        <f aca="false">IFERROR(__xludf.dummyfunction("""COMPUTED_VALUE"""),45461.6666666667)</f>
        <v>45461.6666666667</v>
      </c>
      <c r="B871" s="5" t="n">
        <f aca="false">IFERROR(__xludf.dummyfunction("""COMPUTED_VALUE"""),449.71)</f>
        <v>449.71</v>
      </c>
      <c r="C871" s="5" t="n">
        <f aca="false">IFERROR(__xludf.dummyfunction("""COMPUTED_VALUE"""),450.14)</f>
        <v>450.14</v>
      </c>
      <c r="D871" s="5" t="n">
        <f aca="false">IFERROR(__xludf.dummyfunction("""COMPUTED_VALUE"""),444.89)</f>
        <v>444.89</v>
      </c>
      <c r="E871" s="5" t="n">
        <f aca="false">IFERROR(__xludf.dummyfunction("""COMPUTED_VALUE"""),446.34)</f>
        <v>446.34</v>
      </c>
      <c r="F871" s="5" t="n">
        <f aca="false">IFERROR(__xludf.dummyfunction("""COMPUTED_VALUE"""),17112504)</f>
        <v>17112504</v>
      </c>
    </row>
    <row r="872" customFormat="false" ht="15.75" hidden="false" customHeight="false" outlineLevel="0" collapsed="false">
      <c r="A872" s="6" t="n">
        <f aca="false">IFERROR(__xludf.dummyfunction("""COMPUTED_VALUE"""),45463.6666666667)</f>
        <v>45463.6666666667</v>
      </c>
      <c r="B872" s="5" t="n">
        <f aca="false">IFERROR(__xludf.dummyfunction("""COMPUTED_VALUE"""),446.3)</f>
        <v>446.3</v>
      </c>
      <c r="C872" s="5" t="n">
        <f aca="false">IFERROR(__xludf.dummyfunction("""COMPUTED_VALUE"""),446.53)</f>
        <v>446.53</v>
      </c>
      <c r="D872" s="5" t="n">
        <f aca="false">IFERROR(__xludf.dummyfunction("""COMPUTED_VALUE"""),441.27)</f>
        <v>441.27</v>
      </c>
      <c r="E872" s="5" t="n">
        <f aca="false">IFERROR(__xludf.dummyfunction("""COMPUTED_VALUE"""),445.7)</f>
        <v>445.7</v>
      </c>
      <c r="F872" s="5" t="n">
        <f aca="false">IFERROR(__xludf.dummyfunction("""COMPUTED_VALUE"""),19877378)</f>
        <v>19877378</v>
      </c>
    </row>
    <row r="873" customFormat="false" ht="15.75" hidden="false" customHeight="false" outlineLevel="0" collapsed="false">
      <c r="A873" s="6" t="n">
        <f aca="false">IFERROR(__xludf.dummyfunction("""COMPUTED_VALUE"""),45464.6666666667)</f>
        <v>45464.6666666667</v>
      </c>
      <c r="B873" s="5" t="n">
        <f aca="false">IFERROR(__xludf.dummyfunction("""COMPUTED_VALUE"""),447.38)</f>
        <v>447.38</v>
      </c>
      <c r="C873" s="5" t="n">
        <f aca="false">IFERROR(__xludf.dummyfunction("""COMPUTED_VALUE"""),450.58)</f>
        <v>450.58</v>
      </c>
      <c r="D873" s="5" t="n">
        <f aca="false">IFERROR(__xludf.dummyfunction("""COMPUTED_VALUE"""),446.51)</f>
        <v>446.51</v>
      </c>
      <c r="E873" s="5" t="n">
        <f aca="false">IFERROR(__xludf.dummyfunction("""COMPUTED_VALUE"""),449.78)</f>
        <v>449.78</v>
      </c>
      <c r="F873" s="5" t="n">
        <f aca="false">IFERROR(__xludf.dummyfunction("""COMPUTED_VALUE"""),34486172)</f>
        <v>34486172</v>
      </c>
    </row>
    <row r="874" customFormat="false" ht="15.75" hidden="false" customHeight="false" outlineLevel="0" collapsed="false">
      <c r="A874" s="6" t="n">
        <f aca="false">IFERROR(__xludf.dummyfunction("""COMPUTED_VALUE"""),45467.6666666667)</f>
        <v>45467.6666666667</v>
      </c>
      <c r="B874" s="5" t="n">
        <f aca="false">IFERROR(__xludf.dummyfunction("""COMPUTED_VALUE"""),449.8)</f>
        <v>449.8</v>
      </c>
      <c r="C874" s="5" t="n">
        <f aca="false">IFERROR(__xludf.dummyfunction("""COMPUTED_VALUE"""),452.75)</f>
        <v>452.75</v>
      </c>
      <c r="D874" s="5" t="n">
        <f aca="false">IFERROR(__xludf.dummyfunction("""COMPUTED_VALUE"""),446.41)</f>
        <v>446.41</v>
      </c>
      <c r="E874" s="5" t="n">
        <f aca="false">IFERROR(__xludf.dummyfunction("""COMPUTED_VALUE"""),447.67)</f>
        <v>447.67</v>
      </c>
      <c r="F874" s="5" t="n">
        <f aca="false">IFERROR(__xludf.dummyfunction("""COMPUTED_VALUE"""),15913719)</f>
        <v>15913719</v>
      </c>
    </row>
    <row r="875" customFormat="false" ht="15.75" hidden="false" customHeight="false" outlineLevel="0" collapsed="false">
      <c r="A875" s="6" t="n">
        <f aca="false">IFERROR(__xludf.dummyfunction("""COMPUTED_VALUE"""),45468.6666666667)</f>
        <v>45468.6666666667</v>
      </c>
      <c r="B875" s="5" t="n">
        <f aca="false">IFERROR(__xludf.dummyfunction("""COMPUTED_VALUE"""),448.25)</f>
        <v>448.25</v>
      </c>
      <c r="C875" s="5" t="n">
        <f aca="false">IFERROR(__xludf.dummyfunction("""COMPUTED_VALUE"""),451.42)</f>
        <v>451.42</v>
      </c>
      <c r="D875" s="5" t="n">
        <f aca="false">IFERROR(__xludf.dummyfunction("""COMPUTED_VALUE"""),446.75)</f>
        <v>446.75</v>
      </c>
      <c r="E875" s="5" t="n">
        <f aca="false">IFERROR(__xludf.dummyfunction("""COMPUTED_VALUE"""),450.95)</f>
        <v>450.95</v>
      </c>
      <c r="F875" s="5" t="n">
        <f aca="false">IFERROR(__xludf.dummyfunction("""COMPUTED_VALUE"""),16747529)</f>
        <v>16747529</v>
      </c>
    </row>
    <row r="876" customFormat="false" ht="15.75" hidden="false" customHeight="false" outlineLevel="0" collapsed="false">
      <c r="A876" s="6" t="n">
        <f aca="false">IFERROR(__xludf.dummyfunction("""COMPUTED_VALUE"""),45469.6666666667)</f>
        <v>45469.6666666667</v>
      </c>
      <c r="B876" s="5" t="n">
        <f aca="false">IFERROR(__xludf.dummyfunction("""COMPUTED_VALUE"""),449)</f>
        <v>449</v>
      </c>
      <c r="C876" s="5" t="n">
        <f aca="false">IFERROR(__xludf.dummyfunction("""COMPUTED_VALUE"""),453.6)</f>
        <v>453.6</v>
      </c>
      <c r="D876" s="5" t="n">
        <f aca="false">IFERROR(__xludf.dummyfunction("""COMPUTED_VALUE"""),448.19)</f>
        <v>448.19</v>
      </c>
      <c r="E876" s="5" t="n">
        <f aca="false">IFERROR(__xludf.dummyfunction("""COMPUTED_VALUE"""),452.16)</f>
        <v>452.16</v>
      </c>
      <c r="F876" s="5" t="n">
        <f aca="false">IFERROR(__xludf.dummyfunction("""COMPUTED_VALUE"""),16507030)</f>
        <v>16507030</v>
      </c>
    </row>
    <row r="877" customFormat="false" ht="15.75" hidden="false" customHeight="false" outlineLevel="0" collapsed="false">
      <c r="A877" s="6" t="n">
        <f aca="false">IFERROR(__xludf.dummyfunction("""COMPUTED_VALUE"""),45470.6666666667)</f>
        <v>45470.6666666667</v>
      </c>
      <c r="B877" s="5" t="n">
        <f aca="false">IFERROR(__xludf.dummyfunction("""COMPUTED_VALUE"""),452.18)</f>
        <v>452.18</v>
      </c>
      <c r="C877" s="5" t="n">
        <f aca="false">IFERROR(__xludf.dummyfunction("""COMPUTED_VALUE"""),456.17)</f>
        <v>456.17</v>
      </c>
      <c r="D877" s="5" t="n">
        <f aca="false">IFERROR(__xludf.dummyfunction("""COMPUTED_VALUE"""),451.77)</f>
        <v>451.77</v>
      </c>
      <c r="E877" s="5" t="n">
        <f aca="false">IFERROR(__xludf.dummyfunction("""COMPUTED_VALUE"""),452.85)</f>
        <v>452.85</v>
      </c>
      <c r="F877" s="5" t="n">
        <f aca="false">IFERROR(__xludf.dummyfunction("""COMPUTED_VALUE"""),14806324)</f>
        <v>14806324</v>
      </c>
    </row>
    <row r="878" customFormat="false" ht="15.75" hidden="false" customHeight="false" outlineLevel="0" collapsed="false">
      <c r="A878" s="6" t="n">
        <f aca="false">IFERROR(__xludf.dummyfunction("""COMPUTED_VALUE"""),45471.6666666667)</f>
        <v>45471.6666666667</v>
      </c>
      <c r="B878" s="5" t="n">
        <f aca="false">IFERROR(__xludf.dummyfunction("""COMPUTED_VALUE"""),453.07)</f>
        <v>453.07</v>
      </c>
      <c r="C878" s="5" t="n">
        <f aca="false">IFERROR(__xludf.dummyfunction("""COMPUTED_VALUE"""),455.38)</f>
        <v>455.38</v>
      </c>
      <c r="D878" s="5" t="n">
        <f aca="false">IFERROR(__xludf.dummyfunction("""COMPUTED_VALUE"""),446.41)</f>
        <v>446.41</v>
      </c>
      <c r="E878" s="5" t="n">
        <f aca="false">IFERROR(__xludf.dummyfunction("""COMPUTED_VALUE"""),446.95)</f>
        <v>446.95</v>
      </c>
      <c r="F878" s="5" t="n">
        <f aca="false">IFERROR(__xludf.dummyfunction("""COMPUTED_VALUE"""),28362271)</f>
        <v>28362271</v>
      </c>
    </row>
    <row r="879" customFormat="false" ht="15.75" hidden="false" customHeight="false" outlineLevel="0" collapsed="false">
      <c r="A879" s="6" t="n">
        <f aca="false">IFERROR(__xludf.dummyfunction("""COMPUTED_VALUE"""),45474.6666666667)</f>
        <v>45474.6666666667</v>
      </c>
      <c r="B879" s="5" t="n">
        <f aca="false">IFERROR(__xludf.dummyfunction("""COMPUTED_VALUE"""),448.66)</f>
        <v>448.66</v>
      </c>
      <c r="C879" s="5" t="n">
        <f aca="false">IFERROR(__xludf.dummyfunction("""COMPUTED_VALUE"""),457.37)</f>
        <v>457.37</v>
      </c>
      <c r="D879" s="5" t="n">
        <f aca="false">IFERROR(__xludf.dummyfunction("""COMPUTED_VALUE"""),445.66)</f>
        <v>445.66</v>
      </c>
      <c r="E879" s="5" t="n">
        <f aca="false">IFERROR(__xludf.dummyfunction("""COMPUTED_VALUE"""),456.73)</f>
        <v>456.73</v>
      </c>
      <c r="F879" s="5" t="n">
        <f aca="false">IFERROR(__xludf.dummyfunction("""COMPUTED_VALUE"""),17662818)</f>
        <v>17662818</v>
      </c>
    </row>
    <row r="880" customFormat="false" ht="15.75" hidden="false" customHeight="false" outlineLevel="0" collapsed="false">
      <c r="A880" s="6" t="n">
        <f aca="false">IFERROR(__xludf.dummyfunction("""COMPUTED_VALUE"""),45475.6666666667)</f>
        <v>45475.6666666667</v>
      </c>
      <c r="B880" s="5" t="n">
        <f aca="false">IFERROR(__xludf.dummyfunction("""COMPUTED_VALUE"""),453.2)</f>
        <v>453.2</v>
      </c>
      <c r="C880" s="5" t="n">
        <f aca="false">IFERROR(__xludf.dummyfunction("""COMPUTED_VALUE"""),459.59)</f>
        <v>459.59</v>
      </c>
      <c r="D880" s="5" t="n">
        <f aca="false">IFERROR(__xludf.dummyfunction("""COMPUTED_VALUE"""),453.11)</f>
        <v>453.11</v>
      </c>
      <c r="E880" s="5" t="n">
        <f aca="false">IFERROR(__xludf.dummyfunction("""COMPUTED_VALUE"""),459.28)</f>
        <v>459.28</v>
      </c>
      <c r="F880" s="5" t="n">
        <f aca="false">IFERROR(__xludf.dummyfunction("""COMPUTED_VALUE"""),13979779)</f>
        <v>13979779</v>
      </c>
    </row>
    <row r="881" customFormat="false" ht="15.75" hidden="false" customHeight="false" outlineLevel="0" collapsed="false">
      <c r="A881" s="6" t="n">
        <f aca="false">IFERROR(__xludf.dummyfunction("""COMPUTED_VALUE"""),45476.5451388889)</f>
        <v>45476.5451388889</v>
      </c>
      <c r="B881" s="5" t="n">
        <f aca="false">IFERROR(__xludf.dummyfunction("""COMPUTED_VALUE"""),458.19)</f>
        <v>458.19</v>
      </c>
      <c r="C881" s="5" t="n">
        <f aca="false">IFERROR(__xludf.dummyfunction("""COMPUTED_VALUE"""),461.02)</f>
        <v>461.02</v>
      </c>
      <c r="D881" s="5" t="n">
        <f aca="false">IFERROR(__xludf.dummyfunction("""COMPUTED_VALUE"""),457.88)</f>
        <v>457.88</v>
      </c>
      <c r="E881" s="5" t="n">
        <f aca="false">IFERROR(__xludf.dummyfunction("""COMPUTED_VALUE"""),460.77)</f>
        <v>460.77</v>
      </c>
      <c r="F881" s="5" t="n">
        <f aca="false">IFERROR(__xludf.dummyfunction("""COMPUTED_VALUE"""),9932830)</f>
        <v>9932830</v>
      </c>
    </row>
    <row r="882" customFormat="false" ht="15.75" hidden="false" customHeight="false" outlineLevel="0" collapsed="false">
      <c r="A882" s="6" t="n">
        <f aca="false">IFERROR(__xludf.dummyfunction("""COMPUTED_VALUE"""),45478.6666666667)</f>
        <v>45478.6666666667</v>
      </c>
      <c r="B882" s="5" t="n">
        <f aca="false">IFERROR(__xludf.dummyfunction("""COMPUTED_VALUE"""),459.61)</f>
        <v>459.61</v>
      </c>
      <c r="C882" s="5" t="n">
        <f aca="false">IFERROR(__xludf.dummyfunction("""COMPUTED_VALUE"""),468.35)</f>
        <v>468.35</v>
      </c>
      <c r="D882" s="5" t="n">
        <f aca="false">IFERROR(__xludf.dummyfunction("""COMPUTED_VALUE"""),458.97)</f>
        <v>458.97</v>
      </c>
      <c r="E882" s="5" t="n">
        <f aca="false">IFERROR(__xludf.dummyfunction("""COMPUTED_VALUE"""),467.56)</f>
        <v>467.56</v>
      </c>
      <c r="F882" s="5" t="n">
        <f aca="false">IFERROR(__xludf.dummyfunction("""COMPUTED_VALUE"""),16000290)</f>
        <v>16000290</v>
      </c>
    </row>
    <row r="883" customFormat="false" ht="15.75" hidden="false" customHeight="false" outlineLevel="0" collapsed="false">
      <c r="A883" s="6" t="n">
        <f aca="false">IFERROR(__xludf.dummyfunction("""COMPUTED_VALUE"""),45481.6666666667)</f>
        <v>45481.6666666667</v>
      </c>
      <c r="B883" s="5" t="n">
        <f aca="false">IFERROR(__xludf.dummyfunction("""COMPUTED_VALUE"""),466.55)</f>
        <v>466.55</v>
      </c>
      <c r="C883" s="5" t="n">
        <f aca="false">IFERROR(__xludf.dummyfunction("""COMPUTED_VALUE"""),467.7)</f>
        <v>467.7</v>
      </c>
      <c r="D883" s="5" t="n">
        <f aca="false">IFERROR(__xludf.dummyfunction("""COMPUTED_VALUE"""),464.46)</f>
        <v>464.46</v>
      </c>
      <c r="E883" s="5" t="n">
        <f aca="false">IFERROR(__xludf.dummyfunction("""COMPUTED_VALUE"""),466.24)</f>
        <v>466.24</v>
      </c>
      <c r="F883" s="5" t="n">
        <f aca="false">IFERROR(__xludf.dummyfunction("""COMPUTED_VALUE"""),12962321)</f>
        <v>12962321</v>
      </c>
    </row>
    <row r="884" customFormat="false" ht="15.75" hidden="false" customHeight="false" outlineLevel="0" collapsed="false">
      <c r="A884" s="6" t="n">
        <f aca="false">IFERROR(__xludf.dummyfunction("""COMPUTED_VALUE"""),45482.6666666667)</f>
        <v>45482.6666666667</v>
      </c>
      <c r="B884" s="5" t="n">
        <f aca="false">IFERROR(__xludf.dummyfunction("""COMPUTED_VALUE"""),467)</f>
        <v>467</v>
      </c>
      <c r="C884" s="5" t="n">
        <f aca="false">IFERROR(__xludf.dummyfunction("""COMPUTED_VALUE"""),467.33)</f>
        <v>467.33</v>
      </c>
      <c r="D884" s="5" t="n">
        <f aca="false">IFERROR(__xludf.dummyfunction("""COMPUTED_VALUE"""),458)</f>
        <v>458</v>
      </c>
      <c r="E884" s="5" t="n">
        <f aca="false">IFERROR(__xludf.dummyfunction("""COMPUTED_VALUE"""),459.54)</f>
        <v>459.54</v>
      </c>
      <c r="F884" s="5" t="n">
        <f aca="false">IFERROR(__xludf.dummyfunction("""COMPUTED_VALUE"""),17228507)</f>
        <v>17228507</v>
      </c>
    </row>
    <row r="885" customFormat="false" ht="15.75" hidden="false" customHeight="false" outlineLevel="0" collapsed="false">
      <c r="A885" s="6" t="n">
        <f aca="false">IFERROR(__xludf.dummyfunction("""COMPUTED_VALUE"""),45483.6666666667)</f>
        <v>45483.6666666667</v>
      </c>
      <c r="B885" s="5" t="n">
        <f aca="false">IFERROR(__xludf.dummyfunction("""COMPUTED_VALUE"""),461.22)</f>
        <v>461.22</v>
      </c>
      <c r="C885" s="5" t="n">
        <f aca="false">IFERROR(__xludf.dummyfunction("""COMPUTED_VALUE"""),466.46)</f>
        <v>466.46</v>
      </c>
      <c r="D885" s="5" t="n">
        <f aca="false">IFERROR(__xludf.dummyfunction("""COMPUTED_VALUE"""),458.86)</f>
        <v>458.86</v>
      </c>
      <c r="E885" s="5" t="n">
        <f aca="false">IFERROR(__xludf.dummyfunction("""COMPUTED_VALUE"""),466.25)</f>
        <v>466.25</v>
      </c>
      <c r="F885" s="5" t="n">
        <f aca="false">IFERROR(__xludf.dummyfunction("""COMPUTED_VALUE"""),18196100)</f>
        <v>18196100</v>
      </c>
    </row>
    <row r="886" customFormat="false" ht="15.75" hidden="false" customHeight="false" outlineLevel="0" collapsed="false">
      <c r="A886" s="6" t="n">
        <f aca="false">IFERROR(__xludf.dummyfunction("""COMPUTED_VALUE"""),45484.6666666667)</f>
        <v>45484.6666666667</v>
      </c>
      <c r="B886" s="5" t="n">
        <f aca="false">IFERROR(__xludf.dummyfunction("""COMPUTED_VALUE"""),462.98)</f>
        <v>462.98</v>
      </c>
      <c r="C886" s="5" t="n">
        <f aca="false">IFERROR(__xludf.dummyfunction("""COMPUTED_VALUE"""),464.78)</f>
        <v>464.78</v>
      </c>
      <c r="D886" s="5" t="n">
        <f aca="false">IFERROR(__xludf.dummyfunction("""COMPUTED_VALUE"""),451.55)</f>
        <v>451.55</v>
      </c>
      <c r="E886" s="5" t="n">
        <f aca="false">IFERROR(__xludf.dummyfunction("""COMPUTED_VALUE"""),454.7)</f>
        <v>454.7</v>
      </c>
      <c r="F886" s="5" t="n">
        <f aca="false">IFERROR(__xludf.dummyfunction("""COMPUTED_VALUE"""),23111175)</f>
        <v>23111175</v>
      </c>
    </row>
    <row r="887" customFormat="false" ht="15.75" hidden="false" customHeight="false" outlineLevel="0" collapsed="false">
      <c r="A887" s="6" t="n">
        <f aca="false">IFERROR(__xludf.dummyfunction("""COMPUTED_VALUE"""),45485.6666666667)</f>
        <v>45485.6666666667</v>
      </c>
      <c r="B887" s="5" t="n">
        <f aca="false">IFERROR(__xludf.dummyfunction("""COMPUTED_VALUE"""),454.33)</f>
        <v>454.33</v>
      </c>
      <c r="C887" s="5" t="n">
        <f aca="false">IFERROR(__xludf.dummyfunction("""COMPUTED_VALUE"""),456.36)</f>
        <v>456.36</v>
      </c>
      <c r="D887" s="5" t="n">
        <f aca="false">IFERROR(__xludf.dummyfunction("""COMPUTED_VALUE"""),450.65)</f>
        <v>450.65</v>
      </c>
      <c r="E887" s="5" t="n">
        <f aca="false">IFERROR(__xludf.dummyfunction("""COMPUTED_VALUE"""),453.55)</f>
        <v>453.55</v>
      </c>
      <c r="F887" s="5" t="n">
        <f aca="false">IFERROR(__xludf.dummyfunction("""COMPUTED_VALUE"""),16324274)</f>
        <v>16324274</v>
      </c>
    </row>
    <row r="888" customFormat="false" ht="15.75" hidden="false" customHeight="false" outlineLevel="0" collapsed="false">
      <c r="A888" s="6" t="n">
        <f aca="false">IFERROR(__xludf.dummyfunction("""COMPUTED_VALUE"""),45488.6666666667)</f>
        <v>45488.6666666667</v>
      </c>
      <c r="B888" s="5" t="n">
        <f aca="false">IFERROR(__xludf.dummyfunction("""COMPUTED_VALUE"""),453.3)</f>
        <v>453.3</v>
      </c>
      <c r="C888" s="5" t="n">
        <f aca="false">IFERROR(__xludf.dummyfunction("""COMPUTED_VALUE"""),457.26)</f>
        <v>457.26</v>
      </c>
      <c r="D888" s="5" t="n">
        <f aca="false">IFERROR(__xludf.dummyfunction("""COMPUTED_VALUE"""),451.43)</f>
        <v>451.43</v>
      </c>
      <c r="E888" s="5" t="n">
        <f aca="false">IFERROR(__xludf.dummyfunction("""COMPUTED_VALUE"""),453.96)</f>
        <v>453.96</v>
      </c>
      <c r="F888" s="5" t="n">
        <f aca="false">IFERROR(__xludf.dummyfunction("""COMPUTED_VALUE"""),14429447)</f>
        <v>14429447</v>
      </c>
    </row>
    <row r="889" customFormat="false" ht="15.75" hidden="false" customHeight="false" outlineLevel="0" collapsed="false">
      <c r="A889" s="6" t="n">
        <f aca="false">IFERROR(__xludf.dummyfunction("""COMPUTED_VALUE"""),45489.6666666667)</f>
        <v>45489.6666666667</v>
      </c>
      <c r="B889" s="5" t="n">
        <f aca="false">IFERROR(__xludf.dummyfunction("""COMPUTED_VALUE"""),454.22)</f>
        <v>454.22</v>
      </c>
      <c r="C889" s="5" t="n">
        <f aca="false">IFERROR(__xludf.dummyfunction("""COMPUTED_VALUE"""),454.3)</f>
        <v>454.3</v>
      </c>
      <c r="D889" s="5" t="n">
        <f aca="false">IFERROR(__xludf.dummyfunction("""COMPUTED_VALUE"""),446.66)</f>
        <v>446.66</v>
      </c>
      <c r="E889" s="5" t="n">
        <f aca="false">IFERROR(__xludf.dummyfunction("""COMPUTED_VALUE"""),449.52)</f>
        <v>449.52</v>
      </c>
      <c r="F889" s="5" t="n">
        <f aca="false">IFERROR(__xludf.dummyfunction("""COMPUTED_VALUE"""),17175679)</f>
        <v>17175679</v>
      </c>
    </row>
    <row r="890" customFormat="false" ht="15.75" hidden="false" customHeight="false" outlineLevel="0" collapsed="false">
      <c r="A890" s="6" t="n">
        <f aca="false">IFERROR(__xludf.dummyfunction("""COMPUTED_VALUE"""),45490.6666666667)</f>
        <v>45490.6666666667</v>
      </c>
      <c r="B890" s="5" t="n">
        <f aca="false">IFERROR(__xludf.dummyfunction("""COMPUTED_VALUE"""),442.59)</f>
        <v>442.59</v>
      </c>
      <c r="C890" s="5" t="n">
        <f aca="false">IFERROR(__xludf.dummyfunction("""COMPUTED_VALUE"""),444.85)</f>
        <v>444.85</v>
      </c>
      <c r="D890" s="5" t="n">
        <f aca="false">IFERROR(__xludf.dummyfunction("""COMPUTED_VALUE"""),439.18)</f>
        <v>439.18</v>
      </c>
      <c r="E890" s="5" t="n">
        <f aca="false">IFERROR(__xludf.dummyfunction("""COMPUTED_VALUE"""),443.52)</f>
        <v>443.52</v>
      </c>
      <c r="F890" s="5" t="n">
        <f aca="false">IFERROR(__xludf.dummyfunction("""COMPUTED_VALUE"""),21754021)</f>
        <v>21754021</v>
      </c>
    </row>
    <row r="891" customFormat="false" ht="15.75" hidden="false" customHeight="false" outlineLevel="0" collapsed="false">
      <c r="A891" s="6" t="n">
        <f aca="false">IFERROR(__xludf.dummyfunction("""COMPUTED_VALUE"""),45491.6666666667)</f>
        <v>45491.6666666667</v>
      </c>
      <c r="B891" s="5" t="n">
        <f aca="false">IFERROR(__xludf.dummyfunction("""COMPUTED_VALUE"""),444.34)</f>
        <v>444.34</v>
      </c>
      <c r="C891" s="5" t="n">
        <f aca="false">IFERROR(__xludf.dummyfunction("""COMPUTED_VALUE"""),444.65)</f>
        <v>444.65</v>
      </c>
      <c r="D891" s="5" t="n">
        <f aca="false">IFERROR(__xludf.dummyfunction("""COMPUTED_VALUE"""),434.4)</f>
        <v>434.4</v>
      </c>
      <c r="E891" s="5" t="n">
        <f aca="false">IFERROR(__xludf.dummyfunction("""COMPUTED_VALUE"""),440.37)</f>
        <v>440.37</v>
      </c>
      <c r="F891" s="5" t="n">
        <f aca="false">IFERROR(__xludf.dummyfunction("""COMPUTED_VALUE"""),20794822)</f>
        <v>20794822</v>
      </c>
    </row>
    <row r="892" customFormat="false" ht="15.75" hidden="false" customHeight="false" outlineLevel="0" collapsed="false">
      <c r="A892" s="6" t="n">
        <f aca="false">IFERROR(__xludf.dummyfunction("""COMPUTED_VALUE"""),45492.6666666667)</f>
        <v>45492.6666666667</v>
      </c>
      <c r="B892" s="5" t="n">
        <f aca="false">IFERROR(__xludf.dummyfunction("""COMPUTED_VALUE"""),433.1)</f>
        <v>433.1</v>
      </c>
      <c r="C892" s="5" t="n">
        <f aca="false">IFERROR(__xludf.dummyfunction("""COMPUTED_VALUE"""),441.14)</f>
        <v>441.14</v>
      </c>
      <c r="D892" s="5" t="n">
        <f aca="false">IFERROR(__xludf.dummyfunction("""COMPUTED_VALUE"""),432)</f>
        <v>432</v>
      </c>
      <c r="E892" s="5" t="n">
        <f aca="false">IFERROR(__xludf.dummyfunction("""COMPUTED_VALUE"""),437.11)</f>
        <v>437.11</v>
      </c>
      <c r="F892" s="5" t="n">
        <f aca="false">IFERROR(__xludf.dummyfunction("""COMPUTED_VALUE"""),20940417)</f>
        <v>20940417</v>
      </c>
    </row>
    <row r="893" customFormat="false" ht="15.75" hidden="false" customHeight="false" outlineLevel="0" collapsed="false">
      <c r="A893" s="6" t="n">
        <f aca="false">IFERROR(__xludf.dummyfunction("""COMPUTED_VALUE"""),45495.6666666667)</f>
        <v>45495.6666666667</v>
      </c>
      <c r="B893" s="5" t="n">
        <f aca="false">IFERROR(__xludf.dummyfunction("""COMPUTED_VALUE"""),441.79)</f>
        <v>441.79</v>
      </c>
      <c r="C893" s="5" t="n">
        <f aca="false">IFERROR(__xludf.dummyfunction("""COMPUTED_VALUE"""),444.6)</f>
        <v>444.6</v>
      </c>
      <c r="D893" s="5" t="n">
        <f aca="false">IFERROR(__xludf.dummyfunction("""COMPUTED_VALUE"""),438.91)</f>
        <v>438.91</v>
      </c>
      <c r="E893" s="5" t="n">
        <f aca="false">IFERROR(__xludf.dummyfunction("""COMPUTED_VALUE"""),442.94)</f>
        <v>442.94</v>
      </c>
      <c r="F893" s="5" t="n">
        <f aca="false">IFERROR(__xludf.dummyfunction("""COMPUTED_VALUE"""),15808755)</f>
        <v>15808755</v>
      </c>
    </row>
    <row r="894" customFormat="false" ht="15.75" hidden="false" customHeight="false" outlineLevel="0" collapsed="false">
      <c r="A894" s="6" t="n">
        <f aca="false">IFERROR(__xludf.dummyfunction("""COMPUTED_VALUE"""),45496.6666666667)</f>
        <v>45496.6666666667</v>
      </c>
      <c r="B894" s="5" t="n">
        <f aca="false">IFERROR(__xludf.dummyfunction("""COMPUTED_VALUE"""),443.9)</f>
        <v>443.9</v>
      </c>
      <c r="C894" s="5" t="n">
        <f aca="false">IFERROR(__xludf.dummyfunction("""COMPUTED_VALUE"""),448.39)</f>
        <v>448.39</v>
      </c>
      <c r="D894" s="5" t="n">
        <f aca="false">IFERROR(__xludf.dummyfunction("""COMPUTED_VALUE"""),443.1)</f>
        <v>443.1</v>
      </c>
      <c r="E894" s="5" t="n">
        <f aca="false">IFERROR(__xludf.dummyfunction("""COMPUTED_VALUE"""),444.85)</f>
        <v>444.85</v>
      </c>
      <c r="F894" s="5" t="n">
        <f aca="false">IFERROR(__xludf.dummyfunction("""COMPUTED_VALUE"""),13107050)</f>
        <v>13107050</v>
      </c>
    </row>
    <row r="895" customFormat="false" ht="15.75" hidden="false" customHeight="false" outlineLevel="0" collapsed="false">
      <c r="A895" s="6" t="n">
        <f aca="false">IFERROR(__xludf.dummyfunction("""COMPUTED_VALUE"""),45497.6666666667)</f>
        <v>45497.6666666667</v>
      </c>
      <c r="B895" s="5" t="n">
        <f aca="false">IFERROR(__xludf.dummyfunction("""COMPUTED_VALUE"""),440.45)</f>
        <v>440.45</v>
      </c>
      <c r="C895" s="5" t="n">
        <f aca="false">IFERROR(__xludf.dummyfunction("""COMPUTED_VALUE"""),441.48)</f>
        <v>441.48</v>
      </c>
      <c r="D895" s="5" t="n">
        <f aca="false">IFERROR(__xludf.dummyfunction("""COMPUTED_VALUE"""),427.59)</f>
        <v>427.59</v>
      </c>
      <c r="E895" s="5" t="n">
        <f aca="false">IFERROR(__xludf.dummyfunction("""COMPUTED_VALUE"""),428.9)</f>
        <v>428.9</v>
      </c>
      <c r="F895" s="5" t="n">
        <f aca="false">IFERROR(__xludf.dummyfunction("""COMPUTED_VALUE"""),26805800)</f>
        <v>26805800</v>
      </c>
    </row>
    <row r="896" customFormat="false" ht="15.75" hidden="false" customHeight="false" outlineLevel="0" collapsed="false">
      <c r="A896" s="6" t="n">
        <f aca="false">IFERROR(__xludf.dummyfunction("""COMPUTED_VALUE"""),45498.6666666667)</f>
        <v>45498.6666666667</v>
      </c>
      <c r="B896" s="5" t="n">
        <f aca="false">IFERROR(__xludf.dummyfunction("""COMPUTED_VALUE"""),428.8)</f>
        <v>428.8</v>
      </c>
      <c r="C896" s="5" t="n">
        <f aca="false">IFERROR(__xludf.dummyfunction("""COMPUTED_VALUE"""),429.8)</f>
        <v>429.8</v>
      </c>
      <c r="D896" s="5" t="n">
        <f aca="false">IFERROR(__xludf.dummyfunction("""COMPUTED_VALUE"""),417.51)</f>
        <v>417.51</v>
      </c>
      <c r="E896" s="5" t="n">
        <f aca="false">IFERROR(__xludf.dummyfunction("""COMPUTED_VALUE"""),418.4)</f>
        <v>418.4</v>
      </c>
      <c r="F896" s="5" t="n">
        <f aca="false">IFERROR(__xludf.dummyfunction("""COMPUTED_VALUE"""),29943795)</f>
        <v>29943795</v>
      </c>
    </row>
    <row r="897" customFormat="false" ht="15.75" hidden="false" customHeight="false" outlineLevel="0" collapsed="false">
      <c r="A897" s="6" t="n">
        <f aca="false">IFERROR(__xludf.dummyfunction("""COMPUTED_VALUE"""),45499.6666666667)</f>
        <v>45499.6666666667</v>
      </c>
      <c r="B897" s="5" t="n">
        <f aca="false">IFERROR(__xludf.dummyfunction("""COMPUTED_VALUE"""),418.2)</f>
        <v>418.2</v>
      </c>
      <c r="C897" s="5" t="n">
        <f aca="false">IFERROR(__xludf.dummyfunction("""COMPUTED_VALUE"""),428.92)</f>
        <v>428.92</v>
      </c>
      <c r="D897" s="5" t="n">
        <f aca="false">IFERROR(__xludf.dummyfunction("""COMPUTED_VALUE"""),417.27)</f>
        <v>417.27</v>
      </c>
      <c r="E897" s="5" t="n">
        <f aca="false">IFERROR(__xludf.dummyfunction("""COMPUTED_VALUE"""),425.27)</f>
        <v>425.27</v>
      </c>
      <c r="F897" s="5" t="n">
        <f aca="false">IFERROR(__xludf.dummyfunction("""COMPUTED_VALUE"""),23583839)</f>
        <v>23583839</v>
      </c>
    </row>
    <row r="898" customFormat="false" ht="15.75" hidden="false" customHeight="false" outlineLevel="0" collapsed="false">
      <c r="A898" s="6" t="n">
        <f aca="false">IFERROR(__xludf.dummyfunction("""COMPUTED_VALUE"""),45502.6666666667)</f>
        <v>45502.6666666667</v>
      </c>
      <c r="B898" s="5" t="n">
        <f aca="false">IFERROR(__xludf.dummyfunction("""COMPUTED_VALUE"""),431.58)</f>
        <v>431.58</v>
      </c>
      <c r="C898" s="5" t="n">
        <f aca="false">IFERROR(__xludf.dummyfunction("""COMPUTED_VALUE"""),432.15)</f>
        <v>432.15</v>
      </c>
      <c r="D898" s="5" t="n">
        <f aca="false">IFERROR(__xludf.dummyfunction("""COMPUTED_VALUE"""),424.7)</f>
        <v>424.7</v>
      </c>
      <c r="E898" s="5" t="n">
        <f aca="false">IFERROR(__xludf.dummyfunction("""COMPUTED_VALUE"""),426.73)</f>
        <v>426.73</v>
      </c>
      <c r="F898" s="5" t="n">
        <f aca="false">IFERROR(__xludf.dummyfunction("""COMPUTED_VALUE"""),15125836)</f>
        <v>15125836</v>
      </c>
    </row>
    <row r="899" customFormat="false" ht="15.75" hidden="false" customHeight="false" outlineLevel="0" collapsed="false">
      <c r="A899" s="6" t="n">
        <f aca="false">IFERROR(__xludf.dummyfunction("""COMPUTED_VALUE"""),45503.6666666667)</f>
        <v>45503.6666666667</v>
      </c>
      <c r="B899" s="5" t="n">
        <f aca="false">IFERROR(__xludf.dummyfunction("""COMPUTED_VALUE"""),427.72)</f>
        <v>427.72</v>
      </c>
      <c r="C899" s="5" t="n">
        <f aca="false">IFERROR(__xludf.dummyfunction("""COMPUTED_VALUE"""),429.05)</f>
        <v>429.05</v>
      </c>
      <c r="D899" s="5" t="n">
        <f aca="false">IFERROR(__xludf.dummyfunction("""COMPUTED_VALUE"""),417.36)</f>
        <v>417.36</v>
      </c>
      <c r="E899" s="5" t="n">
        <f aca="false">IFERROR(__xludf.dummyfunction("""COMPUTED_VALUE"""),422.92)</f>
        <v>422.92</v>
      </c>
      <c r="F899" s="5" t="n">
        <f aca="false">IFERROR(__xludf.dummyfunction("""COMPUTED_VALUE"""),32687578)</f>
        <v>32687578</v>
      </c>
    </row>
    <row r="900" customFormat="false" ht="15.75" hidden="false" customHeight="false" outlineLevel="0" collapsed="false">
      <c r="A900" s="6" t="n">
        <f aca="false">IFERROR(__xludf.dummyfunction("""COMPUTED_VALUE"""),45504.6666666667)</f>
        <v>45504.6666666667</v>
      </c>
      <c r="B900" s="5" t="n">
        <f aca="false">IFERROR(__xludf.dummyfunction("""COMPUTED_VALUE"""),420.5)</f>
        <v>420.5</v>
      </c>
      <c r="C900" s="5" t="n">
        <f aca="false">IFERROR(__xludf.dummyfunction("""COMPUTED_VALUE"""),421.78)</f>
        <v>421.78</v>
      </c>
      <c r="D900" s="5" t="n">
        <f aca="false">IFERROR(__xludf.dummyfunction("""COMPUTED_VALUE"""),412.21)</f>
        <v>412.21</v>
      </c>
      <c r="E900" s="5" t="n">
        <f aca="false">IFERROR(__xludf.dummyfunction("""COMPUTED_VALUE"""),418.35)</f>
        <v>418.35</v>
      </c>
      <c r="F900" s="5" t="n">
        <f aca="false">IFERROR(__xludf.dummyfunction("""COMPUTED_VALUE"""),42891366)</f>
        <v>42891366</v>
      </c>
    </row>
    <row r="901" customFormat="false" ht="15.75" hidden="false" customHeight="false" outlineLevel="0" collapsed="false">
      <c r="A901" s="6" t="n">
        <f aca="false">IFERROR(__xludf.dummyfunction("""COMPUTED_VALUE"""),45505.6666666667)</f>
        <v>45505.6666666667</v>
      </c>
      <c r="B901" s="5" t="n">
        <f aca="false">IFERROR(__xludf.dummyfunction("""COMPUTED_VALUE"""),420.79)</f>
        <v>420.79</v>
      </c>
      <c r="C901" s="5" t="n">
        <f aca="false">IFERROR(__xludf.dummyfunction("""COMPUTED_VALUE"""),427.46)</f>
        <v>427.46</v>
      </c>
      <c r="D901" s="5" t="n">
        <f aca="false">IFERROR(__xludf.dummyfunction("""COMPUTED_VALUE"""),413.09)</f>
        <v>413.09</v>
      </c>
      <c r="E901" s="5" t="n">
        <f aca="false">IFERROR(__xludf.dummyfunction("""COMPUTED_VALUE"""),417.11)</f>
        <v>417.11</v>
      </c>
      <c r="F901" s="5" t="n">
        <f aca="false">IFERROR(__xludf.dummyfunction("""COMPUTED_VALUE"""),30296400)</f>
        <v>30296400</v>
      </c>
    </row>
    <row r="902" customFormat="false" ht="15.75" hidden="false" customHeight="false" outlineLevel="0" collapsed="false">
      <c r="A902" s="6" t="n">
        <f aca="false">IFERROR(__xludf.dummyfunction("""COMPUTED_VALUE"""),45506.6666666667)</f>
        <v>45506.6666666667</v>
      </c>
      <c r="B902" s="5" t="n">
        <f aca="false">IFERROR(__xludf.dummyfunction("""COMPUTED_VALUE"""),412.49)</f>
        <v>412.49</v>
      </c>
      <c r="C902" s="5" t="n">
        <f aca="false">IFERROR(__xludf.dummyfunction("""COMPUTED_VALUE"""),415)</f>
        <v>415</v>
      </c>
      <c r="D902" s="5" t="n">
        <f aca="false">IFERROR(__xludf.dummyfunction("""COMPUTED_VALUE"""),404.34)</f>
        <v>404.34</v>
      </c>
      <c r="E902" s="5" t="n">
        <f aca="false">IFERROR(__xludf.dummyfunction("""COMPUTED_VALUE"""),408.49)</f>
        <v>408.49</v>
      </c>
      <c r="F902" s="5" t="n">
        <f aca="false">IFERROR(__xludf.dummyfunction("""COMPUTED_VALUE"""),29437900)</f>
        <v>29437900</v>
      </c>
    </row>
    <row r="903" customFormat="false" ht="15.75" hidden="false" customHeight="false" outlineLevel="0" collapsed="false">
      <c r="A903" s="6" t="n">
        <f aca="false">IFERROR(__xludf.dummyfunction("""COMPUTED_VALUE"""),45509.6666666667)</f>
        <v>45509.6666666667</v>
      </c>
      <c r="B903" s="5" t="n">
        <f aca="false">IFERROR(__xludf.dummyfunction("""COMPUTED_VALUE"""),389.17)</f>
        <v>389.17</v>
      </c>
      <c r="C903" s="5" t="n">
        <f aca="false">IFERROR(__xludf.dummyfunction("""COMPUTED_VALUE"""),401.04)</f>
        <v>401.04</v>
      </c>
      <c r="D903" s="5" t="n">
        <f aca="false">IFERROR(__xludf.dummyfunction("""COMPUTED_VALUE"""),385.58)</f>
        <v>385.58</v>
      </c>
      <c r="E903" s="5" t="n">
        <f aca="false">IFERROR(__xludf.dummyfunction("""COMPUTED_VALUE"""),395.15)</f>
        <v>395.15</v>
      </c>
      <c r="F903" s="5" t="n">
        <f aca="false">IFERROR(__xludf.dummyfunction("""COMPUTED_VALUE"""),40709238)</f>
        <v>40709238</v>
      </c>
    </row>
    <row r="904" customFormat="false" ht="15.75" hidden="false" customHeight="false" outlineLevel="0" collapsed="false">
      <c r="A904" s="6" t="n">
        <f aca="false">IFERROR(__xludf.dummyfunction("""COMPUTED_VALUE"""),45510.6666666667)</f>
        <v>45510.6666666667</v>
      </c>
      <c r="B904" s="5" t="n">
        <f aca="false">IFERROR(__xludf.dummyfunction("""COMPUTED_VALUE"""),400)</f>
        <v>400</v>
      </c>
      <c r="C904" s="5" t="n">
        <f aca="false">IFERROR(__xludf.dummyfunction("""COMPUTED_VALUE"""),405.67)</f>
        <v>405.67</v>
      </c>
      <c r="D904" s="5" t="n">
        <f aca="false">IFERROR(__xludf.dummyfunction("""COMPUTED_VALUE"""),398.5)</f>
        <v>398.5</v>
      </c>
      <c r="E904" s="5" t="n">
        <f aca="false">IFERROR(__xludf.dummyfunction("""COMPUTED_VALUE"""),399.61)</f>
        <v>399.61</v>
      </c>
      <c r="F904" s="5" t="n">
        <f aca="false">IFERROR(__xludf.dummyfunction("""COMPUTED_VALUE"""),24946525)</f>
        <v>24946525</v>
      </c>
    </row>
    <row r="905" customFormat="false" ht="15.75" hidden="false" customHeight="false" outlineLevel="0" collapsed="false">
      <c r="A905" s="6" t="n">
        <f aca="false">IFERROR(__xludf.dummyfunction("""COMPUTED_VALUE"""),45511.6666666667)</f>
        <v>45511.6666666667</v>
      </c>
      <c r="B905" s="5" t="n">
        <f aca="false">IFERROR(__xludf.dummyfunction("""COMPUTED_VALUE"""),408.64)</f>
        <v>408.64</v>
      </c>
      <c r="C905" s="5" t="n">
        <f aca="false">IFERROR(__xludf.dummyfunction("""COMPUTED_VALUE"""),410.08)</f>
        <v>410.08</v>
      </c>
      <c r="D905" s="5" t="n">
        <f aca="false">IFERROR(__xludf.dummyfunction("""COMPUTED_VALUE"""),397.47)</f>
        <v>397.47</v>
      </c>
      <c r="E905" s="5" t="n">
        <f aca="false">IFERROR(__xludf.dummyfunction("""COMPUTED_VALUE"""),398.43)</f>
        <v>398.43</v>
      </c>
      <c r="F905" s="5" t="n">
        <f aca="false">IFERROR(__xludf.dummyfunction("""COMPUTED_VALUE"""),20650906)</f>
        <v>20650906</v>
      </c>
    </row>
    <row r="906" customFormat="false" ht="15.75" hidden="false" customHeight="false" outlineLevel="0" collapsed="false">
      <c r="A906" s="6" t="n">
        <f aca="false">IFERROR(__xludf.dummyfunction("""COMPUTED_VALUE"""),45512.6666666667)</f>
        <v>45512.6666666667</v>
      </c>
      <c r="B906" s="5" t="n">
        <f aca="false">IFERROR(__xludf.dummyfunction("""COMPUTED_VALUE"""),402.44)</f>
        <v>402.44</v>
      </c>
      <c r="C906" s="5" t="n">
        <f aca="false">IFERROR(__xludf.dummyfunction("""COMPUTED_VALUE"""),405.86)</f>
        <v>405.86</v>
      </c>
      <c r="D906" s="5" t="n">
        <f aca="false">IFERROR(__xludf.dummyfunction("""COMPUTED_VALUE"""),399.94)</f>
        <v>399.94</v>
      </c>
      <c r="E906" s="5" t="n">
        <f aca="false">IFERROR(__xludf.dummyfunction("""COMPUTED_VALUE"""),402.69)</f>
        <v>402.69</v>
      </c>
      <c r="F906" s="5" t="n">
        <f aca="false">IFERROR(__xludf.dummyfunction("""COMPUTED_VALUE"""),20203030)</f>
        <v>20203030</v>
      </c>
    </row>
    <row r="907" customFormat="false" ht="15.75" hidden="false" customHeight="false" outlineLevel="0" collapsed="false">
      <c r="A907" s="6" t="n">
        <f aca="false">IFERROR(__xludf.dummyfunction("""COMPUTED_VALUE"""),45513.6666666667)</f>
        <v>45513.6666666667</v>
      </c>
      <c r="B907" s="5" t="n">
        <f aca="false">IFERROR(__xludf.dummyfunction("""COMPUTED_VALUE"""),404.03)</f>
        <v>404.03</v>
      </c>
      <c r="C907" s="5" t="n">
        <f aca="false">IFERROR(__xludf.dummyfunction("""COMPUTED_VALUE"""),408.05)</f>
        <v>408.05</v>
      </c>
      <c r="D907" s="5" t="n">
        <f aca="false">IFERROR(__xludf.dummyfunction("""COMPUTED_VALUE"""),402.26)</f>
        <v>402.26</v>
      </c>
      <c r="E907" s="5" t="n">
        <f aca="false">IFERROR(__xludf.dummyfunction("""COMPUTED_VALUE"""),406.02)</f>
        <v>406.02</v>
      </c>
      <c r="F907" s="5" t="n">
        <f aca="false">IFERROR(__xludf.dummyfunction("""COMPUTED_VALUE"""),19276666)</f>
        <v>19276666</v>
      </c>
    </row>
    <row r="908" customFormat="false" ht="15.75" hidden="false" customHeight="false" outlineLevel="0" collapsed="false">
      <c r="A908" s="6" t="n">
        <f aca="false">IFERROR(__xludf.dummyfunction("""COMPUTED_VALUE"""),45516.6666666667)</f>
        <v>45516.6666666667</v>
      </c>
      <c r="B908" s="5" t="n">
        <f aca="false">IFERROR(__xludf.dummyfunction("""COMPUTED_VALUE"""),407.06)</f>
        <v>407.06</v>
      </c>
      <c r="C908" s="5" t="n">
        <f aca="false">IFERROR(__xludf.dummyfunction("""COMPUTED_VALUE"""),408.76)</f>
        <v>408.76</v>
      </c>
      <c r="D908" s="5" t="n">
        <f aca="false">IFERROR(__xludf.dummyfunction("""COMPUTED_VALUE"""),404.24)</f>
        <v>404.24</v>
      </c>
      <c r="E908" s="5" t="n">
        <f aca="false">IFERROR(__xludf.dummyfunction("""COMPUTED_VALUE"""),406.81)</f>
        <v>406.81</v>
      </c>
      <c r="F908" s="5" t="n">
        <f aca="false">IFERROR(__xludf.dummyfunction("""COMPUTED_VALUE"""),16762883)</f>
        <v>16762883</v>
      </c>
    </row>
    <row r="909" customFormat="false" ht="15.75" hidden="false" customHeight="false" outlineLevel="0" collapsed="false">
      <c r="A909" s="6" t="n">
        <f aca="false">IFERROR(__xludf.dummyfunction("""COMPUTED_VALUE"""),45517.6666666667)</f>
        <v>45517.6666666667</v>
      </c>
      <c r="B909" s="5" t="n">
        <f aca="false">IFERROR(__xludf.dummyfunction("""COMPUTED_VALUE"""),409.59)</f>
        <v>409.59</v>
      </c>
      <c r="C909" s="5" t="n">
        <f aca="false">IFERROR(__xludf.dummyfunction("""COMPUTED_VALUE"""),414.95)</f>
        <v>414.95</v>
      </c>
      <c r="D909" s="5" t="n">
        <f aca="false">IFERROR(__xludf.dummyfunction("""COMPUTED_VALUE"""),409.57)</f>
        <v>409.57</v>
      </c>
      <c r="E909" s="5" t="n">
        <f aca="false">IFERROR(__xludf.dummyfunction("""COMPUTED_VALUE"""),414.01)</f>
        <v>414.01</v>
      </c>
      <c r="F909" s="5" t="n">
        <f aca="false">IFERROR(__xludf.dummyfunction("""COMPUTED_VALUE"""),19414271)</f>
        <v>19414271</v>
      </c>
    </row>
    <row r="910" customFormat="false" ht="15.75" hidden="false" customHeight="false" outlineLevel="0" collapsed="false">
      <c r="A910" s="6" t="n">
        <f aca="false">IFERROR(__xludf.dummyfunction("""COMPUTED_VALUE"""),45518.6666666667)</f>
        <v>45518.6666666667</v>
      </c>
      <c r="B910" s="5" t="n">
        <f aca="false">IFERROR(__xludf.dummyfunction("""COMPUTED_VALUE"""),414.8)</f>
        <v>414.8</v>
      </c>
      <c r="C910" s="5" t="n">
        <f aca="false">IFERROR(__xludf.dummyfunction("""COMPUTED_VALUE"""),417.72)</f>
        <v>417.72</v>
      </c>
      <c r="D910" s="5" t="n">
        <f aca="false">IFERROR(__xludf.dummyfunction("""COMPUTED_VALUE"""),412.45)</f>
        <v>412.45</v>
      </c>
      <c r="E910" s="5" t="n">
        <f aca="false">IFERROR(__xludf.dummyfunction("""COMPUTED_VALUE"""),416.86)</f>
        <v>416.86</v>
      </c>
      <c r="F910" s="5" t="n">
        <f aca="false">IFERROR(__xludf.dummyfunction("""COMPUTED_VALUE"""),18266980)</f>
        <v>18266980</v>
      </c>
    </row>
    <row r="911" customFormat="false" ht="15.75" hidden="false" customHeight="false" outlineLevel="0" collapsed="false">
      <c r="A911" s="6" t="n">
        <f aca="false">IFERROR(__xludf.dummyfunction("""COMPUTED_VALUE"""),45519.6666666667)</f>
        <v>45519.6666666667</v>
      </c>
      <c r="B911" s="5" t="n">
        <f aca="false">IFERROR(__xludf.dummyfunction("""COMPUTED_VALUE"""),419.8)</f>
        <v>419.8</v>
      </c>
      <c r="C911" s="5" t="n">
        <f aca="false">IFERROR(__xludf.dummyfunction("""COMPUTED_VALUE"""),421.11)</f>
        <v>421.11</v>
      </c>
      <c r="D911" s="5" t="n">
        <f aca="false">IFERROR(__xludf.dummyfunction("""COMPUTED_VALUE"""),417.66)</f>
        <v>417.66</v>
      </c>
      <c r="E911" s="5" t="n">
        <f aca="false">IFERROR(__xludf.dummyfunction("""COMPUTED_VALUE"""),421.03)</f>
        <v>421.03</v>
      </c>
      <c r="F911" s="5" t="n">
        <f aca="false">IFERROR(__xludf.dummyfunction("""COMPUTED_VALUE"""),20752144)</f>
        <v>20752144</v>
      </c>
    </row>
    <row r="912" customFormat="false" ht="15.75" hidden="false" customHeight="false" outlineLevel="0" collapsed="false">
      <c r="A912" s="6" t="n">
        <f aca="false">IFERROR(__xludf.dummyfunction("""COMPUTED_VALUE"""),45520.6666666667)</f>
        <v>45520.6666666667</v>
      </c>
      <c r="B912" s="5" t="n">
        <f aca="false">IFERROR(__xludf.dummyfunction("""COMPUTED_VALUE"""),420.6)</f>
        <v>420.6</v>
      </c>
      <c r="C912" s="5" t="n">
        <f aca="false">IFERROR(__xludf.dummyfunction("""COMPUTED_VALUE"""),421.34)</f>
        <v>421.34</v>
      </c>
      <c r="D912" s="5" t="n">
        <f aca="false">IFERROR(__xludf.dummyfunction("""COMPUTED_VALUE"""),417.3)</f>
        <v>417.3</v>
      </c>
      <c r="E912" s="5" t="n">
        <f aca="false">IFERROR(__xludf.dummyfunction("""COMPUTED_VALUE"""),418.47)</f>
        <v>418.47</v>
      </c>
      <c r="F912" s="5" t="n">
        <f aca="false">IFERROR(__xludf.dummyfunction("""COMPUTED_VALUE"""),22775593)</f>
        <v>22775593</v>
      </c>
    </row>
    <row r="913" customFormat="false" ht="15.75" hidden="false" customHeight="false" outlineLevel="0" collapsed="false">
      <c r="A913" s="6" t="n">
        <f aca="false">IFERROR(__xludf.dummyfunction("""COMPUTED_VALUE"""),45523.6666666667)</f>
        <v>45523.6666666667</v>
      </c>
      <c r="B913" s="5" t="n">
        <f aca="false">IFERROR(__xludf.dummyfunction("""COMPUTED_VALUE"""),418.96)</f>
        <v>418.96</v>
      </c>
      <c r="C913" s="5" t="n">
        <f aca="false">IFERROR(__xludf.dummyfunction("""COMPUTED_VALUE"""),421.75)</f>
        <v>421.75</v>
      </c>
      <c r="D913" s="5" t="n">
        <f aca="false">IFERROR(__xludf.dummyfunction("""COMPUTED_VALUE"""),416.46)</f>
        <v>416.46</v>
      </c>
      <c r="E913" s="5" t="n">
        <f aca="false">IFERROR(__xludf.dummyfunction("""COMPUTED_VALUE"""),421.53)</f>
        <v>421.53</v>
      </c>
      <c r="F913" s="5" t="n">
        <f aca="false">IFERROR(__xludf.dummyfunction("""COMPUTED_VALUE"""),15233957)</f>
        <v>15233957</v>
      </c>
    </row>
    <row r="914" customFormat="false" ht="15.75" hidden="false" customHeight="false" outlineLevel="0" collapsed="false">
      <c r="A914" s="6" t="n">
        <f aca="false">IFERROR(__xludf.dummyfunction("""COMPUTED_VALUE"""),45524.6666666667)</f>
        <v>45524.6666666667</v>
      </c>
      <c r="B914" s="5" t="n">
        <f aca="false">IFERROR(__xludf.dummyfunction("""COMPUTED_VALUE"""),421.7)</f>
        <v>421.7</v>
      </c>
      <c r="C914" s="5" t="n">
        <f aca="false">IFERROR(__xludf.dummyfunction("""COMPUTED_VALUE"""),425.86)</f>
        <v>425.86</v>
      </c>
      <c r="D914" s="5" t="n">
        <f aca="false">IFERROR(__xludf.dummyfunction("""COMPUTED_VALUE"""),421.64)</f>
        <v>421.64</v>
      </c>
      <c r="E914" s="5" t="n">
        <f aca="false">IFERROR(__xludf.dummyfunction("""COMPUTED_VALUE"""),424.8)</f>
        <v>424.8</v>
      </c>
      <c r="F914" s="5" t="n">
        <f aca="false">IFERROR(__xludf.dummyfunction("""COMPUTED_VALUE"""),16387581)</f>
        <v>16387581</v>
      </c>
    </row>
    <row r="915" customFormat="false" ht="15.75" hidden="false" customHeight="false" outlineLevel="0" collapsed="false">
      <c r="A915" s="6" t="n">
        <f aca="false">IFERROR(__xludf.dummyfunction("""COMPUTED_VALUE"""),45525.6666666667)</f>
        <v>45525.6666666667</v>
      </c>
      <c r="B915" s="5" t="n">
        <f aca="false">IFERROR(__xludf.dummyfunction("""COMPUTED_VALUE"""),424.08)</f>
        <v>424.08</v>
      </c>
      <c r="C915" s="5" t="n">
        <f aca="false">IFERROR(__xludf.dummyfunction("""COMPUTED_VALUE"""),426.4)</f>
        <v>426.4</v>
      </c>
      <c r="D915" s="5" t="n">
        <f aca="false">IFERROR(__xludf.dummyfunction("""COMPUTED_VALUE"""),421.72)</f>
        <v>421.72</v>
      </c>
      <c r="E915" s="5" t="n">
        <f aca="false">IFERROR(__xludf.dummyfunction("""COMPUTED_VALUE"""),424.14)</f>
        <v>424.14</v>
      </c>
      <c r="F915" s="5" t="n">
        <f aca="false">IFERROR(__xludf.dummyfunction("""COMPUTED_VALUE"""),16067298)</f>
        <v>16067298</v>
      </c>
    </row>
    <row r="916" customFormat="false" ht="15.75" hidden="false" customHeight="false" outlineLevel="0" collapsed="false">
      <c r="A916" s="6" t="n">
        <f aca="false">IFERROR(__xludf.dummyfunction("""COMPUTED_VALUE"""),45526.6666666667)</f>
        <v>45526.6666666667</v>
      </c>
      <c r="B916" s="5" t="n">
        <f aca="false">IFERROR(__xludf.dummyfunction("""COMPUTED_VALUE"""),424.36)</f>
        <v>424.36</v>
      </c>
      <c r="C916" s="5" t="n">
        <f aca="false">IFERROR(__xludf.dummyfunction("""COMPUTED_VALUE"""),426.79)</f>
        <v>426.79</v>
      </c>
      <c r="D916" s="5" t="n">
        <f aca="false">IFERROR(__xludf.dummyfunction("""COMPUTED_VALUE"""),414.61)</f>
        <v>414.61</v>
      </c>
      <c r="E916" s="5" t="n">
        <f aca="false">IFERROR(__xludf.dummyfunction("""COMPUTED_VALUE"""),415.55)</f>
        <v>415.55</v>
      </c>
      <c r="F916" s="5" t="n">
        <f aca="false">IFERROR(__xludf.dummyfunction("""COMPUTED_VALUE"""),19361901)</f>
        <v>19361901</v>
      </c>
    </row>
    <row r="917" customFormat="false" ht="15.75" hidden="false" customHeight="false" outlineLevel="0" collapsed="false">
      <c r="A917" s="6" t="n">
        <f aca="false">IFERROR(__xludf.dummyfunction("""COMPUTED_VALUE"""),45527.6666666667)</f>
        <v>45527.6666666667</v>
      </c>
      <c r="B917" s="5" t="n">
        <f aca="false">IFERROR(__xludf.dummyfunction("""COMPUTED_VALUE"""),416.98)</f>
        <v>416.98</v>
      </c>
      <c r="C917" s="5" t="n">
        <f aca="false">IFERROR(__xludf.dummyfunction("""COMPUTED_VALUE"""),419.26)</f>
        <v>419.26</v>
      </c>
      <c r="D917" s="5" t="n">
        <f aca="false">IFERROR(__xludf.dummyfunction("""COMPUTED_VALUE"""),412.09)</f>
        <v>412.09</v>
      </c>
      <c r="E917" s="5" t="n">
        <f aca="false">IFERROR(__xludf.dummyfunction("""COMPUTED_VALUE"""),416.79)</f>
        <v>416.79</v>
      </c>
      <c r="F917" s="5" t="n">
        <f aca="false">IFERROR(__xludf.dummyfunction("""COMPUTED_VALUE"""),18493784)</f>
        <v>18493784</v>
      </c>
    </row>
    <row r="918" customFormat="false" ht="15.75" hidden="false" customHeight="false" outlineLevel="0" collapsed="false">
      <c r="A918" s="6" t="n">
        <f aca="false">IFERROR(__xludf.dummyfunction("""COMPUTED_VALUE"""),45530.6666666667)</f>
        <v>45530.6666666667</v>
      </c>
      <c r="B918" s="5" t="n">
        <f aca="false">IFERROR(__xludf.dummyfunction("""COMPUTED_VALUE"""),416.37)</f>
        <v>416.37</v>
      </c>
      <c r="C918" s="5" t="n">
        <f aca="false">IFERROR(__xludf.dummyfunction("""COMPUTED_VALUE"""),417.28)</f>
        <v>417.28</v>
      </c>
      <c r="D918" s="5" t="n">
        <f aca="false">IFERROR(__xludf.dummyfunction("""COMPUTED_VALUE"""),411.34)</f>
        <v>411.34</v>
      </c>
      <c r="E918" s="5" t="n">
        <f aca="false">IFERROR(__xludf.dummyfunction("""COMPUTED_VALUE"""),413.49)</f>
        <v>413.49</v>
      </c>
      <c r="F918" s="5" t="n">
        <f aca="false">IFERROR(__xludf.dummyfunction("""COMPUTED_VALUE"""),13152830)</f>
        <v>13152830</v>
      </c>
    </row>
    <row r="919" customFormat="false" ht="15.75" hidden="false" customHeight="false" outlineLevel="0" collapsed="false">
      <c r="A919" s="6" t="n">
        <f aca="false">IFERROR(__xludf.dummyfunction("""COMPUTED_VALUE"""),45531.6666666667)</f>
        <v>45531.6666666667</v>
      </c>
      <c r="B919" s="5" t="n">
        <f aca="false">IFERROR(__xludf.dummyfunction("""COMPUTED_VALUE"""),412.86)</f>
        <v>412.86</v>
      </c>
      <c r="C919" s="5" t="n">
        <f aca="false">IFERROR(__xludf.dummyfunction("""COMPUTED_VALUE"""),414.36)</f>
        <v>414.36</v>
      </c>
      <c r="D919" s="5" t="n">
        <f aca="false">IFERROR(__xludf.dummyfunction("""COMPUTED_VALUE"""),410.25)</f>
        <v>410.25</v>
      </c>
      <c r="E919" s="5" t="n">
        <f aca="false">IFERROR(__xludf.dummyfunction("""COMPUTED_VALUE"""),413.84)</f>
        <v>413.84</v>
      </c>
      <c r="F919" s="5" t="n">
        <f aca="false">IFERROR(__xludf.dummyfunction("""COMPUTED_VALUE"""),13492911)</f>
        <v>13492911</v>
      </c>
    </row>
    <row r="920" customFormat="false" ht="15.75" hidden="false" customHeight="false" outlineLevel="0" collapsed="false">
      <c r="A920" s="6" t="n">
        <f aca="false">IFERROR(__xludf.dummyfunction("""COMPUTED_VALUE"""),45532.6666666667)</f>
        <v>45532.6666666667</v>
      </c>
      <c r="B920" s="5" t="n">
        <f aca="false">IFERROR(__xludf.dummyfunction("""COMPUTED_VALUE"""),414.88)</f>
        <v>414.88</v>
      </c>
      <c r="C920" s="5" t="n">
        <f aca="false">IFERROR(__xludf.dummyfunction("""COMPUTED_VALUE"""),415)</f>
        <v>415</v>
      </c>
      <c r="D920" s="5" t="n">
        <f aca="false">IFERROR(__xludf.dummyfunction("""COMPUTED_VALUE"""),407.31)</f>
        <v>407.31</v>
      </c>
      <c r="E920" s="5" t="n">
        <f aca="false">IFERROR(__xludf.dummyfunction("""COMPUTED_VALUE"""),410.6)</f>
        <v>410.6</v>
      </c>
      <c r="F920" s="5" t="n">
        <f aca="false">IFERROR(__xludf.dummyfunction("""COMPUTED_VALUE"""),14882660)</f>
        <v>14882660</v>
      </c>
    </row>
    <row r="921" customFormat="false" ht="15.75" hidden="false" customHeight="false" outlineLevel="0" collapsed="false">
      <c r="A921" s="6" t="n">
        <f aca="false">IFERROR(__xludf.dummyfunction("""COMPUTED_VALUE"""),45533.6666666667)</f>
        <v>45533.6666666667</v>
      </c>
      <c r="B921" s="5" t="n">
        <f aca="false">IFERROR(__xludf.dummyfunction("""COMPUTED_VALUE"""),414.94)</f>
        <v>414.94</v>
      </c>
      <c r="C921" s="5" t="n">
        <f aca="false">IFERROR(__xludf.dummyfunction("""COMPUTED_VALUE"""),422.05)</f>
        <v>422.05</v>
      </c>
      <c r="D921" s="5" t="n">
        <f aca="false">IFERROR(__xludf.dummyfunction("""COMPUTED_VALUE"""),410.6)</f>
        <v>410.6</v>
      </c>
      <c r="E921" s="5" t="n">
        <f aca="false">IFERROR(__xludf.dummyfunction("""COMPUTED_VALUE"""),413.12)</f>
        <v>413.12</v>
      </c>
      <c r="F921" s="5" t="n">
        <f aca="false">IFERROR(__xludf.dummyfunction("""COMPUTED_VALUE"""),17045241)</f>
        <v>17045241</v>
      </c>
    </row>
    <row r="922" customFormat="false" ht="15.75" hidden="false" customHeight="false" outlineLevel="0" collapsed="false">
      <c r="A922" s="6" t="n">
        <f aca="false">IFERROR(__xludf.dummyfunction("""COMPUTED_VALUE"""),45534.6666666667)</f>
        <v>45534.6666666667</v>
      </c>
      <c r="B922" s="5" t="n">
        <f aca="false">IFERROR(__xludf.dummyfunction("""COMPUTED_VALUE"""),415.6)</f>
        <v>415.6</v>
      </c>
      <c r="C922" s="5" t="n">
        <f aca="false">IFERROR(__xludf.dummyfunction("""COMPUTED_VALUE"""),417.49)</f>
        <v>417.49</v>
      </c>
      <c r="D922" s="5" t="n">
        <f aca="false">IFERROR(__xludf.dummyfunction("""COMPUTED_VALUE"""),412.13)</f>
        <v>412.13</v>
      </c>
      <c r="E922" s="5" t="n">
        <f aca="false">IFERROR(__xludf.dummyfunction("""COMPUTED_VALUE"""),417.14)</f>
        <v>417.14</v>
      </c>
      <c r="F922" s="5" t="n">
        <f aca="false">IFERROR(__xludf.dummyfunction("""COMPUTED_VALUE"""),24308324)</f>
        <v>24308324</v>
      </c>
    </row>
    <row r="923" customFormat="false" ht="15.75" hidden="false" customHeight="false" outlineLevel="0" collapsed="false">
      <c r="A923" s="6" t="n">
        <f aca="false">IFERROR(__xludf.dummyfunction("""COMPUTED_VALUE"""),45538.6666666667)</f>
        <v>45538.6666666667</v>
      </c>
      <c r="B923" s="5" t="n">
        <f aca="false">IFERROR(__xludf.dummyfunction("""COMPUTED_VALUE"""),417.91)</f>
        <v>417.91</v>
      </c>
      <c r="C923" s="5" t="n">
        <f aca="false">IFERROR(__xludf.dummyfunction("""COMPUTED_VALUE"""),419.88)</f>
        <v>419.88</v>
      </c>
      <c r="D923" s="5" t="n">
        <f aca="false">IFERROR(__xludf.dummyfunction("""COMPUTED_VALUE"""),407.03)</f>
        <v>407.03</v>
      </c>
      <c r="E923" s="5" t="n">
        <f aca="false">IFERROR(__xludf.dummyfunction("""COMPUTED_VALUE"""),409.44)</f>
        <v>409.44</v>
      </c>
      <c r="F923" s="5" t="n">
        <f aca="false">IFERROR(__xludf.dummyfunction("""COMPUTED_VALUE"""),20313603)</f>
        <v>20313603</v>
      </c>
    </row>
    <row r="924" customFormat="false" ht="15.75" hidden="false" customHeight="false" outlineLevel="0" collapsed="false">
      <c r="A924" s="6" t="n">
        <f aca="false">IFERROR(__xludf.dummyfunction("""COMPUTED_VALUE"""),45539.6666666667)</f>
        <v>45539.6666666667</v>
      </c>
      <c r="B924" s="5" t="n">
        <f aca="false">IFERROR(__xludf.dummyfunction("""COMPUTED_VALUE"""),405.91)</f>
        <v>405.91</v>
      </c>
      <c r="C924" s="5" t="n">
        <f aca="false">IFERROR(__xludf.dummyfunction("""COMPUTED_VALUE"""),411.24)</f>
        <v>411.24</v>
      </c>
      <c r="D924" s="5" t="n">
        <f aca="false">IFERROR(__xludf.dummyfunction("""COMPUTED_VALUE"""),404.37)</f>
        <v>404.37</v>
      </c>
      <c r="E924" s="5" t="n">
        <f aca="false">IFERROR(__xludf.dummyfunction("""COMPUTED_VALUE"""),408.9)</f>
        <v>408.9</v>
      </c>
      <c r="F924" s="5" t="n">
        <f aca="false">IFERROR(__xludf.dummyfunction("""COMPUTED_VALUE"""),15135806)</f>
        <v>15135806</v>
      </c>
    </row>
    <row r="925" customFormat="false" ht="15.75" hidden="false" customHeight="false" outlineLevel="0" collapsed="false">
      <c r="A925" s="6" t="n">
        <f aca="false">IFERROR(__xludf.dummyfunction("""COMPUTED_VALUE"""),45540.6666666667)</f>
        <v>45540.6666666667</v>
      </c>
      <c r="B925" s="5" t="n">
        <f aca="false">IFERROR(__xludf.dummyfunction("""COMPUTED_VALUE"""),407.62)</f>
        <v>407.62</v>
      </c>
      <c r="C925" s="5" t="n">
        <f aca="false">IFERROR(__xludf.dummyfunction("""COMPUTED_VALUE"""),413.1)</f>
        <v>413.1</v>
      </c>
      <c r="D925" s="5" t="n">
        <f aca="false">IFERROR(__xludf.dummyfunction("""COMPUTED_VALUE"""),406.13)</f>
        <v>406.13</v>
      </c>
      <c r="E925" s="5" t="n">
        <f aca="false">IFERROR(__xludf.dummyfunction("""COMPUTED_VALUE"""),408.39)</f>
        <v>408.39</v>
      </c>
      <c r="F925" s="5" t="n">
        <f aca="false">IFERROR(__xludf.dummyfunction("""COMPUTED_VALUE"""),14195516)</f>
        <v>14195516</v>
      </c>
    </row>
    <row r="926" customFormat="false" ht="15.75" hidden="false" customHeight="false" outlineLevel="0" collapsed="false">
      <c r="A926" s="6" t="n">
        <f aca="false">IFERROR(__xludf.dummyfunction("""COMPUTED_VALUE"""),45541.6666666667)</f>
        <v>45541.6666666667</v>
      </c>
      <c r="B926" s="5" t="n">
        <f aca="false">IFERROR(__xludf.dummyfunction("""COMPUTED_VALUE"""),409.06)</f>
        <v>409.06</v>
      </c>
      <c r="C926" s="5" t="n">
        <f aca="false">IFERROR(__xludf.dummyfunction("""COMPUTED_VALUE"""),410.65)</f>
        <v>410.65</v>
      </c>
      <c r="D926" s="5" t="n">
        <f aca="false">IFERROR(__xludf.dummyfunction("""COMPUTED_VALUE"""),400.8)</f>
        <v>400.8</v>
      </c>
      <c r="E926" s="5" t="n">
        <f aca="false">IFERROR(__xludf.dummyfunction("""COMPUTED_VALUE"""),401.7)</f>
        <v>401.7</v>
      </c>
      <c r="F926" s="5" t="n">
        <f aca="false">IFERROR(__xludf.dummyfunction("""COMPUTED_VALUE"""),19609526)</f>
        <v>19609526</v>
      </c>
    </row>
    <row r="927" customFormat="false" ht="15.75" hidden="false" customHeight="false" outlineLevel="0" collapsed="false">
      <c r="A927" s="6" t="n">
        <f aca="false">IFERROR(__xludf.dummyfunction("""COMPUTED_VALUE"""),45544.6666666667)</f>
        <v>45544.6666666667</v>
      </c>
      <c r="B927" s="5" t="n">
        <f aca="false">IFERROR(__xludf.dummyfunction("""COMPUTED_VALUE"""),407.24)</f>
        <v>407.24</v>
      </c>
      <c r="C927" s="5" t="n">
        <f aca="false">IFERROR(__xludf.dummyfunction("""COMPUTED_VALUE"""),408.65)</f>
        <v>408.65</v>
      </c>
      <c r="D927" s="5" t="n">
        <f aca="false">IFERROR(__xludf.dummyfunction("""COMPUTED_VALUE"""),402.15)</f>
        <v>402.15</v>
      </c>
      <c r="E927" s="5" t="n">
        <f aca="false">IFERROR(__xludf.dummyfunction("""COMPUTED_VALUE"""),405.72)</f>
        <v>405.72</v>
      </c>
      <c r="F927" s="5" t="n">
        <f aca="false">IFERROR(__xludf.dummyfunction("""COMPUTED_VALUE"""),15295134)</f>
        <v>15295134</v>
      </c>
    </row>
    <row r="928" customFormat="false" ht="15.75" hidden="false" customHeight="false" outlineLevel="0" collapsed="false">
      <c r="A928" s="6" t="n">
        <f aca="false">IFERROR(__xludf.dummyfunction("""COMPUTED_VALUE"""),45545.6666666667)</f>
        <v>45545.6666666667</v>
      </c>
      <c r="B928" s="5" t="n">
        <f aca="false">IFERROR(__xludf.dummyfunction("""COMPUTED_VALUE"""),408.2)</f>
        <v>408.2</v>
      </c>
      <c r="C928" s="5" t="n">
        <f aca="false">IFERROR(__xludf.dummyfunction("""COMPUTED_VALUE"""),416.33)</f>
        <v>416.33</v>
      </c>
      <c r="D928" s="5" t="n">
        <f aca="false">IFERROR(__xludf.dummyfunction("""COMPUTED_VALUE"""),407.7)</f>
        <v>407.7</v>
      </c>
      <c r="E928" s="5" t="n">
        <f aca="false">IFERROR(__xludf.dummyfunction("""COMPUTED_VALUE"""),414.2)</f>
        <v>414.2</v>
      </c>
      <c r="F928" s="5" t="n">
        <f aca="false">IFERROR(__xludf.dummyfunction("""COMPUTED_VALUE"""),19594287)</f>
        <v>19594287</v>
      </c>
    </row>
    <row r="929" customFormat="false" ht="15.75" hidden="false" customHeight="false" outlineLevel="0" collapsed="false">
      <c r="A929" s="6" t="n">
        <f aca="false">IFERROR(__xludf.dummyfunction("""COMPUTED_VALUE"""),45546.6666666667)</f>
        <v>45546.6666666667</v>
      </c>
      <c r="B929" s="5" t="n">
        <f aca="false">IFERROR(__xludf.dummyfunction("""COMPUTED_VALUE"""),415.5)</f>
        <v>415.5</v>
      </c>
      <c r="C929" s="5" t="n">
        <f aca="false">IFERROR(__xludf.dummyfunction("""COMPUTED_VALUE"""),423.99)</f>
        <v>423.99</v>
      </c>
      <c r="D929" s="5" t="n">
        <f aca="false">IFERROR(__xludf.dummyfunction("""COMPUTED_VALUE"""),409.58)</f>
        <v>409.58</v>
      </c>
      <c r="E929" s="5" t="n">
        <f aca="false">IFERROR(__xludf.dummyfunction("""COMPUTED_VALUE"""),423.04)</f>
        <v>423.04</v>
      </c>
      <c r="F929" s="5" t="n">
        <f aca="false">IFERROR(__xludf.dummyfunction("""COMPUTED_VALUE"""),19266923)</f>
        <v>19266923</v>
      </c>
    </row>
    <row r="930" customFormat="false" ht="15.75" hidden="false" customHeight="false" outlineLevel="0" collapsed="false">
      <c r="A930" s="6" t="n">
        <f aca="false">IFERROR(__xludf.dummyfunction("""COMPUTED_VALUE"""),45547.6666666667)</f>
        <v>45547.6666666667</v>
      </c>
      <c r="B930" s="5" t="n">
        <f aca="false">IFERROR(__xludf.dummyfunction("""COMPUTED_VALUE"""),423.31)</f>
        <v>423.31</v>
      </c>
      <c r="C930" s="5" t="n">
        <f aca="false">IFERROR(__xludf.dummyfunction("""COMPUTED_VALUE"""),427.37)</f>
        <v>427.37</v>
      </c>
      <c r="D930" s="5" t="n">
        <f aca="false">IFERROR(__xludf.dummyfunction("""COMPUTED_VALUE"""),419.75)</f>
        <v>419.75</v>
      </c>
      <c r="E930" s="5" t="n">
        <f aca="false">IFERROR(__xludf.dummyfunction("""COMPUTED_VALUE"""),427)</f>
        <v>427</v>
      </c>
      <c r="F930" s="5" t="n">
        <f aca="false">IFERROR(__xludf.dummyfunction("""COMPUTED_VALUE"""),17418759)</f>
        <v>17418759</v>
      </c>
    </row>
    <row r="931" customFormat="false" ht="15.75" hidden="false" customHeight="false" outlineLevel="0" collapsed="false">
      <c r="A931" s="6" t="n">
        <f aca="false">IFERROR(__xludf.dummyfunction("""COMPUTED_VALUE"""),45548.6666666667)</f>
        <v>45548.6666666667</v>
      </c>
      <c r="B931" s="5" t="n">
        <f aca="false">IFERROR(__xludf.dummyfunction("""COMPUTED_VALUE"""),425.83)</f>
        <v>425.83</v>
      </c>
      <c r="C931" s="5" t="n">
        <f aca="false">IFERROR(__xludf.dummyfunction("""COMPUTED_VALUE"""),431.83)</f>
        <v>431.83</v>
      </c>
      <c r="D931" s="5" t="n">
        <f aca="false">IFERROR(__xludf.dummyfunction("""COMPUTED_VALUE"""),425.46)</f>
        <v>425.46</v>
      </c>
      <c r="E931" s="5" t="n">
        <f aca="false">IFERROR(__xludf.dummyfunction("""COMPUTED_VALUE"""),430.59)</f>
        <v>430.59</v>
      </c>
      <c r="F931" s="5" t="n">
        <f aca="false">IFERROR(__xludf.dummyfunction("""COMPUTED_VALUE"""),15874555)</f>
        <v>15874555</v>
      </c>
    </row>
    <row r="932" customFormat="false" ht="15.75" hidden="false" customHeight="false" outlineLevel="0" collapsed="false">
      <c r="A932" s="6" t="n">
        <f aca="false">IFERROR(__xludf.dummyfunction("""COMPUTED_VALUE"""),45551.6666666667)</f>
        <v>45551.6666666667</v>
      </c>
      <c r="B932" s="5" t="n">
        <f aca="false">IFERROR(__xludf.dummyfunction("""COMPUTED_VALUE"""),430.6)</f>
        <v>430.6</v>
      </c>
      <c r="C932" s="5" t="n">
        <f aca="false">IFERROR(__xludf.dummyfunction("""COMPUTED_VALUE"""),433.53)</f>
        <v>433.53</v>
      </c>
      <c r="D932" s="5" t="n">
        <f aca="false">IFERROR(__xludf.dummyfunction("""COMPUTED_VALUE"""),428.22)</f>
        <v>428.22</v>
      </c>
      <c r="E932" s="5" t="n">
        <f aca="false">IFERROR(__xludf.dummyfunction("""COMPUTED_VALUE"""),431.34)</f>
        <v>431.34</v>
      </c>
      <c r="F932" s="5" t="n">
        <f aca="false">IFERROR(__xludf.dummyfunction("""COMPUTED_VALUE"""),13834697)</f>
        <v>13834697</v>
      </c>
    </row>
    <row r="933" customFormat="false" ht="15.75" hidden="false" customHeight="false" outlineLevel="0" collapsed="false">
      <c r="A933" s="6" t="n">
        <f aca="false">IFERROR(__xludf.dummyfunction("""COMPUTED_VALUE"""),45552.6666666667)</f>
        <v>45552.6666666667</v>
      </c>
      <c r="B933" s="5" t="n">
        <f aca="false">IFERROR(__xludf.dummyfunction("""COMPUTED_VALUE"""),440.23)</f>
        <v>440.23</v>
      </c>
      <c r="C933" s="5" t="n">
        <f aca="false">IFERROR(__xludf.dummyfunction("""COMPUTED_VALUE"""),441.85)</f>
        <v>441.85</v>
      </c>
      <c r="D933" s="5" t="n">
        <f aca="false">IFERROR(__xludf.dummyfunction("""COMPUTED_VALUE"""),432.27)</f>
        <v>432.27</v>
      </c>
      <c r="E933" s="5" t="n">
        <f aca="false">IFERROR(__xludf.dummyfunction("""COMPUTED_VALUE"""),435.15)</f>
        <v>435.15</v>
      </c>
      <c r="F933" s="5" t="n">
        <f aca="false">IFERROR(__xludf.dummyfunction("""COMPUTED_VALUE"""),18874231)</f>
        <v>18874231</v>
      </c>
    </row>
    <row r="934" customFormat="false" ht="15.75" hidden="false" customHeight="false" outlineLevel="0" collapsed="false">
      <c r="A934" s="6" t="n">
        <f aca="false">IFERROR(__xludf.dummyfunction("""COMPUTED_VALUE"""),45553.6666666667)</f>
        <v>45553.6666666667</v>
      </c>
      <c r="B934" s="5" t="n">
        <f aca="false">IFERROR(__xludf.dummyfunction("""COMPUTED_VALUE"""),435)</f>
        <v>435</v>
      </c>
      <c r="C934" s="5" t="n">
        <f aca="false">IFERROR(__xludf.dummyfunction("""COMPUTED_VALUE"""),436.03)</f>
        <v>436.03</v>
      </c>
      <c r="D934" s="5" t="n">
        <f aca="false">IFERROR(__xludf.dummyfunction("""COMPUTED_VALUE"""),430.41)</f>
        <v>430.41</v>
      </c>
      <c r="E934" s="5" t="n">
        <f aca="false">IFERROR(__xludf.dummyfunction("""COMPUTED_VALUE"""),430.81)</f>
        <v>430.81</v>
      </c>
      <c r="F934" s="5" t="n">
        <f aca="false">IFERROR(__xludf.dummyfunction("""COMPUTED_VALUE"""),18898042)</f>
        <v>18898042</v>
      </c>
    </row>
    <row r="935" customFormat="false" ht="15.75" hidden="false" customHeight="false" outlineLevel="0" collapsed="false">
      <c r="A935" s="6" t="n">
        <f aca="false">IFERROR(__xludf.dummyfunction("""COMPUTED_VALUE"""),45554.6666666667)</f>
        <v>45554.6666666667</v>
      </c>
      <c r="B935" s="5" t="n">
        <f aca="false">IFERROR(__xludf.dummyfunction("""COMPUTED_VALUE"""),441.23)</f>
        <v>441.23</v>
      </c>
      <c r="C935" s="5" t="n">
        <f aca="false">IFERROR(__xludf.dummyfunction("""COMPUTED_VALUE"""),441.5)</f>
        <v>441.5</v>
      </c>
      <c r="D935" s="5" t="n">
        <f aca="false">IFERROR(__xludf.dummyfunction("""COMPUTED_VALUE"""),436.9)</f>
        <v>436.9</v>
      </c>
      <c r="E935" s="5" t="n">
        <f aca="false">IFERROR(__xludf.dummyfunction("""COMPUTED_VALUE"""),438.69)</f>
        <v>438.69</v>
      </c>
      <c r="F935" s="5" t="n">
        <f aca="false">IFERROR(__xludf.dummyfunction("""COMPUTED_VALUE"""),21706559)</f>
        <v>21706559</v>
      </c>
    </row>
    <row r="936" customFormat="false" ht="15.75" hidden="false" customHeight="false" outlineLevel="0" collapsed="false">
      <c r="A936" s="6" t="n">
        <f aca="false">IFERROR(__xludf.dummyfunction("""COMPUTED_VALUE"""),45555.6666666667)</f>
        <v>45555.6666666667</v>
      </c>
      <c r="B936" s="5" t="n">
        <f aca="false">IFERROR(__xludf.dummyfunction("""COMPUTED_VALUE"""),437.22)</f>
        <v>437.22</v>
      </c>
      <c r="C936" s="5" t="n">
        <f aca="false">IFERROR(__xludf.dummyfunction("""COMPUTED_VALUE"""),439.24)</f>
        <v>439.24</v>
      </c>
      <c r="D936" s="5" t="n">
        <f aca="false">IFERROR(__xludf.dummyfunction("""COMPUTED_VALUE"""),434.22)</f>
        <v>434.22</v>
      </c>
      <c r="E936" s="5" t="n">
        <f aca="false">IFERROR(__xludf.dummyfunction("""COMPUTED_VALUE"""),435.27)</f>
        <v>435.27</v>
      </c>
      <c r="F936" s="5" t="n">
        <f aca="false">IFERROR(__xludf.dummyfunction("""COMPUTED_VALUE"""),55167106)</f>
        <v>55167106</v>
      </c>
    </row>
    <row r="937" customFormat="false" ht="15.75" hidden="false" customHeight="false" outlineLevel="0" collapsed="false">
      <c r="A937" s="6" t="n">
        <f aca="false">IFERROR(__xludf.dummyfunction("""COMPUTED_VALUE"""),45558.6666666667)</f>
        <v>45558.6666666667</v>
      </c>
      <c r="B937" s="5" t="n">
        <f aca="false">IFERROR(__xludf.dummyfunction("""COMPUTED_VALUE"""),434.28)</f>
        <v>434.28</v>
      </c>
      <c r="C937" s="5" t="n">
        <f aca="false">IFERROR(__xludf.dummyfunction("""COMPUTED_VALUE"""),436.46)</f>
        <v>436.46</v>
      </c>
      <c r="D937" s="5" t="n">
        <f aca="false">IFERROR(__xludf.dummyfunction("""COMPUTED_VALUE"""),430.39)</f>
        <v>430.39</v>
      </c>
      <c r="E937" s="5" t="n">
        <f aca="false">IFERROR(__xludf.dummyfunction("""COMPUTED_VALUE"""),433.51)</f>
        <v>433.51</v>
      </c>
      <c r="F937" s="5" t="n">
        <f aca="false">IFERROR(__xludf.dummyfunction("""COMPUTED_VALUE"""),15128891)</f>
        <v>15128891</v>
      </c>
    </row>
    <row r="938" customFormat="false" ht="15.75" hidden="false" customHeight="false" outlineLevel="0" collapsed="false">
      <c r="A938" s="6" t="n">
        <f aca="false">IFERROR(__xludf.dummyfunction("""COMPUTED_VALUE"""),45559.6666666667)</f>
        <v>45559.6666666667</v>
      </c>
      <c r="B938" s="5" t="n">
        <f aca="false">IFERROR(__xludf.dummyfunction("""COMPUTED_VALUE"""),433)</f>
        <v>433</v>
      </c>
      <c r="C938" s="5" t="n">
        <f aca="false">IFERROR(__xludf.dummyfunction("""COMPUTED_VALUE"""),433.35)</f>
        <v>433.35</v>
      </c>
      <c r="D938" s="5" t="n">
        <f aca="false">IFERROR(__xludf.dummyfunction("""COMPUTED_VALUE"""),426.1)</f>
        <v>426.1</v>
      </c>
      <c r="E938" s="5" t="n">
        <f aca="false">IFERROR(__xludf.dummyfunction("""COMPUTED_VALUE"""),429.17)</f>
        <v>429.17</v>
      </c>
      <c r="F938" s="5" t="n">
        <f aca="false">IFERROR(__xludf.dummyfunction("""COMPUTED_VALUE"""),17015754)</f>
        <v>17015754</v>
      </c>
    </row>
    <row r="939" customFormat="false" ht="15.75" hidden="false" customHeight="false" outlineLevel="0" collapsed="false">
      <c r="A939" s="6" t="n">
        <f aca="false">IFERROR(__xludf.dummyfunction("""COMPUTED_VALUE"""),45560.6666666667)</f>
        <v>45560.6666666667</v>
      </c>
      <c r="B939" s="5" t="n">
        <f aca="false">IFERROR(__xludf.dummyfunction("""COMPUTED_VALUE"""),429.83)</f>
        <v>429.83</v>
      </c>
      <c r="C939" s="5" t="n">
        <f aca="false">IFERROR(__xludf.dummyfunction("""COMPUTED_VALUE"""),433.12)</f>
        <v>433.12</v>
      </c>
      <c r="D939" s="5" t="n">
        <f aca="false">IFERROR(__xludf.dummyfunction("""COMPUTED_VALUE"""),428.57)</f>
        <v>428.57</v>
      </c>
      <c r="E939" s="5" t="n">
        <f aca="false">IFERROR(__xludf.dummyfunction("""COMPUTED_VALUE"""),432.11)</f>
        <v>432.11</v>
      </c>
      <c r="F939" s="5" t="n">
        <f aca="false">IFERROR(__xludf.dummyfunction("""COMPUTED_VALUE"""),13396364)</f>
        <v>13396364</v>
      </c>
    </row>
    <row r="940" customFormat="false" ht="15.75" hidden="false" customHeight="false" outlineLevel="0" collapsed="false">
      <c r="A940" s="6" t="n">
        <f aca="false">IFERROR(__xludf.dummyfunction("""COMPUTED_VALUE"""),45561.6666666667)</f>
        <v>45561.6666666667</v>
      </c>
      <c r="B940" s="5" t="n">
        <f aca="false">IFERROR(__xludf.dummyfunction("""COMPUTED_VALUE"""),435.09)</f>
        <v>435.09</v>
      </c>
      <c r="C940" s="5" t="n">
        <f aca="false">IFERROR(__xludf.dummyfunction("""COMPUTED_VALUE"""),435.3)</f>
        <v>435.3</v>
      </c>
      <c r="D940" s="5" t="n">
        <f aca="false">IFERROR(__xludf.dummyfunction("""COMPUTED_VALUE"""),429.13)</f>
        <v>429.13</v>
      </c>
      <c r="E940" s="5" t="n">
        <f aca="false">IFERROR(__xludf.dummyfunction("""COMPUTED_VALUE"""),431.31)</f>
        <v>431.31</v>
      </c>
      <c r="F940" s="5" t="n">
        <f aca="false">IFERROR(__xludf.dummyfunction("""COMPUTED_VALUE"""),14492044)</f>
        <v>14492044</v>
      </c>
    </row>
    <row r="941" customFormat="false" ht="15.75" hidden="false" customHeight="false" outlineLevel="0" collapsed="false">
      <c r="A941" s="6" t="n">
        <f aca="false">IFERROR(__xludf.dummyfunction("""COMPUTED_VALUE"""),45562.6666666667)</f>
        <v>45562.6666666667</v>
      </c>
      <c r="B941" s="5" t="n">
        <f aca="false">IFERROR(__xludf.dummyfunction("""COMPUTED_VALUE"""),431.52)</f>
        <v>431.52</v>
      </c>
      <c r="C941" s="5" t="n">
        <f aca="false">IFERROR(__xludf.dummyfunction("""COMPUTED_VALUE"""),431.85)</f>
        <v>431.85</v>
      </c>
      <c r="D941" s="5" t="n">
        <f aca="false">IFERROR(__xludf.dummyfunction("""COMPUTED_VALUE"""),427.47)</f>
        <v>427.47</v>
      </c>
      <c r="E941" s="5" t="n">
        <f aca="false">IFERROR(__xludf.dummyfunction("""COMPUTED_VALUE"""),428.02)</f>
        <v>428.02</v>
      </c>
      <c r="F941" s="5" t="n">
        <f aca="false">IFERROR(__xludf.dummyfunction("""COMPUTED_VALUE"""),14896131)</f>
        <v>14896131</v>
      </c>
    </row>
    <row r="942" customFormat="false" ht="15.75" hidden="false" customHeight="false" outlineLevel="0" collapsed="false">
      <c r="A942" s="6" t="n">
        <f aca="false">IFERROR(__xludf.dummyfunction("""COMPUTED_VALUE"""),45565.6666666667)</f>
        <v>45565.6666666667</v>
      </c>
      <c r="B942" s="5" t="n">
        <f aca="false">IFERROR(__xludf.dummyfunction("""COMPUTED_VALUE"""),428.21)</f>
        <v>428.21</v>
      </c>
      <c r="C942" s="5" t="n">
        <f aca="false">IFERROR(__xludf.dummyfunction("""COMPUTED_VALUE"""),430.42)</f>
        <v>430.42</v>
      </c>
      <c r="D942" s="5" t="n">
        <f aca="false">IFERROR(__xludf.dummyfunction("""COMPUTED_VALUE"""),425.37)</f>
        <v>425.37</v>
      </c>
      <c r="E942" s="5" t="n">
        <f aca="false">IFERROR(__xludf.dummyfunction("""COMPUTED_VALUE"""),430.3)</f>
        <v>430.3</v>
      </c>
      <c r="F942" s="5" t="n">
        <f aca="false">IFERROR(__xludf.dummyfunction("""COMPUTED_VALUE"""),16854606)</f>
        <v>16854606</v>
      </c>
    </row>
    <row r="943" customFormat="false" ht="15.75" hidden="false" customHeight="false" outlineLevel="0" collapsed="false">
      <c r="A943" s="6" t="n">
        <f aca="false">IFERROR(__xludf.dummyfunction("""COMPUTED_VALUE"""),45566.6666666667)</f>
        <v>45566.6666666667</v>
      </c>
      <c r="B943" s="5" t="n">
        <f aca="false">IFERROR(__xludf.dummyfunction("""COMPUTED_VALUE"""),428.45)</f>
        <v>428.45</v>
      </c>
      <c r="C943" s="5" t="n">
        <f aca="false">IFERROR(__xludf.dummyfunction("""COMPUTED_VALUE"""),428.48)</f>
        <v>428.48</v>
      </c>
      <c r="D943" s="5" t="n">
        <f aca="false">IFERROR(__xludf.dummyfunction("""COMPUTED_VALUE"""),418.81)</f>
        <v>418.81</v>
      </c>
      <c r="E943" s="5" t="n">
        <f aca="false">IFERROR(__xludf.dummyfunction("""COMPUTED_VALUE"""),420.69)</f>
        <v>420.69</v>
      </c>
      <c r="F943" s="5" t="n">
        <f aca="false">IFERROR(__xludf.dummyfunction("""COMPUTED_VALUE"""),19092945)</f>
        <v>19092945</v>
      </c>
    </row>
    <row r="944" customFormat="false" ht="15.75" hidden="false" customHeight="false" outlineLevel="0" collapsed="false">
      <c r="A944" s="6" t="n">
        <f aca="false">IFERROR(__xludf.dummyfunction("""COMPUTED_VALUE"""),45567.6666666667)</f>
        <v>45567.6666666667</v>
      </c>
      <c r="B944" s="5" t="n">
        <f aca="false">IFERROR(__xludf.dummyfunction("""COMPUTED_VALUE"""),422.58)</f>
        <v>422.58</v>
      </c>
      <c r="C944" s="5" t="n">
        <f aca="false">IFERROR(__xludf.dummyfunction("""COMPUTED_VALUE"""),422.82)</f>
        <v>422.82</v>
      </c>
      <c r="D944" s="5" t="n">
        <f aca="false">IFERROR(__xludf.dummyfunction("""COMPUTED_VALUE"""),416.71)</f>
        <v>416.71</v>
      </c>
      <c r="E944" s="5" t="n">
        <f aca="false">IFERROR(__xludf.dummyfunction("""COMPUTED_VALUE"""),417.13)</f>
        <v>417.13</v>
      </c>
      <c r="F944" s="5" t="n">
        <f aca="false">IFERROR(__xludf.dummyfunction("""COMPUTED_VALUE"""),16582257)</f>
        <v>16582257</v>
      </c>
    </row>
    <row r="945" customFormat="false" ht="15.75" hidden="false" customHeight="false" outlineLevel="0" collapsed="false">
      <c r="A945" s="6" t="n">
        <f aca="false">IFERROR(__xludf.dummyfunction("""COMPUTED_VALUE"""),45568.6666666667)</f>
        <v>45568.6666666667</v>
      </c>
      <c r="B945" s="5" t="n">
        <f aca="false">IFERROR(__xludf.dummyfunction("""COMPUTED_VALUE"""),417.63)</f>
        <v>417.63</v>
      </c>
      <c r="C945" s="5" t="n">
        <f aca="false">IFERROR(__xludf.dummyfunction("""COMPUTED_VALUE"""),419.55)</f>
        <v>419.55</v>
      </c>
      <c r="D945" s="5" t="n">
        <f aca="false">IFERROR(__xludf.dummyfunction("""COMPUTED_VALUE"""),414.29)</f>
        <v>414.29</v>
      </c>
      <c r="E945" s="5" t="n">
        <f aca="false">IFERROR(__xludf.dummyfunction("""COMPUTED_VALUE"""),416.54)</f>
        <v>416.54</v>
      </c>
      <c r="F945" s="5" t="n">
        <f aca="false">IFERROR(__xludf.dummyfunction("""COMPUTED_VALUE"""),13686421)</f>
        <v>13686421</v>
      </c>
    </row>
    <row r="946" customFormat="false" ht="15.75" hidden="false" customHeight="false" outlineLevel="0" collapsed="false">
      <c r="A946" s="6" t="n">
        <f aca="false">IFERROR(__xludf.dummyfunction("""COMPUTED_VALUE"""),45569.6666666667)</f>
        <v>45569.6666666667</v>
      </c>
      <c r="B946" s="5" t="n">
        <f aca="false">IFERROR(__xludf.dummyfunction("""COMPUTED_VALUE"""),418.24)</f>
        <v>418.24</v>
      </c>
      <c r="C946" s="5" t="n">
        <f aca="false">IFERROR(__xludf.dummyfunction("""COMPUTED_VALUE"""),419.75)</f>
        <v>419.75</v>
      </c>
      <c r="D946" s="5" t="n">
        <f aca="false">IFERROR(__xludf.dummyfunction("""COMPUTED_VALUE"""),414.97)</f>
        <v>414.97</v>
      </c>
      <c r="E946" s="5" t="n">
        <f aca="false">IFERROR(__xludf.dummyfunction("""COMPUTED_VALUE"""),416.06)</f>
        <v>416.06</v>
      </c>
      <c r="F946" s="5" t="n">
        <f aca="false">IFERROR(__xludf.dummyfunction("""COMPUTED_VALUE"""),19190913)</f>
        <v>19190913</v>
      </c>
    </row>
    <row r="947" customFormat="false" ht="15.75" hidden="false" customHeight="false" outlineLevel="0" collapsed="false">
      <c r="A947" s="6" t="n">
        <f aca="false">IFERROR(__xludf.dummyfunction("""COMPUTED_VALUE"""),45572.6666666667)</f>
        <v>45572.6666666667</v>
      </c>
      <c r="B947" s="5" t="n">
        <f aca="false">IFERROR(__xludf.dummyfunction("""COMPUTED_VALUE"""),416)</f>
        <v>416</v>
      </c>
      <c r="C947" s="5" t="n">
        <f aca="false">IFERROR(__xludf.dummyfunction("""COMPUTED_VALUE"""),417.11)</f>
        <v>417.11</v>
      </c>
      <c r="D947" s="5" t="n">
        <f aca="false">IFERROR(__xludf.dummyfunction("""COMPUTED_VALUE"""),409)</f>
        <v>409</v>
      </c>
      <c r="E947" s="5" t="n">
        <f aca="false">IFERROR(__xludf.dummyfunction("""COMPUTED_VALUE"""),409.54)</f>
        <v>409.54</v>
      </c>
      <c r="F947" s="5" t="n">
        <f aca="false">IFERROR(__xludf.dummyfunction("""COMPUTED_VALUE"""),20919761)</f>
        <v>20919761</v>
      </c>
    </row>
    <row r="948" customFormat="false" ht="15.75" hidden="false" customHeight="false" outlineLevel="0" collapsed="false">
      <c r="A948" s="6" t="n">
        <f aca="false">IFERROR(__xludf.dummyfunction("""COMPUTED_VALUE"""),45573.6666666667)</f>
        <v>45573.6666666667</v>
      </c>
      <c r="B948" s="5" t="n">
        <f aca="false">IFERROR(__xludf.dummyfunction("""COMPUTED_VALUE"""),410.9)</f>
        <v>410.9</v>
      </c>
      <c r="C948" s="5" t="n">
        <f aca="false">IFERROR(__xludf.dummyfunction("""COMPUTED_VALUE"""),415.66)</f>
        <v>415.66</v>
      </c>
      <c r="D948" s="5" t="n">
        <f aca="false">IFERROR(__xludf.dummyfunction("""COMPUTED_VALUE"""),408.17)</f>
        <v>408.17</v>
      </c>
      <c r="E948" s="5" t="n">
        <f aca="false">IFERROR(__xludf.dummyfunction("""COMPUTED_VALUE"""),414.71)</f>
        <v>414.71</v>
      </c>
      <c r="F948" s="5" t="n">
        <f aca="false">IFERROR(__xludf.dummyfunction("""COMPUTED_VALUE"""),19229261)</f>
        <v>19229261</v>
      </c>
    </row>
    <row r="949" customFormat="false" ht="15.75" hidden="false" customHeight="false" outlineLevel="0" collapsed="false">
      <c r="A949" s="6" t="n">
        <f aca="false">IFERROR(__xludf.dummyfunction("""COMPUTED_VALUE"""),45574.6666666667)</f>
        <v>45574.6666666667</v>
      </c>
      <c r="B949" s="5" t="n">
        <f aca="false">IFERROR(__xludf.dummyfunction("""COMPUTED_VALUE"""),415.86)</f>
        <v>415.86</v>
      </c>
      <c r="C949" s="5" t="n">
        <f aca="false">IFERROR(__xludf.dummyfunction("""COMPUTED_VALUE"""),420.38)</f>
        <v>420.38</v>
      </c>
      <c r="D949" s="5" t="n">
        <f aca="false">IFERROR(__xludf.dummyfunction("""COMPUTED_VALUE"""),414.3)</f>
        <v>414.3</v>
      </c>
      <c r="E949" s="5" t="n">
        <f aca="false">IFERROR(__xludf.dummyfunction("""COMPUTED_VALUE"""),417.46)</f>
        <v>417.46</v>
      </c>
      <c r="F949" s="5" t="n">
        <f aca="false">IFERROR(__xludf.dummyfunction("""COMPUTED_VALUE"""),14974257)</f>
        <v>14974257</v>
      </c>
    </row>
    <row r="950" customFormat="false" ht="15.75" hidden="false" customHeight="false" outlineLevel="0" collapsed="false">
      <c r="A950" s="6" t="n">
        <f aca="false">IFERROR(__xludf.dummyfunction("""COMPUTED_VALUE"""),45575.6666666667)</f>
        <v>45575.6666666667</v>
      </c>
      <c r="B950" s="5" t="n">
        <f aca="false">IFERROR(__xludf.dummyfunction("""COMPUTED_VALUE"""),415.23)</f>
        <v>415.23</v>
      </c>
      <c r="C950" s="5" t="n">
        <f aca="false">IFERROR(__xludf.dummyfunction("""COMPUTED_VALUE"""),417.35)</f>
        <v>417.35</v>
      </c>
      <c r="D950" s="5" t="n">
        <f aca="false">IFERROR(__xludf.dummyfunction("""COMPUTED_VALUE"""),413.15)</f>
        <v>413.15</v>
      </c>
      <c r="E950" s="5" t="n">
        <f aca="false">IFERROR(__xludf.dummyfunction("""COMPUTED_VALUE"""),415.84)</f>
        <v>415.84</v>
      </c>
      <c r="F950" s="5" t="n">
        <f aca="false">IFERROR(__xludf.dummyfunction("""COMPUTED_VALUE"""),13848376)</f>
        <v>13848376</v>
      </c>
    </row>
    <row r="951" customFormat="false" ht="15.75" hidden="false" customHeight="false" outlineLevel="0" collapsed="false">
      <c r="A951" s="6" t="n">
        <f aca="false">IFERROR(__xludf.dummyfunction("""COMPUTED_VALUE"""),45576.6666666667)</f>
        <v>45576.6666666667</v>
      </c>
      <c r="B951" s="5" t="n">
        <f aca="false">IFERROR(__xludf.dummyfunction("""COMPUTED_VALUE"""),416.14)</f>
        <v>416.14</v>
      </c>
      <c r="C951" s="5" t="n">
        <f aca="false">IFERROR(__xludf.dummyfunction("""COMPUTED_VALUE"""),417.13)</f>
        <v>417.13</v>
      </c>
      <c r="D951" s="5" t="n">
        <f aca="false">IFERROR(__xludf.dummyfunction("""COMPUTED_VALUE"""),413.25)</f>
        <v>413.25</v>
      </c>
      <c r="E951" s="5" t="n">
        <f aca="false">IFERROR(__xludf.dummyfunction("""COMPUTED_VALUE"""),416.32)</f>
        <v>416.32</v>
      </c>
      <c r="F951" s="5" t="n">
        <f aca="false">IFERROR(__xludf.dummyfunction("""COMPUTED_VALUE"""),14144944)</f>
        <v>14144944</v>
      </c>
    </row>
    <row r="952" customFormat="false" ht="15.75" hidden="false" customHeight="false" outlineLevel="0" collapsed="false">
      <c r="A952" s="6" t="n">
        <f aca="false">IFERROR(__xludf.dummyfunction("""COMPUTED_VALUE"""),45579.6666666667)</f>
        <v>45579.6666666667</v>
      </c>
      <c r="B952" s="5" t="n">
        <f aca="false">IFERROR(__xludf.dummyfunction("""COMPUTED_VALUE"""),417.77)</f>
        <v>417.77</v>
      </c>
      <c r="C952" s="5" t="n">
        <f aca="false">IFERROR(__xludf.dummyfunction("""COMPUTED_VALUE"""),424.04)</f>
        <v>424.04</v>
      </c>
      <c r="D952" s="5" t="n">
        <f aca="false">IFERROR(__xludf.dummyfunction("""COMPUTED_VALUE"""),417.52)</f>
        <v>417.52</v>
      </c>
      <c r="E952" s="5" t="n">
        <f aca="false">IFERROR(__xludf.dummyfunction("""COMPUTED_VALUE"""),419.14)</f>
        <v>419.14</v>
      </c>
      <c r="F952" s="5" t="n">
        <f aca="false">IFERROR(__xludf.dummyfunction("""COMPUTED_VALUE"""),16653086)</f>
        <v>16653086</v>
      </c>
    </row>
    <row r="953" customFormat="false" ht="15.75" hidden="false" customHeight="false" outlineLevel="0" collapsed="false">
      <c r="A953" s="6" t="n">
        <f aca="false">IFERROR(__xludf.dummyfunction("""COMPUTED_VALUE"""),45580.6666666667)</f>
        <v>45580.6666666667</v>
      </c>
      <c r="B953" s="5" t="n">
        <f aca="false">IFERROR(__xludf.dummyfunction("""COMPUTED_VALUE"""),422.18)</f>
        <v>422.18</v>
      </c>
      <c r="C953" s="5" t="n">
        <f aca="false">IFERROR(__xludf.dummyfunction("""COMPUTED_VALUE"""),422.48)</f>
        <v>422.48</v>
      </c>
      <c r="D953" s="5" t="n">
        <f aca="false">IFERROR(__xludf.dummyfunction("""COMPUTED_VALUE"""),415.26)</f>
        <v>415.26</v>
      </c>
      <c r="E953" s="5" t="n">
        <f aca="false">IFERROR(__xludf.dummyfunction("""COMPUTED_VALUE"""),418.74)</f>
        <v>418.74</v>
      </c>
      <c r="F953" s="5" t="n">
        <f aca="false">IFERROR(__xludf.dummyfunction("""COMPUTED_VALUE"""),18900201)</f>
        <v>18900201</v>
      </c>
    </row>
    <row r="954" customFormat="false" ht="15.75" hidden="false" customHeight="false" outlineLevel="0" collapsed="false">
      <c r="A954" s="6" t="n">
        <f aca="false">IFERROR(__xludf.dummyfunction("""COMPUTED_VALUE"""),45581.6666666667)</f>
        <v>45581.6666666667</v>
      </c>
      <c r="B954" s="5" t="n">
        <f aca="false">IFERROR(__xludf.dummyfunction("""COMPUTED_VALUE"""),415.17)</f>
        <v>415.17</v>
      </c>
      <c r="C954" s="5" t="n">
        <f aca="false">IFERROR(__xludf.dummyfunction("""COMPUTED_VALUE"""),416.36)</f>
        <v>416.36</v>
      </c>
      <c r="D954" s="5" t="n">
        <f aca="false">IFERROR(__xludf.dummyfunction("""COMPUTED_VALUE"""),410.48)</f>
        <v>410.48</v>
      </c>
      <c r="E954" s="5" t="n">
        <f aca="false">IFERROR(__xludf.dummyfunction("""COMPUTED_VALUE"""),416.12)</f>
        <v>416.12</v>
      </c>
      <c r="F954" s="5" t="n">
        <f aca="false">IFERROR(__xludf.dummyfunction("""COMPUTED_VALUE"""),15508932)</f>
        <v>15508932</v>
      </c>
    </row>
    <row r="955" customFormat="false" ht="15.75" hidden="false" customHeight="false" outlineLevel="0" collapsed="false">
      <c r="A955" s="6" t="n">
        <f aca="false">IFERROR(__xludf.dummyfunction("""COMPUTED_VALUE"""),45582.6666666667)</f>
        <v>45582.6666666667</v>
      </c>
      <c r="B955" s="5" t="n">
        <f aca="false">IFERROR(__xludf.dummyfunction("""COMPUTED_VALUE"""),422.36)</f>
        <v>422.36</v>
      </c>
      <c r="C955" s="5" t="n">
        <f aca="false">IFERROR(__xludf.dummyfunction("""COMPUTED_VALUE"""),422.5)</f>
        <v>422.5</v>
      </c>
      <c r="D955" s="5" t="n">
        <f aca="false">IFERROR(__xludf.dummyfunction("""COMPUTED_VALUE"""),415.59)</f>
        <v>415.59</v>
      </c>
      <c r="E955" s="5" t="n">
        <f aca="false">IFERROR(__xludf.dummyfunction("""COMPUTED_VALUE"""),416.72)</f>
        <v>416.72</v>
      </c>
      <c r="F955" s="5" t="n">
        <f aca="false">IFERROR(__xludf.dummyfunction("""COMPUTED_VALUE"""),14820004)</f>
        <v>14820004</v>
      </c>
    </row>
    <row r="956" customFormat="false" ht="15.75" hidden="false" customHeight="false" outlineLevel="0" collapsed="false">
      <c r="A956" s="6" t="n">
        <f aca="false">IFERROR(__xludf.dummyfunction("""COMPUTED_VALUE"""),45583.6666666667)</f>
        <v>45583.6666666667</v>
      </c>
      <c r="B956" s="5" t="n">
        <f aca="false">IFERROR(__xludf.dummyfunction("""COMPUTED_VALUE"""),417.14)</f>
        <v>417.14</v>
      </c>
      <c r="C956" s="5" t="n">
        <f aca="false">IFERROR(__xludf.dummyfunction("""COMPUTED_VALUE"""),419.65)</f>
        <v>419.65</v>
      </c>
      <c r="D956" s="5" t="n">
        <f aca="false">IFERROR(__xludf.dummyfunction("""COMPUTED_VALUE"""),416.26)</f>
        <v>416.26</v>
      </c>
      <c r="E956" s="5" t="n">
        <f aca="false">IFERROR(__xludf.dummyfunction("""COMPUTED_VALUE"""),418.16)</f>
        <v>418.16</v>
      </c>
      <c r="F956" s="5" t="n">
        <f aca="false">IFERROR(__xludf.dummyfunction("""COMPUTED_VALUE"""),17145317)</f>
        <v>17145317</v>
      </c>
    </row>
    <row r="957" customFormat="false" ht="15.75" hidden="false" customHeight="false" outlineLevel="0" collapsed="false">
      <c r="A957" s="6" t="n">
        <f aca="false">IFERROR(__xludf.dummyfunction("""COMPUTED_VALUE"""),45586.6666666667)</f>
        <v>45586.6666666667</v>
      </c>
      <c r="B957" s="5" t="n">
        <f aca="false">IFERROR(__xludf.dummyfunction("""COMPUTED_VALUE"""),416.12)</f>
        <v>416.12</v>
      </c>
      <c r="C957" s="5" t="n">
        <f aca="false">IFERROR(__xludf.dummyfunction("""COMPUTED_VALUE"""),418.96)</f>
        <v>418.96</v>
      </c>
      <c r="D957" s="5" t="n">
        <f aca="false">IFERROR(__xludf.dummyfunction("""COMPUTED_VALUE"""),413.75)</f>
        <v>413.75</v>
      </c>
      <c r="E957" s="5" t="n">
        <f aca="false">IFERROR(__xludf.dummyfunction("""COMPUTED_VALUE"""),418.78)</f>
        <v>418.78</v>
      </c>
      <c r="F957" s="5" t="n">
        <f aca="false">IFERROR(__xludf.dummyfunction("""COMPUTED_VALUE"""),14206115)</f>
        <v>14206115</v>
      </c>
    </row>
    <row r="958" customFormat="false" ht="15.75" hidden="false" customHeight="false" outlineLevel="0" collapsed="false">
      <c r="A958" s="6" t="n">
        <f aca="false">IFERROR(__xludf.dummyfunction("""COMPUTED_VALUE"""),45587.6666666667)</f>
        <v>45587.6666666667</v>
      </c>
      <c r="B958" s="5" t="n">
        <f aca="false">IFERROR(__xludf.dummyfunction("""COMPUTED_VALUE"""),418.49)</f>
        <v>418.49</v>
      </c>
      <c r="C958" s="5" t="n">
        <f aca="false">IFERROR(__xludf.dummyfunction("""COMPUTED_VALUE"""),430.58)</f>
        <v>430.58</v>
      </c>
      <c r="D958" s="5" t="n">
        <f aca="false">IFERROR(__xludf.dummyfunction("""COMPUTED_VALUE"""),418.04)</f>
        <v>418.04</v>
      </c>
      <c r="E958" s="5" t="n">
        <f aca="false">IFERROR(__xludf.dummyfunction("""COMPUTED_VALUE"""),427.51)</f>
        <v>427.51</v>
      </c>
      <c r="F958" s="5" t="n">
        <f aca="false">IFERROR(__xludf.dummyfunction("""COMPUTED_VALUE"""),25482197)</f>
        <v>25482197</v>
      </c>
    </row>
    <row r="959" customFormat="false" ht="15.75" hidden="false" customHeight="false" outlineLevel="0" collapsed="false">
      <c r="A959" s="6" t="n">
        <f aca="false">IFERROR(__xludf.dummyfunction("""COMPUTED_VALUE"""),45588.6666666667)</f>
        <v>45588.6666666667</v>
      </c>
      <c r="B959" s="5" t="n">
        <f aca="false">IFERROR(__xludf.dummyfunction("""COMPUTED_VALUE"""),430.86)</f>
        <v>430.86</v>
      </c>
      <c r="C959" s="5" t="n">
        <f aca="false">IFERROR(__xludf.dummyfunction("""COMPUTED_VALUE"""),431.08)</f>
        <v>431.08</v>
      </c>
      <c r="D959" s="5" t="n">
        <f aca="false">IFERROR(__xludf.dummyfunction("""COMPUTED_VALUE"""),422.53)</f>
        <v>422.53</v>
      </c>
      <c r="E959" s="5" t="n">
        <f aca="false">IFERROR(__xludf.dummyfunction("""COMPUTED_VALUE"""),424.6)</f>
        <v>424.6</v>
      </c>
      <c r="F959" s="5" t="n">
        <f aca="false">IFERROR(__xludf.dummyfunction("""COMPUTED_VALUE"""),19654379)</f>
        <v>19654379</v>
      </c>
    </row>
    <row r="960" customFormat="false" ht="15.75" hidden="false" customHeight="false" outlineLevel="0" collapsed="false">
      <c r="A960" s="6" t="n">
        <f aca="false">IFERROR(__xludf.dummyfunction("""COMPUTED_VALUE"""),45589.6666666667)</f>
        <v>45589.6666666667</v>
      </c>
      <c r="B960" s="5" t="n">
        <f aca="false">IFERROR(__xludf.dummyfunction("""COMPUTED_VALUE"""),425.33)</f>
        <v>425.33</v>
      </c>
      <c r="C960" s="5" t="n">
        <f aca="false">IFERROR(__xludf.dummyfunction("""COMPUTED_VALUE"""),425.98)</f>
        <v>425.98</v>
      </c>
      <c r="D960" s="5" t="n">
        <f aca="false">IFERROR(__xludf.dummyfunction("""COMPUTED_VALUE"""),422.4)</f>
        <v>422.4</v>
      </c>
      <c r="E960" s="5" t="n">
        <f aca="false">IFERROR(__xludf.dummyfunction("""COMPUTED_VALUE"""),424.73)</f>
        <v>424.73</v>
      </c>
      <c r="F960" s="5" t="n">
        <f aca="false">IFERROR(__xludf.dummyfunction("""COMPUTED_VALUE"""),13581631)</f>
        <v>13581631</v>
      </c>
    </row>
    <row r="961" customFormat="false" ht="15.75" hidden="false" customHeight="false" outlineLevel="0" collapsed="false">
      <c r="A961" s="6" t="n">
        <f aca="false">IFERROR(__xludf.dummyfunction("""COMPUTED_VALUE"""),45590.6666666667)</f>
        <v>45590.6666666667</v>
      </c>
      <c r="B961" s="5" t="n">
        <f aca="false">IFERROR(__xludf.dummyfunction("""COMPUTED_VALUE"""),426.76)</f>
        <v>426.76</v>
      </c>
      <c r="C961" s="5" t="n">
        <f aca="false">IFERROR(__xludf.dummyfunction("""COMPUTED_VALUE"""),432.52)</f>
        <v>432.52</v>
      </c>
      <c r="D961" s="5" t="n">
        <f aca="false">IFERROR(__xludf.dummyfunction("""COMPUTED_VALUE"""),426.57)</f>
        <v>426.57</v>
      </c>
      <c r="E961" s="5" t="n">
        <f aca="false">IFERROR(__xludf.dummyfunction("""COMPUTED_VALUE"""),428.15)</f>
        <v>428.15</v>
      </c>
      <c r="F961" s="5" t="n">
        <f aca="false">IFERROR(__xludf.dummyfunction("""COMPUTED_VALUE"""),16899064)</f>
        <v>16899064</v>
      </c>
    </row>
    <row r="962" customFormat="false" ht="15.75" hidden="false" customHeight="false" outlineLevel="0" collapsed="false">
      <c r="A962" s="6" t="n">
        <f aca="false">IFERROR(__xludf.dummyfunction("""COMPUTED_VALUE"""),45593.6666666667)</f>
        <v>45593.6666666667</v>
      </c>
      <c r="B962" s="5" t="n">
        <f aca="false">IFERROR(__xludf.dummyfunction("""COMPUTED_VALUE"""),431.66)</f>
        <v>431.66</v>
      </c>
      <c r="C962" s="5" t="n">
        <f aca="false">IFERROR(__xludf.dummyfunction("""COMPUTED_VALUE"""),431.94)</f>
        <v>431.94</v>
      </c>
      <c r="D962" s="5" t="n">
        <f aca="false">IFERROR(__xludf.dummyfunction("""COMPUTED_VALUE"""),426.3)</f>
        <v>426.3</v>
      </c>
      <c r="E962" s="5" t="n">
        <f aca="false">IFERROR(__xludf.dummyfunction("""COMPUTED_VALUE"""),426.59)</f>
        <v>426.59</v>
      </c>
      <c r="F962" s="5" t="n">
        <f aca="false">IFERROR(__xludf.dummyfunction("""COMPUTED_VALUE"""),14882444)</f>
        <v>14882444</v>
      </c>
    </row>
    <row r="963" customFormat="false" ht="15.75" hidden="false" customHeight="false" outlineLevel="0" collapsed="false">
      <c r="A963" s="6" t="n">
        <f aca="false">IFERROR(__xludf.dummyfunction("""COMPUTED_VALUE"""),45594.6666666667)</f>
        <v>45594.6666666667</v>
      </c>
      <c r="B963" s="5" t="n">
        <f aca="false">IFERROR(__xludf.dummyfunction("""COMPUTED_VALUE"""),428)</f>
        <v>428</v>
      </c>
      <c r="C963" s="5" t="n">
        <f aca="false">IFERROR(__xludf.dummyfunction("""COMPUTED_VALUE"""),433.17)</f>
        <v>433.17</v>
      </c>
      <c r="D963" s="5" t="n">
        <f aca="false">IFERROR(__xludf.dummyfunction("""COMPUTED_VALUE"""),425.8)</f>
        <v>425.8</v>
      </c>
      <c r="E963" s="5" t="n">
        <f aca="false">IFERROR(__xludf.dummyfunction("""COMPUTED_VALUE"""),431.95)</f>
        <v>431.95</v>
      </c>
      <c r="F963" s="5" t="n">
        <f aca="false">IFERROR(__xludf.dummyfunction("""COMPUTED_VALUE"""),17644080)</f>
        <v>17644080</v>
      </c>
    </row>
    <row r="964" customFormat="false" ht="15.75" hidden="false" customHeight="false" outlineLevel="0" collapsed="false">
      <c r="A964" s="6" t="n">
        <f aca="false">IFERROR(__xludf.dummyfunction("""COMPUTED_VALUE"""),45595.6666666667)</f>
        <v>45595.6666666667</v>
      </c>
      <c r="B964" s="5" t="n">
        <f aca="false">IFERROR(__xludf.dummyfunction("""COMPUTED_VALUE"""),437.44)</f>
        <v>437.44</v>
      </c>
      <c r="C964" s="5" t="n">
        <f aca="false">IFERROR(__xludf.dummyfunction("""COMPUTED_VALUE"""),438.5)</f>
        <v>438.5</v>
      </c>
      <c r="D964" s="5" t="n">
        <f aca="false">IFERROR(__xludf.dummyfunction("""COMPUTED_VALUE"""),432.1)</f>
        <v>432.1</v>
      </c>
      <c r="E964" s="5" t="n">
        <f aca="false">IFERROR(__xludf.dummyfunction("""COMPUTED_VALUE"""),432.53)</f>
        <v>432.53</v>
      </c>
      <c r="F964" s="5" t="n">
        <f aca="false">IFERROR(__xludf.dummyfunction("""COMPUTED_VALUE"""),29749149)</f>
        <v>29749149</v>
      </c>
    </row>
    <row r="965" customFormat="false" ht="15.75" hidden="false" customHeight="false" outlineLevel="0" collapsed="false">
      <c r="A965" s="6" t="n">
        <f aca="false">IFERROR(__xludf.dummyfunction("""COMPUTED_VALUE"""),45596.6666666667)</f>
        <v>45596.6666666667</v>
      </c>
      <c r="B965" s="5" t="n">
        <f aca="false">IFERROR(__xludf.dummyfunction("""COMPUTED_VALUE"""),415.36)</f>
        <v>415.36</v>
      </c>
      <c r="C965" s="5" t="n">
        <f aca="false">IFERROR(__xludf.dummyfunction("""COMPUTED_VALUE"""),416.16)</f>
        <v>416.16</v>
      </c>
      <c r="D965" s="5" t="n">
        <f aca="false">IFERROR(__xludf.dummyfunction("""COMPUTED_VALUE"""),406.3)</f>
        <v>406.3</v>
      </c>
      <c r="E965" s="5" t="n">
        <f aca="false">IFERROR(__xludf.dummyfunction("""COMPUTED_VALUE"""),406.35)</f>
        <v>406.35</v>
      </c>
      <c r="F965" s="5" t="n">
        <f aca="false">IFERROR(__xludf.dummyfunction("""COMPUTED_VALUE"""),53970981)</f>
        <v>53970981</v>
      </c>
    </row>
    <row r="966" customFormat="false" ht="15.75" hidden="false" customHeight="false" outlineLevel="0" collapsed="false">
      <c r="A966" s="6" t="n">
        <f aca="false">IFERROR(__xludf.dummyfunction("""COMPUTED_VALUE"""),45597.6666666667)</f>
        <v>45597.6666666667</v>
      </c>
      <c r="B966" s="5" t="n">
        <f aca="false">IFERROR(__xludf.dummyfunction("""COMPUTED_VALUE"""),409.01)</f>
        <v>409.01</v>
      </c>
      <c r="C966" s="5" t="n">
        <f aca="false">IFERROR(__xludf.dummyfunction("""COMPUTED_VALUE"""),415.5)</f>
        <v>415.5</v>
      </c>
      <c r="D966" s="5" t="n">
        <f aca="false">IFERROR(__xludf.dummyfunction("""COMPUTED_VALUE"""),407.5)</f>
        <v>407.5</v>
      </c>
      <c r="E966" s="5" t="n">
        <f aca="false">IFERROR(__xludf.dummyfunction("""COMPUTED_VALUE"""),410.37)</f>
        <v>410.37</v>
      </c>
      <c r="F966" s="5" t="n">
        <f aca="false">IFERROR(__xludf.dummyfunction("""COMPUTED_VALUE"""),24230442)</f>
        <v>24230442</v>
      </c>
    </row>
    <row r="967" customFormat="false" ht="15.75" hidden="false" customHeight="false" outlineLevel="0" collapsed="false">
      <c r="A967" s="6" t="n">
        <f aca="false">IFERROR(__xludf.dummyfunction("""COMPUTED_VALUE"""),45600.6666666667)</f>
        <v>45600.6666666667</v>
      </c>
      <c r="B967" s="5" t="n">
        <f aca="false">IFERROR(__xludf.dummyfunction("""COMPUTED_VALUE"""),409.8)</f>
        <v>409.8</v>
      </c>
      <c r="C967" s="5" t="n">
        <f aca="false">IFERROR(__xludf.dummyfunction("""COMPUTED_VALUE"""),410.42)</f>
        <v>410.42</v>
      </c>
      <c r="D967" s="5" t="n">
        <f aca="false">IFERROR(__xludf.dummyfunction("""COMPUTED_VALUE"""),405.57)</f>
        <v>405.57</v>
      </c>
      <c r="E967" s="5" t="n">
        <f aca="false">IFERROR(__xludf.dummyfunction("""COMPUTED_VALUE"""),408.46)</f>
        <v>408.46</v>
      </c>
      <c r="F967" s="5" t="n">
        <f aca="false">IFERROR(__xludf.dummyfunction("""COMPUTED_VALUE"""),19672286)</f>
        <v>19672286</v>
      </c>
    </row>
    <row r="968" customFormat="false" ht="15.75" hidden="false" customHeight="false" outlineLevel="0" collapsed="false">
      <c r="A968" s="6" t="n">
        <f aca="false">IFERROR(__xludf.dummyfunction("""COMPUTED_VALUE"""),45601.6666666667)</f>
        <v>45601.6666666667</v>
      </c>
      <c r="B968" s="5" t="n">
        <f aca="false">IFERROR(__xludf.dummyfunction("""COMPUTED_VALUE"""),408.37)</f>
        <v>408.37</v>
      </c>
      <c r="C968" s="5" t="n">
        <f aca="false">IFERROR(__xludf.dummyfunction("""COMPUTED_VALUE"""),414.9)</f>
        <v>414.9</v>
      </c>
      <c r="D968" s="5" t="n">
        <f aca="false">IFERROR(__xludf.dummyfunction("""COMPUTED_VALUE"""),408.08)</f>
        <v>408.08</v>
      </c>
      <c r="E968" s="5" t="n">
        <f aca="false">IFERROR(__xludf.dummyfunction("""COMPUTED_VALUE"""),411.46)</f>
        <v>411.46</v>
      </c>
      <c r="F968" s="5" t="n">
        <f aca="false">IFERROR(__xludf.dummyfunction("""COMPUTED_VALUE"""),17626011)</f>
        <v>17626011</v>
      </c>
    </row>
    <row r="969" customFormat="false" ht="15.75" hidden="false" customHeight="false" outlineLevel="0" collapsed="false">
      <c r="A969" s="6" t="n">
        <f aca="false">IFERROR(__xludf.dummyfunction("""COMPUTED_VALUE"""),45602.6666666667)</f>
        <v>45602.6666666667</v>
      </c>
      <c r="B969" s="5" t="n">
        <f aca="false">IFERROR(__xludf.dummyfunction("""COMPUTED_VALUE"""),412.42)</f>
        <v>412.42</v>
      </c>
      <c r="C969" s="5" t="n">
        <f aca="false">IFERROR(__xludf.dummyfunction("""COMPUTED_VALUE"""),420.45)</f>
        <v>420.45</v>
      </c>
      <c r="D969" s="5" t="n">
        <f aca="false">IFERROR(__xludf.dummyfunction("""COMPUTED_VALUE"""),410.52)</f>
        <v>410.52</v>
      </c>
      <c r="E969" s="5" t="n">
        <f aca="false">IFERROR(__xludf.dummyfunction("""COMPUTED_VALUE"""),420.18)</f>
        <v>420.18</v>
      </c>
      <c r="F969" s="5" t="n">
        <f aca="false">IFERROR(__xludf.dummyfunction("""COMPUTED_VALUE"""),26681842)</f>
        <v>26681842</v>
      </c>
    </row>
    <row r="970" customFormat="false" ht="15.75" hidden="false" customHeight="false" outlineLevel="0" collapsed="false">
      <c r="A970" s="6" t="n">
        <f aca="false">IFERROR(__xludf.dummyfunction("""COMPUTED_VALUE"""),45603.6666666667)</f>
        <v>45603.6666666667</v>
      </c>
      <c r="B970" s="5" t="n">
        <f aca="false">IFERROR(__xludf.dummyfunction("""COMPUTED_VALUE"""),421.28)</f>
        <v>421.28</v>
      </c>
      <c r="C970" s="5" t="n">
        <f aca="false">IFERROR(__xludf.dummyfunction("""COMPUTED_VALUE"""),426.85)</f>
        <v>426.85</v>
      </c>
      <c r="D970" s="5" t="n">
        <f aca="false">IFERROR(__xludf.dummyfunction("""COMPUTED_VALUE"""),419.88)</f>
        <v>419.88</v>
      </c>
      <c r="E970" s="5" t="n">
        <f aca="false">IFERROR(__xludf.dummyfunction("""COMPUTED_VALUE"""),425.43)</f>
        <v>425.43</v>
      </c>
      <c r="F970" s="5" t="n">
        <f aca="false">IFERROR(__xludf.dummyfunction("""COMPUTED_VALUE"""),19901782)</f>
        <v>19901782</v>
      </c>
    </row>
    <row r="971" customFormat="false" ht="15.75" hidden="false" customHeight="false" outlineLevel="0" collapsed="false">
      <c r="A971" s="6" t="n">
        <f aca="false">IFERROR(__xludf.dummyfunction("""COMPUTED_VALUE"""),45604.6666666667)</f>
        <v>45604.6666666667</v>
      </c>
      <c r="B971" s="5" t="n">
        <f aca="false">IFERROR(__xludf.dummyfunction("""COMPUTED_VALUE"""),425.32)</f>
        <v>425.32</v>
      </c>
      <c r="C971" s="5" t="n">
        <f aca="false">IFERROR(__xludf.dummyfunction("""COMPUTED_VALUE"""),426.5)</f>
        <v>426.5</v>
      </c>
      <c r="D971" s="5" t="n">
        <f aca="false">IFERROR(__xludf.dummyfunction("""COMPUTED_VALUE"""),421.78)</f>
        <v>421.78</v>
      </c>
      <c r="E971" s="5" t="n">
        <f aca="false">IFERROR(__xludf.dummyfunction("""COMPUTED_VALUE"""),422.54)</f>
        <v>422.54</v>
      </c>
      <c r="F971" s="5" t="n">
        <f aca="false">IFERROR(__xludf.dummyfunction("""COMPUTED_VALUE"""),16891414)</f>
        <v>16891414</v>
      </c>
    </row>
    <row r="972" customFormat="false" ht="15.75" hidden="false" customHeight="false" outlineLevel="0" collapsed="false">
      <c r="A972" s="6" t="n">
        <f aca="false">IFERROR(__xludf.dummyfunction("""COMPUTED_VALUE"""),45607.6666666667)</f>
        <v>45607.6666666667</v>
      </c>
      <c r="B972" s="5" t="n">
        <f aca="false">IFERROR(__xludf.dummyfunction("""COMPUTED_VALUE"""),422.52)</f>
        <v>422.52</v>
      </c>
      <c r="C972" s="5" t="n">
        <f aca="false">IFERROR(__xludf.dummyfunction("""COMPUTED_VALUE"""),424.81)</f>
        <v>424.81</v>
      </c>
      <c r="D972" s="5" t="n">
        <f aca="false">IFERROR(__xludf.dummyfunction("""COMPUTED_VALUE"""),416)</f>
        <v>416</v>
      </c>
      <c r="E972" s="5" t="n">
        <f aca="false">IFERROR(__xludf.dummyfunction("""COMPUTED_VALUE"""),418.01)</f>
        <v>418.01</v>
      </c>
      <c r="F972" s="5" t="n">
        <f aca="false">IFERROR(__xludf.dummyfunction("""COMPUTED_VALUE"""),24503321)</f>
        <v>24503321</v>
      </c>
    </row>
    <row r="973" customFormat="false" ht="15.75" hidden="false" customHeight="false" outlineLevel="0" collapsed="false">
      <c r="A973" s="6" t="n">
        <f aca="false">IFERROR(__xludf.dummyfunction("""COMPUTED_VALUE"""),45608.6666666667)</f>
        <v>45608.6666666667</v>
      </c>
      <c r="B973" s="5" t="n">
        <f aca="false">IFERROR(__xludf.dummyfunction("""COMPUTED_VALUE"""),418.25)</f>
        <v>418.25</v>
      </c>
      <c r="C973" s="5" t="n">
        <f aca="false">IFERROR(__xludf.dummyfunction("""COMPUTED_VALUE"""),424.44)</f>
        <v>424.44</v>
      </c>
      <c r="D973" s="5" t="n">
        <f aca="false">IFERROR(__xludf.dummyfunction("""COMPUTED_VALUE"""),417.2)</f>
        <v>417.2</v>
      </c>
      <c r="E973" s="5" t="n">
        <f aca="false">IFERROR(__xludf.dummyfunction("""COMPUTED_VALUE"""),423.03)</f>
        <v>423.03</v>
      </c>
      <c r="F973" s="5" t="n">
        <f aca="false">IFERROR(__xludf.dummyfunction("""COMPUTED_VALUE"""),19401204)</f>
        <v>19401204</v>
      </c>
    </row>
    <row r="974" customFormat="false" ht="15.75" hidden="false" customHeight="false" outlineLevel="0" collapsed="false">
      <c r="A974" s="6" t="n">
        <f aca="false">IFERROR(__xludf.dummyfunction("""COMPUTED_VALUE"""),45609.6666666667)</f>
        <v>45609.6666666667</v>
      </c>
      <c r="B974" s="5" t="n">
        <f aca="false">IFERROR(__xludf.dummyfunction("""COMPUTED_VALUE"""),421.64)</f>
        <v>421.64</v>
      </c>
      <c r="C974" s="5" t="n">
        <f aca="false">IFERROR(__xludf.dummyfunction("""COMPUTED_VALUE"""),429.33)</f>
        <v>429.33</v>
      </c>
      <c r="D974" s="5" t="n">
        <f aca="false">IFERROR(__xludf.dummyfunction("""COMPUTED_VALUE"""),418.21)</f>
        <v>418.21</v>
      </c>
      <c r="E974" s="5" t="n">
        <f aca="false">IFERROR(__xludf.dummyfunction("""COMPUTED_VALUE"""),425.2)</f>
        <v>425.2</v>
      </c>
      <c r="F974" s="5" t="n">
        <f aca="false">IFERROR(__xludf.dummyfunction("""COMPUTED_VALUE"""),21502185)</f>
        <v>21502185</v>
      </c>
    </row>
    <row r="975" customFormat="false" ht="15.75" hidden="false" customHeight="false" outlineLevel="0" collapsed="false">
      <c r="A975" s="6" t="n">
        <f aca="false">IFERROR(__xludf.dummyfunction("""COMPUTED_VALUE"""),45610.6666666667)</f>
        <v>45610.6666666667</v>
      </c>
      <c r="B975" s="5" t="n">
        <f aca="false">IFERROR(__xludf.dummyfunction("""COMPUTED_VALUE"""),425)</f>
        <v>425</v>
      </c>
      <c r="C975" s="5" t="n">
        <f aca="false">IFERROR(__xludf.dummyfunction("""COMPUTED_VALUE"""),428.17)</f>
        <v>428.17</v>
      </c>
      <c r="D975" s="5" t="n">
        <f aca="false">IFERROR(__xludf.dummyfunction("""COMPUTED_VALUE"""),420)</f>
        <v>420</v>
      </c>
      <c r="E975" s="5" t="n">
        <f aca="false">IFERROR(__xludf.dummyfunction("""COMPUTED_VALUE"""),426.89)</f>
        <v>426.89</v>
      </c>
      <c r="F975" s="5" t="n">
        <f aca="false">IFERROR(__xludf.dummyfunction("""COMPUTED_VALUE"""),30246881)</f>
        <v>30246881</v>
      </c>
    </row>
    <row r="976" customFormat="false" ht="15.75" hidden="false" customHeight="false" outlineLevel="0" collapsed="false">
      <c r="A976" s="6" t="n">
        <f aca="false">IFERROR(__xludf.dummyfunction("""COMPUTED_VALUE"""),45611.6666666667)</f>
        <v>45611.6666666667</v>
      </c>
      <c r="B976" s="5" t="n">
        <f aca="false">IFERROR(__xludf.dummyfunction("""COMPUTED_VALUE"""),419.82)</f>
        <v>419.82</v>
      </c>
      <c r="C976" s="5" t="n">
        <f aca="false">IFERROR(__xludf.dummyfunction("""COMPUTED_VALUE"""),422.8)</f>
        <v>422.8</v>
      </c>
      <c r="D976" s="5" t="n">
        <f aca="false">IFERROR(__xludf.dummyfunction("""COMPUTED_VALUE"""),413.64)</f>
        <v>413.64</v>
      </c>
      <c r="E976" s="5" t="n">
        <f aca="false">IFERROR(__xludf.dummyfunction("""COMPUTED_VALUE"""),415)</f>
        <v>415</v>
      </c>
      <c r="F976" s="5" t="n">
        <f aca="false">IFERROR(__xludf.dummyfunction("""COMPUTED_VALUE"""),28247644)</f>
        <v>28247644</v>
      </c>
    </row>
    <row r="977" customFormat="false" ht="15.75" hidden="false" customHeight="false" outlineLevel="0" collapsed="false">
      <c r="A977" s="6" t="n">
        <f aca="false">IFERROR(__xludf.dummyfunction("""COMPUTED_VALUE"""),45614.6666666667)</f>
        <v>45614.6666666667</v>
      </c>
      <c r="B977" s="5" t="n">
        <f aca="false">IFERROR(__xludf.dummyfunction("""COMPUTED_VALUE"""),414.87)</f>
        <v>414.87</v>
      </c>
      <c r="C977" s="5" t="n">
        <f aca="false">IFERROR(__xludf.dummyfunction("""COMPUTED_VALUE"""),418.4)</f>
        <v>418.4</v>
      </c>
      <c r="D977" s="5" t="n">
        <f aca="false">IFERROR(__xludf.dummyfunction("""COMPUTED_VALUE"""),412.1)</f>
        <v>412.1</v>
      </c>
      <c r="E977" s="5" t="n">
        <f aca="false">IFERROR(__xludf.dummyfunction("""COMPUTED_VALUE"""),415.76)</f>
        <v>415.76</v>
      </c>
      <c r="F977" s="5" t="n">
        <f aca="false">IFERROR(__xludf.dummyfunction("""COMPUTED_VALUE"""),24742013)</f>
        <v>24742013</v>
      </c>
    </row>
    <row r="978" customFormat="false" ht="15.75" hidden="false" customHeight="false" outlineLevel="0" collapsed="false">
      <c r="A978" s="6" t="n">
        <f aca="false">IFERROR(__xludf.dummyfunction("""COMPUTED_VALUE"""),45615.6666666667)</f>
        <v>45615.6666666667</v>
      </c>
      <c r="B978" s="5" t="n">
        <f aca="false">IFERROR(__xludf.dummyfunction("""COMPUTED_VALUE"""),413.11)</f>
        <v>413.11</v>
      </c>
      <c r="C978" s="5" t="n">
        <f aca="false">IFERROR(__xludf.dummyfunction("""COMPUTED_VALUE"""),417.94)</f>
        <v>417.94</v>
      </c>
      <c r="D978" s="5" t="n">
        <f aca="false">IFERROR(__xludf.dummyfunction("""COMPUTED_VALUE"""),411.55)</f>
        <v>411.55</v>
      </c>
      <c r="E978" s="5" t="n">
        <f aca="false">IFERROR(__xludf.dummyfunction("""COMPUTED_VALUE"""),417.79)</f>
        <v>417.79</v>
      </c>
      <c r="F978" s="5" t="n">
        <f aca="false">IFERROR(__xludf.dummyfunction("""COMPUTED_VALUE"""),18133529)</f>
        <v>18133529</v>
      </c>
    </row>
    <row r="979" customFormat="false" ht="15.75" hidden="false" customHeight="false" outlineLevel="0" collapsed="false">
      <c r="A979" s="6" t="n">
        <f aca="false">IFERROR(__xludf.dummyfunction("""COMPUTED_VALUE"""),45616.6666666667)</f>
        <v>45616.6666666667</v>
      </c>
      <c r="B979" s="5" t="n">
        <f aca="false">IFERROR(__xludf.dummyfunction("""COMPUTED_VALUE"""),416.87)</f>
        <v>416.87</v>
      </c>
      <c r="C979" s="5" t="n">
        <f aca="false">IFERROR(__xludf.dummyfunction("""COMPUTED_VALUE"""),417.29)</f>
        <v>417.29</v>
      </c>
      <c r="D979" s="5" t="n">
        <f aca="false">IFERROR(__xludf.dummyfunction("""COMPUTED_VALUE"""),410.58)</f>
        <v>410.58</v>
      </c>
      <c r="E979" s="5" t="n">
        <f aca="false">IFERROR(__xludf.dummyfunction("""COMPUTED_VALUE"""),415.49)</f>
        <v>415.49</v>
      </c>
      <c r="F979" s="5" t="n">
        <f aca="false">IFERROR(__xludf.dummyfunction("""COMPUTED_VALUE"""),19191655)</f>
        <v>19191655</v>
      </c>
    </row>
    <row r="980" customFormat="false" ht="15.75" hidden="false" customHeight="false" outlineLevel="0" collapsed="false">
      <c r="A980" s="6" t="n">
        <f aca="false">IFERROR(__xludf.dummyfunction("""COMPUTED_VALUE"""),45617.6666666667)</f>
        <v>45617.6666666667</v>
      </c>
      <c r="B980" s="5" t="n">
        <f aca="false">IFERROR(__xludf.dummyfunction("""COMPUTED_VALUE"""),419.5)</f>
        <v>419.5</v>
      </c>
      <c r="C980" s="5" t="n">
        <f aca="false">IFERROR(__xludf.dummyfunction("""COMPUTED_VALUE"""),419.78)</f>
        <v>419.78</v>
      </c>
      <c r="D980" s="5" t="n">
        <f aca="false">IFERROR(__xludf.dummyfunction("""COMPUTED_VALUE"""),410.29)</f>
        <v>410.29</v>
      </c>
      <c r="E980" s="5" t="n">
        <f aca="false">IFERROR(__xludf.dummyfunction("""COMPUTED_VALUE"""),412.87)</f>
        <v>412.87</v>
      </c>
      <c r="F980" s="5" t="n">
        <f aca="false">IFERROR(__xludf.dummyfunction("""COMPUTED_VALUE"""),20780162)</f>
        <v>20780162</v>
      </c>
    </row>
    <row r="981" customFormat="false" ht="15.75" hidden="false" customHeight="false" outlineLevel="0" collapsed="false">
      <c r="A981" s="6" t="n">
        <f aca="false">IFERROR(__xludf.dummyfunction("""COMPUTED_VALUE"""),45618.6666666667)</f>
        <v>45618.6666666667</v>
      </c>
      <c r="B981" s="5" t="n">
        <f aca="false">IFERROR(__xludf.dummyfunction("""COMPUTED_VALUE"""),411.37)</f>
        <v>411.37</v>
      </c>
      <c r="C981" s="5" t="n">
        <f aca="false">IFERROR(__xludf.dummyfunction("""COMPUTED_VALUE"""),417.4)</f>
        <v>417.4</v>
      </c>
      <c r="D981" s="5" t="n">
        <f aca="false">IFERROR(__xludf.dummyfunction("""COMPUTED_VALUE"""),411.06)</f>
        <v>411.06</v>
      </c>
      <c r="E981" s="5" t="n">
        <f aca="false">IFERROR(__xludf.dummyfunction("""COMPUTED_VALUE"""),417)</f>
        <v>417</v>
      </c>
      <c r="F981" s="5" t="n">
        <f aca="false">IFERROR(__xludf.dummyfunction("""COMPUTED_VALUE"""),24814626)</f>
        <v>24814626</v>
      </c>
    </row>
    <row r="982" customFormat="false" ht="15.75" hidden="false" customHeight="false" outlineLevel="0" collapsed="false">
      <c r="A982" s="6" t="n">
        <f aca="false">IFERROR(__xludf.dummyfunction("""COMPUTED_VALUE"""),45621.6666666667)</f>
        <v>45621.6666666667</v>
      </c>
      <c r="B982" s="5" t="n">
        <f aca="false">IFERROR(__xludf.dummyfunction("""COMPUTED_VALUE"""),418.38)</f>
        <v>418.38</v>
      </c>
      <c r="C982" s="5" t="n">
        <f aca="false">IFERROR(__xludf.dummyfunction("""COMPUTED_VALUE"""),421.08)</f>
        <v>421.08</v>
      </c>
      <c r="D982" s="5" t="n">
        <f aca="false">IFERROR(__xludf.dummyfunction("""COMPUTED_VALUE"""),414.85)</f>
        <v>414.85</v>
      </c>
      <c r="E982" s="5" t="n">
        <f aca="false">IFERROR(__xludf.dummyfunction("""COMPUTED_VALUE"""),418.79)</f>
        <v>418.79</v>
      </c>
      <c r="F982" s="5" t="n">
        <f aca="false">IFERROR(__xludf.dummyfunction("""COMPUTED_VALUE"""),27691090)</f>
        <v>27691090</v>
      </c>
    </row>
    <row r="983" customFormat="false" ht="15.75" hidden="false" customHeight="false" outlineLevel="0" collapsed="false">
      <c r="A983" s="6" t="n">
        <f aca="false">IFERROR(__xludf.dummyfunction("""COMPUTED_VALUE"""),45622.6666666667)</f>
        <v>45622.6666666667</v>
      </c>
      <c r="B983" s="5" t="n">
        <f aca="false">IFERROR(__xludf.dummyfunction("""COMPUTED_VALUE"""),419.59)</f>
        <v>419.59</v>
      </c>
      <c r="C983" s="5" t="n">
        <f aca="false">IFERROR(__xludf.dummyfunction("""COMPUTED_VALUE"""),429.04)</f>
        <v>429.04</v>
      </c>
      <c r="D983" s="5" t="n">
        <f aca="false">IFERROR(__xludf.dummyfunction("""COMPUTED_VALUE"""),418.85)</f>
        <v>418.85</v>
      </c>
      <c r="E983" s="5" t="n">
        <f aca="false">IFERROR(__xludf.dummyfunction("""COMPUTED_VALUE"""),427.99)</f>
        <v>427.99</v>
      </c>
      <c r="F983" s="5" t="n">
        <f aca="false">IFERROR(__xludf.dummyfunction("""COMPUTED_VALUE"""),23458889)</f>
        <v>23458889</v>
      </c>
    </row>
    <row r="984" customFormat="false" ht="15.75" hidden="false" customHeight="false" outlineLevel="0" collapsed="false">
      <c r="A984" s="6" t="n">
        <f aca="false">IFERROR(__xludf.dummyfunction("""COMPUTED_VALUE"""),45623.6666666667)</f>
        <v>45623.6666666667</v>
      </c>
      <c r="B984" s="5" t="n">
        <f aca="false">IFERROR(__xludf.dummyfunction("""COMPUTED_VALUE"""),425.11)</f>
        <v>425.11</v>
      </c>
      <c r="C984" s="5" t="n">
        <f aca="false">IFERROR(__xludf.dummyfunction("""COMPUTED_VALUE"""),427.23)</f>
        <v>427.23</v>
      </c>
      <c r="D984" s="5" t="n">
        <f aca="false">IFERROR(__xludf.dummyfunction("""COMPUTED_VALUE"""),422.02)</f>
        <v>422.02</v>
      </c>
      <c r="E984" s="5" t="n">
        <f aca="false">IFERROR(__xludf.dummyfunction("""COMPUTED_VALUE"""),422.99)</f>
        <v>422.99</v>
      </c>
      <c r="F984" s="5" t="n">
        <f aca="false">IFERROR(__xludf.dummyfunction("""COMPUTED_VALUE"""),18332444)</f>
        <v>18332444</v>
      </c>
    </row>
    <row r="985" customFormat="false" ht="15.75" hidden="false" customHeight="false" outlineLevel="0" collapsed="false">
      <c r="A985" s="6" t="n">
        <f aca="false">IFERROR(__xludf.dummyfunction("""COMPUTED_VALUE"""),45625.5451388889)</f>
        <v>45625.5451388889</v>
      </c>
      <c r="B985" s="5" t="n">
        <f aca="false">IFERROR(__xludf.dummyfunction("""COMPUTED_VALUE"""),420.09)</f>
        <v>420.09</v>
      </c>
      <c r="C985" s="5" t="n">
        <f aca="false">IFERROR(__xludf.dummyfunction("""COMPUTED_VALUE"""),424.88)</f>
        <v>424.88</v>
      </c>
      <c r="D985" s="5" t="n">
        <f aca="false">IFERROR(__xludf.dummyfunction("""COMPUTED_VALUE"""),417.8)</f>
        <v>417.8</v>
      </c>
      <c r="E985" s="5" t="n">
        <f aca="false">IFERROR(__xludf.dummyfunction("""COMPUTED_VALUE"""),423.46)</f>
        <v>423.46</v>
      </c>
      <c r="F985" s="5" t="n">
        <f aca="false">IFERROR(__xludf.dummyfunction("""COMPUTED_VALUE"""),16271921)</f>
        <v>16271921</v>
      </c>
    </row>
    <row r="986" customFormat="false" ht="15.75" hidden="false" customHeight="false" outlineLevel="0" collapsed="false">
      <c r="A986" s="6" t="n">
        <f aca="false">IFERROR(__xludf.dummyfunction("""COMPUTED_VALUE"""),45628.6666666667)</f>
        <v>45628.6666666667</v>
      </c>
      <c r="B986" s="5" t="n">
        <f aca="false">IFERROR(__xludf.dummyfunction("""COMPUTED_VALUE"""),421.57)</f>
        <v>421.57</v>
      </c>
      <c r="C986" s="5" t="n">
        <f aca="false">IFERROR(__xludf.dummyfunction("""COMPUTED_VALUE"""),433)</f>
        <v>433</v>
      </c>
      <c r="D986" s="5" t="n">
        <f aca="false">IFERROR(__xludf.dummyfunction("""COMPUTED_VALUE"""),421.31)</f>
        <v>421.31</v>
      </c>
      <c r="E986" s="5" t="n">
        <f aca="false">IFERROR(__xludf.dummyfunction("""COMPUTED_VALUE"""),430.98)</f>
        <v>430.98</v>
      </c>
      <c r="F986" s="5" t="n">
        <f aca="false">IFERROR(__xludf.dummyfunction("""COMPUTED_VALUE"""),20207223)</f>
        <v>20207223</v>
      </c>
    </row>
    <row r="987" customFormat="false" ht="15.75" hidden="false" customHeight="false" outlineLevel="0" collapsed="false">
      <c r="A987" s="6" t="n">
        <f aca="false">IFERROR(__xludf.dummyfunction("""COMPUTED_VALUE"""),45629.6666666667)</f>
        <v>45629.6666666667</v>
      </c>
      <c r="B987" s="5" t="n">
        <f aca="false">IFERROR(__xludf.dummyfunction("""COMPUTED_VALUE"""),429.84)</f>
        <v>429.84</v>
      </c>
      <c r="C987" s="5" t="n">
        <f aca="false">IFERROR(__xludf.dummyfunction("""COMPUTED_VALUE"""),432.47)</f>
        <v>432.47</v>
      </c>
      <c r="D987" s="5" t="n">
        <f aca="false">IFERROR(__xludf.dummyfunction("""COMPUTED_VALUE"""),427.74)</f>
        <v>427.74</v>
      </c>
      <c r="E987" s="5" t="n">
        <f aca="false">IFERROR(__xludf.dummyfunction("""COMPUTED_VALUE"""),431.2)</f>
        <v>431.2</v>
      </c>
      <c r="F987" s="5" t="n">
        <f aca="false">IFERROR(__xludf.dummyfunction("""COMPUTED_VALUE"""),18301987)</f>
        <v>18301987</v>
      </c>
    </row>
    <row r="988" customFormat="false" ht="15.75" hidden="false" customHeight="false" outlineLevel="0" collapsed="false">
      <c r="A988" s="6" t="n">
        <f aca="false">IFERROR(__xludf.dummyfunction("""COMPUTED_VALUE"""),45630.6666666667)</f>
        <v>45630.6666666667</v>
      </c>
      <c r="B988" s="5" t="n">
        <f aca="false">IFERROR(__xludf.dummyfunction("""COMPUTED_VALUE"""),433.03)</f>
        <v>433.03</v>
      </c>
      <c r="C988" s="5" t="n">
        <f aca="false">IFERROR(__xludf.dummyfunction("""COMPUTED_VALUE"""),439.67)</f>
        <v>439.67</v>
      </c>
      <c r="D988" s="5" t="n">
        <f aca="false">IFERROR(__xludf.dummyfunction("""COMPUTED_VALUE"""),432.63)</f>
        <v>432.63</v>
      </c>
      <c r="E988" s="5" t="n">
        <f aca="false">IFERROR(__xludf.dummyfunction("""COMPUTED_VALUE"""),437.42)</f>
        <v>437.42</v>
      </c>
      <c r="F988" s="5" t="n">
        <f aca="false">IFERROR(__xludf.dummyfunction("""COMPUTED_VALUE"""),26009429)</f>
        <v>26009429</v>
      </c>
    </row>
    <row r="989" customFormat="false" ht="15.75" hidden="false" customHeight="false" outlineLevel="0" collapsed="false">
      <c r="A989" s="6" t="n">
        <f aca="false">IFERROR(__xludf.dummyfunction("""COMPUTED_VALUE"""),45631.6666666667)</f>
        <v>45631.6666666667</v>
      </c>
      <c r="B989" s="5" t="n">
        <f aca="false">IFERROR(__xludf.dummyfunction("""COMPUTED_VALUE"""),437.92)</f>
        <v>437.92</v>
      </c>
      <c r="C989" s="5" t="n">
        <f aca="false">IFERROR(__xludf.dummyfunction("""COMPUTED_VALUE"""),444.66)</f>
        <v>444.66</v>
      </c>
      <c r="D989" s="5" t="n">
        <f aca="false">IFERROR(__xludf.dummyfunction("""COMPUTED_VALUE"""),436.17)</f>
        <v>436.17</v>
      </c>
      <c r="E989" s="5" t="n">
        <f aca="false">IFERROR(__xludf.dummyfunction("""COMPUTED_VALUE"""),442.62)</f>
        <v>442.62</v>
      </c>
      <c r="F989" s="5" t="n">
        <f aca="false">IFERROR(__xludf.dummyfunction("""COMPUTED_VALUE"""),21697775)</f>
        <v>21697775</v>
      </c>
    </row>
    <row r="990" customFormat="false" ht="15.75" hidden="false" customHeight="false" outlineLevel="0" collapsed="false">
      <c r="A990" s="6" t="n">
        <f aca="false">IFERROR(__xludf.dummyfunction("""COMPUTED_VALUE"""),45632.6666666667)</f>
        <v>45632.6666666667</v>
      </c>
      <c r="B990" s="5" t="n">
        <f aca="false">IFERROR(__xludf.dummyfunction("""COMPUTED_VALUE"""),442.3)</f>
        <v>442.3</v>
      </c>
      <c r="C990" s="5" t="n">
        <f aca="false">IFERROR(__xludf.dummyfunction("""COMPUTED_VALUE"""),446.1)</f>
        <v>446.1</v>
      </c>
      <c r="D990" s="5" t="n">
        <f aca="false">IFERROR(__xludf.dummyfunction("""COMPUTED_VALUE"""),441.77)</f>
        <v>441.77</v>
      </c>
      <c r="E990" s="5" t="n">
        <f aca="false">IFERROR(__xludf.dummyfunction("""COMPUTED_VALUE"""),443.57)</f>
        <v>443.57</v>
      </c>
      <c r="F990" s="5" t="n">
        <f aca="false">IFERROR(__xludf.dummyfunction("""COMPUTED_VALUE"""),18821002)</f>
        <v>18821002</v>
      </c>
    </row>
    <row r="991" customFormat="false" ht="15.75" hidden="false" customHeight="false" outlineLevel="0" collapsed="false">
      <c r="A991" s="6" t="n">
        <f aca="false">IFERROR(__xludf.dummyfunction("""COMPUTED_VALUE"""),45635.6666666667)</f>
        <v>45635.6666666667</v>
      </c>
      <c r="B991" s="5" t="n">
        <f aca="false">IFERROR(__xludf.dummyfunction("""COMPUTED_VALUE"""),442.6)</f>
        <v>442.6</v>
      </c>
      <c r="C991" s="5" t="n">
        <f aca="false">IFERROR(__xludf.dummyfunction("""COMPUTED_VALUE"""),448.33)</f>
        <v>448.33</v>
      </c>
      <c r="D991" s="5" t="n">
        <f aca="false">IFERROR(__xludf.dummyfunction("""COMPUTED_VALUE"""),440.5)</f>
        <v>440.5</v>
      </c>
      <c r="E991" s="5" t="n">
        <f aca="false">IFERROR(__xludf.dummyfunction("""COMPUTED_VALUE"""),446.02)</f>
        <v>446.02</v>
      </c>
      <c r="F991" s="5" t="n">
        <f aca="false">IFERROR(__xludf.dummyfunction("""COMPUTED_VALUE"""),19144388)</f>
        <v>19144388</v>
      </c>
    </row>
    <row r="992" customFormat="false" ht="15.75" hidden="false" customHeight="false" outlineLevel="0" collapsed="false">
      <c r="A992" s="6" t="n">
        <f aca="false">IFERROR(__xludf.dummyfunction("""COMPUTED_VALUE"""),45636.6666666667)</f>
        <v>45636.6666666667</v>
      </c>
      <c r="B992" s="5" t="n">
        <f aca="false">IFERROR(__xludf.dummyfunction("""COMPUTED_VALUE"""),444.39)</f>
        <v>444.39</v>
      </c>
      <c r="C992" s="5" t="n">
        <f aca="false">IFERROR(__xludf.dummyfunction("""COMPUTED_VALUE"""),449.62)</f>
        <v>449.62</v>
      </c>
      <c r="D992" s="5" t="n">
        <f aca="false">IFERROR(__xludf.dummyfunction("""COMPUTED_VALUE"""),441.6)</f>
        <v>441.6</v>
      </c>
      <c r="E992" s="5" t="n">
        <f aca="false">IFERROR(__xludf.dummyfunction("""COMPUTED_VALUE"""),443.33)</f>
        <v>443.33</v>
      </c>
      <c r="F992" s="5" t="n">
        <f aca="false">IFERROR(__xludf.dummyfunction("""COMPUTED_VALUE"""),18469459)</f>
        <v>18469459</v>
      </c>
    </row>
    <row r="993" customFormat="false" ht="15.75" hidden="false" customHeight="false" outlineLevel="0" collapsed="false">
      <c r="A993" s="6" t="n">
        <f aca="false">IFERROR(__xludf.dummyfunction("""COMPUTED_VALUE"""),45637.6666666667)</f>
        <v>45637.6666666667</v>
      </c>
      <c r="B993" s="5" t="n">
        <f aca="false">IFERROR(__xludf.dummyfunction("""COMPUTED_VALUE"""),444.05)</f>
        <v>444.05</v>
      </c>
      <c r="C993" s="5" t="n">
        <f aca="false">IFERROR(__xludf.dummyfunction("""COMPUTED_VALUE"""),450.35)</f>
        <v>450.35</v>
      </c>
      <c r="D993" s="5" t="n">
        <f aca="false">IFERROR(__xludf.dummyfunction("""COMPUTED_VALUE"""),444.05)</f>
        <v>444.05</v>
      </c>
      <c r="E993" s="5" t="n">
        <f aca="false">IFERROR(__xludf.dummyfunction("""COMPUTED_VALUE"""),448.99)</f>
        <v>448.99</v>
      </c>
      <c r="F993" s="5" t="n">
        <f aca="false">IFERROR(__xludf.dummyfunction("""COMPUTED_VALUE"""),19200208)</f>
        <v>19200208</v>
      </c>
    </row>
    <row r="994" customFormat="false" ht="15.75" hidden="false" customHeight="false" outlineLevel="0" collapsed="false">
      <c r="A994" s="6" t="n">
        <f aca="false">IFERROR(__xludf.dummyfunction("""COMPUTED_VALUE"""),45638.6666666667)</f>
        <v>45638.6666666667</v>
      </c>
      <c r="B994" s="5" t="n">
        <f aca="false">IFERROR(__xludf.dummyfunction("""COMPUTED_VALUE"""),449.11)</f>
        <v>449.11</v>
      </c>
      <c r="C994" s="5" t="n">
        <f aca="false">IFERROR(__xludf.dummyfunction("""COMPUTED_VALUE"""),456.16)</f>
        <v>456.16</v>
      </c>
      <c r="D994" s="5" t="n">
        <f aca="false">IFERROR(__xludf.dummyfunction("""COMPUTED_VALUE"""),449.11)</f>
        <v>449.11</v>
      </c>
      <c r="E994" s="5" t="n">
        <f aca="false">IFERROR(__xludf.dummyfunction("""COMPUTED_VALUE"""),449.56)</f>
        <v>449.56</v>
      </c>
      <c r="F994" s="5" t="n">
        <f aca="false">IFERROR(__xludf.dummyfunction("""COMPUTED_VALUE"""),20834779)</f>
        <v>20834779</v>
      </c>
    </row>
    <row r="995" customFormat="false" ht="15.75" hidden="false" customHeight="false" outlineLevel="0" collapsed="false">
      <c r="A995" s="6" t="n">
        <f aca="false">IFERROR(__xludf.dummyfunction("""COMPUTED_VALUE"""),45639.6666666667)</f>
        <v>45639.6666666667</v>
      </c>
      <c r="B995" s="5" t="n">
        <f aca="false">IFERROR(__xludf.dummyfunction("""COMPUTED_VALUE"""),448.44)</f>
        <v>448.44</v>
      </c>
      <c r="C995" s="5" t="n">
        <f aca="false">IFERROR(__xludf.dummyfunction("""COMPUTED_VALUE"""),451.43)</f>
        <v>451.43</v>
      </c>
      <c r="D995" s="5" t="n">
        <f aca="false">IFERROR(__xludf.dummyfunction("""COMPUTED_VALUE"""),445.58)</f>
        <v>445.58</v>
      </c>
      <c r="E995" s="5" t="n">
        <f aca="false">IFERROR(__xludf.dummyfunction("""COMPUTED_VALUE"""),447.27)</f>
        <v>447.27</v>
      </c>
      <c r="F995" s="5" t="n">
        <f aca="false">IFERROR(__xludf.dummyfunction("""COMPUTED_VALUE"""),20177833)</f>
        <v>20177833</v>
      </c>
    </row>
    <row r="996" customFormat="false" ht="15.75" hidden="false" customHeight="false" outlineLevel="0" collapsed="false">
      <c r="A996" s="6" t="n">
        <f aca="false">IFERROR(__xludf.dummyfunction("""COMPUTED_VALUE"""),45642.6666666667)</f>
        <v>45642.6666666667</v>
      </c>
      <c r="B996" s="5" t="n">
        <f aca="false">IFERROR(__xludf.dummyfunction("""COMPUTED_VALUE"""),447.27)</f>
        <v>447.27</v>
      </c>
      <c r="C996" s="5" t="n">
        <f aca="false">IFERROR(__xludf.dummyfunction("""COMPUTED_VALUE"""),452.18)</f>
        <v>452.18</v>
      </c>
      <c r="D996" s="5" t="n">
        <f aca="false">IFERROR(__xludf.dummyfunction("""COMPUTED_VALUE"""),445.28)</f>
        <v>445.28</v>
      </c>
      <c r="E996" s="5" t="n">
        <f aca="false">IFERROR(__xludf.dummyfunction("""COMPUTED_VALUE"""),451.59)</f>
        <v>451.59</v>
      </c>
      <c r="F996" s="5" t="n">
        <f aca="false">IFERROR(__xludf.dummyfunction("""COMPUTED_VALUE"""),23598834)</f>
        <v>23598834</v>
      </c>
    </row>
    <row r="997" customFormat="false" ht="15.75" hidden="false" customHeight="false" outlineLevel="0" collapsed="false">
      <c r="A997" s="6" t="n">
        <f aca="false">IFERROR(__xludf.dummyfunction("""COMPUTED_VALUE"""),45643.6666666667)</f>
        <v>45643.6666666667</v>
      </c>
      <c r="B997" s="5" t="n">
        <f aca="false">IFERROR(__xludf.dummyfunction("""COMPUTED_VALUE"""),451.01)</f>
        <v>451.01</v>
      </c>
      <c r="C997" s="5" t="n">
        <f aca="false">IFERROR(__xludf.dummyfunction("""COMPUTED_VALUE"""),455.29)</f>
        <v>455.29</v>
      </c>
      <c r="D997" s="5" t="n">
        <f aca="false">IFERROR(__xludf.dummyfunction("""COMPUTED_VALUE"""),449.57)</f>
        <v>449.57</v>
      </c>
      <c r="E997" s="5" t="n">
        <f aca="false">IFERROR(__xludf.dummyfunction("""COMPUTED_VALUE"""),454.46)</f>
        <v>454.46</v>
      </c>
      <c r="F997" s="5" t="n">
        <f aca="false">IFERROR(__xludf.dummyfunction("""COMPUTED_VALUE"""),22733494)</f>
        <v>22733494</v>
      </c>
    </row>
    <row r="998" customFormat="false" ht="15.75" hidden="false" customHeight="false" outlineLevel="0" collapsed="false">
      <c r="A998" s="6" t="n">
        <f aca="false">IFERROR(__xludf.dummyfunction("""COMPUTED_VALUE"""),45644.6666666667)</f>
        <v>45644.6666666667</v>
      </c>
      <c r="B998" s="5" t="n">
        <f aca="false">IFERROR(__xludf.dummyfunction("""COMPUTED_VALUE"""),451.32)</f>
        <v>451.32</v>
      </c>
      <c r="C998" s="5" t="n">
        <f aca="false">IFERROR(__xludf.dummyfunction("""COMPUTED_VALUE"""),452.65)</f>
        <v>452.65</v>
      </c>
      <c r="D998" s="5" t="n">
        <f aca="false">IFERROR(__xludf.dummyfunction("""COMPUTED_VALUE"""),437.02)</f>
        <v>437.02</v>
      </c>
      <c r="E998" s="5" t="n">
        <f aca="false">IFERROR(__xludf.dummyfunction("""COMPUTED_VALUE"""),437.39)</f>
        <v>437.39</v>
      </c>
      <c r="F998" s="5" t="n">
        <f aca="false">IFERROR(__xludf.dummyfunction("""COMPUTED_VALUE"""),24444545)</f>
        <v>24444545</v>
      </c>
    </row>
    <row r="999" customFormat="false" ht="15.75" hidden="false" customHeight="false" outlineLevel="0" collapsed="false">
      <c r="A999" s="6" t="n">
        <f aca="false">IFERROR(__xludf.dummyfunction("""COMPUTED_VALUE"""),45645.6666666667)</f>
        <v>45645.6666666667</v>
      </c>
      <c r="B999" s="5" t="n">
        <f aca="false">IFERROR(__xludf.dummyfunction("""COMPUTED_VALUE"""),441.62)</f>
        <v>441.62</v>
      </c>
      <c r="C999" s="5" t="n">
        <f aca="false">IFERROR(__xludf.dummyfunction("""COMPUTED_VALUE"""),443.18)</f>
        <v>443.18</v>
      </c>
      <c r="D999" s="5" t="n">
        <f aca="false">IFERROR(__xludf.dummyfunction("""COMPUTED_VALUE"""),436.32)</f>
        <v>436.32</v>
      </c>
      <c r="E999" s="5" t="n">
        <f aca="false">IFERROR(__xludf.dummyfunction("""COMPUTED_VALUE"""),437.03)</f>
        <v>437.03</v>
      </c>
      <c r="F999" s="5" t="n">
        <f aca="false">IFERROR(__xludf.dummyfunction("""COMPUTED_VALUE"""),22963681)</f>
        <v>22963681</v>
      </c>
    </row>
    <row r="1000" customFormat="false" ht="15.75" hidden="false" customHeight="false" outlineLevel="0" collapsed="false">
      <c r="A1000" s="6" t="n">
        <f aca="false">IFERROR(__xludf.dummyfunction("""COMPUTED_VALUE"""),45646.6666666667)</f>
        <v>45646.6666666667</v>
      </c>
      <c r="B1000" s="5" t="n">
        <f aca="false">IFERROR(__xludf.dummyfunction("""COMPUTED_VALUE"""),433.11)</f>
        <v>433.11</v>
      </c>
      <c r="C1000" s="5" t="n">
        <f aca="false">IFERROR(__xludf.dummyfunction("""COMPUTED_VALUE"""),443.74)</f>
        <v>443.74</v>
      </c>
      <c r="D1000" s="5" t="n">
        <f aca="false">IFERROR(__xludf.dummyfunction("""COMPUTED_VALUE"""),428.63)</f>
        <v>428.63</v>
      </c>
      <c r="E1000" s="5" t="n">
        <f aca="false">IFERROR(__xludf.dummyfunction("""COMPUTED_VALUE"""),436.6)</f>
        <v>436.6</v>
      </c>
      <c r="F1000" s="5" t="n">
        <f aca="false">IFERROR(__xludf.dummyfunction("""COMPUTED_VALUE"""),64263694)</f>
        <v>64263694</v>
      </c>
    </row>
    <row r="1001" customFormat="false" ht="15.75" hidden="false" customHeight="false" outlineLevel="0" collapsed="false">
      <c r="A1001" s="6" t="n">
        <f aca="false">IFERROR(__xludf.dummyfunction("""COMPUTED_VALUE"""),45649.6666666667)</f>
        <v>45649.6666666667</v>
      </c>
      <c r="B1001" s="5" t="n">
        <f aca="false">IFERROR(__xludf.dummyfunction("""COMPUTED_VALUE"""),436.74)</f>
        <v>436.74</v>
      </c>
      <c r="C1001" s="5" t="n">
        <f aca="false">IFERROR(__xludf.dummyfunction("""COMPUTED_VALUE"""),437.65)</f>
        <v>437.65</v>
      </c>
      <c r="D1001" s="5" t="n">
        <f aca="false">IFERROR(__xludf.dummyfunction("""COMPUTED_VALUE"""),432.83)</f>
        <v>432.83</v>
      </c>
      <c r="E1001" s="5" t="n">
        <f aca="false">IFERROR(__xludf.dummyfunction("""COMPUTED_VALUE"""),435.25)</f>
        <v>435.25</v>
      </c>
      <c r="F1001" s="5" t="n">
        <f aca="false">IFERROR(__xludf.dummyfunction("""COMPUTED_VALUE"""),19152519)</f>
        <v>19152519</v>
      </c>
    </row>
    <row r="1002" customFormat="false" ht="15.75" hidden="false" customHeight="false" outlineLevel="0" collapsed="false">
      <c r="A1002" s="6" t="n">
        <f aca="false">IFERROR(__xludf.dummyfunction("""COMPUTED_VALUE"""),45650.5451388889)</f>
        <v>45650.5451388889</v>
      </c>
      <c r="B1002" s="5" t="n">
        <f aca="false">IFERROR(__xludf.dummyfunction("""COMPUTED_VALUE"""),434.65)</f>
        <v>434.65</v>
      </c>
      <c r="C1002" s="5" t="n">
        <f aca="false">IFERROR(__xludf.dummyfunction("""COMPUTED_VALUE"""),439.6)</f>
        <v>439.6</v>
      </c>
      <c r="D1002" s="5" t="n">
        <f aca="false">IFERROR(__xludf.dummyfunction("""COMPUTED_VALUE"""),434.19)</f>
        <v>434.19</v>
      </c>
      <c r="E1002" s="5" t="n">
        <f aca="false">IFERROR(__xludf.dummyfunction("""COMPUTED_VALUE"""),439.33)</f>
        <v>439.33</v>
      </c>
      <c r="F1002" s="5" t="n">
        <f aca="false">IFERROR(__xludf.dummyfunction("""COMPUTED_VALUE"""),7164543)</f>
        <v>7164543</v>
      </c>
    </row>
    <row r="1003" customFormat="false" ht="15.75" hidden="false" customHeight="false" outlineLevel="0" collapsed="false">
      <c r="A1003" s="6" t="n">
        <f aca="false">IFERROR(__xludf.dummyfunction("""COMPUTED_VALUE"""),45652.6666666667)</f>
        <v>45652.6666666667</v>
      </c>
      <c r="B1003" s="5" t="n">
        <f aca="false">IFERROR(__xludf.dummyfunction("""COMPUTED_VALUE"""),439.08)</f>
        <v>439.08</v>
      </c>
      <c r="C1003" s="5" t="n">
        <f aca="false">IFERROR(__xludf.dummyfunction("""COMPUTED_VALUE"""),440.94)</f>
        <v>440.94</v>
      </c>
      <c r="D1003" s="5" t="n">
        <f aca="false">IFERROR(__xludf.dummyfunction("""COMPUTED_VALUE"""),436.63)</f>
        <v>436.63</v>
      </c>
      <c r="E1003" s="5" t="n">
        <f aca="false">IFERROR(__xludf.dummyfunction("""COMPUTED_VALUE"""),438.11)</f>
        <v>438.11</v>
      </c>
      <c r="F1003" s="5" t="n">
        <f aca="false">IFERROR(__xludf.dummyfunction("""COMPUTED_VALUE"""),8199927)</f>
        <v>8199927</v>
      </c>
    </row>
    <row r="1004" customFormat="false" ht="15.75" hidden="false" customHeight="false" outlineLevel="0" collapsed="false">
      <c r="A1004" s="6" t="n">
        <f aca="false">IFERROR(__xludf.dummyfunction("""COMPUTED_VALUE"""),45653.6666666667)</f>
        <v>45653.6666666667</v>
      </c>
      <c r="B1004" s="5" t="n">
        <f aca="false">IFERROR(__xludf.dummyfunction("""COMPUTED_VALUE"""),434.6)</f>
        <v>434.6</v>
      </c>
      <c r="C1004" s="5" t="n">
        <f aca="false">IFERROR(__xludf.dummyfunction("""COMPUTED_VALUE"""),435.22)</f>
        <v>435.22</v>
      </c>
      <c r="D1004" s="5" t="n">
        <f aca="false">IFERROR(__xludf.dummyfunction("""COMPUTED_VALUE"""),426.35)</f>
        <v>426.35</v>
      </c>
      <c r="E1004" s="5" t="n">
        <f aca="false">IFERROR(__xludf.dummyfunction("""COMPUTED_VALUE"""),430.53)</f>
        <v>430.53</v>
      </c>
      <c r="F1004" s="5" t="n">
        <f aca="false">IFERROR(__xludf.dummyfunction("""COMPUTED_VALUE"""),18117713)</f>
        <v>18117713</v>
      </c>
    </row>
    <row r="1005" customFormat="false" ht="15.75" hidden="false" customHeight="false" outlineLevel="0" collapsed="false">
      <c r="A1005" s="6" t="n">
        <f aca="false">IFERROR(__xludf.dummyfunction("""COMPUTED_VALUE"""),45656.6666666667)</f>
        <v>45656.6666666667</v>
      </c>
      <c r="B1005" s="5" t="n">
        <f aca="false">IFERROR(__xludf.dummyfunction("""COMPUTED_VALUE"""),426.06)</f>
        <v>426.06</v>
      </c>
      <c r="C1005" s="5" t="n">
        <f aca="false">IFERROR(__xludf.dummyfunction("""COMPUTED_VALUE"""),427.55)</f>
        <v>427.55</v>
      </c>
      <c r="D1005" s="5" t="n">
        <f aca="false">IFERROR(__xludf.dummyfunction("""COMPUTED_VALUE"""),421.9)</f>
        <v>421.9</v>
      </c>
      <c r="E1005" s="5" t="n">
        <f aca="false">IFERROR(__xludf.dummyfunction("""COMPUTED_VALUE"""),424.83)</f>
        <v>424.83</v>
      </c>
      <c r="F1005" s="5" t="n">
        <f aca="false">IFERROR(__xludf.dummyfunction("""COMPUTED_VALUE"""),13158703)</f>
        <v>13158703</v>
      </c>
    </row>
    <row r="1006" customFormat="false" ht="15.75" hidden="false" customHeight="false" outlineLevel="0" collapsed="false">
      <c r="A1006" s="6" t="n">
        <f aca="false">IFERROR(__xludf.dummyfunction("""COMPUTED_VALUE"""),45657.6666666667)</f>
        <v>45657.6666666667</v>
      </c>
      <c r="B1006" s="5" t="n">
        <f aca="false">IFERROR(__xludf.dummyfunction("""COMPUTED_VALUE"""),426.1)</f>
        <v>426.1</v>
      </c>
      <c r="C1006" s="5" t="n">
        <f aca="false">IFERROR(__xludf.dummyfunction("""COMPUTED_VALUE"""),426.73)</f>
        <v>426.73</v>
      </c>
      <c r="D1006" s="5" t="n">
        <f aca="false">IFERROR(__xludf.dummyfunction("""COMPUTED_VALUE"""),420.66)</f>
        <v>420.66</v>
      </c>
      <c r="E1006" s="5" t="n">
        <f aca="false">IFERROR(__xludf.dummyfunction("""COMPUTED_VALUE"""),421.5)</f>
        <v>421.5</v>
      </c>
      <c r="F1006" s="5" t="n">
        <f aca="false">IFERROR(__xludf.dummyfunction("""COMPUTED_VALUE"""),13246509)</f>
        <v>13246509</v>
      </c>
    </row>
    <row r="1007" customFormat="false" ht="15.75" hidden="false" customHeight="false" outlineLevel="0" collapsed="false">
      <c r="A1007" s="6" t="n">
        <f aca="false">IFERROR(__xludf.dummyfunction("""COMPUTED_VALUE"""),45659.6666666667)</f>
        <v>45659.6666666667</v>
      </c>
      <c r="B1007" s="5" t="n">
        <f aca="false">IFERROR(__xludf.dummyfunction("""COMPUTED_VALUE"""),425.53)</f>
        <v>425.53</v>
      </c>
      <c r="C1007" s="5" t="n">
        <f aca="false">IFERROR(__xludf.dummyfunction("""COMPUTED_VALUE"""),426.07)</f>
        <v>426.07</v>
      </c>
      <c r="D1007" s="5" t="n">
        <f aca="false">IFERROR(__xludf.dummyfunction("""COMPUTED_VALUE"""),414.85)</f>
        <v>414.85</v>
      </c>
      <c r="E1007" s="5" t="n">
        <f aca="false">IFERROR(__xludf.dummyfunction("""COMPUTED_VALUE"""),418.58)</f>
        <v>418.58</v>
      </c>
      <c r="F1007" s="5" t="n">
        <f aca="false">IFERROR(__xludf.dummyfunction("""COMPUTED_VALUE"""),16896469)</f>
        <v>16896469</v>
      </c>
    </row>
    <row r="1008" customFormat="false" ht="15.75" hidden="false" customHeight="false" outlineLevel="0" collapsed="false">
      <c r="A1008" s="6" t="n">
        <f aca="false">IFERROR(__xludf.dummyfunction("""COMPUTED_VALUE"""),45660.6666666667)</f>
        <v>45660.6666666667</v>
      </c>
      <c r="B1008" s="5" t="n">
        <f aca="false">IFERROR(__xludf.dummyfunction("""COMPUTED_VALUE"""),421.08)</f>
        <v>421.08</v>
      </c>
      <c r="C1008" s="5" t="n">
        <f aca="false">IFERROR(__xludf.dummyfunction("""COMPUTED_VALUE"""),424.03)</f>
        <v>424.03</v>
      </c>
      <c r="D1008" s="5" t="n">
        <f aca="false">IFERROR(__xludf.dummyfunction("""COMPUTED_VALUE"""),419.54)</f>
        <v>419.54</v>
      </c>
      <c r="E1008" s="5" t="n">
        <f aca="false">IFERROR(__xludf.dummyfunction("""COMPUTED_VALUE"""),423.35)</f>
        <v>423.35</v>
      </c>
      <c r="F1008" s="5" t="n">
        <f aca="false">IFERROR(__xludf.dummyfunction("""COMPUTED_VALUE"""),16662943)</f>
        <v>16662943</v>
      </c>
    </row>
    <row r="1009" customFormat="false" ht="15.75" hidden="false" customHeight="false" outlineLevel="0" collapsed="false">
      <c r="A1009" s="6" t="n">
        <f aca="false">IFERROR(__xludf.dummyfunction("""COMPUTED_VALUE"""),45663.6666666667)</f>
        <v>45663.6666666667</v>
      </c>
      <c r="B1009" s="5" t="n">
        <f aca="false">IFERROR(__xludf.dummyfunction("""COMPUTED_VALUE"""),428)</f>
        <v>428</v>
      </c>
      <c r="C1009" s="5" t="n">
        <f aca="false">IFERROR(__xludf.dummyfunction("""COMPUTED_VALUE"""),434.32)</f>
        <v>434.32</v>
      </c>
      <c r="D1009" s="5" t="n">
        <f aca="false">IFERROR(__xludf.dummyfunction("""COMPUTED_VALUE"""),425.48)</f>
        <v>425.48</v>
      </c>
      <c r="E1009" s="5" t="n">
        <f aca="false">IFERROR(__xludf.dummyfunction("""COMPUTED_VALUE"""),427.85)</f>
        <v>427.85</v>
      </c>
      <c r="F1009" s="5" t="n">
        <f aca="false">IFERROR(__xludf.dummyfunction("""COMPUTED_VALUE"""),20573648)</f>
        <v>20573648</v>
      </c>
    </row>
    <row r="1010" customFormat="false" ht="15.75" hidden="false" customHeight="false" outlineLevel="0" collapsed="false">
      <c r="A1010" s="6" t="n">
        <f aca="false">IFERROR(__xludf.dummyfunction("""COMPUTED_VALUE"""),45664.6666666667)</f>
        <v>45664.6666666667</v>
      </c>
      <c r="B1010" s="5" t="n">
        <f aca="false">IFERROR(__xludf.dummyfunction("""COMPUTED_VALUE"""),429)</f>
        <v>429</v>
      </c>
      <c r="C1010" s="5" t="n">
        <f aca="false">IFERROR(__xludf.dummyfunction("""COMPUTED_VALUE"""),430.65)</f>
        <v>430.65</v>
      </c>
      <c r="D1010" s="5" t="n">
        <f aca="false">IFERROR(__xludf.dummyfunction("""COMPUTED_VALUE"""),420.8)</f>
        <v>420.8</v>
      </c>
      <c r="E1010" s="5" t="n">
        <f aca="false">IFERROR(__xludf.dummyfunction("""COMPUTED_VALUE"""),422.37)</f>
        <v>422.37</v>
      </c>
      <c r="F1010" s="5" t="n">
        <f aca="false">IFERROR(__xludf.dummyfunction("""COMPUTED_VALUE"""),18139065)</f>
        <v>18139065</v>
      </c>
    </row>
    <row r="1011" customFormat="false" ht="15.75" hidden="false" customHeight="false" outlineLevel="0" collapsed="false">
      <c r="A1011" s="6" t="n">
        <f aca="false">IFERROR(__xludf.dummyfunction("""COMPUTED_VALUE"""),45665.6666666667)</f>
        <v>45665.6666666667</v>
      </c>
      <c r="B1011" s="5" t="n">
        <f aca="false">IFERROR(__xludf.dummyfunction("""COMPUTED_VALUE"""),423.46)</f>
        <v>423.46</v>
      </c>
      <c r="C1011" s="5" t="n">
        <f aca="false">IFERROR(__xludf.dummyfunction("""COMPUTED_VALUE"""),426.97)</f>
        <v>426.97</v>
      </c>
      <c r="D1011" s="5" t="n">
        <f aca="false">IFERROR(__xludf.dummyfunction("""COMPUTED_VALUE"""),421.54)</f>
        <v>421.54</v>
      </c>
      <c r="E1011" s="5" t="n">
        <f aca="false">IFERROR(__xludf.dummyfunction("""COMPUTED_VALUE"""),424.56)</f>
        <v>424.56</v>
      </c>
      <c r="F1011" s="5" t="n">
        <f aca="false">IFERROR(__xludf.dummyfunction("""COMPUTED_VALUE"""),15054575)</f>
        <v>15054575</v>
      </c>
    </row>
    <row r="1012" customFormat="false" ht="15.75" hidden="false" customHeight="false" outlineLevel="0" collapsed="false">
      <c r="A1012" s="6" t="n">
        <f aca="false">IFERROR(__xludf.dummyfunction("""COMPUTED_VALUE"""),45667.6666666667)</f>
        <v>45667.6666666667</v>
      </c>
      <c r="B1012" s="5" t="n">
        <f aca="false">IFERROR(__xludf.dummyfunction("""COMPUTED_VALUE"""),424.63)</f>
        <v>424.63</v>
      </c>
      <c r="C1012" s="5" t="n">
        <f aca="false">IFERROR(__xludf.dummyfunction("""COMPUTED_VALUE"""),424.71)</f>
        <v>424.71</v>
      </c>
      <c r="D1012" s="5" t="n">
        <f aca="false">IFERROR(__xludf.dummyfunction("""COMPUTED_VALUE"""),415.02)</f>
        <v>415.02</v>
      </c>
      <c r="E1012" s="5" t="n">
        <f aca="false">IFERROR(__xludf.dummyfunction("""COMPUTED_VALUE"""),418.95)</f>
        <v>418.95</v>
      </c>
      <c r="F1012" s="5" t="n">
        <f aca="false">IFERROR(__xludf.dummyfunction("""COMPUTED_VALUE"""),20201132)</f>
        <v>20201132</v>
      </c>
    </row>
    <row r="1013" customFormat="false" ht="15.75" hidden="false" customHeight="false" outlineLevel="0" collapsed="false">
      <c r="A1013" s="6" t="n">
        <f aca="false">IFERROR(__xludf.dummyfunction("""COMPUTED_VALUE"""),45670.6666666667)</f>
        <v>45670.6666666667</v>
      </c>
      <c r="B1013" s="5" t="n">
        <f aca="false">IFERROR(__xludf.dummyfunction("""COMPUTED_VALUE"""),415.24)</f>
        <v>415.24</v>
      </c>
      <c r="C1013" s="5" t="n">
        <f aca="false">IFERROR(__xludf.dummyfunction("""COMPUTED_VALUE"""),418.5)</f>
        <v>418.5</v>
      </c>
      <c r="D1013" s="5" t="n">
        <f aca="false">IFERROR(__xludf.dummyfunction("""COMPUTED_VALUE"""),412.29)</f>
        <v>412.29</v>
      </c>
      <c r="E1013" s="5" t="n">
        <f aca="false">IFERROR(__xludf.dummyfunction("""COMPUTED_VALUE"""),417.19)</f>
        <v>417.19</v>
      </c>
      <c r="F1013" s="5" t="n">
        <f aca="false">IFERROR(__xludf.dummyfunction("""COMPUTED_VALUE"""),17604780)</f>
        <v>17604780</v>
      </c>
    </row>
    <row r="1014" customFormat="false" ht="15.75" hidden="false" customHeight="false" outlineLevel="0" collapsed="false">
      <c r="A1014" s="6" t="n">
        <f aca="false">IFERROR(__xludf.dummyfunction("""COMPUTED_VALUE"""),45671.6666666667)</f>
        <v>45671.6666666667</v>
      </c>
      <c r="B1014" s="5" t="n">
        <f aca="false">IFERROR(__xludf.dummyfunction("""COMPUTED_VALUE"""),417.81)</f>
        <v>417.81</v>
      </c>
      <c r="C1014" s="5" t="n">
        <f aca="false">IFERROR(__xludf.dummyfunction("""COMPUTED_VALUE"""),419.74)</f>
        <v>419.74</v>
      </c>
      <c r="D1014" s="5" t="n">
        <f aca="false">IFERROR(__xludf.dummyfunction("""COMPUTED_VALUE"""),410.72)</f>
        <v>410.72</v>
      </c>
      <c r="E1014" s="5" t="n">
        <f aca="false">IFERROR(__xludf.dummyfunction("""COMPUTED_VALUE"""),415.67)</f>
        <v>415.67</v>
      </c>
      <c r="F1014" s="5" t="n">
        <f aca="false">IFERROR(__xludf.dummyfunction("""COMPUTED_VALUE"""),16935856)</f>
        <v>16935856</v>
      </c>
    </row>
    <row r="1015" customFormat="false" ht="15.75" hidden="false" customHeight="false" outlineLevel="0" collapsed="false">
      <c r="A1015" s="6" t="n">
        <f aca="false">IFERROR(__xludf.dummyfunction("""COMPUTED_VALUE"""),45672.6666666667)</f>
        <v>45672.6666666667</v>
      </c>
      <c r="B1015" s="5" t="n">
        <f aca="false">IFERROR(__xludf.dummyfunction("""COMPUTED_VALUE"""),419.13)</f>
        <v>419.13</v>
      </c>
      <c r="C1015" s="5" t="n">
        <f aca="false">IFERROR(__xludf.dummyfunction("""COMPUTED_VALUE"""),428.15)</f>
        <v>428.15</v>
      </c>
      <c r="D1015" s="5" t="n">
        <f aca="false">IFERROR(__xludf.dummyfunction("""COMPUTED_VALUE"""),418.27)</f>
        <v>418.27</v>
      </c>
      <c r="E1015" s="5" t="n">
        <f aca="false">IFERROR(__xludf.dummyfunction("""COMPUTED_VALUE"""),426.31)</f>
        <v>426.31</v>
      </c>
      <c r="F1015" s="5" t="n">
        <f aca="false">IFERROR(__xludf.dummyfunction("""COMPUTED_VALUE"""),19637838)</f>
        <v>19637838</v>
      </c>
    </row>
    <row r="1016" customFormat="false" ht="15.75" hidden="false" customHeight="false" outlineLevel="0" collapsed="false">
      <c r="A1016" s="6" t="n">
        <f aca="false">IFERROR(__xludf.dummyfunction("""COMPUTED_VALUE"""),45673.6666666667)</f>
        <v>45673.6666666667</v>
      </c>
      <c r="B1016" s="5" t="n">
        <f aca="false">IFERROR(__xludf.dummyfunction("""COMPUTED_VALUE"""),428.7)</f>
        <v>428.7</v>
      </c>
      <c r="C1016" s="5" t="n">
        <f aca="false">IFERROR(__xludf.dummyfunction("""COMPUTED_VALUE"""),429.49)</f>
        <v>429.49</v>
      </c>
      <c r="D1016" s="5" t="n">
        <f aca="false">IFERROR(__xludf.dummyfunction("""COMPUTED_VALUE"""),424.39)</f>
        <v>424.39</v>
      </c>
      <c r="E1016" s="5" t="n">
        <f aca="false">IFERROR(__xludf.dummyfunction("""COMPUTED_VALUE"""),424.58)</f>
        <v>424.58</v>
      </c>
      <c r="F1016" s="5" t="n">
        <f aca="false">IFERROR(__xludf.dummyfunction("""COMPUTED_VALUE"""),15300023)</f>
        <v>15300023</v>
      </c>
    </row>
    <row r="1017" customFormat="false" ht="15.75" hidden="false" customHeight="false" outlineLevel="0" collapsed="false">
      <c r="A1017" s="6" t="n">
        <f aca="false">IFERROR(__xludf.dummyfunction("""COMPUTED_VALUE"""),45674.6666666667)</f>
        <v>45674.6666666667</v>
      </c>
      <c r="B1017" s="5" t="n">
        <f aca="false">IFERROR(__xludf.dummyfunction("""COMPUTED_VALUE"""),434.09)</f>
        <v>434.09</v>
      </c>
      <c r="C1017" s="5" t="n">
        <f aca="false">IFERROR(__xludf.dummyfunction("""COMPUTED_VALUE"""),434.48)</f>
        <v>434.48</v>
      </c>
      <c r="D1017" s="5" t="n">
        <f aca="false">IFERROR(__xludf.dummyfunction("""COMPUTED_VALUE"""),428.17)</f>
        <v>428.17</v>
      </c>
      <c r="E1017" s="5" t="n">
        <f aca="false">IFERROR(__xludf.dummyfunction("""COMPUTED_VALUE"""),429.03)</f>
        <v>429.03</v>
      </c>
      <c r="F1017" s="5" t="n">
        <f aca="false">IFERROR(__xludf.dummyfunction("""COMPUTED_VALUE"""),26197507)</f>
        <v>26197507</v>
      </c>
    </row>
    <row r="1018" customFormat="false" ht="15.75" hidden="false" customHeight="false" outlineLevel="0" collapsed="false">
      <c r="A1018" s="6" t="n">
        <f aca="false">IFERROR(__xludf.dummyfunction("""COMPUTED_VALUE"""),45678.6666666667)</f>
        <v>45678.6666666667</v>
      </c>
      <c r="B1018" s="5" t="n">
        <f aca="false">IFERROR(__xludf.dummyfunction("""COMPUTED_VALUE"""),430.2)</f>
        <v>430.2</v>
      </c>
      <c r="C1018" s="5" t="n">
        <f aca="false">IFERROR(__xludf.dummyfunction("""COMPUTED_VALUE"""),430.9)</f>
        <v>430.9</v>
      </c>
      <c r="D1018" s="5" t="n">
        <f aca="false">IFERROR(__xludf.dummyfunction("""COMPUTED_VALUE"""),425.6)</f>
        <v>425.6</v>
      </c>
      <c r="E1018" s="5" t="n">
        <f aca="false">IFERROR(__xludf.dummyfunction("""COMPUTED_VALUE"""),428.5)</f>
        <v>428.5</v>
      </c>
      <c r="F1018" s="5" t="n">
        <f aca="false">IFERROR(__xludf.dummyfunction("""COMPUTED_VALUE"""),26085703)</f>
        <v>26085703</v>
      </c>
    </row>
    <row r="1019" customFormat="false" ht="15.75" hidden="false" customHeight="false" outlineLevel="0" collapsed="false">
      <c r="A1019" s="6" t="n">
        <f aca="false">IFERROR(__xludf.dummyfunction("""COMPUTED_VALUE"""),45679.6666666667)</f>
        <v>45679.6666666667</v>
      </c>
      <c r="B1019" s="5" t="n">
        <f aca="false">IFERROR(__xludf.dummyfunction("""COMPUTED_VALUE"""),437.56)</f>
        <v>437.56</v>
      </c>
      <c r="C1019" s="5" t="n">
        <f aca="false">IFERROR(__xludf.dummyfunction("""COMPUTED_VALUE"""),447.27)</f>
        <v>447.27</v>
      </c>
      <c r="D1019" s="5" t="n">
        <f aca="false">IFERROR(__xludf.dummyfunction("""COMPUTED_VALUE"""),436)</f>
        <v>436</v>
      </c>
      <c r="E1019" s="5" t="n">
        <f aca="false">IFERROR(__xludf.dummyfunction("""COMPUTED_VALUE"""),446.2)</f>
        <v>446.2</v>
      </c>
      <c r="F1019" s="5" t="n">
        <f aca="false">IFERROR(__xludf.dummyfunction("""COMPUTED_VALUE"""),27803811)</f>
        <v>27803811</v>
      </c>
    </row>
    <row r="1020" customFormat="false" ht="15.75" hidden="false" customHeight="false" outlineLevel="0" collapsed="false">
      <c r="A1020" s="6" t="n">
        <f aca="false">IFERROR(__xludf.dummyfunction("""COMPUTED_VALUE"""),45680.6666666667)</f>
        <v>45680.6666666667</v>
      </c>
      <c r="B1020" s="5" t="n">
        <f aca="false">IFERROR(__xludf.dummyfunction("""COMPUTED_VALUE"""),442)</f>
        <v>442</v>
      </c>
      <c r="C1020" s="5" t="n">
        <f aca="false">IFERROR(__xludf.dummyfunction("""COMPUTED_VALUE"""),446.75)</f>
        <v>446.75</v>
      </c>
      <c r="D1020" s="5" t="n">
        <f aca="false">IFERROR(__xludf.dummyfunction("""COMPUTED_VALUE"""),441.5)</f>
        <v>441.5</v>
      </c>
      <c r="E1020" s="5" t="n">
        <f aca="false">IFERROR(__xludf.dummyfunction("""COMPUTED_VALUE"""),446.71)</f>
        <v>446.71</v>
      </c>
      <c r="F1020" s="5" t="n">
        <f aca="false">IFERROR(__xludf.dummyfunction("""COMPUTED_VALUE"""),18389270)</f>
        <v>18389270</v>
      </c>
    </row>
    <row r="1021" customFormat="false" ht="15.75" hidden="false" customHeight="false" outlineLevel="0" collapsed="false">
      <c r="A1021" s="6" t="n">
        <f aca="false">IFERROR(__xludf.dummyfunction("""COMPUTED_VALUE"""),45681.6666666667)</f>
        <v>45681.6666666667</v>
      </c>
      <c r="B1021" s="5" t="n">
        <f aca="false">IFERROR(__xludf.dummyfunction("""COMPUTED_VALUE"""),445.16)</f>
        <v>445.16</v>
      </c>
      <c r="C1021" s="5" t="n">
        <f aca="false">IFERROR(__xludf.dummyfunction("""COMPUTED_VALUE"""),446.65)</f>
        <v>446.65</v>
      </c>
      <c r="D1021" s="5" t="n">
        <f aca="false">IFERROR(__xludf.dummyfunction("""COMPUTED_VALUE"""),441.4)</f>
        <v>441.4</v>
      </c>
      <c r="E1021" s="5" t="n">
        <f aca="false">IFERROR(__xludf.dummyfunction("""COMPUTED_VALUE"""),444.06)</f>
        <v>444.06</v>
      </c>
      <c r="F1021" s="5" t="n">
        <f aca="false">IFERROR(__xludf.dummyfunction("""COMPUTED_VALUE"""),15549453)</f>
        <v>15549453</v>
      </c>
    </row>
    <row r="1022" customFormat="false" ht="15.75" hidden="false" customHeight="false" outlineLevel="0" collapsed="false">
      <c r="A1022" s="6" t="n">
        <f aca="false">IFERROR(__xludf.dummyfunction("""COMPUTED_VALUE"""),45684.6666666667)</f>
        <v>45684.6666666667</v>
      </c>
      <c r="B1022" s="5" t="n">
        <f aca="false">IFERROR(__xludf.dummyfunction("""COMPUTED_VALUE"""),424.01)</f>
        <v>424.01</v>
      </c>
      <c r="C1022" s="5" t="n">
        <f aca="false">IFERROR(__xludf.dummyfunction("""COMPUTED_VALUE"""),435.2)</f>
        <v>435.2</v>
      </c>
      <c r="D1022" s="5" t="n">
        <f aca="false">IFERROR(__xludf.dummyfunction("""COMPUTED_VALUE"""),423.5)</f>
        <v>423.5</v>
      </c>
      <c r="E1022" s="5" t="n">
        <f aca="false">IFERROR(__xludf.dummyfunction("""COMPUTED_VALUE"""),434.56)</f>
        <v>434.56</v>
      </c>
      <c r="F1022" s="5" t="n">
        <f aca="false">IFERROR(__xludf.dummyfunction("""COMPUTED_VALUE"""),35647805)</f>
        <v>35647805</v>
      </c>
    </row>
    <row r="1023" customFormat="false" ht="15.75" hidden="false" customHeight="false" outlineLevel="0" collapsed="false">
      <c r="A1023" s="6" t="n">
        <f aca="false">IFERROR(__xludf.dummyfunction("""COMPUTED_VALUE"""),45685.6666666667)</f>
        <v>45685.6666666667</v>
      </c>
      <c r="B1023" s="5" t="n">
        <f aca="false">IFERROR(__xludf.dummyfunction("""COMPUTED_VALUE"""),434.6)</f>
        <v>434.6</v>
      </c>
      <c r="C1023" s="5" t="n">
        <f aca="false">IFERROR(__xludf.dummyfunction("""COMPUTED_VALUE"""),448.38)</f>
        <v>448.38</v>
      </c>
      <c r="D1023" s="5" t="n">
        <f aca="false">IFERROR(__xludf.dummyfunction("""COMPUTED_VALUE"""),431.38)</f>
        <v>431.38</v>
      </c>
      <c r="E1023" s="5" t="n">
        <f aca="false">IFERROR(__xludf.dummyfunction("""COMPUTED_VALUE"""),447.2)</f>
        <v>447.2</v>
      </c>
      <c r="F1023" s="5" t="n">
        <f aca="false">IFERROR(__xludf.dummyfunction("""COMPUTED_VALUE"""),23491703)</f>
        <v>23491703</v>
      </c>
    </row>
    <row r="1024" customFormat="false" ht="15.75" hidden="false" customHeight="false" outlineLevel="0" collapsed="false">
      <c r="A1024" s="6" t="n">
        <f aca="false">IFERROR(__xludf.dummyfunction("""COMPUTED_VALUE"""),45686.6666666667)</f>
        <v>45686.6666666667</v>
      </c>
      <c r="B1024" s="5" t="n">
        <f aca="false">IFERROR(__xludf.dummyfunction("""COMPUTED_VALUE"""),446.69)</f>
        <v>446.69</v>
      </c>
      <c r="C1024" s="5" t="n">
        <f aca="false">IFERROR(__xludf.dummyfunction("""COMPUTED_VALUE"""),446.88)</f>
        <v>446.88</v>
      </c>
      <c r="D1024" s="5" t="n">
        <f aca="false">IFERROR(__xludf.dummyfunction("""COMPUTED_VALUE"""),440.4)</f>
        <v>440.4</v>
      </c>
      <c r="E1024" s="5" t="n">
        <f aca="false">IFERROR(__xludf.dummyfunction("""COMPUTED_VALUE"""),442.33)</f>
        <v>442.33</v>
      </c>
      <c r="F1024" s="5" t="n">
        <f aca="false">IFERROR(__xludf.dummyfunction("""COMPUTED_VALUE"""),23581370)</f>
        <v>23581370</v>
      </c>
    </row>
    <row r="1025" customFormat="false" ht="15.75" hidden="false" customHeight="false" outlineLevel="0" collapsed="false">
      <c r="A1025" s="6" t="n">
        <f aca="false">IFERROR(__xludf.dummyfunction("""COMPUTED_VALUE"""),45687.6666666667)</f>
        <v>45687.6666666667</v>
      </c>
      <c r="B1025" s="5" t="n">
        <f aca="false">IFERROR(__xludf.dummyfunction("""COMPUTED_VALUE"""),418.77)</f>
        <v>418.77</v>
      </c>
      <c r="C1025" s="5" t="n">
        <f aca="false">IFERROR(__xludf.dummyfunction("""COMPUTED_VALUE"""),422.86)</f>
        <v>422.86</v>
      </c>
      <c r="D1025" s="5" t="n">
        <f aca="false">IFERROR(__xludf.dummyfunction("""COMPUTED_VALUE"""),413.16)</f>
        <v>413.16</v>
      </c>
      <c r="E1025" s="5" t="n">
        <f aca="false">IFERROR(__xludf.dummyfunction("""COMPUTED_VALUE"""),414.99)</f>
        <v>414.99</v>
      </c>
      <c r="F1025" s="5" t="n">
        <f aca="false">IFERROR(__xludf.dummyfunction("""COMPUTED_VALUE"""),54586260)</f>
        <v>54586260</v>
      </c>
    </row>
    <row r="1026" customFormat="false" ht="15.75" hidden="false" customHeight="false" outlineLevel="0" collapsed="false">
      <c r="A1026" s="6" t="n">
        <f aca="false">IFERROR(__xludf.dummyfunction("""COMPUTED_VALUE"""),45688.6666666667)</f>
        <v>45688.6666666667</v>
      </c>
      <c r="B1026" s="5" t="n">
        <f aca="false">IFERROR(__xludf.dummyfunction("""COMPUTED_VALUE"""),418.98)</f>
        <v>418.98</v>
      </c>
      <c r="C1026" s="5" t="n">
        <f aca="false">IFERROR(__xludf.dummyfunction("""COMPUTED_VALUE"""),420.69)</f>
        <v>420.69</v>
      </c>
      <c r="D1026" s="5" t="n">
        <f aca="false">IFERROR(__xludf.dummyfunction("""COMPUTED_VALUE"""),414.91)</f>
        <v>414.91</v>
      </c>
      <c r="E1026" s="5" t="n">
        <f aca="false">IFERROR(__xludf.dummyfunction("""COMPUTED_VALUE"""),415.06)</f>
        <v>415.06</v>
      </c>
      <c r="F1026" s="5" t="n">
        <f aca="false">IFERROR(__xludf.dummyfunction("""COMPUTED_VALUE"""),34223388)</f>
        <v>34223388</v>
      </c>
    </row>
    <row r="1027" customFormat="false" ht="15.75" hidden="false" customHeight="false" outlineLevel="0" collapsed="false">
      <c r="A1027" s="6" t="n">
        <f aca="false">IFERROR(__xludf.dummyfunction("""COMPUTED_VALUE"""),45691.6666666667)</f>
        <v>45691.6666666667</v>
      </c>
      <c r="B1027" s="5" t="n">
        <f aca="false">IFERROR(__xludf.dummyfunction("""COMPUTED_VALUE"""),411.6)</f>
        <v>411.6</v>
      </c>
      <c r="C1027" s="5" t="n">
        <f aca="false">IFERROR(__xludf.dummyfunction("""COMPUTED_VALUE"""),415.41)</f>
        <v>415.41</v>
      </c>
      <c r="D1027" s="5" t="n">
        <f aca="false">IFERROR(__xludf.dummyfunction("""COMPUTED_VALUE"""),408.66)</f>
        <v>408.66</v>
      </c>
      <c r="E1027" s="5" t="n">
        <f aca="false">IFERROR(__xludf.dummyfunction("""COMPUTED_VALUE"""),410.92)</f>
        <v>410.92</v>
      </c>
      <c r="F1027" s="5" t="n">
        <f aca="false">IFERROR(__xludf.dummyfunction("""COMPUTED_VALUE"""),25679149)</f>
        <v>25679149</v>
      </c>
    </row>
    <row r="1028" customFormat="false" ht="15.75" hidden="false" customHeight="false" outlineLevel="0" collapsed="false">
      <c r="A1028" s="6" t="n">
        <f aca="false">IFERROR(__xludf.dummyfunction("""COMPUTED_VALUE"""),45692.6666666667)</f>
        <v>45692.6666666667</v>
      </c>
      <c r="B1028" s="5" t="n">
        <f aca="false">IFERROR(__xludf.dummyfunction("""COMPUTED_VALUE"""),412.69)</f>
        <v>412.69</v>
      </c>
      <c r="C1028" s="5" t="n">
        <f aca="false">IFERROR(__xludf.dummyfunction("""COMPUTED_VALUE"""),413.92)</f>
        <v>413.92</v>
      </c>
      <c r="D1028" s="5" t="n">
        <f aca="false">IFERROR(__xludf.dummyfunction("""COMPUTED_VALUE"""),409.74)</f>
        <v>409.74</v>
      </c>
      <c r="E1028" s="5" t="n">
        <f aca="false">IFERROR(__xludf.dummyfunction("""COMPUTED_VALUE"""),412.37)</f>
        <v>412.37</v>
      </c>
      <c r="F1028" s="5" t="n">
        <f aca="false">IFERROR(__xludf.dummyfunction("""COMPUTED_VALUE"""),20532096)</f>
        <v>20532096</v>
      </c>
    </row>
    <row r="1029" customFormat="false" ht="15.75" hidden="false" customHeight="false" outlineLevel="0" collapsed="false">
      <c r="A1029" s="6" t="n">
        <f aca="false">IFERROR(__xludf.dummyfunction("""COMPUTED_VALUE"""),45693.6666666667)</f>
        <v>45693.6666666667</v>
      </c>
      <c r="B1029" s="5" t="n">
        <f aca="false">IFERROR(__xludf.dummyfunction("""COMPUTED_VALUE"""),412.35)</f>
        <v>412.35</v>
      </c>
      <c r="C1029" s="5" t="n">
        <f aca="false">IFERROR(__xludf.dummyfunction("""COMPUTED_VALUE"""),413.83)</f>
        <v>413.83</v>
      </c>
      <c r="D1029" s="5" t="n">
        <f aca="false">IFERROR(__xludf.dummyfunction("""COMPUTED_VALUE"""),410.4)</f>
        <v>410.4</v>
      </c>
      <c r="E1029" s="5" t="n">
        <f aca="false">IFERROR(__xludf.dummyfunction("""COMPUTED_VALUE"""),413.29)</f>
        <v>413.29</v>
      </c>
      <c r="F1029" s="5" t="n">
        <f aca="false">IFERROR(__xludf.dummyfunction("""COMPUTED_VALUE"""),16336188)</f>
        <v>16336188</v>
      </c>
    </row>
    <row r="1030" customFormat="false" ht="15.75" hidden="false" customHeight="false" outlineLevel="0" collapsed="false">
      <c r="A1030" s="6" t="n">
        <f aca="false">IFERROR(__xludf.dummyfunction("""COMPUTED_VALUE"""),45694.6666666667)</f>
        <v>45694.6666666667</v>
      </c>
      <c r="B1030" s="5" t="n">
        <f aca="false">IFERROR(__xludf.dummyfunction("""COMPUTED_VALUE"""),414)</f>
        <v>414</v>
      </c>
      <c r="C1030" s="5" t="n">
        <f aca="false">IFERROR(__xludf.dummyfunction("""COMPUTED_VALUE"""),418.2)</f>
        <v>418.2</v>
      </c>
      <c r="D1030" s="5" t="n">
        <f aca="false">IFERROR(__xludf.dummyfunction("""COMPUTED_VALUE"""),414)</f>
        <v>414</v>
      </c>
      <c r="E1030" s="5" t="n">
        <f aca="false">IFERROR(__xludf.dummyfunction("""COMPUTED_VALUE"""),415.82)</f>
        <v>415.82</v>
      </c>
      <c r="F1030" s="5" t="n">
        <f aca="false">IFERROR(__xludf.dummyfunction("""COMPUTED_VALUE"""),16309755)</f>
        <v>16309755</v>
      </c>
    </row>
    <row r="1031" customFormat="false" ht="15.75" hidden="false" customHeight="false" outlineLevel="0" collapsed="false">
      <c r="A1031" s="6" t="n">
        <f aca="false">IFERROR(__xludf.dummyfunction("""COMPUTED_VALUE"""),45695.6666666667)</f>
        <v>45695.6666666667</v>
      </c>
      <c r="B1031" s="5" t="n">
        <f aca="false">IFERROR(__xludf.dummyfunction("""COMPUTED_VALUE"""),416.48)</f>
        <v>416.48</v>
      </c>
      <c r="C1031" s="5" t="n">
        <f aca="false">IFERROR(__xludf.dummyfunction("""COMPUTED_VALUE"""),418.65)</f>
        <v>418.65</v>
      </c>
      <c r="D1031" s="5" t="n">
        <f aca="false">IFERROR(__xludf.dummyfunction("""COMPUTED_VALUE"""),408.1)</f>
        <v>408.1</v>
      </c>
      <c r="E1031" s="5" t="n">
        <f aca="false">IFERROR(__xludf.dummyfunction("""COMPUTED_VALUE"""),409.75)</f>
        <v>409.75</v>
      </c>
      <c r="F1031" s="5" t="n">
        <f aca="false">IFERROR(__xludf.dummyfunction("""COMPUTED_VALUE"""),22886844)</f>
        <v>22886844</v>
      </c>
    </row>
    <row r="1032" customFormat="false" ht="15.75" hidden="false" customHeight="false" outlineLevel="0" collapsed="false">
      <c r="A1032" s="6" t="n">
        <f aca="false">IFERROR(__xludf.dummyfunction("""COMPUTED_VALUE"""),45698.6666666667)</f>
        <v>45698.6666666667</v>
      </c>
      <c r="B1032" s="5" t="n">
        <f aca="false">IFERROR(__xludf.dummyfunction("""COMPUTED_VALUE"""),413.71)</f>
        <v>413.71</v>
      </c>
      <c r="C1032" s="5" t="n">
        <f aca="false">IFERROR(__xludf.dummyfunction("""COMPUTED_VALUE"""),415.46)</f>
        <v>415.46</v>
      </c>
      <c r="D1032" s="5" t="n">
        <f aca="false">IFERROR(__xludf.dummyfunction("""COMPUTED_VALUE"""),410.92)</f>
        <v>410.92</v>
      </c>
      <c r="E1032" s="5" t="n">
        <f aca="false">IFERROR(__xludf.dummyfunction("""COMPUTED_VALUE"""),412.22)</f>
        <v>412.22</v>
      </c>
      <c r="F1032" s="5" t="n">
        <f aca="false">IFERROR(__xludf.dummyfunction("""COMPUTED_VALUE"""),20817919)</f>
        <v>20817919</v>
      </c>
    </row>
    <row r="1033" customFormat="false" ht="15.75" hidden="false" customHeight="false" outlineLevel="0" collapsed="false">
      <c r="A1033" s="6" t="n">
        <f aca="false">IFERROR(__xludf.dummyfunction("""COMPUTED_VALUE"""),45699.6666666667)</f>
        <v>45699.6666666667</v>
      </c>
      <c r="B1033" s="5" t="n">
        <f aca="false">IFERROR(__xludf.dummyfunction("""COMPUTED_VALUE"""),409.64)</f>
        <v>409.64</v>
      </c>
      <c r="C1033" s="5" t="n">
        <f aca="false">IFERROR(__xludf.dummyfunction("""COMPUTED_VALUE"""),412.49)</f>
        <v>412.49</v>
      </c>
      <c r="D1033" s="5" t="n">
        <f aca="false">IFERROR(__xludf.dummyfunction("""COMPUTED_VALUE"""),409.3)</f>
        <v>409.3</v>
      </c>
      <c r="E1033" s="5" t="n">
        <f aca="false">IFERROR(__xludf.dummyfunction("""COMPUTED_VALUE"""),411.44)</f>
        <v>411.44</v>
      </c>
      <c r="F1033" s="5" t="n">
        <f aca="false">IFERROR(__xludf.dummyfunction("""COMPUTED_VALUE"""),18140592)</f>
        <v>18140592</v>
      </c>
    </row>
    <row r="1034" customFormat="false" ht="15.75" hidden="false" customHeight="false" outlineLevel="0" collapsed="false">
      <c r="A1034" s="6" t="n">
        <f aca="false">IFERROR(__xludf.dummyfunction("""COMPUTED_VALUE"""),45700.6666666667)</f>
        <v>45700.6666666667</v>
      </c>
      <c r="B1034" s="5" t="n">
        <f aca="false">IFERROR(__xludf.dummyfunction("""COMPUTED_VALUE"""),407.21)</f>
        <v>407.21</v>
      </c>
      <c r="C1034" s="5" t="n">
        <f aca="false">IFERROR(__xludf.dummyfunction("""COMPUTED_VALUE"""),410.75)</f>
        <v>410.75</v>
      </c>
      <c r="D1034" s="5" t="n">
        <f aca="false">IFERROR(__xludf.dummyfunction("""COMPUTED_VALUE"""),404.37)</f>
        <v>404.37</v>
      </c>
      <c r="E1034" s="5" t="n">
        <f aca="false">IFERROR(__xludf.dummyfunction("""COMPUTED_VALUE"""),409.04)</f>
        <v>409.04</v>
      </c>
      <c r="F1034" s="5" t="n">
        <f aca="false">IFERROR(__xludf.dummyfunction("""COMPUTED_VALUE"""),19121734)</f>
        <v>19121734</v>
      </c>
    </row>
    <row r="1035" customFormat="false" ht="15.75" hidden="false" customHeight="false" outlineLevel="0" collapsed="false">
      <c r="A1035" s="6" t="n">
        <f aca="false">IFERROR(__xludf.dummyfunction("""COMPUTED_VALUE"""),45701.6666666667)</f>
        <v>45701.6666666667</v>
      </c>
      <c r="B1035" s="5" t="n">
        <f aca="false">IFERROR(__xludf.dummyfunction("""COMPUTED_VALUE"""),407)</f>
        <v>407</v>
      </c>
      <c r="C1035" s="5" t="n">
        <f aca="false">IFERROR(__xludf.dummyfunction("""COMPUTED_VALUE"""),411)</f>
        <v>411</v>
      </c>
      <c r="D1035" s="5" t="n">
        <f aca="false">IFERROR(__xludf.dummyfunction("""COMPUTED_VALUE"""),406.36)</f>
        <v>406.36</v>
      </c>
      <c r="E1035" s="5" t="n">
        <f aca="false">IFERROR(__xludf.dummyfunction("""COMPUTED_VALUE"""),410.54)</f>
        <v>410.54</v>
      </c>
      <c r="F1035" s="5" t="n">
        <f aca="false">IFERROR(__xludf.dummyfunction("""COMPUTED_VALUE"""),23891731)</f>
        <v>23891731</v>
      </c>
    </row>
    <row r="1036" customFormat="false" ht="15.75" hidden="false" customHeight="false" outlineLevel="0" collapsed="false">
      <c r="A1036" s="6" t="n">
        <f aca="false">IFERROR(__xludf.dummyfunction("""COMPUTED_VALUE"""),45702.6666666667)</f>
        <v>45702.6666666667</v>
      </c>
      <c r="B1036" s="5" t="n">
        <f aca="false">IFERROR(__xludf.dummyfunction("""COMPUTED_VALUE"""),407.79)</f>
        <v>407.79</v>
      </c>
      <c r="C1036" s="5" t="n">
        <f aca="false">IFERROR(__xludf.dummyfunction("""COMPUTED_VALUE"""),408.91)</f>
        <v>408.91</v>
      </c>
      <c r="D1036" s="5" t="n">
        <f aca="false">IFERROR(__xludf.dummyfunction("""COMPUTED_VALUE"""),405.88)</f>
        <v>405.88</v>
      </c>
      <c r="E1036" s="5" t="n">
        <f aca="false">IFERROR(__xludf.dummyfunction("""COMPUTED_VALUE"""),408.43)</f>
        <v>408.43</v>
      </c>
      <c r="F1036" s="5" t="n">
        <f aca="false">IFERROR(__xludf.dummyfunction("""COMPUTED_VALUE"""),22758464)</f>
        <v>22758464</v>
      </c>
    </row>
    <row r="1037" customFormat="false" ht="15.75" hidden="false" customHeight="false" outlineLevel="0" collapsed="false">
      <c r="A1037" s="6" t="n">
        <f aca="false">IFERROR(__xludf.dummyfunction("""COMPUTED_VALUE"""),45706.6666666667)</f>
        <v>45706.6666666667</v>
      </c>
      <c r="B1037" s="5" t="n">
        <f aca="false">IFERROR(__xludf.dummyfunction("""COMPUTED_VALUE"""),408)</f>
        <v>408</v>
      </c>
      <c r="C1037" s="5" t="n">
        <f aca="false">IFERROR(__xludf.dummyfunction("""COMPUTED_VALUE"""),410.6)</f>
        <v>410.6</v>
      </c>
      <c r="D1037" s="5" t="n">
        <f aca="false">IFERROR(__xludf.dummyfunction("""COMPUTED_VALUE"""),406.5)</f>
        <v>406.5</v>
      </c>
      <c r="E1037" s="5" t="n">
        <f aca="false">IFERROR(__xludf.dummyfunction("""COMPUTED_VALUE"""),409.64)</f>
        <v>409.64</v>
      </c>
      <c r="F1037" s="5" t="n">
        <f aca="false">IFERROR(__xludf.dummyfunction("""COMPUTED_VALUE"""),21423051)</f>
        <v>21423051</v>
      </c>
    </row>
    <row r="1038" customFormat="false" ht="15.75" hidden="false" customHeight="false" outlineLevel="0" collapsed="false">
      <c r="A1038" s="6" t="n">
        <f aca="false">IFERROR(__xludf.dummyfunction("""COMPUTED_VALUE"""),45707.6666666667)</f>
        <v>45707.6666666667</v>
      </c>
      <c r="B1038" s="5" t="n">
        <f aca="false">IFERROR(__xludf.dummyfunction("""COMPUTED_VALUE"""),407.88)</f>
        <v>407.88</v>
      </c>
      <c r="C1038" s="5" t="n">
        <f aca="false">IFERROR(__xludf.dummyfunction("""COMPUTED_VALUE"""),415.49)</f>
        <v>415.49</v>
      </c>
      <c r="D1038" s="5" t="n">
        <f aca="false">IFERROR(__xludf.dummyfunction("""COMPUTED_VALUE"""),407.65)</f>
        <v>407.65</v>
      </c>
      <c r="E1038" s="5" t="n">
        <f aca="false">IFERROR(__xludf.dummyfunction("""COMPUTED_VALUE"""),414.77)</f>
        <v>414.77</v>
      </c>
      <c r="F1038" s="5" t="n">
        <f aca="false">IFERROR(__xludf.dummyfunction("""COMPUTED_VALUE"""),24114197)</f>
        <v>24114197</v>
      </c>
    </row>
    <row r="1039" customFormat="false" ht="15.75" hidden="false" customHeight="false" outlineLevel="0" collapsed="false">
      <c r="A1039" s="6" t="n">
        <f aca="false">IFERROR(__xludf.dummyfunction("""COMPUTED_VALUE"""),45708.6666666667)</f>
        <v>45708.6666666667</v>
      </c>
      <c r="B1039" s="5" t="n">
        <f aca="false">IFERROR(__xludf.dummyfunction("""COMPUTED_VALUE"""),415.29)</f>
        <v>415.29</v>
      </c>
      <c r="C1039" s="5" t="n">
        <f aca="false">IFERROR(__xludf.dummyfunction("""COMPUTED_VALUE"""),419.31)</f>
        <v>419.31</v>
      </c>
      <c r="D1039" s="5" t="n">
        <f aca="false">IFERROR(__xludf.dummyfunction("""COMPUTED_VALUE"""),412.54)</f>
        <v>412.54</v>
      </c>
      <c r="E1039" s="5" t="n">
        <f aca="false">IFERROR(__xludf.dummyfunction("""COMPUTED_VALUE"""),416.13)</f>
        <v>416.13</v>
      </c>
      <c r="F1039" s="5" t="n">
        <f aca="false">IFERROR(__xludf.dummyfunction("""COMPUTED_VALUE"""),23508728)</f>
        <v>23508728</v>
      </c>
    </row>
    <row r="1040" customFormat="false" ht="15.75" hidden="false" customHeight="false" outlineLevel="0" collapsed="false">
      <c r="A1040" s="6" t="n">
        <f aca="false">IFERROR(__xludf.dummyfunction("""COMPUTED_VALUE"""),45709.6666666667)</f>
        <v>45709.6666666667</v>
      </c>
      <c r="B1040" s="5" t="n">
        <f aca="false">IFERROR(__xludf.dummyfunction("""COMPUTED_VALUE"""),417.34)</f>
        <v>417.34</v>
      </c>
      <c r="C1040" s="5" t="n">
        <f aca="false">IFERROR(__xludf.dummyfunction("""COMPUTED_VALUE"""),418.05)</f>
        <v>418.05</v>
      </c>
      <c r="D1040" s="5" t="n">
        <f aca="false">IFERROR(__xludf.dummyfunction("""COMPUTED_VALUE"""),407.89)</f>
        <v>407.89</v>
      </c>
      <c r="E1040" s="5" t="n">
        <f aca="false">IFERROR(__xludf.dummyfunction("""COMPUTED_VALUE"""),408.21)</f>
        <v>408.21</v>
      </c>
      <c r="F1040" s="5" t="n">
        <f aca="false">IFERROR(__xludf.dummyfunction("""COMPUTED_VALUE"""),27524799)</f>
        <v>27524799</v>
      </c>
    </row>
    <row r="1041" customFormat="false" ht="15.75" hidden="false" customHeight="false" outlineLevel="0" collapsed="false">
      <c r="A1041" s="6" t="n">
        <f aca="false">IFERROR(__xludf.dummyfunction("""COMPUTED_VALUE"""),45712.6666666667)</f>
        <v>45712.6666666667</v>
      </c>
      <c r="B1041" s="5" t="n">
        <f aca="false">IFERROR(__xludf.dummyfunction("""COMPUTED_VALUE"""),408.51)</f>
        <v>408.51</v>
      </c>
      <c r="C1041" s="5" t="n">
        <f aca="false">IFERROR(__xludf.dummyfunction("""COMPUTED_VALUE"""),409.37)</f>
        <v>409.37</v>
      </c>
      <c r="D1041" s="5" t="n">
        <f aca="false">IFERROR(__xludf.dummyfunction("""COMPUTED_VALUE"""),399.32)</f>
        <v>399.32</v>
      </c>
      <c r="E1041" s="5" t="n">
        <f aca="false">IFERROR(__xludf.dummyfunction("""COMPUTED_VALUE"""),404)</f>
        <v>404</v>
      </c>
      <c r="F1041" s="5" t="n">
        <f aca="false">IFERROR(__xludf.dummyfunction("""COMPUTED_VALUE"""),26443656)</f>
        <v>26443656</v>
      </c>
    </row>
    <row r="1042" customFormat="false" ht="15.75" hidden="false" customHeight="false" outlineLevel="0" collapsed="false">
      <c r="A1042" s="6" t="n">
        <f aca="false">IFERROR(__xludf.dummyfunction("""COMPUTED_VALUE"""),45713.6666666667)</f>
        <v>45713.6666666667</v>
      </c>
      <c r="B1042" s="5" t="n">
        <f aca="false">IFERROR(__xludf.dummyfunction("""COMPUTED_VALUE"""),401.1)</f>
        <v>401.1</v>
      </c>
      <c r="C1042" s="5" t="n">
        <f aca="false">IFERROR(__xludf.dummyfunction("""COMPUTED_VALUE"""),401.92)</f>
        <v>401.92</v>
      </c>
      <c r="D1042" s="5" t="n">
        <f aca="false">IFERROR(__xludf.dummyfunction("""COMPUTED_VALUE"""),396.7)</f>
        <v>396.7</v>
      </c>
      <c r="E1042" s="5" t="n">
        <f aca="false">IFERROR(__xludf.dummyfunction("""COMPUTED_VALUE"""),397.9)</f>
        <v>397.9</v>
      </c>
      <c r="F1042" s="5" t="n">
        <f aca="false">IFERROR(__xludf.dummyfunction("""COMPUTED_VALUE"""),29387402)</f>
        <v>29387402</v>
      </c>
    </row>
    <row r="1043" customFormat="false" ht="15.75" hidden="false" customHeight="false" outlineLevel="0" collapsed="false">
      <c r="A1043" s="6" t="n">
        <f aca="false">IFERROR(__xludf.dummyfunction("""COMPUTED_VALUE"""),45714.6666666667)</f>
        <v>45714.6666666667</v>
      </c>
      <c r="B1043" s="5" t="n">
        <f aca="false">IFERROR(__xludf.dummyfunction("""COMPUTED_VALUE"""),398.01)</f>
        <v>398.01</v>
      </c>
      <c r="C1043" s="5" t="n">
        <f aca="false">IFERROR(__xludf.dummyfunction("""COMPUTED_VALUE"""),403.6)</f>
        <v>403.6</v>
      </c>
      <c r="D1043" s="5" t="n">
        <f aca="false">IFERROR(__xludf.dummyfunction("""COMPUTED_VALUE"""),394.25)</f>
        <v>394.25</v>
      </c>
      <c r="E1043" s="5" t="n">
        <f aca="false">IFERROR(__xludf.dummyfunction("""COMPUTED_VALUE"""),399.73)</f>
        <v>399.73</v>
      </c>
      <c r="F1043" s="5" t="n">
        <f aca="false">IFERROR(__xludf.dummyfunction("""COMPUTED_VALUE"""),19618954)</f>
        <v>19618954</v>
      </c>
    </row>
    <row r="1044" customFormat="false" ht="15.75" hidden="false" customHeight="false" outlineLevel="0" collapsed="false">
      <c r="A1044" s="6" t="n">
        <f aca="false">IFERROR(__xludf.dummyfunction("""COMPUTED_VALUE"""),45715.6666666667)</f>
        <v>45715.6666666667</v>
      </c>
      <c r="B1044" s="5" t="n">
        <f aca="false">IFERROR(__xludf.dummyfunction("""COMPUTED_VALUE"""),401.27)</f>
        <v>401.27</v>
      </c>
      <c r="C1044" s="5" t="n">
        <f aca="false">IFERROR(__xludf.dummyfunction("""COMPUTED_VALUE"""),405.74)</f>
        <v>405.74</v>
      </c>
      <c r="D1044" s="5" t="n">
        <f aca="false">IFERROR(__xludf.dummyfunction("""COMPUTED_VALUE"""),392.17)</f>
        <v>392.17</v>
      </c>
      <c r="E1044" s="5" t="n">
        <f aca="false">IFERROR(__xludf.dummyfunction("""COMPUTED_VALUE"""),392.53)</f>
        <v>392.53</v>
      </c>
      <c r="F1044" s="5" t="n">
        <f aca="false">IFERROR(__xludf.dummyfunction("""COMPUTED_VALUE"""),21127406)</f>
        <v>21127406</v>
      </c>
    </row>
    <row r="1045" customFormat="false" ht="15.75" hidden="false" customHeight="false" outlineLevel="0" collapsed="false">
      <c r="A1045" s="6" t="n">
        <f aca="false">IFERROR(__xludf.dummyfunction("""COMPUTED_VALUE"""),45716.6666666667)</f>
        <v>45716.6666666667</v>
      </c>
      <c r="B1045" s="5" t="n">
        <f aca="false">IFERROR(__xludf.dummyfunction("""COMPUTED_VALUE"""),392.66)</f>
        <v>392.66</v>
      </c>
      <c r="C1045" s="5" t="n">
        <f aca="false">IFERROR(__xludf.dummyfunction("""COMPUTED_VALUE"""),397.63)</f>
        <v>397.63</v>
      </c>
      <c r="D1045" s="5" t="n">
        <f aca="false">IFERROR(__xludf.dummyfunction("""COMPUTED_VALUE"""),386.57)</f>
        <v>386.57</v>
      </c>
      <c r="E1045" s="5" t="n">
        <f aca="false">IFERROR(__xludf.dummyfunction("""COMPUTED_VALUE"""),396.99)</f>
        <v>396.99</v>
      </c>
      <c r="F1045" s="5" t="n">
        <f aca="false">IFERROR(__xludf.dummyfunction("""COMPUTED_VALUE"""),32845658)</f>
        <v>32845658</v>
      </c>
    </row>
    <row r="1046" customFormat="false" ht="15.75" hidden="false" customHeight="false" outlineLevel="0" collapsed="false">
      <c r="A1046" s="6" t="n">
        <f aca="false">IFERROR(__xludf.dummyfunction("""COMPUTED_VALUE"""),45719.6666666667)</f>
        <v>45719.6666666667</v>
      </c>
      <c r="B1046" s="5" t="n">
        <f aca="false">IFERROR(__xludf.dummyfunction("""COMPUTED_VALUE"""),398.82)</f>
        <v>398.82</v>
      </c>
      <c r="C1046" s="5" t="n">
        <f aca="false">IFERROR(__xludf.dummyfunction("""COMPUTED_VALUE"""),398.82)</f>
        <v>398.82</v>
      </c>
      <c r="D1046" s="5" t="n">
        <f aca="false">IFERROR(__xludf.dummyfunction("""COMPUTED_VALUE"""),386.16)</f>
        <v>386.16</v>
      </c>
      <c r="E1046" s="5" t="n">
        <f aca="false">IFERROR(__xludf.dummyfunction("""COMPUTED_VALUE"""),388.49)</f>
        <v>388.49</v>
      </c>
      <c r="F1046" s="5" t="n">
        <f aca="false">IFERROR(__xludf.dummyfunction("""COMPUTED_VALUE"""),23007726)</f>
        <v>23007726</v>
      </c>
    </row>
    <row r="1047" customFormat="false" ht="15.75" hidden="false" customHeight="false" outlineLevel="0" collapsed="false">
      <c r="A1047" s="6" t="n">
        <f aca="false">IFERROR(__xludf.dummyfunction("""COMPUTED_VALUE"""),45720.6666666667)</f>
        <v>45720.6666666667</v>
      </c>
      <c r="B1047" s="5" t="n">
        <f aca="false">IFERROR(__xludf.dummyfunction("""COMPUTED_VALUE"""),383.4)</f>
        <v>383.4</v>
      </c>
      <c r="C1047" s="5" t="n">
        <f aca="false">IFERROR(__xludf.dummyfunction("""COMPUTED_VALUE"""),392.58)</f>
        <v>392.58</v>
      </c>
      <c r="D1047" s="5" t="n">
        <f aca="false">IFERROR(__xludf.dummyfunction("""COMPUTED_VALUE"""),381)</f>
        <v>381</v>
      </c>
      <c r="E1047" s="5" t="n">
        <f aca="false">IFERROR(__xludf.dummyfunction("""COMPUTED_VALUE"""),388.61)</f>
        <v>388.61</v>
      </c>
      <c r="F1047" s="5" t="n">
        <f aca="false">IFERROR(__xludf.dummyfunction("""COMPUTED_VALUE"""),29342923)</f>
        <v>29342923</v>
      </c>
    </row>
    <row r="1048" customFormat="false" ht="15.75" hidden="false" customHeight="false" outlineLevel="0" collapsed="false">
      <c r="A1048" s="6" t="n">
        <f aca="false">IFERROR(__xludf.dummyfunction("""COMPUTED_VALUE"""),45721.6666666667)</f>
        <v>45721.6666666667</v>
      </c>
      <c r="B1048" s="5" t="n">
        <f aca="false">IFERROR(__xludf.dummyfunction("""COMPUTED_VALUE"""),389.34)</f>
        <v>389.34</v>
      </c>
      <c r="C1048" s="5" t="n">
        <f aca="false">IFERROR(__xludf.dummyfunction("""COMPUTED_VALUE"""),401.67)</f>
        <v>401.67</v>
      </c>
      <c r="D1048" s="5" t="n">
        <f aca="false">IFERROR(__xludf.dummyfunction("""COMPUTED_VALUE"""),388.81)</f>
        <v>388.81</v>
      </c>
      <c r="E1048" s="5" t="n">
        <f aca="false">IFERROR(__xludf.dummyfunction("""COMPUTED_VALUE"""),401.02)</f>
        <v>401.02</v>
      </c>
      <c r="F1048" s="5" t="n">
        <f aca="false">IFERROR(__xludf.dummyfunction("""COMPUTED_VALUE"""),23433132)</f>
        <v>23433132</v>
      </c>
    </row>
    <row r="1049" customFormat="false" ht="15.75" hidden="false" customHeight="false" outlineLevel="0" collapsed="false">
      <c r="A1049" s="6" t="n">
        <f aca="false">IFERROR(__xludf.dummyfunction("""COMPUTED_VALUE"""),45722.6666666667)</f>
        <v>45722.6666666667</v>
      </c>
      <c r="B1049" s="5" t="n">
        <f aca="false">IFERROR(__xludf.dummyfunction("""COMPUTED_VALUE"""),394.28)</f>
        <v>394.28</v>
      </c>
      <c r="C1049" s="5" t="n">
        <f aca="false">IFERROR(__xludf.dummyfunction("""COMPUTED_VALUE"""),402.15)</f>
        <v>402.15</v>
      </c>
      <c r="D1049" s="5" t="n">
        <f aca="false">IFERROR(__xludf.dummyfunction("""COMPUTED_VALUE"""),392.68)</f>
        <v>392.68</v>
      </c>
      <c r="E1049" s="5" t="n">
        <f aca="false">IFERROR(__xludf.dummyfunction("""COMPUTED_VALUE"""),396.89)</f>
        <v>396.89</v>
      </c>
      <c r="F1049" s="5" t="n">
        <f aca="false">IFERROR(__xludf.dummyfunction("""COMPUTED_VALUE"""),23304625)</f>
        <v>23304625</v>
      </c>
    </row>
    <row r="1050" customFormat="false" ht="15.75" hidden="false" customHeight="false" outlineLevel="0" collapsed="false">
      <c r="A1050" s="6" t="n">
        <f aca="false">IFERROR(__xludf.dummyfunction("""COMPUTED_VALUE"""),45723.6666666667)</f>
        <v>45723.6666666667</v>
      </c>
      <c r="B1050" s="5" t="n">
        <f aca="false">IFERROR(__xludf.dummyfunction("""COMPUTED_VALUE"""),392.32)</f>
        <v>392.32</v>
      </c>
      <c r="C1050" s="5" t="n">
        <f aca="false">IFERROR(__xludf.dummyfunction("""COMPUTED_VALUE"""),394.8)</f>
        <v>394.8</v>
      </c>
      <c r="D1050" s="5" t="n">
        <f aca="false">IFERROR(__xludf.dummyfunction("""COMPUTED_VALUE"""),385.54)</f>
        <v>385.54</v>
      </c>
      <c r="E1050" s="5" t="n">
        <f aca="false">IFERROR(__xludf.dummyfunction("""COMPUTED_VALUE"""),393.31)</f>
        <v>393.31</v>
      </c>
      <c r="F1050" s="5" t="n">
        <f aca="false">IFERROR(__xludf.dummyfunction("""COMPUTED_VALUE"""),22034087)</f>
        <v>22034087</v>
      </c>
    </row>
    <row r="1051" customFormat="false" ht="15.75" hidden="false" customHeight="false" outlineLevel="0" collapsed="false">
      <c r="A1051" s="6" t="n">
        <f aca="false">IFERROR(__xludf.dummyfunction("""COMPUTED_VALUE"""),45726.6666666667)</f>
        <v>45726.6666666667</v>
      </c>
      <c r="B1051" s="5" t="n">
        <f aca="false">IFERROR(__xludf.dummyfunction("""COMPUTED_VALUE"""),385.84)</f>
        <v>385.84</v>
      </c>
      <c r="C1051" s="5" t="n">
        <f aca="false">IFERROR(__xludf.dummyfunction("""COMPUTED_VALUE"""),386.4)</f>
        <v>386.4</v>
      </c>
      <c r="D1051" s="5" t="n">
        <f aca="false">IFERROR(__xludf.dummyfunction("""COMPUTED_VALUE"""),377.22)</f>
        <v>377.22</v>
      </c>
      <c r="E1051" s="5" t="n">
        <f aca="false">IFERROR(__xludf.dummyfunction("""COMPUTED_VALUE"""),380.16)</f>
        <v>380.16</v>
      </c>
      <c r="F1051" s="5" t="n">
        <f aca="false">IFERROR(__xludf.dummyfunction("""COMPUTED_VALUE"""),32840134)</f>
        <v>32840134</v>
      </c>
    </row>
    <row r="1052" customFormat="false" ht="15.75" hidden="false" customHeight="false" outlineLevel="0" collapsed="false">
      <c r="A1052" s="6" t="n">
        <f aca="false">IFERROR(__xludf.dummyfunction("""COMPUTED_VALUE"""),45727.6666666667)</f>
        <v>45727.6666666667</v>
      </c>
      <c r="B1052" s="5" t="n">
        <f aca="false">IFERROR(__xludf.dummyfunction("""COMPUTED_VALUE"""),379)</f>
        <v>379</v>
      </c>
      <c r="C1052" s="5" t="n">
        <f aca="false">IFERROR(__xludf.dummyfunction("""COMPUTED_VALUE"""),386)</f>
        <v>386</v>
      </c>
      <c r="D1052" s="5" t="n">
        <f aca="false">IFERROR(__xludf.dummyfunction("""COMPUTED_VALUE"""),376.91)</f>
        <v>376.91</v>
      </c>
      <c r="E1052" s="5" t="n">
        <f aca="false">IFERROR(__xludf.dummyfunction("""COMPUTED_VALUE"""),380.45)</f>
        <v>380.45</v>
      </c>
      <c r="F1052" s="5" t="n">
        <f aca="false">IFERROR(__xludf.dummyfunction("""COMPUTED_VALUE"""),30380177)</f>
        <v>30380177</v>
      </c>
    </row>
    <row r="1053" customFormat="false" ht="15.75" hidden="false" customHeight="false" outlineLevel="0" collapsed="false">
      <c r="A1053" s="6" t="n">
        <f aca="false">IFERROR(__xludf.dummyfunction("""COMPUTED_VALUE"""),45728.6666666667)</f>
        <v>45728.6666666667</v>
      </c>
      <c r="B1053" s="5" t="n">
        <f aca="false">IFERROR(__xludf.dummyfunction("""COMPUTED_VALUE"""),382.95)</f>
        <v>382.95</v>
      </c>
      <c r="C1053" s="5" t="n">
        <f aca="false">IFERROR(__xludf.dummyfunction("""COMPUTED_VALUE"""),385.22)</f>
        <v>385.22</v>
      </c>
      <c r="D1053" s="5" t="n">
        <f aca="false">IFERROR(__xludf.dummyfunction("""COMPUTED_VALUE"""),378.95)</f>
        <v>378.95</v>
      </c>
      <c r="E1053" s="5" t="n">
        <f aca="false">IFERROR(__xludf.dummyfunction("""COMPUTED_VALUE"""),383.27)</f>
        <v>383.27</v>
      </c>
      <c r="F1053" s="5" t="n">
        <f aca="false">IFERROR(__xludf.dummyfunction("""COMPUTED_VALUE"""),24253567)</f>
        <v>24253567</v>
      </c>
    </row>
    <row r="1054" customFormat="false" ht="15.75" hidden="false" customHeight="false" outlineLevel="0" collapsed="false">
      <c r="A1054" s="6" t="n">
        <f aca="false">IFERROR(__xludf.dummyfunction("""COMPUTED_VALUE"""),45729.6666666667)</f>
        <v>45729.6666666667</v>
      </c>
      <c r="B1054" s="5" t="n">
        <f aca="false">IFERROR(__xludf.dummyfunction("""COMPUTED_VALUE"""),383.16)</f>
        <v>383.16</v>
      </c>
      <c r="C1054" s="5" t="n">
        <f aca="false">IFERROR(__xludf.dummyfunction("""COMPUTED_VALUE"""),385.32)</f>
        <v>385.32</v>
      </c>
      <c r="D1054" s="5" t="n">
        <f aca="false">IFERROR(__xludf.dummyfunction("""COMPUTED_VALUE"""),377.45)</f>
        <v>377.45</v>
      </c>
      <c r="E1054" s="5" t="n">
        <f aca="false">IFERROR(__xludf.dummyfunction("""COMPUTED_VALUE"""),378.77)</f>
        <v>378.77</v>
      </c>
      <c r="F1054" s="5" t="n">
        <f aca="false">IFERROR(__xludf.dummyfunction("""COMPUTED_VALUE"""),20473017)</f>
        <v>20473017</v>
      </c>
    </row>
    <row r="1055" customFormat="false" ht="15.75" hidden="false" customHeight="false" outlineLevel="0" collapsed="false">
      <c r="A1055" s="6" t="n">
        <f aca="false">IFERROR(__xludf.dummyfunction("""COMPUTED_VALUE"""),45730.6666666667)</f>
        <v>45730.6666666667</v>
      </c>
      <c r="B1055" s="5" t="n">
        <f aca="false">IFERROR(__xludf.dummyfunction("""COMPUTED_VALUE"""),379.78)</f>
        <v>379.78</v>
      </c>
      <c r="C1055" s="5" t="n">
        <f aca="false">IFERROR(__xludf.dummyfunction("""COMPUTED_VALUE"""),390.23)</f>
        <v>390.23</v>
      </c>
      <c r="D1055" s="5" t="n">
        <f aca="false">IFERROR(__xludf.dummyfunction("""COMPUTED_VALUE"""),379.51)</f>
        <v>379.51</v>
      </c>
      <c r="E1055" s="5" t="n">
        <f aca="false">IFERROR(__xludf.dummyfunction("""COMPUTED_VALUE"""),388.56)</f>
        <v>388.56</v>
      </c>
      <c r="F1055" s="5" t="n">
        <f aca="false">IFERROR(__xludf.dummyfunction("""COMPUTED_VALUE"""),19952846)</f>
        <v>19952846</v>
      </c>
    </row>
    <row r="1056" customFormat="false" ht="15.75" hidden="false" customHeight="false" outlineLevel="0" collapsed="false">
      <c r="A1056" s="6" t="n">
        <f aca="false">IFERROR(__xludf.dummyfunction("""COMPUTED_VALUE"""),45733.6666666667)</f>
        <v>45733.6666666667</v>
      </c>
      <c r="B1056" s="5" t="n">
        <f aca="false">IFERROR(__xludf.dummyfunction("""COMPUTED_VALUE"""),386.7)</f>
        <v>386.7</v>
      </c>
      <c r="C1056" s="5" t="n">
        <f aca="false">IFERROR(__xludf.dummyfunction("""COMPUTED_VALUE"""),392.71)</f>
        <v>392.71</v>
      </c>
      <c r="D1056" s="5" t="n">
        <f aca="false">IFERROR(__xludf.dummyfunction("""COMPUTED_VALUE"""),385.57)</f>
        <v>385.57</v>
      </c>
      <c r="E1056" s="5" t="n">
        <f aca="false">IFERROR(__xludf.dummyfunction("""COMPUTED_VALUE"""),388.7)</f>
        <v>388.7</v>
      </c>
      <c r="F1056" s="5" t="n">
        <f aca="false">IFERROR(__xludf.dummyfunction("""COMPUTED_VALUE"""),22474272)</f>
        <v>22474272</v>
      </c>
    </row>
    <row r="1057" customFormat="false" ht="15.75" hidden="false" customHeight="false" outlineLevel="0" collapsed="false">
      <c r="A1057" s="6" t="n">
        <f aca="false">IFERROR(__xludf.dummyfunction("""COMPUTED_VALUE"""),45734.6666666667)</f>
        <v>45734.6666666667</v>
      </c>
      <c r="B1057" s="5" t="n">
        <f aca="false">IFERROR(__xludf.dummyfunction("""COMPUTED_VALUE"""),387.07)</f>
        <v>387.07</v>
      </c>
      <c r="C1057" s="5" t="n">
        <f aca="false">IFERROR(__xludf.dummyfunction("""COMPUTED_VALUE"""),387.37)</f>
        <v>387.37</v>
      </c>
      <c r="D1057" s="5" t="n">
        <f aca="false">IFERROR(__xludf.dummyfunction("""COMPUTED_VALUE"""),381.1)</f>
        <v>381.1</v>
      </c>
      <c r="E1057" s="5" t="n">
        <f aca="false">IFERROR(__xludf.dummyfunction("""COMPUTED_VALUE"""),383.52)</f>
        <v>383.52</v>
      </c>
      <c r="F1057" s="5" t="n">
        <f aca="false">IFERROR(__xludf.dummyfunction("""COMPUTED_VALUE"""),19486850)</f>
        <v>19486850</v>
      </c>
    </row>
    <row r="1058" customFormat="false" ht="15.75" hidden="false" customHeight="false" outlineLevel="0" collapsed="false">
      <c r="A1058" s="6" t="n">
        <f aca="false">IFERROR(__xludf.dummyfunction("""COMPUTED_VALUE"""),45735.6666666667)</f>
        <v>45735.6666666667</v>
      </c>
      <c r="B1058" s="5" t="n">
        <f aca="false">IFERROR(__xludf.dummyfunction("""COMPUTED_VALUE"""),385.53)</f>
        <v>385.53</v>
      </c>
      <c r="C1058" s="5" t="n">
        <f aca="false">IFERROR(__xludf.dummyfunction("""COMPUTED_VALUE"""),389.68)</f>
        <v>389.68</v>
      </c>
      <c r="D1058" s="5" t="n">
        <f aca="false">IFERROR(__xludf.dummyfunction("""COMPUTED_VALUE"""),384)</f>
        <v>384</v>
      </c>
      <c r="E1058" s="5" t="n">
        <f aca="false">IFERROR(__xludf.dummyfunction("""COMPUTED_VALUE"""),387.82)</f>
        <v>387.82</v>
      </c>
      <c r="F1058" s="5" t="n">
        <f aca="false">IFERROR(__xludf.dummyfunction("""COMPUTED_VALUE"""),19185532)</f>
        <v>19185532</v>
      </c>
    </row>
    <row r="1059" customFormat="false" ht="15.75" hidden="false" customHeight="false" outlineLevel="0" collapsed="false">
      <c r="A1059" s="6" t="n">
        <f aca="false">IFERROR(__xludf.dummyfunction("""COMPUTED_VALUE"""),45736.6666666667)</f>
        <v>45736.6666666667</v>
      </c>
      <c r="B1059" s="5" t="n">
        <f aca="false">IFERROR(__xludf.dummyfunction("""COMPUTED_VALUE"""),385.74)</f>
        <v>385.74</v>
      </c>
      <c r="C1059" s="5" t="n">
        <f aca="false">IFERROR(__xludf.dummyfunction("""COMPUTED_VALUE"""),391.79)</f>
        <v>391.79</v>
      </c>
      <c r="D1059" s="5" t="n">
        <f aca="false">IFERROR(__xludf.dummyfunction("""COMPUTED_VALUE"""),383.28)</f>
        <v>383.28</v>
      </c>
      <c r="E1059" s="5" t="n">
        <f aca="false">IFERROR(__xludf.dummyfunction("""COMPUTED_VALUE"""),386.84)</f>
        <v>386.84</v>
      </c>
      <c r="F1059" s="5" t="n">
        <f aca="false">IFERROR(__xludf.dummyfunction("""COMPUTED_VALUE"""),18470542)</f>
        <v>18470542</v>
      </c>
    </row>
    <row r="1060" customFormat="false" ht="15.75" hidden="false" customHeight="false" outlineLevel="0" collapsed="false">
      <c r="A1060" s="6" t="n">
        <f aca="false">IFERROR(__xludf.dummyfunction("""COMPUTED_VALUE"""),45737.6666666667)</f>
        <v>45737.6666666667</v>
      </c>
      <c r="B1060" s="5" t="n">
        <f aca="false">IFERROR(__xludf.dummyfunction("""COMPUTED_VALUE"""),383.22)</f>
        <v>383.22</v>
      </c>
      <c r="C1060" s="5" t="n">
        <f aca="false">IFERROR(__xludf.dummyfunction("""COMPUTED_VALUE"""),391.74)</f>
        <v>391.74</v>
      </c>
      <c r="D1060" s="5" t="n">
        <f aca="false">IFERROR(__xludf.dummyfunction("""COMPUTED_VALUE"""),382.8)</f>
        <v>382.8</v>
      </c>
      <c r="E1060" s="5" t="n">
        <f aca="false">IFERROR(__xludf.dummyfunction("""COMPUTED_VALUE"""),391.26)</f>
        <v>391.26</v>
      </c>
      <c r="F1060" s="5" t="n">
        <f aca="false">IFERROR(__xludf.dummyfunction("""COMPUTED_VALUE"""),39675928)</f>
        <v>39675928</v>
      </c>
    </row>
    <row r="1061" customFormat="false" ht="15.75" hidden="false" customHeight="false" outlineLevel="0" collapsed="false">
      <c r="A1061" s="6" t="n">
        <f aca="false">IFERROR(__xludf.dummyfunction("""COMPUTED_VALUE"""),45740.6666666667)</f>
        <v>45740.6666666667</v>
      </c>
      <c r="B1061" s="5" t="n">
        <f aca="false">IFERROR(__xludf.dummyfunction("""COMPUTED_VALUE"""),395.4)</f>
        <v>395.4</v>
      </c>
      <c r="C1061" s="5" t="n">
        <f aca="false">IFERROR(__xludf.dummyfunction("""COMPUTED_VALUE"""),395.4)</f>
        <v>395.4</v>
      </c>
      <c r="D1061" s="5" t="n">
        <f aca="false">IFERROR(__xludf.dummyfunction("""COMPUTED_VALUE"""),389.81)</f>
        <v>389.81</v>
      </c>
      <c r="E1061" s="5" t="n">
        <f aca="false">IFERROR(__xludf.dummyfunction("""COMPUTED_VALUE"""),393.08)</f>
        <v>393.08</v>
      </c>
      <c r="F1061" s="5" t="n">
        <f aca="false">IFERROR(__xludf.dummyfunction("""COMPUTED_VALUE"""),21004548)</f>
        <v>21004548</v>
      </c>
    </row>
    <row r="1062" customFormat="false" ht="15.75" hidden="false" customHeight="false" outlineLevel="0" collapsed="false">
      <c r="A1062" s="6" t="n">
        <f aca="false">IFERROR(__xludf.dummyfunction("""COMPUTED_VALUE"""),45741.6666666667)</f>
        <v>45741.6666666667</v>
      </c>
      <c r="B1062" s="5" t="n">
        <f aca="false">IFERROR(__xludf.dummyfunction("""COMPUTED_VALUE"""),393.92)</f>
        <v>393.92</v>
      </c>
      <c r="C1062" s="5" t="n">
        <f aca="false">IFERROR(__xludf.dummyfunction("""COMPUTED_VALUE"""),396.36)</f>
        <v>396.36</v>
      </c>
      <c r="D1062" s="5" t="n">
        <f aca="false">IFERROR(__xludf.dummyfunction("""COMPUTED_VALUE"""),392.64)</f>
        <v>392.64</v>
      </c>
      <c r="E1062" s="5" t="n">
        <f aca="false">IFERROR(__xludf.dummyfunction("""COMPUTED_VALUE"""),395.16)</f>
        <v>395.16</v>
      </c>
      <c r="F1062" s="5" t="n">
        <f aca="false">IFERROR(__xludf.dummyfunction("""COMPUTED_VALUE"""),15774968)</f>
        <v>15774968</v>
      </c>
    </row>
    <row r="1063" customFormat="false" ht="15.75" hidden="false" customHeight="false" outlineLevel="0" collapsed="false">
      <c r="A1063" s="6" t="n">
        <f aca="false">IFERROR(__xludf.dummyfunction("""COMPUTED_VALUE"""),45742.6666666667)</f>
        <v>45742.6666666667</v>
      </c>
      <c r="B1063" s="5" t="n">
        <f aca="false">IFERROR(__xludf.dummyfunction("""COMPUTED_VALUE"""),395)</f>
        <v>395</v>
      </c>
      <c r="C1063" s="5" t="n">
        <f aca="false">IFERROR(__xludf.dummyfunction("""COMPUTED_VALUE"""),395.31)</f>
        <v>395.31</v>
      </c>
      <c r="D1063" s="5" t="n">
        <f aca="false">IFERROR(__xludf.dummyfunction("""COMPUTED_VALUE"""),388.57)</f>
        <v>388.57</v>
      </c>
      <c r="E1063" s="5" t="n">
        <f aca="false">IFERROR(__xludf.dummyfunction("""COMPUTED_VALUE"""),389.97)</f>
        <v>389.97</v>
      </c>
      <c r="F1063" s="5" t="n">
        <f aca="false">IFERROR(__xludf.dummyfunction("""COMPUTED_VALUE"""),16132906)</f>
        <v>16132906</v>
      </c>
    </row>
    <row r="1064" customFormat="false" ht="15.75" hidden="false" customHeight="false" outlineLevel="0" collapsed="false">
      <c r="A1064" s="6" t="n">
        <f aca="false">IFERROR(__xludf.dummyfunction("""COMPUTED_VALUE"""),45743.6666666667)</f>
        <v>45743.6666666667</v>
      </c>
      <c r="B1064" s="5" t="n">
        <f aca="false">IFERROR(__xludf.dummyfunction("""COMPUTED_VALUE"""),390.13)</f>
        <v>390.13</v>
      </c>
      <c r="C1064" s="5" t="n">
        <f aca="false">IFERROR(__xludf.dummyfunction("""COMPUTED_VALUE"""),392.24)</f>
        <v>392.24</v>
      </c>
      <c r="D1064" s="5" t="n">
        <f aca="false">IFERROR(__xludf.dummyfunction("""COMPUTED_VALUE"""),387.4)</f>
        <v>387.4</v>
      </c>
      <c r="E1064" s="5" t="n">
        <f aca="false">IFERROR(__xludf.dummyfunction("""COMPUTED_VALUE"""),390.58)</f>
        <v>390.58</v>
      </c>
      <c r="F1064" s="5" t="n">
        <f aca="false">IFERROR(__xludf.dummyfunction("""COMPUTED_VALUE"""),13766761)</f>
        <v>13766761</v>
      </c>
    </row>
    <row r="1065" customFormat="false" ht="15.75" hidden="false" customHeight="false" outlineLevel="0" collapsed="false">
      <c r="A1065" s="6" t="n">
        <f aca="false">IFERROR(__xludf.dummyfunction("""COMPUTED_VALUE"""),45744.6666666667)</f>
        <v>45744.6666666667</v>
      </c>
      <c r="B1065" s="5" t="n">
        <f aca="false">IFERROR(__xludf.dummyfunction("""COMPUTED_VALUE"""),388.08)</f>
        <v>388.08</v>
      </c>
      <c r="C1065" s="5" t="n">
        <f aca="false">IFERROR(__xludf.dummyfunction("""COMPUTED_VALUE"""),389.13)</f>
        <v>389.13</v>
      </c>
      <c r="D1065" s="5" t="n">
        <f aca="false">IFERROR(__xludf.dummyfunction("""COMPUTED_VALUE"""),376.93)</f>
        <v>376.93</v>
      </c>
      <c r="E1065" s="5" t="n">
        <f aca="false">IFERROR(__xludf.dummyfunction("""COMPUTED_VALUE"""),378.8)</f>
        <v>378.8</v>
      </c>
      <c r="F1065" s="5" t="n">
        <f aca="false">IFERROR(__xludf.dummyfunction("""COMPUTED_VALUE"""),21632016)</f>
        <v>21632016</v>
      </c>
    </row>
    <row r="1066" customFormat="false" ht="15.75" hidden="false" customHeight="false" outlineLevel="0" collapsed="false">
      <c r="A1066" s="6" t="n">
        <f aca="false">IFERROR(__xludf.dummyfunction("""COMPUTED_VALUE"""),45747.6666666667)</f>
        <v>45747.6666666667</v>
      </c>
      <c r="B1066" s="5" t="n">
        <f aca="false">IFERROR(__xludf.dummyfunction("""COMPUTED_VALUE"""),372.54)</f>
        <v>372.54</v>
      </c>
      <c r="C1066" s="5" t="n">
        <f aca="false">IFERROR(__xludf.dummyfunction("""COMPUTED_VALUE"""),377.07)</f>
        <v>377.07</v>
      </c>
      <c r="D1066" s="5" t="n">
        <f aca="false">IFERROR(__xludf.dummyfunction("""COMPUTED_VALUE"""),367.24)</f>
        <v>367.24</v>
      </c>
      <c r="E1066" s="5" t="n">
        <f aca="false">IFERROR(__xludf.dummyfunction("""COMPUTED_VALUE"""),375.39)</f>
        <v>375.39</v>
      </c>
      <c r="F1066" s="5" t="n">
        <f aca="false">IFERROR(__xludf.dummyfunction("""COMPUTED_VALUE"""),35184676)</f>
        <v>35184676</v>
      </c>
    </row>
    <row r="1067" customFormat="false" ht="15.75" hidden="false" customHeight="false" outlineLevel="0" collapsed="false">
      <c r="A1067" s="6" t="n">
        <f aca="false">IFERROR(__xludf.dummyfunction("""COMPUTED_VALUE"""),45748.6666666667)</f>
        <v>45748.6666666667</v>
      </c>
      <c r="B1067" s="5" t="n">
        <f aca="false">IFERROR(__xludf.dummyfunction("""COMPUTED_VALUE"""),374.65)</f>
        <v>374.65</v>
      </c>
      <c r="C1067" s="5" t="n">
        <f aca="false">IFERROR(__xludf.dummyfunction("""COMPUTED_VALUE"""),382.85)</f>
        <v>382.85</v>
      </c>
      <c r="D1067" s="5" t="n">
        <f aca="false">IFERROR(__xludf.dummyfunction("""COMPUTED_VALUE"""),373.23)</f>
        <v>373.23</v>
      </c>
      <c r="E1067" s="5" t="n">
        <f aca="false">IFERROR(__xludf.dummyfunction("""COMPUTED_VALUE"""),382.19)</f>
        <v>382.19</v>
      </c>
      <c r="F1067" s="5" t="n">
        <f aca="false">IFERROR(__xludf.dummyfunction("""COMPUTED_VALUE"""),19689503)</f>
        <v>19689503</v>
      </c>
    </row>
    <row r="1068" customFormat="false" ht="15.75" hidden="false" customHeight="false" outlineLevel="0" collapsed="false">
      <c r="A1068" s="6" t="n">
        <f aca="false">IFERROR(__xludf.dummyfunction("""COMPUTED_VALUE"""),45749.6666666667)</f>
        <v>45749.6666666667</v>
      </c>
      <c r="B1068" s="5" t="n">
        <f aca="false">IFERROR(__xludf.dummyfunction("""COMPUTED_VALUE"""),377.97)</f>
        <v>377.97</v>
      </c>
      <c r="C1068" s="5" t="n">
        <f aca="false">IFERROR(__xludf.dummyfunction("""COMPUTED_VALUE"""),385.08)</f>
        <v>385.08</v>
      </c>
      <c r="D1068" s="5" t="n">
        <f aca="false">IFERROR(__xludf.dummyfunction("""COMPUTED_VALUE"""),376.62)</f>
        <v>376.62</v>
      </c>
      <c r="E1068" s="5" t="n">
        <f aca="false">IFERROR(__xludf.dummyfunction("""COMPUTED_VALUE"""),382.14)</f>
        <v>382.14</v>
      </c>
      <c r="F1068" s="5" t="n">
        <f aca="false">IFERROR(__xludf.dummyfunction("""COMPUTED_VALUE"""),16092555)</f>
        <v>16092555</v>
      </c>
    </row>
    <row r="1069" customFormat="false" ht="15.75" hidden="false" customHeight="false" outlineLevel="0" collapsed="false">
      <c r="A1069" s="6" t="n">
        <f aca="false">IFERROR(__xludf.dummyfunction("""COMPUTED_VALUE"""),45750.6666666667)</f>
        <v>45750.6666666667</v>
      </c>
      <c r="B1069" s="5" t="n">
        <f aca="false">IFERROR(__xludf.dummyfunction("""COMPUTED_VALUE"""),374.79)</f>
        <v>374.79</v>
      </c>
      <c r="C1069" s="5" t="n">
        <f aca="false">IFERROR(__xludf.dummyfunction("""COMPUTED_VALUE"""),377.48)</f>
        <v>377.48</v>
      </c>
      <c r="D1069" s="5" t="n">
        <f aca="false">IFERROR(__xludf.dummyfunction("""COMPUTED_VALUE"""),369.35)</f>
        <v>369.35</v>
      </c>
      <c r="E1069" s="5" t="n">
        <f aca="false">IFERROR(__xludf.dummyfunction("""COMPUTED_VALUE"""),373.11)</f>
        <v>373.11</v>
      </c>
      <c r="F1069" s="5" t="n">
        <f aca="false">IFERROR(__xludf.dummyfunction("""COMPUTED_VALUE"""),30197997)</f>
        <v>30197997</v>
      </c>
    </row>
    <row r="1070" customFormat="false" ht="15.75" hidden="false" customHeight="false" outlineLevel="0" collapsed="false">
      <c r="A1070" s="6" t="n">
        <f aca="false">IFERROR(__xludf.dummyfunction("""COMPUTED_VALUE"""),45751.6666666667)</f>
        <v>45751.6666666667</v>
      </c>
      <c r="B1070" s="5" t="n">
        <f aca="false">IFERROR(__xludf.dummyfunction("""COMPUTED_VALUE"""),364.13)</f>
        <v>364.13</v>
      </c>
      <c r="C1070" s="5" t="n">
        <f aca="false">IFERROR(__xludf.dummyfunction("""COMPUTED_VALUE"""),374.59)</f>
        <v>374.59</v>
      </c>
      <c r="D1070" s="5" t="n">
        <f aca="false">IFERROR(__xludf.dummyfunction("""COMPUTED_VALUE"""),359.48)</f>
        <v>359.48</v>
      </c>
      <c r="E1070" s="5" t="n">
        <f aca="false">IFERROR(__xludf.dummyfunction("""COMPUTED_VALUE"""),359.84)</f>
        <v>359.84</v>
      </c>
      <c r="F1070" s="5" t="n">
        <f aca="false">IFERROR(__xludf.dummyfunction("""COMPUTED_VALUE"""),49209854)</f>
        <v>49209854</v>
      </c>
    </row>
    <row r="1071" customFormat="false" ht="15.75" hidden="false" customHeight="false" outlineLevel="0" collapsed="false">
      <c r="A1071" s="6" t="n">
        <f aca="false">IFERROR(__xludf.dummyfunction("""COMPUTED_VALUE"""),45754.6666666667)</f>
        <v>45754.6666666667</v>
      </c>
      <c r="B1071" s="5" t="n">
        <f aca="false">IFERROR(__xludf.dummyfunction("""COMPUTED_VALUE"""),350.88)</f>
        <v>350.88</v>
      </c>
      <c r="C1071" s="5" t="n">
        <f aca="false">IFERROR(__xludf.dummyfunction("""COMPUTED_VALUE"""),371)</f>
        <v>371</v>
      </c>
      <c r="D1071" s="5" t="n">
        <f aca="false">IFERROR(__xludf.dummyfunction("""COMPUTED_VALUE"""),344.79)</f>
        <v>344.79</v>
      </c>
      <c r="E1071" s="5" t="n">
        <f aca="false">IFERROR(__xludf.dummyfunction("""COMPUTED_VALUE"""),357.86)</f>
        <v>357.86</v>
      </c>
      <c r="F1071" s="5" t="n">
        <f aca="false">IFERROR(__xludf.dummyfunction("""COMPUTED_VALUE"""),50424998)</f>
        <v>50424998</v>
      </c>
    </row>
    <row r="1072" customFormat="false" ht="15.75" hidden="false" customHeight="false" outlineLevel="0" collapsed="false">
      <c r="A1072" s="6" t="n">
        <f aca="false">IFERROR(__xludf.dummyfunction("""COMPUTED_VALUE"""),45755.6666666667)</f>
        <v>45755.6666666667</v>
      </c>
      <c r="B1072" s="5" t="n">
        <f aca="false">IFERROR(__xludf.dummyfunction("""COMPUTED_VALUE"""),368.26)</f>
        <v>368.26</v>
      </c>
      <c r="C1072" s="5" t="n">
        <f aca="false">IFERROR(__xludf.dummyfunction("""COMPUTED_VALUE"""),373.65)</f>
        <v>373.65</v>
      </c>
      <c r="D1072" s="5" t="n">
        <f aca="false">IFERROR(__xludf.dummyfunction("""COMPUTED_VALUE"""),350.25)</f>
        <v>350.25</v>
      </c>
      <c r="E1072" s="5" t="n">
        <f aca="false">IFERROR(__xludf.dummyfunction("""COMPUTED_VALUE"""),354.56)</f>
        <v>354.56</v>
      </c>
      <c r="F1072" s="5" t="n">
        <f aca="false">IFERROR(__xludf.dummyfunction("""COMPUTED_VALUE"""),35868918)</f>
        <v>35868918</v>
      </c>
    </row>
    <row r="1073" customFormat="false" ht="15.75" hidden="false" customHeight="false" outlineLevel="0" collapsed="false">
      <c r="A1073" s="6" t="n">
        <f aca="false">IFERROR(__xludf.dummyfunction("""COMPUTED_VALUE"""),45756.6666666667)</f>
        <v>45756.6666666667</v>
      </c>
      <c r="B1073" s="5" t="n">
        <f aca="false">IFERROR(__xludf.dummyfunction("""COMPUTED_VALUE"""),353.54)</f>
        <v>353.54</v>
      </c>
      <c r="C1073" s="5" t="n">
        <f aca="false">IFERROR(__xludf.dummyfunction("""COMPUTED_VALUE"""),393.23)</f>
        <v>393.23</v>
      </c>
      <c r="D1073" s="5" t="n">
        <f aca="false">IFERROR(__xludf.dummyfunction("""COMPUTED_VALUE"""),353.1)</f>
        <v>353.1</v>
      </c>
      <c r="E1073" s="5" t="n">
        <f aca="false">IFERROR(__xludf.dummyfunction("""COMPUTED_VALUE"""),390.49)</f>
        <v>390.49</v>
      </c>
      <c r="F1073" s="5" t="n">
        <f aca="false">IFERROR(__xludf.dummyfunction("""COMPUTED_VALUE"""),50199696)</f>
        <v>50199696</v>
      </c>
    </row>
    <row r="1074" customFormat="false" ht="15.75" hidden="false" customHeight="false" outlineLevel="0" collapsed="false">
      <c r="A1074" s="6" t="n">
        <f aca="false">IFERROR(__xludf.dummyfunction("""COMPUTED_VALUE"""),45757.6666666667)</f>
        <v>45757.6666666667</v>
      </c>
      <c r="B1074" s="5" t="n">
        <f aca="false">IFERROR(__xludf.dummyfunction("""COMPUTED_VALUE"""),382.06)</f>
        <v>382.06</v>
      </c>
      <c r="C1074" s="5" t="n">
        <f aca="false">IFERROR(__xludf.dummyfunction("""COMPUTED_VALUE"""),383.9)</f>
        <v>383.9</v>
      </c>
      <c r="D1074" s="5" t="n">
        <f aca="false">IFERROR(__xludf.dummyfunction("""COMPUTED_VALUE"""),367.8)</f>
        <v>367.8</v>
      </c>
      <c r="E1074" s="5" t="n">
        <f aca="false">IFERROR(__xludf.dummyfunction("""COMPUTED_VALUE"""),381.35)</f>
        <v>381.35</v>
      </c>
      <c r="F1074" s="5" t="n">
        <f aca="false">IFERROR(__xludf.dummyfunction("""COMPUTED_VALUE"""),38024368)</f>
        <v>38024368</v>
      </c>
    </row>
    <row r="1075" customFormat="false" ht="15.75" hidden="false" customHeight="false" outlineLevel="0" collapsed="false">
      <c r="A1075" s="6" t="n">
        <f aca="false">IFERROR(__xludf.dummyfunction("""COMPUTED_VALUE"""),45758.6666666667)</f>
        <v>45758.6666666667</v>
      </c>
      <c r="B1075" s="5" t="n">
        <f aca="false">IFERROR(__xludf.dummyfunction("""COMPUTED_VALUE"""),380.64)</f>
        <v>380.64</v>
      </c>
      <c r="C1075" s="5" t="n">
        <f aca="false">IFERROR(__xludf.dummyfunction("""COMPUTED_VALUE"""),390.05)</f>
        <v>390.05</v>
      </c>
      <c r="D1075" s="5" t="n">
        <f aca="false">IFERROR(__xludf.dummyfunction("""COMPUTED_VALUE"""),378.89)</f>
        <v>378.89</v>
      </c>
      <c r="E1075" s="5" t="n">
        <f aca="false">IFERROR(__xludf.dummyfunction("""COMPUTED_VALUE"""),388.45)</f>
        <v>388.45</v>
      </c>
      <c r="F1075" s="5" t="n">
        <f aca="false">IFERROR(__xludf.dummyfunction("""COMPUTED_VALUE"""),23839220)</f>
        <v>23839220</v>
      </c>
    </row>
    <row r="1076" customFormat="false" ht="15.75" hidden="false" customHeight="false" outlineLevel="0" collapsed="false">
      <c r="A1076" s="6" t="n">
        <f aca="false">IFERROR(__xludf.dummyfunction("""COMPUTED_VALUE"""),45761.6666666667)</f>
        <v>45761.6666666667</v>
      </c>
      <c r="B1076" s="5" t="n">
        <f aca="false">IFERROR(__xludf.dummyfunction("""COMPUTED_VALUE"""),393.22)</f>
        <v>393.22</v>
      </c>
      <c r="C1076" s="5" t="n">
        <f aca="false">IFERROR(__xludf.dummyfunction("""COMPUTED_VALUE"""),394.65)</f>
        <v>394.65</v>
      </c>
      <c r="D1076" s="5" t="n">
        <f aca="false">IFERROR(__xludf.dummyfunction("""COMPUTED_VALUE"""),384.21)</f>
        <v>384.21</v>
      </c>
      <c r="E1076" s="5" t="n">
        <f aca="false">IFERROR(__xludf.dummyfunction("""COMPUTED_VALUE"""),387.81)</f>
        <v>387.81</v>
      </c>
      <c r="F1076" s="5" t="n">
        <f aca="false">IFERROR(__xludf.dummyfunction("""COMPUTED_VALUE"""),19251172)</f>
        <v>19251172</v>
      </c>
    </row>
    <row r="1077" customFormat="false" ht="15.75" hidden="false" customHeight="false" outlineLevel="0" collapsed="false">
      <c r="A1077" s="6" t="n">
        <f aca="false">IFERROR(__xludf.dummyfunction("""COMPUTED_VALUE"""),45762.6666666667)</f>
        <v>45762.6666666667</v>
      </c>
      <c r="B1077" s="5" t="n">
        <f aca="false">IFERROR(__xludf.dummyfunction("""COMPUTED_VALUE"""),388.51)</f>
        <v>388.51</v>
      </c>
      <c r="C1077" s="5" t="n">
        <f aca="false">IFERROR(__xludf.dummyfunction("""COMPUTED_VALUE"""),391.89)</f>
        <v>391.89</v>
      </c>
      <c r="D1077" s="5" t="n">
        <f aca="false">IFERROR(__xludf.dummyfunction("""COMPUTED_VALUE"""),384.16)</f>
        <v>384.16</v>
      </c>
      <c r="E1077" s="5" t="n">
        <f aca="false">IFERROR(__xludf.dummyfunction("""COMPUTED_VALUE"""),385.73)</f>
        <v>385.73</v>
      </c>
      <c r="F1077" s="5" t="n">
        <f aca="false">IFERROR(__xludf.dummyfunction("""COMPUTED_VALUE"""),17199890)</f>
        <v>17199890</v>
      </c>
    </row>
    <row r="1078" customFormat="false" ht="15.75" hidden="false" customHeight="false" outlineLevel="0" collapsed="false">
      <c r="A1078" s="6" t="n">
        <f aca="false">IFERROR(__xludf.dummyfunction("""COMPUTED_VALUE"""),45763.6666666667)</f>
        <v>45763.6666666667</v>
      </c>
      <c r="B1078" s="5" t="n">
        <f aca="false">IFERROR(__xludf.dummyfunction("""COMPUTED_VALUE"""),380.67)</f>
        <v>380.67</v>
      </c>
      <c r="C1078" s="5" t="n">
        <f aca="false">IFERROR(__xludf.dummyfunction("""COMPUTED_VALUE"""),381.61)</f>
        <v>381.61</v>
      </c>
      <c r="D1078" s="5" t="n">
        <f aca="false">IFERROR(__xludf.dummyfunction("""COMPUTED_VALUE"""),368)</f>
        <v>368</v>
      </c>
      <c r="E1078" s="5" t="n">
        <f aca="false">IFERROR(__xludf.dummyfunction("""COMPUTED_VALUE"""),371.61)</f>
        <v>371.61</v>
      </c>
      <c r="F1078" s="5" t="n">
        <f aca="false">IFERROR(__xludf.dummyfunction("""COMPUTED_VALUE"""),21967826)</f>
        <v>21967826</v>
      </c>
    </row>
    <row r="1079" customFormat="false" ht="15.75" hidden="false" customHeight="false" outlineLevel="0" collapsed="false">
      <c r="A1079" s="6" t="n">
        <f aca="false">IFERROR(__xludf.dummyfunction("""COMPUTED_VALUE"""),45764.6666666667)</f>
        <v>45764.6666666667</v>
      </c>
      <c r="B1079" s="5" t="n">
        <f aca="false">IFERROR(__xludf.dummyfunction("""COMPUTED_VALUE"""),373.75)</f>
        <v>373.75</v>
      </c>
      <c r="C1079" s="5" t="n">
        <f aca="false">IFERROR(__xludf.dummyfunction("""COMPUTED_VALUE"""),374.32)</f>
        <v>374.32</v>
      </c>
      <c r="D1079" s="5" t="n">
        <f aca="false">IFERROR(__xludf.dummyfunction("""COMPUTED_VALUE"""),366.89)</f>
        <v>366.89</v>
      </c>
      <c r="E1079" s="5" t="n">
        <f aca="false">IFERROR(__xludf.dummyfunction("""COMPUTED_VALUE"""),367.78)</f>
        <v>367.78</v>
      </c>
      <c r="F1079" s="5" t="n">
        <f aca="false">IFERROR(__xludf.dummyfunction("""COMPUTED_VALUE"""),21120192)</f>
        <v>21120192</v>
      </c>
    </row>
    <row r="1080" customFormat="false" ht="15.75" hidden="false" customHeight="false" outlineLevel="0" collapsed="false">
      <c r="A1080" s="6" t="n">
        <f aca="false">IFERROR(__xludf.dummyfunction("""COMPUTED_VALUE"""),45768.6666666667)</f>
        <v>45768.6666666667</v>
      </c>
      <c r="B1080" s="5" t="n">
        <f aca="false">IFERROR(__xludf.dummyfunction("""COMPUTED_VALUE"""),362.82)</f>
        <v>362.82</v>
      </c>
      <c r="C1080" s="5" t="n">
        <f aca="false">IFERROR(__xludf.dummyfunction("""COMPUTED_VALUE"""),364.48)</f>
        <v>364.48</v>
      </c>
      <c r="D1080" s="5" t="n">
        <f aca="false">IFERROR(__xludf.dummyfunction("""COMPUTED_VALUE"""),355.67)</f>
        <v>355.67</v>
      </c>
      <c r="E1080" s="5" t="n">
        <f aca="false">IFERROR(__xludf.dummyfunction("""COMPUTED_VALUE"""),359.12)</f>
        <v>359.12</v>
      </c>
      <c r="F1080" s="5" t="n">
        <f aca="false">IFERROR(__xludf.dummyfunction("""COMPUTED_VALUE"""),20807279)</f>
        <v>20807279</v>
      </c>
    </row>
    <row r="1081" customFormat="false" ht="15.75" hidden="false" customHeight="false" outlineLevel="0" collapsed="false">
      <c r="A1081" s="6" t="n">
        <f aca="false">IFERROR(__xludf.dummyfunction("""COMPUTED_VALUE"""),45769.6666666667)</f>
        <v>45769.6666666667</v>
      </c>
      <c r="B1081" s="5" t="n">
        <f aca="false">IFERROR(__xludf.dummyfunction("""COMPUTED_VALUE"""),363.38)</f>
        <v>363.38</v>
      </c>
      <c r="C1081" s="5" t="n">
        <f aca="false">IFERROR(__xludf.dummyfunction("""COMPUTED_VALUE"""),367.77)</f>
        <v>367.77</v>
      </c>
      <c r="D1081" s="5" t="n">
        <f aca="false">IFERROR(__xludf.dummyfunction("""COMPUTED_VALUE"""),359.86)</f>
        <v>359.86</v>
      </c>
      <c r="E1081" s="5" t="n">
        <f aca="false">IFERROR(__xludf.dummyfunction("""COMPUTED_VALUE"""),366.82)</f>
        <v>366.82</v>
      </c>
      <c r="F1081" s="5" t="n">
        <f aca="false">IFERROR(__xludf.dummyfunction("""COMPUTED_VALUE"""),19484993)</f>
        <v>19484993</v>
      </c>
    </row>
    <row r="1082" customFormat="false" ht="15.75" hidden="false" customHeight="false" outlineLevel="0" collapsed="false">
      <c r="A1082" s="6" t="n">
        <f aca="false">IFERROR(__xludf.dummyfunction("""COMPUTED_VALUE"""),45770.6666666667)</f>
        <v>45770.6666666667</v>
      </c>
      <c r="B1082" s="5" t="n">
        <f aca="false">IFERROR(__xludf.dummyfunction("""COMPUTED_VALUE"""),376.06)</f>
        <v>376.06</v>
      </c>
      <c r="C1082" s="5" t="n">
        <f aca="false">IFERROR(__xludf.dummyfunction("""COMPUTED_VALUE"""),380.39)</f>
        <v>380.39</v>
      </c>
      <c r="D1082" s="5" t="n">
        <f aca="false">IFERROR(__xludf.dummyfunction("""COMPUTED_VALUE"""),373.02)</f>
        <v>373.02</v>
      </c>
      <c r="E1082" s="5" t="n">
        <f aca="false">IFERROR(__xludf.dummyfunction("""COMPUTED_VALUE"""),374.39)</f>
        <v>374.39</v>
      </c>
      <c r="F1082" s="5" t="n">
        <f aca="false">IFERROR(__xludf.dummyfunction("""COMPUTED_VALUE"""),20545526)</f>
        <v>20545526</v>
      </c>
    </row>
    <row r="1083" customFormat="false" ht="15.75" hidden="false" customHeight="false" outlineLevel="0" collapsed="false">
      <c r="A1083" s="6" t="n">
        <f aca="false">IFERROR(__xludf.dummyfunction("""COMPUTED_VALUE"""),45771.6666666667)</f>
        <v>45771.6666666667</v>
      </c>
      <c r="B1083" s="5" t="n">
        <f aca="false">IFERROR(__xludf.dummyfunction("""COMPUTED_VALUE"""),375.7)</f>
        <v>375.7</v>
      </c>
      <c r="C1083" s="5" t="n">
        <f aca="false">IFERROR(__xludf.dummyfunction("""COMPUTED_VALUE"""),388.45)</f>
        <v>388.45</v>
      </c>
      <c r="D1083" s="5" t="n">
        <f aca="false">IFERROR(__xludf.dummyfunction("""COMPUTED_VALUE"""),375.19)</f>
        <v>375.19</v>
      </c>
      <c r="E1083" s="5" t="n">
        <f aca="false">IFERROR(__xludf.dummyfunction("""COMPUTED_VALUE"""),387.3)</f>
        <v>387.3</v>
      </c>
      <c r="F1083" s="5" t="n">
        <f aca="false">IFERROR(__xludf.dummyfunction("""COMPUTED_VALUE"""),22232289)</f>
        <v>22232289</v>
      </c>
    </row>
    <row r="1084" customFormat="false" ht="15.75" hidden="false" customHeight="false" outlineLevel="0" collapsed="false">
      <c r="A1084" s="6" t="n">
        <f aca="false">IFERROR(__xludf.dummyfunction("""COMPUTED_VALUE"""),45772.6666666667)</f>
        <v>45772.6666666667</v>
      </c>
      <c r="B1084" s="5" t="n">
        <f aca="false">IFERROR(__xludf.dummyfunction("""COMPUTED_VALUE"""),387)</f>
        <v>387</v>
      </c>
      <c r="C1084" s="5" t="n">
        <f aca="false">IFERROR(__xludf.dummyfunction("""COMPUTED_VALUE"""),392.16)</f>
        <v>392.16</v>
      </c>
      <c r="D1084" s="5" t="n">
        <f aca="false">IFERROR(__xludf.dummyfunction("""COMPUTED_VALUE"""),384.6)</f>
        <v>384.6</v>
      </c>
      <c r="E1084" s="5" t="n">
        <f aca="false">IFERROR(__xludf.dummyfunction("""COMPUTED_VALUE"""),391.85)</f>
        <v>391.85</v>
      </c>
      <c r="F1084" s="5" t="n">
        <f aca="false">IFERROR(__xludf.dummyfunction("""COMPUTED_VALUE"""),18973165)</f>
        <v>18973165</v>
      </c>
    </row>
    <row r="1085" customFormat="false" ht="15.75" hidden="false" customHeight="false" outlineLevel="0" collapsed="false">
      <c r="A1085" s="6" t="n">
        <f aca="false">IFERROR(__xludf.dummyfunction("""COMPUTED_VALUE"""),45775.6666666667)</f>
        <v>45775.6666666667</v>
      </c>
      <c r="B1085" s="5" t="n">
        <f aca="false">IFERROR(__xludf.dummyfunction("""COMPUTED_VALUE"""),391.96)</f>
        <v>391.96</v>
      </c>
      <c r="C1085" s="5" t="n">
        <f aca="false">IFERROR(__xludf.dummyfunction("""COMPUTED_VALUE"""),392.74)</f>
        <v>392.74</v>
      </c>
      <c r="D1085" s="5" t="n">
        <f aca="false">IFERROR(__xludf.dummyfunction("""COMPUTED_VALUE"""),386.64)</f>
        <v>386.64</v>
      </c>
      <c r="E1085" s="5" t="n">
        <f aca="false">IFERROR(__xludf.dummyfunction("""COMPUTED_VALUE"""),391.16)</f>
        <v>391.16</v>
      </c>
      <c r="F1085" s="5" t="n">
        <f aca="false">IFERROR(__xludf.dummyfunction("""COMPUTED_VALUE"""),16579430)</f>
        <v>16579430</v>
      </c>
    </row>
    <row r="1086" customFormat="false" ht="15.75" hidden="false" customHeight="false" outlineLevel="0" collapsed="false">
      <c r="A1086" s="6" t="n">
        <f aca="false">IFERROR(__xludf.dummyfunction("""COMPUTED_VALUE"""),45776.6666666667)</f>
        <v>45776.6666666667</v>
      </c>
      <c r="B1086" s="5" t="n">
        <f aca="false">IFERROR(__xludf.dummyfunction("""COMPUTED_VALUE"""),391.3)</f>
        <v>391.3</v>
      </c>
      <c r="C1086" s="5" t="n">
        <f aca="false">IFERROR(__xludf.dummyfunction("""COMPUTED_VALUE"""),395.1)</f>
        <v>395.1</v>
      </c>
      <c r="D1086" s="5" t="n">
        <f aca="false">IFERROR(__xludf.dummyfunction("""COMPUTED_VALUE"""),390.38)</f>
        <v>390.38</v>
      </c>
      <c r="E1086" s="5" t="n">
        <f aca="false">IFERROR(__xludf.dummyfunction("""COMPUTED_VALUE"""),394.04)</f>
        <v>394.04</v>
      </c>
      <c r="F1086" s="5" t="n">
        <f aca="false">IFERROR(__xludf.dummyfunction("""COMPUTED_VALUE"""),14973976)</f>
        <v>14973976</v>
      </c>
    </row>
    <row r="1087" customFormat="false" ht="15.75" hidden="false" customHeight="false" outlineLevel="0" collapsed="false">
      <c r="A1087" s="6" t="n">
        <f aca="false">IFERROR(__xludf.dummyfunction("""COMPUTED_VALUE"""),45777.6666666667)</f>
        <v>45777.6666666667</v>
      </c>
      <c r="B1087" s="5" t="n">
        <f aca="false">IFERROR(__xludf.dummyfunction("""COMPUTED_VALUE"""),390.3)</f>
        <v>390.3</v>
      </c>
      <c r="C1087" s="5" t="n">
        <f aca="false">IFERROR(__xludf.dummyfunction("""COMPUTED_VALUE"""),396.66)</f>
        <v>396.66</v>
      </c>
      <c r="D1087" s="5" t="n">
        <f aca="false">IFERROR(__xludf.dummyfunction("""COMPUTED_VALUE"""),384.44)</f>
        <v>384.44</v>
      </c>
      <c r="E1087" s="5" t="n">
        <f aca="false">IFERROR(__xludf.dummyfunction("""COMPUTED_VALUE"""),395.26)</f>
        <v>395.26</v>
      </c>
      <c r="F1087" s="5" t="n">
        <f aca="false">IFERROR(__xludf.dummyfunction("""COMPUTED_VALUE"""),36461075)</f>
        <v>36461075</v>
      </c>
    </row>
    <row r="1088" customFormat="false" ht="15.75" hidden="false" customHeight="false" outlineLevel="0" collapsed="false">
      <c r="A1088" s="6" t="n">
        <f aca="false">IFERROR(__xludf.dummyfunction("""COMPUTED_VALUE"""),45778.6666666667)</f>
        <v>45778.6666666667</v>
      </c>
      <c r="B1088" s="5" t="n">
        <f aca="false">IFERROR(__xludf.dummyfunction("""COMPUTED_VALUE"""),431.11)</f>
        <v>431.11</v>
      </c>
      <c r="C1088" s="5" t="n">
        <f aca="false">IFERROR(__xludf.dummyfunction("""COMPUTED_VALUE"""),436.99)</f>
        <v>436.99</v>
      </c>
      <c r="D1088" s="5" t="n">
        <f aca="false">IFERROR(__xludf.dummyfunction("""COMPUTED_VALUE"""),424.9)</f>
        <v>424.9</v>
      </c>
      <c r="E1088" s="5" t="n">
        <f aca="false">IFERROR(__xludf.dummyfunction("""COMPUTED_VALUE"""),425.4)</f>
        <v>425.4</v>
      </c>
      <c r="F1088" s="5" t="n">
        <f aca="false">IFERROR(__xludf.dummyfunction("""COMPUTED_VALUE"""),58938100)</f>
        <v>58938100</v>
      </c>
    </row>
    <row r="1089" customFormat="false" ht="15.75" hidden="false" customHeight="false" outlineLevel="0" collapsed="false">
      <c r="A1089" s="6" t="n">
        <f aca="false">IFERROR(__xludf.dummyfunction("""COMPUTED_VALUE"""),45779.6666666667)</f>
        <v>45779.6666666667</v>
      </c>
      <c r="B1089" s="5" t="n">
        <f aca="false">IFERROR(__xludf.dummyfunction("""COMPUTED_VALUE"""),431.74)</f>
        <v>431.74</v>
      </c>
      <c r="C1089" s="5" t="n">
        <f aca="false">IFERROR(__xludf.dummyfunction("""COMPUTED_VALUE"""),439.44)</f>
        <v>439.44</v>
      </c>
      <c r="D1089" s="5" t="n">
        <f aca="false">IFERROR(__xludf.dummyfunction("""COMPUTED_VALUE"""),429.99)</f>
        <v>429.99</v>
      </c>
      <c r="E1089" s="5" t="n">
        <f aca="false">IFERROR(__xludf.dummyfunction("""COMPUTED_VALUE"""),435.28)</f>
        <v>435.28</v>
      </c>
      <c r="F1089" s="5" t="n">
        <f aca="false">IFERROR(__xludf.dummyfunction("""COMPUTED_VALUE"""),30757434)</f>
        <v>30757434</v>
      </c>
    </row>
    <row r="1090" customFormat="false" ht="15.75" hidden="false" customHeight="false" outlineLevel="0" collapsed="false">
      <c r="A1090" s="6" t="n">
        <f aca="false">IFERROR(__xludf.dummyfunction("""COMPUTED_VALUE"""),45782.6666666667)</f>
        <v>45782.6666666667</v>
      </c>
      <c r="B1090" s="5" t="n">
        <f aca="false">IFERROR(__xludf.dummyfunction("""COMPUTED_VALUE"""),432.87)</f>
        <v>432.87</v>
      </c>
      <c r="C1090" s="5" t="n">
        <f aca="false">IFERROR(__xludf.dummyfunction("""COMPUTED_VALUE"""),439.5)</f>
        <v>439.5</v>
      </c>
      <c r="D1090" s="5" t="n">
        <f aca="false">IFERROR(__xludf.dummyfunction("""COMPUTED_VALUE"""),432.11)</f>
        <v>432.11</v>
      </c>
      <c r="E1090" s="5" t="n">
        <f aca="false">IFERROR(__xludf.dummyfunction("""COMPUTED_VALUE"""),436.17)</f>
        <v>436.17</v>
      </c>
      <c r="F1090" s="5" t="n">
        <f aca="false">IFERROR(__xludf.dummyfunction("""COMPUTED_VALUE"""),20136053)</f>
        <v>20136053</v>
      </c>
    </row>
    <row r="1091" customFormat="false" ht="15.75" hidden="false" customHeight="false" outlineLevel="0" collapsed="false">
      <c r="A1091" s="6" t="n">
        <f aca="false">IFERROR(__xludf.dummyfunction("""COMPUTED_VALUE"""),45783.6666666667)</f>
        <v>45783.6666666667</v>
      </c>
      <c r="B1091" s="5" t="n">
        <f aca="false">IFERROR(__xludf.dummyfunction("""COMPUTED_VALUE"""),432.2)</f>
        <v>432.2</v>
      </c>
      <c r="C1091" s="5" t="n">
        <f aca="false">IFERROR(__xludf.dummyfunction("""COMPUTED_VALUE"""),437.73)</f>
        <v>437.73</v>
      </c>
      <c r="D1091" s="5" t="n">
        <f aca="false">IFERROR(__xludf.dummyfunction("""COMPUTED_VALUE"""),431.17)</f>
        <v>431.17</v>
      </c>
      <c r="E1091" s="5" t="n">
        <f aca="false">IFERROR(__xludf.dummyfunction("""COMPUTED_VALUE"""),433.31)</f>
        <v>433.31</v>
      </c>
      <c r="F1091" s="5" t="n">
        <f aca="false">IFERROR(__xludf.dummyfunction("""COMPUTED_VALUE"""),15104204)</f>
        <v>15104204</v>
      </c>
    </row>
    <row r="1092" customFormat="false" ht="15.75" hidden="false" customHeight="false" outlineLevel="0" collapsed="false">
      <c r="A1092" s="6" t="n">
        <f aca="false">IFERROR(__xludf.dummyfunction("""COMPUTED_VALUE"""),45784.6666666667)</f>
        <v>45784.6666666667</v>
      </c>
      <c r="B1092" s="5" t="n">
        <f aca="false">IFERROR(__xludf.dummyfunction("""COMPUTED_VALUE"""),433.84)</f>
        <v>433.84</v>
      </c>
      <c r="C1092" s="5" t="n">
        <f aca="false">IFERROR(__xludf.dummyfunction("""COMPUTED_VALUE"""),438.12)</f>
        <v>438.12</v>
      </c>
      <c r="D1092" s="5" t="n">
        <f aca="false">IFERROR(__xludf.dummyfunction("""COMPUTED_VALUE"""),431.11)</f>
        <v>431.11</v>
      </c>
      <c r="E1092" s="5" t="n">
        <f aca="false">IFERROR(__xludf.dummyfunction("""COMPUTED_VALUE"""),433.35)</f>
        <v>433.35</v>
      </c>
      <c r="F1092" s="5" t="n">
        <f aca="false">IFERROR(__xludf.dummyfunction("""COMPUTED_VALUE"""),23307241)</f>
        <v>23307241</v>
      </c>
    </row>
    <row r="1093" customFormat="false" ht="15.75" hidden="false" customHeight="false" outlineLevel="0" collapsed="false">
      <c r="A1093" s="6" t="n">
        <f aca="false">IFERROR(__xludf.dummyfunction("""COMPUTED_VALUE"""),45785.6666666667)</f>
        <v>45785.6666666667</v>
      </c>
      <c r="B1093" s="5" t="n">
        <f aca="false">IFERROR(__xludf.dummyfunction("""COMPUTED_VALUE"""),437.93)</f>
        <v>437.93</v>
      </c>
      <c r="C1093" s="5" t="n">
        <f aca="false">IFERROR(__xludf.dummyfunction("""COMPUTED_VALUE"""),443.67)</f>
        <v>443.67</v>
      </c>
      <c r="D1093" s="5" t="n">
        <f aca="false">IFERROR(__xludf.dummyfunction("""COMPUTED_VALUE"""),435.66)</f>
        <v>435.66</v>
      </c>
      <c r="E1093" s="5" t="n">
        <f aca="false">IFERROR(__xludf.dummyfunction("""COMPUTED_VALUE"""),438.17)</f>
        <v>438.17</v>
      </c>
      <c r="F1093" s="5" t="n">
        <f aca="false">IFERROR(__xludf.dummyfunction("""COMPUTED_VALUE"""),23491330)</f>
        <v>23491330</v>
      </c>
    </row>
    <row r="1094" customFormat="false" ht="15.75" hidden="false" customHeight="false" outlineLevel="0" collapsed="false">
      <c r="A1094" s="6" t="n">
        <f aca="false">IFERROR(__xludf.dummyfunction("""COMPUTED_VALUE"""),45786.6666666667)</f>
        <v>45786.6666666667</v>
      </c>
      <c r="B1094" s="5" t="n">
        <f aca="false">IFERROR(__xludf.dummyfunction("""COMPUTED_VALUE"""),440)</f>
        <v>440</v>
      </c>
      <c r="C1094" s="5" t="n">
        <f aca="false">IFERROR(__xludf.dummyfunction("""COMPUTED_VALUE"""),440.74)</f>
        <v>440.74</v>
      </c>
      <c r="D1094" s="5" t="n">
        <f aca="false">IFERROR(__xludf.dummyfunction("""COMPUTED_VALUE"""),435.88)</f>
        <v>435.88</v>
      </c>
      <c r="E1094" s="5" t="n">
        <f aca="false">IFERROR(__xludf.dummyfunction("""COMPUTED_VALUE"""),438.73)</f>
        <v>438.73</v>
      </c>
      <c r="F1094" s="5" t="n">
        <f aca="false">IFERROR(__xludf.dummyfunction("""COMPUTED_VALUE"""),15324233)</f>
        <v>15324233</v>
      </c>
    </row>
    <row r="1095" customFormat="false" ht="15.75" hidden="false" customHeight="false" outlineLevel="0" collapsed="false">
      <c r="A1095" s="6" t="n">
        <f aca="false">IFERROR(__xludf.dummyfunction("""COMPUTED_VALUE"""),45789.6666666667)</f>
        <v>45789.6666666667</v>
      </c>
      <c r="B1095" s="5" t="n">
        <f aca="false">IFERROR(__xludf.dummyfunction("""COMPUTED_VALUE"""),445.94)</f>
        <v>445.94</v>
      </c>
      <c r="C1095" s="5" t="n">
        <f aca="false">IFERROR(__xludf.dummyfunction("""COMPUTED_VALUE"""),449.37)</f>
        <v>449.37</v>
      </c>
      <c r="D1095" s="5" t="n">
        <f aca="false">IFERROR(__xludf.dummyfunction("""COMPUTED_VALUE"""),439.78)</f>
        <v>439.78</v>
      </c>
      <c r="E1095" s="5" t="n">
        <f aca="false">IFERROR(__xludf.dummyfunction("""COMPUTED_VALUE"""),449.26)</f>
        <v>449.26</v>
      </c>
      <c r="F1095" s="5" t="n">
        <f aca="false">IFERROR(__xludf.dummyfunction("""COMPUTED_VALUE"""),22821935)</f>
        <v>22821935</v>
      </c>
    </row>
    <row r="1096" customFormat="false" ht="15.75" hidden="false" customHeight="false" outlineLevel="0" collapsed="false">
      <c r="A1096" s="6" t="n">
        <f aca="false">IFERROR(__xludf.dummyfunction("""COMPUTED_VALUE"""),45790.6666666667)</f>
        <v>45790.6666666667</v>
      </c>
      <c r="B1096" s="5" t="n">
        <f aca="false">IFERROR(__xludf.dummyfunction("""COMPUTED_VALUE"""),447.78)</f>
        <v>447.78</v>
      </c>
      <c r="C1096" s="5" t="n">
        <f aca="false">IFERROR(__xludf.dummyfunction("""COMPUTED_VALUE"""),450.67)</f>
        <v>450.67</v>
      </c>
      <c r="D1096" s="5" t="n">
        <f aca="false">IFERROR(__xludf.dummyfunction("""COMPUTED_VALUE"""),445.36)</f>
        <v>445.36</v>
      </c>
      <c r="E1096" s="5" t="n">
        <f aca="false">IFERROR(__xludf.dummyfunction("""COMPUTED_VALUE"""),449.14)</f>
        <v>449.14</v>
      </c>
      <c r="F1096" s="5" t="n">
        <f aca="false">IFERROR(__xludf.dummyfunction("""COMPUTED_VALUE"""),23618819)</f>
        <v>23618819</v>
      </c>
    </row>
    <row r="1097" customFormat="false" ht="15.75" hidden="false" customHeight="false" outlineLevel="0" collapsed="false">
      <c r="A1097" s="6" t="n">
        <f aca="false">IFERROR(__xludf.dummyfunction("""COMPUTED_VALUE"""),45791.6666666667)</f>
        <v>45791.6666666667</v>
      </c>
      <c r="B1097" s="5" t="n">
        <f aca="false">IFERROR(__xludf.dummyfunction("""COMPUTED_VALUE"""),448.14)</f>
        <v>448.14</v>
      </c>
      <c r="C1097" s="5" t="n">
        <f aca="false">IFERROR(__xludf.dummyfunction("""COMPUTED_VALUE"""),453.9)</f>
        <v>453.9</v>
      </c>
      <c r="D1097" s="5" t="n">
        <f aca="false">IFERROR(__xludf.dummyfunction("""COMPUTED_VALUE"""),448.14)</f>
        <v>448.14</v>
      </c>
      <c r="E1097" s="5" t="n">
        <f aca="false">IFERROR(__xludf.dummyfunction("""COMPUTED_VALUE"""),452.94)</f>
        <v>452.94</v>
      </c>
      <c r="F1097" s="5" t="n">
        <f aca="false">IFERROR(__xludf.dummyfunction("""COMPUTED_VALUE"""),19902796)</f>
        <v>19902796</v>
      </c>
    </row>
    <row r="1098" customFormat="false" ht="15.75" hidden="false" customHeight="false" outlineLevel="0" collapsed="false">
      <c r="A1098" s="6" t="n">
        <f aca="false">IFERROR(__xludf.dummyfunction("""COMPUTED_VALUE"""),45792.6666666667)</f>
        <v>45792.6666666667</v>
      </c>
      <c r="B1098" s="5" t="n">
        <f aca="false">IFERROR(__xludf.dummyfunction("""COMPUTED_VALUE"""),450.77)</f>
        <v>450.77</v>
      </c>
      <c r="C1098" s="5" t="n">
        <f aca="false">IFERROR(__xludf.dummyfunction("""COMPUTED_VALUE"""),456.19)</f>
        <v>456.19</v>
      </c>
      <c r="D1098" s="5" t="n">
        <f aca="false">IFERROR(__xludf.dummyfunction("""COMPUTED_VALUE"""),450.43)</f>
        <v>450.43</v>
      </c>
      <c r="E1098" s="5" t="n">
        <f aca="false">IFERROR(__xludf.dummyfunction("""COMPUTED_VALUE"""),453.13)</f>
        <v>453.13</v>
      </c>
      <c r="F1098" s="5" t="n">
        <f aca="false">IFERROR(__xludf.dummyfunction("""COMPUTED_VALUE"""),21992323)</f>
        <v>21992323</v>
      </c>
    </row>
    <row r="1099" customFormat="false" ht="15.75" hidden="false" customHeight="false" outlineLevel="0" collapsed="false">
      <c r="A1099" s="6" t="n">
        <f aca="false">IFERROR(__xludf.dummyfunction("""COMPUTED_VALUE"""),45793.6666666667)</f>
        <v>45793.6666666667</v>
      </c>
      <c r="B1099" s="5" t="n">
        <f aca="false">IFERROR(__xludf.dummyfunction("""COMPUTED_VALUE"""),452.05)</f>
        <v>452.05</v>
      </c>
      <c r="C1099" s="5" t="n">
        <f aca="false">IFERROR(__xludf.dummyfunction("""COMPUTED_VALUE"""),454.36)</f>
        <v>454.36</v>
      </c>
      <c r="D1099" s="5" t="n">
        <f aca="false">IFERROR(__xludf.dummyfunction("""COMPUTED_VALUE"""),448.73)</f>
        <v>448.73</v>
      </c>
      <c r="E1099" s="5" t="n">
        <f aca="false">IFERROR(__xludf.dummyfunction("""COMPUTED_VALUE"""),454.27)</f>
        <v>454.27</v>
      </c>
      <c r="F1099" s="5" t="n">
        <f aca="false">IFERROR(__xludf.dummyfunction("""COMPUTED_VALUE"""),23849781)</f>
        <v>23849781</v>
      </c>
    </row>
    <row r="1100" customFormat="false" ht="15.75" hidden="false" customHeight="false" outlineLevel="0" collapsed="false">
      <c r="A1100" s="6" t="n">
        <f aca="false">IFERROR(__xludf.dummyfunction("""COMPUTED_VALUE"""),45796.6666666667)</f>
        <v>45796.6666666667</v>
      </c>
      <c r="B1100" s="5" t="n">
        <f aca="false">IFERROR(__xludf.dummyfunction("""COMPUTED_VALUE"""),450.88)</f>
        <v>450.88</v>
      </c>
      <c r="C1100" s="5" t="n">
        <f aca="false">IFERROR(__xludf.dummyfunction("""COMPUTED_VALUE"""),459.59)</f>
        <v>459.59</v>
      </c>
      <c r="D1100" s="5" t="n">
        <f aca="false">IFERROR(__xludf.dummyfunction("""COMPUTED_VALUE"""),450.8)</f>
        <v>450.8</v>
      </c>
      <c r="E1100" s="5" t="n">
        <f aca="false">IFERROR(__xludf.dummyfunction("""COMPUTED_VALUE"""),458.87)</f>
        <v>458.87</v>
      </c>
      <c r="F1100" s="5" t="n">
        <f aca="false">IFERROR(__xludf.dummyfunction("""COMPUTED_VALUE"""),21336509)</f>
        <v>21336509</v>
      </c>
    </row>
    <row r="1101" customFormat="false" ht="15.75" hidden="false" customHeight="false" outlineLevel="0" collapsed="false">
      <c r="A1101" s="6" t="n">
        <f aca="false">IFERROR(__xludf.dummyfunction("""COMPUTED_VALUE"""),45797.6666666667)</f>
        <v>45797.6666666667</v>
      </c>
      <c r="B1101" s="5" t="n">
        <f aca="false">IFERROR(__xludf.dummyfunction("""COMPUTED_VALUE"""),455.59)</f>
        <v>455.59</v>
      </c>
      <c r="C1101" s="5" t="n">
        <f aca="false">IFERROR(__xludf.dummyfunction("""COMPUTED_VALUE"""),458.34)</f>
        <v>458.34</v>
      </c>
      <c r="D1101" s="5" t="n">
        <f aca="false">IFERROR(__xludf.dummyfunction("""COMPUTED_VALUE"""),454.32)</f>
        <v>454.32</v>
      </c>
      <c r="E1101" s="5" t="n">
        <f aca="false">IFERROR(__xludf.dummyfunction("""COMPUTED_VALUE"""),458.17)</f>
        <v>458.17</v>
      </c>
      <c r="F1101" s="5" t="n">
        <f aca="false">IFERROR(__xludf.dummyfunction("""COMPUTED_VALUE"""),15441808)</f>
        <v>15441808</v>
      </c>
    </row>
    <row r="1102" customFormat="false" ht="15.75" hidden="false" customHeight="false" outlineLevel="0" collapsed="false">
      <c r="A1102" s="6" t="n">
        <f aca="false">IFERROR(__xludf.dummyfunction("""COMPUTED_VALUE"""),45798.6666666667)</f>
        <v>45798.6666666667</v>
      </c>
      <c r="B1102" s="5" t="n">
        <f aca="false">IFERROR(__xludf.dummyfunction("""COMPUTED_VALUE"""),454.57)</f>
        <v>454.57</v>
      </c>
      <c r="C1102" s="5" t="n">
        <f aca="false">IFERROR(__xludf.dummyfunction("""COMPUTED_VALUE"""),457.78)</f>
        <v>457.78</v>
      </c>
      <c r="D1102" s="5" t="n">
        <f aca="false">IFERROR(__xludf.dummyfunction("""COMPUTED_VALUE"""),451.81)</f>
        <v>451.81</v>
      </c>
      <c r="E1102" s="5" t="n">
        <f aca="false">IFERROR(__xludf.dummyfunction("""COMPUTED_VALUE"""),452.57)</f>
        <v>452.57</v>
      </c>
      <c r="F1102" s="5" t="n">
        <f aca="false">IFERROR(__xludf.dummyfunction("""COMPUTED_VALUE"""),19216906)</f>
        <v>19216906</v>
      </c>
    </row>
    <row r="1103" customFormat="false" ht="15.75" hidden="false" customHeight="false" outlineLevel="0" collapsed="false">
      <c r="A1103" s="6" t="n">
        <f aca="false">IFERROR(__xludf.dummyfunction("""COMPUTED_VALUE"""),45799.6666666667)</f>
        <v>45799.6666666667</v>
      </c>
      <c r="B1103" s="5" t="n">
        <f aca="false">IFERROR(__xludf.dummyfunction("""COMPUTED_VALUE"""),454.95)</f>
        <v>454.95</v>
      </c>
      <c r="C1103" s="5" t="n">
        <f aca="false">IFERROR(__xludf.dummyfunction("""COMPUTED_VALUE"""),460.25)</f>
        <v>460.25</v>
      </c>
      <c r="D1103" s="5" t="n">
        <f aca="false">IFERROR(__xludf.dummyfunction("""COMPUTED_VALUE"""),453.9)</f>
        <v>453.9</v>
      </c>
      <c r="E1103" s="5" t="n">
        <f aca="false">IFERROR(__xludf.dummyfunction("""COMPUTED_VALUE"""),454.86)</f>
        <v>454.86</v>
      </c>
      <c r="F1103" s="5" t="n">
        <f aca="false">IFERROR(__xludf.dummyfunction("""COMPUTED_VALUE"""),18025612)</f>
        <v>18025612</v>
      </c>
    </row>
    <row r="1104" customFormat="false" ht="15.75" hidden="false" customHeight="false" outlineLevel="0" collapsed="false">
      <c r="A1104" s="6" t="n">
        <f aca="false">IFERROR(__xludf.dummyfunction("""COMPUTED_VALUE"""),45800.6666666667)</f>
        <v>45800.6666666667</v>
      </c>
      <c r="B1104" s="5" t="n">
        <f aca="false">IFERROR(__xludf.dummyfunction("""COMPUTED_VALUE"""),449.98)</f>
        <v>449.98</v>
      </c>
      <c r="C1104" s="5" t="n">
        <f aca="false">IFERROR(__xludf.dummyfunction("""COMPUTED_VALUE"""),453.69)</f>
        <v>453.69</v>
      </c>
      <c r="D1104" s="5" t="n">
        <f aca="false">IFERROR(__xludf.dummyfunction("""COMPUTED_VALUE"""),448.91)</f>
        <v>448.91</v>
      </c>
      <c r="E1104" s="5" t="n">
        <f aca="false">IFERROR(__xludf.dummyfunction("""COMPUTED_VALUE"""),450.18)</f>
        <v>450.18</v>
      </c>
      <c r="F1104" s="5" t="n">
        <f aca="false">IFERROR(__xludf.dummyfunction("""COMPUTED_VALUE"""),16883509)</f>
        <v>16883509</v>
      </c>
    </row>
    <row r="1105" customFormat="false" ht="15.75" hidden="false" customHeight="false" outlineLevel="0" collapsed="false">
      <c r="A1105" s="6" t="n">
        <f aca="false">IFERROR(__xludf.dummyfunction("""COMPUTED_VALUE"""),45804.6666666667)</f>
        <v>45804.6666666667</v>
      </c>
      <c r="B1105" s="5" t="n">
        <f aca="false">IFERROR(__xludf.dummyfunction("""COMPUTED_VALUE"""),456.48)</f>
        <v>456.48</v>
      </c>
      <c r="C1105" s="5" t="n">
        <f aca="false">IFERROR(__xludf.dummyfunction("""COMPUTED_VALUE"""),460.95)</f>
        <v>460.95</v>
      </c>
      <c r="D1105" s="5" t="n">
        <f aca="false">IFERROR(__xludf.dummyfunction("""COMPUTED_VALUE"""),456.12)</f>
        <v>456.12</v>
      </c>
      <c r="E1105" s="5" t="n">
        <f aca="false">IFERROR(__xludf.dummyfunction("""COMPUTED_VALUE"""),460.69)</f>
        <v>460.69</v>
      </c>
      <c r="F1105" s="5" t="n">
        <f aca="false">IFERROR(__xludf.dummyfunction("""COMPUTED_VALUE"""),20974293)</f>
        <v>20974293</v>
      </c>
    </row>
    <row r="1106" customFormat="false" ht="15.75" hidden="false" customHeight="false" outlineLevel="0" collapsed="false">
      <c r="A1106" s="6" t="n">
        <f aca="false">IFERROR(__xludf.dummyfunction("""COMPUTED_VALUE"""),45805.6666666667)</f>
        <v>45805.6666666667</v>
      </c>
      <c r="B1106" s="5" t="n">
        <f aca="false">IFERROR(__xludf.dummyfunction("""COMPUTED_VALUE"""),461.22)</f>
        <v>461.22</v>
      </c>
      <c r="C1106" s="5" t="n">
        <f aca="false">IFERROR(__xludf.dummyfunction("""COMPUTED_VALUE"""),462.52)</f>
        <v>462.52</v>
      </c>
      <c r="D1106" s="5" t="n">
        <f aca="false">IFERROR(__xludf.dummyfunction("""COMPUTED_VALUE"""),456.93)</f>
        <v>456.93</v>
      </c>
      <c r="E1106" s="5" t="n">
        <f aca="false">IFERROR(__xludf.dummyfunction("""COMPUTED_VALUE"""),457.36)</f>
        <v>457.36</v>
      </c>
      <c r="F1106" s="5" t="n">
        <f aca="false">IFERROR(__xludf.dummyfunction("""COMPUTED_VALUE"""),17086261)</f>
        <v>17086261</v>
      </c>
    </row>
    <row r="1107" customFormat="false" ht="15.75" hidden="false" customHeight="false" outlineLevel="0" collapsed="false">
      <c r="A1107" s="6" t="n">
        <f aca="false">IFERROR(__xludf.dummyfunction("""COMPUTED_VALUE"""),45806.6666666667)</f>
        <v>45806.6666666667</v>
      </c>
      <c r="B1107" s="5" t="n">
        <f aca="false">IFERROR(__xludf.dummyfunction("""COMPUTED_VALUE"""),461.55)</f>
        <v>461.55</v>
      </c>
      <c r="C1107" s="5" t="n">
        <f aca="false">IFERROR(__xludf.dummyfunction("""COMPUTED_VALUE"""),461.72)</f>
        <v>461.72</v>
      </c>
      <c r="D1107" s="5" t="n">
        <f aca="false">IFERROR(__xludf.dummyfunction("""COMPUTED_VALUE"""),455.31)</f>
        <v>455.31</v>
      </c>
      <c r="E1107" s="5" t="n">
        <f aca="false">IFERROR(__xludf.dummyfunction("""COMPUTED_VALUE"""),458.68)</f>
        <v>458.68</v>
      </c>
      <c r="F1107" s="5" t="n">
        <f aca="false">IFERROR(__xludf.dummyfunction("""COMPUTED_VALUE"""),13982211)</f>
        <v>13982211</v>
      </c>
    </row>
    <row r="1108" customFormat="false" ht="15.75" hidden="false" customHeight="false" outlineLevel="0" collapsed="false">
      <c r="A1108" s="6" t="n">
        <f aca="false">IFERROR(__xludf.dummyfunction("""COMPUTED_VALUE"""),45807.6666666667)</f>
        <v>45807.6666666667</v>
      </c>
      <c r="B1108" s="5" t="n">
        <f aca="false">IFERROR(__xludf.dummyfunction("""COMPUTED_VALUE"""),459.72)</f>
        <v>459.72</v>
      </c>
      <c r="C1108" s="5" t="n">
        <f aca="false">IFERROR(__xludf.dummyfunction("""COMPUTED_VALUE"""),461.68)</f>
        <v>461.68</v>
      </c>
      <c r="D1108" s="5" t="n">
        <f aca="false">IFERROR(__xludf.dummyfunction("""COMPUTED_VALUE"""),455.54)</f>
        <v>455.54</v>
      </c>
      <c r="E1108" s="5" t="n">
        <f aca="false">IFERROR(__xludf.dummyfunction("""COMPUTED_VALUE"""),460.36)</f>
        <v>460.36</v>
      </c>
      <c r="F1108" s="5" t="n">
        <f aca="false">IFERROR(__xludf.dummyfunction("""COMPUTED_VALUE"""),34770475)</f>
        <v>34770475</v>
      </c>
    </row>
    <row r="1109" customFormat="false" ht="15.75" hidden="false" customHeight="false" outlineLevel="0" collapsed="false">
      <c r="A1109" s="6" t="n">
        <f aca="false">IFERROR(__xludf.dummyfunction("""COMPUTED_VALUE"""),45810.6666666667)</f>
        <v>45810.6666666667</v>
      </c>
      <c r="B1109" s="5" t="n">
        <f aca="false">IFERROR(__xludf.dummyfunction("""COMPUTED_VALUE"""),457.14)</f>
        <v>457.14</v>
      </c>
      <c r="C1109" s="5" t="n">
        <f aca="false">IFERROR(__xludf.dummyfunction("""COMPUTED_VALUE"""),462.11)</f>
        <v>462.11</v>
      </c>
      <c r="D1109" s="5" t="n">
        <f aca="false">IFERROR(__xludf.dummyfunction("""COMPUTED_VALUE"""),456.89)</f>
        <v>456.89</v>
      </c>
      <c r="E1109" s="5" t="n">
        <f aca="false">IFERROR(__xludf.dummyfunction("""COMPUTED_VALUE"""),461.97)</f>
        <v>461.97</v>
      </c>
      <c r="F1109" s="5" t="n">
        <f aca="false">IFERROR(__xludf.dummyfunction("""COMPUTED_VALUE"""),16626495)</f>
        <v>16626495</v>
      </c>
    </row>
    <row r="1110" customFormat="false" ht="15.75" hidden="false" customHeight="false" outlineLevel="0" collapsed="false">
      <c r="A1110" s="6" t="n">
        <f aca="false">IFERROR(__xludf.dummyfunction("""COMPUTED_VALUE"""),45811.6666666667)</f>
        <v>45811.6666666667</v>
      </c>
      <c r="B1110" s="5" t="n">
        <f aca="false">IFERROR(__xludf.dummyfunction("""COMPUTED_VALUE"""),461.47)</f>
        <v>461.47</v>
      </c>
      <c r="C1110" s="5" t="n">
        <f aca="false">IFERROR(__xludf.dummyfunction("""COMPUTED_VALUE"""),464.14)</f>
        <v>464.14</v>
      </c>
      <c r="D1110" s="5" t="n">
        <f aca="false">IFERROR(__xludf.dummyfunction("""COMPUTED_VALUE"""),460.86)</f>
        <v>460.86</v>
      </c>
      <c r="E1110" s="5" t="n">
        <f aca="false">IFERROR(__xludf.dummyfunction("""COMPUTED_VALUE"""),462.97)</f>
        <v>462.97</v>
      </c>
      <c r="F1110" s="5" t="n">
        <f aca="false">IFERROR(__xludf.dummyfunction("""COMPUTED_VALUE"""),15743760)</f>
        <v>15743760</v>
      </c>
    </row>
    <row r="1111" customFormat="false" ht="15.75" hidden="false" customHeight="false" outlineLevel="0" collapsed="false">
      <c r="A1111" s="6" t="n">
        <f aca="false">IFERROR(__xludf.dummyfunction("""COMPUTED_VALUE"""),45812.6666666667)</f>
        <v>45812.6666666667</v>
      </c>
      <c r="B1111" s="5" t="n">
        <f aca="false">IFERROR(__xludf.dummyfunction("""COMPUTED_VALUE"""),464)</f>
        <v>464</v>
      </c>
      <c r="C1111" s="5" t="n">
        <f aca="false">IFERROR(__xludf.dummyfunction("""COMPUTED_VALUE"""),465.69)</f>
        <v>465.69</v>
      </c>
      <c r="D1111" s="5" t="n">
        <f aca="false">IFERROR(__xludf.dummyfunction("""COMPUTED_VALUE"""),463.02)</f>
        <v>463.02</v>
      </c>
      <c r="E1111" s="5" t="n">
        <f aca="false">IFERROR(__xludf.dummyfunction("""COMPUTED_VALUE"""),463.87)</f>
        <v>463.87</v>
      </c>
      <c r="F1111" s="5" t="n">
        <f aca="false">IFERROR(__xludf.dummyfunction("""COMPUTED_VALUE"""),14162688)</f>
        <v>14162688</v>
      </c>
    </row>
    <row r="1112" customFormat="false" ht="15.75" hidden="false" customHeight="false" outlineLevel="0" collapsed="false">
      <c r="A1112" s="6" t="n">
        <f aca="false">IFERROR(__xludf.dummyfunction("""COMPUTED_VALUE"""),45813.6666666667)</f>
        <v>45813.6666666667</v>
      </c>
      <c r="B1112" s="5" t="n">
        <f aca="false">IFERROR(__xludf.dummyfunction("""COMPUTED_VALUE"""),464.96)</f>
        <v>464.96</v>
      </c>
      <c r="C1112" s="5" t="n">
        <f aca="false">IFERROR(__xludf.dummyfunction("""COMPUTED_VALUE"""),469.65)</f>
        <v>469.65</v>
      </c>
      <c r="D1112" s="5" t="n">
        <f aca="false">IFERROR(__xludf.dummyfunction("""COMPUTED_VALUE"""),464.03)</f>
        <v>464.03</v>
      </c>
      <c r="E1112" s="5" t="n">
        <f aca="false">IFERROR(__xludf.dummyfunction("""COMPUTED_VALUE"""),467.68)</f>
        <v>467.68</v>
      </c>
      <c r="F1112" s="5" t="n">
        <f aca="false">IFERROR(__xludf.dummyfunction("""COMPUTED_VALUE"""),20154460)</f>
        <v>20154460</v>
      </c>
    </row>
    <row r="1113" customFormat="false" ht="15.75" hidden="false" customHeight="false" outlineLevel="0" collapsed="false">
      <c r="A1113" s="6" t="n">
        <f aca="false">IFERROR(__xludf.dummyfunction("""COMPUTED_VALUE"""),45814.6666666667)</f>
        <v>45814.6666666667</v>
      </c>
      <c r="B1113" s="5" t="n">
        <f aca="false">IFERROR(__xludf.dummyfunction("""COMPUTED_VALUE"""),470.09)</f>
        <v>470.09</v>
      </c>
      <c r="C1113" s="5" t="n">
        <f aca="false">IFERROR(__xludf.dummyfunction("""COMPUTED_VALUE"""),473.34)</f>
        <v>473.34</v>
      </c>
      <c r="D1113" s="5" t="n">
        <f aca="false">IFERROR(__xludf.dummyfunction("""COMPUTED_VALUE"""),468.78)</f>
        <v>468.78</v>
      </c>
      <c r="E1113" s="5" t="n">
        <f aca="false">IFERROR(__xludf.dummyfunction("""COMPUTED_VALUE"""),470.38)</f>
        <v>470.38</v>
      </c>
      <c r="F1113" s="5" t="n">
        <f aca="false">IFERROR(__xludf.dummyfunction("""COMPUTED_VALUE"""),15285624)</f>
        <v>15285624</v>
      </c>
    </row>
    <row r="1114" customFormat="false" ht="15.75" hidden="false" customHeight="false" outlineLevel="0" collapsed="false">
      <c r="A1114" s="6" t="n">
        <f aca="false">IFERROR(__xludf.dummyfunction("""COMPUTED_VALUE"""),45817.6666666667)</f>
        <v>45817.6666666667</v>
      </c>
      <c r="B1114" s="5" t="n">
        <f aca="false">IFERROR(__xludf.dummyfunction("""COMPUTED_VALUE"""),469.7)</f>
        <v>469.7</v>
      </c>
      <c r="C1114" s="5" t="n">
        <f aca="false">IFERROR(__xludf.dummyfunction("""COMPUTED_VALUE"""),473.43)</f>
        <v>473.43</v>
      </c>
      <c r="D1114" s="5" t="n">
        <f aca="false">IFERROR(__xludf.dummyfunction("""COMPUTED_VALUE"""),468.62)</f>
        <v>468.62</v>
      </c>
      <c r="E1114" s="5" t="n">
        <f aca="false">IFERROR(__xludf.dummyfunction("""COMPUTED_VALUE"""),472.75)</f>
        <v>472.75</v>
      </c>
      <c r="F1114" s="5" t="n">
        <f aca="false">IFERROR(__xludf.dummyfunction("""COMPUTED_VALUE"""),16469932)</f>
        <v>16469932</v>
      </c>
    </row>
    <row r="1115" customFormat="false" ht="15.75" hidden="false" customHeight="false" outlineLevel="0" collapsed="false">
      <c r="A1115" s="6" t="n">
        <f aca="false">IFERROR(__xludf.dummyfunction("""COMPUTED_VALUE"""),45818.6666666667)</f>
        <v>45818.6666666667</v>
      </c>
      <c r="B1115" s="5" t="n">
        <f aca="false">IFERROR(__xludf.dummyfunction("""COMPUTED_VALUE"""),471.19)</f>
        <v>471.19</v>
      </c>
      <c r="C1115" s="5" t="n">
        <f aca="false">IFERROR(__xludf.dummyfunction("""COMPUTED_VALUE"""),472.8)</f>
        <v>472.8</v>
      </c>
      <c r="D1115" s="5" t="n">
        <f aca="false">IFERROR(__xludf.dummyfunction("""COMPUTED_VALUE"""),466.96)</f>
        <v>466.96</v>
      </c>
      <c r="E1115" s="5" t="n">
        <f aca="false">IFERROR(__xludf.dummyfunction("""COMPUTED_VALUE"""),470.92)</f>
        <v>470.92</v>
      </c>
      <c r="F1115" s="5" t="n">
        <f aca="false">IFERROR(__xludf.dummyfunction("""COMPUTED_VALUE"""),15375944)</f>
        <v>15375944</v>
      </c>
    </row>
    <row r="1116" customFormat="false" ht="15.75" hidden="false" customHeight="false" outlineLevel="0" collapsed="false">
      <c r="A1116" s="6" t="n">
        <f aca="false">IFERROR(__xludf.dummyfunction("""COMPUTED_VALUE"""),45819.6666666667)</f>
        <v>45819.6666666667</v>
      </c>
      <c r="B1116" s="5" t="n">
        <f aca="false">IFERROR(__xludf.dummyfunction("""COMPUTED_VALUE"""),470.02)</f>
        <v>470.02</v>
      </c>
      <c r="C1116" s="5" t="n">
        <f aca="false">IFERROR(__xludf.dummyfunction("""COMPUTED_VALUE"""),475.47)</f>
        <v>475.47</v>
      </c>
      <c r="D1116" s="5" t="n">
        <f aca="false">IFERROR(__xludf.dummyfunction("""COMPUTED_VALUE"""),469.66)</f>
        <v>469.66</v>
      </c>
      <c r="E1116" s="5" t="n">
        <f aca="false">IFERROR(__xludf.dummyfunction("""COMPUTED_VALUE"""),472.62)</f>
        <v>472.62</v>
      </c>
      <c r="F1116" s="5" t="n">
        <f aca="false">IFERROR(__xludf.dummyfunction("""COMPUTED_VALUE"""),16399176)</f>
        <v>16399176</v>
      </c>
    </row>
    <row r="1117" customFormat="false" ht="15.75" hidden="false" customHeight="false" outlineLevel="0" collapsed="false">
      <c r="A1117" s="6" t="n">
        <f aca="false">IFERROR(__xludf.dummyfunction("""COMPUTED_VALUE"""),45820.6666666667)</f>
        <v>45820.6666666667</v>
      </c>
      <c r="B1117" s="5" t="n">
        <f aca="false">IFERROR(__xludf.dummyfunction("""COMPUTED_VALUE"""),475.02)</f>
        <v>475.02</v>
      </c>
      <c r="C1117" s="5" t="n">
        <f aca="false">IFERROR(__xludf.dummyfunction("""COMPUTED_VALUE"""),480.42)</f>
        <v>480.42</v>
      </c>
      <c r="D1117" s="5" t="n">
        <f aca="false">IFERROR(__xludf.dummyfunction("""COMPUTED_VALUE"""),473.52)</f>
        <v>473.52</v>
      </c>
      <c r="E1117" s="5" t="n">
        <f aca="false">IFERROR(__xludf.dummyfunction("""COMPUTED_VALUE"""),478.87)</f>
        <v>478.87</v>
      </c>
      <c r="F1117" s="5" t="n">
        <f aca="false">IFERROR(__xludf.dummyfunction("""COMPUTED_VALUE"""),18950582)</f>
        <v>18950582</v>
      </c>
    </row>
    <row r="1118" customFormat="false" ht="15.75" hidden="false" customHeight="false" outlineLevel="0" collapsed="false">
      <c r="A1118" s="6" t="n">
        <f aca="false">IFERROR(__xludf.dummyfunction("""COMPUTED_VALUE"""),45821.6666666667)</f>
        <v>45821.6666666667</v>
      </c>
      <c r="B1118" s="5" t="n">
        <f aca="false">IFERROR(__xludf.dummyfunction("""COMPUTED_VALUE"""),476.41)</f>
        <v>476.41</v>
      </c>
      <c r="C1118" s="5" t="n">
        <f aca="false">IFERROR(__xludf.dummyfunction("""COMPUTED_VALUE"""),479.18)</f>
        <v>479.18</v>
      </c>
      <c r="D1118" s="5" t="n">
        <f aca="false">IFERROR(__xludf.dummyfunction("""COMPUTED_VALUE"""),472.76)</f>
        <v>472.76</v>
      </c>
      <c r="E1118" s="5" t="n">
        <f aca="false">IFERROR(__xludf.dummyfunction("""COMPUTED_VALUE"""),474.96)</f>
        <v>474.96</v>
      </c>
      <c r="F1118" s="5" t="n">
        <f aca="false">IFERROR(__xludf.dummyfunction("""COMPUTED_VALUE"""),16814456)</f>
        <v>16814456</v>
      </c>
    </row>
    <row r="1119" customFormat="false" ht="15.75" hidden="false" customHeight="false" outlineLevel="0" collapsed="false">
      <c r="A1119" s="6" t="n">
        <f aca="false">IFERROR(__xludf.dummyfunction("""COMPUTED_VALUE"""),45824.6666666667)</f>
        <v>45824.6666666667</v>
      </c>
      <c r="B1119" s="5" t="n">
        <f aca="false">IFERROR(__xludf.dummyfunction("""COMPUTED_VALUE"""),475.21)</f>
        <v>475.21</v>
      </c>
      <c r="C1119" s="5" t="n">
        <f aca="false">IFERROR(__xludf.dummyfunction("""COMPUTED_VALUE"""),480.69)</f>
        <v>480.69</v>
      </c>
      <c r="D1119" s="5" t="n">
        <f aca="false">IFERROR(__xludf.dummyfunction("""COMPUTED_VALUE"""),475)</f>
        <v>475</v>
      </c>
      <c r="E1119" s="5" t="n">
        <f aca="false">IFERROR(__xludf.dummyfunction("""COMPUTED_VALUE"""),479.14)</f>
        <v>479.14</v>
      </c>
      <c r="F1119" s="5" t="n">
        <f aca="false">IFERROR(__xludf.dummyfunction("""COMPUTED_VALUE"""),15626104)</f>
        <v>15626104</v>
      </c>
    </row>
    <row r="1120" customFormat="false" ht="15.75" hidden="false" customHeight="false" outlineLevel="0" collapsed="false">
      <c r="A1120" s="6" t="n">
        <f aca="false">IFERROR(__xludf.dummyfunction("""COMPUTED_VALUE"""),45825.6666666667)</f>
        <v>45825.6666666667</v>
      </c>
      <c r="B1120" s="5" t="n">
        <f aca="false">IFERROR(__xludf.dummyfunction("""COMPUTED_VALUE"""),475.4)</f>
        <v>475.4</v>
      </c>
      <c r="C1120" s="5" t="n">
        <f aca="false">IFERROR(__xludf.dummyfunction("""COMPUTED_VALUE"""),478.74)</f>
        <v>478.74</v>
      </c>
      <c r="D1120" s="5" t="n">
        <f aca="false">IFERROR(__xludf.dummyfunction("""COMPUTED_VALUE"""),474.08)</f>
        <v>474.08</v>
      </c>
      <c r="E1120" s="5" t="n">
        <f aca="false">IFERROR(__xludf.dummyfunction("""COMPUTED_VALUE"""),478.04)</f>
        <v>478.04</v>
      </c>
      <c r="F1120" s="5" t="n">
        <f aca="false">IFERROR(__xludf.dummyfunction("""COMPUTED_VALUE"""),15414128)</f>
        <v>15414128</v>
      </c>
    </row>
    <row r="1121" customFormat="false" ht="15.75" hidden="false" customHeight="false" outlineLevel="0" collapsed="false">
      <c r="A1121" s="6" t="n">
        <f aca="false">IFERROR(__xludf.dummyfunction("""COMPUTED_VALUE"""),45826.6666666667)</f>
        <v>45826.6666666667</v>
      </c>
      <c r="B1121" s="5" t="n">
        <f aca="false">IFERROR(__xludf.dummyfunction("""COMPUTED_VALUE"""),478)</f>
        <v>478</v>
      </c>
      <c r="C1121" s="5" t="n">
        <f aca="false">IFERROR(__xludf.dummyfunction("""COMPUTED_VALUE"""),481)</f>
        <v>481</v>
      </c>
      <c r="D1121" s="5" t="n">
        <f aca="false">IFERROR(__xludf.dummyfunction("""COMPUTED_VALUE"""),474.46)</f>
        <v>474.46</v>
      </c>
      <c r="E1121" s="5" t="n">
        <f aca="false">IFERROR(__xludf.dummyfunction("""COMPUTED_VALUE"""),480.24)</f>
        <v>480.24</v>
      </c>
      <c r="F1121" s="5" t="n">
        <f aca="false">IFERROR(__xludf.dummyfunction("""COMPUTED_VALUE"""),17526452)</f>
        <v>17526452</v>
      </c>
    </row>
    <row r="1122" customFormat="false" ht="15.75" hidden="false" customHeight="false" outlineLevel="0" collapsed="false">
      <c r="A1122" s="6" t="n">
        <f aca="false">IFERROR(__xludf.dummyfunction("""COMPUTED_VALUE"""),45828.6666666667)</f>
        <v>45828.6666666667</v>
      </c>
      <c r="B1122" s="5" t="n">
        <f aca="false">IFERROR(__xludf.dummyfunction("""COMPUTED_VALUE"""),482.23)</f>
        <v>482.23</v>
      </c>
      <c r="C1122" s="5" t="n">
        <f aca="false">IFERROR(__xludf.dummyfunction("""COMPUTED_VALUE"""),483.46)</f>
        <v>483.46</v>
      </c>
      <c r="D1122" s="5" t="n">
        <f aca="false">IFERROR(__xludf.dummyfunction("""COMPUTED_VALUE"""),476.87)</f>
        <v>476.87</v>
      </c>
      <c r="E1122" s="5" t="n">
        <f aca="false">IFERROR(__xludf.dummyfunction("""COMPUTED_VALUE"""),477.4)</f>
        <v>477.4</v>
      </c>
      <c r="F1122" s="5" t="n">
        <f aca="false">IFERROR(__xludf.dummyfunction("""COMPUTED_VALUE"""),37576206)</f>
        <v>37576206</v>
      </c>
    </row>
    <row r="1123" customFormat="false" ht="15.75" hidden="false" customHeight="false" outlineLevel="0" collapsed="false">
      <c r="A1123" s="6" t="n">
        <f aca="false">IFERROR(__xludf.dummyfunction("""COMPUTED_VALUE"""),45831.6666666667)</f>
        <v>45831.6666666667</v>
      </c>
      <c r="B1123" s="5" t="n">
        <f aca="false">IFERROR(__xludf.dummyfunction("""COMPUTED_VALUE"""),478.21)</f>
        <v>478.21</v>
      </c>
      <c r="C1123" s="5" t="n">
        <f aca="false">IFERROR(__xludf.dummyfunction("""COMPUTED_VALUE"""),487.75)</f>
        <v>487.75</v>
      </c>
      <c r="D1123" s="5" t="n">
        <f aca="false">IFERROR(__xludf.dummyfunction("""COMPUTED_VALUE"""),472.51)</f>
        <v>472.51</v>
      </c>
      <c r="E1123" s="5" t="n">
        <f aca="false">IFERROR(__xludf.dummyfunction("""COMPUTED_VALUE"""),486)</f>
        <v>486</v>
      </c>
      <c r="F1123" s="5" t="n">
        <f aca="false">IFERROR(__xludf.dummyfunction("""COMPUTED_VALUE"""),24863952)</f>
        <v>24863952</v>
      </c>
    </row>
    <row r="1124" customFormat="false" ht="15.75" hidden="false" customHeight="false" outlineLevel="0" collapsed="false">
      <c r="A1124" s="6" t="n">
        <f aca="false">IFERROR(__xludf.dummyfunction("""COMPUTED_VALUE"""),45832.6666666667)</f>
        <v>45832.6666666667</v>
      </c>
      <c r="B1124" s="5" t="n">
        <f aca="false">IFERROR(__xludf.dummyfunction("""COMPUTED_VALUE"""),488.95)</f>
        <v>488.95</v>
      </c>
      <c r="C1124" s="5" t="n">
        <f aca="false">IFERROR(__xludf.dummyfunction("""COMPUTED_VALUE"""),491.85)</f>
        <v>491.85</v>
      </c>
      <c r="D1124" s="5" t="n">
        <f aca="false">IFERROR(__xludf.dummyfunction("""COMPUTED_VALUE"""),486.8)</f>
        <v>486.8</v>
      </c>
      <c r="E1124" s="5" t="n">
        <f aca="false">IFERROR(__xludf.dummyfunction("""COMPUTED_VALUE"""),490.11)</f>
        <v>490.11</v>
      </c>
      <c r="F1124" s="5" t="n">
        <f aca="false">IFERROR(__xludf.dummyfunction("""COMPUTED_VALUE"""),22305642)</f>
        <v>22305642</v>
      </c>
    </row>
    <row r="1125" customFormat="false" ht="15.75" hidden="false" customHeight="false" outlineLevel="0" collapsed="false">
      <c r="A1125" s="6" t="n">
        <f aca="false">IFERROR(__xludf.dummyfunction("""COMPUTED_VALUE"""),45833.6666666667)</f>
        <v>45833.6666666667</v>
      </c>
      <c r="B1125" s="5" t="n">
        <f aca="false">IFERROR(__xludf.dummyfunction("""COMPUTED_VALUE"""),492.04)</f>
        <v>492.04</v>
      </c>
      <c r="C1125" s="5" t="n">
        <f aca="false">IFERROR(__xludf.dummyfunction("""COMPUTED_VALUE"""),494.56)</f>
        <v>494.56</v>
      </c>
      <c r="D1125" s="5" t="n">
        <f aca="false">IFERROR(__xludf.dummyfunction("""COMPUTED_VALUE"""),489.39)</f>
        <v>489.39</v>
      </c>
      <c r="E1125" s="5" t="n">
        <f aca="false">IFERROR(__xludf.dummyfunction("""COMPUTED_VALUE"""),492.27)</f>
        <v>492.27</v>
      </c>
      <c r="F1125" s="5" t="n">
        <f aca="false">IFERROR(__xludf.dummyfunction("""COMPUTED_VALUE"""),17495099)</f>
        <v>17495099</v>
      </c>
    </row>
    <row r="1126" customFormat="false" ht="15.75" hidden="false" customHeight="false" outlineLevel="0" collapsed="false">
      <c r="A1126" s="6" t="n">
        <f aca="false">IFERROR(__xludf.dummyfunction("""COMPUTED_VALUE"""),45834.6666666667)</f>
        <v>45834.6666666667</v>
      </c>
      <c r="B1126" s="5" t="n">
        <f aca="false">IFERROR(__xludf.dummyfunction("""COMPUTED_VALUE"""),492.98)</f>
        <v>492.98</v>
      </c>
      <c r="C1126" s="5" t="n">
        <f aca="false">IFERROR(__xludf.dummyfunction("""COMPUTED_VALUE"""),498.04)</f>
        <v>498.04</v>
      </c>
      <c r="D1126" s="5" t="n">
        <f aca="false">IFERROR(__xludf.dummyfunction("""COMPUTED_VALUE"""),492.81)</f>
        <v>492.81</v>
      </c>
      <c r="E1126" s="5" t="n">
        <f aca="false">IFERROR(__xludf.dummyfunction("""COMPUTED_VALUE"""),497.45)</f>
        <v>497.45</v>
      </c>
      <c r="F1126" s="5" t="n">
        <f aca="false">IFERROR(__xludf.dummyfunction("""COMPUTED_VALUE"""),21578853)</f>
        <v>21578853</v>
      </c>
    </row>
    <row r="1127" customFormat="false" ht="15.75" hidden="false" customHeight="false" outlineLevel="0" collapsed="false">
      <c r="A1127" s="6" t="n">
        <f aca="false">IFERROR(__xludf.dummyfunction("""COMPUTED_VALUE"""),45835.6666666667)</f>
        <v>45835.6666666667</v>
      </c>
      <c r="B1127" s="5" t="n">
        <f aca="false">IFERROR(__xludf.dummyfunction("""COMPUTED_VALUE"""),497.55)</f>
        <v>497.55</v>
      </c>
      <c r="C1127" s="5" t="n">
        <f aca="false">IFERROR(__xludf.dummyfunction("""COMPUTED_VALUE"""),499.3)</f>
        <v>499.3</v>
      </c>
      <c r="D1127" s="5" t="n">
        <f aca="false">IFERROR(__xludf.dummyfunction("""COMPUTED_VALUE"""),493.03)</f>
        <v>493.03</v>
      </c>
      <c r="E1127" s="5" t="n">
        <f aca="false">IFERROR(__xludf.dummyfunction("""COMPUTED_VALUE"""),495.94)</f>
        <v>495.94</v>
      </c>
      <c r="F1127" s="5" t="n">
        <f aca="false">IFERROR(__xludf.dummyfunction("""COMPUTED_VALUE"""),34539236)</f>
        <v>34539236</v>
      </c>
    </row>
    <row r="1128" customFormat="false" ht="15.75" hidden="false" customHeight="false" outlineLevel="0" collapsed="false">
      <c r="A1128" s="6" t="n">
        <f aca="false">IFERROR(__xludf.dummyfunction("""COMPUTED_VALUE"""),45838.6666666667)</f>
        <v>45838.6666666667</v>
      </c>
      <c r="B1128" s="5" t="n">
        <f aca="false">IFERROR(__xludf.dummyfunction("""COMPUTED_VALUE"""),497.04)</f>
        <v>497.04</v>
      </c>
      <c r="C1128" s="5" t="n">
        <f aca="false">IFERROR(__xludf.dummyfunction("""COMPUTED_VALUE"""),500.76)</f>
        <v>500.76</v>
      </c>
      <c r="D1128" s="5" t="n">
        <f aca="false">IFERROR(__xludf.dummyfunction("""COMPUTED_VALUE"""),495.33)</f>
        <v>495.33</v>
      </c>
      <c r="E1128" s="5" t="n">
        <f aca="false">IFERROR(__xludf.dummyfunction("""COMPUTED_VALUE"""),497.41)</f>
        <v>497.41</v>
      </c>
      <c r="F1128" s="5" t="n">
        <f aca="false">IFERROR(__xludf.dummyfunction("""COMPUTED_VALUE"""),28368991)</f>
        <v>28368991</v>
      </c>
    </row>
    <row r="1129" customFormat="false" ht="15.75" hidden="false" customHeight="false" outlineLevel="0" collapsed="false">
      <c r="A1129" s="6" t="n">
        <f aca="false">IFERROR(__xludf.dummyfunction("""COMPUTED_VALUE"""),45839.6666666667)</f>
        <v>45839.6666666667</v>
      </c>
      <c r="B1129" s="5" t="n">
        <f aca="false">IFERROR(__xludf.dummyfunction("""COMPUTED_VALUE"""),496.47)</f>
        <v>496.47</v>
      </c>
      <c r="C1129" s="5" t="n">
        <f aca="false">IFERROR(__xludf.dummyfunction("""COMPUTED_VALUE"""),498.05)</f>
        <v>498.05</v>
      </c>
      <c r="D1129" s="5" t="n">
        <f aca="false">IFERROR(__xludf.dummyfunction("""COMPUTED_VALUE"""),490.98)</f>
        <v>490.98</v>
      </c>
      <c r="E1129" s="5" t="n">
        <f aca="false">IFERROR(__xludf.dummyfunction("""COMPUTED_VALUE"""),492.05)</f>
        <v>492.05</v>
      </c>
      <c r="F1129" s="5" t="n">
        <f aca="false">IFERROR(__xludf.dummyfunction("""COMPUTED_VALUE"""),19945375)</f>
        <v>19945375</v>
      </c>
    </row>
    <row r="1130" customFormat="false" ht="15.75" hidden="false" customHeight="false" outlineLevel="0" collapsed="false">
      <c r="A1130" s="6" t="n">
        <f aca="false">IFERROR(__xludf.dummyfunction("""COMPUTED_VALUE"""),45840.6666666667)</f>
        <v>45840.6666666667</v>
      </c>
      <c r="B1130" s="5" t="n">
        <f aca="false">IFERROR(__xludf.dummyfunction("""COMPUTED_VALUE"""),489.99)</f>
        <v>489.99</v>
      </c>
      <c r="C1130" s="5" t="n">
        <f aca="false">IFERROR(__xludf.dummyfunction("""COMPUTED_VALUE"""),493.5)</f>
        <v>493.5</v>
      </c>
      <c r="D1130" s="5" t="n">
        <f aca="false">IFERROR(__xludf.dummyfunction("""COMPUTED_VALUE"""),488.7)</f>
        <v>488.7</v>
      </c>
      <c r="E1130" s="5" t="n">
        <f aca="false">IFERROR(__xludf.dummyfunction("""COMPUTED_VALUE"""),491.09)</f>
        <v>491.09</v>
      </c>
      <c r="F1130" s="5" t="n">
        <f aca="false">IFERROR(__xludf.dummyfunction("""COMPUTED_VALUE"""),16319641)</f>
        <v>16319641</v>
      </c>
    </row>
    <row r="1131" customFormat="false" ht="15.75" hidden="false" customHeight="false" outlineLevel="0" collapsed="false">
      <c r="A1131" s="6" t="n">
        <f aca="false">IFERROR(__xludf.dummyfunction("""COMPUTED_VALUE"""),45841.5451388889)</f>
        <v>45841.5451388889</v>
      </c>
      <c r="B1131" s="5" t="n">
        <f aca="false">IFERROR(__xludf.dummyfunction("""COMPUTED_VALUE"""),493.81)</f>
        <v>493.81</v>
      </c>
      <c r="C1131" s="5" t="n">
        <f aca="false">IFERROR(__xludf.dummyfunction("""COMPUTED_VALUE"""),500.13)</f>
        <v>500.13</v>
      </c>
      <c r="D1131" s="5" t="n">
        <f aca="false">IFERROR(__xludf.dummyfunction("""COMPUTED_VALUE"""),493.44)</f>
        <v>493.44</v>
      </c>
      <c r="E1131" s="5" t="n">
        <f aca="false">IFERROR(__xludf.dummyfunction("""COMPUTED_VALUE"""),498.84)</f>
        <v>498.84</v>
      </c>
      <c r="F1131" s="5" t="n">
        <f aca="false">IFERROR(__xludf.dummyfunction("""COMPUTED_VALUE"""),13984829)</f>
        <v>13984829</v>
      </c>
    </row>
    <row r="1132" customFormat="false" ht="15.75" hidden="false" customHeight="false" outlineLevel="0" collapsed="false">
      <c r="A1132" s="6" t="n">
        <f aca="false">IFERROR(__xludf.dummyfunction("""COMPUTED_VALUE"""),45845.6666666667)</f>
        <v>45845.6666666667</v>
      </c>
      <c r="B1132" s="5" t="n">
        <f aca="false">IFERROR(__xludf.dummyfunction("""COMPUTED_VALUE"""),497.38)</f>
        <v>497.38</v>
      </c>
      <c r="C1132" s="5" t="n">
        <f aca="false">IFERROR(__xludf.dummyfunction("""COMPUTED_VALUE"""),498.75)</f>
        <v>498.75</v>
      </c>
      <c r="D1132" s="5" t="n">
        <f aca="false">IFERROR(__xludf.dummyfunction("""COMPUTED_VALUE"""),495.23)</f>
        <v>495.23</v>
      </c>
      <c r="E1132" s="5" t="n">
        <f aca="false">IFERROR(__xludf.dummyfunction("""COMPUTED_VALUE"""),497.72)</f>
        <v>497.72</v>
      </c>
      <c r="F1132" s="5" t="n">
        <f aca="false">IFERROR(__xludf.dummyfunction("""COMPUTED_VALUE"""),13981605)</f>
        <v>13981605</v>
      </c>
    </row>
    <row r="1133" customFormat="false" ht="15.75" hidden="false" customHeight="false" outlineLevel="0" collapsed="false">
      <c r="A1133" s="6" t="n">
        <f aca="false">IFERROR(__xludf.dummyfunction("""COMPUTED_VALUE"""),45846.6666666667)</f>
        <v>45846.6666666667</v>
      </c>
      <c r="B1133" s="5" t="n">
        <f aca="false">IFERROR(__xludf.dummyfunction("""COMPUTED_VALUE"""),497.24)</f>
        <v>497.24</v>
      </c>
      <c r="C1133" s="5" t="n">
        <f aca="false">IFERROR(__xludf.dummyfunction("""COMPUTED_VALUE"""),498.2)</f>
        <v>498.2</v>
      </c>
      <c r="D1133" s="5" t="n">
        <f aca="false">IFERROR(__xludf.dummyfunction("""COMPUTED_VALUE"""),494.11)</f>
        <v>494.11</v>
      </c>
      <c r="E1133" s="5" t="n">
        <f aca="false">IFERROR(__xludf.dummyfunction("""COMPUTED_VALUE"""),496.62)</f>
        <v>496.62</v>
      </c>
      <c r="F1133" s="5" t="n">
        <f aca="false">IFERROR(__xludf.dummyfunction("""COMPUTED_VALUE"""),11846586)</f>
        <v>11846586</v>
      </c>
    </row>
    <row r="1134" customFormat="false" ht="15.75" hidden="false" customHeight="false" outlineLevel="0" collapsed="false">
      <c r="A1134" s="6" t="n">
        <f aca="false">IFERROR(__xludf.dummyfunction("""COMPUTED_VALUE"""),45847.6666666667)</f>
        <v>45847.6666666667</v>
      </c>
      <c r="B1134" s="5" t="n">
        <f aca="false">IFERROR(__xludf.dummyfunction("""COMPUTED_VALUE"""),500.3)</f>
        <v>500.3</v>
      </c>
      <c r="C1134" s="5" t="n">
        <f aca="false">IFERROR(__xludf.dummyfunction("""COMPUTED_VALUE"""),506.78)</f>
        <v>506.78</v>
      </c>
      <c r="D1134" s="5" t="n">
        <f aca="false">IFERROR(__xludf.dummyfunction("""COMPUTED_VALUE"""),499.74)</f>
        <v>499.74</v>
      </c>
      <c r="E1134" s="5" t="n">
        <f aca="false">IFERROR(__xludf.dummyfunction("""COMPUTED_VALUE"""),503.51)</f>
        <v>503.51</v>
      </c>
      <c r="F1134" s="5" t="n">
        <f aca="false">IFERROR(__xludf.dummyfunction("""COMPUTED_VALUE"""),18659538)</f>
        <v>18659538</v>
      </c>
    </row>
    <row r="1135" customFormat="false" ht="15.75" hidden="false" customHeight="false" outlineLevel="0" collapsed="false">
      <c r="A1135" s="6" t="n">
        <f aca="false">IFERROR(__xludf.dummyfunction("""COMPUTED_VALUE"""),45848.6666666667)</f>
        <v>45848.6666666667</v>
      </c>
      <c r="B1135" s="5" t="n">
        <f aca="false">IFERROR(__xludf.dummyfunction("""COMPUTED_VALUE"""),503.05)</f>
        <v>503.05</v>
      </c>
      <c r="C1135" s="5" t="n">
        <f aca="false">IFERROR(__xludf.dummyfunction("""COMPUTED_VALUE"""),504.44)</f>
        <v>504.44</v>
      </c>
      <c r="D1135" s="5" t="n">
        <f aca="false">IFERROR(__xludf.dummyfunction("""COMPUTED_VALUE"""),497.75)</f>
        <v>497.75</v>
      </c>
      <c r="E1135" s="5" t="n">
        <f aca="false">IFERROR(__xludf.dummyfunction("""COMPUTED_VALUE"""),501.48)</f>
        <v>501.48</v>
      </c>
      <c r="F1135" s="5" t="n">
        <f aca="false">IFERROR(__xludf.dummyfunction("""COMPUTED_VALUE"""),16498740)</f>
        <v>16498740</v>
      </c>
    </row>
    <row r="1136" customFormat="false" ht="15.75" hidden="false" customHeight="false" outlineLevel="0" collapsed="false">
      <c r="A1136" s="6" t="n">
        <f aca="false">IFERROR(__xludf.dummyfunction("""COMPUTED_VALUE"""),45849.6666666667)</f>
        <v>45849.6666666667</v>
      </c>
      <c r="B1136" s="5" t="n">
        <f aca="false">IFERROR(__xludf.dummyfunction("""COMPUTED_VALUE"""),498.47)</f>
        <v>498.47</v>
      </c>
      <c r="C1136" s="5" t="n">
        <f aca="false">IFERROR(__xludf.dummyfunction("""COMPUTED_VALUE"""),505.03)</f>
        <v>505.03</v>
      </c>
      <c r="D1136" s="5" t="n">
        <f aca="false">IFERROR(__xludf.dummyfunction("""COMPUTED_VALUE"""),497.8)</f>
        <v>497.8</v>
      </c>
      <c r="E1136" s="5" t="n">
        <f aca="false">IFERROR(__xludf.dummyfunction("""COMPUTED_VALUE"""),503.32)</f>
        <v>503.32</v>
      </c>
      <c r="F1136" s="5" t="n">
        <f aca="false">IFERROR(__xludf.dummyfunction("""COMPUTED_VALUE"""),16459512)</f>
        <v>16459512</v>
      </c>
    </row>
    <row r="1137" customFormat="false" ht="15.75" hidden="false" customHeight="false" outlineLevel="0" collapsed="false">
      <c r="A1137" s="6" t="n">
        <f aca="false">IFERROR(__xludf.dummyfunction("""COMPUTED_VALUE"""),45852.6666666667)</f>
        <v>45852.6666666667</v>
      </c>
      <c r="B1137" s="5" t="n">
        <f aca="false">IFERROR(__xludf.dummyfunction("""COMPUTED_VALUE"""),501.52)</f>
        <v>501.52</v>
      </c>
      <c r="C1137" s="5" t="n">
        <f aca="false">IFERROR(__xludf.dummyfunction("""COMPUTED_VALUE"""),503.97)</f>
        <v>503.97</v>
      </c>
      <c r="D1137" s="5" t="n">
        <f aca="false">IFERROR(__xludf.dummyfunction("""COMPUTED_VALUE"""),501.03)</f>
        <v>501.03</v>
      </c>
      <c r="E1137" s="5" t="n">
        <f aca="false">IFERROR(__xludf.dummyfunction("""COMPUTED_VALUE"""),503.02)</f>
        <v>503.02</v>
      </c>
      <c r="F1137" s="5" t="n">
        <f aca="false">IFERROR(__xludf.dummyfunction("""COMPUTED_VALUE"""),12058848)</f>
        <v>12058848</v>
      </c>
    </row>
    <row r="1138" customFormat="false" ht="15.75" hidden="false" customHeight="false" outlineLevel="0" collapsed="false">
      <c r="A1138" s="6" t="n">
        <f aca="false">IFERROR(__xludf.dummyfunction("""COMPUTED_VALUE"""),45853.6666666667)</f>
        <v>45853.6666666667</v>
      </c>
      <c r="B1138" s="5" t="n">
        <f aca="false">IFERROR(__xludf.dummyfunction("""COMPUTED_VALUE"""),503.02)</f>
        <v>503.02</v>
      </c>
      <c r="C1138" s="5" t="n">
        <f aca="false">IFERROR(__xludf.dummyfunction("""COMPUTED_VALUE"""),508.3)</f>
        <v>508.3</v>
      </c>
      <c r="D1138" s="5" t="n">
        <f aca="false">IFERROR(__xludf.dummyfunction("""COMPUTED_VALUE"""),502.79)</f>
        <v>502.79</v>
      </c>
      <c r="E1138" s="5" t="n">
        <f aca="false">IFERROR(__xludf.dummyfunction("""COMPUTED_VALUE"""),505.82)</f>
        <v>505.82</v>
      </c>
      <c r="F1138" s="5" t="n">
        <f aca="false">IFERROR(__xludf.dummyfunction("""COMPUTED_VALUE"""),14927202)</f>
        <v>14927202</v>
      </c>
    </row>
    <row r="1139" customFormat="false" ht="15.75" hidden="false" customHeight="false" outlineLevel="0" collapsed="false">
      <c r="A1139" s="6" t="n">
        <f aca="false">IFERROR(__xludf.dummyfunction("""COMPUTED_VALUE"""),45854.6666666667)</f>
        <v>45854.6666666667</v>
      </c>
      <c r="B1139" s="5" t="n">
        <f aca="false">IFERROR(__xludf.dummyfunction("""COMPUTED_VALUE"""),505.18)</f>
        <v>505.18</v>
      </c>
      <c r="C1139" s="5" t="n">
        <f aca="false">IFERROR(__xludf.dummyfunction("""COMPUTED_VALUE"""),506.72)</f>
        <v>506.72</v>
      </c>
      <c r="D1139" s="5" t="n">
        <f aca="false">IFERROR(__xludf.dummyfunction("""COMPUTED_VALUE"""),501.89)</f>
        <v>501.89</v>
      </c>
      <c r="E1139" s="5" t="n">
        <f aca="false">IFERROR(__xludf.dummyfunction("""COMPUTED_VALUE"""),505.62)</f>
        <v>505.62</v>
      </c>
      <c r="F1139" s="5" t="n">
        <f aca="false">IFERROR(__xludf.dummyfunction("""COMPUTED_VALUE"""),15154374)</f>
        <v>15154374</v>
      </c>
    </row>
    <row r="1140" customFormat="false" ht="15.75" hidden="false" customHeight="false" outlineLevel="0" collapsed="false">
      <c r="A1140" s="6" t="n">
        <f aca="false">IFERROR(__xludf.dummyfunction("""COMPUTED_VALUE"""),45855.6666666667)</f>
        <v>45855.6666666667</v>
      </c>
      <c r="B1140" s="5" t="n">
        <f aca="false">IFERROR(__xludf.dummyfunction("""COMPUTED_VALUE"""),505.68)</f>
        <v>505.68</v>
      </c>
      <c r="C1140" s="5" t="n">
        <f aca="false">IFERROR(__xludf.dummyfunction("""COMPUTED_VALUE"""),513.37)</f>
        <v>513.37</v>
      </c>
      <c r="D1140" s="5" t="n">
        <f aca="false">IFERROR(__xludf.dummyfunction("""COMPUTED_VALUE"""),505.62)</f>
        <v>505.62</v>
      </c>
      <c r="E1140" s="5" t="n">
        <f aca="false">IFERROR(__xludf.dummyfunction("""COMPUTED_VALUE"""),511.7)</f>
        <v>511.7</v>
      </c>
      <c r="F1140" s="5" t="n">
        <f aca="false">IFERROR(__xludf.dummyfunction("""COMPUTED_VALUE"""),17503129)</f>
        <v>17503129</v>
      </c>
    </row>
    <row r="1141" customFormat="false" ht="15.75" hidden="false" customHeight="false" outlineLevel="0" collapsed="false">
      <c r="A1141" s="6" t="n">
        <f aca="false">IFERROR(__xludf.dummyfunction("""COMPUTED_VALUE"""),45856.6666666667)</f>
        <v>45856.6666666667</v>
      </c>
      <c r="B1141" s="5" t="n">
        <f aca="false">IFERROR(__xludf.dummyfunction("""COMPUTED_VALUE"""),514.48)</f>
        <v>514.48</v>
      </c>
      <c r="C1141" s="5" t="n">
        <f aca="false">IFERROR(__xludf.dummyfunction("""COMPUTED_VALUE"""),514.64)</f>
        <v>514.64</v>
      </c>
      <c r="D1141" s="5" t="n">
        <f aca="false">IFERROR(__xludf.dummyfunction("""COMPUTED_VALUE"""),507.43)</f>
        <v>507.43</v>
      </c>
      <c r="E1141" s="5" t="n">
        <f aca="false">IFERROR(__xludf.dummyfunction("""COMPUTED_VALUE"""),510.05)</f>
        <v>510.05</v>
      </c>
      <c r="F1141" s="5" t="n">
        <f aca="false">IFERROR(__xludf.dummyfunction("""COMPUTED_VALUE"""),21209666)</f>
        <v>21209666</v>
      </c>
    </row>
    <row r="1142" customFormat="false" ht="15.75" hidden="false" customHeight="false" outlineLevel="0" collapsed="false">
      <c r="A1142" s="6" t="n">
        <f aca="false">IFERROR(__xludf.dummyfunction("""COMPUTED_VALUE"""),45859.6666666667)</f>
        <v>45859.6666666667</v>
      </c>
      <c r="B1142" s="5" t="n">
        <f aca="false">IFERROR(__xludf.dummyfunction("""COMPUTED_VALUE"""),506.71)</f>
        <v>506.71</v>
      </c>
      <c r="C1142" s="5" t="n">
        <f aca="false">IFERROR(__xludf.dummyfunction("""COMPUTED_VALUE"""),512.09)</f>
        <v>512.09</v>
      </c>
      <c r="D1142" s="5" t="n">
        <f aca="false">IFERROR(__xludf.dummyfunction("""COMPUTED_VALUE"""),505.55)</f>
        <v>505.55</v>
      </c>
      <c r="E1142" s="5" t="n">
        <f aca="false">IFERROR(__xludf.dummyfunction("""COMPUTED_VALUE"""),510.06)</f>
        <v>510.06</v>
      </c>
      <c r="F1142" s="5" t="n">
        <f aca="false">IFERROR(__xludf.dummyfunction("""COMPUTED_VALUE"""),14066805)</f>
        <v>14066805</v>
      </c>
    </row>
    <row r="1143" customFormat="false" ht="15.75" hidden="false" customHeight="false" outlineLevel="0" collapsed="false">
      <c r="A1143" s="6" t="n">
        <f aca="false">IFERROR(__xludf.dummyfunction("""COMPUTED_VALUE"""),45860.6666666667)</f>
        <v>45860.6666666667</v>
      </c>
      <c r="B1143" s="5" t="n">
        <f aca="false">IFERROR(__xludf.dummyfunction("""COMPUTED_VALUE"""),510.97)</f>
        <v>510.97</v>
      </c>
      <c r="C1143" s="5" t="n">
        <f aca="false">IFERROR(__xludf.dummyfunction("""COMPUTED_VALUE"""),511.2)</f>
        <v>511.2</v>
      </c>
      <c r="D1143" s="5" t="n">
        <f aca="false">IFERROR(__xludf.dummyfunction("""COMPUTED_VALUE"""),505.27)</f>
        <v>505.27</v>
      </c>
      <c r="E1143" s="5" t="n">
        <f aca="false">IFERROR(__xludf.dummyfunction("""COMPUTED_VALUE"""),505.27)</f>
        <v>505.27</v>
      </c>
      <c r="F1143" s="5" t="n">
        <f aca="false">IFERROR(__xludf.dummyfunction("""COMPUTED_VALUE"""),13868644)</f>
        <v>13868644</v>
      </c>
    </row>
    <row r="1144" customFormat="false" ht="15.75" hidden="false" customHeight="false" outlineLevel="0" collapsed="false">
      <c r="A1144" s="6" t="n">
        <f aca="false">IFERROR(__xludf.dummyfunction("""COMPUTED_VALUE"""),45861.6666666667)</f>
        <v>45861.6666666667</v>
      </c>
      <c r="B1144" s="5" t="n">
        <f aca="false">IFERROR(__xludf.dummyfunction("""COMPUTED_VALUE"""),506.75)</f>
        <v>506.75</v>
      </c>
      <c r="C1144" s="5" t="n">
        <f aca="false">IFERROR(__xludf.dummyfunction("""COMPUTED_VALUE"""),506.79)</f>
        <v>506.79</v>
      </c>
      <c r="D1144" s="5" t="n">
        <f aca="false">IFERROR(__xludf.dummyfunction("""COMPUTED_VALUE"""),500.7)</f>
        <v>500.7</v>
      </c>
      <c r="E1144" s="5" t="n">
        <f aca="false">IFERROR(__xludf.dummyfunction("""COMPUTED_VALUE"""),505.87)</f>
        <v>505.87</v>
      </c>
      <c r="F1144" s="5" t="n">
        <f aca="false">IFERROR(__xludf.dummyfunction("""COMPUTED_VALUE"""),16396585)</f>
        <v>16396585</v>
      </c>
    </row>
    <row r="1145" customFormat="false" ht="15.75" hidden="false" customHeight="false" outlineLevel="0" collapsed="false">
      <c r="A1145" s="6" t="n">
        <f aca="false">IFERROR(__xludf.dummyfunction("""COMPUTED_VALUE"""),45862.6666666667)</f>
        <v>45862.6666666667</v>
      </c>
      <c r="B1145" s="5" t="n">
        <f aca="false">IFERROR(__xludf.dummyfunction("""COMPUTED_VALUE"""),508.77)</f>
        <v>508.77</v>
      </c>
      <c r="C1145" s="5" t="n">
        <f aca="false">IFERROR(__xludf.dummyfunction("""COMPUTED_VALUE"""),513.67)</f>
        <v>513.67</v>
      </c>
      <c r="D1145" s="5" t="n">
        <f aca="false">IFERROR(__xludf.dummyfunction("""COMPUTED_VALUE"""),507.3)</f>
        <v>507.3</v>
      </c>
      <c r="E1145" s="5" t="n">
        <f aca="false">IFERROR(__xludf.dummyfunction("""COMPUTED_VALUE"""),510.88)</f>
        <v>510.88</v>
      </c>
      <c r="F1145" s="5" t="n">
        <f aca="false">IFERROR(__xludf.dummyfunction("""COMPUTED_VALUE"""),16107000)</f>
        <v>16107000</v>
      </c>
    </row>
    <row r="1146" customFormat="false" ht="15.75" hidden="false" customHeight="false" outlineLevel="0" collapsed="false">
      <c r="A1146" s="6" t="n">
        <f aca="false">IFERROR(__xludf.dummyfunction("""COMPUTED_VALUE"""),45863.6666666667)</f>
        <v>45863.6666666667</v>
      </c>
      <c r="B1146" s="5" t="n">
        <f aca="false">IFERROR(__xludf.dummyfunction("""COMPUTED_VALUE"""),512.47)</f>
        <v>512.47</v>
      </c>
      <c r="C1146" s="5" t="n">
        <f aca="false">IFERROR(__xludf.dummyfunction("""COMPUTED_VALUE"""),518.29)</f>
        <v>518.29</v>
      </c>
      <c r="D1146" s="5" t="n">
        <f aca="false">IFERROR(__xludf.dummyfunction("""COMPUTED_VALUE"""),510.36)</f>
        <v>510.36</v>
      </c>
      <c r="E1146" s="5" t="n">
        <f aca="false">IFERROR(__xludf.dummyfunction("""COMPUTED_VALUE"""),513.71)</f>
        <v>513.71</v>
      </c>
      <c r="F1146" s="5" t="n">
        <f aca="false">IFERROR(__xludf.dummyfunction("""COMPUTED_VALUE"""),19125699)</f>
        <v>19125699</v>
      </c>
    </row>
    <row r="1147" customFormat="false" ht="15.75" hidden="false" customHeight="false" outlineLevel="0" collapsed="false">
      <c r="A1147" s="6" t="n">
        <f aca="false">IFERROR(__xludf.dummyfunction("""COMPUTED_VALUE"""),45866.6666666667)</f>
        <v>45866.6666666667</v>
      </c>
      <c r="B1147" s="5" t="n">
        <f aca="false">IFERROR(__xludf.dummyfunction("""COMPUTED_VALUE"""),514.08)</f>
        <v>514.08</v>
      </c>
      <c r="C1147" s="5" t="n">
        <f aca="false">IFERROR(__xludf.dummyfunction("""COMPUTED_VALUE"""),515)</f>
        <v>515</v>
      </c>
      <c r="D1147" s="5" t="n">
        <f aca="false">IFERROR(__xludf.dummyfunction("""COMPUTED_VALUE"""),510.12)</f>
        <v>510.12</v>
      </c>
      <c r="E1147" s="5" t="n">
        <f aca="false">IFERROR(__xludf.dummyfunction("""COMPUTED_VALUE"""),512.5)</f>
        <v>512.5</v>
      </c>
      <c r="F1147" s="5" t="n">
        <f aca="false">IFERROR(__xludf.dummyfunction("""COMPUTED_VALUE"""),14308027)</f>
        <v>14308027</v>
      </c>
    </row>
    <row r="1148" customFormat="false" ht="15.75" hidden="false" customHeight="false" outlineLevel="0" collapsed="false">
      <c r="A1148" s="6" t="n">
        <f aca="false">IFERROR(__xludf.dummyfunction("""COMPUTED_VALUE"""),45867.6666666667)</f>
        <v>45867.6666666667</v>
      </c>
      <c r="B1148" s="5" t="n">
        <f aca="false">IFERROR(__xludf.dummyfunction("""COMPUTED_VALUE"""),515.53)</f>
        <v>515.53</v>
      </c>
      <c r="C1148" s="5" t="n">
        <f aca="false">IFERROR(__xludf.dummyfunction("""COMPUTED_VALUE"""),517.62)</f>
        <v>517.62</v>
      </c>
      <c r="D1148" s="5" t="n">
        <f aca="false">IFERROR(__xludf.dummyfunction("""COMPUTED_VALUE"""),511.56)</f>
        <v>511.56</v>
      </c>
      <c r="E1148" s="5" t="n">
        <f aca="false">IFERROR(__xludf.dummyfunction("""COMPUTED_VALUE"""),512.57)</f>
        <v>512.57</v>
      </c>
      <c r="F1148" s="5" t="n">
        <f aca="false">IFERROR(__xludf.dummyfunction("""COMPUTED_VALUE"""),16469235)</f>
        <v>16469235</v>
      </c>
    </row>
    <row r="1149" customFormat="false" ht="15.75" hidden="false" customHeight="false" outlineLevel="0" collapsed="false">
      <c r="A1149" s="6" t="n">
        <f aca="false">IFERROR(__xludf.dummyfunction("""COMPUTED_VALUE"""),45868.6666666667)</f>
        <v>45868.6666666667</v>
      </c>
      <c r="B1149" s="5" t="n">
        <f aca="false">IFERROR(__xludf.dummyfunction("""COMPUTED_VALUE"""),515.17)</f>
        <v>515.17</v>
      </c>
      <c r="C1149" s="5" t="n">
        <f aca="false">IFERROR(__xludf.dummyfunction("""COMPUTED_VALUE"""),515.95)</f>
        <v>515.95</v>
      </c>
      <c r="D1149" s="5" t="n">
        <f aca="false">IFERROR(__xludf.dummyfunction("""COMPUTED_VALUE"""),509.44)</f>
        <v>509.44</v>
      </c>
      <c r="E1149" s="5" t="n">
        <f aca="false">IFERROR(__xludf.dummyfunction("""COMPUTED_VALUE"""),513.24)</f>
        <v>513.24</v>
      </c>
      <c r="F1149" s="5" t="n">
        <f aca="false">IFERROR(__xludf.dummyfunction("""COMPUTED_VALUE"""),26380434)</f>
        <v>26380434</v>
      </c>
    </row>
    <row r="1150" customFormat="false" ht="15.75" hidden="false" customHeight="false" outlineLevel="0" collapsed="false">
      <c r="A1150" s="6" t="n">
        <f aca="false">IFERROR(__xludf.dummyfunction("""COMPUTED_VALUE"""),45869.6666666667)</f>
        <v>45869.6666666667</v>
      </c>
      <c r="B1150" s="5" t="n">
        <f aca="false">IFERROR(__xludf.dummyfunction("""COMPUTED_VALUE"""),555.23)</f>
        <v>555.23</v>
      </c>
      <c r="C1150" s="5" t="n">
        <f aca="false">IFERROR(__xludf.dummyfunction("""COMPUTED_VALUE"""),555.45)</f>
        <v>555.45</v>
      </c>
      <c r="D1150" s="5" t="n">
        <f aca="false">IFERROR(__xludf.dummyfunction("""COMPUTED_VALUE"""),531.9)</f>
        <v>531.9</v>
      </c>
      <c r="E1150" s="5" t="n">
        <f aca="false">IFERROR(__xludf.dummyfunction("""COMPUTED_VALUE"""),533.5)</f>
        <v>533.5</v>
      </c>
      <c r="F1150" s="5" t="n">
        <f aca="false">IFERROR(__xludf.dummyfunction("""COMPUTED_VALUE"""),51617326)</f>
        <v>51617326</v>
      </c>
    </row>
    <row r="1151" customFormat="false" ht="15.75" hidden="false" customHeight="false" outlineLevel="0" collapsed="false">
      <c r="A1151" s="6" t="n">
        <f aca="false">IFERROR(__xludf.dummyfunction("""COMPUTED_VALUE"""),45870.6666666667)</f>
        <v>45870.6666666667</v>
      </c>
      <c r="B1151" s="5" t="n">
        <f aca="false">IFERROR(__xludf.dummyfunction("""COMPUTED_VALUE"""),535)</f>
        <v>535</v>
      </c>
      <c r="C1151" s="5" t="n">
        <f aca="false">IFERROR(__xludf.dummyfunction("""COMPUTED_VALUE"""),535.8)</f>
        <v>535.8</v>
      </c>
      <c r="D1151" s="5" t="n">
        <f aca="false">IFERROR(__xludf.dummyfunction("""COMPUTED_VALUE"""),520.86)</f>
        <v>520.86</v>
      </c>
      <c r="E1151" s="5" t="n">
        <f aca="false">IFERROR(__xludf.dummyfunction("""COMPUTED_VALUE"""),524.11)</f>
        <v>524.11</v>
      </c>
      <c r="F1151" s="5" t="n">
        <f aca="false">IFERROR(__xludf.dummyfunction("""COMPUTED_VALUE"""),28977628)</f>
        <v>28977628</v>
      </c>
    </row>
    <row r="1152" customFormat="false" ht="15.75" hidden="false" customHeight="false" outlineLevel="0" collapsed="false">
      <c r="A1152" s="6" t="n">
        <f aca="false">IFERROR(__xludf.dummyfunction("""COMPUTED_VALUE"""),45873.6666666667)</f>
        <v>45873.6666666667</v>
      </c>
      <c r="B1152" s="5" t="n">
        <f aca="false">IFERROR(__xludf.dummyfunction("""COMPUTED_VALUE"""),528.27)</f>
        <v>528.27</v>
      </c>
      <c r="C1152" s="5" t="n">
        <f aca="false">IFERROR(__xludf.dummyfunction("""COMPUTED_VALUE"""),538.25)</f>
        <v>538.25</v>
      </c>
      <c r="D1152" s="5" t="n">
        <f aca="false">IFERROR(__xludf.dummyfunction("""COMPUTED_VALUE"""),528.13)</f>
        <v>528.13</v>
      </c>
      <c r="E1152" s="5" t="n">
        <f aca="false">IFERROR(__xludf.dummyfunction("""COMPUTED_VALUE"""),535.64)</f>
        <v>535.64</v>
      </c>
      <c r="F1152" s="5" t="n">
        <f aca="false">IFERROR(__xludf.dummyfunction("""COMPUTED_VALUE"""),25349004)</f>
        <v>25349004</v>
      </c>
    </row>
    <row r="1153" customFormat="false" ht="15.75" hidden="false" customHeight="false" outlineLevel="0" collapsed="false">
      <c r="A1153" s="6" t="n">
        <f aca="false">IFERROR(__xludf.dummyfunction("""COMPUTED_VALUE"""),45874.6666666667)</f>
        <v>45874.6666666667</v>
      </c>
      <c r="B1153" s="5" t="n">
        <f aca="false">IFERROR(__xludf.dummyfunction("""COMPUTED_VALUE"""),537.18)</f>
        <v>537.18</v>
      </c>
      <c r="C1153" s="5" t="n">
        <f aca="false">IFERROR(__xludf.dummyfunction("""COMPUTED_VALUE"""),537.3)</f>
        <v>537.3</v>
      </c>
      <c r="D1153" s="5" t="n">
        <f aca="false">IFERROR(__xludf.dummyfunction("""COMPUTED_VALUE"""),527.24)</f>
        <v>527.24</v>
      </c>
      <c r="E1153" s="5" t="n">
        <f aca="false">IFERROR(__xludf.dummyfunction("""COMPUTED_VALUE"""),527.75)</f>
        <v>527.75</v>
      </c>
      <c r="F1153" s="5" t="n">
        <f aca="false">IFERROR(__xludf.dummyfunction("""COMPUTED_VALUE"""),19171569)</f>
        <v>19171569</v>
      </c>
    </row>
    <row r="1154" customFormat="false" ht="15.75" hidden="false" customHeight="false" outlineLevel="0" collapsed="false">
      <c r="A1154" s="6" t="n">
        <f aca="false">IFERROR(__xludf.dummyfunction("""COMPUTED_VALUE"""),45875.6666666667)</f>
        <v>45875.6666666667</v>
      </c>
      <c r="B1154" s="5" t="n">
        <f aca="false">IFERROR(__xludf.dummyfunction("""COMPUTED_VALUE"""),530.9)</f>
        <v>530.9</v>
      </c>
      <c r="C1154" s="5" t="n">
        <f aca="false">IFERROR(__xludf.dummyfunction("""COMPUTED_VALUE"""),531.7)</f>
        <v>531.7</v>
      </c>
      <c r="D1154" s="5" t="n">
        <f aca="false">IFERROR(__xludf.dummyfunction("""COMPUTED_VALUE"""),524.03)</f>
        <v>524.03</v>
      </c>
      <c r="E1154" s="5" t="n">
        <f aca="false">IFERROR(__xludf.dummyfunction("""COMPUTED_VALUE"""),524.94)</f>
        <v>524.94</v>
      </c>
      <c r="F1154" s="5" t="n">
        <f aca="false">IFERROR(__xludf.dummyfunction("""COMPUTED_VALUE"""),21355702)</f>
        <v>21355702</v>
      </c>
    </row>
    <row r="1155" customFormat="false" ht="15.75" hidden="false" customHeight="false" outlineLevel="0" collapsed="false">
      <c r="A1155" s="6" t="n">
        <f aca="false">IFERROR(__xludf.dummyfunction("""COMPUTED_VALUE"""),45876.6666666667)</f>
        <v>45876.6666666667</v>
      </c>
      <c r="B1155" s="5" t="n">
        <f aca="false">IFERROR(__xludf.dummyfunction("""COMPUTED_VALUE"""),526.8)</f>
        <v>526.8</v>
      </c>
      <c r="C1155" s="5" t="n">
        <f aca="false">IFERROR(__xludf.dummyfunction("""COMPUTED_VALUE"""),528.09)</f>
        <v>528.09</v>
      </c>
      <c r="D1155" s="5" t="n">
        <f aca="false">IFERROR(__xludf.dummyfunction("""COMPUTED_VALUE"""),517.55)</f>
        <v>517.55</v>
      </c>
      <c r="E1155" s="5" t="n">
        <f aca="false">IFERROR(__xludf.dummyfunction("""COMPUTED_VALUE"""),520.84)</f>
        <v>520.84</v>
      </c>
      <c r="F1155" s="5" t="n">
        <f aca="false">IFERROR(__xludf.dummyfunction("""COMPUTED_VALUE"""),16079144)</f>
        <v>16079144</v>
      </c>
    </row>
    <row r="1156" customFormat="false" ht="15.75" hidden="false" customHeight="false" outlineLevel="0" collapsed="false">
      <c r="A1156" s="6" t="n">
        <f aca="false">IFERROR(__xludf.dummyfunction("""COMPUTED_VALUE"""),45877.6666666667)</f>
        <v>45877.6666666667</v>
      </c>
      <c r="B1156" s="5" t="n">
        <f aca="false">IFERROR(__xludf.dummyfunction("""COMPUTED_VALUE"""),522.6)</f>
        <v>522.6</v>
      </c>
      <c r="C1156" s="5" t="n">
        <f aca="false">IFERROR(__xludf.dummyfunction("""COMPUTED_VALUE"""),524.66)</f>
        <v>524.66</v>
      </c>
      <c r="D1156" s="5" t="n">
        <f aca="false">IFERROR(__xludf.dummyfunction("""COMPUTED_VALUE"""),519.41)</f>
        <v>519.41</v>
      </c>
      <c r="E1156" s="5" t="n">
        <f aca="false">IFERROR(__xludf.dummyfunction("""COMPUTED_VALUE"""),522.04)</f>
        <v>522.04</v>
      </c>
      <c r="F1156" s="5" t="n">
        <f aca="false">IFERROR(__xludf.dummyfunction("""COMPUTED_VALUE"""),15531009)</f>
        <v>15531009</v>
      </c>
    </row>
    <row r="1157" customFormat="false" ht="15.75" hidden="false" customHeight="false" outlineLevel="0" collapsed="false">
      <c r="A1157" s="6" t="n">
        <f aca="false">IFERROR(__xludf.dummyfunction("""COMPUTED_VALUE"""),45880.6666666667)</f>
        <v>45880.6666666667</v>
      </c>
      <c r="B1157" s="5" t="n">
        <f aca="false">IFERROR(__xludf.dummyfunction("""COMPUTED_VALUE"""),522.3)</f>
        <v>522.3</v>
      </c>
      <c r="C1157" s="5" t="n">
        <f aca="false">IFERROR(__xludf.dummyfunction("""COMPUTED_VALUE"""),527.59)</f>
        <v>527.59</v>
      </c>
      <c r="D1157" s="5" t="n">
        <f aca="false">IFERROR(__xludf.dummyfunction("""COMPUTED_VALUE"""),519.72)</f>
        <v>519.72</v>
      </c>
      <c r="E1157" s="5" t="n">
        <f aca="false">IFERROR(__xludf.dummyfunction("""COMPUTED_VALUE"""),521.77)</f>
        <v>521.77</v>
      </c>
      <c r="F1157" s="5" t="n">
        <f aca="false">IFERROR(__xludf.dummyfunction("""COMPUTED_VALUE"""),20194372)</f>
        <v>20194372</v>
      </c>
    </row>
    <row r="1158" customFormat="false" ht="15.75" hidden="false" customHeight="false" outlineLevel="0" collapsed="false">
      <c r="A1158" s="6" t="n">
        <f aca="false">IFERROR(__xludf.dummyfunction("""COMPUTED_VALUE"""),45881.6666666667)</f>
        <v>45881.6666666667</v>
      </c>
      <c r="B1158" s="5" t="n">
        <f aca="false">IFERROR(__xludf.dummyfunction("""COMPUTED_VALUE"""),523.75)</f>
        <v>523.75</v>
      </c>
      <c r="C1158" s="5" t="n">
        <f aca="false">IFERROR(__xludf.dummyfunction("""COMPUTED_VALUE"""),530.98)</f>
        <v>530.98</v>
      </c>
      <c r="D1158" s="5" t="n">
        <f aca="false">IFERROR(__xludf.dummyfunction("""COMPUTED_VALUE"""),522.7)</f>
        <v>522.7</v>
      </c>
      <c r="E1158" s="5" t="n">
        <f aca="false">IFERROR(__xludf.dummyfunction("""COMPUTED_VALUE"""),529.24)</f>
        <v>529.24</v>
      </c>
      <c r="F1158" s="5" t="n">
        <f aca="false">IFERROR(__xludf.dummyfunction("""COMPUTED_VALUE"""),18688921)</f>
        <v>18688921</v>
      </c>
    </row>
    <row r="1159" customFormat="false" ht="15.75" hidden="false" customHeight="false" outlineLevel="0" collapsed="false">
      <c r="A1159" s="6" t="n">
        <f aca="false">IFERROR(__xludf.dummyfunction("""COMPUTED_VALUE"""),45882.6666666667)</f>
        <v>45882.6666666667</v>
      </c>
      <c r="B1159" s="5" t="n">
        <f aca="false">IFERROR(__xludf.dummyfunction("""COMPUTED_VALUE"""),532.11)</f>
        <v>532.11</v>
      </c>
      <c r="C1159" s="5" t="n">
        <f aca="false">IFERROR(__xludf.dummyfunction("""COMPUTED_VALUE"""),532.7)</f>
        <v>532.7</v>
      </c>
      <c r="D1159" s="5" t="n">
        <f aca="false">IFERROR(__xludf.dummyfunction("""COMPUTED_VALUE"""),519.37)</f>
        <v>519.37</v>
      </c>
      <c r="E1159" s="5" t="n">
        <f aca="false">IFERROR(__xludf.dummyfunction("""COMPUTED_VALUE"""),520.58)</f>
        <v>520.58</v>
      </c>
      <c r="F1159" s="5" t="n">
        <f aca="false">IFERROR(__xludf.dummyfunction("""COMPUTED_VALUE"""),19619160)</f>
        <v>19619160</v>
      </c>
    </row>
    <row r="1160" customFormat="false" ht="15.75" hidden="false" customHeight="false" outlineLevel="0" collapsed="false">
      <c r="A1160" s="6" t="n">
        <f aca="false">IFERROR(__xludf.dummyfunction("""COMPUTED_VALUE"""),45883.6666666667)</f>
        <v>45883.6666666667</v>
      </c>
      <c r="B1160" s="5" t="n">
        <f aca="false">IFERROR(__xludf.dummyfunction("""COMPUTED_VALUE"""),522.56)</f>
        <v>522.56</v>
      </c>
      <c r="C1160" s="5" t="n">
        <f aca="false">IFERROR(__xludf.dummyfunction("""COMPUTED_VALUE"""),525.95)</f>
        <v>525.95</v>
      </c>
      <c r="D1160" s="5" t="n">
        <f aca="false">IFERROR(__xludf.dummyfunction("""COMPUTED_VALUE"""),520.14)</f>
        <v>520.14</v>
      </c>
      <c r="E1160" s="5" t="n">
        <f aca="false">IFERROR(__xludf.dummyfunction("""COMPUTED_VALUE"""),522.48)</f>
        <v>522.48</v>
      </c>
      <c r="F1160" s="5" t="n">
        <f aca="false">IFERROR(__xludf.dummyfunction("""COMPUTED_VALUE"""),20269074)</f>
        <v>20269074</v>
      </c>
    </row>
    <row r="1161" customFormat="false" ht="15.75" hidden="false" customHeight="false" outlineLevel="0" collapsed="false">
      <c r="A1161" s="6" t="n">
        <f aca="false">IFERROR(__xludf.dummyfunction("""COMPUTED_VALUE"""),45884.6666666667)</f>
        <v>45884.6666666667</v>
      </c>
      <c r="B1161" s="5" t="n">
        <f aca="false">IFERROR(__xludf.dummyfunction("""COMPUTED_VALUE"""),522.77)</f>
        <v>522.77</v>
      </c>
      <c r="C1161" s="5" t="n">
        <f aca="false">IFERROR(__xludf.dummyfunction("""COMPUTED_VALUE"""),526.1)</f>
        <v>526.1</v>
      </c>
      <c r="D1161" s="5" t="n">
        <f aca="false">IFERROR(__xludf.dummyfunction("""COMPUTED_VALUE"""),519.08)</f>
        <v>519.08</v>
      </c>
      <c r="E1161" s="5" t="n">
        <f aca="false">IFERROR(__xludf.dummyfunction("""COMPUTED_VALUE"""),520.17)</f>
        <v>520.17</v>
      </c>
      <c r="F1161" s="5" t="n">
        <f aca="false">IFERROR(__xludf.dummyfunction("""COMPUTED_VALUE"""),25213272)</f>
        <v>25213272</v>
      </c>
    </row>
    <row r="1162" customFormat="false" ht="15.75" hidden="false" customHeight="false" outlineLevel="0" collapsed="false">
      <c r="A1162" s="6" t="n">
        <f aca="false">IFERROR(__xludf.dummyfunction("""COMPUTED_VALUE"""),45887.6666666667)</f>
        <v>45887.6666666667</v>
      </c>
      <c r="B1162" s="5" t="n">
        <f aca="false">IFERROR(__xludf.dummyfunction("""COMPUTED_VALUE"""),521.59)</f>
        <v>521.59</v>
      </c>
      <c r="C1162" s="5" t="n">
        <f aca="false">IFERROR(__xludf.dummyfunction("""COMPUTED_VALUE"""),522.82)</f>
        <v>522.82</v>
      </c>
      <c r="D1162" s="5" t="n">
        <f aca="false">IFERROR(__xludf.dummyfunction("""COMPUTED_VALUE"""),514.02)</f>
        <v>514.02</v>
      </c>
      <c r="E1162" s="5" t="n">
        <f aca="false">IFERROR(__xludf.dummyfunction("""COMPUTED_VALUE"""),517.1)</f>
        <v>517.1</v>
      </c>
      <c r="F1162" s="5" t="n">
        <f aca="false">IFERROR(__xludf.dummyfunction("""COMPUTED_VALUE"""),23760583)</f>
        <v>23760583</v>
      </c>
    </row>
    <row r="1163" customFormat="false" ht="15.75" hidden="false" customHeight="false" outlineLevel="0" collapsed="false">
      <c r="A1163" s="6" t="n">
        <f aca="false">IFERROR(__xludf.dummyfunction("""COMPUTED_VALUE"""),45888.6666666667)</f>
        <v>45888.6666666667</v>
      </c>
      <c r="B1163" s="5" t="n">
        <f aca="false">IFERROR(__xludf.dummyfunction("""COMPUTED_VALUE"""),515)</f>
        <v>515</v>
      </c>
      <c r="C1163" s="5" t="n">
        <f aca="false">IFERROR(__xludf.dummyfunction("""COMPUTED_VALUE"""),515.16)</f>
        <v>515.16</v>
      </c>
      <c r="D1163" s="5" t="n">
        <f aca="false">IFERROR(__xludf.dummyfunction("""COMPUTED_VALUE"""),508.55)</f>
        <v>508.55</v>
      </c>
      <c r="E1163" s="5" t="n">
        <f aca="false">IFERROR(__xludf.dummyfunction("""COMPUTED_VALUE"""),509.77)</f>
        <v>509.77</v>
      </c>
      <c r="F1163" s="5" t="n">
        <f aca="false">IFERROR(__xludf.dummyfunction("""COMPUTED_VALUE"""),21481016)</f>
        <v>21481016</v>
      </c>
    </row>
    <row r="1164" customFormat="false" ht="15.75" hidden="false" customHeight="false" outlineLevel="0" collapsed="false">
      <c r="A1164" s="6" t="n">
        <f aca="false">IFERROR(__xludf.dummyfunction("""COMPUTED_VALUE"""),45889.6666666667)</f>
        <v>45889.6666666667</v>
      </c>
      <c r="B1164" s="5" t="n">
        <f aca="false">IFERROR(__xludf.dummyfunction("""COMPUTED_VALUE"""),509.87)</f>
        <v>509.87</v>
      </c>
      <c r="C1164" s="5" t="n">
        <f aca="false">IFERROR(__xludf.dummyfunction("""COMPUTED_VALUE"""),511)</f>
        <v>511</v>
      </c>
      <c r="D1164" s="5" t="n">
        <f aca="false">IFERROR(__xludf.dummyfunction("""COMPUTED_VALUE"""),504.44)</f>
        <v>504.44</v>
      </c>
      <c r="E1164" s="5" t="n">
        <f aca="false">IFERROR(__xludf.dummyfunction("""COMPUTED_VALUE"""),505.72)</f>
        <v>505.72</v>
      </c>
      <c r="F1164" s="5" t="n">
        <f aca="false">IFERROR(__xludf.dummyfunction("""COMPUTED_VALUE"""),27723025)</f>
        <v>27723025</v>
      </c>
    </row>
    <row r="1165" customFormat="false" ht="15.75" hidden="false" customHeight="false" outlineLevel="0" collapsed="false">
      <c r="A1165" s="6" t="n">
        <f aca="false">IFERROR(__xludf.dummyfunction("""COMPUTED_VALUE"""),45890.6666666667)</f>
        <v>45890.6666666667</v>
      </c>
      <c r="B1165" s="5" t="n">
        <f aca="false">IFERROR(__xludf.dummyfunction("""COMPUTED_VALUE"""),503.69)</f>
        <v>503.69</v>
      </c>
      <c r="C1165" s="5" t="n">
        <f aca="false">IFERROR(__xludf.dummyfunction("""COMPUTED_VALUE"""),507.63)</f>
        <v>507.63</v>
      </c>
      <c r="D1165" s="5" t="n">
        <f aca="false">IFERROR(__xludf.dummyfunction("""COMPUTED_VALUE"""),502.72)</f>
        <v>502.72</v>
      </c>
      <c r="E1165" s="5" t="n">
        <f aca="false">IFERROR(__xludf.dummyfunction("""COMPUTED_VALUE"""),504.24)</f>
        <v>504.24</v>
      </c>
      <c r="F1165" s="5" t="n">
        <f aca="false">IFERROR(__xludf.dummyfunction("""COMPUTED_VALUE"""),18443254)</f>
        <v>18443254</v>
      </c>
    </row>
    <row r="1166" customFormat="false" ht="15.75" hidden="false" customHeight="false" outlineLevel="0" collapsed="false">
      <c r="A1166" s="6" t="n">
        <f aca="false">IFERROR(__xludf.dummyfunction("""COMPUTED_VALUE"""),45891.6666666667)</f>
        <v>45891.6666666667</v>
      </c>
      <c r="B1166" s="5" t="n">
        <f aca="false">IFERROR(__xludf.dummyfunction("""COMPUTED_VALUE"""),504.25)</f>
        <v>504.25</v>
      </c>
      <c r="C1166" s="5" t="n">
        <f aca="false">IFERROR(__xludf.dummyfunction("""COMPUTED_VALUE"""),510.73)</f>
        <v>510.73</v>
      </c>
      <c r="D1166" s="5" t="n">
        <f aca="false">IFERROR(__xludf.dummyfunction("""COMPUTED_VALUE"""),502.41)</f>
        <v>502.41</v>
      </c>
      <c r="E1166" s="5" t="n">
        <f aca="false">IFERROR(__xludf.dummyfunction("""COMPUTED_VALUE"""),507.23)</f>
        <v>507.23</v>
      </c>
      <c r="F1166" s="5" t="n">
        <f aca="false">IFERROR(__xludf.dummyfunction("""COMPUTED_VALUE"""),24324161)</f>
        <v>24324161</v>
      </c>
    </row>
    <row r="1167" customFormat="false" ht="15.75" hidden="false" customHeight="false" outlineLevel="0" collapsed="false">
      <c r="A1167" s="6" t="n">
        <f aca="false">IFERROR(__xludf.dummyfunction("""COMPUTED_VALUE"""),45894.6666666667)</f>
        <v>45894.6666666667</v>
      </c>
      <c r="B1167" s="5" t="n">
        <f aca="false">IFERROR(__xludf.dummyfunction("""COMPUTED_VALUE"""),506.63)</f>
        <v>506.63</v>
      </c>
      <c r="C1167" s="5" t="n">
        <f aca="false">IFERROR(__xludf.dummyfunction("""COMPUTED_VALUE"""),508.19)</f>
        <v>508.19</v>
      </c>
      <c r="D1167" s="5" t="n">
        <f aca="false">IFERROR(__xludf.dummyfunction("""COMPUTED_VALUE"""),504.12)</f>
        <v>504.12</v>
      </c>
      <c r="E1167" s="5" t="n">
        <f aca="false">IFERROR(__xludf.dummyfunction("""COMPUTED_VALUE"""),504.26)</f>
        <v>504.26</v>
      </c>
      <c r="F1167" s="5" t="n">
        <f aca="false">IFERROR(__xludf.dummyfunction("""COMPUTED_VALUE"""),21638579)</f>
        <v>21638579</v>
      </c>
    </row>
    <row r="1168" customFormat="false" ht="15.75" hidden="false" customHeight="false" outlineLevel="0" collapsed="false">
      <c r="A1168" s="6" t="n">
        <f aca="false">IFERROR(__xludf.dummyfunction("""COMPUTED_VALUE"""),45895.6666666667)</f>
        <v>45895.6666666667</v>
      </c>
      <c r="B1168" s="5" t="n">
        <f aca="false">IFERROR(__xludf.dummyfunction("""COMPUTED_VALUE"""),504.36)</f>
        <v>504.36</v>
      </c>
      <c r="C1168" s="5" t="n">
        <f aca="false">IFERROR(__xludf.dummyfunction("""COMPUTED_VALUE"""),504.98)</f>
        <v>504.98</v>
      </c>
      <c r="D1168" s="5" t="n">
        <f aca="false">IFERROR(__xludf.dummyfunction("""COMPUTED_VALUE"""),498.51)</f>
        <v>498.51</v>
      </c>
      <c r="E1168" s="5" t="n">
        <f aca="false">IFERROR(__xludf.dummyfunction("""COMPUTED_VALUE"""),502.04)</f>
        <v>502.04</v>
      </c>
      <c r="F1168" s="5" t="n">
        <f aca="false">IFERROR(__xludf.dummyfunction("""COMPUTED_VALUE"""),30835709)</f>
        <v>30835709</v>
      </c>
    </row>
    <row r="1169" customFormat="false" ht="15.75" hidden="false" customHeight="false" outlineLevel="0" collapsed="false">
      <c r="A1169" s="6" t="n">
        <f aca="false">IFERROR(__xludf.dummyfunction("""COMPUTED_VALUE"""),45896.6666666667)</f>
        <v>45896.6666666667</v>
      </c>
      <c r="B1169" s="5" t="n">
        <f aca="false">IFERROR(__xludf.dummyfunction("""COMPUTED_VALUE"""),502)</f>
        <v>502</v>
      </c>
      <c r="C1169" s="5" t="n">
        <f aca="false">IFERROR(__xludf.dummyfunction("""COMPUTED_VALUE"""),507.29)</f>
        <v>507.29</v>
      </c>
      <c r="D1169" s="5" t="n">
        <f aca="false">IFERROR(__xludf.dummyfunction("""COMPUTED_VALUE"""),499.9)</f>
        <v>499.9</v>
      </c>
      <c r="E1169" s="5" t="n">
        <f aca="false">IFERROR(__xludf.dummyfunction("""COMPUTED_VALUE"""),506.74)</f>
        <v>506.74</v>
      </c>
      <c r="F1169" s="5" t="n">
        <f aca="false">IFERROR(__xludf.dummyfunction("""COMPUTED_VALUE"""),17277893)</f>
        <v>17277893</v>
      </c>
    </row>
    <row r="1170" customFormat="false" ht="15.75" hidden="false" customHeight="false" outlineLevel="0" collapsed="false">
      <c r="A1170" s="6" t="n">
        <f aca="false">IFERROR(__xludf.dummyfunction("""COMPUTED_VALUE"""),45897.6666666667)</f>
        <v>45897.6666666667</v>
      </c>
      <c r="B1170" s="5" t="n">
        <f aca="false">IFERROR(__xludf.dummyfunction("""COMPUTED_VALUE"""),507.09)</f>
        <v>507.09</v>
      </c>
      <c r="C1170" s="5" t="n">
        <f aca="false">IFERROR(__xludf.dummyfunction("""COMPUTED_VALUE"""),511.09)</f>
        <v>511.09</v>
      </c>
      <c r="D1170" s="5" t="n">
        <f aca="false">IFERROR(__xludf.dummyfunction("""COMPUTED_VALUE"""),505.5)</f>
        <v>505.5</v>
      </c>
      <c r="E1170" s="5" t="n">
        <f aca="false">IFERROR(__xludf.dummyfunction("""COMPUTED_VALUE"""),509.64)</f>
        <v>509.64</v>
      </c>
      <c r="F1170" s="5" t="n">
        <f aca="false">IFERROR(__xludf.dummyfunction("""COMPUTED_VALUE"""),18015593)</f>
        <v>18015593</v>
      </c>
    </row>
    <row r="1171" customFormat="false" ht="15.75" hidden="false" customHeight="false" outlineLevel="0" collapsed="false">
      <c r="A1171" s="6" t="n">
        <f aca="false">IFERROR(__xludf.dummyfunction("""COMPUTED_VALUE"""),45898.6666666667)</f>
        <v>45898.6666666667</v>
      </c>
      <c r="B1171" s="5" t="n">
        <f aca="false">IFERROR(__xludf.dummyfunction("""COMPUTED_VALUE"""),508.66)</f>
        <v>508.66</v>
      </c>
      <c r="C1171" s="5" t="n">
        <f aca="false">IFERROR(__xludf.dummyfunction("""COMPUTED_VALUE"""),509.6)</f>
        <v>509.6</v>
      </c>
      <c r="D1171" s="5" t="n">
        <f aca="false">IFERROR(__xludf.dummyfunction("""COMPUTED_VALUE"""),504.49)</f>
        <v>504.49</v>
      </c>
      <c r="E1171" s="5" t="n">
        <f aca="false">IFERROR(__xludf.dummyfunction("""COMPUTED_VALUE"""),506.69)</f>
        <v>506.69</v>
      </c>
      <c r="F1171" s="5" t="n">
        <f aca="false">IFERROR(__xludf.dummyfunction("""COMPUTED_VALUE"""),20961569)</f>
        <v>20961569</v>
      </c>
    </row>
    <row r="1172" customFormat="false" ht="15.75" hidden="false" customHeight="false" outlineLevel="0" collapsed="false">
      <c r="A1172" s="6" t="n">
        <f aca="false">IFERROR(__xludf.dummyfunction("""COMPUTED_VALUE"""),45902.6666666667)</f>
        <v>45902.6666666667</v>
      </c>
      <c r="B1172" s="5" t="n">
        <f aca="false">IFERROR(__xludf.dummyfunction("""COMPUTED_VALUE"""),500.47)</f>
        <v>500.47</v>
      </c>
      <c r="C1172" s="5" t="n">
        <f aca="false">IFERROR(__xludf.dummyfunction("""COMPUTED_VALUE"""),506)</f>
        <v>506</v>
      </c>
      <c r="D1172" s="5" t="n">
        <f aca="false">IFERROR(__xludf.dummyfunction("""COMPUTED_VALUE"""),496.81)</f>
        <v>496.81</v>
      </c>
      <c r="E1172" s="5" t="n">
        <f aca="false">IFERROR(__xludf.dummyfunction("""COMPUTED_VALUE"""),505.12)</f>
        <v>505.12</v>
      </c>
      <c r="F1172" s="5" t="n">
        <f aca="false">IFERROR(__xludf.dummyfunction("""COMPUTED_VALUE"""),18127995)</f>
        <v>18127995</v>
      </c>
    </row>
    <row r="1173" customFormat="false" ht="15.75" hidden="false" customHeight="false" outlineLevel="0" collapsed="false">
      <c r="A1173" s="6" t="n">
        <f aca="false">IFERROR(__xludf.dummyfunction("""COMPUTED_VALUE"""),45903.6666666667)</f>
        <v>45903.6666666667</v>
      </c>
      <c r="B1173" s="5" t="n">
        <f aca="false">IFERROR(__xludf.dummyfunction("""COMPUTED_VALUE"""),503.79)</f>
        <v>503.79</v>
      </c>
      <c r="C1173" s="5" t="n">
        <f aca="false">IFERROR(__xludf.dummyfunction("""COMPUTED_VALUE"""),507.79)</f>
        <v>507.79</v>
      </c>
      <c r="D1173" s="5" t="n">
        <f aca="false">IFERROR(__xludf.dummyfunction("""COMPUTED_VALUE"""),502.32)</f>
        <v>502.32</v>
      </c>
      <c r="E1173" s="5" t="n">
        <f aca="false">IFERROR(__xludf.dummyfunction("""COMPUTED_VALUE"""),505.35)</f>
        <v>505.35</v>
      </c>
      <c r="F1173" s="5" t="n">
        <f aca="false">IFERROR(__xludf.dummyfunction("""COMPUTED_VALUE"""),16345078)</f>
        <v>16345078</v>
      </c>
    </row>
    <row r="1174" customFormat="false" ht="15.75" hidden="false" customHeight="false" outlineLevel="0" collapsed="false">
      <c r="A1174" s="6" t="n">
        <f aca="false">IFERROR(__xludf.dummyfunction("""COMPUTED_VALUE"""),45904.6666666667)</f>
        <v>45904.6666666667</v>
      </c>
      <c r="B1174" s="5" t="n">
        <f aca="false">IFERROR(__xludf.dummyfunction("""COMPUTED_VALUE"""),504.3)</f>
        <v>504.3</v>
      </c>
      <c r="C1174" s="5" t="n">
        <f aca="false">IFERROR(__xludf.dummyfunction("""COMPUTED_VALUE"""),508.15)</f>
        <v>508.15</v>
      </c>
      <c r="D1174" s="5" t="n">
        <f aca="false">IFERROR(__xludf.dummyfunction("""COMPUTED_VALUE"""),503.15)</f>
        <v>503.15</v>
      </c>
      <c r="E1174" s="5" t="n">
        <f aca="false">IFERROR(__xludf.dummyfunction("""COMPUTED_VALUE"""),507.97)</f>
        <v>507.97</v>
      </c>
      <c r="F1174" s="5" t="n">
        <f aca="false">IFERROR(__xludf.dummyfunction("""COMPUTED_VALUE"""),15509486)</f>
        <v>15509486</v>
      </c>
    </row>
    <row r="1175" customFormat="false" ht="15.75" hidden="false" customHeight="false" outlineLevel="0" collapsed="false">
      <c r="A1175" s="6" t="n">
        <f aca="false">IFERROR(__xludf.dummyfunction("""COMPUTED_VALUE"""),45905.6666666667)</f>
        <v>45905.6666666667</v>
      </c>
      <c r="B1175" s="5" t="n">
        <f aca="false">IFERROR(__xludf.dummyfunction("""COMPUTED_VALUE"""),509.07)</f>
        <v>509.07</v>
      </c>
      <c r="C1175" s="5" t="n">
        <f aca="false">IFERROR(__xludf.dummyfunction("""COMPUTED_VALUE"""),511.97)</f>
        <v>511.97</v>
      </c>
      <c r="D1175" s="5" t="n">
        <f aca="false">IFERROR(__xludf.dummyfunction("""COMPUTED_VALUE"""),492.37)</f>
        <v>492.37</v>
      </c>
      <c r="E1175" s="5" t="n">
        <f aca="false">IFERROR(__xludf.dummyfunction("""COMPUTED_VALUE"""),495)</f>
        <v>495</v>
      </c>
      <c r="F1175" s="5" t="n">
        <f aca="false">IFERROR(__xludf.dummyfunction("""COMPUTED_VALUE"""),31994846)</f>
        <v>31994846</v>
      </c>
    </row>
    <row r="1176" customFormat="false" ht="15.75" hidden="false" customHeight="false" outlineLevel="0" collapsed="false">
      <c r="A1176" s="6" t="n">
        <f aca="false">IFERROR(__xludf.dummyfunction("""COMPUTED_VALUE"""),45908.6666666667)</f>
        <v>45908.6666666667</v>
      </c>
      <c r="B1176" s="5" t="n">
        <f aca="false">IFERROR(__xludf.dummyfunction("""COMPUTED_VALUE"""),498.11)</f>
        <v>498.11</v>
      </c>
      <c r="C1176" s="5" t="n">
        <f aca="false">IFERROR(__xludf.dummyfunction("""COMPUTED_VALUE"""),501.2)</f>
        <v>501.2</v>
      </c>
      <c r="D1176" s="5" t="n">
        <f aca="false">IFERROR(__xludf.dummyfunction("""COMPUTED_VALUE"""),495.03)</f>
        <v>495.03</v>
      </c>
      <c r="E1176" s="5" t="n">
        <f aca="false">IFERROR(__xludf.dummyfunction("""COMPUTED_VALUE"""),498.2)</f>
        <v>498.2</v>
      </c>
      <c r="F1176" s="5" t="n">
        <f aca="false">IFERROR(__xludf.dummyfunction("""COMPUTED_VALUE"""),16771015)</f>
        <v>16771015</v>
      </c>
    </row>
    <row r="1177" customFormat="false" ht="15.75" hidden="false" customHeight="false" outlineLevel="0" collapsed="false">
      <c r="A1177" s="6" t="n">
        <f aca="false">IFERROR(__xludf.dummyfunction("""COMPUTED_VALUE"""),45909.6666666667)</f>
        <v>45909.6666666667</v>
      </c>
      <c r="B1177" s="5" t="n">
        <f aca="false">IFERROR(__xludf.dummyfunction("""COMPUTED_VALUE"""),501.43)</f>
        <v>501.43</v>
      </c>
      <c r="C1177" s="5" t="n">
        <f aca="false">IFERROR(__xludf.dummyfunction("""COMPUTED_VALUE"""),502.25)</f>
        <v>502.25</v>
      </c>
      <c r="D1177" s="5" t="n">
        <f aca="false">IFERROR(__xludf.dummyfunction("""COMPUTED_VALUE"""),497.7)</f>
        <v>497.7</v>
      </c>
      <c r="E1177" s="5" t="n">
        <f aca="false">IFERROR(__xludf.dummyfunction("""COMPUTED_VALUE"""),498.41)</f>
        <v>498.41</v>
      </c>
      <c r="F1177" s="5" t="n">
        <f aca="false">IFERROR(__xludf.dummyfunction("""COMPUTED_VALUE"""),14410542)</f>
        <v>14410542</v>
      </c>
    </row>
    <row r="1178" customFormat="false" ht="15.75" hidden="false" customHeight="false" outlineLevel="0" collapsed="false">
      <c r="A1178" s="6" t="n">
        <f aca="false">IFERROR(__xludf.dummyfunction("""COMPUTED_VALUE"""),45910.6666666667)</f>
        <v>45910.6666666667</v>
      </c>
      <c r="B1178" s="5" t="n">
        <f aca="false">IFERROR(__xludf.dummyfunction("""COMPUTED_VALUE"""),502.98)</f>
        <v>502.98</v>
      </c>
      <c r="C1178" s="5" t="n">
        <f aca="false">IFERROR(__xludf.dummyfunction("""COMPUTED_VALUE"""),503.23)</f>
        <v>503.23</v>
      </c>
      <c r="D1178" s="5" t="n">
        <f aca="false">IFERROR(__xludf.dummyfunction("""COMPUTED_VALUE"""),496.72)</f>
        <v>496.72</v>
      </c>
      <c r="E1178" s="5" t="n">
        <f aca="false">IFERROR(__xludf.dummyfunction("""COMPUTED_VALUE"""),500.37)</f>
        <v>500.37</v>
      </c>
      <c r="F1178" s="5" t="n">
        <f aca="false">IFERROR(__xludf.dummyfunction("""COMPUTED_VALUE"""),21611816)</f>
        <v>21611816</v>
      </c>
    </row>
    <row r="1179" customFormat="false" ht="15.75" hidden="false" customHeight="false" outlineLevel="0" collapsed="false">
      <c r="A1179" s="6" t="n">
        <f aca="false">IFERROR(__xludf.dummyfunction("""COMPUTED_VALUE"""),45911.6666666667)</f>
        <v>45911.6666666667</v>
      </c>
      <c r="B1179" s="5" t="n">
        <f aca="false">IFERROR(__xludf.dummyfunction("""COMPUTED_VALUE"""),502.25)</f>
        <v>502.25</v>
      </c>
      <c r="C1179" s="5" t="n">
        <f aca="false">IFERROR(__xludf.dummyfunction("""COMPUTED_VALUE"""),503.17)</f>
        <v>503.17</v>
      </c>
      <c r="D1179" s="5" t="n">
        <f aca="false">IFERROR(__xludf.dummyfunction("""COMPUTED_VALUE"""),497.88)</f>
        <v>497.88</v>
      </c>
      <c r="E1179" s="5" t="n">
        <f aca="false">IFERROR(__xludf.dummyfunction("""COMPUTED_VALUE"""),501.01)</f>
        <v>501.01</v>
      </c>
      <c r="F1179" s="5" t="n">
        <f aca="false">IFERROR(__xludf.dummyfunction("""COMPUTED_VALUE"""),18881608)</f>
        <v>18881608</v>
      </c>
    </row>
    <row r="1180" customFormat="false" ht="15.75" hidden="false" customHeight="false" outlineLevel="0" collapsed="false">
      <c r="A1180" s="6" t="n">
        <f aca="false">IFERROR(__xludf.dummyfunction("""COMPUTED_VALUE"""),45912.6666666667)</f>
        <v>45912.6666666667</v>
      </c>
      <c r="B1180" s="5" t="n">
        <f aca="false">IFERROR(__xludf.dummyfunction("""COMPUTED_VALUE"""),506.65)</f>
        <v>506.65</v>
      </c>
      <c r="C1180" s="5" t="n">
        <f aca="false">IFERROR(__xludf.dummyfunction("""COMPUTED_VALUE"""),512.55)</f>
        <v>512.55</v>
      </c>
      <c r="D1180" s="5" t="n">
        <f aca="false">IFERROR(__xludf.dummyfunction("""COMPUTED_VALUE"""),503.85)</f>
        <v>503.85</v>
      </c>
      <c r="E1180" s="5" t="n">
        <f aca="false">IFERROR(__xludf.dummyfunction("""COMPUTED_VALUE"""),509.9)</f>
        <v>509.9</v>
      </c>
      <c r="F1180" s="5" t="n">
        <f aca="false">IFERROR(__xludf.dummyfunction("""COMPUTED_VALUE"""),23624884)</f>
        <v>23624884</v>
      </c>
    </row>
    <row r="1181" customFormat="false" ht="15.75" hidden="false" customHeight="false" outlineLevel="0" collapsed="false">
      <c r="A1181" s="6" t="n">
        <f aca="false">IFERROR(__xludf.dummyfunction("""COMPUTED_VALUE"""),45915.6666666667)</f>
        <v>45915.6666666667</v>
      </c>
      <c r="B1181" s="5" t="n">
        <f aca="false">IFERROR(__xludf.dummyfunction("""COMPUTED_VALUE"""),508.79)</f>
        <v>508.79</v>
      </c>
      <c r="C1181" s="5" t="n">
        <f aca="false">IFERROR(__xludf.dummyfunction("""COMPUTED_VALUE"""),515.47)</f>
        <v>515.47</v>
      </c>
      <c r="D1181" s="5" t="n">
        <f aca="false">IFERROR(__xludf.dummyfunction("""COMPUTED_VALUE"""),507)</f>
        <v>507</v>
      </c>
      <c r="E1181" s="5" t="n">
        <f aca="false">IFERROR(__xludf.dummyfunction("""COMPUTED_VALUE"""),515.36)</f>
        <v>515.36</v>
      </c>
      <c r="F1181" s="5" t="n">
        <f aca="false">IFERROR(__xludf.dummyfunction("""COMPUTED_VALUE"""),17143786)</f>
        <v>17143786</v>
      </c>
    </row>
    <row r="1182" customFormat="false" ht="15.75" hidden="false" customHeight="false" outlineLevel="0" collapsed="false">
      <c r="A1182" s="6" t="n">
        <f aca="false">IFERROR(__xludf.dummyfunction("""COMPUTED_VALUE"""),45916.6666666667)</f>
        <v>45916.6666666667</v>
      </c>
      <c r="B1182" s="5" t="n">
        <f aca="false">IFERROR(__xludf.dummyfunction("""COMPUTED_VALUE"""),516.88)</f>
        <v>516.88</v>
      </c>
      <c r="C1182" s="5" t="n">
        <f aca="false">IFERROR(__xludf.dummyfunction("""COMPUTED_VALUE"""),517.23)</f>
        <v>517.23</v>
      </c>
      <c r="D1182" s="5" t="n">
        <f aca="false">IFERROR(__xludf.dummyfunction("""COMPUTED_VALUE"""),508.6)</f>
        <v>508.6</v>
      </c>
      <c r="E1182" s="5" t="n">
        <f aca="false">IFERROR(__xludf.dummyfunction("""COMPUTED_VALUE"""),509.04)</f>
        <v>509.04</v>
      </c>
      <c r="F1182" s="5" t="n">
        <f aca="false">IFERROR(__xludf.dummyfunction("""COMPUTED_VALUE"""),19711922)</f>
        <v>19711922</v>
      </c>
    </row>
    <row r="1183" customFormat="false" ht="15.75" hidden="false" customHeight="false" outlineLevel="0" collapsed="false">
      <c r="A1183" s="6" t="n">
        <f aca="false">IFERROR(__xludf.dummyfunction("""COMPUTED_VALUE"""),45917.6666666667)</f>
        <v>45917.6666666667</v>
      </c>
      <c r="B1183" s="5" t="n">
        <f aca="false">IFERROR(__xludf.dummyfunction("""COMPUTED_VALUE"""),510.62)</f>
        <v>510.62</v>
      </c>
      <c r="C1183" s="5" t="n">
        <f aca="false">IFERROR(__xludf.dummyfunction("""COMPUTED_VALUE"""),511.29)</f>
        <v>511.29</v>
      </c>
      <c r="D1183" s="5" t="n">
        <f aca="false">IFERROR(__xludf.dummyfunction("""COMPUTED_VALUE"""),505.93)</f>
        <v>505.93</v>
      </c>
      <c r="E1183" s="5" t="n">
        <f aca="false">IFERROR(__xludf.dummyfunction("""COMPUTED_VALUE"""),510.02)</f>
        <v>510.02</v>
      </c>
      <c r="F1183" s="5" t="n">
        <f aca="false">IFERROR(__xludf.dummyfunction("""COMPUTED_VALUE"""),15816585)</f>
        <v>15816585</v>
      </c>
    </row>
    <row r="1184" customFormat="false" ht="15.75" hidden="false" customHeight="false" outlineLevel="0" collapsed="false">
      <c r="A1184" s="6" t="n">
        <f aca="false">IFERROR(__xludf.dummyfunction("""COMPUTED_VALUE"""),45918.6666666667)</f>
        <v>45918.6666666667</v>
      </c>
      <c r="B1184" s="5" t="n">
        <f aca="false">IFERROR(__xludf.dummyfunction("""COMPUTED_VALUE"""),511.49)</f>
        <v>511.49</v>
      </c>
      <c r="C1184" s="5" t="n">
        <f aca="false">IFERROR(__xludf.dummyfunction("""COMPUTED_VALUE"""),513.07)</f>
        <v>513.07</v>
      </c>
      <c r="D1184" s="5" t="n">
        <f aca="false">IFERROR(__xludf.dummyfunction("""COMPUTED_VALUE"""),507.66)</f>
        <v>507.66</v>
      </c>
      <c r="E1184" s="5" t="n">
        <f aca="false">IFERROR(__xludf.dummyfunction("""COMPUTED_VALUE"""),508.45)</f>
        <v>508.45</v>
      </c>
      <c r="F1184" s="5" t="n">
        <f aca="false">IFERROR(__xludf.dummyfunction("""COMPUTED_VALUE"""),18913696)</f>
        <v>18913696</v>
      </c>
    </row>
    <row r="1185" customFormat="false" ht="15.75" hidden="false" customHeight="false" outlineLevel="0" collapsed="false">
      <c r="A1185" s="6" t="n">
        <f aca="false">IFERROR(__xludf.dummyfunction("""COMPUTED_VALUE"""),45919.6666666667)</f>
        <v>45919.6666666667</v>
      </c>
      <c r="B1185" s="5" t="n">
        <f aca="false">IFERROR(__xludf.dummyfunction("""COMPUTED_VALUE"""),510.56)</f>
        <v>510.56</v>
      </c>
      <c r="C1185" s="5" t="n">
        <f aca="false">IFERROR(__xludf.dummyfunction("""COMPUTED_VALUE"""),519.3)</f>
        <v>519.3</v>
      </c>
      <c r="D1185" s="5" t="n">
        <f aca="false">IFERROR(__xludf.dummyfunction("""COMPUTED_VALUE"""),510.31)</f>
        <v>510.31</v>
      </c>
      <c r="E1185" s="5" t="n">
        <f aca="false">IFERROR(__xludf.dummyfunction("""COMPUTED_VALUE"""),517.93)</f>
        <v>517.93</v>
      </c>
      <c r="F1185" s="5" t="n">
        <f aca="false">IFERROR(__xludf.dummyfunction("""COMPUTED_VALUE"""),52474093)</f>
        <v>52474093</v>
      </c>
    </row>
    <row r="1186" customFormat="false" ht="15.75" hidden="false" customHeight="false" outlineLevel="0" collapsed="false">
      <c r="A1186" s="6" t="n">
        <f aca="false">IFERROR(__xludf.dummyfunction("""COMPUTED_VALUE"""),45922.6666666667)</f>
        <v>45922.6666666667</v>
      </c>
      <c r="B1186" s="5" t="n">
        <f aca="false">IFERROR(__xludf.dummyfunction("""COMPUTED_VALUE"""),515.59)</f>
        <v>515.59</v>
      </c>
      <c r="C1186" s="5" t="n">
        <f aca="false">IFERROR(__xludf.dummyfunction("""COMPUTED_VALUE"""),517.74)</f>
        <v>517.74</v>
      </c>
      <c r="D1186" s="5" t="n">
        <f aca="false">IFERROR(__xludf.dummyfunction("""COMPUTED_VALUE"""),512.54)</f>
        <v>512.54</v>
      </c>
      <c r="E1186" s="5" t="n">
        <f aca="false">IFERROR(__xludf.dummyfunction("""COMPUTED_VALUE"""),514.45)</f>
        <v>514.45</v>
      </c>
      <c r="F1186" s="5" t="n">
        <f aca="false">IFERROR(__xludf.dummyfunction("""COMPUTED_VALUE"""),20009314)</f>
        <v>20009314</v>
      </c>
    </row>
    <row r="1187" customFormat="false" ht="15.75" hidden="false" customHeight="false" outlineLevel="0" collapsed="false">
      <c r="A1187" s="6" t="n">
        <f aca="false">IFERROR(__xludf.dummyfunction("""COMPUTED_VALUE"""),45923.6666666667)</f>
        <v>45923.6666666667</v>
      </c>
      <c r="B1187" s="5" t="n">
        <f aca="false">IFERROR(__xludf.dummyfunction("""COMPUTED_VALUE"""),513.8)</f>
        <v>513.8</v>
      </c>
      <c r="C1187" s="5" t="n">
        <f aca="false">IFERROR(__xludf.dummyfunction("""COMPUTED_VALUE"""),514.59)</f>
        <v>514.59</v>
      </c>
      <c r="D1187" s="5" t="n">
        <f aca="false">IFERROR(__xludf.dummyfunction("""COMPUTED_VALUE"""),507.31)</f>
        <v>507.31</v>
      </c>
      <c r="E1187" s="5" t="n">
        <f aca="false">IFERROR(__xludf.dummyfunction("""COMPUTED_VALUE"""),509.23)</f>
        <v>509.23</v>
      </c>
      <c r="F1187" s="5" t="n">
        <f aca="false">IFERROR(__xludf.dummyfunction("""COMPUTED_VALUE"""),19799580)</f>
        <v>19799580</v>
      </c>
    </row>
    <row r="1188" customFormat="false" ht="15.75" hidden="false" customHeight="false" outlineLevel="0" collapsed="false">
      <c r="A1188" s="6" t="n">
        <f aca="false">IFERROR(__xludf.dummyfunction("""COMPUTED_VALUE"""),45924.6666666667)</f>
        <v>45924.6666666667</v>
      </c>
      <c r="B1188" s="5" t="n">
        <f aca="false">IFERROR(__xludf.dummyfunction("""COMPUTED_VALUE"""),513.8)</f>
        <v>513.8</v>
      </c>
      <c r="C1188" s="5" t="n">
        <f aca="false">IFERROR(__xludf.dummyfunction("""COMPUTED_VALUE"""),514.59)</f>
        <v>514.59</v>
      </c>
      <c r="D1188" s="5" t="n">
        <f aca="false">IFERROR(__xludf.dummyfunction("""COMPUTED_VALUE"""),507.31)</f>
        <v>507.31</v>
      </c>
      <c r="E1188" s="5" t="n">
        <f aca="false">IFERROR(__xludf.dummyfunction("""COMPUTED_VALUE"""),509.23)</f>
        <v>509.23</v>
      </c>
      <c r="F1188" s="5" t="n">
        <f aca="false">IFERROR(__xludf.dummyfunction("""COMPUTED_VALUE"""),98063)</f>
        <v>98063</v>
      </c>
    </row>
    <row r="1189" customFormat="false" ht="15.75" hidden="false" customHeight="false" outlineLevel="0" collapsed="false">
      <c r="A1189" s="6" t="n">
        <f aca="false">IFERROR(__xludf.dummyfunction("""COMPUTED_VALUE"""),45925.6666666667)</f>
        <v>45925.6666666667</v>
      </c>
      <c r="B1189" s="5" t="n">
        <f aca="false">IFERROR(__xludf.dummyfunction("""COMPUTED_VALUE"""),508.3)</f>
        <v>508.3</v>
      </c>
      <c r="C1189" s="5" t="n">
        <f aca="false">IFERROR(__xludf.dummyfunction("""COMPUTED_VALUE"""),510.01)</f>
        <v>510.01</v>
      </c>
      <c r="D1189" s="5" t="n">
        <f aca="false">IFERROR(__xludf.dummyfunction("""COMPUTED_VALUE"""),505.04)</f>
        <v>505.04</v>
      </c>
      <c r="E1189" s="5" t="n">
        <f aca="false">IFERROR(__xludf.dummyfunction("""COMPUTED_VALUE"""),507.03)</f>
        <v>507.03</v>
      </c>
      <c r="F1189" s="5" t="n">
        <f aca="false">IFERROR(__xludf.dummyfunction("""COMPUTED_VALUE"""),15786468)</f>
        <v>15786468</v>
      </c>
    </row>
    <row r="1190" customFormat="false" ht="15.75" hidden="false" customHeight="false" outlineLevel="0" collapsed="false">
      <c r="A1190" s="6" t="n">
        <f aca="false">IFERROR(__xludf.dummyfunction("""COMPUTED_VALUE"""),45926.6666666667)</f>
        <v>45926.6666666667</v>
      </c>
      <c r="B1190" s="5" t="n">
        <f aca="false">IFERROR(__xludf.dummyfunction("""COMPUTED_VALUE"""),510.06)</f>
        <v>510.06</v>
      </c>
      <c r="C1190" s="5" t="n">
        <f aca="false">IFERROR(__xludf.dummyfunction("""COMPUTED_VALUE"""),513.94)</f>
        <v>513.94</v>
      </c>
      <c r="D1190" s="5" t="n">
        <f aca="false">IFERROR(__xludf.dummyfunction("""COMPUTED_VALUE"""),506.62)</f>
        <v>506.62</v>
      </c>
      <c r="E1190" s="5" t="n">
        <f aca="false">IFERROR(__xludf.dummyfunction("""COMPUTED_VALUE"""),511.46)</f>
        <v>511.46</v>
      </c>
      <c r="F1190" s="5" t="n">
        <f aca="false">IFERROR(__xludf.dummyfunction("""COMPUTED_VALUE"""),16213129)</f>
        <v>16213129</v>
      </c>
    </row>
    <row r="1191" customFormat="false" ht="15.75" hidden="false" customHeight="false" outlineLevel="0" collapsed="false">
      <c r="A1191" s="6" t="n">
        <f aca="false">IFERROR(__xludf.dummyfunction("""COMPUTED_VALUE"""),45929.6666666667)</f>
        <v>45929.6666666667</v>
      </c>
      <c r="B1191" s="5" t="n">
        <f aca="false">IFERROR(__xludf.dummyfunction("""COMPUTED_VALUE"""),511.5)</f>
        <v>511.5</v>
      </c>
      <c r="C1191" s="5" t="n">
        <f aca="false">IFERROR(__xludf.dummyfunction("""COMPUTED_VALUE"""),516.85)</f>
        <v>516.85</v>
      </c>
      <c r="D1191" s="5" t="n">
        <f aca="false">IFERROR(__xludf.dummyfunction("""COMPUTED_VALUE"""),508.88)</f>
        <v>508.88</v>
      </c>
      <c r="E1191" s="5" t="n">
        <f aca="false">IFERROR(__xludf.dummyfunction("""COMPUTED_VALUE"""),514.6)</f>
        <v>514.6</v>
      </c>
      <c r="F1191" s="5" t="n">
        <f aca="false">IFERROR(__xludf.dummyfunction("""COMPUTED_VALUE"""),17617775)</f>
        <v>17617775</v>
      </c>
    </row>
    <row r="1192" customFormat="false" ht="15.75" hidden="false" customHeight="false" outlineLevel="0" collapsed="false">
      <c r="A1192" s="6" t="n">
        <f aca="false">IFERROR(__xludf.dummyfunction("""COMPUTED_VALUE"""),45930.6666666667)</f>
        <v>45930.6666666667</v>
      </c>
      <c r="B1192" s="5" t="n">
        <f aca="false">IFERROR(__xludf.dummyfunction("""COMPUTED_VALUE"""),513.24)</f>
        <v>513.24</v>
      </c>
      <c r="C1192" s="5" t="n">
        <f aca="false">IFERROR(__xludf.dummyfunction("""COMPUTED_VALUE"""),518.16)</f>
        <v>518.16</v>
      </c>
      <c r="D1192" s="5" t="n">
        <f aca="false">IFERROR(__xludf.dummyfunction("""COMPUTED_VALUE"""),509.66)</f>
        <v>509.66</v>
      </c>
      <c r="E1192" s="5" t="n">
        <f aca="false">IFERROR(__xludf.dummyfunction("""COMPUTED_VALUE"""),517.95)</f>
        <v>517.95</v>
      </c>
      <c r="F1192" s="5" t="n">
        <f aca="false">IFERROR(__xludf.dummyfunction("""COMPUTED_VALUE"""),19728229)</f>
        <v>19728229</v>
      </c>
    </row>
    <row r="1193" customFormat="false" ht="15.75" hidden="false" customHeight="false" outlineLevel="0" collapsed="false">
      <c r="A1193" s="6" t="n">
        <f aca="false">IFERROR(__xludf.dummyfunction("""COMPUTED_VALUE"""),45931.6666666667)</f>
        <v>45931.6666666667</v>
      </c>
      <c r="B1193" s="5" t="n">
        <f aca="false">IFERROR(__xludf.dummyfunction("""COMPUTED_VALUE"""),514.8)</f>
        <v>514.8</v>
      </c>
      <c r="C1193" s="5" t="n">
        <f aca="false">IFERROR(__xludf.dummyfunction("""COMPUTED_VALUE"""),520.51)</f>
        <v>520.51</v>
      </c>
      <c r="D1193" s="5" t="n">
        <f aca="false">IFERROR(__xludf.dummyfunction("""COMPUTED_VALUE"""),511.69)</f>
        <v>511.69</v>
      </c>
      <c r="E1193" s="5" t="n">
        <f aca="false">IFERROR(__xludf.dummyfunction("""COMPUTED_VALUE"""),519.71)</f>
        <v>519.71</v>
      </c>
      <c r="F1193" s="5" t="n">
        <f aca="false">IFERROR(__xludf.dummyfunction("""COMPUTED_VALUE"""),22632336)</f>
        <v>22632336</v>
      </c>
    </row>
    <row r="1194" customFormat="false" ht="15.75" hidden="false" customHeight="false" outlineLevel="0" collapsed="false">
      <c r="A1194" s="6" t="n">
        <f aca="false">IFERROR(__xludf.dummyfunction("""COMPUTED_VALUE"""),45932.6666666667)</f>
        <v>45932.6666666667</v>
      </c>
      <c r="B1194" s="5" t="n">
        <f aca="false">IFERROR(__xludf.dummyfunction("""COMPUTED_VALUE"""),517.64)</f>
        <v>517.64</v>
      </c>
      <c r="C1194" s="5" t="n">
        <f aca="false">IFERROR(__xludf.dummyfunction("""COMPUTED_VALUE"""),521.6)</f>
        <v>521.6</v>
      </c>
      <c r="D1194" s="5" t="n">
        <f aca="false">IFERROR(__xludf.dummyfunction("""COMPUTED_VALUE"""),510.68)</f>
        <v>510.68</v>
      </c>
      <c r="E1194" s="5" t="n">
        <f aca="false">IFERROR(__xludf.dummyfunction("""COMPUTED_VALUE"""),515.74)</f>
        <v>515.74</v>
      </c>
      <c r="F1194" s="5" t="n">
        <f aca="false">IFERROR(__xludf.dummyfunction("""COMPUTED_VALUE"""),21222886)</f>
        <v>21222886</v>
      </c>
    </row>
    <row r="1195" customFormat="false" ht="15.75" hidden="false" customHeight="false" outlineLevel="0" collapsed="false">
      <c r="A1195" s="6" t="n">
        <f aca="false">IFERROR(__xludf.dummyfunction("""COMPUTED_VALUE"""),45933.6666666667)</f>
        <v>45933.6666666667</v>
      </c>
      <c r="B1195" s="5" t="n">
        <f aca="false">IFERROR(__xludf.dummyfunction("""COMPUTED_VALUE"""),517.1)</f>
        <v>517.1</v>
      </c>
      <c r="C1195" s="5" t="n">
        <f aca="false">IFERROR(__xludf.dummyfunction("""COMPUTED_VALUE"""),520.49)</f>
        <v>520.49</v>
      </c>
      <c r="D1195" s="5" t="n">
        <f aca="false">IFERROR(__xludf.dummyfunction("""COMPUTED_VALUE"""),515)</f>
        <v>515</v>
      </c>
      <c r="E1195" s="5" t="n">
        <f aca="false">IFERROR(__xludf.dummyfunction("""COMPUTED_VALUE"""),517.35)</f>
        <v>517.35</v>
      </c>
      <c r="F1195" s="5" t="n">
        <f aca="false">IFERROR(__xludf.dummyfunction("""COMPUTED_VALUE"""),15112321)</f>
        <v>15112321</v>
      </c>
    </row>
    <row r="1196" customFormat="false" ht="15.75" hidden="false" customHeight="false" outlineLevel="0" collapsed="false">
      <c r="A1196" s="6" t="n">
        <f aca="false">IFERROR(__xludf.dummyfunction("""COMPUTED_VALUE"""),45936.6666666667)</f>
        <v>45936.6666666667</v>
      </c>
      <c r="B1196" s="5" t="n">
        <f aca="false">IFERROR(__xludf.dummyfunction("""COMPUTED_VALUE"""),518.61)</f>
        <v>518.61</v>
      </c>
      <c r="C1196" s="5" t="n">
        <f aca="false">IFERROR(__xludf.dummyfunction("""COMPUTED_VALUE"""),531.03)</f>
        <v>531.03</v>
      </c>
      <c r="D1196" s="5" t="n">
        <f aca="false">IFERROR(__xludf.dummyfunction("""COMPUTED_VALUE"""),518.2)</f>
        <v>518.2</v>
      </c>
      <c r="E1196" s="5" t="n">
        <f aca="false">IFERROR(__xludf.dummyfunction("""COMPUTED_VALUE"""),528.57)</f>
        <v>528.57</v>
      </c>
      <c r="F1196" s="5" t="n">
        <f aca="false">IFERROR(__xludf.dummyfunction("""COMPUTED_VALUE"""),21388581)</f>
        <v>21388581</v>
      </c>
    </row>
    <row r="1197" customFormat="false" ht="15.75" hidden="false" customHeight="false" outlineLevel="0" collapsed="false">
      <c r="A1197" s="6" t="n">
        <f aca="false">IFERROR(__xludf.dummyfunction("""COMPUTED_VALUE"""),45937.6666666667)</f>
        <v>45937.6666666667</v>
      </c>
      <c r="B1197" s="5" t="n">
        <f aca="false">IFERROR(__xludf.dummyfunction("""COMPUTED_VALUE"""),528.29)</f>
        <v>528.29</v>
      </c>
      <c r="C1197" s="5" t="n">
        <f aca="false">IFERROR(__xludf.dummyfunction("""COMPUTED_VALUE"""),529.8)</f>
        <v>529.8</v>
      </c>
      <c r="D1197" s="5" t="n">
        <f aca="false">IFERROR(__xludf.dummyfunction("""COMPUTED_VALUE"""),521.44)</f>
        <v>521.44</v>
      </c>
      <c r="E1197" s="5" t="n">
        <f aca="false">IFERROR(__xludf.dummyfunction("""COMPUTED_VALUE"""),523.98)</f>
        <v>523.98</v>
      </c>
      <c r="F1197" s="5" t="n">
        <f aca="false">IFERROR(__xludf.dummyfunction("""COMPUTED_VALUE"""),14615208)</f>
        <v>14615208</v>
      </c>
    </row>
    <row r="1198" customFormat="false" ht="15.75" hidden="false" customHeight="false" outlineLevel="0" collapsed="false">
      <c r="A1198" s="6" t="n">
        <f aca="false">IFERROR(__xludf.dummyfunction("""COMPUTED_VALUE"""),45938.6666666667)</f>
        <v>45938.6666666667</v>
      </c>
      <c r="B1198" s="5" t="n">
        <f aca="false">IFERROR(__xludf.dummyfunction("""COMPUTED_VALUE"""),523.28)</f>
        <v>523.28</v>
      </c>
      <c r="C1198" s="5" t="n">
        <f aca="false">IFERROR(__xludf.dummyfunction("""COMPUTED_VALUE"""),526.95)</f>
        <v>526.95</v>
      </c>
      <c r="D1198" s="5" t="n">
        <f aca="false">IFERROR(__xludf.dummyfunction("""COMPUTED_VALUE"""),523.09)</f>
        <v>523.09</v>
      </c>
      <c r="E1198" s="5" t="n">
        <f aca="false">IFERROR(__xludf.dummyfunction("""COMPUTED_VALUE"""),524.85)</f>
        <v>524.85</v>
      </c>
      <c r="F1198" s="5" t="n">
        <f aca="false">IFERROR(__xludf.dummyfunction("""COMPUTED_VALUE"""),13363447)</f>
        <v>13363447</v>
      </c>
    </row>
    <row r="1199" customFormat="false" ht="15.75" hidden="false" customHeight="false" outlineLevel="0" collapsed="false">
      <c r="A1199" s="6" t="n">
        <f aca="false">IFERROR(__xludf.dummyfunction("""COMPUTED_VALUE"""),45939.6666666667)</f>
        <v>45939.6666666667</v>
      </c>
      <c r="B1199" s="5" t="n">
        <f aca="false">IFERROR(__xludf.dummyfunction("""COMPUTED_VALUE"""),522.34)</f>
        <v>522.34</v>
      </c>
      <c r="C1199" s="5" t="n">
        <f aca="false">IFERROR(__xludf.dummyfunction("""COMPUTED_VALUE"""),524.33)</f>
        <v>524.33</v>
      </c>
      <c r="D1199" s="5" t="n">
        <f aca="false">IFERROR(__xludf.dummyfunction("""COMPUTED_VALUE"""),517.4)</f>
        <v>517.4</v>
      </c>
      <c r="E1199" s="5" t="n">
        <f aca="false">IFERROR(__xludf.dummyfunction("""COMPUTED_VALUE"""),522.4)</f>
        <v>522.4</v>
      </c>
      <c r="F1199" s="5" t="n">
        <f aca="false">IFERROR(__xludf.dummyfunction("""COMPUTED_VALUE"""),18343602)</f>
        <v>18343602</v>
      </c>
    </row>
    <row r="1200" customFormat="false" ht="15.75" hidden="false" customHeight="false" outlineLevel="0" collapsed="false">
      <c r="A1200" s="6" t="n">
        <f aca="false">IFERROR(__xludf.dummyfunction("""COMPUTED_VALUE"""),45940.6666666667)</f>
        <v>45940.6666666667</v>
      </c>
      <c r="B1200" s="5" t="n">
        <f aca="false">IFERROR(__xludf.dummyfunction("""COMPUTED_VALUE"""),519.64)</f>
        <v>519.64</v>
      </c>
      <c r="C1200" s="5" t="n">
        <f aca="false">IFERROR(__xludf.dummyfunction("""COMPUTED_VALUE"""),523.58)</f>
        <v>523.58</v>
      </c>
      <c r="D1200" s="5" t="n">
        <f aca="false">IFERROR(__xludf.dummyfunction("""COMPUTED_VALUE"""),509.63)</f>
        <v>509.63</v>
      </c>
      <c r="E1200" s="5" t="n">
        <f aca="false">IFERROR(__xludf.dummyfunction("""COMPUTED_VALUE"""),510.96)</f>
        <v>510.96</v>
      </c>
      <c r="F1200" s="5" t="n">
        <f aca="false">IFERROR(__xludf.dummyfunction("""COMPUTED_VALUE"""),24133840)</f>
        <v>24133840</v>
      </c>
    </row>
    <row r="1201" customFormat="false" ht="15.75" hidden="false" customHeight="false" outlineLevel="0" collapsed="false">
      <c r="A1201" s="6" t="n">
        <f aca="false">IFERROR(__xludf.dummyfunction("""COMPUTED_VALUE"""),45943.6666666667)</f>
        <v>45943.6666666667</v>
      </c>
      <c r="B1201" s="5" t="n">
        <f aca="false">IFERROR(__xludf.dummyfunction("""COMPUTED_VALUE"""),516.41)</f>
        <v>516.41</v>
      </c>
      <c r="C1201" s="5" t="n">
        <f aca="false">IFERROR(__xludf.dummyfunction("""COMPUTED_VALUE"""),516.41)</f>
        <v>516.41</v>
      </c>
      <c r="D1201" s="5" t="n">
        <f aca="false">IFERROR(__xludf.dummyfunction("""COMPUTED_VALUE"""),511.68)</f>
        <v>511.68</v>
      </c>
      <c r="E1201" s="5" t="n">
        <f aca="false">IFERROR(__xludf.dummyfunction("""COMPUTED_VALUE"""),514.05)</f>
        <v>514.05</v>
      </c>
      <c r="F1201" s="5" t="n">
        <f aca="false">IFERROR(__xludf.dummyfunction("""COMPUTED_VALUE"""),14284238)</f>
        <v>14284238</v>
      </c>
    </row>
    <row r="1202" customFormat="false" ht="15.75" hidden="false" customHeight="false" outlineLevel="0" collapsed="false">
      <c r="A1202" s="6" t="n">
        <f aca="false">IFERROR(__xludf.dummyfunction("""COMPUTED_VALUE"""),45944.6666666667)</f>
        <v>45944.6666666667</v>
      </c>
      <c r="B1202" s="5" t="n">
        <f aca="false">IFERROR(__xludf.dummyfunction("""COMPUTED_VALUE"""),510.23)</f>
        <v>510.23</v>
      </c>
      <c r="C1202" s="5" t="n">
        <f aca="false">IFERROR(__xludf.dummyfunction("""COMPUTED_VALUE"""),515.28)</f>
        <v>515.28</v>
      </c>
      <c r="D1202" s="5" t="n">
        <f aca="false">IFERROR(__xludf.dummyfunction("""COMPUTED_VALUE"""),506)</f>
        <v>506</v>
      </c>
      <c r="E1202" s="5" t="n">
        <f aca="false">IFERROR(__xludf.dummyfunction("""COMPUTED_VALUE"""),513.57)</f>
        <v>513.57</v>
      </c>
      <c r="F1202" s="5" t="n">
        <f aca="false">IFERROR(__xludf.dummyfunction("""COMPUTED_VALUE"""),14684300)</f>
        <v>14684300</v>
      </c>
    </row>
    <row r="1203" customFormat="false" ht="15.75" hidden="false" customHeight="false" outlineLevel="0" collapsed="false">
      <c r="A1203" s="6" t="n">
        <f aca="false">IFERROR(__xludf.dummyfunction("""COMPUTED_VALUE"""),45945.6666666667)</f>
        <v>45945.6666666667</v>
      </c>
      <c r="B1203" s="5" t="n">
        <f aca="false">IFERROR(__xludf.dummyfunction("""COMPUTED_VALUE"""),514.96)</f>
        <v>514.96</v>
      </c>
      <c r="C1203" s="5" t="n">
        <f aca="false">IFERROR(__xludf.dummyfunction("""COMPUTED_VALUE"""),517.19)</f>
        <v>517.19</v>
      </c>
      <c r="D1203" s="5" t="n">
        <f aca="false">IFERROR(__xludf.dummyfunction("""COMPUTED_VALUE"""),510)</f>
        <v>510</v>
      </c>
      <c r="E1203" s="5" t="n">
        <f aca="false">IFERROR(__xludf.dummyfunction("""COMPUTED_VALUE"""),513.43)</f>
        <v>513.43</v>
      </c>
      <c r="F1203" s="5" t="n">
        <f aca="false">IFERROR(__xludf.dummyfunction("""COMPUTED_VALUE"""),14694654)</f>
        <v>14694654</v>
      </c>
    </row>
    <row r="1204" customFormat="false" ht="15.75" hidden="false" customHeight="false" outlineLevel="0" collapsed="false">
      <c r="A1204" s="6" t="n">
        <f aca="false">IFERROR(__xludf.dummyfunction("""COMPUTED_VALUE"""),45946.6666666667)</f>
        <v>45946.6666666667</v>
      </c>
      <c r="B1204" s="5" t="n">
        <f aca="false">IFERROR(__xludf.dummyfunction("""COMPUTED_VALUE"""),512.58)</f>
        <v>512.58</v>
      </c>
      <c r="C1204" s="5" t="n">
        <f aca="false">IFERROR(__xludf.dummyfunction("""COMPUTED_VALUE"""),516.85)</f>
        <v>516.85</v>
      </c>
      <c r="D1204" s="5" t="n">
        <f aca="false">IFERROR(__xludf.dummyfunction("""COMPUTED_VALUE"""),508.13)</f>
        <v>508.13</v>
      </c>
      <c r="E1204" s="5" t="n">
        <f aca="false">IFERROR(__xludf.dummyfunction("""COMPUTED_VALUE"""),511.61)</f>
        <v>511.61</v>
      </c>
      <c r="F1204" s="5" t="n">
        <f aca="false">IFERROR(__xludf.dummyfunction("""COMPUTED_VALUE"""),15559565)</f>
        <v>15559565</v>
      </c>
    </row>
    <row r="1205" customFormat="false" ht="15.75" hidden="false" customHeight="false" outlineLevel="0" collapsed="false">
      <c r="A1205" s="6" t="n">
        <f aca="false">IFERROR(__xludf.dummyfunction("""COMPUTED_VALUE"""),45947.6666666667)</f>
        <v>45947.6666666667</v>
      </c>
      <c r="B1205" s="5" t="n">
        <f aca="false">IFERROR(__xludf.dummyfunction("""COMPUTED_VALUE"""),509.04)</f>
        <v>509.04</v>
      </c>
      <c r="C1205" s="5" t="n">
        <f aca="false">IFERROR(__xludf.dummyfunction("""COMPUTED_VALUE"""),515.48)</f>
        <v>515.48</v>
      </c>
      <c r="D1205" s="5" t="n">
        <f aca="false">IFERROR(__xludf.dummyfunction("""COMPUTED_VALUE"""),507.31)</f>
        <v>507.31</v>
      </c>
      <c r="E1205" s="5" t="n">
        <f aca="false">IFERROR(__xludf.dummyfunction("""COMPUTED_VALUE"""),513.58)</f>
        <v>513.58</v>
      </c>
      <c r="F1205" s="5" t="n">
        <f aca="false">IFERROR(__xludf.dummyfunction("""COMPUTED_VALUE"""),19867765)</f>
        <v>19867765</v>
      </c>
    </row>
    <row r="1206" customFormat="false" ht="15.75" hidden="false" customHeight="false" outlineLevel="0" collapsed="false">
      <c r="A1206" s="6" t="n">
        <f aca="false">IFERROR(__xludf.dummyfunction("""COMPUTED_VALUE"""),45950.6666666667)</f>
        <v>45950.6666666667</v>
      </c>
      <c r="B1206" s="5" t="n">
        <f aca="false">IFERROR(__xludf.dummyfunction("""COMPUTED_VALUE"""),514.61)</f>
        <v>514.61</v>
      </c>
      <c r="C1206" s="5" t="n">
        <f aca="false">IFERROR(__xludf.dummyfunction("""COMPUTED_VALUE"""),518.7)</f>
        <v>518.7</v>
      </c>
      <c r="D1206" s="5" t="n">
        <f aca="false">IFERROR(__xludf.dummyfunction("""COMPUTED_VALUE"""),513.43)</f>
        <v>513.43</v>
      </c>
      <c r="E1206" s="5" t="n">
        <f aca="false">IFERROR(__xludf.dummyfunction("""COMPUTED_VALUE"""),516.79)</f>
        <v>516.79</v>
      </c>
      <c r="F1206" s="5" t="n">
        <f aca="false">IFERROR(__xludf.dummyfunction("""COMPUTED_VALUE"""),14665620)</f>
        <v>14665620</v>
      </c>
    </row>
    <row r="1207" customFormat="false" ht="15.75" hidden="false" customHeight="false" outlineLevel="0" collapsed="false">
      <c r="A1207" s="6" t="n">
        <f aca="false">IFERROR(__xludf.dummyfunction("""COMPUTED_VALUE"""),45951.6666666667)</f>
        <v>45951.6666666667</v>
      </c>
      <c r="B1207" s="5" t="n">
        <f aca="false">IFERROR(__xludf.dummyfunction("""COMPUTED_VALUE"""),517.5)</f>
        <v>517.5</v>
      </c>
      <c r="C1207" s="5" t="n">
        <f aca="false">IFERROR(__xludf.dummyfunction("""COMPUTED_VALUE"""),518.69)</f>
        <v>518.69</v>
      </c>
      <c r="D1207" s="5" t="n">
        <f aca="false">IFERROR(__xludf.dummyfunction("""COMPUTED_VALUE"""),513.04)</f>
        <v>513.04</v>
      </c>
      <c r="E1207" s="5" t="n">
        <f aca="false">IFERROR(__xludf.dummyfunction("""COMPUTED_VALUE"""),517.66)</f>
        <v>517.66</v>
      </c>
      <c r="F1207" s="5" t="n">
        <f aca="false">IFERROR(__xludf.dummyfunction("""COMPUTED_VALUE"""),15586204)</f>
        <v>15586204</v>
      </c>
    </row>
    <row r="1208" customFormat="false" ht="15.75" hidden="false" customHeight="false" outlineLevel="0" collapsed="false">
      <c r="A1208" s="6" t="n">
        <f aca="false">IFERROR(__xludf.dummyfunction("""COMPUTED_VALUE"""),45952.6666666667)</f>
        <v>45952.6666666667</v>
      </c>
      <c r="B1208" s="5" t="n">
        <f aca="false">IFERROR(__xludf.dummyfunction("""COMPUTED_VALUE"""),521.15)</f>
        <v>521.15</v>
      </c>
      <c r="C1208" s="5" t="n">
        <f aca="false">IFERROR(__xludf.dummyfunction("""COMPUTED_VALUE"""),525.23)</f>
        <v>525.23</v>
      </c>
      <c r="D1208" s="5" t="n">
        <f aca="false">IFERROR(__xludf.dummyfunction("""COMPUTED_VALUE"""),517.71)</f>
        <v>517.71</v>
      </c>
      <c r="E1208" s="5" t="n">
        <f aca="false">IFERROR(__xludf.dummyfunction("""COMPUTED_VALUE"""),520.54)</f>
        <v>520.54</v>
      </c>
      <c r="F1208" s="5" t="n">
        <f aca="false">IFERROR(__xludf.dummyfunction("""COMPUTED_VALUE"""),18962694)</f>
        <v>18962694</v>
      </c>
    </row>
    <row r="1209" customFormat="false" ht="15.75" hidden="false" customHeight="false" outlineLevel="0" collapsed="false">
      <c r="A1209" s="6" t="n">
        <f aca="false">IFERROR(__xludf.dummyfunction("""COMPUTED_VALUE"""),45953.6666666667)</f>
        <v>45953.6666666667</v>
      </c>
      <c r="B1209" s="5" t="n">
        <f aca="false">IFERROR(__xludf.dummyfunction("""COMPUTED_VALUE"""),522.46)</f>
        <v>522.46</v>
      </c>
      <c r="C1209" s="5" t="n">
        <f aca="false">IFERROR(__xludf.dummyfunction("""COMPUTED_VALUE"""),523.95)</f>
        <v>523.95</v>
      </c>
      <c r="D1209" s="5" t="n">
        <f aca="false">IFERROR(__xludf.dummyfunction("""COMPUTED_VALUE"""),518.61)</f>
        <v>518.61</v>
      </c>
      <c r="E1209" s="5" t="n">
        <f aca="false">IFERROR(__xludf.dummyfunction("""COMPUTED_VALUE"""),520.56)</f>
        <v>520.56</v>
      </c>
      <c r="F1209" s="5" t="n">
        <f aca="false">IFERROR(__xludf.dummyfunction("""COMPUTED_VALUE"""),14023532)</f>
        <v>14023532</v>
      </c>
    </row>
    <row r="1210" customFormat="false" ht="15.75" hidden="false" customHeight="false" outlineLevel="0" collapsed="false">
      <c r="A1210" s="6" t="n">
        <f aca="false">IFERROR(__xludf.dummyfunction("""COMPUTED_VALUE"""),45954.6666666667)</f>
        <v>45954.6666666667</v>
      </c>
      <c r="B1210" s="5" t="n">
        <f aca="false">IFERROR(__xludf.dummyfunction("""COMPUTED_VALUE"""),522.79)</f>
        <v>522.79</v>
      </c>
      <c r="C1210" s="5" t="n">
        <f aca="false">IFERROR(__xludf.dummyfunction("""COMPUTED_VALUE"""),525.35)</f>
        <v>525.35</v>
      </c>
      <c r="D1210" s="5" t="n">
        <f aca="false">IFERROR(__xludf.dummyfunction("""COMPUTED_VALUE"""),520.71)</f>
        <v>520.71</v>
      </c>
      <c r="E1210" s="5" t="n">
        <f aca="false">IFERROR(__xludf.dummyfunction("""COMPUTED_VALUE"""),523.61)</f>
        <v>523.61</v>
      </c>
      <c r="F1210" s="5" t="n">
        <f aca="false">IFERROR(__xludf.dummyfunction("""COMPUTED_VALUE"""),15532360)</f>
        <v>15532360</v>
      </c>
    </row>
    <row r="1211" customFormat="false" ht="15.75" hidden="false" customHeight="false" outlineLevel="0" collapsed="false">
      <c r="A1211" s="6" t="n">
        <f aca="false">IFERROR(__xludf.dummyfunction("""COMPUTED_VALUE"""),45957.6666666667)</f>
        <v>45957.6666666667</v>
      </c>
      <c r="B1211" s="5" t="n">
        <f aca="false">IFERROR(__xludf.dummyfunction("""COMPUTED_VALUE"""),531.78)</f>
        <v>531.78</v>
      </c>
      <c r="C1211" s="5" t="n">
        <f aca="false">IFERROR(__xludf.dummyfunction("""COMPUTED_VALUE"""),534.58)</f>
        <v>534.58</v>
      </c>
      <c r="D1211" s="5" t="n">
        <f aca="false">IFERROR(__xludf.dummyfunction("""COMPUTED_VALUE"""),529.01)</f>
        <v>529.01</v>
      </c>
      <c r="E1211" s="5" t="n">
        <f aca="false">IFERROR(__xludf.dummyfunction("""COMPUTED_VALUE"""),531.52)</f>
        <v>531.52</v>
      </c>
      <c r="F1211" s="5" t="n">
        <f aca="false">IFERROR(__xludf.dummyfunction("""COMPUTED_VALUE"""),18734716)</f>
        <v>18734716</v>
      </c>
    </row>
    <row r="1212" customFormat="false" ht="15.75" hidden="false" customHeight="false" outlineLevel="0" collapsed="false">
      <c r="A1212" s="6" t="n">
        <f aca="false">IFERROR(__xludf.dummyfunction("""COMPUTED_VALUE"""),45958.6666666667)</f>
        <v>45958.6666666667</v>
      </c>
      <c r="B1212" s="5" t="n">
        <f aca="false">IFERROR(__xludf.dummyfunction("""COMPUTED_VALUE"""),550)</f>
        <v>550</v>
      </c>
      <c r="C1212" s="5" t="n">
        <f aca="false">IFERROR(__xludf.dummyfunction("""COMPUTED_VALUE"""),553.72)</f>
        <v>553.72</v>
      </c>
      <c r="D1212" s="5" t="n">
        <f aca="false">IFERROR(__xludf.dummyfunction("""COMPUTED_VALUE"""),540.77)</f>
        <v>540.77</v>
      </c>
      <c r="E1212" s="5" t="n">
        <f aca="false">IFERROR(__xludf.dummyfunction("""COMPUTED_VALUE"""),542.07)</f>
        <v>542.07</v>
      </c>
      <c r="F1212" s="5" t="n">
        <f aca="false">IFERROR(__xludf.dummyfunction("""COMPUTED_VALUE"""),29986683)</f>
        <v>29986683</v>
      </c>
    </row>
    <row r="1213" customFormat="false" ht="15.75" hidden="false" customHeight="false" outlineLevel="0" collapsed="false">
      <c r="A1213" s="6" t="n">
        <f aca="false">IFERROR(__xludf.dummyfunction("""COMPUTED_VALUE"""),45959.6666666667)</f>
        <v>45959.6666666667</v>
      </c>
      <c r="B1213" s="5" t="n">
        <f aca="false">IFERROR(__xludf.dummyfunction("""COMPUTED_VALUE"""),544.94)</f>
        <v>544.94</v>
      </c>
      <c r="C1213" s="5" t="n">
        <f aca="false">IFERROR(__xludf.dummyfunction("""COMPUTED_VALUE"""),546.27)</f>
        <v>546.27</v>
      </c>
      <c r="D1213" s="5" t="n">
        <f aca="false">IFERROR(__xludf.dummyfunction("""COMPUTED_VALUE"""),536.73)</f>
        <v>536.73</v>
      </c>
      <c r="E1213" s="5" t="n">
        <f aca="false">IFERROR(__xludf.dummyfunction("""COMPUTED_VALUE"""),541.55)</f>
        <v>541.55</v>
      </c>
      <c r="F1213" s="5" t="n">
        <f aca="false">IFERROR(__xludf.dummyfunction("""COMPUTED_VALUE"""),36023004)</f>
        <v>36023004</v>
      </c>
    </row>
    <row r="1214" customFormat="false" ht="15.75" hidden="false" customHeight="false" outlineLevel="0" collapsed="false">
      <c r="A1214" s="6" t="n">
        <f aca="false">IFERROR(__xludf.dummyfunction("""COMPUTED_VALUE"""),45960.6666666667)</f>
        <v>45960.6666666667</v>
      </c>
      <c r="B1214" s="5" t="n">
        <f aca="false">IFERROR(__xludf.dummyfunction("""COMPUTED_VALUE"""),530.48)</f>
        <v>530.48</v>
      </c>
      <c r="C1214" s="5" t="n">
        <f aca="false">IFERROR(__xludf.dummyfunction("""COMPUTED_VALUE"""),534.97)</f>
        <v>534.97</v>
      </c>
      <c r="D1214" s="5" t="n">
        <f aca="false">IFERROR(__xludf.dummyfunction("""COMPUTED_VALUE"""),522.12)</f>
        <v>522.12</v>
      </c>
      <c r="E1214" s="5" t="n">
        <f aca="false">IFERROR(__xludf.dummyfunction("""COMPUTED_VALUE"""),525.76)</f>
        <v>525.76</v>
      </c>
      <c r="F1214" s="5" t="n">
        <f aca="false">IFERROR(__xludf.dummyfunction("""COMPUTED_VALUE"""),41023088)</f>
        <v>41023088</v>
      </c>
    </row>
    <row r="1215" customFormat="false" ht="15.75" hidden="false" customHeight="false" outlineLevel="0" collapsed="false">
      <c r="A1215" s="6" t="n">
        <f aca="false">IFERROR(__xludf.dummyfunction("""COMPUTED_VALUE"""),45961.6666666667)</f>
        <v>45961.6666666667</v>
      </c>
      <c r="B1215" s="5" t="n">
        <f aca="false">IFERROR(__xludf.dummyfunction("""COMPUTED_VALUE"""),528.88)</f>
        <v>528.88</v>
      </c>
      <c r="C1215" s="5" t="n">
        <f aca="false">IFERROR(__xludf.dummyfunction("""COMPUTED_VALUE"""),529.32)</f>
        <v>529.32</v>
      </c>
      <c r="D1215" s="5" t="n">
        <f aca="false">IFERROR(__xludf.dummyfunction("""COMPUTED_VALUE"""),515.1)</f>
        <v>515.1</v>
      </c>
      <c r="E1215" s="5" t="n">
        <f aca="false">IFERROR(__xludf.dummyfunction("""COMPUTED_VALUE"""),517.81)</f>
        <v>517.81</v>
      </c>
      <c r="F1215" s="5" t="n">
        <f aca="false">IFERROR(__xludf.dummyfunction("""COMPUTED_VALUE"""),34006424)</f>
        <v>34006424</v>
      </c>
    </row>
    <row r="1216" customFormat="false" ht="15.75" hidden="false" customHeight="false" outlineLevel="0" collapsed="false">
      <c r="A1216" s="6" t="n">
        <f aca="false">IFERROR(__xludf.dummyfunction("""COMPUTED_VALUE"""),45964.6666666667)</f>
        <v>45964.6666666667</v>
      </c>
      <c r="B1216" s="5" t="n">
        <f aca="false">IFERROR(__xludf.dummyfunction("""COMPUTED_VALUE"""),519.8)</f>
        <v>519.8</v>
      </c>
      <c r="C1216" s="5" t="n">
        <f aca="false">IFERROR(__xludf.dummyfunction("""COMPUTED_VALUE"""),524.96)</f>
        <v>524.96</v>
      </c>
      <c r="D1216" s="5" t="n">
        <f aca="false">IFERROR(__xludf.dummyfunction("""COMPUTED_VALUE"""),514.59)</f>
        <v>514.59</v>
      </c>
      <c r="E1216" s="5" t="n">
        <f aca="false">IFERROR(__xludf.dummyfunction("""COMPUTED_VALUE"""),517.03)</f>
        <v>517.03</v>
      </c>
      <c r="F1216" s="5" t="n">
        <f aca="false">IFERROR(__xludf.dummyfunction("""COMPUTED_VALUE"""),22374742)</f>
        <v>22374742</v>
      </c>
    </row>
    <row r="1217" customFormat="false" ht="15.75" hidden="false" customHeight="false" outlineLevel="0" collapsed="false">
      <c r="A1217" s="6" t="n">
        <f aca="false">IFERROR(__xludf.dummyfunction("""COMPUTED_VALUE"""),45965.6666666667)</f>
        <v>45965.6666666667</v>
      </c>
      <c r="B1217" s="5" t="n">
        <f aca="false">IFERROR(__xludf.dummyfunction("""COMPUTED_VALUE"""),511.76)</f>
        <v>511.76</v>
      </c>
      <c r="C1217" s="5" t="n">
        <f aca="false">IFERROR(__xludf.dummyfunction("""COMPUTED_VALUE"""),515.55)</f>
        <v>515.55</v>
      </c>
      <c r="D1217" s="5" t="n">
        <f aca="false">IFERROR(__xludf.dummyfunction("""COMPUTED_VALUE"""),507.84)</f>
        <v>507.84</v>
      </c>
      <c r="E1217" s="5" t="n">
        <f aca="false">IFERROR(__xludf.dummyfunction("""COMPUTED_VALUE"""),514.33)</f>
        <v>514.33</v>
      </c>
      <c r="F1217" s="5" t="n">
        <f aca="false">IFERROR(__xludf.dummyfunction("""COMPUTED_VALUE"""),20958663)</f>
        <v>20958663</v>
      </c>
    </row>
    <row r="1218" customFormat="false" ht="15.75" hidden="false" customHeight="false" outlineLevel="0" collapsed="false">
      <c r="A1218" s="6" t="n">
        <f aca="false">IFERROR(__xludf.dummyfunction("""COMPUTED_VALUE"""),45966.6666666667)</f>
        <v>45966.6666666667</v>
      </c>
      <c r="B1218" s="5" t="n">
        <f aca="false">IFERROR(__xludf.dummyfunction("""COMPUTED_VALUE"""),513.3)</f>
        <v>513.3</v>
      </c>
      <c r="C1218" s="5" t="n">
        <f aca="false">IFERROR(__xludf.dummyfunction("""COMPUTED_VALUE"""),514.83)</f>
        <v>514.83</v>
      </c>
      <c r="D1218" s="5" t="n">
        <f aca="false">IFERROR(__xludf.dummyfunction("""COMPUTED_VALUE"""),506.58)</f>
        <v>506.58</v>
      </c>
      <c r="E1218" s="5" t="n">
        <f aca="false">IFERROR(__xludf.dummyfunction("""COMPUTED_VALUE"""),507.16)</f>
        <v>507.16</v>
      </c>
      <c r="F1218" s="5" t="n">
        <f aca="false">IFERROR(__xludf.dummyfunction("""COMPUTED_VALUE"""),23024342)</f>
        <v>23024342</v>
      </c>
    </row>
    <row r="1219" customFormat="false" ht="15.75" hidden="false" customHeight="false" outlineLevel="0" collapsed="false">
      <c r="A1219" s="6" t="n">
        <f aca="false">IFERROR(__xludf.dummyfunction("""COMPUTED_VALUE"""),45967.6666666667)</f>
        <v>45967.6666666667</v>
      </c>
      <c r="B1219" s="5" t="n">
        <f aca="false">IFERROR(__xludf.dummyfunction("""COMPUTED_VALUE"""),505.66)</f>
        <v>505.66</v>
      </c>
      <c r="C1219" s="5" t="n">
        <f aca="false">IFERROR(__xludf.dummyfunction("""COMPUTED_VALUE"""),505.7)</f>
        <v>505.7</v>
      </c>
      <c r="D1219" s="5" t="n">
        <f aca="false">IFERROR(__xludf.dummyfunction("""COMPUTED_VALUE"""),495.81)</f>
        <v>495.81</v>
      </c>
      <c r="E1219" s="5" t="n">
        <f aca="false">IFERROR(__xludf.dummyfunction("""COMPUTED_VALUE"""),497.1)</f>
        <v>497.1</v>
      </c>
      <c r="F1219" s="5" t="n">
        <f aca="false">IFERROR(__xludf.dummyfunction("""COMPUTED_VALUE"""),27406496)</f>
        <v>27406496</v>
      </c>
    </row>
    <row r="1220" customFormat="false" ht="15.75" hidden="false" customHeight="false" outlineLevel="0" collapsed="false">
      <c r="A1220" s="6" t="n">
        <f aca="false">IFERROR(__xludf.dummyfunction("""COMPUTED_VALUE"""),45968.6666666667)</f>
        <v>45968.6666666667</v>
      </c>
      <c r="B1220" s="5" t="n">
        <f aca="false">IFERROR(__xludf.dummyfunction("""COMPUTED_VALUE"""),496.95)</f>
        <v>496.95</v>
      </c>
      <c r="C1220" s="5" t="n">
        <f aca="false">IFERROR(__xludf.dummyfunction("""COMPUTED_VALUE"""),499.38)</f>
        <v>499.38</v>
      </c>
      <c r="D1220" s="5" t="n">
        <f aca="false">IFERROR(__xludf.dummyfunction("""COMPUTED_VALUE"""),493.25)</f>
        <v>493.25</v>
      </c>
      <c r="E1220" s="5" t="n">
        <f aca="false">IFERROR(__xludf.dummyfunction("""COMPUTED_VALUE"""),496.82)</f>
        <v>496.82</v>
      </c>
      <c r="F1220" s="5" t="n">
        <f aca="false">IFERROR(__xludf.dummyfunction("""COMPUTED_VALUE"""),24019764)</f>
        <v>24019764</v>
      </c>
    </row>
    <row r="1221" customFormat="false" ht="15.75" hidden="false" customHeight="false" outlineLevel="0" collapsed="false">
      <c r="A1221" s="6" t="n">
        <f aca="false">IFERROR(__xludf.dummyfunction("""COMPUTED_VALUE"""),45971.6666666667)</f>
        <v>45971.6666666667</v>
      </c>
      <c r="B1221" s="5" t="n">
        <f aca="false">IFERROR(__xludf.dummyfunction("""COMPUTED_VALUE"""),500.04)</f>
        <v>500.04</v>
      </c>
      <c r="C1221" s="5" t="n">
        <f aca="false">IFERROR(__xludf.dummyfunction("""COMPUTED_VALUE"""),506.85)</f>
        <v>506.85</v>
      </c>
      <c r="D1221" s="5" t="n">
        <f aca="false">IFERROR(__xludf.dummyfunction("""COMPUTED_VALUE"""),498.8)</f>
        <v>498.8</v>
      </c>
      <c r="E1221" s="5" t="n">
        <f aca="false">IFERROR(__xludf.dummyfunction("""COMPUTED_VALUE"""),506)</f>
        <v>506</v>
      </c>
      <c r="F1221" s="5" t="n">
        <f aca="false">IFERROR(__xludf.dummyfunction("""COMPUTED_VALUE"""),26101480)</f>
        <v>26101480</v>
      </c>
    </row>
    <row r="1222" customFormat="false" ht="15.75" hidden="false" customHeight="false" outlineLevel="0" collapsed="false">
      <c r="A1222" s="6" t="n">
        <f aca="false">IFERROR(__xludf.dummyfunction("""COMPUTED_VALUE"""),45972.6666666667)</f>
        <v>45972.6666666667</v>
      </c>
      <c r="B1222" s="5" t="n">
        <f aca="false">IFERROR(__xludf.dummyfunction("""COMPUTED_VALUE"""),504.8)</f>
        <v>504.8</v>
      </c>
      <c r="C1222" s="5" t="n">
        <f aca="false">IFERROR(__xludf.dummyfunction("""COMPUTED_VALUE"""),509.6)</f>
        <v>509.6</v>
      </c>
      <c r="D1222" s="5" t="n">
        <f aca="false">IFERROR(__xludf.dummyfunction("""COMPUTED_VALUE"""),502.35)</f>
        <v>502.35</v>
      </c>
      <c r="E1222" s="5" t="n">
        <f aca="false">IFERROR(__xludf.dummyfunction("""COMPUTED_VALUE"""),508.68)</f>
        <v>508.68</v>
      </c>
      <c r="F1222" s="5" t="n">
        <f aca="false">IFERROR(__xludf.dummyfunction("""COMPUTED_VALUE"""),17980020)</f>
        <v>17980020</v>
      </c>
    </row>
    <row r="1223" customFormat="false" ht="15.75" hidden="false" customHeight="false" outlineLevel="0" collapsed="false">
      <c r="A1223" s="6" t="n">
        <f aca="false">IFERROR(__xludf.dummyfunction("""COMPUTED_VALUE"""),45973.6666666667)</f>
        <v>45973.6666666667</v>
      </c>
      <c r="B1223" s="5" t="n">
        <f aca="false">IFERROR(__xludf.dummyfunction("""COMPUTED_VALUE"""),509.36)</f>
        <v>509.36</v>
      </c>
      <c r="C1223" s="5" t="n">
        <f aca="false">IFERROR(__xludf.dummyfunction("""COMPUTED_VALUE"""),511.67)</f>
        <v>511.67</v>
      </c>
      <c r="D1223" s="5" t="n">
        <f aca="false">IFERROR(__xludf.dummyfunction("""COMPUTED_VALUE"""),499.12)</f>
        <v>499.12</v>
      </c>
      <c r="E1223" s="5" t="n">
        <f aca="false">IFERROR(__xludf.dummyfunction("""COMPUTED_VALUE"""),511.14)</f>
        <v>511.14</v>
      </c>
      <c r="F1223" s="5" t="n">
        <f aca="false">IFERROR(__xludf.dummyfunction("""COMPUTED_VALUE"""),26574851)</f>
        <v>26574851</v>
      </c>
    </row>
    <row r="1224" customFormat="false" ht="15.75" hidden="false" customHeight="false" outlineLevel="0" collapsed="false">
      <c r="A1224" s="6" t="n">
        <f aca="false">IFERROR(__xludf.dummyfunction("""COMPUTED_VALUE"""),45974.6666666667)</f>
        <v>45974.6666666667</v>
      </c>
      <c r="B1224" s="5" t="n">
        <f aca="false">IFERROR(__xludf.dummyfunction("""COMPUTED_VALUE"""),510.31)</f>
        <v>510.31</v>
      </c>
      <c r="C1224" s="5" t="n">
        <f aca="false">IFERROR(__xludf.dummyfunction("""COMPUTED_VALUE"""),513.5)</f>
        <v>513.5</v>
      </c>
      <c r="D1224" s="5" t="n">
        <f aca="false">IFERROR(__xludf.dummyfunction("""COMPUTED_VALUE"""),501.29)</f>
        <v>501.29</v>
      </c>
      <c r="E1224" s="5" t="n">
        <f aca="false">IFERROR(__xludf.dummyfunction("""COMPUTED_VALUE"""),503.29)</f>
        <v>503.29</v>
      </c>
      <c r="F1224" s="5" t="n">
        <f aca="false">IFERROR(__xludf.dummyfunction("""COMPUTED_VALUE"""),25273114)</f>
        <v>25273114</v>
      </c>
    </row>
    <row r="1225" customFormat="false" ht="15.75" hidden="false" customHeight="false" outlineLevel="0" collapsed="false">
      <c r="A1225" s="6" t="n">
        <f aca="false">IFERROR(__xludf.dummyfunction("""COMPUTED_VALUE"""),45975.6666666667)</f>
        <v>45975.6666666667</v>
      </c>
      <c r="B1225" s="5" t="n">
        <f aca="false">IFERROR(__xludf.dummyfunction("""COMPUTED_VALUE"""),498.23)</f>
        <v>498.23</v>
      </c>
      <c r="C1225" s="5" t="n">
        <f aca="false">IFERROR(__xludf.dummyfunction("""COMPUTED_VALUE"""),511.6)</f>
        <v>511.6</v>
      </c>
      <c r="D1225" s="5" t="n">
        <f aca="false">IFERROR(__xludf.dummyfunction("""COMPUTED_VALUE"""),497.44)</f>
        <v>497.44</v>
      </c>
      <c r="E1225" s="5" t="n">
        <f aca="false">IFERROR(__xludf.dummyfunction("""COMPUTED_VALUE"""),510.18)</f>
        <v>510.18</v>
      </c>
      <c r="F1225" s="5" t="n">
        <f aca="false">IFERROR(__xludf.dummyfunction("""COMPUTED_VALUE"""),28505746)</f>
        <v>28505746</v>
      </c>
    </row>
    <row r="1226" customFormat="false" ht="15.75" hidden="false" customHeight="false" outlineLevel="0" collapsed="false">
      <c r="A1226" s="6" t="n">
        <f aca="false">IFERROR(__xludf.dummyfunction("""COMPUTED_VALUE"""),45978.6666666667)</f>
        <v>45978.6666666667</v>
      </c>
      <c r="B1226" s="5" t="n">
        <f aca="false">IFERROR(__xludf.dummyfunction("""COMPUTED_VALUE"""),508.45)</f>
        <v>508.45</v>
      </c>
      <c r="C1226" s="5" t="n">
        <f aca="false">IFERROR(__xludf.dummyfunction("""COMPUTED_VALUE"""),512.12)</f>
        <v>512.12</v>
      </c>
      <c r="D1226" s="5" t="n">
        <f aca="false">IFERROR(__xludf.dummyfunction("""COMPUTED_VALUE"""),504.91)</f>
        <v>504.91</v>
      </c>
      <c r="E1226" s="5" t="n">
        <f aca="false">IFERROR(__xludf.dummyfunction("""COMPUTED_VALUE"""),507.49)</f>
        <v>507.49</v>
      </c>
      <c r="F1226" s="5" t="n">
        <f aca="false">IFERROR(__xludf.dummyfunction("""COMPUTED_VALUE"""),19092752)</f>
        <v>19092752</v>
      </c>
    </row>
    <row r="1227" customFormat="false" ht="15.75" hidden="false" customHeight="false" outlineLevel="0" collapsed="false">
      <c r="A1227" s="6" t="n">
        <f aca="false">IFERROR(__xludf.dummyfunction("""COMPUTED_VALUE"""),45979.6666666667)</f>
        <v>45979.6666666667</v>
      </c>
      <c r="B1227" s="5" t="n">
        <f aca="false">IFERROR(__xludf.dummyfunction("""COMPUTED_VALUE"""),495.37)</f>
        <v>495.37</v>
      </c>
      <c r="C1227" s="5" t="n">
        <f aca="false">IFERROR(__xludf.dummyfunction("""COMPUTED_VALUE"""),502.98)</f>
        <v>502.98</v>
      </c>
      <c r="D1227" s="5" t="n">
        <f aca="false">IFERROR(__xludf.dummyfunction("""COMPUTED_VALUE"""),486.78)</f>
        <v>486.78</v>
      </c>
      <c r="E1227" s="5" t="n">
        <f aca="false">IFERROR(__xludf.dummyfunction("""COMPUTED_VALUE"""),493.79)</f>
        <v>493.79</v>
      </c>
      <c r="F1227" s="5" t="n">
        <f aca="false">IFERROR(__xludf.dummyfunction("""COMPUTED_VALUE"""),33815114)</f>
        <v>33815114</v>
      </c>
    </row>
    <row r="1228" customFormat="false" ht="15.75" hidden="false" customHeight="false" outlineLevel="0" collapsed="false">
      <c r="A1228" s="6" t="n">
        <f aca="false">IFERROR(__xludf.dummyfunction("""COMPUTED_VALUE"""),45980.6666666667)</f>
        <v>45980.6666666667</v>
      </c>
      <c r="B1228" s="5" t="n">
        <f aca="false">IFERROR(__xludf.dummyfunction("""COMPUTED_VALUE"""),490.1)</f>
        <v>490.1</v>
      </c>
      <c r="C1228" s="5" t="n">
        <f aca="false">IFERROR(__xludf.dummyfunction("""COMPUTED_VALUE"""),495.19)</f>
        <v>495.19</v>
      </c>
      <c r="D1228" s="5" t="n">
        <f aca="false">IFERROR(__xludf.dummyfunction("""COMPUTED_VALUE"""),482.83)</f>
        <v>482.83</v>
      </c>
      <c r="E1228" s="5" t="n">
        <f aca="false">IFERROR(__xludf.dummyfunction("""COMPUTED_VALUE"""),487.12)</f>
        <v>487.12</v>
      </c>
      <c r="F1228" s="5" t="n">
        <f aca="false">IFERROR(__xludf.dummyfunction("""COMPUTED_VALUE"""),23245314)</f>
        <v>23245314</v>
      </c>
    </row>
    <row r="1229" customFormat="false" ht="15.75" hidden="false" customHeight="false" outlineLevel="0" collapsed="false">
      <c r="A1229" s="6" t="n">
        <f aca="false">IFERROR(__xludf.dummyfunction("""COMPUTED_VALUE"""),45981.6666666667)</f>
        <v>45981.6666666667</v>
      </c>
      <c r="B1229" s="5" t="n">
        <f aca="false">IFERROR(__xludf.dummyfunction("""COMPUTED_VALUE"""),492.71)</f>
        <v>492.71</v>
      </c>
      <c r="C1229" s="5" t="n">
        <f aca="false">IFERROR(__xludf.dummyfunction("""COMPUTED_VALUE"""),493.57)</f>
        <v>493.57</v>
      </c>
      <c r="D1229" s="5" t="n">
        <f aca="false">IFERROR(__xludf.dummyfunction("""COMPUTED_VALUE"""),475.5)</f>
        <v>475.5</v>
      </c>
      <c r="E1229" s="5" t="n">
        <f aca="false">IFERROR(__xludf.dummyfunction("""COMPUTED_VALUE"""),478.43)</f>
        <v>478.43</v>
      </c>
      <c r="F1229" s="5" t="n">
        <f aca="false">IFERROR(__xludf.dummyfunction("""COMPUTED_VALUE"""),26802542)</f>
        <v>26802542</v>
      </c>
    </row>
    <row r="1230" customFormat="false" ht="15.75" hidden="false" customHeight="false" outlineLevel="0" collapsed="false">
      <c r="A1230" s="6" t="n">
        <f aca="false">IFERROR(__xludf.dummyfunction("""COMPUTED_VALUE"""),45982.6666666667)</f>
        <v>45982.6666666667</v>
      </c>
      <c r="B1230" s="5" t="n">
        <f aca="false">IFERROR(__xludf.dummyfunction("""COMPUTED_VALUE"""),478.5)</f>
        <v>478.5</v>
      </c>
      <c r="C1230" s="5" t="n">
        <f aca="false">IFERROR(__xludf.dummyfunction("""COMPUTED_VALUE"""),478.92)</f>
        <v>478.92</v>
      </c>
      <c r="D1230" s="5" t="n">
        <f aca="false">IFERROR(__xludf.dummyfunction("""COMPUTED_VALUE"""),468.27)</f>
        <v>468.27</v>
      </c>
      <c r="E1230" s="5" t="n">
        <f aca="false">IFERROR(__xludf.dummyfunction("""COMPUTED_VALUE"""),472.12)</f>
        <v>472.12</v>
      </c>
      <c r="F1230" s="5" t="n">
        <f aca="false">IFERROR(__xludf.dummyfunction("""COMPUTED_VALUE"""),31769248)</f>
        <v>31769248</v>
      </c>
    </row>
    <row r="1231" customFormat="false" ht="15.75" hidden="false" customHeight="false" outlineLevel="0" collapsed="false">
      <c r="A1231" s="6" t="n">
        <f aca="false">IFERROR(__xludf.dummyfunction("""COMPUTED_VALUE"""),45985.6666666667)</f>
        <v>45985.6666666667</v>
      </c>
      <c r="B1231" s="5" t="n">
        <f aca="false">IFERROR(__xludf.dummyfunction("""COMPUTED_VALUE"""),475)</f>
        <v>475</v>
      </c>
      <c r="C1231" s="5" t="n">
        <f aca="false">IFERROR(__xludf.dummyfunction("""COMPUTED_VALUE"""),476.9)</f>
        <v>476.9</v>
      </c>
      <c r="D1231" s="5" t="n">
        <f aca="false">IFERROR(__xludf.dummyfunction("""COMPUTED_VALUE"""),468.02)</f>
        <v>468.02</v>
      </c>
      <c r="E1231" s="5" t="n">
        <f aca="false">IFERROR(__xludf.dummyfunction("""COMPUTED_VALUE"""),474)</f>
        <v>474</v>
      </c>
      <c r="F1231" s="5" t="n">
        <f aca="false">IFERROR(__xludf.dummyfunction("""COMPUTED_VALUE"""),34421046)</f>
        <v>34421046</v>
      </c>
    </row>
    <row r="1232" customFormat="false" ht="15.75" hidden="false" customHeight="false" outlineLevel="0" collapsed="false">
      <c r="A1232" s="6" t="n">
        <f aca="false">IFERROR(__xludf.dummyfunction("""COMPUTED_VALUE"""),45986.6666666667)</f>
        <v>45986.6666666667</v>
      </c>
      <c r="B1232" s="5" t="n">
        <f aca="false">IFERROR(__xludf.dummyfunction("""COMPUTED_VALUE"""),474.07)</f>
        <v>474.07</v>
      </c>
      <c r="C1232" s="5" t="n">
        <f aca="false">IFERROR(__xludf.dummyfunction("""COMPUTED_VALUE"""),479.15)</f>
        <v>479.15</v>
      </c>
      <c r="D1232" s="5" t="n">
        <f aca="false">IFERROR(__xludf.dummyfunction("""COMPUTED_VALUE"""),464.89)</f>
        <v>464.89</v>
      </c>
      <c r="E1232" s="5" t="n">
        <f aca="false">IFERROR(__xludf.dummyfunction("""COMPUTED_VALUE"""),476.99)</f>
        <v>476.99</v>
      </c>
      <c r="F1232" s="5" t="n">
        <f aca="false">IFERROR(__xludf.dummyfunction("""COMPUTED_VALUE"""),28019793)</f>
        <v>28019793</v>
      </c>
    </row>
    <row r="1233" customFormat="false" ht="15.75" hidden="false" customHeight="false" outlineLevel="0" collapsed="false">
      <c r="A1233" s="6" t="n">
        <f aca="false">IFERROR(__xludf.dummyfunction("""COMPUTED_VALUE"""),45987.6666666667)</f>
        <v>45987.6666666667</v>
      </c>
      <c r="B1233" s="5" t="n">
        <f aca="false">IFERROR(__xludf.dummyfunction("""COMPUTED_VALUE"""),486.31)</f>
        <v>486.31</v>
      </c>
      <c r="C1233" s="5" t="n">
        <f aca="false">IFERROR(__xludf.dummyfunction("""COMPUTED_VALUE"""),488.31)</f>
        <v>488.31</v>
      </c>
      <c r="D1233" s="5" t="n">
        <f aca="false">IFERROR(__xludf.dummyfunction("""COMPUTED_VALUE"""),481.2)</f>
        <v>481.2</v>
      </c>
      <c r="E1233" s="5" t="n">
        <f aca="false">IFERROR(__xludf.dummyfunction("""COMPUTED_VALUE"""),485.5)</f>
        <v>485.5</v>
      </c>
      <c r="F1233" s="5" t="n">
        <f aca="false">IFERROR(__xludf.dummyfunction("""COMPUTED_VALUE"""),25709079)</f>
        <v>25709079</v>
      </c>
    </row>
    <row r="1234" customFormat="false" ht="15.75" hidden="false" customHeight="false" outlineLevel="0" collapsed="false">
      <c r="A1234" s="6" t="n">
        <f aca="false">IFERROR(__xludf.dummyfunction("""COMPUTED_VALUE"""),45989.5451388889)</f>
        <v>45989.5451388889</v>
      </c>
      <c r="B1234" s="5" t="n">
        <f aca="false">IFERROR(__xludf.dummyfunction("""COMPUTED_VALUE"""),487.6)</f>
        <v>487.6</v>
      </c>
      <c r="C1234" s="5" t="n">
        <f aca="false">IFERROR(__xludf.dummyfunction("""COMPUTED_VALUE"""),492.63)</f>
        <v>492.63</v>
      </c>
      <c r="D1234" s="5" t="n">
        <f aca="false">IFERROR(__xludf.dummyfunction("""COMPUTED_VALUE"""),486.65)</f>
        <v>486.65</v>
      </c>
      <c r="E1234" s="5" t="n">
        <f aca="false">IFERROR(__xludf.dummyfunction("""COMPUTED_VALUE"""),492.01)</f>
        <v>492.01</v>
      </c>
      <c r="F1234" s="5" t="n">
        <f aca="false">IFERROR(__xludf.dummyfunction("""COMPUTED_VALUE"""),14386730)</f>
        <v>14386730</v>
      </c>
    </row>
    <row r="1235" customFormat="false" ht="15.75" hidden="false" customHeight="false" outlineLevel="0" collapsed="false">
      <c r="A1235" s="6" t="n">
        <f aca="false">IFERROR(__xludf.dummyfunction("""COMPUTED_VALUE"""),45992.6666666667)</f>
        <v>45992.6666666667</v>
      </c>
      <c r="B1235" s="5" t="n">
        <f aca="false">IFERROR(__xludf.dummyfunction("""COMPUTED_VALUE"""),488.44)</f>
        <v>488.44</v>
      </c>
      <c r="C1235" s="5" t="n">
        <f aca="false">IFERROR(__xludf.dummyfunction("""COMPUTED_VALUE"""),489.86)</f>
        <v>489.86</v>
      </c>
      <c r="D1235" s="5" t="n">
        <f aca="false">IFERROR(__xludf.dummyfunction("""COMPUTED_VALUE"""),484.65)</f>
        <v>484.65</v>
      </c>
      <c r="E1235" s="5" t="n">
        <f aca="false">IFERROR(__xludf.dummyfunction("""COMPUTED_VALUE"""),486.74)</f>
        <v>486.74</v>
      </c>
      <c r="F1235" s="5" t="n">
        <f aca="false">IFERROR(__xludf.dummyfunction("""COMPUTED_VALUE"""),23963993)</f>
        <v>23963993</v>
      </c>
    </row>
    <row r="1236" customFormat="false" ht="15.75" hidden="false" customHeight="false" outlineLevel="0" collapsed="false">
      <c r="A1236" s="6" t="n">
        <f aca="false">IFERROR(__xludf.dummyfunction("""COMPUTED_VALUE"""),45993.6666666667)</f>
        <v>45993.6666666667</v>
      </c>
      <c r="B1236" s="5" t="n">
        <f aca="false">IFERROR(__xludf.dummyfunction("""COMPUTED_VALUE"""),486.72)</f>
        <v>486.72</v>
      </c>
      <c r="C1236" s="5" t="n">
        <f aca="false">IFERROR(__xludf.dummyfunction("""COMPUTED_VALUE"""),493.5)</f>
        <v>493.5</v>
      </c>
      <c r="D1236" s="5" t="n">
        <f aca="false">IFERROR(__xludf.dummyfunction("""COMPUTED_VALUE"""),486.32)</f>
        <v>486.32</v>
      </c>
      <c r="E1236" s="5" t="n">
        <f aca="false">IFERROR(__xludf.dummyfunction("""COMPUTED_VALUE"""),490)</f>
        <v>490</v>
      </c>
      <c r="F1236" s="5" t="n">
        <f aca="false">IFERROR(__xludf.dummyfunction("""COMPUTED_VALUE"""),19562722)</f>
        <v>19562722</v>
      </c>
    </row>
    <row r="1237" customFormat="false" ht="15.75" hidden="false" customHeight="false" outlineLevel="0" collapsed="false">
      <c r="A1237" s="6" t="n">
        <f aca="false">IFERROR(__xludf.dummyfunction("""COMPUTED_VALUE"""),45994.6666666667)</f>
        <v>45994.6666666667</v>
      </c>
      <c r="B1237" s="5" t="n">
        <f aca="false">IFERROR(__xludf.dummyfunction("""COMPUTED_VALUE"""),476.32)</f>
        <v>476.32</v>
      </c>
      <c r="C1237" s="5" t="n">
        <f aca="false">IFERROR(__xludf.dummyfunction("""COMPUTED_VALUE"""),484.24)</f>
        <v>484.24</v>
      </c>
      <c r="D1237" s="5" t="n">
        <f aca="false">IFERROR(__xludf.dummyfunction("""COMPUTED_VALUE"""),475.2)</f>
        <v>475.2</v>
      </c>
      <c r="E1237" s="5" t="n">
        <f aca="false">IFERROR(__xludf.dummyfunction("""COMPUTED_VALUE"""),477.73)</f>
        <v>477.73</v>
      </c>
      <c r="F1237" s="5" t="n">
        <f aca="false">IFERROR(__xludf.dummyfunction("""COMPUTED_VALUE"""),34615102)</f>
        <v>34615102</v>
      </c>
    </row>
    <row r="1238" customFormat="false" ht="15.75" hidden="false" customHeight="false" outlineLevel="0" collapsed="false">
      <c r="A1238" s="6" t="n">
        <f aca="false">IFERROR(__xludf.dummyfunction("""COMPUTED_VALUE"""),45995.6666666667)</f>
        <v>45995.6666666667</v>
      </c>
      <c r="B1238" s="5" t="n">
        <f aca="false">IFERROR(__xludf.dummyfunction("""COMPUTED_VALUE"""),479.76)</f>
        <v>479.76</v>
      </c>
      <c r="C1238" s="5" t="n">
        <f aca="false">IFERROR(__xludf.dummyfunction("""COMPUTED_VALUE"""),481.32)</f>
        <v>481.32</v>
      </c>
      <c r="D1238" s="5" t="n">
        <f aca="false">IFERROR(__xludf.dummyfunction("""COMPUTED_VALUE"""),476.49)</f>
        <v>476.49</v>
      </c>
      <c r="E1238" s="5" t="n">
        <f aca="false">IFERROR(__xludf.dummyfunction("""COMPUTED_VALUE"""),480.84)</f>
        <v>480.84</v>
      </c>
      <c r="F1238" s="5" t="n">
        <f aca="false">IFERROR(__xludf.dummyfunction("""COMPUTED_VALUE"""),22318155)</f>
        <v>22318155</v>
      </c>
    </row>
    <row r="1239" customFormat="false" ht="15.75" hidden="false" customHeight="false" outlineLevel="0" collapsed="false">
      <c r="A1239" s="6" t="n">
        <f aca="false">IFERROR(__xludf.dummyfunction("""COMPUTED_VALUE"""),45996.6666666667)</f>
        <v>45996.6666666667</v>
      </c>
      <c r="B1239" s="5" t="n">
        <f aca="false">IFERROR(__xludf.dummyfunction("""COMPUTED_VALUE"""),482.52)</f>
        <v>482.52</v>
      </c>
      <c r="C1239" s="5" t="n">
        <f aca="false">IFERROR(__xludf.dummyfunction("""COMPUTED_VALUE"""),483.4)</f>
        <v>483.4</v>
      </c>
      <c r="D1239" s="5" t="n">
        <f aca="false">IFERROR(__xludf.dummyfunction("""COMPUTED_VALUE"""),478.88)</f>
        <v>478.88</v>
      </c>
      <c r="E1239" s="5" t="n">
        <f aca="false">IFERROR(__xludf.dummyfunction("""COMPUTED_VALUE"""),483.16)</f>
        <v>483.16</v>
      </c>
      <c r="F1239" s="5" t="n">
        <f aca="false">IFERROR(__xludf.dummyfunction("""COMPUTED_VALUE"""),22608710)</f>
        <v>22608710</v>
      </c>
    </row>
    <row r="1240" customFormat="false" ht="15.75" hidden="false" customHeight="false" outlineLevel="0" collapsed="false">
      <c r="A1240" s="6" t="n">
        <f aca="false">IFERROR(__xludf.dummyfunction("""COMPUTED_VALUE"""),45999.6666666667)</f>
        <v>45999.6666666667</v>
      </c>
      <c r="B1240" s="5" t="n">
        <f aca="false">IFERROR(__xludf.dummyfunction("""COMPUTED_VALUE"""),484.89)</f>
        <v>484.89</v>
      </c>
      <c r="C1240" s="5" t="n">
        <f aca="false">IFERROR(__xludf.dummyfunction("""COMPUTED_VALUE"""),492.3)</f>
        <v>492.3</v>
      </c>
      <c r="D1240" s="5" t="n">
        <f aca="false">IFERROR(__xludf.dummyfunction("""COMPUTED_VALUE"""),484.38)</f>
        <v>484.38</v>
      </c>
      <c r="E1240" s="5" t="n">
        <f aca="false">IFERROR(__xludf.dummyfunction("""COMPUTED_VALUE"""),491.02)</f>
        <v>491.02</v>
      </c>
      <c r="F1240" s="5" t="n">
        <f aca="false">IFERROR(__xludf.dummyfunction("""COMPUTED_VALUE"""),21965900)</f>
        <v>21965900</v>
      </c>
    </row>
    <row r="1241" customFormat="false" ht="15.75" hidden="false" customHeight="false" outlineLevel="0" collapsed="false">
      <c r="A1241" s="6" t="n">
        <f aca="false">IFERROR(__xludf.dummyfunction("""COMPUTED_VALUE"""),46000.6666666667)</f>
        <v>46000.6666666667</v>
      </c>
      <c r="B1241" s="5" t="n">
        <f aca="false">IFERROR(__xludf.dummyfunction("""COMPUTED_VALUE"""),489.1)</f>
        <v>489.1</v>
      </c>
      <c r="C1241" s="5" t="n">
        <f aca="false">IFERROR(__xludf.dummyfunction("""COMPUTED_VALUE"""),492.12)</f>
        <v>492.12</v>
      </c>
      <c r="D1241" s="5" t="n">
        <f aca="false">IFERROR(__xludf.dummyfunction("""COMPUTED_VALUE"""),488.5)</f>
        <v>488.5</v>
      </c>
      <c r="E1241" s="5" t="n">
        <f aca="false">IFERROR(__xludf.dummyfunction("""COMPUTED_VALUE"""),492.02)</f>
        <v>492.02</v>
      </c>
      <c r="F1241" s="5" t="n">
        <f aca="false">IFERROR(__xludf.dummyfunction("""COMPUTED_VALUE"""),14696078)</f>
        <v>14696078</v>
      </c>
    </row>
    <row r="1242" customFormat="false" ht="15.75" hidden="false" customHeight="false" outlineLevel="0" collapsed="false">
      <c r="A1242" s="6" t="n">
        <f aca="false">IFERROR(__xludf.dummyfunction("""COMPUTED_VALUE"""),46001.6666666667)</f>
        <v>46001.6666666667</v>
      </c>
      <c r="B1242" s="5" t="n">
        <f aca="false">IFERROR(__xludf.dummyfunction("""COMPUTED_VALUE"""),484.03)</f>
        <v>484.03</v>
      </c>
      <c r="C1242" s="5" t="n">
        <f aca="false">IFERROR(__xludf.dummyfunction("""COMPUTED_VALUE"""),484.25)</f>
        <v>484.25</v>
      </c>
      <c r="D1242" s="5" t="n">
        <f aca="false">IFERROR(__xludf.dummyfunction("""COMPUTED_VALUE"""),475.08)</f>
        <v>475.08</v>
      </c>
      <c r="E1242" s="5" t="n">
        <f aca="false">IFERROR(__xludf.dummyfunction("""COMPUTED_VALUE"""),478.56)</f>
        <v>478.56</v>
      </c>
      <c r="F1242" s="5" t="n">
        <f aca="false">IFERROR(__xludf.dummyfunction("""COMPUTED_VALUE"""),35756229)</f>
        <v>35756229</v>
      </c>
    </row>
    <row r="1243" customFormat="false" ht="15.75" hidden="false" customHeight="false" outlineLevel="0" collapsed="false">
      <c r="A1243" s="6" t="n">
        <f aca="false">IFERROR(__xludf.dummyfunction("""COMPUTED_VALUE"""),46002.6666666667)</f>
        <v>46002.6666666667</v>
      </c>
      <c r="B1243" s="5" t="n">
        <f aca="false">IFERROR(__xludf.dummyfunction("""COMPUTED_VALUE"""),476.63)</f>
        <v>476.63</v>
      </c>
      <c r="C1243" s="5" t="n">
        <f aca="false">IFERROR(__xludf.dummyfunction("""COMPUTED_VALUE"""),486.03)</f>
        <v>486.03</v>
      </c>
      <c r="D1243" s="5" t="n">
        <f aca="false">IFERROR(__xludf.dummyfunction("""COMPUTED_VALUE"""),475.86)</f>
        <v>475.86</v>
      </c>
      <c r="E1243" s="5" t="n">
        <f aca="false">IFERROR(__xludf.dummyfunction("""COMPUTED_VALUE"""),483.47)</f>
        <v>483.47</v>
      </c>
      <c r="F1243" s="5" t="n">
        <f aca="false">IFERROR(__xludf.dummyfunction("""COMPUTED_VALUE"""),24669180)</f>
        <v>24669180</v>
      </c>
    </row>
    <row r="1244" customFormat="false" ht="15.75" hidden="false" customHeight="false" outlineLevel="0" collapsed="false">
      <c r="A1244" s="6" t="n">
        <f aca="false">IFERROR(__xludf.dummyfunction("""COMPUTED_VALUE"""),46003.6666666667)</f>
        <v>46003.6666666667</v>
      </c>
      <c r="B1244" s="5" t="n">
        <f aca="false">IFERROR(__xludf.dummyfunction("""COMPUTED_VALUE"""),479.82)</f>
        <v>479.82</v>
      </c>
      <c r="C1244" s="5" t="n">
        <f aca="false">IFERROR(__xludf.dummyfunction("""COMPUTED_VALUE"""),482.45)</f>
        <v>482.45</v>
      </c>
      <c r="D1244" s="5" t="n">
        <f aca="false">IFERROR(__xludf.dummyfunction("""COMPUTED_VALUE"""),476.34)</f>
        <v>476.34</v>
      </c>
      <c r="E1244" s="5" t="n">
        <f aca="false">IFERROR(__xludf.dummyfunction("""COMPUTED_VALUE"""),478.53)</f>
        <v>478.53</v>
      </c>
      <c r="F1244" s="5" t="n">
        <f aca="false">IFERROR(__xludf.dummyfunction("""COMPUTED_VALUE"""),21248102)</f>
        <v>21248102</v>
      </c>
    </row>
    <row r="1245" customFormat="false" ht="15.75" hidden="false" customHeight="false" outlineLevel="0" collapsed="false">
      <c r="A1245" s="6" t="n">
        <f aca="false">IFERROR(__xludf.dummyfunction("""COMPUTED_VALUE"""),46006.6666666667)</f>
        <v>46006.6666666667</v>
      </c>
      <c r="B1245" s="5" t="n">
        <f aca="false">IFERROR(__xludf.dummyfunction("""COMPUTED_VALUE"""),480.1)</f>
        <v>480.1</v>
      </c>
      <c r="C1245" s="5" t="n">
        <f aca="false">IFERROR(__xludf.dummyfunction("""COMPUTED_VALUE"""),480.72)</f>
        <v>480.72</v>
      </c>
      <c r="D1245" s="5" t="n">
        <f aca="false">IFERROR(__xludf.dummyfunction("""COMPUTED_VALUE"""),472.52)</f>
        <v>472.52</v>
      </c>
      <c r="E1245" s="5" t="n">
        <f aca="false">IFERROR(__xludf.dummyfunction("""COMPUTED_VALUE"""),474.82)</f>
        <v>474.82</v>
      </c>
      <c r="F1245" s="5" t="n">
        <f aca="false">IFERROR(__xludf.dummyfunction("""COMPUTED_VALUE"""),23727694)</f>
        <v>23727694</v>
      </c>
    </row>
    <row r="1246" customFormat="false" ht="15.75" hidden="false" customHeight="false" outlineLevel="0" collapsed="false">
      <c r="A1246" s="6" t="n">
        <f aca="false">IFERROR(__xludf.dummyfunction("""COMPUTED_VALUE"""),46007.6666666667)</f>
        <v>46007.6666666667</v>
      </c>
      <c r="B1246" s="5" t="n">
        <f aca="false">IFERROR(__xludf.dummyfunction("""COMPUTED_VALUE"""),471.91)</f>
        <v>471.91</v>
      </c>
      <c r="C1246" s="5" t="n">
        <f aca="false">IFERROR(__xludf.dummyfunction("""COMPUTED_VALUE"""),477.89)</f>
        <v>477.89</v>
      </c>
      <c r="D1246" s="5" t="n">
        <f aca="false">IFERROR(__xludf.dummyfunction("""COMPUTED_VALUE"""),470.88)</f>
        <v>470.88</v>
      </c>
      <c r="E1246" s="5" t="n">
        <f aca="false">IFERROR(__xludf.dummyfunction("""COMPUTED_VALUE"""),476.39)</f>
        <v>476.39</v>
      </c>
      <c r="F1246" s="5" t="n">
        <f aca="false">IFERROR(__xludf.dummyfunction("""COMPUTED_VALUE"""),20705560)</f>
        <v>20705560</v>
      </c>
    </row>
    <row r="1247" customFormat="false" ht="15.75" hidden="false" customHeight="false" outlineLevel="0" collapsed="false">
      <c r="A1247" s="6" t="n">
        <f aca="false">IFERROR(__xludf.dummyfunction("""COMPUTED_VALUE"""),46008.6666666667)</f>
        <v>46008.6666666667</v>
      </c>
      <c r="B1247" s="5" t="n">
        <f aca="false">IFERROR(__xludf.dummyfunction("""COMPUTED_VALUE"""),476.91)</f>
        <v>476.91</v>
      </c>
      <c r="C1247" s="5" t="n">
        <f aca="false">IFERROR(__xludf.dummyfunction("""COMPUTED_VALUE"""),480)</f>
        <v>480</v>
      </c>
      <c r="D1247" s="5" t="n">
        <f aca="false">IFERROR(__xludf.dummyfunction("""COMPUTED_VALUE"""),475)</f>
        <v>475</v>
      </c>
      <c r="E1247" s="5" t="n">
        <f aca="false">IFERROR(__xludf.dummyfunction("""COMPUTED_VALUE"""),476.12)</f>
        <v>476.12</v>
      </c>
      <c r="F1247" s="5" t="n">
        <f aca="false">IFERROR(__xludf.dummyfunction("""COMPUTED_VALUE"""),24527176)</f>
        <v>24527176</v>
      </c>
    </row>
    <row r="1248" customFormat="false" ht="15.75" hidden="false" customHeight="false" outlineLevel="0" collapsed="false">
      <c r="A1248" s="6" t="n">
        <f aca="false">IFERROR(__xludf.dummyfunction("""COMPUTED_VALUE"""),46009.6666666667)</f>
        <v>46009.6666666667</v>
      </c>
      <c r="B1248" s="5" t="n">
        <f aca="false">IFERROR(__xludf.dummyfunction("""COMPUTED_VALUE"""),478.19)</f>
        <v>478.19</v>
      </c>
      <c r="C1248" s="5" t="n">
        <f aca="false">IFERROR(__xludf.dummyfunction("""COMPUTED_VALUE"""),489.6)</f>
        <v>489.6</v>
      </c>
      <c r="D1248" s="5" t="n">
        <f aca="false">IFERROR(__xludf.dummyfunction("""COMPUTED_VALUE"""),477.89)</f>
        <v>477.89</v>
      </c>
      <c r="E1248" s="5" t="n">
        <f aca="false">IFERROR(__xludf.dummyfunction("""COMPUTED_VALUE"""),483.98)</f>
        <v>483.98</v>
      </c>
      <c r="F1248" s="5" t="n">
        <f aca="false">IFERROR(__xludf.dummyfunction("""COMPUTED_VALUE"""),28573545)</f>
        <v>28573545</v>
      </c>
    </row>
    <row r="1249" customFormat="false" ht="15.75" hidden="false" customHeight="false" outlineLevel="0" collapsed="false">
      <c r="A1249" s="6" t="n">
        <f aca="false">IFERROR(__xludf.dummyfunction("""COMPUTED_VALUE"""),46010.6666666667)</f>
        <v>46010.6666666667</v>
      </c>
      <c r="B1249" s="5" t="n">
        <f aca="false">IFERROR(__xludf.dummyfunction("""COMPUTED_VALUE"""),487.36)</f>
        <v>487.36</v>
      </c>
      <c r="C1249" s="5" t="n">
        <f aca="false">IFERROR(__xludf.dummyfunction("""COMPUTED_VALUE"""),487.85)</f>
        <v>487.85</v>
      </c>
      <c r="D1249" s="5" t="n">
        <f aca="false">IFERROR(__xludf.dummyfunction("""COMPUTED_VALUE"""),482.49)</f>
        <v>482.49</v>
      </c>
      <c r="E1249" s="5" t="n">
        <f aca="false">IFERROR(__xludf.dummyfunction("""COMPUTED_VALUE"""),485.92)</f>
        <v>485.92</v>
      </c>
      <c r="F1249" s="5" t="n">
        <f aca="false">IFERROR(__xludf.dummyfunction("""COMPUTED_VALUE"""),70836105)</f>
        <v>70836105</v>
      </c>
    </row>
    <row r="1250" customFormat="false" ht="15.75" hidden="false" customHeight="false" outlineLevel="0" collapsed="false">
      <c r="A1250" s="6" t="n">
        <f aca="false">IFERROR(__xludf.dummyfunction("""COMPUTED_VALUE"""),46013.6666666667)</f>
        <v>46013.6666666667</v>
      </c>
      <c r="B1250" s="5" t="n">
        <f aca="false">IFERROR(__xludf.dummyfunction("""COMPUTED_VALUE"""),486.12)</f>
        <v>486.12</v>
      </c>
      <c r="C1250" s="5" t="n">
        <f aca="false">IFERROR(__xludf.dummyfunction("""COMPUTED_VALUE"""),488.73)</f>
        <v>488.73</v>
      </c>
      <c r="D1250" s="5" t="n">
        <f aca="false">IFERROR(__xludf.dummyfunction("""COMPUTED_VALUE"""),482.69)</f>
        <v>482.69</v>
      </c>
      <c r="E1250" s="5" t="n">
        <f aca="false">IFERROR(__xludf.dummyfunction("""COMPUTED_VALUE"""),484.92)</f>
        <v>484.92</v>
      </c>
      <c r="F1250" s="5" t="n">
        <f aca="false">IFERROR(__xludf.dummyfunction("""COMPUTED_VALUE"""),16963019)</f>
        <v>16963019</v>
      </c>
    </row>
    <row r="1251" customFormat="false" ht="15.75" hidden="false" customHeight="false" outlineLevel="0" collapsed="false">
      <c r="A1251" s="6" t="n">
        <f aca="false">IFERROR(__xludf.dummyfunction("""COMPUTED_VALUE"""),46014.6666666667)</f>
        <v>46014.6666666667</v>
      </c>
      <c r="B1251" s="5" t="n">
        <f aca="false">IFERROR(__xludf.dummyfunction("""COMPUTED_VALUE"""),484.98)</f>
        <v>484.98</v>
      </c>
      <c r="C1251" s="5" t="n">
        <f aca="false">IFERROR(__xludf.dummyfunction("""COMPUTED_VALUE"""),487.83)</f>
        <v>487.83</v>
      </c>
      <c r="D1251" s="5" t="n">
        <f aca="false">IFERROR(__xludf.dummyfunction("""COMPUTED_VALUE"""),484.74)</f>
        <v>484.74</v>
      </c>
      <c r="E1251" s="5" t="n">
        <f aca="false">IFERROR(__xludf.dummyfunction("""COMPUTED_VALUE"""),486.85)</f>
        <v>486.85</v>
      </c>
      <c r="F1251" s="5" t="n">
        <f aca="false">IFERROR(__xludf.dummyfunction("""COMPUTED_VALUE"""),14683582)</f>
        <v>14683582</v>
      </c>
    </row>
    <row r="1252" customFormat="false" ht="15.75" hidden="false" customHeight="false" outlineLevel="0" collapsed="false">
      <c r="A1252" s="6" t="n">
        <f aca="false">IFERROR(__xludf.dummyfunction("""COMPUTED_VALUE"""),46015.5451388889)</f>
        <v>46015.5451388889</v>
      </c>
      <c r="B1252" s="5" t="n">
        <f aca="false">IFERROR(__xludf.dummyfunction("""COMPUTED_VALUE"""),485.68)</f>
        <v>485.68</v>
      </c>
      <c r="C1252" s="5" t="n">
        <f aca="false">IFERROR(__xludf.dummyfunction("""COMPUTED_VALUE"""),489.16)</f>
        <v>489.16</v>
      </c>
      <c r="D1252" s="5" t="n">
        <f aca="false">IFERROR(__xludf.dummyfunction("""COMPUTED_VALUE"""),484.83)</f>
        <v>484.83</v>
      </c>
      <c r="E1252" s="5" t="n">
        <f aca="false">IFERROR(__xludf.dummyfunction("""COMPUTED_VALUE"""),488.02)</f>
        <v>488.02</v>
      </c>
      <c r="F1252" s="5" t="n">
        <f aca="false">IFERROR(__xludf.dummyfunction("""COMPUTED_VALUE"""),5855880)</f>
        <v>5855880</v>
      </c>
    </row>
    <row r="1253" customFormat="false" ht="15.75" hidden="false" customHeight="false" outlineLevel="0" collapsed="false">
      <c r="A1253" s="6" t="n">
        <f aca="false">IFERROR(__xludf.dummyfunction("""COMPUTED_VALUE"""),46017.6666666667)</f>
        <v>46017.6666666667</v>
      </c>
      <c r="B1253" s="5" t="n">
        <f aca="false">IFERROR(__xludf.dummyfunction("""COMPUTED_VALUE"""),486.71)</f>
        <v>486.71</v>
      </c>
      <c r="C1253" s="5" t="n">
        <f aca="false">IFERROR(__xludf.dummyfunction("""COMPUTED_VALUE"""),488.12)</f>
        <v>488.12</v>
      </c>
      <c r="D1253" s="5" t="n">
        <f aca="false">IFERROR(__xludf.dummyfunction("""COMPUTED_VALUE"""),485.96)</f>
        <v>485.96</v>
      </c>
      <c r="E1253" s="5" t="n">
        <f aca="false">IFERROR(__xludf.dummyfunction("""COMPUTED_VALUE"""),487.71)</f>
        <v>487.71</v>
      </c>
      <c r="F1253" s="5" t="n">
        <f aca="false">IFERROR(__xludf.dummyfunction("""COMPUTED_VALUE"""),8842175)</f>
        <v>8842175</v>
      </c>
    </row>
    <row r="1254" customFormat="false" ht="15.75" hidden="false" customHeight="false" outlineLevel="0" collapsed="false">
      <c r="A1254" s="6" t="n">
        <f aca="false">IFERROR(__xludf.dummyfunction("""COMPUTED_VALUE"""),46020.6666666667)</f>
        <v>46020.6666666667</v>
      </c>
      <c r="B1254" s="5" t="n">
        <f aca="false">IFERROR(__xludf.dummyfunction("""COMPUTED_VALUE"""),484.86)</f>
        <v>484.86</v>
      </c>
      <c r="C1254" s="5" t="n">
        <f aca="false">IFERROR(__xludf.dummyfunction("""COMPUTED_VALUE"""),488.35)</f>
        <v>488.35</v>
      </c>
      <c r="D1254" s="5" t="n">
        <f aca="false">IFERROR(__xludf.dummyfunction("""COMPUTED_VALUE"""),484.18)</f>
        <v>484.18</v>
      </c>
      <c r="E1254" s="5" t="n">
        <f aca="false">IFERROR(__xludf.dummyfunction("""COMPUTED_VALUE"""),487.1)</f>
        <v>487.1</v>
      </c>
      <c r="F1254" s="5" t="n">
        <f aca="false">IFERROR(__xludf.dummyfunction("""COMPUTED_VALUE"""),10893408)</f>
        <v>10893408</v>
      </c>
    </row>
    <row r="1255" customFormat="false" ht="15.75" hidden="false" customHeight="false" outlineLevel="0" collapsed="false">
      <c r="A1255" s="6" t="n">
        <f aca="false">IFERROR(__xludf.dummyfunction("""COMPUTED_VALUE"""),46021.6666666667)</f>
        <v>46021.6666666667</v>
      </c>
      <c r="B1255" s="5" t="n">
        <f aca="false">IFERROR(__xludf.dummyfunction("""COMPUTED_VALUE"""),485.93)</f>
        <v>485.93</v>
      </c>
      <c r="C1255" s="5" t="n">
        <f aca="false">IFERROR(__xludf.dummyfunction("""COMPUTED_VALUE"""),489.68)</f>
        <v>489.68</v>
      </c>
      <c r="D1255" s="5" t="n">
        <f aca="false">IFERROR(__xludf.dummyfunction("""COMPUTED_VALUE"""),485.5)</f>
        <v>485.5</v>
      </c>
      <c r="E1255" s="5" t="n">
        <f aca="false">IFERROR(__xludf.dummyfunction("""COMPUTED_VALUE"""),487.48)</f>
        <v>487.48</v>
      </c>
      <c r="F1255" s="5" t="n">
        <f aca="false">IFERROR(__xludf.dummyfunction("""COMPUTED_VALUE"""),13944512)</f>
        <v>13944512</v>
      </c>
    </row>
    <row r="1256" customFormat="false" ht="15.75" hidden="false" customHeight="false" outlineLevel="0" collapsed="false">
      <c r="A1256" s="6" t="n">
        <f aca="false">IFERROR(__xludf.dummyfunction("""COMPUTED_VALUE"""),46022.6666666667)</f>
        <v>46022.6666666667</v>
      </c>
      <c r="B1256" s="5" t="n">
        <f aca="false">IFERROR(__xludf.dummyfunction("""COMPUTED_VALUE"""),487.84)</f>
        <v>487.84</v>
      </c>
      <c r="C1256" s="5" t="n">
        <f aca="false">IFERROR(__xludf.dummyfunction("""COMPUTED_VALUE"""),488.14)</f>
        <v>488.14</v>
      </c>
      <c r="D1256" s="5" t="n">
        <f aca="false">IFERROR(__xludf.dummyfunction("""COMPUTED_VALUE"""),483.3)</f>
        <v>483.3</v>
      </c>
      <c r="E1256" s="5" t="n">
        <f aca="false">IFERROR(__xludf.dummyfunction("""COMPUTED_VALUE"""),483.62)</f>
        <v>483.62</v>
      </c>
      <c r="F1256" s="5" t="n">
        <f aca="false">IFERROR(__xludf.dummyfunction("""COMPUTED_VALUE"""),15601554)</f>
        <v>15601554</v>
      </c>
    </row>
    <row r="1257" customFormat="false" ht="15.75" hidden="false" customHeight="false" outlineLevel="0" collapsed="false">
      <c r="A1257" s="6" t="n">
        <f aca="false">IFERROR(__xludf.dummyfunction("""COMPUTED_VALUE"""),46024.6666666667)</f>
        <v>46024.6666666667</v>
      </c>
      <c r="B1257" s="5" t="n">
        <f aca="false">IFERROR(__xludf.dummyfunction("""COMPUTED_VALUE"""),484.39)</f>
        <v>484.39</v>
      </c>
      <c r="C1257" s="5" t="n">
        <f aca="false">IFERROR(__xludf.dummyfunction("""COMPUTED_VALUE"""),484.66)</f>
        <v>484.66</v>
      </c>
      <c r="D1257" s="5" t="n">
        <f aca="false">IFERROR(__xludf.dummyfunction("""COMPUTED_VALUE"""),470.16)</f>
        <v>470.16</v>
      </c>
      <c r="E1257" s="5" t="n">
        <f aca="false">IFERROR(__xludf.dummyfunction("""COMPUTED_VALUE"""),472.94)</f>
        <v>472.94</v>
      </c>
      <c r="F1257" s="5" t="n">
        <f aca="false">IFERROR(__xludf.dummyfunction("""COMPUTED_VALUE"""),25571567)</f>
        <v>25571567</v>
      </c>
    </row>
    <row r="1258" customFormat="false" ht="15.75" hidden="false" customHeight="false" outlineLevel="0" collapsed="false">
      <c r="A1258" s="6" t="n">
        <f aca="false">IFERROR(__xludf.dummyfunction("""COMPUTED_VALUE"""),46027.6666666667)</f>
        <v>46027.6666666667</v>
      </c>
      <c r="B1258" s="5" t="n">
        <f aca="false">IFERROR(__xludf.dummyfunction("""COMPUTED_VALUE"""),474.06)</f>
        <v>474.06</v>
      </c>
      <c r="C1258" s="5" t="n">
        <f aca="false">IFERROR(__xludf.dummyfunction("""COMPUTED_VALUE"""),476.07)</f>
        <v>476.07</v>
      </c>
      <c r="D1258" s="5" t="n">
        <f aca="false">IFERROR(__xludf.dummyfunction("""COMPUTED_VALUE"""),469.5)</f>
        <v>469.5</v>
      </c>
      <c r="E1258" s="5" t="n">
        <f aca="false">IFERROR(__xludf.dummyfunction("""COMPUTED_VALUE"""),472.85)</f>
        <v>472.85</v>
      </c>
      <c r="F1258" s="5" t="n">
        <f aca="false">IFERROR(__xludf.dummyfunction("""COMPUTED_VALUE"""),25250260)</f>
        <v>25250260</v>
      </c>
    </row>
    <row r="1259" customFormat="false" ht="15.75" hidden="false" customHeight="false" outlineLevel="0" collapsed="false">
      <c r="A1259" s="6" t="n">
        <f aca="false">IFERROR(__xludf.dummyfunction("""COMPUTED_VALUE"""),46028.6666666667)</f>
        <v>46028.6666666667</v>
      </c>
      <c r="B1259" s="5" t="n">
        <f aca="false">IFERROR(__xludf.dummyfunction("""COMPUTED_VALUE"""),473.8)</f>
        <v>473.8</v>
      </c>
      <c r="C1259" s="5" t="n">
        <f aca="false">IFERROR(__xludf.dummyfunction("""COMPUTED_VALUE"""),478.74)</f>
        <v>478.74</v>
      </c>
      <c r="D1259" s="5" t="n">
        <f aca="false">IFERROR(__xludf.dummyfunction("""COMPUTED_VALUE"""),469.75)</f>
        <v>469.75</v>
      </c>
      <c r="E1259" s="5" t="n">
        <f aca="false">IFERROR(__xludf.dummyfunction("""COMPUTED_VALUE"""),478.51)</f>
        <v>478.51</v>
      </c>
      <c r="F1259" s="5" t="n">
        <f aca="false">IFERROR(__xludf.dummyfunction("""COMPUTED_VALUE"""),23037665)</f>
        <v>23037665</v>
      </c>
    </row>
    <row r="1260" customFormat="false" ht="15.75" hidden="false" customHeight="false" outlineLevel="0" collapsed="false">
      <c r="A1260" s="6" t="n">
        <f aca="false">IFERROR(__xludf.dummyfunction("""COMPUTED_VALUE"""),46029.6666666667)</f>
        <v>46029.6666666667</v>
      </c>
      <c r="B1260" s="5" t="n">
        <f aca="false">IFERROR(__xludf.dummyfunction("""COMPUTED_VALUE"""),479.76)</f>
        <v>479.76</v>
      </c>
      <c r="C1260" s="5" t="n">
        <f aca="false">IFERROR(__xludf.dummyfunction("""COMPUTED_VALUE"""),489.7)</f>
        <v>489.7</v>
      </c>
      <c r="D1260" s="5" t="n">
        <f aca="false">IFERROR(__xludf.dummyfunction("""COMPUTED_VALUE"""),477.95)</f>
        <v>477.95</v>
      </c>
      <c r="E1260" s="5" t="n">
        <f aca="false">IFERROR(__xludf.dummyfunction("""COMPUTED_VALUE"""),483.47)</f>
        <v>483.47</v>
      </c>
      <c r="F1260" s="5" t="n">
        <f aca="false">IFERROR(__xludf.dummyfunction("""COMPUTED_VALUE"""),25564196)</f>
        <v>25564196</v>
      </c>
    </row>
    <row r="1261" customFormat="false" ht="15.75" hidden="false" customHeight="false" outlineLevel="0" collapsed="false">
      <c r="A1261" s="6" t="n">
        <f aca="false">IFERROR(__xludf.dummyfunction("""COMPUTED_VALUE"""),46030.6666666667)</f>
        <v>46030.6666666667</v>
      </c>
      <c r="B1261" s="5" t="n">
        <f aca="false">IFERROR(__xludf.dummyfunction("""COMPUTED_VALUE"""),481.24)</f>
        <v>481.24</v>
      </c>
      <c r="C1261" s="5" t="n">
        <f aca="false">IFERROR(__xludf.dummyfunction("""COMPUTED_VALUE"""),482.66)</f>
        <v>482.66</v>
      </c>
      <c r="D1261" s="5" t="n">
        <f aca="false">IFERROR(__xludf.dummyfunction("""COMPUTED_VALUE"""),475.86)</f>
        <v>475.86</v>
      </c>
      <c r="E1261" s="5" t="n">
        <f aca="false">IFERROR(__xludf.dummyfunction("""COMPUTED_VALUE"""),478.11)</f>
        <v>478.11</v>
      </c>
      <c r="F1261" s="5" t="n">
        <f aca="false">IFERROR(__xludf.dummyfunction("""COMPUTED_VALUE"""),18162616)</f>
        <v>18162616</v>
      </c>
    </row>
    <row r="1262" customFormat="false" ht="15.75" hidden="false" customHeight="false" outlineLevel="0" collapsed="false">
      <c r="A1262" s="6" t="n">
        <f aca="false">IFERROR(__xludf.dummyfunction("""COMPUTED_VALUE"""),46031.6666666667)</f>
        <v>46031.6666666667</v>
      </c>
      <c r="B1262" s="5" t="n">
        <f aca="false">IFERROR(__xludf.dummyfunction("""COMPUTED_VALUE"""),474.06)</f>
        <v>474.06</v>
      </c>
      <c r="C1262" s="5" t="n">
        <f aca="false">IFERROR(__xludf.dummyfunction("""COMPUTED_VALUE"""),479.82)</f>
        <v>479.82</v>
      </c>
      <c r="D1262" s="5" t="n">
        <f aca="false">IFERROR(__xludf.dummyfunction("""COMPUTED_VALUE"""),472.2)</f>
        <v>472.2</v>
      </c>
      <c r="E1262" s="5" t="n">
        <f aca="false">IFERROR(__xludf.dummyfunction("""COMPUTED_VALUE"""),479.28)</f>
        <v>479.28</v>
      </c>
      <c r="F1262" s="5" t="n">
        <f aca="false">IFERROR(__xludf.dummyfunction("""COMPUTED_VALUE"""),18491036)</f>
        <v>18491036</v>
      </c>
    </row>
    <row r="1263" customFormat="false" ht="15.75" hidden="false" customHeight="false" outlineLevel="0" collapsed="false">
      <c r="A1263" s="6" t="n">
        <f aca="false">IFERROR(__xludf.dummyfunction("""COMPUTED_VALUE"""),46034.6666666667)</f>
        <v>46034.6666666667</v>
      </c>
      <c r="B1263" s="5" t="n">
        <f aca="false">IFERROR(__xludf.dummyfunction("""COMPUTED_VALUE"""),476.67)</f>
        <v>476.67</v>
      </c>
      <c r="C1263" s="5" t="n">
        <f aca="false">IFERROR(__xludf.dummyfunction("""COMPUTED_VALUE"""),480.99)</f>
        <v>480.99</v>
      </c>
      <c r="D1263" s="5" t="n">
        <f aca="false">IFERROR(__xludf.dummyfunction("""COMPUTED_VALUE"""),475.68)</f>
        <v>475.68</v>
      </c>
      <c r="E1263" s="5" t="n">
        <f aca="false">IFERROR(__xludf.dummyfunction("""COMPUTED_VALUE"""),477.18)</f>
        <v>477.18</v>
      </c>
      <c r="F1263" s="5" t="n">
        <f aca="false">IFERROR(__xludf.dummyfunction("""COMPUTED_VALUE"""),23519895)</f>
        <v>23519895</v>
      </c>
    </row>
    <row r="1264" customFormat="false" ht="15.75" hidden="false" customHeight="false" outlineLevel="0" collapsed="false">
      <c r="A1264" s="6" t="n">
        <f aca="false">IFERROR(__xludf.dummyfunction("""COMPUTED_VALUE"""),46035.6666666667)</f>
        <v>46035.6666666667</v>
      </c>
      <c r="B1264" s="5" t="n">
        <f aca="false">IFERROR(__xludf.dummyfunction("""COMPUTED_VALUE"""),474.68)</f>
        <v>474.68</v>
      </c>
      <c r="C1264" s="5" t="n">
        <f aca="false">IFERROR(__xludf.dummyfunction("""COMPUTED_VALUE"""),475.78)</f>
        <v>475.78</v>
      </c>
      <c r="D1264" s="5" t="n">
        <f aca="false">IFERROR(__xludf.dummyfunction("""COMPUTED_VALUE"""),465.95)</f>
        <v>465.95</v>
      </c>
      <c r="E1264" s="5" t="n">
        <f aca="false">IFERROR(__xludf.dummyfunction("""COMPUTED_VALUE"""),470.67)</f>
        <v>470.67</v>
      </c>
      <c r="F1264" s="5" t="n">
        <f aca="false">IFERROR(__xludf.dummyfunction("""COMPUTED_VALUE"""),28545800)</f>
        <v>28545800</v>
      </c>
    </row>
    <row r="1265" customFormat="false" ht="15.75" hidden="false" customHeight="false" outlineLevel="0" collapsed="false">
      <c r="A1265" s="6" t="n">
        <f aca="false">IFERROR(__xludf.dummyfunction("""COMPUTED_VALUE"""),46036.6666666667)</f>
        <v>46036.6666666667</v>
      </c>
      <c r="B1265" s="5" t="n">
        <f aca="false">IFERROR(__xludf.dummyfunction("""COMPUTED_VALUE"""),466.46)</f>
        <v>466.46</v>
      </c>
      <c r="C1265" s="5" t="n">
        <f aca="false">IFERROR(__xludf.dummyfunction("""COMPUTED_VALUE"""),468.2)</f>
        <v>468.2</v>
      </c>
      <c r="D1265" s="5" t="n">
        <f aca="false">IFERROR(__xludf.dummyfunction("""COMPUTED_VALUE"""),457.17)</f>
        <v>457.17</v>
      </c>
      <c r="E1265" s="5" t="n">
        <f aca="false">IFERROR(__xludf.dummyfunction("""COMPUTED_VALUE"""),459.38)</f>
        <v>459.38</v>
      </c>
      <c r="F1265" s="5" t="n">
        <f aca="false">IFERROR(__xludf.dummyfunction("""COMPUTED_VALUE"""),28184302)</f>
        <v>28184302</v>
      </c>
    </row>
    <row r="1266" customFormat="false" ht="15.75" hidden="false" customHeight="false" outlineLevel="0" collapsed="false">
      <c r="A1266" s="6" t="n">
        <f aca="false">IFERROR(__xludf.dummyfunction("""COMPUTED_VALUE"""),46037.6666666667)</f>
        <v>46037.6666666667</v>
      </c>
      <c r="B1266" s="5" t="n">
        <f aca="false">IFERROR(__xludf.dummyfunction("""COMPUTED_VALUE"""),464.12)</f>
        <v>464.12</v>
      </c>
      <c r="C1266" s="5" t="n">
        <f aca="false">IFERROR(__xludf.dummyfunction("""COMPUTED_VALUE"""),464.25)</f>
        <v>464.25</v>
      </c>
      <c r="D1266" s="5" t="n">
        <f aca="false">IFERROR(__xludf.dummyfunction("""COMPUTED_VALUE"""),455.9)</f>
        <v>455.9</v>
      </c>
      <c r="E1266" s="5" t="n">
        <f aca="false">IFERROR(__xludf.dummyfunction("""COMPUTED_VALUE"""),456.66)</f>
        <v>456.66</v>
      </c>
      <c r="F1266" s="5" t="n">
        <f aca="false">IFERROR(__xludf.dummyfunction("""COMPUTED_VALUE"""),23225839)</f>
        <v>23225839</v>
      </c>
    </row>
    <row r="1267" customFormat="false" ht="15.75" hidden="false" customHeight="false" outlineLevel="0" collapsed="false">
      <c r="A1267" s="6" t="n">
        <f aca="false">IFERROR(__xludf.dummyfunction("""COMPUTED_VALUE"""),46038.6666666667)</f>
        <v>46038.6666666667</v>
      </c>
      <c r="B1267" s="5" t="n">
        <f aca="false">IFERROR(__xludf.dummyfunction("""COMPUTED_VALUE"""),457.83)</f>
        <v>457.83</v>
      </c>
      <c r="C1267" s="5" t="n">
        <f aca="false">IFERROR(__xludf.dummyfunction("""COMPUTED_VALUE"""),463.19)</f>
        <v>463.19</v>
      </c>
      <c r="D1267" s="5" t="n">
        <f aca="false">IFERROR(__xludf.dummyfunction("""COMPUTED_VALUE"""),456.48)</f>
        <v>456.48</v>
      </c>
      <c r="E1267" s="5" t="n">
        <f aca="false">IFERROR(__xludf.dummyfunction("""COMPUTED_VALUE"""),459.86)</f>
        <v>459.86</v>
      </c>
      <c r="F1267" s="5" t="n">
        <f aca="false">IFERROR(__xludf.dummyfunction("""COMPUTED_VALUE"""),34246650)</f>
        <v>34246650</v>
      </c>
    </row>
    <row r="1268" customFormat="false" ht="15.75" hidden="false" customHeight="false" outlineLevel="0" collapsed="false">
      <c r="A1268" s="6" t="n">
        <f aca="false">IFERROR(__xludf.dummyfunction("""COMPUTED_VALUE"""),46042.6666666667)</f>
        <v>46042.6666666667</v>
      </c>
      <c r="B1268" s="5" t="n">
        <f aca="false">IFERROR(__xludf.dummyfunction("""COMPUTED_VALUE"""),451.22)</f>
        <v>451.22</v>
      </c>
      <c r="C1268" s="5" t="n">
        <f aca="false">IFERROR(__xludf.dummyfunction("""COMPUTED_VALUE"""),456.8)</f>
        <v>456.8</v>
      </c>
      <c r="D1268" s="5" t="n">
        <f aca="false">IFERROR(__xludf.dummyfunction("""COMPUTED_VALUE"""),449.28)</f>
        <v>449.28</v>
      </c>
      <c r="E1268" s="5" t="n">
        <f aca="false">IFERROR(__xludf.dummyfunction("""COMPUTED_VALUE"""),454.52)</f>
        <v>454.52</v>
      </c>
      <c r="F1268" s="5" t="n">
        <f aca="false">IFERROR(__xludf.dummyfunction("""COMPUTED_VALUE"""),26129992)</f>
        <v>26129992</v>
      </c>
    </row>
    <row r="1269" customFormat="false" ht="15.75" hidden="false" customHeight="false" outlineLevel="0" collapsed="false">
      <c r="A1269" s="6" t="n">
        <f aca="false">IFERROR(__xludf.dummyfunction("""COMPUTED_VALUE"""),46043.6666666667)</f>
        <v>46043.6666666667</v>
      </c>
      <c r="B1269" s="5" t="n">
        <f aca="false">IFERROR(__xludf.dummyfunction("""COMPUTED_VALUE"""),452.6)</f>
        <v>452.6</v>
      </c>
      <c r="C1269" s="5" t="n">
        <f aca="false">IFERROR(__xludf.dummyfunction("""COMPUTED_VALUE"""),452.69)</f>
        <v>452.69</v>
      </c>
      <c r="D1269" s="5" t="n">
        <f aca="false">IFERROR(__xludf.dummyfunction("""COMPUTED_VALUE"""),438.68)</f>
        <v>438.68</v>
      </c>
      <c r="E1269" s="5" t="n">
        <f aca="false">IFERROR(__xludf.dummyfunction("""COMPUTED_VALUE"""),444.11)</f>
        <v>444.11</v>
      </c>
      <c r="F1269" s="5" t="n">
        <f aca="false">IFERROR(__xludf.dummyfunction("""COMPUTED_VALUE"""),37980510)</f>
        <v>37980510</v>
      </c>
    </row>
    <row r="1270" customFormat="false" ht="15.75" hidden="false" customHeight="false" outlineLevel="0" collapsed="false">
      <c r="A1270" s="6" t="n">
        <f aca="false">IFERROR(__xludf.dummyfunction("""COMPUTED_VALUE"""),46044.6666666667)</f>
        <v>46044.6666666667</v>
      </c>
      <c r="B1270" s="5" t="n">
        <f aca="false">IFERROR(__xludf.dummyfunction("""COMPUTED_VALUE"""),447.62)</f>
        <v>447.62</v>
      </c>
      <c r="C1270" s="5" t="n">
        <f aca="false">IFERROR(__xludf.dummyfunction("""COMPUTED_VALUE"""),452.84)</f>
        <v>452.84</v>
      </c>
      <c r="D1270" s="5" t="n">
        <f aca="false">IFERROR(__xludf.dummyfunction("""COMPUTED_VALUE"""),444.7)</f>
        <v>444.7</v>
      </c>
      <c r="E1270" s="5" t="n">
        <f aca="false">IFERROR(__xludf.dummyfunction("""COMPUTED_VALUE"""),451.14)</f>
        <v>451.14</v>
      </c>
      <c r="F1270" s="5" t="n">
        <f aca="false">IFERROR(__xludf.dummyfunction("""COMPUTED_VALUE"""),25349378)</f>
        <v>25349378</v>
      </c>
    </row>
    <row r="1271" customFormat="false" ht="15.75" hidden="false" customHeight="false" outlineLevel="0" collapsed="false">
      <c r="A1271" s="6" t="n">
        <f aca="false">IFERROR(__xludf.dummyfunction("""COMPUTED_VALUE"""),46045.6666666667)</f>
        <v>46045.6666666667</v>
      </c>
      <c r="B1271" s="5" t="n">
        <f aca="false">IFERROR(__xludf.dummyfunction("""COMPUTED_VALUE"""),451.87)</f>
        <v>451.87</v>
      </c>
      <c r="C1271" s="5" t="n">
        <f aca="false">IFERROR(__xludf.dummyfunction("""COMPUTED_VALUE"""),471.1)</f>
        <v>471.1</v>
      </c>
      <c r="D1271" s="5" t="n">
        <f aca="false">IFERROR(__xludf.dummyfunction("""COMPUTED_VALUE"""),450.53)</f>
        <v>450.53</v>
      </c>
      <c r="E1271" s="5" t="n">
        <f aca="false">IFERROR(__xludf.dummyfunction("""COMPUTED_VALUE"""),465.95)</f>
        <v>465.95</v>
      </c>
      <c r="F1271" s="5" t="n">
        <f aca="false">IFERROR(__xludf.dummyfunction("""COMPUTED_VALUE"""),38000159)</f>
        <v>38000159</v>
      </c>
    </row>
    <row r="1272" customFormat="false" ht="15.75" hidden="false" customHeight="false" outlineLevel="0" collapsed="false">
      <c r="A1272" s="6" t="n">
        <f aca="false">IFERROR(__xludf.dummyfunction("""COMPUTED_VALUE"""),46048.6666666667)</f>
        <v>46048.6666666667</v>
      </c>
      <c r="B1272" s="5" t="n">
        <f aca="false">IFERROR(__xludf.dummyfunction("""COMPUTED_VALUE"""),465.31)</f>
        <v>465.31</v>
      </c>
      <c r="C1272" s="5" t="n">
        <f aca="false">IFERROR(__xludf.dummyfunction("""COMPUTED_VALUE"""),474.25)</f>
        <v>474.25</v>
      </c>
      <c r="D1272" s="5" t="n">
        <f aca="false">IFERROR(__xludf.dummyfunction("""COMPUTED_VALUE"""),462)</f>
        <v>462</v>
      </c>
      <c r="E1272" s="5" t="n">
        <f aca="false">IFERROR(__xludf.dummyfunction("""COMPUTED_VALUE"""),470.28)</f>
        <v>470.28</v>
      </c>
      <c r="F1272" s="5" t="n">
        <f aca="false">IFERROR(__xludf.dummyfunction("""COMPUTED_VALUE"""),29291235)</f>
        <v>29291235</v>
      </c>
    </row>
    <row r="1273" customFormat="false" ht="15.75" hidden="false" customHeight="false" outlineLevel="0" collapsed="false">
      <c r="A1273" s="6" t="n">
        <f aca="false">IFERROR(__xludf.dummyfunction("""COMPUTED_VALUE"""),46049.6666666667)</f>
        <v>46049.6666666667</v>
      </c>
      <c r="B1273" s="5" t="n">
        <f aca="false">IFERROR(__xludf.dummyfunction("""COMPUTED_VALUE"""),473.7)</f>
        <v>473.7</v>
      </c>
      <c r="C1273" s="5" t="n">
        <f aca="false">IFERROR(__xludf.dummyfunction("""COMPUTED_VALUE"""),482.87)</f>
        <v>482.87</v>
      </c>
      <c r="D1273" s="5" t="n">
        <f aca="false">IFERROR(__xludf.dummyfunction("""COMPUTED_VALUE"""),473.16)</f>
        <v>473.16</v>
      </c>
      <c r="E1273" s="5" t="n">
        <f aca="false">IFERROR(__xludf.dummyfunction("""COMPUTED_VALUE"""),480.58)</f>
        <v>480.58</v>
      </c>
      <c r="F1273" s="5" t="n">
        <f aca="false">IFERROR(__xludf.dummyfunction("""COMPUTED_VALUE"""),29213923)</f>
        <v>29213923</v>
      </c>
    </row>
    <row r="1274" customFormat="false" ht="15.75" hidden="false" customHeight="false" outlineLevel="0" collapsed="false">
      <c r="A1274" s="6" t="n">
        <f aca="false">IFERROR(__xludf.dummyfunction("""COMPUTED_VALUE"""),46050.6666666667)</f>
        <v>46050.6666666667</v>
      </c>
      <c r="B1274" s="5" t="n">
        <f aca="false">IFERROR(__xludf.dummyfunction("""COMPUTED_VALUE"""),483.21)</f>
        <v>483.21</v>
      </c>
      <c r="C1274" s="5" t="n">
        <f aca="false">IFERROR(__xludf.dummyfunction("""COMPUTED_VALUE"""),483.74)</f>
        <v>483.74</v>
      </c>
      <c r="D1274" s="5" t="n">
        <f aca="false">IFERROR(__xludf.dummyfunction("""COMPUTED_VALUE"""),478)</f>
        <v>478</v>
      </c>
      <c r="E1274" s="5" t="n">
        <f aca="false">IFERROR(__xludf.dummyfunction("""COMPUTED_VALUE"""),481.63)</f>
        <v>481.63</v>
      </c>
      <c r="F1274" s="5" t="n">
        <f aca="false">IFERROR(__xludf.dummyfunction("""COMPUTED_VALUE"""),36875403)</f>
        <v>36875403</v>
      </c>
    </row>
    <row r="1275" customFormat="false" ht="15.75" hidden="false" customHeight="false" outlineLevel="0" collapsed="false">
      <c r="A1275" s="6" t="n">
        <f aca="false">IFERROR(__xludf.dummyfunction("""COMPUTED_VALUE"""),46051.6666666667)</f>
        <v>46051.6666666667</v>
      </c>
      <c r="B1275" s="5" t="n">
        <f aca="false">IFERROR(__xludf.dummyfunction("""COMPUTED_VALUE"""),439.99)</f>
        <v>439.99</v>
      </c>
      <c r="C1275" s="5" t="n">
        <f aca="false">IFERROR(__xludf.dummyfunction("""COMPUTED_VALUE"""),442.5)</f>
        <v>442.5</v>
      </c>
      <c r="D1275" s="5" t="n">
        <f aca="false">IFERROR(__xludf.dummyfunction("""COMPUTED_VALUE"""),421.02)</f>
        <v>421.02</v>
      </c>
      <c r="E1275" s="5" t="n">
        <f aca="false">IFERROR(__xludf.dummyfunction("""COMPUTED_VALUE"""),433.5)</f>
        <v>433.5</v>
      </c>
      <c r="F1275" s="5" t="n">
        <f aca="false">IFERROR(__xludf.dummyfunction("""COMPUTED_VALUE"""),128855323)</f>
        <v>128855323</v>
      </c>
    </row>
    <row r="1276" customFormat="false" ht="15.75" hidden="false" customHeight="false" outlineLevel="0" collapsed="false">
      <c r="A1276" s="6" t="n">
        <f aca="false">IFERROR(__xludf.dummyfunction("""COMPUTED_VALUE"""),46052.6666666667)</f>
        <v>46052.6666666667</v>
      </c>
      <c r="B1276" s="5" t="n">
        <f aca="false">IFERROR(__xludf.dummyfunction("""COMPUTED_VALUE"""),439.17)</f>
        <v>439.17</v>
      </c>
      <c r="C1276" s="5" t="n">
        <f aca="false">IFERROR(__xludf.dummyfunction("""COMPUTED_VALUE"""),439.6)</f>
        <v>439.6</v>
      </c>
      <c r="D1276" s="5" t="n">
        <f aca="false">IFERROR(__xludf.dummyfunction("""COMPUTED_VALUE"""),426.45)</f>
        <v>426.45</v>
      </c>
      <c r="E1276" s="5" t="n">
        <f aca="false">IFERROR(__xludf.dummyfunction("""COMPUTED_VALUE"""),430.29)</f>
        <v>430.29</v>
      </c>
      <c r="F1276" s="5" t="n">
        <f aca="false">IFERROR(__xludf.dummyfunction("""COMPUTED_VALUE"""),58566819)</f>
        <v>58566819</v>
      </c>
    </row>
    <row r="1277" customFormat="false" ht="15.75" hidden="false" customHeight="false" outlineLevel="0" collapsed="false">
      <c r="A1277" s="6" t="n">
        <f aca="false">IFERROR(__xludf.dummyfunction("""COMPUTED_VALUE"""),46055.6666666667)</f>
        <v>46055.6666666667</v>
      </c>
      <c r="B1277" s="5" t="n">
        <f aca="false">IFERROR(__xludf.dummyfunction("""COMPUTED_VALUE"""),430.24)</f>
        <v>430.24</v>
      </c>
      <c r="C1277" s="5" t="n">
        <f aca="false">IFERROR(__xludf.dummyfunction("""COMPUTED_VALUE"""),430.74)</f>
        <v>430.74</v>
      </c>
      <c r="D1277" s="5" t="n">
        <f aca="false">IFERROR(__xludf.dummyfunction("""COMPUTED_VALUE"""),422.25)</f>
        <v>422.25</v>
      </c>
      <c r="E1277" s="5" t="n">
        <f aca="false">IFERROR(__xludf.dummyfunction("""COMPUTED_VALUE"""),423.37)</f>
        <v>423.37</v>
      </c>
      <c r="F1277" s="5" t="n">
        <f aca="false">IFERROR(__xludf.dummyfunction("""COMPUTED_VALUE"""),42219858)</f>
        <v>42219858</v>
      </c>
    </row>
    <row r="1278" customFormat="false" ht="15.75" hidden="false" customHeight="false" outlineLevel="0" collapsed="false">
      <c r="A1278" s="6" t="n">
        <f aca="false">IFERROR(__xludf.dummyfunction("""COMPUTED_VALUE"""),46056.6666666667)</f>
        <v>46056.6666666667</v>
      </c>
      <c r="B1278" s="5" t="n">
        <f aca="false">IFERROR(__xludf.dummyfunction("""COMPUTED_VALUE"""),422.01)</f>
        <v>422.01</v>
      </c>
      <c r="C1278" s="5" t="n">
        <f aca="false">IFERROR(__xludf.dummyfunction("""COMPUTED_VALUE"""),422.05)</f>
        <v>422.05</v>
      </c>
      <c r="D1278" s="5" t="n">
        <f aca="false">IFERROR(__xludf.dummyfunction("""COMPUTED_VALUE"""),408.56)</f>
        <v>408.56</v>
      </c>
      <c r="E1278" s="5" t="n">
        <f aca="false">IFERROR(__xludf.dummyfunction("""COMPUTED_VALUE"""),411.21)</f>
        <v>411.21</v>
      </c>
      <c r="F1278" s="5" t="n">
        <f aca="false">IFERROR(__xludf.dummyfunction("""COMPUTED_VALUE"""),61424123)</f>
        <v>61424123</v>
      </c>
    </row>
    <row r="1279" customFormat="false" ht="15.75" hidden="false" customHeight="false" outlineLevel="0" collapsed="false">
      <c r="A1279" s="6" t="n">
        <f aca="false">IFERROR(__xludf.dummyfunction("""COMPUTED_VALUE"""),46057.6666666667)</f>
        <v>46057.6666666667</v>
      </c>
      <c r="B1279" s="5" t="n">
        <f aca="false">IFERROR(__xludf.dummyfunction("""COMPUTED_VALUE"""),411)</f>
        <v>411</v>
      </c>
      <c r="C1279" s="5" t="n">
        <f aca="false">IFERROR(__xludf.dummyfunction("""COMPUTED_VALUE"""),419.8)</f>
        <v>419.8</v>
      </c>
      <c r="D1279" s="5" t="n">
        <f aca="false">IFERROR(__xludf.dummyfunction("""COMPUTED_VALUE"""),409.24)</f>
        <v>409.24</v>
      </c>
      <c r="E1279" s="5" t="n">
        <f aca="false">IFERROR(__xludf.dummyfunction("""COMPUTED_VALUE"""),414.19)</f>
        <v>414.19</v>
      </c>
      <c r="F1279" s="5" t="n">
        <f aca="false">IFERROR(__xludf.dummyfunction("""COMPUTED_VALUE"""),45012374)</f>
        <v>45012374</v>
      </c>
    </row>
    <row r="1280" customFormat="false" ht="15.75" hidden="false" customHeight="false" outlineLevel="0" collapsed="false">
      <c r="A1280" s="6" t="n">
        <f aca="false">IFERROR(__xludf.dummyfunction("""COMPUTED_VALUE"""),46058.6666666667)</f>
        <v>46058.6666666667</v>
      </c>
      <c r="B1280" s="5" t="n">
        <f aca="false">IFERROR(__xludf.dummyfunction("""COMPUTED_VALUE"""),407.44)</f>
        <v>407.44</v>
      </c>
      <c r="C1280" s="5" t="n">
        <f aca="false">IFERROR(__xludf.dummyfunction("""COMPUTED_VALUE"""),408.3)</f>
        <v>408.3</v>
      </c>
      <c r="D1280" s="5" t="n">
        <f aca="false">IFERROR(__xludf.dummyfunction("""COMPUTED_VALUE"""),392.32)</f>
        <v>392.32</v>
      </c>
      <c r="E1280" s="5" t="n">
        <f aca="false">IFERROR(__xludf.dummyfunction("""COMPUTED_VALUE"""),393.67)</f>
        <v>393.67</v>
      </c>
      <c r="F1280" s="5" t="n">
        <f aca="false">IFERROR(__xludf.dummyfunction("""COMPUTED_VALUE"""),66289247)</f>
        <v>66289247</v>
      </c>
    </row>
    <row r="1281" customFormat="false" ht="15.75" hidden="false" customHeight="false" outlineLevel="0" collapsed="false">
      <c r="A1281" s="6" t="n">
        <f aca="false">IFERROR(__xludf.dummyfunction("""COMPUTED_VALUE"""),46059.6666666667)</f>
        <v>46059.6666666667</v>
      </c>
      <c r="B1281" s="5" t="n">
        <f aca="false">IFERROR(__xludf.dummyfunction("""COMPUTED_VALUE"""),399.17)</f>
        <v>399.17</v>
      </c>
      <c r="C1281" s="5" t="n">
        <f aca="false">IFERROR(__xludf.dummyfunction("""COMPUTED_VALUE"""),401.79)</f>
        <v>401.79</v>
      </c>
      <c r="D1281" s="5" t="n">
        <f aca="false">IFERROR(__xludf.dummyfunction("""COMPUTED_VALUE"""),392.92)</f>
        <v>392.92</v>
      </c>
      <c r="E1281" s="5" t="n">
        <f aca="false">IFERROR(__xludf.dummyfunction("""COMPUTED_VALUE"""),401.14)</f>
        <v>401.14</v>
      </c>
      <c r="F1281" s="5" t="n">
        <f aca="false">IFERROR(__xludf.dummyfunction("""COMPUTED_VALUE"""),53515311)</f>
        <v>53515311</v>
      </c>
    </row>
    <row r="1282" customFormat="false" ht="15.75" hidden="false" customHeight="false" outlineLevel="0" collapsed="false">
      <c r="A1282" s="6" t="n">
        <f aca="false">IFERROR(__xludf.dummyfunction("""COMPUTED_VALUE"""),46062.6666666667)</f>
        <v>46062.6666666667</v>
      </c>
      <c r="B1282" s="5" t="n">
        <f aca="false">IFERROR(__xludf.dummyfunction("""COMPUTED_VALUE"""),404.85)</f>
        <v>404.85</v>
      </c>
      <c r="C1282" s="5" t="n">
        <f aca="false">IFERROR(__xludf.dummyfunction("""COMPUTED_VALUE"""),414.89)</f>
        <v>414.89</v>
      </c>
      <c r="D1282" s="5" t="n">
        <f aca="false">IFERROR(__xludf.dummyfunction("""COMPUTED_VALUE"""),400.87)</f>
        <v>400.87</v>
      </c>
      <c r="E1282" s="5" t="n">
        <f aca="false">IFERROR(__xludf.dummyfunction("""COMPUTED_VALUE"""),413.6)</f>
        <v>413.6</v>
      </c>
      <c r="F1282" s="5" t="n">
        <f aca="false">IFERROR(__xludf.dummyfunction("""COMPUTED_VALUE"""),45480526)</f>
        <v>45480526</v>
      </c>
    </row>
    <row r="1283" customFormat="false" ht="15.75" hidden="false" customHeight="false" outlineLevel="0" collapsed="false">
      <c r="A1283" s="6" t="n">
        <f aca="false">IFERROR(__xludf.dummyfunction("""COMPUTED_VALUE"""),46063.6666666667)</f>
        <v>46063.6666666667</v>
      </c>
      <c r="B1283" s="5" t="n">
        <f aca="false">IFERROR(__xludf.dummyfunction("""COMPUTED_VALUE"""),419.62)</f>
        <v>419.62</v>
      </c>
      <c r="C1283" s="5" t="n">
        <f aca="false">IFERROR(__xludf.dummyfunction("""COMPUTED_VALUE"""),423.68)</f>
        <v>423.68</v>
      </c>
      <c r="D1283" s="5" t="n">
        <f aca="false">IFERROR(__xludf.dummyfunction("""COMPUTED_VALUE"""),412.7)</f>
        <v>412.7</v>
      </c>
      <c r="E1283" s="5" t="n">
        <f aca="false">IFERROR(__xludf.dummyfunction("""COMPUTED_VALUE"""),413.27)</f>
        <v>413.27</v>
      </c>
      <c r="F1283" s="5" t="n">
        <f aca="false">IFERROR(__xludf.dummyfunction("""COMPUTED_VALUE"""),44857850)</f>
        <v>44857850</v>
      </c>
    </row>
    <row r="1284" customFormat="false" ht="15.75" hidden="false" customHeight="false" outlineLevel="0" collapsed="false">
      <c r="A1284" s="6" t="n">
        <f aca="false">IFERROR(__xludf.dummyfunction("""COMPUTED_VALUE"""),46064.6666666667)</f>
        <v>46064.6666666667</v>
      </c>
      <c r="B1284" s="5" t="n">
        <f aca="false">IFERROR(__xludf.dummyfunction("""COMPUTED_VALUE"""),416.18)</f>
        <v>416.18</v>
      </c>
      <c r="C1284" s="5" t="n">
        <f aca="false">IFERROR(__xludf.dummyfunction("""COMPUTED_VALUE"""),416.46)</f>
        <v>416.46</v>
      </c>
      <c r="D1284" s="5" t="n">
        <f aca="false">IFERROR(__xludf.dummyfunction("""COMPUTED_VALUE"""),401.01)</f>
        <v>401.01</v>
      </c>
      <c r="E1284" s="5" t="n">
        <f aca="false">IFERROR(__xludf.dummyfunction("""COMPUTED_VALUE"""),404.37)</f>
        <v>404.37</v>
      </c>
      <c r="F1284" s="5" t="n">
        <f aca="false">IFERROR(__xludf.dummyfunction("""COMPUTED_VALUE"""),42491012)</f>
        <v>42491012</v>
      </c>
    </row>
    <row r="1285" customFormat="false" ht="15.75" hidden="false" customHeight="false" outlineLevel="0" collapsed="false">
      <c r="A1285" s="6" t="n">
        <f aca="false">IFERROR(__xludf.dummyfunction("""COMPUTED_VALUE"""),46065.6666666667)</f>
        <v>46065.6666666667</v>
      </c>
      <c r="B1285" s="5" t="n">
        <f aca="false">IFERROR(__xludf.dummyfunction("""COMPUTED_VALUE"""),405)</f>
        <v>405</v>
      </c>
      <c r="C1285" s="5" t="n">
        <f aca="false">IFERROR(__xludf.dummyfunction("""COMPUTED_VALUE"""),406.2)</f>
        <v>406.2</v>
      </c>
      <c r="D1285" s="5" t="n">
        <f aca="false">IFERROR(__xludf.dummyfunction("""COMPUTED_VALUE"""),398.01)</f>
        <v>398.01</v>
      </c>
      <c r="E1285" s="5" t="n">
        <f aca="false">IFERROR(__xludf.dummyfunction("""COMPUTED_VALUE"""),401.84)</f>
        <v>401.84</v>
      </c>
      <c r="F1285" s="5" t="n">
        <f aca="false">IFERROR(__xludf.dummyfunction("""COMPUTED_VALUE"""),40802362)</f>
        <v>40802362</v>
      </c>
    </row>
    <row r="1286" customFormat="false" ht="15.75" hidden="false" customHeight="false" outlineLevel="0" collapsed="false">
      <c r="A1286" s="6" t="n">
        <f aca="false">IFERROR(__xludf.dummyfunction("""COMPUTED_VALUE"""),46066.6666666667)</f>
        <v>46066.6666666667</v>
      </c>
      <c r="B1286" s="5" t="n">
        <f aca="false">IFERROR(__xludf.dummyfunction("""COMPUTED_VALUE"""),404.45)</f>
        <v>404.45</v>
      </c>
      <c r="C1286" s="5" t="n">
        <f aca="false">IFERROR(__xludf.dummyfunction("""COMPUTED_VALUE"""),405.54)</f>
        <v>405.54</v>
      </c>
      <c r="D1286" s="5" t="n">
        <f aca="false">IFERROR(__xludf.dummyfunction("""COMPUTED_VALUE"""),398.05)</f>
        <v>398.05</v>
      </c>
      <c r="E1286" s="5" t="n">
        <f aca="false">IFERROR(__xludf.dummyfunction("""COMPUTED_VALUE"""),401.32)</f>
        <v>401.32</v>
      </c>
      <c r="F1286" s="5" t="n">
        <f aca="false">IFERROR(__xludf.dummyfunction("""COMPUTED_VALUE"""),34091553)</f>
        <v>34091553</v>
      </c>
    </row>
    <row r="1287" customFormat="false" ht="15.75" hidden="false" customHeight="false" outlineLevel="0" collapsed="false">
      <c r="A1287" s="6" t="n">
        <f aca="false">IFERROR(__xludf.dummyfunction("""COMPUTED_VALUE"""),46070.6666666667)</f>
        <v>46070.6666666667</v>
      </c>
      <c r="B1287" s="5" t="n">
        <f aca="false">IFERROR(__xludf.dummyfunction("""COMPUTED_VALUE"""),399.22)</f>
        <v>399.22</v>
      </c>
      <c r="C1287" s="5" t="n">
        <f aca="false">IFERROR(__xludf.dummyfunction("""COMPUTED_VALUE"""),400.52)</f>
        <v>400.52</v>
      </c>
      <c r="D1287" s="5" t="n">
        <f aca="false">IFERROR(__xludf.dummyfunction("""COMPUTED_VALUE"""),394.53)</f>
        <v>394.53</v>
      </c>
      <c r="E1287" s="5" t="n">
        <f aca="false">IFERROR(__xludf.dummyfunction("""COMPUTED_VALUE"""),396.86)</f>
        <v>396.86</v>
      </c>
      <c r="F1287" s="5" t="n">
        <f aca="false">IFERROR(__xludf.dummyfunction("""COMPUTED_VALUE"""),32078794)</f>
        <v>32078794</v>
      </c>
    </row>
    <row r="1288" customFormat="false" ht="15.75" hidden="false" customHeight="false" outlineLevel="0" collapsed="false">
      <c r="A1288" s="6" t="n">
        <f aca="false">IFERROR(__xludf.dummyfunction("""COMPUTED_VALUE"""),46071.6666666667)</f>
        <v>46071.6666666667</v>
      </c>
      <c r="B1288" s="5" t="n">
        <f aca="false">IFERROR(__xludf.dummyfunction("""COMPUTED_VALUE"""),398.13)</f>
        <v>398.13</v>
      </c>
      <c r="C1288" s="5" t="n">
        <f aca="false">IFERROR(__xludf.dummyfunction("""COMPUTED_VALUE"""),402.56)</f>
        <v>402.56</v>
      </c>
      <c r="D1288" s="5" t="n">
        <f aca="false">IFERROR(__xludf.dummyfunction("""COMPUTED_VALUE"""),396.32)</f>
        <v>396.32</v>
      </c>
      <c r="E1288" s="5" t="n">
        <f aca="false">IFERROR(__xludf.dummyfunction("""COMPUTED_VALUE"""),399.6)</f>
        <v>399.6</v>
      </c>
      <c r="F1288" s="5" t="n">
        <f aca="false">IFERROR(__xludf.dummyfunction("""COMPUTED_VALUE"""),23223417)</f>
        <v>23223417</v>
      </c>
    </row>
    <row r="1289" customFormat="false" ht="15.75" hidden="false" customHeight="false" outlineLevel="0" collapsed="false">
      <c r="A1289" s="6" t="n">
        <f aca="false">IFERROR(__xludf.dummyfunction("""COMPUTED_VALUE"""),46072.6666666667)</f>
        <v>46072.6666666667</v>
      </c>
      <c r="B1289" s="5" t="n">
        <f aca="false">IFERROR(__xludf.dummyfunction("""COMPUTED_VALUE"""),400.69)</f>
        <v>400.69</v>
      </c>
      <c r="C1289" s="5" t="n">
        <f aca="false">IFERROR(__xludf.dummyfunction("""COMPUTED_VALUE"""),404.43)</f>
        <v>404.43</v>
      </c>
      <c r="D1289" s="5" t="n">
        <f aca="false">IFERROR(__xludf.dummyfunction("""COMPUTED_VALUE"""),396.67)</f>
        <v>396.67</v>
      </c>
      <c r="E1289" s="5" t="n">
        <f aca="false">IFERROR(__xludf.dummyfunction("""COMPUTED_VALUE"""),398.46)</f>
        <v>398.46</v>
      </c>
      <c r="F1289" s="5" t="n">
        <f aca="false">IFERROR(__xludf.dummyfunction("""COMPUTED_VALUE"""),28234001)</f>
        <v>28234001</v>
      </c>
    </row>
    <row r="1290" customFormat="false" ht="15.75" hidden="false" customHeight="false" outlineLevel="0" collapsed="false">
      <c r="A1290" s="6" t="n">
        <f aca="false">IFERROR(__xludf.dummyfunction("""COMPUTED_VALUE"""),46073.6666666667)</f>
        <v>46073.6666666667</v>
      </c>
      <c r="B1290" s="5" t="n">
        <f aca="false">IFERROR(__xludf.dummyfunction("""COMPUTED_VALUE"""),396.11)</f>
        <v>396.11</v>
      </c>
      <c r="C1290" s="5" t="n">
        <f aca="false">IFERROR(__xludf.dummyfunction("""COMPUTED_VALUE"""),400.12)</f>
        <v>400.12</v>
      </c>
      <c r="D1290" s="5" t="n">
        <f aca="false">IFERROR(__xludf.dummyfunction("""COMPUTED_VALUE"""),395.16)</f>
        <v>395.16</v>
      </c>
      <c r="E1290" s="5" t="n">
        <f aca="false">IFERROR(__xludf.dummyfunction("""COMPUTED_VALUE"""),397.23)</f>
        <v>397.23</v>
      </c>
      <c r="F1290" s="5" t="n">
        <f aca="false">IFERROR(__xludf.dummyfunction("""COMPUTED_VALUE"""),34015249)</f>
        <v>34015249</v>
      </c>
    </row>
    <row r="1291" customFormat="false" ht="15.75" hidden="false" customHeight="false" outlineLevel="0" collapsed="false">
      <c r="A1291" s="6" t="n">
        <f aca="false">IFERROR(__xludf.dummyfunction("""COMPUTED_VALUE"""),46076.6666666667)</f>
        <v>46076.6666666667</v>
      </c>
      <c r="B1291" s="5" t="n">
        <f aca="false">IFERROR(__xludf.dummyfunction("""COMPUTED_VALUE"""),395)</f>
        <v>395</v>
      </c>
      <c r="C1291" s="5" t="n">
        <f aca="false">IFERROR(__xludf.dummyfunction("""COMPUTED_VALUE"""),395.36)</f>
        <v>395.36</v>
      </c>
      <c r="D1291" s="5" t="n">
        <f aca="false">IFERROR(__xludf.dummyfunction("""COMPUTED_VALUE"""),383.1)</f>
        <v>383.1</v>
      </c>
      <c r="E1291" s="5" t="n">
        <f aca="false">IFERROR(__xludf.dummyfunction("""COMPUTED_VALUE"""),384.47)</f>
        <v>384.47</v>
      </c>
      <c r="F1291" s="5" t="n">
        <f aca="false">IFERROR(__xludf.dummyfunction("""COMPUTED_VALUE"""),42948469)</f>
        <v>42948469</v>
      </c>
    </row>
    <row r="1292" customFormat="false" ht="15.75" hidden="false" customHeight="false" outlineLevel="0" collapsed="false">
      <c r="A1292" s="6" t="n">
        <f aca="false">IFERROR(__xludf.dummyfunction("""COMPUTED_VALUE"""),46077.6666666667)</f>
        <v>46077.6666666667</v>
      </c>
      <c r="B1292" s="5" t="n">
        <f aca="false">IFERROR(__xludf.dummyfunction("""COMPUTED_VALUE"""),384.14)</f>
        <v>384.14</v>
      </c>
      <c r="C1292" s="5" t="n">
        <f aca="false">IFERROR(__xludf.dummyfunction("""COMPUTED_VALUE"""),389.36)</f>
        <v>389.36</v>
      </c>
      <c r="D1292" s="5" t="n">
        <f aca="false">IFERROR(__xludf.dummyfunction("""COMPUTED_VALUE"""),381.71)</f>
        <v>381.71</v>
      </c>
      <c r="E1292" s="5" t="n">
        <f aca="false">IFERROR(__xludf.dummyfunction("""COMPUTED_VALUE"""),389)</f>
        <v>389</v>
      </c>
      <c r="F1292" s="5" t="n">
        <f aca="false">IFERROR(__xludf.dummyfunction("""COMPUTED_VALUE"""),32760960)</f>
        <v>32760960</v>
      </c>
    </row>
    <row r="1293" customFormat="false" ht="15.75" hidden="false" customHeight="false" outlineLevel="0" collapsed="false">
      <c r="A1293" s="6" t="n">
        <f aca="false">IFERROR(__xludf.dummyfunction("""COMPUTED_VALUE"""),46078.6666666667)</f>
        <v>46078.6666666667</v>
      </c>
      <c r="B1293" s="5" t="n">
        <f aca="false">IFERROR(__xludf.dummyfunction("""COMPUTED_VALUE"""),390.53)</f>
        <v>390.53</v>
      </c>
      <c r="C1293" s="5" t="n">
        <f aca="false">IFERROR(__xludf.dummyfunction("""COMPUTED_VALUE"""),401.47)</f>
        <v>401.47</v>
      </c>
      <c r="D1293" s="5" t="n">
        <f aca="false">IFERROR(__xludf.dummyfunction("""COMPUTED_VALUE"""),390.16)</f>
        <v>390.16</v>
      </c>
      <c r="E1293" s="5" t="n">
        <f aca="false">IFERROR(__xludf.dummyfunction("""COMPUTED_VALUE"""),400.6)</f>
        <v>400.6</v>
      </c>
      <c r="F1293" s="5" t="n">
        <f aca="false">IFERROR(__xludf.dummyfunction("""COMPUTED_VALUE"""),42463802)</f>
        <v>42463802</v>
      </c>
    </row>
    <row r="1294" customFormat="false" ht="15.75" hidden="false" customHeight="false" outlineLevel="0" collapsed="false">
      <c r="A1294" s="6" t="n">
        <f aca="false">IFERROR(__xludf.dummyfunction("""COMPUTED_VALUE"""),46079.6666666667)</f>
        <v>46079.6666666667</v>
      </c>
      <c r="B1294" s="5" t="n">
        <f aca="false">IFERROR(__xludf.dummyfunction("""COMPUTED_VALUE"""),404.71)</f>
        <v>404.71</v>
      </c>
      <c r="C1294" s="5" t="n">
        <f aca="false">IFERROR(__xludf.dummyfunction("""COMPUTED_VALUE"""),407.49)</f>
        <v>407.49</v>
      </c>
      <c r="D1294" s="5" t="n">
        <f aca="false">IFERROR(__xludf.dummyfunction("""COMPUTED_VALUE"""),398.74)</f>
        <v>398.74</v>
      </c>
      <c r="E1294" s="5" t="n">
        <f aca="false">IFERROR(__xludf.dummyfunction("""COMPUTED_VALUE"""),401.72)</f>
        <v>401.72</v>
      </c>
      <c r="F1294" s="5" t="n">
        <f aca="false">IFERROR(__xludf.dummyfunction("""COMPUTED_VALUE"""),33560207)</f>
        <v>33560207</v>
      </c>
    </row>
    <row r="1295" customFormat="false" ht="15.75" hidden="false" customHeight="false" outlineLevel="0" collapsed="false">
      <c r="A1295" s="6" t="n">
        <f aca="false">IFERROR(__xludf.dummyfunction("""COMPUTED_VALUE"""),46080.6666666667)</f>
        <v>46080.6666666667</v>
      </c>
      <c r="B1295" s="5" t="n">
        <f aca="false">IFERROR(__xludf.dummyfunction("""COMPUTED_VALUE"""),390.88)</f>
        <v>390.88</v>
      </c>
      <c r="C1295" s="5" t="n">
        <f aca="false">IFERROR(__xludf.dummyfunction("""COMPUTED_VALUE"""),396.82)</f>
        <v>396.82</v>
      </c>
      <c r="D1295" s="5" t="n">
        <f aca="false">IFERROR(__xludf.dummyfunction("""COMPUTED_VALUE"""),389.88)</f>
        <v>389.88</v>
      </c>
      <c r="E1295" s="5" t="n">
        <f aca="false">IFERROR(__xludf.dummyfunction("""COMPUTED_VALUE"""),392.74)</f>
        <v>392.74</v>
      </c>
      <c r="F1295" s="5" t="n">
        <f aca="false">IFERROR(__xludf.dummyfunction("""COMPUTED_VALUE"""),50644411)</f>
        <v>50644411</v>
      </c>
    </row>
    <row r="1296" customFormat="false" ht="15.75" hidden="false" customHeight="false" outlineLevel="0" collapsed="false">
      <c r="A1296" s="6" t="n">
        <f aca="false">IFERROR(__xludf.dummyfunction("""COMPUTED_VALUE"""),46083.6666666667)</f>
        <v>46083.6666666667</v>
      </c>
      <c r="B1296" s="5" t="n">
        <f aca="false">IFERROR(__xludf.dummyfunction("""COMPUTED_VALUE"""),392.86)</f>
        <v>392.86</v>
      </c>
      <c r="C1296" s="5" t="n">
        <f aca="false">IFERROR(__xludf.dummyfunction("""COMPUTED_VALUE"""),401.19)</f>
        <v>401.19</v>
      </c>
      <c r="D1296" s="5" t="n">
        <f aca="false">IFERROR(__xludf.dummyfunction("""COMPUTED_VALUE"""),390.63)</f>
        <v>390.63</v>
      </c>
      <c r="E1296" s="5" t="n">
        <f aca="false">IFERROR(__xludf.dummyfunction("""COMPUTED_VALUE"""),398.55)</f>
        <v>398.55</v>
      </c>
      <c r="F1296" s="5" t="n">
        <f aca="false">IFERROR(__xludf.dummyfunction("""COMPUTED_VALUE"""),170402)</f>
        <v>170402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7.390625" defaultRowHeight="15.75" customHeight="true" zeroHeight="false" outlineLevelRow="0" outlineLevelCol="0"/>
  <cols>
    <col collapsed="false" customWidth="false" hidden="false" outlineLevel="0" max="16384" min="1" style="1" width="17.39"/>
  </cols>
  <sheetData>
    <row r="1" customFormat="false" ht="15.75" hidden="false" customHeight="false" outlineLevel="0" collapsed="false">
      <c r="A1" s="2" t="str">
        <f aca="false">IFERROR(__xludf.dummyfunction("GOOGLEFINANCE(""AMZN"" , ""ALL"" , DATE(2021,1,1) , TODAY())"),"Date")</f>
        <v>Date</v>
      </c>
      <c r="B1" s="2" t="str">
        <f aca="false">IFERROR(__xludf.dummyfunction("""COMPUTED_VALUE"""),"Open")</f>
        <v>Open</v>
      </c>
      <c r="C1" s="2" t="str">
        <f aca="false">IFERROR(__xludf.dummyfunction("""COMPUTED_VALUE"""),"High")</f>
        <v>High</v>
      </c>
      <c r="D1" s="2" t="str">
        <f aca="false">IFERROR(__xludf.dummyfunction("""COMPUTED_VALUE"""),"Low")</f>
        <v>Low</v>
      </c>
      <c r="E1" s="2" t="str">
        <f aca="false">IFERROR(__xludf.dummyfunction("""COMPUTED_VALUE"""),"Close")</f>
        <v>Close</v>
      </c>
      <c r="F1" s="2" t="str">
        <f aca="false">IFERROR(__xludf.dummyfunction("""COMPUTED_VALUE"""),"Volume")</f>
        <v>Volume</v>
      </c>
    </row>
    <row r="2" customFormat="false" ht="15.75" hidden="false" customHeight="false" outlineLevel="0" collapsed="false">
      <c r="A2" s="3" t="n">
        <f aca="false">IFERROR(__xludf.dummyfunction("""COMPUTED_VALUE"""),44200.6666666667)</f>
        <v>44200.6666666667</v>
      </c>
      <c r="B2" s="2" t="n">
        <f aca="false">IFERROR(__xludf.dummyfunction("""COMPUTED_VALUE"""),163.5)</f>
        <v>163.5</v>
      </c>
      <c r="C2" s="2" t="n">
        <f aca="false">IFERROR(__xludf.dummyfunction("""COMPUTED_VALUE"""),163.6)</f>
        <v>163.6</v>
      </c>
      <c r="D2" s="2" t="n">
        <f aca="false">IFERROR(__xludf.dummyfunction("""COMPUTED_VALUE"""),157.2)</f>
        <v>157.2</v>
      </c>
      <c r="E2" s="2" t="n">
        <f aca="false">IFERROR(__xludf.dummyfunction("""COMPUTED_VALUE"""),159.33)</f>
        <v>159.33</v>
      </c>
      <c r="F2" s="2" t="n">
        <f aca="false">IFERROR(__xludf.dummyfunction("""COMPUTED_VALUE"""),4411449)</f>
        <v>4411449</v>
      </c>
    </row>
    <row r="3" customFormat="false" ht="15.75" hidden="false" customHeight="false" outlineLevel="0" collapsed="false">
      <c r="A3" s="3" t="n">
        <f aca="false">IFERROR(__xludf.dummyfunction("""COMPUTED_VALUE"""),44201.6666666667)</f>
        <v>44201.6666666667</v>
      </c>
      <c r="B3" s="2" t="n">
        <f aca="false">IFERROR(__xludf.dummyfunction("""COMPUTED_VALUE"""),158.3)</f>
        <v>158.3</v>
      </c>
      <c r="C3" s="2" t="n">
        <f aca="false">IFERROR(__xludf.dummyfunction("""COMPUTED_VALUE"""),161.17)</f>
        <v>161.17</v>
      </c>
      <c r="D3" s="2" t="n">
        <f aca="false">IFERROR(__xludf.dummyfunction("""COMPUTED_VALUE"""),158.25)</f>
        <v>158.25</v>
      </c>
      <c r="E3" s="2" t="n">
        <f aca="false">IFERROR(__xludf.dummyfunction("""COMPUTED_VALUE"""),160.93)</f>
        <v>160.93</v>
      </c>
      <c r="F3" s="2" t="n">
        <f aca="false">IFERROR(__xludf.dummyfunction("""COMPUTED_VALUE"""),2655548)</f>
        <v>2655548</v>
      </c>
    </row>
    <row r="4" customFormat="false" ht="15.75" hidden="false" customHeight="false" outlineLevel="0" collapsed="false">
      <c r="A4" s="3" t="n">
        <f aca="false">IFERROR(__xludf.dummyfunction("""COMPUTED_VALUE"""),44202.6666666667)</f>
        <v>44202.6666666667</v>
      </c>
      <c r="B4" s="2" t="n">
        <f aca="false">IFERROR(__xludf.dummyfunction("""COMPUTED_VALUE"""),157.32)</f>
        <v>157.32</v>
      </c>
      <c r="C4" s="2" t="n">
        <f aca="false">IFERROR(__xludf.dummyfunction("""COMPUTED_VALUE"""),159.88)</f>
        <v>159.88</v>
      </c>
      <c r="D4" s="2" t="n">
        <f aca="false">IFERROR(__xludf.dummyfunction("""COMPUTED_VALUE"""),156.56)</f>
        <v>156.56</v>
      </c>
      <c r="E4" s="2" t="n">
        <f aca="false">IFERROR(__xludf.dummyfunction("""COMPUTED_VALUE"""),156.92)</f>
        <v>156.92</v>
      </c>
      <c r="F4" s="2" t="n">
        <f aca="false">IFERROR(__xludf.dummyfunction("""COMPUTED_VALUE"""),4394815)</f>
        <v>4394815</v>
      </c>
    </row>
    <row r="5" customFormat="false" ht="15.75" hidden="false" customHeight="false" outlineLevel="0" collapsed="false">
      <c r="A5" s="3" t="n">
        <f aca="false">IFERROR(__xludf.dummyfunction("""COMPUTED_VALUE"""),44203.6666666667)</f>
        <v>44203.6666666667</v>
      </c>
      <c r="B5" s="2" t="n">
        <f aca="false">IFERROR(__xludf.dummyfunction("""COMPUTED_VALUE"""),157.85)</f>
        <v>157.85</v>
      </c>
      <c r="C5" s="2" t="n">
        <f aca="false">IFERROR(__xludf.dummyfunction("""COMPUTED_VALUE"""),160.43)</f>
        <v>160.43</v>
      </c>
      <c r="D5" s="2" t="n">
        <f aca="false">IFERROR(__xludf.dummyfunction("""COMPUTED_VALUE"""),157.75)</f>
        <v>157.75</v>
      </c>
      <c r="E5" s="2" t="n">
        <f aca="false">IFERROR(__xludf.dummyfunction("""COMPUTED_VALUE"""),158.11)</f>
        <v>158.11</v>
      </c>
      <c r="F5" s="2" t="n">
        <f aca="false">IFERROR(__xludf.dummyfunction("""COMPUTED_VALUE"""),3514545)</f>
        <v>3514545</v>
      </c>
    </row>
    <row r="6" customFormat="false" ht="15.75" hidden="false" customHeight="false" outlineLevel="0" collapsed="false">
      <c r="A6" s="3" t="n">
        <f aca="false">IFERROR(__xludf.dummyfunction("""COMPUTED_VALUE"""),44204.6666666667)</f>
        <v>44204.6666666667</v>
      </c>
      <c r="B6" s="2" t="n">
        <f aca="false">IFERROR(__xludf.dummyfunction("""COMPUTED_VALUE"""),159)</f>
        <v>159</v>
      </c>
      <c r="C6" s="2" t="n">
        <f aca="false">IFERROR(__xludf.dummyfunction("""COMPUTED_VALUE"""),159.53)</f>
        <v>159.53</v>
      </c>
      <c r="D6" s="2" t="n">
        <f aca="false">IFERROR(__xludf.dummyfunction("""COMPUTED_VALUE"""),157.11)</f>
        <v>157.11</v>
      </c>
      <c r="E6" s="2" t="n">
        <f aca="false">IFERROR(__xludf.dummyfunction("""COMPUTED_VALUE"""),159.14)</f>
        <v>159.14</v>
      </c>
      <c r="F6" s="2" t="n">
        <f aca="false">IFERROR(__xludf.dummyfunction("""COMPUTED_VALUE"""),3537744)</f>
        <v>3537744</v>
      </c>
    </row>
    <row r="7" customFormat="false" ht="15.75" hidden="false" customHeight="false" outlineLevel="0" collapsed="false">
      <c r="A7" s="3" t="n">
        <f aca="false">IFERROR(__xludf.dummyfunction("""COMPUTED_VALUE"""),44207.6666666667)</f>
        <v>44207.6666666667</v>
      </c>
      <c r="B7" s="2" t="n">
        <f aca="false">IFERROR(__xludf.dummyfunction("""COMPUTED_VALUE"""),157.4)</f>
        <v>157.4</v>
      </c>
      <c r="C7" s="2" t="n">
        <f aca="false">IFERROR(__xludf.dummyfunction("""COMPUTED_VALUE"""),157.82)</f>
        <v>157.82</v>
      </c>
      <c r="D7" s="2" t="n">
        <f aca="false">IFERROR(__xludf.dummyfunction("""COMPUTED_VALUE"""),155.5)</f>
        <v>155.5</v>
      </c>
      <c r="E7" s="2" t="n">
        <f aca="false">IFERROR(__xludf.dummyfunction("""COMPUTED_VALUE"""),155.71)</f>
        <v>155.71</v>
      </c>
      <c r="F7" s="2" t="n">
        <f aca="false">IFERROR(__xludf.dummyfunction("""COMPUTED_VALUE"""),3669095)</f>
        <v>3669095</v>
      </c>
    </row>
    <row r="8" customFormat="false" ht="15.75" hidden="false" customHeight="false" outlineLevel="0" collapsed="false">
      <c r="A8" s="3" t="n">
        <f aca="false">IFERROR(__xludf.dummyfunction("""COMPUTED_VALUE"""),44208.6666666667)</f>
        <v>44208.6666666667</v>
      </c>
      <c r="B8" s="2" t="n">
        <f aca="false">IFERROR(__xludf.dummyfunction("""COMPUTED_VALUE"""),156)</f>
        <v>156</v>
      </c>
      <c r="C8" s="2" t="n">
        <f aca="false">IFERROR(__xludf.dummyfunction("""COMPUTED_VALUE"""),157.11)</f>
        <v>157.11</v>
      </c>
      <c r="D8" s="2" t="n">
        <f aca="false">IFERROR(__xludf.dummyfunction("""COMPUTED_VALUE"""),154.3)</f>
        <v>154.3</v>
      </c>
      <c r="E8" s="2" t="n">
        <f aca="false">IFERROR(__xludf.dummyfunction("""COMPUTED_VALUE"""),156.04)</f>
        <v>156.04</v>
      </c>
      <c r="F8" s="2" t="n">
        <f aca="false">IFERROR(__xludf.dummyfunction("""COMPUTED_VALUE"""),3514582)</f>
        <v>3514582</v>
      </c>
    </row>
    <row r="9" customFormat="false" ht="15.75" hidden="false" customHeight="false" outlineLevel="0" collapsed="false">
      <c r="A9" s="3" t="n">
        <f aca="false">IFERROR(__xludf.dummyfunction("""COMPUTED_VALUE"""),44209.6666666667)</f>
        <v>44209.6666666667</v>
      </c>
      <c r="B9" s="2" t="n">
        <f aca="false">IFERROR(__xludf.dummyfunction("""COMPUTED_VALUE"""),156.42)</f>
        <v>156.42</v>
      </c>
      <c r="C9" s="2" t="n">
        <f aca="false">IFERROR(__xludf.dummyfunction("""COMPUTED_VALUE"""),159.5)</f>
        <v>159.5</v>
      </c>
      <c r="D9" s="2" t="n">
        <f aca="false">IFERROR(__xludf.dummyfunction("""COMPUTED_VALUE"""),156.1)</f>
        <v>156.1</v>
      </c>
      <c r="E9" s="2" t="n">
        <f aca="false">IFERROR(__xludf.dummyfunction("""COMPUTED_VALUE"""),158.29)</f>
        <v>158.29</v>
      </c>
      <c r="F9" s="2" t="n">
        <f aca="false">IFERROR(__xludf.dummyfunction("""COMPUTED_VALUE"""),3321244)</f>
        <v>3321244</v>
      </c>
    </row>
    <row r="10" customFormat="false" ht="15.75" hidden="false" customHeight="false" outlineLevel="0" collapsed="false">
      <c r="A10" s="3" t="n">
        <f aca="false">IFERROR(__xludf.dummyfunction("""COMPUTED_VALUE"""),44210.6666666667)</f>
        <v>44210.6666666667</v>
      </c>
      <c r="B10" s="2" t="n">
        <f aca="false">IFERROR(__xludf.dummyfunction("""COMPUTED_VALUE"""),158.38)</f>
        <v>158.38</v>
      </c>
      <c r="C10" s="2" t="n">
        <f aca="false">IFERROR(__xludf.dummyfunction("""COMPUTED_VALUE"""),158.9)</f>
        <v>158.9</v>
      </c>
      <c r="D10" s="2" t="n">
        <f aca="false">IFERROR(__xludf.dummyfunction("""COMPUTED_VALUE"""),156.03)</f>
        <v>156.03</v>
      </c>
      <c r="E10" s="2" t="n">
        <f aca="false">IFERROR(__xludf.dummyfunction("""COMPUTED_VALUE"""),156.37)</f>
        <v>156.37</v>
      </c>
      <c r="F10" s="2" t="n">
        <f aca="false">IFERROR(__xludf.dummyfunction("""COMPUTED_VALUE"""),3070919)</f>
        <v>3070919</v>
      </c>
    </row>
    <row r="11" customFormat="false" ht="15.75" hidden="false" customHeight="false" outlineLevel="0" collapsed="false">
      <c r="A11" s="3" t="n">
        <f aca="false">IFERROR(__xludf.dummyfunction("""COMPUTED_VALUE"""),44211.6666666667)</f>
        <v>44211.6666666667</v>
      </c>
      <c r="B11" s="2" t="n">
        <f aca="false">IFERROR(__xludf.dummyfunction("""COMPUTED_VALUE"""),156.15)</f>
        <v>156.15</v>
      </c>
      <c r="C11" s="2" t="n">
        <f aca="false">IFERROR(__xludf.dummyfunction("""COMPUTED_VALUE"""),157.13)</f>
        <v>157.13</v>
      </c>
      <c r="D11" s="2" t="n">
        <f aca="false">IFERROR(__xludf.dummyfunction("""COMPUTED_VALUE"""),154.76)</f>
        <v>154.76</v>
      </c>
      <c r="E11" s="2" t="n">
        <f aca="false">IFERROR(__xludf.dummyfunction("""COMPUTED_VALUE"""),155.21)</f>
        <v>155.21</v>
      </c>
      <c r="F11" s="2" t="n">
        <f aca="false">IFERROR(__xludf.dummyfunction("""COMPUTED_VALUE"""),4243995)</f>
        <v>4243995</v>
      </c>
    </row>
    <row r="12" customFormat="false" ht="15.75" hidden="false" customHeight="false" outlineLevel="0" collapsed="false">
      <c r="A12" s="3" t="n">
        <f aca="false">IFERROR(__xludf.dummyfunction("""COMPUTED_VALUE"""),44215.6666666667)</f>
        <v>44215.6666666667</v>
      </c>
      <c r="B12" s="2" t="n">
        <f aca="false">IFERROR(__xludf.dummyfunction("""COMPUTED_VALUE"""),155.35)</f>
        <v>155.35</v>
      </c>
      <c r="C12" s="2" t="n">
        <f aca="false">IFERROR(__xludf.dummyfunction("""COMPUTED_VALUE"""),157.25)</f>
        <v>157.25</v>
      </c>
      <c r="D12" s="2" t="n">
        <f aca="false">IFERROR(__xludf.dummyfunction("""COMPUTED_VALUE"""),154.8)</f>
        <v>154.8</v>
      </c>
      <c r="E12" s="2" t="n">
        <f aca="false">IFERROR(__xludf.dummyfunction("""COMPUTED_VALUE"""),156.04)</f>
        <v>156.04</v>
      </c>
      <c r="F12" s="2" t="n">
        <f aca="false">IFERROR(__xludf.dummyfunction("""COMPUTED_VALUE"""),3305142)</f>
        <v>3305142</v>
      </c>
    </row>
    <row r="13" customFormat="false" ht="15.75" hidden="false" customHeight="false" outlineLevel="0" collapsed="false">
      <c r="A13" s="3" t="n">
        <f aca="false">IFERROR(__xludf.dummyfunction("""COMPUTED_VALUE"""),44216.6666666667)</f>
        <v>44216.6666666667</v>
      </c>
      <c r="B13" s="2" t="n">
        <f aca="false">IFERROR(__xludf.dummyfunction("""COMPUTED_VALUE"""),159.1)</f>
        <v>159.1</v>
      </c>
      <c r="C13" s="2" t="n">
        <f aca="false">IFERROR(__xludf.dummyfunction("""COMPUTED_VALUE"""),163.99)</f>
        <v>163.99</v>
      </c>
      <c r="D13" s="2" t="n">
        <f aca="false">IFERROR(__xludf.dummyfunction("""COMPUTED_VALUE"""),158.75)</f>
        <v>158.75</v>
      </c>
      <c r="E13" s="2" t="n">
        <f aca="false">IFERROR(__xludf.dummyfunction("""COMPUTED_VALUE"""),163.17)</f>
        <v>163.17</v>
      </c>
      <c r="F13" s="2" t="n">
        <f aca="false">IFERROR(__xludf.dummyfunction("""COMPUTED_VALUE"""),5309835)</f>
        <v>5309835</v>
      </c>
    </row>
    <row r="14" customFormat="false" ht="15.75" hidden="false" customHeight="false" outlineLevel="0" collapsed="false">
      <c r="A14" s="3" t="n">
        <f aca="false">IFERROR(__xludf.dummyfunction("""COMPUTED_VALUE"""),44217.6666666667)</f>
        <v>44217.6666666667</v>
      </c>
      <c r="B14" s="2" t="n">
        <f aca="false">IFERROR(__xludf.dummyfunction("""COMPUTED_VALUE"""),164.65)</f>
        <v>164.65</v>
      </c>
      <c r="C14" s="2" t="n">
        <f aca="false">IFERROR(__xludf.dummyfunction("""COMPUTED_VALUE"""),167.43)</f>
        <v>167.43</v>
      </c>
      <c r="D14" s="2" t="n">
        <f aca="false">IFERROR(__xludf.dummyfunction("""COMPUTED_VALUE"""),164.48)</f>
        <v>164.48</v>
      </c>
      <c r="E14" s="2" t="n">
        <f aca="false">IFERROR(__xludf.dummyfunction("""COMPUTED_VALUE"""),165.35)</f>
        <v>165.35</v>
      </c>
      <c r="F14" s="2" t="n">
        <f aca="false">IFERROR(__xludf.dummyfunction("""COMPUTED_VALUE"""),4945051)</f>
        <v>4945051</v>
      </c>
    </row>
    <row r="15" customFormat="false" ht="15.75" hidden="false" customHeight="false" outlineLevel="0" collapsed="false">
      <c r="A15" s="3" t="n">
        <f aca="false">IFERROR(__xludf.dummyfunction("""COMPUTED_VALUE"""),44218.6666666667)</f>
        <v>44218.6666666667</v>
      </c>
      <c r="B15" s="2" t="n">
        <f aca="false">IFERROR(__xludf.dummyfunction("""COMPUTED_VALUE"""),165.22)</f>
        <v>165.22</v>
      </c>
      <c r="C15" s="2" t="n">
        <f aca="false">IFERROR(__xludf.dummyfunction("""COMPUTED_VALUE"""),166.1)</f>
        <v>166.1</v>
      </c>
      <c r="D15" s="2" t="n">
        <f aca="false">IFERROR(__xludf.dummyfunction("""COMPUTED_VALUE"""),164.16)</f>
        <v>164.16</v>
      </c>
      <c r="E15" s="2" t="n">
        <f aca="false">IFERROR(__xludf.dummyfunction("""COMPUTED_VALUE"""),164.61)</f>
        <v>164.61</v>
      </c>
      <c r="F15" s="2" t="n">
        <f aca="false">IFERROR(__xludf.dummyfunction("""COMPUTED_VALUE"""),2821914)</f>
        <v>2821914</v>
      </c>
    </row>
    <row r="16" customFormat="false" ht="15.75" hidden="false" customHeight="false" outlineLevel="0" collapsed="false">
      <c r="A16" s="3" t="n">
        <f aca="false">IFERROR(__xludf.dummyfunction("""COMPUTED_VALUE"""),44221.6666666667)</f>
        <v>44221.6666666667</v>
      </c>
      <c r="B16" s="2" t="n">
        <f aca="false">IFERROR(__xludf.dummyfunction("""COMPUTED_VALUE"""),166.43)</f>
        <v>166.43</v>
      </c>
      <c r="C16" s="2" t="n">
        <f aca="false">IFERROR(__xludf.dummyfunction("""COMPUTED_VALUE"""),168.19)</f>
        <v>168.19</v>
      </c>
      <c r="D16" s="2" t="n">
        <f aca="false">IFERROR(__xludf.dummyfunction("""COMPUTED_VALUE"""),162.16)</f>
        <v>162.16</v>
      </c>
      <c r="E16" s="2" t="n">
        <f aca="false">IFERROR(__xludf.dummyfunction("""COMPUTED_VALUE"""),164.7)</f>
        <v>164.7</v>
      </c>
      <c r="F16" s="2" t="n">
        <f aca="false">IFERROR(__xludf.dummyfunction("""COMPUTED_VALUE"""),3749758)</f>
        <v>3749758</v>
      </c>
    </row>
    <row r="17" customFormat="false" ht="15.75" hidden="false" customHeight="false" outlineLevel="0" collapsed="false">
      <c r="A17" s="3" t="n">
        <f aca="false">IFERROR(__xludf.dummyfunction("""COMPUTED_VALUE"""),44222.6666666667)</f>
        <v>44222.6666666667</v>
      </c>
      <c r="B17" s="2" t="n">
        <f aca="false">IFERROR(__xludf.dummyfunction("""COMPUTED_VALUE"""),164.82)</f>
        <v>164.82</v>
      </c>
      <c r="C17" s="2" t="n">
        <f aca="false">IFERROR(__xludf.dummyfunction("""COMPUTED_VALUE"""),166.9)</f>
        <v>166.9</v>
      </c>
      <c r="D17" s="2" t="n">
        <f aca="false">IFERROR(__xludf.dummyfunction("""COMPUTED_VALUE"""),164.14)</f>
        <v>164.14</v>
      </c>
      <c r="E17" s="2" t="n">
        <f aca="false">IFERROR(__xludf.dummyfunction("""COMPUTED_VALUE"""),166.31)</f>
        <v>166.31</v>
      </c>
      <c r="F17" s="2" t="n">
        <f aca="false">IFERROR(__xludf.dummyfunction("""COMPUTED_VALUE"""),2955235)</f>
        <v>2955235</v>
      </c>
    </row>
    <row r="18" customFormat="false" ht="15.75" hidden="false" customHeight="false" outlineLevel="0" collapsed="false">
      <c r="A18" s="3" t="n">
        <f aca="false">IFERROR(__xludf.dummyfunction("""COMPUTED_VALUE"""),44223.6666666667)</f>
        <v>44223.6666666667</v>
      </c>
      <c r="B18" s="2" t="n">
        <f aca="false">IFERROR(__xludf.dummyfunction("""COMPUTED_VALUE"""),167.07)</f>
        <v>167.07</v>
      </c>
      <c r="C18" s="2" t="n">
        <f aca="false">IFERROR(__xludf.dummyfunction("""COMPUTED_VALUE"""),167.33)</f>
        <v>167.33</v>
      </c>
      <c r="D18" s="2" t="n">
        <f aca="false">IFERROR(__xludf.dummyfunction("""COMPUTED_VALUE"""),160.35)</f>
        <v>160.35</v>
      </c>
      <c r="E18" s="2" t="n">
        <f aca="false">IFERROR(__xludf.dummyfunction("""COMPUTED_VALUE"""),161.63)</f>
        <v>161.63</v>
      </c>
      <c r="F18" s="2" t="n">
        <f aca="false">IFERROR(__xludf.dummyfunction("""COMPUTED_VALUE"""),4660158)</f>
        <v>4660158</v>
      </c>
    </row>
    <row r="19" customFormat="false" ht="15.75" hidden="false" customHeight="false" outlineLevel="0" collapsed="false">
      <c r="A19" s="3" t="n">
        <f aca="false">IFERROR(__xludf.dummyfunction("""COMPUTED_VALUE"""),44224.6666666667)</f>
        <v>44224.6666666667</v>
      </c>
      <c r="B19" s="2" t="n">
        <f aca="false">IFERROR(__xludf.dummyfunction("""COMPUTED_VALUE"""),161.75)</f>
        <v>161.75</v>
      </c>
      <c r="C19" s="2" t="n">
        <f aca="false">IFERROR(__xludf.dummyfunction("""COMPUTED_VALUE"""),165.08)</f>
        <v>165.08</v>
      </c>
      <c r="D19" s="2" t="n">
        <f aca="false">IFERROR(__xludf.dummyfunction("""COMPUTED_VALUE"""),161.43)</f>
        <v>161.43</v>
      </c>
      <c r="E19" s="2" t="n">
        <f aca="false">IFERROR(__xludf.dummyfunction("""COMPUTED_VALUE"""),161.88)</f>
        <v>161.88</v>
      </c>
      <c r="F19" s="2" t="n">
        <f aca="false">IFERROR(__xludf.dummyfunction("""COMPUTED_VALUE"""),3149228)</f>
        <v>3149228</v>
      </c>
    </row>
    <row r="20" customFormat="false" ht="15.75" hidden="false" customHeight="false" outlineLevel="0" collapsed="false">
      <c r="A20" s="3" t="n">
        <f aca="false">IFERROR(__xludf.dummyfunction("""COMPUTED_VALUE"""),44225.6666666667)</f>
        <v>44225.6666666667</v>
      </c>
      <c r="B20" s="2" t="n">
        <f aca="false">IFERROR(__xludf.dummyfunction("""COMPUTED_VALUE"""),161.5)</f>
        <v>161.5</v>
      </c>
      <c r="C20" s="2" t="n">
        <f aca="false">IFERROR(__xludf.dummyfunction("""COMPUTED_VALUE"""),161.85)</f>
        <v>161.85</v>
      </c>
      <c r="D20" s="2" t="n">
        <f aca="false">IFERROR(__xludf.dummyfunction("""COMPUTED_VALUE"""),159.23)</f>
        <v>159.23</v>
      </c>
      <c r="E20" s="2" t="n">
        <f aca="false">IFERROR(__xludf.dummyfunction("""COMPUTED_VALUE"""),160.31)</f>
        <v>160.31</v>
      </c>
      <c r="F20" s="2" t="n">
        <f aca="false">IFERROR(__xludf.dummyfunction("""COMPUTED_VALUE"""),4293556)</f>
        <v>4293556</v>
      </c>
    </row>
    <row r="21" customFormat="false" ht="15.75" hidden="false" customHeight="false" outlineLevel="0" collapsed="false">
      <c r="A21" s="3" t="n">
        <f aca="false">IFERROR(__xludf.dummyfunction("""COMPUTED_VALUE"""),44228.6666666667)</f>
        <v>44228.6666666667</v>
      </c>
      <c r="B21" s="2" t="n">
        <f aca="false">IFERROR(__xludf.dummyfunction("""COMPUTED_VALUE"""),162.12)</f>
        <v>162.12</v>
      </c>
      <c r="C21" s="2" t="n">
        <f aca="false">IFERROR(__xludf.dummyfunction("""COMPUTED_VALUE"""),167.51)</f>
        <v>167.51</v>
      </c>
      <c r="D21" s="2" t="n">
        <f aca="false">IFERROR(__xludf.dummyfunction("""COMPUTED_VALUE"""),161.75)</f>
        <v>161.75</v>
      </c>
      <c r="E21" s="2" t="n">
        <f aca="false">IFERROR(__xludf.dummyfunction("""COMPUTED_VALUE"""),167.14)</f>
        <v>167.14</v>
      </c>
      <c r="F21" s="2" t="n">
        <f aca="false">IFERROR(__xludf.dummyfunction("""COMPUTED_VALUE"""),4160212)</f>
        <v>4160212</v>
      </c>
    </row>
    <row r="22" customFormat="false" ht="15.75" hidden="false" customHeight="false" outlineLevel="0" collapsed="false">
      <c r="A22" s="3" t="n">
        <f aca="false">IFERROR(__xludf.dummyfunction("""COMPUTED_VALUE"""),44229.6666666667)</f>
        <v>44229.6666666667</v>
      </c>
      <c r="B22" s="2" t="n">
        <f aca="false">IFERROR(__xludf.dummyfunction("""COMPUTED_VALUE"""),169)</f>
        <v>169</v>
      </c>
      <c r="C22" s="2" t="n">
        <f aca="false">IFERROR(__xludf.dummyfunction("""COMPUTED_VALUE"""),171.39)</f>
        <v>171.39</v>
      </c>
      <c r="D22" s="2" t="n">
        <f aca="false">IFERROR(__xludf.dummyfunction("""COMPUTED_VALUE"""),168.06)</f>
        <v>168.06</v>
      </c>
      <c r="E22" s="2" t="n">
        <f aca="false">IFERROR(__xludf.dummyfunction("""COMPUTED_VALUE"""),169)</f>
        <v>169</v>
      </c>
      <c r="F22" s="2" t="n">
        <f aca="false">IFERROR(__xludf.dummyfunction("""COMPUTED_VALUE"""),7098637)</f>
        <v>7098637</v>
      </c>
    </row>
    <row r="23" customFormat="false" ht="15.75" hidden="false" customHeight="false" outlineLevel="0" collapsed="false">
      <c r="A23" s="3" t="n">
        <f aca="false">IFERROR(__xludf.dummyfunction("""COMPUTED_VALUE"""),44230.6666666667)</f>
        <v>44230.6666666667</v>
      </c>
      <c r="B23" s="2" t="n">
        <f aca="false">IFERROR(__xludf.dummyfunction("""COMPUTED_VALUE"""),171.25)</f>
        <v>171.25</v>
      </c>
      <c r="C23" s="2" t="n">
        <f aca="false">IFERROR(__xludf.dummyfunction("""COMPUTED_VALUE"""),171.7)</f>
        <v>171.7</v>
      </c>
      <c r="D23" s="2" t="n">
        <f aca="false">IFERROR(__xludf.dummyfunction("""COMPUTED_VALUE"""),165.43)</f>
        <v>165.43</v>
      </c>
      <c r="E23" s="2" t="n">
        <f aca="false">IFERROR(__xludf.dummyfunction("""COMPUTED_VALUE"""),165.63)</f>
        <v>165.63</v>
      </c>
      <c r="F23" s="2" t="n">
        <f aca="false">IFERROR(__xludf.dummyfunction("""COMPUTED_VALUE"""),7088781)</f>
        <v>7088781</v>
      </c>
    </row>
    <row r="24" customFormat="false" ht="15.75" hidden="false" customHeight="false" outlineLevel="0" collapsed="false">
      <c r="A24" s="3" t="n">
        <f aca="false">IFERROR(__xludf.dummyfunction("""COMPUTED_VALUE"""),44231.6666666667)</f>
        <v>44231.6666666667</v>
      </c>
      <c r="B24" s="2" t="n">
        <f aca="false">IFERROR(__xludf.dummyfunction("""COMPUTED_VALUE"""),166.5)</f>
        <v>166.5</v>
      </c>
      <c r="C24" s="2" t="n">
        <f aca="false">IFERROR(__xludf.dummyfunction("""COMPUTED_VALUE"""),167.35)</f>
        <v>167.35</v>
      </c>
      <c r="D24" s="2" t="n">
        <f aca="false">IFERROR(__xludf.dummyfunction("""COMPUTED_VALUE"""),163.89)</f>
        <v>163.89</v>
      </c>
      <c r="E24" s="2" t="n">
        <f aca="false">IFERROR(__xludf.dummyfunction("""COMPUTED_VALUE"""),166.55)</f>
        <v>166.55</v>
      </c>
      <c r="F24" s="2" t="n">
        <f aca="false">IFERROR(__xludf.dummyfunction("""COMPUTED_VALUE"""),3670661)</f>
        <v>3670661</v>
      </c>
    </row>
    <row r="25" customFormat="false" ht="15.75" hidden="false" customHeight="false" outlineLevel="0" collapsed="false">
      <c r="A25" s="3" t="n">
        <f aca="false">IFERROR(__xludf.dummyfunction("""COMPUTED_VALUE"""),44232.6666666667)</f>
        <v>44232.6666666667</v>
      </c>
      <c r="B25" s="2" t="n">
        <f aca="false">IFERROR(__xludf.dummyfunction("""COMPUTED_VALUE"""),165.95)</f>
        <v>165.95</v>
      </c>
      <c r="C25" s="2" t="n">
        <f aca="false">IFERROR(__xludf.dummyfunction("""COMPUTED_VALUE"""),168.85)</f>
        <v>168.85</v>
      </c>
      <c r="D25" s="2" t="n">
        <f aca="false">IFERROR(__xludf.dummyfunction("""COMPUTED_VALUE"""),165.14)</f>
        <v>165.14</v>
      </c>
      <c r="E25" s="2" t="n">
        <f aca="false">IFERROR(__xludf.dummyfunction("""COMPUTED_VALUE"""),167.61)</f>
        <v>167.61</v>
      </c>
      <c r="F25" s="2" t="n">
        <f aca="false">IFERROR(__xludf.dummyfunction("""COMPUTED_VALUE"""),3620808)</f>
        <v>3620808</v>
      </c>
    </row>
    <row r="26" customFormat="false" ht="15.75" hidden="false" customHeight="false" outlineLevel="0" collapsed="false">
      <c r="A26" s="3" t="n">
        <f aca="false">IFERROR(__xludf.dummyfunction("""COMPUTED_VALUE"""),44235.6666666667)</f>
        <v>44235.6666666667</v>
      </c>
      <c r="B26" s="2" t="n">
        <f aca="false">IFERROR(__xludf.dummyfunction("""COMPUTED_VALUE"""),167.93)</f>
        <v>167.93</v>
      </c>
      <c r="C26" s="2" t="n">
        <f aca="false">IFERROR(__xludf.dummyfunction("""COMPUTED_VALUE"""),168.25)</f>
        <v>168.25</v>
      </c>
      <c r="D26" s="2" t="n">
        <f aca="false">IFERROR(__xludf.dummyfunction("""COMPUTED_VALUE"""),165.2)</f>
        <v>165.2</v>
      </c>
      <c r="E26" s="2" t="n">
        <f aca="false">IFERROR(__xludf.dummyfunction("""COMPUTED_VALUE"""),166.15)</f>
        <v>166.15</v>
      </c>
      <c r="F26" s="2" t="n">
        <f aca="false">IFERROR(__xludf.dummyfunction("""COMPUTED_VALUE"""),3257391)</f>
        <v>3257391</v>
      </c>
    </row>
    <row r="27" customFormat="false" ht="15.75" hidden="false" customHeight="false" outlineLevel="0" collapsed="false">
      <c r="A27" s="3" t="n">
        <f aca="false">IFERROR(__xludf.dummyfunction("""COMPUTED_VALUE"""),44236.6666666667)</f>
        <v>44236.6666666667</v>
      </c>
      <c r="B27" s="2" t="n">
        <f aca="false">IFERROR(__xludf.dummyfunction("""COMPUTED_VALUE"""),165.62)</f>
        <v>165.62</v>
      </c>
      <c r="C27" s="2" t="n">
        <f aca="false">IFERROR(__xludf.dummyfunction("""COMPUTED_VALUE"""),166.9)</f>
        <v>166.9</v>
      </c>
      <c r="D27" s="2" t="n">
        <f aca="false">IFERROR(__xludf.dummyfunction("""COMPUTED_VALUE"""),164.89)</f>
        <v>164.89</v>
      </c>
      <c r="E27" s="2" t="n">
        <f aca="false">IFERROR(__xludf.dummyfunction("""COMPUTED_VALUE"""),165.25)</f>
        <v>165.25</v>
      </c>
      <c r="F27" s="2" t="n">
        <f aca="false">IFERROR(__xludf.dummyfunction("""COMPUTED_VALUE"""),2203526)</f>
        <v>2203526</v>
      </c>
    </row>
    <row r="28" customFormat="false" ht="15.75" hidden="false" customHeight="false" outlineLevel="0" collapsed="false">
      <c r="A28" s="3" t="n">
        <f aca="false">IFERROR(__xludf.dummyfunction("""COMPUTED_VALUE"""),44237.6666666667)</f>
        <v>44237.6666666667</v>
      </c>
      <c r="B28" s="2" t="n">
        <f aca="false">IFERROR(__xludf.dummyfunction("""COMPUTED_VALUE"""),165.7)</f>
        <v>165.7</v>
      </c>
      <c r="C28" s="2" t="n">
        <f aca="false">IFERROR(__xludf.dummyfunction("""COMPUTED_VALUE"""),165.9)</f>
        <v>165.9</v>
      </c>
      <c r="D28" s="2" t="n">
        <f aca="false">IFERROR(__xludf.dummyfunction("""COMPUTED_VALUE"""),162.7)</f>
        <v>162.7</v>
      </c>
      <c r="E28" s="2" t="n">
        <f aca="false">IFERROR(__xludf.dummyfunction("""COMPUTED_VALUE"""),164.33)</f>
        <v>164.33</v>
      </c>
      <c r="F28" s="2" t="n">
        <f aca="false">IFERROR(__xludf.dummyfunction("""COMPUTED_VALUE"""),3151550)</f>
        <v>3151550</v>
      </c>
    </row>
    <row r="29" customFormat="false" ht="15.75" hidden="false" customHeight="false" outlineLevel="0" collapsed="false">
      <c r="A29" s="3" t="n">
        <f aca="false">IFERROR(__xludf.dummyfunction("""COMPUTED_VALUE"""),44238.6666666667)</f>
        <v>44238.6666666667</v>
      </c>
      <c r="B29" s="2" t="n">
        <f aca="false">IFERROR(__xludf.dummyfunction("""COMPUTED_VALUE"""),164.6)</f>
        <v>164.6</v>
      </c>
      <c r="C29" s="2" t="n">
        <f aca="false">IFERROR(__xludf.dummyfunction("""COMPUTED_VALUE"""),164.6)</f>
        <v>164.6</v>
      </c>
      <c r="D29" s="2" t="n">
        <f aca="false">IFERROR(__xludf.dummyfunction("""COMPUTED_VALUE"""),162.4)</f>
        <v>162.4</v>
      </c>
      <c r="E29" s="2" t="n">
        <f aca="false">IFERROR(__xludf.dummyfunction("""COMPUTED_VALUE"""),163.11)</f>
        <v>163.11</v>
      </c>
      <c r="F29" s="2" t="n">
        <f aca="false">IFERROR(__xludf.dummyfunction("""COMPUTED_VALUE"""),2301417)</f>
        <v>2301417</v>
      </c>
    </row>
    <row r="30" customFormat="false" ht="15.75" hidden="false" customHeight="false" outlineLevel="0" collapsed="false">
      <c r="A30" s="3" t="n">
        <f aca="false">IFERROR(__xludf.dummyfunction("""COMPUTED_VALUE"""),44239.6666666667)</f>
        <v>44239.6666666667</v>
      </c>
      <c r="B30" s="2" t="n">
        <f aca="false">IFERROR(__xludf.dummyfunction("""COMPUTED_VALUE"""),162.5)</f>
        <v>162.5</v>
      </c>
      <c r="C30" s="2" t="n">
        <f aca="false">IFERROR(__xludf.dummyfunction("""COMPUTED_VALUE"""),164.01)</f>
        <v>164.01</v>
      </c>
      <c r="D30" s="2" t="n">
        <f aca="false">IFERROR(__xludf.dummyfunction("""COMPUTED_VALUE"""),161.67)</f>
        <v>161.67</v>
      </c>
      <c r="E30" s="2" t="n">
        <f aca="false">IFERROR(__xludf.dummyfunction("""COMPUTED_VALUE"""),163.89)</f>
        <v>163.89</v>
      </c>
      <c r="F30" s="2" t="n">
        <f aca="false">IFERROR(__xludf.dummyfunction("""COMPUTED_VALUE"""),2335339)</f>
        <v>2335339</v>
      </c>
    </row>
    <row r="31" customFormat="false" ht="15.75" hidden="false" customHeight="false" outlineLevel="0" collapsed="false">
      <c r="A31" s="3" t="n">
        <f aca="false">IFERROR(__xludf.dummyfunction("""COMPUTED_VALUE"""),44243.6666666667)</f>
        <v>44243.6666666667</v>
      </c>
      <c r="B31" s="2" t="n">
        <f aca="false">IFERROR(__xludf.dummyfunction("""COMPUTED_VALUE"""),162.7)</f>
        <v>162.7</v>
      </c>
      <c r="C31" s="2" t="n">
        <f aca="false">IFERROR(__xludf.dummyfunction("""COMPUTED_VALUE"""),165.42)</f>
        <v>165.42</v>
      </c>
      <c r="D31" s="2" t="n">
        <f aca="false">IFERROR(__xludf.dummyfunction("""COMPUTED_VALUE"""),162.68)</f>
        <v>162.68</v>
      </c>
      <c r="E31" s="2" t="n">
        <f aca="false">IFERROR(__xludf.dummyfunction("""COMPUTED_VALUE"""),163.45)</f>
        <v>163.45</v>
      </c>
      <c r="F31" s="2" t="n">
        <f aca="false">IFERROR(__xludf.dummyfunction("""COMPUTED_VALUE"""),2574721)</f>
        <v>2574721</v>
      </c>
    </row>
    <row r="32" customFormat="false" ht="15.75" hidden="false" customHeight="false" outlineLevel="0" collapsed="false">
      <c r="A32" s="3" t="n">
        <f aca="false">IFERROR(__xludf.dummyfunction("""COMPUTED_VALUE"""),44244.6666666667)</f>
        <v>44244.6666666667</v>
      </c>
      <c r="B32" s="2" t="n">
        <f aca="false">IFERROR(__xludf.dummyfunction("""COMPUTED_VALUE"""),163.18)</f>
        <v>163.18</v>
      </c>
      <c r="C32" s="2" t="n">
        <f aca="false">IFERROR(__xludf.dummyfunction("""COMPUTED_VALUE"""),166.05)</f>
        <v>166.05</v>
      </c>
      <c r="D32" s="2" t="n">
        <f aca="false">IFERROR(__xludf.dummyfunction("""COMPUTED_VALUE"""),162.97)</f>
        <v>162.97</v>
      </c>
      <c r="E32" s="2" t="n">
        <f aca="false">IFERROR(__xludf.dummyfunction("""COMPUTED_VALUE"""),165.43)</f>
        <v>165.43</v>
      </c>
      <c r="F32" s="2" t="n">
        <f aca="false">IFERROR(__xludf.dummyfunction("""COMPUTED_VALUE"""),3302099)</f>
        <v>3302099</v>
      </c>
    </row>
    <row r="33" customFormat="false" ht="15.75" hidden="false" customHeight="false" outlineLevel="0" collapsed="false">
      <c r="A33" s="3" t="n">
        <f aca="false">IFERROR(__xludf.dummyfunction("""COMPUTED_VALUE"""),44245.6666666667)</f>
        <v>44245.6666666667</v>
      </c>
      <c r="B33" s="2" t="n">
        <f aca="false">IFERROR(__xludf.dummyfunction("""COMPUTED_VALUE"""),164.12)</f>
        <v>164.12</v>
      </c>
      <c r="C33" s="2" t="n">
        <f aca="false">IFERROR(__xludf.dummyfunction("""COMPUTED_VALUE"""),166.9)</f>
        <v>166.9</v>
      </c>
      <c r="D33" s="2" t="n">
        <f aca="false">IFERROR(__xludf.dummyfunction("""COMPUTED_VALUE"""),163.7)</f>
        <v>163.7</v>
      </c>
      <c r="E33" s="2" t="n">
        <f aca="false">IFERROR(__xludf.dummyfunction("""COMPUTED_VALUE"""),166.41)</f>
        <v>166.41</v>
      </c>
      <c r="F33" s="2" t="n">
        <f aca="false">IFERROR(__xludf.dummyfunction("""COMPUTED_VALUE"""),3033607)</f>
        <v>3033607</v>
      </c>
    </row>
    <row r="34" customFormat="false" ht="15.75" hidden="false" customHeight="false" outlineLevel="0" collapsed="false">
      <c r="A34" s="3" t="n">
        <f aca="false">IFERROR(__xludf.dummyfunction("""COMPUTED_VALUE"""),44246.6666666667)</f>
        <v>44246.6666666667</v>
      </c>
      <c r="B34" s="2" t="n">
        <f aca="false">IFERROR(__xludf.dummyfunction("""COMPUTED_VALUE"""),166.41)</f>
        <v>166.41</v>
      </c>
      <c r="C34" s="2" t="n">
        <f aca="false">IFERROR(__xludf.dummyfunction("""COMPUTED_VALUE"""),166.68)</f>
        <v>166.68</v>
      </c>
      <c r="D34" s="2" t="n">
        <f aca="false">IFERROR(__xludf.dummyfunction("""COMPUTED_VALUE"""),162.29)</f>
        <v>162.29</v>
      </c>
      <c r="E34" s="2" t="n">
        <f aca="false">IFERROR(__xludf.dummyfunction("""COMPUTED_VALUE"""),162.5)</f>
        <v>162.5</v>
      </c>
      <c r="F34" s="2" t="n">
        <f aca="false">IFERROR(__xludf.dummyfunction("""COMPUTED_VALUE"""),4305184)</f>
        <v>4305184</v>
      </c>
    </row>
    <row r="35" customFormat="false" ht="15.75" hidden="false" customHeight="false" outlineLevel="0" collapsed="false">
      <c r="A35" s="3" t="n">
        <f aca="false">IFERROR(__xludf.dummyfunction("""COMPUTED_VALUE"""),44249.6666666667)</f>
        <v>44249.6666666667</v>
      </c>
      <c r="B35" s="2" t="n">
        <f aca="false">IFERROR(__xludf.dummyfunction("""COMPUTED_VALUE"""),160.41)</f>
        <v>160.41</v>
      </c>
      <c r="C35" s="2" t="n">
        <f aca="false">IFERROR(__xludf.dummyfunction("""COMPUTED_VALUE"""),161.62)</f>
        <v>161.62</v>
      </c>
      <c r="D35" s="2" t="n">
        <f aca="false">IFERROR(__xludf.dummyfunction("""COMPUTED_VALUE"""),158.61)</f>
        <v>158.61</v>
      </c>
      <c r="E35" s="2" t="n">
        <f aca="false">IFERROR(__xludf.dummyfunction("""COMPUTED_VALUE"""),159.04)</f>
        <v>159.04</v>
      </c>
      <c r="F35" s="2" t="n">
        <f aca="false">IFERROR(__xludf.dummyfunction("""COMPUTED_VALUE"""),3515679)</f>
        <v>3515679</v>
      </c>
    </row>
    <row r="36" customFormat="false" ht="15.75" hidden="false" customHeight="false" outlineLevel="0" collapsed="false">
      <c r="A36" s="3" t="n">
        <f aca="false">IFERROR(__xludf.dummyfunction("""COMPUTED_VALUE"""),44250.6666666667)</f>
        <v>44250.6666666667</v>
      </c>
      <c r="B36" s="2" t="n">
        <f aca="false">IFERROR(__xludf.dummyfunction("""COMPUTED_VALUE"""),156.35)</f>
        <v>156.35</v>
      </c>
      <c r="C36" s="2" t="n">
        <f aca="false">IFERROR(__xludf.dummyfunction("""COMPUTED_VALUE"""),160.24)</f>
        <v>160.24</v>
      </c>
      <c r="D36" s="2" t="n">
        <f aca="false">IFERROR(__xludf.dummyfunction("""COMPUTED_VALUE"""),154.68)</f>
        <v>154.68</v>
      </c>
      <c r="E36" s="2" t="n">
        <f aca="false">IFERROR(__xludf.dummyfunction("""COMPUTED_VALUE"""),159.73)</f>
        <v>159.73</v>
      </c>
      <c r="F36" s="2" t="n">
        <f aca="false">IFERROR(__xludf.dummyfunction("""COMPUTED_VALUE"""),4677222)</f>
        <v>4677222</v>
      </c>
    </row>
    <row r="37" customFormat="false" ht="15.75" hidden="false" customHeight="false" outlineLevel="0" collapsed="false">
      <c r="A37" s="3" t="n">
        <f aca="false">IFERROR(__xludf.dummyfunction("""COMPUTED_VALUE"""),44251.6666666667)</f>
        <v>44251.6666666667</v>
      </c>
      <c r="B37" s="2" t="n">
        <f aca="false">IFERROR(__xludf.dummyfunction("""COMPUTED_VALUE"""),158.34)</f>
        <v>158.34</v>
      </c>
      <c r="C37" s="2" t="n">
        <f aca="false">IFERROR(__xludf.dummyfunction("""COMPUTED_VALUE"""),158.56)</f>
        <v>158.56</v>
      </c>
      <c r="D37" s="2" t="n">
        <f aca="false">IFERROR(__xludf.dummyfunction("""COMPUTED_VALUE"""),156.27)</f>
        <v>156.27</v>
      </c>
      <c r="E37" s="2" t="n">
        <f aca="false">IFERROR(__xludf.dummyfunction("""COMPUTED_VALUE"""),157.98)</f>
        <v>157.98</v>
      </c>
      <c r="F37" s="2" t="n">
        <f aca="false">IFERROR(__xludf.dummyfunction("""COMPUTED_VALUE"""),3011275)</f>
        <v>3011275</v>
      </c>
    </row>
    <row r="38" customFormat="false" ht="15.75" hidden="false" customHeight="false" outlineLevel="0" collapsed="false">
      <c r="A38" s="3" t="n">
        <f aca="false">IFERROR(__xludf.dummyfunction("""COMPUTED_VALUE"""),44252.6666666667)</f>
        <v>44252.6666666667</v>
      </c>
      <c r="B38" s="2" t="n">
        <f aca="false">IFERROR(__xludf.dummyfunction("""COMPUTED_VALUE"""),156.84)</f>
        <v>156.84</v>
      </c>
      <c r="C38" s="2" t="n">
        <f aca="false">IFERROR(__xludf.dummyfunction("""COMPUTED_VALUE"""),158.91)</f>
        <v>158.91</v>
      </c>
      <c r="D38" s="2" t="n">
        <f aca="false">IFERROR(__xludf.dummyfunction("""COMPUTED_VALUE"""),152.39)</f>
        <v>152.39</v>
      </c>
      <c r="E38" s="2" t="n">
        <f aca="false">IFERROR(__xludf.dummyfunction("""COMPUTED_VALUE"""),152.86)</f>
        <v>152.86</v>
      </c>
      <c r="F38" s="2" t="n">
        <f aca="false">IFERROR(__xludf.dummyfunction("""COMPUTED_VALUE"""),4533801)</f>
        <v>4533801</v>
      </c>
    </row>
    <row r="39" customFormat="false" ht="15.75" hidden="false" customHeight="false" outlineLevel="0" collapsed="false">
      <c r="A39" s="3" t="n">
        <f aca="false">IFERROR(__xludf.dummyfunction("""COMPUTED_VALUE"""),44253.6666666667)</f>
        <v>44253.6666666667</v>
      </c>
      <c r="B39" s="2" t="n">
        <f aca="false">IFERROR(__xludf.dummyfunction("""COMPUTED_VALUE"""),154.76)</f>
        <v>154.76</v>
      </c>
      <c r="C39" s="2" t="n">
        <f aca="false">IFERROR(__xludf.dummyfunction("""COMPUTED_VALUE"""),156.12)</f>
        <v>156.12</v>
      </c>
      <c r="D39" s="2" t="n">
        <f aca="false">IFERROR(__xludf.dummyfunction("""COMPUTED_VALUE"""),151.84)</f>
        <v>151.84</v>
      </c>
      <c r="E39" s="2" t="n">
        <f aca="false">IFERROR(__xludf.dummyfunction("""COMPUTED_VALUE"""),154.65)</f>
        <v>154.65</v>
      </c>
      <c r="F39" s="2" t="n">
        <f aca="false">IFERROR(__xludf.dummyfunction("""COMPUTED_VALUE"""),4275930)</f>
        <v>4275930</v>
      </c>
    </row>
    <row r="40" customFormat="false" ht="15.75" hidden="false" customHeight="false" outlineLevel="0" collapsed="false">
      <c r="A40" s="3" t="n">
        <f aca="false">IFERROR(__xludf.dummyfunction("""COMPUTED_VALUE"""),44256.6666666667)</f>
        <v>44256.6666666667</v>
      </c>
      <c r="B40" s="2" t="n">
        <f aca="false">IFERROR(__xludf.dummyfunction("""COMPUTED_VALUE"""),156.39)</f>
        <v>156.39</v>
      </c>
      <c r="C40" s="2" t="n">
        <f aca="false">IFERROR(__xludf.dummyfunction("""COMPUTED_VALUE"""),157.48)</f>
        <v>157.48</v>
      </c>
      <c r="D40" s="2" t="n">
        <f aca="false">IFERROR(__xludf.dummyfunction("""COMPUTED_VALUE"""),154.9)</f>
        <v>154.9</v>
      </c>
      <c r="E40" s="2" t="n">
        <f aca="false">IFERROR(__xludf.dummyfunction("""COMPUTED_VALUE"""),157.31)</f>
        <v>157.31</v>
      </c>
      <c r="F40" s="2" t="n">
        <f aca="false">IFERROR(__xludf.dummyfunction("""COMPUTED_VALUE"""),2733963)</f>
        <v>2733963</v>
      </c>
    </row>
    <row r="41" customFormat="false" ht="15.75" hidden="false" customHeight="false" outlineLevel="0" collapsed="false">
      <c r="A41" s="3" t="n">
        <f aca="false">IFERROR(__xludf.dummyfunction("""COMPUTED_VALUE"""),44257.6666666667)</f>
        <v>44257.6666666667</v>
      </c>
      <c r="B41" s="2" t="n">
        <f aca="false">IFERROR(__xludf.dummyfunction("""COMPUTED_VALUE"""),157.17)</f>
        <v>157.17</v>
      </c>
      <c r="C41" s="2" t="n">
        <f aca="false">IFERROR(__xludf.dummyfunction("""COMPUTED_VALUE"""),158.18)</f>
        <v>158.18</v>
      </c>
      <c r="D41" s="2" t="n">
        <f aca="false">IFERROR(__xludf.dummyfunction("""COMPUTED_VALUE"""),154.36)</f>
        <v>154.36</v>
      </c>
      <c r="E41" s="2" t="n">
        <f aca="false">IFERROR(__xludf.dummyfunction("""COMPUTED_VALUE"""),154.73)</f>
        <v>154.73</v>
      </c>
      <c r="F41" s="2" t="n">
        <f aca="false">IFERROR(__xludf.dummyfunction("""COMPUTED_VALUE"""),2595762)</f>
        <v>2595762</v>
      </c>
    </row>
    <row r="42" customFormat="false" ht="15.75" hidden="false" customHeight="false" outlineLevel="0" collapsed="false">
      <c r="A42" s="3" t="n">
        <f aca="false">IFERROR(__xludf.dummyfunction("""COMPUTED_VALUE"""),44258.6666666667)</f>
        <v>44258.6666666667</v>
      </c>
      <c r="B42" s="2" t="n">
        <f aca="false">IFERROR(__xludf.dummyfunction("""COMPUTED_VALUE"""),154.06)</f>
        <v>154.06</v>
      </c>
      <c r="C42" s="2" t="n">
        <f aca="false">IFERROR(__xludf.dummyfunction("""COMPUTED_VALUE"""),155.39)</f>
        <v>155.39</v>
      </c>
      <c r="D42" s="2" t="n">
        <f aca="false">IFERROR(__xludf.dummyfunction("""COMPUTED_VALUE"""),149.75)</f>
        <v>149.75</v>
      </c>
      <c r="E42" s="2" t="n">
        <f aca="false">IFERROR(__xludf.dummyfunction("""COMPUTED_VALUE"""),150.25)</f>
        <v>150.25</v>
      </c>
      <c r="F42" s="2" t="n">
        <f aca="false">IFERROR(__xludf.dummyfunction("""COMPUTED_VALUE"""),3988725)</f>
        <v>3988725</v>
      </c>
    </row>
    <row r="43" customFormat="false" ht="15.75" hidden="false" customHeight="false" outlineLevel="0" collapsed="false">
      <c r="A43" s="3" t="n">
        <f aca="false">IFERROR(__xludf.dummyfunction("""COMPUTED_VALUE"""),44259.6666666667)</f>
        <v>44259.6666666667</v>
      </c>
      <c r="B43" s="2" t="n">
        <f aca="false">IFERROR(__xludf.dummyfunction("""COMPUTED_VALUE"""),150.6)</f>
        <v>150.6</v>
      </c>
      <c r="C43" s="2" t="n">
        <f aca="false">IFERROR(__xludf.dummyfunction("""COMPUTED_VALUE"""),152.91)</f>
        <v>152.91</v>
      </c>
      <c r="D43" s="2" t="n">
        <f aca="false">IFERROR(__xludf.dummyfunction("""COMPUTED_VALUE"""),147.27)</f>
        <v>147.27</v>
      </c>
      <c r="E43" s="2" t="n">
        <f aca="false">IFERROR(__xludf.dummyfunction("""COMPUTED_VALUE"""),148.88)</f>
        <v>148.88</v>
      </c>
      <c r="F43" s="2" t="n">
        <f aca="false">IFERROR(__xludf.dummyfunction("""COMPUTED_VALUE"""),5481578)</f>
        <v>5481578</v>
      </c>
    </row>
    <row r="44" customFormat="false" ht="15.75" hidden="false" customHeight="false" outlineLevel="0" collapsed="false">
      <c r="A44" s="3" t="n">
        <f aca="false">IFERROR(__xludf.dummyfunction("""COMPUTED_VALUE"""),44260.6666666667)</f>
        <v>44260.6666666667</v>
      </c>
      <c r="B44" s="2" t="n">
        <f aca="false">IFERROR(__xludf.dummyfunction("""COMPUTED_VALUE"""),150.25)</f>
        <v>150.25</v>
      </c>
      <c r="C44" s="2" t="n">
        <f aca="false">IFERROR(__xludf.dummyfunction("""COMPUTED_VALUE"""),150.45)</f>
        <v>150.45</v>
      </c>
      <c r="D44" s="2" t="n">
        <f aca="false">IFERROR(__xludf.dummyfunction("""COMPUTED_VALUE"""),144.05)</f>
        <v>144.05</v>
      </c>
      <c r="E44" s="2" t="n">
        <f aca="false">IFERROR(__xludf.dummyfunction("""COMPUTED_VALUE"""),150.02)</f>
        <v>150.02</v>
      </c>
      <c r="F44" s="2" t="n">
        <f aca="false">IFERROR(__xludf.dummyfunction("""COMPUTED_VALUE"""),5388551)</f>
        <v>5388551</v>
      </c>
    </row>
    <row r="45" customFormat="false" ht="15.75" hidden="false" customHeight="false" outlineLevel="0" collapsed="false">
      <c r="A45" s="3" t="n">
        <f aca="false">IFERROR(__xludf.dummyfunction("""COMPUTED_VALUE"""),44263.6666666667)</f>
        <v>44263.6666666667</v>
      </c>
      <c r="B45" s="2" t="n">
        <f aca="false">IFERROR(__xludf.dummyfunction("""COMPUTED_VALUE"""),150.75)</f>
        <v>150.75</v>
      </c>
      <c r="C45" s="2" t="n">
        <f aca="false">IFERROR(__xludf.dummyfunction("""COMPUTED_VALUE"""),153.23)</f>
        <v>153.23</v>
      </c>
      <c r="D45" s="2" t="n">
        <f aca="false">IFERROR(__xludf.dummyfunction("""COMPUTED_VALUE"""),147.57)</f>
        <v>147.57</v>
      </c>
      <c r="E45" s="2" t="n">
        <f aca="false">IFERROR(__xludf.dummyfunction("""COMPUTED_VALUE"""),147.6)</f>
        <v>147.6</v>
      </c>
      <c r="F45" s="2" t="n">
        <f aca="false">IFERROR(__xludf.dummyfunction("""COMPUTED_VALUE"""),4185008)</f>
        <v>4185008</v>
      </c>
    </row>
    <row r="46" customFormat="false" ht="15.75" hidden="false" customHeight="false" outlineLevel="0" collapsed="false">
      <c r="A46" s="3" t="n">
        <f aca="false">IFERROR(__xludf.dummyfunction("""COMPUTED_VALUE"""),44264.6666666667)</f>
        <v>44264.6666666667</v>
      </c>
      <c r="B46" s="2" t="n">
        <f aca="false">IFERROR(__xludf.dummyfunction("""COMPUTED_VALUE"""),150.9)</f>
        <v>150.9</v>
      </c>
      <c r="C46" s="2" t="n">
        <f aca="false">IFERROR(__xludf.dummyfunction("""COMPUTED_VALUE"""),154.55)</f>
        <v>154.55</v>
      </c>
      <c r="D46" s="2" t="n">
        <f aca="false">IFERROR(__xludf.dummyfunction("""COMPUTED_VALUE"""),150.26)</f>
        <v>150.26</v>
      </c>
      <c r="E46" s="2" t="n">
        <f aca="false">IFERROR(__xludf.dummyfunction("""COMPUTED_VALUE"""),153.14)</f>
        <v>153.14</v>
      </c>
      <c r="F46" s="2" t="n">
        <f aca="false">IFERROR(__xludf.dummyfunction("""COMPUTED_VALUE"""),4030032)</f>
        <v>4030032</v>
      </c>
    </row>
    <row r="47" customFormat="false" ht="15.75" hidden="false" customHeight="false" outlineLevel="0" collapsed="false">
      <c r="A47" s="3" t="n">
        <f aca="false">IFERROR(__xludf.dummyfunction("""COMPUTED_VALUE"""),44265.6666666667)</f>
        <v>44265.6666666667</v>
      </c>
      <c r="B47" s="2" t="n">
        <f aca="false">IFERROR(__xludf.dummyfunction("""COMPUTED_VALUE"""),154.92)</f>
        <v>154.92</v>
      </c>
      <c r="C47" s="2" t="n">
        <f aca="false">IFERROR(__xludf.dummyfunction("""COMPUTED_VALUE"""),155.82)</f>
        <v>155.82</v>
      </c>
      <c r="D47" s="2" t="n">
        <f aca="false">IFERROR(__xludf.dummyfunction("""COMPUTED_VALUE"""),151.5)</f>
        <v>151.5</v>
      </c>
      <c r="E47" s="2" t="n">
        <f aca="false">IFERROR(__xludf.dummyfunction("""COMPUTED_VALUE"""),152.88)</f>
        <v>152.88</v>
      </c>
      <c r="F47" s="2" t="n">
        <f aca="false">IFERROR(__xludf.dummyfunction("""COMPUTED_VALUE"""),3012489)</f>
        <v>3012489</v>
      </c>
    </row>
    <row r="48" customFormat="false" ht="15.75" hidden="false" customHeight="false" outlineLevel="0" collapsed="false">
      <c r="A48" s="3" t="n">
        <f aca="false">IFERROR(__xludf.dummyfunction("""COMPUTED_VALUE"""),44266.6666666667)</f>
        <v>44266.6666666667</v>
      </c>
      <c r="B48" s="2" t="n">
        <f aca="false">IFERROR(__xludf.dummyfunction("""COMPUTED_VALUE"""),155.2)</f>
        <v>155.2</v>
      </c>
      <c r="C48" s="2" t="n">
        <f aca="false">IFERROR(__xludf.dummyfunction("""COMPUTED_VALUE"""),156.59)</f>
        <v>156.59</v>
      </c>
      <c r="D48" s="2" t="n">
        <f aca="false">IFERROR(__xludf.dummyfunction("""COMPUTED_VALUE"""),154.15)</f>
        <v>154.15</v>
      </c>
      <c r="E48" s="2" t="n">
        <f aca="false">IFERROR(__xludf.dummyfunction("""COMPUTED_VALUE"""),155.68)</f>
        <v>155.68</v>
      </c>
      <c r="F48" s="2" t="n">
        <f aca="false">IFERROR(__xludf.dummyfunction("""COMPUTED_VALUE"""),2776391)</f>
        <v>2776391</v>
      </c>
    </row>
    <row r="49" customFormat="false" ht="15.75" hidden="false" customHeight="false" outlineLevel="0" collapsed="false">
      <c r="A49" s="3" t="n">
        <f aca="false">IFERROR(__xludf.dummyfunction("""COMPUTED_VALUE"""),44267.6666666667)</f>
        <v>44267.6666666667</v>
      </c>
      <c r="B49" s="2" t="n">
        <f aca="false">IFERROR(__xludf.dummyfunction("""COMPUTED_VALUE"""),153.75)</f>
        <v>153.75</v>
      </c>
      <c r="C49" s="2" t="n">
        <f aca="false">IFERROR(__xludf.dummyfunction("""COMPUTED_VALUE"""),154.95)</f>
        <v>154.95</v>
      </c>
      <c r="D49" s="2" t="n">
        <f aca="false">IFERROR(__xludf.dummyfunction("""COMPUTED_VALUE"""),152.28)</f>
        <v>152.28</v>
      </c>
      <c r="E49" s="2" t="n">
        <f aca="false">IFERROR(__xludf.dummyfunction("""COMPUTED_VALUE"""),154.47)</f>
        <v>154.47</v>
      </c>
      <c r="F49" s="2" t="n">
        <f aca="false">IFERROR(__xludf.dummyfunction("""COMPUTED_VALUE"""),2421888)</f>
        <v>2421888</v>
      </c>
    </row>
    <row r="50" customFormat="false" ht="15.75" hidden="false" customHeight="false" outlineLevel="0" collapsed="false">
      <c r="A50" s="3" t="n">
        <f aca="false">IFERROR(__xludf.dummyfunction("""COMPUTED_VALUE"""),44270.6666666667)</f>
        <v>44270.6666666667</v>
      </c>
      <c r="B50" s="2" t="n">
        <f aca="false">IFERROR(__xludf.dummyfunction("""COMPUTED_VALUE"""),153.73)</f>
        <v>153.73</v>
      </c>
      <c r="C50" s="2" t="n">
        <f aca="false">IFERROR(__xludf.dummyfunction("""COMPUTED_VALUE"""),154.11)</f>
        <v>154.11</v>
      </c>
      <c r="D50" s="2" t="n">
        <f aca="false">IFERROR(__xludf.dummyfunction("""COMPUTED_VALUE"""),151.6)</f>
        <v>151.6</v>
      </c>
      <c r="E50" s="2" t="n">
        <f aca="false">IFERROR(__xludf.dummyfunction("""COMPUTED_VALUE"""),154.08)</f>
        <v>154.08</v>
      </c>
      <c r="F50" s="2" t="n">
        <f aca="false">IFERROR(__xludf.dummyfunction("""COMPUTED_VALUE"""),2918592)</f>
        <v>2918592</v>
      </c>
    </row>
    <row r="51" customFormat="false" ht="15.75" hidden="false" customHeight="false" outlineLevel="0" collapsed="false">
      <c r="A51" s="3" t="n">
        <f aca="false">IFERROR(__xludf.dummyfunction("""COMPUTED_VALUE"""),44271.6666666667)</f>
        <v>44271.6666666667</v>
      </c>
      <c r="B51" s="2" t="n">
        <f aca="false">IFERROR(__xludf.dummyfunction("""COMPUTED_VALUE"""),155.25)</f>
        <v>155.25</v>
      </c>
      <c r="C51" s="2" t="n">
        <f aca="false">IFERROR(__xludf.dummyfunction("""COMPUTED_VALUE"""),156.45)</f>
        <v>156.45</v>
      </c>
      <c r="D51" s="2" t="n">
        <f aca="false">IFERROR(__xludf.dummyfunction("""COMPUTED_VALUE"""),153.79)</f>
        <v>153.79</v>
      </c>
      <c r="E51" s="2" t="n">
        <f aca="false">IFERROR(__xludf.dummyfunction("""COMPUTED_VALUE"""),154.59)</f>
        <v>154.59</v>
      </c>
      <c r="F51" s="2" t="n">
        <f aca="false">IFERROR(__xludf.dummyfunction("""COMPUTED_VALUE"""),2538764)</f>
        <v>2538764</v>
      </c>
    </row>
    <row r="52" customFormat="false" ht="15.75" hidden="false" customHeight="false" outlineLevel="0" collapsed="false">
      <c r="A52" s="3" t="n">
        <f aca="false">IFERROR(__xludf.dummyfunction("""COMPUTED_VALUE"""),44272.6666666667)</f>
        <v>44272.6666666667</v>
      </c>
      <c r="B52" s="2" t="n">
        <f aca="false">IFERROR(__xludf.dummyfunction("""COMPUTED_VALUE"""),153.66)</f>
        <v>153.66</v>
      </c>
      <c r="C52" s="2" t="n">
        <f aca="false">IFERROR(__xludf.dummyfunction("""COMPUTED_VALUE"""),158.65)</f>
        <v>158.65</v>
      </c>
      <c r="D52" s="2" t="n">
        <f aca="false">IFERROR(__xludf.dummyfunction("""COMPUTED_VALUE"""),153.51)</f>
        <v>153.51</v>
      </c>
      <c r="E52" s="2" t="n">
        <f aca="false">IFERROR(__xludf.dummyfunction("""COMPUTED_VALUE"""),156.79)</f>
        <v>156.79</v>
      </c>
      <c r="F52" s="2" t="n">
        <f aca="false">IFERROR(__xludf.dummyfunction("""COMPUTED_VALUE"""),3118584)</f>
        <v>3118584</v>
      </c>
    </row>
    <row r="53" customFormat="false" ht="15.75" hidden="false" customHeight="false" outlineLevel="0" collapsed="false">
      <c r="A53" s="3" t="n">
        <f aca="false">IFERROR(__xludf.dummyfunction("""COMPUTED_VALUE"""),44273.6666666667)</f>
        <v>44273.6666666667</v>
      </c>
      <c r="B53" s="2" t="n">
        <f aca="false">IFERROR(__xludf.dummyfunction("""COMPUTED_VALUE"""),155.05)</f>
        <v>155.05</v>
      </c>
      <c r="C53" s="2" t="n">
        <f aca="false">IFERROR(__xludf.dummyfunction("""COMPUTED_VALUE"""),155.83)</f>
        <v>155.83</v>
      </c>
      <c r="D53" s="2" t="n">
        <f aca="false">IFERROR(__xludf.dummyfunction("""COMPUTED_VALUE"""),151.25)</f>
        <v>151.25</v>
      </c>
      <c r="E53" s="2" t="n">
        <f aca="false">IFERROR(__xludf.dummyfunction("""COMPUTED_VALUE"""),151.4)</f>
        <v>151.4</v>
      </c>
      <c r="F53" s="2" t="n">
        <f aca="false">IFERROR(__xludf.dummyfunction("""COMPUTED_VALUE"""),3657027)</f>
        <v>3657027</v>
      </c>
    </row>
    <row r="54" customFormat="false" ht="15.75" hidden="false" customHeight="false" outlineLevel="0" collapsed="false">
      <c r="A54" s="3" t="n">
        <f aca="false">IFERROR(__xludf.dummyfunction("""COMPUTED_VALUE"""),44274.6666666667)</f>
        <v>44274.6666666667</v>
      </c>
      <c r="B54" s="2" t="n">
        <f aca="false">IFERROR(__xludf.dummyfunction("""COMPUTED_VALUE"""),151.46)</f>
        <v>151.46</v>
      </c>
      <c r="C54" s="2" t="n">
        <f aca="false">IFERROR(__xludf.dummyfunction("""COMPUTED_VALUE"""),153.86)</f>
        <v>153.86</v>
      </c>
      <c r="D54" s="2" t="n">
        <f aca="false">IFERROR(__xludf.dummyfunction("""COMPUTED_VALUE"""),150.83)</f>
        <v>150.83</v>
      </c>
      <c r="E54" s="2" t="n">
        <f aca="false">IFERROR(__xludf.dummyfunction("""COMPUTED_VALUE"""),153.75)</f>
        <v>153.75</v>
      </c>
      <c r="F54" s="2" t="n">
        <f aca="false">IFERROR(__xludf.dummyfunction("""COMPUTED_VALUE"""),4625354)</f>
        <v>4625354</v>
      </c>
    </row>
    <row r="55" customFormat="false" ht="15.75" hidden="false" customHeight="false" outlineLevel="0" collapsed="false">
      <c r="A55" s="3" t="n">
        <f aca="false">IFERROR(__xludf.dummyfunction("""COMPUTED_VALUE"""),44277.6666666667)</f>
        <v>44277.6666666667</v>
      </c>
      <c r="B55" s="2" t="n">
        <f aca="false">IFERROR(__xludf.dummyfunction("""COMPUTED_VALUE"""),153.39)</f>
        <v>153.39</v>
      </c>
      <c r="C55" s="2" t="n">
        <f aca="false">IFERROR(__xludf.dummyfunction("""COMPUTED_VALUE"""),156.33)</f>
        <v>156.33</v>
      </c>
      <c r="D55" s="2" t="n">
        <f aca="false">IFERROR(__xludf.dummyfunction("""COMPUTED_VALUE"""),153)</f>
        <v>153</v>
      </c>
      <c r="E55" s="2" t="n">
        <f aca="false">IFERROR(__xludf.dummyfunction("""COMPUTED_VALUE"""),155.54)</f>
        <v>155.54</v>
      </c>
      <c r="F55" s="2" t="n">
        <f aca="false">IFERROR(__xludf.dummyfunction("""COMPUTED_VALUE"""),2902179)</f>
        <v>2902179</v>
      </c>
    </row>
    <row r="56" customFormat="false" ht="15.75" hidden="false" customHeight="false" outlineLevel="0" collapsed="false">
      <c r="A56" s="3" t="n">
        <f aca="false">IFERROR(__xludf.dummyfunction("""COMPUTED_VALUE"""),44278.6666666667)</f>
        <v>44278.6666666667</v>
      </c>
      <c r="B56" s="2" t="n">
        <f aca="false">IFERROR(__xludf.dummyfunction("""COMPUTED_VALUE"""),156.35)</f>
        <v>156.35</v>
      </c>
      <c r="C56" s="2" t="n">
        <f aca="false">IFERROR(__xludf.dummyfunction("""COMPUTED_VALUE"""),159.1)</f>
        <v>159.1</v>
      </c>
      <c r="D56" s="2" t="n">
        <f aca="false">IFERROR(__xludf.dummyfunction("""COMPUTED_VALUE"""),156.04)</f>
        <v>156.04</v>
      </c>
      <c r="E56" s="2" t="n">
        <f aca="false">IFERROR(__xludf.dummyfunction("""COMPUTED_VALUE"""),156.88)</f>
        <v>156.88</v>
      </c>
      <c r="F56" s="2" t="n">
        <f aca="false">IFERROR(__xludf.dummyfunction("""COMPUTED_VALUE"""),3817263)</f>
        <v>3817263</v>
      </c>
    </row>
    <row r="57" customFormat="false" ht="15.75" hidden="false" customHeight="false" outlineLevel="0" collapsed="false">
      <c r="A57" s="3" t="n">
        <f aca="false">IFERROR(__xludf.dummyfunction("""COMPUTED_VALUE"""),44279.6666666667)</f>
        <v>44279.6666666667</v>
      </c>
      <c r="B57" s="2" t="n">
        <f aca="false">IFERROR(__xludf.dummyfunction("""COMPUTED_VALUE"""),157.55)</f>
        <v>157.55</v>
      </c>
      <c r="C57" s="2" t="n">
        <f aca="false">IFERROR(__xludf.dummyfunction("""COMPUTED_VALUE"""),158.02)</f>
        <v>158.02</v>
      </c>
      <c r="D57" s="2" t="n">
        <f aca="false">IFERROR(__xludf.dummyfunction("""COMPUTED_VALUE"""),154.26)</f>
        <v>154.26</v>
      </c>
      <c r="E57" s="2" t="n">
        <f aca="false">IFERROR(__xludf.dummyfunction("""COMPUTED_VALUE"""),154.35)</f>
        <v>154.35</v>
      </c>
      <c r="F57" s="2" t="n">
        <f aca="false">IFERROR(__xludf.dummyfunction("""COMPUTED_VALUE"""),2958981)</f>
        <v>2958981</v>
      </c>
    </row>
    <row r="58" customFormat="false" ht="15.75" hidden="false" customHeight="false" outlineLevel="0" collapsed="false">
      <c r="A58" s="3" t="n">
        <f aca="false">IFERROR(__xludf.dummyfunction("""COMPUTED_VALUE"""),44280.6666666667)</f>
        <v>44280.6666666667</v>
      </c>
      <c r="B58" s="2" t="n">
        <f aca="false">IFERROR(__xludf.dummyfunction("""COMPUTED_VALUE"""),153.65)</f>
        <v>153.65</v>
      </c>
      <c r="C58" s="2" t="n">
        <f aca="false">IFERROR(__xludf.dummyfunction("""COMPUTED_VALUE"""),155.49)</f>
        <v>155.49</v>
      </c>
      <c r="D58" s="2" t="n">
        <f aca="false">IFERROR(__xludf.dummyfunction("""COMPUTED_VALUE"""),151.86)</f>
        <v>151.86</v>
      </c>
      <c r="E58" s="2" t="n">
        <f aca="false">IFERROR(__xludf.dummyfunction("""COMPUTED_VALUE"""),152.31)</f>
        <v>152.31</v>
      </c>
      <c r="F58" s="2" t="n">
        <f aca="false">IFERROR(__xludf.dummyfunction("""COMPUTED_VALUE"""),3563469)</f>
        <v>3563469</v>
      </c>
    </row>
    <row r="59" customFormat="false" ht="15.75" hidden="false" customHeight="false" outlineLevel="0" collapsed="false">
      <c r="A59" s="3" t="n">
        <f aca="false">IFERROR(__xludf.dummyfunction("""COMPUTED_VALUE"""),44281.6666666667)</f>
        <v>44281.6666666667</v>
      </c>
      <c r="B59" s="2" t="n">
        <f aca="false">IFERROR(__xludf.dummyfunction("""COMPUTED_VALUE"""),152.2)</f>
        <v>152.2</v>
      </c>
      <c r="C59" s="2" t="n">
        <f aca="false">IFERROR(__xludf.dummyfunction("""COMPUTED_VALUE"""),152.83)</f>
        <v>152.83</v>
      </c>
      <c r="D59" s="2" t="n">
        <f aca="false">IFERROR(__xludf.dummyfunction("""COMPUTED_VALUE"""),149.8)</f>
        <v>149.8</v>
      </c>
      <c r="E59" s="2" t="n">
        <f aca="false">IFERROR(__xludf.dummyfunction("""COMPUTED_VALUE"""),152.6)</f>
        <v>152.6</v>
      </c>
      <c r="F59" s="2" t="n">
        <f aca="false">IFERROR(__xludf.dummyfunction("""COMPUTED_VALUE"""),3312924)</f>
        <v>3312924</v>
      </c>
    </row>
    <row r="60" customFormat="false" ht="15.75" hidden="false" customHeight="false" outlineLevel="0" collapsed="false">
      <c r="A60" s="3" t="n">
        <f aca="false">IFERROR(__xludf.dummyfunction("""COMPUTED_VALUE"""),44284.6666666667)</f>
        <v>44284.6666666667</v>
      </c>
      <c r="B60" s="2" t="n">
        <f aca="false">IFERROR(__xludf.dummyfunction("""COMPUTED_VALUE"""),152.77)</f>
        <v>152.77</v>
      </c>
      <c r="C60" s="2" t="n">
        <f aca="false">IFERROR(__xludf.dummyfunction("""COMPUTED_VALUE"""),154.56)</f>
        <v>154.56</v>
      </c>
      <c r="D60" s="2" t="n">
        <f aca="false">IFERROR(__xludf.dummyfunction("""COMPUTED_VALUE"""),151.42)</f>
        <v>151.42</v>
      </c>
      <c r="E60" s="2" t="n">
        <f aca="false">IFERROR(__xludf.dummyfunction("""COMPUTED_VALUE"""),153.79)</f>
        <v>153.79</v>
      </c>
      <c r="F60" s="2" t="n">
        <f aca="false">IFERROR(__xludf.dummyfunction("""COMPUTED_VALUE"""),2745968)</f>
        <v>2745968</v>
      </c>
    </row>
    <row r="61" customFormat="false" ht="15.75" hidden="false" customHeight="false" outlineLevel="0" collapsed="false">
      <c r="A61" s="3" t="n">
        <f aca="false">IFERROR(__xludf.dummyfunction("""COMPUTED_VALUE"""),44285.6666666667)</f>
        <v>44285.6666666667</v>
      </c>
      <c r="B61" s="2" t="n">
        <f aca="false">IFERROR(__xludf.dummyfunction("""COMPUTED_VALUE"""),153.5)</f>
        <v>153.5</v>
      </c>
      <c r="C61" s="2" t="n">
        <f aca="false">IFERROR(__xludf.dummyfunction("""COMPUTED_VALUE"""),153.65)</f>
        <v>153.65</v>
      </c>
      <c r="D61" s="2" t="n">
        <f aca="false">IFERROR(__xludf.dummyfunction("""COMPUTED_VALUE"""),151.7)</f>
        <v>151.7</v>
      </c>
      <c r="E61" s="2" t="n">
        <f aca="false">IFERROR(__xludf.dummyfunction("""COMPUTED_VALUE"""),152.76)</f>
        <v>152.76</v>
      </c>
      <c r="F61" s="2" t="n">
        <f aca="false">IFERROR(__xludf.dummyfunction("""COMPUTED_VALUE"""),2337603)</f>
        <v>2337603</v>
      </c>
    </row>
    <row r="62" customFormat="false" ht="15.75" hidden="false" customHeight="false" outlineLevel="0" collapsed="false">
      <c r="A62" s="3" t="n">
        <f aca="false">IFERROR(__xludf.dummyfunction("""COMPUTED_VALUE"""),44286.6666666667)</f>
        <v>44286.6666666667</v>
      </c>
      <c r="B62" s="2" t="n">
        <f aca="false">IFERROR(__xludf.dummyfunction("""COMPUTED_VALUE"""),153.2)</f>
        <v>153.2</v>
      </c>
      <c r="C62" s="2" t="n">
        <f aca="false">IFERROR(__xludf.dummyfunction("""COMPUTED_VALUE"""),155.97)</f>
        <v>155.97</v>
      </c>
      <c r="D62" s="2" t="n">
        <f aca="false">IFERROR(__xludf.dummyfunction("""COMPUTED_VALUE"""),153.13)</f>
        <v>153.13</v>
      </c>
      <c r="E62" s="2" t="n">
        <f aca="false">IFERROR(__xludf.dummyfunction("""COMPUTED_VALUE"""),154.7)</f>
        <v>154.7</v>
      </c>
      <c r="F62" s="2" t="n">
        <f aca="false">IFERROR(__xludf.dummyfunction("""COMPUTED_VALUE"""),3093896)</f>
        <v>3093896</v>
      </c>
    </row>
    <row r="63" customFormat="false" ht="15.75" hidden="false" customHeight="false" outlineLevel="0" collapsed="false">
      <c r="A63" s="3" t="n">
        <f aca="false">IFERROR(__xludf.dummyfunction("""COMPUTED_VALUE"""),44287.6666666667)</f>
        <v>44287.6666666667</v>
      </c>
      <c r="B63" s="2" t="n">
        <f aca="false">IFERROR(__xludf.dummyfunction("""COMPUTED_VALUE"""),155.9)</f>
        <v>155.9</v>
      </c>
      <c r="C63" s="2" t="n">
        <f aca="false">IFERROR(__xludf.dummyfunction("""COMPUTED_VALUE"""),158.12)</f>
        <v>158.12</v>
      </c>
      <c r="D63" s="2" t="n">
        <f aca="false">IFERROR(__xludf.dummyfunction("""COMPUTED_VALUE"""),155.78)</f>
        <v>155.78</v>
      </c>
      <c r="E63" s="2" t="n">
        <f aca="false">IFERROR(__xludf.dummyfunction("""COMPUTED_VALUE"""),158.05)</f>
        <v>158.05</v>
      </c>
      <c r="F63" s="2" t="n">
        <f aca="false">IFERROR(__xludf.dummyfunction("""COMPUTED_VALUE"""),2940318)</f>
        <v>2940318</v>
      </c>
    </row>
    <row r="64" customFormat="false" ht="15.75" hidden="false" customHeight="false" outlineLevel="0" collapsed="false">
      <c r="A64" s="3" t="n">
        <f aca="false">IFERROR(__xludf.dummyfunction("""COMPUTED_VALUE"""),44291.6666666667)</f>
        <v>44291.6666666667</v>
      </c>
      <c r="B64" s="2" t="n">
        <f aca="false">IFERROR(__xludf.dummyfunction("""COMPUTED_VALUE"""),158.65)</f>
        <v>158.65</v>
      </c>
      <c r="C64" s="2" t="n">
        <f aca="false">IFERROR(__xludf.dummyfunction("""COMPUTED_VALUE"""),161.8)</f>
        <v>161.8</v>
      </c>
      <c r="D64" s="2" t="n">
        <f aca="false">IFERROR(__xludf.dummyfunction("""COMPUTED_VALUE"""),158.06)</f>
        <v>158.06</v>
      </c>
      <c r="E64" s="2" t="n">
        <f aca="false">IFERROR(__xludf.dummyfunction("""COMPUTED_VALUE"""),161.34)</f>
        <v>161.34</v>
      </c>
      <c r="F64" s="2" t="n">
        <f aca="false">IFERROR(__xludf.dummyfunction("""COMPUTED_VALUE"""),3334882)</f>
        <v>3334882</v>
      </c>
    </row>
    <row r="65" customFormat="false" ht="15.75" hidden="false" customHeight="false" outlineLevel="0" collapsed="false">
      <c r="A65" s="3" t="n">
        <f aca="false">IFERROR(__xludf.dummyfunction("""COMPUTED_VALUE"""),44292.6666666667)</f>
        <v>44292.6666666667</v>
      </c>
      <c r="B65" s="2" t="n">
        <f aca="false">IFERROR(__xludf.dummyfunction("""COMPUTED_VALUE"""),161.19)</f>
        <v>161.19</v>
      </c>
      <c r="C65" s="2" t="n">
        <f aca="false">IFERROR(__xludf.dummyfunction("""COMPUTED_VALUE"""),162.37)</f>
        <v>162.37</v>
      </c>
      <c r="D65" s="2" t="n">
        <f aca="false">IFERROR(__xludf.dummyfunction("""COMPUTED_VALUE"""),160.85)</f>
        <v>160.85</v>
      </c>
      <c r="E65" s="2" t="n">
        <f aca="false">IFERROR(__xludf.dummyfunction("""COMPUTED_VALUE"""),161.19)</f>
        <v>161.19</v>
      </c>
      <c r="F65" s="2" t="n">
        <f aca="false">IFERROR(__xludf.dummyfunction("""COMPUTED_VALUE"""),2537809)</f>
        <v>2537809</v>
      </c>
    </row>
    <row r="66" customFormat="false" ht="15.75" hidden="false" customHeight="false" outlineLevel="0" collapsed="false">
      <c r="A66" s="3" t="n">
        <f aca="false">IFERROR(__xludf.dummyfunction("""COMPUTED_VALUE"""),44293.6666666667)</f>
        <v>44293.6666666667</v>
      </c>
      <c r="B66" s="2" t="n">
        <f aca="false">IFERROR(__xludf.dummyfunction("""COMPUTED_VALUE"""),161.69)</f>
        <v>161.69</v>
      </c>
      <c r="C66" s="2" t="n">
        <f aca="false">IFERROR(__xludf.dummyfunction("""COMPUTED_VALUE"""),165.18)</f>
        <v>165.18</v>
      </c>
      <c r="D66" s="2" t="n">
        <f aca="false">IFERROR(__xludf.dummyfunction("""COMPUTED_VALUE"""),161.18)</f>
        <v>161.18</v>
      </c>
      <c r="E66" s="2" t="n">
        <f aca="false">IFERROR(__xludf.dummyfunction("""COMPUTED_VALUE"""),163.97)</f>
        <v>163.97</v>
      </c>
      <c r="F66" s="2" t="n">
        <f aca="false">IFERROR(__xludf.dummyfunction("""COMPUTED_VALUE"""),3346227)</f>
        <v>3346227</v>
      </c>
    </row>
    <row r="67" customFormat="false" ht="15.75" hidden="false" customHeight="false" outlineLevel="0" collapsed="false">
      <c r="A67" s="3" t="n">
        <f aca="false">IFERROR(__xludf.dummyfunction("""COMPUTED_VALUE"""),44294.6666666667)</f>
        <v>44294.6666666667</v>
      </c>
      <c r="B67" s="2" t="n">
        <f aca="false">IFERROR(__xludf.dummyfunction("""COMPUTED_VALUE"""),165.55)</f>
        <v>165.55</v>
      </c>
      <c r="C67" s="2" t="n">
        <f aca="false">IFERROR(__xludf.dummyfunction("""COMPUTED_VALUE"""),166.23)</f>
        <v>166.23</v>
      </c>
      <c r="D67" s="2" t="n">
        <f aca="false">IFERROR(__xludf.dummyfunction("""COMPUTED_VALUE"""),164.6)</f>
        <v>164.6</v>
      </c>
      <c r="E67" s="2" t="n">
        <f aca="false">IFERROR(__xludf.dummyfunction("""COMPUTED_VALUE"""),164.97)</f>
        <v>164.97</v>
      </c>
      <c r="F67" s="2" t="n">
        <f aca="false">IFERROR(__xludf.dummyfunction("""COMPUTED_VALUE"""),2812090)</f>
        <v>2812090</v>
      </c>
    </row>
    <row r="68" customFormat="false" ht="15.75" hidden="false" customHeight="false" outlineLevel="0" collapsed="false">
      <c r="A68" s="3" t="n">
        <f aca="false">IFERROR(__xludf.dummyfunction("""COMPUTED_VALUE"""),44295.6666666667)</f>
        <v>44295.6666666667</v>
      </c>
      <c r="B68" s="2" t="n">
        <f aca="false">IFERROR(__xludf.dummyfunction("""COMPUTED_VALUE"""),165.24)</f>
        <v>165.24</v>
      </c>
      <c r="C68" s="2" t="n">
        <f aca="false">IFERROR(__xludf.dummyfunction("""COMPUTED_VALUE"""),168.61)</f>
        <v>168.61</v>
      </c>
      <c r="D68" s="2" t="n">
        <f aca="false">IFERROR(__xludf.dummyfunction("""COMPUTED_VALUE"""),164.45)</f>
        <v>164.45</v>
      </c>
      <c r="E68" s="2" t="n">
        <f aca="false">IFERROR(__xludf.dummyfunction("""COMPUTED_VALUE"""),168.61)</f>
        <v>168.61</v>
      </c>
      <c r="F68" s="2" t="n">
        <f aca="false">IFERROR(__xludf.dummyfunction("""COMPUTED_VALUE"""),4341473)</f>
        <v>4341473</v>
      </c>
    </row>
    <row r="69" customFormat="false" ht="15.75" hidden="false" customHeight="false" outlineLevel="0" collapsed="false">
      <c r="A69" s="3" t="n">
        <f aca="false">IFERROR(__xludf.dummyfunction("""COMPUTED_VALUE"""),44298.6666666667)</f>
        <v>44298.6666666667</v>
      </c>
      <c r="B69" s="2" t="n">
        <f aca="false">IFERROR(__xludf.dummyfunction("""COMPUTED_VALUE"""),167.76)</f>
        <v>167.76</v>
      </c>
      <c r="C69" s="2" t="n">
        <f aca="false">IFERROR(__xludf.dummyfunction("""COMPUTED_VALUE"""),169.75)</f>
        <v>169.75</v>
      </c>
      <c r="D69" s="2" t="n">
        <f aca="false">IFERROR(__xludf.dummyfunction("""COMPUTED_VALUE"""),167.56)</f>
        <v>167.56</v>
      </c>
      <c r="E69" s="2" t="n">
        <f aca="false">IFERROR(__xludf.dummyfunction("""COMPUTED_VALUE"""),168.97)</f>
        <v>168.97</v>
      </c>
      <c r="F69" s="2" t="n">
        <f aca="false">IFERROR(__xludf.dummyfunction("""COMPUTED_VALUE"""),3281798)</f>
        <v>3281798</v>
      </c>
    </row>
    <row r="70" customFormat="false" ht="15.75" hidden="false" customHeight="false" outlineLevel="0" collapsed="false">
      <c r="A70" s="3" t="n">
        <f aca="false">IFERROR(__xludf.dummyfunction("""COMPUTED_VALUE"""),44299.6666666667)</f>
        <v>44299.6666666667</v>
      </c>
      <c r="B70" s="2" t="n">
        <f aca="false">IFERROR(__xludf.dummyfunction("""COMPUTED_VALUE"""),170.04)</f>
        <v>170.04</v>
      </c>
      <c r="C70" s="2" t="n">
        <f aca="false">IFERROR(__xludf.dummyfunction("""COMPUTED_VALUE"""),171.6)</f>
        <v>171.6</v>
      </c>
      <c r="D70" s="2" t="n">
        <f aca="false">IFERROR(__xludf.dummyfunction("""COMPUTED_VALUE"""),169.78)</f>
        <v>169.78</v>
      </c>
      <c r="E70" s="2" t="n">
        <f aca="false">IFERROR(__xludf.dummyfunction("""COMPUTED_VALUE"""),170)</f>
        <v>170</v>
      </c>
      <c r="F70" s="2" t="n">
        <f aca="false">IFERROR(__xludf.dummyfunction("""COMPUTED_VALUE"""),3315837)</f>
        <v>3315837</v>
      </c>
    </row>
    <row r="71" customFormat="false" ht="15.75" hidden="false" customHeight="false" outlineLevel="0" collapsed="false">
      <c r="A71" s="3" t="n">
        <f aca="false">IFERROR(__xludf.dummyfunction("""COMPUTED_VALUE"""),44300.6666666667)</f>
        <v>44300.6666666667</v>
      </c>
      <c r="B71" s="2" t="n">
        <f aca="false">IFERROR(__xludf.dummyfunction("""COMPUTED_VALUE"""),170.2)</f>
        <v>170.2</v>
      </c>
      <c r="C71" s="2" t="n">
        <f aca="false">IFERROR(__xludf.dummyfunction("""COMPUTED_VALUE"""),170.21)</f>
        <v>170.21</v>
      </c>
      <c r="D71" s="2" t="n">
        <f aca="false">IFERROR(__xludf.dummyfunction("""COMPUTED_VALUE"""),166.3)</f>
        <v>166.3</v>
      </c>
      <c r="E71" s="2" t="n">
        <f aca="false">IFERROR(__xludf.dummyfunction("""COMPUTED_VALUE"""),166.65)</f>
        <v>166.65</v>
      </c>
      <c r="F71" s="2" t="n">
        <f aca="false">IFERROR(__xludf.dummyfunction("""COMPUTED_VALUE"""),3145204)</f>
        <v>3145204</v>
      </c>
    </row>
    <row r="72" customFormat="false" ht="15.75" hidden="false" customHeight="false" outlineLevel="0" collapsed="false">
      <c r="A72" s="3" t="n">
        <f aca="false">IFERROR(__xludf.dummyfunction("""COMPUTED_VALUE"""),44301.6666666667)</f>
        <v>44301.6666666667</v>
      </c>
      <c r="B72" s="2" t="n">
        <f aca="false">IFERROR(__xludf.dummyfunction("""COMPUTED_VALUE"""),168.55)</f>
        <v>168.55</v>
      </c>
      <c r="C72" s="2" t="n">
        <f aca="false">IFERROR(__xludf.dummyfunction("""COMPUTED_VALUE"""),169.85)</f>
        <v>169.85</v>
      </c>
      <c r="D72" s="2" t="n">
        <f aca="false">IFERROR(__xludf.dummyfunction("""COMPUTED_VALUE"""),167.6)</f>
        <v>167.6</v>
      </c>
      <c r="E72" s="2" t="n">
        <f aca="false">IFERROR(__xludf.dummyfunction("""COMPUTED_VALUE"""),168.95)</f>
        <v>168.95</v>
      </c>
      <c r="F72" s="2" t="n">
        <f aca="false">IFERROR(__xludf.dummyfunction("""COMPUTED_VALUE"""),3233580)</f>
        <v>3233580</v>
      </c>
    </row>
    <row r="73" customFormat="false" ht="15.75" hidden="false" customHeight="false" outlineLevel="0" collapsed="false">
      <c r="A73" s="3" t="n">
        <f aca="false">IFERROR(__xludf.dummyfunction("""COMPUTED_VALUE"""),44302.6666666667)</f>
        <v>44302.6666666667</v>
      </c>
      <c r="B73" s="2" t="n">
        <f aca="false">IFERROR(__xludf.dummyfunction("""COMPUTED_VALUE"""),169)</f>
        <v>169</v>
      </c>
      <c r="C73" s="2" t="n">
        <f aca="false">IFERROR(__xludf.dummyfunction("""COMPUTED_VALUE"""),170.34)</f>
        <v>170.34</v>
      </c>
      <c r="D73" s="2" t="n">
        <f aca="false">IFERROR(__xludf.dummyfunction("""COMPUTED_VALUE"""),167.78)</f>
        <v>167.78</v>
      </c>
      <c r="E73" s="2" t="n">
        <f aca="false">IFERROR(__xludf.dummyfunction("""COMPUTED_VALUE"""),169.97)</f>
        <v>169.97</v>
      </c>
      <c r="F73" s="2" t="n">
        <f aca="false">IFERROR(__xludf.dummyfunction("""COMPUTED_VALUE"""),3186049)</f>
        <v>3186049</v>
      </c>
    </row>
    <row r="74" customFormat="false" ht="15.75" hidden="false" customHeight="false" outlineLevel="0" collapsed="false">
      <c r="A74" s="3" t="n">
        <f aca="false">IFERROR(__xludf.dummyfunction("""COMPUTED_VALUE"""),44305.6666666667)</f>
        <v>44305.6666666667</v>
      </c>
      <c r="B74" s="2" t="n">
        <f aca="false">IFERROR(__xludf.dummyfunction("""COMPUTED_VALUE"""),169.52)</f>
        <v>169.52</v>
      </c>
      <c r="C74" s="2" t="n">
        <f aca="false">IFERROR(__xludf.dummyfunction("""COMPUTED_VALUE"""),171.8)</f>
        <v>171.8</v>
      </c>
      <c r="D74" s="2" t="n">
        <f aca="false">IFERROR(__xludf.dummyfunction("""COMPUTED_VALUE"""),168.01)</f>
        <v>168.01</v>
      </c>
      <c r="E74" s="2" t="n">
        <f aca="false">IFERROR(__xludf.dummyfunction("""COMPUTED_VALUE"""),168.6)</f>
        <v>168.6</v>
      </c>
      <c r="F74" s="2" t="n">
        <f aca="false">IFERROR(__xludf.dummyfunction("""COMPUTED_VALUE"""),2725405)</f>
        <v>2725405</v>
      </c>
    </row>
    <row r="75" customFormat="false" ht="15.75" hidden="false" customHeight="false" outlineLevel="0" collapsed="false">
      <c r="A75" s="3" t="n">
        <f aca="false">IFERROR(__xludf.dummyfunction("""COMPUTED_VALUE"""),44306.6666666667)</f>
        <v>44306.6666666667</v>
      </c>
      <c r="B75" s="2" t="n">
        <f aca="false">IFERROR(__xludf.dummyfunction("""COMPUTED_VALUE"""),168.68)</f>
        <v>168.68</v>
      </c>
      <c r="C75" s="2" t="n">
        <f aca="false">IFERROR(__xludf.dummyfunction("""COMPUTED_VALUE"""),169.15)</f>
        <v>169.15</v>
      </c>
      <c r="D75" s="2" t="n">
        <f aca="false">IFERROR(__xludf.dummyfunction("""COMPUTED_VALUE"""),165.8)</f>
        <v>165.8</v>
      </c>
      <c r="E75" s="2" t="n">
        <f aca="false">IFERROR(__xludf.dummyfunction("""COMPUTED_VALUE"""),166.73)</f>
        <v>166.73</v>
      </c>
      <c r="F75" s="2" t="n">
        <f aca="false">IFERROR(__xludf.dummyfunction("""COMPUTED_VALUE"""),2623032)</f>
        <v>2623032</v>
      </c>
    </row>
    <row r="76" customFormat="false" ht="15.75" hidden="false" customHeight="false" outlineLevel="0" collapsed="false">
      <c r="A76" s="3" t="n">
        <f aca="false">IFERROR(__xludf.dummyfunction("""COMPUTED_VALUE"""),44307.6666666667)</f>
        <v>44307.6666666667</v>
      </c>
      <c r="B76" s="2" t="n">
        <f aca="false">IFERROR(__xludf.dummyfunction("""COMPUTED_VALUE"""),165.8)</f>
        <v>165.8</v>
      </c>
      <c r="C76" s="2" t="n">
        <f aca="false">IFERROR(__xludf.dummyfunction("""COMPUTED_VALUE"""),168.14)</f>
        <v>168.14</v>
      </c>
      <c r="D76" s="2" t="n">
        <f aca="false">IFERROR(__xludf.dummyfunction("""COMPUTED_VALUE"""),165.19)</f>
        <v>165.19</v>
      </c>
      <c r="E76" s="2" t="n">
        <f aca="false">IFERROR(__xludf.dummyfunction("""COMPUTED_VALUE"""),168.1)</f>
        <v>168.1</v>
      </c>
      <c r="F76" s="2" t="n">
        <f aca="false">IFERROR(__xludf.dummyfunction("""COMPUTED_VALUE"""),2211166)</f>
        <v>2211166</v>
      </c>
    </row>
    <row r="77" customFormat="false" ht="15.75" hidden="false" customHeight="false" outlineLevel="0" collapsed="false">
      <c r="A77" s="3" t="n">
        <f aca="false">IFERROR(__xludf.dummyfunction("""COMPUTED_VALUE"""),44308.6666666667)</f>
        <v>44308.6666666667</v>
      </c>
      <c r="B77" s="2" t="n">
        <f aca="false">IFERROR(__xludf.dummyfunction("""COMPUTED_VALUE"""),168.58)</f>
        <v>168.58</v>
      </c>
      <c r="C77" s="2" t="n">
        <f aca="false">IFERROR(__xludf.dummyfunction("""COMPUTED_VALUE"""),168.64)</f>
        <v>168.64</v>
      </c>
      <c r="D77" s="2" t="n">
        <f aca="false">IFERROR(__xludf.dummyfunction("""COMPUTED_VALUE"""),165.07)</f>
        <v>165.07</v>
      </c>
      <c r="E77" s="2" t="n">
        <f aca="false">IFERROR(__xludf.dummyfunction("""COMPUTED_VALUE"""),165.45)</f>
        <v>165.45</v>
      </c>
      <c r="F77" s="2" t="n">
        <f aca="false">IFERROR(__xludf.dummyfunction("""COMPUTED_VALUE"""),2580590)</f>
        <v>2580590</v>
      </c>
    </row>
    <row r="78" customFormat="false" ht="15.75" hidden="false" customHeight="false" outlineLevel="0" collapsed="false">
      <c r="A78" s="3" t="n">
        <f aca="false">IFERROR(__xludf.dummyfunction("""COMPUTED_VALUE"""),44309.6666666667)</f>
        <v>44309.6666666667</v>
      </c>
      <c r="B78" s="2" t="n">
        <f aca="false">IFERROR(__xludf.dummyfunction("""COMPUTED_VALUE"""),165.96)</f>
        <v>165.96</v>
      </c>
      <c r="C78" s="2" t="n">
        <f aca="false">IFERROR(__xludf.dummyfunction("""COMPUTED_VALUE"""),168.75)</f>
        <v>168.75</v>
      </c>
      <c r="D78" s="2" t="n">
        <f aca="false">IFERROR(__xludf.dummyfunction("""COMPUTED_VALUE"""),165.43)</f>
        <v>165.43</v>
      </c>
      <c r="E78" s="2" t="n">
        <f aca="false">IFERROR(__xludf.dummyfunction("""COMPUTED_VALUE"""),167.04)</f>
        <v>167.04</v>
      </c>
      <c r="F78" s="2" t="n">
        <f aca="false">IFERROR(__xludf.dummyfunction("""COMPUTED_VALUE"""),3196652)</f>
        <v>3196652</v>
      </c>
    </row>
    <row r="79" customFormat="false" ht="15.75" hidden="false" customHeight="false" outlineLevel="0" collapsed="false">
      <c r="A79" s="3" t="n">
        <f aca="false">IFERROR(__xludf.dummyfunction("""COMPUTED_VALUE"""),44312.6666666667)</f>
        <v>44312.6666666667</v>
      </c>
      <c r="B79" s="2" t="n">
        <f aca="false">IFERROR(__xludf.dummyfunction("""COMPUTED_VALUE"""),167.4)</f>
        <v>167.4</v>
      </c>
      <c r="C79" s="2" t="n">
        <f aca="false">IFERROR(__xludf.dummyfunction("""COMPUTED_VALUE"""),171.42)</f>
        <v>171.42</v>
      </c>
      <c r="D79" s="2" t="n">
        <f aca="false">IFERROR(__xludf.dummyfunction("""COMPUTED_VALUE"""),166.55)</f>
        <v>166.55</v>
      </c>
      <c r="E79" s="2" t="n">
        <f aca="false">IFERROR(__xludf.dummyfunction("""COMPUTED_VALUE"""),170.45)</f>
        <v>170.45</v>
      </c>
      <c r="F79" s="2" t="n">
        <f aca="false">IFERROR(__xludf.dummyfunction("""COMPUTED_VALUE"""),4880708)</f>
        <v>4880708</v>
      </c>
    </row>
    <row r="80" customFormat="false" ht="15.75" hidden="false" customHeight="false" outlineLevel="0" collapsed="false">
      <c r="A80" s="3" t="n">
        <f aca="false">IFERROR(__xludf.dummyfunction("""COMPUTED_VALUE"""),44313.6666666667)</f>
        <v>44313.6666666667</v>
      </c>
      <c r="B80" s="2" t="n">
        <f aca="false">IFERROR(__xludf.dummyfunction("""COMPUTED_VALUE"""),172.17)</f>
        <v>172.17</v>
      </c>
      <c r="C80" s="2" t="n">
        <f aca="false">IFERROR(__xludf.dummyfunction("""COMPUTED_VALUE"""),173)</f>
        <v>173</v>
      </c>
      <c r="D80" s="2" t="n">
        <f aca="false">IFERROR(__xludf.dummyfunction("""COMPUTED_VALUE"""),169.9)</f>
        <v>169.9</v>
      </c>
      <c r="E80" s="2" t="n">
        <f aca="false">IFERROR(__xludf.dummyfunction("""COMPUTED_VALUE"""),170.87)</f>
        <v>170.87</v>
      </c>
      <c r="F80" s="2" t="n">
        <f aca="false">IFERROR(__xludf.dummyfunction("""COMPUTED_VALUE"""),3827140)</f>
        <v>3827140</v>
      </c>
    </row>
    <row r="81" customFormat="false" ht="15.75" hidden="false" customHeight="false" outlineLevel="0" collapsed="false">
      <c r="A81" s="3" t="n">
        <f aca="false">IFERROR(__xludf.dummyfunction("""COMPUTED_VALUE"""),44314.6666666667)</f>
        <v>44314.6666666667</v>
      </c>
      <c r="B81" s="2" t="n">
        <f aca="false">IFERROR(__xludf.dummyfunction("""COMPUTED_VALUE"""),171.74)</f>
        <v>171.74</v>
      </c>
      <c r="C81" s="2" t="n">
        <f aca="false">IFERROR(__xludf.dummyfunction("""COMPUTED_VALUE"""),174.49)</f>
        <v>174.49</v>
      </c>
      <c r="D81" s="2" t="n">
        <f aca="false">IFERROR(__xludf.dummyfunction("""COMPUTED_VALUE"""),171.25)</f>
        <v>171.25</v>
      </c>
      <c r="E81" s="2" t="n">
        <f aca="false">IFERROR(__xludf.dummyfunction("""COMPUTED_VALUE"""),172.93)</f>
        <v>172.93</v>
      </c>
      <c r="F81" s="2" t="n">
        <f aca="false">IFERROR(__xludf.dummyfunction("""COMPUTED_VALUE"""),4631884)</f>
        <v>4631884</v>
      </c>
    </row>
    <row r="82" customFormat="false" ht="15.75" hidden="false" customHeight="false" outlineLevel="0" collapsed="false">
      <c r="A82" s="3" t="n">
        <f aca="false">IFERROR(__xludf.dummyfunction("""COMPUTED_VALUE"""),44315.6666666667)</f>
        <v>44315.6666666667</v>
      </c>
      <c r="B82" s="2" t="n">
        <f aca="false">IFERROR(__xludf.dummyfunction("""COMPUTED_VALUE"""),175.25)</f>
        <v>175.25</v>
      </c>
      <c r="C82" s="2" t="n">
        <f aca="false">IFERROR(__xludf.dummyfunction("""COMPUTED_VALUE"""),175.72)</f>
        <v>175.72</v>
      </c>
      <c r="D82" s="2" t="n">
        <f aca="false">IFERROR(__xludf.dummyfunction("""COMPUTED_VALUE"""),171.75)</f>
        <v>171.75</v>
      </c>
      <c r="E82" s="2" t="n">
        <f aca="false">IFERROR(__xludf.dummyfunction("""COMPUTED_VALUE"""),173.57)</f>
        <v>173.57</v>
      </c>
      <c r="F82" s="2" t="n">
        <f aca="false">IFERROR(__xludf.dummyfunction("""COMPUTED_VALUE"""),7682381)</f>
        <v>7682381</v>
      </c>
    </row>
    <row r="83" customFormat="false" ht="15.75" hidden="false" customHeight="false" outlineLevel="0" collapsed="false">
      <c r="A83" s="3" t="n">
        <f aca="false">IFERROR(__xludf.dummyfunction("""COMPUTED_VALUE"""),44316.6666666667)</f>
        <v>44316.6666666667</v>
      </c>
      <c r="B83" s="2" t="n">
        <f aca="false">IFERROR(__xludf.dummyfunction("""COMPUTED_VALUE"""),176.26)</f>
        <v>176.26</v>
      </c>
      <c r="C83" s="2" t="n">
        <f aca="false">IFERROR(__xludf.dummyfunction("""COMPUTED_VALUE"""),177.7)</f>
        <v>177.7</v>
      </c>
      <c r="D83" s="2" t="n">
        <f aca="false">IFERROR(__xludf.dummyfunction("""COMPUTED_VALUE"""),173.13)</f>
        <v>173.13</v>
      </c>
      <c r="E83" s="2" t="n">
        <f aca="false">IFERROR(__xludf.dummyfunction("""COMPUTED_VALUE"""),173.37)</f>
        <v>173.37</v>
      </c>
      <c r="F83" s="2" t="n">
        <f aca="false">IFERROR(__xludf.dummyfunction("""COMPUTED_VALUE"""),7009346)</f>
        <v>7009346</v>
      </c>
    </row>
    <row r="84" customFormat="false" ht="15.75" hidden="false" customHeight="false" outlineLevel="0" collapsed="false">
      <c r="A84" s="3" t="n">
        <f aca="false">IFERROR(__xludf.dummyfunction("""COMPUTED_VALUE"""),44319.6666666667)</f>
        <v>44319.6666666667</v>
      </c>
      <c r="B84" s="2" t="n">
        <f aca="false">IFERROR(__xludf.dummyfunction("""COMPUTED_VALUE"""),174.24)</f>
        <v>174.24</v>
      </c>
      <c r="C84" s="2" t="n">
        <f aca="false">IFERROR(__xludf.dummyfunction("""COMPUTED_VALUE"""),174.33)</f>
        <v>174.33</v>
      </c>
      <c r="D84" s="2" t="n">
        <f aca="false">IFERROR(__xludf.dummyfunction("""COMPUTED_VALUE"""),168.64)</f>
        <v>168.64</v>
      </c>
      <c r="E84" s="2" t="n">
        <f aca="false">IFERROR(__xludf.dummyfunction("""COMPUTED_VALUE"""),169.32)</f>
        <v>169.32</v>
      </c>
      <c r="F84" s="2" t="n">
        <f aca="false">IFERROR(__xludf.dummyfunction("""COMPUTED_VALUE"""),5875530)</f>
        <v>5875530</v>
      </c>
    </row>
    <row r="85" customFormat="false" ht="15.75" hidden="false" customHeight="false" outlineLevel="0" collapsed="false">
      <c r="A85" s="3" t="n">
        <f aca="false">IFERROR(__xludf.dummyfunction("""COMPUTED_VALUE"""),44320.6666666667)</f>
        <v>44320.6666666667</v>
      </c>
      <c r="B85" s="2" t="n">
        <f aca="false">IFERROR(__xludf.dummyfunction("""COMPUTED_VALUE"""),167.81)</f>
        <v>167.81</v>
      </c>
      <c r="C85" s="2" t="n">
        <f aca="false">IFERROR(__xludf.dummyfunction("""COMPUTED_VALUE"""),168.4)</f>
        <v>168.4</v>
      </c>
      <c r="D85" s="2" t="n">
        <f aca="false">IFERROR(__xludf.dummyfunction("""COMPUTED_VALUE"""),163.61)</f>
        <v>163.61</v>
      </c>
      <c r="E85" s="2" t="n">
        <f aca="false">IFERROR(__xludf.dummyfunction("""COMPUTED_VALUE"""),165.59)</f>
        <v>165.59</v>
      </c>
      <c r="F85" s="2" t="n">
        <f aca="false">IFERROR(__xludf.dummyfunction("""COMPUTED_VALUE"""),5439449)</f>
        <v>5439449</v>
      </c>
    </row>
    <row r="86" customFormat="false" ht="15.75" hidden="false" customHeight="false" outlineLevel="0" collapsed="false">
      <c r="A86" s="3" t="n">
        <f aca="false">IFERROR(__xludf.dummyfunction("""COMPUTED_VALUE"""),44321.6666666667)</f>
        <v>44321.6666666667</v>
      </c>
      <c r="B86" s="2" t="n">
        <f aca="false">IFERROR(__xludf.dummyfunction("""COMPUTED_VALUE"""),166.94)</f>
        <v>166.94</v>
      </c>
      <c r="C86" s="2" t="n">
        <f aca="false">IFERROR(__xludf.dummyfunction("""COMPUTED_VALUE"""),167.73)</f>
        <v>167.73</v>
      </c>
      <c r="D86" s="2" t="n">
        <f aca="false">IFERROR(__xludf.dummyfunction("""COMPUTED_VALUE"""),163.22)</f>
        <v>163.22</v>
      </c>
      <c r="E86" s="2" t="n">
        <f aca="false">IFERROR(__xludf.dummyfunction("""COMPUTED_VALUE"""),163.53)</f>
        <v>163.53</v>
      </c>
      <c r="F86" s="2" t="n">
        <f aca="false">IFERROR(__xludf.dummyfunction("""COMPUTED_VALUE"""),3711308)</f>
        <v>3711308</v>
      </c>
    </row>
    <row r="87" customFormat="false" ht="15.75" hidden="false" customHeight="false" outlineLevel="0" collapsed="false">
      <c r="A87" s="3" t="n">
        <f aca="false">IFERROR(__xludf.dummyfunction("""COMPUTED_VALUE"""),44322.6666666667)</f>
        <v>44322.6666666667</v>
      </c>
      <c r="B87" s="2" t="n">
        <f aca="false">IFERROR(__xludf.dummyfunction("""COMPUTED_VALUE"""),163.5)</f>
        <v>163.5</v>
      </c>
      <c r="C87" s="2" t="n">
        <f aca="false">IFERROR(__xludf.dummyfunction("""COMPUTED_VALUE"""),165.72)</f>
        <v>165.72</v>
      </c>
      <c r="D87" s="2" t="n">
        <f aca="false">IFERROR(__xludf.dummyfunction("""COMPUTED_VALUE"""),162.36)</f>
        <v>162.36</v>
      </c>
      <c r="E87" s="2" t="n">
        <f aca="false">IFERROR(__xludf.dummyfunction("""COMPUTED_VALUE"""),165.32)</f>
        <v>165.32</v>
      </c>
      <c r="F87" s="2" t="n">
        <f aca="false">IFERROR(__xludf.dummyfunction("""COMPUTED_VALUE"""),4447696)</f>
        <v>4447696</v>
      </c>
    </row>
    <row r="88" customFormat="false" ht="15.75" hidden="false" customHeight="false" outlineLevel="0" collapsed="false">
      <c r="A88" s="3" t="n">
        <f aca="false">IFERROR(__xludf.dummyfunction("""COMPUTED_VALUE"""),44323.6666666667)</f>
        <v>44323.6666666667</v>
      </c>
      <c r="B88" s="2" t="n">
        <f aca="false">IFERROR(__xludf.dummyfunction("""COMPUTED_VALUE"""),165.95)</f>
        <v>165.95</v>
      </c>
      <c r="C88" s="2" t="n">
        <f aca="false">IFERROR(__xludf.dummyfunction("""COMPUTED_VALUE"""),166.54)</f>
        <v>166.54</v>
      </c>
      <c r="D88" s="2" t="n">
        <f aca="false">IFERROR(__xludf.dummyfunction("""COMPUTED_VALUE"""),164.45)</f>
        <v>164.45</v>
      </c>
      <c r="E88" s="2" t="n">
        <f aca="false">IFERROR(__xludf.dummyfunction("""COMPUTED_VALUE"""),164.58)</f>
        <v>164.58</v>
      </c>
      <c r="F88" s="2" t="n">
        <f aca="false">IFERROR(__xludf.dummyfunction("""COMPUTED_VALUE"""),4710276)</f>
        <v>4710276</v>
      </c>
    </row>
    <row r="89" customFormat="false" ht="15.75" hidden="false" customHeight="false" outlineLevel="0" collapsed="false">
      <c r="A89" s="3" t="n">
        <f aca="false">IFERROR(__xludf.dummyfunction("""COMPUTED_VALUE"""),44326.6666666667)</f>
        <v>44326.6666666667</v>
      </c>
      <c r="B89" s="2" t="n">
        <f aca="false">IFERROR(__xludf.dummyfunction("""COMPUTED_VALUE"""),164.12)</f>
        <v>164.12</v>
      </c>
      <c r="C89" s="2" t="n">
        <f aca="false">IFERROR(__xludf.dummyfunction("""COMPUTED_VALUE"""),164.15)</f>
        <v>164.15</v>
      </c>
      <c r="D89" s="2" t="n">
        <f aca="false">IFERROR(__xludf.dummyfunction("""COMPUTED_VALUE"""),159.5)</f>
        <v>159.5</v>
      </c>
      <c r="E89" s="2" t="n">
        <f aca="false">IFERROR(__xludf.dummyfunction("""COMPUTED_VALUE"""),159.52)</f>
        <v>159.52</v>
      </c>
      <c r="F89" s="2" t="n">
        <f aca="false">IFERROR(__xludf.dummyfunction("""COMPUTED_VALUE"""),5838603)</f>
        <v>5838603</v>
      </c>
    </row>
    <row r="90" customFormat="false" ht="15.75" hidden="false" customHeight="false" outlineLevel="0" collapsed="false">
      <c r="A90" s="3" t="n">
        <f aca="false">IFERROR(__xludf.dummyfunction("""COMPUTED_VALUE"""),44327.6666666667)</f>
        <v>44327.6666666667</v>
      </c>
      <c r="B90" s="2" t="n">
        <f aca="false">IFERROR(__xludf.dummyfunction("""COMPUTED_VALUE"""),156.81)</f>
        <v>156.81</v>
      </c>
      <c r="C90" s="2" t="n">
        <f aca="false">IFERROR(__xludf.dummyfunction("""COMPUTED_VALUE"""),161.9)</f>
        <v>161.9</v>
      </c>
      <c r="D90" s="2" t="n">
        <f aca="false">IFERROR(__xludf.dummyfunction("""COMPUTED_VALUE"""),156.37)</f>
        <v>156.37</v>
      </c>
      <c r="E90" s="2" t="n">
        <f aca="false">IFERROR(__xludf.dummyfunction("""COMPUTED_VALUE"""),161.2)</f>
        <v>161.2</v>
      </c>
      <c r="F90" s="2" t="n">
        <f aca="false">IFERROR(__xludf.dummyfunction("""COMPUTED_VALUE"""),4619781)</f>
        <v>4619781</v>
      </c>
    </row>
    <row r="91" customFormat="false" ht="15.75" hidden="false" customHeight="false" outlineLevel="0" collapsed="false">
      <c r="A91" s="3" t="n">
        <f aca="false">IFERROR(__xludf.dummyfunction("""COMPUTED_VALUE"""),44328.6666666667)</f>
        <v>44328.6666666667</v>
      </c>
      <c r="B91" s="2" t="n">
        <f aca="false">IFERROR(__xludf.dummyfunction("""COMPUTED_VALUE"""),159.25)</f>
        <v>159.25</v>
      </c>
      <c r="C91" s="2" t="n">
        <f aca="false">IFERROR(__xludf.dummyfunction("""COMPUTED_VALUE"""),160.4)</f>
        <v>160.4</v>
      </c>
      <c r="D91" s="2" t="n">
        <f aca="false">IFERROR(__xludf.dummyfunction("""COMPUTED_VALUE"""),156.66)</f>
        <v>156.66</v>
      </c>
      <c r="E91" s="2" t="n">
        <f aca="false">IFERROR(__xludf.dummyfunction("""COMPUTED_VALUE"""),157.6)</f>
        <v>157.6</v>
      </c>
      <c r="F91" s="2" t="n">
        <f aca="false">IFERROR(__xludf.dummyfunction("""COMPUTED_VALUE"""),4936410)</f>
        <v>4936410</v>
      </c>
    </row>
    <row r="92" customFormat="false" ht="15.75" hidden="false" customHeight="false" outlineLevel="0" collapsed="false">
      <c r="A92" s="3" t="n">
        <f aca="false">IFERROR(__xludf.dummyfunction("""COMPUTED_VALUE"""),44329.6666666667)</f>
        <v>44329.6666666667</v>
      </c>
      <c r="B92" s="2" t="n">
        <f aca="false">IFERROR(__xludf.dummyfunction("""COMPUTED_VALUE"""),159.27)</f>
        <v>159.27</v>
      </c>
      <c r="C92" s="2" t="n">
        <f aca="false">IFERROR(__xludf.dummyfunction("""COMPUTED_VALUE"""),160.19)</f>
        <v>160.19</v>
      </c>
      <c r="D92" s="2" t="n">
        <f aca="false">IFERROR(__xludf.dummyfunction("""COMPUTED_VALUE"""),156.65)</f>
        <v>156.65</v>
      </c>
      <c r="E92" s="2" t="n">
        <f aca="false">IFERROR(__xludf.dummyfunction("""COMPUTED_VALUE"""),158.07)</f>
        <v>158.07</v>
      </c>
      <c r="F92" s="2" t="n">
        <f aca="false">IFERROR(__xludf.dummyfunction("""COMPUTED_VALUE"""),3356877)</f>
        <v>3356877</v>
      </c>
    </row>
    <row r="93" customFormat="false" ht="15.75" hidden="false" customHeight="false" outlineLevel="0" collapsed="false">
      <c r="A93" s="3" t="n">
        <f aca="false">IFERROR(__xludf.dummyfunction("""COMPUTED_VALUE"""),44330.6666666667)</f>
        <v>44330.6666666667</v>
      </c>
      <c r="B93" s="2" t="n">
        <f aca="false">IFERROR(__xludf.dummyfunction("""COMPUTED_VALUE"""),159.28)</f>
        <v>159.28</v>
      </c>
      <c r="C93" s="2" t="n">
        <f aca="false">IFERROR(__xludf.dummyfunction("""COMPUTED_VALUE"""),161.44)</f>
        <v>161.44</v>
      </c>
      <c r="D93" s="2" t="n">
        <f aca="false">IFERROR(__xludf.dummyfunction("""COMPUTED_VALUE"""),159.15)</f>
        <v>159.15</v>
      </c>
      <c r="E93" s="2" t="n">
        <f aca="false">IFERROR(__xludf.dummyfunction("""COMPUTED_VALUE"""),161.15)</f>
        <v>161.15</v>
      </c>
      <c r="F93" s="2" t="n">
        <f aca="false">IFERROR(__xludf.dummyfunction("""COMPUTED_VALUE"""),3325022)</f>
        <v>3325022</v>
      </c>
    </row>
    <row r="94" customFormat="false" ht="15.75" hidden="false" customHeight="false" outlineLevel="0" collapsed="false">
      <c r="A94" s="3" t="n">
        <f aca="false">IFERROR(__xludf.dummyfunction("""COMPUTED_VALUE"""),44333.6666666667)</f>
        <v>44333.6666666667</v>
      </c>
      <c r="B94" s="2" t="n">
        <f aca="false">IFERROR(__xludf.dummyfunction("""COMPUTED_VALUE"""),162.3)</f>
        <v>162.3</v>
      </c>
      <c r="C94" s="2" t="n">
        <f aca="false">IFERROR(__xludf.dummyfunction("""COMPUTED_VALUE"""),164.64)</f>
        <v>164.64</v>
      </c>
      <c r="D94" s="2" t="n">
        <f aca="false">IFERROR(__xludf.dummyfunction("""COMPUTED_VALUE"""),161.73)</f>
        <v>161.73</v>
      </c>
      <c r="E94" s="2" t="n">
        <f aca="false">IFERROR(__xludf.dummyfunction("""COMPUTED_VALUE"""),163.52)</f>
        <v>163.52</v>
      </c>
      <c r="F94" s="2" t="n">
        <f aca="false">IFERROR(__xludf.dummyfunction("""COMPUTED_VALUE"""),3723925)</f>
        <v>3723925</v>
      </c>
    </row>
    <row r="95" customFormat="false" ht="15.75" hidden="false" customHeight="false" outlineLevel="0" collapsed="false">
      <c r="A95" s="3" t="n">
        <f aca="false">IFERROR(__xludf.dummyfunction("""COMPUTED_VALUE"""),44334.6666666667)</f>
        <v>44334.6666666667</v>
      </c>
      <c r="B95" s="2" t="n">
        <f aca="false">IFERROR(__xludf.dummyfunction("""COMPUTED_VALUE"""),164.63)</f>
        <v>164.63</v>
      </c>
      <c r="C95" s="2" t="n">
        <f aca="false">IFERROR(__xludf.dummyfunction("""COMPUTED_VALUE"""),165.6)</f>
        <v>165.6</v>
      </c>
      <c r="D95" s="2" t="n">
        <f aca="false">IFERROR(__xludf.dummyfunction("""COMPUTED_VALUE"""),161.52)</f>
        <v>161.52</v>
      </c>
      <c r="E95" s="2" t="n">
        <f aca="false">IFERROR(__xludf.dummyfunction("""COMPUTED_VALUE"""),161.61)</f>
        <v>161.61</v>
      </c>
      <c r="F95" s="2" t="n">
        <f aca="false">IFERROR(__xludf.dummyfunction("""COMPUTED_VALUE"""),2828391)</f>
        <v>2828391</v>
      </c>
    </row>
    <row r="96" customFormat="false" ht="15.75" hidden="false" customHeight="false" outlineLevel="0" collapsed="false">
      <c r="A96" s="3" t="n">
        <f aca="false">IFERROR(__xludf.dummyfunction("""COMPUTED_VALUE"""),44335.6666666667)</f>
        <v>44335.6666666667</v>
      </c>
      <c r="B96" s="2" t="n">
        <f aca="false">IFERROR(__xludf.dummyfunction("""COMPUTED_VALUE"""),159.75)</f>
        <v>159.75</v>
      </c>
      <c r="C96" s="2" t="n">
        <f aca="false">IFERROR(__xludf.dummyfunction("""COMPUTED_VALUE"""),161.74)</f>
        <v>161.74</v>
      </c>
      <c r="D96" s="2" t="n">
        <f aca="false">IFERROR(__xludf.dummyfunction("""COMPUTED_VALUE"""),159.2)</f>
        <v>159.2</v>
      </c>
      <c r="E96" s="2" t="n">
        <f aca="false">IFERROR(__xludf.dummyfunction("""COMPUTED_VALUE"""),161.59)</f>
        <v>161.59</v>
      </c>
      <c r="F96" s="2" t="n">
        <f aca="false">IFERROR(__xludf.dummyfunction("""COMPUTED_VALUE"""),2679708)</f>
        <v>2679708</v>
      </c>
    </row>
    <row r="97" customFormat="false" ht="15.75" hidden="false" customHeight="false" outlineLevel="0" collapsed="false">
      <c r="A97" s="3" t="n">
        <f aca="false">IFERROR(__xludf.dummyfunction("""COMPUTED_VALUE"""),44336.6666666667)</f>
        <v>44336.6666666667</v>
      </c>
      <c r="B97" s="2" t="n">
        <f aca="false">IFERROR(__xludf.dummyfunction("""COMPUTED_VALUE"""),162.22)</f>
        <v>162.22</v>
      </c>
      <c r="C97" s="2" t="n">
        <f aca="false">IFERROR(__xludf.dummyfunction("""COMPUTED_VALUE"""),162.98)</f>
        <v>162.98</v>
      </c>
      <c r="D97" s="2" t="n">
        <f aca="false">IFERROR(__xludf.dummyfunction("""COMPUTED_VALUE"""),161.81)</f>
        <v>161.81</v>
      </c>
      <c r="E97" s="2" t="n">
        <f aca="false">IFERROR(__xludf.dummyfunction("""COMPUTED_VALUE"""),162.38)</f>
        <v>162.38</v>
      </c>
      <c r="F97" s="2" t="n">
        <f aca="false">IFERROR(__xludf.dummyfunction("""COMPUTED_VALUE"""),2633192)</f>
        <v>2633192</v>
      </c>
    </row>
    <row r="98" customFormat="false" ht="15.75" hidden="false" customHeight="false" outlineLevel="0" collapsed="false">
      <c r="A98" s="3" t="n">
        <f aca="false">IFERROR(__xludf.dummyfunction("""COMPUTED_VALUE"""),44337.6666666667)</f>
        <v>44337.6666666667</v>
      </c>
      <c r="B98" s="2" t="n">
        <f aca="false">IFERROR(__xludf.dummyfunction("""COMPUTED_VALUE"""),162.5)</f>
        <v>162.5</v>
      </c>
      <c r="C98" s="2" t="n">
        <f aca="false">IFERROR(__xludf.dummyfunction("""COMPUTED_VALUE"""),162.83)</f>
        <v>162.83</v>
      </c>
      <c r="D98" s="2" t="n">
        <f aca="false">IFERROR(__xludf.dummyfunction("""COMPUTED_VALUE"""),159.85)</f>
        <v>159.85</v>
      </c>
      <c r="E98" s="2" t="n">
        <f aca="false">IFERROR(__xludf.dummyfunction("""COMPUTED_VALUE"""),160.15)</f>
        <v>160.15</v>
      </c>
      <c r="F98" s="2" t="n">
        <f aca="false">IFERROR(__xludf.dummyfunction("""COMPUTED_VALUE"""),4104882)</f>
        <v>4104882</v>
      </c>
    </row>
    <row r="99" customFormat="false" ht="15.75" hidden="false" customHeight="false" outlineLevel="0" collapsed="false">
      <c r="A99" s="3" t="n">
        <f aca="false">IFERROR(__xludf.dummyfunction("""COMPUTED_VALUE"""),44340.6666666667)</f>
        <v>44340.6666666667</v>
      </c>
      <c r="B99" s="2" t="n">
        <f aca="false">IFERROR(__xludf.dummyfunction("""COMPUTED_VALUE"""),160.78)</f>
        <v>160.78</v>
      </c>
      <c r="C99" s="2" t="n">
        <f aca="false">IFERROR(__xludf.dummyfunction("""COMPUTED_VALUE"""),162.9)</f>
        <v>162.9</v>
      </c>
      <c r="D99" s="2" t="n">
        <f aca="false">IFERROR(__xludf.dummyfunction("""COMPUTED_VALUE"""),160.52)</f>
        <v>160.52</v>
      </c>
      <c r="E99" s="2" t="n">
        <f aca="false">IFERROR(__xludf.dummyfunction("""COMPUTED_VALUE"""),162.25)</f>
        <v>162.25</v>
      </c>
      <c r="F99" s="2" t="n">
        <f aca="false">IFERROR(__xludf.dummyfunction("""COMPUTED_VALUE"""),2422813)</f>
        <v>2422813</v>
      </c>
    </row>
    <row r="100" customFormat="false" ht="15.75" hidden="false" customHeight="false" outlineLevel="0" collapsed="false">
      <c r="A100" s="3" t="n">
        <f aca="false">IFERROR(__xludf.dummyfunction("""COMPUTED_VALUE"""),44341.6666666667)</f>
        <v>44341.6666666667</v>
      </c>
      <c r="B100" s="2" t="n">
        <f aca="false">IFERROR(__xludf.dummyfunction("""COMPUTED_VALUE"""),163.33)</f>
        <v>163.33</v>
      </c>
      <c r="C100" s="2" t="n">
        <f aca="false">IFERROR(__xludf.dummyfunction("""COMPUTED_VALUE"""),163.99)</f>
        <v>163.99</v>
      </c>
      <c r="D100" s="2" t="n">
        <f aca="false">IFERROR(__xludf.dummyfunction("""COMPUTED_VALUE"""),160.69)</f>
        <v>160.69</v>
      </c>
      <c r="E100" s="2" t="n">
        <f aca="false">IFERROR(__xludf.dummyfunction("""COMPUTED_VALUE"""),162.95)</f>
        <v>162.95</v>
      </c>
      <c r="F100" s="2" t="n">
        <f aca="false">IFERROR(__xludf.dummyfunction("""COMPUTED_VALUE"""),3261109)</f>
        <v>3261109</v>
      </c>
    </row>
    <row r="101" customFormat="false" ht="15.75" hidden="false" customHeight="false" outlineLevel="0" collapsed="false">
      <c r="A101" s="3" t="n">
        <f aca="false">IFERROR(__xludf.dummyfunction("""COMPUTED_VALUE"""),44342.6666666667)</f>
        <v>44342.6666666667</v>
      </c>
      <c r="B101" s="2" t="n">
        <f aca="false">IFERROR(__xludf.dummyfunction("""COMPUTED_VALUE"""),163.73)</f>
        <v>163.73</v>
      </c>
      <c r="C101" s="2" t="n">
        <f aca="false">IFERROR(__xludf.dummyfunction("""COMPUTED_VALUE"""),164.79)</f>
        <v>164.79</v>
      </c>
      <c r="D101" s="2" t="n">
        <f aca="false">IFERROR(__xludf.dummyfunction("""COMPUTED_VALUE"""),162.93)</f>
        <v>162.93</v>
      </c>
      <c r="E101" s="2" t="n">
        <f aca="false">IFERROR(__xludf.dummyfunction("""COMPUTED_VALUE"""),163.26)</f>
        <v>163.26</v>
      </c>
      <c r="F101" s="2" t="n">
        <f aca="false">IFERROR(__xludf.dummyfunction("""COMPUTED_VALUE"""),2383986)</f>
        <v>2383986</v>
      </c>
    </row>
    <row r="102" customFormat="false" ht="15.75" hidden="false" customHeight="false" outlineLevel="0" collapsed="false">
      <c r="A102" s="3" t="n">
        <f aca="false">IFERROR(__xludf.dummyfunction("""COMPUTED_VALUE"""),44343.6666666667)</f>
        <v>44343.6666666667</v>
      </c>
      <c r="B102" s="2" t="n">
        <f aca="false">IFERROR(__xludf.dummyfunction("""COMPUTED_VALUE"""),162.8)</f>
        <v>162.8</v>
      </c>
      <c r="C102" s="2" t="n">
        <f aca="false">IFERROR(__xludf.dummyfunction("""COMPUTED_VALUE"""),163.02)</f>
        <v>163.02</v>
      </c>
      <c r="D102" s="2" t="n">
        <f aca="false">IFERROR(__xludf.dummyfunction("""COMPUTED_VALUE"""),161.5)</f>
        <v>161.5</v>
      </c>
      <c r="E102" s="2" t="n">
        <f aca="false">IFERROR(__xludf.dummyfunction("""COMPUTED_VALUE"""),161.51)</f>
        <v>161.51</v>
      </c>
      <c r="F102" s="2" t="n">
        <f aca="false">IFERROR(__xludf.dummyfunction("""COMPUTED_VALUE"""),2561157)</f>
        <v>2561157</v>
      </c>
    </row>
    <row r="103" customFormat="false" ht="15.75" hidden="false" customHeight="false" outlineLevel="0" collapsed="false">
      <c r="A103" s="3" t="n">
        <f aca="false">IFERROR(__xludf.dummyfunction("""COMPUTED_VALUE"""),44344.6666666667)</f>
        <v>44344.6666666667</v>
      </c>
      <c r="B103" s="2" t="n">
        <f aca="false">IFERROR(__xludf.dummyfunction("""COMPUTED_VALUE"""),162.1)</f>
        <v>162.1</v>
      </c>
      <c r="C103" s="2" t="n">
        <f aca="false">IFERROR(__xludf.dummyfunction("""COMPUTED_VALUE"""),162.4)</f>
        <v>162.4</v>
      </c>
      <c r="D103" s="2" t="n">
        <f aca="false">IFERROR(__xludf.dummyfunction("""COMPUTED_VALUE"""),160.99)</f>
        <v>160.99</v>
      </c>
      <c r="E103" s="2" t="n">
        <f aca="false">IFERROR(__xludf.dummyfunction("""COMPUTED_VALUE"""),161.15)</f>
        <v>161.15</v>
      </c>
      <c r="F103" s="2" t="n">
        <f aca="false">IFERROR(__xludf.dummyfunction("""COMPUTED_VALUE"""),2331509)</f>
        <v>2331509</v>
      </c>
    </row>
    <row r="104" customFormat="false" ht="15.75" hidden="false" customHeight="false" outlineLevel="0" collapsed="false">
      <c r="A104" s="3" t="n">
        <f aca="false">IFERROR(__xludf.dummyfunction("""COMPUTED_VALUE"""),44348.6666666667)</f>
        <v>44348.6666666667</v>
      </c>
      <c r="B104" s="2" t="n">
        <f aca="false">IFERROR(__xludf.dummyfunction("""COMPUTED_VALUE"""),162.17)</f>
        <v>162.17</v>
      </c>
      <c r="C104" s="2" t="n">
        <f aca="false">IFERROR(__xludf.dummyfunction("""COMPUTED_VALUE"""),162.55)</f>
        <v>162.55</v>
      </c>
      <c r="D104" s="2" t="n">
        <f aca="false">IFERROR(__xludf.dummyfunction("""COMPUTED_VALUE"""),160.45)</f>
        <v>160.45</v>
      </c>
      <c r="E104" s="2" t="n">
        <f aca="false">IFERROR(__xludf.dummyfunction("""COMPUTED_VALUE"""),160.93)</f>
        <v>160.93</v>
      </c>
      <c r="F104" s="2" t="n">
        <f aca="false">IFERROR(__xludf.dummyfunction("""COMPUTED_VALUE"""),2430045)</f>
        <v>2430045</v>
      </c>
    </row>
    <row r="105" customFormat="false" ht="15.75" hidden="false" customHeight="false" outlineLevel="0" collapsed="false">
      <c r="A105" s="3" t="n">
        <f aca="false">IFERROR(__xludf.dummyfunction("""COMPUTED_VALUE"""),44349.6666666667)</f>
        <v>44349.6666666667</v>
      </c>
      <c r="B105" s="2" t="n">
        <f aca="false">IFERROR(__xludf.dummyfunction("""COMPUTED_VALUE"""),161.16)</f>
        <v>161.16</v>
      </c>
      <c r="C105" s="2" t="n">
        <f aca="false">IFERROR(__xludf.dummyfunction("""COMPUTED_VALUE"""),161.75)</f>
        <v>161.75</v>
      </c>
      <c r="D105" s="2" t="n">
        <f aca="false">IFERROR(__xludf.dummyfunction("""COMPUTED_VALUE"""),160.4)</f>
        <v>160.4</v>
      </c>
      <c r="E105" s="2" t="n">
        <f aca="false">IFERROR(__xludf.dummyfunction("""COMPUTED_VALUE"""),161.7)</f>
        <v>161.7</v>
      </c>
      <c r="F105" s="2" t="n">
        <f aca="false">IFERROR(__xludf.dummyfunction("""COMPUTED_VALUE"""),2014524)</f>
        <v>2014524</v>
      </c>
    </row>
    <row r="106" customFormat="false" ht="15.75" hidden="false" customHeight="false" outlineLevel="0" collapsed="false">
      <c r="A106" s="3" t="n">
        <f aca="false">IFERROR(__xludf.dummyfunction("""COMPUTED_VALUE"""),44350.6666666667)</f>
        <v>44350.6666666667</v>
      </c>
      <c r="B106" s="2" t="n">
        <f aca="false">IFERROR(__xludf.dummyfunction("""COMPUTED_VALUE"""),160.21)</f>
        <v>160.21</v>
      </c>
      <c r="C106" s="2" t="n">
        <f aca="false">IFERROR(__xludf.dummyfunction("""COMPUTED_VALUE"""),160.72)</f>
        <v>160.72</v>
      </c>
      <c r="D106" s="2" t="n">
        <f aca="false">IFERROR(__xludf.dummyfunction("""COMPUTED_VALUE"""),159.2)</f>
        <v>159.2</v>
      </c>
      <c r="E106" s="2" t="n">
        <f aca="false">IFERROR(__xludf.dummyfunction("""COMPUTED_VALUE"""),159.35)</f>
        <v>159.35</v>
      </c>
      <c r="F106" s="2" t="n">
        <f aca="false">IFERROR(__xludf.dummyfunction("""COMPUTED_VALUE"""),2398293)</f>
        <v>2398293</v>
      </c>
    </row>
    <row r="107" customFormat="false" ht="15.75" hidden="false" customHeight="false" outlineLevel="0" collapsed="false">
      <c r="A107" s="3" t="n">
        <f aca="false">IFERROR(__xludf.dummyfunction("""COMPUTED_VALUE"""),44351.6666666667)</f>
        <v>44351.6666666667</v>
      </c>
      <c r="B107" s="2" t="n">
        <f aca="false">IFERROR(__xludf.dummyfunction("""COMPUTED_VALUE"""),160.6)</f>
        <v>160.6</v>
      </c>
      <c r="C107" s="2" t="n">
        <f aca="false">IFERROR(__xludf.dummyfunction("""COMPUTED_VALUE"""),161.05)</f>
        <v>161.05</v>
      </c>
      <c r="D107" s="2" t="n">
        <f aca="false">IFERROR(__xludf.dummyfunction("""COMPUTED_VALUE"""),159.94)</f>
        <v>159.94</v>
      </c>
      <c r="E107" s="2" t="n">
        <f aca="false">IFERROR(__xludf.dummyfunction("""COMPUTED_VALUE"""),160.31)</f>
        <v>160.31</v>
      </c>
      <c r="F107" s="2" t="n">
        <f aca="false">IFERROR(__xludf.dummyfunction("""COMPUTED_VALUE"""),2249749)</f>
        <v>2249749</v>
      </c>
    </row>
    <row r="108" customFormat="false" ht="15.75" hidden="false" customHeight="false" outlineLevel="0" collapsed="false">
      <c r="A108" s="3" t="n">
        <f aca="false">IFERROR(__xludf.dummyfunction("""COMPUTED_VALUE"""),44354.6666666667)</f>
        <v>44354.6666666667</v>
      </c>
      <c r="B108" s="2" t="n">
        <f aca="false">IFERROR(__xludf.dummyfunction("""COMPUTED_VALUE"""),159.87)</f>
        <v>159.87</v>
      </c>
      <c r="C108" s="2" t="n">
        <f aca="false">IFERROR(__xludf.dummyfunction("""COMPUTED_VALUE"""),160.4)</f>
        <v>160.4</v>
      </c>
      <c r="D108" s="2" t="n">
        <f aca="false">IFERROR(__xludf.dummyfunction("""COMPUTED_VALUE"""),158.61)</f>
        <v>158.61</v>
      </c>
      <c r="E108" s="2" t="n">
        <f aca="false">IFERROR(__xludf.dummyfunction("""COMPUTED_VALUE"""),159.9)</f>
        <v>159.9</v>
      </c>
      <c r="F108" s="2" t="n">
        <f aca="false">IFERROR(__xludf.dummyfunction("""COMPUTED_VALUE"""),2215756)</f>
        <v>2215756</v>
      </c>
    </row>
    <row r="109" customFormat="false" ht="15.75" hidden="false" customHeight="false" outlineLevel="0" collapsed="false">
      <c r="A109" s="3" t="n">
        <f aca="false">IFERROR(__xludf.dummyfunction("""COMPUTED_VALUE"""),44355.6666666667)</f>
        <v>44355.6666666667</v>
      </c>
      <c r="B109" s="2" t="n">
        <f aca="false">IFERROR(__xludf.dummyfunction("""COMPUTED_VALUE"""),161.13)</f>
        <v>161.13</v>
      </c>
      <c r="C109" s="2" t="n">
        <f aca="false">IFERROR(__xludf.dummyfunction("""COMPUTED_VALUE"""),163.98)</f>
        <v>163.98</v>
      </c>
      <c r="D109" s="2" t="n">
        <f aca="false">IFERROR(__xludf.dummyfunction("""COMPUTED_VALUE"""),160.9)</f>
        <v>160.9</v>
      </c>
      <c r="E109" s="2" t="n">
        <f aca="false">IFERROR(__xludf.dummyfunction("""COMPUTED_VALUE"""),163.21)</f>
        <v>163.21</v>
      </c>
      <c r="F109" s="2" t="n">
        <f aca="false">IFERROR(__xludf.dummyfunction("""COMPUTED_VALUE"""),3416730)</f>
        <v>3416730</v>
      </c>
    </row>
    <row r="110" customFormat="false" ht="15.75" hidden="false" customHeight="false" outlineLevel="0" collapsed="false">
      <c r="A110" s="3" t="n">
        <f aca="false">IFERROR(__xludf.dummyfunction("""COMPUTED_VALUE"""),44356.6666666667)</f>
        <v>44356.6666666667</v>
      </c>
      <c r="B110" s="2" t="n">
        <f aca="false">IFERROR(__xludf.dummyfunction("""COMPUTED_VALUE"""),163.64)</f>
        <v>163.64</v>
      </c>
      <c r="C110" s="2" t="n">
        <f aca="false">IFERROR(__xludf.dummyfunction("""COMPUTED_VALUE"""),164.88)</f>
        <v>164.88</v>
      </c>
      <c r="D110" s="2" t="n">
        <f aca="false">IFERROR(__xludf.dummyfunction("""COMPUTED_VALUE"""),163.54)</f>
        <v>163.54</v>
      </c>
      <c r="E110" s="2" t="n">
        <f aca="false">IFERROR(__xludf.dummyfunction("""COMPUTED_VALUE"""),164.06)</f>
        <v>164.06</v>
      </c>
      <c r="F110" s="2" t="n">
        <f aca="false">IFERROR(__xludf.dummyfunction("""COMPUTED_VALUE"""),2455530)</f>
        <v>2455530</v>
      </c>
    </row>
    <row r="111" customFormat="false" ht="15.75" hidden="false" customHeight="false" outlineLevel="0" collapsed="false">
      <c r="A111" s="3" t="n">
        <f aca="false">IFERROR(__xludf.dummyfunction("""COMPUTED_VALUE"""),44357.6666666667)</f>
        <v>44357.6666666667</v>
      </c>
      <c r="B111" s="2" t="n">
        <f aca="false">IFERROR(__xludf.dummyfunction("""COMPUTED_VALUE"""),164.1)</f>
        <v>164.1</v>
      </c>
      <c r="C111" s="2" t="n">
        <f aca="false">IFERROR(__xludf.dummyfunction("""COMPUTED_VALUE"""),167.55)</f>
        <v>167.55</v>
      </c>
      <c r="D111" s="2" t="n">
        <f aca="false">IFERROR(__xludf.dummyfunction("""COMPUTED_VALUE"""),164.06)</f>
        <v>164.06</v>
      </c>
      <c r="E111" s="2" t="n">
        <f aca="false">IFERROR(__xludf.dummyfunction("""COMPUTED_VALUE"""),167.48)</f>
        <v>167.48</v>
      </c>
      <c r="F111" s="2" t="n">
        <f aca="false">IFERROR(__xludf.dummyfunction("""COMPUTED_VALUE"""),3476480)</f>
        <v>3476480</v>
      </c>
    </row>
    <row r="112" customFormat="false" ht="15.75" hidden="false" customHeight="false" outlineLevel="0" collapsed="false">
      <c r="A112" s="3" t="n">
        <f aca="false">IFERROR(__xludf.dummyfunction("""COMPUTED_VALUE"""),44358.6666666667)</f>
        <v>44358.6666666667</v>
      </c>
      <c r="B112" s="2" t="n">
        <f aca="false">IFERROR(__xludf.dummyfunction("""COMPUTED_VALUE"""),167.48)</f>
        <v>167.48</v>
      </c>
      <c r="C112" s="2" t="n">
        <f aca="false">IFERROR(__xludf.dummyfunction("""COMPUTED_VALUE"""),168.33)</f>
        <v>168.33</v>
      </c>
      <c r="D112" s="2" t="n">
        <f aca="false">IFERROR(__xludf.dummyfunction("""COMPUTED_VALUE"""),166.67)</f>
        <v>166.67</v>
      </c>
      <c r="E112" s="2" t="n">
        <f aca="false">IFERROR(__xludf.dummyfunction("""COMPUTED_VALUE"""),167.34)</f>
        <v>167.34</v>
      </c>
      <c r="F112" s="2" t="n">
        <f aca="false">IFERROR(__xludf.dummyfunction("""COMPUTED_VALUE"""),2817352)</f>
        <v>2817352</v>
      </c>
    </row>
    <row r="113" customFormat="false" ht="15.75" hidden="false" customHeight="false" outlineLevel="0" collapsed="false">
      <c r="A113" s="3" t="n">
        <f aca="false">IFERROR(__xludf.dummyfunction("""COMPUTED_VALUE"""),44361.6666666667)</f>
        <v>44361.6666666667</v>
      </c>
      <c r="B113" s="2" t="n">
        <f aca="false">IFERROR(__xludf.dummyfunction("""COMPUTED_VALUE"""),167.34)</f>
        <v>167.34</v>
      </c>
      <c r="C113" s="2" t="n">
        <f aca="false">IFERROR(__xludf.dummyfunction("""COMPUTED_VALUE"""),169.25)</f>
        <v>169.25</v>
      </c>
      <c r="D113" s="2" t="n">
        <f aca="false">IFERROR(__xludf.dummyfunction("""COMPUTED_VALUE"""),166.78)</f>
        <v>166.78</v>
      </c>
      <c r="E113" s="2" t="n">
        <f aca="false">IFERROR(__xludf.dummyfunction("""COMPUTED_VALUE"""),169.19)</f>
        <v>169.19</v>
      </c>
      <c r="F113" s="2" t="n">
        <f aca="false">IFERROR(__xludf.dummyfunction("""COMPUTED_VALUE"""),2569655)</f>
        <v>2569655</v>
      </c>
    </row>
    <row r="114" customFormat="false" ht="15.75" hidden="false" customHeight="false" outlineLevel="0" collapsed="false">
      <c r="A114" s="3" t="n">
        <f aca="false">IFERROR(__xludf.dummyfunction("""COMPUTED_VALUE"""),44362.6666666667)</f>
        <v>44362.6666666667</v>
      </c>
      <c r="B114" s="2" t="n">
        <f aca="false">IFERROR(__xludf.dummyfunction("""COMPUTED_VALUE"""),169.2)</f>
        <v>169.2</v>
      </c>
      <c r="C114" s="2" t="n">
        <f aca="false">IFERROR(__xludf.dummyfunction("""COMPUTED_VALUE"""),169.85)</f>
        <v>169.85</v>
      </c>
      <c r="D114" s="2" t="n">
        <f aca="false">IFERROR(__xludf.dummyfunction("""COMPUTED_VALUE"""),168.16)</f>
        <v>168.16</v>
      </c>
      <c r="E114" s="2" t="n">
        <f aca="false">IFERROR(__xludf.dummyfunction("""COMPUTED_VALUE"""),169.16)</f>
        <v>169.16</v>
      </c>
      <c r="F114" s="2" t="n">
        <f aca="false">IFERROR(__xludf.dummyfunction("""COMPUTED_VALUE"""),2426200)</f>
        <v>2426200</v>
      </c>
    </row>
    <row r="115" customFormat="false" ht="15.75" hidden="false" customHeight="false" outlineLevel="0" collapsed="false">
      <c r="A115" s="3" t="n">
        <f aca="false">IFERROR(__xludf.dummyfunction("""COMPUTED_VALUE"""),44363.6666666667)</f>
        <v>44363.6666666667</v>
      </c>
      <c r="B115" s="2" t="n">
        <f aca="false">IFERROR(__xludf.dummyfunction("""COMPUTED_VALUE"""),169.6)</f>
        <v>169.6</v>
      </c>
      <c r="C115" s="2" t="n">
        <f aca="false">IFERROR(__xludf.dummyfunction("""COMPUTED_VALUE"""),171.32)</f>
        <v>171.32</v>
      </c>
      <c r="D115" s="2" t="n">
        <f aca="false">IFERROR(__xludf.dummyfunction("""COMPUTED_VALUE"""),168.03)</f>
        <v>168.03</v>
      </c>
      <c r="E115" s="2" t="n">
        <f aca="false">IFERROR(__xludf.dummyfunction("""COMPUTED_VALUE"""),170.76)</f>
        <v>170.76</v>
      </c>
      <c r="F115" s="2" t="n">
        <f aca="false">IFERROR(__xludf.dummyfunction("""COMPUTED_VALUE"""),4202782)</f>
        <v>4202782</v>
      </c>
    </row>
    <row r="116" customFormat="false" ht="15.75" hidden="false" customHeight="false" outlineLevel="0" collapsed="false">
      <c r="A116" s="3" t="n">
        <f aca="false">IFERROR(__xludf.dummyfunction("""COMPUTED_VALUE"""),44364.6666666667)</f>
        <v>44364.6666666667</v>
      </c>
      <c r="B116" s="2" t="n">
        <f aca="false">IFERROR(__xludf.dummyfunction("""COMPUTED_VALUE"""),170.16)</f>
        <v>170.16</v>
      </c>
      <c r="C116" s="2" t="n">
        <f aca="false">IFERROR(__xludf.dummyfunction("""COMPUTED_VALUE"""),174.86)</f>
        <v>174.86</v>
      </c>
      <c r="D116" s="2" t="n">
        <f aca="false">IFERROR(__xludf.dummyfunction("""COMPUTED_VALUE"""),170.05)</f>
        <v>170.05</v>
      </c>
      <c r="E116" s="2" t="n">
        <f aca="false">IFERROR(__xludf.dummyfunction("""COMPUTED_VALUE"""),174.46)</f>
        <v>174.46</v>
      </c>
      <c r="F116" s="2" t="n">
        <f aca="false">IFERROR(__xludf.dummyfunction("""COMPUTED_VALUE"""),5136531)</f>
        <v>5136531</v>
      </c>
    </row>
    <row r="117" customFormat="false" ht="15.75" hidden="false" customHeight="false" outlineLevel="0" collapsed="false">
      <c r="A117" s="3" t="n">
        <f aca="false">IFERROR(__xludf.dummyfunction("""COMPUTED_VALUE"""),44365.6666666667)</f>
        <v>44365.6666666667</v>
      </c>
      <c r="B117" s="2" t="n">
        <f aca="false">IFERROR(__xludf.dummyfunction("""COMPUTED_VALUE"""),174)</f>
        <v>174</v>
      </c>
      <c r="C117" s="2" t="n">
        <f aca="false">IFERROR(__xludf.dummyfunction("""COMPUTED_VALUE"""),175.35)</f>
        <v>175.35</v>
      </c>
      <c r="D117" s="2" t="n">
        <f aca="false">IFERROR(__xludf.dummyfunction("""COMPUTED_VALUE"""),173.69)</f>
        <v>173.69</v>
      </c>
      <c r="E117" s="2" t="n">
        <f aca="false">IFERROR(__xludf.dummyfunction("""COMPUTED_VALUE"""),174.35)</f>
        <v>174.35</v>
      </c>
      <c r="F117" s="2" t="n">
        <f aca="false">IFERROR(__xludf.dummyfunction("""COMPUTED_VALUE"""),5247737)</f>
        <v>5247737</v>
      </c>
    </row>
    <row r="118" customFormat="false" ht="15.75" hidden="false" customHeight="false" outlineLevel="0" collapsed="false">
      <c r="A118" s="3" t="n">
        <f aca="false">IFERROR(__xludf.dummyfunction("""COMPUTED_VALUE"""),44368.6666666667)</f>
        <v>44368.6666666667</v>
      </c>
      <c r="B118" s="2" t="n">
        <f aca="false">IFERROR(__xludf.dummyfunction("""COMPUTED_VALUE"""),173.82)</f>
        <v>173.82</v>
      </c>
      <c r="C118" s="2" t="n">
        <f aca="false">IFERROR(__xludf.dummyfunction("""COMPUTED_VALUE"""),174.1)</f>
        <v>174.1</v>
      </c>
      <c r="D118" s="2" t="n">
        <f aca="false">IFERROR(__xludf.dummyfunction("""COMPUTED_VALUE"""),171.7)</f>
        <v>171.7</v>
      </c>
      <c r="E118" s="2" t="n">
        <f aca="false">IFERROR(__xludf.dummyfunction("""COMPUTED_VALUE"""),172.7)</f>
        <v>172.7</v>
      </c>
      <c r="F118" s="2" t="n">
        <f aca="false">IFERROR(__xludf.dummyfunction("""COMPUTED_VALUE"""),3277130)</f>
        <v>3277130</v>
      </c>
    </row>
    <row r="119" customFormat="false" ht="15.75" hidden="false" customHeight="false" outlineLevel="0" collapsed="false">
      <c r="A119" s="3" t="n">
        <f aca="false">IFERROR(__xludf.dummyfunction("""COMPUTED_VALUE"""),44369.6666666667)</f>
        <v>44369.6666666667</v>
      </c>
      <c r="B119" s="2" t="n">
        <f aca="false">IFERROR(__xludf.dummyfunction("""COMPUTED_VALUE"""),172.9)</f>
        <v>172.9</v>
      </c>
      <c r="C119" s="2" t="n">
        <f aca="false">IFERROR(__xludf.dummyfunction("""COMPUTED_VALUE"""),176.19)</f>
        <v>176.19</v>
      </c>
      <c r="D119" s="2" t="n">
        <f aca="false">IFERROR(__xludf.dummyfunction("""COMPUTED_VALUE"""),172.8)</f>
        <v>172.8</v>
      </c>
      <c r="E119" s="2" t="n">
        <f aca="false">IFERROR(__xludf.dummyfunction("""COMPUTED_VALUE"""),175.27)</f>
        <v>175.27</v>
      </c>
      <c r="F119" s="2" t="n">
        <f aca="false">IFERROR(__xludf.dummyfunction("""COMPUTED_VALUE"""),3345082)</f>
        <v>3345082</v>
      </c>
    </row>
    <row r="120" customFormat="false" ht="15.75" hidden="false" customHeight="false" outlineLevel="0" collapsed="false">
      <c r="A120" s="3" t="n">
        <f aca="false">IFERROR(__xludf.dummyfunction("""COMPUTED_VALUE"""),44370.6666666667)</f>
        <v>44370.6666666667</v>
      </c>
      <c r="B120" s="2" t="n">
        <f aca="false">IFERROR(__xludf.dummyfunction("""COMPUTED_VALUE"""),175.25)</f>
        <v>175.25</v>
      </c>
      <c r="C120" s="2" t="n">
        <f aca="false">IFERROR(__xludf.dummyfunction("""COMPUTED_VALUE"""),176.05)</f>
        <v>176.05</v>
      </c>
      <c r="D120" s="2" t="n">
        <f aca="false">IFERROR(__xludf.dummyfunction("""COMPUTED_VALUE"""),174.16)</f>
        <v>174.16</v>
      </c>
      <c r="E120" s="2" t="n">
        <f aca="false">IFERROR(__xludf.dummyfunction("""COMPUTED_VALUE"""),175.19)</f>
        <v>175.19</v>
      </c>
      <c r="F120" s="2" t="n">
        <f aca="false">IFERROR(__xludf.dummyfunction("""COMPUTED_VALUE"""),2813341)</f>
        <v>2813341</v>
      </c>
    </row>
    <row r="121" customFormat="false" ht="15.75" hidden="false" customHeight="false" outlineLevel="0" collapsed="false">
      <c r="A121" s="3" t="n">
        <f aca="false">IFERROR(__xludf.dummyfunction("""COMPUTED_VALUE"""),44371.6666666667)</f>
        <v>44371.6666666667</v>
      </c>
      <c r="B121" s="2" t="n">
        <f aca="false">IFERROR(__xludf.dummyfunction("""COMPUTED_VALUE"""),175.38)</f>
        <v>175.38</v>
      </c>
      <c r="C121" s="2" t="n">
        <f aca="false">IFERROR(__xludf.dummyfunction("""COMPUTED_VALUE"""),176.24)</f>
        <v>176.24</v>
      </c>
      <c r="D121" s="2" t="n">
        <f aca="false">IFERROR(__xludf.dummyfunction("""COMPUTED_VALUE"""),171.54)</f>
        <v>171.54</v>
      </c>
      <c r="E121" s="2" t="n">
        <f aca="false">IFERROR(__xludf.dummyfunction("""COMPUTED_VALUE"""),172.45)</f>
        <v>172.45</v>
      </c>
      <c r="F121" s="2" t="n">
        <f aca="false">IFERROR(__xludf.dummyfunction("""COMPUTED_VALUE"""),3831999)</f>
        <v>3831999</v>
      </c>
    </row>
    <row r="122" customFormat="false" ht="15.75" hidden="false" customHeight="false" outlineLevel="0" collapsed="false">
      <c r="A122" s="3" t="n">
        <f aca="false">IFERROR(__xludf.dummyfunction("""COMPUTED_VALUE"""),44372.6666666667)</f>
        <v>44372.6666666667</v>
      </c>
      <c r="B122" s="2" t="n">
        <f aca="false">IFERROR(__xludf.dummyfunction("""COMPUTED_VALUE"""),173.2)</f>
        <v>173.2</v>
      </c>
      <c r="C122" s="2" t="n">
        <f aca="false">IFERROR(__xludf.dummyfunction("""COMPUTED_VALUE"""),173.24)</f>
        <v>173.24</v>
      </c>
      <c r="D122" s="2" t="n">
        <f aca="false">IFERROR(__xludf.dummyfunction("""COMPUTED_VALUE"""),169.71)</f>
        <v>169.71</v>
      </c>
      <c r="E122" s="2" t="n">
        <f aca="false">IFERROR(__xludf.dummyfunction("""COMPUTED_VALUE"""),170.07)</f>
        <v>170.07</v>
      </c>
      <c r="F122" s="2" t="n">
        <f aca="false">IFERROR(__xludf.dummyfunction("""COMPUTED_VALUE"""),3940997)</f>
        <v>3940997</v>
      </c>
    </row>
    <row r="123" customFormat="false" ht="15.75" hidden="false" customHeight="false" outlineLevel="0" collapsed="false">
      <c r="A123" s="3" t="n">
        <f aca="false">IFERROR(__xludf.dummyfunction("""COMPUTED_VALUE"""),44375.6666666667)</f>
        <v>44375.6666666667</v>
      </c>
      <c r="B123" s="2" t="n">
        <f aca="false">IFERROR(__xludf.dummyfunction("""COMPUTED_VALUE"""),170.8)</f>
        <v>170.8</v>
      </c>
      <c r="C123" s="2" t="n">
        <f aca="false">IFERROR(__xludf.dummyfunction("""COMPUTED_VALUE"""),172.4)</f>
        <v>172.4</v>
      </c>
      <c r="D123" s="2" t="n">
        <f aca="false">IFERROR(__xludf.dummyfunction("""COMPUTED_VALUE"""),170.68)</f>
        <v>170.68</v>
      </c>
      <c r="E123" s="2" t="n">
        <f aca="false">IFERROR(__xludf.dummyfunction("""COMPUTED_VALUE"""),172.19)</f>
        <v>172.19</v>
      </c>
      <c r="F123" s="2" t="n">
        <f aca="false">IFERROR(__xludf.dummyfunction("""COMPUTED_VALUE"""),2242793)</f>
        <v>2242793</v>
      </c>
    </row>
    <row r="124" customFormat="false" ht="15.75" hidden="false" customHeight="false" outlineLevel="0" collapsed="false">
      <c r="A124" s="3" t="n">
        <f aca="false">IFERROR(__xludf.dummyfunction("""COMPUTED_VALUE"""),44376.6666666667)</f>
        <v>44376.6666666667</v>
      </c>
      <c r="B124" s="2" t="n">
        <f aca="false">IFERROR(__xludf.dummyfunction("""COMPUTED_VALUE"""),171.94)</f>
        <v>171.94</v>
      </c>
      <c r="C124" s="2" t="n">
        <f aca="false">IFERROR(__xludf.dummyfunction("""COMPUTED_VALUE"""),172.8)</f>
        <v>172.8</v>
      </c>
      <c r="D124" s="2" t="n">
        <f aca="false">IFERROR(__xludf.dummyfunction("""COMPUTED_VALUE"""),171.15)</f>
        <v>171.15</v>
      </c>
      <c r="E124" s="2" t="n">
        <f aca="false">IFERROR(__xludf.dummyfunction("""COMPUTED_VALUE"""),172.41)</f>
        <v>172.41</v>
      </c>
      <c r="F124" s="2" t="n">
        <f aca="false">IFERROR(__xludf.dummyfunction("""COMPUTED_VALUE"""),2098439)</f>
        <v>2098439</v>
      </c>
    </row>
    <row r="125" customFormat="false" ht="15.75" hidden="false" customHeight="false" outlineLevel="0" collapsed="false">
      <c r="A125" s="3" t="n">
        <f aca="false">IFERROR(__xludf.dummyfunction("""COMPUTED_VALUE"""),44377.6666666667)</f>
        <v>44377.6666666667</v>
      </c>
      <c r="B125" s="2" t="n">
        <f aca="false">IFERROR(__xludf.dummyfunction("""COMPUTED_VALUE"""),172.05)</f>
        <v>172.05</v>
      </c>
      <c r="C125" s="2" t="n">
        <f aca="false">IFERROR(__xludf.dummyfunction("""COMPUTED_VALUE"""),173.58)</f>
        <v>173.58</v>
      </c>
      <c r="D125" s="2" t="n">
        <f aca="false">IFERROR(__xludf.dummyfunction("""COMPUTED_VALUE"""),171.75)</f>
        <v>171.75</v>
      </c>
      <c r="E125" s="2" t="n">
        <f aca="false">IFERROR(__xludf.dummyfunction("""COMPUTED_VALUE"""),172.01)</f>
        <v>172.01</v>
      </c>
      <c r="F125" s="2" t="n">
        <f aca="false">IFERROR(__xludf.dummyfunction("""COMPUTED_VALUE"""),2403992)</f>
        <v>2403992</v>
      </c>
    </row>
    <row r="126" customFormat="false" ht="15.75" hidden="false" customHeight="false" outlineLevel="0" collapsed="false">
      <c r="A126" s="3" t="n">
        <f aca="false">IFERROR(__xludf.dummyfunction("""COMPUTED_VALUE"""),44378.6666666667)</f>
        <v>44378.6666666667</v>
      </c>
      <c r="B126" s="2" t="n">
        <f aca="false">IFERROR(__xludf.dummyfunction("""COMPUTED_VALUE"""),171.73)</f>
        <v>171.73</v>
      </c>
      <c r="C126" s="2" t="n">
        <f aca="false">IFERROR(__xludf.dummyfunction("""COMPUTED_VALUE"""),172.85)</f>
        <v>172.85</v>
      </c>
      <c r="D126" s="2" t="n">
        <f aca="false">IFERROR(__xludf.dummyfunction("""COMPUTED_VALUE"""),170.47)</f>
        <v>170.47</v>
      </c>
      <c r="E126" s="2" t="n">
        <f aca="false">IFERROR(__xludf.dummyfunction("""COMPUTED_VALUE"""),171.65)</f>
        <v>171.65</v>
      </c>
      <c r="F126" s="2" t="n">
        <f aca="false">IFERROR(__xludf.dummyfunction("""COMPUTED_VALUE"""),2037053)</f>
        <v>2037053</v>
      </c>
    </row>
    <row r="127" customFormat="false" ht="15.75" hidden="false" customHeight="false" outlineLevel="0" collapsed="false">
      <c r="A127" s="3" t="n">
        <f aca="false">IFERROR(__xludf.dummyfunction("""COMPUTED_VALUE"""),44379.6666666667)</f>
        <v>44379.6666666667</v>
      </c>
      <c r="B127" s="2" t="n">
        <f aca="false">IFERROR(__xludf.dummyfunction("""COMPUTED_VALUE"""),172.58)</f>
        <v>172.58</v>
      </c>
      <c r="C127" s="2" t="n">
        <f aca="false">IFERROR(__xludf.dummyfunction("""COMPUTED_VALUE"""),175.59)</f>
        <v>175.59</v>
      </c>
      <c r="D127" s="2" t="n">
        <f aca="false">IFERROR(__xludf.dummyfunction("""COMPUTED_VALUE"""),171.85)</f>
        <v>171.85</v>
      </c>
      <c r="E127" s="2" t="n">
        <f aca="false">IFERROR(__xludf.dummyfunction("""COMPUTED_VALUE"""),175.55)</f>
        <v>175.55</v>
      </c>
      <c r="F127" s="2" t="n">
        <f aca="false">IFERROR(__xludf.dummyfunction("""COMPUTED_VALUE"""),3176697)</f>
        <v>3176697</v>
      </c>
    </row>
    <row r="128" customFormat="false" ht="15.75" hidden="false" customHeight="false" outlineLevel="0" collapsed="false">
      <c r="A128" s="3" t="n">
        <f aca="false">IFERROR(__xludf.dummyfunction("""COMPUTED_VALUE"""),44383.6666666667)</f>
        <v>44383.6666666667</v>
      </c>
      <c r="B128" s="2" t="n">
        <f aca="false">IFERROR(__xludf.dummyfunction("""COMPUTED_VALUE"""),176.51)</f>
        <v>176.51</v>
      </c>
      <c r="C128" s="2" t="n">
        <f aca="false">IFERROR(__xludf.dummyfunction("""COMPUTED_VALUE"""),184.27)</f>
        <v>184.27</v>
      </c>
      <c r="D128" s="2" t="n">
        <f aca="false">IFERROR(__xludf.dummyfunction("""COMPUTED_VALUE"""),176.45)</f>
        <v>176.45</v>
      </c>
      <c r="E128" s="2" t="n">
        <f aca="false">IFERROR(__xludf.dummyfunction("""COMPUTED_VALUE"""),183.79)</f>
        <v>183.79</v>
      </c>
      <c r="F128" s="2" t="n">
        <f aca="false">IFERROR(__xludf.dummyfunction("""COMPUTED_VALUE"""),6744768)</f>
        <v>6744768</v>
      </c>
    </row>
    <row r="129" customFormat="false" ht="15.75" hidden="false" customHeight="false" outlineLevel="0" collapsed="false">
      <c r="A129" s="3" t="n">
        <f aca="false">IFERROR(__xludf.dummyfunction("""COMPUTED_VALUE"""),44384.6666666667)</f>
        <v>44384.6666666667</v>
      </c>
      <c r="B129" s="2" t="n">
        <f aca="false">IFERROR(__xludf.dummyfunction("""COMPUTED_VALUE"""),185.87)</f>
        <v>185.87</v>
      </c>
      <c r="C129" s="2" t="n">
        <f aca="false">IFERROR(__xludf.dummyfunction("""COMPUTED_VALUE"""),186.71)</f>
        <v>186.71</v>
      </c>
      <c r="D129" s="2" t="n">
        <f aca="false">IFERROR(__xludf.dummyfunction("""COMPUTED_VALUE"""),183.95)</f>
        <v>183.95</v>
      </c>
      <c r="E129" s="2" t="n">
        <f aca="false">IFERROR(__xludf.dummyfunction("""COMPUTED_VALUE"""),184.83)</f>
        <v>184.83</v>
      </c>
      <c r="F129" s="2" t="n">
        <f aca="false">IFERROR(__xludf.dummyfunction("""COMPUTED_VALUE"""),5328062)</f>
        <v>5328062</v>
      </c>
    </row>
    <row r="130" customFormat="false" ht="15.75" hidden="false" customHeight="false" outlineLevel="0" collapsed="false">
      <c r="A130" s="3" t="n">
        <f aca="false">IFERROR(__xludf.dummyfunction("""COMPUTED_VALUE"""),44385.6666666667)</f>
        <v>44385.6666666667</v>
      </c>
      <c r="B130" s="2" t="n">
        <f aca="false">IFERROR(__xludf.dummyfunction("""COMPUTED_VALUE"""),182.18)</f>
        <v>182.18</v>
      </c>
      <c r="C130" s="2" t="n">
        <f aca="false">IFERROR(__xludf.dummyfunction("""COMPUTED_VALUE"""),188)</f>
        <v>188</v>
      </c>
      <c r="D130" s="2" t="n">
        <f aca="false">IFERROR(__xludf.dummyfunction("""COMPUTED_VALUE"""),181.06)</f>
        <v>181.06</v>
      </c>
      <c r="E130" s="2" t="n">
        <f aca="false">IFERROR(__xludf.dummyfunction("""COMPUTED_VALUE"""),186.57)</f>
        <v>186.57</v>
      </c>
      <c r="F130" s="2" t="n">
        <f aca="false">IFERROR(__xludf.dummyfunction("""COMPUTED_VALUE"""),5180623)</f>
        <v>5180623</v>
      </c>
    </row>
    <row r="131" customFormat="false" ht="15.75" hidden="false" customHeight="false" outlineLevel="0" collapsed="false">
      <c r="A131" s="3" t="n">
        <f aca="false">IFERROR(__xludf.dummyfunction("""COMPUTED_VALUE"""),44386.6666666667)</f>
        <v>44386.6666666667</v>
      </c>
      <c r="B131" s="2" t="n">
        <f aca="false">IFERROR(__xludf.dummyfunction("""COMPUTED_VALUE"""),186.13)</f>
        <v>186.13</v>
      </c>
      <c r="C131" s="2" t="n">
        <f aca="false">IFERROR(__xludf.dummyfunction("""COMPUTED_VALUE"""),187.4)</f>
        <v>187.4</v>
      </c>
      <c r="D131" s="2" t="n">
        <f aca="false">IFERROR(__xludf.dummyfunction("""COMPUTED_VALUE"""),184.67)</f>
        <v>184.67</v>
      </c>
      <c r="E131" s="2" t="n">
        <f aca="false">IFERROR(__xludf.dummyfunction("""COMPUTED_VALUE"""),185.97)</f>
        <v>185.97</v>
      </c>
      <c r="F131" s="2" t="n">
        <f aca="false">IFERROR(__xludf.dummyfunction("""COMPUTED_VALUE"""),3748237)</f>
        <v>3748237</v>
      </c>
    </row>
    <row r="132" customFormat="false" ht="15.75" hidden="false" customHeight="false" outlineLevel="0" collapsed="false">
      <c r="A132" s="3" t="n">
        <f aca="false">IFERROR(__xludf.dummyfunction("""COMPUTED_VALUE"""),44389.6666666667)</f>
        <v>44389.6666666667</v>
      </c>
      <c r="B132" s="2" t="n">
        <f aca="false">IFERROR(__xludf.dummyfunction("""COMPUTED_VALUE"""),187.2)</f>
        <v>187.2</v>
      </c>
      <c r="C132" s="2" t="n">
        <f aca="false">IFERROR(__xludf.dummyfunction("""COMPUTED_VALUE"""),187.86)</f>
        <v>187.86</v>
      </c>
      <c r="D132" s="2" t="n">
        <f aca="false">IFERROR(__xludf.dummyfunction("""COMPUTED_VALUE"""),184.84)</f>
        <v>184.84</v>
      </c>
      <c r="E132" s="2" t="n">
        <f aca="false">IFERROR(__xludf.dummyfunction("""COMPUTED_VALUE"""),185.93)</f>
        <v>185.93</v>
      </c>
      <c r="F132" s="2" t="n">
        <f aca="false">IFERROR(__xludf.dummyfunction("""COMPUTED_VALUE"""),2571635)</f>
        <v>2571635</v>
      </c>
    </row>
    <row r="133" customFormat="false" ht="15.75" hidden="false" customHeight="false" outlineLevel="0" collapsed="false">
      <c r="A133" s="3" t="n">
        <f aca="false">IFERROR(__xludf.dummyfunction("""COMPUTED_VALUE"""),44390.6666666667)</f>
        <v>44390.6666666667</v>
      </c>
      <c r="B133" s="2" t="n">
        <f aca="false">IFERROR(__xludf.dummyfunction("""COMPUTED_VALUE"""),185.11)</f>
        <v>185.11</v>
      </c>
      <c r="C133" s="2" t="n">
        <f aca="false">IFERROR(__xludf.dummyfunction("""COMPUTED_VALUE"""),188.65)</f>
        <v>188.65</v>
      </c>
      <c r="D133" s="2" t="n">
        <f aca="false">IFERROR(__xludf.dummyfunction("""COMPUTED_VALUE"""),183.57)</f>
        <v>183.57</v>
      </c>
      <c r="E133" s="2" t="n">
        <f aca="false">IFERROR(__xludf.dummyfunction("""COMPUTED_VALUE"""),183.87)</f>
        <v>183.87</v>
      </c>
      <c r="F133" s="2" t="n">
        <f aca="false">IFERROR(__xludf.dummyfunction("""COMPUTED_VALUE"""),3845917)</f>
        <v>3845917</v>
      </c>
    </row>
    <row r="134" customFormat="false" ht="15.75" hidden="false" customHeight="false" outlineLevel="0" collapsed="false">
      <c r="A134" s="3" t="n">
        <f aca="false">IFERROR(__xludf.dummyfunction("""COMPUTED_VALUE"""),44391.6666666667)</f>
        <v>44391.6666666667</v>
      </c>
      <c r="B134" s="2" t="n">
        <f aca="false">IFERROR(__xludf.dummyfunction("""COMPUTED_VALUE"""),185.44)</f>
        <v>185.44</v>
      </c>
      <c r="C134" s="2" t="n">
        <f aca="false">IFERROR(__xludf.dummyfunction("""COMPUTED_VALUE"""),185.88)</f>
        <v>185.88</v>
      </c>
      <c r="D134" s="2" t="n">
        <f aca="false">IFERROR(__xludf.dummyfunction("""COMPUTED_VALUE"""),183.04)</f>
        <v>183.04</v>
      </c>
      <c r="E134" s="2" t="n">
        <f aca="false">IFERROR(__xludf.dummyfunction("""COMPUTED_VALUE"""),184.08)</f>
        <v>184.08</v>
      </c>
      <c r="F134" s="2" t="n">
        <f aca="false">IFERROR(__xludf.dummyfunction("""COMPUTED_VALUE"""),3296568)</f>
        <v>3296568</v>
      </c>
    </row>
    <row r="135" customFormat="false" ht="15.75" hidden="false" customHeight="false" outlineLevel="0" collapsed="false">
      <c r="A135" s="3" t="n">
        <f aca="false">IFERROR(__xludf.dummyfunction("""COMPUTED_VALUE"""),44392.6666666667)</f>
        <v>44392.6666666667</v>
      </c>
      <c r="B135" s="2" t="n">
        <f aca="false">IFERROR(__xludf.dummyfunction("""COMPUTED_VALUE"""),184.71)</f>
        <v>184.71</v>
      </c>
      <c r="C135" s="2" t="n">
        <f aca="false">IFERROR(__xludf.dummyfunction("""COMPUTED_VALUE"""),184.77)</f>
        <v>184.77</v>
      </c>
      <c r="D135" s="2" t="n">
        <f aca="false">IFERROR(__xludf.dummyfunction("""COMPUTED_VALUE"""),181.05)</f>
        <v>181.05</v>
      </c>
      <c r="E135" s="2" t="n">
        <f aca="false">IFERROR(__xludf.dummyfunction("""COMPUTED_VALUE"""),181.56)</f>
        <v>181.56</v>
      </c>
      <c r="F135" s="2" t="n">
        <f aca="false">IFERROR(__xludf.dummyfunction("""COMPUTED_VALUE"""),3185292)</f>
        <v>3185292</v>
      </c>
    </row>
    <row r="136" customFormat="false" ht="15.75" hidden="false" customHeight="false" outlineLevel="0" collapsed="false">
      <c r="A136" s="3" t="n">
        <f aca="false">IFERROR(__xludf.dummyfunction("""COMPUTED_VALUE"""),44393.6666666667)</f>
        <v>44393.6666666667</v>
      </c>
      <c r="B136" s="2" t="n">
        <f aca="false">IFERROR(__xludf.dummyfunction("""COMPUTED_VALUE"""),181.67)</f>
        <v>181.67</v>
      </c>
      <c r="C136" s="2" t="n">
        <f aca="false">IFERROR(__xludf.dummyfunction("""COMPUTED_VALUE"""),182.3)</f>
        <v>182.3</v>
      </c>
      <c r="D136" s="2" t="n">
        <f aca="false">IFERROR(__xludf.dummyfunction("""COMPUTED_VALUE"""),178.52)</f>
        <v>178.52</v>
      </c>
      <c r="E136" s="2" t="n">
        <f aca="false">IFERROR(__xludf.dummyfunction("""COMPUTED_VALUE"""),178.68)</f>
        <v>178.68</v>
      </c>
      <c r="F136" s="2" t="n">
        <f aca="false">IFERROR(__xludf.dummyfunction("""COMPUTED_VALUE"""),4043706)</f>
        <v>4043706</v>
      </c>
    </row>
    <row r="137" customFormat="false" ht="15.75" hidden="false" customHeight="false" outlineLevel="0" collapsed="false">
      <c r="A137" s="3" t="n">
        <f aca="false">IFERROR(__xludf.dummyfunction("""COMPUTED_VALUE"""),44396.6666666667)</f>
        <v>44396.6666666667</v>
      </c>
      <c r="B137" s="2" t="n">
        <f aca="false">IFERROR(__xludf.dummyfunction("""COMPUTED_VALUE"""),176.63)</f>
        <v>176.63</v>
      </c>
      <c r="C137" s="2" t="n">
        <f aca="false">IFERROR(__xludf.dummyfunction("""COMPUTED_VALUE"""),177.51)</f>
        <v>177.51</v>
      </c>
      <c r="D137" s="2" t="n">
        <f aca="false">IFERROR(__xludf.dummyfunction("""COMPUTED_VALUE"""),174.96)</f>
        <v>174.96</v>
      </c>
      <c r="E137" s="2" t="n">
        <f aca="false">IFERROR(__xludf.dummyfunction("""COMPUTED_VALUE"""),177.48)</f>
        <v>177.48</v>
      </c>
      <c r="F137" s="2" t="n">
        <f aca="false">IFERROR(__xludf.dummyfunction("""COMPUTED_VALUE"""),3784595)</f>
        <v>3784595</v>
      </c>
    </row>
    <row r="138" customFormat="false" ht="15.75" hidden="false" customHeight="false" outlineLevel="0" collapsed="false">
      <c r="A138" s="3" t="n">
        <f aca="false">IFERROR(__xludf.dummyfunction("""COMPUTED_VALUE"""),44397.6666666667)</f>
        <v>44397.6666666667</v>
      </c>
      <c r="B138" s="2" t="n">
        <f aca="false">IFERROR(__xludf.dummyfunction("""COMPUTED_VALUE"""),178.37)</f>
        <v>178.37</v>
      </c>
      <c r="C138" s="2" t="n">
        <f aca="false">IFERROR(__xludf.dummyfunction("""COMPUTED_VALUE"""),179.6)</f>
        <v>179.6</v>
      </c>
      <c r="D138" s="2" t="n">
        <f aca="false">IFERROR(__xludf.dummyfunction("""COMPUTED_VALUE"""),175.9)</f>
        <v>175.9</v>
      </c>
      <c r="E138" s="2" t="n">
        <f aca="false">IFERROR(__xludf.dummyfunction("""COMPUTED_VALUE"""),178.66)</f>
        <v>178.66</v>
      </c>
      <c r="F138" s="2" t="n">
        <f aca="false">IFERROR(__xludf.dummyfunction("""COMPUTED_VALUE"""),3255680)</f>
        <v>3255680</v>
      </c>
    </row>
    <row r="139" customFormat="false" ht="15.75" hidden="false" customHeight="false" outlineLevel="0" collapsed="false">
      <c r="A139" s="3" t="n">
        <f aca="false">IFERROR(__xludf.dummyfunction("""COMPUTED_VALUE"""),44398.6666666667)</f>
        <v>44398.6666666667</v>
      </c>
      <c r="B139" s="2" t="n">
        <f aca="false">IFERROR(__xludf.dummyfunction("""COMPUTED_VALUE"""),178.82)</f>
        <v>178.82</v>
      </c>
      <c r="C139" s="2" t="n">
        <f aca="false">IFERROR(__xludf.dummyfunction("""COMPUTED_VALUE"""),179.32)</f>
        <v>179.32</v>
      </c>
      <c r="D139" s="2" t="n">
        <f aca="false">IFERROR(__xludf.dummyfunction("""COMPUTED_VALUE"""),177.18)</f>
        <v>177.18</v>
      </c>
      <c r="E139" s="2" t="n">
        <f aca="false">IFERROR(__xludf.dummyfunction("""COMPUTED_VALUE"""),179.26)</f>
        <v>179.26</v>
      </c>
      <c r="F139" s="2" t="n">
        <f aca="false">IFERROR(__xludf.dummyfunction("""COMPUTED_VALUE"""),2318989)</f>
        <v>2318989</v>
      </c>
    </row>
    <row r="140" customFormat="false" ht="15.75" hidden="false" customHeight="false" outlineLevel="0" collapsed="false">
      <c r="A140" s="3" t="n">
        <f aca="false">IFERROR(__xludf.dummyfunction("""COMPUTED_VALUE"""),44399.6666666667)</f>
        <v>44399.6666666667</v>
      </c>
      <c r="B140" s="2" t="n">
        <f aca="false">IFERROR(__xludf.dummyfunction("""COMPUTED_VALUE"""),179.36)</f>
        <v>179.36</v>
      </c>
      <c r="C140" s="2" t="n">
        <f aca="false">IFERROR(__xludf.dummyfunction("""COMPUTED_VALUE"""),182)</f>
        <v>182</v>
      </c>
      <c r="D140" s="2" t="n">
        <f aca="false">IFERROR(__xludf.dummyfunction("""COMPUTED_VALUE"""),179.11)</f>
        <v>179.11</v>
      </c>
      <c r="E140" s="2" t="n">
        <f aca="false">IFERROR(__xludf.dummyfunction("""COMPUTED_VALUE"""),181.9)</f>
        <v>181.9</v>
      </c>
      <c r="F140" s="2" t="n">
        <f aca="false">IFERROR(__xludf.dummyfunction("""COMPUTED_VALUE"""),3265352)</f>
        <v>3265352</v>
      </c>
    </row>
    <row r="141" customFormat="false" ht="15.75" hidden="false" customHeight="false" outlineLevel="0" collapsed="false">
      <c r="A141" s="3" t="n">
        <f aca="false">IFERROR(__xludf.dummyfunction("""COMPUTED_VALUE"""),44400.6666666667)</f>
        <v>44400.6666666667</v>
      </c>
      <c r="B141" s="2" t="n">
        <f aca="false">IFERROR(__xludf.dummyfunction("""COMPUTED_VALUE"""),182)</f>
        <v>182</v>
      </c>
      <c r="C141" s="2" t="n">
        <f aca="false">IFERROR(__xludf.dummyfunction("""COMPUTED_VALUE"""),183.31)</f>
        <v>183.31</v>
      </c>
      <c r="D141" s="2" t="n">
        <f aca="false">IFERROR(__xludf.dummyfunction("""COMPUTED_VALUE"""),181.1)</f>
        <v>181.1</v>
      </c>
      <c r="E141" s="2" t="n">
        <f aca="false">IFERROR(__xludf.dummyfunction("""COMPUTED_VALUE"""),182.83)</f>
        <v>182.83</v>
      </c>
      <c r="F141" s="2" t="n">
        <f aca="false">IFERROR(__xludf.dummyfunction("""COMPUTED_VALUE"""),2436292)</f>
        <v>2436292</v>
      </c>
    </row>
    <row r="142" customFormat="false" ht="15.75" hidden="false" customHeight="false" outlineLevel="0" collapsed="false">
      <c r="A142" s="3" t="n">
        <f aca="false">IFERROR(__xludf.dummyfunction("""COMPUTED_VALUE"""),44403.6666666667)</f>
        <v>44403.6666666667</v>
      </c>
      <c r="B142" s="2" t="n">
        <f aca="false">IFERROR(__xludf.dummyfunction("""COMPUTED_VALUE"""),183.66)</f>
        <v>183.66</v>
      </c>
      <c r="C142" s="2" t="n">
        <f aca="false">IFERROR(__xludf.dummyfunction("""COMPUTED_VALUE"""),185.6)</f>
        <v>185.6</v>
      </c>
      <c r="D142" s="2" t="n">
        <f aca="false">IFERROR(__xludf.dummyfunction("""COMPUTED_VALUE"""),182.36)</f>
        <v>182.36</v>
      </c>
      <c r="E142" s="2" t="n">
        <f aca="false">IFERROR(__xludf.dummyfunction("""COMPUTED_VALUE"""),184.99)</f>
        <v>184.99</v>
      </c>
      <c r="F142" s="2" t="n">
        <f aca="false">IFERROR(__xludf.dummyfunction("""COMPUTED_VALUE"""),2900068)</f>
        <v>2900068</v>
      </c>
    </row>
    <row r="143" customFormat="false" ht="15.75" hidden="false" customHeight="false" outlineLevel="0" collapsed="false">
      <c r="A143" s="3" t="n">
        <f aca="false">IFERROR(__xludf.dummyfunction("""COMPUTED_VALUE"""),44404.6666666667)</f>
        <v>44404.6666666667</v>
      </c>
      <c r="B143" s="2" t="n">
        <f aca="false">IFERROR(__xludf.dummyfunction("""COMPUTED_VALUE"""),184.93)</f>
        <v>184.93</v>
      </c>
      <c r="C143" s="2" t="n">
        <f aca="false">IFERROR(__xludf.dummyfunction("""COMPUTED_VALUE"""),184.93)</f>
        <v>184.93</v>
      </c>
      <c r="D143" s="2" t="n">
        <f aca="false">IFERROR(__xludf.dummyfunction("""COMPUTED_VALUE"""),179.31)</f>
        <v>179.31</v>
      </c>
      <c r="E143" s="2" t="n">
        <f aca="false">IFERROR(__xludf.dummyfunction("""COMPUTED_VALUE"""),181.32)</f>
        <v>181.32</v>
      </c>
      <c r="F143" s="2" t="n">
        <f aca="false">IFERROR(__xludf.dummyfunction("""COMPUTED_VALUE"""),4131890)</f>
        <v>4131890</v>
      </c>
    </row>
    <row r="144" customFormat="false" ht="15.75" hidden="false" customHeight="false" outlineLevel="0" collapsed="false">
      <c r="A144" s="3" t="n">
        <f aca="false">IFERROR(__xludf.dummyfunction("""COMPUTED_VALUE"""),44405.6666666667)</f>
        <v>44405.6666666667</v>
      </c>
      <c r="B144" s="2" t="n">
        <f aca="false">IFERROR(__xludf.dummyfunction("""COMPUTED_VALUE"""),181.69)</f>
        <v>181.69</v>
      </c>
      <c r="C144" s="2" t="n">
        <f aca="false">IFERROR(__xludf.dummyfunction("""COMPUTED_VALUE"""),182.92)</f>
        <v>182.92</v>
      </c>
      <c r="D144" s="2" t="n">
        <f aca="false">IFERROR(__xludf.dummyfunction("""COMPUTED_VALUE"""),180.05)</f>
        <v>180.05</v>
      </c>
      <c r="E144" s="2" t="n">
        <f aca="false">IFERROR(__xludf.dummyfunction("""COMPUTED_VALUE"""),181.52)</f>
        <v>181.52</v>
      </c>
      <c r="F144" s="2" t="n">
        <f aca="false">IFERROR(__xludf.dummyfunction("""COMPUTED_VALUE"""),2999378)</f>
        <v>2999378</v>
      </c>
    </row>
    <row r="145" customFormat="false" ht="15.75" hidden="false" customHeight="false" outlineLevel="0" collapsed="false">
      <c r="A145" s="3" t="n">
        <f aca="false">IFERROR(__xludf.dummyfunction("""COMPUTED_VALUE"""),44406.6666666667)</f>
        <v>44406.6666666667</v>
      </c>
      <c r="B145" s="2" t="n">
        <f aca="false">IFERROR(__xludf.dummyfunction("""COMPUTED_VALUE"""),181.39)</f>
        <v>181.39</v>
      </c>
      <c r="C145" s="2" t="n">
        <f aca="false">IFERROR(__xludf.dummyfunction("""COMPUTED_VALUE"""),181.9)</f>
        <v>181.9</v>
      </c>
      <c r="D145" s="2" t="n">
        <f aca="false">IFERROR(__xludf.dummyfunction("""COMPUTED_VALUE"""),179)</f>
        <v>179</v>
      </c>
      <c r="E145" s="2" t="n">
        <f aca="false">IFERROR(__xludf.dummyfunction("""COMPUTED_VALUE"""),180)</f>
        <v>180</v>
      </c>
      <c r="F145" s="2" t="n">
        <f aca="false">IFERROR(__xludf.dummyfunction("""COMPUTED_VALUE"""),5519952)</f>
        <v>5519952</v>
      </c>
    </row>
    <row r="146" customFormat="false" ht="15.75" hidden="false" customHeight="false" outlineLevel="0" collapsed="false">
      <c r="A146" s="3" t="n">
        <f aca="false">IFERROR(__xludf.dummyfunction("""COMPUTED_VALUE"""),44407.6666666667)</f>
        <v>44407.6666666667</v>
      </c>
      <c r="B146" s="2" t="n">
        <f aca="false">IFERROR(__xludf.dummyfunction("""COMPUTED_VALUE"""),167.4)</f>
        <v>167.4</v>
      </c>
      <c r="C146" s="2" t="n">
        <f aca="false">IFERROR(__xludf.dummyfunction("""COMPUTED_VALUE"""),168.41)</f>
        <v>168.41</v>
      </c>
      <c r="D146" s="2" t="n">
        <f aca="false">IFERROR(__xludf.dummyfunction("""COMPUTED_VALUE"""),165.35)</f>
        <v>165.35</v>
      </c>
      <c r="E146" s="2" t="n">
        <f aca="false">IFERROR(__xludf.dummyfunction("""COMPUTED_VALUE"""),166.38)</f>
        <v>166.38</v>
      </c>
      <c r="F146" s="2" t="n">
        <f aca="false">IFERROR(__xludf.dummyfunction("""COMPUTED_VALUE"""),9965593)</f>
        <v>9965593</v>
      </c>
    </row>
    <row r="147" customFormat="false" ht="15.75" hidden="false" customHeight="false" outlineLevel="0" collapsed="false">
      <c r="A147" s="3" t="n">
        <f aca="false">IFERROR(__xludf.dummyfunction("""COMPUTED_VALUE"""),44410.6666666667)</f>
        <v>44410.6666666667</v>
      </c>
      <c r="B147" s="2" t="n">
        <f aca="false">IFERROR(__xludf.dummyfunction("""COMPUTED_VALUE"""),167.66)</f>
        <v>167.66</v>
      </c>
      <c r="C147" s="2" t="n">
        <f aca="false">IFERROR(__xludf.dummyfunction("""COMPUTED_VALUE"""),167.95)</f>
        <v>167.95</v>
      </c>
      <c r="D147" s="2" t="n">
        <f aca="false">IFERROR(__xludf.dummyfunction("""COMPUTED_VALUE"""),165.85)</f>
        <v>165.85</v>
      </c>
      <c r="E147" s="2" t="n">
        <f aca="false">IFERROR(__xludf.dummyfunction("""COMPUTED_VALUE"""),166.57)</f>
        <v>166.57</v>
      </c>
      <c r="F147" s="2" t="n">
        <f aca="false">IFERROR(__xludf.dummyfunction("""COMPUTED_VALUE"""),3353915)</f>
        <v>3353915</v>
      </c>
    </row>
    <row r="148" customFormat="false" ht="15.75" hidden="false" customHeight="false" outlineLevel="0" collapsed="false">
      <c r="A148" s="3" t="n">
        <f aca="false">IFERROR(__xludf.dummyfunction("""COMPUTED_VALUE"""),44411.6666666667)</f>
        <v>44411.6666666667</v>
      </c>
      <c r="B148" s="2" t="n">
        <f aca="false">IFERROR(__xludf.dummyfunction("""COMPUTED_VALUE"""),167.04)</f>
        <v>167.04</v>
      </c>
      <c r="C148" s="2" t="n">
        <f aca="false">IFERROR(__xludf.dummyfunction("""COMPUTED_VALUE"""),169.55)</f>
        <v>169.55</v>
      </c>
      <c r="D148" s="2" t="n">
        <f aca="false">IFERROR(__xludf.dummyfunction("""COMPUTED_VALUE"""),164.99)</f>
        <v>164.99</v>
      </c>
      <c r="E148" s="2" t="n">
        <f aca="false">IFERROR(__xludf.dummyfunction("""COMPUTED_VALUE"""),168.31)</f>
        <v>168.31</v>
      </c>
      <c r="F148" s="2" t="n">
        <f aca="false">IFERROR(__xludf.dummyfunction("""COMPUTED_VALUE"""),4157343)</f>
        <v>4157343</v>
      </c>
    </row>
    <row r="149" customFormat="false" ht="15.75" hidden="false" customHeight="false" outlineLevel="0" collapsed="false">
      <c r="A149" s="3" t="n">
        <f aca="false">IFERROR(__xludf.dummyfunction("""COMPUTED_VALUE"""),44412.6666666667)</f>
        <v>44412.6666666667</v>
      </c>
      <c r="B149" s="2" t="n">
        <f aca="false">IFERROR(__xludf.dummyfunction("""COMPUTED_VALUE"""),168.97)</f>
        <v>168.97</v>
      </c>
      <c r="C149" s="2" t="n">
        <f aca="false">IFERROR(__xludf.dummyfunction("""COMPUTED_VALUE"""),169.44)</f>
        <v>169.44</v>
      </c>
      <c r="D149" s="2" t="n">
        <f aca="false">IFERROR(__xludf.dummyfunction("""COMPUTED_VALUE"""),167.28)</f>
        <v>167.28</v>
      </c>
      <c r="E149" s="2" t="n">
        <f aca="false">IFERROR(__xludf.dummyfunction("""COMPUTED_VALUE"""),167.74)</f>
        <v>167.74</v>
      </c>
      <c r="F149" s="2" t="n">
        <f aca="false">IFERROR(__xludf.dummyfunction("""COMPUTED_VALUE"""),2183945)</f>
        <v>2183945</v>
      </c>
    </row>
    <row r="150" customFormat="false" ht="15.75" hidden="false" customHeight="false" outlineLevel="0" collapsed="false">
      <c r="A150" s="3" t="n">
        <f aca="false">IFERROR(__xludf.dummyfunction("""COMPUTED_VALUE"""),44413.6666666667)</f>
        <v>44413.6666666667</v>
      </c>
      <c r="B150" s="2" t="n">
        <f aca="false">IFERROR(__xludf.dummyfunction("""COMPUTED_VALUE"""),167.81)</f>
        <v>167.81</v>
      </c>
      <c r="C150" s="2" t="n">
        <f aca="false">IFERROR(__xludf.dummyfunction("""COMPUTED_VALUE"""),169.45)</f>
        <v>169.45</v>
      </c>
      <c r="D150" s="2" t="n">
        <f aca="false">IFERROR(__xludf.dummyfunction("""COMPUTED_VALUE"""),167.05)</f>
        <v>167.05</v>
      </c>
      <c r="E150" s="2" t="n">
        <f aca="false">IFERROR(__xludf.dummyfunction("""COMPUTED_VALUE"""),168.8)</f>
        <v>168.8</v>
      </c>
      <c r="F150" s="2" t="n">
        <f aca="false">IFERROR(__xludf.dummyfunction("""COMPUTED_VALUE"""),2433503)</f>
        <v>2433503</v>
      </c>
    </row>
    <row r="151" customFormat="false" ht="15.75" hidden="false" customHeight="false" outlineLevel="0" collapsed="false">
      <c r="A151" s="3" t="n">
        <f aca="false">IFERROR(__xludf.dummyfunction("""COMPUTED_VALUE"""),44414.6666666667)</f>
        <v>44414.6666666667</v>
      </c>
      <c r="B151" s="2" t="n">
        <f aca="false">IFERROR(__xludf.dummyfunction("""COMPUTED_VALUE"""),168.75)</f>
        <v>168.75</v>
      </c>
      <c r="C151" s="2" t="n">
        <f aca="false">IFERROR(__xludf.dummyfunction("""COMPUTED_VALUE"""),168.75)</f>
        <v>168.75</v>
      </c>
      <c r="D151" s="2" t="n">
        <f aca="false">IFERROR(__xludf.dummyfunction("""COMPUTED_VALUE"""),166.45)</f>
        <v>166.45</v>
      </c>
      <c r="E151" s="2" t="n">
        <f aca="false">IFERROR(__xludf.dummyfunction("""COMPUTED_VALUE"""),167.25)</f>
        <v>167.25</v>
      </c>
      <c r="F151" s="2" t="n">
        <f aca="false">IFERROR(__xludf.dummyfunction("""COMPUTED_VALUE"""),2637644)</f>
        <v>2637644</v>
      </c>
    </row>
    <row r="152" customFormat="false" ht="15.75" hidden="false" customHeight="false" outlineLevel="0" collapsed="false">
      <c r="A152" s="3" t="n">
        <f aca="false">IFERROR(__xludf.dummyfunction("""COMPUTED_VALUE"""),44417.6666666667)</f>
        <v>44417.6666666667</v>
      </c>
      <c r="B152" s="2" t="n">
        <f aca="false">IFERROR(__xludf.dummyfunction("""COMPUTED_VALUE"""),167.18)</f>
        <v>167.18</v>
      </c>
      <c r="C152" s="2" t="n">
        <f aca="false">IFERROR(__xludf.dummyfunction("""COMPUTED_VALUE"""),167.74)</f>
        <v>167.74</v>
      </c>
      <c r="D152" s="2" t="n">
        <f aca="false">IFERROR(__xludf.dummyfunction("""COMPUTED_VALUE"""),166.43)</f>
        <v>166.43</v>
      </c>
      <c r="E152" s="2" t="n">
        <f aca="false">IFERROR(__xludf.dummyfunction("""COMPUTED_VALUE"""),167.09)</f>
        <v>167.09</v>
      </c>
      <c r="F152" s="2" t="n">
        <f aca="false">IFERROR(__xludf.dummyfunction("""COMPUTED_VALUE"""),2148220)</f>
        <v>2148220</v>
      </c>
    </row>
    <row r="153" customFormat="false" ht="15.75" hidden="false" customHeight="false" outlineLevel="0" collapsed="false">
      <c r="A153" s="3" t="n">
        <f aca="false">IFERROR(__xludf.dummyfunction("""COMPUTED_VALUE"""),44418.6666666667)</f>
        <v>44418.6666666667</v>
      </c>
      <c r="B153" s="2" t="n">
        <f aca="false">IFERROR(__xludf.dummyfunction("""COMPUTED_VALUE"""),167.25)</f>
        <v>167.25</v>
      </c>
      <c r="C153" s="2" t="n">
        <f aca="false">IFERROR(__xludf.dummyfunction("""COMPUTED_VALUE"""),167.9)</f>
        <v>167.9</v>
      </c>
      <c r="D153" s="2" t="n">
        <f aca="false">IFERROR(__xludf.dummyfunction("""COMPUTED_VALUE"""),165.75)</f>
        <v>165.75</v>
      </c>
      <c r="E153" s="2" t="n">
        <f aca="false">IFERROR(__xludf.dummyfunction("""COMPUTED_VALUE"""),166.03)</f>
        <v>166.03</v>
      </c>
      <c r="F153" s="2" t="n">
        <f aca="false">IFERROR(__xludf.dummyfunction("""COMPUTED_VALUE"""),2412551)</f>
        <v>2412551</v>
      </c>
    </row>
    <row r="154" customFormat="false" ht="15.75" hidden="false" customHeight="false" outlineLevel="0" collapsed="false">
      <c r="A154" s="3" t="n">
        <f aca="false">IFERROR(__xludf.dummyfunction("""COMPUTED_VALUE"""),44419.6666666667)</f>
        <v>44419.6666666667</v>
      </c>
      <c r="B154" s="2" t="n">
        <f aca="false">IFERROR(__xludf.dummyfunction("""COMPUTED_VALUE"""),166.57)</f>
        <v>166.57</v>
      </c>
      <c r="C154" s="2" t="n">
        <f aca="false">IFERROR(__xludf.dummyfunction("""COMPUTED_VALUE"""),166.89)</f>
        <v>166.89</v>
      </c>
      <c r="D154" s="2" t="n">
        <f aca="false">IFERROR(__xludf.dummyfunction("""COMPUTED_VALUE"""),163.89)</f>
        <v>163.89</v>
      </c>
      <c r="E154" s="2" t="n">
        <f aca="false">IFERROR(__xludf.dummyfunction("""COMPUTED_VALUE"""),164.61)</f>
        <v>164.61</v>
      </c>
      <c r="F154" s="2" t="n">
        <f aca="false">IFERROR(__xludf.dummyfunction("""COMPUTED_VALUE"""),2947249)</f>
        <v>2947249</v>
      </c>
    </row>
    <row r="155" customFormat="false" ht="15.75" hidden="false" customHeight="false" outlineLevel="0" collapsed="false">
      <c r="A155" s="3" t="n">
        <f aca="false">IFERROR(__xludf.dummyfunction("""COMPUTED_VALUE"""),44420.6666666667)</f>
        <v>44420.6666666667</v>
      </c>
      <c r="B155" s="2" t="n">
        <f aca="false">IFERROR(__xludf.dummyfunction("""COMPUTED_VALUE"""),164.5)</f>
        <v>164.5</v>
      </c>
      <c r="C155" s="2" t="n">
        <f aca="false">IFERROR(__xludf.dummyfunction("""COMPUTED_VALUE"""),165.73)</f>
        <v>165.73</v>
      </c>
      <c r="D155" s="2" t="n">
        <f aca="false">IFERROR(__xludf.dummyfunction("""COMPUTED_VALUE"""),163.48)</f>
        <v>163.48</v>
      </c>
      <c r="E155" s="2" t="n">
        <f aca="false">IFERROR(__xludf.dummyfunction("""COMPUTED_VALUE"""),165.18)</f>
        <v>165.18</v>
      </c>
      <c r="F155" s="2" t="n">
        <f aca="false">IFERROR(__xludf.dummyfunction("""COMPUTED_VALUE"""),2323823)</f>
        <v>2323823</v>
      </c>
    </row>
    <row r="156" customFormat="false" ht="15.75" hidden="false" customHeight="false" outlineLevel="0" collapsed="false">
      <c r="A156" s="3" t="n">
        <f aca="false">IFERROR(__xludf.dummyfunction("""COMPUTED_VALUE"""),44421.6666666667)</f>
        <v>44421.6666666667</v>
      </c>
      <c r="B156" s="2" t="n">
        <f aca="false">IFERROR(__xludf.dummyfunction("""COMPUTED_VALUE"""),165.28)</f>
        <v>165.28</v>
      </c>
      <c r="C156" s="2" t="n">
        <f aca="false">IFERROR(__xludf.dummyfunction("""COMPUTED_VALUE"""),165.3)</f>
        <v>165.3</v>
      </c>
      <c r="D156" s="2" t="n">
        <f aca="false">IFERROR(__xludf.dummyfunction("""COMPUTED_VALUE"""),164.15)</f>
        <v>164.15</v>
      </c>
      <c r="E156" s="2" t="n">
        <f aca="false">IFERROR(__xludf.dummyfunction("""COMPUTED_VALUE"""),164.7)</f>
        <v>164.7</v>
      </c>
      <c r="F156" s="2" t="n">
        <f aca="false">IFERROR(__xludf.dummyfunction("""COMPUTED_VALUE"""),2056699)</f>
        <v>2056699</v>
      </c>
    </row>
    <row r="157" customFormat="false" ht="15.75" hidden="false" customHeight="false" outlineLevel="0" collapsed="false">
      <c r="A157" s="3" t="n">
        <f aca="false">IFERROR(__xludf.dummyfunction("""COMPUTED_VALUE"""),44424.6666666667)</f>
        <v>44424.6666666667</v>
      </c>
      <c r="B157" s="2" t="n">
        <f aca="false">IFERROR(__xludf.dummyfunction("""COMPUTED_VALUE"""),164.15)</f>
        <v>164.15</v>
      </c>
      <c r="C157" s="2" t="n">
        <f aca="false">IFERROR(__xludf.dummyfunction("""COMPUTED_VALUE"""),165)</f>
        <v>165</v>
      </c>
      <c r="D157" s="2" t="n">
        <f aca="false">IFERROR(__xludf.dummyfunction("""COMPUTED_VALUE"""),160.56)</f>
        <v>160.56</v>
      </c>
      <c r="E157" s="2" t="n">
        <f aca="false">IFERROR(__xludf.dummyfunction("""COMPUTED_VALUE"""),164.95)</f>
        <v>164.95</v>
      </c>
      <c r="F157" s="2" t="n">
        <f aca="false">IFERROR(__xludf.dummyfunction("""COMPUTED_VALUE"""),3328494)</f>
        <v>3328494</v>
      </c>
    </row>
    <row r="158" customFormat="false" ht="15.75" hidden="false" customHeight="false" outlineLevel="0" collapsed="false">
      <c r="A158" s="3" t="n">
        <f aca="false">IFERROR(__xludf.dummyfunction("""COMPUTED_VALUE"""),44425.6666666667)</f>
        <v>44425.6666666667</v>
      </c>
      <c r="B158" s="2" t="n">
        <f aca="false">IFERROR(__xludf.dummyfunction("""COMPUTED_VALUE"""),163.88)</f>
        <v>163.88</v>
      </c>
      <c r="C158" s="2" t="n">
        <f aca="false">IFERROR(__xludf.dummyfunction("""COMPUTED_VALUE"""),164.02)</f>
        <v>164.02</v>
      </c>
      <c r="D158" s="2" t="n">
        <f aca="false">IFERROR(__xludf.dummyfunction("""COMPUTED_VALUE"""),161.28)</f>
        <v>161.28</v>
      </c>
      <c r="E158" s="2" t="n">
        <f aca="false">IFERROR(__xludf.dummyfunction("""COMPUTED_VALUE"""),162.1)</f>
        <v>162.1</v>
      </c>
      <c r="F158" s="2" t="n">
        <f aca="false">IFERROR(__xludf.dummyfunction("""COMPUTED_VALUE"""),3387922)</f>
        <v>3387922</v>
      </c>
    </row>
    <row r="159" customFormat="false" ht="15.75" hidden="false" customHeight="false" outlineLevel="0" collapsed="false">
      <c r="A159" s="3" t="n">
        <f aca="false">IFERROR(__xludf.dummyfunction("""COMPUTED_VALUE"""),44426.6666666667)</f>
        <v>44426.6666666667</v>
      </c>
      <c r="B159" s="2" t="n">
        <f aca="false">IFERROR(__xludf.dummyfunction("""COMPUTED_VALUE"""),162.1)</f>
        <v>162.1</v>
      </c>
      <c r="C159" s="2" t="n">
        <f aca="false">IFERROR(__xludf.dummyfunction("""COMPUTED_VALUE"""),162.7)</f>
        <v>162.7</v>
      </c>
      <c r="D159" s="2" t="n">
        <f aca="false">IFERROR(__xludf.dummyfunction("""COMPUTED_VALUE"""),160)</f>
        <v>160</v>
      </c>
      <c r="E159" s="2" t="n">
        <f aca="false">IFERROR(__xludf.dummyfunction("""COMPUTED_VALUE"""),160.06)</f>
        <v>160.06</v>
      </c>
      <c r="F159" s="2" t="n">
        <f aca="false">IFERROR(__xludf.dummyfunction("""COMPUTED_VALUE"""),2804311)</f>
        <v>2804311</v>
      </c>
    </row>
    <row r="160" customFormat="false" ht="15.75" hidden="false" customHeight="false" outlineLevel="0" collapsed="false">
      <c r="A160" s="3" t="n">
        <f aca="false">IFERROR(__xludf.dummyfunction("""COMPUTED_VALUE"""),44427.6666666667)</f>
        <v>44427.6666666667</v>
      </c>
      <c r="B160" s="2" t="n">
        <f aca="false">IFERROR(__xludf.dummyfunction("""COMPUTED_VALUE"""),159.7)</f>
        <v>159.7</v>
      </c>
      <c r="C160" s="2" t="n">
        <f aca="false">IFERROR(__xludf.dummyfunction("""COMPUTED_VALUE"""),161.65)</f>
        <v>161.65</v>
      </c>
      <c r="D160" s="2" t="n">
        <f aca="false">IFERROR(__xludf.dummyfunction("""COMPUTED_VALUE"""),159.12)</f>
        <v>159.12</v>
      </c>
      <c r="E160" s="2" t="n">
        <f aca="false">IFERROR(__xludf.dummyfunction("""COMPUTED_VALUE"""),159.39)</f>
        <v>159.39</v>
      </c>
      <c r="F160" s="2" t="n">
        <f aca="false">IFERROR(__xludf.dummyfunction("""COMPUTED_VALUE"""),3782862)</f>
        <v>3782862</v>
      </c>
    </row>
    <row r="161" customFormat="false" ht="15.75" hidden="false" customHeight="false" outlineLevel="0" collapsed="false">
      <c r="A161" s="3" t="n">
        <f aca="false">IFERROR(__xludf.dummyfunction("""COMPUTED_VALUE"""),44428.6666666667)</f>
        <v>44428.6666666667</v>
      </c>
      <c r="B161" s="2" t="n">
        <f aca="false">IFERROR(__xludf.dummyfunction("""COMPUTED_VALUE"""),160.19)</f>
        <v>160.19</v>
      </c>
      <c r="C161" s="2" t="n">
        <f aca="false">IFERROR(__xludf.dummyfunction("""COMPUTED_VALUE"""),160.39)</f>
        <v>160.39</v>
      </c>
      <c r="D161" s="2" t="n">
        <f aca="false">IFERROR(__xludf.dummyfunction("""COMPUTED_VALUE"""),158.79)</f>
        <v>158.79</v>
      </c>
      <c r="E161" s="2" t="n">
        <f aca="false">IFERROR(__xludf.dummyfunction("""COMPUTED_VALUE"""),160)</f>
        <v>160</v>
      </c>
      <c r="F161" s="2" t="n">
        <f aca="false">IFERROR(__xludf.dummyfunction("""COMPUTED_VALUE"""),3358428)</f>
        <v>3358428</v>
      </c>
    </row>
    <row r="162" customFormat="false" ht="15.75" hidden="false" customHeight="false" outlineLevel="0" collapsed="false">
      <c r="A162" s="3" t="n">
        <f aca="false">IFERROR(__xludf.dummyfunction("""COMPUTED_VALUE"""),44431.6666666667)</f>
        <v>44431.6666666667</v>
      </c>
      <c r="B162" s="2" t="n">
        <f aca="false">IFERROR(__xludf.dummyfunction("""COMPUTED_VALUE"""),160.6)</f>
        <v>160.6</v>
      </c>
      <c r="C162" s="2" t="n">
        <f aca="false">IFERROR(__xludf.dummyfunction("""COMPUTED_VALUE"""),164.05)</f>
        <v>164.05</v>
      </c>
      <c r="D162" s="2" t="n">
        <f aca="false">IFERROR(__xludf.dummyfunction("""COMPUTED_VALUE"""),160.5)</f>
        <v>160.5</v>
      </c>
      <c r="E162" s="2" t="n">
        <f aca="false">IFERROR(__xludf.dummyfunction("""COMPUTED_VALUE"""),163.29)</f>
        <v>163.29</v>
      </c>
      <c r="F162" s="2" t="n">
        <f aca="false">IFERROR(__xludf.dummyfunction("""COMPUTED_VALUE"""),3268131)</f>
        <v>3268131</v>
      </c>
    </row>
    <row r="163" customFormat="false" ht="15.75" hidden="false" customHeight="false" outlineLevel="0" collapsed="false">
      <c r="A163" s="3" t="n">
        <f aca="false">IFERROR(__xludf.dummyfunction("""COMPUTED_VALUE"""),44432.6666666667)</f>
        <v>44432.6666666667</v>
      </c>
      <c r="B163" s="2" t="n">
        <f aca="false">IFERROR(__xludf.dummyfunction("""COMPUTED_VALUE"""),164)</f>
        <v>164</v>
      </c>
      <c r="C163" s="2" t="n">
        <f aca="false">IFERROR(__xludf.dummyfunction("""COMPUTED_VALUE"""),165.77)</f>
        <v>165.77</v>
      </c>
      <c r="D163" s="2" t="n">
        <f aca="false">IFERROR(__xludf.dummyfunction("""COMPUTED_VALUE"""),163.73)</f>
        <v>163.73</v>
      </c>
      <c r="E163" s="2" t="n">
        <f aca="false">IFERROR(__xludf.dummyfunction("""COMPUTED_VALUE"""),165.29)</f>
        <v>165.29</v>
      </c>
      <c r="F163" s="2" t="n">
        <f aca="false">IFERROR(__xludf.dummyfunction("""COMPUTED_VALUE"""),2551841)</f>
        <v>2551841</v>
      </c>
    </row>
    <row r="164" customFormat="false" ht="15.75" hidden="false" customHeight="false" outlineLevel="0" collapsed="false">
      <c r="A164" s="3" t="n">
        <f aca="false">IFERROR(__xludf.dummyfunction("""COMPUTED_VALUE"""),44433.6666666667)</f>
        <v>44433.6666666667</v>
      </c>
      <c r="B164" s="2" t="n">
        <f aca="false">IFERROR(__xludf.dummyfunction("""COMPUTED_VALUE"""),165.49)</f>
        <v>165.49</v>
      </c>
      <c r="C164" s="2" t="n">
        <f aca="false">IFERROR(__xludf.dummyfunction("""COMPUTED_VALUE"""),166.05)</f>
        <v>166.05</v>
      </c>
      <c r="D164" s="2" t="n">
        <f aca="false">IFERROR(__xludf.dummyfunction("""COMPUTED_VALUE"""),164.31)</f>
        <v>164.31</v>
      </c>
      <c r="E164" s="2" t="n">
        <f aca="false">IFERROR(__xludf.dummyfunction("""COMPUTED_VALUE"""),164.96)</f>
        <v>164.96</v>
      </c>
      <c r="F164" s="2" t="n">
        <f aca="false">IFERROR(__xludf.dummyfunction("""COMPUTED_VALUE"""),1680306)</f>
        <v>1680306</v>
      </c>
    </row>
    <row r="165" customFormat="false" ht="15.75" hidden="false" customHeight="false" outlineLevel="0" collapsed="false">
      <c r="A165" s="3" t="n">
        <f aca="false">IFERROR(__xludf.dummyfunction("""COMPUTED_VALUE"""),44434.6666666667)</f>
        <v>44434.6666666667</v>
      </c>
      <c r="B165" s="2" t="n">
        <f aca="false">IFERROR(__xludf.dummyfunction("""COMPUTED_VALUE"""),164.95)</f>
        <v>164.95</v>
      </c>
      <c r="C165" s="2" t="n">
        <f aca="false">IFERROR(__xludf.dummyfunction("""COMPUTED_VALUE"""),166.6)</f>
        <v>166.6</v>
      </c>
      <c r="D165" s="2" t="n">
        <f aca="false">IFERROR(__xludf.dummyfunction("""COMPUTED_VALUE"""),164.8)</f>
        <v>164.8</v>
      </c>
      <c r="E165" s="2" t="n">
        <f aca="false">IFERROR(__xludf.dummyfunction("""COMPUTED_VALUE"""),165.8)</f>
        <v>165.8</v>
      </c>
      <c r="F165" s="2" t="n">
        <f aca="false">IFERROR(__xludf.dummyfunction("""COMPUTED_VALUE"""),2098761)</f>
        <v>2098761</v>
      </c>
    </row>
    <row r="166" customFormat="false" ht="15.75" hidden="false" customHeight="false" outlineLevel="0" collapsed="false">
      <c r="A166" s="3" t="n">
        <f aca="false">IFERROR(__xludf.dummyfunction("""COMPUTED_VALUE"""),44435.6666666667)</f>
        <v>44435.6666666667</v>
      </c>
      <c r="B166" s="2" t="n">
        <f aca="false">IFERROR(__xludf.dummyfunction("""COMPUTED_VALUE"""),166.66)</f>
        <v>166.66</v>
      </c>
      <c r="C166" s="2" t="n">
        <f aca="false">IFERROR(__xludf.dummyfunction("""COMPUTED_VALUE"""),167.62)</f>
        <v>167.62</v>
      </c>
      <c r="D166" s="2" t="n">
        <f aca="false">IFERROR(__xludf.dummyfunction("""COMPUTED_VALUE"""),165.69)</f>
        <v>165.69</v>
      </c>
      <c r="E166" s="2" t="n">
        <f aca="false">IFERROR(__xludf.dummyfunction("""COMPUTED_VALUE"""),167.48)</f>
        <v>167.48</v>
      </c>
      <c r="F166" s="2" t="n">
        <f aca="false">IFERROR(__xludf.dummyfunction("""COMPUTED_VALUE"""),2402369)</f>
        <v>2402369</v>
      </c>
    </row>
    <row r="167" customFormat="false" ht="15.75" hidden="false" customHeight="false" outlineLevel="0" collapsed="false">
      <c r="A167" s="3" t="n">
        <f aca="false">IFERROR(__xludf.dummyfunction("""COMPUTED_VALUE"""),44438.6666666667)</f>
        <v>44438.6666666667</v>
      </c>
      <c r="B167" s="2" t="n">
        <f aca="false">IFERROR(__xludf.dummyfunction("""COMPUTED_VALUE"""),167.87)</f>
        <v>167.87</v>
      </c>
      <c r="C167" s="2" t="n">
        <f aca="false">IFERROR(__xludf.dummyfunction("""COMPUTED_VALUE"""),172.25)</f>
        <v>172.25</v>
      </c>
      <c r="D167" s="2" t="n">
        <f aca="false">IFERROR(__xludf.dummyfunction("""COMPUTED_VALUE"""),167.76)</f>
        <v>167.76</v>
      </c>
      <c r="E167" s="2" t="n">
        <f aca="false">IFERROR(__xludf.dummyfunction("""COMPUTED_VALUE"""),171.08)</f>
        <v>171.08</v>
      </c>
      <c r="F167" s="2" t="n">
        <f aca="false">IFERROR(__xludf.dummyfunction("""COMPUTED_VALUE"""),3192244)</f>
        <v>3192244</v>
      </c>
    </row>
    <row r="168" customFormat="false" ht="15.75" hidden="false" customHeight="false" outlineLevel="0" collapsed="false">
      <c r="A168" s="3" t="n">
        <f aca="false">IFERROR(__xludf.dummyfunction("""COMPUTED_VALUE"""),44439.6666666667)</f>
        <v>44439.6666666667</v>
      </c>
      <c r="B168" s="2" t="n">
        <f aca="false">IFERROR(__xludf.dummyfunction("""COMPUTED_VALUE"""),171.24)</f>
        <v>171.24</v>
      </c>
      <c r="C168" s="2" t="n">
        <f aca="false">IFERROR(__xludf.dummyfunction("""COMPUTED_VALUE"""),173.63)</f>
        <v>173.63</v>
      </c>
      <c r="D168" s="2" t="n">
        <f aca="false">IFERROR(__xludf.dummyfunction("""COMPUTED_VALUE"""),169.78)</f>
        <v>169.78</v>
      </c>
      <c r="E168" s="2" t="n">
        <f aca="false">IFERROR(__xludf.dummyfunction("""COMPUTED_VALUE"""),173.54)</f>
        <v>173.54</v>
      </c>
      <c r="F168" s="2" t="n">
        <f aca="false">IFERROR(__xludf.dummyfunction("""COMPUTED_VALUE"""),4356413)</f>
        <v>4356413</v>
      </c>
    </row>
    <row r="169" customFormat="false" ht="15.75" hidden="false" customHeight="false" outlineLevel="0" collapsed="false">
      <c r="A169" s="3" t="n">
        <f aca="false">IFERROR(__xludf.dummyfunction("""COMPUTED_VALUE"""),44440.6666666667)</f>
        <v>44440.6666666667</v>
      </c>
      <c r="B169" s="2" t="n">
        <f aca="false">IFERROR(__xludf.dummyfunction("""COMPUTED_VALUE"""),174.82)</f>
        <v>174.82</v>
      </c>
      <c r="C169" s="2" t="n">
        <f aca="false">IFERROR(__xludf.dummyfunction("""COMPUTED_VALUE"""),176.35)</f>
        <v>176.35</v>
      </c>
      <c r="D169" s="2" t="n">
        <f aca="false">IFERROR(__xludf.dummyfunction("""COMPUTED_VALUE"""),173.76)</f>
        <v>173.76</v>
      </c>
      <c r="E169" s="2" t="n">
        <f aca="false">IFERROR(__xludf.dummyfunction("""COMPUTED_VALUE"""),173.95)</f>
        <v>173.95</v>
      </c>
      <c r="F169" s="2" t="n">
        <f aca="false">IFERROR(__xludf.dummyfunction("""COMPUTED_VALUE"""),3629911)</f>
        <v>3629911</v>
      </c>
    </row>
    <row r="170" customFormat="false" ht="15.75" hidden="false" customHeight="false" outlineLevel="0" collapsed="false">
      <c r="A170" s="3" t="n">
        <f aca="false">IFERROR(__xludf.dummyfunction("""COMPUTED_VALUE"""),44441.6666666667)</f>
        <v>44441.6666666667</v>
      </c>
      <c r="B170" s="2" t="n">
        <f aca="false">IFERROR(__xludf.dummyfunction("""COMPUTED_VALUE"""),174.74)</f>
        <v>174.74</v>
      </c>
      <c r="C170" s="2" t="n">
        <f aca="false">IFERROR(__xludf.dummyfunction("""COMPUTED_VALUE"""),175.6)</f>
        <v>175.6</v>
      </c>
      <c r="D170" s="2" t="n">
        <f aca="false">IFERROR(__xludf.dummyfunction("""COMPUTED_VALUE"""),172.75)</f>
        <v>172.75</v>
      </c>
      <c r="E170" s="2" t="n">
        <f aca="false">IFERROR(__xludf.dummyfunction("""COMPUTED_VALUE"""),173.16)</f>
        <v>173.16</v>
      </c>
      <c r="F170" s="2" t="n">
        <f aca="false">IFERROR(__xludf.dummyfunction("""COMPUTED_VALUE"""),2925594)</f>
        <v>2925594</v>
      </c>
    </row>
    <row r="171" customFormat="false" ht="15.75" hidden="false" customHeight="false" outlineLevel="0" collapsed="false">
      <c r="A171" s="3" t="n">
        <f aca="false">IFERROR(__xludf.dummyfunction("""COMPUTED_VALUE"""),44442.6666666667)</f>
        <v>44442.6666666667</v>
      </c>
      <c r="B171" s="2" t="n">
        <f aca="false">IFERROR(__xludf.dummyfunction("""COMPUTED_VALUE"""),172.6)</f>
        <v>172.6</v>
      </c>
      <c r="C171" s="2" t="n">
        <f aca="false">IFERROR(__xludf.dummyfunction("""COMPUTED_VALUE"""),174.13)</f>
        <v>174.13</v>
      </c>
      <c r="D171" s="2" t="n">
        <f aca="false">IFERROR(__xludf.dummyfunction("""COMPUTED_VALUE"""),171.82)</f>
        <v>171.82</v>
      </c>
      <c r="E171" s="2" t="n">
        <f aca="false">IFERROR(__xludf.dummyfunction("""COMPUTED_VALUE"""),173.9)</f>
        <v>173.9</v>
      </c>
      <c r="F171" s="2" t="n">
        <f aca="false">IFERROR(__xludf.dummyfunction("""COMPUTED_VALUE"""),2578324)</f>
        <v>2578324</v>
      </c>
    </row>
    <row r="172" customFormat="false" ht="15.75" hidden="false" customHeight="false" outlineLevel="0" collapsed="false">
      <c r="A172" s="3" t="n">
        <f aca="false">IFERROR(__xludf.dummyfunction("""COMPUTED_VALUE"""),44446.6666666667)</f>
        <v>44446.6666666667</v>
      </c>
      <c r="B172" s="2" t="n">
        <f aca="false">IFERROR(__xludf.dummyfunction("""COMPUTED_VALUE"""),173.9)</f>
        <v>173.9</v>
      </c>
      <c r="C172" s="2" t="n">
        <f aca="false">IFERROR(__xludf.dummyfunction("""COMPUTED_VALUE"""),176.4)</f>
        <v>176.4</v>
      </c>
      <c r="D172" s="2" t="n">
        <f aca="false">IFERROR(__xludf.dummyfunction("""COMPUTED_VALUE"""),173.85)</f>
        <v>173.85</v>
      </c>
      <c r="E172" s="2" t="n">
        <f aca="false">IFERROR(__xludf.dummyfunction("""COMPUTED_VALUE"""),175.46)</f>
        <v>175.46</v>
      </c>
      <c r="F172" s="2" t="n">
        <f aca="false">IFERROR(__xludf.dummyfunction("""COMPUTED_VALUE"""),2741184)</f>
        <v>2741184</v>
      </c>
    </row>
    <row r="173" customFormat="false" ht="15.75" hidden="false" customHeight="false" outlineLevel="0" collapsed="false">
      <c r="A173" s="3" t="n">
        <f aca="false">IFERROR(__xludf.dummyfunction("""COMPUTED_VALUE"""),44447.6666666667)</f>
        <v>44447.6666666667</v>
      </c>
      <c r="B173" s="2" t="n">
        <f aca="false">IFERROR(__xludf.dummyfunction("""COMPUTED_VALUE"""),175.58)</f>
        <v>175.58</v>
      </c>
      <c r="C173" s="2" t="n">
        <f aca="false">IFERROR(__xludf.dummyfunction("""COMPUTED_VALUE"""),177.28)</f>
        <v>177.28</v>
      </c>
      <c r="D173" s="2" t="n">
        <f aca="false">IFERROR(__xludf.dummyfunction("""COMPUTED_VALUE"""),174.78)</f>
        <v>174.78</v>
      </c>
      <c r="E173" s="2" t="n">
        <f aca="false">IFERROR(__xludf.dummyfunction("""COMPUTED_VALUE"""),176.28)</f>
        <v>176.28</v>
      </c>
      <c r="F173" s="2" t="n">
        <f aca="false">IFERROR(__xludf.dummyfunction("""COMPUTED_VALUE"""),3053364)</f>
        <v>3053364</v>
      </c>
    </row>
    <row r="174" customFormat="false" ht="15.75" hidden="false" customHeight="false" outlineLevel="0" collapsed="false">
      <c r="A174" s="3" t="n">
        <f aca="false">IFERROR(__xludf.dummyfunction("""COMPUTED_VALUE"""),44448.6666666667)</f>
        <v>44448.6666666667</v>
      </c>
      <c r="B174" s="2" t="n">
        <f aca="false">IFERROR(__xludf.dummyfunction("""COMPUTED_VALUE"""),176.3)</f>
        <v>176.3</v>
      </c>
      <c r="C174" s="2" t="n">
        <f aca="false">IFERROR(__xludf.dummyfunction("""COMPUTED_VALUE"""),177.5)</f>
        <v>177.5</v>
      </c>
      <c r="D174" s="2" t="n">
        <f aca="false">IFERROR(__xludf.dummyfunction("""COMPUTED_VALUE"""),174.02)</f>
        <v>174.02</v>
      </c>
      <c r="E174" s="2" t="n">
        <f aca="false">IFERROR(__xludf.dummyfunction("""COMPUTED_VALUE"""),174.21)</f>
        <v>174.21</v>
      </c>
      <c r="F174" s="2" t="n">
        <f aca="false">IFERROR(__xludf.dummyfunction("""COMPUTED_VALUE"""),2719241)</f>
        <v>2719241</v>
      </c>
    </row>
    <row r="175" customFormat="false" ht="15.75" hidden="false" customHeight="false" outlineLevel="0" collapsed="false">
      <c r="A175" s="3" t="n">
        <f aca="false">IFERROR(__xludf.dummyfunction("""COMPUTED_VALUE"""),44449.6666666667)</f>
        <v>44449.6666666667</v>
      </c>
      <c r="B175" s="2" t="n">
        <f aca="false">IFERROR(__xludf.dummyfunction("""COMPUTED_VALUE"""),175.09)</f>
        <v>175.09</v>
      </c>
      <c r="C175" s="2" t="n">
        <f aca="false">IFERROR(__xludf.dummyfunction("""COMPUTED_VALUE"""),175.42)</f>
        <v>175.42</v>
      </c>
      <c r="D175" s="2" t="n">
        <f aca="false">IFERROR(__xludf.dummyfunction("""COMPUTED_VALUE"""),173.15)</f>
        <v>173.15</v>
      </c>
      <c r="E175" s="2" t="n">
        <f aca="false">IFERROR(__xludf.dummyfunction("""COMPUTED_VALUE"""),173.46)</f>
        <v>173.46</v>
      </c>
      <c r="F175" s="2" t="n">
        <f aca="false">IFERROR(__xludf.dummyfunction("""COMPUTED_VALUE"""),2397269)</f>
        <v>2397269</v>
      </c>
    </row>
    <row r="176" customFormat="false" ht="15.75" hidden="false" customHeight="false" outlineLevel="0" collapsed="false">
      <c r="A176" s="3" t="n">
        <f aca="false">IFERROR(__xludf.dummyfunction("""COMPUTED_VALUE"""),44452.6666666667)</f>
        <v>44452.6666666667</v>
      </c>
      <c r="B176" s="2" t="n">
        <f aca="false">IFERROR(__xludf.dummyfunction("""COMPUTED_VALUE"""),174.14)</f>
        <v>174.14</v>
      </c>
      <c r="C176" s="2" t="n">
        <f aca="false">IFERROR(__xludf.dummyfunction("""COMPUTED_VALUE"""),174.9)</f>
        <v>174.9</v>
      </c>
      <c r="D176" s="2" t="n">
        <f aca="false">IFERROR(__xludf.dummyfunction("""COMPUTED_VALUE"""),171.9)</f>
        <v>171.9</v>
      </c>
      <c r="E176" s="2" t="n">
        <f aca="false">IFERROR(__xludf.dummyfunction("""COMPUTED_VALUE"""),172.86)</f>
        <v>172.86</v>
      </c>
      <c r="F176" s="2" t="n">
        <f aca="false">IFERROR(__xludf.dummyfunction("""COMPUTED_VALUE"""),2569022)</f>
        <v>2569022</v>
      </c>
    </row>
    <row r="177" customFormat="false" ht="15.75" hidden="false" customHeight="false" outlineLevel="0" collapsed="false">
      <c r="A177" s="3" t="n">
        <f aca="false">IFERROR(__xludf.dummyfunction("""COMPUTED_VALUE"""),44453.6666666667)</f>
        <v>44453.6666666667</v>
      </c>
      <c r="B177" s="2" t="n">
        <f aca="false">IFERROR(__xludf.dummyfunction("""COMPUTED_VALUE"""),173.78)</f>
        <v>173.78</v>
      </c>
      <c r="C177" s="2" t="n">
        <f aca="false">IFERROR(__xludf.dummyfunction("""COMPUTED_VALUE"""),174.34)</f>
        <v>174.34</v>
      </c>
      <c r="D177" s="2" t="n">
        <f aca="false">IFERROR(__xludf.dummyfunction("""COMPUTED_VALUE"""),171.89)</f>
        <v>171.89</v>
      </c>
      <c r="E177" s="2" t="n">
        <f aca="false">IFERROR(__xludf.dummyfunction("""COMPUTED_VALUE"""),172.5)</f>
        <v>172.5</v>
      </c>
      <c r="F177" s="2" t="n">
        <f aca="false">IFERROR(__xludf.dummyfunction("""COMPUTED_VALUE"""),1936897)</f>
        <v>1936897</v>
      </c>
    </row>
    <row r="178" customFormat="false" ht="15.75" hidden="false" customHeight="false" outlineLevel="0" collapsed="false">
      <c r="A178" s="3" t="n">
        <f aca="false">IFERROR(__xludf.dummyfunction("""COMPUTED_VALUE"""),44454.6666666667)</f>
        <v>44454.6666666667</v>
      </c>
      <c r="B178" s="2" t="n">
        <f aca="false">IFERROR(__xludf.dummyfunction("""COMPUTED_VALUE"""),172.13)</f>
        <v>172.13</v>
      </c>
      <c r="C178" s="2" t="n">
        <f aca="false">IFERROR(__xludf.dummyfunction("""COMPUTED_VALUE"""),174.27)</f>
        <v>174.27</v>
      </c>
      <c r="D178" s="2" t="n">
        <f aca="false">IFERROR(__xludf.dummyfunction("""COMPUTED_VALUE"""),170.1)</f>
        <v>170.1</v>
      </c>
      <c r="E178" s="2" t="n">
        <f aca="false">IFERROR(__xludf.dummyfunction("""COMPUTED_VALUE"""),173.79)</f>
        <v>173.79</v>
      </c>
      <c r="F178" s="2" t="n">
        <f aca="false">IFERROR(__xludf.dummyfunction("""COMPUTED_VALUE"""),2957537)</f>
        <v>2957537</v>
      </c>
    </row>
    <row r="179" customFormat="false" ht="15.75" hidden="false" customHeight="false" outlineLevel="0" collapsed="false">
      <c r="A179" s="3" t="n">
        <f aca="false">IFERROR(__xludf.dummyfunction("""COMPUTED_VALUE"""),44455.6666666667)</f>
        <v>44455.6666666667</v>
      </c>
      <c r="B179" s="2" t="n">
        <f aca="false">IFERROR(__xludf.dummyfunction("""COMPUTED_VALUE"""),173)</f>
        <v>173</v>
      </c>
      <c r="C179" s="2" t="n">
        <f aca="false">IFERROR(__xludf.dummyfunction("""COMPUTED_VALUE"""),174.63)</f>
        <v>174.63</v>
      </c>
      <c r="D179" s="2" t="n">
        <f aca="false">IFERROR(__xludf.dummyfunction("""COMPUTED_VALUE"""),172.31)</f>
        <v>172.31</v>
      </c>
      <c r="E179" s="2" t="n">
        <f aca="false">IFERROR(__xludf.dummyfunction("""COMPUTED_VALUE"""),174.41)</f>
        <v>174.41</v>
      </c>
      <c r="F179" s="2" t="n">
        <f aca="false">IFERROR(__xludf.dummyfunction("""COMPUTED_VALUE"""),2583598)</f>
        <v>2583598</v>
      </c>
    </row>
    <row r="180" customFormat="false" ht="15.75" hidden="false" customHeight="false" outlineLevel="0" collapsed="false">
      <c r="A180" s="3" t="n">
        <f aca="false">IFERROR(__xludf.dummyfunction("""COMPUTED_VALUE"""),44456.6666666667)</f>
        <v>44456.6666666667</v>
      </c>
      <c r="B180" s="2" t="n">
        <f aca="false">IFERROR(__xludf.dummyfunction("""COMPUTED_VALUE"""),174.42)</f>
        <v>174.42</v>
      </c>
      <c r="C180" s="2" t="n">
        <f aca="false">IFERROR(__xludf.dummyfunction("""COMPUTED_VALUE"""),174.87)</f>
        <v>174.87</v>
      </c>
      <c r="D180" s="2" t="n">
        <f aca="false">IFERROR(__xludf.dummyfunction("""COMPUTED_VALUE"""),172.61)</f>
        <v>172.61</v>
      </c>
      <c r="E180" s="2" t="n">
        <f aca="false">IFERROR(__xludf.dummyfunction("""COMPUTED_VALUE"""),173.13)</f>
        <v>173.13</v>
      </c>
      <c r="F180" s="2" t="n">
        <f aca="false">IFERROR(__xludf.dummyfunction("""COMPUTED_VALUE"""),4616556)</f>
        <v>4616556</v>
      </c>
    </row>
    <row r="181" customFormat="false" ht="15.75" hidden="false" customHeight="false" outlineLevel="0" collapsed="false">
      <c r="A181" s="3" t="n">
        <f aca="false">IFERROR(__xludf.dummyfunction("""COMPUTED_VALUE"""),44459.6666666667)</f>
        <v>44459.6666666667</v>
      </c>
      <c r="B181" s="2" t="n">
        <f aca="false">IFERROR(__xludf.dummyfunction("""COMPUTED_VALUE"""),169.8)</f>
        <v>169.8</v>
      </c>
      <c r="C181" s="2" t="n">
        <f aca="false">IFERROR(__xludf.dummyfunction("""COMPUTED_VALUE"""),170.95)</f>
        <v>170.95</v>
      </c>
      <c r="D181" s="2" t="n">
        <f aca="false">IFERROR(__xludf.dummyfunction("""COMPUTED_VALUE"""),165.25)</f>
        <v>165.25</v>
      </c>
      <c r="E181" s="2" t="n">
        <f aca="false">IFERROR(__xludf.dummyfunction("""COMPUTED_VALUE"""),167.79)</f>
        <v>167.79</v>
      </c>
      <c r="F181" s="2" t="n">
        <f aca="false">IFERROR(__xludf.dummyfunction("""COMPUTED_VALUE"""),4669130)</f>
        <v>4669130</v>
      </c>
    </row>
    <row r="182" customFormat="false" ht="15.75" hidden="false" customHeight="false" outlineLevel="0" collapsed="false">
      <c r="A182" s="3" t="n">
        <f aca="false">IFERROR(__xludf.dummyfunction("""COMPUTED_VALUE"""),44460.6666666667)</f>
        <v>44460.6666666667</v>
      </c>
      <c r="B182" s="2" t="n">
        <f aca="false">IFERROR(__xludf.dummyfunction("""COMPUTED_VALUE"""),168.75)</f>
        <v>168.75</v>
      </c>
      <c r="C182" s="2" t="n">
        <f aca="false">IFERROR(__xludf.dummyfunction("""COMPUTED_VALUE"""),168.99)</f>
        <v>168.99</v>
      </c>
      <c r="D182" s="2" t="n">
        <f aca="false">IFERROR(__xludf.dummyfunction("""COMPUTED_VALUE"""),166.62)</f>
        <v>166.62</v>
      </c>
      <c r="E182" s="2" t="n">
        <f aca="false">IFERROR(__xludf.dummyfunction("""COMPUTED_VALUE"""),167.18)</f>
        <v>167.18</v>
      </c>
      <c r="F182" s="2" t="n">
        <f aca="false">IFERROR(__xludf.dummyfunction("""COMPUTED_VALUE"""),2780878)</f>
        <v>2780878</v>
      </c>
    </row>
    <row r="183" customFormat="false" ht="15.75" hidden="false" customHeight="false" outlineLevel="0" collapsed="false">
      <c r="A183" s="3" t="n">
        <f aca="false">IFERROR(__xludf.dummyfunction("""COMPUTED_VALUE"""),44461.6666666667)</f>
        <v>44461.6666666667</v>
      </c>
      <c r="B183" s="2" t="n">
        <f aca="false">IFERROR(__xludf.dummyfunction("""COMPUTED_VALUE"""),167.55)</f>
        <v>167.55</v>
      </c>
      <c r="C183" s="2" t="n">
        <f aca="false">IFERROR(__xludf.dummyfunction("""COMPUTED_VALUE"""),169.45)</f>
        <v>169.45</v>
      </c>
      <c r="D183" s="2" t="n">
        <f aca="false">IFERROR(__xludf.dummyfunction("""COMPUTED_VALUE"""),167.05)</f>
        <v>167.05</v>
      </c>
      <c r="E183" s="2" t="n">
        <f aca="false">IFERROR(__xludf.dummyfunction("""COMPUTED_VALUE"""),169)</f>
        <v>169</v>
      </c>
      <c r="F183" s="2" t="n">
        <f aca="false">IFERROR(__xludf.dummyfunction("""COMPUTED_VALUE"""),2411403)</f>
        <v>2411403</v>
      </c>
    </row>
    <row r="184" customFormat="false" ht="15.75" hidden="false" customHeight="false" outlineLevel="0" collapsed="false">
      <c r="A184" s="3" t="n">
        <f aca="false">IFERROR(__xludf.dummyfunction("""COMPUTED_VALUE"""),44462.6666666667)</f>
        <v>44462.6666666667</v>
      </c>
      <c r="B184" s="2" t="n">
        <f aca="false">IFERROR(__xludf.dummyfunction("""COMPUTED_VALUE"""),169)</f>
        <v>169</v>
      </c>
      <c r="C184" s="2" t="n">
        <f aca="false">IFERROR(__xludf.dummyfunction("""COMPUTED_VALUE"""),171.45)</f>
        <v>171.45</v>
      </c>
      <c r="D184" s="2" t="n">
        <f aca="false">IFERROR(__xludf.dummyfunction("""COMPUTED_VALUE"""),169)</f>
        <v>169</v>
      </c>
      <c r="E184" s="2" t="n">
        <f aca="false">IFERROR(__xludf.dummyfunction("""COMPUTED_VALUE"""),170.8)</f>
        <v>170.8</v>
      </c>
      <c r="F184" s="2" t="n">
        <f aca="false">IFERROR(__xludf.dummyfunction("""COMPUTED_VALUE"""),2379414)</f>
        <v>2379414</v>
      </c>
    </row>
    <row r="185" customFormat="false" ht="15.75" hidden="false" customHeight="false" outlineLevel="0" collapsed="false">
      <c r="A185" s="3" t="n">
        <f aca="false">IFERROR(__xludf.dummyfunction("""COMPUTED_VALUE"""),44463.6666666667)</f>
        <v>44463.6666666667</v>
      </c>
      <c r="B185" s="2" t="n">
        <f aca="false">IFERROR(__xludf.dummyfunction("""COMPUTED_VALUE"""),170.1)</f>
        <v>170.1</v>
      </c>
      <c r="C185" s="2" t="n">
        <f aca="false">IFERROR(__xludf.dummyfunction("""COMPUTED_VALUE"""),171.46)</f>
        <v>171.46</v>
      </c>
      <c r="D185" s="2" t="n">
        <f aca="false">IFERROR(__xludf.dummyfunction("""COMPUTED_VALUE"""),169.67)</f>
        <v>169.67</v>
      </c>
      <c r="E185" s="2" t="n">
        <f aca="false">IFERROR(__xludf.dummyfunction("""COMPUTED_VALUE"""),171.28)</f>
        <v>171.28</v>
      </c>
      <c r="F185" s="2" t="n">
        <f aca="false">IFERROR(__xludf.dummyfunction("""COMPUTED_VALUE"""),2116241)</f>
        <v>2116241</v>
      </c>
    </row>
    <row r="186" customFormat="false" ht="15.75" hidden="false" customHeight="false" outlineLevel="0" collapsed="false">
      <c r="A186" s="3" t="n">
        <f aca="false">IFERROR(__xludf.dummyfunction("""COMPUTED_VALUE"""),44466.6666666667)</f>
        <v>44466.6666666667</v>
      </c>
      <c r="B186" s="2" t="n">
        <f aca="false">IFERROR(__xludf.dummyfunction("""COMPUTED_VALUE"""),168.58)</f>
        <v>168.58</v>
      </c>
      <c r="C186" s="2" t="n">
        <f aca="false">IFERROR(__xludf.dummyfunction("""COMPUTED_VALUE"""),170.78)</f>
        <v>170.78</v>
      </c>
      <c r="D186" s="2" t="n">
        <f aca="false">IFERROR(__xludf.dummyfunction("""COMPUTED_VALUE"""),166.98)</f>
        <v>166.98</v>
      </c>
      <c r="E186" s="2" t="n">
        <f aca="false">IFERROR(__xludf.dummyfunction("""COMPUTED_VALUE"""),170.29)</f>
        <v>170.29</v>
      </c>
      <c r="F186" s="2" t="n">
        <f aca="false">IFERROR(__xludf.dummyfunction("""COMPUTED_VALUE"""),3634450)</f>
        <v>3634450</v>
      </c>
    </row>
    <row r="187" customFormat="false" ht="15.75" hidden="false" customHeight="false" outlineLevel="0" collapsed="false">
      <c r="A187" s="3" t="n">
        <f aca="false">IFERROR(__xludf.dummyfunction("""COMPUTED_VALUE"""),44467.6666666667)</f>
        <v>44467.6666666667</v>
      </c>
      <c r="B187" s="2" t="n">
        <f aca="false">IFERROR(__xludf.dummyfunction("""COMPUTED_VALUE"""),167.89)</f>
        <v>167.89</v>
      </c>
      <c r="C187" s="2" t="n">
        <f aca="false">IFERROR(__xludf.dummyfunction("""COMPUTED_VALUE"""),168.46)</f>
        <v>168.46</v>
      </c>
      <c r="D187" s="2" t="n">
        <f aca="false">IFERROR(__xludf.dummyfunction("""COMPUTED_VALUE"""),164.51)</f>
        <v>164.51</v>
      </c>
      <c r="E187" s="2" t="n">
        <f aca="false">IFERROR(__xludf.dummyfunction("""COMPUTED_VALUE"""),165.8)</f>
        <v>165.8</v>
      </c>
      <c r="F187" s="2" t="n">
        <f aca="false">IFERROR(__xludf.dummyfunction("""COMPUTED_VALUE"""),4430819)</f>
        <v>4430819</v>
      </c>
    </row>
    <row r="188" customFormat="false" ht="15.75" hidden="false" customHeight="false" outlineLevel="0" collapsed="false">
      <c r="A188" s="3" t="n">
        <f aca="false">IFERROR(__xludf.dummyfunction("""COMPUTED_VALUE"""),44468.6666666667)</f>
        <v>44468.6666666667</v>
      </c>
      <c r="B188" s="2" t="n">
        <f aca="false">IFERROR(__xludf.dummyfunction("""COMPUTED_VALUE"""),166.11)</f>
        <v>166.11</v>
      </c>
      <c r="C188" s="2" t="n">
        <f aca="false">IFERROR(__xludf.dummyfunction("""COMPUTED_VALUE"""),167.57)</f>
        <v>167.57</v>
      </c>
      <c r="D188" s="2" t="n">
        <f aca="false">IFERROR(__xludf.dummyfunction("""COMPUTED_VALUE"""),164.89)</f>
        <v>164.89</v>
      </c>
      <c r="E188" s="2" t="n">
        <f aca="false">IFERROR(__xludf.dummyfunction("""COMPUTED_VALUE"""),165.06)</f>
        <v>165.06</v>
      </c>
      <c r="F188" s="2" t="n">
        <f aca="false">IFERROR(__xludf.dummyfunction("""COMPUTED_VALUE"""),2562268)</f>
        <v>2562268</v>
      </c>
    </row>
    <row r="189" customFormat="false" ht="15.75" hidden="false" customHeight="false" outlineLevel="0" collapsed="false">
      <c r="A189" s="3" t="n">
        <f aca="false">IFERROR(__xludf.dummyfunction("""COMPUTED_VALUE"""),44469.6666666667)</f>
        <v>44469.6666666667</v>
      </c>
      <c r="B189" s="2" t="n">
        <f aca="false">IFERROR(__xludf.dummyfunction("""COMPUTED_VALUE"""),165.8)</f>
        <v>165.8</v>
      </c>
      <c r="C189" s="2" t="n">
        <f aca="false">IFERROR(__xludf.dummyfunction("""COMPUTED_VALUE"""),166.39)</f>
        <v>166.39</v>
      </c>
      <c r="D189" s="2" t="n">
        <f aca="false">IFERROR(__xludf.dummyfunction("""COMPUTED_VALUE"""),163.7)</f>
        <v>163.7</v>
      </c>
      <c r="E189" s="2" t="n">
        <f aca="false">IFERROR(__xludf.dummyfunction("""COMPUTED_VALUE"""),164.25)</f>
        <v>164.25</v>
      </c>
      <c r="F189" s="2" t="n">
        <f aca="false">IFERROR(__xludf.dummyfunction("""COMPUTED_VALUE"""),2847033)</f>
        <v>2847033</v>
      </c>
    </row>
    <row r="190" customFormat="false" ht="15.75" hidden="false" customHeight="false" outlineLevel="0" collapsed="false">
      <c r="A190" s="3" t="n">
        <f aca="false">IFERROR(__xludf.dummyfunction("""COMPUTED_VALUE"""),44470.6666666667)</f>
        <v>44470.6666666667</v>
      </c>
      <c r="B190" s="2" t="n">
        <f aca="false">IFERROR(__xludf.dummyfunction("""COMPUTED_VALUE"""),164.45)</f>
        <v>164.45</v>
      </c>
      <c r="C190" s="2" t="n">
        <f aca="false">IFERROR(__xludf.dummyfunction("""COMPUTED_VALUE"""),165.46)</f>
        <v>165.46</v>
      </c>
      <c r="D190" s="2" t="n">
        <f aca="false">IFERROR(__xludf.dummyfunction("""COMPUTED_VALUE"""),162.8)</f>
        <v>162.8</v>
      </c>
      <c r="E190" s="2" t="n">
        <f aca="false">IFERROR(__xludf.dummyfunction("""COMPUTED_VALUE"""),164.16)</f>
        <v>164.16</v>
      </c>
      <c r="F190" s="2" t="n">
        <f aca="false">IFERROR(__xludf.dummyfunction("""COMPUTED_VALUE"""),2835617)</f>
        <v>2835617</v>
      </c>
    </row>
    <row r="191" customFormat="false" ht="15.75" hidden="false" customHeight="false" outlineLevel="0" collapsed="false">
      <c r="A191" s="3" t="n">
        <f aca="false">IFERROR(__xludf.dummyfunction("""COMPUTED_VALUE"""),44473.6666666667)</f>
        <v>44473.6666666667</v>
      </c>
      <c r="B191" s="2" t="n">
        <f aca="false">IFERROR(__xludf.dummyfunction("""COMPUTED_VALUE"""),163.97)</f>
        <v>163.97</v>
      </c>
      <c r="C191" s="2" t="n">
        <f aca="false">IFERROR(__xludf.dummyfunction("""COMPUTED_VALUE"""),164)</f>
        <v>164</v>
      </c>
      <c r="D191" s="2" t="n">
        <f aca="false">IFERROR(__xludf.dummyfunction("""COMPUTED_VALUE"""),158.81)</f>
        <v>158.81</v>
      </c>
      <c r="E191" s="2" t="n">
        <f aca="false">IFERROR(__xludf.dummyfunction("""COMPUTED_VALUE"""),159.49)</f>
        <v>159.49</v>
      </c>
      <c r="F191" s="2" t="n">
        <f aca="false">IFERROR(__xludf.dummyfunction("""COMPUTED_VALUE"""),4523057)</f>
        <v>4523057</v>
      </c>
    </row>
    <row r="192" customFormat="false" ht="15.75" hidden="false" customHeight="false" outlineLevel="0" collapsed="false">
      <c r="A192" s="3" t="n">
        <f aca="false">IFERROR(__xludf.dummyfunction("""COMPUTED_VALUE"""),44474.6666666667)</f>
        <v>44474.6666666667</v>
      </c>
      <c r="B192" s="2" t="n">
        <f aca="false">IFERROR(__xludf.dummyfunction("""COMPUTED_VALUE"""),160.23)</f>
        <v>160.23</v>
      </c>
      <c r="C192" s="2" t="n">
        <f aca="false">IFERROR(__xludf.dummyfunction("""COMPUTED_VALUE"""),163.04)</f>
        <v>163.04</v>
      </c>
      <c r="D192" s="2" t="n">
        <f aca="false">IFERROR(__xludf.dummyfunction("""COMPUTED_VALUE"""),160.12)</f>
        <v>160.12</v>
      </c>
      <c r="E192" s="2" t="n">
        <f aca="false">IFERROR(__xludf.dummyfunction("""COMPUTED_VALUE"""),161.05)</f>
        <v>161.05</v>
      </c>
      <c r="F192" s="2" t="n">
        <f aca="false">IFERROR(__xludf.dummyfunction("""COMPUTED_VALUE"""),3269208)</f>
        <v>3269208</v>
      </c>
    </row>
    <row r="193" customFormat="false" ht="15.75" hidden="false" customHeight="false" outlineLevel="0" collapsed="false">
      <c r="A193" s="3" t="n">
        <f aca="false">IFERROR(__xludf.dummyfunction("""COMPUTED_VALUE"""),44475.6666666667)</f>
        <v>44475.6666666667</v>
      </c>
      <c r="B193" s="2" t="n">
        <f aca="false">IFERROR(__xludf.dummyfunction("""COMPUTED_VALUE"""),160.68)</f>
        <v>160.68</v>
      </c>
      <c r="C193" s="2" t="n">
        <f aca="false">IFERROR(__xludf.dummyfunction("""COMPUTED_VALUE"""),163.22)</f>
        <v>163.22</v>
      </c>
      <c r="D193" s="2" t="n">
        <f aca="false">IFERROR(__xludf.dummyfunction("""COMPUTED_VALUE"""),159.93)</f>
        <v>159.93</v>
      </c>
      <c r="E193" s="2" t="n">
        <f aca="false">IFERROR(__xludf.dummyfunction("""COMPUTED_VALUE"""),163.1)</f>
        <v>163.1</v>
      </c>
      <c r="F193" s="2" t="n">
        <f aca="false">IFERROR(__xludf.dummyfunction("""COMPUTED_VALUE"""),2532977)</f>
        <v>2532977</v>
      </c>
    </row>
    <row r="194" customFormat="false" ht="15.75" hidden="false" customHeight="false" outlineLevel="0" collapsed="false">
      <c r="A194" s="3" t="n">
        <f aca="false">IFERROR(__xludf.dummyfunction("""COMPUTED_VALUE"""),44476.6666666667)</f>
        <v>44476.6666666667</v>
      </c>
      <c r="B194" s="2" t="n">
        <f aca="false">IFERROR(__xludf.dummyfunction("""COMPUTED_VALUE"""),164.58)</f>
        <v>164.58</v>
      </c>
      <c r="C194" s="2" t="n">
        <f aca="false">IFERROR(__xludf.dummyfunction("""COMPUTED_VALUE"""),166.29)</f>
        <v>166.29</v>
      </c>
      <c r="D194" s="2" t="n">
        <f aca="false">IFERROR(__xludf.dummyfunction("""COMPUTED_VALUE"""),164.15)</f>
        <v>164.15</v>
      </c>
      <c r="E194" s="2" t="n">
        <f aca="false">IFERROR(__xludf.dummyfunction("""COMPUTED_VALUE"""),165.12)</f>
        <v>165.12</v>
      </c>
      <c r="F194" s="2" t="n">
        <f aca="false">IFERROR(__xludf.dummyfunction("""COMPUTED_VALUE"""),2409075)</f>
        <v>2409075</v>
      </c>
    </row>
    <row r="195" customFormat="false" ht="15.75" hidden="false" customHeight="false" outlineLevel="0" collapsed="false">
      <c r="A195" s="3" t="n">
        <f aca="false">IFERROR(__xludf.dummyfunction("""COMPUTED_VALUE"""),44477.6666666667)</f>
        <v>44477.6666666667</v>
      </c>
      <c r="B195" s="2" t="n">
        <f aca="false">IFERROR(__xludf.dummyfunction("""COMPUTED_VALUE"""),165.85)</f>
        <v>165.85</v>
      </c>
      <c r="C195" s="2" t="n">
        <f aca="false">IFERROR(__xludf.dummyfunction("""COMPUTED_VALUE"""),166.07)</f>
        <v>166.07</v>
      </c>
      <c r="D195" s="2" t="n">
        <f aca="false">IFERROR(__xludf.dummyfunction("""COMPUTED_VALUE"""),164.41)</f>
        <v>164.41</v>
      </c>
      <c r="E195" s="2" t="n">
        <f aca="false">IFERROR(__xludf.dummyfunction("""COMPUTED_VALUE"""),164.43)</f>
        <v>164.43</v>
      </c>
      <c r="F195" s="2" t="n">
        <f aca="false">IFERROR(__xludf.dummyfunction("""COMPUTED_VALUE"""),1998217)</f>
        <v>1998217</v>
      </c>
    </row>
    <row r="196" customFormat="false" ht="15.75" hidden="false" customHeight="false" outlineLevel="0" collapsed="false">
      <c r="A196" s="3" t="n">
        <f aca="false">IFERROR(__xludf.dummyfunction("""COMPUTED_VALUE"""),44480.6666666667)</f>
        <v>44480.6666666667</v>
      </c>
      <c r="B196" s="2" t="n">
        <f aca="false">IFERROR(__xludf.dummyfunction("""COMPUTED_VALUE"""),163.75)</f>
        <v>163.75</v>
      </c>
      <c r="C196" s="2" t="n">
        <f aca="false">IFERROR(__xludf.dummyfunction("""COMPUTED_VALUE"""),164.63)</f>
        <v>164.63</v>
      </c>
      <c r="D196" s="2" t="n">
        <f aca="false">IFERROR(__xludf.dummyfunction("""COMPUTED_VALUE"""),161.91)</f>
        <v>161.91</v>
      </c>
      <c r="E196" s="2" t="n">
        <f aca="false">IFERROR(__xludf.dummyfunction("""COMPUTED_VALUE"""),162.32)</f>
        <v>162.32</v>
      </c>
      <c r="F196" s="2" t="n">
        <f aca="false">IFERROR(__xludf.dummyfunction("""COMPUTED_VALUE"""),2034203)</f>
        <v>2034203</v>
      </c>
    </row>
    <row r="197" customFormat="false" ht="15.75" hidden="false" customHeight="false" outlineLevel="0" collapsed="false">
      <c r="A197" s="3" t="n">
        <f aca="false">IFERROR(__xludf.dummyfunction("""COMPUTED_VALUE"""),44481.6666666667)</f>
        <v>44481.6666666667</v>
      </c>
      <c r="B197" s="2" t="n">
        <f aca="false">IFERROR(__xludf.dummyfunction("""COMPUTED_VALUE"""),162.85)</f>
        <v>162.85</v>
      </c>
      <c r="C197" s="2" t="n">
        <f aca="false">IFERROR(__xludf.dummyfunction("""COMPUTED_VALUE"""),163.38)</f>
        <v>163.38</v>
      </c>
      <c r="D197" s="2" t="n">
        <f aca="false">IFERROR(__xludf.dummyfunction("""COMPUTED_VALUE"""),161.81)</f>
        <v>161.81</v>
      </c>
      <c r="E197" s="2" t="n">
        <f aca="false">IFERROR(__xludf.dummyfunction("""COMPUTED_VALUE"""),162.37)</f>
        <v>162.37</v>
      </c>
      <c r="F197" s="2" t="n">
        <f aca="false">IFERROR(__xludf.dummyfunction("""COMPUTED_VALUE"""),1819571)</f>
        <v>1819571</v>
      </c>
    </row>
    <row r="198" customFormat="false" ht="15.75" hidden="false" customHeight="false" outlineLevel="0" collapsed="false">
      <c r="A198" s="3" t="n">
        <f aca="false">IFERROR(__xludf.dummyfunction("""COMPUTED_VALUE"""),44482.6666666667)</f>
        <v>44482.6666666667</v>
      </c>
      <c r="B198" s="2" t="n">
        <f aca="false">IFERROR(__xludf.dummyfunction("""COMPUTED_VALUE"""),163.49)</f>
        <v>163.49</v>
      </c>
      <c r="C198" s="2" t="n">
        <f aca="false">IFERROR(__xludf.dummyfunction("""COMPUTED_VALUE"""),164.42)</f>
        <v>164.42</v>
      </c>
      <c r="D198" s="2" t="n">
        <f aca="false">IFERROR(__xludf.dummyfunction("""COMPUTED_VALUE"""),163.05)</f>
        <v>163.05</v>
      </c>
      <c r="E198" s="2" t="n">
        <f aca="false">IFERROR(__xludf.dummyfunction("""COMPUTED_VALUE"""),164.21)</f>
        <v>164.21</v>
      </c>
      <c r="F198" s="2" t="n">
        <f aca="false">IFERROR(__xludf.dummyfunction("""COMPUTED_VALUE"""),2425086)</f>
        <v>2425086</v>
      </c>
    </row>
    <row r="199" customFormat="false" ht="15.75" hidden="false" customHeight="false" outlineLevel="0" collapsed="false">
      <c r="A199" s="3" t="n">
        <f aca="false">IFERROR(__xludf.dummyfunction("""COMPUTED_VALUE"""),44483.6666666667)</f>
        <v>44483.6666666667</v>
      </c>
      <c r="B199" s="2" t="n">
        <f aca="false">IFERROR(__xludf.dummyfunction("""COMPUTED_VALUE"""),165.12)</f>
        <v>165.12</v>
      </c>
      <c r="C199" s="2" t="n">
        <f aca="false">IFERROR(__xludf.dummyfunction("""COMPUTED_VALUE"""),165.63)</f>
        <v>165.63</v>
      </c>
      <c r="D199" s="2" t="n">
        <f aca="false">IFERROR(__xludf.dummyfunction("""COMPUTED_VALUE"""),164.54)</f>
        <v>164.54</v>
      </c>
      <c r="E199" s="2" t="n">
        <f aca="false">IFERROR(__xludf.dummyfunction("""COMPUTED_VALUE"""),164.99)</f>
        <v>164.99</v>
      </c>
      <c r="F199" s="2" t="n">
        <f aca="false">IFERROR(__xludf.dummyfunction("""COMPUTED_VALUE"""),2112020)</f>
        <v>2112020</v>
      </c>
    </row>
    <row r="200" customFormat="false" ht="15.75" hidden="false" customHeight="false" outlineLevel="0" collapsed="false">
      <c r="A200" s="3" t="n">
        <f aca="false">IFERROR(__xludf.dummyfunction("""COMPUTED_VALUE"""),44484.6666666667)</f>
        <v>44484.6666666667</v>
      </c>
      <c r="B200" s="2" t="n">
        <f aca="false">IFERROR(__xludf.dummyfunction("""COMPUTED_VALUE"""),165.57)</f>
        <v>165.57</v>
      </c>
      <c r="C200" s="2" t="n">
        <f aca="false">IFERROR(__xludf.dummyfunction("""COMPUTED_VALUE"""),170.52)</f>
        <v>170.52</v>
      </c>
      <c r="D200" s="2" t="n">
        <f aca="false">IFERROR(__xludf.dummyfunction("""COMPUTED_VALUE"""),165.2)</f>
        <v>165.2</v>
      </c>
      <c r="E200" s="2" t="n">
        <f aca="false">IFERROR(__xludf.dummyfunction("""COMPUTED_VALUE"""),170.45)</f>
        <v>170.45</v>
      </c>
      <c r="F200" s="2" t="n">
        <f aca="false">IFERROR(__xludf.dummyfunction("""COMPUTED_VALUE"""),5179941)</f>
        <v>5179941</v>
      </c>
    </row>
    <row r="201" customFormat="false" ht="15.75" hidden="false" customHeight="false" outlineLevel="0" collapsed="false">
      <c r="A201" s="3" t="n">
        <f aca="false">IFERROR(__xludf.dummyfunction("""COMPUTED_VALUE"""),44487.6666666667)</f>
        <v>44487.6666666667</v>
      </c>
      <c r="B201" s="2" t="n">
        <f aca="false">IFERROR(__xludf.dummyfunction("""COMPUTED_VALUE"""),169.42)</f>
        <v>169.42</v>
      </c>
      <c r="C201" s="2" t="n">
        <f aca="false">IFERROR(__xludf.dummyfunction("""COMPUTED_VALUE"""),172.46)</f>
        <v>172.46</v>
      </c>
      <c r="D201" s="2" t="n">
        <f aca="false">IFERROR(__xludf.dummyfunction("""COMPUTED_VALUE"""),169.26)</f>
        <v>169.26</v>
      </c>
      <c r="E201" s="2" t="n">
        <f aca="false">IFERROR(__xludf.dummyfunction("""COMPUTED_VALUE"""),172.34)</f>
        <v>172.34</v>
      </c>
      <c r="F201" s="2" t="n">
        <f aca="false">IFERROR(__xludf.dummyfunction("""COMPUTED_VALUE"""),3174115)</f>
        <v>3174115</v>
      </c>
    </row>
    <row r="202" customFormat="false" ht="15.75" hidden="false" customHeight="false" outlineLevel="0" collapsed="false">
      <c r="A202" s="3" t="n">
        <f aca="false">IFERROR(__xludf.dummyfunction("""COMPUTED_VALUE"""),44488.6666666667)</f>
        <v>44488.6666666667</v>
      </c>
      <c r="B202" s="2" t="n">
        <f aca="false">IFERROR(__xludf.dummyfunction("""COMPUTED_VALUE"""),171.71)</f>
        <v>171.71</v>
      </c>
      <c r="C202" s="2" t="n">
        <f aca="false">IFERROR(__xludf.dummyfunction("""COMPUTED_VALUE"""),172.73)</f>
        <v>172.73</v>
      </c>
      <c r="D202" s="2" t="n">
        <f aca="false">IFERROR(__xludf.dummyfunction("""COMPUTED_VALUE"""),171.1)</f>
        <v>171.1</v>
      </c>
      <c r="E202" s="2" t="n">
        <f aca="false">IFERROR(__xludf.dummyfunction("""COMPUTED_VALUE"""),172.21)</f>
        <v>172.21</v>
      </c>
      <c r="F202" s="2" t="n">
        <f aca="false">IFERROR(__xludf.dummyfunction("""COMPUTED_VALUE"""),2386079)</f>
        <v>2386079</v>
      </c>
    </row>
    <row r="203" customFormat="false" ht="15.75" hidden="false" customHeight="false" outlineLevel="0" collapsed="false">
      <c r="A203" s="3" t="n">
        <f aca="false">IFERROR(__xludf.dummyfunction("""COMPUTED_VALUE"""),44489.6666666667)</f>
        <v>44489.6666666667</v>
      </c>
      <c r="B203" s="2" t="n">
        <f aca="false">IFERROR(__xludf.dummyfunction("""COMPUTED_VALUE"""),172.63)</f>
        <v>172.63</v>
      </c>
      <c r="C203" s="2" t="n">
        <f aca="false">IFERROR(__xludf.dummyfunction("""COMPUTED_VALUE"""),173.14)</f>
        <v>173.14</v>
      </c>
      <c r="D203" s="2" t="n">
        <f aca="false">IFERROR(__xludf.dummyfunction("""COMPUTED_VALUE"""),170.02)</f>
        <v>170.02</v>
      </c>
      <c r="E203" s="2" t="n">
        <f aca="false">IFERROR(__xludf.dummyfunction("""COMPUTED_VALUE"""),170.75)</f>
        <v>170.75</v>
      </c>
      <c r="F203" s="2" t="n">
        <f aca="false">IFERROR(__xludf.dummyfunction("""COMPUTED_VALUE"""),2139777)</f>
        <v>2139777</v>
      </c>
    </row>
    <row r="204" customFormat="false" ht="15.75" hidden="false" customHeight="false" outlineLevel="0" collapsed="false">
      <c r="A204" s="3" t="n">
        <f aca="false">IFERROR(__xludf.dummyfunction("""COMPUTED_VALUE"""),44490.6666666667)</f>
        <v>44490.6666666667</v>
      </c>
      <c r="B204" s="2" t="n">
        <f aca="false">IFERROR(__xludf.dummyfunction("""COMPUTED_VALUE"""),170.71)</f>
        <v>170.71</v>
      </c>
      <c r="C204" s="2" t="n">
        <f aca="false">IFERROR(__xludf.dummyfunction("""COMPUTED_VALUE"""),172.01)</f>
        <v>172.01</v>
      </c>
      <c r="D204" s="2" t="n">
        <f aca="false">IFERROR(__xludf.dummyfunction("""COMPUTED_VALUE"""),170.15)</f>
        <v>170.15</v>
      </c>
      <c r="E204" s="2" t="n">
        <f aca="false">IFERROR(__xludf.dummyfunction("""COMPUTED_VALUE"""),171.75)</f>
        <v>171.75</v>
      </c>
      <c r="F204" s="2" t="n">
        <f aca="false">IFERROR(__xludf.dummyfunction("""COMPUTED_VALUE"""),1881385)</f>
        <v>1881385</v>
      </c>
    </row>
    <row r="205" customFormat="false" ht="15.75" hidden="false" customHeight="false" outlineLevel="0" collapsed="false">
      <c r="A205" s="3" t="n">
        <f aca="false">IFERROR(__xludf.dummyfunction("""COMPUTED_VALUE"""),44491.6666666667)</f>
        <v>44491.6666666667</v>
      </c>
      <c r="B205" s="2" t="n">
        <f aca="false">IFERROR(__xludf.dummyfunction("""COMPUTED_VALUE"""),171.05)</f>
        <v>171.05</v>
      </c>
      <c r="C205" s="2" t="n">
        <f aca="false">IFERROR(__xludf.dummyfunction("""COMPUTED_VALUE"""),171.49)</f>
        <v>171.49</v>
      </c>
      <c r="D205" s="2" t="n">
        <f aca="false">IFERROR(__xludf.dummyfunction("""COMPUTED_VALUE"""),166.57)</f>
        <v>166.57</v>
      </c>
      <c r="E205" s="2" t="n">
        <f aca="false">IFERROR(__xludf.dummyfunction("""COMPUTED_VALUE"""),166.78)</f>
        <v>166.78</v>
      </c>
      <c r="F205" s="2" t="n">
        <f aca="false">IFERROR(__xludf.dummyfunction("""COMPUTED_VALUE"""),3139053)</f>
        <v>3139053</v>
      </c>
    </row>
    <row r="206" customFormat="false" ht="15.75" hidden="false" customHeight="false" outlineLevel="0" collapsed="false">
      <c r="A206" s="3" t="n">
        <f aca="false">IFERROR(__xludf.dummyfunction("""COMPUTED_VALUE"""),44494.6666666667)</f>
        <v>44494.6666666667</v>
      </c>
      <c r="B206" s="2" t="n">
        <f aca="false">IFERROR(__xludf.dummyfunction("""COMPUTED_VALUE"""),166.75)</f>
        <v>166.75</v>
      </c>
      <c r="C206" s="2" t="n">
        <f aca="false">IFERROR(__xludf.dummyfunction("""COMPUTED_VALUE"""),167.39)</f>
        <v>167.39</v>
      </c>
      <c r="D206" s="2" t="n">
        <f aca="false">IFERROR(__xludf.dummyfunction("""COMPUTED_VALUE"""),164.89)</f>
        <v>164.89</v>
      </c>
      <c r="E206" s="2" t="n">
        <f aca="false">IFERROR(__xludf.dummyfunction("""COMPUTED_VALUE"""),166.02)</f>
        <v>166.02</v>
      </c>
      <c r="F206" s="2" t="n">
        <f aca="false">IFERROR(__xludf.dummyfunction("""COMPUTED_VALUE"""),2225956)</f>
        <v>2225956</v>
      </c>
    </row>
    <row r="207" customFormat="false" ht="15.75" hidden="false" customHeight="false" outlineLevel="0" collapsed="false">
      <c r="A207" s="3" t="n">
        <f aca="false">IFERROR(__xludf.dummyfunction("""COMPUTED_VALUE"""),44495.6666666667)</f>
        <v>44495.6666666667</v>
      </c>
      <c r="B207" s="2" t="n">
        <f aca="false">IFERROR(__xludf.dummyfunction("""COMPUTED_VALUE"""),167.48)</f>
        <v>167.48</v>
      </c>
      <c r="C207" s="2" t="n">
        <f aca="false">IFERROR(__xludf.dummyfunction("""COMPUTED_VALUE"""),170.81)</f>
        <v>170.81</v>
      </c>
      <c r="D207" s="2" t="n">
        <f aca="false">IFERROR(__xludf.dummyfunction("""COMPUTED_VALUE"""),167.2)</f>
        <v>167.2</v>
      </c>
      <c r="E207" s="2" t="n">
        <f aca="false">IFERROR(__xludf.dummyfunction("""COMPUTED_VALUE"""),168.8)</f>
        <v>168.8</v>
      </c>
      <c r="F207" s="2" t="n">
        <f aca="false">IFERROR(__xludf.dummyfunction("""COMPUTED_VALUE"""),2698342)</f>
        <v>2698342</v>
      </c>
    </row>
    <row r="208" customFormat="false" ht="15.75" hidden="false" customHeight="false" outlineLevel="0" collapsed="false">
      <c r="A208" s="3" t="n">
        <f aca="false">IFERROR(__xludf.dummyfunction("""COMPUTED_VALUE"""),44496.6666666667)</f>
        <v>44496.6666666667</v>
      </c>
      <c r="B208" s="2" t="n">
        <f aca="false">IFERROR(__xludf.dummyfunction("""COMPUTED_VALUE"""),169.4)</f>
        <v>169.4</v>
      </c>
      <c r="C208" s="2" t="n">
        <f aca="false">IFERROR(__xludf.dummyfunction("""COMPUTED_VALUE"""),171.85)</f>
        <v>171.85</v>
      </c>
      <c r="D208" s="2" t="n">
        <f aca="false">IFERROR(__xludf.dummyfunction("""COMPUTED_VALUE"""),168.57)</f>
        <v>168.57</v>
      </c>
      <c r="E208" s="2" t="n">
        <f aca="false">IFERROR(__xludf.dummyfunction("""COMPUTED_VALUE"""),169.62)</f>
        <v>169.62</v>
      </c>
      <c r="F208" s="2" t="n">
        <f aca="false">IFERROR(__xludf.dummyfunction("""COMPUTED_VALUE"""),2702224)</f>
        <v>2702224</v>
      </c>
    </row>
    <row r="209" customFormat="false" ht="15.75" hidden="false" customHeight="false" outlineLevel="0" collapsed="false">
      <c r="A209" s="3" t="n">
        <f aca="false">IFERROR(__xludf.dummyfunction("""COMPUTED_VALUE"""),44497.6666666667)</f>
        <v>44497.6666666667</v>
      </c>
      <c r="B209" s="2" t="n">
        <f aca="false">IFERROR(__xludf.dummyfunction("""COMPUTED_VALUE"""),170.1)</f>
        <v>170.1</v>
      </c>
      <c r="C209" s="2" t="n">
        <f aca="false">IFERROR(__xludf.dummyfunction("""COMPUTED_VALUE"""),173.95)</f>
        <v>173.95</v>
      </c>
      <c r="D209" s="2" t="n">
        <f aca="false">IFERROR(__xludf.dummyfunction("""COMPUTED_VALUE"""),169.3)</f>
        <v>169.3</v>
      </c>
      <c r="E209" s="2" t="n">
        <f aca="false">IFERROR(__xludf.dummyfunction("""COMPUTED_VALUE"""),172.33)</f>
        <v>172.33</v>
      </c>
      <c r="F209" s="2" t="n">
        <f aca="false">IFERROR(__xludf.dummyfunction("""COMPUTED_VALUE"""),5708733)</f>
        <v>5708733</v>
      </c>
    </row>
    <row r="210" customFormat="false" ht="15.75" hidden="false" customHeight="false" outlineLevel="0" collapsed="false">
      <c r="A210" s="3" t="n">
        <f aca="false">IFERROR(__xludf.dummyfunction("""COMPUTED_VALUE"""),44498.6666666667)</f>
        <v>44498.6666666667</v>
      </c>
      <c r="B210" s="2" t="n">
        <f aca="false">IFERROR(__xludf.dummyfunction("""COMPUTED_VALUE"""),165)</f>
        <v>165</v>
      </c>
      <c r="C210" s="2" t="n">
        <f aca="false">IFERROR(__xludf.dummyfunction("""COMPUTED_VALUE"""),168.74)</f>
        <v>168.74</v>
      </c>
      <c r="D210" s="2" t="n">
        <f aca="false">IFERROR(__xludf.dummyfunction("""COMPUTED_VALUE"""),163.67)</f>
        <v>163.67</v>
      </c>
      <c r="E210" s="2" t="n">
        <f aca="false">IFERROR(__xludf.dummyfunction("""COMPUTED_VALUE"""),168.62)</f>
        <v>168.62</v>
      </c>
      <c r="F210" s="2" t="n">
        <f aca="false">IFERROR(__xludf.dummyfunction("""COMPUTED_VALUE"""),6486077)</f>
        <v>6486077</v>
      </c>
    </row>
    <row r="211" customFormat="false" ht="15.75" hidden="false" customHeight="false" outlineLevel="0" collapsed="false">
      <c r="A211" s="3" t="n">
        <f aca="false">IFERROR(__xludf.dummyfunction("""COMPUTED_VALUE"""),44501.6666666667)</f>
        <v>44501.6666666667</v>
      </c>
      <c r="B211" s="2" t="n">
        <f aca="false">IFERROR(__xludf.dummyfunction("""COMPUTED_VALUE"""),168.09)</f>
        <v>168.09</v>
      </c>
      <c r="C211" s="2" t="n">
        <f aca="false">IFERROR(__xludf.dummyfunction("""COMPUTED_VALUE"""),168.79)</f>
        <v>168.79</v>
      </c>
      <c r="D211" s="2" t="n">
        <f aca="false">IFERROR(__xludf.dummyfunction("""COMPUTED_VALUE"""),164.6)</f>
        <v>164.6</v>
      </c>
      <c r="E211" s="2" t="n">
        <f aca="false">IFERROR(__xludf.dummyfunction("""COMPUTED_VALUE"""),165.91)</f>
        <v>165.91</v>
      </c>
      <c r="F211" s="2" t="n">
        <f aca="false">IFERROR(__xludf.dummyfunction("""COMPUTED_VALUE"""),3608879)</f>
        <v>3608879</v>
      </c>
    </row>
    <row r="212" customFormat="false" ht="15.75" hidden="false" customHeight="false" outlineLevel="0" collapsed="false">
      <c r="A212" s="3" t="n">
        <f aca="false">IFERROR(__xludf.dummyfunction("""COMPUTED_VALUE"""),44502.6666666667)</f>
        <v>44502.6666666667</v>
      </c>
      <c r="B212" s="2" t="n">
        <f aca="false">IFERROR(__xludf.dummyfunction("""COMPUTED_VALUE"""),165.75)</f>
        <v>165.75</v>
      </c>
      <c r="C212" s="2" t="n">
        <f aca="false">IFERROR(__xludf.dummyfunction("""COMPUTED_VALUE"""),166.56)</f>
        <v>166.56</v>
      </c>
      <c r="D212" s="2" t="n">
        <f aca="false">IFERROR(__xludf.dummyfunction("""COMPUTED_VALUE"""),164.18)</f>
        <v>164.18</v>
      </c>
      <c r="E212" s="2" t="n">
        <f aca="false">IFERROR(__xludf.dummyfunction("""COMPUTED_VALUE"""),165.64)</f>
        <v>165.64</v>
      </c>
      <c r="F212" s="2" t="n">
        <f aca="false">IFERROR(__xludf.dummyfunction("""COMPUTED_VALUE"""),2627590)</f>
        <v>2627590</v>
      </c>
    </row>
    <row r="213" customFormat="false" ht="15.75" hidden="false" customHeight="false" outlineLevel="0" collapsed="false">
      <c r="A213" s="3" t="n">
        <f aca="false">IFERROR(__xludf.dummyfunction("""COMPUTED_VALUE"""),44503.6666666667)</f>
        <v>44503.6666666667</v>
      </c>
      <c r="B213" s="2" t="n">
        <f aca="false">IFERROR(__xludf.dummyfunction("""COMPUTED_VALUE"""),165.45)</f>
        <v>165.45</v>
      </c>
      <c r="C213" s="2" t="n">
        <f aca="false">IFERROR(__xludf.dummyfunction("""COMPUTED_VALUE"""),169.75)</f>
        <v>169.75</v>
      </c>
      <c r="D213" s="2" t="n">
        <f aca="false">IFERROR(__xludf.dummyfunction("""COMPUTED_VALUE"""),164.88)</f>
        <v>164.88</v>
      </c>
      <c r="E213" s="2" t="n">
        <f aca="false">IFERROR(__xludf.dummyfunction("""COMPUTED_VALUE"""),169.2)</f>
        <v>169.2</v>
      </c>
      <c r="F213" s="2" t="n">
        <f aca="false">IFERROR(__xludf.dummyfunction("""COMPUTED_VALUE"""),3397189)</f>
        <v>3397189</v>
      </c>
    </row>
    <row r="214" customFormat="false" ht="15.75" hidden="false" customHeight="false" outlineLevel="0" collapsed="false">
      <c r="A214" s="3" t="n">
        <f aca="false">IFERROR(__xludf.dummyfunction("""COMPUTED_VALUE"""),44504.6666666667)</f>
        <v>44504.6666666667</v>
      </c>
      <c r="B214" s="2" t="n">
        <f aca="false">IFERROR(__xludf.dummyfunction("""COMPUTED_VALUE"""),168.5)</f>
        <v>168.5</v>
      </c>
      <c r="C214" s="2" t="n">
        <f aca="false">IFERROR(__xludf.dummyfunction("""COMPUTED_VALUE"""),174.93)</f>
        <v>174.93</v>
      </c>
      <c r="D214" s="2" t="n">
        <f aca="false">IFERROR(__xludf.dummyfunction("""COMPUTED_VALUE"""),168.25)</f>
        <v>168.25</v>
      </c>
      <c r="E214" s="2" t="n">
        <f aca="false">IFERROR(__xludf.dummyfunction("""COMPUTED_VALUE"""),173.85)</f>
        <v>173.85</v>
      </c>
      <c r="F214" s="2" t="n">
        <f aca="false">IFERROR(__xludf.dummyfunction("""COMPUTED_VALUE"""),5353020)</f>
        <v>5353020</v>
      </c>
    </row>
    <row r="215" customFormat="false" ht="15.75" hidden="false" customHeight="false" outlineLevel="0" collapsed="false">
      <c r="A215" s="3" t="n">
        <f aca="false">IFERROR(__xludf.dummyfunction("""COMPUTED_VALUE"""),44505.6666666667)</f>
        <v>44505.6666666667</v>
      </c>
      <c r="B215" s="2" t="n">
        <f aca="false">IFERROR(__xludf.dummyfunction("""COMPUTED_VALUE"""),173.85)</f>
        <v>173.85</v>
      </c>
      <c r="C215" s="2" t="n">
        <f aca="false">IFERROR(__xludf.dummyfunction("""COMPUTED_VALUE"""),178.31)</f>
        <v>178.31</v>
      </c>
      <c r="D215" s="2" t="n">
        <f aca="false">IFERROR(__xludf.dummyfunction("""COMPUTED_VALUE"""),173.85)</f>
        <v>173.85</v>
      </c>
      <c r="E215" s="2" t="n">
        <f aca="false">IFERROR(__xludf.dummyfunction("""COMPUTED_VALUE"""),175.95)</f>
        <v>175.95</v>
      </c>
      <c r="F215" s="2" t="n">
        <f aca="false">IFERROR(__xludf.dummyfunction("""COMPUTED_VALUE"""),4996951)</f>
        <v>4996951</v>
      </c>
    </row>
    <row r="216" customFormat="false" ht="15.75" hidden="false" customHeight="false" outlineLevel="0" collapsed="false">
      <c r="A216" s="3" t="n">
        <f aca="false">IFERROR(__xludf.dummyfunction("""COMPUTED_VALUE"""),44508.6666666667)</f>
        <v>44508.6666666667</v>
      </c>
      <c r="B216" s="2" t="n">
        <f aca="false">IFERROR(__xludf.dummyfunction("""COMPUTED_VALUE"""),176.16)</f>
        <v>176.16</v>
      </c>
      <c r="C216" s="2" t="n">
        <f aca="false">IFERROR(__xludf.dummyfunction("""COMPUTED_VALUE"""),178.95)</f>
        <v>178.95</v>
      </c>
      <c r="D216" s="2" t="n">
        <f aca="false">IFERROR(__xludf.dummyfunction("""COMPUTED_VALUE"""),174.39)</f>
        <v>174.39</v>
      </c>
      <c r="E216" s="2" t="n">
        <f aca="false">IFERROR(__xludf.dummyfunction("""COMPUTED_VALUE"""),174.45)</f>
        <v>174.45</v>
      </c>
      <c r="F216" s="2" t="n">
        <f aca="false">IFERROR(__xludf.dummyfunction("""COMPUTED_VALUE"""),3073992)</f>
        <v>3073992</v>
      </c>
    </row>
    <row r="217" customFormat="false" ht="15.75" hidden="false" customHeight="false" outlineLevel="0" collapsed="false">
      <c r="A217" s="3" t="n">
        <f aca="false">IFERROR(__xludf.dummyfunction("""COMPUTED_VALUE"""),44509.6666666667)</f>
        <v>44509.6666666667</v>
      </c>
      <c r="B217" s="2" t="n">
        <f aca="false">IFERROR(__xludf.dummyfunction("""COMPUTED_VALUE"""),175.76)</f>
        <v>175.76</v>
      </c>
      <c r="C217" s="2" t="n">
        <f aca="false">IFERROR(__xludf.dummyfunction("""COMPUTED_VALUE"""),179.69)</f>
        <v>179.69</v>
      </c>
      <c r="D217" s="2" t="n">
        <f aca="false">IFERROR(__xludf.dummyfunction("""COMPUTED_VALUE"""),175.07)</f>
        <v>175.07</v>
      </c>
      <c r="E217" s="2" t="n">
        <f aca="false">IFERROR(__xludf.dummyfunction("""COMPUTED_VALUE"""),178.81)</f>
        <v>178.81</v>
      </c>
      <c r="F217" s="2" t="n">
        <f aca="false">IFERROR(__xludf.dummyfunction("""COMPUTED_VALUE"""),4294922)</f>
        <v>4294922</v>
      </c>
    </row>
    <row r="218" customFormat="false" ht="15.75" hidden="false" customHeight="false" outlineLevel="0" collapsed="false">
      <c r="A218" s="3" t="n">
        <f aca="false">IFERROR(__xludf.dummyfunction("""COMPUTED_VALUE"""),44510.6666666667)</f>
        <v>44510.6666666667</v>
      </c>
      <c r="B218" s="2" t="n">
        <f aca="false">IFERROR(__xludf.dummyfunction("""COMPUTED_VALUE"""),178.19)</f>
        <v>178.19</v>
      </c>
      <c r="C218" s="2" t="n">
        <f aca="false">IFERROR(__xludf.dummyfunction("""COMPUTED_VALUE"""),180.27)</f>
        <v>180.27</v>
      </c>
      <c r="D218" s="2" t="n">
        <f aca="false">IFERROR(__xludf.dummyfunction("""COMPUTED_VALUE"""),173.15)</f>
        <v>173.15</v>
      </c>
      <c r="E218" s="2" t="n">
        <f aca="false">IFERROR(__xludf.dummyfunction("""COMPUTED_VALUE"""),174.1)</f>
        <v>174.1</v>
      </c>
      <c r="F218" s="2" t="n">
        <f aca="false">IFERROR(__xludf.dummyfunction("""COMPUTED_VALUE"""),4027422)</f>
        <v>4027422</v>
      </c>
    </row>
    <row r="219" customFormat="false" ht="15.75" hidden="false" customHeight="false" outlineLevel="0" collapsed="false">
      <c r="A219" s="3" t="n">
        <f aca="false">IFERROR(__xludf.dummyfunction("""COMPUTED_VALUE"""),44511.6666666667)</f>
        <v>44511.6666666667</v>
      </c>
      <c r="B219" s="2" t="n">
        <f aca="false">IFERROR(__xludf.dummyfunction("""COMPUTED_VALUE"""),175.65)</f>
        <v>175.65</v>
      </c>
      <c r="C219" s="2" t="n">
        <f aca="false">IFERROR(__xludf.dummyfunction("""COMPUTED_VALUE"""),177.16)</f>
        <v>177.16</v>
      </c>
      <c r="D219" s="2" t="n">
        <f aca="false">IFERROR(__xludf.dummyfunction("""COMPUTED_VALUE"""),173.37)</f>
        <v>173.37</v>
      </c>
      <c r="E219" s="2" t="n">
        <f aca="false">IFERROR(__xludf.dummyfunction("""COMPUTED_VALUE"""),173.63)</f>
        <v>173.63</v>
      </c>
      <c r="F219" s="2" t="n">
        <f aca="false">IFERROR(__xludf.dummyfunction("""COMPUTED_VALUE"""),2264406)</f>
        <v>2264406</v>
      </c>
    </row>
    <row r="220" customFormat="false" ht="15.75" hidden="false" customHeight="false" outlineLevel="0" collapsed="false">
      <c r="A220" s="3" t="n">
        <f aca="false">IFERROR(__xludf.dummyfunction("""COMPUTED_VALUE"""),44512.6666666667)</f>
        <v>44512.6666666667</v>
      </c>
      <c r="B220" s="2" t="n">
        <f aca="false">IFERROR(__xludf.dummyfunction("""COMPUTED_VALUE"""),174.25)</f>
        <v>174.25</v>
      </c>
      <c r="C220" s="2" t="n">
        <f aca="false">IFERROR(__xludf.dummyfunction("""COMPUTED_VALUE"""),177.04)</f>
        <v>177.04</v>
      </c>
      <c r="D220" s="2" t="n">
        <f aca="false">IFERROR(__xludf.dummyfunction("""COMPUTED_VALUE"""),172.35)</f>
        <v>172.35</v>
      </c>
      <c r="E220" s="2" t="n">
        <f aca="false">IFERROR(__xludf.dummyfunction("""COMPUTED_VALUE"""),176.26)</f>
        <v>176.26</v>
      </c>
      <c r="F220" s="2" t="n">
        <f aca="false">IFERROR(__xludf.dummyfunction("""COMPUTED_VALUE"""),2689434)</f>
        <v>2689434</v>
      </c>
    </row>
    <row r="221" customFormat="false" ht="15.75" hidden="false" customHeight="false" outlineLevel="0" collapsed="false">
      <c r="A221" s="3" t="n">
        <f aca="false">IFERROR(__xludf.dummyfunction("""COMPUTED_VALUE"""),44515.6666666667)</f>
        <v>44515.6666666667</v>
      </c>
      <c r="B221" s="2" t="n">
        <f aca="false">IFERROR(__xludf.dummyfunction("""COMPUTED_VALUE"""),176.85)</f>
        <v>176.85</v>
      </c>
      <c r="C221" s="2" t="n">
        <f aca="false">IFERROR(__xludf.dummyfunction("""COMPUTED_VALUE"""),179.69)</f>
        <v>179.69</v>
      </c>
      <c r="D221" s="2" t="n">
        <f aca="false">IFERROR(__xludf.dummyfunction("""COMPUTED_VALUE"""),176.29)</f>
        <v>176.29</v>
      </c>
      <c r="E221" s="2" t="n">
        <f aca="false">IFERROR(__xludf.dummyfunction("""COMPUTED_VALUE"""),177.28)</f>
        <v>177.28</v>
      </c>
      <c r="F221" s="2" t="n">
        <f aca="false">IFERROR(__xludf.dummyfunction("""COMPUTED_VALUE"""),2929719)</f>
        <v>2929719</v>
      </c>
    </row>
    <row r="222" customFormat="false" ht="15.75" hidden="false" customHeight="false" outlineLevel="0" collapsed="false">
      <c r="A222" s="3" t="n">
        <f aca="false">IFERROR(__xludf.dummyfunction("""COMPUTED_VALUE"""),44516.6666666667)</f>
        <v>44516.6666666667</v>
      </c>
      <c r="B222" s="2" t="n">
        <f aca="false">IFERROR(__xludf.dummyfunction("""COMPUTED_VALUE"""),176.95)</f>
        <v>176.95</v>
      </c>
      <c r="C222" s="2" t="n">
        <f aca="false">IFERROR(__xludf.dummyfunction("""COMPUTED_VALUE"""),178.83)</f>
        <v>178.83</v>
      </c>
      <c r="D222" s="2" t="n">
        <f aca="false">IFERROR(__xludf.dummyfunction("""COMPUTED_VALUE"""),176.26)</f>
        <v>176.26</v>
      </c>
      <c r="E222" s="2" t="n">
        <f aca="false">IFERROR(__xludf.dummyfunction("""COMPUTED_VALUE"""),177.04)</f>
        <v>177.04</v>
      </c>
      <c r="F222" s="2" t="n">
        <f aca="false">IFERROR(__xludf.dummyfunction("""COMPUTED_VALUE"""),2217071)</f>
        <v>2217071</v>
      </c>
    </row>
    <row r="223" customFormat="false" ht="15.75" hidden="false" customHeight="false" outlineLevel="0" collapsed="false">
      <c r="A223" s="3" t="n">
        <f aca="false">IFERROR(__xludf.dummyfunction("""COMPUTED_VALUE"""),44517.6666666667)</f>
        <v>44517.6666666667</v>
      </c>
      <c r="B223" s="2" t="n">
        <f aca="false">IFERROR(__xludf.dummyfunction("""COMPUTED_VALUE"""),178.24)</f>
        <v>178.24</v>
      </c>
      <c r="C223" s="2" t="n">
        <f aca="false">IFERROR(__xludf.dummyfunction("""COMPUTED_VALUE"""),179.36)</f>
        <v>179.36</v>
      </c>
      <c r="D223" s="2" t="n">
        <f aca="false">IFERROR(__xludf.dummyfunction("""COMPUTED_VALUE"""),177.27)</f>
        <v>177.27</v>
      </c>
      <c r="E223" s="2" t="n">
        <f aca="false">IFERROR(__xludf.dummyfunction("""COMPUTED_VALUE"""),177.45)</f>
        <v>177.45</v>
      </c>
      <c r="F223" s="2" t="n">
        <f aca="false">IFERROR(__xludf.dummyfunction("""COMPUTED_VALUE"""),2560270)</f>
        <v>2560270</v>
      </c>
    </row>
    <row r="224" customFormat="false" ht="15.75" hidden="false" customHeight="false" outlineLevel="0" collapsed="false">
      <c r="A224" s="3" t="n">
        <f aca="false">IFERROR(__xludf.dummyfunction("""COMPUTED_VALUE"""),44518.6666666667)</f>
        <v>44518.6666666667</v>
      </c>
      <c r="B224" s="2" t="n">
        <f aca="false">IFERROR(__xludf.dummyfunction("""COMPUTED_VALUE"""),178.32)</f>
        <v>178.32</v>
      </c>
      <c r="C224" s="2" t="n">
        <f aca="false">IFERROR(__xludf.dummyfunction("""COMPUTED_VALUE"""),185.21)</f>
        <v>185.21</v>
      </c>
      <c r="D224" s="2" t="n">
        <f aca="false">IFERROR(__xludf.dummyfunction("""COMPUTED_VALUE"""),178.05)</f>
        <v>178.05</v>
      </c>
      <c r="E224" s="2" t="n">
        <f aca="false">IFERROR(__xludf.dummyfunction("""COMPUTED_VALUE"""),184.8)</f>
        <v>184.8</v>
      </c>
      <c r="F224" s="2" t="n">
        <f aca="false">IFERROR(__xludf.dummyfunction("""COMPUTED_VALUE"""),5703538)</f>
        <v>5703538</v>
      </c>
    </row>
    <row r="225" customFormat="false" ht="15.75" hidden="false" customHeight="false" outlineLevel="0" collapsed="false">
      <c r="A225" s="3" t="n">
        <f aca="false">IFERROR(__xludf.dummyfunction("""COMPUTED_VALUE"""),44519.6666666667)</f>
        <v>44519.6666666667</v>
      </c>
      <c r="B225" s="2" t="n">
        <f aca="false">IFERROR(__xludf.dummyfunction("""COMPUTED_VALUE"""),185.63)</f>
        <v>185.63</v>
      </c>
      <c r="C225" s="2" t="n">
        <f aca="false">IFERROR(__xludf.dummyfunction("""COMPUTED_VALUE"""),188.11)</f>
        <v>188.11</v>
      </c>
      <c r="D225" s="2" t="n">
        <f aca="false">IFERROR(__xludf.dummyfunction("""COMPUTED_VALUE"""),183.79)</f>
        <v>183.79</v>
      </c>
      <c r="E225" s="2" t="n">
        <f aca="false">IFERROR(__xludf.dummyfunction("""COMPUTED_VALUE"""),183.83)</f>
        <v>183.83</v>
      </c>
      <c r="F225" s="2" t="n">
        <f aca="false">IFERROR(__xludf.dummyfunction("""COMPUTED_VALUE"""),4946203)</f>
        <v>4946203</v>
      </c>
    </row>
    <row r="226" customFormat="false" ht="15.75" hidden="false" customHeight="false" outlineLevel="0" collapsed="false">
      <c r="A226" s="3" t="n">
        <f aca="false">IFERROR(__xludf.dummyfunction("""COMPUTED_VALUE"""),44522.6666666667)</f>
        <v>44522.6666666667</v>
      </c>
      <c r="B226" s="2" t="n">
        <f aca="false">IFERROR(__xludf.dummyfunction("""COMPUTED_VALUE"""),183.82)</f>
        <v>183.82</v>
      </c>
      <c r="C226" s="2" t="n">
        <f aca="false">IFERROR(__xludf.dummyfunction("""COMPUTED_VALUE"""),185.67)</f>
        <v>185.67</v>
      </c>
      <c r="D226" s="2" t="n">
        <f aca="false">IFERROR(__xludf.dummyfunction("""COMPUTED_VALUE"""),178.38)</f>
        <v>178.38</v>
      </c>
      <c r="E226" s="2" t="n">
        <f aca="false">IFERROR(__xludf.dummyfunction("""COMPUTED_VALUE"""),178.63)</f>
        <v>178.63</v>
      </c>
      <c r="F226" s="2" t="n">
        <f aca="false">IFERROR(__xludf.dummyfunction("""COMPUTED_VALUE"""),4847850)</f>
        <v>4847850</v>
      </c>
    </row>
    <row r="227" customFormat="false" ht="15.75" hidden="false" customHeight="false" outlineLevel="0" collapsed="false">
      <c r="A227" s="3" t="n">
        <f aca="false">IFERROR(__xludf.dummyfunction("""COMPUTED_VALUE"""),44523.6666666667)</f>
        <v>44523.6666666667</v>
      </c>
      <c r="B227" s="2" t="n">
        <f aca="false">IFERROR(__xludf.dummyfunction("""COMPUTED_VALUE"""),179.25)</f>
        <v>179.25</v>
      </c>
      <c r="C227" s="2" t="n">
        <f aca="false">IFERROR(__xludf.dummyfunction("""COMPUTED_VALUE"""),181.05)</f>
        <v>181.05</v>
      </c>
      <c r="D227" s="2" t="n">
        <f aca="false">IFERROR(__xludf.dummyfunction("""COMPUTED_VALUE"""),176.39)</f>
        <v>176.39</v>
      </c>
      <c r="E227" s="2" t="n">
        <f aca="false">IFERROR(__xludf.dummyfunction("""COMPUTED_VALUE"""),179)</f>
        <v>179</v>
      </c>
      <c r="F227" s="2" t="n">
        <f aca="false">IFERROR(__xludf.dummyfunction("""COMPUTED_VALUE"""),3692246)</f>
        <v>3692246</v>
      </c>
    </row>
    <row r="228" customFormat="false" ht="15.75" hidden="false" customHeight="false" outlineLevel="0" collapsed="false">
      <c r="A228" s="3" t="n">
        <f aca="false">IFERROR(__xludf.dummyfunction("""COMPUTED_VALUE"""),44524.6666666667)</f>
        <v>44524.6666666667</v>
      </c>
      <c r="B228" s="2" t="n">
        <f aca="false">IFERROR(__xludf.dummyfunction("""COMPUTED_VALUE"""),178.13)</f>
        <v>178.13</v>
      </c>
      <c r="C228" s="2" t="n">
        <f aca="false">IFERROR(__xludf.dummyfunction("""COMPUTED_VALUE"""),180.68)</f>
        <v>180.68</v>
      </c>
      <c r="D228" s="2" t="n">
        <f aca="false">IFERROR(__xludf.dummyfunction("""COMPUTED_VALUE"""),176.84)</f>
        <v>176.84</v>
      </c>
      <c r="E228" s="2" t="n">
        <f aca="false">IFERROR(__xludf.dummyfunction("""COMPUTED_VALUE"""),179.02)</f>
        <v>179.02</v>
      </c>
      <c r="F228" s="2" t="n">
        <f aca="false">IFERROR(__xludf.dummyfunction("""COMPUTED_VALUE"""),2328018)</f>
        <v>2328018</v>
      </c>
    </row>
    <row r="229" customFormat="false" ht="15.75" hidden="false" customHeight="false" outlineLevel="0" collapsed="false">
      <c r="A229" s="3" t="n">
        <f aca="false">IFERROR(__xludf.dummyfunction("""COMPUTED_VALUE"""),44526.5416666667)</f>
        <v>44526.5416666667</v>
      </c>
      <c r="B229" s="2" t="n">
        <f aca="false">IFERROR(__xludf.dummyfunction("""COMPUTED_VALUE"""),180.1)</f>
        <v>180.1</v>
      </c>
      <c r="C229" s="2" t="n">
        <f aca="false">IFERROR(__xludf.dummyfunction("""COMPUTED_VALUE"""),181.68)</f>
        <v>181.68</v>
      </c>
      <c r="D229" s="2" t="n">
        <f aca="false">IFERROR(__xludf.dummyfunction("""COMPUTED_VALUE"""),175.21)</f>
        <v>175.21</v>
      </c>
      <c r="E229" s="2" t="n">
        <f aca="false">IFERROR(__xludf.dummyfunction("""COMPUTED_VALUE"""),175.23)</f>
        <v>175.23</v>
      </c>
      <c r="F229" s="2" t="n">
        <f aca="false">IFERROR(__xludf.dummyfunction("""COMPUTED_VALUE"""),2991297)</f>
        <v>2991297</v>
      </c>
    </row>
    <row r="230" customFormat="false" ht="15.75" hidden="false" customHeight="false" outlineLevel="0" collapsed="false">
      <c r="A230" s="3" t="n">
        <f aca="false">IFERROR(__xludf.dummyfunction("""COMPUTED_VALUE"""),44529.6666666667)</f>
        <v>44529.6666666667</v>
      </c>
      <c r="B230" s="2" t="n">
        <f aca="false">IFERROR(__xludf.dummyfunction("""COMPUTED_VALUE"""),177.38)</f>
        <v>177.38</v>
      </c>
      <c r="C230" s="2" t="n">
        <f aca="false">IFERROR(__xludf.dummyfunction("""COMPUTED_VALUE"""),179.8)</f>
        <v>179.8</v>
      </c>
      <c r="D230" s="2" t="n">
        <f aca="false">IFERROR(__xludf.dummyfunction("""COMPUTED_VALUE"""),176.58)</f>
        <v>176.58</v>
      </c>
      <c r="E230" s="2" t="n">
        <f aca="false">IFERROR(__xludf.dummyfunction("""COMPUTED_VALUE"""),178.08)</f>
        <v>178.08</v>
      </c>
      <c r="F230" s="2" t="n">
        <f aca="false">IFERROR(__xludf.dummyfunction("""COMPUTED_VALUE"""),3265557)</f>
        <v>3265557</v>
      </c>
    </row>
    <row r="231" customFormat="false" ht="15.75" hidden="false" customHeight="false" outlineLevel="0" collapsed="false">
      <c r="A231" s="3" t="n">
        <f aca="false">IFERROR(__xludf.dummyfunction("""COMPUTED_VALUE"""),44530.6666666667)</f>
        <v>44530.6666666667</v>
      </c>
      <c r="B231" s="2" t="n">
        <f aca="false">IFERROR(__xludf.dummyfunction("""COMPUTED_VALUE"""),178.18)</f>
        <v>178.18</v>
      </c>
      <c r="C231" s="2" t="n">
        <f aca="false">IFERROR(__xludf.dummyfunction("""COMPUTED_VALUE"""),179.29)</f>
        <v>179.29</v>
      </c>
      <c r="D231" s="2" t="n">
        <f aca="false">IFERROR(__xludf.dummyfunction("""COMPUTED_VALUE"""),174.6)</f>
        <v>174.6</v>
      </c>
      <c r="E231" s="2" t="n">
        <f aca="false">IFERROR(__xludf.dummyfunction("""COMPUTED_VALUE"""),175.35)</f>
        <v>175.35</v>
      </c>
      <c r="F231" s="2" t="n">
        <f aca="false">IFERROR(__xludf.dummyfunction("""COMPUTED_VALUE"""),4001107)</f>
        <v>4001107</v>
      </c>
    </row>
    <row r="232" customFormat="false" ht="15.75" hidden="false" customHeight="false" outlineLevel="0" collapsed="false">
      <c r="A232" s="3" t="n">
        <f aca="false">IFERROR(__xludf.dummyfunction("""COMPUTED_VALUE"""),44531.6666666667)</f>
        <v>44531.6666666667</v>
      </c>
      <c r="B232" s="2" t="n">
        <f aca="false">IFERROR(__xludf.dummyfunction("""COMPUTED_VALUE"""),177.25)</f>
        <v>177.25</v>
      </c>
      <c r="C232" s="2" t="n">
        <f aca="false">IFERROR(__xludf.dummyfunction("""COMPUTED_VALUE"""),177.99)</f>
        <v>177.99</v>
      </c>
      <c r="D232" s="2" t="n">
        <f aca="false">IFERROR(__xludf.dummyfunction("""COMPUTED_VALUE"""),172.08)</f>
        <v>172.08</v>
      </c>
      <c r="E232" s="2" t="n">
        <f aca="false">IFERROR(__xludf.dummyfunction("""COMPUTED_VALUE"""),172.19)</f>
        <v>172.19</v>
      </c>
      <c r="F232" s="2" t="n">
        <f aca="false">IFERROR(__xludf.dummyfunction("""COMPUTED_VALUE"""),3756995)</f>
        <v>3756995</v>
      </c>
    </row>
    <row r="233" customFormat="false" ht="15.75" hidden="false" customHeight="false" outlineLevel="0" collapsed="false">
      <c r="A233" s="3" t="n">
        <f aca="false">IFERROR(__xludf.dummyfunction("""COMPUTED_VALUE"""),44532.6666666667)</f>
        <v>44532.6666666667</v>
      </c>
      <c r="B233" s="2" t="n">
        <f aca="false">IFERROR(__xludf.dummyfunction("""COMPUTED_VALUE"""),173)</f>
        <v>173</v>
      </c>
      <c r="C233" s="2" t="n">
        <f aca="false">IFERROR(__xludf.dummyfunction("""COMPUTED_VALUE"""),174.64)</f>
        <v>174.64</v>
      </c>
      <c r="D233" s="2" t="n">
        <f aca="false">IFERROR(__xludf.dummyfunction("""COMPUTED_VALUE"""),171.19)</f>
        <v>171.19</v>
      </c>
      <c r="E233" s="2" t="n">
        <f aca="false">IFERROR(__xludf.dummyfunction("""COMPUTED_VALUE"""),171.87)</f>
        <v>171.87</v>
      </c>
      <c r="F233" s="2" t="n">
        <f aca="false">IFERROR(__xludf.dummyfunction("""COMPUTED_VALUE"""),3236288)</f>
        <v>3236288</v>
      </c>
    </row>
    <row r="234" customFormat="false" ht="15.75" hidden="false" customHeight="false" outlineLevel="0" collapsed="false">
      <c r="A234" s="3" t="n">
        <f aca="false">IFERROR(__xludf.dummyfunction("""COMPUTED_VALUE"""),44533.6666666667)</f>
        <v>44533.6666666667</v>
      </c>
      <c r="B234" s="2" t="n">
        <f aca="false">IFERROR(__xludf.dummyfunction("""COMPUTED_VALUE"""),172.75)</f>
        <v>172.75</v>
      </c>
      <c r="C234" s="2" t="n">
        <f aca="false">IFERROR(__xludf.dummyfunction("""COMPUTED_VALUE"""),173.49)</f>
        <v>173.49</v>
      </c>
      <c r="D234" s="2" t="n">
        <f aca="false">IFERROR(__xludf.dummyfunction("""COMPUTED_VALUE"""),166.93)</f>
        <v>166.93</v>
      </c>
      <c r="E234" s="2" t="n">
        <f aca="false">IFERROR(__xludf.dummyfunction("""COMPUTED_VALUE"""),169.49)</f>
        <v>169.49</v>
      </c>
      <c r="F234" s="2" t="n">
        <f aca="false">IFERROR(__xludf.dummyfunction("""COMPUTED_VALUE"""),4035550)</f>
        <v>4035550</v>
      </c>
    </row>
    <row r="235" customFormat="false" ht="15.75" hidden="false" customHeight="false" outlineLevel="0" collapsed="false">
      <c r="A235" s="3" t="n">
        <f aca="false">IFERROR(__xludf.dummyfunction("""COMPUTED_VALUE"""),44536.6666666667)</f>
        <v>44536.6666666667</v>
      </c>
      <c r="B235" s="2" t="n">
        <f aca="false">IFERROR(__xludf.dummyfunction("""COMPUTED_VALUE"""),169.65)</f>
        <v>169.65</v>
      </c>
      <c r="C235" s="2" t="n">
        <f aca="false">IFERROR(__xludf.dummyfunction("""COMPUTED_VALUE"""),173.7)</f>
        <v>173.7</v>
      </c>
      <c r="D235" s="2" t="n">
        <f aca="false">IFERROR(__xludf.dummyfunction("""COMPUTED_VALUE"""),166.93)</f>
        <v>166.93</v>
      </c>
      <c r="E235" s="2" t="n">
        <f aca="false">IFERROR(__xludf.dummyfunction("""COMPUTED_VALUE"""),171.37)</f>
        <v>171.37</v>
      </c>
      <c r="F235" s="2" t="n">
        <f aca="false">IFERROR(__xludf.dummyfunction("""COMPUTED_VALUE"""),3443000)</f>
        <v>3443000</v>
      </c>
    </row>
    <row r="236" customFormat="false" ht="15.75" hidden="false" customHeight="false" outlineLevel="0" collapsed="false">
      <c r="A236" s="3" t="n">
        <f aca="false">IFERROR(__xludf.dummyfunction("""COMPUTED_VALUE"""),44537.6666666667)</f>
        <v>44537.6666666667</v>
      </c>
      <c r="B236" s="2" t="n">
        <f aca="false">IFERROR(__xludf.dummyfunction("""COMPUTED_VALUE"""),174.6)</f>
        <v>174.6</v>
      </c>
      <c r="C236" s="2" t="n">
        <f aca="false">IFERROR(__xludf.dummyfunction("""COMPUTED_VALUE"""),177.5)</f>
        <v>177.5</v>
      </c>
      <c r="D236" s="2" t="n">
        <f aca="false">IFERROR(__xludf.dummyfunction("""COMPUTED_VALUE"""),173.33)</f>
        <v>173.33</v>
      </c>
      <c r="E236" s="2" t="n">
        <f aca="false">IFERROR(__xludf.dummyfunction("""COMPUTED_VALUE"""),176.16)</f>
        <v>176.16</v>
      </c>
      <c r="F236" s="2" t="n">
        <f aca="false">IFERROR(__xludf.dummyfunction("""COMPUTED_VALUE"""),3320536)</f>
        <v>3320536</v>
      </c>
    </row>
    <row r="237" customFormat="false" ht="15.75" hidden="false" customHeight="false" outlineLevel="0" collapsed="false">
      <c r="A237" s="3" t="n">
        <f aca="false">IFERROR(__xludf.dummyfunction("""COMPUTED_VALUE"""),44538.6666666667)</f>
        <v>44538.6666666667</v>
      </c>
      <c r="B237" s="2" t="n">
        <f aca="false">IFERROR(__xludf.dummyfunction("""COMPUTED_VALUE"""),176.15)</f>
        <v>176.15</v>
      </c>
      <c r="C237" s="2" t="n">
        <f aca="false">IFERROR(__xludf.dummyfunction("""COMPUTED_VALUE"""),177.18)</f>
        <v>177.18</v>
      </c>
      <c r="D237" s="2" t="n">
        <f aca="false">IFERROR(__xludf.dummyfunction("""COMPUTED_VALUE"""),174.75)</f>
        <v>174.75</v>
      </c>
      <c r="E237" s="2" t="n">
        <f aca="false">IFERROR(__xludf.dummyfunction("""COMPUTED_VALUE"""),176.16)</f>
        <v>176.16</v>
      </c>
      <c r="F237" s="2" t="n">
        <f aca="false">IFERROR(__xludf.dummyfunction("""COMPUTED_VALUE"""),2262683)</f>
        <v>2262683</v>
      </c>
    </row>
    <row r="238" customFormat="false" ht="15.75" hidden="false" customHeight="false" outlineLevel="0" collapsed="false">
      <c r="A238" s="3" t="n">
        <f aca="false">IFERROR(__xludf.dummyfunction("""COMPUTED_VALUE"""),44539.6666666667)</f>
        <v>44539.6666666667</v>
      </c>
      <c r="B238" s="2" t="n">
        <f aca="false">IFERROR(__xludf.dummyfunction("""COMPUTED_VALUE"""),175.75)</f>
        <v>175.75</v>
      </c>
      <c r="C238" s="2" t="n">
        <f aca="false">IFERROR(__xludf.dummyfunction("""COMPUTED_VALUE"""),176.97)</f>
        <v>176.97</v>
      </c>
      <c r="D238" s="2" t="n">
        <f aca="false">IFERROR(__xludf.dummyfunction("""COMPUTED_VALUE"""),174.14)</f>
        <v>174.14</v>
      </c>
      <c r="E238" s="2" t="n">
        <f aca="false">IFERROR(__xludf.dummyfunction("""COMPUTED_VALUE"""),174.17)</f>
        <v>174.17</v>
      </c>
      <c r="F238" s="2" t="n">
        <f aca="false">IFERROR(__xludf.dummyfunction("""COMPUTED_VALUE"""),2303091)</f>
        <v>2303091</v>
      </c>
    </row>
    <row r="239" customFormat="false" ht="15.75" hidden="false" customHeight="false" outlineLevel="0" collapsed="false">
      <c r="A239" s="3" t="n">
        <f aca="false">IFERROR(__xludf.dummyfunction("""COMPUTED_VALUE"""),44540.6666666667)</f>
        <v>44540.6666666667</v>
      </c>
      <c r="B239" s="2" t="n">
        <f aca="false">IFERROR(__xludf.dummyfunction("""COMPUTED_VALUE"""),175.42)</f>
        <v>175.42</v>
      </c>
      <c r="C239" s="2" t="n">
        <f aca="false">IFERROR(__xludf.dummyfunction("""COMPUTED_VALUE"""),175.93)</f>
        <v>175.93</v>
      </c>
      <c r="D239" s="2" t="n">
        <f aca="false">IFERROR(__xludf.dummyfunction("""COMPUTED_VALUE"""),170.5)</f>
        <v>170.5</v>
      </c>
      <c r="E239" s="2" t="n">
        <f aca="false">IFERROR(__xludf.dummyfunction("""COMPUTED_VALUE"""),172.21)</f>
        <v>172.21</v>
      </c>
      <c r="F239" s="2" t="n">
        <f aca="false">IFERROR(__xludf.dummyfunction("""COMPUTED_VALUE"""),3034488)</f>
        <v>3034488</v>
      </c>
    </row>
    <row r="240" customFormat="false" ht="15.75" hidden="false" customHeight="false" outlineLevel="0" collapsed="false">
      <c r="A240" s="3" t="n">
        <f aca="false">IFERROR(__xludf.dummyfunction("""COMPUTED_VALUE"""),44543.6666666667)</f>
        <v>44543.6666666667</v>
      </c>
      <c r="B240" s="2" t="n">
        <f aca="false">IFERROR(__xludf.dummyfunction("""COMPUTED_VALUE"""),172)</f>
        <v>172</v>
      </c>
      <c r="C240" s="2" t="n">
        <f aca="false">IFERROR(__xludf.dummyfunction("""COMPUTED_VALUE"""),172.1)</f>
        <v>172.1</v>
      </c>
      <c r="D240" s="2" t="n">
        <f aca="false">IFERROR(__xludf.dummyfunction("""COMPUTED_VALUE"""),169.13)</f>
        <v>169.13</v>
      </c>
      <c r="E240" s="2" t="n">
        <f aca="false">IFERROR(__xludf.dummyfunction("""COMPUTED_VALUE"""),169.57)</f>
        <v>169.57</v>
      </c>
      <c r="F240" s="2" t="n">
        <f aca="false">IFERROR(__xludf.dummyfunction("""COMPUTED_VALUE"""),3108450)</f>
        <v>3108450</v>
      </c>
    </row>
    <row r="241" customFormat="false" ht="15.75" hidden="false" customHeight="false" outlineLevel="0" collapsed="false">
      <c r="A241" s="3" t="n">
        <f aca="false">IFERROR(__xludf.dummyfunction("""COMPUTED_VALUE"""),44544.6666666667)</f>
        <v>44544.6666666667</v>
      </c>
      <c r="B241" s="2" t="n">
        <f aca="false">IFERROR(__xludf.dummyfunction("""COMPUTED_VALUE"""),167.55)</f>
        <v>167.55</v>
      </c>
      <c r="C241" s="2" t="n">
        <f aca="false">IFERROR(__xludf.dummyfunction("""COMPUTED_VALUE"""),169.5)</f>
        <v>169.5</v>
      </c>
      <c r="D241" s="2" t="n">
        <f aca="false">IFERROR(__xludf.dummyfunction("""COMPUTED_VALUE"""),166.44)</f>
        <v>166.44</v>
      </c>
      <c r="E241" s="2" t="n">
        <f aca="false">IFERROR(__xludf.dummyfunction("""COMPUTED_VALUE"""),169.09)</f>
        <v>169.09</v>
      </c>
      <c r="F241" s="2" t="n">
        <f aca="false">IFERROR(__xludf.dummyfunction("""COMPUTED_VALUE"""),2798764)</f>
        <v>2798764</v>
      </c>
    </row>
    <row r="242" customFormat="false" ht="15.75" hidden="false" customHeight="false" outlineLevel="0" collapsed="false">
      <c r="A242" s="3" t="n">
        <f aca="false">IFERROR(__xludf.dummyfunction("""COMPUTED_VALUE"""),44545.6666666667)</f>
        <v>44545.6666666667</v>
      </c>
      <c r="B242" s="2" t="n">
        <f aca="false">IFERROR(__xludf.dummyfunction("""COMPUTED_VALUE"""),168.6)</f>
        <v>168.6</v>
      </c>
      <c r="C242" s="2" t="n">
        <f aca="false">IFERROR(__xludf.dummyfunction("""COMPUTED_VALUE"""),173.6)</f>
        <v>173.6</v>
      </c>
      <c r="D242" s="2" t="n">
        <f aca="false">IFERROR(__xludf.dummyfunction("""COMPUTED_VALUE"""),165.2)</f>
        <v>165.2</v>
      </c>
      <c r="E242" s="2" t="n">
        <f aca="false">IFERROR(__xludf.dummyfunction("""COMPUTED_VALUE"""),173.32)</f>
        <v>173.32</v>
      </c>
      <c r="F242" s="2" t="n">
        <f aca="false">IFERROR(__xludf.dummyfunction("""COMPUTED_VALUE"""),3789713)</f>
        <v>3789713</v>
      </c>
    </row>
    <row r="243" customFormat="false" ht="15.75" hidden="false" customHeight="false" outlineLevel="0" collapsed="false">
      <c r="A243" s="3" t="n">
        <f aca="false">IFERROR(__xludf.dummyfunction("""COMPUTED_VALUE"""),44546.6666666667)</f>
        <v>44546.6666666667</v>
      </c>
      <c r="B243" s="2" t="n">
        <f aca="false">IFERROR(__xludf.dummyfunction("""COMPUTED_VALUE"""),173.37)</f>
        <v>173.37</v>
      </c>
      <c r="C243" s="2" t="n">
        <f aca="false">IFERROR(__xludf.dummyfunction("""COMPUTED_VALUE"""),174.17)</f>
        <v>174.17</v>
      </c>
      <c r="D243" s="2" t="n">
        <f aca="false">IFERROR(__xludf.dummyfunction("""COMPUTED_VALUE"""),168.16)</f>
        <v>168.16</v>
      </c>
      <c r="E243" s="2" t="n">
        <f aca="false">IFERROR(__xludf.dummyfunction("""COMPUTED_VALUE"""),168.87)</f>
        <v>168.87</v>
      </c>
      <c r="F243" s="2" t="n">
        <f aca="false">IFERROR(__xludf.dummyfunction("""COMPUTED_VALUE"""),3043842)</f>
        <v>3043842</v>
      </c>
    </row>
    <row r="244" customFormat="false" ht="15.75" hidden="false" customHeight="false" outlineLevel="0" collapsed="false">
      <c r="A244" s="3" t="n">
        <f aca="false">IFERROR(__xludf.dummyfunction("""COMPUTED_VALUE"""),44547.6666666667)</f>
        <v>44547.6666666667</v>
      </c>
      <c r="B244" s="2" t="n">
        <f aca="false">IFERROR(__xludf.dummyfunction("""COMPUTED_VALUE"""),167.71)</f>
        <v>167.71</v>
      </c>
      <c r="C244" s="2" t="n">
        <f aca="false">IFERROR(__xludf.dummyfunction("""COMPUTED_VALUE"""),170.9)</f>
        <v>170.9</v>
      </c>
      <c r="D244" s="2" t="n">
        <f aca="false">IFERROR(__xludf.dummyfunction("""COMPUTED_VALUE"""),165.61)</f>
        <v>165.61</v>
      </c>
      <c r="E244" s="2" t="n">
        <f aca="false">IFERROR(__xludf.dummyfunction("""COMPUTED_VALUE"""),170.02)</f>
        <v>170.02</v>
      </c>
      <c r="F244" s="2" t="n">
        <f aca="false">IFERROR(__xludf.dummyfunction("""COMPUTED_VALUE"""),4287758)</f>
        <v>4287758</v>
      </c>
    </row>
    <row r="245" customFormat="false" ht="15.75" hidden="false" customHeight="false" outlineLevel="0" collapsed="false">
      <c r="A245" s="3" t="n">
        <f aca="false">IFERROR(__xludf.dummyfunction("""COMPUTED_VALUE"""),44550.6666666667)</f>
        <v>44550.6666666667</v>
      </c>
      <c r="B245" s="2" t="n">
        <f aca="false">IFERROR(__xludf.dummyfunction("""COMPUTED_VALUE"""),166.85)</f>
        <v>166.85</v>
      </c>
      <c r="C245" s="2" t="n">
        <f aca="false">IFERROR(__xludf.dummyfunction("""COMPUTED_VALUE"""),167.87)</f>
        <v>167.87</v>
      </c>
      <c r="D245" s="2" t="n">
        <f aca="false">IFERROR(__xludf.dummyfunction("""COMPUTED_VALUE"""),165.6)</f>
        <v>165.6</v>
      </c>
      <c r="E245" s="2" t="n">
        <f aca="false">IFERROR(__xludf.dummyfunction("""COMPUTED_VALUE"""),167.08)</f>
        <v>167.08</v>
      </c>
      <c r="F245" s="2" t="n">
        <f aca="false">IFERROR(__xludf.dummyfunction("""COMPUTED_VALUE"""),2868633)</f>
        <v>2868633</v>
      </c>
    </row>
    <row r="246" customFormat="false" ht="15.75" hidden="false" customHeight="false" outlineLevel="0" collapsed="false">
      <c r="A246" s="3" t="n">
        <f aca="false">IFERROR(__xludf.dummyfunction("""COMPUTED_VALUE"""),44551.6666666667)</f>
        <v>44551.6666666667</v>
      </c>
      <c r="B246" s="2" t="n">
        <f aca="false">IFERROR(__xludf.dummyfunction("""COMPUTED_VALUE"""),167.85)</f>
        <v>167.85</v>
      </c>
      <c r="C246" s="2" t="n">
        <f aca="false">IFERROR(__xludf.dummyfunction("""COMPUTED_VALUE"""),170.72)</f>
        <v>170.72</v>
      </c>
      <c r="D246" s="2" t="n">
        <f aca="false">IFERROR(__xludf.dummyfunction("""COMPUTED_VALUE"""),165.65)</f>
        <v>165.65</v>
      </c>
      <c r="E246" s="2" t="n">
        <f aca="false">IFERROR(__xludf.dummyfunction("""COMPUTED_VALUE"""),170.42)</f>
        <v>170.42</v>
      </c>
      <c r="F246" s="2" t="n">
        <f aca="false">IFERROR(__xludf.dummyfunction("""COMPUTED_VALUE"""),2797791)</f>
        <v>2797791</v>
      </c>
    </row>
    <row r="247" customFormat="false" ht="15.75" hidden="false" customHeight="false" outlineLevel="0" collapsed="false">
      <c r="A247" s="3" t="n">
        <f aca="false">IFERROR(__xludf.dummyfunction("""COMPUTED_VALUE"""),44552.6666666667)</f>
        <v>44552.6666666667</v>
      </c>
      <c r="B247" s="2" t="n">
        <f aca="false">IFERROR(__xludf.dummyfunction("""COMPUTED_VALUE"""),169.27)</f>
        <v>169.27</v>
      </c>
      <c r="C247" s="2" t="n">
        <f aca="false">IFERROR(__xludf.dummyfunction("""COMPUTED_VALUE"""),172.05)</f>
        <v>172.05</v>
      </c>
      <c r="D247" s="2" t="n">
        <f aca="false">IFERROR(__xludf.dummyfunction("""COMPUTED_VALUE"""),168.5)</f>
        <v>168.5</v>
      </c>
      <c r="E247" s="2" t="n">
        <f aca="false">IFERROR(__xludf.dummyfunction("""COMPUTED_VALUE"""),171.04)</f>
        <v>171.04</v>
      </c>
      <c r="F247" s="2" t="n">
        <f aca="false">IFERROR(__xludf.dummyfunction("""COMPUTED_VALUE"""),2751773)</f>
        <v>2751773</v>
      </c>
    </row>
    <row r="248" customFormat="false" ht="15.75" hidden="false" customHeight="false" outlineLevel="0" collapsed="false">
      <c r="A248" s="3" t="n">
        <f aca="false">IFERROR(__xludf.dummyfunction("""COMPUTED_VALUE"""),44553.6666666667)</f>
        <v>44553.6666666667</v>
      </c>
      <c r="B248" s="2" t="n">
        <f aca="false">IFERROR(__xludf.dummyfunction("""COMPUTED_VALUE"""),170.43)</f>
        <v>170.43</v>
      </c>
      <c r="C248" s="2" t="n">
        <f aca="false">IFERROR(__xludf.dummyfunction("""COMPUTED_VALUE"""),171.98)</f>
        <v>171.98</v>
      </c>
      <c r="D248" s="2" t="n">
        <f aca="false">IFERROR(__xludf.dummyfunction("""COMPUTED_VALUE"""),170.15)</f>
        <v>170.15</v>
      </c>
      <c r="E248" s="2" t="n">
        <f aca="false">IFERROR(__xludf.dummyfunction("""COMPUTED_VALUE"""),171.07)</f>
        <v>171.07</v>
      </c>
      <c r="F248" s="2" t="n">
        <f aca="false">IFERROR(__xludf.dummyfunction("""COMPUTED_VALUE"""),1839412)</f>
        <v>1839412</v>
      </c>
    </row>
    <row r="249" customFormat="false" ht="15.75" hidden="false" customHeight="false" outlineLevel="0" collapsed="false">
      <c r="A249" s="3" t="n">
        <f aca="false">IFERROR(__xludf.dummyfunction("""COMPUTED_VALUE"""),44557.6666666667)</f>
        <v>44557.6666666667</v>
      </c>
      <c r="B249" s="2" t="n">
        <f aca="false">IFERROR(__xludf.dummyfunction("""COMPUTED_VALUE"""),171.04)</f>
        <v>171.04</v>
      </c>
      <c r="C249" s="2" t="n">
        <f aca="false">IFERROR(__xludf.dummyfunction("""COMPUTED_VALUE"""),172.94)</f>
        <v>172.94</v>
      </c>
      <c r="D249" s="2" t="n">
        <f aca="false">IFERROR(__xludf.dummyfunction("""COMPUTED_VALUE"""),169.22)</f>
        <v>169.22</v>
      </c>
      <c r="E249" s="2" t="n">
        <f aca="false">IFERROR(__xludf.dummyfunction("""COMPUTED_VALUE"""),169.67)</f>
        <v>169.67</v>
      </c>
      <c r="F249" s="2" t="n">
        <f aca="false">IFERROR(__xludf.dummyfunction("""COMPUTED_VALUE"""),2942341)</f>
        <v>2942341</v>
      </c>
    </row>
    <row r="250" customFormat="false" ht="15.75" hidden="false" customHeight="false" outlineLevel="0" collapsed="false">
      <c r="A250" s="3" t="n">
        <f aca="false">IFERROR(__xludf.dummyfunction("""COMPUTED_VALUE"""),44558.6666666667)</f>
        <v>44558.6666666667</v>
      </c>
      <c r="B250" s="2" t="n">
        <f aca="false">IFERROR(__xludf.dummyfunction("""COMPUTED_VALUE"""),170.18)</f>
        <v>170.18</v>
      </c>
      <c r="C250" s="2" t="n">
        <f aca="false">IFERROR(__xludf.dummyfunction("""COMPUTED_VALUE"""),172.18)</f>
        <v>172.18</v>
      </c>
      <c r="D250" s="2" t="n">
        <f aca="false">IFERROR(__xludf.dummyfunction("""COMPUTED_VALUE"""),169.14)</f>
        <v>169.14</v>
      </c>
      <c r="E250" s="2" t="n">
        <f aca="false">IFERROR(__xludf.dummyfunction("""COMPUTED_VALUE"""),170.66)</f>
        <v>170.66</v>
      </c>
      <c r="F250" s="2" t="n">
        <f aca="false">IFERROR(__xludf.dummyfunction("""COMPUTED_VALUE"""),2735593)</f>
        <v>2735593</v>
      </c>
    </row>
    <row r="251" customFormat="false" ht="15.75" hidden="false" customHeight="false" outlineLevel="0" collapsed="false">
      <c r="A251" s="3" t="n">
        <f aca="false">IFERROR(__xludf.dummyfunction("""COMPUTED_VALUE"""),44559.6666666667)</f>
        <v>44559.6666666667</v>
      </c>
      <c r="B251" s="2" t="n">
        <f aca="false">IFERROR(__xludf.dummyfunction("""COMPUTED_VALUE"""),170.84)</f>
        <v>170.84</v>
      </c>
      <c r="C251" s="2" t="n">
        <f aca="false">IFERROR(__xludf.dummyfunction("""COMPUTED_VALUE"""),171.21)</f>
        <v>171.21</v>
      </c>
      <c r="D251" s="2" t="n">
        <f aca="false">IFERROR(__xludf.dummyfunction("""COMPUTED_VALUE"""),168.6)</f>
        <v>168.6</v>
      </c>
      <c r="E251" s="2" t="n">
        <f aca="false">IFERROR(__xludf.dummyfunction("""COMPUTED_VALUE"""),169.2)</f>
        <v>169.2</v>
      </c>
      <c r="F251" s="2" t="n">
        <f aca="false">IFERROR(__xludf.dummyfunction("""COMPUTED_VALUE"""),1787702)</f>
        <v>1787702</v>
      </c>
    </row>
    <row r="252" customFormat="false" ht="15.75" hidden="false" customHeight="false" outlineLevel="0" collapsed="false">
      <c r="A252" s="3" t="n">
        <f aca="false">IFERROR(__xludf.dummyfunction("""COMPUTED_VALUE"""),44560.6666666667)</f>
        <v>44560.6666666667</v>
      </c>
      <c r="B252" s="2" t="n">
        <f aca="false">IFERROR(__xludf.dummyfunction("""COMPUTED_VALUE"""),169.7)</f>
        <v>169.7</v>
      </c>
      <c r="C252" s="2" t="n">
        <f aca="false">IFERROR(__xludf.dummyfunction("""COMPUTED_VALUE"""),170.89)</f>
        <v>170.89</v>
      </c>
      <c r="D252" s="2" t="n">
        <f aca="false">IFERROR(__xludf.dummyfunction("""COMPUTED_VALUE"""),168.52)</f>
        <v>168.52</v>
      </c>
      <c r="E252" s="2" t="n">
        <f aca="false">IFERROR(__xludf.dummyfunction("""COMPUTED_VALUE"""),168.64)</f>
        <v>168.64</v>
      </c>
      <c r="F252" s="2" t="n">
        <f aca="false">IFERROR(__xludf.dummyfunction("""COMPUTED_VALUE"""),1879155)</f>
        <v>1879155</v>
      </c>
    </row>
    <row r="253" customFormat="false" ht="15.75" hidden="false" customHeight="false" outlineLevel="0" collapsed="false">
      <c r="A253" s="3" t="n">
        <f aca="false">IFERROR(__xludf.dummyfunction("""COMPUTED_VALUE"""),44561.6666666667)</f>
        <v>44561.6666666667</v>
      </c>
      <c r="B253" s="2" t="n">
        <f aca="false">IFERROR(__xludf.dummyfunction("""COMPUTED_VALUE"""),168.96)</f>
        <v>168.96</v>
      </c>
      <c r="C253" s="2" t="n">
        <f aca="false">IFERROR(__xludf.dummyfunction("""COMPUTED_VALUE"""),169.35)</f>
        <v>169.35</v>
      </c>
      <c r="D253" s="2" t="n">
        <f aca="false">IFERROR(__xludf.dummyfunction("""COMPUTED_VALUE"""),166.56)</f>
        <v>166.56</v>
      </c>
      <c r="E253" s="2" t="n">
        <f aca="false">IFERROR(__xludf.dummyfunction("""COMPUTED_VALUE"""),166.72)</f>
        <v>166.72</v>
      </c>
      <c r="F253" s="2" t="n">
        <f aca="false">IFERROR(__xludf.dummyfunction("""COMPUTED_VALUE"""),2391519)</f>
        <v>2391519</v>
      </c>
    </row>
    <row r="254" customFormat="false" ht="15.75" hidden="false" customHeight="false" outlineLevel="0" collapsed="false">
      <c r="A254" s="3" t="n">
        <f aca="false">IFERROR(__xludf.dummyfunction("""COMPUTED_VALUE"""),44564.6666666667)</f>
        <v>44564.6666666667</v>
      </c>
      <c r="B254" s="2" t="n">
        <f aca="false">IFERROR(__xludf.dummyfunction("""COMPUTED_VALUE"""),167.55)</f>
        <v>167.55</v>
      </c>
      <c r="C254" s="2" t="n">
        <f aca="false">IFERROR(__xludf.dummyfunction("""COMPUTED_VALUE"""),170.7)</f>
        <v>170.7</v>
      </c>
      <c r="D254" s="2" t="n">
        <f aca="false">IFERROR(__xludf.dummyfunction("""COMPUTED_VALUE"""),166.16)</f>
        <v>166.16</v>
      </c>
      <c r="E254" s="2" t="n">
        <f aca="false">IFERROR(__xludf.dummyfunction("""COMPUTED_VALUE"""),170.4)</f>
        <v>170.4</v>
      </c>
      <c r="F254" s="2" t="n">
        <f aca="false">IFERROR(__xludf.dummyfunction("""COMPUTED_VALUE"""),3193457)</f>
        <v>3193457</v>
      </c>
    </row>
    <row r="255" customFormat="false" ht="15.75" hidden="false" customHeight="false" outlineLevel="0" collapsed="false">
      <c r="A255" s="3" t="n">
        <f aca="false">IFERROR(__xludf.dummyfunction("""COMPUTED_VALUE"""),44565.6666666667)</f>
        <v>44565.6666666667</v>
      </c>
      <c r="B255" s="2" t="n">
        <f aca="false">IFERROR(__xludf.dummyfunction("""COMPUTED_VALUE"""),170.44)</f>
        <v>170.44</v>
      </c>
      <c r="C255" s="2" t="n">
        <f aca="false">IFERROR(__xludf.dummyfunction("""COMPUTED_VALUE"""),171.4)</f>
        <v>171.4</v>
      </c>
      <c r="D255" s="2" t="n">
        <f aca="false">IFERROR(__xludf.dummyfunction("""COMPUTED_VALUE"""),166.35)</f>
        <v>166.35</v>
      </c>
      <c r="E255" s="2" t="n">
        <f aca="false">IFERROR(__xludf.dummyfunction("""COMPUTED_VALUE"""),167.52)</f>
        <v>167.52</v>
      </c>
      <c r="F255" s="2" t="n">
        <f aca="false">IFERROR(__xludf.dummyfunction("""COMPUTED_VALUE"""),3536258)</f>
        <v>3536258</v>
      </c>
    </row>
    <row r="256" customFormat="false" ht="15.75" hidden="false" customHeight="false" outlineLevel="0" collapsed="false">
      <c r="A256" s="3" t="n">
        <f aca="false">IFERROR(__xludf.dummyfunction("""COMPUTED_VALUE"""),44566.6666666667)</f>
        <v>44566.6666666667</v>
      </c>
      <c r="B256" s="2" t="n">
        <f aca="false">IFERROR(__xludf.dummyfunction("""COMPUTED_VALUE"""),166.88)</f>
        <v>166.88</v>
      </c>
      <c r="C256" s="2" t="n">
        <f aca="false">IFERROR(__xludf.dummyfunction("""COMPUTED_VALUE"""),167.13)</f>
        <v>167.13</v>
      </c>
      <c r="D256" s="2" t="n">
        <f aca="false">IFERROR(__xludf.dummyfunction("""COMPUTED_VALUE"""),164.36)</f>
        <v>164.36</v>
      </c>
      <c r="E256" s="2" t="n">
        <f aca="false">IFERROR(__xludf.dummyfunction("""COMPUTED_VALUE"""),164.36)</f>
        <v>164.36</v>
      </c>
      <c r="F256" s="2" t="n">
        <f aca="false">IFERROR(__xludf.dummyfunction("""COMPUTED_VALUE"""),3215136)</f>
        <v>3215136</v>
      </c>
    </row>
    <row r="257" customFormat="false" ht="15.75" hidden="false" customHeight="false" outlineLevel="0" collapsed="false">
      <c r="A257" s="3" t="n">
        <f aca="false">IFERROR(__xludf.dummyfunction("""COMPUTED_VALUE"""),44567.6666666667)</f>
        <v>44567.6666666667</v>
      </c>
      <c r="B257" s="2" t="n">
        <f aca="false">IFERROR(__xludf.dummyfunction("""COMPUTED_VALUE"""),163.45)</f>
        <v>163.45</v>
      </c>
      <c r="C257" s="2" t="n">
        <f aca="false">IFERROR(__xludf.dummyfunction("""COMPUTED_VALUE"""),164.8)</f>
        <v>164.8</v>
      </c>
      <c r="D257" s="2" t="n">
        <f aca="false">IFERROR(__xludf.dummyfunction("""COMPUTED_VALUE"""),161.94)</f>
        <v>161.94</v>
      </c>
      <c r="E257" s="2" t="n">
        <f aca="false">IFERROR(__xludf.dummyfunction("""COMPUTED_VALUE"""),163.25)</f>
        <v>163.25</v>
      </c>
      <c r="F257" s="2" t="n">
        <f aca="false">IFERROR(__xludf.dummyfunction("""COMPUTED_VALUE"""),2597889)</f>
        <v>2597889</v>
      </c>
    </row>
    <row r="258" customFormat="false" ht="15.75" hidden="false" customHeight="false" outlineLevel="0" collapsed="false">
      <c r="A258" s="3" t="n">
        <f aca="false">IFERROR(__xludf.dummyfunction("""COMPUTED_VALUE"""),44568.6666666667)</f>
        <v>44568.6666666667</v>
      </c>
      <c r="B258" s="2" t="n">
        <f aca="false">IFERROR(__xludf.dummyfunction("""COMPUTED_VALUE"""),163.84)</f>
        <v>163.84</v>
      </c>
      <c r="C258" s="2" t="n">
        <f aca="false">IFERROR(__xludf.dummyfunction("""COMPUTED_VALUE"""),165.24)</f>
        <v>165.24</v>
      </c>
      <c r="D258" s="2" t="n">
        <f aca="false">IFERROR(__xludf.dummyfunction("""COMPUTED_VALUE"""),162.03)</f>
        <v>162.03</v>
      </c>
      <c r="E258" s="2" t="n">
        <f aca="false">IFERROR(__xludf.dummyfunction("""COMPUTED_VALUE"""),162.55)</f>
        <v>162.55</v>
      </c>
      <c r="F258" s="2" t="n">
        <f aca="false">IFERROR(__xludf.dummyfunction("""COMPUTED_VALUE"""),2330295)</f>
        <v>2330295</v>
      </c>
    </row>
    <row r="259" customFormat="false" ht="15.75" hidden="false" customHeight="false" outlineLevel="0" collapsed="false">
      <c r="A259" s="3" t="n">
        <f aca="false">IFERROR(__xludf.dummyfunction("""COMPUTED_VALUE"""),44571.6666666667)</f>
        <v>44571.6666666667</v>
      </c>
      <c r="B259" s="2" t="n">
        <f aca="false">IFERROR(__xludf.dummyfunction("""COMPUTED_VALUE"""),160.59)</f>
        <v>160.59</v>
      </c>
      <c r="C259" s="2" t="n">
        <f aca="false">IFERROR(__xludf.dummyfunction("""COMPUTED_VALUE"""),161.66)</f>
        <v>161.66</v>
      </c>
      <c r="D259" s="2" t="n">
        <f aca="false">IFERROR(__xludf.dummyfunction("""COMPUTED_VALUE"""),156.3)</f>
        <v>156.3</v>
      </c>
      <c r="E259" s="2" t="n">
        <f aca="false">IFERROR(__xludf.dummyfunction("""COMPUTED_VALUE"""),161.49)</f>
        <v>161.49</v>
      </c>
      <c r="F259" s="2" t="n">
        <f aca="false">IFERROR(__xludf.dummyfunction("""COMPUTED_VALUE"""),4389915)</f>
        <v>4389915</v>
      </c>
    </row>
    <row r="260" customFormat="false" ht="15.75" hidden="false" customHeight="false" outlineLevel="0" collapsed="false">
      <c r="A260" s="3" t="n">
        <f aca="false">IFERROR(__xludf.dummyfunction("""COMPUTED_VALUE"""),44572.6666666667)</f>
        <v>44572.6666666667</v>
      </c>
      <c r="B260" s="2" t="n">
        <f aca="false">IFERROR(__xludf.dummyfunction("""COMPUTED_VALUE"""),161.5)</f>
        <v>161.5</v>
      </c>
      <c r="C260" s="2" t="n">
        <f aca="false">IFERROR(__xludf.dummyfunction("""COMPUTED_VALUE"""),166.35)</f>
        <v>166.35</v>
      </c>
      <c r="D260" s="2" t="n">
        <f aca="false">IFERROR(__xludf.dummyfunction("""COMPUTED_VALUE"""),160.7)</f>
        <v>160.7</v>
      </c>
      <c r="E260" s="2" t="n">
        <f aca="false">IFERROR(__xludf.dummyfunction("""COMPUTED_VALUE"""),165.36)</f>
        <v>165.36</v>
      </c>
      <c r="F260" s="2" t="n">
        <f aca="false">IFERROR(__xludf.dummyfunction("""COMPUTED_VALUE"""),3140279)</f>
        <v>3140279</v>
      </c>
    </row>
    <row r="261" customFormat="false" ht="15.75" hidden="false" customHeight="false" outlineLevel="0" collapsed="false">
      <c r="A261" s="3" t="n">
        <f aca="false">IFERROR(__xludf.dummyfunction("""COMPUTED_VALUE"""),44573.6666666667)</f>
        <v>44573.6666666667</v>
      </c>
      <c r="B261" s="2" t="n">
        <f aca="false">IFERROR(__xludf.dummyfunction("""COMPUTED_VALUE"""),166.58)</f>
        <v>166.58</v>
      </c>
      <c r="C261" s="2" t="n">
        <f aca="false">IFERROR(__xludf.dummyfunction("""COMPUTED_VALUE"""),166.88)</f>
        <v>166.88</v>
      </c>
      <c r="D261" s="2" t="n">
        <f aca="false">IFERROR(__xludf.dummyfunction("""COMPUTED_VALUE"""),164.42)</f>
        <v>164.42</v>
      </c>
      <c r="E261" s="2" t="n">
        <f aca="false">IFERROR(__xludf.dummyfunction("""COMPUTED_VALUE"""),165.21)</f>
        <v>165.21</v>
      </c>
      <c r="F261" s="2" t="n">
        <f aca="false">IFERROR(__xludf.dummyfunction("""COMPUTED_VALUE"""),2501456)</f>
        <v>2501456</v>
      </c>
    </row>
    <row r="262" customFormat="false" ht="15.75" hidden="false" customHeight="false" outlineLevel="0" collapsed="false">
      <c r="A262" s="3" t="n">
        <f aca="false">IFERROR(__xludf.dummyfunction("""COMPUTED_VALUE"""),44574.6666666667)</f>
        <v>44574.6666666667</v>
      </c>
      <c r="B262" s="2" t="n">
        <f aca="false">IFERROR(__xludf.dummyfunction("""COMPUTED_VALUE"""),165.25)</f>
        <v>165.25</v>
      </c>
      <c r="C262" s="2" t="n">
        <f aca="false">IFERROR(__xludf.dummyfunction("""COMPUTED_VALUE"""),166.22)</f>
        <v>166.22</v>
      </c>
      <c r="D262" s="2" t="n">
        <f aca="false">IFERROR(__xludf.dummyfunction("""COMPUTED_VALUE"""),161.09)</f>
        <v>161.09</v>
      </c>
      <c r="E262" s="2" t="n">
        <f aca="false">IFERROR(__xludf.dummyfunction("""COMPUTED_VALUE"""),161.21)</f>
        <v>161.21</v>
      </c>
      <c r="F262" s="2" t="n">
        <f aca="false">IFERROR(__xludf.dummyfunction("""COMPUTED_VALUE"""),2609415)</f>
        <v>2609415</v>
      </c>
    </row>
    <row r="263" customFormat="false" ht="15.75" hidden="false" customHeight="false" outlineLevel="0" collapsed="false">
      <c r="A263" s="3" t="n">
        <f aca="false">IFERROR(__xludf.dummyfunction("""COMPUTED_VALUE"""),44575.6666666667)</f>
        <v>44575.6666666667</v>
      </c>
      <c r="B263" s="2" t="n">
        <f aca="false">IFERROR(__xludf.dummyfunction("""COMPUTED_VALUE"""),160.15)</f>
        <v>160.15</v>
      </c>
      <c r="C263" s="2" t="n">
        <f aca="false">IFERROR(__xludf.dummyfunction("""COMPUTED_VALUE"""),162.25)</f>
        <v>162.25</v>
      </c>
      <c r="D263" s="2" t="n">
        <f aca="false">IFERROR(__xludf.dummyfunction("""COMPUTED_VALUE"""),159.8)</f>
        <v>159.8</v>
      </c>
      <c r="E263" s="2" t="n">
        <f aca="false">IFERROR(__xludf.dummyfunction("""COMPUTED_VALUE"""),162.14)</f>
        <v>162.14</v>
      </c>
      <c r="F263" s="2" t="n">
        <f aca="false">IFERROR(__xludf.dummyfunction("""COMPUTED_VALUE"""),2298743)</f>
        <v>2298743</v>
      </c>
    </row>
    <row r="264" customFormat="false" ht="15.75" hidden="false" customHeight="false" outlineLevel="0" collapsed="false">
      <c r="A264" s="3" t="n">
        <f aca="false">IFERROR(__xludf.dummyfunction("""COMPUTED_VALUE"""),44579.6666666667)</f>
        <v>44579.6666666667</v>
      </c>
      <c r="B264" s="2" t="n">
        <f aca="false">IFERROR(__xludf.dummyfunction("""COMPUTED_VALUE"""),159.1)</f>
        <v>159.1</v>
      </c>
      <c r="C264" s="2" t="n">
        <f aca="false">IFERROR(__xludf.dummyfunction("""COMPUTED_VALUE"""),159.73)</f>
        <v>159.73</v>
      </c>
      <c r="D264" s="2" t="n">
        <f aca="false">IFERROR(__xludf.dummyfunction("""COMPUTED_VALUE"""),157.66)</f>
        <v>157.66</v>
      </c>
      <c r="E264" s="2" t="n">
        <f aca="false">IFERROR(__xludf.dummyfunction("""COMPUTED_VALUE"""),158.92)</f>
        <v>158.92</v>
      </c>
      <c r="F264" s="2" t="n">
        <f aca="false">IFERROR(__xludf.dummyfunction("""COMPUTED_VALUE"""),3372072)</f>
        <v>3372072</v>
      </c>
    </row>
    <row r="265" customFormat="false" ht="15.75" hidden="false" customHeight="false" outlineLevel="0" collapsed="false">
      <c r="A265" s="3" t="n">
        <f aca="false">IFERROR(__xludf.dummyfunction("""COMPUTED_VALUE"""),44580.6666666667)</f>
        <v>44580.6666666667</v>
      </c>
      <c r="B265" s="2" t="n">
        <f aca="false">IFERROR(__xludf.dummyfunction("""COMPUTED_VALUE"""),158.76)</f>
        <v>158.76</v>
      </c>
      <c r="C265" s="2" t="n">
        <f aca="false">IFERROR(__xludf.dummyfunction("""COMPUTED_VALUE"""),159.25)</f>
        <v>159.25</v>
      </c>
      <c r="D265" s="2" t="n">
        <f aca="false">IFERROR(__xludf.dummyfunction("""COMPUTED_VALUE"""),156.25)</f>
        <v>156.25</v>
      </c>
      <c r="E265" s="2" t="n">
        <f aca="false">IFERROR(__xludf.dummyfunction("""COMPUTED_VALUE"""),156.3)</f>
        <v>156.3</v>
      </c>
      <c r="F265" s="2" t="n">
        <f aca="false">IFERROR(__xludf.dummyfunction("""COMPUTED_VALUE"""),2662096)</f>
        <v>2662096</v>
      </c>
    </row>
    <row r="266" customFormat="false" ht="15.75" hidden="false" customHeight="false" outlineLevel="0" collapsed="false">
      <c r="A266" s="3" t="n">
        <f aca="false">IFERROR(__xludf.dummyfunction("""COMPUTED_VALUE"""),44581.6666666667)</f>
        <v>44581.6666666667</v>
      </c>
      <c r="B266" s="2" t="n">
        <f aca="false">IFERROR(__xludf.dummyfunction("""COMPUTED_VALUE"""),156.77)</f>
        <v>156.77</v>
      </c>
      <c r="C266" s="2" t="n">
        <f aca="false">IFERROR(__xludf.dummyfunction("""COMPUTED_VALUE"""),158)</f>
        <v>158</v>
      </c>
      <c r="D266" s="2" t="n">
        <f aca="false">IFERROR(__xludf.dummyfunction("""COMPUTED_VALUE"""),151.35)</f>
        <v>151.35</v>
      </c>
      <c r="E266" s="2" t="n">
        <f aca="false">IFERROR(__xludf.dummyfunction("""COMPUTED_VALUE"""),151.67)</f>
        <v>151.67</v>
      </c>
      <c r="F266" s="2" t="n">
        <f aca="false">IFERROR(__xludf.dummyfunction("""COMPUTED_VALUE"""),3598666)</f>
        <v>3598666</v>
      </c>
    </row>
    <row r="267" customFormat="false" ht="15.75" hidden="false" customHeight="false" outlineLevel="0" collapsed="false">
      <c r="A267" s="3" t="n">
        <f aca="false">IFERROR(__xludf.dummyfunction("""COMPUTED_VALUE"""),44582.6666666667)</f>
        <v>44582.6666666667</v>
      </c>
      <c r="B267" s="2" t="n">
        <f aca="false">IFERROR(__xludf.dummyfunction("""COMPUTED_VALUE"""),149.95)</f>
        <v>149.95</v>
      </c>
      <c r="C267" s="2" t="n">
        <f aca="false">IFERROR(__xludf.dummyfunction("""COMPUTED_VALUE"""),150.9)</f>
        <v>150.9</v>
      </c>
      <c r="D267" s="2" t="n">
        <f aca="false">IFERROR(__xludf.dummyfunction("""COMPUTED_VALUE"""),142.07)</f>
        <v>142.07</v>
      </c>
      <c r="E267" s="2" t="n">
        <f aca="false">IFERROR(__xludf.dummyfunction("""COMPUTED_VALUE"""),142.64)</f>
        <v>142.64</v>
      </c>
      <c r="F267" s="2" t="n">
        <f aca="false">IFERROR(__xludf.dummyfunction("""COMPUTED_VALUE"""),8198572)</f>
        <v>8198572</v>
      </c>
    </row>
    <row r="268" customFormat="false" ht="15.75" hidden="false" customHeight="false" outlineLevel="0" collapsed="false">
      <c r="A268" s="3" t="n">
        <f aca="false">IFERROR(__xludf.dummyfunction("""COMPUTED_VALUE"""),44585.6666666667)</f>
        <v>44585.6666666667</v>
      </c>
      <c r="B268" s="2" t="n">
        <f aca="false">IFERROR(__xludf.dummyfunction("""COMPUTED_VALUE"""),139)</f>
        <v>139</v>
      </c>
      <c r="C268" s="2" t="n">
        <f aca="false">IFERROR(__xludf.dummyfunction("""COMPUTED_VALUE"""),144.95)</f>
        <v>144.95</v>
      </c>
      <c r="D268" s="2" t="n">
        <f aca="false">IFERROR(__xludf.dummyfunction("""COMPUTED_VALUE"""),135.35)</f>
        <v>135.35</v>
      </c>
      <c r="E268" s="2" t="n">
        <f aca="false">IFERROR(__xludf.dummyfunction("""COMPUTED_VALUE"""),144.54)</f>
        <v>144.54</v>
      </c>
      <c r="F268" s="2" t="n">
        <f aca="false">IFERROR(__xludf.dummyfunction("""COMPUTED_VALUE"""),7802237)</f>
        <v>7802237</v>
      </c>
    </row>
    <row r="269" customFormat="false" ht="15.75" hidden="false" customHeight="false" outlineLevel="0" collapsed="false">
      <c r="A269" s="3" t="n">
        <f aca="false">IFERROR(__xludf.dummyfunction("""COMPUTED_VALUE"""),44586.6666666667)</f>
        <v>44586.6666666667</v>
      </c>
      <c r="B269" s="2" t="n">
        <f aca="false">IFERROR(__xludf.dummyfunction("""COMPUTED_VALUE"""),142.24)</f>
        <v>142.24</v>
      </c>
      <c r="C269" s="2" t="n">
        <f aca="false">IFERROR(__xludf.dummyfunction("""COMPUTED_VALUE"""),143.6)</f>
        <v>143.6</v>
      </c>
      <c r="D269" s="2" t="n">
        <f aca="false">IFERROR(__xludf.dummyfunction("""COMPUTED_VALUE"""),138.15)</f>
        <v>138.15</v>
      </c>
      <c r="E269" s="2" t="n">
        <f aca="false">IFERROR(__xludf.dummyfunction("""COMPUTED_VALUE"""),139.99)</f>
        <v>139.99</v>
      </c>
      <c r="F269" s="2" t="n">
        <f aca="false">IFERROR(__xludf.dummyfunction("""COMPUTED_VALUE"""),4541233)</f>
        <v>4541233</v>
      </c>
    </row>
    <row r="270" customFormat="false" ht="15.75" hidden="false" customHeight="false" outlineLevel="0" collapsed="false">
      <c r="A270" s="3" t="n">
        <f aca="false">IFERROR(__xludf.dummyfunction("""COMPUTED_VALUE"""),44587.6666666667)</f>
        <v>44587.6666666667</v>
      </c>
      <c r="B270" s="2" t="n">
        <f aca="false">IFERROR(__xludf.dummyfunction("""COMPUTED_VALUE"""),144.75)</f>
        <v>144.75</v>
      </c>
      <c r="C270" s="2" t="n">
        <f aca="false">IFERROR(__xludf.dummyfunction("""COMPUTED_VALUE"""),145.18)</f>
        <v>145.18</v>
      </c>
      <c r="D270" s="2" t="n">
        <f aca="false">IFERROR(__xludf.dummyfunction("""COMPUTED_VALUE"""),137.32)</f>
        <v>137.32</v>
      </c>
      <c r="E270" s="2" t="n">
        <f aca="false">IFERROR(__xludf.dummyfunction("""COMPUTED_VALUE"""),138.87)</f>
        <v>138.87</v>
      </c>
      <c r="F270" s="2" t="n">
        <f aca="false">IFERROR(__xludf.dummyfunction("""COMPUTED_VALUE"""),4780085)</f>
        <v>4780085</v>
      </c>
    </row>
    <row r="271" customFormat="false" ht="15.75" hidden="false" customHeight="false" outlineLevel="0" collapsed="false">
      <c r="A271" s="3" t="n">
        <f aca="false">IFERROR(__xludf.dummyfunction("""COMPUTED_VALUE"""),44588.6666666667)</f>
        <v>44588.6666666667</v>
      </c>
      <c r="B271" s="2" t="n">
        <f aca="false">IFERROR(__xludf.dummyfunction("""COMPUTED_VALUE"""),140.8)</f>
        <v>140.8</v>
      </c>
      <c r="C271" s="2" t="n">
        <f aca="false">IFERROR(__xludf.dummyfunction("""COMPUTED_VALUE"""),144.24)</f>
        <v>144.24</v>
      </c>
      <c r="D271" s="2" t="n">
        <f aca="false">IFERROR(__xludf.dummyfunction("""COMPUTED_VALUE"""),139.35)</f>
        <v>139.35</v>
      </c>
      <c r="E271" s="2" t="n">
        <f aca="false">IFERROR(__xludf.dummyfunction("""COMPUTED_VALUE"""),139.64)</f>
        <v>139.64</v>
      </c>
      <c r="F271" s="2" t="n">
        <f aca="false">IFERROR(__xludf.dummyfunction("""COMPUTED_VALUE"""),3875790)</f>
        <v>3875790</v>
      </c>
    </row>
    <row r="272" customFormat="false" ht="15.75" hidden="false" customHeight="false" outlineLevel="0" collapsed="false">
      <c r="A272" s="3" t="n">
        <f aca="false">IFERROR(__xludf.dummyfunction("""COMPUTED_VALUE"""),44589.6666666667)</f>
        <v>44589.6666666667</v>
      </c>
      <c r="B272" s="2" t="n">
        <f aca="false">IFERROR(__xludf.dummyfunction("""COMPUTED_VALUE"""),140.86)</f>
        <v>140.86</v>
      </c>
      <c r="C272" s="2" t="n">
        <f aca="false">IFERROR(__xludf.dummyfunction("""COMPUTED_VALUE"""),144)</f>
        <v>144</v>
      </c>
      <c r="D272" s="2" t="n">
        <f aca="false">IFERROR(__xludf.dummyfunction("""COMPUTED_VALUE"""),137.93)</f>
        <v>137.93</v>
      </c>
      <c r="E272" s="2" t="n">
        <f aca="false">IFERROR(__xludf.dummyfunction("""COMPUTED_VALUE"""),143.98)</f>
        <v>143.98</v>
      </c>
      <c r="F272" s="2" t="n">
        <f aca="false">IFERROR(__xludf.dummyfunction("""COMPUTED_VALUE"""),3719599)</f>
        <v>3719599</v>
      </c>
    </row>
    <row r="273" customFormat="false" ht="15.75" hidden="false" customHeight="false" outlineLevel="0" collapsed="false">
      <c r="A273" s="3" t="n">
        <f aca="false">IFERROR(__xludf.dummyfunction("""COMPUTED_VALUE"""),44592.6666666667)</f>
        <v>44592.6666666667</v>
      </c>
      <c r="B273" s="2" t="n">
        <f aca="false">IFERROR(__xludf.dummyfunction("""COMPUTED_VALUE"""),144.75)</f>
        <v>144.75</v>
      </c>
      <c r="C273" s="2" t="n">
        <f aca="false">IFERROR(__xludf.dummyfunction("""COMPUTED_VALUE"""),150.36)</f>
        <v>150.36</v>
      </c>
      <c r="D273" s="2" t="n">
        <f aca="false">IFERROR(__xludf.dummyfunction("""COMPUTED_VALUE"""),144.3)</f>
        <v>144.3</v>
      </c>
      <c r="E273" s="2" t="n">
        <f aca="false">IFERROR(__xludf.dummyfunction("""COMPUTED_VALUE"""),149.57)</f>
        <v>149.57</v>
      </c>
      <c r="F273" s="2" t="n">
        <f aca="false">IFERROR(__xludf.dummyfunction("""COMPUTED_VALUE"""),3915372)</f>
        <v>3915372</v>
      </c>
    </row>
    <row r="274" customFormat="false" ht="15.75" hidden="false" customHeight="false" outlineLevel="0" collapsed="false">
      <c r="A274" s="3" t="n">
        <f aca="false">IFERROR(__xludf.dummyfunction("""COMPUTED_VALUE"""),44593.6666666667)</f>
        <v>44593.6666666667</v>
      </c>
      <c r="B274" s="2" t="n">
        <f aca="false">IFERROR(__xludf.dummyfunction("""COMPUTED_VALUE"""),150)</f>
        <v>150</v>
      </c>
      <c r="C274" s="2" t="n">
        <f aca="false">IFERROR(__xludf.dummyfunction("""COMPUTED_VALUE"""),151.71)</f>
        <v>151.71</v>
      </c>
      <c r="D274" s="2" t="n">
        <f aca="false">IFERROR(__xludf.dummyfunction("""COMPUTED_VALUE"""),147.63)</f>
        <v>147.63</v>
      </c>
      <c r="E274" s="2" t="n">
        <f aca="false">IFERROR(__xludf.dummyfunction("""COMPUTED_VALUE"""),151.19)</f>
        <v>151.19</v>
      </c>
      <c r="F274" s="2" t="n">
        <f aca="false">IFERROR(__xludf.dummyfunction("""COMPUTED_VALUE"""),2960992)</f>
        <v>2960992</v>
      </c>
    </row>
    <row r="275" customFormat="false" ht="15.75" hidden="false" customHeight="false" outlineLevel="0" collapsed="false">
      <c r="A275" s="3" t="n">
        <f aca="false">IFERROR(__xludf.dummyfunction("""COMPUTED_VALUE"""),44594.6666666667)</f>
        <v>44594.6666666667</v>
      </c>
      <c r="B275" s="2" t="n">
        <f aca="false">IFERROR(__xludf.dummyfunction("""COMPUTED_VALUE"""),155.05)</f>
        <v>155.05</v>
      </c>
      <c r="C275" s="2" t="n">
        <f aca="false">IFERROR(__xludf.dummyfunction("""COMPUTED_VALUE"""),155.07)</f>
        <v>155.07</v>
      </c>
      <c r="D275" s="2" t="n">
        <f aca="false">IFERROR(__xludf.dummyfunction("""COMPUTED_VALUE"""),148.86)</f>
        <v>148.86</v>
      </c>
      <c r="E275" s="2" t="n">
        <f aca="false">IFERROR(__xludf.dummyfunction("""COMPUTED_VALUE"""),150.61)</f>
        <v>150.61</v>
      </c>
      <c r="F275" s="2" t="n">
        <f aca="false">IFERROR(__xludf.dummyfunction("""COMPUTED_VALUE"""),4366488)</f>
        <v>4366488</v>
      </c>
    </row>
    <row r="276" customFormat="false" ht="15.75" hidden="false" customHeight="false" outlineLevel="0" collapsed="false">
      <c r="A276" s="3" t="n">
        <f aca="false">IFERROR(__xludf.dummyfunction("""COMPUTED_VALUE"""),44595.6666666667)</f>
        <v>44595.6666666667</v>
      </c>
      <c r="B276" s="2" t="n">
        <f aca="false">IFERROR(__xludf.dummyfunction("""COMPUTED_VALUE"""),141.74)</f>
        <v>141.74</v>
      </c>
      <c r="C276" s="2" t="n">
        <f aca="false">IFERROR(__xludf.dummyfunction("""COMPUTED_VALUE"""),144.25)</f>
        <v>144.25</v>
      </c>
      <c r="D276" s="2" t="n">
        <f aca="false">IFERROR(__xludf.dummyfunction("""COMPUTED_VALUE"""),138.33)</f>
        <v>138.33</v>
      </c>
      <c r="E276" s="2" t="n">
        <f aca="false">IFERROR(__xludf.dummyfunction("""COMPUTED_VALUE"""),138.85)</f>
        <v>138.85</v>
      </c>
      <c r="F276" s="2" t="n">
        <f aca="false">IFERROR(__xludf.dummyfunction("""COMPUTED_VALUE"""),11276568)</f>
        <v>11276568</v>
      </c>
    </row>
    <row r="277" customFormat="false" ht="15.75" hidden="false" customHeight="false" outlineLevel="0" collapsed="false">
      <c r="A277" s="3" t="n">
        <f aca="false">IFERROR(__xludf.dummyfunction("""COMPUTED_VALUE"""),44596.6666666667)</f>
        <v>44596.6666666667</v>
      </c>
      <c r="B277" s="2" t="n">
        <f aca="false">IFERROR(__xludf.dummyfunction("""COMPUTED_VALUE"""),155.61)</f>
        <v>155.61</v>
      </c>
      <c r="C277" s="2" t="n">
        <f aca="false">IFERROR(__xludf.dummyfunction("""COMPUTED_VALUE"""),161.2)</f>
        <v>161.2</v>
      </c>
      <c r="D277" s="2" t="n">
        <f aca="false">IFERROR(__xludf.dummyfunction("""COMPUTED_VALUE"""),150.61)</f>
        <v>150.61</v>
      </c>
      <c r="E277" s="2" t="n">
        <f aca="false">IFERROR(__xludf.dummyfunction("""COMPUTED_VALUE"""),157.64)</f>
        <v>157.64</v>
      </c>
      <c r="F277" s="2" t="n">
        <f aca="false">IFERROR(__xludf.dummyfunction("""COMPUTED_VALUE"""),12672793)</f>
        <v>12672793</v>
      </c>
    </row>
    <row r="278" customFormat="false" ht="15.75" hidden="false" customHeight="false" outlineLevel="0" collapsed="false">
      <c r="A278" s="3" t="n">
        <f aca="false">IFERROR(__xludf.dummyfunction("""COMPUTED_VALUE"""),44599.6666666667)</f>
        <v>44599.6666666667</v>
      </c>
      <c r="B278" s="2" t="n">
        <f aca="false">IFERROR(__xludf.dummyfunction("""COMPUTED_VALUE"""),158.52)</f>
        <v>158.52</v>
      </c>
      <c r="C278" s="2" t="n">
        <f aca="false">IFERROR(__xludf.dummyfunction("""COMPUTED_VALUE"""),162.69)</f>
        <v>162.69</v>
      </c>
      <c r="D278" s="2" t="n">
        <f aca="false">IFERROR(__xludf.dummyfunction("""COMPUTED_VALUE"""),157.25)</f>
        <v>157.25</v>
      </c>
      <c r="E278" s="2" t="n">
        <f aca="false">IFERROR(__xludf.dummyfunction("""COMPUTED_VALUE"""),157.94)</f>
        <v>157.94</v>
      </c>
      <c r="F278" s="2" t="n">
        <f aca="false">IFERROR(__xludf.dummyfunction("""COMPUTED_VALUE"""),5131219)</f>
        <v>5131219</v>
      </c>
    </row>
    <row r="279" customFormat="false" ht="15.75" hidden="false" customHeight="false" outlineLevel="0" collapsed="false">
      <c r="A279" s="3" t="n">
        <f aca="false">IFERROR(__xludf.dummyfunction("""COMPUTED_VALUE"""),44600.6666666667)</f>
        <v>44600.6666666667</v>
      </c>
      <c r="B279" s="2" t="n">
        <f aca="false">IFERROR(__xludf.dummyfunction("""COMPUTED_VALUE"""),156.75)</f>
        <v>156.75</v>
      </c>
      <c r="C279" s="2" t="n">
        <f aca="false">IFERROR(__xludf.dummyfunction("""COMPUTED_VALUE"""),161.79)</f>
        <v>161.79</v>
      </c>
      <c r="D279" s="2" t="n">
        <f aca="false">IFERROR(__xludf.dummyfunction("""COMPUTED_VALUE"""),155.55)</f>
        <v>155.55</v>
      </c>
      <c r="E279" s="2" t="n">
        <f aca="false">IFERROR(__xludf.dummyfunction("""COMPUTED_VALUE"""),161.41)</f>
        <v>161.41</v>
      </c>
      <c r="F279" s="2" t="n">
        <f aca="false">IFERROR(__xludf.dummyfunction("""COMPUTED_VALUE"""),3802018)</f>
        <v>3802018</v>
      </c>
    </row>
    <row r="280" customFormat="false" ht="15.75" hidden="false" customHeight="false" outlineLevel="0" collapsed="false">
      <c r="A280" s="3" t="n">
        <f aca="false">IFERROR(__xludf.dummyfunction("""COMPUTED_VALUE"""),44601.6666666667)</f>
        <v>44601.6666666667</v>
      </c>
      <c r="B280" s="2" t="n">
        <f aca="false">IFERROR(__xludf.dummyfunction("""COMPUTED_VALUE"""),162.87)</f>
        <v>162.87</v>
      </c>
      <c r="C280" s="2" t="n">
        <f aca="false">IFERROR(__xludf.dummyfunction("""COMPUTED_VALUE"""),163.83)</f>
        <v>163.83</v>
      </c>
      <c r="D280" s="2" t="n">
        <f aca="false">IFERROR(__xludf.dummyfunction("""COMPUTED_VALUE"""),160.25)</f>
        <v>160.25</v>
      </c>
      <c r="E280" s="2" t="n">
        <f aca="false">IFERROR(__xludf.dummyfunction("""COMPUTED_VALUE"""),161.19)</f>
        <v>161.19</v>
      </c>
      <c r="F280" s="2" t="n">
        <f aca="false">IFERROR(__xludf.dummyfunction("""COMPUTED_VALUE"""),3439280)</f>
        <v>3439280</v>
      </c>
    </row>
    <row r="281" customFormat="false" ht="15.75" hidden="false" customHeight="false" outlineLevel="0" collapsed="false">
      <c r="A281" s="3" t="n">
        <f aca="false">IFERROR(__xludf.dummyfunction("""COMPUTED_VALUE"""),44602.6666666667)</f>
        <v>44602.6666666667</v>
      </c>
      <c r="B281" s="2" t="n">
        <f aca="false">IFERROR(__xludf.dummyfunction("""COMPUTED_VALUE"""),158.35)</f>
        <v>158.35</v>
      </c>
      <c r="C281" s="2" t="n">
        <f aca="false">IFERROR(__xludf.dummyfunction("""COMPUTED_VALUE"""),160.72)</f>
        <v>160.72</v>
      </c>
      <c r="D281" s="2" t="n">
        <f aca="false">IFERROR(__xludf.dummyfunction("""COMPUTED_VALUE"""),157.75)</f>
        <v>157.75</v>
      </c>
      <c r="E281" s="2" t="n">
        <f aca="false">IFERROR(__xludf.dummyfunction("""COMPUTED_VALUE"""),159)</f>
        <v>159</v>
      </c>
      <c r="F281" s="2" t="n">
        <f aca="false">IFERROR(__xludf.dummyfunction("""COMPUTED_VALUE"""),3413406)</f>
        <v>3413406</v>
      </c>
    </row>
    <row r="282" customFormat="false" ht="15.75" hidden="false" customHeight="false" outlineLevel="0" collapsed="false">
      <c r="A282" s="3" t="n">
        <f aca="false">IFERROR(__xludf.dummyfunction("""COMPUTED_VALUE"""),44603.6666666667)</f>
        <v>44603.6666666667</v>
      </c>
      <c r="B282" s="2" t="n">
        <f aca="false">IFERROR(__xludf.dummyfunction("""COMPUTED_VALUE"""),158.13)</f>
        <v>158.13</v>
      </c>
      <c r="C282" s="2" t="n">
        <f aca="false">IFERROR(__xludf.dummyfunction("""COMPUTED_VALUE"""),159)</f>
        <v>159</v>
      </c>
      <c r="D282" s="2" t="n">
        <f aca="false">IFERROR(__xludf.dummyfunction("""COMPUTED_VALUE"""),152.73)</f>
        <v>152.73</v>
      </c>
      <c r="E282" s="2" t="n">
        <f aca="false">IFERROR(__xludf.dummyfunction("""COMPUTED_VALUE"""),153.29)</f>
        <v>153.29</v>
      </c>
      <c r="F282" s="2" t="n">
        <f aca="false">IFERROR(__xludf.dummyfunction("""COMPUTED_VALUE"""),3855022)</f>
        <v>3855022</v>
      </c>
    </row>
    <row r="283" customFormat="false" ht="15.75" hidden="false" customHeight="false" outlineLevel="0" collapsed="false">
      <c r="A283" s="3" t="n">
        <f aca="false">IFERROR(__xludf.dummyfunction("""COMPUTED_VALUE"""),44606.6666666667)</f>
        <v>44606.6666666667</v>
      </c>
      <c r="B283" s="2" t="n">
        <f aca="false">IFERROR(__xludf.dummyfunction("""COMPUTED_VALUE"""),151.75)</f>
        <v>151.75</v>
      </c>
      <c r="C283" s="2" t="n">
        <f aca="false">IFERROR(__xludf.dummyfunction("""COMPUTED_VALUE"""),158.45)</f>
        <v>158.45</v>
      </c>
      <c r="D283" s="2" t="n">
        <f aca="false">IFERROR(__xludf.dummyfunction("""COMPUTED_VALUE"""),151.65)</f>
        <v>151.65</v>
      </c>
      <c r="E283" s="2" t="n">
        <f aca="false">IFERROR(__xludf.dummyfunction("""COMPUTED_VALUE"""),155.17)</f>
        <v>155.17</v>
      </c>
      <c r="F283" s="2" t="n">
        <f aca="false">IFERROR(__xludf.dummyfunction("""COMPUTED_VALUE"""),4161535)</f>
        <v>4161535</v>
      </c>
    </row>
    <row r="284" customFormat="false" ht="15.75" hidden="false" customHeight="false" outlineLevel="0" collapsed="false">
      <c r="A284" s="3" t="n">
        <f aca="false">IFERROR(__xludf.dummyfunction("""COMPUTED_VALUE"""),44607.6666666667)</f>
        <v>44607.6666666667</v>
      </c>
      <c r="B284" s="2" t="n">
        <f aca="false">IFERROR(__xludf.dummyfunction("""COMPUTED_VALUE"""),157.61)</f>
        <v>157.61</v>
      </c>
      <c r="C284" s="2" t="n">
        <f aca="false">IFERROR(__xludf.dummyfunction("""COMPUTED_VALUE"""),158.01)</f>
        <v>158.01</v>
      </c>
      <c r="D284" s="2" t="n">
        <f aca="false">IFERROR(__xludf.dummyfunction("""COMPUTED_VALUE"""),154.64)</f>
        <v>154.64</v>
      </c>
      <c r="E284" s="2" t="n">
        <f aca="false">IFERROR(__xludf.dummyfunction("""COMPUTED_VALUE"""),156.51)</f>
        <v>156.51</v>
      </c>
      <c r="F284" s="2" t="n">
        <f aca="false">IFERROR(__xludf.dummyfunction("""COMPUTED_VALUE"""),2848533)</f>
        <v>2848533</v>
      </c>
    </row>
    <row r="285" customFormat="false" ht="15.75" hidden="false" customHeight="false" outlineLevel="0" collapsed="false">
      <c r="A285" s="3" t="n">
        <f aca="false">IFERROR(__xludf.dummyfunction("""COMPUTED_VALUE"""),44608.6666666667)</f>
        <v>44608.6666666667</v>
      </c>
      <c r="B285" s="2" t="n">
        <f aca="false">IFERROR(__xludf.dummyfunction("""COMPUTED_VALUE"""),155.79)</f>
        <v>155.79</v>
      </c>
      <c r="C285" s="2" t="n">
        <f aca="false">IFERROR(__xludf.dummyfunction("""COMPUTED_VALUE"""),158.83)</f>
        <v>158.83</v>
      </c>
      <c r="D285" s="2" t="n">
        <f aca="false">IFERROR(__xludf.dummyfunction("""COMPUTED_VALUE"""),154.73)</f>
        <v>154.73</v>
      </c>
      <c r="E285" s="2" t="n">
        <f aca="false">IFERROR(__xludf.dummyfunction("""COMPUTED_VALUE"""),158.1)</f>
        <v>158.1</v>
      </c>
      <c r="F285" s="2" t="n">
        <f aca="false">IFERROR(__xludf.dummyfunction("""COMPUTED_VALUE"""),2635214)</f>
        <v>2635214</v>
      </c>
    </row>
    <row r="286" customFormat="false" ht="15.75" hidden="false" customHeight="false" outlineLevel="0" collapsed="false">
      <c r="A286" s="3" t="n">
        <f aca="false">IFERROR(__xludf.dummyfunction("""COMPUTED_VALUE"""),44609.6666666667)</f>
        <v>44609.6666666667</v>
      </c>
      <c r="B286" s="2" t="n">
        <f aca="false">IFERROR(__xludf.dummyfunction("""COMPUTED_VALUE"""),158.15)</f>
        <v>158.15</v>
      </c>
      <c r="C286" s="2" t="n">
        <f aca="false">IFERROR(__xludf.dummyfunction("""COMPUTED_VALUE"""),160.35)</f>
        <v>160.35</v>
      </c>
      <c r="D286" s="2" t="n">
        <f aca="false">IFERROR(__xludf.dummyfunction("""COMPUTED_VALUE"""),154.5)</f>
        <v>154.5</v>
      </c>
      <c r="E286" s="2" t="n">
        <f aca="false">IFERROR(__xludf.dummyfunction("""COMPUTED_VALUE"""),154.65)</f>
        <v>154.65</v>
      </c>
      <c r="F286" s="2" t="n">
        <f aca="false">IFERROR(__xludf.dummyfunction("""COMPUTED_VALUE"""),3201625)</f>
        <v>3201625</v>
      </c>
    </row>
    <row r="287" customFormat="false" ht="15.75" hidden="false" customHeight="false" outlineLevel="0" collapsed="false">
      <c r="A287" s="3" t="n">
        <f aca="false">IFERROR(__xludf.dummyfunction("""COMPUTED_VALUE"""),44610.6666666667)</f>
        <v>44610.6666666667</v>
      </c>
      <c r="B287" s="2" t="n">
        <f aca="false">IFERROR(__xludf.dummyfunction("""COMPUTED_VALUE"""),155.5)</f>
        <v>155.5</v>
      </c>
      <c r="C287" s="2" t="n">
        <f aca="false">IFERROR(__xludf.dummyfunction("""COMPUTED_VALUE"""),155.5)</f>
        <v>155.5</v>
      </c>
      <c r="D287" s="2" t="n">
        <f aca="false">IFERROR(__xludf.dummyfunction("""COMPUTED_VALUE"""),150.89)</f>
        <v>150.89</v>
      </c>
      <c r="E287" s="2" t="n">
        <f aca="false">IFERROR(__xludf.dummyfunction("""COMPUTED_VALUE"""),152.6)</f>
        <v>152.6</v>
      </c>
      <c r="F287" s="2" t="n">
        <f aca="false">IFERROR(__xludf.dummyfunction("""COMPUTED_VALUE"""),3180205)</f>
        <v>3180205</v>
      </c>
    </row>
    <row r="288" customFormat="false" ht="15.75" hidden="false" customHeight="false" outlineLevel="0" collapsed="false">
      <c r="A288" s="3" t="n">
        <f aca="false">IFERROR(__xludf.dummyfunction("""COMPUTED_VALUE"""),44614.6666666667)</f>
        <v>44614.6666666667</v>
      </c>
      <c r="B288" s="2" t="n">
        <f aca="false">IFERROR(__xludf.dummyfunction("""COMPUTED_VALUE"""),150.48)</f>
        <v>150.48</v>
      </c>
      <c r="C288" s="2" t="n">
        <f aca="false">IFERROR(__xludf.dummyfunction("""COMPUTED_VALUE"""),152.98)</f>
        <v>152.98</v>
      </c>
      <c r="D288" s="2" t="n">
        <f aca="false">IFERROR(__xludf.dummyfunction("""COMPUTED_VALUE"""),148.49)</f>
        <v>148.49</v>
      </c>
      <c r="E288" s="2" t="n">
        <f aca="false">IFERROR(__xludf.dummyfunction("""COMPUTED_VALUE"""),150.2)</f>
        <v>150.2</v>
      </c>
      <c r="F288" s="2" t="n">
        <f aca="false">IFERROR(__xludf.dummyfunction("""COMPUTED_VALUE"""),3306412)</f>
        <v>3306412</v>
      </c>
    </row>
    <row r="289" customFormat="false" ht="15.75" hidden="false" customHeight="false" outlineLevel="0" collapsed="false">
      <c r="A289" s="3" t="n">
        <f aca="false">IFERROR(__xludf.dummyfunction("""COMPUTED_VALUE"""),44615.6666666667)</f>
        <v>44615.6666666667</v>
      </c>
      <c r="B289" s="2" t="n">
        <f aca="false">IFERROR(__xludf.dummyfunction("""COMPUTED_VALUE"""),151.65)</f>
        <v>151.65</v>
      </c>
      <c r="C289" s="2" t="n">
        <f aca="false">IFERROR(__xludf.dummyfunction("""COMPUTED_VALUE"""),151.76)</f>
        <v>151.76</v>
      </c>
      <c r="D289" s="2" t="n">
        <f aca="false">IFERROR(__xludf.dummyfunction("""COMPUTED_VALUE"""),144.65)</f>
        <v>144.65</v>
      </c>
      <c r="E289" s="2" t="n">
        <f aca="false">IFERROR(__xludf.dummyfunction("""COMPUTED_VALUE"""),144.83)</f>
        <v>144.83</v>
      </c>
      <c r="F289" s="2" t="n">
        <f aca="false">IFERROR(__xludf.dummyfunction("""COMPUTED_VALUE"""),3212178)</f>
        <v>3212178</v>
      </c>
    </row>
    <row r="290" customFormat="false" ht="15.75" hidden="false" customHeight="false" outlineLevel="0" collapsed="false">
      <c r="A290" s="3" t="n">
        <f aca="false">IFERROR(__xludf.dummyfunction("""COMPUTED_VALUE"""),44616.6666666667)</f>
        <v>44616.6666666667</v>
      </c>
      <c r="B290" s="2" t="n">
        <f aca="false">IFERROR(__xludf.dummyfunction("""COMPUTED_VALUE"""),139.84)</f>
        <v>139.84</v>
      </c>
      <c r="C290" s="2" t="n">
        <f aca="false">IFERROR(__xludf.dummyfunction("""COMPUTED_VALUE"""),151.75)</f>
        <v>151.75</v>
      </c>
      <c r="D290" s="2" t="n">
        <f aca="false">IFERROR(__xludf.dummyfunction("""COMPUTED_VALUE"""),139.5)</f>
        <v>139.5</v>
      </c>
      <c r="E290" s="2" t="n">
        <f aca="false">IFERROR(__xludf.dummyfunction("""COMPUTED_VALUE"""),151.36)</f>
        <v>151.36</v>
      </c>
      <c r="F290" s="2" t="n">
        <f aca="false">IFERROR(__xludf.dummyfunction("""COMPUTED_VALUE"""),5039288)</f>
        <v>5039288</v>
      </c>
    </row>
    <row r="291" customFormat="false" ht="15.75" hidden="false" customHeight="false" outlineLevel="0" collapsed="false">
      <c r="A291" s="3" t="n">
        <f aca="false">IFERROR(__xludf.dummyfunction("""COMPUTED_VALUE"""),44617.6666666667)</f>
        <v>44617.6666666667</v>
      </c>
      <c r="B291" s="2" t="n">
        <f aca="false">IFERROR(__xludf.dummyfunction("""COMPUTED_VALUE"""),150.55)</f>
        <v>150.55</v>
      </c>
      <c r="C291" s="2" t="n">
        <f aca="false">IFERROR(__xludf.dummyfunction("""COMPUTED_VALUE"""),153.99)</f>
        <v>153.99</v>
      </c>
      <c r="D291" s="2" t="n">
        <f aca="false">IFERROR(__xludf.dummyfunction("""COMPUTED_VALUE"""),149.21)</f>
        <v>149.21</v>
      </c>
      <c r="E291" s="2" t="n">
        <f aca="false">IFERROR(__xludf.dummyfunction("""COMPUTED_VALUE"""),153.79)</f>
        <v>153.79</v>
      </c>
      <c r="F291" s="2" t="n">
        <f aca="false">IFERROR(__xludf.dummyfunction("""COMPUTED_VALUE"""),3119768)</f>
        <v>3119768</v>
      </c>
    </row>
    <row r="292" customFormat="false" ht="15.75" hidden="false" customHeight="false" outlineLevel="0" collapsed="false">
      <c r="A292" s="3" t="n">
        <f aca="false">IFERROR(__xludf.dummyfunction("""COMPUTED_VALUE"""),44620.6666666667)</f>
        <v>44620.6666666667</v>
      </c>
      <c r="B292" s="2" t="n">
        <f aca="false">IFERROR(__xludf.dummyfunction("""COMPUTED_VALUE"""),152.43)</f>
        <v>152.43</v>
      </c>
      <c r="C292" s="2" t="n">
        <f aca="false">IFERROR(__xludf.dummyfunction("""COMPUTED_VALUE"""),154.45)</f>
        <v>154.45</v>
      </c>
      <c r="D292" s="2" t="n">
        <f aca="false">IFERROR(__xludf.dummyfunction("""COMPUTED_VALUE"""),150.85)</f>
        <v>150.85</v>
      </c>
      <c r="E292" s="2" t="n">
        <f aca="false">IFERROR(__xludf.dummyfunction("""COMPUTED_VALUE"""),153.56)</f>
        <v>153.56</v>
      </c>
      <c r="F292" s="2" t="n">
        <f aca="false">IFERROR(__xludf.dummyfunction("""COMPUTED_VALUE"""),2884171)</f>
        <v>2884171</v>
      </c>
    </row>
    <row r="293" customFormat="false" ht="15.75" hidden="false" customHeight="false" outlineLevel="0" collapsed="false">
      <c r="A293" s="3" t="n">
        <f aca="false">IFERROR(__xludf.dummyfunction("""COMPUTED_VALUE"""),44621.6666666667)</f>
        <v>44621.6666666667</v>
      </c>
      <c r="B293" s="2" t="n">
        <f aca="false">IFERROR(__xludf.dummyfunction("""COMPUTED_VALUE"""),152.73)</f>
        <v>152.73</v>
      </c>
      <c r="C293" s="2" t="n">
        <f aca="false">IFERROR(__xludf.dummyfunction("""COMPUTED_VALUE"""),154.1)</f>
        <v>154.1</v>
      </c>
      <c r="D293" s="2" t="n">
        <f aca="false">IFERROR(__xludf.dummyfunction("""COMPUTED_VALUE"""),149.98)</f>
        <v>149.98</v>
      </c>
      <c r="E293" s="2" t="n">
        <f aca="false">IFERROR(__xludf.dummyfunction("""COMPUTED_VALUE"""),151.14)</f>
        <v>151.14</v>
      </c>
      <c r="F293" s="2" t="n">
        <f aca="false">IFERROR(__xludf.dummyfunction("""COMPUTED_VALUE"""),2243679)</f>
        <v>2243679</v>
      </c>
    </row>
    <row r="294" customFormat="false" ht="15.75" hidden="false" customHeight="false" outlineLevel="0" collapsed="false">
      <c r="A294" s="3" t="n">
        <f aca="false">IFERROR(__xludf.dummyfunction("""COMPUTED_VALUE"""),44622.6666666667)</f>
        <v>44622.6666666667</v>
      </c>
      <c r="B294" s="2" t="n">
        <f aca="false">IFERROR(__xludf.dummyfunction("""COMPUTED_VALUE"""),150.85)</f>
        <v>150.85</v>
      </c>
      <c r="C294" s="2" t="n">
        <f aca="false">IFERROR(__xludf.dummyfunction("""COMPUTED_VALUE"""),153)</f>
        <v>153</v>
      </c>
      <c r="D294" s="2" t="n">
        <f aca="false">IFERROR(__xludf.dummyfunction("""COMPUTED_VALUE"""),148.75)</f>
        <v>148.75</v>
      </c>
      <c r="E294" s="2" t="n">
        <f aca="false">IFERROR(__xludf.dummyfunction("""COMPUTED_VALUE"""),152.05)</f>
        <v>152.05</v>
      </c>
      <c r="F294" s="2" t="n">
        <f aca="false">IFERROR(__xludf.dummyfunction("""COMPUTED_VALUE"""),2366736)</f>
        <v>2366736</v>
      </c>
    </row>
    <row r="295" customFormat="false" ht="15.75" hidden="false" customHeight="false" outlineLevel="0" collapsed="false">
      <c r="A295" s="3" t="n">
        <f aca="false">IFERROR(__xludf.dummyfunction("""COMPUTED_VALUE"""),44623.6666666667)</f>
        <v>44623.6666666667</v>
      </c>
      <c r="B295" s="2" t="n">
        <f aca="false">IFERROR(__xludf.dummyfunction("""COMPUTED_VALUE"""),153.53)</f>
        <v>153.53</v>
      </c>
      <c r="C295" s="2" t="n">
        <f aca="false">IFERROR(__xludf.dummyfunction("""COMPUTED_VALUE"""),153.93)</f>
        <v>153.93</v>
      </c>
      <c r="D295" s="2" t="n">
        <f aca="false">IFERROR(__xludf.dummyfunction("""COMPUTED_VALUE"""),146.86)</f>
        <v>146.86</v>
      </c>
      <c r="E295" s="2" t="n">
        <f aca="false">IFERROR(__xludf.dummyfunction("""COMPUTED_VALUE"""),147.9)</f>
        <v>147.9</v>
      </c>
      <c r="F295" s="2" t="n">
        <f aca="false">IFERROR(__xludf.dummyfunction("""COMPUTED_VALUE"""),3259860)</f>
        <v>3259860</v>
      </c>
    </row>
    <row r="296" customFormat="false" ht="15.75" hidden="false" customHeight="false" outlineLevel="0" collapsed="false">
      <c r="A296" s="3" t="n">
        <f aca="false">IFERROR(__xludf.dummyfunction("""COMPUTED_VALUE"""),44624.6666666667)</f>
        <v>44624.6666666667</v>
      </c>
      <c r="B296" s="2" t="n">
        <f aca="false">IFERROR(__xludf.dummyfunction("""COMPUTED_VALUE"""),147.16)</f>
        <v>147.16</v>
      </c>
      <c r="C296" s="2" t="n">
        <f aca="false">IFERROR(__xludf.dummyfunction("""COMPUTED_VALUE"""),147.85)</f>
        <v>147.85</v>
      </c>
      <c r="D296" s="2" t="n">
        <f aca="false">IFERROR(__xludf.dummyfunction("""COMPUTED_VALUE"""),143.81)</f>
        <v>143.81</v>
      </c>
      <c r="E296" s="2" t="n">
        <f aca="false">IFERROR(__xludf.dummyfunction("""COMPUTED_VALUE"""),145.64)</f>
        <v>145.64</v>
      </c>
      <c r="F296" s="2" t="n">
        <f aca="false">IFERROR(__xludf.dummyfunction("""COMPUTED_VALUE"""),3049156)</f>
        <v>3049156</v>
      </c>
    </row>
    <row r="297" customFormat="false" ht="15.75" hidden="false" customHeight="false" outlineLevel="0" collapsed="false">
      <c r="A297" s="3" t="n">
        <f aca="false">IFERROR(__xludf.dummyfunction("""COMPUTED_VALUE"""),44627.6666666667)</f>
        <v>44627.6666666667</v>
      </c>
      <c r="B297" s="2" t="n">
        <f aca="false">IFERROR(__xludf.dummyfunction("""COMPUTED_VALUE"""),145.44)</f>
        <v>145.44</v>
      </c>
      <c r="C297" s="2" t="n">
        <f aca="false">IFERROR(__xludf.dummyfunction("""COMPUTED_VALUE"""),146.09)</f>
        <v>146.09</v>
      </c>
      <c r="D297" s="2" t="n">
        <f aca="false">IFERROR(__xludf.dummyfunction("""COMPUTED_VALUE"""),137.42)</f>
        <v>137.42</v>
      </c>
      <c r="E297" s="2" t="n">
        <f aca="false">IFERROR(__xludf.dummyfunction("""COMPUTED_VALUE"""),137.45)</f>
        <v>137.45</v>
      </c>
      <c r="F297" s="2" t="n">
        <f aca="false">IFERROR(__xludf.dummyfunction("""COMPUTED_VALUE"""),4346693)</f>
        <v>4346693</v>
      </c>
    </row>
    <row r="298" customFormat="false" ht="15.75" hidden="false" customHeight="false" outlineLevel="0" collapsed="false">
      <c r="A298" s="3" t="n">
        <f aca="false">IFERROR(__xludf.dummyfunction("""COMPUTED_VALUE"""),44628.6666666667)</f>
        <v>44628.6666666667</v>
      </c>
      <c r="B298" s="2" t="n">
        <f aca="false">IFERROR(__xludf.dummyfunction("""COMPUTED_VALUE"""),136.68)</f>
        <v>136.68</v>
      </c>
      <c r="C298" s="2" t="n">
        <f aca="false">IFERROR(__xludf.dummyfunction("""COMPUTED_VALUE"""),140.7)</f>
        <v>140.7</v>
      </c>
      <c r="D298" s="2" t="n">
        <f aca="false">IFERROR(__xludf.dummyfunction("""COMPUTED_VALUE"""),133.57)</f>
        <v>133.57</v>
      </c>
      <c r="E298" s="2" t="n">
        <f aca="false">IFERROR(__xludf.dummyfunction("""COMPUTED_VALUE"""),136.01)</f>
        <v>136.01</v>
      </c>
      <c r="F298" s="2" t="n">
        <f aca="false">IFERROR(__xludf.dummyfunction("""COMPUTED_VALUE"""),4583129)</f>
        <v>4583129</v>
      </c>
    </row>
    <row r="299" customFormat="false" ht="15.75" hidden="false" customHeight="false" outlineLevel="0" collapsed="false">
      <c r="A299" s="3" t="n">
        <f aca="false">IFERROR(__xludf.dummyfunction("""COMPUTED_VALUE"""),44629.6666666667)</f>
        <v>44629.6666666667</v>
      </c>
      <c r="B299" s="2" t="n">
        <f aca="false">IFERROR(__xludf.dummyfunction("""COMPUTED_VALUE"""),139.5)</f>
        <v>139.5</v>
      </c>
      <c r="C299" s="2" t="n">
        <f aca="false">IFERROR(__xludf.dummyfunction("""COMPUTED_VALUE"""),140.25)</f>
        <v>140.25</v>
      </c>
      <c r="D299" s="2" t="n">
        <f aca="false">IFERROR(__xludf.dummyfunction("""COMPUTED_VALUE"""),136.83)</f>
        <v>136.83</v>
      </c>
      <c r="E299" s="2" t="n">
        <f aca="false">IFERROR(__xludf.dummyfunction("""COMPUTED_VALUE"""),139.28)</f>
        <v>139.28</v>
      </c>
      <c r="F299" s="2" t="n">
        <f aca="false">IFERROR(__xludf.dummyfunction("""COMPUTED_VALUE"""),4132833)</f>
        <v>4132833</v>
      </c>
    </row>
    <row r="300" customFormat="false" ht="15.75" hidden="false" customHeight="false" outlineLevel="0" collapsed="false">
      <c r="A300" s="3" t="n">
        <f aca="false">IFERROR(__xludf.dummyfunction("""COMPUTED_VALUE"""),44630.6666666667)</f>
        <v>44630.6666666667</v>
      </c>
      <c r="B300" s="2" t="n">
        <f aca="false">IFERROR(__xludf.dummyfunction("""COMPUTED_VALUE"""),145.69)</f>
        <v>145.69</v>
      </c>
      <c r="C300" s="2" t="n">
        <f aca="false">IFERROR(__xludf.dummyfunction("""COMPUTED_VALUE"""),148.67)</f>
        <v>148.67</v>
      </c>
      <c r="D300" s="2" t="n">
        <f aca="false">IFERROR(__xludf.dummyfunction("""COMPUTED_VALUE"""),143.98)</f>
        <v>143.98</v>
      </c>
      <c r="E300" s="2" t="n">
        <f aca="false">IFERROR(__xludf.dummyfunction("""COMPUTED_VALUE"""),146.82)</f>
        <v>146.82</v>
      </c>
      <c r="F300" s="2" t="n">
        <f aca="false">IFERROR(__xludf.dummyfunction("""COMPUTED_VALUE"""),6753145)</f>
        <v>6753145</v>
      </c>
    </row>
    <row r="301" customFormat="false" ht="15.75" hidden="false" customHeight="false" outlineLevel="0" collapsed="false">
      <c r="A301" s="3" t="n">
        <f aca="false">IFERROR(__xludf.dummyfunction("""COMPUTED_VALUE"""),44631.6666666667)</f>
        <v>44631.6666666667</v>
      </c>
      <c r="B301" s="2" t="n">
        <f aca="false">IFERROR(__xludf.dummyfunction("""COMPUTED_VALUE"""),149.57)</f>
        <v>149.57</v>
      </c>
      <c r="C301" s="2" t="n">
        <f aca="false">IFERROR(__xludf.dummyfunction("""COMPUTED_VALUE"""),149.68)</f>
        <v>149.68</v>
      </c>
      <c r="D301" s="2" t="n">
        <f aca="false">IFERROR(__xludf.dummyfunction("""COMPUTED_VALUE"""),145.37)</f>
        <v>145.37</v>
      </c>
      <c r="E301" s="2" t="n">
        <f aca="false">IFERROR(__xludf.dummyfunction("""COMPUTED_VALUE"""),145.52)</f>
        <v>145.52</v>
      </c>
      <c r="F301" s="2" t="n">
        <f aca="false">IFERROR(__xludf.dummyfunction("""COMPUTED_VALUE"""),3445028)</f>
        <v>3445028</v>
      </c>
    </row>
    <row r="302" customFormat="false" ht="15.75" hidden="false" customHeight="false" outlineLevel="0" collapsed="false">
      <c r="A302" s="3" t="n">
        <f aca="false">IFERROR(__xludf.dummyfunction("""COMPUTED_VALUE"""),44634.6666666667)</f>
        <v>44634.6666666667</v>
      </c>
      <c r="B302" s="2" t="n">
        <f aca="false">IFERROR(__xludf.dummyfunction("""COMPUTED_VALUE"""),145.98)</f>
        <v>145.98</v>
      </c>
      <c r="C302" s="2" t="n">
        <f aca="false">IFERROR(__xludf.dummyfunction("""COMPUTED_VALUE"""),147.45)</f>
        <v>147.45</v>
      </c>
      <c r="D302" s="2" t="n">
        <f aca="false">IFERROR(__xludf.dummyfunction("""COMPUTED_VALUE"""),140.88)</f>
        <v>140.88</v>
      </c>
      <c r="E302" s="2" t="n">
        <f aca="false">IFERROR(__xludf.dummyfunction("""COMPUTED_VALUE"""),141.85)</f>
        <v>141.85</v>
      </c>
      <c r="F302" s="2" t="n">
        <f aca="false">IFERROR(__xludf.dummyfunction("""COMPUTED_VALUE"""),3704305)</f>
        <v>3704305</v>
      </c>
    </row>
    <row r="303" customFormat="false" ht="15.75" hidden="false" customHeight="false" outlineLevel="0" collapsed="false">
      <c r="A303" s="3" t="n">
        <f aca="false">IFERROR(__xludf.dummyfunction("""COMPUTED_VALUE"""),44635.6666666667)</f>
        <v>44635.6666666667</v>
      </c>
      <c r="B303" s="2" t="n">
        <f aca="false">IFERROR(__xludf.dummyfunction("""COMPUTED_VALUE"""),142.85)</f>
        <v>142.85</v>
      </c>
      <c r="C303" s="2" t="n">
        <f aca="false">IFERROR(__xludf.dummyfunction("""COMPUTED_VALUE"""),147.99)</f>
        <v>147.99</v>
      </c>
      <c r="D303" s="2" t="n">
        <f aca="false">IFERROR(__xludf.dummyfunction("""COMPUTED_VALUE"""),142)</f>
        <v>142</v>
      </c>
      <c r="E303" s="2" t="n">
        <f aca="false">IFERROR(__xludf.dummyfunction("""COMPUTED_VALUE"""),147.37)</f>
        <v>147.37</v>
      </c>
      <c r="F303" s="2" t="n">
        <f aca="false">IFERROR(__xludf.dummyfunction("""COMPUTED_VALUE"""),3779230)</f>
        <v>3779230</v>
      </c>
    </row>
    <row r="304" customFormat="false" ht="15.75" hidden="false" customHeight="false" outlineLevel="0" collapsed="false">
      <c r="A304" s="3" t="n">
        <f aca="false">IFERROR(__xludf.dummyfunction("""COMPUTED_VALUE"""),44636.6666666667)</f>
        <v>44636.6666666667</v>
      </c>
      <c r="B304" s="2" t="n">
        <f aca="false">IFERROR(__xludf.dummyfunction("""COMPUTED_VALUE"""),148.5)</f>
        <v>148.5</v>
      </c>
      <c r="C304" s="2" t="n">
        <f aca="false">IFERROR(__xludf.dummyfunction("""COMPUTED_VALUE"""),153.15)</f>
        <v>153.15</v>
      </c>
      <c r="D304" s="2" t="n">
        <f aca="false">IFERROR(__xludf.dummyfunction("""COMPUTED_VALUE"""),147.35)</f>
        <v>147.35</v>
      </c>
      <c r="E304" s="2" t="n">
        <f aca="false">IFERROR(__xludf.dummyfunction("""COMPUTED_VALUE"""),153.1)</f>
        <v>153.1</v>
      </c>
      <c r="F304" s="2" t="n">
        <f aca="false">IFERROR(__xludf.dummyfunction("""COMPUTED_VALUE"""),4247884)</f>
        <v>4247884</v>
      </c>
    </row>
    <row r="305" customFormat="false" ht="15.75" hidden="false" customHeight="false" outlineLevel="0" collapsed="false">
      <c r="A305" s="3" t="n">
        <f aca="false">IFERROR(__xludf.dummyfunction("""COMPUTED_VALUE"""),44637.6666666667)</f>
        <v>44637.6666666667</v>
      </c>
      <c r="B305" s="2" t="n">
        <f aca="false">IFERROR(__xludf.dummyfunction("""COMPUTED_VALUE"""),152.64)</f>
        <v>152.64</v>
      </c>
      <c r="C305" s="2" t="n">
        <f aca="false">IFERROR(__xludf.dummyfunction("""COMPUTED_VALUE"""),157.5)</f>
        <v>157.5</v>
      </c>
      <c r="D305" s="2" t="n">
        <f aca="false">IFERROR(__xludf.dummyfunction("""COMPUTED_VALUE"""),152.14)</f>
        <v>152.14</v>
      </c>
      <c r="E305" s="2" t="n">
        <f aca="false">IFERROR(__xludf.dummyfunction("""COMPUTED_VALUE"""),157.24)</f>
        <v>157.24</v>
      </c>
      <c r="F305" s="2" t="n">
        <f aca="false">IFERROR(__xludf.dummyfunction("""COMPUTED_VALUE"""),3646742)</f>
        <v>3646742</v>
      </c>
    </row>
    <row r="306" customFormat="false" ht="15.75" hidden="false" customHeight="false" outlineLevel="0" collapsed="false">
      <c r="A306" s="3" t="n">
        <f aca="false">IFERROR(__xludf.dummyfunction("""COMPUTED_VALUE"""),44638.6666666667)</f>
        <v>44638.6666666667</v>
      </c>
      <c r="B306" s="2" t="n">
        <f aca="false">IFERROR(__xludf.dummyfunction("""COMPUTED_VALUE"""),156.81)</f>
        <v>156.81</v>
      </c>
      <c r="C306" s="2" t="n">
        <f aca="false">IFERROR(__xludf.dummyfunction("""COMPUTED_VALUE"""),161.59)</f>
        <v>161.59</v>
      </c>
      <c r="D306" s="2" t="n">
        <f aca="false">IFERROR(__xludf.dummyfunction("""COMPUTED_VALUE"""),156.01)</f>
        <v>156.01</v>
      </c>
      <c r="E306" s="2" t="n">
        <f aca="false">IFERROR(__xludf.dummyfunction("""COMPUTED_VALUE"""),161.25)</f>
        <v>161.25</v>
      </c>
      <c r="F306" s="2" t="n">
        <f aca="false">IFERROR(__xludf.dummyfunction("""COMPUTED_VALUE"""),5148138)</f>
        <v>5148138</v>
      </c>
    </row>
    <row r="307" customFormat="false" ht="15.75" hidden="false" customHeight="false" outlineLevel="0" collapsed="false">
      <c r="A307" s="3" t="n">
        <f aca="false">IFERROR(__xludf.dummyfunction("""COMPUTED_VALUE"""),44641.6666666667)</f>
        <v>44641.6666666667</v>
      </c>
      <c r="B307" s="2" t="n">
        <f aca="false">IFERROR(__xludf.dummyfunction("""COMPUTED_VALUE"""),161.12)</f>
        <v>161.12</v>
      </c>
      <c r="C307" s="2" t="n">
        <f aca="false">IFERROR(__xludf.dummyfunction("""COMPUTED_VALUE"""),163.08)</f>
        <v>163.08</v>
      </c>
      <c r="D307" s="2" t="n">
        <f aca="false">IFERROR(__xludf.dummyfunction("""COMPUTED_VALUE"""),159.55)</f>
        <v>159.55</v>
      </c>
      <c r="E307" s="2" t="n">
        <f aca="false">IFERROR(__xludf.dummyfunction("""COMPUTED_VALUE"""),161.49)</f>
        <v>161.49</v>
      </c>
      <c r="F307" s="2" t="n">
        <f aca="false">IFERROR(__xludf.dummyfunction("""COMPUTED_VALUE"""),3326876)</f>
        <v>3326876</v>
      </c>
    </row>
    <row r="308" customFormat="false" ht="15.75" hidden="false" customHeight="false" outlineLevel="0" collapsed="false">
      <c r="A308" s="3" t="n">
        <f aca="false">IFERROR(__xludf.dummyfunction("""COMPUTED_VALUE"""),44642.6666666667)</f>
        <v>44642.6666666667</v>
      </c>
      <c r="B308" s="2" t="n">
        <f aca="false">IFERROR(__xludf.dummyfunction("""COMPUTED_VALUE"""),161.81)</f>
        <v>161.81</v>
      </c>
      <c r="C308" s="2" t="n">
        <f aca="false">IFERROR(__xludf.dummyfunction("""COMPUTED_VALUE"""),166.17)</f>
        <v>166.17</v>
      </c>
      <c r="D308" s="2" t="n">
        <f aca="false">IFERROR(__xludf.dummyfunction("""COMPUTED_VALUE"""),161.7)</f>
        <v>161.7</v>
      </c>
      <c r="E308" s="2" t="n">
        <f aca="false">IFERROR(__xludf.dummyfunction("""COMPUTED_VALUE"""),164.89)</f>
        <v>164.89</v>
      </c>
      <c r="F308" s="2" t="n">
        <f aca="false">IFERROR(__xludf.dummyfunction("""COMPUTED_VALUE"""),3204306)</f>
        <v>3204306</v>
      </c>
    </row>
    <row r="309" customFormat="false" ht="15.75" hidden="false" customHeight="false" outlineLevel="0" collapsed="false">
      <c r="A309" s="3" t="n">
        <f aca="false">IFERROR(__xludf.dummyfunction("""COMPUTED_VALUE"""),44643.6666666667)</f>
        <v>44643.6666666667</v>
      </c>
      <c r="B309" s="2" t="n">
        <f aca="false">IFERROR(__xludf.dummyfunction("""COMPUTED_VALUE"""),163.71)</f>
        <v>163.71</v>
      </c>
      <c r="C309" s="2" t="n">
        <f aca="false">IFERROR(__xludf.dummyfunction("""COMPUTED_VALUE"""),166.37)</f>
        <v>166.37</v>
      </c>
      <c r="D309" s="2" t="n">
        <f aca="false">IFERROR(__xludf.dummyfunction("""COMPUTED_VALUE"""),162.69)</f>
        <v>162.69</v>
      </c>
      <c r="E309" s="2" t="n">
        <f aca="false">IFERROR(__xludf.dummyfunction("""COMPUTED_VALUE"""),163.41)</f>
        <v>163.41</v>
      </c>
      <c r="F309" s="2" t="n">
        <f aca="false">IFERROR(__xludf.dummyfunction("""COMPUTED_VALUE"""),2790593)</f>
        <v>2790593</v>
      </c>
    </row>
    <row r="310" customFormat="false" ht="15.75" hidden="false" customHeight="false" outlineLevel="0" collapsed="false">
      <c r="A310" s="3" t="n">
        <f aca="false">IFERROR(__xludf.dummyfunction("""COMPUTED_VALUE"""),44644.6666666667)</f>
        <v>44644.6666666667</v>
      </c>
      <c r="B310" s="2" t="n">
        <f aca="false">IFERROR(__xludf.dummyfunction("""COMPUTED_VALUE"""),163.75)</f>
        <v>163.75</v>
      </c>
      <c r="C310" s="2" t="n">
        <f aca="false">IFERROR(__xludf.dummyfunction("""COMPUTED_VALUE"""),164.12)</f>
        <v>164.12</v>
      </c>
      <c r="D310" s="2" t="n">
        <f aca="false">IFERROR(__xludf.dummyfunction("""COMPUTED_VALUE"""),160.05)</f>
        <v>160.05</v>
      </c>
      <c r="E310" s="2" t="n">
        <f aca="false">IFERROR(__xludf.dummyfunction("""COMPUTED_VALUE"""),163.65)</f>
        <v>163.65</v>
      </c>
      <c r="F310" s="2" t="n">
        <f aca="false">IFERROR(__xludf.dummyfunction("""COMPUTED_VALUE"""),2839903)</f>
        <v>2839903</v>
      </c>
    </row>
    <row r="311" customFormat="false" ht="15.75" hidden="false" customHeight="false" outlineLevel="0" collapsed="false">
      <c r="A311" s="3" t="n">
        <f aca="false">IFERROR(__xludf.dummyfunction("""COMPUTED_VALUE"""),44645.6666666667)</f>
        <v>44645.6666666667</v>
      </c>
      <c r="B311" s="2" t="n">
        <f aca="false">IFERROR(__xludf.dummyfunction("""COMPUTED_VALUE"""),164)</f>
        <v>164</v>
      </c>
      <c r="C311" s="2" t="n">
        <f aca="false">IFERROR(__xludf.dummyfunction("""COMPUTED_VALUE"""),165.37)</f>
        <v>165.37</v>
      </c>
      <c r="D311" s="2" t="n">
        <f aca="false">IFERROR(__xludf.dummyfunction("""COMPUTED_VALUE"""),162.25)</f>
        <v>162.25</v>
      </c>
      <c r="E311" s="2" t="n">
        <f aca="false">IFERROR(__xludf.dummyfunction("""COMPUTED_VALUE"""),164.77)</f>
        <v>164.77</v>
      </c>
      <c r="F311" s="2" t="n">
        <f aca="false">IFERROR(__xludf.dummyfunction("""COMPUTED_VALUE"""),2454275)</f>
        <v>2454275</v>
      </c>
    </row>
    <row r="312" customFormat="false" ht="15.75" hidden="false" customHeight="false" outlineLevel="0" collapsed="false">
      <c r="A312" s="3" t="n">
        <f aca="false">IFERROR(__xludf.dummyfunction("""COMPUTED_VALUE"""),44648.6666666667)</f>
        <v>44648.6666666667</v>
      </c>
      <c r="B312" s="2" t="n">
        <f aca="false">IFERROR(__xludf.dummyfunction("""COMPUTED_VALUE"""),164.98)</f>
        <v>164.98</v>
      </c>
      <c r="C312" s="2" t="n">
        <f aca="false">IFERROR(__xludf.dummyfunction("""COMPUTED_VALUE"""),169.04)</f>
        <v>169.04</v>
      </c>
      <c r="D312" s="2" t="n">
        <f aca="false">IFERROR(__xludf.dummyfunction("""COMPUTED_VALUE"""),164.9)</f>
        <v>164.9</v>
      </c>
      <c r="E312" s="2" t="n">
        <f aca="false">IFERROR(__xludf.dummyfunction("""COMPUTED_VALUE"""),168.99)</f>
        <v>168.99</v>
      </c>
      <c r="F312" s="2" t="n">
        <f aca="false">IFERROR(__xludf.dummyfunction("""COMPUTED_VALUE"""),2992691)</f>
        <v>2992691</v>
      </c>
    </row>
    <row r="313" customFormat="false" ht="15.75" hidden="false" customHeight="false" outlineLevel="0" collapsed="false">
      <c r="A313" s="3" t="n">
        <f aca="false">IFERROR(__xludf.dummyfunction("""COMPUTED_VALUE"""),44649.6666666667)</f>
        <v>44649.6666666667</v>
      </c>
      <c r="B313" s="2" t="n">
        <f aca="false">IFERROR(__xludf.dummyfunction("""COMPUTED_VALUE"""),170.38)</f>
        <v>170.38</v>
      </c>
      <c r="C313" s="2" t="n">
        <f aca="false">IFERROR(__xludf.dummyfunction("""COMPUTED_VALUE"""),170.83)</f>
        <v>170.83</v>
      </c>
      <c r="D313" s="2" t="n">
        <f aca="false">IFERROR(__xludf.dummyfunction("""COMPUTED_VALUE"""),167.87)</f>
        <v>167.87</v>
      </c>
      <c r="E313" s="2" t="n">
        <f aca="false">IFERROR(__xludf.dummyfunction("""COMPUTED_VALUE"""),169.32)</f>
        <v>169.32</v>
      </c>
      <c r="F313" s="2" t="n">
        <f aca="false">IFERROR(__xludf.dummyfunction("""COMPUTED_VALUE"""),3307680)</f>
        <v>3307680</v>
      </c>
    </row>
    <row r="314" customFormat="false" ht="15.75" hidden="false" customHeight="false" outlineLevel="0" collapsed="false">
      <c r="A314" s="3" t="n">
        <f aca="false">IFERROR(__xludf.dummyfunction("""COMPUTED_VALUE"""),44650.6666666667)</f>
        <v>44650.6666666667</v>
      </c>
      <c r="B314" s="2" t="n">
        <f aca="false">IFERROR(__xludf.dummyfunction("""COMPUTED_VALUE"""),168.51)</f>
        <v>168.51</v>
      </c>
      <c r="C314" s="2" t="n">
        <f aca="false">IFERROR(__xludf.dummyfunction("""COMPUTED_VALUE"""),168.95)</f>
        <v>168.95</v>
      </c>
      <c r="D314" s="2" t="n">
        <f aca="false">IFERROR(__xludf.dummyfunction("""COMPUTED_VALUE"""),165.5)</f>
        <v>165.5</v>
      </c>
      <c r="E314" s="2" t="n">
        <f aca="false">IFERROR(__xludf.dummyfunction("""COMPUTED_VALUE"""),166.3)</f>
        <v>166.3</v>
      </c>
      <c r="F314" s="2" t="n">
        <f aca="false">IFERROR(__xludf.dummyfunction("""COMPUTED_VALUE"""),2808363)</f>
        <v>2808363</v>
      </c>
    </row>
    <row r="315" customFormat="false" ht="15.75" hidden="false" customHeight="false" outlineLevel="0" collapsed="false">
      <c r="A315" s="3" t="n">
        <f aca="false">IFERROR(__xludf.dummyfunction("""COMPUTED_VALUE"""),44651.6666666667)</f>
        <v>44651.6666666667</v>
      </c>
      <c r="B315" s="2" t="n">
        <f aca="false">IFERROR(__xludf.dummyfunction("""COMPUTED_VALUE"""),166.44)</f>
        <v>166.44</v>
      </c>
      <c r="C315" s="2" t="n">
        <f aca="false">IFERROR(__xludf.dummyfunction("""COMPUTED_VALUE"""),166.5)</f>
        <v>166.5</v>
      </c>
      <c r="D315" s="2" t="n">
        <f aca="false">IFERROR(__xludf.dummyfunction("""COMPUTED_VALUE"""),162.95)</f>
        <v>162.95</v>
      </c>
      <c r="E315" s="2" t="n">
        <f aca="false">IFERROR(__xludf.dummyfunction("""COMPUTED_VALUE"""),163)</f>
        <v>163</v>
      </c>
      <c r="F315" s="2" t="n">
        <f aca="false">IFERROR(__xludf.dummyfunction("""COMPUTED_VALUE"""),2998289)</f>
        <v>2998289</v>
      </c>
    </row>
    <row r="316" customFormat="false" ht="15.75" hidden="false" customHeight="false" outlineLevel="0" collapsed="false">
      <c r="A316" s="3" t="n">
        <f aca="false">IFERROR(__xludf.dummyfunction("""COMPUTED_VALUE"""),44652.6666666667)</f>
        <v>44652.6666666667</v>
      </c>
      <c r="B316" s="2" t="n">
        <f aca="false">IFERROR(__xludf.dummyfunction("""COMPUTED_VALUE"""),164.15)</f>
        <v>164.15</v>
      </c>
      <c r="C316" s="2" t="n">
        <f aca="false">IFERROR(__xludf.dummyfunction("""COMPUTED_VALUE"""),165.83)</f>
        <v>165.83</v>
      </c>
      <c r="D316" s="2" t="n">
        <f aca="false">IFERROR(__xludf.dummyfunction("""COMPUTED_VALUE"""),162.32)</f>
        <v>162.32</v>
      </c>
      <c r="E316" s="2" t="n">
        <f aca="false">IFERROR(__xludf.dummyfunction("""COMPUTED_VALUE"""),163.56)</f>
        <v>163.56</v>
      </c>
      <c r="F316" s="2" t="n">
        <f aca="false">IFERROR(__xludf.dummyfunction("""COMPUTED_VALUE"""),2854475)</f>
        <v>2854475</v>
      </c>
    </row>
    <row r="317" customFormat="false" ht="15.75" hidden="false" customHeight="false" outlineLevel="0" collapsed="false">
      <c r="A317" s="3" t="n">
        <f aca="false">IFERROR(__xludf.dummyfunction("""COMPUTED_VALUE"""),44655.6666666667)</f>
        <v>44655.6666666667</v>
      </c>
      <c r="B317" s="2" t="n">
        <f aca="false">IFERROR(__xludf.dummyfunction("""COMPUTED_VALUE"""),164.13)</f>
        <v>164.13</v>
      </c>
      <c r="C317" s="2" t="n">
        <f aca="false">IFERROR(__xludf.dummyfunction("""COMPUTED_VALUE"""),168.39)</f>
        <v>168.39</v>
      </c>
      <c r="D317" s="2" t="n">
        <f aca="false">IFERROR(__xludf.dummyfunction("""COMPUTED_VALUE"""),163.21)</f>
        <v>163.21</v>
      </c>
      <c r="E317" s="2" t="n">
        <f aca="false">IFERROR(__xludf.dummyfunction("""COMPUTED_VALUE"""),168.35)</f>
        <v>168.35</v>
      </c>
      <c r="F317" s="2" t="n">
        <f aca="false">IFERROR(__xludf.dummyfunction("""COMPUTED_VALUE"""),2500398)</f>
        <v>2500398</v>
      </c>
    </row>
    <row r="318" customFormat="false" ht="15.75" hidden="false" customHeight="false" outlineLevel="0" collapsed="false">
      <c r="A318" s="3" t="n">
        <f aca="false">IFERROR(__xludf.dummyfunction("""COMPUTED_VALUE"""),44656.6666666667)</f>
        <v>44656.6666666667</v>
      </c>
      <c r="B318" s="2" t="n">
        <f aca="false">IFERROR(__xludf.dummyfunction("""COMPUTED_VALUE"""),167.74)</f>
        <v>167.74</v>
      </c>
      <c r="C318" s="2" t="n">
        <f aca="false">IFERROR(__xludf.dummyfunction("""COMPUTED_VALUE"""),168.11)</f>
        <v>168.11</v>
      </c>
      <c r="D318" s="2" t="n">
        <f aca="false">IFERROR(__xludf.dummyfunction("""COMPUTED_VALUE"""),163.27)</f>
        <v>163.27</v>
      </c>
      <c r="E318" s="2" t="n">
        <f aca="false">IFERROR(__xludf.dummyfunction("""COMPUTED_VALUE"""),164.06)</f>
        <v>164.06</v>
      </c>
      <c r="F318" s="2" t="n">
        <f aca="false">IFERROR(__xludf.dummyfunction("""COMPUTED_VALUE"""),2686428)</f>
        <v>2686428</v>
      </c>
    </row>
    <row r="319" customFormat="false" ht="15.75" hidden="false" customHeight="false" outlineLevel="0" collapsed="false">
      <c r="A319" s="3" t="n">
        <f aca="false">IFERROR(__xludf.dummyfunction("""COMPUTED_VALUE"""),44657.6666666667)</f>
        <v>44657.6666666667</v>
      </c>
      <c r="B319" s="2" t="n">
        <f aca="false">IFERROR(__xludf.dummyfunction("""COMPUTED_VALUE"""),161.65)</f>
        <v>161.65</v>
      </c>
      <c r="C319" s="2" t="n">
        <f aca="false">IFERROR(__xludf.dummyfunction("""COMPUTED_VALUE"""),162.2)</f>
        <v>162.2</v>
      </c>
      <c r="D319" s="2" t="n">
        <f aca="false">IFERROR(__xludf.dummyfunction("""COMPUTED_VALUE"""),157.25)</f>
        <v>157.25</v>
      </c>
      <c r="E319" s="2" t="n">
        <f aca="false">IFERROR(__xludf.dummyfunction("""COMPUTED_VALUE"""),158.76)</f>
        <v>158.76</v>
      </c>
      <c r="F319" s="2" t="n">
        <f aca="false">IFERROR(__xludf.dummyfunction("""COMPUTED_VALUE"""),3952788)</f>
        <v>3952788</v>
      </c>
    </row>
    <row r="320" customFormat="false" ht="15.75" hidden="false" customHeight="false" outlineLevel="0" collapsed="false">
      <c r="A320" s="3" t="n">
        <f aca="false">IFERROR(__xludf.dummyfunction("""COMPUTED_VALUE"""),44658.6666666667)</f>
        <v>44658.6666666667</v>
      </c>
      <c r="B320" s="2" t="n">
        <f aca="false">IFERROR(__xludf.dummyfunction("""COMPUTED_VALUE"""),158.4)</f>
        <v>158.4</v>
      </c>
      <c r="C320" s="2" t="n">
        <f aca="false">IFERROR(__xludf.dummyfunction("""COMPUTED_VALUE"""),160.08)</f>
        <v>160.08</v>
      </c>
      <c r="D320" s="2" t="n">
        <f aca="false">IFERROR(__xludf.dummyfunction("""COMPUTED_VALUE"""),154.51)</f>
        <v>154.51</v>
      </c>
      <c r="E320" s="2" t="n">
        <f aca="false">IFERROR(__xludf.dummyfunction("""COMPUTED_VALUE"""),157.78)</f>
        <v>157.78</v>
      </c>
      <c r="F320" s="2" t="n">
        <f aca="false">IFERROR(__xludf.dummyfunction("""COMPUTED_VALUE"""),3406839)</f>
        <v>3406839</v>
      </c>
    </row>
    <row r="321" customFormat="false" ht="15.75" hidden="false" customHeight="false" outlineLevel="0" collapsed="false">
      <c r="A321" s="3" t="n">
        <f aca="false">IFERROR(__xludf.dummyfunction("""COMPUTED_VALUE"""),44659.6666666667)</f>
        <v>44659.6666666667</v>
      </c>
      <c r="B321" s="2" t="n">
        <f aca="false">IFERROR(__xludf.dummyfunction("""COMPUTED_VALUE"""),156.75)</f>
        <v>156.75</v>
      </c>
      <c r="C321" s="2" t="n">
        <f aca="false">IFERROR(__xludf.dummyfunction("""COMPUTED_VALUE"""),157.37)</f>
        <v>157.37</v>
      </c>
      <c r="D321" s="2" t="n">
        <f aca="false">IFERROR(__xludf.dummyfunction("""COMPUTED_VALUE"""),154.23)</f>
        <v>154.23</v>
      </c>
      <c r="E321" s="2" t="n">
        <f aca="false">IFERROR(__xludf.dummyfunction("""COMPUTED_VALUE"""),154.46)</f>
        <v>154.46</v>
      </c>
      <c r="F321" s="2" t="n">
        <f aca="false">IFERROR(__xludf.dummyfunction("""COMPUTED_VALUE"""),2300083)</f>
        <v>2300083</v>
      </c>
    </row>
    <row r="322" customFormat="false" ht="15.75" hidden="false" customHeight="false" outlineLevel="0" collapsed="false">
      <c r="A322" s="3" t="n">
        <f aca="false">IFERROR(__xludf.dummyfunction("""COMPUTED_VALUE"""),44662.6666666667)</f>
        <v>44662.6666666667</v>
      </c>
      <c r="B322" s="2" t="n">
        <f aca="false">IFERROR(__xludf.dummyfunction("""COMPUTED_VALUE"""),152.71)</f>
        <v>152.71</v>
      </c>
      <c r="C322" s="2" t="n">
        <f aca="false">IFERROR(__xludf.dummyfunction("""COMPUTED_VALUE"""),154.14)</f>
        <v>154.14</v>
      </c>
      <c r="D322" s="2" t="n">
        <f aca="false">IFERROR(__xludf.dummyfunction("""COMPUTED_VALUE"""),150.53)</f>
        <v>150.53</v>
      </c>
      <c r="E322" s="2" t="n">
        <f aca="false">IFERROR(__xludf.dummyfunction("""COMPUTED_VALUE"""),151.12)</f>
        <v>151.12</v>
      </c>
      <c r="F322" s="2" t="n">
        <f aca="false">IFERROR(__xludf.dummyfunction("""COMPUTED_VALUE"""),2605617)</f>
        <v>2605617</v>
      </c>
    </row>
    <row r="323" customFormat="false" ht="15.75" hidden="false" customHeight="false" outlineLevel="0" collapsed="false">
      <c r="A323" s="3" t="n">
        <f aca="false">IFERROR(__xludf.dummyfunction("""COMPUTED_VALUE"""),44663.6666666667)</f>
        <v>44663.6666666667</v>
      </c>
      <c r="B323" s="2" t="n">
        <f aca="false">IFERROR(__xludf.dummyfunction("""COMPUTED_VALUE"""),153.69)</f>
        <v>153.69</v>
      </c>
      <c r="C323" s="2" t="n">
        <f aca="false">IFERROR(__xludf.dummyfunction("""COMPUTED_VALUE"""),155.1)</f>
        <v>155.1</v>
      </c>
      <c r="D323" s="2" t="n">
        <f aca="false">IFERROR(__xludf.dummyfunction("""COMPUTED_VALUE"""),150.38)</f>
        <v>150.38</v>
      </c>
      <c r="E323" s="2" t="n">
        <f aca="false">IFERROR(__xludf.dummyfunction("""COMPUTED_VALUE"""),150.79)</f>
        <v>150.79</v>
      </c>
      <c r="F323" s="2" t="n">
        <f aca="false">IFERROR(__xludf.dummyfunction("""COMPUTED_VALUE"""),2758872)</f>
        <v>2758872</v>
      </c>
    </row>
    <row r="324" customFormat="false" ht="15.75" hidden="false" customHeight="false" outlineLevel="0" collapsed="false">
      <c r="A324" s="3" t="n">
        <f aca="false">IFERROR(__xludf.dummyfunction("""COMPUTED_VALUE"""),44664.6666666667)</f>
        <v>44664.6666666667</v>
      </c>
      <c r="B324" s="2" t="n">
        <f aca="false">IFERROR(__xludf.dummyfunction("""COMPUTED_VALUE"""),150.02)</f>
        <v>150.02</v>
      </c>
      <c r="C324" s="2" t="n">
        <f aca="false">IFERROR(__xludf.dummyfunction("""COMPUTED_VALUE"""),156.03)</f>
        <v>156.03</v>
      </c>
      <c r="D324" s="2" t="n">
        <f aca="false">IFERROR(__xludf.dummyfunction("""COMPUTED_VALUE"""),149.6)</f>
        <v>149.6</v>
      </c>
      <c r="E324" s="2" t="n">
        <f aca="false">IFERROR(__xludf.dummyfunction("""COMPUTED_VALUE"""),155.54)</f>
        <v>155.54</v>
      </c>
      <c r="F324" s="2" t="n">
        <f aca="false">IFERROR(__xludf.dummyfunction("""COMPUTED_VALUE"""),2669544)</f>
        <v>2669544</v>
      </c>
    </row>
    <row r="325" customFormat="false" ht="15.75" hidden="false" customHeight="false" outlineLevel="0" collapsed="false">
      <c r="A325" s="3" t="n">
        <f aca="false">IFERROR(__xludf.dummyfunction("""COMPUTED_VALUE"""),44665.6666666667)</f>
        <v>44665.6666666667</v>
      </c>
      <c r="B325" s="2" t="n">
        <f aca="false">IFERROR(__xludf.dummyfunction("""COMPUTED_VALUE"""),155.39)</f>
        <v>155.39</v>
      </c>
      <c r="C325" s="2" t="n">
        <f aca="false">IFERROR(__xludf.dummyfunction("""COMPUTED_VALUE"""),155.9)</f>
        <v>155.9</v>
      </c>
      <c r="D325" s="2" t="n">
        <f aca="false">IFERROR(__xludf.dummyfunction("""COMPUTED_VALUE"""),151.47)</f>
        <v>151.47</v>
      </c>
      <c r="E325" s="2" t="n">
        <f aca="false">IFERROR(__xludf.dummyfunction("""COMPUTED_VALUE"""),151.71)</f>
        <v>151.71</v>
      </c>
      <c r="F325" s="2" t="n">
        <f aca="false">IFERROR(__xludf.dummyfunction("""COMPUTED_VALUE"""),2579907)</f>
        <v>2579907</v>
      </c>
    </row>
    <row r="326" customFormat="false" ht="15.75" hidden="false" customHeight="false" outlineLevel="0" collapsed="false">
      <c r="A326" s="3" t="n">
        <f aca="false">IFERROR(__xludf.dummyfunction("""COMPUTED_VALUE"""),44669.6666666667)</f>
        <v>44669.6666666667</v>
      </c>
      <c r="B326" s="2" t="n">
        <f aca="false">IFERROR(__xludf.dummyfunction("""COMPUTED_VALUE"""),151.52)</f>
        <v>151.52</v>
      </c>
      <c r="C326" s="2" t="n">
        <f aca="false">IFERROR(__xludf.dummyfunction("""COMPUTED_VALUE"""),154.04)</f>
        <v>154.04</v>
      </c>
      <c r="D326" s="2" t="n">
        <f aca="false">IFERROR(__xludf.dummyfunction("""COMPUTED_VALUE"""),150.25)</f>
        <v>150.25</v>
      </c>
      <c r="E326" s="2" t="n">
        <f aca="false">IFERROR(__xludf.dummyfunction("""COMPUTED_VALUE"""),152.79)</f>
        <v>152.79</v>
      </c>
      <c r="F326" s="2" t="n">
        <f aca="false">IFERROR(__xludf.dummyfunction("""COMPUTED_VALUE"""),2325676)</f>
        <v>2325676</v>
      </c>
    </row>
    <row r="327" customFormat="false" ht="15.75" hidden="false" customHeight="false" outlineLevel="0" collapsed="false">
      <c r="A327" s="3" t="n">
        <f aca="false">IFERROR(__xludf.dummyfunction("""COMPUTED_VALUE"""),44670.6666666667)</f>
        <v>44670.6666666667</v>
      </c>
      <c r="B327" s="2" t="n">
        <f aca="false">IFERROR(__xludf.dummyfunction("""COMPUTED_VALUE"""),152.03)</f>
        <v>152.03</v>
      </c>
      <c r="C327" s="2" t="n">
        <f aca="false">IFERROR(__xludf.dummyfunction("""COMPUTED_VALUE"""),158.65)</f>
        <v>158.65</v>
      </c>
      <c r="D327" s="2" t="n">
        <f aca="false">IFERROR(__xludf.dummyfunction("""COMPUTED_VALUE"""),151.55)</f>
        <v>151.55</v>
      </c>
      <c r="E327" s="2" t="n">
        <f aca="false">IFERROR(__xludf.dummyfunction("""COMPUTED_VALUE"""),158.12)</f>
        <v>158.12</v>
      </c>
      <c r="F327" s="2" t="n">
        <f aca="false">IFERROR(__xludf.dummyfunction("""COMPUTED_VALUE"""),2746321)</f>
        <v>2746321</v>
      </c>
    </row>
    <row r="328" customFormat="false" ht="15.75" hidden="false" customHeight="false" outlineLevel="0" collapsed="false">
      <c r="A328" s="3" t="n">
        <f aca="false">IFERROR(__xludf.dummyfunction("""COMPUTED_VALUE"""),44671.6666666667)</f>
        <v>44671.6666666667</v>
      </c>
      <c r="B328" s="2" t="n">
        <f aca="false">IFERROR(__xludf.dummyfunction("""COMPUTED_VALUE"""),157.6)</f>
        <v>157.6</v>
      </c>
      <c r="C328" s="2" t="n">
        <f aca="false">IFERROR(__xludf.dummyfunction("""COMPUTED_VALUE"""),157.6)</f>
        <v>157.6</v>
      </c>
      <c r="D328" s="2" t="n">
        <f aca="false">IFERROR(__xludf.dummyfunction("""COMPUTED_VALUE"""),153.6)</f>
        <v>153.6</v>
      </c>
      <c r="E328" s="2" t="n">
        <f aca="false">IFERROR(__xludf.dummyfunction("""COMPUTED_VALUE"""),154)</f>
        <v>154</v>
      </c>
      <c r="F328" s="2" t="n">
        <f aca="false">IFERROR(__xludf.dummyfunction("""COMPUTED_VALUE"""),2981501)</f>
        <v>2981501</v>
      </c>
    </row>
    <row r="329" customFormat="false" ht="15.75" hidden="false" customHeight="false" outlineLevel="0" collapsed="false">
      <c r="A329" s="3" t="n">
        <f aca="false">IFERROR(__xludf.dummyfunction("""COMPUTED_VALUE"""),44672.6666666667)</f>
        <v>44672.6666666667</v>
      </c>
      <c r="B329" s="2" t="n">
        <f aca="false">IFERROR(__xludf.dummyfunction("""COMPUTED_VALUE"""),154.71)</f>
        <v>154.71</v>
      </c>
      <c r="C329" s="2" t="n">
        <f aca="false">IFERROR(__xludf.dummyfunction("""COMPUTED_VALUE"""),156.74)</f>
        <v>156.74</v>
      </c>
      <c r="D329" s="2" t="n">
        <f aca="false">IFERROR(__xludf.dummyfunction("""COMPUTED_VALUE"""),147.59)</f>
        <v>147.59</v>
      </c>
      <c r="E329" s="2" t="n">
        <f aca="false">IFERROR(__xludf.dummyfunction("""COMPUTED_VALUE"""),148.3)</f>
        <v>148.3</v>
      </c>
      <c r="F329" s="2" t="n">
        <f aca="false">IFERROR(__xludf.dummyfunction("""COMPUTED_VALUE"""),3198466)</f>
        <v>3198466</v>
      </c>
    </row>
    <row r="330" customFormat="false" ht="15.75" hidden="false" customHeight="false" outlineLevel="0" collapsed="false">
      <c r="A330" s="3" t="n">
        <f aca="false">IFERROR(__xludf.dummyfunction("""COMPUTED_VALUE"""),44673.6666666667)</f>
        <v>44673.6666666667</v>
      </c>
      <c r="B330" s="2" t="n">
        <f aca="false">IFERROR(__xludf.dummyfunction("""COMPUTED_VALUE"""),148.25)</f>
        <v>148.25</v>
      </c>
      <c r="C330" s="2" t="n">
        <f aca="false">IFERROR(__xludf.dummyfunction("""COMPUTED_VALUE"""),149.62)</f>
        <v>149.62</v>
      </c>
      <c r="D330" s="2" t="n">
        <f aca="false">IFERROR(__xludf.dummyfunction("""COMPUTED_VALUE"""),143.7)</f>
        <v>143.7</v>
      </c>
      <c r="E330" s="2" t="n">
        <f aca="false">IFERROR(__xludf.dummyfunction("""COMPUTED_VALUE"""),144.35)</f>
        <v>144.35</v>
      </c>
      <c r="F330" s="2" t="n">
        <f aca="false">IFERROR(__xludf.dummyfunction("""COMPUTED_VALUE"""),3653929)</f>
        <v>3653929</v>
      </c>
    </row>
    <row r="331" customFormat="false" ht="15.75" hidden="false" customHeight="false" outlineLevel="0" collapsed="false">
      <c r="A331" s="3" t="n">
        <f aca="false">IFERROR(__xludf.dummyfunction("""COMPUTED_VALUE"""),44676.6666666667)</f>
        <v>44676.6666666667</v>
      </c>
      <c r="B331" s="2" t="n">
        <f aca="false">IFERROR(__xludf.dummyfunction("""COMPUTED_VALUE"""),144.02)</f>
        <v>144.02</v>
      </c>
      <c r="C331" s="2" t="n">
        <f aca="false">IFERROR(__xludf.dummyfunction("""COMPUTED_VALUE"""),146.22)</f>
        <v>146.22</v>
      </c>
      <c r="D331" s="2" t="n">
        <f aca="false">IFERROR(__xludf.dummyfunction("""COMPUTED_VALUE"""),142.31)</f>
        <v>142.31</v>
      </c>
      <c r="E331" s="2" t="n">
        <f aca="false">IFERROR(__xludf.dummyfunction("""COMPUTED_VALUE"""),146.07)</f>
        <v>146.07</v>
      </c>
      <c r="F331" s="2" t="n">
        <f aca="false">IFERROR(__xludf.dummyfunction("""COMPUTED_VALUE"""),3093749)</f>
        <v>3093749</v>
      </c>
    </row>
    <row r="332" customFormat="false" ht="15.75" hidden="false" customHeight="false" outlineLevel="0" collapsed="false">
      <c r="A332" s="3" t="n">
        <f aca="false">IFERROR(__xludf.dummyfunction("""COMPUTED_VALUE"""),44677.6666666667)</f>
        <v>44677.6666666667</v>
      </c>
      <c r="B332" s="2" t="n">
        <f aca="false">IFERROR(__xludf.dummyfunction("""COMPUTED_VALUE"""),144.8)</f>
        <v>144.8</v>
      </c>
      <c r="C332" s="2" t="n">
        <f aca="false">IFERROR(__xludf.dummyfunction("""COMPUTED_VALUE"""),144.86)</f>
        <v>144.86</v>
      </c>
      <c r="D332" s="2" t="n">
        <f aca="false">IFERROR(__xludf.dummyfunction("""COMPUTED_VALUE"""),138.93)</f>
        <v>138.93</v>
      </c>
      <c r="E332" s="2" t="n">
        <f aca="false">IFERROR(__xludf.dummyfunction("""COMPUTED_VALUE"""),139.39)</f>
        <v>139.39</v>
      </c>
      <c r="F332" s="2" t="n">
        <f aca="false">IFERROR(__xludf.dummyfunction("""COMPUTED_VALUE"""),3876458)</f>
        <v>3876458</v>
      </c>
    </row>
    <row r="333" customFormat="false" ht="15.75" hidden="false" customHeight="false" outlineLevel="0" collapsed="false">
      <c r="A333" s="3" t="n">
        <f aca="false">IFERROR(__xludf.dummyfunction("""COMPUTED_VALUE"""),44678.6666666667)</f>
        <v>44678.6666666667</v>
      </c>
      <c r="B333" s="2" t="n">
        <f aca="false">IFERROR(__xludf.dummyfunction("""COMPUTED_VALUE"""),140.19)</f>
        <v>140.19</v>
      </c>
      <c r="C333" s="2" t="n">
        <f aca="false">IFERROR(__xludf.dummyfunction("""COMPUTED_VALUE"""),141.95)</f>
        <v>141.95</v>
      </c>
      <c r="D333" s="2" t="n">
        <f aca="false">IFERROR(__xludf.dummyfunction("""COMPUTED_VALUE"""),135.78)</f>
        <v>135.78</v>
      </c>
      <c r="E333" s="2" t="n">
        <f aca="false">IFERROR(__xludf.dummyfunction("""COMPUTED_VALUE"""),138.17)</f>
        <v>138.17</v>
      </c>
      <c r="F333" s="2" t="n">
        <f aca="false">IFERROR(__xludf.dummyfunction("""COMPUTED_VALUE"""),3566815)</f>
        <v>3566815</v>
      </c>
    </row>
    <row r="334" customFormat="false" ht="15.75" hidden="false" customHeight="false" outlineLevel="0" collapsed="false">
      <c r="A334" s="3" t="n">
        <f aca="false">IFERROR(__xludf.dummyfunction("""COMPUTED_VALUE"""),44679.6666666667)</f>
        <v>44679.6666666667</v>
      </c>
      <c r="B334" s="2" t="n">
        <f aca="false">IFERROR(__xludf.dummyfunction("""COMPUTED_VALUE"""),142.18)</f>
        <v>142.18</v>
      </c>
      <c r="C334" s="2" t="n">
        <f aca="false">IFERROR(__xludf.dummyfunction("""COMPUTED_VALUE"""),145.94)</f>
        <v>145.94</v>
      </c>
      <c r="D334" s="2" t="n">
        <f aca="false">IFERROR(__xludf.dummyfunction("""COMPUTED_VALUE"""),140.3)</f>
        <v>140.3</v>
      </c>
      <c r="E334" s="2" t="n">
        <f aca="false">IFERROR(__xludf.dummyfunction("""COMPUTED_VALUE"""),144.6)</f>
        <v>144.6</v>
      </c>
      <c r="F334" s="2" t="n">
        <f aca="false">IFERROR(__xludf.dummyfunction("""COMPUTED_VALUE"""),5865847)</f>
        <v>5865847</v>
      </c>
    </row>
    <row r="335" customFormat="false" ht="15.75" hidden="false" customHeight="false" outlineLevel="0" collapsed="false">
      <c r="A335" s="3" t="n">
        <f aca="false">IFERROR(__xludf.dummyfunction("""COMPUTED_VALUE"""),44680.6666666667)</f>
        <v>44680.6666666667</v>
      </c>
      <c r="B335" s="2" t="n">
        <f aca="false">IFERROR(__xludf.dummyfunction("""COMPUTED_VALUE"""),129.85)</f>
        <v>129.85</v>
      </c>
      <c r="C335" s="2" t="n">
        <f aca="false">IFERROR(__xludf.dummyfunction("""COMPUTED_VALUE"""),130.76)</f>
        <v>130.76</v>
      </c>
      <c r="D335" s="2" t="n">
        <f aca="false">IFERROR(__xludf.dummyfunction("""COMPUTED_VALUE"""),121.63)</f>
        <v>121.63</v>
      </c>
      <c r="E335" s="2" t="n">
        <f aca="false">IFERROR(__xludf.dummyfunction("""COMPUTED_VALUE"""),124.28)</f>
        <v>124.28</v>
      </c>
      <c r="F335" s="2" t="n">
        <f aca="false">IFERROR(__xludf.dummyfunction("""COMPUTED_VALUE"""),13633086)</f>
        <v>13633086</v>
      </c>
    </row>
    <row r="336" customFormat="false" ht="15.75" hidden="false" customHeight="false" outlineLevel="0" collapsed="false">
      <c r="A336" s="3" t="n">
        <f aca="false">IFERROR(__xludf.dummyfunction("""COMPUTED_VALUE"""),44683.6666666667)</f>
        <v>44683.6666666667</v>
      </c>
      <c r="B336" s="2" t="n">
        <f aca="false">IFERROR(__xludf.dummyfunction("""COMPUTED_VALUE"""),122.4)</f>
        <v>122.4</v>
      </c>
      <c r="C336" s="2" t="n">
        <f aca="false">IFERROR(__xludf.dummyfunction("""COMPUTED_VALUE"""),124.67)</f>
        <v>124.67</v>
      </c>
      <c r="D336" s="2" t="n">
        <f aca="false">IFERROR(__xludf.dummyfunction("""COMPUTED_VALUE"""),118.38)</f>
        <v>118.38</v>
      </c>
      <c r="E336" s="2" t="n">
        <f aca="false">IFERROR(__xludf.dummyfunction("""COMPUTED_VALUE"""),124.5)</f>
        <v>124.5</v>
      </c>
      <c r="F336" s="2" t="n">
        <f aca="false">IFERROR(__xludf.dummyfunction("""COMPUTED_VALUE"""),7439449)</f>
        <v>7439449</v>
      </c>
    </row>
    <row r="337" customFormat="false" ht="15.75" hidden="false" customHeight="false" outlineLevel="0" collapsed="false">
      <c r="A337" s="3" t="n">
        <f aca="false">IFERROR(__xludf.dummyfunction("""COMPUTED_VALUE"""),44684.6666666667)</f>
        <v>44684.6666666667</v>
      </c>
      <c r="B337" s="2" t="n">
        <f aca="false">IFERROR(__xludf.dummyfunction("""COMPUTED_VALUE"""),124.05)</f>
        <v>124.05</v>
      </c>
      <c r="C337" s="2" t="n">
        <f aca="false">IFERROR(__xludf.dummyfunction("""COMPUTED_VALUE"""),126.22)</f>
        <v>126.22</v>
      </c>
      <c r="D337" s="2" t="n">
        <f aca="false">IFERROR(__xludf.dummyfunction("""COMPUTED_VALUE"""),122.83)</f>
        <v>122.83</v>
      </c>
      <c r="E337" s="2" t="n">
        <f aca="false">IFERROR(__xludf.dummyfunction("""COMPUTED_VALUE"""),124.25)</f>
        <v>124.25</v>
      </c>
      <c r="F337" s="2" t="n">
        <f aca="false">IFERROR(__xludf.dummyfunction("""COMPUTED_VALUE"""),3956668)</f>
        <v>3956668</v>
      </c>
    </row>
    <row r="338" customFormat="false" ht="15.75" hidden="false" customHeight="false" outlineLevel="0" collapsed="false">
      <c r="A338" s="3" t="n">
        <f aca="false">IFERROR(__xludf.dummyfunction("""COMPUTED_VALUE"""),44685.6666666667)</f>
        <v>44685.6666666667</v>
      </c>
      <c r="B338" s="2" t="n">
        <f aca="false">IFERROR(__xludf.dummyfunction("""COMPUTED_VALUE"""),123.6)</f>
        <v>123.6</v>
      </c>
      <c r="C338" s="2" t="n">
        <f aca="false">IFERROR(__xludf.dummyfunction("""COMPUTED_VALUE"""),126)</f>
        <v>126</v>
      </c>
      <c r="D338" s="2" t="n">
        <f aca="false">IFERROR(__xludf.dummyfunction("""COMPUTED_VALUE"""),119.18)</f>
        <v>119.18</v>
      </c>
      <c r="E338" s="2" t="n">
        <f aca="false">IFERROR(__xludf.dummyfunction("""COMPUTED_VALUE"""),125.93)</f>
        <v>125.93</v>
      </c>
      <c r="F338" s="2" t="n">
        <f aca="false">IFERROR(__xludf.dummyfunction("""COMPUTED_VALUE"""),5537268)</f>
        <v>5537268</v>
      </c>
    </row>
    <row r="339" customFormat="false" ht="15.75" hidden="false" customHeight="false" outlineLevel="0" collapsed="false">
      <c r="A339" s="3" t="n">
        <f aca="false">IFERROR(__xludf.dummyfunction("""COMPUTED_VALUE"""),44686.6666666667)</f>
        <v>44686.6666666667</v>
      </c>
      <c r="B339" s="2" t="n">
        <f aca="false">IFERROR(__xludf.dummyfunction("""COMPUTED_VALUE"""),123)</f>
        <v>123</v>
      </c>
      <c r="C339" s="2" t="n">
        <f aca="false">IFERROR(__xludf.dummyfunction("""COMPUTED_VALUE"""),123.5)</f>
        <v>123.5</v>
      </c>
      <c r="D339" s="2" t="n">
        <f aca="false">IFERROR(__xludf.dummyfunction("""COMPUTED_VALUE"""),115.07)</f>
        <v>115.07</v>
      </c>
      <c r="E339" s="2" t="n">
        <f aca="false">IFERROR(__xludf.dummyfunction("""COMPUTED_VALUE"""),116.41)</f>
        <v>116.41</v>
      </c>
      <c r="F339" s="2" t="n">
        <f aca="false">IFERROR(__xludf.dummyfunction("""COMPUTED_VALUE"""),7219561)</f>
        <v>7219561</v>
      </c>
    </row>
    <row r="340" customFormat="false" ht="15.75" hidden="false" customHeight="false" outlineLevel="0" collapsed="false">
      <c r="A340" s="3" t="n">
        <f aca="false">IFERROR(__xludf.dummyfunction("""COMPUTED_VALUE"""),44687.6666666667)</f>
        <v>44687.6666666667</v>
      </c>
      <c r="B340" s="2" t="n">
        <f aca="false">IFERROR(__xludf.dummyfunction("""COMPUTED_VALUE"""),114.85)</f>
        <v>114.85</v>
      </c>
      <c r="C340" s="2" t="n">
        <f aca="false">IFERROR(__xludf.dummyfunction("""COMPUTED_VALUE"""),119.05)</f>
        <v>119.05</v>
      </c>
      <c r="D340" s="2" t="n">
        <f aca="false">IFERROR(__xludf.dummyfunction("""COMPUTED_VALUE"""),113.08)</f>
        <v>113.08</v>
      </c>
      <c r="E340" s="2" t="n">
        <f aca="false">IFERROR(__xludf.dummyfunction("""COMPUTED_VALUE"""),114.77)</f>
        <v>114.77</v>
      </c>
      <c r="F340" s="2" t="n">
        <f aca="false">IFERROR(__xludf.dummyfunction("""COMPUTED_VALUE"""),6212995)</f>
        <v>6212995</v>
      </c>
    </row>
    <row r="341" customFormat="false" ht="15.75" hidden="false" customHeight="false" outlineLevel="0" collapsed="false">
      <c r="A341" s="3" t="n">
        <f aca="false">IFERROR(__xludf.dummyfunction("""COMPUTED_VALUE"""),44690.6666666667)</f>
        <v>44690.6666666667</v>
      </c>
      <c r="B341" s="2" t="n">
        <f aca="false">IFERROR(__xludf.dummyfunction("""COMPUTED_VALUE"""),111.31)</f>
        <v>111.31</v>
      </c>
      <c r="C341" s="2" t="n">
        <f aca="false">IFERROR(__xludf.dummyfunction("""COMPUTED_VALUE"""),114)</f>
        <v>114</v>
      </c>
      <c r="D341" s="2" t="n">
        <f aca="false">IFERROR(__xludf.dummyfunction("""COMPUTED_VALUE"""),107.96)</f>
        <v>107.96</v>
      </c>
      <c r="E341" s="2" t="n">
        <f aca="false">IFERROR(__xludf.dummyfunction("""COMPUTED_VALUE"""),108.79)</f>
        <v>108.79</v>
      </c>
      <c r="F341" s="2" t="n">
        <f aca="false">IFERROR(__xludf.dummyfunction("""COMPUTED_VALUE"""),6406219)</f>
        <v>6406219</v>
      </c>
    </row>
    <row r="342" customFormat="false" ht="15.75" hidden="false" customHeight="false" outlineLevel="0" collapsed="false">
      <c r="A342" s="3" t="n">
        <f aca="false">IFERROR(__xludf.dummyfunction("""COMPUTED_VALUE"""),44691.6666666667)</f>
        <v>44691.6666666667</v>
      </c>
      <c r="B342" s="2" t="n">
        <f aca="false">IFERROR(__xludf.dummyfunction("""COMPUTED_VALUE"""),111.25)</f>
        <v>111.25</v>
      </c>
      <c r="C342" s="2" t="n">
        <f aca="false">IFERROR(__xludf.dummyfunction("""COMPUTED_VALUE"""),112.64)</f>
        <v>112.64</v>
      </c>
      <c r="D342" s="2" t="n">
        <f aca="false">IFERROR(__xludf.dummyfunction("""COMPUTED_VALUE"""),107.17)</f>
        <v>107.17</v>
      </c>
      <c r="E342" s="2" t="n">
        <f aca="false">IFERROR(__xludf.dummyfunction("""COMPUTED_VALUE"""),108.86)</f>
        <v>108.86</v>
      </c>
      <c r="F342" s="2" t="n">
        <f aca="false">IFERROR(__xludf.dummyfunction("""COMPUTED_VALUE"""),5271691)</f>
        <v>5271691</v>
      </c>
    </row>
    <row r="343" customFormat="false" ht="15.75" hidden="false" customHeight="false" outlineLevel="0" collapsed="false">
      <c r="A343" s="3" t="n">
        <f aca="false">IFERROR(__xludf.dummyfunction("""COMPUTED_VALUE"""),44692.6666666667)</f>
        <v>44692.6666666667</v>
      </c>
      <c r="B343" s="2" t="n">
        <f aca="false">IFERROR(__xludf.dummyfunction("""COMPUTED_VALUE"""),108.1)</f>
        <v>108.1</v>
      </c>
      <c r="C343" s="2" t="n">
        <f aca="false">IFERROR(__xludf.dummyfunction("""COMPUTED_VALUE"""),110.16)</f>
        <v>110.16</v>
      </c>
      <c r="D343" s="2" t="n">
        <f aca="false">IFERROR(__xludf.dummyfunction("""COMPUTED_VALUE"""),104.43)</f>
        <v>104.43</v>
      </c>
      <c r="E343" s="2" t="n">
        <f aca="false">IFERROR(__xludf.dummyfunction("""COMPUTED_VALUE"""),105.37)</f>
        <v>105.37</v>
      </c>
      <c r="F343" s="2" t="n">
        <f aca="false">IFERROR(__xludf.dummyfunction("""COMPUTED_VALUE"""),5485182)</f>
        <v>5485182</v>
      </c>
    </row>
    <row r="344" customFormat="false" ht="15.75" hidden="false" customHeight="false" outlineLevel="0" collapsed="false">
      <c r="A344" s="3" t="n">
        <f aca="false">IFERROR(__xludf.dummyfunction("""COMPUTED_VALUE"""),44693.6666666667)</f>
        <v>44693.6666666667</v>
      </c>
      <c r="B344" s="2" t="n">
        <f aca="false">IFERROR(__xludf.dummyfunction("""COMPUTED_VALUE"""),102.75)</f>
        <v>102.75</v>
      </c>
      <c r="C344" s="2" t="n">
        <f aca="false">IFERROR(__xludf.dummyfunction("""COMPUTED_VALUE"""),110.78)</f>
        <v>110.78</v>
      </c>
      <c r="D344" s="2" t="n">
        <f aca="false">IFERROR(__xludf.dummyfunction("""COMPUTED_VALUE"""),102.41)</f>
        <v>102.41</v>
      </c>
      <c r="E344" s="2" t="n">
        <f aca="false">IFERROR(__xludf.dummyfunction("""COMPUTED_VALUE"""),106.93)</f>
        <v>106.93</v>
      </c>
      <c r="F344" s="2" t="n">
        <f aca="false">IFERROR(__xludf.dummyfunction("""COMPUTED_VALUE"""),6601257)</f>
        <v>6601257</v>
      </c>
    </row>
    <row r="345" customFormat="false" ht="15.75" hidden="false" customHeight="false" outlineLevel="0" collapsed="false">
      <c r="A345" s="3" t="n">
        <f aca="false">IFERROR(__xludf.dummyfunction("""COMPUTED_VALUE"""),44694.6666666667)</f>
        <v>44694.6666666667</v>
      </c>
      <c r="B345" s="2" t="n">
        <f aca="false">IFERROR(__xludf.dummyfunction("""COMPUTED_VALUE"""),109.07)</f>
        <v>109.07</v>
      </c>
      <c r="C345" s="2" t="n">
        <f aca="false">IFERROR(__xludf.dummyfunction("""COMPUTED_VALUE"""),113.18)</f>
        <v>113.18</v>
      </c>
      <c r="D345" s="2" t="n">
        <f aca="false">IFERROR(__xludf.dummyfunction("""COMPUTED_VALUE"""),107.8)</f>
        <v>107.8</v>
      </c>
      <c r="E345" s="2" t="n">
        <f aca="false">IFERROR(__xludf.dummyfunction("""COMPUTED_VALUE"""),113.06)</f>
        <v>113.06</v>
      </c>
      <c r="F345" s="2" t="n">
        <f aca="false">IFERROR(__xludf.dummyfunction("""COMPUTED_VALUE"""),4684228)</f>
        <v>4684228</v>
      </c>
    </row>
    <row r="346" customFormat="false" ht="15.75" hidden="false" customHeight="false" outlineLevel="0" collapsed="false">
      <c r="A346" s="3" t="n">
        <f aca="false">IFERROR(__xludf.dummyfunction("""COMPUTED_VALUE"""),44697.6666666667)</f>
        <v>44697.6666666667</v>
      </c>
      <c r="B346" s="2" t="n">
        <f aca="false">IFERROR(__xludf.dummyfunction("""COMPUTED_VALUE"""),113.1)</f>
        <v>113.1</v>
      </c>
      <c r="C346" s="2" t="n">
        <f aca="false">IFERROR(__xludf.dummyfunction("""COMPUTED_VALUE"""),113.99)</f>
        <v>113.99</v>
      </c>
      <c r="D346" s="2" t="n">
        <f aca="false">IFERROR(__xludf.dummyfunction("""COMPUTED_VALUE"""),110.35)</f>
        <v>110.35</v>
      </c>
      <c r="E346" s="2" t="n">
        <f aca="false">IFERROR(__xludf.dummyfunction("""COMPUTED_VALUE"""),110.81)</f>
        <v>110.81</v>
      </c>
      <c r="F346" s="2" t="n">
        <f aca="false">IFERROR(__xludf.dummyfunction("""COMPUTED_VALUE"""),3728287)</f>
        <v>3728287</v>
      </c>
    </row>
    <row r="347" customFormat="false" ht="15.75" hidden="false" customHeight="false" outlineLevel="0" collapsed="false">
      <c r="A347" s="3" t="n">
        <f aca="false">IFERROR(__xludf.dummyfunction("""COMPUTED_VALUE"""),44698.6666666667)</f>
        <v>44698.6666666667</v>
      </c>
      <c r="B347" s="2" t="n">
        <f aca="false">IFERROR(__xludf.dummyfunction("""COMPUTED_VALUE"""),113.28)</f>
        <v>113.28</v>
      </c>
      <c r="C347" s="2" t="n">
        <f aca="false">IFERROR(__xludf.dummyfunction("""COMPUTED_VALUE"""),115.8)</f>
        <v>115.8</v>
      </c>
      <c r="D347" s="2" t="n">
        <f aca="false">IFERROR(__xludf.dummyfunction("""COMPUTED_VALUE"""),111.28)</f>
        <v>111.28</v>
      </c>
      <c r="E347" s="2" t="n">
        <f aca="false">IFERROR(__xludf.dummyfunction("""COMPUTED_VALUE"""),115.37)</f>
        <v>115.37</v>
      </c>
      <c r="F347" s="2" t="n">
        <f aca="false">IFERROR(__xludf.dummyfunction("""COMPUTED_VALUE"""),3822387)</f>
        <v>3822387</v>
      </c>
    </row>
    <row r="348" customFormat="false" ht="15.75" hidden="false" customHeight="false" outlineLevel="0" collapsed="false">
      <c r="A348" s="3" t="n">
        <f aca="false">IFERROR(__xludf.dummyfunction("""COMPUTED_VALUE"""),44699.6666666667)</f>
        <v>44699.6666666667</v>
      </c>
      <c r="B348" s="2" t="n">
        <f aca="false">IFERROR(__xludf.dummyfunction("""COMPUTED_VALUE"""),111.44)</f>
        <v>111.44</v>
      </c>
      <c r="C348" s="2" t="n">
        <f aca="false">IFERROR(__xludf.dummyfunction("""COMPUTED_VALUE"""),112.85)</f>
        <v>112.85</v>
      </c>
      <c r="D348" s="2" t="n">
        <f aca="false">IFERROR(__xludf.dummyfunction("""COMPUTED_VALUE"""),106.25)</f>
        <v>106.25</v>
      </c>
      <c r="E348" s="2" t="n">
        <f aca="false">IFERROR(__xludf.dummyfunction("""COMPUTED_VALUE"""),107.11)</f>
        <v>107.11</v>
      </c>
      <c r="F348" s="2" t="n">
        <f aca="false">IFERROR(__xludf.dummyfunction("""COMPUTED_VALUE"""),5418959)</f>
        <v>5418959</v>
      </c>
    </row>
    <row r="349" customFormat="false" ht="15.75" hidden="false" customHeight="false" outlineLevel="0" collapsed="false">
      <c r="A349" s="3" t="n">
        <f aca="false">IFERROR(__xludf.dummyfunction("""COMPUTED_VALUE"""),44700.6666666667)</f>
        <v>44700.6666666667</v>
      </c>
      <c r="B349" s="2" t="n">
        <f aca="false">IFERROR(__xludf.dummyfunction("""COMPUTED_VALUE"""),106.28)</f>
        <v>106.28</v>
      </c>
      <c r="C349" s="2" t="n">
        <f aca="false">IFERROR(__xludf.dummyfunction("""COMPUTED_VALUE"""),110.03)</f>
        <v>110.03</v>
      </c>
      <c r="D349" s="2" t="n">
        <f aca="false">IFERROR(__xludf.dummyfunction("""COMPUTED_VALUE"""),106.19)</f>
        <v>106.19</v>
      </c>
      <c r="E349" s="2" t="n">
        <f aca="false">IFERROR(__xludf.dummyfunction("""COMPUTED_VALUE"""),107.32)</f>
        <v>107.32</v>
      </c>
      <c r="F349" s="2" t="n">
        <f aca="false">IFERROR(__xludf.dummyfunction("""COMPUTED_VALUE"""),4407127)</f>
        <v>4407127</v>
      </c>
    </row>
    <row r="350" customFormat="false" ht="15.75" hidden="false" customHeight="false" outlineLevel="0" collapsed="false">
      <c r="A350" s="3" t="n">
        <f aca="false">IFERROR(__xludf.dummyfunction("""COMPUTED_VALUE"""),44701.6666666667)</f>
        <v>44701.6666666667</v>
      </c>
      <c r="B350" s="2" t="n">
        <f aca="false">IFERROR(__xludf.dummyfunction("""COMPUTED_VALUE"""),109.57)</f>
        <v>109.57</v>
      </c>
      <c r="C350" s="2" t="n">
        <f aca="false">IFERROR(__xludf.dummyfunction("""COMPUTED_VALUE"""),109.9)</f>
        <v>109.9</v>
      </c>
      <c r="D350" s="2" t="n">
        <f aca="false">IFERROR(__xludf.dummyfunction("""COMPUTED_VALUE"""),105.01)</f>
        <v>105.01</v>
      </c>
      <c r="E350" s="2" t="n">
        <f aca="false">IFERROR(__xludf.dummyfunction("""COMPUTED_VALUE"""),107.59)</f>
        <v>107.59</v>
      </c>
      <c r="F350" s="2" t="n">
        <f aca="false">IFERROR(__xludf.dummyfunction("""COMPUTED_VALUE"""),4975032)</f>
        <v>4975032</v>
      </c>
    </row>
    <row r="351" customFormat="false" ht="15.75" hidden="false" customHeight="false" outlineLevel="0" collapsed="false">
      <c r="A351" s="3" t="n">
        <f aca="false">IFERROR(__xludf.dummyfunction("""COMPUTED_VALUE"""),44704.6666666667)</f>
        <v>44704.6666666667</v>
      </c>
      <c r="B351" s="2" t="n">
        <f aca="false">IFERROR(__xludf.dummyfunction("""COMPUTED_VALUE"""),108.46)</f>
        <v>108.46</v>
      </c>
      <c r="C351" s="2" t="n">
        <f aca="false">IFERROR(__xludf.dummyfunction("""COMPUTED_VALUE"""),108.82)</f>
        <v>108.82</v>
      </c>
      <c r="D351" s="2" t="n">
        <f aca="false">IFERROR(__xludf.dummyfunction("""COMPUTED_VALUE"""),103.95)</f>
        <v>103.95</v>
      </c>
      <c r="E351" s="2" t="n">
        <f aca="false">IFERROR(__xludf.dummyfunction("""COMPUTED_VALUE"""),107.56)</f>
        <v>107.56</v>
      </c>
      <c r="F351" s="2" t="n">
        <f aca="false">IFERROR(__xludf.dummyfunction("""COMPUTED_VALUE"""),5389868)</f>
        <v>5389868</v>
      </c>
    </row>
    <row r="352" customFormat="false" ht="15.75" hidden="false" customHeight="false" outlineLevel="0" collapsed="false">
      <c r="A352" s="3" t="n">
        <f aca="false">IFERROR(__xludf.dummyfunction("""COMPUTED_VALUE"""),44705.6666666667)</f>
        <v>44705.6666666667</v>
      </c>
      <c r="B352" s="2" t="n">
        <f aca="false">IFERROR(__xludf.dummyfunction("""COMPUTED_VALUE"""),104.03)</f>
        <v>104.03</v>
      </c>
      <c r="C352" s="2" t="n">
        <f aca="false">IFERROR(__xludf.dummyfunction("""COMPUTED_VALUE"""),105.4)</f>
        <v>105.4</v>
      </c>
      <c r="D352" s="2" t="n">
        <f aca="false">IFERROR(__xludf.dummyfunction("""COMPUTED_VALUE"""),101.26)</f>
        <v>101.26</v>
      </c>
      <c r="E352" s="2" t="n">
        <f aca="false">IFERROR(__xludf.dummyfunction("""COMPUTED_VALUE"""),104.1)</f>
        <v>104.1</v>
      </c>
      <c r="F352" s="2" t="n">
        <f aca="false">IFERROR(__xludf.dummyfunction("""COMPUTED_VALUE"""),5146734)</f>
        <v>5146734</v>
      </c>
    </row>
    <row r="353" customFormat="false" ht="15.75" hidden="false" customHeight="false" outlineLevel="0" collapsed="false">
      <c r="A353" s="3" t="n">
        <f aca="false">IFERROR(__xludf.dummyfunction("""COMPUTED_VALUE"""),44706.6666666667)</f>
        <v>44706.6666666667</v>
      </c>
      <c r="B353" s="2" t="n">
        <f aca="false">IFERROR(__xludf.dummyfunction("""COMPUTED_VALUE"""),103.66)</f>
        <v>103.66</v>
      </c>
      <c r="C353" s="2" t="n">
        <f aca="false">IFERROR(__xludf.dummyfunction("""COMPUTED_VALUE"""),108.17)</f>
        <v>108.17</v>
      </c>
      <c r="D353" s="2" t="n">
        <f aca="false">IFERROR(__xludf.dummyfunction("""COMPUTED_VALUE"""),103.65)</f>
        <v>103.65</v>
      </c>
      <c r="E353" s="2" t="n">
        <f aca="false">IFERROR(__xludf.dummyfunction("""COMPUTED_VALUE"""),106.78)</f>
        <v>106.78</v>
      </c>
      <c r="F353" s="2" t="n">
        <f aca="false">IFERROR(__xludf.dummyfunction("""COMPUTED_VALUE"""),4656005)</f>
        <v>4656005</v>
      </c>
    </row>
    <row r="354" customFormat="false" ht="15.75" hidden="false" customHeight="false" outlineLevel="0" collapsed="false">
      <c r="A354" s="3" t="n">
        <f aca="false">IFERROR(__xludf.dummyfunction("""COMPUTED_VALUE"""),44707.6666666667)</f>
        <v>44707.6666666667</v>
      </c>
      <c r="B354" s="2" t="n">
        <f aca="false">IFERROR(__xludf.dummyfunction("""COMPUTED_VALUE"""),107.97)</f>
        <v>107.97</v>
      </c>
      <c r="C354" s="2" t="n">
        <f aca="false">IFERROR(__xludf.dummyfunction("""COMPUTED_VALUE"""),112.67)</f>
        <v>112.67</v>
      </c>
      <c r="D354" s="2" t="n">
        <f aca="false">IFERROR(__xludf.dummyfunction("""COMPUTED_VALUE"""),107.45)</f>
        <v>107.45</v>
      </c>
      <c r="E354" s="2" t="n">
        <f aca="false">IFERROR(__xludf.dummyfunction("""COMPUTED_VALUE"""),111.08)</f>
        <v>111.08</v>
      </c>
      <c r="F354" s="2" t="n">
        <f aca="false">IFERROR(__xludf.dummyfunction("""COMPUTED_VALUE"""),4650130)</f>
        <v>4650130</v>
      </c>
    </row>
    <row r="355" customFormat="false" ht="15.75" hidden="false" customHeight="false" outlineLevel="0" collapsed="false">
      <c r="A355" s="3" t="n">
        <f aca="false">IFERROR(__xludf.dummyfunction("""COMPUTED_VALUE"""),44708.6666666667)</f>
        <v>44708.6666666667</v>
      </c>
      <c r="B355" s="2" t="n">
        <f aca="false">IFERROR(__xludf.dummyfunction("""COMPUTED_VALUE"""),113.55)</f>
        <v>113.55</v>
      </c>
      <c r="C355" s="2" t="n">
        <f aca="false">IFERROR(__xludf.dummyfunction("""COMPUTED_VALUE"""),115.19)</f>
        <v>115.19</v>
      </c>
      <c r="D355" s="2" t="n">
        <f aca="false">IFERROR(__xludf.dummyfunction("""COMPUTED_VALUE"""),112.63)</f>
        <v>112.63</v>
      </c>
      <c r="E355" s="2" t="n">
        <f aca="false">IFERROR(__xludf.dummyfunction("""COMPUTED_VALUE"""),115.15)</f>
        <v>115.15</v>
      </c>
      <c r="F355" s="2" t="n">
        <f aca="false">IFERROR(__xludf.dummyfunction("""COMPUTED_VALUE"""),4683008)</f>
        <v>4683008</v>
      </c>
    </row>
    <row r="356" customFormat="false" ht="15.75" hidden="false" customHeight="false" outlineLevel="0" collapsed="false">
      <c r="A356" s="3" t="n">
        <f aca="false">IFERROR(__xludf.dummyfunction("""COMPUTED_VALUE"""),44712.6666666667)</f>
        <v>44712.6666666667</v>
      </c>
      <c r="B356" s="2" t="n">
        <f aca="false">IFERROR(__xludf.dummyfunction("""COMPUTED_VALUE"""),116.28)</f>
        <v>116.28</v>
      </c>
      <c r="C356" s="2" t="n">
        <f aca="false">IFERROR(__xludf.dummyfunction("""COMPUTED_VALUE"""),121.99)</f>
        <v>121.99</v>
      </c>
      <c r="D356" s="2" t="n">
        <f aca="false">IFERROR(__xludf.dummyfunction("""COMPUTED_VALUE"""),115.68)</f>
        <v>115.68</v>
      </c>
      <c r="E356" s="2" t="n">
        <f aca="false">IFERROR(__xludf.dummyfunction("""COMPUTED_VALUE"""),120.21)</f>
        <v>120.21</v>
      </c>
      <c r="F356" s="2" t="n">
        <f aca="false">IFERROR(__xludf.dummyfunction("""COMPUTED_VALUE"""),7231708)</f>
        <v>7231708</v>
      </c>
    </row>
    <row r="357" customFormat="false" ht="15.75" hidden="false" customHeight="false" outlineLevel="0" collapsed="false">
      <c r="A357" s="3" t="n">
        <f aca="false">IFERROR(__xludf.dummyfunction("""COMPUTED_VALUE"""),44713.6666666667)</f>
        <v>44713.6666666667</v>
      </c>
      <c r="B357" s="2" t="n">
        <f aca="false">IFERROR(__xludf.dummyfunction("""COMPUTED_VALUE"""),122.26)</f>
        <v>122.26</v>
      </c>
      <c r="C357" s="2" t="n">
        <f aca="false">IFERROR(__xludf.dummyfunction("""COMPUTED_VALUE"""),125.18)</f>
        <v>125.18</v>
      </c>
      <c r="D357" s="2" t="n">
        <f aca="false">IFERROR(__xludf.dummyfunction("""COMPUTED_VALUE"""),120.62)</f>
        <v>120.62</v>
      </c>
      <c r="E357" s="2" t="n">
        <f aca="false">IFERROR(__xludf.dummyfunction("""COMPUTED_VALUE"""),121.68)</f>
        <v>121.68</v>
      </c>
      <c r="F357" s="2" t="n">
        <f aca="false">IFERROR(__xludf.dummyfunction("""COMPUTED_VALUE"""),6376449)</f>
        <v>6376449</v>
      </c>
    </row>
    <row r="358" customFormat="false" ht="15.75" hidden="false" customHeight="false" outlineLevel="0" collapsed="false">
      <c r="A358" s="3" t="n">
        <f aca="false">IFERROR(__xludf.dummyfunction("""COMPUTED_VALUE"""),44714.6666666667)</f>
        <v>44714.6666666667</v>
      </c>
      <c r="B358" s="2" t="n">
        <f aca="false">IFERROR(__xludf.dummyfunction("""COMPUTED_VALUE"""),121.68)</f>
        <v>121.68</v>
      </c>
      <c r="C358" s="2" t="n">
        <f aca="false">IFERROR(__xludf.dummyfunction("""COMPUTED_VALUE"""),125.61)</f>
        <v>125.61</v>
      </c>
      <c r="D358" s="2" t="n">
        <f aca="false">IFERROR(__xludf.dummyfunction("""COMPUTED_VALUE"""),120.05)</f>
        <v>120.05</v>
      </c>
      <c r="E358" s="2" t="n">
        <f aca="false">IFERROR(__xludf.dummyfunction("""COMPUTED_VALUE"""),125.51)</f>
        <v>125.51</v>
      </c>
      <c r="F358" s="2" t="n">
        <f aca="false">IFERROR(__xludf.dummyfunction("""COMPUTED_VALUE"""),5028034)</f>
        <v>5028034</v>
      </c>
    </row>
    <row r="359" customFormat="false" ht="15.75" hidden="false" customHeight="false" outlineLevel="0" collapsed="false">
      <c r="A359" s="3" t="n">
        <f aca="false">IFERROR(__xludf.dummyfunction("""COMPUTED_VALUE"""),44715.6666666667)</f>
        <v>44715.6666666667</v>
      </c>
      <c r="B359" s="2" t="n">
        <f aca="false">IFERROR(__xludf.dummyfunction("""COMPUTED_VALUE"""),124.2)</f>
        <v>124.2</v>
      </c>
      <c r="C359" s="2" t="n">
        <f aca="false">IFERROR(__xludf.dummyfunction("""COMPUTED_VALUE"""),124.4)</f>
        <v>124.4</v>
      </c>
      <c r="D359" s="2" t="n">
        <f aca="false">IFERROR(__xludf.dummyfunction("""COMPUTED_VALUE"""),121.05)</f>
        <v>121.05</v>
      </c>
      <c r="E359" s="2" t="n">
        <f aca="false">IFERROR(__xludf.dummyfunction("""COMPUTED_VALUE"""),122.35)</f>
        <v>122.35</v>
      </c>
      <c r="F359" s="2" t="n">
        <f aca="false">IFERROR(__xludf.dummyfunction("""COMPUTED_VALUE"""),4880166)</f>
        <v>4880166</v>
      </c>
    </row>
    <row r="360" customFormat="false" ht="15.75" hidden="false" customHeight="false" outlineLevel="0" collapsed="false">
      <c r="A360" s="3" t="n">
        <f aca="false">IFERROR(__xludf.dummyfunction("""COMPUTED_VALUE"""),44718.6666666667)</f>
        <v>44718.6666666667</v>
      </c>
      <c r="B360" s="2" t="n">
        <f aca="false">IFERROR(__xludf.dummyfunction("""COMPUTED_VALUE"""),125.25)</f>
        <v>125.25</v>
      </c>
      <c r="C360" s="2" t="n">
        <f aca="false">IFERROR(__xludf.dummyfunction("""COMPUTED_VALUE"""),128.99)</f>
        <v>128.99</v>
      </c>
      <c r="D360" s="2" t="n">
        <f aca="false">IFERROR(__xludf.dummyfunction("""COMPUTED_VALUE"""),123.81)</f>
        <v>123.81</v>
      </c>
      <c r="E360" s="2" t="n">
        <f aca="false">IFERROR(__xludf.dummyfunction("""COMPUTED_VALUE"""),124.79)</f>
        <v>124.79</v>
      </c>
      <c r="F360" s="2" t="n">
        <f aca="false">IFERROR(__xludf.dummyfunction("""COMPUTED_VALUE"""),135269024)</f>
        <v>135269024</v>
      </c>
    </row>
    <row r="361" customFormat="false" ht="15.75" hidden="false" customHeight="false" outlineLevel="0" collapsed="false">
      <c r="A361" s="3" t="n">
        <f aca="false">IFERROR(__xludf.dummyfunction("""COMPUTED_VALUE"""),44719.6666666667)</f>
        <v>44719.6666666667</v>
      </c>
      <c r="B361" s="2" t="n">
        <f aca="false">IFERROR(__xludf.dummyfunction("""COMPUTED_VALUE"""),122.01)</f>
        <v>122.01</v>
      </c>
      <c r="C361" s="2" t="n">
        <f aca="false">IFERROR(__xludf.dummyfunction("""COMPUTED_VALUE"""),124.1)</f>
        <v>124.1</v>
      </c>
      <c r="D361" s="2" t="n">
        <f aca="false">IFERROR(__xludf.dummyfunction("""COMPUTED_VALUE"""),120.63)</f>
        <v>120.63</v>
      </c>
      <c r="E361" s="2" t="n">
        <f aca="false">IFERROR(__xludf.dummyfunction("""COMPUTED_VALUE"""),123)</f>
        <v>123</v>
      </c>
      <c r="F361" s="2" t="n">
        <f aca="false">IFERROR(__xludf.dummyfunction("""COMPUTED_VALUE"""),85156712)</f>
        <v>85156712</v>
      </c>
    </row>
    <row r="362" customFormat="false" ht="15.75" hidden="false" customHeight="false" outlineLevel="0" collapsed="false">
      <c r="A362" s="3" t="n">
        <f aca="false">IFERROR(__xludf.dummyfunction("""COMPUTED_VALUE"""),44720.6666666667)</f>
        <v>44720.6666666667</v>
      </c>
      <c r="B362" s="2" t="n">
        <f aca="false">IFERROR(__xludf.dummyfunction("""COMPUTED_VALUE"""),122.61)</f>
        <v>122.61</v>
      </c>
      <c r="C362" s="2" t="n">
        <f aca="false">IFERROR(__xludf.dummyfunction("""COMPUTED_VALUE"""),123.75)</f>
        <v>123.75</v>
      </c>
      <c r="D362" s="2" t="n">
        <f aca="false">IFERROR(__xludf.dummyfunction("""COMPUTED_VALUE"""),120.75)</f>
        <v>120.75</v>
      </c>
      <c r="E362" s="2" t="n">
        <f aca="false">IFERROR(__xludf.dummyfunction("""COMPUTED_VALUE"""),121.18)</f>
        <v>121.18</v>
      </c>
      <c r="F362" s="2" t="n">
        <f aca="false">IFERROR(__xludf.dummyfunction("""COMPUTED_VALUE"""),64926594)</f>
        <v>64926594</v>
      </c>
    </row>
    <row r="363" customFormat="false" ht="15.75" hidden="false" customHeight="false" outlineLevel="0" collapsed="false">
      <c r="A363" s="3" t="n">
        <f aca="false">IFERROR(__xludf.dummyfunction("""COMPUTED_VALUE"""),44721.6666666667)</f>
        <v>44721.6666666667</v>
      </c>
      <c r="B363" s="2" t="n">
        <f aca="false">IFERROR(__xludf.dummyfunction("""COMPUTED_VALUE"""),119.99)</f>
        <v>119.99</v>
      </c>
      <c r="C363" s="2" t="n">
        <f aca="false">IFERROR(__xludf.dummyfunction("""COMPUTED_VALUE"""),121.3)</f>
        <v>121.3</v>
      </c>
      <c r="D363" s="2" t="n">
        <f aca="false">IFERROR(__xludf.dummyfunction("""COMPUTED_VALUE"""),116.1)</f>
        <v>116.1</v>
      </c>
      <c r="E363" s="2" t="n">
        <f aca="false">IFERROR(__xludf.dummyfunction("""COMPUTED_VALUE"""),116.15)</f>
        <v>116.15</v>
      </c>
      <c r="F363" s="2" t="n">
        <f aca="false">IFERROR(__xludf.dummyfunction("""COMPUTED_VALUE"""),67029842)</f>
        <v>67029842</v>
      </c>
    </row>
    <row r="364" customFormat="false" ht="15.75" hidden="false" customHeight="false" outlineLevel="0" collapsed="false">
      <c r="A364" s="3" t="n">
        <f aca="false">IFERROR(__xludf.dummyfunction("""COMPUTED_VALUE"""),44722.6666666667)</f>
        <v>44722.6666666667</v>
      </c>
      <c r="B364" s="2" t="n">
        <f aca="false">IFERROR(__xludf.dummyfunction("""COMPUTED_VALUE"""),113.42)</f>
        <v>113.42</v>
      </c>
      <c r="C364" s="2" t="n">
        <f aca="false">IFERROR(__xludf.dummyfunction("""COMPUTED_VALUE"""),114.5)</f>
        <v>114.5</v>
      </c>
      <c r="D364" s="2" t="n">
        <f aca="false">IFERROR(__xludf.dummyfunction("""COMPUTED_VALUE"""),109.05)</f>
        <v>109.05</v>
      </c>
      <c r="E364" s="2" t="n">
        <f aca="false">IFERROR(__xludf.dummyfunction("""COMPUTED_VALUE"""),109.65)</f>
        <v>109.65</v>
      </c>
      <c r="F364" s="2" t="n">
        <f aca="false">IFERROR(__xludf.dummyfunction("""COMPUTED_VALUE"""),87412245)</f>
        <v>87412245</v>
      </c>
    </row>
    <row r="365" customFormat="false" ht="15.75" hidden="false" customHeight="false" outlineLevel="0" collapsed="false">
      <c r="A365" s="3" t="n">
        <f aca="false">IFERROR(__xludf.dummyfunction("""COMPUTED_VALUE"""),44725.6666666667)</f>
        <v>44725.6666666667</v>
      </c>
      <c r="B365" s="2" t="n">
        <f aca="false">IFERROR(__xludf.dummyfunction("""COMPUTED_VALUE"""),104.19)</f>
        <v>104.19</v>
      </c>
      <c r="C365" s="2" t="n">
        <f aca="false">IFERROR(__xludf.dummyfunction("""COMPUTED_VALUE"""),106.54)</f>
        <v>106.54</v>
      </c>
      <c r="D365" s="2" t="n">
        <f aca="false">IFERROR(__xludf.dummyfunction("""COMPUTED_VALUE"""),101.86)</f>
        <v>101.86</v>
      </c>
      <c r="E365" s="2" t="n">
        <f aca="false">IFERROR(__xludf.dummyfunction("""COMPUTED_VALUE"""),103.67)</f>
        <v>103.67</v>
      </c>
      <c r="F365" s="2" t="n">
        <f aca="false">IFERROR(__xludf.dummyfunction("""COMPUTED_VALUE"""),99277742)</f>
        <v>99277742</v>
      </c>
    </row>
    <row r="366" customFormat="false" ht="15.75" hidden="false" customHeight="false" outlineLevel="0" collapsed="false">
      <c r="A366" s="3" t="n">
        <f aca="false">IFERROR(__xludf.dummyfunction("""COMPUTED_VALUE"""),44726.6666666667)</f>
        <v>44726.6666666667</v>
      </c>
      <c r="B366" s="2" t="n">
        <f aca="false">IFERROR(__xludf.dummyfunction("""COMPUTED_VALUE"""),104.19)</f>
        <v>104.19</v>
      </c>
      <c r="C366" s="2" t="n">
        <f aca="false">IFERROR(__xludf.dummyfunction("""COMPUTED_VALUE"""),104.88)</f>
        <v>104.88</v>
      </c>
      <c r="D366" s="2" t="n">
        <f aca="false">IFERROR(__xludf.dummyfunction("""COMPUTED_VALUE"""),101.43)</f>
        <v>101.43</v>
      </c>
      <c r="E366" s="2" t="n">
        <f aca="false">IFERROR(__xludf.dummyfunction("""COMPUTED_VALUE"""),102.31)</f>
        <v>102.31</v>
      </c>
      <c r="F366" s="2" t="n">
        <f aca="false">IFERROR(__xludf.dummyfunction("""COMPUTED_VALUE"""),69728761)</f>
        <v>69728761</v>
      </c>
    </row>
    <row r="367" customFormat="false" ht="15.75" hidden="false" customHeight="false" outlineLevel="0" collapsed="false">
      <c r="A367" s="3" t="n">
        <f aca="false">IFERROR(__xludf.dummyfunction("""COMPUTED_VALUE"""),44727.6666666667)</f>
        <v>44727.6666666667</v>
      </c>
      <c r="B367" s="2" t="n">
        <f aca="false">IFERROR(__xludf.dummyfunction("""COMPUTED_VALUE"""),103.86)</f>
        <v>103.86</v>
      </c>
      <c r="C367" s="2" t="n">
        <f aca="false">IFERROR(__xludf.dummyfunction("""COMPUTED_VALUE"""),109.06)</f>
        <v>109.06</v>
      </c>
      <c r="D367" s="2" t="n">
        <f aca="false">IFERROR(__xludf.dummyfunction("""COMPUTED_VALUE"""),103.53)</f>
        <v>103.53</v>
      </c>
      <c r="E367" s="2" t="n">
        <f aca="false">IFERROR(__xludf.dummyfunction("""COMPUTED_VALUE"""),107.67)</f>
        <v>107.67</v>
      </c>
      <c r="F367" s="2" t="n">
        <f aca="false">IFERROR(__xludf.dummyfunction("""COMPUTED_VALUE"""),85011060)</f>
        <v>85011060</v>
      </c>
    </row>
    <row r="368" customFormat="false" ht="15.75" hidden="false" customHeight="false" outlineLevel="0" collapsed="false">
      <c r="A368" s="3" t="n">
        <f aca="false">IFERROR(__xludf.dummyfunction("""COMPUTED_VALUE"""),44728.6666666667)</f>
        <v>44728.6666666667</v>
      </c>
      <c r="B368" s="2" t="n">
        <f aca="false">IFERROR(__xludf.dummyfunction("""COMPUTED_VALUE"""),104.47)</f>
        <v>104.47</v>
      </c>
      <c r="C368" s="2" t="n">
        <f aca="false">IFERROR(__xludf.dummyfunction("""COMPUTED_VALUE"""),104.58)</f>
        <v>104.58</v>
      </c>
      <c r="D368" s="2" t="n">
        <f aca="false">IFERROR(__xludf.dummyfunction("""COMPUTED_VALUE"""),102.01)</f>
        <v>102.01</v>
      </c>
      <c r="E368" s="2" t="n">
        <f aca="false">IFERROR(__xludf.dummyfunction("""COMPUTED_VALUE"""),103.66)</f>
        <v>103.66</v>
      </c>
      <c r="F368" s="2" t="n">
        <f aca="false">IFERROR(__xludf.dummyfunction("""COMPUTED_VALUE"""),82186301)</f>
        <v>82186301</v>
      </c>
    </row>
    <row r="369" customFormat="false" ht="15.75" hidden="false" customHeight="false" outlineLevel="0" collapsed="false">
      <c r="A369" s="3" t="n">
        <f aca="false">IFERROR(__xludf.dummyfunction("""COMPUTED_VALUE"""),44729.6666666667)</f>
        <v>44729.6666666667</v>
      </c>
      <c r="B369" s="2" t="n">
        <f aca="false">IFERROR(__xludf.dummyfunction("""COMPUTED_VALUE"""),102.8)</f>
        <v>102.8</v>
      </c>
      <c r="C369" s="2" t="n">
        <f aca="false">IFERROR(__xludf.dummyfunction("""COMPUTED_VALUE"""),106.98)</f>
        <v>106.98</v>
      </c>
      <c r="D369" s="2" t="n">
        <f aca="false">IFERROR(__xludf.dummyfunction("""COMPUTED_VALUE"""),102.51)</f>
        <v>102.51</v>
      </c>
      <c r="E369" s="2" t="n">
        <f aca="false">IFERROR(__xludf.dummyfunction("""COMPUTED_VALUE"""),106.22)</f>
        <v>106.22</v>
      </c>
      <c r="F369" s="2" t="n">
        <f aca="false">IFERROR(__xludf.dummyfunction("""COMPUTED_VALUE"""),99772147)</f>
        <v>99772147</v>
      </c>
    </row>
    <row r="370" customFormat="false" ht="15.75" hidden="false" customHeight="false" outlineLevel="0" collapsed="false">
      <c r="A370" s="3" t="n">
        <f aca="false">IFERROR(__xludf.dummyfunction("""COMPUTED_VALUE"""),44733.6666666667)</f>
        <v>44733.6666666667</v>
      </c>
      <c r="B370" s="2" t="n">
        <f aca="false">IFERROR(__xludf.dummyfunction("""COMPUTED_VALUE"""),108.2)</f>
        <v>108.2</v>
      </c>
      <c r="C370" s="2" t="n">
        <f aca="false">IFERROR(__xludf.dummyfunction("""COMPUTED_VALUE"""),111.63)</f>
        <v>111.63</v>
      </c>
      <c r="D370" s="2" t="n">
        <f aca="false">IFERROR(__xludf.dummyfunction("""COMPUTED_VALUE"""),103.56)</f>
        <v>103.56</v>
      </c>
      <c r="E370" s="2" t="n">
        <f aca="false">IFERROR(__xludf.dummyfunction("""COMPUTED_VALUE"""),108.68)</f>
        <v>108.68</v>
      </c>
      <c r="F370" s="2" t="n">
        <f aca="false">IFERROR(__xludf.dummyfunction("""COMPUTED_VALUE"""),70901245)</f>
        <v>70901245</v>
      </c>
    </row>
    <row r="371" customFormat="false" ht="15.75" hidden="false" customHeight="false" outlineLevel="0" collapsed="false">
      <c r="A371" s="3" t="n">
        <f aca="false">IFERROR(__xludf.dummyfunction("""COMPUTED_VALUE"""),44734.6666666667)</f>
        <v>44734.6666666667</v>
      </c>
      <c r="B371" s="2" t="n">
        <f aca="false">IFERROR(__xludf.dummyfunction("""COMPUTED_VALUE"""),107.43)</f>
        <v>107.43</v>
      </c>
      <c r="C371" s="2" t="n">
        <f aca="false">IFERROR(__xludf.dummyfunction("""COMPUTED_VALUE"""),112.13)</f>
        <v>112.13</v>
      </c>
      <c r="D371" s="2" t="n">
        <f aca="false">IFERROR(__xludf.dummyfunction("""COMPUTED_VALUE"""),107.02)</f>
        <v>107.02</v>
      </c>
      <c r="E371" s="2" t="n">
        <f aca="false">IFERROR(__xludf.dummyfunction("""COMPUTED_VALUE"""),108.95)</f>
        <v>108.95</v>
      </c>
      <c r="F371" s="2" t="n">
        <f aca="false">IFERROR(__xludf.dummyfunction("""COMPUTED_VALUE"""),60040131)</f>
        <v>60040131</v>
      </c>
    </row>
    <row r="372" customFormat="false" ht="15.75" hidden="false" customHeight="false" outlineLevel="0" collapsed="false">
      <c r="A372" s="3" t="n">
        <f aca="false">IFERROR(__xludf.dummyfunction("""COMPUTED_VALUE"""),44735.6666666667)</f>
        <v>44735.6666666667</v>
      </c>
      <c r="B372" s="2" t="n">
        <f aca="false">IFERROR(__xludf.dummyfunction("""COMPUTED_VALUE"""),110.39)</f>
        <v>110.39</v>
      </c>
      <c r="C372" s="2" t="n">
        <f aca="false">IFERROR(__xludf.dummyfunction("""COMPUTED_VALUE"""),113)</f>
        <v>113</v>
      </c>
      <c r="D372" s="2" t="n">
        <f aca="false">IFERROR(__xludf.dummyfunction("""COMPUTED_VALUE"""),107.93)</f>
        <v>107.93</v>
      </c>
      <c r="E372" s="2" t="n">
        <f aca="false">IFERROR(__xludf.dummyfunction("""COMPUTED_VALUE"""),112.44)</f>
        <v>112.44</v>
      </c>
      <c r="F372" s="2" t="n">
        <f aca="false">IFERROR(__xludf.dummyfunction("""COMPUTED_VALUE"""),64345300)</f>
        <v>64345300</v>
      </c>
    </row>
    <row r="373" customFormat="false" ht="15.75" hidden="false" customHeight="false" outlineLevel="0" collapsed="false">
      <c r="A373" s="3" t="n">
        <f aca="false">IFERROR(__xludf.dummyfunction("""COMPUTED_VALUE"""),44736.6666666667)</f>
        <v>44736.6666666667</v>
      </c>
      <c r="B373" s="2" t="n">
        <f aca="false">IFERROR(__xludf.dummyfunction("""COMPUTED_VALUE"""),112.38)</f>
        <v>112.38</v>
      </c>
      <c r="C373" s="2" t="n">
        <f aca="false">IFERROR(__xludf.dummyfunction("""COMPUTED_VALUE"""),116.71)</f>
        <v>116.71</v>
      </c>
      <c r="D373" s="2" t="n">
        <f aca="false">IFERROR(__xludf.dummyfunction("""COMPUTED_VALUE"""),111.43)</f>
        <v>111.43</v>
      </c>
      <c r="E373" s="2" t="n">
        <f aca="false">IFERROR(__xludf.dummyfunction("""COMPUTED_VALUE"""),116.46)</f>
        <v>116.46</v>
      </c>
      <c r="F373" s="2" t="n">
        <f aca="false">IFERROR(__xludf.dummyfunction("""COMPUTED_VALUE"""),69867618)</f>
        <v>69867618</v>
      </c>
    </row>
    <row r="374" customFormat="false" ht="15.75" hidden="false" customHeight="false" outlineLevel="0" collapsed="false">
      <c r="A374" s="3" t="n">
        <f aca="false">IFERROR(__xludf.dummyfunction("""COMPUTED_VALUE"""),44739.6666666667)</f>
        <v>44739.6666666667</v>
      </c>
      <c r="B374" s="2" t="n">
        <f aca="false">IFERROR(__xludf.dummyfunction("""COMPUTED_VALUE"""),117.09)</f>
        <v>117.09</v>
      </c>
      <c r="C374" s="2" t="n">
        <f aca="false">IFERROR(__xludf.dummyfunction("""COMPUTED_VALUE"""),117.98)</f>
        <v>117.98</v>
      </c>
      <c r="D374" s="2" t="n">
        <f aca="false">IFERROR(__xludf.dummyfunction("""COMPUTED_VALUE"""),112.7)</f>
        <v>112.7</v>
      </c>
      <c r="E374" s="2" t="n">
        <f aca="false">IFERROR(__xludf.dummyfunction("""COMPUTED_VALUE"""),113.22)</f>
        <v>113.22</v>
      </c>
      <c r="F374" s="2" t="n">
        <f aca="false">IFERROR(__xludf.dummyfunction("""COMPUTED_VALUE"""),62133240)</f>
        <v>62133240</v>
      </c>
    </row>
    <row r="375" customFormat="false" ht="15.75" hidden="false" customHeight="false" outlineLevel="0" collapsed="false">
      <c r="A375" s="3" t="n">
        <f aca="false">IFERROR(__xludf.dummyfunction("""COMPUTED_VALUE"""),44740.6666666667)</f>
        <v>44740.6666666667</v>
      </c>
      <c r="B375" s="2" t="n">
        <f aca="false">IFERROR(__xludf.dummyfunction("""COMPUTED_VALUE"""),113.5)</f>
        <v>113.5</v>
      </c>
      <c r="C375" s="2" t="n">
        <f aca="false">IFERROR(__xludf.dummyfunction("""COMPUTED_VALUE"""),114.85)</f>
        <v>114.85</v>
      </c>
      <c r="D375" s="2" t="n">
        <f aca="false">IFERROR(__xludf.dummyfunction("""COMPUTED_VALUE"""),107.04)</f>
        <v>107.04</v>
      </c>
      <c r="E375" s="2" t="n">
        <f aca="false">IFERROR(__xludf.dummyfunction("""COMPUTED_VALUE"""),107.4)</f>
        <v>107.4</v>
      </c>
      <c r="F375" s="2" t="n">
        <f aca="false">IFERROR(__xludf.dummyfunction("""COMPUTED_VALUE"""),75172028)</f>
        <v>75172028</v>
      </c>
    </row>
    <row r="376" customFormat="false" ht="15.75" hidden="false" customHeight="false" outlineLevel="0" collapsed="false">
      <c r="A376" s="3" t="n">
        <f aca="false">IFERROR(__xludf.dummyfunction("""COMPUTED_VALUE"""),44741.6666666667)</f>
        <v>44741.6666666667</v>
      </c>
      <c r="B376" s="2" t="n">
        <f aca="false">IFERROR(__xludf.dummyfunction("""COMPUTED_VALUE"""),107.38)</f>
        <v>107.38</v>
      </c>
      <c r="C376" s="2" t="n">
        <f aca="false">IFERROR(__xludf.dummyfunction("""COMPUTED_VALUE"""),110.99)</f>
        <v>110.99</v>
      </c>
      <c r="D376" s="2" t="n">
        <f aca="false">IFERROR(__xludf.dummyfunction("""COMPUTED_VALUE"""),106.91)</f>
        <v>106.91</v>
      </c>
      <c r="E376" s="2" t="n">
        <f aca="false">IFERROR(__xludf.dummyfunction("""COMPUTED_VALUE"""),108.92)</f>
        <v>108.92</v>
      </c>
      <c r="F376" s="2" t="n">
        <f aca="false">IFERROR(__xludf.dummyfunction("""COMPUTED_VALUE"""),66375341)</f>
        <v>66375341</v>
      </c>
    </row>
    <row r="377" customFormat="false" ht="15.75" hidden="false" customHeight="false" outlineLevel="0" collapsed="false">
      <c r="A377" s="3" t="n">
        <f aca="false">IFERROR(__xludf.dummyfunction("""COMPUTED_VALUE"""),44742.6666666667)</f>
        <v>44742.6666666667</v>
      </c>
      <c r="B377" s="2" t="n">
        <f aca="false">IFERROR(__xludf.dummyfunction("""COMPUTED_VALUE"""),108.11)</f>
        <v>108.11</v>
      </c>
      <c r="C377" s="2" t="n">
        <f aca="false">IFERROR(__xludf.dummyfunction("""COMPUTED_VALUE"""),108.18)</f>
        <v>108.18</v>
      </c>
      <c r="D377" s="2" t="n">
        <f aca="false">IFERROR(__xludf.dummyfunction("""COMPUTED_VALUE"""),102.52)</f>
        <v>102.52</v>
      </c>
      <c r="E377" s="2" t="n">
        <f aca="false">IFERROR(__xludf.dummyfunction("""COMPUTED_VALUE"""),106.21)</f>
        <v>106.21</v>
      </c>
      <c r="F377" s="2" t="n">
        <f aca="false">IFERROR(__xludf.dummyfunction("""COMPUTED_VALUE"""),97679401)</f>
        <v>97679401</v>
      </c>
    </row>
    <row r="378" customFormat="false" ht="15.75" hidden="false" customHeight="false" outlineLevel="0" collapsed="false">
      <c r="A378" s="3" t="n">
        <f aca="false">IFERROR(__xludf.dummyfunction("""COMPUTED_VALUE"""),44743.6666666667)</f>
        <v>44743.6666666667</v>
      </c>
      <c r="B378" s="2" t="n">
        <f aca="false">IFERROR(__xludf.dummyfunction("""COMPUTED_VALUE"""),106.29)</f>
        <v>106.29</v>
      </c>
      <c r="C378" s="2" t="n">
        <f aca="false">IFERROR(__xludf.dummyfunction("""COMPUTED_VALUE"""),109.75)</f>
        <v>109.75</v>
      </c>
      <c r="D378" s="2" t="n">
        <f aca="false">IFERROR(__xludf.dummyfunction("""COMPUTED_VALUE"""),105.85)</f>
        <v>105.85</v>
      </c>
      <c r="E378" s="2" t="n">
        <f aca="false">IFERROR(__xludf.dummyfunction("""COMPUTED_VALUE"""),109.56)</f>
        <v>109.56</v>
      </c>
      <c r="F378" s="2" t="n">
        <f aca="false">IFERROR(__xludf.dummyfunction("""COMPUTED_VALUE"""),73021171)</f>
        <v>73021171</v>
      </c>
    </row>
    <row r="379" customFormat="false" ht="15.75" hidden="false" customHeight="false" outlineLevel="0" collapsed="false">
      <c r="A379" s="3" t="n">
        <f aca="false">IFERROR(__xludf.dummyfunction("""COMPUTED_VALUE"""),44747.6666666667)</f>
        <v>44747.6666666667</v>
      </c>
      <c r="B379" s="2" t="n">
        <f aca="false">IFERROR(__xludf.dummyfunction("""COMPUTED_VALUE"""),107.6)</f>
        <v>107.6</v>
      </c>
      <c r="C379" s="2" t="n">
        <f aca="false">IFERROR(__xludf.dummyfunction("""COMPUTED_VALUE"""),114.08)</f>
        <v>114.08</v>
      </c>
      <c r="D379" s="2" t="n">
        <f aca="false">IFERROR(__xludf.dummyfunction("""COMPUTED_VALUE"""),106.32)</f>
        <v>106.32</v>
      </c>
      <c r="E379" s="2" t="n">
        <f aca="false">IFERROR(__xludf.dummyfunction("""COMPUTED_VALUE"""),113.5)</f>
        <v>113.5</v>
      </c>
      <c r="F379" s="2" t="n">
        <f aca="false">IFERROR(__xludf.dummyfunction("""COMPUTED_VALUE"""),76684414)</f>
        <v>76684414</v>
      </c>
    </row>
    <row r="380" customFormat="false" ht="15.75" hidden="false" customHeight="false" outlineLevel="0" collapsed="false">
      <c r="A380" s="3" t="n">
        <f aca="false">IFERROR(__xludf.dummyfunction("""COMPUTED_VALUE"""),44748.6666666667)</f>
        <v>44748.6666666667</v>
      </c>
      <c r="B380" s="2" t="n">
        <f aca="false">IFERROR(__xludf.dummyfunction("""COMPUTED_VALUE"""),113.21)</f>
        <v>113.21</v>
      </c>
      <c r="C380" s="2" t="n">
        <f aca="false">IFERROR(__xludf.dummyfunction("""COMPUTED_VALUE"""),115.48)</f>
        <v>115.48</v>
      </c>
      <c r="D380" s="2" t="n">
        <f aca="false">IFERROR(__xludf.dummyfunction("""COMPUTED_VALUE"""),112.01)</f>
        <v>112.01</v>
      </c>
      <c r="E380" s="2" t="n">
        <f aca="false">IFERROR(__xludf.dummyfunction("""COMPUTED_VALUE"""),114.33)</f>
        <v>114.33</v>
      </c>
      <c r="F380" s="2" t="n">
        <f aca="false">IFERROR(__xludf.dummyfunction("""COMPUTED_VALUE"""),66958884)</f>
        <v>66958884</v>
      </c>
    </row>
    <row r="381" customFormat="false" ht="15.75" hidden="false" customHeight="false" outlineLevel="0" collapsed="false">
      <c r="A381" s="3" t="n">
        <f aca="false">IFERROR(__xludf.dummyfunction("""COMPUTED_VALUE"""),44749.6666666667)</f>
        <v>44749.6666666667</v>
      </c>
      <c r="B381" s="2" t="n">
        <f aca="false">IFERROR(__xludf.dummyfunction("""COMPUTED_VALUE"""),113.85)</f>
        <v>113.85</v>
      </c>
      <c r="C381" s="2" t="n">
        <f aca="false">IFERROR(__xludf.dummyfunction("""COMPUTED_VALUE"""),116.99)</f>
        <v>116.99</v>
      </c>
      <c r="D381" s="2" t="n">
        <f aca="false">IFERROR(__xludf.dummyfunction("""COMPUTED_VALUE"""),113.49)</f>
        <v>113.49</v>
      </c>
      <c r="E381" s="2" t="n">
        <f aca="false">IFERROR(__xludf.dummyfunction("""COMPUTED_VALUE"""),116.33)</f>
        <v>116.33</v>
      </c>
      <c r="F381" s="2" t="n">
        <f aca="false">IFERROR(__xludf.dummyfunction("""COMPUTED_VALUE"""),57872323)</f>
        <v>57872323</v>
      </c>
    </row>
    <row r="382" customFormat="false" ht="15.75" hidden="false" customHeight="false" outlineLevel="0" collapsed="false">
      <c r="A382" s="3" t="n">
        <f aca="false">IFERROR(__xludf.dummyfunction("""COMPUTED_VALUE"""),44750.6666666667)</f>
        <v>44750.6666666667</v>
      </c>
      <c r="B382" s="2" t="n">
        <f aca="false">IFERROR(__xludf.dummyfunction("""COMPUTED_VALUE"""),114.6)</f>
        <v>114.6</v>
      </c>
      <c r="C382" s="2" t="n">
        <f aca="false">IFERROR(__xludf.dummyfunction("""COMPUTED_VALUE"""),116.58)</f>
        <v>116.58</v>
      </c>
      <c r="D382" s="2" t="n">
        <f aca="false">IFERROR(__xludf.dummyfunction("""COMPUTED_VALUE"""),113.69)</f>
        <v>113.69</v>
      </c>
      <c r="E382" s="2" t="n">
        <f aca="false">IFERROR(__xludf.dummyfunction("""COMPUTED_VALUE"""),115.54)</f>
        <v>115.54</v>
      </c>
      <c r="F382" s="2" t="n">
        <f aca="false">IFERROR(__xludf.dummyfunction("""COMPUTED_VALUE"""),45719694)</f>
        <v>45719694</v>
      </c>
    </row>
    <row r="383" customFormat="false" ht="15.75" hidden="false" customHeight="false" outlineLevel="0" collapsed="false">
      <c r="A383" s="3" t="n">
        <f aca="false">IFERROR(__xludf.dummyfunction("""COMPUTED_VALUE"""),44753.6666666667)</f>
        <v>44753.6666666667</v>
      </c>
      <c r="B383" s="2" t="n">
        <f aca="false">IFERROR(__xludf.dummyfunction("""COMPUTED_VALUE"""),114.08)</f>
        <v>114.08</v>
      </c>
      <c r="C383" s="2" t="n">
        <f aca="false">IFERROR(__xludf.dummyfunction("""COMPUTED_VALUE"""),114.3)</f>
        <v>114.3</v>
      </c>
      <c r="D383" s="2" t="n">
        <f aca="false">IFERROR(__xludf.dummyfunction("""COMPUTED_VALUE"""),110.87)</f>
        <v>110.87</v>
      </c>
      <c r="E383" s="2" t="n">
        <f aca="false">IFERROR(__xludf.dummyfunction("""COMPUTED_VALUE"""),111.75)</f>
        <v>111.75</v>
      </c>
      <c r="F383" s="2" t="n">
        <f aca="false">IFERROR(__xludf.dummyfunction("""COMPUTED_VALUE"""),53540019)</f>
        <v>53540019</v>
      </c>
    </row>
    <row r="384" customFormat="false" ht="15.75" hidden="false" customHeight="false" outlineLevel="0" collapsed="false">
      <c r="A384" s="3" t="n">
        <f aca="false">IFERROR(__xludf.dummyfunction("""COMPUTED_VALUE"""),44754.6666666667)</f>
        <v>44754.6666666667</v>
      </c>
      <c r="B384" s="2" t="n">
        <f aca="false">IFERROR(__xludf.dummyfunction("""COMPUTED_VALUE"""),112.16)</f>
        <v>112.16</v>
      </c>
      <c r="C384" s="2" t="n">
        <f aca="false">IFERROR(__xludf.dummyfunction("""COMPUTED_VALUE"""),113.23)</f>
        <v>113.23</v>
      </c>
      <c r="D384" s="2" t="n">
        <f aca="false">IFERROR(__xludf.dummyfunction("""COMPUTED_VALUE"""),108.34)</f>
        <v>108.34</v>
      </c>
      <c r="E384" s="2" t="n">
        <f aca="false">IFERROR(__xludf.dummyfunction("""COMPUTED_VALUE"""),109.22)</f>
        <v>109.22</v>
      </c>
      <c r="F384" s="2" t="n">
        <f aca="false">IFERROR(__xludf.dummyfunction("""COMPUTED_VALUE"""),54280257)</f>
        <v>54280257</v>
      </c>
    </row>
    <row r="385" customFormat="false" ht="15.75" hidden="false" customHeight="false" outlineLevel="0" collapsed="false">
      <c r="A385" s="3" t="n">
        <f aca="false">IFERROR(__xludf.dummyfunction("""COMPUTED_VALUE"""),44755.6666666667)</f>
        <v>44755.6666666667</v>
      </c>
      <c r="B385" s="2" t="n">
        <f aca="false">IFERROR(__xludf.dummyfunction("""COMPUTED_VALUE"""),107.03)</f>
        <v>107.03</v>
      </c>
      <c r="C385" s="2" t="n">
        <f aca="false">IFERROR(__xludf.dummyfunction("""COMPUTED_VALUE"""),111.78)</f>
        <v>111.78</v>
      </c>
      <c r="D385" s="2" t="n">
        <f aca="false">IFERROR(__xludf.dummyfunction("""COMPUTED_VALUE"""),106.01)</f>
        <v>106.01</v>
      </c>
      <c r="E385" s="2" t="n">
        <f aca="false">IFERROR(__xludf.dummyfunction("""COMPUTED_VALUE"""),110.4)</f>
        <v>110.4</v>
      </c>
      <c r="F385" s="2" t="n">
        <f aca="false">IFERROR(__xludf.dummyfunction("""COMPUTED_VALUE"""),61353812)</f>
        <v>61353812</v>
      </c>
    </row>
    <row r="386" customFormat="false" ht="15.75" hidden="false" customHeight="false" outlineLevel="0" collapsed="false">
      <c r="A386" s="3" t="n">
        <f aca="false">IFERROR(__xludf.dummyfunction("""COMPUTED_VALUE"""),44756.6666666667)</f>
        <v>44756.6666666667</v>
      </c>
      <c r="B386" s="2" t="n">
        <f aca="false">IFERROR(__xludf.dummyfunction("""COMPUTED_VALUE"""),110.24)</f>
        <v>110.24</v>
      </c>
      <c r="C386" s="2" t="n">
        <f aca="false">IFERROR(__xludf.dummyfunction("""COMPUTED_VALUE"""),111.18)</f>
        <v>111.18</v>
      </c>
      <c r="D386" s="2" t="n">
        <f aca="false">IFERROR(__xludf.dummyfunction("""COMPUTED_VALUE"""),107.58)</f>
        <v>107.58</v>
      </c>
      <c r="E386" s="2" t="n">
        <f aca="false">IFERROR(__xludf.dummyfunction("""COMPUTED_VALUE"""),110.63)</f>
        <v>110.63</v>
      </c>
      <c r="F386" s="2" t="n">
        <f aca="false">IFERROR(__xludf.dummyfunction("""COMPUTED_VALUE"""),51163140)</f>
        <v>51163140</v>
      </c>
    </row>
    <row r="387" customFormat="false" ht="15.75" hidden="false" customHeight="false" outlineLevel="0" collapsed="false">
      <c r="A387" s="3" t="n">
        <f aca="false">IFERROR(__xludf.dummyfunction("""COMPUTED_VALUE"""),44757.6666666667)</f>
        <v>44757.6666666667</v>
      </c>
      <c r="B387" s="2" t="n">
        <f aca="false">IFERROR(__xludf.dummyfunction("""COMPUTED_VALUE"""),112.5)</f>
        <v>112.5</v>
      </c>
      <c r="C387" s="2" t="n">
        <f aca="false">IFERROR(__xludf.dummyfunction("""COMPUTED_VALUE"""),115.59)</f>
        <v>115.59</v>
      </c>
      <c r="D387" s="2" t="n">
        <f aca="false">IFERROR(__xludf.dummyfunction("""COMPUTED_VALUE"""),111.59)</f>
        <v>111.59</v>
      </c>
      <c r="E387" s="2" t="n">
        <f aca="false">IFERROR(__xludf.dummyfunction("""COMPUTED_VALUE"""),113.55)</f>
        <v>113.55</v>
      </c>
      <c r="F387" s="2" t="n">
        <f aca="false">IFERROR(__xludf.dummyfunction("""COMPUTED_VALUE"""),84317816)</f>
        <v>84317816</v>
      </c>
    </row>
    <row r="388" customFormat="false" ht="15.75" hidden="false" customHeight="false" outlineLevel="0" collapsed="false">
      <c r="A388" s="3" t="n">
        <f aca="false">IFERROR(__xludf.dummyfunction("""COMPUTED_VALUE"""),44760.6666666667)</f>
        <v>44760.6666666667</v>
      </c>
      <c r="B388" s="2" t="n">
        <f aca="false">IFERROR(__xludf.dummyfunction("""COMPUTED_VALUE"""),115)</f>
        <v>115</v>
      </c>
      <c r="C388" s="2" t="n">
        <f aca="false">IFERROR(__xludf.dummyfunction("""COMPUTED_VALUE"""),117.24)</f>
        <v>117.24</v>
      </c>
      <c r="D388" s="2" t="n">
        <f aca="false">IFERROR(__xludf.dummyfunction("""COMPUTED_VALUE"""),113.15)</f>
        <v>113.15</v>
      </c>
      <c r="E388" s="2" t="n">
        <f aca="false">IFERROR(__xludf.dummyfunction("""COMPUTED_VALUE"""),113.76)</f>
        <v>113.76</v>
      </c>
      <c r="F388" s="2" t="n">
        <f aca="false">IFERROR(__xludf.dummyfunction("""COMPUTED_VALUE"""),59115419)</f>
        <v>59115419</v>
      </c>
    </row>
    <row r="389" customFormat="false" ht="15.75" hidden="false" customHeight="false" outlineLevel="0" collapsed="false">
      <c r="A389" s="3" t="n">
        <f aca="false">IFERROR(__xludf.dummyfunction("""COMPUTED_VALUE"""),44761.6666666667)</f>
        <v>44761.6666666667</v>
      </c>
      <c r="B389" s="2" t="n">
        <f aca="false">IFERROR(__xludf.dummyfunction("""COMPUTED_VALUE"""),115.7)</f>
        <v>115.7</v>
      </c>
      <c r="C389" s="2" t="n">
        <f aca="false">IFERROR(__xludf.dummyfunction("""COMPUTED_VALUE"""),118.95)</f>
        <v>118.95</v>
      </c>
      <c r="D389" s="2" t="n">
        <f aca="false">IFERROR(__xludf.dummyfunction("""COMPUTED_VALUE"""),114.03)</f>
        <v>114.03</v>
      </c>
      <c r="E389" s="2" t="n">
        <f aca="false">IFERROR(__xludf.dummyfunction("""COMPUTED_VALUE"""),118.21)</f>
        <v>118.21</v>
      </c>
      <c r="F389" s="2" t="n">
        <f aca="false">IFERROR(__xludf.dummyfunction("""COMPUTED_VALUE"""),60990043)</f>
        <v>60990043</v>
      </c>
    </row>
    <row r="390" customFormat="false" ht="15.75" hidden="false" customHeight="false" outlineLevel="0" collapsed="false">
      <c r="A390" s="3" t="n">
        <f aca="false">IFERROR(__xludf.dummyfunction("""COMPUTED_VALUE"""),44762.6666666667)</f>
        <v>44762.6666666667</v>
      </c>
      <c r="B390" s="2" t="n">
        <f aca="false">IFERROR(__xludf.dummyfunction("""COMPUTED_VALUE"""),118.62)</f>
        <v>118.62</v>
      </c>
      <c r="C390" s="2" t="n">
        <f aca="false">IFERROR(__xludf.dummyfunction("""COMPUTED_VALUE"""),123.48)</f>
        <v>123.48</v>
      </c>
      <c r="D390" s="2" t="n">
        <f aca="false">IFERROR(__xludf.dummyfunction("""COMPUTED_VALUE"""),118.32)</f>
        <v>118.32</v>
      </c>
      <c r="E390" s="2" t="n">
        <f aca="false">IFERROR(__xludf.dummyfunction("""COMPUTED_VALUE"""),122.77)</f>
        <v>122.77</v>
      </c>
      <c r="F390" s="2" t="n">
        <f aca="false">IFERROR(__xludf.dummyfunction("""COMPUTED_VALUE"""),71268322)</f>
        <v>71268322</v>
      </c>
    </row>
    <row r="391" customFormat="false" ht="15.75" hidden="false" customHeight="false" outlineLevel="0" collapsed="false">
      <c r="A391" s="3" t="n">
        <f aca="false">IFERROR(__xludf.dummyfunction("""COMPUTED_VALUE"""),44763.6666666667)</f>
        <v>44763.6666666667</v>
      </c>
      <c r="B391" s="2" t="n">
        <f aca="false">IFERROR(__xludf.dummyfunction("""COMPUTED_VALUE"""),123.2)</f>
        <v>123.2</v>
      </c>
      <c r="C391" s="2" t="n">
        <f aca="false">IFERROR(__xludf.dummyfunction("""COMPUTED_VALUE"""),124.85)</f>
        <v>124.85</v>
      </c>
      <c r="D391" s="2" t="n">
        <f aca="false">IFERROR(__xludf.dummyfunction("""COMPUTED_VALUE"""),121.26)</f>
        <v>121.26</v>
      </c>
      <c r="E391" s="2" t="n">
        <f aca="false">IFERROR(__xludf.dummyfunction("""COMPUTED_VALUE"""),124.63)</f>
        <v>124.63</v>
      </c>
      <c r="F391" s="2" t="n">
        <f aca="false">IFERROR(__xludf.dummyfunction("""COMPUTED_VALUE"""),60239892)</f>
        <v>60239892</v>
      </c>
    </row>
    <row r="392" customFormat="false" ht="15.75" hidden="false" customHeight="false" outlineLevel="0" collapsed="false">
      <c r="A392" s="3" t="n">
        <f aca="false">IFERROR(__xludf.dummyfunction("""COMPUTED_VALUE"""),44764.6666666667)</f>
        <v>44764.6666666667</v>
      </c>
      <c r="B392" s="2" t="n">
        <f aca="false">IFERROR(__xludf.dummyfunction("""COMPUTED_VALUE"""),125.01)</f>
        <v>125.01</v>
      </c>
      <c r="C392" s="2" t="n">
        <f aca="false">IFERROR(__xludf.dummyfunction("""COMPUTED_VALUE"""),125.5)</f>
        <v>125.5</v>
      </c>
      <c r="D392" s="2" t="n">
        <f aca="false">IFERROR(__xludf.dummyfunction("""COMPUTED_VALUE"""),121.35)</f>
        <v>121.35</v>
      </c>
      <c r="E392" s="2" t="n">
        <f aca="false">IFERROR(__xludf.dummyfunction("""COMPUTED_VALUE"""),122.42)</f>
        <v>122.42</v>
      </c>
      <c r="F392" s="2" t="n">
        <f aca="false">IFERROR(__xludf.dummyfunction("""COMPUTED_VALUE"""),51463797)</f>
        <v>51463797</v>
      </c>
    </row>
    <row r="393" customFormat="false" ht="15.75" hidden="false" customHeight="false" outlineLevel="0" collapsed="false">
      <c r="A393" s="3" t="n">
        <f aca="false">IFERROR(__xludf.dummyfunction("""COMPUTED_VALUE"""),44767.6666666667)</f>
        <v>44767.6666666667</v>
      </c>
      <c r="B393" s="2" t="n">
        <f aca="false">IFERROR(__xludf.dummyfunction("""COMPUTED_VALUE"""),122.7)</f>
        <v>122.7</v>
      </c>
      <c r="C393" s="2" t="n">
        <f aca="false">IFERROR(__xludf.dummyfunction("""COMPUTED_VALUE"""),123.64)</f>
        <v>123.64</v>
      </c>
      <c r="D393" s="2" t="n">
        <f aca="false">IFERROR(__xludf.dummyfunction("""COMPUTED_VALUE"""),120.03)</f>
        <v>120.03</v>
      </c>
      <c r="E393" s="2" t="n">
        <f aca="false">IFERROR(__xludf.dummyfunction("""COMPUTED_VALUE"""),121.14)</f>
        <v>121.14</v>
      </c>
      <c r="F393" s="2" t="n">
        <f aca="false">IFERROR(__xludf.dummyfunction("""COMPUTED_VALUE"""),50221259)</f>
        <v>50221259</v>
      </c>
    </row>
    <row r="394" customFormat="false" ht="15.75" hidden="false" customHeight="false" outlineLevel="0" collapsed="false">
      <c r="A394" s="3" t="n">
        <f aca="false">IFERROR(__xludf.dummyfunction("""COMPUTED_VALUE"""),44768.6666666667)</f>
        <v>44768.6666666667</v>
      </c>
      <c r="B394" s="2" t="n">
        <f aca="false">IFERROR(__xludf.dummyfunction("""COMPUTED_VALUE"""),115.79)</f>
        <v>115.79</v>
      </c>
      <c r="C394" s="2" t="n">
        <f aca="false">IFERROR(__xludf.dummyfunction("""COMPUTED_VALUE"""),118.15)</f>
        <v>118.15</v>
      </c>
      <c r="D394" s="2" t="n">
        <f aca="false">IFERROR(__xludf.dummyfunction("""COMPUTED_VALUE"""),114.53)</f>
        <v>114.53</v>
      </c>
      <c r="E394" s="2" t="n">
        <f aca="false">IFERROR(__xludf.dummyfunction("""COMPUTED_VALUE"""),114.81)</f>
        <v>114.81</v>
      </c>
      <c r="F394" s="2" t="n">
        <f aca="false">IFERROR(__xludf.dummyfunction("""COMPUTED_VALUE"""),67075064)</f>
        <v>67075064</v>
      </c>
    </row>
    <row r="395" customFormat="false" ht="15.75" hidden="false" customHeight="false" outlineLevel="0" collapsed="false">
      <c r="A395" s="3" t="n">
        <f aca="false">IFERROR(__xludf.dummyfunction("""COMPUTED_VALUE"""),44769.6666666667)</f>
        <v>44769.6666666667</v>
      </c>
      <c r="B395" s="2" t="n">
        <f aca="false">IFERROR(__xludf.dummyfunction("""COMPUTED_VALUE"""),117.31)</f>
        <v>117.31</v>
      </c>
      <c r="C395" s="2" t="n">
        <f aca="false">IFERROR(__xludf.dummyfunction("""COMPUTED_VALUE"""),121.9)</f>
        <v>121.9</v>
      </c>
      <c r="D395" s="2" t="n">
        <f aca="false">IFERROR(__xludf.dummyfunction("""COMPUTED_VALUE"""),117.16)</f>
        <v>117.16</v>
      </c>
      <c r="E395" s="2" t="n">
        <f aca="false">IFERROR(__xludf.dummyfunction("""COMPUTED_VALUE"""),120.97)</f>
        <v>120.97</v>
      </c>
      <c r="F395" s="2" t="n">
        <f aca="false">IFERROR(__xludf.dummyfunction("""COMPUTED_VALUE"""),61582015)</f>
        <v>61582015</v>
      </c>
    </row>
    <row r="396" customFormat="false" ht="15.75" hidden="false" customHeight="false" outlineLevel="0" collapsed="false">
      <c r="A396" s="3" t="n">
        <f aca="false">IFERROR(__xludf.dummyfunction("""COMPUTED_VALUE"""),44770.6666666667)</f>
        <v>44770.6666666667</v>
      </c>
      <c r="B396" s="2" t="n">
        <f aca="false">IFERROR(__xludf.dummyfunction("""COMPUTED_VALUE"""),121.57)</f>
        <v>121.57</v>
      </c>
      <c r="C396" s="2" t="n">
        <f aca="false">IFERROR(__xludf.dummyfunction("""COMPUTED_VALUE"""),122.84)</f>
        <v>122.84</v>
      </c>
      <c r="D396" s="2" t="n">
        <f aca="false">IFERROR(__xludf.dummyfunction("""COMPUTED_VALUE"""),118.08)</f>
        <v>118.08</v>
      </c>
      <c r="E396" s="2" t="n">
        <f aca="false">IFERROR(__xludf.dummyfunction("""COMPUTED_VALUE"""),122.28)</f>
        <v>122.28</v>
      </c>
      <c r="F396" s="2" t="n">
        <f aca="false">IFERROR(__xludf.dummyfunction("""COMPUTED_VALUE"""),82245543)</f>
        <v>82245543</v>
      </c>
    </row>
    <row r="397" customFormat="false" ht="15.75" hidden="false" customHeight="false" outlineLevel="0" collapsed="false">
      <c r="A397" s="3" t="n">
        <f aca="false">IFERROR(__xludf.dummyfunction("""COMPUTED_VALUE"""),44771.6666666667)</f>
        <v>44771.6666666667</v>
      </c>
      <c r="B397" s="2" t="n">
        <f aca="false">IFERROR(__xludf.dummyfunction("""COMPUTED_VALUE"""),134.9)</f>
        <v>134.9</v>
      </c>
      <c r="C397" s="2" t="n">
        <f aca="false">IFERROR(__xludf.dummyfunction("""COMPUTED_VALUE"""),137.65)</f>
        <v>137.65</v>
      </c>
      <c r="D397" s="2" t="n">
        <f aca="false">IFERROR(__xludf.dummyfunction("""COMPUTED_VALUE"""),132.41)</f>
        <v>132.41</v>
      </c>
      <c r="E397" s="2" t="n">
        <f aca="false">IFERROR(__xludf.dummyfunction("""COMPUTED_VALUE"""),134.95)</f>
        <v>134.95</v>
      </c>
      <c r="F397" s="2" t="n">
        <f aca="false">IFERROR(__xludf.dummyfunction("""COMPUTED_VALUE"""),148892889)</f>
        <v>148892889</v>
      </c>
    </row>
    <row r="398" customFormat="false" ht="15.75" hidden="false" customHeight="false" outlineLevel="0" collapsed="false">
      <c r="A398" s="3" t="n">
        <f aca="false">IFERROR(__xludf.dummyfunction("""COMPUTED_VALUE"""),44774.6666666667)</f>
        <v>44774.6666666667</v>
      </c>
      <c r="B398" s="2" t="n">
        <f aca="false">IFERROR(__xludf.dummyfunction("""COMPUTED_VALUE"""),134.96)</f>
        <v>134.96</v>
      </c>
      <c r="C398" s="2" t="n">
        <f aca="false">IFERROR(__xludf.dummyfunction("""COMPUTED_VALUE"""),138.83)</f>
        <v>138.83</v>
      </c>
      <c r="D398" s="2" t="n">
        <f aca="false">IFERROR(__xludf.dummyfunction("""COMPUTED_VALUE"""),133.51)</f>
        <v>133.51</v>
      </c>
      <c r="E398" s="2" t="n">
        <f aca="false">IFERROR(__xludf.dummyfunction("""COMPUTED_VALUE"""),135.39)</f>
        <v>135.39</v>
      </c>
      <c r="F398" s="2" t="n">
        <f aca="false">IFERROR(__xludf.dummyfunction("""COMPUTED_VALUE"""),76846908)</f>
        <v>76846908</v>
      </c>
    </row>
    <row r="399" customFormat="false" ht="15.75" hidden="false" customHeight="false" outlineLevel="0" collapsed="false">
      <c r="A399" s="3" t="n">
        <f aca="false">IFERROR(__xludf.dummyfunction("""COMPUTED_VALUE"""),44775.6666666667)</f>
        <v>44775.6666666667</v>
      </c>
      <c r="B399" s="2" t="n">
        <f aca="false">IFERROR(__xludf.dummyfunction("""COMPUTED_VALUE"""),134.72)</f>
        <v>134.72</v>
      </c>
      <c r="C399" s="2" t="n">
        <f aca="false">IFERROR(__xludf.dummyfunction("""COMPUTED_VALUE"""),137.44)</f>
        <v>137.44</v>
      </c>
      <c r="D399" s="2" t="n">
        <f aca="false">IFERROR(__xludf.dummyfunction("""COMPUTED_VALUE"""),134.09)</f>
        <v>134.09</v>
      </c>
      <c r="E399" s="2" t="n">
        <f aca="false">IFERROR(__xludf.dummyfunction("""COMPUTED_VALUE"""),134.16)</f>
        <v>134.16</v>
      </c>
      <c r="F399" s="2" t="n">
        <f aca="false">IFERROR(__xludf.dummyfunction("""COMPUTED_VALUE"""),61922429)</f>
        <v>61922429</v>
      </c>
    </row>
    <row r="400" customFormat="false" ht="15.75" hidden="false" customHeight="false" outlineLevel="0" collapsed="false">
      <c r="A400" s="3" t="n">
        <f aca="false">IFERROR(__xludf.dummyfunction("""COMPUTED_VALUE"""),44776.6666666667)</f>
        <v>44776.6666666667</v>
      </c>
      <c r="B400" s="2" t="n">
        <f aca="false">IFERROR(__xludf.dummyfunction("""COMPUTED_VALUE"""),136.21)</f>
        <v>136.21</v>
      </c>
      <c r="C400" s="2" t="n">
        <f aca="false">IFERROR(__xludf.dummyfunction("""COMPUTED_VALUE"""),140.49)</f>
        <v>140.49</v>
      </c>
      <c r="D400" s="2" t="n">
        <f aca="false">IFERROR(__xludf.dummyfunction("""COMPUTED_VALUE"""),136.05)</f>
        <v>136.05</v>
      </c>
      <c r="E400" s="2" t="n">
        <f aca="false">IFERROR(__xludf.dummyfunction("""COMPUTED_VALUE"""),139.52)</f>
        <v>139.52</v>
      </c>
      <c r="F400" s="2" t="n">
        <f aca="false">IFERROR(__xludf.dummyfunction("""COMPUTED_VALUE"""),71827780)</f>
        <v>71827780</v>
      </c>
    </row>
    <row r="401" customFormat="false" ht="15.75" hidden="false" customHeight="false" outlineLevel="0" collapsed="false">
      <c r="A401" s="3" t="n">
        <f aca="false">IFERROR(__xludf.dummyfunction("""COMPUTED_VALUE"""),44777.6666666667)</f>
        <v>44777.6666666667</v>
      </c>
      <c r="B401" s="2" t="n">
        <f aca="false">IFERROR(__xludf.dummyfunction("""COMPUTED_VALUE"""),140.58)</f>
        <v>140.58</v>
      </c>
      <c r="C401" s="2" t="n">
        <f aca="false">IFERROR(__xludf.dummyfunction("""COMPUTED_VALUE"""),143.56)</f>
        <v>143.56</v>
      </c>
      <c r="D401" s="2" t="n">
        <f aca="false">IFERROR(__xludf.dummyfunction("""COMPUTED_VALUE"""),139.55)</f>
        <v>139.55</v>
      </c>
      <c r="E401" s="2" t="n">
        <f aca="false">IFERROR(__xludf.dummyfunction("""COMPUTED_VALUE"""),142.57)</f>
        <v>142.57</v>
      </c>
      <c r="F401" s="2" t="n">
        <f aca="false">IFERROR(__xludf.dummyfunction("""COMPUTED_VALUE"""),70585020)</f>
        <v>70585020</v>
      </c>
    </row>
    <row r="402" customFormat="false" ht="15.75" hidden="false" customHeight="false" outlineLevel="0" collapsed="false">
      <c r="A402" s="3" t="n">
        <f aca="false">IFERROR(__xludf.dummyfunction("""COMPUTED_VALUE"""),44778.6666666667)</f>
        <v>44778.6666666667</v>
      </c>
      <c r="B402" s="2" t="n">
        <f aca="false">IFERROR(__xludf.dummyfunction("""COMPUTED_VALUE"""),140.1)</f>
        <v>140.1</v>
      </c>
      <c r="C402" s="2" t="n">
        <f aca="false">IFERROR(__xludf.dummyfunction("""COMPUTED_VALUE"""),142.86)</f>
        <v>142.86</v>
      </c>
      <c r="D402" s="2" t="n">
        <f aca="false">IFERROR(__xludf.dummyfunction("""COMPUTED_VALUE"""),139.6)</f>
        <v>139.6</v>
      </c>
      <c r="E402" s="2" t="n">
        <f aca="false">IFERROR(__xludf.dummyfunction("""COMPUTED_VALUE"""),140.8)</f>
        <v>140.8</v>
      </c>
      <c r="F402" s="2" t="n">
        <f aca="false">IFERROR(__xludf.dummyfunction("""COMPUTED_VALUE"""),50686865)</f>
        <v>50686865</v>
      </c>
    </row>
    <row r="403" customFormat="false" ht="15.75" hidden="false" customHeight="false" outlineLevel="0" collapsed="false">
      <c r="A403" s="3" t="n">
        <f aca="false">IFERROR(__xludf.dummyfunction("""COMPUTED_VALUE"""),44781.6666666667)</f>
        <v>44781.6666666667</v>
      </c>
      <c r="B403" s="2" t="n">
        <f aca="false">IFERROR(__xludf.dummyfunction("""COMPUTED_VALUE"""),142.05)</f>
        <v>142.05</v>
      </c>
      <c r="C403" s="2" t="n">
        <f aca="false">IFERROR(__xludf.dummyfunction("""COMPUTED_VALUE"""),144.23)</f>
        <v>144.23</v>
      </c>
      <c r="D403" s="2" t="n">
        <f aca="false">IFERROR(__xludf.dummyfunction("""COMPUTED_VALUE"""),138.29)</f>
        <v>138.29</v>
      </c>
      <c r="E403" s="2" t="n">
        <f aca="false">IFERROR(__xludf.dummyfunction("""COMPUTED_VALUE"""),139.41)</f>
        <v>139.41</v>
      </c>
      <c r="F403" s="2" t="n">
        <f aca="false">IFERROR(__xludf.dummyfunction("""COMPUTED_VALUE"""),52303475)</f>
        <v>52303475</v>
      </c>
    </row>
    <row r="404" customFormat="false" ht="15.75" hidden="false" customHeight="false" outlineLevel="0" collapsed="false">
      <c r="A404" s="3" t="n">
        <f aca="false">IFERROR(__xludf.dummyfunction("""COMPUTED_VALUE"""),44782.6666666667)</f>
        <v>44782.6666666667</v>
      </c>
      <c r="B404" s="2" t="n">
        <f aca="false">IFERROR(__xludf.dummyfunction("""COMPUTED_VALUE"""),138.05)</f>
        <v>138.05</v>
      </c>
      <c r="C404" s="2" t="n">
        <f aca="false">IFERROR(__xludf.dummyfunction("""COMPUTED_VALUE"""),138.95)</f>
        <v>138.95</v>
      </c>
      <c r="D404" s="2" t="n">
        <f aca="false">IFERROR(__xludf.dummyfunction("""COMPUTED_VALUE"""),136.21)</f>
        <v>136.21</v>
      </c>
      <c r="E404" s="2" t="n">
        <f aca="false">IFERROR(__xludf.dummyfunction("""COMPUTED_VALUE"""),137.83)</f>
        <v>137.83</v>
      </c>
      <c r="F404" s="2" t="n">
        <f aca="false">IFERROR(__xludf.dummyfunction("""COMPUTED_VALUE"""),40434715)</f>
        <v>40434715</v>
      </c>
    </row>
    <row r="405" customFormat="false" ht="15.75" hidden="false" customHeight="false" outlineLevel="0" collapsed="false">
      <c r="A405" s="3" t="n">
        <f aca="false">IFERROR(__xludf.dummyfunction("""COMPUTED_VALUE"""),44783.6666666667)</f>
        <v>44783.6666666667</v>
      </c>
      <c r="B405" s="2" t="n">
        <f aca="false">IFERROR(__xludf.dummyfunction("""COMPUTED_VALUE"""),142.9)</f>
        <v>142.9</v>
      </c>
      <c r="C405" s="2" t="n">
        <f aca="false">IFERROR(__xludf.dummyfunction("""COMPUTED_VALUE"""),144.6)</f>
        <v>144.6</v>
      </c>
      <c r="D405" s="2" t="n">
        <f aca="false">IFERROR(__xludf.dummyfunction("""COMPUTED_VALUE"""),141.01)</f>
        <v>141.01</v>
      </c>
      <c r="E405" s="2" t="n">
        <f aca="false">IFERROR(__xludf.dummyfunction("""COMPUTED_VALUE"""),142.69)</f>
        <v>142.69</v>
      </c>
      <c r="F405" s="2" t="n">
        <f aca="false">IFERROR(__xludf.dummyfunction("""COMPUTED_VALUE"""),54773819)</f>
        <v>54773819</v>
      </c>
    </row>
    <row r="406" customFormat="false" ht="15.75" hidden="false" customHeight="false" outlineLevel="0" collapsed="false">
      <c r="A406" s="3" t="n">
        <f aca="false">IFERROR(__xludf.dummyfunction("""COMPUTED_VALUE"""),44784.6666666667)</f>
        <v>44784.6666666667</v>
      </c>
      <c r="B406" s="2" t="n">
        <f aca="false">IFERROR(__xludf.dummyfunction("""COMPUTED_VALUE"""),143.86)</f>
        <v>143.86</v>
      </c>
      <c r="C406" s="2" t="n">
        <f aca="false">IFERROR(__xludf.dummyfunction("""COMPUTED_VALUE"""),144.49)</f>
        <v>144.49</v>
      </c>
      <c r="D406" s="2" t="n">
        <f aca="false">IFERROR(__xludf.dummyfunction("""COMPUTED_VALUE"""),139.76)</f>
        <v>139.76</v>
      </c>
      <c r="E406" s="2" t="n">
        <f aca="false">IFERROR(__xludf.dummyfunction("""COMPUTED_VALUE"""),140.64)</f>
        <v>140.64</v>
      </c>
      <c r="F406" s="2" t="n">
        <f aca="false">IFERROR(__xludf.dummyfunction("""COMPUTED_VALUE"""),44867336)</f>
        <v>44867336</v>
      </c>
    </row>
    <row r="407" customFormat="false" ht="15.75" hidden="false" customHeight="false" outlineLevel="0" collapsed="false">
      <c r="A407" s="3" t="n">
        <f aca="false">IFERROR(__xludf.dummyfunction("""COMPUTED_VALUE"""),44785.6666666667)</f>
        <v>44785.6666666667</v>
      </c>
      <c r="B407" s="2" t="n">
        <f aca="false">IFERROR(__xludf.dummyfunction("""COMPUTED_VALUE"""),142.05)</f>
        <v>142.05</v>
      </c>
      <c r="C407" s="2" t="n">
        <f aca="false">IFERROR(__xludf.dummyfunction("""COMPUTED_VALUE"""),143.57)</f>
        <v>143.57</v>
      </c>
      <c r="D407" s="2" t="n">
        <f aca="false">IFERROR(__xludf.dummyfunction("""COMPUTED_VALUE"""),140.12)</f>
        <v>140.12</v>
      </c>
      <c r="E407" s="2" t="n">
        <f aca="false">IFERROR(__xludf.dummyfunction("""COMPUTED_VALUE"""),143.55)</f>
        <v>143.55</v>
      </c>
      <c r="F407" s="2" t="n">
        <f aca="false">IFERROR(__xludf.dummyfunction("""COMPUTED_VALUE"""),47643484)</f>
        <v>47643484</v>
      </c>
    </row>
    <row r="408" customFormat="false" ht="15.75" hidden="false" customHeight="false" outlineLevel="0" collapsed="false">
      <c r="A408" s="3" t="n">
        <f aca="false">IFERROR(__xludf.dummyfunction("""COMPUTED_VALUE"""),44788.6666666667)</f>
        <v>44788.6666666667</v>
      </c>
      <c r="B408" s="2" t="n">
        <f aca="false">IFERROR(__xludf.dummyfunction("""COMPUTED_VALUE"""),142.8)</f>
        <v>142.8</v>
      </c>
      <c r="C408" s="2" t="n">
        <f aca="false">IFERROR(__xludf.dummyfunction("""COMPUTED_VALUE"""),143.76)</f>
        <v>143.76</v>
      </c>
      <c r="D408" s="2" t="n">
        <f aca="false">IFERROR(__xludf.dummyfunction("""COMPUTED_VALUE"""),141.49)</f>
        <v>141.49</v>
      </c>
      <c r="E408" s="2" t="n">
        <f aca="false">IFERROR(__xludf.dummyfunction("""COMPUTED_VALUE"""),143.18)</f>
        <v>143.18</v>
      </c>
      <c r="F408" s="2" t="n">
        <f aca="false">IFERROR(__xludf.dummyfunction("""COMPUTED_VALUE"""),39014583)</f>
        <v>39014583</v>
      </c>
    </row>
    <row r="409" customFormat="false" ht="15.75" hidden="false" customHeight="false" outlineLevel="0" collapsed="false">
      <c r="A409" s="3" t="n">
        <f aca="false">IFERROR(__xludf.dummyfunction("""COMPUTED_VALUE"""),44789.6666666667)</f>
        <v>44789.6666666667</v>
      </c>
      <c r="B409" s="2" t="n">
        <f aca="false">IFERROR(__xludf.dummyfunction("""COMPUTED_VALUE"""),143.91)</f>
        <v>143.91</v>
      </c>
      <c r="C409" s="2" t="n">
        <f aca="false">IFERROR(__xludf.dummyfunction("""COMPUTED_VALUE"""),146.57)</f>
        <v>146.57</v>
      </c>
      <c r="D409" s="2" t="n">
        <f aca="false">IFERROR(__xludf.dummyfunction("""COMPUTED_VALUE"""),142)</f>
        <v>142</v>
      </c>
      <c r="E409" s="2" t="n">
        <f aca="false">IFERROR(__xludf.dummyfunction("""COMPUTED_VALUE"""),144.78)</f>
        <v>144.78</v>
      </c>
      <c r="F409" s="2" t="n">
        <f aca="false">IFERROR(__xludf.dummyfunction("""COMPUTED_VALUE"""),59102859)</f>
        <v>59102859</v>
      </c>
    </row>
    <row r="410" customFormat="false" ht="15.75" hidden="false" customHeight="false" outlineLevel="0" collapsed="false">
      <c r="A410" s="3" t="n">
        <f aca="false">IFERROR(__xludf.dummyfunction("""COMPUTED_VALUE"""),44790.6666666667)</f>
        <v>44790.6666666667</v>
      </c>
      <c r="B410" s="2" t="n">
        <f aca="false">IFERROR(__xludf.dummyfunction("""COMPUTED_VALUE"""),142.69)</f>
        <v>142.69</v>
      </c>
      <c r="C410" s="2" t="n">
        <f aca="false">IFERROR(__xludf.dummyfunction("""COMPUTED_VALUE"""),143.38)</f>
        <v>143.38</v>
      </c>
      <c r="D410" s="2" t="n">
        <f aca="false">IFERROR(__xludf.dummyfunction("""COMPUTED_VALUE"""),140.78)</f>
        <v>140.78</v>
      </c>
      <c r="E410" s="2" t="n">
        <f aca="false">IFERROR(__xludf.dummyfunction("""COMPUTED_VALUE"""),142.1)</f>
        <v>142.1</v>
      </c>
      <c r="F410" s="2" t="n">
        <f aca="false">IFERROR(__xludf.dummyfunction("""COMPUTED_VALUE"""),48149778)</f>
        <v>48149778</v>
      </c>
    </row>
    <row r="411" customFormat="false" ht="15.75" hidden="false" customHeight="false" outlineLevel="0" collapsed="false">
      <c r="A411" s="3" t="n">
        <f aca="false">IFERROR(__xludf.dummyfunction("""COMPUTED_VALUE"""),44791.6666666667)</f>
        <v>44791.6666666667</v>
      </c>
      <c r="B411" s="2" t="n">
        <f aca="false">IFERROR(__xludf.dummyfunction("""COMPUTED_VALUE"""),141.32)</f>
        <v>141.32</v>
      </c>
      <c r="C411" s="2" t="n">
        <f aca="false">IFERROR(__xludf.dummyfunction("""COMPUTED_VALUE"""),142.77)</f>
        <v>142.77</v>
      </c>
      <c r="D411" s="2" t="n">
        <f aca="false">IFERROR(__xludf.dummyfunction("""COMPUTED_VALUE"""),140.38)</f>
        <v>140.38</v>
      </c>
      <c r="E411" s="2" t="n">
        <f aca="false">IFERROR(__xludf.dummyfunction("""COMPUTED_VALUE"""),142.3)</f>
        <v>142.3</v>
      </c>
      <c r="F411" s="2" t="n">
        <f aca="false">IFERROR(__xludf.dummyfunction("""COMPUTED_VALUE"""),37458737)</f>
        <v>37458737</v>
      </c>
    </row>
    <row r="412" customFormat="false" ht="15.75" hidden="false" customHeight="false" outlineLevel="0" collapsed="false">
      <c r="A412" s="3" t="n">
        <f aca="false">IFERROR(__xludf.dummyfunction("""COMPUTED_VALUE"""),44792.6666666667)</f>
        <v>44792.6666666667</v>
      </c>
      <c r="B412" s="2" t="n">
        <f aca="false">IFERROR(__xludf.dummyfunction("""COMPUTED_VALUE"""),140.47)</f>
        <v>140.47</v>
      </c>
      <c r="C412" s="2" t="n">
        <f aca="false">IFERROR(__xludf.dummyfunction("""COMPUTED_VALUE"""),141.11)</f>
        <v>141.11</v>
      </c>
      <c r="D412" s="2" t="n">
        <f aca="false">IFERROR(__xludf.dummyfunction("""COMPUTED_VALUE"""),137.91)</f>
        <v>137.91</v>
      </c>
      <c r="E412" s="2" t="n">
        <f aca="false">IFERROR(__xludf.dummyfunction("""COMPUTED_VALUE"""),138.23)</f>
        <v>138.23</v>
      </c>
      <c r="F412" s="2" t="n">
        <f aca="false">IFERROR(__xludf.dummyfunction("""COMPUTED_VALUE"""),47792843)</f>
        <v>47792843</v>
      </c>
    </row>
    <row r="413" customFormat="false" ht="15.75" hidden="false" customHeight="false" outlineLevel="0" collapsed="false">
      <c r="A413" s="3" t="n">
        <f aca="false">IFERROR(__xludf.dummyfunction("""COMPUTED_VALUE"""),44795.6666666667)</f>
        <v>44795.6666666667</v>
      </c>
      <c r="B413" s="2" t="n">
        <f aca="false">IFERROR(__xludf.dummyfunction("""COMPUTED_VALUE"""),135.72)</f>
        <v>135.72</v>
      </c>
      <c r="C413" s="2" t="n">
        <f aca="false">IFERROR(__xludf.dummyfunction("""COMPUTED_VALUE"""),136.32)</f>
        <v>136.32</v>
      </c>
      <c r="D413" s="2" t="n">
        <f aca="false">IFERROR(__xludf.dummyfunction("""COMPUTED_VALUE"""),132.85)</f>
        <v>132.85</v>
      </c>
      <c r="E413" s="2" t="n">
        <f aca="false">IFERROR(__xludf.dummyfunction("""COMPUTED_VALUE"""),133.22)</f>
        <v>133.22</v>
      </c>
      <c r="F413" s="2" t="n">
        <f aca="false">IFERROR(__xludf.dummyfunction("""COMPUTED_VALUE"""),50461504)</f>
        <v>50461504</v>
      </c>
    </row>
    <row r="414" customFormat="false" ht="15.75" hidden="false" customHeight="false" outlineLevel="0" collapsed="false">
      <c r="A414" s="3" t="n">
        <f aca="false">IFERROR(__xludf.dummyfunction("""COMPUTED_VALUE"""),44796.6666666667)</f>
        <v>44796.6666666667</v>
      </c>
      <c r="B414" s="2" t="n">
        <f aca="false">IFERROR(__xludf.dummyfunction("""COMPUTED_VALUE"""),133.41)</f>
        <v>133.41</v>
      </c>
      <c r="C414" s="2" t="n">
        <f aca="false">IFERROR(__xludf.dummyfunction("""COMPUTED_VALUE"""),134.99)</f>
        <v>134.99</v>
      </c>
      <c r="D414" s="2" t="n">
        <f aca="false">IFERROR(__xludf.dummyfunction("""COMPUTED_VALUE"""),132.95)</f>
        <v>132.95</v>
      </c>
      <c r="E414" s="2" t="n">
        <f aca="false">IFERROR(__xludf.dummyfunction("""COMPUTED_VALUE"""),133.62)</f>
        <v>133.62</v>
      </c>
      <c r="F414" s="2" t="n">
        <f aca="false">IFERROR(__xludf.dummyfunction("""COMPUTED_VALUE"""),36252103)</f>
        <v>36252103</v>
      </c>
    </row>
    <row r="415" customFormat="false" ht="15.75" hidden="false" customHeight="false" outlineLevel="0" collapsed="false">
      <c r="A415" s="3" t="n">
        <f aca="false">IFERROR(__xludf.dummyfunction("""COMPUTED_VALUE"""),44797.6666666667)</f>
        <v>44797.6666666667</v>
      </c>
      <c r="B415" s="2" t="n">
        <f aca="false">IFERROR(__xludf.dummyfunction("""COMPUTED_VALUE"""),132.75)</f>
        <v>132.75</v>
      </c>
      <c r="C415" s="2" t="n">
        <f aca="false">IFERROR(__xludf.dummyfunction("""COMPUTED_VALUE"""),135.47)</f>
        <v>135.47</v>
      </c>
      <c r="D415" s="2" t="n">
        <f aca="false">IFERROR(__xludf.dummyfunction("""COMPUTED_VALUE"""),132.1)</f>
        <v>132.1</v>
      </c>
      <c r="E415" s="2" t="n">
        <f aca="false">IFERROR(__xludf.dummyfunction("""COMPUTED_VALUE"""),133.8)</f>
        <v>133.8</v>
      </c>
      <c r="F415" s="2" t="n">
        <f aca="false">IFERROR(__xludf.dummyfunction("""COMPUTED_VALUE"""),38626978)</f>
        <v>38626978</v>
      </c>
    </row>
    <row r="416" customFormat="false" ht="15.75" hidden="false" customHeight="false" outlineLevel="0" collapsed="false">
      <c r="A416" s="3" t="n">
        <f aca="false">IFERROR(__xludf.dummyfunction("""COMPUTED_VALUE"""),44798.6666666667)</f>
        <v>44798.6666666667</v>
      </c>
      <c r="B416" s="2" t="n">
        <f aca="false">IFERROR(__xludf.dummyfunction("""COMPUTED_VALUE"""),135.26)</f>
        <v>135.26</v>
      </c>
      <c r="C416" s="2" t="n">
        <f aca="false">IFERROR(__xludf.dummyfunction("""COMPUTED_VALUE"""),137.42)</f>
        <v>137.42</v>
      </c>
      <c r="D416" s="2" t="n">
        <f aca="false">IFERROR(__xludf.dummyfunction("""COMPUTED_VALUE"""),134.28)</f>
        <v>134.28</v>
      </c>
      <c r="E416" s="2" t="n">
        <f aca="false">IFERROR(__xludf.dummyfunction("""COMPUTED_VALUE"""),137.28)</f>
        <v>137.28</v>
      </c>
      <c r="F416" s="2" t="n">
        <f aca="false">IFERROR(__xludf.dummyfunction("""COMPUTED_VALUE"""),37496283)</f>
        <v>37496283</v>
      </c>
    </row>
    <row r="417" customFormat="false" ht="15.75" hidden="false" customHeight="false" outlineLevel="0" collapsed="false">
      <c r="A417" s="3" t="n">
        <f aca="false">IFERROR(__xludf.dummyfunction("""COMPUTED_VALUE"""),44799.6666666667)</f>
        <v>44799.6666666667</v>
      </c>
      <c r="B417" s="2" t="n">
        <f aca="false">IFERROR(__xludf.dummyfunction("""COMPUTED_VALUE"""),136.55)</f>
        <v>136.55</v>
      </c>
      <c r="C417" s="2" t="n">
        <f aca="false">IFERROR(__xludf.dummyfunction("""COMPUTED_VALUE"""),137.83)</f>
        <v>137.83</v>
      </c>
      <c r="D417" s="2" t="n">
        <f aca="false">IFERROR(__xludf.dummyfunction("""COMPUTED_VALUE"""),130.5)</f>
        <v>130.5</v>
      </c>
      <c r="E417" s="2" t="n">
        <f aca="false">IFERROR(__xludf.dummyfunction("""COMPUTED_VALUE"""),130.75)</f>
        <v>130.75</v>
      </c>
      <c r="F417" s="2" t="n">
        <f aca="false">IFERROR(__xludf.dummyfunction("""COMPUTED_VALUE"""),53322663)</f>
        <v>53322663</v>
      </c>
    </row>
    <row r="418" customFormat="false" ht="15.75" hidden="false" customHeight="false" outlineLevel="0" collapsed="false">
      <c r="A418" s="3" t="n">
        <f aca="false">IFERROR(__xludf.dummyfunction("""COMPUTED_VALUE"""),44802.6666666667)</f>
        <v>44802.6666666667</v>
      </c>
      <c r="B418" s="2" t="n">
        <f aca="false">IFERROR(__xludf.dummyfunction("""COMPUTED_VALUE"""),129.9)</f>
        <v>129.9</v>
      </c>
      <c r="C418" s="2" t="n">
        <f aca="false">IFERROR(__xludf.dummyfunction("""COMPUTED_VALUE"""),131.95)</f>
        <v>131.95</v>
      </c>
      <c r="D418" s="2" t="n">
        <f aca="false">IFERROR(__xludf.dummyfunction("""COMPUTED_VALUE"""),128.77)</f>
        <v>128.77</v>
      </c>
      <c r="E418" s="2" t="n">
        <f aca="false">IFERROR(__xludf.dummyfunction("""COMPUTED_VALUE"""),129.79)</f>
        <v>129.79</v>
      </c>
      <c r="F418" s="2" t="n">
        <f aca="false">IFERROR(__xludf.dummyfunction("""COMPUTED_VALUE"""),48101638)</f>
        <v>48101638</v>
      </c>
    </row>
    <row r="419" customFormat="false" ht="15.75" hidden="false" customHeight="false" outlineLevel="0" collapsed="false">
      <c r="A419" s="3" t="n">
        <f aca="false">IFERROR(__xludf.dummyfunction("""COMPUTED_VALUE"""),44803.6666666667)</f>
        <v>44803.6666666667</v>
      </c>
      <c r="B419" s="2" t="n">
        <f aca="false">IFERROR(__xludf.dummyfunction("""COMPUTED_VALUE"""),131.25)</f>
        <v>131.25</v>
      </c>
      <c r="C419" s="2" t="n">
        <f aca="false">IFERROR(__xludf.dummyfunction("""COMPUTED_VALUE"""),132.07)</f>
        <v>132.07</v>
      </c>
      <c r="D419" s="2" t="n">
        <f aca="false">IFERROR(__xludf.dummyfunction("""COMPUTED_VALUE"""),126.85)</f>
        <v>126.85</v>
      </c>
      <c r="E419" s="2" t="n">
        <f aca="false">IFERROR(__xludf.dummyfunction("""COMPUTED_VALUE"""),128.73)</f>
        <v>128.73</v>
      </c>
      <c r="F419" s="2" t="n">
        <f aca="false">IFERROR(__xludf.dummyfunction("""COMPUTED_VALUE"""),49202990)</f>
        <v>49202990</v>
      </c>
    </row>
    <row r="420" customFormat="false" ht="15.75" hidden="false" customHeight="false" outlineLevel="0" collapsed="false">
      <c r="A420" s="3" t="n">
        <f aca="false">IFERROR(__xludf.dummyfunction("""COMPUTED_VALUE"""),44804.6666666667)</f>
        <v>44804.6666666667</v>
      </c>
      <c r="B420" s="2" t="n">
        <f aca="false">IFERROR(__xludf.dummyfunction("""COMPUTED_VALUE"""),129.45)</f>
        <v>129.45</v>
      </c>
      <c r="C420" s="2" t="n">
        <f aca="false">IFERROR(__xludf.dummyfunction("""COMPUTED_VALUE"""),130.59)</f>
        <v>130.59</v>
      </c>
      <c r="D420" s="2" t="n">
        <f aca="false">IFERROR(__xludf.dummyfunction("""COMPUTED_VALUE"""),126.74)</f>
        <v>126.74</v>
      </c>
      <c r="E420" s="2" t="n">
        <f aca="false">IFERROR(__xludf.dummyfunction("""COMPUTED_VALUE"""),126.77)</f>
        <v>126.77</v>
      </c>
      <c r="F420" s="2" t="n">
        <f aca="false">IFERROR(__xludf.dummyfunction("""COMPUTED_VALUE"""),53648702)</f>
        <v>53648702</v>
      </c>
    </row>
    <row r="421" customFormat="false" ht="15.75" hidden="false" customHeight="false" outlineLevel="0" collapsed="false">
      <c r="A421" s="3" t="n">
        <f aca="false">IFERROR(__xludf.dummyfunction("""COMPUTED_VALUE"""),44805.6666666667)</f>
        <v>44805.6666666667</v>
      </c>
      <c r="B421" s="2" t="n">
        <f aca="false">IFERROR(__xludf.dummyfunction("""COMPUTED_VALUE"""),126)</f>
        <v>126</v>
      </c>
      <c r="C421" s="2" t="n">
        <f aca="false">IFERROR(__xludf.dummyfunction("""COMPUTED_VALUE"""),128.02)</f>
        <v>128.02</v>
      </c>
      <c r="D421" s="2" t="n">
        <f aca="false">IFERROR(__xludf.dummyfunction("""COMPUTED_VALUE"""),123.66)</f>
        <v>123.66</v>
      </c>
      <c r="E421" s="2" t="n">
        <f aca="false">IFERROR(__xludf.dummyfunction("""COMPUTED_VALUE"""),127.82)</f>
        <v>127.82</v>
      </c>
      <c r="F421" s="2" t="n">
        <f aca="false">IFERROR(__xludf.dummyfunction("""COMPUTED_VALUE"""),56636145)</f>
        <v>56636145</v>
      </c>
    </row>
    <row r="422" customFormat="false" ht="15.75" hidden="false" customHeight="false" outlineLevel="0" collapsed="false">
      <c r="A422" s="3" t="n">
        <f aca="false">IFERROR(__xludf.dummyfunction("""COMPUTED_VALUE"""),44806.6666666667)</f>
        <v>44806.6666666667</v>
      </c>
      <c r="B422" s="2" t="n">
        <f aca="false">IFERROR(__xludf.dummyfunction("""COMPUTED_VALUE"""),129.5)</f>
        <v>129.5</v>
      </c>
      <c r="C422" s="2" t="n">
        <f aca="false">IFERROR(__xludf.dummyfunction("""COMPUTED_VALUE"""),131.38)</f>
        <v>131.38</v>
      </c>
      <c r="D422" s="2" t="n">
        <f aca="false">IFERROR(__xludf.dummyfunction("""COMPUTED_VALUE"""),126.39)</f>
        <v>126.39</v>
      </c>
      <c r="E422" s="2" t="n">
        <f aca="false">IFERROR(__xludf.dummyfunction("""COMPUTED_VALUE"""),127.51)</f>
        <v>127.51</v>
      </c>
      <c r="F422" s="2" t="n">
        <f aca="false">IFERROR(__xludf.dummyfunction("""COMPUTED_VALUE"""),57429829)</f>
        <v>57429829</v>
      </c>
    </row>
    <row r="423" customFormat="false" ht="15.75" hidden="false" customHeight="false" outlineLevel="0" collapsed="false">
      <c r="A423" s="3" t="n">
        <f aca="false">IFERROR(__xludf.dummyfunction("""COMPUTED_VALUE"""),44810.6666666667)</f>
        <v>44810.6666666667</v>
      </c>
      <c r="B423" s="2" t="n">
        <f aca="false">IFERROR(__xludf.dummyfunction("""COMPUTED_VALUE"""),127.92)</f>
        <v>127.92</v>
      </c>
      <c r="C423" s="2" t="n">
        <f aca="false">IFERROR(__xludf.dummyfunction("""COMPUTED_VALUE"""),128.62)</f>
        <v>128.62</v>
      </c>
      <c r="D423" s="2" t="n">
        <f aca="false">IFERROR(__xludf.dummyfunction("""COMPUTED_VALUE"""),124.74)</f>
        <v>124.74</v>
      </c>
      <c r="E423" s="2" t="n">
        <f aca="false">IFERROR(__xludf.dummyfunction("""COMPUTED_VALUE"""),126.11)</f>
        <v>126.11</v>
      </c>
      <c r="F423" s="2" t="n">
        <f aca="false">IFERROR(__xludf.dummyfunction("""COMPUTED_VALUE"""),43888587)</f>
        <v>43888587</v>
      </c>
    </row>
    <row r="424" customFormat="false" ht="15.75" hidden="false" customHeight="false" outlineLevel="0" collapsed="false">
      <c r="A424" s="3" t="n">
        <f aca="false">IFERROR(__xludf.dummyfunction("""COMPUTED_VALUE"""),44811.6666666667)</f>
        <v>44811.6666666667</v>
      </c>
      <c r="B424" s="2" t="n">
        <f aca="false">IFERROR(__xludf.dummyfunction("""COMPUTED_VALUE"""),126.12)</f>
        <v>126.12</v>
      </c>
      <c r="C424" s="2" t="n">
        <f aca="false">IFERROR(__xludf.dummyfunction("""COMPUTED_VALUE"""),129.82)</f>
        <v>129.82</v>
      </c>
      <c r="D424" s="2" t="n">
        <f aca="false">IFERROR(__xludf.dummyfunction("""COMPUTED_VALUE"""),125.4)</f>
        <v>125.4</v>
      </c>
      <c r="E424" s="2" t="n">
        <f aca="false">IFERROR(__xludf.dummyfunction("""COMPUTED_VALUE"""),129.48)</f>
        <v>129.48</v>
      </c>
      <c r="F424" s="2" t="n">
        <f aca="false">IFERROR(__xludf.dummyfunction("""COMPUTED_VALUE"""),47834487)</f>
        <v>47834487</v>
      </c>
    </row>
    <row r="425" customFormat="false" ht="15.75" hidden="false" customHeight="false" outlineLevel="0" collapsed="false">
      <c r="A425" s="3" t="n">
        <f aca="false">IFERROR(__xludf.dummyfunction("""COMPUTED_VALUE"""),44812.6666666667)</f>
        <v>44812.6666666667</v>
      </c>
      <c r="B425" s="2" t="n">
        <f aca="false">IFERROR(__xludf.dummyfunction("""COMPUTED_VALUE"""),127.72)</f>
        <v>127.72</v>
      </c>
      <c r="C425" s="2" t="n">
        <f aca="false">IFERROR(__xludf.dummyfunction("""COMPUTED_VALUE"""),130.28)</f>
        <v>130.28</v>
      </c>
      <c r="D425" s="2" t="n">
        <f aca="false">IFERROR(__xludf.dummyfunction("""COMPUTED_VALUE"""),127.1)</f>
        <v>127.1</v>
      </c>
      <c r="E425" s="2" t="n">
        <f aca="false">IFERROR(__xludf.dummyfunction("""COMPUTED_VALUE"""),129.82)</f>
        <v>129.82</v>
      </c>
      <c r="F425" s="2" t="n">
        <f aca="false">IFERROR(__xludf.dummyfunction("""COMPUTED_VALUE"""),43988509)</f>
        <v>43988509</v>
      </c>
    </row>
    <row r="426" customFormat="false" ht="15.75" hidden="false" customHeight="false" outlineLevel="0" collapsed="false">
      <c r="A426" s="3" t="n">
        <f aca="false">IFERROR(__xludf.dummyfunction("""COMPUTED_VALUE"""),44813.6666666667)</f>
        <v>44813.6666666667</v>
      </c>
      <c r="B426" s="2" t="n">
        <f aca="false">IFERROR(__xludf.dummyfunction("""COMPUTED_VALUE"""),130.91)</f>
        <v>130.91</v>
      </c>
      <c r="C426" s="2" t="n">
        <f aca="false">IFERROR(__xludf.dummyfunction("""COMPUTED_VALUE"""),133.69)</f>
        <v>133.69</v>
      </c>
      <c r="D426" s="2" t="n">
        <f aca="false">IFERROR(__xludf.dummyfunction("""COMPUTED_VALUE"""),130.76)</f>
        <v>130.76</v>
      </c>
      <c r="E426" s="2" t="n">
        <f aca="false">IFERROR(__xludf.dummyfunction("""COMPUTED_VALUE"""),133.27)</f>
        <v>133.27</v>
      </c>
      <c r="F426" s="2" t="n">
        <f aca="false">IFERROR(__xludf.dummyfunction("""COMPUTED_VALUE"""),49422259)</f>
        <v>49422259</v>
      </c>
    </row>
    <row r="427" customFormat="false" ht="15.75" hidden="false" customHeight="false" outlineLevel="0" collapsed="false">
      <c r="A427" s="3" t="n">
        <f aca="false">IFERROR(__xludf.dummyfunction("""COMPUTED_VALUE"""),44816.6666666667)</f>
        <v>44816.6666666667</v>
      </c>
      <c r="B427" s="2" t="n">
        <f aca="false">IFERROR(__xludf.dummyfunction("""COMPUTED_VALUE"""),134.1)</f>
        <v>134.1</v>
      </c>
      <c r="C427" s="2" t="n">
        <f aca="false">IFERROR(__xludf.dummyfunction("""COMPUTED_VALUE"""),136.49)</f>
        <v>136.49</v>
      </c>
      <c r="D427" s="2" t="n">
        <f aca="false">IFERROR(__xludf.dummyfunction("""COMPUTED_VALUE"""),134)</f>
        <v>134</v>
      </c>
      <c r="E427" s="2" t="n">
        <f aca="false">IFERROR(__xludf.dummyfunction("""COMPUTED_VALUE"""),136.45)</f>
        <v>136.45</v>
      </c>
      <c r="F427" s="2" t="n">
        <f aca="false">IFERROR(__xludf.dummyfunction("""COMPUTED_VALUE"""),53826859)</f>
        <v>53826859</v>
      </c>
    </row>
    <row r="428" customFormat="false" ht="15.75" hidden="false" customHeight="false" outlineLevel="0" collapsed="false">
      <c r="A428" s="3" t="n">
        <f aca="false">IFERROR(__xludf.dummyfunction("""COMPUTED_VALUE"""),44817.6666666667)</f>
        <v>44817.6666666667</v>
      </c>
      <c r="B428" s="2" t="n">
        <f aca="false">IFERROR(__xludf.dummyfunction("""COMPUTED_VALUE"""),131.01)</f>
        <v>131.01</v>
      </c>
      <c r="C428" s="2" t="n">
        <f aca="false">IFERROR(__xludf.dummyfunction("""COMPUTED_VALUE"""),131.4)</f>
        <v>131.4</v>
      </c>
      <c r="D428" s="2" t="n">
        <f aca="false">IFERROR(__xludf.dummyfunction("""COMPUTED_VALUE"""),126.27)</f>
        <v>126.27</v>
      </c>
      <c r="E428" s="2" t="n">
        <f aca="false">IFERROR(__xludf.dummyfunction("""COMPUTED_VALUE"""),126.82)</f>
        <v>126.82</v>
      </c>
      <c r="F428" s="2" t="n">
        <f aca="false">IFERROR(__xludf.dummyfunction("""COMPUTED_VALUE"""),72694010)</f>
        <v>72694010</v>
      </c>
    </row>
    <row r="429" customFormat="false" ht="15.75" hidden="false" customHeight="false" outlineLevel="0" collapsed="false">
      <c r="A429" s="3" t="n">
        <f aca="false">IFERROR(__xludf.dummyfunction("""COMPUTED_VALUE"""),44818.6666666667)</f>
        <v>44818.6666666667</v>
      </c>
      <c r="B429" s="2" t="n">
        <f aca="false">IFERROR(__xludf.dummyfunction("""COMPUTED_VALUE"""),127.36)</f>
        <v>127.36</v>
      </c>
      <c r="C429" s="2" t="n">
        <f aca="false">IFERROR(__xludf.dummyfunction("""COMPUTED_VALUE"""),128.84)</f>
        <v>128.84</v>
      </c>
      <c r="D429" s="2" t="n">
        <f aca="false">IFERROR(__xludf.dummyfunction("""COMPUTED_VALUE"""),126.33)</f>
        <v>126.33</v>
      </c>
      <c r="E429" s="2" t="n">
        <f aca="false">IFERROR(__xludf.dummyfunction("""COMPUTED_VALUE"""),128.55)</f>
        <v>128.55</v>
      </c>
      <c r="F429" s="2" t="n">
        <f aca="false">IFERROR(__xludf.dummyfunction("""COMPUTED_VALUE"""),45316772)</f>
        <v>45316772</v>
      </c>
    </row>
    <row r="430" customFormat="false" ht="15.75" hidden="false" customHeight="false" outlineLevel="0" collapsed="false">
      <c r="A430" s="3" t="n">
        <f aca="false">IFERROR(__xludf.dummyfunction("""COMPUTED_VALUE"""),44819.6666666667)</f>
        <v>44819.6666666667</v>
      </c>
      <c r="B430" s="2" t="n">
        <f aca="false">IFERROR(__xludf.dummyfunction("""COMPUTED_VALUE"""),127.38)</f>
        <v>127.38</v>
      </c>
      <c r="C430" s="2" t="n">
        <f aca="false">IFERROR(__xludf.dummyfunction("""COMPUTED_VALUE"""),130.37)</f>
        <v>130.37</v>
      </c>
      <c r="D430" s="2" t="n">
        <f aca="false">IFERROR(__xludf.dummyfunction("""COMPUTED_VALUE"""),125.5)</f>
        <v>125.5</v>
      </c>
      <c r="E430" s="2" t="n">
        <f aca="false">IFERROR(__xludf.dummyfunction("""COMPUTED_VALUE"""),126.28)</f>
        <v>126.28</v>
      </c>
      <c r="F430" s="2" t="n">
        <f aca="false">IFERROR(__xludf.dummyfunction("""COMPUTED_VALUE"""),52887196)</f>
        <v>52887196</v>
      </c>
    </row>
    <row r="431" customFormat="false" ht="15.75" hidden="false" customHeight="false" outlineLevel="0" collapsed="false">
      <c r="A431" s="3" t="n">
        <f aca="false">IFERROR(__xludf.dummyfunction("""COMPUTED_VALUE"""),44820.6666666667)</f>
        <v>44820.6666666667</v>
      </c>
      <c r="B431" s="2" t="n">
        <f aca="false">IFERROR(__xludf.dummyfunction("""COMPUTED_VALUE"""),122.78)</f>
        <v>122.78</v>
      </c>
      <c r="C431" s="2" t="n">
        <f aca="false">IFERROR(__xludf.dummyfunction("""COMPUTED_VALUE"""),123.87)</f>
        <v>123.87</v>
      </c>
      <c r="D431" s="2" t="n">
        <f aca="false">IFERROR(__xludf.dummyfunction("""COMPUTED_VALUE"""),120.7)</f>
        <v>120.7</v>
      </c>
      <c r="E431" s="2" t="n">
        <f aca="false">IFERROR(__xludf.dummyfunction("""COMPUTED_VALUE"""),123.53)</f>
        <v>123.53</v>
      </c>
      <c r="F431" s="2" t="n">
        <f aca="false">IFERROR(__xludf.dummyfunction("""COMPUTED_VALUE"""),115667804)</f>
        <v>115667804</v>
      </c>
    </row>
    <row r="432" customFormat="false" ht="15.75" hidden="false" customHeight="false" outlineLevel="0" collapsed="false">
      <c r="A432" s="3" t="n">
        <f aca="false">IFERROR(__xludf.dummyfunction("""COMPUTED_VALUE"""),44823.6666666667)</f>
        <v>44823.6666666667</v>
      </c>
      <c r="B432" s="2" t="n">
        <f aca="false">IFERROR(__xludf.dummyfunction("""COMPUTED_VALUE"""),122.16)</f>
        <v>122.16</v>
      </c>
      <c r="C432" s="2" t="n">
        <f aca="false">IFERROR(__xludf.dummyfunction("""COMPUTED_VALUE"""),124.71)</f>
        <v>124.71</v>
      </c>
      <c r="D432" s="2" t="n">
        <f aca="false">IFERROR(__xludf.dummyfunction("""COMPUTED_VALUE"""),121.8)</f>
        <v>121.8</v>
      </c>
      <c r="E432" s="2" t="n">
        <f aca="false">IFERROR(__xludf.dummyfunction("""COMPUTED_VALUE"""),124.66)</f>
        <v>124.66</v>
      </c>
      <c r="F432" s="2" t="n">
        <f aca="false">IFERROR(__xludf.dummyfunction("""COMPUTED_VALUE"""),47279727)</f>
        <v>47279727</v>
      </c>
    </row>
    <row r="433" customFormat="false" ht="15.75" hidden="false" customHeight="false" outlineLevel="0" collapsed="false">
      <c r="A433" s="3" t="n">
        <f aca="false">IFERROR(__xludf.dummyfunction("""COMPUTED_VALUE"""),44824.6666666667)</f>
        <v>44824.6666666667</v>
      </c>
      <c r="B433" s="2" t="n">
        <f aca="false">IFERROR(__xludf.dummyfunction("""COMPUTED_VALUE"""),123.35)</f>
        <v>123.35</v>
      </c>
      <c r="C433" s="2" t="n">
        <f aca="false">IFERROR(__xludf.dummyfunction("""COMPUTED_VALUE"""),124.4)</f>
        <v>124.4</v>
      </c>
      <c r="D433" s="2" t="n">
        <f aca="false">IFERROR(__xludf.dummyfunction("""COMPUTED_VALUE"""),121.14)</f>
        <v>121.14</v>
      </c>
      <c r="E433" s="2" t="n">
        <f aca="false">IFERROR(__xludf.dummyfunction("""COMPUTED_VALUE"""),122.19)</f>
        <v>122.19</v>
      </c>
      <c r="F433" s="2" t="n">
        <f aca="false">IFERROR(__xludf.dummyfunction("""COMPUTED_VALUE"""),47698432)</f>
        <v>47698432</v>
      </c>
    </row>
    <row r="434" customFormat="false" ht="15.75" hidden="false" customHeight="false" outlineLevel="0" collapsed="false">
      <c r="A434" s="3" t="n">
        <f aca="false">IFERROR(__xludf.dummyfunction("""COMPUTED_VALUE"""),44825.6666666667)</f>
        <v>44825.6666666667</v>
      </c>
      <c r="B434" s="2" t="n">
        <f aca="false">IFERROR(__xludf.dummyfunction("""COMPUTED_VALUE"""),122.49)</f>
        <v>122.49</v>
      </c>
      <c r="C434" s="2" t="n">
        <f aca="false">IFERROR(__xludf.dummyfunction("""COMPUTED_VALUE"""),123.76)</f>
        <v>123.76</v>
      </c>
      <c r="D434" s="2" t="n">
        <f aca="false">IFERROR(__xludf.dummyfunction("""COMPUTED_VALUE"""),118.45)</f>
        <v>118.45</v>
      </c>
      <c r="E434" s="2" t="n">
        <f aca="false">IFERROR(__xludf.dummyfunction("""COMPUTED_VALUE"""),118.54)</f>
        <v>118.54</v>
      </c>
      <c r="F434" s="2" t="n">
        <f aca="false">IFERROR(__xludf.dummyfunction("""COMPUTED_VALUE"""),58498887)</f>
        <v>58498887</v>
      </c>
    </row>
    <row r="435" customFormat="false" ht="15.75" hidden="false" customHeight="false" outlineLevel="0" collapsed="false">
      <c r="A435" s="3" t="n">
        <f aca="false">IFERROR(__xludf.dummyfunction("""COMPUTED_VALUE"""),44826.6666666667)</f>
        <v>44826.6666666667</v>
      </c>
      <c r="B435" s="2" t="n">
        <f aca="false">IFERROR(__xludf.dummyfunction("""COMPUTED_VALUE"""),117.08)</f>
        <v>117.08</v>
      </c>
      <c r="C435" s="2" t="n">
        <f aca="false">IFERROR(__xludf.dummyfunction("""COMPUTED_VALUE"""),118.79)</f>
        <v>118.79</v>
      </c>
      <c r="D435" s="2" t="n">
        <f aca="false">IFERROR(__xludf.dummyfunction("""COMPUTED_VALUE"""),116.26)</f>
        <v>116.26</v>
      </c>
      <c r="E435" s="2" t="n">
        <f aca="false">IFERROR(__xludf.dummyfunction("""COMPUTED_VALUE"""),117.31)</f>
        <v>117.31</v>
      </c>
      <c r="F435" s="2" t="n">
        <f aca="false">IFERROR(__xludf.dummyfunction("""COMPUTED_VALUE"""),55229190)</f>
        <v>55229190</v>
      </c>
    </row>
    <row r="436" customFormat="false" ht="15.75" hidden="false" customHeight="false" outlineLevel="0" collapsed="false">
      <c r="A436" s="3" t="n">
        <f aca="false">IFERROR(__xludf.dummyfunction("""COMPUTED_VALUE"""),44827.6666666667)</f>
        <v>44827.6666666667</v>
      </c>
      <c r="B436" s="2" t="n">
        <f aca="false">IFERROR(__xludf.dummyfunction("""COMPUTED_VALUE"""),116)</f>
        <v>116</v>
      </c>
      <c r="C436" s="2" t="n">
        <f aca="false">IFERROR(__xludf.dummyfunction("""COMPUTED_VALUE"""),116.05)</f>
        <v>116.05</v>
      </c>
      <c r="D436" s="2" t="n">
        <f aca="false">IFERROR(__xludf.dummyfunction("""COMPUTED_VALUE"""),112.06)</f>
        <v>112.06</v>
      </c>
      <c r="E436" s="2" t="n">
        <f aca="false">IFERROR(__xludf.dummyfunction("""COMPUTED_VALUE"""),113.78)</f>
        <v>113.78</v>
      </c>
      <c r="F436" s="2" t="n">
        <f aca="false">IFERROR(__xludf.dummyfunction("""COMPUTED_VALUE"""),65126665)</f>
        <v>65126665</v>
      </c>
    </row>
    <row r="437" customFormat="false" ht="15.75" hidden="false" customHeight="false" outlineLevel="0" collapsed="false">
      <c r="A437" s="3" t="n">
        <f aca="false">IFERROR(__xludf.dummyfunction("""COMPUTED_VALUE"""),44830.6666666667)</f>
        <v>44830.6666666667</v>
      </c>
      <c r="B437" s="2" t="n">
        <f aca="false">IFERROR(__xludf.dummyfunction("""COMPUTED_VALUE"""),113.3)</f>
        <v>113.3</v>
      </c>
      <c r="C437" s="2" t="n">
        <f aca="false">IFERROR(__xludf.dummyfunction("""COMPUTED_VALUE"""),117.34)</f>
        <v>117.34</v>
      </c>
      <c r="D437" s="2" t="n">
        <f aca="false">IFERROR(__xludf.dummyfunction("""COMPUTED_VALUE"""),113.13)</f>
        <v>113.13</v>
      </c>
      <c r="E437" s="2" t="n">
        <f aca="false">IFERROR(__xludf.dummyfunction("""COMPUTED_VALUE"""),115.15)</f>
        <v>115.15</v>
      </c>
      <c r="F437" s="2" t="n">
        <f aca="false">IFERROR(__xludf.dummyfunction("""COMPUTED_VALUE"""),62723268)</f>
        <v>62723268</v>
      </c>
    </row>
    <row r="438" customFormat="false" ht="15.75" hidden="false" customHeight="false" outlineLevel="0" collapsed="false">
      <c r="A438" s="3" t="n">
        <f aca="false">IFERROR(__xludf.dummyfunction("""COMPUTED_VALUE"""),44831.6666666667)</f>
        <v>44831.6666666667</v>
      </c>
      <c r="B438" s="2" t="n">
        <f aca="false">IFERROR(__xludf.dummyfunction("""COMPUTED_VALUE"""),117.2)</f>
        <v>117.2</v>
      </c>
      <c r="C438" s="2" t="n">
        <f aca="false">IFERROR(__xludf.dummyfunction("""COMPUTED_VALUE"""),118.32)</f>
        <v>118.32</v>
      </c>
      <c r="D438" s="2" t="n">
        <f aca="false">IFERROR(__xludf.dummyfunction("""COMPUTED_VALUE"""),113.05)</f>
        <v>113.05</v>
      </c>
      <c r="E438" s="2" t="n">
        <f aca="false">IFERROR(__xludf.dummyfunction("""COMPUTED_VALUE"""),114.41)</f>
        <v>114.41</v>
      </c>
      <c r="F438" s="2" t="n">
        <f aca="false">IFERROR(__xludf.dummyfunction("""COMPUTED_VALUE"""),60094693)</f>
        <v>60094693</v>
      </c>
    </row>
    <row r="439" customFormat="false" ht="15.75" hidden="false" customHeight="false" outlineLevel="0" collapsed="false">
      <c r="A439" s="3" t="n">
        <f aca="false">IFERROR(__xludf.dummyfunction("""COMPUTED_VALUE"""),44832.6666666667)</f>
        <v>44832.6666666667</v>
      </c>
      <c r="B439" s="2" t="n">
        <f aca="false">IFERROR(__xludf.dummyfunction("""COMPUTED_VALUE"""),114.38)</f>
        <v>114.38</v>
      </c>
      <c r="C439" s="2" t="n">
        <f aca="false">IFERROR(__xludf.dummyfunction("""COMPUTED_VALUE"""),118.7)</f>
        <v>118.7</v>
      </c>
      <c r="D439" s="2" t="n">
        <f aca="false">IFERROR(__xludf.dummyfunction("""COMPUTED_VALUE"""),113.8)</f>
        <v>113.8</v>
      </c>
      <c r="E439" s="2" t="n">
        <f aca="false">IFERROR(__xludf.dummyfunction("""COMPUTED_VALUE"""),118.01)</f>
        <v>118.01</v>
      </c>
      <c r="F439" s="2" t="n">
        <f aca="false">IFERROR(__xludf.dummyfunction("""COMPUTED_VALUE"""),55763750)</f>
        <v>55763750</v>
      </c>
    </row>
    <row r="440" customFormat="false" ht="15.75" hidden="false" customHeight="false" outlineLevel="0" collapsed="false">
      <c r="A440" s="3" t="n">
        <f aca="false">IFERROR(__xludf.dummyfunction("""COMPUTED_VALUE"""),44833.6666666667)</f>
        <v>44833.6666666667</v>
      </c>
      <c r="B440" s="2" t="n">
        <f aca="false">IFERROR(__xludf.dummyfunction("""COMPUTED_VALUE"""),115.6)</f>
        <v>115.6</v>
      </c>
      <c r="C440" s="2" t="n">
        <f aca="false">IFERROR(__xludf.dummyfunction("""COMPUTED_VALUE"""),116.07)</f>
        <v>116.07</v>
      </c>
      <c r="D440" s="2" t="n">
        <f aca="false">IFERROR(__xludf.dummyfunction("""COMPUTED_VALUE"""),113.06)</f>
        <v>113.06</v>
      </c>
      <c r="E440" s="2" t="n">
        <f aca="false">IFERROR(__xludf.dummyfunction("""COMPUTED_VALUE"""),114.8)</f>
        <v>114.8</v>
      </c>
      <c r="F440" s="2" t="n">
        <f aca="false">IFERROR(__xludf.dummyfunction("""COMPUTED_VALUE"""),58969714)</f>
        <v>58969714</v>
      </c>
    </row>
    <row r="441" customFormat="false" ht="15.75" hidden="false" customHeight="false" outlineLevel="0" collapsed="false">
      <c r="A441" s="3" t="n">
        <f aca="false">IFERROR(__xludf.dummyfunction("""COMPUTED_VALUE"""),44834.6666666667)</f>
        <v>44834.6666666667</v>
      </c>
      <c r="B441" s="2" t="n">
        <f aca="false">IFERROR(__xludf.dummyfunction("""COMPUTED_VALUE"""),114.08)</f>
        <v>114.08</v>
      </c>
      <c r="C441" s="2" t="n">
        <f aca="false">IFERROR(__xludf.dummyfunction("""COMPUTED_VALUE"""),116.92)</f>
        <v>116.92</v>
      </c>
      <c r="D441" s="2" t="n">
        <f aca="false">IFERROR(__xludf.dummyfunction("""COMPUTED_VALUE"""),112.84)</f>
        <v>112.84</v>
      </c>
      <c r="E441" s="2" t="n">
        <f aca="false">IFERROR(__xludf.dummyfunction("""COMPUTED_VALUE"""),113)</f>
        <v>113</v>
      </c>
      <c r="F441" s="2" t="n">
        <f aca="false">IFERROR(__xludf.dummyfunction("""COMPUTED_VALUE"""),59479586)</f>
        <v>59479586</v>
      </c>
    </row>
    <row r="442" customFormat="false" ht="15.75" hidden="false" customHeight="false" outlineLevel="0" collapsed="false">
      <c r="A442" s="3" t="n">
        <f aca="false">IFERROR(__xludf.dummyfunction("""COMPUTED_VALUE"""),44837.6666666667)</f>
        <v>44837.6666666667</v>
      </c>
      <c r="B442" s="2" t="n">
        <f aca="false">IFERROR(__xludf.dummyfunction("""COMPUTED_VALUE"""),113.58)</f>
        <v>113.58</v>
      </c>
      <c r="C442" s="2" t="n">
        <f aca="false">IFERROR(__xludf.dummyfunction("""COMPUTED_VALUE"""),116.91)</f>
        <v>116.91</v>
      </c>
      <c r="D442" s="2" t="n">
        <f aca="false">IFERROR(__xludf.dummyfunction("""COMPUTED_VALUE"""),112.45)</f>
        <v>112.45</v>
      </c>
      <c r="E442" s="2" t="n">
        <f aca="false">IFERROR(__xludf.dummyfunction("""COMPUTED_VALUE"""),115.88)</f>
        <v>115.88</v>
      </c>
      <c r="F442" s="2" t="n">
        <f aca="false">IFERROR(__xludf.dummyfunction("""COMPUTED_VALUE"""),50941854)</f>
        <v>50941854</v>
      </c>
    </row>
    <row r="443" customFormat="false" ht="15.75" hidden="false" customHeight="false" outlineLevel="0" collapsed="false">
      <c r="A443" s="3" t="n">
        <f aca="false">IFERROR(__xludf.dummyfunction("""COMPUTED_VALUE"""),44838.6666666667)</f>
        <v>44838.6666666667</v>
      </c>
      <c r="B443" s="2" t="n">
        <f aca="false">IFERROR(__xludf.dummyfunction("""COMPUTED_VALUE"""),119.89)</f>
        <v>119.89</v>
      </c>
      <c r="C443" s="2" t="n">
        <f aca="false">IFERROR(__xludf.dummyfunction("""COMPUTED_VALUE"""),123)</f>
        <v>123</v>
      </c>
      <c r="D443" s="2" t="n">
        <f aca="false">IFERROR(__xludf.dummyfunction("""COMPUTED_VALUE"""),119.79)</f>
        <v>119.79</v>
      </c>
      <c r="E443" s="2" t="n">
        <f aca="false">IFERROR(__xludf.dummyfunction("""COMPUTED_VALUE"""),121.09)</f>
        <v>121.09</v>
      </c>
      <c r="F443" s="2" t="n">
        <f aca="false">IFERROR(__xludf.dummyfunction("""COMPUTED_VALUE"""),62812564)</f>
        <v>62812564</v>
      </c>
    </row>
    <row r="444" customFormat="false" ht="15.75" hidden="false" customHeight="false" outlineLevel="0" collapsed="false">
      <c r="A444" s="3" t="n">
        <f aca="false">IFERROR(__xludf.dummyfunction("""COMPUTED_VALUE"""),44839.6666666667)</f>
        <v>44839.6666666667</v>
      </c>
      <c r="B444" s="2" t="n">
        <f aca="false">IFERROR(__xludf.dummyfunction("""COMPUTED_VALUE"""),118.58)</f>
        <v>118.58</v>
      </c>
      <c r="C444" s="2" t="n">
        <f aca="false">IFERROR(__xludf.dummyfunction("""COMPUTED_VALUE"""),121.75)</f>
        <v>121.75</v>
      </c>
      <c r="D444" s="2" t="n">
        <f aca="false">IFERROR(__xludf.dummyfunction("""COMPUTED_VALUE"""),117.69)</f>
        <v>117.69</v>
      </c>
      <c r="E444" s="2" t="n">
        <f aca="false">IFERROR(__xludf.dummyfunction("""COMPUTED_VALUE"""),120.95)</f>
        <v>120.95</v>
      </c>
      <c r="F444" s="2" t="n">
        <f aca="false">IFERROR(__xludf.dummyfunction("""COMPUTED_VALUE"""),48217535)</f>
        <v>48217535</v>
      </c>
    </row>
    <row r="445" customFormat="false" ht="15.75" hidden="false" customHeight="false" outlineLevel="0" collapsed="false">
      <c r="A445" s="3" t="n">
        <f aca="false">IFERROR(__xludf.dummyfunction("""COMPUTED_VALUE"""),44840.6666666667)</f>
        <v>44840.6666666667</v>
      </c>
      <c r="B445" s="2" t="n">
        <f aca="false">IFERROR(__xludf.dummyfunction("""COMPUTED_VALUE"""),120.77)</f>
        <v>120.77</v>
      </c>
      <c r="C445" s="2" t="n">
        <f aca="false">IFERROR(__xludf.dummyfunction("""COMPUTED_VALUE"""),121.53)</f>
        <v>121.53</v>
      </c>
      <c r="D445" s="2" t="n">
        <f aca="false">IFERROR(__xludf.dummyfunction("""COMPUTED_VALUE"""),119.5)</f>
        <v>119.5</v>
      </c>
      <c r="E445" s="2" t="n">
        <f aca="false">IFERROR(__xludf.dummyfunction("""COMPUTED_VALUE"""),120.3)</f>
        <v>120.3</v>
      </c>
      <c r="F445" s="2" t="n">
        <f aca="false">IFERROR(__xludf.dummyfunction("""COMPUTED_VALUE"""),42253755)</f>
        <v>42253755</v>
      </c>
    </row>
    <row r="446" customFormat="false" ht="15.75" hidden="false" customHeight="false" outlineLevel="0" collapsed="false">
      <c r="A446" s="3" t="n">
        <f aca="false">IFERROR(__xludf.dummyfunction("""COMPUTED_VALUE"""),44841.6666666667)</f>
        <v>44841.6666666667</v>
      </c>
      <c r="B446" s="2" t="n">
        <f aca="false">IFERROR(__xludf.dummyfunction("""COMPUTED_VALUE"""),118)</f>
        <v>118</v>
      </c>
      <c r="C446" s="2" t="n">
        <f aca="false">IFERROR(__xludf.dummyfunction("""COMPUTED_VALUE"""),118.17)</f>
        <v>118.17</v>
      </c>
      <c r="D446" s="2" t="n">
        <f aca="false">IFERROR(__xludf.dummyfunction("""COMPUTED_VALUE"""),113.88)</f>
        <v>113.88</v>
      </c>
      <c r="E446" s="2" t="n">
        <f aca="false">IFERROR(__xludf.dummyfunction("""COMPUTED_VALUE"""),114.56)</f>
        <v>114.56</v>
      </c>
      <c r="F446" s="2" t="n">
        <f aca="false">IFERROR(__xludf.dummyfunction("""COMPUTED_VALUE"""),54677980)</f>
        <v>54677980</v>
      </c>
    </row>
    <row r="447" customFormat="false" ht="15.75" hidden="false" customHeight="false" outlineLevel="0" collapsed="false">
      <c r="A447" s="3" t="n">
        <f aca="false">IFERROR(__xludf.dummyfunction("""COMPUTED_VALUE"""),44844.6666666667)</f>
        <v>44844.6666666667</v>
      </c>
      <c r="B447" s="2" t="n">
        <f aca="false">IFERROR(__xludf.dummyfunction("""COMPUTED_VALUE"""),115.1)</f>
        <v>115.1</v>
      </c>
      <c r="C447" s="2" t="n">
        <f aca="false">IFERROR(__xludf.dummyfunction("""COMPUTED_VALUE"""),116.25)</f>
        <v>116.25</v>
      </c>
      <c r="D447" s="2" t="n">
        <f aca="false">IFERROR(__xludf.dummyfunction("""COMPUTED_VALUE"""),112.43)</f>
        <v>112.43</v>
      </c>
      <c r="E447" s="2" t="n">
        <f aca="false">IFERROR(__xludf.dummyfunction("""COMPUTED_VALUE"""),113.67)</f>
        <v>113.67</v>
      </c>
      <c r="F447" s="2" t="n">
        <f aca="false">IFERROR(__xludf.dummyfunction("""COMPUTED_VALUE"""),42339675)</f>
        <v>42339675</v>
      </c>
    </row>
    <row r="448" customFormat="false" ht="15.75" hidden="false" customHeight="false" outlineLevel="0" collapsed="false">
      <c r="A448" s="3" t="n">
        <f aca="false">IFERROR(__xludf.dummyfunction("""COMPUTED_VALUE"""),44845.6666666667)</f>
        <v>44845.6666666667</v>
      </c>
      <c r="B448" s="2" t="n">
        <f aca="false">IFERROR(__xludf.dummyfunction("""COMPUTED_VALUE"""),112.71)</f>
        <v>112.71</v>
      </c>
      <c r="C448" s="2" t="n">
        <f aca="false">IFERROR(__xludf.dummyfunction("""COMPUTED_VALUE"""),115.48)</f>
        <v>115.48</v>
      </c>
      <c r="D448" s="2" t="n">
        <f aca="false">IFERROR(__xludf.dummyfunction("""COMPUTED_VALUE"""),110.39)</f>
        <v>110.39</v>
      </c>
      <c r="E448" s="2" t="n">
        <f aca="false">IFERROR(__xludf.dummyfunction("""COMPUTED_VALUE"""),112.21)</f>
        <v>112.21</v>
      </c>
      <c r="F448" s="2" t="n">
        <f aca="false">IFERROR(__xludf.dummyfunction("""COMPUTED_VALUE"""),56432233)</f>
        <v>56432233</v>
      </c>
    </row>
    <row r="449" customFormat="false" ht="15.75" hidden="false" customHeight="false" outlineLevel="0" collapsed="false">
      <c r="A449" s="3" t="n">
        <f aca="false">IFERROR(__xludf.dummyfunction("""COMPUTED_VALUE"""),44846.6666666667)</f>
        <v>44846.6666666667</v>
      </c>
      <c r="B449" s="2" t="n">
        <f aca="false">IFERROR(__xludf.dummyfunction("""COMPUTED_VALUE"""),112.49)</f>
        <v>112.49</v>
      </c>
      <c r="C449" s="2" t="n">
        <f aca="false">IFERROR(__xludf.dummyfunction("""COMPUTED_VALUE"""),113.83)</f>
        <v>113.83</v>
      </c>
      <c r="D449" s="2" t="n">
        <f aca="false">IFERROR(__xludf.dummyfunction("""COMPUTED_VALUE"""),111.4)</f>
        <v>111.4</v>
      </c>
      <c r="E449" s="2" t="n">
        <f aca="false">IFERROR(__xludf.dummyfunction("""COMPUTED_VALUE"""),112.9)</f>
        <v>112.9</v>
      </c>
      <c r="F449" s="2" t="n">
        <f aca="false">IFERROR(__xludf.dummyfunction("""COMPUTED_VALUE"""),45728660)</f>
        <v>45728660</v>
      </c>
    </row>
    <row r="450" customFormat="false" ht="15.75" hidden="false" customHeight="false" outlineLevel="0" collapsed="false">
      <c r="A450" s="3" t="n">
        <f aca="false">IFERROR(__xludf.dummyfunction("""COMPUTED_VALUE"""),44847.6666666667)</f>
        <v>44847.6666666667</v>
      </c>
      <c r="B450" s="2" t="n">
        <f aca="false">IFERROR(__xludf.dummyfunction("""COMPUTED_VALUE"""),107.88)</f>
        <v>107.88</v>
      </c>
      <c r="C450" s="2" t="n">
        <f aca="false">IFERROR(__xludf.dummyfunction("""COMPUTED_VALUE"""),113.44)</f>
        <v>113.44</v>
      </c>
      <c r="D450" s="2" t="n">
        <f aca="false">IFERROR(__xludf.dummyfunction("""COMPUTED_VALUE"""),105.35)</f>
        <v>105.35</v>
      </c>
      <c r="E450" s="2" t="n">
        <f aca="false">IFERROR(__xludf.dummyfunction("""COMPUTED_VALUE"""),112.53)</f>
        <v>112.53</v>
      </c>
      <c r="F450" s="2" t="n">
        <f aca="false">IFERROR(__xludf.dummyfunction("""COMPUTED_VALUE"""),86868103)</f>
        <v>86868103</v>
      </c>
    </row>
    <row r="451" customFormat="false" ht="15.75" hidden="false" customHeight="false" outlineLevel="0" collapsed="false">
      <c r="A451" s="3" t="n">
        <f aca="false">IFERROR(__xludf.dummyfunction("""COMPUTED_VALUE"""),44848.6666666667)</f>
        <v>44848.6666666667</v>
      </c>
      <c r="B451" s="2" t="n">
        <f aca="false">IFERROR(__xludf.dummyfunction("""COMPUTED_VALUE"""),114.1)</f>
        <v>114.1</v>
      </c>
      <c r="C451" s="2" t="n">
        <f aca="false">IFERROR(__xludf.dummyfunction("""COMPUTED_VALUE"""),114.96)</f>
        <v>114.96</v>
      </c>
      <c r="D451" s="2" t="n">
        <f aca="false">IFERROR(__xludf.dummyfunction("""COMPUTED_VALUE"""),106.6)</f>
        <v>106.6</v>
      </c>
      <c r="E451" s="2" t="n">
        <f aca="false">IFERROR(__xludf.dummyfunction("""COMPUTED_VALUE"""),106.9)</f>
        <v>106.9</v>
      </c>
      <c r="F451" s="2" t="n">
        <f aca="false">IFERROR(__xludf.dummyfunction("""COMPUTED_VALUE"""),67737344)</f>
        <v>67737344</v>
      </c>
    </row>
    <row r="452" customFormat="false" ht="15.75" hidden="false" customHeight="false" outlineLevel="0" collapsed="false">
      <c r="A452" s="3" t="n">
        <f aca="false">IFERROR(__xludf.dummyfunction("""COMPUTED_VALUE"""),44851.6666666667)</f>
        <v>44851.6666666667</v>
      </c>
      <c r="B452" s="2" t="n">
        <f aca="false">IFERROR(__xludf.dummyfunction("""COMPUTED_VALUE"""),110.11)</f>
        <v>110.11</v>
      </c>
      <c r="C452" s="2" t="n">
        <f aca="false">IFERROR(__xludf.dummyfunction("""COMPUTED_VALUE"""),114.19)</f>
        <v>114.19</v>
      </c>
      <c r="D452" s="2" t="n">
        <f aca="false">IFERROR(__xludf.dummyfunction("""COMPUTED_VALUE"""),110.09)</f>
        <v>110.09</v>
      </c>
      <c r="E452" s="2" t="n">
        <f aca="false">IFERROR(__xludf.dummyfunction("""COMPUTED_VALUE"""),113.79)</f>
        <v>113.79</v>
      </c>
      <c r="F452" s="2" t="n">
        <f aca="false">IFERROR(__xludf.dummyfunction("""COMPUTED_VALUE"""),62781985)</f>
        <v>62781985</v>
      </c>
    </row>
    <row r="453" customFormat="false" ht="15.75" hidden="false" customHeight="false" outlineLevel="0" collapsed="false">
      <c r="A453" s="3" t="n">
        <f aca="false">IFERROR(__xludf.dummyfunction("""COMPUTED_VALUE"""),44852.6666666667)</f>
        <v>44852.6666666667</v>
      </c>
      <c r="B453" s="2" t="n">
        <f aca="false">IFERROR(__xludf.dummyfunction("""COMPUTED_VALUE"""),119.06)</f>
        <v>119.06</v>
      </c>
      <c r="C453" s="2" t="n">
        <f aca="false">IFERROR(__xludf.dummyfunction("""COMPUTED_VALUE"""),119.52)</f>
        <v>119.52</v>
      </c>
      <c r="D453" s="2" t="n">
        <f aca="false">IFERROR(__xludf.dummyfunction("""COMPUTED_VALUE"""),114.79)</f>
        <v>114.79</v>
      </c>
      <c r="E453" s="2" t="n">
        <f aca="false">IFERROR(__xludf.dummyfunction("""COMPUTED_VALUE"""),116.36)</f>
        <v>116.36</v>
      </c>
      <c r="F453" s="2" t="n">
        <f aca="false">IFERROR(__xludf.dummyfunction("""COMPUTED_VALUE"""),65607448)</f>
        <v>65607448</v>
      </c>
    </row>
    <row r="454" customFormat="false" ht="15.75" hidden="false" customHeight="false" outlineLevel="0" collapsed="false">
      <c r="A454" s="3" t="n">
        <f aca="false">IFERROR(__xludf.dummyfunction("""COMPUTED_VALUE"""),44853.6666666667)</f>
        <v>44853.6666666667</v>
      </c>
      <c r="B454" s="2" t="n">
        <f aca="false">IFERROR(__xludf.dummyfunction("""COMPUTED_VALUE"""),114.71)</f>
        <v>114.71</v>
      </c>
      <c r="C454" s="2" t="n">
        <f aca="false">IFERROR(__xludf.dummyfunction("""COMPUTED_VALUE"""),116.59)</f>
        <v>116.59</v>
      </c>
      <c r="D454" s="2" t="n">
        <f aca="false">IFERROR(__xludf.dummyfunction("""COMPUTED_VALUE"""),113.22)</f>
        <v>113.22</v>
      </c>
      <c r="E454" s="2" t="n">
        <f aca="false">IFERROR(__xludf.dummyfunction("""COMPUTED_VALUE"""),115.07)</f>
        <v>115.07</v>
      </c>
      <c r="F454" s="2" t="n">
        <f aca="false">IFERROR(__xludf.dummyfunction("""COMPUTED_VALUE"""),47198122)</f>
        <v>47198122</v>
      </c>
    </row>
    <row r="455" customFormat="false" ht="15.75" hidden="false" customHeight="false" outlineLevel="0" collapsed="false">
      <c r="A455" s="3" t="n">
        <f aca="false">IFERROR(__xludf.dummyfunction("""COMPUTED_VALUE"""),44854.6666666667)</f>
        <v>44854.6666666667</v>
      </c>
      <c r="B455" s="2" t="n">
        <f aca="false">IFERROR(__xludf.dummyfunction("""COMPUTED_VALUE"""),113.83)</f>
        <v>113.83</v>
      </c>
      <c r="C455" s="2" t="n">
        <f aca="false">IFERROR(__xludf.dummyfunction("""COMPUTED_VALUE"""),118.24)</f>
        <v>118.24</v>
      </c>
      <c r="D455" s="2" t="n">
        <f aca="false">IFERROR(__xludf.dummyfunction("""COMPUTED_VALUE"""),113.51)</f>
        <v>113.51</v>
      </c>
      <c r="E455" s="2" t="n">
        <f aca="false">IFERROR(__xludf.dummyfunction("""COMPUTED_VALUE"""),115.25)</f>
        <v>115.25</v>
      </c>
      <c r="F455" s="2" t="n">
        <f aca="false">IFERROR(__xludf.dummyfunction("""COMPUTED_VALUE"""),48795104)</f>
        <v>48795104</v>
      </c>
    </row>
    <row r="456" customFormat="false" ht="15.75" hidden="false" customHeight="false" outlineLevel="0" collapsed="false">
      <c r="A456" s="3" t="n">
        <f aca="false">IFERROR(__xludf.dummyfunction("""COMPUTED_VALUE"""),44855.6666666667)</f>
        <v>44855.6666666667</v>
      </c>
      <c r="B456" s="2" t="n">
        <f aca="false">IFERROR(__xludf.dummyfunction("""COMPUTED_VALUE"""),114.79)</f>
        <v>114.79</v>
      </c>
      <c r="C456" s="2" t="n">
        <f aca="false">IFERROR(__xludf.dummyfunction("""COMPUTED_VALUE"""),119.59)</f>
        <v>119.59</v>
      </c>
      <c r="D456" s="2" t="n">
        <f aca="false">IFERROR(__xludf.dummyfunction("""COMPUTED_VALUE"""),114.5)</f>
        <v>114.5</v>
      </c>
      <c r="E456" s="2" t="n">
        <f aca="false">IFERROR(__xludf.dummyfunction("""COMPUTED_VALUE"""),119.32)</f>
        <v>119.32</v>
      </c>
      <c r="F456" s="2" t="n">
        <f aca="false">IFERROR(__xludf.dummyfunction("""COMPUTED_VALUE"""),55660485)</f>
        <v>55660485</v>
      </c>
    </row>
    <row r="457" customFormat="false" ht="15.75" hidden="false" customHeight="false" outlineLevel="0" collapsed="false">
      <c r="A457" s="3" t="n">
        <f aca="false">IFERROR(__xludf.dummyfunction("""COMPUTED_VALUE"""),44858.6666666667)</f>
        <v>44858.6666666667</v>
      </c>
      <c r="B457" s="2" t="n">
        <f aca="false">IFERROR(__xludf.dummyfunction("""COMPUTED_VALUE"""),119.98)</f>
        <v>119.98</v>
      </c>
      <c r="C457" s="2" t="n">
        <f aca="false">IFERROR(__xludf.dummyfunction("""COMPUTED_VALUE"""),120.39)</f>
        <v>120.39</v>
      </c>
      <c r="D457" s="2" t="n">
        <f aca="false">IFERROR(__xludf.dummyfunction("""COMPUTED_VALUE"""),116.57)</f>
        <v>116.57</v>
      </c>
      <c r="E457" s="2" t="n">
        <f aca="false">IFERROR(__xludf.dummyfunction("""COMPUTED_VALUE"""),119.82)</f>
        <v>119.82</v>
      </c>
      <c r="F457" s="2" t="n">
        <f aca="false">IFERROR(__xludf.dummyfunction("""COMPUTED_VALUE"""),49531523)</f>
        <v>49531523</v>
      </c>
    </row>
    <row r="458" customFormat="false" ht="15.75" hidden="false" customHeight="false" outlineLevel="0" collapsed="false">
      <c r="A458" s="3" t="n">
        <f aca="false">IFERROR(__xludf.dummyfunction("""COMPUTED_VALUE"""),44859.6666666667)</f>
        <v>44859.6666666667</v>
      </c>
      <c r="B458" s="2" t="n">
        <f aca="false">IFERROR(__xludf.dummyfunction("""COMPUTED_VALUE"""),119.65)</f>
        <v>119.65</v>
      </c>
      <c r="C458" s="2" t="n">
        <f aca="false">IFERROR(__xludf.dummyfunction("""COMPUTED_VALUE"""),121.32)</f>
        <v>121.32</v>
      </c>
      <c r="D458" s="2" t="n">
        <f aca="false">IFERROR(__xludf.dummyfunction("""COMPUTED_VALUE"""),118.95)</f>
        <v>118.95</v>
      </c>
      <c r="E458" s="2" t="n">
        <f aca="false">IFERROR(__xludf.dummyfunction("""COMPUTED_VALUE"""),120.6)</f>
        <v>120.6</v>
      </c>
      <c r="F458" s="2" t="n">
        <f aca="false">IFERROR(__xludf.dummyfunction("""COMPUTED_VALUE"""),50934609)</f>
        <v>50934609</v>
      </c>
    </row>
    <row r="459" customFormat="false" ht="15.75" hidden="false" customHeight="false" outlineLevel="0" collapsed="false">
      <c r="A459" s="3" t="n">
        <f aca="false">IFERROR(__xludf.dummyfunction("""COMPUTED_VALUE"""),44860.6666666667)</f>
        <v>44860.6666666667</v>
      </c>
      <c r="B459" s="2" t="n">
        <f aca="false">IFERROR(__xludf.dummyfunction("""COMPUTED_VALUE"""),116)</f>
        <v>116</v>
      </c>
      <c r="C459" s="2" t="n">
        <f aca="false">IFERROR(__xludf.dummyfunction("""COMPUTED_VALUE"""),119.35)</f>
        <v>119.35</v>
      </c>
      <c r="D459" s="2" t="n">
        <f aca="false">IFERROR(__xludf.dummyfunction("""COMPUTED_VALUE"""),114.76)</f>
        <v>114.76</v>
      </c>
      <c r="E459" s="2" t="n">
        <f aca="false">IFERROR(__xludf.dummyfunction("""COMPUTED_VALUE"""),115.66)</f>
        <v>115.66</v>
      </c>
      <c r="F459" s="2" t="n">
        <f aca="false">IFERROR(__xludf.dummyfunction("""COMPUTED_VALUE"""),69002457)</f>
        <v>69002457</v>
      </c>
    </row>
    <row r="460" customFormat="false" ht="15.75" hidden="false" customHeight="false" outlineLevel="0" collapsed="false">
      <c r="A460" s="3" t="n">
        <f aca="false">IFERROR(__xludf.dummyfunction("""COMPUTED_VALUE"""),44861.6666666667)</f>
        <v>44861.6666666667</v>
      </c>
      <c r="B460" s="2" t="n">
        <f aca="false">IFERROR(__xludf.dummyfunction("""COMPUTED_VALUE"""),113.92)</f>
        <v>113.92</v>
      </c>
      <c r="C460" s="2" t="n">
        <f aca="false">IFERROR(__xludf.dummyfunction("""COMPUTED_VALUE"""),114.12)</f>
        <v>114.12</v>
      </c>
      <c r="D460" s="2" t="n">
        <f aca="false">IFERROR(__xludf.dummyfunction("""COMPUTED_VALUE"""),109.77)</f>
        <v>109.77</v>
      </c>
      <c r="E460" s="2" t="n">
        <f aca="false">IFERROR(__xludf.dummyfunction("""COMPUTED_VALUE"""),110.96)</f>
        <v>110.96</v>
      </c>
      <c r="F460" s="2" t="n">
        <f aca="false">IFERROR(__xludf.dummyfunction("""COMPUTED_VALUE"""),129605362)</f>
        <v>129605362</v>
      </c>
    </row>
    <row r="461" customFormat="false" ht="15.75" hidden="false" customHeight="false" outlineLevel="0" collapsed="false">
      <c r="A461" s="3" t="n">
        <f aca="false">IFERROR(__xludf.dummyfunction("""COMPUTED_VALUE"""),44862.6666666667)</f>
        <v>44862.6666666667</v>
      </c>
      <c r="B461" s="2" t="n">
        <f aca="false">IFERROR(__xludf.dummyfunction("""COMPUTED_VALUE"""),97.91)</f>
        <v>97.91</v>
      </c>
      <c r="C461" s="2" t="n">
        <f aca="false">IFERROR(__xludf.dummyfunction("""COMPUTED_VALUE"""),103.96)</f>
        <v>103.96</v>
      </c>
      <c r="D461" s="2" t="n">
        <f aca="false">IFERROR(__xludf.dummyfunction("""COMPUTED_VALUE"""),97.66)</f>
        <v>97.66</v>
      </c>
      <c r="E461" s="2" t="n">
        <f aca="false">IFERROR(__xludf.dummyfunction("""COMPUTED_VALUE"""),103.41)</f>
        <v>103.41</v>
      </c>
      <c r="F461" s="2" t="n">
        <f aca="false">IFERROR(__xludf.dummyfunction("""COMPUTED_VALUE"""),223133398)</f>
        <v>223133398</v>
      </c>
    </row>
    <row r="462" customFormat="false" ht="15.75" hidden="false" customHeight="false" outlineLevel="0" collapsed="false">
      <c r="A462" s="3" t="n">
        <f aca="false">IFERROR(__xludf.dummyfunction("""COMPUTED_VALUE"""),44865.6666666667)</f>
        <v>44865.6666666667</v>
      </c>
      <c r="B462" s="2" t="n">
        <f aca="false">IFERROR(__xludf.dummyfunction("""COMPUTED_VALUE"""),103.56)</f>
        <v>103.56</v>
      </c>
      <c r="C462" s="2" t="n">
        <f aca="false">IFERROR(__xludf.dummyfunction("""COMPUTED_VALUE"""),104.87)</f>
        <v>104.87</v>
      </c>
      <c r="D462" s="2" t="n">
        <f aca="false">IFERROR(__xludf.dummyfunction("""COMPUTED_VALUE"""),100.74)</f>
        <v>100.74</v>
      </c>
      <c r="E462" s="2" t="n">
        <f aca="false">IFERROR(__xludf.dummyfunction("""COMPUTED_VALUE"""),102.44)</f>
        <v>102.44</v>
      </c>
      <c r="F462" s="2" t="n">
        <f aca="false">IFERROR(__xludf.dummyfunction("""COMPUTED_VALUE"""),99251395)</f>
        <v>99251395</v>
      </c>
    </row>
    <row r="463" customFormat="false" ht="15.75" hidden="false" customHeight="false" outlineLevel="0" collapsed="false">
      <c r="A463" s="3" t="n">
        <f aca="false">IFERROR(__xludf.dummyfunction("""COMPUTED_VALUE"""),44866.6666666667)</f>
        <v>44866.6666666667</v>
      </c>
      <c r="B463" s="2" t="n">
        <f aca="false">IFERROR(__xludf.dummyfunction("""COMPUTED_VALUE"""),103.99)</f>
        <v>103.99</v>
      </c>
      <c r="C463" s="2" t="n">
        <f aca="false">IFERROR(__xludf.dummyfunction("""COMPUTED_VALUE"""),104.58)</f>
        <v>104.58</v>
      </c>
      <c r="D463" s="2" t="n">
        <f aca="false">IFERROR(__xludf.dummyfunction("""COMPUTED_VALUE"""),96.06)</f>
        <v>96.06</v>
      </c>
      <c r="E463" s="2" t="n">
        <f aca="false">IFERROR(__xludf.dummyfunction("""COMPUTED_VALUE"""),96.79)</f>
        <v>96.79</v>
      </c>
      <c r="F463" s="2" t="n">
        <f aca="false">IFERROR(__xludf.dummyfunction("""COMPUTED_VALUE"""),153370032)</f>
        <v>153370032</v>
      </c>
    </row>
    <row r="464" customFormat="false" ht="15.75" hidden="false" customHeight="false" outlineLevel="0" collapsed="false">
      <c r="A464" s="3" t="n">
        <f aca="false">IFERROR(__xludf.dummyfunction("""COMPUTED_VALUE"""),44867.6666666667)</f>
        <v>44867.6666666667</v>
      </c>
      <c r="B464" s="2" t="n">
        <f aca="false">IFERROR(__xludf.dummyfunction("""COMPUTED_VALUE"""),97.32)</f>
        <v>97.32</v>
      </c>
      <c r="C464" s="2" t="n">
        <f aca="false">IFERROR(__xludf.dummyfunction("""COMPUTED_VALUE"""),97.74)</f>
        <v>97.74</v>
      </c>
      <c r="D464" s="2" t="n">
        <f aca="false">IFERROR(__xludf.dummyfunction("""COMPUTED_VALUE"""),92.01)</f>
        <v>92.01</v>
      </c>
      <c r="E464" s="2" t="n">
        <f aca="false">IFERROR(__xludf.dummyfunction("""COMPUTED_VALUE"""),92.12)</f>
        <v>92.12</v>
      </c>
      <c r="F464" s="2" t="n">
        <f aca="false">IFERROR(__xludf.dummyfunction("""COMPUTED_VALUE"""),135761798)</f>
        <v>135761798</v>
      </c>
    </row>
    <row r="465" customFormat="false" ht="15.75" hidden="false" customHeight="false" outlineLevel="0" collapsed="false">
      <c r="A465" s="3" t="n">
        <f aca="false">IFERROR(__xludf.dummyfunction("""COMPUTED_VALUE"""),44868.6666666667)</f>
        <v>44868.6666666667</v>
      </c>
      <c r="B465" s="2" t="n">
        <f aca="false">IFERROR(__xludf.dummyfunction("""COMPUTED_VALUE"""),92.47)</f>
        <v>92.47</v>
      </c>
      <c r="C465" s="2" t="n">
        <f aca="false">IFERROR(__xludf.dummyfunction("""COMPUTED_VALUE"""),93.5)</f>
        <v>93.5</v>
      </c>
      <c r="D465" s="2" t="n">
        <f aca="false">IFERROR(__xludf.dummyfunction("""COMPUTED_VALUE"""),89.02)</f>
        <v>89.02</v>
      </c>
      <c r="E465" s="2" t="n">
        <f aca="false">IFERROR(__xludf.dummyfunction("""COMPUTED_VALUE"""),89.3)</f>
        <v>89.3</v>
      </c>
      <c r="F465" s="2" t="n">
        <f aca="false">IFERROR(__xludf.dummyfunction("""COMPUTED_VALUE"""),136683303)</f>
        <v>136683303</v>
      </c>
    </row>
    <row r="466" customFormat="false" ht="15.75" hidden="false" customHeight="false" outlineLevel="0" collapsed="false">
      <c r="A466" s="3" t="n">
        <f aca="false">IFERROR(__xludf.dummyfunction("""COMPUTED_VALUE"""),44869.6666666667)</f>
        <v>44869.6666666667</v>
      </c>
      <c r="B466" s="2" t="n">
        <f aca="false">IFERROR(__xludf.dummyfunction("""COMPUTED_VALUE"""),91.49)</f>
        <v>91.49</v>
      </c>
      <c r="C466" s="2" t="n">
        <f aca="false">IFERROR(__xludf.dummyfunction("""COMPUTED_VALUE"""),92.44)</f>
        <v>92.44</v>
      </c>
      <c r="D466" s="2" t="n">
        <f aca="false">IFERROR(__xludf.dummyfunction("""COMPUTED_VALUE"""),88.04)</f>
        <v>88.04</v>
      </c>
      <c r="E466" s="2" t="n">
        <f aca="false">IFERROR(__xludf.dummyfunction("""COMPUTED_VALUE"""),90.98)</f>
        <v>90.98</v>
      </c>
      <c r="F466" s="2" t="n">
        <f aca="false">IFERROR(__xludf.dummyfunction("""COMPUTED_VALUE"""),129101336)</f>
        <v>129101336</v>
      </c>
    </row>
    <row r="467" customFormat="false" ht="15.75" hidden="false" customHeight="false" outlineLevel="0" collapsed="false">
      <c r="A467" s="3" t="n">
        <f aca="false">IFERROR(__xludf.dummyfunction("""COMPUTED_VALUE"""),44872.6666666667)</f>
        <v>44872.6666666667</v>
      </c>
      <c r="B467" s="2" t="n">
        <f aca="false">IFERROR(__xludf.dummyfunction("""COMPUTED_VALUE"""),91.95)</f>
        <v>91.95</v>
      </c>
      <c r="C467" s="2" t="n">
        <f aca="false">IFERROR(__xludf.dummyfunction("""COMPUTED_VALUE"""),92.1)</f>
        <v>92.1</v>
      </c>
      <c r="D467" s="2" t="n">
        <f aca="false">IFERROR(__xludf.dummyfunction("""COMPUTED_VALUE"""),89.04)</f>
        <v>89.04</v>
      </c>
      <c r="E467" s="2" t="n">
        <f aca="false">IFERROR(__xludf.dummyfunction("""COMPUTED_VALUE"""),90.53)</f>
        <v>90.53</v>
      </c>
      <c r="F467" s="2" t="n">
        <f aca="false">IFERROR(__xludf.dummyfunction("""COMPUTED_VALUE"""),77495728)</f>
        <v>77495728</v>
      </c>
    </row>
    <row r="468" customFormat="false" ht="15.75" hidden="false" customHeight="false" outlineLevel="0" collapsed="false">
      <c r="A468" s="3" t="n">
        <f aca="false">IFERROR(__xludf.dummyfunction("""COMPUTED_VALUE"""),44873.6666666667)</f>
        <v>44873.6666666667</v>
      </c>
      <c r="B468" s="2" t="n">
        <f aca="false">IFERROR(__xludf.dummyfunction("""COMPUTED_VALUE"""),90.79)</f>
        <v>90.79</v>
      </c>
      <c r="C468" s="2" t="n">
        <f aca="false">IFERROR(__xludf.dummyfunction("""COMPUTED_VALUE"""),91.72)</f>
        <v>91.72</v>
      </c>
      <c r="D468" s="2" t="n">
        <f aca="false">IFERROR(__xludf.dummyfunction("""COMPUTED_VALUE"""),88.23)</f>
        <v>88.23</v>
      </c>
      <c r="E468" s="2" t="n">
        <f aca="false">IFERROR(__xludf.dummyfunction("""COMPUTED_VALUE"""),89.98)</f>
        <v>89.98</v>
      </c>
      <c r="F468" s="2" t="n">
        <f aca="false">IFERROR(__xludf.dummyfunction("""COMPUTED_VALUE"""),88703370)</f>
        <v>88703370</v>
      </c>
    </row>
    <row r="469" customFormat="false" ht="15.75" hidden="false" customHeight="false" outlineLevel="0" collapsed="false">
      <c r="A469" s="3" t="n">
        <f aca="false">IFERROR(__xludf.dummyfunction("""COMPUTED_VALUE"""),44874.6666666667)</f>
        <v>44874.6666666667</v>
      </c>
      <c r="B469" s="2" t="n">
        <f aca="false">IFERROR(__xludf.dummyfunction("""COMPUTED_VALUE"""),89.47)</f>
        <v>89.47</v>
      </c>
      <c r="C469" s="2" t="n">
        <f aca="false">IFERROR(__xludf.dummyfunction("""COMPUTED_VALUE"""),89.48)</f>
        <v>89.48</v>
      </c>
      <c r="D469" s="2" t="n">
        <f aca="false">IFERROR(__xludf.dummyfunction("""COMPUTED_VALUE"""),85.87)</f>
        <v>85.87</v>
      </c>
      <c r="E469" s="2" t="n">
        <f aca="false">IFERROR(__xludf.dummyfunction("""COMPUTED_VALUE"""),86.14)</f>
        <v>86.14</v>
      </c>
      <c r="F469" s="2" t="n">
        <f aca="false">IFERROR(__xludf.dummyfunction("""COMPUTED_VALUE"""),90796249)</f>
        <v>90796249</v>
      </c>
    </row>
    <row r="470" customFormat="false" ht="15.75" hidden="false" customHeight="false" outlineLevel="0" collapsed="false">
      <c r="A470" s="3" t="n">
        <f aca="false">IFERROR(__xludf.dummyfunction("""COMPUTED_VALUE"""),44875.6666666667)</f>
        <v>44875.6666666667</v>
      </c>
      <c r="B470" s="2" t="n">
        <f aca="false">IFERROR(__xludf.dummyfunction("""COMPUTED_VALUE"""),92.94)</f>
        <v>92.94</v>
      </c>
      <c r="C470" s="2" t="n">
        <f aca="false">IFERROR(__xludf.dummyfunction("""COMPUTED_VALUE"""),98.69)</f>
        <v>98.69</v>
      </c>
      <c r="D470" s="2" t="n">
        <f aca="false">IFERROR(__xludf.dummyfunction("""COMPUTED_VALUE"""),91.65)</f>
        <v>91.65</v>
      </c>
      <c r="E470" s="2" t="n">
        <f aca="false">IFERROR(__xludf.dummyfunction("""COMPUTED_VALUE"""),96.63)</f>
        <v>96.63</v>
      </c>
      <c r="F470" s="2" t="n">
        <f aca="false">IFERROR(__xludf.dummyfunction("""COMPUTED_VALUE"""),173414862)</f>
        <v>173414862</v>
      </c>
    </row>
    <row r="471" customFormat="false" ht="15.75" hidden="false" customHeight="false" outlineLevel="0" collapsed="false">
      <c r="A471" s="3" t="n">
        <f aca="false">IFERROR(__xludf.dummyfunction("""COMPUTED_VALUE"""),44876.6666666667)</f>
        <v>44876.6666666667</v>
      </c>
      <c r="B471" s="2" t="n">
        <f aca="false">IFERROR(__xludf.dummyfunction("""COMPUTED_VALUE"""),97.88)</f>
        <v>97.88</v>
      </c>
      <c r="C471" s="2" t="n">
        <f aca="false">IFERROR(__xludf.dummyfunction("""COMPUTED_VALUE"""),101.19)</f>
        <v>101.19</v>
      </c>
      <c r="D471" s="2" t="n">
        <f aca="false">IFERROR(__xludf.dummyfunction("""COMPUTED_VALUE"""),96.66)</f>
        <v>96.66</v>
      </c>
      <c r="E471" s="2" t="n">
        <f aca="false">IFERROR(__xludf.dummyfunction("""COMPUTED_VALUE"""),100.79)</f>
        <v>100.79</v>
      </c>
      <c r="F471" s="2" t="n">
        <f aca="false">IFERROR(__xludf.dummyfunction("""COMPUTED_VALUE"""),111590544)</f>
        <v>111590544</v>
      </c>
    </row>
    <row r="472" customFormat="false" ht="15.75" hidden="false" customHeight="false" outlineLevel="0" collapsed="false">
      <c r="A472" s="3" t="n">
        <f aca="false">IFERROR(__xludf.dummyfunction("""COMPUTED_VALUE"""),44879.6666666667)</f>
        <v>44879.6666666667</v>
      </c>
      <c r="B472" s="2" t="n">
        <f aca="false">IFERROR(__xludf.dummyfunction("""COMPUTED_VALUE"""),98.77)</f>
        <v>98.77</v>
      </c>
      <c r="C472" s="2" t="n">
        <f aca="false">IFERROR(__xludf.dummyfunction("""COMPUTED_VALUE"""),100.12)</f>
        <v>100.12</v>
      </c>
      <c r="D472" s="2" t="n">
        <f aca="false">IFERROR(__xludf.dummyfunction("""COMPUTED_VALUE"""),97.29)</f>
        <v>97.29</v>
      </c>
      <c r="E472" s="2" t="n">
        <f aca="false">IFERROR(__xludf.dummyfunction("""COMPUTED_VALUE"""),98.49)</f>
        <v>98.49</v>
      </c>
      <c r="F472" s="2" t="n">
        <f aca="false">IFERROR(__xludf.dummyfunction("""COMPUTED_VALUE"""),99533072)</f>
        <v>99533072</v>
      </c>
    </row>
    <row r="473" customFormat="false" ht="15.75" hidden="false" customHeight="false" outlineLevel="0" collapsed="false">
      <c r="A473" s="3" t="n">
        <f aca="false">IFERROR(__xludf.dummyfunction("""COMPUTED_VALUE"""),44880.6666666667)</f>
        <v>44880.6666666667</v>
      </c>
      <c r="B473" s="2" t="n">
        <f aca="false">IFERROR(__xludf.dummyfunction("""COMPUTED_VALUE"""),103.21)</f>
        <v>103.21</v>
      </c>
      <c r="C473" s="2" t="n">
        <f aca="false">IFERROR(__xludf.dummyfunction("""COMPUTED_VALUE"""),103.79)</f>
        <v>103.79</v>
      </c>
      <c r="D473" s="2" t="n">
        <f aca="false">IFERROR(__xludf.dummyfunction("""COMPUTED_VALUE"""),97.34)</f>
        <v>97.34</v>
      </c>
      <c r="E473" s="2" t="n">
        <f aca="false">IFERROR(__xludf.dummyfunction("""COMPUTED_VALUE"""),98.94)</f>
        <v>98.94</v>
      </c>
      <c r="F473" s="2" t="n">
        <f aca="false">IFERROR(__xludf.dummyfunction("""COMPUTED_VALUE"""),111336317)</f>
        <v>111336317</v>
      </c>
    </row>
    <row r="474" customFormat="false" ht="15.75" hidden="false" customHeight="false" outlineLevel="0" collapsed="false">
      <c r="A474" s="3" t="n">
        <f aca="false">IFERROR(__xludf.dummyfunction("""COMPUTED_VALUE"""),44881.6666666667)</f>
        <v>44881.6666666667</v>
      </c>
      <c r="B474" s="2" t="n">
        <f aca="false">IFERROR(__xludf.dummyfunction("""COMPUTED_VALUE"""),96.85)</f>
        <v>96.85</v>
      </c>
      <c r="C474" s="2" t="n">
        <f aca="false">IFERROR(__xludf.dummyfunction("""COMPUTED_VALUE"""),98.49)</f>
        <v>98.49</v>
      </c>
      <c r="D474" s="2" t="n">
        <f aca="false">IFERROR(__xludf.dummyfunction("""COMPUTED_VALUE"""),95.54)</f>
        <v>95.54</v>
      </c>
      <c r="E474" s="2" t="n">
        <f aca="false">IFERROR(__xludf.dummyfunction("""COMPUTED_VALUE"""),97.12)</f>
        <v>97.12</v>
      </c>
      <c r="F474" s="2" t="n">
        <f aca="false">IFERROR(__xludf.dummyfunction("""COMPUTED_VALUE"""),87958828)</f>
        <v>87958828</v>
      </c>
    </row>
    <row r="475" customFormat="false" ht="15.75" hidden="false" customHeight="false" outlineLevel="0" collapsed="false">
      <c r="A475" s="3" t="n">
        <f aca="false">IFERROR(__xludf.dummyfunction("""COMPUTED_VALUE"""),44882.6666666667)</f>
        <v>44882.6666666667</v>
      </c>
      <c r="B475" s="2" t="n">
        <f aca="false">IFERROR(__xludf.dummyfunction("""COMPUTED_VALUE"""),95.37)</f>
        <v>95.37</v>
      </c>
      <c r="C475" s="2" t="n">
        <f aca="false">IFERROR(__xludf.dummyfunction("""COMPUTED_VALUE"""),96.97)</f>
        <v>96.97</v>
      </c>
      <c r="D475" s="2" t="n">
        <f aca="false">IFERROR(__xludf.dummyfunction("""COMPUTED_VALUE"""),94.03)</f>
        <v>94.03</v>
      </c>
      <c r="E475" s="2" t="n">
        <f aca="false">IFERROR(__xludf.dummyfunction("""COMPUTED_VALUE"""),94.85)</f>
        <v>94.85</v>
      </c>
      <c r="F475" s="2" t="n">
        <f aca="false">IFERROR(__xludf.dummyfunction("""COMPUTED_VALUE"""),82617865)</f>
        <v>82617865</v>
      </c>
    </row>
    <row r="476" customFormat="false" ht="15.75" hidden="false" customHeight="false" outlineLevel="0" collapsed="false">
      <c r="A476" s="3" t="n">
        <f aca="false">IFERROR(__xludf.dummyfunction("""COMPUTED_VALUE"""),44883.6666666667)</f>
        <v>44883.6666666667</v>
      </c>
      <c r="B476" s="2" t="n">
        <f aca="false">IFERROR(__xludf.dummyfunction("""COMPUTED_VALUE"""),95.95)</f>
        <v>95.95</v>
      </c>
      <c r="C476" s="2" t="n">
        <f aca="false">IFERROR(__xludf.dummyfunction("""COMPUTED_VALUE"""),95.99)</f>
        <v>95.99</v>
      </c>
      <c r="D476" s="2" t="n">
        <f aca="false">IFERROR(__xludf.dummyfunction("""COMPUTED_VALUE"""),92.48)</f>
        <v>92.48</v>
      </c>
      <c r="E476" s="2" t="n">
        <f aca="false">IFERROR(__xludf.dummyfunction("""COMPUTED_VALUE"""),94.14)</f>
        <v>94.14</v>
      </c>
      <c r="F476" s="2" t="n">
        <f aca="false">IFERROR(__xludf.dummyfunction("""COMPUTED_VALUE"""),72428185)</f>
        <v>72428185</v>
      </c>
    </row>
    <row r="477" customFormat="false" ht="15.75" hidden="false" customHeight="false" outlineLevel="0" collapsed="false">
      <c r="A477" s="3" t="n">
        <f aca="false">IFERROR(__xludf.dummyfunction("""COMPUTED_VALUE"""),44886.6666666667)</f>
        <v>44886.6666666667</v>
      </c>
      <c r="B477" s="2" t="n">
        <f aca="false">IFERROR(__xludf.dummyfunction("""COMPUTED_VALUE"""),93.97)</f>
        <v>93.97</v>
      </c>
      <c r="C477" s="2" t="n">
        <f aca="false">IFERROR(__xludf.dummyfunction("""COMPUTED_VALUE"""),95.02)</f>
        <v>95.02</v>
      </c>
      <c r="D477" s="2" t="n">
        <f aca="false">IFERROR(__xludf.dummyfunction("""COMPUTED_VALUE"""),90.59)</f>
        <v>90.59</v>
      </c>
      <c r="E477" s="2" t="n">
        <f aca="false">IFERROR(__xludf.dummyfunction("""COMPUTED_VALUE"""),92.46)</f>
        <v>92.46</v>
      </c>
      <c r="F477" s="2" t="n">
        <f aca="false">IFERROR(__xludf.dummyfunction("""COMPUTED_VALUE"""),84330270)</f>
        <v>84330270</v>
      </c>
    </row>
    <row r="478" customFormat="false" ht="15.75" hidden="false" customHeight="false" outlineLevel="0" collapsed="false">
      <c r="A478" s="3" t="n">
        <f aca="false">IFERROR(__xludf.dummyfunction("""COMPUTED_VALUE"""),44887.6666666667)</f>
        <v>44887.6666666667</v>
      </c>
      <c r="B478" s="2" t="n">
        <f aca="false">IFERROR(__xludf.dummyfunction("""COMPUTED_VALUE"""),92.62)</f>
        <v>92.62</v>
      </c>
      <c r="C478" s="2" t="n">
        <f aca="false">IFERROR(__xludf.dummyfunction("""COMPUTED_VALUE"""),93.35)</f>
        <v>93.35</v>
      </c>
      <c r="D478" s="2" t="n">
        <f aca="false">IFERROR(__xludf.dummyfunction("""COMPUTED_VALUE"""),90.87)</f>
        <v>90.87</v>
      </c>
      <c r="E478" s="2" t="n">
        <f aca="false">IFERROR(__xludf.dummyfunction("""COMPUTED_VALUE"""),93.2)</f>
        <v>93.2</v>
      </c>
      <c r="F478" s="2" t="n">
        <f aca="false">IFERROR(__xludf.dummyfunction("""COMPUTED_VALUE"""),62191962)</f>
        <v>62191962</v>
      </c>
    </row>
    <row r="479" customFormat="false" ht="15.75" hidden="false" customHeight="false" outlineLevel="0" collapsed="false">
      <c r="A479" s="3" t="n">
        <f aca="false">IFERROR(__xludf.dummyfunction("""COMPUTED_VALUE"""),44888.6666666667)</f>
        <v>44888.6666666667</v>
      </c>
      <c r="B479" s="2" t="n">
        <f aca="false">IFERROR(__xludf.dummyfunction("""COMPUTED_VALUE"""),93.24)</f>
        <v>93.24</v>
      </c>
      <c r="C479" s="2" t="n">
        <f aca="false">IFERROR(__xludf.dummyfunction("""COMPUTED_VALUE"""),94.58)</f>
        <v>94.58</v>
      </c>
      <c r="D479" s="2" t="n">
        <f aca="false">IFERROR(__xludf.dummyfunction("""COMPUTED_VALUE"""),92.83)</f>
        <v>92.83</v>
      </c>
      <c r="E479" s="2" t="n">
        <f aca="false">IFERROR(__xludf.dummyfunction("""COMPUTED_VALUE"""),94.13)</f>
        <v>94.13</v>
      </c>
      <c r="F479" s="2" t="n">
        <f aca="false">IFERROR(__xludf.dummyfunction("""COMPUTED_VALUE"""),59414684)</f>
        <v>59414684</v>
      </c>
    </row>
    <row r="480" customFormat="false" ht="15.75" hidden="false" customHeight="false" outlineLevel="0" collapsed="false">
      <c r="A480" s="3" t="n">
        <f aca="false">IFERROR(__xludf.dummyfunction("""COMPUTED_VALUE"""),44890.5451388889)</f>
        <v>44890.5451388889</v>
      </c>
      <c r="B480" s="2" t="n">
        <f aca="false">IFERROR(__xludf.dummyfunction("""COMPUTED_VALUE"""),93.79)</f>
        <v>93.79</v>
      </c>
      <c r="C480" s="2" t="n">
        <f aca="false">IFERROR(__xludf.dummyfunction("""COMPUTED_VALUE"""),94.43)</f>
        <v>94.43</v>
      </c>
      <c r="D480" s="2" t="n">
        <f aca="false">IFERROR(__xludf.dummyfunction("""COMPUTED_VALUE"""),93.07)</f>
        <v>93.07</v>
      </c>
      <c r="E480" s="2" t="n">
        <f aca="false">IFERROR(__xludf.dummyfunction("""COMPUTED_VALUE"""),93.41)</f>
        <v>93.41</v>
      </c>
      <c r="F480" s="2" t="n">
        <f aca="false">IFERROR(__xludf.dummyfunction("""COMPUTED_VALUE"""),35088609)</f>
        <v>35088609</v>
      </c>
    </row>
    <row r="481" customFormat="false" ht="15.75" hidden="false" customHeight="false" outlineLevel="0" collapsed="false">
      <c r="A481" s="3" t="n">
        <f aca="false">IFERROR(__xludf.dummyfunction("""COMPUTED_VALUE"""),44893.6666666667)</f>
        <v>44893.6666666667</v>
      </c>
      <c r="B481" s="2" t="n">
        <f aca="false">IFERROR(__xludf.dummyfunction("""COMPUTED_VALUE"""),93.93)</f>
        <v>93.93</v>
      </c>
      <c r="C481" s="2" t="n">
        <f aca="false">IFERROR(__xludf.dummyfunction("""COMPUTED_VALUE"""),96.4)</f>
        <v>96.4</v>
      </c>
      <c r="D481" s="2" t="n">
        <f aca="false">IFERROR(__xludf.dummyfunction("""COMPUTED_VALUE"""),93.43)</f>
        <v>93.43</v>
      </c>
      <c r="E481" s="2" t="n">
        <f aca="false">IFERROR(__xludf.dummyfunction("""COMPUTED_VALUE"""),93.95)</f>
        <v>93.95</v>
      </c>
      <c r="F481" s="2" t="n">
        <f aca="false">IFERROR(__xludf.dummyfunction("""COMPUTED_VALUE"""),75062316)</f>
        <v>75062316</v>
      </c>
    </row>
    <row r="482" customFormat="false" ht="15.75" hidden="false" customHeight="false" outlineLevel="0" collapsed="false">
      <c r="A482" s="3" t="n">
        <f aca="false">IFERROR(__xludf.dummyfunction("""COMPUTED_VALUE"""),44894.6666666667)</f>
        <v>44894.6666666667</v>
      </c>
      <c r="B482" s="2" t="n">
        <f aca="false">IFERROR(__xludf.dummyfunction("""COMPUTED_VALUE"""),94.04)</f>
        <v>94.04</v>
      </c>
      <c r="C482" s="2" t="n">
        <f aca="false">IFERROR(__xludf.dummyfunction("""COMPUTED_VALUE"""),94.41)</f>
        <v>94.41</v>
      </c>
      <c r="D482" s="2" t="n">
        <f aca="false">IFERROR(__xludf.dummyfunction("""COMPUTED_VALUE"""),91.44)</f>
        <v>91.44</v>
      </c>
      <c r="E482" s="2" t="n">
        <f aca="false">IFERROR(__xludf.dummyfunction("""COMPUTED_VALUE"""),92.42)</f>
        <v>92.42</v>
      </c>
      <c r="F482" s="2" t="n">
        <f aca="false">IFERROR(__xludf.dummyfunction("""COMPUTED_VALUE"""),65567286)</f>
        <v>65567286</v>
      </c>
    </row>
    <row r="483" customFormat="false" ht="15.75" hidden="false" customHeight="false" outlineLevel="0" collapsed="false">
      <c r="A483" s="3" t="n">
        <f aca="false">IFERROR(__xludf.dummyfunction("""COMPUTED_VALUE"""),44895.6666666667)</f>
        <v>44895.6666666667</v>
      </c>
      <c r="B483" s="2" t="n">
        <f aca="false">IFERROR(__xludf.dummyfunction("""COMPUTED_VALUE"""),92.47)</f>
        <v>92.47</v>
      </c>
      <c r="C483" s="2" t="n">
        <f aca="false">IFERROR(__xludf.dummyfunction("""COMPUTED_VALUE"""),96.54)</f>
        <v>96.54</v>
      </c>
      <c r="D483" s="2" t="n">
        <f aca="false">IFERROR(__xludf.dummyfunction("""COMPUTED_VALUE"""),91.53)</f>
        <v>91.53</v>
      </c>
      <c r="E483" s="2" t="n">
        <f aca="false">IFERROR(__xludf.dummyfunction("""COMPUTED_VALUE"""),96.54)</f>
        <v>96.54</v>
      </c>
      <c r="F483" s="2" t="n">
        <f aca="false">IFERROR(__xludf.dummyfunction("""COMPUTED_VALUE"""),102805806)</f>
        <v>102805806</v>
      </c>
    </row>
    <row r="484" customFormat="false" ht="15.75" hidden="false" customHeight="false" outlineLevel="0" collapsed="false">
      <c r="A484" s="3" t="n">
        <f aca="false">IFERROR(__xludf.dummyfunction("""COMPUTED_VALUE"""),44896.6666666667)</f>
        <v>44896.6666666667</v>
      </c>
      <c r="B484" s="2" t="n">
        <f aca="false">IFERROR(__xludf.dummyfunction("""COMPUTED_VALUE"""),96.99)</f>
        <v>96.99</v>
      </c>
      <c r="C484" s="2" t="n">
        <f aca="false">IFERROR(__xludf.dummyfunction("""COMPUTED_VALUE"""),97.23)</f>
        <v>97.23</v>
      </c>
      <c r="D484" s="2" t="n">
        <f aca="false">IFERROR(__xludf.dummyfunction("""COMPUTED_VALUE"""),94.92)</f>
        <v>94.92</v>
      </c>
      <c r="E484" s="2" t="n">
        <f aca="false">IFERROR(__xludf.dummyfunction("""COMPUTED_VALUE"""),95.5)</f>
        <v>95.5</v>
      </c>
      <c r="F484" s="2" t="n">
        <f aca="false">IFERROR(__xludf.dummyfunction("""COMPUTED_VALUE"""),68487969)</f>
        <v>68487969</v>
      </c>
    </row>
    <row r="485" customFormat="false" ht="15.75" hidden="false" customHeight="false" outlineLevel="0" collapsed="false">
      <c r="A485" s="3" t="n">
        <f aca="false">IFERROR(__xludf.dummyfunction("""COMPUTED_VALUE"""),44897.6666666667)</f>
        <v>44897.6666666667</v>
      </c>
      <c r="B485" s="2" t="n">
        <f aca="false">IFERROR(__xludf.dummyfunction("""COMPUTED_VALUE"""),94.48)</f>
        <v>94.48</v>
      </c>
      <c r="C485" s="2" t="n">
        <f aca="false">IFERROR(__xludf.dummyfunction("""COMPUTED_VALUE"""),95.36)</f>
        <v>95.36</v>
      </c>
      <c r="D485" s="2" t="n">
        <f aca="false">IFERROR(__xludf.dummyfunction("""COMPUTED_VALUE"""),93.78)</f>
        <v>93.78</v>
      </c>
      <c r="E485" s="2" t="n">
        <f aca="false">IFERROR(__xludf.dummyfunction("""COMPUTED_VALUE"""),94.13)</f>
        <v>94.13</v>
      </c>
      <c r="F485" s="2" t="n">
        <f aca="false">IFERROR(__xludf.dummyfunction("""COMPUTED_VALUE"""),72496388)</f>
        <v>72496388</v>
      </c>
    </row>
    <row r="486" customFormat="false" ht="15.75" hidden="false" customHeight="false" outlineLevel="0" collapsed="false">
      <c r="A486" s="3" t="n">
        <f aca="false">IFERROR(__xludf.dummyfunction("""COMPUTED_VALUE"""),44900.6666666667)</f>
        <v>44900.6666666667</v>
      </c>
      <c r="B486" s="2" t="n">
        <f aca="false">IFERROR(__xludf.dummyfunction("""COMPUTED_VALUE"""),93.05)</f>
        <v>93.05</v>
      </c>
      <c r="C486" s="2" t="n">
        <f aca="false">IFERROR(__xludf.dummyfunction("""COMPUTED_VALUE"""),94.06)</f>
        <v>94.06</v>
      </c>
      <c r="D486" s="2" t="n">
        <f aca="false">IFERROR(__xludf.dummyfunction("""COMPUTED_VALUE"""),90.82)</f>
        <v>90.82</v>
      </c>
      <c r="E486" s="2" t="n">
        <f aca="false">IFERROR(__xludf.dummyfunction("""COMPUTED_VALUE"""),91.01)</f>
        <v>91.01</v>
      </c>
      <c r="F486" s="2" t="n">
        <f aca="false">IFERROR(__xludf.dummyfunction("""COMPUTED_VALUE"""),71535526)</f>
        <v>71535526</v>
      </c>
    </row>
    <row r="487" customFormat="false" ht="15.75" hidden="false" customHeight="false" outlineLevel="0" collapsed="false">
      <c r="A487" s="3" t="n">
        <f aca="false">IFERROR(__xludf.dummyfunction("""COMPUTED_VALUE"""),44901.6666666667)</f>
        <v>44901.6666666667</v>
      </c>
      <c r="B487" s="2" t="n">
        <f aca="false">IFERROR(__xludf.dummyfunction("""COMPUTED_VALUE"""),90.5)</f>
        <v>90.5</v>
      </c>
      <c r="C487" s="2" t="n">
        <f aca="false">IFERROR(__xludf.dummyfunction("""COMPUTED_VALUE"""),91.04)</f>
        <v>91.04</v>
      </c>
      <c r="D487" s="2" t="n">
        <f aca="false">IFERROR(__xludf.dummyfunction("""COMPUTED_VALUE"""),87.9)</f>
        <v>87.9</v>
      </c>
      <c r="E487" s="2" t="n">
        <f aca="false">IFERROR(__xludf.dummyfunction("""COMPUTED_VALUE"""),88.25)</f>
        <v>88.25</v>
      </c>
      <c r="F487" s="2" t="n">
        <f aca="false">IFERROR(__xludf.dummyfunction("""COMPUTED_VALUE"""),75503628)</f>
        <v>75503628</v>
      </c>
    </row>
    <row r="488" customFormat="false" ht="15.75" hidden="false" customHeight="false" outlineLevel="0" collapsed="false">
      <c r="A488" s="3" t="n">
        <f aca="false">IFERROR(__xludf.dummyfunction("""COMPUTED_VALUE"""),44902.6666666667)</f>
        <v>44902.6666666667</v>
      </c>
      <c r="B488" s="2" t="n">
        <f aca="false">IFERROR(__xludf.dummyfunction("""COMPUTED_VALUE"""),88.34)</f>
        <v>88.34</v>
      </c>
      <c r="C488" s="2" t="n">
        <f aca="false">IFERROR(__xludf.dummyfunction("""COMPUTED_VALUE"""),89.89)</f>
        <v>89.89</v>
      </c>
      <c r="D488" s="2" t="n">
        <f aca="false">IFERROR(__xludf.dummyfunction("""COMPUTED_VALUE"""),87.48)</f>
        <v>87.48</v>
      </c>
      <c r="E488" s="2" t="n">
        <f aca="false">IFERROR(__xludf.dummyfunction("""COMPUTED_VALUE"""),88.46)</f>
        <v>88.46</v>
      </c>
      <c r="F488" s="2" t="n">
        <f aca="false">IFERROR(__xludf.dummyfunction("""COMPUTED_VALUE"""),68086880)</f>
        <v>68086880</v>
      </c>
    </row>
    <row r="489" customFormat="false" ht="15.75" hidden="false" customHeight="false" outlineLevel="0" collapsed="false">
      <c r="A489" s="3" t="n">
        <f aca="false">IFERROR(__xludf.dummyfunction("""COMPUTED_VALUE"""),44903.6666666667)</f>
        <v>44903.6666666667</v>
      </c>
      <c r="B489" s="2" t="n">
        <f aca="false">IFERROR(__xludf.dummyfunction("""COMPUTED_VALUE"""),89.24)</f>
        <v>89.24</v>
      </c>
      <c r="C489" s="2" t="n">
        <f aca="false">IFERROR(__xludf.dummyfunction("""COMPUTED_VALUE"""),90.86)</f>
        <v>90.86</v>
      </c>
      <c r="D489" s="2" t="n">
        <f aca="false">IFERROR(__xludf.dummyfunction("""COMPUTED_VALUE"""),87.88)</f>
        <v>87.88</v>
      </c>
      <c r="E489" s="2" t="n">
        <f aca="false">IFERROR(__xludf.dummyfunction("""COMPUTED_VALUE"""),90.35)</f>
        <v>90.35</v>
      </c>
      <c r="F489" s="2" t="n">
        <f aca="false">IFERROR(__xludf.dummyfunction("""COMPUTED_VALUE"""),73305887)</f>
        <v>73305887</v>
      </c>
    </row>
    <row r="490" customFormat="false" ht="15.75" hidden="false" customHeight="false" outlineLevel="0" collapsed="false">
      <c r="A490" s="3" t="n">
        <f aca="false">IFERROR(__xludf.dummyfunction("""COMPUTED_VALUE"""),44904.6666666667)</f>
        <v>44904.6666666667</v>
      </c>
      <c r="B490" s="2" t="n">
        <f aca="false">IFERROR(__xludf.dummyfunction("""COMPUTED_VALUE"""),88.9)</f>
        <v>88.9</v>
      </c>
      <c r="C490" s="2" t="n">
        <f aca="false">IFERROR(__xludf.dummyfunction("""COMPUTED_VALUE"""),90.3)</f>
        <v>90.3</v>
      </c>
      <c r="D490" s="2" t="n">
        <f aca="false">IFERROR(__xludf.dummyfunction("""COMPUTED_VALUE"""),88.63)</f>
        <v>88.63</v>
      </c>
      <c r="E490" s="2" t="n">
        <f aca="false">IFERROR(__xludf.dummyfunction("""COMPUTED_VALUE"""),89.09)</f>
        <v>89.09</v>
      </c>
      <c r="F490" s="2" t="n">
        <f aca="false">IFERROR(__xludf.dummyfunction("""COMPUTED_VALUE"""),67398506)</f>
        <v>67398506</v>
      </c>
    </row>
    <row r="491" customFormat="false" ht="15.75" hidden="false" customHeight="false" outlineLevel="0" collapsed="false">
      <c r="A491" s="3" t="n">
        <f aca="false">IFERROR(__xludf.dummyfunction("""COMPUTED_VALUE"""),44907.6666666667)</f>
        <v>44907.6666666667</v>
      </c>
      <c r="B491" s="2" t="n">
        <f aca="false">IFERROR(__xludf.dummyfunction("""COMPUTED_VALUE"""),89.21)</f>
        <v>89.21</v>
      </c>
      <c r="C491" s="2" t="n">
        <f aca="false">IFERROR(__xludf.dummyfunction("""COMPUTED_VALUE"""),90.58)</f>
        <v>90.58</v>
      </c>
      <c r="D491" s="2" t="n">
        <f aca="false">IFERROR(__xludf.dummyfunction("""COMPUTED_VALUE"""),87.87)</f>
        <v>87.87</v>
      </c>
      <c r="E491" s="2" t="n">
        <f aca="false">IFERROR(__xludf.dummyfunction("""COMPUTED_VALUE"""),90.55)</f>
        <v>90.55</v>
      </c>
      <c r="F491" s="2" t="n">
        <f aca="false">IFERROR(__xludf.dummyfunction("""COMPUTED_VALUE"""),61999762)</f>
        <v>61999762</v>
      </c>
    </row>
    <row r="492" customFormat="false" ht="15.75" hidden="false" customHeight="false" outlineLevel="0" collapsed="false">
      <c r="A492" s="3" t="n">
        <f aca="false">IFERROR(__xludf.dummyfunction("""COMPUTED_VALUE"""),44908.6666666667)</f>
        <v>44908.6666666667</v>
      </c>
      <c r="B492" s="2" t="n">
        <f aca="false">IFERROR(__xludf.dummyfunction("""COMPUTED_VALUE"""),95.23)</f>
        <v>95.23</v>
      </c>
      <c r="C492" s="2" t="n">
        <f aca="false">IFERROR(__xludf.dummyfunction("""COMPUTED_VALUE"""),96.25)</f>
        <v>96.25</v>
      </c>
      <c r="D492" s="2" t="n">
        <f aca="false">IFERROR(__xludf.dummyfunction("""COMPUTED_VALUE"""),90.52)</f>
        <v>90.52</v>
      </c>
      <c r="E492" s="2" t="n">
        <f aca="false">IFERROR(__xludf.dummyfunction("""COMPUTED_VALUE"""),92.49)</f>
        <v>92.49</v>
      </c>
      <c r="F492" s="2" t="n">
        <f aca="false">IFERROR(__xludf.dummyfunction("""COMPUTED_VALUE"""),100212038)</f>
        <v>100212038</v>
      </c>
    </row>
    <row r="493" customFormat="false" ht="15.75" hidden="false" customHeight="false" outlineLevel="0" collapsed="false">
      <c r="A493" s="3" t="n">
        <f aca="false">IFERROR(__xludf.dummyfunction("""COMPUTED_VALUE"""),44909.6666666667)</f>
        <v>44909.6666666667</v>
      </c>
      <c r="B493" s="2" t="n">
        <f aca="false">IFERROR(__xludf.dummyfunction("""COMPUTED_VALUE"""),92.5)</f>
        <v>92.5</v>
      </c>
      <c r="C493" s="2" t="n">
        <f aca="false">IFERROR(__xludf.dummyfunction("""COMPUTED_VALUE"""),93.46)</f>
        <v>93.46</v>
      </c>
      <c r="D493" s="2" t="n">
        <f aca="false">IFERROR(__xludf.dummyfunction("""COMPUTED_VALUE"""),89.87)</f>
        <v>89.87</v>
      </c>
      <c r="E493" s="2" t="n">
        <f aca="false">IFERROR(__xludf.dummyfunction("""COMPUTED_VALUE"""),91.58)</f>
        <v>91.58</v>
      </c>
      <c r="F493" s="2" t="n">
        <f aca="false">IFERROR(__xludf.dummyfunction("""COMPUTED_VALUE"""),70298006)</f>
        <v>70298006</v>
      </c>
    </row>
    <row r="494" customFormat="false" ht="15.75" hidden="false" customHeight="false" outlineLevel="0" collapsed="false">
      <c r="A494" s="3" t="n">
        <f aca="false">IFERROR(__xludf.dummyfunction("""COMPUTED_VALUE"""),44910.6666666667)</f>
        <v>44910.6666666667</v>
      </c>
      <c r="B494" s="2" t="n">
        <f aca="false">IFERROR(__xludf.dummyfunction("""COMPUTED_VALUE"""),89.89)</f>
        <v>89.89</v>
      </c>
      <c r="C494" s="2" t="n">
        <f aca="false">IFERROR(__xludf.dummyfunction("""COMPUTED_VALUE"""),89.97)</f>
        <v>89.97</v>
      </c>
      <c r="D494" s="2" t="n">
        <f aca="false">IFERROR(__xludf.dummyfunction("""COMPUTED_VALUE"""),87.47)</f>
        <v>87.47</v>
      </c>
      <c r="E494" s="2" t="n">
        <f aca="false">IFERROR(__xludf.dummyfunction("""COMPUTED_VALUE"""),88.45)</f>
        <v>88.45</v>
      </c>
      <c r="F494" s="2" t="n">
        <f aca="false">IFERROR(__xludf.dummyfunction("""COMPUTED_VALUE"""),84802877)</f>
        <v>84802877</v>
      </c>
    </row>
    <row r="495" customFormat="false" ht="15.75" hidden="false" customHeight="false" outlineLevel="0" collapsed="false">
      <c r="A495" s="3" t="n">
        <f aca="false">IFERROR(__xludf.dummyfunction("""COMPUTED_VALUE"""),44911.6666666667)</f>
        <v>44911.6666666667</v>
      </c>
      <c r="B495" s="2" t="n">
        <f aca="false">IFERROR(__xludf.dummyfunction("""COMPUTED_VALUE"""),88.27)</f>
        <v>88.27</v>
      </c>
      <c r="C495" s="2" t="n">
        <f aca="false">IFERROR(__xludf.dummyfunction("""COMPUTED_VALUE"""),89.35)</f>
        <v>89.35</v>
      </c>
      <c r="D495" s="2" t="n">
        <f aca="false">IFERROR(__xludf.dummyfunction("""COMPUTED_VALUE"""),86.73)</f>
        <v>86.73</v>
      </c>
      <c r="E495" s="2" t="n">
        <f aca="false">IFERROR(__xludf.dummyfunction("""COMPUTED_VALUE"""),87.86)</f>
        <v>87.86</v>
      </c>
      <c r="F495" s="2" t="n">
        <f aca="false">IFERROR(__xludf.dummyfunction("""COMPUTED_VALUE"""),146144064)</f>
        <v>146144064</v>
      </c>
    </row>
    <row r="496" customFormat="false" ht="15.75" hidden="false" customHeight="false" outlineLevel="0" collapsed="false">
      <c r="A496" s="3" t="n">
        <f aca="false">IFERROR(__xludf.dummyfunction("""COMPUTED_VALUE"""),44914.6666666667)</f>
        <v>44914.6666666667</v>
      </c>
      <c r="B496" s="2" t="n">
        <f aca="false">IFERROR(__xludf.dummyfunction("""COMPUTED_VALUE"""),87.51)</f>
        <v>87.51</v>
      </c>
      <c r="C496" s="2" t="n">
        <f aca="false">IFERROR(__xludf.dummyfunction("""COMPUTED_VALUE"""),87.63)</f>
        <v>87.63</v>
      </c>
      <c r="D496" s="2" t="n">
        <f aca="false">IFERROR(__xludf.dummyfunction("""COMPUTED_VALUE"""),84.51)</f>
        <v>84.51</v>
      </c>
      <c r="E496" s="2" t="n">
        <f aca="false">IFERROR(__xludf.dummyfunction("""COMPUTED_VALUE"""),84.92)</f>
        <v>84.92</v>
      </c>
      <c r="F496" s="2" t="n">
        <f aca="false">IFERROR(__xludf.dummyfunction("""COMPUTED_VALUE"""),83531460)</f>
        <v>83531460</v>
      </c>
    </row>
    <row r="497" customFormat="false" ht="15.75" hidden="false" customHeight="false" outlineLevel="0" collapsed="false">
      <c r="A497" s="3" t="n">
        <f aca="false">IFERROR(__xludf.dummyfunction("""COMPUTED_VALUE"""),44915.6666666667)</f>
        <v>44915.6666666667</v>
      </c>
      <c r="B497" s="2" t="n">
        <f aca="false">IFERROR(__xludf.dummyfunction("""COMPUTED_VALUE"""),85.33)</f>
        <v>85.33</v>
      </c>
      <c r="C497" s="2" t="n">
        <f aca="false">IFERROR(__xludf.dummyfunction("""COMPUTED_VALUE"""),86.61)</f>
        <v>86.61</v>
      </c>
      <c r="D497" s="2" t="n">
        <f aca="false">IFERROR(__xludf.dummyfunction("""COMPUTED_VALUE"""),84.33)</f>
        <v>84.33</v>
      </c>
      <c r="E497" s="2" t="n">
        <f aca="false">IFERROR(__xludf.dummyfunction("""COMPUTED_VALUE"""),85.19)</f>
        <v>85.19</v>
      </c>
      <c r="F497" s="2" t="n">
        <f aca="false">IFERROR(__xludf.dummyfunction("""COMPUTED_VALUE"""),74348301)</f>
        <v>74348301</v>
      </c>
    </row>
    <row r="498" customFormat="false" ht="15.75" hidden="false" customHeight="false" outlineLevel="0" collapsed="false">
      <c r="A498" s="3" t="n">
        <f aca="false">IFERROR(__xludf.dummyfunction("""COMPUTED_VALUE"""),44916.6666666667)</f>
        <v>44916.6666666667</v>
      </c>
      <c r="B498" s="2" t="n">
        <f aca="false">IFERROR(__xludf.dummyfunction("""COMPUTED_VALUE"""),86.18)</f>
        <v>86.18</v>
      </c>
      <c r="C498" s="2" t="n">
        <f aca="false">IFERROR(__xludf.dummyfunction("""COMPUTED_VALUE"""),87.23)</f>
        <v>87.23</v>
      </c>
      <c r="D498" s="2" t="n">
        <f aca="false">IFERROR(__xludf.dummyfunction("""COMPUTED_VALUE"""),85.21)</f>
        <v>85.21</v>
      </c>
      <c r="E498" s="2" t="n">
        <f aca="false">IFERROR(__xludf.dummyfunction("""COMPUTED_VALUE"""),86.77)</f>
        <v>86.77</v>
      </c>
      <c r="F498" s="2" t="n">
        <f aca="false">IFERROR(__xludf.dummyfunction("""COMPUTED_VALUE"""),59267156)</f>
        <v>59267156</v>
      </c>
    </row>
    <row r="499" customFormat="false" ht="15.75" hidden="false" customHeight="false" outlineLevel="0" collapsed="false">
      <c r="A499" s="3" t="n">
        <f aca="false">IFERROR(__xludf.dummyfunction("""COMPUTED_VALUE"""),44917.6666666667)</f>
        <v>44917.6666666667</v>
      </c>
      <c r="B499" s="2" t="n">
        <f aca="false">IFERROR(__xludf.dummyfunction("""COMPUTED_VALUE"""),85.52)</f>
        <v>85.52</v>
      </c>
      <c r="C499" s="2" t="n">
        <f aca="false">IFERROR(__xludf.dummyfunction("""COMPUTED_VALUE"""),85.68)</f>
        <v>85.68</v>
      </c>
      <c r="D499" s="2" t="n">
        <f aca="false">IFERROR(__xludf.dummyfunction("""COMPUTED_VALUE"""),82.25)</f>
        <v>82.25</v>
      </c>
      <c r="E499" s="2" t="n">
        <f aca="false">IFERROR(__xludf.dummyfunction("""COMPUTED_VALUE"""),83.79)</f>
        <v>83.79</v>
      </c>
      <c r="F499" s="2" t="n">
        <f aca="false">IFERROR(__xludf.dummyfunction("""COMPUTED_VALUE"""),81431314)</f>
        <v>81431314</v>
      </c>
    </row>
    <row r="500" customFormat="false" ht="15.75" hidden="false" customHeight="false" outlineLevel="0" collapsed="false">
      <c r="A500" s="3" t="n">
        <f aca="false">IFERROR(__xludf.dummyfunction("""COMPUTED_VALUE"""),44918.6666666667)</f>
        <v>44918.6666666667</v>
      </c>
      <c r="B500" s="2" t="n">
        <f aca="false">IFERROR(__xludf.dummyfunction("""COMPUTED_VALUE"""),83.25)</f>
        <v>83.25</v>
      </c>
      <c r="C500" s="2" t="n">
        <f aca="false">IFERROR(__xludf.dummyfunction("""COMPUTED_VALUE"""),85.78)</f>
        <v>85.78</v>
      </c>
      <c r="D500" s="2" t="n">
        <f aca="false">IFERROR(__xludf.dummyfunction("""COMPUTED_VALUE"""),82.93)</f>
        <v>82.93</v>
      </c>
      <c r="E500" s="2" t="n">
        <f aca="false">IFERROR(__xludf.dummyfunction("""COMPUTED_VALUE"""),85.25)</f>
        <v>85.25</v>
      </c>
      <c r="F500" s="2" t="n">
        <f aca="false">IFERROR(__xludf.dummyfunction("""COMPUTED_VALUE"""),57433655)</f>
        <v>57433655</v>
      </c>
    </row>
    <row r="501" customFormat="false" ht="15.75" hidden="false" customHeight="false" outlineLevel="0" collapsed="false">
      <c r="A501" s="3" t="n">
        <f aca="false">IFERROR(__xludf.dummyfunction("""COMPUTED_VALUE"""),44922.6666666667)</f>
        <v>44922.6666666667</v>
      </c>
      <c r="B501" s="2" t="n">
        <f aca="false">IFERROR(__xludf.dummyfunction("""COMPUTED_VALUE"""),84.97)</f>
        <v>84.97</v>
      </c>
      <c r="C501" s="2" t="n">
        <f aca="false">IFERROR(__xludf.dummyfunction("""COMPUTED_VALUE"""),85.35)</f>
        <v>85.35</v>
      </c>
      <c r="D501" s="2" t="n">
        <f aca="false">IFERROR(__xludf.dummyfunction("""COMPUTED_VALUE"""),83)</f>
        <v>83</v>
      </c>
      <c r="E501" s="2" t="n">
        <f aca="false">IFERROR(__xludf.dummyfunction("""COMPUTED_VALUE"""),83.04)</f>
        <v>83.04</v>
      </c>
      <c r="F501" s="2" t="n">
        <f aca="false">IFERROR(__xludf.dummyfunction("""COMPUTED_VALUE"""),57284035)</f>
        <v>57284035</v>
      </c>
    </row>
    <row r="502" customFormat="false" ht="15.75" hidden="false" customHeight="false" outlineLevel="0" collapsed="false">
      <c r="A502" s="3" t="n">
        <f aca="false">IFERROR(__xludf.dummyfunction("""COMPUTED_VALUE"""),44923.6666666667)</f>
        <v>44923.6666666667</v>
      </c>
      <c r="B502" s="2" t="n">
        <f aca="false">IFERROR(__xludf.dummyfunction("""COMPUTED_VALUE"""),82.8)</f>
        <v>82.8</v>
      </c>
      <c r="C502" s="2" t="n">
        <f aca="false">IFERROR(__xludf.dummyfunction("""COMPUTED_VALUE"""),83.48)</f>
        <v>83.48</v>
      </c>
      <c r="D502" s="2" t="n">
        <f aca="false">IFERROR(__xludf.dummyfunction("""COMPUTED_VALUE"""),81.69)</f>
        <v>81.69</v>
      </c>
      <c r="E502" s="2" t="n">
        <f aca="false">IFERROR(__xludf.dummyfunction("""COMPUTED_VALUE"""),81.82)</f>
        <v>81.82</v>
      </c>
      <c r="F502" s="2" t="n">
        <f aca="false">IFERROR(__xludf.dummyfunction("""COMPUTED_VALUE"""),58228575)</f>
        <v>58228575</v>
      </c>
    </row>
    <row r="503" customFormat="false" ht="15.75" hidden="false" customHeight="false" outlineLevel="0" collapsed="false">
      <c r="A503" s="3" t="n">
        <f aca="false">IFERROR(__xludf.dummyfunction("""COMPUTED_VALUE"""),44924.6666666667)</f>
        <v>44924.6666666667</v>
      </c>
      <c r="B503" s="2" t="n">
        <f aca="false">IFERROR(__xludf.dummyfunction("""COMPUTED_VALUE"""),82.87)</f>
        <v>82.87</v>
      </c>
      <c r="C503" s="2" t="n">
        <f aca="false">IFERROR(__xludf.dummyfunction("""COMPUTED_VALUE"""),84.55)</f>
        <v>84.55</v>
      </c>
      <c r="D503" s="2" t="n">
        <f aca="false">IFERROR(__xludf.dummyfunction("""COMPUTED_VALUE"""),82.55)</f>
        <v>82.55</v>
      </c>
      <c r="E503" s="2" t="n">
        <f aca="false">IFERROR(__xludf.dummyfunction("""COMPUTED_VALUE"""),84.18)</f>
        <v>84.18</v>
      </c>
      <c r="F503" s="2" t="n">
        <f aca="false">IFERROR(__xludf.dummyfunction("""COMPUTED_VALUE"""),54995895)</f>
        <v>54995895</v>
      </c>
    </row>
    <row r="504" customFormat="false" ht="15.75" hidden="false" customHeight="false" outlineLevel="0" collapsed="false">
      <c r="A504" s="3" t="n">
        <f aca="false">IFERROR(__xludf.dummyfunction("""COMPUTED_VALUE"""),44925.6666666667)</f>
        <v>44925.6666666667</v>
      </c>
      <c r="B504" s="2" t="n">
        <f aca="false">IFERROR(__xludf.dummyfunction("""COMPUTED_VALUE"""),83.12)</f>
        <v>83.12</v>
      </c>
      <c r="C504" s="2" t="n">
        <f aca="false">IFERROR(__xludf.dummyfunction("""COMPUTED_VALUE"""),84.05)</f>
        <v>84.05</v>
      </c>
      <c r="D504" s="2" t="n">
        <f aca="false">IFERROR(__xludf.dummyfunction("""COMPUTED_VALUE"""),82.47)</f>
        <v>82.47</v>
      </c>
      <c r="E504" s="2" t="n">
        <f aca="false">IFERROR(__xludf.dummyfunction("""COMPUTED_VALUE"""),84)</f>
        <v>84</v>
      </c>
      <c r="F504" s="2" t="n">
        <f aca="false">IFERROR(__xludf.dummyfunction("""COMPUTED_VALUE"""),62401194)</f>
        <v>62401194</v>
      </c>
    </row>
    <row r="505" customFormat="false" ht="15.75" hidden="false" customHeight="false" outlineLevel="0" collapsed="false">
      <c r="A505" s="3" t="n">
        <f aca="false">IFERROR(__xludf.dummyfunction("""COMPUTED_VALUE"""),44929.6666666667)</f>
        <v>44929.6666666667</v>
      </c>
      <c r="B505" s="2" t="n">
        <f aca="false">IFERROR(__xludf.dummyfunction("""COMPUTED_VALUE"""),85.46)</f>
        <v>85.46</v>
      </c>
      <c r="C505" s="2" t="n">
        <f aca="false">IFERROR(__xludf.dummyfunction("""COMPUTED_VALUE"""),86.96)</f>
        <v>86.96</v>
      </c>
      <c r="D505" s="2" t="n">
        <f aca="false">IFERROR(__xludf.dummyfunction("""COMPUTED_VALUE"""),84.21)</f>
        <v>84.21</v>
      </c>
      <c r="E505" s="2" t="n">
        <f aca="false">IFERROR(__xludf.dummyfunction("""COMPUTED_VALUE"""),85.82)</f>
        <v>85.82</v>
      </c>
      <c r="F505" s="2" t="n">
        <f aca="false">IFERROR(__xludf.dummyfunction("""COMPUTED_VALUE"""),76706040)</f>
        <v>76706040</v>
      </c>
    </row>
    <row r="506" customFormat="false" ht="15.75" hidden="false" customHeight="false" outlineLevel="0" collapsed="false">
      <c r="A506" s="3" t="n">
        <f aca="false">IFERROR(__xludf.dummyfunction("""COMPUTED_VALUE"""),44930.6666666667)</f>
        <v>44930.6666666667</v>
      </c>
      <c r="B506" s="2" t="n">
        <f aca="false">IFERROR(__xludf.dummyfunction("""COMPUTED_VALUE"""),86.55)</f>
        <v>86.55</v>
      </c>
      <c r="C506" s="2" t="n">
        <f aca="false">IFERROR(__xludf.dummyfunction("""COMPUTED_VALUE"""),86.98)</f>
        <v>86.98</v>
      </c>
      <c r="D506" s="2" t="n">
        <f aca="false">IFERROR(__xludf.dummyfunction("""COMPUTED_VALUE"""),83.36)</f>
        <v>83.36</v>
      </c>
      <c r="E506" s="2" t="n">
        <f aca="false">IFERROR(__xludf.dummyfunction("""COMPUTED_VALUE"""),85.14)</f>
        <v>85.14</v>
      </c>
      <c r="F506" s="2" t="n">
        <f aca="false">IFERROR(__xludf.dummyfunction("""COMPUTED_VALUE"""),68885123)</f>
        <v>68885123</v>
      </c>
    </row>
    <row r="507" customFormat="false" ht="15.75" hidden="false" customHeight="false" outlineLevel="0" collapsed="false">
      <c r="A507" s="3" t="n">
        <f aca="false">IFERROR(__xludf.dummyfunction("""COMPUTED_VALUE"""),44931.6666666667)</f>
        <v>44931.6666666667</v>
      </c>
      <c r="B507" s="2" t="n">
        <f aca="false">IFERROR(__xludf.dummyfunction("""COMPUTED_VALUE"""),85.33)</f>
        <v>85.33</v>
      </c>
      <c r="C507" s="2" t="n">
        <f aca="false">IFERROR(__xludf.dummyfunction("""COMPUTED_VALUE"""),85.42)</f>
        <v>85.42</v>
      </c>
      <c r="D507" s="2" t="n">
        <f aca="false">IFERROR(__xludf.dummyfunction("""COMPUTED_VALUE"""),83.07)</f>
        <v>83.07</v>
      </c>
      <c r="E507" s="2" t="n">
        <f aca="false">IFERROR(__xludf.dummyfunction("""COMPUTED_VALUE"""),83.12)</f>
        <v>83.12</v>
      </c>
      <c r="F507" s="2" t="n">
        <f aca="false">IFERROR(__xludf.dummyfunction("""COMPUTED_VALUE"""),67930825)</f>
        <v>67930825</v>
      </c>
    </row>
    <row r="508" customFormat="false" ht="15.75" hidden="false" customHeight="false" outlineLevel="0" collapsed="false">
      <c r="A508" s="3" t="n">
        <f aca="false">IFERROR(__xludf.dummyfunction("""COMPUTED_VALUE"""),44932.6666666667)</f>
        <v>44932.6666666667</v>
      </c>
      <c r="B508" s="2" t="n">
        <f aca="false">IFERROR(__xludf.dummyfunction("""COMPUTED_VALUE"""),83.03)</f>
        <v>83.03</v>
      </c>
      <c r="C508" s="2" t="n">
        <f aca="false">IFERROR(__xludf.dummyfunction("""COMPUTED_VALUE"""),86.4)</f>
        <v>86.4</v>
      </c>
      <c r="D508" s="2" t="n">
        <f aca="false">IFERROR(__xludf.dummyfunction("""COMPUTED_VALUE"""),81.43)</f>
        <v>81.43</v>
      </c>
      <c r="E508" s="2" t="n">
        <f aca="false">IFERROR(__xludf.dummyfunction("""COMPUTED_VALUE"""),86.08)</f>
        <v>86.08</v>
      </c>
      <c r="F508" s="2" t="n">
        <f aca="false">IFERROR(__xludf.dummyfunction("""COMPUTED_VALUE"""),83303361)</f>
        <v>83303361</v>
      </c>
    </row>
    <row r="509" customFormat="false" ht="15.75" hidden="false" customHeight="false" outlineLevel="0" collapsed="false">
      <c r="A509" s="3" t="n">
        <f aca="false">IFERROR(__xludf.dummyfunction("""COMPUTED_VALUE"""),44935.6666666667)</f>
        <v>44935.6666666667</v>
      </c>
      <c r="B509" s="2" t="n">
        <f aca="false">IFERROR(__xludf.dummyfunction("""COMPUTED_VALUE"""),87.46)</f>
        <v>87.46</v>
      </c>
      <c r="C509" s="2" t="n">
        <f aca="false">IFERROR(__xludf.dummyfunction("""COMPUTED_VALUE"""),89.48)</f>
        <v>89.48</v>
      </c>
      <c r="D509" s="2" t="n">
        <f aca="false">IFERROR(__xludf.dummyfunction("""COMPUTED_VALUE"""),87.08)</f>
        <v>87.08</v>
      </c>
      <c r="E509" s="2" t="n">
        <f aca="false">IFERROR(__xludf.dummyfunction("""COMPUTED_VALUE"""),87.36)</f>
        <v>87.36</v>
      </c>
      <c r="F509" s="2" t="n">
        <f aca="false">IFERROR(__xludf.dummyfunction("""COMPUTED_VALUE"""),65266056)</f>
        <v>65266056</v>
      </c>
    </row>
    <row r="510" customFormat="false" ht="15.75" hidden="false" customHeight="false" outlineLevel="0" collapsed="false">
      <c r="A510" s="3" t="n">
        <f aca="false">IFERROR(__xludf.dummyfunction("""COMPUTED_VALUE"""),44936.6666666667)</f>
        <v>44936.6666666667</v>
      </c>
      <c r="B510" s="2" t="n">
        <f aca="false">IFERROR(__xludf.dummyfunction("""COMPUTED_VALUE"""),87.57)</f>
        <v>87.57</v>
      </c>
      <c r="C510" s="2" t="n">
        <f aca="false">IFERROR(__xludf.dummyfunction("""COMPUTED_VALUE"""),90.19)</f>
        <v>90.19</v>
      </c>
      <c r="D510" s="2" t="n">
        <f aca="false">IFERROR(__xludf.dummyfunction("""COMPUTED_VALUE"""),87.29)</f>
        <v>87.29</v>
      </c>
      <c r="E510" s="2" t="n">
        <f aca="false">IFERROR(__xludf.dummyfunction("""COMPUTED_VALUE"""),89.87)</f>
        <v>89.87</v>
      </c>
      <c r="F510" s="2" t="n">
        <f aca="false">IFERROR(__xludf.dummyfunction("""COMPUTED_VALUE"""),67756601)</f>
        <v>67756601</v>
      </c>
    </row>
    <row r="511" customFormat="false" ht="15.75" hidden="false" customHeight="false" outlineLevel="0" collapsed="false">
      <c r="A511" s="3" t="n">
        <f aca="false">IFERROR(__xludf.dummyfunction("""COMPUTED_VALUE"""),44937.6666666667)</f>
        <v>44937.6666666667</v>
      </c>
      <c r="B511" s="2" t="n">
        <f aca="false">IFERROR(__xludf.dummyfunction("""COMPUTED_VALUE"""),90.93)</f>
        <v>90.93</v>
      </c>
      <c r="C511" s="2" t="n">
        <f aca="false">IFERROR(__xludf.dummyfunction("""COMPUTED_VALUE"""),95.26)</f>
        <v>95.26</v>
      </c>
      <c r="D511" s="2" t="n">
        <f aca="false">IFERROR(__xludf.dummyfunction("""COMPUTED_VALUE"""),90.93)</f>
        <v>90.93</v>
      </c>
      <c r="E511" s="2" t="n">
        <f aca="false">IFERROR(__xludf.dummyfunction("""COMPUTED_VALUE"""),95.09)</f>
        <v>95.09</v>
      </c>
      <c r="F511" s="2" t="n">
        <f aca="false">IFERROR(__xludf.dummyfunction("""COMPUTED_VALUE"""),103126183)</f>
        <v>103126183</v>
      </c>
    </row>
    <row r="512" customFormat="false" ht="15.75" hidden="false" customHeight="false" outlineLevel="0" collapsed="false">
      <c r="A512" s="3" t="n">
        <f aca="false">IFERROR(__xludf.dummyfunction("""COMPUTED_VALUE"""),44938.6666666667)</f>
        <v>44938.6666666667</v>
      </c>
      <c r="B512" s="2" t="n">
        <f aca="false">IFERROR(__xludf.dummyfunction("""COMPUTED_VALUE"""),96.93)</f>
        <v>96.93</v>
      </c>
      <c r="C512" s="2" t="n">
        <f aca="false">IFERROR(__xludf.dummyfunction("""COMPUTED_VALUE"""),97.19)</f>
        <v>97.19</v>
      </c>
      <c r="D512" s="2" t="n">
        <f aca="false">IFERROR(__xludf.dummyfunction("""COMPUTED_VALUE"""),93.5)</f>
        <v>93.5</v>
      </c>
      <c r="E512" s="2" t="n">
        <f aca="false">IFERROR(__xludf.dummyfunction("""COMPUTED_VALUE"""),95.27)</f>
        <v>95.27</v>
      </c>
      <c r="F512" s="2" t="n">
        <f aca="false">IFERROR(__xludf.dummyfunction("""COMPUTED_VALUE"""),85254781)</f>
        <v>85254781</v>
      </c>
    </row>
    <row r="513" customFormat="false" ht="15.75" hidden="false" customHeight="false" outlineLevel="0" collapsed="false">
      <c r="A513" s="3" t="n">
        <f aca="false">IFERROR(__xludf.dummyfunction("""COMPUTED_VALUE"""),44939.6666666667)</f>
        <v>44939.6666666667</v>
      </c>
      <c r="B513" s="2" t="n">
        <f aca="false">IFERROR(__xludf.dummyfunction("""COMPUTED_VALUE"""),94.18)</f>
        <v>94.18</v>
      </c>
      <c r="C513" s="2" t="n">
        <f aca="false">IFERROR(__xludf.dummyfunction("""COMPUTED_VALUE"""),98.37)</f>
        <v>98.37</v>
      </c>
      <c r="D513" s="2" t="n">
        <f aca="false">IFERROR(__xludf.dummyfunction("""COMPUTED_VALUE"""),94.12)</f>
        <v>94.12</v>
      </c>
      <c r="E513" s="2" t="n">
        <f aca="false">IFERROR(__xludf.dummyfunction("""COMPUTED_VALUE"""),98.12)</f>
        <v>98.12</v>
      </c>
      <c r="F513" s="2" t="n">
        <f aca="false">IFERROR(__xludf.dummyfunction("""COMPUTED_VALUE"""),85549432)</f>
        <v>85549432</v>
      </c>
    </row>
    <row r="514" customFormat="false" ht="15.75" hidden="false" customHeight="false" outlineLevel="0" collapsed="false">
      <c r="A514" s="3" t="n">
        <f aca="false">IFERROR(__xludf.dummyfunction("""COMPUTED_VALUE"""),44943.6666666667)</f>
        <v>44943.6666666667</v>
      </c>
      <c r="B514" s="2" t="n">
        <f aca="false">IFERROR(__xludf.dummyfunction("""COMPUTED_VALUE"""),98.68)</f>
        <v>98.68</v>
      </c>
      <c r="C514" s="2" t="n">
        <f aca="false">IFERROR(__xludf.dummyfunction("""COMPUTED_VALUE"""),98.89)</f>
        <v>98.89</v>
      </c>
      <c r="D514" s="2" t="n">
        <f aca="false">IFERROR(__xludf.dummyfunction("""COMPUTED_VALUE"""),95.73)</f>
        <v>95.73</v>
      </c>
      <c r="E514" s="2" t="n">
        <f aca="false">IFERROR(__xludf.dummyfunction("""COMPUTED_VALUE"""),96.05)</f>
        <v>96.05</v>
      </c>
      <c r="F514" s="2" t="n">
        <f aca="false">IFERROR(__xludf.dummyfunction("""COMPUTED_VALUE"""),72755001)</f>
        <v>72755001</v>
      </c>
    </row>
    <row r="515" customFormat="false" ht="15.75" hidden="false" customHeight="false" outlineLevel="0" collapsed="false">
      <c r="A515" s="3" t="n">
        <f aca="false">IFERROR(__xludf.dummyfunction("""COMPUTED_VALUE"""),44944.6666666667)</f>
        <v>44944.6666666667</v>
      </c>
      <c r="B515" s="2" t="n">
        <f aca="false">IFERROR(__xludf.dummyfunction("""COMPUTED_VALUE"""),97.25)</f>
        <v>97.25</v>
      </c>
      <c r="C515" s="2" t="n">
        <f aca="false">IFERROR(__xludf.dummyfunction("""COMPUTED_VALUE"""),99.32)</f>
        <v>99.32</v>
      </c>
      <c r="D515" s="2" t="n">
        <f aca="false">IFERROR(__xludf.dummyfunction("""COMPUTED_VALUE"""),95.38)</f>
        <v>95.38</v>
      </c>
      <c r="E515" s="2" t="n">
        <f aca="false">IFERROR(__xludf.dummyfunction("""COMPUTED_VALUE"""),95.46)</f>
        <v>95.46</v>
      </c>
      <c r="F515" s="2" t="n">
        <f aca="false">IFERROR(__xludf.dummyfunction("""COMPUTED_VALUE"""),79570370)</f>
        <v>79570370</v>
      </c>
    </row>
    <row r="516" customFormat="false" ht="15.75" hidden="false" customHeight="false" outlineLevel="0" collapsed="false">
      <c r="A516" s="3" t="n">
        <f aca="false">IFERROR(__xludf.dummyfunction("""COMPUTED_VALUE"""),44945.6666666667)</f>
        <v>44945.6666666667</v>
      </c>
      <c r="B516" s="2" t="n">
        <f aca="false">IFERROR(__xludf.dummyfunction("""COMPUTED_VALUE"""),94.74)</f>
        <v>94.74</v>
      </c>
      <c r="C516" s="2" t="n">
        <f aca="false">IFERROR(__xludf.dummyfunction("""COMPUTED_VALUE"""),95.44)</f>
        <v>95.44</v>
      </c>
      <c r="D516" s="2" t="n">
        <f aca="false">IFERROR(__xludf.dummyfunction("""COMPUTED_VALUE"""),92.86)</f>
        <v>92.86</v>
      </c>
      <c r="E516" s="2" t="n">
        <f aca="false">IFERROR(__xludf.dummyfunction("""COMPUTED_VALUE"""),93.68)</f>
        <v>93.68</v>
      </c>
      <c r="F516" s="2" t="n">
        <f aca="false">IFERROR(__xludf.dummyfunction("""COMPUTED_VALUE"""),69002663)</f>
        <v>69002663</v>
      </c>
    </row>
    <row r="517" customFormat="false" ht="15.75" hidden="false" customHeight="false" outlineLevel="0" collapsed="false">
      <c r="A517" s="3" t="n">
        <f aca="false">IFERROR(__xludf.dummyfunction("""COMPUTED_VALUE"""),44946.6666666667)</f>
        <v>44946.6666666667</v>
      </c>
      <c r="B517" s="2" t="n">
        <f aca="false">IFERROR(__xludf.dummyfunction("""COMPUTED_VALUE"""),93.86)</f>
        <v>93.86</v>
      </c>
      <c r="C517" s="2" t="n">
        <f aca="false">IFERROR(__xludf.dummyfunction("""COMPUTED_VALUE"""),97.35)</f>
        <v>97.35</v>
      </c>
      <c r="D517" s="2" t="n">
        <f aca="false">IFERROR(__xludf.dummyfunction("""COMPUTED_VALUE"""),93.2)</f>
        <v>93.2</v>
      </c>
      <c r="E517" s="2" t="n">
        <f aca="false">IFERROR(__xludf.dummyfunction("""COMPUTED_VALUE"""),97.25)</f>
        <v>97.25</v>
      </c>
      <c r="F517" s="2" t="n">
        <f aca="false">IFERROR(__xludf.dummyfunction("""COMPUTED_VALUE"""),67481539)</f>
        <v>67481539</v>
      </c>
    </row>
    <row r="518" customFormat="false" ht="15.75" hidden="false" customHeight="false" outlineLevel="0" collapsed="false">
      <c r="A518" s="3" t="n">
        <f aca="false">IFERROR(__xludf.dummyfunction("""COMPUTED_VALUE"""),44949.6666666667)</f>
        <v>44949.6666666667</v>
      </c>
      <c r="B518" s="2" t="n">
        <f aca="false">IFERROR(__xludf.dummyfunction("""COMPUTED_VALUE"""),97.56)</f>
        <v>97.56</v>
      </c>
      <c r="C518" s="2" t="n">
        <f aca="false">IFERROR(__xludf.dummyfunction("""COMPUTED_VALUE"""),97.78)</f>
        <v>97.78</v>
      </c>
      <c r="D518" s="2" t="n">
        <f aca="false">IFERROR(__xludf.dummyfunction("""COMPUTED_VALUE"""),95.86)</f>
        <v>95.86</v>
      </c>
      <c r="E518" s="2" t="n">
        <f aca="false">IFERROR(__xludf.dummyfunction("""COMPUTED_VALUE"""),97.52)</f>
        <v>97.52</v>
      </c>
      <c r="F518" s="2" t="n">
        <f aca="false">IFERROR(__xludf.dummyfunction("""COMPUTED_VALUE"""),76501103)</f>
        <v>76501103</v>
      </c>
    </row>
    <row r="519" customFormat="false" ht="15.75" hidden="false" customHeight="false" outlineLevel="0" collapsed="false">
      <c r="A519" s="3" t="n">
        <f aca="false">IFERROR(__xludf.dummyfunction("""COMPUTED_VALUE"""),44950.6666666667)</f>
        <v>44950.6666666667</v>
      </c>
      <c r="B519" s="2" t="n">
        <f aca="false">IFERROR(__xludf.dummyfunction("""COMPUTED_VALUE"""),96.93)</f>
        <v>96.93</v>
      </c>
      <c r="C519" s="2" t="n">
        <f aca="false">IFERROR(__xludf.dummyfunction("""COMPUTED_VALUE"""),98.09)</f>
        <v>98.09</v>
      </c>
      <c r="D519" s="2" t="n">
        <f aca="false">IFERROR(__xludf.dummyfunction("""COMPUTED_VALUE"""),96)</f>
        <v>96</v>
      </c>
      <c r="E519" s="2" t="n">
        <f aca="false">IFERROR(__xludf.dummyfunction("""COMPUTED_VALUE"""),96.32)</f>
        <v>96.32</v>
      </c>
      <c r="F519" s="2" t="n">
        <f aca="false">IFERROR(__xludf.dummyfunction("""COMPUTED_VALUE"""),66929452)</f>
        <v>66929452</v>
      </c>
    </row>
    <row r="520" customFormat="false" ht="15.75" hidden="false" customHeight="false" outlineLevel="0" collapsed="false">
      <c r="A520" s="3" t="n">
        <f aca="false">IFERROR(__xludf.dummyfunction("""COMPUTED_VALUE"""),44951.6666666667)</f>
        <v>44951.6666666667</v>
      </c>
      <c r="B520" s="2" t="n">
        <f aca="false">IFERROR(__xludf.dummyfunction("""COMPUTED_VALUE"""),92.56)</f>
        <v>92.56</v>
      </c>
      <c r="C520" s="2" t="n">
        <f aca="false">IFERROR(__xludf.dummyfunction("""COMPUTED_VALUE"""),97.24)</f>
        <v>97.24</v>
      </c>
      <c r="D520" s="2" t="n">
        <f aca="false">IFERROR(__xludf.dummyfunction("""COMPUTED_VALUE"""),91.52)</f>
        <v>91.52</v>
      </c>
      <c r="E520" s="2" t="n">
        <f aca="false">IFERROR(__xludf.dummyfunction("""COMPUTED_VALUE"""),97.18)</f>
        <v>97.18</v>
      </c>
      <c r="F520" s="2" t="n">
        <f aca="false">IFERROR(__xludf.dummyfunction("""COMPUTED_VALUE"""),94261570)</f>
        <v>94261570</v>
      </c>
    </row>
    <row r="521" customFormat="false" ht="15.75" hidden="false" customHeight="false" outlineLevel="0" collapsed="false">
      <c r="A521" s="3" t="n">
        <f aca="false">IFERROR(__xludf.dummyfunction("""COMPUTED_VALUE"""),44952.6666666667)</f>
        <v>44952.6666666667</v>
      </c>
      <c r="B521" s="2" t="n">
        <f aca="false">IFERROR(__xludf.dummyfunction("""COMPUTED_VALUE"""),98.24)</f>
        <v>98.24</v>
      </c>
      <c r="C521" s="2" t="n">
        <f aca="false">IFERROR(__xludf.dummyfunction("""COMPUTED_VALUE"""),99.49)</f>
        <v>99.49</v>
      </c>
      <c r="D521" s="2" t="n">
        <f aca="false">IFERROR(__xludf.dummyfunction("""COMPUTED_VALUE"""),96.92)</f>
        <v>96.92</v>
      </c>
      <c r="E521" s="2" t="n">
        <f aca="false">IFERROR(__xludf.dummyfunction("""COMPUTED_VALUE"""),99.22)</f>
        <v>99.22</v>
      </c>
      <c r="F521" s="2" t="n">
        <f aca="false">IFERROR(__xludf.dummyfunction("""COMPUTED_VALUE"""),68523557)</f>
        <v>68523557</v>
      </c>
    </row>
    <row r="522" customFormat="false" ht="15.75" hidden="false" customHeight="false" outlineLevel="0" collapsed="false">
      <c r="A522" s="3" t="n">
        <f aca="false">IFERROR(__xludf.dummyfunction("""COMPUTED_VALUE"""),44953.6666666667)</f>
        <v>44953.6666666667</v>
      </c>
      <c r="B522" s="2" t="n">
        <f aca="false">IFERROR(__xludf.dummyfunction("""COMPUTED_VALUE"""),99.53)</f>
        <v>99.53</v>
      </c>
      <c r="C522" s="2" t="n">
        <f aca="false">IFERROR(__xludf.dummyfunction("""COMPUTED_VALUE"""),103.49)</f>
        <v>103.49</v>
      </c>
      <c r="D522" s="2" t="n">
        <f aca="false">IFERROR(__xludf.dummyfunction("""COMPUTED_VALUE"""),99.53)</f>
        <v>99.53</v>
      </c>
      <c r="E522" s="2" t="n">
        <f aca="false">IFERROR(__xludf.dummyfunction("""COMPUTED_VALUE"""),102.24)</f>
        <v>102.24</v>
      </c>
      <c r="F522" s="2" t="n">
        <f aca="false">IFERROR(__xludf.dummyfunction("""COMPUTED_VALUE"""),87775614)</f>
        <v>87775614</v>
      </c>
    </row>
    <row r="523" customFormat="false" ht="15.75" hidden="false" customHeight="false" outlineLevel="0" collapsed="false">
      <c r="A523" s="3" t="n">
        <f aca="false">IFERROR(__xludf.dummyfunction("""COMPUTED_VALUE"""),44956.6666666667)</f>
        <v>44956.6666666667</v>
      </c>
      <c r="B523" s="2" t="n">
        <f aca="false">IFERROR(__xludf.dummyfunction("""COMPUTED_VALUE"""),101.09)</f>
        <v>101.09</v>
      </c>
      <c r="C523" s="2" t="n">
        <f aca="false">IFERROR(__xludf.dummyfunction("""COMPUTED_VALUE"""),101.74)</f>
        <v>101.74</v>
      </c>
      <c r="D523" s="2" t="n">
        <f aca="false">IFERROR(__xludf.dummyfunction("""COMPUTED_VALUE"""),99.01)</f>
        <v>99.01</v>
      </c>
      <c r="E523" s="2" t="n">
        <f aca="false">IFERROR(__xludf.dummyfunction("""COMPUTED_VALUE"""),100.55)</f>
        <v>100.55</v>
      </c>
      <c r="F523" s="2" t="n">
        <f aca="false">IFERROR(__xludf.dummyfunction("""COMPUTED_VALUE"""),70691860)</f>
        <v>70691860</v>
      </c>
    </row>
    <row r="524" customFormat="false" ht="15.75" hidden="false" customHeight="false" outlineLevel="0" collapsed="false">
      <c r="A524" s="3" t="n">
        <f aca="false">IFERROR(__xludf.dummyfunction("""COMPUTED_VALUE"""),44957.6666666667)</f>
        <v>44957.6666666667</v>
      </c>
      <c r="B524" s="2" t="n">
        <f aca="false">IFERROR(__xludf.dummyfunction("""COMPUTED_VALUE"""),101.16)</f>
        <v>101.16</v>
      </c>
      <c r="C524" s="2" t="n">
        <f aca="false">IFERROR(__xludf.dummyfunction("""COMPUTED_VALUE"""),103.35)</f>
        <v>103.35</v>
      </c>
      <c r="D524" s="2" t="n">
        <f aca="false">IFERROR(__xludf.dummyfunction("""COMPUTED_VALUE"""),101.14)</f>
        <v>101.14</v>
      </c>
      <c r="E524" s="2" t="n">
        <f aca="false">IFERROR(__xludf.dummyfunction("""COMPUTED_VALUE"""),103.13)</f>
        <v>103.13</v>
      </c>
      <c r="F524" s="2" t="n">
        <f aca="false">IFERROR(__xludf.dummyfunction("""COMPUTED_VALUE"""),66527253)</f>
        <v>66527253</v>
      </c>
    </row>
    <row r="525" customFormat="false" ht="15.75" hidden="false" customHeight="false" outlineLevel="0" collapsed="false">
      <c r="A525" s="3" t="n">
        <f aca="false">IFERROR(__xludf.dummyfunction("""COMPUTED_VALUE"""),44958.6666666667)</f>
        <v>44958.6666666667</v>
      </c>
      <c r="B525" s="2" t="n">
        <f aca="false">IFERROR(__xludf.dummyfunction("""COMPUTED_VALUE"""),102.53)</f>
        <v>102.53</v>
      </c>
      <c r="C525" s="2" t="n">
        <f aca="false">IFERROR(__xludf.dummyfunction("""COMPUTED_VALUE"""),106.24)</f>
        <v>106.24</v>
      </c>
      <c r="D525" s="2" t="n">
        <f aca="false">IFERROR(__xludf.dummyfunction("""COMPUTED_VALUE"""),101.24)</f>
        <v>101.24</v>
      </c>
      <c r="E525" s="2" t="n">
        <f aca="false">IFERROR(__xludf.dummyfunction("""COMPUTED_VALUE"""),105.15)</f>
        <v>105.15</v>
      </c>
      <c r="F525" s="2" t="n">
        <f aca="false">IFERROR(__xludf.dummyfunction("""COMPUTED_VALUE"""),80450121)</f>
        <v>80450121</v>
      </c>
    </row>
    <row r="526" customFormat="false" ht="15.75" hidden="false" customHeight="false" outlineLevel="0" collapsed="false">
      <c r="A526" s="3" t="n">
        <f aca="false">IFERROR(__xludf.dummyfunction("""COMPUTED_VALUE"""),44959.6666666667)</f>
        <v>44959.6666666667</v>
      </c>
      <c r="B526" s="2" t="n">
        <f aca="false">IFERROR(__xludf.dummyfunction("""COMPUTED_VALUE"""),110.25)</f>
        <v>110.25</v>
      </c>
      <c r="C526" s="2" t="n">
        <f aca="false">IFERROR(__xludf.dummyfunction("""COMPUTED_VALUE"""),114)</f>
        <v>114</v>
      </c>
      <c r="D526" s="2" t="n">
        <f aca="false">IFERROR(__xludf.dummyfunction("""COMPUTED_VALUE"""),108.88)</f>
        <v>108.88</v>
      </c>
      <c r="E526" s="2" t="n">
        <f aca="false">IFERROR(__xludf.dummyfunction("""COMPUTED_VALUE"""),112.91)</f>
        <v>112.91</v>
      </c>
      <c r="F526" s="2" t="n">
        <f aca="false">IFERROR(__xludf.dummyfunction("""COMPUTED_VALUE"""),158154243)</f>
        <v>158154243</v>
      </c>
    </row>
    <row r="527" customFormat="false" ht="15.75" hidden="false" customHeight="false" outlineLevel="0" collapsed="false">
      <c r="A527" s="3" t="n">
        <f aca="false">IFERROR(__xludf.dummyfunction("""COMPUTED_VALUE"""),44960.6666666667)</f>
        <v>44960.6666666667</v>
      </c>
      <c r="B527" s="2" t="n">
        <f aca="false">IFERROR(__xludf.dummyfunction("""COMPUTED_VALUE"""),105.26)</f>
        <v>105.26</v>
      </c>
      <c r="C527" s="2" t="n">
        <f aca="false">IFERROR(__xludf.dummyfunction("""COMPUTED_VALUE"""),108.78)</f>
        <v>108.78</v>
      </c>
      <c r="D527" s="2" t="n">
        <f aca="false">IFERROR(__xludf.dummyfunction("""COMPUTED_VALUE"""),102.52)</f>
        <v>102.52</v>
      </c>
      <c r="E527" s="2" t="n">
        <f aca="false">IFERROR(__xludf.dummyfunction("""COMPUTED_VALUE"""),103.39)</f>
        <v>103.39</v>
      </c>
      <c r="F527" s="2" t="n">
        <f aca="false">IFERROR(__xludf.dummyfunction("""COMPUTED_VALUE"""),144374828)</f>
        <v>144374828</v>
      </c>
    </row>
    <row r="528" customFormat="false" ht="15.75" hidden="false" customHeight="false" outlineLevel="0" collapsed="false">
      <c r="A528" s="3" t="n">
        <f aca="false">IFERROR(__xludf.dummyfunction("""COMPUTED_VALUE"""),44963.6666666667)</f>
        <v>44963.6666666667</v>
      </c>
      <c r="B528" s="2" t="n">
        <f aca="false">IFERROR(__xludf.dummyfunction("""COMPUTED_VALUE"""),102.93)</f>
        <v>102.93</v>
      </c>
      <c r="C528" s="2" t="n">
        <f aca="false">IFERROR(__xludf.dummyfunction("""COMPUTED_VALUE"""),103.95)</f>
        <v>103.95</v>
      </c>
      <c r="D528" s="2" t="n">
        <f aca="false">IFERROR(__xludf.dummyfunction("""COMPUTED_VALUE"""),100.65)</f>
        <v>100.65</v>
      </c>
      <c r="E528" s="2" t="n">
        <f aca="false">IFERROR(__xludf.dummyfunction("""COMPUTED_VALUE"""),102.18)</f>
        <v>102.18</v>
      </c>
      <c r="F528" s="2" t="n">
        <f aca="false">IFERROR(__xludf.dummyfunction("""COMPUTED_VALUE"""),81945199)</f>
        <v>81945199</v>
      </c>
    </row>
    <row r="529" customFormat="false" ht="15.75" hidden="false" customHeight="false" outlineLevel="0" collapsed="false">
      <c r="A529" s="3" t="n">
        <f aca="false">IFERROR(__xludf.dummyfunction("""COMPUTED_VALUE"""),44964.6666666667)</f>
        <v>44964.6666666667</v>
      </c>
      <c r="B529" s="2" t="n">
        <f aca="false">IFERROR(__xludf.dummyfunction("""COMPUTED_VALUE"""),101.17)</f>
        <v>101.17</v>
      </c>
      <c r="C529" s="2" t="n">
        <f aca="false">IFERROR(__xludf.dummyfunction("""COMPUTED_VALUE"""),102.41)</f>
        <v>102.41</v>
      </c>
      <c r="D529" s="2" t="n">
        <f aca="false">IFERROR(__xludf.dummyfunction("""COMPUTED_VALUE"""),98.08)</f>
        <v>98.08</v>
      </c>
      <c r="E529" s="2" t="n">
        <f aca="false">IFERROR(__xludf.dummyfunction("""COMPUTED_VALUE"""),102.11)</f>
        <v>102.11</v>
      </c>
      <c r="F529" s="2" t="n">
        <f aca="false">IFERROR(__xludf.dummyfunction("""COMPUTED_VALUE"""),119501301)</f>
        <v>119501301</v>
      </c>
    </row>
    <row r="530" customFormat="false" ht="15.75" hidden="false" customHeight="false" outlineLevel="0" collapsed="false">
      <c r="A530" s="3" t="n">
        <f aca="false">IFERROR(__xludf.dummyfunction("""COMPUTED_VALUE"""),44965.6666666667)</f>
        <v>44965.6666666667</v>
      </c>
      <c r="B530" s="2" t="n">
        <f aca="false">IFERROR(__xludf.dummyfunction("""COMPUTED_VALUE"""),102.04)</f>
        <v>102.04</v>
      </c>
      <c r="C530" s="2" t="n">
        <f aca="false">IFERROR(__xludf.dummyfunction("""COMPUTED_VALUE"""),102.67)</f>
        <v>102.67</v>
      </c>
      <c r="D530" s="2" t="n">
        <f aca="false">IFERROR(__xludf.dummyfunction("""COMPUTED_VALUE"""),98.78)</f>
        <v>98.78</v>
      </c>
      <c r="E530" s="2" t="n">
        <f aca="false">IFERROR(__xludf.dummyfunction("""COMPUTED_VALUE"""),100.05)</f>
        <v>100.05</v>
      </c>
      <c r="F530" s="2" t="n">
        <f aca="false">IFERROR(__xludf.dummyfunction("""COMPUTED_VALUE"""),75878304)</f>
        <v>75878304</v>
      </c>
    </row>
    <row r="531" customFormat="false" ht="15.75" hidden="false" customHeight="false" outlineLevel="0" collapsed="false">
      <c r="A531" s="3" t="n">
        <f aca="false">IFERROR(__xludf.dummyfunction("""COMPUTED_VALUE"""),44966.6666666667)</f>
        <v>44966.6666666667</v>
      </c>
      <c r="B531" s="2" t="n">
        <f aca="false">IFERROR(__xludf.dummyfunction("""COMPUTED_VALUE"""),101.32)</f>
        <v>101.32</v>
      </c>
      <c r="C531" s="2" t="n">
        <f aca="false">IFERROR(__xludf.dummyfunction("""COMPUTED_VALUE"""),101.78)</f>
        <v>101.78</v>
      </c>
      <c r="D531" s="2" t="n">
        <f aca="false">IFERROR(__xludf.dummyfunction("""COMPUTED_VALUE"""),97.57)</f>
        <v>97.57</v>
      </c>
      <c r="E531" s="2" t="n">
        <f aca="false">IFERROR(__xludf.dummyfunction("""COMPUTED_VALUE"""),98.24)</f>
        <v>98.24</v>
      </c>
      <c r="F531" s="2" t="n">
        <f aca="false">IFERROR(__xludf.dummyfunction("""COMPUTED_VALUE"""),64622489)</f>
        <v>64622489</v>
      </c>
    </row>
    <row r="532" customFormat="false" ht="15.75" hidden="false" customHeight="false" outlineLevel="0" collapsed="false">
      <c r="A532" s="3" t="n">
        <f aca="false">IFERROR(__xludf.dummyfunction("""COMPUTED_VALUE"""),44967.6666666667)</f>
        <v>44967.6666666667</v>
      </c>
      <c r="B532" s="2" t="n">
        <f aca="false">IFERROR(__xludf.dummyfunction("""COMPUTED_VALUE"""),97.56)</f>
        <v>97.56</v>
      </c>
      <c r="C532" s="2" t="n">
        <f aca="false">IFERROR(__xludf.dummyfunction("""COMPUTED_VALUE"""),98.82)</f>
        <v>98.82</v>
      </c>
      <c r="D532" s="2" t="n">
        <f aca="false">IFERROR(__xludf.dummyfunction("""COMPUTED_VALUE"""),96.23)</f>
        <v>96.23</v>
      </c>
      <c r="E532" s="2" t="n">
        <f aca="false">IFERROR(__xludf.dummyfunction("""COMPUTED_VALUE"""),97.61)</f>
        <v>97.61</v>
      </c>
      <c r="F532" s="2" t="n">
        <f aca="false">IFERROR(__xludf.dummyfunction("""COMPUTED_VALUE"""),52740133)</f>
        <v>52740133</v>
      </c>
    </row>
    <row r="533" customFormat="false" ht="15.75" hidden="false" customHeight="false" outlineLevel="0" collapsed="false">
      <c r="A533" s="3" t="n">
        <f aca="false">IFERROR(__xludf.dummyfunction("""COMPUTED_VALUE"""),44970.6666666667)</f>
        <v>44970.6666666667</v>
      </c>
      <c r="B533" s="2" t="n">
        <f aca="false">IFERROR(__xludf.dummyfunction("""COMPUTED_VALUE"""),97.85)</f>
        <v>97.85</v>
      </c>
      <c r="C533" s="2" t="n">
        <f aca="false">IFERROR(__xludf.dummyfunction("""COMPUTED_VALUE"""),99.68)</f>
        <v>99.68</v>
      </c>
      <c r="D533" s="2" t="n">
        <f aca="false">IFERROR(__xludf.dummyfunction("""COMPUTED_VALUE"""),96.91)</f>
        <v>96.91</v>
      </c>
      <c r="E533" s="2" t="n">
        <f aca="false">IFERROR(__xludf.dummyfunction("""COMPUTED_VALUE"""),99.54)</f>
        <v>99.54</v>
      </c>
      <c r="F533" s="2" t="n">
        <f aca="false">IFERROR(__xludf.dummyfunction("""COMPUTED_VALUE"""),52841464)</f>
        <v>52841464</v>
      </c>
    </row>
    <row r="534" customFormat="false" ht="15.75" hidden="false" customHeight="false" outlineLevel="0" collapsed="false">
      <c r="A534" s="3" t="n">
        <f aca="false">IFERROR(__xludf.dummyfunction("""COMPUTED_VALUE"""),44971.6666666667)</f>
        <v>44971.6666666667</v>
      </c>
      <c r="B534" s="2" t="n">
        <f aca="false">IFERROR(__xludf.dummyfunction("""COMPUTED_VALUE"""),98.41)</f>
        <v>98.41</v>
      </c>
      <c r="C534" s="2" t="n">
        <f aca="false">IFERROR(__xludf.dummyfunction("""COMPUTED_VALUE"""),100.92)</f>
        <v>100.92</v>
      </c>
      <c r="D534" s="2" t="n">
        <f aca="false">IFERROR(__xludf.dummyfunction("""COMPUTED_VALUE"""),97.52)</f>
        <v>97.52</v>
      </c>
      <c r="E534" s="2" t="n">
        <f aca="false">IFERROR(__xludf.dummyfunction("""COMPUTED_VALUE"""),99.7)</f>
        <v>99.7</v>
      </c>
      <c r="F534" s="2" t="n">
        <f aca="false">IFERROR(__xludf.dummyfunction("""COMPUTED_VALUE"""),56202898)</f>
        <v>56202898</v>
      </c>
    </row>
    <row r="535" customFormat="false" ht="15.75" hidden="false" customHeight="false" outlineLevel="0" collapsed="false">
      <c r="A535" s="3" t="n">
        <f aca="false">IFERROR(__xludf.dummyfunction("""COMPUTED_VALUE"""),44972.6666666667)</f>
        <v>44972.6666666667</v>
      </c>
      <c r="B535" s="2" t="n">
        <f aca="false">IFERROR(__xludf.dummyfunction("""COMPUTED_VALUE"""),99.09)</f>
        <v>99.09</v>
      </c>
      <c r="C535" s="2" t="n">
        <f aca="false">IFERROR(__xludf.dummyfunction("""COMPUTED_VALUE"""),101.17)</f>
        <v>101.17</v>
      </c>
      <c r="D535" s="2" t="n">
        <f aca="false">IFERROR(__xludf.dummyfunction("""COMPUTED_VALUE"""),98.45)</f>
        <v>98.45</v>
      </c>
      <c r="E535" s="2" t="n">
        <f aca="false">IFERROR(__xludf.dummyfunction("""COMPUTED_VALUE"""),101.16)</f>
        <v>101.16</v>
      </c>
      <c r="F535" s="2" t="n">
        <f aca="false">IFERROR(__xludf.dummyfunction("""COMPUTED_VALUE"""),48053879)</f>
        <v>48053879</v>
      </c>
    </row>
    <row r="536" customFormat="false" ht="15.75" hidden="false" customHeight="false" outlineLevel="0" collapsed="false">
      <c r="A536" s="3" t="n">
        <f aca="false">IFERROR(__xludf.dummyfunction("""COMPUTED_VALUE"""),44973.6666666667)</f>
        <v>44973.6666666667</v>
      </c>
      <c r="B536" s="2" t="n">
        <f aca="false">IFERROR(__xludf.dummyfunction("""COMPUTED_VALUE"""),99.21)</f>
        <v>99.21</v>
      </c>
      <c r="C536" s="2" t="n">
        <f aca="false">IFERROR(__xludf.dummyfunction("""COMPUTED_VALUE"""),100.63)</f>
        <v>100.63</v>
      </c>
      <c r="D536" s="2" t="n">
        <f aca="false">IFERROR(__xludf.dummyfunction("""COMPUTED_VALUE"""),98.1)</f>
        <v>98.1</v>
      </c>
      <c r="E536" s="2" t="n">
        <f aca="false">IFERROR(__xludf.dummyfunction("""COMPUTED_VALUE"""),98.15)</f>
        <v>98.15</v>
      </c>
      <c r="F536" s="2" t="n">
        <f aca="false">IFERROR(__xludf.dummyfunction("""COMPUTED_VALUE"""),56339173)</f>
        <v>56339173</v>
      </c>
    </row>
    <row r="537" customFormat="false" ht="15.75" hidden="false" customHeight="false" outlineLevel="0" collapsed="false">
      <c r="A537" s="3" t="n">
        <f aca="false">IFERROR(__xludf.dummyfunction("""COMPUTED_VALUE"""),44974.6666666667)</f>
        <v>44974.6666666667</v>
      </c>
      <c r="B537" s="2" t="n">
        <f aca="false">IFERROR(__xludf.dummyfunction("""COMPUTED_VALUE"""),97.8)</f>
        <v>97.8</v>
      </c>
      <c r="C537" s="2" t="n">
        <f aca="false">IFERROR(__xludf.dummyfunction("""COMPUTED_VALUE"""),97.94)</f>
        <v>97.94</v>
      </c>
      <c r="D537" s="2" t="n">
        <f aca="false">IFERROR(__xludf.dummyfunction("""COMPUTED_VALUE"""),95.65)</f>
        <v>95.65</v>
      </c>
      <c r="E537" s="2" t="n">
        <f aca="false">IFERROR(__xludf.dummyfunction("""COMPUTED_VALUE"""),97.2)</f>
        <v>97.2</v>
      </c>
      <c r="F537" s="2" t="n">
        <f aca="false">IFERROR(__xludf.dummyfunction("""COMPUTED_VALUE"""),60029405)</f>
        <v>60029405</v>
      </c>
    </row>
    <row r="538" customFormat="false" ht="15.75" hidden="false" customHeight="false" outlineLevel="0" collapsed="false">
      <c r="A538" s="3" t="n">
        <f aca="false">IFERROR(__xludf.dummyfunction("""COMPUTED_VALUE"""),44978.6666666667)</f>
        <v>44978.6666666667</v>
      </c>
      <c r="B538" s="2" t="n">
        <f aca="false">IFERROR(__xludf.dummyfunction("""COMPUTED_VALUE"""),95.34)</f>
        <v>95.34</v>
      </c>
      <c r="C538" s="2" t="n">
        <f aca="false">IFERROR(__xludf.dummyfunction("""COMPUTED_VALUE"""),95.61)</f>
        <v>95.61</v>
      </c>
      <c r="D538" s="2" t="n">
        <f aca="false">IFERROR(__xludf.dummyfunction("""COMPUTED_VALUE"""),94.27)</f>
        <v>94.27</v>
      </c>
      <c r="E538" s="2" t="n">
        <f aca="false">IFERROR(__xludf.dummyfunction("""COMPUTED_VALUE"""),94.58)</f>
        <v>94.58</v>
      </c>
      <c r="F538" s="2" t="n">
        <f aca="false">IFERROR(__xludf.dummyfunction("""COMPUTED_VALUE"""),56580360)</f>
        <v>56580360</v>
      </c>
    </row>
    <row r="539" customFormat="false" ht="15.75" hidden="false" customHeight="false" outlineLevel="0" collapsed="false">
      <c r="A539" s="3" t="n">
        <f aca="false">IFERROR(__xludf.dummyfunction("""COMPUTED_VALUE"""),44979.6666666667)</f>
        <v>44979.6666666667</v>
      </c>
      <c r="B539" s="2" t="n">
        <f aca="false">IFERROR(__xludf.dummyfunction("""COMPUTED_VALUE"""),95.1)</f>
        <v>95.1</v>
      </c>
      <c r="C539" s="2" t="n">
        <f aca="false">IFERROR(__xludf.dummyfunction("""COMPUTED_VALUE"""),97.01)</f>
        <v>97.01</v>
      </c>
      <c r="D539" s="2" t="n">
        <f aca="false">IFERROR(__xludf.dummyfunction("""COMPUTED_VALUE"""),94.8)</f>
        <v>94.8</v>
      </c>
      <c r="E539" s="2" t="n">
        <f aca="false">IFERROR(__xludf.dummyfunction("""COMPUTED_VALUE"""),95.79)</f>
        <v>95.79</v>
      </c>
      <c r="F539" s="2" t="n">
        <f aca="false">IFERROR(__xludf.dummyfunction("""COMPUTED_VALUE"""),59534094)</f>
        <v>59534094</v>
      </c>
    </row>
    <row r="540" customFormat="false" ht="15.75" hidden="false" customHeight="false" outlineLevel="0" collapsed="false">
      <c r="A540" s="3" t="n">
        <f aca="false">IFERROR(__xludf.dummyfunction("""COMPUTED_VALUE"""),44980.6666666667)</f>
        <v>44980.6666666667</v>
      </c>
      <c r="B540" s="2" t="n">
        <f aca="false">IFERROR(__xludf.dummyfunction("""COMPUTED_VALUE"""),96.12)</f>
        <v>96.12</v>
      </c>
      <c r="C540" s="2" t="n">
        <f aca="false">IFERROR(__xludf.dummyfunction("""COMPUTED_VALUE"""),96.43)</f>
        <v>96.43</v>
      </c>
      <c r="D540" s="2" t="n">
        <f aca="false">IFERROR(__xludf.dummyfunction("""COMPUTED_VALUE"""),93.67)</f>
        <v>93.67</v>
      </c>
      <c r="E540" s="2" t="n">
        <f aca="false">IFERROR(__xludf.dummyfunction("""COMPUTED_VALUE"""),95.82)</f>
        <v>95.82</v>
      </c>
      <c r="F540" s="2" t="n">
        <f aca="false">IFERROR(__xludf.dummyfunction("""COMPUTED_VALUE"""),48466994)</f>
        <v>48466994</v>
      </c>
    </row>
    <row r="541" customFormat="false" ht="15.75" hidden="false" customHeight="false" outlineLevel="0" collapsed="false">
      <c r="A541" s="3" t="n">
        <f aca="false">IFERROR(__xludf.dummyfunction("""COMPUTED_VALUE"""),44981.6666666667)</f>
        <v>44981.6666666667</v>
      </c>
      <c r="B541" s="2" t="n">
        <f aca="false">IFERROR(__xludf.dummyfunction("""COMPUTED_VALUE"""),93.53)</f>
        <v>93.53</v>
      </c>
      <c r="C541" s="2" t="n">
        <f aca="false">IFERROR(__xludf.dummyfunction("""COMPUTED_VALUE"""),94.14)</f>
        <v>94.14</v>
      </c>
      <c r="D541" s="2" t="n">
        <f aca="false">IFERROR(__xludf.dummyfunction("""COMPUTED_VALUE"""),92.32)</f>
        <v>92.32</v>
      </c>
      <c r="E541" s="2" t="n">
        <f aca="false">IFERROR(__xludf.dummyfunction("""COMPUTED_VALUE"""),93.5)</f>
        <v>93.5</v>
      </c>
      <c r="F541" s="2" t="n">
        <f aca="false">IFERROR(__xludf.dummyfunction("""COMPUTED_VALUE"""),57053812)</f>
        <v>57053812</v>
      </c>
    </row>
    <row r="542" customFormat="false" ht="15.75" hidden="false" customHeight="false" outlineLevel="0" collapsed="false">
      <c r="A542" s="3" t="n">
        <f aca="false">IFERROR(__xludf.dummyfunction("""COMPUTED_VALUE"""),44984.6666666667)</f>
        <v>44984.6666666667</v>
      </c>
      <c r="B542" s="2" t="n">
        <f aca="false">IFERROR(__xludf.dummyfunction("""COMPUTED_VALUE"""),94.28)</f>
        <v>94.28</v>
      </c>
      <c r="C542" s="2" t="n">
        <f aca="false">IFERROR(__xludf.dummyfunction("""COMPUTED_VALUE"""),94.78)</f>
        <v>94.78</v>
      </c>
      <c r="D542" s="2" t="n">
        <f aca="false">IFERROR(__xludf.dummyfunction("""COMPUTED_VALUE"""),93.14)</f>
        <v>93.14</v>
      </c>
      <c r="E542" s="2" t="n">
        <f aca="false">IFERROR(__xludf.dummyfunction("""COMPUTED_VALUE"""),93.76)</f>
        <v>93.76</v>
      </c>
      <c r="F542" s="2" t="n">
        <f aca="false">IFERROR(__xludf.dummyfunction("""COMPUTED_VALUE"""),47470321)</f>
        <v>47470321</v>
      </c>
    </row>
    <row r="543" customFormat="false" ht="15.75" hidden="false" customHeight="false" outlineLevel="0" collapsed="false">
      <c r="A543" s="3" t="n">
        <f aca="false">IFERROR(__xludf.dummyfunction("""COMPUTED_VALUE"""),44985.6666666667)</f>
        <v>44985.6666666667</v>
      </c>
      <c r="B543" s="2" t="n">
        <f aca="false">IFERROR(__xludf.dummyfunction("""COMPUTED_VALUE"""),93.14)</f>
        <v>93.14</v>
      </c>
      <c r="C543" s="2" t="n">
        <f aca="false">IFERROR(__xludf.dummyfunction("""COMPUTED_VALUE"""),94.69)</f>
        <v>94.69</v>
      </c>
      <c r="D543" s="2" t="n">
        <f aca="false">IFERROR(__xludf.dummyfunction("""COMPUTED_VALUE"""),92.92)</f>
        <v>92.92</v>
      </c>
      <c r="E543" s="2" t="n">
        <f aca="false">IFERROR(__xludf.dummyfunction("""COMPUTED_VALUE"""),94.23)</f>
        <v>94.23</v>
      </c>
      <c r="F543" s="2" t="n">
        <f aca="false">IFERROR(__xludf.dummyfunction("""COMPUTED_VALUE"""),43959290)</f>
        <v>43959290</v>
      </c>
    </row>
    <row r="544" customFormat="false" ht="15.75" hidden="false" customHeight="false" outlineLevel="0" collapsed="false">
      <c r="A544" s="3" t="n">
        <f aca="false">IFERROR(__xludf.dummyfunction("""COMPUTED_VALUE"""),44986.6666666667)</f>
        <v>44986.6666666667</v>
      </c>
      <c r="B544" s="2" t="n">
        <f aca="false">IFERROR(__xludf.dummyfunction("""COMPUTED_VALUE"""),93.87)</f>
        <v>93.87</v>
      </c>
      <c r="C544" s="2" t="n">
        <f aca="false">IFERROR(__xludf.dummyfunction("""COMPUTED_VALUE"""),94.68)</f>
        <v>94.68</v>
      </c>
      <c r="D544" s="2" t="n">
        <f aca="false">IFERROR(__xludf.dummyfunction("""COMPUTED_VALUE"""),91.59)</f>
        <v>91.59</v>
      </c>
      <c r="E544" s="2" t="n">
        <f aca="false">IFERROR(__xludf.dummyfunction("""COMPUTED_VALUE"""),92.17)</f>
        <v>92.17</v>
      </c>
      <c r="F544" s="2" t="n">
        <f aca="false">IFERROR(__xludf.dummyfunction("""COMPUTED_VALUE"""),52299524)</f>
        <v>52299524</v>
      </c>
    </row>
    <row r="545" customFormat="false" ht="15.75" hidden="false" customHeight="false" outlineLevel="0" collapsed="false">
      <c r="A545" s="3" t="n">
        <f aca="false">IFERROR(__xludf.dummyfunction("""COMPUTED_VALUE"""),44987.6666666667)</f>
        <v>44987.6666666667</v>
      </c>
      <c r="B545" s="2" t="n">
        <f aca="false">IFERROR(__xludf.dummyfunction("""COMPUTED_VALUE"""),91.41)</f>
        <v>91.41</v>
      </c>
      <c r="C545" s="2" t="n">
        <f aca="false">IFERROR(__xludf.dummyfunction("""COMPUTED_VALUE"""),92.23)</f>
        <v>92.23</v>
      </c>
      <c r="D545" s="2" t="n">
        <f aca="false">IFERROR(__xludf.dummyfunction("""COMPUTED_VALUE"""),90.39)</f>
        <v>90.39</v>
      </c>
      <c r="E545" s="2" t="n">
        <f aca="false">IFERROR(__xludf.dummyfunction("""COMPUTED_VALUE"""),92.13)</f>
        <v>92.13</v>
      </c>
      <c r="F545" s="2" t="n">
        <f aca="false">IFERROR(__xludf.dummyfunction("""COMPUTED_VALUE"""),55574820)</f>
        <v>55574820</v>
      </c>
    </row>
    <row r="546" customFormat="false" ht="15.75" hidden="false" customHeight="false" outlineLevel="0" collapsed="false">
      <c r="A546" s="3" t="n">
        <f aca="false">IFERROR(__xludf.dummyfunction("""COMPUTED_VALUE"""),44988.6666666667)</f>
        <v>44988.6666666667</v>
      </c>
      <c r="B546" s="2" t="n">
        <f aca="false">IFERROR(__xludf.dummyfunction("""COMPUTED_VALUE"""),92.74)</f>
        <v>92.74</v>
      </c>
      <c r="C546" s="2" t="n">
        <f aca="false">IFERROR(__xludf.dummyfunction("""COMPUTED_VALUE"""),94.94)</f>
        <v>94.94</v>
      </c>
      <c r="D546" s="2" t="n">
        <f aca="false">IFERROR(__xludf.dummyfunction("""COMPUTED_VALUE"""),92.66)</f>
        <v>92.66</v>
      </c>
      <c r="E546" s="2" t="n">
        <f aca="false">IFERROR(__xludf.dummyfunction("""COMPUTED_VALUE"""),94.9)</f>
        <v>94.9</v>
      </c>
      <c r="F546" s="2" t="n">
        <f aca="false">IFERROR(__xludf.dummyfunction("""COMPUTED_VALUE"""),55759609)</f>
        <v>55759609</v>
      </c>
    </row>
    <row r="547" customFormat="false" ht="15.75" hidden="false" customHeight="false" outlineLevel="0" collapsed="false">
      <c r="A547" s="3" t="n">
        <f aca="false">IFERROR(__xludf.dummyfunction("""COMPUTED_VALUE"""),44991.6666666667)</f>
        <v>44991.6666666667</v>
      </c>
      <c r="B547" s="2" t="n">
        <f aca="false">IFERROR(__xludf.dummyfunction("""COMPUTED_VALUE"""),95.19)</f>
        <v>95.19</v>
      </c>
      <c r="C547" s="2" t="n">
        <f aca="false">IFERROR(__xludf.dummyfunction("""COMPUTED_VALUE"""),96.55)</f>
        <v>96.55</v>
      </c>
      <c r="D547" s="2" t="n">
        <f aca="false">IFERROR(__xludf.dummyfunction("""COMPUTED_VALUE"""),93.74)</f>
        <v>93.74</v>
      </c>
      <c r="E547" s="2" t="n">
        <f aca="false">IFERROR(__xludf.dummyfunction("""COMPUTED_VALUE"""),93.75)</f>
        <v>93.75</v>
      </c>
      <c r="F547" s="2" t="n">
        <f aca="false">IFERROR(__xludf.dummyfunction("""COMPUTED_VALUE"""),52112355)</f>
        <v>52112355</v>
      </c>
    </row>
    <row r="548" customFormat="false" ht="15.75" hidden="false" customHeight="false" outlineLevel="0" collapsed="false">
      <c r="A548" s="3" t="n">
        <f aca="false">IFERROR(__xludf.dummyfunction("""COMPUTED_VALUE"""),44992.6666666667)</f>
        <v>44992.6666666667</v>
      </c>
      <c r="B548" s="2" t="n">
        <f aca="false">IFERROR(__xludf.dummyfunction("""COMPUTED_VALUE"""),94.06)</f>
        <v>94.06</v>
      </c>
      <c r="C548" s="2" t="n">
        <f aca="false">IFERROR(__xludf.dummyfunction("""COMPUTED_VALUE"""),95.09)</f>
        <v>95.09</v>
      </c>
      <c r="D548" s="2" t="n">
        <f aca="false">IFERROR(__xludf.dummyfunction("""COMPUTED_VALUE"""),92.78)</f>
        <v>92.78</v>
      </c>
      <c r="E548" s="2" t="n">
        <f aca="false">IFERROR(__xludf.dummyfunction("""COMPUTED_VALUE"""),93.55)</f>
        <v>93.55</v>
      </c>
      <c r="F548" s="2" t="n">
        <f aca="false">IFERROR(__xludf.dummyfunction("""COMPUTED_VALUE"""),49100668)</f>
        <v>49100668</v>
      </c>
    </row>
    <row r="549" customFormat="false" ht="15.75" hidden="false" customHeight="false" outlineLevel="0" collapsed="false">
      <c r="A549" s="3" t="n">
        <f aca="false">IFERROR(__xludf.dummyfunction("""COMPUTED_VALUE"""),44993.6666666667)</f>
        <v>44993.6666666667</v>
      </c>
      <c r="B549" s="2" t="n">
        <f aca="false">IFERROR(__xludf.dummyfunction("""COMPUTED_VALUE"""),93.6)</f>
        <v>93.6</v>
      </c>
      <c r="C549" s="2" t="n">
        <f aca="false">IFERROR(__xludf.dummyfunction("""COMPUTED_VALUE"""),94.17)</f>
        <v>94.17</v>
      </c>
      <c r="D549" s="2" t="n">
        <f aca="false">IFERROR(__xludf.dummyfunction("""COMPUTED_VALUE"""),92.18)</f>
        <v>92.18</v>
      </c>
      <c r="E549" s="2" t="n">
        <f aca="false">IFERROR(__xludf.dummyfunction("""COMPUTED_VALUE"""),93.92)</f>
        <v>93.92</v>
      </c>
      <c r="F549" s="2" t="n">
        <f aca="false">IFERROR(__xludf.dummyfunction("""COMPUTED_VALUE"""),44899128)</f>
        <v>44899128</v>
      </c>
    </row>
    <row r="550" customFormat="false" ht="15.75" hidden="false" customHeight="false" outlineLevel="0" collapsed="false">
      <c r="A550" s="3" t="n">
        <f aca="false">IFERROR(__xludf.dummyfunction("""COMPUTED_VALUE"""),44994.6666666667)</f>
        <v>44994.6666666667</v>
      </c>
      <c r="B550" s="2" t="n">
        <f aca="false">IFERROR(__xludf.dummyfunction("""COMPUTED_VALUE"""),93.68)</f>
        <v>93.68</v>
      </c>
      <c r="C550" s="2" t="n">
        <f aca="false">IFERROR(__xludf.dummyfunction("""COMPUTED_VALUE"""),96.21)</f>
        <v>96.21</v>
      </c>
      <c r="D550" s="2" t="n">
        <f aca="false">IFERROR(__xludf.dummyfunction("""COMPUTED_VALUE"""),92.18)</f>
        <v>92.18</v>
      </c>
      <c r="E550" s="2" t="n">
        <f aca="false">IFERROR(__xludf.dummyfunction("""COMPUTED_VALUE"""),92.25)</f>
        <v>92.25</v>
      </c>
      <c r="F550" s="2" t="n">
        <f aca="false">IFERROR(__xludf.dummyfunction("""COMPUTED_VALUE"""),56218705)</f>
        <v>56218705</v>
      </c>
    </row>
    <row r="551" customFormat="false" ht="15.75" hidden="false" customHeight="false" outlineLevel="0" collapsed="false">
      <c r="A551" s="3" t="n">
        <f aca="false">IFERROR(__xludf.dummyfunction("""COMPUTED_VALUE"""),44995.6666666667)</f>
        <v>44995.6666666667</v>
      </c>
      <c r="B551" s="2" t="n">
        <f aca="false">IFERROR(__xludf.dummyfunction("""COMPUTED_VALUE"""),92.67)</f>
        <v>92.67</v>
      </c>
      <c r="C551" s="2" t="n">
        <f aca="false">IFERROR(__xludf.dummyfunction("""COMPUTED_VALUE"""),93.57)</f>
        <v>93.57</v>
      </c>
      <c r="D551" s="2" t="n">
        <f aca="false">IFERROR(__xludf.dummyfunction("""COMPUTED_VALUE"""),90.25)</f>
        <v>90.25</v>
      </c>
      <c r="E551" s="2" t="n">
        <f aca="false">IFERROR(__xludf.dummyfunction("""COMPUTED_VALUE"""),90.73)</f>
        <v>90.73</v>
      </c>
      <c r="F551" s="2" t="n">
        <f aca="false">IFERROR(__xludf.dummyfunction("""COMPUTED_VALUE"""),69827490)</f>
        <v>69827490</v>
      </c>
    </row>
    <row r="552" customFormat="false" ht="15.75" hidden="false" customHeight="false" outlineLevel="0" collapsed="false">
      <c r="A552" s="3" t="n">
        <f aca="false">IFERROR(__xludf.dummyfunction("""COMPUTED_VALUE"""),44998.6666666667)</f>
        <v>44998.6666666667</v>
      </c>
      <c r="B552" s="2" t="n">
        <f aca="false">IFERROR(__xludf.dummyfunction("""COMPUTED_VALUE"""),89.97)</f>
        <v>89.97</v>
      </c>
      <c r="C552" s="2" t="n">
        <f aca="false">IFERROR(__xludf.dummyfunction("""COMPUTED_VALUE"""),94.02)</f>
        <v>94.02</v>
      </c>
      <c r="D552" s="2" t="n">
        <f aca="false">IFERROR(__xludf.dummyfunction("""COMPUTED_VALUE"""),88.12)</f>
        <v>88.12</v>
      </c>
      <c r="E552" s="2" t="n">
        <f aca="false">IFERROR(__xludf.dummyfunction("""COMPUTED_VALUE"""),92.43)</f>
        <v>92.43</v>
      </c>
      <c r="F552" s="2" t="n">
        <f aca="false">IFERROR(__xludf.dummyfunction("""COMPUTED_VALUE"""),72397053)</f>
        <v>72397053</v>
      </c>
    </row>
    <row r="553" customFormat="false" ht="15.75" hidden="false" customHeight="false" outlineLevel="0" collapsed="false">
      <c r="A553" s="3" t="n">
        <f aca="false">IFERROR(__xludf.dummyfunction("""COMPUTED_VALUE"""),44999.6666666667)</f>
        <v>44999.6666666667</v>
      </c>
      <c r="B553" s="2" t="n">
        <f aca="false">IFERROR(__xludf.dummyfunction("""COMPUTED_VALUE"""),93.83)</f>
        <v>93.83</v>
      </c>
      <c r="C553" s="2" t="n">
        <f aca="false">IFERROR(__xludf.dummyfunction("""COMPUTED_VALUE"""),95.07)</f>
        <v>95.07</v>
      </c>
      <c r="D553" s="2" t="n">
        <f aca="false">IFERROR(__xludf.dummyfunction("""COMPUTED_VALUE"""),92.71)</f>
        <v>92.71</v>
      </c>
      <c r="E553" s="2" t="n">
        <f aca="false">IFERROR(__xludf.dummyfunction("""COMPUTED_VALUE"""),94.88)</f>
        <v>94.88</v>
      </c>
      <c r="F553" s="2" t="n">
        <f aca="false">IFERROR(__xludf.dummyfunction("""COMPUTED_VALUE"""),60912674)</f>
        <v>60912674</v>
      </c>
    </row>
    <row r="554" customFormat="false" ht="15.75" hidden="false" customHeight="false" outlineLevel="0" collapsed="false">
      <c r="A554" s="3" t="n">
        <f aca="false">IFERROR(__xludf.dummyfunction("""COMPUTED_VALUE"""),45000.6666666667)</f>
        <v>45000.6666666667</v>
      </c>
      <c r="B554" s="2" t="n">
        <f aca="false">IFERROR(__xludf.dummyfunction("""COMPUTED_VALUE"""),93.22)</f>
        <v>93.22</v>
      </c>
      <c r="C554" s="2" t="n">
        <f aca="false">IFERROR(__xludf.dummyfunction("""COMPUTED_VALUE"""),96.67)</f>
        <v>96.67</v>
      </c>
      <c r="D554" s="2" t="n">
        <f aca="false">IFERROR(__xludf.dummyfunction("""COMPUTED_VALUE"""),93.07)</f>
        <v>93.07</v>
      </c>
      <c r="E554" s="2" t="n">
        <f aca="false">IFERROR(__xludf.dummyfunction("""COMPUTED_VALUE"""),96.2)</f>
        <v>96.2</v>
      </c>
      <c r="F554" s="2" t="n">
        <f aca="false">IFERROR(__xludf.dummyfunction("""COMPUTED_VALUE"""),70731792)</f>
        <v>70731792</v>
      </c>
    </row>
    <row r="555" customFormat="false" ht="15.75" hidden="false" customHeight="false" outlineLevel="0" collapsed="false">
      <c r="A555" s="3" t="n">
        <f aca="false">IFERROR(__xludf.dummyfunction("""COMPUTED_VALUE"""),45001.6666666667)</f>
        <v>45001.6666666667</v>
      </c>
      <c r="B555" s="2" t="n">
        <f aca="false">IFERROR(__xludf.dummyfunction("""COMPUTED_VALUE"""),95.75)</f>
        <v>95.75</v>
      </c>
      <c r="C555" s="2" t="n">
        <f aca="false">IFERROR(__xludf.dummyfunction("""COMPUTED_VALUE"""),100.99)</f>
        <v>100.99</v>
      </c>
      <c r="D555" s="2" t="n">
        <f aca="false">IFERROR(__xludf.dummyfunction("""COMPUTED_VALUE"""),95.61)</f>
        <v>95.61</v>
      </c>
      <c r="E555" s="2" t="n">
        <f aca="false">IFERROR(__xludf.dummyfunction("""COMPUTED_VALUE"""),100.04)</f>
        <v>100.04</v>
      </c>
      <c r="F555" s="2" t="n">
        <f aca="false">IFERROR(__xludf.dummyfunction("""COMPUTED_VALUE"""),84558934)</f>
        <v>84558934</v>
      </c>
    </row>
    <row r="556" customFormat="false" ht="15.75" hidden="false" customHeight="false" outlineLevel="0" collapsed="false">
      <c r="A556" s="3" t="n">
        <f aca="false">IFERROR(__xludf.dummyfunction("""COMPUTED_VALUE"""),45002.6666666667)</f>
        <v>45002.6666666667</v>
      </c>
      <c r="B556" s="2" t="n">
        <f aca="false">IFERROR(__xludf.dummyfunction("""COMPUTED_VALUE"""),99.79)</f>
        <v>99.79</v>
      </c>
      <c r="C556" s="2" t="n">
        <f aca="false">IFERROR(__xludf.dummyfunction("""COMPUTED_VALUE"""),100.66)</f>
        <v>100.66</v>
      </c>
      <c r="D556" s="2" t="n">
        <f aca="false">IFERROR(__xludf.dummyfunction("""COMPUTED_VALUE"""),97.46)</f>
        <v>97.46</v>
      </c>
      <c r="E556" s="2" t="n">
        <f aca="false">IFERROR(__xludf.dummyfunction("""COMPUTED_VALUE"""),98.95)</f>
        <v>98.95</v>
      </c>
      <c r="F556" s="2" t="n">
        <f aca="false">IFERROR(__xludf.dummyfunction("""COMPUTED_VALUE"""),87300242)</f>
        <v>87300242</v>
      </c>
    </row>
    <row r="557" customFormat="false" ht="15.75" hidden="false" customHeight="false" outlineLevel="0" collapsed="false">
      <c r="A557" s="3" t="n">
        <f aca="false">IFERROR(__xludf.dummyfunction("""COMPUTED_VALUE"""),45005.6666666667)</f>
        <v>45005.6666666667</v>
      </c>
      <c r="B557" s="2" t="n">
        <f aca="false">IFERROR(__xludf.dummyfunction("""COMPUTED_VALUE"""),98.41)</f>
        <v>98.41</v>
      </c>
      <c r="C557" s="2" t="n">
        <f aca="false">IFERROR(__xludf.dummyfunction("""COMPUTED_VALUE"""),98.48)</f>
        <v>98.48</v>
      </c>
      <c r="D557" s="2" t="n">
        <f aca="false">IFERROR(__xludf.dummyfunction("""COMPUTED_VALUE"""),95.7)</f>
        <v>95.7</v>
      </c>
      <c r="E557" s="2" t="n">
        <f aca="false">IFERROR(__xludf.dummyfunction("""COMPUTED_VALUE"""),97.71)</f>
        <v>97.71</v>
      </c>
      <c r="F557" s="2" t="n">
        <f aca="false">IFERROR(__xludf.dummyfunction("""COMPUTED_VALUE"""),62388911)</f>
        <v>62388911</v>
      </c>
    </row>
    <row r="558" customFormat="false" ht="15.75" hidden="false" customHeight="false" outlineLevel="0" collapsed="false">
      <c r="A558" s="3" t="n">
        <f aca="false">IFERROR(__xludf.dummyfunction("""COMPUTED_VALUE"""),45006.6666666667)</f>
        <v>45006.6666666667</v>
      </c>
      <c r="B558" s="2" t="n">
        <f aca="false">IFERROR(__xludf.dummyfunction("""COMPUTED_VALUE"""),98.14)</f>
        <v>98.14</v>
      </c>
      <c r="C558" s="2" t="n">
        <f aca="false">IFERROR(__xludf.dummyfunction("""COMPUTED_VALUE"""),100.85)</f>
        <v>100.85</v>
      </c>
      <c r="D558" s="2" t="n">
        <f aca="false">IFERROR(__xludf.dummyfunction("""COMPUTED_VALUE"""),98)</f>
        <v>98</v>
      </c>
      <c r="E558" s="2" t="n">
        <f aca="false">IFERROR(__xludf.dummyfunction("""COMPUTED_VALUE"""),100.61)</f>
        <v>100.61</v>
      </c>
      <c r="F558" s="2" t="n">
        <f aca="false">IFERROR(__xludf.dummyfunction("""COMPUTED_VALUE"""),58597275)</f>
        <v>58597275</v>
      </c>
    </row>
    <row r="559" customFormat="false" ht="15.75" hidden="false" customHeight="false" outlineLevel="0" collapsed="false">
      <c r="A559" s="3" t="n">
        <f aca="false">IFERROR(__xludf.dummyfunction("""COMPUTED_VALUE"""),45007.6666666667)</f>
        <v>45007.6666666667</v>
      </c>
      <c r="B559" s="2" t="n">
        <f aca="false">IFERROR(__xludf.dummyfunction("""COMPUTED_VALUE"""),100.45)</f>
        <v>100.45</v>
      </c>
      <c r="C559" s="2" t="n">
        <f aca="false">IFERROR(__xludf.dummyfunction("""COMPUTED_VALUE"""),102.1)</f>
        <v>102.1</v>
      </c>
      <c r="D559" s="2" t="n">
        <f aca="false">IFERROR(__xludf.dummyfunction("""COMPUTED_VALUE"""),98.61)</f>
        <v>98.61</v>
      </c>
      <c r="E559" s="2" t="n">
        <f aca="false">IFERROR(__xludf.dummyfunction("""COMPUTED_VALUE"""),98.7)</f>
        <v>98.7</v>
      </c>
      <c r="F559" s="2" t="n">
        <f aca="false">IFERROR(__xludf.dummyfunction("""COMPUTED_VALUE"""),57475365)</f>
        <v>57475365</v>
      </c>
    </row>
    <row r="560" customFormat="false" ht="15.75" hidden="false" customHeight="false" outlineLevel="0" collapsed="false">
      <c r="A560" s="3" t="n">
        <f aca="false">IFERROR(__xludf.dummyfunction("""COMPUTED_VALUE"""),45008.6666666667)</f>
        <v>45008.6666666667</v>
      </c>
      <c r="B560" s="2" t="n">
        <f aca="false">IFERROR(__xludf.dummyfunction("""COMPUTED_VALUE"""),100.43)</f>
        <v>100.43</v>
      </c>
      <c r="C560" s="2" t="n">
        <f aca="false">IFERROR(__xludf.dummyfunction("""COMPUTED_VALUE"""),101.06)</f>
        <v>101.06</v>
      </c>
      <c r="D560" s="2" t="n">
        <f aca="false">IFERROR(__xludf.dummyfunction("""COMPUTED_VALUE"""),97.62)</f>
        <v>97.62</v>
      </c>
      <c r="E560" s="2" t="n">
        <f aca="false">IFERROR(__xludf.dummyfunction("""COMPUTED_VALUE"""),98.71)</f>
        <v>98.71</v>
      </c>
      <c r="F560" s="2" t="n">
        <f aca="false">IFERROR(__xludf.dummyfunction("""COMPUTED_VALUE"""),57559310)</f>
        <v>57559310</v>
      </c>
    </row>
    <row r="561" customFormat="false" ht="15.75" hidden="false" customHeight="false" outlineLevel="0" collapsed="false">
      <c r="A561" s="3" t="n">
        <f aca="false">IFERROR(__xludf.dummyfunction("""COMPUTED_VALUE"""),45009.6666666667)</f>
        <v>45009.6666666667</v>
      </c>
      <c r="B561" s="2" t="n">
        <f aca="false">IFERROR(__xludf.dummyfunction("""COMPUTED_VALUE"""),98.07)</f>
        <v>98.07</v>
      </c>
      <c r="C561" s="2" t="n">
        <f aca="false">IFERROR(__xludf.dummyfunction("""COMPUTED_VALUE"""),98.3)</f>
        <v>98.3</v>
      </c>
      <c r="D561" s="2" t="n">
        <f aca="false">IFERROR(__xludf.dummyfunction("""COMPUTED_VALUE"""),96.4)</f>
        <v>96.4</v>
      </c>
      <c r="E561" s="2" t="n">
        <f aca="false">IFERROR(__xludf.dummyfunction("""COMPUTED_VALUE"""),98.13)</f>
        <v>98.13</v>
      </c>
      <c r="F561" s="2" t="n">
        <f aca="false">IFERROR(__xludf.dummyfunction("""COMPUTED_VALUE"""),56144801)</f>
        <v>56144801</v>
      </c>
    </row>
    <row r="562" customFormat="false" ht="15.75" hidden="false" customHeight="false" outlineLevel="0" collapsed="false">
      <c r="A562" s="3" t="n">
        <f aca="false">IFERROR(__xludf.dummyfunction("""COMPUTED_VALUE"""),45012.6666666667)</f>
        <v>45012.6666666667</v>
      </c>
      <c r="B562" s="2" t="n">
        <f aca="false">IFERROR(__xludf.dummyfunction("""COMPUTED_VALUE"""),99.07)</f>
        <v>99.07</v>
      </c>
      <c r="C562" s="2" t="n">
        <f aca="false">IFERROR(__xludf.dummyfunction("""COMPUTED_VALUE"""),99.34)</f>
        <v>99.34</v>
      </c>
      <c r="D562" s="2" t="n">
        <f aca="false">IFERROR(__xludf.dummyfunction("""COMPUTED_VALUE"""),97.08)</f>
        <v>97.08</v>
      </c>
      <c r="E562" s="2" t="n">
        <f aca="false">IFERROR(__xludf.dummyfunction("""COMPUTED_VALUE"""),98.04)</f>
        <v>98.04</v>
      </c>
      <c r="F562" s="2" t="n">
        <f aca="false">IFERROR(__xludf.dummyfunction("""COMPUTED_VALUE"""),46721296)</f>
        <v>46721296</v>
      </c>
    </row>
    <row r="563" customFormat="false" ht="15.75" hidden="false" customHeight="false" outlineLevel="0" collapsed="false">
      <c r="A563" s="3" t="n">
        <f aca="false">IFERROR(__xludf.dummyfunction("""COMPUTED_VALUE"""),45013.6666666667)</f>
        <v>45013.6666666667</v>
      </c>
      <c r="B563" s="2" t="n">
        <f aca="false">IFERROR(__xludf.dummyfunction("""COMPUTED_VALUE"""),98.11)</f>
        <v>98.11</v>
      </c>
      <c r="C563" s="2" t="n">
        <f aca="false">IFERROR(__xludf.dummyfunction("""COMPUTED_VALUE"""),98.44)</f>
        <v>98.44</v>
      </c>
      <c r="D563" s="2" t="n">
        <f aca="false">IFERROR(__xludf.dummyfunction("""COMPUTED_VALUE"""),96.29)</f>
        <v>96.29</v>
      </c>
      <c r="E563" s="2" t="n">
        <f aca="false">IFERROR(__xludf.dummyfunction("""COMPUTED_VALUE"""),97.24)</f>
        <v>97.24</v>
      </c>
      <c r="F563" s="2" t="n">
        <f aca="false">IFERROR(__xludf.dummyfunction("""COMPUTED_VALUE"""),38720050)</f>
        <v>38720050</v>
      </c>
    </row>
    <row r="564" customFormat="false" ht="15.75" hidden="false" customHeight="false" outlineLevel="0" collapsed="false">
      <c r="A564" s="3" t="n">
        <f aca="false">IFERROR(__xludf.dummyfunction("""COMPUTED_VALUE"""),45014.6666666667)</f>
        <v>45014.6666666667</v>
      </c>
      <c r="B564" s="2" t="n">
        <f aca="false">IFERROR(__xludf.dummyfunction("""COMPUTED_VALUE"""),98.69)</f>
        <v>98.69</v>
      </c>
      <c r="C564" s="2" t="n">
        <f aca="false">IFERROR(__xludf.dummyfunction("""COMPUTED_VALUE"""),100.42)</f>
        <v>100.42</v>
      </c>
      <c r="D564" s="2" t="n">
        <f aca="false">IFERROR(__xludf.dummyfunction("""COMPUTED_VALUE"""),98.56)</f>
        <v>98.56</v>
      </c>
      <c r="E564" s="2" t="n">
        <f aca="false">IFERROR(__xludf.dummyfunction("""COMPUTED_VALUE"""),100.25)</f>
        <v>100.25</v>
      </c>
      <c r="F564" s="2" t="n">
        <f aca="false">IFERROR(__xludf.dummyfunction("""COMPUTED_VALUE"""),49783279)</f>
        <v>49783279</v>
      </c>
    </row>
    <row r="565" customFormat="false" ht="15.75" hidden="false" customHeight="false" outlineLevel="0" collapsed="false">
      <c r="A565" s="3" t="n">
        <f aca="false">IFERROR(__xludf.dummyfunction("""COMPUTED_VALUE"""),45015.6666666667)</f>
        <v>45015.6666666667</v>
      </c>
      <c r="B565" s="2" t="n">
        <f aca="false">IFERROR(__xludf.dummyfunction("""COMPUTED_VALUE"""),101.55)</f>
        <v>101.55</v>
      </c>
      <c r="C565" s="2" t="n">
        <f aca="false">IFERROR(__xludf.dummyfunction("""COMPUTED_VALUE"""),103.04)</f>
        <v>103.04</v>
      </c>
      <c r="D565" s="2" t="n">
        <f aca="false">IFERROR(__xludf.dummyfunction("""COMPUTED_VALUE"""),101.01)</f>
        <v>101.01</v>
      </c>
      <c r="E565" s="2" t="n">
        <f aca="false">IFERROR(__xludf.dummyfunction("""COMPUTED_VALUE"""),102)</f>
        <v>102</v>
      </c>
      <c r="F565" s="2" t="n">
        <f aca="false">IFERROR(__xludf.dummyfunction("""COMPUTED_VALUE"""),53633398)</f>
        <v>53633398</v>
      </c>
    </row>
    <row r="566" customFormat="false" ht="15.75" hidden="false" customHeight="false" outlineLevel="0" collapsed="false">
      <c r="A566" s="3" t="n">
        <f aca="false">IFERROR(__xludf.dummyfunction("""COMPUTED_VALUE"""),45016.6666666667)</f>
        <v>45016.6666666667</v>
      </c>
      <c r="B566" s="2" t="n">
        <f aca="false">IFERROR(__xludf.dummyfunction("""COMPUTED_VALUE"""),102.16)</f>
        <v>102.16</v>
      </c>
      <c r="C566" s="2" t="n">
        <f aca="false">IFERROR(__xludf.dummyfunction("""COMPUTED_VALUE"""),103.49)</f>
        <v>103.49</v>
      </c>
      <c r="D566" s="2" t="n">
        <f aca="false">IFERROR(__xludf.dummyfunction("""COMPUTED_VALUE"""),101.95)</f>
        <v>101.95</v>
      </c>
      <c r="E566" s="2" t="n">
        <f aca="false">IFERROR(__xludf.dummyfunction("""COMPUTED_VALUE"""),103.29)</f>
        <v>103.29</v>
      </c>
      <c r="F566" s="2" t="n">
        <f aca="false">IFERROR(__xludf.dummyfunction("""COMPUTED_VALUE"""),56750317)</f>
        <v>56750317</v>
      </c>
    </row>
    <row r="567" customFormat="false" ht="15.75" hidden="false" customHeight="false" outlineLevel="0" collapsed="false">
      <c r="A567" s="3" t="n">
        <f aca="false">IFERROR(__xludf.dummyfunction("""COMPUTED_VALUE"""),45019.6666666667)</f>
        <v>45019.6666666667</v>
      </c>
      <c r="B567" s="2" t="n">
        <f aca="false">IFERROR(__xludf.dummyfunction("""COMPUTED_VALUE"""),102.3)</f>
        <v>102.3</v>
      </c>
      <c r="C567" s="2" t="n">
        <f aca="false">IFERROR(__xludf.dummyfunction("""COMPUTED_VALUE"""),103.29)</f>
        <v>103.29</v>
      </c>
      <c r="D567" s="2" t="n">
        <f aca="false">IFERROR(__xludf.dummyfunction("""COMPUTED_VALUE"""),101.43)</f>
        <v>101.43</v>
      </c>
      <c r="E567" s="2" t="n">
        <f aca="false">IFERROR(__xludf.dummyfunction("""COMPUTED_VALUE"""),102.41)</f>
        <v>102.41</v>
      </c>
      <c r="F567" s="2" t="n">
        <f aca="false">IFERROR(__xludf.dummyfunction("""COMPUTED_VALUE"""),41135733)</f>
        <v>41135733</v>
      </c>
    </row>
    <row r="568" customFormat="false" ht="15.75" hidden="false" customHeight="false" outlineLevel="0" collapsed="false">
      <c r="A568" s="3" t="n">
        <f aca="false">IFERROR(__xludf.dummyfunction("""COMPUTED_VALUE"""),45020.6666666667)</f>
        <v>45020.6666666667</v>
      </c>
      <c r="B568" s="2" t="n">
        <f aca="false">IFERROR(__xludf.dummyfunction("""COMPUTED_VALUE"""),102.75)</f>
        <v>102.75</v>
      </c>
      <c r="C568" s="2" t="n">
        <f aca="false">IFERROR(__xludf.dummyfunction("""COMPUTED_VALUE"""),104.2)</f>
        <v>104.2</v>
      </c>
      <c r="D568" s="2" t="n">
        <f aca="false">IFERROR(__xludf.dummyfunction("""COMPUTED_VALUE"""),102.11)</f>
        <v>102.11</v>
      </c>
      <c r="E568" s="2" t="n">
        <f aca="false">IFERROR(__xludf.dummyfunction("""COMPUTED_VALUE"""),103.95)</f>
        <v>103.95</v>
      </c>
      <c r="F568" s="2" t="n">
        <f aca="false">IFERROR(__xludf.dummyfunction("""COMPUTED_VALUE"""),48662496)</f>
        <v>48662496</v>
      </c>
    </row>
    <row r="569" customFormat="false" ht="15.75" hidden="false" customHeight="false" outlineLevel="0" collapsed="false">
      <c r="A569" s="3" t="n">
        <f aca="false">IFERROR(__xludf.dummyfunction("""COMPUTED_VALUE"""),45021.6666666667)</f>
        <v>45021.6666666667</v>
      </c>
      <c r="B569" s="2" t="n">
        <f aca="false">IFERROR(__xludf.dummyfunction("""COMPUTED_VALUE"""),103.91)</f>
        <v>103.91</v>
      </c>
      <c r="C569" s="2" t="n">
        <f aca="false">IFERROR(__xludf.dummyfunction("""COMPUTED_VALUE"""),103.91)</f>
        <v>103.91</v>
      </c>
      <c r="D569" s="2" t="n">
        <f aca="false">IFERROR(__xludf.dummyfunction("""COMPUTED_VALUE"""),100.75)</f>
        <v>100.75</v>
      </c>
      <c r="E569" s="2" t="n">
        <f aca="false">IFERROR(__xludf.dummyfunction("""COMPUTED_VALUE"""),101.1)</f>
        <v>101.1</v>
      </c>
      <c r="F569" s="2" t="n">
        <f aca="false">IFERROR(__xludf.dummyfunction("""COMPUTED_VALUE"""),45175393)</f>
        <v>45175393</v>
      </c>
    </row>
    <row r="570" customFormat="false" ht="15.75" hidden="false" customHeight="false" outlineLevel="0" collapsed="false">
      <c r="A570" s="3" t="n">
        <f aca="false">IFERROR(__xludf.dummyfunction("""COMPUTED_VALUE"""),45022.6666666667)</f>
        <v>45022.6666666667</v>
      </c>
      <c r="B570" s="2" t="n">
        <f aca="false">IFERROR(__xludf.dummyfunction("""COMPUTED_VALUE"""),100.75)</f>
        <v>100.75</v>
      </c>
      <c r="C570" s="2" t="n">
        <f aca="false">IFERROR(__xludf.dummyfunction("""COMPUTED_VALUE"""),102.38)</f>
        <v>102.38</v>
      </c>
      <c r="D570" s="2" t="n">
        <f aca="false">IFERROR(__xludf.dummyfunction("""COMPUTED_VALUE"""),99.8)</f>
        <v>99.8</v>
      </c>
      <c r="E570" s="2" t="n">
        <f aca="false">IFERROR(__xludf.dummyfunction("""COMPUTED_VALUE"""),102.06)</f>
        <v>102.06</v>
      </c>
      <c r="F570" s="2" t="n">
        <f aca="false">IFERROR(__xludf.dummyfunction("""COMPUTED_VALUE"""),43808020)</f>
        <v>43808020</v>
      </c>
    </row>
    <row r="571" customFormat="false" ht="15.75" hidden="false" customHeight="false" outlineLevel="0" collapsed="false">
      <c r="A571" s="3" t="n">
        <f aca="false">IFERROR(__xludf.dummyfunction("""COMPUTED_VALUE"""),45026.6666666667)</f>
        <v>45026.6666666667</v>
      </c>
      <c r="B571" s="2" t="n">
        <f aca="false">IFERROR(__xludf.dummyfunction("""COMPUTED_VALUE"""),100.96)</f>
        <v>100.96</v>
      </c>
      <c r="C571" s="2" t="n">
        <f aca="false">IFERROR(__xludf.dummyfunction("""COMPUTED_VALUE"""),102.2)</f>
        <v>102.2</v>
      </c>
      <c r="D571" s="2" t="n">
        <f aca="false">IFERROR(__xludf.dummyfunction("""COMPUTED_VALUE"""),99.57)</f>
        <v>99.57</v>
      </c>
      <c r="E571" s="2" t="n">
        <f aca="false">IFERROR(__xludf.dummyfunction("""COMPUTED_VALUE"""),102.17)</f>
        <v>102.17</v>
      </c>
      <c r="F571" s="2" t="n">
        <f aca="false">IFERROR(__xludf.dummyfunction("""COMPUTED_VALUE"""),37261185)</f>
        <v>37261185</v>
      </c>
    </row>
    <row r="572" customFormat="false" ht="15.75" hidden="false" customHeight="false" outlineLevel="0" collapsed="false">
      <c r="A572" s="3" t="n">
        <f aca="false">IFERROR(__xludf.dummyfunction("""COMPUTED_VALUE"""),45027.6666666667)</f>
        <v>45027.6666666667</v>
      </c>
      <c r="B572" s="2" t="n">
        <f aca="false">IFERROR(__xludf.dummyfunction("""COMPUTED_VALUE"""),100.8)</f>
        <v>100.8</v>
      </c>
      <c r="C572" s="2" t="n">
        <f aca="false">IFERROR(__xludf.dummyfunction("""COMPUTED_VALUE"""),101)</f>
        <v>101</v>
      </c>
      <c r="D572" s="2" t="n">
        <f aca="false">IFERROR(__xludf.dummyfunction("""COMPUTED_VALUE"""),99.01)</f>
        <v>99.01</v>
      </c>
      <c r="E572" s="2" t="n">
        <f aca="false">IFERROR(__xludf.dummyfunction("""COMPUTED_VALUE"""),99.92)</f>
        <v>99.92</v>
      </c>
      <c r="F572" s="2" t="n">
        <f aca="false">IFERROR(__xludf.dummyfunction("""COMPUTED_VALUE"""),60417847)</f>
        <v>60417847</v>
      </c>
    </row>
    <row r="573" customFormat="false" ht="15.75" hidden="false" customHeight="false" outlineLevel="0" collapsed="false">
      <c r="A573" s="3" t="n">
        <f aca="false">IFERROR(__xludf.dummyfunction("""COMPUTED_VALUE"""),45028.6666666667)</f>
        <v>45028.6666666667</v>
      </c>
      <c r="B573" s="2" t="n">
        <f aca="false">IFERROR(__xludf.dummyfunction("""COMPUTED_VALUE"""),100.4)</f>
        <v>100.4</v>
      </c>
      <c r="C573" s="2" t="n">
        <f aca="false">IFERROR(__xludf.dummyfunction("""COMPUTED_VALUE"""),100.51)</f>
        <v>100.51</v>
      </c>
      <c r="D573" s="2" t="n">
        <f aca="false">IFERROR(__xludf.dummyfunction("""COMPUTED_VALUE"""),97.71)</f>
        <v>97.71</v>
      </c>
      <c r="E573" s="2" t="n">
        <f aca="false">IFERROR(__xludf.dummyfunction("""COMPUTED_VALUE"""),97.83)</f>
        <v>97.83</v>
      </c>
      <c r="F573" s="2" t="n">
        <f aca="false">IFERROR(__xludf.dummyfunction("""COMPUTED_VALUE"""),56735007)</f>
        <v>56735007</v>
      </c>
    </row>
    <row r="574" customFormat="false" ht="15.75" hidden="false" customHeight="false" outlineLevel="0" collapsed="false">
      <c r="A574" s="3" t="n">
        <f aca="false">IFERROR(__xludf.dummyfunction("""COMPUTED_VALUE"""),45029.6666666667)</f>
        <v>45029.6666666667</v>
      </c>
      <c r="B574" s="2" t="n">
        <f aca="false">IFERROR(__xludf.dummyfunction("""COMPUTED_VALUE"""),98.95)</f>
        <v>98.95</v>
      </c>
      <c r="C574" s="2" t="n">
        <f aca="false">IFERROR(__xludf.dummyfunction("""COMPUTED_VALUE"""),102.57)</f>
        <v>102.57</v>
      </c>
      <c r="D574" s="2" t="n">
        <f aca="false">IFERROR(__xludf.dummyfunction("""COMPUTED_VALUE"""),98.71)</f>
        <v>98.71</v>
      </c>
      <c r="E574" s="2" t="n">
        <f aca="false">IFERROR(__xludf.dummyfunction("""COMPUTED_VALUE"""),102.4)</f>
        <v>102.4</v>
      </c>
      <c r="F574" s="2" t="n">
        <f aca="false">IFERROR(__xludf.dummyfunction("""COMPUTED_VALUE"""),67925138)</f>
        <v>67925138</v>
      </c>
    </row>
    <row r="575" customFormat="false" ht="15.75" hidden="false" customHeight="false" outlineLevel="0" collapsed="false">
      <c r="A575" s="3" t="n">
        <f aca="false">IFERROR(__xludf.dummyfunction("""COMPUTED_VALUE"""),45030.6666666667)</f>
        <v>45030.6666666667</v>
      </c>
      <c r="B575" s="2" t="n">
        <f aca="false">IFERROR(__xludf.dummyfunction("""COMPUTED_VALUE"""),102.07)</f>
        <v>102.07</v>
      </c>
      <c r="C575" s="2" t="n">
        <f aca="false">IFERROR(__xludf.dummyfunction("""COMPUTED_VALUE"""),103.2)</f>
        <v>103.2</v>
      </c>
      <c r="D575" s="2" t="n">
        <f aca="false">IFERROR(__xludf.dummyfunction("""COMPUTED_VALUE"""),101.11)</f>
        <v>101.11</v>
      </c>
      <c r="E575" s="2" t="n">
        <f aca="false">IFERROR(__xludf.dummyfunction("""COMPUTED_VALUE"""),102.51)</f>
        <v>102.51</v>
      </c>
      <c r="F575" s="2" t="n">
        <f aca="false">IFERROR(__xludf.dummyfunction("""COMPUTED_VALUE"""),51450522)</f>
        <v>51450522</v>
      </c>
    </row>
    <row r="576" customFormat="false" ht="15.75" hidden="false" customHeight="false" outlineLevel="0" collapsed="false">
      <c r="A576" s="3" t="n">
        <f aca="false">IFERROR(__xludf.dummyfunction("""COMPUTED_VALUE"""),45033.6666666667)</f>
        <v>45033.6666666667</v>
      </c>
      <c r="B576" s="2" t="n">
        <f aca="false">IFERROR(__xludf.dummyfunction("""COMPUTED_VALUE"""),103.16)</f>
        <v>103.16</v>
      </c>
      <c r="C576" s="2" t="n">
        <f aca="false">IFERROR(__xludf.dummyfunction("""COMPUTED_VALUE"""),103.73)</f>
        <v>103.73</v>
      </c>
      <c r="D576" s="2" t="n">
        <f aca="false">IFERROR(__xludf.dummyfunction("""COMPUTED_VALUE"""),101.59)</f>
        <v>101.59</v>
      </c>
      <c r="E576" s="2" t="n">
        <f aca="false">IFERROR(__xludf.dummyfunction("""COMPUTED_VALUE"""),102.74)</f>
        <v>102.74</v>
      </c>
      <c r="F576" s="2" t="n">
        <f aca="false">IFERROR(__xludf.dummyfunction("""COMPUTED_VALUE"""),39919457)</f>
        <v>39919457</v>
      </c>
    </row>
    <row r="577" customFormat="false" ht="15.75" hidden="false" customHeight="false" outlineLevel="0" collapsed="false">
      <c r="A577" s="3" t="n">
        <f aca="false">IFERROR(__xludf.dummyfunction("""COMPUTED_VALUE"""),45034.6666666667)</f>
        <v>45034.6666666667</v>
      </c>
      <c r="B577" s="2" t="n">
        <f aca="false">IFERROR(__xludf.dummyfunction("""COMPUTED_VALUE"""),103.95)</f>
        <v>103.95</v>
      </c>
      <c r="C577" s="2" t="n">
        <f aca="false">IFERROR(__xludf.dummyfunction("""COMPUTED_VALUE"""),104.2)</f>
        <v>104.2</v>
      </c>
      <c r="D577" s="2" t="n">
        <f aca="false">IFERROR(__xludf.dummyfunction("""COMPUTED_VALUE"""),101.52)</f>
        <v>101.52</v>
      </c>
      <c r="E577" s="2" t="n">
        <f aca="false">IFERROR(__xludf.dummyfunction("""COMPUTED_VALUE"""),102.3)</f>
        <v>102.3</v>
      </c>
      <c r="F577" s="2" t="n">
        <f aca="false">IFERROR(__xludf.dummyfunction("""COMPUTED_VALUE"""),39790518)</f>
        <v>39790518</v>
      </c>
    </row>
    <row r="578" customFormat="false" ht="15.75" hidden="false" customHeight="false" outlineLevel="0" collapsed="false">
      <c r="A578" s="3" t="n">
        <f aca="false">IFERROR(__xludf.dummyfunction("""COMPUTED_VALUE"""),45035.6666666667)</f>
        <v>45035.6666666667</v>
      </c>
      <c r="B578" s="2" t="n">
        <f aca="false">IFERROR(__xludf.dummyfunction("""COMPUTED_VALUE"""),101.58)</f>
        <v>101.58</v>
      </c>
      <c r="C578" s="2" t="n">
        <f aca="false">IFERROR(__xludf.dummyfunction("""COMPUTED_VALUE"""),105.12)</f>
        <v>105.12</v>
      </c>
      <c r="D578" s="2" t="n">
        <f aca="false">IFERROR(__xludf.dummyfunction("""COMPUTED_VALUE"""),101.39)</f>
        <v>101.39</v>
      </c>
      <c r="E578" s="2" t="n">
        <f aca="false">IFERROR(__xludf.dummyfunction("""COMPUTED_VALUE"""),104.3)</f>
        <v>104.3</v>
      </c>
      <c r="F578" s="2" t="n">
        <f aca="false">IFERROR(__xludf.dummyfunction("""COMPUTED_VALUE"""),58398890)</f>
        <v>58398890</v>
      </c>
    </row>
    <row r="579" customFormat="false" ht="15.75" hidden="false" customHeight="false" outlineLevel="0" collapsed="false">
      <c r="A579" s="3" t="n">
        <f aca="false">IFERROR(__xludf.dummyfunction("""COMPUTED_VALUE"""),45036.6666666667)</f>
        <v>45036.6666666667</v>
      </c>
      <c r="B579" s="2" t="n">
        <f aca="false">IFERROR(__xludf.dummyfunction("""COMPUTED_VALUE"""),103.53)</f>
        <v>103.53</v>
      </c>
      <c r="C579" s="2" t="n">
        <f aca="false">IFERROR(__xludf.dummyfunction("""COMPUTED_VALUE"""),105.25)</f>
        <v>105.25</v>
      </c>
      <c r="D579" s="2" t="n">
        <f aca="false">IFERROR(__xludf.dummyfunction("""COMPUTED_VALUE"""),103.21)</f>
        <v>103.21</v>
      </c>
      <c r="E579" s="2" t="n">
        <f aca="false">IFERROR(__xludf.dummyfunction("""COMPUTED_VALUE"""),103.81)</f>
        <v>103.81</v>
      </c>
      <c r="F579" s="2" t="n">
        <f aca="false">IFERROR(__xludf.dummyfunction("""COMPUTED_VALUE"""),57696866)</f>
        <v>57696866</v>
      </c>
    </row>
    <row r="580" customFormat="false" ht="15.75" hidden="false" customHeight="false" outlineLevel="0" collapsed="false">
      <c r="A580" s="3" t="n">
        <f aca="false">IFERROR(__xludf.dummyfunction("""COMPUTED_VALUE"""),45037.6666666667)</f>
        <v>45037.6666666667</v>
      </c>
      <c r="B580" s="2" t="n">
        <f aca="false">IFERROR(__xludf.dummyfunction("""COMPUTED_VALUE"""),106.1)</f>
        <v>106.1</v>
      </c>
      <c r="C580" s="2" t="n">
        <f aca="false">IFERROR(__xludf.dummyfunction("""COMPUTED_VALUE"""),108.15)</f>
        <v>108.15</v>
      </c>
      <c r="D580" s="2" t="n">
        <f aca="false">IFERROR(__xludf.dummyfunction("""COMPUTED_VALUE"""),105.08)</f>
        <v>105.08</v>
      </c>
      <c r="E580" s="2" t="n">
        <f aca="false">IFERROR(__xludf.dummyfunction("""COMPUTED_VALUE"""),106.96)</f>
        <v>106.96</v>
      </c>
      <c r="F580" s="2" t="n">
        <f aca="false">IFERROR(__xludf.dummyfunction("""COMPUTED_VALUE"""),86774185)</f>
        <v>86774185</v>
      </c>
    </row>
    <row r="581" customFormat="false" ht="15.75" hidden="false" customHeight="false" outlineLevel="0" collapsed="false">
      <c r="A581" s="3" t="n">
        <f aca="false">IFERROR(__xludf.dummyfunction("""COMPUTED_VALUE"""),45040.6666666667)</f>
        <v>45040.6666666667</v>
      </c>
      <c r="B581" s="2" t="n">
        <f aca="false">IFERROR(__xludf.dummyfunction("""COMPUTED_VALUE"""),107.66)</f>
        <v>107.66</v>
      </c>
      <c r="C581" s="2" t="n">
        <f aca="false">IFERROR(__xludf.dummyfunction("""COMPUTED_VALUE"""),109.23)</f>
        <v>109.23</v>
      </c>
      <c r="D581" s="2" t="n">
        <f aca="false">IFERROR(__xludf.dummyfunction("""COMPUTED_VALUE"""),105.07)</f>
        <v>105.07</v>
      </c>
      <c r="E581" s="2" t="n">
        <f aca="false">IFERROR(__xludf.dummyfunction("""COMPUTED_VALUE"""),106.21)</f>
        <v>106.21</v>
      </c>
      <c r="F581" s="2" t="n">
        <f aca="false">IFERROR(__xludf.dummyfunction("""COMPUTED_VALUE"""),69575610)</f>
        <v>69575610</v>
      </c>
    </row>
    <row r="582" customFormat="false" ht="15.75" hidden="false" customHeight="false" outlineLevel="0" collapsed="false">
      <c r="A582" s="3" t="n">
        <f aca="false">IFERROR(__xludf.dummyfunction("""COMPUTED_VALUE"""),45041.6666666667)</f>
        <v>45041.6666666667</v>
      </c>
      <c r="B582" s="2" t="n">
        <f aca="false">IFERROR(__xludf.dummyfunction("""COMPUTED_VALUE"""),104.91)</f>
        <v>104.91</v>
      </c>
      <c r="C582" s="2" t="n">
        <f aca="false">IFERROR(__xludf.dummyfunction("""COMPUTED_VALUE"""),105.45)</f>
        <v>105.45</v>
      </c>
      <c r="D582" s="2" t="n">
        <f aca="false">IFERROR(__xludf.dummyfunction("""COMPUTED_VALUE"""),102.45)</f>
        <v>102.45</v>
      </c>
      <c r="E582" s="2" t="n">
        <f aca="false">IFERROR(__xludf.dummyfunction("""COMPUTED_VALUE"""),102.57)</f>
        <v>102.57</v>
      </c>
      <c r="F582" s="2" t="n">
        <f aca="false">IFERROR(__xludf.dummyfunction("""COMPUTED_VALUE"""),65026818)</f>
        <v>65026818</v>
      </c>
    </row>
    <row r="583" customFormat="false" ht="15.75" hidden="false" customHeight="false" outlineLevel="0" collapsed="false">
      <c r="A583" s="3" t="n">
        <f aca="false">IFERROR(__xludf.dummyfunction("""COMPUTED_VALUE"""),45042.6666666667)</f>
        <v>45042.6666666667</v>
      </c>
      <c r="B583" s="2" t="n">
        <f aca="false">IFERROR(__xludf.dummyfunction("""COMPUTED_VALUE"""),105.04)</f>
        <v>105.04</v>
      </c>
      <c r="C583" s="2" t="n">
        <f aca="false">IFERROR(__xludf.dummyfunction("""COMPUTED_VALUE"""),106.62)</f>
        <v>106.62</v>
      </c>
      <c r="D583" s="2" t="n">
        <f aca="false">IFERROR(__xludf.dummyfunction("""COMPUTED_VALUE"""),104.1)</f>
        <v>104.1</v>
      </c>
      <c r="E583" s="2" t="n">
        <f aca="false">IFERROR(__xludf.dummyfunction("""COMPUTED_VALUE"""),104.98)</f>
        <v>104.98</v>
      </c>
      <c r="F583" s="2" t="n">
        <f aca="false">IFERROR(__xludf.dummyfunction("""COMPUTED_VALUE"""),73803790)</f>
        <v>73803790</v>
      </c>
    </row>
    <row r="584" customFormat="false" ht="15.75" hidden="false" customHeight="false" outlineLevel="0" collapsed="false">
      <c r="A584" s="3" t="n">
        <f aca="false">IFERROR(__xludf.dummyfunction("""COMPUTED_VALUE"""),45043.6666666667)</f>
        <v>45043.6666666667</v>
      </c>
      <c r="B584" s="2" t="n">
        <f aca="false">IFERROR(__xludf.dummyfunction("""COMPUTED_VALUE"""),108.16)</f>
        <v>108.16</v>
      </c>
      <c r="C584" s="2" t="n">
        <f aca="false">IFERROR(__xludf.dummyfunction("""COMPUTED_VALUE"""),110.86)</f>
        <v>110.86</v>
      </c>
      <c r="D584" s="2" t="n">
        <f aca="false">IFERROR(__xludf.dummyfunction("""COMPUTED_VALUE"""),106.8)</f>
        <v>106.8</v>
      </c>
      <c r="E584" s="2" t="n">
        <f aca="false">IFERROR(__xludf.dummyfunction("""COMPUTED_VALUE"""),109.82)</f>
        <v>109.82</v>
      </c>
      <c r="F584" s="2" t="n">
        <f aca="false">IFERROR(__xludf.dummyfunction("""COMPUTED_VALUE"""),149961167)</f>
        <v>149961167</v>
      </c>
    </row>
    <row r="585" customFormat="false" ht="15.75" hidden="false" customHeight="false" outlineLevel="0" collapsed="false">
      <c r="A585" s="3" t="n">
        <f aca="false">IFERROR(__xludf.dummyfunction("""COMPUTED_VALUE"""),45044.6666666667)</f>
        <v>45044.6666666667</v>
      </c>
      <c r="B585" s="2" t="n">
        <f aca="false">IFERROR(__xludf.dummyfunction("""COMPUTED_VALUE"""),107.73)</f>
        <v>107.73</v>
      </c>
      <c r="C585" s="2" t="n">
        <f aca="false">IFERROR(__xludf.dummyfunction("""COMPUTED_VALUE"""),109.48)</f>
        <v>109.48</v>
      </c>
      <c r="D585" s="2" t="n">
        <f aca="false">IFERROR(__xludf.dummyfunction("""COMPUTED_VALUE"""),104.33)</f>
        <v>104.33</v>
      </c>
      <c r="E585" s="2" t="n">
        <f aca="false">IFERROR(__xludf.dummyfunction("""COMPUTED_VALUE"""),105.45)</f>
        <v>105.45</v>
      </c>
      <c r="F585" s="2" t="n">
        <f aca="false">IFERROR(__xludf.dummyfunction("""COMPUTED_VALUE"""),130715946)</f>
        <v>130715946</v>
      </c>
    </row>
    <row r="586" customFormat="false" ht="15.75" hidden="false" customHeight="false" outlineLevel="0" collapsed="false">
      <c r="A586" s="3" t="n">
        <f aca="false">IFERROR(__xludf.dummyfunction("""COMPUTED_VALUE"""),45047.6666666667)</f>
        <v>45047.6666666667</v>
      </c>
      <c r="B586" s="2" t="n">
        <f aca="false">IFERROR(__xludf.dummyfunction("""COMPUTED_VALUE"""),104.95)</f>
        <v>104.95</v>
      </c>
      <c r="C586" s="2" t="n">
        <f aca="false">IFERROR(__xludf.dummyfunction("""COMPUTED_VALUE"""),105.23)</f>
        <v>105.23</v>
      </c>
      <c r="D586" s="2" t="n">
        <f aca="false">IFERROR(__xludf.dummyfunction("""COMPUTED_VALUE"""),101.82)</f>
        <v>101.82</v>
      </c>
      <c r="E586" s="2" t="n">
        <f aca="false">IFERROR(__xludf.dummyfunction("""COMPUTED_VALUE"""),102.05)</f>
        <v>102.05</v>
      </c>
      <c r="F586" s="2" t="n">
        <f aca="false">IFERROR(__xludf.dummyfunction("""COMPUTED_VALUE"""),74728096)</f>
        <v>74728096</v>
      </c>
    </row>
    <row r="587" customFormat="false" ht="15.75" hidden="false" customHeight="false" outlineLevel="0" collapsed="false">
      <c r="A587" s="3" t="n">
        <f aca="false">IFERROR(__xludf.dummyfunction("""COMPUTED_VALUE"""),45048.6666666667)</f>
        <v>45048.6666666667</v>
      </c>
      <c r="B587" s="2" t="n">
        <f aca="false">IFERROR(__xludf.dummyfunction("""COMPUTED_VALUE"""),101.47)</f>
        <v>101.47</v>
      </c>
      <c r="C587" s="2" t="n">
        <f aca="false">IFERROR(__xludf.dummyfunction("""COMPUTED_VALUE"""),103.9)</f>
        <v>103.9</v>
      </c>
      <c r="D587" s="2" t="n">
        <f aca="false">IFERROR(__xludf.dummyfunction("""COMPUTED_VALUE"""),101.15)</f>
        <v>101.15</v>
      </c>
      <c r="E587" s="2" t="n">
        <f aca="false">IFERROR(__xludf.dummyfunction("""COMPUTED_VALUE"""),103.63)</f>
        <v>103.63</v>
      </c>
      <c r="F587" s="2" t="n">
        <f aca="false">IFERROR(__xludf.dummyfunction("""COMPUTED_VALUE"""),73469350)</f>
        <v>73469350</v>
      </c>
    </row>
    <row r="588" customFormat="false" ht="15.75" hidden="false" customHeight="false" outlineLevel="0" collapsed="false">
      <c r="A588" s="3" t="n">
        <f aca="false">IFERROR(__xludf.dummyfunction("""COMPUTED_VALUE"""),45049.6666666667)</f>
        <v>45049.6666666667</v>
      </c>
      <c r="B588" s="2" t="n">
        <f aca="false">IFERROR(__xludf.dummyfunction("""COMPUTED_VALUE"""),103.74)</f>
        <v>103.74</v>
      </c>
      <c r="C588" s="2" t="n">
        <f aca="false">IFERROR(__xludf.dummyfunction("""COMPUTED_VALUE"""),105.96)</f>
        <v>105.96</v>
      </c>
      <c r="D588" s="2" t="n">
        <f aca="false">IFERROR(__xludf.dummyfunction("""COMPUTED_VALUE"""),103.28)</f>
        <v>103.28</v>
      </c>
      <c r="E588" s="2" t="n">
        <f aca="false">IFERROR(__xludf.dummyfunction("""COMPUTED_VALUE"""),103.65)</f>
        <v>103.65</v>
      </c>
      <c r="F588" s="2" t="n">
        <f aca="false">IFERROR(__xludf.dummyfunction("""COMPUTED_VALUE"""),65051925)</f>
        <v>65051925</v>
      </c>
    </row>
    <row r="589" customFormat="false" ht="15.75" hidden="false" customHeight="false" outlineLevel="0" collapsed="false">
      <c r="A589" s="3" t="n">
        <f aca="false">IFERROR(__xludf.dummyfunction("""COMPUTED_VALUE"""),45050.6666666667)</f>
        <v>45050.6666666667</v>
      </c>
      <c r="B589" s="2" t="n">
        <f aca="false">IFERROR(__xludf.dummyfunction("""COMPUTED_VALUE"""),104.04)</f>
        <v>104.04</v>
      </c>
      <c r="C589" s="2" t="n">
        <f aca="false">IFERROR(__xludf.dummyfunction("""COMPUTED_VALUE"""),105.39)</f>
        <v>105.39</v>
      </c>
      <c r="D589" s="2" t="n">
        <f aca="false">IFERROR(__xludf.dummyfunction("""COMPUTED_VALUE"""),103.31)</f>
        <v>103.31</v>
      </c>
      <c r="E589" s="2" t="n">
        <f aca="false">IFERROR(__xludf.dummyfunction("""COMPUTED_VALUE"""),104)</f>
        <v>104</v>
      </c>
      <c r="F589" s="2" t="n">
        <f aca="false">IFERROR(__xludf.dummyfunction("""COMPUTED_VALUE"""),45345523)</f>
        <v>45345523</v>
      </c>
    </row>
    <row r="590" customFormat="false" ht="15.75" hidden="false" customHeight="false" outlineLevel="0" collapsed="false">
      <c r="A590" s="3" t="n">
        <f aca="false">IFERROR(__xludf.dummyfunction("""COMPUTED_VALUE"""),45051.6666666667)</f>
        <v>45051.6666666667</v>
      </c>
      <c r="B590" s="2" t="n">
        <f aca="false">IFERROR(__xludf.dummyfunction("""COMPUTED_VALUE"""),104.27)</f>
        <v>104.27</v>
      </c>
      <c r="C590" s="2" t="n">
        <f aca="false">IFERROR(__xludf.dummyfunction("""COMPUTED_VALUE"""),105.76)</f>
        <v>105.76</v>
      </c>
      <c r="D590" s="2" t="n">
        <f aca="false">IFERROR(__xludf.dummyfunction("""COMPUTED_VALUE"""),103.55)</f>
        <v>103.55</v>
      </c>
      <c r="E590" s="2" t="n">
        <f aca="false">IFERROR(__xludf.dummyfunction("""COMPUTED_VALUE"""),105.66)</f>
        <v>105.66</v>
      </c>
      <c r="F590" s="2" t="n">
        <f aca="false">IFERROR(__xludf.dummyfunction("""COMPUTED_VALUE"""),56951744)</f>
        <v>56951744</v>
      </c>
    </row>
    <row r="591" customFormat="false" ht="15.75" hidden="false" customHeight="false" outlineLevel="0" collapsed="false">
      <c r="A591" s="3" t="n">
        <f aca="false">IFERROR(__xludf.dummyfunction("""COMPUTED_VALUE"""),45054.6666666667)</f>
        <v>45054.6666666667</v>
      </c>
      <c r="B591" s="2" t="n">
        <f aca="false">IFERROR(__xludf.dummyfunction("""COMPUTED_VALUE"""),105.04)</f>
        <v>105.04</v>
      </c>
      <c r="C591" s="2" t="n">
        <f aca="false">IFERROR(__xludf.dummyfunction("""COMPUTED_VALUE"""),106.1)</f>
        <v>106.1</v>
      </c>
      <c r="D591" s="2" t="n">
        <f aca="false">IFERROR(__xludf.dummyfunction("""COMPUTED_VALUE"""),104.7)</f>
        <v>104.7</v>
      </c>
      <c r="E591" s="2" t="n">
        <f aca="false">IFERROR(__xludf.dummyfunction("""COMPUTED_VALUE"""),105.83)</f>
        <v>105.83</v>
      </c>
      <c r="F591" s="2" t="n">
        <f aca="false">IFERROR(__xludf.dummyfunction("""COMPUTED_VALUE"""),49430909)</f>
        <v>49430909</v>
      </c>
    </row>
    <row r="592" customFormat="false" ht="15.75" hidden="false" customHeight="false" outlineLevel="0" collapsed="false">
      <c r="A592" s="3" t="n">
        <f aca="false">IFERROR(__xludf.dummyfunction("""COMPUTED_VALUE"""),45055.6666666667)</f>
        <v>45055.6666666667</v>
      </c>
      <c r="B592" s="2" t="n">
        <f aca="false">IFERROR(__xludf.dummyfunction("""COMPUTED_VALUE"""),105.48)</f>
        <v>105.48</v>
      </c>
      <c r="C592" s="2" t="n">
        <f aca="false">IFERROR(__xludf.dummyfunction("""COMPUTED_VALUE"""),106.79)</f>
        <v>106.79</v>
      </c>
      <c r="D592" s="2" t="n">
        <f aca="false">IFERROR(__xludf.dummyfunction("""COMPUTED_VALUE"""),105.16)</f>
        <v>105.16</v>
      </c>
      <c r="E592" s="2" t="n">
        <f aca="false">IFERROR(__xludf.dummyfunction("""COMPUTED_VALUE"""),106.62)</f>
        <v>106.62</v>
      </c>
      <c r="F592" s="2" t="n">
        <f aca="false">IFERROR(__xludf.dummyfunction("""COMPUTED_VALUE"""),44089359)</f>
        <v>44089359</v>
      </c>
    </row>
    <row r="593" customFormat="false" ht="15.75" hidden="false" customHeight="false" outlineLevel="0" collapsed="false">
      <c r="A593" s="3" t="n">
        <f aca="false">IFERROR(__xludf.dummyfunction("""COMPUTED_VALUE"""),45056.6666666667)</f>
        <v>45056.6666666667</v>
      </c>
      <c r="B593" s="2" t="n">
        <f aca="false">IFERROR(__xludf.dummyfunction("""COMPUTED_VALUE"""),108.1)</f>
        <v>108.1</v>
      </c>
      <c r="C593" s="2" t="n">
        <f aca="false">IFERROR(__xludf.dummyfunction("""COMPUTED_VALUE"""),110.67)</f>
        <v>110.67</v>
      </c>
      <c r="D593" s="2" t="n">
        <f aca="false">IFERROR(__xludf.dummyfunction("""COMPUTED_VALUE"""),108.05)</f>
        <v>108.05</v>
      </c>
      <c r="E593" s="2" t="n">
        <f aca="false">IFERROR(__xludf.dummyfunction("""COMPUTED_VALUE"""),110.19)</f>
        <v>110.19</v>
      </c>
      <c r="F593" s="2" t="n">
        <f aca="false">IFERROR(__xludf.dummyfunction("""COMPUTED_VALUE"""),78627616)</f>
        <v>78627616</v>
      </c>
    </row>
    <row r="594" customFormat="false" ht="15.75" hidden="false" customHeight="false" outlineLevel="0" collapsed="false">
      <c r="A594" s="3" t="n">
        <f aca="false">IFERROR(__xludf.dummyfunction("""COMPUTED_VALUE"""),45057.6666666667)</f>
        <v>45057.6666666667</v>
      </c>
      <c r="B594" s="2" t="n">
        <f aca="false">IFERROR(__xludf.dummyfunction("""COMPUTED_VALUE"""),111.03)</f>
        <v>111.03</v>
      </c>
      <c r="C594" s="2" t="n">
        <f aca="false">IFERROR(__xludf.dummyfunction("""COMPUTED_VALUE"""),113.28)</f>
        <v>113.28</v>
      </c>
      <c r="D594" s="2" t="n">
        <f aca="false">IFERROR(__xludf.dummyfunction("""COMPUTED_VALUE"""),110.49)</f>
        <v>110.49</v>
      </c>
      <c r="E594" s="2" t="n">
        <f aca="false">IFERROR(__xludf.dummyfunction("""COMPUTED_VALUE"""),112.18)</f>
        <v>112.18</v>
      </c>
      <c r="F594" s="2" t="n">
        <f aca="false">IFERROR(__xludf.dummyfunction("""COMPUTED_VALUE"""),74924841)</f>
        <v>74924841</v>
      </c>
    </row>
    <row r="595" customFormat="false" ht="15.75" hidden="false" customHeight="false" outlineLevel="0" collapsed="false">
      <c r="A595" s="3" t="n">
        <f aca="false">IFERROR(__xludf.dummyfunction("""COMPUTED_VALUE"""),45058.6666666667)</f>
        <v>45058.6666666667</v>
      </c>
      <c r="B595" s="2" t="n">
        <f aca="false">IFERROR(__xludf.dummyfunction("""COMPUTED_VALUE"""),112.16)</f>
        <v>112.16</v>
      </c>
      <c r="C595" s="2" t="n">
        <f aca="false">IFERROR(__xludf.dummyfunction("""COMPUTED_VALUE"""),112.64)</f>
        <v>112.64</v>
      </c>
      <c r="D595" s="2" t="n">
        <f aca="false">IFERROR(__xludf.dummyfunction("""COMPUTED_VALUE"""),109.32)</f>
        <v>109.32</v>
      </c>
      <c r="E595" s="2" t="n">
        <f aca="false">IFERROR(__xludf.dummyfunction("""COMPUTED_VALUE"""),110.26)</f>
        <v>110.26</v>
      </c>
      <c r="F595" s="2" t="n">
        <f aca="false">IFERROR(__xludf.dummyfunction("""COMPUTED_VALUE"""),49852671)</f>
        <v>49852671</v>
      </c>
    </row>
    <row r="596" customFormat="false" ht="15.75" hidden="false" customHeight="false" outlineLevel="0" collapsed="false">
      <c r="A596" s="3" t="n">
        <f aca="false">IFERROR(__xludf.dummyfunction("""COMPUTED_VALUE"""),45061.6666666667)</f>
        <v>45061.6666666667</v>
      </c>
      <c r="B596" s="2" t="n">
        <f aca="false">IFERROR(__xludf.dummyfunction("""COMPUTED_VALUE"""),111.15)</f>
        <v>111.15</v>
      </c>
      <c r="C596" s="2" t="n">
        <f aca="false">IFERROR(__xludf.dummyfunction("""COMPUTED_VALUE"""),112.29)</f>
        <v>112.29</v>
      </c>
      <c r="D596" s="2" t="n">
        <f aca="false">IFERROR(__xludf.dummyfunction("""COMPUTED_VALUE"""),109.25)</f>
        <v>109.25</v>
      </c>
      <c r="E596" s="2" t="n">
        <f aca="false">IFERROR(__xludf.dummyfunction("""COMPUTED_VALUE"""),111.2)</f>
        <v>111.2</v>
      </c>
      <c r="F596" s="2" t="n">
        <f aca="false">IFERROR(__xludf.dummyfunction("""COMPUTED_VALUE"""),53011145)</f>
        <v>53011145</v>
      </c>
    </row>
    <row r="597" customFormat="false" ht="15.75" hidden="false" customHeight="false" outlineLevel="0" collapsed="false">
      <c r="A597" s="3" t="n">
        <f aca="false">IFERROR(__xludf.dummyfunction("""COMPUTED_VALUE"""),45062.6666666667)</f>
        <v>45062.6666666667</v>
      </c>
      <c r="B597" s="2" t="n">
        <f aca="false">IFERROR(__xludf.dummyfunction("""COMPUTED_VALUE"""),111.05)</f>
        <v>111.05</v>
      </c>
      <c r="C597" s="2" t="n">
        <f aca="false">IFERROR(__xludf.dummyfunction("""COMPUTED_VALUE"""),114.79)</f>
        <v>114.79</v>
      </c>
      <c r="D597" s="2" t="n">
        <f aca="false">IFERROR(__xludf.dummyfunction("""COMPUTED_VALUE"""),111.05)</f>
        <v>111.05</v>
      </c>
      <c r="E597" s="2" t="n">
        <f aca="false">IFERROR(__xludf.dummyfunction("""COMPUTED_VALUE"""),113.4)</f>
        <v>113.4</v>
      </c>
      <c r="F597" s="2" t="n">
        <f aca="false">IFERROR(__xludf.dummyfunction("""COMPUTED_VALUE"""),71472908)</f>
        <v>71472908</v>
      </c>
    </row>
    <row r="598" customFormat="false" ht="15.75" hidden="false" customHeight="false" outlineLevel="0" collapsed="false">
      <c r="A598" s="3" t="n">
        <f aca="false">IFERROR(__xludf.dummyfunction("""COMPUTED_VALUE"""),45063.6666666667)</f>
        <v>45063.6666666667</v>
      </c>
      <c r="B598" s="2" t="n">
        <f aca="false">IFERROR(__xludf.dummyfunction("""COMPUTED_VALUE"""),114.89)</f>
        <v>114.89</v>
      </c>
      <c r="C598" s="2" t="n">
        <f aca="false">IFERROR(__xludf.dummyfunction("""COMPUTED_VALUE"""),115.83)</f>
        <v>115.83</v>
      </c>
      <c r="D598" s="2" t="n">
        <f aca="false">IFERROR(__xludf.dummyfunction("""COMPUTED_VALUE"""),114.22)</f>
        <v>114.22</v>
      </c>
      <c r="E598" s="2" t="n">
        <f aca="false">IFERROR(__xludf.dummyfunction("""COMPUTED_VALUE"""),115.5)</f>
        <v>115.5</v>
      </c>
      <c r="F598" s="2" t="n">
        <f aca="false">IFERROR(__xludf.dummyfunction("""COMPUTED_VALUE"""),65655177)</f>
        <v>65655177</v>
      </c>
    </row>
    <row r="599" customFormat="false" ht="15.75" hidden="false" customHeight="false" outlineLevel="0" collapsed="false">
      <c r="A599" s="3" t="n">
        <f aca="false">IFERROR(__xludf.dummyfunction("""COMPUTED_VALUE"""),45064.6666666667)</f>
        <v>45064.6666666667</v>
      </c>
      <c r="B599" s="2" t="n">
        <f aca="false">IFERROR(__xludf.dummyfunction("""COMPUTED_VALUE"""),116.69)</f>
        <v>116.69</v>
      </c>
      <c r="C599" s="2" t="n">
        <f aca="false">IFERROR(__xludf.dummyfunction("""COMPUTED_VALUE"""),118.6)</f>
        <v>118.6</v>
      </c>
      <c r="D599" s="2" t="n">
        <f aca="false">IFERROR(__xludf.dummyfunction("""COMPUTED_VALUE"""),116.34)</f>
        <v>116.34</v>
      </c>
      <c r="E599" s="2" t="n">
        <f aca="false">IFERROR(__xludf.dummyfunction("""COMPUTED_VALUE"""),118.15)</f>
        <v>118.15</v>
      </c>
      <c r="F599" s="2" t="n">
        <f aca="false">IFERROR(__xludf.dummyfunction("""COMPUTED_VALUE"""),73174087)</f>
        <v>73174087</v>
      </c>
    </row>
    <row r="600" customFormat="false" ht="15.75" hidden="false" customHeight="false" outlineLevel="0" collapsed="false">
      <c r="A600" s="3" t="n">
        <f aca="false">IFERROR(__xludf.dummyfunction("""COMPUTED_VALUE"""),45065.6666666667)</f>
        <v>45065.6666666667</v>
      </c>
      <c r="B600" s="2" t="n">
        <f aca="false">IFERROR(__xludf.dummyfunction("""COMPUTED_VALUE"""),118.16)</f>
        <v>118.16</v>
      </c>
      <c r="C600" s="2" t="n">
        <f aca="false">IFERROR(__xludf.dummyfunction("""COMPUTED_VALUE"""),118.31)</f>
        <v>118.31</v>
      </c>
      <c r="D600" s="2" t="n">
        <f aca="false">IFERROR(__xludf.dummyfunction("""COMPUTED_VALUE"""),115.7)</f>
        <v>115.7</v>
      </c>
      <c r="E600" s="2" t="n">
        <f aca="false">IFERROR(__xludf.dummyfunction("""COMPUTED_VALUE"""),116.25)</f>
        <v>116.25</v>
      </c>
      <c r="F600" s="2" t="n">
        <f aca="false">IFERROR(__xludf.dummyfunction("""COMPUTED_VALUE"""),55056307)</f>
        <v>55056307</v>
      </c>
    </row>
    <row r="601" customFormat="false" ht="15.75" hidden="false" customHeight="false" outlineLevel="0" collapsed="false">
      <c r="A601" s="3" t="n">
        <f aca="false">IFERROR(__xludf.dummyfunction("""COMPUTED_VALUE"""),45068.6666666667)</f>
        <v>45068.6666666667</v>
      </c>
      <c r="B601" s="2" t="n">
        <f aca="false">IFERROR(__xludf.dummyfunction("""COMPUTED_VALUE"""),116.77)</f>
        <v>116.77</v>
      </c>
      <c r="C601" s="2" t="n">
        <f aca="false">IFERROR(__xludf.dummyfunction("""COMPUTED_VALUE"""),116.77)</f>
        <v>116.77</v>
      </c>
      <c r="D601" s="2" t="n">
        <f aca="false">IFERROR(__xludf.dummyfunction("""COMPUTED_VALUE"""),114.25)</f>
        <v>114.25</v>
      </c>
      <c r="E601" s="2" t="n">
        <f aca="false">IFERROR(__xludf.dummyfunction("""COMPUTED_VALUE"""),115.01)</f>
        <v>115.01</v>
      </c>
      <c r="F601" s="2" t="n">
        <f aca="false">IFERROR(__xludf.dummyfunction("""COMPUTED_VALUE"""),70741123)</f>
        <v>70741123</v>
      </c>
    </row>
    <row r="602" customFormat="false" ht="15.75" hidden="false" customHeight="false" outlineLevel="0" collapsed="false">
      <c r="A602" s="3" t="n">
        <f aca="false">IFERROR(__xludf.dummyfunction("""COMPUTED_VALUE"""),45069.6666666667)</f>
        <v>45069.6666666667</v>
      </c>
      <c r="B602" s="2" t="n">
        <f aca="false">IFERROR(__xludf.dummyfunction("""COMPUTED_VALUE"""),114.27)</f>
        <v>114.27</v>
      </c>
      <c r="C602" s="2" t="n">
        <f aca="false">IFERROR(__xludf.dummyfunction("""COMPUTED_VALUE"""),117.14)</f>
        <v>117.14</v>
      </c>
      <c r="D602" s="2" t="n">
        <f aca="false">IFERROR(__xludf.dummyfunction("""COMPUTED_VALUE"""),113.78)</f>
        <v>113.78</v>
      </c>
      <c r="E602" s="2" t="n">
        <f aca="false">IFERROR(__xludf.dummyfunction("""COMPUTED_VALUE"""),114.99)</f>
        <v>114.99</v>
      </c>
      <c r="F602" s="2" t="n">
        <f aca="false">IFERROR(__xludf.dummyfunction("""COMPUTED_VALUE"""),67576262)</f>
        <v>67576262</v>
      </c>
    </row>
    <row r="603" customFormat="false" ht="15.75" hidden="false" customHeight="false" outlineLevel="0" collapsed="false">
      <c r="A603" s="3" t="n">
        <f aca="false">IFERROR(__xludf.dummyfunction("""COMPUTED_VALUE"""),45070.6666666667)</f>
        <v>45070.6666666667</v>
      </c>
      <c r="B603" s="2" t="n">
        <f aca="false">IFERROR(__xludf.dummyfunction("""COMPUTED_VALUE"""),115.35)</f>
        <v>115.35</v>
      </c>
      <c r="C603" s="2" t="n">
        <f aca="false">IFERROR(__xludf.dummyfunction("""COMPUTED_VALUE"""),117.34)</f>
        <v>117.34</v>
      </c>
      <c r="D603" s="2" t="n">
        <f aca="false">IFERROR(__xludf.dummyfunction("""COMPUTED_VALUE"""),115.02)</f>
        <v>115.02</v>
      </c>
      <c r="E603" s="2" t="n">
        <f aca="false">IFERROR(__xludf.dummyfunction("""COMPUTED_VALUE"""),116.75)</f>
        <v>116.75</v>
      </c>
      <c r="F603" s="2" t="n">
        <f aca="false">IFERROR(__xludf.dummyfunction("""COMPUTED_VALUE"""),63487938)</f>
        <v>63487938</v>
      </c>
    </row>
    <row r="604" customFormat="false" ht="15.75" hidden="false" customHeight="false" outlineLevel="0" collapsed="false">
      <c r="A604" s="3" t="n">
        <f aca="false">IFERROR(__xludf.dummyfunction("""COMPUTED_VALUE"""),45071.6666666667)</f>
        <v>45071.6666666667</v>
      </c>
      <c r="B604" s="2" t="n">
        <f aca="false">IFERROR(__xludf.dummyfunction("""COMPUTED_VALUE"""),116.63)</f>
        <v>116.63</v>
      </c>
      <c r="C604" s="2" t="n">
        <f aca="false">IFERROR(__xludf.dummyfunction("""COMPUTED_VALUE"""),116.87)</f>
        <v>116.87</v>
      </c>
      <c r="D604" s="2" t="n">
        <f aca="false">IFERROR(__xludf.dummyfunction("""COMPUTED_VALUE"""),114.31)</f>
        <v>114.31</v>
      </c>
      <c r="E604" s="2" t="n">
        <f aca="false">IFERROR(__xludf.dummyfunction("""COMPUTED_VALUE"""),115)</f>
        <v>115</v>
      </c>
      <c r="F604" s="2" t="n">
        <f aca="false">IFERROR(__xludf.dummyfunction("""COMPUTED_VALUE"""),66496681)</f>
        <v>66496681</v>
      </c>
    </row>
    <row r="605" customFormat="false" ht="15.75" hidden="false" customHeight="false" outlineLevel="0" collapsed="false">
      <c r="A605" s="3" t="n">
        <f aca="false">IFERROR(__xludf.dummyfunction("""COMPUTED_VALUE"""),45072.6666666667)</f>
        <v>45072.6666666667</v>
      </c>
      <c r="B605" s="2" t="n">
        <f aca="false">IFERROR(__xludf.dummyfunction("""COMPUTED_VALUE"""),116.04)</f>
        <v>116.04</v>
      </c>
      <c r="C605" s="2" t="n">
        <f aca="false">IFERROR(__xludf.dummyfunction("""COMPUTED_VALUE"""),121.5)</f>
        <v>121.5</v>
      </c>
      <c r="D605" s="2" t="n">
        <f aca="false">IFERROR(__xludf.dummyfunction("""COMPUTED_VALUE"""),116.02)</f>
        <v>116.02</v>
      </c>
      <c r="E605" s="2" t="n">
        <f aca="false">IFERROR(__xludf.dummyfunction("""COMPUTED_VALUE"""),120.11)</f>
        <v>120.11</v>
      </c>
      <c r="F605" s="2" t="n">
        <f aca="false">IFERROR(__xludf.dummyfunction("""COMPUTED_VALUE"""),96779889)</f>
        <v>96779889</v>
      </c>
    </row>
    <row r="606" customFormat="false" ht="15.75" hidden="false" customHeight="false" outlineLevel="0" collapsed="false">
      <c r="A606" s="3" t="n">
        <f aca="false">IFERROR(__xludf.dummyfunction("""COMPUTED_VALUE"""),45076.6666666667)</f>
        <v>45076.6666666667</v>
      </c>
      <c r="B606" s="2" t="n">
        <f aca="false">IFERROR(__xludf.dummyfunction("""COMPUTED_VALUE"""),122.37)</f>
        <v>122.37</v>
      </c>
      <c r="C606" s="2" t="n">
        <f aca="false">IFERROR(__xludf.dummyfunction("""COMPUTED_VALUE"""),122.92)</f>
        <v>122.92</v>
      </c>
      <c r="D606" s="2" t="n">
        <f aca="false">IFERROR(__xludf.dummyfunction("""COMPUTED_VALUE"""),119.86)</f>
        <v>119.86</v>
      </c>
      <c r="E606" s="2" t="n">
        <f aca="false">IFERROR(__xludf.dummyfunction("""COMPUTED_VALUE"""),121.66)</f>
        <v>121.66</v>
      </c>
      <c r="F606" s="2" t="n">
        <f aca="false">IFERROR(__xludf.dummyfunction("""COMPUTED_VALUE"""),64314808)</f>
        <v>64314808</v>
      </c>
    </row>
    <row r="607" customFormat="false" ht="15.75" hidden="false" customHeight="false" outlineLevel="0" collapsed="false">
      <c r="A607" s="3" t="n">
        <f aca="false">IFERROR(__xludf.dummyfunction("""COMPUTED_VALUE"""),45077.6666666667)</f>
        <v>45077.6666666667</v>
      </c>
      <c r="B607" s="2" t="n">
        <f aca="false">IFERROR(__xludf.dummyfunction("""COMPUTED_VALUE"""),121.45)</f>
        <v>121.45</v>
      </c>
      <c r="C607" s="2" t="n">
        <f aca="false">IFERROR(__xludf.dummyfunction("""COMPUTED_VALUE"""),122.04)</f>
        <v>122.04</v>
      </c>
      <c r="D607" s="2" t="n">
        <f aca="false">IFERROR(__xludf.dummyfunction("""COMPUTED_VALUE"""),119.17)</f>
        <v>119.17</v>
      </c>
      <c r="E607" s="2" t="n">
        <f aca="false">IFERROR(__xludf.dummyfunction("""COMPUTED_VALUE"""),120.58)</f>
        <v>120.58</v>
      </c>
      <c r="F607" s="2" t="n">
        <f aca="false">IFERROR(__xludf.dummyfunction("""COMPUTED_VALUE"""),72800787)</f>
        <v>72800787</v>
      </c>
    </row>
    <row r="608" customFormat="false" ht="15.75" hidden="false" customHeight="false" outlineLevel="0" collapsed="false">
      <c r="A608" s="3" t="n">
        <f aca="false">IFERROR(__xludf.dummyfunction("""COMPUTED_VALUE"""),45078.6666666667)</f>
        <v>45078.6666666667</v>
      </c>
      <c r="B608" s="2" t="n">
        <f aca="false">IFERROR(__xludf.dummyfunction("""COMPUTED_VALUE"""),120.69)</f>
        <v>120.69</v>
      </c>
      <c r="C608" s="2" t="n">
        <f aca="false">IFERROR(__xludf.dummyfunction("""COMPUTED_VALUE"""),123.49)</f>
        <v>123.49</v>
      </c>
      <c r="D608" s="2" t="n">
        <f aca="false">IFERROR(__xludf.dummyfunction("""COMPUTED_VALUE"""),119.93)</f>
        <v>119.93</v>
      </c>
      <c r="E608" s="2" t="n">
        <f aca="false">IFERROR(__xludf.dummyfunction("""COMPUTED_VALUE"""),122.77)</f>
        <v>122.77</v>
      </c>
      <c r="F608" s="2" t="n">
        <f aca="false">IFERROR(__xludf.dummyfunction("""COMPUTED_VALUE"""),54375131)</f>
        <v>54375131</v>
      </c>
    </row>
    <row r="609" customFormat="false" ht="15.75" hidden="false" customHeight="false" outlineLevel="0" collapsed="false">
      <c r="A609" s="3" t="n">
        <f aca="false">IFERROR(__xludf.dummyfunction("""COMPUTED_VALUE"""),45079.6666666667)</f>
        <v>45079.6666666667</v>
      </c>
      <c r="B609" s="2" t="n">
        <f aca="false">IFERROR(__xludf.dummyfunction("""COMPUTED_VALUE"""),124.92)</f>
        <v>124.92</v>
      </c>
      <c r="C609" s="2" t="n">
        <f aca="false">IFERROR(__xludf.dummyfunction("""COMPUTED_VALUE"""),126.39)</f>
        <v>126.39</v>
      </c>
      <c r="D609" s="2" t="n">
        <f aca="false">IFERROR(__xludf.dummyfunction("""COMPUTED_VALUE"""),124.02)</f>
        <v>124.02</v>
      </c>
      <c r="E609" s="2" t="n">
        <f aca="false">IFERROR(__xludf.dummyfunction("""COMPUTED_VALUE"""),124.25)</f>
        <v>124.25</v>
      </c>
      <c r="F609" s="2" t="n">
        <f aca="false">IFERROR(__xludf.dummyfunction("""COMPUTED_VALUE"""),61264414)</f>
        <v>61264414</v>
      </c>
    </row>
    <row r="610" customFormat="false" ht="15.75" hidden="false" customHeight="false" outlineLevel="0" collapsed="false">
      <c r="A610" s="3" t="n">
        <f aca="false">IFERROR(__xludf.dummyfunction("""COMPUTED_VALUE"""),45082.6666666667)</f>
        <v>45082.6666666667</v>
      </c>
      <c r="B610" s="2" t="n">
        <f aca="false">IFERROR(__xludf.dummyfunction("""COMPUTED_VALUE"""),123.36)</f>
        <v>123.36</v>
      </c>
      <c r="C610" s="2" t="n">
        <f aca="false">IFERROR(__xludf.dummyfunction("""COMPUTED_VALUE"""),125.8)</f>
        <v>125.8</v>
      </c>
      <c r="D610" s="2" t="n">
        <f aca="false">IFERROR(__xludf.dummyfunction("""COMPUTED_VALUE"""),123.03)</f>
        <v>123.03</v>
      </c>
      <c r="E610" s="2" t="n">
        <f aca="false">IFERROR(__xludf.dummyfunction("""COMPUTED_VALUE"""),125.3)</f>
        <v>125.3</v>
      </c>
      <c r="F610" s="2" t="n">
        <f aca="false">IFERROR(__xludf.dummyfunction("""COMPUTED_VALUE"""),47950128)</f>
        <v>47950128</v>
      </c>
    </row>
    <row r="611" customFormat="false" ht="15.75" hidden="false" customHeight="false" outlineLevel="0" collapsed="false">
      <c r="A611" s="3" t="n">
        <f aca="false">IFERROR(__xludf.dummyfunction("""COMPUTED_VALUE"""),45083.6666666667)</f>
        <v>45083.6666666667</v>
      </c>
      <c r="B611" s="2" t="n">
        <f aca="false">IFERROR(__xludf.dummyfunction("""COMPUTED_VALUE"""),125.07)</f>
        <v>125.07</v>
      </c>
      <c r="C611" s="2" t="n">
        <f aca="false">IFERROR(__xludf.dummyfunction("""COMPUTED_VALUE"""),127.4)</f>
        <v>127.4</v>
      </c>
      <c r="D611" s="2" t="n">
        <f aca="false">IFERROR(__xludf.dummyfunction("""COMPUTED_VALUE"""),125)</f>
        <v>125</v>
      </c>
      <c r="E611" s="2" t="n">
        <f aca="false">IFERROR(__xludf.dummyfunction("""COMPUTED_VALUE"""),126.61)</f>
        <v>126.61</v>
      </c>
      <c r="F611" s="2" t="n">
        <f aca="false">IFERROR(__xludf.dummyfunction("""COMPUTED_VALUE"""),45695212)</f>
        <v>45695212</v>
      </c>
    </row>
    <row r="612" customFormat="false" ht="15.75" hidden="false" customHeight="false" outlineLevel="0" collapsed="false">
      <c r="A612" s="3" t="n">
        <f aca="false">IFERROR(__xludf.dummyfunction("""COMPUTED_VALUE"""),45084.6666666667)</f>
        <v>45084.6666666667</v>
      </c>
      <c r="B612" s="2" t="n">
        <f aca="false">IFERROR(__xludf.dummyfunction("""COMPUTED_VALUE"""),127.01)</f>
        <v>127.01</v>
      </c>
      <c r="C612" s="2" t="n">
        <f aca="false">IFERROR(__xludf.dummyfunction("""COMPUTED_VALUE"""),127.37)</f>
        <v>127.37</v>
      </c>
      <c r="D612" s="2" t="n">
        <f aca="false">IFERROR(__xludf.dummyfunction("""COMPUTED_VALUE"""),120.63)</f>
        <v>120.63</v>
      </c>
      <c r="E612" s="2" t="n">
        <f aca="false">IFERROR(__xludf.dummyfunction("""COMPUTED_VALUE"""),121.23)</f>
        <v>121.23</v>
      </c>
      <c r="F612" s="2" t="n">
        <f aca="false">IFERROR(__xludf.dummyfunction("""COMPUTED_VALUE"""),95663275)</f>
        <v>95663275</v>
      </c>
    </row>
    <row r="613" customFormat="false" ht="15.75" hidden="false" customHeight="false" outlineLevel="0" collapsed="false">
      <c r="A613" s="3" t="n">
        <f aca="false">IFERROR(__xludf.dummyfunction("""COMPUTED_VALUE"""),45085.6666666667)</f>
        <v>45085.6666666667</v>
      </c>
      <c r="B613" s="2" t="n">
        <f aca="false">IFERROR(__xludf.dummyfunction("""COMPUTED_VALUE"""),123.01)</f>
        <v>123.01</v>
      </c>
      <c r="C613" s="2" t="n">
        <f aca="false">IFERROR(__xludf.dummyfunction("""COMPUTED_VALUE"""),125.63)</f>
        <v>125.63</v>
      </c>
      <c r="D613" s="2" t="n">
        <f aca="false">IFERROR(__xludf.dummyfunction("""COMPUTED_VALUE"""),122.26)</f>
        <v>122.26</v>
      </c>
      <c r="E613" s="2" t="n">
        <f aca="false">IFERROR(__xludf.dummyfunction("""COMPUTED_VALUE"""),124.25)</f>
        <v>124.25</v>
      </c>
      <c r="F613" s="2" t="n">
        <f aca="false">IFERROR(__xludf.dummyfunction("""COMPUTED_VALUE"""),62159270)</f>
        <v>62159270</v>
      </c>
    </row>
    <row r="614" customFormat="false" ht="15.75" hidden="false" customHeight="false" outlineLevel="0" collapsed="false">
      <c r="A614" s="3" t="n">
        <f aca="false">IFERROR(__xludf.dummyfunction("""COMPUTED_VALUE"""),45086.6666666667)</f>
        <v>45086.6666666667</v>
      </c>
      <c r="B614" s="2" t="n">
        <f aca="false">IFERROR(__xludf.dummyfunction("""COMPUTED_VALUE"""),124.08)</f>
        <v>124.08</v>
      </c>
      <c r="C614" s="2" t="n">
        <f aca="false">IFERROR(__xludf.dummyfunction("""COMPUTED_VALUE"""),125.8)</f>
        <v>125.8</v>
      </c>
      <c r="D614" s="2" t="n">
        <f aca="false">IFERROR(__xludf.dummyfunction("""COMPUTED_VALUE"""),123.19)</f>
        <v>123.19</v>
      </c>
      <c r="E614" s="2" t="n">
        <f aca="false">IFERROR(__xludf.dummyfunction("""COMPUTED_VALUE"""),123.43)</f>
        <v>123.43</v>
      </c>
      <c r="F614" s="2" t="n">
        <f aca="false">IFERROR(__xludf.dummyfunction("""COMPUTED_VALUE"""),51396018)</f>
        <v>51396018</v>
      </c>
    </row>
    <row r="615" customFormat="false" ht="15.75" hidden="false" customHeight="false" outlineLevel="0" collapsed="false">
      <c r="A615" s="3" t="n">
        <f aca="false">IFERROR(__xludf.dummyfunction("""COMPUTED_VALUE"""),45089.6666666667)</f>
        <v>45089.6666666667</v>
      </c>
      <c r="B615" s="2" t="n">
        <f aca="false">IFERROR(__xludf.dummyfunction("""COMPUTED_VALUE"""),124.02)</f>
        <v>124.02</v>
      </c>
      <c r="C615" s="2" t="n">
        <f aca="false">IFERROR(__xludf.dummyfunction("""COMPUTED_VALUE"""),126.78)</f>
        <v>126.78</v>
      </c>
      <c r="D615" s="2" t="n">
        <f aca="false">IFERROR(__xludf.dummyfunction("""COMPUTED_VALUE"""),123.53)</f>
        <v>123.53</v>
      </c>
      <c r="E615" s="2" t="n">
        <f aca="false">IFERROR(__xludf.dummyfunction("""COMPUTED_VALUE"""),126.57)</f>
        <v>126.57</v>
      </c>
      <c r="F615" s="2" t="n">
        <f aca="false">IFERROR(__xludf.dummyfunction("""COMPUTED_VALUE"""),51473376)</f>
        <v>51473376</v>
      </c>
    </row>
    <row r="616" customFormat="false" ht="15.75" hidden="false" customHeight="false" outlineLevel="0" collapsed="false">
      <c r="A616" s="3" t="n">
        <f aca="false">IFERROR(__xludf.dummyfunction("""COMPUTED_VALUE"""),45090.6666666667)</f>
        <v>45090.6666666667</v>
      </c>
      <c r="B616" s="2" t="n">
        <f aca="false">IFERROR(__xludf.dummyfunction("""COMPUTED_VALUE"""),128.12)</f>
        <v>128.12</v>
      </c>
      <c r="C616" s="2" t="n">
        <f aca="false">IFERROR(__xludf.dummyfunction("""COMPUTED_VALUE"""),128.41)</f>
        <v>128.41</v>
      </c>
      <c r="D616" s="2" t="n">
        <f aca="false">IFERROR(__xludf.dummyfunction("""COMPUTED_VALUE"""),125.18)</f>
        <v>125.18</v>
      </c>
      <c r="E616" s="2" t="n">
        <f aca="false">IFERROR(__xludf.dummyfunction("""COMPUTED_VALUE"""),126.66)</f>
        <v>126.66</v>
      </c>
      <c r="F616" s="2" t="n">
        <f aca="false">IFERROR(__xludf.dummyfunction("""COMPUTED_VALUE"""),50564785)</f>
        <v>50564785</v>
      </c>
    </row>
    <row r="617" customFormat="false" ht="15.75" hidden="false" customHeight="false" outlineLevel="0" collapsed="false">
      <c r="A617" s="3" t="n">
        <f aca="false">IFERROR(__xludf.dummyfunction("""COMPUTED_VALUE"""),45091.6666666667)</f>
        <v>45091.6666666667</v>
      </c>
      <c r="B617" s="2" t="n">
        <f aca="false">IFERROR(__xludf.dummyfunction("""COMPUTED_VALUE"""),126.7)</f>
        <v>126.7</v>
      </c>
      <c r="C617" s="2" t="n">
        <f aca="false">IFERROR(__xludf.dummyfunction("""COMPUTED_VALUE"""),126.95)</f>
        <v>126.95</v>
      </c>
      <c r="D617" s="2" t="n">
        <f aca="false">IFERROR(__xludf.dummyfunction("""COMPUTED_VALUE"""),124.12)</f>
        <v>124.12</v>
      </c>
      <c r="E617" s="2" t="n">
        <f aca="false">IFERROR(__xludf.dummyfunction("""COMPUTED_VALUE"""),126.42)</f>
        <v>126.42</v>
      </c>
      <c r="F617" s="2" t="n">
        <f aca="false">IFERROR(__xludf.dummyfunction("""COMPUTED_VALUE"""),52422463)</f>
        <v>52422463</v>
      </c>
    </row>
    <row r="618" customFormat="false" ht="15.75" hidden="false" customHeight="false" outlineLevel="0" collapsed="false">
      <c r="A618" s="3" t="n">
        <f aca="false">IFERROR(__xludf.dummyfunction("""COMPUTED_VALUE"""),45092.6666666667)</f>
        <v>45092.6666666667</v>
      </c>
      <c r="B618" s="2" t="n">
        <f aca="false">IFERROR(__xludf.dummyfunction("""COMPUTED_VALUE"""),125.21)</f>
        <v>125.21</v>
      </c>
      <c r="C618" s="2" t="n">
        <f aca="false">IFERROR(__xludf.dummyfunction("""COMPUTED_VALUE"""),127.69)</f>
        <v>127.69</v>
      </c>
      <c r="D618" s="2" t="n">
        <f aca="false">IFERROR(__xludf.dummyfunction("""COMPUTED_VALUE"""),124.32)</f>
        <v>124.32</v>
      </c>
      <c r="E618" s="2" t="n">
        <f aca="false">IFERROR(__xludf.dummyfunction("""COMPUTED_VALUE"""),127.11)</f>
        <v>127.11</v>
      </c>
      <c r="F618" s="2" t="n">
        <f aca="false">IFERROR(__xludf.dummyfunction("""COMPUTED_VALUE"""),60458471)</f>
        <v>60458471</v>
      </c>
    </row>
    <row r="619" customFormat="false" ht="15.75" hidden="false" customHeight="false" outlineLevel="0" collapsed="false">
      <c r="A619" s="3" t="n">
        <f aca="false">IFERROR(__xludf.dummyfunction("""COMPUTED_VALUE"""),45093.6666666667)</f>
        <v>45093.6666666667</v>
      </c>
      <c r="B619" s="2" t="n">
        <f aca="false">IFERROR(__xludf.dummyfunction("""COMPUTED_VALUE"""),127.71)</f>
        <v>127.71</v>
      </c>
      <c r="C619" s="2" t="n">
        <f aca="false">IFERROR(__xludf.dummyfunction("""COMPUTED_VALUE"""),127.9)</f>
        <v>127.9</v>
      </c>
      <c r="D619" s="2" t="n">
        <f aca="false">IFERROR(__xludf.dummyfunction("""COMPUTED_VALUE"""),125.3)</f>
        <v>125.3</v>
      </c>
      <c r="E619" s="2" t="n">
        <f aca="false">IFERROR(__xludf.dummyfunction("""COMPUTED_VALUE"""),125.49)</f>
        <v>125.49</v>
      </c>
      <c r="F619" s="2" t="n">
        <f aca="false">IFERROR(__xludf.dummyfunction("""COMPUTED_VALUE"""),84247104)</f>
        <v>84247104</v>
      </c>
    </row>
    <row r="620" customFormat="false" ht="15.75" hidden="false" customHeight="false" outlineLevel="0" collapsed="false">
      <c r="A620" s="3" t="n">
        <f aca="false">IFERROR(__xludf.dummyfunction("""COMPUTED_VALUE"""),45097.6666666667)</f>
        <v>45097.6666666667</v>
      </c>
      <c r="B620" s="2" t="n">
        <f aca="false">IFERROR(__xludf.dummyfunction("""COMPUTED_VALUE"""),124.97)</f>
        <v>124.97</v>
      </c>
      <c r="C620" s="2" t="n">
        <f aca="false">IFERROR(__xludf.dummyfunction("""COMPUTED_VALUE"""),127.25)</f>
        <v>127.25</v>
      </c>
      <c r="D620" s="2" t="n">
        <f aca="false">IFERROR(__xludf.dummyfunction("""COMPUTED_VALUE"""),124.5)</f>
        <v>124.5</v>
      </c>
      <c r="E620" s="2" t="n">
        <f aca="false">IFERROR(__xludf.dummyfunction("""COMPUTED_VALUE"""),125.78)</f>
        <v>125.78</v>
      </c>
      <c r="F620" s="2" t="n">
        <f aca="false">IFERROR(__xludf.dummyfunction("""COMPUTED_VALUE"""),56930122)</f>
        <v>56930122</v>
      </c>
    </row>
    <row r="621" customFormat="false" ht="15.75" hidden="false" customHeight="false" outlineLevel="0" collapsed="false">
      <c r="A621" s="3" t="n">
        <f aca="false">IFERROR(__xludf.dummyfunction("""COMPUTED_VALUE"""),45098.6666666667)</f>
        <v>45098.6666666667</v>
      </c>
      <c r="B621" s="2" t="n">
        <f aca="false">IFERROR(__xludf.dummyfunction("""COMPUTED_VALUE"""),125.64)</f>
        <v>125.64</v>
      </c>
      <c r="C621" s="2" t="n">
        <f aca="false">IFERROR(__xludf.dummyfunction("""COMPUTED_VALUE"""),126.73)</f>
        <v>126.73</v>
      </c>
      <c r="D621" s="2" t="n">
        <f aca="false">IFERROR(__xludf.dummyfunction("""COMPUTED_VALUE"""),123.85)</f>
        <v>123.85</v>
      </c>
      <c r="E621" s="2" t="n">
        <f aca="false">IFERROR(__xludf.dummyfunction("""COMPUTED_VALUE"""),124.83)</f>
        <v>124.83</v>
      </c>
      <c r="F621" s="2" t="n">
        <f aca="false">IFERROR(__xludf.dummyfunction("""COMPUTED_VALUE"""),52137670)</f>
        <v>52137670</v>
      </c>
    </row>
    <row r="622" customFormat="false" ht="15.75" hidden="false" customHeight="false" outlineLevel="0" collapsed="false">
      <c r="A622" s="3" t="n">
        <f aca="false">IFERROR(__xludf.dummyfunction("""COMPUTED_VALUE"""),45099.6666666667)</f>
        <v>45099.6666666667</v>
      </c>
      <c r="B622" s="2" t="n">
        <f aca="false">IFERROR(__xludf.dummyfunction("""COMPUTED_VALUE"""),125.31)</f>
        <v>125.31</v>
      </c>
      <c r="C622" s="2" t="n">
        <f aca="false">IFERROR(__xludf.dummyfunction("""COMPUTED_VALUE"""),130.33)</f>
        <v>130.33</v>
      </c>
      <c r="D622" s="2" t="n">
        <f aca="false">IFERROR(__xludf.dummyfunction("""COMPUTED_VALUE"""),125.14)</f>
        <v>125.14</v>
      </c>
      <c r="E622" s="2" t="n">
        <f aca="false">IFERROR(__xludf.dummyfunction("""COMPUTED_VALUE"""),130.15)</f>
        <v>130.15</v>
      </c>
      <c r="F622" s="2" t="n">
        <f aca="false">IFERROR(__xludf.dummyfunction("""COMPUTED_VALUE"""),90354572)</f>
        <v>90354572</v>
      </c>
    </row>
    <row r="623" customFormat="false" ht="15.75" hidden="false" customHeight="false" outlineLevel="0" collapsed="false">
      <c r="A623" s="3" t="n">
        <f aca="false">IFERROR(__xludf.dummyfunction("""COMPUTED_VALUE"""),45100.6666666667)</f>
        <v>45100.6666666667</v>
      </c>
      <c r="B623" s="2" t="n">
        <f aca="false">IFERROR(__xludf.dummyfunction("""COMPUTED_VALUE"""),129.11)</f>
        <v>129.11</v>
      </c>
      <c r="C623" s="2" t="n">
        <f aca="false">IFERROR(__xludf.dummyfunction("""COMPUTED_VALUE"""),130.84)</f>
        <v>130.84</v>
      </c>
      <c r="D623" s="2" t="n">
        <f aca="false">IFERROR(__xludf.dummyfunction("""COMPUTED_VALUE"""),128.28)</f>
        <v>128.28</v>
      </c>
      <c r="E623" s="2" t="n">
        <f aca="false">IFERROR(__xludf.dummyfunction("""COMPUTED_VALUE"""),129.33)</f>
        <v>129.33</v>
      </c>
      <c r="F623" s="2" t="n">
        <f aca="false">IFERROR(__xludf.dummyfunction("""COMPUTED_VALUE"""),71927776)</f>
        <v>71927776</v>
      </c>
    </row>
    <row r="624" customFormat="false" ht="15.75" hidden="false" customHeight="false" outlineLevel="0" collapsed="false">
      <c r="A624" s="3" t="n">
        <f aca="false">IFERROR(__xludf.dummyfunction("""COMPUTED_VALUE"""),45103.6666666667)</f>
        <v>45103.6666666667</v>
      </c>
      <c r="B624" s="2" t="n">
        <f aca="false">IFERROR(__xludf.dummyfunction("""COMPUTED_VALUE"""),129.33)</f>
        <v>129.33</v>
      </c>
      <c r="C624" s="2" t="n">
        <f aca="false">IFERROR(__xludf.dummyfunction("""COMPUTED_VALUE"""),131.49)</f>
        <v>131.49</v>
      </c>
      <c r="D624" s="2" t="n">
        <f aca="false">IFERROR(__xludf.dummyfunction("""COMPUTED_VALUE"""),127.1)</f>
        <v>127.1</v>
      </c>
      <c r="E624" s="2" t="n">
        <f aca="false">IFERROR(__xludf.dummyfunction("""COMPUTED_VALUE"""),127.33)</f>
        <v>127.33</v>
      </c>
      <c r="F624" s="2" t="n">
        <f aca="false">IFERROR(__xludf.dummyfunction("""COMPUTED_VALUE"""),59989317)</f>
        <v>59989317</v>
      </c>
    </row>
    <row r="625" customFormat="false" ht="15.75" hidden="false" customHeight="false" outlineLevel="0" collapsed="false">
      <c r="A625" s="3" t="n">
        <f aca="false">IFERROR(__xludf.dummyfunction("""COMPUTED_VALUE"""),45104.6666666667)</f>
        <v>45104.6666666667</v>
      </c>
      <c r="B625" s="2" t="n">
        <f aca="false">IFERROR(__xludf.dummyfunction("""COMPUTED_VALUE"""),128.63)</f>
        <v>128.63</v>
      </c>
      <c r="C625" s="2" t="n">
        <f aca="false">IFERROR(__xludf.dummyfunction("""COMPUTED_VALUE"""),130.09)</f>
        <v>130.09</v>
      </c>
      <c r="D625" s="2" t="n">
        <f aca="false">IFERROR(__xludf.dummyfunction("""COMPUTED_VALUE"""),127.55)</f>
        <v>127.55</v>
      </c>
      <c r="E625" s="2" t="n">
        <f aca="false">IFERROR(__xludf.dummyfunction("""COMPUTED_VALUE"""),129.18)</f>
        <v>129.18</v>
      </c>
      <c r="F625" s="2" t="n">
        <f aca="false">IFERROR(__xludf.dummyfunction("""COMPUTED_VALUE"""),46801008)</f>
        <v>46801008</v>
      </c>
    </row>
    <row r="626" customFormat="false" ht="15.75" hidden="false" customHeight="false" outlineLevel="0" collapsed="false">
      <c r="A626" s="3" t="n">
        <f aca="false">IFERROR(__xludf.dummyfunction("""COMPUTED_VALUE"""),45105.6666666667)</f>
        <v>45105.6666666667</v>
      </c>
      <c r="B626" s="2" t="n">
        <f aca="false">IFERROR(__xludf.dummyfunction("""COMPUTED_VALUE"""),128.94)</f>
        <v>128.94</v>
      </c>
      <c r="C626" s="2" t="n">
        <f aca="false">IFERROR(__xludf.dummyfunction("""COMPUTED_VALUE"""),131.48)</f>
        <v>131.48</v>
      </c>
      <c r="D626" s="2" t="n">
        <f aca="false">IFERROR(__xludf.dummyfunction("""COMPUTED_VALUE"""),128.44)</f>
        <v>128.44</v>
      </c>
      <c r="E626" s="2" t="n">
        <f aca="false">IFERROR(__xludf.dummyfunction("""COMPUTED_VALUE"""),129.04)</f>
        <v>129.04</v>
      </c>
      <c r="F626" s="2" t="n">
        <f aca="false">IFERROR(__xludf.dummyfunction("""COMPUTED_VALUE"""),52149512)</f>
        <v>52149512</v>
      </c>
    </row>
    <row r="627" customFormat="false" ht="15.75" hidden="false" customHeight="false" outlineLevel="0" collapsed="false">
      <c r="A627" s="3" t="n">
        <f aca="false">IFERROR(__xludf.dummyfunction("""COMPUTED_VALUE"""),45106.6666666667)</f>
        <v>45106.6666666667</v>
      </c>
      <c r="B627" s="2" t="n">
        <f aca="false">IFERROR(__xludf.dummyfunction("""COMPUTED_VALUE"""),128.77)</f>
        <v>128.77</v>
      </c>
      <c r="C627" s="2" t="n">
        <f aca="false">IFERROR(__xludf.dummyfunction("""COMPUTED_VALUE"""),129.26)</f>
        <v>129.26</v>
      </c>
      <c r="D627" s="2" t="n">
        <f aca="false">IFERROR(__xludf.dummyfunction("""COMPUTED_VALUE"""),127.26)</f>
        <v>127.26</v>
      </c>
      <c r="E627" s="2" t="n">
        <f aca="false">IFERROR(__xludf.dummyfunction("""COMPUTED_VALUE"""),127.9)</f>
        <v>127.9</v>
      </c>
      <c r="F627" s="2" t="n">
        <f aca="false">IFERROR(__xludf.dummyfunction("""COMPUTED_VALUE"""),40760959)</f>
        <v>40760959</v>
      </c>
    </row>
    <row r="628" customFormat="false" ht="15.75" hidden="false" customHeight="false" outlineLevel="0" collapsed="false">
      <c r="A628" s="3" t="n">
        <f aca="false">IFERROR(__xludf.dummyfunction("""COMPUTED_VALUE"""),45107.6666666667)</f>
        <v>45107.6666666667</v>
      </c>
      <c r="B628" s="2" t="n">
        <f aca="false">IFERROR(__xludf.dummyfunction("""COMPUTED_VALUE"""),129.47)</f>
        <v>129.47</v>
      </c>
      <c r="C628" s="2" t="n">
        <f aca="false">IFERROR(__xludf.dummyfunction("""COMPUTED_VALUE"""),131.25)</f>
        <v>131.25</v>
      </c>
      <c r="D628" s="2" t="n">
        <f aca="false">IFERROR(__xludf.dummyfunction("""COMPUTED_VALUE"""),128.95)</f>
        <v>128.95</v>
      </c>
      <c r="E628" s="2" t="n">
        <f aca="false">IFERROR(__xludf.dummyfunction("""COMPUTED_VALUE"""),130.36)</f>
        <v>130.36</v>
      </c>
      <c r="F628" s="2" t="n">
        <f aca="false">IFERROR(__xludf.dummyfunction("""COMPUTED_VALUE"""),54350684)</f>
        <v>54350684</v>
      </c>
    </row>
    <row r="629" customFormat="false" ht="15.75" hidden="false" customHeight="false" outlineLevel="0" collapsed="false">
      <c r="A629" s="3" t="n">
        <f aca="false">IFERROR(__xludf.dummyfunction("""COMPUTED_VALUE"""),45110.5451388889)</f>
        <v>45110.5451388889</v>
      </c>
      <c r="B629" s="2" t="n">
        <f aca="false">IFERROR(__xludf.dummyfunction("""COMPUTED_VALUE"""),130.82)</f>
        <v>130.82</v>
      </c>
      <c r="C629" s="2" t="n">
        <f aca="false">IFERROR(__xludf.dummyfunction("""COMPUTED_VALUE"""),131.85)</f>
        <v>131.85</v>
      </c>
      <c r="D629" s="2" t="n">
        <f aca="false">IFERROR(__xludf.dummyfunction("""COMPUTED_VALUE"""),130.07)</f>
        <v>130.07</v>
      </c>
      <c r="E629" s="2" t="n">
        <f aca="false">IFERROR(__xludf.dummyfunction("""COMPUTED_VALUE"""),130.22)</f>
        <v>130.22</v>
      </c>
      <c r="F629" s="2" t="n">
        <f aca="false">IFERROR(__xludf.dummyfunction("""COMPUTED_VALUE"""),28264785)</f>
        <v>28264785</v>
      </c>
    </row>
    <row r="630" customFormat="false" ht="15.75" hidden="false" customHeight="false" outlineLevel="0" collapsed="false">
      <c r="A630" s="3" t="n">
        <f aca="false">IFERROR(__xludf.dummyfunction("""COMPUTED_VALUE"""),45112.6666666667)</f>
        <v>45112.6666666667</v>
      </c>
      <c r="B630" s="2" t="n">
        <f aca="false">IFERROR(__xludf.dummyfunction("""COMPUTED_VALUE"""),130.24)</f>
        <v>130.24</v>
      </c>
      <c r="C630" s="2" t="n">
        <f aca="false">IFERROR(__xludf.dummyfunction("""COMPUTED_VALUE"""),131.4)</f>
        <v>131.4</v>
      </c>
      <c r="D630" s="2" t="n">
        <f aca="false">IFERROR(__xludf.dummyfunction("""COMPUTED_VALUE"""),129.64)</f>
        <v>129.64</v>
      </c>
      <c r="E630" s="2" t="n">
        <f aca="false">IFERROR(__xludf.dummyfunction("""COMPUTED_VALUE"""),130.38)</f>
        <v>130.38</v>
      </c>
      <c r="F630" s="2" t="n">
        <f aca="false">IFERROR(__xludf.dummyfunction("""COMPUTED_VALUE"""),35895409)</f>
        <v>35895409</v>
      </c>
    </row>
    <row r="631" customFormat="false" ht="15.75" hidden="false" customHeight="false" outlineLevel="0" collapsed="false">
      <c r="A631" s="3" t="n">
        <f aca="false">IFERROR(__xludf.dummyfunction("""COMPUTED_VALUE"""),45113.6666666667)</f>
        <v>45113.6666666667</v>
      </c>
      <c r="B631" s="2" t="n">
        <f aca="false">IFERROR(__xludf.dummyfunction("""COMPUTED_VALUE"""),128.25)</f>
        <v>128.25</v>
      </c>
      <c r="C631" s="2" t="n">
        <f aca="false">IFERROR(__xludf.dummyfunction("""COMPUTED_VALUE"""),128.73)</f>
        <v>128.73</v>
      </c>
      <c r="D631" s="2" t="n">
        <f aca="false">IFERROR(__xludf.dummyfunction("""COMPUTED_VALUE"""),127.37)</f>
        <v>127.37</v>
      </c>
      <c r="E631" s="2" t="n">
        <f aca="false">IFERROR(__xludf.dummyfunction("""COMPUTED_VALUE"""),128.36)</f>
        <v>128.36</v>
      </c>
      <c r="F631" s="2" t="n">
        <f aca="false">IFERROR(__xludf.dummyfunction("""COMPUTED_VALUE"""),40697848)</f>
        <v>40697848</v>
      </c>
    </row>
    <row r="632" customFormat="false" ht="15.75" hidden="false" customHeight="false" outlineLevel="0" collapsed="false">
      <c r="A632" s="3" t="n">
        <f aca="false">IFERROR(__xludf.dummyfunction("""COMPUTED_VALUE"""),45114.6666666667)</f>
        <v>45114.6666666667</v>
      </c>
      <c r="B632" s="2" t="n">
        <f aca="false">IFERROR(__xludf.dummyfunction("""COMPUTED_VALUE"""),128.59)</f>
        <v>128.59</v>
      </c>
      <c r="C632" s="2" t="n">
        <f aca="false">IFERROR(__xludf.dummyfunction("""COMPUTED_VALUE"""),130.97)</f>
        <v>130.97</v>
      </c>
      <c r="D632" s="2" t="n">
        <f aca="false">IFERROR(__xludf.dummyfunction("""COMPUTED_VALUE"""),128.13)</f>
        <v>128.13</v>
      </c>
      <c r="E632" s="2" t="n">
        <f aca="false">IFERROR(__xludf.dummyfunction("""COMPUTED_VALUE"""),129.78)</f>
        <v>129.78</v>
      </c>
      <c r="F632" s="2" t="n">
        <f aca="false">IFERROR(__xludf.dummyfunction("""COMPUTED_VALUE"""),41992251)</f>
        <v>41992251</v>
      </c>
    </row>
    <row r="633" customFormat="false" ht="15.75" hidden="false" customHeight="false" outlineLevel="0" collapsed="false">
      <c r="A633" s="3" t="n">
        <f aca="false">IFERROR(__xludf.dummyfunction("""COMPUTED_VALUE"""),45117.6666666667)</f>
        <v>45117.6666666667</v>
      </c>
      <c r="B633" s="2" t="n">
        <f aca="false">IFERROR(__xludf.dummyfunction("""COMPUTED_VALUE"""),129.07)</f>
        <v>129.07</v>
      </c>
      <c r="C633" s="2" t="n">
        <f aca="false">IFERROR(__xludf.dummyfunction("""COMPUTED_VALUE"""),129.28)</f>
        <v>129.28</v>
      </c>
      <c r="D633" s="2" t="n">
        <f aca="false">IFERROR(__xludf.dummyfunction("""COMPUTED_VALUE"""),125.92)</f>
        <v>125.92</v>
      </c>
      <c r="E633" s="2" t="n">
        <f aca="false">IFERROR(__xludf.dummyfunction("""COMPUTED_VALUE"""),127.13)</f>
        <v>127.13</v>
      </c>
      <c r="F633" s="2" t="n">
        <f aca="false">IFERROR(__xludf.dummyfunction("""COMPUTED_VALUE"""),61889289)</f>
        <v>61889289</v>
      </c>
    </row>
    <row r="634" customFormat="false" ht="15.75" hidden="false" customHeight="false" outlineLevel="0" collapsed="false">
      <c r="A634" s="3" t="n">
        <f aca="false">IFERROR(__xludf.dummyfunction("""COMPUTED_VALUE"""),45118.6666666667)</f>
        <v>45118.6666666667</v>
      </c>
      <c r="B634" s="2" t="n">
        <f aca="false">IFERROR(__xludf.dummyfunction("""COMPUTED_VALUE"""),127.75)</f>
        <v>127.75</v>
      </c>
      <c r="C634" s="2" t="n">
        <f aca="false">IFERROR(__xludf.dummyfunction("""COMPUTED_VALUE"""),129.77)</f>
        <v>129.77</v>
      </c>
      <c r="D634" s="2" t="n">
        <f aca="false">IFERROR(__xludf.dummyfunction("""COMPUTED_VALUE"""),127.35)</f>
        <v>127.35</v>
      </c>
      <c r="E634" s="2" t="n">
        <f aca="false">IFERROR(__xludf.dummyfunction("""COMPUTED_VALUE"""),128.78)</f>
        <v>128.78</v>
      </c>
      <c r="F634" s="2" t="n">
        <f aca="false">IFERROR(__xludf.dummyfunction("""COMPUTED_VALUE"""),49951460)</f>
        <v>49951460</v>
      </c>
    </row>
    <row r="635" customFormat="false" ht="15.75" hidden="false" customHeight="false" outlineLevel="0" collapsed="false">
      <c r="A635" s="3" t="n">
        <f aca="false">IFERROR(__xludf.dummyfunction("""COMPUTED_VALUE"""),45119.6666666667)</f>
        <v>45119.6666666667</v>
      </c>
      <c r="B635" s="2" t="n">
        <f aca="false">IFERROR(__xludf.dummyfunction("""COMPUTED_VALUE"""),130.31)</f>
        <v>130.31</v>
      </c>
      <c r="C635" s="2" t="n">
        <f aca="false">IFERROR(__xludf.dummyfunction("""COMPUTED_VALUE"""),131.26)</f>
        <v>131.26</v>
      </c>
      <c r="D635" s="2" t="n">
        <f aca="false">IFERROR(__xludf.dummyfunction("""COMPUTED_VALUE"""),128.83)</f>
        <v>128.83</v>
      </c>
      <c r="E635" s="2" t="n">
        <f aca="false">IFERROR(__xludf.dummyfunction("""COMPUTED_VALUE"""),130.8)</f>
        <v>130.8</v>
      </c>
      <c r="F635" s="2" t="n">
        <f aca="false">IFERROR(__xludf.dummyfunction("""COMPUTED_VALUE"""),54022847)</f>
        <v>54022847</v>
      </c>
    </row>
    <row r="636" customFormat="false" ht="15.75" hidden="false" customHeight="false" outlineLevel="0" collapsed="false">
      <c r="A636" s="3" t="n">
        <f aca="false">IFERROR(__xludf.dummyfunction("""COMPUTED_VALUE"""),45120.6666666667)</f>
        <v>45120.6666666667</v>
      </c>
      <c r="B636" s="2" t="n">
        <f aca="false">IFERROR(__xludf.dummyfunction("""COMPUTED_VALUE"""),134.04)</f>
        <v>134.04</v>
      </c>
      <c r="C636" s="2" t="n">
        <f aca="false">IFERROR(__xludf.dummyfunction("""COMPUTED_VALUE"""),134.67)</f>
        <v>134.67</v>
      </c>
      <c r="D636" s="2" t="n">
        <f aca="false">IFERROR(__xludf.dummyfunction("""COMPUTED_VALUE"""),132.71)</f>
        <v>132.71</v>
      </c>
      <c r="E636" s="2" t="n">
        <f aca="false">IFERROR(__xludf.dummyfunction("""COMPUTED_VALUE"""),134.3)</f>
        <v>134.3</v>
      </c>
      <c r="F636" s="2" t="n">
        <f aca="false">IFERROR(__xludf.dummyfunction("""COMPUTED_VALUE"""),61170883)</f>
        <v>61170883</v>
      </c>
    </row>
    <row r="637" customFormat="false" ht="15.75" hidden="false" customHeight="false" outlineLevel="0" collapsed="false">
      <c r="A637" s="3" t="n">
        <f aca="false">IFERROR(__xludf.dummyfunction("""COMPUTED_VALUE"""),45121.6666666667)</f>
        <v>45121.6666666667</v>
      </c>
      <c r="B637" s="2" t="n">
        <f aca="false">IFERROR(__xludf.dummyfunction("""COMPUTED_VALUE"""),134.06)</f>
        <v>134.06</v>
      </c>
      <c r="C637" s="2" t="n">
        <f aca="false">IFERROR(__xludf.dummyfunction("""COMPUTED_VALUE"""),136.65)</f>
        <v>136.65</v>
      </c>
      <c r="D637" s="2" t="n">
        <f aca="false">IFERROR(__xludf.dummyfunction("""COMPUTED_VALUE"""),134.06)</f>
        <v>134.06</v>
      </c>
      <c r="E637" s="2" t="n">
        <f aca="false">IFERROR(__xludf.dummyfunction("""COMPUTED_VALUE"""),134.68)</f>
        <v>134.68</v>
      </c>
      <c r="F637" s="2" t="n">
        <f aca="false">IFERROR(__xludf.dummyfunction("""COMPUTED_VALUE"""),54487090)</f>
        <v>54487090</v>
      </c>
    </row>
    <row r="638" customFormat="false" ht="15.75" hidden="false" customHeight="false" outlineLevel="0" collapsed="false">
      <c r="A638" s="3" t="n">
        <f aca="false">IFERROR(__xludf.dummyfunction("""COMPUTED_VALUE"""),45124.6666666667)</f>
        <v>45124.6666666667</v>
      </c>
      <c r="B638" s="2" t="n">
        <f aca="false">IFERROR(__xludf.dummyfunction("""COMPUTED_VALUE"""),134.56)</f>
        <v>134.56</v>
      </c>
      <c r="C638" s="2" t="n">
        <f aca="false">IFERROR(__xludf.dummyfunction("""COMPUTED_VALUE"""),135.62)</f>
        <v>135.62</v>
      </c>
      <c r="D638" s="2" t="n">
        <f aca="false">IFERROR(__xludf.dummyfunction("""COMPUTED_VALUE"""),133.21)</f>
        <v>133.21</v>
      </c>
      <c r="E638" s="2" t="n">
        <f aca="false">IFERROR(__xludf.dummyfunction("""COMPUTED_VALUE"""),133.56)</f>
        <v>133.56</v>
      </c>
      <c r="F638" s="2" t="n">
        <f aca="false">IFERROR(__xludf.dummyfunction("""COMPUTED_VALUE"""),48450198)</f>
        <v>48450198</v>
      </c>
    </row>
    <row r="639" customFormat="false" ht="15.75" hidden="false" customHeight="false" outlineLevel="0" collapsed="false">
      <c r="A639" s="3" t="n">
        <f aca="false">IFERROR(__xludf.dummyfunction("""COMPUTED_VALUE"""),45125.6666666667)</f>
        <v>45125.6666666667</v>
      </c>
      <c r="B639" s="2" t="n">
        <f aca="false">IFERROR(__xludf.dummyfunction("""COMPUTED_VALUE"""),132.71)</f>
        <v>132.71</v>
      </c>
      <c r="C639" s="2" t="n">
        <f aca="false">IFERROR(__xludf.dummyfunction("""COMPUTED_VALUE"""),133.86)</f>
        <v>133.86</v>
      </c>
      <c r="D639" s="2" t="n">
        <f aca="false">IFERROR(__xludf.dummyfunction("""COMPUTED_VALUE"""),131.35)</f>
        <v>131.35</v>
      </c>
      <c r="E639" s="2" t="n">
        <f aca="false">IFERROR(__xludf.dummyfunction("""COMPUTED_VALUE"""),132.83)</f>
        <v>132.83</v>
      </c>
      <c r="F639" s="2" t="n">
        <f aca="false">IFERROR(__xludf.dummyfunction("""COMPUTED_VALUE"""),54969133)</f>
        <v>54969133</v>
      </c>
    </row>
    <row r="640" customFormat="false" ht="15.75" hidden="false" customHeight="false" outlineLevel="0" collapsed="false">
      <c r="A640" s="3" t="n">
        <f aca="false">IFERROR(__xludf.dummyfunction("""COMPUTED_VALUE"""),45126.6666666667)</f>
        <v>45126.6666666667</v>
      </c>
      <c r="B640" s="2" t="n">
        <f aca="false">IFERROR(__xludf.dummyfunction("""COMPUTED_VALUE"""),133.39)</f>
        <v>133.39</v>
      </c>
      <c r="C640" s="2" t="n">
        <f aca="false">IFERROR(__xludf.dummyfunction("""COMPUTED_VALUE"""),135.99)</f>
        <v>135.99</v>
      </c>
      <c r="D640" s="2" t="n">
        <f aca="false">IFERROR(__xludf.dummyfunction("""COMPUTED_VALUE"""),132.53)</f>
        <v>132.53</v>
      </c>
      <c r="E640" s="2" t="n">
        <f aca="false">IFERROR(__xludf.dummyfunction("""COMPUTED_VALUE"""),135.36)</f>
        <v>135.36</v>
      </c>
      <c r="F640" s="2" t="n">
        <f aca="false">IFERROR(__xludf.dummyfunction("""COMPUTED_VALUE"""),54531037)</f>
        <v>54531037</v>
      </c>
    </row>
    <row r="641" customFormat="false" ht="15.75" hidden="false" customHeight="false" outlineLevel="0" collapsed="false">
      <c r="A641" s="3" t="n">
        <f aca="false">IFERROR(__xludf.dummyfunction("""COMPUTED_VALUE"""),45127.6666666667)</f>
        <v>45127.6666666667</v>
      </c>
      <c r="B641" s="2" t="n">
        <f aca="false">IFERROR(__xludf.dummyfunction("""COMPUTED_VALUE"""),134.07)</f>
        <v>134.07</v>
      </c>
      <c r="C641" s="2" t="n">
        <f aca="false">IFERROR(__xludf.dummyfunction("""COMPUTED_VALUE"""),134.79)</f>
        <v>134.79</v>
      </c>
      <c r="D641" s="2" t="n">
        <f aca="false">IFERROR(__xludf.dummyfunction("""COMPUTED_VALUE"""),129.33)</f>
        <v>129.33</v>
      </c>
      <c r="E641" s="2" t="n">
        <f aca="false">IFERROR(__xludf.dummyfunction("""COMPUTED_VALUE"""),129.96)</f>
        <v>129.96</v>
      </c>
      <c r="F641" s="2" t="n">
        <f aca="false">IFERROR(__xludf.dummyfunction("""COMPUTED_VALUE"""),59820579)</f>
        <v>59820579</v>
      </c>
    </row>
    <row r="642" customFormat="false" ht="15.75" hidden="false" customHeight="false" outlineLevel="0" collapsed="false">
      <c r="A642" s="3" t="n">
        <f aca="false">IFERROR(__xludf.dummyfunction("""COMPUTED_VALUE"""),45128.6666666667)</f>
        <v>45128.6666666667</v>
      </c>
      <c r="B642" s="2" t="n">
        <f aca="false">IFERROR(__xludf.dummyfunction("""COMPUTED_VALUE"""),131.34)</f>
        <v>131.34</v>
      </c>
      <c r="C642" s="2" t="n">
        <f aca="false">IFERROR(__xludf.dummyfunction("""COMPUTED_VALUE"""),131.37)</f>
        <v>131.37</v>
      </c>
      <c r="D642" s="2" t="n">
        <f aca="false">IFERROR(__xludf.dummyfunction("""COMPUTED_VALUE"""),128.42)</f>
        <v>128.42</v>
      </c>
      <c r="E642" s="2" t="n">
        <f aca="false">IFERROR(__xludf.dummyfunction("""COMPUTED_VALUE"""),130)</f>
        <v>130</v>
      </c>
      <c r="F642" s="2" t="n">
        <f aca="false">IFERROR(__xludf.dummyfunction("""COMPUTED_VALUE"""),133307294)</f>
        <v>133307294</v>
      </c>
    </row>
    <row r="643" customFormat="false" ht="15.75" hidden="false" customHeight="false" outlineLevel="0" collapsed="false">
      <c r="A643" s="3" t="n">
        <f aca="false">IFERROR(__xludf.dummyfunction("""COMPUTED_VALUE"""),45131.6666666667)</f>
        <v>45131.6666666667</v>
      </c>
      <c r="B643" s="2" t="n">
        <f aca="false">IFERROR(__xludf.dummyfunction("""COMPUTED_VALUE"""),130.31)</f>
        <v>130.31</v>
      </c>
      <c r="C643" s="2" t="n">
        <f aca="false">IFERROR(__xludf.dummyfunction("""COMPUTED_VALUE"""),131.66)</f>
        <v>131.66</v>
      </c>
      <c r="D643" s="2" t="n">
        <f aca="false">IFERROR(__xludf.dummyfunction("""COMPUTED_VALUE"""),128.35)</f>
        <v>128.35</v>
      </c>
      <c r="E643" s="2" t="n">
        <f aca="false">IFERROR(__xludf.dummyfunction("""COMPUTED_VALUE"""),128.8)</f>
        <v>128.8</v>
      </c>
      <c r="F643" s="2" t="n">
        <f aca="false">IFERROR(__xludf.dummyfunction("""COMPUTED_VALUE"""),45671535)</f>
        <v>45671535</v>
      </c>
    </row>
    <row r="644" customFormat="false" ht="15.75" hidden="false" customHeight="false" outlineLevel="0" collapsed="false">
      <c r="A644" s="3" t="n">
        <f aca="false">IFERROR(__xludf.dummyfunction("""COMPUTED_VALUE"""),45132.6666666667)</f>
        <v>45132.6666666667</v>
      </c>
      <c r="B644" s="2" t="n">
        <f aca="false">IFERROR(__xludf.dummyfunction("""COMPUTED_VALUE"""),129.31)</f>
        <v>129.31</v>
      </c>
      <c r="C644" s="2" t="n">
        <f aca="false">IFERROR(__xludf.dummyfunction("""COMPUTED_VALUE"""),129.58)</f>
        <v>129.58</v>
      </c>
      <c r="D644" s="2" t="n">
        <f aca="false">IFERROR(__xludf.dummyfunction("""COMPUTED_VALUE"""),128.53)</f>
        <v>128.53</v>
      </c>
      <c r="E644" s="2" t="n">
        <f aca="false">IFERROR(__xludf.dummyfunction("""COMPUTED_VALUE"""),129.13)</f>
        <v>129.13</v>
      </c>
      <c r="F644" s="2" t="n">
        <f aca="false">IFERROR(__xludf.dummyfunction("""COMPUTED_VALUE"""),39236663)</f>
        <v>39236663</v>
      </c>
    </row>
    <row r="645" customFormat="false" ht="15.75" hidden="false" customHeight="false" outlineLevel="0" collapsed="false">
      <c r="A645" s="3" t="n">
        <f aca="false">IFERROR(__xludf.dummyfunction("""COMPUTED_VALUE"""),45133.6666666667)</f>
        <v>45133.6666666667</v>
      </c>
      <c r="B645" s="2" t="n">
        <f aca="false">IFERROR(__xludf.dummyfunction("""COMPUTED_VALUE"""),126.51)</f>
        <v>126.51</v>
      </c>
      <c r="C645" s="2" t="n">
        <f aca="false">IFERROR(__xludf.dummyfunction("""COMPUTED_VALUE"""),129.08)</f>
        <v>129.08</v>
      </c>
      <c r="D645" s="2" t="n">
        <f aca="false">IFERROR(__xludf.dummyfunction("""COMPUTED_VALUE"""),126.11)</f>
        <v>126.11</v>
      </c>
      <c r="E645" s="2" t="n">
        <f aca="false">IFERROR(__xludf.dummyfunction("""COMPUTED_VALUE"""),128.15)</f>
        <v>128.15</v>
      </c>
      <c r="F645" s="2" t="n">
        <f aca="false">IFERROR(__xludf.dummyfunction("""COMPUTED_VALUE"""),53910087)</f>
        <v>53910087</v>
      </c>
    </row>
    <row r="646" customFormat="false" ht="15.75" hidden="false" customHeight="false" outlineLevel="0" collapsed="false">
      <c r="A646" s="3" t="n">
        <f aca="false">IFERROR(__xludf.dummyfunction("""COMPUTED_VALUE"""),45134.6666666667)</f>
        <v>45134.6666666667</v>
      </c>
      <c r="B646" s="2" t="n">
        <f aca="false">IFERROR(__xludf.dummyfunction("""COMPUTED_VALUE"""),131)</f>
        <v>131</v>
      </c>
      <c r="C646" s="2" t="n">
        <f aca="false">IFERROR(__xludf.dummyfunction("""COMPUTED_VALUE"""),132.63)</f>
        <v>132.63</v>
      </c>
      <c r="D646" s="2" t="n">
        <f aca="false">IFERROR(__xludf.dummyfunction("""COMPUTED_VALUE"""),127.79)</f>
        <v>127.79</v>
      </c>
      <c r="E646" s="2" t="n">
        <f aca="false">IFERROR(__xludf.dummyfunction("""COMPUTED_VALUE"""),128.25)</f>
        <v>128.25</v>
      </c>
      <c r="F646" s="2" t="n">
        <f aca="false">IFERROR(__xludf.dummyfunction("""COMPUTED_VALUE"""),52610661)</f>
        <v>52610661</v>
      </c>
    </row>
    <row r="647" customFormat="false" ht="15.75" hidden="false" customHeight="false" outlineLevel="0" collapsed="false">
      <c r="A647" s="3" t="n">
        <f aca="false">IFERROR(__xludf.dummyfunction("""COMPUTED_VALUE"""),45135.6666666667)</f>
        <v>45135.6666666667</v>
      </c>
      <c r="B647" s="2" t="n">
        <f aca="false">IFERROR(__xludf.dummyfunction("""COMPUTED_VALUE"""),129.69)</f>
        <v>129.69</v>
      </c>
      <c r="C647" s="2" t="n">
        <f aca="false">IFERROR(__xludf.dummyfunction("""COMPUTED_VALUE"""),133.01)</f>
        <v>133.01</v>
      </c>
      <c r="D647" s="2" t="n">
        <f aca="false">IFERROR(__xludf.dummyfunction("""COMPUTED_VALUE"""),129.33)</f>
        <v>129.33</v>
      </c>
      <c r="E647" s="2" t="n">
        <f aca="false">IFERROR(__xludf.dummyfunction("""COMPUTED_VALUE"""),132.21)</f>
        <v>132.21</v>
      </c>
      <c r="F647" s="2" t="n">
        <f aca="false">IFERROR(__xludf.dummyfunction("""COMPUTED_VALUE"""),46317381)</f>
        <v>46317381</v>
      </c>
    </row>
    <row r="648" customFormat="false" ht="15.75" hidden="false" customHeight="false" outlineLevel="0" collapsed="false">
      <c r="A648" s="3" t="n">
        <f aca="false">IFERROR(__xludf.dummyfunction("""COMPUTED_VALUE"""),45138.6666666667)</f>
        <v>45138.6666666667</v>
      </c>
      <c r="B648" s="2" t="n">
        <f aca="false">IFERROR(__xludf.dummyfunction("""COMPUTED_VALUE"""),133.2)</f>
        <v>133.2</v>
      </c>
      <c r="C648" s="2" t="n">
        <f aca="false">IFERROR(__xludf.dummyfunction("""COMPUTED_VALUE"""),133.87)</f>
        <v>133.87</v>
      </c>
      <c r="D648" s="2" t="n">
        <f aca="false">IFERROR(__xludf.dummyfunction("""COMPUTED_VALUE"""),132.38)</f>
        <v>132.38</v>
      </c>
      <c r="E648" s="2" t="n">
        <f aca="false">IFERROR(__xludf.dummyfunction("""COMPUTED_VALUE"""),133.68)</f>
        <v>133.68</v>
      </c>
      <c r="F648" s="2" t="n">
        <f aca="false">IFERROR(__xludf.dummyfunction("""COMPUTED_VALUE"""),41901516)</f>
        <v>41901516</v>
      </c>
    </row>
    <row r="649" customFormat="false" ht="15.75" hidden="false" customHeight="false" outlineLevel="0" collapsed="false">
      <c r="A649" s="3" t="n">
        <f aca="false">IFERROR(__xludf.dummyfunction("""COMPUTED_VALUE"""),45139.6666666667)</f>
        <v>45139.6666666667</v>
      </c>
      <c r="B649" s="2" t="n">
        <f aca="false">IFERROR(__xludf.dummyfunction("""COMPUTED_VALUE"""),133.55)</f>
        <v>133.55</v>
      </c>
      <c r="C649" s="2" t="n">
        <f aca="false">IFERROR(__xludf.dummyfunction("""COMPUTED_VALUE"""),133.69)</f>
        <v>133.69</v>
      </c>
      <c r="D649" s="2" t="n">
        <f aca="false">IFERROR(__xludf.dummyfunction("""COMPUTED_VALUE"""),131.62)</f>
        <v>131.62</v>
      </c>
      <c r="E649" s="2" t="n">
        <f aca="false">IFERROR(__xludf.dummyfunction("""COMPUTED_VALUE"""),131.69)</f>
        <v>131.69</v>
      </c>
      <c r="F649" s="2" t="n">
        <f aca="false">IFERROR(__xludf.dummyfunction("""COMPUTED_VALUE"""),42298925)</f>
        <v>42298925</v>
      </c>
    </row>
    <row r="650" customFormat="false" ht="15.75" hidden="false" customHeight="false" outlineLevel="0" collapsed="false">
      <c r="A650" s="3" t="n">
        <f aca="false">IFERROR(__xludf.dummyfunction("""COMPUTED_VALUE"""),45140.6666666667)</f>
        <v>45140.6666666667</v>
      </c>
      <c r="B650" s="2" t="n">
        <f aca="false">IFERROR(__xludf.dummyfunction("""COMPUTED_VALUE"""),130.15)</f>
        <v>130.15</v>
      </c>
      <c r="C650" s="2" t="n">
        <f aca="false">IFERROR(__xludf.dummyfunction("""COMPUTED_VALUE"""),130.23)</f>
        <v>130.23</v>
      </c>
      <c r="D650" s="2" t="n">
        <f aca="false">IFERROR(__xludf.dummyfunction("""COMPUTED_VALUE"""),126.82)</f>
        <v>126.82</v>
      </c>
      <c r="E650" s="2" t="n">
        <f aca="false">IFERROR(__xludf.dummyfunction("""COMPUTED_VALUE"""),128.21)</f>
        <v>128.21</v>
      </c>
      <c r="F650" s="2" t="n">
        <f aca="false">IFERROR(__xludf.dummyfunction("""COMPUTED_VALUE"""),51027614)</f>
        <v>51027614</v>
      </c>
    </row>
    <row r="651" customFormat="false" ht="15.75" hidden="false" customHeight="false" outlineLevel="0" collapsed="false">
      <c r="A651" s="3" t="n">
        <f aca="false">IFERROR(__xludf.dummyfunction("""COMPUTED_VALUE"""),45141.6666666667)</f>
        <v>45141.6666666667</v>
      </c>
      <c r="B651" s="2" t="n">
        <f aca="false">IFERROR(__xludf.dummyfunction("""COMPUTED_VALUE"""),127.48)</f>
        <v>127.48</v>
      </c>
      <c r="C651" s="2" t="n">
        <f aca="false">IFERROR(__xludf.dummyfunction("""COMPUTED_VALUE"""),129.84)</f>
        <v>129.84</v>
      </c>
      <c r="D651" s="2" t="n">
        <f aca="false">IFERROR(__xludf.dummyfunction("""COMPUTED_VALUE"""),126.41)</f>
        <v>126.41</v>
      </c>
      <c r="E651" s="2" t="n">
        <f aca="false">IFERROR(__xludf.dummyfunction("""COMPUTED_VALUE"""),128.91)</f>
        <v>128.91</v>
      </c>
      <c r="F651" s="2" t="n">
        <f aca="false">IFERROR(__xludf.dummyfunction("""COMPUTED_VALUE"""),91163736)</f>
        <v>91163736</v>
      </c>
    </row>
    <row r="652" customFormat="false" ht="15.75" hidden="false" customHeight="false" outlineLevel="0" collapsed="false">
      <c r="A652" s="3" t="n">
        <f aca="false">IFERROR(__xludf.dummyfunction("""COMPUTED_VALUE"""),45142.6666666667)</f>
        <v>45142.6666666667</v>
      </c>
      <c r="B652" s="2" t="n">
        <f aca="false">IFERROR(__xludf.dummyfunction("""COMPUTED_VALUE"""),141.06)</f>
        <v>141.06</v>
      </c>
      <c r="C652" s="2" t="n">
        <f aca="false">IFERROR(__xludf.dummyfunction("""COMPUTED_VALUE"""),143.63)</f>
        <v>143.63</v>
      </c>
      <c r="D652" s="2" t="n">
        <f aca="false">IFERROR(__xludf.dummyfunction("""COMPUTED_VALUE"""),139.32)</f>
        <v>139.32</v>
      </c>
      <c r="E652" s="2" t="n">
        <f aca="false">IFERROR(__xludf.dummyfunction("""COMPUTED_VALUE"""),139.57)</f>
        <v>139.57</v>
      </c>
      <c r="F652" s="2" t="n">
        <f aca="false">IFERROR(__xludf.dummyfunction("""COMPUTED_VALUE"""),153128470)</f>
        <v>153128470</v>
      </c>
    </row>
    <row r="653" customFormat="false" ht="15.75" hidden="false" customHeight="false" outlineLevel="0" collapsed="false">
      <c r="A653" s="3" t="n">
        <f aca="false">IFERROR(__xludf.dummyfunction("""COMPUTED_VALUE"""),45145.6666666667)</f>
        <v>45145.6666666667</v>
      </c>
      <c r="B653" s="2" t="n">
        <f aca="false">IFERROR(__xludf.dummyfunction("""COMPUTED_VALUE"""),140.99)</f>
        <v>140.99</v>
      </c>
      <c r="C653" s="2" t="n">
        <f aca="false">IFERROR(__xludf.dummyfunction("""COMPUTED_VALUE"""),142.54)</f>
        <v>142.54</v>
      </c>
      <c r="D653" s="2" t="n">
        <f aca="false">IFERROR(__xludf.dummyfunction("""COMPUTED_VALUE"""),138.95)</f>
        <v>138.95</v>
      </c>
      <c r="E653" s="2" t="n">
        <f aca="false">IFERROR(__xludf.dummyfunction("""COMPUTED_VALUE"""),142.22)</f>
        <v>142.22</v>
      </c>
      <c r="F653" s="2" t="n">
        <f aca="false">IFERROR(__xludf.dummyfunction("""COMPUTED_VALUE"""),71213112)</f>
        <v>71213112</v>
      </c>
    </row>
    <row r="654" customFormat="false" ht="15.75" hidden="false" customHeight="false" outlineLevel="0" collapsed="false">
      <c r="A654" s="3" t="n">
        <f aca="false">IFERROR(__xludf.dummyfunction("""COMPUTED_VALUE"""),45146.6666666667)</f>
        <v>45146.6666666667</v>
      </c>
      <c r="B654" s="2" t="n">
        <f aca="false">IFERROR(__xludf.dummyfunction("""COMPUTED_VALUE"""),140.62)</f>
        <v>140.62</v>
      </c>
      <c r="C654" s="2" t="n">
        <f aca="false">IFERROR(__xludf.dummyfunction("""COMPUTED_VALUE"""),140.84)</f>
        <v>140.84</v>
      </c>
      <c r="D654" s="2" t="n">
        <f aca="false">IFERROR(__xludf.dummyfunction("""COMPUTED_VALUE"""),138.42)</f>
        <v>138.42</v>
      </c>
      <c r="E654" s="2" t="n">
        <f aca="false">IFERROR(__xludf.dummyfunction("""COMPUTED_VALUE"""),139.94)</f>
        <v>139.94</v>
      </c>
      <c r="F654" s="2" t="n">
        <f aca="false">IFERROR(__xludf.dummyfunction("""COMPUTED_VALUE"""),51710497)</f>
        <v>51710497</v>
      </c>
    </row>
    <row r="655" customFormat="false" ht="15.75" hidden="false" customHeight="false" outlineLevel="0" collapsed="false">
      <c r="A655" s="3" t="n">
        <f aca="false">IFERROR(__xludf.dummyfunction("""COMPUTED_VALUE"""),45147.6666666667)</f>
        <v>45147.6666666667</v>
      </c>
      <c r="B655" s="2" t="n">
        <f aca="false">IFERROR(__xludf.dummyfunction("""COMPUTED_VALUE"""),139.97)</f>
        <v>139.97</v>
      </c>
      <c r="C655" s="2" t="n">
        <f aca="false">IFERROR(__xludf.dummyfunction("""COMPUTED_VALUE"""),140.32)</f>
        <v>140.32</v>
      </c>
      <c r="D655" s="2" t="n">
        <f aca="false">IFERROR(__xludf.dummyfunction("""COMPUTED_VALUE"""),137.1)</f>
        <v>137.1</v>
      </c>
      <c r="E655" s="2" t="n">
        <f aca="false">IFERROR(__xludf.dummyfunction("""COMPUTED_VALUE"""),137.85)</f>
        <v>137.85</v>
      </c>
      <c r="F655" s="2" t="n">
        <f aca="false">IFERROR(__xludf.dummyfunction("""COMPUTED_VALUE"""),50017349)</f>
        <v>50017349</v>
      </c>
    </row>
    <row r="656" customFormat="false" ht="15.75" hidden="false" customHeight="false" outlineLevel="0" collapsed="false">
      <c r="A656" s="3" t="n">
        <f aca="false">IFERROR(__xludf.dummyfunction("""COMPUTED_VALUE"""),45148.6666666667)</f>
        <v>45148.6666666667</v>
      </c>
      <c r="B656" s="2" t="n">
        <f aca="false">IFERROR(__xludf.dummyfunction("""COMPUTED_VALUE"""),139.07)</f>
        <v>139.07</v>
      </c>
      <c r="C656" s="2" t="n">
        <f aca="false">IFERROR(__xludf.dummyfunction("""COMPUTED_VALUE"""),140.41)</f>
        <v>140.41</v>
      </c>
      <c r="D656" s="2" t="n">
        <f aca="false">IFERROR(__xludf.dummyfunction("""COMPUTED_VALUE"""),137.49)</f>
        <v>137.49</v>
      </c>
      <c r="E656" s="2" t="n">
        <f aca="false">IFERROR(__xludf.dummyfunction("""COMPUTED_VALUE"""),138.56)</f>
        <v>138.56</v>
      </c>
      <c r="F656" s="2" t="n">
        <f aca="false">IFERROR(__xludf.dummyfunction("""COMPUTED_VALUE"""),58928402)</f>
        <v>58928402</v>
      </c>
    </row>
    <row r="657" customFormat="false" ht="15.75" hidden="false" customHeight="false" outlineLevel="0" collapsed="false">
      <c r="A657" s="3" t="n">
        <f aca="false">IFERROR(__xludf.dummyfunction("""COMPUTED_VALUE"""),45149.6666666667)</f>
        <v>45149.6666666667</v>
      </c>
      <c r="B657" s="2" t="n">
        <f aca="false">IFERROR(__xludf.dummyfunction("""COMPUTED_VALUE"""),137.4)</f>
        <v>137.4</v>
      </c>
      <c r="C657" s="2" t="n">
        <f aca="false">IFERROR(__xludf.dummyfunction("""COMPUTED_VALUE"""),139.33)</f>
        <v>139.33</v>
      </c>
      <c r="D657" s="2" t="n">
        <f aca="false">IFERROR(__xludf.dummyfunction("""COMPUTED_VALUE"""),137)</f>
        <v>137</v>
      </c>
      <c r="E657" s="2" t="n">
        <f aca="false">IFERROR(__xludf.dummyfunction("""COMPUTED_VALUE"""),138.41)</f>
        <v>138.41</v>
      </c>
      <c r="F657" s="2" t="n">
        <f aca="false">IFERROR(__xludf.dummyfunction("""COMPUTED_VALUE"""),42905833)</f>
        <v>42905833</v>
      </c>
    </row>
    <row r="658" customFormat="false" ht="15.75" hidden="false" customHeight="false" outlineLevel="0" collapsed="false">
      <c r="A658" s="3" t="n">
        <f aca="false">IFERROR(__xludf.dummyfunction("""COMPUTED_VALUE"""),45152.6666666667)</f>
        <v>45152.6666666667</v>
      </c>
      <c r="B658" s="2" t="n">
        <f aca="false">IFERROR(__xludf.dummyfunction("""COMPUTED_VALUE"""),138.3)</f>
        <v>138.3</v>
      </c>
      <c r="C658" s="2" t="n">
        <f aca="false">IFERROR(__xludf.dummyfunction("""COMPUTED_VALUE"""),140.59)</f>
        <v>140.59</v>
      </c>
      <c r="D658" s="2" t="n">
        <f aca="false">IFERROR(__xludf.dummyfunction("""COMPUTED_VALUE"""),137.75)</f>
        <v>137.75</v>
      </c>
      <c r="E658" s="2" t="n">
        <f aca="false">IFERROR(__xludf.dummyfunction("""COMPUTED_VALUE"""),140.57)</f>
        <v>140.57</v>
      </c>
      <c r="F658" s="2" t="n">
        <f aca="false">IFERROR(__xludf.dummyfunction("""COMPUTED_VALUE"""),47148699)</f>
        <v>47148699</v>
      </c>
    </row>
    <row r="659" customFormat="false" ht="15.75" hidden="false" customHeight="false" outlineLevel="0" collapsed="false">
      <c r="A659" s="3" t="n">
        <f aca="false">IFERROR(__xludf.dummyfunction("""COMPUTED_VALUE"""),45153.6666666667)</f>
        <v>45153.6666666667</v>
      </c>
      <c r="B659" s="2" t="n">
        <f aca="false">IFERROR(__xludf.dummyfunction("""COMPUTED_VALUE"""),140.05)</f>
        <v>140.05</v>
      </c>
      <c r="C659" s="2" t="n">
        <f aca="false">IFERROR(__xludf.dummyfunction("""COMPUTED_VALUE"""),141.28)</f>
        <v>141.28</v>
      </c>
      <c r="D659" s="2" t="n">
        <f aca="false">IFERROR(__xludf.dummyfunction("""COMPUTED_VALUE"""),137.23)</f>
        <v>137.23</v>
      </c>
      <c r="E659" s="2" t="n">
        <f aca="false">IFERROR(__xludf.dummyfunction("""COMPUTED_VALUE"""),137.67)</f>
        <v>137.67</v>
      </c>
      <c r="F659" s="2" t="n">
        <f aca="false">IFERROR(__xludf.dummyfunction("""COMPUTED_VALUE"""),42781521)</f>
        <v>42781521</v>
      </c>
    </row>
    <row r="660" customFormat="false" ht="15.75" hidden="false" customHeight="false" outlineLevel="0" collapsed="false">
      <c r="A660" s="3" t="n">
        <f aca="false">IFERROR(__xludf.dummyfunction("""COMPUTED_VALUE"""),45154.6666666667)</f>
        <v>45154.6666666667</v>
      </c>
      <c r="B660" s="2" t="n">
        <f aca="false">IFERROR(__xludf.dummyfunction("""COMPUTED_VALUE"""),137.19)</f>
        <v>137.19</v>
      </c>
      <c r="C660" s="2" t="n">
        <f aca="false">IFERROR(__xludf.dummyfunction("""COMPUTED_VALUE"""),137.27)</f>
        <v>137.27</v>
      </c>
      <c r="D660" s="2" t="n">
        <f aca="false">IFERROR(__xludf.dummyfunction("""COMPUTED_VALUE"""),135.01)</f>
        <v>135.01</v>
      </c>
      <c r="E660" s="2" t="n">
        <f aca="false">IFERROR(__xludf.dummyfunction("""COMPUTED_VALUE"""),135.07)</f>
        <v>135.07</v>
      </c>
      <c r="F660" s="2" t="n">
        <f aca="false">IFERROR(__xludf.dummyfunction("""COMPUTED_VALUE"""),41675903)</f>
        <v>41675903</v>
      </c>
    </row>
    <row r="661" customFormat="false" ht="15.75" hidden="false" customHeight="false" outlineLevel="0" collapsed="false">
      <c r="A661" s="3" t="n">
        <f aca="false">IFERROR(__xludf.dummyfunction("""COMPUTED_VALUE"""),45155.6666666667)</f>
        <v>45155.6666666667</v>
      </c>
      <c r="B661" s="2" t="n">
        <f aca="false">IFERROR(__xludf.dummyfunction("""COMPUTED_VALUE"""),135.46)</f>
        <v>135.46</v>
      </c>
      <c r="C661" s="2" t="n">
        <f aca="false">IFERROR(__xludf.dummyfunction("""COMPUTED_VALUE"""),136.09)</f>
        <v>136.09</v>
      </c>
      <c r="D661" s="2" t="n">
        <f aca="false">IFERROR(__xludf.dummyfunction("""COMPUTED_VALUE"""),133.53)</f>
        <v>133.53</v>
      </c>
      <c r="E661" s="2" t="n">
        <f aca="false">IFERROR(__xludf.dummyfunction("""COMPUTED_VALUE"""),133.98)</f>
        <v>133.98</v>
      </c>
      <c r="F661" s="2" t="n">
        <f aca="false">IFERROR(__xludf.dummyfunction("""COMPUTED_VALUE"""),48354085)</f>
        <v>48354085</v>
      </c>
    </row>
    <row r="662" customFormat="false" ht="15.75" hidden="false" customHeight="false" outlineLevel="0" collapsed="false">
      <c r="A662" s="3" t="n">
        <f aca="false">IFERROR(__xludf.dummyfunction("""COMPUTED_VALUE"""),45156.6666666667)</f>
        <v>45156.6666666667</v>
      </c>
      <c r="B662" s="2" t="n">
        <f aca="false">IFERROR(__xludf.dummyfunction("""COMPUTED_VALUE"""),131.62)</f>
        <v>131.62</v>
      </c>
      <c r="C662" s="2" t="n">
        <f aca="false">IFERROR(__xludf.dummyfunction("""COMPUTED_VALUE"""),134.07)</f>
        <v>134.07</v>
      </c>
      <c r="D662" s="2" t="n">
        <f aca="false">IFERROR(__xludf.dummyfunction("""COMPUTED_VALUE"""),131.15)</f>
        <v>131.15</v>
      </c>
      <c r="E662" s="2" t="n">
        <f aca="false">IFERROR(__xludf.dummyfunction("""COMPUTED_VALUE"""),133.22)</f>
        <v>133.22</v>
      </c>
      <c r="F662" s="2" t="n">
        <f aca="false">IFERROR(__xludf.dummyfunction("""COMPUTED_VALUE"""),48497698)</f>
        <v>48497698</v>
      </c>
    </row>
    <row r="663" customFormat="false" ht="15.75" hidden="false" customHeight="false" outlineLevel="0" collapsed="false">
      <c r="A663" s="3" t="n">
        <f aca="false">IFERROR(__xludf.dummyfunction("""COMPUTED_VALUE"""),45159.6666666667)</f>
        <v>45159.6666666667</v>
      </c>
      <c r="B663" s="2" t="n">
        <f aca="false">IFERROR(__xludf.dummyfunction("""COMPUTED_VALUE"""),133.74)</f>
        <v>133.74</v>
      </c>
      <c r="C663" s="2" t="n">
        <f aca="false">IFERROR(__xludf.dummyfunction("""COMPUTED_VALUE"""),135.19)</f>
        <v>135.19</v>
      </c>
      <c r="D663" s="2" t="n">
        <f aca="false">IFERROR(__xludf.dummyfunction("""COMPUTED_VALUE"""),132.71)</f>
        <v>132.71</v>
      </c>
      <c r="E663" s="2" t="n">
        <f aca="false">IFERROR(__xludf.dummyfunction("""COMPUTED_VALUE"""),134.68)</f>
        <v>134.68</v>
      </c>
      <c r="F663" s="2" t="n">
        <f aca="false">IFERROR(__xludf.dummyfunction("""COMPUTED_VALUE"""),41442483)</f>
        <v>41442483</v>
      </c>
    </row>
    <row r="664" customFormat="false" ht="15.75" hidden="false" customHeight="false" outlineLevel="0" collapsed="false">
      <c r="A664" s="3" t="n">
        <f aca="false">IFERROR(__xludf.dummyfunction("""COMPUTED_VALUE"""),45160.6666666667)</f>
        <v>45160.6666666667</v>
      </c>
      <c r="B664" s="2" t="n">
        <f aca="false">IFERROR(__xludf.dummyfunction("""COMPUTED_VALUE"""),135.08)</f>
        <v>135.08</v>
      </c>
      <c r="C664" s="2" t="n">
        <f aca="false">IFERROR(__xludf.dummyfunction("""COMPUTED_VALUE"""),135.65)</f>
        <v>135.65</v>
      </c>
      <c r="D664" s="2" t="n">
        <f aca="false">IFERROR(__xludf.dummyfunction("""COMPUTED_VALUE"""),133.73)</f>
        <v>133.73</v>
      </c>
      <c r="E664" s="2" t="n">
        <f aca="false">IFERROR(__xludf.dummyfunction("""COMPUTED_VALUE"""),134.25)</f>
        <v>134.25</v>
      </c>
      <c r="F664" s="2" t="n">
        <f aca="false">IFERROR(__xludf.dummyfunction("""COMPUTED_VALUE"""),32935104)</f>
        <v>32935104</v>
      </c>
    </row>
    <row r="665" customFormat="false" ht="15.75" hidden="false" customHeight="false" outlineLevel="0" collapsed="false">
      <c r="A665" s="3" t="n">
        <f aca="false">IFERROR(__xludf.dummyfunction("""COMPUTED_VALUE"""),45161.6666666667)</f>
        <v>45161.6666666667</v>
      </c>
      <c r="B665" s="2" t="n">
        <f aca="false">IFERROR(__xludf.dummyfunction("""COMPUTED_VALUE"""),134.5)</f>
        <v>134.5</v>
      </c>
      <c r="C665" s="2" t="n">
        <f aca="false">IFERROR(__xludf.dummyfunction("""COMPUTED_VALUE"""),135.95)</f>
        <v>135.95</v>
      </c>
      <c r="D665" s="2" t="n">
        <f aca="false">IFERROR(__xludf.dummyfunction("""COMPUTED_VALUE"""),133.22)</f>
        <v>133.22</v>
      </c>
      <c r="E665" s="2" t="n">
        <f aca="false">IFERROR(__xludf.dummyfunction("""COMPUTED_VALUE"""),135.52)</f>
        <v>135.52</v>
      </c>
      <c r="F665" s="2" t="n">
        <f aca="false">IFERROR(__xludf.dummyfunction("""COMPUTED_VALUE"""),42801043)</f>
        <v>42801043</v>
      </c>
    </row>
    <row r="666" customFormat="false" ht="15.75" hidden="false" customHeight="false" outlineLevel="0" collapsed="false">
      <c r="A666" s="3" t="n">
        <f aca="false">IFERROR(__xludf.dummyfunction("""COMPUTED_VALUE"""),45162.6666666667)</f>
        <v>45162.6666666667</v>
      </c>
      <c r="B666" s="2" t="n">
        <f aca="false">IFERROR(__xludf.dummyfunction("""COMPUTED_VALUE"""),136.4)</f>
        <v>136.4</v>
      </c>
      <c r="C666" s="2" t="n">
        <f aca="false">IFERROR(__xludf.dummyfunction("""COMPUTED_VALUE"""),136.78)</f>
        <v>136.78</v>
      </c>
      <c r="D666" s="2" t="n">
        <f aca="false">IFERROR(__xludf.dummyfunction("""COMPUTED_VALUE"""),131.83)</f>
        <v>131.83</v>
      </c>
      <c r="E666" s="2" t="n">
        <f aca="false">IFERROR(__xludf.dummyfunction("""COMPUTED_VALUE"""),131.84)</f>
        <v>131.84</v>
      </c>
      <c r="F666" s="2" t="n">
        <f aca="false">IFERROR(__xludf.dummyfunction("""COMPUTED_VALUE"""),43646250)</f>
        <v>43646250</v>
      </c>
    </row>
    <row r="667" customFormat="false" ht="15.75" hidden="false" customHeight="false" outlineLevel="0" collapsed="false">
      <c r="A667" s="3" t="n">
        <f aca="false">IFERROR(__xludf.dummyfunction("""COMPUTED_VALUE"""),45163.6666666667)</f>
        <v>45163.6666666667</v>
      </c>
      <c r="B667" s="2" t="n">
        <f aca="false">IFERROR(__xludf.dummyfunction("""COMPUTED_VALUE"""),132.47)</f>
        <v>132.47</v>
      </c>
      <c r="C667" s="2" t="n">
        <f aca="false">IFERROR(__xludf.dummyfunction("""COMPUTED_VALUE"""),133.87)</f>
        <v>133.87</v>
      </c>
      <c r="D667" s="2" t="n">
        <f aca="false">IFERROR(__xludf.dummyfunction("""COMPUTED_VALUE"""),130.58)</f>
        <v>130.58</v>
      </c>
      <c r="E667" s="2" t="n">
        <f aca="false">IFERROR(__xludf.dummyfunction("""COMPUTED_VALUE"""),133.26)</f>
        <v>133.26</v>
      </c>
      <c r="F667" s="2" t="n">
        <f aca="false">IFERROR(__xludf.dummyfunction("""COMPUTED_VALUE"""),44147451)</f>
        <v>44147451</v>
      </c>
    </row>
    <row r="668" customFormat="false" ht="15.75" hidden="false" customHeight="false" outlineLevel="0" collapsed="false">
      <c r="A668" s="3" t="n">
        <f aca="false">IFERROR(__xludf.dummyfunction("""COMPUTED_VALUE"""),45166.6666666667)</f>
        <v>45166.6666666667</v>
      </c>
      <c r="B668" s="2" t="n">
        <f aca="false">IFERROR(__xludf.dummyfunction("""COMPUTED_VALUE"""),133.78)</f>
        <v>133.78</v>
      </c>
      <c r="C668" s="2" t="n">
        <f aca="false">IFERROR(__xludf.dummyfunction("""COMPUTED_VALUE"""),133.95)</f>
        <v>133.95</v>
      </c>
      <c r="D668" s="2" t="n">
        <f aca="false">IFERROR(__xludf.dummyfunction("""COMPUTED_VALUE"""),131.85)</f>
        <v>131.85</v>
      </c>
      <c r="E668" s="2" t="n">
        <f aca="false">IFERROR(__xludf.dummyfunction("""COMPUTED_VALUE"""),133.14)</f>
        <v>133.14</v>
      </c>
      <c r="F668" s="2" t="n">
        <f aca="false">IFERROR(__xludf.dummyfunction("""COMPUTED_VALUE"""),34108410)</f>
        <v>34108410</v>
      </c>
    </row>
    <row r="669" customFormat="false" ht="15.75" hidden="false" customHeight="false" outlineLevel="0" collapsed="false">
      <c r="A669" s="3" t="n">
        <f aca="false">IFERROR(__xludf.dummyfunction("""COMPUTED_VALUE"""),45167.6666666667)</f>
        <v>45167.6666666667</v>
      </c>
      <c r="B669" s="2" t="n">
        <f aca="false">IFERROR(__xludf.dummyfunction("""COMPUTED_VALUE"""),133.38)</f>
        <v>133.38</v>
      </c>
      <c r="C669" s="2" t="n">
        <f aca="false">IFERROR(__xludf.dummyfunction("""COMPUTED_VALUE"""),135.14)</f>
        <v>135.14</v>
      </c>
      <c r="D669" s="2" t="n">
        <f aca="false">IFERROR(__xludf.dummyfunction("""COMPUTED_VALUE"""),133.25)</f>
        <v>133.25</v>
      </c>
      <c r="E669" s="2" t="n">
        <f aca="false">IFERROR(__xludf.dummyfunction("""COMPUTED_VALUE"""),134.91)</f>
        <v>134.91</v>
      </c>
      <c r="F669" s="2" t="n">
        <f aca="false">IFERROR(__xludf.dummyfunction("""COMPUTED_VALUE"""),38646093)</f>
        <v>38646093</v>
      </c>
    </row>
    <row r="670" customFormat="false" ht="15.75" hidden="false" customHeight="false" outlineLevel="0" collapsed="false">
      <c r="A670" s="3" t="n">
        <f aca="false">IFERROR(__xludf.dummyfunction("""COMPUTED_VALUE"""),45168.6666666667)</f>
        <v>45168.6666666667</v>
      </c>
      <c r="B670" s="2" t="n">
        <f aca="false">IFERROR(__xludf.dummyfunction("""COMPUTED_VALUE"""),134.93)</f>
        <v>134.93</v>
      </c>
      <c r="C670" s="2" t="n">
        <f aca="false">IFERROR(__xludf.dummyfunction("""COMPUTED_VALUE"""),135.68)</f>
        <v>135.68</v>
      </c>
      <c r="D670" s="2" t="n">
        <f aca="false">IFERROR(__xludf.dummyfunction("""COMPUTED_VALUE"""),133.92)</f>
        <v>133.92</v>
      </c>
      <c r="E670" s="2" t="n">
        <f aca="false">IFERROR(__xludf.dummyfunction("""COMPUTED_VALUE"""),135.07)</f>
        <v>135.07</v>
      </c>
      <c r="F670" s="2" t="n">
        <f aca="false">IFERROR(__xludf.dummyfunction("""COMPUTED_VALUE"""),36137015)</f>
        <v>36137015</v>
      </c>
    </row>
    <row r="671" customFormat="false" ht="15.75" hidden="false" customHeight="false" outlineLevel="0" collapsed="false">
      <c r="A671" s="3" t="n">
        <f aca="false">IFERROR(__xludf.dummyfunction("""COMPUTED_VALUE"""),45169.6666666667)</f>
        <v>45169.6666666667</v>
      </c>
      <c r="B671" s="2" t="n">
        <f aca="false">IFERROR(__xludf.dummyfunction("""COMPUTED_VALUE"""),135.06)</f>
        <v>135.06</v>
      </c>
      <c r="C671" s="2" t="n">
        <f aca="false">IFERROR(__xludf.dummyfunction("""COMPUTED_VALUE"""),138.79)</f>
        <v>138.79</v>
      </c>
      <c r="D671" s="2" t="n">
        <f aca="false">IFERROR(__xludf.dummyfunction("""COMPUTED_VALUE"""),135)</f>
        <v>135</v>
      </c>
      <c r="E671" s="2" t="n">
        <f aca="false">IFERROR(__xludf.dummyfunction("""COMPUTED_VALUE"""),138.01)</f>
        <v>138.01</v>
      </c>
      <c r="F671" s="2" t="n">
        <f aca="false">IFERROR(__xludf.dummyfunction("""COMPUTED_VALUE"""),58781314)</f>
        <v>58781314</v>
      </c>
    </row>
    <row r="672" customFormat="false" ht="15.75" hidden="false" customHeight="false" outlineLevel="0" collapsed="false">
      <c r="A672" s="3" t="n">
        <f aca="false">IFERROR(__xludf.dummyfunction("""COMPUTED_VALUE"""),45170.6666666667)</f>
        <v>45170.6666666667</v>
      </c>
      <c r="B672" s="2" t="n">
        <f aca="false">IFERROR(__xludf.dummyfunction("""COMPUTED_VALUE"""),139.46)</f>
        <v>139.46</v>
      </c>
      <c r="C672" s="2" t="n">
        <f aca="false">IFERROR(__xludf.dummyfunction("""COMPUTED_VALUE"""),139.96)</f>
        <v>139.96</v>
      </c>
      <c r="D672" s="2" t="n">
        <f aca="false">IFERROR(__xludf.dummyfunction("""COMPUTED_VALUE"""),136.88)</f>
        <v>136.88</v>
      </c>
      <c r="E672" s="2" t="n">
        <f aca="false">IFERROR(__xludf.dummyfunction("""COMPUTED_VALUE"""),138.12)</f>
        <v>138.12</v>
      </c>
      <c r="F672" s="2" t="n">
        <f aca="false">IFERROR(__xludf.dummyfunction("""COMPUTED_VALUE"""),40991536)</f>
        <v>40991536</v>
      </c>
    </row>
    <row r="673" customFormat="false" ht="15.75" hidden="false" customHeight="false" outlineLevel="0" collapsed="false">
      <c r="A673" s="3" t="n">
        <f aca="false">IFERROR(__xludf.dummyfunction("""COMPUTED_VALUE"""),45174.6666666667)</f>
        <v>45174.6666666667</v>
      </c>
      <c r="B673" s="2" t="n">
        <f aca="false">IFERROR(__xludf.dummyfunction("""COMPUTED_VALUE"""),137.73)</f>
        <v>137.73</v>
      </c>
      <c r="C673" s="2" t="n">
        <f aca="false">IFERROR(__xludf.dummyfunction("""COMPUTED_VALUE"""),137.8)</f>
        <v>137.8</v>
      </c>
      <c r="D673" s="2" t="n">
        <f aca="false">IFERROR(__xludf.dummyfunction("""COMPUTED_VALUE"""),135.82)</f>
        <v>135.82</v>
      </c>
      <c r="E673" s="2" t="n">
        <f aca="false">IFERROR(__xludf.dummyfunction("""COMPUTED_VALUE"""),137.27)</f>
        <v>137.27</v>
      </c>
      <c r="F673" s="2" t="n">
        <f aca="false">IFERROR(__xludf.dummyfunction("""COMPUTED_VALUE"""),40636738)</f>
        <v>40636738</v>
      </c>
    </row>
    <row r="674" customFormat="false" ht="15.75" hidden="false" customHeight="false" outlineLevel="0" collapsed="false">
      <c r="A674" s="3" t="n">
        <f aca="false">IFERROR(__xludf.dummyfunction("""COMPUTED_VALUE"""),45175.6666666667)</f>
        <v>45175.6666666667</v>
      </c>
      <c r="B674" s="2" t="n">
        <f aca="false">IFERROR(__xludf.dummyfunction("""COMPUTED_VALUE"""),136.32)</f>
        <v>136.32</v>
      </c>
      <c r="C674" s="2" t="n">
        <f aca="false">IFERROR(__xludf.dummyfunction("""COMPUTED_VALUE"""),137.45)</f>
        <v>137.45</v>
      </c>
      <c r="D674" s="2" t="n">
        <f aca="false">IFERROR(__xludf.dummyfunction("""COMPUTED_VALUE"""),134.61)</f>
        <v>134.61</v>
      </c>
      <c r="E674" s="2" t="n">
        <f aca="false">IFERROR(__xludf.dummyfunction("""COMPUTED_VALUE"""),135.36)</f>
        <v>135.36</v>
      </c>
      <c r="F674" s="2" t="n">
        <f aca="false">IFERROR(__xludf.dummyfunction("""COMPUTED_VALUE"""),41785507)</f>
        <v>41785507</v>
      </c>
    </row>
    <row r="675" customFormat="false" ht="15.75" hidden="false" customHeight="false" outlineLevel="0" collapsed="false">
      <c r="A675" s="3" t="n">
        <f aca="false">IFERROR(__xludf.dummyfunction("""COMPUTED_VALUE"""),45176.6666666667)</f>
        <v>45176.6666666667</v>
      </c>
      <c r="B675" s="2" t="n">
        <f aca="false">IFERROR(__xludf.dummyfunction("""COMPUTED_VALUE"""),133.9)</f>
        <v>133.9</v>
      </c>
      <c r="C675" s="2" t="n">
        <f aca="false">IFERROR(__xludf.dummyfunction("""COMPUTED_VALUE"""),138.03)</f>
        <v>138.03</v>
      </c>
      <c r="D675" s="2" t="n">
        <f aca="false">IFERROR(__xludf.dummyfunction("""COMPUTED_VALUE"""),133.16)</f>
        <v>133.16</v>
      </c>
      <c r="E675" s="2" t="n">
        <f aca="false">IFERROR(__xludf.dummyfunction("""COMPUTED_VALUE"""),137.85)</f>
        <v>137.85</v>
      </c>
      <c r="F675" s="2" t="n">
        <f aca="false">IFERROR(__xludf.dummyfunction("""COMPUTED_VALUE"""),48498912)</f>
        <v>48498912</v>
      </c>
    </row>
    <row r="676" customFormat="false" ht="15.75" hidden="false" customHeight="false" outlineLevel="0" collapsed="false">
      <c r="A676" s="3" t="n">
        <f aca="false">IFERROR(__xludf.dummyfunction("""COMPUTED_VALUE"""),45177.6666666667)</f>
        <v>45177.6666666667</v>
      </c>
      <c r="B676" s="2" t="n">
        <f aca="false">IFERROR(__xludf.dummyfunction("""COMPUTED_VALUE"""),136.86)</f>
        <v>136.86</v>
      </c>
      <c r="C676" s="2" t="n">
        <f aca="false">IFERROR(__xludf.dummyfunction("""COMPUTED_VALUE"""),138.85)</f>
        <v>138.85</v>
      </c>
      <c r="D676" s="2" t="n">
        <f aca="false">IFERROR(__xludf.dummyfunction("""COMPUTED_VALUE"""),136.75)</f>
        <v>136.75</v>
      </c>
      <c r="E676" s="2" t="n">
        <f aca="false">IFERROR(__xludf.dummyfunction("""COMPUTED_VALUE"""),138.23)</f>
        <v>138.23</v>
      </c>
      <c r="F676" s="2" t="n">
        <f aca="false">IFERROR(__xludf.dummyfunction("""COMPUTED_VALUE"""),38365929)</f>
        <v>38365929</v>
      </c>
    </row>
    <row r="677" customFormat="false" ht="15.75" hidden="false" customHeight="false" outlineLevel="0" collapsed="false">
      <c r="A677" s="3" t="n">
        <f aca="false">IFERROR(__xludf.dummyfunction("""COMPUTED_VALUE"""),45180.6666666667)</f>
        <v>45180.6666666667</v>
      </c>
      <c r="B677" s="2" t="n">
        <f aca="false">IFERROR(__xludf.dummyfunction("""COMPUTED_VALUE"""),138.75)</f>
        <v>138.75</v>
      </c>
      <c r="C677" s="2" t="n">
        <f aca="false">IFERROR(__xludf.dummyfunction("""COMPUTED_VALUE"""),143.62)</f>
        <v>143.62</v>
      </c>
      <c r="D677" s="2" t="n">
        <f aca="false">IFERROR(__xludf.dummyfunction("""COMPUTED_VALUE"""),138.64)</f>
        <v>138.64</v>
      </c>
      <c r="E677" s="2" t="n">
        <f aca="false">IFERROR(__xludf.dummyfunction("""COMPUTED_VALUE"""),143.1)</f>
        <v>143.1</v>
      </c>
      <c r="F677" s="2" t="n">
        <f aca="false">IFERROR(__xludf.dummyfunction("""COMPUTED_VALUE"""),56764525)</f>
        <v>56764525</v>
      </c>
    </row>
    <row r="678" customFormat="false" ht="15.75" hidden="false" customHeight="false" outlineLevel="0" collapsed="false">
      <c r="A678" s="3" t="n">
        <f aca="false">IFERROR(__xludf.dummyfunction("""COMPUTED_VALUE"""),45181.6666666667)</f>
        <v>45181.6666666667</v>
      </c>
      <c r="B678" s="2" t="n">
        <f aca="false">IFERROR(__xludf.dummyfunction("""COMPUTED_VALUE"""),142.32)</f>
        <v>142.32</v>
      </c>
      <c r="C678" s="2" t="n">
        <f aca="false">IFERROR(__xludf.dummyfunction("""COMPUTED_VALUE"""),143)</f>
        <v>143</v>
      </c>
      <c r="D678" s="2" t="n">
        <f aca="false">IFERROR(__xludf.dummyfunction("""COMPUTED_VALUE"""),140.61)</f>
        <v>140.61</v>
      </c>
      <c r="E678" s="2" t="n">
        <f aca="false">IFERROR(__xludf.dummyfunction("""COMPUTED_VALUE"""),141.23)</f>
        <v>141.23</v>
      </c>
      <c r="F678" s="2" t="n">
        <f aca="false">IFERROR(__xludf.dummyfunction("""COMPUTED_VALUE"""),42668452)</f>
        <v>42668452</v>
      </c>
    </row>
    <row r="679" customFormat="false" ht="15.75" hidden="false" customHeight="false" outlineLevel="0" collapsed="false">
      <c r="A679" s="3" t="n">
        <f aca="false">IFERROR(__xludf.dummyfunction("""COMPUTED_VALUE"""),45182.6666666667)</f>
        <v>45182.6666666667</v>
      </c>
      <c r="B679" s="2" t="n">
        <f aca="false">IFERROR(__xludf.dummyfunction("""COMPUTED_VALUE"""),140.95)</f>
        <v>140.95</v>
      </c>
      <c r="C679" s="2" t="n">
        <f aca="false">IFERROR(__xludf.dummyfunction("""COMPUTED_VALUE"""),144.98)</f>
        <v>144.98</v>
      </c>
      <c r="D679" s="2" t="n">
        <f aca="false">IFERROR(__xludf.dummyfunction("""COMPUTED_VALUE"""),140.87)</f>
        <v>140.87</v>
      </c>
      <c r="E679" s="2" t="n">
        <f aca="false">IFERROR(__xludf.dummyfunction("""COMPUTED_VALUE"""),144.85)</f>
        <v>144.85</v>
      </c>
      <c r="F679" s="2" t="n">
        <f aca="false">IFERROR(__xludf.dummyfunction("""COMPUTED_VALUE"""),60465175)</f>
        <v>60465175</v>
      </c>
    </row>
    <row r="680" customFormat="false" ht="15.75" hidden="false" customHeight="false" outlineLevel="0" collapsed="false">
      <c r="A680" s="3" t="n">
        <f aca="false">IFERROR(__xludf.dummyfunction("""COMPUTED_VALUE"""),45183.6666666667)</f>
        <v>45183.6666666667</v>
      </c>
      <c r="B680" s="2" t="n">
        <f aca="false">IFERROR(__xludf.dummyfunction("""COMPUTED_VALUE"""),145.08)</f>
        <v>145.08</v>
      </c>
      <c r="C680" s="2" t="n">
        <f aca="false">IFERROR(__xludf.dummyfunction("""COMPUTED_VALUE"""),145.86)</f>
        <v>145.86</v>
      </c>
      <c r="D680" s="2" t="n">
        <f aca="false">IFERROR(__xludf.dummyfunction("""COMPUTED_VALUE"""),142.95)</f>
        <v>142.95</v>
      </c>
      <c r="E680" s="2" t="n">
        <f aca="false">IFERROR(__xludf.dummyfunction("""COMPUTED_VALUE"""),144.72)</f>
        <v>144.72</v>
      </c>
      <c r="F680" s="2" t="n">
        <f aca="false">IFERROR(__xludf.dummyfunction("""COMPUTED_VALUE"""),64033607)</f>
        <v>64033607</v>
      </c>
    </row>
    <row r="681" customFormat="false" ht="15.75" hidden="false" customHeight="false" outlineLevel="0" collapsed="false">
      <c r="A681" s="3" t="n">
        <f aca="false">IFERROR(__xludf.dummyfunction("""COMPUTED_VALUE"""),45184.6666666667)</f>
        <v>45184.6666666667</v>
      </c>
      <c r="B681" s="2" t="n">
        <f aca="false">IFERROR(__xludf.dummyfunction("""COMPUTED_VALUE"""),142.69)</f>
        <v>142.69</v>
      </c>
      <c r="C681" s="2" t="n">
        <f aca="false">IFERROR(__xludf.dummyfunction("""COMPUTED_VALUE"""),143.57)</f>
        <v>143.57</v>
      </c>
      <c r="D681" s="2" t="n">
        <f aca="false">IFERROR(__xludf.dummyfunction("""COMPUTED_VALUE"""),140.09)</f>
        <v>140.09</v>
      </c>
      <c r="E681" s="2" t="n">
        <f aca="false">IFERROR(__xludf.dummyfunction("""COMPUTED_VALUE"""),140.39)</f>
        <v>140.39</v>
      </c>
      <c r="F681" s="2" t="n">
        <f aca="false">IFERROR(__xludf.dummyfunction("""COMPUTED_VALUE"""),102909327)</f>
        <v>102909327</v>
      </c>
    </row>
    <row r="682" customFormat="false" ht="15.75" hidden="false" customHeight="false" outlineLevel="0" collapsed="false">
      <c r="A682" s="3" t="n">
        <f aca="false">IFERROR(__xludf.dummyfunction("""COMPUTED_VALUE"""),45187.6666666667)</f>
        <v>45187.6666666667</v>
      </c>
      <c r="B682" s="2" t="n">
        <f aca="false">IFERROR(__xludf.dummyfunction("""COMPUTED_VALUE"""),140.48)</f>
        <v>140.48</v>
      </c>
      <c r="C682" s="2" t="n">
        <f aca="false">IFERROR(__xludf.dummyfunction("""COMPUTED_VALUE"""),141.75)</f>
        <v>141.75</v>
      </c>
      <c r="D682" s="2" t="n">
        <f aca="false">IFERROR(__xludf.dummyfunction("""COMPUTED_VALUE"""),139.22)</f>
        <v>139.22</v>
      </c>
      <c r="E682" s="2" t="n">
        <f aca="false">IFERROR(__xludf.dummyfunction("""COMPUTED_VALUE"""),139.98)</f>
        <v>139.98</v>
      </c>
      <c r="F682" s="2" t="n">
        <f aca="false">IFERROR(__xludf.dummyfunction("""COMPUTED_VALUE"""),42823480)</f>
        <v>42823480</v>
      </c>
    </row>
    <row r="683" customFormat="false" ht="15.75" hidden="false" customHeight="false" outlineLevel="0" collapsed="false">
      <c r="A683" s="3" t="n">
        <f aca="false">IFERROR(__xludf.dummyfunction("""COMPUTED_VALUE"""),45188.6666666667)</f>
        <v>45188.6666666667</v>
      </c>
      <c r="B683" s="2" t="n">
        <f aca="false">IFERROR(__xludf.dummyfunction("""COMPUTED_VALUE"""),138.7)</f>
        <v>138.7</v>
      </c>
      <c r="C683" s="2" t="n">
        <f aca="false">IFERROR(__xludf.dummyfunction("""COMPUTED_VALUE"""),138.84)</f>
        <v>138.84</v>
      </c>
      <c r="D683" s="2" t="n">
        <f aca="false">IFERROR(__xludf.dummyfunction("""COMPUTED_VALUE"""),135.56)</f>
        <v>135.56</v>
      </c>
      <c r="E683" s="2" t="n">
        <f aca="false">IFERROR(__xludf.dummyfunction("""COMPUTED_VALUE"""),137.63)</f>
        <v>137.63</v>
      </c>
      <c r="F683" s="2" t="n">
        <f aca="false">IFERROR(__xludf.dummyfunction("""COMPUTED_VALUE"""),61482470)</f>
        <v>61482470</v>
      </c>
    </row>
    <row r="684" customFormat="false" ht="15.75" hidden="false" customHeight="false" outlineLevel="0" collapsed="false">
      <c r="A684" s="3" t="n">
        <f aca="false">IFERROR(__xludf.dummyfunction("""COMPUTED_VALUE"""),45189.6666666667)</f>
        <v>45189.6666666667</v>
      </c>
      <c r="B684" s="2" t="n">
        <f aca="false">IFERROR(__xludf.dummyfunction("""COMPUTED_VALUE"""),138.55)</f>
        <v>138.55</v>
      </c>
      <c r="C684" s="2" t="n">
        <f aca="false">IFERROR(__xludf.dummyfunction("""COMPUTED_VALUE"""),139.37)</f>
        <v>139.37</v>
      </c>
      <c r="D684" s="2" t="n">
        <f aca="false">IFERROR(__xludf.dummyfunction("""COMPUTED_VALUE"""),135.2)</f>
        <v>135.2</v>
      </c>
      <c r="E684" s="2" t="n">
        <f aca="false">IFERROR(__xludf.dummyfunction("""COMPUTED_VALUE"""),135.29)</f>
        <v>135.29</v>
      </c>
      <c r="F684" s="2" t="n">
        <f aca="false">IFERROR(__xludf.dummyfunction("""COMPUTED_VALUE"""),46263716)</f>
        <v>46263716</v>
      </c>
    </row>
    <row r="685" customFormat="false" ht="15.75" hidden="false" customHeight="false" outlineLevel="0" collapsed="false">
      <c r="A685" s="3" t="n">
        <f aca="false">IFERROR(__xludf.dummyfunction("""COMPUTED_VALUE"""),45190.6666666667)</f>
        <v>45190.6666666667</v>
      </c>
      <c r="B685" s="2" t="n">
        <f aca="false">IFERROR(__xludf.dummyfunction("""COMPUTED_VALUE"""),131.94)</f>
        <v>131.94</v>
      </c>
      <c r="C685" s="2" t="n">
        <f aca="false">IFERROR(__xludf.dummyfunction("""COMPUTED_VALUE"""),132.24)</f>
        <v>132.24</v>
      </c>
      <c r="D685" s="2" t="n">
        <f aca="false">IFERROR(__xludf.dummyfunction("""COMPUTED_VALUE"""),129.31)</f>
        <v>129.31</v>
      </c>
      <c r="E685" s="2" t="n">
        <f aca="false">IFERROR(__xludf.dummyfunction("""COMPUTED_VALUE"""),129.33)</f>
        <v>129.33</v>
      </c>
      <c r="F685" s="2" t="n">
        <f aca="false">IFERROR(__xludf.dummyfunction("""COMPUTED_VALUE"""),70343342)</f>
        <v>70343342</v>
      </c>
    </row>
    <row r="686" customFormat="false" ht="15.75" hidden="false" customHeight="false" outlineLevel="0" collapsed="false">
      <c r="A686" s="3" t="n">
        <f aca="false">IFERROR(__xludf.dummyfunction("""COMPUTED_VALUE"""),45191.6666666667)</f>
        <v>45191.6666666667</v>
      </c>
      <c r="B686" s="2" t="n">
        <f aca="false">IFERROR(__xludf.dummyfunction("""COMPUTED_VALUE"""),131.11)</f>
        <v>131.11</v>
      </c>
      <c r="C686" s="2" t="n">
        <f aca="false">IFERROR(__xludf.dummyfunction("""COMPUTED_VALUE"""),132.03)</f>
        <v>132.03</v>
      </c>
      <c r="D686" s="2" t="n">
        <f aca="false">IFERROR(__xludf.dummyfunction("""COMPUTED_VALUE"""),128.52)</f>
        <v>128.52</v>
      </c>
      <c r="E686" s="2" t="n">
        <f aca="false">IFERROR(__xludf.dummyfunction("""COMPUTED_VALUE"""),129.12)</f>
        <v>129.12</v>
      </c>
      <c r="F686" s="2" t="n">
        <f aca="false">IFERROR(__xludf.dummyfunction("""COMPUTED_VALUE"""),59904348)</f>
        <v>59904348</v>
      </c>
    </row>
    <row r="687" customFormat="false" ht="15.75" hidden="false" customHeight="false" outlineLevel="0" collapsed="false">
      <c r="A687" s="3" t="n">
        <f aca="false">IFERROR(__xludf.dummyfunction("""COMPUTED_VALUE"""),45194.6666666667)</f>
        <v>45194.6666666667</v>
      </c>
      <c r="B687" s="2" t="n">
        <f aca="false">IFERROR(__xludf.dummyfunction("""COMPUTED_VALUE"""),129.36)</f>
        <v>129.36</v>
      </c>
      <c r="C687" s="2" t="n">
        <f aca="false">IFERROR(__xludf.dummyfunction("""COMPUTED_VALUE"""),131.78)</f>
        <v>131.78</v>
      </c>
      <c r="D687" s="2" t="n">
        <f aca="false">IFERROR(__xludf.dummyfunction("""COMPUTED_VALUE"""),128.77)</f>
        <v>128.77</v>
      </c>
      <c r="E687" s="2" t="n">
        <f aca="false">IFERROR(__xludf.dummyfunction("""COMPUTED_VALUE"""),131.27)</f>
        <v>131.27</v>
      </c>
      <c r="F687" s="2" t="n">
        <f aca="false">IFERROR(__xludf.dummyfunction("""COMPUTED_VALUE"""),46017825)</f>
        <v>46017825</v>
      </c>
    </row>
    <row r="688" customFormat="false" ht="15.75" hidden="false" customHeight="false" outlineLevel="0" collapsed="false">
      <c r="A688" s="3" t="n">
        <f aca="false">IFERROR(__xludf.dummyfunction("""COMPUTED_VALUE"""),45195.6666666667)</f>
        <v>45195.6666666667</v>
      </c>
      <c r="B688" s="2" t="n">
        <f aca="false">IFERROR(__xludf.dummyfunction("""COMPUTED_VALUE"""),130.12)</f>
        <v>130.12</v>
      </c>
      <c r="C688" s="2" t="n">
        <f aca="false">IFERROR(__xludf.dummyfunction("""COMPUTED_VALUE"""),130.39)</f>
        <v>130.39</v>
      </c>
      <c r="D688" s="2" t="n">
        <f aca="false">IFERROR(__xludf.dummyfunction("""COMPUTED_VALUE"""),125.28)</f>
        <v>125.28</v>
      </c>
      <c r="E688" s="2" t="n">
        <f aca="false">IFERROR(__xludf.dummyfunction("""COMPUTED_VALUE"""),125.98)</f>
        <v>125.98</v>
      </c>
      <c r="F688" s="2" t="n">
        <f aca="false">IFERROR(__xludf.dummyfunction("""COMPUTED_VALUE"""),73048207)</f>
        <v>73048207</v>
      </c>
    </row>
    <row r="689" customFormat="false" ht="15.75" hidden="false" customHeight="false" outlineLevel="0" collapsed="false">
      <c r="A689" s="3" t="n">
        <f aca="false">IFERROR(__xludf.dummyfunction("""COMPUTED_VALUE"""),45196.6666666667)</f>
        <v>45196.6666666667</v>
      </c>
      <c r="B689" s="2" t="n">
        <f aca="false">IFERROR(__xludf.dummyfunction("""COMPUTED_VALUE"""),125.76)</f>
        <v>125.76</v>
      </c>
      <c r="C689" s="2" t="n">
        <f aca="false">IFERROR(__xludf.dummyfunction("""COMPUTED_VALUE"""),127.48)</f>
        <v>127.48</v>
      </c>
      <c r="D689" s="2" t="n">
        <f aca="false">IFERROR(__xludf.dummyfunction("""COMPUTED_VALUE"""),124.13)</f>
        <v>124.13</v>
      </c>
      <c r="E689" s="2" t="n">
        <f aca="false">IFERROR(__xludf.dummyfunction("""COMPUTED_VALUE"""),125.98)</f>
        <v>125.98</v>
      </c>
      <c r="F689" s="2" t="n">
        <f aca="false">IFERROR(__xludf.dummyfunction("""COMPUTED_VALUE"""),66553449)</f>
        <v>66553449</v>
      </c>
    </row>
    <row r="690" customFormat="false" ht="15.75" hidden="false" customHeight="false" outlineLevel="0" collapsed="false">
      <c r="A690" s="3" t="n">
        <f aca="false">IFERROR(__xludf.dummyfunction("""COMPUTED_VALUE"""),45197.6666666667)</f>
        <v>45197.6666666667</v>
      </c>
      <c r="B690" s="2" t="n">
        <f aca="false">IFERROR(__xludf.dummyfunction("""COMPUTED_VALUE"""),124.04)</f>
        <v>124.04</v>
      </c>
      <c r="C690" s="2" t="n">
        <f aca="false">IFERROR(__xludf.dummyfunction("""COMPUTED_VALUE"""),126.58)</f>
        <v>126.58</v>
      </c>
      <c r="D690" s="2" t="n">
        <f aca="false">IFERROR(__xludf.dummyfunction("""COMPUTED_VALUE"""),123.04)</f>
        <v>123.04</v>
      </c>
      <c r="E690" s="2" t="n">
        <f aca="false">IFERROR(__xludf.dummyfunction("""COMPUTED_VALUE"""),125.98)</f>
        <v>125.98</v>
      </c>
      <c r="F690" s="2" t="n">
        <f aca="false">IFERROR(__xludf.dummyfunction("""COMPUTED_VALUE"""),54554968)</f>
        <v>54554968</v>
      </c>
    </row>
    <row r="691" customFormat="false" ht="15.75" hidden="false" customHeight="false" outlineLevel="0" collapsed="false">
      <c r="A691" s="3" t="n">
        <f aca="false">IFERROR(__xludf.dummyfunction("""COMPUTED_VALUE"""),45198.6666666667)</f>
        <v>45198.6666666667</v>
      </c>
      <c r="B691" s="2" t="n">
        <f aca="false">IFERROR(__xludf.dummyfunction("""COMPUTED_VALUE"""),128.2)</f>
        <v>128.2</v>
      </c>
      <c r="C691" s="2" t="n">
        <f aca="false">IFERROR(__xludf.dummyfunction("""COMPUTED_VALUE"""),129.15)</f>
        <v>129.15</v>
      </c>
      <c r="D691" s="2" t="n">
        <f aca="false">IFERROR(__xludf.dummyfunction("""COMPUTED_VALUE"""),126.32)</f>
        <v>126.32</v>
      </c>
      <c r="E691" s="2" t="n">
        <f aca="false">IFERROR(__xludf.dummyfunction("""COMPUTED_VALUE"""),127.12)</f>
        <v>127.12</v>
      </c>
      <c r="F691" s="2" t="n">
        <f aca="false">IFERROR(__xludf.dummyfunction("""COMPUTED_VALUE"""),62411730)</f>
        <v>62411730</v>
      </c>
    </row>
    <row r="692" customFormat="false" ht="15.75" hidden="false" customHeight="false" outlineLevel="0" collapsed="false">
      <c r="A692" s="3" t="n">
        <f aca="false">IFERROR(__xludf.dummyfunction("""COMPUTED_VALUE"""),45201.6666666667)</f>
        <v>45201.6666666667</v>
      </c>
      <c r="B692" s="2" t="n">
        <f aca="false">IFERROR(__xludf.dummyfunction("""COMPUTED_VALUE"""),127.28)</f>
        <v>127.28</v>
      </c>
      <c r="C692" s="2" t="n">
        <f aca="false">IFERROR(__xludf.dummyfunction("""COMPUTED_VALUE"""),130.47)</f>
        <v>130.47</v>
      </c>
      <c r="D692" s="2" t="n">
        <f aca="false">IFERROR(__xludf.dummyfunction("""COMPUTED_VALUE"""),126.54)</f>
        <v>126.54</v>
      </c>
      <c r="E692" s="2" t="n">
        <f aca="false">IFERROR(__xludf.dummyfunction("""COMPUTED_VALUE"""),129.46)</f>
        <v>129.46</v>
      </c>
      <c r="F692" s="2" t="n">
        <f aca="false">IFERROR(__xludf.dummyfunction("""COMPUTED_VALUE"""),48029744)</f>
        <v>48029744</v>
      </c>
    </row>
    <row r="693" customFormat="false" ht="15.75" hidden="false" customHeight="false" outlineLevel="0" collapsed="false">
      <c r="A693" s="3" t="n">
        <f aca="false">IFERROR(__xludf.dummyfunction("""COMPUTED_VALUE"""),45202.6666666667)</f>
        <v>45202.6666666667</v>
      </c>
      <c r="B693" s="2" t="n">
        <f aca="false">IFERROR(__xludf.dummyfunction("""COMPUTED_VALUE"""),128.06)</f>
        <v>128.06</v>
      </c>
      <c r="C693" s="2" t="n">
        <f aca="false">IFERROR(__xludf.dummyfunction("""COMPUTED_VALUE"""),128.52)</f>
        <v>128.52</v>
      </c>
      <c r="D693" s="2" t="n">
        <f aca="false">IFERROR(__xludf.dummyfunction("""COMPUTED_VALUE"""),124.25)</f>
        <v>124.25</v>
      </c>
      <c r="E693" s="2" t="n">
        <f aca="false">IFERROR(__xludf.dummyfunction("""COMPUTED_VALUE"""),124.72)</f>
        <v>124.72</v>
      </c>
      <c r="F693" s="2" t="n">
        <f aca="false">IFERROR(__xludf.dummyfunction("""COMPUTED_VALUE"""),51564991)</f>
        <v>51564991</v>
      </c>
    </row>
    <row r="694" customFormat="false" ht="15.75" hidden="false" customHeight="false" outlineLevel="0" collapsed="false">
      <c r="A694" s="3" t="n">
        <f aca="false">IFERROR(__xludf.dummyfunction("""COMPUTED_VALUE"""),45203.6666666667)</f>
        <v>45203.6666666667</v>
      </c>
      <c r="B694" s="2" t="n">
        <f aca="false">IFERROR(__xludf.dummyfunction("""COMPUTED_VALUE"""),126.06)</f>
        <v>126.06</v>
      </c>
      <c r="C694" s="2" t="n">
        <f aca="false">IFERROR(__xludf.dummyfunction("""COMPUTED_VALUE"""),127.36)</f>
        <v>127.36</v>
      </c>
      <c r="D694" s="2" t="n">
        <f aca="false">IFERROR(__xludf.dummyfunction("""COMPUTED_VALUE"""),125.68)</f>
        <v>125.68</v>
      </c>
      <c r="E694" s="2" t="n">
        <f aca="false">IFERROR(__xludf.dummyfunction("""COMPUTED_VALUE"""),127)</f>
        <v>127</v>
      </c>
      <c r="F694" s="2" t="n">
        <f aca="false">IFERROR(__xludf.dummyfunction("""COMPUTED_VALUE"""),44203870)</f>
        <v>44203870</v>
      </c>
    </row>
    <row r="695" customFormat="false" ht="15.75" hidden="false" customHeight="false" outlineLevel="0" collapsed="false">
      <c r="A695" s="3" t="n">
        <f aca="false">IFERROR(__xludf.dummyfunction("""COMPUTED_VALUE"""),45204.6666666667)</f>
        <v>45204.6666666667</v>
      </c>
      <c r="B695" s="2" t="n">
        <f aca="false">IFERROR(__xludf.dummyfunction("""COMPUTED_VALUE"""),126.71)</f>
        <v>126.71</v>
      </c>
      <c r="C695" s="2" t="n">
        <f aca="false">IFERROR(__xludf.dummyfunction("""COMPUTED_VALUE"""),126.73)</f>
        <v>126.73</v>
      </c>
      <c r="D695" s="2" t="n">
        <f aca="false">IFERROR(__xludf.dummyfunction("""COMPUTED_VALUE"""),124.33)</f>
        <v>124.33</v>
      </c>
      <c r="E695" s="2" t="n">
        <f aca="false">IFERROR(__xludf.dummyfunction("""COMPUTED_VALUE"""),125.96)</f>
        <v>125.96</v>
      </c>
      <c r="F695" s="2" t="n">
        <f aca="false">IFERROR(__xludf.dummyfunction("""COMPUTED_VALUE"""),39660643)</f>
        <v>39660643</v>
      </c>
    </row>
    <row r="696" customFormat="false" ht="15.75" hidden="false" customHeight="false" outlineLevel="0" collapsed="false">
      <c r="A696" s="3" t="n">
        <f aca="false">IFERROR(__xludf.dummyfunction("""COMPUTED_VALUE"""),45205.6666666667)</f>
        <v>45205.6666666667</v>
      </c>
      <c r="B696" s="2" t="n">
        <f aca="false">IFERROR(__xludf.dummyfunction("""COMPUTED_VALUE"""),124.16)</f>
        <v>124.16</v>
      </c>
      <c r="C696" s="2" t="n">
        <f aca="false">IFERROR(__xludf.dummyfunction("""COMPUTED_VALUE"""),128.45)</f>
        <v>128.45</v>
      </c>
      <c r="D696" s="2" t="n">
        <f aca="false">IFERROR(__xludf.dummyfunction("""COMPUTED_VALUE"""),124.13)</f>
        <v>124.13</v>
      </c>
      <c r="E696" s="2" t="n">
        <f aca="false">IFERROR(__xludf.dummyfunction("""COMPUTED_VALUE"""),127.96)</f>
        <v>127.96</v>
      </c>
      <c r="F696" s="2" t="n">
        <f aca="false">IFERROR(__xludf.dummyfunction("""COMPUTED_VALUE"""),46836698)</f>
        <v>46836698</v>
      </c>
    </row>
    <row r="697" customFormat="false" ht="15.75" hidden="false" customHeight="false" outlineLevel="0" collapsed="false">
      <c r="A697" s="3" t="n">
        <f aca="false">IFERROR(__xludf.dummyfunction("""COMPUTED_VALUE"""),45208.6666666667)</f>
        <v>45208.6666666667</v>
      </c>
      <c r="B697" s="2" t="n">
        <f aca="false">IFERROR(__xludf.dummyfunction("""COMPUTED_VALUE"""),126.22)</f>
        <v>126.22</v>
      </c>
      <c r="C697" s="2" t="n">
        <f aca="false">IFERROR(__xludf.dummyfunction("""COMPUTED_VALUE"""),128.79)</f>
        <v>128.79</v>
      </c>
      <c r="D697" s="2" t="n">
        <f aca="false">IFERROR(__xludf.dummyfunction("""COMPUTED_VALUE"""),124.76)</f>
        <v>124.76</v>
      </c>
      <c r="E697" s="2" t="n">
        <f aca="false">IFERROR(__xludf.dummyfunction("""COMPUTED_VALUE"""),128.26)</f>
        <v>128.26</v>
      </c>
      <c r="F697" s="2" t="n">
        <f aca="false">IFERROR(__xludf.dummyfunction("""COMPUTED_VALUE"""),38773738)</f>
        <v>38773738</v>
      </c>
    </row>
    <row r="698" customFormat="false" ht="15.75" hidden="false" customHeight="false" outlineLevel="0" collapsed="false">
      <c r="A698" s="3" t="n">
        <f aca="false">IFERROR(__xludf.dummyfunction("""COMPUTED_VALUE"""),45209.6666666667)</f>
        <v>45209.6666666667</v>
      </c>
      <c r="B698" s="2" t="n">
        <f aca="false">IFERROR(__xludf.dummyfunction("""COMPUTED_VALUE"""),128.82)</f>
        <v>128.82</v>
      </c>
      <c r="C698" s="2" t="n">
        <f aca="false">IFERROR(__xludf.dummyfunction("""COMPUTED_VALUE"""),130.74)</f>
        <v>130.74</v>
      </c>
      <c r="D698" s="2" t="n">
        <f aca="false">IFERROR(__xludf.dummyfunction("""COMPUTED_VALUE"""),128.05)</f>
        <v>128.05</v>
      </c>
      <c r="E698" s="2" t="n">
        <f aca="false">IFERROR(__xludf.dummyfunction("""COMPUTED_VALUE"""),129.48)</f>
        <v>129.48</v>
      </c>
      <c r="F698" s="2" t="n">
        <f aca="false">IFERROR(__xludf.dummyfunction("""COMPUTED_VALUE"""),42178619)</f>
        <v>42178619</v>
      </c>
    </row>
    <row r="699" customFormat="false" ht="15.75" hidden="false" customHeight="false" outlineLevel="0" collapsed="false">
      <c r="A699" s="3" t="n">
        <f aca="false">IFERROR(__xludf.dummyfunction("""COMPUTED_VALUE"""),45210.6666666667)</f>
        <v>45210.6666666667</v>
      </c>
      <c r="B699" s="2" t="n">
        <f aca="false">IFERROR(__xludf.dummyfunction("""COMPUTED_VALUE"""),129.74)</f>
        <v>129.74</v>
      </c>
      <c r="C699" s="2" t="n">
        <f aca="false">IFERROR(__xludf.dummyfunction("""COMPUTED_VALUE"""),132.05)</f>
        <v>132.05</v>
      </c>
      <c r="D699" s="2" t="n">
        <f aca="false">IFERROR(__xludf.dummyfunction("""COMPUTED_VALUE"""),129.61)</f>
        <v>129.61</v>
      </c>
      <c r="E699" s="2" t="n">
        <f aca="false">IFERROR(__xludf.dummyfunction("""COMPUTED_VALUE"""),131.83)</f>
        <v>131.83</v>
      </c>
      <c r="F699" s="2" t="n">
        <f aca="false">IFERROR(__xludf.dummyfunction("""COMPUTED_VALUE"""),40741842)</f>
        <v>40741842</v>
      </c>
    </row>
    <row r="700" customFormat="false" ht="15.75" hidden="false" customHeight="false" outlineLevel="0" collapsed="false">
      <c r="A700" s="3" t="n">
        <f aca="false">IFERROR(__xludf.dummyfunction("""COMPUTED_VALUE"""),45211.6666666667)</f>
        <v>45211.6666666667</v>
      </c>
      <c r="B700" s="2" t="n">
        <f aca="false">IFERROR(__xludf.dummyfunction("""COMPUTED_VALUE"""),132.17)</f>
        <v>132.17</v>
      </c>
      <c r="C700" s="2" t="n">
        <f aca="false">IFERROR(__xludf.dummyfunction("""COMPUTED_VALUE"""),134.48)</f>
        <v>134.48</v>
      </c>
      <c r="D700" s="2" t="n">
        <f aca="false">IFERROR(__xludf.dummyfunction("""COMPUTED_VALUE"""),131.23)</f>
        <v>131.23</v>
      </c>
      <c r="E700" s="2" t="n">
        <f aca="false">IFERROR(__xludf.dummyfunction("""COMPUTED_VALUE"""),132.33)</f>
        <v>132.33</v>
      </c>
      <c r="F700" s="2" t="n">
        <f aca="false">IFERROR(__xludf.dummyfunction("""COMPUTED_VALUE"""),55528581)</f>
        <v>55528581</v>
      </c>
    </row>
    <row r="701" customFormat="false" ht="15.75" hidden="false" customHeight="false" outlineLevel="0" collapsed="false">
      <c r="A701" s="3" t="n">
        <f aca="false">IFERROR(__xludf.dummyfunction("""COMPUTED_VALUE"""),45212.6666666667)</f>
        <v>45212.6666666667</v>
      </c>
      <c r="B701" s="2" t="n">
        <f aca="false">IFERROR(__xludf.dummyfunction("""COMPUTED_VALUE"""),132.98)</f>
        <v>132.98</v>
      </c>
      <c r="C701" s="2" t="n">
        <f aca="false">IFERROR(__xludf.dummyfunction("""COMPUTED_VALUE"""),133.31)</f>
        <v>133.31</v>
      </c>
      <c r="D701" s="2" t="n">
        <f aca="false">IFERROR(__xludf.dummyfunction("""COMPUTED_VALUE"""),128.95)</f>
        <v>128.95</v>
      </c>
      <c r="E701" s="2" t="n">
        <f aca="false">IFERROR(__xludf.dummyfunction("""COMPUTED_VALUE"""),129.79)</f>
        <v>129.79</v>
      </c>
      <c r="F701" s="2" t="n">
        <f aca="false">IFERROR(__xludf.dummyfunction("""COMPUTED_VALUE"""),45824685)</f>
        <v>45824685</v>
      </c>
    </row>
    <row r="702" customFormat="false" ht="15.75" hidden="false" customHeight="false" outlineLevel="0" collapsed="false">
      <c r="A702" s="3" t="n">
        <f aca="false">IFERROR(__xludf.dummyfunction("""COMPUTED_VALUE"""),45215.6666666667)</f>
        <v>45215.6666666667</v>
      </c>
      <c r="B702" s="2" t="n">
        <f aca="false">IFERROR(__xludf.dummyfunction("""COMPUTED_VALUE"""),130.69)</f>
        <v>130.69</v>
      </c>
      <c r="C702" s="2" t="n">
        <f aca="false">IFERROR(__xludf.dummyfunction("""COMPUTED_VALUE"""),133.07)</f>
        <v>133.07</v>
      </c>
      <c r="D702" s="2" t="n">
        <f aca="false">IFERROR(__xludf.dummyfunction("""COMPUTED_VALUE"""),130.43)</f>
        <v>130.43</v>
      </c>
      <c r="E702" s="2" t="n">
        <f aca="false">IFERROR(__xludf.dummyfunction("""COMPUTED_VALUE"""),132.55)</f>
        <v>132.55</v>
      </c>
      <c r="F702" s="2" t="n">
        <f aca="false">IFERROR(__xludf.dummyfunction("""COMPUTED_VALUE"""),42832918)</f>
        <v>42832918</v>
      </c>
    </row>
    <row r="703" customFormat="false" ht="15.75" hidden="false" customHeight="false" outlineLevel="0" collapsed="false">
      <c r="A703" s="3" t="n">
        <f aca="false">IFERROR(__xludf.dummyfunction("""COMPUTED_VALUE"""),45216.6666666667)</f>
        <v>45216.6666666667</v>
      </c>
      <c r="B703" s="2" t="n">
        <f aca="false">IFERROR(__xludf.dummyfunction("""COMPUTED_VALUE"""),130.39)</f>
        <v>130.39</v>
      </c>
      <c r="C703" s="2" t="n">
        <f aca="false">IFERROR(__xludf.dummyfunction("""COMPUTED_VALUE"""),132.58)</f>
        <v>132.58</v>
      </c>
      <c r="D703" s="2" t="n">
        <f aca="false">IFERROR(__xludf.dummyfunction("""COMPUTED_VALUE"""),128.71)</f>
        <v>128.71</v>
      </c>
      <c r="E703" s="2" t="n">
        <f aca="false">IFERROR(__xludf.dummyfunction("""COMPUTED_VALUE"""),131.47)</f>
        <v>131.47</v>
      </c>
      <c r="F703" s="2" t="n">
        <f aca="false">IFERROR(__xludf.dummyfunction("""COMPUTED_VALUE"""),49344550)</f>
        <v>49344550</v>
      </c>
    </row>
    <row r="704" customFormat="false" ht="15.75" hidden="false" customHeight="false" outlineLevel="0" collapsed="false">
      <c r="A704" s="3" t="n">
        <f aca="false">IFERROR(__xludf.dummyfunction("""COMPUTED_VALUE"""),45217.6666666667)</f>
        <v>45217.6666666667</v>
      </c>
      <c r="B704" s="2" t="n">
        <f aca="false">IFERROR(__xludf.dummyfunction("""COMPUTED_VALUE"""),129.9)</f>
        <v>129.9</v>
      </c>
      <c r="C704" s="2" t="n">
        <f aca="false">IFERROR(__xludf.dummyfunction("""COMPUTED_VALUE"""),130.67)</f>
        <v>130.67</v>
      </c>
      <c r="D704" s="2" t="n">
        <f aca="false">IFERROR(__xludf.dummyfunction("""COMPUTED_VALUE"""),127.51)</f>
        <v>127.51</v>
      </c>
      <c r="E704" s="2" t="n">
        <f aca="false">IFERROR(__xludf.dummyfunction("""COMPUTED_VALUE"""),128.13)</f>
        <v>128.13</v>
      </c>
      <c r="F704" s="2" t="n">
        <f aca="false">IFERROR(__xludf.dummyfunction("""COMPUTED_VALUE"""),42699479)</f>
        <v>42699479</v>
      </c>
    </row>
    <row r="705" customFormat="false" ht="15.75" hidden="false" customHeight="false" outlineLevel="0" collapsed="false">
      <c r="A705" s="3" t="n">
        <f aca="false">IFERROR(__xludf.dummyfunction("""COMPUTED_VALUE"""),45218.6666666667)</f>
        <v>45218.6666666667</v>
      </c>
      <c r="B705" s="2" t="n">
        <f aca="false">IFERROR(__xludf.dummyfunction("""COMPUTED_VALUE"""),130.57)</f>
        <v>130.57</v>
      </c>
      <c r="C705" s="2" t="n">
        <f aca="false">IFERROR(__xludf.dummyfunction("""COMPUTED_VALUE"""),132.24)</f>
        <v>132.24</v>
      </c>
      <c r="D705" s="2" t="n">
        <f aca="false">IFERROR(__xludf.dummyfunction("""COMPUTED_VALUE"""),127.47)</f>
        <v>127.47</v>
      </c>
      <c r="E705" s="2" t="n">
        <f aca="false">IFERROR(__xludf.dummyfunction("""COMPUTED_VALUE"""),128.4)</f>
        <v>128.4</v>
      </c>
      <c r="F705" s="2" t="n">
        <f aca="false">IFERROR(__xludf.dummyfunction("""COMPUTED_VALUE"""),60961355)</f>
        <v>60961355</v>
      </c>
    </row>
    <row r="706" customFormat="false" ht="15.75" hidden="false" customHeight="false" outlineLevel="0" collapsed="false">
      <c r="A706" s="3" t="n">
        <f aca="false">IFERROR(__xludf.dummyfunction("""COMPUTED_VALUE"""),45219.6666666667)</f>
        <v>45219.6666666667</v>
      </c>
      <c r="B706" s="2" t="n">
        <f aca="false">IFERROR(__xludf.dummyfunction("""COMPUTED_VALUE"""),128.05)</f>
        <v>128.05</v>
      </c>
      <c r="C706" s="2" t="n">
        <f aca="false">IFERROR(__xludf.dummyfunction("""COMPUTED_VALUE"""),128.17)</f>
        <v>128.17</v>
      </c>
      <c r="D706" s="2" t="n">
        <f aca="false">IFERROR(__xludf.dummyfunction("""COMPUTED_VALUE"""),124.97)</f>
        <v>124.97</v>
      </c>
      <c r="E706" s="2" t="n">
        <f aca="false">IFERROR(__xludf.dummyfunction("""COMPUTED_VALUE"""),125.17)</f>
        <v>125.17</v>
      </c>
      <c r="F706" s="2" t="n">
        <f aca="false">IFERROR(__xludf.dummyfunction("""COMPUTED_VALUE"""),56406410)</f>
        <v>56406410</v>
      </c>
    </row>
    <row r="707" customFormat="false" ht="15.75" hidden="false" customHeight="false" outlineLevel="0" collapsed="false">
      <c r="A707" s="3" t="n">
        <f aca="false">IFERROR(__xludf.dummyfunction("""COMPUTED_VALUE"""),45222.6666666667)</f>
        <v>45222.6666666667</v>
      </c>
      <c r="B707" s="2" t="n">
        <f aca="false">IFERROR(__xludf.dummyfunction("""COMPUTED_VALUE"""),124.63)</f>
        <v>124.63</v>
      </c>
      <c r="C707" s="2" t="n">
        <f aca="false">IFERROR(__xludf.dummyfunction("""COMPUTED_VALUE"""),127.88)</f>
        <v>127.88</v>
      </c>
      <c r="D707" s="2" t="n">
        <f aca="false">IFERROR(__xludf.dummyfunction("""COMPUTED_VALUE"""),123.98)</f>
        <v>123.98</v>
      </c>
      <c r="E707" s="2" t="n">
        <f aca="false">IFERROR(__xludf.dummyfunction("""COMPUTED_VALUE"""),126.56)</f>
        <v>126.56</v>
      </c>
      <c r="F707" s="2" t="n">
        <f aca="false">IFERROR(__xludf.dummyfunction("""COMPUTED_VALUE"""),48259953)</f>
        <v>48259953</v>
      </c>
    </row>
    <row r="708" customFormat="false" ht="15.75" hidden="false" customHeight="false" outlineLevel="0" collapsed="false">
      <c r="A708" s="3" t="n">
        <f aca="false">IFERROR(__xludf.dummyfunction("""COMPUTED_VALUE"""),45223.6666666667)</f>
        <v>45223.6666666667</v>
      </c>
      <c r="B708" s="2" t="n">
        <f aca="false">IFERROR(__xludf.dummyfunction("""COMPUTED_VALUE"""),127.74)</f>
        <v>127.74</v>
      </c>
      <c r="C708" s="2" t="n">
        <f aca="false">IFERROR(__xludf.dummyfunction("""COMPUTED_VALUE"""),128.8)</f>
        <v>128.8</v>
      </c>
      <c r="D708" s="2" t="n">
        <f aca="false">IFERROR(__xludf.dummyfunction("""COMPUTED_VALUE"""),126.34)</f>
        <v>126.34</v>
      </c>
      <c r="E708" s="2" t="n">
        <f aca="false">IFERROR(__xludf.dummyfunction("""COMPUTED_VALUE"""),128.56)</f>
        <v>128.56</v>
      </c>
      <c r="F708" s="2" t="n">
        <f aca="false">IFERROR(__xludf.dummyfunction("""COMPUTED_VALUE"""),46477355)</f>
        <v>46477355</v>
      </c>
    </row>
    <row r="709" customFormat="false" ht="15.75" hidden="false" customHeight="false" outlineLevel="0" collapsed="false">
      <c r="A709" s="3" t="n">
        <f aca="false">IFERROR(__xludf.dummyfunction("""COMPUTED_VALUE"""),45224.6666666667)</f>
        <v>45224.6666666667</v>
      </c>
      <c r="B709" s="2" t="n">
        <f aca="false">IFERROR(__xludf.dummyfunction("""COMPUTED_VALUE"""),126.04)</f>
        <v>126.04</v>
      </c>
      <c r="C709" s="2" t="n">
        <f aca="false">IFERROR(__xludf.dummyfunction("""COMPUTED_VALUE"""),126.34)</f>
        <v>126.34</v>
      </c>
      <c r="D709" s="2" t="n">
        <f aca="false">IFERROR(__xludf.dummyfunction("""COMPUTED_VALUE"""),120.79)</f>
        <v>120.79</v>
      </c>
      <c r="E709" s="2" t="n">
        <f aca="false">IFERROR(__xludf.dummyfunction("""COMPUTED_VALUE"""),121.39)</f>
        <v>121.39</v>
      </c>
      <c r="F709" s="2" t="n">
        <f aca="false">IFERROR(__xludf.dummyfunction("""COMPUTED_VALUE"""),74577544)</f>
        <v>74577544</v>
      </c>
    </row>
    <row r="710" customFormat="false" ht="15.75" hidden="false" customHeight="false" outlineLevel="0" collapsed="false">
      <c r="A710" s="3" t="n">
        <f aca="false">IFERROR(__xludf.dummyfunction("""COMPUTED_VALUE"""),45225.6666666667)</f>
        <v>45225.6666666667</v>
      </c>
      <c r="B710" s="2" t="n">
        <f aca="false">IFERROR(__xludf.dummyfunction("""COMPUTED_VALUE"""),120.63)</f>
        <v>120.63</v>
      </c>
      <c r="C710" s="2" t="n">
        <f aca="false">IFERROR(__xludf.dummyfunction("""COMPUTED_VALUE"""),121.64)</f>
        <v>121.64</v>
      </c>
      <c r="D710" s="2" t="n">
        <f aca="false">IFERROR(__xludf.dummyfunction("""COMPUTED_VALUE"""),118.35)</f>
        <v>118.35</v>
      </c>
      <c r="E710" s="2" t="n">
        <f aca="false">IFERROR(__xludf.dummyfunction("""COMPUTED_VALUE"""),119.57)</f>
        <v>119.57</v>
      </c>
      <c r="F710" s="2" t="n">
        <f aca="false">IFERROR(__xludf.dummyfunction("""COMPUTED_VALUE"""),100419516)</f>
        <v>100419516</v>
      </c>
    </row>
    <row r="711" customFormat="false" ht="15.75" hidden="false" customHeight="false" outlineLevel="0" collapsed="false">
      <c r="A711" s="3" t="n">
        <f aca="false">IFERROR(__xludf.dummyfunction("""COMPUTED_VALUE"""),45226.6666666667)</f>
        <v>45226.6666666667</v>
      </c>
      <c r="B711" s="2" t="n">
        <f aca="false">IFERROR(__xludf.dummyfunction("""COMPUTED_VALUE"""),126.2)</f>
        <v>126.2</v>
      </c>
      <c r="C711" s="2" t="n">
        <f aca="false">IFERROR(__xludf.dummyfunction("""COMPUTED_VALUE"""),130.02)</f>
        <v>130.02</v>
      </c>
      <c r="D711" s="2" t="n">
        <f aca="false">IFERROR(__xludf.dummyfunction("""COMPUTED_VALUE"""),125.52)</f>
        <v>125.52</v>
      </c>
      <c r="E711" s="2" t="n">
        <f aca="false">IFERROR(__xludf.dummyfunction("""COMPUTED_VALUE"""),127.74)</f>
        <v>127.74</v>
      </c>
      <c r="F711" s="2" t="n">
        <f aca="false">IFERROR(__xludf.dummyfunction("""COMPUTED_VALUE"""),125309313)</f>
        <v>125309313</v>
      </c>
    </row>
    <row r="712" customFormat="false" ht="15.75" hidden="false" customHeight="false" outlineLevel="0" collapsed="false">
      <c r="A712" s="3" t="n">
        <f aca="false">IFERROR(__xludf.dummyfunction("""COMPUTED_VALUE"""),45229.6666666667)</f>
        <v>45229.6666666667</v>
      </c>
      <c r="B712" s="2" t="n">
        <f aca="false">IFERROR(__xludf.dummyfunction("""COMPUTED_VALUE"""),129.72)</f>
        <v>129.72</v>
      </c>
      <c r="C712" s="2" t="n">
        <f aca="false">IFERROR(__xludf.dummyfunction("""COMPUTED_VALUE"""),133)</f>
        <v>133</v>
      </c>
      <c r="D712" s="2" t="n">
        <f aca="false">IFERROR(__xludf.dummyfunction("""COMPUTED_VALUE"""),128.56)</f>
        <v>128.56</v>
      </c>
      <c r="E712" s="2" t="n">
        <f aca="false">IFERROR(__xludf.dummyfunction("""COMPUTED_VALUE"""),132.71)</f>
        <v>132.71</v>
      </c>
      <c r="F712" s="2" t="n">
        <f aca="false">IFERROR(__xludf.dummyfunction("""COMPUTED_VALUE"""),72485542)</f>
        <v>72485542</v>
      </c>
    </row>
    <row r="713" customFormat="false" ht="15.75" hidden="false" customHeight="false" outlineLevel="0" collapsed="false">
      <c r="A713" s="3" t="n">
        <f aca="false">IFERROR(__xludf.dummyfunction("""COMPUTED_VALUE"""),45230.6666666667)</f>
        <v>45230.6666666667</v>
      </c>
      <c r="B713" s="2" t="n">
        <f aca="false">IFERROR(__xludf.dummyfunction("""COMPUTED_VALUE"""),132.75)</f>
        <v>132.75</v>
      </c>
      <c r="C713" s="2" t="n">
        <f aca="false">IFERROR(__xludf.dummyfunction("""COMPUTED_VALUE"""),133.57)</f>
        <v>133.57</v>
      </c>
      <c r="D713" s="2" t="n">
        <f aca="false">IFERROR(__xludf.dummyfunction("""COMPUTED_VALUE"""),131.71)</f>
        <v>131.71</v>
      </c>
      <c r="E713" s="2" t="n">
        <f aca="false">IFERROR(__xludf.dummyfunction("""COMPUTED_VALUE"""),133.09)</f>
        <v>133.09</v>
      </c>
      <c r="F713" s="2" t="n">
        <f aca="false">IFERROR(__xludf.dummyfunction("""COMPUTED_VALUE"""),51589380)</f>
        <v>51589380</v>
      </c>
    </row>
    <row r="714" customFormat="false" ht="15.75" hidden="false" customHeight="false" outlineLevel="0" collapsed="false">
      <c r="A714" s="3" t="n">
        <f aca="false">IFERROR(__xludf.dummyfunction("""COMPUTED_VALUE"""),45231.6666666667)</f>
        <v>45231.6666666667</v>
      </c>
      <c r="B714" s="2" t="n">
        <f aca="false">IFERROR(__xludf.dummyfunction("""COMPUTED_VALUE"""),133.96)</f>
        <v>133.96</v>
      </c>
      <c r="C714" s="2" t="n">
        <f aca="false">IFERROR(__xludf.dummyfunction("""COMPUTED_VALUE"""),137.35)</f>
        <v>137.35</v>
      </c>
      <c r="D714" s="2" t="n">
        <f aca="false">IFERROR(__xludf.dummyfunction("""COMPUTED_VALUE"""),133.71)</f>
        <v>133.71</v>
      </c>
      <c r="E714" s="2" t="n">
        <f aca="false">IFERROR(__xludf.dummyfunction("""COMPUTED_VALUE"""),137)</f>
        <v>137</v>
      </c>
      <c r="F714" s="2" t="n">
        <f aca="false">IFERROR(__xludf.dummyfunction("""COMPUTED_VALUE"""),61529409)</f>
        <v>61529409</v>
      </c>
    </row>
    <row r="715" customFormat="false" ht="15.75" hidden="false" customHeight="false" outlineLevel="0" collapsed="false">
      <c r="A715" s="3" t="n">
        <f aca="false">IFERROR(__xludf.dummyfunction("""COMPUTED_VALUE"""),45232.6666666667)</f>
        <v>45232.6666666667</v>
      </c>
      <c r="B715" s="2" t="n">
        <f aca="false">IFERROR(__xludf.dummyfunction("""COMPUTED_VALUE"""),138.73)</f>
        <v>138.73</v>
      </c>
      <c r="C715" s="2" t="n">
        <f aca="false">IFERROR(__xludf.dummyfunction("""COMPUTED_VALUE"""),138.81)</f>
        <v>138.81</v>
      </c>
      <c r="D715" s="2" t="n">
        <f aca="false">IFERROR(__xludf.dummyfunction("""COMPUTED_VALUE"""),136.47)</f>
        <v>136.47</v>
      </c>
      <c r="E715" s="2" t="n">
        <f aca="false">IFERROR(__xludf.dummyfunction("""COMPUTED_VALUE"""),138.07)</f>
        <v>138.07</v>
      </c>
      <c r="F715" s="2" t="n">
        <f aca="false">IFERROR(__xludf.dummyfunction("""COMPUTED_VALUE"""),52236693)</f>
        <v>52236693</v>
      </c>
    </row>
    <row r="716" customFormat="false" ht="15.75" hidden="false" customHeight="false" outlineLevel="0" collapsed="false">
      <c r="A716" s="3" t="n">
        <f aca="false">IFERROR(__xludf.dummyfunction("""COMPUTED_VALUE"""),45233.6666666667)</f>
        <v>45233.6666666667</v>
      </c>
      <c r="B716" s="2" t="n">
        <f aca="false">IFERROR(__xludf.dummyfunction("""COMPUTED_VALUE"""),138.99)</f>
        <v>138.99</v>
      </c>
      <c r="C716" s="2" t="n">
        <f aca="false">IFERROR(__xludf.dummyfunction("""COMPUTED_VALUE"""),139.49)</f>
        <v>139.49</v>
      </c>
      <c r="D716" s="2" t="n">
        <f aca="false">IFERROR(__xludf.dummyfunction("""COMPUTED_VALUE"""),137.45)</f>
        <v>137.45</v>
      </c>
      <c r="E716" s="2" t="n">
        <f aca="false">IFERROR(__xludf.dummyfunction("""COMPUTED_VALUE"""),138.6)</f>
        <v>138.6</v>
      </c>
      <c r="F716" s="2" t="n">
        <f aca="false">IFERROR(__xludf.dummyfunction("""COMPUTED_VALUE"""),44059805)</f>
        <v>44059805</v>
      </c>
    </row>
    <row r="717" customFormat="false" ht="15.75" hidden="false" customHeight="false" outlineLevel="0" collapsed="false">
      <c r="A717" s="3" t="n">
        <f aca="false">IFERROR(__xludf.dummyfunction("""COMPUTED_VALUE"""),45236.6666666667)</f>
        <v>45236.6666666667</v>
      </c>
      <c r="B717" s="2" t="n">
        <f aca="false">IFERROR(__xludf.dummyfunction("""COMPUTED_VALUE"""),138.76)</f>
        <v>138.76</v>
      </c>
      <c r="C717" s="2" t="n">
        <f aca="false">IFERROR(__xludf.dummyfunction("""COMPUTED_VALUE"""),140.73)</f>
        <v>140.73</v>
      </c>
      <c r="D717" s="2" t="n">
        <f aca="false">IFERROR(__xludf.dummyfunction("""COMPUTED_VALUE"""),138.36)</f>
        <v>138.36</v>
      </c>
      <c r="E717" s="2" t="n">
        <f aca="false">IFERROR(__xludf.dummyfunction("""COMPUTED_VALUE"""),139.74)</f>
        <v>139.74</v>
      </c>
      <c r="F717" s="2" t="n">
        <f aca="false">IFERROR(__xludf.dummyfunction("""COMPUTED_VALUE"""),44970417)</f>
        <v>44970417</v>
      </c>
    </row>
    <row r="718" customFormat="false" ht="15.75" hidden="false" customHeight="false" outlineLevel="0" collapsed="false">
      <c r="A718" s="3" t="n">
        <f aca="false">IFERROR(__xludf.dummyfunction("""COMPUTED_VALUE"""),45237.6666666667)</f>
        <v>45237.6666666667</v>
      </c>
      <c r="B718" s="2" t="n">
        <f aca="false">IFERROR(__xludf.dummyfunction("""COMPUTED_VALUE"""),140.55)</f>
        <v>140.55</v>
      </c>
      <c r="C718" s="2" t="n">
        <f aca="false">IFERROR(__xludf.dummyfunction("""COMPUTED_VALUE"""),143.37)</f>
        <v>143.37</v>
      </c>
      <c r="D718" s="2" t="n">
        <f aca="false">IFERROR(__xludf.dummyfunction("""COMPUTED_VALUE"""),140.5)</f>
        <v>140.5</v>
      </c>
      <c r="E718" s="2" t="n">
        <f aca="false">IFERROR(__xludf.dummyfunction("""COMPUTED_VALUE"""),142.71)</f>
        <v>142.71</v>
      </c>
      <c r="F718" s="2" t="n">
        <f aca="false">IFERROR(__xludf.dummyfunction("""COMPUTED_VALUE"""),53553537)</f>
        <v>53553537</v>
      </c>
    </row>
    <row r="719" customFormat="false" ht="15.75" hidden="false" customHeight="false" outlineLevel="0" collapsed="false">
      <c r="A719" s="3" t="n">
        <f aca="false">IFERROR(__xludf.dummyfunction("""COMPUTED_VALUE"""),45238.6666666667)</f>
        <v>45238.6666666667</v>
      </c>
      <c r="B719" s="2" t="n">
        <f aca="false">IFERROR(__xludf.dummyfunction("""COMPUTED_VALUE"""),142.97)</f>
        <v>142.97</v>
      </c>
      <c r="C719" s="2" t="n">
        <f aca="false">IFERROR(__xludf.dummyfunction("""COMPUTED_VALUE"""),143.12)</f>
        <v>143.12</v>
      </c>
      <c r="D719" s="2" t="n">
        <f aca="false">IFERROR(__xludf.dummyfunction("""COMPUTED_VALUE"""),141.22)</f>
        <v>141.22</v>
      </c>
      <c r="E719" s="2" t="n">
        <f aca="false">IFERROR(__xludf.dummyfunction("""COMPUTED_VALUE"""),142.08)</f>
        <v>142.08</v>
      </c>
      <c r="F719" s="2" t="n">
        <f aca="false">IFERROR(__xludf.dummyfunction("""COMPUTED_VALUE"""),44521658)</f>
        <v>44521658</v>
      </c>
    </row>
    <row r="720" customFormat="false" ht="15.75" hidden="false" customHeight="false" outlineLevel="0" collapsed="false">
      <c r="A720" s="3" t="n">
        <f aca="false">IFERROR(__xludf.dummyfunction("""COMPUTED_VALUE"""),45239.6666666667)</f>
        <v>45239.6666666667</v>
      </c>
      <c r="B720" s="2" t="n">
        <f aca="false">IFERROR(__xludf.dummyfunction("""COMPUTED_VALUE"""),142.02)</f>
        <v>142.02</v>
      </c>
      <c r="C720" s="2" t="n">
        <f aca="false">IFERROR(__xludf.dummyfunction("""COMPUTED_VALUE"""),142.65)</f>
        <v>142.65</v>
      </c>
      <c r="D720" s="2" t="n">
        <f aca="false">IFERROR(__xludf.dummyfunction("""COMPUTED_VALUE"""),139.84)</f>
        <v>139.84</v>
      </c>
      <c r="E720" s="2" t="n">
        <f aca="false">IFERROR(__xludf.dummyfunction("""COMPUTED_VALUE"""),140.6)</f>
        <v>140.6</v>
      </c>
      <c r="F720" s="2" t="n">
        <f aca="false">IFERROR(__xludf.dummyfunction("""COMPUTED_VALUE"""),36235367)</f>
        <v>36235367</v>
      </c>
    </row>
    <row r="721" customFormat="false" ht="15.75" hidden="false" customHeight="false" outlineLevel="0" collapsed="false">
      <c r="A721" s="3" t="n">
        <f aca="false">IFERROR(__xludf.dummyfunction("""COMPUTED_VALUE"""),45240.6666666667)</f>
        <v>45240.6666666667</v>
      </c>
      <c r="B721" s="2" t="n">
        <f aca="false">IFERROR(__xludf.dummyfunction("""COMPUTED_VALUE"""),140.46)</f>
        <v>140.46</v>
      </c>
      <c r="C721" s="2" t="n">
        <f aca="false">IFERROR(__xludf.dummyfunction("""COMPUTED_VALUE"""),143.65)</f>
        <v>143.65</v>
      </c>
      <c r="D721" s="2" t="n">
        <f aca="false">IFERROR(__xludf.dummyfunction("""COMPUTED_VALUE"""),139.91)</f>
        <v>139.91</v>
      </c>
      <c r="E721" s="2" t="n">
        <f aca="false">IFERROR(__xludf.dummyfunction("""COMPUTED_VALUE"""),143.56)</f>
        <v>143.56</v>
      </c>
      <c r="F721" s="2" t="n">
        <f aca="false">IFERROR(__xludf.dummyfunction("""COMPUTED_VALUE"""),49349937)</f>
        <v>49349937</v>
      </c>
    </row>
    <row r="722" customFormat="false" ht="15.75" hidden="false" customHeight="false" outlineLevel="0" collapsed="false">
      <c r="A722" s="3" t="n">
        <f aca="false">IFERROR(__xludf.dummyfunction("""COMPUTED_VALUE"""),45243.6666666667)</f>
        <v>45243.6666666667</v>
      </c>
      <c r="B722" s="2" t="n">
        <f aca="false">IFERROR(__xludf.dummyfunction("""COMPUTED_VALUE"""),142.08)</f>
        <v>142.08</v>
      </c>
      <c r="C722" s="2" t="n">
        <f aca="false">IFERROR(__xludf.dummyfunction("""COMPUTED_VALUE"""),143.23)</f>
        <v>143.23</v>
      </c>
      <c r="D722" s="2" t="n">
        <f aca="false">IFERROR(__xludf.dummyfunction("""COMPUTED_VALUE"""),140.67)</f>
        <v>140.67</v>
      </c>
      <c r="E722" s="2" t="n">
        <f aca="false">IFERROR(__xludf.dummyfunction("""COMPUTED_VALUE"""),142.59)</f>
        <v>142.59</v>
      </c>
      <c r="F722" s="2" t="n">
        <f aca="false">IFERROR(__xludf.dummyfunction("""COMPUTED_VALUE"""),35680570)</f>
        <v>35680570</v>
      </c>
    </row>
    <row r="723" customFormat="false" ht="15.75" hidden="false" customHeight="false" outlineLevel="0" collapsed="false">
      <c r="A723" s="3" t="n">
        <f aca="false">IFERROR(__xludf.dummyfunction("""COMPUTED_VALUE"""),45244.6666666667)</f>
        <v>45244.6666666667</v>
      </c>
      <c r="B723" s="2" t="n">
        <f aca="false">IFERROR(__xludf.dummyfunction("""COMPUTED_VALUE"""),145)</f>
        <v>145</v>
      </c>
      <c r="C723" s="2" t="n">
        <f aca="false">IFERROR(__xludf.dummyfunction("""COMPUTED_VALUE"""),147.26)</f>
        <v>147.26</v>
      </c>
      <c r="D723" s="2" t="n">
        <f aca="false">IFERROR(__xludf.dummyfunction("""COMPUTED_VALUE"""),144.68)</f>
        <v>144.68</v>
      </c>
      <c r="E723" s="2" t="n">
        <f aca="false">IFERROR(__xludf.dummyfunction("""COMPUTED_VALUE"""),145.8)</f>
        <v>145.8</v>
      </c>
      <c r="F723" s="2" t="n">
        <f aca="false">IFERROR(__xludf.dummyfunction("""COMPUTED_VALUE"""),56674551)</f>
        <v>56674551</v>
      </c>
    </row>
    <row r="724" customFormat="false" ht="15.75" hidden="false" customHeight="false" outlineLevel="0" collapsed="false">
      <c r="A724" s="3" t="n">
        <f aca="false">IFERROR(__xludf.dummyfunction("""COMPUTED_VALUE"""),45245.6666666667)</f>
        <v>45245.6666666667</v>
      </c>
      <c r="B724" s="2" t="n">
        <f aca="false">IFERROR(__xludf.dummyfunction("""COMPUTED_VALUE"""),147.06)</f>
        <v>147.06</v>
      </c>
      <c r="C724" s="2" t="n">
        <f aca="false">IFERROR(__xludf.dummyfunction("""COMPUTED_VALUE"""),147.29)</f>
        <v>147.29</v>
      </c>
      <c r="D724" s="2" t="n">
        <f aca="false">IFERROR(__xludf.dummyfunction("""COMPUTED_VALUE"""),142.59)</f>
        <v>142.59</v>
      </c>
      <c r="E724" s="2" t="n">
        <f aca="false">IFERROR(__xludf.dummyfunction("""COMPUTED_VALUE"""),143.2)</f>
        <v>143.2</v>
      </c>
      <c r="F724" s="2" t="n">
        <f aca="false">IFERROR(__xludf.dummyfunction("""COMPUTED_VALUE"""),63875720)</f>
        <v>63875720</v>
      </c>
    </row>
    <row r="725" customFormat="false" ht="15.75" hidden="false" customHeight="false" outlineLevel="0" collapsed="false">
      <c r="A725" s="3" t="n">
        <f aca="false">IFERROR(__xludf.dummyfunction("""COMPUTED_VALUE"""),45246.6666666667)</f>
        <v>45246.6666666667</v>
      </c>
      <c r="B725" s="2" t="n">
        <f aca="false">IFERROR(__xludf.dummyfunction("""COMPUTED_VALUE"""),140.91)</f>
        <v>140.91</v>
      </c>
      <c r="C725" s="2" t="n">
        <f aca="false">IFERROR(__xludf.dummyfunction("""COMPUTED_VALUE"""),143.32)</f>
        <v>143.32</v>
      </c>
      <c r="D725" s="2" t="n">
        <f aca="false">IFERROR(__xludf.dummyfunction("""COMPUTED_VALUE"""),139.52)</f>
        <v>139.52</v>
      </c>
      <c r="E725" s="2" t="n">
        <f aca="false">IFERROR(__xludf.dummyfunction("""COMPUTED_VALUE"""),142.83)</f>
        <v>142.83</v>
      </c>
      <c r="F725" s="2" t="n">
        <f aca="false">IFERROR(__xludf.dummyfunction("""COMPUTED_VALUE"""),49653512)</f>
        <v>49653512</v>
      </c>
    </row>
    <row r="726" customFormat="false" ht="15.75" hidden="false" customHeight="false" outlineLevel="0" collapsed="false">
      <c r="A726" s="3" t="n">
        <f aca="false">IFERROR(__xludf.dummyfunction("""COMPUTED_VALUE"""),45247.6666666667)</f>
        <v>45247.6666666667</v>
      </c>
      <c r="B726" s="2" t="n">
        <f aca="false">IFERROR(__xludf.dummyfunction("""COMPUTED_VALUE"""),142.66)</f>
        <v>142.66</v>
      </c>
      <c r="C726" s="2" t="n">
        <f aca="false">IFERROR(__xludf.dummyfunction("""COMPUTED_VALUE"""),145.23)</f>
        <v>145.23</v>
      </c>
      <c r="D726" s="2" t="n">
        <f aca="false">IFERROR(__xludf.dummyfunction("""COMPUTED_VALUE"""),142.54)</f>
        <v>142.54</v>
      </c>
      <c r="E726" s="2" t="n">
        <f aca="false">IFERROR(__xludf.dummyfunction("""COMPUTED_VALUE"""),145.18)</f>
        <v>145.18</v>
      </c>
      <c r="F726" s="2" t="n">
        <f aca="false">IFERROR(__xludf.dummyfunction("""COMPUTED_VALUE"""),49678437)</f>
        <v>49678437</v>
      </c>
    </row>
    <row r="727" customFormat="false" ht="15.75" hidden="false" customHeight="false" outlineLevel="0" collapsed="false">
      <c r="A727" s="3" t="n">
        <f aca="false">IFERROR(__xludf.dummyfunction("""COMPUTED_VALUE"""),45250.6666666667)</f>
        <v>45250.6666666667</v>
      </c>
      <c r="B727" s="2" t="n">
        <f aca="false">IFERROR(__xludf.dummyfunction("""COMPUTED_VALUE"""),145.13)</f>
        <v>145.13</v>
      </c>
      <c r="C727" s="2" t="n">
        <f aca="false">IFERROR(__xludf.dummyfunction("""COMPUTED_VALUE"""),146.63)</f>
        <v>146.63</v>
      </c>
      <c r="D727" s="2" t="n">
        <f aca="false">IFERROR(__xludf.dummyfunction("""COMPUTED_VALUE"""),144.73)</f>
        <v>144.73</v>
      </c>
      <c r="E727" s="2" t="n">
        <f aca="false">IFERROR(__xludf.dummyfunction("""COMPUTED_VALUE"""),146.13)</f>
        <v>146.13</v>
      </c>
      <c r="F727" s="2" t="n">
        <f aca="false">IFERROR(__xludf.dummyfunction("""COMPUTED_VALUE"""),41978766)</f>
        <v>41978766</v>
      </c>
    </row>
    <row r="728" customFormat="false" ht="15.75" hidden="false" customHeight="false" outlineLevel="0" collapsed="false">
      <c r="A728" s="3" t="n">
        <f aca="false">IFERROR(__xludf.dummyfunction("""COMPUTED_VALUE"""),45251.6666666667)</f>
        <v>45251.6666666667</v>
      </c>
      <c r="B728" s="2" t="n">
        <f aca="false">IFERROR(__xludf.dummyfunction("""COMPUTED_VALUE"""),143.91)</f>
        <v>143.91</v>
      </c>
      <c r="C728" s="2" t="n">
        <f aca="false">IFERROR(__xludf.dummyfunction("""COMPUTED_VALUE"""),144.05)</f>
        <v>144.05</v>
      </c>
      <c r="D728" s="2" t="n">
        <f aca="false">IFERROR(__xludf.dummyfunction("""COMPUTED_VALUE"""),141.5)</f>
        <v>141.5</v>
      </c>
      <c r="E728" s="2" t="n">
        <f aca="false">IFERROR(__xludf.dummyfunction("""COMPUTED_VALUE"""),143.9)</f>
        <v>143.9</v>
      </c>
      <c r="F728" s="2" t="n">
        <f aca="false">IFERROR(__xludf.dummyfunction("""COMPUTED_VALUE"""),71225992)</f>
        <v>71225992</v>
      </c>
    </row>
    <row r="729" customFormat="false" ht="15.75" hidden="false" customHeight="false" outlineLevel="0" collapsed="false">
      <c r="A729" s="3" t="n">
        <f aca="false">IFERROR(__xludf.dummyfunction("""COMPUTED_VALUE"""),45252.6666666667)</f>
        <v>45252.6666666667</v>
      </c>
      <c r="B729" s="2" t="n">
        <f aca="false">IFERROR(__xludf.dummyfunction("""COMPUTED_VALUE"""),144.57)</f>
        <v>144.57</v>
      </c>
      <c r="C729" s="2" t="n">
        <f aca="false">IFERROR(__xludf.dummyfunction("""COMPUTED_VALUE"""),147.74)</f>
        <v>147.74</v>
      </c>
      <c r="D729" s="2" t="n">
        <f aca="false">IFERROR(__xludf.dummyfunction("""COMPUTED_VALUE"""),144.57)</f>
        <v>144.57</v>
      </c>
      <c r="E729" s="2" t="n">
        <f aca="false">IFERROR(__xludf.dummyfunction("""COMPUTED_VALUE"""),146.71)</f>
        <v>146.71</v>
      </c>
      <c r="F729" s="2" t="n">
        <f aca="false">IFERROR(__xludf.dummyfunction("""COMPUTED_VALUE"""),45700002)</f>
        <v>45700002</v>
      </c>
    </row>
    <row r="730" customFormat="false" ht="15.75" hidden="false" customHeight="false" outlineLevel="0" collapsed="false">
      <c r="A730" s="3" t="n">
        <f aca="false">IFERROR(__xludf.dummyfunction("""COMPUTED_VALUE"""),45254.5451388889)</f>
        <v>45254.5451388889</v>
      </c>
      <c r="B730" s="2" t="n">
        <f aca="false">IFERROR(__xludf.dummyfunction("""COMPUTED_VALUE"""),146.7)</f>
        <v>146.7</v>
      </c>
      <c r="C730" s="2" t="n">
        <f aca="false">IFERROR(__xludf.dummyfunction("""COMPUTED_VALUE"""),147.2)</f>
        <v>147.2</v>
      </c>
      <c r="D730" s="2" t="n">
        <f aca="false">IFERROR(__xludf.dummyfunction("""COMPUTED_VALUE"""),145.32)</f>
        <v>145.32</v>
      </c>
      <c r="E730" s="2" t="n">
        <f aca="false">IFERROR(__xludf.dummyfunction("""COMPUTED_VALUE"""),146.74)</f>
        <v>146.74</v>
      </c>
      <c r="F730" s="2" t="n">
        <f aca="false">IFERROR(__xludf.dummyfunction("""COMPUTED_VALUE"""),22378379)</f>
        <v>22378379</v>
      </c>
    </row>
    <row r="731" customFormat="false" ht="15.75" hidden="false" customHeight="false" outlineLevel="0" collapsed="false">
      <c r="A731" s="3" t="n">
        <f aca="false">IFERROR(__xludf.dummyfunction("""COMPUTED_VALUE"""),45257.6666666667)</f>
        <v>45257.6666666667</v>
      </c>
      <c r="B731" s="2" t="n">
        <f aca="false">IFERROR(__xludf.dummyfunction("""COMPUTED_VALUE"""),147.53)</f>
        <v>147.53</v>
      </c>
      <c r="C731" s="2" t="n">
        <f aca="false">IFERROR(__xludf.dummyfunction("""COMPUTED_VALUE"""),149.26)</f>
        <v>149.26</v>
      </c>
      <c r="D731" s="2" t="n">
        <f aca="false">IFERROR(__xludf.dummyfunction("""COMPUTED_VALUE"""),146.88)</f>
        <v>146.88</v>
      </c>
      <c r="E731" s="2" t="n">
        <f aca="false">IFERROR(__xludf.dummyfunction("""COMPUTED_VALUE"""),147.73)</f>
        <v>147.73</v>
      </c>
      <c r="F731" s="2" t="n">
        <f aca="false">IFERROR(__xludf.dummyfunction("""COMPUTED_VALUE"""),53762428)</f>
        <v>53762428</v>
      </c>
    </row>
    <row r="732" customFormat="false" ht="15.75" hidden="false" customHeight="false" outlineLevel="0" collapsed="false">
      <c r="A732" s="3" t="n">
        <f aca="false">IFERROR(__xludf.dummyfunction("""COMPUTED_VALUE"""),45258.6666666667)</f>
        <v>45258.6666666667</v>
      </c>
      <c r="B732" s="2" t="n">
        <f aca="false">IFERROR(__xludf.dummyfunction("""COMPUTED_VALUE"""),146.98)</f>
        <v>146.98</v>
      </c>
      <c r="C732" s="2" t="n">
        <f aca="false">IFERROR(__xludf.dummyfunction("""COMPUTED_VALUE"""),147.6)</f>
        <v>147.6</v>
      </c>
      <c r="D732" s="2" t="n">
        <f aca="false">IFERROR(__xludf.dummyfunction("""COMPUTED_VALUE"""),145.53)</f>
        <v>145.53</v>
      </c>
      <c r="E732" s="2" t="n">
        <f aca="false">IFERROR(__xludf.dummyfunction("""COMPUTED_VALUE"""),147.03)</f>
        <v>147.03</v>
      </c>
      <c r="F732" s="2" t="n">
        <f aca="false">IFERROR(__xludf.dummyfunction("""COMPUTED_VALUE"""),42711682)</f>
        <v>42711682</v>
      </c>
    </row>
    <row r="733" customFormat="false" ht="15.75" hidden="false" customHeight="false" outlineLevel="0" collapsed="false">
      <c r="A733" s="3" t="n">
        <f aca="false">IFERROR(__xludf.dummyfunction("""COMPUTED_VALUE"""),45259.6666666667)</f>
        <v>45259.6666666667</v>
      </c>
      <c r="B733" s="2" t="n">
        <f aca="false">IFERROR(__xludf.dummyfunction("""COMPUTED_VALUE"""),147.85)</f>
        <v>147.85</v>
      </c>
      <c r="C733" s="2" t="n">
        <f aca="false">IFERROR(__xludf.dummyfunction("""COMPUTED_VALUE"""),148.54)</f>
        <v>148.54</v>
      </c>
      <c r="D733" s="2" t="n">
        <f aca="false">IFERROR(__xludf.dummyfunction("""COMPUTED_VALUE"""),145.97)</f>
        <v>145.97</v>
      </c>
      <c r="E733" s="2" t="n">
        <f aca="false">IFERROR(__xludf.dummyfunction("""COMPUTED_VALUE"""),146.32)</f>
        <v>146.32</v>
      </c>
      <c r="F733" s="2" t="n">
        <f aca="false">IFERROR(__xludf.dummyfunction("""COMPUTED_VALUE"""),40610907)</f>
        <v>40610907</v>
      </c>
    </row>
    <row r="734" customFormat="false" ht="15.75" hidden="false" customHeight="false" outlineLevel="0" collapsed="false">
      <c r="A734" s="3" t="n">
        <f aca="false">IFERROR(__xludf.dummyfunction("""COMPUTED_VALUE"""),45260.6666666667)</f>
        <v>45260.6666666667</v>
      </c>
      <c r="B734" s="2" t="n">
        <f aca="false">IFERROR(__xludf.dummyfunction("""COMPUTED_VALUE"""),144.76)</f>
        <v>144.76</v>
      </c>
      <c r="C734" s="2" t="n">
        <f aca="false">IFERROR(__xludf.dummyfunction("""COMPUTED_VALUE"""),146.93)</f>
        <v>146.93</v>
      </c>
      <c r="D734" s="2" t="n">
        <f aca="false">IFERROR(__xludf.dummyfunction("""COMPUTED_VALUE"""),144.33)</f>
        <v>144.33</v>
      </c>
      <c r="E734" s="2" t="n">
        <f aca="false">IFERROR(__xludf.dummyfunction("""COMPUTED_VALUE"""),146.09)</f>
        <v>146.09</v>
      </c>
      <c r="F734" s="2" t="n">
        <f aca="false">IFERROR(__xludf.dummyfunction("""COMPUTED_VALUE"""),65814022)</f>
        <v>65814022</v>
      </c>
    </row>
    <row r="735" customFormat="false" ht="15.75" hidden="false" customHeight="false" outlineLevel="0" collapsed="false">
      <c r="A735" s="3" t="n">
        <f aca="false">IFERROR(__xludf.dummyfunction("""COMPUTED_VALUE"""),45261.6666666667)</f>
        <v>45261.6666666667</v>
      </c>
      <c r="B735" s="2" t="n">
        <f aca="false">IFERROR(__xludf.dummyfunction("""COMPUTED_VALUE"""),146)</f>
        <v>146</v>
      </c>
      <c r="C735" s="2" t="n">
        <f aca="false">IFERROR(__xludf.dummyfunction("""COMPUTED_VALUE"""),147.25)</f>
        <v>147.25</v>
      </c>
      <c r="D735" s="2" t="n">
        <f aca="false">IFERROR(__xludf.dummyfunction("""COMPUTED_VALUE"""),145.55)</f>
        <v>145.55</v>
      </c>
      <c r="E735" s="2" t="n">
        <f aca="false">IFERROR(__xludf.dummyfunction("""COMPUTED_VALUE"""),147.03)</f>
        <v>147.03</v>
      </c>
      <c r="F735" s="2" t="n">
        <f aca="false">IFERROR(__xludf.dummyfunction("""COMPUTED_VALUE"""),39951833)</f>
        <v>39951833</v>
      </c>
    </row>
    <row r="736" customFormat="false" ht="15.75" hidden="false" customHeight="false" outlineLevel="0" collapsed="false">
      <c r="A736" s="3" t="n">
        <f aca="false">IFERROR(__xludf.dummyfunction("""COMPUTED_VALUE"""),45264.6666666667)</f>
        <v>45264.6666666667</v>
      </c>
      <c r="B736" s="2" t="n">
        <f aca="false">IFERROR(__xludf.dummyfunction("""COMPUTED_VALUE"""),145.25)</f>
        <v>145.25</v>
      </c>
      <c r="C736" s="2" t="n">
        <f aca="false">IFERROR(__xludf.dummyfunction("""COMPUTED_VALUE"""),145.35)</f>
        <v>145.35</v>
      </c>
      <c r="D736" s="2" t="n">
        <f aca="false">IFERROR(__xludf.dummyfunction("""COMPUTED_VALUE"""),142.81)</f>
        <v>142.81</v>
      </c>
      <c r="E736" s="2" t="n">
        <f aca="false">IFERROR(__xludf.dummyfunction("""COMPUTED_VALUE"""),144.84)</f>
        <v>144.84</v>
      </c>
      <c r="F736" s="2" t="n">
        <f aca="false">IFERROR(__xludf.dummyfunction("""COMPUTED_VALUE"""),48294244)</f>
        <v>48294244</v>
      </c>
    </row>
    <row r="737" customFormat="false" ht="15.75" hidden="false" customHeight="false" outlineLevel="0" collapsed="false">
      <c r="A737" s="3" t="n">
        <f aca="false">IFERROR(__xludf.dummyfunction("""COMPUTED_VALUE"""),45265.6666666667)</f>
        <v>45265.6666666667</v>
      </c>
      <c r="B737" s="2" t="n">
        <f aca="false">IFERROR(__xludf.dummyfunction("""COMPUTED_VALUE"""),143.55)</f>
        <v>143.55</v>
      </c>
      <c r="C737" s="2" t="n">
        <f aca="false">IFERROR(__xludf.dummyfunction("""COMPUTED_VALUE"""),148.57)</f>
        <v>148.57</v>
      </c>
      <c r="D737" s="2" t="n">
        <f aca="false">IFERROR(__xludf.dummyfunction("""COMPUTED_VALUE"""),143.13)</f>
        <v>143.13</v>
      </c>
      <c r="E737" s="2" t="n">
        <f aca="false">IFERROR(__xludf.dummyfunction("""COMPUTED_VALUE"""),146.88)</f>
        <v>146.88</v>
      </c>
      <c r="F737" s="2" t="n">
        <f aca="false">IFERROR(__xludf.dummyfunction("""COMPUTED_VALUE"""),46822411)</f>
        <v>46822411</v>
      </c>
    </row>
    <row r="738" customFormat="false" ht="15.75" hidden="false" customHeight="false" outlineLevel="0" collapsed="false">
      <c r="A738" s="3" t="n">
        <f aca="false">IFERROR(__xludf.dummyfunction("""COMPUTED_VALUE"""),45266.6666666667)</f>
        <v>45266.6666666667</v>
      </c>
      <c r="B738" s="2" t="n">
        <f aca="false">IFERROR(__xludf.dummyfunction("""COMPUTED_VALUE"""),147.58)</f>
        <v>147.58</v>
      </c>
      <c r="C738" s="2" t="n">
        <f aca="false">IFERROR(__xludf.dummyfunction("""COMPUTED_VALUE"""),147.85)</f>
        <v>147.85</v>
      </c>
      <c r="D738" s="2" t="n">
        <f aca="false">IFERROR(__xludf.dummyfunction("""COMPUTED_VALUE"""),144.28)</f>
        <v>144.28</v>
      </c>
      <c r="E738" s="2" t="n">
        <f aca="false">IFERROR(__xludf.dummyfunction("""COMPUTED_VALUE"""),144.52)</f>
        <v>144.52</v>
      </c>
      <c r="F738" s="2" t="n">
        <f aca="false">IFERROR(__xludf.dummyfunction("""COMPUTED_VALUE"""),39678960)</f>
        <v>39678960</v>
      </c>
    </row>
    <row r="739" customFormat="false" ht="15.75" hidden="false" customHeight="false" outlineLevel="0" collapsed="false">
      <c r="A739" s="3" t="n">
        <f aca="false">IFERROR(__xludf.dummyfunction("""COMPUTED_VALUE"""),45267.6666666667)</f>
        <v>45267.6666666667</v>
      </c>
      <c r="B739" s="2" t="n">
        <f aca="false">IFERROR(__xludf.dummyfunction("""COMPUTED_VALUE"""),146.15)</f>
        <v>146.15</v>
      </c>
      <c r="C739" s="2" t="n">
        <f aca="false">IFERROR(__xludf.dummyfunction("""COMPUTED_VALUE"""),147.92)</f>
        <v>147.92</v>
      </c>
      <c r="D739" s="2" t="n">
        <f aca="false">IFERROR(__xludf.dummyfunction("""COMPUTED_VALUE"""),145.34)</f>
        <v>145.34</v>
      </c>
      <c r="E739" s="2" t="n">
        <f aca="false">IFERROR(__xludf.dummyfunction("""COMPUTED_VALUE"""),146.88)</f>
        <v>146.88</v>
      </c>
      <c r="F739" s="2" t="n">
        <f aca="false">IFERROR(__xludf.dummyfunction("""COMPUTED_VALUE"""),52352830)</f>
        <v>52352830</v>
      </c>
    </row>
    <row r="740" customFormat="false" ht="15.75" hidden="false" customHeight="false" outlineLevel="0" collapsed="false">
      <c r="A740" s="3" t="n">
        <f aca="false">IFERROR(__xludf.dummyfunction("""COMPUTED_VALUE"""),45268.6666666667)</f>
        <v>45268.6666666667</v>
      </c>
      <c r="B740" s="2" t="n">
        <f aca="false">IFERROR(__xludf.dummyfunction("""COMPUTED_VALUE"""),145.48)</f>
        <v>145.48</v>
      </c>
      <c r="C740" s="2" t="n">
        <f aca="false">IFERROR(__xludf.dummyfunction("""COMPUTED_VALUE"""),147.84)</f>
        <v>147.84</v>
      </c>
      <c r="D740" s="2" t="n">
        <f aca="false">IFERROR(__xludf.dummyfunction("""COMPUTED_VALUE"""),145.4)</f>
        <v>145.4</v>
      </c>
      <c r="E740" s="2" t="n">
        <f aca="false">IFERROR(__xludf.dummyfunction("""COMPUTED_VALUE"""),147.42)</f>
        <v>147.42</v>
      </c>
      <c r="F740" s="2" t="n">
        <f aca="false">IFERROR(__xludf.dummyfunction("""COMPUTED_VALUE"""),41905965)</f>
        <v>41905965</v>
      </c>
    </row>
    <row r="741" customFormat="false" ht="15.75" hidden="false" customHeight="false" outlineLevel="0" collapsed="false">
      <c r="A741" s="3" t="n">
        <f aca="false">IFERROR(__xludf.dummyfunction("""COMPUTED_VALUE"""),45271.6666666667)</f>
        <v>45271.6666666667</v>
      </c>
      <c r="B741" s="2" t="n">
        <f aca="false">IFERROR(__xludf.dummyfunction("""COMPUTED_VALUE"""),145.66)</f>
        <v>145.66</v>
      </c>
      <c r="C741" s="2" t="n">
        <f aca="false">IFERROR(__xludf.dummyfunction("""COMPUTED_VALUE"""),146.19)</f>
        <v>146.19</v>
      </c>
      <c r="D741" s="2" t="n">
        <f aca="false">IFERROR(__xludf.dummyfunction("""COMPUTED_VALUE"""),143.64)</f>
        <v>143.64</v>
      </c>
      <c r="E741" s="2" t="n">
        <f aca="false">IFERROR(__xludf.dummyfunction("""COMPUTED_VALUE"""),145.89)</f>
        <v>145.89</v>
      </c>
      <c r="F741" s="2" t="n">
        <f aca="false">IFERROR(__xludf.dummyfunction("""COMPUTED_VALUE"""),50907288)</f>
        <v>50907288</v>
      </c>
    </row>
    <row r="742" customFormat="false" ht="15.75" hidden="false" customHeight="false" outlineLevel="0" collapsed="false">
      <c r="A742" s="3" t="n">
        <f aca="false">IFERROR(__xludf.dummyfunction("""COMPUTED_VALUE"""),45272.6666666667)</f>
        <v>45272.6666666667</v>
      </c>
      <c r="B742" s="2" t="n">
        <f aca="false">IFERROR(__xludf.dummyfunction("""COMPUTED_VALUE"""),145.52)</f>
        <v>145.52</v>
      </c>
      <c r="C742" s="2" t="n">
        <f aca="false">IFERROR(__xludf.dummyfunction("""COMPUTED_VALUE"""),147.5)</f>
        <v>147.5</v>
      </c>
      <c r="D742" s="2" t="n">
        <f aca="false">IFERROR(__xludf.dummyfunction("""COMPUTED_VALUE"""),145.3)</f>
        <v>145.3</v>
      </c>
      <c r="E742" s="2" t="n">
        <f aca="false">IFERROR(__xludf.dummyfunction("""COMPUTED_VALUE"""),147.48)</f>
        <v>147.48</v>
      </c>
      <c r="F742" s="2" t="n">
        <f aca="false">IFERROR(__xludf.dummyfunction("""COMPUTED_VALUE"""),44944264)</f>
        <v>44944264</v>
      </c>
    </row>
    <row r="743" customFormat="false" ht="15.75" hidden="false" customHeight="false" outlineLevel="0" collapsed="false">
      <c r="A743" s="3" t="n">
        <f aca="false">IFERROR(__xludf.dummyfunction("""COMPUTED_VALUE"""),45273.6666666667)</f>
        <v>45273.6666666667</v>
      </c>
      <c r="B743" s="2" t="n">
        <f aca="false">IFERROR(__xludf.dummyfunction("""COMPUTED_VALUE"""),148.12)</f>
        <v>148.12</v>
      </c>
      <c r="C743" s="2" t="n">
        <f aca="false">IFERROR(__xludf.dummyfunction("""COMPUTED_VALUE"""),149.46)</f>
        <v>149.46</v>
      </c>
      <c r="D743" s="2" t="n">
        <f aca="false">IFERROR(__xludf.dummyfunction("""COMPUTED_VALUE"""),146.82)</f>
        <v>146.82</v>
      </c>
      <c r="E743" s="2" t="n">
        <f aca="false">IFERROR(__xludf.dummyfunction("""COMPUTED_VALUE"""),148.84)</f>
        <v>148.84</v>
      </c>
      <c r="F743" s="2" t="n">
        <f aca="false">IFERROR(__xludf.dummyfunction("""COMPUTED_VALUE"""),52766196)</f>
        <v>52766196</v>
      </c>
    </row>
    <row r="744" customFormat="false" ht="15.75" hidden="false" customHeight="false" outlineLevel="0" collapsed="false">
      <c r="A744" s="3" t="n">
        <f aca="false">IFERROR(__xludf.dummyfunction("""COMPUTED_VALUE"""),45274.6666666667)</f>
        <v>45274.6666666667</v>
      </c>
      <c r="B744" s="2" t="n">
        <f aca="false">IFERROR(__xludf.dummyfunction("""COMPUTED_VALUE"""),149.93)</f>
        <v>149.93</v>
      </c>
      <c r="C744" s="2" t="n">
        <f aca="false">IFERROR(__xludf.dummyfunction("""COMPUTED_VALUE"""),150.54)</f>
        <v>150.54</v>
      </c>
      <c r="D744" s="2" t="n">
        <f aca="false">IFERROR(__xludf.dummyfunction("""COMPUTED_VALUE"""),145.52)</f>
        <v>145.52</v>
      </c>
      <c r="E744" s="2" t="n">
        <f aca="false">IFERROR(__xludf.dummyfunction("""COMPUTED_VALUE"""),147.42)</f>
        <v>147.42</v>
      </c>
      <c r="F744" s="2" t="n">
        <f aca="false">IFERROR(__xludf.dummyfunction("""COMPUTED_VALUE"""),58400848)</f>
        <v>58400848</v>
      </c>
    </row>
    <row r="745" customFormat="false" ht="15.75" hidden="false" customHeight="false" outlineLevel="0" collapsed="false">
      <c r="A745" s="3" t="n">
        <f aca="false">IFERROR(__xludf.dummyfunction("""COMPUTED_VALUE"""),45275.6666666667)</f>
        <v>45275.6666666667</v>
      </c>
      <c r="B745" s="2" t="n">
        <f aca="false">IFERROR(__xludf.dummyfunction("""COMPUTED_VALUE"""),148.38)</f>
        <v>148.38</v>
      </c>
      <c r="C745" s="2" t="n">
        <f aca="false">IFERROR(__xludf.dummyfunction("""COMPUTED_VALUE"""),150.57)</f>
        <v>150.57</v>
      </c>
      <c r="D745" s="2" t="n">
        <f aca="false">IFERROR(__xludf.dummyfunction("""COMPUTED_VALUE"""),147.88)</f>
        <v>147.88</v>
      </c>
      <c r="E745" s="2" t="n">
        <f aca="false">IFERROR(__xludf.dummyfunction("""COMPUTED_VALUE"""),149.97)</f>
        <v>149.97</v>
      </c>
      <c r="F745" s="2" t="n">
        <f aca="false">IFERROR(__xludf.dummyfunction("""COMPUTED_VALUE"""),110089342)</f>
        <v>110089342</v>
      </c>
    </row>
    <row r="746" customFormat="false" ht="15.75" hidden="false" customHeight="false" outlineLevel="0" collapsed="false">
      <c r="A746" s="3" t="n">
        <f aca="false">IFERROR(__xludf.dummyfunction("""COMPUTED_VALUE"""),45278.6666666667)</f>
        <v>45278.6666666667</v>
      </c>
      <c r="B746" s="2" t="n">
        <f aca="false">IFERROR(__xludf.dummyfunction("""COMPUTED_VALUE"""),150.56)</f>
        <v>150.56</v>
      </c>
      <c r="C746" s="2" t="n">
        <f aca="false">IFERROR(__xludf.dummyfunction("""COMPUTED_VALUE"""),154.85)</f>
        <v>154.85</v>
      </c>
      <c r="D746" s="2" t="n">
        <f aca="false">IFERROR(__xludf.dummyfunction("""COMPUTED_VALUE"""),150.05)</f>
        <v>150.05</v>
      </c>
      <c r="E746" s="2" t="n">
        <f aca="false">IFERROR(__xludf.dummyfunction("""COMPUTED_VALUE"""),154.07)</f>
        <v>154.07</v>
      </c>
      <c r="F746" s="2" t="n">
        <f aca="false">IFERROR(__xludf.dummyfunction("""COMPUTED_VALUE"""),62512828)</f>
        <v>62512828</v>
      </c>
    </row>
    <row r="747" customFormat="false" ht="15.75" hidden="false" customHeight="false" outlineLevel="0" collapsed="false">
      <c r="A747" s="3" t="n">
        <f aca="false">IFERROR(__xludf.dummyfunction("""COMPUTED_VALUE"""),45279.6666666667)</f>
        <v>45279.6666666667</v>
      </c>
      <c r="B747" s="2" t="n">
        <f aca="false">IFERROR(__xludf.dummyfunction("""COMPUTED_VALUE"""),154.4)</f>
        <v>154.4</v>
      </c>
      <c r="C747" s="2" t="n">
        <f aca="false">IFERROR(__xludf.dummyfunction("""COMPUTED_VALUE"""),155.12)</f>
        <v>155.12</v>
      </c>
      <c r="D747" s="2" t="n">
        <f aca="false">IFERROR(__xludf.dummyfunction("""COMPUTED_VALUE"""),152.69)</f>
        <v>152.69</v>
      </c>
      <c r="E747" s="2" t="n">
        <f aca="false">IFERROR(__xludf.dummyfunction("""COMPUTED_VALUE"""),153.79)</f>
        <v>153.79</v>
      </c>
      <c r="F747" s="2" t="n">
        <f aca="false">IFERROR(__xludf.dummyfunction("""COMPUTED_VALUE"""),43171292)</f>
        <v>43171292</v>
      </c>
    </row>
    <row r="748" customFormat="false" ht="15.75" hidden="false" customHeight="false" outlineLevel="0" collapsed="false">
      <c r="A748" s="3" t="n">
        <f aca="false">IFERROR(__xludf.dummyfunction("""COMPUTED_VALUE"""),45280.6666666667)</f>
        <v>45280.6666666667</v>
      </c>
      <c r="B748" s="2" t="n">
        <f aca="false">IFERROR(__xludf.dummyfunction("""COMPUTED_VALUE"""),152.9)</f>
        <v>152.9</v>
      </c>
      <c r="C748" s="2" t="n">
        <f aca="false">IFERROR(__xludf.dummyfunction("""COMPUTED_VALUE"""),155.63)</f>
        <v>155.63</v>
      </c>
      <c r="D748" s="2" t="n">
        <f aca="false">IFERROR(__xludf.dummyfunction("""COMPUTED_VALUE"""),151.56)</f>
        <v>151.56</v>
      </c>
      <c r="E748" s="2" t="n">
        <f aca="false">IFERROR(__xludf.dummyfunction("""COMPUTED_VALUE"""),152.12)</f>
        <v>152.12</v>
      </c>
      <c r="F748" s="2" t="n">
        <f aca="false">IFERROR(__xludf.dummyfunction("""COMPUTED_VALUE"""),50322106)</f>
        <v>50322106</v>
      </c>
    </row>
    <row r="749" customFormat="false" ht="15.75" hidden="false" customHeight="false" outlineLevel="0" collapsed="false">
      <c r="A749" s="3" t="n">
        <f aca="false">IFERROR(__xludf.dummyfunction("""COMPUTED_VALUE"""),45281.6666666667)</f>
        <v>45281.6666666667</v>
      </c>
      <c r="B749" s="2" t="n">
        <f aca="false">IFERROR(__xludf.dummyfunction("""COMPUTED_VALUE"""),153.3)</f>
        <v>153.3</v>
      </c>
      <c r="C749" s="2" t="n">
        <f aca="false">IFERROR(__xludf.dummyfunction("""COMPUTED_VALUE"""),153.97)</f>
        <v>153.97</v>
      </c>
      <c r="D749" s="2" t="n">
        <f aca="false">IFERROR(__xludf.dummyfunction("""COMPUTED_VALUE"""),152.1)</f>
        <v>152.1</v>
      </c>
      <c r="E749" s="2" t="n">
        <f aca="false">IFERROR(__xludf.dummyfunction("""COMPUTED_VALUE"""),153.84)</f>
        <v>153.84</v>
      </c>
      <c r="F749" s="2" t="n">
        <f aca="false">IFERROR(__xludf.dummyfunction("""COMPUTED_VALUE"""),36305733)</f>
        <v>36305733</v>
      </c>
    </row>
    <row r="750" customFormat="false" ht="15.75" hidden="false" customHeight="false" outlineLevel="0" collapsed="false">
      <c r="A750" s="3" t="n">
        <f aca="false">IFERROR(__xludf.dummyfunction("""COMPUTED_VALUE"""),45282.6666666667)</f>
        <v>45282.6666666667</v>
      </c>
      <c r="B750" s="2" t="n">
        <f aca="false">IFERROR(__xludf.dummyfunction("""COMPUTED_VALUE"""),153.77)</f>
        <v>153.77</v>
      </c>
      <c r="C750" s="2" t="n">
        <f aca="false">IFERROR(__xludf.dummyfunction("""COMPUTED_VALUE"""),154.35)</f>
        <v>154.35</v>
      </c>
      <c r="D750" s="2" t="n">
        <f aca="false">IFERROR(__xludf.dummyfunction("""COMPUTED_VALUE"""),152.71)</f>
        <v>152.71</v>
      </c>
      <c r="E750" s="2" t="n">
        <f aca="false">IFERROR(__xludf.dummyfunction("""COMPUTED_VALUE"""),153.42)</f>
        <v>153.42</v>
      </c>
      <c r="F750" s="2" t="n">
        <f aca="false">IFERROR(__xludf.dummyfunction("""COMPUTED_VALUE"""),29514093)</f>
        <v>29514093</v>
      </c>
    </row>
    <row r="751" customFormat="false" ht="15.75" hidden="false" customHeight="false" outlineLevel="0" collapsed="false">
      <c r="A751" s="3" t="n">
        <f aca="false">IFERROR(__xludf.dummyfunction("""COMPUTED_VALUE"""),45286.6666666667)</f>
        <v>45286.6666666667</v>
      </c>
      <c r="B751" s="2" t="n">
        <f aca="false">IFERROR(__xludf.dummyfunction("""COMPUTED_VALUE"""),153.56)</f>
        <v>153.56</v>
      </c>
      <c r="C751" s="2" t="n">
        <f aca="false">IFERROR(__xludf.dummyfunction("""COMPUTED_VALUE"""),153.98)</f>
        <v>153.98</v>
      </c>
      <c r="D751" s="2" t="n">
        <f aca="false">IFERROR(__xludf.dummyfunction("""COMPUTED_VALUE"""),153.03)</f>
        <v>153.03</v>
      </c>
      <c r="E751" s="2" t="n">
        <f aca="false">IFERROR(__xludf.dummyfunction("""COMPUTED_VALUE"""),153.41)</f>
        <v>153.41</v>
      </c>
      <c r="F751" s="2" t="n">
        <f aca="false">IFERROR(__xludf.dummyfunction("""COMPUTED_VALUE"""),25067222)</f>
        <v>25067222</v>
      </c>
    </row>
    <row r="752" customFormat="false" ht="15.75" hidden="false" customHeight="false" outlineLevel="0" collapsed="false">
      <c r="A752" s="3" t="n">
        <f aca="false">IFERROR(__xludf.dummyfunction("""COMPUTED_VALUE"""),45287.6666666667)</f>
        <v>45287.6666666667</v>
      </c>
      <c r="B752" s="2" t="n">
        <f aca="false">IFERROR(__xludf.dummyfunction("""COMPUTED_VALUE"""),153.56)</f>
        <v>153.56</v>
      </c>
      <c r="C752" s="2" t="n">
        <f aca="false">IFERROR(__xludf.dummyfunction("""COMPUTED_VALUE"""),154.78)</f>
        <v>154.78</v>
      </c>
      <c r="D752" s="2" t="n">
        <f aca="false">IFERROR(__xludf.dummyfunction("""COMPUTED_VALUE"""),153.12)</f>
        <v>153.12</v>
      </c>
      <c r="E752" s="2" t="n">
        <f aca="false">IFERROR(__xludf.dummyfunction("""COMPUTED_VALUE"""),153.34)</f>
        <v>153.34</v>
      </c>
      <c r="F752" s="2" t="n">
        <f aca="false">IFERROR(__xludf.dummyfunction("""COMPUTED_VALUE"""),31434733)</f>
        <v>31434733</v>
      </c>
    </row>
    <row r="753" customFormat="false" ht="15.75" hidden="false" customHeight="false" outlineLevel="0" collapsed="false">
      <c r="A753" s="3" t="n">
        <f aca="false">IFERROR(__xludf.dummyfunction("""COMPUTED_VALUE"""),45288.6666666667)</f>
        <v>45288.6666666667</v>
      </c>
      <c r="B753" s="2" t="n">
        <f aca="false">IFERROR(__xludf.dummyfunction("""COMPUTED_VALUE"""),153.72)</f>
        <v>153.72</v>
      </c>
      <c r="C753" s="2" t="n">
        <f aca="false">IFERROR(__xludf.dummyfunction("""COMPUTED_VALUE"""),154.08)</f>
        <v>154.08</v>
      </c>
      <c r="D753" s="2" t="n">
        <f aca="false">IFERROR(__xludf.dummyfunction("""COMPUTED_VALUE"""),152.95)</f>
        <v>152.95</v>
      </c>
      <c r="E753" s="2" t="n">
        <f aca="false">IFERROR(__xludf.dummyfunction("""COMPUTED_VALUE"""),153.38)</f>
        <v>153.38</v>
      </c>
      <c r="F753" s="2" t="n">
        <f aca="false">IFERROR(__xludf.dummyfunction("""COMPUTED_VALUE"""),27057002)</f>
        <v>27057002</v>
      </c>
    </row>
    <row r="754" customFormat="false" ht="15.75" hidden="false" customHeight="false" outlineLevel="0" collapsed="false">
      <c r="A754" s="3" t="n">
        <f aca="false">IFERROR(__xludf.dummyfunction("""COMPUTED_VALUE"""),45289.6666666667)</f>
        <v>45289.6666666667</v>
      </c>
      <c r="B754" s="2" t="n">
        <f aca="false">IFERROR(__xludf.dummyfunction("""COMPUTED_VALUE"""),153.1)</f>
        <v>153.1</v>
      </c>
      <c r="C754" s="2" t="n">
        <f aca="false">IFERROR(__xludf.dummyfunction("""COMPUTED_VALUE"""),153.89)</f>
        <v>153.89</v>
      </c>
      <c r="D754" s="2" t="n">
        <f aca="false">IFERROR(__xludf.dummyfunction("""COMPUTED_VALUE"""),151.03)</f>
        <v>151.03</v>
      </c>
      <c r="E754" s="2" t="n">
        <f aca="false">IFERROR(__xludf.dummyfunction("""COMPUTED_VALUE"""),151.94)</f>
        <v>151.94</v>
      </c>
      <c r="F754" s="2" t="n">
        <f aca="false">IFERROR(__xludf.dummyfunction("""COMPUTED_VALUE"""),39823204)</f>
        <v>39823204</v>
      </c>
    </row>
    <row r="755" customFormat="false" ht="15.75" hidden="false" customHeight="false" outlineLevel="0" collapsed="false">
      <c r="A755" s="3" t="n">
        <f aca="false">IFERROR(__xludf.dummyfunction("""COMPUTED_VALUE"""),45293.6666666667)</f>
        <v>45293.6666666667</v>
      </c>
      <c r="B755" s="2" t="n">
        <f aca="false">IFERROR(__xludf.dummyfunction("""COMPUTED_VALUE"""),151.54)</f>
        <v>151.54</v>
      </c>
      <c r="C755" s="2" t="n">
        <f aca="false">IFERROR(__xludf.dummyfunction("""COMPUTED_VALUE"""),152.38)</f>
        <v>152.38</v>
      </c>
      <c r="D755" s="2" t="n">
        <f aca="false">IFERROR(__xludf.dummyfunction("""COMPUTED_VALUE"""),148.39)</f>
        <v>148.39</v>
      </c>
      <c r="E755" s="2" t="n">
        <f aca="false">IFERROR(__xludf.dummyfunction("""COMPUTED_VALUE"""),149.93)</f>
        <v>149.93</v>
      </c>
      <c r="F755" s="2" t="n">
        <f aca="false">IFERROR(__xludf.dummyfunction("""COMPUTED_VALUE"""),47339424)</f>
        <v>47339424</v>
      </c>
    </row>
    <row r="756" customFormat="false" ht="15.75" hidden="false" customHeight="false" outlineLevel="0" collapsed="false">
      <c r="A756" s="3" t="n">
        <f aca="false">IFERROR(__xludf.dummyfunction("""COMPUTED_VALUE"""),45294.6666666667)</f>
        <v>45294.6666666667</v>
      </c>
      <c r="B756" s="2" t="n">
        <f aca="false">IFERROR(__xludf.dummyfunction("""COMPUTED_VALUE"""),149.2)</f>
        <v>149.2</v>
      </c>
      <c r="C756" s="2" t="n">
        <f aca="false">IFERROR(__xludf.dummyfunction("""COMPUTED_VALUE"""),151.05)</f>
        <v>151.05</v>
      </c>
      <c r="D756" s="2" t="n">
        <f aca="false">IFERROR(__xludf.dummyfunction("""COMPUTED_VALUE"""),148.33)</f>
        <v>148.33</v>
      </c>
      <c r="E756" s="2" t="n">
        <f aca="false">IFERROR(__xludf.dummyfunction("""COMPUTED_VALUE"""),148.47)</f>
        <v>148.47</v>
      </c>
      <c r="F756" s="2" t="n">
        <f aca="false">IFERROR(__xludf.dummyfunction("""COMPUTED_VALUE"""),49425495)</f>
        <v>49425495</v>
      </c>
    </row>
    <row r="757" customFormat="false" ht="15.75" hidden="false" customHeight="false" outlineLevel="0" collapsed="false">
      <c r="A757" s="3" t="n">
        <f aca="false">IFERROR(__xludf.dummyfunction("""COMPUTED_VALUE"""),45295.6666666667)</f>
        <v>45295.6666666667</v>
      </c>
      <c r="B757" s="2" t="n">
        <f aca="false">IFERROR(__xludf.dummyfunction("""COMPUTED_VALUE"""),145.59)</f>
        <v>145.59</v>
      </c>
      <c r="C757" s="2" t="n">
        <f aca="false">IFERROR(__xludf.dummyfunction("""COMPUTED_VALUE"""),147.38)</f>
        <v>147.38</v>
      </c>
      <c r="D757" s="2" t="n">
        <f aca="false">IFERROR(__xludf.dummyfunction("""COMPUTED_VALUE"""),144.05)</f>
        <v>144.05</v>
      </c>
      <c r="E757" s="2" t="n">
        <f aca="false">IFERROR(__xludf.dummyfunction("""COMPUTED_VALUE"""),144.57)</f>
        <v>144.57</v>
      </c>
      <c r="F757" s="2" t="n">
        <f aca="false">IFERROR(__xludf.dummyfunction("""COMPUTED_VALUE"""),56039807)</f>
        <v>56039807</v>
      </c>
    </row>
    <row r="758" customFormat="false" ht="15.75" hidden="false" customHeight="false" outlineLevel="0" collapsed="false">
      <c r="A758" s="3" t="n">
        <f aca="false">IFERROR(__xludf.dummyfunction("""COMPUTED_VALUE"""),45296.6666666667)</f>
        <v>45296.6666666667</v>
      </c>
      <c r="B758" s="2" t="n">
        <f aca="false">IFERROR(__xludf.dummyfunction("""COMPUTED_VALUE"""),144.69)</f>
        <v>144.69</v>
      </c>
      <c r="C758" s="2" t="n">
        <f aca="false">IFERROR(__xludf.dummyfunction("""COMPUTED_VALUE"""),146.59)</f>
        <v>146.59</v>
      </c>
      <c r="D758" s="2" t="n">
        <f aca="false">IFERROR(__xludf.dummyfunction("""COMPUTED_VALUE"""),144.53)</f>
        <v>144.53</v>
      </c>
      <c r="E758" s="2" t="n">
        <f aca="false">IFERROR(__xludf.dummyfunction("""COMPUTED_VALUE"""),145.24)</f>
        <v>145.24</v>
      </c>
      <c r="F758" s="2" t="n">
        <f aca="false">IFERROR(__xludf.dummyfunction("""COMPUTED_VALUE"""),45153147)</f>
        <v>45153147</v>
      </c>
    </row>
    <row r="759" customFormat="false" ht="15.75" hidden="false" customHeight="false" outlineLevel="0" collapsed="false">
      <c r="A759" s="3" t="n">
        <f aca="false">IFERROR(__xludf.dummyfunction("""COMPUTED_VALUE"""),45299.6666666667)</f>
        <v>45299.6666666667</v>
      </c>
      <c r="B759" s="2" t="n">
        <f aca="false">IFERROR(__xludf.dummyfunction("""COMPUTED_VALUE"""),146.74)</f>
        <v>146.74</v>
      </c>
      <c r="C759" s="2" t="n">
        <f aca="false">IFERROR(__xludf.dummyfunction("""COMPUTED_VALUE"""),149.4)</f>
        <v>149.4</v>
      </c>
      <c r="D759" s="2" t="n">
        <f aca="false">IFERROR(__xludf.dummyfunction("""COMPUTED_VALUE"""),146.15)</f>
        <v>146.15</v>
      </c>
      <c r="E759" s="2" t="n">
        <f aca="false">IFERROR(__xludf.dummyfunction("""COMPUTED_VALUE"""),149.1)</f>
        <v>149.1</v>
      </c>
      <c r="F759" s="2" t="n">
        <f aca="false">IFERROR(__xludf.dummyfunction("""COMPUTED_VALUE"""),46757053)</f>
        <v>46757053</v>
      </c>
    </row>
    <row r="760" customFormat="false" ht="15.75" hidden="false" customHeight="false" outlineLevel="0" collapsed="false">
      <c r="A760" s="3" t="n">
        <f aca="false">IFERROR(__xludf.dummyfunction("""COMPUTED_VALUE"""),45300.6666666667)</f>
        <v>45300.6666666667</v>
      </c>
      <c r="B760" s="2" t="n">
        <f aca="false">IFERROR(__xludf.dummyfunction("""COMPUTED_VALUE"""),148.33)</f>
        <v>148.33</v>
      </c>
      <c r="C760" s="2" t="n">
        <f aca="false">IFERROR(__xludf.dummyfunction("""COMPUTED_VALUE"""),151.71)</f>
        <v>151.71</v>
      </c>
      <c r="D760" s="2" t="n">
        <f aca="false">IFERROR(__xludf.dummyfunction("""COMPUTED_VALUE"""),148.21)</f>
        <v>148.21</v>
      </c>
      <c r="E760" s="2" t="n">
        <f aca="false">IFERROR(__xludf.dummyfunction("""COMPUTED_VALUE"""),151.37)</f>
        <v>151.37</v>
      </c>
      <c r="F760" s="2" t="n">
        <f aca="false">IFERROR(__xludf.dummyfunction("""COMPUTED_VALUE"""),43812567)</f>
        <v>43812567</v>
      </c>
    </row>
    <row r="761" customFormat="false" ht="15.75" hidden="false" customHeight="false" outlineLevel="0" collapsed="false">
      <c r="A761" s="3" t="n">
        <f aca="false">IFERROR(__xludf.dummyfunction("""COMPUTED_VALUE"""),45301.6666666667)</f>
        <v>45301.6666666667</v>
      </c>
      <c r="B761" s="2" t="n">
        <f aca="false">IFERROR(__xludf.dummyfunction("""COMPUTED_VALUE"""),152.06)</f>
        <v>152.06</v>
      </c>
      <c r="C761" s="2" t="n">
        <f aca="false">IFERROR(__xludf.dummyfunction("""COMPUTED_VALUE"""),154.42)</f>
        <v>154.42</v>
      </c>
      <c r="D761" s="2" t="n">
        <f aca="false">IFERROR(__xludf.dummyfunction("""COMPUTED_VALUE"""),151.88)</f>
        <v>151.88</v>
      </c>
      <c r="E761" s="2" t="n">
        <f aca="false">IFERROR(__xludf.dummyfunction("""COMPUTED_VALUE"""),153.73)</f>
        <v>153.73</v>
      </c>
      <c r="F761" s="2" t="n">
        <f aca="false">IFERROR(__xludf.dummyfunction("""COMPUTED_VALUE"""),44421830)</f>
        <v>44421830</v>
      </c>
    </row>
    <row r="762" customFormat="false" ht="15.75" hidden="false" customHeight="false" outlineLevel="0" collapsed="false">
      <c r="A762" s="3" t="n">
        <f aca="false">IFERROR(__xludf.dummyfunction("""COMPUTED_VALUE"""),45302.6666666667)</f>
        <v>45302.6666666667</v>
      </c>
      <c r="B762" s="2" t="n">
        <f aca="false">IFERROR(__xludf.dummyfunction("""COMPUTED_VALUE"""),155.04)</f>
        <v>155.04</v>
      </c>
      <c r="C762" s="2" t="n">
        <f aca="false">IFERROR(__xludf.dummyfunction("""COMPUTED_VALUE"""),157.17)</f>
        <v>157.17</v>
      </c>
      <c r="D762" s="2" t="n">
        <f aca="false">IFERROR(__xludf.dummyfunction("""COMPUTED_VALUE"""),153.12)</f>
        <v>153.12</v>
      </c>
      <c r="E762" s="2" t="n">
        <f aca="false">IFERROR(__xludf.dummyfunction("""COMPUTED_VALUE"""),155.18)</f>
        <v>155.18</v>
      </c>
      <c r="F762" s="2" t="n">
        <f aca="false">IFERROR(__xludf.dummyfunction("""COMPUTED_VALUE"""),49072691)</f>
        <v>49072691</v>
      </c>
    </row>
    <row r="763" customFormat="false" ht="15.75" hidden="false" customHeight="false" outlineLevel="0" collapsed="false">
      <c r="A763" s="3" t="n">
        <f aca="false">IFERROR(__xludf.dummyfunction("""COMPUTED_VALUE"""),45303.6666666667)</f>
        <v>45303.6666666667</v>
      </c>
      <c r="B763" s="2" t="n">
        <f aca="false">IFERROR(__xludf.dummyfunction("""COMPUTED_VALUE"""),155.39)</f>
        <v>155.39</v>
      </c>
      <c r="C763" s="2" t="n">
        <f aca="false">IFERROR(__xludf.dummyfunction("""COMPUTED_VALUE"""),156.2)</f>
        <v>156.2</v>
      </c>
      <c r="D763" s="2" t="n">
        <f aca="false">IFERROR(__xludf.dummyfunction("""COMPUTED_VALUE"""),154.01)</f>
        <v>154.01</v>
      </c>
      <c r="E763" s="2" t="n">
        <f aca="false">IFERROR(__xludf.dummyfunction("""COMPUTED_VALUE"""),154.62)</f>
        <v>154.62</v>
      </c>
      <c r="F763" s="2" t="n">
        <f aca="false">IFERROR(__xludf.dummyfunction("""COMPUTED_VALUE"""),40484155)</f>
        <v>40484155</v>
      </c>
    </row>
    <row r="764" customFormat="false" ht="15.75" hidden="false" customHeight="false" outlineLevel="0" collapsed="false">
      <c r="A764" s="3" t="n">
        <f aca="false">IFERROR(__xludf.dummyfunction("""COMPUTED_VALUE"""),45307.6666666667)</f>
        <v>45307.6666666667</v>
      </c>
      <c r="B764" s="2" t="n">
        <f aca="false">IFERROR(__xludf.dummyfunction("""COMPUTED_VALUE"""),153.53)</f>
        <v>153.53</v>
      </c>
      <c r="C764" s="2" t="n">
        <f aca="false">IFERROR(__xludf.dummyfunction("""COMPUTED_VALUE"""),154.99)</f>
        <v>154.99</v>
      </c>
      <c r="D764" s="2" t="n">
        <f aca="false">IFERROR(__xludf.dummyfunction("""COMPUTED_VALUE"""),152.15)</f>
        <v>152.15</v>
      </c>
      <c r="E764" s="2" t="n">
        <f aca="false">IFERROR(__xludf.dummyfunction("""COMPUTED_VALUE"""),153.16)</f>
        <v>153.16</v>
      </c>
      <c r="F764" s="2" t="n">
        <f aca="false">IFERROR(__xludf.dummyfunction("""COMPUTED_VALUE"""),41384636)</f>
        <v>41384636</v>
      </c>
    </row>
    <row r="765" customFormat="false" ht="15.75" hidden="false" customHeight="false" outlineLevel="0" collapsed="false">
      <c r="A765" s="3" t="n">
        <f aca="false">IFERROR(__xludf.dummyfunction("""COMPUTED_VALUE"""),45308.6666666667)</f>
        <v>45308.6666666667</v>
      </c>
      <c r="B765" s="2" t="n">
        <f aca="false">IFERROR(__xludf.dummyfunction("""COMPUTED_VALUE"""),151.49)</f>
        <v>151.49</v>
      </c>
      <c r="C765" s="2" t="n">
        <f aca="false">IFERROR(__xludf.dummyfunction("""COMPUTED_VALUE"""),152.15)</f>
        <v>152.15</v>
      </c>
      <c r="D765" s="2" t="n">
        <f aca="false">IFERROR(__xludf.dummyfunction("""COMPUTED_VALUE"""),149.91)</f>
        <v>149.91</v>
      </c>
      <c r="E765" s="2" t="n">
        <f aca="false">IFERROR(__xludf.dummyfunction("""COMPUTED_VALUE"""),151.71)</f>
        <v>151.71</v>
      </c>
      <c r="F765" s="2" t="n">
        <f aca="false">IFERROR(__xludf.dummyfunction("""COMPUTED_VALUE"""),34953363)</f>
        <v>34953363</v>
      </c>
    </row>
    <row r="766" customFormat="false" ht="15.75" hidden="false" customHeight="false" outlineLevel="0" collapsed="false">
      <c r="A766" s="3" t="n">
        <f aca="false">IFERROR(__xludf.dummyfunction("""COMPUTED_VALUE"""),45309.6666666667)</f>
        <v>45309.6666666667</v>
      </c>
      <c r="B766" s="2" t="n">
        <f aca="false">IFERROR(__xludf.dummyfunction("""COMPUTED_VALUE"""),152.77)</f>
        <v>152.77</v>
      </c>
      <c r="C766" s="2" t="n">
        <f aca="false">IFERROR(__xludf.dummyfunction("""COMPUTED_VALUE"""),153.78)</f>
        <v>153.78</v>
      </c>
      <c r="D766" s="2" t="n">
        <f aca="false">IFERROR(__xludf.dummyfunction("""COMPUTED_VALUE"""),151.82)</f>
        <v>151.82</v>
      </c>
      <c r="E766" s="2" t="n">
        <f aca="false">IFERROR(__xludf.dummyfunction("""COMPUTED_VALUE"""),153.5)</f>
        <v>153.5</v>
      </c>
      <c r="F766" s="2" t="n">
        <f aca="false">IFERROR(__xludf.dummyfunction("""COMPUTED_VALUE"""),37850245)</f>
        <v>37850245</v>
      </c>
    </row>
    <row r="767" customFormat="false" ht="15.75" hidden="false" customHeight="false" outlineLevel="0" collapsed="false">
      <c r="A767" s="3" t="n">
        <f aca="false">IFERROR(__xludf.dummyfunction("""COMPUTED_VALUE"""),45310.6666666667)</f>
        <v>45310.6666666667</v>
      </c>
      <c r="B767" s="2" t="n">
        <f aca="false">IFERROR(__xludf.dummyfunction("""COMPUTED_VALUE"""),153.83)</f>
        <v>153.83</v>
      </c>
      <c r="C767" s="2" t="n">
        <f aca="false">IFERROR(__xludf.dummyfunction("""COMPUTED_VALUE"""),155.76)</f>
        <v>155.76</v>
      </c>
      <c r="D767" s="2" t="n">
        <f aca="false">IFERROR(__xludf.dummyfunction("""COMPUTED_VALUE"""),152.74)</f>
        <v>152.74</v>
      </c>
      <c r="E767" s="2" t="n">
        <f aca="false">IFERROR(__xludf.dummyfunction("""COMPUTED_VALUE"""),155.34)</f>
        <v>155.34</v>
      </c>
      <c r="F767" s="2" t="n">
        <f aca="false">IFERROR(__xludf.dummyfunction("""COMPUTED_VALUE"""),51651628)</f>
        <v>51651628</v>
      </c>
    </row>
    <row r="768" customFormat="false" ht="15.75" hidden="false" customHeight="false" outlineLevel="0" collapsed="false">
      <c r="A768" s="3" t="n">
        <f aca="false">IFERROR(__xludf.dummyfunction("""COMPUTED_VALUE"""),45313.6666666667)</f>
        <v>45313.6666666667</v>
      </c>
      <c r="B768" s="2" t="n">
        <f aca="false">IFERROR(__xludf.dummyfunction("""COMPUTED_VALUE"""),156.89)</f>
        <v>156.89</v>
      </c>
      <c r="C768" s="2" t="n">
        <f aca="false">IFERROR(__xludf.dummyfunction("""COMPUTED_VALUE"""),157.05)</f>
        <v>157.05</v>
      </c>
      <c r="D768" s="2" t="n">
        <f aca="false">IFERROR(__xludf.dummyfunction("""COMPUTED_VALUE"""),153.9)</f>
        <v>153.9</v>
      </c>
      <c r="E768" s="2" t="n">
        <f aca="false">IFERROR(__xludf.dummyfunction("""COMPUTED_VALUE"""),154.78)</f>
        <v>154.78</v>
      </c>
      <c r="F768" s="2" t="n">
        <f aca="false">IFERROR(__xludf.dummyfunction("""COMPUTED_VALUE"""),43687468)</f>
        <v>43687468</v>
      </c>
    </row>
    <row r="769" customFormat="false" ht="15.75" hidden="false" customHeight="false" outlineLevel="0" collapsed="false">
      <c r="A769" s="3" t="n">
        <f aca="false">IFERROR(__xludf.dummyfunction("""COMPUTED_VALUE"""),45314.6666666667)</f>
        <v>45314.6666666667</v>
      </c>
      <c r="B769" s="2" t="n">
        <f aca="false">IFERROR(__xludf.dummyfunction("""COMPUTED_VALUE"""),154.85)</f>
        <v>154.85</v>
      </c>
      <c r="C769" s="2" t="n">
        <f aca="false">IFERROR(__xludf.dummyfunction("""COMPUTED_VALUE"""),156.21)</f>
        <v>156.21</v>
      </c>
      <c r="D769" s="2" t="n">
        <f aca="false">IFERROR(__xludf.dummyfunction("""COMPUTED_VALUE"""),153.93)</f>
        <v>153.93</v>
      </c>
      <c r="E769" s="2" t="n">
        <f aca="false">IFERROR(__xludf.dummyfunction("""COMPUTED_VALUE"""),156.02)</f>
        <v>156.02</v>
      </c>
      <c r="F769" s="2" t="n">
        <f aca="false">IFERROR(__xludf.dummyfunction("""COMPUTED_VALUE"""),37986039)</f>
        <v>37986039</v>
      </c>
    </row>
    <row r="770" customFormat="false" ht="15.75" hidden="false" customHeight="false" outlineLevel="0" collapsed="false">
      <c r="A770" s="3" t="n">
        <f aca="false">IFERROR(__xludf.dummyfunction("""COMPUTED_VALUE"""),45315.6666666667)</f>
        <v>45315.6666666667</v>
      </c>
      <c r="B770" s="2" t="n">
        <f aca="false">IFERROR(__xludf.dummyfunction("""COMPUTED_VALUE"""),157.8)</f>
        <v>157.8</v>
      </c>
      <c r="C770" s="2" t="n">
        <f aca="false">IFERROR(__xludf.dummyfunction("""COMPUTED_VALUE"""),158.51)</f>
        <v>158.51</v>
      </c>
      <c r="D770" s="2" t="n">
        <f aca="false">IFERROR(__xludf.dummyfunction("""COMPUTED_VALUE"""),156.48)</f>
        <v>156.48</v>
      </c>
      <c r="E770" s="2" t="n">
        <f aca="false">IFERROR(__xludf.dummyfunction("""COMPUTED_VALUE"""),156.87)</f>
        <v>156.87</v>
      </c>
      <c r="F770" s="2" t="n">
        <f aca="false">IFERROR(__xludf.dummyfunction("""COMPUTED_VALUE"""),48547315)</f>
        <v>48547315</v>
      </c>
    </row>
    <row r="771" customFormat="false" ht="15.75" hidden="false" customHeight="false" outlineLevel="0" collapsed="false">
      <c r="A771" s="3" t="n">
        <f aca="false">IFERROR(__xludf.dummyfunction("""COMPUTED_VALUE"""),45316.6666666667)</f>
        <v>45316.6666666667</v>
      </c>
      <c r="B771" s="2" t="n">
        <f aca="false">IFERROR(__xludf.dummyfunction("""COMPUTED_VALUE"""),156.95)</f>
        <v>156.95</v>
      </c>
      <c r="C771" s="2" t="n">
        <f aca="false">IFERROR(__xludf.dummyfunction("""COMPUTED_VALUE"""),158.51)</f>
        <v>158.51</v>
      </c>
      <c r="D771" s="2" t="n">
        <f aca="false">IFERROR(__xludf.dummyfunction("""COMPUTED_VALUE"""),154.55)</f>
        <v>154.55</v>
      </c>
      <c r="E771" s="2" t="n">
        <f aca="false">IFERROR(__xludf.dummyfunction("""COMPUTED_VALUE"""),157.75)</f>
        <v>157.75</v>
      </c>
      <c r="F771" s="2" t="n">
        <f aca="false">IFERROR(__xludf.dummyfunction("""COMPUTED_VALUE"""),43638592)</f>
        <v>43638592</v>
      </c>
    </row>
    <row r="772" customFormat="false" ht="15.75" hidden="false" customHeight="false" outlineLevel="0" collapsed="false">
      <c r="A772" s="3" t="n">
        <f aca="false">IFERROR(__xludf.dummyfunction("""COMPUTED_VALUE"""),45317.6666666667)</f>
        <v>45317.6666666667</v>
      </c>
      <c r="B772" s="2" t="n">
        <f aca="false">IFERROR(__xludf.dummyfunction("""COMPUTED_VALUE"""),158.42)</f>
        <v>158.42</v>
      </c>
      <c r="C772" s="2" t="n">
        <f aca="false">IFERROR(__xludf.dummyfunction("""COMPUTED_VALUE"""),160.72)</f>
        <v>160.72</v>
      </c>
      <c r="D772" s="2" t="n">
        <f aca="false">IFERROR(__xludf.dummyfunction("""COMPUTED_VALUE"""),157.91)</f>
        <v>157.91</v>
      </c>
      <c r="E772" s="2" t="n">
        <f aca="false">IFERROR(__xludf.dummyfunction("""COMPUTED_VALUE"""),159.12)</f>
        <v>159.12</v>
      </c>
      <c r="F772" s="2" t="n">
        <f aca="false">IFERROR(__xludf.dummyfunction("""COMPUTED_VALUE"""),51047353)</f>
        <v>51047353</v>
      </c>
    </row>
    <row r="773" customFormat="false" ht="15.75" hidden="false" customHeight="false" outlineLevel="0" collapsed="false">
      <c r="A773" s="3" t="n">
        <f aca="false">IFERROR(__xludf.dummyfunction("""COMPUTED_VALUE"""),45320.6666666667)</f>
        <v>45320.6666666667</v>
      </c>
      <c r="B773" s="2" t="n">
        <f aca="false">IFERROR(__xludf.dummyfunction("""COMPUTED_VALUE"""),159.34)</f>
        <v>159.34</v>
      </c>
      <c r="C773" s="2" t="n">
        <f aca="false">IFERROR(__xludf.dummyfunction("""COMPUTED_VALUE"""),161.29)</f>
        <v>161.29</v>
      </c>
      <c r="D773" s="2" t="n">
        <f aca="false">IFERROR(__xludf.dummyfunction("""COMPUTED_VALUE"""),158.9)</f>
        <v>158.9</v>
      </c>
      <c r="E773" s="2" t="n">
        <f aca="false">IFERROR(__xludf.dummyfunction("""COMPUTED_VALUE"""),161.26)</f>
        <v>161.26</v>
      </c>
      <c r="F773" s="2" t="n">
        <f aca="false">IFERROR(__xludf.dummyfunction("""COMPUTED_VALUE"""),45270385)</f>
        <v>45270385</v>
      </c>
    </row>
    <row r="774" customFormat="false" ht="15.75" hidden="false" customHeight="false" outlineLevel="0" collapsed="false">
      <c r="A774" s="3" t="n">
        <f aca="false">IFERROR(__xludf.dummyfunction("""COMPUTED_VALUE"""),45321.6666666667)</f>
        <v>45321.6666666667</v>
      </c>
      <c r="B774" s="2" t="n">
        <f aca="false">IFERROR(__xludf.dummyfunction("""COMPUTED_VALUE"""),160.7)</f>
        <v>160.7</v>
      </c>
      <c r="C774" s="2" t="n">
        <f aca="false">IFERROR(__xludf.dummyfunction("""COMPUTED_VALUE"""),161.73)</f>
        <v>161.73</v>
      </c>
      <c r="D774" s="2" t="n">
        <f aca="false">IFERROR(__xludf.dummyfunction("""COMPUTED_VALUE"""),158.49)</f>
        <v>158.49</v>
      </c>
      <c r="E774" s="2" t="n">
        <f aca="false">IFERROR(__xludf.dummyfunction("""COMPUTED_VALUE"""),159)</f>
        <v>159</v>
      </c>
      <c r="F774" s="2" t="n">
        <f aca="false">IFERROR(__xludf.dummyfunction("""COMPUTED_VALUE"""),45207430)</f>
        <v>45207430</v>
      </c>
    </row>
    <row r="775" customFormat="false" ht="15.75" hidden="false" customHeight="false" outlineLevel="0" collapsed="false">
      <c r="A775" s="3" t="n">
        <f aca="false">IFERROR(__xludf.dummyfunction("""COMPUTED_VALUE"""),45322.6666666667)</f>
        <v>45322.6666666667</v>
      </c>
      <c r="B775" s="2" t="n">
        <f aca="false">IFERROR(__xludf.dummyfunction("""COMPUTED_VALUE"""),157)</f>
        <v>157</v>
      </c>
      <c r="C775" s="2" t="n">
        <f aca="false">IFERROR(__xludf.dummyfunction("""COMPUTED_VALUE"""),159.01)</f>
        <v>159.01</v>
      </c>
      <c r="D775" s="2" t="n">
        <f aca="false">IFERROR(__xludf.dummyfunction("""COMPUTED_VALUE"""),154.81)</f>
        <v>154.81</v>
      </c>
      <c r="E775" s="2" t="n">
        <f aca="false">IFERROR(__xludf.dummyfunction("""COMPUTED_VALUE"""),155.2)</f>
        <v>155.2</v>
      </c>
      <c r="F775" s="2" t="n">
        <f aca="false">IFERROR(__xludf.dummyfunction("""COMPUTED_VALUE"""),50284371)</f>
        <v>50284371</v>
      </c>
    </row>
    <row r="776" customFormat="false" ht="15.75" hidden="false" customHeight="false" outlineLevel="0" collapsed="false">
      <c r="A776" s="3" t="n">
        <f aca="false">IFERROR(__xludf.dummyfunction("""COMPUTED_VALUE"""),45323.6666666667)</f>
        <v>45323.6666666667</v>
      </c>
      <c r="B776" s="2" t="n">
        <f aca="false">IFERROR(__xludf.dummyfunction("""COMPUTED_VALUE"""),155.87)</f>
        <v>155.87</v>
      </c>
      <c r="C776" s="2" t="n">
        <f aca="false">IFERROR(__xludf.dummyfunction("""COMPUTED_VALUE"""),159.76)</f>
        <v>159.76</v>
      </c>
      <c r="D776" s="2" t="n">
        <f aca="false">IFERROR(__xludf.dummyfunction("""COMPUTED_VALUE"""),155.62)</f>
        <v>155.62</v>
      </c>
      <c r="E776" s="2" t="n">
        <f aca="false">IFERROR(__xludf.dummyfunction("""COMPUTED_VALUE"""),159.28)</f>
        <v>159.28</v>
      </c>
      <c r="F776" s="2" t="n">
        <f aca="false">IFERROR(__xludf.dummyfunction("""COMPUTED_VALUE"""),76542419)</f>
        <v>76542419</v>
      </c>
    </row>
    <row r="777" customFormat="false" ht="15.75" hidden="false" customHeight="false" outlineLevel="0" collapsed="false">
      <c r="A777" s="3" t="n">
        <f aca="false">IFERROR(__xludf.dummyfunction("""COMPUTED_VALUE"""),45324.6666666667)</f>
        <v>45324.6666666667</v>
      </c>
      <c r="B777" s="2" t="n">
        <f aca="false">IFERROR(__xludf.dummyfunction("""COMPUTED_VALUE"""),169.19)</f>
        <v>169.19</v>
      </c>
      <c r="C777" s="2" t="n">
        <f aca="false">IFERROR(__xludf.dummyfunction("""COMPUTED_VALUE"""),172.5)</f>
        <v>172.5</v>
      </c>
      <c r="D777" s="2" t="n">
        <f aca="false">IFERROR(__xludf.dummyfunction("""COMPUTED_VALUE"""),167.33)</f>
        <v>167.33</v>
      </c>
      <c r="E777" s="2" t="n">
        <f aca="false">IFERROR(__xludf.dummyfunction("""COMPUTED_VALUE"""),171.81)</f>
        <v>171.81</v>
      </c>
      <c r="F777" s="2" t="n">
        <f aca="false">IFERROR(__xludf.dummyfunction("""COMPUTED_VALUE"""),117218313)</f>
        <v>117218313</v>
      </c>
    </row>
    <row r="778" customFormat="false" ht="15.75" hidden="false" customHeight="false" outlineLevel="0" collapsed="false">
      <c r="A778" s="3" t="n">
        <f aca="false">IFERROR(__xludf.dummyfunction("""COMPUTED_VALUE"""),45327.6666666667)</f>
        <v>45327.6666666667</v>
      </c>
      <c r="B778" s="2" t="n">
        <f aca="false">IFERROR(__xludf.dummyfunction("""COMPUTED_VALUE"""),170.2)</f>
        <v>170.2</v>
      </c>
      <c r="C778" s="2" t="n">
        <f aca="false">IFERROR(__xludf.dummyfunction("""COMPUTED_VALUE"""),170.55)</f>
        <v>170.55</v>
      </c>
      <c r="D778" s="2" t="n">
        <f aca="false">IFERROR(__xludf.dummyfunction("""COMPUTED_VALUE"""),167.7)</f>
        <v>167.7</v>
      </c>
      <c r="E778" s="2" t="n">
        <f aca="false">IFERROR(__xludf.dummyfunction("""COMPUTED_VALUE"""),170.31)</f>
        <v>170.31</v>
      </c>
      <c r="F778" s="2" t="n">
        <f aca="false">IFERROR(__xludf.dummyfunction("""COMPUTED_VALUE"""),55081297)</f>
        <v>55081297</v>
      </c>
    </row>
    <row r="779" customFormat="false" ht="15.75" hidden="false" customHeight="false" outlineLevel="0" collapsed="false">
      <c r="A779" s="3" t="n">
        <f aca="false">IFERROR(__xludf.dummyfunction("""COMPUTED_VALUE"""),45328.6666666667)</f>
        <v>45328.6666666667</v>
      </c>
      <c r="B779" s="2" t="n">
        <f aca="false">IFERROR(__xludf.dummyfunction("""COMPUTED_VALUE"""),169.39)</f>
        <v>169.39</v>
      </c>
      <c r="C779" s="2" t="n">
        <f aca="false">IFERROR(__xludf.dummyfunction("""COMPUTED_VALUE"""),170.71)</f>
        <v>170.71</v>
      </c>
      <c r="D779" s="2" t="n">
        <f aca="false">IFERROR(__xludf.dummyfunction("""COMPUTED_VALUE"""),167.65)</f>
        <v>167.65</v>
      </c>
      <c r="E779" s="2" t="n">
        <f aca="false">IFERROR(__xludf.dummyfunction("""COMPUTED_VALUE"""),169.15)</f>
        <v>169.15</v>
      </c>
      <c r="F779" s="2" t="n">
        <f aca="false">IFERROR(__xludf.dummyfunction("""COMPUTED_VALUE"""),42505518)</f>
        <v>42505518</v>
      </c>
    </row>
    <row r="780" customFormat="false" ht="15.75" hidden="false" customHeight="false" outlineLevel="0" collapsed="false">
      <c r="A780" s="3" t="n">
        <f aca="false">IFERROR(__xludf.dummyfunction("""COMPUTED_VALUE"""),45329.6666666667)</f>
        <v>45329.6666666667</v>
      </c>
      <c r="B780" s="2" t="n">
        <f aca="false">IFERROR(__xludf.dummyfunction("""COMPUTED_VALUE"""),169.48)</f>
        <v>169.48</v>
      </c>
      <c r="C780" s="2" t="n">
        <f aca="false">IFERROR(__xludf.dummyfunction("""COMPUTED_VALUE"""),170.88)</f>
        <v>170.88</v>
      </c>
      <c r="D780" s="2" t="n">
        <f aca="false">IFERROR(__xludf.dummyfunction("""COMPUTED_VALUE"""),168.94)</f>
        <v>168.94</v>
      </c>
      <c r="E780" s="2" t="n">
        <f aca="false">IFERROR(__xludf.dummyfunction("""COMPUTED_VALUE"""),170.53)</f>
        <v>170.53</v>
      </c>
      <c r="F780" s="2" t="n">
        <f aca="false">IFERROR(__xludf.dummyfunction("""COMPUTED_VALUE"""),47174060)</f>
        <v>47174060</v>
      </c>
    </row>
    <row r="781" customFormat="false" ht="15.75" hidden="false" customHeight="false" outlineLevel="0" collapsed="false">
      <c r="A781" s="3" t="n">
        <f aca="false">IFERROR(__xludf.dummyfunction("""COMPUTED_VALUE"""),45330.6666666667)</f>
        <v>45330.6666666667</v>
      </c>
      <c r="B781" s="2" t="n">
        <f aca="false">IFERROR(__xludf.dummyfunction("""COMPUTED_VALUE"""),169.65)</f>
        <v>169.65</v>
      </c>
      <c r="C781" s="2" t="n">
        <f aca="false">IFERROR(__xludf.dummyfunction("""COMPUTED_VALUE"""),171.43)</f>
        <v>171.43</v>
      </c>
      <c r="D781" s="2" t="n">
        <f aca="false">IFERROR(__xludf.dummyfunction("""COMPUTED_VALUE"""),168.88)</f>
        <v>168.88</v>
      </c>
      <c r="E781" s="2" t="n">
        <f aca="false">IFERROR(__xludf.dummyfunction("""COMPUTED_VALUE"""),169.84)</f>
        <v>169.84</v>
      </c>
      <c r="F781" s="2" t="n">
        <f aca="false">IFERROR(__xludf.dummyfunction("""COMPUTED_VALUE"""),42316454)</f>
        <v>42316454</v>
      </c>
    </row>
    <row r="782" customFormat="false" ht="15.75" hidden="false" customHeight="false" outlineLevel="0" collapsed="false">
      <c r="A782" s="3" t="n">
        <f aca="false">IFERROR(__xludf.dummyfunction("""COMPUTED_VALUE"""),45331.6666666667)</f>
        <v>45331.6666666667</v>
      </c>
      <c r="B782" s="2" t="n">
        <f aca="false">IFERROR(__xludf.dummyfunction("""COMPUTED_VALUE"""),170.9)</f>
        <v>170.9</v>
      </c>
      <c r="C782" s="2" t="n">
        <f aca="false">IFERROR(__xludf.dummyfunction("""COMPUTED_VALUE"""),175)</f>
        <v>175</v>
      </c>
      <c r="D782" s="2" t="n">
        <f aca="false">IFERROR(__xludf.dummyfunction("""COMPUTED_VALUE"""),170.58)</f>
        <v>170.58</v>
      </c>
      <c r="E782" s="2" t="n">
        <f aca="false">IFERROR(__xludf.dummyfunction("""COMPUTED_VALUE"""),174.45)</f>
        <v>174.45</v>
      </c>
      <c r="F782" s="2" t="n">
        <f aca="false">IFERROR(__xludf.dummyfunction("""COMPUTED_VALUE"""),56985986)</f>
        <v>56985986</v>
      </c>
    </row>
    <row r="783" customFormat="false" ht="15.75" hidden="false" customHeight="false" outlineLevel="0" collapsed="false">
      <c r="A783" s="3" t="n">
        <f aca="false">IFERROR(__xludf.dummyfunction("""COMPUTED_VALUE"""),45334.6666666667)</f>
        <v>45334.6666666667</v>
      </c>
      <c r="B783" s="2" t="n">
        <f aca="false">IFERROR(__xludf.dummyfunction("""COMPUTED_VALUE"""),174.8)</f>
        <v>174.8</v>
      </c>
      <c r="C783" s="2" t="n">
        <f aca="false">IFERROR(__xludf.dummyfunction("""COMPUTED_VALUE"""),175.39)</f>
        <v>175.39</v>
      </c>
      <c r="D783" s="2" t="n">
        <f aca="false">IFERROR(__xludf.dummyfunction("""COMPUTED_VALUE"""),171.54)</f>
        <v>171.54</v>
      </c>
      <c r="E783" s="2" t="n">
        <f aca="false">IFERROR(__xludf.dummyfunction("""COMPUTED_VALUE"""),172.34)</f>
        <v>172.34</v>
      </c>
      <c r="F783" s="2" t="n">
        <f aca="false">IFERROR(__xludf.dummyfunction("""COMPUTED_VALUE"""),51050440)</f>
        <v>51050440</v>
      </c>
    </row>
    <row r="784" customFormat="false" ht="15.75" hidden="false" customHeight="false" outlineLevel="0" collapsed="false">
      <c r="A784" s="3" t="n">
        <f aca="false">IFERROR(__xludf.dummyfunction("""COMPUTED_VALUE"""),45335.6666666667)</f>
        <v>45335.6666666667</v>
      </c>
      <c r="B784" s="2" t="n">
        <f aca="false">IFERROR(__xludf.dummyfunction("""COMPUTED_VALUE"""),167.73)</f>
        <v>167.73</v>
      </c>
      <c r="C784" s="2" t="n">
        <f aca="false">IFERROR(__xludf.dummyfunction("""COMPUTED_VALUE"""),170.95)</f>
        <v>170.95</v>
      </c>
      <c r="D784" s="2" t="n">
        <f aca="false">IFERROR(__xludf.dummyfunction("""COMPUTED_VALUE"""),165.75)</f>
        <v>165.75</v>
      </c>
      <c r="E784" s="2" t="n">
        <f aca="false">IFERROR(__xludf.dummyfunction("""COMPUTED_VALUE"""),168.64)</f>
        <v>168.64</v>
      </c>
      <c r="F784" s="2" t="n">
        <f aca="false">IFERROR(__xludf.dummyfunction("""COMPUTED_VALUE"""),56345122)</f>
        <v>56345122</v>
      </c>
    </row>
    <row r="785" customFormat="false" ht="15.75" hidden="false" customHeight="false" outlineLevel="0" collapsed="false">
      <c r="A785" s="3" t="n">
        <f aca="false">IFERROR(__xludf.dummyfunction("""COMPUTED_VALUE"""),45336.6666666667)</f>
        <v>45336.6666666667</v>
      </c>
      <c r="B785" s="2" t="n">
        <f aca="false">IFERROR(__xludf.dummyfunction("""COMPUTED_VALUE"""),169.21)</f>
        <v>169.21</v>
      </c>
      <c r="C785" s="2" t="n">
        <f aca="false">IFERROR(__xludf.dummyfunction("""COMPUTED_VALUE"""),171.21)</f>
        <v>171.21</v>
      </c>
      <c r="D785" s="2" t="n">
        <f aca="false">IFERROR(__xludf.dummyfunction("""COMPUTED_VALUE"""),168.28)</f>
        <v>168.28</v>
      </c>
      <c r="E785" s="2" t="n">
        <f aca="false">IFERROR(__xludf.dummyfunction("""COMPUTED_VALUE"""),170.98)</f>
        <v>170.98</v>
      </c>
      <c r="F785" s="2" t="n">
        <f aca="false">IFERROR(__xludf.dummyfunction("""COMPUTED_VALUE"""),42815544)</f>
        <v>42815544</v>
      </c>
    </row>
    <row r="786" customFormat="false" ht="15.75" hidden="false" customHeight="false" outlineLevel="0" collapsed="false">
      <c r="A786" s="3" t="n">
        <f aca="false">IFERROR(__xludf.dummyfunction("""COMPUTED_VALUE"""),45337.6666666667)</f>
        <v>45337.6666666667</v>
      </c>
      <c r="B786" s="2" t="n">
        <f aca="false">IFERROR(__xludf.dummyfunction("""COMPUTED_VALUE"""),170.58)</f>
        <v>170.58</v>
      </c>
      <c r="C786" s="2" t="n">
        <f aca="false">IFERROR(__xludf.dummyfunction("""COMPUTED_VALUE"""),171.17)</f>
        <v>171.17</v>
      </c>
      <c r="D786" s="2" t="n">
        <f aca="false">IFERROR(__xludf.dummyfunction("""COMPUTED_VALUE"""),167.59)</f>
        <v>167.59</v>
      </c>
      <c r="E786" s="2" t="n">
        <f aca="false">IFERROR(__xludf.dummyfunction("""COMPUTED_VALUE"""),169.8)</f>
        <v>169.8</v>
      </c>
      <c r="F786" s="2" t="n">
        <f aca="false">IFERROR(__xludf.dummyfunction("""COMPUTED_VALUE"""),49855196)</f>
        <v>49855196</v>
      </c>
    </row>
    <row r="787" customFormat="false" ht="15.75" hidden="false" customHeight="false" outlineLevel="0" collapsed="false">
      <c r="A787" s="3" t="n">
        <f aca="false">IFERROR(__xludf.dummyfunction("""COMPUTED_VALUE"""),45338.6666666667)</f>
        <v>45338.6666666667</v>
      </c>
      <c r="B787" s="2" t="n">
        <f aca="false">IFERROR(__xludf.dummyfunction("""COMPUTED_VALUE"""),168.74)</f>
        <v>168.74</v>
      </c>
      <c r="C787" s="2" t="n">
        <f aca="false">IFERROR(__xludf.dummyfunction("""COMPUTED_VALUE"""),170.42)</f>
        <v>170.42</v>
      </c>
      <c r="D787" s="2" t="n">
        <f aca="false">IFERROR(__xludf.dummyfunction("""COMPUTED_VALUE"""),167.17)</f>
        <v>167.17</v>
      </c>
      <c r="E787" s="2" t="n">
        <f aca="false">IFERROR(__xludf.dummyfunction("""COMPUTED_VALUE"""),169.51)</f>
        <v>169.51</v>
      </c>
      <c r="F787" s="2" t="n">
        <f aca="false">IFERROR(__xludf.dummyfunction("""COMPUTED_VALUE"""),48107744)</f>
        <v>48107744</v>
      </c>
    </row>
    <row r="788" customFormat="false" ht="15.75" hidden="false" customHeight="false" outlineLevel="0" collapsed="false">
      <c r="A788" s="3" t="n">
        <f aca="false">IFERROR(__xludf.dummyfunction("""COMPUTED_VALUE"""),45342.6666666667)</f>
        <v>45342.6666666667</v>
      </c>
      <c r="B788" s="2" t="n">
        <f aca="false">IFERROR(__xludf.dummyfunction("""COMPUTED_VALUE"""),167.83)</f>
        <v>167.83</v>
      </c>
      <c r="C788" s="2" t="n">
        <f aca="false">IFERROR(__xludf.dummyfunction("""COMPUTED_VALUE"""),168.71)</f>
        <v>168.71</v>
      </c>
      <c r="D788" s="2" t="n">
        <f aca="false">IFERROR(__xludf.dummyfunction("""COMPUTED_VALUE"""),165.74)</f>
        <v>165.74</v>
      </c>
      <c r="E788" s="2" t="n">
        <f aca="false">IFERROR(__xludf.dummyfunction("""COMPUTED_VALUE"""),167.08)</f>
        <v>167.08</v>
      </c>
      <c r="F788" s="2" t="n">
        <f aca="false">IFERROR(__xludf.dummyfunction("""COMPUTED_VALUE"""),41980326)</f>
        <v>41980326</v>
      </c>
    </row>
    <row r="789" customFormat="false" ht="15.75" hidden="false" customHeight="false" outlineLevel="0" collapsed="false">
      <c r="A789" s="3" t="n">
        <f aca="false">IFERROR(__xludf.dummyfunction("""COMPUTED_VALUE"""),45343.6666666667)</f>
        <v>45343.6666666667</v>
      </c>
      <c r="B789" s="2" t="n">
        <f aca="false">IFERROR(__xludf.dummyfunction("""COMPUTED_VALUE"""),168.94)</f>
        <v>168.94</v>
      </c>
      <c r="C789" s="2" t="n">
        <f aca="false">IFERROR(__xludf.dummyfunction("""COMPUTED_VALUE"""),170.23)</f>
        <v>170.23</v>
      </c>
      <c r="D789" s="2" t="n">
        <f aca="false">IFERROR(__xludf.dummyfunction("""COMPUTED_VALUE"""),167.14)</f>
        <v>167.14</v>
      </c>
      <c r="E789" s="2" t="n">
        <f aca="false">IFERROR(__xludf.dummyfunction("""COMPUTED_VALUE"""),168.59)</f>
        <v>168.59</v>
      </c>
      <c r="F789" s="2" t="n">
        <f aca="false">IFERROR(__xludf.dummyfunction("""COMPUTED_VALUE"""),44575623)</f>
        <v>44575623</v>
      </c>
    </row>
    <row r="790" customFormat="false" ht="15.75" hidden="false" customHeight="false" outlineLevel="0" collapsed="false">
      <c r="A790" s="3" t="n">
        <f aca="false">IFERROR(__xludf.dummyfunction("""COMPUTED_VALUE"""),45344.6666666667)</f>
        <v>45344.6666666667</v>
      </c>
      <c r="B790" s="2" t="n">
        <f aca="false">IFERROR(__xludf.dummyfunction("""COMPUTED_VALUE"""),173.1)</f>
        <v>173.1</v>
      </c>
      <c r="C790" s="2" t="n">
        <f aca="false">IFERROR(__xludf.dummyfunction("""COMPUTED_VALUE"""),174.8)</f>
        <v>174.8</v>
      </c>
      <c r="D790" s="2" t="n">
        <f aca="false">IFERROR(__xludf.dummyfunction("""COMPUTED_VALUE"""),171.77)</f>
        <v>171.77</v>
      </c>
      <c r="E790" s="2" t="n">
        <f aca="false">IFERROR(__xludf.dummyfunction("""COMPUTED_VALUE"""),174.58)</f>
        <v>174.58</v>
      </c>
      <c r="F790" s="2" t="n">
        <f aca="false">IFERROR(__xludf.dummyfunction("""COMPUTED_VALUE"""),55392354)</f>
        <v>55392354</v>
      </c>
    </row>
    <row r="791" customFormat="false" ht="15.75" hidden="false" customHeight="false" outlineLevel="0" collapsed="false">
      <c r="A791" s="3" t="n">
        <f aca="false">IFERROR(__xludf.dummyfunction("""COMPUTED_VALUE"""),45345.6666666667)</f>
        <v>45345.6666666667</v>
      </c>
      <c r="B791" s="2" t="n">
        <f aca="false">IFERROR(__xludf.dummyfunction("""COMPUTED_VALUE"""),174.28)</f>
        <v>174.28</v>
      </c>
      <c r="C791" s="2" t="n">
        <f aca="false">IFERROR(__xludf.dummyfunction("""COMPUTED_VALUE"""),175.75)</f>
        <v>175.75</v>
      </c>
      <c r="D791" s="2" t="n">
        <f aca="false">IFERROR(__xludf.dummyfunction("""COMPUTED_VALUE"""),173.7)</f>
        <v>173.7</v>
      </c>
      <c r="E791" s="2" t="n">
        <f aca="false">IFERROR(__xludf.dummyfunction("""COMPUTED_VALUE"""),174.99)</f>
        <v>174.99</v>
      </c>
      <c r="F791" s="2" t="n">
        <f aca="false">IFERROR(__xludf.dummyfunction("""COMPUTED_VALUE"""),59715243)</f>
        <v>59715243</v>
      </c>
    </row>
    <row r="792" customFormat="false" ht="15.75" hidden="false" customHeight="false" outlineLevel="0" collapsed="false">
      <c r="A792" s="3" t="n">
        <f aca="false">IFERROR(__xludf.dummyfunction("""COMPUTED_VALUE"""),45348.6666666667)</f>
        <v>45348.6666666667</v>
      </c>
      <c r="B792" s="2" t="n">
        <f aca="false">IFERROR(__xludf.dummyfunction("""COMPUTED_VALUE"""),175.7)</f>
        <v>175.7</v>
      </c>
      <c r="C792" s="2" t="n">
        <f aca="false">IFERROR(__xludf.dummyfunction("""COMPUTED_VALUE"""),176.37)</f>
        <v>176.37</v>
      </c>
      <c r="D792" s="2" t="n">
        <f aca="false">IFERROR(__xludf.dummyfunction("""COMPUTED_VALUE"""),174.26)</f>
        <v>174.26</v>
      </c>
      <c r="E792" s="2" t="n">
        <f aca="false">IFERROR(__xludf.dummyfunction("""COMPUTED_VALUE"""),174.73)</f>
        <v>174.73</v>
      </c>
      <c r="F792" s="2" t="n">
        <f aca="false">IFERROR(__xludf.dummyfunction("""COMPUTED_VALUE"""),44368614)</f>
        <v>44368614</v>
      </c>
    </row>
    <row r="793" customFormat="false" ht="15.75" hidden="false" customHeight="false" outlineLevel="0" collapsed="false">
      <c r="A793" s="3" t="n">
        <f aca="false">IFERROR(__xludf.dummyfunction("""COMPUTED_VALUE"""),45349.6666666667)</f>
        <v>45349.6666666667</v>
      </c>
      <c r="B793" s="2" t="n">
        <f aca="false">IFERROR(__xludf.dummyfunction("""COMPUTED_VALUE"""),174.08)</f>
        <v>174.08</v>
      </c>
      <c r="C793" s="2" t="n">
        <f aca="false">IFERROR(__xludf.dummyfunction("""COMPUTED_VALUE"""),174.62)</f>
        <v>174.62</v>
      </c>
      <c r="D793" s="2" t="n">
        <f aca="false">IFERROR(__xludf.dummyfunction("""COMPUTED_VALUE"""),172.86)</f>
        <v>172.86</v>
      </c>
      <c r="E793" s="2" t="n">
        <f aca="false">IFERROR(__xludf.dummyfunction("""COMPUTED_VALUE"""),173.54)</f>
        <v>173.54</v>
      </c>
      <c r="F793" s="2" t="n">
        <f aca="false">IFERROR(__xludf.dummyfunction("""COMPUTED_VALUE"""),31141732)</f>
        <v>31141732</v>
      </c>
    </row>
    <row r="794" customFormat="false" ht="15.75" hidden="false" customHeight="false" outlineLevel="0" collapsed="false">
      <c r="A794" s="3" t="n">
        <f aca="false">IFERROR(__xludf.dummyfunction("""COMPUTED_VALUE"""),45350.6666666667)</f>
        <v>45350.6666666667</v>
      </c>
      <c r="B794" s="2" t="n">
        <f aca="false">IFERROR(__xludf.dummyfunction("""COMPUTED_VALUE"""),172.44)</f>
        <v>172.44</v>
      </c>
      <c r="C794" s="2" t="n">
        <f aca="false">IFERROR(__xludf.dummyfunction("""COMPUTED_VALUE"""),174.05)</f>
        <v>174.05</v>
      </c>
      <c r="D794" s="2" t="n">
        <f aca="false">IFERROR(__xludf.dummyfunction("""COMPUTED_VALUE"""),172.27)</f>
        <v>172.27</v>
      </c>
      <c r="E794" s="2" t="n">
        <f aca="false">IFERROR(__xludf.dummyfunction("""COMPUTED_VALUE"""),173.16)</f>
        <v>173.16</v>
      </c>
      <c r="F794" s="2" t="n">
        <f aca="false">IFERROR(__xludf.dummyfunction("""COMPUTED_VALUE"""),28180482)</f>
        <v>28180482</v>
      </c>
    </row>
    <row r="795" customFormat="false" ht="15.75" hidden="false" customHeight="false" outlineLevel="0" collapsed="false">
      <c r="A795" s="3" t="n">
        <f aca="false">IFERROR(__xludf.dummyfunction("""COMPUTED_VALUE"""),45351.6666666667)</f>
        <v>45351.6666666667</v>
      </c>
      <c r="B795" s="2" t="n">
        <f aca="false">IFERROR(__xludf.dummyfunction("""COMPUTED_VALUE"""),173.01)</f>
        <v>173.01</v>
      </c>
      <c r="C795" s="2" t="n">
        <f aca="false">IFERROR(__xludf.dummyfunction("""COMPUTED_VALUE"""),177.22)</f>
        <v>177.22</v>
      </c>
      <c r="D795" s="2" t="n">
        <f aca="false">IFERROR(__xludf.dummyfunction("""COMPUTED_VALUE"""),172.85)</f>
        <v>172.85</v>
      </c>
      <c r="E795" s="2" t="n">
        <f aca="false">IFERROR(__xludf.dummyfunction("""COMPUTED_VALUE"""),176.76)</f>
        <v>176.76</v>
      </c>
      <c r="F795" s="2" t="n">
        <f aca="false">IFERROR(__xludf.dummyfunction("""COMPUTED_VALUE"""),53805359)</f>
        <v>53805359</v>
      </c>
    </row>
    <row r="796" customFormat="false" ht="15.75" hidden="false" customHeight="false" outlineLevel="0" collapsed="false">
      <c r="A796" s="3" t="n">
        <f aca="false">IFERROR(__xludf.dummyfunction("""COMPUTED_VALUE"""),45352.6666666667)</f>
        <v>45352.6666666667</v>
      </c>
      <c r="B796" s="2" t="n">
        <f aca="false">IFERROR(__xludf.dummyfunction("""COMPUTED_VALUE"""),176.75)</f>
        <v>176.75</v>
      </c>
      <c r="C796" s="2" t="n">
        <f aca="false">IFERROR(__xludf.dummyfunction("""COMPUTED_VALUE"""),178.73)</f>
        <v>178.73</v>
      </c>
      <c r="D796" s="2" t="n">
        <f aca="false">IFERROR(__xludf.dummyfunction("""COMPUTED_VALUE"""),176.07)</f>
        <v>176.07</v>
      </c>
      <c r="E796" s="2" t="n">
        <f aca="false">IFERROR(__xludf.dummyfunction("""COMPUTED_VALUE"""),178.22)</f>
        <v>178.22</v>
      </c>
      <c r="F796" s="2" t="n">
        <f aca="false">IFERROR(__xludf.dummyfunction("""COMPUTED_VALUE"""),31981152)</f>
        <v>31981152</v>
      </c>
    </row>
    <row r="797" customFormat="false" ht="15.75" hidden="false" customHeight="false" outlineLevel="0" collapsed="false">
      <c r="A797" s="3" t="n">
        <f aca="false">IFERROR(__xludf.dummyfunction("""COMPUTED_VALUE"""),45355.6666666667)</f>
        <v>45355.6666666667</v>
      </c>
      <c r="B797" s="2" t="n">
        <f aca="false">IFERROR(__xludf.dummyfunction("""COMPUTED_VALUE"""),177.53)</f>
        <v>177.53</v>
      </c>
      <c r="C797" s="2" t="n">
        <f aca="false">IFERROR(__xludf.dummyfunction("""COMPUTED_VALUE"""),180.14)</f>
        <v>180.14</v>
      </c>
      <c r="D797" s="2" t="n">
        <f aca="false">IFERROR(__xludf.dummyfunction("""COMPUTED_VALUE"""),177.49)</f>
        <v>177.49</v>
      </c>
      <c r="E797" s="2" t="n">
        <f aca="false">IFERROR(__xludf.dummyfunction("""COMPUTED_VALUE"""),177.58)</f>
        <v>177.58</v>
      </c>
      <c r="F797" s="2" t="n">
        <f aca="false">IFERROR(__xludf.dummyfunction("""COMPUTED_VALUE"""),37381520)</f>
        <v>37381520</v>
      </c>
    </row>
    <row r="798" customFormat="false" ht="15.75" hidden="false" customHeight="false" outlineLevel="0" collapsed="false">
      <c r="A798" s="3" t="n">
        <f aca="false">IFERROR(__xludf.dummyfunction("""COMPUTED_VALUE"""),45356.6666666667)</f>
        <v>45356.6666666667</v>
      </c>
      <c r="B798" s="2" t="n">
        <f aca="false">IFERROR(__xludf.dummyfunction("""COMPUTED_VALUE"""),176.93)</f>
        <v>176.93</v>
      </c>
      <c r="C798" s="2" t="n">
        <f aca="false">IFERROR(__xludf.dummyfunction("""COMPUTED_VALUE"""),176.93)</f>
        <v>176.93</v>
      </c>
      <c r="D798" s="2" t="n">
        <f aca="false">IFERROR(__xludf.dummyfunction("""COMPUTED_VALUE"""),173.3)</f>
        <v>173.3</v>
      </c>
      <c r="E798" s="2" t="n">
        <f aca="false">IFERROR(__xludf.dummyfunction("""COMPUTED_VALUE"""),174.12)</f>
        <v>174.12</v>
      </c>
      <c r="F798" s="2" t="n">
        <f aca="false">IFERROR(__xludf.dummyfunction("""COMPUTED_VALUE"""),37228343)</f>
        <v>37228343</v>
      </c>
    </row>
    <row r="799" customFormat="false" ht="15.75" hidden="false" customHeight="false" outlineLevel="0" collapsed="false">
      <c r="A799" s="3" t="n">
        <f aca="false">IFERROR(__xludf.dummyfunction("""COMPUTED_VALUE"""),45357.6666666667)</f>
        <v>45357.6666666667</v>
      </c>
      <c r="B799" s="2" t="n">
        <f aca="false">IFERROR(__xludf.dummyfunction("""COMPUTED_VALUE"""),175.54)</f>
        <v>175.54</v>
      </c>
      <c r="C799" s="2" t="n">
        <f aca="false">IFERROR(__xludf.dummyfunction("""COMPUTED_VALUE"""),176.46)</f>
        <v>176.46</v>
      </c>
      <c r="D799" s="2" t="n">
        <f aca="false">IFERROR(__xludf.dummyfunction("""COMPUTED_VALUE"""),173.26)</f>
        <v>173.26</v>
      </c>
      <c r="E799" s="2" t="n">
        <f aca="false">IFERROR(__xludf.dummyfunction("""COMPUTED_VALUE"""),173.51)</f>
        <v>173.51</v>
      </c>
      <c r="F799" s="2" t="n">
        <f aca="false">IFERROR(__xludf.dummyfunction("""COMPUTED_VALUE"""),32090926)</f>
        <v>32090926</v>
      </c>
    </row>
    <row r="800" customFormat="false" ht="15.75" hidden="false" customHeight="false" outlineLevel="0" collapsed="false">
      <c r="A800" s="3" t="n">
        <f aca="false">IFERROR(__xludf.dummyfunction("""COMPUTED_VALUE"""),45358.6666666667)</f>
        <v>45358.6666666667</v>
      </c>
      <c r="B800" s="2" t="n">
        <f aca="false">IFERROR(__xludf.dummyfunction("""COMPUTED_VALUE"""),174.83)</f>
        <v>174.83</v>
      </c>
      <c r="C800" s="2" t="n">
        <f aca="false">IFERROR(__xludf.dummyfunction("""COMPUTED_VALUE"""),177.99)</f>
        <v>177.99</v>
      </c>
      <c r="D800" s="2" t="n">
        <f aca="false">IFERROR(__xludf.dummyfunction("""COMPUTED_VALUE"""),173.72)</f>
        <v>173.72</v>
      </c>
      <c r="E800" s="2" t="n">
        <f aca="false">IFERROR(__xludf.dummyfunction("""COMPUTED_VALUE"""),176.82)</f>
        <v>176.82</v>
      </c>
      <c r="F800" s="2" t="n">
        <f aca="false">IFERROR(__xludf.dummyfunction("""COMPUTED_VALUE"""),34063283)</f>
        <v>34063283</v>
      </c>
    </row>
    <row r="801" customFormat="false" ht="15.75" hidden="false" customHeight="false" outlineLevel="0" collapsed="false">
      <c r="A801" s="3" t="n">
        <f aca="false">IFERROR(__xludf.dummyfunction("""COMPUTED_VALUE"""),45359.6666666667)</f>
        <v>45359.6666666667</v>
      </c>
      <c r="B801" s="2" t="n">
        <f aca="false">IFERROR(__xludf.dummyfunction("""COMPUTED_VALUE"""),176.44)</f>
        <v>176.44</v>
      </c>
      <c r="C801" s="2" t="n">
        <f aca="false">IFERROR(__xludf.dummyfunction("""COMPUTED_VALUE"""),178.79)</f>
        <v>178.79</v>
      </c>
      <c r="D801" s="2" t="n">
        <f aca="false">IFERROR(__xludf.dummyfunction("""COMPUTED_VALUE"""),174.33)</f>
        <v>174.33</v>
      </c>
      <c r="E801" s="2" t="n">
        <f aca="false">IFERROR(__xludf.dummyfunction("""COMPUTED_VALUE"""),175.35)</f>
        <v>175.35</v>
      </c>
      <c r="F801" s="2" t="n">
        <f aca="false">IFERROR(__xludf.dummyfunction("""COMPUTED_VALUE"""),37893242)</f>
        <v>37893242</v>
      </c>
    </row>
    <row r="802" customFormat="false" ht="15.75" hidden="false" customHeight="false" outlineLevel="0" collapsed="false">
      <c r="A802" s="3" t="n">
        <f aca="false">IFERROR(__xludf.dummyfunction("""COMPUTED_VALUE"""),45362.6666666667)</f>
        <v>45362.6666666667</v>
      </c>
      <c r="B802" s="2" t="n">
        <f aca="false">IFERROR(__xludf.dummyfunction("""COMPUTED_VALUE"""),174.31)</f>
        <v>174.31</v>
      </c>
      <c r="C802" s="2" t="n">
        <f aca="false">IFERROR(__xludf.dummyfunction("""COMPUTED_VALUE"""),174.47)</f>
        <v>174.47</v>
      </c>
      <c r="D802" s="2" t="n">
        <f aca="false">IFERROR(__xludf.dummyfunction("""COMPUTED_VALUE"""),171.47)</f>
        <v>171.47</v>
      </c>
      <c r="E802" s="2" t="n">
        <f aca="false">IFERROR(__xludf.dummyfunction("""COMPUTED_VALUE"""),171.96)</f>
        <v>171.96</v>
      </c>
      <c r="F802" s="2" t="n">
        <f aca="false">IFERROR(__xludf.dummyfunction("""COMPUTED_VALUE"""),28484777)</f>
        <v>28484777</v>
      </c>
    </row>
    <row r="803" customFormat="false" ht="15.75" hidden="false" customHeight="false" outlineLevel="0" collapsed="false">
      <c r="A803" s="3" t="n">
        <f aca="false">IFERROR(__xludf.dummyfunction("""COMPUTED_VALUE"""),45363.6666666667)</f>
        <v>45363.6666666667</v>
      </c>
      <c r="B803" s="2" t="n">
        <f aca="false">IFERROR(__xludf.dummyfunction("""COMPUTED_VALUE"""),173.5)</f>
        <v>173.5</v>
      </c>
      <c r="C803" s="2" t="n">
        <f aca="false">IFERROR(__xludf.dummyfunction("""COMPUTED_VALUE"""),176.76)</f>
        <v>176.76</v>
      </c>
      <c r="D803" s="2" t="n">
        <f aca="false">IFERROR(__xludf.dummyfunction("""COMPUTED_VALUE"""),171.98)</f>
        <v>171.98</v>
      </c>
      <c r="E803" s="2" t="n">
        <f aca="false">IFERROR(__xludf.dummyfunction("""COMPUTED_VALUE"""),175.39)</f>
        <v>175.39</v>
      </c>
      <c r="F803" s="2" t="n">
        <f aca="false">IFERROR(__xludf.dummyfunction("""COMPUTED_VALUE"""),36610604)</f>
        <v>36610604</v>
      </c>
    </row>
    <row r="804" customFormat="false" ht="15.75" hidden="false" customHeight="false" outlineLevel="0" collapsed="false">
      <c r="A804" s="3" t="n">
        <f aca="false">IFERROR(__xludf.dummyfunction("""COMPUTED_VALUE"""),45364.6666666667)</f>
        <v>45364.6666666667</v>
      </c>
      <c r="B804" s="2" t="n">
        <f aca="false">IFERROR(__xludf.dummyfunction("""COMPUTED_VALUE"""),175.9)</f>
        <v>175.9</v>
      </c>
      <c r="C804" s="2" t="n">
        <f aca="false">IFERROR(__xludf.dummyfunction("""COMPUTED_VALUE"""),177.62)</f>
        <v>177.62</v>
      </c>
      <c r="D804" s="2" t="n">
        <f aca="false">IFERROR(__xludf.dummyfunction("""COMPUTED_VALUE"""),175.55)</f>
        <v>175.55</v>
      </c>
      <c r="E804" s="2" t="n">
        <f aca="false">IFERROR(__xludf.dummyfunction("""COMPUTED_VALUE"""),176.56)</f>
        <v>176.56</v>
      </c>
      <c r="F804" s="2" t="n">
        <f aca="false">IFERROR(__xludf.dummyfunction("""COMPUTED_VALUE"""),30772600)</f>
        <v>30772600</v>
      </c>
    </row>
    <row r="805" customFormat="false" ht="15.75" hidden="false" customHeight="false" outlineLevel="0" collapsed="false">
      <c r="A805" s="3" t="n">
        <f aca="false">IFERROR(__xludf.dummyfunction("""COMPUTED_VALUE"""),45365.6666666667)</f>
        <v>45365.6666666667</v>
      </c>
      <c r="B805" s="2" t="n">
        <f aca="false">IFERROR(__xludf.dummyfunction("""COMPUTED_VALUE"""),177.69)</f>
        <v>177.69</v>
      </c>
      <c r="C805" s="2" t="n">
        <f aca="false">IFERROR(__xludf.dummyfunction("""COMPUTED_VALUE"""),179.53)</f>
        <v>179.53</v>
      </c>
      <c r="D805" s="2" t="n">
        <f aca="false">IFERROR(__xludf.dummyfunction("""COMPUTED_VALUE"""),176.47)</f>
        <v>176.47</v>
      </c>
      <c r="E805" s="2" t="n">
        <f aca="false">IFERROR(__xludf.dummyfunction("""COMPUTED_VALUE"""),178.75)</f>
        <v>178.75</v>
      </c>
      <c r="F805" s="2" t="n">
        <f aca="false">IFERROR(__xludf.dummyfunction("""COMPUTED_VALUE"""),43705840)</f>
        <v>43705840</v>
      </c>
    </row>
    <row r="806" customFormat="false" ht="15.75" hidden="false" customHeight="false" outlineLevel="0" collapsed="false">
      <c r="A806" s="3" t="n">
        <f aca="false">IFERROR(__xludf.dummyfunction("""COMPUTED_VALUE"""),45366.6666666667)</f>
        <v>45366.6666666667</v>
      </c>
      <c r="B806" s="2" t="n">
        <f aca="false">IFERROR(__xludf.dummyfunction("""COMPUTED_VALUE"""),176.64)</f>
        <v>176.64</v>
      </c>
      <c r="C806" s="2" t="n">
        <f aca="false">IFERROR(__xludf.dummyfunction("""COMPUTED_VALUE"""),177.93)</f>
        <v>177.93</v>
      </c>
      <c r="D806" s="2" t="n">
        <f aca="false">IFERROR(__xludf.dummyfunction("""COMPUTED_VALUE"""),173.9)</f>
        <v>173.9</v>
      </c>
      <c r="E806" s="2" t="n">
        <f aca="false">IFERROR(__xludf.dummyfunction("""COMPUTED_VALUE"""),174.42)</f>
        <v>174.42</v>
      </c>
      <c r="F806" s="2" t="n">
        <f aca="false">IFERROR(__xludf.dummyfunction("""COMPUTED_VALUE"""),72147390)</f>
        <v>72147390</v>
      </c>
    </row>
    <row r="807" customFormat="false" ht="15.75" hidden="false" customHeight="false" outlineLevel="0" collapsed="false">
      <c r="A807" s="3" t="n">
        <f aca="false">IFERROR(__xludf.dummyfunction("""COMPUTED_VALUE"""),45369.6666666667)</f>
        <v>45369.6666666667</v>
      </c>
      <c r="B807" s="2" t="n">
        <f aca="false">IFERROR(__xludf.dummyfunction("""COMPUTED_VALUE"""),175.8)</f>
        <v>175.8</v>
      </c>
      <c r="C807" s="2" t="n">
        <f aca="false">IFERROR(__xludf.dummyfunction("""COMPUTED_VALUE"""),176.69)</f>
        <v>176.69</v>
      </c>
      <c r="D807" s="2" t="n">
        <f aca="false">IFERROR(__xludf.dummyfunction("""COMPUTED_VALUE"""),174.28)</f>
        <v>174.28</v>
      </c>
      <c r="E807" s="2" t="n">
        <f aca="false">IFERROR(__xludf.dummyfunction("""COMPUTED_VALUE"""),174.48)</f>
        <v>174.48</v>
      </c>
      <c r="F807" s="2" t="n">
        <f aca="false">IFERROR(__xludf.dummyfunction("""COMPUTED_VALUE"""),31250688)</f>
        <v>31250688</v>
      </c>
    </row>
    <row r="808" customFormat="false" ht="15.75" hidden="false" customHeight="false" outlineLevel="0" collapsed="false">
      <c r="A808" s="3" t="n">
        <f aca="false">IFERROR(__xludf.dummyfunction("""COMPUTED_VALUE"""),45370.6666666667)</f>
        <v>45370.6666666667</v>
      </c>
      <c r="B808" s="2" t="n">
        <f aca="false">IFERROR(__xludf.dummyfunction("""COMPUTED_VALUE"""),174.22)</f>
        <v>174.22</v>
      </c>
      <c r="C808" s="2" t="n">
        <f aca="false">IFERROR(__xludf.dummyfunction("""COMPUTED_VALUE"""),176.09)</f>
        <v>176.09</v>
      </c>
      <c r="D808" s="2" t="n">
        <f aca="false">IFERROR(__xludf.dummyfunction("""COMPUTED_VALUE"""),173.52)</f>
        <v>173.52</v>
      </c>
      <c r="E808" s="2" t="n">
        <f aca="false">IFERROR(__xludf.dummyfunction("""COMPUTED_VALUE"""),175.9)</f>
        <v>175.9</v>
      </c>
      <c r="F808" s="2" t="n">
        <f aca="false">IFERROR(__xludf.dummyfunction("""COMPUTED_VALUE"""),26880893)</f>
        <v>26880893</v>
      </c>
    </row>
    <row r="809" customFormat="false" ht="15.75" hidden="false" customHeight="false" outlineLevel="0" collapsed="false">
      <c r="A809" s="3" t="n">
        <f aca="false">IFERROR(__xludf.dummyfunction("""COMPUTED_VALUE"""),45371.6666666667)</f>
        <v>45371.6666666667</v>
      </c>
      <c r="B809" s="2" t="n">
        <f aca="false">IFERROR(__xludf.dummyfunction("""COMPUTED_VALUE"""),176.14)</f>
        <v>176.14</v>
      </c>
      <c r="C809" s="2" t="n">
        <f aca="false">IFERROR(__xludf.dummyfunction("""COMPUTED_VALUE"""),178.53)</f>
        <v>178.53</v>
      </c>
      <c r="D809" s="2" t="n">
        <f aca="false">IFERROR(__xludf.dummyfunction("""COMPUTED_VALUE"""),174.64)</f>
        <v>174.64</v>
      </c>
      <c r="E809" s="2" t="n">
        <f aca="false">IFERROR(__xludf.dummyfunction("""COMPUTED_VALUE"""),178.15)</f>
        <v>178.15</v>
      </c>
      <c r="F809" s="2" t="n">
        <f aca="false">IFERROR(__xludf.dummyfunction("""COMPUTED_VALUE"""),29947150)</f>
        <v>29947150</v>
      </c>
    </row>
    <row r="810" customFormat="false" ht="15.75" hidden="false" customHeight="false" outlineLevel="0" collapsed="false">
      <c r="A810" s="3" t="n">
        <f aca="false">IFERROR(__xludf.dummyfunction("""COMPUTED_VALUE"""),45372.6666666667)</f>
        <v>45372.6666666667</v>
      </c>
      <c r="B810" s="2" t="n">
        <f aca="false">IFERROR(__xludf.dummyfunction("""COMPUTED_VALUE"""),179.99)</f>
        <v>179.99</v>
      </c>
      <c r="C810" s="2" t="n">
        <f aca="false">IFERROR(__xludf.dummyfunction("""COMPUTED_VALUE"""),181.42)</f>
        <v>181.42</v>
      </c>
      <c r="D810" s="2" t="n">
        <f aca="false">IFERROR(__xludf.dummyfunction("""COMPUTED_VALUE"""),178.15)</f>
        <v>178.15</v>
      </c>
      <c r="E810" s="2" t="n">
        <f aca="false">IFERROR(__xludf.dummyfunction("""COMPUTED_VALUE"""),178.15)</f>
        <v>178.15</v>
      </c>
      <c r="F810" s="2" t="n">
        <f aca="false">IFERROR(__xludf.dummyfunction("""COMPUTED_VALUE"""),32824320)</f>
        <v>32824320</v>
      </c>
    </row>
    <row r="811" customFormat="false" ht="15.75" hidden="false" customHeight="false" outlineLevel="0" collapsed="false">
      <c r="A811" s="3" t="n">
        <f aca="false">IFERROR(__xludf.dummyfunction("""COMPUTED_VALUE"""),45373.6666666667)</f>
        <v>45373.6666666667</v>
      </c>
      <c r="B811" s="2" t="n">
        <f aca="false">IFERROR(__xludf.dummyfunction("""COMPUTED_VALUE"""),177.75)</f>
        <v>177.75</v>
      </c>
      <c r="C811" s="2" t="n">
        <f aca="false">IFERROR(__xludf.dummyfunction("""COMPUTED_VALUE"""),179.26)</f>
        <v>179.26</v>
      </c>
      <c r="D811" s="2" t="n">
        <f aca="false">IFERROR(__xludf.dummyfunction("""COMPUTED_VALUE"""),176.75)</f>
        <v>176.75</v>
      </c>
      <c r="E811" s="2" t="n">
        <f aca="false">IFERROR(__xludf.dummyfunction("""COMPUTED_VALUE"""),178.87)</f>
        <v>178.87</v>
      </c>
      <c r="F811" s="2" t="n">
        <f aca="false">IFERROR(__xludf.dummyfunction("""COMPUTED_VALUE"""),27995378)</f>
        <v>27995378</v>
      </c>
    </row>
    <row r="812" customFormat="false" ht="15.75" hidden="false" customHeight="false" outlineLevel="0" collapsed="false">
      <c r="A812" s="3" t="n">
        <f aca="false">IFERROR(__xludf.dummyfunction("""COMPUTED_VALUE"""),45376.6666666667)</f>
        <v>45376.6666666667</v>
      </c>
      <c r="B812" s="2" t="n">
        <f aca="false">IFERROR(__xludf.dummyfunction("""COMPUTED_VALUE"""),178.01)</f>
        <v>178.01</v>
      </c>
      <c r="C812" s="2" t="n">
        <f aca="false">IFERROR(__xludf.dummyfunction("""COMPUTED_VALUE"""),180.99)</f>
        <v>180.99</v>
      </c>
      <c r="D812" s="2" t="n">
        <f aca="false">IFERROR(__xludf.dummyfunction("""COMPUTED_VALUE"""),177.24)</f>
        <v>177.24</v>
      </c>
      <c r="E812" s="2" t="n">
        <f aca="false">IFERROR(__xludf.dummyfunction("""COMPUTED_VALUE"""),179.71)</f>
        <v>179.71</v>
      </c>
      <c r="F812" s="2" t="n">
        <f aca="false">IFERROR(__xludf.dummyfunction("""COMPUTED_VALUE"""),29815464)</f>
        <v>29815464</v>
      </c>
    </row>
    <row r="813" customFormat="false" ht="15.75" hidden="false" customHeight="false" outlineLevel="0" collapsed="false">
      <c r="A813" s="3" t="n">
        <f aca="false">IFERROR(__xludf.dummyfunction("""COMPUTED_VALUE"""),45377.6666666667)</f>
        <v>45377.6666666667</v>
      </c>
      <c r="B813" s="2" t="n">
        <f aca="false">IFERROR(__xludf.dummyfunction("""COMPUTED_VALUE"""),180.15)</f>
        <v>180.15</v>
      </c>
      <c r="C813" s="2" t="n">
        <f aca="false">IFERROR(__xludf.dummyfunction("""COMPUTED_VALUE"""),180.45)</f>
        <v>180.45</v>
      </c>
      <c r="D813" s="2" t="n">
        <f aca="false">IFERROR(__xludf.dummyfunction("""COMPUTED_VALUE"""),177.95)</f>
        <v>177.95</v>
      </c>
      <c r="E813" s="2" t="n">
        <f aca="false">IFERROR(__xludf.dummyfunction("""COMPUTED_VALUE"""),178.3)</f>
        <v>178.3</v>
      </c>
      <c r="F813" s="2" t="n">
        <f aca="false">IFERROR(__xludf.dummyfunction("""COMPUTED_VALUE"""),29658982)</f>
        <v>29658982</v>
      </c>
    </row>
    <row r="814" customFormat="false" ht="15.75" hidden="false" customHeight="false" outlineLevel="0" collapsed="false">
      <c r="A814" s="3" t="n">
        <f aca="false">IFERROR(__xludf.dummyfunction("""COMPUTED_VALUE"""),45378.6666666667)</f>
        <v>45378.6666666667</v>
      </c>
      <c r="B814" s="2" t="n">
        <f aca="false">IFERROR(__xludf.dummyfunction("""COMPUTED_VALUE"""),179.88)</f>
        <v>179.88</v>
      </c>
      <c r="C814" s="2" t="n">
        <f aca="false">IFERROR(__xludf.dummyfunction("""COMPUTED_VALUE"""),180)</f>
        <v>180</v>
      </c>
      <c r="D814" s="2" t="n">
        <f aca="false">IFERROR(__xludf.dummyfunction("""COMPUTED_VALUE"""),177.31)</f>
        <v>177.31</v>
      </c>
      <c r="E814" s="2" t="n">
        <f aca="false">IFERROR(__xludf.dummyfunction("""COMPUTED_VALUE"""),179.83)</f>
        <v>179.83</v>
      </c>
      <c r="F814" s="2" t="n">
        <f aca="false">IFERROR(__xludf.dummyfunction("""COMPUTED_VALUE"""),33272551)</f>
        <v>33272551</v>
      </c>
    </row>
    <row r="815" customFormat="false" ht="15.75" hidden="false" customHeight="false" outlineLevel="0" collapsed="false">
      <c r="A815" s="3" t="n">
        <f aca="false">IFERROR(__xludf.dummyfunction("""COMPUTED_VALUE"""),45379.6666666667)</f>
        <v>45379.6666666667</v>
      </c>
      <c r="B815" s="2" t="n">
        <f aca="false">IFERROR(__xludf.dummyfunction("""COMPUTED_VALUE"""),180.17)</f>
        <v>180.17</v>
      </c>
      <c r="C815" s="2" t="n">
        <f aca="false">IFERROR(__xludf.dummyfunction("""COMPUTED_VALUE"""),181.7)</f>
        <v>181.7</v>
      </c>
      <c r="D815" s="2" t="n">
        <f aca="false">IFERROR(__xludf.dummyfunction("""COMPUTED_VALUE"""),179.26)</f>
        <v>179.26</v>
      </c>
      <c r="E815" s="2" t="n">
        <f aca="false">IFERROR(__xludf.dummyfunction("""COMPUTED_VALUE"""),180.38)</f>
        <v>180.38</v>
      </c>
      <c r="F815" s="2" t="n">
        <f aca="false">IFERROR(__xludf.dummyfunction("""COMPUTED_VALUE"""),38051588)</f>
        <v>38051588</v>
      </c>
    </row>
    <row r="816" customFormat="false" ht="15.75" hidden="false" customHeight="false" outlineLevel="0" collapsed="false">
      <c r="A816" s="3" t="n">
        <f aca="false">IFERROR(__xludf.dummyfunction("""COMPUTED_VALUE"""),45383.6666666667)</f>
        <v>45383.6666666667</v>
      </c>
      <c r="B816" s="2" t="n">
        <f aca="false">IFERROR(__xludf.dummyfunction("""COMPUTED_VALUE"""),180.79)</f>
        <v>180.79</v>
      </c>
      <c r="C816" s="2" t="n">
        <f aca="false">IFERROR(__xludf.dummyfunction("""COMPUTED_VALUE"""),183)</f>
        <v>183</v>
      </c>
      <c r="D816" s="2" t="n">
        <f aca="false">IFERROR(__xludf.dummyfunction("""COMPUTED_VALUE"""),179.95)</f>
        <v>179.95</v>
      </c>
      <c r="E816" s="2" t="n">
        <f aca="false">IFERROR(__xludf.dummyfunction("""COMPUTED_VALUE"""),180.97)</f>
        <v>180.97</v>
      </c>
      <c r="F816" s="2" t="n">
        <f aca="false">IFERROR(__xludf.dummyfunction("""COMPUTED_VALUE"""),29174521)</f>
        <v>29174521</v>
      </c>
    </row>
    <row r="817" customFormat="false" ht="15.75" hidden="false" customHeight="false" outlineLevel="0" collapsed="false">
      <c r="A817" s="3" t="n">
        <f aca="false">IFERROR(__xludf.dummyfunction("""COMPUTED_VALUE"""),45384.6666666667)</f>
        <v>45384.6666666667</v>
      </c>
      <c r="B817" s="2" t="n">
        <f aca="false">IFERROR(__xludf.dummyfunction("""COMPUTED_VALUE"""),179.07)</f>
        <v>179.07</v>
      </c>
      <c r="C817" s="2" t="n">
        <f aca="false">IFERROR(__xludf.dummyfunction("""COMPUTED_VALUE"""),180.79)</f>
        <v>180.79</v>
      </c>
      <c r="D817" s="2" t="n">
        <f aca="false">IFERROR(__xludf.dummyfunction("""COMPUTED_VALUE"""),178.38)</f>
        <v>178.38</v>
      </c>
      <c r="E817" s="2" t="n">
        <f aca="false">IFERROR(__xludf.dummyfunction("""COMPUTED_VALUE"""),180.69)</f>
        <v>180.69</v>
      </c>
      <c r="F817" s="2" t="n">
        <f aca="false">IFERROR(__xludf.dummyfunction("""COMPUTED_VALUE"""),32611546)</f>
        <v>32611546</v>
      </c>
    </row>
    <row r="818" customFormat="false" ht="15.75" hidden="false" customHeight="false" outlineLevel="0" collapsed="false">
      <c r="A818" s="3" t="n">
        <f aca="false">IFERROR(__xludf.dummyfunction("""COMPUTED_VALUE"""),45385.6666666667)</f>
        <v>45385.6666666667</v>
      </c>
      <c r="B818" s="2" t="n">
        <f aca="false">IFERROR(__xludf.dummyfunction("""COMPUTED_VALUE"""),179.9)</f>
        <v>179.9</v>
      </c>
      <c r="C818" s="2" t="n">
        <f aca="false">IFERROR(__xludf.dummyfunction("""COMPUTED_VALUE"""),182.87)</f>
        <v>182.87</v>
      </c>
      <c r="D818" s="2" t="n">
        <f aca="false">IFERROR(__xludf.dummyfunction("""COMPUTED_VALUE"""),179.8)</f>
        <v>179.8</v>
      </c>
      <c r="E818" s="2" t="n">
        <f aca="false">IFERROR(__xludf.dummyfunction("""COMPUTED_VALUE"""),182.41)</f>
        <v>182.41</v>
      </c>
      <c r="F818" s="2" t="n">
        <f aca="false">IFERROR(__xludf.dummyfunction("""COMPUTED_VALUE"""),31046638)</f>
        <v>31046638</v>
      </c>
    </row>
    <row r="819" customFormat="false" ht="15.75" hidden="false" customHeight="false" outlineLevel="0" collapsed="false">
      <c r="A819" s="3" t="n">
        <f aca="false">IFERROR(__xludf.dummyfunction("""COMPUTED_VALUE"""),45386.6666666667)</f>
        <v>45386.6666666667</v>
      </c>
      <c r="B819" s="2" t="n">
        <f aca="false">IFERROR(__xludf.dummyfunction("""COMPUTED_VALUE"""),184)</f>
        <v>184</v>
      </c>
      <c r="C819" s="2" t="n">
        <f aca="false">IFERROR(__xludf.dummyfunction("""COMPUTED_VALUE"""),185.1)</f>
        <v>185.1</v>
      </c>
      <c r="D819" s="2" t="n">
        <f aca="false">IFERROR(__xludf.dummyfunction("""COMPUTED_VALUE"""),180)</f>
        <v>180</v>
      </c>
      <c r="E819" s="2" t="n">
        <f aca="false">IFERROR(__xludf.dummyfunction("""COMPUTED_VALUE"""),180)</f>
        <v>180</v>
      </c>
      <c r="F819" s="2" t="n">
        <f aca="false">IFERROR(__xludf.dummyfunction("""COMPUTED_VALUE"""),41624261)</f>
        <v>41624261</v>
      </c>
    </row>
    <row r="820" customFormat="false" ht="15.75" hidden="false" customHeight="false" outlineLevel="0" collapsed="false">
      <c r="A820" s="3" t="n">
        <f aca="false">IFERROR(__xludf.dummyfunction("""COMPUTED_VALUE"""),45387.6666666667)</f>
        <v>45387.6666666667</v>
      </c>
      <c r="B820" s="2" t="n">
        <f aca="false">IFERROR(__xludf.dummyfunction("""COMPUTED_VALUE"""),182.38)</f>
        <v>182.38</v>
      </c>
      <c r="C820" s="2" t="n">
        <f aca="false">IFERROR(__xludf.dummyfunction("""COMPUTED_VALUE"""),186.27)</f>
        <v>186.27</v>
      </c>
      <c r="D820" s="2" t="n">
        <f aca="false">IFERROR(__xludf.dummyfunction("""COMPUTED_VALUE"""),181.97)</f>
        <v>181.97</v>
      </c>
      <c r="E820" s="2" t="n">
        <f aca="false">IFERROR(__xludf.dummyfunction("""COMPUTED_VALUE"""),185.07)</f>
        <v>185.07</v>
      </c>
      <c r="F820" s="2" t="n">
        <f aca="false">IFERROR(__xludf.dummyfunction("""COMPUTED_VALUE"""),42373992)</f>
        <v>42373992</v>
      </c>
    </row>
    <row r="821" customFormat="false" ht="15.75" hidden="false" customHeight="false" outlineLevel="0" collapsed="false">
      <c r="A821" s="3" t="n">
        <f aca="false">IFERROR(__xludf.dummyfunction("""COMPUTED_VALUE"""),45390.6666666667)</f>
        <v>45390.6666666667</v>
      </c>
      <c r="B821" s="2" t="n">
        <f aca="false">IFERROR(__xludf.dummyfunction("""COMPUTED_VALUE"""),186.9)</f>
        <v>186.9</v>
      </c>
      <c r="C821" s="2" t="n">
        <f aca="false">IFERROR(__xludf.dummyfunction("""COMPUTED_VALUE"""),187.29)</f>
        <v>187.29</v>
      </c>
      <c r="D821" s="2" t="n">
        <f aca="false">IFERROR(__xludf.dummyfunction("""COMPUTED_VALUE"""),184.81)</f>
        <v>184.81</v>
      </c>
      <c r="E821" s="2" t="n">
        <f aca="false">IFERROR(__xludf.dummyfunction("""COMPUTED_VALUE"""),185.19)</f>
        <v>185.19</v>
      </c>
      <c r="F821" s="2" t="n">
        <f aca="false">IFERROR(__xludf.dummyfunction("""COMPUTED_VALUE"""),39221282)</f>
        <v>39221282</v>
      </c>
    </row>
    <row r="822" customFormat="false" ht="15.75" hidden="false" customHeight="false" outlineLevel="0" collapsed="false">
      <c r="A822" s="3" t="n">
        <f aca="false">IFERROR(__xludf.dummyfunction("""COMPUTED_VALUE"""),45391.6666666667)</f>
        <v>45391.6666666667</v>
      </c>
      <c r="B822" s="2" t="n">
        <f aca="false">IFERROR(__xludf.dummyfunction("""COMPUTED_VALUE"""),187.24)</f>
        <v>187.24</v>
      </c>
      <c r="C822" s="2" t="n">
        <f aca="false">IFERROR(__xludf.dummyfunction("""COMPUTED_VALUE"""),187.34)</f>
        <v>187.34</v>
      </c>
      <c r="D822" s="2" t="n">
        <f aca="false">IFERROR(__xludf.dummyfunction("""COMPUTED_VALUE"""),184.2)</f>
        <v>184.2</v>
      </c>
      <c r="E822" s="2" t="n">
        <f aca="false">IFERROR(__xludf.dummyfunction("""COMPUTED_VALUE"""),185.67)</f>
        <v>185.67</v>
      </c>
      <c r="F822" s="2" t="n">
        <f aca="false">IFERROR(__xludf.dummyfunction("""COMPUTED_VALUE"""),36546946)</f>
        <v>36546946</v>
      </c>
    </row>
    <row r="823" customFormat="false" ht="15.75" hidden="false" customHeight="false" outlineLevel="0" collapsed="false">
      <c r="A823" s="3" t="n">
        <f aca="false">IFERROR(__xludf.dummyfunction("""COMPUTED_VALUE"""),45392.6666666667)</f>
        <v>45392.6666666667</v>
      </c>
      <c r="B823" s="2" t="n">
        <f aca="false">IFERROR(__xludf.dummyfunction("""COMPUTED_VALUE"""),182.77)</f>
        <v>182.77</v>
      </c>
      <c r="C823" s="2" t="n">
        <f aca="false">IFERROR(__xludf.dummyfunction("""COMPUTED_VALUE"""),186.27)</f>
        <v>186.27</v>
      </c>
      <c r="D823" s="2" t="n">
        <f aca="false">IFERROR(__xludf.dummyfunction("""COMPUTED_VALUE"""),182.67)</f>
        <v>182.67</v>
      </c>
      <c r="E823" s="2" t="n">
        <f aca="false">IFERROR(__xludf.dummyfunction("""COMPUTED_VALUE"""),185.95)</f>
        <v>185.95</v>
      </c>
      <c r="F823" s="2" t="n">
        <f aca="false">IFERROR(__xludf.dummyfunction("""COMPUTED_VALUE"""),35879151)</f>
        <v>35879151</v>
      </c>
    </row>
    <row r="824" customFormat="false" ht="15.75" hidden="false" customHeight="false" outlineLevel="0" collapsed="false">
      <c r="A824" s="3" t="n">
        <f aca="false">IFERROR(__xludf.dummyfunction("""COMPUTED_VALUE"""),45393.6666666667)</f>
        <v>45393.6666666667</v>
      </c>
      <c r="B824" s="2" t="n">
        <f aca="false">IFERROR(__xludf.dummyfunction("""COMPUTED_VALUE"""),186.74)</f>
        <v>186.74</v>
      </c>
      <c r="C824" s="2" t="n">
        <f aca="false">IFERROR(__xludf.dummyfunction("""COMPUTED_VALUE"""),189.77)</f>
        <v>189.77</v>
      </c>
      <c r="D824" s="2" t="n">
        <f aca="false">IFERROR(__xludf.dummyfunction("""COMPUTED_VALUE"""),185.51)</f>
        <v>185.51</v>
      </c>
      <c r="E824" s="2" t="n">
        <f aca="false">IFERROR(__xludf.dummyfunction("""COMPUTED_VALUE"""),189.05)</f>
        <v>189.05</v>
      </c>
      <c r="F824" s="2" t="n">
        <f aca="false">IFERROR(__xludf.dummyfunction("""COMPUTED_VALUE"""),40020742)</f>
        <v>40020742</v>
      </c>
    </row>
    <row r="825" customFormat="false" ht="15.75" hidden="false" customHeight="false" outlineLevel="0" collapsed="false">
      <c r="A825" s="3" t="n">
        <f aca="false">IFERROR(__xludf.dummyfunction("""COMPUTED_VALUE"""),45394.6666666667)</f>
        <v>45394.6666666667</v>
      </c>
      <c r="B825" s="2" t="n">
        <f aca="false">IFERROR(__xludf.dummyfunction("""COMPUTED_VALUE"""),187.72)</f>
        <v>187.72</v>
      </c>
      <c r="C825" s="2" t="n">
        <f aca="false">IFERROR(__xludf.dummyfunction("""COMPUTED_VALUE"""),188.38)</f>
        <v>188.38</v>
      </c>
      <c r="D825" s="2" t="n">
        <f aca="false">IFERROR(__xludf.dummyfunction("""COMPUTED_VALUE"""),185.08)</f>
        <v>185.08</v>
      </c>
      <c r="E825" s="2" t="n">
        <f aca="false">IFERROR(__xludf.dummyfunction("""COMPUTED_VALUE"""),186.13)</f>
        <v>186.13</v>
      </c>
      <c r="F825" s="2" t="n">
        <f aca="false">IFERROR(__xludf.dummyfunction("""COMPUTED_VALUE"""),38608849)</f>
        <v>38608849</v>
      </c>
    </row>
    <row r="826" customFormat="false" ht="15.75" hidden="false" customHeight="false" outlineLevel="0" collapsed="false">
      <c r="A826" s="3" t="n">
        <f aca="false">IFERROR(__xludf.dummyfunction("""COMPUTED_VALUE"""),45397.6666666667)</f>
        <v>45397.6666666667</v>
      </c>
      <c r="B826" s="2" t="n">
        <f aca="false">IFERROR(__xludf.dummyfunction("""COMPUTED_VALUE"""),187.43)</f>
        <v>187.43</v>
      </c>
      <c r="C826" s="2" t="n">
        <f aca="false">IFERROR(__xludf.dummyfunction("""COMPUTED_VALUE"""),188.69)</f>
        <v>188.69</v>
      </c>
      <c r="D826" s="2" t="n">
        <f aca="false">IFERROR(__xludf.dummyfunction("""COMPUTED_VALUE"""),183)</f>
        <v>183</v>
      </c>
      <c r="E826" s="2" t="n">
        <f aca="false">IFERROR(__xludf.dummyfunction("""COMPUTED_VALUE"""),183.62)</f>
        <v>183.62</v>
      </c>
      <c r="F826" s="2" t="n">
        <f aca="false">IFERROR(__xludf.dummyfunction("""COMPUTED_VALUE"""),48052395)</f>
        <v>48052395</v>
      </c>
    </row>
    <row r="827" customFormat="false" ht="15.75" hidden="false" customHeight="false" outlineLevel="0" collapsed="false">
      <c r="A827" s="3" t="n">
        <f aca="false">IFERROR(__xludf.dummyfunction("""COMPUTED_VALUE"""),45398.6666666667)</f>
        <v>45398.6666666667</v>
      </c>
      <c r="B827" s="2" t="n">
        <f aca="false">IFERROR(__xludf.dummyfunction("""COMPUTED_VALUE"""),183.27)</f>
        <v>183.27</v>
      </c>
      <c r="C827" s="2" t="n">
        <f aca="false">IFERROR(__xludf.dummyfunction("""COMPUTED_VALUE"""),184.83)</f>
        <v>184.83</v>
      </c>
      <c r="D827" s="2" t="n">
        <f aca="false">IFERROR(__xludf.dummyfunction("""COMPUTED_VALUE"""),182.26)</f>
        <v>182.26</v>
      </c>
      <c r="E827" s="2" t="n">
        <f aca="false">IFERROR(__xludf.dummyfunction("""COMPUTED_VALUE"""),183.32)</f>
        <v>183.32</v>
      </c>
      <c r="F827" s="2" t="n">
        <f aca="false">IFERROR(__xludf.dummyfunction("""COMPUTED_VALUE"""),32891265)</f>
        <v>32891265</v>
      </c>
    </row>
    <row r="828" customFormat="false" ht="15.75" hidden="false" customHeight="false" outlineLevel="0" collapsed="false">
      <c r="A828" s="3" t="n">
        <f aca="false">IFERROR(__xludf.dummyfunction("""COMPUTED_VALUE"""),45399.6666666667)</f>
        <v>45399.6666666667</v>
      </c>
      <c r="B828" s="2" t="n">
        <f aca="false">IFERROR(__xludf.dummyfunction("""COMPUTED_VALUE"""),184.31)</f>
        <v>184.31</v>
      </c>
      <c r="C828" s="2" t="n">
        <f aca="false">IFERROR(__xludf.dummyfunction("""COMPUTED_VALUE"""),184.57)</f>
        <v>184.57</v>
      </c>
      <c r="D828" s="2" t="n">
        <f aca="false">IFERROR(__xludf.dummyfunction("""COMPUTED_VALUE"""),179.82)</f>
        <v>179.82</v>
      </c>
      <c r="E828" s="2" t="n">
        <f aca="false">IFERROR(__xludf.dummyfunction("""COMPUTED_VALUE"""),181.28)</f>
        <v>181.28</v>
      </c>
      <c r="F828" s="2" t="n">
        <f aca="false">IFERROR(__xludf.dummyfunction("""COMPUTED_VALUE"""),31359673)</f>
        <v>31359673</v>
      </c>
    </row>
    <row r="829" customFormat="false" ht="15.75" hidden="false" customHeight="false" outlineLevel="0" collapsed="false">
      <c r="A829" s="3" t="n">
        <f aca="false">IFERROR(__xludf.dummyfunction("""COMPUTED_VALUE"""),45400.6666666667)</f>
        <v>45400.6666666667</v>
      </c>
      <c r="B829" s="2" t="n">
        <f aca="false">IFERROR(__xludf.dummyfunction("""COMPUTED_VALUE"""),181.47)</f>
        <v>181.47</v>
      </c>
      <c r="C829" s="2" t="n">
        <f aca="false">IFERROR(__xludf.dummyfunction("""COMPUTED_VALUE"""),182.39)</f>
        <v>182.39</v>
      </c>
      <c r="D829" s="2" t="n">
        <f aca="false">IFERROR(__xludf.dummyfunction("""COMPUTED_VALUE"""),178.65)</f>
        <v>178.65</v>
      </c>
      <c r="E829" s="2" t="n">
        <f aca="false">IFERROR(__xludf.dummyfunction("""COMPUTED_VALUE"""),179.22)</f>
        <v>179.22</v>
      </c>
      <c r="F829" s="2" t="n">
        <f aca="false">IFERROR(__xludf.dummyfunction("""COMPUTED_VALUE"""),30723793)</f>
        <v>30723793</v>
      </c>
    </row>
    <row r="830" customFormat="false" ht="15.75" hidden="false" customHeight="false" outlineLevel="0" collapsed="false">
      <c r="A830" s="3" t="n">
        <f aca="false">IFERROR(__xludf.dummyfunction("""COMPUTED_VALUE"""),45401.6666666667)</f>
        <v>45401.6666666667</v>
      </c>
      <c r="B830" s="2" t="n">
        <f aca="false">IFERROR(__xludf.dummyfunction("""COMPUTED_VALUE"""),178.74)</f>
        <v>178.74</v>
      </c>
      <c r="C830" s="2" t="n">
        <f aca="false">IFERROR(__xludf.dummyfunction("""COMPUTED_VALUE"""),179)</f>
        <v>179</v>
      </c>
      <c r="D830" s="2" t="n">
        <f aca="false">IFERROR(__xludf.dummyfunction("""COMPUTED_VALUE"""),173.44)</f>
        <v>173.44</v>
      </c>
      <c r="E830" s="2" t="n">
        <f aca="false">IFERROR(__xludf.dummyfunction("""COMPUTED_VALUE"""),174.63)</f>
        <v>174.63</v>
      </c>
      <c r="F830" s="2" t="n">
        <f aca="false">IFERROR(__xludf.dummyfunction("""COMPUTED_VALUE"""),56000729)</f>
        <v>56000729</v>
      </c>
    </row>
    <row r="831" customFormat="false" ht="15.75" hidden="false" customHeight="false" outlineLevel="0" collapsed="false">
      <c r="A831" s="3" t="n">
        <f aca="false">IFERROR(__xludf.dummyfunction("""COMPUTED_VALUE"""),45404.6666666667)</f>
        <v>45404.6666666667</v>
      </c>
      <c r="B831" s="2" t="n">
        <f aca="false">IFERROR(__xludf.dummyfunction("""COMPUTED_VALUE"""),176.94)</f>
        <v>176.94</v>
      </c>
      <c r="C831" s="2" t="n">
        <f aca="false">IFERROR(__xludf.dummyfunction("""COMPUTED_VALUE"""),178.87)</f>
        <v>178.87</v>
      </c>
      <c r="D831" s="2" t="n">
        <f aca="false">IFERROR(__xludf.dummyfunction("""COMPUTED_VALUE"""),174.56)</f>
        <v>174.56</v>
      </c>
      <c r="E831" s="2" t="n">
        <f aca="false">IFERROR(__xludf.dummyfunction("""COMPUTED_VALUE"""),177.23)</f>
        <v>177.23</v>
      </c>
      <c r="F831" s="2" t="n">
        <f aca="false">IFERROR(__xludf.dummyfunction("""COMPUTED_VALUE"""),37924890)</f>
        <v>37924890</v>
      </c>
    </row>
    <row r="832" customFormat="false" ht="15.75" hidden="false" customHeight="false" outlineLevel="0" collapsed="false">
      <c r="A832" s="3" t="n">
        <f aca="false">IFERROR(__xludf.dummyfunction("""COMPUTED_VALUE"""),45405.6666666667)</f>
        <v>45405.6666666667</v>
      </c>
      <c r="B832" s="2" t="n">
        <f aca="false">IFERROR(__xludf.dummyfunction("""COMPUTED_VALUE"""),178.08)</f>
        <v>178.08</v>
      </c>
      <c r="C832" s="2" t="n">
        <f aca="false">IFERROR(__xludf.dummyfunction("""COMPUTED_VALUE"""),179.93)</f>
        <v>179.93</v>
      </c>
      <c r="D832" s="2" t="n">
        <f aca="false">IFERROR(__xludf.dummyfunction("""COMPUTED_VALUE"""),175.98)</f>
        <v>175.98</v>
      </c>
      <c r="E832" s="2" t="n">
        <f aca="false">IFERROR(__xludf.dummyfunction("""COMPUTED_VALUE"""),179.54)</f>
        <v>179.54</v>
      </c>
      <c r="F832" s="2" t="n">
        <f aca="false">IFERROR(__xludf.dummyfunction("""COMPUTED_VALUE"""),37046519)</f>
        <v>37046519</v>
      </c>
    </row>
    <row r="833" customFormat="false" ht="15.75" hidden="false" customHeight="false" outlineLevel="0" collapsed="false">
      <c r="A833" s="3" t="n">
        <f aca="false">IFERROR(__xludf.dummyfunction("""COMPUTED_VALUE"""),45406.6666666667)</f>
        <v>45406.6666666667</v>
      </c>
      <c r="B833" s="2" t="n">
        <f aca="false">IFERROR(__xludf.dummyfunction("""COMPUTED_VALUE"""),179.94)</f>
        <v>179.94</v>
      </c>
      <c r="C833" s="2" t="n">
        <f aca="false">IFERROR(__xludf.dummyfunction("""COMPUTED_VALUE"""),180.32)</f>
        <v>180.32</v>
      </c>
      <c r="D833" s="2" t="n">
        <f aca="false">IFERROR(__xludf.dummyfunction("""COMPUTED_VALUE"""),176.18)</f>
        <v>176.18</v>
      </c>
      <c r="E833" s="2" t="n">
        <f aca="false">IFERROR(__xludf.dummyfunction("""COMPUTED_VALUE"""),176.59)</f>
        <v>176.59</v>
      </c>
      <c r="F833" s="2" t="n">
        <f aca="false">IFERROR(__xludf.dummyfunction("""COMPUTED_VALUE"""),34185109)</f>
        <v>34185109</v>
      </c>
    </row>
    <row r="834" customFormat="false" ht="15.75" hidden="false" customHeight="false" outlineLevel="0" collapsed="false">
      <c r="A834" s="3" t="n">
        <f aca="false">IFERROR(__xludf.dummyfunction("""COMPUTED_VALUE"""),45407.6666666667)</f>
        <v>45407.6666666667</v>
      </c>
      <c r="B834" s="2" t="n">
        <f aca="false">IFERROR(__xludf.dummyfunction("""COMPUTED_VALUE"""),169.68)</f>
        <v>169.68</v>
      </c>
      <c r="C834" s="2" t="n">
        <f aca="false">IFERROR(__xludf.dummyfunction("""COMPUTED_VALUE"""),173.92)</f>
        <v>173.92</v>
      </c>
      <c r="D834" s="2" t="n">
        <f aca="false">IFERROR(__xludf.dummyfunction("""COMPUTED_VALUE"""),166.32)</f>
        <v>166.32</v>
      </c>
      <c r="E834" s="2" t="n">
        <f aca="false">IFERROR(__xludf.dummyfunction("""COMPUTED_VALUE"""),173.67)</f>
        <v>173.67</v>
      </c>
      <c r="F834" s="2" t="n">
        <f aca="false">IFERROR(__xludf.dummyfunction("""COMPUTED_VALUE"""),49249390)</f>
        <v>49249390</v>
      </c>
    </row>
    <row r="835" customFormat="false" ht="15.75" hidden="false" customHeight="false" outlineLevel="0" collapsed="false">
      <c r="A835" s="3" t="n">
        <f aca="false">IFERROR(__xludf.dummyfunction("""COMPUTED_VALUE"""),45408.6666666667)</f>
        <v>45408.6666666667</v>
      </c>
      <c r="B835" s="2" t="n">
        <f aca="false">IFERROR(__xludf.dummyfunction("""COMPUTED_VALUE"""),177.8)</f>
        <v>177.8</v>
      </c>
      <c r="C835" s="2" t="n">
        <f aca="false">IFERROR(__xludf.dummyfunction("""COMPUTED_VALUE"""),180.82)</f>
        <v>180.82</v>
      </c>
      <c r="D835" s="2" t="n">
        <f aca="false">IFERROR(__xludf.dummyfunction("""COMPUTED_VALUE"""),176.13)</f>
        <v>176.13</v>
      </c>
      <c r="E835" s="2" t="n">
        <f aca="false">IFERROR(__xludf.dummyfunction("""COMPUTED_VALUE"""),179.62)</f>
        <v>179.62</v>
      </c>
      <c r="F835" s="2" t="n">
        <f aca="false">IFERROR(__xludf.dummyfunction("""COMPUTED_VALUE"""),43919765)</f>
        <v>43919765</v>
      </c>
    </row>
    <row r="836" customFormat="false" ht="15.75" hidden="false" customHeight="false" outlineLevel="0" collapsed="false">
      <c r="A836" s="3" t="n">
        <f aca="false">IFERROR(__xludf.dummyfunction("""COMPUTED_VALUE"""),45411.6666666667)</f>
        <v>45411.6666666667</v>
      </c>
      <c r="B836" s="2" t="n">
        <f aca="false">IFERROR(__xludf.dummyfunction("""COMPUTED_VALUE"""),182.75)</f>
        <v>182.75</v>
      </c>
      <c r="C836" s="2" t="n">
        <f aca="false">IFERROR(__xludf.dummyfunction("""COMPUTED_VALUE"""),183.53)</f>
        <v>183.53</v>
      </c>
      <c r="D836" s="2" t="n">
        <f aca="false">IFERROR(__xludf.dummyfunction("""COMPUTED_VALUE"""),179.39)</f>
        <v>179.39</v>
      </c>
      <c r="E836" s="2" t="n">
        <f aca="false">IFERROR(__xludf.dummyfunction("""COMPUTED_VALUE"""),180.96)</f>
        <v>180.96</v>
      </c>
      <c r="F836" s="2" t="n">
        <f aca="false">IFERROR(__xludf.dummyfunction("""COMPUTED_VALUE"""),54063937)</f>
        <v>54063937</v>
      </c>
    </row>
    <row r="837" customFormat="false" ht="15.75" hidden="false" customHeight="false" outlineLevel="0" collapsed="false">
      <c r="A837" s="3" t="n">
        <f aca="false">IFERROR(__xludf.dummyfunction("""COMPUTED_VALUE"""),45412.6666666667)</f>
        <v>45412.6666666667</v>
      </c>
      <c r="B837" s="2" t="n">
        <f aca="false">IFERROR(__xludf.dummyfunction("""COMPUTED_VALUE"""),181.09)</f>
        <v>181.09</v>
      </c>
      <c r="C837" s="2" t="n">
        <f aca="false">IFERROR(__xludf.dummyfunction("""COMPUTED_VALUE"""),182.99)</f>
        <v>182.99</v>
      </c>
      <c r="D837" s="2" t="n">
        <f aca="false">IFERROR(__xludf.dummyfunction("""COMPUTED_VALUE"""),174.8)</f>
        <v>174.8</v>
      </c>
      <c r="E837" s="2" t="n">
        <f aca="false">IFERROR(__xludf.dummyfunction("""COMPUTED_VALUE"""),175)</f>
        <v>175</v>
      </c>
      <c r="F837" s="2" t="n">
        <f aca="false">IFERROR(__xludf.dummyfunction("""COMPUTED_VALUE"""),94639786)</f>
        <v>94639786</v>
      </c>
    </row>
    <row r="838" customFormat="false" ht="15.75" hidden="false" customHeight="false" outlineLevel="0" collapsed="false">
      <c r="A838" s="3" t="n">
        <f aca="false">IFERROR(__xludf.dummyfunction("""COMPUTED_VALUE"""),45413.6666666667)</f>
        <v>45413.6666666667</v>
      </c>
      <c r="B838" s="2" t="n">
        <f aca="false">IFERROR(__xludf.dummyfunction("""COMPUTED_VALUE"""),181.64)</f>
        <v>181.64</v>
      </c>
      <c r="C838" s="2" t="n">
        <f aca="false">IFERROR(__xludf.dummyfunction("""COMPUTED_VALUE"""),185.15)</f>
        <v>185.15</v>
      </c>
      <c r="D838" s="2" t="n">
        <f aca="false">IFERROR(__xludf.dummyfunction("""COMPUTED_VALUE"""),176.56)</f>
        <v>176.56</v>
      </c>
      <c r="E838" s="2" t="n">
        <f aca="false">IFERROR(__xludf.dummyfunction("""COMPUTED_VALUE"""),179)</f>
        <v>179</v>
      </c>
      <c r="F838" s="2" t="n">
        <f aca="false">IFERROR(__xludf.dummyfunction("""COMPUTED_VALUE"""),94645148)</f>
        <v>94645148</v>
      </c>
    </row>
    <row r="839" customFormat="false" ht="15.75" hidden="false" customHeight="false" outlineLevel="0" collapsed="false">
      <c r="A839" s="3" t="n">
        <f aca="false">IFERROR(__xludf.dummyfunction("""COMPUTED_VALUE"""),45414.6666666667)</f>
        <v>45414.6666666667</v>
      </c>
      <c r="B839" s="2" t="n">
        <f aca="false">IFERROR(__xludf.dummyfunction("""COMPUTED_VALUE"""),180.85)</f>
        <v>180.85</v>
      </c>
      <c r="C839" s="2" t="n">
        <f aca="false">IFERROR(__xludf.dummyfunction("""COMPUTED_VALUE"""),185.1)</f>
        <v>185.1</v>
      </c>
      <c r="D839" s="2" t="n">
        <f aca="false">IFERROR(__xludf.dummyfunction("""COMPUTED_VALUE"""),179.91)</f>
        <v>179.91</v>
      </c>
      <c r="E839" s="2" t="n">
        <f aca="false">IFERROR(__xludf.dummyfunction("""COMPUTED_VALUE"""),184.72)</f>
        <v>184.72</v>
      </c>
      <c r="F839" s="2" t="n">
        <f aca="false">IFERROR(__xludf.dummyfunction("""COMPUTED_VALUE"""),54303510)</f>
        <v>54303510</v>
      </c>
    </row>
    <row r="840" customFormat="false" ht="15.75" hidden="false" customHeight="false" outlineLevel="0" collapsed="false">
      <c r="A840" s="3" t="n">
        <f aca="false">IFERROR(__xludf.dummyfunction("""COMPUTED_VALUE"""),45415.6666666667)</f>
        <v>45415.6666666667</v>
      </c>
      <c r="B840" s="2" t="n">
        <f aca="false">IFERROR(__xludf.dummyfunction("""COMPUTED_VALUE"""),186.99)</f>
        <v>186.99</v>
      </c>
      <c r="C840" s="2" t="n">
        <f aca="false">IFERROR(__xludf.dummyfunction("""COMPUTED_VALUE"""),187.87)</f>
        <v>187.87</v>
      </c>
      <c r="D840" s="2" t="n">
        <f aca="false">IFERROR(__xludf.dummyfunction("""COMPUTED_VALUE"""),185.42)</f>
        <v>185.42</v>
      </c>
      <c r="E840" s="2" t="n">
        <f aca="false">IFERROR(__xludf.dummyfunction("""COMPUTED_VALUE"""),186.21)</f>
        <v>186.21</v>
      </c>
      <c r="F840" s="2" t="n">
        <f aca="false">IFERROR(__xludf.dummyfunction("""COMPUTED_VALUE"""),39172004)</f>
        <v>39172004</v>
      </c>
    </row>
    <row r="841" customFormat="false" ht="15.75" hidden="false" customHeight="false" outlineLevel="0" collapsed="false">
      <c r="A841" s="3" t="n">
        <f aca="false">IFERROR(__xludf.dummyfunction("""COMPUTED_VALUE"""),45418.6666666667)</f>
        <v>45418.6666666667</v>
      </c>
      <c r="B841" s="2" t="n">
        <f aca="false">IFERROR(__xludf.dummyfunction("""COMPUTED_VALUE"""),186.28)</f>
        <v>186.28</v>
      </c>
      <c r="C841" s="2" t="n">
        <f aca="false">IFERROR(__xludf.dummyfunction("""COMPUTED_VALUE"""),188.75)</f>
        <v>188.75</v>
      </c>
      <c r="D841" s="2" t="n">
        <f aca="false">IFERROR(__xludf.dummyfunction("""COMPUTED_VALUE"""),184.8)</f>
        <v>184.8</v>
      </c>
      <c r="E841" s="2" t="n">
        <f aca="false">IFERROR(__xludf.dummyfunction("""COMPUTED_VALUE"""),188.7)</f>
        <v>188.7</v>
      </c>
      <c r="F841" s="2" t="n">
        <f aca="false">IFERROR(__xludf.dummyfunction("""COMPUTED_VALUE"""),34725295)</f>
        <v>34725295</v>
      </c>
    </row>
    <row r="842" customFormat="false" ht="15.75" hidden="false" customHeight="false" outlineLevel="0" collapsed="false">
      <c r="A842" s="3" t="n">
        <f aca="false">IFERROR(__xludf.dummyfunction("""COMPUTED_VALUE"""),45419.6666666667)</f>
        <v>45419.6666666667</v>
      </c>
      <c r="B842" s="2" t="n">
        <f aca="false">IFERROR(__xludf.dummyfunction("""COMPUTED_VALUE"""),188.92)</f>
        <v>188.92</v>
      </c>
      <c r="C842" s="2" t="n">
        <f aca="false">IFERROR(__xludf.dummyfunction("""COMPUTED_VALUE"""),189.94)</f>
        <v>189.94</v>
      </c>
      <c r="D842" s="2" t="n">
        <f aca="false">IFERROR(__xludf.dummyfunction("""COMPUTED_VALUE"""),187.31)</f>
        <v>187.31</v>
      </c>
      <c r="E842" s="2" t="n">
        <f aca="false">IFERROR(__xludf.dummyfunction("""COMPUTED_VALUE"""),188.76)</f>
        <v>188.76</v>
      </c>
      <c r="F842" s="2" t="n">
        <f aca="false">IFERROR(__xludf.dummyfunction("""COMPUTED_VALUE"""),34048902)</f>
        <v>34048902</v>
      </c>
    </row>
    <row r="843" customFormat="false" ht="15.75" hidden="false" customHeight="false" outlineLevel="0" collapsed="false">
      <c r="A843" s="3" t="n">
        <f aca="false">IFERROR(__xludf.dummyfunction("""COMPUTED_VALUE"""),45420.6666666667)</f>
        <v>45420.6666666667</v>
      </c>
      <c r="B843" s="2" t="n">
        <f aca="false">IFERROR(__xludf.dummyfunction("""COMPUTED_VALUE"""),187.44)</f>
        <v>187.44</v>
      </c>
      <c r="C843" s="2" t="n">
        <f aca="false">IFERROR(__xludf.dummyfunction("""COMPUTED_VALUE"""),188.43)</f>
        <v>188.43</v>
      </c>
      <c r="D843" s="2" t="n">
        <f aca="false">IFERROR(__xludf.dummyfunction("""COMPUTED_VALUE"""),186.39)</f>
        <v>186.39</v>
      </c>
      <c r="E843" s="2" t="n">
        <f aca="false">IFERROR(__xludf.dummyfunction("""COMPUTED_VALUE"""),188)</f>
        <v>188</v>
      </c>
      <c r="F843" s="2" t="n">
        <f aca="false">IFERROR(__xludf.dummyfunction("""COMPUTED_VALUE"""),26136350)</f>
        <v>26136350</v>
      </c>
    </row>
    <row r="844" customFormat="false" ht="15.75" hidden="false" customHeight="false" outlineLevel="0" collapsed="false">
      <c r="A844" s="3" t="n">
        <f aca="false">IFERROR(__xludf.dummyfunction("""COMPUTED_VALUE"""),45421.6666666667)</f>
        <v>45421.6666666667</v>
      </c>
      <c r="B844" s="2" t="n">
        <f aca="false">IFERROR(__xludf.dummyfunction("""COMPUTED_VALUE"""),188.88)</f>
        <v>188.88</v>
      </c>
      <c r="C844" s="2" t="n">
        <f aca="false">IFERROR(__xludf.dummyfunction("""COMPUTED_VALUE"""),191.7)</f>
        <v>191.7</v>
      </c>
      <c r="D844" s="2" t="n">
        <f aca="false">IFERROR(__xludf.dummyfunction("""COMPUTED_VALUE"""),187.44)</f>
        <v>187.44</v>
      </c>
      <c r="E844" s="2" t="n">
        <f aca="false">IFERROR(__xludf.dummyfunction("""COMPUTED_VALUE"""),189.5)</f>
        <v>189.5</v>
      </c>
      <c r="F844" s="2" t="n">
        <f aca="false">IFERROR(__xludf.dummyfunction("""COMPUTED_VALUE"""),43368377)</f>
        <v>43368377</v>
      </c>
    </row>
    <row r="845" customFormat="false" ht="15.75" hidden="false" customHeight="false" outlineLevel="0" collapsed="false">
      <c r="A845" s="3" t="n">
        <f aca="false">IFERROR(__xludf.dummyfunction("""COMPUTED_VALUE"""),45422.6666666667)</f>
        <v>45422.6666666667</v>
      </c>
      <c r="B845" s="2" t="n">
        <f aca="false">IFERROR(__xludf.dummyfunction("""COMPUTED_VALUE"""),189.16)</f>
        <v>189.16</v>
      </c>
      <c r="C845" s="2" t="n">
        <f aca="false">IFERROR(__xludf.dummyfunction("""COMPUTED_VALUE"""),189.89)</f>
        <v>189.89</v>
      </c>
      <c r="D845" s="2" t="n">
        <f aca="false">IFERROR(__xludf.dummyfunction("""COMPUTED_VALUE"""),186.93)</f>
        <v>186.93</v>
      </c>
      <c r="E845" s="2" t="n">
        <f aca="false">IFERROR(__xludf.dummyfunction("""COMPUTED_VALUE"""),187.48)</f>
        <v>187.48</v>
      </c>
      <c r="F845" s="2" t="n">
        <f aca="false">IFERROR(__xludf.dummyfunction("""COMPUTED_VALUE"""),34141771)</f>
        <v>34141771</v>
      </c>
    </row>
    <row r="846" customFormat="false" ht="15.75" hidden="false" customHeight="false" outlineLevel="0" collapsed="false">
      <c r="A846" s="3" t="n">
        <f aca="false">IFERROR(__xludf.dummyfunction("""COMPUTED_VALUE"""),45425.6666666667)</f>
        <v>45425.6666666667</v>
      </c>
      <c r="B846" s="2" t="n">
        <f aca="false">IFERROR(__xludf.dummyfunction("""COMPUTED_VALUE"""),188)</f>
        <v>188</v>
      </c>
      <c r="C846" s="2" t="n">
        <f aca="false">IFERROR(__xludf.dummyfunction("""COMPUTED_VALUE"""),188.31)</f>
        <v>188.31</v>
      </c>
      <c r="D846" s="2" t="n">
        <f aca="false">IFERROR(__xludf.dummyfunction("""COMPUTED_VALUE"""),185.36)</f>
        <v>185.36</v>
      </c>
      <c r="E846" s="2" t="n">
        <f aca="false">IFERROR(__xludf.dummyfunction("""COMPUTED_VALUE"""),186.57)</f>
        <v>186.57</v>
      </c>
      <c r="F846" s="2" t="n">
        <f aca="false">IFERROR(__xludf.dummyfunction("""COMPUTED_VALUE"""),24898613)</f>
        <v>24898613</v>
      </c>
    </row>
    <row r="847" customFormat="false" ht="15.75" hidden="false" customHeight="false" outlineLevel="0" collapsed="false">
      <c r="A847" s="3" t="n">
        <f aca="false">IFERROR(__xludf.dummyfunction("""COMPUTED_VALUE"""),45426.6666666667)</f>
        <v>45426.6666666667</v>
      </c>
      <c r="B847" s="2" t="n">
        <f aca="false">IFERROR(__xludf.dummyfunction("""COMPUTED_VALUE"""),183.82)</f>
        <v>183.82</v>
      </c>
      <c r="C847" s="2" t="n">
        <f aca="false">IFERROR(__xludf.dummyfunction("""COMPUTED_VALUE"""),187.72)</f>
        <v>187.72</v>
      </c>
      <c r="D847" s="2" t="n">
        <f aca="false">IFERROR(__xludf.dummyfunction("""COMPUTED_VALUE"""),183.45)</f>
        <v>183.45</v>
      </c>
      <c r="E847" s="2" t="n">
        <f aca="false">IFERROR(__xludf.dummyfunction("""COMPUTED_VALUE"""),187.07)</f>
        <v>187.07</v>
      </c>
      <c r="F847" s="2" t="n">
        <f aca="false">IFERROR(__xludf.dummyfunction("""COMPUTED_VALUE"""),38698155)</f>
        <v>38698155</v>
      </c>
    </row>
    <row r="848" customFormat="false" ht="15.75" hidden="false" customHeight="false" outlineLevel="0" collapsed="false">
      <c r="A848" s="3" t="n">
        <f aca="false">IFERROR(__xludf.dummyfunction("""COMPUTED_VALUE"""),45427.6666666667)</f>
        <v>45427.6666666667</v>
      </c>
      <c r="B848" s="2" t="n">
        <f aca="false">IFERROR(__xludf.dummyfunction("""COMPUTED_VALUE"""),185.97)</f>
        <v>185.97</v>
      </c>
      <c r="C848" s="2" t="n">
        <f aca="false">IFERROR(__xludf.dummyfunction("""COMPUTED_VALUE"""),186.72)</f>
        <v>186.72</v>
      </c>
      <c r="D848" s="2" t="n">
        <f aca="false">IFERROR(__xludf.dummyfunction("""COMPUTED_VALUE"""),182.73)</f>
        <v>182.73</v>
      </c>
      <c r="E848" s="2" t="n">
        <f aca="false">IFERROR(__xludf.dummyfunction("""COMPUTED_VALUE"""),185.99)</f>
        <v>185.99</v>
      </c>
      <c r="F848" s="2" t="n">
        <f aca="false">IFERROR(__xludf.dummyfunction("""COMPUTED_VALUE"""),75459927)</f>
        <v>75459927</v>
      </c>
    </row>
    <row r="849" customFormat="false" ht="15.75" hidden="false" customHeight="false" outlineLevel="0" collapsed="false">
      <c r="A849" s="3" t="n">
        <f aca="false">IFERROR(__xludf.dummyfunction("""COMPUTED_VALUE"""),45428.6666666667)</f>
        <v>45428.6666666667</v>
      </c>
      <c r="B849" s="2" t="n">
        <f aca="false">IFERROR(__xludf.dummyfunction("""COMPUTED_VALUE"""),185.6)</f>
        <v>185.6</v>
      </c>
      <c r="C849" s="2" t="n">
        <f aca="false">IFERROR(__xludf.dummyfunction("""COMPUTED_VALUE"""),187.31)</f>
        <v>187.31</v>
      </c>
      <c r="D849" s="2" t="n">
        <f aca="false">IFERROR(__xludf.dummyfunction("""COMPUTED_VALUE"""),183.46)</f>
        <v>183.46</v>
      </c>
      <c r="E849" s="2" t="n">
        <f aca="false">IFERROR(__xludf.dummyfunction("""COMPUTED_VALUE"""),183.63)</f>
        <v>183.63</v>
      </c>
      <c r="F849" s="2" t="n">
        <f aca="false">IFERROR(__xludf.dummyfunction("""COMPUTED_VALUE"""),38834450)</f>
        <v>38834450</v>
      </c>
    </row>
    <row r="850" customFormat="false" ht="15.75" hidden="false" customHeight="false" outlineLevel="0" collapsed="false">
      <c r="A850" s="3" t="n">
        <f aca="false">IFERROR(__xludf.dummyfunction("""COMPUTED_VALUE"""),45429.6666666667)</f>
        <v>45429.6666666667</v>
      </c>
      <c r="B850" s="2" t="n">
        <f aca="false">IFERROR(__xludf.dummyfunction("""COMPUTED_VALUE"""),183.76)</f>
        <v>183.76</v>
      </c>
      <c r="C850" s="2" t="n">
        <f aca="false">IFERROR(__xludf.dummyfunction("""COMPUTED_VALUE"""),185.3)</f>
        <v>185.3</v>
      </c>
      <c r="D850" s="2" t="n">
        <f aca="false">IFERROR(__xludf.dummyfunction("""COMPUTED_VALUE"""),183.35)</f>
        <v>183.35</v>
      </c>
      <c r="E850" s="2" t="n">
        <f aca="false">IFERROR(__xludf.dummyfunction("""COMPUTED_VALUE"""),184.7)</f>
        <v>184.7</v>
      </c>
      <c r="F850" s="2" t="n">
        <f aca="false">IFERROR(__xludf.dummyfunction("""COMPUTED_VALUE"""),33175655)</f>
        <v>33175655</v>
      </c>
    </row>
    <row r="851" customFormat="false" ht="15.75" hidden="false" customHeight="false" outlineLevel="0" collapsed="false">
      <c r="A851" s="3" t="n">
        <f aca="false">IFERROR(__xludf.dummyfunction("""COMPUTED_VALUE"""),45432.6666666667)</f>
        <v>45432.6666666667</v>
      </c>
      <c r="B851" s="2" t="n">
        <f aca="false">IFERROR(__xludf.dummyfunction("""COMPUTED_VALUE"""),184.34)</f>
        <v>184.34</v>
      </c>
      <c r="C851" s="2" t="n">
        <f aca="false">IFERROR(__xludf.dummyfunction("""COMPUTED_VALUE"""),186.67)</f>
        <v>186.67</v>
      </c>
      <c r="D851" s="2" t="n">
        <f aca="false">IFERROR(__xludf.dummyfunction("""COMPUTED_VALUE"""),183.28)</f>
        <v>183.28</v>
      </c>
      <c r="E851" s="2" t="n">
        <f aca="false">IFERROR(__xludf.dummyfunction("""COMPUTED_VALUE"""),183.54)</f>
        <v>183.54</v>
      </c>
      <c r="F851" s="2" t="n">
        <f aca="false">IFERROR(__xludf.dummyfunction("""COMPUTED_VALUE"""),30511768)</f>
        <v>30511768</v>
      </c>
    </row>
    <row r="852" customFormat="false" ht="15.75" hidden="false" customHeight="false" outlineLevel="0" collapsed="false">
      <c r="A852" s="3" t="n">
        <f aca="false">IFERROR(__xludf.dummyfunction("""COMPUTED_VALUE"""),45433.6666666667)</f>
        <v>45433.6666666667</v>
      </c>
      <c r="B852" s="2" t="n">
        <f aca="false">IFERROR(__xludf.dummyfunction("""COMPUTED_VALUE"""),182.3)</f>
        <v>182.3</v>
      </c>
      <c r="C852" s="2" t="n">
        <f aca="false">IFERROR(__xludf.dummyfunction("""COMPUTED_VALUE"""),183.26)</f>
        <v>183.26</v>
      </c>
      <c r="D852" s="2" t="n">
        <f aca="false">IFERROR(__xludf.dummyfunction("""COMPUTED_VALUE"""),180.75)</f>
        <v>180.75</v>
      </c>
      <c r="E852" s="2" t="n">
        <f aca="false">IFERROR(__xludf.dummyfunction("""COMPUTED_VALUE"""),183.15)</f>
        <v>183.15</v>
      </c>
      <c r="F852" s="2" t="n">
        <f aca="false">IFERROR(__xludf.dummyfunction("""COMPUTED_VALUE"""),50839129)</f>
        <v>50839129</v>
      </c>
    </row>
    <row r="853" customFormat="false" ht="15.75" hidden="false" customHeight="false" outlineLevel="0" collapsed="false">
      <c r="A853" s="3" t="n">
        <f aca="false">IFERROR(__xludf.dummyfunction("""COMPUTED_VALUE"""),45434.6666666667)</f>
        <v>45434.6666666667</v>
      </c>
      <c r="B853" s="2" t="n">
        <f aca="false">IFERROR(__xludf.dummyfunction("""COMPUTED_VALUE"""),183.88)</f>
        <v>183.88</v>
      </c>
      <c r="C853" s="2" t="n">
        <f aca="false">IFERROR(__xludf.dummyfunction("""COMPUTED_VALUE"""),185.22)</f>
        <v>185.22</v>
      </c>
      <c r="D853" s="2" t="n">
        <f aca="false">IFERROR(__xludf.dummyfunction("""COMPUTED_VALUE"""),181.97)</f>
        <v>181.97</v>
      </c>
      <c r="E853" s="2" t="n">
        <f aca="false">IFERROR(__xludf.dummyfunction("""COMPUTED_VALUE"""),183.13)</f>
        <v>183.13</v>
      </c>
      <c r="F853" s="2" t="n">
        <f aca="false">IFERROR(__xludf.dummyfunction("""COMPUTED_VALUE"""),28148784)</f>
        <v>28148784</v>
      </c>
    </row>
    <row r="854" customFormat="false" ht="15.75" hidden="false" customHeight="false" outlineLevel="0" collapsed="false">
      <c r="A854" s="3" t="n">
        <f aca="false">IFERROR(__xludf.dummyfunction("""COMPUTED_VALUE"""),45435.6666666667)</f>
        <v>45435.6666666667</v>
      </c>
      <c r="B854" s="2" t="n">
        <f aca="false">IFERROR(__xludf.dummyfunction("""COMPUTED_VALUE"""),183.66)</f>
        <v>183.66</v>
      </c>
      <c r="C854" s="2" t="n">
        <f aca="false">IFERROR(__xludf.dummyfunction("""COMPUTED_VALUE"""),184.76)</f>
        <v>184.76</v>
      </c>
      <c r="D854" s="2" t="n">
        <f aca="false">IFERROR(__xludf.dummyfunction("""COMPUTED_VALUE"""),180.08)</f>
        <v>180.08</v>
      </c>
      <c r="E854" s="2" t="n">
        <f aca="false">IFERROR(__xludf.dummyfunction("""COMPUTED_VALUE"""),181.05)</f>
        <v>181.05</v>
      </c>
      <c r="F854" s="2" t="n">
        <f aca="false">IFERROR(__xludf.dummyfunction("""COMPUTED_VALUE"""),33670173)</f>
        <v>33670173</v>
      </c>
    </row>
    <row r="855" customFormat="false" ht="15.75" hidden="false" customHeight="false" outlineLevel="0" collapsed="false">
      <c r="A855" s="3" t="n">
        <f aca="false">IFERROR(__xludf.dummyfunction("""COMPUTED_VALUE"""),45436.6666666667)</f>
        <v>45436.6666666667</v>
      </c>
      <c r="B855" s="2" t="n">
        <f aca="false">IFERROR(__xludf.dummyfunction("""COMPUTED_VALUE"""),181.65)</f>
        <v>181.65</v>
      </c>
      <c r="C855" s="2" t="n">
        <f aca="false">IFERROR(__xludf.dummyfunction("""COMPUTED_VALUE"""),182.44)</f>
        <v>182.44</v>
      </c>
      <c r="D855" s="2" t="n">
        <f aca="false">IFERROR(__xludf.dummyfunction("""COMPUTED_VALUE"""),180.3)</f>
        <v>180.3</v>
      </c>
      <c r="E855" s="2" t="n">
        <f aca="false">IFERROR(__xludf.dummyfunction("""COMPUTED_VALUE"""),180.75)</f>
        <v>180.75</v>
      </c>
      <c r="F855" s="2" t="n">
        <f aca="false">IFERROR(__xludf.dummyfunction("""COMPUTED_VALUE"""),27471640)</f>
        <v>27471640</v>
      </c>
    </row>
    <row r="856" customFormat="false" ht="15.75" hidden="false" customHeight="false" outlineLevel="0" collapsed="false">
      <c r="A856" s="3" t="n">
        <f aca="false">IFERROR(__xludf.dummyfunction("""COMPUTED_VALUE"""),45440.6666666667)</f>
        <v>45440.6666666667</v>
      </c>
      <c r="B856" s="2" t="n">
        <f aca="false">IFERROR(__xludf.dummyfunction("""COMPUTED_VALUE"""),179.93)</f>
        <v>179.93</v>
      </c>
      <c r="C856" s="2" t="n">
        <f aca="false">IFERROR(__xludf.dummyfunction("""COMPUTED_VALUE"""),182.24)</f>
        <v>182.24</v>
      </c>
      <c r="D856" s="2" t="n">
        <f aca="false">IFERROR(__xludf.dummyfunction("""COMPUTED_VALUE"""),179.49)</f>
        <v>179.49</v>
      </c>
      <c r="E856" s="2" t="n">
        <f aca="false">IFERROR(__xludf.dummyfunction("""COMPUTED_VALUE"""),182.15)</f>
        <v>182.15</v>
      </c>
      <c r="F856" s="2" t="n">
        <f aca="false">IFERROR(__xludf.dummyfunction("""COMPUTED_VALUE"""),29926963)</f>
        <v>29926963</v>
      </c>
    </row>
    <row r="857" customFormat="false" ht="15.75" hidden="false" customHeight="false" outlineLevel="0" collapsed="false">
      <c r="A857" s="3" t="n">
        <f aca="false">IFERROR(__xludf.dummyfunction("""COMPUTED_VALUE"""),45441.6666666667)</f>
        <v>45441.6666666667</v>
      </c>
      <c r="B857" s="2" t="n">
        <f aca="false">IFERROR(__xludf.dummyfunction("""COMPUTED_VALUE"""),181.7)</f>
        <v>181.7</v>
      </c>
      <c r="C857" s="2" t="n">
        <f aca="false">IFERROR(__xludf.dummyfunction("""COMPUTED_VALUE"""),184.08)</f>
        <v>184.08</v>
      </c>
      <c r="D857" s="2" t="n">
        <f aca="false">IFERROR(__xludf.dummyfunction("""COMPUTED_VALUE"""),181.55)</f>
        <v>181.55</v>
      </c>
      <c r="E857" s="2" t="n">
        <f aca="false">IFERROR(__xludf.dummyfunction("""COMPUTED_VALUE"""),182.02)</f>
        <v>182.02</v>
      </c>
      <c r="F857" s="2" t="n">
        <f aca="false">IFERROR(__xludf.dummyfunction("""COMPUTED_VALUE"""),32009294)</f>
        <v>32009294</v>
      </c>
    </row>
    <row r="858" customFormat="false" ht="15.75" hidden="false" customHeight="false" outlineLevel="0" collapsed="false">
      <c r="A858" s="3" t="n">
        <f aca="false">IFERROR(__xludf.dummyfunction("""COMPUTED_VALUE"""),45442.6666666667)</f>
        <v>45442.6666666667</v>
      </c>
      <c r="B858" s="2" t="n">
        <f aca="false">IFERROR(__xludf.dummyfunction("""COMPUTED_VALUE"""),181.31)</f>
        <v>181.31</v>
      </c>
      <c r="C858" s="2" t="n">
        <f aca="false">IFERROR(__xludf.dummyfunction("""COMPUTED_VALUE"""),181.34)</f>
        <v>181.34</v>
      </c>
      <c r="D858" s="2" t="n">
        <f aca="false">IFERROR(__xludf.dummyfunction("""COMPUTED_VALUE"""),178.36)</f>
        <v>178.36</v>
      </c>
      <c r="E858" s="2" t="n">
        <f aca="false">IFERROR(__xludf.dummyfunction("""COMPUTED_VALUE"""),179.32)</f>
        <v>179.32</v>
      </c>
      <c r="F858" s="2" t="n">
        <f aca="false">IFERROR(__xludf.dummyfunction("""COMPUTED_VALUE"""),29249229)</f>
        <v>29249229</v>
      </c>
    </row>
    <row r="859" customFormat="false" ht="15.75" hidden="false" customHeight="false" outlineLevel="0" collapsed="false">
      <c r="A859" s="3" t="n">
        <f aca="false">IFERROR(__xludf.dummyfunction("""COMPUTED_VALUE"""),45443.6666666667)</f>
        <v>45443.6666666667</v>
      </c>
      <c r="B859" s="2" t="n">
        <f aca="false">IFERROR(__xludf.dummyfunction("""COMPUTED_VALUE"""),178.3)</f>
        <v>178.3</v>
      </c>
      <c r="C859" s="2" t="n">
        <f aca="false">IFERROR(__xludf.dummyfunction("""COMPUTED_VALUE"""),179.21)</f>
        <v>179.21</v>
      </c>
      <c r="D859" s="2" t="n">
        <f aca="false">IFERROR(__xludf.dummyfunction("""COMPUTED_VALUE"""),173.87)</f>
        <v>173.87</v>
      </c>
      <c r="E859" s="2" t="n">
        <f aca="false">IFERROR(__xludf.dummyfunction("""COMPUTED_VALUE"""),176.44)</f>
        <v>176.44</v>
      </c>
      <c r="F859" s="2" t="n">
        <f aca="false">IFERROR(__xludf.dummyfunction("""COMPUTED_VALUE"""),58903939)</f>
        <v>58903939</v>
      </c>
    </row>
    <row r="860" customFormat="false" ht="15.75" hidden="false" customHeight="false" outlineLevel="0" collapsed="false">
      <c r="A860" s="3" t="n">
        <f aca="false">IFERROR(__xludf.dummyfunction("""COMPUTED_VALUE"""),45446.6666666667)</f>
        <v>45446.6666666667</v>
      </c>
      <c r="B860" s="2" t="n">
        <f aca="false">IFERROR(__xludf.dummyfunction("""COMPUTED_VALUE"""),177.7)</f>
        <v>177.7</v>
      </c>
      <c r="C860" s="2" t="n">
        <f aca="false">IFERROR(__xludf.dummyfunction("""COMPUTED_VALUE"""),178.7)</f>
        <v>178.7</v>
      </c>
      <c r="D860" s="2" t="n">
        <f aca="false">IFERROR(__xludf.dummyfunction("""COMPUTED_VALUE"""),175.92)</f>
        <v>175.92</v>
      </c>
      <c r="E860" s="2" t="n">
        <f aca="false">IFERROR(__xludf.dummyfunction("""COMPUTED_VALUE"""),178.34)</f>
        <v>178.34</v>
      </c>
      <c r="F860" s="2" t="n">
        <f aca="false">IFERROR(__xludf.dummyfunction("""COMPUTED_VALUE"""),30786640)</f>
        <v>30786640</v>
      </c>
    </row>
    <row r="861" customFormat="false" ht="15.75" hidden="false" customHeight="false" outlineLevel="0" collapsed="false">
      <c r="A861" s="3" t="n">
        <f aca="false">IFERROR(__xludf.dummyfunction("""COMPUTED_VALUE"""),45447.6666666667)</f>
        <v>45447.6666666667</v>
      </c>
      <c r="B861" s="2" t="n">
        <f aca="false">IFERROR(__xludf.dummyfunction("""COMPUTED_VALUE"""),177.64)</f>
        <v>177.64</v>
      </c>
      <c r="C861" s="2" t="n">
        <f aca="false">IFERROR(__xludf.dummyfunction("""COMPUTED_VALUE"""),179.82)</f>
        <v>179.82</v>
      </c>
      <c r="D861" s="2" t="n">
        <f aca="false">IFERROR(__xludf.dummyfunction("""COMPUTED_VALUE"""),176.44)</f>
        <v>176.44</v>
      </c>
      <c r="E861" s="2" t="n">
        <f aca="false">IFERROR(__xludf.dummyfunction("""COMPUTED_VALUE"""),179.34)</f>
        <v>179.34</v>
      </c>
      <c r="F861" s="2" t="n">
        <f aca="false">IFERROR(__xludf.dummyfunction("""COMPUTED_VALUE"""),27198388)</f>
        <v>27198388</v>
      </c>
    </row>
    <row r="862" customFormat="false" ht="15.75" hidden="false" customHeight="false" outlineLevel="0" collapsed="false">
      <c r="A862" s="3" t="n">
        <f aca="false">IFERROR(__xludf.dummyfunction("""COMPUTED_VALUE"""),45448.6666666667)</f>
        <v>45448.6666666667</v>
      </c>
      <c r="B862" s="2" t="n">
        <f aca="false">IFERROR(__xludf.dummyfunction("""COMPUTED_VALUE"""),180.1)</f>
        <v>180.1</v>
      </c>
      <c r="C862" s="2" t="n">
        <f aca="false">IFERROR(__xludf.dummyfunction("""COMPUTED_VALUE"""),181.5)</f>
        <v>181.5</v>
      </c>
      <c r="D862" s="2" t="n">
        <f aca="false">IFERROR(__xludf.dummyfunction("""COMPUTED_VALUE"""),178.75)</f>
        <v>178.75</v>
      </c>
      <c r="E862" s="2" t="n">
        <f aca="false">IFERROR(__xludf.dummyfunction("""COMPUTED_VALUE"""),181.28)</f>
        <v>181.28</v>
      </c>
      <c r="F862" s="2" t="n">
        <f aca="false">IFERROR(__xludf.dummyfunction("""COMPUTED_VALUE"""),32116394)</f>
        <v>32116394</v>
      </c>
    </row>
    <row r="863" customFormat="false" ht="15.75" hidden="false" customHeight="false" outlineLevel="0" collapsed="false">
      <c r="A863" s="3" t="n">
        <f aca="false">IFERROR(__xludf.dummyfunction("""COMPUTED_VALUE"""),45449.6666666667)</f>
        <v>45449.6666666667</v>
      </c>
      <c r="B863" s="2" t="n">
        <f aca="false">IFERROR(__xludf.dummyfunction("""COMPUTED_VALUE"""),181.75)</f>
        <v>181.75</v>
      </c>
      <c r="C863" s="2" t="n">
        <f aca="false">IFERROR(__xludf.dummyfunction("""COMPUTED_VALUE"""),185)</f>
        <v>185</v>
      </c>
      <c r="D863" s="2" t="n">
        <f aca="false">IFERROR(__xludf.dummyfunction("""COMPUTED_VALUE"""),181.49)</f>
        <v>181.49</v>
      </c>
      <c r="E863" s="2" t="n">
        <f aca="false">IFERROR(__xludf.dummyfunction("""COMPUTED_VALUE"""),185)</f>
        <v>185</v>
      </c>
      <c r="F863" s="2" t="n">
        <f aca="false">IFERROR(__xludf.dummyfunction("""COMPUTED_VALUE"""),31371151)</f>
        <v>31371151</v>
      </c>
    </row>
    <row r="864" customFormat="false" ht="15.75" hidden="false" customHeight="false" outlineLevel="0" collapsed="false">
      <c r="A864" s="3" t="n">
        <f aca="false">IFERROR(__xludf.dummyfunction("""COMPUTED_VALUE"""),45450.6666666667)</f>
        <v>45450.6666666667</v>
      </c>
      <c r="B864" s="2" t="n">
        <f aca="false">IFERROR(__xludf.dummyfunction("""COMPUTED_VALUE"""),184.9)</f>
        <v>184.9</v>
      </c>
      <c r="C864" s="2" t="n">
        <f aca="false">IFERROR(__xludf.dummyfunction("""COMPUTED_VALUE"""),186.29)</f>
        <v>186.29</v>
      </c>
      <c r="D864" s="2" t="n">
        <f aca="false">IFERROR(__xludf.dummyfunction("""COMPUTED_VALUE"""),183.36)</f>
        <v>183.36</v>
      </c>
      <c r="E864" s="2" t="n">
        <f aca="false">IFERROR(__xludf.dummyfunction("""COMPUTED_VALUE"""),184.3)</f>
        <v>184.3</v>
      </c>
      <c r="F864" s="2" t="n">
        <f aca="false">IFERROR(__xludf.dummyfunction("""COMPUTED_VALUE"""),28021473)</f>
        <v>28021473</v>
      </c>
    </row>
    <row r="865" customFormat="false" ht="15.75" hidden="false" customHeight="false" outlineLevel="0" collapsed="false">
      <c r="A865" s="3" t="n">
        <f aca="false">IFERROR(__xludf.dummyfunction("""COMPUTED_VALUE"""),45453.6666666667)</f>
        <v>45453.6666666667</v>
      </c>
      <c r="B865" s="2" t="n">
        <f aca="false">IFERROR(__xludf.dummyfunction("""COMPUTED_VALUE"""),184.07)</f>
        <v>184.07</v>
      </c>
      <c r="C865" s="2" t="n">
        <f aca="false">IFERROR(__xludf.dummyfunction("""COMPUTED_VALUE"""),187.23)</f>
        <v>187.23</v>
      </c>
      <c r="D865" s="2" t="n">
        <f aca="false">IFERROR(__xludf.dummyfunction("""COMPUTED_VALUE"""),183.79)</f>
        <v>183.79</v>
      </c>
      <c r="E865" s="2" t="n">
        <f aca="false">IFERROR(__xludf.dummyfunction("""COMPUTED_VALUE"""),187.06)</f>
        <v>187.06</v>
      </c>
      <c r="F865" s="2" t="n">
        <f aca="false">IFERROR(__xludf.dummyfunction("""COMPUTED_VALUE"""),34494498)</f>
        <v>34494498</v>
      </c>
    </row>
    <row r="866" customFormat="false" ht="15.75" hidden="false" customHeight="false" outlineLevel="0" collapsed="false">
      <c r="A866" s="3" t="n">
        <f aca="false">IFERROR(__xludf.dummyfunction("""COMPUTED_VALUE"""),45454.6666666667)</f>
        <v>45454.6666666667</v>
      </c>
      <c r="B866" s="2" t="n">
        <f aca="false">IFERROR(__xludf.dummyfunction("""COMPUTED_VALUE"""),187.06)</f>
        <v>187.06</v>
      </c>
      <c r="C866" s="2" t="n">
        <f aca="false">IFERROR(__xludf.dummyfunction("""COMPUTED_VALUE"""),187.77)</f>
        <v>187.77</v>
      </c>
      <c r="D866" s="2" t="n">
        <f aca="false">IFERROR(__xludf.dummyfunction("""COMPUTED_VALUE"""),184.54)</f>
        <v>184.54</v>
      </c>
      <c r="E866" s="2" t="n">
        <f aca="false">IFERROR(__xludf.dummyfunction("""COMPUTED_VALUE"""),187.23)</f>
        <v>187.23</v>
      </c>
      <c r="F866" s="2" t="n">
        <f aca="false">IFERROR(__xludf.dummyfunction("""COMPUTED_VALUE"""),27265108)</f>
        <v>27265108</v>
      </c>
    </row>
    <row r="867" customFormat="false" ht="15.75" hidden="false" customHeight="false" outlineLevel="0" collapsed="false">
      <c r="A867" s="3" t="n">
        <f aca="false">IFERROR(__xludf.dummyfunction("""COMPUTED_VALUE"""),45455.6666666667)</f>
        <v>45455.6666666667</v>
      </c>
      <c r="B867" s="2" t="n">
        <f aca="false">IFERROR(__xludf.dummyfunction("""COMPUTED_VALUE"""),188.02)</f>
        <v>188.02</v>
      </c>
      <c r="C867" s="2" t="n">
        <f aca="false">IFERROR(__xludf.dummyfunction("""COMPUTED_VALUE"""),188.35)</f>
        <v>188.35</v>
      </c>
      <c r="D867" s="2" t="n">
        <f aca="false">IFERROR(__xludf.dummyfunction("""COMPUTED_VALUE"""),185.43)</f>
        <v>185.43</v>
      </c>
      <c r="E867" s="2" t="n">
        <f aca="false">IFERROR(__xludf.dummyfunction("""COMPUTED_VALUE"""),186.89)</f>
        <v>186.89</v>
      </c>
      <c r="F867" s="2" t="n">
        <f aca="false">IFERROR(__xludf.dummyfunction("""COMPUTED_VALUE"""),33984216)</f>
        <v>33984216</v>
      </c>
    </row>
    <row r="868" customFormat="false" ht="15.75" hidden="false" customHeight="false" outlineLevel="0" collapsed="false">
      <c r="A868" s="3" t="n">
        <f aca="false">IFERROR(__xludf.dummyfunction("""COMPUTED_VALUE"""),45456.6666666667)</f>
        <v>45456.6666666667</v>
      </c>
      <c r="B868" s="2" t="n">
        <f aca="false">IFERROR(__xludf.dummyfunction("""COMPUTED_VALUE"""),186.09)</f>
        <v>186.09</v>
      </c>
      <c r="C868" s="2" t="n">
        <f aca="false">IFERROR(__xludf.dummyfunction("""COMPUTED_VALUE"""),187.67)</f>
        <v>187.67</v>
      </c>
      <c r="D868" s="2" t="n">
        <f aca="false">IFERROR(__xludf.dummyfunction("""COMPUTED_VALUE"""),182.67)</f>
        <v>182.67</v>
      </c>
      <c r="E868" s="2" t="n">
        <f aca="false">IFERROR(__xludf.dummyfunction("""COMPUTED_VALUE"""),183.83)</f>
        <v>183.83</v>
      </c>
      <c r="F868" s="2" t="n">
        <f aca="false">IFERROR(__xludf.dummyfunction("""COMPUTED_VALUE"""),39721545)</f>
        <v>39721545</v>
      </c>
    </row>
    <row r="869" customFormat="false" ht="15.75" hidden="false" customHeight="false" outlineLevel="0" collapsed="false">
      <c r="A869" s="3" t="n">
        <f aca="false">IFERROR(__xludf.dummyfunction("""COMPUTED_VALUE"""),45457.6666666667)</f>
        <v>45457.6666666667</v>
      </c>
      <c r="B869" s="2" t="n">
        <f aca="false">IFERROR(__xludf.dummyfunction("""COMPUTED_VALUE"""),183.08)</f>
        <v>183.08</v>
      </c>
      <c r="C869" s="2" t="n">
        <f aca="false">IFERROR(__xludf.dummyfunction("""COMPUTED_VALUE"""),183.72)</f>
        <v>183.72</v>
      </c>
      <c r="D869" s="2" t="n">
        <f aca="false">IFERROR(__xludf.dummyfunction("""COMPUTED_VALUE"""),182.23)</f>
        <v>182.23</v>
      </c>
      <c r="E869" s="2" t="n">
        <f aca="false">IFERROR(__xludf.dummyfunction("""COMPUTED_VALUE"""),183.66)</f>
        <v>183.66</v>
      </c>
      <c r="F869" s="2" t="n">
        <f aca="false">IFERROR(__xludf.dummyfunction("""COMPUTED_VALUE"""),25456410)</f>
        <v>25456410</v>
      </c>
    </row>
    <row r="870" customFormat="false" ht="15.75" hidden="false" customHeight="false" outlineLevel="0" collapsed="false">
      <c r="A870" s="3" t="n">
        <f aca="false">IFERROR(__xludf.dummyfunction("""COMPUTED_VALUE"""),45460.6666666667)</f>
        <v>45460.6666666667</v>
      </c>
      <c r="B870" s="2" t="n">
        <f aca="false">IFERROR(__xludf.dummyfunction("""COMPUTED_VALUE"""),182.52)</f>
        <v>182.52</v>
      </c>
      <c r="C870" s="2" t="n">
        <f aca="false">IFERROR(__xludf.dummyfunction("""COMPUTED_VALUE"""),185)</f>
        <v>185</v>
      </c>
      <c r="D870" s="2" t="n">
        <f aca="false">IFERROR(__xludf.dummyfunction("""COMPUTED_VALUE"""),181.22)</f>
        <v>181.22</v>
      </c>
      <c r="E870" s="2" t="n">
        <f aca="false">IFERROR(__xludf.dummyfunction("""COMPUTED_VALUE"""),184.06)</f>
        <v>184.06</v>
      </c>
      <c r="F870" s="2" t="n">
        <f aca="false">IFERROR(__xludf.dummyfunction("""COMPUTED_VALUE"""),35601907)</f>
        <v>35601907</v>
      </c>
    </row>
    <row r="871" customFormat="false" ht="15.75" hidden="false" customHeight="false" outlineLevel="0" collapsed="false">
      <c r="A871" s="3" t="n">
        <f aca="false">IFERROR(__xludf.dummyfunction("""COMPUTED_VALUE"""),45461.6666666667)</f>
        <v>45461.6666666667</v>
      </c>
      <c r="B871" s="2" t="n">
        <f aca="false">IFERROR(__xludf.dummyfunction("""COMPUTED_VALUE"""),183.74)</f>
        <v>183.74</v>
      </c>
      <c r="C871" s="2" t="n">
        <f aca="false">IFERROR(__xludf.dummyfunction("""COMPUTED_VALUE"""),184.29)</f>
        <v>184.29</v>
      </c>
      <c r="D871" s="2" t="n">
        <f aca="false">IFERROR(__xludf.dummyfunction("""COMPUTED_VALUE"""),181.43)</f>
        <v>181.43</v>
      </c>
      <c r="E871" s="2" t="n">
        <f aca="false">IFERROR(__xludf.dummyfunction("""COMPUTED_VALUE"""),182.81)</f>
        <v>182.81</v>
      </c>
      <c r="F871" s="2" t="n">
        <f aca="false">IFERROR(__xludf.dummyfunction("""COMPUTED_VALUE"""),36659157)</f>
        <v>36659157</v>
      </c>
    </row>
    <row r="872" customFormat="false" ht="15.75" hidden="false" customHeight="false" outlineLevel="0" collapsed="false">
      <c r="A872" s="3" t="n">
        <f aca="false">IFERROR(__xludf.dummyfunction("""COMPUTED_VALUE"""),45463.6666666667)</f>
        <v>45463.6666666667</v>
      </c>
      <c r="B872" s="2" t="n">
        <f aca="false">IFERROR(__xludf.dummyfunction("""COMPUTED_VALUE"""),182.91)</f>
        <v>182.91</v>
      </c>
      <c r="C872" s="2" t="n">
        <f aca="false">IFERROR(__xludf.dummyfunction("""COMPUTED_VALUE"""),186.51)</f>
        <v>186.51</v>
      </c>
      <c r="D872" s="2" t="n">
        <f aca="false">IFERROR(__xludf.dummyfunction("""COMPUTED_VALUE"""),182.72)</f>
        <v>182.72</v>
      </c>
      <c r="E872" s="2" t="n">
        <f aca="false">IFERROR(__xludf.dummyfunction("""COMPUTED_VALUE"""),186.1)</f>
        <v>186.1</v>
      </c>
      <c r="F872" s="2" t="n">
        <f aca="false">IFERROR(__xludf.dummyfunction("""COMPUTED_VALUE"""),44726779)</f>
        <v>44726779</v>
      </c>
    </row>
    <row r="873" customFormat="false" ht="15.75" hidden="false" customHeight="false" outlineLevel="0" collapsed="false">
      <c r="A873" s="3" t="n">
        <f aca="false">IFERROR(__xludf.dummyfunction("""COMPUTED_VALUE"""),45464.6666666667)</f>
        <v>45464.6666666667</v>
      </c>
      <c r="B873" s="2" t="n">
        <f aca="false">IFERROR(__xludf.dummyfunction("""COMPUTED_VALUE"""),187.8)</f>
        <v>187.8</v>
      </c>
      <c r="C873" s="2" t="n">
        <f aca="false">IFERROR(__xludf.dummyfunction("""COMPUTED_VALUE"""),189.28)</f>
        <v>189.28</v>
      </c>
      <c r="D873" s="2" t="n">
        <f aca="false">IFERROR(__xludf.dummyfunction("""COMPUTED_VALUE"""),185.86)</f>
        <v>185.86</v>
      </c>
      <c r="E873" s="2" t="n">
        <f aca="false">IFERROR(__xludf.dummyfunction("""COMPUTED_VALUE"""),189.08)</f>
        <v>189.08</v>
      </c>
      <c r="F873" s="2" t="n">
        <f aca="false">IFERROR(__xludf.dummyfunction("""COMPUTED_VALUE"""),72931754)</f>
        <v>72931754</v>
      </c>
    </row>
    <row r="874" customFormat="false" ht="15.75" hidden="false" customHeight="false" outlineLevel="0" collapsed="false">
      <c r="A874" s="3" t="n">
        <f aca="false">IFERROR(__xludf.dummyfunction("""COMPUTED_VALUE"""),45467.6666666667)</f>
        <v>45467.6666666667</v>
      </c>
      <c r="B874" s="2" t="n">
        <f aca="false">IFERROR(__xludf.dummyfunction("""COMPUTED_VALUE"""),189.33)</f>
        <v>189.33</v>
      </c>
      <c r="C874" s="2" t="n">
        <f aca="false">IFERROR(__xludf.dummyfunction("""COMPUTED_VALUE"""),191)</f>
        <v>191</v>
      </c>
      <c r="D874" s="2" t="n">
        <f aca="false">IFERROR(__xludf.dummyfunction("""COMPUTED_VALUE"""),185.33)</f>
        <v>185.33</v>
      </c>
      <c r="E874" s="2" t="n">
        <f aca="false">IFERROR(__xludf.dummyfunction("""COMPUTED_VALUE"""),185.57)</f>
        <v>185.57</v>
      </c>
      <c r="F874" s="2" t="n">
        <f aca="false">IFERROR(__xludf.dummyfunction("""COMPUTED_VALUE"""),50610379)</f>
        <v>50610379</v>
      </c>
    </row>
    <row r="875" customFormat="false" ht="15.75" hidden="false" customHeight="false" outlineLevel="0" collapsed="false">
      <c r="A875" s="3" t="n">
        <f aca="false">IFERROR(__xludf.dummyfunction("""COMPUTED_VALUE"""),45468.6666666667)</f>
        <v>45468.6666666667</v>
      </c>
      <c r="B875" s="2" t="n">
        <f aca="false">IFERROR(__xludf.dummyfunction("""COMPUTED_VALUE"""),186.81)</f>
        <v>186.81</v>
      </c>
      <c r="C875" s="2" t="n">
        <f aca="false">IFERROR(__xludf.dummyfunction("""COMPUTED_VALUE"""),188.84)</f>
        <v>188.84</v>
      </c>
      <c r="D875" s="2" t="n">
        <f aca="false">IFERROR(__xludf.dummyfunction("""COMPUTED_VALUE"""),185.42)</f>
        <v>185.42</v>
      </c>
      <c r="E875" s="2" t="n">
        <f aca="false">IFERROR(__xludf.dummyfunction("""COMPUTED_VALUE"""),186.34)</f>
        <v>186.34</v>
      </c>
      <c r="F875" s="2" t="n">
        <f aca="false">IFERROR(__xludf.dummyfunction("""COMPUTED_VALUE"""),45898475)</f>
        <v>45898475</v>
      </c>
    </row>
    <row r="876" customFormat="false" ht="15.75" hidden="false" customHeight="false" outlineLevel="0" collapsed="false">
      <c r="A876" s="3" t="n">
        <f aca="false">IFERROR(__xludf.dummyfunction("""COMPUTED_VALUE"""),45469.6666666667)</f>
        <v>45469.6666666667</v>
      </c>
      <c r="B876" s="2" t="n">
        <f aca="false">IFERROR(__xludf.dummyfunction("""COMPUTED_VALUE"""),186.92)</f>
        <v>186.92</v>
      </c>
      <c r="C876" s="2" t="n">
        <f aca="false">IFERROR(__xludf.dummyfunction("""COMPUTED_VALUE"""),194.8)</f>
        <v>194.8</v>
      </c>
      <c r="D876" s="2" t="n">
        <f aca="false">IFERROR(__xludf.dummyfunction("""COMPUTED_VALUE"""),186.26)</f>
        <v>186.26</v>
      </c>
      <c r="E876" s="2" t="n">
        <f aca="false">IFERROR(__xludf.dummyfunction("""COMPUTED_VALUE"""),193.61)</f>
        <v>193.61</v>
      </c>
      <c r="F876" s="2" t="n">
        <f aca="false">IFERROR(__xludf.dummyfunction("""COMPUTED_VALUE"""),65103893)</f>
        <v>65103893</v>
      </c>
    </row>
    <row r="877" customFormat="false" ht="15.75" hidden="false" customHeight="false" outlineLevel="0" collapsed="false">
      <c r="A877" s="3" t="n">
        <f aca="false">IFERROR(__xludf.dummyfunction("""COMPUTED_VALUE"""),45470.6666666667)</f>
        <v>45470.6666666667</v>
      </c>
      <c r="B877" s="2" t="n">
        <f aca="false">IFERROR(__xludf.dummyfunction("""COMPUTED_VALUE"""),195.01)</f>
        <v>195.01</v>
      </c>
      <c r="C877" s="2" t="n">
        <f aca="false">IFERROR(__xludf.dummyfunction("""COMPUTED_VALUE"""),199.84)</f>
        <v>199.84</v>
      </c>
      <c r="D877" s="2" t="n">
        <f aca="false">IFERROR(__xludf.dummyfunction("""COMPUTED_VALUE"""),194.2)</f>
        <v>194.2</v>
      </c>
      <c r="E877" s="2" t="n">
        <f aca="false">IFERROR(__xludf.dummyfunction("""COMPUTED_VALUE"""),197.85)</f>
        <v>197.85</v>
      </c>
      <c r="F877" s="2" t="n">
        <f aca="false">IFERROR(__xludf.dummyfunction("""COMPUTED_VALUE"""),74397491)</f>
        <v>74397491</v>
      </c>
    </row>
    <row r="878" customFormat="false" ht="15.75" hidden="false" customHeight="false" outlineLevel="0" collapsed="false">
      <c r="A878" s="3" t="n">
        <f aca="false">IFERROR(__xludf.dummyfunction("""COMPUTED_VALUE"""),45471.6666666667)</f>
        <v>45471.6666666667</v>
      </c>
      <c r="B878" s="2" t="n">
        <f aca="false">IFERROR(__xludf.dummyfunction("""COMPUTED_VALUE"""),197.73)</f>
        <v>197.73</v>
      </c>
      <c r="C878" s="2" t="n">
        <f aca="false">IFERROR(__xludf.dummyfunction("""COMPUTED_VALUE"""),198.85)</f>
        <v>198.85</v>
      </c>
      <c r="D878" s="2" t="n">
        <f aca="false">IFERROR(__xludf.dummyfunction("""COMPUTED_VALUE"""),192.5)</f>
        <v>192.5</v>
      </c>
      <c r="E878" s="2" t="n">
        <f aca="false">IFERROR(__xludf.dummyfunction("""COMPUTED_VALUE"""),193.25)</f>
        <v>193.25</v>
      </c>
      <c r="F878" s="2" t="n">
        <f aca="false">IFERROR(__xludf.dummyfunction("""COMPUTED_VALUE"""),76930192)</f>
        <v>76930192</v>
      </c>
    </row>
    <row r="879" customFormat="false" ht="15.75" hidden="false" customHeight="false" outlineLevel="0" collapsed="false">
      <c r="A879" s="3" t="n">
        <f aca="false">IFERROR(__xludf.dummyfunction("""COMPUTED_VALUE"""),45474.6666666667)</f>
        <v>45474.6666666667</v>
      </c>
      <c r="B879" s="2" t="n">
        <f aca="false">IFERROR(__xludf.dummyfunction("""COMPUTED_VALUE"""),193.49)</f>
        <v>193.49</v>
      </c>
      <c r="C879" s="2" t="n">
        <f aca="false">IFERROR(__xludf.dummyfunction("""COMPUTED_VALUE"""),198.3)</f>
        <v>198.3</v>
      </c>
      <c r="D879" s="2" t="n">
        <f aca="false">IFERROR(__xludf.dummyfunction("""COMPUTED_VALUE"""),192.82)</f>
        <v>192.82</v>
      </c>
      <c r="E879" s="2" t="n">
        <f aca="false">IFERROR(__xludf.dummyfunction("""COMPUTED_VALUE"""),197.2)</f>
        <v>197.2</v>
      </c>
      <c r="F879" s="2" t="n">
        <f aca="false">IFERROR(__xludf.dummyfunction("""COMPUTED_VALUE"""),41192011)</f>
        <v>41192011</v>
      </c>
    </row>
    <row r="880" customFormat="false" ht="15.75" hidden="false" customHeight="false" outlineLevel="0" collapsed="false">
      <c r="A880" s="3" t="n">
        <f aca="false">IFERROR(__xludf.dummyfunction("""COMPUTED_VALUE"""),45475.6666666667)</f>
        <v>45475.6666666667</v>
      </c>
      <c r="B880" s="2" t="n">
        <f aca="false">IFERROR(__xludf.dummyfunction("""COMPUTED_VALUE"""),197.28)</f>
        <v>197.28</v>
      </c>
      <c r="C880" s="2" t="n">
        <f aca="false">IFERROR(__xludf.dummyfunction("""COMPUTED_VALUE"""),200.43)</f>
        <v>200.43</v>
      </c>
      <c r="D880" s="2" t="n">
        <f aca="false">IFERROR(__xludf.dummyfunction("""COMPUTED_VALUE"""),195.93)</f>
        <v>195.93</v>
      </c>
      <c r="E880" s="2" t="n">
        <f aca="false">IFERROR(__xludf.dummyfunction("""COMPUTED_VALUE"""),200)</f>
        <v>200</v>
      </c>
      <c r="F880" s="2" t="n">
        <f aca="false">IFERROR(__xludf.dummyfunction("""COMPUTED_VALUE"""),45600013)</f>
        <v>45600013</v>
      </c>
    </row>
    <row r="881" customFormat="false" ht="15.75" hidden="false" customHeight="false" outlineLevel="0" collapsed="false">
      <c r="A881" s="3" t="n">
        <f aca="false">IFERROR(__xludf.dummyfunction("""COMPUTED_VALUE"""),45476.5451388889)</f>
        <v>45476.5451388889</v>
      </c>
      <c r="B881" s="2" t="n">
        <f aca="false">IFERROR(__xludf.dummyfunction("""COMPUTED_VALUE"""),199.94)</f>
        <v>199.94</v>
      </c>
      <c r="C881" s="2" t="n">
        <f aca="false">IFERROR(__xludf.dummyfunction("""COMPUTED_VALUE"""),200.03)</f>
        <v>200.03</v>
      </c>
      <c r="D881" s="2" t="n">
        <f aca="false">IFERROR(__xludf.dummyfunction("""COMPUTED_VALUE"""),196.76)</f>
        <v>196.76</v>
      </c>
      <c r="E881" s="2" t="n">
        <f aca="false">IFERROR(__xludf.dummyfunction("""COMPUTED_VALUE"""),197.59)</f>
        <v>197.59</v>
      </c>
      <c r="F881" s="2" t="n">
        <f aca="false">IFERROR(__xludf.dummyfunction("""COMPUTED_VALUE"""),31597926)</f>
        <v>31597926</v>
      </c>
    </row>
    <row r="882" customFormat="false" ht="15.75" hidden="false" customHeight="false" outlineLevel="0" collapsed="false">
      <c r="A882" s="3" t="n">
        <f aca="false">IFERROR(__xludf.dummyfunction("""COMPUTED_VALUE"""),45478.6666666667)</f>
        <v>45478.6666666667</v>
      </c>
      <c r="B882" s="2" t="n">
        <f aca="false">IFERROR(__xludf.dummyfunction("""COMPUTED_VALUE"""),198.65)</f>
        <v>198.65</v>
      </c>
      <c r="C882" s="2" t="n">
        <f aca="false">IFERROR(__xludf.dummyfunction("""COMPUTED_VALUE"""),200.55)</f>
        <v>200.55</v>
      </c>
      <c r="D882" s="2" t="n">
        <f aca="false">IFERROR(__xludf.dummyfunction("""COMPUTED_VALUE"""),198.17)</f>
        <v>198.17</v>
      </c>
      <c r="E882" s="2" t="n">
        <f aca="false">IFERROR(__xludf.dummyfunction("""COMPUTED_VALUE"""),200)</f>
        <v>200</v>
      </c>
      <c r="F882" s="2" t="n">
        <f aca="false">IFERROR(__xludf.dummyfunction("""COMPUTED_VALUE"""),39858885)</f>
        <v>39858885</v>
      </c>
    </row>
    <row r="883" customFormat="false" ht="15.75" hidden="false" customHeight="false" outlineLevel="0" collapsed="false">
      <c r="A883" s="3" t="n">
        <f aca="false">IFERROR(__xludf.dummyfunction("""COMPUTED_VALUE"""),45481.6666666667)</f>
        <v>45481.6666666667</v>
      </c>
      <c r="B883" s="2" t="n">
        <f aca="false">IFERROR(__xludf.dummyfunction("""COMPUTED_VALUE"""),200.04)</f>
        <v>200.04</v>
      </c>
      <c r="C883" s="2" t="n">
        <f aca="false">IFERROR(__xludf.dummyfunction("""COMPUTED_VALUE"""),201.2)</f>
        <v>201.2</v>
      </c>
      <c r="D883" s="2" t="n">
        <f aca="false">IFERROR(__xludf.dummyfunction("""COMPUTED_VALUE"""),197.96)</f>
        <v>197.96</v>
      </c>
      <c r="E883" s="2" t="n">
        <f aca="false">IFERROR(__xludf.dummyfunction("""COMPUTED_VALUE"""),199.29)</f>
        <v>199.29</v>
      </c>
      <c r="F883" s="2" t="n">
        <f aca="false">IFERROR(__xludf.dummyfunction("""COMPUTED_VALUE"""),34767261)</f>
        <v>34767261</v>
      </c>
    </row>
    <row r="884" customFormat="false" ht="15.75" hidden="false" customHeight="false" outlineLevel="0" collapsed="false">
      <c r="A884" s="3" t="n">
        <f aca="false">IFERROR(__xludf.dummyfunction("""COMPUTED_VALUE"""),45482.6666666667)</f>
        <v>45482.6666666667</v>
      </c>
      <c r="B884" s="2" t="n">
        <f aca="false">IFERROR(__xludf.dummyfunction("""COMPUTED_VALUE"""),199.4)</f>
        <v>199.4</v>
      </c>
      <c r="C884" s="2" t="n">
        <f aca="false">IFERROR(__xludf.dummyfunction("""COMPUTED_VALUE"""),200.57)</f>
        <v>200.57</v>
      </c>
      <c r="D884" s="2" t="n">
        <f aca="false">IFERROR(__xludf.dummyfunction("""COMPUTED_VALUE"""),199.05)</f>
        <v>199.05</v>
      </c>
      <c r="E884" s="2" t="n">
        <f aca="false">IFERROR(__xludf.dummyfunction("""COMPUTED_VALUE"""),199.34)</f>
        <v>199.34</v>
      </c>
      <c r="F884" s="2" t="n">
        <f aca="false">IFERROR(__xludf.dummyfunction("""COMPUTED_VALUE"""),32756736)</f>
        <v>32756736</v>
      </c>
    </row>
    <row r="885" customFormat="false" ht="15.75" hidden="false" customHeight="false" outlineLevel="0" collapsed="false">
      <c r="A885" s="3" t="n">
        <f aca="false">IFERROR(__xludf.dummyfunction("""COMPUTED_VALUE"""),45483.6666666667)</f>
        <v>45483.6666666667</v>
      </c>
      <c r="B885" s="2" t="n">
        <f aca="false">IFERROR(__xludf.dummyfunction("""COMPUTED_VALUE"""),200)</f>
        <v>200</v>
      </c>
      <c r="C885" s="2" t="n">
        <f aca="false">IFERROR(__xludf.dummyfunction("""COMPUTED_VALUE"""),200.11)</f>
        <v>200.11</v>
      </c>
      <c r="D885" s="2" t="n">
        <f aca="false">IFERROR(__xludf.dummyfunction("""COMPUTED_VALUE"""),197.69)</f>
        <v>197.69</v>
      </c>
      <c r="E885" s="2" t="n">
        <f aca="false">IFERROR(__xludf.dummyfunction("""COMPUTED_VALUE"""),199.79)</f>
        <v>199.79</v>
      </c>
      <c r="F885" s="2" t="n">
        <f aca="false">IFERROR(__xludf.dummyfunction("""COMPUTED_VALUE"""),32883753)</f>
        <v>32883753</v>
      </c>
    </row>
    <row r="886" customFormat="false" ht="15.75" hidden="false" customHeight="false" outlineLevel="0" collapsed="false">
      <c r="A886" s="3" t="n">
        <f aca="false">IFERROR(__xludf.dummyfunction("""COMPUTED_VALUE"""),45484.6666666667)</f>
        <v>45484.6666666667</v>
      </c>
      <c r="B886" s="2" t="n">
        <f aca="false">IFERROR(__xludf.dummyfunction("""COMPUTED_VALUE"""),200.09)</f>
        <v>200.09</v>
      </c>
      <c r="C886" s="2" t="n">
        <f aca="false">IFERROR(__xludf.dummyfunction("""COMPUTED_VALUE"""),200.27)</f>
        <v>200.27</v>
      </c>
      <c r="D886" s="2" t="n">
        <f aca="false">IFERROR(__xludf.dummyfunction("""COMPUTED_VALUE"""),192.86)</f>
        <v>192.86</v>
      </c>
      <c r="E886" s="2" t="n">
        <f aca="false">IFERROR(__xludf.dummyfunction("""COMPUTED_VALUE"""),195.05)</f>
        <v>195.05</v>
      </c>
      <c r="F886" s="2" t="n">
        <f aca="false">IFERROR(__xludf.dummyfunction("""COMPUTED_VALUE"""),44565041)</f>
        <v>44565041</v>
      </c>
    </row>
    <row r="887" customFormat="false" ht="15.75" hidden="false" customHeight="false" outlineLevel="0" collapsed="false">
      <c r="A887" s="3" t="n">
        <f aca="false">IFERROR(__xludf.dummyfunction("""COMPUTED_VALUE"""),45485.6666666667)</f>
        <v>45485.6666666667</v>
      </c>
      <c r="B887" s="2" t="n">
        <f aca="false">IFERROR(__xludf.dummyfunction("""COMPUTED_VALUE"""),194.8)</f>
        <v>194.8</v>
      </c>
      <c r="C887" s="2" t="n">
        <f aca="false">IFERROR(__xludf.dummyfunction("""COMPUTED_VALUE"""),196.47)</f>
        <v>196.47</v>
      </c>
      <c r="D887" s="2" t="n">
        <f aca="false">IFERROR(__xludf.dummyfunction("""COMPUTED_VALUE"""),193.83)</f>
        <v>193.83</v>
      </c>
      <c r="E887" s="2" t="n">
        <f aca="false">IFERROR(__xludf.dummyfunction("""COMPUTED_VALUE"""),194.49)</f>
        <v>194.49</v>
      </c>
      <c r="F887" s="2" t="n">
        <f aca="false">IFERROR(__xludf.dummyfunction("""COMPUTED_VALUE"""),30598525)</f>
        <v>30598525</v>
      </c>
    </row>
    <row r="888" customFormat="false" ht="15.75" hidden="false" customHeight="false" outlineLevel="0" collapsed="false">
      <c r="A888" s="3" t="n">
        <f aca="false">IFERROR(__xludf.dummyfunction("""COMPUTED_VALUE"""),45488.6666666667)</f>
        <v>45488.6666666667</v>
      </c>
      <c r="B888" s="2" t="n">
        <f aca="false">IFERROR(__xludf.dummyfunction("""COMPUTED_VALUE"""),194.56)</f>
        <v>194.56</v>
      </c>
      <c r="C888" s="2" t="n">
        <f aca="false">IFERROR(__xludf.dummyfunction("""COMPUTED_VALUE"""),196.19)</f>
        <v>196.19</v>
      </c>
      <c r="D888" s="2" t="n">
        <f aca="false">IFERROR(__xludf.dummyfunction("""COMPUTED_VALUE"""),190.83)</f>
        <v>190.83</v>
      </c>
      <c r="E888" s="2" t="n">
        <f aca="false">IFERROR(__xludf.dummyfunction("""COMPUTED_VALUE"""),192.72)</f>
        <v>192.72</v>
      </c>
      <c r="F888" s="2" t="n">
        <f aca="false">IFERROR(__xludf.dummyfunction("""COMPUTED_VALUE"""),40683227)</f>
        <v>40683227</v>
      </c>
    </row>
    <row r="889" customFormat="false" ht="15.75" hidden="false" customHeight="false" outlineLevel="0" collapsed="false">
      <c r="A889" s="3" t="n">
        <f aca="false">IFERROR(__xludf.dummyfunction("""COMPUTED_VALUE"""),45489.6666666667)</f>
        <v>45489.6666666667</v>
      </c>
      <c r="B889" s="2" t="n">
        <f aca="false">IFERROR(__xludf.dummyfunction("""COMPUTED_VALUE"""),195.59)</f>
        <v>195.59</v>
      </c>
      <c r="C889" s="2" t="n">
        <f aca="false">IFERROR(__xludf.dummyfunction("""COMPUTED_VALUE"""),196.62)</f>
        <v>196.62</v>
      </c>
      <c r="D889" s="2" t="n">
        <f aca="false">IFERROR(__xludf.dummyfunction("""COMPUTED_VALUE"""),192.24)</f>
        <v>192.24</v>
      </c>
      <c r="E889" s="2" t="n">
        <f aca="false">IFERROR(__xludf.dummyfunction("""COMPUTED_VALUE"""),193.02)</f>
        <v>193.02</v>
      </c>
      <c r="F889" s="2" t="n">
        <f aca="false">IFERROR(__xludf.dummyfunction("""COMPUTED_VALUE"""),33994714)</f>
        <v>33994714</v>
      </c>
    </row>
    <row r="890" customFormat="false" ht="15.75" hidden="false" customHeight="false" outlineLevel="0" collapsed="false">
      <c r="A890" s="3" t="n">
        <f aca="false">IFERROR(__xludf.dummyfunction("""COMPUTED_VALUE"""),45490.6666666667)</f>
        <v>45490.6666666667</v>
      </c>
      <c r="B890" s="2" t="n">
        <f aca="false">IFERROR(__xludf.dummyfunction("""COMPUTED_VALUE"""),191.35)</f>
        <v>191.35</v>
      </c>
      <c r="C890" s="2" t="n">
        <f aca="false">IFERROR(__xludf.dummyfunction("""COMPUTED_VALUE"""),191.58)</f>
        <v>191.58</v>
      </c>
      <c r="D890" s="2" t="n">
        <f aca="false">IFERROR(__xludf.dummyfunction("""COMPUTED_VALUE"""),185.99)</f>
        <v>185.99</v>
      </c>
      <c r="E890" s="2" t="n">
        <f aca="false">IFERROR(__xludf.dummyfunction("""COMPUTED_VALUE"""),187.93)</f>
        <v>187.93</v>
      </c>
      <c r="F890" s="2" t="n">
        <f aca="false">IFERROR(__xludf.dummyfunction("""COMPUTED_VALUE"""),48076139)</f>
        <v>48076139</v>
      </c>
    </row>
    <row r="891" customFormat="false" ht="15.75" hidden="false" customHeight="false" outlineLevel="0" collapsed="false">
      <c r="A891" s="3" t="n">
        <f aca="false">IFERROR(__xludf.dummyfunction("""COMPUTED_VALUE"""),45491.6666666667)</f>
        <v>45491.6666666667</v>
      </c>
      <c r="B891" s="2" t="n">
        <f aca="false">IFERROR(__xludf.dummyfunction("""COMPUTED_VALUE"""),189.59)</f>
        <v>189.59</v>
      </c>
      <c r="C891" s="2" t="n">
        <f aca="false">IFERROR(__xludf.dummyfunction("""COMPUTED_VALUE"""),189.68)</f>
        <v>189.68</v>
      </c>
      <c r="D891" s="2" t="n">
        <f aca="false">IFERROR(__xludf.dummyfunction("""COMPUTED_VALUE"""),181.45)</f>
        <v>181.45</v>
      </c>
      <c r="E891" s="2" t="n">
        <f aca="false">IFERROR(__xludf.dummyfunction("""COMPUTED_VALUE"""),183.75)</f>
        <v>183.75</v>
      </c>
      <c r="F891" s="2" t="n">
        <f aca="false">IFERROR(__xludf.dummyfunction("""COMPUTED_VALUE"""),51043626)</f>
        <v>51043626</v>
      </c>
    </row>
    <row r="892" customFormat="false" ht="15.75" hidden="false" customHeight="false" outlineLevel="0" collapsed="false">
      <c r="A892" s="3" t="n">
        <f aca="false">IFERROR(__xludf.dummyfunction("""COMPUTED_VALUE"""),45492.6666666667)</f>
        <v>45492.6666666667</v>
      </c>
      <c r="B892" s="2" t="n">
        <f aca="false">IFERROR(__xludf.dummyfunction("""COMPUTED_VALUE"""),181.14)</f>
        <v>181.14</v>
      </c>
      <c r="C892" s="2" t="n">
        <f aca="false">IFERROR(__xludf.dummyfunction("""COMPUTED_VALUE"""),184.93)</f>
        <v>184.93</v>
      </c>
      <c r="D892" s="2" t="n">
        <f aca="false">IFERROR(__xludf.dummyfunction("""COMPUTED_VALUE"""),180.11)</f>
        <v>180.11</v>
      </c>
      <c r="E892" s="2" t="n">
        <f aca="false">IFERROR(__xludf.dummyfunction("""COMPUTED_VALUE"""),183.13)</f>
        <v>183.13</v>
      </c>
      <c r="F892" s="2" t="n">
        <f aca="false">IFERROR(__xludf.dummyfunction("""COMPUTED_VALUE"""),43081829)</f>
        <v>43081829</v>
      </c>
    </row>
    <row r="893" customFormat="false" ht="15.75" hidden="false" customHeight="false" outlineLevel="0" collapsed="false">
      <c r="A893" s="3" t="n">
        <f aca="false">IFERROR(__xludf.dummyfunction("""COMPUTED_VALUE"""),45495.6666666667)</f>
        <v>45495.6666666667</v>
      </c>
      <c r="B893" s="2" t="n">
        <f aca="false">IFERROR(__xludf.dummyfunction("""COMPUTED_VALUE"""),185)</f>
        <v>185</v>
      </c>
      <c r="C893" s="2" t="n">
        <f aca="false">IFERROR(__xludf.dummyfunction("""COMPUTED_VALUE"""),185.06)</f>
        <v>185.06</v>
      </c>
      <c r="D893" s="2" t="n">
        <f aca="false">IFERROR(__xludf.dummyfunction("""COMPUTED_VALUE"""),182.48)</f>
        <v>182.48</v>
      </c>
      <c r="E893" s="2" t="n">
        <f aca="false">IFERROR(__xludf.dummyfunction("""COMPUTED_VALUE"""),182.55)</f>
        <v>182.55</v>
      </c>
      <c r="F893" s="2" t="n">
        <f aca="false">IFERROR(__xludf.dummyfunction("""COMPUTED_VALUE"""),39931923)</f>
        <v>39931923</v>
      </c>
    </row>
    <row r="894" customFormat="false" ht="15.75" hidden="false" customHeight="false" outlineLevel="0" collapsed="false">
      <c r="A894" s="3" t="n">
        <f aca="false">IFERROR(__xludf.dummyfunction("""COMPUTED_VALUE"""),45496.6666666667)</f>
        <v>45496.6666666667</v>
      </c>
      <c r="B894" s="2" t="n">
        <f aca="false">IFERROR(__xludf.dummyfunction("""COMPUTED_VALUE"""),184.1)</f>
        <v>184.1</v>
      </c>
      <c r="C894" s="2" t="n">
        <f aca="false">IFERROR(__xludf.dummyfunction("""COMPUTED_VALUE"""),189.39)</f>
        <v>189.39</v>
      </c>
      <c r="D894" s="2" t="n">
        <f aca="false">IFERROR(__xludf.dummyfunction("""COMPUTED_VALUE"""),183.56)</f>
        <v>183.56</v>
      </c>
      <c r="E894" s="2" t="n">
        <f aca="false">IFERROR(__xludf.dummyfunction("""COMPUTED_VALUE"""),186.41)</f>
        <v>186.41</v>
      </c>
      <c r="F894" s="2" t="n">
        <f aca="false">IFERROR(__xludf.dummyfunction("""COMPUTED_VALUE"""),47537670)</f>
        <v>47537670</v>
      </c>
    </row>
    <row r="895" customFormat="false" ht="15.75" hidden="false" customHeight="false" outlineLevel="0" collapsed="false">
      <c r="A895" s="3" t="n">
        <f aca="false">IFERROR(__xludf.dummyfunction("""COMPUTED_VALUE"""),45497.6666666667)</f>
        <v>45497.6666666667</v>
      </c>
      <c r="B895" s="2" t="n">
        <f aca="false">IFERROR(__xludf.dummyfunction("""COMPUTED_VALUE"""),183.2)</f>
        <v>183.2</v>
      </c>
      <c r="C895" s="2" t="n">
        <f aca="false">IFERROR(__xludf.dummyfunction("""COMPUTED_VALUE"""),185.45)</f>
        <v>185.45</v>
      </c>
      <c r="D895" s="2" t="n">
        <f aca="false">IFERROR(__xludf.dummyfunction("""COMPUTED_VALUE"""),180.41)</f>
        <v>180.41</v>
      </c>
      <c r="E895" s="2" t="n">
        <f aca="false">IFERROR(__xludf.dummyfunction("""COMPUTED_VALUE"""),180.83)</f>
        <v>180.83</v>
      </c>
      <c r="F895" s="2" t="n">
        <f aca="false">IFERROR(__xludf.dummyfunction("""COMPUTED_VALUE"""),41532360)</f>
        <v>41532360</v>
      </c>
    </row>
    <row r="896" customFormat="false" ht="15.75" hidden="false" customHeight="false" outlineLevel="0" collapsed="false">
      <c r="A896" s="3" t="n">
        <f aca="false">IFERROR(__xludf.dummyfunction("""COMPUTED_VALUE"""),45498.6666666667)</f>
        <v>45498.6666666667</v>
      </c>
      <c r="B896" s="2" t="n">
        <f aca="false">IFERROR(__xludf.dummyfunction("""COMPUTED_VALUE"""),182.91)</f>
        <v>182.91</v>
      </c>
      <c r="C896" s="2" t="n">
        <f aca="false">IFERROR(__xludf.dummyfunction("""COMPUTED_VALUE"""),183.9)</f>
        <v>183.9</v>
      </c>
      <c r="D896" s="2" t="n">
        <f aca="false">IFERROR(__xludf.dummyfunction("""COMPUTED_VALUE"""),176.8)</f>
        <v>176.8</v>
      </c>
      <c r="E896" s="2" t="n">
        <f aca="false">IFERROR(__xludf.dummyfunction("""COMPUTED_VALUE"""),179.85)</f>
        <v>179.85</v>
      </c>
      <c r="F896" s="2" t="n">
        <f aca="false">IFERROR(__xludf.dummyfunction("""COMPUTED_VALUE"""),44464163)</f>
        <v>44464163</v>
      </c>
    </row>
    <row r="897" customFormat="false" ht="15.75" hidden="false" customHeight="false" outlineLevel="0" collapsed="false">
      <c r="A897" s="3" t="n">
        <f aca="false">IFERROR(__xludf.dummyfunction("""COMPUTED_VALUE"""),45499.6666666667)</f>
        <v>45499.6666666667</v>
      </c>
      <c r="B897" s="2" t="n">
        <f aca="false">IFERROR(__xludf.dummyfunction("""COMPUTED_VALUE"""),180.39)</f>
        <v>180.39</v>
      </c>
      <c r="C897" s="2" t="n">
        <f aca="false">IFERROR(__xludf.dummyfunction("""COMPUTED_VALUE"""),183.19)</f>
        <v>183.19</v>
      </c>
      <c r="D897" s="2" t="n">
        <f aca="false">IFERROR(__xludf.dummyfunction("""COMPUTED_VALUE"""),180.24)</f>
        <v>180.24</v>
      </c>
      <c r="E897" s="2" t="n">
        <f aca="false">IFERROR(__xludf.dummyfunction("""COMPUTED_VALUE"""),182.5)</f>
        <v>182.5</v>
      </c>
      <c r="F897" s="2" t="n">
        <f aca="false">IFERROR(__xludf.dummyfunction("""COMPUTED_VALUE"""),29505964)</f>
        <v>29505964</v>
      </c>
    </row>
    <row r="898" customFormat="false" ht="15.75" hidden="false" customHeight="false" outlineLevel="0" collapsed="false">
      <c r="A898" s="3" t="n">
        <f aca="false">IFERROR(__xludf.dummyfunction("""COMPUTED_VALUE"""),45502.6666666667)</f>
        <v>45502.6666666667</v>
      </c>
      <c r="B898" s="2" t="n">
        <f aca="false">IFERROR(__xludf.dummyfunction("""COMPUTED_VALUE"""),183.84)</f>
        <v>183.84</v>
      </c>
      <c r="C898" s="2" t="n">
        <f aca="false">IFERROR(__xludf.dummyfunction("""COMPUTED_VALUE"""),184.75)</f>
        <v>184.75</v>
      </c>
      <c r="D898" s="2" t="n">
        <f aca="false">IFERROR(__xludf.dummyfunction("""COMPUTED_VALUE"""),182.38)</f>
        <v>182.38</v>
      </c>
      <c r="E898" s="2" t="n">
        <f aca="false">IFERROR(__xludf.dummyfunction("""COMPUTED_VALUE"""),183.2)</f>
        <v>183.2</v>
      </c>
      <c r="F898" s="2" t="n">
        <f aca="false">IFERROR(__xludf.dummyfunction("""COMPUTED_VALUE"""),33270123)</f>
        <v>33270123</v>
      </c>
    </row>
    <row r="899" customFormat="false" ht="15.75" hidden="false" customHeight="false" outlineLevel="0" collapsed="false">
      <c r="A899" s="3" t="n">
        <f aca="false">IFERROR(__xludf.dummyfunction("""COMPUTED_VALUE"""),45503.6666666667)</f>
        <v>45503.6666666667</v>
      </c>
      <c r="B899" s="2" t="n">
        <f aca="false">IFERROR(__xludf.dummyfunction("""COMPUTED_VALUE"""),184.72)</f>
        <v>184.72</v>
      </c>
      <c r="C899" s="2" t="n">
        <f aca="false">IFERROR(__xludf.dummyfunction("""COMPUTED_VALUE"""),185.86)</f>
        <v>185.86</v>
      </c>
      <c r="D899" s="2" t="n">
        <f aca="false">IFERROR(__xludf.dummyfunction("""COMPUTED_VALUE"""),179.38)</f>
        <v>179.38</v>
      </c>
      <c r="E899" s="2" t="n">
        <f aca="false">IFERROR(__xludf.dummyfunction("""COMPUTED_VALUE"""),181.71)</f>
        <v>181.71</v>
      </c>
      <c r="F899" s="2" t="n">
        <f aca="false">IFERROR(__xludf.dummyfunction("""COMPUTED_VALUE"""),39508574)</f>
        <v>39508574</v>
      </c>
    </row>
    <row r="900" customFormat="false" ht="15.75" hidden="false" customHeight="false" outlineLevel="0" collapsed="false">
      <c r="A900" s="3" t="n">
        <f aca="false">IFERROR(__xludf.dummyfunction("""COMPUTED_VALUE"""),45504.6666666667)</f>
        <v>45504.6666666667</v>
      </c>
      <c r="B900" s="2" t="n">
        <f aca="false">IFERROR(__xludf.dummyfunction("""COMPUTED_VALUE"""),185.05)</f>
        <v>185.05</v>
      </c>
      <c r="C900" s="2" t="n">
        <f aca="false">IFERROR(__xludf.dummyfunction("""COMPUTED_VALUE"""),187.94)</f>
        <v>187.94</v>
      </c>
      <c r="D900" s="2" t="n">
        <f aca="false">IFERROR(__xludf.dummyfunction("""COMPUTED_VALUE"""),184.46)</f>
        <v>184.46</v>
      </c>
      <c r="E900" s="2" t="n">
        <f aca="false">IFERROR(__xludf.dummyfunction("""COMPUTED_VALUE"""),186.98)</f>
        <v>186.98</v>
      </c>
      <c r="F900" s="2" t="n">
        <f aca="false">IFERROR(__xludf.dummyfunction("""COMPUTED_VALUE"""),41667326)</f>
        <v>41667326</v>
      </c>
    </row>
    <row r="901" customFormat="false" ht="15.75" hidden="false" customHeight="false" outlineLevel="0" collapsed="false">
      <c r="A901" s="3" t="n">
        <f aca="false">IFERROR(__xludf.dummyfunction("""COMPUTED_VALUE"""),45505.6666666667)</f>
        <v>45505.6666666667</v>
      </c>
      <c r="B901" s="2" t="n">
        <f aca="false">IFERROR(__xludf.dummyfunction("""COMPUTED_VALUE"""),189.29)</f>
        <v>189.29</v>
      </c>
      <c r="C901" s="2" t="n">
        <f aca="false">IFERROR(__xludf.dummyfunction("""COMPUTED_VALUE"""),190.6)</f>
        <v>190.6</v>
      </c>
      <c r="D901" s="2" t="n">
        <f aca="false">IFERROR(__xludf.dummyfunction("""COMPUTED_VALUE"""),181.87)</f>
        <v>181.87</v>
      </c>
      <c r="E901" s="2" t="n">
        <f aca="false">IFERROR(__xludf.dummyfunction("""COMPUTED_VALUE"""),184.07)</f>
        <v>184.07</v>
      </c>
      <c r="F901" s="2" t="n">
        <f aca="false">IFERROR(__xludf.dummyfunction("""COMPUTED_VALUE"""),70435635)</f>
        <v>70435635</v>
      </c>
    </row>
    <row r="902" customFormat="false" ht="15.75" hidden="false" customHeight="false" outlineLevel="0" collapsed="false">
      <c r="A902" s="3" t="n">
        <f aca="false">IFERROR(__xludf.dummyfunction("""COMPUTED_VALUE"""),45506.6666666667)</f>
        <v>45506.6666666667</v>
      </c>
      <c r="B902" s="2" t="n">
        <f aca="false">IFERROR(__xludf.dummyfunction("""COMPUTED_VALUE"""),166.75)</f>
        <v>166.75</v>
      </c>
      <c r="C902" s="2" t="n">
        <f aca="false">IFERROR(__xludf.dummyfunction("""COMPUTED_VALUE"""),168.77)</f>
        <v>168.77</v>
      </c>
      <c r="D902" s="2" t="n">
        <f aca="false">IFERROR(__xludf.dummyfunction("""COMPUTED_VALUE"""),160.55)</f>
        <v>160.55</v>
      </c>
      <c r="E902" s="2" t="n">
        <f aca="false">IFERROR(__xludf.dummyfunction("""COMPUTED_VALUE"""),167.9)</f>
        <v>167.9</v>
      </c>
      <c r="F902" s="2" t="n">
        <f aca="false">IFERROR(__xludf.dummyfunction("""COMPUTED_VALUE"""),141448365)</f>
        <v>141448365</v>
      </c>
    </row>
    <row r="903" customFormat="false" ht="15.75" hidden="false" customHeight="false" outlineLevel="0" collapsed="false">
      <c r="A903" s="3" t="n">
        <f aca="false">IFERROR(__xludf.dummyfunction("""COMPUTED_VALUE"""),45509.6666666667)</f>
        <v>45509.6666666667</v>
      </c>
      <c r="B903" s="2" t="n">
        <f aca="false">IFERROR(__xludf.dummyfunction("""COMPUTED_VALUE"""),154.21)</f>
        <v>154.21</v>
      </c>
      <c r="C903" s="2" t="n">
        <f aca="false">IFERROR(__xludf.dummyfunction("""COMPUTED_VALUE"""),162.96)</f>
        <v>162.96</v>
      </c>
      <c r="D903" s="2" t="n">
        <f aca="false">IFERROR(__xludf.dummyfunction("""COMPUTED_VALUE"""),151.61)</f>
        <v>151.61</v>
      </c>
      <c r="E903" s="2" t="n">
        <f aca="false">IFERROR(__xludf.dummyfunction("""COMPUTED_VALUE"""),161.02)</f>
        <v>161.02</v>
      </c>
      <c r="F903" s="2" t="n">
        <f aca="false">IFERROR(__xludf.dummyfunction("""COMPUTED_VALUE"""),83149437)</f>
        <v>83149437</v>
      </c>
    </row>
    <row r="904" customFormat="false" ht="15.75" hidden="false" customHeight="false" outlineLevel="0" collapsed="false">
      <c r="A904" s="3" t="n">
        <f aca="false">IFERROR(__xludf.dummyfunction("""COMPUTED_VALUE"""),45510.6666666667)</f>
        <v>45510.6666666667</v>
      </c>
      <c r="B904" s="2" t="n">
        <f aca="false">IFERROR(__xludf.dummyfunction("""COMPUTED_VALUE"""),161.71)</f>
        <v>161.71</v>
      </c>
      <c r="C904" s="2" t="n">
        <f aca="false">IFERROR(__xludf.dummyfunction("""COMPUTED_VALUE"""),165.08)</f>
        <v>165.08</v>
      </c>
      <c r="D904" s="2" t="n">
        <f aca="false">IFERROR(__xludf.dummyfunction("""COMPUTED_VALUE"""),158.54)</f>
        <v>158.54</v>
      </c>
      <c r="E904" s="2" t="n">
        <f aca="false">IFERROR(__xludf.dummyfunction("""COMPUTED_VALUE"""),161.93)</f>
        <v>161.93</v>
      </c>
      <c r="F904" s="2" t="n">
        <f aca="false">IFERROR(__xludf.dummyfunction("""COMPUTED_VALUE"""),59950830)</f>
        <v>59950830</v>
      </c>
    </row>
    <row r="905" customFormat="false" ht="15.75" hidden="false" customHeight="false" outlineLevel="0" collapsed="false">
      <c r="A905" s="3" t="n">
        <f aca="false">IFERROR(__xludf.dummyfunction("""COMPUTED_VALUE"""),45511.6666666667)</f>
        <v>45511.6666666667</v>
      </c>
      <c r="B905" s="2" t="n">
        <f aca="false">IFERROR(__xludf.dummyfunction("""COMPUTED_VALUE"""),166.55)</f>
        <v>166.55</v>
      </c>
      <c r="C905" s="2" t="n">
        <f aca="false">IFERROR(__xludf.dummyfunction("""COMPUTED_VALUE"""),167.58)</f>
        <v>167.58</v>
      </c>
      <c r="D905" s="2" t="n">
        <f aca="false">IFERROR(__xludf.dummyfunction("""COMPUTED_VALUE"""),161.43)</f>
        <v>161.43</v>
      </c>
      <c r="E905" s="2" t="n">
        <f aca="false">IFERROR(__xludf.dummyfunction("""COMPUTED_VALUE"""),162.77)</f>
        <v>162.77</v>
      </c>
      <c r="F905" s="2" t="n">
        <f aca="false">IFERROR(__xludf.dummyfunction("""COMPUTED_VALUE"""),48408240)</f>
        <v>48408240</v>
      </c>
    </row>
    <row r="906" customFormat="false" ht="15.75" hidden="false" customHeight="false" outlineLevel="0" collapsed="false">
      <c r="A906" s="3" t="n">
        <f aca="false">IFERROR(__xludf.dummyfunction("""COMPUTED_VALUE"""),45512.6666666667)</f>
        <v>45512.6666666667</v>
      </c>
      <c r="B906" s="2" t="n">
        <f aca="false">IFERROR(__xludf.dummyfunction("""COMPUTED_VALUE"""),165.17)</f>
        <v>165.17</v>
      </c>
      <c r="C906" s="2" t="n">
        <f aca="false">IFERROR(__xludf.dummyfunction("""COMPUTED_VALUE"""),166.69)</f>
        <v>166.69</v>
      </c>
      <c r="D906" s="2" t="n">
        <f aca="false">IFERROR(__xludf.dummyfunction("""COMPUTED_VALUE"""),162.55)</f>
        <v>162.55</v>
      </c>
      <c r="E906" s="2" t="n">
        <f aca="false">IFERROR(__xludf.dummyfunction("""COMPUTED_VALUE"""),165.8)</f>
        <v>165.8</v>
      </c>
      <c r="F906" s="2" t="n">
        <f aca="false">IFERROR(__xludf.dummyfunction("""COMPUTED_VALUE"""),44616206)</f>
        <v>44616206</v>
      </c>
    </row>
    <row r="907" customFormat="false" ht="15.75" hidden="false" customHeight="false" outlineLevel="0" collapsed="false">
      <c r="A907" s="3" t="n">
        <f aca="false">IFERROR(__xludf.dummyfunction("""COMPUTED_VALUE"""),45513.6666666667)</f>
        <v>45513.6666666667</v>
      </c>
      <c r="B907" s="2" t="n">
        <f aca="false">IFERROR(__xludf.dummyfunction("""COMPUTED_VALUE"""),166.4)</f>
        <v>166.4</v>
      </c>
      <c r="C907" s="2" t="n">
        <f aca="false">IFERROR(__xludf.dummyfunction("""COMPUTED_VALUE"""),168.55)</f>
        <v>168.55</v>
      </c>
      <c r="D907" s="2" t="n">
        <f aca="false">IFERROR(__xludf.dummyfunction("""COMPUTED_VALUE"""),165.85)</f>
        <v>165.85</v>
      </c>
      <c r="E907" s="2" t="n">
        <f aca="false">IFERROR(__xludf.dummyfunction("""COMPUTED_VALUE"""),166.94)</f>
        <v>166.94</v>
      </c>
      <c r="F907" s="2" t="n">
        <f aca="false">IFERROR(__xludf.dummyfunction("""COMPUTED_VALUE"""),36401049)</f>
        <v>36401049</v>
      </c>
    </row>
    <row r="908" customFormat="false" ht="15.75" hidden="false" customHeight="false" outlineLevel="0" collapsed="false">
      <c r="A908" s="3" t="n">
        <f aca="false">IFERROR(__xludf.dummyfunction("""COMPUTED_VALUE"""),45516.6666666667)</f>
        <v>45516.6666666667</v>
      </c>
      <c r="B908" s="2" t="n">
        <f aca="false">IFERROR(__xludf.dummyfunction("""COMPUTED_VALUE"""),168.14)</f>
        <v>168.14</v>
      </c>
      <c r="C908" s="2" t="n">
        <f aca="false">IFERROR(__xludf.dummyfunction("""COMPUTED_VALUE"""),168.55)</f>
        <v>168.55</v>
      </c>
      <c r="D908" s="2" t="n">
        <f aca="false">IFERROR(__xludf.dummyfunction("""COMPUTED_VALUE"""),166.11)</f>
        <v>166.11</v>
      </c>
      <c r="E908" s="2" t="n">
        <f aca="false">IFERROR(__xludf.dummyfunction("""COMPUTED_VALUE"""),166.8)</f>
        <v>166.8</v>
      </c>
      <c r="F908" s="2" t="n">
        <f aca="false">IFERROR(__xludf.dummyfunction("""COMPUTED_VALUE"""),30072788)</f>
        <v>30072788</v>
      </c>
    </row>
    <row r="909" customFormat="false" ht="15.75" hidden="false" customHeight="false" outlineLevel="0" collapsed="false">
      <c r="A909" s="3" t="n">
        <f aca="false">IFERROR(__xludf.dummyfunction("""COMPUTED_VALUE"""),45517.6666666667)</f>
        <v>45517.6666666667</v>
      </c>
      <c r="B909" s="2" t="n">
        <f aca="false">IFERROR(__xludf.dummyfunction("""COMPUTED_VALUE"""),167.81)</f>
        <v>167.81</v>
      </c>
      <c r="C909" s="2" t="n">
        <f aca="false">IFERROR(__xludf.dummyfunction("""COMPUTED_VALUE"""),171.04)</f>
        <v>171.04</v>
      </c>
      <c r="D909" s="2" t="n">
        <f aca="false">IFERROR(__xludf.dummyfunction("""COMPUTED_VALUE"""),167.1)</f>
        <v>167.1</v>
      </c>
      <c r="E909" s="2" t="n">
        <f aca="false">IFERROR(__xludf.dummyfunction("""COMPUTED_VALUE"""),170.23)</f>
        <v>170.23</v>
      </c>
      <c r="F909" s="2" t="n">
        <f aca="false">IFERROR(__xludf.dummyfunction("""COMPUTED_VALUE"""),39237915)</f>
        <v>39237915</v>
      </c>
    </row>
    <row r="910" customFormat="false" ht="15.75" hidden="false" customHeight="false" outlineLevel="0" collapsed="false">
      <c r="A910" s="3" t="n">
        <f aca="false">IFERROR(__xludf.dummyfunction("""COMPUTED_VALUE"""),45518.6666666667)</f>
        <v>45518.6666666667</v>
      </c>
      <c r="B910" s="2" t="n">
        <f aca="false">IFERROR(__xludf.dummyfunction("""COMPUTED_VALUE"""),172.11)</f>
        <v>172.11</v>
      </c>
      <c r="C910" s="2" t="n">
        <f aca="false">IFERROR(__xludf.dummyfunction("""COMPUTED_VALUE"""),172.28)</f>
        <v>172.28</v>
      </c>
      <c r="D910" s="2" t="n">
        <f aca="false">IFERROR(__xludf.dummyfunction("""COMPUTED_VALUE"""),168.86)</f>
        <v>168.86</v>
      </c>
      <c r="E910" s="2" t="n">
        <f aca="false">IFERROR(__xludf.dummyfunction("""COMPUTED_VALUE"""),170.1)</f>
        <v>170.1</v>
      </c>
      <c r="F910" s="2" t="n">
        <f aca="false">IFERROR(__xludf.dummyfunction("""COMPUTED_VALUE"""),28843804)</f>
        <v>28843804</v>
      </c>
    </row>
    <row r="911" customFormat="false" ht="15.75" hidden="false" customHeight="false" outlineLevel="0" collapsed="false">
      <c r="A911" s="3" t="n">
        <f aca="false">IFERROR(__xludf.dummyfunction("""COMPUTED_VALUE"""),45519.6666666667)</f>
        <v>45519.6666666667</v>
      </c>
      <c r="B911" s="2" t="n">
        <f aca="false">IFERROR(__xludf.dummyfunction("""COMPUTED_VALUE"""),174.86)</f>
        <v>174.86</v>
      </c>
      <c r="C911" s="2" t="n">
        <f aca="false">IFERROR(__xludf.dummyfunction("""COMPUTED_VALUE"""),177.91)</f>
        <v>177.91</v>
      </c>
      <c r="D911" s="2" t="n">
        <f aca="false">IFERROR(__xludf.dummyfunction("""COMPUTED_VALUE"""),173.99)</f>
        <v>173.99</v>
      </c>
      <c r="E911" s="2" t="n">
        <f aca="false">IFERROR(__xludf.dummyfunction("""COMPUTED_VALUE"""),177.59)</f>
        <v>177.59</v>
      </c>
      <c r="F911" s="2" t="n">
        <f aca="false">IFERROR(__xludf.dummyfunction("""COMPUTED_VALUE"""),51698513)</f>
        <v>51698513</v>
      </c>
    </row>
    <row r="912" customFormat="false" ht="15.75" hidden="false" customHeight="false" outlineLevel="0" collapsed="false">
      <c r="A912" s="3" t="n">
        <f aca="false">IFERROR(__xludf.dummyfunction("""COMPUTED_VALUE"""),45520.6666666667)</f>
        <v>45520.6666666667</v>
      </c>
      <c r="B912" s="2" t="n">
        <f aca="false">IFERROR(__xludf.dummyfunction("""COMPUTED_VALUE"""),177.04)</f>
        <v>177.04</v>
      </c>
      <c r="C912" s="2" t="n">
        <f aca="false">IFERROR(__xludf.dummyfunction("""COMPUTED_VALUE"""),178.34)</f>
        <v>178.34</v>
      </c>
      <c r="D912" s="2" t="n">
        <f aca="false">IFERROR(__xludf.dummyfunction("""COMPUTED_VALUE"""),176.26)</f>
        <v>176.26</v>
      </c>
      <c r="E912" s="2" t="n">
        <f aca="false">IFERROR(__xludf.dummyfunction("""COMPUTED_VALUE"""),177.06)</f>
        <v>177.06</v>
      </c>
      <c r="F912" s="2" t="n">
        <f aca="false">IFERROR(__xludf.dummyfunction("""COMPUTED_VALUE"""),31489175)</f>
        <v>31489175</v>
      </c>
    </row>
    <row r="913" customFormat="false" ht="15.75" hidden="false" customHeight="false" outlineLevel="0" collapsed="false">
      <c r="A913" s="3" t="n">
        <f aca="false">IFERROR(__xludf.dummyfunction("""COMPUTED_VALUE"""),45523.6666666667)</f>
        <v>45523.6666666667</v>
      </c>
      <c r="B913" s="2" t="n">
        <f aca="false">IFERROR(__xludf.dummyfunction("""COMPUTED_VALUE"""),177.64)</f>
        <v>177.64</v>
      </c>
      <c r="C913" s="2" t="n">
        <f aca="false">IFERROR(__xludf.dummyfunction("""COMPUTED_VALUE"""),178.3)</f>
        <v>178.3</v>
      </c>
      <c r="D913" s="2" t="n">
        <f aca="false">IFERROR(__xludf.dummyfunction("""COMPUTED_VALUE"""),176.16)</f>
        <v>176.16</v>
      </c>
      <c r="E913" s="2" t="n">
        <f aca="false">IFERROR(__xludf.dummyfunction("""COMPUTED_VALUE"""),178.22)</f>
        <v>178.22</v>
      </c>
      <c r="F913" s="2" t="n">
        <f aca="false">IFERROR(__xludf.dummyfunction("""COMPUTED_VALUE"""),31129807)</f>
        <v>31129807</v>
      </c>
    </row>
    <row r="914" customFormat="false" ht="15.75" hidden="false" customHeight="false" outlineLevel="0" collapsed="false">
      <c r="A914" s="3" t="n">
        <f aca="false">IFERROR(__xludf.dummyfunction("""COMPUTED_VALUE"""),45524.6666666667)</f>
        <v>45524.6666666667</v>
      </c>
      <c r="B914" s="2" t="n">
        <f aca="false">IFERROR(__xludf.dummyfunction("""COMPUTED_VALUE"""),177.92)</f>
        <v>177.92</v>
      </c>
      <c r="C914" s="2" t="n">
        <f aca="false">IFERROR(__xludf.dummyfunction("""COMPUTED_VALUE"""),179.01)</f>
        <v>179.01</v>
      </c>
      <c r="D914" s="2" t="n">
        <f aca="false">IFERROR(__xludf.dummyfunction("""COMPUTED_VALUE"""),177.43)</f>
        <v>177.43</v>
      </c>
      <c r="E914" s="2" t="n">
        <f aca="false">IFERROR(__xludf.dummyfunction("""COMPUTED_VALUE"""),178.88)</f>
        <v>178.88</v>
      </c>
      <c r="F914" s="2" t="n">
        <f aca="false">IFERROR(__xludf.dummyfunction("""COMPUTED_VALUE"""),26255204)</f>
        <v>26255204</v>
      </c>
    </row>
    <row r="915" customFormat="false" ht="15.75" hidden="false" customHeight="false" outlineLevel="0" collapsed="false">
      <c r="A915" s="3" t="n">
        <f aca="false">IFERROR(__xludf.dummyfunction("""COMPUTED_VALUE"""),45525.6666666667)</f>
        <v>45525.6666666667</v>
      </c>
      <c r="B915" s="2" t="n">
        <f aca="false">IFERROR(__xludf.dummyfunction("""COMPUTED_VALUE"""),179.92)</f>
        <v>179.92</v>
      </c>
      <c r="C915" s="2" t="n">
        <f aca="false">IFERROR(__xludf.dummyfunction("""COMPUTED_VALUE"""),182.39)</f>
        <v>182.39</v>
      </c>
      <c r="D915" s="2" t="n">
        <f aca="false">IFERROR(__xludf.dummyfunction("""COMPUTED_VALUE"""),178.89)</f>
        <v>178.89</v>
      </c>
      <c r="E915" s="2" t="n">
        <f aca="false">IFERROR(__xludf.dummyfunction("""COMPUTED_VALUE"""),180.11)</f>
        <v>180.11</v>
      </c>
      <c r="F915" s="2" t="n">
        <f aca="false">IFERROR(__xludf.dummyfunction("""COMPUTED_VALUE"""),35599120)</f>
        <v>35599120</v>
      </c>
    </row>
    <row r="916" customFormat="false" ht="15.75" hidden="false" customHeight="false" outlineLevel="0" collapsed="false">
      <c r="A916" s="3" t="n">
        <f aca="false">IFERROR(__xludf.dummyfunction("""COMPUTED_VALUE"""),45526.6666666667)</f>
        <v>45526.6666666667</v>
      </c>
      <c r="B916" s="2" t="n">
        <f aca="false">IFERROR(__xludf.dummyfunction("""COMPUTED_VALUE"""),181.38)</f>
        <v>181.38</v>
      </c>
      <c r="C916" s="2" t="n">
        <f aca="false">IFERROR(__xludf.dummyfunction("""COMPUTED_VALUE"""),181.47)</f>
        <v>181.47</v>
      </c>
      <c r="D916" s="2" t="n">
        <f aca="false">IFERROR(__xludf.dummyfunction("""COMPUTED_VALUE"""),175.68)</f>
        <v>175.68</v>
      </c>
      <c r="E916" s="2" t="n">
        <f aca="false">IFERROR(__xludf.dummyfunction("""COMPUTED_VALUE"""),176.13)</f>
        <v>176.13</v>
      </c>
      <c r="F916" s="2" t="n">
        <f aca="false">IFERROR(__xludf.dummyfunction("""COMPUTED_VALUE"""),32047482)</f>
        <v>32047482</v>
      </c>
    </row>
    <row r="917" customFormat="false" ht="15.75" hidden="false" customHeight="false" outlineLevel="0" collapsed="false">
      <c r="A917" s="3" t="n">
        <f aca="false">IFERROR(__xludf.dummyfunction("""COMPUTED_VALUE"""),45527.6666666667)</f>
        <v>45527.6666666667</v>
      </c>
      <c r="B917" s="2" t="n">
        <f aca="false">IFERROR(__xludf.dummyfunction("""COMPUTED_VALUE"""),177.34)</f>
        <v>177.34</v>
      </c>
      <c r="C917" s="2" t="n">
        <f aca="false">IFERROR(__xludf.dummyfunction("""COMPUTED_VALUE"""),178.97)</f>
        <v>178.97</v>
      </c>
      <c r="D917" s="2" t="n">
        <f aca="false">IFERROR(__xludf.dummyfunction("""COMPUTED_VALUE"""),175.24)</f>
        <v>175.24</v>
      </c>
      <c r="E917" s="2" t="n">
        <f aca="false">IFERROR(__xludf.dummyfunction("""COMPUTED_VALUE"""),177.04)</f>
        <v>177.04</v>
      </c>
      <c r="F917" s="2" t="n">
        <f aca="false">IFERROR(__xludf.dummyfunction("""COMPUTED_VALUE"""),29150091)</f>
        <v>29150091</v>
      </c>
    </row>
    <row r="918" customFormat="false" ht="15.75" hidden="false" customHeight="false" outlineLevel="0" collapsed="false">
      <c r="A918" s="3" t="n">
        <f aca="false">IFERROR(__xludf.dummyfunction("""COMPUTED_VALUE"""),45530.6666666667)</f>
        <v>45530.6666666667</v>
      </c>
      <c r="B918" s="2" t="n">
        <f aca="false">IFERROR(__xludf.dummyfunction("""COMPUTED_VALUE"""),176.7)</f>
        <v>176.7</v>
      </c>
      <c r="C918" s="2" t="n">
        <f aca="false">IFERROR(__xludf.dummyfunction("""COMPUTED_VALUE"""),177.47)</f>
        <v>177.47</v>
      </c>
      <c r="D918" s="2" t="n">
        <f aca="false">IFERROR(__xludf.dummyfunction("""COMPUTED_VALUE"""),174.3)</f>
        <v>174.3</v>
      </c>
      <c r="E918" s="2" t="n">
        <f aca="false">IFERROR(__xludf.dummyfunction("""COMPUTED_VALUE"""),175.5)</f>
        <v>175.5</v>
      </c>
      <c r="F918" s="2" t="n">
        <f aca="false">IFERROR(__xludf.dummyfunction("""COMPUTED_VALUE"""),22366236)</f>
        <v>22366236</v>
      </c>
    </row>
    <row r="919" customFormat="false" ht="15.75" hidden="false" customHeight="false" outlineLevel="0" collapsed="false">
      <c r="A919" s="3" t="n">
        <f aca="false">IFERROR(__xludf.dummyfunction("""COMPUTED_VALUE"""),45531.6666666667)</f>
        <v>45531.6666666667</v>
      </c>
      <c r="B919" s="2" t="n">
        <f aca="false">IFERROR(__xludf.dummyfunction("""COMPUTED_VALUE"""),174.15)</f>
        <v>174.15</v>
      </c>
      <c r="C919" s="2" t="n">
        <f aca="false">IFERROR(__xludf.dummyfunction("""COMPUTED_VALUE"""),174.89)</f>
        <v>174.89</v>
      </c>
      <c r="D919" s="2" t="n">
        <f aca="false">IFERROR(__xludf.dummyfunction("""COMPUTED_VALUE"""),172.25)</f>
        <v>172.25</v>
      </c>
      <c r="E919" s="2" t="n">
        <f aca="false">IFERROR(__xludf.dummyfunction("""COMPUTED_VALUE"""),173.12)</f>
        <v>173.12</v>
      </c>
      <c r="F919" s="2" t="n">
        <f aca="false">IFERROR(__xludf.dummyfunction("""COMPUTED_VALUE"""),29841979)</f>
        <v>29841979</v>
      </c>
    </row>
    <row r="920" customFormat="false" ht="15.75" hidden="false" customHeight="false" outlineLevel="0" collapsed="false">
      <c r="A920" s="3" t="n">
        <f aca="false">IFERROR(__xludf.dummyfunction("""COMPUTED_VALUE"""),45532.6666666667)</f>
        <v>45532.6666666667</v>
      </c>
      <c r="B920" s="2" t="n">
        <f aca="false">IFERROR(__xludf.dummyfunction("""COMPUTED_VALUE"""),173.69)</f>
        <v>173.69</v>
      </c>
      <c r="C920" s="2" t="n">
        <f aca="false">IFERROR(__xludf.dummyfunction("""COMPUTED_VALUE"""),173.69)</f>
        <v>173.69</v>
      </c>
      <c r="D920" s="2" t="n">
        <f aca="false">IFERROR(__xludf.dummyfunction("""COMPUTED_VALUE"""),168.92)</f>
        <v>168.92</v>
      </c>
      <c r="E920" s="2" t="n">
        <f aca="false">IFERROR(__xludf.dummyfunction("""COMPUTED_VALUE"""),170.8)</f>
        <v>170.8</v>
      </c>
      <c r="F920" s="2" t="n">
        <f aca="false">IFERROR(__xludf.dummyfunction("""COMPUTED_VALUE"""),29045025)</f>
        <v>29045025</v>
      </c>
    </row>
    <row r="921" customFormat="false" ht="15.75" hidden="false" customHeight="false" outlineLevel="0" collapsed="false">
      <c r="A921" s="3" t="n">
        <f aca="false">IFERROR(__xludf.dummyfunction("""COMPUTED_VALUE"""),45533.6666666667)</f>
        <v>45533.6666666667</v>
      </c>
      <c r="B921" s="2" t="n">
        <f aca="false">IFERROR(__xludf.dummyfunction("""COMPUTED_VALUE"""),173.22)</f>
        <v>173.22</v>
      </c>
      <c r="C921" s="2" t="n">
        <f aca="false">IFERROR(__xludf.dummyfunction("""COMPUTED_VALUE"""),174.29)</f>
        <v>174.29</v>
      </c>
      <c r="D921" s="2" t="n">
        <f aca="false">IFERROR(__xludf.dummyfunction("""COMPUTED_VALUE"""),170.81)</f>
        <v>170.81</v>
      </c>
      <c r="E921" s="2" t="n">
        <f aca="false">IFERROR(__xludf.dummyfunction("""COMPUTED_VALUE"""),172.12)</f>
        <v>172.12</v>
      </c>
      <c r="F921" s="2" t="n">
        <f aca="false">IFERROR(__xludf.dummyfunction("""COMPUTED_VALUE"""),26407815)</f>
        <v>26407815</v>
      </c>
    </row>
    <row r="922" customFormat="false" ht="15.75" hidden="false" customHeight="false" outlineLevel="0" collapsed="false">
      <c r="A922" s="3" t="n">
        <f aca="false">IFERROR(__xludf.dummyfunction("""COMPUTED_VALUE"""),45534.6666666667)</f>
        <v>45534.6666666667</v>
      </c>
      <c r="B922" s="2" t="n">
        <f aca="false">IFERROR(__xludf.dummyfunction("""COMPUTED_VALUE"""),172.78)</f>
        <v>172.78</v>
      </c>
      <c r="C922" s="2" t="n">
        <f aca="false">IFERROR(__xludf.dummyfunction("""COMPUTED_VALUE"""),178.9)</f>
        <v>178.9</v>
      </c>
      <c r="D922" s="2" t="n">
        <f aca="false">IFERROR(__xludf.dummyfunction("""COMPUTED_VALUE"""),172.6)</f>
        <v>172.6</v>
      </c>
      <c r="E922" s="2" t="n">
        <f aca="false">IFERROR(__xludf.dummyfunction("""COMPUTED_VALUE"""),178.5)</f>
        <v>178.5</v>
      </c>
      <c r="F922" s="2" t="n">
        <f aca="false">IFERROR(__xludf.dummyfunction("""COMPUTED_VALUE"""),43429355)</f>
        <v>43429355</v>
      </c>
    </row>
    <row r="923" customFormat="false" ht="15.75" hidden="false" customHeight="false" outlineLevel="0" collapsed="false">
      <c r="A923" s="3" t="n">
        <f aca="false">IFERROR(__xludf.dummyfunction("""COMPUTED_VALUE"""),45538.6666666667)</f>
        <v>45538.6666666667</v>
      </c>
      <c r="B923" s="2" t="n">
        <f aca="false">IFERROR(__xludf.dummyfunction("""COMPUTED_VALUE"""),177.55)</f>
        <v>177.55</v>
      </c>
      <c r="C923" s="2" t="n">
        <f aca="false">IFERROR(__xludf.dummyfunction("""COMPUTED_VALUE"""),178.26)</f>
        <v>178.26</v>
      </c>
      <c r="D923" s="2" t="n">
        <f aca="false">IFERROR(__xludf.dummyfunction("""COMPUTED_VALUE"""),175.26)</f>
        <v>175.26</v>
      </c>
      <c r="E923" s="2" t="n">
        <f aca="false">IFERROR(__xludf.dummyfunction("""COMPUTED_VALUE"""),176.25)</f>
        <v>176.25</v>
      </c>
      <c r="F923" s="2" t="n">
        <f aca="false">IFERROR(__xludf.dummyfunction("""COMPUTED_VALUE"""),37817511)</f>
        <v>37817511</v>
      </c>
    </row>
    <row r="924" customFormat="false" ht="15.75" hidden="false" customHeight="false" outlineLevel="0" collapsed="false">
      <c r="A924" s="3" t="n">
        <f aca="false">IFERROR(__xludf.dummyfunction("""COMPUTED_VALUE"""),45539.6666666667)</f>
        <v>45539.6666666667</v>
      </c>
      <c r="B924" s="2" t="n">
        <f aca="false">IFERROR(__xludf.dummyfunction("""COMPUTED_VALUE"""),174.48)</f>
        <v>174.48</v>
      </c>
      <c r="C924" s="2" t="n">
        <f aca="false">IFERROR(__xludf.dummyfunction("""COMPUTED_VALUE"""),175.98)</f>
        <v>175.98</v>
      </c>
      <c r="D924" s="2" t="n">
        <f aca="false">IFERROR(__xludf.dummyfunction("""COMPUTED_VALUE"""),172.54)</f>
        <v>172.54</v>
      </c>
      <c r="E924" s="2" t="n">
        <f aca="false">IFERROR(__xludf.dummyfunction("""COMPUTED_VALUE"""),173.33)</f>
        <v>173.33</v>
      </c>
      <c r="F924" s="2" t="n">
        <f aca="false">IFERROR(__xludf.dummyfunction("""COMPUTED_VALUE"""),30309225)</f>
        <v>30309225</v>
      </c>
    </row>
    <row r="925" customFormat="false" ht="15.75" hidden="false" customHeight="false" outlineLevel="0" collapsed="false">
      <c r="A925" s="3" t="n">
        <f aca="false">IFERROR(__xludf.dummyfunction("""COMPUTED_VALUE"""),45540.6666666667)</f>
        <v>45540.6666666667</v>
      </c>
      <c r="B925" s="2" t="n">
        <f aca="false">IFERROR(__xludf.dummyfunction("""COMPUTED_VALUE"""),175)</f>
        <v>175</v>
      </c>
      <c r="C925" s="2" t="n">
        <f aca="false">IFERROR(__xludf.dummyfunction("""COMPUTED_VALUE"""),179.88)</f>
        <v>179.88</v>
      </c>
      <c r="D925" s="2" t="n">
        <f aca="false">IFERROR(__xludf.dummyfunction("""COMPUTED_VALUE"""),175)</f>
        <v>175</v>
      </c>
      <c r="E925" s="2" t="n">
        <f aca="false">IFERROR(__xludf.dummyfunction("""COMPUTED_VALUE"""),177.89)</f>
        <v>177.89</v>
      </c>
      <c r="F925" s="2" t="n">
        <f aca="false">IFERROR(__xludf.dummyfunction("""COMPUTED_VALUE"""),40170526)</f>
        <v>40170526</v>
      </c>
    </row>
    <row r="926" customFormat="false" ht="15.75" hidden="false" customHeight="false" outlineLevel="0" collapsed="false">
      <c r="A926" s="3" t="n">
        <f aca="false">IFERROR(__xludf.dummyfunction("""COMPUTED_VALUE"""),45541.6666666667)</f>
        <v>45541.6666666667</v>
      </c>
      <c r="B926" s="2" t="n">
        <f aca="false">IFERROR(__xludf.dummyfunction("""COMPUTED_VALUE"""),177.24)</f>
        <v>177.24</v>
      </c>
      <c r="C926" s="2" t="n">
        <f aca="false">IFERROR(__xludf.dummyfunction("""COMPUTED_VALUE"""),178.38)</f>
        <v>178.38</v>
      </c>
      <c r="D926" s="2" t="n">
        <f aca="false">IFERROR(__xludf.dummyfunction("""COMPUTED_VALUE"""),171.16)</f>
        <v>171.16</v>
      </c>
      <c r="E926" s="2" t="n">
        <f aca="false">IFERROR(__xludf.dummyfunction("""COMPUTED_VALUE"""),171.39)</f>
        <v>171.39</v>
      </c>
      <c r="F926" s="2" t="n">
        <f aca="false">IFERROR(__xludf.dummyfunction("""COMPUTED_VALUE"""),41466537)</f>
        <v>41466537</v>
      </c>
    </row>
    <row r="927" customFormat="false" ht="15.75" hidden="false" customHeight="false" outlineLevel="0" collapsed="false">
      <c r="A927" s="3" t="n">
        <f aca="false">IFERROR(__xludf.dummyfunction("""COMPUTED_VALUE"""),45544.6666666667)</f>
        <v>45544.6666666667</v>
      </c>
      <c r="B927" s="2" t="n">
        <f aca="false">IFERROR(__xludf.dummyfunction("""COMPUTED_VALUE"""),174.53)</f>
        <v>174.53</v>
      </c>
      <c r="C927" s="2" t="n">
        <f aca="false">IFERROR(__xludf.dummyfunction("""COMPUTED_VALUE"""),175.85)</f>
        <v>175.85</v>
      </c>
      <c r="D927" s="2" t="n">
        <f aca="false">IFERROR(__xludf.dummyfunction("""COMPUTED_VALUE"""),173.51)</f>
        <v>173.51</v>
      </c>
      <c r="E927" s="2" t="n">
        <f aca="false">IFERROR(__xludf.dummyfunction("""COMPUTED_VALUE"""),175.4)</f>
        <v>175.4</v>
      </c>
      <c r="F927" s="2" t="n">
        <f aca="false">IFERROR(__xludf.dummyfunction("""COMPUTED_VALUE"""),29037362)</f>
        <v>29037362</v>
      </c>
    </row>
    <row r="928" customFormat="false" ht="15.75" hidden="false" customHeight="false" outlineLevel="0" collapsed="false">
      <c r="A928" s="3" t="n">
        <f aca="false">IFERROR(__xludf.dummyfunction("""COMPUTED_VALUE"""),45545.6666666667)</f>
        <v>45545.6666666667</v>
      </c>
      <c r="B928" s="2" t="n">
        <f aca="false">IFERROR(__xludf.dummyfunction("""COMPUTED_VALUE"""),177.49)</f>
        <v>177.49</v>
      </c>
      <c r="C928" s="2" t="n">
        <f aca="false">IFERROR(__xludf.dummyfunction("""COMPUTED_VALUE"""),180.5)</f>
        <v>180.5</v>
      </c>
      <c r="D928" s="2" t="n">
        <f aca="false">IFERROR(__xludf.dummyfunction("""COMPUTED_VALUE"""),176.79)</f>
        <v>176.79</v>
      </c>
      <c r="E928" s="2" t="n">
        <f aca="false">IFERROR(__xludf.dummyfunction("""COMPUTED_VALUE"""),179.55)</f>
        <v>179.55</v>
      </c>
      <c r="F928" s="2" t="n">
        <f aca="false">IFERROR(__xludf.dummyfunction("""COMPUTED_VALUE"""),36233796)</f>
        <v>36233796</v>
      </c>
    </row>
    <row r="929" customFormat="false" ht="15.75" hidden="false" customHeight="false" outlineLevel="0" collapsed="false">
      <c r="A929" s="3" t="n">
        <f aca="false">IFERROR(__xludf.dummyfunction("""COMPUTED_VALUE"""),45546.6666666667)</f>
        <v>45546.6666666667</v>
      </c>
      <c r="B929" s="2" t="n">
        <f aca="false">IFERROR(__xludf.dummyfunction("""COMPUTED_VALUE"""),180.1)</f>
        <v>180.1</v>
      </c>
      <c r="C929" s="2" t="n">
        <f aca="false">IFERROR(__xludf.dummyfunction("""COMPUTED_VALUE"""),184.99)</f>
        <v>184.99</v>
      </c>
      <c r="D929" s="2" t="n">
        <f aca="false">IFERROR(__xludf.dummyfunction("""COMPUTED_VALUE"""),175.73)</f>
        <v>175.73</v>
      </c>
      <c r="E929" s="2" t="n">
        <f aca="false">IFERROR(__xludf.dummyfunction("""COMPUTED_VALUE"""),184.52)</f>
        <v>184.52</v>
      </c>
      <c r="F929" s="2" t="n">
        <f aca="false">IFERROR(__xludf.dummyfunction("""COMPUTED_VALUE"""),42564698)</f>
        <v>42564698</v>
      </c>
    </row>
    <row r="930" customFormat="false" ht="15.75" hidden="false" customHeight="false" outlineLevel="0" collapsed="false">
      <c r="A930" s="3" t="n">
        <f aca="false">IFERROR(__xludf.dummyfunction("""COMPUTED_VALUE"""),45547.6666666667)</f>
        <v>45547.6666666667</v>
      </c>
      <c r="B930" s="2" t="n">
        <f aca="false">IFERROR(__xludf.dummyfunction("""COMPUTED_VALUE"""),184.8)</f>
        <v>184.8</v>
      </c>
      <c r="C930" s="2" t="n">
        <f aca="false">IFERROR(__xludf.dummyfunction("""COMPUTED_VALUE"""),187.41)</f>
        <v>187.41</v>
      </c>
      <c r="D930" s="2" t="n">
        <f aca="false">IFERROR(__xludf.dummyfunction("""COMPUTED_VALUE"""),183.54)</f>
        <v>183.54</v>
      </c>
      <c r="E930" s="2" t="n">
        <f aca="false">IFERROR(__xludf.dummyfunction("""COMPUTED_VALUE"""),187)</f>
        <v>187</v>
      </c>
      <c r="F930" s="2" t="n">
        <f aca="false">IFERROR(__xludf.dummyfunction("""COMPUTED_VALUE"""),33622483)</f>
        <v>33622483</v>
      </c>
    </row>
    <row r="931" customFormat="false" ht="15.75" hidden="false" customHeight="false" outlineLevel="0" collapsed="false">
      <c r="A931" s="3" t="n">
        <f aca="false">IFERROR(__xludf.dummyfunction("""COMPUTED_VALUE"""),45548.6666666667)</f>
        <v>45548.6666666667</v>
      </c>
      <c r="B931" s="2" t="n">
        <f aca="false">IFERROR(__xludf.dummyfunction("""COMPUTED_VALUE"""),187)</f>
        <v>187</v>
      </c>
      <c r="C931" s="2" t="n">
        <f aca="false">IFERROR(__xludf.dummyfunction("""COMPUTED_VALUE"""),188.5)</f>
        <v>188.5</v>
      </c>
      <c r="D931" s="2" t="n">
        <f aca="false">IFERROR(__xludf.dummyfunction("""COMPUTED_VALUE"""),185.91)</f>
        <v>185.91</v>
      </c>
      <c r="E931" s="2" t="n">
        <f aca="false">IFERROR(__xludf.dummyfunction("""COMPUTED_VALUE"""),186.49)</f>
        <v>186.49</v>
      </c>
      <c r="F931" s="2" t="n">
        <f aca="false">IFERROR(__xludf.dummyfunction("""COMPUTED_VALUE"""),26495351)</f>
        <v>26495351</v>
      </c>
    </row>
    <row r="932" customFormat="false" ht="15.75" hidden="false" customHeight="false" outlineLevel="0" collapsed="false">
      <c r="A932" s="3" t="n">
        <f aca="false">IFERROR(__xludf.dummyfunction("""COMPUTED_VALUE"""),45551.6666666667)</f>
        <v>45551.6666666667</v>
      </c>
      <c r="B932" s="2" t="n">
        <f aca="false">IFERROR(__xludf.dummyfunction("""COMPUTED_VALUE"""),185.29)</f>
        <v>185.29</v>
      </c>
      <c r="C932" s="2" t="n">
        <f aca="false">IFERROR(__xludf.dummyfunction("""COMPUTED_VALUE"""),185.81)</f>
        <v>185.81</v>
      </c>
      <c r="D932" s="2" t="n">
        <f aca="false">IFERROR(__xludf.dummyfunction("""COMPUTED_VALUE"""),183.36)</f>
        <v>183.36</v>
      </c>
      <c r="E932" s="2" t="n">
        <f aca="false">IFERROR(__xludf.dummyfunction("""COMPUTED_VALUE"""),184.89)</f>
        <v>184.89</v>
      </c>
      <c r="F932" s="2" t="n">
        <f aca="false">IFERROR(__xludf.dummyfunction("""COMPUTED_VALUE"""),26065485)</f>
        <v>26065485</v>
      </c>
    </row>
    <row r="933" customFormat="false" ht="15.75" hidden="false" customHeight="false" outlineLevel="0" collapsed="false">
      <c r="A933" s="3" t="n">
        <f aca="false">IFERROR(__xludf.dummyfunction("""COMPUTED_VALUE"""),45552.6666666667)</f>
        <v>45552.6666666667</v>
      </c>
      <c r="B933" s="2" t="n">
        <f aca="false">IFERROR(__xludf.dummyfunction("""COMPUTED_VALUE"""),186.85)</f>
        <v>186.85</v>
      </c>
      <c r="C933" s="2" t="n">
        <f aca="false">IFERROR(__xludf.dummyfunction("""COMPUTED_VALUE"""),189.45)</f>
        <v>189.45</v>
      </c>
      <c r="D933" s="2" t="n">
        <f aca="false">IFERROR(__xludf.dummyfunction("""COMPUTED_VALUE"""),186.14)</f>
        <v>186.14</v>
      </c>
      <c r="E933" s="2" t="n">
        <f aca="false">IFERROR(__xludf.dummyfunction("""COMPUTED_VALUE"""),186.88)</f>
        <v>186.88</v>
      </c>
      <c r="F933" s="2" t="n">
        <f aca="false">IFERROR(__xludf.dummyfunction("""COMPUTED_VALUE"""),26091682)</f>
        <v>26091682</v>
      </c>
    </row>
    <row r="934" customFormat="false" ht="15.75" hidden="false" customHeight="false" outlineLevel="0" collapsed="false">
      <c r="A934" s="3" t="n">
        <f aca="false">IFERROR(__xludf.dummyfunction("""COMPUTED_VALUE"""),45553.6666666667)</f>
        <v>45553.6666666667</v>
      </c>
      <c r="B934" s="2" t="n">
        <f aca="false">IFERROR(__xludf.dummyfunction("""COMPUTED_VALUE"""),186.45)</f>
        <v>186.45</v>
      </c>
      <c r="C934" s="2" t="n">
        <f aca="false">IFERROR(__xludf.dummyfunction("""COMPUTED_VALUE"""),188.8)</f>
        <v>188.8</v>
      </c>
      <c r="D934" s="2" t="n">
        <f aca="false">IFERROR(__xludf.dummyfunction("""COMPUTED_VALUE"""),185.06)</f>
        <v>185.06</v>
      </c>
      <c r="E934" s="2" t="n">
        <f aca="false">IFERROR(__xludf.dummyfunction("""COMPUTED_VALUE"""),186.43)</f>
        <v>186.43</v>
      </c>
      <c r="F934" s="2" t="n">
        <f aca="false">IFERROR(__xludf.dummyfunction("""COMPUTED_VALUE"""),34448130)</f>
        <v>34448130</v>
      </c>
    </row>
    <row r="935" customFormat="false" ht="15.75" hidden="false" customHeight="false" outlineLevel="0" collapsed="false">
      <c r="A935" s="3" t="n">
        <f aca="false">IFERROR(__xludf.dummyfunction("""COMPUTED_VALUE"""),45554.6666666667)</f>
        <v>45554.6666666667</v>
      </c>
      <c r="B935" s="2" t="n">
        <f aca="false">IFERROR(__xludf.dummyfunction("""COMPUTED_VALUE"""),190.04)</f>
        <v>190.04</v>
      </c>
      <c r="C935" s="2" t="n">
        <f aca="false">IFERROR(__xludf.dummyfunction("""COMPUTED_VALUE"""),190.99)</f>
        <v>190.99</v>
      </c>
      <c r="D935" s="2" t="n">
        <f aca="false">IFERROR(__xludf.dummyfunction("""COMPUTED_VALUE"""),188.47)</f>
        <v>188.47</v>
      </c>
      <c r="E935" s="2" t="n">
        <f aca="false">IFERROR(__xludf.dummyfunction("""COMPUTED_VALUE"""),189.87)</f>
        <v>189.87</v>
      </c>
      <c r="F935" s="2" t="n">
        <f aca="false">IFERROR(__xludf.dummyfunction("""COMPUTED_VALUE"""),39543168)</f>
        <v>39543168</v>
      </c>
    </row>
    <row r="936" customFormat="false" ht="15.75" hidden="false" customHeight="false" outlineLevel="0" collapsed="false">
      <c r="A936" s="3" t="n">
        <f aca="false">IFERROR(__xludf.dummyfunction("""COMPUTED_VALUE"""),45555.6666666667)</f>
        <v>45555.6666666667</v>
      </c>
      <c r="B936" s="2" t="n">
        <f aca="false">IFERROR(__xludf.dummyfunction("""COMPUTED_VALUE"""),190.23)</f>
        <v>190.23</v>
      </c>
      <c r="C936" s="2" t="n">
        <f aca="false">IFERROR(__xludf.dummyfunction("""COMPUTED_VALUE"""),191.84)</f>
        <v>191.84</v>
      </c>
      <c r="D936" s="2" t="n">
        <f aca="false">IFERROR(__xludf.dummyfunction("""COMPUTED_VALUE"""),187.41)</f>
        <v>187.41</v>
      </c>
      <c r="E936" s="2" t="n">
        <f aca="false">IFERROR(__xludf.dummyfunction("""COMPUTED_VALUE"""),191.6)</f>
        <v>191.6</v>
      </c>
      <c r="F936" s="2" t="n">
        <f aca="false">IFERROR(__xludf.dummyfunction("""COMPUTED_VALUE"""),100378553)</f>
        <v>100378553</v>
      </c>
    </row>
    <row r="937" customFormat="false" ht="15.75" hidden="false" customHeight="false" outlineLevel="0" collapsed="false">
      <c r="A937" s="3" t="n">
        <f aca="false">IFERROR(__xludf.dummyfunction("""COMPUTED_VALUE"""),45558.6666666667)</f>
        <v>45558.6666666667</v>
      </c>
      <c r="B937" s="2" t="n">
        <f aca="false">IFERROR(__xludf.dummyfunction("""COMPUTED_VALUE"""),191.64)</f>
        <v>191.64</v>
      </c>
      <c r="C937" s="2" t="n">
        <f aca="false">IFERROR(__xludf.dummyfunction("""COMPUTED_VALUE"""),194.45)</f>
        <v>194.45</v>
      </c>
      <c r="D937" s="2" t="n">
        <f aca="false">IFERROR(__xludf.dummyfunction("""COMPUTED_VALUE"""),190.57)</f>
        <v>190.57</v>
      </c>
      <c r="E937" s="2" t="n">
        <f aca="false">IFERROR(__xludf.dummyfunction("""COMPUTED_VALUE"""),193.88)</f>
        <v>193.88</v>
      </c>
      <c r="F937" s="2" t="n">
        <f aca="false">IFERROR(__xludf.dummyfunction("""COMPUTED_VALUE"""),36993111)</f>
        <v>36993111</v>
      </c>
    </row>
    <row r="938" customFormat="false" ht="15.75" hidden="false" customHeight="false" outlineLevel="0" collapsed="false">
      <c r="A938" s="3" t="n">
        <f aca="false">IFERROR(__xludf.dummyfunction("""COMPUTED_VALUE"""),45559.6666666667)</f>
        <v>45559.6666666667</v>
      </c>
      <c r="B938" s="2" t="n">
        <f aca="false">IFERROR(__xludf.dummyfunction("""COMPUTED_VALUE"""),194.27)</f>
        <v>194.27</v>
      </c>
      <c r="C938" s="2" t="n">
        <f aca="false">IFERROR(__xludf.dummyfunction("""COMPUTED_VALUE"""),195.37)</f>
        <v>195.37</v>
      </c>
      <c r="D938" s="2" t="n">
        <f aca="false">IFERROR(__xludf.dummyfunction("""COMPUTED_VALUE"""),190.13)</f>
        <v>190.13</v>
      </c>
      <c r="E938" s="2" t="n">
        <f aca="false">IFERROR(__xludf.dummyfunction("""COMPUTED_VALUE"""),193.96)</f>
        <v>193.96</v>
      </c>
      <c r="F938" s="2" t="n">
        <f aca="false">IFERROR(__xludf.dummyfunction("""COMPUTED_VALUE"""),43478926)</f>
        <v>43478926</v>
      </c>
    </row>
    <row r="939" customFormat="false" ht="15.75" hidden="false" customHeight="false" outlineLevel="0" collapsed="false">
      <c r="A939" s="3" t="n">
        <f aca="false">IFERROR(__xludf.dummyfunction("""COMPUTED_VALUE"""),45560.6666666667)</f>
        <v>45560.6666666667</v>
      </c>
      <c r="B939" s="2" t="n">
        <f aca="false">IFERROR(__xludf.dummyfunction("""COMPUTED_VALUE"""),193.75)</f>
        <v>193.75</v>
      </c>
      <c r="C939" s="2" t="n">
        <f aca="false">IFERROR(__xludf.dummyfunction("""COMPUTED_VALUE"""),193.95)</f>
        <v>193.95</v>
      </c>
      <c r="D939" s="2" t="n">
        <f aca="false">IFERROR(__xludf.dummyfunction("""COMPUTED_VALUE"""),192.16)</f>
        <v>192.16</v>
      </c>
      <c r="E939" s="2" t="n">
        <f aca="false">IFERROR(__xludf.dummyfunction("""COMPUTED_VALUE"""),192.53)</f>
        <v>192.53</v>
      </c>
      <c r="F939" s="2" t="n">
        <f aca="false">IFERROR(__xludf.dummyfunction("""COMPUTED_VALUE"""),26391144)</f>
        <v>26391144</v>
      </c>
    </row>
    <row r="940" customFormat="false" ht="15.75" hidden="false" customHeight="false" outlineLevel="0" collapsed="false">
      <c r="A940" s="3" t="n">
        <f aca="false">IFERROR(__xludf.dummyfunction("""COMPUTED_VALUE"""),45561.6666666667)</f>
        <v>45561.6666666667</v>
      </c>
      <c r="B940" s="2" t="n">
        <f aca="false">IFERROR(__xludf.dummyfunction("""COMPUTED_VALUE"""),194.31)</f>
        <v>194.31</v>
      </c>
      <c r="C940" s="2" t="n">
        <f aca="false">IFERROR(__xludf.dummyfunction("""COMPUTED_VALUE"""),194.53)</f>
        <v>194.53</v>
      </c>
      <c r="D940" s="2" t="n">
        <f aca="false">IFERROR(__xludf.dummyfunction("""COMPUTED_VALUE"""),189.54)</f>
        <v>189.54</v>
      </c>
      <c r="E940" s="2" t="n">
        <f aca="false">IFERROR(__xludf.dummyfunction("""COMPUTED_VALUE"""),191.16)</f>
        <v>191.16</v>
      </c>
      <c r="F940" s="2" t="n">
        <f aca="false">IFERROR(__xludf.dummyfunction("""COMPUTED_VALUE"""),36334854)</f>
        <v>36334854</v>
      </c>
    </row>
    <row r="941" customFormat="false" ht="15.75" hidden="false" customHeight="false" outlineLevel="0" collapsed="false">
      <c r="A941" s="3" t="n">
        <f aca="false">IFERROR(__xludf.dummyfunction("""COMPUTED_VALUE"""),45562.6666666667)</f>
        <v>45562.6666666667</v>
      </c>
      <c r="B941" s="2" t="n">
        <f aca="false">IFERROR(__xludf.dummyfunction("""COMPUTED_VALUE"""),190.68)</f>
        <v>190.68</v>
      </c>
      <c r="C941" s="2" t="n">
        <f aca="false">IFERROR(__xludf.dummyfunction("""COMPUTED_VALUE"""),190.9)</f>
        <v>190.9</v>
      </c>
      <c r="D941" s="2" t="n">
        <f aca="false">IFERROR(__xludf.dummyfunction("""COMPUTED_VALUE"""),187.34)</f>
        <v>187.34</v>
      </c>
      <c r="E941" s="2" t="n">
        <f aca="false">IFERROR(__xludf.dummyfunction("""COMPUTED_VALUE"""),187.97)</f>
        <v>187.97</v>
      </c>
      <c r="F941" s="2" t="n">
        <f aca="false">IFERROR(__xludf.dummyfunction("""COMPUTED_VALUE"""),36002316)</f>
        <v>36002316</v>
      </c>
    </row>
    <row r="942" customFormat="false" ht="15.75" hidden="false" customHeight="false" outlineLevel="0" collapsed="false">
      <c r="A942" s="3" t="n">
        <f aca="false">IFERROR(__xludf.dummyfunction("""COMPUTED_VALUE"""),45565.6666666667)</f>
        <v>45565.6666666667</v>
      </c>
      <c r="B942" s="2" t="n">
        <f aca="false">IFERROR(__xludf.dummyfunction("""COMPUTED_VALUE"""),187.14)</f>
        <v>187.14</v>
      </c>
      <c r="C942" s="2" t="n">
        <f aca="false">IFERROR(__xludf.dummyfunction("""COMPUTED_VALUE"""),188.49)</f>
        <v>188.49</v>
      </c>
      <c r="D942" s="2" t="n">
        <f aca="false">IFERROR(__xludf.dummyfunction("""COMPUTED_VALUE"""),184.65)</f>
        <v>184.65</v>
      </c>
      <c r="E942" s="2" t="n">
        <f aca="false">IFERROR(__xludf.dummyfunction("""COMPUTED_VALUE"""),186.33)</f>
        <v>186.33</v>
      </c>
      <c r="F942" s="2" t="n">
        <f aca="false">IFERROR(__xludf.dummyfunction("""COMPUTED_VALUE"""),41680400)</f>
        <v>41680400</v>
      </c>
    </row>
    <row r="943" customFormat="false" ht="15.75" hidden="false" customHeight="false" outlineLevel="0" collapsed="false">
      <c r="A943" s="3" t="n">
        <f aca="false">IFERROR(__xludf.dummyfunction("""COMPUTED_VALUE"""),45566.6666666667)</f>
        <v>45566.6666666667</v>
      </c>
      <c r="B943" s="2" t="n">
        <f aca="false">IFERROR(__xludf.dummyfunction("""COMPUTED_VALUE"""),184.9)</f>
        <v>184.9</v>
      </c>
      <c r="C943" s="2" t="n">
        <f aca="false">IFERROR(__xludf.dummyfunction("""COMPUTED_VALUE"""),186.19)</f>
        <v>186.19</v>
      </c>
      <c r="D943" s="2" t="n">
        <f aca="false">IFERROR(__xludf.dummyfunction("""COMPUTED_VALUE"""),183.45)</f>
        <v>183.45</v>
      </c>
      <c r="E943" s="2" t="n">
        <f aca="false">IFERROR(__xludf.dummyfunction("""COMPUTED_VALUE"""),185.13)</f>
        <v>185.13</v>
      </c>
      <c r="F943" s="2" t="n">
        <f aca="false">IFERROR(__xludf.dummyfunction("""COMPUTED_VALUE"""),36044906)</f>
        <v>36044906</v>
      </c>
    </row>
    <row r="944" customFormat="false" ht="15.75" hidden="false" customHeight="false" outlineLevel="0" collapsed="false">
      <c r="A944" s="3" t="n">
        <f aca="false">IFERROR(__xludf.dummyfunction("""COMPUTED_VALUE"""),45567.6666666667)</f>
        <v>45567.6666666667</v>
      </c>
      <c r="B944" s="2" t="n">
        <f aca="false">IFERROR(__xludf.dummyfunction("""COMPUTED_VALUE"""),184.44)</f>
        <v>184.44</v>
      </c>
      <c r="C944" s="2" t="n">
        <f aca="false">IFERROR(__xludf.dummyfunction("""COMPUTED_VALUE"""),186.6)</f>
        <v>186.6</v>
      </c>
      <c r="D944" s="2" t="n">
        <f aca="false">IFERROR(__xludf.dummyfunction("""COMPUTED_VALUE"""),184.04)</f>
        <v>184.04</v>
      </c>
      <c r="E944" s="2" t="n">
        <f aca="false">IFERROR(__xludf.dummyfunction("""COMPUTED_VALUE"""),184.76)</f>
        <v>184.76</v>
      </c>
      <c r="F944" s="2" t="n">
        <f aca="false">IFERROR(__xludf.dummyfunction("""COMPUTED_VALUE"""),23704056)</f>
        <v>23704056</v>
      </c>
    </row>
    <row r="945" customFormat="false" ht="15.75" hidden="false" customHeight="false" outlineLevel="0" collapsed="false">
      <c r="A945" s="3" t="n">
        <f aca="false">IFERROR(__xludf.dummyfunction("""COMPUTED_VALUE"""),45568.6666666667)</f>
        <v>45568.6666666667</v>
      </c>
      <c r="B945" s="2" t="n">
        <f aca="false">IFERROR(__xludf.dummyfunction("""COMPUTED_VALUE"""),183.05)</f>
        <v>183.05</v>
      </c>
      <c r="C945" s="2" t="n">
        <f aca="false">IFERROR(__xludf.dummyfunction("""COMPUTED_VALUE"""),183.44)</f>
        <v>183.44</v>
      </c>
      <c r="D945" s="2" t="n">
        <f aca="false">IFERROR(__xludf.dummyfunction("""COMPUTED_VALUE"""),180.88)</f>
        <v>180.88</v>
      </c>
      <c r="E945" s="2" t="n">
        <f aca="false">IFERROR(__xludf.dummyfunction("""COMPUTED_VALUE"""),181.96)</f>
        <v>181.96</v>
      </c>
      <c r="F945" s="2" t="n">
        <f aca="false">IFERROR(__xludf.dummyfunction("""COMPUTED_VALUE"""),30204302)</f>
        <v>30204302</v>
      </c>
    </row>
    <row r="946" customFormat="false" ht="15.75" hidden="false" customHeight="false" outlineLevel="0" collapsed="false">
      <c r="A946" s="3" t="n">
        <f aca="false">IFERROR(__xludf.dummyfunction("""COMPUTED_VALUE"""),45569.6666666667)</f>
        <v>45569.6666666667</v>
      </c>
      <c r="B946" s="2" t="n">
        <f aca="false">IFERROR(__xludf.dummyfunction("""COMPUTED_VALUE"""),185.75)</f>
        <v>185.75</v>
      </c>
      <c r="C946" s="2" t="n">
        <f aca="false">IFERROR(__xludf.dummyfunction("""COMPUTED_VALUE"""),187.6)</f>
        <v>187.6</v>
      </c>
      <c r="D946" s="2" t="n">
        <f aca="false">IFERROR(__xludf.dummyfunction("""COMPUTED_VALUE"""),183.6)</f>
        <v>183.6</v>
      </c>
      <c r="E946" s="2" t="n">
        <f aca="false">IFERROR(__xludf.dummyfunction("""COMPUTED_VALUE"""),186.51)</f>
        <v>186.51</v>
      </c>
      <c r="F946" s="2" t="n">
        <f aca="false">IFERROR(__xludf.dummyfunction("""COMPUTED_VALUE"""),41079011)</f>
        <v>41079011</v>
      </c>
    </row>
    <row r="947" customFormat="false" ht="15.75" hidden="false" customHeight="false" outlineLevel="0" collapsed="false">
      <c r="A947" s="3" t="n">
        <f aca="false">IFERROR(__xludf.dummyfunction("""COMPUTED_VALUE"""),45572.6666666667)</f>
        <v>45572.6666666667</v>
      </c>
      <c r="B947" s="2" t="n">
        <f aca="false">IFERROR(__xludf.dummyfunction("""COMPUTED_VALUE"""),182.95)</f>
        <v>182.95</v>
      </c>
      <c r="C947" s="2" t="n">
        <f aca="false">IFERROR(__xludf.dummyfunction("""COMPUTED_VALUE"""),183.6)</f>
        <v>183.6</v>
      </c>
      <c r="D947" s="2" t="n">
        <f aca="false">IFERROR(__xludf.dummyfunction("""COMPUTED_VALUE"""),180.25)</f>
        <v>180.25</v>
      </c>
      <c r="E947" s="2" t="n">
        <f aca="false">IFERROR(__xludf.dummyfunction("""COMPUTED_VALUE"""),180.8)</f>
        <v>180.8</v>
      </c>
      <c r="F947" s="2" t="n">
        <f aca="false">IFERROR(__xludf.dummyfunction("""COMPUTED_VALUE"""),42364201)</f>
        <v>42364201</v>
      </c>
    </row>
    <row r="948" customFormat="false" ht="15.75" hidden="false" customHeight="false" outlineLevel="0" collapsed="false">
      <c r="A948" s="3" t="n">
        <f aca="false">IFERROR(__xludf.dummyfunction("""COMPUTED_VALUE"""),45573.6666666667)</f>
        <v>45573.6666666667</v>
      </c>
      <c r="B948" s="2" t="n">
        <f aca="false">IFERROR(__xludf.dummyfunction("""COMPUTED_VALUE"""),181.92)</f>
        <v>181.92</v>
      </c>
      <c r="C948" s="2" t="n">
        <f aca="false">IFERROR(__xludf.dummyfunction("""COMPUTED_VALUE"""),183.09)</f>
        <v>183.09</v>
      </c>
      <c r="D948" s="2" t="n">
        <f aca="false">IFERROR(__xludf.dummyfunction("""COMPUTED_VALUE"""),180.92)</f>
        <v>180.92</v>
      </c>
      <c r="E948" s="2" t="n">
        <f aca="false">IFERROR(__xludf.dummyfunction("""COMPUTED_VALUE"""),182.72)</f>
        <v>182.72</v>
      </c>
      <c r="F948" s="2" t="n">
        <f aca="false">IFERROR(__xludf.dummyfunction("""COMPUTED_VALUE"""),26372086)</f>
        <v>26372086</v>
      </c>
    </row>
    <row r="949" customFormat="false" ht="15.75" hidden="false" customHeight="false" outlineLevel="0" collapsed="false">
      <c r="A949" s="3" t="n">
        <f aca="false">IFERROR(__xludf.dummyfunction("""COMPUTED_VALUE"""),45574.6666666667)</f>
        <v>45574.6666666667</v>
      </c>
      <c r="B949" s="2" t="n">
        <f aca="false">IFERROR(__xludf.dummyfunction("""COMPUTED_VALUE"""),182.82)</f>
        <v>182.82</v>
      </c>
      <c r="C949" s="2" t="n">
        <f aca="false">IFERROR(__xludf.dummyfunction("""COMPUTED_VALUE"""),185.85)</f>
        <v>185.85</v>
      </c>
      <c r="D949" s="2" t="n">
        <f aca="false">IFERROR(__xludf.dummyfunction("""COMPUTED_VALUE"""),182.05)</f>
        <v>182.05</v>
      </c>
      <c r="E949" s="2" t="n">
        <f aca="false">IFERROR(__xludf.dummyfunction("""COMPUTED_VALUE"""),185.17)</f>
        <v>185.17</v>
      </c>
      <c r="F949" s="2" t="n">
        <f aca="false">IFERROR(__xludf.dummyfunction("""COMPUTED_VALUE"""),26343117)</f>
        <v>26343117</v>
      </c>
    </row>
    <row r="950" customFormat="false" ht="15.75" hidden="false" customHeight="false" outlineLevel="0" collapsed="false">
      <c r="A950" s="3" t="n">
        <f aca="false">IFERROR(__xludf.dummyfunction("""COMPUTED_VALUE"""),45575.6666666667)</f>
        <v>45575.6666666667</v>
      </c>
      <c r="B950" s="2" t="n">
        <f aca="false">IFERROR(__xludf.dummyfunction("""COMPUTED_VALUE"""),187.13)</f>
        <v>187.13</v>
      </c>
      <c r="C950" s="2" t="n">
        <f aca="false">IFERROR(__xludf.dummyfunction("""COMPUTED_VALUE"""),188.13)</f>
        <v>188.13</v>
      </c>
      <c r="D950" s="2" t="n">
        <f aca="false">IFERROR(__xludf.dummyfunction("""COMPUTED_VALUE"""),185.83)</f>
        <v>185.83</v>
      </c>
      <c r="E950" s="2" t="n">
        <f aca="false">IFERROR(__xludf.dummyfunction("""COMPUTED_VALUE"""),186.65)</f>
        <v>186.65</v>
      </c>
      <c r="F950" s="2" t="n">
        <f aca="false">IFERROR(__xludf.dummyfunction("""COMPUTED_VALUE"""),27785043)</f>
        <v>27785043</v>
      </c>
    </row>
    <row r="951" customFormat="false" ht="15.75" hidden="false" customHeight="false" outlineLevel="0" collapsed="false">
      <c r="A951" s="3" t="n">
        <f aca="false">IFERROR(__xludf.dummyfunction("""COMPUTED_VALUE"""),45576.6666666667)</f>
        <v>45576.6666666667</v>
      </c>
      <c r="B951" s="2" t="n">
        <f aca="false">IFERROR(__xludf.dummyfunction("""COMPUTED_VALUE"""),186.63)</f>
        <v>186.63</v>
      </c>
      <c r="C951" s="2" t="n">
        <f aca="false">IFERROR(__xludf.dummyfunction("""COMPUTED_VALUE"""),189.93)</f>
        <v>189.93</v>
      </c>
      <c r="D951" s="2" t="n">
        <f aca="false">IFERROR(__xludf.dummyfunction("""COMPUTED_VALUE"""),186.3)</f>
        <v>186.3</v>
      </c>
      <c r="E951" s="2" t="n">
        <f aca="false">IFERROR(__xludf.dummyfunction("""COMPUTED_VALUE"""),188.82)</f>
        <v>188.82</v>
      </c>
      <c r="F951" s="2" t="n">
        <f aca="false">IFERROR(__xludf.dummyfunction("""COMPUTED_VALUE"""),25751557)</f>
        <v>25751557</v>
      </c>
    </row>
    <row r="952" customFormat="false" ht="15.75" hidden="false" customHeight="false" outlineLevel="0" collapsed="false">
      <c r="A952" s="3" t="n">
        <f aca="false">IFERROR(__xludf.dummyfunction("""COMPUTED_VALUE"""),45579.6666666667)</f>
        <v>45579.6666666667</v>
      </c>
      <c r="B952" s="2" t="n">
        <f aca="false">IFERROR(__xludf.dummyfunction("""COMPUTED_VALUE"""),189.78)</f>
        <v>189.78</v>
      </c>
      <c r="C952" s="2" t="n">
        <f aca="false">IFERROR(__xludf.dummyfunction("""COMPUTED_VALUE"""),189.83)</f>
        <v>189.83</v>
      </c>
      <c r="D952" s="2" t="n">
        <f aca="false">IFERROR(__xludf.dummyfunction("""COMPUTED_VALUE"""),187.36)</f>
        <v>187.36</v>
      </c>
      <c r="E952" s="2" t="n">
        <f aca="false">IFERROR(__xludf.dummyfunction("""COMPUTED_VALUE"""),187.54)</f>
        <v>187.54</v>
      </c>
      <c r="F952" s="2" t="n">
        <f aca="false">IFERROR(__xludf.dummyfunction("""COMPUTED_VALUE"""),22614407)</f>
        <v>22614407</v>
      </c>
    </row>
    <row r="953" customFormat="false" ht="15.75" hidden="false" customHeight="false" outlineLevel="0" collapsed="false">
      <c r="A953" s="3" t="n">
        <f aca="false">IFERROR(__xludf.dummyfunction("""COMPUTED_VALUE"""),45580.6666666667)</f>
        <v>45580.6666666667</v>
      </c>
      <c r="B953" s="2" t="n">
        <f aca="false">IFERROR(__xludf.dummyfunction("""COMPUTED_VALUE"""),187.63)</f>
        <v>187.63</v>
      </c>
      <c r="C953" s="2" t="n">
        <f aca="false">IFERROR(__xludf.dummyfunction("""COMPUTED_VALUE"""),188.41)</f>
        <v>188.41</v>
      </c>
      <c r="D953" s="2" t="n">
        <f aca="false">IFERROR(__xludf.dummyfunction("""COMPUTED_VALUE"""),184.58)</f>
        <v>184.58</v>
      </c>
      <c r="E953" s="2" t="n">
        <f aca="false">IFERROR(__xludf.dummyfunction("""COMPUTED_VALUE"""),187.69)</f>
        <v>187.69</v>
      </c>
      <c r="F953" s="2" t="n">
        <f aca="false">IFERROR(__xludf.dummyfunction("""COMPUTED_VALUE"""),32178925)</f>
        <v>32178925</v>
      </c>
    </row>
    <row r="954" customFormat="false" ht="15.75" hidden="false" customHeight="false" outlineLevel="0" collapsed="false">
      <c r="A954" s="3" t="n">
        <f aca="false">IFERROR(__xludf.dummyfunction("""COMPUTED_VALUE"""),45581.6666666667)</f>
        <v>45581.6666666667</v>
      </c>
      <c r="B954" s="2" t="n">
        <f aca="false">IFERROR(__xludf.dummyfunction("""COMPUTED_VALUE"""),187.05)</f>
        <v>187.05</v>
      </c>
      <c r="C954" s="2" t="n">
        <f aca="false">IFERROR(__xludf.dummyfunction("""COMPUTED_VALUE"""),187.78)</f>
        <v>187.78</v>
      </c>
      <c r="D954" s="2" t="n">
        <f aca="false">IFERROR(__xludf.dummyfunction("""COMPUTED_VALUE"""),185.61)</f>
        <v>185.61</v>
      </c>
      <c r="E954" s="2" t="n">
        <f aca="false">IFERROR(__xludf.dummyfunction("""COMPUTED_VALUE"""),186.89)</f>
        <v>186.89</v>
      </c>
      <c r="F954" s="2" t="n">
        <f aca="false">IFERROR(__xludf.dummyfunction("""COMPUTED_VALUE"""),23456812)</f>
        <v>23456812</v>
      </c>
    </row>
    <row r="955" customFormat="false" ht="15.75" hidden="false" customHeight="false" outlineLevel="0" collapsed="false">
      <c r="A955" s="3" t="n">
        <f aca="false">IFERROR(__xludf.dummyfunction("""COMPUTED_VALUE"""),45582.6666666667)</f>
        <v>45582.6666666667</v>
      </c>
      <c r="B955" s="2" t="n">
        <f aca="false">IFERROR(__xludf.dummyfunction("""COMPUTED_VALUE"""),188.22)</f>
        <v>188.22</v>
      </c>
      <c r="C955" s="2" t="n">
        <f aca="false">IFERROR(__xludf.dummyfunction("""COMPUTED_VALUE"""),188.94)</f>
        <v>188.94</v>
      </c>
      <c r="D955" s="2" t="n">
        <f aca="false">IFERROR(__xludf.dummyfunction("""COMPUTED_VALUE"""),186)</f>
        <v>186</v>
      </c>
      <c r="E955" s="2" t="n">
        <f aca="false">IFERROR(__xludf.dummyfunction("""COMPUTED_VALUE"""),187.53)</f>
        <v>187.53</v>
      </c>
      <c r="F955" s="2" t="n">
        <f aca="false">IFERROR(__xludf.dummyfunction("""COMPUTED_VALUE"""),25039414)</f>
        <v>25039414</v>
      </c>
    </row>
    <row r="956" customFormat="false" ht="15.75" hidden="false" customHeight="false" outlineLevel="0" collapsed="false">
      <c r="A956" s="3" t="n">
        <f aca="false">IFERROR(__xludf.dummyfunction("""COMPUTED_VALUE"""),45583.6666666667)</f>
        <v>45583.6666666667</v>
      </c>
      <c r="B956" s="2" t="n">
        <f aca="false">IFERROR(__xludf.dummyfunction("""COMPUTED_VALUE"""),187.15)</f>
        <v>187.15</v>
      </c>
      <c r="C956" s="2" t="n">
        <f aca="false">IFERROR(__xludf.dummyfunction("""COMPUTED_VALUE"""),190.74)</f>
        <v>190.74</v>
      </c>
      <c r="D956" s="2" t="n">
        <f aca="false">IFERROR(__xludf.dummyfunction("""COMPUTED_VALUE"""),186.28)</f>
        <v>186.28</v>
      </c>
      <c r="E956" s="2" t="n">
        <f aca="false">IFERROR(__xludf.dummyfunction("""COMPUTED_VALUE"""),188.99)</f>
        <v>188.99</v>
      </c>
      <c r="F956" s="2" t="n">
        <f aca="false">IFERROR(__xludf.dummyfunction("""COMPUTED_VALUE"""),37417670)</f>
        <v>37417670</v>
      </c>
    </row>
    <row r="957" customFormat="false" ht="15.75" hidden="false" customHeight="false" outlineLevel="0" collapsed="false">
      <c r="A957" s="3" t="n">
        <f aca="false">IFERROR(__xludf.dummyfunction("""COMPUTED_VALUE"""),45586.6666666667)</f>
        <v>45586.6666666667</v>
      </c>
      <c r="B957" s="2" t="n">
        <f aca="false">IFERROR(__xludf.dummyfunction("""COMPUTED_VALUE"""),188.05)</f>
        <v>188.05</v>
      </c>
      <c r="C957" s="2" t="n">
        <f aca="false">IFERROR(__xludf.dummyfunction("""COMPUTED_VALUE"""),189.46)</f>
        <v>189.46</v>
      </c>
      <c r="D957" s="2" t="n">
        <f aca="false">IFERROR(__xludf.dummyfunction("""COMPUTED_VALUE"""),186.4)</f>
        <v>186.4</v>
      </c>
      <c r="E957" s="2" t="n">
        <f aca="false">IFERROR(__xludf.dummyfunction("""COMPUTED_VALUE"""),189.07)</f>
        <v>189.07</v>
      </c>
      <c r="F957" s="2" t="n">
        <f aca="false">IFERROR(__xludf.dummyfunction("""COMPUTED_VALUE"""),24639393)</f>
        <v>24639393</v>
      </c>
    </row>
    <row r="958" customFormat="false" ht="15.75" hidden="false" customHeight="false" outlineLevel="0" collapsed="false">
      <c r="A958" s="3" t="n">
        <f aca="false">IFERROR(__xludf.dummyfunction("""COMPUTED_VALUE"""),45587.6666666667)</f>
        <v>45587.6666666667</v>
      </c>
      <c r="B958" s="2" t="n">
        <f aca="false">IFERROR(__xludf.dummyfunction("""COMPUTED_VALUE"""),188.35)</f>
        <v>188.35</v>
      </c>
      <c r="C958" s="2" t="n">
        <f aca="false">IFERROR(__xludf.dummyfunction("""COMPUTED_VALUE"""),191.52)</f>
        <v>191.52</v>
      </c>
      <c r="D958" s="2" t="n">
        <f aca="false">IFERROR(__xludf.dummyfunction("""COMPUTED_VALUE"""),186.98)</f>
        <v>186.98</v>
      </c>
      <c r="E958" s="2" t="n">
        <f aca="false">IFERROR(__xludf.dummyfunction("""COMPUTED_VALUE"""),189.7)</f>
        <v>189.7</v>
      </c>
      <c r="F958" s="2" t="n">
        <f aca="false">IFERROR(__xludf.dummyfunction("""COMPUTED_VALUE"""),29650593)</f>
        <v>29650593</v>
      </c>
    </row>
    <row r="959" customFormat="false" ht="15.75" hidden="false" customHeight="false" outlineLevel="0" collapsed="false">
      <c r="A959" s="3" t="n">
        <f aca="false">IFERROR(__xludf.dummyfunction("""COMPUTED_VALUE"""),45588.6666666667)</f>
        <v>45588.6666666667</v>
      </c>
      <c r="B959" s="2" t="n">
        <f aca="false">IFERROR(__xludf.dummyfunction("""COMPUTED_VALUE"""),188.85)</f>
        <v>188.85</v>
      </c>
      <c r="C959" s="2" t="n">
        <f aca="false">IFERROR(__xludf.dummyfunction("""COMPUTED_VALUE"""),189.16)</f>
        <v>189.16</v>
      </c>
      <c r="D959" s="2" t="n">
        <f aca="false">IFERROR(__xludf.dummyfunction("""COMPUTED_VALUE"""),183.69)</f>
        <v>183.69</v>
      </c>
      <c r="E959" s="2" t="n">
        <f aca="false">IFERROR(__xludf.dummyfunction("""COMPUTED_VALUE"""),184.71)</f>
        <v>184.71</v>
      </c>
      <c r="F959" s="2" t="n">
        <f aca="false">IFERROR(__xludf.dummyfunction("""COMPUTED_VALUE"""),31937089)</f>
        <v>31937089</v>
      </c>
    </row>
    <row r="960" customFormat="false" ht="15.75" hidden="false" customHeight="false" outlineLevel="0" collapsed="false">
      <c r="A960" s="3" t="n">
        <f aca="false">IFERROR(__xludf.dummyfunction("""COMPUTED_VALUE"""),45589.6666666667)</f>
        <v>45589.6666666667</v>
      </c>
      <c r="B960" s="2" t="n">
        <f aca="false">IFERROR(__xludf.dummyfunction("""COMPUTED_VALUE"""),185.25)</f>
        <v>185.25</v>
      </c>
      <c r="C960" s="2" t="n">
        <f aca="false">IFERROR(__xludf.dummyfunction("""COMPUTED_VALUE"""),187.11)</f>
        <v>187.11</v>
      </c>
      <c r="D960" s="2" t="n">
        <f aca="false">IFERROR(__xludf.dummyfunction("""COMPUTED_VALUE"""),183.86)</f>
        <v>183.86</v>
      </c>
      <c r="E960" s="2" t="n">
        <f aca="false">IFERROR(__xludf.dummyfunction("""COMPUTED_VALUE"""),186.38)</f>
        <v>186.38</v>
      </c>
      <c r="F960" s="2" t="n">
        <f aca="false">IFERROR(__xludf.dummyfunction("""COMPUTED_VALUE"""),21647395)</f>
        <v>21647395</v>
      </c>
    </row>
    <row r="961" customFormat="false" ht="15.75" hidden="false" customHeight="false" outlineLevel="0" collapsed="false">
      <c r="A961" s="3" t="n">
        <f aca="false">IFERROR(__xludf.dummyfunction("""COMPUTED_VALUE"""),45590.6666666667)</f>
        <v>45590.6666666667</v>
      </c>
      <c r="B961" s="2" t="n">
        <f aca="false">IFERROR(__xludf.dummyfunction("""COMPUTED_VALUE"""),187.85)</f>
        <v>187.85</v>
      </c>
      <c r="C961" s="2" t="n">
        <f aca="false">IFERROR(__xludf.dummyfunction("""COMPUTED_VALUE"""),190.45)</f>
        <v>190.45</v>
      </c>
      <c r="D961" s="2" t="n">
        <f aca="false">IFERROR(__xludf.dummyfunction("""COMPUTED_VALUE"""),187.53)</f>
        <v>187.53</v>
      </c>
      <c r="E961" s="2" t="n">
        <f aca="false">IFERROR(__xludf.dummyfunction("""COMPUTED_VALUE"""),187.83)</f>
        <v>187.83</v>
      </c>
      <c r="F961" s="2" t="n">
        <f aca="false">IFERROR(__xludf.dummyfunction("""COMPUTED_VALUE"""),29362060)</f>
        <v>29362060</v>
      </c>
    </row>
    <row r="962" customFormat="false" ht="15.75" hidden="false" customHeight="false" outlineLevel="0" collapsed="false">
      <c r="A962" s="3" t="n">
        <f aca="false">IFERROR(__xludf.dummyfunction("""COMPUTED_VALUE"""),45593.6666666667)</f>
        <v>45593.6666666667</v>
      </c>
      <c r="B962" s="2" t="n">
        <f aca="false">IFERROR(__xludf.dummyfunction("""COMPUTED_VALUE"""),189.57)</f>
        <v>189.57</v>
      </c>
      <c r="C962" s="2" t="n">
        <f aca="false">IFERROR(__xludf.dummyfunction("""COMPUTED_VALUE"""),190.21)</f>
        <v>190.21</v>
      </c>
      <c r="D962" s="2" t="n">
        <f aca="false">IFERROR(__xludf.dummyfunction("""COMPUTED_VALUE"""),188.21)</f>
        <v>188.21</v>
      </c>
      <c r="E962" s="2" t="n">
        <f aca="false">IFERROR(__xludf.dummyfunction("""COMPUTED_VALUE"""),188.39)</f>
        <v>188.39</v>
      </c>
      <c r="F962" s="2" t="n">
        <f aca="false">IFERROR(__xludf.dummyfunction("""COMPUTED_VALUE"""),27930836)</f>
        <v>27930836</v>
      </c>
    </row>
    <row r="963" customFormat="false" ht="15.75" hidden="false" customHeight="false" outlineLevel="0" collapsed="false">
      <c r="A963" s="3" t="n">
        <f aca="false">IFERROR(__xludf.dummyfunction("""COMPUTED_VALUE"""),45594.6666666667)</f>
        <v>45594.6666666667</v>
      </c>
      <c r="B963" s="2" t="n">
        <f aca="false">IFERROR(__xludf.dummyfunction("""COMPUTED_VALUE"""),188.58)</f>
        <v>188.58</v>
      </c>
      <c r="C963" s="2" t="n">
        <f aca="false">IFERROR(__xludf.dummyfunction("""COMPUTED_VALUE"""),191.46)</f>
        <v>191.46</v>
      </c>
      <c r="D963" s="2" t="n">
        <f aca="false">IFERROR(__xludf.dummyfunction("""COMPUTED_VALUE"""),187.82)</f>
        <v>187.82</v>
      </c>
      <c r="E963" s="2" t="n">
        <f aca="false">IFERROR(__xludf.dummyfunction("""COMPUTED_VALUE"""),190.83)</f>
        <v>190.83</v>
      </c>
      <c r="F963" s="2" t="n">
        <f aca="false">IFERROR(__xludf.dummyfunction("""COMPUTED_VALUE"""),35690158)</f>
        <v>35690158</v>
      </c>
    </row>
    <row r="964" customFormat="false" ht="15.75" hidden="false" customHeight="false" outlineLevel="0" collapsed="false">
      <c r="A964" s="3" t="n">
        <f aca="false">IFERROR(__xludf.dummyfunction("""COMPUTED_VALUE"""),45595.6666666667)</f>
        <v>45595.6666666667</v>
      </c>
      <c r="B964" s="2" t="n">
        <f aca="false">IFERROR(__xludf.dummyfunction("""COMPUTED_VALUE"""),194.7)</f>
        <v>194.7</v>
      </c>
      <c r="C964" s="2" t="n">
        <f aca="false">IFERROR(__xludf.dummyfunction("""COMPUTED_VALUE"""),195.61)</f>
        <v>195.61</v>
      </c>
      <c r="D964" s="2" t="n">
        <f aca="false">IFERROR(__xludf.dummyfunction("""COMPUTED_VALUE"""),192.42)</f>
        <v>192.42</v>
      </c>
      <c r="E964" s="2" t="n">
        <f aca="false">IFERROR(__xludf.dummyfunction("""COMPUTED_VALUE"""),192.73)</f>
        <v>192.73</v>
      </c>
      <c r="F964" s="2" t="n">
        <f aca="false">IFERROR(__xludf.dummyfunction("""COMPUTED_VALUE"""),37707550)</f>
        <v>37707550</v>
      </c>
    </row>
    <row r="965" customFormat="false" ht="15.75" hidden="false" customHeight="false" outlineLevel="0" collapsed="false">
      <c r="A965" s="3" t="n">
        <f aca="false">IFERROR(__xludf.dummyfunction("""COMPUTED_VALUE"""),45596.6666666667)</f>
        <v>45596.6666666667</v>
      </c>
      <c r="B965" s="2" t="n">
        <f aca="false">IFERROR(__xludf.dummyfunction("""COMPUTED_VALUE"""),190.51)</f>
        <v>190.51</v>
      </c>
      <c r="C965" s="2" t="n">
        <f aca="false">IFERROR(__xludf.dummyfunction("""COMPUTED_VALUE"""),190.6)</f>
        <v>190.6</v>
      </c>
      <c r="D965" s="2" t="n">
        <f aca="false">IFERROR(__xludf.dummyfunction("""COMPUTED_VALUE"""),185.23)</f>
        <v>185.23</v>
      </c>
      <c r="E965" s="2" t="n">
        <f aca="false">IFERROR(__xludf.dummyfunction("""COMPUTED_VALUE"""),186.4)</f>
        <v>186.4</v>
      </c>
      <c r="F965" s="2" t="n">
        <f aca="false">IFERROR(__xludf.dummyfunction("""COMPUTED_VALUE"""),75146759)</f>
        <v>75146759</v>
      </c>
    </row>
    <row r="966" customFormat="false" ht="15.75" hidden="false" customHeight="false" outlineLevel="0" collapsed="false">
      <c r="A966" s="3" t="n">
        <f aca="false">IFERROR(__xludf.dummyfunction("""COMPUTED_VALUE"""),45597.6666666667)</f>
        <v>45597.6666666667</v>
      </c>
      <c r="B966" s="2" t="n">
        <f aca="false">IFERROR(__xludf.dummyfunction("""COMPUTED_VALUE"""),199)</f>
        <v>199</v>
      </c>
      <c r="C966" s="2" t="n">
        <f aca="false">IFERROR(__xludf.dummyfunction("""COMPUTED_VALUE"""),200.5)</f>
        <v>200.5</v>
      </c>
      <c r="D966" s="2" t="n">
        <f aca="false">IFERROR(__xludf.dummyfunction("""COMPUTED_VALUE"""),197.02)</f>
        <v>197.02</v>
      </c>
      <c r="E966" s="2" t="n">
        <f aca="false">IFERROR(__xludf.dummyfunction("""COMPUTED_VALUE"""),197.93)</f>
        <v>197.93</v>
      </c>
      <c r="F966" s="2" t="n">
        <f aca="false">IFERROR(__xludf.dummyfunction("""COMPUTED_VALUE"""),99687847)</f>
        <v>99687847</v>
      </c>
    </row>
    <row r="967" customFormat="false" ht="15.75" hidden="false" customHeight="false" outlineLevel="0" collapsed="false">
      <c r="A967" s="3" t="n">
        <f aca="false">IFERROR(__xludf.dummyfunction("""COMPUTED_VALUE"""),45600.6666666667)</f>
        <v>45600.6666666667</v>
      </c>
      <c r="B967" s="2" t="n">
        <f aca="false">IFERROR(__xludf.dummyfunction("""COMPUTED_VALUE"""),196.45)</f>
        <v>196.45</v>
      </c>
      <c r="C967" s="2" t="n">
        <f aca="false">IFERROR(__xludf.dummyfunction("""COMPUTED_VALUE"""),197.33)</f>
        <v>197.33</v>
      </c>
      <c r="D967" s="2" t="n">
        <f aca="false">IFERROR(__xludf.dummyfunction("""COMPUTED_VALUE"""),194.31)</f>
        <v>194.31</v>
      </c>
      <c r="E967" s="2" t="n">
        <f aca="false">IFERROR(__xludf.dummyfunction("""COMPUTED_VALUE"""),195.78)</f>
        <v>195.78</v>
      </c>
      <c r="F967" s="2" t="n">
        <f aca="false">IFERROR(__xludf.dummyfunction("""COMPUTED_VALUE"""),38492062)</f>
        <v>38492062</v>
      </c>
    </row>
    <row r="968" customFormat="false" ht="15.75" hidden="false" customHeight="false" outlineLevel="0" collapsed="false">
      <c r="A968" s="3" t="n">
        <f aca="false">IFERROR(__xludf.dummyfunction("""COMPUTED_VALUE"""),45601.6666666667)</f>
        <v>45601.6666666667</v>
      </c>
      <c r="B968" s="2" t="n">
        <f aca="false">IFERROR(__xludf.dummyfunction("""COMPUTED_VALUE"""),196.04)</f>
        <v>196.04</v>
      </c>
      <c r="C968" s="2" t="n">
        <f aca="false">IFERROR(__xludf.dummyfunction("""COMPUTED_VALUE"""),199.82)</f>
        <v>199.82</v>
      </c>
      <c r="D968" s="2" t="n">
        <f aca="false">IFERROR(__xludf.dummyfunction("""COMPUTED_VALUE"""),195.99)</f>
        <v>195.99</v>
      </c>
      <c r="E968" s="2" t="n">
        <f aca="false">IFERROR(__xludf.dummyfunction("""COMPUTED_VALUE"""),199.5)</f>
        <v>199.5</v>
      </c>
      <c r="F968" s="2" t="n">
        <f aca="false">IFERROR(__xludf.dummyfunction("""COMPUTED_VALUE"""),30564784)</f>
        <v>30564784</v>
      </c>
    </row>
    <row r="969" customFormat="false" ht="15.75" hidden="false" customHeight="false" outlineLevel="0" collapsed="false">
      <c r="A969" s="3" t="n">
        <f aca="false">IFERROR(__xludf.dummyfunction("""COMPUTED_VALUE"""),45602.6666666667)</f>
        <v>45602.6666666667</v>
      </c>
      <c r="B969" s="2" t="n">
        <f aca="false">IFERROR(__xludf.dummyfunction("""COMPUTED_VALUE"""),200.01)</f>
        <v>200.01</v>
      </c>
      <c r="C969" s="2" t="n">
        <f aca="false">IFERROR(__xludf.dummyfunction("""COMPUTED_VALUE"""),207.55)</f>
        <v>207.55</v>
      </c>
      <c r="D969" s="2" t="n">
        <f aca="false">IFERROR(__xludf.dummyfunction("""COMPUTED_VALUE"""),199.14)</f>
        <v>199.14</v>
      </c>
      <c r="E969" s="2" t="n">
        <f aca="false">IFERROR(__xludf.dummyfunction("""COMPUTED_VALUE"""),207.09)</f>
        <v>207.09</v>
      </c>
      <c r="F969" s="2" t="n">
        <f aca="false">IFERROR(__xludf.dummyfunction("""COMPUTED_VALUE"""),72292167)</f>
        <v>72292167</v>
      </c>
    </row>
    <row r="970" customFormat="false" ht="15.75" hidden="false" customHeight="false" outlineLevel="0" collapsed="false">
      <c r="A970" s="3" t="n">
        <f aca="false">IFERROR(__xludf.dummyfunction("""COMPUTED_VALUE"""),45603.6666666667)</f>
        <v>45603.6666666667</v>
      </c>
      <c r="B970" s="2" t="n">
        <f aca="false">IFERROR(__xludf.dummyfunction("""COMPUTED_VALUE"""),207.44)</f>
        <v>207.44</v>
      </c>
      <c r="C970" s="2" t="n">
        <f aca="false">IFERROR(__xludf.dummyfunction("""COMPUTED_VALUE"""),212.25)</f>
        <v>212.25</v>
      </c>
      <c r="D970" s="2" t="n">
        <f aca="false">IFERROR(__xludf.dummyfunction("""COMPUTED_VALUE"""),207.19)</f>
        <v>207.19</v>
      </c>
      <c r="E970" s="2" t="n">
        <f aca="false">IFERROR(__xludf.dummyfunction("""COMPUTED_VALUE"""),210.05)</f>
        <v>210.05</v>
      </c>
      <c r="F970" s="2" t="n">
        <f aca="false">IFERROR(__xludf.dummyfunction("""COMPUTED_VALUE"""),52878383)</f>
        <v>52878383</v>
      </c>
    </row>
    <row r="971" customFormat="false" ht="15.75" hidden="false" customHeight="false" outlineLevel="0" collapsed="false">
      <c r="A971" s="3" t="n">
        <f aca="false">IFERROR(__xludf.dummyfunction("""COMPUTED_VALUE"""),45604.6666666667)</f>
        <v>45604.6666666667</v>
      </c>
      <c r="B971" s="2" t="n">
        <f aca="false">IFERROR(__xludf.dummyfunction("""COMPUTED_VALUE"""),209.72)</f>
        <v>209.72</v>
      </c>
      <c r="C971" s="2" t="n">
        <f aca="false">IFERROR(__xludf.dummyfunction("""COMPUTED_VALUE"""),209.96)</f>
        <v>209.96</v>
      </c>
      <c r="D971" s="2" t="n">
        <f aca="false">IFERROR(__xludf.dummyfunction("""COMPUTED_VALUE"""),207.44)</f>
        <v>207.44</v>
      </c>
      <c r="E971" s="2" t="n">
        <f aca="false">IFERROR(__xludf.dummyfunction("""COMPUTED_VALUE"""),208.18)</f>
        <v>208.18</v>
      </c>
      <c r="F971" s="2" t="n">
        <f aca="false">IFERROR(__xludf.dummyfunction("""COMPUTED_VALUE"""),36075846)</f>
        <v>36075846</v>
      </c>
    </row>
    <row r="972" customFormat="false" ht="15.75" hidden="false" customHeight="false" outlineLevel="0" collapsed="false">
      <c r="A972" s="3" t="n">
        <f aca="false">IFERROR(__xludf.dummyfunction("""COMPUTED_VALUE"""),45607.6666666667)</f>
        <v>45607.6666666667</v>
      </c>
      <c r="B972" s="2" t="n">
        <f aca="false">IFERROR(__xludf.dummyfunction("""COMPUTED_VALUE"""),208.5)</f>
        <v>208.5</v>
      </c>
      <c r="C972" s="2" t="n">
        <f aca="false">IFERROR(__xludf.dummyfunction("""COMPUTED_VALUE"""),209.65)</f>
        <v>209.65</v>
      </c>
      <c r="D972" s="2" t="n">
        <f aca="false">IFERROR(__xludf.dummyfunction("""COMPUTED_VALUE"""),205.59)</f>
        <v>205.59</v>
      </c>
      <c r="E972" s="2" t="n">
        <f aca="false">IFERROR(__xludf.dummyfunction("""COMPUTED_VALUE"""),206.84)</f>
        <v>206.84</v>
      </c>
      <c r="F972" s="2" t="n">
        <f aca="false">IFERROR(__xludf.dummyfunction("""COMPUTED_VALUE"""),35456012)</f>
        <v>35456012</v>
      </c>
    </row>
    <row r="973" customFormat="false" ht="15.75" hidden="false" customHeight="false" outlineLevel="0" collapsed="false">
      <c r="A973" s="3" t="n">
        <f aca="false">IFERROR(__xludf.dummyfunction("""COMPUTED_VALUE"""),45608.6666666667)</f>
        <v>45608.6666666667</v>
      </c>
      <c r="B973" s="2" t="n">
        <f aca="false">IFERROR(__xludf.dummyfunction("""COMPUTED_VALUE"""),208.37)</f>
        <v>208.37</v>
      </c>
      <c r="C973" s="2" t="n">
        <f aca="false">IFERROR(__xludf.dummyfunction("""COMPUTED_VALUE"""),209.54)</f>
        <v>209.54</v>
      </c>
      <c r="D973" s="2" t="n">
        <f aca="false">IFERROR(__xludf.dummyfunction("""COMPUTED_VALUE"""),206.01)</f>
        <v>206.01</v>
      </c>
      <c r="E973" s="2" t="n">
        <f aca="false">IFERROR(__xludf.dummyfunction("""COMPUTED_VALUE"""),208.91)</f>
        <v>208.91</v>
      </c>
      <c r="F973" s="2" t="n">
        <f aca="false">IFERROR(__xludf.dummyfunction("""COMPUTED_VALUE"""),38942918)</f>
        <v>38942918</v>
      </c>
    </row>
    <row r="974" customFormat="false" ht="15.75" hidden="false" customHeight="false" outlineLevel="0" collapsed="false">
      <c r="A974" s="3" t="n">
        <f aca="false">IFERROR(__xludf.dummyfunction("""COMPUTED_VALUE"""),45609.6666666667)</f>
        <v>45609.6666666667</v>
      </c>
      <c r="B974" s="2" t="n">
        <f aca="false">IFERROR(__xludf.dummyfunction("""COMPUTED_VALUE"""),209.4)</f>
        <v>209.4</v>
      </c>
      <c r="C974" s="2" t="n">
        <f aca="false">IFERROR(__xludf.dummyfunction("""COMPUTED_VALUE"""),215.09)</f>
        <v>215.09</v>
      </c>
      <c r="D974" s="2" t="n">
        <f aca="false">IFERROR(__xludf.dummyfunction("""COMPUTED_VALUE"""),209.14)</f>
        <v>209.14</v>
      </c>
      <c r="E974" s="2" t="n">
        <f aca="false">IFERROR(__xludf.dummyfunction("""COMPUTED_VALUE"""),214.1)</f>
        <v>214.1</v>
      </c>
      <c r="F974" s="2" t="n">
        <f aca="false">IFERROR(__xludf.dummyfunction("""COMPUTED_VALUE"""),46212943)</f>
        <v>46212943</v>
      </c>
    </row>
    <row r="975" customFormat="false" ht="15.75" hidden="false" customHeight="false" outlineLevel="0" collapsed="false">
      <c r="A975" s="3" t="n">
        <f aca="false">IFERROR(__xludf.dummyfunction("""COMPUTED_VALUE"""),45610.6666666667)</f>
        <v>45610.6666666667</v>
      </c>
      <c r="B975" s="2" t="n">
        <f aca="false">IFERROR(__xludf.dummyfunction("""COMPUTED_VALUE"""),214.16)</f>
        <v>214.16</v>
      </c>
      <c r="C975" s="2" t="n">
        <f aca="false">IFERROR(__xludf.dummyfunction("""COMPUTED_VALUE"""),215.9)</f>
        <v>215.9</v>
      </c>
      <c r="D975" s="2" t="n">
        <f aca="false">IFERROR(__xludf.dummyfunction("""COMPUTED_VALUE"""),210.88)</f>
        <v>210.88</v>
      </c>
      <c r="E975" s="2" t="n">
        <f aca="false">IFERROR(__xludf.dummyfunction("""COMPUTED_VALUE"""),211.48)</f>
        <v>211.48</v>
      </c>
      <c r="F975" s="2" t="n">
        <f aca="false">IFERROR(__xludf.dummyfunction("""COMPUTED_VALUE"""),42620309)</f>
        <v>42620309</v>
      </c>
    </row>
    <row r="976" customFormat="false" ht="15.75" hidden="false" customHeight="false" outlineLevel="0" collapsed="false">
      <c r="A976" s="3" t="n">
        <f aca="false">IFERROR(__xludf.dummyfunction("""COMPUTED_VALUE"""),45611.6666666667)</f>
        <v>45611.6666666667</v>
      </c>
      <c r="B976" s="2" t="n">
        <f aca="false">IFERROR(__xludf.dummyfunction("""COMPUTED_VALUE"""),206.76)</f>
        <v>206.76</v>
      </c>
      <c r="C976" s="2" t="n">
        <f aca="false">IFERROR(__xludf.dummyfunction("""COMPUTED_VALUE"""),207.34)</f>
        <v>207.34</v>
      </c>
      <c r="D976" s="2" t="n">
        <f aca="false">IFERROR(__xludf.dummyfunction("""COMPUTED_VALUE"""),199.61)</f>
        <v>199.61</v>
      </c>
      <c r="E976" s="2" t="n">
        <f aca="false">IFERROR(__xludf.dummyfunction("""COMPUTED_VALUE"""),202.61)</f>
        <v>202.61</v>
      </c>
      <c r="F976" s="2" t="n">
        <f aca="false">IFERROR(__xludf.dummyfunction("""COMPUTED_VALUE"""),86591144)</f>
        <v>86591144</v>
      </c>
    </row>
    <row r="977" customFormat="false" ht="15.75" hidden="false" customHeight="false" outlineLevel="0" collapsed="false">
      <c r="A977" s="3" t="n">
        <f aca="false">IFERROR(__xludf.dummyfunction("""COMPUTED_VALUE"""),45614.6666666667)</f>
        <v>45614.6666666667</v>
      </c>
      <c r="B977" s="2" t="n">
        <f aca="false">IFERROR(__xludf.dummyfunction("""COMPUTED_VALUE"""),204.15)</f>
        <v>204.15</v>
      </c>
      <c r="C977" s="2" t="n">
        <f aca="false">IFERROR(__xludf.dummyfunction("""COMPUTED_VALUE"""),204.67)</f>
        <v>204.67</v>
      </c>
      <c r="D977" s="2" t="n">
        <f aca="false">IFERROR(__xludf.dummyfunction("""COMPUTED_VALUE"""),200.95)</f>
        <v>200.95</v>
      </c>
      <c r="E977" s="2" t="n">
        <f aca="false">IFERROR(__xludf.dummyfunction("""COMPUTED_VALUE"""),201.7)</f>
        <v>201.7</v>
      </c>
      <c r="F977" s="2" t="n">
        <f aca="false">IFERROR(__xludf.dummyfunction("""COMPUTED_VALUE"""),36512465)</f>
        <v>36512465</v>
      </c>
    </row>
    <row r="978" customFormat="false" ht="15.75" hidden="false" customHeight="false" outlineLevel="0" collapsed="false">
      <c r="A978" s="3" t="n">
        <f aca="false">IFERROR(__xludf.dummyfunction("""COMPUTED_VALUE"""),45615.6666666667)</f>
        <v>45615.6666666667</v>
      </c>
      <c r="B978" s="2" t="n">
        <f aca="false">IFERROR(__xludf.dummyfunction("""COMPUTED_VALUE"""),199.33)</f>
        <v>199.33</v>
      </c>
      <c r="C978" s="2" t="n">
        <f aca="false">IFERROR(__xludf.dummyfunction("""COMPUTED_VALUE"""),205.3)</f>
        <v>205.3</v>
      </c>
      <c r="D978" s="2" t="n">
        <f aca="false">IFERROR(__xludf.dummyfunction("""COMPUTED_VALUE"""),198.78)</f>
        <v>198.78</v>
      </c>
      <c r="E978" s="2" t="n">
        <f aca="false">IFERROR(__xludf.dummyfunction("""COMPUTED_VALUE"""),204.61)</f>
        <v>204.61</v>
      </c>
      <c r="F978" s="2" t="n">
        <f aca="false">IFERROR(__xludf.dummyfunction("""COMPUTED_VALUE"""),31197867)</f>
        <v>31197867</v>
      </c>
    </row>
    <row r="979" customFormat="false" ht="15.75" hidden="false" customHeight="false" outlineLevel="0" collapsed="false">
      <c r="A979" s="3" t="n">
        <f aca="false">IFERROR(__xludf.dummyfunction("""COMPUTED_VALUE"""),45616.6666666667)</f>
        <v>45616.6666666667</v>
      </c>
      <c r="B979" s="2" t="n">
        <f aca="false">IFERROR(__xludf.dummyfunction("""COMPUTED_VALUE"""),202.98)</f>
        <v>202.98</v>
      </c>
      <c r="C979" s="2" t="n">
        <f aca="false">IFERROR(__xludf.dummyfunction("""COMPUTED_VALUE"""),203.13)</f>
        <v>203.13</v>
      </c>
      <c r="D979" s="2" t="n">
        <f aca="false">IFERROR(__xludf.dummyfunction("""COMPUTED_VALUE"""),199.45)</f>
        <v>199.45</v>
      </c>
      <c r="E979" s="2" t="n">
        <f aca="false">IFERROR(__xludf.dummyfunction("""COMPUTED_VALUE"""),202.88)</f>
        <v>202.88</v>
      </c>
      <c r="F979" s="2" t="n">
        <f aca="false">IFERROR(__xludf.dummyfunction("""COMPUTED_VALUE"""),32768989)</f>
        <v>32768989</v>
      </c>
    </row>
    <row r="980" customFormat="false" ht="15.75" hidden="false" customHeight="false" outlineLevel="0" collapsed="false">
      <c r="A980" s="3" t="n">
        <f aca="false">IFERROR(__xludf.dummyfunction("""COMPUTED_VALUE"""),45617.6666666667)</f>
        <v>45617.6666666667</v>
      </c>
      <c r="B980" s="2" t="n">
        <f aca="false">IFERROR(__xludf.dummyfunction("""COMPUTED_VALUE"""),203.49)</f>
        <v>203.49</v>
      </c>
      <c r="C980" s="2" t="n">
        <f aca="false">IFERROR(__xludf.dummyfunction("""COMPUTED_VALUE"""),203.49)</f>
        <v>203.49</v>
      </c>
      <c r="D980" s="2" t="n">
        <f aca="false">IFERROR(__xludf.dummyfunction("""COMPUTED_VALUE"""),195.75)</f>
        <v>195.75</v>
      </c>
      <c r="E980" s="2" t="n">
        <f aca="false">IFERROR(__xludf.dummyfunction("""COMPUTED_VALUE"""),198.38)</f>
        <v>198.38</v>
      </c>
      <c r="F980" s="2" t="n">
        <f aca="false">IFERROR(__xludf.dummyfunction("""COMPUTED_VALUE"""),58800042)</f>
        <v>58800042</v>
      </c>
    </row>
    <row r="981" customFormat="false" ht="15.75" hidden="false" customHeight="false" outlineLevel="0" collapsed="false">
      <c r="A981" s="3" t="n">
        <f aca="false">IFERROR(__xludf.dummyfunction("""COMPUTED_VALUE"""),45618.6666666667)</f>
        <v>45618.6666666667</v>
      </c>
      <c r="B981" s="2" t="n">
        <f aca="false">IFERROR(__xludf.dummyfunction("""COMPUTED_VALUE"""),198.25)</f>
        <v>198.25</v>
      </c>
      <c r="C981" s="2" t="n">
        <f aca="false">IFERROR(__xludf.dummyfunction("""COMPUTED_VALUE"""),199.26)</f>
        <v>199.26</v>
      </c>
      <c r="D981" s="2" t="n">
        <f aca="false">IFERROR(__xludf.dummyfunction("""COMPUTED_VALUE"""),196.75)</f>
        <v>196.75</v>
      </c>
      <c r="E981" s="2" t="n">
        <f aca="false">IFERROR(__xludf.dummyfunction("""COMPUTED_VALUE"""),197.12)</f>
        <v>197.12</v>
      </c>
      <c r="F981" s="2" t="n">
        <f aca="false">IFERROR(__xludf.dummyfunction("""COMPUTED_VALUE"""),31530844)</f>
        <v>31530844</v>
      </c>
    </row>
    <row r="982" customFormat="false" ht="15.75" hidden="false" customHeight="false" outlineLevel="0" collapsed="false">
      <c r="A982" s="3" t="n">
        <f aca="false">IFERROR(__xludf.dummyfunction("""COMPUTED_VALUE"""),45621.6666666667)</f>
        <v>45621.6666666667</v>
      </c>
      <c r="B982" s="2" t="n">
        <f aca="false">IFERROR(__xludf.dummyfunction("""COMPUTED_VALUE"""),199.28)</f>
        <v>199.28</v>
      </c>
      <c r="C982" s="2" t="n">
        <f aca="false">IFERROR(__xludf.dummyfunction("""COMPUTED_VALUE"""),201.95)</f>
        <v>201.95</v>
      </c>
      <c r="D982" s="2" t="n">
        <f aca="false">IFERROR(__xludf.dummyfunction("""COMPUTED_VALUE"""),199)</f>
        <v>199</v>
      </c>
      <c r="E982" s="2" t="n">
        <f aca="false">IFERROR(__xludf.dummyfunction("""COMPUTED_VALUE"""),201.45)</f>
        <v>201.45</v>
      </c>
      <c r="F982" s="2" t="n">
        <f aca="false">IFERROR(__xludf.dummyfunction("""COMPUTED_VALUE"""),40685672)</f>
        <v>40685672</v>
      </c>
    </row>
    <row r="983" customFormat="false" ht="15.75" hidden="false" customHeight="false" outlineLevel="0" collapsed="false">
      <c r="A983" s="3" t="n">
        <f aca="false">IFERROR(__xludf.dummyfunction("""COMPUTED_VALUE"""),45622.6666666667)</f>
        <v>45622.6666666667</v>
      </c>
      <c r="B983" s="2" t="n">
        <f aca="false">IFERROR(__xludf.dummyfunction("""COMPUTED_VALUE"""),201.9)</f>
        <v>201.9</v>
      </c>
      <c r="C983" s="2" t="n">
        <f aca="false">IFERROR(__xludf.dummyfunction("""COMPUTED_VALUE"""),208)</f>
        <v>208</v>
      </c>
      <c r="D983" s="2" t="n">
        <f aca="false">IFERROR(__xludf.dummyfunction("""COMPUTED_VALUE"""),201.79)</f>
        <v>201.79</v>
      </c>
      <c r="E983" s="2" t="n">
        <f aca="false">IFERROR(__xludf.dummyfunction("""COMPUTED_VALUE"""),207.86)</f>
        <v>207.86</v>
      </c>
      <c r="F983" s="2" t="n">
        <f aca="false">IFERROR(__xludf.dummyfunction("""COMPUTED_VALUE"""),41673737)</f>
        <v>41673737</v>
      </c>
    </row>
    <row r="984" customFormat="false" ht="15.75" hidden="false" customHeight="false" outlineLevel="0" collapsed="false">
      <c r="A984" s="3" t="n">
        <f aca="false">IFERROR(__xludf.dummyfunction("""COMPUTED_VALUE"""),45623.6666666667)</f>
        <v>45623.6666666667</v>
      </c>
      <c r="B984" s="2" t="n">
        <f aca="false">IFERROR(__xludf.dummyfunction("""COMPUTED_VALUE"""),206.98)</f>
        <v>206.98</v>
      </c>
      <c r="C984" s="2" t="n">
        <f aca="false">IFERROR(__xludf.dummyfunction("""COMPUTED_VALUE"""),207.64)</f>
        <v>207.64</v>
      </c>
      <c r="D984" s="2" t="n">
        <f aca="false">IFERROR(__xludf.dummyfunction("""COMPUTED_VALUE"""),205.05)</f>
        <v>205.05</v>
      </c>
      <c r="E984" s="2" t="n">
        <f aca="false">IFERROR(__xludf.dummyfunction("""COMPUTED_VALUE"""),205.74)</f>
        <v>205.74</v>
      </c>
      <c r="F984" s="2" t="n">
        <f aca="false">IFERROR(__xludf.dummyfunction("""COMPUTED_VALUE"""),28061638)</f>
        <v>28061638</v>
      </c>
    </row>
    <row r="985" customFormat="false" ht="15.75" hidden="false" customHeight="false" outlineLevel="0" collapsed="false">
      <c r="A985" s="3" t="n">
        <f aca="false">IFERROR(__xludf.dummyfunction("""COMPUTED_VALUE"""),45625.5451388889)</f>
        <v>45625.5451388889</v>
      </c>
      <c r="B985" s="2" t="n">
        <f aca="false">IFERROR(__xludf.dummyfunction("""COMPUTED_VALUE"""),205.83)</f>
        <v>205.83</v>
      </c>
      <c r="C985" s="2" t="n">
        <f aca="false">IFERROR(__xludf.dummyfunction("""COMPUTED_VALUE"""),208.2)</f>
        <v>208.2</v>
      </c>
      <c r="D985" s="2" t="n">
        <f aca="false">IFERROR(__xludf.dummyfunction("""COMPUTED_VALUE"""),204.59)</f>
        <v>204.59</v>
      </c>
      <c r="E985" s="2" t="n">
        <f aca="false">IFERROR(__xludf.dummyfunction("""COMPUTED_VALUE"""),207.89)</f>
        <v>207.89</v>
      </c>
      <c r="F985" s="2" t="n">
        <f aca="false">IFERROR(__xludf.dummyfunction("""COMPUTED_VALUE"""),24892447)</f>
        <v>24892447</v>
      </c>
    </row>
    <row r="986" customFormat="false" ht="15.75" hidden="false" customHeight="false" outlineLevel="0" collapsed="false">
      <c r="A986" s="3" t="n">
        <f aca="false">IFERROR(__xludf.dummyfunction("""COMPUTED_VALUE"""),45628.6666666667)</f>
        <v>45628.6666666667</v>
      </c>
      <c r="B986" s="2" t="n">
        <f aca="false">IFERROR(__xludf.dummyfunction("""COMPUTED_VALUE"""),209.96)</f>
        <v>209.96</v>
      </c>
      <c r="C986" s="2" t="n">
        <f aca="false">IFERROR(__xludf.dummyfunction("""COMPUTED_VALUE"""),212.99)</f>
        <v>212.99</v>
      </c>
      <c r="D986" s="2" t="n">
        <f aca="false">IFERROR(__xludf.dummyfunction("""COMPUTED_VALUE"""),209.51)</f>
        <v>209.51</v>
      </c>
      <c r="E986" s="2" t="n">
        <f aca="false">IFERROR(__xludf.dummyfunction("""COMPUTED_VALUE"""),210.71)</f>
        <v>210.71</v>
      </c>
      <c r="F986" s="2" t="n">
        <f aca="false">IFERROR(__xludf.dummyfunction("""COMPUTED_VALUE"""),39523185)</f>
        <v>39523185</v>
      </c>
    </row>
    <row r="987" customFormat="false" ht="15.75" hidden="false" customHeight="false" outlineLevel="0" collapsed="false">
      <c r="A987" s="3" t="n">
        <f aca="false">IFERROR(__xludf.dummyfunction("""COMPUTED_VALUE"""),45629.6666666667)</f>
        <v>45629.6666666667</v>
      </c>
      <c r="B987" s="2" t="n">
        <f aca="false">IFERROR(__xludf.dummyfunction("""COMPUTED_VALUE"""),210.31)</f>
        <v>210.31</v>
      </c>
      <c r="C987" s="2" t="n">
        <f aca="false">IFERROR(__xludf.dummyfunction("""COMPUTED_VALUE"""),214.02)</f>
        <v>214.02</v>
      </c>
      <c r="D987" s="2" t="n">
        <f aca="false">IFERROR(__xludf.dummyfunction("""COMPUTED_VALUE"""),209.65)</f>
        <v>209.65</v>
      </c>
      <c r="E987" s="2" t="n">
        <f aca="false">IFERROR(__xludf.dummyfunction("""COMPUTED_VALUE"""),213.44)</f>
        <v>213.44</v>
      </c>
      <c r="F987" s="2" t="n">
        <f aca="false">IFERROR(__xludf.dummyfunction("""COMPUTED_VALUE"""),32214828)</f>
        <v>32214828</v>
      </c>
    </row>
    <row r="988" customFormat="false" ht="15.75" hidden="false" customHeight="false" outlineLevel="0" collapsed="false">
      <c r="A988" s="3" t="n">
        <f aca="false">IFERROR(__xludf.dummyfunction("""COMPUTED_VALUE"""),45630.6666666667)</f>
        <v>45630.6666666667</v>
      </c>
      <c r="B988" s="2" t="n">
        <f aca="false">IFERROR(__xludf.dummyfunction("""COMPUTED_VALUE"""),215.96)</f>
        <v>215.96</v>
      </c>
      <c r="C988" s="2" t="n">
        <f aca="false">IFERROR(__xludf.dummyfunction("""COMPUTED_VALUE"""),220)</f>
        <v>220</v>
      </c>
      <c r="D988" s="2" t="n">
        <f aca="false">IFERROR(__xludf.dummyfunction("""COMPUTED_VALUE"""),215.75)</f>
        <v>215.75</v>
      </c>
      <c r="E988" s="2" t="n">
        <f aca="false">IFERROR(__xludf.dummyfunction("""COMPUTED_VALUE"""),218.16)</f>
        <v>218.16</v>
      </c>
      <c r="F988" s="2" t="n">
        <f aca="false">IFERROR(__xludf.dummyfunction("""COMPUTED_VALUE"""),48745716)</f>
        <v>48745716</v>
      </c>
    </row>
    <row r="989" customFormat="false" ht="15.75" hidden="false" customHeight="false" outlineLevel="0" collapsed="false">
      <c r="A989" s="3" t="n">
        <f aca="false">IFERROR(__xludf.dummyfunction("""COMPUTED_VALUE"""),45631.6666666667)</f>
        <v>45631.6666666667</v>
      </c>
      <c r="B989" s="2" t="n">
        <f aca="false">IFERROR(__xludf.dummyfunction("""COMPUTED_VALUE"""),218.03)</f>
        <v>218.03</v>
      </c>
      <c r="C989" s="2" t="n">
        <f aca="false">IFERROR(__xludf.dummyfunction("""COMPUTED_VALUE"""),222.15)</f>
        <v>222.15</v>
      </c>
      <c r="D989" s="2" t="n">
        <f aca="false">IFERROR(__xludf.dummyfunction("""COMPUTED_VALUE"""),217.3)</f>
        <v>217.3</v>
      </c>
      <c r="E989" s="2" t="n">
        <f aca="false">IFERROR(__xludf.dummyfunction("""COMPUTED_VALUE"""),220.55)</f>
        <v>220.55</v>
      </c>
      <c r="F989" s="2" t="n">
        <f aca="false">IFERROR(__xludf.dummyfunction("""COMPUTED_VALUE"""),41140220)</f>
        <v>41140220</v>
      </c>
    </row>
    <row r="990" customFormat="false" ht="15.75" hidden="false" customHeight="false" outlineLevel="0" collapsed="false">
      <c r="A990" s="3" t="n">
        <f aca="false">IFERROR(__xludf.dummyfunction("""COMPUTED_VALUE"""),45632.6666666667)</f>
        <v>45632.6666666667</v>
      </c>
      <c r="B990" s="2" t="n">
        <f aca="false">IFERROR(__xludf.dummyfunction("""COMPUTED_VALUE"""),220.75)</f>
        <v>220.75</v>
      </c>
      <c r="C990" s="2" t="n">
        <f aca="false">IFERROR(__xludf.dummyfunction("""COMPUTED_VALUE"""),227.15)</f>
        <v>227.15</v>
      </c>
      <c r="D990" s="2" t="n">
        <f aca="false">IFERROR(__xludf.dummyfunction("""COMPUTED_VALUE"""),220.6)</f>
        <v>220.6</v>
      </c>
      <c r="E990" s="2" t="n">
        <f aca="false">IFERROR(__xludf.dummyfunction("""COMPUTED_VALUE"""),227.03)</f>
        <v>227.03</v>
      </c>
      <c r="F990" s="2" t="n">
        <f aca="false">IFERROR(__xludf.dummyfunction("""COMPUTED_VALUE"""),44178069)</f>
        <v>44178069</v>
      </c>
    </row>
    <row r="991" customFormat="false" ht="15.75" hidden="false" customHeight="false" outlineLevel="0" collapsed="false">
      <c r="A991" s="3" t="n">
        <f aca="false">IFERROR(__xludf.dummyfunction("""COMPUTED_VALUE"""),45635.6666666667)</f>
        <v>45635.6666666667</v>
      </c>
      <c r="B991" s="2" t="n">
        <f aca="false">IFERROR(__xludf.dummyfunction("""COMPUTED_VALUE"""),227.21)</f>
        <v>227.21</v>
      </c>
      <c r="C991" s="2" t="n">
        <f aca="false">IFERROR(__xludf.dummyfunction("""COMPUTED_VALUE"""),230.08)</f>
        <v>230.08</v>
      </c>
      <c r="D991" s="2" t="n">
        <f aca="false">IFERROR(__xludf.dummyfunction("""COMPUTED_VALUE"""),225.67)</f>
        <v>225.67</v>
      </c>
      <c r="E991" s="2" t="n">
        <f aca="false">IFERROR(__xludf.dummyfunction("""COMPUTED_VALUE"""),226.09)</f>
        <v>226.09</v>
      </c>
      <c r="F991" s="2" t="n">
        <f aca="false">IFERROR(__xludf.dummyfunction("""COMPUTED_VALUE"""),46819363)</f>
        <v>46819363</v>
      </c>
    </row>
    <row r="992" customFormat="false" ht="15.75" hidden="false" customHeight="false" outlineLevel="0" collapsed="false">
      <c r="A992" s="3" t="n">
        <f aca="false">IFERROR(__xludf.dummyfunction("""COMPUTED_VALUE"""),45636.6666666667)</f>
        <v>45636.6666666667</v>
      </c>
      <c r="B992" s="2" t="n">
        <f aca="false">IFERROR(__xludf.dummyfunction("""COMPUTED_VALUE"""),226.09)</f>
        <v>226.09</v>
      </c>
      <c r="C992" s="2" t="n">
        <f aca="false">IFERROR(__xludf.dummyfunction("""COMPUTED_VALUE"""),229.06)</f>
        <v>229.06</v>
      </c>
      <c r="D992" s="2" t="n">
        <f aca="false">IFERROR(__xludf.dummyfunction("""COMPUTED_VALUE"""),224.2)</f>
        <v>224.2</v>
      </c>
      <c r="E992" s="2" t="n">
        <f aca="false">IFERROR(__xludf.dummyfunction("""COMPUTED_VALUE"""),225.04)</f>
        <v>225.04</v>
      </c>
      <c r="F992" s="2" t="n">
        <f aca="false">IFERROR(__xludf.dummyfunction("""COMPUTED_VALUE"""),404898)</f>
        <v>404898</v>
      </c>
    </row>
    <row r="993" customFormat="false" ht="15.75" hidden="false" customHeight="false" outlineLevel="0" collapsed="false">
      <c r="A993" s="3" t="n">
        <f aca="false">IFERROR(__xludf.dummyfunction("""COMPUTED_VALUE"""),45637.6666666667)</f>
        <v>45637.6666666667</v>
      </c>
      <c r="B993" s="2" t="n">
        <f aca="false">IFERROR(__xludf.dummyfunction("""COMPUTED_VALUE"""),226.41)</f>
        <v>226.41</v>
      </c>
      <c r="C993" s="2" t="n">
        <f aca="false">IFERROR(__xludf.dummyfunction("""COMPUTED_VALUE"""),231.2)</f>
        <v>231.2</v>
      </c>
      <c r="D993" s="2" t="n">
        <f aca="false">IFERROR(__xludf.dummyfunction("""COMPUTED_VALUE"""),226.26)</f>
        <v>226.26</v>
      </c>
      <c r="E993" s="2" t="n">
        <f aca="false">IFERROR(__xludf.dummyfunction("""COMPUTED_VALUE"""),230.26)</f>
        <v>230.26</v>
      </c>
      <c r="F993" s="2" t="n">
        <f aca="false">IFERROR(__xludf.dummyfunction("""COMPUTED_VALUE"""),35385785)</f>
        <v>35385785</v>
      </c>
    </row>
    <row r="994" customFormat="false" ht="15.75" hidden="false" customHeight="false" outlineLevel="0" collapsed="false">
      <c r="A994" s="3" t="n">
        <f aca="false">IFERROR(__xludf.dummyfunction("""COMPUTED_VALUE"""),45638.6666666667)</f>
        <v>45638.6666666667</v>
      </c>
      <c r="B994" s="2" t="n">
        <f aca="false">IFERROR(__xludf.dummyfunction("""COMPUTED_VALUE"""),229.83)</f>
        <v>229.83</v>
      </c>
      <c r="C994" s="2" t="n">
        <f aca="false">IFERROR(__xludf.dummyfunction("""COMPUTED_VALUE"""),231.09)</f>
        <v>231.09</v>
      </c>
      <c r="D994" s="2" t="n">
        <f aca="false">IFERROR(__xludf.dummyfunction("""COMPUTED_VALUE"""),227.63)</f>
        <v>227.63</v>
      </c>
      <c r="E994" s="2" t="n">
        <f aca="false">IFERROR(__xludf.dummyfunction("""COMPUTED_VALUE"""),228.97)</f>
        <v>228.97</v>
      </c>
      <c r="F994" s="2" t="n">
        <f aca="false">IFERROR(__xludf.dummyfunction("""COMPUTED_VALUE"""),28204084)</f>
        <v>28204084</v>
      </c>
    </row>
    <row r="995" customFormat="false" ht="15.75" hidden="false" customHeight="false" outlineLevel="0" collapsed="false">
      <c r="A995" s="3" t="n">
        <f aca="false">IFERROR(__xludf.dummyfunction("""COMPUTED_VALUE"""),45639.6666666667)</f>
        <v>45639.6666666667</v>
      </c>
      <c r="B995" s="2" t="n">
        <f aca="false">IFERROR(__xludf.dummyfunction("""COMPUTED_VALUE"""),228.4)</f>
        <v>228.4</v>
      </c>
      <c r="C995" s="2" t="n">
        <f aca="false">IFERROR(__xludf.dummyfunction("""COMPUTED_VALUE"""),230.2)</f>
        <v>230.2</v>
      </c>
      <c r="D995" s="2" t="n">
        <f aca="false">IFERROR(__xludf.dummyfunction("""COMPUTED_VALUE"""),225.86)</f>
        <v>225.86</v>
      </c>
      <c r="E995" s="2" t="n">
        <f aca="false">IFERROR(__xludf.dummyfunction("""COMPUTED_VALUE"""),227.46)</f>
        <v>227.46</v>
      </c>
      <c r="F995" s="2" t="n">
        <f aca="false">IFERROR(__xludf.dummyfunction("""COMPUTED_VALUE"""),28768080)</f>
        <v>28768080</v>
      </c>
    </row>
    <row r="996" customFormat="false" ht="15.75" hidden="false" customHeight="false" outlineLevel="0" collapsed="false">
      <c r="A996" s="3" t="n">
        <f aca="false">IFERROR(__xludf.dummyfunction("""COMPUTED_VALUE"""),45642.6666666667)</f>
        <v>45642.6666666667</v>
      </c>
      <c r="B996" s="2" t="n">
        <f aca="false">IFERROR(__xludf.dummyfunction("""COMPUTED_VALUE"""),230.23)</f>
        <v>230.23</v>
      </c>
      <c r="C996" s="2" t="n">
        <f aca="false">IFERROR(__xludf.dummyfunction("""COMPUTED_VALUE"""),233)</f>
        <v>233</v>
      </c>
      <c r="D996" s="2" t="n">
        <f aca="false">IFERROR(__xludf.dummyfunction("""COMPUTED_VALUE"""),228.01)</f>
        <v>228.01</v>
      </c>
      <c r="E996" s="2" t="n">
        <f aca="false">IFERROR(__xludf.dummyfunction("""COMPUTED_VALUE"""),232.93)</f>
        <v>232.93</v>
      </c>
      <c r="F996" s="2" t="n">
        <f aca="false">IFERROR(__xludf.dummyfunction("""COMPUTED_VALUE"""),37552096)</f>
        <v>37552096</v>
      </c>
    </row>
    <row r="997" customFormat="false" ht="15.75" hidden="false" customHeight="false" outlineLevel="0" collapsed="false">
      <c r="A997" s="3" t="n">
        <f aca="false">IFERROR(__xludf.dummyfunction("""COMPUTED_VALUE"""),45643.6666666667)</f>
        <v>45643.6666666667</v>
      </c>
      <c r="B997" s="2" t="n">
        <f aca="false">IFERROR(__xludf.dummyfunction("""COMPUTED_VALUE"""),232.39)</f>
        <v>232.39</v>
      </c>
      <c r="C997" s="2" t="n">
        <f aca="false">IFERROR(__xludf.dummyfunction("""COMPUTED_VALUE"""),232.73)</f>
        <v>232.73</v>
      </c>
      <c r="D997" s="2" t="n">
        <f aca="false">IFERROR(__xludf.dummyfunction("""COMPUTED_VALUE"""),227.85)</f>
        <v>227.85</v>
      </c>
      <c r="E997" s="2" t="n">
        <f aca="false">IFERROR(__xludf.dummyfunction("""COMPUTED_VALUE"""),231.15)</f>
        <v>231.15</v>
      </c>
      <c r="F997" s="2" t="n">
        <f aca="false">IFERROR(__xludf.dummyfunction("""COMPUTED_VALUE"""),35948131)</f>
        <v>35948131</v>
      </c>
    </row>
    <row r="998" customFormat="false" ht="15.75" hidden="false" customHeight="false" outlineLevel="0" collapsed="false">
      <c r="A998" s="3" t="n">
        <f aca="false">IFERROR(__xludf.dummyfunction("""COMPUTED_VALUE"""),45644.6666666667)</f>
        <v>45644.6666666667</v>
      </c>
      <c r="B998" s="2" t="n">
        <f aca="false">IFERROR(__xludf.dummyfunction("""COMPUTED_VALUE"""),230.77)</f>
        <v>230.77</v>
      </c>
      <c r="C998" s="2" t="n">
        <f aca="false">IFERROR(__xludf.dummyfunction("""COMPUTED_VALUE"""),231.4)</f>
        <v>231.4</v>
      </c>
      <c r="D998" s="2" t="n">
        <f aca="false">IFERROR(__xludf.dummyfunction("""COMPUTED_VALUE"""),220.11)</f>
        <v>220.11</v>
      </c>
      <c r="E998" s="2" t="n">
        <f aca="false">IFERROR(__xludf.dummyfunction("""COMPUTED_VALUE"""),220.52)</f>
        <v>220.52</v>
      </c>
      <c r="F998" s="2" t="n">
        <f aca="false">IFERROR(__xludf.dummyfunction("""COMPUTED_VALUE"""),43281443)</f>
        <v>43281443</v>
      </c>
    </row>
    <row r="999" customFormat="false" ht="15.75" hidden="false" customHeight="false" outlineLevel="0" collapsed="false">
      <c r="A999" s="3" t="n">
        <f aca="false">IFERROR(__xludf.dummyfunction("""COMPUTED_VALUE"""),45645.6666666667)</f>
        <v>45645.6666666667</v>
      </c>
      <c r="B999" s="2" t="n">
        <f aca="false">IFERROR(__xludf.dummyfunction("""COMPUTED_VALUE"""),224.91)</f>
        <v>224.91</v>
      </c>
      <c r="C999" s="2" t="n">
        <f aca="false">IFERROR(__xludf.dummyfunction("""COMPUTED_VALUE"""),226.09)</f>
        <v>226.09</v>
      </c>
      <c r="D999" s="2" t="n">
        <f aca="false">IFERROR(__xludf.dummyfunction("""COMPUTED_VALUE"""),222.92)</f>
        <v>222.92</v>
      </c>
      <c r="E999" s="2" t="n">
        <f aca="false">IFERROR(__xludf.dummyfunction("""COMPUTED_VALUE"""),223.29)</f>
        <v>223.29</v>
      </c>
      <c r="F999" s="2" t="n">
        <f aca="false">IFERROR(__xludf.dummyfunction("""COMPUTED_VALUE"""),39918739)</f>
        <v>39918739</v>
      </c>
    </row>
    <row r="1000" customFormat="false" ht="15.75" hidden="false" customHeight="false" outlineLevel="0" collapsed="false">
      <c r="A1000" s="3" t="n">
        <f aca="false">IFERROR(__xludf.dummyfunction("""COMPUTED_VALUE"""),45646.6666666667)</f>
        <v>45646.6666666667</v>
      </c>
      <c r="B1000" s="2" t="n">
        <f aca="false">IFERROR(__xludf.dummyfunction("""COMPUTED_VALUE"""),219.84)</f>
        <v>219.84</v>
      </c>
      <c r="C1000" s="2" t="n">
        <f aca="false">IFERROR(__xludf.dummyfunction("""COMPUTED_VALUE"""),226.21)</f>
        <v>226.21</v>
      </c>
      <c r="D1000" s="2" t="n">
        <f aca="false">IFERROR(__xludf.dummyfunction("""COMPUTED_VALUE"""),218.73)</f>
        <v>218.73</v>
      </c>
      <c r="E1000" s="2" t="n">
        <f aca="false">IFERROR(__xludf.dummyfunction("""COMPUTED_VALUE"""),224.92)</f>
        <v>224.92</v>
      </c>
      <c r="F1000" s="2" t="n">
        <f aca="false">IFERROR(__xludf.dummyfunction("""COMPUTED_VALUE"""),88279184)</f>
        <v>88279184</v>
      </c>
    </row>
    <row r="1001" customFormat="false" ht="15.75" hidden="false" customHeight="false" outlineLevel="0" collapsed="false">
      <c r="A1001" s="3" t="n">
        <f aca="false">IFERROR(__xludf.dummyfunction("""COMPUTED_VALUE"""),45649.6666666667)</f>
        <v>45649.6666666667</v>
      </c>
      <c r="B1001" s="2" t="n">
        <f aca="false">IFERROR(__xludf.dummyfunction("""COMPUTED_VALUE"""),225.01)</f>
        <v>225.01</v>
      </c>
      <c r="C1001" s="2" t="n">
        <f aca="false">IFERROR(__xludf.dummyfunction("""COMPUTED_VALUE"""),226.88)</f>
        <v>226.88</v>
      </c>
      <c r="D1001" s="2" t="n">
        <f aca="false">IFERROR(__xludf.dummyfunction("""COMPUTED_VALUE"""),223.9)</f>
        <v>223.9</v>
      </c>
      <c r="E1001" s="2" t="n">
        <f aca="false">IFERROR(__xludf.dummyfunction("""COMPUTED_VALUE"""),225.06)</f>
        <v>225.06</v>
      </c>
      <c r="F1001" s="2" t="n">
        <f aca="false">IFERROR(__xludf.dummyfunction("""COMPUTED_VALUE"""),28070007)</f>
        <v>28070007</v>
      </c>
    </row>
    <row r="1002" customFormat="false" ht="15.75" hidden="false" customHeight="false" outlineLevel="0" collapsed="false">
      <c r="A1002" s="3" t="n">
        <f aca="false">IFERROR(__xludf.dummyfunction("""COMPUTED_VALUE"""),45650.5451388889)</f>
        <v>45650.5451388889</v>
      </c>
      <c r="B1002" s="2" t="n">
        <f aca="false">IFERROR(__xludf.dummyfunction("""COMPUTED_VALUE"""),226.94)</f>
        <v>226.94</v>
      </c>
      <c r="C1002" s="2" t="n">
        <f aca="false">IFERROR(__xludf.dummyfunction("""COMPUTED_VALUE"""),229.14)</f>
        <v>229.14</v>
      </c>
      <c r="D1002" s="2" t="n">
        <f aca="false">IFERROR(__xludf.dummyfunction("""COMPUTED_VALUE"""),226.13)</f>
        <v>226.13</v>
      </c>
      <c r="E1002" s="2" t="n">
        <f aca="false">IFERROR(__xludf.dummyfunction("""COMPUTED_VALUE"""),229.05)</f>
        <v>229.05</v>
      </c>
      <c r="F1002" s="2" t="n">
        <f aca="false">IFERROR(__xludf.dummyfunction("""COMPUTED_VALUE"""),15007497)</f>
        <v>15007497</v>
      </c>
    </row>
    <row r="1003" customFormat="false" ht="15.75" hidden="false" customHeight="false" outlineLevel="0" collapsed="false">
      <c r="A1003" s="3" t="n">
        <f aca="false">IFERROR(__xludf.dummyfunction("""COMPUTED_VALUE"""),45652.6666666667)</f>
        <v>45652.6666666667</v>
      </c>
      <c r="B1003" s="2" t="n">
        <f aca="false">IFERROR(__xludf.dummyfunction("""COMPUTED_VALUE"""),228.5)</f>
        <v>228.5</v>
      </c>
      <c r="C1003" s="2" t="n">
        <f aca="false">IFERROR(__xludf.dummyfunction("""COMPUTED_VALUE"""),228.5)</f>
        <v>228.5</v>
      </c>
      <c r="D1003" s="2" t="n">
        <f aca="false">IFERROR(__xludf.dummyfunction("""COMPUTED_VALUE"""),226.67)</f>
        <v>226.67</v>
      </c>
      <c r="E1003" s="2" t="n">
        <f aca="false">IFERROR(__xludf.dummyfunction("""COMPUTED_VALUE"""),227.05)</f>
        <v>227.05</v>
      </c>
      <c r="F1003" s="2" t="n">
        <f aca="false">IFERROR(__xludf.dummyfunction("""COMPUTED_VALUE"""),16174500)</f>
        <v>16174500</v>
      </c>
    </row>
    <row r="1004" customFormat="false" ht="15.75" hidden="false" customHeight="false" outlineLevel="0" collapsed="false">
      <c r="A1004" s="3" t="n">
        <f aca="false">IFERROR(__xludf.dummyfunction("""COMPUTED_VALUE"""),45653.6666666667)</f>
        <v>45653.6666666667</v>
      </c>
      <c r="B1004" s="2" t="n">
        <f aca="false">IFERROR(__xludf.dummyfunction("""COMPUTED_VALUE"""),225.6)</f>
        <v>225.6</v>
      </c>
      <c r="C1004" s="2" t="n">
        <f aca="false">IFERROR(__xludf.dummyfunction("""COMPUTED_VALUE"""),226.03)</f>
        <v>226.03</v>
      </c>
      <c r="D1004" s="2" t="n">
        <f aca="false">IFERROR(__xludf.dummyfunction("""COMPUTED_VALUE"""),220.9)</f>
        <v>220.9</v>
      </c>
      <c r="E1004" s="2" t="n">
        <f aca="false">IFERROR(__xludf.dummyfunction("""COMPUTED_VALUE"""),223.75)</f>
        <v>223.75</v>
      </c>
      <c r="F1004" s="2" t="n">
        <f aca="false">IFERROR(__xludf.dummyfunction("""COMPUTED_VALUE"""),27367147)</f>
        <v>27367147</v>
      </c>
    </row>
    <row r="1005" customFormat="false" ht="15.75" hidden="false" customHeight="false" outlineLevel="0" collapsed="false">
      <c r="A1005" s="3" t="n">
        <f aca="false">IFERROR(__xludf.dummyfunction("""COMPUTED_VALUE"""),45656.6666666667)</f>
        <v>45656.6666666667</v>
      </c>
      <c r="B1005" s="2" t="n">
        <f aca="false">IFERROR(__xludf.dummyfunction("""COMPUTED_VALUE"""),220.06)</f>
        <v>220.06</v>
      </c>
      <c r="C1005" s="2" t="n">
        <f aca="false">IFERROR(__xludf.dummyfunction("""COMPUTED_VALUE"""),223)</f>
        <v>223</v>
      </c>
      <c r="D1005" s="2" t="n">
        <f aca="false">IFERROR(__xludf.dummyfunction("""COMPUTED_VALUE"""),218.43)</f>
        <v>218.43</v>
      </c>
      <c r="E1005" s="2" t="n">
        <f aca="false">IFERROR(__xludf.dummyfunction("""COMPUTED_VALUE"""),221.3)</f>
        <v>221.3</v>
      </c>
      <c r="F1005" s="2" t="n">
        <f aca="false">IFERROR(__xludf.dummyfunction("""COMPUTED_VALUE"""),28321240)</f>
        <v>28321240</v>
      </c>
    </row>
    <row r="1006" customFormat="false" ht="15.75" hidden="false" customHeight="false" outlineLevel="0" collapsed="false">
      <c r="A1006" s="3" t="n">
        <f aca="false">IFERROR(__xludf.dummyfunction("""COMPUTED_VALUE"""),45657.6666666667)</f>
        <v>45657.6666666667</v>
      </c>
      <c r="B1006" s="2" t="n">
        <f aca="false">IFERROR(__xludf.dummyfunction("""COMPUTED_VALUE"""),222.97)</f>
        <v>222.97</v>
      </c>
      <c r="C1006" s="2" t="n">
        <f aca="false">IFERROR(__xludf.dummyfunction("""COMPUTED_VALUE"""),223.23)</f>
        <v>223.23</v>
      </c>
      <c r="D1006" s="2" t="n">
        <f aca="false">IFERROR(__xludf.dummyfunction("""COMPUTED_VALUE"""),218.94)</f>
        <v>218.94</v>
      </c>
      <c r="E1006" s="2" t="n">
        <f aca="false">IFERROR(__xludf.dummyfunction("""COMPUTED_VALUE"""),219.39)</f>
        <v>219.39</v>
      </c>
      <c r="F1006" s="2" t="n">
        <f aca="false">IFERROR(__xludf.dummyfunction("""COMPUTED_VALUE"""),24819655)</f>
        <v>24819655</v>
      </c>
    </row>
    <row r="1007" customFormat="false" ht="15.75" hidden="false" customHeight="false" outlineLevel="0" collapsed="false">
      <c r="A1007" s="3" t="n">
        <f aca="false">IFERROR(__xludf.dummyfunction("""COMPUTED_VALUE"""),45659.6666666667)</f>
        <v>45659.6666666667</v>
      </c>
      <c r="B1007" s="2" t="n">
        <f aca="false">IFERROR(__xludf.dummyfunction("""COMPUTED_VALUE"""),222.03)</f>
        <v>222.03</v>
      </c>
      <c r="C1007" s="2" t="n">
        <f aca="false">IFERROR(__xludf.dummyfunction("""COMPUTED_VALUE"""),225.15)</f>
        <v>225.15</v>
      </c>
      <c r="D1007" s="2" t="n">
        <f aca="false">IFERROR(__xludf.dummyfunction("""COMPUTED_VALUE"""),218.19)</f>
        <v>218.19</v>
      </c>
      <c r="E1007" s="2" t="n">
        <f aca="false">IFERROR(__xludf.dummyfunction("""COMPUTED_VALUE"""),220.22)</f>
        <v>220.22</v>
      </c>
      <c r="F1007" s="2" t="n">
        <f aca="false">IFERROR(__xludf.dummyfunction("""COMPUTED_VALUE"""),33956579)</f>
        <v>33956579</v>
      </c>
    </row>
    <row r="1008" customFormat="false" ht="15.75" hidden="false" customHeight="false" outlineLevel="0" collapsed="false">
      <c r="A1008" s="3" t="n">
        <f aca="false">IFERROR(__xludf.dummyfunction("""COMPUTED_VALUE"""),45660.6666666667)</f>
        <v>45660.6666666667</v>
      </c>
      <c r="B1008" s="2" t="n">
        <f aca="false">IFERROR(__xludf.dummyfunction("""COMPUTED_VALUE"""),222.51)</f>
        <v>222.51</v>
      </c>
      <c r="C1008" s="2" t="n">
        <f aca="false">IFERROR(__xludf.dummyfunction("""COMPUTED_VALUE"""),225.36)</f>
        <v>225.36</v>
      </c>
      <c r="D1008" s="2" t="n">
        <f aca="false">IFERROR(__xludf.dummyfunction("""COMPUTED_VALUE"""),221.62)</f>
        <v>221.62</v>
      </c>
      <c r="E1008" s="2" t="n">
        <f aca="false">IFERROR(__xludf.dummyfunction("""COMPUTED_VALUE"""),224.19)</f>
        <v>224.19</v>
      </c>
      <c r="F1008" s="2" t="n">
        <f aca="false">IFERROR(__xludf.dummyfunction("""COMPUTED_VALUE"""),27515606)</f>
        <v>27515606</v>
      </c>
    </row>
    <row r="1009" customFormat="false" ht="15.75" hidden="false" customHeight="false" outlineLevel="0" collapsed="false">
      <c r="A1009" s="3" t="n">
        <f aca="false">IFERROR(__xludf.dummyfunction("""COMPUTED_VALUE"""),45663.6666666667)</f>
        <v>45663.6666666667</v>
      </c>
      <c r="B1009" s="2" t="n">
        <f aca="false">IFERROR(__xludf.dummyfunction("""COMPUTED_VALUE"""),226.78)</f>
        <v>226.78</v>
      </c>
      <c r="C1009" s="2" t="n">
        <f aca="false">IFERROR(__xludf.dummyfunction("""COMPUTED_VALUE"""),228.84)</f>
        <v>228.84</v>
      </c>
      <c r="D1009" s="2" t="n">
        <f aca="false">IFERROR(__xludf.dummyfunction("""COMPUTED_VALUE"""),224.84)</f>
        <v>224.84</v>
      </c>
      <c r="E1009" s="2" t="n">
        <f aca="false">IFERROR(__xludf.dummyfunction("""COMPUTED_VALUE"""),227.61)</f>
        <v>227.61</v>
      </c>
      <c r="F1009" s="2" t="n">
        <f aca="false">IFERROR(__xludf.dummyfunction("""COMPUTED_VALUE"""),31849831)</f>
        <v>31849831</v>
      </c>
    </row>
    <row r="1010" customFormat="false" ht="15.75" hidden="false" customHeight="false" outlineLevel="0" collapsed="false">
      <c r="A1010" s="3" t="n">
        <f aca="false">IFERROR(__xludf.dummyfunction("""COMPUTED_VALUE"""),45664.6666666667)</f>
        <v>45664.6666666667</v>
      </c>
      <c r="B1010" s="2" t="n">
        <f aca="false">IFERROR(__xludf.dummyfunction("""COMPUTED_VALUE"""),227.9)</f>
        <v>227.9</v>
      </c>
      <c r="C1010" s="2" t="n">
        <f aca="false">IFERROR(__xludf.dummyfunction("""COMPUTED_VALUE"""),228.38)</f>
        <v>228.38</v>
      </c>
      <c r="D1010" s="2" t="n">
        <f aca="false">IFERROR(__xludf.dummyfunction("""COMPUTED_VALUE"""),221.46)</f>
        <v>221.46</v>
      </c>
      <c r="E1010" s="2" t="n">
        <f aca="false">IFERROR(__xludf.dummyfunction("""COMPUTED_VALUE"""),222.11)</f>
        <v>222.11</v>
      </c>
      <c r="F1010" s="2" t="n">
        <f aca="false">IFERROR(__xludf.dummyfunction("""COMPUTED_VALUE"""),28084164)</f>
        <v>28084164</v>
      </c>
    </row>
    <row r="1011" customFormat="false" ht="15.75" hidden="false" customHeight="false" outlineLevel="0" collapsed="false">
      <c r="A1011" s="3" t="n">
        <f aca="false">IFERROR(__xludf.dummyfunction("""COMPUTED_VALUE"""),45665.6666666667)</f>
        <v>45665.6666666667</v>
      </c>
      <c r="B1011" s="2" t="n">
        <f aca="false">IFERROR(__xludf.dummyfunction("""COMPUTED_VALUE"""),223.19)</f>
        <v>223.19</v>
      </c>
      <c r="C1011" s="2" t="n">
        <f aca="false">IFERROR(__xludf.dummyfunction("""COMPUTED_VALUE"""),223.52)</f>
        <v>223.52</v>
      </c>
      <c r="D1011" s="2" t="n">
        <f aca="false">IFERROR(__xludf.dummyfunction("""COMPUTED_VALUE"""),220.2)</f>
        <v>220.2</v>
      </c>
      <c r="E1011" s="2" t="n">
        <f aca="false">IFERROR(__xludf.dummyfunction("""COMPUTED_VALUE"""),222.13)</f>
        <v>222.13</v>
      </c>
      <c r="F1011" s="2" t="n">
        <f aca="false">IFERROR(__xludf.dummyfunction("""COMPUTED_VALUE"""),25033292)</f>
        <v>25033292</v>
      </c>
    </row>
    <row r="1012" customFormat="false" ht="15.75" hidden="false" customHeight="false" outlineLevel="0" collapsed="false">
      <c r="A1012" s="3" t="n">
        <f aca="false">IFERROR(__xludf.dummyfunction("""COMPUTED_VALUE"""),45667.6666666667)</f>
        <v>45667.6666666667</v>
      </c>
      <c r="B1012" s="2" t="n">
        <f aca="false">IFERROR(__xludf.dummyfunction("""COMPUTED_VALUE"""),221.46)</f>
        <v>221.46</v>
      </c>
      <c r="C1012" s="2" t="n">
        <f aca="false">IFERROR(__xludf.dummyfunction("""COMPUTED_VALUE"""),221.71)</f>
        <v>221.71</v>
      </c>
      <c r="D1012" s="2" t="n">
        <f aca="false">IFERROR(__xludf.dummyfunction("""COMPUTED_VALUE"""),216.5)</f>
        <v>216.5</v>
      </c>
      <c r="E1012" s="2" t="n">
        <f aca="false">IFERROR(__xludf.dummyfunction("""COMPUTED_VALUE"""),218.94)</f>
        <v>218.94</v>
      </c>
      <c r="F1012" s="2" t="n">
        <f aca="false">IFERROR(__xludf.dummyfunction("""COMPUTED_VALUE"""),36811525)</f>
        <v>36811525</v>
      </c>
    </row>
    <row r="1013" customFormat="false" ht="15.75" hidden="false" customHeight="false" outlineLevel="0" collapsed="false">
      <c r="A1013" s="3" t="n">
        <f aca="false">IFERROR(__xludf.dummyfunction("""COMPUTED_VALUE"""),45670.6666666667)</f>
        <v>45670.6666666667</v>
      </c>
      <c r="B1013" s="2" t="n">
        <f aca="false">IFERROR(__xludf.dummyfunction("""COMPUTED_VALUE"""),218.06)</f>
        <v>218.06</v>
      </c>
      <c r="C1013" s="2" t="n">
        <f aca="false">IFERROR(__xludf.dummyfunction("""COMPUTED_VALUE"""),219.4)</f>
        <v>219.4</v>
      </c>
      <c r="D1013" s="2" t="n">
        <f aca="false">IFERROR(__xludf.dummyfunction("""COMPUTED_VALUE"""),216.47)</f>
        <v>216.47</v>
      </c>
      <c r="E1013" s="2" t="n">
        <f aca="false">IFERROR(__xludf.dummyfunction("""COMPUTED_VALUE"""),218.46)</f>
        <v>218.46</v>
      </c>
      <c r="F1013" s="2" t="n">
        <f aca="false">IFERROR(__xludf.dummyfunction("""COMPUTED_VALUE"""),27262655)</f>
        <v>27262655</v>
      </c>
    </row>
    <row r="1014" customFormat="false" ht="15.75" hidden="false" customHeight="false" outlineLevel="0" collapsed="false">
      <c r="A1014" s="3" t="n">
        <f aca="false">IFERROR(__xludf.dummyfunction("""COMPUTED_VALUE"""),45671.6666666667)</f>
        <v>45671.6666666667</v>
      </c>
      <c r="B1014" s="2" t="n">
        <f aca="false">IFERROR(__xludf.dummyfunction("""COMPUTED_VALUE"""),220.44)</f>
        <v>220.44</v>
      </c>
      <c r="C1014" s="2" t="n">
        <f aca="false">IFERROR(__xludf.dummyfunction("""COMPUTED_VALUE"""),221.82)</f>
        <v>221.82</v>
      </c>
      <c r="D1014" s="2" t="n">
        <f aca="false">IFERROR(__xludf.dummyfunction("""COMPUTED_VALUE"""),216.2)</f>
        <v>216.2</v>
      </c>
      <c r="E1014" s="2" t="n">
        <f aca="false">IFERROR(__xludf.dummyfunction("""COMPUTED_VALUE"""),217.76)</f>
        <v>217.76</v>
      </c>
      <c r="F1014" s="2" t="n">
        <f aca="false">IFERROR(__xludf.dummyfunction("""COMPUTED_VALUE"""),24711650)</f>
        <v>24711650</v>
      </c>
    </row>
    <row r="1015" customFormat="false" ht="15.75" hidden="false" customHeight="false" outlineLevel="0" collapsed="false">
      <c r="A1015" s="3" t="n">
        <f aca="false">IFERROR(__xludf.dummyfunction("""COMPUTED_VALUE"""),45672.6666666667)</f>
        <v>45672.6666666667</v>
      </c>
      <c r="B1015" s="2" t="n">
        <f aca="false">IFERROR(__xludf.dummyfunction("""COMPUTED_VALUE"""),222.83)</f>
        <v>222.83</v>
      </c>
      <c r="C1015" s="2" t="n">
        <f aca="false">IFERROR(__xludf.dummyfunction("""COMPUTED_VALUE"""),223.57)</f>
        <v>223.57</v>
      </c>
      <c r="D1015" s="2" t="n">
        <f aca="false">IFERROR(__xludf.dummyfunction("""COMPUTED_VALUE"""),220.75)</f>
        <v>220.75</v>
      </c>
      <c r="E1015" s="2" t="n">
        <f aca="false">IFERROR(__xludf.dummyfunction("""COMPUTED_VALUE"""),223.35)</f>
        <v>223.35</v>
      </c>
      <c r="F1015" s="2" t="n">
        <f aca="false">IFERROR(__xludf.dummyfunction("""COMPUTED_VALUE"""),31291257)</f>
        <v>31291257</v>
      </c>
    </row>
    <row r="1016" customFormat="false" ht="15.75" hidden="false" customHeight="false" outlineLevel="0" collapsed="false">
      <c r="A1016" s="3" t="n">
        <f aca="false">IFERROR(__xludf.dummyfunction("""COMPUTED_VALUE"""),45673.6666666667)</f>
        <v>45673.6666666667</v>
      </c>
      <c r="B1016" s="2" t="n">
        <f aca="false">IFERROR(__xludf.dummyfunction("""COMPUTED_VALUE"""),224.42)</f>
        <v>224.42</v>
      </c>
      <c r="C1016" s="2" t="n">
        <f aca="false">IFERROR(__xludf.dummyfunction("""COMPUTED_VALUE"""),224.65)</f>
        <v>224.65</v>
      </c>
      <c r="D1016" s="2" t="n">
        <f aca="false">IFERROR(__xludf.dummyfunction("""COMPUTED_VALUE"""),220.31)</f>
        <v>220.31</v>
      </c>
      <c r="E1016" s="2" t="n">
        <f aca="false">IFERROR(__xludf.dummyfunction("""COMPUTED_VALUE"""),220.66)</f>
        <v>220.66</v>
      </c>
      <c r="F1016" s="2" t="n">
        <f aca="false">IFERROR(__xludf.dummyfunction("""COMPUTED_VALUE"""),24757276)</f>
        <v>24757276</v>
      </c>
    </row>
    <row r="1017" customFormat="false" ht="15.75" hidden="false" customHeight="false" outlineLevel="0" collapsed="false">
      <c r="A1017" s="3" t="n">
        <f aca="false">IFERROR(__xludf.dummyfunction("""COMPUTED_VALUE"""),45674.6666666667)</f>
        <v>45674.6666666667</v>
      </c>
      <c r="B1017" s="2" t="n">
        <f aca="false">IFERROR(__xludf.dummyfunction("""COMPUTED_VALUE"""),225.84)</f>
        <v>225.84</v>
      </c>
      <c r="C1017" s="2" t="n">
        <f aca="false">IFERROR(__xludf.dummyfunction("""COMPUTED_VALUE"""),226.51)</f>
        <v>226.51</v>
      </c>
      <c r="D1017" s="2" t="n">
        <f aca="false">IFERROR(__xludf.dummyfunction("""COMPUTED_VALUE"""),223.08)</f>
        <v>223.08</v>
      </c>
      <c r="E1017" s="2" t="n">
        <f aca="false">IFERROR(__xludf.dummyfunction("""COMPUTED_VALUE"""),225.94)</f>
        <v>225.94</v>
      </c>
      <c r="F1017" s="2" t="n">
        <f aca="false">IFERROR(__xludf.dummyfunction("""COMPUTED_VALUE"""),42370123)</f>
        <v>42370123</v>
      </c>
    </row>
    <row r="1018" customFormat="false" ht="15.75" hidden="false" customHeight="false" outlineLevel="0" collapsed="false">
      <c r="A1018" s="3" t="n">
        <f aca="false">IFERROR(__xludf.dummyfunction("""COMPUTED_VALUE"""),45678.6666666667)</f>
        <v>45678.6666666667</v>
      </c>
      <c r="B1018" s="2" t="n">
        <f aca="false">IFERROR(__xludf.dummyfunction("""COMPUTED_VALUE"""),228.9)</f>
        <v>228.9</v>
      </c>
      <c r="C1018" s="2" t="n">
        <f aca="false">IFERROR(__xludf.dummyfunction("""COMPUTED_VALUE"""),231.78)</f>
        <v>231.78</v>
      </c>
      <c r="D1018" s="2" t="n">
        <f aca="false">IFERROR(__xludf.dummyfunction("""COMPUTED_VALUE"""),226.94)</f>
        <v>226.94</v>
      </c>
      <c r="E1018" s="2" t="n">
        <f aca="false">IFERROR(__xludf.dummyfunction("""COMPUTED_VALUE"""),230.71)</f>
        <v>230.71</v>
      </c>
      <c r="F1018" s="2" t="n">
        <f aca="false">IFERROR(__xludf.dummyfunction("""COMPUTED_VALUE"""),39951456)</f>
        <v>39951456</v>
      </c>
    </row>
    <row r="1019" customFormat="false" ht="15.75" hidden="false" customHeight="false" outlineLevel="0" collapsed="false">
      <c r="A1019" s="3" t="n">
        <f aca="false">IFERROR(__xludf.dummyfunction("""COMPUTED_VALUE"""),45679.6666666667)</f>
        <v>45679.6666666667</v>
      </c>
      <c r="B1019" s="2" t="n">
        <f aca="false">IFERROR(__xludf.dummyfunction("""COMPUTED_VALUE"""),232.02)</f>
        <v>232.02</v>
      </c>
      <c r="C1019" s="2" t="n">
        <f aca="false">IFERROR(__xludf.dummyfunction("""COMPUTED_VALUE"""),235.44)</f>
        <v>235.44</v>
      </c>
      <c r="D1019" s="2" t="n">
        <f aca="false">IFERROR(__xludf.dummyfunction("""COMPUTED_VALUE"""),231.19)</f>
        <v>231.19</v>
      </c>
      <c r="E1019" s="2" t="n">
        <f aca="false">IFERROR(__xludf.dummyfunction("""COMPUTED_VALUE"""),235.01)</f>
        <v>235.01</v>
      </c>
      <c r="F1019" s="2" t="n">
        <f aca="false">IFERROR(__xludf.dummyfunction("""COMPUTED_VALUE"""),41448217)</f>
        <v>41448217</v>
      </c>
    </row>
    <row r="1020" customFormat="false" ht="15.75" hidden="false" customHeight="false" outlineLevel="0" collapsed="false">
      <c r="A1020" s="3" t="n">
        <f aca="false">IFERROR(__xludf.dummyfunction("""COMPUTED_VALUE"""),45680.6666666667)</f>
        <v>45680.6666666667</v>
      </c>
      <c r="B1020" s="2" t="n">
        <f aca="false">IFERROR(__xludf.dummyfunction("""COMPUTED_VALUE"""),234.1)</f>
        <v>234.1</v>
      </c>
      <c r="C1020" s="2" t="n">
        <f aca="false">IFERROR(__xludf.dummyfunction("""COMPUTED_VALUE"""),235.52)</f>
        <v>235.52</v>
      </c>
      <c r="D1020" s="2" t="n">
        <f aca="false">IFERROR(__xludf.dummyfunction("""COMPUTED_VALUE"""),231.51)</f>
        <v>231.51</v>
      </c>
      <c r="E1020" s="2" t="n">
        <f aca="false">IFERROR(__xludf.dummyfunction("""COMPUTED_VALUE"""),235.42)</f>
        <v>235.42</v>
      </c>
      <c r="F1020" s="2" t="n">
        <f aca="false">IFERROR(__xludf.dummyfunction("""COMPUTED_VALUE"""),26404364)</f>
        <v>26404364</v>
      </c>
    </row>
    <row r="1021" customFormat="false" ht="15.75" hidden="false" customHeight="false" outlineLevel="0" collapsed="false">
      <c r="A1021" s="3" t="n">
        <f aca="false">IFERROR(__xludf.dummyfunction("""COMPUTED_VALUE"""),45681.6666666667)</f>
        <v>45681.6666666667</v>
      </c>
      <c r="B1021" s="2" t="n">
        <f aca="false">IFERROR(__xludf.dummyfunction("""COMPUTED_VALUE"""),234.5)</f>
        <v>234.5</v>
      </c>
      <c r="C1021" s="2" t="n">
        <f aca="false">IFERROR(__xludf.dummyfunction("""COMPUTED_VALUE"""),236.4)</f>
        <v>236.4</v>
      </c>
      <c r="D1021" s="2" t="n">
        <f aca="false">IFERROR(__xludf.dummyfunction("""COMPUTED_VALUE"""),232.93)</f>
        <v>232.93</v>
      </c>
      <c r="E1021" s="2" t="n">
        <f aca="false">IFERROR(__xludf.dummyfunction("""COMPUTED_VALUE"""),234.85)</f>
        <v>234.85</v>
      </c>
      <c r="F1021" s="2" t="n">
        <f aca="false">IFERROR(__xludf.dummyfunction("""COMPUTED_VALUE"""),25890738)</f>
        <v>25890738</v>
      </c>
    </row>
    <row r="1022" customFormat="false" ht="15.75" hidden="false" customHeight="false" outlineLevel="0" collapsed="false">
      <c r="A1022" s="3" t="n">
        <f aca="false">IFERROR(__xludf.dummyfunction("""COMPUTED_VALUE"""),45684.6666666667)</f>
        <v>45684.6666666667</v>
      </c>
      <c r="B1022" s="2" t="n">
        <f aca="false">IFERROR(__xludf.dummyfunction("""COMPUTED_VALUE"""),226.21)</f>
        <v>226.21</v>
      </c>
      <c r="C1022" s="2" t="n">
        <f aca="false">IFERROR(__xludf.dummyfunction("""COMPUTED_VALUE"""),235.61)</f>
        <v>235.61</v>
      </c>
      <c r="D1022" s="2" t="n">
        <f aca="false">IFERROR(__xludf.dummyfunction("""COMPUTED_VALUE"""),225.86)</f>
        <v>225.86</v>
      </c>
      <c r="E1022" s="2" t="n">
        <f aca="false">IFERROR(__xludf.dummyfunction("""COMPUTED_VALUE"""),235.42)</f>
        <v>235.42</v>
      </c>
      <c r="F1022" s="2" t="n">
        <f aca="false">IFERROR(__xludf.dummyfunction("""COMPUTED_VALUE"""),49428332)</f>
        <v>49428332</v>
      </c>
    </row>
    <row r="1023" customFormat="false" ht="15.75" hidden="false" customHeight="false" outlineLevel="0" collapsed="false">
      <c r="A1023" s="3" t="n">
        <f aca="false">IFERROR(__xludf.dummyfunction("""COMPUTED_VALUE"""),45685.6666666667)</f>
        <v>45685.6666666667</v>
      </c>
      <c r="B1023" s="2" t="n">
        <f aca="false">IFERROR(__xludf.dummyfunction("""COMPUTED_VALUE"""),234.29)</f>
        <v>234.29</v>
      </c>
      <c r="C1023" s="2" t="n">
        <f aca="false">IFERROR(__xludf.dummyfunction("""COMPUTED_VALUE"""),241.77)</f>
        <v>241.77</v>
      </c>
      <c r="D1023" s="2" t="n">
        <f aca="false">IFERROR(__xludf.dummyfunction("""COMPUTED_VALUE"""),233.98)</f>
        <v>233.98</v>
      </c>
      <c r="E1023" s="2" t="n">
        <f aca="false">IFERROR(__xludf.dummyfunction("""COMPUTED_VALUE"""),238.15)</f>
        <v>238.15</v>
      </c>
      <c r="F1023" s="2" t="n">
        <f aca="false">IFERROR(__xludf.dummyfunction("""COMPUTED_VALUE"""),41587188)</f>
        <v>41587188</v>
      </c>
    </row>
    <row r="1024" customFormat="false" ht="15.75" hidden="false" customHeight="false" outlineLevel="0" collapsed="false">
      <c r="A1024" s="3" t="n">
        <f aca="false">IFERROR(__xludf.dummyfunction("""COMPUTED_VALUE"""),45686.6666666667)</f>
        <v>45686.6666666667</v>
      </c>
      <c r="B1024" s="2" t="n">
        <f aca="false">IFERROR(__xludf.dummyfunction("""COMPUTED_VALUE"""),239.02)</f>
        <v>239.02</v>
      </c>
      <c r="C1024" s="2" t="n">
        <f aca="false">IFERROR(__xludf.dummyfunction("""COMPUTED_VALUE"""),240.39)</f>
        <v>240.39</v>
      </c>
      <c r="D1024" s="2" t="n">
        <f aca="false">IFERROR(__xludf.dummyfunction("""COMPUTED_VALUE"""),236.15)</f>
        <v>236.15</v>
      </c>
      <c r="E1024" s="2" t="n">
        <f aca="false">IFERROR(__xludf.dummyfunction("""COMPUTED_VALUE"""),237.07)</f>
        <v>237.07</v>
      </c>
      <c r="F1024" s="2" t="n">
        <f aca="false">IFERROR(__xludf.dummyfunction("""COMPUTED_VALUE"""),26091716)</f>
        <v>26091716</v>
      </c>
    </row>
    <row r="1025" customFormat="false" ht="15.75" hidden="false" customHeight="false" outlineLevel="0" collapsed="false">
      <c r="A1025" s="3" t="n">
        <f aca="false">IFERROR(__xludf.dummyfunction("""COMPUTED_VALUE"""),45687.6666666667)</f>
        <v>45687.6666666667</v>
      </c>
      <c r="B1025" s="2" t="n">
        <f aca="false">IFERROR(__xludf.dummyfunction("""COMPUTED_VALUE"""),237.14)</f>
        <v>237.14</v>
      </c>
      <c r="C1025" s="2" t="n">
        <f aca="false">IFERROR(__xludf.dummyfunction("""COMPUTED_VALUE"""),237.95)</f>
        <v>237.95</v>
      </c>
      <c r="D1025" s="2" t="n">
        <f aca="false">IFERROR(__xludf.dummyfunction("""COMPUTED_VALUE"""),232.22)</f>
        <v>232.22</v>
      </c>
      <c r="E1025" s="2" t="n">
        <f aca="false">IFERROR(__xludf.dummyfunction("""COMPUTED_VALUE"""),234.64)</f>
        <v>234.64</v>
      </c>
      <c r="F1025" s="2" t="n">
        <f aca="false">IFERROR(__xludf.dummyfunction("""COMPUTED_VALUE"""),32020728)</f>
        <v>32020728</v>
      </c>
    </row>
    <row r="1026" customFormat="false" ht="15.75" hidden="false" customHeight="false" outlineLevel="0" collapsed="false">
      <c r="A1026" s="3" t="n">
        <f aca="false">IFERROR(__xludf.dummyfunction("""COMPUTED_VALUE"""),45688.6666666667)</f>
        <v>45688.6666666667</v>
      </c>
      <c r="B1026" s="2" t="n">
        <f aca="false">IFERROR(__xludf.dummyfunction("""COMPUTED_VALUE"""),236.5)</f>
        <v>236.5</v>
      </c>
      <c r="C1026" s="2" t="n">
        <f aca="false">IFERROR(__xludf.dummyfunction("""COMPUTED_VALUE"""),240.29)</f>
        <v>240.29</v>
      </c>
      <c r="D1026" s="2" t="n">
        <f aca="false">IFERROR(__xludf.dummyfunction("""COMPUTED_VALUE"""),236.41)</f>
        <v>236.41</v>
      </c>
      <c r="E1026" s="2" t="n">
        <f aca="false">IFERROR(__xludf.dummyfunction("""COMPUTED_VALUE"""),237.68)</f>
        <v>237.68</v>
      </c>
      <c r="F1026" s="2" t="n">
        <f aca="false">IFERROR(__xludf.dummyfunction("""COMPUTED_VALUE"""),36162377)</f>
        <v>36162377</v>
      </c>
    </row>
    <row r="1027" customFormat="false" ht="15.75" hidden="false" customHeight="false" outlineLevel="0" collapsed="false">
      <c r="A1027" s="3" t="n">
        <f aca="false">IFERROR(__xludf.dummyfunction("""COMPUTED_VALUE"""),45691.6666666667)</f>
        <v>45691.6666666667</v>
      </c>
      <c r="B1027" s="2" t="n">
        <f aca="false">IFERROR(__xludf.dummyfunction("""COMPUTED_VALUE"""),234.06)</f>
        <v>234.06</v>
      </c>
      <c r="C1027" s="2" t="n">
        <f aca="false">IFERROR(__xludf.dummyfunction("""COMPUTED_VALUE"""),239.25)</f>
        <v>239.25</v>
      </c>
      <c r="D1027" s="2" t="n">
        <f aca="false">IFERROR(__xludf.dummyfunction("""COMPUTED_VALUE"""),232.9)</f>
        <v>232.9</v>
      </c>
      <c r="E1027" s="2" t="n">
        <f aca="false">IFERROR(__xludf.dummyfunction("""COMPUTED_VALUE"""),237.42)</f>
        <v>237.42</v>
      </c>
      <c r="F1027" s="2" t="n">
        <f aca="false">IFERROR(__xludf.dummyfunction("""COMPUTED_VALUE"""),37285868)</f>
        <v>37285868</v>
      </c>
    </row>
    <row r="1028" customFormat="false" ht="15.75" hidden="false" customHeight="false" outlineLevel="0" collapsed="false">
      <c r="A1028" s="3" t="n">
        <f aca="false">IFERROR(__xludf.dummyfunction("""COMPUTED_VALUE"""),45692.6666666667)</f>
        <v>45692.6666666667</v>
      </c>
      <c r="B1028" s="2" t="n">
        <f aca="false">IFERROR(__xludf.dummyfunction("""COMPUTED_VALUE"""),239.01)</f>
        <v>239.01</v>
      </c>
      <c r="C1028" s="2" t="n">
        <f aca="false">IFERROR(__xludf.dummyfunction("""COMPUTED_VALUE"""),242.52)</f>
        <v>242.52</v>
      </c>
      <c r="D1028" s="2" t="n">
        <f aca="false">IFERROR(__xludf.dummyfunction("""COMPUTED_VALUE"""),238.03)</f>
        <v>238.03</v>
      </c>
      <c r="E1028" s="2" t="n">
        <f aca="false">IFERROR(__xludf.dummyfunction("""COMPUTED_VALUE"""),242.06)</f>
        <v>242.06</v>
      </c>
      <c r="F1028" s="2" t="n">
        <f aca="false">IFERROR(__xludf.dummyfunction("""COMPUTED_VALUE"""),29713812)</f>
        <v>29713812</v>
      </c>
    </row>
    <row r="1029" customFormat="false" ht="15.75" hidden="false" customHeight="false" outlineLevel="0" collapsed="false">
      <c r="A1029" s="3" t="n">
        <f aca="false">IFERROR(__xludf.dummyfunction("""COMPUTED_VALUE"""),45693.6666666667)</f>
        <v>45693.6666666667</v>
      </c>
      <c r="B1029" s="2" t="n">
        <f aca="false">IFERROR(__xludf.dummyfunction("""COMPUTED_VALUE"""),237.02)</f>
        <v>237.02</v>
      </c>
      <c r="C1029" s="2" t="n">
        <f aca="false">IFERROR(__xludf.dummyfunction("""COMPUTED_VALUE"""),238.32)</f>
        <v>238.32</v>
      </c>
      <c r="D1029" s="2" t="n">
        <f aca="false">IFERROR(__xludf.dummyfunction("""COMPUTED_VALUE"""),235.2)</f>
        <v>235.2</v>
      </c>
      <c r="E1029" s="2" t="n">
        <f aca="false">IFERROR(__xludf.dummyfunction("""COMPUTED_VALUE"""),236.17)</f>
        <v>236.17</v>
      </c>
      <c r="F1029" s="2" t="n">
        <f aca="false">IFERROR(__xludf.dummyfunction("""COMPUTED_VALUE"""),38832042)</f>
        <v>38832042</v>
      </c>
    </row>
    <row r="1030" customFormat="false" ht="15.75" hidden="false" customHeight="false" outlineLevel="0" collapsed="false">
      <c r="A1030" s="3" t="n">
        <f aca="false">IFERROR(__xludf.dummyfunction("""COMPUTED_VALUE"""),45694.6666666667)</f>
        <v>45694.6666666667</v>
      </c>
      <c r="B1030" s="2" t="n">
        <f aca="false">IFERROR(__xludf.dummyfunction("""COMPUTED_VALUE"""),238.01)</f>
        <v>238.01</v>
      </c>
      <c r="C1030" s="2" t="n">
        <f aca="false">IFERROR(__xludf.dummyfunction("""COMPUTED_VALUE"""),239.66)</f>
        <v>239.66</v>
      </c>
      <c r="D1030" s="2" t="n">
        <f aca="false">IFERROR(__xludf.dummyfunction("""COMPUTED_VALUE"""),236.01)</f>
        <v>236.01</v>
      </c>
      <c r="E1030" s="2" t="n">
        <f aca="false">IFERROR(__xludf.dummyfunction("""COMPUTED_VALUE"""),238.83)</f>
        <v>238.83</v>
      </c>
      <c r="F1030" s="2" t="n">
        <f aca="false">IFERROR(__xludf.dummyfunction("""COMPUTED_VALUE"""),60897095)</f>
        <v>60897095</v>
      </c>
    </row>
    <row r="1031" customFormat="false" ht="15.75" hidden="false" customHeight="false" outlineLevel="0" collapsed="false">
      <c r="A1031" s="3" t="n">
        <f aca="false">IFERROR(__xludf.dummyfunction("""COMPUTED_VALUE"""),45695.6666666667)</f>
        <v>45695.6666666667</v>
      </c>
      <c r="B1031" s="2" t="n">
        <f aca="false">IFERROR(__xludf.dummyfunction("""COMPUTED_VALUE"""),232.5)</f>
        <v>232.5</v>
      </c>
      <c r="C1031" s="2" t="n">
        <f aca="false">IFERROR(__xludf.dummyfunction("""COMPUTED_VALUE"""),234.81)</f>
        <v>234.81</v>
      </c>
      <c r="D1031" s="2" t="n">
        <f aca="false">IFERROR(__xludf.dummyfunction("""COMPUTED_VALUE"""),228.06)</f>
        <v>228.06</v>
      </c>
      <c r="E1031" s="2" t="n">
        <f aca="false">IFERROR(__xludf.dummyfunction("""COMPUTED_VALUE"""),229.15)</f>
        <v>229.15</v>
      </c>
      <c r="F1031" s="2" t="n">
        <f aca="false">IFERROR(__xludf.dummyfunction("""COMPUTED_VALUE"""),77539276)</f>
        <v>77539276</v>
      </c>
    </row>
    <row r="1032" customFormat="false" ht="15.75" hidden="false" customHeight="false" outlineLevel="0" collapsed="false">
      <c r="A1032" s="3" t="n">
        <f aca="false">IFERROR(__xludf.dummyfunction("""COMPUTED_VALUE"""),45698.6666666667)</f>
        <v>45698.6666666667</v>
      </c>
      <c r="B1032" s="2" t="n">
        <f aca="false">IFERROR(__xludf.dummyfunction("""COMPUTED_VALUE"""),230.55)</f>
        <v>230.55</v>
      </c>
      <c r="C1032" s="2" t="n">
        <f aca="false">IFERROR(__xludf.dummyfunction("""COMPUTED_VALUE"""),233.92)</f>
        <v>233.92</v>
      </c>
      <c r="D1032" s="2" t="n">
        <f aca="false">IFERROR(__xludf.dummyfunction("""COMPUTED_VALUE"""),229.2)</f>
        <v>229.2</v>
      </c>
      <c r="E1032" s="2" t="n">
        <f aca="false">IFERROR(__xludf.dummyfunction("""COMPUTED_VALUE"""),233.14)</f>
        <v>233.14</v>
      </c>
      <c r="F1032" s="2" t="n">
        <f aca="false">IFERROR(__xludf.dummyfunction("""COMPUTED_VALUE"""),35419926)</f>
        <v>35419926</v>
      </c>
    </row>
    <row r="1033" customFormat="false" ht="15.75" hidden="false" customHeight="false" outlineLevel="0" collapsed="false">
      <c r="A1033" s="3" t="n">
        <f aca="false">IFERROR(__xludf.dummyfunction("""COMPUTED_VALUE"""),45699.6666666667)</f>
        <v>45699.6666666667</v>
      </c>
      <c r="B1033" s="2" t="n">
        <f aca="false">IFERROR(__xludf.dummyfunction("""COMPUTED_VALUE"""),231.92)</f>
        <v>231.92</v>
      </c>
      <c r="C1033" s="2" t="n">
        <f aca="false">IFERROR(__xludf.dummyfunction("""COMPUTED_VALUE"""),233.44)</f>
        <v>233.44</v>
      </c>
      <c r="D1033" s="2" t="n">
        <f aca="false">IFERROR(__xludf.dummyfunction("""COMPUTED_VALUE"""),230.13)</f>
        <v>230.13</v>
      </c>
      <c r="E1033" s="2" t="n">
        <f aca="false">IFERROR(__xludf.dummyfunction("""COMPUTED_VALUE"""),232.76)</f>
        <v>232.76</v>
      </c>
      <c r="F1033" s="2" t="n">
        <f aca="false">IFERROR(__xludf.dummyfunction("""COMPUTED_VALUE"""),23713726)</f>
        <v>23713726</v>
      </c>
    </row>
    <row r="1034" customFormat="false" ht="15.75" hidden="false" customHeight="false" outlineLevel="0" collapsed="false">
      <c r="A1034" s="3" t="n">
        <f aca="false">IFERROR(__xludf.dummyfunction("""COMPUTED_VALUE"""),45700.6666666667)</f>
        <v>45700.6666666667</v>
      </c>
      <c r="B1034" s="2" t="n">
        <f aca="false">IFERROR(__xludf.dummyfunction("""COMPUTED_VALUE"""),230.46)</f>
        <v>230.46</v>
      </c>
      <c r="C1034" s="2" t="n">
        <f aca="false">IFERROR(__xludf.dummyfunction("""COMPUTED_VALUE"""),231.18)</f>
        <v>231.18</v>
      </c>
      <c r="D1034" s="2" t="n">
        <f aca="false">IFERROR(__xludf.dummyfunction("""COMPUTED_VALUE"""),228.16)</f>
        <v>228.16</v>
      </c>
      <c r="E1034" s="2" t="n">
        <f aca="false">IFERROR(__xludf.dummyfunction("""COMPUTED_VALUE"""),228.93)</f>
        <v>228.93</v>
      </c>
      <c r="F1034" s="2" t="n">
        <f aca="false">IFERROR(__xludf.dummyfunction("""COMPUTED_VALUE"""),32285249)</f>
        <v>32285249</v>
      </c>
    </row>
    <row r="1035" customFormat="false" ht="15.75" hidden="false" customHeight="false" outlineLevel="0" collapsed="false">
      <c r="A1035" s="3" t="n">
        <f aca="false">IFERROR(__xludf.dummyfunction("""COMPUTED_VALUE"""),45701.6666666667)</f>
        <v>45701.6666666667</v>
      </c>
      <c r="B1035" s="2" t="n">
        <f aca="false">IFERROR(__xludf.dummyfunction("""COMPUTED_VALUE"""),228.85)</f>
        <v>228.85</v>
      </c>
      <c r="C1035" s="2" t="n">
        <f aca="false">IFERROR(__xludf.dummyfunction("""COMPUTED_VALUE"""),230.42)</f>
        <v>230.42</v>
      </c>
      <c r="D1035" s="2" t="n">
        <f aca="false">IFERROR(__xludf.dummyfunction("""COMPUTED_VALUE"""),227.52)</f>
        <v>227.52</v>
      </c>
      <c r="E1035" s="2" t="n">
        <f aca="false">IFERROR(__xludf.dummyfunction("""COMPUTED_VALUE"""),230.37)</f>
        <v>230.37</v>
      </c>
      <c r="F1035" s="2" t="n">
        <f aca="false">IFERROR(__xludf.dummyfunction("""COMPUTED_VALUE"""),31346512)</f>
        <v>31346512</v>
      </c>
    </row>
    <row r="1036" customFormat="false" ht="15.75" hidden="false" customHeight="false" outlineLevel="0" collapsed="false">
      <c r="A1036" s="3" t="n">
        <f aca="false">IFERROR(__xludf.dummyfunction("""COMPUTED_VALUE"""),45702.6666666667)</f>
        <v>45702.6666666667</v>
      </c>
      <c r="B1036" s="2" t="n">
        <f aca="false">IFERROR(__xludf.dummyfunction("""COMPUTED_VALUE"""),229.2)</f>
        <v>229.2</v>
      </c>
      <c r="C1036" s="2" t="n">
        <f aca="false">IFERROR(__xludf.dummyfunction("""COMPUTED_VALUE"""),229.89)</f>
        <v>229.89</v>
      </c>
      <c r="D1036" s="2" t="n">
        <f aca="false">IFERROR(__xludf.dummyfunction("""COMPUTED_VALUE"""),227.23)</f>
        <v>227.23</v>
      </c>
      <c r="E1036" s="2" t="n">
        <f aca="false">IFERROR(__xludf.dummyfunction("""COMPUTED_VALUE"""),228.68)</f>
        <v>228.68</v>
      </c>
      <c r="F1036" s="2" t="n">
        <f aca="false">IFERROR(__xludf.dummyfunction("""COMPUTED_VALUE"""),27031084)</f>
        <v>27031084</v>
      </c>
    </row>
    <row r="1037" customFormat="false" ht="15.75" hidden="false" customHeight="false" outlineLevel="0" collapsed="false">
      <c r="A1037" s="3" t="n">
        <f aca="false">IFERROR(__xludf.dummyfunction("""COMPUTED_VALUE"""),45706.6666666667)</f>
        <v>45706.6666666667</v>
      </c>
      <c r="B1037" s="2" t="n">
        <f aca="false">IFERROR(__xludf.dummyfunction("""COMPUTED_VALUE"""),228.82)</f>
        <v>228.82</v>
      </c>
      <c r="C1037" s="2" t="n">
        <f aca="false">IFERROR(__xludf.dummyfunction("""COMPUTED_VALUE"""),229.3)</f>
        <v>229.3</v>
      </c>
      <c r="D1037" s="2" t="n">
        <f aca="false">IFERROR(__xludf.dummyfunction("""COMPUTED_VALUE"""),223.72)</f>
        <v>223.72</v>
      </c>
      <c r="E1037" s="2" t="n">
        <f aca="false">IFERROR(__xludf.dummyfunction("""COMPUTED_VALUE"""),226.65)</f>
        <v>226.65</v>
      </c>
      <c r="F1037" s="2" t="n">
        <f aca="false">IFERROR(__xludf.dummyfunction("""COMPUTED_VALUE"""),42975133)</f>
        <v>42975133</v>
      </c>
    </row>
    <row r="1038" customFormat="false" ht="15.75" hidden="false" customHeight="false" outlineLevel="0" collapsed="false">
      <c r="A1038" s="3" t="n">
        <f aca="false">IFERROR(__xludf.dummyfunction("""COMPUTED_VALUE"""),45707.6666666667)</f>
        <v>45707.6666666667</v>
      </c>
      <c r="B1038" s="2" t="n">
        <f aca="false">IFERROR(__xludf.dummyfunction("""COMPUTED_VALUE"""),225.52)</f>
        <v>225.52</v>
      </c>
      <c r="C1038" s="2" t="n">
        <f aca="false">IFERROR(__xludf.dummyfunction("""COMPUTED_VALUE"""),226.83)</f>
        <v>226.83</v>
      </c>
      <c r="D1038" s="2" t="n">
        <f aca="false">IFERROR(__xludf.dummyfunction("""COMPUTED_VALUE"""),223.71)</f>
        <v>223.71</v>
      </c>
      <c r="E1038" s="2" t="n">
        <f aca="false">IFERROR(__xludf.dummyfunction("""COMPUTED_VALUE"""),226.63)</f>
        <v>226.63</v>
      </c>
      <c r="F1038" s="2" t="n">
        <f aca="false">IFERROR(__xludf.dummyfunction("""COMPUTED_VALUE"""),28566709)</f>
        <v>28566709</v>
      </c>
    </row>
    <row r="1039" customFormat="false" ht="15.75" hidden="false" customHeight="false" outlineLevel="0" collapsed="false">
      <c r="A1039" s="3" t="n">
        <f aca="false">IFERROR(__xludf.dummyfunction("""COMPUTED_VALUE"""),45708.6666666667)</f>
        <v>45708.6666666667</v>
      </c>
      <c r="B1039" s="2" t="n">
        <f aca="false">IFERROR(__xludf.dummyfunction("""COMPUTED_VALUE"""),224.78)</f>
        <v>224.78</v>
      </c>
      <c r="C1039" s="2" t="n">
        <f aca="false">IFERROR(__xludf.dummyfunction("""COMPUTED_VALUE"""),225.13)</f>
        <v>225.13</v>
      </c>
      <c r="D1039" s="2" t="n">
        <f aca="false">IFERROR(__xludf.dummyfunction("""COMPUTED_VALUE"""),221.81)</f>
        <v>221.81</v>
      </c>
      <c r="E1039" s="2" t="n">
        <f aca="false">IFERROR(__xludf.dummyfunction("""COMPUTED_VALUE"""),222.88)</f>
        <v>222.88</v>
      </c>
      <c r="F1039" s="2" t="n">
        <f aca="false">IFERROR(__xludf.dummyfunction("""COMPUTED_VALUE"""),30001665)</f>
        <v>30001665</v>
      </c>
    </row>
    <row r="1040" customFormat="false" ht="15.75" hidden="false" customHeight="false" outlineLevel="0" collapsed="false">
      <c r="A1040" s="3" t="n">
        <f aca="false">IFERROR(__xludf.dummyfunction("""COMPUTED_VALUE"""),45709.6666666667)</f>
        <v>45709.6666666667</v>
      </c>
      <c r="B1040" s="2" t="n">
        <f aca="false">IFERROR(__xludf.dummyfunction("""COMPUTED_VALUE"""),223.28)</f>
        <v>223.28</v>
      </c>
      <c r="C1040" s="2" t="n">
        <f aca="false">IFERROR(__xludf.dummyfunction("""COMPUTED_VALUE"""),223.31)</f>
        <v>223.31</v>
      </c>
      <c r="D1040" s="2" t="n">
        <f aca="false">IFERROR(__xludf.dummyfunction("""COMPUTED_VALUE"""),214.74)</f>
        <v>214.74</v>
      </c>
      <c r="E1040" s="2" t="n">
        <f aca="false">IFERROR(__xludf.dummyfunction("""COMPUTED_VALUE"""),216.58)</f>
        <v>216.58</v>
      </c>
      <c r="F1040" s="2" t="n">
        <f aca="false">IFERROR(__xludf.dummyfunction("""COMPUTED_VALUE"""),55323850)</f>
        <v>55323850</v>
      </c>
    </row>
    <row r="1041" customFormat="false" ht="15.75" hidden="false" customHeight="false" outlineLevel="0" collapsed="false">
      <c r="A1041" s="3" t="n">
        <f aca="false">IFERROR(__xludf.dummyfunction("""COMPUTED_VALUE"""),45712.6666666667)</f>
        <v>45712.6666666667</v>
      </c>
      <c r="B1041" s="2" t="n">
        <f aca="false">IFERROR(__xludf.dummyfunction("""COMPUTED_VALUE"""),217.45)</f>
        <v>217.45</v>
      </c>
      <c r="C1041" s="2" t="n">
        <f aca="false">IFERROR(__xludf.dummyfunction("""COMPUTED_VALUE"""),217.72)</f>
        <v>217.72</v>
      </c>
      <c r="D1041" s="2" t="n">
        <f aca="false">IFERROR(__xludf.dummyfunction("""COMPUTED_VALUE"""),212.42)</f>
        <v>212.42</v>
      </c>
      <c r="E1041" s="2" t="n">
        <f aca="false">IFERROR(__xludf.dummyfunction("""COMPUTED_VALUE"""),212.71)</f>
        <v>212.71</v>
      </c>
      <c r="F1041" s="2" t="n">
        <f aca="false">IFERROR(__xludf.dummyfunction("""COMPUTED_VALUE"""),42387585)</f>
        <v>42387585</v>
      </c>
    </row>
    <row r="1042" customFormat="false" ht="15.75" hidden="false" customHeight="false" outlineLevel="0" collapsed="false">
      <c r="A1042" s="3" t="n">
        <f aca="false">IFERROR(__xludf.dummyfunction("""COMPUTED_VALUE"""),45713.6666666667)</f>
        <v>45713.6666666667</v>
      </c>
      <c r="B1042" s="2" t="n">
        <f aca="false">IFERROR(__xludf.dummyfunction("""COMPUTED_VALUE"""),211.63)</f>
        <v>211.63</v>
      </c>
      <c r="C1042" s="2" t="n">
        <f aca="false">IFERROR(__xludf.dummyfunction("""COMPUTED_VALUE"""),213.34)</f>
        <v>213.34</v>
      </c>
      <c r="D1042" s="2" t="n">
        <f aca="false">IFERROR(__xludf.dummyfunction("""COMPUTED_VALUE"""),204.16)</f>
        <v>204.16</v>
      </c>
      <c r="E1042" s="2" t="n">
        <f aca="false">IFERROR(__xludf.dummyfunction("""COMPUTED_VALUE"""),212.8)</f>
        <v>212.8</v>
      </c>
      <c r="F1042" s="2" t="n">
        <f aca="false">IFERROR(__xludf.dummyfunction("""COMPUTED_VALUE"""),58957977)</f>
        <v>58957977</v>
      </c>
    </row>
    <row r="1043" customFormat="false" ht="15.75" hidden="false" customHeight="false" outlineLevel="0" collapsed="false">
      <c r="A1043" s="3" t="n">
        <f aca="false">IFERROR(__xludf.dummyfunction("""COMPUTED_VALUE"""),45714.6666666667)</f>
        <v>45714.6666666667</v>
      </c>
      <c r="B1043" s="2" t="n">
        <f aca="false">IFERROR(__xludf.dummyfunction("""COMPUTED_VALUE"""),214.94)</f>
        <v>214.94</v>
      </c>
      <c r="C1043" s="2" t="n">
        <f aca="false">IFERROR(__xludf.dummyfunction("""COMPUTED_VALUE"""),218.16)</f>
        <v>218.16</v>
      </c>
      <c r="D1043" s="2" t="n">
        <f aca="false">IFERROR(__xludf.dummyfunction("""COMPUTED_VALUE"""),213.09)</f>
        <v>213.09</v>
      </c>
      <c r="E1043" s="2" t="n">
        <f aca="false">IFERROR(__xludf.dummyfunction("""COMPUTED_VALUE"""),214.35)</f>
        <v>214.35</v>
      </c>
      <c r="F1043" s="2" t="n">
        <f aca="false">IFERROR(__xludf.dummyfunction("""COMPUTED_VALUE"""),39120603)</f>
        <v>39120603</v>
      </c>
    </row>
    <row r="1044" customFormat="false" ht="15.75" hidden="false" customHeight="false" outlineLevel="0" collapsed="false">
      <c r="A1044" s="3" t="n">
        <f aca="false">IFERROR(__xludf.dummyfunction("""COMPUTED_VALUE"""),45715.6666666667)</f>
        <v>45715.6666666667</v>
      </c>
      <c r="B1044" s="2" t="n">
        <f aca="false">IFERROR(__xludf.dummyfunction("""COMPUTED_VALUE"""),218.35)</f>
        <v>218.35</v>
      </c>
      <c r="C1044" s="2" t="n">
        <f aca="false">IFERROR(__xludf.dummyfunction("""COMPUTED_VALUE"""),219.97)</f>
        <v>219.97</v>
      </c>
      <c r="D1044" s="2" t="n">
        <f aca="false">IFERROR(__xludf.dummyfunction("""COMPUTED_VALUE"""),208.37)</f>
        <v>208.37</v>
      </c>
      <c r="E1044" s="2" t="n">
        <f aca="false">IFERROR(__xludf.dummyfunction("""COMPUTED_VALUE"""),208.74)</f>
        <v>208.74</v>
      </c>
      <c r="F1044" s="2" t="n">
        <f aca="false">IFERROR(__xludf.dummyfunction("""COMPUTED_VALUE"""),40548571)</f>
        <v>40548571</v>
      </c>
    </row>
    <row r="1045" customFormat="false" ht="15.75" hidden="false" customHeight="false" outlineLevel="0" collapsed="false">
      <c r="A1045" s="3" t="n">
        <f aca="false">IFERROR(__xludf.dummyfunction("""COMPUTED_VALUE"""),45716.6666666667)</f>
        <v>45716.6666666667</v>
      </c>
      <c r="B1045" s="2" t="n">
        <f aca="false">IFERROR(__xludf.dummyfunction("""COMPUTED_VALUE"""),208.65)</f>
        <v>208.65</v>
      </c>
      <c r="C1045" s="2" t="n">
        <f aca="false">IFERROR(__xludf.dummyfunction("""COMPUTED_VALUE"""),212.62)</f>
        <v>212.62</v>
      </c>
      <c r="D1045" s="2" t="n">
        <f aca="false">IFERROR(__xludf.dummyfunction("""COMPUTED_VALUE"""),206.99)</f>
        <v>206.99</v>
      </c>
      <c r="E1045" s="2" t="n">
        <f aca="false">IFERROR(__xludf.dummyfunction("""COMPUTED_VALUE"""),212.28)</f>
        <v>212.28</v>
      </c>
      <c r="F1045" s="2" t="n">
        <f aca="false">IFERROR(__xludf.dummyfunction("""COMPUTED_VALUE"""),51771737)</f>
        <v>51771737</v>
      </c>
    </row>
    <row r="1046" customFormat="false" ht="15.75" hidden="false" customHeight="false" outlineLevel="0" collapsed="false">
      <c r="A1046" s="3" t="n">
        <f aca="false">IFERROR(__xludf.dummyfunction("""COMPUTED_VALUE"""),45719.6666666667)</f>
        <v>45719.6666666667</v>
      </c>
      <c r="B1046" s="2" t="n">
        <f aca="false">IFERROR(__xludf.dummyfunction("""COMPUTED_VALUE"""),213.35)</f>
        <v>213.35</v>
      </c>
      <c r="C1046" s="2" t="n">
        <f aca="false">IFERROR(__xludf.dummyfunction("""COMPUTED_VALUE"""),214.01)</f>
        <v>214.01</v>
      </c>
      <c r="D1046" s="2" t="n">
        <f aca="false">IFERROR(__xludf.dummyfunction("""COMPUTED_VALUE"""),202.55)</f>
        <v>202.55</v>
      </c>
      <c r="E1046" s="2" t="n">
        <f aca="false">IFERROR(__xludf.dummyfunction("""COMPUTED_VALUE"""),205.02)</f>
        <v>205.02</v>
      </c>
      <c r="F1046" s="2" t="n">
        <f aca="false">IFERROR(__xludf.dummyfunction("""COMPUTED_VALUE"""),42948447)</f>
        <v>42948447</v>
      </c>
    </row>
    <row r="1047" customFormat="false" ht="15.75" hidden="false" customHeight="false" outlineLevel="0" collapsed="false">
      <c r="A1047" s="3" t="n">
        <f aca="false">IFERROR(__xludf.dummyfunction("""COMPUTED_VALUE"""),45720.6666666667)</f>
        <v>45720.6666666667</v>
      </c>
      <c r="B1047" s="2" t="n">
        <f aca="false">IFERROR(__xludf.dummyfunction("""COMPUTED_VALUE"""),200.11)</f>
        <v>200.11</v>
      </c>
      <c r="C1047" s="2" t="n">
        <f aca="false">IFERROR(__xludf.dummyfunction("""COMPUTED_VALUE"""),206.8)</f>
        <v>206.8</v>
      </c>
      <c r="D1047" s="2" t="n">
        <f aca="false">IFERROR(__xludf.dummyfunction("""COMPUTED_VALUE"""),197.43)</f>
        <v>197.43</v>
      </c>
      <c r="E1047" s="2" t="n">
        <f aca="false">IFERROR(__xludf.dummyfunction("""COMPUTED_VALUE"""),203.8)</f>
        <v>203.8</v>
      </c>
      <c r="F1047" s="2" t="n">
        <f aca="false">IFERROR(__xludf.dummyfunction("""COMPUTED_VALUE"""),60853084)</f>
        <v>60853084</v>
      </c>
    </row>
    <row r="1048" customFormat="false" ht="15.75" hidden="false" customHeight="false" outlineLevel="0" collapsed="false">
      <c r="A1048" s="3" t="n">
        <f aca="false">IFERROR(__xludf.dummyfunction("""COMPUTED_VALUE"""),45721.6666666667)</f>
        <v>45721.6666666667</v>
      </c>
      <c r="B1048" s="2" t="n">
        <f aca="false">IFERROR(__xludf.dummyfunction("""COMPUTED_VALUE"""),204.8)</f>
        <v>204.8</v>
      </c>
      <c r="C1048" s="2" t="n">
        <f aca="false">IFERROR(__xludf.dummyfunction("""COMPUTED_VALUE"""),209.98)</f>
        <v>209.98</v>
      </c>
      <c r="D1048" s="2" t="n">
        <f aca="false">IFERROR(__xludf.dummyfunction("""COMPUTED_VALUE"""),203.26)</f>
        <v>203.26</v>
      </c>
      <c r="E1048" s="2" t="n">
        <f aca="false">IFERROR(__xludf.dummyfunction("""COMPUTED_VALUE"""),208.36)</f>
        <v>208.36</v>
      </c>
      <c r="F1048" s="2" t="n">
        <f aca="false">IFERROR(__xludf.dummyfunction("""COMPUTED_VALUE"""),38610085)</f>
        <v>38610085</v>
      </c>
    </row>
    <row r="1049" customFormat="false" ht="15.75" hidden="false" customHeight="false" outlineLevel="0" collapsed="false">
      <c r="A1049" s="3" t="n">
        <f aca="false">IFERROR(__xludf.dummyfunction("""COMPUTED_VALUE"""),45722.6666666667)</f>
        <v>45722.6666666667</v>
      </c>
      <c r="B1049" s="2" t="n">
        <f aca="false">IFERROR(__xludf.dummyfunction("""COMPUTED_VALUE"""),204.4)</f>
        <v>204.4</v>
      </c>
      <c r="C1049" s="2" t="n">
        <f aca="false">IFERROR(__xludf.dummyfunction("""COMPUTED_VALUE"""),205.77)</f>
        <v>205.77</v>
      </c>
      <c r="D1049" s="2" t="n">
        <f aca="false">IFERROR(__xludf.dummyfunction("""COMPUTED_VALUE"""),198.3)</f>
        <v>198.3</v>
      </c>
      <c r="E1049" s="2" t="n">
        <f aca="false">IFERROR(__xludf.dummyfunction("""COMPUTED_VALUE"""),200.7)</f>
        <v>200.7</v>
      </c>
      <c r="F1049" s="2" t="n">
        <f aca="false">IFERROR(__xludf.dummyfunction("""COMPUTED_VALUE"""),49863755)</f>
        <v>49863755</v>
      </c>
    </row>
    <row r="1050" customFormat="false" ht="15.75" hidden="false" customHeight="false" outlineLevel="0" collapsed="false">
      <c r="A1050" s="3" t="n">
        <f aca="false">IFERROR(__xludf.dummyfunction("""COMPUTED_VALUE"""),45723.6666666667)</f>
        <v>45723.6666666667</v>
      </c>
      <c r="B1050" s="2" t="n">
        <f aca="false">IFERROR(__xludf.dummyfunction("""COMPUTED_VALUE"""),199.49)</f>
        <v>199.49</v>
      </c>
      <c r="C1050" s="2" t="n">
        <f aca="false">IFERROR(__xludf.dummyfunction("""COMPUTED_VALUE"""),202.27)</f>
        <v>202.27</v>
      </c>
      <c r="D1050" s="2" t="n">
        <f aca="false">IFERROR(__xludf.dummyfunction("""COMPUTED_VALUE"""),192.53)</f>
        <v>192.53</v>
      </c>
      <c r="E1050" s="2" t="n">
        <f aca="false">IFERROR(__xludf.dummyfunction("""COMPUTED_VALUE"""),199.25)</f>
        <v>199.25</v>
      </c>
      <c r="F1050" s="2" t="n">
        <f aca="false">IFERROR(__xludf.dummyfunction("""COMPUTED_VALUE"""),59802821)</f>
        <v>59802821</v>
      </c>
    </row>
    <row r="1051" customFormat="false" ht="15.75" hidden="false" customHeight="false" outlineLevel="0" collapsed="false">
      <c r="A1051" s="3" t="n">
        <f aca="false">IFERROR(__xludf.dummyfunction("""COMPUTED_VALUE"""),45726.6666666667)</f>
        <v>45726.6666666667</v>
      </c>
      <c r="B1051" s="2" t="n">
        <f aca="false">IFERROR(__xludf.dummyfunction("""COMPUTED_VALUE"""),195.6)</f>
        <v>195.6</v>
      </c>
      <c r="C1051" s="2" t="n">
        <f aca="false">IFERROR(__xludf.dummyfunction("""COMPUTED_VALUE"""),196.73)</f>
        <v>196.73</v>
      </c>
      <c r="D1051" s="2" t="n">
        <f aca="false">IFERROR(__xludf.dummyfunction("""COMPUTED_VALUE"""),190.85)</f>
        <v>190.85</v>
      </c>
      <c r="E1051" s="2" t="n">
        <f aca="false">IFERROR(__xludf.dummyfunction("""COMPUTED_VALUE"""),194.54)</f>
        <v>194.54</v>
      </c>
      <c r="F1051" s="2" t="n">
        <f aca="false">IFERROR(__xludf.dummyfunction("""COMPUTED_VALUE"""),62350926)</f>
        <v>62350926</v>
      </c>
    </row>
    <row r="1052" customFormat="false" ht="15.75" hidden="false" customHeight="false" outlineLevel="0" collapsed="false">
      <c r="A1052" s="3" t="n">
        <f aca="false">IFERROR(__xludf.dummyfunction("""COMPUTED_VALUE"""),45727.6666666667)</f>
        <v>45727.6666666667</v>
      </c>
      <c r="B1052" s="2" t="n">
        <f aca="false">IFERROR(__xludf.dummyfunction("""COMPUTED_VALUE"""),193.9)</f>
        <v>193.9</v>
      </c>
      <c r="C1052" s="2" t="n">
        <f aca="false">IFERROR(__xludf.dummyfunction("""COMPUTED_VALUE"""),200.18)</f>
        <v>200.18</v>
      </c>
      <c r="D1052" s="2" t="n">
        <f aca="false">IFERROR(__xludf.dummyfunction("""COMPUTED_VALUE"""),193.4)</f>
        <v>193.4</v>
      </c>
      <c r="E1052" s="2" t="n">
        <f aca="false">IFERROR(__xludf.dummyfunction("""COMPUTED_VALUE"""),196.59)</f>
        <v>196.59</v>
      </c>
      <c r="F1052" s="2" t="n">
        <f aca="false">IFERROR(__xludf.dummyfunction("""COMPUTED_VALUE"""),54002880)</f>
        <v>54002880</v>
      </c>
    </row>
    <row r="1053" customFormat="false" ht="15.75" hidden="false" customHeight="false" outlineLevel="0" collapsed="false">
      <c r="A1053" s="3" t="n">
        <f aca="false">IFERROR(__xludf.dummyfunction("""COMPUTED_VALUE"""),45728.6666666667)</f>
        <v>45728.6666666667</v>
      </c>
      <c r="B1053" s="2" t="n">
        <f aca="false">IFERROR(__xludf.dummyfunction("""COMPUTED_VALUE"""),200.72)</f>
        <v>200.72</v>
      </c>
      <c r="C1053" s="2" t="n">
        <f aca="false">IFERROR(__xludf.dummyfunction("""COMPUTED_VALUE"""),201.52)</f>
        <v>201.52</v>
      </c>
      <c r="D1053" s="2" t="n">
        <f aca="false">IFERROR(__xludf.dummyfunction("""COMPUTED_VALUE"""),195.29)</f>
        <v>195.29</v>
      </c>
      <c r="E1053" s="2" t="n">
        <f aca="false">IFERROR(__xludf.dummyfunction("""COMPUTED_VALUE"""),198.89)</f>
        <v>198.89</v>
      </c>
      <c r="F1053" s="2" t="n">
        <f aca="false">IFERROR(__xludf.dummyfunction("""COMPUTED_VALUE"""),43679284)</f>
        <v>43679284</v>
      </c>
    </row>
    <row r="1054" customFormat="false" ht="15.75" hidden="false" customHeight="false" outlineLevel="0" collapsed="false">
      <c r="A1054" s="3" t="n">
        <f aca="false">IFERROR(__xludf.dummyfunction("""COMPUTED_VALUE"""),45729.6666666667)</f>
        <v>45729.6666666667</v>
      </c>
      <c r="B1054" s="2" t="n">
        <f aca="false">IFERROR(__xludf.dummyfunction("""COMPUTED_VALUE"""),198.17)</f>
        <v>198.17</v>
      </c>
      <c r="C1054" s="2" t="n">
        <f aca="false">IFERROR(__xludf.dummyfunction("""COMPUTED_VALUE"""),198.88)</f>
        <v>198.88</v>
      </c>
      <c r="D1054" s="2" t="n">
        <f aca="false">IFERROR(__xludf.dummyfunction("""COMPUTED_VALUE"""),191.82)</f>
        <v>191.82</v>
      </c>
      <c r="E1054" s="2" t="n">
        <f aca="false">IFERROR(__xludf.dummyfunction("""COMPUTED_VALUE"""),193.89)</f>
        <v>193.89</v>
      </c>
      <c r="F1054" s="2" t="n">
        <f aca="false">IFERROR(__xludf.dummyfunction("""COMPUTED_VALUE"""),41270761)</f>
        <v>41270761</v>
      </c>
    </row>
    <row r="1055" customFormat="false" ht="15.75" hidden="false" customHeight="false" outlineLevel="0" collapsed="false">
      <c r="A1055" s="3" t="n">
        <f aca="false">IFERROR(__xludf.dummyfunction("""COMPUTED_VALUE"""),45730.6666666667)</f>
        <v>45730.6666666667</v>
      </c>
      <c r="B1055" s="2" t="n">
        <f aca="false">IFERROR(__xludf.dummyfunction("""COMPUTED_VALUE"""),197.41)</f>
        <v>197.41</v>
      </c>
      <c r="C1055" s="2" t="n">
        <f aca="false">IFERROR(__xludf.dummyfunction("""COMPUTED_VALUE"""),198.65)</f>
        <v>198.65</v>
      </c>
      <c r="D1055" s="2" t="n">
        <f aca="false">IFERROR(__xludf.dummyfunction("""COMPUTED_VALUE"""),195.32)</f>
        <v>195.32</v>
      </c>
      <c r="E1055" s="2" t="n">
        <f aca="false">IFERROR(__xludf.dummyfunction("""COMPUTED_VALUE"""),197.95)</f>
        <v>197.95</v>
      </c>
      <c r="F1055" s="2" t="n">
        <f aca="false">IFERROR(__xludf.dummyfunction("""COMPUTED_VALUE"""),38096663)</f>
        <v>38096663</v>
      </c>
    </row>
    <row r="1056" customFormat="false" ht="15.75" hidden="false" customHeight="false" outlineLevel="0" collapsed="false">
      <c r="A1056" s="3" t="n">
        <f aca="false">IFERROR(__xludf.dummyfunction("""COMPUTED_VALUE"""),45733.6666666667)</f>
        <v>45733.6666666667</v>
      </c>
      <c r="B1056" s="2" t="n">
        <f aca="false">IFERROR(__xludf.dummyfunction("""COMPUTED_VALUE"""),198.77)</f>
        <v>198.77</v>
      </c>
      <c r="C1056" s="2" t="n">
        <f aca="false">IFERROR(__xludf.dummyfunction("""COMPUTED_VALUE"""),199)</f>
        <v>199</v>
      </c>
      <c r="D1056" s="2" t="n">
        <f aca="false">IFERROR(__xludf.dummyfunction("""COMPUTED_VALUE"""),194.32)</f>
        <v>194.32</v>
      </c>
      <c r="E1056" s="2" t="n">
        <f aca="false">IFERROR(__xludf.dummyfunction("""COMPUTED_VALUE"""),195.74)</f>
        <v>195.74</v>
      </c>
      <c r="F1056" s="2" t="n">
        <f aca="false">IFERROR(__xludf.dummyfunction("""COMPUTED_VALUE"""),47341752)</f>
        <v>47341752</v>
      </c>
    </row>
    <row r="1057" customFormat="false" ht="15.75" hidden="false" customHeight="false" outlineLevel="0" collapsed="false">
      <c r="A1057" s="3" t="n">
        <f aca="false">IFERROR(__xludf.dummyfunction("""COMPUTED_VALUE"""),45734.6666666667)</f>
        <v>45734.6666666667</v>
      </c>
      <c r="B1057" s="2" t="n">
        <f aca="false">IFERROR(__xludf.dummyfunction("""COMPUTED_VALUE"""),192.52)</f>
        <v>192.52</v>
      </c>
      <c r="C1057" s="2" t="n">
        <f aca="false">IFERROR(__xludf.dummyfunction("""COMPUTED_VALUE"""),194)</f>
        <v>194</v>
      </c>
      <c r="D1057" s="2" t="n">
        <f aca="false">IFERROR(__xludf.dummyfunction("""COMPUTED_VALUE"""),189.38)</f>
        <v>189.38</v>
      </c>
      <c r="E1057" s="2" t="n">
        <f aca="false">IFERROR(__xludf.dummyfunction("""COMPUTED_VALUE"""),192.82)</f>
        <v>192.82</v>
      </c>
      <c r="F1057" s="2" t="n">
        <f aca="false">IFERROR(__xludf.dummyfunction("""COMPUTED_VALUE"""),40414867)</f>
        <v>40414867</v>
      </c>
    </row>
    <row r="1058" customFormat="false" ht="15.75" hidden="false" customHeight="false" outlineLevel="0" collapsed="false">
      <c r="A1058" s="3" t="n">
        <f aca="false">IFERROR(__xludf.dummyfunction("""COMPUTED_VALUE"""),45735.6666666667)</f>
        <v>45735.6666666667</v>
      </c>
      <c r="B1058" s="2" t="n">
        <f aca="false">IFERROR(__xludf.dummyfunction("""COMPUTED_VALUE"""),193.38)</f>
        <v>193.38</v>
      </c>
      <c r="C1058" s="2" t="n">
        <f aca="false">IFERROR(__xludf.dummyfunction("""COMPUTED_VALUE"""),195.97)</f>
        <v>195.97</v>
      </c>
      <c r="D1058" s="2" t="n">
        <f aca="false">IFERROR(__xludf.dummyfunction("""COMPUTED_VALUE"""),191.96)</f>
        <v>191.96</v>
      </c>
      <c r="E1058" s="2" t="n">
        <f aca="false">IFERROR(__xludf.dummyfunction("""COMPUTED_VALUE"""),195.54)</f>
        <v>195.54</v>
      </c>
      <c r="F1058" s="2" t="n">
        <f aca="false">IFERROR(__xludf.dummyfunction("""COMPUTED_VALUE"""),39442878)</f>
        <v>39442878</v>
      </c>
    </row>
    <row r="1059" customFormat="false" ht="15.75" hidden="false" customHeight="false" outlineLevel="0" collapsed="false">
      <c r="A1059" s="3" t="n">
        <f aca="false">IFERROR(__xludf.dummyfunction("""COMPUTED_VALUE"""),45736.6666666667)</f>
        <v>45736.6666666667</v>
      </c>
      <c r="B1059" s="2" t="n">
        <f aca="false">IFERROR(__xludf.dummyfunction("""COMPUTED_VALUE"""),193.07)</f>
        <v>193.07</v>
      </c>
      <c r="C1059" s="2" t="n">
        <f aca="false">IFERROR(__xludf.dummyfunction("""COMPUTED_VALUE"""),199.32)</f>
        <v>199.32</v>
      </c>
      <c r="D1059" s="2" t="n">
        <f aca="false">IFERROR(__xludf.dummyfunction("""COMPUTED_VALUE"""),192.3)</f>
        <v>192.3</v>
      </c>
      <c r="E1059" s="2" t="n">
        <f aca="false">IFERROR(__xludf.dummyfunction("""COMPUTED_VALUE"""),194.95)</f>
        <v>194.95</v>
      </c>
      <c r="F1059" s="2" t="n">
        <f aca="false">IFERROR(__xludf.dummyfunction("""COMPUTED_VALUE"""),38921113)</f>
        <v>38921113</v>
      </c>
    </row>
    <row r="1060" customFormat="false" ht="15.75" hidden="false" customHeight="false" outlineLevel="0" collapsed="false">
      <c r="A1060" s="3" t="n">
        <f aca="false">IFERROR(__xludf.dummyfunction("""COMPUTED_VALUE"""),45737.6666666667)</f>
        <v>45737.6666666667</v>
      </c>
      <c r="B1060" s="2" t="n">
        <f aca="false">IFERROR(__xludf.dummyfunction("""COMPUTED_VALUE"""),192.9)</f>
        <v>192.9</v>
      </c>
      <c r="C1060" s="2" t="n">
        <f aca="false">IFERROR(__xludf.dummyfunction("""COMPUTED_VALUE"""),196.99)</f>
        <v>196.99</v>
      </c>
      <c r="D1060" s="2" t="n">
        <f aca="false">IFERROR(__xludf.dummyfunction("""COMPUTED_VALUE"""),192.52)</f>
        <v>192.52</v>
      </c>
      <c r="E1060" s="2" t="n">
        <f aca="false">IFERROR(__xludf.dummyfunction("""COMPUTED_VALUE"""),196.21)</f>
        <v>196.21</v>
      </c>
      <c r="F1060" s="2" t="n">
        <f aca="false">IFERROR(__xludf.dummyfunction("""COMPUTED_VALUE"""),60056917)</f>
        <v>60056917</v>
      </c>
    </row>
    <row r="1061" customFormat="false" ht="15.75" hidden="false" customHeight="false" outlineLevel="0" collapsed="false">
      <c r="A1061" s="3" t="n">
        <f aca="false">IFERROR(__xludf.dummyfunction("""COMPUTED_VALUE"""),45740.6666666667)</f>
        <v>45740.6666666667</v>
      </c>
      <c r="B1061" s="2" t="n">
        <f aca="false">IFERROR(__xludf.dummyfunction("""COMPUTED_VALUE"""),200)</f>
        <v>200</v>
      </c>
      <c r="C1061" s="2" t="n">
        <f aca="false">IFERROR(__xludf.dummyfunction("""COMPUTED_VALUE"""),203.64)</f>
        <v>203.64</v>
      </c>
      <c r="D1061" s="2" t="n">
        <f aca="false">IFERROR(__xludf.dummyfunction("""COMPUTED_VALUE"""),199.95)</f>
        <v>199.95</v>
      </c>
      <c r="E1061" s="2" t="n">
        <f aca="false">IFERROR(__xludf.dummyfunction("""COMPUTED_VALUE"""),203.26)</f>
        <v>203.26</v>
      </c>
      <c r="F1061" s="2" t="n">
        <f aca="false">IFERROR(__xludf.dummyfunction("""COMPUTED_VALUE"""),41625365)</f>
        <v>41625365</v>
      </c>
    </row>
    <row r="1062" customFormat="false" ht="15.75" hidden="false" customHeight="false" outlineLevel="0" collapsed="false">
      <c r="A1062" s="3" t="n">
        <f aca="false">IFERROR(__xludf.dummyfunction("""COMPUTED_VALUE"""),45741.6666666667)</f>
        <v>45741.6666666667</v>
      </c>
      <c r="B1062" s="2" t="n">
        <f aca="false">IFERROR(__xludf.dummyfunction("""COMPUTED_VALUE"""),203.6)</f>
        <v>203.6</v>
      </c>
      <c r="C1062" s="2" t="n">
        <f aca="false">IFERROR(__xludf.dummyfunction("""COMPUTED_VALUE"""),206.21)</f>
        <v>206.21</v>
      </c>
      <c r="D1062" s="2" t="n">
        <f aca="false">IFERROR(__xludf.dummyfunction("""COMPUTED_VALUE"""),203.22)</f>
        <v>203.22</v>
      </c>
      <c r="E1062" s="2" t="n">
        <f aca="false">IFERROR(__xludf.dummyfunction("""COMPUTED_VALUE"""),205.71)</f>
        <v>205.71</v>
      </c>
      <c r="F1062" s="2" t="n">
        <f aca="false">IFERROR(__xludf.dummyfunction("""COMPUTED_VALUE"""),31171161)</f>
        <v>31171161</v>
      </c>
    </row>
    <row r="1063" customFormat="false" ht="15.75" hidden="false" customHeight="false" outlineLevel="0" collapsed="false">
      <c r="A1063" s="3" t="n">
        <f aca="false">IFERROR(__xludf.dummyfunction("""COMPUTED_VALUE"""),45742.6666666667)</f>
        <v>45742.6666666667</v>
      </c>
      <c r="B1063" s="2" t="n">
        <f aca="false">IFERROR(__xludf.dummyfunction("""COMPUTED_VALUE"""),205.84)</f>
        <v>205.84</v>
      </c>
      <c r="C1063" s="2" t="n">
        <f aca="false">IFERROR(__xludf.dummyfunction("""COMPUTED_VALUE"""),206.01)</f>
        <v>206.01</v>
      </c>
      <c r="D1063" s="2" t="n">
        <f aca="false">IFERROR(__xludf.dummyfunction("""COMPUTED_VALUE"""),199.93)</f>
        <v>199.93</v>
      </c>
      <c r="E1063" s="2" t="n">
        <f aca="false">IFERROR(__xludf.dummyfunction("""COMPUTED_VALUE"""),201.13)</f>
        <v>201.13</v>
      </c>
      <c r="F1063" s="2" t="n">
        <f aca="false">IFERROR(__xludf.dummyfunction("""COMPUTED_VALUE"""),32990973)</f>
        <v>32990973</v>
      </c>
    </row>
    <row r="1064" customFormat="false" ht="15.75" hidden="false" customHeight="false" outlineLevel="0" collapsed="false">
      <c r="A1064" s="3" t="n">
        <f aca="false">IFERROR(__xludf.dummyfunction("""COMPUTED_VALUE"""),45743.6666666667)</f>
        <v>45743.6666666667</v>
      </c>
      <c r="B1064" s="2" t="n">
        <f aca="false">IFERROR(__xludf.dummyfunction("""COMPUTED_VALUE"""),200.89)</f>
        <v>200.89</v>
      </c>
      <c r="C1064" s="2" t="n">
        <f aca="false">IFERROR(__xludf.dummyfunction("""COMPUTED_VALUE"""),203.79)</f>
        <v>203.79</v>
      </c>
      <c r="D1064" s="2" t="n">
        <f aca="false">IFERROR(__xludf.dummyfunction("""COMPUTED_VALUE"""),199.28)</f>
        <v>199.28</v>
      </c>
      <c r="E1064" s="2" t="n">
        <f aca="false">IFERROR(__xludf.dummyfunction("""COMPUTED_VALUE"""),201.36)</f>
        <v>201.36</v>
      </c>
      <c r="F1064" s="2" t="n">
        <f aca="false">IFERROR(__xludf.dummyfunction("""COMPUTED_VALUE"""),27317661)</f>
        <v>27317661</v>
      </c>
    </row>
    <row r="1065" customFormat="false" ht="15.75" hidden="false" customHeight="false" outlineLevel="0" collapsed="false">
      <c r="A1065" s="3" t="n">
        <f aca="false">IFERROR(__xludf.dummyfunction("""COMPUTED_VALUE"""),45744.6666666667)</f>
        <v>45744.6666666667</v>
      </c>
      <c r="B1065" s="2" t="n">
        <f aca="false">IFERROR(__xludf.dummyfunction("""COMPUTED_VALUE"""),198.42)</f>
        <v>198.42</v>
      </c>
      <c r="C1065" s="2" t="n">
        <f aca="false">IFERROR(__xludf.dummyfunction("""COMPUTED_VALUE"""),199.26)</f>
        <v>199.26</v>
      </c>
      <c r="D1065" s="2" t="n">
        <f aca="false">IFERROR(__xludf.dummyfunction("""COMPUTED_VALUE"""),191.88)</f>
        <v>191.88</v>
      </c>
      <c r="E1065" s="2" t="n">
        <f aca="false">IFERROR(__xludf.dummyfunction("""COMPUTED_VALUE"""),192.72)</f>
        <v>192.72</v>
      </c>
      <c r="F1065" s="2" t="n">
        <f aca="false">IFERROR(__xludf.dummyfunction("""COMPUTED_VALUE"""),52548226)</f>
        <v>52548226</v>
      </c>
    </row>
    <row r="1066" customFormat="false" ht="15.75" hidden="false" customHeight="false" outlineLevel="0" collapsed="false">
      <c r="A1066" s="3" t="n">
        <f aca="false">IFERROR(__xludf.dummyfunction("""COMPUTED_VALUE"""),45747.6666666667)</f>
        <v>45747.6666666667</v>
      </c>
      <c r="B1066" s="2" t="n">
        <f aca="false">IFERROR(__xludf.dummyfunction("""COMPUTED_VALUE"""),188.19)</f>
        <v>188.19</v>
      </c>
      <c r="C1066" s="2" t="n">
        <f aca="false">IFERROR(__xludf.dummyfunction("""COMPUTED_VALUE"""),191.33)</f>
        <v>191.33</v>
      </c>
      <c r="D1066" s="2" t="n">
        <f aca="false">IFERROR(__xludf.dummyfunction("""COMPUTED_VALUE"""),184.4)</f>
        <v>184.4</v>
      </c>
      <c r="E1066" s="2" t="n">
        <f aca="false">IFERROR(__xludf.dummyfunction("""COMPUTED_VALUE"""),190.26)</f>
        <v>190.26</v>
      </c>
      <c r="F1066" s="2" t="n">
        <f aca="false">IFERROR(__xludf.dummyfunction("""COMPUTED_VALUE"""),63547558)</f>
        <v>63547558</v>
      </c>
    </row>
    <row r="1067" customFormat="false" ht="15.75" hidden="false" customHeight="false" outlineLevel="0" collapsed="false">
      <c r="A1067" s="3" t="n">
        <f aca="false">IFERROR(__xludf.dummyfunction("""COMPUTED_VALUE"""),45748.6666666667)</f>
        <v>45748.6666666667</v>
      </c>
      <c r="B1067" s="2" t="n">
        <f aca="false">IFERROR(__xludf.dummyfunction("""COMPUTED_VALUE"""),187.86)</f>
        <v>187.86</v>
      </c>
      <c r="C1067" s="2" t="n">
        <f aca="false">IFERROR(__xludf.dummyfunction("""COMPUTED_VALUE"""),193.93)</f>
        <v>193.93</v>
      </c>
      <c r="D1067" s="2" t="n">
        <f aca="false">IFERROR(__xludf.dummyfunction("""COMPUTED_VALUE"""),187.2)</f>
        <v>187.2</v>
      </c>
      <c r="E1067" s="2" t="n">
        <f aca="false">IFERROR(__xludf.dummyfunction("""COMPUTED_VALUE"""),192.17)</f>
        <v>192.17</v>
      </c>
      <c r="F1067" s="2" t="n">
        <f aca="false">IFERROR(__xludf.dummyfunction("""COMPUTED_VALUE"""),41267315)</f>
        <v>41267315</v>
      </c>
    </row>
    <row r="1068" customFormat="false" ht="15.75" hidden="false" customHeight="false" outlineLevel="0" collapsed="false">
      <c r="A1068" s="3" t="n">
        <f aca="false">IFERROR(__xludf.dummyfunction("""COMPUTED_VALUE"""),45749.6666666667)</f>
        <v>45749.6666666667</v>
      </c>
      <c r="B1068" s="2" t="n">
        <f aca="false">IFERROR(__xludf.dummyfunction("""COMPUTED_VALUE"""),187.66)</f>
        <v>187.66</v>
      </c>
      <c r="C1068" s="2" t="n">
        <f aca="false">IFERROR(__xludf.dummyfunction("""COMPUTED_VALUE"""),198.34)</f>
        <v>198.34</v>
      </c>
      <c r="D1068" s="2" t="n">
        <f aca="false">IFERROR(__xludf.dummyfunction("""COMPUTED_VALUE"""),187.66)</f>
        <v>187.66</v>
      </c>
      <c r="E1068" s="2" t="n">
        <f aca="false">IFERROR(__xludf.dummyfunction("""COMPUTED_VALUE"""),196.01)</f>
        <v>196.01</v>
      </c>
      <c r="F1068" s="2" t="n">
        <f aca="false">IFERROR(__xludf.dummyfunction("""COMPUTED_VALUE"""),53679198)</f>
        <v>53679198</v>
      </c>
    </row>
    <row r="1069" customFormat="false" ht="15.75" hidden="false" customHeight="false" outlineLevel="0" collapsed="false">
      <c r="A1069" s="3" t="n">
        <f aca="false">IFERROR(__xludf.dummyfunction("""COMPUTED_VALUE"""),45750.6666666667)</f>
        <v>45750.6666666667</v>
      </c>
      <c r="B1069" s="2" t="n">
        <f aca="false">IFERROR(__xludf.dummyfunction("""COMPUTED_VALUE"""),183)</f>
        <v>183</v>
      </c>
      <c r="C1069" s="2" t="n">
        <f aca="false">IFERROR(__xludf.dummyfunction("""COMPUTED_VALUE"""),184.13)</f>
        <v>184.13</v>
      </c>
      <c r="D1069" s="2" t="n">
        <f aca="false">IFERROR(__xludf.dummyfunction("""COMPUTED_VALUE"""),176.92)</f>
        <v>176.92</v>
      </c>
      <c r="E1069" s="2" t="n">
        <f aca="false">IFERROR(__xludf.dummyfunction("""COMPUTED_VALUE"""),178.41)</f>
        <v>178.41</v>
      </c>
      <c r="F1069" s="2" t="n">
        <f aca="false">IFERROR(__xludf.dummyfunction("""COMPUTED_VALUE"""),95553617)</f>
        <v>95553617</v>
      </c>
    </row>
    <row r="1070" customFormat="false" ht="15.75" hidden="false" customHeight="false" outlineLevel="0" collapsed="false">
      <c r="A1070" s="3" t="n">
        <f aca="false">IFERROR(__xludf.dummyfunction("""COMPUTED_VALUE"""),45751.6666666667)</f>
        <v>45751.6666666667</v>
      </c>
      <c r="B1070" s="2" t="n">
        <f aca="false">IFERROR(__xludf.dummyfunction("""COMPUTED_VALUE"""),167.15)</f>
        <v>167.15</v>
      </c>
      <c r="C1070" s="2" t="n">
        <f aca="false">IFERROR(__xludf.dummyfunction("""COMPUTED_VALUE"""),178.14)</f>
        <v>178.14</v>
      </c>
      <c r="D1070" s="2" t="n">
        <f aca="false">IFERROR(__xludf.dummyfunction("""COMPUTED_VALUE"""),166)</f>
        <v>166</v>
      </c>
      <c r="E1070" s="2" t="n">
        <f aca="false">IFERROR(__xludf.dummyfunction("""COMPUTED_VALUE"""),171)</f>
        <v>171</v>
      </c>
      <c r="F1070" s="2" t="n">
        <f aca="false">IFERROR(__xludf.dummyfunction("""COMPUTED_VALUE"""),123159359)</f>
        <v>123159359</v>
      </c>
    </row>
    <row r="1071" customFormat="false" ht="15.75" hidden="false" customHeight="false" outlineLevel="0" collapsed="false">
      <c r="A1071" s="3" t="n">
        <f aca="false">IFERROR(__xludf.dummyfunction("""COMPUTED_VALUE"""),45754.6666666667)</f>
        <v>45754.6666666667</v>
      </c>
      <c r="B1071" s="2" t="n">
        <f aca="false">IFERROR(__xludf.dummyfunction("""COMPUTED_VALUE"""),162)</f>
        <v>162</v>
      </c>
      <c r="C1071" s="2" t="n">
        <f aca="false">IFERROR(__xludf.dummyfunction("""COMPUTED_VALUE"""),183.41)</f>
        <v>183.41</v>
      </c>
      <c r="D1071" s="2" t="n">
        <f aca="false">IFERROR(__xludf.dummyfunction("""COMPUTED_VALUE"""),161.38)</f>
        <v>161.38</v>
      </c>
      <c r="E1071" s="2" t="n">
        <f aca="false">IFERROR(__xludf.dummyfunction("""COMPUTED_VALUE"""),175.26)</f>
        <v>175.26</v>
      </c>
      <c r="F1071" s="2" t="n">
        <f aca="false">IFERROR(__xludf.dummyfunction("""COMPUTED_VALUE"""),109327115)</f>
        <v>109327115</v>
      </c>
    </row>
    <row r="1072" customFormat="false" ht="15.75" hidden="false" customHeight="false" outlineLevel="0" collapsed="false">
      <c r="A1072" s="3" t="n">
        <f aca="false">IFERROR(__xludf.dummyfunction("""COMPUTED_VALUE"""),45755.6666666667)</f>
        <v>45755.6666666667</v>
      </c>
      <c r="B1072" s="2" t="n">
        <f aca="false">IFERROR(__xludf.dummyfunction("""COMPUTED_VALUE"""),185.23)</f>
        <v>185.23</v>
      </c>
      <c r="C1072" s="2" t="n">
        <f aca="false">IFERROR(__xludf.dummyfunction("""COMPUTED_VALUE"""),185.9)</f>
        <v>185.9</v>
      </c>
      <c r="D1072" s="2" t="n">
        <f aca="false">IFERROR(__xludf.dummyfunction("""COMPUTED_VALUE"""),168.57)</f>
        <v>168.57</v>
      </c>
      <c r="E1072" s="2" t="n">
        <f aca="false">IFERROR(__xludf.dummyfunction("""COMPUTED_VALUE"""),170.66)</f>
        <v>170.66</v>
      </c>
      <c r="F1072" s="2" t="n">
        <f aca="false">IFERROR(__xludf.dummyfunction("""COMPUTED_VALUE"""),87710360)</f>
        <v>87710360</v>
      </c>
    </row>
    <row r="1073" customFormat="false" ht="15.75" hidden="false" customHeight="false" outlineLevel="0" collapsed="false">
      <c r="A1073" s="3" t="n">
        <f aca="false">IFERROR(__xludf.dummyfunction("""COMPUTED_VALUE"""),45756.6666666667)</f>
        <v>45756.6666666667</v>
      </c>
      <c r="B1073" s="2" t="n">
        <f aca="false">IFERROR(__xludf.dummyfunction("""COMPUTED_VALUE"""),172.12)</f>
        <v>172.12</v>
      </c>
      <c r="C1073" s="2" t="n">
        <f aca="false">IFERROR(__xludf.dummyfunction("""COMPUTED_VALUE"""),192.65)</f>
        <v>192.65</v>
      </c>
      <c r="D1073" s="2" t="n">
        <f aca="false">IFERROR(__xludf.dummyfunction("""COMPUTED_VALUE"""),169.93)</f>
        <v>169.93</v>
      </c>
      <c r="E1073" s="2" t="n">
        <f aca="false">IFERROR(__xludf.dummyfunction("""COMPUTED_VALUE"""),191.1)</f>
        <v>191.1</v>
      </c>
      <c r="F1073" s="2" t="n">
        <f aca="false">IFERROR(__xludf.dummyfunction("""COMPUTED_VALUE"""),116804328)</f>
        <v>116804328</v>
      </c>
    </row>
    <row r="1074" customFormat="false" ht="15.75" hidden="false" customHeight="false" outlineLevel="0" collapsed="false">
      <c r="A1074" s="3" t="n">
        <f aca="false">IFERROR(__xludf.dummyfunction("""COMPUTED_VALUE"""),45757.6666666667)</f>
        <v>45757.6666666667</v>
      </c>
      <c r="B1074" s="2" t="n">
        <f aca="false">IFERROR(__xludf.dummyfunction("""COMPUTED_VALUE"""),185.44)</f>
        <v>185.44</v>
      </c>
      <c r="C1074" s="2" t="n">
        <f aca="false">IFERROR(__xludf.dummyfunction("""COMPUTED_VALUE"""),186.87)</f>
        <v>186.87</v>
      </c>
      <c r="D1074" s="2" t="n">
        <f aca="false">IFERROR(__xludf.dummyfunction("""COMPUTED_VALUE"""),175.85)</f>
        <v>175.85</v>
      </c>
      <c r="E1074" s="2" t="n">
        <f aca="false">IFERROR(__xludf.dummyfunction("""COMPUTED_VALUE"""),181.22)</f>
        <v>181.22</v>
      </c>
      <c r="F1074" s="2" t="n">
        <f aca="false">IFERROR(__xludf.dummyfunction("""COMPUTED_VALUE"""),68302045)</f>
        <v>68302045</v>
      </c>
    </row>
    <row r="1075" customFormat="false" ht="15.75" hidden="false" customHeight="false" outlineLevel="0" collapsed="false">
      <c r="A1075" s="3" t="n">
        <f aca="false">IFERROR(__xludf.dummyfunction("""COMPUTED_VALUE"""),45758.6666666667)</f>
        <v>45758.6666666667</v>
      </c>
      <c r="B1075" s="2" t="n">
        <f aca="false">IFERROR(__xludf.dummyfunction("""COMPUTED_VALUE"""),179.93)</f>
        <v>179.93</v>
      </c>
      <c r="C1075" s="2" t="n">
        <f aca="false">IFERROR(__xludf.dummyfunction("""COMPUTED_VALUE"""),185.86)</f>
        <v>185.86</v>
      </c>
      <c r="D1075" s="2" t="n">
        <f aca="false">IFERROR(__xludf.dummyfunction("""COMPUTED_VALUE"""),178)</f>
        <v>178</v>
      </c>
      <c r="E1075" s="2" t="n">
        <f aca="false">IFERROR(__xludf.dummyfunction("""COMPUTED_VALUE"""),184.87)</f>
        <v>184.87</v>
      </c>
      <c r="F1075" s="2" t="n">
        <f aca="false">IFERROR(__xludf.dummyfunction("""COMPUTED_VALUE"""),50594339)</f>
        <v>50594339</v>
      </c>
    </row>
    <row r="1076" customFormat="false" ht="15.75" hidden="false" customHeight="false" outlineLevel="0" collapsed="false">
      <c r="A1076" s="3" t="n">
        <f aca="false">IFERROR(__xludf.dummyfunction("""COMPUTED_VALUE"""),45761.6666666667)</f>
        <v>45761.6666666667</v>
      </c>
      <c r="B1076" s="2" t="n">
        <f aca="false">IFERROR(__xludf.dummyfunction("""COMPUTED_VALUE"""),186.84)</f>
        <v>186.84</v>
      </c>
      <c r="C1076" s="2" t="n">
        <f aca="false">IFERROR(__xludf.dummyfunction("""COMPUTED_VALUE"""),187.44)</f>
        <v>187.44</v>
      </c>
      <c r="D1076" s="2" t="n">
        <f aca="false">IFERROR(__xludf.dummyfunction("""COMPUTED_VALUE"""),179.23)</f>
        <v>179.23</v>
      </c>
      <c r="E1076" s="2" t="n">
        <f aca="false">IFERROR(__xludf.dummyfunction("""COMPUTED_VALUE"""),182.12)</f>
        <v>182.12</v>
      </c>
      <c r="F1076" s="2" t="n">
        <f aca="false">IFERROR(__xludf.dummyfunction("""COMPUTED_VALUE"""),48002540)</f>
        <v>48002540</v>
      </c>
    </row>
    <row r="1077" customFormat="false" ht="15.75" hidden="false" customHeight="false" outlineLevel="0" collapsed="false">
      <c r="A1077" s="3" t="n">
        <f aca="false">IFERROR(__xludf.dummyfunction("""COMPUTED_VALUE"""),45762.6666666667)</f>
        <v>45762.6666666667</v>
      </c>
      <c r="B1077" s="2" t="n">
        <f aca="false">IFERROR(__xludf.dummyfunction("""COMPUTED_VALUE"""),181.41)</f>
        <v>181.41</v>
      </c>
      <c r="C1077" s="2" t="n">
        <f aca="false">IFERROR(__xludf.dummyfunction("""COMPUTED_VALUE"""),182.35)</f>
        <v>182.35</v>
      </c>
      <c r="D1077" s="2" t="n">
        <f aca="false">IFERROR(__xludf.dummyfunction("""COMPUTED_VALUE"""),177.93)</f>
        <v>177.93</v>
      </c>
      <c r="E1077" s="2" t="n">
        <f aca="false">IFERROR(__xludf.dummyfunction("""COMPUTED_VALUE"""),179.59)</f>
        <v>179.59</v>
      </c>
      <c r="F1077" s="2" t="n">
        <f aca="false">IFERROR(__xludf.dummyfunction("""COMPUTED_VALUE"""),43641952)</f>
        <v>43641952</v>
      </c>
    </row>
    <row r="1078" customFormat="false" ht="15.75" hidden="false" customHeight="false" outlineLevel="0" collapsed="false">
      <c r="A1078" s="3" t="n">
        <f aca="false">IFERROR(__xludf.dummyfunction("""COMPUTED_VALUE"""),45763.6666666667)</f>
        <v>45763.6666666667</v>
      </c>
      <c r="B1078" s="2" t="n">
        <f aca="false">IFERROR(__xludf.dummyfunction("""COMPUTED_VALUE"""),176.29)</f>
        <v>176.29</v>
      </c>
      <c r="C1078" s="2" t="n">
        <f aca="false">IFERROR(__xludf.dummyfunction("""COMPUTED_VALUE"""),179.1)</f>
        <v>179.1</v>
      </c>
      <c r="D1078" s="2" t="n">
        <f aca="false">IFERROR(__xludf.dummyfunction("""COMPUTED_VALUE"""),171.41)</f>
        <v>171.41</v>
      </c>
      <c r="E1078" s="2" t="n">
        <f aca="false">IFERROR(__xludf.dummyfunction("""COMPUTED_VALUE"""),174.33)</f>
        <v>174.33</v>
      </c>
      <c r="F1078" s="2" t="n">
        <f aca="false">IFERROR(__xludf.dummyfunction("""COMPUTED_VALUE"""),51875316)</f>
        <v>51875316</v>
      </c>
    </row>
    <row r="1079" customFormat="false" ht="15.75" hidden="false" customHeight="false" outlineLevel="0" collapsed="false">
      <c r="A1079" s="3" t="n">
        <f aca="false">IFERROR(__xludf.dummyfunction("""COMPUTED_VALUE"""),45764.6666666667)</f>
        <v>45764.6666666667</v>
      </c>
      <c r="B1079" s="2" t="n">
        <f aca="false">IFERROR(__xludf.dummyfunction("""COMPUTED_VALUE"""),176)</f>
        <v>176</v>
      </c>
      <c r="C1079" s="2" t="n">
        <f aca="false">IFERROR(__xludf.dummyfunction("""COMPUTED_VALUE"""),176.21)</f>
        <v>176.21</v>
      </c>
      <c r="D1079" s="2" t="n">
        <f aca="false">IFERROR(__xludf.dummyfunction("""COMPUTED_VALUE"""),172)</f>
        <v>172</v>
      </c>
      <c r="E1079" s="2" t="n">
        <f aca="false">IFERROR(__xludf.dummyfunction("""COMPUTED_VALUE"""),172.61)</f>
        <v>172.61</v>
      </c>
      <c r="F1079" s="2" t="n">
        <f aca="false">IFERROR(__xludf.dummyfunction("""COMPUTED_VALUE"""),44726453)</f>
        <v>44726453</v>
      </c>
    </row>
    <row r="1080" customFormat="false" ht="15.75" hidden="false" customHeight="false" outlineLevel="0" collapsed="false">
      <c r="A1080" s="3" t="n">
        <f aca="false">IFERROR(__xludf.dummyfunction("""COMPUTED_VALUE"""),45768.6666666667)</f>
        <v>45768.6666666667</v>
      </c>
      <c r="B1080" s="2" t="n">
        <f aca="false">IFERROR(__xludf.dummyfunction("""COMPUTED_VALUE"""),169.6)</f>
        <v>169.6</v>
      </c>
      <c r="C1080" s="2" t="n">
        <f aca="false">IFERROR(__xludf.dummyfunction("""COMPUTED_VALUE"""),169.6)</f>
        <v>169.6</v>
      </c>
      <c r="D1080" s="2" t="n">
        <f aca="false">IFERROR(__xludf.dummyfunction("""COMPUTED_VALUE"""),165.29)</f>
        <v>165.29</v>
      </c>
      <c r="E1080" s="2" t="n">
        <f aca="false">IFERROR(__xludf.dummyfunction("""COMPUTED_VALUE"""),167.32)</f>
        <v>167.32</v>
      </c>
      <c r="F1080" s="2" t="n">
        <f aca="false">IFERROR(__xludf.dummyfunction("""COMPUTED_VALUE"""),48126111)</f>
        <v>48126111</v>
      </c>
    </row>
    <row r="1081" customFormat="false" ht="15.75" hidden="false" customHeight="false" outlineLevel="0" collapsed="false">
      <c r="A1081" s="3" t="n">
        <f aca="false">IFERROR(__xludf.dummyfunction("""COMPUTED_VALUE"""),45769.6666666667)</f>
        <v>45769.6666666667</v>
      </c>
      <c r="B1081" s="2" t="n">
        <f aca="false">IFERROR(__xludf.dummyfunction("""COMPUTED_VALUE"""),169.85)</f>
        <v>169.85</v>
      </c>
      <c r="C1081" s="2" t="n">
        <f aca="false">IFERROR(__xludf.dummyfunction("""COMPUTED_VALUE"""),176.78)</f>
        <v>176.78</v>
      </c>
      <c r="D1081" s="2" t="n">
        <f aca="false">IFERROR(__xludf.dummyfunction("""COMPUTED_VALUE"""),169.35)</f>
        <v>169.35</v>
      </c>
      <c r="E1081" s="2" t="n">
        <f aca="false">IFERROR(__xludf.dummyfunction("""COMPUTED_VALUE"""),173.18)</f>
        <v>173.18</v>
      </c>
      <c r="F1081" s="2" t="n">
        <f aca="false">IFERROR(__xludf.dummyfunction("""COMPUTED_VALUE"""),56607202)</f>
        <v>56607202</v>
      </c>
    </row>
    <row r="1082" customFormat="false" ht="15.75" hidden="false" customHeight="false" outlineLevel="0" collapsed="false">
      <c r="A1082" s="3" t="n">
        <f aca="false">IFERROR(__xludf.dummyfunction("""COMPUTED_VALUE"""),45770.6666666667)</f>
        <v>45770.6666666667</v>
      </c>
      <c r="B1082" s="2" t="n">
        <f aca="false">IFERROR(__xludf.dummyfunction("""COMPUTED_VALUE"""),183.45)</f>
        <v>183.45</v>
      </c>
      <c r="C1082" s="2" t="n">
        <f aca="false">IFERROR(__xludf.dummyfunction("""COMPUTED_VALUE"""),187.38)</f>
        <v>187.38</v>
      </c>
      <c r="D1082" s="2" t="n">
        <f aca="false">IFERROR(__xludf.dummyfunction("""COMPUTED_VALUE"""),180.19)</f>
        <v>180.19</v>
      </c>
      <c r="E1082" s="2" t="n">
        <f aca="false">IFERROR(__xludf.dummyfunction("""COMPUTED_VALUE"""),180.6)</f>
        <v>180.6</v>
      </c>
      <c r="F1082" s="2" t="n">
        <f aca="false">IFERROR(__xludf.dummyfunction("""COMPUTED_VALUE"""),63470149)</f>
        <v>63470149</v>
      </c>
    </row>
    <row r="1083" customFormat="false" ht="15.75" hidden="false" customHeight="false" outlineLevel="0" collapsed="false">
      <c r="A1083" s="3" t="n">
        <f aca="false">IFERROR(__xludf.dummyfunction("""COMPUTED_VALUE"""),45771.6666666667)</f>
        <v>45771.6666666667</v>
      </c>
      <c r="B1083" s="2" t="n">
        <f aca="false">IFERROR(__xludf.dummyfunction("""COMPUTED_VALUE"""),180.92)</f>
        <v>180.92</v>
      </c>
      <c r="C1083" s="2" t="n">
        <f aca="false">IFERROR(__xludf.dummyfunction("""COMPUTED_VALUE"""),186.74)</f>
        <v>186.74</v>
      </c>
      <c r="D1083" s="2" t="n">
        <f aca="false">IFERROR(__xludf.dummyfunction("""COMPUTED_VALUE"""),180.18)</f>
        <v>180.18</v>
      </c>
      <c r="E1083" s="2" t="n">
        <f aca="false">IFERROR(__xludf.dummyfunction("""COMPUTED_VALUE"""),186.54)</f>
        <v>186.54</v>
      </c>
      <c r="F1083" s="2" t="n">
        <f aca="false">IFERROR(__xludf.dummyfunction("""COMPUTED_VALUE"""),43763196)</f>
        <v>43763196</v>
      </c>
    </row>
    <row r="1084" customFormat="false" ht="15.75" hidden="false" customHeight="false" outlineLevel="0" collapsed="false">
      <c r="A1084" s="3" t="n">
        <f aca="false">IFERROR(__xludf.dummyfunction("""COMPUTED_VALUE"""),45772.6666666667)</f>
        <v>45772.6666666667</v>
      </c>
      <c r="B1084" s="2" t="n">
        <f aca="false">IFERROR(__xludf.dummyfunction("""COMPUTED_VALUE"""),187.62)</f>
        <v>187.62</v>
      </c>
      <c r="C1084" s="2" t="n">
        <f aca="false">IFERROR(__xludf.dummyfunction("""COMPUTED_VALUE"""),189.94)</f>
        <v>189.94</v>
      </c>
      <c r="D1084" s="2" t="n">
        <f aca="false">IFERROR(__xludf.dummyfunction("""COMPUTED_VALUE"""),185.49)</f>
        <v>185.49</v>
      </c>
      <c r="E1084" s="2" t="n">
        <f aca="false">IFERROR(__xludf.dummyfunction("""COMPUTED_VALUE"""),188.99)</f>
        <v>188.99</v>
      </c>
      <c r="F1084" s="2" t="n">
        <f aca="false">IFERROR(__xludf.dummyfunction("""COMPUTED_VALUE"""),36414330)</f>
        <v>36414330</v>
      </c>
    </row>
    <row r="1085" customFormat="false" ht="15.75" hidden="false" customHeight="false" outlineLevel="0" collapsed="false">
      <c r="A1085" s="3" t="n">
        <f aca="false">IFERROR(__xludf.dummyfunction("""COMPUTED_VALUE"""),45775.6666666667)</f>
        <v>45775.6666666667</v>
      </c>
      <c r="B1085" s="2" t="n">
        <f aca="false">IFERROR(__xludf.dummyfunction("""COMPUTED_VALUE"""),190.11)</f>
        <v>190.11</v>
      </c>
      <c r="C1085" s="2" t="n">
        <f aca="false">IFERROR(__xludf.dummyfunction("""COMPUTED_VALUE"""),190.22)</f>
        <v>190.22</v>
      </c>
      <c r="D1085" s="2" t="n">
        <f aca="false">IFERROR(__xludf.dummyfunction("""COMPUTED_VALUE"""),184.89)</f>
        <v>184.89</v>
      </c>
      <c r="E1085" s="2" t="n">
        <f aca="false">IFERROR(__xludf.dummyfunction("""COMPUTED_VALUE"""),187.7)</f>
        <v>187.7</v>
      </c>
      <c r="F1085" s="2" t="n">
        <f aca="false">IFERROR(__xludf.dummyfunction("""COMPUTED_VALUE"""),33224732)</f>
        <v>33224732</v>
      </c>
    </row>
    <row r="1086" customFormat="false" ht="15.75" hidden="false" customHeight="false" outlineLevel="0" collapsed="false">
      <c r="A1086" s="3" t="n">
        <f aca="false">IFERROR(__xludf.dummyfunction("""COMPUTED_VALUE"""),45776.6666666667)</f>
        <v>45776.6666666667</v>
      </c>
      <c r="B1086" s="2" t="n">
        <f aca="false">IFERROR(__xludf.dummyfunction("""COMPUTED_VALUE"""),183.99)</f>
        <v>183.99</v>
      </c>
      <c r="C1086" s="2" t="n">
        <f aca="false">IFERROR(__xludf.dummyfunction("""COMPUTED_VALUE"""),188.02)</f>
        <v>188.02</v>
      </c>
      <c r="D1086" s="2" t="n">
        <f aca="false">IFERROR(__xludf.dummyfunction("""COMPUTED_VALUE"""),183.68)</f>
        <v>183.68</v>
      </c>
      <c r="E1086" s="2" t="n">
        <f aca="false">IFERROR(__xludf.dummyfunction("""COMPUTED_VALUE"""),187.39)</f>
        <v>187.39</v>
      </c>
      <c r="F1086" s="2" t="n">
        <f aca="false">IFERROR(__xludf.dummyfunction("""COMPUTED_VALUE"""),41667255)</f>
        <v>41667255</v>
      </c>
    </row>
    <row r="1087" customFormat="false" ht="15.75" hidden="false" customHeight="false" outlineLevel="0" collapsed="false">
      <c r="A1087" s="3" t="n">
        <f aca="false">IFERROR(__xludf.dummyfunction("""COMPUTED_VALUE"""),45777.6666666667)</f>
        <v>45777.6666666667</v>
      </c>
      <c r="B1087" s="2" t="n">
        <f aca="false">IFERROR(__xludf.dummyfunction("""COMPUTED_VALUE"""),182.17)</f>
        <v>182.17</v>
      </c>
      <c r="C1087" s="2" t="n">
        <f aca="false">IFERROR(__xludf.dummyfunction("""COMPUTED_VALUE"""),185.05)</f>
        <v>185.05</v>
      </c>
      <c r="D1087" s="2" t="n">
        <f aca="false">IFERROR(__xludf.dummyfunction("""COMPUTED_VALUE"""),178.85)</f>
        <v>178.85</v>
      </c>
      <c r="E1087" s="2" t="n">
        <f aca="false">IFERROR(__xludf.dummyfunction("""COMPUTED_VALUE"""),184.42)</f>
        <v>184.42</v>
      </c>
      <c r="F1087" s="2" t="n">
        <f aca="false">IFERROR(__xludf.dummyfunction("""COMPUTED_VALUE"""),55176543)</f>
        <v>55176543</v>
      </c>
    </row>
    <row r="1088" customFormat="false" ht="15.75" hidden="false" customHeight="false" outlineLevel="0" collapsed="false">
      <c r="A1088" s="3" t="n">
        <f aca="false">IFERROR(__xludf.dummyfunction("""COMPUTED_VALUE"""),45778.6666666667)</f>
        <v>45778.6666666667</v>
      </c>
      <c r="B1088" s="2" t="n">
        <f aca="false">IFERROR(__xludf.dummyfunction("""COMPUTED_VALUE"""),190.63)</f>
        <v>190.63</v>
      </c>
      <c r="C1088" s="2" t="n">
        <f aca="false">IFERROR(__xludf.dummyfunction("""COMPUTED_VALUE"""),191.81)</f>
        <v>191.81</v>
      </c>
      <c r="D1088" s="2" t="n">
        <f aca="false">IFERROR(__xludf.dummyfunction("""COMPUTED_VALUE"""),187.5)</f>
        <v>187.5</v>
      </c>
      <c r="E1088" s="2" t="n">
        <f aca="false">IFERROR(__xludf.dummyfunction("""COMPUTED_VALUE"""),190.2)</f>
        <v>190.2</v>
      </c>
      <c r="F1088" s="2" t="n">
        <f aca="false">IFERROR(__xludf.dummyfunction("""COMPUTED_VALUE"""),74265963)</f>
        <v>74265963</v>
      </c>
    </row>
    <row r="1089" customFormat="false" ht="15.75" hidden="false" customHeight="false" outlineLevel="0" collapsed="false">
      <c r="A1089" s="3" t="n">
        <f aca="false">IFERROR(__xludf.dummyfunction("""COMPUTED_VALUE"""),45779.6666666667)</f>
        <v>45779.6666666667</v>
      </c>
      <c r="B1089" s="2" t="n">
        <f aca="false">IFERROR(__xludf.dummyfunction("""COMPUTED_VALUE"""),191.44)</f>
        <v>191.44</v>
      </c>
      <c r="C1089" s="2" t="n">
        <f aca="false">IFERROR(__xludf.dummyfunction("""COMPUTED_VALUE"""),192.88)</f>
        <v>192.88</v>
      </c>
      <c r="D1089" s="2" t="n">
        <f aca="false">IFERROR(__xludf.dummyfunction("""COMPUTED_VALUE"""),186.4)</f>
        <v>186.4</v>
      </c>
      <c r="E1089" s="2" t="n">
        <f aca="false">IFERROR(__xludf.dummyfunction("""COMPUTED_VALUE"""),189.98)</f>
        <v>189.98</v>
      </c>
      <c r="F1089" s="2" t="n">
        <f aca="false">IFERROR(__xludf.dummyfunction("""COMPUTED_VALUE"""),77903487)</f>
        <v>77903487</v>
      </c>
    </row>
    <row r="1090" customFormat="false" ht="15.75" hidden="false" customHeight="false" outlineLevel="0" collapsed="false">
      <c r="A1090" s="3" t="n">
        <f aca="false">IFERROR(__xludf.dummyfunction("""COMPUTED_VALUE"""),45782.6666666667)</f>
        <v>45782.6666666667</v>
      </c>
      <c r="B1090" s="2" t="n">
        <f aca="false">IFERROR(__xludf.dummyfunction("""COMPUTED_VALUE"""),186.51)</f>
        <v>186.51</v>
      </c>
      <c r="C1090" s="2" t="n">
        <f aca="false">IFERROR(__xludf.dummyfunction("""COMPUTED_VALUE"""),188.18)</f>
        <v>188.18</v>
      </c>
      <c r="D1090" s="2" t="n">
        <f aca="false">IFERROR(__xludf.dummyfunction("""COMPUTED_VALUE"""),185.53)</f>
        <v>185.53</v>
      </c>
      <c r="E1090" s="2" t="n">
        <f aca="false">IFERROR(__xludf.dummyfunction("""COMPUTED_VALUE"""),186.35)</f>
        <v>186.35</v>
      </c>
      <c r="F1090" s="2" t="n">
        <f aca="false">IFERROR(__xludf.dummyfunction("""COMPUTED_VALUE"""),35217469)</f>
        <v>35217469</v>
      </c>
    </row>
    <row r="1091" customFormat="false" ht="15.75" hidden="false" customHeight="false" outlineLevel="0" collapsed="false">
      <c r="A1091" s="3" t="n">
        <f aca="false">IFERROR(__xludf.dummyfunction("""COMPUTED_VALUE"""),45783.6666666667)</f>
        <v>45783.6666666667</v>
      </c>
      <c r="B1091" s="2" t="n">
        <f aca="false">IFERROR(__xludf.dummyfunction("""COMPUTED_VALUE"""),184.57)</f>
        <v>184.57</v>
      </c>
      <c r="C1091" s="2" t="n">
        <f aca="false">IFERROR(__xludf.dummyfunction("""COMPUTED_VALUE"""),187.93)</f>
        <v>187.93</v>
      </c>
      <c r="D1091" s="2" t="n">
        <f aca="false">IFERROR(__xludf.dummyfunction("""COMPUTED_VALUE"""),183.85)</f>
        <v>183.85</v>
      </c>
      <c r="E1091" s="2" t="n">
        <f aca="false">IFERROR(__xludf.dummyfunction("""COMPUTED_VALUE"""),185.01)</f>
        <v>185.01</v>
      </c>
      <c r="F1091" s="2" t="n">
        <f aca="false">IFERROR(__xludf.dummyfunction("""COMPUTED_VALUE"""),29314055)</f>
        <v>29314055</v>
      </c>
    </row>
    <row r="1092" customFormat="false" ht="15.75" hidden="false" customHeight="false" outlineLevel="0" collapsed="false">
      <c r="A1092" s="3" t="n">
        <f aca="false">IFERROR(__xludf.dummyfunction("""COMPUTED_VALUE"""),45784.6666666667)</f>
        <v>45784.6666666667</v>
      </c>
      <c r="B1092" s="2" t="n">
        <f aca="false">IFERROR(__xludf.dummyfunction("""COMPUTED_VALUE"""),185.56)</f>
        <v>185.56</v>
      </c>
      <c r="C1092" s="2" t="n">
        <f aca="false">IFERROR(__xludf.dummyfunction("""COMPUTED_VALUE"""),190.99)</f>
        <v>190.99</v>
      </c>
      <c r="D1092" s="2" t="n">
        <f aca="false">IFERROR(__xludf.dummyfunction("""COMPUTED_VALUE"""),185.01)</f>
        <v>185.01</v>
      </c>
      <c r="E1092" s="2" t="n">
        <f aca="false">IFERROR(__xludf.dummyfunction("""COMPUTED_VALUE"""),188.71)</f>
        <v>188.71</v>
      </c>
      <c r="F1092" s="2" t="n">
        <f aca="false">IFERROR(__xludf.dummyfunction("""COMPUTED_VALUE"""),44002926)</f>
        <v>44002926</v>
      </c>
    </row>
    <row r="1093" customFormat="false" ht="15.75" hidden="false" customHeight="false" outlineLevel="0" collapsed="false">
      <c r="A1093" s="3" t="n">
        <f aca="false">IFERROR(__xludf.dummyfunction("""COMPUTED_VALUE"""),45785.6666666667)</f>
        <v>45785.6666666667</v>
      </c>
      <c r="B1093" s="2" t="n">
        <f aca="false">IFERROR(__xludf.dummyfunction("""COMPUTED_VALUE"""),191.43)</f>
        <v>191.43</v>
      </c>
      <c r="C1093" s="2" t="n">
        <f aca="false">IFERROR(__xludf.dummyfunction("""COMPUTED_VALUE"""),194.33)</f>
        <v>194.33</v>
      </c>
      <c r="D1093" s="2" t="n">
        <f aca="false">IFERROR(__xludf.dummyfunction("""COMPUTED_VALUE"""),188.82)</f>
        <v>188.82</v>
      </c>
      <c r="E1093" s="2" t="n">
        <f aca="false">IFERROR(__xludf.dummyfunction("""COMPUTED_VALUE"""),192.08)</f>
        <v>192.08</v>
      </c>
      <c r="F1093" s="2" t="n">
        <f aca="false">IFERROR(__xludf.dummyfunction("""COMPUTED_VALUE"""),41043620)</f>
        <v>41043620</v>
      </c>
    </row>
    <row r="1094" customFormat="false" ht="15.75" hidden="false" customHeight="false" outlineLevel="0" collapsed="false">
      <c r="A1094" s="3" t="n">
        <f aca="false">IFERROR(__xludf.dummyfunction("""COMPUTED_VALUE"""),45786.6666666667)</f>
        <v>45786.6666666667</v>
      </c>
      <c r="B1094" s="2" t="n">
        <f aca="false">IFERROR(__xludf.dummyfunction("""COMPUTED_VALUE"""),193.38)</f>
        <v>193.38</v>
      </c>
      <c r="C1094" s="2" t="n">
        <f aca="false">IFERROR(__xludf.dummyfunction("""COMPUTED_VALUE"""),194.69)</f>
        <v>194.69</v>
      </c>
      <c r="D1094" s="2" t="n">
        <f aca="false">IFERROR(__xludf.dummyfunction("""COMPUTED_VALUE"""),191.16)</f>
        <v>191.16</v>
      </c>
      <c r="E1094" s="2" t="n">
        <f aca="false">IFERROR(__xludf.dummyfunction("""COMPUTED_VALUE"""),193.06)</f>
        <v>193.06</v>
      </c>
      <c r="F1094" s="2" t="n">
        <f aca="false">IFERROR(__xludf.dummyfunction("""COMPUTED_VALUE"""),29663143)</f>
        <v>29663143</v>
      </c>
    </row>
    <row r="1095" customFormat="false" ht="15.75" hidden="false" customHeight="false" outlineLevel="0" collapsed="false">
      <c r="A1095" s="3" t="n">
        <f aca="false">IFERROR(__xludf.dummyfunction("""COMPUTED_VALUE"""),45789.6666666667)</f>
        <v>45789.6666666667</v>
      </c>
      <c r="B1095" s="2" t="n">
        <f aca="false">IFERROR(__xludf.dummyfunction("""COMPUTED_VALUE"""),210.71)</f>
        <v>210.71</v>
      </c>
      <c r="C1095" s="2" t="n">
        <f aca="false">IFERROR(__xludf.dummyfunction("""COMPUTED_VALUE"""),211.66)</f>
        <v>211.66</v>
      </c>
      <c r="D1095" s="2" t="n">
        <f aca="false">IFERROR(__xludf.dummyfunction("""COMPUTED_VALUE"""),205.75)</f>
        <v>205.75</v>
      </c>
      <c r="E1095" s="2" t="n">
        <f aca="false">IFERROR(__xludf.dummyfunction("""COMPUTED_VALUE"""),208.64)</f>
        <v>208.64</v>
      </c>
      <c r="F1095" s="2" t="n">
        <f aca="false">IFERROR(__xludf.dummyfunction("""COMPUTED_VALUE"""),75205042)</f>
        <v>75205042</v>
      </c>
    </row>
    <row r="1096" customFormat="false" ht="15.75" hidden="false" customHeight="false" outlineLevel="0" collapsed="false">
      <c r="A1096" s="3" t="n">
        <f aca="false">IFERROR(__xludf.dummyfunction("""COMPUTED_VALUE"""),45790.6666666667)</f>
        <v>45790.6666666667</v>
      </c>
      <c r="B1096" s="2" t="n">
        <f aca="false">IFERROR(__xludf.dummyfunction("""COMPUTED_VALUE"""),211.08)</f>
        <v>211.08</v>
      </c>
      <c r="C1096" s="2" t="n">
        <f aca="false">IFERROR(__xludf.dummyfunction("""COMPUTED_VALUE"""),214.84)</f>
        <v>214.84</v>
      </c>
      <c r="D1096" s="2" t="n">
        <f aca="false">IFERROR(__xludf.dummyfunction("""COMPUTED_VALUE"""),210.1)</f>
        <v>210.1</v>
      </c>
      <c r="E1096" s="2" t="n">
        <f aca="false">IFERROR(__xludf.dummyfunction("""COMPUTED_VALUE"""),211.37)</f>
        <v>211.37</v>
      </c>
      <c r="F1096" s="2" t="n">
        <f aca="false">IFERROR(__xludf.dummyfunction("""COMPUTED_VALUE"""),56193682)</f>
        <v>56193682</v>
      </c>
    </row>
    <row r="1097" customFormat="false" ht="15.75" hidden="false" customHeight="false" outlineLevel="0" collapsed="false">
      <c r="A1097" s="3" t="n">
        <f aca="false">IFERROR(__xludf.dummyfunction("""COMPUTED_VALUE"""),45791.6666666667)</f>
        <v>45791.6666666667</v>
      </c>
      <c r="B1097" s="2" t="n">
        <f aca="false">IFERROR(__xludf.dummyfunction("""COMPUTED_VALUE"""),211.45)</f>
        <v>211.45</v>
      </c>
      <c r="C1097" s="2" t="n">
        <f aca="false">IFERROR(__xludf.dummyfunction("""COMPUTED_VALUE"""),211.93)</f>
        <v>211.93</v>
      </c>
      <c r="D1097" s="2" t="n">
        <f aca="false">IFERROR(__xludf.dummyfunction("""COMPUTED_VALUE"""),208.85)</f>
        <v>208.85</v>
      </c>
      <c r="E1097" s="2" t="n">
        <f aca="false">IFERROR(__xludf.dummyfunction("""COMPUTED_VALUE"""),210.25)</f>
        <v>210.25</v>
      </c>
      <c r="F1097" s="2" t="n">
        <f aca="false">IFERROR(__xludf.dummyfunction("""COMPUTED_VALUE"""),38492128)</f>
        <v>38492128</v>
      </c>
    </row>
    <row r="1098" customFormat="false" ht="15.75" hidden="false" customHeight="false" outlineLevel="0" collapsed="false">
      <c r="A1098" s="3" t="n">
        <f aca="false">IFERROR(__xludf.dummyfunction("""COMPUTED_VALUE"""),45792.6666666667)</f>
        <v>45792.6666666667</v>
      </c>
      <c r="B1098" s="2" t="n">
        <f aca="false">IFERROR(__xludf.dummyfunction("""COMPUTED_VALUE"""),206.45)</f>
        <v>206.45</v>
      </c>
      <c r="C1098" s="2" t="n">
        <f aca="false">IFERROR(__xludf.dummyfunction("""COMPUTED_VALUE"""),206.88)</f>
        <v>206.88</v>
      </c>
      <c r="D1098" s="2" t="n">
        <f aca="false">IFERROR(__xludf.dummyfunction("""COMPUTED_VALUE"""),202.67)</f>
        <v>202.67</v>
      </c>
      <c r="E1098" s="2" t="n">
        <f aca="false">IFERROR(__xludf.dummyfunction("""COMPUTED_VALUE"""),205.17)</f>
        <v>205.17</v>
      </c>
      <c r="F1098" s="2" t="n">
        <f aca="false">IFERROR(__xludf.dummyfunction("""COMPUTED_VALUE"""),64347317)</f>
        <v>64347317</v>
      </c>
    </row>
    <row r="1099" customFormat="false" ht="15.75" hidden="false" customHeight="false" outlineLevel="0" collapsed="false">
      <c r="A1099" s="3" t="n">
        <f aca="false">IFERROR(__xludf.dummyfunction("""COMPUTED_VALUE"""),45793.6666666667)</f>
        <v>45793.6666666667</v>
      </c>
      <c r="B1099" s="2" t="n">
        <f aca="false">IFERROR(__xludf.dummyfunction("""COMPUTED_VALUE"""),206.85)</f>
        <v>206.85</v>
      </c>
      <c r="C1099" s="2" t="n">
        <f aca="false">IFERROR(__xludf.dummyfunction("""COMPUTED_VALUE"""),206.85)</f>
        <v>206.85</v>
      </c>
      <c r="D1099" s="2" t="n">
        <f aca="false">IFERROR(__xludf.dummyfunction("""COMPUTED_VALUE"""),204.37)</f>
        <v>204.37</v>
      </c>
      <c r="E1099" s="2" t="n">
        <f aca="false">IFERROR(__xludf.dummyfunction("""COMPUTED_VALUE"""),205.59)</f>
        <v>205.59</v>
      </c>
      <c r="F1099" s="2" t="n">
        <f aca="false">IFERROR(__xludf.dummyfunction("""COMPUTED_VALUE"""),43318478)</f>
        <v>43318478</v>
      </c>
    </row>
    <row r="1100" customFormat="false" ht="15.75" hidden="false" customHeight="false" outlineLevel="0" collapsed="false">
      <c r="A1100" s="3" t="n">
        <f aca="false">IFERROR(__xludf.dummyfunction("""COMPUTED_VALUE"""),45796.6666666667)</f>
        <v>45796.6666666667</v>
      </c>
      <c r="B1100" s="2" t="n">
        <f aca="false">IFERROR(__xludf.dummyfunction("""COMPUTED_VALUE"""),201.65)</f>
        <v>201.65</v>
      </c>
      <c r="C1100" s="2" t="n">
        <f aca="false">IFERROR(__xludf.dummyfunction("""COMPUTED_VALUE"""),206.62)</f>
        <v>206.62</v>
      </c>
      <c r="D1100" s="2" t="n">
        <f aca="false">IFERROR(__xludf.dummyfunction("""COMPUTED_VALUE"""),201.26)</f>
        <v>201.26</v>
      </c>
      <c r="E1100" s="2" t="n">
        <f aca="false">IFERROR(__xludf.dummyfunction("""COMPUTED_VALUE"""),206.16)</f>
        <v>206.16</v>
      </c>
      <c r="F1100" s="2" t="n">
        <f aca="false">IFERROR(__xludf.dummyfunction("""COMPUTED_VALUE"""),34314810)</f>
        <v>34314810</v>
      </c>
    </row>
    <row r="1101" customFormat="false" ht="15.75" hidden="false" customHeight="false" outlineLevel="0" collapsed="false">
      <c r="A1101" s="3" t="n">
        <f aca="false">IFERROR(__xludf.dummyfunction("""COMPUTED_VALUE"""),45797.6666666667)</f>
        <v>45797.6666666667</v>
      </c>
      <c r="B1101" s="2" t="n">
        <f aca="false">IFERROR(__xludf.dummyfunction("""COMPUTED_VALUE"""),204.63)</f>
        <v>204.63</v>
      </c>
      <c r="C1101" s="2" t="n">
        <f aca="false">IFERROR(__xludf.dummyfunction("""COMPUTED_VALUE"""),205.59)</f>
        <v>205.59</v>
      </c>
      <c r="D1101" s="2" t="n">
        <f aca="false">IFERROR(__xludf.dummyfunction("""COMPUTED_VALUE"""),202.65)</f>
        <v>202.65</v>
      </c>
      <c r="E1101" s="2" t="n">
        <f aca="false">IFERROR(__xludf.dummyfunction("""COMPUTED_VALUE"""),204.07)</f>
        <v>204.07</v>
      </c>
      <c r="F1101" s="2" t="n">
        <f aca="false">IFERROR(__xludf.dummyfunction("""COMPUTED_VALUE"""),29470373)</f>
        <v>29470373</v>
      </c>
    </row>
    <row r="1102" customFormat="false" ht="15.75" hidden="false" customHeight="false" outlineLevel="0" collapsed="false">
      <c r="A1102" s="3" t="n">
        <f aca="false">IFERROR(__xludf.dummyfunction("""COMPUTED_VALUE"""),45798.6666666667)</f>
        <v>45798.6666666667</v>
      </c>
      <c r="B1102" s="2" t="n">
        <f aca="false">IFERROR(__xludf.dummyfunction("""COMPUTED_VALUE"""),201.61)</f>
        <v>201.61</v>
      </c>
      <c r="C1102" s="2" t="n">
        <f aca="false">IFERROR(__xludf.dummyfunction("""COMPUTED_VALUE"""),203.46)</f>
        <v>203.46</v>
      </c>
      <c r="D1102" s="2" t="n">
        <f aca="false">IFERROR(__xludf.dummyfunction("""COMPUTED_VALUE"""),200.06)</f>
        <v>200.06</v>
      </c>
      <c r="E1102" s="2" t="n">
        <f aca="false">IFERROR(__xludf.dummyfunction("""COMPUTED_VALUE"""),201.12)</f>
        <v>201.12</v>
      </c>
      <c r="F1102" s="2" t="n">
        <f aca="false">IFERROR(__xludf.dummyfunction("""COMPUTED_VALUE"""),42460924)</f>
        <v>42460924</v>
      </c>
    </row>
    <row r="1103" customFormat="false" ht="15.75" hidden="false" customHeight="false" outlineLevel="0" collapsed="false">
      <c r="A1103" s="3" t="n">
        <f aca="false">IFERROR(__xludf.dummyfunction("""COMPUTED_VALUE"""),45799.6666666667)</f>
        <v>45799.6666666667</v>
      </c>
      <c r="B1103" s="2" t="n">
        <f aca="false">IFERROR(__xludf.dummyfunction("""COMPUTED_VALUE"""),201.61)</f>
        <v>201.61</v>
      </c>
      <c r="C1103" s="2" t="n">
        <f aca="false">IFERROR(__xludf.dummyfunction("""COMPUTED_VALUE"""),203.46)</f>
        <v>203.46</v>
      </c>
      <c r="D1103" s="2" t="n">
        <f aca="false">IFERROR(__xludf.dummyfunction("""COMPUTED_VALUE"""),200.06)</f>
        <v>200.06</v>
      </c>
      <c r="E1103" s="2" t="n">
        <f aca="false">IFERROR(__xludf.dummyfunction("""COMPUTED_VALUE"""),201.12)</f>
        <v>201.12</v>
      </c>
      <c r="F1103" s="2" t="n">
        <f aca="false">IFERROR(__xludf.dummyfunction("""COMPUTED_VALUE"""),566475)</f>
        <v>566475</v>
      </c>
    </row>
    <row r="1104" customFormat="false" ht="15.75" hidden="false" customHeight="false" outlineLevel="0" collapsed="false">
      <c r="A1104" s="3" t="n">
        <f aca="false">IFERROR(__xludf.dummyfunction("""COMPUTED_VALUE"""),45800.6666666667)</f>
        <v>45800.6666666667</v>
      </c>
      <c r="B1104" s="2" t="n">
        <f aca="false">IFERROR(__xludf.dummyfunction("""COMPUTED_VALUE"""),198.9)</f>
        <v>198.9</v>
      </c>
      <c r="C1104" s="2" t="n">
        <f aca="false">IFERROR(__xludf.dummyfunction("""COMPUTED_VALUE"""),202.37)</f>
        <v>202.37</v>
      </c>
      <c r="D1104" s="2" t="n">
        <f aca="false">IFERROR(__xludf.dummyfunction("""COMPUTED_VALUE"""),197.85)</f>
        <v>197.85</v>
      </c>
      <c r="E1104" s="2" t="n">
        <f aca="false">IFERROR(__xludf.dummyfunction("""COMPUTED_VALUE"""),200.99)</f>
        <v>200.99</v>
      </c>
      <c r="F1104" s="2" t="n">
        <f aca="false">IFERROR(__xludf.dummyfunction("""COMPUTED_VALUE"""),33393545)</f>
        <v>33393545</v>
      </c>
    </row>
    <row r="1105" customFormat="false" ht="15.75" hidden="false" customHeight="false" outlineLevel="0" collapsed="false">
      <c r="A1105" s="3" t="n">
        <f aca="false">IFERROR(__xludf.dummyfunction("""COMPUTED_VALUE"""),45804.6666666667)</f>
        <v>45804.6666666667</v>
      </c>
      <c r="B1105" s="2" t="n">
        <f aca="false">IFERROR(__xludf.dummyfunction("""COMPUTED_VALUE"""),203.09)</f>
        <v>203.09</v>
      </c>
      <c r="C1105" s="2" t="n">
        <f aca="false">IFERROR(__xludf.dummyfunction("""COMPUTED_VALUE"""),206.69)</f>
        <v>206.69</v>
      </c>
      <c r="D1105" s="2" t="n">
        <f aca="false">IFERROR(__xludf.dummyfunction("""COMPUTED_VALUE"""),202.19)</f>
        <v>202.19</v>
      </c>
      <c r="E1105" s="2" t="n">
        <f aca="false">IFERROR(__xludf.dummyfunction("""COMPUTED_VALUE"""),206.02)</f>
        <v>206.02</v>
      </c>
      <c r="F1105" s="2" t="n">
        <f aca="false">IFERROR(__xludf.dummyfunction("""COMPUTED_VALUE"""),34892044)</f>
        <v>34892044</v>
      </c>
    </row>
    <row r="1106" customFormat="false" ht="15.75" hidden="false" customHeight="false" outlineLevel="0" collapsed="false">
      <c r="A1106" s="3" t="n">
        <f aca="false">IFERROR(__xludf.dummyfunction("""COMPUTED_VALUE"""),45805.6666666667)</f>
        <v>45805.6666666667</v>
      </c>
      <c r="B1106" s="2" t="n">
        <f aca="false">IFERROR(__xludf.dummyfunction("""COMPUTED_VALUE"""),205.92)</f>
        <v>205.92</v>
      </c>
      <c r="C1106" s="2" t="n">
        <f aca="false">IFERROR(__xludf.dummyfunction("""COMPUTED_VALUE"""),207.66)</f>
        <v>207.66</v>
      </c>
      <c r="D1106" s="2" t="n">
        <f aca="false">IFERROR(__xludf.dummyfunction("""COMPUTED_VALUE"""),204.41)</f>
        <v>204.41</v>
      </c>
      <c r="E1106" s="2" t="n">
        <f aca="false">IFERROR(__xludf.dummyfunction("""COMPUTED_VALUE"""),204.72)</f>
        <v>204.72</v>
      </c>
      <c r="F1106" s="2" t="n">
        <f aca="false">IFERROR(__xludf.dummyfunction("""COMPUTED_VALUE"""),28549753)</f>
        <v>28549753</v>
      </c>
    </row>
    <row r="1107" customFormat="false" ht="15.75" hidden="false" customHeight="false" outlineLevel="0" collapsed="false">
      <c r="A1107" s="3" t="n">
        <f aca="false">IFERROR(__xludf.dummyfunction("""COMPUTED_VALUE"""),45806.6666666667)</f>
        <v>45806.6666666667</v>
      </c>
      <c r="B1107" s="2" t="n">
        <f aca="false">IFERROR(__xludf.dummyfunction("""COMPUTED_VALUE"""),208.03)</f>
        <v>208.03</v>
      </c>
      <c r="C1107" s="2" t="n">
        <f aca="false">IFERROR(__xludf.dummyfunction("""COMPUTED_VALUE"""),208.81)</f>
        <v>208.81</v>
      </c>
      <c r="D1107" s="2" t="n">
        <f aca="false">IFERROR(__xludf.dummyfunction("""COMPUTED_VALUE"""),204.23)</f>
        <v>204.23</v>
      </c>
      <c r="E1107" s="2" t="n">
        <f aca="false">IFERROR(__xludf.dummyfunction("""COMPUTED_VALUE"""),205.7)</f>
        <v>205.7</v>
      </c>
      <c r="F1107" s="2" t="n">
        <f aca="false">IFERROR(__xludf.dummyfunction("""COMPUTED_VALUE"""),34700005)</f>
        <v>34700005</v>
      </c>
    </row>
    <row r="1108" customFormat="false" ht="15.75" hidden="false" customHeight="false" outlineLevel="0" collapsed="false">
      <c r="A1108" s="3" t="n">
        <f aca="false">IFERROR(__xludf.dummyfunction("""COMPUTED_VALUE"""),45807.6666666667)</f>
        <v>45807.6666666667</v>
      </c>
      <c r="B1108" s="2" t="n">
        <f aca="false">IFERROR(__xludf.dummyfunction("""COMPUTED_VALUE"""),204.84)</f>
        <v>204.84</v>
      </c>
      <c r="C1108" s="2" t="n">
        <f aca="false">IFERROR(__xludf.dummyfunction("""COMPUTED_VALUE"""),205.99)</f>
        <v>205.99</v>
      </c>
      <c r="D1108" s="2" t="n">
        <f aca="false">IFERROR(__xludf.dummyfunction("""COMPUTED_VALUE"""),201.7)</f>
        <v>201.7</v>
      </c>
      <c r="E1108" s="2" t="n">
        <f aca="false">IFERROR(__xludf.dummyfunction("""COMPUTED_VALUE"""),205.01)</f>
        <v>205.01</v>
      </c>
      <c r="F1108" s="2" t="n">
        <f aca="false">IFERROR(__xludf.dummyfunction("""COMPUTED_VALUE"""),51679406)</f>
        <v>51679406</v>
      </c>
    </row>
    <row r="1109" customFormat="false" ht="15.75" hidden="false" customHeight="false" outlineLevel="0" collapsed="false">
      <c r="A1109" s="3" t="n">
        <f aca="false">IFERROR(__xludf.dummyfunction("""COMPUTED_VALUE"""),45810.6666666667)</f>
        <v>45810.6666666667</v>
      </c>
      <c r="B1109" s="2" t="n">
        <f aca="false">IFERROR(__xludf.dummyfunction("""COMPUTED_VALUE"""),204.98)</f>
        <v>204.98</v>
      </c>
      <c r="C1109" s="2" t="n">
        <f aca="false">IFERROR(__xludf.dummyfunction("""COMPUTED_VALUE"""),207)</f>
        <v>207</v>
      </c>
      <c r="D1109" s="2" t="n">
        <f aca="false">IFERROR(__xludf.dummyfunction("""COMPUTED_VALUE"""),202.68)</f>
        <v>202.68</v>
      </c>
      <c r="E1109" s="2" t="n">
        <f aca="false">IFERROR(__xludf.dummyfunction("""COMPUTED_VALUE"""),206.65)</f>
        <v>206.65</v>
      </c>
      <c r="F1109" s="2" t="n">
        <f aca="false">IFERROR(__xludf.dummyfunction("""COMPUTED_VALUE"""),29113319)</f>
        <v>29113319</v>
      </c>
    </row>
    <row r="1110" customFormat="false" ht="15.75" hidden="false" customHeight="false" outlineLevel="0" collapsed="false">
      <c r="A1110" s="3" t="n">
        <f aca="false">IFERROR(__xludf.dummyfunction("""COMPUTED_VALUE"""),45811.6666666667)</f>
        <v>45811.6666666667</v>
      </c>
      <c r="B1110" s="2" t="n">
        <f aca="false">IFERROR(__xludf.dummyfunction("""COMPUTED_VALUE"""),207.11)</f>
        <v>207.11</v>
      </c>
      <c r="C1110" s="2" t="n">
        <f aca="false">IFERROR(__xludf.dummyfunction("""COMPUTED_VALUE"""),208.95)</f>
        <v>208.95</v>
      </c>
      <c r="D1110" s="2" t="n">
        <f aca="false">IFERROR(__xludf.dummyfunction("""COMPUTED_VALUE"""),205.03)</f>
        <v>205.03</v>
      </c>
      <c r="E1110" s="2" t="n">
        <f aca="false">IFERROR(__xludf.dummyfunction("""COMPUTED_VALUE"""),205.71)</f>
        <v>205.71</v>
      </c>
      <c r="F1110" s="2" t="n">
        <f aca="false">IFERROR(__xludf.dummyfunction("""COMPUTED_VALUE"""),33139121)</f>
        <v>33139121</v>
      </c>
    </row>
    <row r="1111" customFormat="false" ht="15.75" hidden="false" customHeight="false" outlineLevel="0" collapsed="false">
      <c r="A1111" s="3" t="n">
        <f aca="false">IFERROR(__xludf.dummyfunction("""COMPUTED_VALUE"""),45812.6666666667)</f>
        <v>45812.6666666667</v>
      </c>
      <c r="B1111" s="2" t="n">
        <f aca="false">IFERROR(__xludf.dummyfunction("""COMPUTED_VALUE"""),206.55)</f>
        <v>206.55</v>
      </c>
      <c r="C1111" s="2" t="n">
        <f aca="false">IFERROR(__xludf.dummyfunction("""COMPUTED_VALUE"""),208.18)</f>
        <v>208.18</v>
      </c>
      <c r="D1111" s="2" t="n">
        <f aca="false">IFERROR(__xludf.dummyfunction("""COMPUTED_VALUE"""),205.18)</f>
        <v>205.18</v>
      </c>
      <c r="E1111" s="2" t="n">
        <f aca="false">IFERROR(__xludf.dummyfunction("""COMPUTED_VALUE"""),207.23)</f>
        <v>207.23</v>
      </c>
      <c r="F1111" s="2" t="n">
        <f aca="false">IFERROR(__xludf.dummyfunction("""COMPUTED_VALUE"""),29915592)</f>
        <v>29915592</v>
      </c>
    </row>
    <row r="1112" customFormat="false" ht="15.75" hidden="false" customHeight="false" outlineLevel="0" collapsed="false">
      <c r="A1112" s="3" t="n">
        <f aca="false">IFERROR(__xludf.dummyfunction("""COMPUTED_VALUE"""),45813.6666666667)</f>
        <v>45813.6666666667</v>
      </c>
      <c r="B1112" s="2" t="n">
        <f aca="false">IFERROR(__xludf.dummyfunction("""COMPUTED_VALUE"""),209.55)</f>
        <v>209.55</v>
      </c>
      <c r="C1112" s="2" t="n">
        <f aca="false">IFERROR(__xludf.dummyfunction("""COMPUTED_VALUE"""),212.81)</f>
        <v>212.81</v>
      </c>
      <c r="D1112" s="2" t="n">
        <f aca="false">IFERROR(__xludf.dummyfunction("""COMPUTED_VALUE"""),207.56)</f>
        <v>207.56</v>
      </c>
      <c r="E1112" s="2" t="n">
        <f aca="false">IFERROR(__xludf.dummyfunction("""COMPUTED_VALUE"""),207.91)</f>
        <v>207.91</v>
      </c>
      <c r="F1112" s="2" t="n">
        <f aca="false">IFERROR(__xludf.dummyfunction("""COMPUTED_VALUE"""),51979243)</f>
        <v>51979243</v>
      </c>
    </row>
    <row r="1113" customFormat="false" ht="15.75" hidden="false" customHeight="false" outlineLevel="0" collapsed="false">
      <c r="A1113" s="3" t="n">
        <f aca="false">IFERROR(__xludf.dummyfunction("""COMPUTED_VALUE"""),45814.6666666667)</f>
        <v>45814.6666666667</v>
      </c>
      <c r="B1113" s="2" t="n">
        <f aca="false">IFERROR(__xludf.dummyfunction("""COMPUTED_VALUE"""),212.4)</f>
        <v>212.4</v>
      </c>
      <c r="C1113" s="2" t="n">
        <f aca="false">IFERROR(__xludf.dummyfunction("""COMPUTED_VALUE"""),213.87)</f>
        <v>213.87</v>
      </c>
      <c r="D1113" s="2" t="n">
        <f aca="false">IFERROR(__xludf.dummyfunction("""COMPUTED_VALUE"""),210.5)</f>
        <v>210.5</v>
      </c>
      <c r="E1113" s="2" t="n">
        <f aca="false">IFERROR(__xludf.dummyfunction("""COMPUTED_VALUE"""),213.57)</f>
        <v>213.57</v>
      </c>
      <c r="F1113" s="2" t="n">
        <f aca="false">IFERROR(__xludf.dummyfunction("""COMPUTED_VALUE"""),39832500)</f>
        <v>39832500</v>
      </c>
    </row>
    <row r="1114" customFormat="false" ht="15.75" hidden="false" customHeight="false" outlineLevel="0" collapsed="false">
      <c r="A1114" s="3" t="n">
        <f aca="false">IFERROR(__xludf.dummyfunction("""COMPUTED_VALUE"""),45817.6666666667)</f>
        <v>45817.6666666667</v>
      </c>
      <c r="B1114" s="2" t="n">
        <f aca="false">IFERROR(__xludf.dummyfunction("""COMPUTED_VALUE"""),214.75)</f>
        <v>214.75</v>
      </c>
      <c r="C1114" s="2" t="n">
        <f aca="false">IFERROR(__xludf.dummyfunction("""COMPUTED_VALUE"""),217.85)</f>
        <v>217.85</v>
      </c>
      <c r="D1114" s="2" t="n">
        <f aca="false">IFERROR(__xludf.dummyfunction("""COMPUTED_VALUE"""),212.88)</f>
        <v>212.88</v>
      </c>
      <c r="E1114" s="2" t="n">
        <f aca="false">IFERROR(__xludf.dummyfunction("""COMPUTED_VALUE"""),216.98)</f>
        <v>216.98</v>
      </c>
      <c r="F1114" s="2" t="n">
        <f aca="false">IFERROR(__xludf.dummyfunction("""COMPUTED_VALUE"""),38102502)</f>
        <v>38102502</v>
      </c>
    </row>
    <row r="1115" customFormat="false" ht="15.75" hidden="false" customHeight="false" outlineLevel="0" collapsed="false">
      <c r="A1115" s="3" t="n">
        <f aca="false">IFERROR(__xludf.dummyfunction("""COMPUTED_VALUE"""),45818.6666666667)</f>
        <v>45818.6666666667</v>
      </c>
      <c r="B1115" s="2" t="n">
        <f aca="false">IFERROR(__xludf.dummyfunction("""COMPUTED_VALUE"""),216.78)</f>
        <v>216.78</v>
      </c>
      <c r="C1115" s="2" t="n">
        <f aca="false">IFERROR(__xludf.dummyfunction("""COMPUTED_VALUE"""),217.69)</f>
        <v>217.69</v>
      </c>
      <c r="D1115" s="2" t="n">
        <f aca="false">IFERROR(__xludf.dummyfunction("""COMPUTED_VALUE"""),214.15)</f>
        <v>214.15</v>
      </c>
      <c r="E1115" s="2" t="n">
        <f aca="false">IFERROR(__xludf.dummyfunction("""COMPUTED_VALUE"""),217.61)</f>
        <v>217.61</v>
      </c>
      <c r="F1115" s="2" t="n">
        <f aca="false">IFERROR(__xludf.dummyfunction("""COMPUTED_VALUE"""),31303317)</f>
        <v>31303317</v>
      </c>
    </row>
    <row r="1116" customFormat="false" ht="15.75" hidden="false" customHeight="false" outlineLevel="0" collapsed="false">
      <c r="A1116" s="3" t="n">
        <f aca="false">IFERROR(__xludf.dummyfunction("""COMPUTED_VALUE"""),45819.6666666667)</f>
        <v>45819.6666666667</v>
      </c>
      <c r="B1116" s="2" t="n">
        <f aca="false">IFERROR(__xludf.dummyfunction("""COMPUTED_VALUE"""),217.41)</f>
        <v>217.41</v>
      </c>
      <c r="C1116" s="2" t="n">
        <f aca="false">IFERROR(__xludf.dummyfunction("""COMPUTED_VALUE"""),218.4)</f>
        <v>218.4</v>
      </c>
      <c r="D1116" s="2" t="n">
        <f aca="false">IFERROR(__xludf.dummyfunction("""COMPUTED_VALUE"""),212.89)</f>
        <v>212.89</v>
      </c>
      <c r="E1116" s="2" t="n">
        <f aca="false">IFERROR(__xludf.dummyfunction("""COMPUTED_VALUE"""),213.2)</f>
        <v>213.2</v>
      </c>
      <c r="F1116" s="2" t="n">
        <f aca="false">IFERROR(__xludf.dummyfunction("""COMPUTED_VALUE"""),39325981)</f>
        <v>39325981</v>
      </c>
    </row>
    <row r="1117" customFormat="false" ht="15.75" hidden="false" customHeight="false" outlineLevel="0" collapsed="false">
      <c r="A1117" s="3" t="n">
        <f aca="false">IFERROR(__xludf.dummyfunction("""COMPUTED_VALUE"""),45820.6666666667)</f>
        <v>45820.6666666667</v>
      </c>
      <c r="B1117" s="2" t="n">
        <f aca="false">IFERROR(__xludf.dummyfunction("""COMPUTED_VALUE"""),211.78)</f>
        <v>211.78</v>
      </c>
      <c r="C1117" s="2" t="n">
        <f aca="false">IFERROR(__xludf.dummyfunction("""COMPUTED_VALUE"""),213.58)</f>
        <v>213.58</v>
      </c>
      <c r="D1117" s="2" t="n">
        <f aca="false">IFERROR(__xludf.dummyfunction("""COMPUTED_VALUE"""),211.33)</f>
        <v>211.33</v>
      </c>
      <c r="E1117" s="2" t="n">
        <f aca="false">IFERROR(__xludf.dummyfunction("""COMPUTED_VALUE"""),213.24)</f>
        <v>213.24</v>
      </c>
      <c r="F1117" s="2" t="n">
        <f aca="false">IFERROR(__xludf.dummyfunction("""COMPUTED_VALUE"""),27639991)</f>
        <v>27639991</v>
      </c>
    </row>
    <row r="1118" customFormat="false" ht="15.75" hidden="false" customHeight="false" outlineLevel="0" collapsed="false">
      <c r="A1118" s="3" t="n">
        <f aca="false">IFERROR(__xludf.dummyfunction("""COMPUTED_VALUE"""),45821.6666666667)</f>
        <v>45821.6666666667</v>
      </c>
      <c r="B1118" s="2" t="n">
        <f aca="false">IFERROR(__xludf.dummyfunction("""COMPUTED_VALUE"""),209.96)</f>
        <v>209.96</v>
      </c>
      <c r="C1118" s="2" t="n">
        <f aca="false">IFERROR(__xludf.dummyfunction("""COMPUTED_VALUE"""),214.05)</f>
        <v>214.05</v>
      </c>
      <c r="D1118" s="2" t="n">
        <f aca="false">IFERROR(__xludf.dummyfunction("""COMPUTED_VALUE"""),209.62)</f>
        <v>209.62</v>
      </c>
      <c r="E1118" s="2" t="n">
        <f aca="false">IFERROR(__xludf.dummyfunction("""COMPUTED_VALUE"""),212.1)</f>
        <v>212.1</v>
      </c>
      <c r="F1118" s="2" t="n">
        <f aca="false">IFERROR(__xludf.dummyfunction("""COMPUTED_VALUE"""),29337763)</f>
        <v>29337763</v>
      </c>
    </row>
    <row r="1119" customFormat="false" ht="15.75" hidden="false" customHeight="false" outlineLevel="0" collapsed="false">
      <c r="A1119" s="3" t="n">
        <f aca="false">IFERROR(__xludf.dummyfunction("""COMPUTED_VALUE"""),45824.6666666667)</f>
        <v>45824.6666666667</v>
      </c>
      <c r="B1119" s="2" t="n">
        <f aca="false">IFERROR(__xludf.dummyfunction("""COMPUTED_VALUE"""),212.31)</f>
        <v>212.31</v>
      </c>
      <c r="C1119" s="2" t="n">
        <f aca="false">IFERROR(__xludf.dummyfunction("""COMPUTED_VALUE"""),217.06)</f>
        <v>217.06</v>
      </c>
      <c r="D1119" s="2" t="n">
        <f aca="false">IFERROR(__xludf.dummyfunction("""COMPUTED_VALUE"""),211.6)</f>
        <v>211.6</v>
      </c>
      <c r="E1119" s="2" t="n">
        <f aca="false">IFERROR(__xludf.dummyfunction("""COMPUTED_VALUE"""),216.1)</f>
        <v>216.1</v>
      </c>
      <c r="F1119" s="2" t="n">
        <f aca="false">IFERROR(__xludf.dummyfunction("""COMPUTED_VALUE"""),33284158)</f>
        <v>33284158</v>
      </c>
    </row>
    <row r="1120" customFormat="false" ht="15.75" hidden="false" customHeight="false" outlineLevel="0" collapsed="false">
      <c r="A1120" s="3" t="n">
        <f aca="false">IFERROR(__xludf.dummyfunction("""COMPUTED_VALUE"""),45825.6666666667)</f>
        <v>45825.6666666667</v>
      </c>
      <c r="B1120" s="2" t="n">
        <f aca="false">IFERROR(__xludf.dummyfunction("""COMPUTED_VALUE"""),215.2)</f>
        <v>215.2</v>
      </c>
      <c r="C1120" s="2" t="n">
        <f aca="false">IFERROR(__xludf.dummyfunction("""COMPUTED_VALUE"""),217.41)</f>
        <v>217.41</v>
      </c>
      <c r="D1120" s="2" t="n">
        <f aca="false">IFERROR(__xludf.dummyfunction("""COMPUTED_VALUE"""),214.56)</f>
        <v>214.56</v>
      </c>
      <c r="E1120" s="2" t="n">
        <f aca="false">IFERROR(__xludf.dummyfunction("""COMPUTED_VALUE"""),214.82)</f>
        <v>214.82</v>
      </c>
      <c r="F1120" s="2" t="n">
        <f aca="false">IFERROR(__xludf.dummyfunction("""COMPUTED_VALUE"""),32086262)</f>
        <v>32086262</v>
      </c>
    </row>
    <row r="1121" customFormat="false" ht="15.75" hidden="false" customHeight="false" outlineLevel="0" collapsed="false">
      <c r="A1121" s="3" t="n">
        <f aca="false">IFERROR(__xludf.dummyfunction("""COMPUTED_VALUE"""),45826.6666666667)</f>
        <v>45826.6666666667</v>
      </c>
      <c r="B1121" s="2" t="n">
        <f aca="false">IFERROR(__xludf.dummyfunction("""COMPUTED_VALUE"""),215.09)</f>
        <v>215.09</v>
      </c>
      <c r="C1121" s="2" t="n">
        <f aca="false">IFERROR(__xludf.dummyfunction("""COMPUTED_VALUE"""),217.96)</f>
        <v>217.96</v>
      </c>
      <c r="D1121" s="2" t="n">
        <f aca="false">IFERROR(__xludf.dummyfunction("""COMPUTED_VALUE"""),212.34)</f>
        <v>212.34</v>
      </c>
      <c r="E1121" s="2" t="n">
        <f aca="false">IFERROR(__xludf.dummyfunction("""COMPUTED_VALUE"""),212.52)</f>
        <v>212.52</v>
      </c>
      <c r="F1121" s="2" t="n">
        <f aca="false">IFERROR(__xludf.dummyfunction("""COMPUTED_VALUE"""),44360509)</f>
        <v>44360509</v>
      </c>
    </row>
    <row r="1122" customFormat="false" ht="15.75" hidden="false" customHeight="false" outlineLevel="0" collapsed="false">
      <c r="A1122" s="3" t="n">
        <f aca="false">IFERROR(__xludf.dummyfunction("""COMPUTED_VALUE"""),45828.6666666667)</f>
        <v>45828.6666666667</v>
      </c>
      <c r="B1122" s="2" t="n">
        <f aca="false">IFERROR(__xludf.dummyfunction("""COMPUTED_VALUE"""),214.68)</f>
        <v>214.68</v>
      </c>
      <c r="C1122" s="2" t="n">
        <f aca="false">IFERROR(__xludf.dummyfunction("""COMPUTED_VALUE"""),214.89)</f>
        <v>214.89</v>
      </c>
      <c r="D1122" s="2" t="n">
        <f aca="false">IFERROR(__xludf.dummyfunction("""COMPUTED_VALUE"""),208.27)</f>
        <v>208.27</v>
      </c>
      <c r="E1122" s="2" t="n">
        <f aca="false">IFERROR(__xludf.dummyfunction("""COMPUTED_VALUE"""),209.69)</f>
        <v>209.69</v>
      </c>
      <c r="F1122" s="2" t="n">
        <f aca="false">IFERROR(__xludf.dummyfunction("""COMPUTED_VALUE"""),75350733)</f>
        <v>75350733</v>
      </c>
    </row>
    <row r="1123" customFormat="false" ht="15.75" hidden="false" customHeight="false" outlineLevel="0" collapsed="false">
      <c r="A1123" s="3" t="n">
        <f aca="false">IFERROR(__xludf.dummyfunction("""COMPUTED_VALUE"""),45831.6666666667)</f>
        <v>45831.6666666667</v>
      </c>
      <c r="B1123" s="2" t="n">
        <f aca="false">IFERROR(__xludf.dummyfunction("""COMPUTED_VALUE"""),209.79)</f>
        <v>209.79</v>
      </c>
      <c r="C1123" s="2" t="n">
        <f aca="false">IFERROR(__xludf.dummyfunction("""COMPUTED_VALUE"""),210.39)</f>
        <v>210.39</v>
      </c>
      <c r="D1123" s="2" t="n">
        <f aca="false">IFERROR(__xludf.dummyfunction("""COMPUTED_VALUE"""),207.31)</f>
        <v>207.31</v>
      </c>
      <c r="E1123" s="2" t="n">
        <f aca="false">IFERROR(__xludf.dummyfunction("""COMPUTED_VALUE"""),208.47)</f>
        <v>208.47</v>
      </c>
      <c r="F1123" s="2" t="n">
        <f aca="false">IFERROR(__xludf.dummyfunction("""COMPUTED_VALUE"""),37311725)</f>
        <v>37311725</v>
      </c>
    </row>
    <row r="1124" customFormat="false" ht="15.75" hidden="false" customHeight="false" outlineLevel="0" collapsed="false">
      <c r="A1124" s="3" t="n">
        <f aca="false">IFERROR(__xludf.dummyfunction("""COMPUTED_VALUE"""),45832.6666666667)</f>
        <v>45832.6666666667</v>
      </c>
      <c r="B1124" s="2" t="n">
        <f aca="false">IFERROR(__xludf.dummyfunction("""COMPUTED_VALUE"""),212.14)</f>
        <v>212.14</v>
      </c>
      <c r="C1124" s="2" t="n">
        <f aca="false">IFERROR(__xludf.dummyfunction("""COMPUTED_VALUE"""),214.34)</f>
        <v>214.34</v>
      </c>
      <c r="D1124" s="2" t="n">
        <f aca="false">IFERROR(__xludf.dummyfunction("""COMPUTED_VALUE"""),211.05)</f>
        <v>211.05</v>
      </c>
      <c r="E1124" s="2" t="n">
        <f aca="false">IFERROR(__xludf.dummyfunction("""COMPUTED_VALUE"""),212.77)</f>
        <v>212.77</v>
      </c>
      <c r="F1124" s="2" t="n">
        <f aca="false">IFERROR(__xludf.dummyfunction("""COMPUTED_VALUE"""),38378757)</f>
        <v>38378757</v>
      </c>
    </row>
    <row r="1125" customFormat="false" ht="15.75" hidden="false" customHeight="false" outlineLevel="0" collapsed="false">
      <c r="A1125" s="3" t="n">
        <f aca="false">IFERROR(__xludf.dummyfunction("""COMPUTED_VALUE"""),45833.6666666667)</f>
        <v>45833.6666666667</v>
      </c>
      <c r="B1125" s="2" t="n">
        <f aca="false">IFERROR(__xludf.dummyfunction("""COMPUTED_VALUE"""),214.62)</f>
        <v>214.62</v>
      </c>
      <c r="C1125" s="2" t="n">
        <f aca="false">IFERROR(__xludf.dummyfunction("""COMPUTED_VALUE"""),216.03)</f>
        <v>216.03</v>
      </c>
      <c r="D1125" s="2" t="n">
        <f aca="false">IFERROR(__xludf.dummyfunction("""COMPUTED_VALUE"""),211.11)</f>
        <v>211.11</v>
      </c>
      <c r="E1125" s="2" t="n">
        <f aca="false">IFERROR(__xludf.dummyfunction("""COMPUTED_VALUE"""),211.99)</f>
        <v>211.99</v>
      </c>
      <c r="F1125" s="2" t="n">
        <f aca="false">IFERROR(__xludf.dummyfunction("""COMPUTED_VALUE"""),31755698)</f>
        <v>31755698</v>
      </c>
    </row>
    <row r="1126" customFormat="false" ht="15.75" hidden="false" customHeight="false" outlineLevel="0" collapsed="false">
      <c r="A1126" s="3" t="n">
        <f aca="false">IFERROR(__xludf.dummyfunction("""COMPUTED_VALUE"""),45834.6666666667)</f>
        <v>45834.6666666667</v>
      </c>
      <c r="B1126" s="2" t="n">
        <f aca="false">IFERROR(__xludf.dummyfunction("""COMPUTED_VALUE"""),213.12)</f>
        <v>213.12</v>
      </c>
      <c r="C1126" s="2" t="n">
        <f aca="false">IFERROR(__xludf.dummyfunction("""COMPUTED_VALUE"""),218.04)</f>
        <v>218.04</v>
      </c>
      <c r="D1126" s="2" t="n">
        <f aca="false">IFERROR(__xludf.dummyfunction("""COMPUTED_VALUE"""),212.01)</f>
        <v>212.01</v>
      </c>
      <c r="E1126" s="2" t="n">
        <f aca="false">IFERROR(__xludf.dummyfunction("""COMPUTED_VALUE"""),217.12)</f>
        <v>217.12</v>
      </c>
      <c r="F1126" s="2" t="n">
        <f aca="false">IFERROR(__xludf.dummyfunction("""COMPUTED_VALUE"""),50480814)</f>
        <v>50480814</v>
      </c>
    </row>
    <row r="1127" customFormat="false" ht="15.75" hidden="false" customHeight="false" outlineLevel="0" collapsed="false">
      <c r="A1127" s="3" t="n">
        <f aca="false">IFERROR(__xludf.dummyfunction("""COMPUTED_VALUE"""),45835.6666666667)</f>
        <v>45835.6666666667</v>
      </c>
      <c r="B1127" s="2" t="n">
        <f aca="false">IFERROR(__xludf.dummyfunction("""COMPUTED_VALUE"""),219.92)</f>
        <v>219.92</v>
      </c>
      <c r="C1127" s="2" t="n">
        <f aca="false">IFERROR(__xludf.dummyfunction("""COMPUTED_VALUE"""),223.3)</f>
        <v>223.3</v>
      </c>
      <c r="D1127" s="2" t="n">
        <f aca="false">IFERROR(__xludf.dummyfunction("""COMPUTED_VALUE"""),216.74)</f>
        <v>216.74</v>
      </c>
      <c r="E1127" s="2" t="n">
        <f aca="false">IFERROR(__xludf.dummyfunction("""COMPUTED_VALUE"""),223.3)</f>
        <v>223.3</v>
      </c>
      <c r="F1127" s="2" t="n">
        <f aca="false">IFERROR(__xludf.dummyfunction("""COMPUTED_VALUE"""),119217138)</f>
        <v>119217138</v>
      </c>
    </row>
    <row r="1128" customFormat="false" ht="15.75" hidden="false" customHeight="false" outlineLevel="0" collapsed="false">
      <c r="A1128" s="3" t="n">
        <f aca="false">IFERROR(__xludf.dummyfunction("""COMPUTED_VALUE"""),45838.6666666667)</f>
        <v>45838.6666666667</v>
      </c>
      <c r="B1128" s="2" t="n">
        <f aca="false">IFERROR(__xludf.dummyfunction("""COMPUTED_VALUE"""),223.52)</f>
        <v>223.52</v>
      </c>
      <c r="C1128" s="2" t="n">
        <f aca="false">IFERROR(__xludf.dummyfunction("""COMPUTED_VALUE"""),223.82)</f>
        <v>223.82</v>
      </c>
      <c r="D1128" s="2" t="n">
        <f aca="false">IFERROR(__xludf.dummyfunction("""COMPUTED_VALUE"""),219.12)</f>
        <v>219.12</v>
      </c>
      <c r="E1128" s="2" t="n">
        <f aca="false">IFERROR(__xludf.dummyfunction("""COMPUTED_VALUE"""),219.39)</f>
        <v>219.39</v>
      </c>
      <c r="F1128" s="2" t="n">
        <f aca="false">IFERROR(__xludf.dummyfunction("""COMPUTED_VALUE"""),58887780)</f>
        <v>58887780</v>
      </c>
    </row>
    <row r="1129" customFormat="false" ht="15.75" hidden="false" customHeight="false" outlineLevel="0" collapsed="false">
      <c r="A1129" s="3" t="n">
        <f aca="false">IFERROR(__xludf.dummyfunction("""COMPUTED_VALUE"""),45839.6666666667)</f>
        <v>45839.6666666667</v>
      </c>
      <c r="B1129" s="2" t="n">
        <f aca="false">IFERROR(__xludf.dummyfunction("""COMPUTED_VALUE"""),219.5)</f>
        <v>219.5</v>
      </c>
      <c r="C1129" s="2" t="n">
        <f aca="false">IFERROR(__xludf.dummyfunction("""COMPUTED_VALUE"""),221.88)</f>
        <v>221.88</v>
      </c>
      <c r="D1129" s="2" t="n">
        <f aca="false">IFERROR(__xludf.dummyfunction("""COMPUTED_VALUE"""),217.93)</f>
        <v>217.93</v>
      </c>
      <c r="E1129" s="2" t="n">
        <f aca="false">IFERROR(__xludf.dummyfunction("""COMPUTED_VALUE"""),220.46)</f>
        <v>220.46</v>
      </c>
      <c r="F1129" s="2" t="n">
        <f aca="false">IFERROR(__xludf.dummyfunction("""COMPUTED_VALUE"""),39256830)</f>
        <v>39256830</v>
      </c>
    </row>
    <row r="1130" customFormat="false" ht="15.75" hidden="false" customHeight="false" outlineLevel="0" collapsed="false">
      <c r="A1130" s="3" t="n">
        <f aca="false">IFERROR(__xludf.dummyfunction("""COMPUTED_VALUE"""),45840.6666666667)</f>
        <v>45840.6666666667</v>
      </c>
      <c r="B1130" s="2" t="n">
        <f aca="false">IFERROR(__xludf.dummyfunction("""COMPUTED_VALUE"""),219.73)</f>
        <v>219.73</v>
      </c>
      <c r="C1130" s="2" t="n">
        <f aca="false">IFERROR(__xludf.dummyfunction("""COMPUTED_VALUE"""),221.6)</f>
        <v>221.6</v>
      </c>
      <c r="D1130" s="2" t="n">
        <f aca="false">IFERROR(__xludf.dummyfunction("""COMPUTED_VALUE"""),219.06)</f>
        <v>219.06</v>
      </c>
      <c r="E1130" s="2" t="n">
        <f aca="false">IFERROR(__xludf.dummyfunction("""COMPUTED_VALUE"""),219.92)</f>
        <v>219.92</v>
      </c>
      <c r="F1130" s="2" t="n">
        <f aca="false">IFERROR(__xludf.dummyfunction("""COMPUTED_VALUE"""),30894178)</f>
        <v>30894178</v>
      </c>
    </row>
    <row r="1131" customFormat="false" ht="15.75" hidden="false" customHeight="false" outlineLevel="0" collapsed="false">
      <c r="A1131" s="3" t="n">
        <f aca="false">IFERROR(__xludf.dummyfunction("""COMPUTED_VALUE"""),45841.5451388889)</f>
        <v>45841.5451388889</v>
      </c>
      <c r="B1131" s="2" t="n">
        <f aca="false">IFERROR(__xludf.dummyfunction("""COMPUTED_VALUE"""),221.82)</f>
        <v>221.82</v>
      </c>
      <c r="C1131" s="2" t="n">
        <f aca="false">IFERROR(__xludf.dummyfunction("""COMPUTED_VALUE"""),224.01)</f>
        <v>224.01</v>
      </c>
      <c r="D1131" s="2" t="n">
        <f aca="false">IFERROR(__xludf.dummyfunction("""COMPUTED_VALUE"""),221.36)</f>
        <v>221.36</v>
      </c>
      <c r="E1131" s="2" t="n">
        <f aca="false">IFERROR(__xludf.dummyfunction("""COMPUTED_VALUE"""),223.41)</f>
        <v>223.41</v>
      </c>
      <c r="F1131" s="2" t="n">
        <f aca="false">IFERROR(__xludf.dummyfunction("""COMPUTED_VALUE"""),29632353)</f>
        <v>29632353</v>
      </c>
    </row>
    <row r="1132" customFormat="false" ht="15.75" hidden="false" customHeight="false" outlineLevel="0" collapsed="false">
      <c r="A1132" s="3" t="n">
        <f aca="false">IFERROR(__xludf.dummyfunction("""COMPUTED_VALUE"""),45845.6666666667)</f>
        <v>45845.6666666667</v>
      </c>
      <c r="B1132" s="2" t="n">
        <f aca="false">IFERROR(__xludf.dummyfunction("""COMPUTED_VALUE"""),223)</f>
        <v>223</v>
      </c>
      <c r="C1132" s="2" t="n">
        <f aca="false">IFERROR(__xludf.dummyfunction("""COMPUTED_VALUE"""),224.29)</f>
        <v>224.29</v>
      </c>
      <c r="D1132" s="2" t="n">
        <f aca="false">IFERROR(__xludf.dummyfunction("""COMPUTED_VALUE"""),222.37)</f>
        <v>222.37</v>
      </c>
      <c r="E1132" s="2" t="n">
        <f aca="false">IFERROR(__xludf.dummyfunction("""COMPUTED_VALUE"""),223.47)</f>
        <v>223.47</v>
      </c>
      <c r="F1132" s="2" t="n">
        <f aca="false">IFERROR(__xludf.dummyfunction("""COMPUTED_VALUE"""),36604139)</f>
        <v>36604139</v>
      </c>
    </row>
    <row r="1133" customFormat="false" ht="15.75" hidden="false" customHeight="false" outlineLevel="0" collapsed="false">
      <c r="A1133" s="3" t="n">
        <f aca="false">IFERROR(__xludf.dummyfunction("""COMPUTED_VALUE"""),45846.6666666667)</f>
        <v>45846.6666666667</v>
      </c>
      <c r="B1133" s="2" t="n">
        <f aca="false">IFERROR(__xludf.dummyfunction("""COMPUTED_VALUE"""),223.92)</f>
        <v>223.92</v>
      </c>
      <c r="C1133" s="2" t="n">
        <f aca="false">IFERROR(__xludf.dummyfunction("""COMPUTED_VALUE"""),224)</f>
        <v>224</v>
      </c>
      <c r="D1133" s="2" t="n">
        <f aca="false">IFERROR(__xludf.dummyfunction("""COMPUTED_VALUE"""),218.43)</f>
        <v>218.43</v>
      </c>
      <c r="E1133" s="2" t="n">
        <f aca="false">IFERROR(__xludf.dummyfunction("""COMPUTED_VALUE"""),219.36)</f>
        <v>219.36</v>
      </c>
      <c r="F1133" s="2" t="n">
        <f aca="false">IFERROR(__xludf.dummyfunction("""COMPUTED_VALUE"""),45691987)</f>
        <v>45691987</v>
      </c>
    </row>
    <row r="1134" customFormat="false" ht="15.75" hidden="false" customHeight="false" outlineLevel="0" collapsed="false">
      <c r="A1134" s="3" t="n">
        <f aca="false">IFERROR(__xludf.dummyfunction("""COMPUTED_VALUE"""),45847.6666666667)</f>
        <v>45847.6666666667</v>
      </c>
      <c r="B1134" s="2" t="n">
        <f aca="false">IFERROR(__xludf.dummyfunction("""COMPUTED_VALUE"""),221.07)</f>
        <v>221.07</v>
      </c>
      <c r="C1134" s="2" t="n">
        <f aca="false">IFERROR(__xludf.dummyfunction("""COMPUTED_VALUE"""),224.29)</f>
        <v>224.29</v>
      </c>
      <c r="D1134" s="2" t="n">
        <f aca="false">IFERROR(__xludf.dummyfunction("""COMPUTED_VALUE"""),220.47)</f>
        <v>220.47</v>
      </c>
      <c r="E1134" s="2" t="n">
        <f aca="false">IFERROR(__xludf.dummyfunction("""COMPUTED_VALUE"""),222.54)</f>
        <v>222.54</v>
      </c>
      <c r="F1134" s="2" t="n">
        <f aca="false">IFERROR(__xludf.dummyfunction("""COMPUTED_VALUE"""),38155121)</f>
        <v>38155121</v>
      </c>
    </row>
    <row r="1135" customFormat="false" ht="15.75" hidden="false" customHeight="false" outlineLevel="0" collapsed="false">
      <c r="A1135" s="3" t="n">
        <f aca="false">IFERROR(__xludf.dummyfunction("""COMPUTED_VALUE"""),45848.6666666667)</f>
        <v>45848.6666666667</v>
      </c>
      <c r="B1135" s="2" t="n">
        <f aca="false">IFERROR(__xludf.dummyfunction("""COMPUTED_VALUE"""),221.55)</f>
        <v>221.55</v>
      </c>
      <c r="C1135" s="2" t="n">
        <f aca="false">IFERROR(__xludf.dummyfunction("""COMPUTED_VALUE"""),222.79)</f>
        <v>222.79</v>
      </c>
      <c r="D1135" s="2" t="n">
        <f aca="false">IFERROR(__xludf.dummyfunction("""COMPUTED_VALUE"""),219.7)</f>
        <v>219.7</v>
      </c>
      <c r="E1135" s="2" t="n">
        <f aca="false">IFERROR(__xludf.dummyfunction("""COMPUTED_VALUE"""),222.26)</f>
        <v>222.26</v>
      </c>
      <c r="F1135" s="2" t="n">
        <f aca="false">IFERROR(__xludf.dummyfunction("""COMPUTED_VALUE"""),30370591)</f>
        <v>30370591</v>
      </c>
    </row>
    <row r="1136" customFormat="false" ht="15.75" hidden="false" customHeight="false" outlineLevel="0" collapsed="false">
      <c r="A1136" s="3" t="n">
        <f aca="false">IFERROR(__xludf.dummyfunction("""COMPUTED_VALUE"""),45849.6666666667)</f>
        <v>45849.6666666667</v>
      </c>
      <c r="B1136" s="2" t="n">
        <f aca="false">IFERROR(__xludf.dummyfunction("""COMPUTED_VALUE"""),223.58)</f>
        <v>223.58</v>
      </c>
      <c r="C1136" s="2" t="n">
        <f aca="false">IFERROR(__xludf.dummyfunction("""COMPUTED_VALUE"""),226.68)</f>
        <v>226.68</v>
      </c>
      <c r="D1136" s="2" t="n">
        <f aca="false">IFERROR(__xludf.dummyfunction("""COMPUTED_VALUE"""),222.37)</f>
        <v>222.37</v>
      </c>
      <c r="E1136" s="2" t="n">
        <f aca="false">IFERROR(__xludf.dummyfunction("""COMPUTED_VALUE"""),225.02)</f>
        <v>225.02</v>
      </c>
      <c r="F1136" s="2" t="n">
        <f aca="false">IFERROR(__xludf.dummyfunction("""COMPUTED_VALUE"""),50518307)</f>
        <v>50518307</v>
      </c>
    </row>
    <row r="1137" customFormat="false" ht="15.75" hidden="false" customHeight="false" outlineLevel="0" collapsed="false">
      <c r="A1137" s="3" t="n">
        <f aca="false">IFERROR(__xludf.dummyfunction("""COMPUTED_VALUE"""),45852.6666666667)</f>
        <v>45852.6666666667</v>
      </c>
      <c r="B1137" s="2" t="n">
        <f aca="false">IFERROR(__xludf.dummyfunction("""COMPUTED_VALUE"""),225.07)</f>
        <v>225.07</v>
      </c>
      <c r="C1137" s="2" t="n">
        <f aca="false">IFERROR(__xludf.dummyfunction("""COMPUTED_VALUE"""),226.66)</f>
        <v>226.66</v>
      </c>
      <c r="D1137" s="2" t="n">
        <f aca="false">IFERROR(__xludf.dummyfunction("""COMPUTED_VALUE"""),224.24)</f>
        <v>224.24</v>
      </c>
      <c r="E1137" s="2" t="n">
        <f aca="false">IFERROR(__xludf.dummyfunction("""COMPUTED_VALUE"""),225.69)</f>
        <v>225.69</v>
      </c>
      <c r="F1137" s="2" t="n">
        <f aca="false">IFERROR(__xludf.dummyfunction("""COMPUTED_VALUE"""),35702597)</f>
        <v>35702597</v>
      </c>
    </row>
    <row r="1138" customFormat="false" ht="15.75" hidden="false" customHeight="false" outlineLevel="0" collapsed="false">
      <c r="A1138" s="3" t="n">
        <f aca="false">IFERROR(__xludf.dummyfunction("""COMPUTED_VALUE"""),45853.6666666667)</f>
        <v>45853.6666666667</v>
      </c>
      <c r="B1138" s="2" t="n">
        <f aca="false">IFERROR(__xludf.dummyfunction("""COMPUTED_VALUE"""),226.2)</f>
        <v>226.2</v>
      </c>
      <c r="C1138" s="2" t="n">
        <f aca="false">IFERROR(__xludf.dummyfunction("""COMPUTED_VALUE"""),227.27)</f>
        <v>227.27</v>
      </c>
      <c r="D1138" s="2" t="n">
        <f aca="false">IFERROR(__xludf.dummyfunction("""COMPUTED_VALUE"""),225.46)</f>
        <v>225.46</v>
      </c>
      <c r="E1138" s="2" t="n">
        <f aca="false">IFERROR(__xludf.dummyfunction("""COMPUTED_VALUE"""),226.35)</f>
        <v>226.35</v>
      </c>
      <c r="F1138" s="2" t="n">
        <f aca="false">IFERROR(__xludf.dummyfunction("""COMPUTED_VALUE"""),34907294)</f>
        <v>34907294</v>
      </c>
    </row>
    <row r="1139" customFormat="false" ht="15.75" hidden="false" customHeight="false" outlineLevel="0" collapsed="false">
      <c r="A1139" s="3" t="n">
        <f aca="false">IFERROR(__xludf.dummyfunction("""COMPUTED_VALUE"""),45854.6666666667)</f>
        <v>45854.6666666667</v>
      </c>
      <c r="B1139" s="2" t="n">
        <f aca="false">IFERROR(__xludf.dummyfunction("""COMPUTED_VALUE"""),225.88)</f>
        <v>225.88</v>
      </c>
      <c r="C1139" s="2" t="n">
        <f aca="false">IFERROR(__xludf.dummyfunction("""COMPUTED_VALUE"""),226.1)</f>
        <v>226.1</v>
      </c>
      <c r="D1139" s="2" t="n">
        <f aca="false">IFERROR(__xludf.dummyfunction("""COMPUTED_VALUE"""),222.18)</f>
        <v>222.18</v>
      </c>
      <c r="E1139" s="2" t="n">
        <f aca="false">IFERROR(__xludf.dummyfunction("""COMPUTED_VALUE"""),223.19)</f>
        <v>223.19</v>
      </c>
      <c r="F1139" s="2" t="n">
        <f aca="false">IFERROR(__xludf.dummyfunction("""COMPUTED_VALUE"""),39535926)</f>
        <v>39535926</v>
      </c>
    </row>
    <row r="1140" customFormat="false" ht="15.75" hidden="false" customHeight="false" outlineLevel="0" collapsed="false">
      <c r="A1140" s="3" t="n">
        <f aca="false">IFERROR(__xludf.dummyfunction("""COMPUTED_VALUE"""),45855.6666666667)</f>
        <v>45855.6666666667</v>
      </c>
      <c r="B1140" s="2" t="n">
        <f aca="false">IFERROR(__xludf.dummyfunction("""COMPUTED_VALUE"""),223.32)</f>
        <v>223.32</v>
      </c>
      <c r="C1140" s="2" t="n">
        <f aca="false">IFERROR(__xludf.dummyfunction("""COMPUTED_VALUE"""),224.5)</f>
        <v>224.5</v>
      </c>
      <c r="D1140" s="2" t="n">
        <f aca="false">IFERROR(__xludf.dummyfunction("""COMPUTED_VALUE"""),222.51)</f>
        <v>222.51</v>
      </c>
      <c r="E1140" s="2" t="n">
        <f aca="false">IFERROR(__xludf.dummyfunction("""COMPUTED_VALUE"""),223.88)</f>
        <v>223.88</v>
      </c>
      <c r="F1140" s="2" t="n">
        <f aca="false">IFERROR(__xludf.dummyfunction("""COMPUTED_VALUE"""),31855831)</f>
        <v>31855831</v>
      </c>
    </row>
    <row r="1141" customFormat="false" ht="15.75" hidden="false" customHeight="false" outlineLevel="0" collapsed="false">
      <c r="A1141" s="3" t="n">
        <f aca="false">IFERROR(__xludf.dummyfunction("""COMPUTED_VALUE"""),45856.6666666667)</f>
        <v>45856.6666666667</v>
      </c>
      <c r="B1141" s="2" t="n">
        <f aca="false">IFERROR(__xludf.dummyfunction("""COMPUTED_VALUE"""),225.14)</f>
        <v>225.14</v>
      </c>
      <c r="C1141" s="2" t="n">
        <f aca="false">IFERROR(__xludf.dummyfunction("""COMPUTED_VALUE"""),226.4)</f>
        <v>226.4</v>
      </c>
      <c r="D1141" s="2" t="n">
        <f aca="false">IFERROR(__xludf.dummyfunction("""COMPUTED_VALUE"""),222.98)</f>
        <v>222.98</v>
      </c>
      <c r="E1141" s="2" t="n">
        <f aca="false">IFERROR(__xludf.dummyfunction("""COMPUTED_VALUE"""),226.13)</f>
        <v>226.13</v>
      </c>
      <c r="F1141" s="2" t="n">
        <f aca="false">IFERROR(__xludf.dummyfunction("""COMPUTED_VALUE"""),37833807)</f>
        <v>37833807</v>
      </c>
    </row>
    <row r="1142" customFormat="false" ht="15.75" hidden="false" customHeight="false" outlineLevel="0" collapsed="false">
      <c r="A1142" s="3" t="n">
        <f aca="false">IFERROR(__xludf.dummyfunction("""COMPUTED_VALUE"""),45859.6666666667)</f>
        <v>45859.6666666667</v>
      </c>
      <c r="B1142" s="2" t="n">
        <f aca="false">IFERROR(__xludf.dummyfunction("""COMPUTED_VALUE"""),225.84)</f>
        <v>225.84</v>
      </c>
      <c r="C1142" s="2" t="n">
        <f aca="false">IFERROR(__xludf.dummyfunction("""COMPUTED_VALUE"""),229.69)</f>
        <v>229.69</v>
      </c>
      <c r="D1142" s="2" t="n">
        <f aca="false">IFERROR(__xludf.dummyfunction("""COMPUTED_VALUE"""),225.65)</f>
        <v>225.65</v>
      </c>
      <c r="E1142" s="2" t="n">
        <f aca="false">IFERROR(__xludf.dummyfunction("""COMPUTED_VALUE"""),229.3)</f>
        <v>229.3</v>
      </c>
      <c r="F1142" s="2" t="n">
        <f aca="false">IFERROR(__xludf.dummyfunction("""COMPUTED_VALUE"""),40297556)</f>
        <v>40297556</v>
      </c>
    </row>
    <row r="1143" customFormat="false" ht="15.75" hidden="false" customHeight="false" outlineLevel="0" collapsed="false">
      <c r="A1143" s="3" t="n">
        <f aca="false">IFERROR(__xludf.dummyfunction("""COMPUTED_VALUE"""),45860.6666666667)</f>
        <v>45860.6666666667</v>
      </c>
      <c r="B1143" s="2" t="n">
        <f aca="false">IFERROR(__xludf.dummyfunction("""COMPUTED_VALUE"""),229.68)</f>
        <v>229.68</v>
      </c>
      <c r="C1143" s="2" t="n">
        <f aca="false">IFERROR(__xludf.dummyfunction("""COMPUTED_VALUE"""),230)</f>
        <v>230</v>
      </c>
      <c r="D1143" s="2" t="n">
        <f aca="false">IFERROR(__xludf.dummyfunction("""COMPUTED_VALUE"""),226.35)</f>
        <v>226.35</v>
      </c>
      <c r="E1143" s="2" t="n">
        <f aca="false">IFERROR(__xludf.dummyfunction("""COMPUTED_VALUE"""),227.47)</f>
        <v>227.47</v>
      </c>
      <c r="F1143" s="2" t="n">
        <f aca="false">IFERROR(__xludf.dummyfunction("""COMPUTED_VALUE"""),37483702)</f>
        <v>37483702</v>
      </c>
    </row>
    <row r="1144" customFormat="false" ht="15.75" hidden="false" customHeight="false" outlineLevel="0" collapsed="false">
      <c r="A1144" s="3" t="n">
        <f aca="false">IFERROR(__xludf.dummyfunction("""COMPUTED_VALUE"""),45861.6666666667)</f>
        <v>45861.6666666667</v>
      </c>
      <c r="B1144" s="2" t="n">
        <f aca="false">IFERROR(__xludf.dummyfunction("""COMPUTED_VALUE"""),228.47)</f>
        <v>228.47</v>
      </c>
      <c r="C1144" s="2" t="n">
        <f aca="false">IFERROR(__xludf.dummyfunction("""COMPUTED_VALUE"""),228.79)</f>
        <v>228.79</v>
      </c>
      <c r="D1144" s="2" t="n">
        <f aca="false">IFERROR(__xludf.dummyfunction("""COMPUTED_VALUE"""),227.09)</f>
        <v>227.09</v>
      </c>
      <c r="E1144" s="2" t="n">
        <f aca="false">IFERROR(__xludf.dummyfunction("""COMPUTED_VALUE"""),228.29)</f>
        <v>228.29</v>
      </c>
      <c r="F1144" s="2" t="n">
        <f aca="false">IFERROR(__xludf.dummyfunction("""COMPUTED_VALUE"""),28294852)</f>
        <v>28294852</v>
      </c>
    </row>
    <row r="1145" customFormat="false" ht="15.75" hidden="false" customHeight="false" outlineLevel="0" collapsed="false">
      <c r="A1145" s="3" t="n">
        <f aca="false">IFERROR(__xludf.dummyfunction("""COMPUTED_VALUE"""),45862.6666666667)</f>
        <v>45862.6666666667</v>
      </c>
      <c r="B1145" s="2" t="n">
        <f aca="false">IFERROR(__xludf.dummyfunction("""COMPUTED_VALUE"""),229.17)</f>
        <v>229.17</v>
      </c>
      <c r="C1145" s="2" t="n">
        <f aca="false">IFERROR(__xludf.dummyfunction("""COMPUTED_VALUE"""),236)</f>
        <v>236</v>
      </c>
      <c r="D1145" s="2" t="n">
        <f aca="false">IFERROR(__xludf.dummyfunction("""COMPUTED_VALUE"""),228.64)</f>
        <v>228.64</v>
      </c>
      <c r="E1145" s="2" t="n">
        <f aca="false">IFERROR(__xludf.dummyfunction("""COMPUTED_VALUE"""),232.23)</f>
        <v>232.23</v>
      </c>
      <c r="F1145" s="2" t="n">
        <f aca="false">IFERROR(__xludf.dummyfunction("""COMPUTED_VALUE"""),42902266)</f>
        <v>42902266</v>
      </c>
    </row>
    <row r="1146" customFormat="false" ht="15.75" hidden="false" customHeight="false" outlineLevel="0" collapsed="false">
      <c r="A1146" s="3" t="n">
        <f aca="false">IFERROR(__xludf.dummyfunction("""COMPUTED_VALUE"""),45863.6666666667)</f>
        <v>45863.6666666667</v>
      </c>
      <c r="B1146" s="2" t="n">
        <f aca="false">IFERROR(__xludf.dummyfunction("""COMPUTED_VALUE"""),232.22)</f>
        <v>232.22</v>
      </c>
      <c r="C1146" s="2" t="n">
        <f aca="false">IFERROR(__xludf.dummyfunction("""COMPUTED_VALUE"""),232.48)</f>
        <v>232.48</v>
      </c>
      <c r="D1146" s="2" t="n">
        <f aca="false">IFERROR(__xludf.dummyfunction("""COMPUTED_VALUE"""),231.18)</f>
        <v>231.18</v>
      </c>
      <c r="E1146" s="2" t="n">
        <f aca="false">IFERROR(__xludf.dummyfunction("""COMPUTED_VALUE"""),231.44)</f>
        <v>231.44</v>
      </c>
      <c r="F1146" s="2" t="n">
        <f aca="false">IFERROR(__xludf.dummyfunction("""COMPUTED_VALUE"""),28712095)</f>
        <v>28712095</v>
      </c>
    </row>
    <row r="1147" customFormat="false" ht="15.75" hidden="false" customHeight="false" outlineLevel="0" collapsed="false">
      <c r="A1147" s="3" t="n">
        <f aca="false">IFERROR(__xludf.dummyfunction("""COMPUTED_VALUE"""),45866.6666666667)</f>
        <v>45866.6666666667</v>
      </c>
      <c r="B1147" s="2" t="n">
        <f aca="false">IFERROR(__xludf.dummyfunction("""COMPUTED_VALUE"""),233.35)</f>
        <v>233.35</v>
      </c>
      <c r="C1147" s="2" t="n">
        <f aca="false">IFERROR(__xludf.dummyfunction("""COMPUTED_VALUE"""),234.29)</f>
        <v>234.29</v>
      </c>
      <c r="D1147" s="2" t="n">
        <f aca="false">IFERROR(__xludf.dummyfunction("""COMPUTED_VALUE"""),232.25)</f>
        <v>232.25</v>
      </c>
      <c r="E1147" s="2" t="n">
        <f aca="false">IFERROR(__xludf.dummyfunction("""COMPUTED_VALUE"""),232.79)</f>
        <v>232.79</v>
      </c>
      <c r="F1147" s="2" t="n">
        <f aca="false">IFERROR(__xludf.dummyfunction("""COMPUTED_VALUE"""),26300138)</f>
        <v>26300138</v>
      </c>
    </row>
    <row r="1148" customFormat="false" ht="15.75" hidden="false" customHeight="false" outlineLevel="0" collapsed="false">
      <c r="A1148" s="3" t="n">
        <f aca="false">IFERROR(__xludf.dummyfunction("""COMPUTED_VALUE"""),45867.6666666667)</f>
        <v>45867.6666666667</v>
      </c>
      <c r="B1148" s="2" t="n">
        <f aca="false">IFERROR(__xludf.dummyfunction("""COMPUTED_VALUE"""),234.15)</f>
        <v>234.15</v>
      </c>
      <c r="C1148" s="2" t="n">
        <f aca="false">IFERROR(__xludf.dummyfunction("""COMPUTED_VALUE"""),234.72)</f>
        <v>234.72</v>
      </c>
      <c r="D1148" s="2" t="n">
        <f aca="false">IFERROR(__xludf.dummyfunction("""COMPUTED_VALUE"""),230.31)</f>
        <v>230.31</v>
      </c>
      <c r="E1148" s="2" t="n">
        <f aca="false">IFERROR(__xludf.dummyfunction("""COMPUTED_VALUE"""),231.01)</f>
        <v>231.01</v>
      </c>
      <c r="F1148" s="2" t="n">
        <f aca="false">IFERROR(__xludf.dummyfunction("""COMPUTED_VALUE"""),33716220)</f>
        <v>33716220</v>
      </c>
    </row>
    <row r="1149" customFormat="false" ht="15.75" hidden="false" customHeight="false" outlineLevel="0" collapsed="false">
      <c r="A1149" s="3" t="n">
        <f aca="false">IFERROR(__xludf.dummyfunction("""COMPUTED_VALUE"""),45868.6666666667)</f>
        <v>45868.6666666667</v>
      </c>
      <c r="B1149" s="2" t="n">
        <f aca="false">IFERROR(__xludf.dummyfunction("""COMPUTED_VALUE"""),231.64)</f>
        <v>231.64</v>
      </c>
      <c r="C1149" s="2" t="n">
        <f aca="false">IFERROR(__xludf.dummyfunction("""COMPUTED_VALUE"""),231.8)</f>
        <v>231.8</v>
      </c>
      <c r="D1149" s="2" t="n">
        <f aca="false">IFERROR(__xludf.dummyfunction("""COMPUTED_VALUE"""),229.29)</f>
        <v>229.29</v>
      </c>
      <c r="E1149" s="2" t="n">
        <f aca="false">IFERROR(__xludf.dummyfunction("""COMPUTED_VALUE"""),230.19)</f>
        <v>230.19</v>
      </c>
      <c r="F1149" s="2" t="n">
        <f aca="false">IFERROR(__xludf.dummyfunction("""COMPUTED_VALUE"""),32993273)</f>
        <v>32993273</v>
      </c>
    </row>
    <row r="1150" customFormat="false" ht="15.75" hidden="false" customHeight="false" outlineLevel="0" collapsed="false">
      <c r="A1150" s="3" t="n">
        <f aca="false">IFERROR(__xludf.dummyfunction("""COMPUTED_VALUE"""),45869.6666666667)</f>
        <v>45869.6666666667</v>
      </c>
      <c r="B1150" s="2" t="n">
        <f aca="false">IFERROR(__xludf.dummyfunction("""COMPUTED_VALUE"""),235.77)</f>
        <v>235.77</v>
      </c>
      <c r="C1150" s="2" t="n">
        <f aca="false">IFERROR(__xludf.dummyfunction("""COMPUTED_VALUE"""),236.53)</f>
        <v>236.53</v>
      </c>
      <c r="D1150" s="2" t="n">
        <f aca="false">IFERROR(__xludf.dummyfunction("""COMPUTED_VALUE"""),231.4)</f>
        <v>231.4</v>
      </c>
      <c r="E1150" s="2" t="n">
        <f aca="false">IFERROR(__xludf.dummyfunction("""COMPUTED_VALUE"""),234.11)</f>
        <v>234.11</v>
      </c>
      <c r="F1150" s="2" t="n">
        <f aca="false">IFERROR(__xludf.dummyfunction("""COMPUTED_VALUE"""),104357263)</f>
        <v>104357263</v>
      </c>
    </row>
    <row r="1151" customFormat="false" ht="15.75" hidden="false" customHeight="false" outlineLevel="0" collapsed="false">
      <c r="A1151" s="3" t="n">
        <f aca="false">IFERROR(__xludf.dummyfunction("""COMPUTED_VALUE"""),45870.6666666667)</f>
        <v>45870.6666666667</v>
      </c>
      <c r="B1151" s="2" t="n">
        <f aca="false">IFERROR(__xludf.dummyfunction("""COMPUTED_VALUE"""),217.21)</f>
        <v>217.21</v>
      </c>
      <c r="C1151" s="2" t="n">
        <f aca="false">IFERROR(__xludf.dummyfunction("""COMPUTED_VALUE"""),220.44)</f>
        <v>220.44</v>
      </c>
      <c r="D1151" s="2" t="n">
        <f aca="false">IFERROR(__xludf.dummyfunction("""COMPUTED_VALUE"""),212.8)</f>
        <v>212.8</v>
      </c>
      <c r="E1151" s="2" t="n">
        <f aca="false">IFERROR(__xludf.dummyfunction("""COMPUTED_VALUE"""),214.75)</f>
        <v>214.75</v>
      </c>
      <c r="F1151" s="2" t="n">
        <f aca="false">IFERROR(__xludf.dummyfunction("""COMPUTED_VALUE"""),122258801)</f>
        <v>122258801</v>
      </c>
    </row>
    <row r="1152" customFormat="false" ht="15.75" hidden="false" customHeight="false" outlineLevel="0" collapsed="false">
      <c r="A1152" s="3" t="n">
        <f aca="false">IFERROR(__xludf.dummyfunction("""COMPUTED_VALUE"""),45873.6666666667)</f>
        <v>45873.6666666667</v>
      </c>
      <c r="B1152" s="2" t="n">
        <f aca="false">IFERROR(__xludf.dummyfunction("""COMPUTED_VALUE"""),217.4)</f>
        <v>217.4</v>
      </c>
      <c r="C1152" s="2" t="n">
        <f aca="false">IFERROR(__xludf.dummyfunction("""COMPUTED_VALUE"""),217.44)</f>
        <v>217.44</v>
      </c>
      <c r="D1152" s="2" t="n">
        <f aca="false">IFERROR(__xludf.dummyfunction("""COMPUTED_VALUE"""),211.42)</f>
        <v>211.42</v>
      </c>
      <c r="E1152" s="2" t="n">
        <f aca="false">IFERROR(__xludf.dummyfunction("""COMPUTED_VALUE"""),211.65)</f>
        <v>211.65</v>
      </c>
      <c r="F1152" s="2" t="n">
        <f aca="false">IFERROR(__xludf.dummyfunction("""COMPUTED_VALUE"""),77890146)</f>
        <v>77890146</v>
      </c>
    </row>
    <row r="1153" customFormat="false" ht="15.75" hidden="false" customHeight="false" outlineLevel="0" collapsed="false">
      <c r="A1153" s="3" t="n">
        <f aca="false">IFERROR(__xludf.dummyfunction("""COMPUTED_VALUE"""),45874.6666666667)</f>
        <v>45874.6666666667</v>
      </c>
      <c r="B1153" s="2" t="n">
        <f aca="false">IFERROR(__xludf.dummyfunction("""COMPUTED_VALUE"""),213.05)</f>
        <v>213.05</v>
      </c>
      <c r="C1153" s="2" t="n">
        <f aca="false">IFERROR(__xludf.dummyfunction("""COMPUTED_VALUE"""),216.3)</f>
        <v>216.3</v>
      </c>
      <c r="D1153" s="2" t="n">
        <f aca="false">IFERROR(__xludf.dummyfunction("""COMPUTED_VALUE"""),212.87)</f>
        <v>212.87</v>
      </c>
      <c r="E1153" s="2" t="n">
        <f aca="false">IFERROR(__xludf.dummyfunction("""COMPUTED_VALUE"""),213.75)</f>
        <v>213.75</v>
      </c>
      <c r="F1153" s="2" t="n">
        <f aca="false">IFERROR(__xludf.dummyfunction("""COMPUTED_VALUE"""),51505121)</f>
        <v>51505121</v>
      </c>
    </row>
    <row r="1154" customFormat="false" ht="15.75" hidden="false" customHeight="false" outlineLevel="0" collapsed="false">
      <c r="A1154" s="3" t="n">
        <f aca="false">IFERROR(__xludf.dummyfunction("""COMPUTED_VALUE"""),45875.6666666667)</f>
        <v>45875.6666666667</v>
      </c>
      <c r="B1154" s="2" t="n">
        <f aca="false">IFERROR(__xludf.dummyfunction("""COMPUTED_VALUE"""),214.7)</f>
        <v>214.7</v>
      </c>
      <c r="C1154" s="2" t="n">
        <f aca="false">IFERROR(__xludf.dummyfunction("""COMPUTED_VALUE"""),222.65)</f>
        <v>222.65</v>
      </c>
      <c r="D1154" s="2" t="n">
        <f aca="false">IFERROR(__xludf.dummyfunction("""COMPUTED_VALUE"""),213.74)</f>
        <v>213.74</v>
      </c>
      <c r="E1154" s="2" t="n">
        <f aca="false">IFERROR(__xludf.dummyfunction("""COMPUTED_VALUE"""),222.31)</f>
        <v>222.31</v>
      </c>
      <c r="F1154" s="2" t="n">
        <f aca="false">IFERROR(__xludf.dummyfunction("""COMPUTED_VALUE"""),54823045)</f>
        <v>54823045</v>
      </c>
    </row>
    <row r="1155" customFormat="false" ht="15.75" hidden="false" customHeight="false" outlineLevel="0" collapsed="false">
      <c r="A1155" s="3" t="n">
        <f aca="false">IFERROR(__xludf.dummyfunction("""COMPUTED_VALUE"""),45876.6666666667)</f>
        <v>45876.6666666667</v>
      </c>
      <c r="B1155" s="2" t="n">
        <f aca="false">IFERROR(__xludf.dummyfunction("""COMPUTED_VALUE"""),221)</f>
        <v>221</v>
      </c>
      <c r="C1155" s="2" t="n">
        <f aca="false">IFERROR(__xludf.dummyfunction("""COMPUTED_VALUE"""),226.22)</f>
        <v>226.22</v>
      </c>
      <c r="D1155" s="2" t="n">
        <f aca="false">IFERROR(__xludf.dummyfunction("""COMPUTED_VALUE"""),220.82)</f>
        <v>220.82</v>
      </c>
      <c r="E1155" s="2" t="n">
        <f aca="false">IFERROR(__xludf.dummyfunction("""COMPUTED_VALUE"""),223.13)</f>
        <v>223.13</v>
      </c>
      <c r="F1155" s="2" t="n">
        <f aca="false">IFERROR(__xludf.dummyfunction("""COMPUTED_VALUE"""),40603513)</f>
        <v>40603513</v>
      </c>
    </row>
    <row r="1156" customFormat="false" ht="15.75" hidden="false" customHeight="false" outlineLevel="0" collapsed="false">
      <c r="A1156" s="3" t="n">
        <f aca="false">IFERROR(__xludf.dummyfunction("""COMPUTED_VALUE"""),45877.6666666667)</f>
        <v>45877.6666666667</v>
      </c>
      <c r="B1156" s="2" t="n">
        <f aca="false">IFERROR(__xludf.dummyfunction("""COMPUTED_VALUE"""),223.14)</f>
        <v>223.14</v>
      </c>
      <c r="C1156" s="2" t="n">
        <f aca="false">IFERROR(__xludf.dummyfunction("""COMPUTED_VALUE"""),223.8)</f>
        <v>223.8</v>
      </c>
      <c r="D1156" s="2" t="n">
        <f aca="false">IFERROR(__xludf.dummyfunction("""COMPUTED_VALUE"""),221.88)</f>
        <v>221.88</v>
      </c>
      <c r="E1156" s="2" t="n">
        <f aca="false">IFERROR(__xludf.dummyfunction("""COMPUTED_VALUE"""),222.69)</f>
        <v>222.69</v>
      </c>
      <c r="F1156" s="2" t="n">
        <f aca="false">IFERROR(__xludf.dummyfunction("""COMPUTED_VALUE"""),32970477)</f>
        <v>32970477</v>
      </c>
    </row>
    <row r="1157" customFormat="false" ht="15.75" hidden="false" customHeight="false" outlineLevel="0" collapsed="false">
      <c r="A1157" s="3" t="n">
        <f aca="false">IFERROR(__xludf.dummyfunction("""COMPUTED_VALUE"""),45880.6666666667)</f>
        <v>45880.6666666667</v>
      </c>
      <c r="B1157" s="2" t="n">
        <f aca="false">IFERROR(__xludf.dummyfunction("""COMPUTED_VALUE"""),221.78)</f>
        <v>221.78</v>
      </c>
      <c r="C1157" s="2" t="n">
        <f aca="false">IFERROR(__xludf.dummyfunction("""COMPUTED_VALUE"""),223.05)</f>
        <v>223.05</v>
      </c>
      <c r="D1157" s="2" t="n">
        <f aca="false">IFERROR(__xludf.dummyfunction("""COMPUTED_VALUE"""),220.4)</f>
        <v>220.4</v>
      </c>
      <c r="E1157" s="2" t="n">
        <f aca="false">IFERROR(__xludf.dummyfunction("""COMPUTED_VALUE"""),221.3)</f>
        <v>221.3</v>
      </c>
      <c r="F1157" s="2" t="n">
        <f aca="false">IFERROR(__xludf.dummyfunction("""COMPUTED_VALUE"""),31646222)</f>
        <v>31646222</v>
      </c>
    </row>
    <row r="1158" customFormat="false" ht="15.75" hidden="false" customHeight="false" outlineLevel="0" collapsed="false">
      <c r="A1158" s="3" t="n">
        <f aca="false">IFERROR(__xludf.dummyfunction("""COMPUTED_VALUE"""),45881.6666666667)</f>
        <v>45881.6666666667</v>
      </c>
      <c r="B1158" s="2" t="n">
        <f aca="false">IFERROR(__xludf.dummyfunction("""COMPUTED_VALUE"""),222.23)</f>
        <v>222.23</v>
      </c>
      <c r="C1158" s="2" t="n">
        <f aca="false">IFERROR(__xludf.dummyfunction("""COMPUTED_VALUE"""),223.5)</f>
        <v>223.5</v>
      </c>
      <c r="D1158" s="2" t="n">
        <f aca="false">IFERROR(__xludf.dummyfunction("""COMPUTED_VALUE"""),219.05)</f>
        <v>219.05</v>
      </c>
      <c r="E1158" s="2" t="n">
        <f aca="false">IFERROR(__xludf.dummyfunction("""COMPUTED_VALUE"""),221.47)</f>
        <v>221.47</v>
      </c>
      <c r="F1158" s="2" t="n">
        <f aca="false">IFERROR(__xludf.dummyfunction("""COMPUTED_VALUE"""),37254707)</f>
        <v>37254707</v>
      </c>
    </row>
    <row r="1159" customFormat="false" ht="15.75" hidden="false" customHeight="false" outlineLevel="0" collapsed="false">
      <c r="A1159" s="3" t="n">
        <f aca="false">IFERROR(__xludf.dummyfunction("""COMPUTED_VALUE"""),45882.6666666667)</f>
        <v>45882.6666666667</v>
      </c>
      <c r="B1159" s="2" t="n">
        <f aca="false">IFERROR(__xludf.dummyfunction("""COMPUTED_VALUE"""),222)</f>
        <v>222</v>
      </c>
      <c r="C1159" s="2" t="n">
        <f aca="false">IFERROR(__xludf.dummyfunction("""COMPUTED_VALUE"""),224.92)</f>
        <v>224.92</v>
      </c>
      <c r="D1159" s="2" t="n">
        <f aca="false">IFERROR(__xludf.dummyfunction("""COMPUTED_VALUE"""),222)</f>
        <v>222</v>
      </c>
      <c r="E1159" s="2" t="n">
        <f aca="false">IFERROR(__xludf.dummyfunction("""COMPUTED_VALUE"""),224.56)</f>
        <v>224.56</v>
      </c>
      <c r="F1159" s="2" t="n">
        <f aca="false">IFERROR(__xludf.dummyfunction("""COMPUTED_VALUE"""),36508335)</f>
        <v>36508335</v>
      </c>
    </row>
    <row r="1160" customFormat="false" ht="15.75" hidden="false" customHeight="false" outlineLevel="0" collapsed="false">
      <c r="A1160" s="3" t="n">
        <f aca="false">IFERROR(__xludf.dummyfunction("""COMPUTED_VALUE"""),45883.6666666667)</f>
        <v>45883.6666666667</v>
      </c>
      <c r="B1160" s="2" t="n">
        <f aca="false">IFERROR(__xludf.dummyfunction("""COMPUTED_VALUE"""),227.4)</f>
        <v>227.4</v>
      </c>
      <c r="C1160" s="2" t="n">
        <f aca="false">IFERROR(__xludf.dummyfunction("""COMPUTED_VALUE"""),233.11)</f>
        <v>233.11</v>
      </c>
      <c r="D1160" s="2" t="n">
        <f aca="false">IFERROR(__xludf.dummyfunction("""COMPUTED_VALUE"""),227.02)</f>
        <v>227.02</v>
      </c>
      <c r="E1160" s="2" t="n">
        <f aca="false">IFERROR(__xludf.dummyfunction("""COMPUTED_VALUE"""),230.98)</f>
        <v>230.98</v>
      </c>
      <c r="F1160" s="2" t="n">
        <f aca="false">IFERROR(__xludf.dummyfunction("""COMPUTED_VALUE"""),61545824)</f>
        <v>61545824</v>
      </c>
    </row>
    <row r="1161" customFormat="false" ht="15.75" hidden="false" customHeight="false" outlineLevel="0" collapsed="false">
      <c r="A1161" s="3" t="n">
        <f aca="false">IFERROR(__xludf.dummyfunction("""COMPUTED_VALUE"""),45884.6666666667)</f>
        <v>45884.6666666667</v>
      </c>
      <c r="B1161" s="2" t="n">
        <f aca="false">IFERROR(__xludf.dummyfunction("""COMPUTED_VALUE"""),232.58)</f>
        <v>232.58</v>
      </c>
      <c r="C1161" s="2" t="n">
        <f aca="false">IFERROR(__xludf.dummyfunction("""COMPUTED_VALUE"""),234.08)</f>
        <v>234.08</v>
      </c>
      <c r="D1161" s="2" t="n">
        <f aca="false">IFERROR(__xludf.dummyfunction("""COMPUTED_VALUE"""),229.81)</f>
        <v>229.81</v>
      </c>
      <c r="E1161" s="2" t="n">
        <f aca="false">IFERROR(__xludf.dummyfunction("""COMPUTED_VALUE"""),231.03)</f>
        <v>231.03</v>
      </c>
      <c r="F1161" s="2" t="n">
        <f aca="false">IFERROR(__xludf.dummyfunction("""COMPUTED_VALUE"""),39649244)</f>
        <v>39649244</v>
      </c>
    </row>
    <row r="1162" customFormat="false" ht="15.75" hidden="false" customHeight="false" outlineLevel="0" collapsed="false">
      <c r="A1162" s="3" t="n">
        <f aca="false">IFERROR(__xludf.dummyfunction("""COMPUTED_VALUE"""),45887.6666666667)</f>
        <v>45887.6666666667</v>
      </c>
      <c r="B1162" s="2" t="n">
        <f aca="false">IFERROR(__xludf.dummyfunction("""COMPUTED_VALUE"""),230.23)</f>
        <v>230.23</v>
      </c>
      <c r="C1162" s="2" t="n">
        <f aca="false">IFERROR(__xludf.dummyfunction("""COMPUTED_VALUE"""),231.91)</f>
        <v>231.91</v>
      </c>
      <c r="D1162" s="2" t="n">
        <f aca="false">IFERROR(__xludf.dummyfunction("""COMPUTED_VALUE"""),228.33)</f>
        <v>228.33</v>
      </c>
      <c r="E1162" s="2" t="n">
        <f aca="false">IFERROR(__xludf.dummyfunction("""COMPUTED_VALUE"""),231.49)</f>
        <v>231.49</v>
      </c>
      <c r="F1162" s="2" t="n">
        <f aca="false">IFERROR(__xludf.dummyfunction("""COMPUTED_VALUE"""),25248890)</f>
        <v>25248890</v>
      </c>
    </row>
    <row r="1163" customFormat="false" ht="15.75" hidden="false" customHeight="false" outlineLevel="0" collapsed="false">
      <c r="A1163" s="3" t="n">
        <f aca="false">IFERROR(__xludf.dummyfunction("""COMPUTED_VALUE"""),45888.6666666667)</f>
        <v>45888.6666666667</v>
      </c>
      <c r="B1163" s="2" t="n">
        <f aca="false">IFERROR(__xludf.dummyfunction("""COMPUTED_VALUE"""),230.09)</f>
        <v>230.09</v>
      </c>
      <c r="C1163" s="2" t="n">
        <f aca="false">IFERROR(__xludf.dummyfunction("""COMPUTED_VALUE"""),230.53)</f>
        <v>230.53</v>
      </c>
      <c r="D1163" s="2" t="n">
        <f aca="false">IFERROR(__xludf.dummyfunction("""COMPUTED_VALUE"""),227.12)</f>
        <v>227.12</v>
      </c>
      <c r="E1163" s="2" t="n">
        <f aca="false">IFERROR(__xludf.dummyfunction("""COMPUTED_VALUE"""),228.01)</f>
        <v>228.01</v>
      </c>
      <c r="F1163" s="2" t="n">
        <f aca="false">IFERROR(__xludf.dummyfunction("""COMPUTED_VALUE"""),29891012)</f>
        <v>29891012</v>
      </c>
    </row>
    <row r="1164" customFormat="false" ht="15.75" hidden="false" customHeight="false" outlineLevel="0" collapsed="false">
      <c r="A1164" s="3" t="n">
        <f aca="false">IFERROR(__xludf.dummyfunction("""COMPUTED_VALUE"""),45889.6666666667)</f>
        <v>45889.6666666667</v>
      </c>
      <c r="B1164" s="2" t="n">
        <f aca="false">IFERROR(__xludf.dummyfunction("""COMPUTED_VALUE"""),227.12)</f>
        <v>227.12</v>
      </c>
      <c r="C1164" s="2" t="n">
        <f aca="false">IFERROR(__xludf.dummyfunction("""COMPUTED_VALUE"""),227.27)</f>
        <v>227.27</v>
      </c>
      <c r="D1164" s="2" t="n">
        <f aca="false">IFERROR(__xludf.dummyfunction("""COMPUTED_VALUE"""),220.92)</f>
        <v>220.92</v>
      </c>
      <c r="E1164" s="2" t="n">
        <f aca="false">IFERROR(__xludf.dummyfunction("""COMPUTED_VALUE"""),223.81)</f>
        <v>223.81</v>
      </c>
      <c r="F1164" s="2" t="n">
        <f aca="false">IFERROR(__xludf.dummyfunction("""COMPUTED_VALUE"""),36604319)</f>
        <v>36604319</v>
      </c>
    </row>
    <row r="1165" customFormat="false" ht="15.75" hidden="false" customHeight="false" outlineLevel="0" collapsed="false">
      <c r="A1165" s="3" t="n">
        <f aca="false">IFERROR(__xludf.dummyfunction("""COMPUTED_VALUE"""),45890.6666666667)</f>
        <v>45890.6666666667</v>
      </c>
      <c r="B1165" s="2" t="n">
        <f aca="false">IFERROR(__xludf.dummyfunction("""COMPUTED_VALUE"""),222.65)</f>
        <v>222.65</v>
      </c>
      <c r="C1165" s="2" t="n">
        <f aca="false">IFERROR(__xludf.dummyfunction("""COMPUTED_VALUE"""),222.78)</f>
        <v>222.78</v>
      </c>
      <c r="D1165" s="2" t="n">
        <f aca="false">IFERROR(__xludf.dummyfunction("""COMPUTED_VALUE"""),220.5)</f>
        <v>220.5</v>
      </c>
      <c r="E1165" s="2" t="n">
        <f aca="false">IFERROR(__xludf.dummyfunction("""COMPUTED_VALUE"""),221.95)</f>
        <v>221.95</v>
      </c>
      <c r="F1165" s="2" t="n">
        <f aca="false">IFERROR(__xludf.dummyfunction("""COMPUTED_VALUE"""),32140459)</f>
        <v>32140459</v>
      </c>
    </row>
    <row r="1166" customFormat="false" ht="15.75" hidden="false" customHeight="false" outlineLevel="0" collapsed="false">
      <c r="A1166" s="3" t="n">
        <f aca="false">IFERROR(__xludf.dummyfunction("""COMPUTED_VALUE"""),45891.6666666667)</f>
        <v>45891.6666666667</v>
      </c>
      <c r="B1166" s="2" t="n">
        <f aca="false">IFERROR(__xludf.dummyfunction("""COMPUTED_VALUE"""),222.79)</f>
        <v>222.79</v>
      </c>
      <c r="C1166" s="2" t="n">
        <f aca="false">IFERROR(__xludf.dummyfunction("""COMPUTED_VALUE"""),229.14)</f>
        <v>229.14</v>
      </c>
      <c r="D1166" s="2" t="n">
        <f aca="false">IFERROR(__xludf.dummyfunction("""COMPUTED_VALUE"""),220.82)</f>
        <v>220.82</v>
      </c>
      <c r="E1166" s="2" t="n">
        <f aca="false">IFERROR(__xludf.dummyfunction("""COMPUTED_VALUE"""),228.84)</f>
        <v>228.84</v>
      </c>
      <c r="F1166" s="2" t="n">
        <f aca="false">IFERROR(__xludf.dummyfunction("""COMPUTED_VALUE"""),37315341)</f>
        <v>37315341</v>
      </c>
    </row>
    <row r="1167" customFormat="false" ht="15.75" hidden="false" customHeight="false" outlineLevel="0" collapsed="false">
      <c r="A1167" s="3" t="n">
        <f aca="false">IFERROR(__xludf.dummyfunction("""COMPUTED_VALUE"""),45894.6666666667)</f>
        <v>45894.6666666667</v>
      </c>
      <c r="B1167" s="2" t="n">
        <f aca="false">IFERROR(__xludf.dummyfunction("""COMPUTED_VALUE"""),227.35)</f>
        <v>227.35</v>
      </c>
      <c r="C1167" s="2" t="n">
        <f aca="false">IFERROR(__xludf.dummyfunction("""COMPUTED_VALUE"""),229.6)</f>
        <v>229.6</v>
      </c>
      <c r="D1167" s="2" t="n">
        <f aca="false">IFERROR(__xludf.dummyfunction("""COMPUTED_VALUE"""),227.31)</f>
        <v>227.31</v>
      </c>
      <c r="E1167" s="2" t="n">
        <f aca="false">IFERROR(__xludf.dummyfunction("""COMPUTED_VALUE"""),227.94)</f>
        <v>227.94</v>
      </c>
      <c r="F1167" s="2" t="n">
        <f aca="false">IFERROR(__xludf.dummyfunction("""COMPUTED_VALUE"""),22633695)</f>
        <v>22633695</v>
      </c>
    </row>
    <row r="1168" customFormat="false" ht="15.75" hidden="false" customHeight="false" outlineLevel="0" collapsed="false">
      <c r="A1168" s="3" t="n">
        <f aca="false">IFERROR(__xludf.dummyfunction("""COMPUTED_VALUE"""),45895.6666666667)</f>
        <v>45895.6666666667</v>
      </c>
      <c r="B1168" s="2" t="n">
        <f aca="false">IFERROR(__xludf.dummyfunction("""COMPUTED_VALUE"""),227.11)</f>
        <v>227.11</v>
      </c>
      <c r="C1168" s="2" t="n">
        <f aca="false">IFERROR(__xludf.dummyfunction("""COMPUTED_VALUE"""),229)</f>
        <v>229</v>
      </c>
      <c r="D1168" s="2" t="n">
        <f aca="false">IFERROR(__xludf.dummyfunction("""COMPUTED_VALUE"""),226.02)</f>
        <v>226.02</v>
      </c>
      <c r="E1168" s="2" t="n">
        <f aca="false">IFERROR(__xludf.dummyfunction("""COMPUTED_VALUE"""),228.71)</f>
        <v>228.71</v>
      </c>
      <c r="F1168" s="2" t="n">
        <f aca="false">IFERROR(__xludf.dummyfunction("""COMPUTED_VALUE"""),26105373)</f>
        <v>26105373</v>
      </c>
    </row>
    <row r="1169" customFormat="false" ht="15.75" hidden="false" customHeight="false" outlineLevel="0" collapsed="false">
      <c r="A1169" s="3" t="n">
        <f aca="false">IFERROR(__xludf.dummyfunction("""COMPUTED_VALUE"""),45896.6666666667)</f>
        <v>45896.6666666667</v>
      </c>
      <c r="B1169" s="2" t="n">
        <f aca="false">IFERROR(__xludf.dummyfunction("""COMPUTED_VALUE"""),228.57)</f>
        <v>228.57</v>
      </c>
      <c r="C1169" s="2" t="n">
        <f aca="false">IFERROR(__xludf.dummyfunction("""COMPUTED_VALUE"""),229.87)</f>
        <v>229.87</v>
      </c>
      <c r="D1169" s="2" t="n">
        <f aca="false">IFERROR(__xludf.dummyfunction("""COMPUTED_VALUE"""),227.81)</f>
        <v>227.81</v>
      </c>
      <c r="E1169" s="2" t="n">
        <f aca="false">IFERROR(__xludf.dummyfunction("""COMPUTED_VALUE"""),229.12)</f>
        <v>229.12</v>
      </c>
      <c r="F1169" s="2" t="n">
        <f aca="false">IFERROR(__xludf.dummyfunction("""COMPUTED_VALUE"""),21254479)</f>
        <v>21254479</v>
      </c>
    </row>
    <row r="1170" customFormat="false" ht="15.75" hidden="false" customHeight="false" outlineLevel="0" collapsed="false">
      <c r="A1170" s="3" t="n">
        <f aca="false">IFERROR(__xludf.dummyfunction("""COMPUTED_VALUE"""),45897.6666666667)</f>
        <v>45897.6666666667</v>
      </c>
      <c r="B1170" s="2" t="n">
        <f aca="false">IFERROR(__xludf.dummyfunction("""COMPUTED_VALUE"""),229.01)</f>
        <v>229.01</v>
      </c>
      <c r="C1170" s="2" t="n">
        <f aca="false">IFERROR(__xludf.dummyfunction("""COMPUTED_VALUE"""),232.71)</f>
        <v>232.71</v>
      </c>
      <c r="D1170" s="2" t="n">
        <f aca="false">IFERROR(__xludf.dummyfunction("""COMPUTED_VALUE"""),228.02)</f>
        <v>228.02</v>
      </c>
      <c r="E1170" s="2" t="n">
        <f aca="false">IFERROR(__xludf.dummyfunction("""COMPUTED_VALUE"""),231.6)</f>
        <v>231.6</v>
      </c>
      <c r="F1170" s="2" t="n">
        <f aca="false">IFERROR(__xludf.dummyfunction("""COMPUTED_VALUE"""),33679585)</f>
        <v>33679585</v>
      </c>
    </row>
    <row r="1171" customFormat="false" ht="15.75" hidden="false" customHeight="false" outlineLevel="0" collapsed="false">
      <c r="A1171" s="3" t="n">
        <f aca="false">IFERROR(__xludf.dummyfunction("""COMPUTED_VALUE"""),45898.6666666667)</f>
        <v>45898.6666666667</v>
      </c>
      <c r="B1171" s="2" t="n">
        <f aca="false">IFERROR(__xludf.dummyfunction("""COMPUTED_VALUE"""),231.32)</f>
        <v>231.32</v>
      </c>
      <c r="C1171" s="2" t="n">
        <f aca="false">IFERROR(__xludf.dummyfunction("""COMPUTED_VALUE"""),231.81)</f>
        <v>231.81</v>
      </c>
      <c r="D1171" s="2" t="n">
        <f aca="false">IFERROR(__xludf.dummyfunction("""COMPUTED_VALUE"""),228.16)</f>
        <v>228.16</v>
      </c>
      <c r="E1171" s="2" t="n">
        <f aca="false">IFERROR(__xludf.dummyfunction("""COMPUTED_VALUE"""),229)</f>
        <v>229</v>
      </c>
      <c r="F1171" s="2" t="n">
        <f aca="false">IFERROR(__xludf.dummyfunction("""COMPUTED_VALUE"""),26199170)</f>
        <v>26199170</v>
      </c>
    </row>
    <row r="1172" customFormat="false" ht="15.75" hidden="false" customHeight="false" outlineLevel="0" collapsed="false">
      <c r="A1172" s="3" t="n">
        <f aca="false">IFERROR(__xludf.dummyfunction("""COMPUTED_VALUE"""),45902.6666666667)</f>
        <v>45902.6666666667</v>
      </c>
      <c r="B1172" s="2" t="n">
        <f aca="false">IFERROR(__xludf.dummyfunction("""COMPUTED_VALUE"""),223.52)</f>
        <v>223.52</v>
      </c>
      <c r="C1172" s="2" t="n">
        <f aca="false">IFERROR(__xludf.dummyfunction("""COMPUTED_VALUE"""),226.17)</f>
        <v>226.17</v>
      </c>
      <c r="D1172" s="2" t="n">
        <f aca="false">IFERROR(__xludf.dummyfunction("""COMPUTED_VALUE"""),221.83)</f>
        <v>221.83</v>
      </c>
      <c r="E1172" s="2" t="n">
        <f aca="false">IFERROR(__xludf.dummyfunction("""COMPUTED_VALUE"""),225.34)</f>
        <v>225.34</v>
      </c>
      <c r="F1172" s="2" t="n">
        <f aca="false">IFERROR(__xludf.dummyfunction("""COMPUTED_VALUE"""),38843883)</f>
        <v>38843883</v>
      </c>
    </row>
    <row r="1173" customFormat="false" ht="15.75" hidden="false" customHeight="false" outlineLevel="0" collapsed="false">
      <c r="A1173" s="3" t="n">
        <f aca="false">IFERROR(__xludf.dummyfunction("""COMPUTED_VALUE"""),45903.6666666667)</f>
        <v>45903.6666666667</v>
      </c>
      <c r="B1173" s="2" t="n">
        <f aca="false">IFERROR(__xludf.dummyfunction("""COMPUTED_VALUE"""),225.21)</f>
        <v>225.21</v>
      </c>
      <c r="C1173" s="2" t="n">
        <f aca="false">IFERROR(__xludf.dummyfunction("""COMPUTED_VALUE"""),227.17)</f>
        <v>227.17</v>
      </c>
      <c r="D1173" s="2" t="n">
        <f aca="false">IFERROR(__xludf.dummyfunction("""COMPUTED_VALUE"""),224.36)</f>
        <v>224.36</v>
      </c>
      <c r="E1173" s="2" t="n">
        <f aca="false">IFERROR(__xludf.dummyfunction("""COMPUTED_VALUE"""),225.99)</f>
        <v>225.99</v>
      </c>
      <c r="F1173" s="2" t="n">
        <f aca="false">IFERROR(__xludf.dummyfunction("""COMPUTED_VALUE"""),29223134)</f>
        <v>29223134</v>
      </c>
    </row>
    <row r="1174" customFormat="false" ht="15.75" hidden="false" customHeight="false" outlineLevel="0" collapsed="false">
      <c r="A1174" s="3" t="n">
        <f aca="false">IFERROR(__xludf.dummyfunction("""COMPUTED_VALUE"""),45904.6666666667)</f>
        <v>45904.6666666667</v>
      </c>
      <c r="B1174" s="2" t="n">
        <f aca="false">IFERROR(__xludf.dummyfunction("""COMPUTED_VALUE"""),231.19)</f>
        <v>231.19</v>
      </c>
      <c r="C1174" s="2" t="n">
        <f aca="false">IFERROR(__xludf.dummyfunction("""COMPUTED_VALUE"""),235.77)</f>
        <v>235.77</v>
      </c>
      <c r="D1174" s="2" t="n">
        <f aca="false">IFERROR(__xludf.dummyfunction("""COMPUTED_VALUE"""),230.78)</f>
        <v>230.78</v>
      </c>
      <c r="E1174" s="2" t="n">
        <f aca="false">IFERROR(__xludf.dummyfunction("""COMPUTED_VALUE"""),235.68)</f>
        <v>235.68</v>
      </c>
      <c r="F1174" s="2" t="n">
        <f aca="false">IFERROR(__xludf.dummyfunction("""COMPUTED_VALUE"""),59391779)</f>
        <v>59391779</v>
      </c>
    </row>
    <row r="1175" customFormat="false" ht="15.75" hidden="false" customHeight="false" outlineLevel="0" collapsed="false">
      <c r="A1175" s="3" t="n">
        <f aca="false">IFERROR(__xludf.dummyfunction("""COMPUTED_VALUE"""),45905.6666666667)</f>
        <v>45905.6666666667</v>
      </c>
      <c r="B1175" s="2" t="n">
        <f aca="false">IFERROR(__xludf.dummyfunction("""COMPUTED_VALUE"""),235.19)</f>
        <v>235.19</v>
      </c>
      <c r="C1175" s="2" t="n">
        <f aca="false">IFERROR(__xludf.dummyfunction("""COMPUTED_VALUE"""),236)</f>
        <v>236</v>
      </c>
      <c r="D1175" s="2" t="n">
        <f aca="false">IFERROR(__xludf.dummyfunction("""COMPUTED_VALUE"""),231.93)</f>
        <v>231.93</v>
      </c>
      <c r="E1175" s="2" t="n">
        <f aca="false">IFERROR(__xludf.dummyfunction("""COMPUTED_VALUE"""),232.33)</f>
        <v>232.33</v>
      </c>
      <c r="F1175" s="2" t="n">
        <f aca="false">IFERROR(__xludf.dummyfunction("""COMPUTED_VALUE"""),36721802)</f>
        <v>36721802</v>
      </c>
    </row>
    <row r="1176" customFormat="false" ht="15.75" hidden="false" customHeight="false" outlineLevel="0" collapsed="false">
      <c r="A1176" s="3" t="n">
        <f aca="false">IFERROR(__xludf.dummyfunction("""COMPUTED_VALUE"""),45908.6666666667)</f>
        <v>45908.6666666667</v>
      </c>
      <c r="B1176" s="2" t="n">
        <f aca="false">IFERROR(__xludf.dummyfunction("""COMPUTED_VALUE"""),234.94)</f>
        <v>234.94</v>
      </c>
      <c r="C1176" s="2" t="n">
        <f aca="false">IFERROR(__xludf.dummyfunction("""COMPUTED_VALUE"""),237.6)</f>
        <v>237.6</v>
      </c>
      <c r="D1176" s="2" t="n">
        <f aca="false">IFERROR(__xludf.dummyfunction("""COMPUTED_VALUE"""),233.75)</f>
        <v>233.75</v>
      </c>
      <c r="E1176" s="2" t="n">
        <f aca="false">IFERROR(__xludf.dummyfunction("""COMPUTED_VALUE"""),235.84)</f>
        <v>235.84</v>
      </c>
      <c r="F1176" s="2" t="n">
        <f aca="false">IFERROR(__xludf.dummyfunction("""COMPUTED_VALUE"""),33947104)</f>
        <v>33947104</v>
      </c>
    </row>
    <row r="1177" customFormat="false" ht="15.75" hidden="false" customHeight="false" outlineLevel="0" collapsed="false">
      <c r="A1177" s="3" t="n">
        <f aca="false">IFERROR(__xludf.dummyfunction("""COMPUTED_VALUE"""),45909.6666666667)</f>
        <v>45909.6666666667</v>
      </c>
      <c r="B1177" s="2" t="n">
        <f aca="false">IFERROR(__xludf.dummyfunction("""COMPUTED_VALUE"""),236.36)</f>
        <v>236.36</v>
      </c>
      <c r="C1177" s="2" t="n">
        <f aca="false">IFERROR(__xludf.dummyfunction("""COMPUTED_VALUE"""),238.85)</f>
        <v>238.85</v>
      </c>
      <c r="D1177" s="2" t="n">
        <f aca="false">IFERROR(__xludf.dummyfunction("""COMPUTED_VALUE"""),235.08)</f>
        <v>235.08</v>
      </c>
      <c r="E1177" s="2" t="n">
        <f aca="false">IFERROR(__xludf.dummyfunction("""COMPUTED_VALUE"""),238.24)</f>
        <v>238.24</v>
      </c>
      <c r="F1177" s="2" t="n">
        <f aca="false">IFERROR(__xludf.dummyfunction("""COMPUTED_VALUE"""),27033778)</f>
        <v>27033778</v>
      </c>
    </row>
    <row r="1178" customFormat="false" ht="15.75" hidden="false" customHeight="false" outlineLevel="0" collapsed="false">
      <c r="A1178" s="3" t="n">
        <f aca="false">IFERROR(__xludf.dummyfunction("""COMPUTED_VALUE"""),45910.6666666667)</f>
        <v>45910.6666666667</v>
      </c>
      <c r="B1178" s="2" t="n">
        <f aca="false">IFERROR(__xludf.dummyfunction("""COMPUTED_VALUE"""),237.52)</f>
        <v>237.52</v>
      </c>
      <c r="C1178" s="2" t="n">
        <f aca="false">IFERROR(__xludf.dummyfunction("""COMPUTED_VALUE"""),237.68)</f>
        <v>237.68</v>
      </c>
      <c r="D1178" s="2" t="n">
        <f aca="false">IFERROR(__xludf.dummyfunction("""COMPUTED_VALUE"""),229.1)</f>
        <v>229.1</v>
      </c>
      <c r="E1178" s="2" t="n">
        <f aca="false">IFERROR(__xludf.dummyfunction("""COMPUTED_VALUE"""),230.33)</f>
        <v>230.33</v>
      </c>
      <c r="F1178" s="2" t="n">
        <f aca="false">IFERROR(__xludf.dummyfunction("""COMPUTED_VALUE"""),60907714)</f>
        <v>60907714</v>
      </c>
    </row>
    <row r="1179" customFormat="false" ht="15.75" hidden="false" customHeight="false" outlineLevel="0" collapsed="false">
      <c r="A1179" s="3" t="n">
        <f aca="false">IFERROR(__xludf.dummyfunction("""COMPUTED_VALUE"""),45911.6666666667)</f>
        <v>45911.6666666667</v>
      </c>
      <c r="B1179" s="2" t="n">
        <f aca="false">IFERROR(__xludf.dummyfunction("""COMPUTED_VALUE"""),231.49)</f>
        <v>231.49</v>
      </c>
      <c r="C1179" s="2" t="n">
        <f aca="false">IFERROR(__xludf.dummyfunction("""COMPUTED_VALUE"""),231.53)</f>
        <v>231.53</v>
      </c>
      <c r="D1179" s="2" t="n">
        <f aca="false">IFERROR(__xludf.dummyfunction("""COMPUTED_VALUE"""),229.34)</f>
        <v>229.34</v>
      </c>
      <c r="E1179" s="2" t="n">
        <f aca="false">IFERROR(__xludf.dummyfunction("""COMPUTED_VALUE"""),229.95)</f>
        <v>229.95</v>
      </c>
      <c r="F1179" s="2" t="n">
        <f aca="false">IFERROR(__xludf.dummyfunction("""COMPUTED_VALUE"""),37485598)</f>
        <v>37485598</v>
      </c>
    </row>
    <row r="1180" customFormat="false" ht="15.75" hidden="false" customHeight="false" outlineLevel="0" collapsed="false">
      <c r="A1180" s="3" t="n">
        <f aca="false">IFERROR(__xludf.dummyfunction("""COMPUTED_VALUE"""),45912.6666666667)</f>
        <v>45912.6666666667</v>
      </c>
      <c r="B1180" s="2" t="n">
        <f aca="false">IFERROR(__xludf.dummyfunction("""COMPUTED_VALUE"""),230.35)</f>
        <v>230.35</v>
      </c>
      <c r="C1180" s="2" t="n">
        <f aca="false">IFERROR(__xludf.dummyfunction("""COMPUTED_VALUE"""),230.79)</f>
        <v>230.79</v>
      </c>
      <c r="D1180" s="2" t="n">
        <f aca="false">IFERROR(__xludf.dummyfunction("""COMPUTED_VALUE"""),226.29)</f>
        <v>226.29</v>
      </c>
      <c r="E1180" s="2" t="n">
        <f aca="false">IFERROR(__xludf.dummyfunction("""COMPUTED_VALUE"""),228.15)</f>
        <v>228.15</v>
      </c>
      <c r="F1180" s="2" t="n">
        <f aca="false">IFERROR(__xludf.dummyfunction("""COMPUTED_VALUE"""),38496218)</f>
        <v>38496218</v>
      </c>
    </row>
    <row r="1181" customFormat="false" ht="15.75" hidden="false" customHeight="false" outlineLevel="0" collapsed="false">
      <c r="A1181" s="3" t="n">
        <f aca="false">IFERROR(__xludf.dummyfunction("""COMPUTED_VALUE"""),45915.6666666667)</f>
        <v>45915.6666666667</v>
      </c>
      <c r="B1181" s="2" t="n">
        <f aca="false">IFERROR(__xludf.dummyfunction("""COMPUTED_VALUE"""),230.63)</f>
        <v>230.63</v>
      </c>
      <c r="C1181" s="2" t="n">
        <f aca="false">IFERROR(__xludf.dummyfunction("""COMPUTED_VALUE"""),233.73)</f>
        <v>233.73</v>
      </c>
      <c r="D1181" s="2" t="n">
        <f aca="false">IFERROR(__xludf.dummyfunction("""COMPUTED_VALUE"""),230.32)</f>
        <v>230.32</v>
      </c>
      <c r="E1181" s="2" t="n">
        <f aca="false">IFERROR(__xludf.dummyfunction("""COMPUTED_VALUE"""),231.43)</f>
        <v>231.43</v>
      </c>
      <c r="F1181" s="2" t="n">
        <f aca="false">IFERROR(__xludf.dummyfunction("""COMPUTED_VALUE"""),33243328)</f>
        <v>33243328</v>
      </c>
    </row>
    <row r="1182" customFormat="false" ht="15.75" hidden="false" customHeight="false" outlineLevel="0" collapsed="false">
      <c r="A1182" s="3" t="n">
        <f aca="false">IFERROR(__xludf.dummyfunction("""COMPUTED_VALUE"""),45916.6666666667)</f>
        <v>45916.6666666667</v>
      </c>
      <c r="B1182" s="2" t="n">
        <f aca="false">IFERROR(__xludf.dummyfunction("""COMPUTED_VALUE"""),232.94)</f>
        <v>232.94</v>
      </c>
      <c r="C1182" s="2" t="n">
        <f aca="false">IFERROR(__xludf.dummyfunction("""COMPUTED_VALUE"""),235.9)</f>
        <v>235.9</v>
      </c>
      <c r="D1182" s="2" t="n">
        <f aca="false">IFERROR(__xludf.dummyfunction("""COMPUTED_VALUE"""),232.23)</f>
        <v>232.23</v>
      </c>
      <c r="E1182" s="2" t="n">
        <f aca="false">IFERROR(__xludf.dummyfunction("""COMPUTED_VALUE"""),234.05)</f>
        <v>234.05</v>
      </c>
      <c r="F1182" s="2" t="n">
        <f aca="false">IFERROR(__xludf.dummyfunction("""COMPUTED_VALUE"""),38203912)</f>
        <v>38203912</v>
      </c>
    </row>
    <row r="1183" customFormat="false" ht="15.75" hidden="false" customHeight="false" outlineLevel="0" collapsed="false">
      <c r="A1183" s="3" t="n">
        <f aca="false">IFERROR(__xludf.dummyfunction("""COMPUTED_VALUE"""),45917.6666666667)</f>
        <v>45917.6666666667</v>
      </c>
      <c r="B1183" s="2" t="n">
        <f aca="false">IFERROR(__xludf.dummyfunction("""COMPUTED_VALUE"""),233.77)</f>
        <v>233.77</v>
      </c>
      <c r="C1183" s="2" t="n">
        <f aca="false">IFERROR(__xludf.dummyfunction("""COMPUTED_VALUE"""),234.3)</f>
        <v>234.3</v>
      </c>
      <c r="D1183" s="2" t="n">
        <f aca="false">IFERROR(__xludf.dummyfunction("""COMPUTED_VALUE"""),228.71)</f>
        <v>228.71</v>
      </c>
      <c r="E1183" s="2" t="n">
        <f aca="false">IFERROR(__xludf.dummyfunction("""COMPUTED_VALUE"""),231.62)</f>
        <v>231.62</v>
      </c>
      <c r="F1183" s="2" t="n">
        <f aca="false">IFERROR(__xludf.dummyfunction("""COMPUTED_VALUE"""),42815230)</f>
        <v>42815230</v>
      </c>
    </row>
    <row r="1184" customFormat="false" ht="15.75" hidden="false" customHeight="false" outlineLevel="0" collapsed="false">
      <c r="A1184" s="3" t="n">
        <f aca="false">IFERROR(__xludf.dummyfunction("""COMPUTED_VALUE"""),45918.6666666667)</f>
        <v>45918.6666666667</v>
      </c>
      <c r="B1184" s="2" t="n">
        <f aca="false">IFERROR(__xludf.dummyfunction("""COMPUTED_VALUE"""),232.5)</f>
        <v>232.5</v>
      </c>
      <c r="C1184" s="2" t="n">
        <f aca="false">IFERROR(__xludf.dummyfunction("""COMPUTED_VALUE"""),233.48)</f>
        <v>233.48</v>
      </c>
      <c r="D1184" s="2" t="n">
        <f aca="false">IFERROR(__xludf.dummyfunction("""COMPUTED_VALUE"""),228.79)</f>
        <v>228.79</v>
      </c>
      <c r="E1184" s="2" t="n">
        <f aca="false">IFERROR(__xludf.dummyfunction("""COMPUTED_VALUE"""),231.23)</f>
        <v>231.23</v>
      </c>
      <c r="F1184" s="2" t="n">
        <f aca="false">IFERROR(__xludf.dummyfunction("""COMPUTED_VALUE"""),37931738)</f>
        <v>37931738</v>
      </c>
    </row>
    <row r="1185" customFormat="false" ht="15.75" hidden="false" customHeight="false" outlineLevel="0" collapsed="false">
      <c r="A1185" s="3" t="n">
        <f aca="false">IFERROR(__xludf.dummyfunction("""COMPUTED_VALUE"""),45919.6666666667)</f>
        <v>45919.6666666667</v>
      </c>
      <c r="B1185" s="2" t="n">
        <f aca="false">IFERROR(__xludf.dummyfunction("""COMPUTED_VALUE"""),232.37)</f>
        <v>232.37</v>
      </c>
      <c r="C1185" s="2" t="n">
        <f aca="false">IFERROR(__xludf.dummyfunction("""COMPUTED_VALUE"""),234.16)</f>
        <v>234.16</v>
      </c>
      <c r="D1185" s="2" t="n">
        <f aca="false">IFERROR(__xludf.dummyfunction("""COMPUTED_VALUE"""),229.7)</f>
        <v>229.7</v>
      </c>
      <c r="E1185" s="2" t="n">
        <f aca="false">IFERROR(__xludf.dummyfunction("""COMPUTED_VALUE"""),231.48)</f>
        <v>231.48</v>
      </c>
      <c r="F1185" s="2" t="n">
        <f aca="false">IFERROR(__xludf.dummyfunction("""COMPUTED_VALUE"""),97943172)</f>
        <v>97943172</v>
      </c>
    </row>
    <row r="1186" customFormat="false" ht="15.75" hidden="false" customHeight="false" outlineLevel="0" collapsed="false">
      <c r="A1186" s="3" t="n">
        <f aca="false">IFERROR(__xludf.dummyfunction("""COMPUTED_VALUE"""),45922.6666666667)</f>
        <v>45922.6666666667</v>
      </c>
      <c r="B1186" s="2" t="n">
        <f aca="false">IFERROR(__xludf.dummyfunction("""COMPUTED_VALUE"""),230.56)</f>
        <v>230.56</v>
      </c>
      <c r="C1186" s="2" t="n">
        <f aca="false">IFERROR(__xludf.dummyfunction("""COMPUTED_VALUE"""),230.57)</f>
        <v>230.57</v>
      </c>
      <c r="D1186" s="2" t="n">
        <f aca="false">IFERROR(__xludf.dummyfunction("""COMPUTED_VALUE"""),227.51)</f>
        <v>227.51</v>
      </c>
      <c r="E1186" s="2" t="n">
        <f aca="false">IFERROR(__xludf.dummyfunction("""COMPUTED_VALUE"""),227.63)</f>
        <v>227.63</v>
      </c>
      <c r="F1186" s="2" t="n">
        <f aca="false">IFERROR(__xludf.dummyfunction("""COMPUTED_VALUE"""),45914506)</f>
        <v>45914506</v>
      </c>
    </row>
    <row r="1187" customFormat="false" ht="15.75" hidden="false" customHeight="false" outlineLevel="0" collapsed="false">
      <c r="A1187" s="3" t="n">
        <f aca="false">IFERROR(__xludf.dummyfunction("""COMPUTED_VALUE"""),45923.6666666667)</f>
        <v>45923.6666666667</v>
      </c>
      <c r="B1187" s="2" t="n">
        <f aca="false">IFERROR(__xludf.dummyfunction("""COMPUTED_VALUE"""),227.83)</f>
        <v>227.83</v>
      </c>
      <c r="C1187" s="2" t="n">
        <f aca="false">IFERROR(__xludf.dummyfunction("""COMPUTED_VALUE"""),227.86)</f>
        <v>227.86</v>
      </c>
      <c r="D1187" s="2" t="n">
        <f aca="false">IFERROR(__xludf.dummyfunction("""COMPUTED_VALUE"""),220.07)</f>
        <v>220.07</v>
      </c>
      <c r="E1187" s="2" t="n">
        <f aca="false">IFERROR(__xludf.dummyfunction("""COMPUTED_VALUE"""),220.71)</f>
        <v>220.71</v>
      </c>
      <c r="F1187" s="2" t="n">
        <f aca="false">IFERROR(__xludf.dummyfunction("""COMPUTED_VALUE"""),70956193)</f>
        <v>70956193</v>
      </c>
    </row>
    <row r="1188" customFormat="false" ht="15.75" hidden="false" customHeight="false" outlineLevel="0" collapsed="false">
      <c r="A1188" s="3" t="n">
        <f aca="false">IFERROR(__xludf.dummyfunction("""COMPUTED_VALUE"""),45924.6666666667)</f>
        <v>45924.6666666667</v>
      </c>
      <c r="B1188" s="2" t="n">
        <f aca="false">IFERROR(__xludf.dummyfunction("""COMPUTED_VALUE"""),224.15)</f>
        <v>224.15</v>
      </c>
      <c r="C1188" s="2" t="n">
        <f aca="false">IFERROR(__xludf.dummyfunction("""COMPUTED_VALUE"""),224.56)</f>
        <v>224.56</v>
      </c>
      <c r="D1188" s="2" t="n">
        <f aca="false">IFERROR(__xludf.dummyfunction("""COMPUTED_VALUE"""),219.45)</f>
        <v>219.45</v>
      </c>
      <c r="E1188" s="2" t="n">
        <f aca="false">IFERROR(__xludf.dummyfunction("""COMPUTED_VALUE"""),220.21)</f>
        <v>220.21</v>
      </c>
      <c r="F1188" s="2" t="n">
        <f aca="false">IFERROR(__xludf.dummyfunction("""COMPUTED_VALUE"""),49509033)</f>
        <v>49509033</v>
      </c>
    </row>
    <row r="1189" customFormat="false" ht="15.75" hidden="false" customHeight="false" outlineLevel="0" collapsed="false">
      <c r="A1189" s="3" t="n">
        <f aca="false">IFERROR(__xludf.dummyfunction("""COMPUTED_VALUE"""),45925.6666666667)</f>
        <v>45925.6666666667</v>
      </c>
      <c r="B1189" s="2" t="n">
        <f aca="false">IFERROR(__xludf.dummyfunction("""COMPUTED_VALUE"""),220.06)</f>
        <v>220.06</v>
      </c>
      <c r="C1189" s="2" t="n">
        <f aca="false">IFERROR(__xludf.dummyfunction("""COMPUTED_VALUE"""),220.67)</f>
        <v>220.67</v>
      </c>
      <c r="D1189" s="2" t="n">
        <f aca="false">IFERROR(__xludf.dummyfunction("""COMPUTED_VALUE"""),216.47)</f>
        <v>216.47</v>
      </c>
      <c r="E1189" s="2" t="n">
        <f aca="false">IFERROR(__xludf.dummyfunction("""COMPUTED_VALUE"""),218.15)</f>
        <v>218.15</v>
      </c>
      <c r="F1189" s="2" t="n">
        <f aca="false">IFERROR(__xludf.dummyfunction("""COMPUTED_VALUE"""),52226328)</f>
        <v>52226328</v>
      </c>
    </row>
    <row r="1190" customFormat="false" ht="15.75" hidden="false" customHeight="false" outlineLevel="0" collapsed="false">
      <c r="A1190" s="3" t="n">
        <f aca="false">IFERROR(__xludf.dummyfunction("""COMPUTED_VALUE"""),45926.6666666667)</f>
        <v>45926.6666666667</v>
      </c>
      <c r="B1190" s="2" t="n">
        <f aca="false">IFERROR(__xludf.dummyfunction("""COMPUTED_VALUE"""),219.08)</f>
        <v>219.08</v>
      </c>
      <c r="C1190" s="2" t="n">
        <f aca="false">IFERROR(__xludf.dummyfunction("""COMPUTED_VALUE"""),221.05)</f>
        <v>221.05</v>
      </c>
      <c r="D1190" s="2" t="n">
        <f aca="false">IFERROR(__xludf.dummyfunction("""COMPUTED_VALUE"""),218.02)</f>
        <v>218.02</v>
      </c>
      <c r="E1190" s="2" t="n">
        <f aca="false">IFERROR(__xludf.dummyfunction("""COMPUTED_VALUE"""),219.78)</f>
        <v>219.78</v>
      </c>
      <c r="F1190" s="2" t="n">
        <f aca="false">IFERROR(__xludf.dummyfunction("""COMPUTED_VALUE"""),41650098)</f>
        <v>41650098</v>
      </c>
    </row>
    <row r="1191" customFormat="false" ht="15.75" hidden="false" customHeight="false" outlineLevel="0" collapsed="false">
      <c r="A1191" s="3" t="n">
        <f aca="false">IFERROR(__xludf.dummyfunction("""COMPUTED_VALUE"""),45929.6666666667)</f>
        <v>45929.6666666667</v>
      </c>
      <c r="B1191" s="2" t="n">
        <f aca="false">IFERROR(__xludf.dummyfunction("""COMPUTED_VALUE"""),220.08)</f>
        <v>220.08</v>
      </c>
      <c r="C1191" s="2" t="n">
        <f aca="false">IFERROR(__xludf.dummyfunction("""COMPUTED_VALUE"""),222.6)</f>
        <v>222.6</v>
      </c>
      <c r="D1191" s="2" t="n">
        <f aca="false">IFERROR(__xludf.dummyfunction("""COMPUTED_VALUE"""),219.3)</f>
        <v>219.3</v>
      </c>
      <c r="E1191" s="2" t="n">
        <f aca="false">IFERROR(__xludf.dummyfunction("""COMPUTED_VALUE"""),222.17)</f>
        <v>222.17</v>
      </c>
      <c r="F1191" s="2" t="n">
        <f aca="false">IFERROR(__xludf.dummyfunction("""COMPUTED_VALUE"""),44259177)</f>
        <v>44259177</v>
      </c>
    </row>
    <row r="1192" customFormat="false" ht="15.75" hidden="false" customHeight="false" outlineLevel="0" collapsed="false">
      <c r="A1192" s="3" t="n">
        <f aca="false">IFERROR(__xludf.dummyfunction("""COMPUTED_VALUE"""),45930.6666666667)</f>
        <v>45930.6666666667</v>
      </c>
      <c r="B1192" s="2" t="n">
        <f aca="false">IFERROR(__xludf.dummyfunction("""COMPUTED_VALUE"""),222.03)</f>
        <v>222.03</v>
      </c>
      <c r="C1192" s="2" t="n">
        <f aca="false">IFERROR(__xludf.dummyfunction("""COMPUTED_VALUE"""),222.24)</f>
        <v>222.24</v>
      </c>
      <c r="D1192" s="2" t="n">
        <f aca="false">IFERROR(__xludf.dummyfunction("""COMPUTED_VALUE"""),217.89)</f>
        <v>217.89</v>
      </c>
      <c r="E1192" s="2" t="n">
        <f aca="false">IFERROR(__xludf.dummyfunction("""COMPUTED_VALUE"""),219.57)</f>
        <v>219.57</v>
      </c>
      <c r="F1192" s="2" t="n">
        <f aca="false">IFERROR(__xludf.dummyfunction("""COMPUTED_VALUE"""),48396369)</f>
        <v>48396369</v>
      </c>
    </row>
    <row r="1193" customFormat="false" ht="15.75" hidden="false" customHeight="false" outlineLevel="0" collapsed="false">
      <c r="A1193" s="3" t="n">
        <f aca="false">IFERROR(__xludf.dummyfunction("""COMPUTED_VALUE"""),45931.6666666667)</f>
        <v>45931.6666666667</v>
      </c>
      <c r="B1193" s="2" t="n">
        <f aca="false">IFERROR(__xludf.dummyfunction("""COMPUTED_VALUE"""),217.36)</f>
        <v>217.36</v>
      </c>
      <c r="C1193" s="2" t="n">
        <f aca="false">IFERROR(__xludf.dummyfunction("""COMPUTED_VALUE"""),222.15)</f>
        <v>222.15</v>
      </c>
      <c r="D1193" s="2" t="n">
        <f aca="false">IFERROR(__xludf.dummyfunction("""COMPUTED_VALUE"""),216.61)</f>
        <v>216.61</v>
      </c>
      <c r="E1193" s="2" t="n">
        <f aca="false">IFERROR(__xludf.dummyfunction("""COMPUTED_VALUE"""),220.63)</f>
        <v>220.63</v>
      </c>
      <c r="F1193" s="2" t="n">
        <f aca="false">IFERROR(__xludf.dummyfunction("""COMPUTED_VALUE"""),43933834)</f>
        <v>43933834</v>
      </c>
    </row>
    <row r="1194" customFormat="false" ht="15.75" hidden="false" customHeight="false" outlineLevel="0" collapsed="false">
      <c r="A1194" s="3" t="n">
        <f aca="false">IFERROR(__xludf.dummyfunction("""COMPUTED_VALUE"""),45932.6666666667)</f>
        <v>45932.6666666667</v>
      </c>
      <c r="B1194" s="2" t="n">
        <f aca="false">IFERROR(__xludf.dummyfunction("""COMPUTED_VALUE"""),221.01)</f>
        <v>221.01</v>
      </c>
      <c r="C1194" s="2" t="n">
        <f aca="false">IFERROR(__xludf.dummyfunction("""COMPUTED_VALUE"""),222.81)</f>
        <v>222.81</v>
      </c>
      <c r="D1194" s="2" t="n">
        <f aca="false">IFERROR(__xludf.dummyfunction("""COMPUTED_VALUE"""),218.95)</f>
        <v>218.95</v>
      </c>
      <c r="E1194" s="2" t="n">
        <f aca="false">IFERROR(__xludf.dummyfunction("""COMPUTED_VALUE"""),222.41)</f>
        <v>222.41</v>
      </c>
      <c r="F1194" s="2" t="n">
        <f aca="false">IFERROR(__xludf.dummyfunction("""COMPUTED_VALUE"""),41258586)</f>
        <v>41258586</v>
      </c>
    </row>
    <row r="1195" customFormat="false" ht="15.75" hidden="false" customHeight="false" outlineLevel="0" collapsed="false">
      <c r="A1195" s="3" t="n">
        <f aca="false">IFERROR(__xludf.dummyfunction("""COMPUTED_VALUE"""),45933.6666666667)</f>
        <v>45933.6666666667</v>
      </c>
      <c r="B1195" s="2" t="n">
        <f aca="false">IFERROR(__xludf.dummyfunction("""COMPUTED_VALUE"""),223.44)</f>
        <v>223.44</v>
      </c>
      <c r="C1195" s="2" t="n">
        <f aca="false">IFERROR(__xludf.dummyfunction("""COMPUTED_VALUE"""),224.2)</f>
        <v>224.2</v>
      </c>
      <c r="D1195" s="2" t="n">
        <f aca="false">IFERROR(__xludf.dummyfunction("""COMPUTED_VALUE"""),219.34)</f>
        <v>219.34</v>
      </c>
      <c r="E1195" s="2" t="n">
        <f aca="false">IFERROR(__xludf.dummyfunction("""COMPUTED_VALUE"""),219.51)</f>
        <v>219.51</v>
      </c>
      <c r="F1195" s="2" t="n">
        <f aca="false">IFERROR(__xludf.dummyfunction("""COMPUTED_VALUE"""),43639033)</f>
        <v>43639033</v>
      </c>
    </row>
    <row r="1196" customFormat="false" ht="15.75" hidden="false" customHeight="false" outlineLevel="0" collapsed="false">
      <c r="A1196" s="3" t="n">
        <f aca="false">IFERROR(__xludf.dummyfunction("""COMPUTED_VALUE"""),45936.6666666667)</f>
        <v>45936.6666666667</v>
      </c>
      <c r="B1196" s="2" t="n">
        <f aca="false">IFERROR(__xludf.dummyfunction("""COMPUTED_VALUE"""),221)</f>
        <v>221</v>
      </c>
      <c r="C1196" s="2" t="n">
        <f aca="false">IFERROR(__xludf.dummyfunction("""COMPUTED_VALUE"""),221.73)</f>
        <v>221.73</v>
      </c>
      <c r="D1196" s="2" t="n">
        <f aca="false">IFERROR(__xludf.dummyfunction("""COMPUTED_VALUE"""),216.03)</f>
        <v>216.03</v>
      </c>
      <c r="E1196" s="2" t="n">
        <f aca="false">IFERROR(__xludf.dummyfunction("""COMPUTED_VALUE"""),220.9)</f>
        <v>220.9</v>
      </c>
      <c r="F1196" s="2" t="n">
        <f aca="false">IFERROR(__xludf.dummyfunction("""COMPUTED_VALUE"""),43690876)</f>
        <v>43690876</v>
      </c>
    </row>
    <row r="1197" customFormat="false" ht="15.75" hidden="false" customHeight="false" outlineLevel="0" collapsed="false">
      <c r="A1197" s="3" t="n">
        <f aca="false">IFERROR(__xludf.dummyfunction("""COMPUTED_VALUE"""),45937.6666666667)</f>
        <v>45937.6666666667</v>
      </c>
      <c r="B1197" s="2" t="n">
        <f aca="false">IFERROR(__xludf.dummyfunction("""COMPUTED_VALUE"""),220.88)</f>
        <v>220.88</v>
      </c>
      <c r="C1197" s="2" t="n">
        <f aca="false">IFERROR(__xludf.dummyfunction("""COMPUTED_VALUE"""),222.89)</f>
        <v>222.89</v>
      </c>
      <c r="D1197" s="2" t="n">
        <f aca="false">IFERROR(__xludf.dummyfunction("""COMPUTED_VALUE"""),220.17)</f>
        <v>220.17</v>
      </c>
      <c r="E1197" s="2" t="n">
        <f aca="false">IFERROR(__xludf.dummyfunction("""COMPUTED_VALUE"""),221.78)</f>
        <v>221.78</v>
      </c>
      <c r="F1197" s="2" t="n">
        <f aca="false">IFERROR(__xludf.dummyfunction("""COMPUTED_VALUE"""),31194678)</f>
        <v>31194678</v>
      </c>
    </row>
    <row r="1198" customFormat="false" ht="15.75" hidden="false" customHeight="false" outlineLevel="0" collapsed="false">
      <c r="A1198" s="3" t="n">
        <f aca="false">IFERROR(__xludf.dummyfunction("""COMPUTED_VALUE"""),45938.6666666667)</f>
        <v>45938.6666666667</v>
      </c>
      <c r="B1198" s="2" t="n">
        <f aca="false">IFERROR(__xludf.dummyfunction("""COMPUTED_VALUE"""),222.92)</f>
        <v>222.92</v>
      </c>
      <c r="C1198" s="2" t="n">
        <f aca="false">IFERROR(__xludf.dummyfunction("""COMPUTED_VALUE"""),226.73)</f>
        <v>226.73</v>
      </c>
      <c r="D1198" s="2" t="n">
        <f aca="false">IFERROR(__xludf.dummyfunction("""COMPUTED_VALUE"""),221.19)</f>
        <v>221.19</v>
      </c>
      <c r="E1198" s="2" t="n">
        <f aca="false">IFERROR(__xludf.dummyfunction("""COMPUTED_VALUE"""),225.22)</f>
        <v>225.22</v>
      </c>
      <c r="F1198" s="2" t="n">
        <f aca="false">IFERROR(__xludf.dummyfunction("""COMPUTED_VALUE"""),46685985)</f>
        <v>46685985</v>
      </c>
    </row>
    <row r="1199" customFormat="false" ht="15.75" hidden="false" customHeight="false" outlineLevel="0" collapsed="false">
      <c r="A1199" s="3" t="n">
        <f aca="false">IFERROR(__xludf.dummyfunction("""COMPUTED_VALUE"""),45939.6666666667)</f>
        <v>45939.6666666667</v>
      </c>
      <c r="B1199" s="2" t="n">
        <f aca="false">IFERROR(__xludf.dummyfunction("""COMPUTED_VALUE"""),225)</f>
        <v>225</v>
      </c>
      <c r="C1199" s="2" t="n">
        <f aca="false">IFERROR(__xludf.dummyfunction("""COMPUTED_VALUE"""),228.21)</f>
        <v>228.21</v>
      </c>
      <c r="D1199" s="2" t="n">
        <f aca="false">IFERROR(__xludf.dummyfunction("""COMPUTED_VALUE"""),221.75)</f>
        <v>221.75</v>
      </c>
      <c r="E1199" s="2" t="n">
        <f aca="false">IFERROR(__xludf.dummyfunction("""COMPUTED_VALUE"""),227.74)</f>
        <v>227.74</v>
      </c>
      <c r="F1199" s="2" t="n">
        <f aca="false">IFERROR(__xludf.dummyfunction("""COMPUTED_VALUE"""),46412122)</f>
        <v>46412122</v>
      </c>
    </row>
    <row r="1200" customFormat="false" ht="15.75" hidden="false" customHeight="false" outlineLevel="0" collapsed="false">
      <c r="A1200" s="3" t="n">
        <f aca="false">IFERROR(__xludf.dummyfunction("""COMPUTED_VALUE"""),45940.6666666667)</f>
        <v>45940.6666666667</v>
      </c>
      <c r="B1200" s="2" t="n">
        <f aca="false">IFERROR(__xludf.dummyfunction("""COMPUTED_VALUE"""),226.21)</f>
        <v>226.21</v>
      </c>
      <c r="C1200" s="2" t="n">
        <f aca="false">IFERROR(__xludf.dummyfunction("""COMPUTED_VALUE"""),228.25)</f>
        <v>228.25</v>
      </c>
      <c r="D1200" s="2" t="n">
        <f aca="false">IFERROR(__xludf.dummyfunction("""COMPUTED_VALUE"""),216)</f>
        <v>216</v>
      </c>
      <c r="E1200" s="2" t="n">
        <f aca="false">IFERROR(__xludf.dummyfunction("""COMPUTED_VALUE"""),216.37)</f>
        <v>216.37</v>
      </c>
      <c r="F1200" s="2" t="n">
        <f aca="false">IFERROR(__xludf.dummyfunction("""COMPUTED_VALUE"""),72367511)</f>
        <v>72367511</v>
      </c>
    </row>
    <row r="1201" customFormat="false" ht="15.75" hidden="false" customHeight="false" outlineLevel="0" collapsed="false">
      <c r="A1201" s="3" t="n">
        <f aca="false">IFERROR(__xludf.dummyfunction("""COMPUTED_VALUE"""),45943.6666666667)</f>
        <v>45943.6666666667</v>
      </c>
      <c r="B1201" s="2" t="n">
        <f aca="false">IFERROR(__xludf.dummyfunction("""COMPUTED_VALUE"""),217.7)</f>
        <v>217.7</v>
      </c>
      <c r="C1201" s="2" t="n">
        <f aca="false">IFERROR(__xludf.dummyfunction("""COMPUTED_VALUE"""),220.68)</f>
        <v>220.68</v>
      </c>
      <c r="D1201" s="2" t="n">
        <f aca="false">IFERROR(__xludf.dummyfunction("""COMPUTED_VALUE"""),217.04)</f>
        <v>217.04</v>
      </c>
      <c r="E1201" s="2" t="n">
        <f aca="false">IFERROR(__xludf.dummyfunction("""COMPUTED_VALUE"""),220.07)</f>
        <v>220.07</v>
      </c>
      <c r="F1201" s="2" t="n">
        <f aca="false">IFERROR(__xludf.dummyfunction("""COMPUTED_VALUE"""),37809650)</f>
        <v>37809650</v>
      </c>
    </row>
    <row r="1202" customFormat="false" ht="15.75" hidden="false" customHeight="false" outlineLevel="0" collapsed="false">
      <c r="A1202" s="3" t="n">
        <f aca="false">IFERROR(__xludf.dummyfunction("""COMPUTED_VALUE"""),45944.6666666667)</f>
        <v>45944.6666666667</v>
      </c>
      <c r="B1202" s="2" t="n">
        <f aca="false">IFERROR(__xludf.dummyfunction("""COMPUTED_VALUE"""),215.56)</f>
        <v>215.56</v>
      </c>
      <c r="C1202" s="2" t="n">
        <f aca="false">IFERROR(__xludf.dummyfunction("""COMPUTED_VALUE"""),219.32)</f>
        <v>219.32</v>
      </c>
      <c r="D1202" s="2" t="n">
        <f aca="false">IFERROR(__xludf.dummyfunction("""COMPUTED_VALUE"""),212.6)</f>
        <v>212.6</v>
      </c>
      <c r="E1202" s="2" t="n">
        <f aca="false">IFERROR(__xludf.dummyfunction("""COMPUTED_VALUE"""),216.39)</f>
        <v>216.39</v>
      </c>
      <c r="F1202" s="2" t="n">
        <f aca="false">IFERROR(__xludf.dummyfunction("""COMPUTED_VALUE"""),45665580)</f>
        <v>45665580</v>
      </c>
    </row>
    <row r="1203" customFormat="false" ht="15.75" hidden="false" customHeight="false" outlineLevel="0" collapsed="false">
      <c r="A1203" s="3" t="n">
        <f aca="false">IFERROR(__xludf.dummyfunction("""COMPUTED_VALUE"""),45945.6666666667)</f>
        <v>45945.6666666667</v>
      </c>
      <c r="B1203" s="2" t="n">
        <f aca="false">IFERROR(__xludf.dummyfunction("""COMPUTED_VALUE"""),216.62)</f>
        <v>216.62</v>
      </c>
      <c r="C1203" s="2" t="n">
        <f aca="false">IFERROR(__xludf.dummyfunction("""COMPUTED_VALUE"""),217.71)</f>
        <v>217.71</v>
      </c>
      <c r="D1203" s="2" t="n">
        <f aca="false">IFERROR(__xludf.dummyfunction("""COMPUTED_VALUE"""),212.66)</f>
        <v>212.66</v>
      </c>
      <c r="E1203" s="2" t="n">
        <f aca="false">IFERROR(__xludf.dummyfunction("""COMPUTED_VALUE"""),215.57)</f>
        <v>215.57</v>
      </c>
      <c r="F1203" s="2" t="n">
        <f aca="false">IFERROR(__xludf.dummyfunction("""COMPUTED_VALUE"""),45909469)</f>
        <v>45909469</v>
      </c>
    </row>
    <row r="1204" customFormat="false" ht="15.75" hidden="false" customHeight="false" outlineLevel="0" collapsed="false">
      <c r="A1204" s="3" t="n">
        <f aca="false">IFERROR(__xludf.dummyfunction("""COMPUTED_VALUE"""),45946.6666666667)</f>
        <v>45946.6666666667</v>
      </c>
      <c r="B1204" s="2" t="n">
        <f aca="false">IFERROR(__xludf.dummyfunction("""COMPUTED_VALUE"""),215.67)</f>
        <v>215.67</v>
      </c>
      <c r="C1204" s="2" t="n">
        <f aca="false">IFERROR(__xludf.dummyfunction("""COMPUTED_VALUE"""),218.59)</f>
        <v>218.59</v>
      </c>
      <c r="D1204" s="2" t="n">
        <f aca="false">IFERROR(__xludf.dummyfunction("""COMPUTED_VALUE"""),212.81)</f>
        <v>212.81</v>
      </c>
      <c r="E1204" s="2" t="n">
        <f aca="false">IFERROR(__xludf.dummyfunction("""COMPUTED_VALUE"""),214.47)</f>
        <v>214.47</v>
      </c>
      <c r="F1204" s="2" t="n">
        <f aca="false">IFERROR(__xludf.dummyfunction("""COMPUTED_VALUE"""),42414591)</f>
        <v>42414591</v>
      </c>
    </row>
    <row r="1205" customFormat="false" ht="15.75" hidden="false" customHeight="false" outlineLevel="0" collapsed="false">
      <c r="A1205" s="3" t="n">
        <f aca="false">IFERROR(__xludf.dummyfunction("""COMPUTED_VALUE"""),45947.6666666667)</f>
        <v>45947.6666666667</v>
      </c>
      <c r="B1205" s="2" t="n">
        <f aca="false">IFERROR(__xludf.dummyfunction("""COMPUTED_VALUE"""),214.56)</f>
        <v>214.56</v>
      </c>
      <c r="C1205" s="2" t="n">
        <f aca="false">IFERROR(__xludf.dummyfunction("""COMPUTED_VALUE"""),214.8)</f>
        <v>214.8</v>
      </c>
      <c r="D1205" s="2" t="n">
        <f aca="false">IFERROR(__xludf.dummyfunction("""COMPUTED_VALUE"""),211.03)</f>
        <v>211.03</v>
      </c>
      <c r="E1205" s="2" t="n">
        <f aca="false">IFERROR(__xludf.dummyfunction("""COMPUTED_VALUE"""),213.04)</f>
        <v>213.04</v>
      </c>
      <c r="F1205" s="2" t="n">
        <f aca="false">IFERROR(__xludf.dummyfunction("""COMPUTED_VALUE"""),45986944)</f>
        <v>45986944</v>
      </c>
    </row>
    <row r="1206" customFormat="false" ht="15.75" hidden="false" customHeight="false" outlineLevel="0" collapsed="false">
      <c r="A1206" s="3" t="n">
        <f aca="false">IFERROR(__xludf.dummyfunction("""COMPUTED_VALUE"""),45950.6666666667)</f>
        <v>45950.6666666667</v>
      </c>
      <c r="B1206" s="2" t="n">
        <f aca="false">IFERROR(__xludf.dummyfunction("""COMPUTED_VALUE"""),213.88)</f>
        <v>213.88</v>
      </c>
      <c r="C1206" s="2" t="n">
        <f aca="false">IFERROR(__xludf.dummyfunction("""COMPUTED_VALUE"""),216.69)</f>
        <v>216.69</v>
      </c>
      <c r="D1206" s="2" t="n">
        <f aca="false">IFERROR(__xludf.dummyfunction("""COMPUTED_VALUE"""),213.59)</f>
        <v>213.59</v>
      </c>
      <c r="E1206" s="2" t="n">
        <f aca="false">IFERROR(__xludf.dummyfunction("""COMPUTED_VALUE"""),216.48)</f>
        <v>216.48</v>
      </c>
      <c r="F1206" s="2" t="n">
        <f aca="false">IFERROR(__xludf.dummyfunction("""COMPUTED_VALUE"""),38882819)</f>
        <v>38882819</v>
      </c>
    </row>
    <row r="1207" customFormat="false" ht="15.75" hidden="false" customHeight="false" outlineLevel="0" collapsed="false">
      <c r="A1207" s="3" t="n">
        <f aca="false">IFERROR(__xludf.dummyfunction("""COMPUTED_VALUE"""),45951.6666666667)</f>
        <v>45951.6666666667</v>
      </c>
      <c r="B1207" s="2" t="n">
        <f aca="false">IFERROR(__xludf.dummyfunction("""COMPUTED_VALUE"""),218.43)</f>
        <v>218.43</v>
      </c>
      <c r="C1207" s="2" t="n">
        <f aca="false">IFERROR(__xludf.dummyfunction("""COMPUTED_VALUE"""),223.32)</f>
        <v>223.32</v>
      </c>
      <c r="D1207" s="2" t="n">
        <f aca="false">IFERROR(__xludf.dummyfunction("""COMPUTED_VALUE"""),217.99)</f>
        <v>217.99</v>
      </c>
      <c r="E1207" s="2" t="n">
        <f aca="false">IFERROR(__xludf.dummyfunction("""COMPUTED_VALUE"""),222.03)</f>
        <v>222.03</v>
      </c>
      <c r="F1207" s="2" t="n">
        <f aca="false">IFERROR(__xludf.dummyfunction("""COMPUTED_VALUE"""),50494565)</f>
        <v>50494565</v>
      </c>
    </row>
    <row r="1208" customFormat="false" ht="15.75" hidden="false" customHeight="false" outlineLevel="0" collapsed="false">
      <c r="A1208" s="3" t="n">
        <f aca="false">IFERROR(__xludf.dummyfunction("""COMPUTED_VALUE"""),45952.6666666667)</f>
        <v>45952.6666666667</v>
      </c>
      <c r="B1208" s="2" t="n">
        <f aca="false">IFERROR(__xludf.dummyfunction("""COMPUTED_VALUE"""),219.3)</f>
        <v>219.3</v>
      </c>
      <c r="C1208" s="2" t="n">
        <f aca="false">IFERROR(__xludf.dummyfunction("""COMPUTED_VALUE"""),220.01)</f>
        <v>220.01</v>
      </c>
      <c r="D1208" s="2" t="n">
        <f aca="false">IFERROR(__xludf.dummyfunction("""COMPUTED_VALUE"""),216.52)</f>
        <v>216.52</v>
      </c>
      <c r="E1208" s="2" t="n">
        <f aca="false">IFERROR(__xludf.dummyfunction("""COMPUTED_VALUE"""),217.95)</f>
        <v>217.95</v>
      </c>
      <c r="F1208" s="2" t="n">
        <f aca="false">IFERROR(__xludf.dummyfunction("""COMPUTED_VALUE"""),44308538)</f>
        <v>44308538</v>
      </c>
    </row>
    <row r="1209" customFormat="false" ht="15.75" hidden="false" customHeight="false" outlineLevel="0" collapsed="false">
      <c r="A1209" s="3" t="n">
        <f aca="false">IFERROR(__xludf.dummyfunction("""COMPUTED_VALUE"""),45953.6666666667)</f>
        <v>45953.6666666667</v>
      </c>
      <c r="B1209" s="2" t="n">
        <f aca="false">IFERROR(__xludf.dummyfunction("""COMPUTED_VALUE"""),219)</f>
        <v>219</v>
      </c>
      <c r="C1209" s="2" t="n">
        <f aca="false">IFERROR(__xludf.dummyfunction("""COMPUTED_VALUE"""),221.3)</f>
        <v>221.3</v>
      </c>
      <c r="D1209" s="2" t="n">
        <f aca="false">IFERROR(__xludf.dummyfunction("""COMPUTED_VALUE"""),218.18)</f>
        <v>218.18</v>
      </c>
      <c r="E1209" s="2" t="n">
        <f aca="false">IFERROR(__xludf.dummyfunction("""COMPUTED_VALUE"""),221.09)</f>
        <v>221.09</v>
      </c>
      <c r="F1209" s="2" t="n">
        <f aca="false">IFERROR(__xludf.dummyfunction("""COMPUTED_VALUE"""),31539999)</f>
        <v>31539999</v>
      </c>
    </row>
    <row r="1210" customFormat="false" ht="15.75" hidden="false" customHeight="false" outlineLevel="0" collapsed="false">
      <c r="A1210" s="3" t="n">
        <f aca="false">IFERROR(__xludf.dummyfunction("""COMPUTED_VALUE"""),45954.6666666667)</f>
        <v>45954.6666666667</v>
      </c>
      <c r="B1210" s="2" t="n">
        <f aca="false">IFERROR(__xludf.dummyfunction("""COMPUTED_VALUE"""),221.97)</f>
        <v>221.97</v>
      </c>
      <c r="C1210" s="2" t="n">
        <f aca="false">IFERROR(__xludf.dummyfunction("""COMPUTED_VALUE"""),225.4)</f>
        <v>225.4</v>
      </c>
      <c r="D1210" s="2" t="n">
        <f aca="false">IFERROR(__xludf.dummyfunction("""COMPUTED_VALUE"""),221.9)</f>
        <v>221.9</v>
      </c>
      <c r="E1210" s="2" t="n">
        <f aca="false">IFERROR(__xludf.dummyfunction("""COMPUTED_VALUE"""),224.21)</f>
        <v>224.21</v>
      </c>
      <c r="F1210" s="2" t="n">
        <f aca="false">IFERROR(__xludf.dummyfunction("""COMPUTED_VALUE"""),38685053)</f>
        <v>38685053</v>
      </c>
    </row>
    <row r="1211" customFormat="false" ht="15.75" hidden="false" customHeight="false" outlineLevel="0" collapsed="false">
      <c r="A1211" s="3" t="n">
        <f aca="false">IFERROR(__xludf.dummyfunction("""COMPUTED_VALUE"""),45957.6666666667)</f>
        <v>45957.6666666667</v>
      </c>
      <c r="B1211" s="2" t="n">
        <f aca="false">IFERROR(__xludf.dummyfunction("""COMPUTED_VALUE"""),227.66)</f>
        <v>227.66</v>
      </c>
      <c r="C1211" s="2" t="n">
        <f aca="false">IFERROR(__xludf.dummyfunction("""COMPUTED_VALUE"""),228.4)</f>
        <v>228.4</v>
      </c>
      <c r="D1211" s="2" t="n">
        <f aca="false">IFERROR(__xludf.dummyfunction("""COMPUTED_VALUE"""),225.54)</f>
        <v>225.54</v>
      </c>
      <c r="E1211" s="2" t="n">
        <f aca="false">IFERROR(__xludf.dummyfunction("""COMPUTED_VALUE"""),226.97)</f>
        <v>226.97</v>
      </c>
      <c r="F1211" s="2" t="n">
        <f aca="false">IFERROR(__xludf.dummyfunction("""COMPUTED_VALUE"""),38266995)</f>
        <v>38266995</v>
      </c>
    </row>
    <row r="1212" customFormat="false" ht="15.75" hidden="false" customHeight="false" outlineLevel="0" collapsed="false">
      <c r="A1212" s="3" t="n">
        <f aca="false">IFERROR(__xludf.dummyfunction("""COMPUTED_VALUE"""),45958.6666666667)</f>
        <v>45958.6666666667</v>
      </c>
      <c r="B1212" s="2" t="n">
        <f aca="false">IFERROR(__xludf.dummyfunction("""COMPUTED_VALUE"""),228.22)</f>
        <v>228.22</v>
      </c>
      <c r="C1212" s="2" t="n">
        <f aca="false">IFERROR(__xludf.dummyfunction("""COMPUTED_VALUE"""),231.49)</f>
        <v>231.49</v>
      </c>
      <c r="D1212" s="2" t="n">
        <f aca="false">IFERROR(__xludf.dummyfunction("""COMPUTED_VALUE"""),226.21)</f>
        <v>226.21</v>
      </c>
      <c r="E1212" s="2" t="n">
        <f aca="false">IFERROR(__xludf.dummyfunction("""COMPUTED_VALUE"""),229.25)</f>
        <v>229.25</v>
      </c>
      <c r="F1212" s="2" t="n">
        <f aca="false">IFERROR(__xludf.dummyfunction("""COMPUTED_VALUE"""),47100026)</f>
        <v>47100026</v>
      </c>
    </row>
    <row r="1213" customFormat="false" ht="15.75" hidden="false" customHeight="false" outlineLevel="0" collapsed="false">
      <c r="A1213" s="3" t="n">
        <f aca="false">IFERROR(__xludf.dummyfunction("""COMPUTED_VALUE"""),45959.6666666667)</f>
        <v>45959.6666666667</v>
      </c>
      <c r="B1213" s="2" t="n">
        <f aca="false">IFERROR(__xludf.dummyfunction("""COMPUTED_VALUE"""),231.67)</f>
        <v>231.67</v>
      </c>
      <c r="C1213" s="2" t="n">
        <f aca="false">IFERROR(__xludf.dummyfunction("""COMPUTED_VALUE"""),232.82)</f>
        <v>232.82</v>
      </c>
      <c r="D1213" s="2" t="n">
        <f aca="false">IFERROR(__xludf.dummyfunction("""COMPUTED_VALUE"""),227.76)</f>
        <v>227.76</v>
      </c>
      <c r="E1213" s="2" t="n">
        <f aca="false">IFERROR(__xludf.dummyfunction("""COMPUTED_VALUE"""),230.3)</f>
        <v>230.3</v>
      </c>
      <c r="F1213" s="2" t="n">
        <f aca="false">IFERROR(__xludf.dummyfunction("""COMPUTED_VALUE"""),52036151)</f>
        <v>52036151</v>
      </c>
    </row>
    <row r="1214" customFormat="false" ht="15.75" hidden="false" customHeight="false" outlineLevel="0" collapsed="false">
      <c r="A1214" s="3" t="n">
        <f aca="false">IFERROR(__xludf.dummyfunction("""COMPUTED_VALUE"""),45960.6666666667)</f>
        <v>45960.6666666667</v>
      </c>
      <c r="B1214" s="2" t="n">
        <f aca="false">IFERROR(__xludf.dummyfunction("""COMPUTED_VALUE"""),227.06)</f>
        <v>227.06</v>
      </c>
      <c r="C1214" s="2" t="n">
        <f aca="false">IFERROR(__xludf.dummyfunction("""COMPUTED_VALUE"""),228.44)</f>
        <v>228.44</v>
      </c>
      <c r="D1214" s="2" t="n">
        <f aca="false">IFERROR(__xludf.dummyfunction("""COMPUTED_VALUE"""),222.75)</f>
        <v>222.75</v>
      </c>
      <c r="E1214" s="2" t="n">
        <f aca="false">IFERROR(__xludf.dummyfunction("""COMPUTED_VALUE"""),222.86)</f>
        <v>222.86</v>
      </c>
      <c r="F1214" s="2" t="n">
        <f aca="false">IFERROR(__xludf.dummyfunction("""COMPUTED_VALUE"""),102252937)</f>
        <v>102252937</v>
      </c>
    </row>
    <row r="1215" customFormat="false" ht="15.75" hidden="false" customHeight="false" outlineLevel="0" collapsed="false">
      <c r="A1215" s="3" t="n">
        <f aca="false">IFERROR(__xludf.dummyfunction("""COMPUTED_VALUE"""),45961.6666666667)</f>
        <v>45961.6666666667</v>
      </c>
      <c r="B1215" s="2" t="n">
        <f aca="false">IFERROR(__xludf.dummyfunction("""COMPUTED_VALUE"""),250.1)</f>
        <v>250.1</v>
      </c>
      <c r="C1215" s="2" t="n">
        <f aca="false">IFERROR(__xludf.dummyfunction("""COMPUTED_VALUE"""),250.5)</f>
        <v>250.5</v>
      </c>
      <c r="D1215" s="2" t="n">
        <f aca="false">IFERROR(__xludf.dummyfunction("""COMPUTED_VALUE"""),243.98)</f>
        <v>243.98</v>
      </c>
      <c r="E1215" s="2" t="n">
        <f aca="false">IFERROR(__xludf.dummyfunction("""COMPUTED_VALUE"""),244.22)</f>
        <v>244.22</v>
      </c>
      <c r="F1215" s="2" t="n">
        <f aca="false">IFERROR(__xludf.dummyfunction("""COMPUTED_VALUE"""),166340808)</f>
        <v>166340808</v>
      </c>
    </row>
    <row r="1216" customFormat="false" ht="15.75" hidden="false" customHeight="false" outlineLevel="0" collapsed="false">
      <c r="A1216" s="3" t="n">
        <f aca="false">IFERROR(__xludf.dummyfunction("""COMPUTED_VALUE"""),45964.6666666667)</f>
        <v>45964.6666666667</v>
      </c>
      <c r="B1216" s="2" t="n">
        <f aca="false">IFERROR(__xludf.dummyfunction("""COMPUTED_VALUE"""),255.36)</f>
        <v>255.36</v>
      </c>
      <c r="C1216" s="2" t="n">
        <f aca="false">IFERROR(__xludf.dummyfunction("""COMPUTED_VALUE"""),258.6)</f>
        <v>258.6</v>
      </c>
      <c r="D1216" s="2" t="n">
        <f aca="false">IFERROR(__xludf.dummyfunction("""COMPUTED_VALUE"""),252.9)</f>
        <v>252.9</v>
      </c>
      <c r="E1216" s="2" t="n">
        <f aca="false">IFERROR(__xludf.dummyfunction("""COMPUTED_VALUE"""),254)</f>
        <v>254</v>
      </c>
      <c r="F1216" s="2" t="n">
        <f aca="false">IFERROR(__xludf.dummyfunction("""COMPUTED_VALUE"""),95997816)</f>
        <v>95997816</v>
      </c>
    </row>
    <row r="1217" customFormat="false" ht="15.75" hidden="false" customHeight="false" outlineLevel="0" collapsed="false">
      <c r="A1217" s="3" t="n">
        <f aca="false">IFERROR(__xludf.dummyfunction("""COMPUTED_VALUE"""),45965.6666666667)</f>
        <v>45965.6666666667</v>
      </c>
      <c r="B1217" s="2" t="n">
        <f aca="false">IFERROR(__xludf.dummyfunction("""COMPUTED_VALUE"""),250.38)</f>
        <v>250.38</v>
      </c>
      <c r="C1217" s="2" t="n">
        <f aca="false">IFERROR(__xludf.dummyfunction("""COMPUTED_VALUE"""),257.01)</f>
        <v>257.01</v>
      </c>
      <c r="D1217" s="2" t="n">
        <f aca="false">IFERROR(__xludf.dummyfunction("""COMPUTED_VALUE"""),248.66)</f>
        <v>248.66</v>
      </c>
      <c r="E1217" s="2" t="n">
        <f aca="false">IFERROR(__xludf.dummyfunction("""COMPUTED_VALUE"""),249.32)</f>
        <v>249.32</v>
      </c>
      <c r="F1217" s="2" t="n">
        <f aca="false">IFERROR(__xludf.dummyfunction("""COMPUTED_VALUE"""),51546311)</f>
        <v>51546311</v>
      </c>
    </row>
    <row r="1218" customFormat="false" ht="15.75" hidden="false" customHeight="false" outlineLevel="0" collapsed="false">
      <c r="A1218" s="3" t="n">
        <f aca="false">IFERROR(__xludf.dummyfunction("""COMPUTED_VALUE"""),45966.6666666667)</f>
        <v>45966.6666666667</v>
      </c>
      <c r="B1218" s="2" t="n">
        <f aca="false">IFERROR(__xludf.dummyfunction("""COMPUTED_VALUE"""),249.03)</f>
        <v>249.03</v>
      </c>
      <c r="C1218" s="2" t="n">
        <f aca="false">IFERROR(__xludf.dummyfunction("""COMPUTED_VALUE"""),251)</f>
        <v>251</v>
      </c>
      <c r="D1218" s="2" t="n">
        <f aca="false">IFERROR(__xludf.dummyfunction("""COMPUTED_VALUE"""),246.16)</f>
        <v>246.16</v>
      </c>
      <c r="E1218" s="2" t="n">
        <f aca="false">IFERROR(__xludf.dummyfunction("""COMPUTED_VALUE"""),250.2)</f>
        <v>250.2</v>
      </c>
      <c r="F1218" s="2" t="n">
        <f aca="false">IFERROR(__xludf.dummyfunction("""COMPUTED_VALUE"""),40610702)</f>
        <v>40610702</v>
      </c>
    </row>
    <row r="1219" customFormat="false" ht="15.75" hidden="false" customHeight="false" outlineLevel="0" collapsed="false">
      <c r="A1219" s="3" t="n">
        <f aca="false">IFERROR(__xludf.dummyfunction("""COMPUTED_VALUE"""),45967.6666666667)</f>
        <v>45967.6666666667</v>
      </c>
      <c r="B1219" s="2" t="n">
        <f aca="false">IFERROR(__xludf.dummyfunction("""COMPUTED_VALUE"""),249.16)</f>
        <v>249.16</v>
      </c>
      <c r="C1219" s="2" t="n">
        <f aca="false">IFERROR(__xludf.dummyfunction("""COMPUTED_VALUE"""),250.38)</f>
        <v>250.38</v>
      </c>
      <c r="D1219" s="2" t="n">
        <f aca="false">IFERROR(__xludf.dummyfunction("""COMPUTED_VALUE"""),242.17)</f>
        <v>242.17</v>
      </c>
      <c r="E1219" s="2" t="n">
        <f aca="false">IFERROR(__xludf.dummyfunction("""COMPUTED_VALUE"""),243.04)</f>
        <v>243.04</v>
      </c>
      <c r="F1219" s="2" t="n">
        <f aca="false">IFERROR(__xludf.dummyfunction("""COMPUTED_VALUE"""),46004203)</f>
        <v>46004203</v>
      </c>
    </row>
    <row r="1220" customFormat="false" ht="15.75" hidden="false" customHeight="false" outlineLevel="0" collapsed="false">
      <c r="A1220" s="3" t="n">
        <f aca="false">IFERROR(__xludf.dummyfunction("""COMPUTED_VALUE"""),45968.6666666667)</f>
        <v>45968.6666666667</v>
      </c>
      <c r="B1220" s="2" t="n">
        <f aca="false">IFERROR(__xludf.dummyfunction("""COMPUTED_VALUE"""),242.9)</f>
        <v>242.9</v>
      </c>
      <c r="C1220" s="2" t="n">
        <f aca="false">IFERROR(__xludf.dummyfunction("""COMPUTED_VALUE"""),244.9)</f>
        <v>244.9</v>
      </c>
      <c r="D1220" s="2" t="n">
        <f aca="false">IFERROR(__xludf.dummyfunction("""COMPUTED_VALUE"""),238.49)</f>
        <v>238.49</v>
      </c>
      <c r="E1220" s="2" t="n">
        <f aca="false">IFERROR(__xludf.dummyfunction("""COMPUTED_VALUE"""),244.41)</f>
        <v>244.41</v>
      </c>
      <c r="F1220" s="2" t="n">
        <f aca="false">IFERROR(__xludf.dummyfunction("""COMPUTED_VALUE"""),46374294)</f>
        <v>46374294</v>
      </c>
    </row>
    <row r="1221" customFormat="false" ht="15.75" hidden="false" customHeight="false" outlineLevel="0" collapsed="false">
      <c r="A1221" s="3" t="n">
        <f aca="false">IFERROR(__xludf.dummyfunction("""COMPUTED_VALUE"""),45971.6666666667)</f>
        <v>45971.6666666667</v>
      </c>
      <c r="B1221" s="2" t="n">
        <f aca="false">IFERROR(__xludf.dummyfunction("""COMPUTED_VALUE"""),248.34)</f>
        <v>248.34</v>
      </c>
      <c r="C1221" s="2" t="n">
        <f aca="false">IFERROR(__xludf.dummyfunction("""COMPUTED_VALUE"""),251.75)</f>
        <v>251.75</v>
      </c>
      <c r="D1221" s="2" t="n">
        <f aca="false">IFERROR(__xludf.dummyfunction("""COMPUTED_VALUE"""),245.59)</f>
        <v>245.59</v>
      </c>
      <c r="E1221" s="2" t="n">
        <f aca="false">IFERROR(__xludf.dummyfunction("""COMPUTED_VALUE"""),248.4)</f>
        <v>248.4</v>
      </c>
      <c r="F1221" s="2" t="n">
        <f aca="false">IFERROR(__xludf.dummyfunction("""COMPUTED_VALUE"""),36476514)</f>
        <v>36476514</v>
      </c>
    </row>
    <row r="1222" customFormat="false" ht="15.75" hidden="false" customHeight="false" outlineLevel="0" collapsed="false">
      <c r="A1222" s="3" t="n">
        <f aca="false">IFERROR(__xludf.dummyfunction("""COMPUTED_VALUE"""),45972.6666666667)</f>
        <v>45972.6666666667</v>
      </c>
      <c r="B1222" s="2" t="n">
        <f aca="false">IFERROR(__xludf.dummyfunction("""COMPUTED_VALUE"""),248.41)</f>
        <v>248.41</v>
      </c>
      <c r="C1222" s="2" t="n">
        <f aca="false">IFERROR(__xludf.dummyfunction("""COMPUTED_VALUE"""),249.75)</f>
        <v>249.75</v>
      </c>
      <c r="D1222" s="2" t="n">
        <f aca="false">IFERROR(__xludf.dummyfunction("""COMPUTED_VALUE"""),247.23)</f>
        <v>247.23</v>
      </c>
      <c r="E1222" s="2" t="n">
        <f aca="false">IFERROR(__xludf.dummyfunction("""COMPUTED_VALUE"""),249.1)</f>
        <v>249.1</v>
      </c>
      <c r="F1222" s="2" t="n">
        <f aca="false">IFERROR(__xludf.dummyfunction("""COMPUTED_VALUE"""),23564060)</f>
        <v>23564060</v>
      </c>
    </row>
    <row r="1223" customFormat="false" ht="15.75" hidden="false" customHeight="false" outlineLevel="0" collapsed="false">
      <c r="A1223" s="3" t="n">
        <f aca="false">IFERROR(__xludf.dummyfunction("""COMPUTED_VALUE"""),45973.6666666667)</f>
        <v>45973.6666666667</v>
      </c>
      <c r="B1223" s="2" t="n">
        <f aca="false">IFERROR(__xludf.dummyfunction("""COMPUTED_VALUE"""),250.24)</f>
        <v>250.24</v>
      </c>
      <c r="C1223" s="2" t="n">
        <f aca="false">IFERROR(__xludf.dummyfunction("""COMPUTED_VALUE"""),250.37)</f>
        <v>250.37</v>
      </c>
      <c r="D1223" s="2" t="n">
        <f aca="false">IFERROR(__xludf.dummyfunction("""COMPUTED_VALUE"""),243.75)</f>
        <v>243.75</v>
      </c>
      <c r="E1223" s="2" t="n">
        <f aca="false">IFERROR(__xludf.dummyfunction("""COMPUTED_VALUE"""),244.2)</f>
        <v>244.2</v>
      </c>
      <c r="F1223" s="2" t="n">
        <f aca="false">IFERROR(__xludf.dummyfunction("""COMPUTED_VALUE"""),31190063)</f>
        <v>31190063</v>
      </c>
    </row>
    <row r="1224" customFormat="false" ht="15.75" hidden="false" customHeight="false" outlineLevel="0" collapsed="false">
      <c r="A1224" s="3" t="n">
        <f aca="false">IFERROR(__xludf.dummyfunction("""COMPUTED_VALUE"""),45974.6666666667)</f>
        <v>45974.6666666667</v>
      </c>
      <c r="B1224" s="2" t="n">
        <f aca="false">IFERROR(__xludf.dummyfunction("""COMPUTED_VALUE"""),243.05)</f>
        <v>243.05</v>
      </c>
      <c r="C1224" s="2" t="n">
        <f aca="false">IFERROR(__xludf.dummyfunction("""COMPUTED_VALUE"""),243.75)</f>
        <v>243.75</v>
      </c>
      <c r="D1224" s="2" t="n">
        <f aca="false">IFERROR(__xludf.dummyfunction("""COMPUTED_VALUE"""),236.5)</f>
        <v>236.5</v>
      </c>
      <c r="E1224" s="2" t="n">
        <f aca="false">IFERROR(__xludf.dummyfunction("""COMPUTED_VALUE"""),237.58)</f>
        <v>237.58</v>
      </c>
      <c r="F1224" s="2" t="n">
        <f aca="false">IFERROR(__xludf.dummyfunction("""COMPUTED_VALUE"""),41401738)</f>
        <v>41401738</v>
      </c>
    </row>
    <row r="1225" customFormat="false" ht="15.75" hidden="false" customHeight="false" outlineLevel="0" collapsed="false">
      <c r="A1225" s="3" t="n">
        <f aca="false">IFERROR(__xludf.dummyfunction("""COMPUTED_VALUE"""),45975.6666666667)</f>
        <v>45975.6666666667</v>
      </c>
      <c r="B1225" s="2" t="n">
        <f aca="false">IFERROR(__xludf.dummyfunction("""COMPUTED_VALUE"""),235.06)</f>
        <v>235.06</v>
      </c>
      <c r="C1225" s="2" t="n">
        <f aca="false">IFERROR(__xludf.dummyfunction("""COMPUTED_VALUE"""),238.73)</f>
        <v>238.73</v>
      </c>
      <c r="D1225" s="2" t="n">
        <f aca="false">IFERROR(__xludf.dummyfunction("""COMPUTED_VALUE"""),232.89)</f>
        <v>232.89</v>
      </c>
      <c r="E1225" s="2" t="n">
        <f aca="false">IFERROR(__xludf.dummyfunction("""COMPUTED_VALUE"""),234.69)</f>
        <v>234.69</v>
      </c>
      <c r="F1225" s="2" t="n">
        <f aca="false">IFERROR(__xludf.dummyfunction("""COMPUTED_VALUE"""),38956669)</f>
        <v>38956669</v>
      </c>
    </row>
    <row r="1226" customFormat="false" ht="15.75" hidden="false" customHeight="false" outlineLevel="0" collapsed="false">
      <c r="A1226" s="3" t="n">
        <f aca="false">IFERROR(__xludf.dummyfunction("""COMPUTED_VALUE"""),45978.6666666667)</f>
        <v>45978.6666666667</v>
      </c>
      <c r="B1226" s="2" t="n">
        <f aca="false">IFERROR(__xludf.dummyfunction("""COMPUTED_VALUE"""),233.25)</f>
        <v>233.25</v>
      </c>
      <c r="C1226" s="2" t="n">
        <f aca="false">IFERROR(__xludf.dummyfunction("""COMPUTED_VALUE"""),234.6)</f>
        <v>234.6</v>
      </c>
      <c r="D1226" s="2" t="n">
        <f aca="false">IFERROR(__xludf.dummyfunction("""COMPUTED_VALUE"""),229.19)</f>
        <v>229.19</v>
      </c>
      <c r="E1226" s="2" t="n">
        <f aca="false">IFERROR(__xludf.dummyfunction("""COMPUTED_VALUE"""),232.87)</f>
        <v>232.87</v>
      </c>
      <c r="F1226" s="2" t="n">
        <f aca="false">IFERROR(__xludf.dummyfunction("""COMPUTED_VALUE"""),59919018)</f>
        <v>59919018</v>
      </c>
    </row>
    <row r="1227" customFormat="false" ht="15.75" hidden="false" customHeight="false" outlineLevel="0" collapsed="false">
      <c r="A1227" s="3" t="n">
        <f aca="false">IFERROR(__xludf.dummyfunction("""COMPUTED_VALUE"""),45979.6666666667)</f>
        <v>45979.6666666667</v>
      </c>
      <c r="B1227" s="2" t="n">
        <f aca="false">IFERROR(__xludf.dummyfunction("""COMPUTED_VALUE"""),228.1)</f>
        <v>228.1</v>
      </c>
      <c r="C1227" s="2" t="n">
        <f aca="false">IFERROR(__xludf.dummyfunction("""COMPUTED_VALUE"""),230.2)</f>
        <v>230.2</v>
      </c>
      <c r="D1227" s="2" t="n">
        <f aca="false">IFERROR(__xludf.dummyfunction("""COMPUTED_VALUE"""),222.42)</f>
        <v>222.42</v>
      </c>
      <c r="E1227" s="2" t="n">
        <f aca="false">IFERROR(__xludf.dummyfunction("""COMPUTED_VALUE"""),222.55)</f>
        <v>222.55</v>
      </c>
      <c r="F1227" s="2" t="n">
        <f aca="false">IFERROR(__xludf.dummyfunction("""COMPUTED_VALUE"""),60608442)</f>
        <v>60608442</v>
      </c>
    </row>
    <row r="1228" customFormat="false" ht="15.75" hidden="false" customHeight="false" outlineLevel="0" collapsed="false">
      <c r="A1228" s="3" t="n">
        <f aca="false">IFERROR(__xludf.dummyfunction("""COMPUTED_VALUE"""),45980.6666666667)</f>
        <v>45980.6666666667</v>
      </c>
      <c r="B1228" s="2" t="n">
        <f aca="false">IFERROR(__xludf.dummyfunction("""COMPUTED_VALUE"""),223.74)</f>
        <v>223.74</v>
      </c>
      <c r="C1228" s="2" t="n">
        <f aca="false">IFERROR(__xludf.dummyfunction("""COMPUTED_VALUE"""),223.74)</f>
        <v>223.74</v>
      </c>
      <c r="D1228" s="2" t="n">
        <f aca="false">IFERROR(__xludf.dummyfunction("""COMPUTED_VALUE"""),218.52)</f>
        <v>218.52</v>
      </c>
      <c r="E1228" s="2" t="n">
        <f aca="false">IFERROR(__xludf.dummyfunction("""COMPUTED_VALUE"""),222.69)</f>
        <v>222.69</v>
      </c>
      <c r="F1228" s="2" t="n">
        <f aca="false">IFERROR(__xludf.dummyfunction("""COMPUTED_VALUE"""),58335643)</f>
        <v>58335643</v>
      </c>
    </row>
    <row r="1229" customFormat="false" ht="15.75" hidden="false" customHeight="false" outlineLevel="0" collapsed="false">
      <c r="A1229" s="3" t="n">
        <f aca="false">IFERROR(__xludf.dummyfunction("""COMPUTED_VALUE"""),45981.6666666667)</f>
        <v>45981.6666666667</v>
      </c>
      <c r="B1229" s="2" t="n">
        <f aca="false">IFERROR(__xludf.dummyfunction("""COMPUTED_VALUE"""),227.05)</f>
        <v>227.05</v>
      </c>
      <c r="C1229" s="2" t="n">
        <f aca="false">IFERROR(__xludf.dummyfunction("""COMPUTED_VALUE"""),227.41)</f>
        <v>227.41</v>
      </c>
      <c r="D1229" s="2" t="n">
        <f aca="false">IFERROR(__xludf.dummyfunction("""COMPUTED_VALUE"""),216.74)</f>
        <v>216.74</v>
      </c>
      <c r="E1229" s="2" t="n">
        <f aca="false">IFERROR(__xludf.dummyfunction("""COMPUTED_VALUE"""),217.14)</f>
        <v>217.14</v>
      </c>
      <c r="F1229" s="2" t="n">
        <f aca="false">IFERROR(__xludf.dummyfunction("""COMPUTED_VALUE"""),50308962)</f>
        <v>50308962</v>
      </c>
    </row>
    <row r="1230" customFormat="false" ht="15.75" hidden="false" customHeight="false" outlineLevel="0" collapsed="false">
      <c r="A1230" s="3" t="n">
        <f aca="false">IFERROR(__xludf.dummyfunction("""COMPUTED_VALUE"""),45982.6666666667)</f>
        <v>45982.6666666667</v>
      </c>
      <c r="B1230" s="2" t="n">
        <f aca="false">IFERROR(__xludf.dummyfunction("""COMPUTED_VALUE"""),216.35)</f>
        <v>216.35</v>
      </c>
      <c r="C1230" s="2" t="n">
        <f aca="false">IFERROR(__xludf.dummyfunction("""COMPUTED_VALUE"""),222.21)</f>
        <v>222.21</v>
      </c>
      <c r="D1230" s="2" t="n">
        <f aca="false">IFERROR(__xludf.dummyfunction("""COMPUTED_VALUE"""),215.18)</f>
        <v>215.18</v>
      </c>
      <c r="E1230" s="2" t="n">
        <f aca="false">IFERROR(__xludf.dummyfunction("""COMPUTED_VALUE"""),220.69)</f>
        <v>220.69</v>
      </c>
      <c r="F1230" s="2" t="n">
        <f aca="false">IFERROR(__xludf.dummyfunction("""COMPUTED_VALUE"""),68490464)</f>
        <v>68490464</v>
      </c>
    </row>
    <row r="1231" customFormat="false" ht="15.75" hidden="false" customHeight="false" outlineLevel="0" collapsed="false">
      <c r="A1231" s="3" t="n">
        <f aca="false">IFERROR(__xludf.dummyfunction("""COMPUTED_VALUE"""),45985.6666666667)</f>
        <v>45985.6666666667</v>
      </c>
      <c r="B1231" s="2" t="n">
        <f aca="false">IFERROR(__xludf.dummyfunction("""COMPUTED_VALUE"""),222.56)</f>
        <v>222.56</v>
      </c>
      <c r="C1231" s="2" t="n">
        <f aca="false">IFERROR(__xludf.dummyfunction("""COMPUTED_VALUE"""),227.33)</f>
        <v>227.33</v>
      </c>
      <c r="D1231" s="2" t="n">
        <f aca="false">IFERROR(__xludf.dummyfunction("""COMPUTED_VALUE"""),222.27)</f>
        <v>222.27</v>
      </c>
      <c r="E1231" s="2" t="n">
        <f aca="false">IFERROR(__xludf.dummyfunction("""COMPUTED_VALUE"""),226.28)</f>
        <v>226.28</v>
      </c>
      <c r="F1231" s="2" t="n">
        <f aca="false">IFERROR(__xludf.dummyfunction("""COMPUTED_VALUE"""),54318395)</f>
        <v>54318395</v>
      </c>
    </row>
    <row r="1232" customFormat="false" ht="15.75" hidden="false" customHeight="false" outlineLevel="0" collapsed="false">
      <c r="A1232" s="3" t="n">
        <f aca="false">IFERROR(__xludf.dummyfunction("""COMPUTED_VALUE"""),45986.6666666667)</f>
        <v>45986.6666666667</v>
      </c>
      <c r="B1232" s="2" t="n">
        <f aca="false">IFERROR(__xludf.dummyfunction("""COMPUTED_VALUE"""),226.38)</f>
        <v>226.38</v>
      </c>
      <c r="C1232" s="2" t="n">
        <f aca="false">IFERROR(__xludf.dummyfunction("""COMPUTED_VALUE"""),230.52)</f>
        <v>230.52</v>
      </c>
      <c r="D1232" s="2" t="n">
        <f aca="false">IFERROR(__xludf.dummyfunction("""COMPUTED_VALUE"""),223.8)</f>
        <v>223.8</v>
      </c>
      <c r="E1232" s="2" t="n">
        <f aca="false">IFERROR(__xludf.dummyfunction("""COMPUTED_VALUE"""),229.67)</f>
        <v>229.67</v>
      </c>
      <c r="F1232" s="2" t="n">
        <f aca="false">IFERROR(__xludf.dummyfunction("""COMPUTED_VALUE"""),39379339)</f>
        <v>39379339</v>
      </c>
    </row>
    <row r="1233" customFormat="false" ht="15.75" hidden="false" customHeight="false" outlineLevel="0" collapsed="false">
      <c r="A1233" s="3" t="n">
        <f aca="false">IFERROR(__xludf.dummyfunction("""COMPUTED_VALUE"""),45987.6666666667)</f>
        <v>45987.6666666667</v>
      </c>
      <c r="B1233" s="2" t="n">
        <f aca="false">IFERROR(__xludf.dummyfunction("""COMPUTED_VALUE"""),230.74)</f>
        <v>230.74</v>
      </c>
      <c r="C1233" s="2" t="n">
        <f aca="false">IFERROR(__xludf.dummyfunction("""COMPUTED_VALUE"""),231.75)</f>
        <v>231.75</v>
      </c>
      <c r="D1233" s="2" t="n">
        <f aca="false">IFERROR(__xludf.dummyfunction("""COMPUTED_VALUE"""),228.77)</f>
        <v>228.77</v>
      </c>
      <c r="E1233" s="2" t="n">
        <f aca="false">IFERROR(__xludf.dummyfunction("""COMPUTED_VALUE"""),229.16)</f>
        <v>229.16</v>
      </c>
      <c r="F1233" s="2" t="n">
        <f aca="false">IFERROR(__xludf.dummyfunction("""COMPUTED_VALUE"""),38497922)</f>
        <v>38497922</v>
      </c>
    </row>
    <row r="1234" customFormat="false" ht="15.75" hidden="false" customHeight="false" outlineLevel="0" collapsed="false">
      <c r="A1234" s="3" t="n">
        <f aca="false">IFERROR(__xludf.dummyfunction("""COMPUTED_VALUE"""),45989.5451388889)</f>
        <v>45989.5451388889</v>
      </c>
      <c r="B1234" s="2" t="n">
        <f aca="false">IFERROR(__xludf.dummyfunction("""COMPUTED_VALUE"""),231.24)</f>
        <v>231.24</v>
      </c>
      <c r="C1234" s="2" t="n">
        <f aca="false">IFERROR(__xludf.dummyfunction("""COMPUTED_VALUE"""),233.29)</f>
        <v>233.29</v>
      </c>
      <c r="D1234" s="2" t="n">
        <f aca="false">IFERROR(__xludf.dummyfunction("""COMPUTED_VALUE"""),230.22)</f>
        <v>230.22</v>
      </c>
      <c r="E1234" s="2" t="n">
        <f aca="false">IFERROR(__xludf.dummyfunction("""COMPUTED_VALUE"""),233.22)</f>
        <v>233.22</v>
      </c>
      <c r="F1234" s="2" t="n">
        <f aca="false">IFERROR(__xludf.dummyfunction("""COMPUTED_VALUE"""),20292329)</f>
        <v>20292329</v>
      </c>
    </row>
    <row r="1235" customFormat="false" ht="15.75" hidden="false" customHeight="false" outlineLevel="0" collapsed="false">
      <c r="A1235" s="3" t="n">
        <f aca="false">IFERROR(__xludf.dummyfunction("""COMPUTED_VALUE"""),45992.6666666667)</f>
        <v>45992.6666666667</v>
      </c>
      <c r="B1235" s="2" t="n">
        <f aca="false">IFERROR(__xludf.dummyfunction("""COMPUTED_VALUE"""),233.22)</f>
        <v>233.22</v>
      </c>
      <c r="C1235" s="2" t="n">
        <f aca="false">IFERROR(__xludf.dummyfunction("""COMPUTED_VALUE"""),235.8)</f>
        <v>235.8</v>
      </c>
      <c r="D1235" s="2" t="n">
        <f aca="false">IFERROR(__xludf.dummyfunction("""COMPUTED_VALUE"""),232.25)</f>
        <v>232.25</v>
      </c>
      <c r="E1235" s="2" t="n">
        <f aca="false">IFERROR(__xludf.dummyfunction("""COMPUTED_VALUE"""),233.88)</f>
        <v>233.88</v>
      </c>
      <c r="F1235" s="2" t="n">
        <f aca="false">IFERROR(__xludf.dummyfunction("""COMPUTED_VALUE"""),42903954)</f>
        <v>42903954</v>
      </c>
    </row>
    <row r="1236" customFormat="false" ht="15.75" hidden="false" customHeight="false" outlineLevel="0" collapsed="false">
      <c r="A1236" s="3" t="n">
        <f aca="false">IFERROR(__xludf.dummyfunction("""COMPUTED_VALUE"""),45993.6666666667)</f>
        <v>45993.6666666667</v>
      </c>
      <c r="B1236" s="2" t="n">
        <f aca="false">IFERROR(__xludf.dummyfunction("""COMPUTED_VALUE"""),235.01)</f>
        <v>235.01</v>
      </c>
      <c r="C1236" s="2" t="n">
        <f aca="false">IFERROR(__xludf.dummyfunction("""COMPUTED_VALUE"""),238.97)</f>
        <v>238.97</v>
      </c>
      <c r="D1236" s="2" t="n">
        <f aca="false">IFERROR(__xludf.dummyfunction("""COMPUTED_VALUE"""),233.55)</f>
        <v>233.55</v>
      </c>
      <c r="E1236" s="2" t="n">
        <f aca="false">IFERROR(__xludf.dummyfunction("""COMPUTED_VALUE"""),234.42)</f>
        <v>234.42</v>
      </c>
      <c r="F1236" s="2" t="n">
        <f aca="false">IFERROR(__xludf.dummyfunction("""COMPUTED_VALUE"""),45785363)</f>
        <v>45785363</v>
      </c>
    </row>
    <row r="1237" customFormat="false" ht="15.75" hidden="false" customHeight="false" outlineLevel="0" collapsed="false">
      <c r="A1237" s="3" t="n">
        <f aca="false">IFERROR(__xludf.dummyfunction("""COMPUTED_VALUE"""),45994.6666666667)</f>
        <v>45994.6666666667</v>
      </c>
      <c r="B1237" s="2" t="n">
        <f aca="false">IFERROR(__xludf.dummyfunction("""COMPUTED_VALUE"""),233.35)</f>
        <v>233.35</v>
      </c>
      <c r="C1237" s="2" t="n">
        <f aca="false">IFERROR(__xludf.dummyfunction("""COMPUTED_VALUE"""),233.38)</f>
        <v>233.38</v>
      </c>
      <c r="D1237" s="2" t="n">
        <f aca="false">IFERROR(__xludf.dummyfunction("""COMPUTED_VALUE"""),230.61)</f>
        <v>230.61</v>
      </c>
      <c r="E1237" s="2" t="n">
        <f aca="false">IFERROR(__xludf.dummyfunction("""COMPUTED_VALUE"""),232.38)</f>
        <v>232.38</v>
      </c>
      <c r="F1237" s="2" t="n">
        <f aca="false">IFERROR(__xludf.dummyfunction("""COMPUTED_VALUE"""),35495058)</f>
        <v>35495058</v>
      </c>
    </row>
    <row r="1238" customFormat="false" ht="15.75" hidden="false" customHeight="false" outlineLevel="0" collapsed="false">
      <c r="A1238" s="3" t="n">
        <f aca="false">IFERROR(__xludf.dummyfunction("""COMPUTED_VALUE"""),45995.6666666667)</f>
        <v>45995.6666666667</v>
      </c>
      <c r="B1238" s="2" t="n">
        <f aca="false">IFERROR(__xludf.dummyfunction("""COMPUTED_VALUE"""),232.77)</f>
        <v>232.77</v>
      </c>
      <c r="C1238" s="2" t="n">
        <f aca="false">IFERROR(__xludf.dummyfunction("""COMPUTED_VALUE"""),233.5)</f>
        <v>233.5</v>
      </c>
      <c r="D1238" s="2" t="n">
        <f aca="false">IFERROR(__xludf.dummyfunction("""COMPUTED_VALUE"""),226.8)</f>
        <v>226.8</v>
      </c>
      <c r="E1238" s="2" t="n">
        <f aca="false">IFERROR(__xludf.dummyfunction("""COMPUTED_VALUE"""),229.11)</f>
        <v>229.11</v>
      </c>
      <c r="F1238" s="2" t="n">
        <f aca="false">IFERROR(__xludf.dummyfunction("""COMPUTED_VALUE"""),45683224)</f>
        <v>45683224</v>
      </c>
    </row>
    <row r="1239" customFormat="false" ht="15.75" hidden="false" customHeight="false" outlineLevel="0" collapsed="false">
      <c r="A1239" s="3" t="n">
        <f aca="false">IFERROR(__xludf.dummyfunction("""COMPUTED_VALUE"""),45996.6666666667)</f>
        <v>45996.6666666667</v>
      </c>
      <c r="B1239" s="2" t="n">
        <f aca="false">IFERROR(__xludf.dummyfunction("""COMPUTED_VALUE"""),230.32)</f>
        <v>230.32</v>
      </c>
      <c r="C1239" s="2" t="n">
        <f aca="false">IFERROR(__xludf.dummyfunction("""COMPUTED_VALUE"""),231.24)</f>
        <v>231.24</v>
      </c>
      <c r="D1239" s="2" t="n">
        <f aca="false">IFERROR(__xludf.dummyfunction("""COMPUTED_VALUE"""),228.55)</f>
        <v>228.55</v>
      </c>
      <c r="E1239" s="2" t="n">
        <f aca="false">IFERROR(__xludf.dummyfunction("""COMPUTED_VALUE"""),229.53)</f>
        <v>229.53</v>
      </c>
      <c r="F1239" s="2" t="n">
        <f aca="false">IFERROR(__xludf.dummyfunction("""COMPUTED_VALUE"""),33117377)</f>
        <v>33117377</v>
      </c>
    </row>
    <row r="1240" customFormat="false" ht="15.75" hidden="false" customHeight="false" outlineLevel="0" collapsed="false">
      <c r="A1240" s="3" t="n">
        <f aca="false">IFERROR(__xludf.dummyfunction("""COMPUTED_VALUE"""),45999.6666666667)</f>
        <v>45999.6666666667</v>
      </c>
      <c r="B1240" s="2" t="n">
        <f aca="false">IFERROR(__xludf.dummyfunction("""COMPUTED_VALUE"""),229.59)</f>
        <v>229.59</v>
      </c>
      <c r="C1240" s="2" t="n">
        <f aca="false">IFERROR(__xludf.dummyfunction("""COMPUTED_VALUE"""),230.83)</f>
        <v>230.83</v>
      </c>
      <c r="D1240" s="2" t="n">
        <f aca="false">IFERROR(__xludf.dummyfunction("""COMPUTED_VALUE"""),226.27)</f>
        <v>226.27</v>
      </c>
      <c r="E1240" s="2" t="n">
        <f aca="false">IFERROR(__xludf.dummyfunction("""COMPUTED_VALUE"""),226.89)</f>
        <v>226.89</v>
      </c>
      <c r="F1240" s="2" t="n">
        <f aca="false">IFERROR(__xludf.dummyfunction("""COMPUTED_VALUE"""),35019174)</f>
        <v>35019174</v>
      </c>
    </row>
    <row r="1241" customFormat="false" ht="15.75" hidden="false" customHeight="false" outlineLevel="0" collapsed="false">
      <c r="A1241" s="3" t="n">
        <f aca="false">IFERROR(__xludf.dummyfunction("""COMPUTED_VALUE"""),46000.6666666667)</f>
        <v>46000.6666666667</v>
      </c>
      <c r="B1241" s="2" t="n">
        <f aca="false">IFERROR(__xludf.dummyfunction("""COMPUTED_VALUE"""),226.84)</f>
        <v>226.84</v>
      </c>
      <c r="C1241" s="2" t="n">
        <f aca="false">IFERROR(__xludf.dummyfunction("""COMPUTED_VALUE"""),228.57)</f>
        <v>228.57</v>
      </c>
      <c r="D1241" s="2" t="n">
        <f aca="false">IFERROR(__xludf.dummyfunction("""COMPUTED_VALUE"""),225.11)</f>
        <v>225.11</v>
      </c>
      <c r="E1241" s="2" t="n">
        <f aca="false">IFERROR(__xludf.dummyfunction("""COMPUTED_VALUE"""),227.92)</f>
        <v>227.92</v>
      </c>
      <c r="F1241" s="2" t="n">
        <f aca="false">IFERROR(__xludf.dummyfunction("""COMPUTED_VALUE"""),25841743)</f>
        <v>25841743</v>
      </c>
    </row>
    <row r="1242" customFormat="false" ht="15.75" hidden="false" customHeight="false" outlineLevel="0" collapsed="false">
      <c r="A1242" s="3" t="n">
        <f aca="false">IFERROR(__xludf.dummyfunction("""COMPUTED_VALUE"""),46001.6666666667)</f>
        <v>46001.6666666667</v>
      </c>
      <c r="B1242" s="2" t="n">
        <f aca="false">IFERROR(__xludf.dummyfunction("""COMPUTED_VALUE"""),228.81)</f>
        <v>228.81</v>
      </c>
      <c r="C1242" s="2" t="n">
        <f aca="false">IFERROR(__xludf.dummyfunction("""COMPUTED_VALUE"""),232.42)</f>
        <v>232.42</v>
      </c>
      <c r="D1242" s="2" t="n">
        <f aca="false">IFERROR(__xludf.dummyfunction("""COMPUTED_VALUE"""),228.46)</f>
        <v>228.46</v>
      </c>
      <c r="E1242" s="2" t="n">
        <f aca="false">IFERROR(__xludf.dummyfunction("""COMPUTED_VALUE"""),231.78)</f>
        <v>231.78</v>
      </c>
      <c r="F1242" s="2" t="n">
        <f aca="false">IFERROR(__xludf.dummyfunction("""COMPUTED_VALUE"""),38790736)</f>
        <v>38790736</v>
      </c>
    </row>
    <row r="1243" customFormat="false" ht="15.75" hidden="false" customHeight="false" outlineLevel="0" collapsed="false">
      <c r="A1243" s="3" t="n">
        <f aca="false">IFERROR(__xludf.dummyfunction("""COMPUTED_VALUE"""),46002.6666666667)</f>
        <v>46002.6666666667</v>
      </c>
      <c r="B1243" s="2" t="n">
        <f aca="false">IFERROR(__xludf.dummyfunction("""COMPUTED_VALUE"""),230.71)</f>
        <v>230.71</v>
      </c>
      <c r="C1243" s="2" t="n">
        <f aca="false">IFERROR(__xludf.dummyfunction("""COMPUTED_VALUE"""),232.11)</f>
        <v>232.11</v>
      </c>
      <c r="D1243" s="2" t="n">
        <f aca="false">IFERROR(__xludf.dummyfunction("""COMPUTED_VALUE"""),228.69)</f>
        <v>228.69</v>
      </c>
      <c r="E1243" s="2" t="n">
        <f aca="false">IFERROR(__xludf.dummyfunction("""COMPUTED_VALUE"""),230.28)</f>
        <v>230.28</v>
      </c>
      <c r="F1243" s="2" t="n">
        <f aca="false">IFERROR(__xludf.dummyfunction("""COMPUTED_VALUE"""),28249599)</f>
        <v>28249599</v>
      </c>
    </row>
    <row r="1244" customFormat="false" ht="15.75" hidden="false" customHeight="false" outlineLevel="0" collapsed="false">
      <c r="A1244" s="3" t="n">
        <f aca="false">IFERROR(__xludf.dummyfunction("""COMPUTED_VALUE"""),46003.6666666667)</f>
        <v>46003.6666666667</v>
      </c>
      <c r="B1244" s="2" t="n">
        <f aca="false">IFERROR(__xludf.dummyfunction("""COMPUTED_VALUE"""),229.87)</f>
        <v>229.87</v>
      </c>
      <c r="C1244" s="2" t="n">
        <f aca="false">IFERROR(__xludf.dummyfunction("""COMPUTED_VALUE"""),230.08)</f>
        <v>230.08</v>
      </c>
      <c r="D1244" s="2" t="n">
        <f aca="false">IFERROR(__xludf.dummyfunction("""COMPUTED_VALUE"""),225.12)</f>
        <v>225.12</v>
      </c>
      <c r="E1244" s="2" t="n">
        <f aca="false">IFERROR(__xludf.dummyfunction("""COMPUTED_VALUE"""),226.19)</f>
        <v>226.19</v>
      </c>
      <c r="F1244" s="2" t="n">
        <f aca="false">IFERROR(__xludf.dummyfunction("""COMPUTED_VALUE"""),35639118)</f>
        <v>35639118</v>
      </c>
    </row>
    <row r="1245" customFormat="false" ht="15.75" hidden="false" customHeight="false" outlineLevel="0" collapsed="false">
      <c r="A1245" s="3" t="n">
        <f aca="false">IFERROR(__xludf.dummyfunction("""COMPUTED_VALUE"""),46006.6666666667)</f>
        <v>46006.6666666667</v>
      </c>
      <c r="B1245" s="2" t="n">
        <f aca="false">IFERROR(__xludf.dummyfunction("""COMPUTED_VALUE"""),227.93)</f>
        <v>227.93</v>
      </c>
      <c r="C1245" s="2" t="n">
        <f aca="false">IFERROR(__xludf.dummyfunction("""COMPUTED_VALUE"""),227.93)</f>
        <v>227.93</v>
      </c>
      <c r="D1245" s="2" t="n">
        <f aca="false">IFERROR(__xludf.dummyfunction("""COMPUTED_VALUE"""),221.5)</f>
        <v>221.5</v>
      </c>
      <c r="E1245" s="2" t="n">
        <f aca="false">IFERROR(__xludf.dummyfunction("""COMPUTED_VALUE"""),222.54)</f>
        <v>222.54</v>
      </c>
      <c r="F1245" s="2" t="n">
        <f aca="false">IFERROR(__xludf.dummyfunction("""COMPUTED_VALUE"""),47286085)</f>
        <v>47286085</v>
      </c>
    </row>
    <row r="1246" customFormat="false" ht="15.75" hidden="false" customHeight="false" outlineLevel="0" collapsed="false">
      <c r="A1246" s="3" t="n">
        <f aca="false">IFERROR(__xludf.dummyfunction("""COMPUTED_VALUE"""),46007.6666666667)</f>
        <v>46007.6666666667</v>
      </c>
      <c r="B1246" s="2" t="n">
        <f aca="false">IFERROR(__xludf.dummyfunction("""COMPUTED_VALUE"""),223.04)</f>
        <v>223.04</v>
      </c>
      <c r="C1246" s="2" t="n">
        <f aca="false">IFERROR(__xludf.dummyfunction("""COMPUTED_VALUE"""),223.66)</f>
        <v>223.66</v>
      </c>
      <c r="D1246" s="2" t="n">
        <f aca="false">IFERROR(__xludf.dummyfunction("""COMPUTED_VALUE"""),221.13)</f>
        <v>221.13</v>
      </c>
      <c r="E1246" s="2" t="n">
        <f aca="false">IFERROR(__xludf.dummyfunction("""COMPUTED_VALUE"""),222.56)</f>
        <v>222.56</v>
      </c>
      <c r="F1246" s="2" t="n">
        <f aca="false">IFERROR(__xludf.dummyfunction("""COMPUTED_VALUE"""),39298857)</f>
        <v>39298857</v>
      </c>
    </row>
    <row r="1247" customFormat="false" ht="15.75" hidden="false" customHeight="false" outlineLevel="0" collapsed="false">
      <c r="A1247" s="3" t="n">
        <f aca="false">IFERROR(__xludf.dummyfunction("""COMPUTED_VALUE"""),46008.6666666667)</f>
        <v>46008.6666666667</v>
      </c>
      <c r="B1247" s="2" t="n">
        <f aca="false">IFERROR(__xludf.dummyfunction("""COMPUTED_VALUE"""),224.66)</f>
        <v>224.66</v>
      </c>
      <c r="C1247" s="2" t="n">
        <f aca="false">IFERROR(__xludf.dummyfunction("""COMPUTED_VALUE"""),225.19)</f>
        <v>225.19</v>
      </c>
      <c r="D1247" s="2" t="n">
        <f aca="false">IFERROR(__xludf.dummyfunction("""COMPUTED_VALUE"""),220.99)</f>
        <v>220.99</v>
      </c>
      <c r="E1247" s="2" t="n">
        <f aca="false">IFERROR(__xludf.dummyfunction("""COMPUTED_VALUE"""),221.27)</f>
        <v>221.27</v>
      </c>
      <c r="F1247" s="2" t="n">
        <f aca="false">IFERROR(__xludf.dummyfunction("""COMPUTED_VALUE"""),44034418)</f>
        <v>44034418</v>
      </c>
    </row>
    <row r="1248" customFormat="false" ht="15.75" hidden="false" customHeight="false" outlineLevel="0" collapsed="false">
      <c r="A1248" s="3" t="n">
        <f aca="false">IFERROR(__xludf.dummyfunction("""COMPUTED_VALUE"""),46009.6666666667)</f>
        <v>46009.6666666667</v>
      </c>
      <c r="B1248" s="2" t="n">
        <f aca="false">IFERROR(__xludf.dummyfunction("""COMPUTED_VALUE"""),225.71)</f>
        <v>225.71</v>
      </c>
      <c r="C1248" s="2" t="n">
        <f aca="false">IFERROR(__xludf.dummyfunction("""COMPUTED_VALUE"""),229.23)</f>
        <v>229.23</v>
      </c>
      <c r="D1248" s="2" t="n">
        <f aca="false">IFERROR(__xludf.dummyfunction("""COMPUTED_VALUE"""),224.41)</f>
        <v>224.41</v>
      </c>
      <c r="E1248" s="2" t="n">
        <f aca="false">IFERROR(__xludf.dummyfunction("""COMPUTED_VALUE"""),226.76)</f>
        <v>226.76</v>
      </c>
      <c r="F1248" s="2" t="n">
        <f aca="false">IFERROR(__xludf.dummyfunction("""COMPUTED_VALUE"""),50272419)</f>
        <v>50272419</v>
      </c>
    </row>
    <row r="1249" customFormat="false" ht="15.75" hidden="false" customHeight="false" outlineLevel="0" collapsed="false">
      <c r="A1249" s="3" t="n">
        <f aca="false">IFERROR(__xludf.dummyfunction("""COMPUTED_VALUE"""),46010.6666666667)</f>
        <v>46010.6666666667</v>
      </c>
      <c r="B1249" s="2" t="n">
        <f aca="false">IFERROR(__xludf.dummyfunction("""COMPUTED_VALUE"""),226.76)</f>
        <v>226.76</v>
      </c>
      <c r="C1249" s="2" t="n">
        <f aca="false">IFERROR(__xludf.dummyfunction("""COMPUTED_VALUE"""),229.13)</f>
        <v>229.13</v>
      </c>
      <c r="D1249" s="2" t="n">
        <f aca="false">IFERROR(__xludf.dummyfunction("""COMPUTED_VALUE"""),225.58)</f>
        <v>225.58</v>
      </c>
      <c r="E1249" s="2" t="n">
        <f aca="false">IFERROR(__xludf.dummyfunction("""COMPUTED_VALUE"""),227.35)</f>
        <v>227.35</v>
      </c>
      <c r="F1249" s="2" t="n">
        <f aca="false">IFERROR(__xludf.dummyfunction("""COMPUTED_VALUE"""),85544374)</f>
        <v>85544374</v>
      </c>
    </row>
    <row r="1250" customFormat="false" ht="15.75" hidden="false" customHeight="false" outlineLevel="0" collapsed="false">
      <c r="A1250" s="3" t="n">
        <f aca="false">IFERROR(__xludf.dummyfunction("""COMPUTED_VALUE"""),46013.6666666667)</f>
        <v>46013.6666666667</v>
      </c>
      <c r="B1250" s="2" t="n">
        <f aca="false">IFERROR(__xludf.dummyfunction("""COMPUTED_VALUE"""),228.61)</f>
        <v>228.61</v>
      </c>
      <c r="C1250" s="2" t="n">
        <f aca="false">IFERROR(__xludf.dummyfunction("""COMPUTED_VALUE"""),229.48)</f>
        <v>229.48</v>
      </c>
      <c r="D1250" s="2" t="n">
        <f aca="false">IFERROR(__xludf.dummyfunction("""COMPUTED_VALUE"""),226.71)</f>
        <v>226.71</v>
      </c>
      <c r="E1250" s="2" t="n">
        <f aca="false">IFERROR(__xludf.dummyfunction("""COMPUTED_VALUE"""),228.43)</f>
        <v>228.43</v>
      </c>
      <c r="F1250" s="2" t="n">
        <f aca="false">IFERROR(__xludf.dummyfunction("""COMPUTED_VALUE"""),32261329)</f>
        <v>32261329</v>
      </c>
    </row>
    <row r="1251" customFormat="false" ht="15.75" hidden="false" customHeight="false" outlineLevel="0" collapsed="false">
      <c r="A1251" s="3" t="n">
        <f aca="false">IFERROR(__xludf.dummyfunction("""COMPUTED_VALUE"""),46014.6666666667)</f>
        <v>46014.6666666667</v>
      </c>
      <c r="B1251" s="2" t="n">
        <f aca="false">IFERROR(__xludf.dummyfunction("""COMPUTED_VALUE"""),229.06)</f>
        <v>229.06</v>
      </c>
      <c r="C1251" s="2" t="n">
        <f aca="false">IFERROR(__xludf.dummyfunction("""COMPUTED_VALUE"""),232.45)</f>
        <v>232.45</v>
      </c>
      <c r="D1251" s="2" t="n">
        <f aca="false">IFERROR(__xludf.dummyfunction("""COMPUTED_VALUE"""),228.73)</f>
        <v>228.73</v>
      </c>
      <c r="E1251" s="2" t="n">
        <f aca="false">IFERROR(__xludf.dummyfunction("""COMPUTED_VALUE"""),232.14)</f>
        <v>232.14</v>
      </c>
      <c r="F1251" s="2" t="n">
        <f aca="false">IFERROR(__xludf.dummyfunction("""COMPUTED_VALUE"""),29230233)</f>
        <v>29230233</v>
      </c>
    </row>
    <row r="1252" customFormat="false" ht="15.75" hidden="false" customHeight="false" outlineLevel="0" collapsed="false">
      <c r="A1252" s="3" t="n">
        <f aca="false">IFERROR(__xludf.dummyfunction("""COMPUTED_VALUE"""),46015.5451388889)</f>
        <v>46015.5451388889</v>
      </c>
      <c r="B1252" s="2" t="n">
        <f aca="false">IFERROR(__xludf.dummyfunction("""COMPUTED_VALUE"""),232.13)</f>
        <v>232.13</v>
      </c>
      <c r="C1252" s="2" t="n">
        <f aca="false">IFERROR(__xludf.dummyfunction("""COMPUTED_VALUE"""),232.95)</f>
        <v>232.95</v>
      </c>
      <c r="D1252" s="2" t="n">
        <f aca="false">IFERROR(__xludf.dummyfunction("""COMPUTED_VALUE"""),231.33)</f>
        <v>231.33</v>
      </c>
      <c r="E1252" s="2" t="n">
        <f aca="false">IFERROR(__xludf.dummyfunction("""COMPUTED_VALUE"""),232.38)</f>
        <v>232.38</v>
      </c>
      <c r="F1252" s="2" t="n">
        <f aca="false">IFERROR(__xludf.dummyfunction("""COMPUTED_VALUE"""),11420543)</f>
        <v>11420543</v>
      </c>
    </row>
    <row r="1253" customFormat="false" ht="15.75" hidden="false" customHeight="false" outlineLevel="0" collapsed="false">
      <c r="A1253" s="3" t="n">
        <f aca="false">IFERROR(__xludf.dummyfunction("""COMPUTED_VALUE"""),46017.6666666667)</f>
        <v>46017.6666666667</v>
      </c>
      <c r="B1253" s="2" t="n">
        <f aca="false">IFERROR(__xludf.dummyfunction("""COMPUTED_VALUE"""),232.04)</f>
        <v>232.04</v>
      </c>
      <c r="C1253" s="2" t="n">
        <f aca="false">IFERROR(__xludf.dummyfunction("""COMPUTED_VALUE"""),232.99)</f>
        <v>232.99</v>
      </c>
      <c r="D1253" s="2" t="n">
        <f aca="false">IFERROR(__xludf.dummyfunction("""COMPUTED_VALUE"""),231.18)</f>
        <v>231.18</v>
      </c>
      <c r="E1253" s="2" t="n">
        <f aca="false">IFERROR(__xludf.dummyfunction("""COMPUTED_VALUE"""),232.52)</f>
        <v>232.52</v>
      </c>
      <c r="F1253" s="2" t="n">
        <f aca="false">IFERROR(__xludf.dummyfunction("""COMPUTED_VALUE"""),15994726)</f>
        <v>15994726</v>
      </c>
    </row>
    <row r="1254" customFormat="false" ht="15.75" hidden="false" customHeight="false" outlineLevel="0" collapsed="false">
      <c r="A1254" s="3" t="n">
        <f aca="false">IFERROR(__xludf.dummyfunction("""COMPUTED_VALUE"""),46020.6666666667)</f>
        <v>46020.6666666667</v>
      </c>
      <c r="B1254" s="2" t="n">
        <f aca="false">IFERROR(__xludf.dummyfunction("""COMPUTED_VALUE"""),231.94)</f>
        <v>231.94</v>
      </c>
      <c r="C1254" s="2" t="n">
        <f aca="false">IFERROR(__xludf.dummyfunction("""COMPUTED_VALUE"""),232.6)</f>
        <v>232.6</v>
      </c>
      <c r="D1254" s="2" t="n">
        <f aca="false">IFERROR(__xludf.dummyfunction("""COMPUTED_VALUE"""),230.77)</f>
        <v>230.77</v>
      </c>
      <c r="E1254" s="2" t="n">
        <f aca="false">IFERROR(__xludf.dummyfunction("""COMPUTED_VALUE"""),232.07)</f>
        <v>232.07</v>
      </c>
      <c r="F1254" s="2" t="n">
        <f aca="false">IFERROR(__xludf.dummyfunction("""COMPUTED_VALUE"""),19797909)</f>
        <v>19797909</v>
      </c>
    </row>
    <row r="1255" customFormat="false" ht="15.75" hidden="false" customHeight="false" outlineLevel="0" collapsed="false">
      <c r="A1255" s="3" t="n">
        <f aca="false">IFERROR(__xludf.dummyfunction("""COMPUTED_VALUE"""),46021.6666666667)</f>
        <v>46021.6666666667</v>
      </c>
      <c r="B1255" s="2" t="n">
        <f aca="false">IFERROR(__xludf.dummyfunction("""COMPUTED_VALUE"""),231.21)</f>
        <v>231.21</v>
      </c>
      <c r="C1255" s="2" t="n">
        <f aca="false">IFERROR(__xludf.dummyfunction("""COMPUTED_VALUE"""),232.77)</f>
        <v>232.77</v>
      </c>
      <c r="D1255" s="2" t="n">
        <f aca="false">IFERROR(__xludf.dummyfunction("""COMPUTED_VALUE"""),230.2)</f>
        <v>230.2</v>
      </c>
      <c r="E1255" s="2" t="n">
        <f aca="false">IFERROR(__xludf.dummyfunction("""COMPUTED_VALUE"""),232.53)</f>
        <v>232.53</v>
      </c>
      <c r="F1255" s="2" t="n">
        <f aca="false">IFERROR(__xludf.dummyfunction("""COMPUTED_VALUE"""),21910453)</f>
        <v>21910453</v>
      </c>
    </row>
    <row r="1256" customFormat="false" ht="15.75" hidden="false" customHeight="false" outlineLevel="0" collapsed="false">
      <c r="A1256" s="3" t="n">
        <f aca="false">IFERROR(__xludf.dummyfunction("""COMPUTED_VALUE"""),46022.6666666667)</f>
        <v>46022.6666666667</v>
      </c>
      <c r="B1256" s="2" t="n">
        <f aca="false">IFERROR(__xludf.dummyfunction("""COMPUTED_VALUE"""),232.91)</f>
        <v>232.91</v>
      </c>
      <c r="C1256" s="2" t="n">
        <f aca="false">IFERROR(__xludf.dummyfunction("""COMPUTED_VALUE"""),232.99)</f>
        <v>232.99</v>
      </c>
      <c r="D1256" s="2" t="n">
        <f aca="false">IFERROR(__xludf.dummyfunction("""COMPUTED_VALUE"""),230.12)</f>
        <v>230.12</v>
      </c>
      <c r="E1256" s="2" t="n">
        <f aca="false">IFERROR(__xludf.dummyfunction("""COMPUTED_VALUE"""),230.82)</f>
        <v>230.82</v>
      </c>
      <c r="F1256" s="2" t="n">
        <f aca="false">IFERROR(__xludf.dummyfunction("""COMPUTED_VALUE"""),24383749)</f>
        <v>24383749</v>
      </c>
    </row>
    <row r="1257" customFormat="false" ht="15.75" hidden="false" customHeight="false" outlineLevel="0" collapsed="false">
      <c r="A1257" s="3" t="n">
        <f aca="false">IFERROR(__xludf.dummyfunction("""COMPUTED_VALUE"""),46024.6666666667)</f>
        <v>46024.6666666667</v>
      </c>
      <c r="B1257" s="2" t="n">
        <f aca="false">IFERROR(__xludf.dummyfunction("""COMPUTED_VALUE"""),231.34)</f>
        <v>231.34</v>
      </c>
      <c r="C1257" s="2" t="n">
        <f aca="false">IFERROR(__xludf.dummyfunction("""COMPUTED_VALUE"""),235.46)</f>
        <v>235.46</v>
      </c>
      <c r="D1257" s="2" t="n">
        <f aca="false">IFERROR(__xludf.dummyfunction("""COMPUTED_VALUE"""),224.7)</f>
        <v>224.7</v>
      </c>
      <c r="E1257" s="2" t="n">
        <f aca="false">IFERROR(__xludf.dummyfunction("""COMPUTED_VALUE"""),226.5)</f>
        <v>226.5</v>
      </c>
      <c r="F1257" s="2" t="n">
        <f aca="false">IFERROR(__xludf.dummyfunction("""COMPUTED_VALUE"""),51456229)</f>
        <v>51456229</v>
      </c>
    </row>
    <row r="1258" customFormat="false" ht="15.75" hidden="false" customHeight="false" outlineLevel="0" collapsed="false">
      <c r="A1258" s="3" t="n">
        <f aca="false">IFERROR(__xludf.dummyfunction("""COMPUTED_VALUE"""),46027.6666666667)</f>
        <v>46027.6666666667</v>
      </c>
      <c r="B1258" s="2" t="n">
        <f aca="false">IFERROR(__xludf.dummyfunction("""COMPUTED_VALUE"""),228.84)</f>
        <v>228.84</v>
      </c>
      <c r="C1258" s="2" t="n">
        <f aca="false">IFERROR(__xludf.dummyfunction("""COMPUTED_VALUE"""),234)</f>
        <v>234</v>
      </c>
      <c r="D1258" s="2" t="n">
        <f aca="false">IFERROR(__xludf.dummyfunction("""COMPUTED_VALUE"""),227.18)</f>
        <v>227.18</v>
      </c>
      <c r="E1258" s="2" t="n">
        <f aca="false">IFERROR(__xludf.dummyfunction("""COMPUTED_VALUE"""),233.06)</f>
        <v>233.06</v>
      </c>
      <c r="F1258" s="2" t="n">
        <f aca="false">IFERROR(__xludf.dummyfunction("""COMPUTED_VALUE"""),49733348)</f>
        <v>49733348</v>
      </c>
    </row>
    <row r="1259" customFormat="false" ht="15.75" hidden="false" customHeight="false" outlineLevel="0" collapsed="false">
      <c r="A1259" s="3" t="n">
        <f aca="false">IFERROR(__xludf.dummyfunction("""COMPUTED_VALUE"""),46028.6666666667)</f>
        <v>46028.6666666667</v>
      </c>
      <c r="B1259" s="2" t="n">
        <f aca="false">IFERROR(__xludf.dummyfunction("""COMPUTED_VALUE"""),232.1)</f>
        <v>232.1</v>
      </c>
      <c r="C1259" s="2" t="n">
        <f aca="false">IFERROR(__xludf.dummyfunction("""COMPUTED_VALUE"""),243.18)</f>
        <v>243.18</v>
      </c>
      <c r="D1259" s="2" t="n">
        <f aca="false">IFERROR(__xludf.dummyfunction("""COMPUTED_VALUE"""),232.07)</f>
        <v>232.07</v>
      </c>
      <c r="E1259" s="2" t="n">
        <f aca="false">IFERROR(__xludf.dummyfunction("""COMPUTED_VALUE"""),240.93)</f>
        <v>240.93</v>
      </c>
      <c r="F1259" s="2" t="n">
        <f aca="false">IFERROR(__xludf.dummyfunction("""COMPUTED_VALUE"""),53764677)</f>
        <v>53764677</v>
      </c>
    </row>
    <row r="1260" customFormat="false" ht="15.75" hidden="false" customHeight="false" outlineLevel="0" collapsed="false">
      <c r="A1260" s="3" t="n">
        <f aca="false">IFERROR(__xludf.dummyfunction("""COMPUTED_VALUE"""),46029.6666666667)</f>
        <v>46029.6666666667</v>
      </c>
      <c r="B1260" s="2" t="n">
        <f aca="false">IFERROR(__xludf.dummyfunction("""COMPUTED_VALUE"""),239.61)</f>
        <v>239.61</v>
      </c>
      <c r="C1260" s="2" t="n">
        <f aca="false">IFERROR(__xludf.dummyfunction("""COMPUTED_VALUE"""),245.29)</f>
        <v>245.29</v>
      </c>
      <c r="D1260" s="2" t="n">
        <f aca="false">IFERROR(__xludf.dummyfunction("""COMPUTED_VALUE"""),239.52)</f>
        <v>239.52</v>
      </c>
      <c r="E1260" s="2" t="n">
        <f aca="false">IFERROR(__xludf.dummyfunction("""COMPUTED_VALUE"""),241.56)</f>
        <v>241.56</v>
      </c>
      <c r="F1260" s="2" t="n">
        <f aca="false">IFERROR(__xludf.dummyfunction("""COMPUTED_VALUE"""),42236531)</f>
        <v>42236531</v>
      </c>
    </row>
    <row r="1261" customFormat="false" ht="15.75" hidden="false" customHeight="false" outlineLevel="0" collapsed="false">
      <c r="A1261" s="3" t="n">
        <f aca="false">IFERROR(__xludf.dummyfunction("""COMPUTED_VALUE"""),46030.6666666667)</f>
        <v>46030.6666666667</v>
      </c>
      <c r="B1261" s="2" t="n">
        <f aca="false">IFERROR(__xludf.dummyfunction("""COMPUTED_VALUE"""),243.06)</f>
        <v>243.06</v>
      </c>
      <c r="C1261" s="2" t="n">
        <f aca="false">IFERROR(__xludf.dummyfunction("""COMPUTED_VALUE"""),246.41)</f>
        <v>246.41</v>
      </c>
      <c r="D1261" s="2" t="n">
        <f aca="false">IFERROR(__xludf.dummyfunction("""COMPUTED_VALUE"""),241.88)</f>
        <v>241.88</v>
      </c>
      <c r="E1261" s="2" t="n">
        <f aca="false">IFERROR(__xludf.dummyfunction("""COMPUTED_VALUE"""),246.29)</f>
        <v>246.29</v>
      </c>
      <c r="F1261" s="2" t="n">
        <f aca="false">IFERROR(__xludf.dummyfunction("""COMPUTED_VALUE"""),39509844)</f>
        <v>39509844</v>
      </c>
    </row>
    <row r="1262" customFormat="false" ht="15.75" hidden="false" customHeight="false" outlineLevel="0" collapsed="false">
      <c r="A1262" s="3" t="n">
        <f aca="false">IFERROR(__xludf.dummyfunction("""COMPUTED_VALUE"""),46031.6666666667)</f>
        <v>46031.6666666667</v>
      </c>
      <c r="B1262" s="2" t="n">
        <f aca="false">IFERROR(__xludf.dummyfunction("""COMPUTED_VALUE"""),244.57)</f>
        <v>244.57</v>
      </c>
      <c r="C1262" s="2" t="n">
        <f aca="false">IFERROR(__xludf.dummyfunction("""COMPUTED_VALUE"""),247.86)</f>
        <v>247.86</v>
      </c>
      <c r="D1262" s="2" t="n">
        <f aca="false">IFERROR(__xludf.dummyfunction("""COMPUTED_VALUE"""),242.24)</f>
        <v>242.24</v>
      </c>
      <c r="E1262" s="2" t="n">
        <f aca="false">IFERROR(__xludf.dummyfunction("""COMPUTED_VALUE"""),247.38)</f>
        <v>247.38</v>
      </c>
      <c r="F1262" s="2" t="n">
        <f aca="false">IFERROR(__xludf.dummyfunction("""COMPUTED_VALUE"""),34559961)</f>
        <v>34559961</v>
      </c>
    </row>
    <row r="1263" customFormat="false" ht="15.75" hidden="false" customHeight="false" outlineLevel="0" collapsed="false">
      <c r="A1263" s="3" t="n">
        <f aca="false">IFERROR(__xludf.dummyfunction("""COMPUTED_VALUE"""),46034.6666666667)</f>
        <v>46034.6666666667</v>
      </c>
      <c r="B1263" s="2" t="n">
        <f aca="false">IFERROR(__xludf.dummyfunction("""COMPUTED_VALUE"""),246.73)</f>
        <v>246.73</v>
      </c>
      <c r="C1263" s="2" t="n">
        <f aca="false">IFERROR(__xludf.dummyfunction("""COMPUTED_VALUE"""),248.94)</f>
        <v>248.94</v>
      </c>
      <c r="D1263" s="2" t="n">
        <f aca="false">IFERROR(__xludf.dummyfunction("""COMPUTED_VALUE"""),245.96)</f>
        <v>245.96</v>
      </c>
      <c r="E1263" s="2" t="n">
        <f aca="false">IFERROR(__xludf.dummyfunction("""COMPUTED_VALUE"""),246.47)</f>
        <v>246.47</v>
      </c>
      <c r="F1263" s="2" t="n">
        <f aca="false">IFERROR(__xludf.dummyfunction("""COMPUTED_VALUE"""),35867770)</f>
        <v>35867770</v>
      </c>
    </row>
    <row r="1264" customFormat="false" ht="15.75" hidden="false" customHeight="false" outlineLevel="0" collapsed="false">
      <c r="A1264" s="3" t="n">
        <f aca="false">IFERROR(__xludf.dummyfunction("""COMPUTED_VALUE"""),46035.6666666667)</f>
        <v>46035.6666666667</v>
      </c>
      <c r="B1264" s="2" t="n">
        <f aca="false">IFERROR(__xludf.dummyfunction("""COMPUTED_VALUE"""),246.53)</f>
        <v>246.53</v>
      </c>
      <c r="C1264" s="2" t="n">
        <f aca="false">IFERROR(__xludf.dummyfunction("""COMPUTED_VALUE"""),247.66)</f>
        <v>247.66</v>
      </c>
      <c r="D1264" s="2" t="n">
        <f aca="false">IFERROR(__xludf.dummyfunction("""COMPUTED_VALUE"""),240.25)</f>
        <v>240.25</v>
      </c>
      <c r="E1264" s="2" t="n">
        <f aca="false">IFERROR(__xludf.dummyfunction("""COMPUTED_VALUE"""),242.6)</f>
        <v>242.6</v>
      </c>
      <c r="F1264" s="2" t="n">
        <f aca="false">IFERROR(__xludf.dummyfunction("""COMPUTED_VALUE"""),38371778)</f>
        <v>38371778</v>
      </c>
    </row>
    <row r="1265" customFormat="false" ht="15.75" hidden="false" customHeight="false" outlineLevel="0" collapsed="false">
      <c r="A1265" s="3" t="n">
        <f aca="false">IFERROR(__xludf.dummyfunction("""COMPUTED_VALUE"""),46036.6666666667)</f>
        <v>46036.6666666667</v>
      </c>
      <c r="B1265" s="2" t="n">
        <f aca="false">IFERROR(__xludf.dummyfunction("""COMPUTED_VALUE"""),241.15)</f>
        <v>241.15</v>
      </c>
      <c r="C1265" s="2" t="n">
        <f aca="false">IFERROR(__xludf.dummyfunction("""COMPUTED_VALUE"""),241.28)</f>
        <v>241.28</v>
      </c>
      <c r="D1265" s="2" t="n">
        <f aca="false">IFERROR(__xludf.dummyfunction("""COMPUTED_VALUE"""),236.22)</f>
        <v>236.22</v>
      </c>
      <c r="E1265" s="2" t="n">
        <f aca="false">IFERROR(__xludf.dummyfunction("""COMPUTED_VALUE"""),236.65)</f>
        <v>236.65</v>
      </c>
      <c r="F1265" s="2" t="n">
        <f aca="false">IFERROR(__xludf.dummyfunction("""COMPUTED_VALUE"""),41410578)</f>
        <v>41410578</v>
      </c>
    </row>
    <row r="1266" customFormat="false" ht="15.75" hidden="false" customHeight="false" outlineLevel="0" collapsed="false">
      <c r="A1266" s="3" t="n">
        <f aca="false">IFERROR(__xludf.dummyfunction("""COMPUTED_VALUE"""),46037.6666666667)</f>
        <v>46037.6666666667</v>
      </c>
      <c r="B1266" s="2" t="n">
        <f aca="false">IFERROR(__xludf.dummyfunction("""COMPUTED_VALUE"""),239.31)</f>
        <v>239.31</v>
      </c>
      <c r="C1266" s="2" t="n">
        <f aca="false">IFERROR(__xludf.dummyfunction("""COMPUTED_VALUE"""),240.65)</f>
        <v>240.65</v>
      </c>
      <c r="D1266" s="2" t="n">
        <f aca="false">IFERROR(__xludf.dummyfunction("""COMPUTED_VALUE"""),236.63)</f>
        <v>236.63</v>
      </c>
      <c r="E1266" s="2" t="n">
        <f aca="false">IFERROR(__xludf.dummyfunction("""COMPUTED_VALUE"""),238.18)</f>
        <v>238.18</v>
      </c>
      <c r="F1266" s="2" t="n">
        <f aca="false">IFERROR(__xludf.dummyfunction("""COMPUTED_VALUE"""),43003571)</f>
        <v>43003571</v>
      </c>
    </row>
    <row r="1267" customFormat="false" ht="15.75" hidden="false" customHeight="false" outlineLevel="0" collapsed="false">
      <c r="A1267" s="3" t="n">
        <f aca="false">IFERROR(__xludf.dummyfunction("""COMPUTED_VALUE"""),46038.6666666667)</f>
        <v>46038.6666666667</v>
      </c>
      <c r="B1267" s="2" t="n">
        <f aca="false">IFERROR(__xludf.dummyfunction("""COMPUTED_VALUE"""),239.09)</f>
        <v>239.09</v>
      </c>
      <c r="C1267" s="2" t="n">
        <f aca="false">IFERROR(__xludf.dummyfunction("""COMPUTED_VALUE"""),239.57)</f>
        <v>239.57</v>
      </c>
      <c r="D1267" s="2" t="n">
        <f aca="false">IFERROR(__xludf.dummyfunction("""COMPUTED_VALUE"""),236.41)</f>
        <v>236.41</v>
      </c>
      <c r="E1267" s="2" t="n">
        <f aca="false">IFERROR(__xludf.dummyfunction("""COMPUTED_VALUE"""),239.12)</f>
        <v>239.12</v>
      </c>
      <c r="F1267" s="2" t="n">
        <f aca="false">IFERROR(__xludf.dummyfunction("""COMPUTED_VALUE"""),45888283)</f>
        <v>45888283</v>
      </c>
    </row>
    <row r="1268" customFormat="false" ht="15.75" hidden="false" customHeight="false" outlineLevel="0" collapsed="false">
      <c r="A1268" s="3" t="n">
        <f aca="false">IFERROR(__xludf.dummyfunction("""COMPUTED_VALUE"""),46042.6666666667)</f>
        <v>46042.6666666667</v>
      </c>
      <c r="B1268" s="2" t="n">
        <f aca="false">IFERROR(__xludf.dummyfunction("""COMPUTED_VALUE"""),233.76)</f>
        <v>233.76</v>
      </c>
      <c r="C1268" s="2" t="n">
        <f aca="false">IFERROR(__xludf.dummyfunction("""COMPUTED_VALUE"""),235.09)</f>
        <v>235.09</v>
      </c>
      <c r="D1268" s="2" t="n">
        <f aca="false">IFERROR(__xludf.dummyfunction("""COMPUTED_VALUE"""),229.34)</f>
        <v>229.34</v>
      </c>
      <c r="E1268" s="2" t="n">
        <f aca="false">IFERROR(__xludf.dummyfunction("""COMPUTED_VALUE"""),231)</f>
        <v>231</v>
      </c>
      <c r="F1268" s="2" t="n">
        <f aca="false">IFERROR(__xludf.dummyfunction("""COMPUTED_VALUE"""),47737854)</f>
        <v>47737854</v>
      </c>
    </row>
    <row r="1269" customFormat="false" ht="15.75" hidden="false" customHeight="false" outlineLevel="0" collapsed="false">
      <c r="A1269" s="3" t="n">
        <f aca="false">IFERROR(__xludf.dummyfunction("""COMPUTED_VALUE"""),46043.6666666667)</f>
        <v>46043.6666666667</v>
      </c>
      <c r="B1269" s="2" t="n">
        <f aca="false">IFERROR(__xludf.dummyfunction("""COMPUTED_VALUE"""),231.09)</f>
        <v>231.09</v>
      </c>
      <c r="C1269" s="2" t="n">
        <f aca="false">IFERROR(__xludf.dummyfunction("""COMPUTED_VALUE"""),232.3)</f>
        <v>232.3</v>
      </c>
      <c r="D1269" s="2" t="n">
        <f aca="false">IFERROR(__xludf.dummyfunction("""COMPUTED_VALUE"""),226.88)</f>
        <v>226.88</v>
      </c>
      <c r="E1269" s="2" t="n">
        <f aca="false">IFERROR(__xludf.dummyfunction("""COMPUTED_VALUE"""),231.31)</f>
        <v>231.31</v>
      </c>
      <c r="F1269" s="2" t="n">
        <f aca="false">IFERROR(__xludf.dummyfunction("""COMPUTED_VALUE"""),47276090)</f>
        <v>47276090</v>
      </c>
    </row>
    <row r="1270" customFormat="false" ht="15.75" hidden="false" customHeight="false" outlineLevel="0" collapsed="false">
      <c r="A1270" s="3" t="n">
        <f aca="false">IFERROR(__xludf.dummyfunction("""COMPUTED_VALUE"""),46044.6666666667)</f>
        <v>46044.6666666667</v>
      </c>
      <c r="B1270" s="2" t="n">
        <f aca="false">IFERROR(__xludf.dummyfunction("""COMPUTED_VALUE"""),234.05)</f>
        <v>234.05</v>
      </c>
      <c r="C1270" s="2" t="n">
        <f aca="false">IFERROR(__xludf.dummyfunction("""COMPUTED_VALUE"""),235.72)</f>
        <v>235.72</v>
      </c>
      <c r="D1270" s="2" t="n">
        <f aca="false">IFERROR(__xludf.dummyfunction("""COMPUTED_VALUE"""),230.9)</f>
        <v>230.9</v>
      </c>
      <c r="E1270" s="2" t="n">
        <f aca="false">IFERROR(__xludf.dummyfunction("""COMPUTED_VALUE"""),234.34)</f>
        <v>234.34</v>
      </c>
      <c r="F1270" s="2" t="n">
        <f aca="false">IFERROR(__xludf.dummyfunction("""COMPUTED_VALUE"""),31913325)</f>
        <v>31913325</v>
      </c>
    </row>
    <row r="1271" customFormat="false" ht="15.75" hidden="false" customHeight="false" outlineLevel="0" collapsed="false">
      <c r="A1271" s="3" t="n">
        <f aca="false">IFERROR(__xludf.dummyfunction("""COMPUTED_VALUE"""),46045.6666666667)</f>
        <v>46045.6666666667</v>
      </c>
      <c r="B1271" s="2" t="n">
        <f aca="false">IFERROR(__xludf.dummyfunction("""COMPUTED_VALUE"""),234.96)</f>
        <v>234.96</v>
      </c>
      <c r="C1271" s="2" t="n">
        <f aca="false">IFERROR(__xludf.dummyfunction("""COMPUTED_VALUE"""),240.45)</f>
        <v>240.45</v>
      </c>
      <c r="D1271" s="2" t="n">
        <f aca="false">IFERROR(__xludf.dummyfunction("""COMPUTED_VALUE"""),234.57)</f>
        <v>234.57</v>
      </c>
      <c r="E1271" s="2" t="n">
        <f aca="false">IFERROR(__xludf.dummyfunction("""COMPUTED_VALUE"""),239.16)</f>
        <v>239.16</v>
      </c>
      <c r="F1271" s="2" t="n">
        <f aca="false">IFERROR(__xludf.dummyfunction("""COMPUTED_VALUE"""),33778478)</f>
        <v>33778478</v>
      </c>
    </row>
    <row r="1272" customFormat="false" ht="15.75" hidden="false" customHeight="false" outlineLevel="0" collapsed="false">
      <c r="A1272" s="3" t="n">
        <f aca="false">IFERROR(__xludf.dummyfunction("""COMPUTED_VALUE"""),46048.6666666667)</f>
        <v>46048.6666666667</v>
      </c>
      <c r="B1272" s="2" t="n">
        <f aca="false">IFERROR(__xludf.dummyfunction("""COMPUTED_VALUE"""),239.98)</f>
        <v>239.98</v>
      </c>
      <c r="C1272" s="2" t="n">
        <f aca="false">IFERROR(__xludf.dummyfunction("""COMPUTED_VALUE"""),240.95)</f>
        <v>240.95</v>
      </c>
      <c r="D1272" s="2" t="n">
        <f aca="false">IFERROR(__xludf.dummyfunction("""COMPUTED_VALUE"""),237.54)</f>
        <v>237.54</v>
      </c>
      <c r="E1272" s="2" t="n">
        <f aca="false">IFERROR(__xludf.dummyfunction("""COMPUTED_VALUE"""),238.42)</f>
        <v>238.42</v>
      </c>
      <c r="F1272" s="2" t="n">
        <f aca="false">IFERROR(__xludf.dummyfunction("""COMPUTED_VALUE"""),32825530)</f>
        <v>32825530</v>
      </c>
    </row>
    <row r="1273" customFormat="false" ht="15.75" hidden="false" customHeight="false" outlineLevel="0" collapsed="false">
      <c r="A1273" s="3" t="n">
        <f aca="false">IFERROR(__xludf.dummyfunction("""COMPUTED_VALUE"""),46049.6666666667)</f>
        <v>46049.6666666667</v>
      </c>
      <c r="B1273" s="2" t="n">
        <f aca="false">IFERROR(__xludf.dummyfunction("""COMPUTED_VALUE"""),239.69)</f>
        <v>239.69</v>
      </c>
      <c r="C1273" s="2" t="n">
        <f aca="false">IFERROR(__xludf.dummyfunction("""COMPUTED_VALUE"""),244.88)</f>
        <v>244.88</v>
      </c>
      <c r="D1273" s="2" t="n">
        <f aca="false">IFERROR(__xludf.dummyfunction("""COMPUTED_VALUE"""),238.08)</f>
        <v>238.08</v>
      </c>
      <c r="E1273" s="2" t="n">
        <f aca="false">IFERROR(__xludf.dummyfunction("""COMPUTED_VALUE"""),244.68)</f>
        <v>244.68</v>
      </c>
      <c r="F1273" s="2" t="n">
        <f aca="false">IFERROR(__xludf.dummyfunction("""COMPUTED_VALUE"""),38029216)</f>
        <v>38029216</v>
      </c>
    </row>
    <row r="1274" customFormat="false" ht="15.75" hidden="false" customHeight="false" outlineLevel="0" collapsed="false">
      <c r="A1274" s="3" t="n">
        <f aca="false">IFERROR(__xludf.dummyfunction("""COMPUTED_VALUE"""),46050.6666666667)</f>
        <v>46050.6666666667</v>
      </c>
      <c r="B1274" s="2" t="n">
        <f aca="false">IFERROR(__xludf.dummyfunction("""COMPUTED_VALUE"""),246.37)</f>
        <v>246.37</v>
      </c>
      <c r="C1274" s="2" t="n">
        <f aca="false">IFERROR(__xludf.dummyfunction("""COMPUTED_VALUE"""),247.78)</f>
        <v>247.78</v>
      </c>
      <c r="D1274" s="2" t="n">
        <f aca="false">IFERROR(__xludf.dummyfunction("""COMPUTED_VALUE"""),241.53)</f>
        <v>241.53</v>
      </c>
      <c r="E1274" s="2" t="n">
        <f aca="false">IFERROR(__xludf.dummyfunction("""COMPUTED_VALUE"""),243.01)</f>
        <v>243.01</v>
      </c>
      <c r="F1274" s="2" t="n">
        <f aca="false">IFERROR(__xludf.dummyfunction("""COMPUTED_VALUE"""),40882657)</f>
        <v>40882657</v>
      </c>
    </row>
    <row r="1275" customFormat="false" ht="15.75" hidden="false" customHeight="false" outlineLevel="0" collapsed="false">
      <c r="A1275" s="3" t="n">
        <f aca="false">IFERROR(__xludf.dummyfunction("""COMPUTED_VALUE"""),46051.6666666667)</f>
        <v>46051.6666666667</v>
      </c>
      <c r="B1275" s="2" t="n">
        <f aca="false">IFERROR(__xludf.dummyfunction("""COMPUTED_VALUE"""),242.82)</f>
        <v>242.82</v>
      </c>
      <c r="C1275" s="2" t="n">
        <f aca="false">IFERROR(__xludf.dummyfunction("""COMPUTED_VALUE"""),243)</f>
        <v>243</v>
      </c>
      <c r="D1275" s="2" t="n">
        <f aca="false">IFERROR(__xludf.dummyfunction("""COMPUTED_VALUE"""),236.74)</f>
        <v>236.74</v>
      </c>
      <c r="E1275" s="2" t="n">
        <f aca="false">IFERROR(__xludf.dummyfunction("""COMPUTED_VALUE"""),241.73)</f>
        <v>241.73</v>
      </c>
      <c r="F1275" s="2" t="n">
        <f aca="false">IFERROR(__xludf.dummyfunction("""COMPUTED_VALUE"""),47229643)</f>
        <v>47229643</v>
      </c>
    </row>
    <row r="1276" customFormat="false" ht="15.75" hidden="false" customHeight="false" outlineLevel="0" collapsed="false">
      <c r="A1276" s="3" t="n">
        <f aca="false">IFERROR(__xludf.dummyfunction("""COMPUTED_VALUE"""),46052.6666666667)</f>
        <v>46052.6666666667</v>
      </c>
      <c r="B1276" s="2" t="n">
        <f aca="false">IFERROR(__xludf.dummyfunction("""COMPUTED_VALUE"""),239.89)</f>
        <v>239.89</v>
      </c>
      <c r="C1276" s="2" t="n">
        <f aca="false">IFERROR(__xludf.dummyfunction("""COMPUTED_VALUE"""),243.32)</f>
        <v>243.32</v>
      </c>
      <c r="D1276" s="2" t="n">
        <f aca="false">IFERROR(__xludf.dummyfunction("""COMPUTED_VALUE"""),237.64)</f>
        <v>237.64</v>
      </c>
      <c r="E1276" s="2" t="n">
        <f aca="false">IFERROR(__xludf.dummyfunction("""COMPUTED_VALUE"""),239.3)</f>
        <v>239.3</v>
      </c>
      <c r="F1276" s="2" t="n">
        <f aca="false">IFERROR(__xludf.dummyfunction("""COMPUTED_VALUE"""),46585024)</f>
        <v>46585024</v>
      </c>
    </row>
    <row r="1277" customFormat="false" ht="15.75" hidden="false" customHeight="false" outlineLevel="0" collapsed="false">
      <c r="A1277" s="3" t="n">
        <f aca="false">IFERROR(__xludf.dummyfunction("""COMPUTED_VALUE"""),46055.6666666667)</f>
        <v>46055.6666666667</v>
      </c>
      <c r="B1277" s="2" t="n">
        <f aca="false">IFERROR(__xludf.dummyfunction("""COMPUTED_VALUE"""),238.31)</f>
        <v>238.31</v>
      </c>
      <c r="C1277" s="2" t="n">
        <f aca="false">IFERROR(__xludf.dummyfunction("""COMPUTED_VALUE"""),245.63)</f>
        <v>245.63</v>
      </c>
      <c r="D1277" s="2" t="n">
        <f aca="false">IFERROR(__xludf.dummyfunction("""COMPUTED_VALUE"""),238.17)</f>
        <v>238.17</v>
      </c>
      <c r="E1277" s="2" t="n">
        <f aca="false">IFERROR(__xludf.dummyfunction("""COMPUTED_VALUE"""),242.96)</f>
        <v>242.96</v>
      </c>
      <c r="F1277" s="2" t="n">
        <f aca="false">IFERROR(__xludf.dummyfunction("""COMPUTED_VALUE"""),37546102)</f>
        <v>37546102</v>
      </c>
    </row>
    <row r="1278" customFormat="false" ht="15.75" hidden="false" customHeight="false" outlineLevel="0" collapsed="false">
      <c r="A1278" s="3" t="n">
        <f aca="false">IFERROR(__xludf.dummyfunction("""COMPUTED_VALUE"""),46056.6666666667)</f>
        <v>46056.6666666667</v>
      </c>
      <c r="B1278" s="2" t="n">
        <f aca="false">IFERROR(__xludf.dummyfunction("""COMPUTED_VALUE"""),244.98)</f>
        <v>244.98</v>
      </c>
      <c r="C1278" s="2" t="n">
        <f aca="false">IFERROR(__xludf.dummyfunction("""COMPUTED_VALUE"""),246.35)</f>
        <v>246.35</v>
      </c>
      <c r="D1278" s="2" t="n">
        <f aca="false">IFERROR(__xludf.dummyfunction("""COMPUTED_VALUE"""),235.45)</f>
        <v>235.45</v>
      </c>
      <c r="E1278" s="2" t="n">
        <f aca="false">IFERROR(__xludf.dummyfunction("""COMPUTED_VALUE"""),238.62)</f>
        <v>238.62</v>
      </c>
      <c r="F1278" s="2" t="n">
        <f aca="false">IFERROR(__xludf.dummyfunction("""COMPUTED_VALUE"""),53831298)</f>
        <v>53831298</v>
      </c>
    </row>
    <row r="1279" customFormat="false" ht="15.75" hidden="false" customHeight="false" outlineLevel="0" collapsed="false">
      <c r="A1279" s="3" t="n">
        <f aca="false">IFERROR(__xludf.dummyfunction("""COMPUTED_VALUE"""),46057.6666666667)</f>
        <v>46057.6666666667</v>
      </c>
      <c r="B1279" s="2" t="n">
        <f aca="false">IFERROR(__xludf.dummyfunction("""COMPUTED_VALUE"""),238.86)</f>
        <v>238.86</v>
      </c>
      <c r="C1279" s="2" t="n">
        <f aca="false">IFERROR(__xludf.dummyfunction("""COMPUTED_VALUE"""),238.86)</f>
        <v>238.86</v>
      </c>
      <c r="D1279" s="2" t="n">
        <f aca="false">IFERROR(__xludf.dummyfunction("""COMPUTED_VALUE"""),231.82)</f>
        <v>231.82</v>
      </c>
      <c r="E1279" s="2" t="n">
        <f aca="false">IFERROR(__xludf.dummyfunction("""COMPUTED_VALUE"""),232.99)</f>
        <v>232.99</v>
      </c>
      <c r="F1279" s="2" t="n">
        <f aca="false">IFERROR(__xludf.dummyfunction("""COMPUTED_VALUE"""),51299947)</f>
        <v>51299947</v>
      </c>
    </row>
    <row r="1280" customFormat="false" ht="15.75" hidden="false" customHeight="false" outlineLevel="0" collapsed="false">
      <c r="A1280" s="3" t="n">
        <f aca="false">IFERROR(__xludf.dummyfunction("""COMPUTED_VALUE"""),46058.6666666667)</f>
        <v>46058.6666666667</v>
      </c>
      <c r="B1280" s="2" t="n">
        <f aca="false">IFERROR(__xludf.dummyfunction("""COMPUTED_VALUE"""),224.91)</f>
        <v>224.91</v>
      </c>
      <c r="C1280" s="2" t="n">
        <f aca="false">IFERROR(__xludf.dummyfunction("""COMPUTED_VALUE"""),226.31)</f>
        <v>226.31</v>
      </c>
      <c r="D1280" s="2" t="n">
        <f aca="false">IFERROR(__xludf.dummyfunction("""COMPUTED_VALUE"""),220.38)</f>
        <v>220.38</v>
      </c>
      <c r="E1280" s="2" t="n">
        <f aca="false">IFERROR(__xludf.dummyfunction("""COMPUTED_VALUE"""),222.69)</f>
        <v>222.69</v>
      </c>
      <c r="F1280" s="2" t="n">
        <f aca="false">IFERROR(__xludf.dummyfunction("""COMPUTED_VALUE"""),103509230)</f>
        <v>103509230</v>
      </c>
    </row>
    <row r="1281" customFormat="false" ht="15.75" hidden="false" customHeight="false" outlineLevel="0" collapsed="false">
      <c r="A1281" s="3" t="n">
        <f aca="false">IFERROR(__xludf.dummyfunction("""COMPUTED_VALUE"""),46059.6666666667)</f>
        <v>46059.6666666667</v>
      </c>
      <c r="B1281" s="2" t="n">
        <f aca="false">IFERROR(__xludf.dummyfunction("""COMPUTED_VALUE"""),202.7)</f>
        <v>202.7</v>
      </c>
      <c r="C1281" s="2" t="n">
        <f aca="false">IFERROR(__xludf.dummyfunction("""COMPUTED_VALUE"""),211.44)</f>
        <v>211.44</v>
      </c>
      <c r="D1281" s="2" t="n">
        <f aca="false">IFERROR(__xludf.dummyfunction("""COMPUTED_VALUE"""),200.31)</f>
        <v>200.31</v>
      </c>
      <c r="E1281" s="2" t="n">
        <f aca="false">IFERROR(__xludf.dummyfunction("""COMPUTED_VALUE"""),210.32)</f>
        <v>210.32</v>
      </c>
      <c r="F1281" s="2" t="n">
        <f aca="false">IFERROR(__xludf.dummyfunction("""COMPUTED_VALUE"""),179210851)</f>
        <v>179210851</v>
      </c>
    </row>
    <row r="1282" customFormat="false" ht="15.75" hidden="false" customHeight="false" outlineLevel="0" collapsed="false">
      <c r="A1282" s="3" t="n">
        <f aca="false">IFERROR(__xludf.dummyfunction("""COMPUTED_VALUE"""),46062.6666666667)</f>
        <v>46062.6666666667</v>
      </c>
      <c r="B1282" s="2" t="n">
        <f aca="false">IFERROR(__xludf.dummyfunction("""COMPUTED_VALUE"""),208.97)</f>
        <v>208.97</v>
      </c>
      <c r="C1282" s="2" t="n">
        <f aca="false">IFERROR(__xludf.dummyfunction("""COMPUTED_VALUE"""),212.81)</f>
        <v>212.81</v>
      </c>
      <c r="D1282" s="2" t="n">
        <f aca="false">IFERROR(__xludf.dummyfunction("""COMPUTED_VALUE"""),203.35)</f>
        <v>203.35</v>
      </c>
      <c r="E1282" s="2" t="n">
        <f aca="false">IFERROR(__xludf.dummyfunction("""COMPUTED_VALUE"""),208.72)</f>
        <v>208.72</v>
      </c>
      <c r="F1282" s="2" t="n">
        <f aca="false">IFERROR(__xludf.dummyfunction("""COMPUTED_VALUE"""),91178443)</f>
        <v>91178443</v>
      </c>
    </row>
    <row r="1283" customFormat="false" ht="15.75" hidden="false" customHeight="false" outlineLevel="0" collapsed="false">
      <c r="A1283" s="3" t="n">
        <f aca="false">IFERROR(__xludf.dummyfunction("""COMPUTED_VALUE"""),46063.6666666667)</f>
        <v>46063.6666666667</v>
      </c>
      <c r="B1283" s="2" t="n">
        <f aca="false">IFERROR(__xludf.dummyfunction("""COMPUTED_VALUE"""),208.8)</f>
        <v>208.8</v>
      </c>
      <c r="C1283" s="2" t="n">
        <f aca="false">IFERROR(__xludf.dummyfunction("""COMPUTED_VALUE"""),212.65)</f>
        <v>212.65</v>
      </c>
      <c r="D1283" s="2" t="n">
        <f aca="false">IFERROR(__xludf.dummyfunction("""COMPUTED_VALUE"""),206.41)</f>
        <v>206.41</v>
      </c>
      <c r="E1283" s="2" t="n">
        <f aca="false">IFERROR(__xludf.dummyfunction("""COMPUTED_VALUE"""),206.96)</f>
        <v>206.96</v>
      </c>
      <c r="F1283" s="2" t="n">
        <f aca="false">IFERROR(__xludf.dummyfunction("""COMPUTED_VALUE"""),67175031)</f>
        <v>67175031</v>
      </c>
    </row>
    <row r="1284" customFormat="false" ht="15.75" hidden="false" customHeight="false" outlineLevel="0" collapsed="false">
      <c r="A1284" s="3" t="n">
        <f aca="false">IFERROR(__xludf.dummyfunction("""COMPUTED_VALUE"""),46064.6666666667)</f>
        <v>46064.6666666667</v>
      </c>
      <c r="B1284" s="2" t="n">
        <f aca="false">IFERROR(__xludf.dummyfunction("""COMPUTED_VALUE"""),208.06)</f>
        <v>208.06</v>
      </c>
      <c r="C1284" s="2" t="n">
        <f aca="false">IFERROR(__xludf.dummyfunction("""COMPUTED_VALUE"""),208.57)</f>
        <v>208.57</v>
      </c>
      <c r="D1284" s="2" t="n">
        <f aca="false">IFERROR(__xludf.dummyfunction("""COMPUTED_VALUE"""),202.49)</f>
        <v>202.49</v>
      </c>
      <c r="E1284" s="2" t="n">
        <f aca="false">IFERROR(__xludf.dummyfunction("""COMPUTED_VALUE"""),204.08)</f>
        <v>204.08</v>
      </c>
      <c r="F1284" s="2" t="n">
        <f aca="false">IFERROR(__xludf.dummyfunction("""COMPUTED_VALUE"""),65545455)</f>
        <v>65545455</v>
      </c>
    </row>
    <row r="1285" customFormat="false" ht="15.75" hidden="false" customHeight="false" outlineLevel="0" collapsed="false">
      <c r="A1285" s="3" t="n">
        <f aca="false">IFERROR(__xludf.dummyfunction("""COMPUTED_VALUE"""),46065.6666666667)</f>
        <v>46065.6666666667</v>
      </c>
      <c r="B1285" s="2" t="n">
        <f aca="false">IFERROR(__xludf.dummyfunction("""COMPUTED_VALUE"""),203.96)</f>
        <v>203.96</v>
      </c>
      <c r="C1285" s="2" t="n">
        <f aca="false">IFERROR(__xludf.dummyfunction("""COMPUTED_VALUE"""),203.96)</f>
        <v>203.96</v>
      </c>
      <c r="D1285" s="2" t="n">
        <f aca="false">IFERROR(__xludf.dummyfunction("""COMPUTED_VALUE"""),197.56)</f>
        <v>197.56</v>
      </c>
      <c r="E1285" s="2" t="n">
        <f aca="false">IFERROR(__xludf.dummyfunction("""COMPUTED_VALUE"""),199.6)</f>
        <v>199.6</v>
      </c>
      <c r="F1285" s="2" t="n">
        <f aca="false">IFERROR(__xludf.dummyfunction("""COMPUTED_VALUE"""),83975393)</f>
        <v>83975393</v>
      </c>
    </row>
    <row r="1286" customFormat="false" ht="15.75" hidden="false" customHeight="false" outlineLevel="0" collapsed="false">
      <c r="A1286" s="3" t="n">
        <f aca="false">IFERROR(__xludf.dummyfunction("""COMPUTED_VALUE"""),46066.6666666667)</f>
        <v>46066.6666666667</v>
      </c>
      <c r="B1286" s="2" t="n">
        <f aca="false">IFERROR(__xludf.dummyfunction("""COMPUTED_VALUE"""),198.88)</f>
        <v>198.88</v>
      </c>
      <c r="C1286" s="2" t="n">
        <f aca="false">IFERROR(__xludf.dummyfunction("""COMPUTED_VALUE"""),201.16)</f>
        <v>201.16</v>
      </c>
      <c r="D1286" s="2" t="n">
        <f aca="false">IFERROR(__xludf.dummyfunction("""COMPUTED_VALUE"""),197.28)</f>
        <v>197.28</v>
      </c>
      <c r="E1286" s="2" t="n">
        <f aca="false">IFERROR(__xludf.dummyfunction("""COMPUTED_VALUE"""),198.79)</f>
        <v>198.79</v>
      </c>
      <c r="F1286" s="2" t="n">
        <f aca="false">IFERROR(__xludf.dummyfunction("""COMPUTED_VALUE"""),66321593)</f>
        <v>66321593</v>
      </c>
    </row>
    <row r="1287" customFormat="false" ht="15.75" hidden="false" customHeight="false" outlineLevel="0" collapsed="false">
      <c r="A1287" s="3" t="n">
        <f aca="false">IFERROR(__xludf.dummyfunction("""COMPUTED_VALUE"""),46070.6666666667)</f>
        <v>46070.6666666667</v>
      </c>
      <c r="B1287" s="2" t="n">
        <f aca="false">IFERROR(__xludf.dummyfunction("""COMPUTED_VALUE"""),198.13)</f>
        <v>198.13</v>
      </c>
      <c r="C1287" s="2" t="n">
        <f aca="false">IFERROR(__xludf.dummyfunction("""COMPUTED_VALUE"""),201.74)</f>
        <v>201.74</v>
      </c>
      <c r="D1287" s="2" t="n">
        <f aca="false">IFERROR(__xludf.dummyfunction("""COMPUTED_VALUE"""),196)</f>
        <v>196</v>
      </c>
      <c r="E1287" s="2" t="n">
        <f aca="false">IFERROR(__xludf.dummyfunction("""COMPUTED_VALUE"""),201.15)</f>
        <v>201.15</v>
      </c>
      <c r="F1287" s="2" t="n">
        <f aca="false">IFERROR(__xludf.dummyfunction("""COMPUTED_VALUE"""),69879200)</f>
        <v>69879200</v>
      </c>
    </row>
    <row r="1288" customFormat="false" ht="15.75" hidden="false" customHeight="false" outlineLevel="0" collapsed="false">
      <c r="A1288" s="3" t="n">
        <f aca="false">IFERROR(__xludf.dummyfunction("""COMPUTED_VALUE"""),46071.6666666667)</f>
        <v>46071.6666666667</v>
      </c>
      <c r="B1288" s="2" t="n">
        <f aca="false">IFERROR(__xludf.dummyfunction("""COMPUTED_VALUE"""),202.07)</f>
        <v>202.07</v>
      </c>
      <c r="C1288" s="2" t="n">
        <f aca="false">IFERROR(__xludf.dummyfunction("""COMPUTED_VALUE"""),206.86)</f>
        <v>206.86</v>
      </c>
      <c r="D1288" s="2" t="n">
        <f aca="false">IFERROR(__xludf.dummyfunction("""COMPUTED_VALUE"""),201.51)</f>
        <v>201.51</v>
      </c>
      <c r="E1288" s="2" t="n">
        <f aca="false">IFERROR(__xludf.dummyfunction("""COMPUTED_VALUE"""),204.79)</f>
        <v>204.79</v>
      </c>
      <c r="F1288" s="2" t="n">
        <f aca="false">IFERROR(__xludf.dummyfunction("""COMPUTED_VALUE"""),51003299)</f>
        <v>51003299</v>
      </c>
    </row>
    <row r="1289" customFormat="false" ht="15.75" hidden="false" customHeight="false" outlineLevel="0" collapsed="false">
      <c r="A1289" s="3" t="n">
        <f aca="false">IFERROR(__xludf.dummyfunction("""COMPUTED_VALUE"""),46072.6666666667)</f>
        <v>46072.6666666667</v>
      </c>
      <c r="B1289" s="2" t="n">
        <f aca="false">IFERROR(__xludf.dummyfunction("""COMPUTED_VALUE"""),203.8)</f>
        <v>203.8</v>
      </c>
      <c r="C1289" s="2" t="n">
        <f aca="false">IFERROR(__xludf.dummyfunction("""COMPUTED_VALUE"""),205.64)</f>
        <v>205.64</v>
      </c>
      <c r="D1289" s="2" t="n">
        <f aca="false">IFERROR(__xludf.dummyfunction("""COMPUTED_VALUE"""),202.81)</f>
        <v>202.81</v>
      </c>
      <c r="E1289" s="2" t="n">
        <f aca="false">IFERROR(__xludf.dummyfunction("""COMPUTED_VALUE"""),204.86)</f>
        <v>204.86</v>
      </c>
      <c r="F1289" s="2" t="n">
        <f aca="false">IFERROR(__xludf.dummyfunction("""COMPUTED_VALUE"""),35669611)</f>
        <v>35669611</v>
      </c>
    </row>
    <row r="1290" customFormat="false" ht="15.75" hidden="false" customHeight="false" outlineLevel="0" collapsed="false">
      <c r="A1290" s="3" t="n">
        <f aca="false">IFERROR(__xludf.dummyfunction("""COMPUTED_VALUE"""),46073.6666666667)</f>
        <v>46073.6666666667</v>
      </c>
      <c r="B1290" s="2" t="n">
        <f aca="false">IFERROR(__xludf.dummyfunction("""COMPUTED_VALUE"""),204.76)</f>
        <v>204.76</v>
      </c>
      <c r="C1290" s="2" t="n">
        <f aca="false">IFERROR(__xludf.dummyfunction("""COMPUTED_VALUE"""),211.17)</f>
        <v>211.17</v>
      </c>
      <c r="D1290" s="2" t="n">
        <f aca="false">IFERROR(__xludf.dummyfunction("""COMPUTED_VALUE"""),203.75)</f>
        <v>203.75</v>
      </c>
      <c r="E1290" s="2" t="n">
        <f aca="false">IFERROR(__xludf.dummyfunction("""COMPUTED_VALUE"""),210.11)</f>
        <v>210.11</v>
      </c>
      <c r="F1290" s="2" t="n">
        <f aca="false">IFERROR(__xludf.dummyfunction("""COMPUTED_VALUE"""),65881611)</f>
        <v>65881611</v>
      </c>
    </row>
    <row r="1291" customFormat="false" ht="15.75" hidden="false" customHeight="false" outlineLevel="0" collapsed="false">
      <c r="A1291" s="3" t="n">
        <f aca="false">IFERROR(__xludf.dummyfunction("""COMPUTED_VALUE"""),46076.6666666667)</f>
        <v>46076.6666666667</v>
      </c>
      <c r="B1291" s="2" t="n">
        <f aca="false">IFERROR(__xludf.dummyfunction("""COMPUTED_VALUE"""),208.1)</f>
        <v>208.1</v>
      </c>
      <c r="C1291" s="2" t="n">
        <f aca="false">IFERROR(__xludf.dummyfunction("""COMPUTED_VALUE"""),208.43)</f>
        <v>208.43</v>
      </c>
      <c r="D1291" s="2" t="n">
        <f aca="false">IFERROR(__xludf.dummyfunction("""COMPUTED_VALUE"""),203.11)</f>
        <v>203.11</v>
      </c>
      <c r="E1291" s="2" t="n">
        <f aca="false">IFERROR(__xludf.dummyfunction("""COMPUTED_VALUE"""),205.27)</f>
        <v>205.27</v>
      </c>
      <c r="F1291" s="2" t="n">
        <f aca="false">IFERROR(__xludf.dummyfunction("""COMPUTED_VALUE"""),53178737)</f>
        <v>53178737</v>
      </c>
    </row>
    <row r="1292" customFormat="false" ht="15.75" hidden="false" customHeight="false" outlineLevel="0" collapsed="false">
      <c r="A1292" s="3" t="n">
        <f aca="false">IFERROR(__xludf.dummyfunction("""COMPUTED_VALUE"""),46077.6666666667)</f>
        <v>46077.6666666667</v>
      </c>
      <c r="B1292" s="2" t="n">
        <f aca="false">IFERROR(__xludf.dummyfunction("""COMPUTED_VALUE"""),205.47)</f>
        <v>205.47</v>
      </c>
      <c r="C1292" s="2" t="n">
        <f aca="false">IFERROR(__xludf.dummyfunction("""COMPUTED_VALUE"""),210.36)</f>
        <v>210.36</v>
      </c>
      <c r="D1292" s="2" t="n">
        <f aca="false">IFERROR(__xludf.dummyfunction("""COMPUTED_VALUE"""),203.25)</f>
        <v>203.25</v>
      </c>
      <c r="E1292" s="2" t="n">
        <f aca="false">IFERROR(__xludf.dummyfunction("""COMPUTED_VALUE"""),208.56)</f>
        <v>208.56</v>
      </c>
      <c r="F1292" s="2" t="n">
        <f aca="false">IFERROR(__xludf.dummyfunction("""COMPUTED_VALUE"""),40739350)</f>
        <v>40739350</v>
      </c>
    </row>
    <row r="1293" customFormat="false" ht="15.75" hidden="false" customHeight="false" outlineLevel="0" collapsed="false">
      <c r="A1293" s="3" t="n">
        <f aca="false">IFERROR(__xludf.dummyfunction("""COMPUTED_VALUE"""),46078.6666666667)</f>
        <v>46078.6666666667</v>
      </c>
      <c r="B1293" s="2" t="n">
        <f aca="false">IFERROR(__xludf.dummyfunction("""COMPUTED_VALUE"""),210.46)</f>
        <v>210.46</v>
      </c>
      <c r="C1293" s="2" t="n">
        <f aca="false">IFERROR(__xludf.dummyfunction("""COMPUTED_VALUE"""),211.59)</f>
        <v>211.59</v>
      </c>
      <c r="D1293" s="2" t="n">
        <f aca="false">IFERROR(__xludf.dummyfunction("""COMPUTED_VALUE"""),208.93)</f>
        <v>208.93</v>
      </c>
      <c r="E1293" s="2" t="n">
        <f aca="false">IFERROR(__xludf.dummyfunction("""COMPUTED_VALUE"""),210.64)</f>
        <v>210.64</v>
      </c>
      <c r="F1293" s="2" t="n">
        <f aca="false">IFERROR(__xludf.dummyfunction("""COMPUTED_VALUE"""),40760098)</f>
        <v>40760098</v>
      </c>
    </row>
    <row r="1294" customFormat="false" ht="15.75" hidden="false" customHeight="false" outlineLevel="0" collapsed="false">
      <c r="A1294" s="3" t="n">
        <f aca="false">IFERROR(__xludf.dummyfunction("""COMPUTED_VALUE"""),46079.6666666667)</f>
        <v>46079.6666666667</v>
      </c>
      <c r="B1294" s="2" t="n">
        <f aca="false">IFERROR(__xludf.dummyfunction("""COMPUTED_VALUE"""),210.73)</f>
        <v>210.73</v>
      </c>
      <c r="C1294" s="2" t="n">
        <f aca="false">IFERROR(__xludf.dummyfunction("""COMPUTED_VALUE"""),211.05)</f>
        <v>211.05</v>
      </c>
      <c r="D1294" s="2" t="n">
        <f aca="false">IFERROR(__xludf.dummyfunction("""COMPUTED_VALUE"""),205.35)</f>
        <v>205.35</v>
      </c>
      <c r="E1294" s="2" t="n">
        <f aca="false">IFERROR(__xludf.dummyfunction("""COMPUTED_VALUE"""),207.92)</f>
        <v>207.92</v>
      </c>
      <c r="F1294" s="2" t="n">
        <f aca="false">IFERROR(__xludf.dummyfunction("""COMPUTED_VALUE"""),47254367)</f>
        <v>47254367</v>
      </c>
    </row>
    <row r="1295" customFormat="false" ht="15.75" hidden="false" customHeight="false" outlineLevel="0" collapsed="false">
      <c r="A1295" s="3" t="n">
        <f aca="false">IFERROR(__xludf.dummyfunction("""COMPUTED_VALUE"""),46080.6666666667)</f>
        <v>46080.6666666667</v>
      </c>
      <c r="B1295" s="2" t="n">
        <f aca="false">IFERROR(__xludf.dummyfunction("""COMPUTED_VALUE"""),206.83)</f>
        <v>206.83</v>
      </c>
      <c r="C1295" s="2" t="n">
        <f aca="false">IFERROR(__xludf.dummyfunction("""COMPUTED_VALUE"""),210.33)</f>
        <v>210.33</v>
      </c>
      <c r="D1295" s="2" t="n">
        <f aca="false">IFERROR(__xludf.dummyfunction("""COMPUTED_VALUE"""),205.2)</f>
        <v>205.2</v>
      </c>
      <c r="E1295" s="2" t="n">
        <f aca="false">IFERROR(__xludf.dummyfunction("""COMPUTED_VALUE"""),210)</f>
        <v>210</v>
      </c>
      <c r="F1295" s="2" t="n">
        <f aca="false">IFERROR(__xludf.dummyfunction("""COMPUTED_VALUE"""),56413015)</f>
        <v>56413015</v>
      </c>
    </row>
    <row r="1296" customFormat="false" ht="15.75" hidden="false" customHeight="false" outlineLevel="0" collapsed="false">
      <c r="A1296" s="3" t="n">
        <f aca="false">IFERROR(__xludf.dummyfunction("""COMPUTED_VALUE"""),46083.6666666667)</f>
        <v>46083.6666666667</v>
      </c>
      <c r="B1296" s="2" t="n">
        <f aca="false">IFERROR(__xludf.dummyfunction("""COMPUTED_VALUE"""),204.55)</f>
        <v>204.55</v>
      </c>
      <c r="C1296" s="2" t="n">
        <f aca="false">IFERROR(__xludf.dummyfunction("""COMPUTED_VALUE"""),209.73)</f>
        <v>209.73</v>
      </c>
      <c r="D1296" s="2" t="n">
        <f aca="false">IFERROR(__xludf.dummyfunction("""COMPUTED_VALUE"""),203.46)</f>
        <v>203.46</v>
      </c>
      <c r="E1296" s="2" t="n">
        <f aca="false">IFERROR(__xludf.dummyfunction("""COMPUTED_VALUE"""),208.39)</f>
        <v>208.39</v>
      </c>
      <c r="F1296" s="2" t="n">
        <f aca="false">IFERROR(__xludf.dummyfunction("""COMPUTED_VALUE"""),485537)</f>
        <v>485537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2.53515625" defaultRowHeight="15.75" customHeight="true" zeroHeight="false" outlineLevelRow="0" outlineLevelCol="0"/>
  <cols>
    <col collapsed="false" customWidth="false" hidden="false" outlineLevel="0" max="16384" min="1" style="4" width="22.53"/>
  </cols>
  <sheetData>
    <row r="1" customFormat="false" ht="15.75" hidden="false" customHeight="false" outlineLevel="0" collapsed="false">
      <c r="A1" s="5" t="str">
        <f aca="false">IFERROR(__xludf.dummyfunction("GOOGLEFINANCE(""TSM"" , ""ALL"" , DATE(2021,1,1) , TODAY())"),"Date")</f>
        <v>Date</v>
      </c>
      <c r="B1" s="5" t="str">
        <f aca="false">IFERROR(__xludf.dummyfunction("""COMPUTED_VALUE"""),"Open")</f>
        <v>Open</v>
      </c>
      <c r="C1" s="5" t="str">
        <f aca="false">IFERROR(__xludf.dummyfunction("""COMPUTED_VALUE"""),"High")</f>
        <v>High</v>
      </c>
      <c r="D1" s="5" t="str">
        <f aca="false">IFERROR(__xludf.dummyfunction("""COMPUTED_VALUE"""),"Low")</f>
        <v>Low</v>
      </c>
      <c r="E1" s="5" t="str">
        <f aca="false">IFERROR(__xludf.dummyfunction("""COMPUTED_VALUE"""),"Close")</f>
        <v>Close</v>
      </c>
      <c r="F1" s="5" t="str">
        <f aca="false">IFERROR(__xludf.dummyfunction("""COMPUTED_VALUE"""),"Volume")</f>
        <v>Volume</v>
      </c>
    </row>
    <row r="2" customFormat="false" ht="15.75" hidden="false" customHeight="false" outlineLevel="0" collapsed="false">
      <c r="A2" s="6" t="n">
        <f aca="false">IFERROR(__xludf.dummyfunction("""COMPUTED_VALUE"""),44200.6666666667)</f>
        <v>44200.6666666667</v>
      </c>
      <c r="B2" s="5" t="n">
        <f aca="false">IFERROR(__xludf.dummyfunction("""COMPUTED_VALUE"""),111.47)</f>
        <v>111.47</v>
      </c>
      <c r="C2" s="5" t="n">
        <f aca="false">IFERROR(__xludf.dummyfunction("""COMPUTED_VALUE"""),114.1)</f>
        <v>114.1</v>
      </c>
      <c r="D2" s="5" t="n">
        <f aca="false">IFERROR(__xludf.dummyfunction("""COMPUTED_VALUE"""),110.45)</f>
        <v>110.45</v>
      </c>
      <c r="E2" s="5" t="n">
        <f aca="false">IFERROR(__xludf.dummyfunction("""COMPUTED_VALUE"""),111.7)</f>
        <v>111.7</v>
      </c>
      <c r="F2" s="5" t="n">
        <f aca="false">IFERROR(__xludf.dummyfunction("""COMPUTED_VALUE"""),11262137)</f>
        <v>11262137</v>
      </c>
    </row>
    <row r="3" customFormat="false" ht="15.75" hidden="false" customHeight="false" outlineLevel="0" collapsed="false">
      <c r="A3" s="6" t="n">
        <f aca="false">IFERROR(__xludf.dummyfunction("""COMPUTED_VALUE"""),44201.6666666667)</f>
        <v>44201.6666666667</v>
      </c>
      <c r="B3" s="5" t="n">
        <f aca="false">IFERROR(__xludf.dummyfunction("""COMPUTED_VALUE"""),112.41)</f>
        <v>112.41</v>
      </c>
      <c r="C3" s="5" t="n">
        <f aca="false">IFERROR(__xludf.dummyfunction("""COMPUTED_VALUE"""),114.95)</f>
        <v>114.95</v>
      </c>
      <c r="D3" s="5" t="n">
        <f aca="false">IFERROR(__xludf.dummyfunction("""COMPUTED_VALUE"""),112.01)</f>
        <v>112.01</v>
      </c>
      <c r="E3" s="5" t="n">
        <f aca="false">IFERROR(__xludf.dummyfunction("""COMPUTED_VALUE"""),112.77)</f>
        <v>112.77</v>
      </c>
      <c r="F3" s="5" t="n">
        <f aca="false">IFERROR(__xludf.dummyfunction("""COMPUTED_VALUE"""),10583572)</f>
        <v>10583572</v>
      </c>
    </row>
    <row r="4" customFormat="false" ht="15.75" hidden="false" customHeight="false" outlineLevel="0" collapsed="false">
      <c r="A4" s="6" t="n">
        <f aca="false">IFERROR(__xludf.dummyfunction("""COMPUTED_VALUE"""),44202.6666666667)</f>
        <v>44202.6666666667</v>
      </c>
      <c r="B4" s="5" t="n">
        <f aca="false">IFERROR(__xludf.dummyfunction("""COMPUTED_VALUE"""),113.85)</f>
        <v>113.85</v>
      </c>
      <c r="C4" s="5" t="n">
        <f aca="false">IFERROR(__xludf.dummyfunction("""COMPUTED_VALUE"""),116.39)</f>
        <v>116.39</v>
      </c>
      <c r="D4" s="5" t="n">
        <f aca="false">IFERROR(__xludf.dummyfunction("""COMPUTED_VALUE"""),112.55)</f>
        <v>112.55</v>
      </c>
      <c r="E4" s="5" t="n">
        <f aca="false">IFERROR(__xludf.dummyfunction("""COMPUTED_VALUE"""),115.61)</f>
        <v>115.61</v>
      </c>
      <c r="F4" s="5" t="n">
        <f aca="false">IFERROR(__xludf.dummyfunction("""COMPUTED_VALUE"""),10609283)</f>
        <v>10609283</v>
      </c>
    </row>
    <row r="5" customFormat="false" ht="15.75" hidden="false" customHeight="false" outlineLevel="0" collapsed="false">
      <c r="A5" s="6" t="n">
        <f aca="false">IFERROR(__xludf.dummyfunction("""COMPUTED_VALUE"""),44203.6666666667)</f>
        <v>44203.6666666667</v>
      </c>
      <c r="B5" s="5" t="n">
        <f aca="false">IFERROR(__xludf.dummyfunction("""COMPUTED_VALUE"""),119.34)</f>
        <v>119.34</v>
      </c>
      <c r="C5" s="5" t="n">
        <f aca="false">IFERROR(__xludf.dummyfunction("""COMPUTED_VALUE"""),122.94)</f>
        <v>122.94</v>
      </c>
      <c r="D5" s="5" t="n">
        <f aca="false">IFERROR(__xludf.dummyfunction("""COMPUTED_VALUE"""),117.59)</f>
        <v>117.59</v>
      </c>
      <c r="E5" s="5" t="n">
        <f aca="false">IFERROR(__xludf.dummyfunction("""COMPUTED_VALUE"""),121.43)</f>
        <v>121.43</v>
      </c>
      <c r="F5" s="5" t="n">
        <f aca="false">IFERROR(__xludf.dummyfunction("""COMPUTED_VALUE"""),13556089)</f>
        <v>13556089</v>
      </c>
    </row>
    <row r="6" customFormat="false" ht="15.75" hidden="false" customHeight="false" outlineLevel="0" collapsed="false">
      <c r="A6" s="6" t="n">
        <f aca="false">IFERROR(__xludf.dummyfunction("""COMPUTED_VALUE"""),44204.6666666667)</f>
        <v>44204.6666666667</v>
      </c>
      <c r="B6" s="5" t="n">
        <f aca="false">IFERROR(__xludf.dummyfunction("""COMPUTED_VALUE"""),125.91)</f>
        <v>125.91</v>
      </c>
      <c r="C6" s="5" t="n">
        <f aca="false">IFERROR(__xludf.dummyfunction("""COMPUTED_VALUE"""),126.29)</f>
        <v>126.29</v>
      </c>
      <c r="D6" s="5" t="n">
        <f aca="false">IFERROR(__xludf.dummyfunction("""COMPUTED_VALUE"""),116.98)</f>
        <v>116.98</v>
      </c>
      <c r="E6" s="5" t="n">
        <f aca="false">IFERROR(__xludf.dummyfunction("""COMPUTED_VALUE"""),118.69)</f>
        <v>118.69</v>
      </c>
      <c r="F6" s="5" t="n">
        <f aca="false">IFERROR(__xludf.dummyfunction("""COMPUTED_VALUE"""),18976772)</f>
        <v>18976772</v>
      </c>
    </row>
    <row r="7" customFormat="false" ht="15.75" hidden="false" customHeight="false" outlineLevel="0" collapsed="false">
      <c r="A7" s="6" t="n">
        <f aca="false">IFERROR(__xludf.dummyfunction("""COMPUTED_VALUE"""),44207.6666666667)</f>
        <v>44207.6666666667</v>
      </c>
      <c r="B7" s="5" t="n">
        <f aca="false">IFERROR(__xludf.dummyfunction("""COMPUTED_VALUE"""),119.74)</f>
        <v>119.74</v>
      </c>
      <c r="C7" s="5" t="n">
        <f aca="false">IFERROR(__xludf.dummyfunction("""COMPUTED_VALUE"""),123.6)</f>
        <v>123.6</v>
      </c>
      <c r="D7" s="5" t="n">
        <f aca="false">IFERROR(__xludf.dummyfunction("""COMPUTED_VALUE"""),118.8)</f>
        <v>118.8</v>
      </c>
      <c r="E7" s="5" t="n">
        <f aca="false">IFERROR(__xludf.dummyfunction("""COMPUTED_VALUE"""),122.6)</f>
        <v>122.6</v>
      </c>
      <c r="F7" s="5" t="n">
        <f aca="false">IFERROR(__xludf.dummyfunction("""COMPUTED_VALUE"""),12032650)</f>
        <v>12032650</v>
      </c>
    </row>
    <row r="8" customFormat="false" ht="15.75" hidden="false" customHeight="false" outlineLevel="0" collapsed="false">
      <c r="A8" s="6" t="n">
        <f aca="false">IFERROR(__xludf.dummyfunction("""COMPUTED_VALUE"""),44208.6666666667)</f>
        <v>44208.6666666667</v>
      </c>
      <c r="B8" s="5" t="n">
        <f aca="false">IFERROR(__xludf.dummyfunction("""COMPUTED_VALUE"""),125.16)</f>
        <v>125.16</v>
      </c>
      <c r="C8" s="5" t="n">
        <f aca="false">IFERROR(__xludf.dummyfunction("""COMPUTED_VALUE"""),125.2)</f>
        <v>125.2</v>
      </c>
      <c r="D8" s="5" t="n">
        <f aca="false">IFERROR(__xludf.dummyfunction("""COMPUTED_VALUE"""),121.68)</f>
        <v>121.68</v>
      </c>
      <c r="E8" s="5" t="n">
        <f aca="false">IFERROR(__xludf.dummyfunction("""COMPUTED_VALUE"""),123)</f>
        <v>123</v>
      </c>
      <c r="F8" s="5" t="n">
        <f aca="false">IFERROR(__xludf.dummyfunction("""COMPUTED_VALUE"""),14163168)</f>
        <v>14163168</v>
      </c>
    </row>
    <row r="9" customFormat="false" ht="15.75" hidden="false" customHeight="false" outlineLevel="0" collapsed="false">
      <c r="A9" s="6" t="n">
        <f aca="false">IFERROR(__xludf.dummyfunction("""COMPUTED_VALUE"""),44209.6666666667)</f>
        <v>44209.6666666667</v>
      </c>
      <c r="B9" s="5" t="n">
        <f aca="false">IFERROR(__xludf.dummyfunction("""COMPUTED_VALUE"""),124.4)</f>
        <v>124.4</v>
      </c>
      <c r="C9" s="5" t="n">
        <f aca="false">IFERROR(__xludf.dummyfunction("""COMPUTED_VALUE"""),124.8)</f>
        <v>124.8</v>
      </c>
      <c r="D9" s="5" t="n">
        <f aca="false">IFERROR(__xludf.dummyfunction("""COMPUTED_VALUE"""),118)</f>
        <v>118</v>
      </c>
      <c r="E9" s="5" t="n">
        <f aca="false">IFERROR(__xludf.dummyfunction("""COMPUTED_VALUE"""),119.23)</f>
        <v>119.23</v>
      </c>
      <c r="F9" s="5" t="n">
        <f aca="false">IFERROR(__xludf.dummyfunction("""COMPUTED_VALUE"""),20650477)</f>
        <v>20650477</v>
      </c>
    </row>
    <row r="10" customFormat="false" ht="15.75" hidden="false" customHeight="false" outlineLevel="0" collapsed="false">
      <c r="A10" s="6" t="n">
        <f aca="false">IFERROR(__xludf.dummyfunction("""COMPUTED_VALUE"""),44210.6666666667)</f>
        <v>44210.6666666667</v>
      </c>
      <c r="B10" s="5" t="n">
        <f aca="false">IFERROR(__xludf.dummyfunction("""COMPUTED_VALUE"""),123.45)</f>
        <v>123.45</v>
      </c>
      <c r="C10" s="5" t="n">
        <f aca="false">IFERROR(__xludf.dummyfunction("""COMPUTED_VALUE"""),134.65)</f>
        <v>134.65</v>
      </c>
      <c r="D10" s="5" t="n">
        <f aca="false">IFERROR(__xludf.dummyfunction("""COMPUTED_VALUE"""),121.67)</f>
        <v>121.67</v>
      </c>
      <c r="E10" s="5" t="n">
        <f aca="false">IFERROR(__xludf.dummyfunction("""COMPUTED_VALUE"""),126.45)</f>
        <v>126.45</v>
      </c>
      <c r="F10" s="5" t="n">
        <f aca="false">IFERROR(__xludf.dummyfunction("""COMPUTED_VALUE"""),37125416)</f>
        <v>37125416</v>
      </c>
    </row>
    <row r="11" customFormat="false" ht="15.75" hidden="false" customHeight="false" outlineLevel="0" collapsed="false">
      <c r="A11" s="6" t="n">
        <f aca="false">IFERROR(__xludf.dummyfunction("""COMPUTED_VALUE"""),44211.6666666667)</f>
        <v>44211.6666666667</v>
      </c>
      <c r="B11" s="5" t="n">
        <f aca="false">IFERROR(__xludf.dummyfunction("""COMPUTED_VALUE"""),128.47)</f>
        <v>128.47</v>
      </c>
      <c r="C11" s="5" t="n">
        <f aca="false">IFERROR(__xludf.dummyfunction("""COMPUTED_VALUE"""),128.54)</f>
        <v>128.54</v>
      </c>
      <c r="D11" s="5" t="n">
        <f aca="false">IFERROR(__xludf.dummyfunction("""COMPUTED_VALUE"""),123.21)</f>
        <v>123.21</v>
      </c>
      <c r="E11" s="5" t="n">
        <f aca="false">IFERROR(__xludf.dummyfunction("""COMPUTED_VALUE"""),125.23)</f>
        <v>125.23</v>
      </c>
      <c r="F11" s="5" t="n">
        <f aca="false">IFERROR(__xludf.dummyfunction("""COMPUTED_VALUE"""),17343064)</f>
        <v>17343064</v>
      </c>
    </row>
    <row r="12" customFormat="false" ht="15.75" hidden="false" customHeight="false" outlineLevel="0" collapsed="false">
      <c r="A12" s="6" t="n">
        <f aca="false">IFERROR(__xludf.dummyfunction("""COMPUTED_VALUE"""),44215.6666666667)</f>
        <v>44215.6666666667</v>
      </c>
      <c r="B12" s="5" t="n">
        <f aca="false">IFERROR(__xludf.dummyfunction("""COMPUTED_VALUE"""),130.59)</f>
        <v>130.59</v>
      </c>
      <c r="C12" s="5" t="n">
        <f aca="false">IFERROR(__xludf.dummyfunction("""COMPUTED_VALUE"""),134.05)</f>
        <v>134.05</v>
      </c>
      <c r="D12" s="5" t="n">
        <f aca="false">IFERROR(__xludf.dummyfunction("""COMPUTED_VALUE"""),128.44)</f>
        <v>128.44</v>
      </c>
      <c r="E12" s="5" t="n">
        <f aca="false">IFERROR(__xludf.dummyfunction("""COMPUTED_VALUE"""),131.3)</f>
        <v>131.3</v>
      </c>
      <c r="F12" s="5" t="n">
        <f aca="false">IFERROR(__xludf.dummyfunction("""COMPUTED_VALUE"""),20443818)</f>
        <v>20443818</v>
      </c>
    </row>
    <row r="13" customFormat="false" ht="15.75" hidden="false" customHeight="false" outlineLevel="0" collapsed="false">
      <c r="A13" s="6" t="n">
        <f aca="false">IFERROR(__xludf.dummyfunction("""COMPUTED_VALUE"""),44216.6666666667)</f>
        <v>44216.6666666667</v>
      </c>
      <c r="B13" s="5" t="n">
        <f aca="false">IFERROR(__xludf.dummyfunction("""COMPUTED_VALUE"""),135.19)</f>
        <v>135.19</v>
      </c>
      <c r="C13" s="5" t="n">
        <f aca="false">IFERROR(__xludf.dummyfunction("""COMPUTED_VALUE"""),136.13)</f>
        <v>136.13</v>
      </c>
      <c r="D13" s="5" t="n">
        <f aca="false">IFERROR(__xludf.dummyfunction("""COMPUTED_VALUE"""),130.1)</f>
        <v>130.1</v>
      </c>
      <c r="E13" s="5" t="n">
        <f aca="false">IFERROR(__xludf.dummyfunction("""COMPUTED_VALUE"""),130.64)</f>
        <v>130.64</v>
      </c>
      <c r="F13" s="5" t="n">
        <f aca="false">IFERROR(__xludf.dummyfunction("""COMPUTED_VALUE"""),17360739)</f>
        <v>17360739</v>
      </c>
    </row>
    <row r="14" customFormat="false" ht="15.75" hidden="false" customHeight="false" outlineLevel="0" collapsed="false">
      <c r="A14" s="6" t="n">
        <f aca="false">IFERROR(__xludf.dummyfunction("""COMPUTED_VALUE"""),44217.6666666667)</f>
        <v>44217.6666666667</v>
      </c>
      <c r="B14" s="5" t="n">
        <f aca="false">IFERROR(__xludf.dummyfunction("""COMPUTED_VALUE"""),133.25)</f>
        <v>133.25</v>
      </c>
      <c r="C14" s="5" t="n">
        <f aca="false">IFERROR(__xludf.dummyfunction("""COMPUTED_VALUE"""),135.4)</f>
        <v>135.4</v>
      </c>
      <c r="D14" s="5" t="n">
        <f aca="false">IFERROR(__xludf.dummyfunction("""COMPUTED_VALUE"""),132.34)</f>
        <v>132.34</v>
      </c>
      <c r="E14" s="5" t="n">
        <f aca="false">IFERROR(__xludf.dummyfunction("""COMPUTED_VALUE"""),134.16)</f>
        <v>134.16</v>
      </c>
      <c r="F14" s="5" t="n">
        <f aca="false">IFERROR(__xludf.dummyfunction("""COMPUTED_VALUE"""),15609871)</f>
        <v>15609871</v>
      </c>
    </row>
    <row r="15" customFormat="false" ht="15.75" hidden="false" customHeight="false" outlineLevel="0" collapsed="false">
      <c r="A15" s="6" t="n">
        <f aca="false">IFERROR(__xludf.dummyfunction("""COMPUTED_VALUE"""),44218.6666666667)</f>
        <v>44218.6666666667</v>
      </c>
      <c r="B15" s="5" t="n">
        <f aca="false">IFERROR(__xludf.dummyfunction("""COMPUTED_VALUE"""),130.04)</f>
        <v>130.04</v>
      </c>
      <c r="C15" s="5" t="n">
        <f aca="false">IFERROR(__xludf.dummyfunction("""COMPUTED_VALUE"""),131.25)</f>
        <v>131.25</v>
      </c>
      <c r="D15" s="5" t="n">
        <f aca="false">IFERROR(__xludf.dummyfunction("""COMPUTED_VALUE"""),128.81)</f>
        <v>128.81</v>
      </c>
      <c r="E15" s="5" t="n">
        <f aca="false">IFERROR(__xludf.dummyfunction("""COMPUTED_VALUE"""),129.14)</f>
        <v>129.14</v>
      </c>
      <c r="F15" s="5" t="n">
        <f aca="false">IFERROR(__xludf.dummyfunction("""COMPUTED_VALUE"""),19163233)</f>
        <v>19163233</v>
      </c>
    </row>
    <row r="16" customFormat="false" ht="15.75" hidden="false" customHeight="false" outlineLevel="0" collapsed="false">
      <c r="A16" s="6" t="n">
        <f aca="false">IFERROR(__xludf.dummyfunction("""COMPUTED_VALUE"""),44221.6666666667)</f>
        <v>44221.6666666667</v>
      </c>
      <c r="B16" s="5" t="n">
        <f aca="false">IFERROR(__xludf.dummyfunction("""COMPUTED_VALUE"""),131.83)</f>
        <v>131.83</v>
      </c>
      <c r="C16" s="5" t="n">
        <f aca="false">IFERROR(__xludf.dummyfunction("""COMPUTED_VALUE"""),132.17)</f>
        <v>132.17</v>
      </c>
      <c r="D16" s="5" t="n">
        <f aca="false">IFERROR(__xludf.dummyfunction("""COMPUTED_VALUE"""),127.35)</f>
        <v>127.35</v>
      </c>
      <c r="E16" s="5" t="n">
        <f aca="false">IFERROR(__xludf.dummyfunction("""COMPUTED_VALUE"""),130.52)</f>
        <v>130.52</v>
      </c>
      <c r="F16" s="5" t="n">
        <f aca="false">IFERROR(__xludf.dummyfunction("""COMPUTED_VALUE"""),20469346)</f>
        <v>20469346</v>
      </c>
    </row>
    <row r="17" customFormat="false" ht="15.75" hidden="false" customHeight="false" outlineLevel="0" collapsed="false">
      <c r="A17" s="6" t="n">
        <f aca="false">IFERROR(__xludf.dummyfunction("""COMPUTED_VALUE"""),44222.6666666667)</f>
        <v>44222.6666666667</v>
      </c>
      <c r="B17" s="5" t="n">
        <f aca="false">IFERROR(__xludf.dummyfunction("""COMPUTED_VALUE"""),129.05)</f>
        <v>129.05</v>
      </c>
      <c r="C17" s="5" t="n">
        <f aca="false">IFERROR(__xludf.dummyfunction("""COMPUTED_VALUE"""),129.32)</f>
        <v>129.32</v>
      </c>
      <c r="D17" s="5" t="n">
        <f aca="false">IFERROR(__xludf.dummyfunction("""COMPUTED_VALUE"""),126.25)</f>
        <v>126.25</v>
      </c>
      <c r="E17" s="5" t="n">
        <f aca="false">IFERROR(__xludf.dummyfunction("""COMPUTED_VALUE"""),126.65)</f>
        <v>126.65</v>
      </c>
      <c r="F17" s="5" t="n">
        <f aca="false">IFERROR(__xludf.dummyfunction("""COMPUTED_VALUE"""),17084608)</f>
        <v>17084608</v>
      </c>
    </row>
    <row r="18" customFormat="false" ht="15.75" hidden="false" customHeight="false" outlineLevel="0" collapsed="false">
      <c r="A18" s="6" t="n">
        <f aca="false">IFERROR(__xludf.dummyfunction("""COMPUTED_VALUE"""),44223.6666666667)</f>
        <v>44223.6666666667</v>
      </c>
      <c r="B18" s="5" t="n">
        <f aca="false">IFERROR(__xludf.dummyfunction("""COMPUTED_VALUE"""),124.95)</f>
        <v>124.95</v>
      </c>
      <c r="C18" s="5" t="n">
        <f aca="false">IFERROR(__xludf.dummyfunction("""COMPUTED_VALUE"""),125.1)</f>
        <v>125.1</v>
      </c>
      <c r="D18" s="5" t="n">
        <f aca="false">IFERROR(__xludf.dummyfunction("""COMPUTED_VALUE"""),121.5)</f>
        <v>121.5</v>
      </c>
      <c r="E18" s="5" t="n">
        <f aca="false">IFERROR(__xludf.dummyfunction("""COMPUTED_VALUE"""),121.74)</f>
        <v>121.74</v>
      </c>
      <c r="F18" s="5" t="n">
        <f aca="false">IFERROR(__xludf.dummyfunction("""COMPUTED_VALUE"""),16732723)</f>
        <v>16732723</v>
      </c>
    </row>
    <row r="19" customFormat="false" ht="15.75" hidden="false" customHeight="false" outlineLevel="0" collapsed="false">
      <c r="A19" s="6" t="n">
        <f aca="false">IFERROR(__xludf.dummyfunction("""COMPUTED_VALUE"""),44224.6666666667)</f>
        <v>44224.6666666667</v>
      </c>
      <c r="B19" s="5" t="n">
        <f aca="false">IFERROR(__xludf.dummyfunction("""COMPUTED_VALUE"""),124.5)</f>
        <v>124.5</v>
      </c>
      <c r="C19" s="5" t="n">
        <f aca="false">IFERROR(__xludf.dummyfunction("""COMPUTED_VALUE"""),127.58)</f>
        <v>127.58</v>
      </c>
      <c r="D19" s="5" t="n">
        <f aca="false">IFERROR(__xludf.dummyfunction("""COMPUTED_VALUE"""),123.58)</f>
        <v>123.58</v>
      </c>
      <c r="E19" s="5" t="n">
        <f aca="false">IFERROR(__xludf.dummyfunction("""COMPUTED_VALUE"""),125.83)</f>
        <v>125.83</v>
      </c>
      <c r="F19" s="5" t="n">
        <f aca="false">IFERROR(__xludf.dummyfunction("""COMPUTED_VALUE"""),14148052)</f>
        <v>14148052</v>
      </c>
    </row>
    <row r="20" customFormat="false" ht="15.75" hidden="false" customHeight="false" outlineLevel="0" collapsed="false">
      <c r="A20" s="6" t="n">
        <f aca="false">IFERROR(__xludf.dummyfunction("""COMPUTED_VALUE"""),44225.6666666667)</f>
        <v>44225.6666666667</v>
      </c>
      <c r="B20" s="5" t="n">
        <f aca="false">IFERROR(__xludf.dummyfunction("""COMPUTED_VALUE"""),124)</f>
        <v>124</v>
      </c>
      <c r="C20" s="5" t="n">
        <f aca="false">IFERROR(__xludf.dummyfunction("""COMPUTED_VALUE"""),124.36)</f>
        <v>124.36</v>
      </c>
      <c r="D20" s="5" t="n">
        <f aca="false">IFERROR(__xludf.dummyfunction("""COMPUTED_VALUE"""),120.55)</f>
        <v>120.55</v>
      </c>
      <c r="E20" s="5" t="n">
        <f aca="false">IFERROR(__xludf.dummyfunction("""COMPUTED_VALUE"""),121.52)</f>
        <v>121.52</v>
      </c>
      <c r="F20" s="5" t="n">
        <f aca="false">IFERROR(__xludf.dummyfunction("""COMPUTED_VALUE"""),15169178)</f>
        <v>15169178</v>
      </c>
    </row>
    <row r="21" customFormat="false" ht="15.75" hidden="false" customHeight="false" outlineLevel="0" collapsed="false">
      <c r="A21" s="6" t="n">
        <f aca="false">IFERROR(__xludf.dummyfunction("""COMPUTED_VALUE"""),44228.6666666667)</f>
        <v>44228.6666666667</v>
      </c>
      <c r="B21" s="5" t="n">
        <f aca="false">IFERROR(__xludf.dummyfunction("""COMPUTED_VALUE"""),124.54)</f>
        <v>124.54</v>
      </c>
      <c r="C21" s="5" t="n">
        <f aca="false">IFERROR(__xludf.dummyfunction("""COMPUTED_VALUE"""),126.85)</f>
        <v>126.85</v>
      </c>
      <c r="D21" s="5" t="n">
        <f aca="false">IFERROR(__xludf.dummyfunction("""COMPUTED_VALUE"""),123.38)</f>
        <v>123.38</v>
      </c>
      <c r="E21" s="5" t="n">
        <f aca="false">IFERROR(__xludf.dummyfunction("""COMPUTED_VALUE"""),126.66)</f>
        <v>126.66</v>
      </c>
      <c r="F21" s="5" t="n">
        <f aca="false">IFERROR(__xludf.dummyfunction("""COMPUTED_VALUE"""),10179940)</f>
        <v>10179940</v>
      </c>
    </row>
    <row r="22" customFormat="false" ht="15.75" hidden="false" customHeight="false" outlineLevel="0" collapsed="false">
      <c r="A22" s="6" t="n">
        <f aca="false">IFERROR(__xludf.dummyfunction("""COMPUTED_VALUE"""),44229.6666666667)</f>
        <v>44229.6666666667</v>
      </c>
      <c r="B22" s="5" t="n">
        <f aca="false">IFERROR(__xludf.dummyfunction("""COMPUTED_VALUE"""),129.47)</f>
        <v>129.47</v>
      </c>
      <c r="C22" s="5" t="n">
        <f aca="false">IFERROR(__xludf.dummyfunction("""COMPUTED_VALUE"""),130.25)</f>
        <v>130.25</v>
      </c>
      <c r="D22" s="5" t="n">
        <f aca="false">IFERROR(__xludf.dummyfunction("""COMPUTED_VALUE"""),127.45)</f>
        <v>127.45</v>
      </c>
      <c r="E22" s="5" t="n">
        <f aca="false">IFERROR(__xludf.dummyfunction("""COMPUTED_VALUE"""),128.44)</f>
        <v>128.44</v>
      </c>
      <c r="F22" s="5" t="n">
        <f aca="false">IFERROR(__xludf.dummyfunction("""COMPUTED_VALUE"""),9302368)</f>
        <v>9302368</v>
      </c>
    </row>
    <row r="23" customFormat="false" ht="15.75" hidden="false" customHeight="false" outlineLevel="0" collapsed="false">
      <c r="A23" s="6" t="n">
        <f aca="false">IFERROR(__xludf.dummyfunction("""COMPUTED_VALUE"""),44230.6666666667)</f>
        <v>44230.6666666667</v>
      </c>
      <c r="B23" s="5" t="n">
        <f aca="false">IFERROR(__xludf.dummyfunction("""COMPUTED_VALUE"""),129)</f>
        <v>129</v>
      </c>
      <c r="C23" s="5" t="n">
        <f aca="false">IFERROR(__xludf.dummyfunction("""COMPUTED_VALUE"""),129.14)</f>
        <v>129.14</v>
      </c>
      <c r="D23" s="5" t="n">
        <f aca="false">IFERROR(__xludf.dummyfunction("""COMPUTED_VALUE"""),126.06)</f>
        <v>126.06</v>
      </c>
      <c r="E23" s="5" t="n">
        <f aca="false">IFERROR(__xludf.dummyfunction("""COMPUTED_VALUE"""),127.5)</f>
        <v>127.5</v>
      </c>
      <c r="F23" s="5" t="n">
        <f aca="false">IFERROR(__xludf.dummyfunction("""COMPUTED_VALUE"""),9676640)</f>
        <v>9676640</v>
      </c>
    </row>
    <row r="24" customFormat="false" ht="15.75" hidden="false" customHeight="false" outlineLevel="0" collapsed="false">
      <c r="A24" s="6" t="n">
        <f aca="false">IFERROR(__xludf.dummyfunction("""COMPUTED_VALUE"""),44231.6666666667)</f>
        <v>44231.6666666667</v>
      </c>
      <c r="B24" s="5" t="n">
        <f aca="false">IFERROR(__xludf.dummyfunction("""COMPUTED_VALUE"""),127.5)</f>
        <v>127.5</v>
      </c>
      <c r="C24" s="5" t="n">
        <f aca="false">IFERROR(__xludf.dummyfunction("""COMPUTED_VALUE"""),128.2)</f>
        <v>128.2</v>
      </c>
      <c r="D24" s="5" t="n">
        <f aca="false">IFERROR(__xludf.dummyfunction("""COMPUTED_VALUE"""),125.97)</f>
        <v>125.97</v>
      </c>
      <c r="E24" s="5" t="n">
        <f aca="false">IFERROR(__xludf.dummyfunction("""COMPUTED_VALUE"""),128.15)</f>
        <v>128.15</v>
      </c>
      <c r="F24" s="5" t="n">
        <f aca="false">IFERROR(__xludf.dummyfunction("""COMPUTED_VALUE"""),7445110)</f>
        <v>7445110</v>
      </c>
    </row>
    <row r="25" customFormat="false" ht="15.75" hidden="false" customHeight="false" outlineLevel="0" collapsed="false">
      <c r="A25" s="6" t="n">
        <f aca="false">IFERROR(__xludf.dummyfunction("""COMPUTED_VALUE"""),44232.6666666667)</f>
        <v>44232.6666666667</v>
      </c>
      <c r="B25" s="5" t="n">
        <f aca="false">IFERROR(__xludf.dummyfunction("""COMPUTED_VALUE"""),128.79)</f>
        <v>128.79</v>
      </c>
      <c r="C25" s="5" t="n">
        <f aca="false">IFERROR(__xludf.dummyfunction("""COMPUTED_VALUE"""),128.88)</f>
        <v>128.88</v>
      </c>
      <c r="D25" s="5" t="n">
        <f aca="false">IFERROR(__xludf.dummyfunction("""COMPUTED_VALUE"""),126.7)</f>
        <v>126.7</v>
      </c>
      <c r="E25" s="5" t="n">
        <f aca="false">IFERROR(__xludf.dummyfunction("""COMPUTED_VALUE"""),127.78)</f>
        <v>127.78</v>
      </c>
      <c r="F25" s="5" t="n">
        <f aca="false">IFERROR(__xludf.dummyfunction("""COMPUTED_VALUE"""),6226765)</f>
        <v>6226765</v>
      </c>
    </row>
    <row r="26" customFormat="false" ht="15.75" hidden="false" customHeight="false" outlineLevel="0" collapsed="false">
      <c r="A26" s="6" t="n">
        <f aca="false">IFERROR(__xludf.dummyfunction("""COMPUTED_VALUE"""),44235.6666666667)</f>
        <v>44235.6666666667</v>
      </c>
      <c r="B26" s="5" t="n">
        <f aca="false">IFERROR(__xludf.dummyfunction("""COMPUTED_VALUE"""),128.7)</f>
        <v>128.7</v>
      </c>
      <c r="C26" s="5" t="n">
        <f aca="false">IFERROR(__xludf.dummyfunction("""COMPUTED_VALUE"""),133.25)</f>
        <v>133.25</v>
      </c>
      <c r="D26" s="5" t="n">
        <f aca="false">IFERROR(__xludf.dummyfunction("""COMPUTED_VALUE"""),128.7)</f>
        <v>128.7</v>
      </c>
      <c r="E26" s="5" t="n">
        <f aca="false">IFERROR(__xludf.dummyfunction("""COMPUTED_VALUE"""),132.55)</f>
        <v>132.55</v>
      </c>
      <c r="F26" s="5" t="n">
        <f aca="false">IFERROR(__xludf.dummyfunction("""COMPUTED_VALUE"""),11159970)</f>
        <v>11159970</v>
      </c>
    </row>
    <row r="27" customFormat="false" ht="15.75" hidden="false" customHeight="false" outlineLevel="0" collapsed="false">
      <c r="A27" s="6" t="n">
        <f aca="false">IFERROR(__xludf.dummyfunction("""COMPUTED_VALUE"""),44236.6666666667)</f>
        <v>44236.6666666667</v>
      </c>
      <c r="B27" s="5" t="n">
        <f aca="false">IFERROR(__xludf.dummyfunction("""COMPUTED_VALUE"""),133.98)</f>
        <v>133.98</v>
      </c>
      <c r="C27" s="5" t="n">
        <f aca="false">IFERROR(__xludf.dummyfunction("""COMPUTED_VALUE"""),134.41)</f>
        <v>134.41</v>
      </c>
      <c r="D27" s="5" t="n">
        <f aca="false">IFERROR(__xludf.dummyfunction("""COMPUTED_VALUE"""),131.75)</f>
        <v>131.75</v>
      </c>
      <c r="E27" s="5" t="n">
        <f aca="false">IFERROR(__xludf.dummyfunction("""COMPUTED_VALUE"""),132.68)</f>
        <v>132.68</v>
      </c>
      <c r="F27" s="5" t="n">
        <f aca="false">IFERROR(__xludf.dummyfunction("""COMPUTED_VALUE"""),7929117)</f>
        <v>7929117</v>
      </c>
    </row>
    <row r="28" customFormat="false" ht="15.75" hidden="false" customHeight="false" outlineLevel="0" collapsed="false">
      <c r="A28" s="6" t="n">
        <f aca="false">IFERROR(__xludf.dummyfunction("""COMPUTED_VALUE"""),44237.6666666667)</f>
        <v>44237.6666666667</v>
      </c>
      <c r="B28" s="5" t="n">
        <f aca="false">IFERROR(__xludf.dummyfunction("""COMPUTED_VALUE"""),134.12)</f>
        <v>134.12</v>
      </c>
      <c r="C28" s="5" t="n">
        <f aca="false">IFERROR(__xludf.dummyfunction("""COMPUTED_VALUE"""),136)</f>
        <v>136</v>
      </c>
      <c r="D28" s="5" t="n">
        <f aca="false">IFERROR(__xludf.dummyfunction("""COMPUTED_VALUE"""),132.51)</f>
        <v>132.51</v>
      </c>
      <c r="E28" s="5" t="n">
        <f aca="false">IFERROR(__xludf.dummyfunction("""COMPUTED_VALUE"""),133.69)</f>
        <v>133.69</v>
      </c>
      <c r="F28" s="5" t="n">
        <f aca="false">IFERROR(__xludf.dummyfunction("""COMPUTED_VALUE"""),12196266)</f>
        <v>12196266</v>
      </c>
    </row>
    <row r="29" customFormat="false" ht="15.75" hidden="false" customHeight="false" outlineLevel="0" collapsed="false">
      <c r="A29" s="6" t="n">
        <f aca="false">IFERROR(__xludf.dummyfunction("""COMPUTED_VALUE"""),44238.6666666667)</f>
        <v>44238.6666666667</v>
      </c>
      <c r="B29" s="5" t="n">
        <f aca="false">IFERROR(__xludf.dummyfunction("""COMPUTED_VALUE"""),135.4)</f>
        <v>135.4</v>
      </c>
      <c r="C29" s="5" t="n">
        <f aca="false">IFERROR(__xludf.dummyfunction("""COMPUTED_VALUE"""),139.23)</f>
        <v>139.23</v>
      </c>
      <c r="D29" s="5" t="n">
        <f aca="false">IFERROR(__xludf.dummyfunction("""COMPUTED_VALUE"""),134.06)</f>
        <v>134.06</v>
      </c>
      <c r="E29" s="5" t="n">
        <f aca="false">IFERROR(__xludf.dummyfunction("""COMPUTED_VALUE"""),139.16)</f>
        <v>139.16</v>
      </c>
      <c r="F29" s="5" t="n">
        <f aca="false">IFERROR(__xludf.dummyfunction("""COMPUTED_VALUE"""),12347934)</f>
        <v>12347934</v>
      </c>
    </row>
    <row r="30" customFormat="false" ht="15.75" hidden="false" customHeight="false" outlineLevel="0" collapsed="false">
      <c r="A30" s="6" t="n">
        <f aca="false">IFERROR(__xludf.dummyfunction("""COMPUTED_VALUE"""),44239.6666666667)</f>
        <v>44239.6666666667</v>
      </c>
      <c r="B30" s="5" t="n">
        <f aca="false">IFERROR(__xludf.dummyfunction("""COMPUTED_VALUE"""),138.92)</f>
        <v>138.92</v>
      </c>
      <c r="C30" s="5" t="n">
        <f aca="false">IFERROR(__xludf.dummyfunction("""COMPUTED_VALUE"""),139.81)</f>
        <v>139.81</v>
      </c>
      <c r="D30" s="5" t="n">
        <f aca="false">IFERROR(__xludf.dummyfunction("""COMPUTED_VALUE"""),137.16)</f>
        <v>137.16</v>
      </c>
      <c r="E30" s="5" t="n">
        <f aca="false">IFERROR(__xludf.dummyfunction("""COMPUTED_VALUE"""),138.06)</f>
        <v>138.06</v>
      </c>
      <c r="F30" s="5" t="n">
        <f aca="false">IFERROR(__xludf.dummyfunction("""COMPUTED_VALUE"""),11114110)</f>
        <v>11114110</v>
      </c>
    </row>
    <row r="31" customFormat="false" ht="15.75" hidden="false" customHeight="false" outlineLevel="0" collapsed="false">
      <c r="A31" s="6" t="n">
        <f aca="false">IFERROR(__xludf.dummyfunction("""COMPUTED_VALUE"""),44243.6666666667)</f>
        <v>44243.6666666667</v>
      </c>
      <c r="B31" s="5" t="n">
        <f aca="false">IFERROR(__xludf.dummyfunction("""COMPUTED_VALUE"""),141.61)</f>
        <v>141.61</v>
      </c>
      <c r="C31" s="5" t="n">
        <f aca="false">IFERROR(__xludf.dummyfunction("""COMPUTED_VALUE"""),142.2)</f>
        <v>142.2</v>
      </c>
      <c r="D31" s="5" t="n">
        <f aca="false">IFERROR(__xludf.dummyfunction("""COMPUTED_VALUE"""),139.42)</f>
        <v>139.42</v>
      </c>
      <c r="E31" s="5" t="n">
        <f aca="false">IFERROR(__xludf.dummyfunction("""COMPUTED_VALUE"""),140.05)</f>
        <v>140.05</v>
      </c>
      <c r="F31" s="5" t="n">
        <f aca="false">IFERROR(__xludf.dummyfunction("""COMPUTED_VALUE"""),11833592)</f>
        <v>11833592</v>
      </c>
    </row>
    <row r="32" customFormat="false" ht="15.75" hidden="false" customHeight="false" outlineLevel="0" collapsed="false">
      <c r="A32" s="6" t="n">
        <f aca="false">IFERROR(__xludf.dummyfunction("""COMPUTED_VALUE"""),44244.6666666667)</f>
        <v>44244.6666666667</v>
      </c>
      <c r="B32" s="5" t="n">
        <f aca="false">IFERROR(__xludf.dummyfunction("""COMPUTED_VALUE"""),139.21)</f>
        <v>139.21</v>
      </c>
      <c r="C32" s="5" t="n">
        <f aca="false">IFERROR(__xludf.dummyfunction("""COMPUTED_VALUE"""),139.64)</f>
        <v>139.64</v>
      </c>
      <c r="D32" s="5" t="n">
        <f aca="false">IFERROR(__xludf.dummyfunction("""COMPUTED_VALUE"""),136.1)</f>
        <v>136.1</v>
      </c>
      <c r="E32" s="5" t="n">
        <f aca="false">IFERROR(__xludf.dummyfunction("""COMPUTED_VALUE"""),136.27)</f>
        <v>136.27</v>
      </c>
      <c r="F32" s="5" t="n">
        <f aca="false">IFERROR(__xludf.dummyfunction("""COMPUTED_VALUE"""),12373653)</f>
        <v>12373653</v>
      </c>
    </row>
    <row r="33" customFormat="false" ht="15.75" hidden="false" customHeight="false" outlineLevel="0" collapsed="false">
      <c r="A33" s="6" t="n">
        <f aca="false">IFERROR(__xludf.dummyfunction("""COMPUTED_VALUE"""),44245.6666666667)</f>
        <v>44245.6666666667</v>
      </c>
      <c r="B33" s="5" t="n">
        <f aca="false">IFERROR(__xludf.dummyfunction("""COMPUTED_VALUE"""),134.85)</f>
        <v>134.85</v>
      </c>
      <c r="C33" s="5" t="n">
        <f aca="false">IFERROR(__xludf.dummyfunction("""COMPUTED_VALUE"""),135.88)</f>
        <v>135.88</v>
      </c>
      <c r="D33" s="5" t="n">
        <f aca="false">IFERROR(__xludf.dummyfunction("""COMPUTED_VALUE"""),133.4)</f>
        <v>133.4</v>
      </c>
      <c r="E33" s="5" t="n">
        <f aca="false">IFERROR(__xludf.dummyfunction("""COMPUTED_VALUE"""),134.63)</f>
        <v>134.63</v>
      </c>
      <c r="F33" s="5" t="n">
        <f aca="false">IFERROR(__xludf.dummyfunction("""COMPUTED_VALUE"""),11614584)</f>
        <v>11614584</v>
      </c>
    </row>
    <row r="34" customFormat="false" ht="15.75" hidden="false" customHeight="false" outlineLevel="0" collapsed="false">
      <c r="A34" s="6" t="n">
        <f aca="false">IFERROR(__xludf.dummyfunction("""COMPUTED_VALUE"""),44246.6666666667)</f>
        <v>44246.6666666667</v>
      </c>
      <c r="B34" s="5" t="n">
        <f aca="false">IFERROR(__xludf.dummyfunction("""COMPUTED_VALUE"""),136.15)</f>
        <v>136.15</v>
      </c>
      <c r="C34" s="5" t="n">
        <f aca="false">IFERROR(__xludf.dummyfunction("""COMPUTED_VALUE"""),137.95)</f>
        <v>137.95</v>
      </c>
      <c r="D34" s="5" t="n">
        <f aca="false">IFERROR(__xludf.dummyfunction("""COMPUTED_VALUE"""),135.72)</f>
        <v>135.72</v>
      </c>
      <c r="E34" s="5" t="n">
        <f aca="false">IFERROR(__xludf.dummyfunction("""COMPUTED_VALUE"""),136.66)</f>
        <v>136.66</v>
      </c>
      <c r="F34" s="5" t="n">
        <f aca="false">IFERROR(__xludf.dummyfunction("""COMPUTED_VALUE"""),10771927)</f>
        <v>10771927</v>
      </c>
    </row>
    <row r="35" customFormat="false" ht="15.75" hidden="false" customHeight="false" outlineLevel="0" collapsed="false">
      <c r="A35" s="6" t="n">
        <f aca="false">IFERROR(__xludf.dummyfunction("""COMPUTED_VALUE"""),44249.6666666667)</f>
        <v>44249.6666666667</v>
      </c>
      <c r="B35" s="5" t="n">
        <f aca="false">IFERROR(__xludf.dummyfunction("""COMPUTED_VALUE"""),133.59)</f>
        <v>133.59</v>
      </c>
      <c r="C35" s="5" t="n">
        <f aca="false">IFERROR(__xludf.dummyfunction("""COMPUTED_VALUE"""),135.28)</f>
        <v>135.28</v>
      </c>
      <c r="D35" s="5" t="n">
        <f aca="false">IFERROR(__xludf.dummyfunction("""COMPUTED_VALUE"""),133.18)</f>
        <v>133.18</v>
      </c>
      <c r="E35" s="5" t="n">
        <f aca="false">IFERROR(__xludf.dummyfunction("""COMPUTED_VALUE"""),133.57)</f>
        <v>133.57</v>
      </c>
      <c r="F35" s="5" t="n">
        <f aca="false">IFERROR(__xludf.dummyfunction("""COMPUTED_VALUE"""),10363778)</f>
        <v>10363778</v>
      </c>
    </row>
    <row r="36" customFormat="false" ht="15.75" hidden="false" customHeight="false" outlineLevel="0" collapsed="false">
      <c r="A36" s="6" t="n">
        <f aca="false">IFERROR(__xludf.dummyfunction("""COMPUTED_VALUE"""),44250.6666666667)</f>
        <v>44250.6666666667</v>
      </c>
      <c r="B36" s="5" t="n">
        <f aca="false">IFERROR(__xludf.dummyfunction("""COMPUTED_VALUE"""),129.1)</f>
        <v>129.1</v>
      </c>
      <c r="C36" s="5" t="n">
        <f aca="false">IFERROR(__xludf.dummyfunction("""COMPUTED_VALUE"""),131.74)</f>
        <v>131.74</v>
      </c>
      <c r="D36" s="5" t="n">
        <f aca="false">IFERROR(__xludf.dummyfunction("""COMPUTED_VALUE"""),125.38)</f>
        <v>125.38</v>
      </c>
      <c r="E36" s="5" t="n">
        <f aca="false">IFERROR(__xludf.dummyfunction("""COMPUTED_VALUE"""),129.1)</f>
        <v>129.1</v>
      </c>
      <c r="F36" s="5" t="n">
        <f aca="false">IFERROR(__xludf.dummyfunction("""COMPUTED_VALUE"""),18444734)</f>
        <v>18444734</v>
      </c>
    </row>
    <row r="37" customFormat="false" ht="15.75" hidden="false" customHeight="false" outlineLevel="0" collapsed="false">
      <c r="A37" s="6" t="n">
        <f aca="false">IFERROR(__xludf.dummyfunction("""COMPUTED_VALUE"""),44251.6666666667)</f>
        <v>44251.6666666667</v>
      </c>
      <c r="B37" s="5" t="n">
        <f aca="false">IFERROR(__xludf.dummyfunction("""COMPUTED_VALUE"""),129.51)</f>
        <v>129.51</v>
      </c>
      <c r="C37" s="5" t="n">
        <f aca="false">IFERROR(__xludf.dummyfunction("""COMPUTED_VALUE"""),132.38)</f>
        <v>132.38</v>
      </c>
      <c r="D37" s="5" t="n">
        <f aca="false">IFERROR(__xludf.dummyfunction("""COMPUTED_VALUE"""),127.68)</f>
        <v>127.68</v>
      </c>
      <c r="E37" s="5" t="n">
        <f aca="false">IFERROR(__xludf.dummyfunction("""COMPUTED_VALUE"""),132.3)</f>
        <v>132.3</v>
      </c>
      <c r="F37" s="5" t="n">
        <f aca="false">IFERROR(__xludf.dummyfunction("""COMPUTED_VALUE"""),12782875)</f>
        <v>12782875</v>
      </c>
    </row>
    <row r="38" customFormat="false" ht="15.75" hidden="false" customHeight="false" outlineLevel="0" collapsed="false">
      <c r="A38" s="6" t="n">
        <f aca="false">IFERROR(__xludf.dummyfunction("""COMPUTED_VALUE"""),44252.6666666667)</f>
        <v>44252.6666666667</v>
      </c>
      <c r="B38" s="5" t="n">
        <f aca="false">IFERROR(__xludf.dummyfunction("""COMPUTED_VALUE"""),131.52)</f>
        <v>131.52</v>
      </c>
      <c r="C38" s="5" t="n">
        <f aca="false">IFERROR(__xludf.dummyfunction("""COMPUTED_VALUE"""),131.54)</f>
        <v>131.54</v>
      </c>
      <c r="D38" s="5" t="n">
        <f aca="false">IFERROR(__xludf.dummyfunction("""COMPUTED_VALUE"""),125.72)</f>
        <v>125.72</v>
      </c>
      <c r="E38" s="5" t="n">
        <f aca="false">IFERROR(__xludf.dummyfunction("""COMPUTED_VALUE"""),126)</f>
        <v>126</v>
      </c>
      <c r="F38" s="5" t="n">
        <f aca="false">IFERROR(__xludf.dummyfunction("""COMPUTED_VALUE"""),13581185)</f>
        <v>13581185</v>
      </c>
    </row>
    <row r="39" customFormat="false" ht="15.75" hidden="false" customHeight="false" outlineLevel="0" collapsed="false">
      <c r="A39" s="6" t="n">
        <f aca="false">IFERROR(__xludf.dummyfunction("""COMPUTED_VALUE"""),44253.6666666667)</f>
        <v>44253.6666666667</v>
      </c>
      <c r="B39" s="5" t="n">
        <f aca="false">IFERROR(__xludf.dummyfunction("""COMPUTED_VALUE"""),125.43)</f>
        <v>125.43</v>
      </c>
      <c r="C39" s="5" t="n">
        <f aca="false">IFERROR(__xludf.dummyfunction("""COMPUTED_VALUE"""),127.39)</f>
        <v>127.39</v>
      </c>
      <c r="D39" s="5" t="n">
        <f aca="false">IFERROR(__xludf.dummyfunction("""COMPUTED_VALUE"""),122.83)</f>
        <v>122.83</v>
      </c>
      <c r="E39" s="5" t="n">
        <f aca="false">IFERROR(__xludf.dummyfunction("""COMPUTED_VALUE"""),125.94)</f>
        <v>125.94</v>
      </c>
      <c r="F39" s="5" t="n">
        <f aca="false">IFERROR(__xludf.dummyfunction("""COMPUTED_VALUE"""),17280950)</f>
        <v>17280950</v>
      </c>
    </row>
    <row r="40" customFormat="false" ht="15.75" hidden="false" customHeight="false" outlineLevel="0" collapsed="false">
      <c r="A40" s="6" t="n">
        <f aca="false">IFERROR(__xludf.dummyfunction("""COMPUTED_VALUE"""),44256.6666666667)</f>
        <v>44256.6666666667</v>
      </c>
      <c r="B40" s="5" t="n">
        <f aca="false">IFERROR(__xludf.dummyfunction("""COMPUTED_VALUE"""),129.63)</f>
        <v>129.63</v>
      </c>
      <c r="C40" s="5" t="n">
        <f aca="false">IFERROR(__xludf.dummyfunction("""COMPUTED_VALUE"""),130.3)</f>
        <v>130.3</v>
      </c>
      <c r="D40" s="5" t="n">
        <f aca="false">IFERROR(__xludf.dummyfunction("""COMPUTED_VALUE"""),127.24)</f>
        <v>127.24</v>
      </c>
      <c r="E40" s="5" t="n">
        <f aca="false">IFERROR(__xludf.dummyfunction("""COMPUTED_VALUE"""),129.13)</f>
        <v>129.13</v>
      </c>
      <c r="F40" s="5" t="n">
        <f aca="false">IFERROR(__xludf.dummyfunction("""COMPUTED_VALUE"""),9714884)</f>
        <v>9714884</v>
      </c>
    </row>
    <row r="41" customFormat="false" ht="15.75" hidden="false" customHeight="false" outlineLevel="0" collapsed="false">
      <c r="A41" s="6" t="n">
        <f aca="false">IFERROR(__xludf.dummyfunction("""COMPUTED_VALUE"""),44257.6666666667)</f>
        <v>44257.6666666667</v>
      </c>
      <c r="B41" s="5" t="n">
        <f aca="false">IFERROR(__xludf.dummyfunction("""COMPUTED_VALUE"""),128.43)</f>
        <v>128.43</v>
      </c>
      <c r="C41" s="5" t="n">
        <f aca="false">IFERROR(__xludf.dummyfunction("""COMPUTED_VALUE"""),128.52)</f>
        <v>128.52</v>
      </c>
      <c r="D41" s="5" t="n">
        <f aca="false">IFERROR(__xludf.dummyfunction("""COMPUTED_VALUE"""),126)</f>
        <v>126</v>
      </c>
      <c r="E41" s="5" t="n">
        <f aca="false">IFERROR(__xludf.dummyfunction("""COMPUTED_VALUE"""),126)</f>
        <v>126</v>
      </c>
      <c r="F41" s="5" t="n">
        <f aca="false">IFERROR(__xludf.dummyfunction("""COMPUTED_VALUE"""),8274533)</f>
        <v>8274533</v>
      </c>
    </row>
    <row r="42" customFormat="false" ht="15.75" hidden="false" customHeight="false" outlineLevel="0" collapsed="false">
      <c r="A42" s="6" t="n">
        <f aca="false">IFERROR(__xludf.dummyfunction("""COMPUTED_VALUE"""),44258.6666666667)</f>
        <v>44258.6666666667</v>
      </c>
      <c r="B42" s="5" t="n">
        <f aca="false">IFERROR(__xludf.dummyfunction("""COMPUTED_VALUE"""),126.72)</f>
        <v>126.72</v>
      </c>
      <c r="C42" s="5" t="n">
        <f aca="false">IFERROR(__xludf.dummyfunction("""COMPUTED_VALUE"""),127.76)</f>
        <v>127.76</v>
      </c>
      <c r="D42" s="5" t="n">
        <f aca="false">IFERROR(__xludf.dummyfunction("""COMPUTED_VALUE"""),122.71)</f>
        <v>122.71</v>
      </c>
      <c r="E42" s="5" t="n">
        <f aca="false">IFERROR(__xludf.dummyfunction("""COMPUTED_VALUE"""),122.89)</f>
        <v>122.89</v>
      </c>
      <c r="F42" s="5" t="n">
        <f aca="false">IFERROR(__xludf.dummyfunction("""COMPUTED_VALUE"""),10660313)</f>
        <v>10660313</v>
      </c>
    </row>
    <row r="43" customFormat="false" ht="15.75" hidden="false" customHeight="false" outlineLevel="0" collapsed="false">
      <c r="A43" s="6" t="n">
        <f aca="false">IFERROR(__xludf.dummyfunction("""COMPUTED_VALUE"""),44259.6666666667)</f>
        <v>44259.6666666667</v>
      </c>
      <c r="B43" s="5" t="n">
        <f aca="false">IFERROR(__xludf.dummyfunction("""COMPUTED_VALUE"""),121.95)</f>
        <v>121.95</v>
      </c>
      <c r="C43" s="5" t="n">
        <f aca="false">IFERROR(__xludf.dummyfunction("""COMPUTED_VALUE"""),123.15)</f>
        <v>123.15</v>
      </c>
      <c r="D43" s="5" t="n">
        <f aca="false">IFERROR(__xludf.dummyfunction("""COMPUTED_VALUE"""),113.49)</f>
        <v>113.49</v>
      </c>
      <c r="E43" s="5" t="n">
        <f aca="false">IFERROR(__xludf.dummyfunction("""COMPUTED_VALUE"""),115.59)</f>
        <v>115.59</v>
      </c>
      <c r="F43" s="5" t="n">
        <f aca="false">IFERROR(__xludf.dummyfunction("""COMPUTED_VALUE"""),24454247)</f>
        <v>24454247</v>
      </c>
    </row>
    <row r="44" customFormat="false" ht="15.75" hidden="false" customHeight="false" outlineLevel="0" collapsed="false">
      <c r="A44" s="6" t="n">
        <f aca="false">IFERROR(__xludf.dummyfunction("""COMPUTED_VALUE"""),44260.6666666667)</f>
        <v>44260.6666666667</v>
      </c>
      <c r="B44" s="5" t="n">
        <f aca="false">IFERROR(__xludf.dummyfunction("""COMPUTED_VALUE"""),120.9)</f>
        <v>120.9</v>
      </c>
      <c r="C44" s="5" t="n">
        <f aca="false">IFERROR(__xludf.dummyfunction("""COMPUTED_VALUE"""),121.3)</f>
        <v>121.3</v>
      </c>
      <c r="D44" s="5" t="n">
        <f aca="false">IFERROR(__xludf.dummyfunction("""COMPUTED_VALUE"""),115.38)</f>
        <v>115.38</v>
      </c>
      <c r="E44" s="5" t="n">
        <f aca="false">IFERROR(__xludf.dummyfunction("""COMPUTED_VALUE"""),120.8)</f>
        <v>120.8</v>
      </c>
      <c r="F44" s="5" t="n">
        <f aca="false">IFERROR(__xludf.dummyfunction("""COMPUTED_VALUE"""),17448732)</f>
        <v>17448732</v>
      </c>
    </row>
    <row r="45" customFormat="false" ht="15.75" hidden="false" customHeight="false" outlineLevel="0" collapsed="false">
      <c r="A45" s="6" t="n">
        <f aca="false">IFERROR(__xludf.dummyfunction("""COMPUTED_VALUE"""),44263.6666666667)</f>
        <v>44263.6666666667</v>
      </c>
      <c r="B45" s="5" t="n">
        <f aca="false">IFERROR(__xludf.dummyfunction("""COMPUTED_VALUE"""),120.54)</f>
        <v>120.54</v>
      </c>
      <c r="C45" s="5" t="n">
        <f aca="false">IFERROR(__xludf.dummyfunction("""COMPUTED_VALUE"""),121)</f>
        <v>121</v>
      </c>
      <c r="D45" s="5" t="n">
        <f aca="false">IFERROR(__xludf.dummyfunction("""COMPUTED_VALUE"""),113.7)</f>
        <v>113.7</v>
      </c>
      <c r="E45" s="5" t="n">
        <f aca="false">IFERROR(__xludf.dummyfunction("""COMPUTED_VALUE"""),113.93)</f>
        <v>113.93</v>
      </c>
      <c r="F45" s="5" t="n">
        <f aca="false">IFERROR(__xludf.dummyfunction("""COMPUTED_VALUE"""),17246948)</f>
        <v>17246948</v>
      </c>
    </row>
    <row r="46" customFormat="false" ht="15.75" hidden="false" customHeight="false" outlineLevel="0" collapsed="false">
      <c r="A46" s="6" t="n">
        <f aca="false">IFERROR(__xludf.dummyfunction("""COMPUTED_VALUE"""),44264.6666666667)</f>
        <v>44264.6666666667</v>
      </c>
      <c r="B46" s="5" t="n">
        <f aca="false">IFERROR(__xludf.dummyfunction("""COMPUTED_VALUE"""),117.07)</f>
        <v>117.07</v>
      </c>
      <c r="C46" s="5" t="n">
        <f aca="false">IFERROR(__xludf.dummyfunction("""COMPUTED_VALUE"""),118.4)</f>
        <v>118.4</v>
      </c>
      <c r="D46" s="5" t="n">
        <f aca="false">IFERROR(__xludf.dummyfunction("""COMPUTED_VALUE"""),115.33)</f>
        <v>115.33</v>
      </c>
      <c r="E46" s="5" t="n">
        <f aca="false">IFERROR(__xludf.dummyfunction("""COMPUTED_VALUE"""),116.38)</f>
        <v>116.38</v>
      </c>
      <c r="F46" s="5" t="n">
        <f aca="false">IFERROR(__xludf.dummyfunction("""COMPUTED_VALUE"""),17717113)</f>
        <v>17717113</v>
      </c>
    </row>
    <row r="47" customFormat="false" ht="15.75" hidden="false" customHeight="false" outlineLevel="0" collapsed="false">
      <c r="A47" s="6" t="n">
        <f aca="false">IFERROR(__xludf.dummyfunction("""COMPUTED_VALUE"""),44265.6666666667)</f>
        <v>44265.6666666667</v>
      </c>
      <c r="B47" s="5" t="n">
        <f aca="false">IFERROR(__xludf.dummyfunction("""COMPUTED_VALUE"""),117.8)</f>
        <v>117.8</v>
      </c>
      <c r="C47" s="5" t="n">
        <f aca="false">IFERROR(__xludf.dummyfunction("""COMPUTED_VALUE"""),118.03)</f>
        <v>118.03</v>
      </c>
      <c r="D47" s="5" t="n">
        <f aca="false">IFERROR(__xludf.dummyfunction("""COMPUTED_VALUE"""),113.41)</f>
        <v>113.41</v>
      </c>
      <c r="E47" s="5" t="n">
        <f aca="false">IFERROR(__xludf.dummyfunction("""COMPUTED_VALUE"""),113.83)</f>
        <v>113.83</v>
      </c>
      <c r="F47" s="5" t="n">
        <f aca="false">IFERROR(__xludf.dummyfunction("""COMPUTED_VALUE"""),15240262)</f>
        <v>15240262</v>
      </c>
    </row>
    <row r="48" customFormat="false" ht="15.75" hidden="false" customHeight="false" outlineLevel="0" collapsed="false">
      <c r="A48" s="6" t="n">
        <f aca="false">IFERROR(__xludf.dummyfunction("""COMPUTED_VALUE"""),44266.6666666667)</f>
        <v>44266.6666666667</v>
      </c>
      <c r="B48" s="5" t="n">
        <f aca="false">IFERROR(__xludf.dummyfunction("""COMPUTED_VALUE"""),118.24)</f>
        <v>118.24</v>
      </c>
      <c r="C48" s="5" t="n">
        <f aca="false">IFERROR(__xludf.dummyfunction("""COMPUTED_VALUE"""),120.8)</f>
        <v>120.8</v>
      </c>
      <c r="D48" s="5" t="n">
        <f aca="false">IFERROR(__xludf.dummyfunction("""COMPUTED_VALUE"""),117.07)</f>
        <v>117.07</v>
      </c>
      <c r="E48" s="5" t="n">
        <f aca="false">IFERROR(__xludf.dummyfunction("""COMPUTED_VALUE"""),120.58)</f>
        <v>120.58</v>
      </c>
      <c r="F48" s="5" t="n">
        <f aca="false">IFERROR(__xludf.dummyfunction("""COMPUTED_VALUE"""),15091598)</f>
        <v>15091598</v>
      </c>
    </row>
    <row r="49" customFormat="false" ht="15.75" hidden="false" customHeight="false" outlineLevel="0" collapsed="false">
      <c r="A49" s="6" t="n">
        <f aca="false">IFERROR(__xludf.dummyfunction("""COMPUTED_VALUE"""),44267.6666666667)</f>
        <v>44267.6666666667</v>
      </c>
      <c r="B49" s="5" t="n">
        <f aca="false">IFERROR(__xludf.dummyfunction("""COMPUTED_VALUE"""),119)</f>
        <v>119</v>
      </c>
      <c r="C49" s="5" t="n">
        <f aca="false">IFERROR(__xludf.dummyfunction("""COMPUTED_VALUE"""),119)</f>
        <v>119</v>
      </c>
      <c r="D49" s="5" t="n">
        <f aca="false">IFERROR(__xludf.dummyfunction("""COMPUTED_VALUE"""),117.28)</f>
        <v>117.28</v>
      </c>
      <c r="E49" s="5" t="n">
        <f aca="false">IFERROR(__xludf.dummyfunction("""COMPUTED_VALUE"""),118.3)</f>
        <v>118.3</v>
      </c>
      <c r="F49" s="5" t="n">
        <f aca="false">IFERROR(__xludf.dummyfunction("""COMPUTED_VALUE"""),8171001)</f>
        <v>8171001</v>
      </c>
    </row>
    <row r="50" customFormat="false" ht="15.75" hidden="false" customHeight="false" outlineLevel="0" collapsed="false">
      <c r="A50" s="6" t="n">
        <f aca="false">IFERROR(__xludf.dummyfunction("""COMPUTED_VALUE"""),44270.6666666667)</f>
        <v>44270.6666666667</v>
      </c>
      <c r="B50" s="5" t="n">
        <f aca="false">IFERROR(__xludf.dummyfunction("""COMPUTED_VALUE"""),118.65)</f>
        <v>118.65</v>
      </c>
      <c r="C50" s="5" t="n">
        <f aca="false">IFERROR(__xludf.dummyfunction("""COMPUTED_VALUE"""),119.11)</f>
        <v>119.11</v>
      </c>
      <c r="D50" s="5" t="n">
        <f aca="false">IFERROR(__xludf.dummyfunction("""COMPUTED_VALUE"""),116.71)</f>
        <v>116.71</v>
      </c>
      <c r="E50" s="5" t="n">
        <f aca="false">IFERROR(__xludf.dummyfunction("""COMPUTED_VALUE"""),119.08)</f>
        <v>119.08</v>
      </c>
      <c r="F50" s="5" t="n">
        <f aca="false">IFERROR(__xludf.dummyfunction("""COMPUTED_VALUE"""),8946293)</f>
        <v>8946293</v>
      </c>
    </row>
    <row r="51" customFormat="false" ht="15.75" hidden="false" customHeight="false" outlineLevel="0" collapsed="false">
      <c r="A51" s="6" t="n">
        <f aca="false">IFERROR(__xludf.dummyfunction("""COMPUTED_VALUE"""),44271.6666666667)</f>
        <v>44271.6666666667</v>
      </c>
      <c r="B51" s="5" t="n">
        <f aca="false">IFERROR(__xludf.dummyfunction("""COMPUTED_VALUE"""),119.72)</f>
        <v>119.72</v>
      </c>
      <c r="C51" s="5" t="n">
        <f aca="false">IFERROR(__xludf.dummyfunction("""COMPUTED_VALUE"""),121.25)</f>
        <v>121.25</v>
      </c>
      <c r="D51" s="5" t="n">
        <f aca="false">IFERROR(__xludf.dummyfunction("""COMPUTED_VALUE"""),118.1)</f>
        <v>118.1</v>
      </c>
      <c r="E51" s="5" t="n">
        <f aca="false">IFERROR(__xludf.dummyfunction("""COMPUTED_VALUE"""),119.35)</f>
        <v>119.35</v>
      </c>
      <c r="F51" s="5" t="n">
        <f aca="false">IFERROR(__xludf.dummyfunction("""COMPUTED_VALUE"""),10793373)</f>
        <v>10793373</v>
      </c>
    </row>
    <row r="52" customFormat="false" ht="15.75" hidden="false" customHeight="false" outlineLevel="0" collapsed="false">
      <c r="A52" s="6" t="n">
        <f aca="false">IFERROR(__xludf.dummyfunction("""COMPUTED_VALUE"""),44272.6666666667)</f>
        <v>44272.6666666667</v>
      </c>
      <c r="B52" s="5" t="n">
        <f aca="false">IFERROR(__xludf.dummyfunction("""COMPUTED_VALUE"""),117.75)</f>
        <v>117.75</v>
      </c>
      <c r="C52" s="5" t="n">
        <f aca="false">IFERROR(__xludf.dummyfunction("""COMPUTED_VALUE"""),119.52)</f>
        <v>119.52</v>
      </c>
      <c r="D52" s="5" t="n">
        <f aca="false">IFERROR(__xludf.dummyfunction("""COMPUTED_VALUE"""),115.39)</f>
        <v>115.39</v>
      </c>
      <c r="E52" s="5" t="n">
        <f aca="false">IFERROR(__xludf.dummyfunction("""COMPUTED_VALUE"""),118.76)</f>
        <v>118.76</v>
      </c>
      <c r="F52" s="5" t="n">
        <f aca="false">IFERROR(__xludf.dummyfunction("""COMPUTED_VALUE"""),9869563)</f>
        <v>9869563</v>
      </c>
    </row>
    <row r="53" customFormat="false" ht="15.75" hidden="false" customHeight="false" outlineLevel="0" collapsed="false">
      <c r="A53" s="6" t="n">
        <f aca="false">IFERROR(__xludf.dummyfunction("""COMPUTED_VALUE"""),44273.6666666667)</f>
        <v>44273.6666666667</v>
      </c>
      <c r="B53" s="5" t="n">
        <f aca="false">IFERROR(__xludf.dummyfunction("""COMPUTED_VALUE"""),118)</f>
        <v>118</v>
      </c>
      <c r="C53" s="5" t="n">
        <f aca="false">IFERROR(__xludf.dummyfunction("""COMPUTED_VALUE"""),118.33)</f>
        <v>118.33</v>
      </c>
      <c r="D53" s="5" t="n">
        <f aca="false">IFERROR(__xludf.dummyfunction("""COMPUTED_VALUE"""),114.1)</f>
        <v>114.1</v>
      </c>
      <c r="E53" s="5" t="n">
        <f aca="false">IFERROR(__xludf.dummyfunction("""COMPUTED_VALUE"""),114.5)</f>
        <v>114.5</v>
      </c>
      <c r="F53" s="5" t="n">
        <f aca="false">IFERROR(__xludf.dummyfunction("""COMPUTED_VALUE"""),10299940)</f>
        <v>10299940</v>
      </c>
    </row>
    <row r="54" customFormat="false" ht="15.75" hidden="false" customHeight="false" outlineLevel="0" collapsed="false">
      <c r="A54" s="6" t="n">
        <f aca="false">IFERROR(__xludf.dummyfunction("""COMPUTED_VALUE"""),44274.6666666667)</f>
        <v>44274.6666666667</v>
      </c>
      <c r="B54" s="5" t="n">
        <f aca="false">IFERROR(__xludf.dummyfunction("""COMPUTED_VALUE"""),114.38)</f>
        <v>114.38</v>
      </c>
      <c r="C54" s="5" t="n">
        <f aca="false">IFERROR(__xludf.dummyfunction("""COMPUTED_VALUE"""),114.89)</f>
        <v>114.89</v>
      </c>
      <c r="D54" s="5" t="n">
        <f aca="false">IFERROR(__xludf.dummyfunction("""COMPUTED_VALUE"""),113.21)</f>
        <v>113.21</v>
      </c>
      <c r="E54" s="5" t="n">
        <f aca="false">IFERROR(__xludf.dummyfunction("""COMPUTED_VALUE"""),113.63)</f>
        <v>113.63</v>
      </c>
      <c r="F54" s="5" t="n">
        <f aca="false">IFERROR(__xludf.dummyfunction("""COMPUTED_VALUE"""),11535951)</f>
        <v>11535951</v>
      </c>
    </row>
    <row r="55" customFormat="false" ht="15.75" hidden="false" customHeight="false" outlineLevel="0" collapsed="false">
      <c r="A55" s="6" t="n">
        <f aca="false">IFERROR(__xludf.dummyfunction("""COMPUTED_VALUE"""),44277.6666666667)</f>
        <v>44277.6666666667</v>
      </c>
      <c r="B55" s="5" t="n">
        <f aca="false">IFERROR(__xludf.dummyfunction("""COMPUTED_VALUE"""),114.79)</f>
        <v>114.79</v>
      </c>
      <c r="C55" s="5" t="n">
        <f aca="false">IFERROR(__xludf.dummyfunction("""COMPUTED_VALUE"""),118.33)</f>
        <v>118.33</v>
      </c>
      <c r="D55" s="5" t="n">
        <f aca="false">IFERROR(__xludf.dummyfunction("""COMPUTED_VALUE"""),114.79)</f>
        <v>114.79</v>
      </c>
      <c r="E55" s="5" t="n">
        <f aca="false">IFERROR(__xludf.dummyfunction("""COMPUTED_VALUE"""),117.18)</f>
        <v>117.18</v>
      </c>
      <c r="F55" s="5" t="n">
        <f aca="false">IFERROR(__xludf.dummyfunction("""COMPUTED_VALUE"""),9376422)</f>
        <v>9376422</v>
      </c>
    </row>
    <row r="56" customFormat="false" ht="15.75" hidden="false" customHeight="false" outlineLevel="0" collapsed="false">
      <c r="A56" s="6" t="n">
        <f aca="false">IFERROR(__xludf.dummyfunction("""COMPUTED_VALUE"""),44278.6666666667)</f>
        <v>44278.6666666667</v>
      </c>
      <c r="B56" s="5" t="n">
        <f aca="false">IFERROR(__xludf.dummyfunction("""COMPUTED_VALUE"""),116.1)</f>
        <v>116.1</v>
      </c>
      <c r="C56" s="5" t="n">
        <f aca="false">IFERROR(__xludf.dummyfunction("""COMPUTED_VALUE"""),116.75)</f>
        <v>116.75</v>
      </c>
      <c r="D56" s="5" t="n">
        <f aca="false">IFERROR(__xludf.dummyfunction("""COMPUTED_VALUE"""),114.62)</f>
        <v>114.62</v>
      </c>
      <c r="E56" s="5" t="n">
        <f aca="false">IFERROR(__xludf.dummyfunction("""COMPUTED_VALUE"""),114.89)</f>
        <v>114.89</v>
      </c>
      <c r="F56" s="5" t="n">
        <f aca="false">IFERROR(__xludf.dummyfunction("""COMPUTED_VALUE"""),8977391)</f>
        <v>8977391</v>
      </c>
    </row>
    <row r="57" customFormat="false" ht="15.75" hidden="false" customHeight="false" outlineLevel="0" collapsed="false">
      <c r="A57" s="6" t="n">
        <f aca="false">IFERROR(__xludf.dummyfunction("""COMPUTED_VALUE"""),44279.6666666667)</f>
        <v>44279.6666666667</v>
      </c>
      <c r="B57" s="5" t="n">
        <f aca="false">IFERROR(__xludf.dummyfunction("""COMPUTED_VALUE"""),112.47)</f>
        <v>112.47</v>
      </c>
      <c r="C57" s="5" t="n">
        <f aca="false">IFERROR(__xludf.dummyfunction("""COMPUTED_VALUE"""),114.69)</f>
        <v>114.69</v>
      </c>
      <c r="D57" s="5" t="n">
        <f aca="false">IFERROR(__xludf.dummyfunction("""COMPUTED_VALUE"""),108.85)</f>
        <v>108.85</v>
      </c>
      <c r="E57" s="5" t="n">
        <f aca="false">IFERROR(__xludf.dummyfunction("""COMPUTED_VALUE"""),108.96)</f>
        <v>108.96</v>
      </c>
      <c r="F57" s="5" t="n">
        <f aca="false">IFERROR(__xludf.dummyfunction("""COMPUTED_VALUE"""),24196072)</f>
        <v>24196072</v>
      </c>
    </row>
    <row r="58" customFormat="false" ht="15.75" hidden="false" customHeight="false" outlineLevel="0" collapsed="false">
      <c r="A58" s="6" t="n">
        <f aca="false">IFERROR(__xludf.dummyfunction("""COMPUTED_VALUE"""),44280.6666666667)</f>
        <v>44280.6666666667</v>
      </c>
      <c r="B58" s="5" t="n">
        <f aca="false">IFERROR(__xludf.dummyfunction("""COMPUTED_VALUE"""),108)</f>
        <v>108</v>
      </c>
      <c r="C58" s="5" t="n">
        <f aca="false">IFERROR(__xludf.dummyfunction("""COMPUTED_VALUE"""),112.75)</f>
        <v>112.75</v>
      </c>
      <c r="D58" s="5" t="n">
        <f aca="false">IFERROR(__xludf.dummyfunction("""COMPUTED_VALUE"""),107.89)</f>
        <v>107.89</v>
      </c>
      <c r="E58" s="5" t="n">
        <f aca="false">IFERROR(__xludf.dummyfunction("""COMPUTED_VALUE"""),110.45)</f>
        <v>110.45</v>
      </c>
      <c r="F58" s="5" t="n">
        <f aca="false">IFERROR(__xludf.dummyfunction("""COMPUTED_VALUE"""),16772398)</f>
        <v>16772398</v>
      </c>
    </row>
    <row r="59" customFormat="false" ht="15.75" hidden="false" customHeight="false" outlineLevel="0" collapsed="false">
      <c r="A59" s="6" t="n">
        <f aca="false">IFERROR(__xludf.dummyfunction("""COMPUTED_VALUE"""),44281.6666666667)</f>
        <v>44281.6666666667</v>
      </c>
      <c r="B59" s="5" t="n">
        <f aca="false">IFERROR(__xludf.dummyfunction("""COMPUTED_VALUE"""),112)</f>
        <v>112</v>
      </c>
      <c r="C59" s="5" t="n">
        <f aca="false">IFERROR(__xludf.dummyfunction("""COMPUTED_VALUE"""),116.7)</f>
        <v>116.7</v>
      </c>
      <c r="D59" s="5" t="n">
        <f aca="false">IFERROR(__xludf.dummyfunction("""COMPUTED_VALUE"""),111.2)</f>
        <v>111.2</v>
      </c>
      <c r="E59" s="5" t="n">
        <f aca="false">IFERROR(__xludf.dummyfunction("""COMPUTED_VALUE"""),116.56)</f>
        <v>116.56</v>
      </c>
      <c r="F59" s="5" t="n">
        <f aca="false">IFERROR(__xludf.dummyfunction("""COMPUTED_VALUE"""),12910910)</f>
        <v>12910910</v>
      </c>
    </row>
    <row r="60" customFormat="false" ht="15.75" hidden="false" customHeight="false" outlineLevel="0" collapsed="false">
      <c r="A60" s="6" t="n">
        <f aca="false">IFERROR(__xludf.dummyfunction("""COMPUTED_VALUE"""),44284.6666666667)</f>
        <v>44284.6666666667</v>
      </c>
      <c r="B60" s="5" t="n">
        <f aca="false">IFERROR(__xludf.dummyfunction("""COMPUTED_VALUE"""),116.55)</f>
        <v>116.55</v>
      </c>
      <c r="C60" s="5" t="n">
        <f aca="false">IFERROR(__xludf.dummyfunction("""COMPUTED_VALUE"""),116.76)</f>
        <v>116.76</v>
      </c>
      <c r="D60" s="5" t="n">
        <f aca="false">IFERROR(__xludf.dummyfunction("""COMPUTED_VALUE"""),112.39)</f>
        <v>112.39</v>
      </c>
      <c r="E60" s="5" t="n">
        <f aca="false">IFERROR(__xludf.dummyfunction("""COMPUTED_VALUE"""),114.39)</f>
        <v>114.39</v>
      </c>
      <c r="F60" s="5" t="n">
        <f aca="false">IFERROR(__xludf.dummyfunction("""COMPUTED_VALUE"""),10863643)</f>
        <v>10863643</v>
      </c>
    </row>
    <row r="61" customFormat="false" ht="15.75" hidden="false" customHeight="false" outlineLevel="0" collapsed="false">
      <c r="A61" s="6" t="n">
        <f aca="false">IFERROR(__xludf.dummyfunction("""COMPUTED_VALUE"""),44285.6666666667)</f>
        <v>44285.6666666667</v>
      </c>
      <c r="B61" s="5" t="n">
        <f aca="false">IFERROR(__xludf.dummyfunction("""COMPUTED_VALUE"""),115.28)</f>
        <v>115.28</v>
      </c>
      <c r="C61" s="5" t="n">
        <f aca="false">IFERROR(__xludf.dummyfunction("""COMPUTED_VALUE"""),116.09)</f>
        <v>116.09</v>
      </c>
      <c r="D61" s="5" t="n">
        <f aca="false">IFERROR(__xludf.dummyfunction("""COMPUTED_VALUE"""),114.29)</f>
        <v>114.29</v>
      </c>
      <c r="E61" s="5" t="n">
        <f aca="false">IFERROR(__xludf.dummyfunction("""COMPUTED_VALUE"""),115.07)</f>
        <v>115.07</v>
      </c>
      <c r="F61" s="5" t="n">
        <f aca="false">IFERROR(__xludf.dummyfunction("""COMPUTED_VALUE"""),8206164)</f>
        <v>8206164</v>
      </c>
    </row>
    <row r="62" customFormat="false" ht="15.75" hidden="false" customHeight="false" outlineLevel="0" collapsed="false">
      <c r="A62" s="6" t="n">
        <f aca="false">IFERROR(__xludf.dummyfunction("""COMPUTED_VALUE"""),44286.6666666667)</f>
        <v>44286.6666666667</v>
      </c>
      <c r="B62" s="5" t="n">
        <f aca="false">IFERROR(__xludf.dummyfunction("""COMPUTED_VALUE"""),115.79)</f>
        <v>115.79</v>
      </c>
      <c r="C62" s="5" t="n">
        <f aca="false">IFERROR(__xludf.dummyfunction("""COMPUTED_VALUE"""),118.36)</f>
        <v>118.36</v>
      </c>
      <c r="D62" s="5" t="n">
        <f aca="false">IFERROR(__xludf.dummyfunction("""COMPUTED_VALUE"""),115.56)</f>
        <v>115.56</v>
      </c>
      <c r="E62" s="5" t="n">
        <f aca="false">IFERROR(__xludf.dummyfunction("""COMPUTED_VALUE"""),118.28)</f>
        <v>118.28</v>
      </c>
      <c r="F62" s="5" t="n">
        <f aca="false">IFERROR(__xludf.dummyfunction("""COMPUTED_VALUE"""),9806546)</f>
        <v>9806546</v>
      </c>
    </row>
    <row r="63" customFormat="false" ht="15.75" hidden="false" customHeight="false" outlineLevel="0" collapsed="false">
      <c r="A63" s="6" t="n">
        <f aca="false">IFERROR(__xludf.dummyfunction("""COMPUTED_VALUE"""),44287.6666666667)</f>
        <v>44287.6666666667</v>
      </c>
      <c r="B63" s="5" t="n">
        <f aca="false">IFERROR(__xludf.dummyfunction("""COMPUTED_VALUE"""),122.81)</f>
        <v>122.81</v>
      </c>
      <c r="C63" s="5" t="n">
        <f aca="false">IFERROR(__xludf.dummyfunction("""COMPUTED_VALUE"""),124.88)</f>
        <v>124.88</v>
      </c>
      <c r="D63" s="5" t="n">
        <f aca="false">IFERROR(__xludf.dummyfunction("""COMPUTED_VALUE"""),121.64)</f>
        <v>121.64</v>
      </c>
      <c r="E63" s="5" t="n">
        <f aca="false">IFERROR(__xludf.dummyfunction("""COMPUTED_VALUE"""),124.8)</f>
        <v>124.8</v>
      </c>
      <c r="F63" s="5" t="n">
        <f aca="false">IFERROR(__xludf.dummyfunction("""COMPUTED_VALUE"""),17904013)</f>
        <v>17904013</v>
      </c>
    </row>
    <row r="64" customFormat="false" ht="15.75" hidden="false" customHeight="false" outlineLevel="0" collapsed="false">
      <c r="A64" s="6" t="n">
        <f aca="false">IFERROR(__xludf.dummyfunction("""COMPUTED_VALUE"""),44291.6666666667)</f>
        <v>44291.6666666667</v>
      </c>
      <c r="B64" s="5" t="n">
        <f aca="false">IFERROR(__xludf.dummyfunction("""COMPUTED_VALUE"""),127.07)</f>
        <v>127.07</v>
      </c>
      <c r="C64" s="5" t="n">
        <f aca="false">IFERROR(__xludf.dummyfunction("""COMPUTED_VALUE"""),127.4)</f>
        <v>127.4</v>
      </c>
      <c r="D64" s="5" t="n">
        <f aca="false">IFERROR(__xludf.dummyfunction("""COMPUTED_VALUE"""),122.68)</f>
        <v>122.68</v>
      </c>
      <c r="E64" s="5" t="n">
        <f aca="false">IFERROR(__xludf.dummyfunction("""COMPUTED_VALUE"""),124.5)</f>
        <v>124.5</v>
      </c>
      <c r="F64" s="5" t="n">
        <f aca="false">IFERROR(__xludf.dummyfunction("""COMPUTED_VALUE"""),14113892)</f>
        <v>14113892</v>
      </c>
    </row>
    <row r="65" customFormat="false" ht="15.75" hidden="false" customHeight="false" outlineLevel="0" collapsed="false">
      <c r="A65" s="6" t="n">
        <f aca="false">IFERROR(__xludf.dummyfunction("""COMPUTED_VALUE"""),44292.6666666667)</f>
        <v>44292.6666666667</v>
      </c>
      <c r="B65" s="5" t="n">
        <f aca="false">IFERROR(__xludf.dummyfunction("""COMPUTED_VALUE"""),124)</f>
        <v>124</v>
      </c>
      <c r="C65" s="5" t="n">
        <f aca="false">IFERROR(__xludf.dummyfunction("""COMPUTED_VALUE"""),124.01)</f>
        <v>124.01</v>
      </c>
      <c r="D65" s="5" t="n">
        <f aca="false">IFERROR(__xludf.dummyfunction("""COMPUTED_VALUE"""),121.54)</f>
        <v>121.54</v>
      </c>
      <c r="E65" s="5" t="n">
        <f aca="false">IFERROR(__xludf.dummyfunction("""COMPUTED_VALUE"""),122.44)</f>
        <v>122.44</v>
      </c>
      <c r="F65" s="5" t="n">
        <f aca="false">IFERROR(__xludf.dummyfunction("""COMPUTED_VALUE"""),13042312)</f>
        <v>13042312</v>
      </c>
    </row>
    <row r="66" customFormat="false" ht="15.75" hidden="false" customHeight="false" outlineLevel="0" collapsed="false">
      <c r="A66" s="6" t="n">
        <f aca="false">IFERROR(__xludf.dummyfunction("""COMPUTED_VALUE"""),44293.6666666667)</f>
        <v>44293.6666666667</v>
      </c>
      <c r="B66" s="5" t="n">
        <f aca="false">IFERROR(__xludf.dummyfunction("""COMPUTED_VALUE"""),122.44)</f>
        <v>122.44</v>
      </c>
      <c r="C66" s="5" t="n">
        <f aca="false">IFERROR(__xludf.dummyfunction("""COMPUTED_VALUE"""),122.61)</f>
        <v>122.61</v>
      </c>
      <c r="D66" s="5" t="n">
        <f aca="false">IFERROR(__xludf.dummyfunction("""COMPUTED_VALUE"""),119.84)</f>
        <v>119.84</v>
      </c>
      <c r="E66" s="5" t="n">
        <f aca="false">IFERROR(__xludf.dummyfunction("""COMPUTED_VALUE"""),119.89)</f>
        <v>119.89</v>
      </c>
      <c r="F66" s="5" t="n">
        <f aca="false">IFERROR(__xludf.dummyfunction("""COMPUTED_VALUE"""),11193229)</f>
        <v>11193229</v>
      </c>
    </row>
    <row r="67" customFormat="false" ht="15.75" hidden="false" customHeight="false" outlineLevel="0" collapsed="false">
      <c r="A67" s="6" t="n">
        <f aca="false">IFERROR(__xludf.dummyfunction("""COMPUTED_VALUE"""),44294.6666666667)</f>
        <v>44294.6666666667</v>
      </c>
      <c r="B67" s="5" t="n">
        <f aca="false">IFERROR(__xludf.dummyfunction("""COMPUTED_VALUE"""),121.38)</f>
        <v>121.38</v>
      </c>
      <c r="C67" s="5" t="n">
        <f aca="false">IFERROR(__xludf.dummyfunction("""COMPUTED_VALUE"""),123.82)</f>
        <v>123.82</v>
      </c>
      <c r="D67" s="5" t="n">
        <f aca="false">IFERROR(__xludf.dummyfunction("""COMPUTED_VALUE"""),121.38)</f>
        <v>121.38</v>
      </c>
      <c r="E67" s="5" t="n">
        <f aca="false">IFERROR(__xludf.dummyfunction("""COMPUTED_VALUE"""),123.43)</f>
        <v>123.43</v>
      </c>
      <c r="F67" s="5" t="n">
        <f aca="false">IFERROR(__xludf.dummyfunction("""COMPUTED_VALUE"""),10226706)</f>
        <v>10226706</v>
      </c>
    </row>
    <row r="68" customFormat="false" ht="15.75" hidden="false" customHeight="false" outlineLevel="0" collapsed="false">
      <c r="A68" s="6" t="n">
        <f aca="false">IFERROR(__xludf.dummyfunction("""COMPUTED_VALUE"""),44295.6666666667)</f>
        <v>44295.6666666667</v>
      </c>
      <c r="B68" s="5" t="n">
        <f aca="false">IFERROR(__xludf.dummyfunction("""COMPUTED_VALUE"""),122.75)</f>
        <v>122.75</v>
      </c>
      <c r="C68" s="5" t="n">
        <f aca="false">IFERROR(__xludf.dummyfunction("""COMPUTED_VALUE"""),123.44)</f>
        <v>123.44</v>
      </c>
      <c r="D68" s="5" t="n">
        <f aca="false">IFERROR(__xludf.dummyfunction("""COMPUTED_VALUE"""),121.7)</f>
        <v>121.7</v>
      </c>
      <c r="E68" s="5" t="n">
        <f aca="false">IFERROR(__xludf.dummyfunction("""COMPUTED_VALUE"""),122.8)</f>
        <v>122.8</v>
      </c>
      <c r="F68" s="5" t="n">
        <f aca="false">IFERROR(__xludf.dummyfunction("""COMPUTED_VALUE"""),8315187)</f>
        <v>8315187</v>
      </c>
    </row>
    <row r="69" customFormat="false" ht="15.75" hidden="false" customHeight="false" outlineLevel="0" collapsed="false">
      <c r="A69" s="6" t="n">
        <f aca="false">IFERROR(__xludf.dummyfunction("""COMPUTED_VALUE"""),44298.6666666667)</f>
        <v>44298.6666666667</v>
      </c>
      <c r="B69" s="5" t="n">
        <f aca="false">IFERROR(__xludf.dummyfunction("""COMPUTED_VALUE"""),122.21)</f>
        <v>122.21</v>
      </c>
      <c r="C69" s="5" t="n">
        <f aca="false">IFERROR(__xludf.dummyfunction("""COMPUTED_VALUE"""),122.46)</f>
        <v>122.46</v>
      </c>
      <c r="D69" s="5" t="n">
        <f aca="false">IFERROR(__xludf.dummyfunction("""COMPUTED_VALUE"""),119.24)</f>
        <v>119.24</v>
      </c>
      <c r="E69" s="5" t="n">
        <f aca="false">IFERROR(__xludf.dummyfunction("""COMPUTED_VALUE"""),120.9)</f>
        <v>120.9</v>
      </c>
      <c r="F69" s="5" t="n">
        <f aca="false">IFERROR(__xludf.dummyfunction("""COMPUTED_VALUE"""),9868416)</f>
        <v>9868416</v>
      </c>
    </row>
    <row r="70" customFormat="false" ht="15.75" hidden="false" customHeight="false" outlineLevel="0" collapsed="false">
      <c r="A70" s="6" t="n">
        <f aca="false">IFERROR(__xludf.dummyfunction("""COMPUTED_VALUE"""),44299.6666666667)</f>
        <v>44299.6666666667</v>
      </c>
      <c r="B70" s="5" t="n">
        <f aca="false">IFERROR(__xludf.dummyfunction("""COMPUTED_VALUE"""),122.4)</f>
        <v>122.4</v>
      </c>
      <c r="C70" s="5" t="n">
        <f aca="false">IFERROR(__xludf.dummyfunction("""COMPUTED_VALUE"""),122.9)</f>
        <v>122.9</v>
      </c>
      <c r="D70" s="5" t="n">
        <f aca="false">IFERROR(__xludf.dummyfunction("""COMPUTED_VALUE"""),120.35)</f>
        <v>120.35</v>
      </c>
      <c r="E70" s="5" t="n">
        <f aca="false">IFERROR(__xludf.dummyfunction("""COMPUTED_VALUE"""),121.27)</f>
        <v>121.27</v>
      </c>
      <c r="F70" s="5" t="n">
        <f aca="false">IFERROR(__xludf.dummyfunction("""COMPUTED_VALUE"""),8384755)</f>
        <v>8384755</v>
      </c>
    </row>
    <row r="71" customFormat="false" ht="15.75" hidden="false" customHeight="false" outlineLevel="0" collapsed="false">
      <c r="A71" s="6" t="n">
        <f aca="false">IFERROR(__xludf.dummyfunction("""COMPUTED_VALUE"""),44300.6666666667)</f>
        <v>44300.6666666667</v>
      </c>
      <c r="B71" s="5" t="n">
        <f aca="false">IFERROR(__xludf.dummyfunction("""COMPUTED_VALUE"""),121.99)</f>
        <v>121.99</v>
      </c>
      <c r="C71" s="5" t="n">
        <f aca="false">IFERROR(__xludf.dummyfunction("""COMPUTED_VALUE"""),122.43)</f>
        <v>122.43</v>
      </c>
      <c r="D71" s="5" t="n">
        <f aca="false">IFERROR(__xludf.dummyfunction("""COMPUTED_VALUE"""),120.5)</f>
        <v>120.5</v>
      </c>
      <c r="E71" s="5" t="n">
        <f aca="false">IFERROR(__xludf.dummyfunction("""COMPUTED_VALUE"""),120.84)</f>
        <v>120.84</v>
      </c>
      <c r="F71" s="5" t="n">
        <f aca="false">IFERROR(__xludf.dummyfunction("""COMPUTED_VALUE"""),9521863)</f>
        <v>9521863</v>
      </c>
    </row>
    <row r="72" customFormat="false" ht="15.75" hidden="false" customHeight="false" outlineLevel="0" collapsed="false">
      <c r="A72" s="6" t="n">
        <f aca="false">IFERROR(__xludf.dummyfunction("""COMPUTED_VALUE"""),44301.6666666667)</f>
        <v>44301.6666666667</v>
      </c>
      <c r="B72" s="5" t="n">
        <f aca="false">IFERROR(__xludf.dummyfunction("""COMPUTED_VALUE"""),121.7)</f>
        <v>121.7</v>
      </c>
      <c r="C72" s="5" t="n">
        <f aca="false">IFERROR(__xludf.dummyfunction("""COMPUTED_VALUE"""),122)</f>
        <v>122</v>
      </c>
      <c r="D72" s="5" t="n">
        <f aca="false">IFERROR(__xludf.dummyfunction("""COMPUTED_VALUE"""),116.56)</f>
        <v>116.56</v>
      </c>
      <c r="E72" s="5" t="n">
        <f aca="false">IFERROR(__xludf.dummyfunction("""COMPUTED_VALUE"""),118.35)</f>
        <v>118.35</v>
      </c>
      <c r="F72" s="5" t="n">
        <f aca="false">IFERROR(__xludf.dummyfunction("""COMPUTED_VALUE"""),18709052)</f>
        <v>18709052</v>
      </c>
    </row>
    <row r="73" customFormat="false" ht="15.75" hidden="false" customHeight="false" outlineLevel="0" collapsed="false">
      <c r="A73" s="6" t="n">
        <f aca="false">IFERROR(__xludf.dummyfunction("""COMPUTED_VALUE"""),44302.6666666667)</f>
        <v>44302.6666666667</v>
      </c>
      <c r="B73" s="5" t="n">
        <f aca="false">IFERROR(__xludf.dummyfunction("""COMPUTED_VALUE"""),119.19)</f>
        <v>119.19</v>
      </c>
      <c r="C73" s="5" t="n">
        <f aca="false">IFERROR(__xludf.dummyfunction("""COMPUTED_VALUE"""),120.6)</f>
        <v>120.6</v>
      </c>
      <c r="D73" s="5" t="n">
        <f aca="false">IFERROR(__xludf.dummyfunction("""COMPUTED_VALUE"""),117.85)</f>
        <v>117.85</v>
      </c>
      <c r="E73" s="5" t="n">
        <f aca="false">IFERROR(__xludf.dummyfunction("""COMPUTED_VALUE"""),118.84)</f>
        <v>118.84</v>
      </c>
      <c r="F73" s="5" t="n">
        <f aca="false">IFERROR(__xludf.dummyfunction("""COMPUTED_VALUE"""),9512086)</f>
        <v>9512086</v>
      </c>
    </row>
    <row r="74" customFormat="false" ht="15.75" hidden="false" customHeight="false" outlineLevel="0" collapsed="false">
      <c r="A74" s="6" t="n">
        <f aca="false">IFERROR(__xludf.dummyfunction("""COMPUTED_VALUE"""),44305.6666666667)</f>
        <v>44305.6666666667</v>
      </c>
      <c r="B74" s="5" t="n">
        <f aca="false">IFERROR(__xludf.dummyfunction("""COMPUTED_VALUE"""),118)</f>
        <v>118</v>
      </c>
      <c r="C74" s="5" t="n">
        <f aca="false">IFERROR(__xludf.dummyfunction("""COMPUTED_VALUE"""),118.88)</f>
        <v>118.88</v>
      </c>
      <c r="D74" s="5" t="n">
        <f aca="false">IFERROR(__xludf.dummyfunction("""COMPUTED_VALUE"""),115.2)</f>
        <v>115.2</v>
      </c>
      <c r="E74" s="5" t="n">
        <f aca="false">IFERROR(__xludf.dummyfunction("""COMPUTED_VALUE"""),115.4)</f>
        <v>115.4</v>
      </c>
      <c r="F74" s="5" t="n">
        <f aca="false">IFERROR(__xludf.dummyfunction("""COMPUTED_VALUE"""),12630310)</f>
        <v>12630310</v>
      </c>
    </row>
    <row r="75" customFormat="false" ht="15.75" hidden="false" customHeight="false" outlineLevel="0" collapsed="false">
      <c r="A75" s="6" t="n">
        <f aca="false">IFERROR(__xludf.dummyfunction("""COMPUTED_VALUE"""),44306.6666666667)</f>
        <v>44306.6666666667</v>
      </c>
      <c r="B75" s="5" t="n">
        <f aca="false">IFERROR(__xludf.dummyfunction("""COMPUTED_VALUE"""),116.05)</f>
        <v>116.05</v>
      </c>
      <c r="C75" s="5" t="n">
        <f aca="false">IFERROR(__xludf.dummyfunction("""COMPUTED_VALUE"""),116.78)</f>
        <v>116.78</v>
      </c>
      <c r="D75" s="5" t="n">
        <f aca="false">IFERROR(__xludf.dummyfunction("""COMPUTED_VALUE"""),114.55)</f>
        <v>114.55</v>
      </c>
      <c r="E75" s="5" t="n">
        <f aca="false">IFERROR(__xludf.dummyfunction("""COMPUTED_VALUE"""),114.95)</f>
        <v>114.95</v>
      </c>
      <c r="F75" s="5" t="n">
        <f aca="false">IFERROR(__xludf.dummyfunction("""COMPUTED_VALUE"""),9299195)</f>
        <v>9299195</v>
      </c>
    </row>
    <row r="76" customFormat="false" ht="15.75" hidden="false" customHeight="false" outlineLevel="0" collapsed="false">
      <c r="A76" s="6" t="n">
        <f aca="false">IFERROR(__xludf.dummyfunction("""COMPUTED_VALUE"""),44307.6666666667)</f>
        <v>44307.6666666667</v>
      </c>
      <c r="B76" s="5" t="n">
        <f aca="false">IFERROR(__xludf.dummyfunction("""COMPUTED_VALUE"""),114.5)</f>
        <v>114.5</v>
      </c>
      <c r="C76" s="5" t="n">
        <f aca="false">IFERROR(__xludf.dummyfunction("""COMPUTED_VALUE"""),117.49)</f>
        <v>117.49</v>
      </c>
      <c r="D76" s="5" t="n">
        <f aca="false">IFERROR(__xludf.dummyfunction("""COMPUTED_VALUE"""),113.77)</f>
        <v>113.77</v>
      </c>
      <c r="E76" s="5" t="n">
        <f aca="false">IFERROR(__xludf.dummyfunction("""COMPUTED_VALUE"""),117.4)</f>
        <v>117.4</v>
      </c>
      <c r="F76" s="5" t="n">
        <f aca="false">IFERROR(__xludf.dummyfunction("""COMPUTED_VALUE"""),8472229)</f>
        <v>8472229</v>
      </c>
    </row>
    <row r="77" customFormat="false" ht="15.75" hidden="false" customHeight="false" outlineLevel="0" collapsed="false">
      <c r="A77" s="6" t="n">
        <f aca="false">IFERROR(__xludf.dummyfunction("""COMPUTED_VALUE"""),44308.6666666667)</f>
        <v>44308.6666666667</v>
      </c>
      <c r="B77" s="5" t="n">
        <f aca="false">IFERROR(__xludf.dummyfunction("""COMPUTED_VALUE"""),117.5)</f>
        <v>117.5</v>
      </c>
      <c r="C77" s="5" t="n">
        <f aca="false">IFERROR(__xludf.dummyfunction("""COMPUTED_VALUE"""),117.5)</f>
        <v>117.5</v>
      </c>
      <c r="D77" s="5" t="n">
        <f aca="false">IFERROR(__xludf.dummyfunction("""COMPUTED_VALUE"""),114.41)</f>
        <v>114.41</v>
      </c>
      <c r="E77" s="5" t="n">
        <f aca="false">IFERROR(__xludf.dummyfunction("""COMPUTED_VALUE"""),115.32)</f>
        <v>115.32</v>
      </c>
      <c r="F77" s="5" t="n">
        <f aca="false">IFERROR(__xludf.dummyfunction("""COMPUTED_VALUE"""),7411787)</f>
        <v>7411787</v>
      </c>
    </row>
    <row r="78" customFormat="false" ht="15.75" hidden="false" customHeight="false" outlineLevel="0" collapsed="false">
      <c r="A78" s="6" t="n">
        <f aca="false">IFERROR(__xludf.dummyfunction("""COMPUTED_VALUE"""),44309.6666666667)</f>
        <v>44309.6666666667</v>
      </c>
      <c r="B78" s="5" t="n">
        <f aca="false">IFERROR(__xludf.dummyfunction("""COMPUTED_VALUE"""),116.58)</f>
        <v>116.58</v>
      </c>
      <c r="C78" s="5" t="n">
        <f aca="false">IFERROR(__xludf.dummyfunction("""COMPUTED_VALUE"""),118.72)</f>
        <v>118.72</v>
      </c>
      <c r="D78" s="5" t="n">
        <f aca="false">IFERROR(__xludf.dummyfunction("""COMPUTED_VALUE"""),115.93)</f>
        <v>115.93</v>
      </c>
      <c r="E78" s="5" t="n">
        <f aca="false">IFERROR(__xludf.dummyfunction("""COMPUTED_VALUE"""),118.64)</f>
        <v>118.64</v>
      </c>
      <c r="F78" s="5" t="n">
        <f aca="false">IFERROR(__xludf.dummyfunction("""COMPUTED_VALUE"""),8386671)</f>
        <v>8386671</v>
      </c>
    </row>
    <row r="79" customFormat="false" ht="15.75" hidden="false" customHeight="false" outlineLevel="0" collapsed="false">
      <c r="A79" s="6" t="n">
        <f aca="false">IFERROR(__xludf.dummyfunction("""COMPUTED_VALUE"""),44312.6666666667)</f>
        <v>44312.6666666667</v>
      </c>
      <c r="B79" s="5" t="n">
        <f aca="false">IFERROR(__xludf.dummyfunction("""COMPUTED_VALUE"""),120)</f>
        <v>120</v>
      </c>
      <c r="C79" s="5" t="n">
        <f aca="false">IFERROR(__xludf.dummyfunction("""COMPUTED_VALUE"""),121.54)</f>
        <v>121.54</v>
      </c>
      <c r="D79" s="5" t="n">
        <f aca="false">IFERROR(__xludf.dummyfunction("""COMPUTED_VALUE"""),119.4)</f>
        <v>119.4</v>
      </c>
      <c r="E79" s="5" t="n">
        <f aca="false">IFERROR(__xludf.dummyfunction("""COMPUTED_VALUE"""),121.52)</f>
        <v>121.52</v>
      </c>
      <c r="F79" s="5" t="n">
        <f aca="false">IFERROR(__xludf.dummyfunction("""COMPUTED_VALUE"""),8444012)</f>
        <v>8444012</v>
      </c>
    </row>
    <row r="80" customFormat="false" ht="15.75" hidden="false" customHeight="false" outlineLevel="0" collapsed="false">
      <c r="A80" s="6" t="n">
        <f aca="false">IFERROR(__xludf.dummyfunction("""COMPUTED_VALUE"""),44313.6666666667)</f>
        <v>44313.6666666667</v>
      </c>
      <c r="B80" s="5" t="n">
        <f aca="false">IFERROR(__xludf.dummyfunction("""COMPUTED_VALUE"""),121.5)</f>
        <v>121.5</v>
      </c>
      <c r="C80" s="5" t="n">
        <f aca="false">IFERROR(__xludf.dummyfunction("""COMPUTED_VALUE"""),121.65)</f>
        <v>121.65</v>
      </c>
      <c r="D80" s="5" t="n">
        <f aca="false">IFERROR(__xludf.dummyfunction("""COMPUTED_VALUE"""),119.89)</f>
        <v>119.89</v>
      </c>
      <c r="E80" s="5" t="n">
        <f aca="false">IFERROR(__xludf.dummyfunction("""COMPUTED_VALUE"""),121.27)</f>
        <v>121.27</v>
      </c>
      <c r="F80" s="5" t="n">
        <f aca="false">IFERROR(__xludf.dummyfunction("""COMPUTED_VALUE"""),5491795)</f>
        <v>5491795</v>
      </c>
    </row>
    <row r="81" customFormat="false" ht="15.75" hidden="false" customHeight="false" outlineLevel="0" collapsed="false">
      <c r="A81" s="6" t="n">
        <f aca="false">IFERROR(__xludf.dummyfunction("""COMPUTED_VALUE"""),44314.6666666667)</f>
        <v>44314.6666666667</v>
      </c>
      <c r="B81" s="5" t="n">
        <f aca="false">IFERROR(__xludf.dummyfunction("""COMPUTED_VALUE"""),120)</f>
        <v>120</v>
      </c>
      <c r="C81" s="5" t="n">
        <f aca="false">IFERROR(__xludf.dummyfunction("""COMPUTED_VALUE"""),120.42)</f>
        <v>120.42</v>
      </c>
      <c r="D81" s="5" t="n">
        <f aca="false">IFERROR(__xludf.dummyfunction("""COMPUTED_VALUE"""),118.73)</f>
        <v>118.73</v>
      </c>
      <c r="E81" s="5" t="n">
        <f aca="false">IFERROR(__xludf.dummyfunction("""COMPUTED_VALUE"""),119.66)</f>
        <v>119.66</v>
      </c>
      <c r="F81" s="5" t="n">
        <f aca="false">IFERROR(__xludf.dummyfunction("""COMPUTED_VALUE"""),6476501)</f>
        <v>6476501</v>
      </c>
    </row>
    <row r="82" customFormat="false" ht="15.75" hidden="false" customHeight="false" outlineLevel="0" collapsed="false">
      <c r="A82" s="6" t="n">
        <f aca="false">IFERROR(__xludf.dummyfunction("""COMPUTED_VALUE"""),44315.6666666667)</f>
        <v>44315.6666666667</v>
      </c>
      <c r="B82" s="5" t="n">
        <f aca="false">IFERROR(__xludf.dummyfunction("""COMPUTED_VALUE"""),120.72)</f>
        <v>120.72</v>
      </c>
      <c r="C82" s="5" t="n">
        <f aca="false">IFERROR(__xludf.dummyfunction("""COMPUTED_VALUE"""),120.83)</f>
        <v>120.83</v>
      </c>
      <c r="D82" s="5" t="n">
        <f aca="false">IFERROR(__xludf.dummyfunction("""COMPUTED_VALUE"""),117.61)</f>
        <v>117.61</v>
      </c>
      <c r="E82" s="5" t="n">
        <f aca="false">IFERROR(__xludf.dummyfunction("""COMPUTED_VALUE"""),119.1)</f>
        <v>119.1</v>
      </c>
      <c r="F82" s="5" t="n">
        <f aca="false">IFERROR(__xludf.dummyfunction("""COMPUTED_VALUE"""),8831780)</f>
        <v>8831780</v>
      </c>
    </row>
    <row r="83" customFormat="false" ht="15.75" hidden="false" customHeight="false" outlineLevel="0" collapsed="false">
      <c r="A83" s="6" t="n">
        <f aca="false">IFERROR(__xludf.dummyfunction("""COMPUTED_VALUE"""),44316.6666666667)</f>
        <v>44316.6666666667</v>
      </c>
      <c r="B83" s="5" t="n">
        <f aca="false">IFERROR(__xludf.dummyfunction("""COMPUTED_VALUE"""),118.01)</f>
        <v>118.01</v>
      </c>
      <c r="C83" s="5" t="n">
        <f aca="false">IFERROR(__xludf.dummyfunction("""COMPUTED_VALUE"""),118.18)</f>
        <v>118.18</v>
      </c>
      <c r="D83" s="5" t="n">
        <f aca="false">IFERROR(__xludf.dummyfunction("""COMPUTED_VALUE"""),116.65)</f>
        <v>116.65</v>
      </c>
      <c r="E83" s="5" t="n">
        <f aca="false">IFERROR(__xludf.dummyfunction("""COMPUTED_VALUE"""),116.74)</f>
        <v>116.74</v>
      </c>
      <c r="F83" s="5" t="n">
        <f aca="false">IFERROR(__xludf.dummyfunction("""COMPUTED_VALUE"""),7950744)</f>
        <v>7950744</v>
      </c>
    </row>
    <row r="84" customFormat="false" ht="15.75" hidden="false" customHeight="false" outlineLevel="0" collapsed="false">
      <c r="A84" s="6" t="n">
        <f aca="false">IFERROR(__xludf.dummyfunction("""COMPUTED_VALUE"""),44319.6666666667)</f>
        <v>44319.6666666667</v>
      </c>
      <c r="B84" s="5" t="n">
        <f aca="false">IFERROR(__xludf.dummyfunction("""COMPUTED_VALUE"""),117.47)</f>
        <v>117.47</v>
      </c>
      <c r="C84" s="5" t="n">
        <f aca="false">IFERROR(__xludf.dummyfunction("""COMPUTED_VALUE"""),117.55)</f>
        <v>117.55</v>
      </c>
      <c r="D84" s="5" t="n">
        <f aca="false">IFERROR(__xludf.dummyfunction("""COMPUTED_VALUE"""),115.73)</f>
        <v>115.73</v>
      </c>
      <c r="E84" s="5" t="n">
        <f aca="false">IFERROR(__xludf.dummyfunction("""COMPUTED_VALUE"""),115.94)</f>
        <v>115.94</v>
      </c>
      <c r="F84" s="5" t="n">
        <f aca="false">IFERROR(__xludf.dummyfunction("""COMPUTED_VALUE"""),10229530)</f>
        <v>10229530</v>
      </c>
    </row>
    <row r="85" customFormat="false" ht="15.75" hidden="false" customHeight="false" outlineLevel="0" collapsed="false">
      <c r="A85" s="6" t="n">
        <f aca="false">IFERROR(__xludf.dummyfunction("""COMPUTED_VALUE"""),44320.6666666667)</f>
        <v>44320.6666666667</v>
      </c>
      <c r="B85" s="5" t="n">
        <f aca="false">IFERROR(__xludf.dummyfunction("""COMPUTED_VALUE"""),115)</f>
        <v>115</v>
      </c>
      <c r="C85" s="5" t="n">
        <f aca="false">IFERROR(__xludf.dummyfunction("""COMPUTED_VALUE"""),115.82)</f>
        <v>115.82</v>
      </c>
      <c r="D85" s="5" t="n">
        <f aca="false">IFERROR(__xludf.dummyfunction("""COMPUTED_VALUE"""),113.74)</f>
        <v>113.74</v>
      </c>
      <c r="E85" s="5" t="n">
        <f aca="false">IFERROR(__xludf.dummyfunction("""COMPUTED_VALUE"""),115.36)</f>
        <v>115.36</v>
      </c>
      <c r="F85" s="5" t="n">
        <f aca="false">IFERROR(__xludf.dummyfunction("""COMPUTED_VALUE"""),9638315)</f>
        <v>9638315</v>
      </c>
    </row>
    <row r="86" customFormat="false" ht="15.75" hidden="false" customHeight="false" outlineLevel="0" collapsed="false">
      <c r="A86" s="6" t="n">
        <f aca="false">IFERROR(__xludf.dummyfunction("""COMPUTED_VALUE"""),44321.6666666667)</f>
        <v>44321.6666666667</v>
      </c>
      <c r="B86" s="5" t="n">
        <f aca="false">IFERROR(__xludf.dummyfunction("""COMPUTED_VALUE"""),116)</f>
        <v>116</v>
      </c>
      <c r="C86" s="5" t="n">
        <f aca="false">IFERROR(__xludf.dummyfunction("""COMPUTED_VALUE"""),116.49)</f>
        <v>116.49</v>
      </c>
      <c r="D86" s="5" t="n">
        <f aca="false">IFERROR(__xludf.dummyfunction("""COMPUTED_VALUE"""),115.3)</f>
        <v>115.3</v>
      </c>
      <c r="E86" s="5" t="n">
        <f aca="false">IFERROR(__xludf.dummyfunction("""COMPUTED_VALUE"""),115.38)</f>
        <v>115.38</v>
      </c>
      <c r="F86" s="5" t="n">
        <f aca="false">IFERROR(__xludf.dummyfunction("""COMPUTED_VALUE"""),4174138)</f>
        <v>4174138</v>
      </c>
    </row>
    <row r="87" customFormat="false" ht="15.75" hidden="false" customHeight="false" outlineLevel="0" collapsed="false">
      <c r="A87" s="6" t="n">
        <f aca="false">IFERROR(__xludf.dummyfunction("""COMPUTED_VALUE"""),44322.6666666667)</f>
        <v>44322.6666666667</v>
      </c>
      <c r="B87" s="5" t="n">
        <f aca="false">IFERROR(__xludf.dummyfunction("""COMPUTED_VALUE"""),115.3)</f>
        <v>115.3</v>
      </c>
      <c r="C87" s="5" t="n">
        <f aca="false">IFERROR(__xludf.dummyfunction("""COMPUTED_VALUE"""),117.64)</f>
        <v>117.64</v>
      </c>
      <c r="D87" s="5" t="n">
        <f aca="false">IFERROR(__xludf.dummyfunction("""COMPUTED_VALUE"""),114.46)</f>
        <v>114.46</v>
      </c>
      <c r="E87" s="5" t="n">
        <f aca="false">IFERROR(__xludf.dummyfunction("""COMPUTED_VALUE"""),117)</f>
        <v>117</v>
      </c>
      <c r="F87" s="5" t="n">
        <f aca="false">IFERROR(__xludf.dummyfunction("""COMPUTED_VALUE"""),8581653)</f>
        <v>8581653</v>
      </c>
    </row>
    <row r="88" customFormat="false" ht="15.75" hidden="false" customHeight="false" outlineLevel="0" collapsed="false">
      <c r="A88" s="6" t="n">
        <f aca="false">IFERROR(__xludf.dummyfunction("""COMPUTED_VALUE"""),44323.6666666667)</f>
        <v>44323.6666666667</v>
      </c>
      <c r="B88" s="5" t="n">
        <f aca="false">IFERROR(__xludf.dummyfunction("""COMPUTED_VALUE"""),118.4)</f>
        <v>118.4</v>
      </c>
      <c r="C88" s="5" t="n">
        <f aca="false">IFERROR(__xludf.dummyfunction("""COMPUTED_VALUE"""),119.42)</f>
        <v>119.42</v>
      </c>
      <c r="D88" s="5" t="n">
        <f aca="false">IFERROR(__xludf.dummyfunction("""COMPUTED_VALUE"""),116.05)</f>
        <v>116.05</v>
      </c>
      <c r="E88" s="5" t="n">
        <f aca="false">IFERROR(__xludf.dummyfunction("""COMPUTED_VALUE"""),116.83)</f>
        <v>116.83</v>
      </c>
      <c r="F88" s="5" t="n">
        <f aca="false">IFERROR(__xludf.dummyfunction("""COMPUTED_VALUE"""),9614315)</f>
        <v>9614315</v>
      </c>
    </row>
    <row r="89" customFormat="false" ht="15.75" hidden="false" customHeight="false" outlineLevel="0" collapsed="false">
      <c r="A89" s="6" t="n">
        <f aca="false">IFERROR(__xludf.dummyfunction("""COMPUTED_VALUE"""),44326.6666666667)</f>
        <v>44326.6666666667</v>
      </c>
      <c r="B89" s="5" t="n">
        <f aca="false">IFERROR(__xludf.dummyfunction("""COMPUTED_VALUE"""),114.98)</f>
        <v>114.98</v>
      </c>
      <c r="C89" s="5" t="n">
        <f aca="false">IFERROR(__xludf.dummyfunction("""COMPUTED_VALUE"""),115.38)</f>
        <v>115.38</v>
      </c>
      <c r="D89" s="5" t="n">
        <f aca="false">IFERROR(__xludf.dummyfunction("""COMPUTED_VALUE"""),112.23)</f>
        <v>112.23</v>
      </c>
      <c r="E89" s="5" t="n">
        <f aca="false">IFERROR(__xludf.dummyfunction("""COMPUTED_VALUE"""),112.31)</f>
        <v>112.31</v>
      </c>
      <c r="F89" s="5" t="n">
        <f aca="false">IFERROR(__xludf.dummyfunction("""COMPUTED_VALUE"""),12281223)</f>
        <v>12281223</v>
      </c>
    </row>
    <row r="90" customFormat="false" ht="15.75" hidden="false" customHeight="false" outlineLevel="0" collapsed="false">
      <c r="A90" s="6" t="n">
        <f aca="false">IFERROR(__xludf.dummyfunction("""COMPUTED_VALUE"""),44327.6666666667)</f>
        <v>44327.6666666667</v>
      </c>
      <c r="B90" s="5" t="n">
        <f aca="false">IFERROR(__xludf.dummyfunction("""COMPUTED_VALUE"""),109.73)</f>
        <v>109.73</v>
      </c>
      <c r="C90" s="5" t="n">
        <f aca="false">IFERROR(__xludf.dummyfunction("""COMPUTED_VALUE"""),112.99)</f>
        <v>112.99</v>
      </c>
      <c r="D90" s="5" t="n">
        <f aca="false">IFERROR(__xludf.dummyfunction("""COMPUTED_VALUE"""),109.13)</f>
        <v>109.13</v>
      </c>
      <c r="E90" s="5" t="n">
        <f aca="false">IFERROR(__xludf.dummyfunction("""COMPUTED_VALUE"""),112.85)</f>
        <v>112.85</v>
      </c>
      <c r="F90" s="5" t="n">
        <f aca="false">IFERROR(__xludf.dummyfunction("""COMPUTED_VALUE"""),10007715)</f>
        <v>10007715</v>
      </c>
    </row>
    <row r="91" customFormat="false" ht="15.75" hidden="false" customHeight="false" outlineLevel="0" collapsed="false">
      <c r="A91" s="6" t="n">
        <f aca="false">IFERROR(__xludf.dummyfunction("""COMPUTED_VALUE"""),44328.6666666667)</f>
        <v>44328.6666666667</v>
      </c>
      <c r="B91" s="5" t="n">
        <f aca="false">IFERROR(__xludf.dummyfunction("""COMPUTED_VALUE"""),109.35)</f>
        <v>109.35</v>
      </c>
      <c r="C91" s="5" t="n">
        <f aca="false">IFERROR(__xludf.dummyfunction("""COMPUTED_VALUE"""),110.09)</f>
        <v>110.09</v>
      </c>
      <c r="D91" s="5" t="n">
        <f aca="false">IFERROR(__xludf.dummyfunction("""COMPUTED_VALUE"""),108.06)</f>
        <v>108.06</v>
      </c>
      <c r="E91" s="5" t="n">
        <f aca="false">IFERROR(__xludf.dummyfunction("""COMPUTED_VALUE"""),108.21)</f>
        <v>108.21</v>
      </c>
      <c r="F91" s="5" t="n">
        <f aca="false">IFERROR(__xludf.dummyfunction("""COMPUTED_VALUE"""),15058920)</f>
        <v>15058920</v>
      </c>
    </row>
    <row r="92" customFormat="false" ht="15.75" hidden="false" customHeight="false" outlineLevel="0" collapsed="false">
      <c r="A92" s="6" t="n">
        <f aca="false">IFERROR(__xludf.dummyfunction("""COMPUTED_VALUE"""),44329.6666666667)</f>
        <v>44329.6666666667</v>
      </c>
      <c r="B92" s="5" t="n">
        <f aca="false">IFERROR(__xludf.dummyfunction("""COMPUTED_VALUE"""),109.36)</f>
        <v>109.36</v>
      </c>
      <c r="C92" s="5" t="n">
        <f aca="false">IFERROR(__xludf.dummyfunction("""COMPUTED_VALUE"""),111.43)</f>
        <v>111.43</v>
      </c>
      <c r="D92" s="5" t="n">
        <f aca="false">IFERROR(__xludf.dummyfunction("""COMPUTED_VALUE"""),107.9)</f>
        <v>107.9</v>
      </c>
      <c r="E92" s="5" t="n">
        <f aca="false">IFERROR(__xludf.dummyfunction("""COMPUTED_VALUE"""),108.75)</f>
        <v>108.75</v>
      </c>
      <c r="F92" s="5" t="n">
        <f aca="false">IFERROR(__xludf.dummyfunction("""COMPUTED_VALUE"""),10561429)</f>
        <v>10561429</v>
      </c>
    </row>
    <row r="93" customFormat="false" ht="15.75" hidden="false" customHeight="false" outlineLevel="0" collapsed="false">
      <c r="A93" s="6" t="n">
        <f aca="false">IFERROR(__xludf.dummyfunction("""COMPUTED_VALUE"""),44330.6666666667)</f>
        <v>44330.6666666667</v>
      </c>
      <c r="B93" s="5" t="n">
        <f aca="false">IFERROR(__xludf.dummyfunction("""COMPUTED_VALUE"""),110.61)</f>
        <v>110.61</v>
      </c>
      <c r="C93" s="5" t="n">
        <f aca="false">IFERROR(__xludf.dummyfunction("""COMPUTED_VALUE"""),112.83)</f>
        <v>112.83</v>
      </c>
      <c r="D93" s="5" t="n">
        <f aca="false">IFERROR(__xludf.dummyfunction("""COMPUTED_VALUE"""),110.24)</f>
        <v>110.24</v>
      </c>
      <c r="E93" s="5" t="n">
        <f aca="false">IFERROR(__xludf.dummyfunction("""COMPUTED_VALUE"""),112.46)</f>
        <v>112.46</v>
      </c>
      <c r="F93" s="5" t="n">
        <f aca="false">IFERROR(__xludf.dummyfunction("""COMPUTED_VALUE"""),8425191)</f>
        <v>8425191</v>
      </c>
    </row>
    <row r="94" customFormat="false" ht="15.75" hidden="false" customHeight="false" outlineLevel="0" collapsed="false">
      <c r="A94" s="6" t="n">
        <f aca="false">IFERROR(__xludf.dummyfunction("""COMPUTED_VALUE"""),44333.6666666667)</f>
        <v>44333.6666666667</v>
      </c>
      <c r="B94" s="5" t="n">
        <f aca="false">IFERROR(__xludf.dummyfunction("""COMPUTED_VALUE"""),109.07)</f>
        <v>109.07</v>
      </c>
      <c r="C94" s="5" t="n">
        <f aca="false">IFERROR(__xludf.dummyfunction("""COMPUTED_VALUE"""),110.03)</f>
        <v>110.03</v>
      </c>
      <c r="D94" s="5" t="n">
        <f aca="false">IFERROR(__xludf.dummyfunction("""COMPUTED_VALUE"""),107.87)</f>
        <v>107.87</v>
      </c>
      <c r="E94" s="5" t="n">
        <f aca="false">IFERROR(__xludf.dummyfunction("""COMPUTED_VALUE"""),109.8)</f>
        <v>109.8</v>
      </c>
      <c r="F94" s="5" t="n">
        <f aca="false">IFERROR(__xludf.dummyfunction("""COMPUTED_VALUE"""),10688635)</f>
        <v>10688635</v>
      </c>
    </row>
    <row r="95" customFormat="false" ht="15.75" hidden="false" customHeight="false" outlineLevel="0" collapsed="false">
      <c r="A95" s="6" t="n">
        <f aca="false">IFERROR(__xludf.dummyfunction("""COMPUTED_VALUE"""),44334.6666666667)</f>
        <v>44334.6666666667</v>
      </c>
      <c r="B95" s="5" t="n">
        <f aca="false">IFERROR(__xludf.dummyfunction("""COMPUTED_VALUE"""),113)</f>
        <v>113</v>
      </c>
      <c r="C95" s="5" t="n">
        <f aca="false">IFERROR(__xludf.dummyfunction("""COMPUTED_VALUE"""),113.48)</f>
        <v>113.48</v>
      </c>
      <c r="D95" s="5" t="n">
        <f aca="false">IFERROR(__xludf.dummyfunction("""COMPUTED_VALUE"""),110.74)</f>
        <v>110.74</v>
      </c>
      <c r="E95" s="5" t="n">
        <f aca="false">IFERROR(__xludf.dummyfunction("""COMPUTED_VALUE"""),110.84)</f>
        <v>110.84</v>
      </c>
      <c r="F95" s="5" t="n">
        <f aca="false">IFERROR(__xludf.dummyfunction("""COMPUTED_VALUE"""),7476605)</f>
        <v>7476605</v>
      </c>
    </row>
    <row r="96" customFormat="false" ht="15.75" hidden="false" customHeight="false" outlineLevel="0" collapsed="false">
      <c r="A96" s="6" t="n">
        <f aca="false">IFERROR(__xludf.dummyfunction("""COMPUTED_VALUE"""),44335.6666666667)</f>
        <v>44335.6666666667</v>
      </c>
      <c r="B96" s="5" t="n">
        <f aca="false">IFERROR(__xludf.dummyfunction("""COMPUTED_VALUE"""),108.5)</f>
        <v>108.5</v>
      </c>
      <c r="C96" s="5" t="n">
        <f aca="false">IFERROR(__xludf.dummyfunction("""COMPUTED_VALUE"""),112.49)</f>
        <v>112.49</v>
      </c>
      <c r="D96" s="5" t="n">
        <f aca="false">IFERROR(__xludf.dummyfunction("""COMPUTED_VALUE"""),108)</f>
        <v>108</v>
      </c>
      <c r="E96" s="5" t="n">
        <f aca="false">IFERROR(__xludf.dummyfunction("""COMPUTED_VALUE"""),112.4)</f>
        <v>112.4</v>
      </c>
      <c r="F96" s="5" t="n">
        <f aca="false">IFERROR(__xludf.dummyfunction("""COMPUTED_VALUE"""),7280450)</f>
        <v>7280450</v>
      </c>
    </row>
    <row r="97" customFormat="false" ht="15.75" hidden="false" customHeight="false" outlineLevel="0" collapsed="false">
      <c r="A97" s="6" t="n">
        <f aca="false">IFERROR(__xludf.dummyfunction("""COMPUTED_VALUE"""),44336.6666666667)</f>
        <v>44336.6666666667</v>
      </c>
      <c r="B97" s="5" t="n">
        <f aca="false">IFERROR(__xludf.dummyfunction("""COMPUTED_VALUE"""),112.39)</f>
        <v>112.39</v>
      </c>
      <c r="C97" s="5" t="n">
        <f aca="false">IFERROR(__xludf.dummyfunction("""COMPUTED_VALUE"""),113.72)</f>
        <v>113.72</v>
      </c>
      <c r="D97" s="5" t="n">
        <f aca="false">IFERROR(__xludf.dummyfunction("""COMPUTED_VALUE"""),112.1)</f>
        <v>112.1</v>
      </c>
      <c r="E97" s="5" t="n">
        <f aca="false">IFERROR(__xludf.dummyfunction("""COMPUTED_VALUE"""),113.28)</f>
        <v>113.28</v>
      </c>
      <c r="F97" s="5" t="n">
        <f aca="false">IFERROR(__xludf.dummyfunction("""COMPUTED_VALUE"""),6442494)</f>
        <v>6442494</v>
      </c>
    </row>
    <row r="98" customFormat="false" ht="15.75" hidden="false" customHeight="false" outlineLevel="0" collapsed="false">
      <c r="A98" s="6" t="n">
        <f aca="false">IFERROR(__xludf.dummyfunction("""COMPUTED_VALUE"""),44337.6666666667)</f>
        <v>44337.6666666667</v>
      </c>
      <c r="B98" s="5" t="n">
        <f aca="false">IFERROR(__xludf.dummyfunction("""COMPUTED_VALUE"""),114)</f>
        <v>114</v>
      </c>
      <c r="C98" s="5" t="n">
        <f aca="false">IFERROR(__xludf.dummyfunction("""COMPUTED_VALUE"""),114)</f>
        <v>114</v>
      </c>
      <c r="D98" s="5" t="n">
        <f aca="false">IFERROR(__xludf.dummyfunction("""COMPUTED_VALUE"""),111.69)</f>
        <v>111.69</v>
      </c>
      <c r="E98" s="5" t="n">
        <f aca="false">IFERROR(__xludf.dummyfunction("""COMPUTED_VALUE"""),111.85)</f>
        <v>111.85</v>
      </c>
      <c r="F98" s="5" t="n">
        <f aca="false">IFERROR(__xludf.dummyfunction("""COMPUTED_VALUE"""),5979369)</f>
        <v>5979369</v>
      </c>
    </row>
    <row r="99" customFormat="false" ht="15.75" hidden="false" customHeight="false" outlineLevel="0" collapsed="false">
      <c r="A99" s="6" t="n">
        <f aca="false">IFERROR(__xludf.dummyfunction("""COMPUTED_VALUE"""),44340.6666666667)</f>
        <v>44340.6666666667</v>
      </c>
      <c r="B99" s="5" t="n">
        <f aca="false">IFERROR(__xludf.dummyfunction("""COMPUTED_VALUE"""),112.26)</f>
        <v>112.26</v>
      </c>
      <c r="C99" s="5" t="n">
        <f aca="false">IFERROR(__xludf.dummyfunction("""COMPUTED_VALUE"""),114.54)</f>
        <v>114.54</v>
      </c>
      <c r="D99" s="5" t="n">
        <f aca="false">IFERROR(__xludf.dummyfunction("""COMPUTED_VALUE"""),112.12)</f>
        <v>112.12</v>
      </c>
      <c r="E99" s="5" t="n">
        <f aca="false">IFERROR(__xludf.dummyfunction("""COMPUTED_VALUE"""),113.63)</f>
        <v>113.63</v>
      </c>
      <c r="F99" s="5" t="n">
        <f aca="false">IFERROR(__xludf.dummyfunction("""COMPUTED_VALUE"""),6650678)</f>
        <v>6650678</v>
      </c>
    </row>
    <row r="100" customFormat="false" ht="15.75" hidden="false" customHeight="false" outlineLevel="0" collapsed="false">
      <c r="A100" s="6" t="n">
        <f aca="false">IFERROR(__xludf.dummyfunction("""COMPUTED_VALUE"""),44341.6666666667)</f>
        <v>44341.6666666667</v>
      </c>
      <c r="B100" s="5" t="n">
        <f aca="false">IFERROR(__xludf.dummyfunction("""COMPUTED_VALUE"""),114.85)</f>
        <v>114.85</v>
      </c>
      <c r="C100" s="5" t="n">
        <f aca="false">IFERROR(__xludf.dummyfunction("""COMPUTED_VALUE"""),114.94)</f>
        <v>114.94</v>
      </c>
      <c r="D100" s="5" t="n">
        <f aca="false">IFERROR(__xludf.dummyfunction("""COMPUTED_VALUE"""),113.6)</f>
        <v>113.6</v>
      </c>
      <c r="E100" s="5" t="n">
        <f aca="false">IFERROR(__xludf.dummyfunction("""COMPUTED_VALUE"""),114.28)</f>
        <v>114.28</v>
      </c>
      <c r="F100" s="5" t="n">
        <f aca="false">IFERROR(__xludf.dummyfunction("""COMPUTED_VALUE"""),5331665)</f>
        <v>5331665</v>
      </c>
    </row>
    <row r="101" customFormat="false" ht="15.75" hidden="false" customHeight="false" outlineLevel="0" collapsed="false">
      <c r="A101" s="6" t="n">
        <f aca="false">IFERROR(__xludf.dummyfunction("""COMPUTED_VALUE"""),44342.6666666667)</f>
        <v>44342.6666666667</v>
      </c>
      <c r="B101" s="5" t="n">
        <f aca="false">IFERROR(__xludf.dummyfunction("""COMPUTED_VALUE"""),114)</f>
        <v>114</v>
      </c>
      <c r="C101" s="5" t="n">
        <f aca="false">IFERROR(__xludf.dummyfunction("""COMPUTED_VALUE"""),116)</f>
        <v>116</v>
      </c>
      <c r="D101" s="5" t="n">
        <f aca="false">IFERROR(__xludf.dummyfunction("""COMPUTED_VALUE"""),114)</f>
        <v>114</v>
      </c>
      <c r="E101" s="5" t="n">
        <f aca="false">IFERROR(__xludf.dummyfunction("""COMPUTED_VALUE"""),116)</f>
        <v>116</v>
      </c>
      <c r="F101" s="5" t="n">
        <f aca="false">IFERROR(__xludf.dummyfunction("""COMPUTED_VALUE"""),6605133)</f>
        <v>6605133</v>
      </c>
    </row>
    <row r="102" customFormat="false" ht="15.75" hidden="false" customHeight="false" outlineLevel="0" collapsed="false">
      <c r="A102" s="6" t="n">
        <f aca="false">IFERROR(__xludf.dummyfunction("""COMPUTED_VALUE"""),44343.6666666667)</f>
        <v>44343.6666666667</v>
      </c>
      <c r="B102" s="5" t="n">
        <f aca="false">IFERROR(__xludf.dummyfunction("""COMPUTED_VALUE"""),116)</f>
        <v>116</v>
      </c>
      <c r="C102" s="5" t="n">
        <f aca="false">IFERROR(__xludf.dummyfunction("""COMPUTED_VALUE"""),116.53)</f>
        <v>116.53</v>
      </c>
      <c r="D102" s="5" t="n">
        <f aca="false">IFERROR(__xludf.dummyfunction("""COMPUTED_VALUE"""),115)</f>
        <v>115</v>
      </c>
      <c r="E102" s="5" t="n">
        <f aca="false">IFERROR(__xludf.dummyfunction("""COMPUTED_VALUE"""),115.77)</f>
        <v>115.77</v>
      </c>
      <c r="F102" s="5" t="n">
        <f aca="false">IFERROR(__xludf.dummyfunction("""COMPUTED_VALUE"""),6513706)</f>
        <v>6513706</v>
      </c>
    </row>
    <row r="103" customFormat="false" ht="15.75" hidden="false" customHeight="false" outlineLevel="0" collapsed="false">
      <c r="A103" s="6" t="n">
        <f aca="false">IFERROR(__xludf.dummyfunction("""COMPUTED_VALUE"""),44344.6666666667)</f>
        <v>44344.6666666667</v>
      </c>
      <c r="B103" s="5" t="n">
        <f aca="false">IFERROR(__xludf.dummyfunction("""COMPUTED_VALUE"""),116.3)</f>
        <v>116.3</v>
      </c>
      <c r="C103" s="5" t="n">
        <f aca="false">IFERROR(__xludf.dummyfunction("""COMPUTED_VALUE"""),117.84)</f>
        <v>117.84</v>
      </c>
      <c r="D103" s="5" t="n">
        <f aca="false">IFERROR(__xludf.dummyfunction("""COMPUTED_VALUE"""),115.95)</f>
        <v>115.95</v>
      </c>
      <c r="E103" s="5" t="n">
        <f aca="false">IFERROR(__xludf.dummyfunction("""COMPUTED_VALUE"""),117.36)</f>
        <v>117.36</v>
      </c>
      <c r="F103" s="5" t="n">
        <f aca="false">IFERROR(__xludf.dummyfunction("""COMPUTED_VALUE"""),5391713)</f>
        <v>5391713</v>
      </c>
    </row>
    <row r="104" customFormat="false" ht="15.75" hidden="false" customHeight="false" outlineLevel="0" collapsed="false">
      <c r="A104" s="6" t="n">
        <f aca="false">IFERROR(__xludf.dummyfunction("""COMPUTED_VALUE"""),44348.6666666667)</f>
        <v>44348.6666666667</v>
      </c>
      <c r="B104" s="5" t="n">
        <f aca="false">IFERROR(__xludf.dummyfunction("""COMPUTED_VALUE"""),119.71)</f>
        <v>119.71</v>
      </c>
      <c r="C104" s="5" t="n">
        <f aca="false">IFERROR(__xludf.dummyfunction("""COMPUTED_VALUE"""),120.04)</f>
        <v>120.04</v>
      </c>
      <c r="D104" s="5" t="n">
        <f aca="false">IFERROR(__xludf.dummyfunction("""COMPUTED_VALUE"""),117.43)</f>
        <v>117.43</v>
      </c>
      <c r="E104" s="5" t="n">
        <f aca="false">IFERROR(__xludf.dummyfunction("""COMPUTED_VALUE"""),118.51)</f>
        <v>118.51</v>
      </c>
      <c r="F104" s="5" t="n">
        <f aca="false">IFERROR(__xludf.dummyfunction("""COMPUTED_VALUE"""),7596056)</f>
        <v>7596056</v>
      </c>
    </row>
    <row r="105" customFormat="false" ht="15.75" hidden="false" customHeight="false" outlineLevel="0" collapsed="false">
      <c r="A105" s="6" t="n">
        <f aca="false">IFERROR(__xludf.dummyfunction("""COMPUTED_VALUE"""),44349.6666666667)</f>
        <v>44349.6666666667</v>
      </c>
      <c r="B105" s="5" t="n">
        <f aca="false">IFERROR(__xludf.dummyfunction("""COMPUTED_VALUE"""),118.9)</f>
        <v>118.9</v>
      </c>
      <c r="C105" s="5" t="n">
        <f aca="false">IFERROR(__xludf.dummyfunction("""COMPUTED_VALUE"""),119.45)</f>
        <v>119.45</v>
      </c>
      <c r="D105" s="5" t="n">
        <f aca="false">IFERROR(__xludf.dummyfunction("""COMPUTED_VALUE"""),117.92)</f>
        <v>117.92</v>
      </c>
      <c r="E105" s="5" t="n">
        <f aca="false">IFERROR(__xludf.dummyfunction("""COMPUTED_VALUE"""),118.95)</f>
        <v>118.95</v>
      </c>
      <c r="F105" s="5" t="n">
        <f aca="false">IFERROR(__xludf.dummyfunction("""COMPUTED_VALUE"""),5383361)</f>
        <v>5383361</v>
      </c>
    </row>
    <row r="106" customFormat="false" ht="15.75" hidden="false" customHeight="false" outlineLevel="0" collapsed="false">
      <c r="A106" s="6" t="n">
        <f aca="false">IFERROR(__xludf.dummyfunction("""COMPUTED_VALUE"""),44350.6666666667)</f>
        <v>44350.6666666667</v>
      </c>
      <c r="B106" s="5" t="n">
        <f aca="false">IFERROR(__xludf.dummyfunction("""COMPUTED_VALUE"""),118.05)</f>
        <v>118.05</v>
      </c>
      <c r="C106" s="5" t="n">
        <f aca="false">IFERROR(__xludf.dummyfunction("""COMPUTED_VALUE"""),118.26)</f>
        <v>118.26</v>
      </c>
      <c r="D106" s="5" t="n">
        <f aca="false">IFERROR(__xludf.dummyfunction("""COMPUTED_VALUE"""),116.46)</f>
        <v>116.46</v>
      </c>
      <c r="E106" s="5" t="n">
        <f aca="false">IFERROR(__xludf.dummyfunction("""COMPUTED_VALUE"""),116.82)</f>
        <v>116.82</v>
      </c>
      <c r="F106" s="5" t="n">
        <f aca="false">IFERROR(__xludf.dummyfunction("""COMPUTED_VALUE"""),4912170)</f>
        <v>4912170</v>
      </c>
    </row>
    <row r="107" customFormat="false" ht="15.75" hidden="false" customHeight="false" outlineLevel="0" collapsed="false">
      <c r="A107" s="6" t="n">
        <f aca="false">IFERROR(__xludf.dummyfunction("""COMPUTED_VALUE"""),44351.6666666667)</f>
        <v>44351.6666666667</v>
      </c>
      <c r="B107" s="5" t="n">
        <f aca="false">IFERROR(__xludf.dummyfunction("""COMPUTED_VALUE"""),118.23)</f>
        <v>118.23</v>
      </c>
      <c r="C107" s="5" t="n">
        <f aca="false">IFERROR(__xludf.dummyfunction("""COMPUTED_VALUE"""),119.85)</f>
        <v>119.85</v>
      </c>
      <c r="D107" s="5" t="n">
        <f aca="false">IFERROR(__xludf.dummyfunction("""COMPUTED_VALUE"""),118.05)</f>
        <v>118.05</v>
      </c>
      <c r="E107" s="5" t="n">
        <f aca="false">IFERROR(__xludf.dummyfunction("""COMPUTED_VALUE"""),119.51)</f>
        <v>119.51</v>
      </c>
      <c r="F107" s="5" t="n">
        <f aca="false">IFERROR(__xludf.dummyfunction("""COMPUTED_VALUE"""),5352051)</f>
        <v>5352051</v>
      </c>
    </row>
    <row r="108" customFormat="false" ht="15.75" hidden="false" customHeight="false" outlineLevel="0" collapsed="false">
      <c r="A108" s="6" t="n">
        <f aca="false">IFERROR(__xludf.dummyfunction("""COMPUTED_VALUE"""),44354.6666666667)</f>
        <v>44354.6666666667</v>
      </c>
      <c r="B108" s="5" t="n">
        <f aca="false">IFERROR(__xludf.dummyfunction("""COMPUTED_VALUE"""),118.14)</f>
        <v>118.14</v>
      </c>
      <c r="C108" s="5" t="n">
        <f aca="false">IFERROR(__xludf.dummyfunction("""COMPUTED_VALUE"""),118.75)</f>
        <v>118.75</v>
      </c>
      <c r="D108" s="5" t="n">
        <f aca="false">IFERROR(__xludf.dummyfunction("""COMPUTED_VALUE"""),117.57)</f>
        <v>117.57</v>
      </c>
      <c r="E108" s="5" t="n">
        <f aca="false">IFERROR(__xludf.dummyfunction("""COMPUTED_VALUE"""),118.22)</f>
        <v>118.22</v>
      </c>
      <c r="F108" s="5" t="n">
        <f aca="false">IFERROR(__xludf.dummyfunction("""COMPUTED_VALUE"""),6266010)</f>
        <v>6266010</v>
      </c>
    </row>
    <row r="109" customFormat="false" ht="15.75" hidden="false" customHeight="false" outlineLevel="0" collapsed="false">
      <c r="A109" s="6" t="n">
        <f aca="false">IFERROR(__xludf.dummyfunction("""COMPUTED_VALUE"""),44355.6666666667)</f>
        <v>44355.6666666667</v>
      </c>
      <c r="B109" s="5" t="n">
        <f aca="false">IFERROR(__xludf.dummyfunction("""COMPUTED_VALUE"""),117.55)</f>
        <v>117.55</v>
      </c>
      <c r="C109" s="5" t="n">
        <f aca="false">IFERROR(__xludf.dummyfunction("""COMPUTED_VALUE"""),117.68)</f>
        <v>117.68</v>
      </c>
      <c r="D109" s="5" t="n">
        <f aca="false">IFERROR(__xludf.dummyfunction("""COMPUTED_VALUE"""),115.06)</f>
        <v>115.06</v>
      </c>
      <c r="E109" s="5" t="n">
        <f aca="false">IFERROR(__xludf.dummyfunction("""COMPUTED_VALUE"""),115.92)</f>
        <v>115.92</v>
      </c>
      <c r="F109" s="5" t="n">
        <f aca="false">IFERROR(__xludf.dummyfunction("""COMPUTED_VALUE"""),11564751)</f>
        <v>11564751</v>
      </c>
    </row>
    <row r="110" customFormat="false" ht="15.75" hidden="false" customHeight="false" outlineLevel="0" collapsed="false">
      <c r="A110" s="6" t="n">
        <f aca="false">IFERROR(__xludf.dummyfunction("""COMPUTED_VALUE"""),44356.6666666667)</f>
        <v>44356.6666666667</v>
      </c>
      <c r="B110" s="5" t="n">
        <f aca="false">IFERROR(__xludf.dummyfunction("""COMPUTED_VALUE"""),116)</f>
        <v>116</v>
      </c>
      <c r="C110" s="5" t="n">
        <f aca="false">IFERROR(__xludf.dummyfunction("""COMPUTED_VALUE"""),117.65)</f>
        <v>117.65</v>
      </c>
      <c r="D110" s="5" t="n">
        <f aca="false">IFERROR(__xludf.dummyfunction("""COMPUTED_VALUE"""),115.97)</f>
        <v>115.97</v>
      </c>
      <c r="E110" s="5" t="n">
        <f aca="false">IFERROR(__xludf.dummyfunction("""COMPUTED_VALUE"""),117.13)</f>
        <v>117.13</v>
      </c>
      <c r="F110" s="5" t="n">
        <f aca="false">IFERROR(__xludf.dummyfunction("""COMPUTED_VALUE"""),6401585)</f>
        <v>6401585</v>
      </c>
    </row>
    <row r="111" customFormat="false" ht="15.75" hidden="false" customHeight="false" outlineLevel="0" collapsed="false">
      <c r="A111" s="6" t="n">
        <f aca="false">IFERROR(__xludf.dummyfunction("""COMPUTED_VALUE"""),44357.6666666667)</f>
        <v>44357.6666666667</v>
      </c>
      <c r="B111" s="5" t="n">
        <f aca="false">IFERROR(__xludf.dummyfunction("""COMPUTED_VALUE"""),117.04)</f>
        <v>117.04</v>
      </c>
      <c r="C111" s="5" t="n">
        <f aca="false">IFERROR(__xludf.dummyfunction("""COMPUTED_VALUE"""),118.85)</f>
        <v>118.85</v>
      </c>
      <c r="D111" s="5" t="n">
        <f aca="false">IFERROR(__xludf.dummyfunction("""COMPUTED_VALUE"""),116.63)</f>
        <v>116.63</v>
      </c>
      <c r="E111" s="5" t="n">
        <f aca="false">IFERROR(__xludf.dummyfunction("""COMPUTED_VALUE"""),118.24)</f>
        <v>118.24</v>
      </c>
      <c r="F111" s="5" t="n">
        <f aca="false">IFERROR(__xludf.dummyfunction("""COMPUTED_VALUE"""),8566639)</f>
        <v>8566639</v>
      </c>
    </row>
    <row r="112" customFormat="false" ht="15.75" hidden="false" customHeight="false" outlineLevel="0" collapsed="false">
      <c r="A112" s="6" t="n">
        <f aca="false">IFERROR(__xludf.dummyfunction("""COMPUTED_VALUE"""),44358.6666666667)</f>
        <v>44358.6666666667</v>
      </c>
      <c r="B112" s="5" t="n">
        <f aca="false">IFERROR(__xludf.dummyfunction("""COMPUTED_VALUE"""),118.29)</f>
        <v>118.29</v>
      </c>
      <c r="C112" s="5" t="n">
        <f aca="false">IFERROR(__xludf.dummyfunction("""COMPUTED_VALUE"""),118.42)</f>
        <v>118.42</v>
      </c>
      <c r="D112" s="5" t="n">
        <f aca="false">IFERROR(__xludf.dummyfunction("""COMPUTED_VALUE"""),117.16)</f>
        <v>117.16</v>
      </c>
      <c r="E112" s="5" t="n">
        <f aca="false">IFERROR(__xludf.dummyfunction("""COMPUTED_VALUE"""),118.25)</f>
        <v>118.25</v>
      </c>
      <c r="F112" s="5" t="n">
        <f aca="false">IFERROR(__xludf.dummyfunction("""COMPUTED_VALUE"""),6036625)</f>
        <v>6036625</v>
      </c>
    </row>
    <row r="113" customFormat="false" ht="15.75" hidden="false" customHeight="false" outlineLevel="0" collapsed="false">
      <c r="A113" s="6" t="n">
        <f aca="false">IFERROR(__xludf.dummyfunction("""COMPUTED_VALUE"""),44361.6666666667)</f>
        <v>44361.6666666667</v>
      </c>
      <c r="B113" s="5" t="n">
        <f aca="false">IFERROR(__xludf.dummyfunction("""COMPUTED_VALUE"""),118.55)</f>
        <v>118.55</v>
      </c>
      <c r="C113" s="5" t="n">
        <f aca="false">IFERROR(__xludf.dummyfunction("""COMPUTED_VALUE"""),121)</f>
        <v>121</v>
      </c>
      <c r="D113" s="5" t="n">
        <f aca="false">IFERROR(__xludf.dummyfunction("""COMPUTED_VALUE"""),118.46)</f>
        <v>118.46</v>
      </c>
      <c r="E113" s="5" t="n">
        <f aca="false">IFERROR(__xludf.dummyfunction("""COMPUTED_VALUE"""),120.99)</f>
        <v>120.99</v>
      </c>
      <c r="F113" s="5" t="n">
        <f aca="false">IFERROR(__xludf.dummyfunction("""COMPUTED_VALUE"""),7610338)</f>
        <v>7610338</v>
      </c>
    </row>
    <row r="114" customFormat="false" ht="15.75" hidden="false" customHeight="false" outlineLevel="0" collapsed="false">
      <c r="A114" s="6" t="n">
        <f aca="false">IFERROR(__xludf.dummyfunction("""COMPUTED_VALUE"""),44362.6666666667)</f>
        <v>44362.6666666667</v>
      </c>
      <c r="B114" s="5" t="n">
        <f aca="false">IFERROR(__xludf.dummyfunction("""COMPUTED_VALUE"""),120.35)</f>
        <v>120.35</v>
      </c>
      <c r="C114" s="5" t="n">
        <f aca="false">IFERROR(__xludf.dummyfunction("""COMPUTED_VALUE"""),122)</f>
        <v>122</v>
      </c>
      <c r="D114" s="5" t="n">
        <f aca="false">IFERROR(__xludf.dummyfunction("""COMPUTED_VALUE"""),119.27)</f>
        <v>119.27</v>
      </c>
      <c r="E114" s="5" t="n">
        <f aca="false">IFERROR(__xludf.dummyfunction("""COMPUTED_VALUE"""),119.45)</f>
        <v>119.45</v>
      </c>
      <c r="F114" s="5" t="n">
        <f aca="false">IFERROR(__xludf.dummyfunction("""COMPUTED_VALUE"""),8196928)</f>
        <v>8196928</v>
      </c>
    </row>
    <row r="115" customFormat="false" ht="15.75" hidden="false" customHeight="false" outlineLevel="0" collapsed="false">
      <c r="A115" s="6" t="n">
        <f aca="false">IFERROR(__xludf.dummyfunction("""COMPUTED_VALUE"""),44363.6666666667)</f>
        <v>44363.6666666667</v>
      </c>
      <c r="B115" s="5" t="n">
        <f aca="false">IFERROR(__xludf.dummyfunction("""COMPUTED_VALUE"""),119.55)</f>
        <v>119.55</v>
      </c>
      <c r="C115" s="5" t="n">
        <f aca="false">IFERROR(__xludf.dummyfunction("""COMPUTED_VALUE"""),119.9)</f>
        <v>119.9</v>
      </c>
      <c r="D115" s="5" t="n">
        <f aca="false">IFERROR(__xludf.dummyfunction("""COMPUTED_VALUE"""),117.5)</f>
        <v>117.5</v>
      </c>
      <c r="E115" s="5" t="n">
        <f aca="false">IFERROR(__xludf.dummyfunction("""COMPUTED_VALUE"""),118.02)</f>
        <v>118.02</v>
      </c>
      <c r="F115" s="5" t="n">
        <f aca="false">IFERROR(__xludf.dummyfunction("""COMPUTED_VALUE"""),8059377)</f>
        <v>8059377</v>
      </c>
    </row>
    <row r="116" customFormat="false" ht="15.75" hidden="false" customHeight="false" outlineLevel="0" collapsed="false">
      <c r="A116" s="6" t="n">
        <f aca="false">IFERROR(__xludf.dummyfunction("""COMPUTED_VALUE"""),44364.6666666667)</f>
        <v>44364.6666666667</v>
      </c>
      <c r="B116" s="5" t="n">
        <f aca="false">IFERROR(__xludf.dummyfunction("""COMPUTED_VALUE"""),117.68)</f>
        <v>117.68</v>
      </c>
      <c r="C116" s="5" t="n">
        <f aca="false">IFERROR(__xludf.dummyfunction("""COMPUTED_VALUE"""),120.24)</f>
        <v>120.24</v>
      </c>
      <c r="D116" s="5" t="n">
        <f aca="false">IFERROR(__xludf.dummyfunction("""COMPUTED_VALUE"""),117.59)</f>
        <v>117.59</v>
      </c>
      <c r="E116" s="5" t="n">
        <f aca="false">IFERROR(__xludf.dummyfunction("""COMPUTED_VALUE"""),119.12)</f>
        <v>119.12</v>
      </c>
      <c r="F116" s="5" t="n">
        <f aca="false">IFERROR(__xludf.dummyfunction("""COMPUTED_VALUE"""),7608083)</f>
        <v>7608083</v>
      </c>
    </row>
    <row r="117" customFormat="false" ht="15.75" hidden="false" customHeight="false" outlineLevel="0" collapsed="false">
      <c r="A117" s="6" t="n">
        <f aca="false">IFERROR(__xludf.dummyfunction("""COMPUTED_VALUE"""),44365.6666666667)</f>
        <v>44365.6666666667</v>
      </c>
      <c r="B117" s="5" t="n">
        <f aca="false">IFERROR(__xludf.dummyfunction("""COMPUTED_VALUE"""),117.51)</f>
        <v>117.51</v>
      </c>
      <c r="C117" s="5" t="n">
        <f aca="false">IFERROR(__xludf.dummyfunction("""COMPUTED_VALUE"""),117.89)</f>
        <v>117.89</v>
      </c>
      <c r="D117" s="5" t="n">
        <f aca="false">IFERROR(__xludf.dummyfunction("""COMPUTED_VALUE"""),115.21)</f>
        <v>115.21</v>
      </c>
      <c r="E117" s="5" t="n">
        <f aca="false">IFERROR(__xludf.dummyfunction("""COMPUTED_VALUE"""),115.79)</f>
        <v>115.79</v>
      </c>
      <c r="F117" s="5" t="n">
        <f aca="false">IFERROR(__xludf.dummyfunction("""COMPUTED_VALUE"""),12532777)</f>
        <v>12532777</v>
      </c>
    </row>
    <row r="118" customFormat="false" ht="15.75" hidden="false" customHeight="false" outlineLevel="0" collapsed="false">
      <c r="A118" s="6" t="n">
        <f aca="false">IFERROR(__xludf.dummyfunction("""COMPUTED_VALUE"""),44368.6666666667)</f>
        <v>44368.6666666667</v>
      </c>
      <c r="B118" s="5" t="n">
        <f aca="false">IFERROR(__xludf.dummyfunction("""COMPUTED_VALUE"""),115.38)</f>
        <v>115.38</v>
      </c>
      <c r="C118" s="5" t="n">
        <f aca="false">IFERROR(__xludf.dummyfunction("""COMPUTED_VALUE"""),115.4)</f>
        <v>115.4</v>
      </c>
      <c r="D118" s="5" t="n">
        <f aca="false">IFERROR(__xludf.dummyfunction("""COMPUTED_VALUE"""),113.02)</f>
        <v>113.02</v>
      </c>
      <c r="E118" s="5" t="n">
        <f aca="false">IFERROR(__xludf.dummyfunction("""COMPUTED_VALUE"""),114.14)</f>
        <v>114.14</v>
      </c>
      <c r="F118" s="5" t="n">
        <f aca="false">IFERROR(__xludf.dummyfunction("""COMPUTED_VALUE"""),11116212)</f>
        <v>11116212</v>
      </c>
    </row>
    <row r="119" customFormat="false" ht="15.75" hidden="false" customHeight="false" outlineLevel="0" collapsed="false">
      <c r="A119" s="6" t="n">
        <f aca="false">IFERROR(__xludf.dummyfunction("""COMPUTED_VALUE"""),44369.6666666667)</f>
        <v>44369.6666666667</v>
      </c>
      <c r="B119" s="5" t="n">
        <f aca="false">IFERROR(__xludf.dummyfunction("""COMPUTED_VALUE"""),113.5)</f>
        <v>113.5</v>
      </c>
      <c r="C119" s="5" t="n">
        <f aca="false">IFERROR(__xludf.dummyfunction("""COMPUTED_VALUE"""),114.49)</f>
        <v>114.49</v>
      </c>
      <c r="D119" s="5" t="n">
        <f aca="false">IFERROR(__xludf.dummyfunction("""COMPUTED_VALUE"""),112.01)</f>
        <v>112.01</v>
      </c>
      <c r="E119" s="5" t="n">
        <f aca="false">IFERROR(__xludf.dummyfunction("""COMPUTED_VALUE"""),114.33)</f>
        <v>114.33</v>
      </c>
      <c r="F119" s="5" t="n">
        <f aca="false">IFERROR(__xludf.dummyfunction("""COMPUTED_VALUE"""),11792379)</f>
        <v>11792379</v>
      </c>
    </row>
    <row r="120" customFormat="false" ht="15.75" hidden="false" customHeight="false" outlineLevel="0" collapsed="false">
      <c r="A120" s="6" t="n">
        <f aca="false">IFERROR(__xludf.dummyfunction("""COMPUTED_VALUE"""),44370.6666666667)</f>
        <v>44370.6666666667</v>
      </c>
      <c r="B120" s="5" t="n">
        <f aca="false">IFERROR(__xludf.dummyfunction("""COMPUTED_VALUE"""),116.2)</f>
        <v>116.2</v>
      </c>
      <c r="C120" s="5" t="n">
        <f aca="false">IFERROR(__xludf.dummyfunction("""COMPUTED_VALUE"""),117.42)</f>
        <v>117.42</v>
      </c>
      <c r="D120" s="5" t="n">
        <f aca="false">IFERROR(__xludf.dummyfunction("""COMPUTED_VALUE"""),115.81)</f>
        <v>115.81</v>
      </c>
      <c r="E120" s="5" t="n">
        <f aca="false">IFERROR(__xludf.dummyfunction("""COMPUTED_VALUE"""),116.05)</f>
        <v>116.05</v>
      </c>
      <c r="F120" s="5" t="n">
        <f aca="false">IFERROR(__xludf.dummyfunction("""COMPUTED_VALUE"""),8913726)</f>
        <v>8913726</v>
      </c>
    </row>
    <row r="121" customFormat="false" ht="15.75" hidden="false" customHeight="false" outlineLevel="0" collapsed="false">
      <c r="A121" s="6" t="n">
        <f aca="false">IFERROR(__xludf.dummyfunction("""COMPUTED_VALUE"""),44371.6666666667)</f>
        <v>44371.6666666667</v>
      </c>
      <c r="B121" s="5" t="n">
        <f aca="false">IFERROR(__xludf.dummyfunction("""COMPUTED_VALUE"""),116.72)</f>
        <v>116.72</v>
      </c>
      <c r="C121" s="5" t="n">
        <f aca="false">IFERROR(__xludf.dummyfunction("""COMPUTED_VALUE"""),117.67)</f>
        <v>117.67</v>
      </c>
      <c r="D121" s="5" t="n">
        <f aca="false">IFERROR(__xludf.dummyfunction("""COMPUTED_VALUE"""),116.27)</f>
        <v>116.27</v>
      </c>
      <c r="E121" s="5" t="n">
        <f aca="false">IFERROR(__xludf.dummyfunction("""COMPUTED_VALUE"""),117.24)</f>
        <v>117.24</v>
      </c>
      <c r="F121" s="5" t="n">
        <f aca="false">IFERROR(__xludf.dummyfunction("""COMPUTED_VALUE"""),6772228)</f>
        <v>6772228</v>
      </c>
    </row>
    <row r="122" customFormat="false" ht="15.75" hidden="false" customHeight="false" outlineLevel="0" collapsed="false">
      <c r="A122" s="6" t="n">
        <f aca="false">IFERROR(__xludf.dummyfunction("""COMPUTED_VALUE"""),44372.6666666667)</f>
        <v>44372.6666666667</v>
      </c>
      <c r="B122" s="5" t="n">
        <f aca="false">IFERROR(__xludf.dummyfunction("""COMPUTED_VALUE"""),117.45)</f>
        <v>117.45</v>
      </c>
      <c r="C122" s="5" t="n">
        <f aca="false">IFERROR(__xludf.dummyfunction("""COMPUTED_VALUE"""),117.93)</f>
        <v>117.93</v>
      </c>
      <c r="D122" s="5" t="n">
        <f aca="false">IFERROR(__xludf.dummyfunction("""COMPUTED_VALUE"""),116.53)</f>
        <v>116.53</v>
      </c>
      <c r="E122" s="5" t="n">
        <f aca="false">IFERROR(__xludf.dummyfunction("""COMPUTED_VALUE"""),116.53)</f>
        <v>116.53</v>
      </c>
      <c r="F122" s="5" t="n">
        <f aca="false">IFERROR(__xludf.dummyfunction("""COMPUTED_VALUE"""),6712802)</f>
        <v>6712802</v>
      </c>
    </row>
    <row r="123" customFormat="false" ht="15.75" hidden="false" customHeight="false" outlineLevel="0" collapsed="false">
      <c r="A123" s="6" t="n">
        <f aca="false">IFERROR(__xludf.dummyfunction("""COMPUTED_VALUE"""),44375.6666666667)</f>
        <v>44375.6666666667</v>
      </c>
      <c r="B123" s="5" t="n">
        <f aca="false">IFERROR(__xludf.dummyfunction("""COMPUTED_VALUE"""),117.29)</f>
        <v>117.29</v>
      </c>
      <c r="C123" s="5" t="n">
        <f aca="false">IFERROR(__xludf.dummyfunction("""COMPUTED_VALUE"""),119.95)</f>
        <v>119.95</v>
      </c>
      <c r="D123" s="5" t="n">
        <f aca="false">IFERROR(__xludf.dummyfunction("""COMPUTED_VALUE"""),117.18)</f>
        <v>117.18</v>
      </c>
      <c r="E123" s="5" t="n">
        <f aca="false">IFERROR(__xludf.dummyfunction("""COMPUTED_VALUE"""),119.61)</f>
        <v>119.61</v>
      </c>
      <c r="F123" s="5" t="n">
        <f aca="false">IFERROR(__xludf.dummyfunction("""COMPUTED_VALUE"""),11026593)</f>
        <v>11026593</v>
      </c>
    </row>
    <row r="124" customFormat="false" ht="15.75" hidden="false" customHeight="false" outlineLevel="0" collapsed="false">
      <c r="A124" s="6" t="n">
        <f aca="false">IFERROR(__xludf.dummyfunction("""COMPUTED_VALUE"""),44376.6666666667)</f>
        <v>44376.6666666667</v>
      </c>
      <c r="B124" s="5" t="n">
        <f aca="false">IFERROR(__xludf.dummyfunction("""COMPUTED_VALUE"""),119.4)</f>
        <v>119.4</v>
      </c>
      <c r="C124" s="5" t="n">
        <f aca="false">IFERROR(__xludf.dummyfunction("""COMPUTED_VALUE"""),120.29)</f>
        <v>120.29</v>
      </c>
      <c r="D124" s="5" t="n">
        <f aca="false">IFERROR(__xludf.dummyfunction("""COMPUTED_VALUE"""),118.42)</f>
        <v>118.42</v>
      </c>
      <c r="E124" s="5" t="n">
        <f aca="false">IFERROR(__xludf.dummyfunction("""COMPUTED_VALUE"""),120.23)</f>
        <v>120.23</v>
      </c>
      <c r="F124" s="5" t="n">
        <f aca="false">IFERROR(__xludf.dummyfunction("""COMPUTED_VALUE"""),7874887)</f>
        <v>7874887</v>
      </c>
    </row>
    <row r="125" customFormat="false" ht="15.75" hidden="false" customHeight="false" outlineLevel="0" collapsed="false">
      <c r="A125" s="6" t="n">
        <f aca="false">IFERROR(__xludf.dummyfunction("""COMPUTED_VALUE"""),44377.6666666667)</f>
        <v>44377.6666666667</v>
      </c>
      <c r="B125" s="5" t="n">
        <f aca="false">IFERROR(__xludf.dummyfunction("""COMPUTED_VALUE"""),120.16)</f>
        <v>120.16</v>
      </c>
      <c r="C125" s="5" t="n">
        <f aca="false">IFERROR(__xludf.dummyfunction("""COMPUTED_VALUE"""),120.76)</f>
        <v>120.76</v>
      </c>
      <c r="D125" s="5" t="n">
        <f aca="false">IFERROR(__xludf.dummyfunction("""COMPUTED_VALUE"""),119.01)</f>
        <v>119.01</v>
      </c>
      <c r="E125" s="5" t="n">
        <f aca="false">IFERROR(__xludf.dummyfunction("""COMPUTED_VALUE"""),120.16)</f>
        <v>120.16</v>
      </c>
      <c r="F125" s="5" t="n">
        <f aca="false">IFERROR(__xludf.dummyfunction("""COMPUTED_VALUE"""),7936357)</f>
        <v>7936357</v>
      </c>
    </row>
    <row r="126" customFormat="false" ht="15.75" hidden="false" customHeight="false" outlineLevel="0" collapsed="false">
      <c r="A126" s="6" t="n">
        <f aca="false">IFERROR(__xludf.dummyfunction("""COMPUTED_VALUE"""),44378.6666666667)</f>
        <v>44378.6666666667</v>
      </c>
      <c r="B126" s="5" t="n">
        <f aca="false">IFERROR(__xludf.dummyfunction("""COMPUTED_VALUE"""),120.1)</f>
        <v>120.1</v>
      </c>
      <c r="C126" s="5" t="n">
        <f aca="false">IFERROR(__xludf.dummyfunction("""COMPUTED_VALUE"""),120.21)</f>
        <v>120.21</v>
      </c>
      <c r="D126" s="5" t="n">
        <f aca="false">IFERROR(__xludf.dummyfunction("""COMPUTED_VALUE"""),118.03)</f>
        <v>118.03</v>
      </c>
      <c r="E126" s="5" t="n">
        <f aca="false">IFERROR(__xludf.dummyfunction("""COMPUTED_VALUE"""),118.42)</f>
        <v>118.42</v>
      </c>
      <c r="F126" s="5" t="n">
        <f aca="false">IFERROR(__xludf.dummyfunction("""COMPUTED_VALUE"""),8295619)</f>
        <v>8295619</v>
      </c>
    </row>
    <row r="127" customFormat="false" ht="15.75" hidden="false" customHeight="false" outlineLevel="0" collapsed="false">
      <c r="A127" s="6" t="n">
        <f aca="false">IFERROR(__xludf.dummyfunction("""COMPUTED_VALUE"""),44379.6666666667)</f>
        <v>44379.6666666667</v>
      </c>
      <c r="B127" s="5" t="n">
        <f aca="false">IFERROR(__xludf.dummyfunction("""COMPUTED_VALUE"""),118.75)</f>
        <v>118.75</v>
      </c>
      <c r="C127" s="5" t="n">
        <f aca="false">IFERROR(__xludf.dummyfunction("""COMPUTED_VALUE"""),119.18)</f>
        <v>119.18</v>
      </c>
      <c r="D127" s="5" t="n">
        <f aca="false">IFERROR(__xludf.dummyfunction("""COMPUTED_VALUE"""),118.41)</f>
        <v>118.41</v>
      </c>
      <c r="E127" s="5" t="n">
        <f aca="false">IFERROR(__xludf.dummyfunction("""COMPUTED_VALUE"""),118.91)</f>
        <v>118.91</v>
      </c>
      <c r="F127" s="5" t="n">
        <f aca="false">IFERROR(__xludf.dummyfunction("""COMPUTED_VALUE"""),5148281)</f>
        <v>5148281</v>
      </c>
    </row>
    <row r="128" customFormat="false" ht="15.75" hidden="false" customHeight="false" outlineLevel="0" collapsed="false">
      <c r="A128" s="6" t="n">
        <f aca="false">IFERROR(__xludf.dummyfunction("""COMPUTED_VALUE"""),44383.6666666667)</f>
        <v>44383.6666666667</v>
      </c>
      <c r="B128" s="5" t="n">
        <f aca="false">IFERROR(__xludf.dummyfunction("""COMPUTED_VALUE"""),119.85)</f>
        <v>119.85</v>
      </c>
      <c r="C128" s="5" t="n">
        <f aca="false">IFERROR(__xludf.dummyfunction("""COMPUTED_VALUE"""),120.96)</f>
        <v>120.96</v>
      </c>
      <c r="D128" s="5" t="n">
        <f aca="false">IFERROR(__xludf.dummyfunction("""COMPUTED_VALUE"""),118.22)</f>
        <v>118.22</v>
      </c>
      <c r="E128" s="5" t="n">
        <f aca="false">IFERROR(__xludf.dummyfunction("""COMPUTED_VALUE"""),120.05)</f>
        <v>120.05</v>
      </c>
      <c r="F128" s="5" t="n">
        <f aca="false">IFERROR(__xludf.dummyfunction("""COMPUTED_VALUE"""),7181463)</f>
        <v>7181463</v>
      </c>
    </row>
    <row r="129" customFormat="false" ht="15.75" hidden="false" customHeight="false" outlineLevel="0" collapsed="false">
      <c r="A129" s="6" t="n">
        <f aca="false">IFERROR(__xludf.dummyfunction("""COMPUTED_VALUE"""),44384.6666666667)</f>
        <v>44384.6666666667</v>
      </c>
      <c r="B129" s="5" t="n">
        <f aca="false">IFERROR(__xludf.dummyfunction("""COMPUTED_VALUE"""),120.64)</f>
        <v>120.64</v>
      </c>
      <c r="C129" s="5" t="n">
        <f aca="false">IFERROR(__xludf.dummyfunction("""COMPUTED_VALUE"""),121.05)</f>
        <v>121.05</v>
      </c>
      <c r="D129" s="5" t="n">
        <f aca="false">IFERROR(__xludf.dummyfunction("""COMPUTED_VALUE"""),118.21)</f>
        <v>118.21</v>
      </c>
      <c r="E129" s="5" t="n">
        <f aca="false">IFERROR(__xludf.dummyfunction("""COMPUTED_VALUE"""),118.25)</f>
        <v>118.25</v>
      </c>
      <c r="F129" s="5" t="n">
        <f aca="false">IFERROR(__xludf.dummyfunction("""COMPUTED_VALUE"""),7391845)</f>
        <v>7391845</v>
      </c>
    </row>
    <row r="130" customFormat="false" ht="15.75" hidden="false" customHeight="false" outlineLevel="0" collapsed="false">
      <c r="A130" s="6" t="n">
        <f aca="false">IFERROR(__xludf.dummyfunction("""COMPUTED_VALUE"""),44385.6666666667)</f>
        <v>44385.6666666667</v>
      </c>
      <c r="B130" s="5" t="n">
        <f aca="false">IFERROR(__xludf.dummyfunction("""COMPUTED_VALUE"""),115.87)</f>
        <v>115.87</v>
      </c>
      <c r="C130" s="5" t="n">
        <f aca="false">IFERROR(__xludf.dummyfunction("""COMPUTED_VALUE"""),118.28)</f>
        <v>118.28</v>
      </c>
      <c r="D130" s="5" t="n">
        <f aca="false">IFERROR(__xludf.dummyfunction("""COMPUTED_VALUE"""),115.38)</f>
        <v>115.38</v>
      </c>
      <c r="E130" s="5" t="n">
        <f aca="false">IFERROR(__xludf.dummyfunction("""COMPUTED_VALUE"""),117.87)</f>
        <v>117.87</v>
      </c>
      <c r="F130" s="5" t="n">
        <f aca="false">IFERROR(__xludf.dummyfunction("""COMPUTED_VALUE"""),7565354)</f>
        <v>7565354</v>
      </c>
    </row>
    <row r="131" customFormat="false" ht="15.75" hidden="false" customHeight="false" outlineLevel="0" collapsed="false">
      <c r="A131" s="6" t="n">
        <f aca="false">IFERROR(__xludf.dummyfunction("""COMPUTED_VALUE"""),44386.6666666667)</f>
        <v>44386.6666666667</v>
      </c>
      <c r="B131" s="5" t="n">
        <f aca="false">IFERROR(__xludf.dummyfunction("""COMPUTED_VALUE"""),118)</f>
        <v>118</v>
      </c>
      <c r="C131" s="5" t="n">
        <f aca="false">IFERROR(__xludf.dummyfunction("""COMPUTED_VALUE"""),120.79)</f>
        <v>120.79</v>
      </c>
      <c r="D131" s="5" t="n">
        <f aca="false">IFERROR(__xludf.dummyfunction("""COMPUTED_VALUE"""),117.62)</f>
        <v>117.62</v>
      </c>
      <c r="E131" s="5" t="n">
        <f aca="false">IFERROR(__xludf.dummyfunction("""COMPUTED_VALUE"""),120.56)</f>
        <v>120.56</v>
      </c>
      <c r="F131" s="5" t="n">
        <f aca="false">IFERROR(__xludf.dummyfunction("""COMPUTED_VALUE"""),8374158)</f>
        <v>8374158</v>
      </c>
    </row>
    <row r="132" customFormat="false" ht="15.75" hidden="false" customHeight="false" outlineLevel="0" collapsed="false">
      <c r="A132" s="6" t="n">
        <f aca="false">IFERROR(__xludf.dummyfunction("""COMPUTED_VALUE"""),44389.6666666667)</f>
        <v>44389.6666666667</v>
      </c>
      <c r="B132" s="5" t="n">
        <f aca="false">IFERROR(__xludf.dummyfunction("""COMPUTED_VALUE"""),121.19)</f>
        <v>121.19</v>
      </c>
      <c r="C132" s="5" t="n">
        <f aca="false">IFERROR(__xludf.dummyfunction("""COMPUTED_VALUE"""),122.73)</f>
        <v>122.73</v>
      </c>
      <c r="D132" s="5" t="n">
        <f aca="false">IFERROR(__xludf.dummyfunction("""COMPUTED_VALUE"""),119.52)</f>
        <v>119.52</v>
      </c>
      <c r="E132" s="5" t="n">
        <f aca="false">IFERROR(__xludf.dummyfunction("""COMPUTED_VALUE"""),122.63)</f>
        <v>122.63</v>
      </c>
      <c r="F132" s="5" t="n">
        <f aca="false">IFERROR(__xludf.dummyfunction("""COMPUTED_VALUE"""),10668671)</f>
        <v>10668671</v>
      </c>
    </row>
    <row r="133" customFormat="false" ht="15.75" hidden="false" customHeight="false" outlineLevel="0" collapsed="false">
      <c r="A133" s="6" t="n">
        <f aca="false">IFERROR(__xludf.dummyfunction("""COMPUTED_VALUE"""),44390.6666666667)</f>
        <v>44390.6666666667</v>
      </c>
      <c r="B133" s="5" t="n">
        <f aca="false">IFERROR(__xludf.dummyfunction("""COMPUTED_VALUE"""),123.19)</f>
        <v>123.19</v>
      </c>
      <c r="C133" s="5" t="n">
        <f aca="false">IFERROR(__xludf.dummyfunction("""COMPUTED_VALUE"""),125.48)</f>
        <v>125.48</v>
      </c>
      <c r="D133" s="5" t="n">
        <f aca="false">IFERROR(__xludf.dummyfunction("""COMPUTED_VALUE"""),122.13)</f>
        <v>122.13</v>
      </c>
      <c r="E133" s="5" t="n">
        <f aca="false">IFERROR(__xludf.dummyfunction("""COMPUTED_VALUE"""),123.9)</f>
        <v>123.9</v>
      </c>
      <c r="F133" s="5" t="n">
        <f aca="false">IFERROR(__xludf.dummyfunction("""COMPUTED_VALUE"""),13460157)</f>
        <v>13460157</v>
      </c>
    </row>
    <row r="134" customFormat="false" ht="15.75" hidden="false" customHeight="false" outlineLevel="0" collapsed="false">
      <c r="A134" s="6" t="n">
        <f aca="false">IFERROR(__xludf.dummyfunction("""COMPUTED_VALUE"""),44391.6666666667)</f>
        <v>44391.6666666667</v>
      </c>
      <c r="B134" s="5" t="n">
        <f aca="false">IFERROR(__xludf.dummyfunction("""COMPUTED_VALUE"""),125.15)</f>
        <v>125.15</v>
      </c>
      <c r="C134" s="5" t="n">
        <f aca="false">IFERROR(__xludf.dummyfunction("""COMPUTED_VALUE"""),125.78)</f>
        <v>125.78</v>
      </c>
      <c r="D134" s="5" t="n">
        <f aca="false">IFERROR(__xludf.dummyfunction("""COMPUTED_VALUE"""),124.07)</f>
        <v>124.07</v>
      </c>
      <c r="E134" s="5" t="n">
        <f aca="false">IFERROR(__xludf.dummyfunction("""COMPUTED_VALUE"""),124.39)</f>
        <v>124.39</v>
      </c>
      <c r="F134" s="5" t="n">
        <f aca="false">IFERROR(__xludf.dummyfunction("""COMPUTED_VALUE"""),10587743)</f>
        <v>10587743</v>
      </c>
    </row>
    <row r="135" customFormat="false" ht="15.75" hidden="false" customHeight="false" outlineLevel="0" collapsed="false">
      <c r="A135" s="6" t="n">
        <f aca="false">IFERROR(__xludf.dummyfunction("""COMPUTED_VALUE"""),44392.6666666667)</f>
        <v>44392.6666666667</v>
      </c>
      <c r="B135" s="5" t="n">
        <f aca="false">IFERROR(__xludf.dummyfunction("""COMPUTED_VALUE"""),120.12)</f>
        <v>120.12</v>
      </c>
      <c r="C135" s="5" t="n">
        <f aca="false">IFERROR(__xludf.dummyfunction("""COMPUTED_VALUE"""),120.7)</f>
        <v>120.7</v>
      </c>
      <c r="D135" s="5" t="n">
        <f aca="false">IFERROR(__xludf.dummyfunction("""COMPUTED_VALUE"""),116.87)</f>
        <v>116.87</v>
      </c>
      <c r="E135" s="5" t="n">
        <f aca="false">IFERROR(__xludf.dummyfunction("""COMPUTED_VALUE"""),117.53)</f>
        <v>117.53</v>
      </c>
      <c r="F135" s="5" t="n">
        <f aca="false">IFERROR(__xludf.dummyfunction("""COMPUTED_VALUE"""),23734491)</f>
        <v>23734491</v>
      </c>
    </row>
    <row r="136" customFormat="false" ht="15.75" hidden="false" customHeight="false" outlineLevel="0" collapsed="false">
      <c r="A136" s="6" t="n">
        <f aca="false">IFERROR(__xludf.dummyfunction("""COMPUTED_VALUE"""),44393.6666666667)</f>
        <v>44393.6666666667</v>
      </c>
      <c r="B136" s="5" t="n">
        <f aca="false">IFERROR(__xludf.dummyfunction("""COMPUTED_VALUE"""),118.75)</f>
        <v>118.75</v>
      </c>
      <c r="C136" s="5" t="n">
        <f aca="false">IFERROR(__xludf.dummyfunction("""COMPUTED_VALUE"""),118.99)</f>
        <v>118.99</v>
      </c>
      <c r="D136" s="5" t="n">
        <f aca="false">IFERROR(__xludf.dummyfunction("""COMPUTED_VALUE"""),115.17)</f>
        <v>115.17</v>
      </c>
      <c r="E136" s="5" t="n">
        <f aca="false">IFERROR(__xludf.dummyfunction("""COMPUTED_VALUE"""),115.74)</f>
        <v>115.74</v>
      </c>
      <c r="F136" s="5" t="n">
        <f aca="false">IFERROR(__xludf.dummyfunction("""COMPUTED_VALUE"""),12110018)</f>
        <v>12110018</v>
      </c>
    </row>
    <row r="137" customFormat="false" ht="15.75" hidden="false" customHeight="false" outlineLevel="0" collapsed="false">
      <c r="A137" s="6" t="n">
        <f aca="false">IFERROR(__xludf.dummyfunction("""COMPUTED_VALUE"""),44396.6666666667)</f>
        <v>44396.6666666667</v>
      </c>
      <c r="B137" s="5" t="n">
        <f aca="false">IFERROR(__xludf.dummyfunction("""COMPUTED_VALUE"""),114)</f>
        <v>114</v>
      </c>
      <c r="C137" s="5" t="n">
        <f aca="false">IFERROR(__xludf.dummyfunction("""COMPUTED_VALUE"""),115.62)</f>
        <v>115.62</v>
      </c>
      <c r="D137" s="5" t="n">
        <f aca="false">IFERROR(__xludf.dummyfunction("""COMPUTED_VALUE"""),113.23)</f>
        <v>113.23</v>
      </c>
      <c r="E137" s="5" t="n">
        <f aca="false">IFERROR(__xludf.dummyfunction("""COMPUTED_VALUE"""),115.35)</f>
        <v>115.35</v>
      </c>
      <c r="F137" s="5" t="n">
        <f aca="false">IFERROR(__xludf.dummyfunction("""COMPUTED_VALUE"""),9230201)</f>
        <v>9230201</v>
      </c>
    </row>
    <row r="138" customFormat="false" ht="15.75" hidden="false" customHeight="false" outlineLevel="0" collapsed="false">
      <c r="A138" s="6" t="n">
        <f aca="false">IFERROR(__xludf.dummyfunction("""COMPUTED_VALUE"""),44397.6666666667)</f>
        <v>44397.6666666667</v>
      </c>
      <c r="B138" s="5" t="n">
        <f aca="false">IFERROR(__xludf.dummyfunction("""COMPUTED_VALUE"""),115.88)</f>
        <v>115.88</v>
      </c>
      <c r="C138" s="5" t="n">
        <f aca="false">IFERROR(__xludf.dummyfunction("""COMPUTED_VALUE"""),116.87)</f>
        <v>116.87</v>
      </c>
      <c r="D138" s="5" t="n">
        <f aca="false">IFERROR(__xludf.dummyfunction("""COMPUTED_VALUE"""),114.43)</f>
        <v>114.43</v>
      </c>
      <c r="E138" s="5" t="n">
        <f aca="false">IFERROR(__xludf.dummyfunction("""COMPUTED_VALUE"""),116.4)</f>
        <v>116.4</v>
      </c>
      <c r="F138" s="5" t="n">
        <f aca="false">IFERROR(__xludf.dummyfunction("""COMPUTED_VALUE"""),7108021)</f>
        <v>7108021</v>
      </c>
    </row>
    <row r="139" customFormat="false" ht="15.75" hidden="false" customHeight="false" outlineLevel="0" collapsed="false">
      <c r="A139" s="6" t="n">
        <f aca="false">IFERROR(__xludf.dummyfunction("""COMPUTED_VALUE"""),44398.6666666667)</f>
        <v>44398.6666666667</v>
      </c>
      <c r="B139" s="5" t="n">
        <f aca="false">IFERROR(__xludf.dummyfunction("""COMPUTED_VALUE"""),116.23)</f>
        <v>116.23</v>
      </c>
      <c r="C139" s="5" t="n">
        <f aca="false">IFERROR(__xludf.dummyfunction("""COMPUTED_VALUE"""),117.87)</f>
        <v>117.87</v>
      </c>
      <c r="D139" s="5" t="n">
        <f aca="false">IFERROR(__xludf.dummyfunction("""COMPUTED_VALUE"""),115.93)</f>
        <v>115.93</v>
      </c>
      <c r="E139" s="5" t="n">
        <f aca="false">IFERROR(__xludf.dummyfunction("""COMPUTED_VALUE"""),117.87)</f>
        <v>117.87</v>
      </c>
      <c r="F139" s="5" t="n">
        <f aca="false">IFERROR(__xludf.dummyfunction("""COMPUTED_VALUE"""),5564738)</f>
        <v>5564738</v>
      </c>
    </row>
    <row r="140" customFormat="false" ht="15.75" hidden="false" customHeight="false" outlineLevel="0" collapsed="false">
      <c r="A140" s="6" t="n">
        <f aca="false">IFERROR(__xludf.dummyfunction("""COMPUTED_VALUE"""),44399.6666666667)</f>
        <v>44399.6666666667</v>
      </c>
      <c r="B140" s="5" t="n">
        <f aca="false">IFERROR(__xludf.dummyfunction("""COMPUTED_VALUE"""),118.09)</f>
        <v>118.09</v>
      </c>
      <c r="C140" s="5" t="n">
        <f aca="false">IFERROR(__xludf.dummyfunction("""COMPUTED_VALUE"""),118.09)</f>
        <v>118.09</v>
      </c>
      <c r="D140" s="5" t="n">
        <f aca="false">IFERROR(__xludf.dummyfunction("""COMPUTED_VALUE"""),116.21)</f>
        <v>116.21</v>
      </c>
      <c r="E140" s="5" t="n">
        <f aca="false">IFERROR(__xludf.dummyfunction("""COMPUTED_VALUE"""),116.56)</f>
        <v>116.56</v>
      </c>
      <c r="F140" s="5" t="n">
        <f aca="false">IFERROR(__xludf.dummyfunction("""COMPUTED_VALUE"""),5746523)</f>
        <v>5746523</v>
      </c>
    </row>
    <row r="141" customFormat="false" ht="15.75" hidden="false" customHeight="false" outlineLevel="0" collapsed="false">
      <c r="A141" s="6" t="n">
        <f aca="false">IFERROR(__xludf.dummyfunction("""COMPUTED_VALUE"""),44400.6666666667)</f>
        <v>44400.6666666667</v>
      </c>
      <c r="B141" s="5" t="n">
        <f aca="false">IFERROR(__xludf.dummyfunction("""COMPUTED_VALUE"""),117.65)</f>
        <v>117.65</v>
      </c>
      <c r="C141" s="5" t="n">
        <f aca="false">IFERROR(__xludf.dummyfunction("""COMPUTED_VALUE"""),117.65)</f>
        <v>117.65</v>
      </c>
      <c r="D141" s="5" t="n">
        <f aca="false">IFERROR(__xludf.dummyfunction("""COMPUTED_VALUE"""),115.33)</f>
        <v>115.33</v>
      </c>
      <c r="E141" s="5" t="n">
        <f aca="false">IFERROR(__xludf.dummyfunction("""COMPUTED_VALUE"""),116.79)</f>
        <v>116.79</v>
      </c>
      <c r="F141" s="5" t="n">
        <f aca="false">IFERROR(__xludf.dummyfunction("""COMPUTED_VALUE"""),5773862)</f>
        <v>5773862</v>
      </c>
    </row>
    <row r="142" customFormat="false" ht="15.75" hidden="false" customHeight="false" outlineLevel="0" collapsed="false">
      <c r="A142" s="6" t="n">
        <f aca="false">IFERROR(__xludf.dummyfunction("""COMPUTED_VALUE"""),44403.6666666667)</f>
        <v>44403.6666666667</v>
      </c>
      <c r="B142" s="5" t="n">
        <f aca="false">IFERROR(__xludf.dummyfunction("""COMPUTED_VALUE"""),115.79)</f>
        <v>115.79</v>
      </c>
      <c r="C142" s="5" t="n">
        <f aca="false">IFERROR(__xludf.dummyfunction("""COMPUTED_VALUE"""),116.1)</f>
        <v>116.1</v>
      </c>
      <c r="D142" s="5" t="n">
        <f aca="false">IFERROR(__xludf.dummyfunction("""COMPUTED_VALUE"""),114.87)</f>
        <v>114.87</v>
      </c>
      <c r="E142" s="5" t="n">
        <f aca="false">IFERROR(__xludf.dummyfunction("""COMPUTED_VALUE"""),115.65)</f>
        <v>115.65</v>
      </c>
      <c r="F142" s="5" t="n">
        <f aca="false">IFERROR(__xludf.dummyfunction("""COMPUTED_VALUE"""),6440613)</f>
        <v>6440613</v>
      </c>
    </row>
    <row r="143" customFormat="false" ht="15.75" hidden="false" customHeight="false" outlineLevel="0" collapsed="false">
      <c r="A143" s="6" t="n">
        <f aca="false">IFERROR(__xludf.dummyfunction("""COMPUTED_VALUE"""),44404.6666666667)</f>
        <v>44404.6666666667</v>
      </c>
      <c r="B143" s="5" t="n">
        <f aca="false">IFERROR(__xludf.dummyfunction("""COMPUTED_VALUE"""),115.32)</f>
        <v>115.32</v>
      </c>
      <c r="C143" s="5" t="n">
        <f aca="false">IFERROR(__xludf.dummyfunction("""COMPUTED_VALUE"""),115.4)</f>
        <v>115.4</v>
      </c>
      <c r="D143" s="5" t="n">
        <f aca="false">IFERROR(__xludf.dummyfunction("""COMPUTED_VALUE"""),112.05)</f>
        <v>112.05</v>
      </c>
      <c r="E143" s="5" t="n">
        <f aca="false">IFERROR(__xludf.dummyfunction("""COMPUTED_VALUE"""),113.54)</f>
        <v>113.54</v>
      </c>
      <c r="F143" s="5" t="n">
        <f aca="false">IFERROR(__xludf.dummyfunction("""COMPUTED_VALUE"""),11127505)</f>
        <v>11127505</v>
      </c>
    </row>
    <row r="144" customFormat="false" ht="15.75" hidden="false" customHeight="false" outlineLevel="0" collapsed="false">
      <c r="A144" s="6" t="n">
        <f aca="false">IFERROR(__xludf.dummyfunction("""COMPUTED_VALUE"""),44405.6666666667)</f>
        <v>44405.6666666667</v>
      </c>
      <c r="B144" s="5" t="n">
        <f aca="false">IFERROR(__xludf.dummyfunction("""COMPUTED_VALUE"""),113.94)</f>
        <v>113.94</v>
      </c>
      <c r="C144" s="5" t="n">
        <f aca="false">IFERROR(__xludf.dummyfunction("""COMPUTED_VALUE"""),115.51)</f>
        <v>115.51</v>
      </c>
      <c r="D144" s="5" t="n">
        <f aca="false">IFERROR(__xludf.dummyfunction("""COMPUTED_VALUE"""),113.88)</f>
        <v>113.88</v>
      </c>
      <c r="E144" s="5" t="n">
        <f aca="false">IFERROR(__xludf.dummyfunction("""COMPUTED_VALUE"""),115.07)</f>
        <v>115.07</v>
      </c>
      <c r="F144" s="5" t="n">
        <f aca="false">IFERROR(__xludf.dummyfunction("""COMPUTED_VALUE"""),6819729)</f>
        <v>6819729</v>
      </c>
    </row>
    <row r="145" customFormat="false" ht="15.75" hidden="false" customHeight="false" outlineLevel="0" collapsed="false">
      <c r="A145" s="6" t="n">
        <f aca="false">IFERROR(__xludf.dummyfunction("""COMPUTED_VALUE"""),44406.6666666667)</f>
        <v>44406.6666666667</v>
      </c>
      <c r="B145" s="5" t="n">
        <f aca="false">IFERROR(__xludf.dummyfunction("""COMPUTED_VALUE"""),116)</f>
        <v>116</v>
      </c>
      <c r="C145" s="5" t="n">
        <f aca="false">IFERROR(__xludf.dummyfunction("""COMPUTED_VALUE"""),117.11)</f>
        <v>117.11</v>
      </c>
      <c r="D145" s="5" t="n">
        <f aca="false">IFERROR(__xludf.dummyfunction("""COMPUTED_VALUE"""),115.61)</f>
        <v>115.61</v>
      </c>
      <c r="E145" s="5" t="n">
        <f aca="false">IFERROR(__xludf.dummyfunction("""COMPUTED_VALUE"""),116.15)</f>
        <v>116.15</v>
      </c>
      <c r="F145" s="5" t="n">
        <f aca="false">IFERROR(__xludf.dummyfunction("""COMPUTED_VALUE"""),7162034)</f>
        <v>7162034</v>
      </c>
    </row>
    <row r="146" customFormat="false" ht="15.75" hidden="false" customHeight="false" outlineLevel="0" collapsed="false">
      <c r="A146" s="6" t="n">
        <f aca="false">IFERROR(__xludf.dummyfunction("""COMPUTED_VALUE"""),44407.6666666667)</f>
        <v>44407.6666666667</v>
      </c>
      <c r="B146" s="5" t="n">
        <f aca="false">IFERROR(__xludf.dummyfunction("""COMPUTED_VALUE"""),115.5)</f>
        <v>115.5</v>
      </c>
      <c r="C146" s="5" t="n">
        <f aca="false">IFERROR(__xludf.dummyfunction("""COMPUTED_VALUE"""),117.42)</f>
        <v>117.42</v>
      </c>
      <c r="D146" s="5" t="n">
        <f aca="false">IFERROR(__xludf.dummyfunction("""COMPUTED_VALUE"""),115.19)</f>
        <v>115.19</v>
      </c>
      <c r="E146" s="5" t="n">
        <f aca="false">IFERROR(__xludf.dummyfunction("""COMPUTED_VALUE"""),116.64)</f>
        <v>116.64</v>
      </c>
      <c r="F146" s="5" t="n">
        <f aca="false">IFERROR(__xludf.dummyfunction("""COMPUTED_VALUE"""),6482617)</f>
        <v>6482617</v>
      </c>
    </row>
    <row r="147" customFormat="false" ht="15.75" hidden="false" customHeight="false" outlineLevel="0" collapsed="false">
      <c r="A147" s="6" t="n">
        <f aca="false">IFERROR(__xludf.dummyfunction("""COMPUTED_VALUE"""),44410.6666666667)</f>
        <v>44410.6666666667</v>
      </c>
      <c r="B147" s="5" t="n">
        <f aca="false">IFERROR(__xludf.dummyfunction("""COMPUTED_VALUE"""),117.5)</f>
        <v>117.5</v>
      </c>
      <c r="C147" s="5" t="n">
        <f aca="false">IFERROR(__xludf.dummyfunction("""COMPUTED_VALUE"""),118.38)</f>
        <v>118.38</v>
      </c>
      <c r="D147" s="5" t="n">
        <f aca="false">IFERROR(__xludf.dummyfunction("""COMPUTED_VALUE"""),116.66)</f>
        <v>116.66</v>
      </c>
      <c r="E147" s="5" t="n">
        <f aca="false">IFERROR(__xludf.dummyfunction("""COMPUTED_VALUE"""),116.86)</f>
        <v>116.86</v>
      </c>
      <c r="F147" s="5" t="n">
        <f aca="false">IFERROR(__xludf.dummyfunction("""COMPUTED_VALUE"""),6028772)</f>
        <v>6028772</v>
      </c>
    </row>
    <row r="148" customFormat="false" ht="15.75" hidden="false" customHeight="false" outlineLevel="0" collapsed="false">
      <c r="A148" s="6" t="n">
        <f aca="false">IFERROR(__xludf.dummyfunction("""COMPUTED_VALUE"""),44411.6666666667)</f>
        <v>44411.6666666667</v>
      </c>
      <c r="B148" s="5" t="n">
        <f aca="false">IFERROR(__xludf.dummyfunction("""COMPUTED_VALUE"""),117.31)</f>
        <v>117.31</v>
      </c>
      <c r="C148" s="5" t="n">
        <f aca="false">IFERROR(__xludf.dummyfunction("""COMPUTED_VALUE"""),118.64)</f>
        <v>118.64</v>
      </c>
      <c r="D148" s="5" t="n">
        <f aca="false">IFERROR(__xludf.dummyfunction("""COMPUTED_VALUE"""),116.84)</f>
        <v>116.84</v>
      </c>
      <c r="E148" s="5" t="n">
        <f aca="false">IFERROR(__xludf.dummyfunction("""COMPUTED_VALUE"""),118.41)</f>
        <v>118.41</v>
      </c>
      <c r="F148" s="5" t="n">
        <f aca="false">IFERROR(__xludf.dummyfunction("""COMPUTED_VALUE"""),5874719)</f>
        <v>5874719</v>
      </c>
    </row>
    <row r="149" customFormat="false" ht="15.75" hidden="false" customHeight="false" outlineLevel="0" collapsed="false">
      <c r="A149" s="6" t="n">
        <f aca="false">IFERROR(__xludf.dummyfunction("""COMPUTED_VALUE"""),44412.6666666667)</f>
        <v>44412.6666666667</v>
      </c>
      <c r="B149" s="5" t="n">
        <f aca="false">IFERROR(__xludf.dummyfunction("""COMPUTED_VALUE"""),118.43)</f>
        <v>118.43</v>
      </c>
      <c r="C149" s="5" t="n">
        <f aca="false">IFERROR(__xludf.dummyfunction("""COMPUTED_VALUE"""),119.55)</f>
        <v>119.55</v>
      </c>
      <c r="D149" s="5" t="n">
        <f aca="false">IFERROR(__xludf.dummyfunction("""COMPUTED_VALUE"""),118.28)</f>
        <v>118.28</v>
      </c>
      <c r="E149" s="5" t="n">
        <f aca="false">IFERROR(__xludf.dummyfunction("""COMPUTED_VALUE"""),118.74)</f>
        <v>118.74</v>
      </c>
      <c r="F149" s="5" t="n">
        <f aca="false">IFERROR(__xludf.dummyfunction("""COMPUTED_VALUE"""),4253964)</f>
        <v>4253964</v>
      </c>
    </row>
    <row r="150" customFormat="false" ht="15.75" hidden="false" customHeight="false" outlineLevel="0" collapsed="false">
      <c r="A150" s="6" t="n">
        <f aca="false">IFERROR(__xludf.dummyfunction("""COMPUTED_VALUE"""),44413.6666666667)</f>
        <v>44413.6666666667</v>
      </c>
      <c r="B150" s="5" t="n">
        <f aca="false">IFERROR(__xludf.dummyfunction("""COMPUTED_VALUE"""),119.07)</f>
        <v>119.07</v>
      </c>
      <c r="C150" s="5" t="n">
        <f aca="false">IFERROR(__xludf.dummyfunction("""COMPUTED_VALUE"""),119.24)</f>
        <v>119.24</v>
      </c>
      <c r="D150" s="5" t="n">
        <f aca="false">IFERROR(__xludf.dummyfunction("""COMPUTED_VALUE"""),118.24)</f>
        <v>118.24</v>
      </c>
      <c r="E150" s="5" t="n">
        <f aca="false">IFERROR(__xludf.dummyfunction("""COMPUTED_VALUE"""),119.22)</f>
        <v>119.22</v>
      </c>
      <c r="F150" s="5" t="n">
        <f aca="false">IFERROR(__xludf.dummyfunction("""COMPUTED_VALUE"""),4452335)</f>
        <v>4452335</v>
      </c>
    </row>
    <row r="151" customFormat="false" ht="15.75" hidden="false" customHeight="false" outlineLevel="0" collapsed="false">
      <c r="A151" s="6" t="n">
        <f aca="false">IFERROR(__xludf.dummyfunction("""COMPUTED_VALUE"""),44414.6666666667)</f>
        <v>44414.6666666667</v>
      </c>
      <c r="B151" s="5" t="n">
        <f aca="false">IFERROR(__xludf.dummyfunction("""COMPUTED_VALUE"""),118.37)</f>
        <v>118.37</v>
      </c>
      <c r="C151" s="5" t="n">
        <f aca="false">IFERROR(__xludf.dummyfunction("""COMPUTED_VALUE"""),118.6)</f>
        <v>118.6</v>
      </c>
      <c r="D151" s="5" t="n">
        <f aca="false">IFERROR(__xludf.dummyfunction("""COMPUTED_VALUE"""),117.45)</f>
        <v>117.45</v>
      </c>
      <c r="E151" s="5" t="n">
        <f aca="false">IFERROR(__xludf.dummyfunction("""COMPUTED_VALUE"""),118.21)</f>
        <v>118.21</v>
      </c>
      <c r="F151" s="5" t="n">
        <f aca="false">IFERROR(__xludf.dummyfunction("""COMPUTED_VALUE"""),4338144)</f>
        <v>4338144</v>
      </c>
    </row>
    <row r="152" customFormat="false" ht="15.75" hidden="false" customHeight="false" outlineLevel="0" collapsed="false">
      <c r="A152" s="6" t="n">
        <f aca="false">IFERROR(__xludf.dummyfunction("""COMPUTED_VALUE"""),44417.6666666667)</f>
        <v>44417.6666666667</v>
      </c>
      <c r="B152" s="5" t="n">
        <f aca="false">IFERROR(__xludf.dummyfunction("""COMPUTED_VALUE"""),118.42)</f>
        <v>118.42</v>
      </c>
      <c r="C152" s="5" t="n">
        <f aca="false">IFERROR(__xludf.dummyfunction("""COMPUTED_VALUE"""),118.79)</f>
        <v>118.79</v>
      </c>
      <c r="D152" s="5" t="n">
        <f aca="false">IFERROR(__xludf.dummyfunction("""COMPUTED_VALUE"""),117.32)</f>
        <v>117.32</v>
      </c>
      <c r="E152" s="5" t="n">
        <f aca="false">IFERROR(__xludf.dummyfunction("""COMPUTED_VALUE"""),118.22)</f>
        <v>118.22</v>
      </c>
      <c r="F152" s="5" t="n">
        <f aca="false">IFERROR(__xludf.dummyfunction("""COMPUTED_VALUE"""),4280237)</f>
        <v>4280237</v>
      </c>
    </row>
    <row r="153" customFormat="false" ht="15.75" hidden="false" customHeight="false" outlineLevel="0" collapsed="false">
      <c r="A153" s="6" t="n">
        <f aca="false">IFERROR(__xludf.dummyfunction("""COMPUTED_VALUE"""),44418.6666666667)</f>
        <v>44418.6666666667</v>
      </c>
      <c r="B153" s="5" t="n">
        <f aca="false">IFERROR(__xludf.dummyfunction("""COMPUTED_VALUE"""),118.5)</f>
        <v>118.5</v>
      </c>
      <c r="C153" s="5" t="n">
        <f aca="false">IFERROR(__xludf.dummyfunction("""COMPUTED_VALUE"""),119.05)</f>
        <v>119.05</v>
      </c>
      <c r="D153" s="5" t="n">
        <f aca="false">IFERROR(__xludf.dummyfunction("""COMPUTED_VALUE"""),114.08)</f>
        <v>114.08</v>
      </c>
      <c r="E153" s="5" t="n">
        <f aca="false">IFERROR(__xludf.dummyfunction("""COMPUTED_VALUE"""),116.36)</f>
        <v>116.36</v>
      </c>
      <c r="F153" s="5" t="n">
        <f aca="false">IFERROR(__xludf.dummyfunction("""COMPUTED_VALUE"""),5132785)</f>
        <v>5132785</v>
      </c>
    </row>
    <row r="154" customFormat="false" ht="15.75" hidden="false" customHeight="false" outlineLevel="0" collapsed="false">
      <c r="A154" s="6" t="n">
        <f aca="false">IFERROR(__xludf.dummyfunction("""COMPUTED_VALUE"""),44419.6666666667)</f>
        <v>44419.6666666667</v>
      </c>
      <c r="B154" s="5" t="n">
        <f aca="false">IFERROR(__xludf.dummyfunction("""COMPUTED_VALUE"""),116.5)</f>
        <v>116.5</v>
      </c>
      <c r="C154" s="5" t="n">
        <f aca="false">IFERROR(__xludf.dummyfunction("""COMPUTED_VALUE"""),117.29)</f>
        <v>117.29</v>
      </c>
      <c r="D154" s="5" t="n">
        <f aca="false">IFERROR(__xludf.dummyfunction("""COMPUTED_VALUE"""),115.2)</f>
        <v>115.2</v>
      </c>
      <c r="E154" s="5" t="n">
        <f aca="false">IFERROR(__xludf.dummyfunction("""COMPUTED_VALUE"""),115.99)</f>
        <v>115.99</v>
      </c>
      <c r="F154" s="5" t="n">
        <f aca="false">IFERROR(__xludf.dummyfunction("""COMPUTED_VALUE"""),4490350)</f>
        <v>4490350</v>
      </c>
    </row>
    <row r="155" customFormat="false" ht="15.75" hidden="false" customHeight="false" outlineLevel="0" collapsed="false">
      <c r="A155" s="6" t="n">
        <f aca="false">IFERROR(__xludf.dummyfunction("""COMPUTED_VALUE"""),44420.6666666667)</f>
        <v>44420.6666666667</v>
      </c>
      <c r="B155" s="5" t="n">
        <f aca="false">IFERROR(__xludf.dummyfunction("""COMPUTED_VALUE"""),115.55)</f>
        <v>115.55</v>
      </c>
      <c r="C155" s="5" t="n">
        <f aca="false">IFERROR(__xludf.dummyfunction("""COMPUTED_VALUE"""),115.95)</f>
        <v>115.95</v>
      </c>
      <c r="D155" s="5" t="n">
        <f aca="false">IFERROR(__xludf.dummyfunction("""COMPUTED_VALUE"""),114.44)</f>
        <v>114.44</v>
      </c>
      <c r="E155" s="5" t="n">
        <f aca="false">IFERROR(__xludf.dummyfunction("""COMPUTED_VALUE"""),115.7)</f>
        <v>115.7</v>
      </c>
      <c r="F155" s="5" t="n">
        <f aca="false">IFERROR(__xludf.dummyfunction("""COMPUTED_VALUE"""),6345036)</f>
        <v>6345036</v>
      </c>
    </row>
    <row r="156" customFormat="false" ht="15.75" hidden="false" customHeight="false" outlineLevel="0" collapsed="false">
      <c r="A156" s="6" t="n">
        <f aca="false">IFERROR(__xludf.dummyfunction("""COMPUTED_VALUE"""),44421.6666666667)</f>
        <v>44421.6666666667</v>
      </c>
      <c r="B156" s="5" t="n">
        <f aca="false">IFERROR(__xludf.dummyfunction("""COMPUTED_VALUE"""),115.07)</f>
        <v>115.07</v>
      </c>
      <c r="C156" s="5" t="n">
        <f aca="false">IFERROR(__xludf.dummyfunction("""COMPUTED_VALUE"""),115.52)</f>
        <v>115.52</v>
      </c>
      <c r="D156" s="5" t="n">
        <f aca="false">IFERROR(__xludf.dummyfunction("""COMPUTED_VALUE"""),114.49)</f>
        <v>114.49</v>
      </c>
      <c r="E156" s="5" t="n">
        <f aca="false">IFERROR(__xludf.dummyfunction("""COMPUTED_VALUE"""),115.5)</f>
        <v>115.5</v>
      </c>
      <c r="F156" s="5" t="n">
        <f aca="false">IFERROR(__xludf.dummyfunction("""COMPUTED_VALUE"""),4593208)</f>
        <v>4593208</v>
      </c>
    </row>
    <row r="157" customFormat="false" ht="15.75" hidden="false" customHeight="false" outlineLevel="0" collapsed="false">
      <c r="A157" s="6" t="n">
        <f aca="false">IFERROR(__xludf.dummyfunction("""COMPUTED_VALUE"""),44424.6666666667)</f>
        <v>44424.6666666667</v>
      </c>
      <c r="B157" s="5" t="n">
        <f aca="false">IFERROR(__xludf.dummyfunction("""COMPUTED_VALUE"""),115.1)</f>
        <v>115.1</v>
      </c>
      <c r="C157" s="5" t="n">
        <f aca="false">IFERROR(__xludf.dummyfunction("""COMPUTED_VALUE"""),115.48)</f>
        <v>115.48</v>
      </c>
      <c r="D157" s="5" t="n">
        <f aca="false">IFERROR(__xludf.dummyfunction("""COMPUTED_VALUE"""),114.1)</f>
        <v>114.1</v>
      </c>
      <c r="E157" s="5" t="n">
        <f aca="false">IFERROR(__xludf.dummyfunction("""COMPUTED_VALUE"""),114.63)</f>
        <v>114.63</v>
      </c>
      <c r="F157" s="5" t="n">
        <f aca="false">IFERROR(__xludf.dummyfunction("""COMPUTED_VALUE"""),5439250)</f>
        <v>5439250</v>
      </c>
    </row>
    <row r="158" customFormat="false" ht="15.75" hidden="false" customHeight="false" outlineLevel="0" collapsed="false">
      <c r="A158" s="6" t="n">
        <f aca="false">IFERROR(__xludf.dummyfunction("""COMPUTED_VALUE"""),44425.6666666667)</f>
        <v>44425.6666666667</v>
      </c>
      <c r="B158" s="5" t="n">
        <f aca="false">IFERROR(__xludf.dummyfunction("""COMPUTED_VALUE"""),113.73)</f>
        <v>113.73</v>
      </c>
      <c r="C158" s="5" t="n">
        <f aca="false">IFERROR(__xludf.dummyfunction("""COMPUTED_VALUE"""),113.85)</f>
        <v>113.85</v>
      </c>
      <c r="D158" s="5" t="n">
        <f aca="false">IFERROR(__xludf.dummyfunction("""COMPUTED_VALUE"""),110.75)</f>
        <v>110.75</v>
      </c>
      <c r="E158" s="5" t="n">
        <f aca="false">IFERROR(__xludf.dummyfunction("""COMPUTED_VALUE"""),111.11)</f>
        <v>111.11</v>
      </c>
      <c r="F158" s="5" t="n">
        <f aca="false">IFERROR(__xludf.dummyfunction("""COMPUTED_VALUE"""),13398802)</f>
        <v>13398802</v>
      </c>
    </row>
    <row r="159" customFormat="false" ht="15.75" hidden="false" customHeight="false" outlineLevel="0" collapsed="false">
      <c r="A159" s="6" t="n">
        <f aca="false">IFERROR(__xludf.dummyfunction("""COMPUTED_VALUE"""),44426.6666666667)</f>
        <v>44426.6666666667</v>
      </c>
      <c r="B159" s="5" t="n">
        <f aca="false">IFERROR(__xludf.dummyfunction("""COMPUTED_VALUE"""),111.74)</f>
        <v>111.74</v>
      </c>
      <c r="C159" s="5" t="n">
        <f aca="false">IFERROR(__xludf.dummyfunction("""COMPUTED_VALUE"""),113)</f>
        <v>113</v>
      </c>
      <c r="D159" s="5" t="n">
        <f aca="false">IFERROR(__xludf.dummyfunction("""COMPUTED_VALUE"""),110.38)</f>
        <v>110.38</v>
      </c>
      <c r="E159" s="5" t="n">
        <f aca="false">IFERROR(__xludf.dummyfunction("""COMPUTED_VALUE"""),110.45)</f>
        <v>110.45</v>
      </c>
      <c r="F159" s="5" t="n">
        <f aca="false">IFERROR(__xludf.dummyfunction("""COMPUTED_VALUE"""),9167291)</f>
        <v>9167291</v>
      </c>
    </row>
    <row r="160" customFormat="false" ht="15.75" hidden="false" customHeight="false" outlineLevel="0" collapsed="false">
      <c r="A160" s="6" t="n">
        <f aca="false">IFERROR(__xludf.dummyfunction("""COMPUTED_VALUE"""),44427.6666666667)</f>
        <v>44427.6666666667</v>
      </c>
      <c r="B160" s="5" t="n">
        <f aca="false">IFERROR(__xludf.dummyfunction("""COMPUTED_VALUE"""),109)</f>
        <v>109</v>
      </c>
      <c r="C160" s="5" t="n">
        <f aca="false">IFERROR(__xludf.dummyfunction("""COMPUTED_VALUE"""),110.97)</f>
        <v>110.97</v>
      </c>
      <c r="D160" s="5" t="n">
        <f aca="false">IFERROR(__xludf.dummyfunction("""COMPUTED_VALUE"""),107.68)</f>
        <v>107.68</v>
      </c>
      <c r="E160" s="5" t="n">
        <f aca="false">IFERROR(__xludf.dummyfunction("""COMPUTED_VALUE"""),110.52)</f>
        <v>110.52</v>
      </c>
      <c r="F160" s="5" t="n">
        <f aca="false">IFERROR(__xludf.dummyfunction("""COMPUTED_VALUE"""),12146912)</f>
        <v>12146912</v>
      </c>
    </row>
    <row r="161" customFormat="false" ht="15.75" hidden="false" customHeight="false" outlineLevel="0" collapsed="false">
      <c r="A161" s="6" t="n">
        <f aca="false">IFERROR(__xludf.dummyfunction("""COMPUTED_VALUE"""),44428.6666666667)</f>
        <v>44428.6666666667</v>
      </c>
      <c r="B161" s="5" t="n">
        <f aca="false">IFERROR(__xludf.dummyfunction("""COMPUTED_VALUE"""),109.14)</f>
        <v>109.14</v>
      </c>
      <c r="C161" s="5" t="n">
        <f aca="false">IFERROR(__xludf.dummyfunction("""COMPUTED_VALUE"""),109.71)</f>
        <v>109.71</v>
      </c>
      <c r="D161" s="5" t="n">
        <f aca="false">IFERROR(__xludf.dummyfunction("""COMPUTED_VALUE"""),107.73)</f>
        <v>107.73</v>
      </c>
      <c r="E161" s="5" t="n">
        <f aca="false">IFERROR(__xludf.dummyfunction("""COMPUTED_VALUE"""),108.12)</f>
        <v>108.12</v>
      </c>
      <c r="F161" s="5" t="n">
        <f aca="false">IFERROR(__xludf.dummyfunction("""COMPUTED_VALUE"""),13042016)</f>
        <v>13042016</v>
      </c>
    </row>
    <row r="162" customFormat="false" ht="15.75" hidden="false" customHeight="false" outlineLevel="0" collapsed="false">
      <c r="A162" s="6" t="n">
        <f aca="false">IFERROR(__xludf.dummyfunction("""COMPUTED_VALUE"""),44431.6666666667)</f>
        <v>44431.6666666667</v>
      </c>
      <c r="B162" s="5" t="n">
        <f aca="false">IFERROR(__xludf.dummyfunction("""COMPUTED_VALUE"""),110.08)</f>
        <v>110.08</v>
      </c>
      <c r="C162" s="5" t="n">
        <f aca="false">IFERROR(__xludf.dummyfunction("""COMPUTED_VALUE"""),111.33)</f>
        <v>111.33</v>
      </c>
      <c r="D162" s="5" t="n">
        <f aca="false">IFERROR(__xludf.dummyfunction("""COMPUTED_VALUE"""),109.27)</f>
        <v>109.27</v>
      </c>
      <c r="E162" s="5" t="n">
        <f aca="false">IFERROR(__xludf.dummyfunction("""COMPUTED_VALUE"""),110.96)</f>
        <v>110.96</v>
      </c>
      <c r="F162" s="5" t="n">
        <f aca="false">IFERROR(__xludf.dummyfunction("""COMPUTED_VALUE"""),9533453)</f>
        <v>9533453</v>
      </c>
    </row>
    <row r="163" customFormat="false" ht="15.75" hidden="false" customHeight="false" outlineLevel="0" collapsed="false">
      <c r="A163" s="6" t="n">
        <f aca="false">IFERROR(__xludf.dummyfunction("""COMPUTED_VALUE"""),44432.6666666667)</f>
        <v>44432.6666666667</v>
      </c>
      <c r="B163" s="5" t="n">
        <f aca="false">IFERROR(__xludf.dummyfunction("""COMPUTED_VALUE"""),111.82)</f>
        <v>111.82</v>
      </c>
      <c r="C163" s="5" t="n">
        <f aca="false">IFERROR(__xludf.dummyfunction("""COMPUTED_VALUE"""),113.07)</f>
        <v>113.07</v>
      </c>
      <c r="D163" s="5" t="n">
        <f aca="false">IFERROR(__xludf.dummyfunction("""COMPUTED_VALUE"""),111.8)</f>
        <v>111.8</v>
      </c>
      <c r="E163" s="5" t="n">
        <f aca="false">IFERROR(__xludf.dummyfunction("""COMPUTED_VALUE"""),112.11)</f>
        <v>112.11</v>
      </c>
      <c r="F163" s="5" t="n">
        <f aca="false">IFERROR(__xludf.dummyfunction("""COMPUTED_VALUE"""),6719811)</f>
        <v>6719811</v>
      </c>
    </row>
    <row r="164" customFormat="false" ht="15.75" hidden="false" customHeight="false" outlineLevel="0" collapsed="false">
      <c r="A164" s="6" t="n">
        <f aca="false">IFERROR(__xludf.dummyfunction("""COMPUTED_VALUE"""),44433.6666666667)</f>
        <v>44433.6666666667</v>
      </c>
      <c r="B164" s="5" t="n">
        <f aca="false">IFERROR(__xludf.dummyfunction("""COMPUTED_VALUE"""),115.71)</f>
        <v>115.71</v>
      </c>
      <c r="C164" s="5" t="n">
        <f aca="false">IFERROR(__xludf.dummyfunction("""COMPUTED_VALUE"""),119.18)</f>
        <v>119.18</v>
      </c>
      <c r="D164" s="5" t="n">
        <f aca="false">IFERROR(__xludf.dummyfunction("""COMPUTED_VALUE"""),115.61)</f>
        <v>115.61</v>
      </c>
      <c r="E164" s="5" t="n">
        <f aca="false">IFERROR(__xludf.dummyfunction("""COMPUTED_VALUE"""),117.03)</f>
        <v>117.03</v>
      </c>
      <c r="F164" s="5" t="n">
        <f aca="false">IFERROR(__xludf.dummyfunction("""COMPUTED_VALUE"""),22106785)</f>
        <v>22106785</v>
      </c>
    </row>
    <row r="165" customFormat="false" ht="15.75" hidden="false" customHeight="false" outlineLevel="0" collapsed="false">
      <c r="A165" s="6" t="n">
        <f aca="false">IFERROR(__xludf.dummyfunction("""COMPUTED_VALUE"""),44434.6666666667)</f>
        <v>44434.6666666667</v>
      </c>
      <c r="B165" s="5" t="n">
        <f aca="false">IFERROR(__xludf.dummyfunction("""COMPUTED_VALUE"""),117.98)</f>
        <v>117.98</v>
      </c>
      <c r="C165" s="5" t="n">
        <f aca="false">IFERROR(__xludf.dummyfunction("""COMPUTED_VALUE"""),118.46)</f>
        <v>118.46</v>
      </c>
      <c r="D165" s="5" t="n">
        <f aca="false">IFERROR(__xludf.dummyfunction("""COMPUTED_VALUE"""),116.35)</f>
        <v>116.35</v>
      </c>
      <c r="E165" s="5" t="n">
        <f aca="false">IFERROR(__xludf.dummyfunction("""COMPUTED_VALUE"""),118.1)</f>
        <v>118.1</v>
      </c>
      <c r="F165" s="5" t="n">
        <f aca="false">IFERROR(__xludf.dummyfunction("""COMPUTED_VALUE"""),9892122)</f>
        <v>9892122</v>
      </c>
    </row>
    <row r="166" customFormat="false" ht="15.75" hidden="false" customHeight="false" outlineLevel="0" collapsed="false">
      <c r="A166" s="6" t="n">
        <f aca="false">IFERROR(__xludf.dummyfunction("""COMPUTED_VALUE"""),44435.6666666667)</f>
        <v>44435.6666666667</v>
      </c>
      <c r="B166" s="5" t="n">
        <f aca="false">IFERROR(__xludf.dummyfunction("""COMPUTED_VALUE"""),118.33)</f>
        <v>118.33</v>
      </c>
      <c r="C166" s="5" t="n">
        <f aca="false">IFERROR(__xludf.dummyfunction("""COMPUTED_VALUE"""),119.3)</f>
        <v>119.3</v>
      </c>
      <c r="D166" s="5" t="n">
        <f aca="false">IFERROR(__xludf.dummyfunction("""COMPUTED_VALUE"""),117.69)</f>
        <v>117.69</v>
      </c>
      <c r="E166" s="5" t="n">
        <f aca="false">IFERROR(__xludf.dummyfunction("""COMPUTED_VALUE"""),118.49)</f>
        <v>118.49</v>
      </c>
      <c r="F166" s="5" t="n">
        <f aca="false">IFERROR(__xludf.dummyfunction("""COMPUTED_VALUE"""),6827711)</f>
        <v>6827711</v>
      </c>
    </row>
    <row r="167" customFormat="false" ht="15.75" hidden="false" customHeight="false" outlineLevel="0" collapsed="false">
      <c r="A167" s="6" t="n">
        <f aca="false">IFERROR(__xludf.dummyfunction("""COMPUTED_VALUE"""),44438.6666666667)</f>
        <v>44438.6666666667</v>
      </c>
      <c r="B167" s="5" t="n">
        <f aca="false">IFERROR(__xludf.dummyfunction("""COMPUTED_VALUE"""),118.88)</f>
        <v>118.88</v>
      </c>
      <c r="C167" s="5" t="n">
        <f aca="false">IFERROR(__xludf.dummyfunction("""COMPUTED_VALUE"""),119.5)</f>
        <v>119.5</v>
      </c>
      <c r="D167" s="5" t="n">
        <f aca="false">IFERROR(__xludf.dummyfunction("""COMPUTED_VALUE"""),118.47)</f>
        <v>118.47</v>
      </c>
      <c r="E167" s="5" t="n">
        <f aca="false">IFERROR(__xludf.dummyfunction("""COMPUTED_VALUE"""),118.99)</f>
        <v>118.99</v>
      </c>
      <c r="F167" s="5" t="n">
        <f aca="false">IFERROR(__xludf.dummyfunction("""COMPUTED_VALUE"""),6434244)</f>
        <v>6434244</v>
      </c>
    </row>
    <row r="168" customFormat="false" ht="15.75" hidden="false" customHeight="false" outlineLevel="0" collapsed="false">
      <c r="A168" s="6" t="n">
        <f aca="false">IFERROR(__xludf.dummyfunction("""COMPUTED_VALUE"""),44439.6666666667)</f>
        <v>44439.6666666667</v>
      </c>
      <c r="B168" s="5" t="n">
        <f aca="false">IFERROR(__xludf.dummyfunction("""COMPUTED_VALUE"""),120.01)</f>
        <v>120.01</v>
      </c>
      <c r="C168" s="5" t="n">
        <f aca="false">IFERROR(__xludf.dummyfunction("""COMPUTED_VALUE"""),120.8)</f>
        <v>120.8</v>
      </c>
      <c r="D168" s="5" t="n">
        <f aca="false">IFERROR(__xludf.dummyfunction("""COMPUTED_VALUE"""),118.7)</f>
        <v>118.7</v>
      </c>
      <c r="E168" s="5" t="n">
        <f aca="false">IFERROR(__xludf.dummyfunction("""COMPUTED_VALUE"""),119.01)</f>
        <v>119.01</v>
      </c>
      <c r="F168" s="5" t="n">
        <f aca="false">IFERROR(__xludf.dummyfunction("""COMPUTED_VALUE"""),8424941)</f>
        <v>8424941</v>
      </c>
    </row>
    <row r="169" customFormat="false" ht="15.75" hidden="false" customHeight="false" outlineLevel="0" collapsed="false">
      <c r="A169" s="6" t="n">
        <f aca="false">IFERROR(__xludf.dummyfunction("""COMPUTED_VALUE"""),44440.6666666667)</f>
        <v>44440.6666666667</v>
      </c>
      <c r="B169" s="5" t="n">
        <f aca="false">IFERROR(__xludf.dummyfunction("""COMPUTED_VALUE"""),120.22)</f>
        <v>120.22</v>
      </c>
      <c r="C169" s="5" t="n">
        <f aca="false">IFERROR(__xludf.dummyfunction("""COMPUTED_VALUE"""),121.36)</f>
        <v>121.36</v>
      </c>
      <c r="D169" s="5" t="n">
        <f aca="false">IFERROR(__xludf.dummyfunction("""COMPUTED_VALUE"""),119.56)</f>
        <v>119.56</v>
      </c>
      <c r="E169" s="5" t="n">
        <f aca="false">IFERROR(__xludf.dummyfunction("""COMPUTED_VALUE"""),120.46)</f>
        <v>120.46</v>
      </c>
      <c r="F169" s="5" t="n">
        <f aca="false">IFERROR(__xludf.dummyfunction("""COMPUTED_VALUE"""),8603893)</f>
        <v>8603893</v>
      </c>
    </row>
    <row r="170" customFormat="false" ht="15.75" hidden="false" customHeight="false" outlineLevel="0" collapsed="false">
      <c r="A170" s="6" t="n">
        <f aca="false">IFERROR(__xludf.dummyfunction("""COMPUTED_VALUE"""),44441.6666666667)</f>
        <v>44441.6666666667</v>
      </c>
      <c r="B170" s="5" t="n">
        <f aca="false">IFERROR(__xludf.dummyfunction("""COMPUTED_VALUE"""),120.94)</f>
        <v>120.94</v>
      </c>
      <c r="C170" s="5" t="n">
        <f aca="false">IFERROR(__xludf.dummyfunction("""COMPUTED_VALUE"""),121.39)</f>
        <v>121.39</v>
      </c>
      <c r="D170" s="5" t="n">
        <f aca="false">IFERROR(__xludf.dummyfunction("""COMPUTED_VALUE"""),120.46)</f>
        <v>120.46</v>
      </c>
      <c r="E170" s="5" t="n">
        <f aca="false">IFERROR(__xludf.dummyfunction("""COMPUTED_VALUE"""),120.79)</f>
        <v>120.79</v>
      </c>
      <c r="F170" s="5" t="n">
        <f aca="false">IFERROR(__xludf.dummyfunction("""COMPUTED_VALUE"""),6869814)</f>
        <v>6869814</v>
      </c>
    </row>
    <row r="171" customFormat="false" ht="15.75" hidden="false" customHeight="false" outlineLevel="0" collapsed="false">
      <c r="A171" s="6" t="n">
        <f aca="false">IFERROR(__xludf.dummyfunction("""COMPUTED_VALUE"""),44442.6666666667)</f>
        <v>44442.6666666667</v>
      </c>
      <c r="B171" s="5" t="n">
        <f aca="false">IFERROR(__xludf.dummyfunction("""COMPUTED_VALUE"""),121.58)</f>
        <v>121.58</v>
      </c>
      <c r="C171" s="5" t="n">
        <f aca="false">IFERROR(__xludf.dummyfunction("""COMPUTED_VALUE"""),124.48)</f>
        <v>124.48</v>
      </c>
      <c r="D171" s="5" t="n">
        <f aca="false">IFERROR(__xludf.dummyfunction("""COMPUTED_VALUE"""),121.26)</f>
        <v>121.26</v>
      </c>
      <c r="E171" s="5" t="n">
        <f aca="false">IFERROR(__xludf.dummyfunction("""COMPUTED_VALUE"""),123.97)</f>
        <v>123.97</v>
      </c>
      <c r="F171" s="5" t="n">
        <f aca="false">IFERROR(__xludf.dummyfunction("""COMPUTED_VALUE"""),10369888)</f>
        <v>10369888</v>
      </c>
    </row>
    <row r="172" customFormat="false" ht="15.75" hidden="false" customHeight="false" outlineLevel="0" collapsed="false">
      <c r="A172" s="6" t="n">
        <f aca="false">IFERROR(__xludf.dummyfunction("""COMPUTED_VALUE"""),44446.6666666667)</f>
        <v>44446.6666666667</v>
      </c>
      <c r="B172" s="5" t="n">
        <f aca="false">IFERROR(__xludf.dummyfunction("""COMPUTED_VALUE"""),124.62)</f>
        <v>124.62</v>
      </c>
      <c r="C172" s="5" t="n">
        <f aca="false">IFERROR(__xludf.dummyfunction("""COMPUTED_VALUE"""),125.28)</f>
        <v>125.28</v>
      </c>
      <c r="D172" s="5" t="n">
        <f aca="false">IFERROR(__xludf.dummyfunction("""COMPUTED_VALUE"""),123.89)</f>
        <v>123.89</v>
      </c>
      <c r="E172" s="5" t="n">
        <f aca="false">IFERROR(__xludf.dummyfunction("""COMPUTED_VALUE"""),124.7)</f>
        <v>124.7</v>
      </c>
      <c r="F172" s="5" t="n">
        <f aca="false">IFERROR(__xludf.dummyfunction("""COMPUTED_VALUE"""),9746856)</f>
        <v>9746856</v>
      </c>
    </row>
    <row r="173" customFormat="false" ht="15.75" hidden="false" customHeight="false" outlineLevel="0" collapsed="false">
      <c r="A173" s="6" t="n">
        <f aca="false">IFERROR(__xludf.dummyfunction("""COMPUTED_VALUE"""),44447.6666666667)</f>
        <v>44447.6666666667</v>
      </c>
      <c r="B173" s="5" t="n">
        <f aca="false">IFERROR(__xludf.dummyfunction("""COMPUTED_VALUE"""),122.97)</f>
        <v>122.97</v>
      </c>
      <c r="C173" s="5" t="n">
        <f aca="false">IFERROR(__xludf.dummyfunction("""COMPUTED_VALUE"""),123.14)</f>
        <v>123.14</v>
      </c>
      <c r="D173" s="5" t="n">
        <f aca="false">IFERROR(__xludf.dummyfunction("""COMPUTED_VALUE"""),121.23)</f>
        <v>121.23</v>
      </c>
      <c r="E173" s="5" t="n">
        <f aca="false">IFERROR(__xludf.dummyfunction("""COMPUTED_VALUE"""),121.89)</f>
        <v>121.89</v>
      </c>
      <c r="F173" s="5" t="n">
        <f aca="false">IFERROR(__xludf.dummyfunction("""COMPUTED_VALUE"""),7983285)</f>
        <v>7983285</v>
      </c>
    </row>
    <row r="174" customFormat="false" ht="15.75" hidden="false" customHeight="false" outlineLevel="0" collapsed="false">
      <c r="A174" s="6" t="n">
        <f aca="false">IFERROR(__xludf.dummyfunction("""COMPUTED_VALUE"""),44448.6666666667)</f>
        <v>44448.6666666667</v>
      </c>
      <c r="B174" s="5" t="n">
        <f aca="false">IFERROR(__xludf.dummyfunction("""COMPUTED_VALUE"""),122.19)</f>
        <v>122.19</v>
      </c>
      <c r="C174" s="5" t="n">
        <f aca="false">IFERROR(__xludf.dummyfunction("""COMPUTED_VALUE"""),123.49)</f>
        <v>123.49</v>
      </c>
      <c r="D174" s="5" t="n">
        <f aca="false">IFERROR(__xludf.dummyfunction("""COMPUTED_VALUE"""),121.88)</f>
        <v>121.88</v>
      </c>
      <c r="E174" s="5" t="n">
        <f aca="false">IFERROR(__xludf.dummyfunction("""COMPUTED_VALUE"""),122.68)</f>
        <v>122.68</v>
      </c>
      <c r="F174" s="5" t="n">
        <f aca="false">IFERROR(__xludf.dummyfunction("""COMPUTED_VALUE"""),5101323)</f>
        <v>5101323</v>
      </c>
    </row>
    <row r="175" customFormat="false" ht="15.75" hidden="false" customHeight="false" outlineLevel="0" collapsed="false">
      <c r="A175" s="6" t="n">
        <f aca="false">IFERROR(__xludf.dummyfunction("""COMPUTED_VALUE"""),44449.6666666667)</f>
        <v>44449.6666666667</v>
      </c>
      <c r="B175" s="5" t="n">
        <f aca="false">IFERROR(__xludf.dummyfunction("""COMPUTED_VALUE"""),123.02)</f>
        <v>123.02</v>
      </c>
      <c r="C175" s="5" t="n">
        <f aca="false">IFERROR(__xludf.dummyfunction("""COMPUTED_VALUE"""),124.34)</f>
        <v>124.34</v>
      </c>
      <c r="D175" s="5" t="n">
        <f aca="false">IFERROR(__xludf.dummyfunction("""COMPUTED_VALUE"""),122.89)</f>
        <v>122.89</v>
      </c>
      <c r="E175" s="5" t="n">
        <f aca="false">IFERROR(__xludf.dummyfunction("""COMPUTED_VALUE"""),122.97)</f>
        <v>122.97</v>
      </c>
      <c r="F175" s="5" t="n">
        <f aca="false">IFERROR(__xludf.dummyfunction("""COMPUTED_VALUE"""),5163940)</f>
        <v>5163940</v>
      </c>
    </row>
    <row r="176" customFormat="false" ht="15.75" hidden="false" customHeight="false" outlineLevel="0" collapsed="false">
      <c r="A176" s="6" t="n">
        <f aca="false">IFERROR(__xludf.dummyfunction("""COMPUTED_VALUE"""),44452.6666666667)</f>
        <v>44452.6666666667</v>
      </c>
      <c r="B176" s="5" t="n">
        <f aca="false">IFERROR(__xludf.dummyfunction("""COMPUTED_VALUE"""),122.94)</f>
        <v>122.94</v>
      </c>
      <c r="C176" s="5" t="n">
        <f aca="false">IFERROR(__xludf.dummyfunction("""COMPUTED_VALUE"""),124.1)</f>
        <v>124.1</v>
      </c>
      <c r="D176" s="5" t="n">
        <f aca="false">IFERROR(__xludf.dummyfunction("""COMPUTED_VALUE"""),122.2)</f>
        <v>122.2</v>
      </c>
      <c r="E176" s="5" t="n">
        <f aca="false">IFERROR(__xludf.dummyfunction("""COMPUTED_VALUE"""),123.62)</f>
        <v>123.62</v>
      </c>
      <c r="F176" s="5" t="n">
        <f aca="false">IFERROR(__xludf.dummyfunction("""COMPUTED_VALUE"""),6622769)</f>
        <v>6622769</v>
      </c>
    </row>
    <row r="177" customFormat="false" ht="15.75" hidden="false" customHeight="false" outlineLevel="0" collapsed="false">
      <c r="A177" s="6" t="n">
        <f aca="false">IFERROR(__xludf.dummyfunction("""COMPUTED_VALUE"""),44453.6666666667)</f>
        <v>44453.6666666667</v>
      </c>
      <c r="B177" s="5" t="n">
        <f aca="false">IFERROR(__xludf.dummyfunction("""COMPUTED_VALUE"""),123.63)</f>
        <v>123.63</v>
      </c>
      <c r="C177" s="5" t="n">
        <f aca="false">IFERROR(__xludf.dummyfunction("""COMPUTED_VALUE"""),123.63)</f>
        <v>123.63</v>
      </c>
      <c r="D177" s="5" t="n">
        <f aca="false">IFERROR(__xludf.dummyfunction("""COMPUTED_VALUE"""),122.4)</f>
        <v>122.4</v>
      </c>
      <c r="E177" s="5" t="n">
        <f aca="false">IFERROR(__xludf.dummyfunction("""COMPUTED_VALUE"""),123.09)</f>
        <v>123.09</v>
      </c>
      <c r="F177" s="5" t="n">
        <f aca="false">IFERROR(__xludf.dummyfunction("""COMPUTED_VALUE"""),5110493)</f>
        <v>5110493</v>
      </c>
    </row>
    <row r="178" customFormat="false" ht="15.75" hidden="false" customHeight="false" outlineLevel="0" collapsed="false">
      <c r="A178" s="6" t="n">
        <f aca="false">IFERROR(__xludf.dummyfunction("""COMPUTED_VALUE"""),44454.6666666667)</f>
        <v>44454.6666666667</v>
      </c>
      <c r="B178" s="5" t="n">
        <f aca="false">IFERROR(__xludf.dummyfunction("""COMPUTED_VALUE"""),122.41)</f>
        <v>122.41</v>
      </c>
      <c r="C178" s="5" t="n">
        <f aca="false">IFERROR(__xludf.dummyfunction("""COMPUTED_VALUE"""),122.5)</f>
        <v>122.5</v>
      </c>
      <c r="D178" s="5" t="n">
        <f aca="false">IFERROR(__xludf.dummyfunction("""COMPUTED_VALUE"""),120.88)</f>
        <v>120.88</v>
      </c>
      <c r="E178" s="5" t="n">
        <f aca="false">IFERROR(__xludf.dummyfunction("""COMPUTED_VALUE"""),121.5)</f>
        <v>121.5</v>
      </c>
      <c r="F178" s="5" t="n">
        <f aca="false">IFERROR(__xludf.dummyfunction("""COMPUTED_VALUE"""),5566531)</f>
        <v>5566531</v>
      </c>
    </row>
    <row r="179" customFormat="false" ht="15.75" hidden="false" customHeight="false" outlineLevel="0" collapsed="false">
      <c r="A179" s="6" t="n">
        <f aca="false">IFERROR(__xludf.dummyfunction("""COMPUTED_VALUE"""),44455.6666666667)</f>
        <v>44455.6666666667</v>
      </c>
      <c r="B179" s="5" t="n">
        <f aca="false">IFERROR(__xludf.dummyfunction("""COMPUTED_VALUE"""),120)</f>
        <v>120</v>
      </c>
      <c r="C179" s="5" t="n">
        <f aca="false">IFERROR(__xludf.dummyfunction("""COMPUTED_VALUE"""),121.13)</f>
        <v>121.13</v>
      </c>
      <c r="D179" s="5" t="n">
        <f aca="false">IFERROR(__xludf.dummyfunction("""COMPUTED_VALUE"""),119.35)</f>
        <v>119.35</v>
      </c>
      <c r="E179" s="5" t="n">
        <f aca="false">IFERROR(__xludf.dummyfunction("""COMPUTED_VALUE"""),120.79)</f>
        <v>120.79</v>
      </c>
      <c r="F179" s="5" t="n">
        <f aca="false">IFERROR(__xludf.dummyfunction("""COMPUTED_VALUE"""),7301357)</f>
        <v>7301357</v>
      </c>
    </row>
    <row r="180" customFormat="false" ht="15.75" hidden="false" customHeight="false" outlineLevel="0" collapsed="false">
      <c r="A180" s="6" t="n">
        <f aca="false">IFERROR(__xludf.dummyfunction("""COMPUTED_VALUE"""),44456.6666666667)</f>
        <v>44456.6666666667</v>
      </c>
      <c r="B180" s="5" t="n">
        <f aca="false">IFERROR(__xludf.dummyfunction("""COMPUTED_VALUE"""),120.19)</f>
        <v>120.19</v>
      </c>
      <c r="C180" s="5" t="n">
        <f aca="false">IFERROR(__xludf.dummyfunction("""COMPUTED_VALUE"""),120.47)</f>
        <v>120.47</v>
      </c>
      <c r="D180" s="5" t="n">
        <f aca="false">IFERROR(__xludf.dummyfunction("""COMPUTED_VALUE"""),117.69)</f>
        <v>117.69</v>
      </c>
      <c r="E180" s="5" t="n">
        <f aca="false">IFERROR(__xludf.dummyfunction("""COMPUTED_VALUE"""),117.75)</f>
        <v>117.75</v>
      </c>
      <c r="F180" s="5" t="n">
        <f aca="false">IFERROR(__xludf.dummyfunction("""COMPUTED_VALUE"""),10729198)</f>
        <v>10729198</v>
      </c>
    </row>
    <row r="181" customFormat="false" ht="15.75" hidden="false" customHeight="false" outlineLevel="0" collapsed="false">
      <c r="A181" s="6" t="n">
        <f aca="false">IFERROR(__xludf.dummyfunction("""COMPUTED_VALUE"""),44459.6666666667)</f>
        <v>44459.6666666667</v>
      </c>
      <c r="B181" s="5" t="n">
        <f aca="false">IFERROR(__xludf.dummyfunction("""COMPUTED_VALUE"""),115.2)</f>
        <v>115.2</v>
      </c>
      <c r="C181" s="5" t="n">
        <f aca="false">IFERROR(__xludf.dummyfunction("""COMPUTED_VALUE"""),116.01)</f>
        <v>116.01</v>
      </c>
      <c r="D181" s="5" t="n">
        <f aca="false">IFERROR(__xludf.dummyfunction("""COMPUTED_VALUE"""),113.55)</f>
        <v>113.55</v>
      </c>
      <c r="E181" s="5" t="n">
        <f aca="false">IFERROR(__xludf.dummyfunction("""COMPUTED_VALUE"""),114.7)</f>
        <v>114.7</v>
      </c>
      <c r="F181" s="5" t="n">
        <f aca="false">IFERROR(__xludf.dummyfunction("""COMPUTED_VALUE"""),8991029)</f>
        <v>8991029</v>
      </c>
    </row>
    <row r="182" customFormat="false" ht="15.75" hidden="false" customHeight="false" outlineLevel="0" collapsed="false">
      <c r="A182" s="6" t="n">
        <f aca="false">IFERROR(__xludf.dummyfunction("""COMPUTED_VALUE"""),44460.6666666667)</f>
        <v>44460.6666666667</v>
      </c>
      <c r="B182" s="5" t="n">
        <f aca="false">IFERROR(__xludf.dummyfunction("""COMPUTED_VALUE"""),115.65)</f>
        <v>115.65</v>
      </c>
      <c r="C182" s="5" t="n">
        <f aca="false">IFERROR(__xludf.dummyfunction("""COMPUTED_VALUE"""),115.87)</f>
        <v>115.87</v>
      </c>
      <c r="D182" s="5" t="n">
        <f aca="false">IFERROR(__xludf.dummyfunction("""COMPUTED_VALUE"""),114.55)</f>
        <v>114.55</v>
      </c>
      <c r="E182" s="5" t="n">
        <f aca="false">IFERROR(__xludf.dummyfunction("""COMPUTED_VALUE"""),114.96)</f>
        <v>114.96</v>
      </c>
      <c r="F182" s="5" t="n">
        <f aca="false">IFERROR(__xludf.dummyfunction("""COMPUTED_VALUE"""),8182230)</f>
        <v>8182230</v>
      </c>
    </row>
    <row r="183" customFormat="false" ht="15.75" hidden="false" customHeight="false" outlineLevel="0" collapsed="false">
      <c r="A183" s="6" t="n">
        <f aca="false">IFERROR(__xludf.dummyfunction("""COMPUTED_VALUE"""),44461.6666666667)</f>
        <v>44461.6666666667</v>
      </c>
      <c r="B183" s="5" t="n">
        <f aca="false">IFERROR(__xludf.dummyfunction("""COMPUTED_VALUE"""),115.23)</f>
        <v>115.23</v>
      </c>
      <c r="C183" s="5" t="n">
        <f aca="false">IFERROR(__xludf.dummyfunction("""COMPUTED_VALUE"""),116.24)</f>
        <v>116.24</v>
      </c>
      <c r="D183" s="5" t="n">
        <f aca="false">IFERROR(__xludf.dummyfunction("""COMPUTED_VALUE"""),114.91)</f>
        <v>114.91</v>
      </c>
      <c r="E183" s="5" t="n">
        <f aca="false">IFERROR(__xludf.dummyfunction("""COMPUTED_VALUE"""),115.87)</f>
        <v>115.87</v>
      </c>
      <c r="F183" s="5" t="n">
        <f aca="false">IFERROR(__xludf.dummyfunction("""COMPUTED_VALUE"""),5345592)</f>
        <v>5345592</v>
      </c>
    </row>
    <row r="184" customFormat="false" ht="15.75" hidden="false" customHeight="false" outlineLevel="0" collapsed="false">
      <c r="A184" s="6" t="n">
        <f aca="false">IFERROR(__xludf.dummyfunction("""COMPUTED_VALUE"""),44462.6666666667)</f>
        <v>44462.6666666667</v>
      </c>
      <c r="B184" s="5" t="n">
        <f aca="false">IFERROR(__xludf.dummyfunction("""COMPUTED_VALUE"""),116.97)</f>
        <v>116.97</v>
      </c>
      <c r="C184" s="5" t="n">
        <f aca="false">IFERROR(__xludf.dummyfunction("""COMPUTED_VALUE"""),116.97)</f>
        <v>116.97</v>
      </c>
      <c r="D184" s="5" t="n">
        <f aca="false">IFERROR(__xludf.dummyfunction("""COMPUTED_VALUE"""),115.59)</f>
        <v>115.59</v>
      </c>
      <c r="E184" s="5" t="n">
        <f aca="false">IFERROR(__xludf.dummyfunction("""COMPUTED_VALUE"""),116.19)</f>
        <v>116.19</v>
      </c>
      <c r="F184" s="5" t="n">
        <f aca="false">IFERROR(__xludf.dummyfunction("""COMPUTED_VALUE"""),5484707)</f>
        <v>5484707</v>
      </c>
    </row>
    <row r="185" customFormat="false" ht="15.75" hidden="false" customHeight="false" outlineLevel="0" collapsed="false">
      <c r="A185" s="6" t="n">
        <f aca="false">IFERROR(__xludf.dummyfunction("""COMPUTED_VALUE"""),44463.6666666667)</f>
        <v>44463.6666666667</v>
      </c>
      <c r="B185" s="5" t="n">
        <f aca="false">IFERROR(__xludf.dummyfunction("""COMPUTED_VALUE"""),116)</f>
        <v>116</v>
      </c>
      <c r="C185" s="5" t="n">
        <f aca="false">IFERROR(__xludf.dummyfunction("""COMPUTED_VALUE"""),116.56)</f>
        <v>116.56</v>
      </c>
      <c r="D185" s="5" t="n">
        <f aca="false">IFERROR(__xludf.dummyfunction("""COMPUTED_VALUE"""),115.53)</f>
        <v>115.53</v>
      </c>
      <c r="E185" s="5" t="n">
        <f aca="false">IFERROR(__xludf.dummyfunction("""COMPUTED_VALUE"""),115.64)</f>
        <v>115.64</v>
      </c>
      <c r="F185" s="5" t="n">
        <f aca="false">IFERROR(__xludf.dummyfunction("""COMPUTED_VALUE"""),4455865)</f>
        <v>4455865</v>
      </c>
    </row>
    <row r="186" customFormat="false" ht="15.75" hidden="false" customHeight="false" outlineLevel="0" collapsed="false">
      <c r="A186" s="6" t="n">
        <f aca="false">IFERROR(__xludf.dummyfunction("""COMPUTED_VALUE"""),44466.6666666667)</f>
        <v>44466.6666666667</v>
      </c>
      <c r="B186" s="5" t="n">
        <f aca="false">IFERROR(__xludf.dummyfunction("""COMPUTED_VALUE"""),115.7)</f>
        <v>115.7</v>
      </c>
      <c r="C186" s="5" t="n">
        <f aca="false">IFERROR(__xludf.dummyfunction("""COMPUTED_VALUE"""),116.57)</f>
        <v>116.57</v>
      </c>
      <c r="D186" s="5" t="n">
        <f aca="false">IFERROR(__xludf.dummyfunction("""COMPUTED_VALUE"""),115.01)</f>
        <v>115.01</v>
      </c>
      <c r="E186" s="5" t="n">
        <f aca="false">IFERROR(__xludf.dummyfunction("""COMPUTED_VALUE"""),116.15)</f>
        <v>116.15</v>
      </c>
      <c r="F186" s="5" t="n">
        <f aca="false">IFERROR(__xludf.dummyfunction("""COMPUTED_VALUE"""),5198843)</f>
        <v>5198843</v>
      </c>
    </row>
    <row r="187" customFormat="false" ht="15.75" hidden="false" customHeight="false" outlineLevel="0" collapsed="false">
      <c r="A187" s="6" t="n">
        <f aca="false">IFERROR(__xludf.dummyfunction("""COMPUTED_VALUE"""),44467.6666666667)</f>
        <v>44467.6666666667</v>
      </c>
      <c r="B187" s="5" t="n">
        <f aca="false">IFERROR(__xludf.dummyfunction("""COMPUTED_VALUE"""),114.33)</f>
        <v>114.33</v>
      </c>
      <c r="C187" s="5" t="n">
        <f aca="false">IFERROR(__xludf.dummyfunction("""COMPUTED_VALUE"""),115.04)</f>
        <v>115.04</v>
      </c>
      <c r="D187" s="5" t="n">
        <f aca="false">IFERROR(__xludf.dummyfunction("""COMPUTED_VALUE"""),111.85)</f>
        <v>111.85</v>
      </c>
      <c r="E187" s="5" t="n">
        <f aca="false">IFERROR(__xludf.dummyfunction("""COMPUTED_VALUE"""),111.9)</f>
        <v>111.9</v>
      </c>
      <c r="F187" s="5" t="n">
        <f aca="false">IFERROR(__xludf.dummyfunction("""COMPUTED_VALUE"""),9792250)</f>
        <v>9792250</v>
      </c>
    </row>
    <row r="188" customFormat="false" ht="15.75" hidden="false" customHeight="false" outlineLevel="0" collapsed="false">
      <c r="A188" s="6" t="n">
        <f aca="false">IFERROR(__xludf.dummyfunction("""COMPUTED_VALUE"""),44468.6666666667)</f>
        <v>44468.6666666667</v>
      </c>
      <c r="B188" s="5" t="n">
        <f aca="false">IFERROR(__xludf.dummyfunction("""COMPUTED_VALUE"""),112.3)</f>
        <v>112.3</v>
      </c>
      <c r="C188" s="5" t="n">
        <f aca="false">IFERROR(__xludf.dummyfunction("""COMPUTED_VALUE"""),112.85)</f>
        <v>112.85</v>
      </c>
      <c r="D188" s="5" t="n">
        <f aca="false">IFERROR(__xludf.dummyfunction("""COMPUTED_VALUE"""),111.02)</f>
        <v>111.02</v>
      </c>
      <c r="E188" s="5" t="n">
        <f aca="false">IFERROR(__xludf.dummyfunction("""COMPUTED_VALUE"""),111.62)</f>
        <v>111.62</v>
      </c>
      <c r="F188" s="5" t="n">
        <f aca="false">IFERROR(__xludf.dummyfunction("""COMPUTED_VALUE"""),6522356)</f>
        <v>6522356</v>
      </c>
    </row>
    <row r="189" customFormat="false" ht="15.75" hidden="false" customHeight="false" outlineLevel="0" collapsed="false">
      <c r="A189" s="6" t="n">
        <f aca="false">IFERROR(__xludf.dummyfunction("""COMPUTED_VALUE"""),44469.6666666667)</f>
        <v>44469.6666666667</v>
      </c>
      <c r="B189" s="5" t="n">
        <f aca="false">IFERROR(__xludf.dummyfunction("""COMPUTED_VALUE"""),112.43)</f>
        <v>112.43</v>
      </c>
      <c r="C189" s="5" t="n">
        <f aca="false">IFERROR(__xludf.dummyfunction("""COMPUTED_VALUE"""),113.35)</f>
        <v>113.35</v>
      </c>
      <c r="D189" s="5" t="n">
        <f aca="false">IFERROR(__xludf.dummyfunction("""COMPUTED_VALUE"""),111.65)</f>
        <v>111.65</v>
      </c>
      <c r="E189" s="5" t="n">
        <f aca="false">IFERROR(__xludf.dummyfunction("""COMPUTED_VALUE"""),111.65)</f>
        <v>111.65</v>
      </c>
      <c r="F189" s="5" t="n">
        <f aca="false">IFERROR(__xludf.dummyfunction("""COMPUTED_VALUE"""),6437891)</f>
        <v>6437891</v>
      </c>
    </row>
    <row r="190" customFormat="false" ht="15.75" hidden="false" customHeight="false" outlineLevel="0" collapsed="false">
      <c r="A190" s="6" t="n">
        <f aca="false">IFERROR(__xludf.dummyfunction("""COMPUTED_VALUE"""),44470.6666666667)</f>
        <v>44470.6666666667</v>
      </c>
      <c r="B190" s="5" t="n">
        <f aca="false">IFERROR(__xludf.dummyfunction("""COMPUTED_VALUE"""),112)</f>
        <v>112</v>
      </c>
      <c r="C190" s="5" t="n">
        <f aca="false">IFERROR(__xludf.dummyfunction("""COMPUTED_VALUE"""),112.3)</f>
        <v>112.3</v>
      </c>
      <c r="D190" s="5" t="n">
        <f aca="false">IFERROR(__xludf.dummyfunction("""COMPUTED_VALUE"""),110.3)</f>
        <v>110.3</v>
      </c>
      <c r="E190" s="5" t="n">
        <f aca="false">IFERROR(__xludf.dummyfunction("""COMPUTED_VALUE"""),111.56)</f>
        <v>111.56</v>
      </c>
      <c r="F190" s="5" t="n">
        <f aca="false">IFERROR(__xludf.dummyfunction("""COMPUTED_VALUE"""),5315200)</f>
        <v>5315200</v>
      </c>
    </row>
    <row r="191" customFormat="false" ht="15.75" hidden="false" customHeight="false" outlineLevel="0" collapsed="false">
      <c r="A191" s="6" t="n">
        <f aca="false">IFERROR(__xludf.dummyfunction("""COMPUTED_VALUE"""),44473.6666666667)</f>
        <v>44473.6666666667</v>
      </c>
      <c r="B191" s="5" t="n">
        <f aca="false">IFERROR(__xludf.dummyfunction("""COMPUTED_VALUE"""),111)</f>
        <v>111</v>
      </c>
      <c r="C191" s="5" t="n">
        <f aca="false">IFERROR(__xludf.dummyfunction("""COMPUTED_VALUE"""),111.43)</f>
        <v>111.43</v>
      </c>
      <c r="D191" s="5" t="n">
        <f aca="false">IFERROR(__xludf.dummyfunction("""COMPUTED_VALUE"""),108.52)</f>
        <v>108.52</v>
      </c>
      <c r="E191" s="5" t="n">
        <f aca="false">IFERROR(__xludf.dummyfunction("""COMPUTED_VALUE"""),109.02)</f>
        <v>109.02</v>
      </c>
      <c r="F191" s="5" t="n">
        <f aca="false">IFERROR(__xludf.dummyfunction("""COMPUTED_VALUE"""),8514511)</f>
        <v>8514511</v>
      </c>
    </row>
    <row r="192" customFormat="false" ht="15.75" hidden="false" customHeight="false" outlineLevel="0" collapsed="false">
      <c r="A192" s="6" t="n">
        <f aca="false">IFERROR(__xludf.dummyfunction("""COMPUTED_VALUE"""),44474.6666666667)</f>
        <v>44474.6666666667</v>
      </c>
      <c r="B192" s="5" t="n">
        <f aca="false">IFERROR(__xludf.dummyfunction("""COMPUTED_VALUE"""),109.8)</f>
        <v>109.8</v>
      </c>
      <c r="C192" s="5" t="n">
        <f aca="false">IFERROR(__xludf.dummyfunction("""COMPUTED_VALUE"""),110.35)</f>
        <v>110.35</v>
      </c>
      <c r="D192" s="5" t="n">
        <f aca="false">IFERROR(__xludf.dummyfunction("""COMPUTED_VALUE"""),109.22)</f>
        <v>109.22</v>
      </c>
      <c r="E192" s="5" t="n">
        <f aca="false">IFERROR(__xludf.dummyfunction("""COMPUTED_VALUE"""),109.26)</f>
        <v>109.26</v>
      </c>
      <c r="F192" s="5" t="n">
        <f aca="false">IFERROR(__xludf.dummyfunction("""COMPUTED_VALUE"""),8039615)</f>
        <v>8039615</v>
      </c>
    </row>
    <row r="193" customFormat="false" ht="15.75" hidden="false" customHeight="false" outlineLevel="0" collapsed="false">
      <c r="A193" s="6" t="n">
        <f aca="false">IFERROR(__xludf.dummyfunction("""COMPUTED_VALUE"""),44475.6666666667)</f>
        <v>44475.6666666667</v>
      </c>
      <c r="B193" s="5" t="n">
        <f aca="false">IFERROR(__xludf.dummyfunction("""COMPUTED_VALUE"""),108.44)</f>
        <v>108.44</v>
      </c>
      <c r="C193" s="5" t="n">
        <f aca="false">IFERROR(__xludf.dummyfunction("""COMPUTED_VALUE"""),109.52)</f>
        <v>109.52</v>
      </c>
      <c r="D193" s="5" t="n">
        <f aca="false">IFERROR(__xludf.dummyfunction("""COMPUTED_VALUE"""),107.58)</f>
        <v>107.58</v>
      </c>
      <c r="E193" s="5" t="n">
        <f aca="false">IFERROR(__xludf.dummyfunction("""COMPUTED_VALUE"""),109.34)</f>
        <v>109.34</v>
      </c>
      <c r="F193" s="5" t="n">
        <f aca="false">IFERROR(__xludf.dummyfunction("""COMPUTED_VALUE"""),7553611)</f>
        <v>7553611</v>
      </c>
    </row>
    <row r="194" customFormat="false" ht="15.75" hidden="false" customHeight="false" outlineLevel="0" collapsed="false">
      <c r="A194" s="6" t="n">
        <f aca="false">IFERROR(__xludf.dummyfunction("""COMPUTED_VALUE"""),44476.6666666667)</f>
        <v>44476.6666666667</v>
      </c>
      <c r="B194" s="5" t="n">
        <f aca="false">IFERROR(__xludf.dummyfunction("""COMPUTED_VALUE"""),111)</f>
        <v>111</v>
      </c>
      <c r="C194" s="5" t="n">
        <f aca="false">IFERROR(__xludf.dummyfunction("""COMPUTED_VALUE"""),111.71)</f>
        <v>111.71</v>
      </c>
      <c r="D194" s="5" t="n">
        <f aca="false">IFERROR(__xludf.dummyfunction("""COMPUTED_VALUE"""),110.49)</f>
        <v>110.49</v>
      </c>
      <c r="E194" s="5" t="n">
        <f aca="false">IFERROR(__xludf.dummyfunction("""COMPUTED_VALUE"""),110.83)</f>
        <v>110.83</v>
      </c>
      <c r="F194" s="5" t="n">
        <f aca="false">IFERROR(__xludf.dummyfunction("""COMPUTED_VALUE"""),7821918)</f>
        <v>7821918</v>
      </c>
    </row>
    <row r="195" customFormat="false" ht="15.75" hidden="false" customHeight="false" outlineLevel="0" collapsed="false">
      <c r="A195" s="6" t="n">
        <f aca="false">IFERROR(__xludf.dummyfunction("""COMPUTED_VALUE"""),44477.6666666667)</f>
        <v>44477.6666666667</v>
      </c>
      <c r="B195" s="5" t="n">
        <f aca="false">IFERROR(__xludf.dummyfunction("""COMPUTED_VALUE"""),110.98)</f>
        <v>110.98</v>
      </c>
      <c r="C195" s="5" t="n">
        <f aca="false">IFERROR(__xludf.dummyfunction("""COMPUTED_VALUE"""),111.07)</f>
        <v>111.07</v>
      </c>
      <c r="D195" s="5" t="n">
        <f aca="false">IFERROR(__xludf.dummyfunction("""COMPUTED_VALUE"""),109.51)</f>
        <v>109.51</v>
      </c>
      <c r="E195" s="5" t="n">
        <f aca="false">IFERROR(__xludf.dummyfunction("""COMPUTED_VALUE"""),110.04)</f>
        <v>110.04</v>
      </c>
      <c r="F195" s="5" t="n">
        <f aca="false">IFERROR(__xludf.dummyfunction("""COMPUTED_VALUE"""),5143409)</f>
        <v>5143409</v>
      </c>
    </row>
    <row r="196" customFormat="false" ht="15.75" hidden="false" customHeight="false" outlineLevel="0" collapsed="false">
      <c r="A196" s="6" t="n">
        <f aca="false">IFERROR(__xludf.dummyfunction("""COMPUTED_VALUE"""),44480.6666666667)</f>
        <v>44480.6666666667</v>
      </c>
      <c r="B196" s="5" t="n">
        <f aca="false">IFERROR(__xludf.dummyfunction("""COMPUTED_VALUE"""),110.08)</f>
        <v>110.08</v>
      </c>
      <c r="C196" s="5" t="n">
        <f aca="false">IFERROR(__xludf.dummyfunction("""COMPUTED_VALUE"""),111.71)</f>
        <v>111.71</v>
      </c>
      <c r="D196" s="5" t="n">
        <f aca="false">IFERROR(__xludf.dummyfunction("""COMPUTED_VALUE"""),109.9)</f>
        <v>109.9</v>
      </c>
      <c r="E196" s="5" t="n">
        <f aca="false">IFERROR(__xludf.dummyfunction("""COMPUTED_VALUE"""),110.26)</f>
        <v>110.26</v>
      </c>
      <c r="F196" s="5" t="n">
        <f aca="false">IFERROR(__xludf.dummyfunction("""COMPUTED_VALUE"""),5318487)</f>
        <v>5318487</v>
      </c>
    </row>
    <row r="197" customFormat="false" ht="15.75" hidden="false" customHeight="false" outlineLevel="0" collapsed="false">
      <c r="A197" s="6" t="n">
        <f aca="false">IFERROR(__xludf.dummyfunction("""COMPUTED_VALUE"""),44481.6666666667)</f>
        <v>44481.6666666667</v>
      </c>
      <c r="B197" s="5" t="n">
        <f aca="false">IFERROR(__xludf.dummyfunction("""COMPUTED_VALUE"""),110.47)</f>
        <v>110.47</v>
      </c>
      <c r="C197" s="5" t="n">
        <f aca="false">IFERROR(__xludf.dummyfunction("""COMPUTED_VALUE"""),111.03)</f>
        <v>111.03</v>
      </c>
      <c r="D197" s="5" t="n">
        <f aca="false">IFERROR(__xludf.dummyfunction("""COMPUTED_VALUE"""),108.56)</f>
        <v>108.56</v>
      </c>
      <c r="E197" s="5" t="n">
        <f aca="false">IFERROR(__xludf.dummyfunction("""COMPUTED_VALUE"""),109.2)</f>
        <v>109.2</v>
      </c>
      <c r="F197" s="5" t="n">
        <f aca="false">IFERROR(__xludf.dummyfunction("""COMPUTED_VALUE"""),9294631)</f>
        <v>9294631</v>
      </c>
    </row>
    <row r="198" customFormat="false" ht="15.75" hidden="false" customHeight="false" outlineLevel="0" collapsed="false">
      <c r="A198" s="6" t="n">
        <f aca="false">IFERROR(__xludf.dummyfunction("""COMPUTED_VALUE"""),44482.6666666667)</f>
        <v>44482.6666666667</v>
      </c>
      <c r="B198" s="5" t="n">
        <f aca="false">IFERROR(__xludf.dummyfunction("""COMPUTED_VALUE"""),109.32)</f>
        <v>109.32</v>
      </c>
      <c r="C198" s="5" t="n">
        <f aca="false">IFERROR(__xludf.dummyfunction("""COMPUTED_VALUE"""),110.05)</f>
        <v>110.05</v>
      </c>
      <c r="D198" s="5" t="n">
        <f aca="false">IFERROR(__xludf.dummyfunction("""COMPUTED_VALUE"""),108.95)</f>
        <v>108.95</v>
      </c>
      <c r="E198" s="5" t="n">
        <f aca="false">IFERROR(__xludf.dummyfunction("""COMPUTED_VALUE"""),109.98)</f>
        <v>109.98</v>
      </c>
      <c r="F198" s="5" t="n">
        <f aca="false">IFERROR(__xludf.dummyfunction("""COMPUTED_VALUE"""),7845095)</f>
        <v>7845095</v>
      </c>
    </row>
    <row r="199" customFormat="false" ht="15.75" hidden="false" customHeight="false" outlineLevel="0" collapsed="false">
      <c r="A199" s="6" t="n">
        <f aca="false">IFERROR(__xludf.dummyfunction("""COMPUTED_VALUE"""),44483.6666666667)</f>
        <v>44483.6666666667</v>
      </c>
      <c r="B199" s="5" t="n">
        <f aca="false">IFERROR(__xludf.dummyfunction("""COMPUTED_VALUE"""),114.14)</f>
        <v>114.14</v>
      </c>
      <c r="C199" s="5" t="n">
        <f aca="false">IFERROR(__xludf.dummyfunction("""COMPUTED_VALUE"""),114.74)</f>
        <v>114.74</v>
      </c>
      <c r="D199" s="5" t="n">
        <f aca="false">IFERROR(__xludf.dummyfunction("""COMPUTED_VALUE"""),111.16)</f>
        <v>111.16</v>
      </c>
      <c r="E199" s="5" t="n">
        <f aca="false">IFERROR(__xludf.dummyfunction("""COMPUTED_VALUE"""),112.56)</f>
        <v>112.56</v>
      </c>
      <c r="F199" s="5" t="n">
        <f aca="false">IFERROR(__xludf.dummyfunction("""COMPUTED_VALUE"""),16930481)</f>
        <v>16930481</v>
      </c>
    </row>
    <row r="200" customFormat="false" ht="15.75" hidden="false" customHeight="false" outlineLevel="0" collapsed="false">
      <c r="A200" s="6" t="n">
        <f aca="false">IFERROR(__xludf.dummyfunction("""COMPUTED_VALUE"""),44484.6666666667)</f>
        <v>44484.6666666667</v>
      </c>
      <c r="B200" s="5" t="n">
        <f aca="false">IFERROR(__xludf.dummyfunction("""COMPUTED_VALUE"""),114.78)</f>
        <v>114.78</v>
      </c>
      <c r="C200" s="5" t="n">
        <f aca="false">IFERROR(__xludf.dummyfunction("""COMPUTED_VALUE"""),114.95)</f>
        <v>114.95</v>
      </c>
      <c r="D200" s="5" t="n">
        <f aca="false">IFERROR(__xludf.dummyfunction("""COMPUTED_VALUE"""),112.96)</f>
        <v>112.96</v>
      </c>
      <c r="E200" s="5" t="n">
        <f aca="false">IFERROR(__xludf.dummyfunction("""COMPUTED_VALUE"""),114.86)</f>
        <v>114.86</v>
      </c>
      <c r="F200" s="5" t="n">
        <f aca="false">IFERROR(__xludf.dummyfunction("""COMPUTED_VALUE"""),11558807)</f>
        <v>11558807</v>
      </c>
    </row>
    <row r="201" customFormat="false" ht="15.75" hidden="false" customHeight="false" outlineLevel="0" collapsed="false">
      <c r="A201" s="6" t="n">
        <f aca="false">IFERROR(__xludf.dummyfunction("""COMPUTED_VALUE"""),44487.6666666667)</f>
        <v>44487.6666666667</v>
      </c>
      <c r="B201" s="5" t="n">
        <f aca="false">IFERROR(__xludf.dummyfunction("""COMPUTED_VALUE"""),113.42)</f>
        <v>113.42</v>
      </c>
      <c r="C201" s="5" t="n">
        <f aca="false">IFERROR(__xludf.dummyfunction("""COMPUTED_VALUE"""),115.35)</f>
        <v>115.35</v>
      </c>
      <c r="D201" s="5" t="n">
        <f aca="false">IFERROR(__xludf.dummyfunction("""COMPUTED_VALUE"""),113.42)</f>
        <v>113.42</v>
      </c>
      <c r="E201" s="5" t="n">
        <f aca="false">IFERROR(__xludf.dummyfunction("""COMPUTED_VALUE"""),115.34)</f>
        <v>115.34</v>
      </c>
      <c r="F201" s="5" t="n">
        <f aca="false">IFERROR(__xludf.dummyfunction("""COMPUTED_VALUE"""),6773808)</f>
        <v>6773808</v>
      </c>
    </row>
    <row r="202" customFormat="false" ht="15.75" hidden="false" customHeight="false" outlineLevel="0" collapsed="false">
      <c r="A202" s="6" t="n">
        <f aca="false">IFERROR(__xludf.dummyfunction("""COMPUTED_VALUE"""),44488.6666666667)</f>
        <v>44488.6666666667</v>
      </c>
      <c r="B202" s="5" t="n">
        <f aca="false">IFERROR(__xludf.dummyfunction("""COMPUTED_VALUE"""),115.8)</f>
        <v>115.8</v>
      </c>
      <c r="C202" s="5" t="n">
        <f aca="false">IFERROR(__xludf.dummyfunction("""COMPUTED_VALUE"""),116.98)</f>
        <v>116.98</v>
      </c>
      <c r="D202" s="5" t="n">
        <f aca="false">IFERROR(__xludf.dummyfunction("""COMPUTED_VALUE"""),115.63)</f>
        <v>115.63</v>
      </c>
      <c r="E202" s="5" t="n">
        <f aca="false">IFERROR(__xludf.dummyfunction("""COMPUTED_VALUE"""),116.96)</f>
        <v>116.96</v>
      </c>
      <c r="F202" s="5" t="n">
        <f aca="false">IFERROR(__xludf.dummyfunction("""COMPUTED_VALUE"""),5406087)</f>
        <v>5406087</v>
      </c>
    </row>
    <row r="203" customFormat="false" ht="15.75" hidden="false" customHeight="false" outlineLevel="0" collapsed="false">
      <c r="A203" s="6" t="n">
        <f aca="false">IFERROR(__xludf.dummyfunction("""COMPUTED_VALUE"""),44489.6666666667)</f>
        <v>44489.6666666667</v>
      </c>
      <c r="B203" s="5" t="n">
        <f aca="false">IFERROR(__xludf.dummyfunction("""COMPUTED_VALUE"""),116.88)</f>
        <v>116.88</v>
      </c>
      <c r="C203" s="5" t="n">
        <f aca="false">IFERROR(__xludf.dummyfunction("""COMPUTED_VALUE"""),117.03)</f>
        <v>117.03</v>
      </c>
      <c r="D203" s="5" t="n">
        <f aca="false">IFERROR(__xludf.dummyfunction("""COMPUTED_VALUE"""),115.55)</f>
        <v>115.55</v>
      </c>
      <c r="E203" s="5" t="n">
        <f aca="false">IFERROR(__xludf.dummyfunction("""COMPUTED_VALUE"""),115.59)</f>
        <v>115.59</v>
      </c>
      <c r="F203" s="5" t="n">
        <f aca="false">IFERROR(__xludf.dummyfunction("""COMPUTED_VALUE"""),8205785)</f>
        <v>8205785</v>
      </c>
    </row>
    <row r="204" customFormat="false" ht="15.75" hidden="false" customHeight="false" outlineLevel="0" collapsed="false">
      <c r="A204" s="6" t="n">
        <f aca="false">IFERROR(__xludf.dummyfunction("""COMPUTED_VALUE"""),44490.6666666667)</f>
        <v>44490.6666666667</v>
      </c>
      <c r="B204" s="5" t="n">
        <f aca="false">IFERROR(__xludf.dummyfunction("""COMPUTED_VALUE"""),115.01)</f>
        <v>115.01</v>
      </c>
      <c r="C204" s="5" t="n">
        <f aca="false">IFERROR(__xludf.dummyfunction("""COMPUTED_VALUE"""),116.35)</f>
        <v>116.35</v>
      </c>
      <c r="D204" s="5" t="n">
        <f aca="false">IFERROR(__xludf.dummyfunction("""COMPUTED_VALUE"""),114.61)</f>
        <v>114.61</v>
      </c>
      <c r="E204" s="5" t="n">
        <f aca="false">IFERROR(__xludf.dummyfunction("""COMPUTED_VALUE"""),116.29)</f>
        <v>116.29</v>
      </c>
      <c r="F204" s="5" t="n">
        <f aca="false">IFERROR(__xludf.dummyfunction("""COMPUTED_VALUE"""),4640287)</f>
        <v>4640287</v>
      </c>
    </row>
    <row r="205" customFormat="false" ht="15.75" hidden="false" customHeight="false" outlineLevel="0" collapsed="false">
      <c r="A205" s="6" t="n">
        <f aca="false">IFERROR(__xludf.dummyfunction("""COMPUTED_VALUE"""),44491.6666666667)</f>
        <v>44491.6666666667</v>
      </c>
      <c r="B205" s="5" t="n">
        <f aca="false">IFERROR(__xludf.dummyfunction("""COMPUTED_VALUE"""),116.24)</f>
        <v>116.24</v>
      </c>
      <c r="C205" s="5" t="n">
        <f aca="false">IFERROR(__xludf.dummyfunction("""COMPUTED_VALUE"""),117.15)</f>
        <v>117.15</v>
      </c>
      <c r="D205" s="5" t="n">
        <f aca="false">IFERROR(__xludf.dummyfunction("""COMPUTED_VALUE"""),114.23)</f>
        <v>114.23</v>
      </c>
      <c r="E205" s="5" t="n">
        <f aca="false">IFERROR(__xludf.dummyfunction("""COMPUTED_VALUE"""),114.23)</f>
        <v>114.23</v>
      </c>
      <c r="F205" s="5" t="n">
        <f aca="false">IFERROR(__xludf.dummyfunction("""COMPUTED_VALUE"""),6283013)</f>
        <v>6283013</v>
      </c>
    </row>
    <row r="206" customFormat="false" ht="15.75" hidden="false" customHeight="false" outlineLevel="0" collapsed="false">
      <c r="A206" s="6" t="n">
        <f aca="false">IFERROR(__xludf.dummyfunction("""COMPUTED_VALUE"""),44494.6666666667)</f>
        <v>44494.6666666667</v>
      </c>
      <c r="B206" s="5" t="n">
        <f aca="false">IFERROR(__xludf.dummyfunction("""COMPUTED_VALUE"""),114.4)</f>
        <v>114.4</v>
      </c>
      <c r="C206" s="5" t="n">
        <f aca="false">IFERROR(__xludf.dummyfunction("""COMPUTED_VALUE"""),114.55)</f>
        <v>114.55</v>
      </c>
      <c r="D206" s="5" t="n">
        <f aca="false">IFERROR(__xludf.dummyfunction("""COMPUTED_VALUE"""),113.11)</f>
        <v>113.11</v>
      </c>
      <c r="E206" s="5" t="n">
        <f aca="false">IFERROR(__xludf.dummyfunction("""COMPUTED_VALUE"""),113.64)</f>
        <v>113.64</v>
      </c>
      <c r="F206" s="5" t="n">
        <f aca="false">IFERROR(__xludf.dummyfunction("""COMPUTED_VALUE"""),6667685)</f>
        <v>6667685</v>
      </c>
    </row>
    <row r="207" customFormat="false" ht="15.75" hidden="false" customHeight="false" outlineLevel="0" collapsed="false">
      <c r="A207" s="6" t="n">
        <f aca="false">IFERROR(__xludf.dummyfunction("""COMPUTED_VALUE"""),44495.6666666667)</f>
        <v>44495.6666666667</v>
      </c>
      <c r="B207" s="5" t="n">
        <f aca="false">IFERROR(__xludf.dummyfunction("""COMPUTED_VALUE"""),114.94)</f>
        <v>114.94</v>
      </c>
      <c r="C207" s="5" t="n">
        <f aca="false">IFERROR(__xludf.dummyfunction("""COMPUTED_VALUE"""),115.3)</f>
        <v>115.3</v>
      </c>
      <c r="D207" s="5" t="n">
        <f aca="false">IFERROR(__xludf.dummyfunction("""COMPUTED_VALUE"""),113.72)</f>
        <v>113.72</v>
      </c>
      <c r="E207" s="5" t="n">
        <f aca="false">IFERROR(__xludf.dummyfunction("""COMPUTED_VALUE"""),114.18)</f>
        <v>114.18</v>
      </c>
      <c r="F207" s="5" t="n">
        <f aca="false">IFERROR(__xludf.dummyfunction("""COMPUTED_VALUE"""),4852307)</f>
        <v>4852307</v>
      </c>
    </row>
    <row r="208" customFormat="false" ht="15.75" hidden="false" customHeight="false" outlineLevel="0" collapsed="false">
      <c r="A208" s="6" t="n">
        <f aca="false">IFERROR(__xludf.dummyfunction("""COMPUTED_VALUE"""),44496.6666666667)</f>
        <v>44496.6666666667</v>
      </c>
      <c r="B208" s="5" t="n">
        <f aca="false">IFERROR(__xludf.dummyfunction("""COMPUTED_VALUE"""),114.03)</f>
        <v>114.03</v>
      </c>
      <c r="C208" s="5" t="n">
        <f aca="false">IFERROR(__xludf.dummyfunction("""COMPUTED_VALUE"""),115.06)</f>
        <v>115.06</v>
      </c>
      <c r="D208" s="5" t="n">
        <f aca="false">IFERROR(__xludf.dummyfunction("""COMPUTED_VALUE"""),113.71)</f>
        <v>113.71</v>
      </c>
      <c r="E208" s="5" t="n">
        <f aca="false">IFERROR(__xludf.dummyfunction("""COMPUTED_VALUE"""),113.75)</f>
        <v>113.75</v>
      </c>
      <c r="F208" s="5" t="n">
        <f aca="false">IFERROR(__xludf.dummyfunction("""COMPUTED_VALUE"""),5394494)</f>
        <v>5394494</v>
      </c>
    </row>
    <row r="209" customFormat="false" ht="15.75" hidden="false" customHeight="false" outlineLevel="0" collapsed="false">
      <c r="A209" s="6" t="n">
        <f aca="false">IFERROR(__xludf.dummyfunction("""COMPUTED_VALUE"""),44497.6666666667)</f>
        <v>44497.6666666667</v>
      </c>
      <c r="B209" s="5" t="n">
        <f aca="false">IFERROR(__xludf.dummyfunction("""COMPUTED_VALUE"""),113.66)</f>
        <v>113.66</v>
      </c>
      <c r="C209" s="5" t="n">
        <f aca="false">IFERROR(__xludf.dummyfunction("""COMPUTED_VALUE"""),116.02)</f>
        <v>116.02</v>
      </c>
      <c r="D209" s="5" t="n">
        <f aca="false">IFERROR(__xludf.dummyfunction("""COMPUTED_VALUE"""),113.54)</f>
        <v>113.54</v>
      </c>
      <c r="E209" s="5" t="n">
        <f aca="false">IFERROR(__xludf.dummyfunction("""COMPUTED_VALUE"""),116.01)</f>
        <v>116.01</v>
      </c>
      <c r="F209" s="5" t="n">
        <f aca="false">IFERROR(__xludf.dummyfunction("""COMPUTED_VALUE"""),5714261)</f>
        <v>5714261</v>
      </c>
    </row>
    <row r="210" customFormat="false" ht="15.75" hidden="false" customHeight="false" outlineLevel="0" collapsed="false">
      <c r="A210" s="6" t="n">
        <f aca="false">IFERROR(__xludf.dummyfunction("""COMPUTED_VALUE"""),44498.6666666667)</f>
        <v>44498.6666666667</v>
      </c>
      <c r="B210" s="5" t="n">
        <f aca="false">IFERROR(__xludf.dummyfunction("""COMPUTED_VALUE"""),114.07)</f>
        <v>114.07</v>
      </c>
      <c r="C210" s="5" t="n">
        <f aca="false">IFERROR(__xludf.dummyfunction("""COMPUTED_VALUE"""),114.19)</f>
        <v>114.19</v>
      </c>
      <c r="D210" s="5" t="n">
        <f aca="false">IFERROR(__xludf.dummyfunction("""COMPUTED_VALUE"""),113.22)</f>
        <v>113.22</v>
      </c>
      <c r="E210" s="5" t="n">
        <f aca="false">IFERROR(__xludf.dummyfunction("""COMPUTED_VALUE"""),113.7)</f>
        <v>113.7</v>
      </c>
      <c r="F210" s="5" t="n">
        <f aca="false">IFERROR(__xludf.dummyfunction("""COMPUTED_VALUE"""),7118867)</f>
        <v>7118867</v>
      </c>
    </row>
    <row r="211" customFormat="false" ht="15.75" hidden="false" customHeight="false" outlineLevel="0" collapsed="false">
      <c r="A211" s="6" t="n">
        <f aca="false">IFERROR(__xludf.dummyfunction("""COMPUTED_VALUE"""),44501.6666666667)</f>
        <v>44501.6666666667</v>
      </c>
      <c r="B211" s="5" t="n">
        <f aca="false">IFERROR(__xludf.dummyfunction("""COMPUTED_VALUE"""),113.58)</f>
        <v>113.58</v>
      </c>
      <c r="C211" s="5" t="n">
        <f aca="false">IFERROR(__xludf.dummyfunction("""COMPUTED_VALUE"""),114.34)</f>
        <v>114.34</v>
      </c>
      <c r="D211" s="5" t="n">
        <f aca="false">IFERROR(__xludf.dummyfunction("""COMPUTED_VALUE"""),113.35)</f>
        <v>113.35</v>
      </c>
      <c r="E211" s="5" t="n">
        <f aca="false">IFERROR(__xludf.dummyfunction("""COMPUTED_VALUE"""),114.12)</f>
        <v>114.12</v>
      </c>
      <c r="F211" s="5" t="n">
        <f aca="false">IFERROR(__xludf.dummyfunction("""COMPUTED_VALUE"""),4955700)</f>
        <v>4955700</v>
      </c>
    </row>
    <row r="212" customFormat="false" ht="15.75" hidden="false" customHeight="false" outlineLevel="0" collapsed="false">
      <c r="A212" s="6" t="n">
        <f aca="false">IFERROR(__xludf.dummyfunction("""COMPUTED_VALUE"""),44502.6666666667)</f>
        <v>44502.6666666667</v>
      </c>
      <c r="B212" s="5" t="n">
        <f aca="false">IFERROR(__xludf.dummyfunction("""COMPUTED_VALUE"""),113.59)</f>
        <v>113.59</v>
      </c>
      <c r="C212" s="5" t="n">
        <f aca="false">IFERROR(__xludf.dummyfunction("""COMPUTED_VALUE"""),114.8)</f>
        <v>114.8</v>
      </c>
      <c r="D212" s="5" t="n">
        <f aca="false">IFERROR(__xludf.dummyfunction("""COMPUTED_VALUE"""),113.54)</f>
        <v>113.54</v>
      </c>
      <c r="E212" s="5" t="n">
        <f aca="false">IFERROR(__xludf.dummyfunction("""COMPUTED_VALUE"""),114.11)</f>
        <v>114.11</v>
      </c>
      <c r="F212" s="5" t="n">
        <f aca="false">IFERROR(__xludf.dummyfunction("""COMPUTED_VALUE"""),4479656)</f>
        <v>4479656</v>
      </c>
    </row>
    <row r="213" customFormat="false" ht="15.75" hidden="false" customHeight="false" outlineLevel="0" collapsed="false">
      <c r="A213" s="6" t="n">
        <f aca="false">IFERROR(__xludf.dummyfunction("""COMPUTED_VALUE"""),44503.6666666667)</f>
        <v>44503.6666666667</v>
      </c>
      <c r="B213" s="5" t="n">
        <f aca="false">IFERROR(__xludf.dummyfunction("""COMPUTED_VALUE"""),113.44)</f>
        <v>113.44</v>
      </c>
      <c r="C213" s="5" t="n">
        <f aca="false">IFERROR(__xludf.dummyfunction("""COMPUTED_VALUE"""),114.1)</f>
        <v>114.1</v>
      </c>
      <c r="D213" s="5" t="n">
        <f aca="false">IFERROR(__xludf.dummyfunction("""COMPUTED_VALUE"""),112.73)</f>
        <v>112.73</v>
      </c>
      <c r="E213" s="5" t="n">
        <f aca="false">IFERROR(__xludf.dummyfunction("""COMPUTED_VALUE"""),114.01)</f>
        <v>114.01</v>
      </c>
      <c r="F213" s="5" t="n">
        <f aca="false">IFERROR(__xludf.dummyfunction("""COMPUTED_VALUE"""),6073019)</f>
        <v>6073019</v>
      </c>
    </row>
    <row r="214" customFormat="false" ht="15.75" hidden="false" customHeight="false" outlineLevel="0" collapsed="false">
      <c r="A214" s="6" t="n">
        <f aca="false">IFERROR(__xludf.dummyfunction("""COMPUTED_VALUE"""),44504.6666666667)</f>
        <v>44504.6666666667</v>
      </c>
      <c r="B214" s="5" t="n">
        <f aca="false">IFERROR(__xludf.dummyfunction("""COMPUTED_VALUE"""),113.37)</f>
        <v>113.37</v>
      </c>
      <c r="C214" s="5" t="n">
        <f aca="false">IFERROR(__xludf.dummyfunction("""COMPUTED_VALUE"""),117.85)</f>
        <v>117.85</v>
      </c>
      <c r="D214" s="5" t="n">
        <f aca="false">IFERROR(__xludf.dummyfunction("""COMPUTED_VALUE"""),112.41)</f>
        <v>112.41</v>
      </c>
      <c r="E214" s="5" t="n">
        <f aca="false">IFERROR(__xludf.dummyfunction("""COMPUTED_VALUE"""),117.79)</f>
        <v>117.79</v>
      </c>
      <c r="F214" s="5" t="n">
        <f aca="false">IFERROR(__xludf.dummyfunction("""COMPUTED_VALUE"""),14682844)</f>
        <v>14682844</v>
      </c>
    </row>
    <row r="215" customFormat="false" ht="15.75" hidden="false" customHeight="false" outlineLevel="0" collapsed="false">
      <c r="A215" s="6" t="n">
        <f aca="false">IFERROR(__xludf.dummyfunction("""COMPUTED_VALUE"""),44505.6666666667)</f>
        <v>44505.6666666667</v>
      </c>
      <c r="B215" s="5" t="n">
        <f aca="false">IFERROR(__xludf.dummyfunction("""COMPUTED_VALUE"""),118.17)</f>
        <v>118.17</v>
      </c>
      <c r="C215" s="5" t="n">
        <f aca="false">IFERROR(__xludf.dummyfunction("""COMPUTED_VALUE"""),119.53)</f>
        <v>119.53</v>
      </c>
      <c r="D215" s="5" t="n">
        <f aca="false">IFERROR(__xludf.dummyfunction("""COMPUTED_VALUE"""),116.25)</f>
        <v>116.25</v>
      </c>
      <c r="E215" s="5" t="n">
        <f aca="false">IFERROR(__xludf.dummyfunction("""COMPUTED_VALUE"""),117.8)</f>
        <v>117.8</v>
      </c>
      <c r="F215" s="5" t="n">
        <f aca="false">IFERROR(__xludf.dummyfunction("""COMPUTED_VALUE"""),8668123)</f>
        <v>8668123</v>
      </c>
    </row>
    <row r="216" customFormat="false" ht="15.75" hidden="false" customHeight="false" outlineLevel="0" collapsed="false">
      <c r="A216" s="6" t="n">
        <f aca="false">IFERROR(__xludf.dummyfunction("""COMPUTED_VALUE"""),44508.6666666667)</f>
        <v>44508.6666666667</v>
      </c>
      <c r="B216" s="5" t="n">
        <f aca="false">IFERROR(__xludf.dummyfunction("""COMPUTED_VALUE"""),118.39)</f>
        <v>118.39</v>
      </c>
      <c r="C216" s="5" t="n">
        <f aca="false">IFERROR(__xludf.dummyfunction("""COMPUTED_VALUE"""),122.25)</f>
        <v>122.25</v>
      </c>
      <c r="D216" s="5" t="n">
        <f aca="false">IFERROR(__xludf.dummyfunction("""COMPUTED_VALUE"""),117.05)</f>
        <v>117.05</v>
      </c>
      <c r="E216" s="5" t="n">
        <f aca="false">IFERROR(__xludf.dummyfunction("""COMPUTED_VALUE"""),120.91)</f>
        <v>120.91</v>
      </c>
      <c r="F216" s="5" t="n">
        <f aca="false">IFERROR(__xludf.dummyfunction("""COMPUTED_VALUE"""),15776322)</f>
        <v>15776322</v>
      </c>
    </row>
    <row r="217" customFormat="false" ht="15.75" hidden="false" customHeight="false" outlineLevel="0" collapsed="false">
      <c r="A217" s="6" t="n">
        <f aca="false">IFERROR(__xludf.dummyfunction("""COMPUTED_VALUE"""),44509.6666666667)</f>
        <v>44509.6666666667</v>
      </c>
      <c r="B217" s="5" t="n">
        <f aca="false">IFERROR(__xludf.dummyfunction("""COMPUTED_VALUE"""),121.25)</f>
        <v>121.25</v>
      </c>
      <c r="C217" s="5" t="n">
        <f aca="false">IFERROR(__xludf.dummyfunction("""COMPUTED_VALUE"""),123.27)</f>
        <v>123.27</v>
      </c>
      <c r="D217" s="5" t="n">
        <f aca="false">IFERROR(__xludf.dummyfunction("""COMPUTED_VALUE"""),120.17)</f>
        <v>120.17</v>
      </c>
      <c r="E217" s="5" t="n">
        <f aca="false">IFERROR(__xludf.dummyfunction("""COMPUTED_VALUE"""),121.78)</f>
        <v>121.78</v>
      </c>
      <c r="F217" s="5" t="n">
        <f aca="false">IFERROR(__xludf.dummyfunction("""COMPUTED_VALUE"""),10874127)</f>
        <v>10874127</v>
      </c>
    </row>
    <row r="218" customFormat="false" ht="15.75" hidden="false" customHeight="false" outlineLevel="0" collapsed="false">
      <c r="A218" s="6" t="n">
        <f aca="false">IFERROR(__xludf.dummyfunction("""COMPUTED_VALUE"""),44510.6666666667)</f>
        <v>44510.6666666667</v>
      </c>
      <c r="B218" s="5" t="n">
        <f aca="false">IFERROR(__xludf.dummyfunction("""COMPUTED_VALUE"""),119.6)</f>
        <v>119.6</v>
      </c>
      <c r="C218" s="5" t="n">
        <f aca="false">IFERROR(__xludf.dummyfunction("""COMPUTED_VALUE"""),120.8)</f>
        <v>120.8</v>
      </c>
      <c r="D218" s="5" t="n">
        <f aca="false">IFERROR(__xludf.dummyfunction("""COMPUTED_VALUE"""),117.68)</f>
        <v>117.68</v>
      </c>
      <c r="E218" s="5" t="n">
        <f aca="false">IFERROR(__xludf.dummyfunction("""COMPUTED_VALUE"""),118.2)</f>
        <v>118.2</v>
      </c>
      <c r="F218" s="5" t="n">
        <f aca="false">IFERROR(__xludf.dummyfunction("""COMPUTED_VALUE"""),9046064)</f>
        <v>9046064</v>
      </c>
    </row>
    <row r="219" customFormat="false" ht="15.75" hidden="false" customHeight="false" outlineLevel="0" collapsed="false">
      <c r="A219" s="6" t="n">
        <f aca="false">IFERROR(__xludf.dummyfunction("""COMPUTED_VALUE"""),44511.6666666667)</f>
        <v>44511.6666666667</v>
      </c>
      <c r="B219" s="5" t="n">
        <f aca="false">IFERROR(__xludf.dummyfunction("""COMPUTED_VALUE"""),119.26)</f>
        <v>119.26</v>
      </c>
      <c r="C219" s="5" t="n">
        <f aca="false">IFERROR(__xludf.dummyfunction("""COMPUTED_VALUE"""),120.47)</f>
        <v>120.47</v>
      </c>
      <c r="D219" s="5" t="n">
        <f aca="false">IFERROR(__xludf.dummyfunction("""COMPUTED_VALUE"""),117.8)</f>
        <v>117.8</v>
      </c>
      <c r="E219" s="5" t="n">
        <f aca="false">IFERROR(__xludf.dummyfunction("""COMPUTED_VALUE"""),118.19)</f>
        <v>118.19</v>
      </c>
      <c r="F219" s="5" t="n">
        <f aca="false">IFERROR(__xludf.dummyfunction("""COMPUTED_VALUE"""),6993951)</f>
        <v>6993951</v>
      </c>
    </row>
    <row r="220" customFormat="false" ht="15.75" hidden="false" customHeight="false" outlineLevel="0" collapsed="false">
      <c r="A220" s="6" t="n">
        <f aca="false">IFERROR(__xludf.dummyfunction("""COMPUTED_VALUE"""),44512.6666666667)</f>
        <v>44512.6666666667</v>
      </c>
      <c r="B220" s="5" t="n">
        <f aca="false">IFERROR(__xludf.dummyfunction("""COMPUTED_VALUE"""),118.39)</f>
        <v>118.39</v>
      </c>
      <c r="C220" s="5" t="n">
        <f aca="false">IFERROR(__xludf.dummyfunction("""COMPUTED_VALUE"""),118.82)</f>
        <v>118.82</v>
      </c>
      <c r="D220" s="5" t="n">
        <f aca="false">IFERROR(__xludf.dummyfunction("""COMPUTED_VALUE"""),117.27)</f>
        <v>117.27</v>
      </c>
      <c r="E220" s="5" t="n">
        <f aca="false">IFERROR(__xludf.dummyfunction("""COMPUTED_VALUE"""),118.69)</f>
        <v>118.69</v>
      </c>
      <c r="F220" s="5" t="n">
        <f aca="false">IFERROR(__xludf.dummyfunction("""COMPUTED_VALUE"""),6947202)</f>
        <v>6947202</v>
      </c>
    </row>
    <row r="221" customFormat="false" ht="15.75" hidden="false" customHeight="false" outlineLevel="0" collapsed="false">
      <c r="A221" s="6" t="n">
        <f aca="false">IFERROR(__xludf.dummyfunction("""COMPUTED_VALUE"""),44515.6666666667)</f>
        <v>44515.6666666667</v>
      </c>
      <c r="B221" s="5" t="n">
        <f aca="false">IFERROR(__xludf.dummyfunction("""COMPUTED_VALUE"""),119.32)</f>
        <v>119.32</v>
      </c>
      <c r="C221" s="5" t="n">
        <f aca="false">IFERROR(__xludf.dummyfunction("""COMPUTED_VALUE"""),119.64)</f>
        <v>119.64</v>
      </c>
      <c r="D221" s="5" t="n">
        <f aca="false">IFERROR(__xludf.dummyfunction("""COMPUTED_VALUE"""),117.51)</f>
        <v>117.51</v>
      </c>
      <c r="E221" s="5" t="n">
        <f aca="false">IFERROR(__xludf.dummyfunction("""COMPUTED_VALUE"""),118.12)</f>
        <v>118.12</v>
      </c>
      <c r="F221" s="5" t="n">
        <f aca="false">IFERROR(__xludf.dummyfunction("""COMPUTED_VALUE"""),5156986)</f>
        <v>5156986</v>
      </c>
    </row>
    <row r="222" customFormat="false" ht="15.75" hidden="false" customHeight="false" outlineLevel="0" collapsed="false">
      <c r="A222" s="6" t="n">
        <f aca="false">IFERROR(__xludf.dummyfunction("""COMPUTED_VALUE"""),44516.6666666667)</f>
        <v>44516.6666666667</v>
      </c>
      <c r="B222" s="5" t="n">
        <f aca="false">IFERROR(__xludf.dummyfunction("""COMPUTED_VALUE"""),117.69)</f>
        <v>117.69</v>
      </c>
      <c r="C222" s="5" t="n">
        <f aca="false">IFERROR(__xludf.dummyfunction("""COMPUTED_VALUE"""),118.38)</f>
        <v>118.38</v>
      </c>
      <c r="D222" s="5" t="n">
        <f aca="false">IFERROR(__xludf.dummyfunction("""COMPUTED_VALUE"""),117.16)</f>
        <v>117.16</v>
      </c>
      <c r="E222" s="5" t="n">
        <f aca="false">IFERROR(__xludf.dummyfunction("""COMPUTED_VALUE"""),118.08)</f>
        <v>118.08</v>
      </c>
      <c r="F222" s="5" t="n">
        <f aca="false">IFERROR(__xludf.dummyfunction("""COMPUTED_VALUE"""),5555127)</f>
        <v>5555127</v>
      </c>
    </row>
    <row r="223" customFormat="false" ht="15.75" hidden="false" customHeight="false" outlineLevel="0" collapsed="false">
      <c r="A223" s="6" t="n">
        <f aca="false">IFERROR(__xludf.dummyfunction("""COMPUTED_VALUE"""),44517.6666666667)</f>
        <v>44517.6666666667</v>
      </c>
      <c r="B223" s="5" t="n">
        <f aca="false">IFERROR(__xludf.dummyfunction("""COMPUTED_VALUE"""),118)</f>
        <v>118</v>
      </c>
      <c r="C223" s="5" t="n">
        <f aca="false">IFERROR(__xludf.dummyfunction("""COMPUTED_VALUE"""),119.55)</f>
        <v>119.55</v>
      </c>
      <c r="D223" s="5" t="n">
        <f aca="false">IFERROR(__xludf.dummyfunction("""COMPUTED_VALUE"""),117.51)</f>
        <v>117.51</v>
      </c>
      <c r="E223" s="5" t="n">
        <f aca="false">IFERROR(__xludf.dummyfunction("""COMPUTED_VALUE"""),119.06)</f>
        <v>119.06</v>
      </c>
      <c r="F223" s="5" t="n">
        <f aca="false">IFERROR(__xludf.dummyfunction("""COMPUTED_VALUE"""),6391350)</f>
        <v>6391350</v>
      </c>
    </row>
    <row r="224" customFormat="false" ht="15.75" hidden="false" customHeight="false" outlineLevel="0" collapsed="false">
      <c r="A224" s="6" t="n">
        <f aca="false">IFERROR(__xludf.dummyfunction("""COMPUTED_VALUE"""),44518.6666666667)</f>
        <v>44518.6666666667</v>
      </c>
      <c r="B224" s="5" t="n">
        <f aca="false">IFERROR(__xludf.dummyfunction("""COMPUTED_VALUE"""),119.97)</f>
        <v>119.97</v>
      </c>
      <c r="C224" s="5" t="n">
        <f aca="false">IFERROR(__xludf.dummyfunction("""COMPUTED_VALUE"""),123.56)</f>
        <v>123.56</v>
      </c>
      <c r="D224" s="5" t="n">
        <f aca="false">IFERROR(__xludf.dummyfunction("""COMPUTED_VALUE"""),119.8)</f>
        <v>119.8</v>
      </c>
      <c r="E224" s="5" t="n">
        <f aca="false">IFERROR(__xludf.dummyfunction("""COMPUTED_VALUE"""),123.39)</f>
        <v>123.39</v>
      </c>
      <c r="F224" s="5" t="n">
        <f aca="false">IFERROR(__xludf.dummyfunction("""COMPUTED_VALUE"""),13229657)</f>
        <v>13229657</v>
      </c>
    </row>
    <row r="225" customFormat="false" ht="15.75" hidden="false" customHeight="false" outlineLevel="0" collapsed="false">
      <c r="A225" s="6" t="n">
        <f aca="false">IFERROR(__xludf.dummyfunction("""COMPUTED_VALUE"""),44519.6666666667)</f>
        <v>44519.6666666667</v>
      </c>
      <c r="B225" s="5" t="n">
        <f aca="false">IFERROR(__xludf.dummyfunction("""COMPUTED_VALUE"""),122.03)</f>
        <v>122.03</v>
      </c>
      <c r="C225" s="5" t="n">
        <f aca="false">IFERROR(__xludf.dummyfunction("""COMPUTED_VALUE"""),124.8)</f>
        <v>124.8</v>
      </c>
      <c r="D225" s="5" t="n">
        <f aca="false">IFERROR(__xludf.dummyfunction("""COMPUTED_VALUE"""),122.02)</f>
        <v>122.02</v>
      </c>
      <c r="E225" s="5" t="n">
        <f aca="false">IFERROR(__xludf.dummyfunction("""COMPUTED_VALUE"""),124.26)</f>
        <v>124.26</v>
      </c>
      <c r="F225" s="5" t="n">
        <f aca="false">IFERROR(__xludf.dummyfunction("""COMPUTED_VALUE"""),9076350)</f>
        <v>9076350</v>
      </c>
    </row>
    <row r="226" customFormat="false" ht="15.75" hidden="false" customHeight="false" outlineLevel="0" collapsed="false">
      <c r="A226" s="6" t="n">
        <f aca="false">IFERROR(__xludf.dummyfunction("""COMPUTED_VALUE"""),44522.6666666667)</f>
        <v>44522.6666666667</v>
      </c>
      <c r="B226" s="5" t="n">
        <f aca="false">IFERROR(__xludf.dummyfunction("""COMPUTED_VALUE"""),123.5)</f>
        <v>123.5</v>
      </c>
      <c r="C226" s="5" t="n">
        <f aca="false">IFERROR(__xludf.dummyfunction("""COMPUTED_VALUE"""),128.09)</f>
        <v>128.09</v>
      </c>
      <c r="D226" s="5" t="n">
        <f aca="false">IFERROR(__xludf.dummyfunction("""COMPUTED_VALUE"""),123.21)</f>
        <v>123.21</v>
      </c>
      <c r="E226" s="5" t="n">
        <f aca="false">IFERROR(__xludf.dummyfunction("""COMPUTED_VALUE"""),124.75)</f>
        <v>124.75</v>
      </c>
      <c r="F226" s="5" t="n">
        <f aca="false">IFERROR(__xludf.dummyfunction("""COMPUTED_VALUE"""),16086015)</f>
        <v>16086015</v>
      </c>
    </row>
    <row r="227" customFormat="false" ht="15.75" hidden="false" customHeight="false" outlineLevel="0" collapsed="false">
      <c r="A227" s="6" t="n">
        <f aca="false">IFERROR(__xludf.dummyfunction("""COMPUTED_VALUE"""),44523.6666666667)</f>
        <v>44523.6666666667</v>
      </c>
      <c r="B227" s="5" t="n">
        <f aca="false">IFERROR(__xludf.dummyfunction("""COMPUTED_VALUE"""),122.72)</f>
        <v>122.72</v>
      </c>
      <c r="C227" s="5" t="n">
        <f aca="false">IFERROR(__xludf.dummyfunction("""COMPUTED_VALUE"""),123.2)</f>
        <v>123.2</v>
      </c>
      <c r="D227" s="5" t="n">
        <f aca="false">IFERROR(__xludf.dummyfunction("""COMPUTED_VALUE"""),119.52)</f>
        <v>119.52</v>
      </c>
      <c r="E227" s="5" t="n">
        <f aca="false">IFERROR(__xludf.dummyfunction("""COMPUTED_VALUE"""),121.36)</f>
        <v>121.36</v>
      </c>
      <c r="F227" s="5" t="n">
        <f aca="false">IFERROR(__xludf.dummyfunction("""COMPUTED_VALUE"""),10983988)</f>
        <v>10983988</v>
      </c>
    </row>
    <row r="228" customFormat="false" ht="15.75" hidden="false" customHeight="false" outlineLevel="0" collapsed="false">
      <c r="A228" s="6" t="n">
        <f aca="false">IFERROR(__xludf.dummyfunction("""COMPUTED_VALUE"""),44524.6666666667)</f>
        <v>44524.6666666667</v>
      </c>
      <c r="B228" s="5" t="n">
        <f aca="false">IFERROR(__xludf.dummyfunction("""COMPUTED_VALUE"""),120)</f>
        <v>120</v>
      </c>
      <c r="C228" s="5" t="n">
        <f aca="false">IFERROR(__xludf.dummyfunction("""COMPUTED_VALUE"""),120.87)</f>
        <v>120.87</v>
      </c>
      <c r="D228" s="5" t="n">
        <f aca="false">IFERROR(__xludf.dummyfunction("""COMPUTED_VALUE"""),118.4)</f>
        <v>118.4</v>
      </c>
      <c r="E228" s="5" t="n">
        <f aca="false">IFERROR(__xludf.dummyfunction("""COMPUTED_VALUE"""),120.71)</f>
        <v>120.71</v>
      </c>
      <c r="F228" s="5" t="n">
        <f aca="false">IFERROR(__xludf.dummyfunction("""COMPUTED_VALUE"""),6992624)</f>
        <v>6992624</v>
      </c>
    </row>
    <row r="229" customFormat="false" ht="15.75" hidden="false" customHeight="false" outlineLevel="0" collapsed="false">
      <c r="A229" s="6" t="n">
        <f aca="false">IFERROR(__xludf.dummyfunction("""COMPUTED_VALUE"""),44526.5416666667)</f>
        <v>44526.5416666667</v>
      </c>
      <c r="B229" s="5" t="n">
        <f aca="false">IFERROR(__xludf.dummyfunction("""COMPUTED_VALUE"""),117.5)</f>
        <v>117.5</v>
      </c>
      <c r="C229" s="5" t="n">
        <f aca="false">IFERROR(__xludf.dummyfunction("""COMPUTED_VALUE"""),119.04)</f>
        <v>119.04</v>
      </c>
      <c r="D229" s="5" t="n">
        <f aca="false">IFERROR(__xludf.dummyfunction("""COMPUTED_VALUE"""),116.52)</f>
        <v>116.52</v>
      </c>
      <c r="E229" s="5" t="n">
        <f aca="false">IFERROR(__xludf.dummyfunction("""COMPUTED_VALUE"""),117.09)</f>
        <v>117.09</v>
      </c>
      <c r="F229" s="5" t="n">
        <f aca="false">IFERROR(__xludf.dummyfunction("""COMPUTED_VALUE"""),6766865)</f>
        <v>6766865</v>
      </c>
    </row>
    <row r="230" customFormat="false" ht="15.75" hidden="false" customHeight="false" outlineLevel="0" collapsed="false">
      <c r="A230" s="6" t="n">
        <f aca="false">IFERROR(__xludf.dummyfunction("""COMPUTED_VALUE"""),44529.6666666667)</f>
        <v>44529.6666666667</v>
      </c>
      <c r="B230" s="5" t="n">
        <f aca="false">IFERROR(__xludf.dummyfunction("""COMPUTED_VALUE"""),118.36)</f>
        <v>118.36</v>
      </c>
      <c r="C230" s="5" t="n">
        <f aca="false">IFERROR(__xludf.dummyfunction("""COMPUTED_VALUE"""),119.88)</f>
        <v>119.88</v>
      </c>
      <c r="D230" s="5" t="n">
        <f aca="false">IFERROR(__xludf.dummyfunction("""COMPUTED_VALUE"""),117.9)</f>
        <v>117.9</v>
      </c>
      <c r="E230" s="5" t="n">
        <f aca="false">IFERROR(__xludf.dummyfunction("""COMPUTED_VALUE"""),119.28)</f>
        <v>119.28</v>
      </c>
      <c r="F230" s="5" t="n">
        <f aca="false">IFERROR(__xludf.dummyfunction("""COMPUTED_VALUE"""),7633952)</f>
        <v>7633952</v>
      </c>
    </row>
    <row r="231" customFormat="false" ht="15.75" hidden="false" customHeight="false" outlineLevel="0" collapsed="false">
      <c r="A231" s="6" t="n">
        <f aca="false">IFERROR(__xludf.dummyfunction("""COMPUTED_VALUE"""),44530.6666666667)</f>
        <v>44530.6666666667</v>
      </c>
      <c r="B231" s="5" t="n">
        <f aca="false">IFERROR(__xludf.dummyfunction("""COMPUTED_VALUE"""),118.1)</f>
        <v>118.1</v>
      </c>
      <c r="C231" s="5" t="n">
        <f aca="false">IFERROR(__xludf.dummyfunction("""COMPUTED_VALUE"""),120.17)</f>
        <v>120.17</v>
      </c>
      <c r="D231" s="5" t="n">
        <f aca="false">IFERROR(__xludf.dummyfunction("""COMPUTED_VALUE"""),115.76)</f>
        <v>115.76</v>
      </c>
      <c r="E231" s="5" t="n">
        <f aca="false">IFERROR(__xludf.dummyfunction("""COMPUTED_VALUE"""),117.15)</f>
        <v>117.15</v>
      </c>
      <c r="F231" s="5" t="n">
        <f aca="false">IFERROR(__xludf.dummyfunction("""COMPUTED_VALUE"""),10561774)</f>
        <v>10561774</v>
      </c>
    </row>
    <row r="232" customFormat="false" ht="15.75" hidden="false" customHeight="false" outlineLevel="0" collapsed="false">
      <c r="A232" s="6" t="n">
        <f aca="false">IFERROR(__xludf.dummyfunction("""COMPUTED_VALUE"""),44531.6666666667)</f>
        <v>44531.6666666667</v>
      </c>
      <c r="B232" s="5" t="n">
        <f aca="false">IFERROR(__xludf.dummyfunction("""COMPUTED_VALUE"""),119.22)</f>
        <v>119.22</v>
      </c>
      <c r="C232" s="5" t="n">
        <f aca="false">IFERROR(__xludf.dummyfunction("""COMPUTED_VALUE"""),123.51)</f>
        <v>123.51</v>
      </c>
      <c r="D232" s="5" t="n">
        <f aca="false">IFERROR(__xludf.dummyfunction("""COMPUTED_VALUE"""),119.22)</f>
        <v>119.22</v>
      </c>
      <c r="E232" s="5" t="n">
        <f aca="false">IFERROR(__xludf.dummyfunction("""COMPUTED_VALUE"""),120.63)</f>
        <v>120.63</v>
      </c>
      <c r="F232" s="5" t="n">
        <f aca="false">IFERROR(__xludf.dummyfunction("""COMPUTED_VALUE"""),12939395)</f>
        <v>12939395</v>
      </c>
    </row>
    <row r="233" customFormat="false" ht="15.75" hidden="false" customHeight="false" outlineLevel="0" collapsed="false">
      <c r="A233" s="6" t="n">
        <f aca="false">IFERROR(__xludf.dummyfunction("""COMPUTED_VALUE"""),44532.6666666667)</f>
        <v>44532.6666666667</v>
      </c>
      <c r="B233" s="5" t="n">
        <f aca="false">IFERROR(__xludf.dummyfunction("""COMPUTED_VALUE"""),120.35)</f>
        <v>120.35</v>
      </c>
      <c r="C233" s="5" t="n">
        <f aca="false">IFERROR(__xludf.dummyfunction("""COMPUTED_VALUE"""),123.4)</f>
        <v>123.4</v>
      </c>
      <c r="D233" s="5" t="n">
        <f aca="false">IFERROR(__xludf.dummyfunction("""COMPUTED_VALUE"""),120.02)</f>
        <v>120.02</v>
      </c>
      <c r="E233" s="5" t="n">
        <f aca="false">IFERROR(__xludf.dummyfunction("""COMPUTED_VALUE"""),121.7)</f>
        <v>121.7</v>
      </c>
      <c r="F233" s="5" t="n">
        <f aca="false">IFERROR(__xludf.dummyfunction("""COMPUTED_VALUE"""),8425542)</f>
        <v>8425542</v>
      </c>
    </row>
    <row r="234" customFormat="false" ht="15.75" hidden="false" customHeight="false" outlineLevel="0" collapsed="false">
      <c r="A234" s="6" t="n">
        <f aca="false">IFERROR(__xludf.dummyfunction("""COMPUTED_VALUE"""),44533.6666666667)</f>
        <v>44533.6666666667</v>
      </c>
      <c r="B234" s="5" t="n">
        <f aca="false">IFERROR(__xludf.dummyfunction("""COMPUTED_VALUE"""),121)</f>
        <v>121</v>
      </c>
      <c r="C234" s="5" t="n">
        <f aca="false">IFERROR(__xludf.dummyfunction("""COMPUTED_VALUE"""),121.85)</f>
        <v>121.85</v>
      </c>
      <c r="D234" s="5" t="n">
        <f aca="false">IFERROR(__xludf.dummyfunction("""COMPUTED_VALUE"""),117.98)</f>
        <v>117.98</v>
      </c>
      <c r="E234" s="5" t="n">
        <f aca="false">IFERROR(__xludf.dummyfunction("""COMPUTED_VALUE"""),119.33)</f>
        <v>119.33</v>
      </c>
      <c r="F234" s="5" t="n">
        <f aca="false">IFERROR(__xludf.dummyfunction("""COMPUTED_VALUE"""),7809043)</f>
        <v>7809043</v>
      </c>
    </row>
    <row r="235" customFormat="false" ht="15.75" hidden="false" customHeight="false" outlineLevel="0" collapsed="false">
      <c r="A235" s="6" t="n">
        <f aca="false">IFERROR(__xludf.dummyfunction("""COMPUTED_VALUE"""),44536.6666666667)</f>
        <v>44536.6666666667</v>
      </c>
      <c r="B235" s="5" t="n">
        <f aca="false">IFERROR(__xludf.dummyfunction("""COMPUTED_VALUE"""),118.89)</f>
        <v>118.89</v>
      </c>
      <c r="C235" s="5" t="n">
        <f aca="false">IFERROR(__xludf.dummyfunction("""COMPUTED_VALUE"""),119.5)</f>
        <v>119.5</v>
      </c>
      <c r="D235" s="5" t="n">
        <f aca="false">IFERROR(__xludf.dummyfunction("""COMPUTED_VALUE"""),116.58)</f>
        <v>116.58</v>
      </c>
      <c r="E235" s="5" t="n">
        <f aca="false">IFERROR(__xludf.dummyfunction("""COMPUTED_VALUE"""),119.14)</f>
        <v>119.14</v>
      </c>
      <c r="F235" s="5" t="n">
        <f aca="false">IFERROR(__xludf.dummyfunction("""COMPUTED_VALUE"""),5681181)</f>
        <v>5681181</v>
      </c>
    </row>
    <row r="236" customFormat="false" ht="15.75" hidden="false" customHeight="false" outlineLevel="0" collapsed="false">
      <c r="A236" s="6" t="n">
        <f aca="false">IFERROR(__xludf.dummyfunction("""COMPUTED_VALUE"""),44537.6666666667)</f>
        <v>44537.6666666667</v>
      </c>
      <c r="B236" s="5" t="n">
        <f aca="false">IFERROR(__xludf.dummyfunction("""COMPUTED_VALUE"""),120.54)</f>
        <v>120.54</v>
      </c>
      <c r="C236" s="5" t="n">
        <f aca="false">IFERROR(__xludf.dummyfunction("""COMPUTED_VALUE"""),122.58)</f>
        <v>122.58</v>
      </c>
      <c r="D236" s="5" t="n">
        <f aca="false">IFERROR(__xludf.dummyfunction("""COMPUTED_VALUE"""),120.26)</f>
        <v>120.26</v>
      </c>
      <c r="E236" s="5" t="n">
        <f aca="false">IFERROR(__xludf.dummyfunction("""COMPUTED_VALUE"""),122.32)</f>
        <v>122.32</v>
      </c>
      <c r="F236" s="5" t="n">
        <f aca="false">IFERROR(__xludf.dummyfunction("""COMPUTED_VALUE"""),7459249)</f>
        <v>7459249</v>
      </c>
    </row>
    <row r="237" customFormat="false" ht="15.75" hidden="false" customHeight="false" outlineLevel="0" collapsed="false">
      <c r="A237" s="6" t="n">
        <f aca="false">IFERROR(__xludf.dummyfunction("""COMPUTED_VALUE"""),44538.6666666667)</f>
        <v>44538.6666666667</v>
      </c>
      <c r="B237" s="5" t="n">
        <f aca="false">IFERROR(__xludf.dummyfunction("""COMPUTED_VALUE"""),121.63)</f>
        <v>121.63</v>
      </c>
      <c r="C237" s="5" t="n">
        <f aca="false">IFERROR(__xludf.dummyfunction("""COMPUTED_VALUE"""),122.22)</f>
        <v>122.22</v>
      </c>
      <c r="D237" s="5" t="n">
        <f aca="false">IFERROR(__xludf.dummyfunction("""COMPUTED_VALUE"""),120.11)</f>
        <v>120.11</v>
      </c>
      <c r="E237" s="5" t="n">
        <f aca="false">IFERROR(__xludf.dummyfunction("""COMPUTED_VALUE"""),121.8)</f>
        <v>121.8</v>
      </c>
      <c r="F237" s="5" t="n">
        <f aca="false">IFERROR(__xludf.dummyfunction("""COMPUTED_VALUE"""),5795681)</f>
        <v>5795681</v>
      </c>
    </row>
    <row r="238" customFormat="false" ht="15.75" hidden="false" customHeight="false" outlineLevel="0" collapsed="false">
      <c r="A238" s="6" t="n">
        <f aca="false">IFERROR(__xludf.dummyfunction("""COMPUTED_VALUE"""),44539.6666666667)</f>
        <v>44539.6666666667</v>
      </c>
      <c r="B238" s="5" t="n">
        <f aca="false">IFERROR(__xludf.dummyfunction("""COMPUTED_VALUE"""),121.18)</f>
        <v>121.18</v>
      </c>
      <c r="C238" s="5" t="n">
        <f aca="false">IFERROR(__xludf.dummyfunction("""COMPUTED_VALUE"""),122.09)</f>
        <v>122.09</v>
      </c>
      <c r="D238" s="5" t="n">
        <f aca="false">IFERROR(__xludf.dummyfunction("""COMPUTED_VALUE"""),119.49)</f>
        <v>119.49</v>
      </c>
      <c r="E238" s="5" t="n">
        <f aca="false">IFERROR(__xludf.dummyfunction("""COMPUTED_VALUE"""),119.5)</f>
        <v>119.5</v>
      </c>
      <c r="F238" s="5" t="n">
        <f aca="false">IFERROR(__xludf.dummyfunction("""COMPUTED_VALUE"""),6103894)</f>
        <v>6103894</v>
      </c>
    </row>
    <row r="239" customFormat="false" ht="15.75" hidden="false" customHeight="false" outlineLevel="0" collapsed="false">
      <c r="A239" s="6" t="n">
        <f aca="false">IFERROR(__xludf.dummyfunction("""COMPUTED_VALUE"""),44540.6666666667)</f>
        <v>44540.6666666667</v>
      </c>
      <c r="B239" s="5" t="n">
        <f aca="false">IFERROR(__xludf.dummyfunction("""COMPUTED_VALUE"""),120)</f>
        <v>120</v>
      </c>
      <c r="C239" s="5" t="n">
        <f aca="false">IFERROR(__xludf.dummyfunction("""COMPUTED_VALUE"""),120.79)</f>
        <v>120.79</v>
      </c>
      <c r="D239" s="5" t="n">
        <f aca="false">IFERROR(__xludf.dummyfunction("""COMPUTED_VALUE"""),118.24)</f>
        <v>118.24</v>
      </c>
      <c r="E239" s="5" t="n">
        <f aca="false">IFERROR(__xludf.dummyfunction("""COMPUTED_VALUE"""),119.13)</f>
        <v>119.13</v>
      </c>
      <c r="F239" s="5" t="n">
        <f aca="false">IFERROR(__xludf.dummyfunction("""COMPUTED_VALUE"""),5973913)</f>
        <v>5973913</v>
      </c>
    </row>
    <row r="240" customFormat="false" ht="15.75" hidden="false" customHeight="false" outlineLevel="0" collapsed="false">
      <c r="A240" s="6" t="n">
        <f aca="false">IFERROR(__xludf.dummyfunction("""COMPUTED_VALUE"""),44543.6666666667)</f>
        <v>44543.6666666667</v>
      </c>
      <c r="B240" s="5" t="n">
        <f aca="false">IFERROR(__xludf.dummyfunction("""COMPUTED_VALUE"""),118.86)</f>
        <v>118.86</v>
      </c>
      <c r="C240" s="5" t="n">
        <f aca="false">IFERROR(__xludf.dummyfunction("""COMPUTED_VALUE"""),119.03)</f>
        <v>119.03</v>
      </c>
      <c r="D240" s="5" t="n">
        <f aca="false">IFERROR(__xludf.dummyfunction("""COMPUTED_VALUE"""),116.39)</f>
        <v>116.39</v>
      </c>
      <c r="E240" s="5" t="n">
        <f aca="false">IFERROR(__xludf.dummyfunction("""COMPUTED_VALUE"""),116.42)</f>
        <v>116.42</v>
      </c>
      <c r="F240" s="5" t="n">
        <f aca="false">IFERROR(__xludf.dummyfunction("""COMPUTED_VALUE"""),5854263)</f>
        <v>5854263</v>
      </c>
    </row>
    <row r="241" customFormat="false" ht="15.75" hidden="false" customHeight="false" outlineLevel="0" collapsed="false">
      <c r="A241" s="6" t="n">
        <f aca="false">IFERROR(__xludf.dummyfunction("""COMPUTED_VALUE"""),44544.6666666667)</f>
        <v>44544.6666666667</v>
      </c>
      <c r="B241" s="5" t="n">
        <f aca="false">IFERROR(__xludf.dummyfunction("""COMPUTED_VALUE"""),115.44)</f>
        <v>115.44</v>
      </c>
      <c r="C241" s="5" t="n">
        <f aca="false">IFERROR(__xludf.dummyfunction("""COMPUTED_VALUE"""),116.98)</f>
        <v>116.98</v>
      </c>
      <c r="D241" s="5" t="n">
        <f aca="false">IFERROR(__xludf.dummyfunction("""COMPUTED_VALUE"""),115.25)</f>
        <v>115.25</v>
      </c>
      <c r="E241" s="5" t="n">
        <f aca="false">IFERROR(__xludf.dummyfunction("""COMPUTED_VALUE"""),116.29)</f>
        <v>116.29</v>
      </c>
      <c r="F241" s="5" t="n">
        <f aca="false">IFERROR(__xludf.dummyfunction("""COMPUTED_VALUE"""),6267349)</f>
        <v>6267349</v>
      </c>
    </row>
    <row r="242" customFormat="false" ht="15.75" hidden="false" customHeight="false" outlineLevel="0" collapsed="false">
      <c r="A242" s="6" t="n">
        <f aca="false">IFERROR(__xludf.dummyfunction("""COMPUTED_VALUE"""),44545.6666666667)</f>
        <v>44545.6666666667</v>
      </c>
      <c r="B242" s="5" t="n">
        <f aca="false">IFERROR(__xludf.dummyfunction("""COMPUTED_VALUE"""),116.79)</f>
        <v>116.79</v>
      </c>
      <c r="C242" s="5" t="n">
        <f aca="false">IFERROR(__xludf.dummyfunction("""COMPUTED_VALUE"""),120.51)</f>
        <v>120.51</v>
      </c>
      <c r="D242" s="5" t="n">
        <f aca="false">IFERROR(__xludf.dummyfunction("""COMPUTED_VALUE"""),116.48)</f>
        <v>116.48</v>
      </c>
      <c r="E242" s="5" t="n">
        <f aca="false">IFERROR(__xludf.dummyfunction("""COMPUTED_VALUE"""),120.4)</f>
        <v>120.4</v>
      </c>
      <c r="F242" s="5" t="n">
        <f aca="false">IFERROR(__xludf.dummyfunction("""COMPUTED_VALUE"""),6700712)</f>
        <v>6700712</v>
      </c>
    </row>
    <row r="243" customFormat="false" ht="15.75" hidden="false" customHeight="false" outlineLevel="0" collapsed="false">
      <c r="A243" s="6" t="n">
        <f aca="false">IFERROR(__xludf.dummyfunction("""COMPUTED_VALUE"""),44546.6666666667)</f>
        <v>44546.6666666667</v>
      </c>
      <c r="B243" s="5" t="n">
        <f aca="false">IFERROR(__xludf.dummyfunction("""COMPUTED_VALUE"""),120.34)</f>
        <v>120.34</v>
      </c>
      <c r="C243" s="5" t="n">
        <f aca="false">IFERROR(__xludf.dummyfunction("""COMPUTED_VALUE"""),120.75)</f>
        <v>120.75</v>
      </c>
      <c r="D243" s="5" t="n">
        <f aca="false">IFERROR(__xludf.dummyfunction("""COMPUTED_VALUE"""),116.14)</f>
        <v>116.14</v>
      </c>
      <c r="E243" s="5" t="n">
        <f aca="false">IFERROR(__xludf.dummyfunction("""COMPUTED_VALUE"""),116.57)</f>
        <v>116.57</v>
      </c>
      <c r="F243" s="5" t="n">
        <f aca="false">IFERROR(__xludf.dummyfunction("""COMPUTED_VALUE"""),9116058)</f>
        <v>9116058</v>
      </c>
    </row>
    <row r="244" customFormat="false" ht="15.75" hidden="false" customHeight="false" outlineLevel="0" collapsed="false">
      <c r="A244" s="6" t="n">
        <f aca="false">IFERROR(__xludf.dummyfunction("""COMPUTED_VALUE"""),44547.6666666667)</f>
        <v>44547.6666666667</v>
      </c>
      <c r="B244" s="5" t="n">
        <f aca="false">IFERROR(__xludf.dummyfunction("""COMPUTED_VALUE"""),116.29)</f>
        <v>116.29</v>
      </c>
      <c r="C244" s="5" t="n">
        <f aca="false">IFERROR(__xludf.dummyfunction("""COMPUTED_VALUE"""),117.49)</f>
        <v>117.49</v>
      </c>
      <c r="D244" s="5" t="n">
        <f aca="false">IFERROR(__xludf.dummyfunction("""COMPUTED_VALUE"""),115.93)</f>
        <v>115.93</v>
      </c>
      <c r="E244" s="5" t="n">
        <f aca="false">IFERROR(__xludf.dummyfunction("""COMPUTED_VALUE"""),116.32)</f>
        <v>116.32</v>
      </c>
      <c r="F244" s="5" t="n">
        <f aca="false">IFERROR(__xludf.dummyfunction("""COMPUTED_VALUE"""),11765679)</f>
        <v>11765679</v>
      </c>
    </row>
    <row r="245" customFormat="false" ht="15.75" hidden="false" customHeight="false" outlineLevel="0" collapsed="false">
      <c r="A245" s="6" t="n">
        <f aca="false">IFERROR(__xludf.dummyfunction("""COMPUTED_VALUE"""),44550.6666666667)</f>
        <v>44550.6666666667</v>
      </c>
      <c r="B245" s="5" t="n">
        <f aca="false">IFERROR(__xludf.dummyfunction("""COMPUTED_VALUE"""),115.92)</f>
        <v>115.92</v>
      </c>
      <c r="C245" s="5" t="n">
        <f aca="false">IFERROR(__xludf.dummyfunction("""COMPUTED_VALUE"""),116.62)</f>
        <v>116.62</v>
      </c>
      <c r="D245" s="5" t="n">
        <f aca="false">IFERROR(__xludf.dummyfunction("""COMPUTED_VALUE"""),113.91)</f>
        <v>113.91</v>
      </c>
      <c r="E245" s="5" t="n">
        <f aca="false">IFERROR(__xludf.dummyfunction("""COMPUTED_VALUE"""),114.94)</f>
        <v>114.94</v>
      </c>
      <c r="F245" s="5" t="n">
        <f aca="false">IFERROR(__xludf.dummyfunction("""COMPUTED_VALUE"""),6980781)</f>
        <v>6980781</v>
      </c>
    </row>
    <row r="246" customFormat="false" ht="15.75" hidden="false" customHeight="false" outlineLevel="0" collapsed="false">
      <c r="A246" s="6" t="n">
        <f aca="false">IFERROR(__xludf.dummyfunction("""COMPUTED_VALUE"""),44551.6666666667)</f>
        <v>44551.6666666667</v>
      </c>
      <c r="B246" s="5" t="n">
        <f aca="false">IFERROR(__xludf.dummyfunction("""COMPUTED_VALUE"""),116.07)</f>
        <v>116.07</v>
      </c>
      <c r="C246" s="5" t="n">
        <f aca="false">IFERROR(__xludf.dummyfunction("""COMPUTED_VALUE"""),117.5)</f>
        <v>117.5</v>
      </c>
      <c r="D246" s="5" t="n">
        <f aca="false">IFERROR(__xludf.dummyfunction("""COMPUTED_VALUE"""),115.08)</f>
        <v>115.08</v>
      </c>
      <c r="E246" s="5" t="n">
        <f aca="false">IFERROR(__xludf.dummyfunction("""COMPUTED_VALUE"""),117.44)</f>
        <v>117.44</v>
      </c>
      <c r="F246" s="5" t="n">
        <f aca="false">IFERROR(__xludf.dummyfunction("""COMPUTED_VALUE"""),6122925)</f>
        <v>6122925</v>
      </c>
    </row>
    <row r="247" customFormat="false" ht="15.75" hidden="false" customHeight="false" outlineLevel="0" collapsed="false">
      <c r="A247" s="6" t="n">
        <f aca="false">IFERROR(__xludf.dummyfunction("""COMPUTED_VALUE"""),44552.6666666667)</f>
        <v>44552.6666666667</v>
      </c>
      <c r="B247" s="5" t="n">
        <f aca="false">IFERROR(__xludf.dummyfunction("""COMPUTED_VALUE"""),116.92)</f>
        <v>116.92</v>
      </c>
      <c r="C247" s="5" t="n">
        <f aca="false">IFERROR(__xludf.dummyfunction("""COMPUTED_VALUE"""),121.44)</f>
        <v>121.44</v>
      </c>
      <c r="D247" s="5" t="n">
        <f aca="false">IFERROR(__xludf.dummyfunction("""COMPUTED_VALUE"""),116.83)</f>
        <v>116.83</v>
      </c>
      <c r="E247" s="5" t="n">
        <f aca="false">IFERROR(__xludf.dummyfunction("""COMPUTED_VALUE"""),121.3)</f>
        <v>121.3</v>
      </c>
      <c r="F247" s="5" t="n">
        <f aca="false">IFERROR(__xludf.dummyfunction("""COMPUTED_VALUE"""),9300126)</f>
        <v>9300126</v>
      </c>
    </row>
    <row r="248" customFormat="false" ht="15.75" hidden="false" customHeight="false" outlineLevel="0" collapsed="false">
      <c r="A248" s="6" t="n">
        <f aca="false">IFERROR(__xludf.dummyfunction("""COMPUTED_VALUE"""),44553.6666666667)</f>
        <v>44553.6666666667</v>
      </c>
      <c r="B248" s="5" t="n">
        <f aca="false">IFERROR(__xludf.dummyfunction("""COMPUTED_VALUE"""),120.96)</f>
        <v>120.96</v>
      </c>
      <c r="C248" s="5" t="n">
        <f aca="false">IFERROR(__xludf.dummyfunction("""COMPUTED_VALUE"""),121.79)</f>
        <v>121.79</v>
      </c>
      <c r="D248" s="5" t="n">
        <f aca="false">IFERROR(__xludf.dummyfunction("""COMPUTED_VALUE"""),119.84)</f>
        <v>119.84</v>
      </c>
      <c r="E248" s="5" t="n">
        <f aca="false">IFERROR(__xludf.dummyfunction("""COMPUTED_VALUE"""),120.68)</f>
        <v>120.68</v>
      </c>
      <c r="F248" s="5" t="n">
        <f aca="false">IFERROR(__xludf.dummyfunction("""COMPUTED_VALUE"""),6512512)</f>
        <v>6512512</v>
      </c>
    </row>
    <row r="249" customFormat="false" ht="15.75" hidden="false" customHeight="false" outlineLevel="0" collapsed="false">
      <c r="A249" s="6" t="n">
        <f aca="false">IFERROR(__xludf.dummyfunction("""COMPUTED_VALUE"""),44557.6666666667)</f>
        <v>44557.6666666667</v>
      </c>
      <c r="B249" s="5" t="n">
        <f aca="false">IFERROR(__xludf.dummyfunction("""COMPUTED_VALUE"""),121.22)</f>
        <v>121.22</v>
      </c>
      <c r="C249" s="5" t="n">
        <f aca="false">IFERROR(__xludf.dummyfunction("""COMPUTED_VALUE"""),123.26)</f>
        <v>123.26</v>
      </c>
      <c r="D249" s="5" t="n">
        <f aca="false">IFERROR(__xludf.dummyfunction("""COMPUTED_VALUE"""),121.2)</f>
        <v>121.2</v>
      </c>
      <c r="E249" s="5" t="n">
        <f aca="false">IFERROR(__xludf.dummyfunction("""COMPUTED_VALUE"""),122.7)</f>
        <v>122.7</v>
      </c>
      <c r="F249" s="5" t="n">
        <f aca="false">IFERROR(__xludf.dummyfunction("""COMPUTED_VALUE"""),6316917)</f>
        <v>6316917</v>
      </c>
    </row>
    <row r="250" customFormat="false" ht="15.75" hidden="false" customHeight="false" outlineLevel="0" collapsed="false">
      <c r="A250" s="6" t="n">
        <f aca="false">IFERROR(__xludf.dummyfunction("""COMPUTED_VALUE"""),44558.6666666667)</f>
        <v>44558.6666666667</v>
      </c>
      <c r="B250" s="5" t="n">
        <f aca="false">IFERROR(__xludf.dummyfunction("""COMPUTED_VALUE"""),123.38)</f>
        <v>123.38</v>
      </c>
      <c r="C250" s="5" t="n">
        <f aca="false">IFERROR(__xludf.dummyfunction("""COMPUTED_VALUE"""),123.66)</f>
        <v>123.66</v>
      </c>
      <c r="D250" s="5" t="n">
        <f aca="false">IFERROR(__xludf.dummyfunction("""COMPUTED_VALUE"""),121.87)</f>
        <v>121.87</v>
      </c>
      <c r="E250" s="5" t="n">
        <f aca="false">IFERROR(__xludf.dummyfunction("""COMPUTED_VALUE"""),122.06)</f>
        <v>122.06</v>
      </c>
      <c r="F250" s="5" t="n">
        <f aca="false">IFERROR(__xludf.dummyfunction("""COMPUTED_VALUE"""),6322707)</f>
        <v>6322707</v>
      </c>
    </row>
    <row r="251" customFormat="false" ht="15.75" hidden="false" customHeight="false" outlineLevel="0" collapsed="false">
      <c r="A251" s="6" t="n">
        <f aca="false">IFERROR(__xludf.dummyfunction("""COMPUTED_VALUE"""),44559.6666666667)</f>
        <v>44559.6666666667</v>
      </c>
      <c r="B251" s="5" t="n">
        <f aca="false">IFERROR(__xludf.dummyfunction("""COMPUTED_VALUE"""),121.8)</f>
        <v>121.8</v>
      </c>
      <c r="C251" s="5" t="n">
        <f aca="false">IFERROR(__xludf.dummyfunction("""COMPUTED_VALUE"""),123.15)</f>
        <v>123.15</v>
      </c>
      <c r="D251" s="5" t="n">
        <f aca="false">IFERROR(__xludf.dummyfunction("""COMPUTED_VALUE"""),120.97)</f>
        <v>120.97</v>
      </c>
      <c r="E251" s="5" t="n">
        <f aca="false">IFERROR(__xludf.dummyfunction("""COMPUTED_VALUE"""),121.41)</f>
        <v>121.41</v>
      </c>
      <c r="F251" s="5" t="n">
        <f aca="false">IFERROR(__xludf.dummyfunction("""COMPUTED_VALUE"""),5847669)</f>
        <v>5847669</v>
      </c>
    </row>
    <row r="252" customFormat="false" ht="15.75" hidden="false" customHeight="false" outlineLevel="0" collapsed="false">
      <c r="A252" s="6" t="n">
        <f aca="false">IFERROR(__xludf.dummyfunction("""COMPUTED_VALUE"""),44560.6666666667)</f>
        <v>44560.6666666667</v>
      </c>
      <c r="B252" s="5" t="n">
        <f aca="false">IFERROR(__xludf.dummyfunction("""COMPUTED_VALUE"""),121)</f>
        <v>121</v>
      </c>
      <c r="C252" s="5" t="n">
        <f aca="false">IFERROR(__xludf.dummyfunction("""COMPUTED_VALUE"""),121.55)</f>
        <v>121.55</v>
      </c>
      <c r="D252" s="5" t="n">
        <f aca="false">IFERROR(__xludf.dummyfunction("""COMPUTED_VALUE"""),120.19)</f>
        <v>120.19</v>
      </c>
      <c r="E252" s="5" t="n">
        <f aca="false">IFERROR(__xludf.dummyfunction("""COMPUTED_VALUE"""),120.42)</f>
        <v>120.42</v>
      </c>
      <c r="F252" s="5" t="n">
        <f aca="false">IFERROR(__xludf.dummyfunction("""COMPUTED_VALUE"""),4187802)</f>
        <v>4187802</v>
      </c>
    </row>
    <row r="253" customFormat="false" ht="15.75" hidden="false" customHeight="false" outlineLevel="0" collapsed="false">
      <c r="A253" s="6" t="n">
        <f aca="false">IFERROR(__xludf.dummyfunction("""COMPUTED_VALUE"""),44561.6666666667)</f>
        <v>44561.6666666667</v>
      </c>
      <c r="B253" s="5" t="n">
        <f aca="false">IFERROR(__xludf.dummyfunction("""COMPUTED_VALUE"""),121.35)</f>
        <v>121.35</v>
      </c>
      <c r="C253" s="5" t="n">
        <f aca="false">IFERROR(__xludf.dummyfunction("""COMPUTED_VALUE"""),121.75)</f>
        <v>121.75</v>
      </c>
      <c r="D253" s="5" t="n">
        <f aca="false">IFERROR(__xludf.dummyfunction("""COMPUTED_VALUE"""),120.22)</f>
        <v>120.22</v>
      </c>
      <c r="E253" s="5" t="n">
        <f aca="false">IFERROR(__xludf.dummyfunction("""COMPUTED_VALUE"""),120.31)</f>
        <v>120.31</v>
      </c>
      <c r="F253" s="5" t="n">
        <f aca="false">IFERROR(__xludf.dummyfunction("""COMPUTED_VALUE"""),3888151)</f>
        <v>3888151</v>
      </c>
    </row>
    <row r="254" customFormat="false" ht="15.75" hidden="false" customHeight="false" outlineLevel="0" collapsed="false">
      <c r="A254" s="6" t="n">
        <f aca="false">IFERROR(__xludf.dummyfunction("""COMPUTED_VALUE"""),44564.6666666667)</f>
        <v>44564.6666666667</v>
      </c>
      <c r="B254" s="5" t="n">
        <f aca="false">IFERROR(__xludf.dummyfunction("""COMPUTED_VALUE"""),124.13)</f>
        <v>124.13</v>
      </c>
      <c r="C254" s="5" t="n">
        <f aca="false">IFERROR(__xludf.dummyfunction("""COMPUTED_VALUE"""),129.59)</f>
        <v>129.59</v>
      </c>
      <c r="D254" s="5" t="n">
        <f aca="false">IFERROR(__xludf.dummyfunction("""COMPUTED_VALUE"""),124)</f>
        <v>124</v>
      </c>
      <c r="E254" s="5" t="n">
        <f aca="false">IFERROR(__xludf.dummyfunction("""COMPUTED_VALUE"""),128.8)</f>
        <v>128.8</v>
      </c>
      <c r="F254" s="5" t="n">
        <f aca="false">IFERROR(__xludf.dummyfunction("""COMPUTED_VALUE"""),18638186)</f>
        <v>18638186</v>
      </c>
    </row>
    <row r="255" customFormat="false" ht="15.75" hidden="false" customHeight="false" outlineLevel="0" collapsed="false">
      <c r="A255" s="6" t="n">
        <f aca="false">IFERROR(__xludf.dummyfunction("""COMPUTED_VALUE"""),44565.6666666667)</f>
        <v>44565.6666666667</v>
      </c>
      <c r="B255" s="5" t="n">
        <f aca="false">IFERROR(__xludf.dummyfunction("""COMPUTED_VALUE"""),130.87)</f>
        <v>130.87</v>
      </c>
      <c r="C255" s="5" t="n">
        <f aca="false">IFERROR(__xludf.dummyfunction("""COMPUTED_VALUE"""),135.5)</f>
        <v>135.5</v>
      </c>
      <c r="D255" s="5" t="n">
        <f aca="false">IFERROR(__xludf.dummyfunction("""COMPUTED_VALUE"""),130.3)</f>
        <v>130.3</v>
      </c>
      <c r="E255" s="5" t="n">
        <f aca="false">IFERROR(__xludf.dummyfunction("""COMPUTED_VALUE"""),133.4)</f>
        <v>133.4</v>
      </c>
      <c r="F255" s="5" t="n">
        <f aca="false">IFERROR(__xludf.dummyfunction("""COMPUTED_VALUE"""),25554943)</f>
        <v>25554943</v>
      </c>
    </row>
    <row r="256" customFormat="false" ht="15.75" hidden="false" customHeight="false" outlineLevel="0" collapsed="false">
      <c r="A256" s="6" t="n">
        <f aca="false">IFERROR(__xludf.dummyfunction("""COMPUTED_VALUE"""),44566.6666666667)</f>
        <v>44566.6666666667</v>
      </c>
      <c r="B256" s="5" t="n">
        <f aca="false">IFERROR(__xludf.dummyfunction("""COMPUTED_VALUE"""),130.71)</f>
        <v>130.71</v>
      </c>
      <c r="C256" s="5" t="n">
        <f aca="false">IFERROR(__xludf.dummyfunction("""COMPUTED_VALUE"""),130.88)</f>
        <v>130.88</v>
      </c>
      <c r="D256" s="5" t="n">
        <f aca="false">IFERROR(__xludf.dummyfunction("""COMPUTED_VALUE"""),126.88)</f>
        <v>126.88</v>
      </c>
      <c r="E256" s="5" t="n">
        <f aca="false">IFERROR(__xludf.dummyfunction("""COMPUTED_VALUE"""),127.06)</f>
        <v>127.06</v>
      </c>
      <c r="F256" s="5" t="n">
        <f aca="false">IFERROR(__xludf.dummyfunction("""COMPUTED_VALUE"""),17891191)</f>
        <v>17891191</v>
      </c>
    </row>
    <row r="257" customFormat="false" ht="15.75" hidden="false" customHeight="false" outlineLevel="0" collapsed="false">
      <c r="A257" s="6" t="n">
        <f aca="false">IFERROR(__xludf.dummyfunction("""COMPUTED_VALUE"""),44567.6666666667)</f>
        <v>44567.6666666667</v>
      </c>
      <c r="B257" s="5" t="n">
        <f aca="false">IFERROR(__xludf.dummyfunction("""COMPUTED_VALUE"""),127)</f>
        <v>127</v>
      </c>
      <c r="C257" s="5" t="n">
        <f aca="false">IFERROR(__xludf.dummyfunction("""COMPUTED_VALUE"""),129)</f>
        <v>129</v>
      </c>
      <c r="D257" s="5" t="n">
        <f aca="false">IFERROR(__xludf.dummyfunction("""COMPUTED_VALUE"""),124.81)</f>
        <v>124.81</v>
      </c>
      <c r="E257" s="5" t="n">
        <f aca="false">IFERROR(__xludf.dummyfunction("""COMPUTED_VALUE"""),128.47)</f>
        <v>128.47</v>
      </c>
      <c r="F257" s="5" t="n">
        <f aca="false">IFERROR(__xludf.dummyfunction("""COMPUTED_VALUE"""),16248974)</f>
        <v>16248974</v>
      </c>
    </row>
    <row r="258" customFormat="false" ht="15.75" hidden="false" customHeight="false" outlineLevel="0" collapsed="false">
      <c r="A258" s="6" t="n">
        <f aca="false">IFERROR(__xludf.dummyfunction("""COMPUTED_VALUE"""),44568.6666666667)</f>
        <v>44568.6666666667</v>
      </c>
      <c r="B258" s="5" t="n">
        <f aca="false">IFERROR(__xludf.dummyfunction("""COMPUTED_VALUE"""),126.55)</f>
        <v>126.55</v>
      </c>
      <c r="C258" s="5" t="n">
        <f aca="false">IFERROR(__xludf.dummyfunction("""COMPUTED_VALUE"""),127.14)</f>
        <v>127.14</v>
      </c>
      <c r="D258" s="5" t="n">
        <f aca="false">IFERROR(__xludf.dummyfunction("""COMPUTED_VALUE"""),123.31)</f>
        <v>123.31</v>
      </c>
      <c r="E258" s="5" t="n">
        <f aca="false">IFERROR(__xludf.dummyfunction("""COMPUTED_VALUE"""),123.5)</f>
        <v>123.5</v>
      </c>
      <c r="F258" s="5" t="n">
        <f aca="false">IFERROR(__xludf.dummyfunction("""COMPUTED_VALUE"""),21248087)</f>
        <v>21248087</v>
      </c>
    </row>
    <row r="259" customFormat="false" ht="15.75" hidden="false" customHeight="false" outlineLevel="0" collapsed="false">
      <c r="A259" s="6" t="n">
        <f aca="false">IFERROR(__xludf.dummyfunction("""COMPUTED_VALUE"""),44571.6666666667)</f>
        <v>44571.6666666667</v>
      </c>
      <c r="B259" s="5" t="n">
        <f aca="false">IFERROR(__xludf.dummyfunction("""COMPUTED_VALUE"""),125.11)</f>
        <v>125.11</v>
      </c>
      <c r="C259" s="5" t="n">
        <f aca="false">IFERROR(__xludf.dummyfunction("""COMPUTED_VALUE"""),125.87)</f>
        <v>125.87</v>
      </c>
      <c r="D259" s="5" t="n">
        <f aca="false">IFERROR(__xludf.dummyfunction("""COMPUTED_VALUE"""),123.26)</f>
        <v>123.26</v>
      </c>
      <c r="E259" s="5" t="n">
        <f aca="false">IFERROR(__xludf.dummyfunction("""COMPUTED_VALUE"""),125.01)</f>
        <v>125.01</v>
      </c>
      <c r="F259" s="5" t="n">
        <f aca="false">IFERROR(__xludf.dummyfunction("""COMPUTED_VALUE"""),11857712)</f>
        <v>11857712</v>
      </c>
    </row>
    <row r="260" customFormat="false" ht="15.75" hidden="false" customHeight="false" outlineLevel="0" collapsed="false">
      <c r="A260" s="6" t="n">
        <f aca="false">IFERROR(__xludf.dummyfunction("""COMPUTED_VALUE"""),44572.6666666667)</f>
        <v>44572.6666666667</v>
      </c>
      <c r="B260" s="5" t="n">
        <f aca="false">IFERROR(__xludf.dummyfunction("""COMPUTED_VALUE"""),126.54)</f>
        <v>126.54</v>
      </c>
      <c r="C260" s="5" t="n">
        <f aca="false">IFERROR(__xludf.dummyfunction("""COMPUTED_VALUE"""),129.55)</f>
        <v>129.55</v>
      </c>
      <c r="D260" s="5" t="n">
        <f aca="false">IFERROR(__xludf.dummyfunction("""COMPUTED_VALUE"""),125.5)</f>
        <v>125.5</v>
      </c>
      <c r="E260" s="5" t="n">
        <f aca="false">IFERROR(__xludf.dummyfunction("""COMPUTED_VALUE"""),129.17)</f>
        <v>129.17</v>
      </c>
      <c r="F260" s="5" t="n">
        <f aca="false">IFERROR(__xludf.dummyfunction("""COMPUTED_VALUE"""),12113148)</f>
        <v>12113148</v>
      </c>
    </row>
    <row r="261" customFormat="false" ht="15.75" hidden="false" customHeight="false" outlineLevel="0" collapsed="false">
      <c r="A261" s="6" t="n">
        <f aca="false">IFERROR(__xludf.dummyfunction("""COMPUTED_VALUE"""),44573.6666666667)</f>
        <v>44573.6666666667</v>
      </c>
      <c r="B261" s="5" t="n">
        <f aca="false">IFERROR(__xludf.dummyfunction("""COMPUTED_VALUE"""),130.5)</f>
        <v>130.5</v>
      </c>
      <c r="C261" s="5" t="n">
        <f aca="false">IFERROR(__xludf.dummyfunction("""COMPUTED_VALUE"""),132.92)</f>
        <v>132.92</v>
      </c>
      <c r="D261" s="5" t="n">
        <f aca="false">IFERROR(__xludf.dummyfunction("""COMPUTED_VALUE"""),130.22)</f>
        <v>130.22</v>
      </c>
      <c r="E261" s="5" t="n">
        <f aca="false">IFERROR(__xludf.dummyfunction("""COMPUTED_VALUE"""),132.23)</f>
        <v>132.23</v>
      </c>
      <c r="F261" s="5" t="n">
        <f aca="false">IFERROR(__xludf.dummyfunction("""COMPUTED_VALUE"""),16389195)</f>
        <v>16389195</v>
      </c>
    </row>
    <row r="262" customFormat="false" ht="15.75" hidden="false" customHeight="false" outlineLevel="0" collapsed="false">
      <c r="A262" s="6" t="n">
        <f aca="false">IFERROR(__xludf.dummyfunction("""COMPUTED_VALUE"""),44574.6666666667)</f>
        <v>44574.6666666667</v>
      </c>
      <c r="B262" s="5" t="n">
        <f aca="false">IFERROR(__xludf.dummyfunction("""COMPUTED_VALUE"""),140.75)</f>
        <v>140.75</v>
      </c>
      <c r="C262" s="5" t="n">
        <f aca="false">IFERROR(__xludf.dummyfunction("""COMPUTED_VALUE"""),145)</f>
        <v>145</v>
      </c>
      <c r="D262" s="5" t="n">
        <f aca="false">IFERROR(__xludf.dummyfunction("""COMPUTED_VALUE"""),138.92)</f>
        <v>138.92</v>
      </c>
      <c r="E262" s="5" t="n">
        <f aca="false">IFERROR(__xludf.dummyfunction("""COMPUTED_VALUE"""),139.19)</f>
        <v>139.19</v>
      </c>
      <c r="F262" s="5" t="n">
        <f aca="false">IFERROR(__xludf.dummyfunction("""COMPUTED_VALUE"""),52019992)</f>
        <v>52019992</v>
      </c>
    </row>
    <row r="263" customFormat="false" ht="15.75" hidden="false" customHeight="false" outlineLevel="0" collapsed="false">
      <c r="A263" s="6" t="n">
        <f aca="false">IFERROR(__xludf.dummyfunction("""COMPUTED_VALUE"""),44575.6666666667)</f>
        <v>44575.6666666667</v>
      </c>
      <c r="B263" s="5" t="n">
        <f aca="false">IFERROR(__xludf.dummyfunction("""COMPUTED_VALUE"""),136.09)</f>
        <v>136.09</v>
      </c>
      <c r="C263" s="5" t="n">
        <f aca="false">IFERROR(__xludf.dummyfunction("""COMPUTED_VALUE"""),143.88)</f>
        <v>143.88</v>
      </c>
      <c r="D263" s="5" t="n">
        <f aca="false">IFERROR(__xludf.dummyfunction("""COMPUTED_VALUE"""),136.09)</f>
        <v>136.09</v>
      </c>
      <c r="E263" s="5" t="n">
        <f aca="false">IFERROR(__xludf.dummyfunction("""COMPUTED_VALUE"""),140.66)</f>
        <v>140.66</v>
      </c>
      <c r="F263" s="5" t="n">
        <f aca="false">IFERROR(__xludf.dummyfunction("""COMPUTED_VALUE"""),28255335)</f>
        <v>28255335</v>
      </c>
    </row>
    <row r="264" customFormat="false" ht="15.75" hidden="false" customHeight="false" outlineLevel="0" collapsed="false">
      <c r="A264" s="6" t="n">
        <f aca="false">IFERROR(__xludf.dummyfunction("""COMPUTED_VALUE"""),44579.6666666667)</f>
        <v>44579.6666666667</v>
      </c>
      <c r="B264" s="5" t="n">
        <f aca="false">IFERROR(__xludf.dummyfunction("""COMPUTED_VALUE"""),136.75)</f>
        <v>136.75</v>
      </c>
      <c r="C264" s="5" t="n">
        <f aca="false">IFERROR(__xludf.dummyfunction("""COMPUTED_VALUE"""),137.18)</f>
        <v>137.18</v>
      </c>
      <c r="D264" s="5" t="n">
        <f aca="false">IFERROR(__xludf.dummyfunction("""COMPUTED_VALUE"""),133.29)</f>
        <v>133.29</v>
      </c>
      <c r="E264" s="5" t="n">
        <f aca="false">IFERROR(__xludf.dummyfunction("""COMPUTED_VALUE"""),133.83)</f>
        <v>133.83</v>
      </c>
      <c r="F264" s="5" t="n">
        <f aca="false">IFERROR(__xludf.dummyfunction("""COMPUTED_VALUE"""),15202553)</f>
        <v>15202553</v>
      </c>
    </row>
    <row r="265" customFormat="false" ht="15.75" hidden="false" customHeight="false" outlineLevel="0" collapsed="false">
      <c r="A265" s="6" t="n">
        <f aca="false">IFERROR(__xludf.dummyfunction("""COMPUTED_VALUE"""),44580.6666666667)</f>
        <v>44580.6666666667</v>
      </c>
      <c r="B265" s="5" t="n">
        <f aca="false">IFERROR(__xludf.dummyfunction("""COMPUTED_VALUE"""),134.62)</f>
        <v>134.62</v>
      </c>
      <c r="C265" s="5" t="n">
        <f aca="false">IFERROR(__xludf.dummyfunction("""COMPUTED_VALUE"""),135.9)</f>
        <v>135.9</v>
      </c>
      <c r="D265" s="5" t="n">
        <f aca="false">IFERROR(__xludf.dummyfunction("""COMPUTED_VALUE"""),130.94)</f>
        <v>130.94</v>
      </c>
      <c r="E265" s="5" t="n">
        <f aca="false">IFERROR(__xludf.dummyfunction("""COMPUTED_VALUE"""),131.01)</f>
        <v>131.01</v>
      </c>
      <c r="F265" s="5" t="n">
        <f aca="false">IFERROR(__xludf.dummyfunction("""COMPUTED_VALUE"""),11155139)</f>
        <v>11155139</v>
      </c>
    </row>
    <row r="266" customFormat="false" ht="15.75" hidden="false" customHeight="false" outlineLevel="0" collapsed="false">
      <c r="A266" s="6" t="n">
        <f aca="false">IFERROR(__xludf.dummyfunction("""COMPUTED_VALUE"""),44581.6666666667)</f>
        <v>44581.6666666667</v>
      </c>
      <c r="B266" s="5" t="n">
        <f aca="false">IFERROR(__xludf.dummyfunction("""COMPUTED_VALUE"""),131.92)</f>
        <v>131.92</v>
      </c>
      <c r="C266" s="5" t="n">
        <f aca="false">IFERROR(__xludf.dummyfunction("""COMPUTED_VALUE"""),132.75)</f>
        <v>132.75</v>
      </c>
      <c r="D266" s="5" t="n">
        <f aca="false">IFERROR(__xludf.dummyfunction("""COMPUTED_VALUE"""),128.2)</f>
        <v>128.2</v>
      </c>
      <c r="E266" s="5" t="n">
        <f aca="false">IFERROR(__xludf.dummyfunction("""COMPUTED_VALUE"""),128.33)</f>
        <v>128.33</v>
      </c>
      <c r="F266" s="5" t="n">
        <f aca="false">IFERROR(__xludf.dummyfunction("""COMPUTED_VALUE"""),11421884)</f>
        <v>11421884</v>
      </c>
    </row>
    <row r="267" customFormat="false" ht="15.75" hidden="false" customHeight="false" outlineLevel="0" collapsed="false">
      <c r="A267" s="6" t="n">
        <f aca="false">IFERROR(__xludf.dummyfunction("""COMPUTED_VALUE"""),44582.6666666667)</f>
        <v>44582.6666666667</v>
      </c>
      <c r="B267" s="5" t="n">
        <f aca="false">IFERROR(__xludf.dummyfunction("""COMPUTED_VALUE"""),127.08)</f>
        <v>127.08</v>
      </c>
      <c r="C267" s="5" t="n">
        <f aca="false">IFERROR(__xludf.dummyfunction("""COMPUTED_VALUE"""),127.98)</f>
        <v>127.98</v>
      </c>
      <c r="D267" s="5" t="n">
        <f aca="false">IFERROR(__xludf.dummyfunction("""COMPUTED_VALUE"""),124.27)</f>
        <v>124.27</v>
      </c>
      <c r="E267" s="5" t="n">
        <f aca="false">IFERROR(__xludf.dummyfunction("""COMPUTED_VALUE"""),124.53)</f>
        <v>124.53</v>
      </c>
      <c r="F267" s="5" t="n">
        <f aca="false">IFERROR(__xludf.dummyfunction("""COMPUTED_VALUE"""),15573725)</f>
        <v>15573725</v>
      </c>
    </row>
    <row r="268" customFormat="false" ht="15.75" hidden="false" customHeight="false" outlineLevel="0" collapsed="false">
      <c r="A268" s="6" t="n">
        <f aca="false">IFERROR(__xludf.dummyfunction("""COMPUTED_VALUE"""),44585.6666666667)</f>
        <v>44585.6666666667</v>
      </c>
      <c r="B268" s="5" t="n">
        <f aca="false">IFERROR(__xludf.dummyfunction("""COMPUTED_VALUE"""),123.77)</f>
        <v>123.77</v>
      </c>
      <c r="C268" s="5" t="n">
        <f aca="false">IFERROR(__xludf.dummyfunction("""COMPUTED_VALUE"""),126.07)</f>
        <v>126.07</v>
      </c>
      <c r="D268" s="5" t="n">
        <f aca="false">IFERROR(__xludf.dummyfunction("""COMPUTED_VALUE"""),120.13)</f>
        <v>120.13</v>
      </c>
      <c r="E268" s="5" t="n">
        <f aca="false">IFERROR(__xludf.dummyfunction("""COMPUTED_VALUE"""),125.96)</f>
        <v>125.96</v>
      </c>
      <c r="F268" s="5" t="n">
        <f aca="false">IFERROR(__xludf.dummyfunction("""COMPUTED_VALUE"""),17100523)</f>
        <v>17100523</v>
      </c>
    </row>
    <row r="269" customFormat="false" ht="15.75" hidden="false" customHeight="false" outlineLevel="0" collapsed="false">
      <c r="A269" s="6" t="n">
        <f aca="false">IFERROR(__xludf.dummyfunction("""COMPUTED_VALUE"""),44586.6666666667)</f>
        <v>44586.6666666667</v>
      </c>
      <c r="B269" s="5" t="n">
        <f aca="false">IFERROR(__xludf.dummyfunction("""COMPUTED_VALUE"""),125.49)</f>
        <v>125.49</v>
      </c>
      <c r="C269" s="5" t="n">
        <f aca="false">IFERROR(__xludf.dummyfunction("""COMPUTED_VALUE"""),125.82)</f>
        <v>125.82</v>
      </c>
      <c r="D269" s="5" t="n">
        <f aca="false">IFERROR(__xludf.dummyfunction("""COMPUTED_VALUE"""),121.7)</f>
        <v>121.7</v>
      </c>
      <c r="E269" s="5" t="n">
        <f aca="false">IFERROR(__xludf.dummyfunction("""COMPUTED_VALUE"""),122.48)</f>
        <v>122.48</v>
      </c>
      <c r="F269" s="5" t="n">
        <f aca="false">IFERROR(__xludf.dummyfunction("""COMPUTED_VALUE"""),11370503)</f>
        <v>11370503</v>
      </c>
    </row>
    <row r="270" customFormat="false" ht="15.75" hidden="false" customHeight="false" outlineLevel="0" collapsed="false">
      <c r="A270" s="6" t="n">
        <f aca="false">IFERROR(__xludf.dummyfunction("""COMPUTED_VALUE"""),44587.6666666667)</f>
        <v>44587.6666666667</v>
      </c>
      <c r="B270" s="5" t="n">
        <f aca="false">IFERROR(__xludf.dummyfunction("""COMPUTED_VALUE"""),125.38)</f>
        <v>125.38</v>
      </c>
      <c r="C270" s="5" t="n">
        <f aca="false">IFERROR(__xludf.dummyfunction("""COMPUTED_VALUE"""),126.67)</f>
        <v>126.67</v>
      </c>
      <c r="D270" s="5" t="n">
        <f aca="false">IFERROR(__xludf.dummyfunction("""COMPUTED_VALUE"""),121.89)</f>
        <v>121.89</v>
      </c>
      <c r="E270" s="5" t="n">
        <f aca="false">IFERROR(__xludf.dummyfunction("""COMPUTED_VALUE"""),123.08)</f>
        <v>123.08</v>
      </c>
      <c r="F270" s="5" t="n">
        <f aca="false">IFERROR(__xludf.dummyfunction("""COMPUTED_VALUE"""),13592103)</f>
        <v>13592103</v>
      </c>
    </row>
    <row r="271" customFormat="false" ht="15.75" hidden="false" customHeight="false" outlineLevel="0" collapsed="false">
      <c r="A271" s="6" t="n">
        <f aca="false">IFERROR(__xludf.dummyfunction("""COMPUTED_VALUE"""),44588.6666666667)</f>
        <v>44588.6666666667</v>
      </c>
      <c r="B271" s="5" t="n">
        <f aca="false">IFERROR(__xludf.dummyfunction("""COMPUTED_VALUE"""),124)</f>
        <v>124</v>
      </c>
      <c r="C271" s="5" t="n">
        <f aca="false">IFERROR(__xludf.dummyfunction("""COMPUTED_VALUE"""),124.14)</f>
        <v>124.14</v>
      </c>
      <c r="D271" s="5" t="n">
        <f aca="false">IFERROR(__xludf.dummyfunction("""COMPUTED_VALUE"""),116.03)</f>
        <v>116.03</v>
      </c>
      <c r="E271" s="5" t="n">
        <f aca="false">IFERROR(__xludf.dummyfunction("""COMPUTED_VALUE"""),116.38)</f>
        <v>116.38</v>
      </c>
      <c r="F271" s="5" t="n">
        <f aca="false">IFERROR(__xludf.dummyfunction("""COMPUTED_VALUE"""),18599845)</f>
        <v>18599845</v>
      </c>
    </row>
    <row r="272" customFormat="false" ht="15.75" hidden="false" customHeight="false" outlineLevel="0" collapsed="false">
      <c r="A272" s="6" t="n">
        <f aca="false">IFERROR(__xludf.dummyfunction("""COMPUTED_VALUE"""),44589.6666666667)</f>
        <v>44589.6666666667</v>
      </c>
      <c r="B272" s="5" t="n">
        <f aca="false">IFERROR(__xludf.dummyfunction("""COMPUTED_VALUE"""),118.71)</f>
        <v>118.71</v>
      </c>
      <c r="C272" s="5" t="n">
        <f aca="false">IFERROR(__xludf.dummyfunction("""COMPUTED_VALUE"""),119.6)</f>
        <v>119.6</v>
      </c>
      <c r="D272" s="5" t="n">
        <f aca="false">IFERROR(__xludf.dummyfunction("""COMPUTED_VALUE"""),114.19)</f>
        <v>114.19</v>
      </c>
      <c r="E272" s="5" t="n">
        <f aca="false">IFERROR(__xludf.dummyfunction("""COMPUTED_VALUE"""),117.61)</f>
        <v>117.61</v>
      </c>
      <c r="F272" s="5" t="n">
        <f aca="false">IFERROR(__xludf.dummyfunction("""COMPUTED_VALUE"""),14005884)</f>
        <v>14005884</v>
      </c>
    </row>
    <row r="273" customFormat="false" ht="15.75" hidden="false" customHeight="false" outlineLevel="0" collapsed="false">
      <c r="A273" s="6" t="n">
        <f aca="false">IFERROR(__xludf.dummyfunction("""COMPUTED_VALUE"""),44592.6666666667)</f>
        <v>44592.6666666667</v>
      </c>
      <c r="B273" s="5" t="n">
        <f aca="false">IFERROR(__xludf.dummyfunction("""COMPUTED_VALUE"""),119.52)</f>
        <v>119.52</v>
      </c>
      <c r="C273" s="5" t="n">
        <f aca="false">IFERROR(__xludf.dummyfunction("""COMPUTED_VALUE"""),122.77)</f>
        <v>122.77</v>
      </c>
      <c r="D273" s="5" t="n">
        <f aca="false">IFERROR(__xludf.dummyfunction("""COMPUTED_VALUE"""),118.81)</f>
        <v>118.81</v>
      </c>
      <c r="E273" s="5" t="n">
        <f aca="false">IFERROR(__xludf.dummyfunction("""COMPUTED_VALUE"""),122.63)</f>
        <v>122.63</v>
      </c>
      <c r="F273" s="5" t="n">
        <f aca="false">IFERROR(__xludf.dummyfunction("""COMPUTED_VALUE"""),10189146)</f>
        <v>10189146</v>
      </c>
    </row>
    <row r="274" customFormat="false" ht="15.75" hidden="false" customHeight="false" outlineLevel="0" collapsed="false">
      <c r="A274" s="6" t="n">
        <f aca="false">IFERROR(__xludf.dummyfunction("""COMPUTED_VALUE"""),44593.6666666667)</f>
        <v>44593.6666666667</v>
      </c>
      <c r="B274" s="5" t="n">
        <f aca="false">IFERROR(__xludf.dummyfunction("""COMPUTED_VALUE"""),122.9)</f>
        <v>122.9</v>
      </c>
      <c r="C274" s="5" t="n">
        <f aca="false">IFERROR(__xludf.dummyfunction("""COMPUTED_VALUE"""),123.24)</f>
        <v>123.24</v>
      </c>
      <c r="D274" s="5" t="n">
        <f aca="false">IFERROR(__xludf.dummyfunction("""COMPUTED_VALUE"""),120.1)</f>
        <v>120.1</v>
      </c>
      <c r="E274" s="5" t="n">
        <f aca="false">IFERROR(__xludf.dummyfunction("""COMPUTED_VALUE"""),123.05)</f>
        <v>123.05</v>
      </c>
      <c r="F274" s="5" t="n">
        <f aca="false">IFERROR(__xludf.dummyfunction("""COMPUTED_VALUE"""),6956333)</f>
        <v>6956333</v>
      </c>
    </row>
    <row r="275" customFormat="false" ht="15.75" hidden="false" customHeight="false" outlineLevel="0" collapsed="false">
      <c r="A275" s="6" t="n">
        <f aca="false">IFERROR(__xludf.dummyfunction("""COMPUTED_VALUE"""),44594.6666666667)</f>
        <v>44594.6666666667</v>
      </c>
      <c r="B275" s="5" t="n">
        <f aca="false">IFERROR(__xludf.dummyfunction("""COMPUTED_VALUE"""),126.23)</f>
        <v>126.23</v>
      </c>
      <c r="C275" s="5" t="n">
        <f aca="false">IFERROR(__xludf.dummyfunction("""COMPUTED_VALUE"""),126.47)</f>
        <v>126.47</v>
      </c>
      <c r="D275" s="5" t="n">
        <f aca="false">IFERROR(__xludf.dummyfunction("""COMPUTED_VALUE"""),122.55)</f>
        <v>122.55</v>
      </c>
      <c r="E275" s="5" t="n">
        <f aca="false">IFERROR(__xludf.dummyfunction("""COMPUTED_VALUE"""),124.15)</f>
        <v>124.15</v>
      </c>
      <c r="F275" s="5" t="n">
        <f aca="false">IFERROR(__xludf.dummyfunction("""COMPUTED_VALUE"""),8562948)</f>
        <v>8562948</v>
      </c>
    </row>
    <row r="276" customFormat="false" ht="15.75" hidden="false" customHeight="false" outlineLevel="0" collapsed="false">
      <c r="A276" s="6" t="n">
        <f aca="false">IFERROR(__xludf.dummyfunction("""COMPUTED_VALUE"""),44595.6666666667)</f>
        <v>44595.6666666667</v>
      </c>
      <c r="B276" s="5" t="n">
        <f aca="false">IFERROR(__xludf.dummyfunction("""COMPUTED_VALUE"""),121.45)</f>
        <v>121.45</v>
      </c>
      <c r="C276" s="5" t="n">
        <f aca="false">IFERROR(__xludf.dummyfunction("""COMPUTED_VALUE"""),123.88)</f>
        <v>123.88</v>
      </c>
      <c r="D276" s="5" t="n">
        <f aca="false">IFERROR(__xludf.dummyfunction("""COMPUTED_VALUE"""),119.25)</f>
        <v>119.25</v>
      </c>
      <c r="E276" s="5" t="n">
        <f aca="false">IFERROR(__xludf.dummyfunction("""COMPUTED_VALUE"""),119.84)</f>
        <v>119.84</v>
      </c>
      <c r="F276" s="5" t="n">
        <f aca="false">IFERROR(__xludf.dummyfunction("""COMPUTED_VALUE"""),9926778)</f>
        <v>9926778</v>
      </c>
    </row>
    <row r="277" customFormat="false" ht="15.75" hidden="false" customHeight="false" outlineLevel="0" collapsed="false">
      <c r="A277" s="6" t="n">
        <f aca="false">IFERROR(__xludf.dummyfunction("""COMPUTED_VALUE"""),44596.6666666667)</f>
        <v>44596.6666666667</v>
      </c>
      <c r="B277" s="5" t="n">
        <f aca="false">IFERROR(__xludf.dummyfunction("""COMPUTED_VALUE"""),120.44)</f>
        <v>120.44</v>
      </c>
      <c r="C277" s="5" t="n">
        <f aca="false">IFERROR(__xludf.dummyfunction("""COMPUTED_VALUE"""),121.83)</f>
        <v>121.83</v>
      </c>
      <c r="D277" s="5" t="n">
        <f aca="false">IFERROR(__xludf.dummyfunction("""COMPUTED_VALUE"""),119.39)</f>
        <v>119.39</v>
      </c>
      <c r="E277" s="5" t="n">
        <f aca="false">IFERROR(__xludf.dummyfunction("""COMPUTED_VALUE"""),121.02)</f>
        <v>121.02</v>
      </c>
      <c r="F277" s="5" t="n">
        <f aca="false">IFERROR(__xludf.dummyfunction("""COMPUTED_VALUE"""),5743240)</f>
        <v>5743240</v>
      </c>
    </row>
    <row r="278" customFormat="false" ht="15.75" hidden="false" customHeight="false" outlineLevel="0" collapsed="false">
      <c r="A278" s="6" t="n">
        <f aca="false">IFERROR(__xludf.dummyfunction("""COMPUTED_VALUE"""),44599.6666666667)</f>
        <v>44599.6666666667</v>
      </c>
      <c r="B278" s="5" t="n">
        <f aca="false">IFERROR(__xludf.dummyfunction("""COMPUTED_VALUE"""),122.56)</f>
        <v>122.56</v>
      </c>
      <c r="C278" s="5" t="n">
        <f aca="false">IFERROR(__xludf.dummyfunction("""COMPUTED_VALUE"""),124.1)</f>
        <v>124.1</v>
      </c>
      <c r="D278" s="5" t="n">
        <f aca="false">IFERROR(__xludf.dummyfunction("""COMPUTED_VALUE"""),121.88)</f>
        <v>121.88</v>
      </c>
      <c r="E278" s="5" t="n">
        <f aca="false">IFERROR(__xludf.dummyfunction("""COMPUTED_VALUE"""),122.31)</f>
        <v>122.31</v>
      </c>
      <c r="F278" s="5" t="n">
        <f aca="false">IFERROR(__xludf.dummyfunction("""COMPUTED_VALUE"""),6562909)</f>
        <v>6562909</v>
      </c>
    </row>
    <row r="279" customFormat="false" ht="15.75" hidden="false" customHeight="false" outlineLevel="0" collapsed="false">
      <c r="A279" s="6" t="n">
        <f aca="false">IFERROR(__xludf.dummyfunction("""COMPUTED_VALUE"""),44600.6666666667)</f>
        <v>44600.6666666667</v>
      </c>
      <c r="B279" s="5" t="n">
        <f aca="false">IFERROR(__xludf.dummyfunction("""COMPUTED_VALUE"""),122)</f>
        <v>122</v>
      </c>
      <c r="C279" s="5" t="n">
        <f aca="false">IFERROR(__xludf.dummyfunction("""COMPUTED_VALUE"""),123.86)</f>
        <v>123.86</v>
      </c>
      <c r="D279" s="5" t="n">
        <f aca="false">IFERROR(__xludf.dummyfunction("""COMPUTED_VALUE"""),121.61)</f>
        <v>121.61</v>
      </c>
      <c r="E279" s="5" t="n">
        <f aca="false">IFERROR(__xludf.dummyfunction("""COMPUTED_VALUE"""),123.71)</f>
        <v>123.71</v>
      </c>
      <c r="F279" s="5" t="n">
        <f aca="false">IFERROR(__xludf.dummyfunction("""COMPUTED_VALUE"""),7036211)</f>
        <v>7036211</v>
      </c>
    </row>
    <row r="280" customFormat="false" ht="15.75" hidden="false" customHeight="false" outlineLevel="0" collapsed="false">
      <c r="A280" s="6" t="n">
        <f aca="false">IFERROR(__xludf.dummyfunction("""COMPUTED_VALUE"""),44601.6666666667)</f>
        <v>44601.6666666667</v>
      </c>
      <c r="B280" s="5" t="n">
        <f aca="false">IFERROR(__xludf.dummyfunction("""COMPUTED_VALUE"""),124.88)</f>
        <v>124.88</v>
      </c>
      <c r="C280" s="5" t="n">
        <f aca="false">IFERROR(__xludf.dummyfunction("""COMPUTED_VALUE"""),125.55)</f>
        <v>125.55</v>
      </c>
      <c r="D280" s="5" t="n">
        <f aca="false">IFERROR(__xludf.dummyfunction("""COMPUTED_VALUE"""),122.76)</f>
        <v>122.76</v>
      </c>
      <c r="E280" s="5" t="n">
        <f aca="false">IFERROR(__xludf.dummyfunction("""COMPUTED_VALUE"""),125.52)</f>
        <v>125.52</v>
      </c>
      <c r="F280" s="5" t="n">
        <f aca="false">IFERROR(__xludf.dummyfunction("""COMPUTED_VALUE"""),10979701)</f>
        <v>10979701</v>
      </c>
    </row>
    <row r="281" customFormat="false" ht="15.75" hidden="false" customHeight="false" outlineLevel="0" collapsed="false">
      <c r="A281" s="6" t="n">
        <f aca="false">IFERROR(__xludf.dummyfunction("""COMPUTED_VALUE"""),44602.6666666667)</f>
        <v>44602.6666666667</v>
      </c>
      <c r="B281" s="5" t="n">
        <f aca="false">IFERROR(__xludf.dummyfunction("""COMPUTED_VALUE"""),124.8)</f>
        <v>124.8</v>
      </c>
      <c r="C281" s="5" t="n">
        <f aca="false">IFERROR(__xludf.dummyfunction("""COMPUTED_VALUE"""),128.66)</f>
        <v>128.66</v>
      </c>
      <c r="D281" s="5" t="n">
        <f aca="false">IFERROR(__xludf.dummyfunction("""COMPUTED_VALUE"""),124.36)</f>
        <v>124.36</v>
      </c>
      <c r="E281" s="5" t="n">
        <f aca="false">IFERROR(__xludf.dummyfunction("""COMPUTED_VALUE"""),124.71)</f>
        <v>124.71</v>
      </c>
      <c r="F281" s="5" t="n">
        <f aca="false">IFERROR(__xludf.dummyfunction("""COMPUTED_VALUE"""),10474922)</f>
        <v>10474922</v>
      </c>
    </row>
    <row r="282" customFormat="false" ht="15.75" hidden="false" customHeight="false" outlineLevel="0" collapsed="false">
      <c r="A282" s="6" t="n">
        <f aca="false">IFERROR(__xludf.dummyfunction("""COMPUTED_VALUE"""),44603.6666666667)</f>
        <v>44603.6666666667</v>
      </c>
      <c r="B282" s="5" t="n">
        <f aca="false">IFERROR(__xludf.dummyfunction("""COMPUTED_VALUE"""),125.5)</f>
        <v>125.5</v>
      </c>
      <c r="C282" s="5" t="n">
        <f aca="false">IFERROR(__xludf.dummyfunction("""COMPUTED_VALUE"""),126.58)</f>
        <v>126.58</v>
      </c>
      <c r="D282" s="5" t="n">
        <f aca="false">IFERROR(__xludf.dummyfunction("""COMPUTED_VALUE"""),120.45)</f>
        <v>120.45</v>
      </c>
      <c r="E282" s="5" t="n">
        <f aca="false">IFERROR(__xludf.dummyfunction("""COMPUTED_VALUE"""),121.01)</f>
        <v>121.01</v>
      </c>
      <c r="F282" s="5" t="n">
        <f aca="false">IFERROR(__xludf.dummyfunction("""COMPUTED_VALUE"""),9845686)</f>
        <v>9845686</v>
      </c>
    </row>
    <row r="283" customFormat="false" ht="15.75" hidden="false" customHeight="false" outlineLevel="0" collapsed="false">
      <c r="A283" s="6" t="n">
        <f aca="false">IFERROR(__xludf.dummyfunction("""COMPUTED_VALUE"""),44606.6666666667)</f>
        <v>44606.6666666667</v>
      </c>
      <c r="B283" s="5" t="n">
        <f aca="false">IFERROR(__xludf.dummyfunction("""COMPUTED_VALUE"""),119.95)</f>
        <v>119.95</v>
      </c>
      <c r="C283" s="5" t="n">
        <f aca="false">IFERROR(__xludf.dummyfunction("""COMPUTED_VALUE"""),121.55)</f>
        <v>121.55</v>
      </c>
      <c r="D283" s="5" t="n">
        <f aca="false">IFERROR(__xludf.dummyfunction("""COMPUTED_VALUE"""),118)</f>
        <v>118</v>
      </c>
      <c r="E283" s="5" t="n">
        <f aca="false">IFERROR(__xludf.dummyfunction("""COMPUTED_VALUE"""),119.77)</f>
        <v>119.77</v>
      </c>
      <c r="F283" s="5" t="n">
        <f aca="false">IFERROR(__xludf.dummyfunction("""COMPUTED_VALUE"""),8081751)</f>
        <v>8081751</v>
      </c>
    </row>
    <row r="284" customFormat="false" ht="15.75" hidden="false" customHeight="false" outlineLevel="0" collapsed="false">
      <c r="A284" s="6" t="n">
        <f aca="false">IFERROR(__xludf.dummyfunction("""COMPUTED_VALUE"""),44607.6666666667)</f>
        <v>44607.6666666667</v>
      </c>
      <c r="B284" s="5" t="n">
        <f aca="false">IFERROR(__xludf.dummyfunction("""COMPUTED_VALUE"""),122.02)</f>
        <v>122.02</v>
      </c>
      <c r="C284" s="5" t="n">
        <f aca="false">IFERROR(__xludf.dummyfunction("""COMPUTED_VALUE"""),124.61)</f>
        <v>124.61</v>
      </c>
      <c r="D284" s="5" t="n">
        <f aca="false">IFERROR(__xludf.dummyfunction("""COMPUTED_VALUE"""),121.46)</f>
        <v>121.46</v>
      </c>
      <c r="E284" s="5" t="n">
        <f aca="false">IFERROR(__xludf.dummyfunction("""COMPUTED_VALUE"""),124.52)</f>
        <v>124.52</v>
      </c>
      <c r="F284" s="5" t="n">
        <f aca="false">IFERROR(__xludf.dummyfunction("""COMPUTED_VALUE"""),9258676)</f>
        <v>9258676</v>
      </c>
    </row>
    <row r="285" customFormat="false" ht="15.75" hidden="false" customHeight="false" outlineLevel="0" collapsed="false">
      <c r="A285" s="6" t="n">
        <f aca="false">IFERROR(__xludf.dummyfunction("""COMPUTED_VALUE"""),44608.6666666667)</f>
        <v>44608.6666666667</v>
      </c>
      <c r="B285" s="5" t="n">
        <f aca="false">IFERROR(__xludf.dummyfunction("""COMPUTED_VALUE"""),123.14)</f>
        <v>123.14</v>
      </c>
      <c r="C285" s="5" t="n">
        <f aca="false">IFERROR(__xludf.dummyfunction("""COMPUTED_VALUE"""),124.29)</f>
        <v>124.29</v>
      </c>
      <c r="D285" s="5" t="n">
        <f aca="false">IFERROR(__xludf.dummyfunction("""COMPUTED_VALUE"""),121.57)</f>
        <v>121.57</v>
      </c>
      <c r="E285" s="5" t="n">
        <f aca="false">IFERROR(__xludf.dummyfunction("""COMPUTED_VALUE"""),123.6)</f>
        <v>123.6</v>
      </c>
      <c r="F285" s="5" t="n">
        <f aca="false">IFERROR(__xludf.dummyfunction("""COMPUTED_VALUE"""),5749484)</f>
        <v>5749484</v>
      </c>
    </row>
    <row r="286" customFormat="false" ht="15.75" hidden="false" customHeight="false" outlineLevel="0" collapsed="false">
      <c r="A286" s="6" t="n">
        <f aca="false">IFERROR(__xludf.dummyfunction("""COMPUTED_VALUE"""),44609.6666666667)</f>
        <v>44609.6666666667</v>
      </c>
      <c r="B286" s="5" t="n">
        <f aca="false">IFERROR(__xludf.dummyfunction("""COMPUTED_VALUE"""),122.49)</f>
        <v>122.49</v>
      </c>
      <c r="C286" s="5" t="n">
        <f aca="false">IFERROR(__xludf.dummyfunction("""COMPUTED_VALUE"""),122.75)</f>
        <v>122.75</v>
      </c>
      <c r="D286" s="5" t="n">
        <f aca="false">IFERROR(__xludf.dummyfunction("""COMPUTED_VALUE"""),119.65)</f>
        <v>119.65</v>
      </c>
      <c r="E286" s="5" t="n">
        <f aca="false">IFERROR(__xludf.dummyfunction("""COMPUTED_VALUE"""),119.76)</f>
        <v>119.76</v>
      </c>
      <c r="F286" s="5" t="n">
        <f aca="false">IFERROR(__xludf.dummyfunction("""COMPUTED_VALUE"""),7976737)</f>
        <v>7976737</v>
      </c>
    </row>
    <row r="287" customFormat="false" ht="15.75" hidden="false" customHeight="false" outlineLevel="0" collapsed="false">
      <c r="A287" s="6" t="n">
        <f aca="false">IFERROR(__xludf.dummyfunction("""COMPUTED_VALUE"""),44610.6666666667)</f>
        <v>44610.6666666667</v>
      </c>
      <c r="B287" s="5" t="n">
        <f aca="false">IFERROR(__xludf.dummyfunction("""COMPUTED_VALUE"""),120.52)</f>
        <v>120.52</v>
      </c>
      <c r="C287" s="5" t="n">
        <f aca="false">IFERROR(__xludf.dummyfunction("""COMPUTED_VALUE"""),120.69)</f>
        <v>120.69</v>
      </c>
      <c r="D287" s="5" t="n">
        <f aca="false">IFERROR(__xludf.dummyfunction("""COMPUTED_VALUE"""),118.45)</f>
        <v>118.45</v>
      </c>
      <c r="E287" s="5" t="n">
        <f aca="false">IFERROR(__xludf.dummyfunction("""COMPUTED_VALUE"""),119.31)</f>
        <v>119.31</v>
      </c>
      <c r="F287" s="5" t="n">
        <f aca="false">IFERROR(__xludf.dummyfunction("""COMPUTED_VALUE"""),8389010)</f>
        <v>8389010</v>
      </c>
    </row>
    <row r="288" customFormat="false" ht="15.75" hidden="false" customHeight="false" outlineLevel="0" collapsed="false">
      <c r="A288" s="6" t="n">
        <f aca="false">IFERROR(__xludf.dummyfunction("""COMPUTED_VALUE"""),44614.6666666667)</f>
        <v>44614.6666666667</v>
      </c>
      <c r="B288" s="5" t="n">
        <f aca="false">IFERROR(__xludf.dummyfunction("""COMPUTED_VALUE"""),117.5)</f>
        <v>117.5</v>
      </c>
      <c r="C288" s="5" t="n">
        <f aca="false">IFERROR(__xludf.dummyfunction("""COMPUTED_VALUE"""),119.36)</f>
        <v>119.36</v>
      </c>
      <c r="D288" s="5" t="n">
        <f aca="false">IFERROR(__xludf.dummyfunction("""COMPUTED_VALUE"""),115.72)</f>
        <v>115.72</v>
      </c>
      <c r="E288" s="5" t="n">
        <f aca="false">IFERROR(__xludf.dummyfunction("""COMPUTED_VALUE"""),116.91)</f>
        <v>116.91</v>
      </c>
      <c r="F288" s="5" t="n">
        <f aca="false">IFERROR(__xludf.dummyfunction("""COMPUTED_VALUE"""),9793472)</f>
        <v>9793472</v>
      </c>
    </row>
    <row r="289" customFormat="false" ht="15.75" hidden="false" customHeight="false" outlineLevel="0" collapsed="false">
      <c r="A289" s="6" t="n">
        <f aca="false">IFERROR(__xludf.dummyfunction("""COMPUTED_VALUE"""),44615.6666666667)</f>
        <v>44615.6666666667</v>
      </c>
      <c r="B289" s="5" t="n">
        <f aca="false">IFERROR(__xludf.dummyfunction("""COMPUTED_VALUE"""),118.55)</f>
        <v>118.55</v>
      </c>
      <c r="C289" s="5" t="n">
        <f aca="false">IFERROR(__xludf.dummyfunction("""COMPUTED_VALUE"""),119.43)</f>
        <v>119.43</v>
      </c>
      <c r="D289" s="5" t="n">
        <f aca="false">IFERROR(__xludf.dummyfunction("""COMPUTED_VALUE"""),115.76)</f>
        <v>115.76</v>
      </c>
      <c r="E289" s="5" t="n">
        <f aca="false">IFERROR(__xludf.dummyfunction("""COMPUTED_VALUE"""),115.9)</f>
        <v>115.9</v>
      </c>
      <c r="F289" s="5" t="n">
        <f aca="false">IFERROR(__xludf.dummyfunction("""COMPUTED_VALUE"""),8114717)</f>
        <v>8114717</v>
      </c>
    </row>
    <row r="290" customFormat="false" ht="15.75" hidden="false" customHeight="false" outlineLevel="0" collapsed="false">
      <c r="A290" s="6" t="n">
        <f aca="false">IFERROR(__xludf.dummyfunction("""COMPUTED_VALUE"""),44616.6666666667)</f>
        <v>44616.6666666667</v>
      </c>
      <c r="B290" s="5" t="n">
        <f aca="false">IFERROR(__xludf.dummyfunction("""COMPUTED_VALUE"""),108)</f>
        <v>108</v>
      </c>
      <c r="C290" s="5" t="n">
        <f aca="false">IFERROR(__xludf.dummyfunction("""COMPUTED_VALUE"""),111.98)</f>
        <v>111.98</v>
      </c>
      <c r="D290" s="5" t="n">
        <f aca="false">IFERROR(__xludf.dummyfunction("""COMPUTED_VALUE"""),104.38)</f>
        <v>104.38</v>
      </c>
      <c r="E290" s="5" t="n">
        <f aca="false">IFERROR(__xludf.dummyfunction("""COMPUTED_VALUE"""),111.88)</f>
        <v>111.88</v>
      </c>
      <c r="F290" s="5" t="n">
        <f aca="false">IFERROR(__xludf.dummyfunction("""COMPUTED_VALUE"""),27539111)</f>
        <v>27539111</v>
      </c>
    </row>
    <row r="291" customFormat="false" ht="15.75" hidden="false" customHeight="false" outlineLevel="0" collapsed="false">
      <c r="A291" s="6" t="n">
        <f aca="false">IFERROR(__xludf.dummyfunction("""COMPUTED_VALUE"""),44617.6666666667)</f>
        <v>44617.6666666667</v>
      </c>
      <c r="B291" s="5" t="n">
        <f aca="false">IFERROR(__xludf.dummyfunction("""COMPUTED_VALUE"""),112.29)</f>
        <v>112.29</v>
      </c>
      <c r="C291" s="5" t="n">
        <f aca="false">IFERROR(__xludf.dummyfunction("""COMPUTED_VALUE"""),113)</f>
        <v>113</v>
      </c>
      <c r="D291" s="5" t="n">
        <f aca="false">IFERROR(__xludf.dummyfunction("""COMPUTED_VALUE"""),109.36)</f>
        <v>109.36</v>
      </c>
      <c r="E291" s="5" t="n">
        <f aca="false">IFERROR(__xludf.dummyfunction("""COMPUTED_VALUE"""),111.23)</f>
        <v>111.23</v>
      </c>
      <c r="F291" s="5" t="n">
        <f aca="false">IFERROR(__xludf.dummyfunction("""COMPUTED_VALUE"""),14258911)</f>
        <v>14258911</v>
      </c>
    </row>
    <row r="292" customFormat="false" ht="15.75" hidden="false" customHeight="false" outlineLevel="0" collapsed="false">
      <c r="A292" s="6" t="n">
        <f aca="false">IFERROR(__xludf.dummyfunction("""COMPUTED_VALUE"""),44620.6666666667)</f>
        <v>44620.6666666667</v>
      </c>
      <c r="B292" s="5" t="n">
        <f aca="false">IFERROR(__xludf.dummyfunction("""COMPUTED_VALUE"""),109.37)</f>
        <v>109.37</v>
      </c>
      <c r="C292" s="5" t="n">
        <f aca="false">IFERROR(__xludf.dummyfunction("""COMPUTED_VALUE"""),109.77)</f>
        <v>109.77</v>
      </c>
      <c r="D292" s="5" t="n">
        <f aca="false">IFERROR(__xludf.dummyfunction("""COMPUTED_VALUE"""),105)</f>
        <v>105</v>
      </c>
      <c r="E292" s="5" t="n">
        <f aca="false">IFERROR(__xludf.dummyfunction("""COMPUTED_VALUE"""),107.01)</f>
        <v>107.01</v>
      </c>
      <c r="F292" s="5" t="n">
        <f aca="false">IFERROR(__xludf.dummyfunction("""COMPUTED_VALUE"""),26390834)</f>
        <v>26390834</v>
      </c>
    </row>
    <row r="293" customFormat="false" ht="15.75" hidden="false" customHeight="false" outlineLevel="0" collapsed="false">
      <c r="A293" s="6" t="n">
        <f aca="false">IFERROR(__xludf.dummyfunction("""COMPUTED_VALUE"""),44621.6666666667)</f>
        <v>44621.6666666667</v>
      </c>
      <c r="B293" s="5" t="n">
        <f aca="false">IFERROR(__xludf.dummyfunction("""COMPUTED_VALUE"""),110)</f>
        <v>110</v>
      </c>
      <c r="C293" s="5" t="n">
        <f aca="false">IFERROR(__xludf.dummyfunction("""COMPUTED_VALUE"""),111.11)</f>
        <v>111.11</v>
      </c>
      <c r="D293" s="5" t="n">
        <f aca="false">IFERROR(__xludf.dummyfunction("""COMPUTED_VALUE"""),107.05)</f>
        <v>107.05</v>
      </c>
      <c r="E293" s="5" t="n">
        <f aca="false">IFERROR(__xludf.dummyfunction("""COMPUTED_VALUE"""),108.05)</f>
        <v>108.05</v>
      </c>
      <c r="F293" s="5" t="n">
        <f aca="false">IFERROR(__xludf.dummyfunction("""COMPUTED_VALUE"""),20377882)</f>
        <v>20377882</v>
      </c>
    </row>
    <row r="294" customFormat="false" ht="15.75" hidden="false" customHeight="false" outlineLevel="0" collapsed="false">
      <c r="A294" s="6" t="n">
        <f aca="false">IFERROR(__xludf.dummyfunction("""COMPUTED_VALUE"""),44622.6666666667)</f>
        <v>44622.6666666667</v>
      </c>
      <c r="B294" s="5" t="n">
        <f aca="false">IFERROR(__xludf.dummyfunction("""COMPUTED_VALUE"""),108.4)</f>
        <v>108.4</v>
      </c>
      <c r="C294" s="5" t="n">
        <f aca="false">IFERROR(__xludf.dummyfunction("""COMPUTED_VALUE"""),109.97)</f>
        <v>109.97</v>
      </c>
      <c r="D294" s="5" t="n">
        <f aca="false">IFERROR(__xludf.dummyfunction("""COMPUTED_VALUE"""),107.86)</f>
        <v>107.86</v>
      </c>
      <c r="E294" s="5" t="n">
        <f aca="false">IFERROR(__xludf.dummyfunction("""COMPUTED_VALUE"""),109.61)</f>
        <v>109.61</v>
      </c>
      <c r="F294" s="5" t="n">
        <f aca="false">IFERROR(__xludf.dummyfunction("""COMPUTED_VALUE"""),13342390)</f>
        <v>13342390</v>
      </c>
    </row>
    <row r="295" customFormat="false" ht="15.75" hidden="false" customHeight="false" outlineLevel="0" collapsed="false">
      <c r="A295" s="6" t="n">
        <f aca="false">IFERROR(__xludf.dummyfunction("""COMPUTED_VALUE"""),44623.6666666667)</f>
        <v>44623.6666666667</v>
      </c>
      <c r="B295" s="5" t="n">
        <f aca="false">IFERROR(__xludf.dummyfunction("""COMPUTED_VALUE"""),109.91)</f>
        <v>109.91</v>
      </c>
      <c r="C295" s="5" t="n">
        <f aca="false">IFERROR(__xludf.dummyfunction("""COMPUTED_VALUE"""),110)</f>
        <v>110</v>
      </c>
      <c r="D295" s="5" t="n">
        <f aca="false">IFERROR(__xludf.dummyfunction("""COMPUTED_VALUE"""),107.6)</f>
        <v>107.6</v>
      </c>
      <c r="E295" s="5" t="n">
        <f aca="false">IFERROR(__xludf.dummyfunction("""COMPUTED_VALUE"""),108.79)</f>
        <v>108.79</v>
      </c>
      <c r="F295" s="5" t="n">
        <f aca="false">IFERROR(__xludf.dummyfunction("""COMPUTED_VALUE"""),10841731)</f>
        <v>10841731</v>
      </c>
    </row>
    <row r="296" customFormat="false" ht="15.75" hidden="false" customHeight="false" outlineLevel="0" collapsed="false">
      <c r="A296" s="6" t="n">
        <f aca="false">IFERROR(__xludf.dummyfunction("""COMPUTED_VALUE"""),44624.6666666667)</f>
        <v>44624.6666666667</v>
      </c>
      <c r="B296" s="5" t="n">
        <f aca="false">IFERROR(__xludf.dummyfunction("""COMPUTED_VALUE"""),107)</f>
        <v>107</v>
      </c>
      <c r="C296" s="5" t="n">
        <f aca="false">IFERROR(__xludf.dummyfunction("""COMPUTED_VALUE"""),108.12)</f>
        <v>108.12</v>
      </c>
      <c r="D296" s="5" t="n">
        <f aca="false">IFERROR(__xludf.dummyfunction("""COMPUTED_VALUE"""),103.81)</f>
        <v>103.81</v>
      </c>
      <c r="E296" s="5" t="n">
        <f aca="false">IFERROR(__xludf.dummyfunction("""COMPUTED_VALUE"""),105.06)</f>
        <v>105.06</v>
      </c>
      <c r="F296" s="5" t="n">
        <f aca="false">IFERROR(__xludf.dummyfunction("""COMPUTED_VALUE"""),22379149)</f>
        <v>22379149</v>
      </c>
    </row>
    <row r="297" customFormat="false" ht="15.75" hidden="false" customHeight="false" outlineLevel="0" collapsed="false">
      <c r="A297" s="6" t="n">
        <f aca="false">IFERROR(__xludf.dummyfunction("""COMPUTED_VALUE"""),44627.6666666667)</f>
        <v>44627.6666666667</v>
      </c>
      <c r="B297" s="5" t="n">
        <f aca="false">IFERROR(__xludf.dummyfunction("""COMPUTED_VALUE"""),103.29)</f>
        <v>103.29</v>
      </c>
      <c r="C297" s="5" t="n">
        <f aca="false">IFERROR(__xludf.dummyfunction("""COMPUTED_VALUE"""),104.09)</f>
        <v>104.09</v>
      </c>
      <c r="D297" s="5" t="n">
        <f aca="false">IFERROR(__xludf.dummyfunction("""COMPUTED_VALUE"""),99.06)</f>
        <v>99.06</v>
      </c>
      <c r="E297" s="5" t="n">
        <f aca="false">IFERROR(__xludf.dummyfunction("""COMPUTED_VALUE"""),99.29)</f>
        <v>99.29</v>
      </c>
      <c r="F297" s="5" t="n">
        <f aca="false">IFERROR(__xludf.dummyfunction("""COMPUTED_VALUE"""),29422885)</f>
        <v>29422885</v>
      </c>
    </row>
    <row r="298" customFormat="false" ht="15.75" hidden="false" customHeight="false" outlineLevel="0" collapsed="false">
      <c r="A298" s="6" t="n">
        <f aca="false">IFERROR(__xludf.dummyfunction("""COMPUTED_VALUE"""),44628.6666666667)</f>
        <v>44628.6666666667</v>
      </c>
      <c r="B298" s="5" t="n">
        <f aca="false">IFERROR(__xludf.dummyfunction("""COMPUTED_VALUE"""),100.21)</f>
        <v>100.21</v>
      </c>
      <c r="C298" s="5" t="n">
        <f aca="false">IFERROR(__xludf.dummyfunction("""COMPUTED_VALUE"""),103.11)</f>
        <v>103.11</v>
      </c>
      <c r="D298" s="5" t="n">
        <f aca="false">IFERROR(__xludf.dummyfunction("""COMPUTED_VALUE"""),98.62)</f>
        <v>98.62</v>
      </c>
      <c r="E298" s="5" t="n">
        <f aca="false">IFERROR(__xludf.dummyfunction("""COMPUTED_VALUE"""),100)</f>
        <v>100</v>
      </c>
      <c r="F298" s="5" t="n">
        <f aca="false">IFERROR(__xludf.dummyfunction("""COMPUTED_VALUE"""),25649964)</f>
        <v>25649964</v>
      </c>
    </row>
    <row r="299" customFormat="false" ht="15.75" hidden="false" customHeight="false" outlineLevel="0" collapsed="false">
      <c r="A299" s="6" t="n">
        <f aca="false">IFERROR(__xludf.dummyfunction("""COMPUTED_VALUE"""),44629.6666666667)</f>
        <v>44629.6666666667</v>
      </c>
      <c r="B299" s="5" t="n">
        <f aca="false">IFERROR(__xludf.dummyfunction("""COMPUTED_VALUE"""),104.51)</f>
        <v>104.51</v>
      </c>
      <c r="C299" s="5" t="n">
        <f aca="false">IFERROR(__xludf.dummyfunction("""COMPUTED_VALUE"""),105.72)</f>
        <v>105.72</v>
      </c>
      <c r="D299" s="5" t="n">
        <f aca="false">IFERROR(__xludf.dummyfunction("""COMPUTED_VALUE"""),102.76)</f>
        <v>102.76</v>
      </c>
      <c r="E299" s="5" t="n">
        <f aca="false">IFERROR(__xludf.dummyfunction("""COMPUTED_VALUE"""),104.95)</f>
        <v>104.95</v>
      </c>
      <c r="F299" s="5" t="n">
        <f aca="false">IFERROR(__xludf.dummyfunction("""COMPUTED_VALUE"""),14348370)</f>
        <v>14348370</v>
      </c>
    </row>
    <row r="300" customFormat="false" ht="15.75" hidden="false" customHeight="false" outlineLevel="0" collapsed="false">
      <c r="A300" s="6" t="n">
        <f aca="false">IFERROR(__xludf.dummyfunction("""COMPUTED_VALUE"""),44630.6666666667)</f>
        <v>44630.6666666667</v>
      </c>
      <c r="B300" s="5" t="n">
        <f aca="false">IFERROR(__xludf.dummyfunction("""COMPUTED_VALUE"""),104.19)</f>
        <v>104.19</v>
      </c>
      <c r="C300" s="5" t="n">
        <f aca="false">IFERROR(__xludf.dummyfunction("""COMPUTED_VALUE"""),105.53)</f>
        <v>105.53</v>
      </c>
      <c r="D300" s="5" t="n">
        <f aca="false">IFERROR(__xludf.dummyfunction("""COMPUTED_VALUE"""),102.52)</f>
        <v>102.52</v>
      </c>
      <c r="E300" s="5" t="n">
        <f aca="false">IFERROR(__xludf.dummyfunction("""COMPUTED_VALUE"""),103.96)</f>
        <v>103.96</v>
      </c>
      <c r="F300" s="5" t="n">
        <f aca="false">IFERROR(__xludf.dummyfunction("""COMPUTED_VALUE"""),11811010)</f>
        <v>11811010</v>
      </c>
    </row>
    <row r="301" customFormat="false" ht="15.75" hidden="false" customHeight="false" outlineLevel="0" collapsed="false">
      <c r="A301" s="6" t="n">
        <f aca="false">IFERROR(__xludf.dummyfunction("""COMPUTED_VALUE"""),44631.6666666667)</f>
        <v>44631.6666666667</v>
      </c>
      <c r="B301" s="5" t="n">
        <f aca="false">IFERROR(__xludf.dummyfunction("""COMPUTED_VALUE"""),105.36)</f>
        <v>105.36</v>
      </c>
      <c r="C301" s="5" t="n">
        <f aca="false">IFERROR(__xludf.dummyfunction("""COMPUTED_VALUE"""),105.36)</f>
        <v>105.36</v>
      </c>
      <c r="D301" s="5" t="n">
        <f aca="false">IFERROR(__xludf.dummyfunction("""COMPUTED_VALUE"""),101.3)</f>
        <v>101.3</v>
      </c>
      <c r="E301" s="5" t="n">
        <f aca="false">IFERROR(__xludf.dummyfunction("""COMPUTED_VALUE"""),101.41)</f>
        <v>101.41</v>
      </c>
      <c r="F301" s="5" t="n">
        <f aca="false">IFERROR(__xludf.dummyfunction("""COMPUTED_VALUE"""),18116439)</f>
        <v>18116439</v>
      </c>
    </row>
    <row r="302" customFormat="false" ht="15.75" hidden="false" customHeight="false" outlineLevel="0" collapsed="false">
      <c r="A302" s="6" t="n">
        <f aca="false">IFERROR(__xludf.dummyfunction("""COMPUTED_VALUE"""),44634.6666666667)</f>
        <v>44634.6666666667</v>
      </c>
      <c r="B302" s="5" t="n">
        <f aca="false">IFERROR(__xludf.dummyfunction("""COMPUTED_VALUE"""),101.52)</f>
        <v>101.52</v>
      </c>
      <c r="C302" s="5" t="n">
        <f aca="false">IFERROR(__xludf.dummyfunction("""COMPUTED_VALUE"""),101.86)</f>
        <v>101.86</v>
      </c>
      <c r="D302" s="5" t="n">
        <f aca="false">IFERROR(__xludf.dummyfunction("""COMPUTED_VALUE"""),99.07)</f>
        <v>99.07</v>
      </c>
      <c r="E302" s="5" t="n">
        <f aca="false">IFERROR(__xludf.dummyfunction("""COMPUTED_VALUE"""),99.3)</f>
        <v>99.3</v>
      </c>
      <c r="F302" s="5" t="n">
        <f aca="false">IFERROR(__xludf.dummyfunction("""COMPUTED_VALUE"""),17959381)</f>
        <v>17959381</v>
      </c>
    </row>
    <row r="303" customFormat="false" ht="15.75" hidden="false" customHeight="false" outlineLevel="0" collapsed="false">
      <c r="A303" s="6" t="n">
        <f aca="false">IFERROR(__xludf.dummyfunction("""COMPUTED_VALUE"""),44635.6666666667)</f>
        <v>44635.6666666667</v>
      </c>
      <c r="B303" s="5" t="n">
        <f aca="false">IFERROR(__xludf.dummyfunction("""COMPUTED_VALUE"""),98.03)</f>
        <v>98.03</v>
      </c>
      <c r="C303" s="5" t="n">
        <f aca="false">IFERROR(__xludf.dummyfunction("""COMPUTED_VALUE"""),102.14)</f>
        <v>102.14</v>
      </c>
      <c r="D303" s="5" t="n">
        <f aca="false">IFERROR(__xludf.dummyfunction("""COMPUTED_VALUE"""),97.62)</f>
        <v>97.62</v>
      </c>
      <c r="E303" s="5" t="n">
        <f aca="false">IFERROR(__xludf.dummyfunction("""COMPUTED_VALUE"""),102.09)</f>
        <v>102.09</v>
      </c>
      <c r="F303" s="5" t="n">
        <f aca="false">IFERROR(__xludf.dummyfunction("""COMPUTED_VALUE"""),13415591)</f>
        <v>13415591</v>
      </c>
    </row>
    <row r="304" customFormat="false" ht="15.75" hidden="false" customHeight="false" outlineLevel="0" collapsed="false">
      <c r="A304" s="6" t="n">
        <f aca="false">IFERROR(__xludf.dummyfunction("""COMPUTED_VALUE"""),44636.6666666667)</f>
        <v>44636.6666666667</v>
      </c>
      <c r="B304" s="5" t="n">
        <f aca="false">IFERROR(__xludf.dummyfunction("""COMPUTED_VALUE"""),102.99)</f>
        <v>102.99</v>
      </c>
      <c r="C304" s="5" t="n">
        <f aca="false">IFERROR(__xludf.dummyfunction("""COMPUTED_VALUE"""),105.79)</f>
        <v>105.79</v>
      </c>
      <c r="D304" s="5" t="n">
        <f aca="false">IFERROR(__xludf.dummyfunction("""COMPUTED_VALUE"""),102.81)</f>
        <v>102.81</v>
      </c>
      <c r="E304" s="5" t="n">
        <f aca="false">IFERROR(__xludf.dummyfunction("""COMPUTED_VALUE"""),105.69)</f>
        <v>105.69</v>
      </c>
      <c r="F304" s="5" t="n">
        <f aca="false">IFERROR(__xludf.dummyfunction("""COMPUTED_VALUE"""),20347066)</f>
        <v>20347066</v>
      </c>
    </row>
    <row r="305" customFormat="false" ht="15.75" hidden="false" customHeight="false" outlineLevel="0" collapsed="false">
      <c r="A305" s="6" t="n">
        <f aca="false">IFERROR(__xludf.dummyfunction("""COMPUTED_VALUE"""),44637.6666666667)</f>
        <v>44637.6666666667</v>
      </c>
      <c r="B305" s="5" t="n">
        <f aca="false">IFERROR(__xludf.dummyfunction("""COMPUTED_VALUE"""),105.75)</f>
        <v>105.75</v>
      </c>
      <c r="C305" s="5" t="n">
        <f aca="false">IFERROR(__xludf.dummyfunction("""COMPUTED_VALUE"""),106.53)</f>
        <v>106.53</v>
      </c>
      <c r="D305" s="5" t="n">
        <f aca="false">IFERROR(__xludf.dummyfunction("""COMPUTED_VALUE"""),104.75)</f>
        <v>104.75</v>
      </c>
      <c r="E305" s="5" t="n">
        <f aca="false">IFERROR(__xludf.dummyfunction("""COMPUTED_VALUE"""),106.49)</f>
        <v>106.49</v>
      </c>
      <c r="F305" s="5" t="n">
        <f aca="false">IFERROR(__xludf.dummyfunction("""COMPUTED_VALUE"""),8041999)</f>
        <v>8041999</v>
      </c>
    </row>
    <row r="306" customFormat="false" ht="15.75" hidden="false" customHeight="false" outlineLevel="0" collapsed="false">
      <c r="A306" s="6" t="n">
        <f aca="false">IFERROR(__xludf.dummyfunction("""COMPUTED_VALUE"""),44638.6666666667)</f>
        <v>44638.6666666667</v>
      </c>
      <c r="B306" s="5" t="n">
        <f aca="false">IFERROR(__xludf.dummyfunction("""COMPUTED_VALUE"""),105.71)</f>
        <v>105.71</v>
      </c>
      <c r="C306" s="5" t="n">
        <f aca="false">IFERROR(__xludf.dummyfunction("""COMPUTED_VALUE"""),107.04)</f>
        <v>107.04</v>
      </c>
      <c r="D306" s="5" t="n">
        <f aca="false">IFERROR(__xludf.dummyfunction("""COMPUTED_VALUE"""),104.89)</f>
        <v>104.89</v>
      </c>
      <c r="E306" s="5" t="n">
        <f aca="false">IFERROR(__xludf.dummyfunction("""COMPUTED_VALUE"""),106.72)</f>
        <v>106.72</v>
      </c>
      <c r="F306" s="5" t="n">
        <f aca="false">IFERROR(__xludf.dummyfunction("""COMPUTED_VALUE"""),10218167)</f>
        <v>10218167</v>
      </c>
    </row>
    <row r="307" customFormat="false" ht="15.75" hidden="false" customHeight="false" outlineLevel="0" collapsed="false">
      <c r="A307" s="6" t="n">
        <f aca="false">IFERROR(__xludf.dummyfunction("""COMPUTED_VALUE"""),44641.6666666667)</f>
        <v>44641.6666666667</v>
      </c>
      <c r="B307" s="5" t="n">
        <f aca="false">IFERROR(__xludf.dummyfunction("""COMPUTED_VALUE"""),106.72)</f>
        <v>106.72</v>
      </c>
      <c r="C307" s="5" t="n">
        <f aca="false">IFERROR(__xludf.dummyfunction("""COMPUTED_VALUE"""),107.22)</f>
        <v>107.22</v>
      </c>
      <c r="D307" s="5" t="n">
        <f aca="false">IFERROR(__xludf.dummyfunction("""COMPUTED_VALUE"""),105.13)</f>
        <v>105.13</v>
      </c>
      <c r="E307" s="5" t="n">
        <f aca="false">IFERROR(__xludf.dummyfunction("""COMPUTED_VALUE"""),106.92)</f>
        <v>106.92</v>
      </c>
      <c r="F307" s="5" t="n">
        <f aca="false">IFERROR(__xludf.dummyfunction("""COMPUTED_VALUE"""),10366071)</f>
        <v>10366071</v>
      </c>
    </row>
    <row r="308" customFormat="false" ht="15.75" hidden="false" customHeight="false" outlineLevel="0" collapsed="false">
      <c r="A308" s="6" t="n">
        <f aca="false">IFERROR(__xludf.dummyfunction("""COMPUTED_VALUE"""),44642.6666666667)</f>
        <v>44642.6666666667</v>
      </c>
      <c r="B308" s="5" t="n">
        <f aca="false">IFERROR(__xludf.dummyfunction("""COMPUTED_VALUE"""),106.39)</f>
        <v>106.39</v>
      </c>
      <c r="C308" s="5" t="n">
        <f aca="false">IFERROR(__xludf.dummyfunction("""COMPUTED_VALUE"""),107.96)</f>
        <v>107.96</v>
      </c>
      <c r="D308" s="5" t="n">
        <f aca="false">IFERROR(__xludf.dummyfunction("""COMPUTED_VALUE"""),106.23)</f>
        <v>106.23</v>
      </c>
      <c r="E308" s="5" t="n">
        <f aca="false">IFERROR(__xludf.dummyfunction("""COMPUTED_VALUE"""),107.04)</f>
        <v>107.04</v>
      </c>
      <c r="F308" s="5" t="n">
        <f aca="false">IFERROR(__xludf.dummyfunction("""COMPUTED_VALUE"""),10401191)</f>
        <v>10401191</v>
      </c>
    </row>
    <row r="309" customFormat="false" ht="15.75" hidden="false" customHeight="false" outlineLevel="0" collapsed="false">
      <c r="A309" s="6" t="n">
        <f aca="false">IFERROR(__xludf.dummyfunction("""COMPUTED_VALUE"""),44643.6666666667)</f>
        <v>44643.6666666667</v>
      </c>
      <c r="B309" s="5" t="n">
        <f aca="false">IFERROR(__xludf.dummyfunction("""COMPUTED_VALUE"""),106.5)</f>
        <v>106.5</v>
      </c>
      <c r="C309" s="5" t="n">
        <f aca="false">IFERROR(__xludf.dummyfunction("""COMPUTED_VALUE"""),108.19)</f>
        <v>108.19</v>
      </c>
      <c r="D309" s="5" t="n">
        <f aca="false">IFERROR(__xludf.dummyfunction("""COMPUTED_VALUE"""),105.35)</f>
        <v>105.35</v>
      </c>
      <c r="E309" s="5" t="n">
        <f aca="false">IFERROR(__xludf.dummyfunction("""COMPUTED_VALUE"""),105.35)</f>
        <v>105.35</v>
      </c>
      <c r="F309" s="5" t="n">
        <f aca="false">IFERROR(__xludf.dummyfunction("""COMPUTED_VALUE"""),12905344)</f>
        <v>12905344</v>
      </c>
    </row>
    <row r="310" customFormat="false" ht="15.75" hidden="false" customHeight="false" outlineLevel="0" collapsed="false">
      <c r="A310" s="6" t="n">
        <f aca="false">IFERROR(__xludf.dummyfunction("""COMPUTED_VALUE"""),44644.6666666667)</f>
        <v>44644.6666666667</v>
      </c>
      <c r="B310" s="5" t="n">
        <f aca="false">IFERROR(__xludf.dummyfunction("""COMPUTED_VALUE"""),106.78)</f>
        <v>106.78</v>
      </c>
      <c r="C310" s="5" t="n">
        <f aca="false">IFERROR(__xludf.dummyfunction("""COMPUTED_VALUE"""),107.98)</f>
        <v>107.98</v>
      </c>
      <c r="D310" s="5" t="n">
        <f aca="false">IFERROR(__xludf.dummyfunction("""COMPUTED_VALUE"""),105.83)</f>
        <v>105.83</v>
      </c>
      <c r="E310" s="5" t="n">
        <f aca="false">IFERROR(__xludf.dummyfunction("""COMPUTED_VALUE"""),107.92)</f>
        <v>107.92</v>
      </c>
      <c r="F310" s="5" t="n">
        <f aca="false">IFERROR(__xludf.dummyfunction("""COMPUTED_VALUE"""),10834029)</f>
        <v>10834029</v>
      </c>
    </row>
    <row r="311" customFormat="false" ht="15.75" hidden="false" customHeight="false" outlineLevel="0" collapsed="false">
      <c r="A311" s="6" t="n">
        <f aca="false">IFERROR(__xludf.dummyfunction("""COMPUTED_VALUE"""),44645.6666666667)</f>
        <v>44645.6666666667</v>
      </c>
      <c r="B311" s="5" t="n">
        <f aca="false">IFERROR(__xludf.dummyfunction("""COMPUTED_VALUE"""),107.69)</f>
        <v>107.69</v>
      </c>
      <c r="C311" s="5" t="n">
        <f aca="false">IFERROR(__xludf.dummyfunction("""COMPUTED_VALUE"""),107.98)</f>
        <v>107.98</v>
      </c>
      <c r="D311" s="5" t="n">
        <f aca="false">IFERROR(__xludf.dummyfunction("""COMPUTED_VALUE"""),105.84)</f>
        <v>105.84</v>
      </c>
      <c r="E311" s="5" t="n">
        <f aca="false">IFERROR(__xludf.dummyfunction("""COMPUTED_VALUE"""),106.73)</f>
        <v>106.73</v>
      </c>
      <c r="F311" s="5" t="n">
        <f aca="false">IFERROR(__xludf.dummyfunction("""COMPUTED_VALUE"""),7433728)</f>
        <v>7433728</v>
      </c>
    </row>
    <row r="312" customFormat="false" ht="15.75" hidden="false" customHeight="false" outlineLevel="0" collapsed="false">
      <c r="A312" s="6" t="n">
        <f aca="false">IFERROR(__xludf.dummyfunction("""COMPUTED_VALUE"""),44648.6666666667)</f>
        <v>44648.6666666667</v>
      </c>
      <c r="B312" s="5" t="n">
        <f aca="false">IFERROR(__xludf.dummyfunction("""COMPUTED_VALUE"""),105.62)</f>
        <v>105.62</v>
      </c>
      <c r="C312" s="5" t="n">
        <f aca="false">IFERROR(__xludf.dummyfunction("""COMPUTED_VALUE"""),106.72)</f>
        <v>106.72</v>
      </c>
      <c r="D312" s="5" t="n">
        <f aca="false">IFERROR(__xludf.dummyfunction("""COMPUTED_VALUE"""),104.61)</f>
        <v>104.61</v>
      </c>
      <c r="E312" s="5" t="n">
        <f aca="false">IFERROR(__xludf.dummyfunction("""COMPUTED_VALUE"""),106.33)</f>
        <v>106.33</v>
      </c>
      <c r="F312" s="5" t="n">
        <f aca="false">IFERROR(__xludf.dummyfunction("""COMPUTED_VALUE"""),8151204)</f>
        <v>8151204</v>
      </c>
    </row>
    <row r="313" customFormat="false" ht="15.75" hidden="false" customHeight="false" outlineLevel="0" collapsed="false">
      <c r="A313" s="6" t="n">
        <f aca="false">IFERROR(__xludf.dummyfunction("""COMPUTED_VALUE"""),44649.6666666667)</f>
        <v>44649.6666666667</v>
      </c>
      <c r="B313" s="5" t="n">
        <f aca="false">IFERROR(__xludf.dummyfunction("""COMPUTED_VALUE"""),107.92)</f>
        <v>107.92</v>
      </c>
      <c r="C313" s="5" t="n">
        <f aca="false">IFERROR(__xludf.dummyfunction("""COMPUTED_VALUE"""),109.76)</f>
        <v>109.76</v>
      </c>
      <c r="D313" s="5" t="n">
        <f aca="false">IFERROR(__xludf.dummyfunction("""COMPUTED_VALUE"""),106.79)</f>
        <v>106.79</v>
      </c>
      <c r="E313" s="5" t="n">
        <f aca="false">IFERROR(__xludf.dummyfunction("""COMPUTED_VALUE"""),109.25)</f>
        <v>109.25</v>
      </c>
      <c r="F313" s="5" t="n">
        <f aca="false">IFERROR(__xludf.dummyfunction("""COMPUTED_VALUE"""),14076209)</f>
        <v>14076209</v>
      </c>
    </row>
    <row r="314" customFormat="false" ht="15.75" hidden="false" customHeight="false" outlineLevel="0" collapsed="false">
      <c r="A314" s="6" t="n">
        <f aca="false">IFERROR(__xludf.dummyfunction("""COMPUTED_VALUE"""),44650.6666666667)</f>
        <v>44650.6666666667</v>
      </c>
      <c r="B314" s="5" t="n">
        <f aca="false">IFERROR(__xludf.dummyfunction("""COMPUTED_VALUE"""),107.79)</f>
        <v>107.79</v>
      </c>
      <c r="C314" s="5" t="n">
        <f aca="false">IFERROR(__xludf.dummyfunction("""COMPUTED_VALUE"""),109.34)</f>
        <v>109.34</v>
      </c>
      <c r="D314" s="5" t="n">
        <f aca="false">IFERROR(__xludf.dummyfunction("""COMPUTED_VALUE"""),106.51)</f>
        <v>106.51</v>
      </c>
      <c r="E314" s="5" t="n">
        <f aca="false">IFERROR(__xludf.dummyfunction("""COMPUTED_VALUE"""),106.73)</f>
        <v>106.73</v>
      </c>
      <c r="F314" s="5" t="n">
        <f aca="false">IFERROR(__xludf.dummyfunction("""COMPUTED_VALUE"""),15456251)</f>
        <v>15456251</v>
      </c>
    </row>
    <row r="315" customFormat="false" ht="15.75" hidden="false" customHeight="false" outlineLevel="0" collapsed="false">
      <c r="A315" s="6" t="n">
        <f aca="false">IFERROR(__xludf.dummyfunction("""COMPUTED_VALUE"""),44651.6666666667)</f>
        <v>44651.6666666667</v>
      </c>
      <c r="B315" s="5" t="n">
        <f aca="false">IFERROR(__xludf.dummyfunction("""COMPUTED_VALUE"""),106.96)</f>
        <v>106.96</v>
      </c>
      <c r="C315" s="5" t="n">
        <f aca="false">IFERROR(__xludf.dummyfunction("""COMPUTED_VALUE"""),107.15)</f>
        <v>107.15</v>
      </c>
      <c r="D315" s="5" t="n">
        <f aca="false">IFERROR(__xludf.dummyfunction("""COMPUTED_VALUE"""),104.19)</f>
        <v>104.19</v>
      </c>
      <c r="E315" s="5" t="n">
        <f aca="false">IFERROR(__xludf.dummyfunction("""COMPUTED_VALUE"""),104.26)</f>
        <v>104.26</v>
      </c>
      <c r="F315" s="5" t="n">
        <f aca="false">IFERROR(__xludf.dummyfunction("""COMPUTED_VALUE"""),13021619)</f>
        <v>13021619</v>
      </c>
    </row>
    <row r="316" customFormat="false" ht="15.75" hidden="false" customHeight="false" outlineLevel="0" collapsed="false">
      <c r="A316" s="6" t="n">
        <f aca="false">IFERROR(__xludf.dummyfunction("""COMPUTED_VALUE"""),44652.6666666667)</f>
        <v>44652.6666666667</v>
      </c>
      <c r="B316" s="5" t="n">
        <f aca="false">IFERROR(__xludf.dummyfunction("""COMPUTED_VALUE"""),105.77)</f>
        <v>105.77</v>
      </c>
      <c r="C316" s="5" t="n">
        <f aca="false">IFERROR(__xludf.dummyfunction("""COMPUTED_VALUE"""),105.95)</f>
        <v>105.95</v>
      </c>
      <c r="D316" s="5" t="n">
        <f aca="false">IFERROR(__xludf.dummyfunction("""COMPUTED_VALUE"""),102.21)</f>
        <v>102.21</v>
      </c>
      <c r="E316" s="5" t="n">
        <f aca="false">IFERROR(__xludf.dummyfunction("""COMPUTED_VALUE"""),102.79)</f>
        <v>102.79</v>
      </c>
      <c r="F316" s="5" t="n">
        <f aca="false">IFERROR(__xludf.dummyfunction("""COMPUTED_VALUE"""),12085100)</f>
        <v>12085100</v>
      </c>
    </row>
    <row r="317" customFormat="false" ht="15.75" hidden="false" customHeight="false" outlineLevel="0" collapsed="false">
      <c r="A317" s="6" t="n">
        <f aca="false">IFERROR(__xludf.dummyfunction("""COMPUTED_VALUE"""),44655.6666666667)</f>
        <v>44655.6666666667</v>
      </c>
      <c r="B317" s="5" t="n">
        <f aca="false">IFERROR(__xludf.dummyfunction("""COMPUTED_VALUE"""),104.02)</f>
        <v>104.02</v>
      </c>
      <c r="C317" s="5" t="n">
        <f aca="false">IFERROR(__xludf.dummyfunction("""COMPUTED_VALUE"""),105.57)</f>
        <v>105.57</v>
      </c>
      <c r="D317" s="5" t="n">
        <f aca="false">IFERROR(__xludf.dummyfunction("""COMPUTED_VALUE"""),103.28)</f>
        <v>103.28</v>
      </c>
      <c r="E317" s="5" t="n">
        <f aca="false">IFERROR(__xludf.dummyfunction("""COMPUTED_VALUE"""),104.79)</f>
        <v>104.79</v>
      </c>
      <c r="F317" s="5" t="n">
        <f aca="false">IFERROR(__xludf.dummyfunction("""COMPUTED_VALUE"""),9083931)</f>
        <v>9083931</v>
      </c>
    </row>
    <row r="318" customFormat="false" ht="15.75" hidden="false" customHeight="false" outlineLevel="0" collapsed="false">
      <c r="A318" s="6" t="n">
        <f aca="false">IFERROR(__xludf.dummyfunction("""COMPUTED_VALUE"""),44656.6666666667)</f>
        <v>44656.6666666667</v>
      </c>
      <c r="B318" s="5" t="n">
        <f aca="false">IFERROR(__xludf.dummyfunction("""COMPUTED_VALUE"""),104.48)</f>
        <v>104.48</v>
      </c>
      <c r="C318" s="5" t="n">
        <f aca="false">IFERROR(__xludf.dummyfunction("""COMPUTED_VALUE"""),104.6)</f>
        <v>104.6</v>
      </c>
      <c r="D318" s="5" t="n">
        <f aca="false">IFERROR(__xludf.dummyfunction("""COMPUTED_VALUE"""),102.11)</f>
        <v>102.11</v>
      </c>
      <c r="E318" s="5" t="n">
        <f aca="false">IFERROR(__xludf.dummyfunction("""COMPUTED_VALUE"""),102.5)</f>
        <v>102.5</v>
      </c>
      <c r="F318" s="5" t="n">
        <f aca="false">IFERROR(__xludf.dummyfunction("""COMPUTED_VALUE"""),12290993)</f>
        <v>12290993</v>
      </c>
    </row>
    <row r="319" customFormat="false" ht="15.75" hidden="false" customHeight="false" outlineLevel="0" collapsed="false">
      <c r="A319" s="6" t="n">
        <f aca="false">IFERROR(__xludf.dummyfunction("""COMPUTED_VALUE"""),44657.6666666667)</f>
        <v>44657.6666666667</v>
      </c>
      <c r="B319" s="5" t="n">
        <f aca="false">IFERROR(__xludf.dummyfunction("""COMPUTED_VALUE"""),100.42)</f>
        <v>100.42</v>
      </c>
      <c r="C319" s="5" t="n">
        <f aca="false">IFERROR(__xludf.dummyfunction("""COMPUTED_VALUE"""),102.14)</f>
        <v>102.14</v>
      </c>
      <c r="D319" s="5" t="n">
        <f aca="false">IFERROR(__xludf.dummyfunction("""COMPUTED_VALUE"""),99.72)</f>
        <v>99.72</v>
      </c>
      <c r="E319" s="5" t="n">
        <f aca="false">IFERROR(__xludf.dummyfunction("""COMPUTED_VALUE"""),101.18)</f>
        <v>101.18</v>
      </c>
      <c r="F319" s="5" t="n">
        <f aca="false">IFERROR(__xludf.dummyfunction("""COMPUTED_VALUE"""),14902562)</f>
        <v>14902562</v>
      </c>
    </row>
    <row r="320" customFormat="false" ht="15.75" hidden="false" customHeight="false" outlineLevel="0" collapsed="false">
      <c r="A320" s="6" t="n">
        <f aca="false">IFERROR(__xludf.dummyfunction("""COMPUTED_VALUE"""),44658.6666666667)</f>
        <v>44658.6666666667</v>
      </c>
      <c r="B320" s="5" t="n">
        <f aca="false">IFERROR(__xludf.dummyfunction("""COMPUTED_VALUE"""),100.42)</f>
        <v>100.42</v>
      </c>
      <c r="C320" s="5" t="n">
        <f aca="false">IFERROR(__xludf.dummyfunction("""COMPUTED_VALUE"""),101.23)</f>
        <v>101.23</v>
      </c>
      <c r="D320" s="5" t="n">
        <f aca="false">IFERROR(__xludf.dummyfunction("""COMPUTED_VALUE"""),99.65)</f>
        <v>99.65</v>
      </c>
      <c r="E320" s="5" t="n">
        <f aca="false">IFERROR(__xludf.dummyfunction("""COMPUTED_VALUE"""),100.52)</f>
        <v>100.52</v>
      </c>
      <c r="F320" s="5" t="n">
        <f aca="false">IFERROR(__xludf.dummyfunction("""COMPUTED_VALUE"""),12430960)</f>
        <v>12430960</v>
      </c>
    </row>
    <row r="321" customFormat="false" ht="15.75" hidden="false" customHeight="false" outlineLevel="0" collapsed="false">
      <c r="A321" s="6" t="n">
        <f aca="false">IFERROR(__xludf.dummyfunction("""COMPUTED_VALUE"""),44659.6666666667)</f>
        <v>44659.6666666667</v>
      </c>
      <c r="B321" s="5" t="n">
        <f aca="false">IFERROR(__xludf.dummyfunction("""COMPUTED_VALUE"""),100.62)</f>
        <v>100.62</v>
      </c>
      <c r="C321" s="5" t="n">
        <f aca="false">IFERROR(__xludf.dummyfunction("""COMPUTED_VALUE"""),100.7)</f>
        <v>100.7</v>
      </c>
      <c r="D321" s="5" t="n">
        <f aca="false">IFERROR(__xludf.dummyfunction("""COMPUTED_VALUE"""),99.12)</f>
        <v>99.12</v>
      </c>
      <c r="E321" s="5" t="n">
        <f aca="false">IFERROR(__xludf.dummyfunction("""COMPUTED_VALUE"""),99.29)</f>
        <v>99.29</v>
      </c>
      <c r="F321" s="5" t="n">
        <f aca="false">IFERROR(__xludf.dummyfunction("""COMPUTED_VALUE"""),11796236)</f>
        <v>11796236</v>
      </c>
    </row>
    <row r="322" customFormat="false" ht="15.75" hidden="false" customHeight="false" outlineLevel="0" collapsed="false">
      <c r="A322" s="6" t="n">
        <f aca="false">IFERROR(__xludf.dummyfunction("""COMPUTED_VALUE"""),44662.6666666667)</f>
        <v>44662.6666666667</v>
      </c>
      <c r="B322" s="5" t="n">
        <f aca="false">IFERROR(__xludf.dummyfunction("""COMPUTED_VALUE"""),98.22)</f>
        <v>98.22</v>
      </c>
      <c r="C322" s="5" t="n">
        <f aca="false">IFERROR(__xludf.dummyfunction("""COMPUTED_VALUE"""),98.38)</f>
        <v>98.38</v>
      </c>
      <c r="D322" s="5" t="n">
        <f aca="false">IFERROR(__xludf.dummyfunction("""COMPUTED_VALUE"""),96.91)</f>
        <v>96.91</v>
      </c>
      <c r="E322" s="5" t="n">
        <f aca="false">IFERROR(__xludf.dummyfunction("""COMPUTED_VALUE"""),97.57)</f>
        <v>97.57</v>
      </c>
      <c r="F322" s="5" t="n">
        <f aca="false">IFERROR(__xludf.dummyfunction("""COMPUTED_VALUE"""),12480480)</f>
        <v>12480480</v>
      </c>
    </row>
    <row r="323" customFormat="false" ht="15.75" hidden="false" customHeight="false" outlineLevel="0" collapsed="false">
      <c r="A323" s="6" t="n">
        <f aca="false">IFERROR(__xludf.dummyfunction("""COMPUTED_VALUE"""),44663.6666666667)</f>
        <v>44663.6666666667</v>
      </c>
      <c r="B323" s="5" t="n">
        <f aca="false">IFERROR(__xludf.dummyfunction("""COMPUTED_VALUE"""),100)</f>
        <v>100</v>
      </c>
      <c r="C323" s="5" t="n">
        <f aca="false">IFERROR(__xludf.dummyfunction("""COMPUTED_VALUE"""),100.15)</f>
        <v>100.15</v>
      </c>
      <c r="D323" s="5" t="n">
        <f aca="false">IFERROR(__xludf.dummyfunction("""COMPUTED_VALUE"""),97.44)</f>
        <v>97.44</v>
      </c>
      <c r="E323" s="5" t="n">
        <f aca="false">IFERROR(__xludf.dummyfunction("""COMPUTED_VALUE"""),97.44)</f>
        <v>97.44</v>
      </c>
      <c r="F323" s="5" t="n">
        <f aca="false">IFERROR(__xludf.dummyfunction("""COMPUTED_VALUE"""),13291484)</f>
        <v>13291484</v>
      </c>
    </row>
    <row r="324" customFormat="false" ht="15.75" hidden="false" customHeight="false" outlineLevel="0" collapsed="false">
      <c r="A324" s="6" t="n">
        <f aca="false">IFERROR(__xludf.dummyfunction("""COMPUTED_VALUE"""),44664.6666666667)</f>
        <v>44664.6666666667</v>
      </c>
      <c r="B324" s="5" t="n">
        <f aca="false">IFERROR(__xludf.dummyfunction("""COMPUTED_VALUE"""),99.8)</f>
        <v>99.8</v>
      </c>
      <c r="C324" s="5" t="n">
        <f aca="false">IFERROR(__xludf.dummyfunction("""COMPUTED_VALUE"""),102.22)</f>
        <v>102.22</v>
      </c>
      <c r="D324" s="5" t="n">
        <f aca="false">IFERROR(__xludf.dummyfunction("""COMPUTED_VALUE"""),99.5)</f>
        <v>99.5</v>
      </c>
      <c r="E324" s="5" t="n">
        <f aca="false">IFERROR(__xludf.dummyfunction("""COMPUTED_VALUE"""),101.5)</f>
        <v>101.5</v>
      </c>
      <c r="F324" s="5" t="n">
        <f aca="false">IFERROR(__xludf.dummyfunction("""COMPUTED_VALUE"""),15776799)</f>
        <v>15776799</v>
      </c>
    </row>
    <row r="325" customFormat="false" ht="15.75" hidden="false" customHeight="false" outlineLevel="0" collapsed="false">
      <c r="A325" s="6" t="n">
        <f aca="false">IFERROR(__xludf.dummyfunction("""COMPUTED_VALUE"""),44665.6666666667)</f>
        <v>44665.6666666667</v>
      </c>
      <c r="B325" s="5" t="n">
        <f aca="false">IFERROR(__xludf.dummyfunction("""COMPUTED_VALUE"""),104)</f>
        <v>104</v>
      </c>
      <c r="C325" s="5" t="n">
        <f aca="false">IFERROR(__xludf.dummyfunction("""COMPUTED_VALUE"""),104.5)</f>
        <v>104.5</v>
      </c>
      <c r="D325" s="5" t="n">
        <f aca="false">IFERROR(__xludf.dummyfunction("""COMPUTED_VALUE"""),98.33)</f>
        <v>98.33</v>
      </c>
      <c r="E325" s="5" t="n">
        <f aca="false">IFERROR(__xludf.dummyfunction("""COMPUTED_VALUE"""),98.36)</f>
        <v>98.36</v>
      </c>
      <c r="F325" s="5" t="n">
        <f aca="false">IFERROR(__xludf.dummyfunction("""COMPUTED_VALUE"""),17828483)</f>
        <v>17828483</v>
      </c>
    </row>
    <row r="326" customFormat="false" ht="15.75" hidden="false" customHeight="false" outlineLevel="0" collapsed="false">
      <c r="A326" s="6" t="n">
        <f aca="false">IFERROR(__xludf.dummyfunction("""COMPUTED_VALUE"""),44669.6666666667)</f>
        <v>44669.6666666667</v>
      </c>
      <c r="B326" s="5" t="n">
        <f aca="false">IFERROR(__xludf.dummyfunction("""COMPUTED_VALUE"""),97.95)</f>
        <v>97.95</v>
      </c>
      <c r="C326" s="5" t="n">
        <f aca="false">IFERROR(__xludf.dummyfunction("""COMPUTED_VALUE"""),99.84)</f>
        <v>99.84</v>
      </c>
      <c r="D326" s="5" t="n">
        <f aca="false">IFERROR(__xludf.dummyfunction("""COMPUTED_VALUE"""),97.47)</f>
        <v>97.47</v>
      </c>
      <c r="E326" s="5" t="n">
        <f aca="false">IFERROR(__xludf.dummyfunction("""COMPUTED_VALUE"""),98.77)</f>
        <v>98.77</v>
      </c>
      <c r="F326" s="5" t="n">
        <f aca="false">IFERROR(__xludf.dummyfunction("""COMPUTED_VALUE"""),10277448)</f>
        <v>10277448</v>
      </c>
    </row>
    <row r="327" customFormat="false" ht="15.75" hidden="false" customHeight="false" outlineLevel="0" collapsed="false">
      <c r="A327" s="6" t="n">
        <f aca="false">IFERROR(__xludf.dummyfunction("""COMPUTED_VALUE"""),44670.6666666667)</f>
        <v>44670.6666666667</v>
      </c>
      <c r="B327" s="5" t="n">
        <f aca="false">IFERROR(__xludf.dummyfunction("""COMPUTED_VALUE"""),98.44)</f>
        <v>98.44</v>
      </c>
      <c r="C327" s="5" t="n">
        <f aca="false">IFERROR(__xludf.dummyfunction("""COMPUTED_VALUE"""),99.45)</f>
        <v>99.45</v>
      </c>
      <c r="D327" s="5" t="n">
        <f aca="false">IFERROR(__xludf.dummyfunction("""COMPUTED_VALUE"""),97.71)</f>
        <v>97.71</v>
      </c>
      <c r="E327" s="5" t="n">
        <f aca="false">IFERROR(__xludf.dummyfunction("""COMPUTED_VALUE"""),99.45)</f>
        <v>99.45</v>
      </c>
      <c r="F327" s="5" t="n">
        <f aca="false">IFERROR(__xludf.dummyfunction("""COMPUTED_VALUE"""),10103023)</f>
        <v>10103023</v>
      </c>
    </row>
    <row r="328" customFormat="false" ht="15.75" hidden="false" customHeight="false" outlineLevel="0" collapsed="false">
      <c r="A328" s="6" t="n">
        <f aca="false">IFERROR(__xludf.dummyfunction("""COMPUTED_VALUE"""),44671.6666666667)</f>
        <v>44671.6666666667</v>
      </c>
      <c r="B328" s="5" t="n">
        <f aca="false">IFERROR(__xludf.dummyfunction("""COMPUTED_VALUE"""),100.4)</f>
        <v>100.4</v>
      </c>
      <c r="C328" s="5" t="n">
        <f aca="false">IFERROR(__xludf.dummyfunction("""COMPUTED_VALUE"""),101)</f>
        <v>101</v>
      </c>
      <c r="D328" s="5" t="n">
        <f aca="false">IFERROR(__xludf.dummyfunction("""COMPUTED_VALUE"""),98.9)</f>
        <v>98.9</v>
      </c>
      <c r="E328" s="5" t="n">
        <f aca="false">IFERROR(__xludf.dummyfunction("""COMPUTED_VALUE"""),99.01)</f>
        <v>99.01</v>
      </c>
      <c r="F328" s="5" t="n">
        <f aca="false">IFERROR(__xludf.dummyfunction("""COMPUTED_VALUE"""),8596861)</f>
        <v>8596861</v>
      </c>
    </row>
    <row r="329" customFormat="false" ht="15.75" hidden="false" customHeight="false" outlineLevel="0" collapsed="false">
      <c r="A329" s="6" t="n">
        <f aca="false">IFERROR(__xludf.dummyfunction("""COMPUTED_VALUE"""),44672.6666666667)</f>
        <v>44672.6666666667</v>
      </c>
      <c r="B329" s="5" t="n">
        <f aca="false">IFERROR(__xludf.dummyfunction("""COMPUTED_VALUE"""),99.75)</f>
        <v>99.75</v>
      </c>
      <c r="C329" s="5" t="n">
        <f aca="false">IFERROR(__xludf.dummyfunction("""COMPUTED_VALUE"""),100.65)</f>
        <v>100.65</v>
      </c>
      <c r="D329" s="5" t="n">
        <f aca="false">IFERROR(__xludf.dummyfunction("""COMPUTED_VALUE"""),97.41)</f>
        <v>97.41</v>
      </c>
      <c r="E329" s="5" t="n">
        <f aca="false">IFERROR(__xludf.dummyfunction("""COMPUTED_VALUE"""),97.66)</f>
        <v>97.66</v>
      </c>
      <c r="F329" s="5" t="n">
        <f aca="false">IFERROR(__xludf.dummyfunction("""COMPUTED_VALUE"""),13038539)</f>
        <v>13038539</v>
      </c>
    </row>
    <row r="330" customFormat="false" ht="15.75" hidden="false" customHeight="false" outlineLevel="0" collapsed="false">
      <c r="A330" s="6" t="n">
        <f aca="false">IFERROR(__xludf.dummyfunction("""COMPUTED_VALUE"""),44673.6666666667)</f>
        <v>44673.6666666667</v>
      </c>
      <c r="B330" s="5" t="n">
        <f aca="false">IFERROR(__xludf.dummyfunction("""COMPUTED_VALUE"""),97.03)</f>
        <v>97.03</v>
      </c>
      <c r="C330" s="5" t="n">
        <f aca="false">IFERROR(__xludf.dummyfunction("""COMPUTED_VALUE"""),97.79)</f>
        <v>97.79</v>
      </c>
      <c r="D330" s="5" t="n">
        <f aca="false">IFERROR(__xludf.dummyfunction("""COMPUTED_VALUE"""),95.36)</f>
        <v>95.36</v>
      </c>
      <c r="E330" s="5" t="n">
        <f aca="false">IFERROR(__xludf.dummyfunction("""COMPUTED_VALUE"""),95.68)</f>
        <v>95.68</v>
      </c>
      <c r="F330" s="5" t="n">
        <f aca="false">IFERROR(__xludf.dummyfunction("""COMPUTED_VALUE"""),11650097)</f>
        <v>11650097</v>
      </c>
    </row>
    <row r="331" customFormat="false" ht="15.75" hidden="false" customHeight="false" outlineLevel="0" collapsed="false">
      <c r="A331" s="6" t="n">
        <f aca="false">IFERROR(__xludf.dummyfunction("""COMPUTED_VALUE"""),44676.6666666667)</f>
        <v>44676.6666666667</v>
      </c>
      <c r="B331" s="5" t="n">
        <f aca="false">IFERROR(__xludf.dummyfunction("""COMPUTED_VALUE"""),95.05)</f>
        <v>95.05</v>
      </c>
      <c r="C331" s="5" t="n">
        <f aca="false">IFERROR(__xludf.dummyfunction("""COMPUTED_VALUE"""),96.28)</f>
        <v>96.28</v>
      </c>
      <c r="D331" s="5" t="n">
        <f aca="false">IFERROR(__xludf.dummyfunction("""COMPUTED_VALUE"""),94.45)</f>
        <v>94.45</v>
      </c>
      <c r="E331" s="5" t="n">
        <f aca="false">IFERROR(__xludf.dummyfunction("""COMPUTED_VALUE"""),96.24)</f>
        <v>96.24</v>
      </c>
      <c r="F331" s="5" t="n">
        <f aca="false">IFERROR(__xludf.dummyfunction("""COMPUTED_VALUE"""),10654403)</f>
        <v>10654403</v>
      </c>
    </row>
    <row r="332" customFormat="false" ht="15.75" hidden="false" customHeight="false" outlineLevel="0" collapsed="false">
      <c r="A332" s="6" t="n">
        <f aca="false">IFERROR(__xludf.dummyfunction("""COMPUTED_VALUE"""),44677.6666666667)</f>
        <v>44677.6666666667</v>
      </c>
      <c r="B332" s="5" t="n">
        <f aca="false">IFERROR(__xludf.dummyfunction("""COMPUTED_VALUE"""),94.94)</f>
        <v>94.94</v>
      </c>
      <c r="C332" s="5" t="n">
        <f aca="false">IFERROR(__xludf.dummyfunction("""COMPUTED_VALUE"""),95.02)</f>
        <v>95.02</v>
      </c>
      <c r="D332" s="5" t="n">
        <f aca="false">IFERROR(__xludf.dummyfunction("""COMPUTED_VALUE"""),92.77)</f>
        <v>92.77</v>
      </c>
      <c r="E332" s="5" t="n">
        <f aca="false">IFERROR(__xludf.dummyfunction("""COMPUTED_VALUE"""),92.77)</f>
        <v>92.77</v>
      </c>
      <c r="F332" s="5" t="n">
        <f aca="false">IFERROR(__xludf.dummyfunction("""COMPUTED_VALUE"""),14175992)</f>
        <v>14175992</v>
      </c>
    </row>
    <row r="333" customFormat="false" ht="15.75" hidden="false" customHeight="false" outlineLevel="0" collapsed="false">
      <c r="A333" s="6" t="n">
        <f aca="false">IFERROR(__xludf.dummyfunction("""COMPUTED_VALUE"""),44678.6666666667)</f>
        <v>44678.6666666667</v>
      </c>
      <c r="B333" s="5" t="n">
        <f aca="false">IFERROR(__xludf.dummyfunction("""COMPUTED_VALUE"""),91.84)</f>
        <v>91.84</v>
      </c>
      <c r="C333" s="5" t="n">
        <f aca="false">IFERROR(__xludf.dummyfunction("""COMPUTED_VALUE"""),92.69)</f>
        <v>92.69</v>
      </c>
      <c r="D333" s="5" t="n">
        <f aca="false">IFERROR(__xludf.dummyfunction("""COMPUTED_VALUE"""),90.22)</f>
        <v>90.22</v>
      </c>
      <c r="E333" s="5" t="n">
        <f aca="false">IFERROR(__xludf.dummyfunction("""COMPUTED_VALUE"""),90.26)</f>
        <v>90.26</v>
      </c>
      <c r="F333" s="5" t="n">
        <f aca="false">IFERROR(__xludf.dummyfunction("""COMPUTED_VALUE"""),15846299)</f>
        <v>15846299</v>
      </c>
    </row>
    <row r="334" customFormat="false" ht="15.75" hidden="false" customHeight="false" outlineLevel="0" collapsed="false">
      <c r="A334" s="6" t="n">
        <f aca="false">IFERROR(__xludf.dummyfunction("""COMPUTED_VALUE"""),44679.6666666667)</f>
        <v>44679.6666666667</v>
      </c>
      <c r="B334" s="5" t="n">
        <f aca="false">IFERROR(__xludf.dummyfunction("""COMPUTED_VALUE"""),92.16)</f>
        <v>92.16</v>
      </c>
      <c r="C334" s="5" t="n">
        <f aca="false">IFERROR(__xludf.dummyfunction("""COMPUTED_VALUE"""),96.2)</f>
        <v>96.2</v>
      </c>
      <c r="D334" s="5" t="n">
        <f aca="false">IFERROR(__xludf.dummyfunction("""COMPUTED_VALUE"""),91.78)</f>
        <v>91.78</v>
      </c>
      <c r="E334" s="5" t="n">
        <f aca="false">IFERROR(__xludf.dummyfunction("""COMPUTED_VALUE"""),95.22)</f>
        <v>95.22</v>
      </c>
      <c r="F334" s="5" t="n">
        <f aca="false">IFERROR(__xludf.dummyfunction("""COMPUTED_VALUE"""),15176158)</f>
        <v>15176158</v>
      </c>
    </row>
    <row r="335" customFormat="false" ht="15.75" hidden="false" customHeight="false" outlineLevel="0" collapsed="false">
      <c r="A335" s="6" t="n">
        <f aca="false">IFERROR(__xludf.dummyfunction("""COMPUTED_VALUE"""),44680.6666666667)</f>
        <v>44680.6666666667</v>
      </c>
      <c r="B335" s="5" t="n">
        <f aca="false">IFERROR(__xludf.dummyfunction("""COMPUTED_VALUE"""),93.18)</f>
        <v>93.18</v>
      </c>
      <c r="C335" s="5" t="n">
        <f aca="false">IFERROR(__xludf.dummyfunction("""COMPUTED_VALUE"""),95.59)</f>
        <v>95.59</v>
      </c>
      <c r="D335" s="5" t="n">
        <f aca="false">IFERROR(__xludf.dummyfunction("""COMPUTED_VALUE"""),92.77)</f>
        <v>92.77</v>
      </c>
      <c r="E335" s="5" t="n">
        <f aca="false">IFERROR(__xludf.dummyfunction("""COMPUTED_VALUE"""),92.93)</f>
        <v>92.93</v>
      </c>
      <c r="F335" s="5" t="n">
        <f aca="false">IFERROR(__xludf.dummyfunction("""COMPUTED_VALUE"""),10629321)</f>
        <v>10629321</v>
      </c>
    </row>
    <row r="336" customFormat="false" ht="15.75" hidden="false" customHeight="false" outlineLevel="0" collapsed="false">
      <c r="A336" s="6" t="n">
        <f aca="false">IFERROR(__xludf.dummyfunction("""COMPUTED_VALUE"""),44683.6666666667)</f>
        <v>44683.6666666667</v>
      </c>
      <c r="B336" s="5" t="n">
        <f aca="false">IFERROR(__xludf.dummyfunction("""COMPUTED_VALUE"""),92.5)</f>
        <v>92.5</v>
      </c>
      <c r="C336" s="5" t="n">
        <f aca="false">IFERROR(__xludf.dummyfunction("""COMPUTED_VALUE"""),94.27)</f>
        <v>94.27</v>
      </c>
      <c r="D336" s="5" t="n">
        <f aca="false">IFERROR(__xludf.dummyfunction("""COMPUTED_VALUE"""),91.24)</f>
        <v>91.24</v>
      </c>
      <c r="E336" s="5" t="n">
        <f aca="false">IFERROR(__xludf.dummyfunction("""COMPUTED_VALUE"""),93.76)</f>
        <v>93.76</v>
      </c>
      <c r="F336" s="5" t="n">
        <f aca="false">IFERROR(__xludf.dummyfunction("""COMPUTED_VALUE"""),8251931)</f>
        <v>8251931</v>
      </c>
    </row>
    <row r="337" customFormat="false" ht="15.75" hidden="false" customHeight="false" outlineLevel="0" collapsed="false">
      <c r="A337" s="6" t="n">
        <f aca="false">IFERROR(__xludf.dummyfunction("""COMPUTED_VALUE"""),44684.6666666667)</f>
        <v>44684.6666666667</v>
      </c>
      <c r="B337" s="5" t="n">
        <f aca="false">IFERROR(__xludf.dummyfunction("""COMPUTED_VALUE"""),92.78)</f>
        <v>92.78</v>
      </c>
      <c r="C337" s="5" t="n">
        <f aca="false">IFERROR(__xludf.dummyfunction("""COMPUTED_VALUE"""),94.05)</f>
        <v>94.05</v>
      </c>
      <c r="D337" s="5" t="n">
        <f aca="false">IFERROR(__xludf.dummyfunction("""COMPUTED_VALUE"""),92.51)</f>
        <v>92.51</v>
      </c>
      <c r="E337" s="5" t="n">
        <f aca="false">IFERROR(__xludf.dummyfunction("""COMPUTED_VALUE"""),93.63)</f>
        <v>93.63</v>
      </c>
      <c r="F337" s="5" t="n">
        <f aca="false">IFERROR(__xludf.dummyfunction("""COMPUTED_VALUE"""),9511887)</f>
        <v>9511887</v>
      </c>
    </row>
    <row r="338" customFormat="false" ht="15.75" hidden="false" customHeight="false" outlineLevel="0" collapsed="false">
      <c r="A338" s="6" t="n">
        <f aca="false">IFERROR(__xludf.dummyfunction("""COMPUTED_VALUE"""),44685.6666666667)</f>
        <v>44685.6666666667</v>
      </c>
      <c r="B338" s="5" t="n">
        <f aca="false">IFERROR(__xludf.dummyfunction("""COMPUTED_VALUE"""),93.91)</f>
        <v>93.91</v>
      </c>
      <c r="C338" s="5" t="n">
        <f aca="false">IFERROR(__xludf.dummyfunction("""COMPUTED_VALUE"""),96.07)</f>
        <v>96.07</v>
      </c>
      <c r="D338" s="5" t="n">
        <f aca="false">IFERROR(__xludf.dummyfunction("""COMPUTED_VALUE"""),91.92)</f>
        <v>91.92</v>
      </c>
      <c r="E338" s="5" t="n">
        <f aca="false">IFERROR(__xludf.dummyfunction("""COMPUTED_VALUE"""),95.99)</f>
        <v>95.99</v>
      </c>
      <c r="F338" s="5" t="n">
        <f aca="false">IFERROR(__xludf.dummyfunction("""COMPUTED_VALUE"""),9082506)</f>
        <v>9082506</v>
      </c>
    </row>
    <row r="339" customFormat="false" ht="15.75" hidden="false" customHeight="false" outlineLevel="0" collapsed="false">
      <c r="A339" s="6" t="n">
        <f aca="false">IFERROR(__xludf.dummyfunction("""COMPUTED_VALUE"""),44686.6666666667)</f>
        <v>44686.6666666667</v>
      </c>
      <c r="B339" s="5" t="n">
        <f aca="false">IFERROR(__xludf.dummyfunction("""COMPUTED_VALUE"""),94.04)</f>
        <v>94.04</v>
      </c>
      <c r="C339" s="5" t="n">
        <f aca="false">IFERROR(__xludf.dummyfunction("""COMPUTED_VALUE"""),94.38)</f>
        <v>94.38</v>
      </c>
      <c r="D339" s="5" t="n">
        <f aca="false">IFERROR(__xludf.dummyfunction("""COMPUTED_VALUE"""),91.22)</f>
        <v>91.22</v>
      </c>
      <c r="E339" s="5" t="n">
        <f aca="false">IFERROR(__xludf.dummyfunction("""COMPUTED_VALUE"""),92.15)</f>
        <v>92.15</v>
      </c>
      <c r="F339" s="5" t="n">
        <f aca="false">IFERROR(__xludf.dummyfunction("""COMPUTED_VALUE"""),11517236)</f>
        <v>11517236</v>
      </c>
    </row>
    <row r="340" customFormat="false" ht="15.75" hidden="false" customHeight="false" outlineLevel="0" collapsed="false">
      <c r="A340" s="6" t="n">
        <f aca="false">IFERROR(__xludf.dummyfunction("""COMPUTED_VALUE"""),44687.6666666667)</f>
        <v>44687.6666666667</v>
      </c>
      <c r="B340" s="5" t="n">
        <f aca="false">IFERROR(__xludf.dummyfunction("""COMPUTED_VALUE"""),91.4)</f>
        <v>91.4</v>
      </c>
      <c r="C340" s="5" t="n">
        <f aca="false">IFERROR(__xludf.dummyfunction("""COMPUTED_VALUE"""),92.88)</f>
        <v>92.88</v>
      </c>
      <c r="D340" s="5" t="n">
        <f aca="false">IFERROR(__xludf.dummyfunction("""COMPUTED_VALUE"""),90.27)</f>
        <v>90.27</v>
      </c>
      <c r="E340" s="5" t="n">
        <f aca="false">IFERROR(__xludf.dummyfunction("""COMPUTED_VALUE"""),91.63)</f>
        <v>91.63</v>
      </c>
      <c r="F340" s="5" t="n">
        <f aca="false">IFERROR(__xludf.dummyfunction("""COMPUTED_VALUE"""),7944884)</f>
        <v>7944884</v>
      </c>
    </row>
    <row r="341" customFormat="false" ht="15.75" hidden="false" customHeight="false" outlineLevel="0" collapsed="false">
      <c r="A341" s="6" t="n">
        <f aca="false">IFERROR(__xludf.dummyfunction("""COMPUTED_VALUE"""),44690.6666666667)</f>
        <v>44690.6666666667</v>
      </c>
      <c r="B341" s="5" t="n">
        <f aca="false">IFERROR(__xludf.dummyfunction("""COMPUTED_VALUE"""),89.94)</f>
        <v>89.94</v>
      </c>
      <c r="C341" s="5" t="n">
        <f aca="false">IFERROR(__xludf.dummyfunction("""COMPUTED_VALUE"""),90.19)</f>
        <v>90.19</v>
      </c>
      <c r="D341" s="5" t="n">
        <f aca="false">IFERROR(__xludf.dummyfunction("""COMPUTED_VALUE"""),87.01)</f>
        <v>87.01</v>
      </c>
      <c r="E341" s="5" t="n">
        <f aca="false">IFERROR(__xludf.dummyfunction("""COMPUTED_VALUE"""),87.3)</f>
        <v>87.3</v>
      </c>
      <c r="F341" s="5" t="n">
        <f aca="false">IFERROR(__xludf.dummyfunction("""COMPUTED_VALUE"""),11428619)</f>
        <v>11428619</v>
      </c>
    </row>
    <row r="342" customFormat="false" ht="15.75" hidden="false" customHeight="false" outlineLevel="0" collapsed="false">
      <c r="A342" s="6" t="n">
        <f aca="false">IFERROR(__xludf.dummyfunction("""COMPUTED_VALUE"""),44691.6666666667)</f>
        <v>44691.6666666667</v>
      </c>
      <c r="B342" s="5" t="n">
        <f aca="false">IFERROR(__xludf.dummyfunction("""COMPUTED_VALUE"""),90.02)</f>
        <v>90.02</v>
      </c>
      <c r="C342" s="5" t="n">
        <f aca="false">IFERROR(__xludf.dummyfunction("""COMPUTED_VALUE"""),90.29)</f>
        <v>90.29</v>
      </c>
      <c r="D342" s="5" t="n">
        <f aca="false">IFERROR(__xludf.dummyfunction("""COMPUTED_VALUE"""),88.09)</f>
        <v>88.09</v>
      </c>
      <c r="E342" s="5" t="n">
        <f aca="false">IFERROR(__xludf.dummyfunction("""COMPUTED_VALUE"""),88.82)</f>
        <v>88.82</v>
      </c>
      <c r="F342" s="5" t="n">
        <f aca="false">IFERROR(__xludf.dummyfunction("""COMPUTED_VALUE"""),11690449)</f>
        <v>11690449</v>
      </c>
    </row>
    <row r="343" customFormat="false" ht="15.75" hidden="false" customHeight="false" outlineLevel="0" collapsed="false">
      <c r="A343" s="6" t="n">
        <f aca="false">IFERROR(__xludf.dummyfunction("""COMPUTED_VALUE"""),44692.6666666667)</f>
        <v>44692.6666666667</v>
      </c>
      <c r="B343" s="5" t="n">
        <f aca="false">IFERROR(__xludf.dummyfunction("""COMPUTED_VALUE"""),88.87)</f>
        <v>88.87</v>
      </c>
      <c r="C343" s="5" t="n">
        <f aca="false">IFERROR(__xludf.dummyfunction("""COMPUTED_VALUE"""),90.57)</f>
        <v>90.57</v>
      </c>
      <c r="D343" s="5" t="n">
        <f aca="false">IFERROR(__xludf.dummyfunction("""COMPUTED_VALUE"""),87.8)</f>
        <v>87.8</v>
      </c>
      <c r="E343" s="5" t="n">
        <f aca="false">IFERROR(__xludf.dummyfunction("""COMPUTED_VALUE"""),87.83)</f>
        <v>87.83</v>
      </c>
      <c r="F343" s="5" t="n">
        <f aca="false">IFERROR(__xludf.dummyfunction("""COMPUTED_VALUE"""),11531266)</f>
        <v>11531266</v>
      </c>
    </row>
    <row r="344" customFormat="false" ht="15.75" hidden="false" customHeight="false" outlineLevel="0" collapsed="false">
      <c r="A344" s="6" t="n">
        <f aca="false">IFERROR(__xludf.dummyfunction("""COMPUTED_VALUE"""),44693.6666666667)</f>
        <v>44693.6666666667</v>
      </c>
      <c r="B344" s="5" t="n">
        <f aca="false">IFERROR(__xludf.dummyfunction("""COMPUTED_VALUE"""),86.22)</f>
        <v>86.22</v>
      </c>
      <c r="C344" s="5" t="n">
        <f aca="false">IFERROR(__xludf.dummyfunction("""COMPUTED_VALUE"""),88.21)</f>
        <v>88.21</v>
      </c>
      <c r="D344" s="5" t="n">
        <f aca="false">IFERROR(__xludf.dummyfunction("""COMPUTED_VALUE"""),85.39)</f>
        <v>85.39</v>
      </c>
      <c r="E344" s="5" t="n">
        <f aca="false">IFERROR(__xludf.dummyfunction("""COMPUTED_VALUE"""),87.69)</f>
        <v>87.69</v>
      </c>
      <c r="F344" s="5" t="n">
        <f aca="false">IFERROR(__xludf.dummyfunction("""COMPUTED_VALUE"""),11592851)</f>
        <v>11592851</v>
      </c>
    </row>
    <row r="345" customFormat="false" ht="15.75" hidden="false" customHeight="false" outlineLevel="0" collapsed="false">
      <c r="A345" s="6" t="n">
        <f aca="false">IFERROR(__xludf.dummyfunction("""COMPUTED_VALUE"""),44694.6666666667)</f>
        <v>44694.6666666667</v>
      </c>
      <c r="B345" s="5" t="n">
        <f aca="false">IFERROR(__xludf.dummyfunction("""COMPUTED_VALUE"""),88.87)</f>
        <v>88.87</v>
      </c>
      <c r="C345" s="5" t="n">
        <f aca="false">IFERROR(__xludf.dummyfunction("""COMPUTED_VALUE"""),91.36)</f>
        <v>91.36</v>
      </c>
      <c r="D345" s="5" t="n">
        <f aca="false">IFERROR(__xludf.dummyfunction("""COMPUTED_VALUE"""),88.16)</f>
        <v>88.16</v>
      </c>
      <c r="E345" s="5" t="n">
        <f aca="false">IFERROR(__xludf.dummyfunction("""COMPUTED_VALUE"""),90.96)</f>
        <v>90.96</v>
      </c>
      <c r="F345" s="5" t="n">
        <f aca="false">IFERROR(__xludf.dummyfunction("""COMPUTED_VALUE"""),11180642)</f>
        <v>11180642</v>
      </c>
    </row>
    <row r="346" customFormat="false" ht="15.75" hidden="false" customHeight="false" outlineLevel="0" collapsed="false">
      <c r="A346" s="6" t="n">
        <f aca="false">IFERROR(__xludf.dummyfunction("""COMPUTED_VALUE"""),44697.6666666667)</f>
        <v>44697.6666666667</v>
      </c>
      <c r="B346" s="5" t="n">
        <f aca="false">IFERROR(__xludf.dummyfunction("""COMPUTED_VALUE"""),89.87)</f>
        <v>89.87</v>
      </c>
      <c r="C346" s="5" t="n">
        <f aca="false">IFERROR(__xludf.dummyfunction("""COMPUTED_VALUE"""),91.37)</f>
        <v>91.37</v>
      </c>
      <c r="D346" s="5" t="n">
        <f aca="false">IFERROR(__xludf.dummyfunction("""COMPUTED_VALUE"""),89.5)</f>
        <v>89.5</v>
      </c>
      <c r="E346" s="5" t="n">
        <f aca="false">IFERROR(__xludf.dummyfunction("""COMPUTED_VALUE"""),90.41)</f>
        <v>90.41</v>
      </c>
      <c r="F346" s="5" t="n">
        <f aca="false">IFERROR(__xludf.dummyfunction("""COMPUTED_VALUE"""),6729129)</f>
        <v>6729129</v>
      </c>
    </row>
    <row r="347" customFormat="false" ht="15.75" hidden="false" customHeight="false" outlineLevel="0" collapsed="false">
      <c r="A347" s="6" t="n">
        <f aca="false">IFERROR(__xludf.dummyfunction("""COMPUTED_VALUE"""),44698.6666666667)</f>
        <v>44698.6666666667</v>
      </c>
      <c r="B347" s="5" t="n">
        <f aca="false">IFERROR(__xludf.dummyfunction("""COMPUTED_VALUE"""),93.3)</f>
        <v>93.3</v>
      </c>
      <c r="C347" s="5" t="n">
        <f aca="false">IFERROR(__xludf.dummyfunction("""COMPUTED_VALUE"""),93.49)</f>
        <v>93.49</v>
      </c>
      <c r="D347" s="5" t="n">
        <f aca="false">IFERROR(__xludf.dummyfunction("""COMPUTED_VALUE"""),92.37)</f>
        <v>92.37</v>
      </c>
      <c r="E347" s="5" t="n">
        <f aca="false">IFERROR(__xludf.dummyfunction("""COMPUTED_VALUE"""),93.32)</f>
        <v>93.32</v>
      </c>
      <c r="F347" s="5" t="n">
        <f aca="false">IFERROR(__xludf.dummyfunction("""COMPUTED_VALUE"""),7668780)</f>
        <v>7668780</v>
      </c>
    </row>
    <row r="348" customFormat="false" ht="15.75" hidden="false" customHeight="false" outlineLevel="0" collapsed="false">
      <c r="A348" s="6" t="n">
        <f aca="false">IFERROR(__xludf.dummyfunction("""COMPUTED_VALUE"""),44699.6666666667)</f>
        <v>44699.6666666667</v>
      </c>
      <c r="B348" s="5" t="n">
        <f aca="false">IFERROR(__xludf.dummyfunction("""COMPUTED_VALUE"""),92.07)</f>
        <v>92.07</v>
      </c>
      <c r="C348" s="5" t="n">
        <f aca="false">IFERROR(__xludf.dummyfunction("""COMPUTED_VALUE"""),93.23)</f>
        <v>93.23</v>
      </c>
      <c r="D348" s="5" t="n">
        <f aca="false">IFERROR(__xludf.dummyfunction("""COMPUTED_VALUE"""),90.37)</f>
        <v>90.37</v>
      </c>
      <c r="E348" s="5" t="n">
        <f aca="false">IFERROR(__xludf.dummyfunction("""COMPUTED_VALUE"""),90.53)</f>
        <v>90.53</v>
      </c>
      <c r="F348" s="5" t="n">
        <f aca="false">IFERROR(__xludf.dummyfunction("""COMPUTED_VALUE"""),9610923)</f>
        <v>9610923</v>
      </c>
    </row>
    <row r="349" customFormat="false" ht="15.75" hidden="false" customHeight="false" outlineLevel="0" collapsed="false">
      <c r="A349" s="6" t="n">
        <f aca="false">IFERROR(__xludf.dummyfunction("""COMPUTED_VALUE"""),44700.6666666667)</f>
        <v>44700.6666666667</v>
      </c>
      <c r="B349" s="5" t="n">
        <f aca="false">IFERROR(__xludf.dummyfunction("""COMPUTED_VALUE"""),89.84)</f>
        <v>89.84</v>
      </c>
      <c r="C349" s="5" t="n">
        <f aca="false">IFERROR(__xludf.dummyfunction("""COMPUTED_VALUE"""),92.1)</f>
        <v>92.1</v>
      </c>
      <c r="D349" s="5" t="n">
        <f aca="false">IFERROR(__xludf.dummyfunction("""COMPUTED_VALUE"""),89.56)</f>
        <v>89.56</v>
      </c>
      <c r="E349" s="5" t="n">
        <f aca="false">IFERROR(__xludf.dummyfunction("""COMPUTED_VALUE"""),90.21)</f>
        <v>90.21</v>
      </c>
      <c r="F349" s="5" t="n">
        <f aca="false">IFERROR(__xludf.dummyfunction("""COMPUTED_VALUE"""),7738979)</f>
        <v>7738979</v>
      </c>
    </row>
    <row r="350" customFormat="false" ht="15.75" hidden="false" customHeight="false" outlineLevel="0" collapsed="false">
      <c r="A350" s="6" t="n">
        <f aca="false">IFERROR(__xludf.dummyfunction("""COMPUTED_VALUE"""),44701.6666666667)</f>
        <v>44701.6666666667</v>
      </c>
      <c r="B350" s="5" t="n">
        <f aca="false">IFERROR(__xludf.dummyfunction("""COMPUTED_VALUE"""),93.04)</f>
        <v>93.04</v>
      </c>
      <c r="C350" s="5" t="n">
        <f aca="false">IFERROR(__xludf.dummyfunction("""COMPUTED_VALUE"""),93.04)</f>
        <v>93.04</v>
      </c>
      <c r="D350" s="5" t="n">
        <f aca="false">IFERROR(__xludf.dummyfunction("""COMPUTED_VALUE"""),88.83)</f>
        <v>88.83</v>
      </c>
      <c r="E350" s="5" t="n">
        <f aca="false">IFERROR(__xludf.dummyfunction("""COMPUTED_VALUE"""),90.78)</f>
        <v>90.78</v>
      </c>
      <c r="F350" s="5" t="n">
        <f aca="false">IFERROR(__xludf.dummyfunction("""COMPUTED_VALUE"""),10469940)</f>
        <v>10469940</v>
      </c>
    </row>
    <row r="351" customFormat="false" ht="15.75" hidden="false" customHeight="false" outlineLevel="0" collapsed="false">
      <c r="A351" s="6" t="n">
        <f aca="false">IFERROR(__xludf.dummyfunction("""COMPUTED_VALUE"""),44704.6666666667)</f>
        <v>44704.6666666667</v>
      </c>
      <c r="B351" s="5" t="n">
        <f aca="false">IFERROR(__xludf.dummyfunction("""COMPUTED_VALUE"""),91.02)</f>
        <v>91.02</v>
      </c>
      <c r="C351" s="5" t="n">
        <f aca="false">IFERROR(__xludf.dummyfunction("""COMPUTED_VALUE"""),91.91)</f>
        <v>91.91</v>
      </c>
      <c r="D351" s="5" t="n">
        <f aca="false">IFERROR(__xludf.dummyfunction("""COMPUTED_VALUE"""),90.65)</f>
        <v>90.65</v>
      </c>
      <c r="E351" s="5" t="n">
        <f aca="false">IFERROR(__xludf.dummyfunction("""COMPUTED_VALUE"""),91.5)</f>
        <v>91.5</v>
      </c>
      <c r="F351" s="5" t="n">
        <f aca="false">IFERROR(__xludf.dummyfunction("""COMPUTED_VALUE"""),6920473)</f>
        <v>6920473</v>
      </c>
    </row>
    <row r="352" customFormat="false" ht="15.75" hidden="false" customHeight="false" outlineLevel="0" collapsed="false">
      <c r="A352" s="6" t="n">
        <f aca="false">IFERROR(__xludf.dummyfunction("""COMPUTED_VALUE"""),44705.6666666667)</f>
        <v>44705.6666666667</v>
      </c>
      <c r="B352" s="5" t="n">
        <f aca="false">IFERROR(__xludf.dummyfunction("""COMPUTED_VALUE"""),89.52)</f>
        <v>89.52</v>
      </c>
      <c r="C352" s="5" t="n">
        <f aca="false">IFERROR(__xludf.dummyfunction("""COMPUTED_VALUE"""),89.8)</f>
        <v>89.8</v>
      </c>
      <c r="D352" s="5" t="n">
        <f aca="false">IFERROR(__xludf.dummyfunction("""COMPUTED_VALUE"""),88.52)</f>
        <v>88.52</v>
      </c>
      <c r="E352" s="5" t="n">
        <f aca="false">IFERROR(__xludf.dummyfunction("""COMPUTED_VALUE"""),88.72)</f>
        <v>88.72</v>
      </c>
      <c r="F352" s="5" t="n">
        <f aca="false">IFERROR(__xludf.dummyfunction("""COMPUTED_VALUE"""),8788577)</f>
        <v>8788577</v>
      </c>
    </row>
    <row r="353" customFormat="false" ht="15.75" hidden="false" customHeight="false" outlineLevel="0" collapsed="false">
      <c r="A353" s="6" t="n">
        <f aca="false">IFERROR(__xludf.dummyfunction("""COMPUTED_VALUE"""),44706.6666666667)</f>
        <v>44706.6666666667</v>
      </c>
      <c r="B353" s="5" t="n">
        <f aca="false">IFERROR(__xludf.dummyfunction("""COMPUTED_VALUE"""),89.33)</f>
        <v>89.33</v>
      </c>
      <c r="C353" s="5" t="n">
        <f aca="false">IFERROR(__xludf.dummyfunction("""COMPUTED_VALUE"""),90.92)</f>
        <v>90.92</v>
      </c>
      <c r="D353" s="5" t="n">
        <f aca="false">IFERROR(__xludf.dummyfunction("""COMPUTED_VALUE"""),89.04)</f>
        <v>89.04</v>
      </c>
      <c r="E353" s="5" t="n">
        <f aca="false">IFERROR(__xludf.dummyfunction("""COMPUTED_VALUE"""),90.41)</f>
        <v>90.41</v>
      </c>
      <c r="F353" s="5" t="n">
        <f aca="false">IFERROR(__xludf.dummyfunction("""COMPUTED_VALUE"""),9113503)</f>
        <v>9113503</v>
      </c>
    </row>
    <row r="354" customFormat="false" ht="15.75" hidden="false" customHeight="false" outlineLevel="0" collapsed="false">
      <c r="A354" s="6" t="n">
        <f aca="false">IFERROR(__xludf.dummyfunction("""COMPUTED_VALUE"""),44707.6666666667)</f>
        <v>44707.6666666667</v>
      </c>
      <c r="B354" s="5" t="n">
        <f aca="false">IFERROR(__xludf.dummyfunction("""COMPUTED_VALUE"""),89.41)</f>
        <v>89.41</v>
      </c>
      <c r="C354" s="5" t="n">
        <f aca="false">IFERROR(__xludf.dummyfunction("""COMPUTED_VALUE"""),91.37)</f>
        <v>91.37</v>
      </c>
      <c r="D354" s="5" t="n">
        <f aca="false">IFERROR(__xludf.dummyfunction("""COMPUTED_VALUE"""),89.04)</f>
        <v>89.04</v>
      </c>
      <c r="E354" s="5" t="n">
        <f aca="false">IFERROR(__xludf.dummyfunction("""COMPUTED_VALUE"""),91)</f>
        <v>91</v>
      </c>
      <c r="F354" s="5" t="n">
        <f aca="false">IFERROR(__xludf.dummyfunction("""COMPUTED_VALUE"""),9762724)</f>
        <v>9762724</v>
      </c>
    </row>
    <row r="355" customFormat="false" ht="15.75" hidden="false" customHeight="false" outlineLevel="0" collapsed="false">
      <c r="A355" s="6" t="n">
        <f aca="false">IFERROR(__xludf.dummyfunction("""COMPUTED_VALUE"""),44708.6666666667)</f>
        <v>44708.6666666667</v>
      </c>
      <c r="B355" s="5" t="n">
        <f aca="false">IFERROR(__xludf.dummyfunction("""COMPUTED_VALUE"""),92.62)</f>
        <v>92.62</v>
      </c>
      <c r="C355" s="5" t="n">
        <f aca="false">IFERROR(__xludf.dummyfunction("""COMPUTED_VALUE"""),93.82)</f>
        <v>93.82</v>
      </c>
      <c r="D355" s="5" t="n">
        <f aca="false">IFERROR(__xludf.dummyfunction("""COMPUTED_VALUE"""),92.53)</f>
        <v>92.53</v>
      </c>
      <c r="E355" s="5" t="n">
        <f aca="false">IFERROR(__xludf.dummyfunction("""COMPUTED_VALUE"""),93.77)</f>
        <v>93.77</v>
      </c>
      <c r="F355" s="5" t="n">
        <f aca="false">IFERROR(__xludf.dummyfunction("""COMPUTED_VALUE"""),6279008)</f>
        <v>6279008</v>
      </c>
    </row>
    <row r="356" customFormat="false" ht="15.75" hidden="false" customHeight="false" outlineLevel="0" collapsed="false">
      <c r="A356" s="6" t="n">
        <f aca="false">IFERROR(__xludf.dummyfunction("""COMPUTED_VALUE"""),44712.6666666667)</f>
        <v>44712.6666666667</v>
      </c>
      <c r="B356" s="5" t="n">
        <f aca="false">IFERROR(__xludf.dummyfunction("""COMPUTED_VALUE"""),95.54)</f>
        <v>95.54</v>
      </c>
      <c r="C356" s="5" t="n">
        <f aca="false">IFERROR(__xludf.dummyfunction("""COMPUTED_VALUE"""),96.29)</f>
        <v>96.29</v>
      </c>
      <c r="D356" s="5" t="n">
        <f aca="false">IFERROR(__xludf.dummyfunction("""COMPUTED_VALUE"""),94.51)</f>
        <v>94.51</v>
      </c>
      <c r="E356" s="5" t="n">
        <f aca="false">IFERROR(__xludf.dummyfunction("""COMPUTED_VALUE"""),95.3)</f>
        <v>95.3</v>
      </c>
      <c r="F356" s="5" t="n">
        <f aca="false">IFERROR(__xludf.dummyfunction("""COMPUTED_VALUE"""),9621699)</f>
        <v>9621699</v>
      </c>
    </row>
    <row r="357" customFormat="false" ht="15.75" hidden="false" customHeight="false" outlineLevel="0" collapsed="false">
      <c r="A357" s="6" t="n">
        <f aca="false">IFERROR(__xludf.dummyfunction("""COMPUTED_VALUE"""),44713.6666666667)</f>
        <v>44713.6666666667</v>
      </c>
      <c r="B357" s="5" t="n">
        <f aca="false">IFERROR(__xludf.dummyfunction("""COMPUTED_VALUE"""),95.6)</f>
        <v>95.6</v>
      </c>
      <c r="C357" s="5" t="n">
        <f aca="false">IFERROR(__xludf.dummyfunction("""COMPUTED_VALUE"""),96.36)</f>
        <v>96.36</v>
      </c>
      <c r="D357" s="5" t="n">
        <f aca="false">IFERROR(__xludf.dummyfunction("""COMPUTED_VALUE"""),93.83)</f>
        <v>93.83</v>
      </c>
      <c r="E357" s="5" t="n">
        <f aca="false">IFERROR(__xludf.dummyfunction("""COMPUTED_VALUE"""),94.75)</f>
        <v>94.75</v>
      </c>
      <c r="F357" s="5" t="n">
        <f aca="false">IFERROR(__xludf.dummyfunction("""COMPUTED_VALUE"""),6152366)</f>
        <v>6152366</v>
      </c>
    </row>
    <row r="358" customFormat="false" ht="15.75" hidden="false" customHeight="false" outlineLevel="0" collapsed="false">
      <c r="A358" s="6" t="n">
        <f aca="false">IFERROR(__xludf.dummyfunction("""COMPUTED_VALUE"""),44714.6666666667)</f>
        <v>44714.6666666667</v>
      </c>
      <c r="B358" s="5" t="n">
        <f aca="false">IFERROR(__xludf.dummyfunction("""COMPUTED_VALUE"""),93.99)</f>
        <v>93.99</v>
      </c>
      <c r="C358" s="5" t="n">
        <f aca="false">IFERROR(__xludf.dummyfunction("""COMPUTED_VALUE"""),96.37)</f>
        <v>96.37</v>
      </c>
      <c r="D358" s="5" t="n">
        <f aca="false">IFERROR(__xludf.dummyfunction("""COMPUTED_VALUE"""),93.62)</f>
        <v>93.62</v>
      </c>
      <c r="E358" s="5" t="n">
        <f aca="false">IFERROR(__xludf.dummyfunction("""COMPUTED_VALUE"""),96.34)</f>
        <v>96.34</v>
      </c>
      <c r="F358" s="5" t="n">
        <f aca="false">IFERROR(__xludf.dummyfunction("""COMPUTED_VALUE"""),6334967)</f>
        <v>6334967</v>
      </c>
    </row>
    <row r="359" customFormat="false" ht="15.75" hidden="false" customHeight="false" outlineLevel="0" collapsed="false">
      <c r="A359" s="6" t="n">
        <f aca="false">IFERROR(__xludf.dummyfunction("""COMPUTED_VALUE"""),44715.6666666667)</f>
        <v>44715.6666666667</v>
      </c>
      <c r="B359" s="5" t="n">
        <f aca="false">IFERROR(__xludf.dummyfunction("""COMPUTED_VALUE"""),94.36)</f>
        <v>94.36</v>
      </c>
      <c r="C359" s="5" t="n">
        <f aca="false">IFERROR(__xludf.dummyfunction("""COMPUTED_VALUE"""),94.58)</f>
        <v>94.58</v>
      </c>
      <c r="D359" s="5" t="n">
        <f aca="false">IFERROR(__xludf.dummyfunction("""COMPUTED_VALUE"""),92.9)</f>
        <v>92.9</v>
      </c>
      <c r="E359" s="5" t="n">
        <f aca="false">IFERROR(__xludf.dummyfunction("""COMPUTED_VALUE"""),93.77)</f>
        <v>93.77</v>
      </c>
      <c r="F359" s="5" t="n">
        <f aca="false">IFERROR(__xludf.dummyfunction("""COMPUTED_VALUE"""),9137134)</f>
        <v>9137134</v>
      </c>
    </row>
    <row r="360" customFormat="false" ht="15.75" hidden="false" customHeight="false" outlineLevel="0" collapsed="false">
      <c r="A360" s="6" t="n">
        <f aca="false">IFERROR(__xludf.dummyfunction("""COMPUTED_VALUE"""),44718.6666666667)</f>
        <v>44718.6666666667</v>
      </c>
      <c r="B360" s="5" t="n">
        <f aca="false">IFERROR(__xludf.dummyfunction("""COMPUTED_VALUE"""),95)</f>
        <v>95</v>
      </c>
      <c r="C360" s="5" t="n">
        <f aca="false">IFERROR(__xludf.dummyfunction("""COMPUTED_VALUE"""),95.54)</f>
        <v>95.54</v>
      </c>
      <c r="D360" s="5" t="n">
        <f aca="false">IFERROR(__xludf.dummyfunction("""COMPUTED_VALUE"""),92.87)</f>
        <v>92.87</v>
      </c>
      <c r="E360" s="5" t="n">
        <f aca="false">IFERROR(__xludf.dummyfunction("""COMPUTED_VALUE"""),93.11)</f>
        <v>93.11</v>
      </c>
      <c r="F360" s="5" t="n">
        <f aca="false">IFERROR(__xludf.dummyfunction("""COMPUTED_VALUE"""),9440246)</f>
        <v>9440246</v>
      </c>
    </row>
    <row r="361" customFormat="false" ht="15.75" hidden="false" customHeight="false" outlineLevel="0" collapsed="false">
      <c r="A361" s="6" t="n">
        <f aca="false">IFERROR(__xludf.dummyfunction("""COMPUTED_VALUE"""),44719.6666666667)</f>
        <v>44719.6666666667</v>
      </c>
      <c r="B361" s="5" t="n">
        <f aca="false">IFERROR(__xludf.dummyfunction("""COMPUTED_VALUE"""),92.67)</f>
        <v>92.67</v>
      </c>
      <c r="C361" s="5" t="n">
        <f aca="false">IFERROR(__xludf.dummyfunction("""COMPUTED_VALUE"""),93.86)</f>
        <v>93.86</v>
      </c>
      <c r="D361" s="5" t="n">
        <f aca="false">IFERROR(__xludf.dummyfunction("""COMPUTED_VALUE"""),91.77)</f>
        <v>91.77</v>
      </c>
      <c r="E361" s="5" t="n">
        <f aca="false">IFERROR(__xludf.dummyfunction("""COMPUTED_VALUE"""),93.84)</f>
        <v>93.84</v>
      </c>
      <c r="F361" s="5" t="n">
        <f aca="false">IFERROR(__xludf.dummyfunction("""COMPUTED_VALUE"""),7360186)</f>
        <v>7360186</v>
      </c>
    </row>
    <row r="362" customFormat="false" ht="15.75" hidden="false" customHeight="false" outlineLevel="0" collapsed="false">
      <c r="A362" s="6" t="n">
        <f aca="false">IFERROR(__xludf.dummyfunction("""COMPUTED_VALUE"""),44720.6666666667)</f>
        <v>44720.6666666667</v>
      </c>
      <c r="B362" s="5" t="n">
        <f aca="false">IFERROR(__xludf.dummyfunction("""COMPUTED_VALUE"""),94)</f>
        <v>94</v>
      </c>
      <c r="C362" s="5" t="n">
        <f aca="false">IFERROR(__xludf.dummyfunction("""COMPUTED_VALUE"""),94.93)</f>
        <v>94.93</v>
      </c>
      <c r="D362" s="5" t="n">
        <f aca="false">IFERROR(__xludf.dummyfunction("""COMPUTED_VALUE"""),93.14)</f>
        <v>93.14</v>
      </c>
      <c r="E362" s="5" t="n">
        <f aca="false">IFERROR(__xludf.dummyfunction("""COMPUTED_VALUE"""),93.47)</f>
        <v>93.47</v>
      </c>
      <c r="F362" s="5" t="n">
        <f aca="false">IFERROR(__xludf.dummyfunction("""COMPUTED_VALUE"""),6446275)</f>
        <v>6446275</v>
      </c>
    </row>
    <row r="363" customFormat="false" ht="15.75" hidden="false" customHeight="false" outlineLevel="0" collapsed="false">
      <c r="A363" s="6" t="n">
        <f aca="false">IFERROR(__xludf.dummyfunction("""COMPUTED_VALUE"""),44721.6666666667)</f>
        <v>44721.6666666667</v>
      </c>
      <c r="B363" s="5" t="n">
        <f aca="false">IFERROR(__xludf.dummyfunction("""COMPUTED_VALUE"""),93)</f>
        <v>93</v>
      </c>
      <c r="C363" s="5" t="n">
        <f aca="false">IFERROR(__xludf.dummyfunction("""COMPUTED_VALUE"""),93.5)</f>
        <v>93.5</v>
      </c>
      <c r="D363" s="5" t="n">
        <f aca="false">IFERROR(__xludf.dummyfunction("""COMPUTED_VALUE"""),90.8)</f>
        <v>90.8</v>
      </c>
      <c r="E363" s="5" t="n">
        <f aca="false">IFERROR(__xludf.dummyfunction("""COMPUTED_VALUE"""),90.85)</f>
        <v>90.85</v>
      </c>
      <c r="F363" s="5" t="n">
        <f aca="false">IFERROR(__xludf.dummyfunction("""COMPUTED_VALUE"""),8091123)</f>
        <v>8091123</v>
      </c>
    </row>
    <row r="364" customFormat="false" ht="15.75" hidden="false" customHeight="false" outlineLevel="0" collapsed="false">
      <c r="A364" s="6" t="n">
        <f aca="false">IFERROR(__xludf.dummyfunction("""COMPUTED_VALUE"""),44722.6666666667)</f>
        <v>44722.6666666667</v>
      </c>
      <c r="B364" s="5" t="n">
        <f aca="false">IFERROR(__xludf.dummyfunction("""COMPUTED_VALUE"""),90.54)</f>
        <v>90.54</v>
      </c>
      <c r="C364" s="5" t="n">
        <f aca="false">IFERROR(__xludf.dummyfunction("""COMPUTED_VALUE"""),90.72)</f>
        <v>90.72</v>
      </c>
      <c r="D364" s="5" t="n">
        <f aca="false">IFERROR(__xludf.dummyfunction("""COMPUTED_VALUE"""),88.63)</f>
        <v>88.63</v>
      </c>
      <c r="E364" s="5" t="n">
        <f aca="false">IFERROR(__xludf.dummyfunction("""COMPUTED_VALUE"""),88.68)</f>
        <v>88.68</v>
      </c>
      <c r="F364" s="5" t="n">
        <f aca="false">IFERROR(__xludf.dummyfunction("""COMPUTED_VALUE"""),10463738)</f>
        <v>10463738</v>
      </c>
    </row>
    <row r="365" customFormat="false" ht="15.75" hidden="false" customHeight="false" outlineLevel="0" collapsed="false">
      <c r="A365" s="6" t="n">
        <f aca="false">IFERROR(__xludf.dummyfunction("""COMPUTED_VALUE"""),44725.6666666667)</f>
        <v>44725.6666666667</v>
      </c>
      <c r="B365" s="5" t="n">
        <f aca="false">IFERROR(__xludf.dummyfunction("""COMPUTED_VALUE"""),86.06)</f>
        <v>86.06</v>
      </c>
      <c r="C365" s="5" t="n">
        <f aca="false">IFERROR(__xludf.dummyfunction("""COMPUTED_VALUE"""),86.83)</f>
        <v>86.83</v>
      </c>
      <c r="D365" s="5" t="n">
        <f aca="false">IFERROR(__xludf.dummyfunction("""COMPUTED_VALUE"""),85.02)</f>
        <v>85.02</v>
      </c>
      <c r="E365" s="5" t="n">
        <f aca="false">IFERROR(__xludf.dummyfunction("""COMPUTED_VALUE"""),85.55)</f>
        <v>85.55</v>
      </c>
      <c r="F365" s="5" t="n">
        <f aca="false">IFERROR(__xludf.dummyfunction("""COMPUTED_VALUE"""),14603691)</f>
        <v>14603691</v>
      </c>
    </row>
    <row r="366" customFormat="false" ht="15.75" hidden="false" customHeight="false" outlineLevel="0" collapsed="false">
      <c r="A366" s="6" t="n">
        <f aca="false">IFERROR(__xludf.dummyfunction("""COMPUTED_VALUE"""),44726.6666666667)</f>
        <v>44726.6666666667</v>
      </c>
      <c r="B366" s="5" t="n">
        <f aca="false">IFERROR(__xludf.dummyfunction("""COMPUTED_VALUE"""),86.74)</f>
        <v>86.74</v>
      </c>
      <c r="C366" s="5" t="n">
        <f aca="false">IFERROR(__xludf.dummyfunction("""COMPUTED_VALUE"""),87.88)</f>
        <v>87.88</v>
      </c>
      <c r="D366" s="5" t="n">
        <f aca="false">IFERROR(__xludf.dummyfunction("""COMPUTED_VALUE"""),86.29)</f>
        <v>86.29</v>
      </c>
      <c r="E366" s="5" t="n">
        <f aca="false">IFERROR(__xludf.dummyfunction("""COMPUTED_VALUE"""),87.19)</f>
        <v>87.19</v>
      </c>
      <c r="F366" s="5" t="n">
        <f aca="false">IFERROR(__xludf.dummyfunction("""COMPUTED_VALUE"""),10449553)</f>
        <v>10449553</v>
      </c>
    </row>
    <row r="367" customFormat="false" ht="15.75" hidden="false" customHeight="false" outlineLevel="0" collapsed="false">
      <c r="A367" s="6" t="n">
        <f aca="false">IFERROR(__xludf.dummyfunction("""COMPUTED_VALUE"""),44727.6666666667)</f>
        <v>44727.6666666667</v>
      </c>
      <c r="B367" s="5" t="n">
        <f aca="false">IFERROR(__xludf.dummyfunction("""COMPUTED_VALUE"""),87.51)</f>
        <v>87.51</v>
      </c>
      <c r="C367" s="5" t="n">
        <f aca="false">IFERROR(__xludf.dummyfunction("""COMPUTED_VALUE"""),89.81)</f>
        <v>89.81</v>
      </c>
      <c r="D367" s="5" t="n">
        <f aca="false">IFERROR(__xludf.dummyfunction("""COMPUTED_VALUE"""),87.37)</f>
        <v>87.37</v>
      </c>
      <c r="E367" s="5" t="n">
        <f aca="false">IFERROR(__xludf.dummyfunction("""COMPUTED_VALUE"""),89.13)</f>
        <v>89.13</v>
      </c>
      <c r="F367" s="5" t="n">
        <f aca="false">IFERROR(__xludf.dummyfunction("""COMPUTED_VALUE"""),11742543)</f>
        <v>11742543</v>
      </c>
    </row>
    <row r="368" customFormat="false" ht="15.75" hidden="false" customHeight="false" outlineLevel="0" collapsed="false">
      <c r="A368" s="6" t="n">
        <f aca="false">IFERROR(__xludf.dummyfunction("""COMPUTED_VALUE"""),44728.6666666667)</f>
        <v>44728.6666666667</v>
      </c>
      <c r="B368" s="5" t="n">
        <f aca="false">IFERROR(__xludf.dummyfunction("""COMPUTED_VALUE"""),85.22)</f>
        <v>85.22</v>
      </c>
      <c r="C368" s="5" t="n">
        <f aca="false">IFERROR(__xludf.dummyfunction("""COMPUTED_VALUE"""),85.93)</f>
        <v>85.93</v>
      </c>
      <c r="D368" s="5" t="n">
        <f aca="false">IFERROR(__xludf.dummyfunction("""COMPUTED_VALUE"""),83.99)</f>
        <v>83.99</v>
      </c>
      <c r="E368" s="5" t="n">
        <f aca="false">IFERROR(__xludf.dummyfunction("""COMPUTED_VALUE"""),84.52)</f>
        <v>84.52</v>
      </c>
      <c r="F368" s="5" t="n">
        <f aca="false">IFERROR(__xludf.dummyfunction("""COMPUTED_VALUE"""),10505195)</f>
        <v>10505195</v>
      </c>
    </row>
    <row r="369" customFormat="false" ht="15.75" hidden="false" customHeight="false" outlineLevel="0" collapsed="false">
      <c r="A369" s="6" t="n">
        <f aca="false">IFERROR(__xludf.dummyfunction("""COMPUTED_VALUE"""),44729.6666666667)</f>
        <v>44729.6666666667</v>
      </c>
      <c r="B369" s="5" t="n">
        <f aca="false">IFERROR(__xludf.dummyfunction("""COMPUTED_VALUE"""),85)</f>
        <v>85</v>
      </c>
      <c r="C369" s="5" t="n">
        <f aca="false">IFERROR(__xludf.dummyfunction("""COMPUTED_VALUE"""),85.6)</f>
        <v>85.6</v>
      </c>
      <c r="D369" s="5" t="n">
        <f aca="false">IFERROR(__xludf.dummyfunction("""COMPUTED_VALUE"""),83.95)</f>
        <v>83.95</v>
      </c>
      <c r="E369" s="5" t="n">
        <f aca="false">IFERROR(__xludf.dummyfunction("""COMPUTED_VALUE"""),85)</f>
        <v>85</v>
      </c>
      <c r="F369" s="5" t="n">
        <f aca="false">IFERROR(__xludf.dummyfunction("""COMPUTED_VALUE"""),9735491)</f>
        <v>9735491</v>
      </c>
    </row>
    <row r="370" customFormat="false" ht="15.75" hidden="false" customHeight="false" outlineLevel="0" collapsed="false">
      <c r="A370" s="6" t="n">
        <f aca="false">IFERROR(__xludf.dummyfunction("""COMPUTED_VALUE"""),44733.6666666667)</f>
        <v>44733.6666666667</v>
      </c>
      <c r="B370" s="5" t="n">
        <f aca="false">IFERROR(__xludf.dummyfunction("""COMPUTED_VALUE"""),86)</f>
        <v>86</v>
      </c>
      <c r="C370" s="5" t="n">
        <f aca="false">IFERROR(__xludf.dummyfunction("""COMPUTED_VALUE"""),87.75)</f>
        <v>87.75</v>
      </c>
      <c r="D370" s="5" t="n">
        <f aca="false">IFERROR(__xludf.dummyfunction("""COMPUTED_VALUE"""),86)</f>
        <v>86</v>
      </c>
      <c r="E370" s="5" t="n">
        <f aca="false">IFERROR(__xludf.dummyfunction("""COMPUTED_VALUE"""),86.95)</f>
        <v>86.95</v>
      </c>
      <c r="F370" s="5" t="n">
        <f aca="false">IFERROR(__xludf.dummyfunction("""COMPUTED_VALUE"""),9603974)</f>
        <v>9603974</v>
      </c>
    </row>
    <row r="371" customFormat="false" ht="15.75" hidden="false" customHeight="false" outlineLevel="0" collapsed="false">
      <c r="A371" s="6" t="n">
        <f aca="false">IFERROR(__xludf.dummyfunction("""COMPUTED_VALUE"""),44734.6666666667)</f>
        <v>44734.6666666667</v>
      </c>
      <c r="B371" s="5" t="n">
        <f aca="false">IFERROR(__xludf.dummyfunction("""COMPUTED_VALUE"""),84.64)</f>
        <v>84.64</v>
      </c>
      <c r="C371" s="5" t="n">
        <f aca="false">IFERROR(__xludf.dummyfunction("""COMPUTED_VALUE"""),86.18)</f>
        <v>86.18</v>
      </c>
      <c r="D371" s="5" t="n">
        <f aca="false">IFERROR(__xludf.dummyfunction("""COMPUTED_VALUE"""),84.55)</f>
        <v>84.55</v>
      </c>
      <c r="E371" s="5" t="n">
        <f aca="false">IFERROR(__xludf.dummyfunction("""COMPUTED_VALUE"""),84.91)</f>
        <v>84.91</v>
      </c>
      <c r="F371" s="5" t="n">
        <f aca="false">IFERROR(__xludf.dummyfunction("""COMPUTED_VALUE"""),7873518)</f>
        <v>7873518</v>
      </c>
    </row>
    <row r="372" customFormat="false" ht="15.75" hidden="false" customHeight="false" outlineLevel="0" collapsed="false">
      <c r="A372" s="6" t="n">
        <f aca="false">IFERROR(__xludf.dummyfunction("""COMPUTED_VALUE"""),44735.6666666667)</f>
        <v>44735.6666666667</v>
      </c>
      <c r="B372" s="5" t="n">
        <f aca="false">IFERROR(__xludf.dummyfunction("""COMPUTED_VALUE"""),84.13)</f>
        <v>84.13</v>
      </c>
      <c r="C372" s="5" t="n">
        <f aca="false">IFERROR(__xludf.dummyfunction("""COMPUTED_VALUE"""),84.23)</f>
        <v>84.23</v>
      </c>
      <c r="D372" s="5" t="n">
        <f aca="false">IFERROR(__xludf.dummyfunction("""COMPUTED_VALUE"""),82.76)</f>
        <v>82.76</v>
      </c>
      <c r="E372" s="5" t="n">
        <f aca="false">IFERROR(__xludf.dummyfunction("""COMPUTED_VALUE"""),84.12)</f>
        <v>84.12</v>
      </c>
      <c r="F372" s="5" t="n">
        <f aca="false">IFERROR(__xludf.dummyfunction("""COMPUTED_VALUE"""),10370298)</f>
        <v>10370298</v>
      </c>
    </row>
    <row r="373" customFormat="false" ht="15.75" hidden="false" customHeight="false" outlineLevel="0" collapsed="false">
      <c r="A373" s="6" t="n">
        <f aca="false">IFERROR(__xludf.dummyfunction("""COMPUTED_VALUE"""),44736.6666666667)</f>
        <v>44736.6666666667</v>
      </c>
      <c r="B373" s="5" t="n">
        <f aca="false">IFERROR(__xludf.dummyfunction("""COMPUTED_VALUE"""),84.15)</f>
        <v>84.15</v>
      </c>
      <c r="C373" s="5" t="n">
        <f aca="false">IFERROR(__xludf.dummyfunction("""COMPUTED_VALUE"""),86.55)</f>
        <v>86.55</v>
      </c>
      <c r="D373" s="5" t="n">
        <f aca="false">IFERROR(__xludf.dummyfunction("""COMPUTED_VALUE"""),84.15)</f>
        <v>84.15</v>
      </c>
      <c r="E373" s="5" t="n">
        <f aca="false">IFERROR(__xludf.dummyfunction("""COMPUTED_VALUE"""),85.92)</f>
        <v>85.92</v>
      </c>
      <c r="F373" s="5" t="n">
        <f aca="false">IFERROR(__xludf.dummyfunction("""COMPUTED_VALUE"""),10670085)</f>
        <v>10670085</v>
      </c>
    </row>
    <row r="374" customFormat="false" ht="15.75" hidden="false" customHeight="false" outlineLevel="0" collapsed="false">
      <c r="A374" s="6" t="n">
        <f aca="false">IFERROR(__xludf.dummyfunction("""COMPUTED_VALUE"""),44739.6666666667)</f>
        <v>44739.6666666667</v>
      </c>
      <c r="B374" s="5" t="n">
        <f aca="false">IFERROR(__xludf.dummyfunction("""COMPUTED_VALUE"""),86.92)</f>
        <v>86.92</v>
      </c>
      <c r="C374" s="5" t="n">
        <f aca="false">IFERROR(__xludf.dummyfunction("""COMPUTED_VALUE"""),87)</f>
        <v>87</v>
      </c>
      <c r="D374" s="5" t="n">
        <f aca="false">IFERROR(__xludf.dummyfunction("""COMPUTED_VALUE"""),85.58)</f>
        <v>85.58</v>
      </c>
      <c r="E374" s="5" t="n">
        <f aca="false">IFERROR(__xludf.dummyfunction("""COMPUTED_VALUE"""),85.86)</f>
        <v>85.86</v>
      </c>
      <c r="F374" s="5" t="n">
        <f aca="false">IFERROR(__xludf.dummyfunction("""COMPUTED_VALUE"""),7358017)</f>
        <v>7358017</v>
      </c>
    </row>
    <row r="375" customFormat="false" ht="15.75" hidden="false" customHeight="false" outlineLevel="0" collapsed="false">
      <c r="A375" s="6" t="n">
        <f aca="false">IFERROR(__xludf.dummyfunction("""COMPUTED_VALUE"""),44740.6666666667)</f>
        <v>44740.6666666667</v>
      </c>
      <c r="B375" s="5" t="n">
        <f aca="false">IFERROR(__xludf.dummyfunction("""COMPUTED_VALUE"""),86.15)</f>
        <v>86.15</v>
      </c>
      <c r="C375" s="5" t="n">
        <f aca="false">IFERROR(__xludf.dummyfunction("""COMPUTED_VALUE"""),86.81)</f>
        <v>86.81</v>
      </c>
      <c r="D375" s="5" t="n">
        <f aca="false">IFERROR(__xludf.dummyfunction("""COMPUTED_VALUE"""),84.34)</f>
        <v>84.34</v>
      </c>
      <c r="E375" s="5" t="n">
        <f aca="false">IFERROR(__xludf.dummyfunction("""COMPUTED_VALUE"""),84.34)</f>
        <v>84.34</v>
      </c>
      <c r="F375" s="5" t="n">
        <f aca="false">IFERROR(__xludf.dummyfunction("""COMPUTED_VALUE"""),8290894)</f>
        <v>8290894</v>
      </c>
    </row>
    <row r="376" customFormat="false" ht="15.75" hidden="false" customHeight="false" outlineLevel="0" collapsed="false">
      <c r="A376" s="6" t="n">
        <f aca="false">IFERROR(__xludf.dummyfunction("""COMPUTED_VALUE"""),44741.6666666667)</f>
        <v>44741.6666666667</v>
      </c>
      <c r="B376" s="5" t="n">
        <f aca="false">IFERROR(__xludf.dummyfunction("""COMPUTED_VALUE"""),84.43)</f>
        <v>84.43</v>
      </c>
      <c r="C376" s="5" t="n">
        <f aca="false">IFERROR(__xludf.dummyfunction("""COMPUTED_VALUE"""),84.61)</f>
        <v>84.61</v>
      </c>
      <c r="D376" s="5" t="n">
        <f aca="false">IFERROR(__xludf.dummyfunction("""COMPUTED_VALUE"""),83.33)</f>
        <v>83.33</v>
      </c>
      <c r="E376" s="5" t="n">
        <f aca="false">IFERROR(__xludf.dummyfunction("""COMPUTED_VALUE"""),83.65)</f>
        <v>83.65</v>
      </c>
      <c r="F376" s="5" t="n">
        <f aca="false">IFERROR(__xludf.dummyfunction("""COMPUTED_VALUE"""),7981289)</f>
        <v>7981289</v>
      </c>
    </row>
    <row r="377" customFormat="false" ht="15.75" hidden="false" customHeight="false" outlineLevel="0" collapsed="false">
      <c r="A377" s="6" t="n">
        <f aca="false">IFERROR(__xludf.dummyfunction("""COMPUTED_VALUE"""),44742.6666666667)</f>
        <v>44742.6666666667</v>
      </c>
      <c r="B377" s="5" t="n">
        <f aca="false">IFERROR(__xludf.dummyfunction("""COMPUTED_VALUE"""),81.46)</f>
        <v>81.46</v>
      </c>
      <c r="C377" s="5" t="n">
        <f aca="false">IFERROR(__xludf.dummyfunction("""COMPUTED_VALUE"""),82.22)</f>
        <v>82.22</v>
      </c>
      <c r="D377" s="5" t="n">
        <f aca="false">IFERROR(__xludf.dummyfunction("""COMPUTED_VALUE"""),80.12)</f>
        <v>80.12</v>
      </c>
      <c r="E377" s="5" t="n">
        <f aca="false">IFERROR(__xludf.dummyfunction("""COMPUTED_VALUE"""),81.75)</f>
        <v>81.75</v>
      </c>
      <c r="F377" s="5" t="n">
        <f aca="false">IFERROR(__xludf.dummyfunction("""COMPUTED_VALUE"""),14201624)</f>
        <v>14201624</v>
      </c>
    </row>
    <row r="378" customFormat="false" ht="15.75" hidden="false" customHeight="false" outlineLevel="0" collapsed="false">
      <c r="A378" s="6" t="n">
        <f aca="false">IFERROR(__xludf.dummyfunction("""COMPUTED_VALUE"""),44743.6666666667)</f>
        <v>44743.6666666667</v>
      </c>
      <c r="B378" s="5" t="n">
        <f aca="false">IFERROR(__xludf.dummyfunction("""COMPUTED_VALUE"""),79.04)</f>
        <v>79.04</v>
      </c>
      <c r="C378" s="5" t="n">
        <f aca="false">IFERROR(__xludf.dummyfunction("""COMPUTED_VALUE"""),79.22)</f>
        <v>79.22</v>
      </c>
      <c r="D378" s="5" t="n">
        <f aca="false">IFERROR(__xludf.dummyfunction("""COMPUTED_VALUE"""),76.18)</f>
        <v>76.18</v>
      </c>
      <c r="E378" s="5" t="n">
        <f aca="false">IFERROR(__xludf.dummyfunction("""COMPUTED_VALUE"""),77)</f>
        <v>77</v>
      </c>
      <c r="F378" s="5" t="n">
        <f aca="false">IFERROR(__xludf.dummyfunction("""COMPUTED_VALUE"""),19531696)</f>
        <v>19531696</v>
      </c>
    </row>
    <row r="379" customFormat="false" ht="15.75" hidden="false" customHeight="false" outlineLevel="0" collapsed="false">
      <c r="A379" s="6" t="n">
        <f aca="false">IFERROR(__xludf.dummyfunction("""COMPUTED_VALUE"""),44747.6666666667)</f>
        <v>44747.6666666667</v>
      </c>
      <c r="B379" s="5" t="n">
        <f aca="false">IFERROR(__xludf.dummyfunction("""COMPUTED_VALUE"""),74.55)</f>
        <v>74.55</v>
      </c>
      <c r="C379" s="5" t="n">
        <f aca="false">IFERROR(__xludf.dummyfunction("""COMPUTED_VALUE"""),76.15)</f>
        <v>76.15</v>
      </c>
      <c r="D379" s="5" t="n">
        <f aca="false">IFERROR(__xludf.dummyfunction("""COMPUTED_VALUE"""),73.74)</f>
        <v>73.74</v>
      </c>
      <c r="E379" s="5" t="n">
        <f aca="false">IFERROR(__xludf.dummyfunction("""COMPUTED_VALUE"""),76.11)</f>
        <v>76.11</v>
      </c>
      <c r="F379" s="5" t="n">
        <f aca="false">IFERROR(__xludf.dummyfunction("""COMPUTED_VALUE"""),22270972)</f>
        <v>22270972</v>
      </c>
    </row>
    <row r="380" customFormat="false" ht="15.75" hidden="false" customHeight="false" outlineLevel="0" collapsed="false">
      <c r="A380" s="6" t="n">
        <f aca="false">IFERROR(__xludf.dummyfunction("""COMPUTED_VALUE"""),44748.6666666667)</f>
        <v>44748.6666666667</v>
      </c>
      <c r="B380" s="5" t="n">
        <f aca="false">IFERROR(__xludf.dummyfunction("""COMPUTED_VALUE"""),74.29)</f>
        <v>74.29</v>
      </c>
      <c r="C380" s="5" t="n">
        <f aca="false">IFERROR(__xludf.dummyfunction("""COMPUTED_VALUE"""),76.3)</f>
        <v>76.3</v>
      </c>
      <c r="D380" s="5" t="n">
        <f aca="false">IFERROR(__xludf.dummyfunction("""COMPUTED_VALUE"""),73.78)</f>
        <v>73.78</v>
      </c>
      <c r="E380" s="5" t="n">
        <f aca="false">IFERROR(__xludf.dummyfunction("""COMPUTED_VALUE"""),75.56)</f>
        <v>75.56</v>
      </c>
      <c r="F380" s="5" t="n">
        <f aca="false">IFERROR(__xludf.dummyfunction("""COMPUTED_VALUE"""),11530526)</f>
        <v>11530526</v>
      </c>
    </row>
    <row r="381" customFormat="false" ht="15.75" hidden="false" customHeight="false" outlineLevel="0" collapsed="false">
      <c r="A381" s="6" t="n">
        <f aca="false">IFERROR(__xludf.dummyfunction("""COMPUTED_VALUE"""),44749.6666666667)</f>
        <v>44749.6666666667</v>
      </c>
      <c r="B381" s="5" t="n">
        <f aca="false">IFERROR(__xludf.dummyfunction("""COMPUTED_VALUE"""),78.6)</f>
        <v>78.6</v>
      </c>
      <c r="C381" s="5" t="n">
        <f aca="false">IFERROR(__xludf.dummyfunction("""COMPUTED_VALUE"""),80.96)</f>
        <v>80.96</v>
      </c>
      <c r="D381" s="5" t="n">
        <f aca="false">IFERROR(__xludf.dummyfunction("""COMPUTED_VALUE"""),78.34)</f>
        <v>78.34</v>
      </c>
      <c r="E381" s="5" t="n">
        <f aca="false">IFERROR(__xludf.dummyfunction("""COMPUTED_VALUE"""),80.65)</f>
        <v>80.65</v>
      </c>
      <c r="F381" s="5" t="n">
        <f aca="false">IFERROR(__xludf.dummyfunction("""COMPUTED_VALUE"""),15847752)</f>
        <v>15847752</v>
      </c>
    </row>
    <row r="382" customFormat="false" ht="15.75" hidden="false" customHeight="false" outlineLevel="0" collapsed="false">
      <c r="A382" s="6" t="n">
        <f aca="false">IFERROR(__xludf.dummyfunction("""COMPUTED_VALUE"""),44750.6666666667)</f>
        <v>44750.6666666667</v>
      </c>
      <c r="B382" s="5" t="n">
        <f aca="false">IFERROR(__xludf.dummyfunction("""COMPUTED_VALUE"""),79.92)</f>
        <v>79.92</v>
      </c>
      <c r="C382" s="5" t="n">
        <f aca="false">IFERROR(__xludf.dummyfunction("""COMPUTED_VALUE"""),82.16)</f>
        <v>82.16</v>
      </c>
      <c r="D382" s="5" t="n">
        <f aca="false">IFERROR(__xludf.dummyfunction("""COMPUTED_VALUE"""),79.76)</f>
        <v>79.76</v>
      </c>
      <c r="E382" s="5" t="n">
        <f aca="false">IFERROR(__xludf.dummyfunction("""COMPUTED_VALUE"""),81.51)</f>
        <v>81.51</v>
      </c>
      <c r="F382" s="5" t="n">
        <f aca="false">IFERROR(__xludf.dummyfunction("""COMPUTED_VALUE"""),10004173)</f>
        <v>10004173</v>
      </c>
    </row>
    <row r="383" customFormat="false" ht="15.75" hidden="false" customHeight="false" outlineLevel="0" collapsed="false">
      <c r="A383" s="6" t="n">
        <f aca="false">IFERROR(__xludf.dummyfunction("""COMPUTED_VALUE"""),44753.6666666667)</f>
        <v>44753.6666666667</v>
      </c>
      <c r="B383" s="5" t="n">
        <f aca="false">IFERROR(__xludf.dummyfunction("""COMPUTED_VALUE"""),79.77)</f>
        <v>79.77</v>
      </c>
      <c r="C383" s="5" t="n">
        <f aca="false">IFERROR(__xludf.dummyfunction("""COMPUTED_VALUE"""),80.27)</f>
        <v>80.27</v>
      </c>
      <c r="D383" s="5" t="n">
        <f aca="false">IFERROR(__xludf.dummyfunction("""COMPUTED_VALUE"""),78.82)</f>
        <v>78.82</v>
      </c>
      <c r="E383" s="5" t="n">
        <f aca="false">IFERROR(__xludf.dummyfunction("""COMPUTED_VALUE"""),79.11)</f>
        <v>79.11</v>
      </c>
      <c r="F383" s="5" t="n">
        <f aca="false">IFERROR(__xludf.dummyfunction("""COMPUTED_VALUE"""),9527709)</f>
        <v>9527709</v>
      </c>
    </row>
    <row r="384" customFormat="false" ht="15.75" hidden="false" customHeight="false" outlineLevel="0" collapsed="false">
      <c r="A384" s="6" t="n">
        <f aca="false">IFERROR(__xludf.dummyfunction("""COMPUTED_VALUE"""),44754.6666666667)</f>
        <v>44754.6666666667</v>
      </c>
      <c r="B384" s="5" t="n">
        <f aca="false">IFERROR(__xludf.dummyfunction("""COMPUTED_VALUE"""),81.16)</f>
        <v>81.16</v>
      </c>
      <c r="C384" s="5" t="n">
        <f aca="false">IFERROR(__xludf.dummyfunction("""COMPUTED_VALUE"""),81.48)</f>
        <v>81.48</v>
      </c>
      <c r="D384" s="5" t="n">
        <f aca="false">IFERROR(__xludf.dummyfunction("""COMPUTED_VALUE"""),78.93)</f>
        <v>78.93</v>
      </c>
      <c r="E384" s="5" t="n">
        <f aca="false">IFERROR(__xludf.dummyfunction("""COMPUTED_VALUE"""),79.1)</f>
        <v>79.1</v>
      </c>
      <c r="F384" s="5" t="n">
        <f aca="false">IFERROR(__xludf.dummyfunction("""COMPUTED_VALUE"""),10363671)</f>
        <v>10363671</v>
      </c>
    </row>
    <row r="385" customFormat="false" ht="15.75" hidden="false" customHeight="false" outlineLevel="0" collapsed="false">
      <c r="A385" s="6" t="n">
        <f aca="false">IFERROR(__xludf.dummyfunction("""COMPUTED_VALUE"""),44755.6666666667)</f>
        <v>44755.6666666667</v>
      </c>
      <c r="B385" s="5" t="n">
        <f aca="false">IFERROR(__xludf.dummyfunction("""COMPUTED_VALUE"""),79.28)</f>
        <v>79.28</v>
      </c>
      <c r="C385" s="5" t="n">
        <f aca="false">IFERROR(__xludf.dummyfunction("""COMPUTED_VALUE"""),81.72)</f>
        <v>81.72</v>
      </c>
      <c r="D385" s="5" t="n">
        <f aca="false">IFERROR(__xludf.dummyfunction("""COMPUTED_VALUE"""),78.9)</f>
        <v>78.9</v>
      </c>
      <c r="E385" s="5" t="n">
        <f aca="false">IFERROR(__xludf.dummyfunction("""COMPUTED_VALUE"""),81.29)</f>
        <v>81.29</v>
      </c>
      <c r="F385" s="5" t="n">
        <f aca="false">IFERROR(__xludf.dummyfunction("""COMPUTED_VALUE"""),14706500)</f>
        <v>14706500</v>
      </c>
    </row>
    <row r="386" customFormat="false" ht="15.75" hidden="false" customHeight="false" outlineLevel="0" collapsed="false">
      <c r="A386" s="6" t="n">
        <f aca="false">IFERROR(__xludf.dummyfunction("""COMPUTED_VALUE"""),44756.6666666667)</f>
        <v>44756.6666666667</v>
      </c>
      <c r="B386" s="5" t="n">
        <f aca="false">IFERROR(__xludf.dummyfunction("""COMPUTED_VALUE"""),82.95)</f>
        <v>82.95</v>
      </c>
      <c r="C386" s="5" t="n">
        <f aca="false">IFERROR(__xludf.dummyfunction("""COMPUTED_VALUE"""),84.04)</f>
        <v>84.04</v>
      </c>
      <c r="D386" s="5" t="n">
        <f aca="false">IFERROR(__xludf.dummyfunction("""COMPUTED_VALUE"""),80.51)</f>
        <v>80.51</v>
      </c>
      <c r="E386" s="5" t="n">
        <f aca="false">IFERROR(__xludf.dummyfunction("""COMPUTED_VALUE"""),83.67)</f>
        <v>83.67</v>
      </c>
      <c r="F386" s="5" t="n">
        <f aca="false">IFERROR(__xludf.dummyfunction("""COMPUTED_VALUE"""),23377014)</f>
        <v>23377014</v>
      </c>
    </row>
    <row r="387" customFormat="false" ht="15.75" hidden="false" customHeight="false" outlineLevel="0" collapsed="false">
      <c r="A387" s="6" t="n">
        <f aca="false">IFERROR(__xludf.dummyfunction("""COMPUTED_VALUE"""),44757.6666666667)</f>
        <v>44757.6666666667</v>
      </c>
      <c r="B387" s="5" t="n">
        <f aca="false">IFERROR(__xludf.dummyfunction("""COMPUTED_VALUE"""),85.58)</f>
        <v>85.58</v>
      </c>
      <c r="C387" s="5" t="n">
        <f aca="false">IFERROR(__xludf.dummyfunction("""COMPUTED_VALUE"""),86.04)</f>
        <v>86.04</v>
      </c>
      <c r="D387" s="5" t="n">
        <f aca="false">IFERROR(__xludf.dummyfunction("""COMPUTED_VALUE"""),83.97)</f>
        <v>83.97</v>
      </c>
      <c r="E387" s="5" t="n">
        <f aca="false">IFERROR(__xludf.dummyfunction("""COMPUTED_VALUE"""),85.63)</f>
        <v>85.63</v>
      </c>
      <c r="F387" s="5" t="n">
        <f aca="false">IFERROR(__xludf.dummyfunction("""COMPUTED_VALUE"""),14061049)</f>
        <v>14061049</v>
      </c>
    </row>
    <row r="388" customFormat="false" ht="15.75" hidden="false" customHeight="false" outlineLevel="0" collapsed="false">
      <c r="A388" s="6" t="n">
        <f aca="false">IFERROR(__xludf.dummyfunction("""COMPUTED_VALUE"""),44760.6666666667)</f>
        <v>44760.6666666667</v>
      </c>
      <c r="B388" s="5" t="n">
        <f aca="false">IFERROR(__xludf.dummyfunction("""COMPUTED_VALUE"""),86.06)</f>
        <v>86.06</v>
      </c>
      <c r="C388" s="5" t="n">
        <f aca="false">IFERROR(__xludf.dummyfunction("""COMPUTED_VALUE"""),86.08)</f>
        <v>86.08</v>
      </c>
      <c r="D388" s="5" t="n">
        <f aca="false">IFERROR(__xludf.dummyfunction("""COMPUTED_VALUE"""),83.37)</f>
        <v>83.37</v>
      </c>
      <c r="E388" s="5" t="n">
        <f aca="false">IFERROR(__xludf.dummyfunction("""COMPUTED_VALUE"""),83.58)</f>
        <v>83.58</v>
      </c>
      <c r="F388" s="5" t="n">
        <f aca="false">IFERROR(__xludf.dummyfunction("""COMPUTED_VALUE"""),11352457)</f>
        <v>11352457</v>
      </c>
    </row>
    <row r="389" customFormat="false" ht="15.75" hidden="false" customHeight="false" outlineLevel="0" collapsed="false">
      <c r="A389" s="6" t="n">
        <f aca="false">IFERROR(__xludf.dummyfunction("""COMPUTED_VALUE"""),44761.6666666667)</f>
        <v>44761.6666666667</v>
      </c>
      <c r="B389" s="5" t="n">
        <f aca="false">IFERROR(__xludf.dummyfunction("""COMPUTED_VALUE"""),85)</f>
        <v>85</v>
      </c>
      <c r="C389" s="5" t="n">
        <f aca="false">IFERROR(__xludf.dummyfunction("""COMPUTED_VALUE"""),86.47)</f>
        <v>86.47</v>
      </c>
      <c r="D389" s="5" t="n">
        <f aca="false">IFERROR(__xludf.dummyfunction("""COMPUTED_VALUE"""),84.56)</f>
        <v>84.56</v>
      </c>
      <c r="E389" s="5" t="n">
        <f aca="false">IFERROR(__xludf.dummyfunction("""COMPUTED_VALUE"""),86.15)</f>
        <v>86.15</v>
      </c>
      <c r="F389" s="5" t="n">
        <f aca="false">IFERROR(__xludf.dummyfunction("""COMPUTED_VALUE"""),10673130)</f>
        <v>10673130</v>
      </c>
    </row>
    <row r="390" customFormat="false" ht="15.75" hidden="false" customHeight="false" outlineLevel="0" collapsed="false">
      <c r="A390" s="6" t="n">
        <f aca="false">IFERROR(__xludf.dummyfunction("""COMPUTED_VALUE"""),44762.6666666667)</f>
        <v>44762.6666666667</v>
      </c>
      <c r="B390" s="5" t="n">
        <f aca="false">IFERROR(__xludf.dummyfunction("""COMPUTED_VALUE"""),85.18)</f>
        <v>85.18</v>
      </c>
      <c r="C390" s="5" t="n">
        <f aca="false">IFERROR(__xludf.dummyfunction("""COMPUTED_VALUE"""),86.75)</f>
        <v>86.75</v>
      </c>
      <c r="D390" s="5" t="n">
        <f aca="false">IFERROR(__xludf.dummyfunction("""COMPUTED_VALUE"""),85.11)</f>
        <v>85.11</v>
      </c>
      <c r="E390" s="5" t="n">
        <f aca="false">IFERROR(__xludf.dummyfunction("""COMPUTED_VALUE"""),86.56)</f>
        <v>86.56</v>
      </c>
      <c r="F390" s="5" t="n">
        <f aca="false">IFERROR(__xludf.dummyfunction("""COMPUTED_VALUE"""),11664797)</f>
        <v>11664797</v>
      </c>
    </row>
    <row r="391" customFormat="false" ht="15.75" hidden="false" customHeight="false" outlineLevel="0" collapsed="false">
      <c r="A391" s="6" t="n">
        <f aca="false">IFERROR(__xludf.dummyfunction("""COMPUTED_VALUE"""),44763.6666666667)</f>
        <v>44763.6666666667</v>
      </c>
      <c r="B391" s="5" t="n">
        <f aca="false">IFERROR(__xludf.dummyfunction("""COMPUTED_VALUE"""),86.68)</f>
        <v>86.68</v>
      </c>
      <c r="C391" s="5" t="n">
        <f aca="false">IFERROR(__xludf.dummyfunction("""COMPUTED_VALUE"""),87.8)</f>
        <v>87.8</v>
      </c>
      <c r="D391" s="5" t="n">
        <f aca="false">IFERROR(__xludf.dummyfunction("""COMPUTED_VALUE"""),86.4)</f>
        <v>86.4</v>
      </c>
      <c r="E391" s="5" t="n">
        <f aca="false">IFERROR(__xludf.dummyfunction("""COMPUTED_VALUE"""),87.79)</f>
        <v>87.79</v>
      </c>
      <c r="F391" s="5" t="n">
        <f aca="false">IFERROR(__xludf.dummyfunction("""COMPUTED_VALUE"""),7134954)</f>
        <v>7134954</v>
      </c>
    </row>
    <row r="392" customFormat="false" ht="15.75" hidden="false" customHeight="false" outlineLevel="0" collapsed="false">
      <c r="A392" s="6" t="n">
        <f aca="false">IFERROR(__xludf.dummyfunction("""COMPUTED_VALUE"""),44764.6666666667)</f>
        <v>44764.6666666667</v>
      </c>
      <c r="B392" s="5" t="n">
        <f aca="false">IFERROR(__xludf.dummyfunction("""COMPUTED_VALUE"""),87.41)</f>
        <v>87.41</v>
      </c>
      <c r="C392" s="5" t="n">
        <f aca="false">IFERROR(__xludf.dummyfunction("""COMPUTED_VALUE"""),87.73)</f>
        <v>87.73</v>
      </c>
      <c r="D392" s="5" t="n">
        <f aca="false">IFERROR(__xludf.dummyfunction("""COMPUTED_VALUE"""),85.8)</f>
        <v>85.8</v>
      </c>
      <c r="E392" s="5" t="n">
        <f aca="false">IFERROR(__xludf.dummyfunction("""COMPUTED_VALUE"""),86.32)</f>
        <v>86.32</v>
      </c>
      <c r="F392" s="5" t="n">
        <f aca="false">IFERROR(__xludf.dummyfunction("""COMPUTED_VALUE"""),8612137)</f>
        <v>8612137</v>
      </c>
    </row>
    <row r="393" customFormat="false" ht="15.75" hidden="false" customHeight="false" outlineLevel="0" collapsed="false">
      <c r="A393" s="6" t="n">
        <f aca="false">IFERROR(__xludf.dummyfunction("""COMPUTED_VALUE"""),44767.6666666667)</f>
        <v>44767.6666666667</v>
      </c>
      <c r="B393" s="5" t="n">
        <f aca="false">IFERROR(__xludf.dummyfunction("""COMPUTED_VALUE"""),86.3)</f>
        <v>86.3</v>
      </c>
      <c r="C393" s="5" t="n">
        <f aca="false">IFERROR(__xludf.dummyfunction("""COMPUTED_VALUE"""),86.7)</f>
        <v>86.7</v>
      </c>
      <c r="D393" s="5" t="n">
        <f aca="false">IFERROR(__xludf.dummyfunction("""COMPUTED_VALUE"""),85.63)</f>
        <v>85.63</v>
      </c>
      <c r="E393" s="5" t="n">
        <f aca="false">IFERROR(__xludf.dummyfunction("""COMPUTED_VALUE"""),86.3)</f>
        <v>86.3</v>
      </c>
      <c r="F393" s="5" t="n">
        <f aca="false">IFERROR(__xludf.dummyfunction("""COMPUTED_VALUE"""),5960949)</f>
        <v>5960949</v>
      </c>
    </row>
    <row r="394" customFormat="false" ht="15.75" hidden="false" customHeight="false" outlineLevel="0" collapsed="false">
      <c r="A394" s="6" t="n">
        <f aca="false">IFERROR(__xludf.dummyfunction("""COMPUTED_VALUE"""),44768.6666666667)</f>
        <v>44768.6666666667</v>
      </c>
      <c r="B394" s="5" t="n">
        <f aca="false">IFERROR(__xludf.dummyfunction("""COMPUTED_VALUE"""),84.76)</f>
        <v>84.76</v>
      </c>
      <c r="C394" s="5" t="n">
        <f aca="false">IFERROR(__xludf.dummyfunction("""COMPUTED_VALUE"""),85.2)</f>
        <v>85.2</v>
      </c>
      <c r="D394" s="5" t="n">
        <f aca="false">IFERROR(__xludf.dummyfunction("""COMPUTED_VALUE"""),83.85)</f>
        <v>83.85</v>
      </c>
      <c r="E394" s="5" t="n">
        <f aca="false">IFERROR(__xludf.dummyfunction("""COMPUTED_VALUE"""),84.42)</f>
        <v>84.42</v>
      </c>
      <c r="F394" s="5" t="n">
        <f aca="false">IFERROR(__xludf.dummyfunction("""COMPUTED_VALUE"""),6977686)</f>
        <v>6977686</v>
      </c>
    </row>
    <row r="395" customFormat="false" ht="15.75" hidden="false" customHeight="false" outlineLevel="0" collapsed="false">
      <c r="A395" s="6" t="n">
        <f aca="false">IFERROR(__xludf.dummyfunction("""COMPUTED_VALUE"""),44769.6666666667)</f>
        <v>44769.6666666667</v>
      </c>
      <c r="B395" s="5" t="n">
        <f aca="false">IFERROR(__xludf.dummyfunction("""COMPUTED_VALUE"""),85.31)</f>
        <v>85.31</v>
      </c>
      <c r="C395" s="5" t="n">
        <f aca="false">IFERROR(__xludf.dummyfunction("""COMPUTED_VALUE"""),87.9)</f>
        <v>87.9</v>
      </c>
      <c r="D395" s="5" t="n">
        <f aca="false">IFERROR(__xludf.dummyfunction("""COMPUTED_VALUE"""),85.31)</f>
        <v>85.31</v>
      </c>
      <c r="E395" s="5" t="n">
        <f aca="false">IFERROR(__xludf.dummyfunction("""COMPUTED_VALUE"""),87.63)</f>
        <v>87.63</v>
      </c>
      <c r="F395" s="5" t="n">
        <f aca="false">IFERROR(__xludf.dummyfunction("""COMPUTED_VALUE"""),9399496)</f>
        <v>9399496</v>
      </c>
    </row>
    <row r="396" customFormat="false" ht="15.75" hidden="false" customHeight="false" outlineLevel="0" collapsed="false">
      <c r="A396" s="6" t="n">
        <f aca="false">IFERROR(__xludf.dummyfunction("""COMPUTED_VALUE"""),44770.6666666667)</f>
        <v>44770.6666666667</v>
      </c>
      <c r="B396" s="5" t="n">
        <f aca="false">IFERROR(__xludf.dummyfunction("""COMPUTED_VALUE"""),87.13)</f>
        <v>87.13</v>
      </c>
      <c r="C396" s="5" t="n">
        <f aca="false">IFERROR(__xludf.dummyfunction("""COMPUTED_VALUE"""),88.62)</f>
        <v>88.62</v>
      </c>
      <c r="D396" s="5" t="n">
        <f aca="false">IFERROR(__xludf.dummyfunction("""COMPUTED_VALUE"""),86.45)</f>
        <v>86.45</v>
      </c>
      <c r="E396" s="5" t="n">
        <f aca="false">IFERROR(__xludf.dummyfunction("""COMPUTED_VALUE"""),88.61)</f>
        <v>88.61</v>
      </c>
      <c r="F396" s="5" t="n">
        <f aca="false">IFERROR(__xludf.dummyfunction("""COMPUTED_VALUE"""),10668229)</f>
        <v>10668229</v>
      </c>
    </row>
    <row r="397" customFormat="false" ht="15.75" hidden="false" customHeight="false" outlineLevel="0" collapsed="false">
      <c r="A397" s="6" t="n">
        <f aca="false">IFERROR(__xludf.dummyfunction("""COMPUTED_VALUE"""),44771.6666666667)</f>
        <v>44771.6666666667</v>
      </c>
      <c r="B397" s="5" t="n">
        <f aca="false">IFERROR(__xludf.dummyfunction("""COMPUTED_VALUE"""),87.82)</f>
        <v>87.82</v>
      </c>
      <c r="C397" s="5" t="n">
        <f aca="false">IFERROR(__xludf.dummyfunction("""COMPUTED_VALUE"""),89.21)</f>
        <v>89.21</v>
      </c>
      <c r="D397" s="5" t="n">
        <f aca="false">IFERROR(__xludf.dummyfunction("""COMPUTED_VALUE"""),87.79)</f>
        <v>87.79</v>
      </c>
      <c r="E397" s="5" t="n">
        <f aca="false">IFERROR(__xludf.dummyfunction("""COMPUTED_VALUE"""),88.48)</f>
        <v>88.48</v>
      </c>
      <c r="F397" s="5" t="n">
        <f aca="false">IFERROR(__xludf.dummyfunction("""COMPUTED_VALUE"""),10366204)</f>
        <v>10366204</v>
      </c>
    </row>
    <row r="398" customFormat="false" ht="15.75" hidden="false" customHeight="false" outlineLevel="0" collapsed="false">
      <c r="A398" s="6" t="n">
        <f aca="false">IFERROR(__xludf.dummyfunction("""COMPUTED_VALUE"""),44774.6666666667)</f>
        <v>44774.6666666667</v>
      </c>
      <c r="B398" s="5" t="n">
        <f aca="false">IFERROR(__xludf.dummyfunction("""COMPUTED_VALUE"""),85.3)</f>
        <v>85.3</v>
      </c>
      <c r="C398" s="5" t="n">
        <f aca="false">IFERROR(__xludf.dummyfunction("""COMPUTED_VALUE"""),86.89)</f>
        <v>86.89</v>
      </c>
      <c r="D398" s="5" t="n">
        <f aca="false">IFERROR(__xludf.dummyfunction("""COMPUTED_VALUE"""),84.3)</f>
        <v>84.3</v>
      </c>
      <c r="E398" s="5" t="n">
        <f aca="false">IFERROR(__xludf.dummyfunction("""COMPUTED_VALUE"""),86.31)</f>
        <v>86.31</v>
      </c>
      <c r="F398" s="5" t="n">
        <f aca="false">IFERROR(__xludf.dummyfunction("""COMPUTED_VALUE"""),20102613)</f>
        <v>20102613</v>
      </c>
    </row>
    <row r="399" customFormat="false" ht="15.75" hidden="false" customHeight="false" outlineLevel="0" collapsed="false">
      <c r="A399" s="6" t="n">
        <f aca="false">IFERROR(__xludf.dummyfunction("""COMPUTED_VALUE"""),44775.6666666667)</f>
        <v>44775.6666666667</v>
      </c>
      <c r="B399" s="5" t="n">
        <f aca="false">IFERROR(__xludf.dummyfunction("""COMPUTED_VALUE"""),84.52)</f>
        <v>84.52</v>
      </c>
      <c r="C399" s="5" t="n">
        <f aca="false">IFERROR(__xludf.dummyfunction("""COMPUTED_VALUE"""),87.51)</f>
        <v>87.51</v>
      </c>
      <c r="D399" s="5" t="n">
        <f aca="false">IFERROR(__xludf.dummyfunction("""COMPUTED_VALUE"""),84.17)</f>
        <v>84.17</v>
      </c>
      <c r="E399" s="5" t="n">
        <f aca="false">IFERROR(__xludf.dummyfunction("""COMPUTED_VALUE"""),86.05)</f>
        <v>86.05</v>
      </c>
      <c r="F399" s="5" t="n">
        <f aca="false">IFERROR(__xludf.dummyfunction("""COMPUTED_VALUE"""),15541623)</f>
        <v>15541623</v>
      </c>
    </row>
    <row r="400" customFormat="false" ht="15.75" hidden="false" customHeight="false" outlineLevel="0" collapsed="false">
      <c r="A400" s="6" t="n">
        <f aca="false">IFERROR(__xludf.dummyfunction("""COMPUTED_VALUE"""),44776.6666666667)</f>
        <v>44776.6666666667</v>
      </c>
      <c r="B400" s="5" t="n">
        <f aca="false">IFERROR(__xludf.dummyfunction("""COMPUTED_VALUE"""),85.96)</f>
        <v>85.96</v>
      </c>
      <c r="C400" s="5" t="n">
        <f aca="false">IFERROR(__xludf.dummyfunction("""COMPUTED_VALUE"""),86.77)</f>
        <v>86.77</v>
      </c>
      <c r="D400" s="5" t="n">
        <f aca="false">IFERROR(__xludf.dummyfunction("""COMPUTED_VALUE"""),84.56)</f>
        <v>84.56</v>
      </c>
      <c r="E400" s="5" t="n">
        <f aca="false">IFERROR(__xludf.dummyfunction("""COMPUTED_VALUE"""),86.51)</f>
        <v>86.51</v>
      </c>
      <c r="F400" s="5" t="n">
        <f aca="false">IFERROR(__xludf.dummyfunction("""COMPUTED_VALUE"""),20779410)</f>
        <v>20779410</v>
      </c>
    </row>
    <row r="401" customFormat="false" ht="15.75" hidden="false" customHeight="false" outlineLevel="0" collapsed="false">
      <c r="A401" s="6" t="n">
        <f aca="false">IFERROR(__xludf.dummyfunction("""COMPUTED_VALUE"""),44777.6666666667)</f>
        <v>44777.6666666667</v>
      </c>
      <c r="B401" s="5" t="n">
        <f aca="false">IFERROR(__xludf.dummyfunction("""COMPUTED_VALUE"""),87)</f>
        <v>87</v>
      </c>
      <c r="C401" s="5" t="n">
        <f aca="false">IFERROR(__xludf.dummyfunction("""COMPUTED_VALUE"""),88.42)</f>
        <v>88.42</v>
      </c>
      <c r="D401" s="5" t="n">
        <f aca="false">IFERROR(__xludf.dummyfunction("""COMPUTED_VALUE"""),86.62)</f>
        <v>86.62</v>
      </c>
      <c r="E401" s="5" t="n">
        <f aca="false">IFERROR(__xludf.dummyfunction("""COMPUTED_VALUE"""),88.42)</f>
        <v>88.42</v>
      </c>
      <c r="F401" s="5" t="n">
        <f aca="false">IFERROR(__xludf.dummyfunction("""COMPUTED_VALUE"""),13472519)</f>
        <v>13472519</v>
      </c>
    </row>
    <row r="402" customFormat="false" ht="15.75" hidden="false" customHeight="false" outlineLevel="0" collapsed="false">
      <c r="A402" s="6" t="n">
        <f aca="false">IFERROR(__xludf.dummyfunction("""COMPUTED_VALUE"""),44778.6666666667)</f>
        <v>44778.6666666667</v>
      </c>
      <c r="B402" s="5" t="n">
        <f aca="false">IFERROR(__xludf.dummyfunction("""COMPUTED_VALUE"""),88.03)</f>
        <v>88.03</v>
      </c>
      <c r="C402" s="5" t="n">
        <f aca="false">IFERROR(__xludf.dummyfunction("""COMPUTED_VALUE"""),90.98)</f>
        <v>90.98</v>
      </c>
      <c r="D402" s="5" t="n">
        <f aca="false">IFERROR(__xludf.dummyfunction("""COMPUTED_VALUE"""),88.01)</f>
        <v>88.01</v>
      </c>
      <c r="E402" s="5" t="n">
        <f aca="false">IFERROR(__xludf.dummyfunction("""COMPUTED_VALUE"""),89.77)</f>
        <v>89.77</v>
      </c>
      <c r="F402" s="5" t="n">
        <f aca="false">IFERROR(__xludf.dummyfunction("""COMPUTED_VALUE"""),13293500)</f>
        <v>13293500</v>
      </c>
    </row>
    <row r="403" customFormat="false" ht="15.75" hidden="false" customHeight="false" outlineLevel="0" collapsed="false">
      <c r="A403" s="6" t="n">
        <f aca="false">IFERROR(__xludf.dummyfunction("""COMPUTED_VALUE"""),44781.6666666667)</f>
        <v>44781.6666666667</v>
      </c>
      <c r="B403" s="5" t="n">
        <f aca="false">IFERROR(__xludf.dummyfunction("""COMPUTED_VALUE"""),88.98)</f>
        <v>88.98</v>
      </c>
      <c r="C403" s="5" t="n">
        <f aca="false">IFERROR(__xludf.dummyfunction("""COMPUTED_VALUE"""),89.1)</f>
        <v>89.1</v>
      </c>
      <c r="D403" s="5" t="n">
        <f aca="false">IFERROR(__xludf.dummyfunction("""COMPUTED_VALUE"""),86.91)</f>
        <v>86.91</v>
      </c>
      <c r="E403" s="5" t="n">
        <f aca="false">IFERROR(__xludf.dummyfunction("""COMPUTED_VALUE"""),87.94)</f>
        <v>87.94</v>
      </c>
      <c r="F403" s="5" t="n">
        <f aca="false">IFERROR(__xludf.dummyfunction("""COMPUTED_VALUE"""),12122334)</f>
        <v>12122334</v>
      </c>
    </row>
    <row r="404" customFormat="false" ht="15.75" hidden="false" customHeight="false" outlineLevel="0" collapsed="false">
      <c r="A404" s="6" t="n">
        <f aca="false">IFERROR(__xludf.dummyfunction("""COMPUTED_VALUE"""),44782.6666666667)</f>
        <v>44782.6666666667</v>
      </c>
      <c r="B404" s="5" t="n">
        <f aca="false">IFERROR(__xludf.dummyfunction("""COMPUTED_VALUE"""),86.94)</f>
        <v>86.94</v>
      </c>
      <c r="C404" s="5" t="n">
        <f aca="false">IFERROR(__xludf.dummyfunction("""COMPUTED_VALUE"""),87.14)</f>
        <v>87.14</v>
      </c>
      <c r="D404" s="5" t="n">
        <f aca="false">IFERROR(__xludf.dummyfunction("""COMPUTED_VALUE"""),84.44)</f>
        <v>84.44</v>
      </c>
      <c r="E404" s="5" t="n">
        <f aca="false">IFERROR(__xludf.dummyfunction("""COMPUTED_VALUE"""),85.21)</f>
        <v>85.21</v>
      </c>
      <c r="F404" s="5" t="n">
        <f aca="false">IFERROR(__xludf.dummyfunction("""COMPUTED_VALUE"""),13075014)</f>
        <v>13075014</v>
      </c>
    </row>
    <row r="405" customFormat="false" ht="15.75" hidden="false" customHeight="false" outlineLevel="0" collapsed="false">
      <c r="A405" s="6" t="n">
        <f aca="false">IFERROR(__xludf.dummyfunction("""COMPUTED_VALUE"""),44783.6666666667)</f>
        <v>44783.6666666667</v>
      </c>
      <c r="B405" s="5" t="n">
        <f aca="false">IFERROR(__xludf.dummyfunction("""COMPUTED_VALUE"""),86.81)</f>
        <v>86.81</v>
      </c>
      <c r="C405" s="5" t="n">
        <f aca="false">IFERROR(__xludf.dummyfunction("""COMPUTED_VALUE"""),88.67)</f>
        <v>88.67</v>
      </c>
      <c r="D405" s="5" t="n">
        <f aca="false">IFERROR(__xludf.dummyfunction("""COMPUTED_VALUE"""),86.31)</f>
        <v>86.31</v>
      </c>
      <c r="E405" s="5" t="n">
        <f aca="false">IFERROR(__xludf.dummyfunction("""COMPUTED_VALUE"""),88.67)</f>
        <v>88.67</v>
      </c>
      <c r="F405" s="5" t="n">
        <f aca="false">IFERROR(__xludf.dummyfunction("""COMPUTED_VALUE"""),10704579)</f>
        <v>10704579</v>
      </c>
    </row>
    <row r="406" customFormat="false" ht="15.75" hidden="false" customHeight="false" outlineLevel="0" collapsed="false">
      <c r="A406" s="6" t="n">
        <f aca="false">IFERROR(__xludf.dummyfunction("""COMPUTED_VALUE"""),44784.6666666667)</f>
        <v>44784.6666666667</v>
      </c>
      <c r="B406" s="5" t="n">
        <f aca="false">IFERROR(__xludf.dummyfunction("""COMPUTED_VALUE"""),89.96)</f>
        <v>89.96</v>
      </c>
      <c r="C406" s="5" t="n">
        <f aca="false">IFERROR(__xludf.dummyfunction("""COMPUTED_VALUE"""),91)</f>
        <v>91</v>
      </c>
      <c r="D406" s="5" t="n">
        <f aca="false">IFERROR(__xludf.dummyfunction("""COMPUTED_VALUE"""),89.31)</f>
        <v>89.31</v>
      </c>
      <c r="E406" s="5" t="n">
        <f aca="false">IFERROR(__xludf.dummyfunction("""COMPUTED_VALUE"""),89.52)</f>
        <v>89.52</v>
      </c>
      <c r="F406" s="5" t="n">
        <f aca="false">IFERROR(__xludf.dummyfunction("""COMPUTED_VALUE"""),11158789)</f>
        <v>11158789</v>
      </c>
    </row>
    <row r="407" customFormat="false" ht="15.75" hidden="false" customHeight="false" outlineLevel="0" collapsed="false">
      <c r="A407" s="6" t="n">
        <f aca="false">IFERROR(__xludf.dummyfunction("""COMPUTED_VALUE"""),44785.6666666667)</f>
        <v>44785.6666666667</v>
      </c>
      <c r="B407" s="5" t="n">
        <f aca="false">IFERROR(__xludf.dummyfunction("""COMPUTED_VALUE"""),89.68)</f>
        <v>89.68</v>
      </c>
      <c r="C407" s="5" t="n">
        <f aca="false">IFERROR(__xludf.dummyfunction("""COMPUTED_VALUE"""),91.35)</f>
        <v>91.35</v>
      </c>
      <c r="D407" s="5" t="n">
        <f aca="false">IFERROR(__xludf.dummyfunction("""COMPUTED_VALUE"""),89.64)</f>
        <v>89.64</v>
      </c>
      <c r="E407" s="5" t="n">
        <f aca="false">IFERROR(__xludf.dummyfunction("""COMPUTED_VALUE"""),90.86)</f>
        <v>90.86</v>
      </c>
      <c r="F407" s="5" t="n">
        <f aca="false">IFERROR(__xludf.dummyfunction("""COMPUTED_VALUE"""),12098828)</f>
        <v>12098828</v>
      </c>
    </row>
    <row r="408" customFormat="false" ht="15.75" hidden="false" customHeight="false" outlineLevel="0" collapsed="false">
      <c r="A408" s="6" t="n">
        <f aca="false">IFERROR(__xludf.dummyfunction("""COMPUTED_VALUE"""),44788.6666666667)</f>
        <v>44788.6666666667</v>
      </c>
      <c r="B408" s="5" t="n">
        <f aca="false">IFERROR(__xludf.dummyfunction("""COMPUTED_VALUE"""),90.01)</f>
        <v>90.01</v>
      </c>
      <c r="C408" s="5" t="n">
        <f aca="false">IFERROR(__xludf.dummyfunction("""COMPUTED_VALUE"""),91.94)</f>
        <v>91.94</v>
      </c>
      <c r="D408" s="5" t="n">
        <f aca="false">IFERROR(__xludf.dummyfunction("""COMPUTED_VALUE"""),90)</f>
        <v>90</v>
      </c>
      <c r="E408" s="5" t="n">
        <f aca="false">IFERROR(__xludf.dummyfunction("""COMPUTED_VALUE"""),91.57)</f>
        <v>91.57</v>
      </c>
      <c r="F408" s="5" t="n">
        <f aca="false">IFERROR(__xludf.dummyfunction("""COMPUTED_VALUE"""),15949516)</f>
        <v>15949516</v>
      </c>
    </row>
    <row r="409" customFormat="false" ht="15.75" hidden="false" customHeight="false" outlineLevel="0" collapsed="false">
      <c r="A409" s="6" t="n">
        <f aca="false">IFERROR(__xludf.dummyfunction("""COMPUTED_VALUE"""),44789.6666666667)</f>
        <v>44789.6666666667</v>
      </c>
      <c r="B409" s="5" t="n">
        <f aca="false">IFERROR(__xludf.dummyfunction("""COMPUTED_VALUE"""),91.14)</f>
        <v>91.14</v>
      </c>
      <c r="C409" s="5" t="n">
        <f aca="false">IFERROR(__xludf.dummyfunction("""COMPUTED_VALUE"""),91.35)</f>
        <v>91.35</v>
      </c>
      <c r="D409" s="5" t="n">
        <f aca="false">IFERROR(__xludf.dummyfunction("""COMPUTED_VALUE"""),88.57)</f>
        <v>88.57</v>
      </c>
      <c r="E409" s="5" t="n">
        <f aca="false">IFERROR(__xludf.dummyfunction("""COMPUTED_VALUE"""),89.95)</f>
        <v>89.95</v>
      </c>
      <c r="F409" s="5" t="n">
        <f aca="false">IFERROR(__xludf.dummyfunction("""COMPUTED_VALUE"""),10566123)</f>
        <v>10566123</v>
      </c>
    </row>
    <row r="410" customFormat="false" ht="15.75" hidden="false" customHeight="false" outlineLevel="0" collapsed="false">
      <c r="A410" s="6" t="n">
        <f aca="false">IFERROR(__xludf.dummyfunction("""COMPUTED_VALUE"""),44790.6666666667)</f>
        <v>44790.6666666667</v>
      </c>
      <c r="B410" s="5" t="n">
        <f aca="false">IFERROR(__xludf.dummyfunction("""COMPUTED_VALUE"""),89)</f>
        <v>89</v>
      </c>
      <c r="C410" s="5" t="n">
        <f aca="false">IFERROR(__xludf.dummyfunction("""COMPUTED_VALUE"""),89.77)</f>
        <v>89.77</v>
      </c>
      <c r="D410" s="5" t="n">
        <f aca="false">IFERROR(__xludf.dummyfunction("""COMPUTED_VALUE"""),88.48)</f>
        <v>88.48</v>
      </c>
      <c r="E410" s="5" t="n">
        <f aca="false">IFERROR(__xludf.dummyfunction("""COMPUTED_VALUE"""),89.2)</f>
        <v>89.2</v>
      </c>
      <c r="F410" s="5" t="n">
        <f aca="false">IFERROR(__xludf.dummyfunction("""COMPUTED_VALUE"""),9093091)</f>
        <v>9093091</v>
      </c>
    </row>
    <row r="411" customFormat="false" ht="15.75" hidden="false" customHeight="false" outlineLevel="0" collapsed="false">
      <c r="A411" s="6" t="n">
        <f aca="false">IFERROR(__xludf.dummyfunction("""COMPUTED_VALUE"""),44791.6666666667)</f>
        <v>44791.6666666667</v>
      </c>
      <c r="B411" s="5" t="n">
        <f aca="false">IFERROR(__xludf.dummyfunction("""COMPUTED_VALUE"""),88.71)</f>
        <v>88.71</v>
      </c>
      <c r="C411" s="5" t="n">
        <f aca="false">IFERROR(__xludf.dummyfunction("""COMPUTED_VALUE"""),89.67)</f>
        <v>89.67</v>
      </c>
      <c r="D411" s="5" t="n">
        <f aca="false">IFERROR(__xludf.dummyfunction("""COMPUTED_VALUE"""),88.42)</f>
        <v>88.42</v>
      </c>
      <c r="E411" s="5" t="n">
        <f aca="false">IFERROR(__xludf.dummyfunction("""COMPUTED_VALUE"""),89.27)</f>
        <v>89.27</v>
      </c>
      <c r="F411" s="5" t="n">
        <f aca="false">IFERROR(__xludf.dummyfunction("""COMPUTED_VALUE"""),10947701)</f>
        <v>10947701</v>
      </c>
    </row>
    <row r="412" customFormat="false" ht="15.75" hidden="false" customHeight="false" outlineLevel="0" collapsed="false">
      <c r="A412" s="6" t="n">
        <f aca="false">IFERROR(__xludf.dummyfunction("""COMPUTED_VALUE"""),44792.6666666667)</f>
        <v>44792.6666666667</v>
      </c>
      <c r="B412" s="5" t="n">
        <f aca="false">IFERROR(__xludf.dummyfunction("""COMPUTED_VALUE"""),88.5)</f>
        <v>88.5</v>
      </c>
      <c r="C412" s="5" t="n">
        <f aca="false">IFERROR(__xludf.dummyfunction("""COMPUTED_VALUE"""),88.59)</f>
        <v>88.59</v>
      </c>
      <c r="D412" s="5" t="n">
        <f aca="false">IFERROR(__xludf.dummyfunction("""COMPUTED_VALUE"""),87.02)</f>
        <v>87.02</v>
      </c>
      <c r="E412" s="5" t="n">
        <f aca="false">IFERROR(__xludf.dummyfunction("""COMPUTED_VALUE"""),87.2)</f>
        <v>87.2</v>
      </c>
      <c r="F412" s="5" t="n">
        <f aca="false">IFERROR(__xludf.dummyfunction("""COMPUTED_VALUE"""),9602761)</f>
        <v>9602761</v>
      </c>
    </row>
    <row r="413" customFormat="false" ht="15.75" hidden="false" customHeight="false" outlineLevel="0" collapsed="false">
      <c r="A413" s="6" t="n">
        <f aca="false">IFERROR(__xludf.dummyfunction("""COMPUTED_VALUE"""),44795.6666666667)</f>
        <v>44795.6666666667</v>
      </c>
      <c r="B413" s="5" t="n">
        <f aca="false">IFERROR(__xludf.dummyfunction("""COMPUTED_VALUE"""),85.41)</f>
        <v>85.41</v>
      </c>
      <c r="C413" s="5" t="n">
        <f aca="false">IFERROR(__xludf.dummyfunction("""COMPUTED_VALUE"""),86.03)</f>
        <v>86.03</v>
      </c>
      <c r="D413" s="5" t="n">
        <f aca="false">IFERROR(__xludf.dummyfunction("""COMPUTED_VALUE"""),84.94)</f>
        <v>84.94</v>
      </c>
      <c r="E413" s="5" t="n">
        <f aca="false">IFERROR(__xludf.dummyfunction("""COMPUTED_VALUE"""),85.24)</f>
        <v>85.24</v>
      </c>
      <c r="F413" s="5" t="n">
        <f aca="false">IFERROR(__xludf.dummyfunction("""COMPUTED_VALUE"""),8053958)</f>
        <v>8053958</v>
      </c>
    </row>
    <row r="414" customFormat="false" ht="15.75" hidden="false" customHeight="false" outlineLevel="0" collapsed="false">
      <c r="A414" s="6" t="n">
        <f aca="false">IFERROR(__xludf.dummyfunction("""COMPUTED_VALUE"""),44796.6666666667)</f>
        <v>44796.6666666667</v>
      </c>
      <c r="B414" s="5" t="n">
        <f aca="false">IFERROR(__xludf.dummyfunction("""COMPUTED_VALUE"""),85.16)</f>
        <v>85.16</v>
      </c>
      <c r="C414" s="5" t="n">
        <f aca="false">IFERROR(__xludf.dummyfunction("""COMPUTED_VALUE"""),86.6)</f>
        <v>86.6</v>
      </c>
      <c r="D414" s="5" t="n">
        <f aca="false">IFERROR(__xludf.dummyfunction("""COMPUTED_VALUE"""),84.99)</f>
        <v>84.99</v>
      </c>
      <c r="E414" s="5" t="n">
        <f aca="false">IFERROR(__xludf.dummyfunction("""COMPUTED_VALUE"""),86.03)</f>
        <v>86.03</v>
      </c>
      <c r="F414" s="5" t="n">
        <f aca="false">IFERROR(__xludf.dummyfunction("""COMPUTED_VALUE"""),8462474)</f>
        <v>8462474</v>
      </c>
    </row>
    <row r="415" customFormat="false" ht="15.75" hidden="false" customHeight="false" outlineLevel="0" collapsed="false">
      <c r="A415" s="6" t="n">
        <f aca="false">IFERROR(__xludf.dummyfunction("""COMPUTED_VALUE"""),44797.6666666667)</f>
        <v>44797.6666666667</v>
      </c>
      <c r="B415" s="5" t="n">
        <f aca="false">IFERROR(__xludf.dummyfunction("""COMPUTED_VALUE"""),85.8)</f>
        <v>85.8</v>
      </c>
      <c r="C415" s="5" t="n">
        <f aca="false">IFERROR(__xludf.dummyfunction("""COMPUTED_VALUE"""),86.13)</f>
        <v>86.13</v>
      </c>
      <c r="D415" s="5" t="n">
        <f aca="false">IFERROR(__xludf.dummyfunction("""COMPUTED_VALUE"""),85.2)</f>
        <v>85.2</v>
      </c>
      <c r="E415" s="5" t="n">
        <f aca="false">IFERROR(__xludf.dummyfunction("""COMPUTED_VALUE"""),85.56)</f>
        <v>85.56</v>
      </c>
      <c r="F415" s="5" t="n">
        <f aca="false">IFERROR(__xludf.dummyfunction("""COMPUTED_VALUE"""),7085798)</f>
        <v>7085798</v>
      </c>
    </row>
    <row r="416" customFormat="false" ht="15.75" hidden="false" customHeight="false" outlineLevel="0" collapsed="false">
      <c r="A416" s="6" t="n">
        <f aca="false">IFERROR(__xludf.dummyfunction("""COMPUTED_VALUE"""),44798.6666666667)</f>
        <v>44798.6666666667</v>
      </c>
      <c r="B416" s="5" t="n">
        <f aca="false">IFERROR(__xludf.dummyfunction("""COMPUTED_VALUE"""),86.33)</f>
        <v>86.33</v>
      </c>
      <c r="C416" s="5" t="n">
        <f aca="false">IFERROR(__xludf.dummyfunction("""COMPUTED_VALUE"""),87.59)</f>
        <v>87.59</v>
      </c>
      <c r="D416" s="5" t="n">
        <f aca="false">IFERROR(__xludf.dummyfunction("""COMPUTED_VALUE"""),86.01)</f>
        <v>86.01</v>
      </c>
      <c r="E416" s="5" t="n">
        <f aca="false">IFERROR(__xludf.dummyfunction("""COMPUTED_VALUE"""),87.57)</f>
        <v>87.57</v>
      </c>
      <c r="F416" s="5" t="n">
        <f aca="false">IFERROR(__xludf.dummyfunction("""COMPUTED_VALUE"""),6602130)</f>
        <v>6602130</v>
      </c>
    </row>
    <row r="417" customFormat="false" ht="15.75" hidden="false" customHeight="false" outlineLevel="0" collapsed="false">
      <c r="A417" s="6" t="n">
        <f aca="false">IFERROR(__xludf.dummyfunction("""COMPUTED_VALUE"""),44799.6666666667)</f>
        <v>44799.6666666667</v>
      </c>
      <c r="B417" s="5" t="n">
        <f aca="false">IFERROR(__xludf.dummyfunction("""COMPUTED_VALUE"""),87.5)</f>
        <v>87.5</v>
      </c>
      <c r="C417" s="5" t="n">
        <f aca="false">IFERROR(__xludf.dummyfunction("""COMPUTED_VALUE"""),87.79)</f>
        <v>87.79</v>
      </c>
      <c r="D417" s="5" t="n">
        <f aca="false">IFERROR(__xludf.dummyfunction("""COMPUTED_VALUE"""),84.65)</f>
        <v>84.65</v>
      </c>
      <c r="E417" s="5" t="n">
        <f aca="false">IFERROR(__xludf.dummyfunction("""COMPUTED_VALUE"""),84.74)</f>
        <v>84.74</v>
      </c>
      <c r="F417" s="5" t="n">
        <f aca="false">IFERROR(__xludf.dummyfunction("""COMPUTED_VALUE"""),9381506)</f>
        <v>9381506</v>
      </c>
    </row>
    <row r="418" customFormat="false" ht="15.75" hidden="false" customHeight="false" outlineLevel="0" collapsed="false">
      <c r="A418" s="6" t="n">
        <f aca="false">IFERROR(__xludf.dummyfunction("""COMPUTED_VALUE"""),44802.6666666667)</f>
        <v>44802.6666666667</v>
      </c>
      <c r="B418" s="5" t="n">
        <f aca="false">IFERROR(__xludf.dummyfunction("""COMPUTED_VALUE"""),83.91)</f>
        <v>83.91</v>
      </c>
      <c r="C418" s="5" t="n">
        <f aca="false">IFERROR(__xludf.dummyfunction("""COMPUTED_VALUE"""),84.32)</f>
        <v>84.32</v>
      </c>
      <c r="D418" s="5" t="n">
        <f aca="false">IFERROR(__xludf.dummyfunction("""COMPUTED_VALUE"""),82.78)</f>
        <v>82.78</v>
      </c>
      <c r="E418" s="5" t="n">
        <f aca="false">IFERROR(__xludf.dummyfunction("""COMPUTED_VALUE"""),82.85)</f>
        <v>82.85</v>
      </c>
      <c r="F418" s="5" t="n">
        <f aca="false">IFERROR(__xludf.dummyfunction("""COMPUTED_VALUE"""),9639661)</f>
        <v>9639661</v>
      </c>
    </row>
    <row r="419" customFormat="false" ht="15.75" hidden="false" customHeight="false" outlineLevel="0" collapsed="false">
      <c r="A419" s="6" t="n">
        <f aca="false">IFERROR(__xludf.dummyfunction("""COMPUTED_VALUE"""),44803.6666666667)</f>
        <v>44803.6666666667</v>
      </c>
      <c r="B419" s="5" t="n">
        <f aca="false">IFERROR(__xludf.dummyfunction("""COMPUTED_VALUE"""),83.78)</f>
        <v>83.78</v>
      </c>
      <c r="C419" s="5" t="n">
        <f aca="false">IFERROR(__xludf.dummyfunction("""COMPUTED_VALUE"""),83.98)</f>
        <v>83.98</v>
      </c>
      <c r="D419" s="5" t="n">
        <f aca="false">IFERROR(__xludf.dummyfunction("""COMPUTED_VALUE"""),81.73)</f>
        <v>81.73</v>
      </c>
      <c r="E419" s="5" t="n">
        <f aca="false">IFERROR(__xludf.dummyfunction("""COMPUTED_VALUE"""),82.79)</f>
        <v>82.79</v>
      </c>
      <c r="F419" s="5" t="n">
        <f aca="false">IFERROR(__xludf.dummyfunction("""COMPUTED_VALUE"""),8392293)</f>
        <v>8392293</v>
      </c>
    </row>
    <row r="420" customFormat="false" ht="15.75" hidden="false" customHeight="false" outlineLevel="0" collapsed="false">
      <c r="A420" s="6" t="n">
        <f aca="false">IFERROR(__xludf.dummyfunction("""COMPUTED_VALUE"""),44804.6666666667)</f>
        <v>44804.6666666667</v>
      </c>
      <c r="B420" s="5" t="n">
        <f aca="false">IFERROR(__xludf.dummyfunction("""COMPUTED_VALUE"""),84.11)</f>
        <v>84.11</v>
      </c>
      <c r="C420" s="5" t="n">
        <f aca="false">IFERROR(__xludf.dummyfunction("""COMPUTED_VALUE"""),84.87)</f>
        <v>84.87</v>
      </c>
      <c r="D420" s="5" t="n">
        <f aca="false">IFERROR(__xludf.dummyfunction("""COMPUTED_VALUE"""),83.06)</f>
        <v>83.06</v>
      </c>
      <c r="E420" s="5" t="n">
        <f aca="false">IFERROR(__xludf.dummyfunction("""COMPUTED_VALUE"""),83.35)</f>
        <v>83.35</v>
      </c>
      <c r="F420" s="5" t="n">
        <f aca="false">IFERROR(__xludf.dummyfunction("""COMPUTED_VALUE"""),8887148)</f>
        <v>8887148</v>
      </c>
    </row>
    <row r="421" customFormat="false" ht="15.75" hidden="false" customHeight="false" outlineLevel="0" collapsed="false">
      <c r="A421" s="6" t="n">
        <f aca="false">IFERROR(__xludf.dummyfunction("""COMPUTED_VALUE"""),44805.6666666667)</f>
        <v>44805.6666666667</v>
      </c>
      <c r="B421" s="5" t="n">
        <f aca="false">IFERROR(__xludf.dummyfunction("""COMPUTED_VALUE"""),81.45)</f>
        <v>81.45</v>
      </c>
      <c r="C421" s="5" t="n">
        <f aca="false">IFERROR(__xludf.dummyfunction("""COMPUTED_VALUE"""),81.83)</f>
        <v>81.83</v>
      </c>
      <c r="D421" s="5" t="n">
        <f aca="false">IFERROR(__xludf.dummyfunction("""COMPUTED_VALUE"""),80.12)</f>
        <v>80.12</v>
      </c>
      <c r="E421" s="5" t="n">
        <f aca="false">IFERROR(__xludf.dummyfunction("""COMPUTED_VALUE"""),81.64)</f>
        <v>81.64</v>
      </c>
      <c r="F421" s="5" t="n">
        <f aca="false">IFERROR(__xludf.dummyfunction("""COMPUTED_VALUE"""),11565973)</f>
        <v>11565973</v>
      </c>
    </row>
    <row r="422" customFormat="false" ht="15.75" hidden="false" customHeight="false" outlineLevel="0" collapsed="false">
      <c r="A422" s="6" t="n">
        <f aca="false">IFERROR(__xludf.dummyfunction("""COMPUTED_VALUE"""),44806.6666666667)</f>
        <v>44806.6666666667</v>
      </c>
      <c r="B422" s="5" t="n">
        <f aca="false">IFERROR(__xludf.dummyfunction("""COMPUTED_VALUE"""),81.55)</f>
        <v>81.55</v>
      </c>
      <c r="C422" s="5" t="n">
        <f aca="false">IFERROR(__xludf.dummyfunction("""COMPUTED_VALUE"""),82.98)</f>
        <v>82.98</v>
      </c>
      <c r="D422" s="5" t="n">
        <f aca="false">IFERROR(__xludf.dummyfunction("""COMPUTED_VALUE"""),80.61)</f>
        <v>80.61</v>
      </c>
      <c r="E422" s="5" t="n">
        <f aca="false">IFERROR(__xludf.dummyfunction("""COMPUTED_VALUE"""),80.9)</f>
        <v>80.9</v>
      </c>
      <c r="F422" s="5" t="n">
        <f aca="false">IFERROR(__xludf.dummyfunction("""COMPUTED_VALUE"""),8850116)</f>
        <v>8850116</v>
      </c>
    </row>
    <row r="423" customFormat="false" ht="15.75" hidden="false" customHeight="false" outlineLevel="0" collapsed="false">
      <c r="A423" s="6" t="n">
        <f aca="false">IFERROR(__xludf.dummyfunction("""COMPUTED_VALUE"""),44810.6666666667)</f>
        <v>44810.6666666667</v>
      </c>
      <c r="B423" s="5" t="n">
        <f aca="false">IFERROR(__xludf.dummyfunction("""COMPUTED_VALUE"""),81.03)</f>
        <v>81.03</v>
      </c>
      <c r="C423" s="5" t="n">
        <f aca="false">IFERROR(__xludf.dummyfunction("""COMPUTED_VALUE"""),81.03)</f>
        <v>81.03</v>
      </c>
      <c r="D423" s="5" t="n">
        <f aca="false">IFERROR(__xludf.dummyfunction("""COMPUTED_VALUE"""),79.52)</f>
        <v>79.52</v>
      </c>
      <c r="E423" s="5" t="n">
        <f aca="false">IFERROR(__xludf.dummyfunction("""COMPUTED_VALUE"""),80.03)</f>
        <v>80.03</v>
      </c>
      <c r="F423" s="5" t="n">
        <f aca="false">IFERROR(__xludf.dummyfunction("""COMPUTED_VALUE"""),12428303)</f>
        <v>12428303</v>
      </c>
    </row>
    <row r="424" customFormat="false" ht="15.75" hidden="false" customHeight="false" outlineLevel="0" collapsed="false">
      <c r="A424" s="6" t="n">
        <f aca="false">IFERROR(__xludf.dummyfunction("""COMPUTED_VALUE"""),44811.6666666667)</f>
        <v>44811.6666666667</v>
      </c>
      <c r="B424" s="5" t="n">
        <f aca="false">IFERROR(__xludf.dummyfunction("""COMPUTED_VALUE"""),78.39)</f>
        <v>78.39</v>
      </c>
      <c r="C424" s="5" t="n">
        <f aca="false">IFERROR(__xludf.dummyfunction("""COMPUTED_VALUE"""),80.18)</f>
        <v>80.18</v>
      </c>
      <c r="D424" s="5" t="n">
        <f aca="false">IFERROR(__xludf.dummyfunction("""COMPUTED_VALUE"""),78.23)</f>
        <v>78.23</v>
      </c>
      <c r="E424" s="5" t="n">
        <f aca="false">IFERROR(__xludf.dummyfunction("""COMPUTED_VALUE"""),79.95)</f>
        <v>79.95</v>
      </c>
      <c r="F424" s="5" t="n">
        <f aca="false">IFERROR(__xludf.dummyfunction("""COMPUTED_VALUE"""),9843466)</f>
        <v>9843466</v>
      </c>
    </row>
    <row r="425" customFormat="false" ht="15.75" hidden="false" customHeight="false" outlineLevel="0" collapsed="false">
      <c r="A425" s="6" t="n">
        <f aca="false">IFERROR(__xludf.dummyfunction("""COMPUTED_VALUE"""),44812.6666666667)</f>
        <v>44812.6666666667</v>
      </c>
      <c r="B425" s="5" t="n">
        <f aca="false">IFERROR(__xludf.dummyfunction("""COMPUTED_VALUE"""),79.01)</f>
        <v>79.01</v>
      </c>
      <c r="C425" s="5" t="n">
        <f aca="false">IFERROR(__xludf.dummyfunction("""COMPUTED_VALUE"""),80.74)</f>
        <v>80.74</v>
      </c>
      <c r="D425" s="5" t="n">
        <f aca="false">IFERROR(__xludf.dummyfunction("""COMPUTED_VALUE"""),78.77)</f>
        <v>78.77</v>
      </c>
      <c r="E425" s="5" t="n">
        <f aca="false">IFERROR(__xludf.dummyfunction("""COMPUTED_VALUE"""),80.24)</f>
        <v>80.24</v>
      </c>
      <c r="F425" s="5" t="n">
        <f aca="false">IFERROR(__xludf.dummyfunction("""COMPUTED_VALUE"""),8181692)</f>
        <v>8181692</v>
      </c>
    </row>
    <row r="426" customFormat="false" ht="15.75" hidden="false" customHeight="false" outlineLevel="0" collapsed="false">
      <c r="A426" s="6" t="n">
        <f aca="false">IFERROR(__xludf.dummyfunction("""COMPUTED_VALUE"""),44813.6666666667)</f>
        <v>44813.6666666667</v>
      </c>
      <c r="B426" s="5" t="n">
        <f aca="false">IFERROR(__xludf.dummyfunction("""COMPUTED_VALUE"""),80.83)</f>
        <v>80.83</v>
      </c>
      <c r="C426" s="5" t="n">
        <f aca="false">IFERROR(__xludf.dummyfunction("""COMPUTED_VALUE"""),81.66)</f>
        <v>81.66</v>
      </c>
      <c r="D426" s="5" t="n">
        <f aca="false">IFERROR(__xludf.dummyfunction("""COMPUTED_VALUE"""),80.74)</f>
        <v>80.74</v>
      </c>
      <c r="E426" s="5" t="n">
        <f aca="false">IFERROR(__xludf.dummyfunction("""COMPUTED_VALUE"""),81.53)</f>
        <v>81.53</v>
      </c>
      <c r="F426" s="5" t="n">
        <f aca="false">IFERROR(__xludf.dummyfunction("""COMPUTED_VALUE"""),7086204)</f>
        <v>7086204</v>
      </c>
    </row>
    <row r="427" customFormat="false" ht="15.75" hidden="false" customHeight="false" outlineLevel="0" collapsed="false">
      <c r="A427" s="6" t="n">
        <f aca="false">IFERROR(__xludf.dummyfunction("""COMPUTED_VALUE"""),44816.6666666667)</f>
        <v>44816.6666666667</v>
      </c>
      <c r="B427" s="5" t="n">
        <f aca="false">IFERROR(__xludf.dummyfunction("""COMPUTED_VALUE"""),81.97)</f>
        <v>81.97</v>
      </c>
      <c r="C427" s="5" t="n">
        <f aca="false">IFERROR(__xludf.dummyfunction("""COMPUTED_VALUE"""),82.5)</f>
        <v>82.5</v>
      </c>
      <c r="D427" s="5" t="n">
        <f aca="false">IFERROR(__xludf.dummyfunction("""COMPUTED_VALUE"""),81.76)</f>
        <v>81.76</v>
      </c>
      <c r="E427" s="5" t="n">
        <f aca="false">IFERROR(__xludf.dummyfunction("""COMPUTED_VALUE"""),82.15)</f>
        <v>82.15</v>
      </c>
      <c r="F427" s="5" t="n">
        <f aca="false">IFERROR(__xludf.dummyfunction("""COMPUTED_VALUE"""),7903004)</f>
        <v>7903004</v>
      </c>
    </row>
    <row r="428" customFormat="false" ht="15.75" hidden="false" customHeight="false" outlineLevel="0" collapsed="false">
      <c r="A428" s="6" t="n">
        <f aca="false">IFERROR(__xludf.dummyfunction("""COMPUTED_VALUE"""),44817.6666666667)</f>
        <v>44817.6666666667</v>
      </c>
      <c r="B428" s="5" t="n">
        <f aca="false">IFERROR(__xludf.dummyfunction("""COMPUTED_VALUE"""),80.42)</f>
        <v>80.42</v>
      </c>
      <c r="C428" s="5" t="n">
        <f aca="false">IFERROR(__xludf.dummyfunction("""COMPUTED_VALUE"""),81.14)</f>
        <v>81.14</v>
      </c>
      <c r="D428" s="5" t="n">
        <f aca="false">IFERROR(__xludf.dummyfunction("""COMPUTED_VALUE"""),78.52)</f>
        <v>78.52</v>
      </c>
      <c r="E428" s="5" t="n">
        <f aca="false">IFERROR(__xludf.dummyfunction("""COMPUTED_VALUE"""),78.81)</f>
        <v>78.81</v>
      </c>
      <c r="F428" s="5" t="n">
        <f aca="false">IFERROR(__xludf.dummyfunction("""COMPUTED_VALUE"""),12835062)</f>
        <v>12835062</v>
      </c>
    </row>
    <row r="429" customFormat="false" ht="15.75" hidden="false" customHeight="false" outlineLevel="0" collapsed="false">
      <c r="A429" s="6" t="n">
        <f aca="false">IFERROR(__xludf.dummyfunction("""COMPUTED_VALUE"""),44818.6666666667)</f>
        <v>44818.6666666667</v>
      </c>
      <c r="B429" s="5" t="n">
        <f aca="false">IFERROR(__xludf.dummyfunction("""COMPUTED_VALUE"""),79.74)</f>
        <v>79.74</v>
      </c>
      <c r="C429" s="5" t="n">
        <f aca="false">IFERROR(__xludf.dummyfunction("""COMPUTED_VALUE"""),80.16)</f>
        <v>80.16</v>
      </c>
      <c r="D429" s="5" t="n">
        <f aca="false">IFERROR(__xludf.dummyfunction("""COMPUTED_VALUE"""),78.98)</f>
        <v>78.98</v>
      </c>
      <c r="E429" s="5" t="n">
        <f aca="false">IFERROR(__xludf.dummyfunction("""COMPUTED_VALUE"""),79.66)</f>
        <v>79.66</v>
      </c>
      <c r="F429" s="5" t="n">
        <f aca="false">IFERROR(__xludf.dummyfunction("""COMPUTED_VALUE"""),8849582)</f>
        <v>8849582</v>
      </c>
    </row>
    <row r="430" customFormat="false" ht="15.75" hidden="false" customHeight="false" outlineLevel="0" collapsed="false">
      <c r="A430" s="6" t="n">
        <f aca="false">IFERROR(__xludf.dummyfunction("""COMPUTED_VALUE"""),44819.6666666667)</f>
        <v>44819.6666666667</v>
      </c>
      <c r="B430" s="5" t="n">
        <f aca="false">IFERROR(__xludf.dummyfunction("""COMPUTED_VALUE"""),78.58)</f>
        <v>78.58</v>
      </c>
      <c r="C430" s="5" t="n">
        <f aca="false">IFERROR(__xludf.dummyfunction("""COMPUTED_VALUE"""),79.25)</f>
        <v>79.25</v>
      </c>
      <c r="D430" s="5" t="n">
        <f aca="false">IFERROR(__xludf.dummyfunction("""COMPUTED_VALUE"""),77.67)</f>
        <v>77.67</v>
      </c>
      <c r="E430" s="5" t="n">
        <f aca="false">IFERROR(__xludf.dummyfunction("""COMPUTED_VALUE"""),77.98)</f>
        <v>77.98</v>
      </c>
      <c r="F430" s="5" t="n">
        <f aca="false">IFERROR(__xludf.dummyfunction("""COMPUTED_VALUE"""),10533054)</f>
        <v>10533054</v>
      </c>
    </row>
    <row r="431" customFormat="false" ht="15.75" hidden="false" customHeight="false" outlineLevel="0" collapsed="false">
      <c r="A431" s="6" t="n">
        <f aca="false">IFERROR(__xludf.dummyfunction("""COMPUTED_VALUE"""),44820.6666666667)</f>
        <v>44820.6666666667</v>
      </c>
      <c r="B431" s="5" t="n">
        <f aca="false">IFERROR(__xludf.dummyfunction("""COMPUTED_VALUE"""),77.11)</f>
        <v>77.11</v>
      </c>
      <c r="C431" s="5" t="n">
        <f aca="false">IFERROR(__xludf.dummyfunction("""COMPUTED_VALUE"""),78)</f>
        <v>78</v>
      </c>
      <c r="D431" s="5" t="n">
        <f aca="false">IFERROR(__xludf.dummyfunction("""COMPUTED_VALUE"""),76.92)</f>
        <v>76.92</v>
      </c>
      <c r="E431" s="5" t="n">
        <f aca="false">IFERROR(__xludf.dummyfunction("""COMPUTED_VALUE"""),77.89)</f>
        <v>77.89</v>
      </c>
      <c r="F431" s="5" t="n">
        <f aca="false">IFERROR(__xludf.dummyfunction("""COMPUTED_VALUE"""),10604536)</f>
        <v>10604536</v>
      </c>
    </row>
    <row r="432" customFormat="false" ht="15.75" hidden="false" customHeight="false" outlineLevel="0" collapsed="false">
      <c r="A432" s="6" t="n">
        <f aca="false">IFERROR(__xludf.dummyfunction("""COMPUTED_VALUE"""),44823.6666666667)</f>
        <v>44823.6666666667</v>
      </c>
      <c r="B432" s="5" t="n">
        <f aca="false">IFERROR(__xludf.dummyfunction("""COMPUTED_VALUE"""),76.55)</f>
        <v>76.55</v>
      </c>
      <c r="C432" s="5" t="n">
        <f aca="false">IFERROR(__xludf.dummyfunction("""COMPUTED_VALUE"""),78.23)</f>
        <v>78.23</v>
      </c>
      <c r="D432" s="5" t="n">
        <f aca="false">IFERROR(__xludf.dummyfunction("""COMPUTED_VALUE"""),76.55)</f>
        <v>76.55</v>
      </c>
      <c r="E432" s="5" t="n">
        <f aca="false">IFERROR(__xludf.dummyfunction("""COMPUTED_VALUE"""),78.23)</f>
        <v>78.23</v>
      </c>
      <c r="F432" s="5" t="n">
        <f aca="false">IFERROR(__xludf.dummyfunction("""COMPUTED_VALUE"""),10378599)</f>
        <v>10378599</v>
      </c>
    </row>
    <row r="433" customFormat="false" ht="15.75" hidden="false" customHeight="false" outlineLevel="0" collapsed="false">
      <c r="A433" s="6" t="n">
        <f aca="false">IFERROR(__xludf.dummyfunction("""COMPUTED_VALUE"""),44824.6666666667)</f>
        <v>44824.6666666667</v>
      </c>
      <c r="B433" s="5" t="n">
        <f aca="false">IFERROR(__xludf.dummyfunction("""COMPUTED_VALUE"""),77.54)</f>
        <v>77.54</v>
      </c>
      <c r="C433" s="5" t="n">
        <f aca="false">IFERROR(__xludf.dummyfunction("""COMPUTED_VALUE"""),78.44)</f>
        <v>78.44</v>
      </c>
      <c r="D433" s="5" t="n">
        <f aca="false">IFERROR(__xludf.dummyfunction("""COMPUTED_VALUE"""),77.51)</f>
        <v>77.51</v>
      </c>
      <c r="E433" s="5" t="n">
        <f aca="false">IFERROR(__xludf.dummyfunction("""COMPUTED_VALUE"""),78.15)</f>
        <v>78.15</v>
      </c>
      <c r="F433" s="5" t="n">
        <f aca="false">IFERROR(__xludf.dummyfunction("""COMPUTED_VALUE"""),8202782)</f>
        <v>8202782</v>
      </c>
    </row>
    <row r="434" customFormat="false" ht="15.75" hidden="false" customHeight="false" outlineLevel="0" collapsed="false">
      <c r="A434" s="6" t="n">
        <f aca="false">IFERROR(__xludf.dummyfunction("""COMPUTED_VALUE"""),44825.6666666667)</f>
        <v>44825.6666666667</v>
      </c>
      <c r="B434" s="5" t="n">
        <f aca="false">IFERROR(__xludf.dummyfunction("""COMPUTED_VALUE"""),77.58)</f>
        <v>77.58</v>
      </c>
      <c r="C434" s="5" t="n">
        <f aca="false">IFERROR(__xludf.dummyfunction("""COMPUTED_VALUE"""),79.31)</f>
        <v>79.31</v>
      </c>
      <c r="D434" s="5" t="n">
        <f aca="false">IFERROR(__xludf.dummyfunction("""COMPUTED_VALUE"""),77.14)</f>
        <v>77.14</v>
      </c>
      <c r="E434" s="5" t="n">
        <f aca="false">IFERROR(__xludf.dummyfunction("""COMPUTED_VALUE"""),77.14)</f>
        <v>77.14</v>
      </c>
      <c r="F434" s="5" t="n">
        <f aca="false">IFERROR(__xludf.dummyfunction("""COMPUTED_VALUE"""),10868995)</f>
        <v>10868995</v>
      </c>
    </row>
    <row r="435" customFormat="false" ht="15.75" hidden="false" customHeight="false" outlineLevel="0" collapsed="false">
      <c r="A435" s="6" t="n">
        <f aca="false">IFERROR(__xludf.dummyfunction("""COMPUTED_VALUE"""),44826.6666666667)</f>
        <v>44826.6666666667</v>
      </c>
      <c r="B435" s="5" t="n">
        <f aca="false">IFERROR(__xludf.dummyfunction("""COMPUTED_VALUE"""),76.45)</f>
        <v>76.45</v>
      </c>
      <c r="C435" s="5" t="n">
        <f aca="false">IFERROR(__xludf.dummyfunction("""COMPUTED_VALUE"""),76.75)</f>
        <v>76.75</v>
      </c>
      <c r="D435" s="5" t="n">
        <f aca="false">IFERROR(__xludf.dummyfunction("""COMPUTED_VALUE"""),75.36)</f>
        <v>75.36</v>
      </c>
      <c r="E435" s="5" t="n">
        <f aca="false">IFERROR(__xludf.dummyfunction("""COMPUTED_VALUE"""),75.63)</f>
        <v>75.63</v>
      </c>
      <c r="F435" s="5" t="n">
        <f aca="false">IFERROR(__xludf.dummyfunction("""COMPUTED_VALUE"""),10817853)</f>
        <v>10817853</v>
      </c>
    </row>
    <row r="436" customFormat="false" ht="15.75" hidden="false" customHeight="false" outlineLevel="0" collapsed="false">
      <c r="A436" s="6" t="n">
        <f aca="false">IFERROR(__xludf.dummyfunction("""COMPUTED_VALUE"""),44827.6666666667)</f>
        <v>44827.6666666667</v>
      </c>
      <c r="B436" s="5" t="n">
        <f aca="false">IFERROR(__xludf.dummyfunction("""COMPUTED_VALUE"""),74.3)</f>
        <v>74.3</v>
      </c>
      <c r="C436" s="5" t="n">
        <f aca="false">IFERROR(__xludf.dummyfunction("""COMPUTED_VALUE"""),74.39)</f>
        <v>74.39</v>
      </c>
      <c r="D436" s="5" t="n">
        <f aca="false">IFERROR(__xludf.dummyfunction("""COMPUTED_VALUE"""),73.09)</f>
        <v>73.09</v>
      </c>
      <c r="E436" s="5" t="n">
        <f aca="false">IFERROR(__xludf.dummyfunction("""COMPUTED_VALUE"""),73.87)</f>
        <v>73.87</v>
      </c>
      <c r="F436" s="5" t="n">
        <f aca="false">IFERROR(__xludf.dummyfunction("""COMPUTED_VALUE"""),12685532)</f>
        <v>12685532</v>
      </c>
    </row>
    <row r="437" customFormat="false" ht="15.75" hidden="false" customHeight="false" outlineLevel="0" collapsed="false">
      <c r="A437" s="6" t="n">
        <f aca="false">IFERROR(__xludf.dummyfunction("""COMPUTED_VALUE"""),44830.6666666667)</f>
        <v>44830.6666666667</v>
      </c>
      <c r="B437" s="5" t="n">
        <f aca="false">IFERROR(__xludf.dummyfunction("""COMPUTED_VALUE"""),73.47)</f>
        <v>73.47</v>
      </c>
      <c r="C437" s="5" t="n">
        <f aca="false">IFERROR(__xludf.dummyfunction("""COMPUTED_VALUE"""),74.19)</f>
        <v>74.19</v>
      </c>
      <c r="D437" s="5" t="n">
        <f aca="false">IFERROR(__xludf.dummyfunction("""COMPUTED_VALUE"""),72.92)</f>
        <v>72.92</v>
      </c>
      <c r="E437" s="5" t="n">
        <f aca="false">IFERROR(__xludf.dummyfunction("""COMPUTED_VALUE"""),73.01)</f>
        <v>73.01</v>
      </c>
      <c r="F437" s="5" t="n">
        <f aca="false">IFERROR(__xludf.dummyfunction("""COMPUTED_VALUE"""),13441486)</f>
        <v>13441486</v>
      </c>
    </row>
    <row r="438" customFormat="false" ht="15.75" hidden="false" customHeight="false" outlineLevel="0" collapsed="false">
      <c r="A438" s="6" t="n">
        <f aca="false">IFERROR(__xludf.dummyfunction("""COMPUTED_VALUE"""),44831.6666666667)</f>
        <v>44831.6666666667</v>
      </c>
      <c r="B438" s="5" t="n">
        <f aca="false">IFERROR(__xludf.dummyfunction("""COMPUTED_VALUE"""),73.51)</f>
        <v>73.51</v>
      </c>
      <c r="C438" s="5" t="n">
        <f aca="false">IFERROR(__xludf.dummyfunction("""COMPUTED_VALUE"""),74.04)</f>
        <v>74.04</v>
      </c>
      <c r="D438" s="5" t="n">
        <f aca="false">IFERROR(__xludf.dummyfunction("""COMPUTED_VALUE"""),72.35)</f>
        <v>72.35</v>
      </c>
      <c r="E438" s="5" t="n">
        <f aca="false">IFERROR(__xludf.dummyfunction("""COMPUTED_VALUE"""),73.03)</f>
        <v>73.03</v>
      </c>
      <c r="F438" s="5" t="n">
        <f aca="false">IFERROR(__xludf.dummyfunction("""COMPUTED_VALUE"""),12430577)</f>
        <v>12430577</v>
      </c>
    </row>
    <row r="439" customFormat="false" ht="15.75" hidden="false" customHeight="false" outlineLevel="0" collapsed="false">
      <c r="A439" s="6" t="n">
        <f aca="false">IFERROR(__xludf.dummyfunction("""COMPUTED_VALUE"""),44832.6666666667)</f>
        <v>44832.6666666667</v>
      </c>
      <c r="B439" s="5" t="n">
        <f aca="false">IFERROR(__xludf.dummyfunction("""COMPUTED_VALUE"""),71.11)</f>
        <v>71.11</v>
      </c>
      <c r="C439" s="5" t="n">
        <f aca="false">IFERROR(__xludf.dummyfunction("""COMPUTED_VALUE"""),72.29)</f>
        <v>72.29</v>
      </c>
      <c r="D439" s="5" t="n">
        <f aca="false">IFERROR(__xludf.dummyfunction("""COMPUTED_VALUE"""),70.7)</f>
        <v>70.7</v>
      </c>
      <c r="E439" s="5" t="n">
        <f aca="false">IFERROR(__xludf.dummyfunction("""COMPUTED_VALUE"""),72.13)</f>
        <v>72.13</v>
      </c>
      <c r="F439" s="5" t="n">
        <f aca="false">IFERROR(__xludf.dummyfunction("""COMPUTED_VALUE"""),12943618)</f>
        <v>12943618</v>
      </c>
    </row>
    <row r="440" customFormat="false" ht="15.75" hidden="false" customHeight="false" outlineLevel="0" collapsed="false">
      <c r="A440" s="6" t="n">
        <f aca="false">IFERROR(__xludf.dummyfunction("""COMPUTED_VALUE"""),44833.6666666667)</f>
        <v>44833.6666666667</v>
      </c>
      <c r="B440" s="5" t="n">
        <f aca="false">IFERROR(__xludf.dummyfunction("""COMPUTED_VALUE"""),70.52)</f>
        <v>70.52</v>
      </c>
      <c r="C440" s="5" t="n">
        <f aca="false">IFERROR(__xludf.dummyfunction("""COMPUTED_VALUE"""),70.68)</f>
        <v>70.68</v>
      </c>
      <c r="D440" s="5" t="n">
        <f aca="false">IFERROR(__xludf.dummyfunction("""COMPUTED_VALUE"""),68.48)</f>
        <v>68.48</v>
      </c>
      <c r="E440" s="5" t="n">
        <f aca="false">IFERROR(__xludf.dummyfunction("""COMPUTED_VALUE"""),69.28)</f>
        <v>69.28</v>
      </c>
      <c r="F440" s="5" t="n">
        <f aca="false">IFERROR(__xludf.dummyfunction("""COMPUTED_VALUE"""),16120328)</f>
        <v>16120328</v>
      </c>
    </row>
    <row r="441" customFormat="false" ht="15.75" hidden="false" customHeight="false" outlineLevel="0" collapsed="false">
      <c r="A441" s="6" t="n">
        <f aca="false">IFERROR(__xludf.dummyfunction("""COMPUTED_VALUE"""),44834.6666666667)</f>
        <v>44834.6666666667</v>
      </c>
      <c r="B441" s="5" t="n">
        <f aca="false">IFERROR(__xludf.dummyfunction("""COMPUTED_VALUE"""),67.81)</f>
        <v>67.81</v>
      </c>
      <c r="C441" s="5" t="n">
        <f aca="false">IFERROR(__xludf.dummyfunction("""COMPUTED_VALUE"""),69.65)</f>
        <v>69.65</v>
      </c>
      <c r="D441" s="5" t="n">
        <f aca="false">IFERROR(__xludf.dummyfunction("""COMPUTED_VALUE"""),67.74)</f>
        <v>67.74</v>
      </c>
      <c r="E441" s="5" t="n">
        <f aca="false">IFERROR(__xludf.dummyfunction("""COMPUTED_VALUE"""),68.56)</f>
        <v>68.56</v>
      </c>
      <c r="F441" s="5" t="n">
        <f aca="false">IFERROR(__xludf.dummyfunction("""COMPUTED_VALUE"""),10472365)</f>
        <v>10472365</v>
      </c>
    </row>
    <row r="442" customFormat="false" ht="15.75" hidden="false" customHeight="false" outlineLevel="0" collapsed="false">
      <c r="A442" s="6" t="n">
        <f aca="false">IFERROR(__xludf.dummyfunction("""COMPUTED_VALUE"""),44837.6666666667)</f>
        <v>44837.6666666667</v>
      </c>
      <c r="B442" s="5" t="n">
        <f aca="false">IFERROR(__xludf.dummyfunction("""COMPUTED_VALUE"""),68.08)</f>
        <v>68.08</v>
      </c>
      <c r="C442" s="5" t="n">
        <f aca="false">IFERROR(__xludf.dummyfunction("""COMPUTED_VALUE"""),69.57)</f>
        <v>69.57</v>
      </c>
      <c r="D442" s="5" t="n">
        <f aca="false">IFERROR(__xludf.dummyfunction("""COMPUTED_VALUE"""),67.65)</f>
        <v>67.65</v>
      </c>
      <c r="E442" s="5" t="n">
        <f aca="false">IFERROR(__xludf.dummyfunction("""COMPUTED_VALUE"""),69.25)</f>
        <v>69.25</v>
      </c>
      <c r="F442" s="5" t="n">
        <f aca="false">IFERROR(__xludf.dummyfunction("""COMPUTED_VALUE"""),11945087)</f>
        <v>11945087</v>
      </c>
    </row>
    <row r="443" customFormat="false" ht="15.75" hidden="false" customHeight="false" outlineLevel="0" collapsed="false">
      <c r="A443" s="6" t="n">
        <f aca="false">IFERROR(__xludf.dummyfunction("""COMPUTED_VALUE"""),44838.6666666667)</f>
        <v>44838.6666666667</v>
      </c>
      <c r="B443" s="5" t="n">
        <f aca="false">IFERROR(__xludf.dummyfunction("""COMPUTED_VALUE"""),70.8)</f>
        <v>70.8</v>
      </c>
      <c r="C443" s="5" t="n">
        <f aca="false">IFERROR(__xludf.dummyfunction("""COMPUTED_VALUE"""),72.93)</f>
        <v>72.93</v>
      </c>
      <c r="D443" s="5" t="n">
        <f aca="false">IFERROR(__xludf.dummyfunction("""COMPUTED_VALUE"""),70.72)</f>
        <v>70.72</v>
      </c>
      <c r="E443" s="5" t="n">
        <f aca="false">IFERROR(__xludf.dummyfunction("""COMPUTED_VALUE"""),72.81)</f>
        <v>72.81</v>
      </c>
      <c r="F443" s="5" t="n">
        <f aca="false">IFERROR(__xludf.dummyfunction("""COMPUTED_VALUE"""),14900686)</f>
        <v>14900686</v>
      </c>
    </row>
    <row r="444" customFormat="false" ht="15.75" hidden="false" customHeight="false" outlineLevel="0" collapsed="false">
      <c r="A444" s="6" t="n">
        <f aca="false">IFERROR(__xludf.dummyfunction("""COMPUTED_VALUE"""),44839.6666666667)</f>
        <v>44839.6666666667</v>
      </c>
      <c r="B444" s="5" t="n">
        <f aca="false">IFERROR(__xludf.dummyfunction("""COMPUTED_VALUE"""),72.92)</f>
        <v>72.92</v>
      </c>
      <c r="C444" s="5" t="n">
        <f aca="false">IFERROR(__xludf.dummyfunction("""COMPUTED_VALUE"""),74.91)</f>
        <v>74.91</v>
      </c>
      <c r="D444" s="5" t="n">
        <f aca="false">IFERROR(__xludf.dummyfunction("""COMPUTED_VALUE"""),72.58)</f>
        <v>72.58</v>
      </c>
      <c r="E444" s="5" t="n">
        <f aca="false">IFERROR(__xludf.dummyfunction("""COMPUTED_VALUE"""),74.48)</f>
        <v>74.48</v>
      </c>
      <c r="F444" s="5" t="n">
        <f aca="false">IFERROR(__xludf.dummyfunction("""COMPUTED_VALUE"""),14037149)</f>
        <v>14037149</v>
      </c>
    </row>
    <row r="445" customFormat="false" ht="15.75" hidden="false" customHeight="false" outlineLevel="0" collapsed="false">
      <c r="A445" s="6" t="n">
        <f aca="false">IFERROR(__xludf.dummyfunction("""COMPUTED_VALUE"""),44840.6666666667)</f>
        <v>44840.6666666667</v>
      </c>
      <c r="B445" s="5" t="n">
        <f aca="false">IFERROR(__xludf.dummyfunction("""COMPUTED_VALUE"""),73.97)</f>
        <v>73.97</v>
      </c>
      <c r="C445" s="5" t="n">
        <f aca="false">IFERROR(__xludf.dummyfunction("""COMPUTED_VALUE"""),74.92)</f>
        <v>74.92</v>
      </c>
      <c r="D445" s="5" t="n">
        <f aca="false">IFERROR(__xludf.dummyfunction("""COMPUTED_VALUE"""),73.86)</f>
        <v>73.86</v>
      </c>
      <c r="E445" s="5" t="n">
        <f aca="false">IFERROR(__xludf.dummyfunction("""COMPUTED_VALUE"""),74.35)</f>
        <v>74.35</v>
      </c>
      <c r="F445" s="5" t="n">
        <f aca="false">IFERROR(__xludf.dummyfunction("""COMPUTED_VALUE"""),11796844)</f>
        <v>11796844</v>
      </c>
    </row>
    <row r="446" customFormat="false" ht="15.75" hidden="false" customHeight="false" outlineLevel="0" collapsed="false">
      <c r="A446" s="6" t="n">
        <f aca="false">IFERROR(__xludf.dummyfunction("""COMPUTED_VALUE"""),44841.6666666667)</f>
        <v>44841.6666666667</v>
      </c>
      <c r="B446" s="5" t="n">
        <f aca="false">IFERROR(__xludf.dummyfunction("""COMPUTED_VALUE"""),71.81)</f>
        <v>71.81</v>
      </c>
      <c r="C446" s="5" t="n">
        <f aca="false">IFERROR(__xludf.dummyfunction("""COMPUTED_VALUE"""),72.03)</f>
        <v>72.03</v>
      </c>
      <c r="D446" s="5" t="n">
        <f aca="false">IFERROR(__xludf.dummyfunction("""COMPUTED_VALUE"""),69.75)</f>
        <v>69.75</v>
      </c>
      <c r="E446" s="5" t="n">
        <f aca="false">IFERROR(__xludf.dummyfunction("""COMPUTED_VALUE"""),69.75)</f>
        <v>69.75</v>
      </c>
      <c r="F446" s="5" t="n">
        <f aca="false">IFERROR(__xludf.dummyfunction("""COMPUTED_VALUE"""),14758622)</f>
        <v>14758622</v>
      </c>
    </row>
    <row r="447" customFormat="false" ht="15.75" hidden="false" customHeight="false" outlineLevel="0" collapsed="false">
      <c r="A447" s="6" t="n">
        <f aca="false">IFERROR(__xludf.dummyfunction("""COMPUTED_VALUE"""),44844.6666666667)</f>
        <v>44844.6666666667</v>
      </c>
      <c r="B447" s="5" t="n">
        <f aca="false">IFERROR(__xludf.dummyfunction("""COMPUTED_VALUE"""),69.85)</f>
        <v>69.85</v>
      </c>
      <c r="C447" s="5" t="n">
        <f aca="false">IFERROR(__xludf.dummyfunction("""COMPUTED_VALUE"""),69.88)</f>
        <v>69.88</v>
      </c>
      <c r="D447" s="5" t="n">
        <f aca="false">IFERROR(__xludf.dummyfunction("""COMPUTED_VALUE"""),67.01)</f>
        <v>67.01</v>
      </c>
      <c r="E447" s="5" t="n">
        <f aca="false">IFERROR(__xludf.dummyfunction("""COMPUTED_VALUE"""),67.44)</f>
        <v>67.44</v>
      </c>
      <c r="F447" s="5" t="n">
        <f aca="false">IFERROR(__xludf.dummyfunction("""COMPUTED_VALUE"""),16042221)</f>
        <v>16042221</v>
      </c>
    </row>
    <row r="448" customFormat="false" ht="15.75" hidden="false" customHeight="false" outlineLevel="0" collapsed="false">
      <c r="A448" s="6" t="n">
        <f aca="false">IFERROR(__xludf.dummyfunction("""COMPUTED_VALUE"""),44845.6666666667)</f>
        <v>44845.6666666667</v>
      </c>
      <c r="B448" s="5" t="n">
        <f aca="false">IFERROR(__xludf.dummyfunction("""COMPUTED_VALUE"""),64.2)</f>
        <v>64.2</v>
      </c>
      <c r="C448" s="5" t="n">
        <f aca="false">IFERROR(__xludf.dummyfunction("""COMPUTED_VALUE"""),64.91)</f>
        <v>64.91</v>
      </c>
      <c r="D448" s="5" t="n">
        <f aca="false">IFERROR(__xludf.dummyfunction("""COMPUTED_VALUE"""),62.62)</f>
        <v>62.62</v>
      </c>
      <c r="E448" s="5" t="n">
        <f aca="false">IFERROR(__xludf.dummyfunction("""COMPUTED_VALUE"""),63.45)</f>
        <v>63.45</v>
      </c>
      <c r="F448" s="5" t="n">
        <f aca="false">IFERROR(__xludf.dummyfunction("""COMPUTED_VALUE"""),28699310)</f>
        <v>28699310</v>
      </c>
    </row>
    <row r="449" customFormat="false" ht="15.75" hidden="false" customHeight="false" outlineLevel="0" collapsed="false">
      <c r="A449" s="6" t="n">
        <f aca="false">IFERROR(__xludf.dummyfunction("""COMPUTED_VALUE"""),44846.6666666667)</f>
        <v>44846.6666666667</v>
      </c>
      <c r="B449" s="5" t="n">
        <f aca="false">IFERROR(__xludf.dummyfunction("""COMPUTED_VALUE"""),63.6)</f>
        <v>63.6</v>
      </c>
      <c r="C449" s="5" t="n">
        <f aca="false">IFERROR(__xludf.dummyfunction("""COMPUTED_VALUE"""),64.23)</f>
        <v>64.23</v>
      </c>
      <c r="D449" s="5" t="n">
        <f aca="false">IFERROR(__xludf.dummyfunction("""COMPUTED_VALUE"""),63.37)</f>
        <v>63.37</v>
      </c>
      <c r="E449" s="5" t="n">
        <f aca="false">IFERROR(__xludf.dummyfunction("""COMPUTED_VALUE"""),64.11)</f>
        <v>64.11</v>
      </c>
      <c r="F449" s="5" t="n">
        <f aca="false">IFERROR(__xludf.dummyfunction("""COMPUTED_VALUE"""),16468679)</f>
        <v>16468679</v>
      </c>
    </row>
    <row r="450" customFormat="false" ht="15.75" hidden="false" customHeight="false" outlineLevel="0" collapsed="false">
      <c r="A450" s="6" t="n">
        <f aca="false">IFERROR(__xludf.dummyfunction("""COMPUTED_VALUE"""),44847.6666666667)</f>
        <v>44847.6666666667</v>
      </c>
      <c r="B450" s="5" t="n">
        <f aca="false">IFERROR(__xludf.dummyfunction("""COMPUTED_VALUE"""),63.06)</f>
        <v>63.06</v>
      </c>
      <c r="C450" s="5" t="n">
        <f aca="false">IFERROR(__xludf.dummyfunction("""COMPUTED_VALUE"""),70.2)</f>
        <v>70.2</v>
      </c>
      <c r="D450" s="5" t="n">
        <f aca="false">IFERROR(__xludf.dummyfunction("""COMPUTED_VALUE"""),62.32)</f>
        <v>62.32</v>
      </c>
      <c r="E450" s="5" t="n">
        <f aca="false">IFERROR(__xludf.dummyfunction("""COMPUTED_VALUE"""),66.62)</f>
        <v>66.62</v>
      </c>
      <c r="F450" s="5" t="n">
        <f aca="false">IFERROR(__xludf.dummyfunction("""COMPUTED_VALUE"""),36639339)</f>
        <v>36639339</v>
      </c>
    </row>
    <row r="451" customFormat="false" ht="15.75" hidden="false" customHeight="false" outlineLevel="0" collapsed="false">
      <c r="A451" s="6" t="n">
        <f aca="false">IFERROR(__xludf.dummyfunction("""COMPUTED_VALUE"""),44848.6666666667)</f>
        <v>44848.6666666667</v>
      </c>
      <c r="B451" s="5" t="n">
        <f aca="false">IFERROR(__xludf.dummyfunction("""COMPUTED_VALUE"""),67.26)</f>
        <v>67.26</v>
      </c>
      <c r="C451" s="5" t="n">
        <f aca="false">IFERROR(__xludf.dummyfunction("""COMPUTED_VALUE"""),67.45)</f>
        <v>67.45</v>
      </c>
      <c r="D451" s="5" t="n">
        <f aca="false">IFERROR(__xludf.dummyfunction("""COMPUTED_VALUE"""),63.78)</f>
        <v>63.78</v>
      </c>
      <c r="E451" s="5" t="n">
        <f aca="false">IFERROR(__xludf.dummyfunction("""COMPUTED_VALUE"""),63.92)</f>
        <v>63.92</v>
      </c>
      <c r="F451" s="5" t="n">
        <f aca="false">IFERROR(__xludf.dummyfunction("""COMPUTED_VALUE"""),19453090)</f>
        <v>19453090</v>
      </c>
    </row>
    <row r="452" customFormat="false" ht="15.75" hidden="false" customHeight="false" outlineLevel="0" collapsed="false">
      <c r="A452" s="6" t="n">
        <f aca="false">IFERROR(__xludf.dummyfunction("""COMPUTED_VALUE"""),44851.6666666667)</f>
        <v>44851.6666666667</v>
      </c>
      <c r="B452" s="5" t="n">
        <f aca="false">IFERROR(__xludf.dummyfunction("""COMPUTED_VALUE"""),64.98)</f>
        <v>64.98</v>
      </c>
      <c r="C452" s="5" t="n">
        <f aca="false">IFERROR(__xludf.dummyfunction("""COMPUTED_VALUE"""),65.35)</f>
        <v>65.35</v>
      </c>
      <c r="D452" s="5" t="n">
        <f aca="false">IFERROR(__xludf.dummyfunction("""COMPUTED_VALUE"""),64.04)</f>
        <v>64.04</v>
      </c>
      <c r="E452" s="5" t="n">
        <f aca="false">IFERROR(__xludf.dummyfunction("""COMPUTED_VALUE"""),64.89)</f>
        <v>64.89</v>
      </c>
      <c r="F452" s="5" t="n">
        <f aca="false">IFERROR(__xludf.dummyfunction("""COMPUTED_VALUE"""),11280071)</f>
        <v>11280071</v>
      </c>
    </row>
    <row r="453" customFormat="false" ht="15.75" hidden="false" customHeight="false" outlineLevel="0" collapsed="false">
      <c r="A453" s="6" t="n">
        <f aca="false">IFERROR(__xludf.dummyfunction("""COMPUTED_VALUE"""),44852.6666666667)</f>
        <v>44852.6666666667</v>
      </c>
      <c r="B453" s="5" t="n">
        <f aca="false">IFERROR(__xludf.dummyfunction("""COMPUTED_VALUE"""),65.9)</f>
        <v>65.9</v>
      </c>
      <c r="C453" s="5" t="n">
        <f aca="false">IFERROR(__xludf.dummyfunction("""COMPUTED_VALUE"""),66.11)</f>
        <v>66.11</v>
      </c>
      <c r="D453" s="5" t="n">
        <f aca="false">IFERROR(__xludf.dummyfunction("""COMPUTED_VALUE"""),62.78)</f>
        <v>62.78</v>
      </c>
      <c r="E453" s="5" t="n">
        <f aca="false">IFERROR(__xludf.dummyfunction("""COMPUTED_VALUE"""),63.71)</f>
        <v>63.71</v>
      </c>
      <c r="F453" s="5" t="n">
        <f aca="false">IFERROR(__xludf.dummyfunction("""COMPUTED_VALUE"""),16656129)</f>
        <v>16656129</v>
      </c>
    </row>
    <row r="454" customFormat="false" ht="15.75" hidden="false" customHeight="false" outlineLevel="0" collapsed="false">
      <c r="A454" s="6" t="n">
        <f aca="false">IFERROR(__xludf.dummyfunction("""COMPUTED_VALUE"""),44853.6666666667)</f>
        <v>44853.6666666667</v>
      </c>
      <c r="B454" s="5" t="n">
        <f aca="false">IFERROR(__xludf.dummyfunction("""COMPUTED_VALUE"""),62.74)</f>
        <v>62.74</v>
      </c>
      <c r="C454" s="5" t="n">
        <f aca="false">IFERROR(__xludf.dummyfunction("""COMPUTED_VALUE"""),64.11)</f>
        <v>64.11</v>
      </c>
      <c r="D454" s="5" t="n">
        <f aca="false">IFERROR(__xludf.dummyfunction("""COMPUTED_VALUE"""),62.17)</f>
        <v>62.17</v>
      </c>
      <c r="E454" s="5" t="n">
        <f aca="false">IFERROR(__xludf.dummyfunction("""COMPUTED_VALUE"""),63.66)</f>
        <v>63.66</v>
      </c>
      <c r="F454" s="5" t="n">
        <f aca="false">IFERROR(__xludf.dummyfunction("""COMPUTED_VALUE"""),12385218)</f>
        <v>12385218</v>
      </c>
    </row>
    <row r="455" customFormat="false" ht="15.75" hidden="false" customHeight="false" outlineLevel="0" collapsed="false">
      <c r="A455" s="6" t="n">
        <f aca="false">IFERROR(__xludf.dummyfunction("""COMPUTED_VALUE"""),44854.6666666667)</f>
        <v>44854.6666666667</v>
      </c>
      <c r="B455" s="5" t="n">
        <f aca="false">IFERROR(__xludf.dummyfunction("""COMPUTED_VALUE"""),63.75)</f>
        <v>63.75</v>
      </c>
      <c r="C455" s="5" t="n">
        <f aca="false">IFERROR(__xludf.dummyfunction("""COMPUTED_VALUE"""),65.28)</f>
        <v>65.28</v>
      </c>
      <c r="D455" s="5" t="n">
        <f aca="false">IFERROR(__xludf.dummyfunction("""COMPUTED_VALUE"""),63.38)</f>
        <v>63.38</v>
      </c>
      <c r="E455" s="5" t="n">
        <f aca="false">IFERROR(__xludf.dummyfunction("""COMPUTED_VALUE"""),63.58)</f>
        <v>63.58</v>
      </c>
      <c r="F455" s="5" t="n">
        <f aca="false">IFERROR(__xludf.dummyfunction("""COMPUTED_VALUE"""),11300915)</f>
        <v>11300915</v>
      </c>
    </row>
    <row r="456" customFormat="false" ht="15.75" hidden="false" customHeight="false" outlineLevel="0" collapsed="false">
      <c r="A456" s="6" t="n">
        <f aca="false">IFERROR(__xludf.dummyfunction("""COMPUTED_VALUE"""),44855.6666666667)</f>
        <v>44855.6666666667</v>
      </c>
      <c r="B456" s="5" t="n">
        <f aca="false">IFERROR(__xludf.dummyfunction("""COMPUTED_VALUE"""),62.02)</f>
        <v>62.02</v>
      </c>
      <c r="C456" s="5" t="n">
        <f aca="false">IFERROR(__xludf.dummyfunction("""COMPUTED_VALUE"""),63.78)</f>
        <v>63.78</v>
      </c>
      <c r="D456" s="5" t="n">
        <f aca="false">IFERROR(__xludf.dummyfunction("""COMPUTED_VALUE"""),62.02)</f>
        <v>62.02</v>
      </c>
      <c r="E456" s="5" t="n">
        <f aca="false">IFERROR(__xludf.dummyfunction("""COMPUTED_VALUE"""),63.75)</f>
        <v>63.75</v>
      </c>
      <c r="F456" s="5" t="n">
        <f aca="false">IFERROR(__xludf.dummyfunction("""COMPUTED_VALUE"""),13699010)</f>
        <v>13699010</v>
      </c>
    </row>
    <row r="457" customFormat="false" ht="15.75" hidden="false" customHeight="false" outlineLevel="0" collapsed="false">
      <c r="A457" s="6" t="n">
        <f aca="false">IFERROR(__xludf.dummyfunction("""COMPUTED_VALUE"""),44858.6666666667)</f>
        <v>44858.6666666667</v>
      </c>
      <c r="B457" s="5" t="n">
        <f aca="false">IFERROR(__xludf.dummyfunction("""COMPUTED_VALUE"""),60.58)</f>
        <v>60.58</v>
      </c>
      <c r="C457" s="5" t="n">
        <f aca="false">IFERROR(__xludf.dummyfunction("""COMPUTED_VALUE"""),61.62)</f>
        <v>61.62</v>
      </c>
      <c r="D457" s="5" t="n">
        <f aca="false">IFERROR(__xludf.dummyfunction("""COMPUTED_VALUE"""),59.68)</f>
        <v>59.68</v>
      </c>
      <c r="E457" s="5" t="n">
        <f aca="false">IFERROR(__xludf.dummyfunction("""COMPUTED_VALUE"""),61.29)</f>
        <v>61.29</v>
      </c>
      <c r="F457" s="5" t="n">
        <f aca="false">IFERROR(__xludf.dummyfunction("""COMPUTED_VALUE"""),25010771)</f>
        <v>25010771</v>
      </c>
    </row>
    <row r="458" customFormat="false" ht="15.75" hidden="false" customHeight="false" outlineLevel="0" collapsed="false">
      <c r="A458" s="6" t="n">
        <f aca="false">IFERROR(__xludf.dummyfunction("""COMPUTED_VALUE"""),44859.6666666667)</f>
        <v>44859.6666666667</v>
      </c>
      <c r="B458" s="5" t="n">
        <f aca="false">IFERROR(__xludf.dummyfunction("""COMPUTED_VALUE"""),59.96)</f>
        <v>59.96</v>
      </c>
      <c r="C458" s="5" t="n">
        <f aca="false">IFERROR(__xludf.dummyfunction("""COMPUTED_VALUE"""),61.36)</f>
        <v>61.36</v>
      </c>
      <c r="D458" s="5" t="n">
        <f aca="false">IFERROR(__xludf.dummyfunction("""COMPUTED_VALUE"""),59.51)</f>
        <v>59.51</v>
      </c>
      <c r="E458" s="5" t="n">
        <f aca="false">IFERROR(__xludf.dummyfunction("""COMPUTED_VALUE"""),61.14)</f>
        <v>61.14</v>
      </c>
      <c r="F458" s="5" t="n">
        <f aca="false">IFERROR(__xludf.dummyfunction("""COMPUTED_VALUE"""),21700580)</f>
        <v>21700580</v>
      </c>
    </row>
    <row r="459" customFormat="false" ht="15.75" hidden="false" customHeight="false" outlineLevel="0" collapsed="false">
      <c r="A459" s="6" t="n">
        <f aca="false">IFERROR(__xludf.dummyfunction("""COMPUTED_VALUE"""),44860.6666666667)</f>
        <v>44860.6666666667</v>
      </c>
      <c r="B459" s="5" t="n">
        <f aca="false">IFERROR(__xludf.dummyfunction("""COMPUTED_VALUE"""),60.86)</f>
        <v>60.86</v>
      </c>
      <c r="C459" s="5" t="n">
        <f aca="false">IFERROR(__xludf.dummyfunction("""COMPUTED_VALUE"""),61.98)</f>
        <v>61.98</v>
      </c>
      <c r="D459" s="5" t="n">
        <f aca="false">IFERROR(__xludf.dummyfunction("""COMPUTED_VALUE"""),60.43)</f>
        <v>60.43</v>
      </c>
      <c r="E459" s="5" t="n">
        <f aca="false">IFERROR(__xludf.dummyfunction("""COMPUTED_VALUE"""),60.84)</f>
        <v>60.84</v>
      </c>
      <c r="F459" s="5" t="n">
        <f aca="false">IFERROR(__xludf.dummyfunction("""COMPUTED_VALUE"""),14048822)</f>
        <v>14048822</v>
      </c>
    </row>
    <row r="460" customFormat="false" ht="15.75" hidden="false" customHeight="false" outlineLevel="0" collapsed="false">
      <c r="A460" s="6" t="n">
        <f aca="false">IFERROR(__xludf.dummyfunction("""COMPUTED_VALUE"""),44861.6666666667)</f>
        <v>44861.6666666667</v>
      </c>
      <c r="B460" s="5" t="n">
        <f aca="false">IFERROR(__xludf.dummyfunction("""COMPUTED_VALUE"""),61.85)</f>
        <v>61.85</v>
      </c>
      <c r="C460" s="5" t="n">
        <f aca="false">IFERROR(__xludf.dummyfunction("""COMPUTED_VALUE"""),62.45)</f>
        <v>62.45</v>
      </c>
      <c r="D460" s="5" t="n">
        <f aca="false">IFERROR(__xludf.dummyfunction("""COMPUTED_VALUE"""),60.91)</f>
        <v>60.91</v>
      </c>
      <c r="E460" s="5" t="n">
        <f aca="false">IFERROR(__xludf.dummyfunction("""COMPUTED_VALUE"""),60.95)</f>
        <v>60.95</v>
      </c>
      <c r="F460" s="5" t="n">
        <f aca="false">IFERROR(__xludf.dummyfunction("""COMPUTED_VALUE"""),12937561)</f>
        <v>12937561</v>
      </c>
    </row>
    <row r="461" customFormat="false" ht="15.75" hidden="false" customHeight="false" outlineLevel="0" collapsed="false">
      <c r="A461" s="6" t="n">
        <f aca="false">IFERROR(__xludf.dummyfunction("""COMPUTED_VALUE"""),44862.6666666667)</f>
        <v>44862.6666666667</v>
      </c>
      <c r="B461" s="5" t="n">
        <f aca="false">IFERROR(__xludf.dummyfunction("""COMPUTED_VALUE"""),60.77)</f>
        <v>60.77</v>
      </c>
      <c r="C461" s="5" t="n">
        <f aca="false">IFERROR(__xludf.dummyfunction("""COMPUTED_VALUE"""),62.03)</f>
        <v>62.03</v>
      </c>
      <c r="D461" s="5" t="n">
        <f aca="false">IFERROR(__xludf.dummyfunction("""COMPUTED_VALUE"""),60.07)</f>
        <v>60.07</v>
      </c>
      <c r="E461" s="5" t="n">
        <f aca="false">IFERROR(__xludf.dummyfunction("""COMPUTED_VALUE"""),62.01)</f>
        <v>62.01</v>
      </c>
      <c r="F461" s="5" t="n">
        <f aca="false">IFERROR(__xludf.dummyfunction("""COMPUTED_VALUE"""),11972333)</f>
        <v>11972333</v>
      </c>
    </row>
    <row r="462" customFormat="false" ht="15.75" hidden="false" customHeight="false" outlineLevel="0" collapsed="false">
      <c r="A462" s="6" t="n">
        <f aca="false">IFERROR(__xludf.dummyfunction("""COMPUTED_VALUE"""),44865.6666666667)</f>
        <v>44865.6666666667</v>
      </c>
      <c r="B462" s="5" t="n">
        <f aca="false">IFERROR(__xludf.dummyfunction("""COMPUTED_VALUE"""),61.59)</f>
        <v>61.59</v>
      </c>
      <c r="C462" s="5" t="n">
        <f aca="false">IFERROR(__xludf.dummyfunction("""COMPUTED_VALUE"""),62.27)</f>
        <v>62.27</v>
      </c>
      <c r="D462" s="5" t="n">
        <f aca="false">IFERROR(__xludf.dummyfunction("""COMPUTED_VALUE"""),61.07)</f>
        <v>61.07</v>
      </c>
      <c r="E462" s="5" t="n">
        <f aca="false">IFERROR(__xludf.dummyfunction("""COMPUTED_VALUE"""),61.55)</f>
        <v>61.55</v>
      </c>
      <c r="F462" s="5" t="n">
        <f aca="false">IFERROR(__xludf.dummyfunction("""COMPUTED_VALUE"""),10802817)</f>
        <v>10802817</v>
      </c>
    </row>
    <row r="463" customFormat="false" ht="15.75" hidden="false" customHeight="false" outlineLevel="0" collapsed="false">
      <c r="A463" s="6" t="n">
        <f aca="false">IFERROR(__xludf.dummyfunction("""COMPUTED_VALUE"""),44866.6666666667)</f>
        <v>44866.6666666667</v>
      </c>
      <c r="B463" s="5" t="n">
        <f aca="false">IFERROR(__xludf.dummyfunction("""COMPUTED_VALUE"""),63.26)</f>
        <v>63.26</v>
      </c>
      <c r="C463" s="5" t="n">
        <f aca="false">IFERROR(__xludf.dummyfunction("""COMPUTED_VALUE"""),63.43)</f>
        <v>63.43</v>
      </c>
      <c r="D463" s="5" t="n">
        <f aca="false">IFERROR(__xludf.dummyfunction("""COMPUTED_VALUE"""),61.58)</f>
        <v>61.58</v>
      </c>
      <c r="E463" s="5" t="n">
        <f aca="false">IFERROR(__xludf.dummyfunction("""COMPUTED_VALUE"""),61.58)</f>
        <v>61.58</v>
      </c>
      <c r="F463" s="5" t="n">
        <f aca="false">IFERROR(__xludf.dummyfunction("""COMPUTED_VALUE"""),11561899)</f>
        <v>11561899</v>
      </c>
    </row>
    <row r="464" customFormat="false" ht="15.75" hidden="false" customHeight="false" outlineLevel="0" collapsed="false">
      <c r="A464" s="6" t="n">
        <f aca="false">IFERROR(__xludf.dummyfunction("""COMPUTED_VALUE"""),44867.6666666667)</f>
        <v>44867.6666666667</v>
      </c>
      <c r="B464" s="5" t="n">
        <f aca="false">IFERROR(__xludf.dummyfunction("""COMPUTED_VALUE"""),62.5)</f>
        <v>62.5</v>
      </c>
      <c r="C464" s="5" t="n">
        <f aca="false">IFERROR(__xludf.dummyfunction("""COMPUTED_VALUE"""),62.89)</f>
        <v>62.89</v>
      </c>
      <c r="D464" s="5" t="n">
        <f aca="false">IFERROR(__xludf.dummyfunction("""COMPUTED_VALUE"""),60.52)</f>
        <v>60.52</v>
      </c>
      <c r="E464" s="5" t="n">
        <f aca="false">IFERROR(__xludf.dummyfunction("""COMPUTED_VALUE"""),60.52)</f>
        <v>60.52</v>
      </c>
      <c r="F464" s="5" t="n">
        <f aca="false">IFERROR(__xludf.dummyfunction("""COMPUTED_VALUE"""),16552942)</f>
        <v>16552942</v>
      </c>
    </row>
    <row r="465" customFormat="false" ht="15.75" hidden="false" customHeight="false" outlineLevel="0" collapsed="false">
      <c r="A465" s="6" t="n">
        <f aca="false">IFERROR(__xludf.dummyfunction("""COMPUTED_VALUE"""),44868.6666666667)</f>
        <v>44868.6666666667</v>
      </c>
      <c r="B465" s="5" t="n">
        <f aca="false">IFERROR(__xludf.dummyfunction("""COMPUTED_VALUE"""),60)</f>
        <v>60</v>
      </c>
      <c r="C465" s="5" t="n">
        <f aca="false">IFERROR(__xludf.dummyfunction("""COMPUTED_VALUE"""),60.89)</f>
        <v>60.89</v>
      </c>
      <c r="D465" s="5" t="n">
        <f aca="false">IFERROR(__xludf.dummyfunction("""COMPUTED_VALUE"""),59.43)</f>
        <v>59.43</v>
      </c>
      <c r="E465" s="5" t="n">
        <f aca="false">IFERROR(__xludf.dummyfunction("""COMPUTED_VALUE"""),60.28)</f>
        <v>60.28</v>
      </c>
      <c r="F465" s="5" t="n">
        <f aca="false">IFERROR(__xludf.dummyfunction("""COMPUTED_VALUE"""),11040914)</f>
        <v>11040914</v>
      </c>
    </row>
    <row r="466" customFormat="false" ht="15.75" hidden="false" customHeight="false" outlineLevel="0" collapsed="false">
      <c r="A466" s="6" t="n">
        <f aca="false">IFERROR(__xludf.dummyfunction("""COMPUTED_VALUE"""),44869.6666666667)</f>
        <v>44869.6666666667</v>
      </c>
      <c r="B466" s="5" t="n">
        <f aca="false">IFERROR(__xludf.dummyfunction("""COMPUTED_VALUE"""),61.51)</f>
        <v>61.51</v>
      </c>
      <c r="C466" s="5" t="n">
        <f aca="false">IFERROR(__xludf.dummyfunction("""COMPUTED_VALUE"""),62.5)</f>
        <v>62.5</v>
      </c>
      <c r="D466" s="5" t="n">
        <f aca="false">IFERROR(__xludf.dummyfunction("""COMPUTED_VALUE"""),61.02)</f>
        <v>61.02</v>
      </c>
      <c r="E466" s="5" t="n">
        <f aca="false">IFERROR(__xludf.dummyfunction("""COMPUTED_VALUE"""),62.48)</f>
        <v>62.48</v>
      </c>
      <c r="F466" s="5" t="n">
        <f aca="false">IFERROR(__xludf.dummyfunction("""COMPUTED_VALUE"""),12786052)</f>
        <v>12786052</v>
      </c>
    </row>
    <row r="467" customFormat="false" ht="15.75" hidden="false" customHeight="false" outlineLevel="0" collapsed="false">
      <c r="A467" s="6" t="n">
        <f aca="false">IFERROR(__xludf.dummyfunction("""COMPUTED_VALUE"""),44872.6666666667)</f>
        <v>44872.6666666667</v>
      </c>
      <c r="B467" s="5" t="n">
        <f aca="false">IFERROR(__xludf.dummyfunction("""COMPUTED_VALUE"""),62.62)</f>
        <v>62.62</v>
      </c>
      <c r="C467" s="5" t="n">
        <f aca="false">IFERROR(__xludf.dummyfunction("""COMPUTED_VALUE"""),62.93)</f>
        <v>62.93</v>
      </c>
      <c r="D467" s="5" t="n">
        <f aca="false">IFERROR(__xludf.dummyfunction("""COMPUTED_VALUE"""),61.97)</f>
        <v>61.97</v>
      </c>
      <c r="E467" s="5" t="n">
        <f aca="false">IFERROR(__xludf.dummyfunction("""COMPUTED_VALUE"""),62.76)</f>
        <v>62.76</v>
      </c>
      <c r="F467" s="5" t="n">
        <f aca="false">IFERROR(__xludf.dummyfunction("""COMPUTED_VALUE"""),8507052)</f>
        <v>8507052</v>
      </c>
    </row>
    <row r="468" customFormat="false" ht="15.75" hidden="false" customHeight="false" outlineLevel="0" collapsed="false">
      <c r="A468" s="6" t="n">
        <f aca="false">IFERROR(__xludf.dummyfunction("""COMPUTED_VALUE"""),44873.6666666667)</f>
        <v>44873.6666666667</v>
      </c>
      <c r="B468" s="5" t="n">
        <f aca="false">IFERROR(__xludf.dummyfunction("""COMPUTED_VALUE"""),64.37)</f>
        <v>64.37</v>
      </c>
      <c r="C468" s="5" t="n">
        <f aca="false">IFERROR(__xludf.dummyfunction("""COMPUTED_VALUE"""),65.75)</f>
        <v>65.75</v>
      </c>
      <c r="D468" s="5" t="n">
        <f aca="false">IFERROR(__xludf.dummyfunction("""COMPUTED_VALUE"""),64.22)</f>
        <v>64.22</v>
      </c>
      <c r="E468" s="5" t="n">
        <f aca="false">IFERROR(__xludf.dummyfunction("""COMPUTED_VALUE"""),65.02)</f>
        <v>65.02</v>
      </c>
      <c r="F468" s="5" t="n">
        <f aca="false">IFERROR(__xludf.dummyfunction("""COMPUTED_VALUE"""),14102799)</f>
        <v>14102799</v>
      </c>
    </row>
    <row r="469" customFormat="false" ht="15.75" hidden="false" customHeight="false" outlineLevel="0" collapsed="false">
      <c r="A469" s="6" t="n">
        <f aca="false">IFERROR(__xludf.dummyfunction("""COMPUTED_VALUE"""),44874.6666666667)</f>
        <v>44874.6666666667</v>
      </c>
      <c r="B469" s="5" t="n">
        <f aca="false">IFERROR(__xludf.dummyfunction("""COMPUTED_VALUE"""),66.53)</f>
        <v>66.53</v>
      </c>
      <c r="C469" s="5" t="n">
        <f aca="false">IFERROR(__xludf.dummyfunction("""COMPUTED_VALUE"""),66.6)</f>
        <v>66.6</v>
      </c>
      <c r="D469" s="5" t="n">
        <f aca="false">IFERROR(__xludf.dummyfunction("""COMPUTED_VALUE"""),64.95)</f>
        <v>64.95</v>
      </c>
      <c r="E469" s="5" t="n">
        <f aca="false">IFERROR(__xludf.dummyfunction("""COMPUTED_VALUE"""),65)</f>
        <v>65</v>
      </c>
      <c r="F469" s="5" t="n">
        <f aca="false">IFERROR(__xludf.dummyfunction("""COMPUTED_VALUE"""),15086801)</f>
        <v>15086801</v>
      </c>
    </row>
    <row r="470" customFormat="false" ht="15.75" hidden="false" customHeight="false" outlineLevel="0" collapsed="false">
      <c r="A470" s="6" t="n">
        <f aca="false">IFERROR(__xludf.dummyfunction("""COMPUTED_VALUE"""),44875.6666666667)</f>
        <v>44875.6666666667</v>
      </c>
      <c r="B470" s="5" t="n">
        <f aca="false">IFERROR(__xludf.dummyfunction("""COMPUTED_VALUE"""),67.74)</f>
        <v>67.74</v>
      </c>
      <c r="C470" s="5" t="n">
        <f aca="false">IFERROR(__xludf.dummyfunction("""COMPUTED_VALUE"""),70.87)</f>
        <v>70.87</v>
      </c>
      <c r="D470" s="5" t="n">
        <f aca="false">IFERROR(__xludf.dummyfunction("""COMPUTED_VALUE"""),67.32)</f>
        <v>67.32</v>
      </c>
      <c r="E470" s="5" t="n">
        <f aca="false">IFERROR(__xludf.dummyfunction("""COMPUTED_VALUE"""),70.84)</f>
        <v>70.84</v>
      </c>
      <c r="F470" s="5" t="n">
        <f aca="false">IFERROR(__xludf.dummyfunction("""COMPUTED_VALUE"""),21367851)</f>
        <v>21367851</v>
      </c>
    </row>
    <row r="471" customFormat="false" ht="15.75" hidden="false" customHeight="false" outlineLevel="0" collapsed="false">
      <c r="A471" s="6" t="n">
        <f aca="false">IFERROR(__xludf.dummyfunction("""COMPUTED_VALUE"""),44876.6666666667)</f>
        <v>44876.6666666667</v>
      </c>
      <c r="B471" s="5" t="n">
        <f aca="false">IFERROR(__xludf.dummyfunction("""COMPUTED_VALUE"""),72.74)</f>
        <v>72.74</v>
      </c>
      <c r="C471" s="5" t="n">
        <f aca="false">IFERROR(__xludf.dummyfunction("""COMPUTED_VALUE"""),74.6)</f>
        <v>74.6</v>
      </c>
      <c r="D471" s="5" t="n">
        <f aca="false">IFERROR(__xludf.dummyfunction("""COMPUTED_VALUE"""),72.38)</f>
        <v>72.38</v>
      </c>
      <c r="E471" s="5" t="n">
        <f aca="false">IFERROR(__xludf.dummyfunction("""COMPUTED_VALUE"""),73.83)</f>
        <v>73.83</v>
      </c>
      <c r="F471" s="5" t="n">
        <f aca="false">IFERROR(__xludf.dummyfunction("""COMPUTED_VALUE"""),15524662)</f>
        <v>15524662</v>
      </c>
    </row>
    <row r="472" customFormat="false" ht="15.75" hidden="false" customHeight="false" outlineLevel="0" collapsed="false">
      <c r="A472" s="6" t="n">
        <f aca="false">IFERROR(__xludf.dummyfunction("""COMPUTED_VALUE"""),44879.6666666667)</f>
        <v>44879.6666666667</v>
      </c>
      <c r="B472" s="5" t="n">
        <f aca="false">IFERROR(__xludf.dummyfunction("""COMPUTED_VALUE"""),73.24)</f>
        <v>73.24</v>
      </c>
      <c r="C472" s="5" t="n">
        <f aca="false">IFERROR(__xludf.dummyfunction("""COMPUTED_VALUE"""),73.68)</f>
        <v>73.68</v>
      </c>
      <c r="D472" s="5" t="n">
        <f aca="false">IFERROR(__xludf.dummyfunction("""COMPUTED_VALUE"""),72.24)</f>
        <v>72.24</v>
      </c>
      <c r="E472" s="5" t="n">
        <f aca="false">IFERROR(__xludf.dummyfunction("""COMPUTED_VALUE"""),72.8)</f>
        <v>72.8</v>
      </c>
      <c r="F472" s="5" t="n">
        <f aca="false">IFERROR(__xludf.dummyfunction("""COMPUTED_VALUE"""),11575276)</f>
        <v>11575276</v>
      </c>
    </row>
    <row r="473" customFormat="false" ht="15.75" hidden="false" customHeight="false" outlineLevel="0" collapsed="false">
      <c r="A473" s="6" t="n">
        <f aca="false">IFERROR(__xludf.dummyfunction("""COMPUTED_VALUE"""),44880.6666666667)</f>
        <v>44880.6666666667</v>
      </c>
      <c r="B473" s="5" t="n">
        <f aca="false">IFERROR(__xludf.dummyfunction("""COMPUTED_VALUE"""),81.92)</f>
        <v>81.92</v>
      </c>
      <c r="C473" s="5" t="n">
        <f aca="false">IFERROR(__xludf.dummyfunction("""COMPUTED_VALUE"""),82.93)</f>
        <v>82.93</v>
      </c>
      <c r="D473" s="5" t="n">
        <f aca="false">IFERROR(__xludf.dummyfunction("""COMPUTED_VALUE"""),80.01)</f>
        <v>80.01</v>
      </c>
      <c r="E473" s="5" t="n">
        <f aca="false">IFERROR(__xludf.dummyfunction("""COMPUTED_VALUE"""),80.46)</f>
        <v>80.46</v>
      </c>
      <c r="F473" s="5" t="n">
        <f aca="false">IFERROR(__xludf.dummyfunction("""COMPUTED_VALUE"""),48742400)</f>
        <v>48742400</v>
      </c>
    </row>
    <row r="474" customFormat="false" ht="15.75" hidden="false" customHeight="false" outlineLevel="0" collapsed="false">
      <c r="A474" s="6" t="n">
        <f aca="false">IFERROR(__xludf.dummyfunction("""COMPUTED_VALUE"""),44881.6666666667)</f>
        <v>44881.6666666667</v>
      </c>
      <c r="B474" s="5" t="n">
        <f aca="false">IFERROR(__xludf.dummyfunction("""COMPUTED_VALUE"""),80.56)</f>
        <v>80.56</v>
      </c>
      <c r="C474" s="5" t="n">
        <f aca="false">IFERROR(__xludf.dummyfunction("""COMPUTED_VALUE"""),80.57)</f>
        <v>80.57</v>
      </c>
      <c r="D474" s="5" t="n">
        <f aca="false">IFERROR(__xludf.dummyfunction("""COMPUTED_VALUE"""),78.9)</f>
        <v>78.9</v>
      </c>
      <c r="E474" s="5" t="n">
        <f aca="false">IFERROR(__xludf.dummyfunction("""COMPUTED_VALUE"""),79.45)</f>
        <v>79.45</v>
      </c>
      <c r="F474" s="5" t="n">
        <f aca="false">IFERROR(__xludf.dummyfunction("""COMPUTED_VALUE"""),24006636)</f>
        <v>24006636</v>
      </c>
    </row>
    <row r="475" customFormat="false" ht="15.75" hidden="false" customHeight="false" outlineLevel="0" collapsed="false">
      <c r="A475" s="6" t="n">
        <f aca="false">IFERROR(__xludf.dummyfunction("""COMPUTED_VALUE"""),44882.6666666667)</f>
        <v>44882.6666666667</v>
      </c>
      <c r="B475" s="5" t="n">
        <f aca="false">IFERROR(__xludf.dummyfunction("""COMPUTED_VALUE"""),79.3)</f>
        <v>79.3</v>
      </c>
      <c r="C475" s="5" t="n">
        <f aca="false">IFERROR(__xludf.dummyfunction("""COMPUTED_VALUE"""),82.94)</f>
        <v>82.94</v>
      </c>
      <c r="D475" s="5" t="n">
        <f aca="false">IFERROR(__xludf.dummyfunction("""COMPUTED_VALUE"""),78.69)</f>
        <v>78.69</v>
      </c>
      <c r="E475" s="5" t="n">
        <f aca="false">IFERROR(__xludf.dummyfunction("""COMPUTED_VALUE"""),81.48)</f>
        <v>81.48</v>
      </c>
      <c r="F475" s="5" t="n">
        <f aca="false">IFERROR(__xludf.dummyfunction("""COMPUTED_VALUE"""),24278444)</f>
        <v>24278444</v>
      </c>
    </row>
    <row r="476" customFormat="false" ht="15.75" hidden="false" customHeight="false" outlineLevel="0" collapsed="false">
      <c r="A476" s="6" t="n">
        <f aca="false">IFERROR(__xludf.dummyfunction("""COMPUTED_VALUE"""),44883.6666666667)</f>
        <v>44883.6666666667</v>
      </c>
      <c r="B476" s="5" t="n">
        <f aca="false">IFERROR(__xludf.dummyfunction("""COMPUTED_VALUE"""),82.78)</f>
        <v>82.78</v>
      </c>
      <c r="C476" s="5" t="n">
        <f aca="false">IFERROR(__xludf.dummyfunction("""COMPUTED_VALUE"""),82.84)</f>
        <v>82.84</v>
      </c>
      <c r="D476" s="5" t="n">
        <f aca="false">IFERROR(__xludf.dummyfunction("""COMPUTED_VALUE"""),81)</f>
        <v>81</v>
      </c>
      <c r="E476" s="5" t="n">
        <f aca="false">IFERROR(__xludf.dummyfunction("""COMPUTED_VALUE"""),82.27)</f>
        <v>82.27</v>
      </c>
      <c r="F476" s="5" t="n">
        <f aca="false">IFERROR(__xludf.dummyfunction("""COMPUTED_VALUE"""),18578370)</f>
        <v>18578370</v>
      </c>
    </row>
    <row r="477" customFormat="false" ht="15.75" hidden="false" customHeight="false" outlineLevel="0" collapsed="false">
      <c r="A477" s="6" t="n">
        <f aca="false">IFERROR(__xludf.dummyfunction("""COMPUTED_VALUE"""),44886.6666666667)</f>
        <v>44886.6666666667</v>
      </c>
      <c r="B477" s="5" t="n">
        <f aca="false">IFERROR(__xludf.dummyfunction("""COMPUTED_VALUE"""),80.81)</f>
        <v>80.81</v>
      </c>
      <c r="C477" s="5" t="n">
        <f aca="false">IFERROR(__xludf.dummyfunction("""COMPUTED_VALUE"""),81.03)</f>
        <v>81.03</v>
      </c>
      <c r="D477" s="5" t="n">
        <f aca="false">IFERROR(__xludf.dummyfunction("""COMPUTED_VALUE"""),79.47)</f>
        <v>79.47</v>
      </c>
      <c r="E477" s="5" t="n">
        <f aca="false">IFERROR(__xludf.dummyfunction("""COMPUTED_VALUE"""),79.93)</f>
        <v>79.93</v>
      </c>
      <c r="F477" s="5" t="n">
        <f aca="false">IFERROR(__xludf.dummyfunction("""COMPUTED_VALUE"""),18659710)</f>
        <v>18659710</v>
      </c>
    </row>
    <row r="478" customFormat="false" ht="15.75" hidden="false" customHeight="false" outlineLevel="0" collapsed="false">
      <c r="A478" s="6" t="n">
        <f aca="false">IFERROR(__xludf.dummyfunction("""COMPUTED_VALUE"""),44887.6666666667)</f>
        <v>44887.6666666667</v>
      </c>
      <c r="B478" s="5" t="n">
        <f aca="false">IFERROR(__xludf.dummyfunction("""COMPUTED_VALUE"""),81.35)</f>
        <v>81.35</v>
      </c>
      <c r="C478" s="5" t="n">
        <f aca="false">IFERROR(__xludf.dummyfunction("""COMPUTED_VALUE"""),83.19)</f>
        <v>83.19</v>
      </c>
      <c r="D478" s="5" t="n">
        <f aca="false">IFERROR(__xludf.dummyfunction("""COMPUTED_VALUE"""),81.23)</f>
        <v>81.23</v>
      </c>
      <c r="E478" s="5" t="n">
        <f aca="false">IFERROR(__xludf.dummyfunction("""COMPUTED_VALUE"""),82.54)</f>
        <v>82.54</v>
      </c>
      <c r="F478" s="5" t="n">
        <f aca="false">IFERROR(__xludf.dummyfunction("""COMPUTED_VALUE"""),16504724)</f>
        <v>16504724</v>
      </c>
    </row>
    <row r="479" customFormat="false" ht="15.75" hidden="false" customHeight="false" outlineLevel="0" collapsed="false">
      <c r="A479" s="6" t="n">
        <f aca="false">IFERROR(__xludf.dummyfunction("""COMPUTED_VALUE"""),44888.6666666667)</f>
        <v>44888.6666666667</v>
      </c>
      <c r="B479" s="5" t="n">
        <f aca="false">IFERROR(__xludf.dummyfunction("""COMPUTED_VALUE"""),82.44)</f>
        <v>82.44</v>
      </c>
      <c r="C479" s="5" t="n">
        <f aca="false">IFERROR(__xludf.dummyfunction("""COMPUTED_VALUE"""),82.95)</f>
        <v>82.95</v>
      </c>
      <c r="D479" s="5" t="n">
        <f aca="false">IFERROR(__xludf.dummyfunction("""COMPUTED_VALUE"""),81.73)</f>
        <v>81.73</v>
      </c>
      <c r="E479" s="5" t="n">
        <f aca="false">IFERROR(__xludf.dummyfunction("""COMPUTED_VALUE"""),81.97)</f>
        <v>81.97</v>
      </c>
      <c r="F479" s="5" t="n">
        <f aca="false">IFERROR(__xludf.dummyfunction("""COMPUTED_VALUE"""),14683777)</f>
        <v>14683777</v>
      </c>
    </row>
    <row r="480" customFormat="false" ht="15.75" hidden="false" customHeight="false" outlineLevel="0" collapsed="false">
      <c r="A480" s="6" t="n">
        <f aca="false">IFERROR(__xludf.dummyfunction("""COMPUTED_VALUE"""),44890.5416666667)</f>
        <v>44890.5416666667</v>
      </c>
      <c r="B480" s="5" t="n">
        <f aca="false">IFERROR(__xludf.dummyfunction("""COMPUTED_VALUE"""),82.14)</f>
        <v>82.14</v>
      </c>
      <c r="C480" s="5" t="n">
        <f aca="false">IFERROR(__xludf.dummyfunction("""COMPUTED_VALUE"""),82.37)</f>
        <v>82.37</v>
      </c>
      <c r="D480" s="5" t="n">
        <f aca="false">IFERROR(__xludf.dummyfunction("""COMPUTED_VALUE"""),81.4)</f>
        <v>81.4</v>
      </c>
      <c r="E480" s="5" t="n">
        <f aca="false">IFERROR(__xludf.dummyfunction("""COMPUTED_VALUE"""),81.4)</f>
        <v>81.4</v>
      </c>
      <c r="F480" s="5" t="n">
        <f aca="false">IFERROR(__xludf.dummyfunction("""COMPUTED_VALUE"""),5908312)</f>
        <v>5908312</v>
      </c>
    </row>
    <row r="481" customFormat="false" ht="15.75" hidden="false" customHeight="false" outlineLevel="0" collapsed="false">
      <c r="A481" s="6" t="n">
        <f aca="false">IFERROR(__xludf.dummyfunction("""COMPUTED_VALUE"""),44893.6666666667)</f>
        <v>44893.6666666667</v>
      </c>
      <c r="B481" s="5" t="n">
        <f aca="false">IFERROR(__xludf.dummyfunction("""COMPUTED_VALUE"""),80.27)</f>
        <v>80.27</v>
      </c>
      <c r="C481" s="5" t="n">
        <f aca="false">IFERROR(__xludf.dummyfunction("""COMPUTED_VALUE"""),81.08)</f>
        <v>81.08</v>
      </c>
      <c r="D481" s="5" t="n">
        <f aca="false">IFERROR(__xludf.dummyfunction("""COMPUTED_VALUE"""),78.89)</f>
        <v>78.89</v>
      </c>
      <c r="E481" s="5" t="n">
        <f aca="false">IFERROR(__xludf.dummyfunction("""COMPUTED_VALUE"""),79.22)</f>
        <v>79.22</v>
      </c>
      <c r="F481" s="5" t="n">
        <f aca="false">IFERROR(__xludf.dummyfunction("""COMPUTED_VALUE"""),13231081)</f>
        <v>13231081</v>
      </c>
    </row>
    <row r="482" customFormat="false" ht="15.75" hidden="false" customHeight="false" outlineLevel="0" collapsed="false">
      <c r="A482" s="6" t="n">
        <f aca="false">IFERROR(__xludf.dummyfunction("""COMPUTED_VALUE"""),44894.6666666667)</f>
        <v>44894.6666666667</v>
      </c>
      <c r="B482" s="5" t="n">
        <f aca="false">IFERROR(__xludf.dummyfunction("""COMPUTED_VALUE"""),79.91)</f>
        <v>79.91</v>
      </c>
      <c r="C482" s="5" t="n">
        <f aca="false">IFERROR(__xludf.dummyfunction("""COMPUTED_VALUE"""),80.21)</f>
        <v>80.21</v>
      </c>
      <c r="D482" s="5" t="n">
        <f aca="false">IFERROR(__xludf.dummyfunction("""COMPUTED_VALUE"""),78.96)</f>
        <v>78.96</v>
      </c>
      <c r="E482" s="5" t="n">
        <f aca="false">IFERROR(__xludf.dummyfunction("""COMPUTED_VALUE"""),79.33)</f>
        <v>79.33</v>
      </c>
      <c r="F482" s="5" t="n">
        <f aca="false">IFERROR(__xludf.dummyfunction("""COMPUTED_VALUE"""),11502331)</f>
        <v>11502331</v>
      </c>
    </row>
    <row r="483" customFormat="false" ht="15.75" hidden="false" customHeight="false" outlineLevel="0" collapsed="false">
      <c r="A483" s="6" t="n">
        <f aca="false">IFERROR(__xludf.dummyfunction("""COMPUTED_VALUE"""),44895.6666666667)</f>
        <v>44895.6666666667</v>
      </c>
      <c r="B483" s="5" t="n">
        <f aca="false">IFERROR(__xludf.dummyfunction("""COMPUTED_VALUE"""),80.63)</f>
        <v>80.63</v>
      </c>
      <c r="C483" s="5" t="n">
        <f aca="false">IFERROR(__xludf.dummyfunction("""COMPUTED_VALUE"""),83.43)</f>
        <v>83.43</v>
      </c>
      <c r="D483" s="5" t="n">
        <f aca="false">IFERROR(__xludf.dummyfunction("""COMPUTED_VALUE"""),80.47)</f>
        <v>80.47</v>
      </c>
      <c r="E483" s="5" t="n">
        <f aca="false">IFERROR(__xludf.dummyfunction("""COMPUTED_VALUE"""),82.98)</f>
        <v>82.98</v>
      </c>
      <c r="F483" s="5" t="n">
        <f aca="false">IFERROR(__xludf.dummyfunction("""COMPUTED_VALUE"""),21667259)</f>
        <v>21667259</v>
      </c>
    </row>
    <row r="484" customFormat="false" ht="15.75" hidden="false" customHeight="false" outlineLevel="0" collapsed="false">
      <c r="A484" s="6" t="n">
        <f aca="false">IFERROR(__xludf.dummyfunction("""COMPUTED_VALUE"""),44896.6666666667)</f>
        <v>44896.6666666667</v>
      </c>
      <c r="B484" s="5" t="n">
        <f aca="false">IFERROR(__xludf.dummyfunction("""COMPUTED_VALUE"""),83.04)</f>
        <v>83.04</v>
      </c>
      <c r="C484" s="5" t="n">
        <f aca="false">IFERROR(__xludf.dummyfunction("""COMPUTED_VALUE"""),83.63)</f>
        <v>83.63</v>
      </c>
      <c r="D484" s="5" t="n">
        <f aca="false">IFERROR(__xludf.dummyfunction("""COMPUTED_VALUE"""),81.14)</f>
        <v>81.14</v>
      </c>
      <c r="E484" s="5" t="n">
        <f aca="false">IFERROR(__xludf.dummyfunction("""COMPUTED_VALUE"""),82.68)</f>
        <v>82.68</v>
      </c>
      <c r="F484" s="5" t="n">
        <f aca="false">IFERROR(__xludf.dummyfunction("""COMPUTED_VALUE"""),15975133)</f>
        <v>15975133</v>
      </c>
    </row>
    <row r="485" customFormat="false" ht="15.75" hidden="false" customHeight="false" outlineLevel="0" collapsed="false">
      <c r="A485" s="6" t="n">
        <f aca="false">IFERROR(__xludf.dummyfunction("""COMPUTED_VALUE"""),44897.6666666667)</f>
        <v>44897.6666666667</v>
      </c>
      <c r="B485" s="5" t="n">
        <f aca="false">IFERROR(__xludf.dummyfunction("""COMPUTED_VALUE"""),81.81)</f>
        <v>81.81</v>
      </c>
      <c r="C485" s="5" t="n">
        <f aca="false">IFERROR(__xludf.dummyfunction("""COMPUTED_VALUE"""),82.16)</f>
        <v>82.16</v>
      </c>
      <c r="D485" s="5" t="n">
        <f aca="false">IFERROR(__xludf.dummyfunction("""COMPUTED_VALUE"""),81.15)</f>
        <v>81.15</v>
      </c>
      <c r="E485" s="5" t="n">
        <f aca="false">IFERROR(__xludf.dummyfunction("""COMPUTED_VALUE"""),81.5)</f>
        <v>81.5</v>
      </c>
      <c r="F485" s="5" t="n">
        <f aca="false">IFERROR(__xludf.dummyfunction("""COMPUTED_VALUE"""),10519780)</f>
        <v>10519780</v>
      </c>
    </row>
    <row r="486" customFormat="false" ht="15.75" hidden="false" customHeight="false" outlineLevel="0" collapsed="false">
      <c r="A486" s="6" t="n">
        <f aca="false">IFERROR(__xludf.dummyfunction("""COMPUTED_VALUE"""),44900.6666666667)</f>
        <v>44900.6666666667</v>
      </c>
      <c r="B486" s="5" t="n">
        <f aca="false">IFERROR(__xludf.dummyfunction("""COMPUTED_VALUE"""),81.94)</f>
        <v>81.94</v>
      </c>
      <c r="C486" s="5" t="n">
        <f aca="false">IFERROR(__xludf.dummyfunction("""COMPUTED_VALUE"""),82.18)</f>
        <v>82.18</v>
      </c>
      <c r="D486" s="5" t="n">
        <f aca="false">IFERROR(__xludf.dummyfunction("""COMPUTED_VALUE"""),80.95)</f>
        <v>80.95</v>
      </c>
      <c r="E486" s="5" t="n">
        <f aca="false">IFERROR(__xludf.dummyfunction("""COMPUTED_VALUE"""),81.62)</f>
        <v>81.62</v>
      </c>
      <c r="F486" s="5" t="n">
        <f aca="false">IFERROR(__xludf.dummyfunction("""COMPUTED_VALUE"""),11523339)</f>
        <v>11523339</v>
      </c>
    </row>
    <row r="487" customFormat="false" ht="15.75" hidden="false" customHeight="false" outlineLevel="0" collapsed="false">
      <c r="A487" s="6" t="n">
        <f aca="false">IFERROR(__xludf.dummyfunction("""COMPUTED_VALUE"""),44901.6666666667)</f>
        <v>44901.6666666667</v>
      </c>
      <c r="B487" s="5" t="n">
        <f aca="false">IFERROR(__xludf.dummyfunction("""COMPUTED_VALUE"""),81.4)</f>
        <v>81.4</v>
      </c>
      <c r="C487" s="5" t="n">
        <f aca="false">IFERROR(__xludf.dummyfunction("""COMPUTED_VALUE"""),81.44)</f>
        <v>81.44</v>
      </c>
      <c r="D487" s="5" t="n">
        <f aca="false">IFERROR(__xludf.dummyfunction("""COMPUTED_VALUE"""),79.16)</f>
        <v>79.16</v>
      </c>
      <c r="E487" s="5" t="n">
        <f aca="false">IFERROR(__xludf.dummyfunction("""COMPUTED_VALUE"""),79.56)</f>
        <v>79.56</v>
      </c>
      <c r="F487" s="5" t="n">
        <f aca="false">IFERROR(__xludf.dummyfunction("""COMPUTED_VALUE"""),13992139)</f>
        <v>13992139</v>
      </c>
    </row>
    <row r="488" customFormat="false" ht="15.75" hidden="false" customHeight="false" outlineLevel="0" collapsed="false">
      <c r="A488" s="6" t="n">
        <f aca="false">IFERROR(__xludf.dummyfunction("""COMPUTED_VALUE"""),44902.6666666667)</f>
        <v>44902.6666666667</v>
      </c>
      <c r="B488" s="5" t="n">
        <f aca="false">IFERROR(__xludf.dummyfunction("""COMPUTED_VALUE"""),79)</f>
        <v>79</v>
      </c>
      <c r="C488" s="5" t="n">
        <f aca="false">IFERROR(__xludf.dummyfunction("""COMPUTED_VALUE"""),79.71)</f>
        <v>79.71</v>
      </c>
      <c r="D488" s="5" t="n">
        <f aca="false">IFERROR(__xludf.dummyfunction("""COMPUTED_VALUE"""),78.59)</f>
        <v>78.59</v>
      </c>
      <c r="E488" s="5" t="n">
        <f aca="false">IFERROR(__xludf.dummyfunction("""COMPUTED_VALUE"""),79.24)</f>
        <v>79.24</v>
      </c>
      <c r="F488" s="5" t="n">
        <f aca="false">IFERROR(__xludf.dummyfunction("""COMPUTED_VALUE"""),14925265)</f>
        <v>14925265</v>
      </c>
    </row>
    <row r="489" customFormat="false" ht="15.75" hidden="false" customHeight="false" outlineLevel="0" collapsed="false">
      <c r="A489" s="6" t="n">
        <f aca="false">IFERROR(__xludf.dummyfunction("""COMPUTED_VALUE"""),44903.6666666667)</f>
        <v>44903.6666666667</v>
      </c>
      <c r="B489" s="5" t="n">
        <f aca="false">IFERROR(__xludf.dummyfunction("""COMPUTED_VALUE"""),79.45)</f>
        <v>79.45</v>
      </c>
      <c r="C489" s="5" t="n">
        <f aca="false">IFERROR(__xludf.dummyfunction("""COMPUTED_VALUE"""),80.97)</f>
        <v>80.97</v>
      </c>
      <c r="D489" s="5" t="n">
        <f aca="false">IFERROR(__xludf.dummyfunction("""COMPUTED_VALUE"""),79.1)</f>
        <v>79.1</v>
      </c>
      <c r="E489" s="5" t="n">
        <f aca="false">IFERROR(__xludf.dummyfunction("""COMPUTED_VALUE"""),80.8)</f>
        <v>80.8</v>
      </c>
      <c r="F489" s="5" t="n">
        <f aca="false">IFERROR(__xludf.dummyfunction("""COMPUTED_VALUE"""),11197474)</f>
        <v>11197474</v>
      </c>
    </row>
    <row r="490" customFormat="false" ht="15.75" hidden="false" customHeight="false" outlineLevel="0" collapsed="false">
      <c r="A490" s="6" t="n">
        <f aca="false">IFERROR(__xludf.dummyfunction("""COMPUTED_VALUE"""),44904.6666666667)</f>
        <v>44904.6666666667</v>
      </c>
      <c r="B490" s="5" t="n">
        <f aca="false">IFERROR(__xludf.dummyfunction("""COMPUTED_VALUE"""),80.85)</f>
        <v>80.85</v>
      </c>
      <c r="C490" s="5" t="n">
        <f aca="false">IFERROR(__xludf.dummyfunction("""COMPUTED_VALUE"""),82.19)</f>
        <v>82.19</v>
      </c>
      <c r="D490" s="5" t="n">
        <f aca="false">IFERROR(__xludf.dummyfunction("""COMPUTED_VALUE"""),80.69)</f>
        <v>80.69</v>
      </c>
      <c r="E490" s="5" t="n">
        <f aca="false">IFERROR(__xludf.dummyfunction("""COMPUTED_VALUE"""),80.69)</f>
        <v>80.69</v>
      </c>
      <c r="F490" s="5" t="n">
        <f aca="false">IFERROR(__xludf.dummyfunction("""COMPUTED_VALUE"""),13787901)</f>
        <v>13787901</v>
      </c>
    </row>
    <row r="491" customFormat="false" ht="15.75" hidden="false" customHeight="false" outlineLevel="0" collapsed="false">
      <c r="A491" s="6" t="n">
        <f aca="false">IFERROR(__xludf.dummyfunction("""COMPUTED_VALUE"""),44907.6666666667)</f>
        <v>44907.6666666667</v>
      </c>
      <c r="B491" s="5" t="n">
        <f aca="false">IFERROR(__xludf.dummyfunction("""COMPUTED_VALUE"""),79.79)</f>
        <v>79.79</v>
      </c>
      <c r="C491" s="5" t="n">
        <f aca="false">IFERROR(__xludf.dummyfunction("""COMPUTED_VALUE"""),80.43)</f>
        <v>80.43</v>
      </c>
      <c r="D491" s="5" t="n">
        <f aca="false">IFERROR(__xludf.dummyfunction("""COMPUTED_VALUE"""),78.8)</f>
        <v>78.8</v>
      </c>
      <c r="E491" s="5" t="n">
        <f aca="false">IFERROR(__xludf.dummyfunction("""COMPUTED_VALUE"""),80.43)</f>
        <v>80.43</v>
      </c>
      <c r="F491" s="5" t="n">
        <f aca="false">IFERROR(__xludf.dummyfunction("""COMPUTED_VALUE"""),11516597)</f>
        <v>11516597</v>
      </c>
    </row>
    <row r="492" customFormat="false" ht="15.75" hidden="false" customHeight="false" outlineLevel="0" collapsed="false">
      <c r="A492" s="6" t="n">
        <f aca="false">IFERROR(__xludf.dummyfunction("""COMPUTED_VALUE"""),44908.6666666667)</f>
        <v>44908.6666666667</v>
      </c>
      <c r="B492" s="5" t="n">
        <f aca="false">IFERROR(__xludf.dummyfunction("""COMPUTED_VALUE"""),82.09)</f>
        <v>82.09</v>
      </c>
      <c r="C492" s="5" t="n">
        <f aca="false">IFERROR(__xludf.dummyfunction("""COMPUTED_VALUE"""),82.09)</f>
        <v>82.09</v>
      </c>
      <c r="D492" s="5" t="n">
        <f aca="false">IFERROR(__xludf.dummyfunction("""COMPUTED_VALUE"""),79.63)</f>
        <v>79.63</v>
      </c>
      <c r="E492" s="5" t="n">
        <f aca="false">IFERROR(__xludf.dummyfunction("""COMPUTED_VALUE"""),80.51)</f>
        <v>80.51</v>
      </c>
      <c r="F492" s="5" t="n">
        <f aca="false">IFERROR(__xludf.dummyfunction("""COMPUTED_VALUE"""),16938026)</f>
        <v>16938026</v>
      </c>
    </row>
    <row r="493" customFormat="false" ht="15.75" hidden="false" customHeight="false" outlineLevel="0" collapsed="false">
      <c r="A493" s="6" t="n">
        <f aca="false">IFERROR(__xludf.dummyfunction("""COMPUTED_VALUE"""),44909.6666666667)</f>
        <v>44909.6666666667</v>
      </c>
      <c r="B493" s="5" t="n">
        <f aca="false">IFERROR(__xludf.dummyfunction("""COMPUTED_VALUE"""),80.82)</f>
        <v>80.82</v>
      </c>
      <c r="C493" s="5" t="n">
        <f aca="false">IFERROR(__xludf.dummyfunction("""COMPUTED_VALUE"""),81.51)</f>
        <v>81.51</v>
      </c>
      <c r="D493" s="5" t="n">
        <f aca="false">IFERROR(__xludf.dummyfunction("""COMPUTED_VALUE"""),79.52)</f>
        <v>79.52</v>
      </c>
      <c r="E493" s="5" t="n">
        <f aca="false">IFERROR(__xludf.dummyfunction("""COMPUTED_VALUE"""),80.02)</f>
        <v>80.02</v>
      </c>
      <c r="F493" s="5" t="n">
        <f aca="false">IFERROR(__xludf.dummyfunction("""COMPUTED_VALUE"""),17909974)</f>
        <v>17909974</v>
      </c>
    </row>
    <row r="494" customFormat="false" ht="15.75" hidden="false" customHeight="false" outlineLevel="0" collapsed="false">
      <c r="A494" s="6" t="n">
        <f aca="false">IFERROR(__xludf.dummyfunction("""COMPUTED_VALUE"""),44910.6666666667)</f>
        <v>44910.6666666667</v>
      </c>
      <c r="B494" s="5" t="n">
        <f aca="false">IFERROR(__xludf.dummyfunction("""COMPUTED_VALUE"""),79.21)</f>
        <v>79.21</v>
      </c>
      <c r="C494" s="5" t="n">
        <f aca="false">IFERROR(__xludf.dummyfunction("""COMPUTED_VALUE"""),79.21)</f>
        <v>79.21</v>
      </c>
      <c r="D494" s="5" t="n">
        <f aca="false">IFERROR(__xludf.dummyfunction("""COMPUTED_VALUE"""),77.39)</f>
        <v>77.39</v>
      </c>
      <c r="E494" s="5" t="n">
        <f aca="false">IFERROR(__xludf.dummyfunction("""COMPUTED_VALUE"""),77.61)</f>
        <v>77.61</v>
      </c>
      <c r="F494" s="5" t="n">
        <f aca="false">IFERROR(__xludf.dummyfunction("""COMPUTED_VALUE"""),17080157)</f>
        <v>17080157</v>
      </c>
    </row>
    <row r="495" customFormat="false" ht="15.75" hidden="false" customHeight="false" outlineLevel="0" collapsed="false">
      <c r="A495" s="6" t="n">
        <f aca="false">IFERROR(__xludf.dummyfunction("""COMPUTED_VALUE"""),44911.6666666667)</f>
        <v>44911.6666666667</v>
      </c>
      <c r="B495" s="5" t="n">
        <f aca="false">IFERROR(__xludf.dummyfunction("""COMPUTED_VALUE"""),77.61)</f>
        <v>77.61</v>
      </c>
      <c r="C495" s="5" t="n">
        <f aca="false">IFERROR(__xludf.dummyfunction("""COMPUTED_VALUE"""),78.06)</f>
        <v>78.06</v>
      </c>
      <c r="D495" s="5" t="n">
        <f aca="false">IFERROR(__xludf.dummyfunction("""COMPUTED_VALUE"""),76.23)</f>
        <v>76.23</v>
      </c>
      <c r="E495" s="5" t="n">
        <f aca="false">IFERROR(__xludf.dummyfunction("""COMPUTED_VALUE"""),76.3)</f>
        <v>76.3</v>
      </c>
      <c r="F495" s="5" t="n">
        <f aca="false">IFERROR(__xludf.dummyfunction("""COMPUTED_VALUE"""),11929136)</f>
        <v>11929136</v>
      </c>
    </row>
    <row r="496" customFormat="false" ht="15.75" hidden="false" customHeight="false" outlineLevel="0" collapsed="false">
      <c r="A496" s="6" t="n">
        <f aca="false">IFERROR(__xludf.dummyfunction("""COMPUTED_VALUE"""),44914.6666666667)</f>
        <v>44914.6666666667</v>
      </c>
      <c r="B496" s="5" t="n">
        <f aca="false">IFERROR(__xludf.dummyfunction("""COMPUTED_VALUE"""),76.92)</f>
        <v>76.92</v>
      </c>
      <c r="C496" s="5" t="n">
        <f aca="false">IFERROR(__xludf.dummyfunction("""COMPUTED_VALUE"""),77.12)</f>
        <v>77.12</v>
      </c>
      <c r="D496" s="5" t="n">
        <f aca="false">IFERROR(__xludf.dummyfunction("""COMPUTED_VALUE"""),75.76)</f>
        <v>75.76</v>
      </c>
      <c r="E496" s="5" t="n">
        <f aca="false">IFERROR(__xludf.dummyfunction("""COMPUTED_VALUE"""),76.1)</f>
        <v>76.1</v>
      </c>
      <c r="F496" s="5" t="n">
        <f aca="false">IFERROR(__xludf.dummyfunction("""COMPUTED_VALUE"""),12561296)</f>
        <v>12561296</v>
      </c>
    </row>
    <row r="497" customFormat="false" ht="15.75" hidden="false" customHeight="false" outlineLevel="0" collapsed="false">
      <c r="A497" s="6" t="n">
        <f aca="false">IFERROR(__xludf.dummyfunction("""COMPUTED_VALUE"""),44915.6666666667)</f>
        <v>44915.6666666667</v>
      </c>
      <c r="B497" s="5" t="n">
        <f aca="false">IFERROR(__xludf.dummyfunction("""COMPUTED_VALUE"""),75.11)</f>
        <v>75.11</v>
      </c>
      <c r="C497" s="5" t="n">
        <f aca="false">IFERROR(__xludf.dummyfunction("""COMPUTED_VALUE"""),76.2)</f>
        <v>76.2</v>
      </c>
      <c r="D497" s="5" t="n">
        <f aca="false">IFERROR(__xludf.dummyfunction("""COMPUTED_VALUE"""),74.9)</f>
        <v>74.9</v>
      </c>
      <c r="E497" s="5" t="n">
        <f aca="false">IFERROR(__xludf.dummyfunction("""COMPUTED_VALUE"""),75.62)</f>
        <v>75.62</v>
      </c>
      <c r="F497" s="5" t="n">
        <f aca="false">IFERROR(__xludf.dummyfunction("""COMPUTED_VALUE"""),12080590)</f>
        <v>12080590</v>
      </c>
    </row>
    <row r="498" customFormat="false" ht="15.75" hidden="false" customHeight="false" outlineLevel="0" collapsed="false">
      <c r="A498" s="6" t="n">
        <f aca="false">IFERROR(__xludf.dummyfunction("""COMPUTED_VALUE"""),44916.6666666667)</f>
        <v>44916.6666666667</v>
      </c>
      <c r="B498" s="5" t="n">
        <f aca="false">IFERROR(__xludf.dummyfunction("""COMPUTED_VALUE"""),75.86)</f>
        <v>75.86</v>
      </c>
      <c r="C498" s="5" t="n">
        <f aca="false">IFERROR(__xludf.dummyfunction("""COMPUTED_VALUE"""),77.42)</f>
        <v>77.42</v>
      </c>
      <c r="D498" s="5" t="n">
        <f aca="false">IFERROR(__xludf.dummyfunction("""COMPUTED_VALUE"""),75.77)</f>
        <v>75.77</v>
      </c>
      <c r="E498" s="5" t="n">
        <f aca="false">IFERROR(__xludf.dummyfunction("""COMPUTED_VALUE"""),77.14)</f>
        <v>77.14</v>
      </c>
      <c r="F498" s="5" t="n">
        <f aca="false">IFERROR(__xludf.dummyfunction("""COMPUTED_VALUE"""),10806100)</f>
        <v>10806100</v>
      </c>
    </row>
    <row r="499" customFormat="false" ht="15.75" hidden="false" customHeight="false" outlineLevel="0" collapsed="false">
      <c r="A499" s="6" t="n">
        <f aca="false">IFERROR(__xludf.dummyfunction("""COMPUTED_VALUE"""),44917.6666666667)</f>
        <v>44917.6666666667</v>
      </c>
      <c r="B499" s="5" t="n">
        <f aca="false">IFERROR(__xludf.dummyfunction("""COMPUTED_VALUE"""),76.28)</f>
        <v>76.28</v>
      </c>
      <c r="C499" s="5" t="n">
        <f aca="false">IFERROR(__xludf.dummyfunction("""COMPUTED_VALUE"""),76.43)</f>
        <v>76.43</v>
      </c>
      <c r="D499" s="5" t="n">
        <f aca="false">IFERROR(__xludf.dummyfunction("""COMPUTED_VALUE"""),74.02)</f>
        <v>74.02</v>
      </c>
      <c r="E499" s="5" t="n">
        <f aca="false">IFERROR(__xludf.dummyfunction("""COMPUTED_VALUE"""),75.28)</f>
        <v>75.28</v>
      </c>
      <c r="F499" s="5" t="n">
        <f aca="false">IFERROR(__xludf.dummyfunction("""COMPUTED_VALUE"""),13019652)</f>
        <v>13019652</v>
      </c>
    </row>
    <row r="500" customFormat="false" ht="15.75" hidden="false" customHeight="false" outlineLevel="0" collapsed="false">
      <c r="A500" s="6" t="n">
        <f aca="false">IFERROR(__xludf.dummyfunction("""COMPUTED_VALUE"""),44918.6666666667)</f>
        <v>44918.6666666667</v>
      </c>
      <c r="B500" s="5" t="n">
        <f aca="false">IFERROR(__xludf.dummyfunction("""COMPUTED_VALUE"""),74.89)</f>
        <v>74.89</v>
      </c>
      <c r="C500" s="5" t="n">
        <f aca="false">IFERROR(__xludf.dummyfunction("""COMPUTED_VALUE"""),75.35)</f>
        <v>75.35</v>
      </c>
      <c r="D500" s="5" t="n">
        <f aca="false">IFERROR(__xludf.dummyfunction("""COMPUTED_VALUE"""),74.17)</f>
        <v>74.17</v>
      </c>
      <c r="E500" s="5" t="n">
        <f aca="false">IFERROR(__xludf.dummyfunction("""COMPUTED_VALUE"""),74.89)</f>
        <v>74.89</v>
      </c>
      <c r="F500" s="5" t="n">
        <f aca="false">IFERROR(__xludf.dummyfunction("""COMPUTED_VALUE"""),7452602)</f>
        <v>7452602</v>
      </c>
    </row>
    <row r="501" customFormat="false" ht="15.75" hidden="false" customHeight="false" outlineLevel="0" collapsed="false">
      <c r="A501" s="6" t="n">
        <f aca="false">IFERROR(__xludf.dummyfunction("""COMPUTED_VALUE"""),44922.6666666667)</f>
        <v>44922.6666666667</v>
      </c>
      <c r="B501" s="5" t="n">
        <f aca="false">IFERROR(__xludf.dummyfunction("""COMPUTED_VALUE"""),74.33)</f>
        <v>74.33</v>
      </c>
      <c r="C501" s="5" t="n">
        <f aca="false">IFERROR(__xludf.dummyfunction("""COMPUTED_VALUE"""),74.74)</f>
        <v>74.74</v>
      </c>
      <c r="D501" s="5" t="n">
        <f aca="false">IFERROR(__xludf.dummyfunction("""COMPUTED_VALUE"""),74.16)</f>
        <v>74.16</v>
      </c>
      <c r="E501" s="5" t="n">
        <f aca="false">IFERROR(__xludf.dummyfunction("""COMPUTED_VALUE"""),74.32)</f>
        <v>74.32</v>
      </c>
      <c r="F501" s="5" t="n">
        <f aca="false">IFERROR(__xludf.dummyfunction("""COMPUTED_VALUE"""),8974797)</f>
        <v>8974797</v>
      </c>
    </row>
    <row r="502" customFormat="false" ht="15.75" hidden="false" customHeight="false" outlineLevel="0" collapsed="false">
      <c r="A502" s="6" t="n">
        <f aca="false">IFERROR(__xludf.dummyfunction("""COMPUTED_VALUE"""),44923.6666666667)</f>
        <v>44923.6666666667</v>
      </c>
      <c r="B502" s="5" t="n">
        <f aca="false">IFERROR(__xludf.dummyfunction("""COMPUTED_VALUE"""),74.19)</f>
        <v>74.19</v>
      </c>
      <c r="C502" s="5" t="n">
        <f aca="false">IFERROR(__xludf.dummyfunction("""COMPUTED_VALUE"""),74.55)</f>
        <v>74.55</v>
      </c>
      <c r="D502" s="5" t="n">
        <f aca="false">IFERROR(__xludf.dummyfunction("""COMPUTED_VALUE"""),72.84)</f>
        <v>72.84</v>
      </c>
      <c r="E502" s="5" t="n">
        <f aca="false">IFERROR(__xludf.dummyfunction("""COMPUTED_VALUE"""),73.06)</f>
        <v>73.06</v>
      </c>
      <c r="F502" s="5" t="n">
        <f aca="false">IFERROR(__xludf.dummyfunction("""COMPUTED_VALUE"""),10275692)</f>
        <v>10275692</v>
      </c>
    </row>
    <row r="503" customFormat="false" ht="15.75" hidden="false" customHeight="false" outlineLevel="0" collapsed="false">
      <c r="A503" s="6" t="n">
        <f aca="false">IFERROR(__xludf.dummyfunction("""COMPUTED_VALUE"""),44924.6666666667)</f>
        <v>44924.6666666667</v>
      </c>
      <c r="B503" s="5" t="n">
        <f aca="false">IFERROR(__xludf.dummyfunction("""COMPUTED_VALUE"""),74.35)</f>
        <v>74.35</v>
      </c>
      <c r="C503" s="5" t="n">
        <f aca="false">IFERROR(__xludf.dummyfunction("""COMPUTED_VALUE"""),76.04)</f>
        <v>76.04</v>
      </c>
      <c r="D503" s="5" t="n">
        <f aca="false">IFERROR(__xludf.dummyfunction("""COMPUTED_VALUE"""),74.15)</f>
        <v>74.15</v>
      </c>
      <c r="E503" s="5" t="n">
        <f aca="false">IFERROR(__xludf.dummyfunction("""COMPUTED_VALUE"""),76)</f>
        <v>76</v>
      </c>
      <c r="F503" s="5" t="n">
        <f aca="false">IFERROR(__xludf.dummyfunction("""COMPUTED_VALUE"""),11142511)</f>
        <v>11142511</v>
      </c>
    </row>
    <row r="504" customFormat="false" ht="15.75" hidden="false" customHeight="false" outlineLevel="0" collapsed="false">
      <c r="A504" s="6" t="n">
        <f aca="false">IFERROR(__xludf.dummyfunction("""COMPUTED_VALUE"""),44925.6666666667)</f>
        <v>44925.6666666667</v>
      </c>
      <c r="B504" s="5" t="n">
        <f aca="false">IFERROR(__xludf.dummyfunction("""COMPUTED_VALUE"""),74.29)</f>
        <v>74.29</v>
      </c>
      <c r="C504" s="5" t="n">
        <f aca="false">IFERROR(__xludf.dummyfunction("""COMPUTED_VALUE"""),74.57)</f>
        <v>74.57</v>
      </c>
      <c r="D504" s="5" t="n">
        <f aca="false">IFERROR(__xludf.dummyfunction("""COMPUTED_VALUE"""),73.65)</f>
        <v>73.65</v>
      </c>
      <c r="E504" s="5" t="n">
        <f aca="false">IFERROR(__xludf.dummyfunction("""COMPUTED_VALUE"""),74.49)</f>
        <v>74.49</v>
      </c>
      <c r="F504" s="5" t="n">
        <f aca="false">IFERROR(__xludf.dummyfunction("""COMPUTED_VALUE"""),7784126)</f>
        <v>7784126</v>
      </c>
    </row>
    <row r="505" customFormat="false" ht="15.75" hidden="false" customHeight="false" outlineLevel="0" collapsed="false">
      <c r="A505" s="6" t="n">
        <f aca="false">IFERROR(__xludf.dummyfunction("""COMPUTED_VALUE"""),44929.6666666667)</f>
        <v>44929.6666666667</v>
      </c>
      <c r="B505" s="5" t="n">
        <f aca="false">IFERROR(__xludf.dummyfunction("""COMPUTED_VALUE"""),75.85)</f>
        <v>75.85</v>
      </c>
      <c r="C505" s="5" t="n">
        <f aca="false">IFERROR(__xludf.dummyfunction("""COMPUTED_VALUE"""),75.97)</f>
        <v>75.97</v>
      </c>
      <c r="D505" s="5" t="n">
        <f aca="false">IFERROR(__xludf.dummyfunction("""COMPUTED_VALUE"""),73.77)</f>
        <v>73.77</v>
      </c>
      <c r="E505" s="5" t="n">
        <f aca="false">IFERROR(__xludf.dummyfunction("""COMPUTED_VALUE"""),74.03)</f>
        <v>74.03</v>
      </c>
      <c r="F505" s="5" t="n">
        <f aca="false">IFERROR(__xludf.dummyfunction("""COMPUTED_VALUE"""),9276191)</f>
        <v>9276191</v>
      </c>
    </row>
    <row r="506" customFormat="false" ht="15.75" hidden="false" customHeight="false" outlineLevel="0" collapsed="false">
      <c r="A506" s="6" t="n">
        <f aca="false">IFERROR(__xludf.dummyfunction("""COMPUTED_VALUE"""),44930.6666666667)</f>
        <v>44930.6666666667</v>
      </c>
      <c r="B506" s="5" t="n">
        <f aca="false">IFERROR(__xludf.dummyfunction("""COMPUTED_VALUE"""),74.99)</f>
        <v>74.99</v>
      </c>
      <c r="C506" s="5" t="n">
        <f aca="false">IFERROR(__xludf.dummyfunction("""COMPUTED_VALUE"""),76.61)</f>
        <v>76.61</v>
      </c>
      <c r="D506" s="5" t="n">
        <f aca="false">IFERROR(__xludf.dummyfunction("""COMPUTED_VALUE"""),74.47)</f>
        <v>74.47</v>
      </c>
      <c r="E506" s="5" t="n">
        <f aca="false">IFERROR(__xludf.dummyfunction("""COMPUTED_VALUE"""),76.32)</f>
        <v>76.32</v>
      </c>
      <c r="F506" s="5" t="n">
        <f aca="false">IFERROR(__xludf.dummyfunction("""COMPUTED_VALUE"""),12316386)</f>
        <v>12316386</v>
      </c>
    </row>
    <row r="507" customFormat="false" ht="15.75" hidden="false" customHeight="false" outlineLevel="0" collapsed="false">
      <c r="A507" s="6" t="n">
        <f aca="false">IFERROR(__xludf.dummyfunction("""COMPUTED_VALUE"""),44931.6666666667)</f>
        <v>44931.6666666667</v>
      </c>
      <c r="B507" s="5" t="n">
        <f aca="false">IFERROR(__xludf.dummyfunction("""COMPUTED_VALUE"""),76)</f>
        <v>76</v>
      </c>
      <c r="C507" s="5" t="n">
        <f aca="false">IFERROR(__xludf.dummyfunction("""COMPUTED_VALUE"""),76.44)</f>
        <v>76.44</v>
      </c>
      <c r="D507" s="5" t="n">
        <f aca="false">IFERROR(__xludf.dummyfunction("""COMPUTED_VALUE"""),75.34)</f>
        <v>75.34</v>
      </c>
      <c r="E507" s="5" t="n">
        <f aca="false">IFERROR(__xludf.dummyfunction("""COMPUTED_VALUE"""),75.73)</f>
        <v>75.73</v>
      </c>
      <c r="F507" s="5" t="n">
        <f aca="false">IFERROR(__xludf.dummyfunction("""COMPUTED_VALUE"""),10039194)</f>
        <v>10039194</v>
      </c>
    </row>
    <row r="508" customFormat="false" ht="15.75" hidden="false" customHeight="false" outlineLevel="0" collapsed="false">
      <c r="A508" s="6" t="n">
        <f aca="false">IFERROR(__xludf.dummyfunction("""COMPUTED_VALUE"""),44932.6666666667)</f>
        <v>44932.6666666667</v>
      </c>
      <c r="B508" s="5" t="n">
        <f aca="false">IFERROR(__xludf.dummyfunction("""COMPUTED_VALUE"""),76.5)</f>
        <v>76.5</v>
      </c>
      <c r="C508" s="5" t="n">
        <f aca="false">IFERROR(__xludf.dummyfunction("""COMPUTED_VALUE"""),78.74)</f>
        <v>78.74</v>
      </c>
      <c r="D508" s="5" t="n">
        <f aca="false">IFERROR(__xludf.dummyfunction("""COMPUTED_VALUE"""),76.15)</f>
        <v>76.15</v>
      </c>
      <c r="E508" s="5" t="n">
        <f aca="false">IFERROR(__xludf.dummyfunction("""COMPUTED_VALUE"""),78.07)</f>
        <v>78.07</v>
      </c>
      <c r="F508" s="5" t="n">
        <f aca="false">IFERROR(__xludf.dummyfunction("""COMPUTED_VALUE"""),13744129)</f>
        <v>13744129</v>
      </c>
    </row>
    <row r="509" customFormat="false" ht="15.75" hidden="false" customHeight="false" outlineLevel="0" collapsed="false">
      <c r="A509" s="6" t="n">
        <f aca="false">IFERROR(__xludf.dummyfunction("""COMPUTED_VALUE"""),44935.6666666667)</f>
        <v>44935.6666666667</v>
      </c>
      <c r="B509" s="5" t="n">
        <f aca="false">IFERROR(__xludf.dummyfunction("""COMPUTED_VALUE"""),80.56)</f>
        <v>80.56</v>
      </c>
      <c r="C509" s="5" t="n">
        <f aca="false">IFERROR(__xludf.dummyfunction("""COMPUTED_VALUE"""),81.22)</f>
        <v>81.22</v>
      </c>
      <c r="D509" s="5" t="n">
        <f aca="false">IFERROR(__xludf.dummyfunction("""COMPUTED_VALUE"""),80.06)</f>
        <v>80.06</v>
      </c>
      <c r="E509" s="5" t="n">
        <f aca="false">IFERROR(__xludf.dummyfunction("""COMPUTED_VALUE"""),80.31)</f>
        <v>80.31</v>
      </c>
      <c r="F509" s="5" t="n">
        <f aca="false">IFERROR(__xludf.dummyfunction("""COMPUTED_VALUE"""),22247607)</f>
        <v>22247607</v>
      </c>
    </row>
    <row r="510" customFormat="false" ht="15.75" hidden="false" customHeight="false" outlineLevel="0" collapsed="false">
      <c r="A510" s="6" t="n">
        <f aca="false">IFERROR(__xludf.dummyfunction("""COMPUTED_VALUE"""),44936.6666666667)</f>
        <v>44936.6666666667</v>
      </c>
      <c r="B510" s="5" t="n">
        <f aca="false">IFERROR(__xludf.dummyfunction("""COMPUTED_VALUE"""),80.51)</f>
        <v>80.51</v>
      </c>
      <c r="C510" s="5" t="n">
        <f aca="false">IFERROR(__xludf.dummyfunction("""COMPUTED_VALUE"""),81.58)</f>
        <v>81.58</v>
      </c>
      <c r="D510" s="5" t="n">
        <f aca="false">IFERROR(__xludf.dummyfunction("""COMPUTED_VALUE"""),80.46)</f>
        <v>80.46</v>
      </c>
      <c r="E510" s="5" t="n">
        <f aca="false">IFERROR(__xludf.dummyfunction("""COMPUTED_VALUE"""),81.27)</f>
        <v>81.27</v>
      </c>
      <c r="F510" s="5" t="n">
        <f aca="false">IFERROR(__xludf.dummyfunction("""COMPUTED_VALUE"""),10269011)</f>
        <v>10269011</v>
      </c>
    </row>
    <row r="511" customFormat="false" ht="15.75" hidden="false" customHeight="false" outlineLevel="0" collapsed="false">
      <c r="A511" s="6" t="n">
        <f aca="false">IFERROR(__xludf.dummyfunction("""COMPUTED_VALUE"""),44937.6666666667)</f>
        <v>44937.6666666667</v>
      </c>
      <c r="B511" s="5" t="n">
        <f aca="false">IFERROR(__xludf.dummyfunction("""COMPUTED_VALUE"""),81.57)</f>
        <v>81.57</v>
      </c>
      <c r="C511" s="5" t="n">
        <f aca="false">IFERROR(__xludf.dummyfunction("""COMPUTED_VALUE"""),81.89)</f>
        <v>81.89</v>
      </c>
      <c r="D511" s="5" t="n">
        <f aca="false">IFERROR(__xludf.dummyfunction("""COMPUTED_VALUE"""),80.63)</f>
        <v>80.63</v>
      </c>
      <c r="E511" s="5" t="n">
        <f aca="false">IFERROR(__xludf.dummyfunction("""COMPUTED_VALUE"""),81.78)</f>
        <v>81.78</v>
      </c>
      <c r="F511" s="5" t="n">
        <f aca="false">IFERROR(__xludf.dummyfunction("""COMPUTED_VALUE"""),11771417)</f>
        <v>11771417</v>
      </c>
    </row>
    <row r="512" customFormat="false" ht="15.75" hidden="false" customHeight="false" outlineLevel="0" collapsed="false">
      <c r="A512" s="6" t="n">
        <f aca="false">IFERROR(__xludf.dummyfunction("""COMPUTED_VALUE"""),44938.6666666667)</f>
        <v>44938.6666666667</v>
      </c>
      <c r="B512" s="5" t="n">
        <f aca="false">IFERROR(__xludf.dummyfunction("""COMPUTED_VALUE"""),84.96)</f>
        <v>84.96</v>
      </c>
      <c r="C512" s="5" t="n">
        <f aca="false">IFERROR(__xludf.dummyfunction("""COMPUTED_VALUE"""),88.83)</f>
        <v>88.83</v>
      </c>
      <c r="D512" s="5" t="n">
        <f aca="false">IFERROR(__xludf.dummyfunction("""COMPUTED_VALUE"""),84.42)</f>
        <v>84.42</v>
      </c>
      <c r="E512" s="5" t="n">
        <f aca="false">IFERROR(__xludf.dummyfunction("""COMPUTED_VALUE"""),87)</f>
        <v>87</v>
      </c>
      <c r="F512" s="5" t="n">
        <f aca="false">IFERROR(__xludf.dummyfunction("""COMPUTED_VALUE"""),36086750)</f>
        <v>36086750</v>
      </c>
    </row>
    <row r="513" customFormat="false" ht="15.75" hidden="false" customHeight="false" outlineLevel="0" collapsed="false">
      <c r="A513" s="6" t="n">
        <f aca="false">IFERROR(__xludf.dummyfunction("""COMPUTED_VALUE"""),44939.6666666667)</f>
        <v>44939.6666666667</v>
      </c>
      <c r="B513" s="5" t="n">
        <f aca="false">IFERROR(__xludf.dummyfunction("""COMPUTED_VALUE"""),85.41)</f>
        <v>85.41</v>
      </c>
      <c r="C513" s="5" t="n">
        <f aca="false">IFERROR(__xludf.dummyfunction("""COMPUTED_VALUE"""),87.1)</f>
        <v>87.1</v>
      </c>
      <c r="D513" s="5" t="n">
        <f aca="false">IFERROR(__xludf.dummyfunction("""COMPUTED_VALUE"""),84.9)</f>
        <v>84.9</v>
      </c>
      <c r="E513" s="5" t="n">
        <f aca="false">IFERROR(__xludf.dummyfunction("""COMPUTED_VALUE"""),86.8)</f>
        <v>86.8</v>
      </c>
      <c r="F513" s="5" t="n">
        <f aca="false">IFERROR(__xludf.dummyfunction("""COMPUTED_VALUE"""),18719894)</f>
        <v>18719894</v>
      </c>
    </row>
    <row r="514" customFormat="false" ht="15.75" hidden="false" customHeight="false" outlineLevel="0" collapsed="false">
      <c r="A514" s="6" t="n">
        <f aca="false">IFERROR(__xludf.dummyfunction("""COMPUTED_VALUE"""),44943.6666666667)</f>
        <v>44943.6666666667</v>
      </c>
      <c r="B514" s="5" t="n">
        <f aca="false">IFERROR(__xludf.dummyfunction("""COMPUTED_VALUE"""),86.22)</f>
        <v>86.22</v>
      </c>
      <c r="C514" s="5" t="n">
        <f aca="false">IFERROR(__xludf.dummyfunction("""COMPUTED_VALUE"""),89.73)</f>
        <v>89.73</v>
      </c>
      <c r="D514" s="5" t="n">
        <f aca="false">IFERROR(__xludf.dummyfunction("""COMPUTED_VALUE"""),86.16)</f>
        <v>86.16</v>
      </c>
      <c r="E514" s="5" t="n">
        <f aca="false">IFERROR(__xludf.dummyfunction("""COMPUTED_VALUE"""),88.99)</f>
        <v>88.99</v>
      </c>
      <c r="F514" s="5" t="n">
        <f aca="false">IFERROR(__xludf.dummyfunction("""COMPUTED_VALUE"""),21849956)</f>
        <v>21849956</v>
      </c>
    </row>
    <row r="515" customFormat="false" ht="15.75" hidden="false" customHeight="false" outlineLevel="0" collapsed="false">
      <c r="A515" s="6" t="n">
        <f aca="false">IFERROR(__xludf.dummyfunction("""COMPUTED_VALUE"""),44944.6666666667)</f>
        <v>44944.6666666667</v>
      </c>
      <c r="B515" s="5" t="n">
        <f aca="false">IFERROR(__xludf.dummyfunction("""COMPUTED_VALUE"""),90.48)</f>
        <v>90.48</v>
      </c>
      <c r="C515" s="5" t="n">
        <f aca="false">IFERROR(__xludf.dummyfunction("""COMPUTED_VALUE"""),91.22)</f>
        <v>91.22</v>
      </c>
      <c r="D515" s="5" t="n">
        <f aca="false">IFERROR(__xludf.dummyfunction("""COMPUTED_VALUE"""),89.36)</f>
        <v>89.36</v>
      </c>
      <c r="E515" s="5" t="n">
        <f aca="false">IFERROR(__xludf.dummyfunction("""COMPUTED_VALUE"""),89.47)</f>
        <v>89.47</v>
      </c>
      <c r="F515" s="5" t="n">
        <f aca="false">IFERROR(__xludf.dummyfunction("""COMPUTED_VALUE"""),19209828)</f>
        <v>19209828</v>
      </c>
    </row>
    <row r="516" customFormat="false" ht="15.75" hidden="false" customHeight="false" outlineLevel="0" collapsed="false">
      <c r="A516" s="6" t="n">
        <f aca="false">IFERROR(__xludf.dummyfunction("""COMPUTED_VALUE"""),44945.6666666667)</f>
        <v>44945.6666666667</v>
      </c>
      <c r="B516" s="5" t="n">
        <f aca="false">IFERROR(__xludf.dummyfunction("""COMPUTED_VALUE"""),89.03)</f>
        <v>89.03</v>
      </c>
      <c r="C516" s="5" t="n">
        <f aca="false">IFERROR(__xludf.dummyfunction("""COMPUTED_VALUE"""),90.01)</f>
        <v>90.01</v>
      </c>
      <c r="D516" s="5" t="n">
        <f aca="false">IFERROR(__xludf.dummyfunction("""COMPUTED_VALUE"""),88.26)</f>
        <v>88.26</v>
      </c>
      <c r="E516" s="5" t="n">
        <f aca="false">IFERROR(__xludf.dummyfunction("""COMPUTED_VALUE"""),88.4)</f>
        <v>88.4</v>
      </c>
      <c r="F516" s="5" t="n">
        <f aca="false">IFERROR(__xludf.dummyfunction("""COMPUTED_VALUE"""),13651099)</f>
        <v>13651099</v>
      </c>
    </row>
    <row r="517" customFormat="false" ht="15.75" hidden="false" customHeight="false" outlineLevel="0" collapsed="false">
      <c r="A517" s="6" t="n">
        <f aca="false">IFERROR(__xludf.dummyfunction("""COMPUTED_VALUE"""),44946.6666666667)</f>
        <v>44946.6666666667</v>
      </c>
      <c r="B517" s="5" t="n">
        <f aca="false">IFERROR(__xludf.dummyfunction("""COMPUTED_VALUE"""),90)</f>
        <v>90</v>
      </c>
      <c r="C517" s="5" t="n">
        <f aca="false">IFERROR(__xludf.dummyfunction("""COMPUTED_VALUE"""),91.03)</f>
        <v>91.03</v>
      </c>
      <c r="D517" s="5" t="n">
        <f aca="false">IFERROR(__xludf.dummyfunction("""COMPUTED_VALUE"""),89.2)</f>
        <v>89.2</v>
      </c>
      <c r="E517" s="5" t="n">
        <f aca="false">IFERROR(__xludf.dummyfunction("""COMPUTED_VALUE"""),91.03)</f>
        <v>91.03</v>
      </c>
      <c r="F517" s="5" t="n">
        <f aca="false">IFERROR(__xludf.dummyfunction("""COMPUTED_VALUE"""),14287246)</f>
        <v>14287246</v>
      </c>
    </row>
    <row r="518" customFormat="false" ht="15.75" hidden="false" customHeight="false" outlineLevel="0" collapsed="false">
      <c r="A518" s="6" t="n">
        <f aca="false">IFERROR(__xludf.dummyfunction("""COMPUTED_VALUE"""),44949.6666666667)</f>
        <v>44949.6666666667</v>
      </c>
      <c r="B518" s="5" t="n">
        <f aca="false">IFERROR(__xludf.dummyfunction("""COMPUTED_VALUE"""),91.76)</f>
        <v>91.76</v>
      </c>
      <c r="C518" s="5" t="n">
        <f aca="false">IFERROR(__xludf.dummyfunction("""COMPUTED_VALUE"""),95.73)</f>
        <v>95.73</v>
      </c>
      <c r="D518" s="5" t="n">
        <f aca="false">IFERROR(__xludf.dummyfunction("""COMPUTED_VALUE"""),91.72)</f>
        <v>91.72</v>
      </c>
      <c r="E518" s="5" t="n">
        <f aca="false">IFERROR(__xludf.dummyfunction("""COMPUTED_VALUE"""),95.66)</f>
        <v>95.66</v>
      </c>
      <c r="F518" s="5" t="n">
        <f aca="false">IFERROR(__xludf.dummyfunction("""COMPUTED_VALUE"""),22875100)</f>
        <v>22875100</v>
      </c>
    </row>
    <row r="519" customFormat="false" ht="15.75" hidden="false" customHeight="false" outlineLevel="0" collapsed="false">
      <c r="A519" s="6" t="n">
        <f aca="false">IFERROR(__xludf.dummyfunction("""COMPUTED_VALUE"""),44950.6666666667)</f>
        <v>44950.6666666667</v>
      </c>
      <c r="B519" s="5" t="n">
        <f aca="false">IFERROR(__xludf.dummyfunction("""COMPUTED_VALUE"""),95.79)</f>
        <v>95.79</v>
      </c>
      <c r="C519" s="5" t="n">
        <f aca="false">IFERROR(__xludf.dummyfunction("""COMPUTED_VALUE"""),98)</f>
        <v>98</v>
      </c>
      <c r="D519" s="5" t="n">
        <f aca="false">IFERROR(__xludf.dummyfunction("""COMPUTED_VALUE"""),91.55)</f>
        <v>91.55</v>
      </c>
      <c r="E519" s="5" t="n">
        <f aca="false">IFERROR(__xludf.dummyfunction("""COMPUTED_VALUE"""),94.56)</f>
        <v>94.56</v>
      </c>
      <c r="F519" s="5" t="n">
        <f aca="false">IFERROR(__xludf.dummyfunction("""COMPUTED_VALUE"""),11370465)</f>
        <v>11370465</v>
      </c>
    </row>
    <row r="520" customFormat="false" ht="15.75" hidden="false" customHeight="false" outlineLevel="0" collapsed="false">
      <c r="A520" s="6" t="n">
        <f aca="false">IFERROR(__xludf.dummyfunction("""COMPUTED_VALUE"""),44951.6666666667)</f>
        <v>44951.6666666667</v>
      </c>
      <c r="B520" s="5" t="n">
        <f aca="false">IFERROR(__xludf.dummyfunction("""COMPUTED_VALUE"""),92.68)</f>
        <v>92.68</v>
      </c>
      <c r="C520" s="5" t="n">
        <f aca="false">IFERROR(__xludf.dummyfunction("""COMPUTED_VALUE"""),93)</f>
        <v>93</v>
      </c>
      <c r="D520" s="5" t="n">
        <f aca="false">IFERROR(__xludf.dummyfunction("""COMPUTED_VALUE"""),91.12)</f>
        <v>91.12</v>
      </c>
      <c r="E520" s="5" t="n">
        <f aca="false">IFERROR(__xludf.dummyfunction("""COMPUTED_VALUE"""),92.41)</f>
        <v>92.41</v>
      </c>
      <c r="F520" s="5" t="n">
        <f aca="false">IFERROR(__xludf.dummyfunction("""COMPUTED_VALUE"""),14145440)</f>
        <v>14145440</v>
      </c>
    </row>
    <row r="521" customFormat="false" ht="15.75" hidden="false" customHeight="false" outlineLevel="0" collapsed="false">
      <c r="A521" s="6" t="n">
        <f aca="false">IFERROR(__xludf.dummyfunction("""COMPUTED_VALUE"""),44952.6666666667)</f>
        <v>44952.6666666667</v>
      </c>
      <c r="B521" s="5" t="n">
        <f aca="false">IFERROR(__xludf.dummyfunction("""COMPUTED_VALUE"""),93.89)</f>
        <v>93.89</v>
      </c>
      <c r="C521" s="5" t="n">
        <f aca="false">IFERROR(__xludf.dummyfunction("""COMPUTED_VALUE"""),94.28)</f>
        <v>94.28</v>
      </c>
      <c r="D521" s="5" t="n">
        <f aca="false">IFERROR(__xludf.dummyfunction("""COMPUTED_VALUE"""),92.64)</f>
        <v>92.64</v>
      </c>
      <c r="E521" s="5" t="n">
        <f aca="false">IFERROR(__xludf.dummyfunction("""COMPUTED_VALUE"""),93.45)</f>
        <v>93.45</v>
      </c>
      <c r="F521" s="5" t="n">
        <f aca="false">IFERROR(__xludf.dummyfunction("""COMPUTED_VALUE"""),15759412)</f>
        <v>15759412</v>
      </c>
    </row>
    <row r="522" customFormat="false" ht="15.75" hidden="false" customHeight="false" outlineLevel="0" collapsed="false">
      <c r="A522" s="6" t="n">
        <f aca="false">IFERROR(__xludf.dummyfunction("""COMPUTED_VALUE"""),44953.6666666667)</f>
        <v>44953.6666666667</v>
      </c>
      <c r="B522" s="5" t="n">
        <f aca="false">IFERROR(__xludf.dummyfunction("""COMPUTED_VALUE"""),92.82)</f>
        <v>92.82</v>
      </c>
      <c r="C522" s="5" t="n">
        <f aca="false">IFERROR(__xludf.dummyfunction("""COMPUTED_VALUE"""),94.12)</f>
        <v>94.12</v>
      </c>
      <c r="D522" s="5" t="n">
        <f aca="false">IFERROR(__xludf.dummyfunction("""COMPUTED_VALUE"""),92.24)</f>
        <v>92.24</v>
      </c>
      <c r="E522" s="5" t="n">
        <f aca="false">IFERROR(__xludf.dummyfunction("""COMPUTED_VALUE"""),93.3)</f>
        <v>93.3</v>
      </c>
      <c r="F522" s="5" t="n">
        <f aca="false">IFERROR(__xludf.dummyfunction("""COMPUTED_VALUE"""),13646559)</f>
        <v>13646559</v>
      </c>
    </row>
    <row r="523" customFormat="false" ht="15.75" hidden="false" customHeight="false" outlineLevel="0" collapsed="false">
      <c r="A523" s="6" t="n">
        <f aca="false">IFERROR(__xludf.dummyfunction("""COMPUTED_VALUE"""),44956.6666666667)</f>
        <v>44956.6666666667</v>
      </c>
      <c r="B523" s="5" t="n">
        <f aca="false">IFERROR(__xludf.dummyfunction("""COMPUTED_VALUE"""),92.85)</f>
        <v>92.85</v>
      </c>
      <c r="C523" s="5" t="n">
        <f aca="false">IFERROR(__xludf.dummyfunction("""COMPUTED_VALUE"""),94.25)</f>
        <v>94.25</v>
      </c>
      <c r="D523" s="5" t="n">
        <f aca="false">IFERROR(__xludf.dummyfunction("""COMPUTED_VALUE"""),92.58)</f>
        <v>92.58</v>
      </c>
      <c r="E523" s="5" t="n">
        <f aca="false">IFERROR(__xludf.dummyfunction("""COMPUTED_VALUE"""),93.13)</f>
        <v>93.13</v>
      </c>
      <c r="F523" s="5" t="n">
        <f aca="false">IFERROR(__xludf.dummyfunction("""COMPUTED_VALUE"""),14079798)</f>
        <v>14079798</v>
      </c>
    </row>
    <row r="524" customFormat="false" ht="15.75" hidden="false" customHeight="false" outlineLevel="0" collapsed="false">
      <c r="A524" s="6" t="n">
        <f aca="false">IFERROR(__xludf.dummyfunction("""COMPUTED_VALUE"""),44957.6666666667)</f>
        <v>44957.6666666667</v>
      </c>
      <c r="B524" s="5" t="n">
        <f aca="false">IFERROR(__xludf.dummyfunction("""COMPUTED_VALUE"""),91)</f>
        <v>91</v>
      </c>
      <c r="C524" s="5" t="n">
        <f aca="false">IFERROR(__xludf.dummyfunction("""COMPUTED_VALUE"""),92.76)</f>
        <v>92.76</v>
      </c>
      <c r="D524" s="5" t="n">
        <f aca="false">IFERROR(__xludf.dummyfunction("""COMPUTED_VALUE"""),90)</f>
        <v>90</v>
      </c>
      <c r="E524" s="5" t="n">
        <f aca="false">IFERROR(__xludf.dummyfunction("""COMPUTED_VALUE"""),92.73)</f>
        <v>92.73</v>
      </c>
      <c r="F524" s="5" t="n">
        <f aca="false">IFERROR(__xludf.dummyfunction("""COMPUTED_VALUE"""),13342098)</f>
        <v>13342098</v>
      </c>
    </row>
    <row r="525" customFormat="false" ht="15.75" hidden="false" customHeight="false" outlineLevel="0" collapsed="false">
      <c r="A525" s="6" t="n">
        <f aca="false">IFERROR(__xludf.dummyfunction("""COMPUTED_VALUE"""),44958.6666666667)</f>
        <v>44958.6666666667</v>
      </c>
      <c r="B525" s="5" t="n">
        <f aca="false">IFERROR(__xludf.dummyfunction("""COMPUTED_VALUE"""),93)</f>
        <v>93</v>
      </c>
      <c r="C525" s="5" t="n">
        <f aca="false">IFERROR(__xludf.dummyfunction("""COMPUTED_VALUE"""),95.77)</f>
        <v>95.77</v>
      </c>
      <c r="D525" s="5" t="n">
        <f aca="false">IFERROR(__xludf.dummyfunction("""COMPUTED_VALUE"""),92.57)</f>
        <v>92.57</v>
      </c>
      <c r="E525" s="5" t="n">
        <f aca="false">IFERROR(__xludf.dummyfunction("""COMPUTED_VALUE"""),94.74)</f>
        <v>94.74</v>
      </c>
      <c r="F525" s="5" t="n">
        <f aca="false">IFERROR(__xludf.dummyfunction("""COMPUTED_VALUE"""),16788486)</f>
        <v>16788486</v>
      </c>
    </row>
    <row r="526" customFormat="false" ht="15.75" hidden="false" customHeight="false" outlineLevel="0" collapsed="false">
      <c r="A526" s="6" t="n">
        <f aca="false">IFERROR(__xludf.dummyfunction("""COMPUTED_VALUE"""),44959.6666666667)</f>
        <v>44959.6666666667</v>
      </c>
      <c r="B526" s="5" t="n">
        <f aca="false">IFERROR(__xludf.dummyfunction("""COMPUTED_VALUE"""),96.6)</f>
        <v>96.6</v>
      </c>
      <c r="C526" s="5" t="n">
        <f aca="false">IFERROR(__xludf.dummyfunction("""COMPUTED_VALUE"""),97.5)</f>
        <v>97.5</v>
      </c>
      <c r="D526" s="5" t="n">
        <f aca="false">IFERROR(__xludf.dummyfunction("""COMPUTED_VALUE"""),95.84)</f>
        <v>95.84</v>
      </c>
      <c r="E526" s="5" t="n">
        <f aca="false">IFERROR(__xludf.dummyfunction("""COMPUTED_VALUE"""),96.65)</f>
        <v>96.65</v>
      </c>
      <c r="F526" s="5" t="n">
        <f aca="false">IFERROR(__xludf.dummyfunction("""COMPUTED_VALUE"""),14925277)</f>
        <v>14925277</v>
      </c>
    </row>
    <row r="527" customFormat="false" ht="15.75" hidden="false" customHeight="false" outlineLevel="0" collapsed="false">
      <c r="A527" s="6" t="n">
        <f aca="false">IFERROR(__xludf.dummyfunction("""COMPUTED_VALUE"""),44960.6666666667)</f>
        <v>44960.6666666667</v>
      </c>
      <c r="B527" s="5" t="n">
        <f aca="false">IFERROR(__xludf.dummyfunction("""COMPUTED_VALUE"""),95.04)</f>
        <v>95.04</v>
      </c>
      <c r="C527" s="5" t="n">
        <f aca="false">IFERROR(__xludf.dummyfunction("""COMPUTED_VALUE"""),96.95)</f>
        <v>96.95</v>
      </c>
      <c r="D527" s="5" t="n">
        <f aca="false">IFERROR(__xludf.dummyfunction("""COMPUTED_VALUE"""),94.31)</f>
        <v>94.31</v>
      </c>
      <c r="E527" s="5" t="n">
        <f aca="false">IFERROR(__xludf.dummyfunction("""COMPUTED_VALUE"""),94.66)</f>
        <v>94.66</v>
      </c>
      <c r="F527" s="5" t="n">
        <f aca="false">IFERROR(__xludf.dummyfunction("""COMPUTED_VALUE"""),12242178)</f>
        <v>12242178</v>
      </c>
    </row>
    <row r="528" customFormat="false" ht="15.75" hidden="false" customHeight="false" outlineLevel="0" collapsed="false">
      <c r="A528" s="6" t="n">
        <f aca="false">IFERROR(__xludf.dummyfunction("""COMPUTED_VALUE"""),44963.6666666667)</f>
        <v>44963.6666666667</v>
      </c>
      <c r="B528" s="5" t="n">
        <f aca="false">IFERROR(__xludf.dummyfunction("""COMPUTED_VALUE"""),91.8)</f>
        <v>91.8</v>
      </c>
      <c r="C528" s="5" t="n">
        <f aca="false">IFERROR(__xludf.dummyfunction("""COMPUTED_VALUE"""),92.05)</f>
        <v>92.05</v>
      </c>
      <c r="D528" s="5" t="n">
        <f aca="false">IFERROR(__xludf.dummyfunction("""COMPUTED_VALUE"""),90.74)</f>
        <v>90.74</v>
      </c>
      <c r="E528" s="5" t="n">
        <f aca="false">IFERROR(__xludf.dummyfunction("""COMPUTED_VALUE"""),91.83)</f>
        <v>91.83</v>
      </c>
      <c r="F528" s="5" t="n">
        <f aca="false">IFERROR(__xludf.dummyfunction("""COMPUTED_VALUE"""),12425241)</f>
        <v>12425241</v>
      </c>
    </row>
    <row r="529" customFormat="false" ht="15.75" hidden="false" customHeight="false" outlineLevel="0" collapsed="false">
      <c r="A529" s="6" t="n">
        <f aca="false">IFERROR(__xludf.dummyfunction("""COMPUTED_VALUE"""),44964.6666666667)</f>
        <v>44964.6666666667</v>
      </c>
      <c r="B529" s="5" t="n">
        <f aca="false">IFERROR(__xludf.dummyfunction("""COMPUTED_VALUE"""),91.78)</f>
        <v>91.78</v>
      </c>
      <c r="C529" s="5" t="n">
        <f aca="false">IFERROR(__xludf.dummyfunction("""COMPUTED_VALUE"""),94.7)</f>
        <v>94.7</v>
      </c>
      <c r="D529" s="5" t="n">
        <f aca="false">IFERROR(__xludf.dummyfunction("""COMPUTED_VALUE"""),91.68)</f>
        <v>91.68</v>
      </c>
      <c r="E529" s="5" t="n">
        <f aca="false">IFERROR(__xludf.dummyfunction("""COMPUTED_VALUE"""),94.55)</f>
        <v>94.55</v>
      </c>
      <c r="F529" s="5" t="n">
        <f aca="false">IFERROR(__xludf.dummyfunction("""COMPUTED_VALUE"""),15258858)</f>
        <v>15258858</v>
      </c>
    </row>
    <row r="530" customFormat="false" ht="15.75" hidden="false" customHeight="false" outlineLevel="0" collapsed="false">
      <c r="A530" s="6" t="n">
        <f aca="false">IFERROR(__xludf.dummyfunction("""COMPUTED_VALUE"""),44965.6666666667)</f>
        <v>44965.6666666667</v>
      </c>
      <c r="B530" s="5" t="n">
        <f aca="false">IFERROR(__xludf.dummyfunction("""COMPUTED_VALUE"""),95.02)</f>
        <v>95.02</v>
      </c>
      <c r="C530" s="5" t="n">
        <f aca="false">IFERROR(__xludf.dummyfunction("""COMPUTED_VALUE"""),95.94)</f>
        <v>95.94</v>
      </c>
      <c r="D530" s="5" t="n">
        <f aca="false">IFERROR(__xludf.dummyfunction("""COMPUTED_VALUE"""),94.23)</f>
        <v>94.23</v>
      </c>
      <c r="E530" s="5" t="n">
        <f aca="false">IFERROR(__xludf.dummyfunction("""COMPUTED_VALUE"""),94.28)</f>
        <v>94.28</v>
      </c>
      <c r="F530" s="5" t="n">
        <f aca="false">IFERROR(__xludf.dummyfunction("""COMPUTED_VALUE"""),12899724)</f>
        <v>12899724</v>
      </c>
    </row>
    <row r="531" customFormat="false" ht="15.75" hidden="false" customHeight="false" outlineLevel="0" collapsed="false">
      <c r="A531" s="6" t="n">
        <f aca="false">IFERROR(__xludf.dummyfunction("""COMPUTED_VALUE"""),44966.6666666667)</f>
        <v>44966.6666666667</v>
      </c>
      <c r="B531" s="5" t="n">
        <f aca="false">IFERROR(__xludf.dummyfunction("""COMPUTED_VALUE"""),96)</f>
        <v>96</v>
      </c>
      <c r="C531" s="5" t="n">
        <f aca="false">IFERROR(__xludf.dummyfunction("""COMPUTED_VALUE"""),98.57)</f>
        <v>98.57</v>
      </c>
      <c r="D531" s="5" t="n">
        <f aca="false">IFERROR(__xludf.dummyfunction("""COMPUTED_VALUE"""),95.62)</f>
        <v>95.62</v>
      </c>
      <c r="E531" s="5" t="n">
        <f aca="false">IFERROR(__xludf.dummyfunction("""COMPUTED_VALUE"""),96.69)</f>
        <v>96.69</v>
      </c>
      <c r="F531" s="5" t="n">
        <f aca="false">IFERROR(__xludf.dummyfunction("""COMPUTED_VALUE"""),16997355)</f>
        <v>16997355</v>
      </c>
    </row>
    <row r="532" customFormat="false" ht="15.75" hidden="false" customHeight="false" outlineLevel="0" collapsed="false">
      <c r="A532" s="6" t="n">
        <f aca="false">IFERROR(__xludf.dummyfunction("""COMPUTED_VALUE"""),44967.6666666667)</f>
        <v>44967.6666666667</v>
      </c>
      <c r="B532" s="5" t="n">
        <f aca="false">IFERROR(__xludf.dummyfunction("""COMPUTED_VALUE"""),95.95)</f>
        <v>95.95</v>
      </c>
      <c r="C532" s="5" t="n">
        <f aca="false">IFERROR(__xludf.dummyfunction("""COMPUTED_VALUE"""),96.5)</f>
        <v>96.5</v>
      </c>
      <c r="D532" s="5" t="n">
        <f aca="false">IFERROR(__xludf.dummyfunction("""COMPUTED_VALUE"""),94.25)</f>
        <v>94.25</v>
      </c>
      <c r="E532" s="5" t="n">
        <f aca="false">IFERROR(__xludf.dummyfunction("""COMPUTED_VALUE"""),95.37)</f>
        <v>95.37</v>
      </c>
      <c r="F532" s="5" t="n">
        <f aca="false">IFERROR(__xludf.dummyfunction("""COMPUTED_VALUE"""),11511442)</f>
        <v>11511442</v>
      </c>
    </row>
    <row r="533" customFormat="false" ht="15.75" hidden="false" customHeight="false" outlineLevel="0" collapsed="false">
      <c r="A533" s="6" t="n">
        <f aca="false">IFERROR(__xludf.dummyfunction("""COMPUTED_VALUE"""),44970.6666666667)</f>
        <v>44970.6666666667</v>
      </c>
      <c r="B533" s="5" t="n">
        <f aca="false">IFERROR(__xludf.dummyfunction("""COMPUTED_VALUE"""),95.47)</f>
        <v>95.47</v>
      </c>
      <c r="C533" s="5" t="n">
        <f aca="false">IFERROR(__xludf.dummyfunction("""COMPUTED_VALUE"""),96.39)</f>
        <v>96.39</v>
      </c>
      <c r="D533" s="5" t="n">
        <f aca="false">IFERROR(__xludf.dummyfunction("""COMPUTED_VALUE"""),94.91)</f>
        <v>94.91</v>
      </c>
      <c r="E533" s="5" t="n">
        <f aca="false">IFERROR(__xludf.dummyfunction("""COMPUTED_VALUE"""),96.11)</f>
        <v>96.11</v>
      </c>
      <c r="F533" s="5" t="n">
        <f aca="false">IFERROR(__xludf.dummyfunction("""COMPUTED_VALUE"""),7803456)</f>
        <v>7803456</v>
      </c>
    </row>
    <row r="534" customFormat="false" ht="15.75" hidden="false" customHeight="false" outlineLevel="0" collapsed="false">
      <c r="A534" s="6" t="n">
        <f aca="false">IFERROR(__xludf.dummyfunction("""COMPUTED_VALUE"""),44971.6666666667)</f>
        <v>44971.6666666667</v>
      </c>
      <c r="B534" s="5" t="n">
        <f aca="false">IFERROR(__xludf.dummyfunction("""COMPUTED_VALUE"""),95.82)</f>
        <v>95.82</v>
      </c>
      <c r="C534" s="5" t="n">
        <f aca="false">IFERROR(__xludf.dummyfunction("""COMPUTED_VALUE"""),98.99)</f>
        <v>98.99</v>
      </c>
      <c r="D534" s="5" t="n">
        <f aca="false">IFERROR(__xludf.dummyfunction("""COMPUTED_VALUE"""),95.22)</f>
        <v>95.22</v>
      </c>
      <c r="E534" s="5" t="n">
        <f aca="false">IFERROR(__xludf.dummyfunction("""COMPUTED_VALUE"""),97.96)</f>
        <v>97.96</v>
      </c>
      <c r="F534" s="5" t="n">
        <f aca="false">IFERROR(__xludf.dummyfunction("""COMPUTED_VALUE"""),15345050)</f>
        <v>15345050</v>
      </c>
    </row>
    <row r="535" customFormat="false" ht="15.75" hidden="false" customHeight="false" outlineLevel="0" collapsed="false">
      <c r="A535" s="6" t="n">
        <f aca="false">IFERROR(__xludf.dummyfunction("""COMPUTED_VALUE"""),44972.6666666667)</f>
        <v>44972.6666666667</v>
      </c>
      <c r="B535" s="5" t="n">
        <f aca="false">IFERROR(__xludf.dummyfunction("""COMPUTED_VALUE"""),92.33)</f>
        <v>92.33</v>
      </c>
      <c r="C535" s="5" t="n">
        <f aca="false">IFERROR(__xludf.dummyfunction("""COMPUTED_VALUE"""),93.68)</f>
        <v>93.68</v>
      </c>
      <c r="D535" s="5" t="n">
        <f aca="false">IFERROR(__xludf.dummyfunction("""COMPUTED_VALUE"""),90.77)</f>
        <v>90.77</v>
      </c>
      <c r="E535" s="5" t="n">
        <f aca="false">IFERROR(__xludf.dummyfunction("""COMPUTED_VALUE"""),92.76)</f>
        <v>92.76</v>
      </c>
      <c r="F535" s="5" t="n">
        <f aca="false">IFERROR(__xludf.dummyfunction("""COMPUTED_VALUE"""),30752027)</f>
        <v>30752027</v>
      </c>
    </row>
    <row r="536" customFormat="false" ht="15.75" hidden="false" customHeight="false" outlineLevel="0" collapsed="false">
      <c r="A536" s="6" t="n">
        <f aca="false">IFERROR(__xludf.dummyfunction("""COMPUTED_VALUE"""),44973.6666666667)</f>
        <v>44973.6666666667</v>
      </c>
      <c r="B536" s="5" t="n">
        <f aca="false">IFERROR(__xludf.dummyfunction("""COMPUTED_VALUE"""),90.98)</f>
        <v>90.98</v>
      </c>
      <c r="C536" s="5" t="n">
        <f aca="false">IFERROR(__xludf.dummyfunction("""COMPUTED_VALUE"""),91.79)</f>
        <v>91.79</v>
      </c>
      <c r="D536" s="5" t="n">
        <f aca="false">IFERROR(__xludf.dummyfunction("""COMPUTED_VALUE"""),89.88)</f>
        <v>89.88</v>
      </c>
      <c r="E536" s="5" t="n">
        <f aca="false">IFERROR(__xludf.dummyfunction("""COMPUTED_VALUE"""),90.82)</f>
        <v>90.82</v>
      </c>
      <c r="F536" s="5" t="n">
        <f aca="false">IFERROR(__xludf.dummyfunction("""COMPUTED_VALUE"""),15568426)</f>
        <v>15568426</v>
      </c>
    </row>
    <row r="537" customFormat="false" ht="15.75" hidden="false" customHeight="false" outlineLevel="0" collapsed="false">
      <c r="A537" s="6" t="n">
        <f aca="false">IFERROR(__xludf.dummyfunction("""COMPUTED_VALUE"""),44974.6666666667)</f>
        <v>44974.6666666667</v>
      </c>
      <c r="B537" s="5" t="n">
        <f aca="false">IFERROR(__xludf.dummyfunction("""COMPUTED_VALUE"""),89.97)</f>
        <v>89.97</v>
      </c>
      <c r="C537" s="5" t="n">
        <f aca="false">IFERROR(__xludf.dummyfunction("""COMPUTED_VALUE"""),90.3)</f>
        <v>90.3</v>
      </c>
      <c r="D537" s="5" t="n">
        <f aca="false">IFERROR(__xludf.dummyfunction("""COMPUTED_VALUE"""),88.94)</f>
        <v>88.94</v>
      </c>
      <c r="E537" s="5" t="n">
        <f aca="false">IFERROR(__xludf.dummyfunction("""COMPUTED_VALUE"""),90.1)</f>
        <v>90.1</v>
      </c>
      <c r="F537" s="5" t="n">
        <f aca="false">IFERROR(__xludf.dummyfunction("""COMPUTED_VALUE"""),11235272)</f>
        <v>11235272</v>
      </c>
    </row>
    <row r="538" customFormat="false" ht="15.75" hidden="false" customHeight="false" outlineLevel="0" collapsed="false">
      <c r="A538" s="6" t="n">
        <f aca="false">IFERROR(__xludf.dummyfunction("""COMPUTED_VALUE"""),44978.6666666667)</f>
        <v>44978.6666666667</v>
      </c>
      <c r="B538" s="5" t="n">
        <f aca="false">IFERROR(__xludf.dummyfunction("""COMPUTED_VALUE"""),88.38)</f>
        <v>88.38</v>
      </c>
      <c r="C538" s="5" t="n">
        <f aca="false">IFERROR(__xludf.dummyfunction("""COMPUTED_VALUE"""),89.42)</f>
        <v>89.42</v>
      </c>
      <c r="D538" s="5" t="n">
        <f aca="false">IFERROR(__xludf.dummyfunction("""COMPUTED_VALUE"""),87.48)</f>
        <v>87.48</v>
      </c>
      <c r="E538" s="5" t="n">
        <f aca="false">IFERROR(__xludf.dummyfunction("""COMPUTED_VALUE"""),87.64)</f>
        <v>87.64</v>
      </c>
      <c r="F538" s="5" t="n">
        <f aca="false">IFERROR(__xludf.dummyfunction("""COMPUTED_VALUE"""),14007605)</f>
        <v>14007605</v>
      </c>
    </row>
    <row r="539" customFormat="false" ht="15.75" hidden="false" customHeight="false" outlineLevel="0" collapsed="false">
      <c r="A539" s="6" t="n">
        <f aca="false">IFERROR(__xludf.dummyfunction("""COMPUTED_VALUE"""),44979.6666666667)</f>
        <v>44979.6666666667</v>
      </c>
      <c r="B539" s="5" t="n">
        <f aca="false">IFERROR(__xludf.dummyfunction("""COMPUTED_VALUE"""),87.75)</f>
        <v>87.75</v>
      </c>
      <c r="C539" s="5" t="n">
        <f aca="false">IFERROR(__xludf.dummyfunction("""COMPUTED_VALUE"""),88.09)</f>
        <v>88.09</v>
      </c>
      <c r="D539" s="5" t="n">
        <f aca="false">IFERROR(__xludf.dummyfunction("""COMPUTED_VALUE"""),86.66)</f>
        <v>86.66</v>
      </c>
      <c r="E539" s="5" t="n">
        <f aca="false">IFERROR(__xludf.dummyfunction("""COMPUTED_VALUE"""),86.83)</f>
        <v>86.83</v>
      </c>
      <c r="F539" s="5" t="n">
        <f aca="false">IFERROR(__xludf.dummyfunction("""COMPUTED_VALUE"""),10106384)</f>
        <v>10106384</v>
      </c>
    </row>
    <row r="540" customFormat="false" ht="15.75" hidden="false" customHeight="false" outlineLevel="0" collapsed="false">
      <c r="A540" s="6" t="n">
        <f aca="false">IFERROR(__xludf.dummyfunction("""COMPUTED_VALUE"""),44980.6666666667)</f>
        <v>44980.6666666667</v>
      </c>
      <c r="B540" s="5" t="n">
        <f aca="false">IFERROR(__xludf.dummyfunction("""COMPUTED_VALUE"""),90.3)</f>
        <v>90.3</v>
      </c>
      <c r="C540" s="5" t="n">
        <f aca="false">IFERROR(__xludf.dummyfunction("""COMPUTED_VALUE"""),91.99)</f>
        <v>91.99</v>
      </c>
      <c r="D540" s="5" t="n">
        <f aca="false">IFERROR(__xludf.dummyfunction("""COMPUTED_VALUE"""),89.46)</f>
        <v>89.46</v>
      </c>
      <c r="E540" s="5" t="n">
        <f aca="false">IFERROR(__xludf.dummyfunction("""COMPUTED_VALUE"""),90.08)</f>
        <v>90.08</v>
      </c>
      <c r="F540" s="5" t="n">
        <f aca="false">IFERROR(__xludf.dummyfunction("""COMPUTED_VALUE"""),15468324)</f>
        <v>15468324</v>
      </c>
    </row>
    <row r="541" customFormat="false" ht="15.75" hidden="false" customHeight="false" outlineLevel="0" collapsed="false">
      <c r="A541" s="6" t="n">
        <f aca="false">IFERROR(__xludf.dummyfunction("""COMPUTED_VALUE"""),44981.6666666667)</f>
        <v>44981.6666666667</v>
      </c>
      <c r="B541" s="5" t="n">
        <f aca="false">IFERROR(__xludf.dummyfunction("""COMPUTED_VALUE"""),88.09)</f>
        <v>88.09</v>
      </c>
      <c r="C541" s="5" t="n">
        <f aca="false">IFERROR(__xludf.dummyfunction("""COMPUTED_VALUE"""),88.15)</f>
        <v>88.15</v>
      </c>
      <c r="D541" s="5" t="n">
        <f aca="false">IFERROR(__xludf.dummyfunction("""COMPUTED_VALUE"""),87.24)</f>
        <v>87.24</v>
      </c>
      <c r="E541" s="5" t="n">
        <f aca="false">IFERROR(__xludf.dummyfunction("""COMPUTED_VALUE"""),88.11)</f>
        <v>88.11</v>
      </c>
      <c r="F541" s="5" t="n">
        <f aca="false">IFERROR(__xludf.dummyfunction("""COMPUTED_VALUE"""),8817618)</f>
        <v>8817618</v>
      </c>
    </row>
    <row r="542" customFormat="false" ht="15.75" hidden="false" customHeight="false" outlineLevel="0" collapsed="false">
      <c r="A542" s="6" t="n">
        <f aca="false">IFERROR(__xludf.dummyfunction("""COMPUTED_VALUE"""),44984.6666666667)</f>
        <v>44984.6666666667</v>
      </c>
      <c r="B542" s="5" t="n">
        <f aca="false">IFERROR(__xludf.dummyfunction("""COMPUTED_VALUE"""),88.7)</f>
        <v>88.7</v>
      </c>
      <c r="C542" s="5" t="n">
        <f aca="false">IFERROR(__xludf.dummyfunction("""COMPUTED_VALUE"""),88.85)</f>
        <v>88.85</v>
      </c>
      <c r="D542" s="5" t="n">
        <f aca="false">IFERROR(__xludf.dummyfunction("""COMPUTED_VALUE"""),87.24)</f>
        <v>87.24</v>
      </c>
      <c r="E542" s="5" t="n">
        <f aca="false">IFERROR(__xludf.dummyfunction("""COMPUTED_VALUE"""),87.3)</f>
        <v>87.3</v>
      </c>
      <c r="F542" s="5" t="n">
        <f aca="false">IFERROR(__xludf.dummyfunction("""COMPUTED_VALUE"""),10609435)</f>
        <v>10609435</v>
      </c>
    </row>
    <row r="543" customFormat="false" ht="15.75" hidden="false" customHeight="false" outlineLevel="0" collapsed="false">
      <c r="A543" s="6" t="n">
        <f aca="false">IFERROR(__xludf.dummyfunction("""COMPUTED_VALUE"""),44985.6666666667)</f>
        <v>44985.6666666667</v>
      </c>
      <c r="B543" s="5" t="n">
        <f aca="false">IFERROR(__xludf.dummyfunction("""COMPUTED_VALUE"""),87.14)</f>
        <v>87.14</v>
      </c>
      <c r="C543" s="5" t="n">
        <f aca="false">IFERROR(__xludf.dummyfunction("""COMPUTED_VALUE"""),88.15)</f>
        <v>88.15</v>
      </c>
      <c r="D543" s="5" t="n">
        <f aca="false">IFERROR(__xludf.dummyfunction("""COMPUTED_VALUE"""),86.9)</f>
        <v>86.9</v>
      </c>
      <c r="E543" s="5" t="n">
        <f aca="false">IFERROR(__xludf.dummyfunction("""COMPUTED_VALUE"""),87.07)</f>
        <v>87.07</v>
      </c>
      <c r="F543" s="5" t="n">
        <f aca="false">IFERROR(__xludf.dummyfunction("""COMPUTED_VALUE"""),7520449)</f>
        <v>7520449</v>
      </c>
    </row>
    <row r="544" customFormat="false" ht="15.75" hidden="false" customHeight="false" outlineLevel="0" collapsed="false">
      <c r="A544" s="6" t="n">
        <f aca="false">IFERROR(__xludf.dummyfunction("""COMPUTED_VALUE"""),44986.6666666667)</f>
        <v>44986.6666666667</v>
      </c>
      <c r="B544" s="5" t="n">
        <f aca="false">IFERROR(__xludf.dummyfunction("""COMPUTED_VALUE"""),89.04)</f>
        <v>89.04</v>
      </c>
      <c r="C544" s="5" t="n">
        <f aca="false">IFERROR(__xludf.dummyfunction("""COMPUTED_VALUE"""),90.04)</f>
        <v>90.04</v>
      </c>
      <c r="D544" s="5" t="n">
        <f aca="false">IFERROR(__xludf.dummyfunction("""COMPUTED_VALUE"""),88.27)</f>
        <v>88.27</v>
      </c>
      <c r="E544" s="5" t="n">
        <f aca="false">IFERROR(__xludf.dummyfunction("""COMPUTED_VALUE"""),88.42)</f>
        <v>88.42</v>
      </c>
      <c r="F544" s="5" t="n">
        <f aca="false">IFERROR(__xludf.dummyfunction("""COMPUTED_VALUE"""),8176749)</f>
        <v>8176749</v>
      </c>
    </row>
    <row r="545" customFormat="false" ht="15.75" hidden="false" customHeight="false" outlineLevel="0" collapsed="false">
      <c r="A545" s="6" t="n">
        <f aca="false">IFERROR(__xludf.dummyfunction("""COMPUTED_VALUE"""),44987.6666666667)</f>
        <v>44987.6666666667</v>
      </c>
      <c r="B545" s="5" t="n">
        <f aca="false">IFERROR(__xludf.dummyfunction("""COMPUTED_VALUE"""),87.64)</f>
        <v>87.64</v>
      </c>
      <c r="C545" s="5" t="n">
        <f aca="false">IFERROR(__xludf.dummyfunction("""COMPUTED_VALUE"""),89.34)</f>
        <v>89.34</v>
      </c>
      <c r="D545" s="5" t="n">
        <f aca="false">IFERROR(__xludf.dummyfunction("""COMPUTED_VALUE"""),87.12)</f>
        <v>87.12</v>
      </c>
      <c r="E545" s="5" t="n">
        <f aca="false">IFERROR(__xludf.dummyfunction("""COMPUTED_VALUE"""),89.03)</f>
        <v>89.03</v>
      </c>
      <c r="F545" s="5" t="n">
        <f aca="false">IFERROR(__xludf.dummyfunction("""COMPUTED_VALUE"""),9776757)</f>
        <v>9776757</v>
      </c>
    </row>
    <row r="546" customFormat="false" ht="15.75" hidden="false" customHeight="false" outlineLevel="0" collapsed="false">
      <c r="A546" s="6" t="n">
        <f aca="false">IFERROR(__xludf.dummyfunction("""COMPUTED_VALUE"""),44988.6666666667)</f>
        <v>44988.6666666667</v>
      </c>
      <c r="B546" s="5" t="n">
        <f aca="false">IFERROR(__xludf.dummyfunction("""COMPUTED_VALUE"""),88.67)</f>
        <v>88.67</v>
      </c>
      <c r="C546" s="5" t="n">
        <f aca="false">IFERROR(__xludf.dummyfunction("""COMPUTED_VALUE"""),89.85)</f>
        <v>89.85</v>
      </c>
      <c r="D546" s="5" t="n">
        <f aca="false">IFERROR(__xludf.dummyfunction("""COMPUTED_VALUE"""),87.88)</f>
        <v>87.88</v>
      </c>
      <c r="E546" s="5" t="n">
        <f aca="false">IFERROR(__xludf.dummyfunction("""COMPUTED_VALUE"""),89.79)</f>
        <v>89.79</v>
      </c>
      <c r="F546" s="5" t="n">
        <f aca="false">IFERROR(__xludf.dummyfunction("""COMPUTED_VALUE"""),10844048)</f>
        <v>10844048</v>
      </c>
    </row>
    <row r="547" customFormat="false" ht="15.75" hidden="false" customHeight="false" outlineLevel="0" collapsed="false">
      <c r="A547" s="6" t="n">
        <f aca="false">IFERROR(__xludf.dummyfunction("""COMPUTED_VALUE"""),44991.6666666667)</f>
        <v>44991.6666666667</v>
      </c>
      <c r="B547" s="5" t="n">
        <f aca="false">IFERROR(__xludf.dummyfunction("""COMPUTED_VALUE"""),90.08)</f>
        <v>90.08</v>
      </c>
      <c r="C547" s="5" t="n">
        <f aca="false">IFERROR(__xludf.dummyfunction("""COMPUTED_VALUE"""),91.33)</f>
        <v>91.33</v>
      </c>
      <c r="D547" s="5" t="n">
        <f aca="false">IFERROR(__xludf.dummyfunction("""COMPUTED_VALUE"""),89.51)</f>
        <v>89.51</v>
      </c>
      <c r="E547" s="5" t="n">
        <f aca="false">IFERROR(__xludf.dummyfunction("""COMPUTED_VALUE"""),89.58)</f>
        <v>89.58</v>
      </c>
      <c r="F547" s="5" t="n">
        <f aca="false">IFERROR(__xludf.dummyfunction("""COMPUTED_VALUE"""),9959998)</f>
        <v>9959998</v>
      </c>
    </row>
    <row r="548" customFormat="false" ht="15.75" hidden="false" customHeight="false" outlineLevel="0" collapsed="false">
      <c r="A548" s="6" t="n">
        <f aca="false">IFERROR(__xludf.dummyfunction("""COMPUTED_VALUE"""),44992.6666666667)</f>
        <v>44992.6666666667</v>
      </c>
      <c r="B548" s="5" t="n">
        <f aca="false">IFERROR(__xludf.dummyfunction("""COMPUTED_VALUE"""),89.95)</f>
        <v>89.95</v>
      </c>
      <c r="C548" s="5" t="n">
        <f aca="false">IFERROR(__xludf.dummyfunction("""COMPUTED_VALUE"""),90.24)</f>
        <v>90.24</v>
      </c>
      <c r="D548" s="5" t="n">
        <f aca="false">IFERROR(__xludf.dummyfunction("""COMPUTED_VALUE"""),88.3)</f>
        <v>88.3</v>
      </c>
      <c r="E548" s="5" t="n">
        <f aca="false">IFERROR(__xludf.dummyfunction("""COMPUTED_VALUE"""),88.85)</f>
        <v>88.85</v>
      </c>
      <c r="F548" s="5" t="n">
        <f aca="false">IFERROR(__xludf.dummyfunction("""COMPUTED_VALUE"""),8761066)</f>
        <v>8761066</v>
      </c>
    </row>
    <row r="549" customFormat="false" ht="15.75" hidden="false" customHeight="false" outlineLevel="0" collapsed="false">
      <c r="A549" s="6" t="n">
        <f aca="false">IFERROR(__xludf.dummyfunction("""COMPUTED_VALUE"""),44993.6666666667)</f>
        <v>44993.6666666667</v>
      </c>
      <c r="B549" s="5" t="n">
        <f aca="false">IFERROR(__xludf.dummyfunction("""COMPUTED_VALUE"""),88.35)</f>
        <v>88.35</v>
      </c>
      <c r="C549" s="5" t="n">
        <f aca="false">IFERROR(__xludf.dummyfunction("""COMPUTED_VALUE"""),90.84)</f>
        <v>90.84</v>
      </c>
      <c r="D549" s="5" t="n">
        <f aca="false">IFERROR(__xludf.dummyfunction("""COMPUTED_VALUE"""),88.14)</f>
        <v>88.14</v>
      </c>
      <c r="E549" s="5" t="n">
        <f aca="false">IFERROR(__xludf.dummyfunction("""COMPUTED_VALUE"""),90.83)</f>
        <v>90.83</v>
      </c>
      <c r="F549" s="5" t="n">
        <f aca="false">IFERROR(__xludf.dummyfunction("""COMPUTED_VALUE"""),8813034)</f>
        <v>8813034</v>
      </c>
    </row>
    <row r="550" customFormat="false" ht="15.75" hidden="false" customHeight="false" outlineLevel="0" collapsed="false">
      <c r="A550" s="6" t="n">
        <f aca="false">IFERROR(__xludf.dummyfunction("""COMPUTED_VALUE"""),44994.6666666667)</f>
        <v>44994.6666666667</v>
      </c>
      <c r="B550" s="5" t="n">
        <f aca="false">IFERROR(__xludf.dummyfunction("""COMPUTED_VALUE"""),89.71)</f>
        <v>89.71</v>
      </c>
      <c r="C550" s="5" t="n">
        <f aca="false">IFERROR(__xludf.dummyfunction("""COMPUTED_VALUE"""),90.69)</f>
        <v>90.69</v>
      </c>
      <c r="D550" s="5" t="n">
        <f aca="false">IFERROR(__xludf.dummyfunction("""COMPUTED_VALUE"""),88.57)</f>
        <v>88.57</v>
      </c>
      <c r="E550" s="5" t="n">
        <f aca="false">IFERROR(__xludf.dummyfunction("""COMPUTED_VALUE"""),88.88)</f>
        <v>88.88</v>
      </c>
      <c r="F550" s="5" t="n">
        <f aca="false">IFERROR(__xludf.dummyfunction("""COMPUTED_VALUE"""),10354665)</f>
        <v>10354665</v>
      </c>
    </row>
    <row r="551" customFormat="false" ht="15.75" hidden="false" customHeight="false" outlineLevel="0" collapsed="false">
      <c r="A551" s="6" t="n">
        <f aca="false">IFERROR(__xludf.dummyfunction("""COMPUTED_VALUE"""),44995.6666666667)</f>
        <v>44995.6666666667</v>
      </c>
      <c r="B551" s="5" t="n">
        <f aca="false">IFERROR(__xludf.dummyfunction("""COMPUTED_VALUE"""),88.03)</f>
        <v>88.03</v>
      </c>
      <c r="C551" s="5" t="n">
        <f aca="false">IFERROR(__xludf.dummyfunction("""COMPUTED_VALUE"""),89.17)</f>
        <v>89.17</v>
      </c>
      <c r="D551" s="5" t="n">
        <f aca="false">IFERROR(__xludf.dummyfunction("""COMPUTED_VALUE"""),87.2)</f>
        <v>87.2</v>
      </c>
      <c r="E551" s="5" t="n">
        <f aca="false">IFERROR(__xludf.dummyfunction("""COMPUTED_VALUE"""),87.25)</f>
        <v>87.25</v>
      </c>
      <c r="F551" s="5" t="n">
        <f aca="false">IFERROR(__xludf.dummyfunction("""COMPUTED_VALUE"""),11928804)</f>
        <v>11928804</v>
      </c>
    </row>
    <row r="552" customFormat="false" ht="15.75" hidden="false" customHeight="false" outlineLevel="0" collapsed="false">
      <c r="A552" s="6" t="n">
        <f aca="false">IFERROR(__xludf.dummyfunction("""COMPUTED_VALUE"""),44998.6666666667)</f>
        <v>44998.6666666667</v>
      </c>
      <c r="B552" s="5" t="n">
        <f aca="false">IFERROR(__xludf.dummyfunction("""COMPUTED_VALUE"""),86.38)</f>
        <v>86.38</v>
      </c>
      <c r="C552" s="5" t="n">
        <f aca="false">IFERROR(__xludf.dummyfunction("""COMPUTED_VALUE"""),89)</f>
        <v>89</v>
      </c>
      <c r="D552" s="5" t="n">
        <f aca="false">IFERROR(__xludf.dummyfunction("""COMPUTED_VALUE"""),86.31)</f>
        <v>86.31</v>
      </c>
      <c r="E552" s="5" t="n">
        <f aca="false">IFERROR(__xludf.dummyfunction("""COMPUTED_VALUE"""),87.74)</f>
        <v>87.74</v>
      </c>
      <c r="F552" s="5" t="n">
        <f aca="false">IFERROR(__xludf.dummyfunction("""COMPUTED_VALUE"""),11847587)</f>
        <v>11847587</v>
      </c>
    </row>
    <row r="553" customFormat="false" ht="15.75" hidden="false" customHeight="false" outlineLevel="0" collapsed="false">
      <c r="A553" s="6" t="n">
        <f aca="false">IFERROR(__xludf.dummyfunction("""COMPUTED_VALUE"""),44999.6666666667)</f>
        <v>44999.6666666667</v>
      </c>
      <c r="B553" s="5" t="n">
        <f aca="false">IFERROR(__xludf.dummyfunction("""COMPUTED_VALUE"""),88.03)</f>
        <v>88.03</v>
      </c>
      <c r="C553" s="5" t="n">
        <f aca="false">IFERROR(__xludf.dummyfunction("""COMPUTED_VALUE"""),89.63)</f>
        <v>89.63</v>
      </c>
      <c r="D553" s="5" t="n">
        <f aca="false">IFERROR(__xludf.dummyfunction("""COMPUTED_VALUE"""),87.71)</f>
        <v>87.71</v>
      </c>
      <c r="E553" s="5" t="n">
        <f aca="false">IFERROR(__xludf.dummyfunction("""COMPUTED_VALUE"""),89.29)</f>
        <v>89.29</v>
      </c>
      <c r="F553" s="5" t="n">
        <f aca="false">IFERROR(__xludf.dummyfunction("""COMPUTED_VALUE"""),11100110)</f>
        <v>11100110</v>
      </c>
    </row>
    <row r="554" customFormat="false" ht="15.75" hidden="false" customHeight="false" outlineLevel="0" collapsed="false">
      <c r="A554" s="6" t="n">
        <f aca="false">IFERROR(__xludf.dummyfunction("""COMPUTED_VALUE"""),45000.6666666667)</f>
        <v>45000.6666666667</v>
      </c>
      <c r="B554" s="5" t="n">
        <f aca="false">IFERROR(__xludf.dummyfunction("""COMPUTED_VALUE"""),87.2)</f>
        <v>87.2</v>
      </c>
      <c r="C554" s="5" t="n">
        <f aca="false">IFERROR(__xludf.dummyfunction("""COMPUTED_VALUE"""),87.24)</f>
        <v>87.24</v>
      </c>
      <c r="D554" s="5" t="n">
        <f aca="false">IFERROR(__xludf.dummyfunction("""COMPUTED_VALUE"""),85.44)</f>
        <v>85.44</v>
      </c>
      <c r="E554" s="5" t="n">
        <f aca="false">IFERROR(__xludf.dummyfunction("""COMPUTED_VALUE"""),86.7)</f>
        <v>86.7</v>
      </c>
      <c r="F554" s="5" t="n">
        <f aca="false">IFERROR(__xludf.dummyfunction("""COMPUTED_VALUE"""),12171472)</f>
        <v>12171472</v>
      </c>
    </row>
    <row r="555" customFormat="false" ht="15.75" hidden="false" customHeight="false" outlineLevel="0" collapsed="false">
      <c r="A555" s="6" t="n">
        <f aca="false">IFERROR(__xludf.dummyfunction("""COMPUTED_VALUE"""),45001.6666666667)</f>
        <v>45001.6666666667</v>
      </c>
      <c r="B555" s="5" t="n">
        <f aca="false">IFERROR(__xludf.dummyfunction("""COMPUTED_VALUE"""),85.95)</f>
        <v>85.95</v>
      </c>
      <c r="C555" s="5" t="n">
        <f aca="false">IFERROR(__xludf.dummyfunction("""COMPUTED_VALUE"""),89.47)</f>
        <v>89.47</v>
      </c>
      <c r="D555" s="5" t="n">
        <f aca="false">IFERROR(__xludf.dummyfunction("""COMPUTED_VALUE"""),85.82)</f>
        <v>85.82</v>
      </c>
      <c r="E555" s="5" t="n">
        <f aca="false">IFERROR(__xludf.dummyfunction("""COMPUTED_VALUE"""),89.3)</f>
        <v>89.3</v>
      </c>
      <c r="F555" s="5" t="n">
        <f aca="false">IFERROR(__xludf.dummyfunction("""COMPUTED_VALUE"""),13188257)</f>
        <v>13188257</v>
      </c>
    </row>
    <row r="556" customFormat="false" ht="15.75" hidden="false" customHeight="false" outlineLevel="0" collapsed="false">
      <c r="A556" s="6" t="n">
        <f aca="false">IFERROR(__xludf.dummyfunction("""COMPUTED_VALUE"""),45002.6666666667)</f>
        <v>45002.6666666667</v>
      </c>
      <c r="B556" s="5" t="n">
        <f aca="false">IFERROR(__xludf.dummyfunction("""COMPUTED_VALUE"""),89.06)</f>
        <v>89.06</v>
      </c>
      <c r="C556" s="5" t="n">
        <f aca="false">IFERROR(__xludf.dummyfunction("""COMPUTED_VALUE"""),90.03)</f>
        <v>90.03</v>
      </c>
      <c r="D556" s="5" t="n">
        <f aca="false">IFERROR(__xludf.dummyfunction("""COMPUTED_VALUE"""),89)</f>
        <v>89</v>
      </c>
      <c r="E556" s="5" t="n">
        <f aca="false">IFERROR(__xludf.dummyfunction("""COMPUTED_VALUE"""),89.47)</f>
        <v>89.47</v>
      </c>
      <c r="F556" s="5" t="n">
        <f aca="false">IFERROR(__xludf.dummyfunction("""COMPUTED_VALUE"""),13287742)</f>
        <v>13287742</v>
      </c>
    </row>
    <row r="557" customFormat="false" ht="15.75" hidden="false" customHeight="false" outlineLevel="0" collapsed="false">
      <c r="A557" s="6" t="n">
        <f aca="false">IFERROR(__xludf.dummyfunction("""COMPUTED_VALUE"""),45005.6666666667)</f>
        <v>45005.6666666667</v>
      </c>
      <c r="B557" s="5" t="n">
        <f aca="false">IFERROR(__xludf.dummyfunction("""COMPUTED_VALUE"""),89.21)</f>
        <v>89.21</v>
      </c>
      <c r="C557" s="5" t="n">
        <f aca="false">IFERROR(__xludf.dummyfunction("""COMPUTED_VALUE"""),90.37)</f>
        <v>90.37</v>
      </c>
      <c r="D557" s="5" t="n">
        <f aca="false">IFERROR(__xludf.dummyfunction("""COMPUTED_VALUE"""),88.66)</f>
        <v>88.66</v>
      </c>
      <c r="E557" s="5" t="n">
        <f aca="false">IFERROR(__xludf.dummyfunction("""COMPUTED_VALUE"""),90.04)</f>
        <v>90.04</v>
      </c>
      <c r="F557" s="5" t="n">
        <f aca="false">IFERROR(__xludf.dummyfunction("""COMPUTED_VALUE"""),8217489)</f>
        <v>8217489</v>
      </c>
    </row>
    <row r="558" customFormat="false" ht="15.75" hidden="false" customHeight="false" outlineLevel="0" collapsed="false">
      <c r="A558" s="6" t="n">
        <f aca="false">IFERROR(__xludf.dummyfunction("""COMPUTED_VALUE"""),45006.6666666667)</f>
        <v>45006.6666666667</v>
      </c>
      <c r="B558" s="5" t="n">
        <f aca="false">IFERROR(__xludf.dummyfunction("""COMPUTED_VALUE"""),91)</f>
        <v>91</v>
      </c>
      <c r="C558" s="5" t="n">
        <f aca="false">IFERROR(__xludf.dummyfunction("""COMPUTED_VALUE"""),93)</f>
        <v>93</v>
      </c>
      <c r="D558" s="5" t="n">
        <f aca="false">IFERROR(__xludf.dummyfunction("""COMPUTED_VALUE"""),90.8)</f>
        <v>90.8</v>
      </c>
      <c r="E558" s="5" t="n">
        <f aca="false">IFERROR(__xludf.dummyfunction("""COMPUTED_VALUE"""),92.5)</f>
        <v>92.5</v>
      </c>
      <c r="F558" s="5" t="n">
        <f aca="false">IFERROR(__xludf.dummyfunction("""COMPUTED_VALUE"""),12299684)</f>
        <v>12299684</v>
      </c>
    </row>
    <row r="559" customFormat="false" ht="15.75" hidden="false" customHeight="false" outlineLevel="0" collapsed="false">
      <c r="A559" s="6" t="n">
        <f aca="false">IFERROR(__xludf.dummyfunction("""COMPUTED_VALUE"""),45007.6666666667)</f>
        <v>45007.6666666667</v>
      </c>
      <c r="B559" s="5" t="n">
        <f aca="false">IFERROR(__xludf.dummyfunction("""COMPUTED_VALUE"""),93.5)</f>
        <v>93.5</v>
      </c>
      <c r="C559" s="5" t="n">
        <f aca="false">IFERROR(__xludf.dummyfunction("""COMPUTED_VALUE"""),95.03)</f>
        <v>95.03</v>
      </c>
      <c r="D559" s="5" t="n">
        <f aca="false">IFERROR(__xludf.dummyfunction("""COMPUTED_VALUE"""),92.54)</f>
        <v>92.54</v>
      </c>
      <c r="E559" s="5" t="n">
        <f aca="false">IFERROR(__xludf.dummyfunction("""COMPUTED_VALUE"""),92.62)</f>
        <v>92.62</v>
      </c>
      <c r="F559" s="5" t="n">
        <f aca="false">IFERROR(__xludf.dummyfunction("""COMPUTED_VALUE"""),12812373)</f>
        <v>12812373</v>
      </c>
    </row>
    <row r="560" customFormat="false" ht="15.75" hidden="false" customHeight="false" outlineLevel="0" collapsed="false">
      <c r="A560" s="6" t="n">
        <f aca="false">IFERROR(__xludf.dummyfunction("""COMPUTED_VALUE"""),45008.6666666667)</f>
        <v>45008.6666666667</v>
      </c>
      <c r="B560" s="5" t="n">
        <f aca="false">IFERROR(__xludf.dummyfunction("""COMPUTED_VALUE"""),94.49)</f>
        <v>94.49</v>
      </c>
      <c r="C560" s="5" t="n">
        <f aca="false">IFERROR(__xludf.dummyfunction("""COMPUTED_VALUE"""),95.82)</f>
        <v>95.82</v>
      </c>
      <c r="D560" s="5" t="n">
        <f aca="false">IFERROR(__xludf.dummyfunction("""COMPUTED_VALUE"""),93.43)</f>
        <v>93.43</v>
      </c>
      <c r="E560" s="5" t="n">
        <f aca="false">IFERROR(__xludf.dummyfunction("""COMPUTED_VALUE"""),94.59)</f>
        <v>94.59</v>
      </c>
      <c r="F560" s="5" t="n">
        <f aca="false">IFERROR(__xludf.dummyfunction("""COMPUTED_VALUE"""),11169698)</f>
        <v>11169698</v>
      </c>
    </row>
    <row r="561" customFormat="false" ht="15.75" hidden="false" customHeight="false" outlineLevel="0" collapsed="false">
      <c r="A561" s="6" t="n">
        <f aca="false">IFERROR(__xludf.dummyfunction("""COMPUTED_VALUE"""),45009.6666666667)</f>
        <v>45009.6666666667</v>
      </c>
      <c r="B561" s="5" t="n">
        <f aca="false">IFERROR(__xludf.dummyfunction("""COMPUTED_VALUE"""),93.95)</f>
        <v>93.95</v>
      </c>
      <c r="C561" s="5" t="n">
        <f aca="false">IFERROR(__xludf.dummyfunction("""COMPUTED_VALUE"""),94.18)</f>
        <v>94.18</v>
      </c>
      <c r="D561" s="5" t="n">
        <f aca="false">IFERROR(__xludf.dummyfunction("""COMPUTED_VALUE"""),92.09)</f>
        <v>92.09</v>
      </c>
      <c r="E561" s="5" t="n">
        <f aca="false">IFERROR(__xludf.dummyfunction("""COMPUTED_VALUE"""),92.79)</f>
        <v>92.79</v>
      </c>
      <c r="F561" s="5" t="n">
        <f aca="false">IFERROR(__xludf.dummyfunction("""COMPUTED_VALUE"""),7655139)</f>
        <v>7655139</v>
      </c>
    </row>
    <row r="562" customFormat="false" ht="15.75" hidden="false" customHeight="false" outlineLevel="0" collapsed="false">
      <c r="A562" s="6" t="n">
        <f aca="false">IFERROR(__xludf.dummyfunction("""COMPUTED_VALUE"""),45012.6666666667)</f>
        <v>45012.6666666667</v>
      </c>
      <c r="B562" s="5" t="n">
        <f aca="false">IFERROR(__xludf.dummyfunction("""COMPUTED_VALUE"""),92.04)</f>
        <v>92.04</v>
      </c>
      <c r="C562" s="5" t="n">
        <f aca="false">IFERROR(__xludf.dummyfunction("""COMPUTED_VALUE"""),92.18)</f>
        <v>92.18</v>
      </c>
      <c r="D562" s="5" t="n">
        <f aca="false">IFERROR(__xludf.dummyfunction("""COMPUTED_VALUE"""),90.55)</f>
        <v>90.55</v>
      </c>
      <c r="E562" s="5" t="n">
        <f aca="false">IFERROR(__xludf.dummyfunction("""COMPUTED_VALUE"""),90.66)</f>
        <v>90.66</v>
      </c>
      <c r="F562" s="5" t="n">
        <f aca="false">IFERROR(__xludf.dummyfunction("""COMPUTED_VALUE"""),9349773)</f>
        <v>9349773</v>
      </c>
    </row>
    <row r="563" customFormat="false" ht="15.75" hidden="false" customHeight="false" outlineLevel="0" collapsed="false">
      <c r="A563" s="6" t="n">
        <f aca="false">IFERROR(__xludf.dummyfunction("""COMPUTED_VALUE"""),45013.6666666667)</f>
        <v>45013.6666666667</v>
      </c>
      <c r="B563" s="5" t="n">
        <f aca="false">IFERROR(__xludf.dummyfunction("""COMPUTED_VALUE"""),90.66)</f>
        <v>90.66</v>
      </c>
      <c r="C563" s="5" t="n">
        <f aca="false">IFERROR(__xludf.dummyfunction("""COMPUTED_VALUE"""),90.87)</f>
        <v>90.87</v>
      </c>
      <c r="D563" s="5" t="n">
        <f aca="false">IFERROR(__xludf.dummyfunction("""COMPUTED_VALUE"""),89.92)</f>
        <v>89.92</v>
      </c>
      <c r="E563" s="5" t="n">
        <f aca="false">IFERROR(__xludf.dummyfunction("""COMPUTED_VALUE"""),90.81)</f>
        <v>90.81</v>
      </c>
      <c r="F563" s="5" t="n">
        <f aca="false">IFERROR(__xludf.dummyfunction("""COMPUTED_VALUE"""),7521266)</f>
        <v>7521266</v>
      </c>
    </row>
    <row r="564" customFormat="false" ht="15.75" hidden="false" customHeight="false" outlineLevel="0" collapsed="false">
      <c r="A564" s="6" t="n">
        <f aca="false">IFERROR(__xludf.dummyfunction("""COMPUTED_VALUE"""),45014.6666666667)</f>
        <v>45014.6666666667</v>
      </c>
      <c r="B564" s="5" t="n">
        <f aca="false">IFERROR(__xludf.dummyfunction("""COMPUTED_VALUE"""),91.76)</f>
        <v>91.76</v>
      </c>
      <c r="C564" s="5" t="n">
        <f aca="false">IFERROR(__xludf.dummyfunction("""COMPUTED_VALUE"""),93.22)</f>
        <v>93.22</v>
      </c>
      <c r="D564" s="5" t="n">
        <f aca="false">IFERROR(__xludf.dummyfunction("""COMPUTED_VALUE"""),91.45)</f>
        <v>91.45</v>
      </c>
      <c r="E564" s="5" t="n">
        <f aca="false">IFERROR(__xludf.dummyfunction("""COMPUTED_VALUE"""),92.76)</f>
        <v>92.76</v>
      </c>
      <c r="F564" s="5" t="n">
        <f aca="false">IFERROR(__xludf.dummyfunction("""COMPUTED_VALUE"""),9264041)</f>
        <v>9264041</v>
      </c>
    </row>
    <row r="565" customFormat="false" ht="15.75" hidden="false" customHeight="false" outlineLevel="0" collapsed="false">
      <c r="A565" s="6" t="n">
        <f aca="false">IFERROR(__xludf.dummyfunction("""COMPUTED_VALUE"""),45015.6666666667)</f>
        <v>45015.6666666667</v>
      </c>
      <c r="B565" s="5" t="n">
        <f aca="false">IFERROR(__xludf.dummyfunction("""COMPUTED_VALUE"""),93.35)</f>
        <v>93.35</v>
      </c>
      <c r="C565" s="5" t="n">
        <f aca="false">IFERROR(__xludf.dummyfunction("""COMPUTED_VALUE"""),93.52)</f>
        <v>93.52</v>
      </c>
      <c r="D565" s="5" t="n">
        <f aca="false">IFERROR(__xludf.dummyfunction("""COMPUTED_VALUE"""),92.03)</f>
        <v>92.03</v>
      </c>
      <c r="E565" s="5" t="n">
        <f aca="false">IFERROR(__xludf.dummyfunction("""COMPUTED_VALUE"""),92.47)</f>
        <v>92.47</v>
      </c>
      <c r="F565" s="5" t="n">
        <f aca="false">IFERROR(__xludf.dummyfunction("""COMPUTED_VALUE"""),10232790)</f>
        <v>10232790</v>
      </c>
    </row>
    <row r="566" customFormat="false" ht="15.75" hidden="false" customHeight="false" outlineLevel="0" collapsed="false">
      <c r="A566" s="6" t="n">
        <f aca="false">IFERROR(__xludf.dummyfunction("""COMPUTED_VALUE"""),45016.6666666667)</f>
        <v>45016.6666666667</v>
      </c>
      <c r="B566" s="5" t="n">
        <f aca="false">IFERROR(__xludf.dummyfunction("""COMPUTED_VALUE"""),91.24)</f>
        <v>91.24</v>
      </c>
      <c r="C566" s="5" t="n">
        <f aca="false">IFERROR(__xludf.dummyfunction("""COMPUTED_VALUE"""),93.26)</f>
        <v>93.26</v>
      </c>
      <c r="D566" s="5" t="n">
        <f aca="false">IFERROR(__xludf.dummyfunction("""COMPUTED_VALUE"""),91.13)</f>
        <v>91.13</v>
      </c>
      <c r="E566" s="5" t="n">
        <f aca="false">IFERROR(__xludf.dummyfunction("""COMPUTED_VALUE"""),93.02)</f>
        <v>93.02</v>
      </c>
      <c r="F566" s="5" t="n">
        <f aca="false">IFERROR(__xludf.dummyfunction("""COMPUTED_VALUE"""),8701770)</f>
        <v>8701770</v>
      </c>
    </row>
    <row r="567" customFormat="false" ht="15.75" hidden="false" customHeight="false" outlineLevel="0" collapsed="false">
      <c r="A567" s="6" t="n">
        <f aca="false">IFERROR(__xludf.dummyfunction("""COMPUTED_VALUE"""),45019.6666666667)</f>
        <v>45019.6666666667</v>
      </c>
      <c r="B567" s="5" t="n">
        <f aca="false">IFERROR(__xludf.dummyfunction("""COMPUTED_VALUE"""),93.01)</f>
        <v>93.01</v>
      </c>
      <c r="C567" s="5" t="n">
        <f aca="false">IFERROR(__xludf.dummyfunction("""COMPUTED_VALUE"""),93.6)</f>
        <v>93.6</v>
      </c>
      <c r="D567" s="5" t="n">
        <f aca="false">IFERROR(__xludf.dummyfunction("""COMPUTED_VALUE"""),91.71)</f>
        <v>91.71</v>
      </c>
      <c r="E567" s="5" t="n">
        <f aca="false">IFERROR(__xludf.dummyfunction("""COMPUTED_VALUE"""),92.84)</f>
        <v>92.84</v>
      </c>
      <c r="F567" s="5" t="n">
        <f aca="false">IFERROR(__xludf.dummyfunction("""COMPUTED_VALUE"""),6863562)</f>
        <v>6863562</v>
      </c>
    </row>
    <row r="568" customFormat="false" ht="15.75" hidden="false" customHeight="false" outlineLevel="0" collapsed="false">
      <c r="A568" s="6" t="n">
        <f aca="false">IFERROR(__xludf.dummyfunction("""COMPUTED_VALUE"""),45020.6666666667)</f>
        <v>45020.6666666667</v>
      </c>
      <c r="B568" s="5" t="n">
        <f aca="false">IFERROR(__xludf.dummyfunction("""COMPUTED_VALUE"""),93.04)</f>
        <v>93.04</v>
      </c>
      <c r="C568" s="5" t="n">
        <f aca="false">IFERROR(__xludf.dummyfunction("""COMPUTED_VALUE"""),93.28)</f>
        <v>93.28</v>
      </c>
      <c r="D568" s="5" t="n">
        <f aca="false">IFERROR(__xludf.dummyfunction("""COMPUTED_VALUE"""),91.72)</f>
        <v>91.72</v>
      </c>
      <c r="E568" s="5" t="n">
        <f aca="false">IFERROR(__xludf.dummyfunction("""COMPUTED_VALUE"""),92.17)</f>
        <v>92.17</v>
      </c>
      <c r="F568" s="5" t="n">
        <f aca="false">IFERROR(__xludf.dummyfunction("""COMPUTED_VALUE"""),6338442)</f>
        <v>6338442</v>
      </c>
    </row>
    <row r="569" customFormat="false" ht="15.75" hidden="false" customHeight="false" outlineLevel="0" collapsed="false">
      <c r="A569" s="6" t="n">
        <f aca="false">IFERROR(__xludf.dummyfunction("""COMPUTED_VALUE"""),45021.6666666667)</f>
        <v>45021.6666666667</v>
      </c>
      <c r="B569" s="5" t="n">
        <f aca="false">IFERROR(__xludf.dummyfunction("""COMPUTED_VALUE"""),91.6)</f>
        <v>91.6</v>
      </c>
      <c r="C569" s="5" t="n">
        <f aca="false">IFERROR(__xludf.dummyfunction("""COMPUTED_VALUE"""),92.18)</f>
        <v>92.18</v>
      </c>
      <c r="D569" s="5" t="n">
        <f aca="false">IFERROR(__xludf.dummyfunction("""COMPUTED_VALUE"""),89.05)</f>
        <v>89.05</v>
      </c>
      <c r="E569" s="5" t="n">
        <f aca="false">IFERROR(__xludf.dummyfunction("""COMPUTED_VALUE"""),90.2)</f>
        <v>90.2</v>
      </c>
      <c r="F569" s="5" t="n">
        <f aca="false">IFERROR(__xludf.dummyfunction("""COMPUTED_VALUE"""),9171762)</f>
        <v>9171762</v>
      </c>
    </row>
    <row r="570" customFormat="false" ht="15.75" hidden="false" customHeight="false" outlineLevel="0" collapsed="false">
      <c r="A570" s="6" t="n">
        <f aca="false">IFERROR(__xludf.dummyfunction("""COMPUTED_VALUE"""),45022.6666666667)</f>
        <v>45022.6666666667</v>
      </c>
      <c r="B570" s="5" t="n">
        <f aca="false">IFERROR(__xludf.dummyfunction("""COMPUTED_VALUE"""),89.66)</f>
        <v>89.66</v>
      </c>
      <c r="C570" s="5" t="n">
        <f aca="false">IFERROR(__xludf.dummyfunction("""COMPUTED_VALUE"""),90.91)</f>
        <v>90.91</v>
      </c>
      <c r="D570" s="5" t="n">
        <f aca="false">IFERROR(__xludf.dummyfunction("""COMPUTED_VALUE"""),89.4)</f>
        <v>89.4</v>
      </c>
      <c r="E570" s="5" t="n">
        <f aca="false">IFERROR(__xludf.dummyfunction("""COMPUTED_VALUE"""),90.24)</f>
        <v>90.24</v>
      </c>
      <c r="F570" s="5" t="n">
        <f aca="false">IFERROR(__xludf.dummyfunction("""COMPUTED_VALUE"""),5874515)</f>
        <v>5874515</v>
      </c>
    </row>
    <row r="571" customFormat="false" ht="15.75" hidden="false" customHeight="false" outlineLevel="0" collapsed="false">
      <c r="A571" s="6" t="n">
        <f aca="false">IFERROR(__xludf.dummyfunction("""COMPUTED_VALUE"""),45026.6666666667)</f>
        <v>45026.6666666667</v>
      </c>
      <c r="B571" s="5" t="n">
        <f aca="false">IFERROR(__xludf.dummyfunction("""COMPUTED_VALUE"""),88.42)</f>
        <v>88.42</v>
      </c>
      <c r="C571" s="5" t="n">
        <f aca="false">IFERROR(__xludf.dummyfunction("""COMPUTED_VALUE"""),89.03)</f>
        <v>89.03</v>
      </c>
      <c r="D571" s="5" t="n">
        <f aca="false">IFERROR(__xludf.dummyfunction("""COMPUTED_VALUE"""),86.47)</f>
        <v>86.47</v>
      </c>
      <c r="E571" s="5" t="n">
        <f aca="false">IFERROR(__xludf.dummyfunction("""COMPUTED_VALUE"""),89.02)</f>
        <v>89.02</v>
      </c>
      <c r="F571" s="5" t="n">
        <f aca="false">IFERROR(__xludf.dummyfunction("""COMPUTED_VALUE"""),12232876)</f>
        <v>12232876</v>
      </c>
    </row>
    <row r="572" customFormat="false" ht="15.75" hidden="false" customHeight="false" outlineLevel="0" collapsed="false">
      <c r="A572" s="6" t="n">
        <f aca="false">IFERROR(__xludf.dummyfunction("""COMPUTED_VALUE"""),45027.6666666667)</f>
        <v>45027.6666666667</v>
      </c>
      <c r="B572" s="5" t="n">
        <f aca="false">IFERROR(__xludf.dummyfunction("""COMPUTED_VALUE"""),88.64)</f>
        <v>88.64</v>
      </c>
      <c r="C572" s="5" t="n">
        <f aca="false">IFERROR(__xludf.dummyfunction("""COMPUTED_VALUE"""),89.84)</f>
        <v>89.84</v>
      </c>
      <c r="D572" s="5" t="n">
        <f aca="false">IFERROR(__xludf.dummyfunction("""COMPUTED_VALUE"""),88.47)</f>
        <v>88.47</v>
      </c>
      <c r="E572" s="5" t="n">
        <f aca="false">IFERROR(__xludf.dummyfunction("""COMPUTED_VALUE"""),89.24)</f>
        <v>89.24</v>
      </c>
      <c r="F572" s="5" t="n">
        <f aca="false">IFERROR(__xludf.dummyfunction("""COMPUTED_VALUE"""),11079168)</f>
        <v>11079168</v>
      </c>
    </row>
    <row r="573" customFormat="false" ht="15.75" hidden="false" customHeight="false" outlineLevel="0" collapsed="false">
      <c r="A573" s="6" t="n">
        <f aca="false">IFERROR(__xludf.dummyfunction("""COMPUTED_VALUE"""),45028.6666666667)</f>
        <v>45028.6666666667</v>
      </c>
      <c r="B573" s="5" t="n">
        <f aca="false">IFERROR(__xludf.dummyfunction("""COMPUTED_VALUE"""),88.91)</f>
        <v>88.91</v>
      </c>
      <c r="C573" s="5" t="n">
        <f aca="false">IFERROR(__xludf.dummyfunction("""COMPUTED_VALUE"""),89.5)</f>
        <v>89.5</v>
      </c>
      <c r="D573" s="5" t="n">
        <f aca="false">IFERROR(__xludf.dummyfunction("""COMPUTED_VALUE"""),86.86)</f>
        <v>86.86</v>
      </c>
      <c r="E573" s="5" t="n">
        <f aca="false">IFERROR(__xludf.dummyfunction("""COMPUTED_VALUE"""),86.87)</f>
        <v>86.87</v>
      </c>
      <c r="F573" s="5" t="n">
        <f aca="false">IFERROR(__xludf.dummyfunction("""COMPUTED_VALUE"""),11299106)</f>
        <v>11299106</v>
      </c>
    </row>
    <row r="574" customFormat="false" ht="15.75" hidden="false" customHeight="false" outlineLevel="0" collapsed="false">
      <c r="A574" s="6" t="n">
        <f aca="false">IFERROR(__xludf.dummyfunction("""COMPUTED_VALUE"""),45029.6666666667)</f>
        <v>45029.6666666667</v>
      </c>
      <c r="B574" s="5" t="n">
        <f aca="false">IFERROR(__xludf.dummyfunction("""COMPUTED_VALUE"""),86.56)</f>
        <v>86.56</v>
      </c>
      <c r="C574" s="5" t="n">
        <f aca="false">IFERROR(__xludf.dummyfunction("""COMPUTED_VALUE"""),87.63)</f>
        <v>87.63</v>
      </c>
      <c r="D574" s="5" t="n">
        <f aca="false">IFERROR(__xludf.dummyfunction("""COMPUTED_VALUE"""),85.97)</f>
        <v>85.97</v>
      </c>
      <c r="E574" s="5" t="n">
        <f aca="false">IFERROR(__xludf.dummyfunction("""COMPUTED_VALUE"""),87.05)</f>
        <v>87.05</v>
      </c>
      <c r="F574" s="5" t="n">
        <f aca="false">IFERROR(__xludf.dummyfunction("""COMPUTED_VALUE"""),7910506)</f>
        <v>7910506</v>
      </c>
    </row>
    <row r="575" customFormat="false" ht="15.75" hidden="false" customHeight="false" outlineLevel="0" collapsed="false">
      <c r="A575" s="6" t="n">
        <f aca="false">IFERROR(__xludf.dummyfunction("""COMPUTED_VALUE"""),45030.6666666667)</f>
        <v>45030.6666666667</v>
      </c>
      <c r="B575" s="5" t="n">
        <f aca="false">IFERROR(__xludf.dummyfunction("""COMPUTED_VALUE"""),87.95)</f>
        <v>87.95</v>
      </c>
      <c r="C575" s="5" t="n">
        <f aca="false">IFERROR(__xludf.dummyfunction("""COMPUTED_VALUE"""),88.37)</f>
        <v>88.37</v>
      </c>
      <c r="D575" s="5" t="n">
        <f aca="false">IFERROR(__xludf.dummyfunction("""COMPUTED_VALUE"""),86.54)</f>
        <v>86.54</v>
      </c>
      <c r="E575" s="5" t="n">
        <f aca="false">IFERROR(__xludf.dummyfunction("""COMPUTED_VALUE"""),87.2)</f>
        <v>87.2</v>
      </c>
      <c r="F575" s="5" t="n">
        <f aca="false">IFERROR(__xludf.dummyfunction("""COMPUTED_VALUE"""),7656385)</f>
        <v>7656385</v>
      </c>
    </row>
    <row r="576" customFormat="false" ht="15.75" hidden="false" customHeight="false" outlineLevel="0" collapsed="false">
      <c r="A576" s="6" t="n">
        <f aca="false">IFERROR(__xludf.dummyfunction("""COMPUTED_VALUE"""),45033.6666666667)</f>
        <v>45033.6666666667</v>
      </c>
      <c r="B576" s="5" t="n">
        <f aca="false">IFERROR(__xludf.dummyfunction("""COMPUTED_VALUE"""),87.75)</f>
        <v>87.75</v>
      </c>
      <c r="C576" s="5" t="n">
        <f aca="false">IFERROR(__xludf.dummyfunction("""COMPUTED_VALUE"""),88.05)</f>
        <v>88.05</v>
      </c>
      <c r="D576" s="5" t="n">
        <f aca="false">IFERROR(__xludf.dummyfunction("""COMPUTED_VALUE"""),87.16)</f>
        <v>87.16</v>
      </c>
      <c r="E576" s="5" t="n">
        <f aca="false">IFERROR(__xludf.dummyfunction("""COMPUTED_VALUE"""),87.99)</f>
        <v>87.99</v>
      </c>
      <c r="F576" s="5" t="n">
        <f aca="false">IFERROR(__xludf.dummyfunction("""COMPUTED_VALUE"""),8163582)</f>
        <v>8163582</v>
      </c>
    </row>
    <row r="577" customFormat="false" ht="15.75" hidden="false" customHeight="false" outlineLevel="0" collapsed="false">
      <c r="A577" s="6" t="n">
        <f aca="false">IFERROR(__xludf.dummyfunction("""COMPUTED_VALUE"""),45034.6666666667)</f>
        <v>45034.6666666667</v>
      </c>
      <c r="B577" s="5" t="n">
        <f aca="false">IFERROR(__xludf.dummyfunction("""COMPUTED_VALUE"""),88.2)</f>
        <v>88.2</v>
      </c>
      <c r="C577" s="5" t="n">
        <f aca="false">IFERROR(__xludf.dummyfunction("""COMPUTED_VALUE"""),88.4)</f>
        <v>88.4</v>
      </c>
      <c r="D577" s="5" t="n">
        <f aca="false">IFERROR(__xludf.dummyfunction("""COMPUTED_VALUE"""),87.5)</f>
        <v>87.5</v>
      </c>
      <c r="E577" s="5" t="n">
        <f aca="false">IFERROR(__xludf.dummyfunction("""COMPUTED_VALUE"""),88.14)</f>
        <v>88.14</v>
      </c>
      <c r="F577" s="5" t="n">
        <f aca="false">IFERROR(__xludf.dummyfunction("""COMPUTED_VALUE"""),8468232)</f>
        <v>8468232</v>
      </c>
    </row>
    <row r="578" customFormat="false" ht="15.75" hidden="false" customHeight="false" outlineLevel="0" collapsed="false">
      <c r="A578" s="6" t="n">
        <f aca="false">IFERROR(__xludf.dummyfunction("""COMPUTED_VALUE"""),45035.6666666667)</f>
        <v>45035.6666666667</v>
      </c>
      <c r="B578" s="5" t="n">
        <f aca="false">IFERROR(__xludf.dummyfunction("""COMPUTED_VALUE"""),86.23)</f>
        <v>86.23</v>
      </c>
      <c r="C578" s="5" t="n">
        <f aca="false">IFERROR(__xludf.dummyfunction("""COMPUTED_VALUE"""),87.38)</f>
        <v>87.38</v>
      </c>
      <c r="D578" s="5" t="n">
        <f aca="false">IFERROR(__xludf.dummyfunction("""COMPUTED_VALUE"""),86.04)</f>
        <v>86.04</v>
      </c>
      <c r="E578" s="5" t="n">
        <f aca="false">IFERROR(__xludf.dummyfunction("""COMPUTED_VALUE"""),87.23)</f>
        <v>87.23</v>
      </c>
      <c r="F578" s="5" t="n">
        <f aca="false">IFERROR(__xludf.dummyfunction("""COMPUTED_VALUE"""),11191264)</f>
        <v>11191264</v>
      </c>
    </row>
    <row r="579" customFormat="false" ht="15.75" hidden="false" customHeight="false" outlineLevel="0" collapsed="false">
      <c r="A579" s="6" t="n">
        <f aca="false">IFERROR(__xludf.dummyfunction("""COMPUTED_VALUE"""),45036.6666666667)</f>
        <v>45036.6666666667</v>
      </c>
      <c r="B579" s="5" t="n">
        <f aca="false">IFERROR(__xludf.dummyfunction("""COMPUTED_VALUE"""),88.32)</f>
        <v>88.32</v>
      </c>
      <c r="C579" s="5" t="n">
        <f aca="false">IFERROR(__xludf.dummyfunction("""COMPUTED_VALUE"""),91.88)</f>
        <v>91.88</v>
      </c>
      <c r="D579" s="5" t="n">
        <f aca="false">IFERROR(__xludf.dummyfunction("""COMPUTED_VALUE"""),88.1)</f>
        <v>88.1</v>
      </c>
      <c r="E579" s="5" t="n">
        <f aca="false">IFERROR(__xludf.dummyfunction("""COMPUTED_VALUE"""),89.29)</f>
        <v>89.29</v>
      </c>
      <c r="F579" s="5" t="n">
        <f aca="false">IFERROR(__xludf.dummyfunction("""COMPUTED_VALUE"""),19206258)</f>
        <v>19206258</v>
      </c>
    </row>
    <row r="580" customFormat="false" ht="15.75" hidden="false" customHeight="false" outlineLevel="0" collapsed="false">
      <c r="A580" s="6" t="n">
        <f aca="false">IFERROR(__xludf.dummyfunction("""COMPUTED_VALUE"""),45037.6666666667)</f>
        <v>45037.6666666667</v>
      </c>
      <c r="B580" s="5" t="n">
        <f aca="false">IFERROR(__xludf.dummyfunction("""COMPUTED_VALUE"""),87.78)</f>
        <v>87.78</v>
      </c>
      <c r="C580" s="5" t="n">
        <f aca="false">IFERROR(__xludf.dummyfunction("""COMPUTED_VALUE"""),87.91)</f>
        <v>87.91</v>
      </c>
      <c r="D580" s="5" t="n">
        <f aca="false">IFERROR(__xludf.dummyfunction("""COMPUTED_VALUE"""),85.28)</f>
        <v>85.28</v>
      </c>
      <c r="E580" s="5" t="n">
        <f aca="false">IFERROR(__xludf.dummyfunction("""COMPUTED_VALUE"""),85.37)</f>
        <v>85.37</v>
      </c>
      <c r="F580" s="5" t="n">
        <f aca="false">IFERROR(__xludf.dummyfunction("""COMPUTED_VALUE"""),13175396)</f>
        <v>13175396</v>
      </c>
    </row>
    <row r="581" customFormat="false" ht="15.75" hidden="false" customHeight="false" outlineLevel="0" collapsed="false">
      <c r="A581" s="6" t="n">
        <f aca="false">IFERROR(__xludf.dummyfunction("""COMPUTED_VALUE"""),45040.6666666667)</f>
        <v>45040.6666666667</v>
      </c>
      <c r="B581" s="5" t="n">
        <f aca="false">IFERROR(__xludf.dummyfunction("""COMPUTED_VALUE"""),85.4)</f>
        <v>85.4</v>
      </c>
      <c r="C581" s="5" t="n">
        <f aca="false">IFERROR(__xludf.dummyfunction("""COMPUTED_VALUE"""),85.96)</f>
        <v>85.96</v>
      </c>
      <c r="D581" s="5" t="n">
        <f aca="false">IFERROR(__xludf.dummyfunction("""COMPUTED_VALUE"""),83.99)</f>
        <v>83.99</v>
      </c>
      <c r="E581" s="5" t="n">
        <f aca="false">IFERROR(__xludf.dummyfunction("""COMPUTED_VALUE"""),84.64)</f>
        <v>84.64</v>
      </c>
      <c r="F581" s="5" t="n">
        <f aca="false">IFERROR(__xludf.dummyfunction("""COMPUTED_VALUE"""),10567552)</f>
        <v>10567552</v>
      </c>
    </row>
    <row r="582" customFormat="false" ht="15.75" hidden="false" customHeight="false" outlineLevel="0" collapsed="false">
      <c r="A582" s="6" t="n">
        <f aca="false">IFERROR(__xludf.dummyfunction("""COMPUTED_VALUE"""),45041.6666666667)</f>
        <v>45041.6666666667</v>
      </c>
      <c r="B582" s="5" t="n">
        <f aca="false">IFERROR(__xludf.dummyfunction("""COMPUTED_VALUE"""),83.27)</f>
        <v>83.27</v>
      </c>
      <c r="C582" s="5" t="n">
        <f aca="false">IFERROR(__xludf.dummyfunction("""COMPUTED_VALUE"""),83.4)</f>
        <v>83.4</v>
      </c>
      <c r="D582" s="5" t="n">
        <f aca="false">IFERROR(__xludf.dummyfunction("""COMPUTED_VALUE"""),82.26)</f>
        <v>82.26</v>
      </c>
      <c r="E582" s="5" t="n">
        <f aca="false">IFERROR(__xludf.dummyfunction("""COMPUTED_VALUE"""),82.29)</f>
        <v>82.29</v>
      </c>
      <c r="F582" s="5" t="n">
        <f aca="false">IFERROR(__xludf.dummyfunction("""COMPUTED_VALUE"""),13423692)</f>
        <v>13423692</v>
      </c>
    </row>
    <row r="583" customFormat="false" ht="15.75" hidden="false" customHeight="false" outlineLevel="0" collapsed="false">
      <c r="A583" s="6" t="n">
        <f aca="false">IFERROR(__xludf.dummyfunction("""COMPUTED_VALUE"""),45042.6666666667)</f>
        <v>45042.6666666667</v>
      </c>
      <c r="B583" s="5" t="n">
        <f aca="false">IFERROR(__xludf.dummyfunction("""COMPUTED_VALUE"""),82.24)</f>
        <v>82.24</v>
      </c>
      <c r="C583" s="5" t="n">
        <f aca="false">IFERROR(__xludf.dummyfunction("""COMPUTED_VALUE"""),82.38)</f>
        <v>82.38</v>
      </c>
      <c r="D583" s="5" t="n">
        <f aca="false">IFERROR(__xludf.dummyfunction("""COMPUTED_VALUE"""),81.21)</f>
        <v>81.21</v>
      </c>
      <c r="E583" s="5" t="n">
        <f aca="false">IFERROR(__xludf.dummyfunction("""COMPUTED_VALUE"""),82.25)</f>
        <v>82.25</v>
      </c>
      <c r="F583" s="5" t="n">
        <f aca="false">IFERROR(__xludf.dummyfunction("""COMPUTED_VALUE"""),11583451)</f>
        <v>11583451</v>
      </c>
    </row>
    <row r="584" customFormat="false" ht="15.75" hidden="false" customHeight="false" outlineLevel="0" collapsed="false">
      <c r="A584" s="6" t="n">
        <f aca="false">IFERROR(__xludf.dummyfunction("""COMPUTED_VALUE"""),45043.6666666667)</f>
        <v>45043.6666666667</v>
      </c>
      <c r="B584" s="5" t="n">
        <f aca="false">IFERROR(__xludf.dummyfunction("""COMPUTED_VALUE"""),82.9)</f>
        <v>82.9</v>
      </c>
      <c r="C584" s="5" t="n">
        <f aca="false">IFERROR(__xludf.dummyfunction("""COMPUTED_VALUE"""),83.86)</f>
        <v>83.86</v>
      </c>
      <c r="D584" s="5" t="n">
        <f aca="false">IFERROR(__xludf.dummyfunction("""COMPUTED_VALUE"""),82.16)</f>
        <v>82.16</v>
      </c>
      <c r="E584" s="5" t="n">
        <f aca="false">IFERROR(__xludf.dummyfunction("""COMPUTED_VALUE"""),83.67)</f>
        <v>83.67</v>
      </c>
      <c r="F584" s="5" t="n">
        <f aca="false">IFERROR(__xludf.dummyfunction("""COMPUTED_VALUE"""),10013661)</f>
        <v>10013661</v>
      </c>
    </row>
    <row r="585" customFormat="false" ht="15.75" hidden="false" customHeight="false" outlineLevel="0" collapsed="false">
      <c r="A585" s="6" t="n">
        <f aca="false">IFERROR(__xludf.dummyfunction("""COMPUTED_VALUE"""),45044.6666666667)</f>
        <v>45044.6666666667</v>
      </c>
      <c r="B585" s="5" t="n">
        <f aca="false">IFERROR(__xludf.dummyfunction("""COMPUTED_VALUE"""),84.48)</f>
        <v>84.48</v>
      </c>
      <c r="C585" s="5" t="n">
        <f aca="false">IFERROR(__xludf.dummyfunction("""COMPUTED_VALUE"""),84.51)</f>
        <v>84.51</v>
      </c>
      <c r="D585" s="5" t="n">
        <f aca="false">IFERROR(__xludf.dummyfunction("""COMPUTED_VALUE"""),83.72)</f>
        <v>83.72</v>
      </c>
      <c r="E585" s="5" t="n">
        <f aca="false">IFERROR(__xludf.dummyfunction("""COMPUTED_VALUE"""),84.3)</f>
        <v>84.3</v>
      </c>
      <c r="F585" s="5" t="n">
        <f aca="false">IFERROR(__xludf.dummyfunction("""COMPUTED_VALUE"""),8262599)</f>
        <v>8262599</v>
      </c>
    </row>
    <row r="586" customFormat="false" ht="15.75" hidden="false" customHeight="false" outlineLevel="0" collapsed="false">
      <c r="A586" s="6" t="n">
        <f aca="false">IFERROR(__xludf.dummyfunction("""COMPUTED_VALUE"""),45047.6666666667)</f>
        <v>45047.6666666667</v>
      </c>
      <c r="B586" s="5" t="n">
        <f aca="false">IFERROR(__xludf.dummyfunction("""COMPUTED_VALUE"""),84.3)</f>
        <v>84.3</v>
      </c>
      <c r="C586" s="5" t="n">
        <f aca="false">IFERROR(__xludf.dummyfunction("""COMPUTED_VALUE"""),84.69)</f>
        <v>84.69</v>
      </c>
      <c r="D586" s="5" t="n">
        <f aca="false">IFERROR(__xludf.dummyfunction("""COMPUTED_VALUE"""),83.9)</f>
        <v>83.9</v>
      </c>
      <c r="E586" s="5" t="n">
        <f aca="false">IFERROR(__xludf.dummyfunction("""COMPUTED_VALUE"""),83.98)</f>
        <v>83.98</v>
      </c>
      <c r="F586" s="5" t="n">
        <f aca="false">IFERROR(__xludf.dummyfunction("""COMPUTED_VALUE"""),4931139)</f>
        <v>4931139</v>
      </c>
    </row>
    <row r="587" customFormat="false" ht="15.75" hidden="false" customHeight="false" outlineLevel="0" collapsed="false">
      <c r="A587" s="6" t="n">
        <f aca="false">IFERROR(__xludf.dummyfunction("""COMPUTED_VALUE"""),45048.6666666667)</f>
        <v>45048.6666666667</v>
      </c>
      <c r="B587" s="5" t="n">
        <f aca="false">IFERROR(__xludf.dummyfunction("""COMPUTED_VALUE"""),83.5)</f>
        <v>83.5</v>
      </c>
      <c r="C587" s="5" t="n">
        <f aca="false">IFERROR(__xludf.dummyfunction("""COMPUTED_VALUE"""),84.05)</f>
        <v>84.05</v>
      </c>
      <c r="D587" s="5" t="n">
        <f aca="false">IFERROR(__xludf.dummyfunction("""COMPUTED_VALUE"""),82.55)</f>
        <v>82.55</v>
      </c>
      <c r="E587" s="5" t="n">
        <f aca="false">IFERROR(__xludf.dummyfunction("""COMPUTED_VALUE"""),82.96)</f>
        <v>82.96</v>
      </c>
      <c r="F587" s="5" t="n">
        <f aca="false">IFERROR(__xludf.dummyfunction("""COMPUTED_VALUE"""),6874978)</f>
        <v>6874978</v>
      </c>
    </row>
    <row r="588" customFormat="false" ht="15.75" hidden="false" customHeight="false" outlineLevel="0" collapsed="false">
      <c r="A588" s="6" t="n">
        <f aca="false">IFERROR(__xludf.dummyfunction("""COMPUTED_VALUE"""),45049.6666666667)</f>
        <v>45049.6666666667</v>
      </c>
      <c r="B588" s="5" t="n">
        <f aca="false">IFERROR(__xludf.dummyfunction("""COMPUTED_VALUE"""),82.62)</f>
        <v>82.62</v>
      </c>
      <c r="C588" s="5" t="n">
        <f aca="false">IFERROR(__xludf.dummyfunction("""COMPUTED_VALUE"""),83.76)</f>
        <v>83.76</v>
      </c>
      <c r="D588" s="5" t="n">
        <f aca="false">IFERROR(__xludf.dummyfunction("""COMPUTED_VALUE"""),82.44)</f>
        <v>82.44</v>
      </c>
      <c r="E588" s="5" t="n">
        <f aca="false">IFERROR(__xludf.dummyfunction("""COMPUTED_VALUE"""),82.7)</f>
        <v>82.7</v>
      </c>
      <c r="F588" s="5" t="n">
        <f aca="false">IFERROR(__xludf.dummyfunction("""COMPUTED_VALUE"""),7151630)</f>
        <v>7151630</v>
      </c>
    </row>
    <row r="589" customFormat="false" ht="15.75" hidden="false" customHeight="false" outlineLevel="0" collapsed="false">
      <c r="A589" s="6" t="n">
        <f aca="false">IFERROR(__xludf.dummyfunction("""COMPUTED_VALUE"""),45050.6666666667)</f>
        <v>45050.6666666667</v>
      </c>
      <c r="B589" s="5" t="n">
        <f aca="false">IFERROR(__xludf.dummyfunction("""COMPUTED_VALUE"""),83)</f>
        <v>83</v>
      </c>
      <c r="C589" s="5" t="n">
        <f aca="false">IFERROR(__xludf.dummyfunction("""COMPUTED_VALUE"""),83.76)</f>
        <v>83.76</v>
      </c>
      <c r="D589" s="5" t="n">
        <f aca="false">IFERROR(__xludf.dummyfunction("""COMPUTED_VALUE"""),82.64)</f>
        <v>82.64</v>
      </c>
      <c r="E589" s="5" t="n">
        <f aca="false">IFERROR(__xludf.dummyfunction("""COMPUTED_VALUE"""),83.49)</f>
        <v>83.49</v>
      </c>
      <c r="F589" s="5" t="n">
        <f aca="false">IFERROR(__xludf.dummyfunction("""COMPUTED_VALUE"""),7290557)</f>
        <v>7290557</v>
      </c>
    </row>
    <row r="590" customFormat="false" ht="15.75" hidden="false" customHeight="false" outlineLevel="0" collapsed="false">
      <c r="A590" s="6" t="n">
        <f aca="false">IFERROR(__xludf.dummyfunction("""COMPUTED_VALUE"""),45051.6666666667)</f>
        <v>45051.6666666667</v>
      </c>
      <c r="B590" s="5" t="n">
        <f aca="false">IFERROR(__xludf.dummyfunction("""COMPUTED_VALUE"""),84.3)</f>
        <v>84.3</v>
      </c>
      <c r="C590" s="5" t="n">
        <f aca="false">IFERROR(__xludf.dummyfunction("""COMPUTED_VALUE"""),85.57)</f>
        <v>85.57</v>
      </c>
      <c r="D590" s="5" t="n">
        <f aca="false">IFERROR(__xludf.dummyfunction("""COMPUTED_VALUE"""),83.75)</f>
        <v>83.75</v>
      </c>
      <c r="E590" s="5" t="n">
        <f aca="false">IFERROR(__xludf.dummyfunction("""COMPUTED_VALUE"""),84.97)</f>
        <v>84.97</v>
      </c>
      <c r="F590" s="5" t="n">
        <f aca="false">IFERROR(__xludf.dummyfunction("""COMPUTED_VALUE"""),6865003)</f>
        <v>6865003</v>
      </c>
    </row>
    <row r="591" customFormat="false" ht="15.75" hidden="false" customHeight="false" outlineLevel="0" collapsed="false">
      <c r="A591" s="6" t="n">
        <f aca="false">IFERROR(__xludf.dummyfunction("""COMPUTED_VALUE"""),45054.6666666667)</f>
        <v>45054.6666666667</v>
      </c>
      <c r="B591" s="5" t="n">
        <f aca="false">IFERROR(__xludf.dummyfunction("""COMPUTED_VALUE"""),84.5)</f>
        <v>84.5</v>
      </c>
      <c r="C591" s="5" t="n">
        <f aca="false">IFERROR(__xludf.dummyfunction("""COMPUTED_VALUE"""),85.54)</f>
        <v>85.54</v>
      </c>
      <c r="D591" s="5" t="n">
        <f aca="false">IFERROR(__xludf.dummyfunction("""COMPUTED_VALUE"""),84.41)</f>
        <v>84.41</v>
      </c>
      <c r="E591" s="5" t="n">
        <f aca="false">IFERROR(__xludf.dummyfunction("""COMPUTED_VALUE"""),85.54)</f>
        <v>85.54</v>
      </c>
      <c r="F591" s="5" t="n">
        <f aca="false">IFERROR(__xludf.dummyfunction("""COMPUTED_VALUE"""),6746640)</f>
        <v>6746640</v>
      </c>
    </row>
    <row r="592" customFormat="false" ht="15.75" hidden="false" customHeight="false" outlineLevel="0" collapsed="false">
      <c r="A592" s="6" t="n">
        <f aca="false">IFERROR(__xludf.dummyfunction("""COMPUTED_VALUE"""),45055.6666666667)</f>
        <v>45055.6666666667</v>
      </c>
      <c r="B592" s="5" t="n">
        <f aca="false">IFERROR(__xludf.dummyfunction("""COMPUTED_VALUE"""),85.25)</f>
        <v>85.25</v>
      </c>
      <c r="C592" s="5" t="n">
        <f aca="false">IFERROR(__xludf.dummyfunction("""COMPUTED_VALUE"""),85.48)</f>
        <v>85.48</v>
      </c>
      <c r="D592" s="5" t="n">
        <f aca="false">IFERROR(__xludf.dummyfunction("""COMPUTED_VALUE"""),84.3)</f>
        <v>84.3</v>
      </c>
      <c r="E592" s="5" t="n">
        <f aca="false">IFERROR(__xludf.dummyfunction("""COMPUTED_VALUE"""),85.06)</f>
        <v>85.06</v>
      </c>
      <c r="F592" s="5" t="n">
        <f aca="false">IFERROR(__xludf.dummyfunction("""COMPUTED_VALUE"""),7287804)</f>
        <v>7287804</v>
      </c>
    </row>
    <row r="593" customFormat="false" ht="15.75" hidden="false" customHeight="false" outlineLevel="0" collapsed="false">
      <c r="A593" s="6" t="n">
        <f aca="false">IFERROR(__xludf.dummyfunction("""COMPUTED_VALUE"""),45056.6666666667)</f>
        <v>45056.6666666667</v>
      </c>
      <c r="B593" s="5" t="n">
        <f aca="false">IFERROR(__xludf.dummyfunction("""COMPUTED_VALUE"""),84.51)</f>
        <v>84.51</v>
      </c>
      <c r="C593" s="5" t="n">
        <f aca="false">IFERROR(__xludf.dummyfunction("""COMPUTED_VALUE"""),85.15)</f>
        <v>85.15</v>
      </c>
      <c r="D593" s="5" t="n">
        <f aca="false">IFERROR(__xludf.dummyfunction("""COMPUTED_VALUE"""),84.17)</f>
        <v>84.17</v>
      </c>
      <c r="E593" s="5" t="n">
        <f aca="false">IFERROR(__xludf.dummyfunction("""COMPUTED_VALUE"""),84.9)</f>
        <v>84.9</v>
      </c>
      <c r="F593" s="5" t="n">
        <f aca="false">IFERROR(__xludf.dummyfunction("""COMPUTED_VALUE"""),7442294)</f>
        <v>7442294</v>
      </c>
    </row>
    <row r="594" customFormat="false" ht="15.75" hidden="false" customHeight="false" outlineLevel="0" collapsed="false">
      <c r="A594" s="6" t="n">
        <f aca="false">IFERROR(__xludf.dummyfunction("""COMPUTED_VALUE"""),45057.6666666667)</f>
        <v>45057.6666666667</v>
      </c>
      <c r="B594" s="5" t="n">
        <f aca="false">IFERROR(__xludf.dummyfunction("""COMPUTED_VALUE"""),84.14)</f>
        <v>84.14</v>
      </c>
      <c r="C594" s="5" t="n">
        <f aca="false">IFERROR(__xludf.dummyfunction("""COMPUTED_VALUE"""),84.14)</f>
        <v>84.14</v>
      </c>
      <c r="D594" s="5" t="n">
        <f aca="false">IFERROR(__xludf.dummyfunction("""COMPUTED_VALUE"""),82.53)</f>
        <v>82.53</v>
      </c>
      <c r="E594" s="5" t="n">
        <f aca="false">IFERROR(__xludf.dummyfunction("""COMPUTED_VALUE"""),83.43)</f>
        <v>83.43</v>
      </c>
      <c r="F594" s="5" t="n">
        <f aca="false">IFERROR(__xludf.dummyfunction("""COMPUTED_VALUE"""),8730884)</f>
        <v>8730884</v>
      </c>
    </row>
    <row r="595" customFormat="false" ht="15.75" hidden="false" customHeight="false" outlineLevel="0" collapsed="false">
      <c r="A595" s="6" t="n">
        <f aca="false">IFERROR(__xludf.dummyfunction("""COMPUTED_VALUE"""),45058.6666666667)</f>
        <v>45058.6666666667</v>
      </c>
      <c r="B595" s="5" t="n">
        <f aca="false">IFERROR(__xludf.dummyfunction("""COMPUTED_VALUE"""),83.38)</f>
        <v>83.38</v>
      </c>
      <c r="C595" s="5" t="n">
        <f aca="false">IFERROR(__xludf.dummyfunction("""COMPUTED_VALUE"""),83.93)</f>
        <v>83.93</v>
      </c>
      <c r="D595" s="5" t="n">
        <f aca="false">IFERROR(__xludf.dummyfunction("""COMPUTED_VALUE"""),82.95)</f>
        <v>82.95</v>
      </c>
      <c r="E595" s="5" t="n">
        <f aca="false">IFERROR(__xludf.dummyfunction("""COMPUTED_VALUE"""),83.43)</f>
        <v>83.43</v>
      </c>
      <c r="F595" s="5" t="n">
        <f aca="false">IFERROR(__xludf.dummyfunction("""COMPUTED_VALUE"""),5069826)</f>
        <v>5069826</v>
      </c>
    </row>
    <row r="596" customFormat="false" ht="15.75" hidden="false" customHeight="false" outlineLevel="0" collapsed="false">
      <c r="A596" s="6" t="n">
        <f aca="false">IFERROR(__xludf.dummyfunction("""COMPUTED_VALUE"""),45061.6666666667)</f>
        <v>45061.6666666667</v>
      </c>
      <c r="B596" s="5" t="n">
        <f aca="false">IFERROR(__xludf.dummyfunction("""COMPUTED_VALUE"""),83.33)</f>
        <v>83.33</v>
      </c>
      <c r="C596" s="5" t="n">
        <f aca="false">IFERROR(__xludf.dummyfunction("""COMPUTED_VALUE"""),85.67)</f>
        <v>85.67</v>
      </c>
      <c r="D596" s="5" t="n">
        <f aca="false">IFERROR(__xludf.dummyfunction("""COMPUTED_VALUE"""),83.23)</f>
        <v>83.23</v>
      </c>
      <c r="E596" s="5" t="n">
        <f aca="false">IFERROR(__xludf.dummyfunction("""COMPUTED_VALUE"""),85.66)</f>
        <v>85.66</v>
      </c>
      <c r="F596" s="5" t="n">
        <f aca="false">IFERROR(__xludf.dummyfunction("""COMPUTED_VALUE"""),8707286)</f>
        <v>8707286</v>
      </c>
    </row>
    <row r="597" customFormat="false" ht="15.75" hidden="false" customHeight="false" outlineLevel="0" collapsed="false">
      <c r="A597" s="6" t="n">
        <f aca="false">IFERROR(__xludf.dummyfunction("""COMPUTED_VALUE"""),45062.6666666667)</f>
        <v>45062.6666666667</v>
      </c>
      <c r="B597" s="5" t="n">
        <f aca="false">IFERROR(__xludf.dummyfunction("""COMPUTED_VALUE"""),85.69)</f>
        <v>85.69</v>
      </c>
      <c r="C597" s="5" t="n">
        <f aca="false">IFERROR(__xludf.dummyfunction("""COMPUTED_VALUE"""),86.75)</f>
        <v>86.75</v>
      </c>
      <c r="D597" s="5" t="n">
        <f aca="false">IFERROR(__xludf.dummyfunction("""COMPUTED_VALUE"""),85.59)</f>
        <v>85.59</v>
      </c>
      <c r="E597" s="5" t="n">
        <f aca="false">IFERROR(__xludf.dummyfunction("""COMPUTED_VALUE"""),85.88)</f>
        <v>85.88</v>
      </c>
      <c r="F597" s="5" t="n">
        <f aca="false">IFERROR(__xludf.dummyfunction("""COMPUTED_VALUE"""),11286533)</f>
        <v>11286533</v>
      </c>
    </row>
    <row r="598" customFormat="false" ht="15.75" hidden="false" customHeight="false" outlineLevel="0" collapsed="false">
      <c r="A598" s="6" t="n">
        <f aca="false">IFERROR(__xludf.dummyfunction("""COMPUTED_VALUE"""),45063.6666666667)</f>
        <v>45063.6666666667</v>
      </c>
      <c r="B598" s="5" t="n">
        <f aca="false">IFERROR(__xludf.dummyfunction("""COMPUTED_VALUE"""),88.3)</f>
        <v>88.3</v>
      </c>
      <c r="C598" s="5" t="n">
        <f aca="false">IFERROR(__xludf.dummyfunction("""COMPUTED_VALUE"""),91.8)</f>
        <v>91.8</v>
      </c>
      <c r="D598" s="5" t="n">
        <f aca="false">IFERROR(__xludf.dummyfunction("""COMPUTED_VALUE"""),88.06)</f>
        <v>88.06</v>
      </c>
      <c r="E598" s="5" t="n">
        <f aca="false">IFERROR(__xludf.dummyfunction("""COMPUTED_VALUE"""),90.88)</f>
        <v>90.88</v>
      </c>
      <c r="F598" s="5" t="n">
        <f aca="false">IFERROR(__xludf.dummyfunction("""COMPUTED_VALUE"""),23215574)</f>
        <v>23215574</v>
      </c>
    </row>
    <row r="599" customFormat="false" ht="15.75" hidden="false" customHeight="false" outlineLevel="0" collapsed="false">
      <c r="A599" s="6" t="n">
        <f aca="false">IFERROR(__xludf.dummyfunction("""COMPUTED_VALUE"""),45064.6666666667)</f>
        <v>45064.6666666667</v>
      </c>
      <c r="B599" s="5" t="n">
        <f aca="false">IFERROR(__xludf.dummyfunction("""COMPUTED_VALUE"""),91.25)</f>
        <v>91.25</v>
      </c>
      <c r="C599" s="5" t="n">
        <f aca="false">IFERROR(__xludf.dummyfunction("""COMPUTED_VALUE"""),93.4)</f>
        <v>93.4</v>
      </c>
      <c r="D599" s="5" t="n">
        <f aca="false">IFERROR(__xludf.dummyfunction("""COMPUTED_VALUE"""),91.07)</f>
        <v>91.07</v>
      </c>
      <c r="E599" s="5" t="n">
        <f aca="false">IFERROR(__xludf.dummyfunction("""COMPUTED_VALUE"""),92.65)</f>
        <v>92.65</v>
      </c>
      <c r="F599" s="5" t="n">
        <f aca="false">IFERROR(__xludf.dummyfunction("""COMPUTED_VALUE"""),14879044)</f>
        <v>14879044</v>
      </c>
    </row>
    <row r="600" customFormat="false" ht="15.75" hidden="false" customHeight="false" outlineLevel="0" collapsed="false">
      <c r="A600" s="6" t="n">
        <f aca="false">IFERROR(__xludf.dummyfunction("""COMPUTED_VALUE"""),45065.6666666667)</f>
        <v>45065.6666666667</v>
      </c>
      <c r="B600" s="5" t="n">
        <f aca="false">IFERROR(__xludf.dummyfunction("""COMPUTED_VALUE"""),92.13)</f>
        <v>92.13</v>
      </c>
      <c r="C600" s="5" t="n">
        <f aca="false">IFERROR(__xludf.dummyfunction("""COMPUTED_VALUE"""),92.79)</f>
        <v>92.79</v>
      </c>
      <c r="D600" s="5" t="n">
        <f aca="false">IFERROR(__xludf.dummyfunction("""COMPUTED_VALUE"""),91.56)</f>
        <v>91.56</v>
      </c>
      <c r="E600" s="5" t="n">
        <f aca="false">IFERROR(__xludf.dummyfunction("""COMPUTED_VALUE"""),92.58)</f>
        <v>92.58</v>
      </c>
      <c r="F600" s="5" t="n">
        <f aca="false">IFERROR(__xludf.dummyfunction("""COMPUTED_VALUE"""),9295245)</f>
        <v>9295245</v>
      </c>
    </row>
    <row r="601" customFormat="false" ht="15.75" hidden="false" customHeight="false" outlineLevel="0" collapsed="false">
      <c r="A601" s="6" t="n">
        <f aca="false">IFERROR(__xludf.dummyfunction("""COMPUTED_VALUE"""),45068.6666666667)</f>
        <v>45068.6666666667</v>
      </c>
      <c r="B601" s="5" t="n">
        <f aca="false">IFERROR(__xludf.dummyfunction("""COMPUTED_VALUE"""),92.07)</f>
        <v>92.07</v>
      </c>
      <c r="C601" s="5" t="n">
        <f aca="false">IFERROR(__xludf.dummyfunction("""COMPUTED_VALUE"""),92.44)</f>
        <v>92.44</v>
      </c>
      <c r="D601" s="5" t="n">
        <f aca="false">IFERROR(__xludf.dummyfunction("""COMPUTED_VALUE"""),91.2)</f>
        <v>91.2</v>
      </c>
      <c r="E601" s="5" t="n">
        <f aca="false">IFERROR(__xludf.dummyfunction("""COMPUTED_VALUE"""),91.72)</f>
        <v>91.72</v>
      </c>
      <c r="F601" s="5" t="n">
        <f aca="false">IFERROR(__xludf.dummyfunction("""COMPUTED_VALUE"""),9259822)</f>
        <v>9259822</v>
      </c>
    </row>
    <row r="602" customFormat="false" ht="15.75" hidden="false" customHeight="false" outlineLevel="0" collapsed="false">
      <c r="A602" s="6" t="n">
        <f aca="false">IFERROR(__xludf.dummyfunction("""COMPUTED_VALUE"""),45069.6666666667)</f>
        <v>45069.6666666667</v>
      </c>
      <c r="B602" s="5" t="n">
        <f aca="false">IFERROR(__xludf.dummyfunction("""COMPUTED_VALUE"""),91)</f>
        <v>91</v>
      </c>
      <c r="C602" s="5" t="n">
        <f aca="false">IFERROR(__xludf.dummyfunction("""COMPUTED_VALUE"""),91.34)</f>
        <v>91.34</v>
      </c>
      <c r="D602" s="5" t="n">
        <f aca="false">IFERROR(__xludf.dummyfunction("""COMPUTED_VALUE"""),90.33)</f>
        <v>90.33</v>
      </c>
      <c r="E602" s="5" t="n">
        <f aca="false">IFERROR(__xludf.dummyfunction("""COMPUTED_VALUE"""),90.44)</f>
        <v>90.44</v>
      </c>
      <c r="F602" s="5" t="n">
        <f aca="false">IFERROR(__xludf.dummyfunction("""COMPUTED_VALUE"""),7656686)</f>
        <v>7656686</v>
      </c>
    </row>
    <row r="603" customFormat="false" ht="15.75" hidden="false" customHeight="false" outlineLevel="0" collapsed="false">
      <c r="A603" s="6" t="n">
        <f aca="false">IFERROR(__xludf.dummyfunction("""COMPUTED_VALUE"""),45070.6666666667)</f>
        <v>45070.6666666667</v>
      </c>
      <c r="B603" s="5" t="n">
        <f aca="false">IFERROR(__xludf.dummyfunction("""COMPUTED_VALUE"""),89.28)</f>
        <v>89.28</v>
      </c>
      <c r="C603" s="5" t="n">
        <f aca="false">IFERROR(__xludf.dummyfunction("""COMPUTED_VALUE"""),90.15)</f>
        <v>90.15</v>
      </c>
      <c r="D603" s="5" t="n">
        <f aca="false">IFERROR(__xludf.dummyfunction("""COMPUTED_VALUE"""),89.18)</f>
        <v>89.18</v>
      </c>
      <c r="E603" s="5" t="n">
        <f aca="false">IFERROR(__xludf.dummyfunction("""COMPUTED_VALUE"""),90.13)</f>
        <v>90.13</v>
      </c>
      <c r="F603" s="5" t="n">
        <f aca="false">IFERROR(__xludf.dummyfunction("""COMPUTED_VALUE"""),9443880)</f>
        <v>9443880</v>
      </c>
    </row>
    <row r="604" customFormat="false" ht="15.75" hidden="false" customHeight="false" outlineLevel="0" collapsed="false">
      <c r="A604" s="6" t="n">
        <f aca="false">IFERROR(__xludf.dummyfunction("""COMPUTED_VALUE"""),45071.6666666667)</f>
        <v>45071.6666666667</v>
      </c>
      <c r="B604" s="5" t="n">
        <f aca="false">IFERROR(__xludf.dummyfunction("""COMPUTED_VALUE"""),97.06)</f>
        <v>97.06</v>
      </c>
      <c r="C604" s="5" t="n">
        <f aca="false">IFERROR(__xludf.dummyfunction("""COMPUTED_VALUE"""),102.37)</f>
        <v>102.37</v>
      </c>
      <c r="D604" s="5" t="n">
        <f aca="false">IFERROR(__xludf.dummyfunction("""COMPUTED_VALUE"""),96.98)</f>
        <v>96.98</v>
      </c>
      <c r="E604" s="5" t="n">
        <f aca="false">IFERROR(__xludf.dummyfunction("""COMPUTED_VALUE"""),100.95)</f>
        <v>100.95</v>
      </c>
      <c r="F604" s="5" t="n">
        <f aca="false">IFERROR(__xludf.dummyfunction("""COMPUTED_VALUE"""),60793166)</f>
        <v>60793166</v>
      </c>
    </row>
    <row r="605" customFormat="false" ht="15.75" hidden="false" customHeight="false" outlineLevel="0" collapsed="false">
      <c r="A605" s="6" t="n">
        <f aca="false">IFERROR(__xludf.dummyfunction("""COMPUTED_VALUE"""),45072.6666666667)</f>
        <v>45072.6666666667</v>
      </c>
      <c r="B605" s="5" t="n">
        <f aca="false">IFERROR(__xludf.dummyfunction("""COMPUTED_VALUE"""),100.85)</f>
        <v>100.85</v>
      </c>
      <c r="C605" s="5" t="n">
        <f aca="false">IFERROR(__xludf.dummyfunction("""COMPUTED_VALUE"""),104.44)</f>
        <v>104.44</v>
      </c>
      <c r="D605" s="5" t="n">
        <f aca="false">IFERROR(__xludf.dummyfunction("""COMPUTED_VALUE"""),100.73)</f>
        <v>100.73</v>
      </c>
      <c r="E605" s="5" t="n">
        <f aca="false">IFERROR(__xludf.dummyfunction("""COMPUTED_VALUE"""),103.21)</f>
        <v>103.21</v>
      </c>
      <c r="F605" s="5" t="n">
        <f aca="false">IFERROR(__xludf.dummyfunction("""COMPUTED_VALUE"""),26135846)</f>
        <v>26135846</v>
      </c>
    </row>
    <row r="606" customFormat="false" ht="15.75" hidden="false" customHeight="false" outlineLevel="0" collapsed="false">
      <c r="A606" s="6" t="n">
        <f aca="false">IFERROR(__xludf.dummyfunction("""COMPUTED_VALUE"""),45076.6666666667)</f>
        <v>45076.6666666667</v>
      </c>
      <c r="B606" s="5" t="n">
        <f aca="false">IFERROR(__xludf.dummyfunction("""COMPUTED_VALUE"""),103.79)</f>
        <v>103.79</v>
      </c>
      <c r="C606" s="5" t="n">
        <f aca="false">IFERROR(__xludf.dummyfunction("""COMPUTED_VALUE"""),105.24)</f>
        <v>105.24</v>
      </c>
      <c r="D606" s="5" t="n">
        <f aca="false">IFERROR(__xludf.dummyfunction("""COMPUTED_VALUE"""),101.53)</f>
        <v>101.53</v>
      </c>
      <c r="E606" s="5" t="n">
        <f aca="false">IFERROR(__xludf.dummyfunction("""COMPUTED_VALUE"""),101.98)</f>
        <v>101.98</v>
      </c>
      <c r="F606" s="5" t="n">
        <f aca="false">IFERROR(__xludf.dummyfunction("""COMPUTED_VALUE"""),25247959)</f>
        <v>25247959</v>
      </c>
    </row>
    <row r="607" customFormat="false" ht="15.75" hidden="false" customHeight="false" outlineLevel="0" collapsed="false">
      <c r="A607" s="6" t="n">
        <f aca="false">IFERROR(__xludf.dummyfunction("""COMPUTED_VALUE"""),45077.6666666667)</f>
        <v>45077.6666666667</v>
      </c>
      <c r="B607" s="5" t="n">
        <f aca="false">IFERROR(__xludf.dummyfunction("""COMPUTED_VALUE"""),99.73)</f>
        <v>99.73</v>
      </c>
      <c r="C607" s="5" t="n">
        <f aca="false">IFERROR(__xludf.dummyfunction("""COMPUTED_VALUE"""),99.98)</f>
        <v>99.98</v>
      </c>
      <c r="D607" s="5" t="n">
        <f aca="false">IFERROR(__xludf.dummyfunction("""COMPUTED_VALUE"""),98.06)</f>
        <v>98.06</v>
      </c>
      <c r="E607" s="5" t="n">
        <f aca="false">IFERROR(__xludf.dummyfunction("""COMPUTED_VALUE"""),98.59)</f>
        <v>98.59</v>
      </c>
      <c r="F607" s="5" t="n">
        <f aca="false">IFERROR(__xludf.dummyfunction("""COMPUTED_VALUE"""),22206683)</f>
        <v>22206683</v>
      </c>
    </row>
    <row r="608" customFormat="false" ht="15.75" hidden="false" customHeight="false" outlineLevel="0" collapsed="false">
      <c r="A608" s="6" t="n">
        <f aca="false">IFERROR(__xludf.dummyfunction("""COMPUTED_VALUE"""),45078.6666666667)</f>
        <v>45078.6666666667</v>
      </c>
      <c r="B608" s="5" t="n">
        <f aca="false">IFERROR(__xludf.dummyfunction("""COMPUTED_VALUE"""),98.68)</f>
        <v>98.68</v>
      </c>
      <c r="C608" s="5" t="n">
        <f aca="false">IFERROR(__xludf.dummyfunction("""COMPUTED_VALUE"""),100.59)</f>
        <v>100.59</v>
      </c>
      <c r="D608" s="5" t="n">
        <f aca="false">IFERROR(__xludf.dummyfunction("""COMPUTED_VALUE"""),98.6)</f>
        <v>98.6</v>
      </c>
      <c r="E608" s="5" t="n">
        <f aca="false">IFERROR(__xludf.dummyfunction("""COMPUTED_VALUE"""),98.84)</f>
        <v>98.84</v>
      </c>
      <c r="F608" s="5" t="n">
        <f aca="false">IFERROR(__xludf.dummyfunction("""COMPUTED_VALUE"""),14998514)</f>
        <v>14998514</v>
      </c>
    </row>
    <row r="609" customFormat="false" ht="15.75" hidden="false" customHeight="false" outlineLevel="0" collapsed="false">
      <c r="A609" s="6" t="n">
        <f aca="false">IFERROR(__xludf.dummyfunction("""COMPUTED_VALUE"""),45079.6666666667)</f>
        <v>45079.6666666667</v>
      </c>
      <c r="B609" s="5" t="n">
        <f aca="false">IFERROR(__xludf.dummyfunction("""COMPUTED_VALUE"""),101.25)</f>
        <v>101.25</v>
      </c>
      <c r="C609" s="5" t="n">
        <f aca="false">IFERROR(__xludf.dummyfunction("""COMPUTED_VALUE"""),101.3)</f>
        <v>101.3</v>
      </c>
      <c r="D609" s="5" t="n">
        <f aca="false">IFERROR(__xludf.dummyfunction("""COMPUTED_VALUE"""),98.62)</f>
        <v>98.62</v>
      </c>
      <c r="E609" s="5" t="n">
        <f aca="false">IFERROR(__xludf.dummyfunction("""COMPUTED_VALUE"""),98.94)</f>
        <v>98.94</v>
      </c>
      <c r="F609" s="5" t="n">
        <f aca="false">IFERROR(__xludf.dummyfunction("""COMPUTED_VALUE"""),13085123)</f>
        <v>13085123</v>
      </c>
    </row>
    <row r="610" customFormat="false" ht="15.75" hidden="false" customHeight="false" outlineLevel="0" collapsed="false">
      <c r="A610" s="6" t="n">
        <f aca="false">IFERROR(__xludf.dummyfunction("""COMPUTED_VALUE"""),45082.6666666667)</f>
        <v>45082.6666666667</v>
      </c>
      <c r="B610" s="5" t="n">
        <f aca="false">IFERROR(__xludf.dummyfunction("""COMPUTED_VALUE"""),98.01)</f>
        <v>98.01</v>
      </c>
      <c r="C610" s="5" t="n">
        <f aca="false">IFERROR(__xludf.dummyfunction("""COMPUTED_VALUE"""),98.81)</f>
        <v>98.81</v>
      </c>
      <c r="D610" s="5" t="n">
        <f aca="false">IFERROR(__xludf.dummyfunction("""COMPUTED_VALUE"""),94.25)</f>
        <v>94.25</v>
      </c>
      <c r="E610" s="5" t="n">
        <f aca="false">IFERROR(__xludf.dummyfunction("""COMPUTED_VALUE"""),98.05)</f>
        <v>98.05</v>
      </c>
      <c r="F610" s="5" t="n">
        <f aca="false">IFERROR(__xludf.dummyfunction("""COMPUTED_VALUE"""),10568514)</f>
        <v>10568514</v>
      </c>
    </row>
    <row r="611" customFormat="false" ht="15.75" hidden="false" customHeight="false" outlineLevel="0" collapsed="false">
      <c r="A611" s="6" t="n">
        <f aca="false">IFERROR(__xludf.dummyfunction("""COMPUTED_VALUE"""),45083.6666666667)</f>
        <v>45083.6666666667</v>
      </c>
      <c r="B611" s="5" t="n">
        <f aca="false">IFERROR(__xludf.dummyfunction("""COMPUTED_VALUE"""),97.61)</f>
        <v>97.61</v>
      </c>
      <c r="C611" s="5" t="n">
        <f aca="false">IFERROR(__xludf.dummyfunction("""COMPUTED_VALUE"""),100.6)</f>
        <v>100.6</v>
      </c>
      <c r="D611" s="5" t="n">
        <f aca="false">IFERROR(__xludf.dummyfunction("""COMPUTED_VALUE"""),97.42)</f>
        <v>97.42</v>
      </c>
      <c r="E611" s="5" t="n">
        <f aca="false">IFERROR(__xludf.dummyfunction("""COMPUTED_VALUE"""),99.82)</f>
        <v>99.82</v>
      </c>
      <c r="F611" s="5" t="n">
        <f aca="false">IFERROR(__xludf.dummyfunction("""COMPUTED_VALUE"""),13827603)</f>
        <v>13827603</v>
      </c>
    </row>
    <row r="612" customFormat="false" ht="15.75" hidden="false" customHeight="false" outlineLevel="0" collapsed="false">
      <c r="A612" s="6" t="n">
        <f aca="false">IFERROR(__xludf.dummyfunction("""COMPUTED_VALUE"""),45084.6666666667)</f>
        <v>45084.6666666667</v>
      </c>
      <c r="B612" s="5" t="n">
        <f aca="false">IFERROR(__xludf.dummyfunction("""COMPUTED_VALUE"""),101.38)</f>
        <v>101.38</v>
      </c>
      <c r="C612" s="5" t="n">
        <f aca="false">IFERROR(__xludf.dummyfunction("""COMPUTED_VALUE"""),103.02)</f>
        <v>103.02</v>
      </c>
      <c r="D612" s="5" t="n">
        <f aca="false">IFERROR(__xludf.dummyfunction("""COMPUTED_VALUE"""),99.54)</f>
        <v>99.54</v>
      </c>
      <c r="E612" s="5" t="n">
        <f aca="false">IFERROR(__xludf.dummyfunction("""COMPUTED_VALUE"""),100.29)</f>
        <v>100.29</v>
      </c>
      <c r="F612" s="5" t="n">
        <f aca="false">IFERROR(__xludf.dummyfunction("""COMPUTED_VALUE"""),14367514)</f>
        <v>14367514</v>
      </c>
    </row>
    <row r="613" customFormat="false" ht="15.75" hidden="false" customHeight="false" outlineLevel="0" collapsed="false">
      <c r="A613" s="6" t="n">
        <f aca="false">IFERROR(__xludf.dummyfunction("""COMPUTED_VALUE"""),45085.6666666667)</f>
        <v>45085.6666666667</v>
      </c>
      <c r="B613" s="5" t="n">
        <f aca="false">IFERROR(__xludf.dummyfunction("""COMPUTED_VALUE"""),98.99)</f>
        <v>98.99</v>
      </c>
      <c r="C613" s="5" t="n">
        <f aca="false">IFERROR(__xludf.dummyfunction("""COMPUTED_VALUE"""),100.7)</f>
        <v>100.7</v>
      </c>
      <c r="D613" s="5" t="n">
        <f aca="false">IFERROR(__xludf.dummyfunction("""COMPUTED_VALUE"""),98.63)</f>
        <v>98.63</v>
      </c>
      <c r="E613" s="5" t="n">
        <f aca="false">IFERROR(__xludf.dummyfunction("""COMPUTED_VALUE"""),99.94)</f>
        <v>99.94</v>
      </c>
      <c r="F613" s="5" t="n">
        <f aca="false">IFERROR(__xludf.dummyfunction("""COMPUTED_VALUE"""),9081050)</f>
        <v>9081050</v>
      </c>
    </row>
    <row r="614" customFormat="false" ht="15.75" hidden="false" customHeight="false" outlineLevel="0" collapsed="false">
      <c r="A614" s="6" t="n">
        <f aca="false">IFERROR(__xludf.dummyfunction("""COMPUTED_VALUE"""),45086.6666666667)</f>
        <v>45086.6666666667</v>
      </c>
      <c r="B614" s="5" t="n">
        <f aca="false">IFERROR(__xludf.dummyfunction("""COMPUTED_VALUE"""),102.7)</f>
        <v>102.7</v>
      </c>
      <c r="C614" s="5" t="n">
        <f aca="false">IFERROR(__xludf.dummyfunction("""COMPUTED_VALUE"""),104.68)</f>
        <v>104.68</v>
      </c>
      <c r="D614" s="5" t="n">
        <f aca="false">IFERROR(__xludf.dummyfunction("""COMPUTED_VALUE"""),102.25)</f>
        <v>102.25</v>
      </c>
      <c r="E614" s="5" t="n">
        <f aca="false">IFERROR(__xludf.dummyfunction("""COMPUTED_VALUE"""),102.8)</f>
        <v>102.8</v>
      </c>
      <c r="F614" s="5" t="n">
        <f aca="false">IFERROR(__xludf.dummyfunction("""COMPUTED_VALUE"""),14906100)</f>
        <v>14906100</v>
      </c>
    </row>
    <row r="615" customFormat="false" ht="15.75" hidden="false" customHeight="false" outlineLevel="0" collapsed="false">
      <c r="A615" s="6" t="n">
        <f aca="false">IFERROR(__xludf.dummyfunction("""COMPUTED_VALUE"""),45089.6666666667)</f>
        <v>45089.6666666667</v>
      </c>
      <c r="B615" s="5" t="n">
        <f aca="false">IFERROR(__xludf.dummyfunction("""COMPUTED_VALUE"""),104.34)</f>
        <v>104.34</v>
      </c>
      <c r="C615" s="5" t="n">
        <f aca="false">IFERROR(__xludf.dummyfunction("""COMPUTED_VALUE"""),107.39)</f>
        <v>107.39</v>
      </c>
      <c r="D615" s="5" t="n">
        <f aca="false">IFERROR(__xludf.dummyfunction("""COMPUTED_VALUE"""),104.31)</f>
        <v>104.31</v>
      </c>
      <c r="E615" s="5" t="n">
        <f aca="false">IFERROR(__xludf.dummyfunction("""COMPUTED_VALUE"""),107.06)</f>
        <v>107.06</v>
      </c>
      <c r="F615" s="5" t="n">
        <f aca="false">IFERROR(__xludf.dummyfunction("""COMPUTED_VALUE"""),20578756)</f>
        <v>20578756</v>
      </c>
    </row>
    <row r="616" customFormat="false" ht="15.75" hidden="false" customHeight="false" outlineLevel="0" collapsed="false">
      <c r="A616" s="6" t="n">
        <f aca="false">IFERROR(__xludf.dummyfunction("""COMPUTED_VALUE"""),45090.6666666667)</f>
        <v>45090.6666666667</v>
      </c>
      <c r="B616" s="5" t="n">
        <f aca="false">IFERROR(__xludf.dummyfunction("""COMPUTED_VALUE"""),110)</f>
        <v>110</v>
      </c>
      <c r="C616" s="5" t="n">
        <f aca="false">IFERROR(__xludf.dummyfunction("""COMPUTED_VALUE"""),110.69)</f>
        <v>110.69</v>
      </c>
      <c r="D616" s="5" t="n">
        <f aca="false">IFERROR(__xludf.dummyfunction("""COMPUTED_VALUE"""),106.74)</f>
        <v>106.74</v>
      </c>
      <c r="E616" s="5" t="n">
        <f aca="false">IFERROR(__xludf.dummyfunction("""COMPUTED_VALUE"""),106.8)</f>
        <v>106.8</v>
      </c>
      <c r="F616" s="5" t="n">
        <f aca="false">IFERROR(__xludf.dummyfunction("""COMPUTED_VALUE"""),17858602)</f>
        <v>17858602</v>
      </c>
    </row>
    <row r="617" customFormat="false" ht="15.75" hidden="false" customHeight="false" outlineLevel="0" collapsed="false">
      <c r="A617" s="6" t="n">
        <f aca="false">IFERROR(__xludf.dummyfunction("""COMPUTED_VALUE"""),45091.6666666667)</f>
        <v>45091.6666666667</v>
      </c>
      <c r="B617" s="5" t="n">
        <f aca="false">IFERROR(__xludf.dummyfunction("""COMPUTED_VALUE"""),106.03)</f>
        <v>106.03</v>
      </c>
      <c r="C617" s="5" t="n">
        <f aca="false">IFERROR(__xludf.dummyfunction("""COMPUTED_VALUE"""),107.7)</f>
        <v>107.7</v>
      </c>
      <c r="D617" s="5" t="n">
        <f aca="false">IFERROR(__xludf.dummyfunction("""COMPUTED_VALUE"""),105.22)</f>
        <v>105.22</v>
      </c>
      <c r="E617" s="5" t="n">
        <f aca="false">IFERROR(__xludf.dummyfunction("""COMPUTED_VALUE"""),107.41)</f>
        <v>107.41</v>
      </c>
      <c r="F617" s="5" t="n">
        <f aca="false">IFERROR(__xludf.dummyfunction("""COMPUTED_VALUE"""),12862629)</f>
        <v>12862629</v>
      </c>
    </row>
    <row r="618" customFormat="false" ht="15.75" hidden="false" customHeight="false" outlineLevel="0" collapsed="false">
      <c r="A618" s="6" t="n">
        <f aca="false">IFERROR(__xludf.dummyfunction("""COMPUTED_VALUE"""),45092.6666666667)</f>
        <v>45092.6666666667</v>
      </c>
      <c r="B618" s="5" t="n">
        <f aca="false">IFERROR(__xludf.dummyfunction("""COMPUTED_VALUE"""),106.27)</f>
        <v>106.27</v>
      </c>
      <c r="C618" s="5" t="n">
        <f aca="false">IFERROR(__xludf.dummyfunction("""COMPUTED_VALUE"""),106.66)</f>
        <v>106.66</v>
      </c>
      <c r="D618" s="5" t="n">
        <f aca="false">IFERROR(__xludf.dummyfunction("""COMPUTED_VALUE"""),105.07)</f>
        <v>105.07</v>
      </c>
      <c r="E618" s="5" t="n">
        <f aca="false">IFERROR(__xludf.dummyfunction("""COMPUTED_VALUE"""),105.18)</f>
        <v>105.18</v>
      </c>
      <c r="F618" s="5" t="n">
        <f aca="false">IFERROR(__xludf.dummyfunction("""COMPUTED_VALUE"""),11987940)</f>
        <v>11987940</v>
      </c>
    </row>
    <row r="619" customFormat="false" ht="15.75" hidden="false" customHeight="false" outlineLevel="0" collapsed="false">
      <c r="A619" s="6" t="n">
        <f aca="false">IFERROR(__xludf.dummyfunction("""COMPUTED_VALUE"""),45093.6666666667)</f>
        <v>45093.6666666667</v>
      </c>
      <c r="B619" s="5" t="n">
        <f aca="false">IFERROR(__xludf.dummyfunction("""COMPUTED_VALUE"""),105.43)</f>
        <v>105.43</v>
      </c>
      <c r="C619" s="5" t="n">
        <f aca="false">IFERROR(__xludf.dummyfunction("""COMPUTED_VALUE"""),105.75)</f>
        <v>105.75</v>
      </c>
      <c r="D619" s="5" t="n">
        <f aca="false">IFERROR(__xludf.dummyfunction("""COMPUTED_VALUE"""),104.35)</f>
        <v>104.35</v>
      </c>
      <c r="E619" s="5" t="n">
        <f aca="false">IFERROR(__xludf.dummyfunction("""COMPUTED_VALUE"""),104.57)</f>
        <v>104.57</v>
      </c>
      <c r="F619" s="5" t="n">
        <f aca="false">IFERROR(__xludf.dummyfunction("""COMPUTED_VALUE"""),11430776)</f>
        <v>11430776</v>
      </c>
    </row>
    <row r="620" customFormat="false" ht="15.75" hidden="false" customHeight="false" outlineLevel="0" collapsed="false">
      <c r="A620" s="6" t="n">
        <f aca="false">IFERROR(__xludf.dummyfunction("""COMPUTED_VALUE"""),45097.6666666667)</f>
        <v>45097.6666666667</v>
      </c>
      <c r="B620" s="5" t="n">
        <f aca="false">IFERROR(__xludf.dummyfunction("""COMPUTED_VALUE"""),104.18)</f>
        <v>104.18</v>
      </c>
      <c r="C620" s="5" t="n">
        <f aca="false">IFERROR(__xludf.dummyfunction("""COMPUTED_VALUE"""),104.88)</f>
        <v>104.88</v>
      </c>
      <c r="D620" s="5" t="n">
        <f aca="false">IFERROR(__xludf.dummyfunction("""COMPUTED_VALUE"""),103.07)</f>
        <v>103.07</v>
      </c>
      <c r="E620" s="5" t="n">
        <f aca="false">IFERROR(__xludf.dummyfunction("""COMPUTED_VALUE"""),103.98)</f>
        <v>103.98</v>
      </c>
      <c r="F620" s="5" t="n">
        <f aca="false">IFERROR(__xludf.dummyfunction("""COMPUTED_VALUE"""),9302357)</f>
        <v>9302357</v>
      </c>
    </row>
    <row r="621" customFormat="false" ht="15.75" hidden="false" customHeight="false" outlineLevel="0" collapsed="false">
      <c r="A621" s="6" t="n">
        <f aca="false">IFERROR(__xludf.dummyfunction("""COMPUTED_VALUE"""),45098.6666666667)</f>
        <v>45098.6666666667</v>
      </c>
      <c r="B621" s="5" t="n">
        <f aca="false">IFERROR(__xludf.dummyfunction("""COMPUTED_VALUE"""),103.15)</f>
        <v>103.15</v>
      </c>
      <c r="C621" s="5" t="n">
        <f aca="false">IFERROR(__xludf.dummyfunction("""COMPUTED_VALUE"""),103.73)</f>
        <v>103.73</v>
      </c>
      <c r="D621" s="5" t="n">
        <f aca="false">IFERROR(__xludf.dummyfunction("""COMPUTED_VALUE"""),101.62)</f>
        <v>101.62</v>
      </c>
      <c r="E621" s="5" t="n">
        <f aca="false">IFERROR(__xludf.dummyfunction("""COMPUTED_VALUE"""),101.64)</f>
        <v>101.64</v>
      </c>
      <c r="F621" s="5" t="n">
        <f aca="false">IFERROR(__xludf.dummyfunction("""COMPUTED_VALUE"""),9340383)</f>
        <v>9340383</v>
      </c>
    </row>
    <row r="622" customFormat="false" ht="15.75" hidden="false" customHeight="false" outlineLevel="0" collapsed="false">
      <c r="A622" s="6" t="n">
        <f aca="false">IFERROR(__xludf.dummyfunction("""COMPUTED_VALUE"""),45099.6666666667)</f>
        <v>45099.6666666667</v>
      </c>
      <c r="B622" s="5" t="n">
        <f aca="false">IFERROR(__xludf.dummyfunction("""COMPUTED_VALUE"""),101.42)</f>
        <v>101.42</v>
      </c>
      <c r="C622" s="5" t="n">
        <f aca="false">IFERROR(__xludf.dummyfunction("""COMPUTED_VALUE"""),103.43)</f>
        <v>103.43</v>
      </c>
      <c r="D622" s="5" t="n">
        <f aca="false">IFERROR(__xludf.dummyfunction("""COMPUTED_VALUE"""),101.33)</f>
        <v>101.33</v>
      </c>
      <c r="E622" s="5" t="n">
        <f aca="false">IFERROR(__xludf.dummyfunction("""COMPUTED_VALUE"""),103.13)</f>
        <v>103.13</v>
      </c>
      <c r="F622" s="5" t="n">
        <f aca="false">IFERROR(__xludf.dummyfunction("""COMPUTED_VALUE"""),8581952)</f>
        <v>8581952</v>
      </c>
    </row>
    <row r="623" customFormat="false" ht="15.75" hidden="false" customHeight="false" outlineLevel="0" collapsed="false">
      <c r="A623" s="6" t="n">
        <f aca="false">IFERROR(__xludf.dummyfunction("""COMPUTED_VALUE"""),45100.6666666667)</f>
        <v>45100.6666666667</v>
      </c>
      <c r="B623" s="5" t="n">
        <f aca="false">IFERROR(__xludf.dummyfunction("""COMPUTED_VALUE"""),101.52)</f>
        <v>101.52</v>
      </c>
      <c r="C623" s="5" t="n">
        <f aca="false">IFERROR(__xludf.dummyfunction("""COMPUTED_VALUE"""),102.19)</f>
        <v>102.19</v>
      </c>
      <c r="D623" s="5" t="n">
        <f aca="false">IFERROR(__xludf.dummyfunction("""COMPUTED_VALUE"""),101.01)</f>
        <v>101.01</v>
      </c>
      <c r="E623" s="5" t="n">
        <f aca="false">IFERROR(__xludf.dummyfunction("""COMPUTED_VALUE"""),101.91)</f>
        <v>101.91</v>
      </c>
      <c r="F623" s="5" t="n">
        <f aca="false">IFERROR(__xludf.dummyfunction("""COMPUTED_VALUE"""),8919044)</f>
        <v>8919044</v>
      </c>
    </row>
    <row r="624" customFormat="false" ht="15.75" hidden="false" customHeight="false" outlineLevel="0" collapsed="false">
      <c r="A624" s="6" t="n">
        <f aca="false">IFERROR(__xludf.dummyfunction("""COMPUTED_VALUE"""),45103.6666666667)</f>
        <v>45103.6666666667</v>
      </c>
      <c r="B624" s="5" t="n">
        <f aca="false">IFERROR(__xludf.dummyfunction("""COMPUTED_VALUE"""),102.02)</f>
        <v>102.02</v>
      </c>
      <c r="C624" s="5" t="n">
        <f aca="false">IFERROR(__xludf.dummyfunction("""COMPUTED_VALUE"""),103.04)</f>
        <v>103.04</v>
      </c>
      <c r="D624" s="5" t="n">
        <f aca="false">IFERROR(__xludf.dummyfunction("""COMPUTED_VALUE"""),100.09)</f>
        <v>100.09</v>
      </c>
      <c r="E624" s="5" t="n">
        <f aca="false">IFERROR(__xludf.dummyfunction("""COMPUTED_VALUE"""),100.11)</f>
        <v>100.11</v>
      </c>
      <c r="F624" s="5" t="n">
        <f aca="false">IFERROR(__xludf.dummyfunction("""COMPUTED_VALUE"""),8560047)</f>
        <v>8560047</v>
      </c>
    </row>
    <row r="625" customFormat="false" ht="15.75" hidden="false" customHeight="false" outlineLevel="0" collapsed="false">
      <c r="A625" s="6" t="n">
        <f aca="false">IFERROR(__xludf.dummyfunction("""COMPUTED_VALUE"""),45104.6666666667)</f>
        <v>45104.6666666667</v>
      </c>
      <c r="B625" s="5" t="n">
        <f aca="false">IFERROR(__xludf.dummyfunction("""COMPUTED_VALUE"""),101.15)</f>
        <v>101.15</v>
      </c>
      <c r="C625" s="5" t="n">
        <f aca="false">IFERROR(__xludf.dummyfunction("""COMPUTED_VALUE"""),102.79)</f>
        <v>102.79</v>
      </c>
      <c r="D625" s="5" t="n">
        <f aca="false">IFERROR(__xludf.dummyfunction("""COMPUTED_VALUE"""),100.02)</f>
        <v>100.02</v>
      </c>
      <c r="E625" s="5" t="n">
        <f aca="false">IFERROR(__xludf.dummyfunction("""COMPUTED_VALUE"""),102.08)</f>
        <v>102.08</v>
      </c>
      <c r="F625" s="5" t="n">
        <f aca="false">IFERROR(__xludf.dummyfunction("""COMPUTED_VALUE"""),9732034)</f>
        <v>9732034</v>
      </c>
    </row>
    <row r="626" customFormat="false" ht="15.75" hidden="false" customHeight="false" outlineLevel="0" collapsed="false">
      <c r="A626" s="6" t="n">
        <f aca="false">IFERROR(__xludf.dummyfunction("""COMPUTED_VALUE"""),45105.6666666667)</f>
        <v>45105.6666666667</v>
      </c>
      <c r="B626" s="5" t="n">
        <f aca="false">IFERROR(__xludf.dummyfunction("""COMPUTED_VALUE"""),100.5)</f>
        <v>100.5</v>
      </c>
      <c r="C626" s="5" t="n">
        <f aca="false">IFERROR(__xludf.dummyfunction("""COMPUTED_VALUE"""),101.88)</f>
        <v>101.88</v>
      </c>
      <c r="D626" s="5" t="n">
        <f aca="false">IFERROR(__xludf.dummyfunction("""COMPUTED_VALUE"""),100.22)</f>
        <v>100.22</v>
      </c>
      <c r="E626" s="5" t="n">
        <f aca="false">IFERROR(__xludf.dummyfunction("""COMPUTED_VALUE"""),100.92)</f>
        <v>100.92</v>
      </c>
      <c r="F626" s="5" t="n">
        <f aca="false">IFERROR(__xludf.dummyfunction("""COMPUTED_VALUE"""),8160885)</f>
        <v>8160885</v>
      </c>
    </row>
    <row r="627" customFormat="false" ht="15.75" hidden="false" customHeight="false" outlineLevel="0" collapsed="false">
      <c r="A627" s="6" t="n">
        <f aca="false">IFERROR(__xludf.dummyfunction("""COMPUTED_VALUE"""),45106.6666666667)</f>
        <v>45106.6666666667</v>
      </c>
      <c r="B627" s="5" t="n">
        <f aca="false">IFERROR(__xludf.dummyfunction("""COMPUTED_VALUE"""),101.34)</f>
        <v>101.34</v>
      </c>
      <c r="C627" s="5" t="n">
        <f aca="false">IFERROR(__xludf.dummyfunction("""COMPUTED_VALUE"""),101.52)</f>
        <v>101.52</v>
      </c>
      <c r="D627" s="5" t="n">
        <f aca="false">IFERROR(__xludf.dummyfunction("""COMPUTED_VALUE"""),100.02)</f>
        <v>100.02</v>
      </c>
      <c r="E627" s="5" t="n">
        <f aca="false">IFERROR(__xludf.dummyfunction("""COMPUTED_VALUE"""),100.64)</f>
        <v>100.64</v>
      </c>
      <c r="F627" s="5" t="n">
        <f aca="false">IFERROR(__xludf.dummyfunction("""COMPUTED_VALUE"""),7383942)</f>
        <v>7383942</v>
      </c>
    </row>
    <row r="628" customFormat="false" ht="15.75" hidden="false" customHeight="false" outlineLevel="0" collapsed="false">
      <c r="A628" s="6" t="n">
        <f aca="false">IFERROR(__xludf.dummyfunction("""COMPUTED_VALUE"""),45107.6666666667)</f>
        <v>45107.6666666667</v>
      </c>
      <c r="B628" s="5" t="n">
        <f aca="false">IFERROR(__xludf.dummyfunction("""COMPUTED_VALUE"""),101.4)</f>
        <v>101.4</v>
      </c>
      <c r="C628" s="5" t="n">
        <f aca="false">IFERROR(__xludf.dummyfunction("""COMPUTED_VALUE"""),101.89)</f>
        <v>101.89</v>
      </c>
      <c r="D628" s="5" t="n">
        <f aca="false">IFERROR(__xludf.dummyfunction("""COMPUTED_VALUE"""),100.41)</f>
        <v>100.41</v>
      </c>
      <c r="E628" s="5" t="n">
        <f aca="false">IFERROR(__xludf.dummyfunction("""COMPUTED_VALUE"""),100.92)</f>
        <v>100.92</v>
      </c>
      <c r="F628" s="5" t="n">
        <f aca="false">IFERROR(__xludf.dummyfunction("""COMPUTED_VALUE"""),11704648)</f>
        <v>11704648</v>
      </c>
    </row>
    <row r="629" customFormat="false" ht="15.75" hidden="false" customHeight="false" outlineLevel="0" collapsed="false">
      <c r="A629" s="6" t="n">
        <f aca="false">IFERROR(__xludf.dummyfunction("""COMPUTED_VALUE"""),45110.5416666667)</f>
        <v>45110.5416666667</v>
      </c>
      <c r="B629" s="5" t="n">
        <f aca="false">IFERROR(__xludf.dummyfunction("""COMPUTED_VALUE"""),102.25)</f>
        <v>102.25</v>
      </c>
      <c r="C629" s="5" t="n">
        <f aca="false">IFERROR(__xludf.dummyfunction("""COMPUTED_VALUE"""),103.68)</f>
        <v>103.68</v>
      </c>
      <c r="D629" s="5" t="n">
        <f aca="false">IFERROR(__xludf.dummyfunction("""COMPUTED_VALUE"""),102.07)</f>
        <v>102.07</v>
      </c>
      <c r="E629" s="5" t="n">
        <f aca="false">IFERROR(__xludf.dummyfunction("""COMPUTED_VALUE"""),103.15)</f>
        <v>103.15</v>
      </c>
      <c r="F629" s="5" t="n">
        <f aca="false">IFERROR(__xludf.dummyfunction("""COMPUTED_VALUE"""),5638381)</f>
        <v>5638381</v>
      </c>
    </row>
    <row r="630" customFormat="false" ht="15.75" hidden="false" customHeight="false" outlineLevel="0" collapsed="false">
      <c r="A630" s="6" t="n">
        <f aca="false">IFERROR(__xludf.dummyfunction("""COMPUTED_VALUE"""),45112.6666666667)</f>
        <v>45112.6666666667</v>
      </c>
      <c r="B630" s="5" t="n">
        <f aca="false">IFERROR(__xludf.dummyfunction("""COMPUTED_VALUE"""),101.4)</f>
        <v>101.4</v>
      </c>
      <c r="C630" s="5" t="n">
        <f aca="false">IFERROR(__xludf.dummyfunction("""COMPUTED_VALUE"""),103.09)</f>
        <v>103.09</v>
      </c>
      <c r="D630" s="5" t="n">
        <f aca="false">IFERROR(__xludf.dummyfunction("""COMPUTED_VALUE"""),100.96)</f>
        <v>100.96</v>
      </c>
      <c r="E630" s="5" t="n">
        <f aca="false">IFERROR(__xludf.dummyfunction("""COMPUTED_VALUE"""),100.99)</f>
        <v>100.99</v>
      </c>
      <c r="F630" s="5" t="n">
        <f aca="false">IFERROR(__xludf.dummyfunction("""COMPUTED_VALUE"""),9014765)</f>
        <v>9014765</v>
      </c>
    </row>
    <row r="631" customFormat="false" ht="15.75" hidden="false" customHeight="false" outlineLevel="0" collapsed="false">
      <c r="A631" s="6" t="n">
        <f aca="false">IFERROR(__xludf.dummyfunction("""COMPUTED_VALUE"""),45113.6666666667)</f>
        <v>45113.6666666667</v>
      </c>
      <c r="B631" s="5" t="n">
        <f aca="false">IFERROR(__xludf.dummyfunction("""COMPUTED_VALUE"""),99.1)</f>
        <v>99.1</v>
      </c>
      <c r="C631" s="5" t="n">
        <f aca="false">IFERROR(__xludf.dummyfunction("""COMPUTED_VALUE"""),99.56)</f>
        <v>99.56</v>
      </c>
      <c r="D631" s="5" t="n">
        <f aca="false">IFERROR(__xludf.dummyfunction("""COMPUTED_VALUE"""),98.6)</f>
        <v>98.6</v>
      </c>
      <c r="E631" s="5" t="n">
        <f aca="false">IFERROR(__xludf.dummyfunction("""COMPUTED_VALUE"""),99.41)</f>
        <v>99.41</v>
      </c>
      <c r="F631" s="5" t="n">
        <f aca="false">IFERROR(__xludf.dummyfunction("""COMPUTED_VALUE"""),9143570)</f>
        <v>9143570</v>
      </c>
    </row>
    <row r="632" customFormat="false" ht="15.75" hidden="false" customHeight="false" outlineLevel="0" collapsed="false">
      <c r="A632" s="6" t="n">
        <f aca="false">IFERROR(__xludf.dummyfunction("""COMPUTED_VALUE"""),45114.6666666667)</f>
        <v>45114.6666666667</v>
      </c>
      <c r="B632" s="5" t="n">
        <f aca="false">IFERROR(__xludf.dummyfunction("""COMPUTED_VALUE"""),99.08)</f>
        <v>99.08</v>
      </c>
      <c r="C632" s="5" t="n">
        <f aca="false">IFERROR(__xludf.dummyfunction("""COMPUTED_VALUE"""),101.94)</f>
        <v>101.94</v>
      </c>
      <c r="D632" s="5" t="n">
        <f aca="false">IFERROR(__xludf.dummyfunction("""COMPUTED_VALUE"""),99)</f>
        <v>99</v>
      </c>
      <c r="E632" s="5" t="n">
        <f aca="false">IFERROR(__xludf.dummyfunction("""COMPUTED_VALUE"""),100.23)</f>
        <v>100.23</v>
      </c>
      <c r="F632" s="5" t="n">
        <f aca="false">IFERROR(__xludf.dummyfunction("""COMPUTED_VALUE"""),8036622)</f>
        <v>8036622</v>
      </c>
    </row>
    <row r="633" customFormat="false" ht="15.75" hidden="false" customHeight="false" outlineLevel="0" collapsed="false">
      <c r="A633" s="6" t="n">
        <f aca="false">IFERROR(__xludf.dummyfunction("""COMPUTED_VALUE"""),45117.6666666667)</f>
        <v>45117.6666666667</v>
      </c>
      <c r="B633" s="5" t="n">
        <f aca="false">IFERROR(__xludf.dummyfunction("""COMPUTED_VALUE"""),100.25)</f>
        <v>100.25</v>
      </c>
      <c r="C633" s="5" t="n">
        <f aca="false">IFERROR(__xludf.dummyfunction("""COMPUTED_VALUE"""),100.75)</f>
        <v>100.75</v>
      </c>
      <c r="D633" s="5" t="n">
        <f aca="false">IFERROR(__xludf.dummyfunction("""COMPUTED_VALUE"""),99.4)</f>
        <v>99.4</v>
      </c>
      <c r="E633" s="5" t="n">
        <f aca="false">IFERROR(__xludf.dummyfunction("""COMPUTED_VALUE"""),99.77)</f>
        <v>99.77</v>
      </c>
      <c r="F633" s="5" t="n">
        <f aca="false">IFERROR(__xludf.dummyfunction("""COMPUTED_VALUE"""),8041648)</f>
        <v>8041648</v>
      </c>
    </row>
    <row r="634" customFormat="false" ht="15.75" hidden="false" customHeight="false" outlineLevel="0" collapsed="false">
      <c r="A634" s="6" t="n">
        <f aca="false">IFERROR(__xludf.dummyfunction("""COMPUTED_VALUE"""),45118.6666666667)</f>
        <v>45118.6666666667</v>
      </c>
      <c r="B634" s="5" t="n">
        <f aca="false">IFERROR(__xludf.dummyfunction("""COMPUTED_VALUE"""),102.33)</f>
        <v>102.33</v>
      </c>
      <c r="C634" s="5" t="n">
        <f aca="false">IFERROR(__xludf.dummyfunction("""COMPUTED_VALUE"""),102.33)</f>
        <v>102.33</v>
      </c>
      <c r="D634" s="5" t="n">
        <f aca="false">IFERROR(__xludf.dummyfunction("""COMPUTED_VALUE"""),100.14)</f>
        <v>100.14</v>
      </c>
      <c r="E634" s="5" t="n">
        <f aca="false">IFERROR(__xludf.dummyfunction("""COMPUTED_VALUE"""),101.26)</f>
        <v>101.26</v>
      </c>
      <c r="F634" s="5" t="n">
        <f aca="false">IFERROR(__xludf.dummyfunction("""COMPUTED_VALUE"""),7684553)</f>
        <v>7684553</v>
      </c>
    </row>
    <row r="635" customFormat="false" ht="15.75" hidden="false" customHeight="false" outlineLevel="0" collapsed="false">
      <c r="A635" s="6" t="n">
        <f aca="false">IFERROR(__xludf.dummyfunction("""COMPUTED_VALUE"""),45119.6666666667)</f>
        <v>45119.6666666667</v>
      </c>
      <c r="B635" s="5" t="n">
        <f aca="false">IFERROR(__xludf.dummyfunction("""COMPUTED_VALUE"""),102.83)</f>
        <v>102.83</v>
      </c>
      <c r="C635" s="5" t="n">
        <f aca="false">IFERROR(__xludf.dummyfunction("""COMPUTED_VALUE"""),104.43)</f>
        <v>104.43</v>
      </c>
      <c r="D635" s="5" t="n">
        <f aca="false">IFERROR(__xludf.dummyfunction("""COMPUTED_VALUE"""),102.76)</f>
        <v>102.76</v>
      </c>
      <c r="E635" s="5" t="n">
        <f aca="false">IFERROR(__xludf.dummyfunction("""COMPUTED_VALUE"""),103.9)</f>
        <v>103.9</v>
      </c>
      <c r="F635" s="5" t="n">
        <f aca="false">IFERROR(__xludf.dummyfunction("""COMPUTED_VALUE"""),10202026)</f>
        <v>10202026</v>
      </c>
    </row>
    <row r="636" customFormat="false" ht="15.75" hidden="false" customHeight="false" outlineLevel="0" collapsed="false">
      <c r="A636" s="6" t="n">
        <f aca="false">IFERROR(__xludf.dummyfunction("""COMPUTED_VALUE"""),45120.6666666667)</f>
        <v>45120.6666666667</v>
      </c>
      <c r="B636" s="5" t="n">
        <f aca="false">IFERROR(__xludf.dummyfunction("""COMPUTED_VALUE"""),105)</f>
        <v>105</v>
      </c>
      <c r="C636" s="5" t="n">
        <f aca="false">IFERROR(__xludf.dummyfunction("""COMPUTED_VALUE"""),105.65)</f>
        <v>105.65</v>
      </c>
      <c r="D636" s="5" t="n">
        <f aca="false">IFERROR(__xludf.dummyfunction("""COMPUTED_VALUE"""),102.52)</f>
        <v>102.52</v>
      </c>
      <c r="E636" s="5" t="n">
        <f aca="false">IFERROR(__xludf.dummyfunction("""COMPUTED_VALUE"""),105.57)</f>
        <v>105.57</v>
      </c>
      <c r="F636" s="5" t="n">
        <f aca="false">IFERROR(__xludf.dummyfunction("""COMPUTED_VALUE"""),9265863)</f>
        <v>9265863</v>
      </c>
    </row>
    <row r="637" customFormat="false" ht="15.75" hidden="false" customHeight="false" outlineLevel="0" collapsed="false">
      <c r="A637" s="6" t="n">
        <f aca="false">IFERROR(__xludf.dummyfunction("""COMPUTED_VALUE"""),45121.6666666667)</f>
        <v>45121.6666666667</v>
      </c>
      <c r="B637" s="5" t="n">
        <f aca="false">IFERROR(__xludf.dummyfunction("""COMPUTED_VALUE"""),106)</f>
        <v>106</v>
      </c>
      <c r="C637" s="5" t="n">
        <f aca="false">IFERROR(__xludf.dummyfunction("""COMPUTED_VALUE"""),107.3)</f>
        <v>107.3</v>
      </c>
      <c r="D637" s="5" t="n">
        <f aca="false">IFERROR(__xludf.dummyfunction("""COMPUTED_VALUE"""),104.86)</f>
        <v>104.86</v>
      </c>
      <c r="E637" s="5" t="n">
        <f aca="false">IFERROR(__xludf.dummyfunction("""COMPUTED_VALUE"""),105.14)</f>
        <v>105.14</v>
      </c>
      <c r="F637" s="5" t="n">
        <f aca="false">IFERROR(__xludf.dummyfunction("""COMPUTED_VALUE"""),9518336)</f>
        <v>9518336</v>
      </c>
    </row>
    <row r="638" customFormat="false" ht="15.75" hidden="false" customHeight="false" outlineLevel="0" collapsed="false">
      <c r="A638" s="6" t="n">
        <f aca="false">IFERROR(__xludf.dummyfunction("""COMPUTED_VALUE"""),45124.6666666667)</f>
        <v>45124.6666666667</v>
      </c>
      <c r="B638" s="5" t="n">
        <f aca="false">IFERROR(__xludf.dummyfunction("""COMPUTED_VALUE"""),104.68)</f>
        <v>104.68</v>
      </c>
      <c r="C638" s="5" t="n">
        <f aca="false">IFERROR(__xludf.dummyfunction("""COMPUTED_VALUE"""),105.03)</f>
        <v>105.03</v>
      </c>
      <c r="D638" s="5" t="n">
        <f aca="false">IFERROR(__xludf.dummyfunction("""COMPUTED_VALUE"""),102.59)</f>
        <v>102.59</v>
      </c>
      <c r="E638" s="5" t="n">
        <f aca="false">IFERROR(__xludf.dummyfunction("""COMPUTED_VALUE"""),104.79)</f>
        <v>104.79</v>
      </c>
      <c r="F638" s="5" t="n">
        <f aca="false">IFERROR(__xludf.dummyfunction("""COMPUTED_VALUE"""),10729126)</f>
        <v>10729126</v>
      </c>
    </row>
    <row r="639" customFormat="false" ht="15.75" hidden="false" customHeight="false" outlineLevel="0" collapsed="false">
      <c r="A639" s="6" t="n">
        <f aca="false">IFERROR(__xludf.dummyfunction("""COMPUTED_VALUE"""),45125.6666666667)</f>
        <v>45125.6666666667</v>
      </c>
      <c r="B639" s="5" t="n">
        <f aca="false">IFERROR(__xludf.dummyfunction("""COMPUTED_VALUE"""),103.69)</f>
        <v>103.69</v>
      </c>
      <c r="C639" s="5" t="n">
        <f aca="false">IFERROR(__xludf.dummyfunction("""COMPUTED_VALUE"""),103.73)</f>
        <v>103.73</v>
      </c>
      <c r="D639" s="5" t="n">
        <f aca="false">IFERROR(__xludf.dummyfunction("""COMPUTED_VALUE"""),102.01)</f>
        <v>102.01</v>
      </c>
      <c r="E639" s="5" t="n">
        <f aca="false">IFERROR(__xludf.dummyfunction("""COMPUTED_VALUE"""),103.15)</f>
        <v>103.15</v>
      </c>
      <c r="F639" s="5" t="n">
        <f aca="false">IFERROR(__xludf.dummyfunction("""COMPUTED_VALUE"""),10355352)</f>
        <v>10355352</v>
      </c>
    </row>
    <row r="640" customFormat="false" ht="15.75" hidden="false" customHeight="false" outlineLevel="0" collapsed="false">
      <c r="A640" s="6" t="n">
        <f aca="false">IFERROR(__xludf.dummyfunction("""COMPUTED_VALUE"""),45126.6666666667)</f>
        <v>45126.6666666667</v>
      </c>
      <c r="B640" s="5" t="n">
        <f aca="false">IFERROR(__xludf.dummyfunction("""COMPUTED_VALUE"""),103.9)</f>
        <v>103.9</v>
      </c>
      <c r="C640" s="5" t="n">
        <f aca="false">IFERROR(__xludf.dummyfunction("""COMPUTED_VALUE"""),104.79)</f>
        <v>104.79</v>
      </c>
      <c r="D640" s="5" t="n">
        <f aca="false">IFERROR(__xludf.dummyfunction("""COMPUTED_VALUE"""),102.57)</f>
        <v>102.57</v>
      </c>
      <c r="E640" s="5" t="n">
        <f aca="false">IFERROR(__xludf.dummyfunction("""COMPUTED_VALUE"""),103.06)</f>
        <v>103.06</v>
      </c>
      <c r="F640" s="5" t="n">
        <f aca="false">IFERROR(__xludf.dummyfunction("""COMPUTED_VALUE"""),11204828)</f>
        <v>11204828</v>
      </c>
    </row>
    <row r="641" customFormat="false" ht="15.75" hidden="false" customHeight="false" outlineLevel="0" collapsed="false">
      <c r="A641" s="6" t="n">
        <f aca="false">IFERROR(__xludf.dummyfunction("""COMPUTED_VALUE"""),45127.6666666667)</f>
        <v>45127.6666666667</v>
      </c>
      <c r="B641" s="5" t="n">
        <f aca="false">IFERROR(__xludf.dummyfunction("""COMPUTED_VALUE"""),98.55)</f>
        <v>98.55</v>
      </c>
      <c r="C641" s="5" t="n">
        <f aca="false">IFERROR(__xludf.dummyfunction("""COMPUTED_VALUE"""),100.45)</f>
        <v>100.45</v>
      </c>
      <c r="D641" s="5" t="n">
        <f aca="false">IFERROR(__xludf.dummyfunction("""COMPUTED_VALUE"""),97.05)</f>
        <v>97.05</v>
      </c>
      <c r="E641" s="5" t="n">
        <f aca="false">IFERROR(__xludf.dummyfunction("""COMPUTED_VALUE"""),97.86)</f>
        <v>97.86</v>
      </c>
      <c r="F641" s="5" t="n">
        <f aca="false">IFERROR(__xludf.dummyfunction("""COMPUTED_VALUE"""),22810237)</f>
        <v>22810237</v>
      </c>
    </row>
    <row r="642" customFormat="false" ht="15.75" hidden="false" customHeight="false" outlineLevel="0" collapsed="false">
      <c r="A642" s="6" t="n">
        <f aca="false">IFERROR(__xludf.dummyfunction("""COMPUTED_VALUE"""),45128.6666666667)</f>
        <v>45128.6666666667</v>
      </c>
      <c r="B642" s="5" t="n">
        <f aca="false">IFERROR(__xludf.dummyfunction("""COMPUTED_VALUE"""),97.88)</f>
        <v>97.88</v>
      </c>
      <c r="C642" s="5" t="n">
        <f aca="false">IFERROR(__xludf.dummyfunction("""COMPUTED_VALUE"""),97.99)</f>
        <v>97.99</v>
      </c>
      <c r="D642" s="5" t="n">
        <f aca="false">IFERROR(__xludf.dummyfunction("""COMPUTED_VALUE"""),96.33)</f>
        <v>96.33</v>
      </c>
      <c r="E642" s="5" t="n">
        <f aca="false">IFERROR(__xludf.dummyfunction("""COMPUTED_VALUE"""),97.25)</f>
        <v>97.25</v>
      </c>
      <c r="F642" s="5" t="n">
        <f aca="false">IFERROR(__xludf.dummyfunction("""COMPUTED_VALUE"""),15381226)</f>
        <v>15381226</v>
      </c>
    </row>
    <row r="643" customFormat="false" ht="15.75" hidden="false" customHeight="false" outlineLevel="0" collapsed="false">
      <c r="A643" s="6" t="n">
        <f aca="false">IFERROR(__xludf.dummyfunction("""COMPUTED_VALUE"""),45131.6666666667)</f>
        <v>45131.6666666667</v>
      </c>
      <c r="B643" s="5" t="n">
        <f aca="false">IFERROR(__xludf.dummyfunction("""COMPUTED_VALUE"""),97.27)</f>
        <v>97.27</v>
      </c>
      <c r="C643" s="5" t="n">
        <f aca="false">IFERROR(__xludf.dummyfunction("""COMPUTED_VALUE"""),98.27)</f>
        <v>98.27</v>
      </c>
      <c r="D643" s="5" t="n">
        <f aca="false">IFERROR(__xludf.dummyfunction("""COMPUTED_VALUE"""),96.78)</f>
        <v>96.78</v>
      </c>
      <c r="E643" s="5" t="n">
        <f aca="false">IFERROR(__xludf.dummyfunction("""COMPUTED_VALUE"""),98.25)</f>
        <v>98.25</v>
      </c>
      <c r="F643" s="5" t="n">
        <f aca="false">IFERROR(__xludf.dummyfunction("""COMPUTED_VALUE"""),9054912)</f>
        <v>9054912</v>
      </c>
    </row>
    <row r="644" customFormat="false" ht="15.75" hidden="false" customHeight="false" outlineLevel="0" collapsed="false">
      <c r="A644" s="6" t="n">
        <f aca="false">IFERROR(__xludf.dummyfunction("""COMPUTED_VALUE"""),45132.6666666667)</f>
        <v>45132.6666666667</v>
      </c>
      <c r="B644" s="5" t="n">
        <f aca="false">IFERROR(__xludf.dummyfunction("""COMPUTED_VALUE"""),99.52)</f>
        <v>99.52</v>
      </c>
      <c r="C644" s="5" t="n">
        <f aca="false">IFERROR(__xludf.dummyfunction("""COMPUTED_VALUE"""),100.89)</f>
        <v>100.89</v>
      </c>
      <c r="D644" s="5" t="n">
        <f aca="false">IFERROR(__xludf.dummyfunction("""COMPUTED_VALUE"""),99.11)</f>
        <v>99.11</v>
      </c>
      <c r="E644" s="5" t="n">
        <f aca="false">IFERROR(__xludf.dummyfunction("""COMPUTED_VALUE"""),100.32)</f>
        <v>100.32</v>
      </c>
      <c r="F644" s="5" t="n">
        <f aca="false">IFERROR(__xludf.dummyfunction("""COMPUTED_VALUE"""),9202222)</f>
        <v>9202222</v>
      </c>
    </row>
    <row r="645" customFormat="false" ht="15.75" hidden="false" customHeight="false" outlineLevel="0" collapsed="false">
      <c r="A645" s="6" t="n">
        <f aca="false">IFERROR(__xludf.dummyfunction("""COMPUTED_VALUE"""),45133.6666666667)</f>
        <v>45133.6666666667</v>
      </c>
      <c r="B645" s="5" t="n">
        <f aca="false">IFERROR(__xludf.dummyfunction("""COMPUTED_VALUE"""),99.49)</f>
        <v>99.49</v>
      </c>
      <c r="C645" s="5" t="n">
        <f aca="false">IFERROR(__xludf.dummyfunction("""COMPUTED_VALUE"""),100.13)</f>
        <v>100.13</v>
      </c>
      <c r="D645" s="5" t="n">
        <f aca="false">IFERROR(__xludf.dummyfunction("""COMPUTED_VALUE"""),98.57)</f>
        <v>98.57</v>
      </c>
      <c r="E645" s="5" t="n">
        <f aca="false">IFERROR(__xludf.dummyfunction("""COMPUTED_VALUE"""),99.41)</f>
        <v>99.41</v>
      </c>
      <c r="F645" s="5" t="n">
        <f aca="false">IFERROR(__xludf.dummyfunction("""COMPUTED_VALUE"""),8993547)</f>
        <v>8993547</v>
      </c>
    </row>
    <row r="646" customFormat="false" ht="15.75" hidden="false" customHeight="false" outlineLevel="0" collapsed="false">
      <c r="A646" s="6" t="n">
        <f aca="false">IFERROR(__xludf.dummyfunction("""COMPUTED_VALUE"""),45134.6666666667)</f>
        <v>45134.6666666667</v>
      </c>
      <c r="B646" s="5" t="n">
        <f aca="false">IFERROR(__xludf.dummyfunction("""COMPUTED_VALUE"""),101.5)</f>
        <v>101.5</v>
      </c>
      <c r="C646" s="5" t="n">
        <f aca="false">IFERROR(__xludf.dummyfunction("""COMPUTED_VALUE"""),101.76)</f>
        <v>101.76</v>
      </c>
      <c r="D646" s="5" t="n">
        <f aca="false">IFERROR(__xludf.dummyfunction("""COMPUTED_VALUE"""),98.91)</f>
        <v>98.91</v>
      </c>
      <c r="E646" s="5" t="n">
        <f aca="false">IFERROR(__xludf.dummyfunction("""COMPUTED_VALUE"""),99.35)</f>
        <v>99.35</v>
      </c>
      <c r="F646" s="5" t="n">
        <f aca="false">IFERROR(__xludf.dummyfunction("""COMPUTED_VALUE"""),8049784)</f>
        <v>8049784</v>
      </c>
    </row>
    <row r="647" customFormat="false" ht="15.75" hidden="false" customHeight="false" outlineLevel="0" collapsed="false">
      <c r="A647" s="6" t="n">
        <f aca="false">IFERROR(__xludf.dummyfunction("""COMPUTED_VALUE"""),45135.6666666667)</f>
        <v>45135.6666666667</v>
      </c>
      <c r="B647" s="5" t="n">
        <f aca="false">IFERROR(__xludf.dummyfunction("""COMPUTED_VALUE"""),100.11)</f>
        <v>100.11</v>
      </c>
      <c r="C647" s="5" t="n">
        <f aca="false">IFERROR(__xludf.dummyfunction("""COMPUTED_VALUE"""),100.99)</f>
        <v>100.99</v>
      </c>
      <c r="D647" s="5" t="n">
        <f aca="false">IFERROR(__xludf.dummyfunction("""COMPUTED_VALUE"""),99.78)</f>
        <v>99.78</v>
      </c>
      <c r="E647" s="5" t="n">
        <f aca="false">IFERROR(__xludf.dummyfunction("""COMPUTED_VALUE"""),100.86)</f>
        <v>100.86</v>
      </c>
      <c r="F647" s="5" t="n">
        <f aca="false">IFERROR(__xludf.dummyfunction("""COMPUTED_VALUE"""),6766298)</f>
        <v>6766298</v>
      </c>
    </row>
    <row r="648" customFormat="false" ht="15.75" hidden="false" customHeight="false" outlineLevel="0" collapsed="false">
      <c r="A648" s="6" t="n">
        <f aca="false">IFERROR(__xludf.dummyfunction("""COMPUTED_VALUE"""),45138.6666666667)</f>
        <v>45138.6666666667</v>
      </c>
      <c r="B648" s="5" t="n">
        <f aca="false">IFERROR(__xludf.dummyfunction("""COMPUTED_VALUE"""),99.18)</f>
        <v>99.18</v>
      </c>
      <c r="C648" s="5" t="n">
        <f aca="false">IFERROR(__xludf.dummyfunction("""COMPUTED_VALUE"""),99.78)</f>
        <v>99.78</v>
      </c>
      <c r="D648" s="5" t="n">
        <f aca="false">IFERROR(__xludf.dummyfunction("""COMPUTED_VALUE"""),98.42)</f>
        <v>98.42</v>
      </c>
      <c r="E648" s="5" t="n">
        <f aca="false">IFERROR(__xludf.dummyfunction("""COMPUTED_VALUE"""),99.15)</f>
        <v>99.15</v>
      </c>
      <c r="F648" s="5" t="n">
        <f aca="false">IFERROR(__xludf.dummyfunction("""COMPUTED_VALUE"""),8654145)</f>
        <v>8654145</v>
      </c>
    </row>
    <row r="649" customFormat="false" ht="15.75" hidden="false" customHeight="false" outlineLevel="0" collapsed="false">
      <c r="A649" s="6" t="n">
        <f aca="false">IFERROR(__xludf.dummyfunction("""COMPUTED_VALUE"""),45139.6666666667)</f>
        <v>45139.6666666667</v>
      </c>
      <c r="B649" s="5" t="n">
        <f aca="false">IFERROR(__xludf.dummyfunction("""COMPUTED_VALUE"""),99.14)</f>
        <v>99.14</v>
      </c>
      <c r="C649" s="5" t="n">
        <f aca="false">IFERROR(__xludf.dummyfunction("""COMPUTED_VALUE"""),99.19)</f>
        <v>99.19</v>
      </c>
      <c r="D649" s="5" t="n">
        <f aca="false">IFERROR(__xludf.dummyfunction("""COMPUTED_VALUE"""),98.09)</f>
        <v>98.09</v>
      </c>
      <c r="E649" s="5" t="n">
        <f aca="false">IFERROR(__xludf.dummyfunction("""COMPUTED_VALUE"""),98.4)</f>
        <v>98.4</v>
      </c>
      <c r="F649" s="5" t="n">
        <f aca="false">IFERROR(__xludf.dummyfunction("""COMPUTED_VALUE"""),6439692)</f>
        <v>6439692</v>
      </c>
    </row>
    <row r="650" customFormat="false" ht="15.75" hidden="false" customHeight="false" outlineLevel="0" collapsed="false">
      <c r="A650" s="6" t="n">
        <f aca="false">IFERROR(__xludf.dummyfunction("""COMPUTED_VALUE"""),45140.6666666667)</f>
        <v>45140.6666666667</v>
      </c>
      <c r="B650" s="5" t="n">
        <f aca="false">IFERROR(__xludf.dummyfunction("""COMPUTED_VALUE"""),97.5)</f>
        <v>97.5</v>
      </c>
      <c r="C650" s="5" t="n">
        <f aca="false">IFERROR(__xludf.dummyfunction("""COMPUTED_VALUE"""),97.5)</f>
        <v>97.5</v>
      </c>
      <c r="D650" s="5" t="n">
        <f aca="false">IFERROR(__xludf.dummyfunction("""COMPUTED_VALUE"""),95.21)</f>
        <v>95.21</v>
      </c>
      <c r="E650" s="5" t="n">
        <f aca="false">IFERROR(__xludf.dummyfunction("""COMPUTED_VALUE"""),95.7)</f>
        <v>95.7</v>
      </c>
      <c r="F650" s="5" t="n">
        <f aca="false">IFERROR(__xludf.dummyfunction("""COMPUTED_VALUE"""),9827891)</f>
        <v>9827891</v>
      </c>
    </row>
    <row r="651" customFormat="false" ht="15.75" hidden="false" customHeight="false" outlineLevel="0" collapsed="false">
      <c r="A651" s="6" t="n">
        <f aca="false">IFERROR(__xludf.dummyfunction("""COMPUTED_VALUE"""),45141.6666666667)</f>
        <v>45141.6666666667</v>
      </c>
      <c r="B651" s="5" t="n">
        <f aca="false">IFERROR(__xludf.dummyfunction("""COMPUTED_VALUE"""),94.84)</f>
        <v>94.84</v>
      </c>
      <c r="C651" s="5" t="n">
        <f aca="false">IFERROR(__xludf.dummyfunction("""COMPUTED_VALUE"""),95.81)</f>
        <v>95.81</v>
      </c>
      <c r="D651" s="5" t="n">
        <f aca="false">IFERROR(__xludf.dummyfunction("""COMPUTED_VALUE"""),94.58)</f>
        <v>94.58</v>
      </c>
      <c r="E651" s="5" t="n">
        <f aca="false">IFERROR(__xludf.dummyfunction("""COMPUTED_VALUE"""),94.98)</f>
        <v>94.98</v>
      </c>
      <c r="F651" s="5" t="n">
        <f aca="false">IFERROR(__xludf.dummyfunction("""COMPUTED_VALUE"""),8603707)</f>
        <v>8603707</v>
      </c>
    </row>
    <row r="652" customFormat="false" ht="15.75" hidden="false" customHeight="false" outlineLevel="0" collapsed="false">
      <c r="A652" s="6" t="n">
        <f aca="false">IFERROR(__xludf.dummyfunction("""COMPUTED_VALUE"""),45142.6666666667)</f>
        <v>45142.6666666667</v>
      </c>
      <c r="B652" s="5" t="n">
        <f aca="false">IFERROR(__xludf.dummyfunction("""COMPUTED_VALUE"""),95.28)</f>
        <v>95.28</v>
      </c>
      <c r="C652" s="5" t="n">
        <f aca="false">IFERROR(__xludf.dummyfunction("""COMPUTED_VALUE"""),97.58)</f>
        <v>97.58</v>
      </c>
      <c r="D652" s="5" t="n">
        <f aca="false">IFERROR(__xludf.dummyfunction("""COMPUTED_VALUE"""),95.13)</f>
        <v>95.13</v>
      </c>
      <c r="E652" s="5" t="n">
        <f aca="false">IFERROR(__xludf.dummyfunction("""COMPUTED_VALUE"""),96.16)</f>
        <v>96.16</v>
      </c>
      <c r="F652" s="5" t="n">
        <f aca="false">IFERROR(__xludf.dummyfunction("""COMPUTED_VALUE"""),7562649)</f>
        <v>7562649</v>
      </c>
    </row>
    <row r="653" customFormat="false" ht="15.75" hidden="false" customHeight="false" outlineLevel="0" collapsed="false">
      <c r="A653" s="6" t="n">
        <f aca="false">IFERROR(__xludf.dummyfunction("""COMPUTED_VALUE"""),45145.6666666667)</f>
        <v>45145.6666666667</v>
      </c>
      <c r="B653" s="5" t="n">
        <f aca="false">IFERROR(__xludf.dummyfunction("""COMPUTED_VALUE"""),96.73)</f>
        <v>96.73</v>
      </c>
      <c r="C653" s="5" t="n">
        <f aca="false">IFERROR(__xludf.dummyfunction("""COMPUTED_VALUE"""),96.94)</f>
        <v>96.94</v>
      </c>
      <c r="D653" s="5" t="n">
        <f aca="false">IFERROR(__xludf.dummyfunction("""COMPUTED_VALUE"""),95.23)</f>
        <v>95.23</v>
      </c>
      <c r="E653" s="5" t="n">
        <f aca="false">IFERROR(__xludf.dummyfunction("""COMPUTED_VALUE"""),96.35)</f>
        <v>96.35</v>
      </c>
      <c r="F653" s="5" t="n">
        <f aca="false">IFERROR(__xludf.dummyfunction("""COMPUTED_VALUE"""),6601403)</f>
        <v>6601403</v>
      </c>
    </row>
    <row r="654" customFormat="false" ht="15.75" hidden="false" customHeight="false" outlineLevel="0" collapsed="false">
      <c r="A654" s="6" t="n">
        <f aca="false">IFERROR(__xludf.dummyfunction("""COMPUTED_VALUE"""),45146.6666666667)</f>
        <v>45146.6666666667</v>
      </c>
      <c r="B654" s="5" t="n">
        <f aca="false">IFERROR(__xludf.dummyfunction("""COMPUTED_VALUE"""),94.88)</f>
        <v>94.88</v>
      </c>
      <c r="C654" s="5" t="n">
        <f aca="false">IFERROR(__xludf.dummyfunction("""COMPUTED_VALUE"""),94.9)</f>
        <v>94.9</v>
      </c>
      <c r="D654" s="5" t="n">
        <f aca="false">IFERROR(__xludf.dummyfunction("""COMPUTED_VALUE"""),93.67)</f>
        <v>93.67</v>
      </c>
      <c r="E654" s="5" t="n">
        <f aca="false">IFERROR(__xludf.dummyfunction("""COMPUTED_VALUE"""),94.49)</f>
        <v>94.49</v>
      </c>
      <c r="F654" s="5" t="n">
        <f aca="false">IFERROR(__xludf.dummyfunction("""COMPUTED_VALUE"""),7659012)</f>
        <v>7659012</v>
      </c>
    </row>
    <row r="655" customFormat="false" ht="15.75" hidden="false" customHeight="false" outlineLevel="0" collapsed="false">
      <c r="A655" s="6" t="n">
        <f aca="false">IFERROR(__xludf.dummyfunction("""COMPUTED_VALUE"""),45147.6666666667)</f>
        <v>45147.6666666667</v>
      </c>
      <c r="B655" s="5" t="n">
        <f aca="false">IFERROR(__xludf.dummyfunction("""COMPUTED_VALUE"""),95.83)</f>
        <v>95.83</v>
      </c>
      <c r="C655" s="5" t="n">
        <f aca="false">IFERROR(__xludf.dummyfunction("""COMPUTED_VALUE"""),95.85)</f>
        <v>95.85</v>
      </c>
      <c r="D655" s="5" t="n">
        <f aca="false">IFERROR(__xludf.dummyfunction("""COMPUTED_VALUE"""),93.71)</f>
        <v>93.71</v>
      </c>
      <c r="E655" s="5" t="n">
        <f aca="false">IFERROR(__xludf.dummyfunction("""COMPUTED_VALUE"""),93.98)</f>
        <v>93.98</v>
      </c>
      <c r="F655" s="5" t="n">
        <f aca="false">IFERROR(__xludf.dummyfunction("""COMPUTED_VALUE"""),6426862)</f>
        <v>6426862</v>
      </c>
    </row>
    <row r="656" customFormat="false" ht="15.75" hidden="false" customHeight="false" outlineLevel="0" collapsed="false">
      <c r="A656" s="6" t="n">
        <f aca="false">IFERROR(__xludf.dummyfunction("""COMPUTED_VALUE"""),45148.6666666667)</f>
        <v>45148.6666666667</v>
      </c>
      <c r="B656" s="5" t="n">
        <f aca="false">IFERROR(__xludf.dummyfunction("""COMPUTED_VALUE"""),95.45)</f>
        <v>95.45</v>
      </c>
      <c r="C656" s="5" t="n">
        <f aca="false">IFERROR(__xludf.dummyfunction("""COMPUTED_VALUE"""),95.97)</f>
        <v>95.97</v>
      </c>
      <c r="D656" s="5" t="n">
        <f aca="false">IFERROR(__xludf.dummyfunction("""COMPUTED_VALUE"""),94.28)</f>
        <v>94.28</v>
      </c>
      <c r="E656" s="5" t="n">
        <f aca="false">IFERROR(__xludf.dummyfunction("""COMPUTED_VALUE"""),94.8)</f>
        <v>94.8</v>
      </c>
      <c r="F656" s="5" t="n">
        <f aca="false">IFERROR(__xludf.dummyfunction("""COMPUTED_VALUE"""),7459584)</f>
        <v>7459584</v>
      </c>
    </row>
    <row r="657" customFormat="false" ht="15.75" hidden="false" customHeight="false" outlineLevel="0" collapsed="false">
      <c r="A657" s="6" t="n">
        <f aca="false">IFERROR(__xludf.dummyfunction("""COMPUTED_VALUE"""),45149.6666666667)</f>
        <v>45149.6666666667</v>
      </c>
      <c r="B657" s="5" t="n">
        <f aca="false">IFERROR(__xludf.dummyfunction("""COMPUTED_VALUE"""),93.5)</f>
        <v>93.5</v>
      </c>
      <c r="C657" s="5" t="n">
        <f aca="false">IFERROR(__xludf.dummyfunction("""COMPUTED_VALUE"""),93.5)</f>
        <v>93.5</v>
      </c>
      <c r="D657" s="5" t="n">
        <f aca="false">IFERROR(__xludf.dummyfunction("""COMPUTED_VALUE"""),91.97)</f>
        <v>91.97</v>
      </c>
      <c r="E657" s="5" t="n">
        <f aca="false">IFERROR(__xludf.dummyfunction("""COMPUTED_VALUE"""),91.99)</f>
        <v>91.99</v>
      </c>
      <c r="F657" s="5" t="n">
        <f aca="false">IFERROR(__xludf.dummyfunction("""COMPUTED_VALUE"""),10658398)</f>
        <v>10658398</v>
      </c>
    </row>
    <row r="658" customFormat="false" ht="15.75" hidden="false" customHeight="false" outlineLevel="0" collapsed="false">
      <c r="A658" s="6" t="n">
        <f aca="false">IFERROR(__xludf.dummyfunction("""COMPUTED_VALUE"""),45152.6666666667)</f>
        <v>45152.6666666667</v>
      </c>
      <c r="B658" s="5" t="n">
        <f aca="false">IFERROR(__xludf.dummyfunction("""COMPUTED_VALUE"""),91.69)</f>
        <v>91.69</v>
      </c>
      <c r="C658" s="5" t="n">
        <f aca="false">IFERROR(__xludf.dummyfunction("""COMPUTED_VALUE"""),93.29)</f>
        <v>93.29</v>
      </c>
      <c r="D658" s="5" t="n">
        <f aca="false">IFERROR(__xludf.dummyfunction("""COMPUTED_VALUE"""),91.3)</f>
        <v>91.3</v>
      </c>
      <c r="E658" s="5" t="n">
        <f aca="false">IFERROR(__xludf.dummyfunction("""COMPUTED_VALUE"""),93.07)</f>
        <v>93.07</v>
      </c>
      <c r="F658" s="5" t="n">
        <f aca="false">IFERROR(__xludf.dummyfunction("""COMPUTED_VALUE"""),7489675)</f>
        <v>7489675</v>
      </c>
    </row>
    <row r="659" customFormat="false" ht="15.75" hidden="false" customHeight="false" outlineLevel="0" collapsed="false">
      <c r="A659" s="6" t="n">
        <f aca="false">IFERROR(__xludf.dummyfunction("""COMPUTED_VALUE"""),45153.6666666667)</f>
        <v>45153.6666666667</v>
      </c>
      <c r="B659" s="5" t="n">
        <f aca="false">IFERROR(__xludf.dummyfunction("""COMPUTED_VALUE"""),92.52)</f>
        <v>92.52</v>
      </c>
      <c r="C659" s="5" t="n">
        <f aca="false">IFERROR(__xludf.dummyfunction("""COMPUTED_VALUE"""),92.71)</f>
        <v>92.71</v>
      </c>
      <c r="D659" s="5" t="n">
        <f aca="false">IFERROR(__xludf.dummyfunction("""COMPUTED_VALUE"""),91.49)</f>
        <v>91.49</v>
      </c>
      <c r="E659" s="5" t="n">
        <f aca="false">IFERROR(__xludf.dummyfunction("""COMPUTED_VALUE"""),91.68)</f>
        <v>91.68</v>
      </c>
      <c r="F659" s="5" t="n">
        <f aca="false">IFERROR(__xludf.dummyfunction("""COMPUTED_VALUE"""),6069500)</f>
        <v>6069500</v>
      </c>
    </row>
    <row r="660" customFormat="false" ht="15.75" hidden="false" customHeight="false" outlineLevel="0" collapsed="false">
      <c r="A660" s="6" t="n">
        <f aca="false">IFERROR(__xludf.dummyfunction("""COMPUTED_VALUE"""),45154.6666666667)</f>
        <v>45154.6666666667</v>
      </c>
      <c r="B660" s="5" t="n">
        <f aca="false">IFERROR(__xludf.dummyfunction("""COMPUTED_VALUE"""),91.44)</f>
        <v>91.44</v>
      </c>
      <c r="C660" s="5" t="n">
        <f aca="false">IFERROR(__xludf.dummyfunction("""COMPUTED_VALUE"""),92.72)</f>
        <v>92.72</v>
      </c>
      <c r="D660" s="5" t="n">
        <f aca="false">IFERROR(__xludf.dummyfunction("""COMPUTED_VALUE"""),91.32)</f>
        <v>91.32</v>
      </c>
      <c r="E660" s="5" t="n">
        <f aca="false">IFERROR(__xludf.dummyfunction("""COMPUTED_VALUE"""),91.78)</f>
        <v>91.78</v>
      </c>
      <c r="F660" s="5" t="n">
        <f aca="false">IFERROR(__xludf.dummyfunction("""COMPUTED_VALUE"""),7439502)</f>
        <v>7439502</v>
      </c>
    </row>
    <row r="661" customFormat="false" ht="15.75" hidden="false" customHeight="false" outlineLevel="0" collapsed="false">
      <c r="A661" s="6" t="n">
        <f aca="false">IFERROR(__xludf.dummyfunction("""COMPUTED_VALUE"""),45155.6666666667)</f>
        <v>45155.6666666667</v>
      </c>
      <c r="B661" s="5" t="n">
        <f aca="false">IFERROR(__xludf.dummyfunction("""COMPUTED_VALUE"""),92.92)</f>
        <v>92.92</v>
      </c>
      <c r="C661" s="5" t="n">
        <f aca="false">IFERROR(__xludf.dummyfunction("""COMPUTED_VALUE"""),92.92)</f>
        <v>92.92</v>
      </c>
      <c r="D661" s="5" t="n">
        <f aca="false">IFERROR(__xludf.dummyfunction("""COMPUTED_VALUE"""),91.35)</f>
        <v>91.35</v>
      </c>
      <c r="E661" s="5" t="n">
        <f aca="false">IFERROR(__xludf.dummyfunction("""COMPUTED_VALUE"""),91.64)</f>
        <v>91.64</v>
      </c>
      <c r="F661" s="5" t="n">
        <f aca="false">IFERROR(__xludf.dummyfunction("""COMPUTED_VALUE"""),7712486)</f>
        <v>7712486</v>
      </c>
    </row>
    <row r="662" customFormat="false" ht="15.75" hidden="false" customHeight="false" outlineLevel="0" collapsed="false">
      <c r="A662" s="6" t="n">
        <f aca="false">IFERROR(__xludf.dummyfunction("""COMPUTED_VALUE"""),45156.6666666667)</f>
        <v>45156.6666666667</v>
      </c>
      <c r="B662" s="5" t="n">
        <f aca="false">IFERROR(__xludf.dummyfunction("""COMPUTED_VALUE"""),90.07)</f>
        <v>90.07</v>
      </c>
      <c r="C662" s="5" t="n">
        <f aca="false">IFERROR(__xludf.dummyfunction("""COMPUTED_VALUE"""),91.33)</f>
        <v>91.33</v>
      </c>
      <c r="D662" s="5" t="n">
        <f aca="false">IFERROR(__xludf.dummyfunction("""COMPUTED_VALUE"""),89.56)</f>
        <v>89.56</v>
      </c>
      <c r="E662" s="5" t="n">
        <f aca="false">IFERROR(__xludf.dummyfunction("""COMPUTED_VALUE"""),91.1)</f>
        <v>91.1</v>
      </c>
      <c r="F662" s="5" t="n">
        <f aca="false">IFERROR(__xludf.dummyfunction("""COMPUTED_VALUE"""),9066167)</f>
        <v>9066167</v>
      </c>
    </row>
    <row r="663" customFormat="false" ht="15.75" hidden="false" customHeight="false" outlineLevel="0" collapsed="false">
      <c r="A663" s="6" t="n">
        <f aca="false">IFERROR(__xludf.dummyfunction("""COMPUTED_VALUE"""),45159.6666666667)</f>
        <v>45159.6666666667</v>
      </c>
      <c r="B663" s="5" t="n">
        <f aca="false">IFERROR(__xludf.dummyfunction("""COMPUTED_VALUE"""),90.5)</f>
        <v>90.5</v>
      </c>
      <c r="C663" s="5" t="n">
        <f aca="false">IFERROR(__xludf.dummyfunction("""COMPUTED_VALUE"""),92.91)</f>
        <v>92.91</v>
      </c>
      <c r="D663" s="5" t="n">
        <f aca="false">IFERROR(__xludf.dummyfunction("""COMPUTED_VALUE"""),90.5)</f>
        <v>90.5</v>
      </c>
      <c r="E663" s="5" t="n">
        <f aca="false">IFERROR(__xludf.dummyfunction("""COMPUTED_VALUE"""),92.56)</f>
        <v>92.56</v>
      </c>
      <c r="F663" s="5" t="n">
        <f aca="false">IFERROR(__xludf.dummyfunction("""COMPUTED_VALUE"""),8618303)</f>
        <v>8618303</v>
      </c>
    </row>
    <row r="664" customFormat="false" ht="15.75" hidden="false" customHeight="false" outlineLevel="0" collapsed="false">
      <c r="A664" s="6" t="n">
        <f aca="false">IFERROR(__xludf.dummyfunction("""COMPUTED_VALUE"""),45160.6666666667)</f>
        <v>45160.6666666667</v>
      </c>
      <c r="B664" s="5" t="n">
        <f aca="false">IFERROR(__xludf.dummyfunction("""COMPUTED_VALUE"""),93.35)</f>
        <v>93.35</v>
      </c>
      <c r="C664" s="5" t="n">
        <f aca="false">IFERROR(__xludf.dummyfunction("""COMPUTED_VALUE"""),93.49)</f>
        <v>93.49</v>
      </c>
      <c r="D664" s="5" t="n">
        <f aca="false">IFERROR(__xludf.dummyfunction("""COMPUTED_VALUE"""),91.81)</f>
        <v>91.81</v>
      </c>
      <c r="E664" s="5" t="n">
        <f aca="false">IFERROR(__xludf.dummyfunction("""COMPUTED_VALUE"""),92.24)</f>
        <v>92.24</v>
      </c>
      <c r="F664" s="5" t="n">
        <f aca="false">IFERROR(__xludf.dummyfunction("""COMPUTED_VALUE"""),7060063)</f>
        <v>7060063</v>
      </c>
    </row>
    <row r="665" customFormat="false" ht="15.75" hidden="false" customHeight="false" outlineLevel="0" collapsed="false">
      <c r="A665" s="6" t="n">
        <f aca="false">IFERROR(__xludf.dummyfunction("""COMPUTED_VALUE"""),45161.6666666667)</f>
        <v>45161.6666666667</v>
      </c>
      <c r="B665" s="5" t="n">
        <f aca="false">IFERROR(__xludf.dummyfunction("""COMPUTED_VALUE"""),93.79)</f>
        <v>93.79</v>
      </c>
      <c r="C665" s="5" t="n">
        <f aca="false">IFERROR(__xludf.dummyfunction("""COMPUTED_VALUE"""),95.1)</f>
        <v>95.1</v>
      </c>
      <c r="D665" s="5" t="n">
        <f aca="false">IFERROR(__xludf.dummyfunction("""COMPUTED_VALUE"""),93.24)</f>
        <v>93.24</v>
      </c>
      <c r="E665" s="5" t="n">
        <f aca="false">IFERROR(__xludf.dummyfunction("""COMPUTED_VALUE"""),94.22)</f>
        <v>94.22</v>
      </c>
      <c r="F665" s="5" t="n">
        <f aca="false">IFERROR(__xludf.dummyfunction("""COMPUTED_VALUE"""),10362581)</f>
        <v>10362581</v>
      </c>
    </row>
    <row r="666" customFormat="false" ht="15.75" hidden="false" customHeight="false" outlineLevel="0" collapsed="false">
      <c r="A666" s="6" t="n">
        <f aca="false">IFERROR(__xludf.dummyfunction("""COMPUTED_VALUE"""),45162.6666666667)</f>
        <v>45162.6666666667</v>
      </c>
      <c r="B666" s="5" t="n">
        <f aca="false">IFERROR(__xludf.dummyfunction("""COMPUTED_VALUE"""),96.53)</f>
        <v>96.53</v>
      </c>
      <c r="C666" s="5" t="n">
        <f aca="false">IFERROR(__xludf.dummyfunction("""COMPUTED_VALUE"""),96.78)</f>
        <v>96.78</v>
      </c>
      <c r="D666" s="5" t="n">
        <f aca="false">IFERROR(__xludf.dummyfunction("""COMPUTED_VALUE"""),92.47)</f>
        <v>92.47</v>
      </c>
      <c r="E666" s="5" t="n">
        <f aca="false">IFERROR(__xludf.dummyfunction("""COMPUTED_VALUE"""),92.53)</f>
        <v>92.53</v>
      </c>
      <c r="F666" s="5" t="n">
        <f aca="false">IFERROR(__xludf.dummyfunction("""COMPUTED_VALUE"""),12254419)</f>
        <v>12254419</v>
      </c>
    </row>
    <row r="667" customFormat="false" ht="15.75" hidden="false" customHeight="false" outlineLevel="0" collapsed="false">
      <c r="A667" s="6" t="n">
        <f aca="false">IFERROR(__xludf.dummyfunction("""COMPUTED_VALUE"""),45163.6666666667)</f>
        <v>45163.6666666667</v>
      </c>
      <c r="B667" s="5" t="n">
        <f aca="false">IFERROR(__xludf.dummyfunction("""COMPUTED_VALUE"""),92.25)</f>
        <v>92.25</v>
      </c>
      <c r="C667" s="5" t="n">
        <f aca="false">IFERROR(__xludf.dummyfunction("""COMPUTED_VALUE"""),93.41)</f>
        <v>93.41</v>
      </c>
      <c r="D667" s="5" t="n">
        <f aca="false">IFERROR(__xludf.dummyfunction("""COMPUTED_VALUE"""),91.41)</f>
        <v>91.41</v>
      </c>
      <c r="E667" s="5" t="n">
        <f aca="false">IFERROR(__xludf.dummyfunction("""COMPUTED_VALUE"""),93.1)</f>
        <v>93.1</v>
      </c>
      <c r="F667" s="5" t="n">
        <f aca="false">IFERROR(__xludf.dummyfunction("""COMPUTED_VALUE"""),10355952)</f>
        <v>10355952</v>
      </c>
    </row>
    <row r="668" customFormat="false" ht="15.75" hidden="false" customHeight="false" outlineLevel="0" collapsed="false">
      <c r="A668" s="6" t="n">
        <f aca="false">IFERROR(__xludf.dummyfunction("""COMPUTED_VALUE"""),45166.6666666667)</f>
        <v>45166.6666666667</v>
      </c>
      <c r="B668" s="5" t="n">
        <f aca="false">IFERROR(__xludf.dummyfunction("""COMPUTED_VALUE"""),93.82)</f>
        <v>93.82</v>
      </c>
      <c r="C668" s="5" t="n">
        <f aca="false">IFERROR(__xludf.dummyfunction("""COMPUTED_VALUE"""),94.15)</f>
        <v>94.15</v>
      </c>
      <c r="D668" s="5" t="n">
        <f aca="false">IFERROR(__xludf.dummyfunction("""COMPUTED_VALUE"""),93.25)</f>
        <v>93.25</v>
      </c>
      <c r="E668" s="5" t="n">
        <f aca="false">IFERROR(__xludf.dummyfunction("""COMPUTED_VALUE"""),94)</f>
        <v>94</v>
      </c>
      <c r="F668" s="5" t="n">
        <f aca="false">IFERROR(__xludf.dummyfunction("""COMPUTED_VALUE"""),5174779)</f>
        <v>5174779</v>
      </c>
    </row>
    <row r="669" customFormat="false" ht="15.75" hidden="false" customHeight="false" outlineLevel="0" collapsed="false">
      <c r="A669" s="6" t="n">
        <f aca="false">IFERROR(__xludf.dummyfunction("""COMPUTED_VALUE"""),45167.6666666667)</f>
        <v>45167.6666666667</v>
      </c>
      <c r="B669" s="5" t="n">
        <f aca="false">IFERROR(__xludf.dummyfunction("""COMPUTED_VALUE"""),93.77)</f>
        <v>93.77</v>
      </c>
      <c r="C669" s="5" t="n">
        <f aca="false">IFERROR(__xludf.dummyfunction("""COMPUTED_VALUE"""),95.62)</f>
        <v>95.62</v>
      </c>
      <c r="D669" s="5" t="n">
        <f aca="false">IFERROR(__xludf.dummyfunction("""COMPUTED_VALUE"""),93.51)</f>
        <v>93.51</v>
      </c>
      <c r="E669" s="5" t="n">
        <f aca="false">IFERROR(__xludf.dummyfunction("""COMPUTED_VALUE"""),95.08)</f>
        <v>95.08</v>
      </c>
      <c r="F669" s="5" t="n">
        <f aca="false">IFERROR(__xludf.dummyfunction("""COMPUTED_VALUE"""),8910319)</f>
        <v>8910319</v>
      </c>
    </row>
    <row r="670" customFormat="false" ht="15.75" hidden="false" customHeight="false" outlineLevel="0" collapsed="false">
      <c r="A670" s="6" t="n">
        <f aca="false">IFERROR(__xludf.dummyfunction("""COMPUTED_VALUE"""),45168.6666666667)</f>
        <v>45168.6666666667</v>
      </c>
      <c r="B670" s="5" t="n">
        <f aca="false">IFERROR(__xludf.dummyfunction("""COMPUTED_VALUE"""),95.45)</f>
        <v>95.45</v>
      </c>
      <c r="C670" s="5" t="n">
        <f aca="false">IFERROR(__xludf.dummyfunction("""COMPUTED_VALUE"""),95.92)</f>
        <v>95.92</v>
      </c>
      <c r="D670" s="5" t="n">
        <f aca="false">IFERROR(__xludf.dummyfunction("""COMPUTED_VALUE"""),94.63)</f>
        <v>94.63</v>
      </c>
      <c r="E670" s="5" t="n">
        <f aca="false">IFERROR(__xludf.dummyfunction("""COMPUTED_VALUE"""),94.78)</f>
        <v>94.78</v>
      </c>
      <c r="F670" s="5" t="n">
        <f aca="false">IFERROR(__xludf.dummyfunction("""COMPUTED_VALUE"""),6073414)</f>
        <v>6073414</v>
      </c>
    </row>
    <row r="671" customFormat="false" ht="15.75" hidden="false" customHeight="false" outlineLevel="0" collapsed="false">
      <c r="A671" s="6" t="n">
        <f aca="false">IFERROR(__xludf.dummyfunction("""COMPUTED_VALUE"""),45169.6666666667)</f>
        <v>45169.6666666667</v>
      </c>
      <c r="B671" s="5" t="n">
        <f aca="false">IFERROR(__xludf.dummyfunction("""COMPUTED_VALUE"""),93.34)</f>
        <v>93.34</v>
      </c>
      <c r="C671" s="5" t="n">
        <f aca="false">IFERROR(__xludf.dummyfunction("""COMPUTED_VALUE"""),94.4)</f>
        <v>94.4</v>
      </c>
      <c r="D671" s="5" t="n">
        <f aca="false">IFERROR(__xludf.dummyfunction("""COMPUTED_VALUE"""),93.27)</f>
        <v>93.27</v>
      </c>
      <c r="E671" s="5" t="n">
        <f aca="false">IFERROR(__xludf.dummyfunction("""COMPUTED_VALUE"""),93.57)</f>
        <v>93.57</v>
      </c>
      <c r="F671" s="5" t="n">
        <f aca="false">IFERROR(__xludf.dummyfunction("""COMPUTED_VALUE"""),8661169)</f>
        <v>8661169</v>
      </c>
    </row>
    <row r="672" customFormat="false" ht="15.75" hidden="false" customHeight="false" outlineLevel="0" collapsed="false">
      <c r="A672" s="6" t="n">
        <f aca="false">IFERROR(__xludf.dummyfunction("""COMPUTED_VALUE"""),45170.6666666667)</f>
        <v>45170.6666666667</v>
      </c>
      <c r="B672" s="5" t="n">
        <f aca="false">IFERROR(__xludf.dummyfunction("""COMPUTED_VALUE"""),94.3)</f>
        <v>94.3</v>
      </c>
      <c r="C672" s="5" t="n">
        <f aca="false">IFERROR(__xludf.dummyfunction("""COMPUTED_VALUE"""),94.58)</f>
        <v>94.58</v>
      </c>
      <c r="D672" s="5" t="n">
        <f aca="false">IFERROR(__xludf.dummyfunction("""COMPUTED_VALUE"""),93.09)</f>
        <v>93.09</v>
      </c>
      <c r="E672" s="5" t="n">
        <f aca="false">IFERROR(__xludf.dummyfunction("""COMPUTED_VALUE"""),93.19)</f>
        <v>93.19</v>
      </c>
      <c r="F672" s="5" t="n">
        <f aca="false">IFERROR(__xludf.dummyfunction("""COMPUTED_VALUE"""),7094628)</f>
        <v>7094628</v>
      </c>
    </row>
    <row r="673" customFormat="false" ht="15.75" hidden="false" customHeight="false" outlineLevel="0" collapsed="false">
      <c r="A673" s="6" t="n">
        <f aca="false">IFERROR(__xludf.dummyfunction("""COMPUTED_VALUE"""),45174.6666666667)</f>
        <v>45174.6666666667</v>
      </c>
      <c r="B673" s="5" t="n">
        <f aca="false">IFERROR(__xludf.dummyfunction("""COMPUTED_VALUE"""),93.4)</f>
        <v>93.4</v>
      </c>
      <c r="C673" s="5" t="n">
        <f aca="false">IFERROR(__xludf.dummyfunction("""COMPUTED_VALUE"""),95.05)</f>
        <v>95.05</v>
      </c>
      <c r="D673" s="5" t="n">
        <f aca="false">IFERROR(__xludf.dummyfunction("""COMPUTED_VALUE"""),92.87)</f>
        <v>92.87</v>
      </c>
      <c r="E673" s="5" t="n">
        <f aca="false">IFERROR(__xludf.dummyfunction("""COMPUTED_VALUE"""),94.6)</f>
        <v>94.6</v>
      </c>
      <c r="F673" s="5" t="n">
        <f aca="false">IFERROR(__xludf.dummyfunction("""COMPUTED_VALUE"""),6396488)</f>
        <v>6396488</v>
      </c>
    </row>
    <row r="674" customFormat="false" ht="15.75" hidden="false" customHeight="false" outlineLevel="0" collapsed="false">
      <c r="A674" s="6" t="n">
        <f aca="false">IFERROR(__xludf.dummyfunction("""COMPUTED_VALUE"""),45175.6666666667)</f>
        <v>45175.6666666667</v>
      </c>
      <c r="B674" s="5" t="n">
        <f aca="false">IFERROR(__xludf.dummyfunction("""COMPUTED_VALUE"""),93.85)</f>
        <v>93.85</v>
      </c>
      <c r="C674" s="5" t="n">
        <f aca="false">IFERROR(__xludf.dummyfunction("""COMPUTED_VALUE"""),93.96)</f>
        <v>93.96</v>
      </c>
      <c r="D674" s="5" t="n">
        <f aca="false">IFERROR(__xludf.dummyfunction("""COMPUTED_VALUE"""),91.59)</f>
        <v>91.59</v>
      </c>
      <c r="E674" s="5" t="n">
        <f aca="false">IFERROR(__xludf.dummyfunction("""COMPUTED_VALUE"""),92.26)</f>
        <v>92.26</v>
      </c>
      <c r="F674" s="5" t="n">
        <f aca="false">IFERROR(__xludf.dummyfunction("""COMPUTED_VALUE"""),7933713)</f>
        <v>7933713</v>
      </c>
    </row>
    <row r="675" customFormat="false" ht="15.75" hidden="false" customHeight="false" outlineLevel="0" collapsed="false">
      <c r="A675" s="6" t="n">
        <f aca="false">IFERROR(__xludf.dummyfunction("""COMPUTED_VALUE"""),45176.6666666667)</f>
        <v>45176.6666666667</v>
      </c>
      <c r="B675" s="5" t="n">
        <f aca="false">IFERROR(__xludf.dummyfunction("""COMPUTED_VALUE"""),90.07)</f>
        <v>90.07</v>
      </c>
      <c r="C675" s="5" t="n">
        <f aca="false">IFERROR(__xludf.dummyfunction("""COMPUTED_VALUE"""),90.29)</f>
        <v>90.29</v>
      </c>
      <c r="D675" s="5" t="n">
        <f aca="false">IFERROR(__xludf.dummyfunction("""COMPUTED_VALUE"""),88.43)</f>
        <v>88.43</v>
      </c>
      <c r="E675" s="5" t="n">
        <f aca="false">IFERROR(__xludf.dummyfunction("""COMPUTED_VALUE"""),90.05)</f>
        <v>90.05</v>
      </c>
      <c r="F675" s="5" t="n">
        <f aca="false">IFERROR(__xludf.dummyfunction("""COMPUTED_VALUE"""),14684446)</f>
        <v>14684446</v>
      </c>
    </row>
    <row r="676" customFormat="false" ht="15.75" hidden="false" customHeight="false" outlineLevel="0" collapsed="false">
      <c r="A676" s="6" t="n">
        <f aca="false">IFERROR(__xludf.dummyfunction("""COMPUTED_VALUE"""),45177.6666666667)</f>
        <v>45177.6666666667</v>
      </c>
      <c r="B676" s="5" t="n">
        <f aca="false">IFERROR(__xludf.dummyfunction("""COMPUTED_VALUE"""),90.75)</f>
        <v>90.75</v>
      </c>
      <c r="C676" s="5" t="n">
        <f aca="false">IFERROR(__xludf.dummyfunction("""COMPUTED_VALUE"""),91.07)</f>
        <v>91.07</v>
      </c>
      <c r="D676" s="5" t="n">
        <f aca="false">IFERROR(__xludf.dummyfunction("""COMPUTED_VALUE"""),89.32)</f>
        <v>89.32</v>
      </c>
      <c r="E676" s="5" t="n">
        <f aca="false">IFERROR(__xludf.dummyfunction("""COMPUTED_VALUE"""),89.64)</f>
        <v>89.64</v>
      </c>
      <c r="F676" s="5" t="n">
        <f aca="false">IFERROR(__xludf.dummyfunction("""COMPUTED_VALUE"""),5822265)</f>
        <v>5822265</v>
      </c>
    </row>
    <row r="677" customFormat="false" ht="15.75" hidden="false" customHeight="false" outlineLevel="0" collapsed="false">
      <c r="A677" s="6" t="n">
        <f aca="false">IFERROR(__xludf.dummyfunction("""COMPUTED_VALUE"""),45180.6666666667)</f>
        <v>45180.6666666667</v>
      </c>
      <c r="B677" s="5" t="n">
        <f aca="false">IFERROR(__xludf.dummyfunction("""COMPUTED_VALUE"""),90.1)</f>
        <v>90.1</v>
      </c>
      <c r="C677" s="5" t="n">
        <f aca="false">IFERROR(__xludf.dummyfunction("""COMPUTED_VALUE"""),90.39)</f>
        <v>90.39</v>
      </c>
      <c r="D677" s="5" t="n">
        <f aca="false">IFERROR(__xludf.dummyfunction("""COMPUTED_VALUE"""),89.16)</f>
        <v>89.16</v>
      </c>
      <c r="E677" s="5" t="n">
        <f aca="false">IFERROR(__xludf.dummyfunction("""COMPUTED_VALUE"""),89.6)</f>
        <v>89.6</v>
      </c>
      <c r="F677" s="5" t="n">
        <f aca="false">IFERROR(__xludf.dummyfunction("""COMPUTED_VALUE"""),7268572)</f>
        <v>7268572</v>
      </c>
    </row>
    <row r="678" customFormat="false" ht="15.75" hidden="false" customHeight="false" outlineLevel="0" collapsed="false">
      <c r="A678" s="6" t="n">
        <f aca="false">IFERROR(__xludf.dummyfunction("""COMPUTED_VALUE"""),45181.6666666667)</f>
        <v>45181.6666666667</v>
      </c>
      <c r="B678" s="5" t="n">
        <f aca="false">IFERROR(__xludf.dummyfunction("""COMPUTED_VALUE"""),90.46)</f>
        <v>90.46</v>
      </c>
      <c r="C678" s="5" t="n">
        <f aca="false">IFERROR(__xludf.dummyfunction("""COMPUTED_VALUE"""),91.57)</f>
        <v>91.57</v>
      </c>
      <c r="D678" s="5" t="n">
        <f aca="false">IFERROR(__xludf.dummyfunction("""COMPUTED_VALUE"""),90.42)</f>
        <v>90.42</v>
      </c>
      <c r="E678" s="5" t="n">
        <f aca="false">IFERROR(__xludf.dummyfunction("""COMPUTED_VALUE"""),90.48)</f>
        <v>90.48</v>
      </c>
      <c r="F678" s="5" t="n">
        <f aca="false">IFERROR(__xludf.dummyfunction("""COMPUTED_VALUE"""),8242642)</f>
        <v>8242642</v>
      </c>
    </row>
    <row r="679" customFormat="false" ht="15.75" hidden="false" customHeight="false" outlineLevel="0" collapsed="false">
      <c r="A679" s="6" t="n">
        <f aca="false">IFERROR(__xludf.dummyfunction("""COMPUTED_VALUE"""),45182.6666666667)</f>
        <v>45182.6666666667</v>
      </c>
      <c r="B679" s="5" t="n">
        <f aca="false">IFERROR(__xludf.dummyfunction("""COMPUTED_VALUE"""),90.6)</f>
        <v>90.6</v>
      </c>
      <c r="C679" s="5" t="n">
        <f aca="false">IFERROR(__xludf.dummyfunction("""COMPUTED_VALUE"""),91.89)</f>
        <v>91.89</v>
      </c>
      <c r="D679" s="5" t="n">
        <f aca="false">IFERROR(__xludf.dummyfunction("""COMPUTED_VALUE"""),90.48)</f>
        <v>90.48</v>
      </c>
      <c r="E679" s="5" t="n">
        <f aca="false">IFERROR(__xludf.dummyfunction("""COMPUTED_VALUE"""),91.22)</f>
        <v>91.22</v>
      </c>
      <c r="F679" s="5" t="n">
        <f aca="false">IFERROR(__xludf.dummyfunction("""COMPUTED_VALUE"""),5757807)</f>
        <v>5757807</v>
      </c>
    </row>
    <row r="680" customFormat="false" ht="15.75" hidden="false" customHeight="false" outlineLevel="0" collapsed="false">
      <c r="A680" s="6" t="n">
        <f aca="false">IFERROR(__xludf.dummyfunction("""COMPUTED_VALUE"""),45183.6666666667)</f>
        <v>45183.6666666667</v>
      </c>
      <c r="B680" s="5" t="n">
        <f aca="false">IFERROR(__xludf.dummyfunction("""COMPUTED_VALUE"""),92.78)</f>
        <v>92.78</v>
      </c>
      <c r="C680" s="5" t="n">
        <f aca="false">IFERROR(__xludf.dummyfunction("""COMPUTED_VALUE"""),92.93)</f>
        <v>92.93</v>
      </c>
      <c r="D680" s="5" t="n">
        <f aca="false">IFERROR(__xludf.dummyfunction("""COMPUTED_VALUE"""),91.27)</f>
        <v>91.27</v>
      </c>
      <c r="E680" s="5" t="n">
        <f aca="false">IFERROR(__xludf.dummyfunction("""COMPUTED_VALUE"""),91.47)</f>
        <v>91.47</v>
      </c>
      <c r="F680" s="5" t="n">
        <f aca="false">IFERROR(__xludf.dummyfunction("""COMPUTED_VALUE"""),6506310)</f>
        <v>6506310</v>
      </c>
    </row>
    <row r="681" customFormat="false" ht="15.75" hidden="false" customHeight="false" outlineLevel="0" collapsed="false">
      <c r="A681" s="6" t="n">
        <f aca="false">IFERROR(__xludf.dummyfunction("""COMPUTED_VALUE"""),45184.6666666667)</f>
        <v>45184.6666666667</v>
      </c>
      <c r="B681" s="5" t="n">
        <f aca="false">IFERROR(__xludf.dummyfunction("""COMPUTED_VALUE"""),90.51)</f>
        <v>90.51</v>
      </c>
      <c r="C681" s="5" t="n">
        <f aca="false">IFERROR(__xludf.dummyfunction("""COMPUTED_VALUE"""),91.14)</f>
        <v>91.14</v>
      </c>
      <c r="D681" s="5" t="n">
        <f aca="false">IFERROR(__xludf.dummyfunction("""COMPUTED_VALUE"""),88.86)</f>
        <v>88.86</v>
      </c>
      <c r="E681" s="5" t="n">
        <f aca="false">IFERROR(__xludf.dummyfunction("""COMPUTED_VALUE"""),89.25)</f>
        <v>89.25</v>
      </c>
      <c r="F681" s="5" t="n">
        <f aca="false">IFERROR(__xludf.dummyfunction("""COMPUTED_VALUE"""),19940492)</f>
        <v>19940492</v>
      </c>
    </row>
    <row r="682" customFormat="false" ht="15.75" hidden="false" customHeight="false" outlineLevel="0" collapsed="false">
      <c r="A682" s="6" t="n">
        <f aca="false">IFERROR(__xludf.dummyfunction("""COMPUTED_VALUE"""),45187.6666666667)</f>
        <v>45187.6666666667</v>
      </c>
      <c r="B682" s="5" t="n">
        <f aca="false">IFERROR(__xludf.dummyfunction("""COMPUTED_VALUE"""),88.54)</f>
        <v>88.54</v>
      </c>
      <c r="C682" s="5" t="n">
        <f aca="false">IFERROR(__xludf.dummyfunction("""COMPUTED_VALUE"""),89.67)</f>
        <v>89.67</v>
      </c>
      <c r="D682" s="5" t="n">
        <f aca="false">IFERROR(__xludf.dummyfunction("""COMPUTED_VALUE"""),88.43)</f>
        <v>88.43</v>
      </c>
      <c r="E682" s="5" t="n">
        <f aca="false">IFERROR(__xludf.dummyfunction("""COMPUTED_VALUE"""),88.83)</f>
        <v>88.83</v>
      </c>
      <c r="F682" s="5" t="n">
        <f aca="false">IFERROR(__xludf.dummyfunction("""COMPUTED_VALUE"""),6647388)</f>
        <v>6647388</v>
      </c>
    </row>
    <row r="683" customFormat="false" ht="15.75" hidden="false" customHeight="false" outlineLevel="0" collapsed="false">
      <c r="A683" s="6" t="n">
        <f aca="false">IFERROR(__xludf.dummyfunction("""COMPUTED_VALUE"""),45188.6666666667)</f>
        <v>45188.6666666667</v>
      </c>
      <c r="B683" s="5" t="n">
        <f aca="false">IFERROR(__xludf.dummyfunction("""COMPUTED_VALUE"""),88.45)</f>
        <v>88.45</v>
      </c>
      <c r="C683" s="5" t="n">
        <f aca="false">IFERROR(__xludf.dummyfunction("""COMPUTED_VALUE"""),88.84)</f>
        <v>88.84</v>
      </c>
      <c r="D683" s="5" t="n">
        <f aca="false">IFERROR(__xludf.dummyfunction("""COMPUTED_VALUE"""),87.79)</f>
        <v>87.79</v>
      </c>
      <c r="E683" s="5" t="n">
        <f aca="false">IFERROR(__xludf.dummyfunction("""COMPUTED_VALUE"""),88.17)</f>
        <v>88.17</v>
      </c>
      <c r="F683" s="5" t="n">
        <f aca="false">IFERROR(__xludf.dummyfunction("""COMPUTED_VALUE"""),7175404)</f>
        <v>7175404</v>
      </c>
    </row>
    <row r="684" customFormat="false" ht="15.75" hidden="false" customHeight="false" outlineLevel="0" collapsed="false">
      <c r="A684" s="6" t="n">
        <f aca="false">IFERROR(__xludf.dummyfunction("""COMPUTED_VALUE"""),45189.6666666667)</f>
        <v>45189.6666666667</v>
      </c>
      <c r="B684" s="5" t="n">
        <f aca="false">IFERROR(__xludf.dummyfunction("""COMPUTED_VALUE"""),88.52)</f>
        <v>88.52</v>
      </c>
      <c r="C684" s="5" t="n">
        <f aca="false">IFERROR(__xludf.dummyfunction("""COMPUTED_VALUE"""),89.32)</f>
        <v>89.32</v>
      </c>
      <c r="D684" s="5" t="n">
        <f aca="false">IFERROR(__xludf.dummyfunction("""COMPUTED_VALUE"""),87.29)</f>
        <v>87.29</v>
      </c>
      <c r="E684" s="5" t="n">
        <f aca="false">IFERROR(__xludf.dummyfunction("""COMPUTED_VALUE"""),87.29)</f>
        <v>87.29</v>
      </c>
      <c r="F684" s="5" t="n">
        <f aca="false">IFERROR(__xludf.dummyfunction("""COMPUTED_VALUE"""),6939697)</f>
        <v>6939697</v>
      </c>
    </row>
    <row r="685" customFormat="false" ht="15.75" hidden="false" customHeight="false" outlineLevel="0" collapsed="false">
      <c r="A685" s="6" t="n">
        <f aca="false">IFERROR(__xludf.dummyfunction("""COMPUTED_VALUE"""),45190.6666666667)</f>
        <v>45190.6666666667</v>
      </c>
      <c r="B685" s="5" t="n">
        <f aca="false">IFERROR(__xludf.dummyfunction("""COMPUTED_VALUE"""),86.04)</f>
        <v>86.04</v>
      </c>
      <c r="C685" s="5" t="n">
        <f aca="false">IFERROR(__xludf.dummyfunction("""COMPUTED_VALUE"""),86.14)</f>
        <v>86.14</v>
      </c>
      <c r="D685" s="5" t="n">
        <f aca="false">IFERROR(__xludf.dummyfunction("""COMPUTED_VALUE"""),85.35)</f>
        <v>85.35</v>
      </c>
      <c r="E685" s="5" t="n">
        <f aca="false">IFERROR(__xludf.dummyfunction("""COMPUTED_VALUE"""),85.36)</f>
        <v>85.36</v>
      </c>
      <c r="F685" s="5" t="n">
        <f aca="false">IFERROR(__xludf.dummyfunction("""COMPUTED_VALUE"""),10660422)</f>
        <v>10660422</v>
      </c>
    </row>
    <row r="686" customFormat="false" ht="15.75" hidden="false" customHeight="false" outlineLevel="0" collapsed="false">
      <c r="A686" s="6" t="n">
        <f aca="false">IFERROR(__xludf.dummyfunction("""COMPUTED_VALUE"""),45191.6666666667)</f>
        <v>45191.6666666667</v>
      </c>
      <c r="B686" s="5" t="n">
        <f aca="false">IFERROR(__xludf.dummyfunction("""COMPUTED_VALUE"""),86.25)</f>
        <v>86.25</v>
      </c>
      <c r="C686" s="5" t="n">
        <f aca="false">IFERROR(__xludf.dummyfunction("""COMPUTED_VALUE"""),86.77)</f>
        <v>86.77</v>
      </c>
      <c r="D686" s="5" t="n">
        <f aca="false">IFERROR(__xludf.dummyfunction("""COMPUTED_VALUE"""),85.45)</f>
        <v>85.45</v>
      </c>
      <c r="E686" s="5" t="n">
        <f aca="false">IFERROR(__xludf.dummyfunction("""COMPUTED_VALUE"""),85.64)</f>
        <v>85.64</v>
      </c>
      <c r="F686" s="5" t="n">
        <f aca="false">IFERROR(__xludf.dummyfunction("""COMPUTED_VALUE"""),7970526)</f>
        <v>7970526</v>
      </c>
    </row>
    <row r="687" customFormat="false" ht="15.75" hidden="false" customHeight="false" outlineLevel="0" collapsed="false">
      <c r="A687" s="6" t="n">
        <f aca="false">IFERROR(__xludf.dummyfunction("""COMPUTED_VALUE"""),45194.6666666667)</f>
        <v>45194.6666666667</v>
      </c>
      <c r="B687" s="5" t="n">
        <f aca="false">IFERROR(__xludf.dummyfunction("""COMPUTED_VALUE"""),85.39)</f>
        <v>85.39</v>
      </c>
      <c r="C687" s="5" t="n">
        <f aca="false">IFERROR(__xludf.dummyfunction("""COMPUTED_VALUE"""),86.24)</f>
        <v>86.24</v>
      </c>
      <c r="D687" s="5" t="n">
        <f aca="false">IFERROR(__xludf.dummyfunction("""COMPUTED_VALUE"""),85.02)</f>
        <v>85.02</v>
      </c>
      <c r="E687" s="5" t="n">
        <f aca="false">IFERROR(__xludf.dummyfunction("""COMPUTED_VALUE"""),86.24)</f>
        <v>86.24</v>
      </c>
      <c r="F687" s="5" t="n">
        <f aca="false">IFERROR(__xludf.dummyfunction("""COMPUTED_VALUE"""),8758022)</f>
        <v>8758022</v>
      </c>
    </row>
    <row r="688" customFormat="false" ht="15.75" hidden="false" customHeight="false" outlineLevel="0" collapsed="false">
      <c r="A688" s="6" t="n">
        <f aca="false">IFERROR(__xludf.dummyfunction("""COMPUTED_VALUE"""),45195.6666666667)</f>
        <v>45195.6666666667</v>
      </c>
      <c r="B688" s="5" t="n">
        <f aca="false">IFERROR(__xludf.dummyfunction("""COMPUTED_VALUE"""),84.95)</f>
        <v>84.95</v>
      </c>
      <c r="C688" s="5" t="n">
        <f aca="false">IFERROR(__xludf.dummyfunction("""COMPUTED_VALUE"""),85.23)</f>
        <v>85.23</v>
      </c>
      <c r="D688" s="5" t="n">
        <f aca="false">IFERROR(__xludf.dummyfunction("""COMPUTED_VALUE"""),84.02)</f>
        <v>84.02</v>
      </c>
      <c r="E688" s="5" t="n">
        <f aca="false">IFERROR(__xludf.dummyfunction("""COMPUTED_VALUE"""),84.29)</f>
        <v>84.29</v>
      </c>
      <c r="F688" s="5" t="n">
        <f aca="false">IFERROR(__xludf.dummyfunction("""COMPUTED_VALUE"""),8877634)</f>
        <v>8877634</v>
      </c>
    </row>
    <row r="689" customFormat="false" ht="15.75" hidden="false" customHeight="false" outlineLevel="0" collapsed="false">
      <c r="A689" s="6" t="n">
        <f aca="false">IFERROR(__xludf.dummyfunction("""COMPUTED_VALUE"""),45196.6666666667)</f>
        <v>45196.6666666667</v>
      </c>
      <c r="B689" s="5" t="n">
        <f aca="false">IFERROR(__xludf.dummyfunction("""COMPUTED_VALUE"""),85.17)</f>
        <v>85.17</v>
      </c>
      <c r="C689" s="5" t="n">
        <f aca="false">IFERROR(__xludf.dummyfunction("""COMPUTED_VALUE"""),85.56)</f>
        <v>85.56</v>
      </c>
      <c r="D689" s="5" t="n">
        <f aca="false">IFERROR(__xludf.dummyfunction("""COMPUTED_VALUE"""),84.1)</f>
        <v>84.1</v>
      </c>
      <c r="E689" s="5" t="n">
        <f aca="false">IFERROR(__xludf.dummyfunction("""COMPUTED_VALUE"""),85.44)</f>
        <v>85.44</v>
      </c>
      <c r="F689" s="5" t="n">
        <f aca="false">IFERROR(__xludf.dummyfunction("""COMPUTED_VALUE"""),7858373)</f>
        <v>7858373</v>
      </c>
    </row>
    <row r="690" customFormat="false" ht="15.75" hidden="false" customHeight="false" outlineLevel="0" collapsed="false">
      <c r="A690" s="6" t="n">
        <f aca="false">IFERROR(__xludf.dummyfunction("""COMPUTED_VALUE"""),45197.6666666667)</f>
        <v>45197.6666666667</v>
      </c>
      <c r="B690" s="5" t="n">
        <f aca="false">IFERROR(__xludf.dummyfunction("""COMPUTED_VALUE"""),85.25)</f>
        <v>85.25</v>
      </c>
      <c r="C690" s="5" t="n">
        <f aca="false">IFERROR(__xludf.dummyfunction("""COMPUTED_VALUE"""),87.13)</f>
        <v>87.13</v>
      </c>
      <c r="D690" s="5" t="n">
        <f aca="false">IFERROR(__xludf.dummyfunction("""COMPUTED_VALUE"""),84.98)</f>
        <v>84.98</v>
      </c>
      <c r="E690" s="5" t="n">
        <f aca="false">IFERROR(__xludf.dummyfunction("""COMPUTED_VALUE"""),86.41)</f>
        <v>86.41</v>
      </c>
      <c r="F690" s="5" t="n">
        <f aca="false">IFERROR(__xludf.dummyfunction("""COMPUTED_VALUE"""),6647723)</f>
        <v>6647723</v>
      </c>
    </row>
    <row r="691" customFormat="false" ht="15.75" hidden="false" customHeight="false" outlineLevel="0" collapsed="false">
      <c r="A691" s="6" t="n">
        <f aca="false">IFERROR(__xludf.dummyfunction("""COMPUTED_VALUE"""),45198.6666666667)</f>
        <v>45198.6666666667</v>
      </c>
      <c r="B691" s="5" t="n">
        <f aca="false">IFERROR(__xludf.dummyfunction("""COMPUTED_VALUE"""),87.75)</f>
        <v>87.75</v>
      </c>
      <c r="C691" s="5" t="n">
        <f aca="false">IFERROR(__xludf.dummyfunction("""COMPUTED_VALUE"""),88.03)</f>
        <v>88.03</v>
      </c>
      <c r="D691" s="5" t="n">
        <f aca="false">IFERROR(__xludf.dummyfunction("""COMPUTED_VALUE"""),86.7)</f>
        <v>86.7</v>
      </c>
      <c r="E691" s="5" t="n">
        <f aca="false">IFERROR(__xludf.dummyfunction("""COMPUTED_VALUE"""),86.9)</f>
        <v>86.9</v>
      </c>
      <c r="F691" s="5" t="n">
        <f aca="false">IFERROR(__xludf.dummyfunction("""COMPUTED_VALUE"""),7338288)</f>
        <v>7338288</v>
      </c>
    </row>
    <row r="692" customFormat="false" ht="15.75" hidden="false" customHeight="false" outlineLevel="0" collapsed="false">
      <c r="A692" s="6" t="n">
        <f aca="false">IFERROR(__xludf.dummyfunction("""COMPUTED_VALUE"""),45201.6666666667)</f>
        <v>45201.6666666667</v>
      </c>
      <c r="B692" s="5" t="n">
        <f aca="false">IFERROR(__xludf.dummyfunction("""COMPUTED_VALUE"""),87.18)</f>
        <v>87.18</v>
      </c>
      <c r="C692" s="5" t="n">
        <f aca="false">IFERROR(__xludf.dummyfunction("""COMPUTED_VALUE"""),88.42)</f>
        <v>88.42</v>
      </c>
      <c r="D692" s="5" t="n">
        <f aca="false">IFERROR(__xludf.dummyfunction("""COMPUTED_VALUE"""),87.02)</f>
        <v>87.02</v>
      </c>
      <c r="E692" s="5" t="n">
        <f aca="false">IFERROR(__xludf.dummyfunction("""COMPUTED_VALUE"""),87.65)</f>
        <v>87.65</v>
      </c>
      <c r="F692" s="5" t="n">
        <f aca="false">IFERROR(__xludf.dummyfunction("""COMPUTED_VALUE"""),6305021)</f>
        <v>6305021</v>
      </c>
    </row>
    <row r="693" customFormat="false" ht="15.75" hidden="false" customHeight="false" outlineLevel="0" collapsed="false">
      <c r="A693" s="6" t="n">
        <f aca="false">IFERROR(__xludf.dummyfunction("""COMPUTED_VALUE"""),45202.6666666667)</f>
        <v>45202.6666666667</v>
      </c>
      <c r="B693" s="5" t="n">
        <f aca="false">IFERROR(__xludf.dummyfunction("""COMPUTED_VALUE"""),87)</f>
        <v>87</v>
      </c>
      <c r="C693" s="5" t="n">
        <f aca="false">IFERROR(__xludf.dummyfunction("""COMPUTED_VALUE"""),87.32)</f>
        <v>87.32</v>
      </c>
      <c r="D693" s="5" t="n">
        <f aca="false">IFERROR(__xludf.dummyfunction("""COMPUTED_VALUE"""),85.06)</f>
        <v>85.06</v>
      </c>
      <c r="E693" s="5" t="n">
        <f aca="false">IFERROR(__xludf.dummyfunction("""COMPUTED_VALUE"""),85.41)</f>
        <v>85.41</v>
      </c>
      <c r="F693" s="5" t="n">
        <f aca="false">IFERROR(__xludf.dummyfunction("""COMPUTED_VALUE"""),8201668)</f>
        <v>8201668</v>
      </c>
    </row>
    <row r="694" customFormat="false" ht="15.75" hidden="false" customHeight="false" outlineLevel="0" collapsed="false">
      <c r="A694" s="6" t="n">
        <f aca="false">IFERROR(__xludf.dummyfunction("""COMPUTED_VALUE"""),45203.6666666667)</f>
        <v>45203.6666666667</v>
      </c>
      <c r="B694" s="5" t="n">
        <f aca="false">IFERROR(__xludf.dummyfunction("""COMPUTED_VALUE"""),85.47)</f>
        <v>85.47</v>
      </c>
      <c r="C694" s="5" t="n">
        <f aca="false">IFERROR(__xludf.dummyfunction("""COMPUTED_VALUE"""),86.76)</f>
        <v>86.76</v>
      </c>
      <c r="D694" s="5" t="n">
        <f aca="false">IFERROR(__xludf.dummyfunction("""COMPUTED_VALUE"""),85.38)</f>
        <v>85.38</v>
      </c>
      <c r="E694" s="5" t="n">
        <f aca="false">IFERROR(__xludf.dummyfunction("""COMPUTED_VALUE"""),86.67)</f>
        <v>86.67</v>
      </c>
      <c r="F694" s="5" t="n">
        <f aca="false">IFERROR(__xludf.dummyfunction("""COMPUTED_VALUE"""),7658502)</f>
        <v>7658502</v>
      </c>
    </row>
    <row r="695" customFormat="false" ht="15.75" hidden="false" customHeight="false" outlineLevel="0" collapsed="false">
      <c r="A695" s="6" t="n">
        <f aca="false">IFERROR(__xludf.dummyfunction("""COMPUTED_VALUE"""),45204.6666666667)</f>
        <v>45204.6666666667</v>
      </c>
      <c r="B695" s="5" t="n">
        <f aca="false">IFERROR(__xludf.dummyfunction("""COMPUTED_VALUE"""),86.83)</f>
        <v>86.83</v>
      </c>
      <c r="C695" s="5" t="n">
        <f aca="false">IFERROR(__xludf.dummyfunction("""COMPUTED_VALUE"""),87.94)</f>
        <v>87.94</v>
      </c>
      <c r="D695" s="5" t="n">
        <f aca="false">IFERROR(__xludf.dummyfunction("""COMPUTED_VALUE"""),86.53)</f>
        <v>86.53</v>
      </c>
      <c r="E695" s="5" t="n">
        <f aca="false">IFERROR(__xludf.dummyfunction("""COMPUTED_VALUE"""),87.03)</f>
        <v>87.03</v>
      </c>
      <c r="F695" s="5" t="n">
        <f aca="false">IFERROR(__xludf.dummyfunction("""COMPUTED_VALUE"""),6651679)</f>
        <v>6651679</v>
      </c>
    </row>
    <row r="696" customFormat="false" ht="15.75" hidden="false" customHeight="false" outlineLevel="0" collapsed="false">
      <c r="A696" s="6" t="n">
        <f aca="false">IFERROR(__xludf.dummyfunction("""COMPUTED_VALUE"""),45205.6666666667)</f>
        <v>45205.6666666667</v>
      </c>
      <c r="B696" s="5" t="n">
        <f aca="false">IFERROR(__xludf.dummyfunction("""COMPUTED_VALUE"""),88.09)</f>
        <v>88.09</v>
      </c>
      <c r="C696" s="5" t="n">
        <f aca="false">IFERROR(__xludf.dummyfunction("""COMPUTED_VALUE"""),90.02)</f>
        <v>90.02</v>
      </c>
      <c r="D696" s="5" t="n">
        <f aca="false">IFERROR(__xludf.dummyfunction("""COMPUTED_VALUE"""),87.38)</f>
        <v>87.38</v>
      </c>
      <c r="E696" s="5" t="n">
        <f aca="false">IFERROR(__xludf.dummyfunction("""COMPUTED_VALUE"""),89.29)</f>
        <v>89.29</v>
      </c>
      <c r="F696" s="5" t="n">
        <f aca="false">IFERROR(__xludf.dummyfunction("""COMPUTED_VALUE"""),9777118)</f>
        <v>9777118</v>
      </c>
    </row>
    <row r="697" customFormat="false" ht="15.75" hidden="false" customHeight="false" outlineLevel="0" collapsed="false">
      <c r="A697" s="6" t="n">
        <f aca="false">IFERROR(__xludf.dummyfunction("""COMPUTED_VALUE"""),45208.6666666667)</f>
        <v>45208.6666666667</v>
      </c>
      <c r="B697" s="5" t="n">
        <f aca="false">IFERROR(__xludf.dummyfunction("""COMPUTED_VALUE"""),88.8)</f>
        <v>88.8</v>
      </c>
      <c r="C697" s="5" t="n">
        <f aca="false">IFERROR(__xludf.dummyfunction("""COMPUTED_VALUE"""),89.34)</f>
        <v>89.34</v>
      </c>
      <c r="D697" s="5" t="n">
        <f aca="false">IFERROR(__xludf.dummyfunction("""COMPUTED_VALUE"""),88.04)</f>
        <v>88.04</v>
      </c>
      <c r="E697" s="5" t="n">
        <f aca="false">IFERROR(__xludf.dummyfunction("""COMPUTED_VALUE"""),88.99)</f>
        <v>88.99</v>
      </c>
      <c r="F697" s="5" t="n">
        <f aca="false">IFERROR(__xludf.dummyfunction("""COMPUTED_VALUE"""),4781316)</f>
        <v>4781316</v>
      </c>
    </row>
    <row r="698" customFormat="false" ht="15.75" hidden="false" customHeight="false" outlineLevel="0" collapsed="false">
      <c r="A698" s="6" t="n">
        <f aca="false">IFERROR(__xludf.dummyfunction("""COMPUTED_VALUE"""),45209.6666666667)</f>
        <v>45209.6666666667</v>
      </c>
      <c r="B698" s="5" t="n">
        <f aca="false">IFERROR(__xludf.dummyfunction("""COMPUTED_VALUE"""),89.27)</f>
        <v>89.27</v>
      </c>
      <c r="C698" s="5" t="n">
        <f aca="false">IFERROR(__xludf.dummyfunction("""COMPUTED_VALUE"""),90.66)</f>
        <v>90.66</v>
      </c>
      <c r="D698" s="5" t="n">
        <f aca="false">IFERROR(__xludf.dummyfunction("""COMPUTED_VALUE"""),89.14)</f>
        <v>89.14</v>
      </c>
      <c r="E698" s="5" t="n">
        <f aca="false">IFERROR(__xludf.dummyfunction("""COMPUTED_VALUE"""),90.61)</f>
        <v>90.61</v>
      </c>
      <c r="F698" s="5" t="n">
        <f aca="false">IFERROR(__xludf.dummyfunction("""COMPUTED_VALUE"""),7182943)</f>
        <v>7182943</v>
      </c>
    </row>
    <row r="699" customFormat="false" ht="15.75" hidden="false" customHeight="false" outlineLevel="0" collapsed="false">
      <c r="A699" s="6" t="n">
        <f aca="false">IFERROR(__xludf.dummyfunction("""COMPUTED_VALUE"""),45210.6666666667)</f>
        <v>45210.6666666667</v>
      </c>
      <c r="B699" s="5" t="n">
        <f aca="false">IFERROR(__xludf.dummyfunction("""COMPUTED_VALUE"""),91.26)</f>
        <v>91.26</v>
      </c>
      <c r="C699" s="5" t="n">
        <f aca="false">IFERROR(__xludf.dummyfunction("""COMPUTED_VALUE"""),92.01)</f>
        <v>92.01</v>
      </c>
      <c r="D699" s="5" t="n">
        <f aca="false">IFERROR(__xludf.dummyfunction("""COMPUTED_VALUE"""),90.63)</f>
        <v>90.63</v>
      </c>
      <c r="E699" s="5" t="n">
        <f aca="false">IFERROR(__xludf.dummyfunction("""COMPUTED_VALUE"""),92)</f>
        <v>92</v>
      </c>
      <c r="F699" s="5" t="n">
        <f aca="false">IFERROR(__xludf.dummyfunction("""COMPUTED_VALUE"""),8051727)</f>
        <v>8051727</v>
      </c>
    </row>
    <row r="700" customFormat="false" ht="15.75" hidden="false" customHeight="false" outlineLevel="0" collapsed="false">
      <c r="A700" s="6" t="n">
        <f aca="false">IFERROR(__xludf.dummyfunction("""COMPUTED_VALUE"""),45211.6666666667)</f>
        <v>45211.6666666667</v>
      </c>
      <c r="B700" s="5" t="n">
        <f aca="false">IFERROR(__xludf.dummyfunction("""COMPUTED_VALUE"""),92.51)</f>
        <v>92.51</v>
      </c>
      <c r="C700" s="5" t="n">
        <f aca="false">IFERROR(__xludf.dummyfunction("""COMPUTED_VALUE"""),93.44)</f>
        <v>93.44</v>
      </c>
      <c r="D700" s="5" t="n">
        <f aca="false">IFERROR(__xludf.dummyfunction("""COMPUTED_VALUE"""),91.84)</f>
        <v>91.84</v>
      </c>
      <c r="E700" s="5" t="n">
        <f aca="false">IFERROR(__xludf.dummyfunction("""COMPUTED_VALUE"""),92.42)</f>
        <v>92.42</v>
      </c>
      <c r="F700" s="5" t="n">
        <f aca="false">IFERROR(__xludf.dummyfunction("""COMPUTED_VALUE"""),8897784)</f>
        <v>8897784</v>
      </c>
    </row>
    <row r="701" customFormat="false" ht="15.75" hidden="false" customHeight="false" outlineLevel="0" collapsed="false">
      <c r="A701" s="6" t="n">
        <f aca="false">IFERROR(__xludf.dummyfunction("""COMPUTED_VALUE"""),45212.6666666667)</f>
        <v>45212.6666666667</v>
      </c>
      <c r="B701" s="5" t="n">
        <f aca="false">IFERROR(__xludf.dummyfunction("""COMPUTED_VALUE"""),92.75)</f>
        <v>92.75</v>
      </c>
      <c r="C701" s="5" t="n">
        <f aca="false">IFERROR(__xludf.dummyfunction("""COMPUTED_VALUE"""),92.94)</f>
        <v>92.94</v>
      </c>
      <c r="D701" s="5" t="n">
        <f aca="false">IFERROR(__xludf.dummyfunction("""COMPUTED_VALUE"""),90.2)</f>
        <v>90.2</v>
      </c>
      <c r="E701" s="5" t="n">
        <f aca="false">IFERROR(__xludf.dummyfunction("""COMPUTED_VALUE"""),90.46)</f>
        <v>90.46</v>
      </c>
      <c r="F701" s="5" t="n">
        <f aca="false">IFERROR(__xludf.dummyfunction("""COMPUTED_VALUE"""),7986463)</f>
        <v>7986463</v>
      </c>
    </row>
    <row r="702" customFormat="false" ht="15.75" hidden="false" customHeight="false" outlineLevel="0" collapsed="false">
      <c r="A702" s="6" t="n">
        <f aca="false">IFERROR(__xludf.dummyfunction("""COMPUTED_VALUE"""),45215.6666666667)</f>
        <v>45215.6666666667</v>
      </c>
      <c r="B702" s="5" t="n">
        <f aca="false">IFERROR(__xludf.dummyfunction("""COMPUTED_VALUE"""),90.48)</f>
        <v>90.48</v>
      </c>
      <c r="C702" s="5" t="n">
        <f aca="false">IFERROR(__xludf.dummyfunction("""COMPUTED_VALUE"""),91.9)</f>
        <v>91.9</v>
      </c>
      <c r="D702" s="5" t="n">
        <f aca="false">IFERROR(__xludf.dummyfunction("""COMPUTED_VALUE"""),90.43)</f>
        <v>90.43</v>
      </c>
      <c r="E702" s="5" t="n">
        <f aca="false">IFERROR(__xludf.dummyfunction("""COMPUTED_VALUE"""),91.22)</f>
        <v>91.22</v>
      </c>
      <c r="F702" s="5" t="n">
        <f aca="false">IFERROR(__xludf.dummyfunction("""COMPUTED_VALUE"""),8791813)</f>
        <v>8791813</v>
      </c>
    </row>
    <row r="703" customFormat="false" ht="15.75" hidden="false" customHeight="false" outlineLevel="0" collapsed="false">
      <c r="A703" s="6" t="n">
        <f aca="false">IFERROR(__xludf.dummyfunction("""COMPUTED_VALUE"""),45216.6666666667)</f>
        <v>45216.6666666667</v>
      </c>
      <c r="B703" s="5" t="n">
        <f aca="false">IFERROR(__xludf.dummyfunction("""COMPUTED_VALUE"""),89.81)</f>
        <v>89.81</v>
      </c>
      <c r="C703" s="5" t="n">
        <f aca="false">IFERROR(__xludf.dummyfunction("""COMPUTED_VALUE"""),91.7)</f>
        <v>91.7</v>
      </c>
      <c r="D703" s="5" t="n">
        <f aca="false">IFERROR(__xludf.dummyfunction("""COMPUTED_VALUE"""),88.52)</f>
        <v>88.52</v>
      </c>
      <c r="E703" s="5" t="n">
        <f aca="false">IFERROR(__xludf.dummyfunction("""COMPUTED_VALUE"""),91)</f>
        <v>91</v>
      </c>
      <c r="F703" s="5" t="n">
        <f aca="false">IFERROR(__xludf.dummyfunction("""COMPUTED_VALUE"""),7997066)</f>
        <v>7997066</v>
      </c>
    </row>
    <row r="704" customFormat="false" ht="15.75" hidden="false" customHeight="false" outlineLevel="0" collapsed="false">
      <c r="A704" s="6" t="n">
        <f aca="false">IFERROR(__xludf.dummyfunction("""COMPUTED_VALUE"""),45217.6666666667)</f>
        <v>45217.6666666667</v>
      </c>
      <c r="B704" s="5" t="n">
        <f aca="false">IFERROR(__xludf.dummyfunction("""COMPUTED_VALUE"""),88.88)</f>
        <v>88.88</v>
      </c>
      <c r="C704" s="5" t="n">
        <f aca="false">IFERROR(__xludf.dummyfunction("""COMPUTED_VALUE"""),90.01)</f>
        <v>90.01</v>
      </c>
      <c r="D704" s="5" t="n">
        <f aca="false">IFERROR(__xludf.dummyfunction("""COMPUTED_VALUE"""),88.58)</f>
        <v>88.58</v>
      </c>
      <c r="E704" s="5" t="n">
        <f aca="false">IFERROR(__xludf.dummyfunction("""COMPUTED_VALUE"""),89.6)</f>
        <v>89.6</v>
      </c>
      <c r="F704" s="5" t="n">
        <f aca="false">IFERROR(__xludf.dummyfunction("""COMPUTED_VALUE"""),9982673)</f>
        <v>9982673</v>
      </c>
    </row>
    <row r="705" customFormat="false" ht="15.75" hidden="false" customHeight="false" outlineLevel="0" collapsed="false">
      <c r="A705" s="6" t="n">
        <f aca="false">IFERROR(__xludf.dummyfunction("""COMPUTED_VALUE"""),45218.6666666667)</f>
        <v>45218.6666666667</v>
      </c>
      <c r="B705" s="5" t="n">
        <f aca="false">IFERROR(__xludf.dummyfunction("""COMPUTED_VALUE"""),93.09)</f>
        <v>93.09</v>
      </c>
      <c r="C705" s="5" t="n">
        <f aca="false">IFERROR(__xludf.dummyfunction("""COMPUTED_VALUE"""),94.76)</f>
        <v>94.76</v>
      </c>
      <c r="D705" s="5" t="n">
        <f aca="false">IFERROR(__xludf.dummyfunction("""COMPUTED_VALUE"""),92.36)</f>
        <v>92.36</v>
      </c>
      <c r="E705" s="5" t="n">
        <f aca="false">IFERROR(__xludf.dummyfunction("""COMPUTED_VALUE"""),92.91)</f>
        <v>92.91</v>
      </c>
      <c r="F705" s="5" t="n">
        <f aca="false">IFERROR(__xludf.dummyfunction("""COMPUTED_VALUE"""),22751595)</f>
        <v>22751595</v>
      </c>
    </row>
    <row r="706" customFormat="false" ht="15.75" hidden="false" customHeight="false" outlineLevel="0" collapsed="false">
      <c r="A706" s="6" t="n">
        <f aca="false">IFERROR(__xludf.dummyfunction("""COMPUTED_VALUE"""),45219.6666666667)</f>
        <v>45219.6666666667</v>
      </c>
      <c r="B706" s="5" t="n">
        <f aca="false">IFERROR(__xludf.dummyfunction("""COMPUTED_VALUE"""),92)</f>
        <v>92</v>
      </c>
      <c r="C706" s="5" t="n">
        <f aca="false">IFERROR(__xludf.dummyfunction("""COMPUTED_VALUE"""),94.32)</f>
        <v>94.32</v>
      </c>
      <c r="D706" s="5" t="n">
        <f aca="false">IFERROR(__xludf.dummyfunction("""COMPUTED_VALUE"""),91.09)</f>
        <v>91.09</v>
      </c>
      <c r="E706" s="5" t="n">
        <f aca="false">IFERROR(__xludf.dummyfunction("""COMPUTED_VALUE"""),91.31)</f>
        <v>91.31</v>
      </c>
      <c r="F706" s="5" t="n">
        <f aca="false">IFERROR(__xludf.dummyfunction("""COMPUTED_VALUE"""),12197289)</f>
        <v>12197289</v>
      </c>
    </row>
    <row r="707" customFormat="false" ht="15.75" hidden="false" customHeight="false" outlineLevel="0" collapsed="false">
      <c r="A707" s="6" t="n">
        <f aca="false">IFERROR(__xludf.dummyfunction("""COMPUTED_VALUE"""),45222.6666666667)</f>
        <v>45222.6666666667</v>
      </c>
      <c r="B707" s="5" t="n">
        <f aca="false">IFERROR(__xludf.dummyfunction("""COMPUTED_VALUE"""),89.98)</f>
        <v>89.98</v>
      </c>
      <c r="C707" s="5" t="n">
        <f aca="false">IFERROR(__xludf.dummyfunction("""COMPUTED_VALUE"""),92.26)</f>
        <v>92.26</v>
      </c>
      <c r="D707" s="5" t="n">
        <f aca="false">IFERROR(__xludf.dummyfunction("""COMPUTED_VALUE"""),89.16)</f>
        <v>89.16</v>
      </c>
      <c r="E707" s="5" t="n">
        <f aca="false">IFERROR(__xludf.dummyfunction("""COMPUTED_VALUE"""),91.11)</f>
        <v>91.11</v>
      </c>
      <c r="F707" s="5" t="n">
        <f aca="false">IFERROR(__xludf.dummyfunction("""COMPUTED_VALUE"""),8227866)</f>
        <v>8227866</v>
      </c>
    </row>
    <row r="708" customFormat="false" ht="15.75" hidden="false" customHeight="false" outlineLevel="0" collapsed="false">
      <c r="A708" s="6" t="n">
        <f aca="false">IFERROR(__xludf.dummyfunction("""COMPUTED_VALUE"""),45223.6666666667)</f>
        <v>45223.6666666667</v>
      </c>
      <c r="B708" s="5" t="n">
        <f aca="false">IFERROR(__xludf.dummyfunction("""COMPUTED_VALUE"""),91.2)</f>
        <v>91.2</v>
      </c>
      <c r="C708" s="5" t="n">
        <f aca="false">IFERROR(__xludf.dummyfunction("""COMPUTED_VALUE"""),92)</f>
        <v>92</v>
      </c>
      <c r="D708" s="5" t="n">
        <f aca="false">IFERROR(__xludf.dummyfunction("""COMPUTED_VALUE"""),90.86)</f>
        <v>90.86</v>
      </c>
      <c r="E708" s="5" t="n">
        <f aca="false">IFERROR(__xludf.dummyfunction("""COMPUTED_VALUE"""),91.64)</f>
        <v>91.64</v>
      </c>
      <c r="F708" s="5" t="n">
        <f aca="false">IFERROR(__xludf.dummyfunction("""COMPUTED_VALUE"""),7374762)</f>
        <v>7374762</v>
      </c>
    </row>
    <row r="709" customFormat="false" ht="15.75" hidden="false" customHeight="false" outlineLevel="0" collapsed="false">
      <c r="A709" s="6" t="n">
        <f aca="false">IFERROR(__xludf.dummyfunction("""COMPUTED_VALUE"""),45224.6666666667)</f>
        <v>45224.6666666667</v>
      </c>
      <c r="B709" s="5" t="n">
        <f aca="false">IFERROR(__xludf.dummyfunction("""COMPUTED_VALUE"""),90.8)</f>
        <v>90.8</v>
      </c>
      <c r="C709" s="5" t="n">
        <f aca="false">IFERROR(__xludf.dummyfunction("""COMPUTED_VALUE"""),90.85)</f>
        <v>90.85</v>
      </c>
      <c r="D709" s="5" t="n">
        <f aca="false">IFERROR(__xludf.dummyfunction("""COMPUTED_VALUE"""),86.68)</f>
        <v>86.68</v>
      </c>
      <c r="E709" s="5" t="n">
        <f aca="false">IFERROR(__xludf.dummyfunction("""COMPUTED_VALUE"""),87.64)</f>
        <v>87.64</v>
      </c>
      <c r="F709" s="5" t="n">
        <f aca="false">IFERROR(__xludf.dummyfunction("""COMPUTED_VALUE"""),13027070)</f>
        <v>13027070</v>
      </c>
    </row>
    <row r="710" customFormat="false" ht="15.75" hidden="false" customHeight="false" outlineLevel="0" collapsed="false">
      <c r="A710" s="6" t="n">
        <f aca="false">IFERROR(__xludf.dummyfunction("""COMPUTED_VALUE"""),45225.6666666667)</f>
        <v>45225.6666666667</v>
      </c>
      <c r="B710" s="5" t="n">
        <f aca="false">IFERROR(__xludf.dummyfunction("""COMPUTED_VALUE"""),87.12)</f>
        <v>87.12</v>
      </c>
      <c r="C710" s="5" t="n">
        <f aca="false">IFERROR(__xludf.dummyfunction("""COMPUTED_VALUE"""),88.14)</f>
        <v>88.14</v>
      </c>
      <c r="D710" s="5" t="n">
        <f aca="false">IFERROR(__xludf.dummyfunction("""COMPUTED_VALUE"""),86.54)</f>
        <v>86.54</v>
      </c>
      <c r="E710" s="5" t="n">
        <f aca="false">IFERROR(__xludf.dummyfunction("""COMPUTED_VALUE"""),87.45)</f>
        <v>87.45</v>
      </c>
      <c r="F710" s="5" t="n">
        <f aca="false">IFERROR(__xludf.dummyfunction("""COMPUTED_VALUE"""),9377296)</f>
        <v>9377296</v>
      </c>
    </row>
    <row r="711" customFormat="false" ht="15.75" hidden="false" customHeight="false" outlineLevel="0" collapsed="false">
      <c r="A711" s="6" t="n">
        <f aca="false">IFERROR(__xludf.dummyfunction("""COMPUTED_VALUE"""),45226.6666666667)</f>
        <v>45226.6666666667</v>
      </c>
      <c r="B711" s="5" t="n">
        <f aca="false">IFERROR(__xludf.dummyfunction("""COMPUTED_VALUE"""),87.54)</f>
        <v>87.54</v>
      </c>
      <c r="C711" s="5" t="n">
        <f aca="false">IFERROR(__xludf.dummyfunction("""COMPUTED_VALUE"""),87.78)</f>
        <v>87.78</v>
      </c>
      <c r="D711" s="5" t="n">
        <f aca="false">IFERROR(__xludf.dummyfunction("""COMPUTED_VALUE"""),85.89)</f>
        <v>85.89</v>
      </c>
      <c r="E711" s="5" t="n">
        <f aca="false">IFERROR(__xludf.dummyfunction("""COMPUTED_VALUE"""),85.99)</f>
        <v>85.99</v>
      </c>
      <c r="F711" s="5" t="n">
        <f aca="false">IFERROR(__xludf.dummyfunction("""COMPUTED_VALUE"""),12480729)</f>
        <v>12480729</v>
      </c>
    </row>
    <row r="712" customFormat="false" ht="15.75" hidden="false" customHeight="false" outlineLevel="0" collapsed="false">
      <c r="A712" s="6" t="n">
        <f aca="false">IFERROR(__xludf.dummyfunction("""COMPUTED_VALUE"""),45229.6666666667)</f>
        <v>45229.6666666667</v>
      </c>
      <c r="B712" s="5" t="n">
        <f aca="false">IFERROR(__xludf.dummyfunction("""COMPUTED_VALUE"""),87.31)</f>
        <v>87.31</v>
      </c>
      <c r="C712" s="5" t="n">
        <f aca="false">IFERROR(__xludf.dummyfunction("""COMPUTED_VALUE"""),88.3)</f>
        <v>88.3</v>
      </c>
      <c r="D712" s="5" t="n">
        <f aca="false">IFERROR(__xludf.dummyfunction("""COMPUTED_VALUE"""),86)</f>
        <v>86</v>
      </c>
      <c r="E712" s="5" t="n">
        <f aca="false">IFERROR(__xludf.dummyfunction("""COMPUTED_VALUE"""),86.06)</f>
        <v>86.06</v>
      </c>
      <c r="F712" s="5" t="n">
        <f aca="false">IFERROR(__xludf.dummyfunction("""COMPUTED_VALUE"""),9785511)</f>
        <v>9785511</v>
      </c>
    </row>
    <row r="713" customFormat="false" ht="15.75" hidden="false" customHeight="false" outlineLevel="0" collapsed="false">
      <c r="A713" s="6" t="n">
        <f aca="false">IFERROR(__xludf.dummyfunction("""COMPUTED_VALUE"""),45230.6666666667)</f>
        <v>45230.6666666667</v>
      </c>
      <c r="B713" s="5" t="n">
        <f aca="false">IFERROR(__xludf.dummyfunction("""COMPUTED_VALUE"""),86.15)</f>
        <v>86.15</v>
      </c>
      <c r="C713" s="5" t="n">
        <f aca="false">IFERROR(__xludf.dummyfunction("""COMPUTED_VALUE"""),86.43)</f>
        <v>86.43</v>
      </c>
      <c r="D713" s="5" t="n">
        <f aca="false">IFERROR(__xludf.dummyfunction("""COMPUTED_VALUE"""),84.95)</f>
        <v>84.95</v>
      </c>
      <c r="E713" s="5" t="n">
        <f aca="false">IFERROR(__xludf.dummyfunction("""COMPUTED_VALUE"""),86.31)</f>
        <v>86.31</v>
      </c>
      <c r="F713" s="5" t="n">
        <f aca="false">IFERROR(__xludf.dummyfunction("""COMPUTED_VALUE"""),9004922)</f>
        <v>9004922</v>
      </c>
    </row>
    <row r="714" customFormat="false" ht="15.75" hidden="false" customHeight="false" outlineLevel="0" collapsed="false">
      <c r="A714" s="6" t="n">
        <f aca="false">IFERROR(__xludf.dummyfunction("""COMPUTED_VALUE"""),45231.6666666667)</f>
        <v>45231.6666666667</v>
      </c>
      <c r="B714" s="5" t="n">
        <f aca="false">IFERROR(__xludf.dummyfunction("""COMPUTED_VALUE"""),86.47)</f>
        <v>86.47</v>
      </c>
      <c r="C714" s="5" t="n">
        <f aca="false">IFERROR(__xludf.dummyfunction("""COMPUTED_VALUE"""),87.87)</f>
        <v>87.87</v>
      </c>
      <c r="D714" s="5" t="n">
        <f aca="false">IFERROR(__xludf.dummyfunction("""COMPUTED_VALUE"""),86.34)</f>
        <v>86.34</v>
      </c>
      <c r="E714" s="5" t="n">
        <f aca="false">IFERROR(__xludf.dummyfunction("""COMPUTED_VALUE"""),87.8)</f>
        <v>87.8</v>
      </c>
      <c r="F714" s="5" t="n">
        <f aca="false">IFERROR(__xludf.dummyfunction("""COMPUTED_VALUE"""),9508804)</f>
        <v>9508804</v>
      </c>
    </row>
    <row r="715" customFormat="false" ht="15.75" hidden="false" customHeight="false" outlineLevel="0" collapsed="false">
      <c r="A715" s="6" t="n">
        <f aca="false">IFERROR(__xludf.dummyfunction("""COMPUTED_VALUE"""),45232.6666666667)</f>
        <v>45232.6666666667</v>
      </c>
      <c r="B715" s="5" t="n">
        <f aca="false">IFERROR(__xludf.dummyfunction("""COMPUTED_VALUE"""),90.4)</f>
        <v>90.4</v>
      </c>
      <c r="C715" s="5" t="n">
        <f aca="false">IFERROR(__xludf.dummyfunction("""COMPUTED_VALUE"""),91.05)</f>
        <v>91.05</v>
      </c>
      <c r="D715" s="5" t="n">
        <f aca="false">IFERROR(__xludf.dummyfunction("""COMPUTED_VALUE"""),89.47)</f>
        <v>89.47</v>
      </c>
      <c r="E715" s="5" t="n">
        <f aca="false">IFERROR(__xludf.dummyfunction("""COMPUTED_VALUE"""),90.48)</f>
        <v>90.48</v>
      </c>
      <c r="F715" s="5" t="n">
        <f aca="false">IFERROR(__xludf.dummyfunction("""COMPUTED_VALUE"""),11032583)</f>
        <v>11032583</v>
      </c>
    </row>
    <row r="716" customFormat="false" ht="15.75" hidden="false" customHeight="false" outlineLevel="0" collapsed="false">
      <c r="A716" s="6" t="n">
        <f aca="false">IFERROR(__xludf.dummyfunction("""COMPUTED_VALUE"""),45233.6666666667)</f>
        <v>45233.6666666667</v>
      </c>
      <c r="B716" s="5" t="n">
        <f aca="false">IFERROR(__xludf.dummyfunction("""COMPUTED_VALUE"""),91.65)</f>
        <v>91.65</v>
      </c>
      <c r="C716" s="5" t="n">
        <f aca="false">IFERROR(__xludf.dummyfunction("""COMPUTED_VALUE"""),92.45)</f>
        <v>92.45</v>
      </c>
      <c r="D716" s="5" t="n">
        <f aca="false">IFERROR(__xludf.dummyfunction("""COMPUTED_VALUE"""),90.84)</f>
        <v>90.84</v>
      </c>
      <c r="E716" s="5" t="n">
        <f aca="false">IFERROR(__xludf.dummyfunction("""COMPUTED_VALUE"""),91.79)</f>
        <v>91.79</v>
      </c>
      <c r="F716" s="5" t="n">
        <f aca="false">IFERROR(__xludf.dummyfunction("""COMPUTED_VALUE"""),9226706)</f>
        <v>9226706</v>
      </c>
    </row>
    <row r="717" customFormat="false" ht="15.75" hidden="false" customHeight="false" outlineLevel="0" collapsed="false">
      <c r="A717" s="6" t="n">
        <f aca="false">IFERROR(__xludf.dummyfunction("""COMPUTED_VALUE"""),45236.6666666667)</f>
        <v>45236.6666666667</v>
      </c>
      <c r="B717" s="5" t="n">
        <f aca="false">IFERROR(__xludf.dummyfunction("""COMPUTED_VALUE"""),92)</f>
        <v>92</v>
      </c>
      <c r="C717" s="5" t="n">
        <f aca="false">IFERROR(__xludf.dummyfunction("""COMPUTED_VALUE"""),92.61)</f>
        <v>92.61</v>
      </c>
      <c r="D717" s="5" t="n">
        <f aca="false">IFERROR(__xludf.dummyfunction("""COMPUTED_VALUE"""),91.29)</f>
        <v>91.29</v>
      </c>
      <c r="E717" s="5" t="n">
        <f aca="false">IFERROR(__xludf.dummyfunction("""COMPUTED_VALUE"""),92.6)</f>
        <v>92.6</v>
      </c>
      <c r="F717" s="5" t="n">
        <f aca="false">IFERROR(__xludf.dummyfunction("""COMPUTED_VALUE"""),8402708)</f>
        <v>8402708</v>
      </c>
    </row>
    <row r="718" customFormat="false" ht="15.75" hidden="false" customHeight="false" outlineLevel="0" collapsed="false">
      <c r="A718" s="6" t="n">
        <f aca="false">IFERROR(__xludf.dummyfunction("""COMPUTED_VALUE"""),45237.6666666667)</f>
        <v>45237.6666666667</v>
      </c>
      <c r="B718" s="5" t="n">
        <f aca="false">IFERROR(__xludf.dummyfunction("""COMPUTED_VALUE"""),92.25)</f>
        <v>92.25</v>
      </c>
      <c r="C718" s="5" t="n">
        <f aca="false">IFERROR(__xludf.dummyfunction("""COMPUTED_VALUE"""),93.05)</f>
        <v>93.05</v>
      </c>
      <c r="D718" s="5" t="n">
        <f aca="false">IFERROR(__xludf.dummyfunction("""COMPUTED_VALUE"""),91.75)</f>
        <v>91.75</v>
      </c>
      <c r="E718" s="5" t="n">
        <f aca="false">IFERROR(__xludf.dummyfunction("""COMPUTED_VALUE"""),92.41)</f>
        <v>92.41</v>
      </c>
      <c r="F718" s="5" t="n">
        <f aca="false">IFERROR(__xludf.dummyfunction("""COMPUTED_VALUE"""),6241257)</f>
        <v>6241257</v>
      </c>
    </row>
    <row r="719" customFormat="false" ht="15.75" hidden="false" customHeight="false" outlineLevel="0" collapsed="false">
      <c r="A719" s="6" t="n">
        <f aca="false">IFERROR(__xludf.dummyfunction("""COMPUTED_VALUE"""),45238.6666666667)</f>
        <v>45238.6666666667</v>
      </c>
      <c r="B719" s="5" t="n">
        <f aca="false">IFERROR(__xludf.dummyfunction("""COMPUTED_VALUE"""),93.33)</f>
        <v>93.33</v>
      </c>
      <c r="C719" s="5" t="n">
        <f aca="false">IFERROR(__xludf.dummyfunction("""COMPUTED_VALUE"""),93.44)</f>
        <v>93.44</v>
      </c>
      <c r="D719" s="5" t="n">
        <f aca="false">IFERROR(__xludf.dummyfunction("""COMPUTED_VALUE"""),91.93)</f>
        <v>91.93</v>
      </c>
      <c r="E719" s="5" t="n">
        <f aca="false">IFERROR(__xludf.dummyfunction("""COMPUTED_VALUE"""),92)</f>
        <v>92</v>
      </c>
      <c r="F719" s="5" t="n">
        <f aca="false">IFERROR(__xludf.dummyfunction("""COMPUTED_VALUE"""),6537666)</f>
        <v>6537666</v>
      </c>
    </row>
    <row r="720" customFormat="false" ht="15.75" hidden="false" customHeight="false" outlineLevel="0" collapsed="false">
      <c r="A720" s="6" t="n">
        <f aca="false">IFERROR(__xludf.dummyfunction("""COMPUTED_VALUE"""),45239.6666666667)</f>
        <v>45239.6666666667</v>
      </c>
      <c r="B720" s="5" t="n">
        <f aca="false">IFERROR(__xludf.dummyfunction("""COMPUTED_VALUE"""),92.63)</f>
        <v>92.63</v>
      </c>
      <c r="C720" s="5" t="n">
        <f aca="false">IFERROR(__xludf.dummyfunction("""COMPUTED_VALUE"""),93.37)</f>
        <v>93.37</v>
      </c>
      <c r="D720" s="5" t="n">
        <f aca="false">IFERROR(__xludf.dummyfunction("""COMPUTED_VALUE"""),91.6)</f>
        <v>91.6</v>
      </c>
      <c r="E720" s="5" t="n">
        <f aca="false">IFERROR(__xludf.dummyfunction("""COMPUTED_VALUE"""),91.62)</f>
        <v>91.62</v>
      </c>
      <c r="F720" s="5" t="n">
        <f aca="false">IFERROR(__xludf.dummyfunction("""COMPUTED_VALUE"""),8166021)</f>
        <v>8166021</v>
      </c>
    </row>
    <row r="721" customFormat="false" ht="15.75" hidden="false" customHeight="false" outlineLevel="0" collapsed="false">
      <c r="A721" s="6" t="n">
        <f aca="false">IFERROR(__xludf.dummyfunction("""COMPUTED_VALUE"""),45240.6666666667)</f>
        <v>45240.6666666667</v>
      </c>
      <c r="B721" s="5" t="n">
        <f aca="false">IFERROR(__xludf.dummyfunction("""COMPUTED_VALUE"""),94.04)</f>
        <v>94.04</v>
      </c>
      <c r="C721" s="5" t="n">
        <f aca="false">IFERROR(__xludf.dummyfunction("""COMPUTED_VALUE"""),97.75)</f>
        <v>97.75</v>
      </c>
      <c r="D721" s="5" t="n">
        <f aca="false">IFERROR(__xludf.dummyfunction("""COMPUTED_VALUE"""),93.61)</f>
        <v>93.61</v>
      </c>
      <c r="E721" s="5" t="n">
        <f aca="false">IFERROR(__xludf.dummyfunction("""COMPUTED_VALUE"""),97.44)</f>
        <v>97.44</v>
      </c>
      <c r="F721" s="5" t="n">
        <f aca="false">IFERROR(__xludf.dummyfunction("""COMPUTED_VALUE"""),19292869)</f>
        <v>19292869</v>
      </c>
    </row>
    <row r="722" customFormat="false" ht="15.75" hidden="false" customHeight="false" outlineLevel="0" collapsed="false">
      <c r="A722" s="6" t="n">
        <f aca="false">IFERROR(__xludf.dummyfunction("""COMPUTED_VALUE"""),45243.6666666667)</f>
        <v>45243.6666666667</v>
      </c>
      <c r="B722" s="5" t="n">
        <f aca="false">IFERROR(__xludf.dummyfunction("""COMPUTED_VALUE"""),97.01)</f>
        <v>97.01</v>
      </c>
      <c r="C722" s="5" t="n">
        <f aca="false">IFERROR(__xludf.dummyfunction("""COMPUTED_VALUE"""),97.18)</f>
        <v>97.18</v>
      </c>
      <c r="D722" s="5" t="n">
        <f aca="false">IFERROR(__xludf.dummyfunction("""COMPUTED_VALUE"""),95.72)</f>
        <v>95.72</v>
      </c>
      <c r="E722" s="5" t="n">
        <f aca="false">IFERROR(__xludf.dummyfunction("""COMPUTED_VALUE"""),96.42)</f>
        <v>96.42</v>
      </c>
      <c r="F722" s="5" t="n">
        <f aca="false">IFERROR(__xludf.dummyfunction("""COMPUTED_VALUE"""),9526286)</f>
        <v>9526286</v>
      </c>
    </row>
    <row r="723" customFormat="false" ht="15.75" hidden="false" customHeight="false" outlineLevel="0" collapsed="false">
      <c r="A723" s="6" t="n">
        <f aca="false">IFERROR(__xludf.dummyfunction("""COMPUTED_VALUE"""),45244.6666666667)</f>
        <v>45244.6666666667</v>
      </c>
      <c r="B723" s="5" t="n">
        <f aca="false">IFERROR(__xludf.dummyfunction("""COMPUTED_VALUE"""),98)</f>
        <v>98</v>
      </c>
      <c r="C723" s="5" t="n">
        <f aca="false">IFERROR(__xludf.dummyfunction("""COMPUTED_VALUE"""),99.69)</f>
        <v>99.69</v>
      </c>
      <c r="D723" s="5" t="n">
        <f aca="false">IFERROR(__xludf.dummyfunction("""COMPUTED_VALUE"""),97.95)</f>
        <v>97.95</v>
      </c>
      <c r="E723" s="5" t="n">
        <f aca="false">IFERROR(__xludf.dummyfunction("""COMPUTED_VALUE"""),98.91)</f>
        <v>98.91</v>
      </c>
      <c r="F723" s="5" t="n">
        <f aca="false">IFERROR(__xludf.dummyfunction("""COMPUTED_VALUE"""),13873244)</f>
        <v>13873244</v>
      </c>
    </row>
    <row r="724" customFormat="false" ht="15.75" hidden="false" customHeight="false" outlineLevel="0" collapsed="false">
      <c r="A724" s="6" t="n">
        <f aca="false">IFERROR(__xludf.dummyfunction("""COMPUTED_VALUE"""),45245.6666666667)</f>
        <v>45245.6666666667</v>
      </c>
      <c r="B724" s="5" t="n">
        <f aca="false">IFERROR(__xludf.dummyfunction("""COMPUTED_VALUE"""),99.95)</f>
        <v>99.95</v>
      </c>
      <c r="C724" s="5" t="n">
        <f aca="false">IFERROR(__xludf.dummyfunction("""COMPUTED_VALUE"""),100.7)</f>
        <v>100.7</v>
      </c>
      <c r="D724" s="5" t="n">
        <f aca="false">IFERROR(__xludf.dummyfunction("""COMPUTED_VALUE"""),98.42)</f>
        <v>98.42</v>
      </c>
      <c r="E724" s="5" t="n">
        <f aca="false">IFERROR(__xludf.dummyfunction("""COMPUTED_VALUE"""),98.8)</f>
        <v>98.8</v>
      </c>
      <c r="F724" s="5" t="n">
        <f aca="false">IFERROR(__xludf.dummyfunction("""COMPUTED_VALUE"""),10422887)</f>
        <v>10422887</v>
      </c>
    </row>
    <row r="725" customFormat="false" ht="15.75" hidden="false" customHeight="false" outlineLevel="0" collapsed="false">
      <c r="A725" s="6" t="n">
        <f aca="false">IFERROR(__xludf.dummyfunction("""COMPUTED_VALUE"""),45246.6666666667)</f>
        <v>45246.6666666667</v>
      </c>
      <c r="B725" s="5" t="n">
        <f aca="false">IFERROR(__xludf.dummyfunction("""COMPUTED_VALUE"""),98.24)</f>
        <v>98.24</v>
      </c>
      <c r="C725" s="5" t="n">
        <f aca="false">IFERROR(__xludf.dummyfunction("""COMPUTED_VALUE"""),99.1)</f>
        <v>99.1</v>
      </c>
      <c r="D725" s="5" t="n">
        <f aca="false">IFERROR(__xludf.dummyfunction("""COMPUTED_VALUE"""),97.91)</f>
        <v>97.91</v>
      </c>
      <c r="E725" s="5" t="n">
        <f aca="false">IFERROR(__xludf.dummyfunction("""COMPUTED_VALUE"""),98.54)</f>
        <v>98.54</v>
      </c>
      <c r="F725" s="5" t="n">
        <f aca="false">IFERROR(__xludf.dummyfunction("""COMPUTED_VALUE"""),8459045)</f>
        <v>8459045</v>
      </c>
    </row>
    <row r="726" customFormat="false" ht="15.75" hidden="false" customHeight="false" outlineLevel="0" collapsed="false">
      <c r="A726" s="6" t="n">
        <f aca="false">IFERROR(__xludf.dummyfunction("""COMPUTED_VALUE"""),45247.6666666667)</f>
        <v>45247.6666666667</v>
      </c>
      <c r="B726" s="5" t="n">
        <f aca="false">IFERROR(__xludf.dummyfunction("""COMPUTED_VALUE"""),98.94)</f>
        <v>98.94</v>
      </c>
      <c r="C726" s="5" t="n">
        <f aca="false">IFERROR(__xludf.dummyfunction("""COMPUTED_VALUE"""),99.72)</f>
        <v>99.72</v>
      </c>
      <c r="D726" s="5" t="n">
        <f aca="false">IFERROR(__xludf.dummyfunction("""COMPUTED_VALUE"""),98.32)</f>
        <v>98.32</v>
      </c>
      <c r="E726" s="5" t="n">
        <f aca="false">IFERROR(__xludf.dummyfunction("""COMPUTED_VALUE"""),99.58)</f>
        <v>99.58</v>
      </c>
      <c r="F726" s="5" t="n">
        <f aca="false">IFERROR(__xludf.dummyfunction("""COMPUTED_VALUE"""),7247710)</f>
        <v>7247710</v>
      </c>
    </row>
    <row r="727" customFormat="false" ht="15.75" hidden="false" customHeight="false" outlineLevel="0" collapsed="false">
      <c r="A727" s="6" t="n">
        <f aca="false">IFERROR(__xludf.dummyfunction("""COMPUTED_VALUE"""),45250.6666666667)</f>
        <v>45250.6666666667</v>
      </c>
      <c r="B727" s="5" t="n">
        <f aca="false">IFERROR(__xludf.dummyfunction("""COMPUTED_VALUE"""),99.9)</f>
        <v>99.9</v>
      </c>
      <c r="C727" s="5" t="n">
        <f aca="false">IFERROR(__xludf.dummyfunction("""COMPUTED_VALUE"""),100.59)</f>
        <v>100.59</v>
      </c>
      <c r="D727" s="5" t="n">
        <f aca="false">IFERROR(__xludf.dummyfunction("""COMPUTED_VALUE"""),99.54)</f>
        <v>99.54</v>
      </c>
      <c r="E727" s="5" t="n">
        <f aca="false">IFERROR(__xludf.dummyfunction("""COMPUTED_VALUE"""),99.96)</f>
        <v>99.96</v>
      </c>
      <c r="F727" s="5" t="n">
        <f aca="false">IFERROR(__xludf.dummyfunction("""COMPUTED_VALUE"""),6452894)</f>
        <v>6452894</v>
      </c>
    </row>
    <row r="728" customFormat="false" ht="15.75" hidden="false" customHeight="false" outlineLevel="0" collapsed="false">
      <c r="A728" s="6" t="n">
        <f aca="false">IFERROR(__xludf.dummyfunction("""COMPUTED_VALUE"""),45251.6666666667)</f>
        <v>45251.6666666667</v>
      </c>
      <c r="B728" s="5" t="n">
        <f aca="false">IFERROR(__xludf.dummyfunction("""COMPUTED_VALUE"""),100)</f>
        <v>100</v>
      </c>
      <c r="C728" s="5" t="n">
        <f aca="false">IFERROR(__xludf.dummyfunction("""COMPUTED_VALUE"""),100.15)</f>
        <v>100.15</v>
      </c>
      <c r="D728" s="5" t="n">
        <f aca="false">IFERROR(__xludf.dummyfunction("""COMPUTED_VALUE"""),98.24)</f>
        <v>98.24</v>
      </c>
      <c r="E728" s="5" t="n">
        <f aca="false">IFERROR(__xludf.dummyfunction("""COMPUTED_VALUE"""),98.41)</f>
        <v>98.41</v>
      </c>
      <c r="F728" s="5" t="n">
        <f aca="false">IFERROR(__xludf.dummyfunction("""COMPUTED_VALUE"""),10112622)</f>
        <v>10112622</v>
      </c>
    </row>
    <row r="729" customFormat="false" ht="15.75" hidden="false" customHeight="false" outlineLevel="0" collapsed="false">
      <c r="A729" s="6" t="n">
        <f aca="false">IFERROR(__xludf.dummyfunction("""COMPUTED_VALUE"""),45252.6666666667)</f>
        <v>45252.6666666667</v>
      </c>
      <c r="B729" s="5" t="n">
        <f aca="false">IFERROR(__xludf.dummyfunction("""COMPUTED_VALUE"""),98.72)</f>
        <v>98.72</v>
      </c>
      <c r="C729" s="5" t="n">
        <f aca="false">IFERROR(__xludf.dummyfunction("""COMPUTED_VALUE"""),99.65)</f>
        <v>99.65</v>
      </c>
      <c r="D729" s="5" t="n">
        <f aca="false">IFERROR(__xludf.dummyfunction("""COMPUTED_VALUE"""),97.95)</f>
        <v>97.95</v>
      </c>
      <c r="E729" s="5" t="n">
        <f aca="false">IFERROR(__xludf.dummyfunction("""COMPUTED_VALUE"""),98.65)</f>
        <v>98.65</v>
      </c>
      <c r="F729" s="5" t="n">
        <f aca="false">IFERROR(__xludf.dummyfunction("""COMPUTED_VALUE"""),7416466)</f>
        <v>7416466</v>
      </c>
    </row>
    <row r="730" customFormat="false" ht="15.75" hidden="false" customHeight="false" outlineLevel="0" collapsed="false">
      <c r="A730" s="6" t="n">
        <f aca="false">IFERROR(__xludf.dummyfunction("""COMPUTED_VALUE"""),45254.5416666667)</f>
        <v>45254.5416666667</v>
      </c>
      <c r="B730" s="5" t="n">
        <f aca="false">IFERROR(__xludf.dummyfunction("""COMPUTED_VALUE"""),98.48)</f>
        <v>98.48</v>
      </c>
      <c r="C730" s="5" t="n">
        <f aca="false">IFERROR(__xludf.dummyfunction("""COMPUTED_VALUE"""),98.73)</f>
        <v>98.73</v>
      </c>
      <c r="D730" s="5" t="n">
        <f aca="false">IFERROR(__xludf.dummyfunction("""COMPUTED_VALUE"""),97.47)</f>
        <v>97.47</v>
      </c>
      <c r="E730" s="5" t="n">
        <f aca="false">IFERROR(__xludf.dummyfunction("""COMPUTED_VALUE"""),97.83)</f>
        <v>97.83</v>
      </c>
      <c r="F730" s="5" t="n">
        <f aca="false">IFERROR(__xludf.dummyfunction("""COMPUTED_VALUE"""),4297621)</f>
        <v>4297621</v>
      </c>
    </row>
    <row r="731" customFormat="false" ht="15.75" hidden="false" customHeight="false" outlineLevel="0" collapsed="false">
      <c r="A731" s="6" t="n">
        <f aca="false">IFERROR(__xludf.dummyfunction("""COMPUTED_VALUE"""),45257.6666666667)</f>
        <v>45257.6666666667</v>
      </c>
      <c r="B731" s="5" t="n">
        <f aca="false">IFERROR(__xludf.dummyfunction("""COMPUTED_VALUE"""),97.42)</f>
        <v>97.42</v>
      </c>
      <c r="C731" s="5" t="n">
        <f aca="false">IFERROR(__xludf.dummyfunction("""COMPUTED_VALUE"""),97.55)</f>
        <v>97.55</v>
      </c>
      <c r="D731" s="5" t="n">
        <f aca="false">IFERROR(__xludf.dummyfunction("""COMPUTED_VALUE"""),96.42)</f>
        <v>96.42</v>
      </c>
      <c r="E731" s="5" t="n">
        <f aca="false">IFERROR(__xludf.dummyfunction("""COMPUTED_VALUE"""),97.21)</f>
        <v>97.21</v>
      </c>
      <c r="F731" s="5" t="n">
        <f aca="false">IFERROR(__xludf.dummyfunction("""COMPUTED_VALUE"""),6856096)</f>
        <v>6856096</v>
      </c>
    </row>
    <row r="732" customFormat="false" ht="15.75" hidden="false" customHeight="false" outlineLevel="0" collapsed="false">
      <c r="A732" s="6" t="n">
        <f aca="false">IFERROR(__xludf.dummyfunction("""COMPUTED_VALUE"""),45258.6666666667)</f>
        <v>45258.6666666667</v>
      </c>
      <c r="B732" s="5" t="n">
        <f aca="false">IFERROR(__xludf.dummyfunction("""COMPUTED_VALUE"""),97.87)</f>
        <v>97.87</v>
      </c>
      <c r="C732" s="5" t="n">
        <f aca="false">IFERROR(__xludf.dummyfunction("""COMPUTED_VALUE"""),98.25)</f>
        <v>98.25</v>
      </c>
      <c r="D732" s="5" t="n">
        <f aca="false">IFERROR(__xludf.dummyfunction("""COMPUTED_VALUE"""),97.24)</f>
        <v>97.24</v>
      </c>
      <c r="E732" s="5" t="n">
        <f aca="false">IFERROR(__xludf.dummyfunction("""COMPUTED_VALUE"""),97.98)</f>
        <v>97.98</v>
      </c>
      <c r="F732" s="5" t="n">
        <f aca="false">IFERROR(__xludf.dummyfunction("""COMPUTED_VALUE"""),6358143)</f>
        <v>6358143</v>
      </c>
    </row>
    <row r="733" customFormat="false" ht="15.75" hidden="false" customHeight="false" outlineLevel="0" collapsed="false">
      <c r="A733" s="6" t="n">
        <f aca="false">IFERROR(__xludf.dummyfunction("""COMPUTED_VALUE"""),45259.6666666667)</f>
        <v>45259.6666666667</v>
      </c>
      <c r="B733" s="5" t="n">
        <f aca="false">IFERROR(__xludf.dummyfunction("""COMPUTED_VALUE"""),99)</f>
        <v>99</v>
      </c>
      <c r="C733" s="5" t="n">
        <f aca="false">IFERROR(__xludf.dummyfunction("""COMPUTED_VALUE"""),99.73)</f>
        <v>99.73</v>
      </c>
      <c r="D733" s="5" t="n">
        <f aca="false">IFERROR(__xludf.dummyfunction("""COMPUTED_VALUE"""),98.6)</f>
        <v>98.6</v>
      </c>
      <c r="E733" s="5" t="n">
        <f aca="false">IFERROR(__xludf.dummyfunction("""COMPUTED_VALUE"""),98.88)</f>
        <v>98.88</v>
      </c>
      <c r="F733" s="5" t="n">
        <f aca="false">IFERROR(__xludf.dummyfunction("""COMPUTED_VALUE"""),7091122)</f>
        <v>7091122</v>
      </c>
    </row>
    <row r="734" customFormat="false" ht="15.75" hidden="false" customHeight="false" outlineLevel="0" collapsed="false">
      <c r="A734" s="6" t="n">
        <f aca="false">IFERROR(__xludf.dummyfunction("""COMPUTED_VALUE"""),45260.6666666667)</f>
        <v>45260.6666666667</v>
      </c>
      <c r="B734" s="5" t="n">
        <f aca="false">IFERROR(__xludf.dummyfunction("""COMPUTED_VALUE"""),98.93)</f>
        <v>98.93</v>
      </c>
      <c r="C734" s="5" t="n">
        <f aca="false">IFERROR(__xludf.dummyfunction("""COMPUTED_VALUE"""),98.98)</f>
        <v>98.98</v>
      </c>
      <c r="D734" s="5" t="n">
        <f aca="false">IFERROR(__xludf.dummyfunction("""COMPUTED_VALUE"""),96.9)</f>
        <v>96.9</v>
      </c>
      <c r="E734" s="5" t="n">
        <f aca="false">IFERROR(__xludf.dummyfunction("""COMPUTED_VALUE"""),97.31)</f>
        <v>97.31</v>
      </c>
      <c r="F734" s="5" t="n">
        <f aca="false">IFERROR(__xludf.dummyfunction("""COMPUTED_VALUE"""),9681363)</f>
        <v>9681363</v>
      </c>
    </row>
    <row r="735" customFormat="false" ht="15.75" hidden="false" customHeight="false" outlineLevel="0" collapsed="false">
      <c r="A735" s="6" t="n">
        <f aca="false">IFERROR(__xludf.dummyfunction("""COMPUTED_VALUE"""),45261.6666666667)</f>
        <v>45261.6666666667</v>
      </c>
      <c r="B735" s="5" t="n">
        <f aca="false">IFERROR(__xludf.dummyfunction("""COMPUTED_VALUE"""),97.7)</f>
        <v>97.7</v>
      </c>
      <c r="C735" s="5" t="n">
        <f aca="false">IFERROR(__xludf.dummyfunction("""COMPUTED_VALUE"""),98.78)</f>
        <v>98.78</v>
      </c>
      <c r="D735" s="5" t="n">
        <f aca="false">IFERROR(__xludf.dummyfunction("""COMPUTED_VALUE"""),97.02)</f>
        <v>97.02</v>
      </c>
      <c r="E735" s="5" t="n">
        <f aca="false">IFERROR(__xludf.dummyfunction("""COMPUTED_VALUE"""),98.55)</f>
        <v>98.55</v>
      </c>
      <c r="F735" s="5" t="n">
        <f aca="false">IFERROR(__xludf.dummyfunction("""COMPUTED_VALUE"""),7500388)</f>
        <v>7500388</v>
      </c>
    </row>
    <row r="736" customFormat="false" ht="15.75" hidden="false" customHeight="false" outlineLevel="0" collapsed="false">
      <c r="A736" s="6" t="n">
        <f aca="false">IFERROR(__xludf.dummyfunction("""COMPUTED_VALUE"""),45264.6666666667)</f>
        <v>45264.6666666667</v>
      </c>
      <c r="B736" s="5" t="n">
        <f aca="false">IFERROR(__xludf.dummyfunction("""COMPUTED_VALUE"""),97.05)</f>
        <v>97.05</v>
      </c>
      <c r="C736" s="5" t="n">
        <f aca="false">IFERROR(__xludf.dummyfunction("""COMPUTED_VALUE"""),97.2)</f>
        <v>97.2</v>
      </c>
      <c r="D736" s="5" t="n">
        <f aca="false">IFERROR(__xludf.dummyfunction("""COMPUTED_VALUE"""),95.25)</f>
        <v>95.25</v>
      </c>
      <c r="E736" s="5" t="n">
        <f aca="false">IFERROR(__xludf.dummyfunction("""COMPUTED_VALUE"""),97.01)</f>
        <v>97.01</v>
      </c>
      <c r="F736" s="5" t="n">
        <f aca="false">IFERROR(__xludf.dummyfunction("""COMPUTED_VALUE"""),10619352)</f>
        <v>10619352</v>
      </c>
    </row>
    <row r="737" customFormat="false" ht="15.75" hidden="false" customHeight="false" outlineLevel="0" collapsed="false">
      <c r="A737" s="6" t="n">
        <f aca="false">IFERROR(__xludf.dummyfunction("""COMPUTED_VALUE"""),45265.6666666667)</f>
        <v>45265.6666666667</v>
      </c>
      <c r="B737" s="5" t="n">
        <f aca="false">IFERROR(__xludf.dummyfunction("""COMPUTED_VALUE"""),96.46)</f>
        <v>96.46</v>
      </c>
      <c r="C737" s="5" t="n">
        <f aca="false">IFERROR(__xludf.dummyfunction("""COMPUTED_VALUE"""),97.02)</f>
        <v>97.02</v>
      </c>
      <c r="D737" s="5" t="n">
        <f aca="false">IFERROR(__xludf.dummyfunction("""COMPUTED_VALUE"""),95.88)</f>
        <v>95.88</v>
      </c>
      <c r="E737" s="5" t="n">
        <f aca="false">IFERROR(__xludf.dummyfunction("""COMPUTED_VALUE"""),96.69)</f>
        <v>96.69</v>
      </c>
      <c r="F737" s="5" t="n">
        <f aca="false">IFERROR(__xludf.dummyfunction("""COMPUTED_VALUE"""),8009587)</f>
        <v>8009587</v>
      </c>
    </row>
    <row r="738" customFormat="false" ht="15.75" hidden="false" customHeight="false" outlineLevel="0" collapsed="false">
      <c r="A738" s="6" t="n">
        <f aca="false">IFERROR(__xludf.dummyfunction("""COMPUTED_VALUE"""),45266.6666666667)</f>
        <v>45266.6666666667</v>
      </c>
      <c r="B738" s="5" t="n">
        <f aca="false">IFERROR(__xludf.dummyfunction("""COMPUTED_VALUE"""),97.8)</f>
        <v>97.8</v>
      </c>
      <c r="C738" s="5" t="n">
        <f aca="false">IFERROR(__xludf.dummyfunction("""COMPUTED_VALUE"""),98.57)</f>
        <v>98.57</v>
      </c>
      <c r="D738" s="5" t="n">
        <f aca="false">IFERROR(__xludf.dummyfunction("""COMPUTED_VALUE"""),97.45)</f>
        <v>97.45</v>
      </c>
      <c r="E738" s="5" t="n">
        <f aca="false">IFERROR(__xludf.dummyfunction("""COMPUTED_VALUE"""),97.85)</f>
        <v>97.85</v>
      </c>
      <c r="F738" s="5" t="n">
        <f aca="false">IFERROR(__xludf.dummyfunction("""COMPUTED_VALUE"""),11262266)</f>
        <v>11262266</v>
      </c>
    </row>
    <row r="739" customFormat="false" ht="15.75" hidden="false" customHeight="false" outlineLevel="0" collapsed="false">
      <c r="A739" s="6" t="n">
        <f aca="false">IFERROR(__xludf.dummyfunction("""COMPUTED_VALUE"""),45267.6666666667)</f>
        <v>45267.6666666667</v>
      </c>
      <c r="B739" s="5" t="n">
        <f aca="false">IFERROR(__xludf.dummyfunction("""COMPUTED_VALUE"""),97.96)</f>
        <v>97.96</v>
      </c>
      <c r="C739" s="5" t="n">
        <f aca="false">IFERROR(__xludf.dummyfunction("""COMPUTED_VALUE"""),99.64)</f>
        <v>99.64</v>
      </c>
      <c r="D739" s="5" t="n">
        <f aca="false">IFERROR(__xludf.dummyfunction("""COMPUTED_VALUE"""),97.89)</f>
        <v>97.89</v>
      </c>
      <c r="E739" s="5" t="n">
        <f aca="false">IFERROR(__xludf.dummyfunction("""COMPUTED_VALUE"""),99.29)</f>
        <v>99.29</v>
      </c>
      <c r="F739" s="5" t="n">
        <f aca="false">IFERROR(__xludf.dummyfunction("""COMPUTED_VALUE"""),11373668)</f>
        <v>11373668</v>
      </c>
    </row>
    <row r="740" customFormat="false" ht="15.75" hidden="false" customHeight="false" outlineLevel="0" collapsed="false">
      <c r="A740" s="6" t="n">
        <f aca="false">IFERROR(__xludf.dummyfunction("""COMPUTED_VALUE"""),45268.6666666667)</f>
        <v>45268.6666666667</v>
      </c>
      <c r="B740" s="5" t="n">
        <f aca="false">IFERROR(__xludf.dummyfunction("""COMPUTED_VALUE"""),99.12)</f>
        <v>99.12</v>
      </c>
      <c r="C740" s="5" t="n">
        <f aca="false">IFERROR(__xludf.dummyfunction("""COMPUTED_VALUE"""),100.37)</f>
        <v>100.37</v>
      </c>
      <c r="D740" s="5" t="n">
        <f aca="false">IFERROR(__xludf.dummyfunction("""COMPUTED_VALUE"""),98.95)</f>
        <v>98.95</v>
      </c>
      <c r="E740" s="5" t="n">
        <f aca="false">IFERROR(__xludf.dummyfunction("""COMPUTED_VALUE"""),100.35)</f>
        <v>100.35</v>
      </c>
      <c r="F740" s="5" t="n">
        <f aca="false">IFERROR(__xludf.dummyfunction("""COMPUTED_VALUE"""),10572458)</f>
        <v>10572458</v>
      </c>
    </row>
    <row r="741" customFormat="false" ht="15.75" hidden="false" customHeight="false" outlineLevel="0" collapsed="false">
      <c r="A741" s="6" t="n">
        <f aca="false">IFERROR(__xludf.dummyfunction("""COMPUTED_VALUE"""),45271.6666666667)</f>
        <v>45271.6666666667</v>
      </c>
      <c r="B741" s="5" t="n">
        <f aca="false">IFERROR(__xludf.dummyfunction("""COMPUTED_VALUE"""),99.57)</f>
        <v>99.57</v>
      </c>
      <c r="C741" s="5" t="n">
        <f aca="false">IFERROR(__xludf.dummyfunction("""COMPUTED_VALUE"""),101.21)</f>
        <v>101.21</v>
      </c>
      <c r="D741" s="5" t="n">
        <f aca="false">IFERROR(__xludf.dummyfunction("""COMPUTED_VALUE"""),99.37)</f>
        <v>99.37</v>
      </c>
      <c r="E741" s="5" t="n">
        <f aca="false">IFERROR(__xludf.dummyfunction("""COMPUTED_VALUE"""),100.95)</f>
        <v>100.95</v>
      </c>
      <c r="F741" s="5" t="n">
        <f aca="false">IFERROR(__xludf.dummyfunction("""COMPUTED_VALUE"""),9482773)</f>
        <v>9482773</v>
      </c>
    </row>
    <row r="742" customFormat="false" ht="15.75" hidden="false" customHeight="false" outlineLevel="0" collapsed="false">
      <c r="A742" s="6" t="n">
        <f aca="false">IFERROR(__xludf.dummyfunction("""COMPUTED_VALUE"""),45272.6666666667)</f>
        <v>45272.6666666667</v>
      </c>
      <c r="B742" s="5" t="n">
        <f aca="false">IFERROR(__xludf.dummyfunction("""COMPUTED_VALUE"""),100.15)</f>
        <v>100.15</v>
      </c>
      <c r="C742" s="5" t="n">
        <f aca="false">IFERROR(__xludf.dummyfunction("""COMPUTED_VALUE"""),101.65)</f>
        <v>101.65</v>
      </c>
      <c r="D742" s="5" t="n">
        <f aca="false">IFERROR(__xludf.dummyfunction("""COMPUTED_VALUE"""),99.95)</f>
        <v>99.95</v>
      </c>
      <c r="E742" s="5" t="n">
        <f aca="false">IFERROR(__xludf.dummyfunction("""COMPUTED_VALUE"""),101.6)</f>
        <v>101.6</v>
      </c>
      <c r="F742" s="5" t="n">
        <f aca="false">IFERROR(__xludf.dummyfunction("""COMPUTED_VALUE"""),7378574)</f>
        <v>7378574</v>
      </c>
    </row>
    <row r="743" customFormat="false" ht="15.75" hidden="false" customHeight="false" outlineLevel="0" collapsed="false">
      <c r="A743" s="6" t="n">
        <f aca="false">IFERROR(__xludf.dummyfunction("""COMPUTED_VALUE"""),45273.6666666667)</f>
        <v>45273.6666666667</v>
      </c>
      <c r="B743" s="5" t="n">
        <f aca="false">IFERROR(__xludf.dummyfunction("""COMPUTED_VALUE"""),101.4)</f>
        <v>101.4</v>
      </c>
      <c r="C743" s="5" t="n">
        <f aca="false">IFERROR(__xludf.dummyfunction("""COMPUTED_VALUE"""),102.68)</f>
        <v>102.68</v>
      </c>
      <c r="D743" s="5" t="n">
        <f aca="false">IFERROR(__xludf.dummyfunction("""COMPUTED_VALUE"""),100.91)</f>
        <v>100.91</v>
      </c>
      <c r="E743" s="5" t="n">
        <f aca="false">IFERROR(__xludf.dummyfunction("""COMPUTED_VALUE"""),102.12)</f>
        <v>102.12</v>
      </c>
      <c r="F743" s="5" t="n">
        <f aca="false">IFERROR(__xludf.dummyfunction("""COMPUTED_VALUE"""),8988814)</f>
        <v>8988814</v>
      </c>
    </row>
    <row r="744" customFormat="false" ht="15.75" hidden="false" customHeight="false" outlineLevel="0" collapsed="false">
      <c r="A744" s="6" t="n">
        <f aca="false">IFERROR(__xludf.dummyfunction("""COMPUTED_VALUE"""),45274.6666666667)</f>
        <v>45274.6666666667</v>
      </c>
      <c r="B744" s="5" t="n">
        <f aca="false">IFERROR(__xludf.dummyfunction("""COMPUTED_VALUE"""),103.35)</f>
        <v>103.35</v>
      </c>
      <c r="C744" s="5" t="n">
        <f aca="false">IFERROR(__xludf.dummyfunction("""COMPUTED_VALUE"""),103.81)</f>
        <v>103.81</v>
      </c>
      <c r="D744" s="5" t="n">
        <f aca="false">IFERROR(__xludf.dummyfunction("""COMPUTED_VALUE"""),102.8)</f>
        <v>102.8</v>
      </c>
      <c r="E744" s="5" t="n">
        <f aca="false">IFERROR(__xludf.dummyfunction("""COMPUTED_VALUE"""),103.45)</f>
        <v>103.45</v>
      </c>
      <c r="F744" s="5" t="n">
        <f aca="false">IFERROR(__xludf.dummyfunction("""COMPUTED_VALUE"""),10074499)</f>
        <v>10074499</v>
      </c>
    </row>
    <row r="745" customFormat="false" ht="15.75" hidden="false" customHeight="false" outlineLevel="0" collapsed="false">
      <c r="A745" s="6" t="n">
        <f aca="false">IFERROR(__xludf.dummyfunction("""COMPUTED_VALUE"""),45275.6666666667)</f>
        <v>45275.6666666667</v>
      </c>
      <c r="B745" s="5" t="n">
        <f aca="false">IFERROR(__xludf.dummyfunction("""COMPUTED_VALUE"""),103.5)</f>
        <v>103.5</v>
      </c>
      <c r="C745" s="5" t="n">
        <f aca="false">IFERROR(__xludf.dummyfunction("""COMPUTED_VALUE"""),104.76)</f>
        <v>104.76</v>
      </c>
      <c r="D745" s="5" t="n">
        <f aca="false">IFERROR(__xludf.dummyfunction("""COMPUTED_VALUE"""),102.39)</f>
        <v>102.39</v>
      </c>
      <c r="E745" s="5" t="n">
        <f aca="false">IFERROR(__xludf.dummyfunction("""COMPUTED_VALUE"""),102.54)</f>
        <v>102.54</v>
      </c>
      <c r="F745" s="5" t="n">
        <f aca="false">IFERROR(__xludf.dummyfunction("""COMPUTED_VALUE"""),16379236)</f>
        <v>16379236</v>
      </c>
    </row>
    <row r="746" customFormat="false" ht="15.75" hidden="false" customHeight="false" outlineLevel="0" collapsed="false">
      <c r="A746" s="6" t="n">
        <f aca="false">IFERROR(__xludf.dummyfunction("""COMPUTED_VALUE"""),45278.6666666667)</f>
        <v>45278.6666666667</v>
      </c>
      <c r="B746" s="5" t="n">
        <f aca="false">IFERROR(__xludf.dummyfunction("""COMPUTED_VALUE"""),102.84)</f>
        <v>102.84</v>
      </c>
      <c r="C746" s="5" t="n">
        <f aca="false">IFERROR(__xludf.dummyfunction("""COMPUTED_VALUE"""),103.31)</f>
        <v>103.31</v>
      </c>
      <c r="D746" s="5" t="n">
        <f aca="false">IFERROR(__xludf.dummyfunction("""COMPUTED_VALUE"""),102.08)</f>
        <v>102.08</v>
      </c>
      <c r="E746" s="5" t="n">
        <f aca="false">IFERROR(__xludf.dummyfunction("""COMPUTED_VALUE"""),102.93)</f>
        <v>102.93</v>
      </c>
      <c r="F746" s="5" t="n">
        <f aca="false">IFERROR(__xludf.dummyfunction("""COMPUTED_VALUE"""),5660567)</f>
        <v>5660567</v>
      </c>
    </row>
    <row r="747" customFormat="false" ht="15.75" hidden="false" customHeight="false" outlineLevel="0" collapsed="false">
      <c r="A747" s="6" t="n">
        <f aca="false">IFERROR(__xludf.dummyfunction("""COMPUTED_VALUE"""),45279.6666666667)</f>
        <v>45279.6666666667</v>
      </c>
      <c r="B747" s="5" t="n">
        <f aca="false">IFERROR(__xludf.dummyfunction("""COMPUTED_VALUE"""),103.24)</f>
        <v>103.24</v>
      </c>
      <c r="C747" s="5" t="n">
        <f aca="false">IFERROR(__xludf.dummyfunction("""COMPUTED_VALUE"""),103.98)</f>
        <v>103.98</v>
      </c>
      <c r="D747" s="5" t="n">
        <f aca="false">IFERROR(__xludf.dummyfunction("""COMPUTED_VALUE"""),103.09)</f>
        <v>103.09</v>
      </c>
      <c r="E747" s="5" t="n">
        <f aca="false">IFERROR(__xludf.dummyfunction("""COMPUTED_VALUE"""),103.87)</f>
        <v>103.87</v>
      </c>
      <c r="F747" s="5" t="n">
        <f aca="false">IFERROR(__xludf.dummyfunction("""COMPUTED_VALUE"""),8498473)</f>
        <v>8498473</v>
      </c>
    </row>
    <row r="748" customFormat="false" ht="15.75" hidden="false" customHeight="false" outlineLevel="0" collapsed="false">
      <c r="A748" s="6" t="n">
        <f aca="false">IFERROR(__xludf.dummyfunction("""COMPUTED_VALUE"""),45280.6666666667)</f>
        <v>45280.6666666667</v>
      </c>
      <c r="B748" s="5" t="n">
        <f aca="false">IFERROR(__xludf.dummyfunction("""COMPUTED_VALUE"""),102.7)</f>
        <v>102.7</v>
      </c>
      <c r="C748" s="5" t="n">
        <f aca="false">IFERROR(__xludf.dummyfunction("""COMPUTED_VALUE"""),103.09)</f>
        <v>103.09</v>
      </c>
      <c r="D748" s="5" t="n">
        <f aca="false">IFERROR(__xludf.dummyfunction("""COMPUTED_VALUE"""),99.94)</f>
        <v>99.94</v>
      </c>
      <c r="E748" s="5" t="n">
        <f aca="false">IFERROR(__xludf.dummyfunction("""COMPUTED_VALUE"""),100.04)</f>
        <v>100.04</v>
      </c>
      <c r="F748" s="5" t="n">
        <f aca="false">IFERROR(__xludf.dummyfunction("""COMPUTED_VALUE"""),10814080)</f>
        <v>10814080</v>
      </c>
    </row>
    <row r="749" customFormat="false" ht="15.75" hidden="false" customHeight="false" outlineLevel="0" collapsed="false">
      <c r="A749" s="6" t="n">
        <f aca="false">IFERROR(__xludf.dummyfunction("""COMPUTED_VALUE"""),45281.6666666667)</f>
        <v>45281.6666666667</v>
      </c>
      <c r="B749" s="5" t="n">
        <f aca="false">IFERROR(__xludf.dummyfunction("""COMPUTED_VALUE"""),101.3)</f>
        <v>101.3</v>
      </c>
      <c r="C749" s="5" t="n">
        <f aca="false">IFERROR(__xludf.dummyfunction("""COMPUTED_VALUE"""),102.72)</f>
        <v>102.72</v>
      </c>
      <c r="D749" s="5" t="n">
        <f aca="false">IFERROR(__xludf.dummyfunction("""COMPUTED_VALUE"""),101.16)</f>
        <v>101.16</v>
      </c>
      <c r="E749" s="5" t="n">
        <f aca="false">IFERROR(__xludf.dummyfunction("""COMPUTED_VALUE"""),102.55)</f>
        <v>102.55</v>
      </c>
      <c r="F749" s="5" t="n">
        <f aca="false">IFERROR(__xludf.dummyfunction("""COMPUTED_VALUE"""),9068244)</f>
        <v>9068244</v>
      </c>
    </row>
    <row r="750" customFormat="false" ht="15.75" hidden="false" customHeight="false" outlineLevel="0" collapsed="false">
      <c r="A750" s="6" t="n">
        <f aca="false">IFERROR(__xludf.dummyfunction("""COMPUTED_VALUE"""),45282.6666666667)</f>
        <v>45282.6666666667</v>
      </c>
      <c r="B750" s="5" t="n">
        <f aca="false">IFERROR(__xludf.dummyfunction("""COMPUTED_VALUE"""),102.93)</f>
        <v>102.93</v>
      </c>
      <c r="C750" s="5" t="n">
        <f aca="false">IFERROR(__xludf.dummyfunction("""COMPUTED_VALUE"""),103.59)</f>
        <v>103.59</v>
      </c>
      <c r="D750" s="5" t="n">
        <f aca="false">IFERROR(__xludf.dummyfunction("""COMPUTED_VALUE"""),102.71)</f>
        <v>102.71</v>
      </c>
      <c r="E750" s="5" t="n">
        <f aca="false">IFERROR(__xludf.dummyfunction("""COMPUTED_VALUE"""),103.15)</f>
        <v>103.15</v>
      </c>
      <c r="F750" s="5" t="n">
        <f aca="false">IFERROR(__xludf.dummyfunction("""COMPUTED_VALUE"""),5566576)</f>
        <v>5566576</v>
      </c>
    </row>
    <row r="751" customFormat="false" ht="15.75" hidden="false" customHeight="false" outlineLevel="0" collapsed="false">
      <c r="A751" s="6" t="n">
        <f aca="false">IFERROR(__xludf.dummyfunction("""COMPUTED_VALUE"""),45286.6666666667)</f>
        <v>45286.6666666667</v>
      </c>
      <c r="B751" s="5" t="n">
        <f aca="false">IFERROR(__xludf.dummyfunction("""COMPUTED_VALUE"""),103.61)</f>
        <v>103.61</v>
      </c>
      <c r="C751" s="5" t="n">
        <f aca="false">IFERROR(__xludf.dummyfunction("""COMPUTED_VALUE"""),104.96)</f>
        <v>104.96</v>
      </c>
      <c r="D751" s="5" t="n">
        <f aca="false">IFERROR(__xludf.dummyfunction("""COMPUTED_VALUE"""),103.57)</f>
        <v>103.57</v>
      </c>
      <c r="E751" s="5" t="n">
        <f aca="false">IFERROR(__xludf.dummyfunction("""COMPUTED_VALUE"""),104.45)</f>
        <v>104.45</v>
      </c>
      <c r="F751" s="5" t="n">
        <f aca="false">IFERROR(__xludf.dummyfunction("""COMPUTED_VALUE"""),6407484)</f>
        <v>6407484</v>
      </c>
    </row>
    <row r="752" customFormat="false" ht="15.75" hidden="false" customHeight="false" outlineLevel="0" collapsed="false">
      <c r="A752" s="6" t="n">
        <f aca="false">IFERROR(__xludf.dummyfunction("""COMPUTED_VALUE"""),45287.6666666667)</f>
        <v>45287.6666666667</v>
      </c>
      <c r="B752" s="5" t="n">
        <f aca="false">IFERROR(__xludf.dummyfunction("""COMPUTED_VALUE"""),105.05)</f>
        <v>105.05</v>
      </c>
      <c r="C752" s="5" t="n">
        <f aca="false">IFERROR(__xludf.dummyfunction("""COMPUTED_VALUE"""),105.37)</f>
        <v>105.37</v>
      </c>
      <c r="D752" s="5" t="n">
        <f aca="false">IFERROR(__xludf.dummyfunction("""COMPUTED_VALUE"""),104.08)</f>
        <v>104.08</v>
      </c>
      <c r="E752" s="5" t="n">
        <f aca="false">IFERROR(__xludf.dummyfunction("""COMPUTED_VALUE"""),104.65)</f>
        <v>104.65</v>
      </c>
      <c r="F752" s="5" t="n">
        <f aca="false">IFERROR(__xludf.dummyfunction("""COMPUTED_VALUE"""),5889724)</f>
        <v>5889724</v>
      </c>
    </row>
    <row r="753" customFormat="false" ht="15.75" hidden="false" customHeight="false" outlineLevel="0" collapsed="false">
      <c r="A753" s="6" t="n">
        <f aca="false">IFERROR(__xludf.dummyfunction("""COMPUTED_VALUE"""),45288.6666666667)</f>
        <v>45288.6666666667</v>
      </c>
      <c r="B753" s="5" t="n">
        <f aca="false">IFERROR(__xludf.dummyfunction("""COMPUTED_VALUE"""),105)</f>
        <v>105</v>
      </c>
      <c r="C753" s="5" t="n">
        <f aca="false">IFERROR(__xludf.dummyfunction("""COMPUTED_VALUE"""),105.52)</f>
        <v>105.52</v>
      </c>
      <c r="D753" s="5" t="n">
        <f aca="false">IFERROR(__xludf.dummyfunction("""COMPUTED_VALUE"""),104.7)</f>
        <v>104.7</v>
      </c>
      <c r="E753" s="5" t="n">
        <f aca="false">IFERROR(__xludf.dummyfunction("""COMPUTED_VALUE"""),104.7)</f>
        <v>104.7</v>
      </c>
      <c r="F753" s="5" t="n">
        <f aca="false">IFERROR(__xludf.dummyfunction("""COMPUTED_VALUE"""),5335145)</f>
        <v>5335145</v>
      </c>
    </row>
    <row r="754" customFormat="false" ht="15.75" hidden="false" customHeight="false" outlineLevel="0" collapsed="false">
      <c r="A754" s="6" t="n">
        <f aca="false">IFERROR(__xludf.dummyfunction("""COMPUTED_VALUE"""),45289.6666666667)</f>
        <v>45289.6666666667</v>
      </c>
      <c r="B754" s="5" t="n">
        <f aca="false">IFERROR(__xludf.dummyfunction("""COMPUTED_VALUE"""),104.72)</f>
        <v>104.72</v>
      </c>
      <c r="C754" s="5" t="n">
        <f aca="false">IFERROR(__xludf.dummyfunction("""COMPUTED_VALUE"""),104.97)</f>
        <v>104.97</v>
      </c>
      <c r="D754" s="5" t="n">
        <f aca="false">IFERROR(__xludf.dummyfunction("""COMPUTED_VALUE"""),103.67)</f>
        <v>103.67</v>
      </c>
      <c r="E754" s="5" t="n">
        <f aca="false">IFERROR(__xludf.dummyfunction("""COMPUTED_VALUE"""),104)</f>
        <v>104</v>
      </c>
      <c r="F754" s="5" t="n">
        <f aca="false">IFERROR(__xludf.dummyfunction("""COMPUTED_VALUE"""),4409641)</f>
        <v>4409641</v>
      </c>
    </row>
    <row r="755" customFormat="false" ht="15.75" hidden="false" customHeight="false" outlineLevel="0" collapsed="false">
      <c r="A755" s="6" t="n">
        <f aca="false">IFERROR(__xludf.dummyfunction("""COMPUTED_VALUE"""),45293.6666666667)</f>
        <v>45293.6666666667</v>
      </c>
      <c r="B755" s="5" t="n">
        <f aca="false">IFERROR(__xludf.dummyfunction("""COMPUTED_VALUE"""),102.25)</f>
        <v>102.25</v>
      </c>
      <c r="C755" s="5" t="n">
        <f aca="false">IFERROR(__xludf.dummyfunction("""COMPUTED_VALUE"""),102.62)</f>
        <v>102.62</v>
      </c>
      <c r="D755" s="5" t="n">
        <f aca="false">IFERROR(__xludf.dummyfunction("""COMPUTED_VALUE"""),100.59)</f>
        <v>100.59</v>
      </c>
      <c r="E755" s="5" t="n">
        <f aca="false">IFERROR(__xludf.dummyfunction("""COMPUTED_VALUE"""),101.53)</f>
        <v>101.53</v>
      </c>
      <c r="F755" s="5" t="n">
        <f aca="false">IFERROR(__xludf.dummyfunction("""COMPUTED_VALUE"""),9020864)</f>
        <v>9020864</v>
      </c>
    </row>
    <row r="756" customFormat="false" ht="15.75" hidden="false" customHeight="false" outlineLevel="0" collapsed="false">
      <c r="A756" s="6" t="n">
        <f aca="false">IFERROR(__xludf.dummyfunction("""COMPUTED_VALUE"""),45294.6666666667)</f>
        <v>45294.6666666667</v>
      </c>
      <c r="B756" s="5" t="n">
        <f aca="false">IFERROR(__xludf.dummyfunction("""COMPUTED_VALUE"""),100.34)</f>
        <v>100.34</v>
      </c>
      <c r="C756" s="5" t="n">
        <f aca="false">IFERROR(__xludf.dummyfunction("""COMPUTED_VALUE"""),101.25)</f>
        <v>101.25</v>
      </c>
      <c r="D756" s="5" t="n">
        <f aca="false">IFERROR(__xludf.dummyfunction("""COMPUTED_VALUE"""),99.66)</f>
        <v>99.66</v>
      </c>
      <c r="E756" s="5" t="n">
        <f aca="false">IFERROR(__xludf.dummyfunction("""COMPUTED_VALUE"""),100.17)</f>
        <v>100.17</v>
      </c>
      <c r="F756" s="5" t="n">
        <f aca="false">IFERROR(__xludf.dummyfunction("""COMPUTED_VALUE"""),6650601)</f>
        <v>6650601</v>
      </c>
    </row>
    <row r="757" customFormat="false" ht="15.75" hidden="false" customHeight="false" outlineLevel="0" collapsed="false">
      <c r="A757" s="6" t="n">
        <f aca="false">IFERROR(__xludf.dummyfunction("""COMPUTED_VALUE"""),45295.6666666667)</f>
        <v>45295.6666666667</v>
      </c>
      <c r="B757" s="5" t="n">
        <f aca="false">IFERROR(__xludf.dummyfunction("""COMPUTED_VALUE"""),99.53)</f>
        <v>99.53</v>
      </c>
      <c r="C757" s="5" t="n">
        <f aca="false">IFERROR(__xludf.dummyfunction("""COMPUTED_VALUE"""),100.44)</f>
        <v>100.44</v>
      </c>
      <c r="D757" s="5" t="n">
        <f aca="false">IFERROR(__xludf.dummyfunction("""COMPUTED_VALUE"""),99.12)</f>
        <v>99.12</v>
      </c>
      <c r="E757" s="5" t="n">
        <f aca="false">IFERROR(__xludf.dummyfunction("""COMPUTED_VALUE"""),99.13)</f>
        <v>99.13</v>
      </c>
      <c r="F757" s="5" t="n">
        <f aca="false">IFERROR(__xludf.dummyfunction("""COMPUTED_VALUE"""),7996713)</f>
        <v>7996713</v>
      </c>
    </row>
    <row r="758" customFormat="false" ht="15.75" hidden="false" customHeight="false" outlineLevel="0" collapsed="false">
      <c r="A758" s="6" t="n">
        <f aca="false">IFERROR(__xludf.dummyfunction("""COMPUTED_VALUE"""),45296.6666666667)</f>
        <v>45296.6666666667</v>
      </c>
      <c r="B758" s="5" t="n">
        <f aca="false">IFERROR(__xludf.dummyfunction("""COMPUTED_VALUE"""),99)</f>
        <v>99</v>
      </c>
      <c r="C758" s="5" t="n">
        <f aca="false">IFERROR(__xludf.dummyfunction("""COMPUTED_VALUE"""),100.64)</f>
        <v>100.64</v>
      </c>
      <c r="D758" s="5" t="n">
        <f aca="false">IFERROR(__xludf.dummyfunction("""COMPUTED_VALUE"""),98.8)</f>
        <v>98.8</v>
      </c>
      <c r="E758" s="5" t="n">
        <f aca="false">IFERROR(__xludf.dummyfunction("""COMPUTED_VALUE"""),99.61)</f>
        <v>99.61</v>
      </c>
      <c r="F758" s="5" t="n">
        <f aca="false">IFERROR(__xludf.dummyfunction("""COMPUTED_VALUE"""),7347316)</f>
        <v>7347316</v>
      </c>
    </row>
    <row r="759" customFormat="false" ht="15.75" hidden="false" customHeight="false" outlineLevel="0" collapsed="false">
      <c r="A759" s="6" t="n">
        <f aca="false">IFERROR(__xludf.dummyfunction("""COMPUTED_VALUE"""),45299.6666666667)</f>
        <v>45299.6666666667</v>
      </c>
      <c r="B759" s="5" t="n">
        <f aca="false">IFERROR(__xludf.dummyfunction("""COMPUTED_VALUE"""),100.63)</f>
        <v>100.63</v>
      </c>
      <c r="C759" s="5" t="n">
        <f aca="false">IFERROR(__xludf.dummyfunction("""COMPUTED_VALUE"""),102.79)</f>
        <v>102.79</v>
      </c>
      <c r="D759" s="5" t="n">
        <f aca="false">IFERROR(__xludf.dummyfunction("""COMPUTED_VALUE"""),100.5)</f>
        <v>100.5</v>
      </c>
      <c r="E759" s="5" t="n">
        <f aca="false">IFERROR(__xludf.dummyfunction("""COMPUTED_VALUE"""),102.24)</f>
        <v>102.24</v>
      </c>
      <c r="F759" s="5" t="n">
        <f aca="false">IFERROR(__xludf.dummyfunction("""COMPUTED_VALUE"""),12455556)</f>
        <v>12455556</v>
      </c>
    </row>
    <row r="760" customFormat="false" ht="15.75" hidden="false" customHeight="false" outlineLevel="0" collapsed="false">
      <c r="A760" s="6" t="n">
        <f aca="false">IFERROR(__xludf.dummyfunction("""COMPUTED_VALUE"""),45300.6666666667)</f>
        <v>45300.6666666667</v>
      </c>
      <c r="B760" s="5" t="n">
        <f aca="false">IFERROR(__xludf.dummyfunction("""COMPUTED_VALUE"""),101.05)</f>
        <v>101.05</v>
      </c>
      <c r="C760" s="5" t="n">
        <f aca="false">IFERROR(__xludf.dummyfunction("""COMPUTED_VALUE"""),101.97)</f>
        <v>101.97</v>
      </c>
      <c r="D760" s="5" t="n">
        <f aca="false">IFERROR(__xludf.dummyfunction("""COMPUTED_VALUE"""),100.21)</f>
        <v>100.21</v>
      </c>
      <c r="E760" s="5" t="n">
        <f aca="false">IFERROR(__xludf.dummyfunction("""COMPUTED_VALUE"""),101.89)</f>
        <v>101.89</v>
      </c>
      <c r="F760" s="5" t="n">
        <f aca="false">IFERROR(__xludf.dummyfunction("""COMPUTED_VALUE"""),7763961)</f>
        <v>7763961</v>
      </c>
    </row>
    <row r="761" customFormat="false" ht="15.75" hidden="false" customHeight="false" outlineLevel="0" collapsed="false">
      <c r="A761" s="6" t="n">
        <f aca="false">IFERROR(__xludf.dummyfunction("""COMPUTED_VALUE"""),45301.6666666667)</f>
        <v>45301.6666666667</v>
      </c>
      <c r="B761" s="5" t="n">
        <f aca="false">IFERROR(__xludf.dummyfunction("""COMPUTED_VALUE"""),102.52)</f>
        <v>102.52</v>
      </c>
      <c r="C761" s="5" t="n">
        <f aca="false">IFERROR(__xludf.dummyfunction("""COMPUTED_VALUE"""),102.78)</f>
        <v>102.78</v>
      </c>
      <c r="D761" s="5" t="n">
        <f aca="false">IFERROR(__xludf.dummyfunction("""COMPUTED_VALUE"""),99.98)</f>
        <v>99.98</v>
      </c>
      <c r="E761" s="5" t="n">
        <f aca="false">IFERROR(__xludf.dummyfunction("""COMPUTED_VALUE"""),100.8)</f>
        <v>100.8</v>
      </c>
      <c r="F761" s="5" t="n">
        <f aca="false">IFERROR(__xludf.dummyfunction("""COMPUTED_VALUE"""),6975726)</f>
        <v>6975726</v>
      </c>
    </row>
    <row r="762" customFormat="false" ht="15.75" hidden="false" customHeight="false" outlineLevel="0" collapsed="false">
      <c r="A762" s="6" t="n">
        <f aca="false">IFERROR(__xludf.dummyfunction("""COMPUTED_VALUE"""),45302.6666666667)</f>
        <v>45302.6666666667</v>
      </c>
      <c r="B762" s="5" t="n">
        <f aca="false">IFERROR(__xludf.dummyfunction("""COMPUTED_VALUE"""),101.7)</f>
        <v>101.7</v>
      </c>
      <c r="C762" s="5" t="n">
        <f aca="false">IFERROR(__xludf.dummyfunction("""COMPUTED_VALUE"""),102.16)</f>
        <v>102.16</v>
      </c>
      <c r="D762" s="5" t="n">
        <f aca="false">IFERROR(__xludf.dummyfunction("""COMPUTED_VALUE"""),99.99)</f>
        <v>99.99</v>
      </c>
      <c r="E762" s="5" t="n">
        <f aca="false">IFERROR(__xludf.dummyfunction("""COMPUTED_VALUE"""),101.22)</f>
        <v>101.22</v>
      </c>
      <c r="F762" s="5" t="n">
        <f aca="false">IFERROR(__xludf.dummyfunction("""COMPUTED_VALUE"""),7862691)</f>
        <v>7862691</v>
      </c>
    </row>
    <row r="763" customFormat="false" ht="15.75" hidden="false" customHeight="false" outlineLevel="0" collapsed="false">
      <c r="A763" s="6" t="n">
        <f aca="false">IFERROR(__xludf.dummyfunction("""COMPUTED_VALUE"""),45303.6666666667)</f>
        <v>45303.6666666667</v>
      </c>
      <c r="B763" s="5" t="n">
        <f aca="false">IFERROR(__xludf.dummyfunction("""COMPUTED_VALUE"""),100.89)</f>
        <v>100.89</v>
      </c>
      <c r="C763" s="5" t="n">
        <f aca="false">IFERROR(__xludf.dummyfunction("""COMPUTED_VALUE"""),102.38)</f>
        <v>102.38</v>
      </c>
      <c r="D763" s="5" t="n">
        <f aca="false">IFERROR(__xludf.dummyfunction("""COMPUTED_VALUE"""),100.87)</f>
        <v>100.87</v>
      </c>
      <c r="E763" s="5" t="n">
        <f aca="false">IFERROR(__xludf.dummyfunction("""COMPUTED_VALUE"""),101.24)</f>
        <v>101.24</v>
      </c>
      <c r="F763" s="5" t="n">
        <f aca="false">IFERROR(__xludf.dummyfunction("""COMPUTED_VALUE"""),6519711)</f>
        <v>6519711</v>
      </c>
    </row>
    <row r="764" customFormat="false" ht="15.75" hidden="false" customHeight="false" outlineLevel="0" collapsed="false">
      <c r="A764" s="6" t="n">
        <f aca="false">IFERROR(__xludf.dummyfunction("""COMPUTED_VALUE"""),45307.6666666667)</f>
        <v>45307.6666666667</v>
      </c>
      <c r="B764" s="5" t="n">
        <f aca="false">IFERROR(__xludf.dummyfunction("""COMPUTED_VALUE"""),100.53)</f>
        <v>100.53</v>
      </c>
      <c r="C764" s="5" t="n">
        <f aca="false">IFERROR(__xludf.dummyfunction("""COMPUTED_VALUE"""),102.35)</f>
        <v>102.35</v>
      </c>
      <c r="D764" s="5" t="n">
        <f aca="false">IFERROR(__xludf.dummyfunction("""COMPUTED_VALUE"""),100.2)</f>
        <v>100.2</v>
      </c>
      <c r="E764" s="5" t="n">
        <f aca="false">IFERROR(__xludf.dummyfunction("""COMPUTED_VALUE"""),101.67)</f>
        <v>101.67</v>
      </c>
      <c r="F764" s="5" t="n">
        <f aca="false">IFERROR(__xludf.dummyfunction("""COMPUTED_VALUE"""),11185515)</f>
        <v>11185515</v>
      </c>
    </row>
    <row r="765" customFormat="false" ht="15.75" hidden="false" customHeight="false" outlineLevel="0" collapsed="false">
      <c r="A765" s="6" t="n">
        <f aca="false">IFERROR(__xludf.dummyfunction("""COMPUTED_VALUE"""),45308.6666666667)</f>
        <v>45308.6666666667</v>
      </c>
      <c r="B765" s="5" t="n">
        <f aca="false">IFERROR(__xludf.dummyfunction("""COMPUTED_VALUE"""),100.87)</f>
        <v>100.87</v>
      </c>
      <c r="C765" s="5" t="n">
        <f aca="false">IFERROR(__xludf.dummyfunction("""COMPUTED_VALUE"""),103.33)</f>
        <v>103.33</v>
      </c>
      <c r="D765" s="5" t="n">
        <f aca="false">IFERROR(__xludf.dummyfunction("""COMPUTED_VALUE"""),100)</f>
        <v>100</v>
      </c>
      <c r="E765" s="5" t="n">
        <f aca="false">IFERROR(__xludf.dummyfunction("""COMPUTED_VALUE"""),102.95)</f>
        <v>102.95</v>
      </c>
      <c r="F765" s="5" t="n">
        <f aca="false">IFERROR(__xludf.dummyfunction("""COMPUTED_VALUE"""),17649519)</f>
        <v>17649519</v>
      </c>
    </row>
    <row r="766" customFormat="false" ht="15.75" hidden="false" customHeight="false" outlineLevel="0" collapsed="false">
      <c r="A766" s="6" t="n">
        <f aca="false">IFERROR(__xludf.dummyfunction("""COMPUTED_VALUE"""),45309.6666666667)</f>
        <v>45309.6666666667</v>
      </c>
      <c r="B766" s="5" t="n">
        <f aca="false">IFERROR(__xludf.dummyfunction("""COMPUTED_VALUE"""),111.2)</f>
        <v>111.2</v>
      </c>
      <c r="C766" s="5" t="n">
        <f aca="false">IFERROR(__xludf.dummyfunction("""COMPUTED_VALUE"""),113.39)</f>
        <v>113.39</v>
      </c>
      <c r="D766" s="5" t="n">
        <f aca="false">IFERROR(__xludf.dummyfunction("""COMPUTED_VALUE"""),109.48)</f>
        <v>109.48</v>
      </c>
      <c r="E766" s="5" t="n">
        <f aca="false">IFERROR(__xludf.dummyfunction("""COMPUTED_VALUE"""),113.03)</f>
        <v>113.03</v>
      </c>
      <c r="F766" s="5" t="n">
        <f aca="false">IFERROR(__xludf.dummyfunction("""COMPUTED_VALUE"""),58783719)</f>
        <v>58783719</v>
      </c>
    </row>
    <row r="767" customFormat="false" ht="15.75" hidden="false" customHeight="false" outlineLevel="0" collapsed="false">
      <c r="A767" s="6" t="n">
        <f aca="false">IFERROR(__xludf.dummyfunction("""COMPUTED_VALUE"""),45310.6666666667)</f>
        <v>45310.6666666667</v>
      </c>
      <c r="B767" s="5" t="n">
        <f aca="false">IFERROR(__xludf.dummyfunction("""COMPUTED_VALUE"""),113.22)</f>
        <v>113.22</v>
      </c>
      <c r="C767" s="5" t="n">
        <f aca="false">IFERROR(__xludf.dummyfunction("""COMPUTED_VALUE"""),115.15)</f>
        <v>115.15</v>
      </c>
      <c r="D767" s="5" t="n">
        <f aca="false">IFERROR(__xludf.dummyfunction("""COMPUTED_VALUE"""),111.02)</f>
        <v>111.02</v>
      </c>
      <c r="E767" s="5" t="n">
        <f aca="false">IFERROR(__xludf.dummyfunction("""COMPUTED_VALUE"""),114.2)</f>
        <v>114.2</v>
      </c>
      <c r="F767" s="5" t="n">
        <f aca="false">IFERROR(__xludf.dummyfunction("""COMPUTED_VALUE"""),37812587)</f>
        <v>37812587</v>
      </c>
    </row>
    <row r="768" customFormat="false" ht="15.75" hidden="false" customHeight="false" outlineLevel="0" collapsed="false">
      <c r="A768" s="6" t="n">
        <f aca="false">IFERROR(__xludf.dummyfunction("""COMPUTED_VALUE"""),45313.6666666667)</f>
        <v>45313.6666666667</v>
      </c>
      <c r="B768" s="5" t="n">
        <f aca="false">IFERROR(__xludf.dummyfunction("""COMPUTED_VALUE"""),114.78)</f>
        <v>114.78</v>
      </c>
      <c r="C768" s="5" t="n">
        <f aca="false">IFERROR(__xludf.dummyfunction("""COMPUTED_VALUE"""),115.1)</f>
        <v>115.1</v>
      </c>
      <c r="D768" s="5" t="n">
        <f aca="false">IFERROR(__xludf.dummyfunction("""COMPUTED_VALUE"""),112.52)</f>
        <v>112.52</v>
      </c>
      <c r="E768" s="5" t="n">
        <f aca="false">IFERROR(__xludf.dummyfunction("""COMPUTED_VALUE"""),113.03)</f>
        <v>113.03</v>
      </c>
      <c r="F768" s="5" t="n">
        <f aca="false">IFERROR(__xludf.dummyfunction("""COMPUTED_VALUE"""),17755537)</f>
        <v>17755537</v>
      </c>
    </row>
    <row r="769" customFormat="false" ht="15.75" hidden="false" customHeight="false" outlineLevel="0" collapsed="false">
      <c r="A769" s="6" t="n">
        <f aca="false">IFERROR(__xludf.dummyfunction("""COMPUTED_VALUE"""),45314.6666666667)</f>
        <v>45314.6666666667</v>
      </c>
      <c r="B769" s="5" t="n">
        <f aca="false">IFERROR(__xludf.dummyfunction("""COMPUTED_VALUE"""),113.52)</f>
        <v>113.52</v>
      </c>
      <c r="C769" s="5" t="n">
        <f aca="false">IFERROR(__xludf.dummyfunction("""COMPUTED_VALUE"""),114.62)</f>
        <v>114.62</v>
      </c>
      <c r="D769" s="5" t="n">
        <f aca="false">IFERROR(__xludf.dummyfunction("""COMPUTED_VALUE"""),113.16)</f>
        <v>113.16</v>
      </c>
      <c r="E769" s="5" t="n">
        <f aca="false">IFERROR(__xludf.dummyfunction("""COMPUTED_VALUE"""),114.13)</f>
        <v>114.13</v>
      </c>
      <c r="F769" s="5" t="n">
        <f aca="false">IFERROR(__xludf.dummyfunction("""COMPUTED_VALUE"""),11667877)</f>
        <v>11667877</v>
      </c>
    </row>
    <row r="770" customFormat="false" ht="15.75" hidden="false" customHeight="false" outlineLevel="0" collapsed="false">
      <c r="A770" s="6" t="n">
        <f aca="false">IFERROR(__xludf.dummyfunction("""COMPUTED_VALUE"""),45315.6666666667)</f>
        <v>45315.6666666667</v>
      </c>
      <c r="B770" s="5" t="n">
        <f aca="false">IFERROR(__xludf.dummyfunction("""COMPUTED_VALUE"""),115.33)</f>
        <v>115.33</v>
      </c>
      <c r="C770" s="5" t="n">
        <f aca="false">IFERROR(__xludf.dummyfunction("""COMPUTED_VALUE"""),118.85)</f>
        <v>118.85</v>
      </c>
      <c r="D770" s="5" t="n">
        <f aca="false">IFERROR(__xludf.dummyfunction("""COMPUTED_VALUE"""),114.61)</f>
        <v>114.61</v>
      </c>
      <c r="E770" s="5" t="n">
        <f aca="false">IFERROR(__xludf.dummyfunction("""COMPUTED_VALUE"""),116.52)</f>
        <v>116.52</v>
      </c>
      <c r="F770" s="5" t="n">
        <f aca="false">IFERROR(__xludf.dummyfunction("""COMPUTED_VALUE"""),21859177)</f>
        <v>21859177</v>
      </c>
    </row>
    <row r="771" customFormat="false" ht="15.75" hidden="false" customHeight="false" outlineLevel="0" collapsed="false">
      <c r="A771" s="6" t="n">
        <f aca="false">IFERROR(__xludf.dummyfunction("""COMPUTED_VALUE"""),45316.6666666667)</f>
        <v>45316.6666666667</v>
      </c>
      <c r="B771" s="5" t="n">
        <f aca="false">IFERROR(__xludf.dummyfunction("""COMPUTED_VALUE"""),118.02)</f>
        <v>118.02</v>
      </c>
      <c r="C771" s="5" t="n">
        <f aca="false">IFERROR(__xludf.dummyfunction("""COMPUTED_VALUE"""),118.84)</f>
        <v>118.84</v>
      </c>
      <c r="D771" s="5" t="n">
        <f aca="false">IFERROR(__xludf.dummyfunction("""COMPUTED_VALUE"""),116.48)</f>
        <v>116.48</v>
      </c>
      <c r="E771" s="5" t="n">
        <f aca="false">IFERROR(__xludf.dummyfunction("""COMPUTED_VALUE"""),116.56)</f>
        <v>116.56</v>
      </c>
      <c r="F771" s="5" t="n">
        <f aca="false">IFERROR(__xludf.dummyfunction("""COMPUTED_VALUE"""),15485264)</f>
        <v>15485264</v>
      </c>
    </row>
    <row r="772" customFormat="false" ht="15.75" hidden="false" customHeight="false" outlineLevel="0" collapsed="false">
      <c r="A772" s="6" t="n">
        <f aca="false">IFERROR(__xludf.dummyfunction("""COMPUTED_VALUE"""),45317.6666666667)</f>
        <v>45317.6666666667</v>
      </c>
      <c r="B772" s="5" t="n">
        <f aca="false">IFERROR(__xludf.dummyfunction("""COMPUTED_VALUE"""),116.9)</f>
        <v>116.9</v>
      </c>
      <c r="C772" s="5" t="n">
        <f aca="false">IFERROR(__xludf.dummyfunction("""COMPUTED_VALUE"""),118.04)</f>
        <v>118.04</v>
      </c>
      <c r="D772" s="5" t="n">
        <f aca="false">IFERROR(__xludf.dummyfunction("""COMPUTED_VALUE"""),116.3)</f>
        <v>116.3</v>
      </c>
      <c r="E772" s="5" t="n">
        <f aca="false">IFERROR(__xludf.dummyfunction("""COMPUTED_VALUE"""),117.26)</f>
        <v>117.26</v>
      </c>
      <c r="F772" s="5" t="n">
        <f aca="false">IFERROR(__xludf.dummyfunction("""COMPUTED_VALUE"""),10196442)</f>
        <v>10196442</v>
      </c>
    </row>
    <row r="773" customFormat="false" ht="15.75" hidden="false" customHeight="false" outlineLevel="0" collapsed="false">
      <c r="A773" s="6" t="n">
        <f aca="false">IFERROR(__xludf.dummyfunction("""COMPUTED_VALUE"""),45320.6666666667)</f>
        <v>45320.6666666667</v>
      </c>
      <c r="B773" s="5" t="n">
        <f aca="false">IFERROR(__xludf.dummyfunction("""COMPUTED_VALUE"""),117.17)</f>
        <v>117.17</v>
      </c>
      <c r="C773" s="5" t="n">
        <f aca="false">IFERROR(__xludf.dummyfunction("""COMPUTED_VALUE"""),117.87)</f>
        <v>117.87</v>
      </c>
      <c r="D773" s="5" t="n">
        <f aca="false">IFERROR(__xludf.dummyfunction("""COMPUTED_VALUE"""),115.76)</f>
        <v>115.76</v>
      </c>
      <c r="E773" s="5" t="n">
        <f aca="false">IFERROR(__xludf.dummyfunction("""COMPUTED_VALUE"""),116.98)</f>
        <v>116.98</v>
      </c>
      <c r="F773" s="5" t="n">
        <f aca="false">IFERROR(__xludf.dummyfunction("""COMPUTED_VALUE"""),10042237)</f>
        <v>10042237</v>
      </c>
    </row>
    <row r="774" customFormat="false" ht="15.75" hidden="false" customHeight="false" outlineLevel="0" collapsed="false">
      <c r="A774" s="6" t="n">
        <f aca="false">IFERROR(__xludf.dummyfunction("""COMPUTED_VALUE"""),45321.6666666667)</f>
        <v>45321.6666666667</v>
      </c>
      <c r="B774" s="5" t="n">
        <f aca="false">IFERROR(__xludf.dummyfunction("""COMPUTED_VALUE"""),116.36)</f>
        <v>116.36</v>
      </c>
      <c r="C774" s="5" t="n">
        <f aca="false">IFERROR(__xludf.dummyfunction("""COMPUTED_VALUE"""),118.01)</f>
        <v>118.01</v>
      </c>
      <c r="D774" s="5" t="n">
        <f aca="false">IFERROR(__xludf.dummyfunction("""COMPUTED_VALUE"""),115.56)</f>
        <v>115.56</v>
      </c>
      <c r="E774" s="5" t="n">
        <f aca="false">IFERROR(__xludf.dummyfunction("""COMPUTED_VALUE"""),116.06)</f>
        <v>116.06</v>
      </c>
      <c r="F774" s="5" t="n">
        <f aca="false">IFERROR(__xludf.dummyfunction("""COMPUTED_VALUE"""),11030838)</f>
        <v>11030838</v>
      </c>
    </row>
    <row r="775" customFormat="false" ht="15.75" hidden="false" customHeight="false" outlineLevel="0" collapsed="false">
      <c r="A775" s="6" t="n">
        <f aca="false">IFERROR(__xludf.dummyfunction("""COMPUTED_VALUE"""),45322.6666666667)</f>
        <v>45322.6666666667</v>
      </c>
      <c r="B775" s="5" t="n">
        <f aca="false">IFERROR(__xludf.dummyfunction("""COMPUTED_VALUE"""),113.5)</f>
        <v>113.5</v>
      </c>
      <c r="C775" s="5" t="n">
        <f aca="false">IFERROR(__xludf.dummyfunction("""COMPUTED_VALUE"""),114.74)</f>
        <v>114.74</v>
      </c>
      <c r="D775" s="5" t="n">
        <f aca="false">IFERROR(__xludf.dummyfunction("""COMPUTED_VALUE"""),112.88)</f>
        <v>112.88</v>
      </c>
      <c r="E775" s="5" t="n">
        <f aca="false">IFERROR(__xludf.dummyfunction("""COMPUTED_VALUE"""),112.96)</f>
        <v>112.96</v>
      </c>
      <c r="F775" s="5" t="n">
        <f aca="false">IFERROR(__xludf.dummyfunction("""COMPUTED_VALUE"""),12853858)</f>
        <v>12853858</v>
      </c>
    </row>
    <row r="776" customFormat="false" ht="15.75" hidden="false" customHeight="false" outlineLevel="0" collapsed="false">
      <c r="A776" s="6" t="n">
        <f aca="false">IFERROR(__xludf.dummyfunction("""COMPUTED_VALUE"""),45323.6666666667)</f>
        <v>45323.6666666667</v>
      </c>
      <c r="B776" s="5" t="n">
        <f aca="false">IFERROR(__xludf.dummyfunction("""COMPUTED_VALUE"""),113.8)</f>
        <v>113.8</v>
      </c>
      <c r="C776" s="5" t="n">
        <f aca="false">IFERROR(__xludf.dummyfunction("""COMPUTED_VALUE"""),114.03)</f>
        <v>114.03</v>
      </c>
      <c r="D776" s="5" t="n">
        <f aca="false">IFERROR(__xludf.dummyfunction("""COMPUTED_VALUE"""),112.61)</f>
        <v>112.61</v>
      </c>
      <c r="E776" s="5" t="n">
        <f aca="false">IFERROR(__xludf.dummyfunction("""COMPUTED_VALUE"""),113.39)</f>
        <v>113.39</v>
      </c>
      <c r="F776" s="5" t="n">
        <f aca="false">IFERROR(__xludf.dummyfunction("""COMPUTED_VALUE"""),8807585)</f>
        <v>8807585</v>
      </c>
    </row>
    <row r="777" customFormat="false" ht="15.75" hidden="false" customHeight="false" outlineLevel="0" collapsed="false">
      <c r="A777" s="6" t="n">
        <f aca="false">IFERROR(__xludf.dummyfunction("""COMPUTED_VALUE"""),45324.6666666667)</f>
        <v>45324.6666666667</v>
      </c>
      <c r="B777" s="5" t="n">
        <f aca="false">IFERROR(__xludf.dummyfunction("""COMPUTED_VALUE"""),114.86)</f>
        <v>114.86</v>
      </c>
      <c r="C777" s="5" t="n">
        <f aca="false">IFERROR(__xludf.dummyfunction("""COMPUTED_VALUE"""),115.96)</f>
        <v>115.96</v>
      </c>
      <c r="D777" s="5" t="n">
        <f aca="false">IFERROR(__xludf.dummyfunction("""COMPUTED_VALUE"""),113.92)</f>
        <v>113.92</v>
      </c>
      <c r="E777" s="5" t="n">
        <f aca="false">IFERROR(__xludf.dummyfunction("""COMPUTED_VALUE"""),115.75)</f>
        <v>115.75</v>
      </c>
      <c r="F777" s="5" t="n">
        <f aca="false">IFERROR(__xludf.dummyfunction("""COMPUTED_VALUE"""),10043957)</f>
        <v>10043957</v>
      </c>
    </row>
    <row r="778" customFormat="false" ht="15.75" hidden="false" customHeight="false" outlineLevel="0" collapsed="false">
      <c r="A778" s="6" t="n">
        <f aca="false">IFERROR(__xludf.dummyfunction("""COMPUTED_VALUE"""),45327.6666666667)</f>
        <v>45327.6666666667</v>
      </c>
      <c r="B778" s="5" t="n">
        <f aca="false">IFERROR(__xludf.dummyfunction("""COMPUTED_VALUE"""),117.13)</f>
        <v>117.13</v>
      </c>
      <c r="C778" s="5" t="n">
        <f aca="false">IFERROR(__xludf.dummyfunction("""COMPUTED_VALUE"""),119.54)</f>
        <v>119.54</v>
      </c>
      <c r="D778" s="5" t="n">
        <f aca="false">IFERROR(__xludf.dummyfunction("""COMPUTED_VALUE"""),116.58)</f>
        <v>116.58</v>
      </c>
      <c r="E778" s="5" t="n">
        <f aca="false">IFERROR(__xludf.dummyfunction("""COMPUTED_VALUE"""),118.79)</f>
        <v>118.79</v>
      </c>
      <c r="F778" s="5" t="n">
        <f aca="false">IFERROR(__xludf.dummyfunction("""COMPUTED_VALUE"""),13267629)</f>
        <v>13267629</v>
      </c>
    </row>
    <row r="779" customFormat="false" ht="15.75" hidden="false" customHeight="false" outlineLevel="0" collapsed="false">
      <c r="A779" s="6" t="n">
        <f aca="false">IFERROR(__xludf.dummyfunction("""COMPUTED_VALUE"""),45328.6666666667)</f>
        <v>45328.6666666667</v>
      </c>
      <c r="B779" s="5" t="n">
        <f aca="false">IFERROR(__xludf.dummyfunction("""COMPUTED_VALUE"""),120.12)</f>
        <v>120.12</v>
      </c>
      <c r="C779" s="5" t="n">
        <f aca="false">IFERROR(__xludf.dummyfunction("""COMPUTED_VALUE"""),120.99)</f>
        <v>120.99</v>
      </c>
      <c r="D779" s="5" t="n">
        <f aca="false">IFERROR(__xludf.dummyfunction("""COMPUTED_VALUE"""),118.28)</f>
        <v>118.28</v>
      </c>
      <c r="E779" s="5" t="n">
        <f aca="false">IFERROR(__xludf.dummyfunction("""COMPUTED_VALUE"""),119.38)</f>
        <v>119.38</v>
      </c>
      <c r="F779" s="5" t="n">
        <f aca="false">IFERROR(__xludf.dummyfunction("""COMPUTED_VALUE"""),11511859)</f>
        <v>11511859</v>
      </c>
    </row>
    <row r="780" customFormat="false" ht="15.75" hidden="false" customHeight="false" outlineLevel="0" collapsed="false">
      <c r="A780" s="6" t="n">
        <f aca="false">IFERROR(__xludf.dummyfunction("""COMPUTED_VALUE"""),45329.6666666667)</f>
        <v>45329.6666666667</v>
      </c>
      <c r="B780" s="5" t="n">
        <f aca="false">IFERROR(__xludf.dummyfunction("""COMPUTED_VALUE"""),120.01)</f>
        <v>120.01</v>
      </c>
      <c r="C780" s="5" t="n">
        <f aca="false">IFERROR(__xludf.dummyfunction("""COMPUTED_VALUE"""),125)</f>
        <v>125</v>
      </c>
      <c r="D780" s="5" t="n">
        <f aca="false">IFERROR(__xludf.dummyfunction("""COMPUTED_VALUE"""),120)</f>
        <v>120</v>
      </c>
      <c r="E780" s="5" t="n">
        <f aca="false">IFERROR(__xludf.dummyfunction("""COMPUTED_VALUE"""),124.98)</f>
        <v>124.98</v>
      </c>
      <c r="F780" s="5" t="n">
        <f aca="false">IFERROR(__xludf.dummyfunction("""COMPUTED_VALUE"""),18172529)</f>
        <v>18172529</v>
      </c>
    </row>
    <row r="781" customFormat="false" ht="15.75" hidden="false" customHeight="false" outlineLevel="0" collapsed="false">
      <c r="A781" s="6" t="n">
        <f aca="false">IFERROR(__xludf.dummyfunction("""COMPUTED_VALUE"""),45330.6666666667)</f>
        <v>45330.6666666667</v>
      </c>
      <c r="B781" s="5" t="n">
        <f aca="false">IFERROR(__xludf.dummyfunction("""COMPUTED_VALUE"""),127)</f>
        <v>127</v>
      </c>
      <c r="C781" s="5" t="n">
        <f aca="false">IFERROR(__xludf.dummyfunction("""COMPUTED_VALUE"""),134.75)</f>
        <v>134.75</v>
      </c>
      <c r="D781" s="5" t="n">
        <f aca="false">IFERROR(__xludf.dummyfunction("""COMPUTED_VALUE"""),126.11)</f>
        <v>126.11</v>
      </c>
      <c r="E781" s="5" t="n">
        <f aca="false">IFERROR(__xludf.dummyfunction("""COMPUTED_VALUE"""),133.73)</f>
        <v>133.73</v>
      </c>
      <c r="F781" s="5" t="n">
        <f aca="false">IFERROR(__xludf.dummyfunction("""COMPUTED_VALUE"""),33367010)</f>
        <v>33367010</v>
      </c>
    </row>
    <row r="782" customFormat="false" ht="15.75" hidden="false" customHeight="false" outlineLevel="0" collapsed="false">
      <c r="A782" s="6" t="n">
        <f aca="false">IFERROR(__xludf.dummyfunction("""COMPUTED_VALUE"""),45331.6666666667)</f>
        <v>45331.6666666667</v>
      </c>
      <c r="B782" s="5" t="n">
        <f aca="false">IFERROR(__xludf.dummyfunction("""COMPUTED_VALUE"""),134.5)</f>
        <v>134.5</v>
      </c>
      <c r="C782" s="5" t="n">
        <f aca="false">IFERROR(__xludf.dummyfunction("""COMPUTED_VALUE"""),135.17)</f>
        <v>135.17</v>
      </c>
      <c r="D782" s="5" t="n">
        <f aca="false">IFERROR(__xludf.dummyfunction("""COMPUTED_VALUE"""),130.59)</f>
        <v>130.59</v>
      </c>
      <c r="E782" s="5" t="n">
        <f aca="false">IFERROR(__xludf.dummyfunction("""COMPUTED_VALUE"""),133.11)</f>
        <v>133.11</v>
      </c>
      <c r="F782" s="5" t="n">
        <f aca="false">IFERROR(__xludf.dummyfunction("""COMPUTED_VALUE"""),16984174)</f>
        <v>16984174</v>
      </c>
    </row>
    <row r="783" customFormat="false" ht="15.75" hidden="false" customHeight="false" outlineLevel="0" collapsed="false">
      <c r="A783" s="6" t="n">
        <f aca="false">IFERROR(__xludf.dummyfunction("""COMPUTED_VALUE"""),45334.6666666667)</f>
        <v>45334.6666666667</v>
      </c>
      <c r="B783" s="5" t="n">
        <f aca="false">IFERROR(__xludf.dummyfunction("""COMPUTED_VALUE"""),133.27)</f>
        <v>133.27</v>
      </c>
      <c r="C783" s="5" t="n">
        <f aca="false">IFERROR(__xludf.dummyfunction("""COMPUTED_VALUE"""),133.51)</f>
        <v>133.51</v>
      </c>
      <c r="D783" s="5" t="n">
        <f aca="false">IFERROR(__xludf.dummyfunction("""COMPUTED_VALUE"""),130.26)</f>
        <v>130.26</v>
      </c>
      <c r="E783" s="5" t="n">
        <f aca="false">IFERROR(__xludf.dummyfunction("""COMPUTED_VALUE"""),130.46)</f>
        <v>130.46</v>
      </c>
      <c r="F783" s="5" t="n">
        <f aca="false">IFERROR(__xludf.dummyfunction("""COMPUTED_VALUE"""),14203766)</f>
        <v>14203766</v>
      </c>
    </row>
    <row r="784" customFormat="false" ht="15.75" hidden="false" customHeight="false" outlineLevel="0" collapsed="false">
      <c r="A784" s="6" t="n">
        <f aca="false">IFERROR(__xludf.dummyfunction("""COMPUTED_VALUE"""),45335.6666666667)</f>
        <v>45335.6666666667</v>
      </c>
      <c r="B784" s="5" t="n">
        <f aca="false">IFERROR(__xludf.dummyfunction("""COMPUTED_VALUE"""),127.93)</f>
        <v>127.93</v>
      </c>
      <c r="C784" s="5" t="n">
        <f aca="false">IFERROR(__xludf.dummyfunction("""COMPUTED_VALUE"""),129.92)</f>
        <v>129.92</v>
      </c>
      <c r="D784" s="5" t="n">
        <f aca="false">IFERROR(__xludf.dummyfunction("""COMPUTED_VALUE"""),126.48)</f>
        <v>126.48</v>
      </c>
      <c r="E784" s="5" t="n">
        <f aca="false">IFERROR(__xludf.dummyfunction("""COMPUTED_VALUE"""),127.55)</f>
        <v>127.55</v>
      </c>
      <c r="F784" s="5" t="n">
        <f aca="false">IFERROR(__xludf.dummyfunction("""COMPUTED_VALUE"""),14493976)</f>
        <v>14493976</v>
      </c>
    </row>
    <row r="785" customFormat="false" ht="15.75" hidden="false" customHeight="false" outlineLevel="0" collapsed="false">
      <c r="A785" s="6" t="n">
        <f aca="false">IFERROR(__xludf.dummyfunction("""COMPUTED_VALUE"""),45336.6666666667)</f>
        <v>45336.6666666667</v>
      </c>
      <c r="B785" s="5" t="n">
        <f aca="false">IFERROR(__xludf.dummyfunction("""COMPUTED_VALUE"""),129.63)</f>
        <v>129.63</v>
      </c>
      <c r="C785" s="5" t="n">
        <f aca="false">IFERROR(__xludf.dummyfunction("""COMPUTED_VALUE"""),130.79)</f>
        <v>130.79</v>
      </c>
      <c r="D785" s="5" t="n">
        <f aca="false">IFERROR(__xludf.dummyfunction("""COMPUTED_VALUE"""),127.96)</f>
        <v>127.96</v>
      </c>
      <c r="E785" s="5" t="n">
        <f aca="false">IFERROR(__xludf.dummyfunction("""COMPUTED_VALUE"""),129.27)</f>
        <v>129.27</v>
      </c>
      <c r="F785" s="5" t="n">
        <f aca="false">IFERROR(__xludf.dummyfunction("""COMPUTED_VALUE"""),13069689)</f>
        <v>13069689</v>
      </c>
    </row>
    <row r="786" customFormat="false" ht="15.75" hidden="false" customHeight="false" outlineLevel="0" collapsed="false">
      <c r="A786" s="6" t="n">
        <f aca="false">IFERROR(__xludf.dummyfunction("""COMPUTED_VALUE"""),45337.6666666667)</f>
        <v>45337.6666666667</v>
      </c>
      <c r="B786" s="5" t="n">
        <f aca="false">IFERROR(__xludf.dummyfunction("""COMPUTED_VALUE"""),130.8)</f>
        <v>130.8</v>
      </c>
      <c r="C786" s="5" t="n">
        <f aca="false">IFERROR(__xludf.dummyfunction("""COMPUTED_VALUE"""),131.13)</f>
        <v>131.13</v>
      </c>
      <c r="D786" s="5" t="n">
        <f aca="false">IFERROR(__xludf.dummyfunction("""COMPUTED_VALUE"""),128.35)</f>
        <v>128.35</v>
      </c>
      <c r="E786" s="5" t="n">
        <f aca="false">IFERROR(__xludf.dummyfunction("""COMPUTED_VALUE"""),129.03)</f>
        <v>129.03</v>
      </c>
      <c r="F786" s="5" t="n">
        <f aca="false">IFERROR(__xludf.dummyfunction("""COMPUTED_VALUE"""),12553979)</f>
        <v>12553979</v>
      </c>
    </row>
    <row r="787" customFormat="false" ht="15.75" hidden="false" customHeight="false" outlineLevel="0" collapsed="false">
      <c r="A787" s="6" t="n">
        <f aca="false">IFERROR(__xludf.dummyfunction("""COMPUTED_VALUE"""),45338.6666666667)</f>
        <v>45338.6666666667</v>
      </c>
      <c r="B787" s="5" t="n">
        <f aca="false">IFERROR(__xludf.dummyfunction("""COMPUTED_VALUE"""),127.13)</f>
        <v>127.13</v>
      </c>
      <c r="C787" s="5" t="n">
        <f aca="false">IFERROR(__xludf.dummyfunction("""COMPUTED_VALUE"""),128.64)</f>
        <v>128.64</v>
      </c>
      <c r="D787" s="5" t="n">
        <f aca="false">IFERROR(__xludf.dummyfunction("""COMPUTED_VALUE"""),125.81)</f>
        <v>125.81</v>
      </c>
      <c r="E787" s="5" t="n">
        <f aca="false">IFERROR(__xludf.dummyfunction("""COMPUTED_VALUE"""),126.69)</f>
        <v>126.69</v>
      </c>
      <c r="F787" s="5" t="n">
        <f aca="false">IFERROR(__xludf.dummyfunction("""COMPUTED_VALUE"""),13104415)</f>
        <v>13104415</v>
      </c>
    </row>
    <row r="788" customFormat="false" ht="15.75" hidden="false" customHeight="false" outlineLevel="0" collapsed="false">
      <c r="A788" s="6" t="n">
        <f aca="false">IFERROR(__xludf.dummyfunction("""COMPUTED_VALUE"""),45342.6666666667)</f>
        <v>45342.6666666667</v>
      </c>
      <c r="B788" s="5" t="n">
        <f aca="false">IFERROR(__xludf.dummyfunction("""COMPUTED_VALUE"""),126.89)</f>
        <v>126.89</v>
      </c>
      <c r="C788" s="5" t="n">
        <f aca="false">IFERROR(__xludf.dummyfunction("""COMPUTED_VALUE"""),127.06)</f>
        <v>127.06</v>
      </c>
      <c r="D788" s="5" t="n">
        <f aca="false">IFERROR(__xludf.dummyfunction("""COMPUTED_VALUE"""),124.15)</f>
        <v>124.15</v>
      </c>
      <c r="E788" s="5" t="n">
        <f aca="false">IFERROR(__xludf.dummyfunction("""COMPUTED_VALUE"""),125.33)</f>
        <v>125.33</v>
      </c>
      <c r="F788" s="5" t="n">
        <f aca="false">IFERROR(__xludf.dummyfunction("""COMPUTED_VALUE"""),12038783)</f>
        <v>12038783</v>
      </c>
    </row>
    <row r="789" customFormat="false" ht="15.75" hidden="false" customHeight="false" outlineLevel="0" collapsed="false">
      <c r="A789" s="6" t="n">
        <f aca="false">IFERROR(__xludf.dummyfunction("""COMPUTED_VALUE"""),45343.6666666667)</f>
        <v>45343.6666666667</v>
      </c>
      <c r="B789" s="5" t="n">
        <f aca="false">IFERROR(__xludf.dummyfunction("""COMPUTED_VALUE"""),124.43)</f>
        <v>124.43</v>
      </c>
      <c r="C789" s="5" t="n">
        <f aca="false">IFERROR(__xludf.dummyfunction("""COMPUTED_VALUE"""),125.38)</f>
        <v>125.38</v>
      </c>
      <c r="D789" s="5" t="n">
        <f aca="false">IFERROR(__xludf.dummyfunction("""COMPUTED_VALUE"""),122.91)</f>
        <v>122.91</v>
      </c>
      <c r="E789" s="5" t="n">
        <f aca="false">IFERROR(__xludf.dummyfunction("""COMPUTED_VALUE"""),125.34)</f>
        <v>125.34</v>
      </c>
      <c r="F789" s="5" t="n">
        <f aca="false">IFERROR(__xludf.dummyfunction("""COMPUTED_VALUE"""),11578140)</f>
        <v>11578140</v>
      </c>
    </row>
    <row r="790" customFormat="false" ht="15.75" hidden="false" customHeight="false" outlineLevel="0" collapsed="false">
      <c r="A790" s="6" t="n">
        <f aca="false">IFERROR(__xludf.dummyfunction("""COMPUTED_VALUE"""),45344.6666666667)</f>
        <v>45344.6666666667</v>
      </c>
      <c r="B790" s="5" t="n">
        <f aca="false">IFERROR(__xludf.dummyfunction("""COMPUTED_VALUE"""),129.69)</f>
        <v>129.69</v>
      </c>
      <c r="C790" s="5" t="n">
        <f aca="false">IFERROR(__xludf.dummyfunction("""COMPUTED_VALUE"""),131.48)</f>
        <v>131.48</v>
      </c>
      <c r="D790" s="5" t="n">
        <f aca="false">IFERROR(__xludf.dummyfunction("""COMPUTED_VALUE"""),129)</f>
        <v>129</v>
      </c>
      <c r="E790" s="5" t="n">
        <f aca="false">IFERROR(__xludf.dummyfunction("""COMPUTED_VALUE"""),129.07)</f>
        <v>129.07</v>
      </c>
      <c r="F790" s="5" t="n">
        <f aca="false">IFERROR(__xludf.dummyfunction("""COMPUTED_VALUE"""),17014124)</f>
        <v>17014124</v>
      </c>
    </row>
    <row r="791" customFormat="false" ht="15.75" hidden="false" customHeight="false" outlineLevel="0" collapsed="false">
      <c r="A791" s="6" t="n">
        <f aca="false">IFERROR(__xludf.dummyfunction("""COMPUTED_VALUE"""),45345.6666666667)</f>
        <v>45345.6666666667</v>
      </c>
      <c r="B791" s="5" t="n">
        <f aca="false">IFERROR(__xludf.dummyfunction("""COMPUTED_VALUE"""),130.5)</f>
        <v>130.5</v>
      </c>
      <c r="C791" s="5" t="n">
        <f aca="false">IFERROR(__xludf.dummyfunction("""COMPUTED_VALUE"""),131.01)</f>
        <v>131.01</v>
      </c>
      <c r="D791" s="5" t="n">
        <f aca="false">IFERROR(__xludf.dummyfunction("""COMPUTED_VALUE"""),127.73)</f>
        <v>127.73</v>
      </c>
      <c r="E791" s="5" t="n">
        <f aca="false">IFERROR(__xludf.dummyfunction("""COMPUTED_VALUE"""),129.53)</f>
        <v>129.53</v>
      </c>
      <c r="F791" s="5" t="n">
        <f aca="false">IFERROR(__xludf.dummyfunction("""COMPUTED_VALUE"""),10123345)</f>
        <v>10123345</v>
      </c>
    </row>
    <row r="792" customFormat="false" ht="15.75" hidden="false" customHeight="false" outlineLevel="0" collapsed="false">
      <c r="A792" s="6" t="n">
        <f aca="false">IFERROR(__xludf.dummyfunction("""COMPUTED_VALUE"""),45348.6666666667)</f>
        <v>45348.6666666667</v>
      </c>
      <c r="B792" s="5" t="n">
        <f aca="false">IFERROR(__xludf.dummyfunction("""COMPUTED_VALUE"""),130.02)</f>
        <v>130.02</v>
      </c>
      <c r="C792" s="5" t="n">
        <f aca="false">IFERROR(__xludf.dummyfunction("""COMPUTED_VALUE"""),131.23)</f>
        <v>131.23</v>
      </c>
      <c r="D792" s="5" t="n">
        <f aca="false">IFERROR(__xludf.dummyfunction("""COMPUTED_VALUE"""),128.56)</f>
        <v>128.56</v>
      </c>
      <c r="E792" s="5" t="n">
        <f aca="false">IFERROR(__xludf.dummyfunction("""COMPUTED_VALUE"""),130.64)</f>
        <v>130.64</v>
      </c>
      <c r="F792" s="5" t="n">
        <f aca="false">IFERROR(__xludf.dummyfunction("""COMPUTED_VALUE"""),9526723)</f>
        <v>9526723</v>
      </c>
    </row>
    <row r="793" customFormat="false" ht="15.75" hidden="false" customHeight="false" outlineLevel="0" collapsed="false">
      <c r="A793" s="6" t="n">
        <f aca="false">IFERROR(__xludf.dummyfunction("""COMPUTED_VALUE"""),45349.6666666667)</f>
        <v>45349.6666666667</v>
      </c>
      <c r="B793" s="5" t="n">
        <f aca="false">IFERROR(__xludf.dummyfunction("""COMPUTED_VALUE"""),130.77)</f>
        <v>130.77</v>
      </c>
      <c r="C793" s="5" t="n">
        <f aca="false">IFERROR(__xludf.dummyfunction("""COMPUTED_VALUE"""),131.97)</f>
        <v>131.97</v>
      </c>
      <c r="D793" s="5" t="n">
        <f aca="false">IFERROR(__xludf.dummyfunction("""COMPUTED_VALUE"""),128.59)</f>
        <v>128.59</v>
      </c>
      <c r="E793" s="5" t="n">
        <f aca="false">IFERROR(__xludf.dummyfunction("""COMPUTED_VALUE"""),128.59)</f>
        <v>128.59</v>
      </c>
      <c r="F793" s="5" t="n">
        <f aca="false">IFERROR(__xludf.dummyfunction("""COMPUTED_VALUE"""),8851789)</f>
        <v>8851789</v>
      </c>
    </row>
    <row r="794" customFormat="false" ht="15.75" hidden="false" customHeight="false" outlineLevel="0" collapsed="false">
      <c r="A794" s="6" t="n">
        <f aca="false">IFERROR(__xludf.dummyfunction("""COMPUTED_VALUE"""),45350.6666666667)</f>
        <v>45350.6666666667</v>
      </c>
      <c r="B794" s="5" t="n">
        <f aca="false">IFERROR(__xludf.dummyfunction("""COMPUTED_VALUE"""),128.5)</f>
        <v>128.5</v>
      </c>
      <c r="C794" s="5" t="n">
        <f aca="false">IFERROR(__xludf.dummyfunction("""COMPUTED_VALUE"""),128.58)</f>
        <v>128.58</v>
      </c>
      <c r="D794" s="5" t="n">
        <f aca="false">IFERROR(__xludf.dummyfunction("""COMPUTED_VALUE"""),126.65)</f>
        <v>126.65</v>
      </c>
      <c r="E794" s="5" t="n">
        <f aca="false">IFERROR(__xludf.dummyfunction("""COMPUTED_VALUE"""),127.38)</f>
        <v>127.38</v>
      </c>
      <c r="F794" s="5" t="n">
        <f aca="false">IFERROR(__xludf.dummyfunction("""COMPUTED_VALUE"""),6519095)</f>
        <v>6519095</v>
      </c>
    </row>
    <row r="795" customFormat="false" ht="15.75" hidden="false" customHeight="false" outlineLevel="0" collapsed="false">
      <c r="A795" s="6" t="n">
        <f aca="false">IFERROR(__xludf.dummyfunction("""COMPUTED_VALUE"""),45351.6666666667)</f>
        <v>45351.6666666667</v>
      </c>
      <c r="B795" s="5" t="n">
        <f aca="false">IFERROR(__xludf.dummyfunction("""COMPUTED_VALUE"""),128.03)</f>
        <v>128.03</v>
      </c>
      <c r="C795" s="5" t="n">
        <f aca="false">IFERROR(__xludf.dummyfunction("""COMPUTED_VALUE"""),129.19)</f>
        <v>129.19</v>
      </c>
      <c r="D795" s="5" t="n">
        <f aca="false">IFERROR(__xludf.dummyfunction("""COMPUTED_VALUE"""),127.15)</f>
        <v>127.15</v>
      </c>
      <c r="E795" s="5" t="n">
        <f aca="false">IFERROR(__xludf.dummyfunction("""COMPUTED_VALUE"""),128.67)</f>
        <v>128.67</v>
      </c>
      <c r="F795" s="5" t="n">
        <f aca="false">IFERROR(__xludf.dummyfunction("""COMPUTED_VALUE"""),9369902)</f>
        <v>9369902</v>
      </c>
    </row>
    <row r="796" customFormat="false" ht="15.75" hidden="false" customHeight="false" outlineLevel="0" collapsed="false">
      <c r="A796" s="6" t="n">
        <f aca="false">IFERROR(__xludf.dummyfunction("""COMPUTED_VALUE"""),45352.6666666667)</f>
        <v>45352.6666666667</v>
      </c>
      <c r="B796" s="5" t="n">
        <f aca="false">IFERROR(__xludf.dummyfunction("""COMPUTED_VALUE"""),130.13)</f>
        <v>130.13</v>
      </c>
      <c r="C796" s="5" t="n">
        <f aca="false">IFERROR(__xludf.dummyfunction("""COMPUTED_VALUE"""),136.65)</f>
        <v>136.65</v>
      </c>
      <c r="D796" s="5" t="n">
        <f aca="false">IFERROR(__xludf.dummyfunction("""COMPUTED_VALUE"""),130.1)</f>
        <v>130.1</v>
      </c>
      <c r="E796" s="5" t="n">
        <f aca="false">IFERROR(__xludf.dummyfunction("""COMPUTED_VALUE"""),133.9)</f>
        <v>133.9</v>
      </c>
      <c r="F796" s="5" t="n">
        <f aca="false">IFERROR(__xludf.dummyfunction("""COMPUTED_VALUE"""),24393047)</f>
        <v>24393047</v>
      </c>
    </row>
    <row r="797" customFormat="false" ht="15.75" hidden="false" customHeight="false" outlineLevel="0" collapsed="false">
      <c r="A797" s="6" t="n">
        <f aca="false">IFERROR(__xludf.dummyfunction("""COMPUTED_VALUE"""),45355.6666666667)</f>
        <v>45355.6666666667</v>
      </c>
      <c r="B797" s="5" t="n">
        <f aca="false">IFERROR(__xludf.dummyfunction("""COMPUTED_VALUE"""),139.94)</f>
        <v>139.94</v>
      </c>
      <c r="C797" s="5" t="n">
        <f aca="false">IFERROR(__xludf.dummyfunction("""COMPUTED_VALUE"""),141.99)</f>
        <v>141.99</v>
      </c>
      <c r="D797" s="5" t="n">
        <f aca="false">IFERROR(__xludf.dummyfunction("""COMPUTED_VALUE"""),137.68)</f>
        <v>137.68</v>
      </c>
      <c r="E797" s="5" t="n">
        <f aca="false">IFERROR(__xludf.dummyfunction("""COMPUTED_VALUE"""),138.26)</f>
        <v>138.26</v>
      </c>
      <c r="F797" s="5" t="n">
        <f aca="false">IFERROR(__xludf.dummyfunction("""COMPUTED_VALUE"""),26544607)</f>
        <v>26544607</v>
      </c>
    </row>
    <row r="798" customFormat="false" ht="15.75" hidden="false" customHeight="false" outlineLevel="0" collapsed="false">
      <c r="A798" s="6" t="n">
        <f aca="false">IFERROR(__xludf.dummyfunction("""COMPUTED_VALUE"""),45356.6666666667)</f>
        <v>45356.6666666667</v>
      </c>
      <c r="B798" s="5" t="n">
        <f aca="false">IFERROR(__xludf.dummyfunction("""COMPUTED_VALUE"""),137.12)</f>
        <v>137.12</v>
      </c>
      <c r="C798" s="5" t="n">
        <f aca="false">IFERROR(__xludf.dummyfunction("""COMPUTED_VALUE"""),137.43)</f>
        <v>137.43</v>
      </c>
      <c r="D798" s="5" t="n">
        <f aca="false">IFERROR(__xludf.dummyfunction("""COMPUTED_VALUE"""),133.73)</f>
        <v>133.73</v>
      </c>
      <c r="E798" s="5" t="n">
        <f aca="false">IFERROR(__xludf.dummyfunction("""COMPUTED_VALUE"""),134.97)</f>
        <v>134.97</v>
      </c>
      <c r="F798" s="5" t="n">
        <f aca="false">IFERROR(__xludf.dummyfunction("""COMPUTED_VALUE"""),13694693)</f>
        <v>13694693</v>
      </c>
    </row>
    <row r="799" customFormat="false" ht="15.75" hidden="false" customHeight="false" outlineLevel="0" collapsed="false">
      <c r="A799" s="6" t="n">
        <f aca="false">IFERROR(__xludf.dummyfunction("""COMPUTED_VALUE"""),45357.6666666667)</f>
        <v>45357.6666666667</v>
      </c>
      <c r="B799" s="5" t="n">
        <f aca="false">IFERROR(__xludf.dummyfunction("""COMPUTED_VALUE"""),138.8)</f>
        <v>138.8</v>
      </c>
      <c r="C799" s="5" t="n">
        <f aca="false">IFERROR(__xludf.dummyfunction("""COMPUTED_VALUE"""),144)</f>
        <v>144</v>
      </c>
      <c r="D799" s="5" t="n">
        <f aca="false">IFERROR(__xludf.dummyfunction("""COMPUTED_VALUE"""),138.61)</f>
        <v>138.61</v>
      </c>
      <c r="E799" s="5" t="n">
        <f aca="false">IFERROR(__xludf.dummyfunction("""COMPUTED_VALUE"""),141.57)</f>
        <v>141.57</v>
      </c>
      <c r="F799" s="5" t="n">
        <f aca="false">IFERROR(__xludf.dummyfunction("""COMPUTED_VALUE"""),22292689)</f>
        <v>22292689</v>
      </c>
    </row>
    <row r="800" customFormat="false" ht="15.75" hidden="false" customHeight="false" outlineLevel="0" collapsed="false">
      <c r="A800" s="6" t="n">
        <f aca="false">IFERROR(__xludf.dummyfunction("""COMPUTED_VALUE"""),45358.6666666667)</f>
        <v>45358.6666666667</v>
      </c>
      <c r="B800" s="5" t="n">
        <f aca="false">IFERROR(__xludf.dummyfunction("""COMPUTED_VALUE"""),144.9)</f>
        <v>144.9</v>
      </c>
      <c r="C800" s="5" t="n">
        <f aca="false">IFERROR(__xludf.dummyfunction("""COMPUTED_VALUE"""),151.6)</f>
        <v>151.6</v>
      </c>
      <c r="D800" s="5" t="n">
        <f aca="false">IFERROR(__xludf.dummyfunction("""COMPUTED_VALUE"""),144.15)</f>
        <v>144.15</v>
      </c>
      <c r="E800" s="5" t="n">
        <f aca="false">IFERROR(__xludf.dummyfunction("""COMPUTED_VALUE"""),149.2)</f>
        <v>149.2</v>
      </c>
      <c r="F800" s="5" t="n">
        <f aca="false">IFERROR(__xludf.dummyfunction("""COMPUTED_VALUE"""),34675734)</f>
        <v>34675734</v>
      </c>
    </row>
    <row r="801" customFormat="false" ht="15.75" hidden="false" customHeight="false" outlineLevel="0" collapsed="false">
      <c r="A801" s="6" t="n">
        <f aca="false">IFERROR(__xludf.dummyfunction("""COMPUTED_VALUE"""),45359.6666666667)</f>
        <v>45359.6666666667</v>
      </c>
      <c r="B801" s="5" t="n">
        <f aca="false">IFERROR(__xludf.dummyfunction("""COMPUTED_VALUE"""),153.9)</f>
        <v>153.9</v>
      </c>
      <c r="C801" s="5" t="n">
        <f aca="false">IFERROR(__xludf.dummyfunction("""COMPUTED_VALUE"""),158.4)</f>
        <v>158.4</v>
      </c>
      <c r="D801" s="5" t="n">
        <f aca="false">IFERROR(__xludf.dummyfunction("""COMPUTED_VALUE"""),144.93)</f>
        <v>144.93</v>
      </c>
      <c r="E801" s="5" t="n">
        <f aca="false">IFERROR(__xludf.dummyfunction("""COMPUTED_VALUE"""),146.37)</f>
        <v>146.37</v>
      </c>
      <c r="F801" s="5" t="n">
        <f aca="false">IFERROR(__xludf.dummyfunction("""COMPUTED_VALUE"""),43856881)</f>
        <v>43856881</v>
      </c>
    </row>
    <row r="802" customFormat="false" ht="15.75" hidden="false" customHeight="false" outlineLevel="0" collapsed="false">
      <c r="A802" s="6" t="n">
        <f aca="false">IFERROR(__xludf.dummyfunction("""COMPUTED_VALUE"""),45362.6666666667)</f>
        <v>45362.6666666667</v>
      </c>
      <c r="B802" s="5" t="n">
        <f aca="false">IFERROR(__xludf.dummyfunction("""COMPUTED_VALUE"""),143.62)</f>
        <v>143.62</v>
      </c>
      <c r="C802" s="5" t="n">
        <f aca="false">IFERROR(__xludf.dummyfunction("""COMPUTED_VALUE"""),144.4)</f>
        <v>144.4</v>
      </c>
      <c r="D802" s="5" t="n">
        <f aca="false">IFERROR(__xludf.dummyfunction("""COMPUTED_VALUE"""),138.93)</f>
        <v>138.93</v>
      </c>
      <c r="E802" s="5" t="n">
        <f aca="false">IFERROR(__xludf.dummyfunction("""COMPUTED_VALUE"""),139.02)</f>
        <v>139.02</v>
      </c>
      <c r="F802" s="5" t="n">
        <f aca="false">IFERROR(__xludf.dummyfunction("""COMPUTED_VALUE"""),29227113)</f>
        <v>29227113</v>
      </c>
    </row>
    <row r="803" customFormat="false" ht="15.75" hidden="false" customHeight="false" outlineLevel="0" collapsed="false">
      <c r="A803" s="6" t="n">
        <f aca="false">IFERROR(__xludf.dummyfunction("""COMPUTED_VALUE"""),45363.6666666667)</f>
        <v>45363.6666666667</v>
      </c>
      <c r="B803" s="5" t="n">
        <f aca="false">IFERROR(__xludf.dummyfunction("""COMPUTED_VALUE"""),144.52)</f>
        <v>144.52</v>
      </c>
      <c r="C803" s="5" t="n">
        <f aca="false">IFERROR(__xludf.dummyfunction("""COMPUTED_VALUE"""),146.7)</f>
        <v>146.7</v>
      </c>
      <c r="D803" s="5" t="n">
        <f aca="false">IFERROR(__xludf.dummyfunction("""COMPUTED_VALUE"""),140.57)</f>
        <v>140.57</v>
      </c>
      <c r="E803" s="5" t="n">
        <f aca="false">IFERROR(__xludf.dummyfunction("""COMPUTED_VALUE"""),144.4)</f>
        <v>144.4</v>
      </c>
      <c r="F803" s="5" t="n">
        <f aca="false">IFERROR(__xludf.dummyfunction("""COMPUTED_VALUE"""),21218495)</f>
        <v>21218495</v>
      </c>
    </row>
    <row r="804" customFormat="false" ht="15.75" hidden="false" customHeight="false" outlineLevel="0" collapsed="false">
      <c r="A804" s="6" t="n">
        <f aca="false">IFERROR(__xludf.dummyfunction("""COMPUTED_VALUE"""),45364.6666666667)</f>
        <v>45364.6666666667</v>
      </c>
      <c r="B804" s="5" t="n">
        <f aca="false">IFERROR(__xludf.dummyfunction("""COMPUTED_VALUE"""),143.05)</f>
        <v>143.05</v>
      </c>
      <c r="C804" s="5" t="n">
        <f aca="false">IFERROR(__xludf.dummyfunction("""COMPUTED_VALUE"""),143.23)</f>
        <v>143.23</v>
      </c>
      <c r="D804" s="5" t="n">
        <f aca="false">IFERROR(__xludf.dummyfunction("""COMPUTED_VALUE"""),141.37)</f>
        <v>141.37</v>
      </c>
      <c r="E804" s="5" t="n">
        <f aca="false">IFERROR(__xludf.dummyfunction("""COMPUTED_VALUE"""),142.14)</f>
        <v>142.14</v>
      </c>
      <c r="F804" s="5" t="n">
        <f aca="false">IFERROR(__xludf.dummyfunction("""COMPUTED_VALUE"""),12923058)</f>
        <v>12923058</v>
      </c>
    </row>
    <row r="805" customFormat="false" ht="15.75" hidden="false" customHeight="false" outlineLevel="0" collapsed="false">
      <c r="A805" s="6" t="n">
        <f aca="false">IFERROR(__xludf.dummyfunction("""COMPUTED_VALUE"""),45365.6666666667)</f>
        <v>45365.6666666667</v>
      </c>
      <c r="B805" s="5" t="n">
        <f aca="false">IFERROR(__xludf.dummyfunction("""COMPUTED_VALUE"""),142.61)</f>
        <v>142.61</v>
      </c>
      <c r="C805" s="5" t="n">
        <f aca="false">IFERROR(__xludf.dummyfunction("""COMPUTED_VALUE"""),143.1)</f>
        <v>143.1</v>
      </c>
      <c r="D805" s="5" t="n">
        <f aca="false">IFERROR(__xludf.dummyfunction("""COMPUTED_VALUE"""),139.02)</f>
        <v>139.02</v>
      </c>
      <c r="E805" s="5" t="n">
        <f aca="false">IFERROR(__xludf.dummyfunction("""COMPUTED_VALUE"""),139.62)</f>
        <v>139.62</v>
      </c>
      <c r="F805" s="5" t="n">
        <f aca="false">IFERROR(__xludf.dummyfunction("""COMPUTED_VALUE"""),14961903)</f>
        <v>14961903</v>
      </c>
    </row>
    <row r="806" customFormat="false" ht="15.75" hidden="false" customHeight="false" outlineLevel="0" collapsed="false">
      <c r="A806" s="6" t="n">
        <f aca="false">IFERROR(__xludf.dummyfunction("""COMPUTED_VALUE"""),45366.6666666667)</f>
        <v>45366.6666666667</v>
      </c>
      <c r="B806" s="5" t="n">
        <f aca="false">IFERROR(__xludf.dummyfunction("""COMPUTED_VALUE"""),135.44)</f>
        <v>135.44</v>
      </c>
      <c r="C806" s="5" t="n">
        <f aca="false">IFERROR(__xludf.dummyfunction("""COMPUTED_VALUE"""),137.7)</f>
        <v>137.7</v>
      </c>
      <c r="D806" s="5" t="n">
        <f aca="false">IFERROR(__xludf.dummyfunction("""COMPUTED_VALUE"""),134.63)</f>
        <v>134.63</v>
      </c>
      <c r="E806" s="5" t="n">
        <f aca="false">IFERROR(__xludf.dummyfunction("""COMPUTED_VALUE"""),136.98)</f>
        <v>136.98</v>
      </c>
      <c r="F806" s="5" t="n">
        <f aca="false">IFERROR(__xludf.dummyfunction("""COMPUTED_VALUE"""),22751213)</f>
        <v>22751213</v>
      </c>
    </row>
    <row r="807" customFormat="false" ht="15.75" hidden="false" customHeight="false" outlineLevel="0" collapsed="false">
      <c r="A807" s="6" t="n">
        <f aca="false">IFERROR(__xludf.dummyfunction("""COMPUTED_VALUE"""),45369.6666666667)</f>
        <v>45369.6666666667</v>
      </c>
      <c r="B807" s="5" t="n">
        <f aca="false">IFERROR(__xludf.dummyfunction("""COMPUTED_VALUE"""),140.18)</f>
        <v>140.18</v>
      </c>
      <c r="C807" s="5" t="n">
        <f aca="false">IFERROR(__xludf.dummyfunction("""COMPUTED_VALUE"""),141.54)</f>
        <v>141.54</v>
      </c>
      <c r="D807" s="5" t="n">
        <f aca="false">IFERROR(__xludf.dummyfunction("""COMPUTED_VALUE"""),136.61)</f>
        <v>136.61</v>
      </c>
      <c r="E807" s="5" t="n">
        <f aca="false">IFERROR(__xludf.dummyfunction("""COMPUTED_VALUE"""),136.64)</f>
        <v>136.64</v>
      </c>
      <c r="F807" s="5" t="n">
        <f aca="false">IFERROR(__xludf.dummyfunction("""COMPUTED_VALUE"""),14732899)</f>
        <v>14732899</v>
      </c>
    </row>
    <row r="808" customFormat="false" ht="15.75" hidden="false" customHeight="false" outlineLevel="0" collapsed="false">
      <c r="A808" s="6" t="n">
        <f aca="false">IFERROR(__xludf.dummyfunction("""COMPUTED_VALUE"""),45370.6666666667)</f>
        <v>45370.6666666667</v>
      </c>
      <c r="B808" s="5" t="n">
        <f aca="false">IFERROR(__xludf.dummyfunction("""COMPUTED_VALUE"""),135.3)</f>
        <v>135.3</v>
      </c>
      <c r="C808" s="5" t="n">
        <f aca="false">IFERROR(__xludf.dummyfunction("""COMPUTED_VALUE"""),136.27)</f>
        <v>136.27</v>
      </c>
      <c r="D808" s="5" t="n">
        <f aca="false">IFERROR(__xludf.dummyfunction("""COMPUTED_VALUE"""),133.03)</f>
        <v>133.03</v>
      </c>
      <c r="E808" s="5" t="n">
        <f aca="false">IFERROR(__xludf.dummyfunction("""COMPUTED_VALUE"""),134.87)</f>
        <v>134.87</v>
      </c>
      <c r="F808" s="5" t="n">
        <f aca="false">IFERROR(__xludf.dummyfunction("""COMPUTED_VALUE"""),17341128)</f>
        <v>17341128</v>
      </c>
    </row>
    <row r="809" customFormat="false" ht="15.75" hidden="false" customHeight="false" outlineLevel="0" collapsed="false">
      <c r="A809" s="6" t="n">
        <f aca="false">IFERROR(__xludf.dummyfunction("""COMPUTED_VALUE"""),45371.6666666667)</f>
        <v>45371.6666666667</v>
      </c>
      <c r="B809" s="5" t="n">
        <f aca="false">IFERROR(__xludf.dummyfunction("""COMPUTED_VALUE"""),136.53)</f>
        <v>136.53</v>
      </c>
      <c r="C809" s="5" t="n">
        <f aca="false">IFERROR(__xludf.dummyfunction("""COMPUTED_VALUE"""),137.31)</f>
        <v>137.31</v>
      </c>
      <c r="D809" s="5" t="n">
        <f aca="false">IFERROR(__xludf.dummyfunction("""COMPUTED_VALUE"""),135.01)</f>
        <v>135.01</v>
      </c>
      <c r="E809" s="5" t="n">
        <f aca="false">IFERROR(__xludf.dummyfunction("""COMPUTED_VALUE"""),136.75)</f>
        <v>136.75</v>
      </c>
      <c r="F809" s="5" t="n">
        <f aca="false">IFERROR(__xludf.dummyfunction("""COMPUTED_VALUE"""),12750230)</f>
        <v>12750230</v>
      </c>
    </row>
    <row r="810" customFormat="false" ht="15.75" hidden="false" customHeight="false" outlineLevel="0" collapsed="false">
      <c r="A810" s="6" t="n">
        <f aca="false">IFERROR(__xludf.dummyfunction("""COMPUTED_VALUE"""),45372.6666666667)</f>
        <v>45372.6666666667</v>
      </c>
      <c r="B810" s="5" t="n">
        <f aca="false">IFERROR(__xludf.dummyfunction("""COMPUTED_VALUE"""),142.55)</f>
        <v>142.55</v>
      </c>
      <c r="C810" s="5" t="n">
        <f aca="false">IFERROR(__xludf.dummyfunction("""COMPUTED_VALUE"""),142.6)</f>
        <v>142.6</v>
      </c>
      <c r="D810" s="5" t="n">
        <f aca="false">IFERROR(__xludf.dummyfunction("""COMPUTED_VALUE"""),139.04)</f>
        <v>139.04</v>
      </c>
      <c r="E810" s="5" t="n">
        <f aca="false">IFERROR(__xludf.dummyfunction("""COMPUTED_VALUE"""),139.45)</f>
        <v>139.45</v>
      </c>
      <c r="F810" s="5" t="n">
        <f aca="false">IFERROR(__xludf.dummyfunction("""COMPUTED_VALUE"""),17809393)</f>
        <v>17809393</v>
      </c>
    </row>
    <row r="811" customFormat="false" ht="15.75" hidden="false" customHeight="false" outlineLevel="0" collapsed="false">
      <c r="A811" s="6" t="n">
        <f aca="false">IFERROR(__xludf.dummyfunction("""COMPUTED_VALUE"""),45373.6666666667)</f>
        <v>45373.6666666667</v>
      </c>
      <c r="B811" s="5" t="n">
        <f aca="false">IFERROR(__xludf.dummyfunction("""COMPUTED_VALUE"""),139.4)</f>
        <v>139.4</v>
      </c>
      <c r="C811" s="5" t="n">
        <f aca="false">IFERROR(__xludf.dummyfunction("""COMPUTED_VALUE"""),141.34)</f>
        <v>141.34</v>
      </c>
      <c r="D811" s="5" t="n">
        <f aca="false">IFERROR(__xludf.dummyfunction("""COMPUTED_VALUE"""),139.11)</f>
        <v>139.11</v>
      </c>
      <c r="E811" s="5" t="n">
        <f aca="false">IFERROR(__xludf.dummyfunction("""COMPUTED_VALUE"""),140.54)</f>
        <v>140.54</v>
      </c>
      <c r="F811" s="5" t="n">
        <f aca="false">IFERROR(__xludf.dummyfunction("""COMPUTED_VALUE"""),9944135)</f>
        <v>9944135</v>
      </c>
    </row>
    <row r="812" customFormat="false" ht="15.75" hidden="false" customHeight="false" outlineLevel="0" collapsed="false">
      <c r="A812" s="6" t="n">
        <f aca="false">IFERROR(__xludf.dummyfunction("""COMPUTED_VALUE"""),45376.6666666667)</f>
        <v>45376.6666666667</v>
      </c>
      <c r="B812" s="5" t="n">
        <f aca="false">IFERROR(__xludf.dummyfunction("""COMPUTED_VALUE"""),140.16)</f>
        <v>140.16</v>
      </c>
      <c r="C812" s="5" t="n">
        <f aca="false">IFERROR(__xludf.dummyfunction("""COMPUTED_VALUE"""),141.68)</f>
        <v>141.68</v>
      </c>
      <c r="D812" s="5" t="n">
        <f aca="false">IFERROR(__xludf.dummyfunction("""COMPUTED_VALUE"""),139.26)</f>
        <v>139.26</v>
      </c>
      <c r="E812" s="5" t="n">
        <f aca="false">IFERROR(__xludf.dummyfunction("""COMPUTED_VALUE"""),140.23)</f>
        <v>140.23</v>
      </c>
      <c r="F812" s="5" t="n">
        <f aca="false">IFERROR(__xludf.dummyfunction("""COMPUTED_VALUE"""),9922244)</f>
        <v>9922244</v>
      </c>
    </row>
    <row r="813" customFormat="false" ht="15.75" hidden="false" customHeight="false" outlineLevel="0" collapsed="false">
      <c r="A813" s="6" t="n">
        <f aca="false">IFERROR(__xludf.dummyfunction("""COMPUTED_VALUE"""),45377.6666666667)</f>
        <v>45377.6666666667</v>
      </c>
      <c r="B813" s="5" t="n">
        <f aca="false">IFERROR(__xludf.dummyfunction("""COMPUTED_VALUE"""),140.61)</f>
        <v>140.61</v>
      </c>
      <c r="C813" s="5" t="n">
        <f aca="false">IFERROR(__xludf.dummyfunction("""COMPUTED_VALUE"""),140.96)</f>
        <v>140.96</v>
      </c>
      <c r="D813" s="5" t="n">
        <f aca="false">IFERROR(__xludf.dummyfunction("""COMPUTED_VALUE"""),138.64)</f>
        <v>138.64</v>
      </c>
      <c r="E813" s="5" t="n">
        <f aca="false">IFERROR(__xludf.dummyfunction("""COMPUTED_VALUE"""),138.84)</f>
        <v>138.84</v>
      </c>
      <c r="F813" s="5" t="n">
        <f aca="false">IFERROR(__xludf.dummyfunction("""COMPUTED_VALUE"""),10786446)</f>
        <v>10786446</v>
      </c>
    </row>
    <row r="814" customFormat="false" ht="15.75" hidden="false" customHeight="false" outlineLevel="0" collapsed="false">
      <c r="A814" s="6" t="n">
        <f aca="false">IFERROR(__xludf.dummyfunction("""COMPUTED_VALUE"""),45378.6666666667)</f>
        <v>45378.6666666667</v>
      </c>
      <c r="B814" s="5" t="n">
        <f aca="false">IFERROR(__xludf.dummyfunction("""COMPUTED_VALUE"""),138.86)</f>
        <v>138.86</v>
      </c>
      <c r="C814" s="5" t="n">
        <f aca="false">IFERROR(__xludf.dummyfunction("""COMPUTED_VALUE"""),139.28)</f>
        <v>139.28</v>
      </c>
      <c r="D814" s="5" t="n">
        <f aca="false">IFERROR(__xludf.dummyfunction("""COMPUTED_VALUE"""),135.15)</f>
        <v>135.15</v>
      </c>
      <c r="E814" s="5" t="n">
        <f aca="false">IFERROR(__xludf.dummyfunction("""COMPUTED_VALUE"""),136.69)</f>
        <v>136.69</v>
      </c>
      <c r="F814" s="5" t="n">
        <f aca="false">IFERROR(__xludf.dummyfunction("""COMPUTED_VALUE"""),13842815)</f>
        <v>13842815</v>
      </c>
    </row>
    <row r="815" customFormat="false" ht="15.75" hidden="false" customHeight="false" outlineLevel="0" collapsed="false">
      <c r="A815" s="6" t="n">
        <f aca="false">IFERROR(__xludf.dummyfunction("""COMPUTED_VALUE"""),45379.6666666667)</f>
        <v>45379.6666666667</v>
      </c>
      <c r="B815" s="5" t="n">
        <f aca="false">IFERROR(__xludf.dummyfunction("""COMPUTED_VALUE"""),135.68)</f>
        <v>135.68</v>
      </c>
      <c r="C815" s="5" t="n">
        <f aca="false">IFERROR(__xludf.dummyfunction("""COMPUTED_VALUE"""),136.8)</f>
        <v>136.8</v>
      </c>
      <c r="D815" s="5" t="n">
        <f aca="false">IFERROR(__xludf.dummyfunction("""COMPUTED_VALUE"""),135.44)</f>
        <v>135.44</v>
      </c>
      <c r="E815" s="5" t="n">
        <f aca="false">IFERROR(__xludf.dummyfunction("""COMPUTED_VALUE"""),136.05)</f>
        <v>136.05</v>
      </c>
      <c r="F815" s="5" t="n">
        <f aca="false">IFERROR(__xludf.dummyfunction("""COMPUTED_VALUE"""),10019364)</f>
        <v>10019364</v>
      </c>
    </row>
    <row r="816" customFormat="false" ht="15.75" hidden="false" customHeight="false" outlineLevel="0" collapsed="false">
      <c r="A816" s="6" t="n">
        <f aca="false">IFERROR(__xludf.dummyfunction("""COMPUTED_VALUE"""),45383.6666666667)</f>
        <v>45383.6666666667</v>
      </c>
      <c r="B816" s="5" t="n">
        <f aca="false">IFERROR(__xludf.dummyfunction("""COMPUTED_VALUE"""),137.29)</f>
        <v>137.29</v>
      </c>
      <c r="C816" s="5" t="n">
        <f aca="false">IFERROR(__xludf.dummyfunction("""COMPUTED_VALUE"""),142.96)</f>
        <v>142.96</v>
      </c>
      <c r="D816" s="5" t="n">
        <f aca="false">IFERROR(__xludf.dummyfunction("""COMPUTED_VALUE"""),137.05)</f>
        <v>137.05</v>
      </c>
      <c r="E816" s="5" t="n">
        <f aca="false">IFERROR(__xludf.dummyfunction("""COMPUTED_VALUE"""),141.49)</f>
        <v>141.49</v>
      </c>
      <c r="F816" s="5" t="n">
        <f aca="false">IFERROR(__xludf.dummyfunction("""COMPUTED_VALUE"""),14222662)</f>
        <v>14222662</v>
      </c>
    </row>
    <row r="817" customFormat="false" ht="15.75" hidden="false" customHeight="false" outlineLevel="0" collapsed="false">
      <c r="A817" s="6" t="n">
        <f aca="false">IFERROR(__xludf.dummyfunction("""COMPUTED_VALUE"""),45384.6666666667)</f>
        <v>45384.6666666667</v>
      </c>
      <c r="B817" s="5" t="n">
        <f aca="false">IFERROR(__xludf.dummyfunction("""COMPUTED_VALUE"""),140.38)</f>
        <v>140.38</v>
      </c>
      <c r="C817" s="5" t="n">
        <f aca="false">IFERROR(__xludf.dummyfunction("""COMPUTED_VALUE"""),141.04)</f>
        <v>141.04</v>
      </c>
      <c r="D817" s="5" t="n">
        <f aca="false">IFERROR(__xludf.dummyfunction("""COMPUTED_VALUE"""),139.35)</f>
        <v>139.35</v>
      </c>
      <c r="E817" s="5" t="n">
        <f aca="false">IFERROR(__xludf.dummyfunction("""COMPUTED_VALUE"""),140.22)</f>
        <v>140.22</v>
      </c>
      <c r="F817" s="5" t="n">
        <f aca="false">IFERROR(__xludf.dummyfunction("""COMPUTED_VALUE"""),9869172)</f>
        <v>9869172</v>
      </c>
    </row>
    <row r="818" customFormat="false" ht="15.75" hidden="false" customHeight="false" outlineLevel="0" collapsed="false">
      <c r="A818" s="6" t="n">
        <f aca="false">IFERROR(__xludf.dummyfunction("""COMPUTED_VALUE"""),45385.6666666667)</f>
        <v>45385.6666666667</v>
      </c>
      <c r="B818" s="5" t="n">
        <f aca="false">IFERROR(__xludf.dummyfunction("""COMPUTED_VALUE"""),138.58)</f>
        <v>138.58</v>
      </c>
      <c r="C818" s="5" t="n">
        <f aca="false">IFERROR(__xludf.dummyfunction("""COMPUTED_VALUE"""),142.93)</f>
        <v>142.93</v>
      </c>
      <c r="D818" s="5" t="n">
        <f aca="false">IFERROR(__xludf.dummyfunction("""COMPUTED_VALUE"""),138.39)</f>
        <v>138.39</v>
      </c>
      <c r="E818" s="5" t="n">
        <f aca="false">IFERROR(__xludf.dummyfunction("""COMPUTED_VALUE"""),142)</f>
        <v>142</v>
      </c>
      <c r="F818" s="5" t="n">
        <f aca="false">IFERROR(__xludf.dummyfunction("""COMPUTED_VALUE"""),9707518)</f>
        <v>9707518</v>
      </c>
    </row>
    <row r="819" customFormat="false" ht="15.75" hidden="false" customHeight="false" outlineLevel="0" collapsed="false">
      <c r="A819" s="6" t="n">
        <f aca="false">IFERROR(__xludf.dummyfunction("""COMPUTED_VALUE"""),45386.6666666667)</f>
        <v>45386.6666666667</v>
      </c>
      <c r="B819" s="5" t="n">
        <f aca="false">IFERROR(__xludf.dummyfunction("""COMPUTED_VALUE"""),144)</f>
        <v>144</v>
      </c>
      <c r="C819" s="5" t="n">
        <f aca="false">IFERROR(__xludf.dummyfunction("""COMPUTED_VALUE"""),146.75)</f>
        <v>146.75</v>
      </c>
      <c r="D819" s="5" t="n">
        <f aca="false">IFERROR(__xludf.dummyfunction("""COMPUTED_VALUE"""),139.43)</f>
        <v>139.43</v>
      </c>
      <c r="E819" s="5" t="n">
        <f aca="false">IFERROR(__xludf.dummyfunction("""COMPUTED_VALUE"""),139.66)</f>
        <v>139.66</v>
      </c>
      <c r="F819" s="5" t="n">
        <f aca="false">IFERROR(__xludf.dummyfunction("""COMPUTED_VALUE"""),15759510)</f>
        <v>15759510</v>
      </c>
    </row>
    <row r="820" customFormat="false" ht="15.75" hidden="false" customHeight="false" outlineLevel="0" collapsed="false">
      <c r="A820" s="6" t="n">
        <f aca="false">IFERROR(__xludf.dummyfunction("""COMPUTED_VALUE"""),45387.6666666667)</f>
        <v>45387.6666666667</v>
      </c>
      <c r="B820" s="5" t="n">
        <f aca="false">IFERROR(__xludf.dummyfunction("""COMPUTED_VALUE"""),140)</f>
        <v>140</v>
      </c>
      <c r="C820" s="5" t="n">
        <f aca="false">IFERROR(__xludf.dummyfunction("""COMPUTED_VALUE"""),142)</f>
        <v>142</v>
      </c>
      <c r="D820" s="5" t="n">
        <f aca="false">IFERROR(__xludf.dummyfunction("""COMPUTED_VALUE"""),138.92)</f>
        <v>138.92</v>
      </c>
      <c r="E820" s="5" t="n">
        <f aca="false">IFERROR(__xludf.dummyfunction("""COMPUTED_VALUE"""),141.36)</f>
        <v>141.36</v>
      </c>
      <c r="F820" s="5" t="n">
        <f aca="false">IFERROR(__xludf.dummyfunction("""COMPUTED_VALUE"""),8263641)</f>
        <v>8263641</v>
      </c>
    </row>
    <row r="821" customFormat="false" ht="15.75" hidden="false" customHeight="false" outlineLevel="0" collapsed="false">
      <c r="A821" s="6" t="n">
        <f aca="false">IFERROR(__xludf.dummyfunction("""COMPUTED_VALUE"""),45390.6666666667)</f>
        <v>45390.6666666667</v>
      </c>
      <c r="B821" s="5" t="n">
        <f aca="false">IFERROR(__xludf.dummyfunction("""COMPUTED_VALUE"""),145.24)</f>
        <v>145.24</v>
      </c>
      <c r="C821" s="5" t="n">
        <f aca="false">IFERROR(__xludf.dummyfunction("""COMPUTED_VALUE"""),146)</f>
        <v>146</v>
      </c>
      <c r="D821" s="5" t="n">
        <f aca="false">IFERROR(__xludf.dummyfunction("""COMPUTED_VALUE"""),142.76)</f>
        <v>142.76</v>
      </c>
      <c r="E821" s="5" t="n">
        <f aca="false">IFERROR(__xludf.dummyfunction("""COMPUTED_VALUE"""),142.79)</f>
        <v>142.79</v>
      </c>
      <c r="F821" s="5" t="n">
        <f aca="false">IFERROR(__xludf.dummyfunction("""COMPUTED_VALUE"""),16307401)</f>
        <v>16307401</v>
      </c>
    </row>
    <row r="822" customFormat="false" ht="15.75" hidden="false" customHeight="false" outlineLevel="0" collapsed="false">
      <c r="A822" s="6" t="n">
        <f aca="false">IFERROR(__xludf.dummyfunction("""COMPUTED_VALUE"""),45391.6666666667)</f>
        <v>45391.6666666667</v>
      </c>
      <c r="B822" s="5" t="n">
        <f aca="false">IFERROR(__xludf.dummyfunction("""COMPUTED_VALUE"""),146.26)</f>
        <v>146.26</v>
      </c>
      <c r="C822" s="5" t="n">
        <f aca="false">IFERROR(__xludf.dummyfunction("""COMPUTED_VALUE"""),148.17)</f>
        <v>148.17</v>
      </c>
      <c r="D822" s="5" t="n">
        <f aca="false">IFERROR(__xludf.dummyfunction("""COMPUTED_VALUE"""),142.95)</f>
        <v>142.95</v>
      </c>
      <c r="E822" s="5" t="n">
        <f aca="false">IFERROR(__xludf.dummyfunction("""COMPUTED_VALUE"""),145.4)</f>
        <v>145.4</v>
      </c>
      <c r="F822" s="5" t="n">
        <f aca="false">IFERROR(__xludf.dummyfunction("""COMPUTED_VALUE"""),18487980)</f>
        <v>18487980</v>
      </c>
    </row>
    <row r="823" customFormat="false" ht="15.75" hidden="false" customHeight="false" outlineLevel="0" collapsed="false">
      <c r="A823" s="6" t="n">
        <f aca="false">IFERROR(__xludf.dummyfunction("""COMPUTED_VALUE"""),45392.6666666667)</f>
        <v>45392.6666666667</v>
      </c>
      <c r="B823" s="5" t="n">
        <f aca="false">IFERROR(__xludf.dummyfunction("""COMPUTED_VALUE"""),146.63)</f>
        <v>146.63</v>
      </c>
      <c r="C823" s="5" t="n">
        <f aca="false">IFERROR(__xludf.dummyfunction("""COMPUTED_VALUE"""),148.43)</f>
        <v>148.43</v>
      </c>
      <c r="D823" s="5" t="n">
        <f aca="false">IFERROR(__xludf.dummyfunction("""COMPUTED_VALUE"""),145.26)</f>
        <v>145.26</v>
      </c>
      <c r="E823" s="5" t="n">
        <f aca="false">IFERROR(__xludf.dummyfunction("""COMPUTED_VALUE"""),146.22)</f>
        <v>146.22</v>
      </c>
      <c r="F823" s="5" t="n">
        <f aca="false">IFERROR(__xludf.dummyfunction("""COMPUTED_VALUE"""),18861324)</f>
        <v>18861324</v>
      </c>
    </row>
    <row r="824" customFormat="false" ht="15.75" hidden="false" customHeight="false" outlineLevel="0" collapsed="false">
      <c r="A824" s="6" t="n">
        <f aca="false">IFERROR(__xludf.dummyfunction("""COMPUTED_VALUE"""),45393.6666666667)</f>
        <v>45393.6666666667</v>
      </c>
      <c r="B824" s="5" t="n">
        <f aca="false">IFERROR(__xludf.dummyfunction("""COMPUTED_VALUE"""),147.2)</f>
        <v>147.2</v>
      </c>
      <c r="C824" s="5" t="n">
        <f aca="false">IFERROR(__xludf.dummyfunction("""COMPUTED_VALUE"""),147.56)</f>
        <v>147.56</v>
      </c>
      <c r="D824" s="5" t="n">
        <f aca="false">IFERROR(__xludf.dummyfunction("""COMPUTED_VALUE"""),144.13)</f>
        <v>144.13</v>
      </c>
      <c r="E824" s="5" t="n">
        <f aca="false">IFERROR(__xludf.dummyfunction("""COMPUTED_VALUE"""),147.2)</f>
        <v>147.2</v>
      </c>
      <c r="F824" s="5" t="n">
        <f aca="false">IFERROR(__xludf.dummyfunction("""COMPUTED_VALUE"""),11818761)</f>
        <v>11818761</v>
      </c>
    </row>
    <row r="825" customFormat="false" ht="15.75" hidden="false" customHeight="false" outlineLevel="0" collapsed="false">
      <c r="A825" s="6" t="n">
        <f aca="false">IFERROR(__xludf.dummyfunction("""COMPUTED_VALUE"""),45394.6666666667)</f>
        <v>45394.6666666667</v>
      </c>
      <c r="B825" s="5" t="n">
        <f aca="false">IFERROR(__xludf.dummyfunction("""COMPUTED_VALUE"""),145)</f>
        <v>145</v>
      </c>
      <c r="C825" s="5" t="n">
        <f aca="false">IFERROR(__xludf.dummyfunction("""COMPUTED_VALUE"""),146.51)</f>
        <v>146.51</v>
      </c>
      <c r="D825" s="5" t="n">
        <f aca="false">IFERROR(__xludf.dummyfunction("""COMPUTED_VALUE"""),142.15)</f>
        <v>142.15</v>
      </c>
      <c r="E825" s="5" t="n">
        <f aca="false">IFERROR(__xludf.dummyfunction("""COMPUTED_VALUE"""),142.52)</f>
        <v>142.52</v>
      </c>
      <c r="F825" s="5" t="n">
        <f aca="false">IFERROR(__xludf.dummyfunction("""COMPUTED_VALUE"""),12024043)</f>
        <v>12024043</v>
      </c>
    </row>
    <row r="826" customFormat="false" ht="15.75" hidden="false" customHeight="false" outlineLevel="0" collapsed="false">
      <c r="A826" s="6" t="n">
        <f aca="false">IFERROR(__xludf.dummyfunction("""COMPUTED_VALUE"""),45397.6666666667)</f>
        <v>45397.6666666667</v>
      </c>
      <c r="B826" s="5" t="n">
        <f aca="false">IFERROR(__xludf.dummyfunction("""COMPUTED_VALUE"""),145.02)</f>
        <v>145.02</v>
      </c>
      <c r="C826" s="5" t="n">
        <f aca="false">IFERROR(__xludf.dummyfunction("""COMPUTED_VALUE"""),145.48)</f>
        <v>145.48</v>
      </c>
      <c r="D826" s="5" t="n">
        <f aca="false">IFERROR(__xludf.dummyfunction("""COMPUTED_VALUE"""),139.88)</f>
        <v>139.88</v>
      </c>
      <c r="E826" s="5" t="n">
        <f aca="false">IFERROR(__xludf.dummyfunction("""COMPUTED_VALUE"""),140.14)</f>
        <v>140.14</v>
      </c>
      <c r="F826" s="5" t="n">
        <f aca="false">IFERROR(__xludf.dummyfunction("""COMPUTED_VALUE"""),13458780)</f>
        <v>13458780</v>
      </c>
    </row>
    <row r="827" customFormat="false" ht="15.75" hidden="false" customHeight="false" outlineLevel="0" collapsed="false">
      <c r="A827" s="6" t="n">
        <f aca="false">IFERROR(__xludf.dummyfunction("""COMPUTED_VALUE"""),45398.6666666667)</f>
        <v>45398.6666666667</v>
      </c>
      <c r="B827" s="5" t="n">
        <f aca="false">IFERROR(__xludf.dummyfunction("""COMPUTED_VALUE"""),137.89)</f>
        <v>137.89</v>
      </c>
      <c r="C827" s="5" t="n">
        <f aca="false">IFERROR(__xludf.dummyfunction("""COMPUTED_VALUE"""),140.54)</f>
        <v>140.54</v>
      </c>
      <c r="D827" s="5" t="n">
        <f aca="false">IFERROR(__xludf.dummyfunction("""COMPUTED_VALUE"""),137.06)</f>
        <v>137.06</v>
      </c>
      <c r="E827" s="5" t="n">
        <f aca="false">IFERROR(__xludf.dummyfunction("""COMPUTED_VALUE"""),139.8)</f>
        <v>139.8</v>
      </c>
      <c r="F827" s="5" t="n">
        <f aca="false">IFERROR(__xludf.dummyfunction("""COMPUTED_VALUE"""),14218222)</f>
        <v>14218222</v>
      </c>
    </row>
    <row r="828" customFormat="false" ht="15.75" hidden="false" customHeight="false" outlineLevel="0" collapsed="false">
      <c r="A828" s="6" t="n">
        <f aca="false">IFERROR(__xludf.dummyfunction("""COMPUTED_VALUE"""),45399.6666666667)</f>
        <v>45399.6666666667</v>
      </c>
      <c r="B828" s="5" t="n">
        <f aca="false">IFERROR(__xludf.dummyfunction("""COMPUTED_VALUE"""),141.13)</f>
        <v>141.13</v>
      </c>
      <c r="C828" s="5" t="n">
        <f aca="false">IFERROR(__xludf.dummyfunction("""COMPUTED_VALUE"""),142.57)</f>
        <v>142.57</v>
      </c>
      <c r="D828" s="5" t="n">
        <f aca="false">IFERROR(__xludf.dummyfunction("""COMPUTED_VALUE"""),137.36)</f>
        <v>137.36</v>
      </c>
      <c r="E828" s="5" t="n">
        <f aca="false">IFERROR(__xludf.dummyfunction("""COMPUTED_VALUE"""),139.03)</f>
        <v>139.03</v>
      </c>
      <c r="F828" s="5" t="n">
        <f aca="false">IFERROR(__xludf.dummyfunction("""COMPUTED_VALUE"""),18823237)</f>
        <v>18823237</v>
      </c>
    </row>
    <row r="829" customFormat="false" ht="15.75" hidden="false" customHeight="false" outlineLevel="0" collapsed="false">
      <c r="A829" s="6" t="n">
        <f aca="false">IFERROR(__xludf.dummyfunction("""COMPUTED_VALUE"""),45400.6666666667)</f>
        <v>45400.6666666667</v>
      </c>
      <c r="B829" s="5" t="n">
        <f aca="false">IFERROR(__xludf.dummyfunction("""COMPUTED_VALUE"""),132.89)</f>
        <v>132.89</v>
      </c>
      <c r="C829" s="5" t="n">
        <f aca="false">IFERROR(__xludf.dummyfunction("""COMPUTED_VALUE"""),135.13)</f>
        <v>135.13</v>
      </c>
      <c r="D829" s="5" t="n">
        <f aca="false">IFERROR(__xludf.dummyfunction("""COMPUTED_VALUE"""),130.3)</f>
        <v>130.3</v>
      </c>
      <c r="E829" s="5" t="n">
        <f aca="false">IFERROR(__xludf.dummyfunction("""COMPUTED_VALUE"""),132.27)</f>
        <v>132.27</v>
      </c>
      <c r="F829" s="5" t="n">
        <f aca="false">IFERROR(__xludf.dummyfunction("""COMPUTED_VALUE"""),39306149)</f>
        <v>39306149</v>
      </c>
    </row>
    <row r="830" customFormat="false" ht="15.75" hidden="false" customHeight="false" outlineLevel="0" collapsed="false">
      <c r="A830" s="6" t="n">
        <f aca="false">IFERROR(__xludf.dummyfunction("""COMPUTED_VALUE"""),45401.6666666667)</f>
        <v>45401.6666666667</v>
      </c>
      <c r="B830" s="5" t="n">
        <f aca="false">IFERROR(__xludf.dummyfunction("""COMPUTED_VALUE"""),129.37)</f>
        <v>129.37</v>
      </c>
      <c r="C830" s="5" t="n">
        <f aca="false">IFERROR(__xludf.dummyfunction("""COMPUTED_VALUE"""),131.55)</f>
        <v>131.55</v>
      </c>
      <c r="D830" s="5" t="n">
        <f aca="false">IFERROR(__xludf.dummyfunction("""COMPUTED_VALUE"""),126.64)</f>
        <v>126.64</v>
      </c>
      <c r="E830" s="5" t="n">
        <f aca="false">IFERROR(__xludf.dummyfunction("""COMPUTED_VALUE"""),127.7)</f>
        <v>127.7</v>
      </c>
      <c r="F830" s="5" t="n">
        <f aca="false">IFERROR(__xludf.dummyfunction("""COMPUTED_VALUE"""),28284021)</f>
        <v>28284021</v>
      </c>
    </row>
    <row r="831" customFormat="false" ht="15.75" hidden="false" customHeight="false" outlineLevel="0" collapsed="false">
      <c r="A831" s="6" t="n">
        <f aca="false">IFERROR(__xludf.dummyfunction("""COMPUTED_VALUE"""),45404.6666666667)</f>
        <v>45404.6666666667</v>
      </c>
      <c r="B831" s="5" t="n">
        <f aca="false">IFERROR(__xludf.dummyfunction("""COMPUTED_VALUE"""),126.75)</f>
        <v>126.75</v>
      </c>
      <c r="C831" s="5" t="n">
        <f aca="false">IFERROR(__xludf.dummyfunction("""COMPUTED_VALUE"""),130.66)</f>
        <v>130.66</v>
      </c>
      <c r="D831" s="5" t="n">
        <f aca="false">IFERROR(__xludf.dummyfunction("""COMPUTED_VALUE"""),125.78)</f>
        <v>125.78</v>
      </c>
      <c r="E831" s="5" t="n">
        <f aca="false">IFERROR(__xludf.dummyfunction("""COMPUTED_VALUE"""),129.75)</f>
        <v>129.75</v>
      </c>
      <c r="F831" s="5" t="n">
        <f aca="false">IFERROR(__xludf.dummyfunction("""COMPUTED_VALUE"""),18556792)</f>
        <v>18556792</v>
      </c>
    </row>
    <row r="832" customFormat="false" ht="15.75" hidden="false" customHeight="false" outlineLevel="0" collapsed="false">
      <c r="A832" s="6" t="n">
        <f aca="false">IFERROR(__xludf.dummyfunction("""COMPUTED_VALUE"""),45405.6666666667)</f>
        <v>45405.6666666667</v>
      </c>
      <c r="B832" s="5" t="n">
        <f aca="false">IFERROR(__xludf.dummyfunction("""COMPUTED_VALUE"""),131.36)</f>
        <v>131.36</v>
      </c>
      <c r="C832" s="5" t="n">
        <f aca="false">IFERROR(__xludf.dummyfunction("""COMPUTED_VALUE"""),133.71)</f>
        <v>133.71</v>
      </c>
      <c r="D832" s="5" t="n">
        <f aca="false">IFERROR(__xludf.dummyfunction("""COMPUTED_VALUE"""),130.66)</f>
        <v>130.66</v>
      </c>
      <c r="E832" s="5" t="n">
        <f aca="false">IFERROR(__xludf.dummyfunction("""COMPUTED_VALUE"""),133.43)</f>
        <v>133.43</v>
      </c>
      <c r="F832" s="5" t="n">
        <f aca="false">IFERROR(__xludf.dummyfunction("""COMPUTED_VALUE"""),12573756)</f>
        <v>12573756</v>
      </c>
    </row>
    <row r="833" customFormat="false" ht="15.75" hidden="false" customHeight="false" outlineLevel="0" collapsed="false">
      <c r="A833" s="6" t="n">
        <f aca="false">IFERROR(__xludf.dummyfunction("""COMPUTED_VALUE"""),45406.6666666667)</f>
        <v>45406.6666666667</v>
      </c>
      <c r="B833" s="5" t="n">
        <f aca="false">IFERROR(__xludf.dummyfunction("""COMPUTED_VALUE"""),136.09)</f>
        <v>136.09</v>
      </c>
      <c r="C833" s="5" t="n">
        <f aca="false">IFERROR(__xludf.dummyfunction("""COMPUTED_VALUE"""),136.29)</f>
        <v>136.29</v>
      </c>
      <c r="D833" s="5" t="n">
        <f aca="false">IFERROR(__xludf.dummyfunction("""COMPUTED_VALUE"""),131.54)</f>
        <v>131.54</v>
      </c>
      <c r="E833" s="5" t="n">
        <f aca="false">IFERROR(__xludf.dummyfunction("""COMPUTED_VALUE"""),132.97)</f>
        <v>132.97</v>
      </c>
      <c r="F833" s="5" t="n">
        <f aca="false">IFERROR(__xludf.dummyfunction("""COMPUTED_VALUE"""),15558000)</f>
        <v>15558000</v>
      </c>
    </row>
    <row r="834" customFormat="false" ht="15.75" hidden="false" customHeight="false" outlineLevel="0" collapsed="false">
      <c r="A834" s="6" t="n">
        <f aca="false">IFERROR(__xludf.dummyfunction("""COMPUTED_VALUE"""),45407.6666666667)</f>
        <v>45407.6666666667</v>
      </c>
      <c r="B834" s="5" t="n">
        <f aca="false">IFERROR(__xludf.dummyfunction("""COMPUTED_VALUE"""),130)</f>
        <v>130</v>
      </c>
      <c r="C834" s="5" t="n">
        <f aca="false">IFERROR(__xludf.dummyfunction("""COMPUTED_VALUE"""),137.84)</f>
        <v>137.84</v>
      </c>
      <c r="D834" s="5" t="n">
        <f aca="false">IFERROR(__xludf.dummyfunction("""COMPUTED_VALUE"""),128.86)</f>
        <v>128.86</v>
      </c>
      <c r="E834" s="5" t="n">
        <f aca="false">IFERROR(__xludf.dummyfunction("""COMPUTED_VALUE"""),136.58)</f>
        <v>136.58</v>
      </c>
      <c r="F834" s="5" t="n">
        <f aca="false">IFERROR(__xludf.dummyfunction("""COMPUTED_VALUE"""),18034257)</f>
        <v>18034257</v>
      </c>
    </row>
    <row r="835" customFormat="false" ht="15.75" hidden="false" customHeight="false" outlineLevel="0" collapsed="false">
      <c r="A835" s="6" t="n">
        <f aca="false">IFERROR(__xludf.dummyfunction("""COMPUTED_VALUE"""),45408.6666666667)</f>
        <v>45408.6666666667</v>
      </c>
      <c r="B835" s="5" t="n">
        <f aca="false">IFERROR(__xludf.dummyfunction("""COMPUTED_VALUE"""),136.81)</f>
        <v>136.81</v>
      </c>
      <c r="C835" s="5" t="n">
        <f aca="false">IFERROR(__xludf.dummyfunction("""COMPUTED_VALUE"""),138.74)</f>
        <v>138.74</v>
      </c>
      <c r="D835" s="5" t="n">
        <f aca="false">IFERROR(__xludf.dummyfunction("""COMPUTED_VALUE"""),135.95)</f>
        <v>135.95</v>
      </c>
      <c r="E835" s="5" t="n">
        <f aca="false">IFERROR(__xludf.dummyfunction("""COMPUTED_VALUE"""),138.3)</f>
        <v>138.3</v>
      </c>
      <c r="F835" s="5" t="n">
        <f aca="false">IFERROR(__xludf.dummyfunction("""COMPUTED_VALUE"""),9453393)</f>
        <v>9453393</v>
      </c>
    </row>
    <row r="836" customFormat="false" ht="15.75" hidden="false" customHeight="false" outlineLevel="0" collapsed="false">
      <c r="A836" s="6" t="n">
        <f aca="false">IFERROR(__xludf.dummyfunction("""COMPUTED_VALUE"""),45411.6666666667)</f>
        <v>45411.6666666667</v>
      </c>
      <c r="B836" s="5" t="n">
        <f aca="false">IFERROR(__xludf.dummyfunction("""COMPUTED_VALUE"""),138)</f>
        <v>138</v>
      </c>
      <c r="C836" s="5" t="n">
        <f aca="false">IFERROR(__xludf.dummyfunction("""COMPUTED_VALUE"""),138.65)</f>
        <v>138.65</v>
      </c>
      <c r="D836" s="5" t="n">
        <f aca="false">IFERROR(__xludf.dummyfunction("""COMPUTED_VALUE"""),135.91)</f>
        <v>135.91</v>
      </c>
      <c r="E836" s="5" t="n">
        <f aca="false">IFERROR(__xludf.dummyfunction("""COMPUTED_VALUE"""),138.5)</f>
        <v>138.5</v>
      </c>
      <c r="F836" s="5" t="n">
        <f aca="false">IFERROR(__xludf.dummyfunction("""COMPUTED_VALUE"""),10025907)</f>
        <v>10025907</v>
      </c>
    </row>
    <row r="837" customFormat="false" ht="15.75" hidden="false" customHeight="false" outlineLevel="0" collapsed="false">
      <c r="A837" s="6" t="n">
        <f aca="false">IFERROR(__xludf.dummyfunction("""COMPUTED_VALUE"""),45412.6666666667)</f>
        <v>45412.6666666667</v>
      </c>
      <c r="B837" s="5" t="n">
        <f aca="false">IFERROR(__xludf.dummyfunction("""COMPUTED_VALUE"""),137.94)</f>
        <v>137.94</v>
      </c>
      <c r="C837" s="5" t="n">
        <f aca="false">IFERROR(__xludf.dummyfunction("""COMPUTED_VALUE"""),139.7)</f>
        <v>139.7</v>
      </c>
      <c r="D837" s="5" t="n">
        <f aca="false">IFERROR(__xludf.dummyfunction("""COMPUTED_VALUE"""),137.26)</f>
        <v>137.26</v>
      </c>
      <c r="E837" s="5" t="n">
        <f aca="false">IFERROR(__xludf.dummyfunction("""COMPUTED_VALUE"""),137.34)</f>
        <v>137.34</v>
      </c>
      <c r="F837" s="5" t="n">
        <f aca="false">IFERROR(__xludf.dummyfunction("""COMPUTED_VALUE"""),10980630)</f>
        <v>10980630</v>
      </c>
    </row>
    <row r="838" customFormat="false" ht="15.75" hidden="false" customHeight="false" outlineLevel="0" collapsed="false">
      <c r="A838" s="6" t="n">
        <f aca="false">IFERROR(__xludf.dummyfunction("""COMPUTED_VALUE"""),45413.6666666667)</f>
        <v>45413.6666666667</v>
      </c>
      <c r="B838" s="5" t="n">
        <f aca="false">IFERROR(__xludf.dummyfunction("""COMPUTED_VALUE"""),137.42)</f>
        <v>137.42</v>
      </c>
      <c r="C838" s="5" t="n">
        <f aca="false">IFERROR(__xludf.dummyfunction("""COMPUTED_VALUE"""),139.43)</f>
        <v>139.43</v>
      </c>
      <c r="D838" s="5" t="n">
        <f aca="false">IFERROR(__xludf.dummyfunction("""COMPUTED_VALUE"""),133.21)</f>
        <v>133.21</v>
      </c>
      <c r="E838" s="5" t="n">
        <f aca="false">IFERROR(__xludf.dummyfunction("""COMPUTED_VALUE"""),134.94)</f>
        <v>134.94</v>
      </c>
      <c r="F838" s="5" t="n">
        <f aca="false">IFERROR(__xludf.dummyfunction("""COMPUTED_VALUE"""),12573480)</f>
        <v>12573480</v>
      </c>
    </row>
    <row r="839" customFormat="false" ht="15.75" hidden="false" customHeight="false" outlineLevel="0" collapsed="false">
      <c r="A839" s="6" t="n">
        <f aca="false">IFERROR(__xludf.dummyfunction("""COMPUTED_VALUE"""),45414.6666666667)</f>
        <v>45414.6666666667</v>
      </c>
      <c r="B839" s="5" t="n">
        <f aca="false">IFERROR(__xludf.dummyfunction("""COMPUTED_VALUE"""),135.6)</f>
        <v>135.6</v>
      </c>
      <c r="C839" s="5" t="n">
        <f aca="false">IFERROR(__xludf.dummyfunction("""COMPUTED_VALUE"""),136.74)</f>
        <v>136.74</v>
      </c>
      <c r="D839" s="5" t="n">
        <f aca="false">IFERROR(__xludf.dummyfunction("""COMPUTED_VALUE"""),133.22)</f>
        <v>133.22</v>
      </c>
      <c r="E839" s="5" t="n">
        <f aca="false">IFERROR(__xludf.dummyfunction("""COMPUTED_VALUE"""),136.23)</f>
        <v>136.23</v>
      </c>
      <c r="F839" s="5" t="n">
        <f aca="false">IFERROR(__xludf.dummyfunction("""COMPUTED_VALUE"""),9261896)</f>
        <v>9261896</v>
      </c>
    </row>
    <row r="840" customFormat="false" ht="15.75" hidden="false" customHeight="false" outlineLevel="0" collapsed="false">
      <c r="A840" s="6" t="n">
        <f aca="false">IFERROR(__xludf.dummyfunction("""COMPUTED_VALUE"""),45415.6666666667)</f>
        <v>45415.6666666667</v>
      </c>
      <c r="B840" s="5" t="n">
        <f aca="false">IFERROR(__xludf.dummyfunction("""COMPUTED_VALUE"""),138.9)</f>
        <v>138.9</v>
      </c>
      <c r="C840" s="5" t="n">
        <f aca="false">IFERROR(__xludf.dummyfunction("""COMPUTED_VALUE"""),142.11)</f>
        <v>142.11</v>
      </c>
      <c r="D840" s="5" t="n">
        <f aca="false">IFERROR(__xludf.dummyfunction("""COMPUTED_VALUE"""),138.76)</f>
        <v>138.76</v>
      </c>
      <c r="E840" s="5" t="n">
        <f aca="false">IFERROR(__xludf.dummyfunction("""COMPUTED_VALUE"""),141.56)</f>
        <v>141.56</v>
      </c>
      <c r="F840" s="5" t="n">
        <f aca="false">IFERROR(__xludf.dummyfunction("""COMPUTED_VALUE"""),13264336)</f>
        <v>13264336</v>
      </c>
    </row>
    <row r="841" customFormat="false" ht="15.75" hidden="false" customHeight="false" outlineLevel="0" collapsed="false">
      <c r="A841" s="6" t="n">
        <f aca="false">IFERROR(__xludf.dummyfunction("""COMPUTED_VALUE"""),45418.6666666667)</f>
        <v>45418.6666666667</v>
      </c>
      <c r="B841" s="5" t="n">
        <f aca="false">IFERROR(__xludf.dummyfunction("""COMPUTED_VALUE"""),140.47)</f>
        <v>140.47</v>
      </c>
      <c r="C841" s="5" t="n">
        <f aca="false">IFERROR(__xludf.dummyfunction("""COMPUTED_VALUE"""),142.83)</f>
        <v>142.83</v>
      </c>
      <c r="D841" s="5" t="n">
        <f aca="false">IFERROR(__xludf.dummyfunction("""COMPUTED_VALUE"""),139.81)</f>
        <v>139.81</v>
      </c>
      <c r="E841" s="5" t="n">
        <f aca="false">IFERROR(__xludf.dummyfunction("""COMPUTED_VALUE"""),142.83)</f>
        <v>142.83</v>
      </c>
      <c r="F841" s="5" t="n">
        <f aca="false">IFERROR(__xludf.dummyfunction("""COMPUTED_VALUE"""),8601573)</f>
        <v>8601573</v>
      </c>
    </row>
    <row r="842" customFormat="false" ht="15.75" hidden="false" customHeight="false" outlineLevel="0" collapsed="false">
      <c r="A842" s="6" t="n">
        <f aca="false">IFERROR(__xludf.dummyfunction("""COMPUTED_VALUE"""),45419.6666666667)</f>
        <v>45419.6666666667</v>
      </c>
      <c r="B842" s="5" t="n">
        <f aca="false">IFERROR(__xludf.dummyfunction("""COMPUTED_VALUE"""),141.87)</f>
        <v>141.87</v>
      </c>
      <c r="C842" s="5" t="n">
        <f aca="false">IFERROR(__xludf.dummyfunction("""COMPUTED_VALUE"""),142.29)</f>
        <v>142.29</v>
      </c>
      <c r="D842" s="5" t="n">
        <f aca="false">IFERROR(__xludf.dummyfunction("""COMPUTED_VALUE"""),140.51)</f>
        <v>140.51</v>
      </c>
      <c r="E842" s="5" t="n">
        <f aca="false">IFERROR(__xludf.dummyfunction("""COMPUTED_VALUE"""),141.11)</f>
        <v>141.11</v>
      </c>
      <c r="F842" s="5" t="n">
        <f aca="false">IFERROR(__xludf.dummyfunction("""COMPUTED_VALUE"""),8682941)</f>
        <v>8682941</v>
      </c>
    </row>
    <row r="843" customFormat="false" ht="15.75" hidden="false" customHeight="false" outlineLevel="0" collapsed="false">
      <c r="A843" s="6" t="n">
        <f aca="false">IFERROR(__xludf.dummyfunction("""COMPUTED_VALUE"""),45420.6666666667)</f>
        <v>45420.6666666667</v>
      </c>
      <c r="B843" s="5" t="n">
        <f aca="false">IFERROR(__xludf.dummyfunction("""COMPUTED_VALUE"""),141.11)</f>
        <v>141.11</v>
      </c>
      <c r="C843" s="5" t="n">
        <f aca="false">IFERROR(__xludf.dummyfunction("""COMPUTED_VALUE"""),144.26)</f>
        <v>144.26</v>
      </c>
      <c r="D843" s="5" t="n">
        <f aca="false">IFERROR(__xludf.dummyfunction("""COMPUTED_VALUE"""),140.8)</f>
        <v>140.8</v>
      </c>
      <c r="E843" s="5" t="n">
        <f aca="false">IFERROR(__xludf.dummyfunction("""COMPUTED_VALUE"""),143.6)</f>
        <v>143.6</v>
      </c>
      <c r="F843" s="5" t="n">
        <f aca="false">IFERROR(__xludf.dummyfunction("""COMPUTED_VALUE"""),10202348)</f>
        <v>10202348</v>
      </c>
    </row>
    <row r="844" customFormat="false" ht="15.75" hidden="false" customHeight="false" outlineLevel="0" collapsed="false">
      <c r="A844" s="6" t="n">
        <f aca="false">IFERROR(__xludf.dummyfunction("""COMPUTED_VALUE"""),45421.6666666667)</f>
        <v>45421.6666666667</v>
      </c>
      <c r="B844" s="5" t="n">
        <f aca="false">IFERROR(__xludf.dummyfunction("""COMPUTED_VALUE"""),142.94)</f>
        <v>142.94</v>
      </c>
      <c r="C844" s="5" t="n">
        <f aca="false">IFERROR(__xludf.dummyfunction("""COMPUTED_VALUE"""),143.35)</f>
        <v>143.35</v>
      </c>
      <c r="D844" s="5" t="n">
        <f aca="false">IFERROR(__xludf.dummyfunction("""COMPUTED_VALUE"""),141.13)</f>
        <v>141.13</v>
      </c>
      <c r="E844" s="5" t="n">
        <f aca="false">IFERROR(__xludf.dummyfunction("""COMPUTED_VALUE"""),142.79)</f>
        <v>142.79</v>
      </c>
      <c r="F844" s="5" t="n">
        <f aca="false">IFERROR(__xludf.dummyfunction("""COMPUTED_VALUE"""),8012668)</f>
        <v>8012668</v>
      </c>
    </row>
    <row r="845" customFormat="false" ht="15.75" hidden="false" customHeight="false" outlineLevel="0" collapsed="false">
      <c r="A845" s="6" t="n">
        <f aca="false">IFERROR(__xludf.dummyfunction("""COMPUTED_VALUE"""),45422.6666666667)</f>
        <v>45422.6666666667</v>
      </c>
      <c r="B845" s="5" t="n">
        <f aca="false">IFERROR(__xludf.dummyfunction("""COMPUTED_VALUE"""),147.22)</f>
        <v>147.22</v>
      </c>
      <c r="C845" s="5" t="n">
        <f aca="false">IFERROR(__xludf.dummyfunction("""COMPUTED_VALUE"""),150.5)</f>
        <v>150.5</v>
      </c>
      <c r="D845" s="5" t="n">
        <f aca="false">IFERROR(__xludf.dummyfunction("""COMPUTED_VALUE"""),146.93)</f>
        <v>146.93</v>
      </c>
      <c r="E845" s="5" t="n">
        <f aca="false">IFERROR(__xludf.dummyfunction("""COMPUTED_VALUE"""),149.26)</f>
        <v>149.26</v>
      </c>
      <c r="F845" s="5" t="n">
        <f aca="false">IFERROR(__xludf.dummyfunction("""COMPUTED_VALUE"""),23671378)</f>
        <v>23671378</v>
      </c>
    </row>
    <row r="846" customFormat="false" ht="15.75" hidden="false" customHeight="false" outlineLevel="0" collapsed="false">
      <c r="A846" s="6" t="n">
        <f aca="false">IFERROR(__xludf.dummyfunction("""COMPUTED_VALUE"""),45425.6666666667)</f>
        <v>45425.6666666667</v>
      </c>
      <c r="B846" s="5" t="n">
        <f aca="false">IFERROR(__xludf.dummyfunction("""COMPUTED_VALUE"""),148.02)</f>
        <v>148.02</v>
      </c>
      <c r="C846" s="5" t="n">
        <f aca="false">IFERROR(__xludf.dummyfunction("""COMPUTED_VALUE"""),148.44)</f>
        <v>148.44</v>
      </c>
      <c r="D846" s="5" t="n">
        <f aca="false">IFERROR(__xludf.dummyfunction("""COMPUTED_VALUE"""),146.3)</f>
        <v>146.3</v>
      </c>
      <c r="E846" s="5" t="n">
        <f aca="false">IFERROR(__xludf.dummyfunction("""COMPUTED_VALUE"""),146.41)</f>
        <v>146.41</v>
      </c>
      <c r="F846" s="5" t="n">
        <f aca="false">IFERROR(__xludf.dummyfunction("""COMPUTED_VALUE"""),8278732)</f>
        <v>8278732</v>
      </c>
    </row>
    <row r="847" customFormat="false" ht="15.75" hidden="false" customHeight="false" outlineLevel="0" collapsed="false">
      <c r="A847" s="6" t="n">
        <f aca="false">IFERROR(__xludf.dummyfunction("""COMPUTED_VALUE"""),45426.6666666667)</f>
        <v>45426.6666666667</v>
      </c>
      <c r="B847" s="5" t="n">
        <f aca="false">IFERROR(__xludf.dummyfunction("""COMPUTED_VALUE"""),146.49)</f>
        <v>146.49</v>
      </c>
      <c r="C847" s="5" t="n">
        <f aca="false">IFERROR(__xludf.dummyfunction("""COMPUTED_VALUE"""),152.01)</f>
        <v>152.01</v>
      </c>
      <c r="D847" s="5" t="n">
        <f aca="false">IFERROR(__xludf.dummyfunction("""COMPUTED_VALUE"""),146.25)</f>
        <v>146.25</v>
      </c>
      <c r="E847" s="5" t="n">
        <f aca="false">IFERROR(__xludf.dummyfunction("""COMPUTED_VALUE"""),151.95)</f>
        <v>151.95</v>
      </c>
      <c r="F847" s="5" t="n">
        <f aca="false">IFERROR(__xludf.dummyfunction("""COMPUTED_VALUE"""),12316540)</f>
        <v>12316540</v>
      </c>
    </row>
    <row r="848" customFormat="false" ht="15.75" hidden="false" customHeight="false" outlineLevel="0" collapsed="false">
      <c r="A848" s="6" t="n">
        <f aca="false">IFERROR(__xludf.dummyfunction("""COMPUTED_VALUE"""),45427.6666666667)</f>
        <v>45427.6666666667</v>
      </c>
      <c r="B848" s="5" t="n">
        <f aca="false">IFERROR(__xludf.dummyfunction("""COMPUTED_VALUE"""),153.36)</f>
        <v>153.36</v>
      </c>
      <c r="C848" s="5" t="n">
        <f aca="false">IFERROR(__xludf.dummyfunction("""COMPUTED_VALUE"""),156)</f>
        <v>156</v>
      </c>
      <c r="D848" s="5" t="n">
        <f aca="false">IFERROR(__xludf.dummyfunction("""COMPUTED_VALUE"""),152.73)</f>
        <v>152.73</v>
      </c>
      <c r="E848" s="5" t="n">
        <f aca="false">IFERROR(__xludf.dummyfunction("""COMPUTED_VALUE"""),155.58)</f>
        <v>155.58</v>
      </c>
      <c r="F848" s="5" t="n">
        <f aca="false">IFERROR(__xludf.dummyfunction("""COMPUTED_VALUE"""),14027093)</f>
        <v>14027093</v>
      </c>
    </row>
    <row r="849" customFormat="false" ht="15.75" hidden="false" customHeight="false" outlineLevel="0" collapsed="false">
      <c r="A849" s="6" t="n">
        <f aca="false">IFERROR(__xludf.dummyfunction("""COMPUTED_VALUE"""),45428.6666666667)</f>
        <v>45428.6666666667</v>
      </c>
      <c r="B849" s="5" t="n">
        <f aca="false">IFERROR(__xludf.dummyfunction("""COMPUTED_VALUE"""),154.1)</f>
        <v>154.1</v>
      </c>
      <c r="C849" s="5" t="n">
        <f aca="false">IFERROR(__xludf.dummyfunction("""COMPUTED_VALUE"""),155.06)</f>
        <v>155.06</v>
      </c>
      <c r="D849" s="5" t="n">
        <f aca="false">IFERROR(__xludf.dummyfunction("""COMPUTED_VALUE"""),152.21)</f>
        <v>152.21</v>
      </c>
      <c r="E849" s="5" t="n">
        <f aca="false">IFERROR(__xludf.dummyfunction("""COMPUTED_VALUE"""),152.23)</f>
        <v>152.23</v>
      </c>
      <c r="F849" s="5" t="n">
        <f aca="false">IFERROR(__xludf.dummyfunction("""COMPUTED_VALUE"""),13394140)</f>
        <v>13394140</v>
      </c>
    </row>
    <row r="850" customFormat="false" ht="15.75" hidden="false" customHeight="false" outlineLevel="0" collapsed="false">
      <c r="A850" s="6" t="n">
        <f aca="false">IFERROR(__xludf.dummyfunction("""COMPUTED_VALUE"""),45429.6666666667)</f>
        <v>45429.6666666667</v>
      </c>
      <c r="B850" s="5" t="n">
        <f aca="false">IFERROR(__xludf.dummyfunction("""COMPUTED_VALUE"""),154)</f>
        <v>154</v>
      </c>
      <c r="C850" s="5" t="n">
        <f aca="false">IFERROR(__xludf.dummyfunction("""COMPUTED_VALUE"""),154)</f>
        <v>154</v>
      </c>
      <c r="D850" s="5" t="n">
        <f aca="false">IFERROR(__xludf.dummyfunction("""COMPUTED_VALUE"""),150.84)</f>
        <v>150.84</v>
      </c>
      <c r="E850" s="5" t="n">
        <f aca="false">IFERROR(__xludf.dummyfunction("""COMPUTED_VALUE"""),151.68)</f>
        <v>151.68</v>
      </c>
      <c r="F850" s="5" t="n">
        <f aca="false">IFERROR(__xludf.dummyfunction("""COMPUTED_VALUE"""),7711247)</f>
        <v>7711247</v>
      </c>
    </row>
    <row r="851" customFormat="false" ht="15.75" hidden="false" customHeight="false" outlineLevel="0" collapsed="false">
      <c r="A851" s="6" t="n">
        <f aca="false">IFERROR(__xludf.dummyfunction("""COMPUTED_VALUE"""),45432.6666666667)</f>
        <v>45432.6666666667</v>
      </c>
      <c r="B851" s="5" t="n">
        <f aca="false">IFERROR(__xludf.dummyfunction("""COMPUTED_VALUE"""),151.67)</f>
        <v>151.67</v>
      </c>
      <c r="C851" s="5" t="n">
        <f aca="false">IFERROR(__xludf.dummyfunction("""COMPUTED_VALUE"""),154.24)</f>
        <v>154.24</v>
      </c>
      <c r="D851" s="5" t="n">
        <f aca="false">IFERROR(__xludf.dummyfunction("""COMPUTED_VALUE"""),150.82)</f>
        <v>150.82</v>
      </c>
      <c r="E851" s="5" t="n">
        <f aca="false">IFERROR(__xludf.dummyfunction("""COMPUTED_VALUE"""),153.55)</f>
        <v>153.55</v>
      </c>
      <c r="F851" s="5" t="n">
        <f aca="false">IFERROR(__xludf.dummyfunction("""COMPUTED_VALUE"""),9261190)</f>
        <v>9261190</v>
      </c>
    </row>
    <row r="852" customFormat="false" ht="15.75" hidden="false" customHeight="false" outlineLevel="0" collapsed="false">
      <c r="A852" s="6" t="n">
        <f aca="false">IFERROR(__xludf.dummyfunction("""COMPUTED_VALUE"""),45433.6666666667)</f>
        <v>45433.6666666667</v>
      </c>
      <c r="B852" s="5" t="n">
        <f aca="false">IFERROR(__xludf.dummyfunction("""COMPUTED_VALUE"""),152.3)</f>
        <v>152.3</v>
      </c>
      <c r="C852" s="5" t="n">
        <f aca="false">IFERROR(__xludf.dummyfunction("""COMPUTED_VALUE"""),153.99)</f>
        <v>153.99</v>
      </c>
      <c r="D852" s="5" t="n">
        <f aca="false">IFERROR(__xludf.dummyfunction("""COMPUTED_VALUE"""),151.95)</f>
        <v>151.95</v>
      </c>
      <c r="E852" s="5" t="n">
        <f aca="false">IFERROR(__xludf.dummyfunction("""COMPUTED_VALUE"""),153.67)</f>
        <v>153.67</v>
      </c>
      <c r="F852" s="5" t="n">
        <f aca="false">IFERROR(__xludf.dummyfunction("""COMPUTED_VALUE"""),7919449)</f>
        <v>7919449</v>
      </c>
    </row>
    <row r="853" customFormat="false" ht="15.75" hidden="false" customHeight="false" outlineLevel="0" collapsed="false">
      <c r="A853" s="6" t="n">
        <f aca="false">IFERROR(__xludf.dummyfunction("""COMPUTED_VALUE"""),45434.6666666667)</f>
        <v>45434.6666666667</v>
      </c>
      <c r="B853" s="5" t="n">
        <f aca="false">IFERROR(__xludf.dummyfunction("""COMPUTED_VALUE"""),155.88)</f>
        <v>155.88</v>
      </c>
      <c r="C853" s="5" t="n">
        <f aca="false">IFERROR(__xludf.dummyfunction("""COMPUTED_VALUE"""),157.23)</f>
        <v>157.23</v>
      </c>
      <c r="D853" s="5" t="n">
        <f aca="false">IFERROR(__xludf.dummyfunction("""COMPUTED_VALUE"""),154.54)</f>
        <v>154.54</v>
      </c>
      <c r="E853" s="5" t="n">
        <f aca="false">IFERROR(__xludf.dummyfunction("""COMPUTED_VALUE"""),156.15)</f>
        <v>156.15</v>
      </c>
      <c r="F853" s="5" t="n">
        <f aca="false">IFERROR(__xludf.dummyfunction("""COMPUTED_VALUE"""),13455201)</f>
        <v>13455201</v>
      </c>
    </row>
    <row r="854" customFormat="false" ht="15.75" hidden="false" customHeight="false" outlineLevel="0" collapsed="false">
      <c r="A854" s="6" t="n">
        <f aca="false">IFERROR(__xludf.dummyfunction("""COMPUTED_VALUE"""),45435.6666666667)</f>
        <v>45435.6666666667</v>
      </c>
      <c r="B854" s="5" t="n">
        <f aca="false">IFERROR(__xludf.dummyfunction("""COMPUTED_VALUE"""),159.18)</f>
        <v>159.18</v>
      </c>
      <c r="C854" s="5" t="n">
        <f aca="false">IFERROR(__xludf.dummyfunction("""COMPUTED_VALUE"""),160.78)</f>
        <v>160.78</v>
      </c>
      <c r="D854" s="5" t="n">
        <f aca="false">IFERROR(__xludf.dummyfunction("""COMPUTED_VALUE"""),155.87)</f>
        <v>155.87</v>
      </c>
      <c r="E854" s="5" t="n">
        <f aca="false">IFERROR(__xludf.dummyfunction("""COMPUTED_VALUE"""),157.09)</f>
        <v>157.09</v>
      </c>
      <c r="F854" s="5" t="n">
        <f aca="false">IFERROR(__xludf.dummyfunction("""COMPUTED_VALUE"""),20872972)</f>
        <v>20872972</v>
      </c>
    </row>
    <row r="855" customFormat="false" ht="15.75" hidden="false" customHeight="false" outlineLevel="0" collapsed="false">
      <c r="A855" s="6" t="n">
        <f aca="false">IFERROR(__xludf.dummyfunction("""COMPUTED_VALUE"""),45436.6666666667)</f>
        <v>45436.6666666667</v>
      </c>
      <c r="B855" s="5" t="n">
        <f aca="false">IFERROR(__xludf.dummyfunction("""COMPUTED_VALUE"""),157.2)</f>
        <v>157.2</v>
      </c>
      <c r="C855" s="5" t="n">
        <f aca="false">IFERROR(__xludf.dummyfunction("""COMPUTED_VALUE"""),160.66)</f>
        <v>160.66</v>
      </c>
      <c r="D855" s="5" t="n">
        <f aca="false">IFERROR(__xludf.dummyfunction("""COMPUTED_VALUE"""),156.71)</f>
        <v>156.71</v>
      </c>
      <c r="E855" s="5" t="n">
        <f aca="false">IFERROR(__xludf.dummyfunction("""COMPUTED_VALUE"""),160)</f>
        <v>160</v>
      </c>
      <c r="F855" s="5" t="n">
        <f aca="false">IFERROR(__xludf.dummyfunction("""COMPUTED_VALUE"""),11908211)</f>
        <v>11908211</v>
      </c>
    </row>
    <row r="856" customFormat="false" ht="15.75" hidden="false" customHeight="false" outlineLevel="0" collapsed="false">
      <c r="A856" s="6" t="n">
        <f aca="false">IFERROR(__xludf.dummyfunction("""COMPUTED_VALUE"""),45440.6666666667)</f>
        <v>45440.6666666667</v>
      </c>
      <c r="B856" s="5" t="n">
        <f aca="false">IFERROR(__xludf.dummyfunction("""COMPUTED_VALUE"""),159.68)</f>
        <v>159.68</v>
      </c>
      <c r="C856" s="5" t="n">
        <f aca="false">IFERROR(__xludf.dummyfunction("""COMPUTED_VALUE"""),160.38)</f>
        <v>160.38</v>
      </c>
      <c r="D856" s="5" t="n">
        <f aca="false">IFERROR(__xludf.dummyfunction("""COMPUTED_VALUE"""),157.6)</f>
        <v>157.6</v>
      </c>
      <c r="E856" s="5" t="n">
        <f aca="false">IFERROR(__xludf.dummyfunction("""COMPUTED_VALUE"""),159.41)</f>
        <v>159.41</v>
      </c>
      <c r="F856" s="5" t="n">
        <f aca="false">IFERROR(__xludf.dummyfunction("""COMPUTED_VALUE"""),13964361)</f>
        <v>13964361</v>
      </c>
    </row>
    <row r="857" customFormat="false" ht="15.75" hidden="false" customHeight="false" outlineLevel="0" collapsed="false">
      <c r="A857" s="6" t="n">
        <f aca="false">IFERROR(__xludf.dummyfunction("""COMPUTED_VALUE"""),45441.6666666667)</f>
        <v>45441.6666666667</v>
      </c>
      <c r="B857" s="5" t="n">
        <f aca="false">IFERROR(__xludf.dummyfunction("""COMPUTED_VALUE"""),156.75)</f>
        <v>156.75</v>
      </c>
      <c r="C857" s="5" t="n">
        <f aca="false">IFERROR(__xludf.dummyfunction("""COMPUTED_VALUE"""),156.88)</f>
        <v>156.88</v>
      </c>
      <c r="D857" s="5" t="n">
        <f aca="false">IFERROR(__xludf.dummyfunction("""COMPUTED_VALUE"""),153.21)</f>
        <v>153.21</v>
      </c>
      <c r="E857" s="5" t="n">
        <f aca="false">IFERROR(__xludf.dummyfunction("""COMPUTED_VALUE"""),154.34)</f>
        <v>154.34</v>
      </c>
      <c r="F857" s="5" t="n">
        <f aca="false">IFERROR(__xludf.dummyfunction("""COMPUTED_VALUE"""),15779980)</f>
        <v>15779980</v>
      </c>
    </row>
    <row r="858" customFormat="false" ht="15.75" hidden="false" customHeight="false" outlineLevel="0" collapsed="false">
      <c r="A858" s="6" t="n">
        <f aca="false">IFERROR(__xludf.dummyfunction("""COMPUTED_VALUE"""),45442.6666666667)</f>
        <v>45442.6666666667</v>
      </c>
      <c r="B858" s="5" t="n">
        <f aca="false">IFERROR(__xludf.dummyfunction("""COMPUTED_VALUE"""),153.59)</f>
        <v>153.59</v>
      </c>
      <c r="C858" s="5" t="n">
        <f aca="false">IFERROR(__xludf.dummyfunction("""COMPUTED_VALUE"""),154.05)</f>
        <v>154.05</v>
      </c>
      <c r="D858" s="5" t="n">
        <f aca="false">IFERROR(__xludf.dummyfunction("""COMPUTED_VALUE"""),151.89)</f>
        <v>151.89</v>
      </c>
      <c r="E858" s="5" t="n">
        <f aca="false">IFERROR(__xludf.dummyfunction("""COMPUTED_VALUE"""),152.96)</f>
        <v>152.96</v>
      </c>
      <c r="F858" s="5" t="n">
        <f aca="false">IFERROR(__xludf.dummyfunction("""COMPUTED_VALUE"""),9710978)</f>
        <v>9710978</v>
      </c>
    </row>
    <row r="859" customFormat="false" ht="15.75" hidden="false" customHeight="false" outlineLevel="0" collapsed="false">
      <c r="A859" s="6" t="n">
        <f aca="false">IFERROR(__xludf.dummyfunction("""COMPUTED_VALUE"""),45443.6666666667)</f>
        <v>45443.6666666667</v>
      </c>
      <c r="B859" s="5" t="n">
        <f aca="false">IFERROR(__xludf.dummyfunction("""COMPUTED_VALUE"""),151.48)</f>
        <v>151.48</v>
      </c>
      <c r="C859" s="5" t="n">
        <f aca="false">IFERROR(__xludf.dummyfunction("""COMPUTED_VALUE"""),152.5)</f>
        <v>152.5</v>
      </c>
      <c r="D859" s="5" t="n">
        <f aca="false">IFERROR(__xludf.dummyfunction("""COMPUTED_VALUE"""),147.81)</f>
        <v>147.81</v>
      </c>
      <c r="E859" s="5" t="n">
        <f aca="false">IFERROR(__xludf.dummyfunction("""COMPUTED_VALUE"""),151.04)</f>
        <v>151.04</v>
      </c>
      <c r="F859" s="5" t="n">
        <f aca="false">IFERROR(__xludf.dummyfunction("""COMPUTED_VALUE"""),13782609)</f>
        <v>13782609</v>
      </c>
    </row>
    <row r="860" customFormat="false" ht="15.75" hidden="false" customHeight="false" outlineLevel="0" collapsed="false">
      <c r="A860" s="6" t="n">
        <f aca="false">IFERROR(__xludf.dummyfunction("""COMPUTED_VALUE"""),45446.6666666667)</f>
        <v>45446.6666666667</v>
      </c>
      <c r="B860" s="5" t="n">
        <f aca="false">IFERROR(__xludf.dummyfunction("""COMPUTED_VALUE"""),155.12)</f>
        <v>155.12</v>
      </c>
      <c r="C860" s="5" t="n">
        <f aca="false">IFERROR(__xludf.dummyfunction("""COMPUTED_VALUE"""),157.15)</f>
        <v>157.15</v>
      </c>
      <c r="D860" s="5" t="n">
        <f aca="false">IFERROR(__xludf.dummyfunction("""COMPUTED_VALUE"""),152.46)</f>
        <v>152.46</v>
      </c>
      <c r="E860" s="5" t="n">
        <f aca="false">IFERROR(__xludf.dummyfunction("""COMPUTED_VALUE"""),154.95)</f>
        <v>154.95</v>
      </c>
      <c r="F860" s="5" t="n">
        <f aca="false">IFERROR(__xludf.dummyfunction("""COMPUTED_VALUE"""),12924395)</f>
        <v>12924395</v>
      </c>
    </row>
    <row r="861" customFormat="false" ht="15.75" hidden="false" customHeight="false" outlineLevel="0" collapsed="false">
      <c r="A861" s="6" t="n">
        <f aca="false">IFERROR(__xludf.dummyfunction("""COMPUTED_VALUE"""),45447.6666666667)</f>
        <v>45447.6666666667</v>
      </c>
      <c r="B861" s="5" t="n">
        <f aca="false">IFERROR(__xludf.dummyfunction("""COMPUTED_VALUE"""),153.4)</f>
        <v>153.4</v>
      </c>
      <c r="C861" s="5" t="n">
        <f aca="false">IFERROR(__xludf.dummyfunction("""COMPUTED_VALUE"""),153.79)</f>
        <v>153.79</v>
      </c>
      <c r="D861" s="5" t="n">
        <f aca="false">IFERROR(__xludf.dummyfunction("""COMPUTED_VALUE"""),150.99)</f>
        <v>150.99</v>
      </c>
      <c r="E861" s="5" t="n">
        <f aca="false">IFERROR(__xludf.dummyfunction("""COMPUTED_VALUE"""),152.47)</f>
        <v>152.47</v>
      </c>
      <c r="F861" s="5" t="n">
        <f aca="false">IFERROR(__xludf.dummyfunction("""COMPUTED_VALUE"""),10066743)</f>
        <v>10066743</v>
      </c>
    </row>
    <row r="862" customFormat="false" ht="15.75" hidden="false" customHeight="false" outlineLevel="0" collapsed="false">
      <c r="A862" s="6" t="n">
        <f aca="false">IFERROR(__xludf.dummyfunction("""COMPUTED_VALUE"""),45448.6666666667)</f>
        <v>45448.6666666667</v>
      </c>
      <c r="B862" s="5" t="n">
        <f aca="false">IFERROR(__xludf.dummyfunction("""COMPUTED_VALUE"""),158.59)</f>
        <v>158.59</v>
      </c>
      <c r="C862" s="5" t="n">
        <f aca="false">IFERROR(__xludf.dummyfunction("""COMPUTED_VALUE"""),163.73)</f>
        <v>163.73</v>
      </c>
      <c r="D862" s="5" t="n">
        <f aca="false">IFERROR(__xludf.dummyfunction("""COMPUTED_VALUE"""),157.95)</f>
        <v>157.95</v>
      </c>
      <c r="E862" s="5" t="n">
        <f aca="false">IFERROR(__xludf.dummyfunction("""COMPUTED_VALUE"""),162.92)</f>
        <v>162.92</v>
      </c>
      <c r="F862" s="5" t="n">
        <f aca="false">IFERROR(__xludf.dummyfunction("""COMPUTED_VALUE"""),23192572)</f>
        <v>23192572</v>
      </c>
    </row>
    <row r="863" customFormat="false" ht="15.75" hidden="false" customHeight="false" outlineLevel="0" collapsed="false">
      <c r="A863" s="6" t="n">
        <f aca="false">IFERROR(__xludf.dummyfunction("""COMPUTED_VALUE"""),45449.6666666667)</f>
        <v>45449.6666666667</v>
      </c>
      <c r="B863" s="5" t="n">
        <f aca="false">IFERROR(__xludf.dummyfunction("""COMPUTED_VALUE"""),164.52)</f>
        <v>164.52</v>
      </c>
      <c r="C863" s="5" t="n">
        <f aca="false">IFERROR(__xludf.dummyfunction("""COMPUTED_VALUE"""),164.7)</f>
        <v>164.7</v>
      </c>
      <c r="D863" s="5" t="n">
        <f aca="false">IFERROR(__xludf.dummyfunction("""COMPUTED_VALUE"""),160.36)</f>
        <v>160.36</v>
      </c>
      <c r="E863" s="5" t="n">
        <f aca="false">IFERROR(__xludf.dummyfunction("""COMPUTED_VALUE"""),162.07)</f>
        <v>162.07</v>
      </c>
      <c r="F863" s="5" t="n">
        <f aca="false">IFERROR(__xludf.dummyfunction("""COMPUTED_VALUE"""),14819056)</f>
        <v>14819056</v>
      </c>
    </row>
    <row r="864" customFormat="false" ht="15.75" hidden="false" customHeight="false" outlineLevel="0" collapsed="false">
      <c r="A864" s="6" t="n">
        <f aca="false">IFERROR(__xludf.dummyfunction("""COMPUTED_VALUE"""),45450.6666666667)</f>
        <v>45450.6666666667</v>
      </c>
      <c r="B864" s="5" t="n">
        <f aca="false">IFERROR(__xludf.dummyfunction("""COMPUTED_VALUE"""),163.57)</f>
        <v>163.57</v>
      </c>
      <c r="C864" s="5" t="n">
        <f aca="false">IFERROR(__xludf.dummyfunction("""COMPUTED_VALUE"""),166.12)</f>
        <v>166.12</v>
      </c>
      <c r="D864" s="5" t="n">
        <f aca="false">IFERROR(__xludf.dummyfunction("""COMPUTED_VALUE"""),161.96)</f>
        <v>161.96</v>
      </c>
      <c r="E864" s="5" t="n">
        <f aca="false">IFERROR(__xludf.dummyfunction("""COMPUTED_VALUE"""),164.39)</f>
        <v>164.39</v>
      </c>
      <c r="F864" s="5" t="n">
        <f aca="false">IFERROR(__xludf.dummyfunction("""COMPUTED_VALUE"""),14023335)</f>
        <v>14023335</v>
      </c>
    </row>
    <row r="865" customFormat="false" ht="15.75" hidden="false" customHeight="false" outlineLevel="0" collapsed="false">
      <c r="A865" s="6" t="n">
        <f aca="false">IFERROR(__xludf.dummyfunction("""COMPUTED_VALUE"""),45453.6666666667)</f>
        <v>45453.6666666667</v>
      </c>
      <c r="B865" s="5" t="n">
        <f aca="false">IFERROR(__xludf.dummyfunction("""COMPUTED_VALUE"""),164)</f>
        <v>164</v>
      </c>
      <c r="C865" s="5" t="n">
        <f aca="false">IFERROR(__xludf.dummyfunction("""COMPUTED_VALUE"""),169.84)</f>
        <v>169.84</v>
      </c>
      <c r="D865" s="5" t="n">
        <f aca="false">IFERROR(__xludf.dummyfunction("""COMPUTED_VALUE"""),162.42)</f>
        <v>162.42</v>
      </c>
      <c r="E865" s="5" t="n">
        <f aca="false">IFERROR(__xludf.dummyfunction("""COMPUTED_VALUE"""),168.16)</f>
        <v>168.16</v>
      </c>
      <c r="F865" s="5" t="n">
        <f aca="false">IFERROR(__xludf.dummyfunction("""COMPUTED_VALUE"""),12438405)</f>
        <v>12438405</v>
      </c>
    </row>
    <row r="866" customFormat="false" ht="15.75" hidden="false" customHeight="false" outlineLevel="0" collapsed="false">
      <c r="A866" s="6" t="n">
        <f aca="false">IFERROR(__xludf.dummyfunction("""COMPUTED_VALUE"""),45454.6666666667)</f>
        <v>45454.6666666667</v>
      </c>
      <c r="B866" s="5" t="n">
        <f aca="false">IFERROR(__xludf.dummyfunction("""COMPUTED_VALUE"""),168.18)</f>
        <v>168.18</v>
      </c>
      <c r="C866" s="5" t="n">
        <f aca="false">IFERROR(__xludf.dummyfunction("""COMPUTED_VALUE"""),168.41)</f>
        <v>168.41</v>
      </c>
      <c r="D866" s="5" t="n">
        <f aca="false">IFERROR(__xludf.dummyfunction("""COMPUTED_VALUE"""),163.79)</f>
        <v>163.79</v>
      </c>
      <c r="E866" s="5" t="n">
        <f aca="false">IFERROR(__xludf.dummyfunction("""COMPUTED_VALUE"""),165.71)</f>
        <v>165.71</v>
      </c>
      <c r="F866" s="5" t="n">
        <f aca="false">IFERROR(__xludf.dummyfunction("""COMPUTED_VALUE"""),11508574)</f>
        <v>11508574</v>
      </c>
    </row>
    <row r="867" customFormat="false" ht="15.75" hidden="false" customHeight="false" outlineLevel="0" collapsed="false">
      <c r="A867" s="6" t="n">
        <f aca="false">IFERROR(__xludf.dummyfunction("""COMPUTED_VALUE"""),45455.6666666667)</f>
        <v>45455.6666666667</v>
      </c>
      <c r="B867" s="5" t="n">
        <f aca="false">IFERROR(__xludf.dummyfunction("""COMPUTED_VALUE"""),173.36)</f>
        <v>173.36</v>
      </c>
      <c r="C867" s="5" t="n">
        <f aca="false">IFERROR(__xludf.dummyfunction("""COMPUTED_VALUE"""),176.06)</f>
        <v>176.06</v>
      </c>
      <c r="D867" s="5" t="n">
        <f aca="false">IFERROR(__xludf.dummyfunction("""COMPUTED_VALUE"""),171.54)</f>
        <v>171.54</v>
      </c>
      <c r="E867" s="5" t="n">
        <f aca="false">IFERROR(__xludf.dummyfunction("""COMPUTED_VALUE"""),172.98)</f>
        <v>172.98</v>
      </c>
      <c r="F867" s="5" t="n">
        <f aca="false">IFERROR(__xludf.dummyfunction("""COMPUTED_VALUE"""),20309502)</f>
        <v>20309502</v>
      </c>
    </row>
    <row r="868" customFormat="false" ht="15.75" hidden="false" customHeight="false" outlineLevel="0" collapsed="false">
      <c r="A868" s="6" t="n">
        <f aca="false">IFERROR(__xludf.dummyfunction("""COMPUTED_VALUE"""),45456.6666666667)</f>
        <v>45456.6666666667</v>
      </c>
      <c r="B868" s="5" t="n">
        <f aca="false">IFERROR(__xludf.dummyfunction("""COMPUTED_VALUE"""),172.95)</f>
        <v>172.95</v>
      </c>
      <c r="C868" s="5" t="n">
        <f aca="false">IFERROR(__xludf.dummyfunction("""COMPUTED_VALUE"""),174.07)</f>
        <v>174.07</v>
      </c>
      <c r="D868" s="5" t="n">
        <f aca="false">IFERROR(__xludf.dummyfunction("""COMPUTED_VALUE"""),170.51)</f>
        <v>170.51</v>
      </c>
      <c r="E868" s="5" t="n">
        <f aca="false">IFERROR(__xludf.dummyfunction("""COMPUTED_VALUE"""),172.91)</f>
        <v>172.91</v>
      </c>
      <c r="F868" s="5" t="n">
        <f aca="false">IFERROR(__xludf.dummyfunction("""COMPUTED_VALUE"""),15591789)</f>
        <v>15591789</v>
      </c>
    </row>
    <row r="869" customFormat="false" ht="15.75" hidden="false" customHeight="false" outlineLevel="0" collapsed="false">
      <c r="A869" s="6" t="n">
        <f aca="false">IFERROR(__xludf.dummyfunction("""COMPUTED_VALUE"""),45457.6666666667)</f>
        <v>45457.6666666667</v>
      </c>
      <c r="B869" s="5" t="n">
        <f aca="false">IFERROR(__xludf.dummyfunction("""COMPUTED_VALUE"""),172)</f>
        <v>172</v>
      </c>
      <c r="C869" s="5" t="n">
        <f aca="false">IFERROR(__xludf.dummyfunction("""COMPUTED_VALUE"""),173.64)</f>
        <v>173.64</v>
      </c>
      <c r="D869" s="5" t="n">
        <f aca="false">IFERROR(__xludf.dummyfunction("""COMPUTED_VALUE"""),170.36)</f>
        <v>170.36</v>
      </c>
      <c r="E869" s="5" t="n">
        <f aca="false">IFERROR(__xludf.dummyfunction("""COMPUTED_VALUE"""),172.51)</f>
        <v>172.51</v>
      </c>
      <c r="F869" s="5" t="n">
        <f aca="false">IFERROR(__xludf.dummyfunction("""COMPUTED_VALUE"""),9192483)</f>
        <v>9192483</v>
      </c>
    </row>
    <row r="870" customFormat="false" ht="15.75" hidden="false" customHeight="false" outlineLevel="0" collapsed="false">
      <c r="A870" s="6" t="n">
        <f aca="false">IFERROR(__xludf.dummyfunction("""COMPUTED_VALUE"""),45460.6666666667)</f>
        <v>45460.6666666667</v>
      </c>
      <c r="B870" s="5" t="n">
        <f aca="false">IFERROR(__xludf.dummyfunction("""COMPUTED_VALUE"""),177.84)</f>
        <v>177.84</v>
      </c>
      <c r="C870" s="5" t="n">
        <f aca="false">IFERROR(__xludf.dummyfunction("""COMPUTED_VALUE"""),178.67)</f>
        <v>178.67</v>
      </c>
      <c r="D870" s="5" t="n">
        <f aca="false">IFERROR(__xludf.dummyfunction("""COMPUTED_VALUE"""),173.48)</f>
        <v>173.48</v>
      </c>
      <c r="E870" s="5" t="n">
        <f aca="false">IFERROR(__xludf.dummyfunction("""COMPUTED_VALUE"""),177.24)</f>
        <v>177.24</v>
      </c>
      <c r="F870" s="5" t="n">
        <f aca="false">IFERROR(__xludf.dummyfunction("""COMPUTED_VALUE"""),18593708)</f>
        <v>18593708</v>
      </c>
    </row>
    <row r="871" customFormat="false" ht="15.75" hidden="false" customHeight="false" outlineLevel="0" collapsed="false">
      <c r="A871" s="6" t="n">
        <f aca="false">IFERROR(__xludf.dummyfunction("""COMPUTED_VALUE"""),45461.6666666667)</f>
        <v>45461.6666666667</v>
      </c>
      <c r="B871" s="5" t="n">
        <f aca="false">IFERROR(__xludf.dummyfunction("""COMPUTED_VALUE"""),180.02)</f>
        <v>180.02</v>
      </c>
      <c r="C871" s="5" t="n">
        <f aca="false">IFERROR(__xludf.dummyfunction("""COMPUTED_VALUE"""),184.86)</f>
        <v>184.86</v>
      </c>
      <c r="D871" s="5" t="n">
        <f aca="false">IFERROR(__xludf.dummyfunction("""COMPUTED_VALUE"""),178.99)</f>
        <v>178.99</v>
      </c>
      <c r="E871" s="5" t="n">
        <f aca="false">IFERROR(__xludf.dummyfunction("""COMPUTED_VALUE"""),179.69)</f>
        <v>179.69</v>
      </c>
      <c r="F871" s="5" t="n">
        <f aca="false">IFERROR(__xludf.dummyfunction("""COMPUTED_VALUE"""),27155146)</f>
        <v>27155146</v>
      </c>
    </row>
    <row r="872" customFormat="false" ht="15.75" hidden="false" customHeight="false" outlineLevel="0" collapsed="false">
      <c r="A872" s="6" t="n">
        <f aca="false">IFERROR(__xludf.dummyfunction("""COMPUTED_VALUE"""),45463.6666666667)</f>
        <v>45463.6666666667</v>
      </c>
      <c r="B872" s="5" t="n">
        <f aca="false">IFERROR(__xludf.dummyfunction("""COMPUTED_VALUE"""),182.58)</f>
        <v>182.58</v>
      </c>
      <c r="C872" s="5" t="n">
        <f aca="false">IFERROR(__xludf.dummyfunction("""COMPUTED_VALUE"""),183.17)</f>
        <v>183.17</v>
      </c>
      <c r="D872" s="5" t="n">
        <f aca="false">IFERROR(__xludf.dummyfunction("""COMPUTED_VALUE"""),173.5)</f>
        <v>173.5</v>
      </c>
      <c r="E872" s="5" t="n">
        <f aca="false">IFERROR(__xludf.dummyfunction("""COMPUTED_VALUE"""),175.38)</f>
        <v>175.38</v>
      </c>
      <c r="F872" s="5" t="n">
        <f aca="false">IFERROR(__xludf.dummyfunction("""COMPUTED_VALUE"""),28403222)</f>
        <v>28403222</v>
      </c>
    </row>
    <row r="873" customFormat="false" ht="15.75" hidden="false" customHeight="false" outlineLevel="0" collapsed="false">
      <c r="A873" s="6" t="n">
        <f aca="false">IFERROR(__xludf.dummyfunction("""COMPUTED_VALUE"""),45464.6666666667)</f>
        <v>45464.6666666667</v>
      </c>
      <c r="B873" s="5" t="n">
        <f aca="false">IFERROR(__xludf.dummyfunction("""COMPUTED_VALUE"""),172.71)</f>
        <v>172.71</v>
      </c>
      <c r="C873" s="5" t="n">
        <f aca="false">IFERROR(__xludf.dummyfunction("""COMPUTED_VALUE"""),177.48)</f>
        <v>177.48</v>
      </c>
      <c r="D873" s="5" t="n">
        <f aca="false">IFERROR(__xludf.dummyfunction("""COMPUTED_VALUE"""),172.21)</f>
        <v>172.21</v>
      </c>
      <c r="E873" s="5" t="n">
        <f aca="false">IFERROR(__xludf.dummyfunction("""COMPUTED_VALUE"""),173.96)</f>
        <v>173.96</v>
      </c>
      <c r="F873" s="5" t="n">
        <f aca="false">IFERROR(__xludf.dummyfunction("""COMPUTED_VALUE"""),20271302)</f>
        <v>20271302</v>
      </c>
    </row>
    <row r="874" customFormat="false" ht="15.75" hidden="false" customHeight="false" outlineLevel="0" collapsed="false">
      <c r="A874" s="6" t="n">
        <f aca="false">IFERROR(__xludf.dummyfunction("""COMPUTED_VALUE"""),45467.6666666667)</f>
        <v>45467.6666666667</v>
      </c>
      <c r="B874" s="5" t="n">
        <f aca="false">IFERROR(__xludf.dummyfunction("""COMPUTED_VALUE"""),170.43)</f>
        <v>170.43</v>
      </c>
      <c r="C874" s="5" t="n">
        <f aca="false">IFERROR(__xludf.dummyfunction("""COMPUTED_VALUE"""),171.42)</f>
        <v>171.42</v>
      </c>
      <c r="D874" s="5" t="n">
        <f aca="false">IFERROR(__xludf.dummyfunction("""COMPUTED_VALUE"""),167.12)</f>
        <v>167.12</v>
      </c>
      <c r="E874" s="5" t="n">
        <f aca="false">IFERROR(__xludf.dummyfunction("""COMPUTED_VALUE"""),167.81)</f>
        <v>167.81</v>
      </c>
      <c r="F874" s="5" t="n">
        <f aca="false">IFERROR(__xludf.dummyfunction("""COMPUTED_VALUE"""),19741664)</f>
        <v>19741664</v>
      </c>
    </row>
    <row r="875" customFormat="false" ht="15.75" hidden="false" customHeight="false" outlineLevel="0" collapsed="false">
      <c r="A875" s="6" t="n">
        <f aca="false">IFERROR(__xludf.dummyfunction("""COMPUTED_VALUE"""),45468.6666666667)</f>
        <v>45468.6666666667</v>
      </c>
      <c r="B875" s="5" t="n">
        <f aca="false">IFERROR(__xludf.dummyfunction("""COMPUTED_VALUE"""),169.95)</f>
        <v>169.95</v>
      </c>
      <c r="C875" s="5" t="n">
        <f aca="false">IFERROR(__xludf.dummyfunction("""COMPUTED_VALUE"""),172.64)</f>
        <v>172.64</v>
      </c>
      <c r="D875" s="5" t="n">
        <f aca="false">IFERROR(__xludf.dummyfunction("""COMPUTED_VALUE"""),169.01)</f>
        <v>169.01</v>
      </c>
      <c r="E875" s="5" t="n">
        <f aca="false">IFERROR(__xludf.dummyfunction("""COMPUTED_VALUE"""),172.6)</f>
        <v>172.6</v>
      </c>
      <c r="F875" s="5" t="n">
        <f aca="false">IFERROR(__xludf.dummyfunction("""COMPUTED_VALUE"""),13480972)</f>
        <v>13480972</v>
      </c>
    </row>
    <row r="876" customFormat="false" ht="15.75" hidden="false" customHeight="false" outlineLevel="0" collapsed="false">
      <c r="A876" s="6" t="n">
        <f aca="false">IFERROR(__xludf.dummyfunction("""COMPUTED_VALUE"""),45469.6666666667)</f>
        <v>45469.6666666667</v>
      </c>
      <c r="B876" s="5" t="n">
        <f aca="false">IFERROR(__xludf.dummyfunction("""COMPUTED_VALUE"""),172.12)</f>
        <v>172.12</v>
      </c>
      <c r="C876" s="5" t="n">
        <f aca="false">IFERROR(__xludf.dummyfunction("""COMPUTED_VALUE"""),173.69)</f>
        <v>173.69</v>
      </c>
      <c r="D876" s="5" t="n">
        <f aca="false">IFERROR(__xludf.dummyfunction("""COMPUTED_VALUE"""),170.2)</f>
        <v>170.2</v>
      </c>
      <c r="E876" s="5" t="n">
        <f aca="false">IFERROR(__xludf.dummyfunction("""COMPUTED_VALUE"""),172.07)</f>
        <v>172.07</v>
      </c>
      <c r="F876" s="5" t="n">
        <f aca="false">IFERROR(__xludf.dummyfunction("""COMPUTED_VALUE"""),11901499)</f>
        <v>11901499</v>
      </c>
    </row>
    <row r="877" customFormat="false" ht="15.75" hidden="false" customHeight="false" outlineLevel="0" collapsed="false">
      <c r="A877" s="6" t="n">
        <f aca="false">IFERROR(__xludf.dummyfunction("""COMPUTED_VALUE"""),45470.6666666667)</f>
        <v>45470.6666666667</v>
      </c>
      <c r="B877" s="5" t="n">
        <f aca="false">IFERROR(__xludf.dummyfunction("""COMPUTED_VALUE"""),173.79)</f>
        <v>173.79</v>
      </c>
      <c r="C877" s="5" t="n">
        <f aca="false">IFERROR(__xludf.dummyfunction("""COMPUTED_VALUE"""),175.48)</f>
        <v>175.48</v>
      </c>
      <c r="D877" s="5" t="n">
        <f aca="false">IFERROR(__xludf.dummyfunction("""COMPUTED_VALUE"""),171.15)</f>
        <v>171.15</v>
      </c>
      <c r="E877" s="5" t="n">
        <f aca="false">IFERROR(__xludf.dummyfunction("""COMPUTED_VALUE"""),171.63)</f>
        <v>171.63</v>
      </c>
      <c r="F877" s="5" t="n">
        <f aca="false">IFERROR(__xludf.dummyfunction("""COMPUTED_VALUE"""),10864584)</f>
        <v>10864584</v>
      </c>
    </row>
    <row r="878" customFormat="false" ht="15.75" hidden="false" customHeight="false" outlineLevel="0" collapsed="false">
      <c r="A878" s="6" t="n">
        <f aca="false">IFERROR(__xludf.dummyfunction("""COMPUTED_VALUE"""),45471.6666666667)</f>
        <v>45471.6666666667</v>
      </c>
      <c r="B878" s="5" t="n">
        <f aca="false">IFERROR(__xludf.dummyfunction("""COMPUTED_VALUE"""),172.81)</f>
        <v>172.81</v>
      </c>
      <c r="C878" s="5" t="n">
        <f aca="false">IFERROR(__xludf.dummyfunction("""COMPUTED_VALUE"""),176.82)</f>
        <v>176.82</v>
      </c>
      <c r="D878" s="5" t="n">
        <f aca="false">IFERROR(__xludf.dummyfunction("""COMPUTED_VALUE"""),172.81)</f>
        <v>172.81</v>
      </c>
      <c r="E878" s="5" t="n">
        <f aca="false">IFERROR(__xludf.dummyfunction("""COMPUTED_VALUE"""),173.81)</f>
        <v>173.81</v>
      </c>
      <c r="F878" s="5" t="n">
        <f aca="false">IFERROR(__xludf.dummyfunction("""COMPUTED_VALUE"""),11216068)</f>
        <v>11216068</v>
      </c>
    </row>
    <row r="879" customFormat="false" ht="15.75" hidden="false" customHeight="false" outlineLevel="0" collapsed="false">
      <c r="A879" s="6" t="n">
        <f aca="false">IFERROR(__xludf.dummyfunction("""COMPUTED_VALUE"""),45474.6666666667)</f>
        <v>45474.6666666667</v>
      </c>
      <c r="B879" s="5" t="n">
        <f aca="false">IFERROR(__xludf.dummyfunction("""COMPUTED_VALUE"""),174.24)</f>
        <v>174.24</v>
      </c>
      <c r="C879" s="5" t="n">
        <f aca="false">IFERROR(__xludf.dummyfunction("""COMPUTED_VALUE"""),175.3)</f>
        <v>175.3</v>
      </c>
      <c r="D879" s="5" t="n">
        <f aca="false">IFERROR(__xludf.dummyfunction("""COMPUTED_VALUE"""),170.45)</f>
        <v>170.45</v>
      </c>
      <c r="E879" s="5" t="n">
        <f aca="false">IFERROR(__xludf.dummyfunction("""COMPUTED_VALUE"""),172.33)</f>
        <v>172.33</v>
      </c>
      <c r="F879" s="5" t="n">
        <f aca="false">IFERROR(__xludf.dummyfunction("""COMPUTED_VALUE"""),10716975)</f>
        <v>10716975</v>
      </c>
    </row>
    <row r="880" customFormat="false" ht="15.75" hidden="false" customHeight="false" outlineLevel="0" collapsed="false">
      <c r="A880" s="6" t="n">
        <f aca="false">IFERROR(__xludf.dummyfunction("""COMPUTED_VALUE"""),45475.6666666667)</f>
        <v>45475.6666666667</v>
      </c>
      <c r="B880" s="5" t="n">
        <f aca="false">IFERROR(__xludf.dummyfunction("""COMPUTED_VALUE"""),171.13)</f>
        <v>171.13</v>
      </c>
      <c r="C880" s="5" t="n">
        <f aca="false">IFERROR(__xludf.dummyfunction("""COMPUTED_VALUE"""),176.71)</f>
        <v>176.71</v>
      </c>
      <c r="D880" s="5" t="n">
        <f aca="false">IFERROR(__xludf.dummyfunction("""COMPUTED_VALUE"""),171.03)</f>
        <v>171.03</v>
      </c>
      <c r="E880" s="5" t="n">
        <f aca="false">IFERROR(__xludf.dummyfunction("""COMPUTED_VALUE"""),175.7)</f>
        <v>175.7</v>
      </c>
      <c r="F880" s="5" t="n">
        <f aca="false">IFERROR(__xludf.dummyfunction("""COMPUTED_VALUE"""),10655486)</f>
        <v>10655486</v>
      </c>
    </row>
    <row r="881" customFormat="false" ht="15.75" hidden="false" customHeight="false" outlineLevel="0" collapsed="false">
      <c r="A881" s="6" t="n">
        <f aca="false">IFERROR(__xludf.dummyfunction("""COMPUTED_VALUE"""),45476.5416666667)</f>
        <v>45476.5416666667</v>
      </c>
      <c r="B881" s="5" t="n">
        <f aca="false">IFERROR(__xludf.dummyfunction("""COMPUTED_VALUE"""),177.99)</f>
        <v>177.99</v>
      </c>
      <c r="C881" s="5" t="n">
        <f aca="false">IFERROR(__xludf.dummyfunction("""COMPUTED_VALUE"""),182.49)</f>
        <v>182.49</v>
      </c>
      <c r="D881" s="5" t="n">
        <f aca="false">IFERROR(__xludf.dummyfunction("""COMPUTED_VALUE"""),177.88)</f>
        <v>177.88</v>
      </c>
      <c r="E881" s="5" t="n">
        <f aca="false">IFERROR(__xludf.dummyfunction("""COMPUTED_VALUE"""),182.49)</f>
        <v>182.49</v>
      </c>
      <c r="F881" s="5" t="n">
        <f aca="false">IFERROR(__xludf.dummyfunction("""COMPUTED_VALUE"""),11808737)</f>
        <v>11808737</v>
      </c>
    </row>
    <row r="882" customFormat="false" ht="15.75" hidden="false" customHeight="false" outlineLevel="0" collapsed="false">
      <c r="A882" s="6" t="n">
        <f aca="false">IFERROR(__xludf.dummyfunction("""COMPUTED_VALUE"""),45478.6666666667)</f>
        <v>45478.6666666667</v>
      </c>
      <c r="B882" s="5" t="n">
        <f aca="false">IFERROR(__xludf.dummyfunction("""COMPUTED_VALUE"""),184.14)</f>
        <v>184.14</v>
      </c>
      <c r="C882" s="5" t="n">
        <f aca="false">IFERROR(__xludf.dummyfunction("""COMPUTED_VALUE"""),185.08)</f>
        <v>185.08</v>
      </c>
      <c r="D882" s="5" t="n">
        <f aca="false">IFERROR(__xludf.dummyfunction("""COMPUTED_VALUE"""),182.3)</f>
        <v>182.3</v>
      </c>
      <c r="E882" s="5" t="n">
        <f aca="false">IFERROR(__xludf.dummyfunction("""COMPUTED_VALUE"""),183.99)</f>
        <v>183.99</v>
      </c>
      <c r="F882" s="5" t="n">
        <f aca="false">IFERROR(__xludf.dummyfunction("""COMPUTED_VALUE"""),11372882)</f>
        <v>11372882</v>
      </c>
    </row>
    <row r="883" customFormat="false" ht="15.75" hidden="false" customHeight="false" outlineLevel="0" collapsed="false">
      <c r="A883" s="6" t="n">
        <f aca="false">IFERROR(__xludf.dummyfunction("""COMPUTED_VALUE"""),45481.6666666667)</f>
        <v>45481.6666666667</v>
      </c>
      <c r="B883" s="5" t="n">
        <f aca="false">IFERROR(__xludf.dummyfunction("""COMPUTED_VALUE"""),190)</f>
        <v>190</v>
      </c>
      <c r="C883" s="5" t="n">
        <f aca="false">IFERROR(__xludf.dummyfunction("""COMPUTED_VALUE"""),192.8)</f>
        <v>192.8</v>
      </c>
      <c r="D883" s="5" t="n">
        <f aca="false">IFERROR(__xludf.dummyfunction("""COMPUTED_VALUE"""),185.13)</f>
        <v>185.13</v>
      </c>
      <c r="E883" s="5" t="n">
        <f aca="false">IFERROR(__xludf.dummyfunction("""COMPUTED_VALUE"""),186.63)</f>
        <v>186.63</v>
      </c>
      <c r="F883" s="5" t="n">
        <f aca="false">IFERROR(__xludf.dummyfunction("""COMPUTED_VALUE"""),22582402)</f>
        <v>22582402</v>
      </c>
    </row>
    <row r="884" customFormat="false" ht="15.75" hidden="false" customHeight="false" outlineLevel="0" collapsed="false">
      <c r="A884" s="6" t="n">
        <f aca="false">IFERROR(__xludf.dummyfunction("""COMPUTED_VALUE"""),45482.6666666667)</f>
        <v>45482.6666666667</v>
      </c>
      <c r="B884" s="5" t="n">
        <f aca="false">IFERROR(__xludf.dummyfunction("""COMPUTED_VALUE"""),188.09)</f>
        <v>188.09</v>
      </c>
      <c r="C884" s="5" t="n">
        <f aca="false">IFERROR(__xludf.dummyfunction("""COMPUTED_VALUE"""),188.44)</f>
        <v>188.44</v>
      </c>
      <c r="D884" s="5" t="n">
        <f aca="false">IFERROR(__xludf.dummyfunction("""COMPUTED_VALUE"""),182.5)</f>
        <v>182.5</v>
      </c>
      <c r="E884" s="5" t="n">
        <f aca="false">IFERROR(__xludf.dummyfunction("""COMPUTED_VALUE"""),184.52)</f>
        <v>184.52</v>
      </c>
      <c r="F884" s="5" t="n">
        <f aca="false">IFERROR(__xludf.dummyfunction("""COMPUTED_VALUE"""),19972038)</f>
        <v>19972038</v>
      </c>
    </row>
    <row r="885" customFormat="false" ht="15.75" hidden="false" customHeight="false" outlineLevel="0" collapsed="false">
      <c r="A885" s="6" t="n">
        <f aca="false">IFERROR(__xludf.dummyfunction("""COMPUTED_VALUE"""),45483.6666666667)</f>
        <v>45483.6666666667</v>
      </c>
      <c r="B885" s="5" t="n">
        <f aca="false">IFERROR(__xludf.dummyfunction("""COMPUTED_VALUE"""),188.28)</f>
        <v>188.28</v>
      </c>
      <c r="C885" s="5" t="n">
        <f aca="false">IFERROR(__xludf.dummyfunction("""COMPUTED_VALUE"""),191.42)</f>
        <v>191.42</v>
      </c>
      <c r="D885" s="5" t="n">
        <f aca="false">IFERROR(__xludf.dummyfunction("""COMPUTED_VALUE"""),186.7)</f>
        <v>186.7</v>
      </c>
      <c r="E885" s="5" t="n">
        <f aca="false">IFERROR(__xludf.dummyfunction("""COMPUTED_VALUE"""),191.05)</f>
        <v>191.05</v>
      </c>
      <c r="F885" s="5" t="n">
        <f aca="false">IFERROR(__xludf.dummyfunction("""COMPUTED_VALUE"""),19293520)</f>
        <v>19293520</v>
      </c>
    </row>
    <row r="886" customFormat="false" ht="15.75" hidden="false" customHeight="false" outlineLevel="0" collapsed="false">
      <c r="A886" s="6" t="n">
        <f aca="false">IFERROR(__xludf.dummyfunction("""COMPUTED_VALUE"""),45484.6666666667)</f>
        <v>45484.6666666667</v>
      </c>
      <c r="B886" s="5" t="n">
        <f aca="false">IFERROR(__xludf.dummyfunction("""COMPUTED_VALUE"""),193.09)</f>
        <v>193.09</v>
      </c>
      <c r="C886" s="5" t="n">
        <f aca="false">IFERROR(__xludf.dummyfunction("""COMPUTED_VALUE"""),193.47)</f>
        <v>193.47</v>
      </c>
      <c r="D886" s="5" t="n">
        <f aca="false">IFERROR(__xludf.dummyfunction("""COMPUTED_VALUE"""),183.01)</f>
        <v>183.01</v>
      </c>
      <c r="E886" s="5" t="n">
        <f aca="false">IFERROR(__xludf.dummyfunction("""COMPUTED_VALUE"""),184.5)</f>
        <v>184.5</v>
      </c>
      <c r="F886" s="5" t="n">
        <f aca="false">IFERROR(__xludf.dummyfunction("""COMPUTED_VALUE"""),21584170)</f>
        <v>21584170</v>
      </c>
    </row>
    <row r="887" customFormat="false" ht="15.75" hidden="false" customHeight="false" outlineLevel="0" collapsed="false">
      <c r="A887" s="6" t="n">
        <f aca="false">IFERROR(__xludf.dummyfunction("""COMPUTED_VALUE"""),45485.6666666667)</f>
        <v>45485.6666666667</v>
      </c>
      <c r="B887" s="5" t="n">
        <f aca="false">IFERROR(__xludf.dummyfunction("""COMPUTED_VALUE"""),183.07)</f>
        <v>183.07</v>
      </c>
      <c r="C887" s="5" t="n">
        <f aca="false">IFERROR(__xludf.dummyfunction("""COMPUTED_VALUE"""),190.38)</f>
        <v>190.38</v>
      </c>
      <c r="D887" s="5" t="n">
        <f aca="false">IFERROR(__xludf.dummyfunction("""COMPUTED_VALUE"""),182.75)</f>
        <v>182.75</v>
      </c>
      <c r="E887" s="5" t="n">
        <f aca="false">IFERROR(__xludf.dummyfunction("""COMPUTED_VALUE"""),187.35)</f>
        <v>187.35</v>
      </c>
      <c r="F887" s="5" t="n">
        <f aca="false">IFERROR(__xludf.dummyfunction("""COMPUTED_VALUE"""),19220331)</f>
        <v>19220331</v>
      </c>
    </row>
    <row r="888" customFormat="false" ht="15.75" hidden="false" customHeight="false" outlineLevel="0" collapsed="false">
      <c r="A888" s="6" t="n">
        <f aca="false">IFERROR(__xludf.dummyfunction("""COMPUTED_VALUE"""),45488.6666666667)</f>
        <v>45488.6666666667</v>
      </c>
      <c r="B888" s="5" t="n">
        <f aca="false">IFERROR(__xludf.dummyfunction("""COMPUTED_VALUE"""),188.68)</f>
        <v>188.68</v>
      </c>
      <c r="C888" s="5" t="n">
        <f aca="false">IFERROR(__xludf.dummyfunction("""COMPUTED_VALUE"""),190.06)</f>
        <v>190.06</v>
      </c>
      <c r="D888" s="5" t="n">
        <f aca="false">IFERROR(__xludf.dummyfunction("""COMPUTED_VALUE"""),184.08)</f>
        <v>184.08</v>
      </c>
      <c r="E888" s="5" t="n">
        <f aca="false">IFERROR(__xludf.dummyfunction("""COMPUTED_VALUE"""),185.22)</f>
        <v>185.22</v>
      </c>
      <c r="F888" s="5" t="n">
        <f aca="false">IFERROR(__xludf.dummyfunction("""COMPUTED_VALUE"""),15683114)</f>
        <v>15683114</v>
      </c>
    </row>
    <row r="889" customFormat="false" ht="15.75" hidden="false" customHeight="false" outlineLevel="0" collapsed="false">
      <c r="A889" s="6" t="n">
        <f aca="false">IFERROR(__xludf.dummyfunction("""COMPUTED_VALUE"""),45489.6666666667)</f>
        <v>45489.6666666667</v>
      </c>
      <c r="B889" s="5" t="n">
        <f aca="false">IFERROR(__xludf.dummyfunction("""COMPUTED_VALUE"""),188.27)</f>
        <v>188.27</v>
      </c>
      <c r="C889" s="5" t="n">
        <f aca="false">IFERROR(__xludf.dummyfunction("""COMPUTED_VALUE"""),189.59)</f>
        <v>189.59</v>
      </c>
      <c r="D889" s="5" t="n">
        <f aca="false">IFERROR(__xludf.dummyfunction("""COMPUTED_VALUE"""),185.02)</f>
        <v>185.02</v>
      </c>
      <c r="E889" s="5" t="n">
        <f aca="false">IFERROR(__xludf.dummyfunction("""COMPUTED_VALUE"""),186.04)</f>
        <v>186.04</v>
      </c>
      <c r="F889" s="5" t="n">
        <f aca="false">IFERROR(__xludf.dummyfunction("""COMPUTED_VALUE"""),16663311)</f>
        <v>16663311</v>
      </c>
    </row>
    <row r="890" customFormat="false" ht="15.75" hidden="false" customHeight="false" outlineLevel="0" collapsed="false">
      <c r="A890" s="6" t="n">
        <f aca="false">IFERROR(__xludf.dummyfunction("""COMPUTED_VALUE"""),45490.6666666667)</f>
        <v>45490.6666666667</v>
      </c>
      <c r="B890" s="5" t="n">
        <f aca="false">IFERROR(__xludf.dummyfunction("""COMPUTED_VALUE"""),175.22)</f>
        <v>175.22</v>
      </c>
      <c r="C890" s="5" t="n">
        <f aca="false">IFERROR(__xludf.dummyfunction("""COMPUTED_VALUE"""),176.58)</f>
        <v>176.58</v>
      </c>
      <c r="D890" s="5" t="n">
        <f aca="false">IFERROR(__xludf.dummyfunction("""COMPUTED_VALUE"""),170.51)</f>
        <v>170.51</v>
      </c>
      <c r="E890" s="5" t="n">
        <f aca="false">IFERROR(__xludf.dummyfunction("""COMPUTED_VALUE"""),171.2)</f>
        <v>171.2</v>
      </c>
      <c r="F890" s="5" t="n">
        <f aca="false">IFERROR(__xludf.dummyfunction("""COMPUTED_VALUE"""),45052592)</f>
        <v>45052592</v>
      </c>
    </row>
    <row r="891" customFormat="false" ht="15.75" hidden="false" customHeight="false" outlineLevel="0" collapsed="false">
      <c r="A891" s="6" t="n">
        <f aca="false">IFERROR(__xludf.dummyfunction("""COMPUTED_VALUE"""),45491.6666666667)</f>
        <v>45491.6666666667</v>
      </c>
      <c r="B891" s="5" t="n">
        <f aca="false">IFERROR(__xludf.dummyfunction("""COMPUTED_VALUE"""),175.5)</f>
        <v>175.5</v>
      </c>
      <c r="C891" s="5" t="n">
        <f aca="false">IFERROR(__xludf.dummyfunction("""COMPUTED_VALUE"""),178.69)</f>
        <v>178.69</v>
      </c>
      <c r="D891" s="5" t="n">
        <f aca="false">IFERROR(__xludf.dummyfunction("""COMPUTED_VALUE"""),164.51)</f>
        <v>164.51</v>
      </c>
      <c r="E891" s="5" t="n">
        <f aca="false">IFERROR(__xludf.dummyfunction("""COMPUTED_VALUE"""),171.87)</f>
        <v>171.87</v>
      </c>
      <c r="F891" s="5" t="n">
        <f aca="false">IFERROR(__xludf.dummyfunction("""COMPUTED_VALUE"""),52903620)</f>
        <v>52903620</v>
      </c>
    </row>
    <row r="892" customFormat="false" ht="15.75" hidden="false" customHeight="false" outlineLevel="0" collapsed="false">
      <c r="A892" s="6" t="n">
        <f aca="false">IFERROR(__xludf.dummyfunction("""COMPUTED_VALUE"""),45492.6666666667)</f>
        <v>45492.6666666667</v>
      </c>
      <c r="B892" s="5" t="n">
        <f aca="false">IFERROR(__xludf.dummyfunction("""COMPUTED_VALUE"""),169.17)</f>
        <v>169.17</v>
      </c>
      <c r="C892" s="5" t="n">
        <f aca="false">IFERROR(__xludf.dummyfunction("""COMPUTED_VALUE"""),170.52)</f>
        <v>170.52</v>
      </c>
      <c r="D892" s="5" t="n">
        <f aca="false">IFERROR(__xludf.dummyfunction("""COMPUTED_VALUE"""),165.22)</f>
        <v>165.22</v>
      </c>
      <c r="E892" s="5" t="n">
        <f aca="false">IFERROR(__xludf.dummyfunction("""COMPUTED_VALUE"""),165.77)</f>
        <v>165.77</v>
      </c>
      <c r="F892" s="5" t="n">
        <f aca="false">IFERROR(__xludf.dummyfunction("""COMPUTED_VALUE"""),22585296)</f>
        <v>22585296</v>
      </c>
    </row>
    <row r="893" customFormat="false" ht="15.75" hidden="false" customHeight="false" outlineLevel="0" collapsed="false">
      <c r="A893" s="6" t="n">
        <f aca="false">IFERROR(__xludf.dummyfunction("""COMPUTED_VALUE"""),45495.6666666667)</f>
        <v>45495.6666666667</v>
      </c>
      <c r="B893" s="5" t="n">
        <f aca="false">IFERROR(__xludf.dummyfunction("""COMPUTED_VALUE"""),166.61)</f>
        <v>166.61</v>
      </c>
      <c r="C893" s="5" t="n">
        <f aca="false">IFERROR(__xludf.dummyfunction("""COMPUTED_VALUE"""),170.88)</f>
        <v>170.88</v>
      </c>
      <c r="D893" s="5" t="n">
        <f aca="false">IFERROR(__xludf.dummyfunction("""COMPUTED_VALUE"""),166.18)</f>
        <v>166.18</v>
      </c>
      <c r="E893" s="5" t="n">
        <f aca="false">IFERROR(__xludf.dummyfunction("""COMPUTED_VALUE"""),169.35)</f>
        <v>169.35</v>
      </c>
      <c r="F893" s="5" t="n">
        <f aca="false">IFERROR(__xludf.dummyfunction("""COMPUTED_VALUE"""),21037199)</f>
        <v>21037199</v>
      </c>
    </row>
    <row r="894" customFormat="false" ht="15.75" hidden="false" customHeight="false" outlineLevel="0" collapsed="false">
      <c r="A894" s="6" t="n">
        <f aca="false">IFERROR(__xludf.dummyfunction("""COMPUTED_VALUE"""),45496.6666666667)</f>
        <v>45496.6666666667</v>
      </c>
      <c r="B894" s="5" t="n">
        <f aca="false">IFERROR(__xludf.dummyfunction("""COMPUTED_VALUE"""),169.42)</f>
        <v>169.42</v>
      </c>
      <c r="C894" s="5" t="n">
        <f aca="false">IFERROR(__xludf.dummyfunction("""COMPUTED_VALUE"""),171.54)</f>
        <v>171.54</v>
      </c>
      <c r="D894" s="5" t="n">
        <f aca="false">IFERROR(__xludf.dummyfunction("""COMPUTED_VALUE"""),167.97)</f>
        <v>167.97</v>
      </c>
      <c r="E894" s="5" t="n">
        <f aca="false">IFERROR(__xludf.dummyfunction("""COMPUTED_VALUE"""),169.82)</f>
        <v>169.82</v>
      </c>
      <c r="F894" s="5" t="n">
        <f aca="false">IFERROR(__xludf.dummyfunction("""COMPUTED_VALUE"""),11690667)</f>
        <v>11690667</v>
      </c>
    </row>
    <row r="895" customFormat="false" ht="15.75" hidden="false" customHeight="false" outlineLevel="0" collapsed="false">
      <c r="A895" s="6" t="n">
        <f aca="false">IFERROR(__xludf.dummyfunction("""COMPUTED_VALUE"""),45497.6666666667)</f>
        <v>45497.6666666667</v>
      </c>
      <c r="B895" s="5" t="n">
        <f aca="false">IFERROR(__xludf.dummyfunction("""COMPUTED_VALUE"""),165.09)</f>
        <v>165.09</v>
      </c>
      <c r="C895" s="5" t="n">
        <f aca="false">IFERROR(__xludf.dummyfunction("""COMPUTED_VALUE"""),165.45)</f>
        <v>165.45</v>
      </c>
      <c r="D895" s="5" t="n">
        <f aca="false">IFERROR(__xludf.dummyfunction("""COMPUTED_VALUE"""),159.59)</f>
        <v>159.59</v>
      </c>
      <c r="E895" s="5" t="n">
        <f aca="false">IFERROR(__xludf.dummyfunction("""COMPUTED_VALUE"""),159.8)</f>
        <v>159.8</v>
      </c>
      <c r="F895" s="5" t="n">
        <f aca="false">IFERROR(__xludf.dummyfunction("""COMPUTED_VALUE"""),19536581)</f>
        <v>19536581</v>
      </c>
    </row>
    <row r="896" customFormat="false" ht="15.75" hidden="false" customHeight="false" outlineLevel="0" collapsed="false">
      <c r="A896" s="6" t="n">
        <f aca="false">IFERROR(__xludf.dummyfunction("""COMPUTED_VALUE"""),45498.6666666667)</f>
        <v>45498.6666666667</v>
      </c>
      <c r="B896" s="5" t="n">
        <f aca="false">IFERROR(__xludf.dummyfunction("""COMPUTED_VALUE"""),158.16)</f>
        <v>158.16</v>
      </c>
      <c r="C896" s="5" t="n">
        <f aca="false">IFERROR(__xludf.dummyfunction("""COMPUTED_VALUE"""),163.4)</f>
        <v>163.4</v>
      </c>
      <c r="D896" s="5" t="n">
        <f aca="false">IFERROR(__xludf.dummyfunction("""COMPUTED_VALUE"""),152.11)</f>
        <v>152.11</v>
      </c>
      <c r="E896" s="5" t="n">
        <f aca="false">IFERROR(__xludf.dummyfunction("""COMPUTED_VALUE"""),160.28)</f>
        <v>160.28</v>
      </c>
      <c r="F896" s="5" t="n">
        <f aca="false">IFERROR(__xludf.dummyfunction("""COMPUTED_VALUE"""),25731750)</f>
        <v>25731750</v>
      </c>
    </row>
    <row r="897" customFormat="false" ht="15.75" hidden="false" customHeight="false" outlineLevel="0" collapsed="false">
      <c r="A897" s="6" t="n">
        <f aca="false">IFERROR(__xludf.dummyfunction("""COMPUTED_VALUE"""),45499.6666666667)</f>
        <v>45499.6666666667</v>
      </c>
      <c r="B897" s="5" t="n">
        <f aca="false">IFERROR(__xludf.dummyfunction("""COMPUTED_VALUE"""),164.3)</f>
        <v>164.3</v>
      </c>
      <c r="C897" s="5" t="n">
        <f aca="false">IFERROR(__xludf.dummyfunction("""COMPUTED_VALUE"""),164.59)</f>
        <v>164.59</v>
      </c>
      <c r="D897" s="5" t="n">
        <f aca="false">IFERROR(__xludf.dummyfunction("""COMPUTED_VALUE"""),159.19)</f>
        <v>159.19</v>
      </c>
      <c r="E897" s="5" t="n">
        <f aca="false">IFERROR(__xludf.dummyfunction("""COMPUTED_VALUE"""),161.94)</f>
        <v>161.94</v>
      </c>
      <c r="F897" s="5" t="n">
        <f aca="false">IFERROR(__xludf.dummyfunction("""COMPUTED_VALUE"""),13089172)</f>
        <v>13089172</v>
      </c>
    </row>
    <row r="898" customFormat="false" ht="15.75" hidden="false" customHeight="false" outlineLevel="0" collapsed="false">
      <c r="A898" s="6" t="n">
        <f aca="false">IFERROR(__xludf.dummyfunction("""COMPUTED_VALUE"""),45502.6666666667)</f>
        <v>45502.6666666667</v>
      </c>
      <c r="B898" s="5" t="n">
        <f aca="false">IFERROR(__xludf.dummyfunction("""COMPUTED_VALUE"""),162.68)</f>
        <v>162.68</v>
      </c>
      <c r="C898" s="5" t="n">
        <f aca="false">IFERROR(__xludf.dummyfunction("""COMPUTED_VALUE"""),163.23)</f>
        <v>163.23</v>
      </c>
      <c r="D898" s="5" t="n">
        <f aca="false">IFERROR(__xludf.dummyfunction("""COMPUTED_VALUE"""),158.63)</f>
        <v>158.63</v>
      </c>
      <c r="E898" s="5" t="n">
        <f aca="false">IFERROR(__xludf.dummyfunction("""COMPUTED_VALUE"""),160.01)</f>
        <v>160.01</v>
      </c>
      <c r="F898" s="5" t="n">
        <f aca="false">IFERROR(__xludf.dummyfunction("""COMPUTED_VALUE"""),12663082)</f>
        <v>12663082</v>
      </c>
    </row>
    <row r="899" customFormat="false" ht="15.75" hidden="false" customHeight="false" outlineLevel="0" collapsed="false">
      <c r="A899" s="6" t="n">
        <f aca="false">IFERROR(__xludf.dummyfunction("""COMPUTED_VALUE"""),45503.6666666667)</f>
        <v>45503.6666666667</v>
      </c>
      <c r="B899" s="5" t="n">
        <f aca="false">IFERROR(__xludf.dummyfunction("""COMPUTED_VALUE"""),160.44)</f>
        <v>160.44</v>
      </c>
      <c r="C899" s="5" t="n">
        <f aca="false">IFERROR(__xludf.dummyfunction("""COMPUTED_VALUE"""),161.15)</f>
        <v>161.15</v>
      </c>
      <c r="D899" s="5" t="n">
        <f aca="false">IFERROR(__xludf.dummyfunction("""COMPUTED_VALUE"""),152.55)</f>
        <v>152.55</v>
      </c>
      <c r="E899" s="5" t="n">
        <f aca="false">IFERROR(__xludf.dummyfunction("""COMPUTED_VALUE"""),154.54)</f>
        <v>154.54</v>
      </c>
      <c r="F899" s="5" t="n">
        <f aca="false">IFERROR(__xludf.dummyfunction("""COMPUTED_VALUE"""),22017963)</f>
        <v>22017963</v>
      </c>
    </row>
    <row r="900" customFormat="false" ht="15.75" hidden="false" customHeight="false" outlineLevel="0" collapsed="false">
      <c r="A900" s="6" t="n">
        <f aca="false">IFERROR(__xludf.dummyfunction("""COMPUTED_VALUE"""),45504.6666666667)</f>
        <v>45504.6666666667</v>
      </c>
      <c r="B900" s="5" t="n">
        <f aca="false">IFERROR(__xludf.dummyfunction("""COMPUTED_VALUE"""),163.77)</f>
        <v>163.77</v>
      </c>
      <c r="C900" s="5" t="n">
        <f aca="false">IFERROR(__xludf.dummyfunction("""COMPUTED_VALUE"""),166.65)</f>
        <v>166.65</v>
      </c>
      <c r="D900" s="5" t="n">
        <f aca="false">IFERROR(__xludf.dummyfunction("""COMPUTED_VALUE"""),162.07)</f>
        <v>162.07</v>
      </c>
      <c r="E900" s="5" t="n">
        <f aca="false">IFERROR(__xludf.dummyfunction("""COMPUTED_VALUE"""),165.8)</f>
        <v>165.8</v>
      </c>
      <c r="F900" s="5" t="n">
        <f aca="false">IFERROR(__xludf.dummyfunction("""COMPUTED_VALUE"""),19860383)</f>
        <v>19860383</v>
      </c>
    </row>
    <row r="901" customFormat="false" ht="15.75" hidden="false" customHeight="false" outlineLevel="0" collapsed="false">
      <c r="A901" s="6" t="n">
        <f aca="false">IFERROR(__xludf.dummyfunction("""COMPUTED_VALUE"""),45505.6666666667)</f>
        <v>45505.6666666667</v>
      </c>
      <c r="B901" s="5" t="n">
        <f aca="false">IFERROR(__xludf.dummyfunction("""COMPUTED_VALUE"""),163.48)</f>
        <v>163.48</v>
      </c>
      <c r="C901" s="5" t="n">
        <f aca="false">IFERROR(__xludf.dummyfunction("""COMPUTED_VALUE"""),167.67)</f>
        <v>167.67</v>
      </c>
      <c r="D901" s="5" t="n">
        <f aca="false">IFERROR(__xludf.dummyfunction("""COMPUTED_VALUE"""),156.84)</f>
        <v>156.84</v>
      </c>
      <c r="E901" s="5" t="n">
        <f aca="false">IFERROR(__xludf.dummyfunction("""COMPUTED_VALUE"""),158.18)</f>
        <v>158.18</v>
      </c>
      <c r="F901" s="5" t="n">
        <f aca="false">IFERROR(__xludf.dummyfunction("""COMPUTED_VALUE"""),21095641)</f>
        <v>21095641</v>
      </c>
    </row>
    <row r="902" customFormat="false" ht="15.75" hidden="false" customHeight="false" outlineLevel="0" collapsed="false">
      <c r="A902" s="6" t="n">
        <f aca="false">IFERROR(__xludf.dummyfunction("""COMPUTED_VALUE"""),45506.6666666667)</f>
        <v>45506.6666666667</v>
      </c>
      <c r="B902" s="5" t="n">
        <f aca="false">IFERROR(__xludf.dummyfunction("""COMPUTED_VALUE"""),151.25)</f>
        <v>151.25</v>
      </c>
      <c r="C902" s="5" t="n">
        <f aca="false">IFERROR(__xludf.dummyfunction("""COMPUTED_VALUE"""),153.86)</f>
        <v>153.86</v>
      </c>
      <c r="D902" s="5" t="n">
        <f aca="false">IFERROR(__xludf.dummyfunction("""COMPUTED_VALUE"""),146.89)</f>
        <v>146.89</v>
      </c>
      <c r="E902" s="5" t="n">
        <f aca="false">IFERROR(__xludf.dummyfunction("""COMPUTED_VALUE"""),149.86)</f>
        <v>149.86</v>
      </c>
      <c r="F902" s="5" t="n">
        <f aca="false">IFERROR(__xludf.dummyfunction("""COMPUTED_VALUE"""),31095265)</f>
        <v>31095265</v>
      </c>
    </row>
    <row r="903" customFormat="false" ht="15.75" hidden="false" customHeight="false" outlineLevel="0" collapsed="false">
      <c r="A903" s="6" t="n">
        <f aca="false">IFERROR(__xludf.dummyfunction("""COMPUTED_VALUE"""),45509.6666666667)</f>
        <v>45509.6666666667</v>
      </c>
      <c r="B903" s="5" t="n">
        <f aca="false">IFERROR(__xludf.dummyfunction("""COMPUTED_VALUE"""),133.86)</f>
        <v>133.86</v>
      </c>
      <c r="C903" s="5" t="n">
        <f aca="false">IFERROR(__xludf.dummyfunction("""COMPUTED_VALUE"""),150)</f>
        <v>150</v>
      </c>
      <c r="D903" s="5" t="n">
        <f aca="false">IFERROR(__xludf.dummyfunction("""COMPUTED_VALUE"""),133.57)</f>
        <v>133.57</v>
      </c>
      <c r="E903" s="5" t="n">
        <f aca="false">IFERROR(__xludf.dummyfunction("""COMPUTED_VALUE"""),147.95)</f>
        <v>147.95</v>
      </c>
      <c r="F903" s="5" t="n">
        <f aca="false">IFERROR(__xludf.dummyfunction("""COMPUTED_VALUE"""),31193148)</f>
        <v>31193148</v>
      </c>
    </row>
    <row r="904" customFormat="false" ht="15.75" hidden="false" customHeight="false" outlineLevel="0" collapsed="false">
      <c r="A904" s="6" t="n">
        <f aca="false">IFERROR(__xludf.dummyfunction("""COMPUTED_VALUE"""),45510.6666666667)</f>
        <v>45510.6666666667</v>
      </c>
      <c r="B904" s="5" t="n">
        <f aca="false">IFERROR(__xludf.dummyfunction("""COMPUTED_VALUE"""),150.44)</f>
        <v>150.44</v>
      </c>
      <c r="C904" s="5" t="n">
        <f aca="false">IFERROR(__xludf.dummyfunction("""COMPUTED_VALUE"""),157.71)</f>
        <v>157.71</v>
      </c>
      <c r="D904" s="5" t="n">
        <f aca="false">IFERROR(__xludf.dummyfunction("""COMPUTED_VALUE"""),147.72)</f>
        <v>147.72</v>
      </c>
      <c r="E904" s="5" t="n">
        <f aca="false">IFERROR(__xludf.dummyfunction("""COMPUTED_VALUE"""),155.39)</f>
        <v>155.39</v>
      </c>
      <c r="F904" s="5" t="n">
        <f aca="false">IFERROR(__xludf.dummyfunction("""COMPUTED_VALUE"""),24528068)</f>
        <v>24528068</v>
      </c>
    </row>
    <row r="905" customFormat="false" ht="15.75" hidden="false" customHeight="false" outlineLevel="0" collapsed="false">
      <c r="A905" s="6" t="n">
        <f aca="false">IFERROR(__xludf.dummyfunction("""COMPUTED_VALUE"""),45511.6666666667)</f>
        <v>45511.6666666667</v>
      </c>
      <c r="B905" s="5" t="n">
        <f aca="false">IFERROR(__xludf.dummyfunction("""COMPUTED_VALUE"""),161.55)</f>
        <v>161.55</v>
      </c>
      <c r="C905" s="5" t="n">
        <f aca="false">IFERROR(__xludf.dummyfunction("""COMPUTED_VALUE"""),162.65)</f>
        <v>162.65</v>
      </c>
      <c r="D905" s="5" t="n">
        <f aca="false">IFERROR(__xludf.dummyfunction("""COMPUTED_VALUE"""),154.52)</f>
        <v>154.52</v>
      </c>
      <c r="E905" s="5" t="n">
        <f aca="false">IFERROR(__xludf.dummyfunction("""COMPUTED_VALUE"""),155.04)</f>
        <v>155.04</v>
      </c>
      <c r="F905" s="5" t="n">
        <f aca="false">IFERROR(__xludf.dummyfunction("""COMPUTED_VALUE"""),22379012)</f>
        <v>22379012</v>
      </c>
    </row>
    <row r="906" customFormat="false" ht="15.75" hidden="false" customHeight="false" outlineLevel="0" collapsed="false">
      <c r="A906" s="6" t="n">
        <f aca="false">IFERROR(__xludf.dummyfunction("""COMPUTED_VALUE"""),45512.6666666667)</f>
        <v>45512.6666666667</v>
      </c>
      <c r="B906" s="5" t="n">
        <f aca="false">IFERROR(__xludf.dummyfunction("""COMPUTED_VALUE"""),159.27)</f>
        <v>159.27</v>
      </c>
      <c r="C906" s="5" t="n">
        <f aca="false">IFERROR(__xludf.dummyfunction("""COMPUTED_VALUE"""),164.75)</f>
        <v>164.75</v>
      </c>
      <c r="D906" s="5" t="n">
        <f aca="false">IFERROR(__xludf.dummyfunction("""COMPUTED_VALUE"""),155.54)</f>
        <v>155.54</v>
      </c>
      <c r="E906" s="5" t="n">
        <f aca="false">IFERROR(__xludf.dummyfunction("""COMPUTED_VALUE"""),164.55)</f>
        <v>164.55</v>
      </c>
      <c r="F906" s="5" t="n">
        <f aca="false">IFERROR(__xludf.dummyfunction("""COMPUTED_VALUE"""),18889635)</f>
        <v>18889635</v>
      </c>
    </row>
    <row r="907" customFormat="false" ht="15.75" hidden="false" customHeight="false" outlineLevel="0" collapsed="false">
      <c r="A907" s="6" t="n">
        <f aca="false">IFERROR(__xludf.dummyfunction("""COMPUTED_VALUE"""),45513.6666666667)</f>
        <v>45513.6666666667</v>
      </c>
      <c r="B907" s="5" t="n">
        <f aca="false">IFERROR(__xludf.dummyfunction("""COMPUTED_VALUE"""),166.32)</f>
        <v>166.32</v>
      </c>
      <c r="C907" s="5" t="n">
        <f aca="false">IFERROR(__xludf.dummyfunction("""COMPUTED_VALUE"""),167.8)</f>
        <v>167.8</v>
      </c>
      <c r="D907" s="5" t="n">
        <f aca="false">IFERROR(__xludf.dummyfunction("""COMPUTED_VALUE"""),163.24)</f>
        <v>163.24</v>
      </c>
      <c r="E907" s="5" t="n">
        <f aca="false">IFERROR(__xludf.dummyfunction("""COMPUTED_VALUE"""),167.12)</f>
        <v>167.12</v>
      </c>
      <c r="F907" s="5" t="n">
        <f aca="false">IFERROR(__xludf.dummyfunction("""COMPUTED_VALUE"""),20519406)</f>
        <v>20519406</v>
      </c>
    </row>
    <row r="908" customFormat="false" ht="15.75" hidden="false" customHeight="false" outlineLevel="0" collapsed="false">
      <c r="A908" s="6" t="n">
        <f aca="false">IFERROR(__xludf.dummyfunction("""COMPUTED_VALUE"""),45516.6666666667)</f>
        <v>45516.6666666667</v>
      </c>
      <c r="B908" s="5" t="n">
        <f aca="false">IFERROR(__xludf.dummyfunction("""COMPUTED_VALUE"""),166)</f>
        <v>166</v>
      </c>
      <c r="C908" s="5" t="n">
        <f aca="false">IFERROR(__xludf.dummyfunction("""COMPUTED_VALUE"""),169.53)</f>
        <v>169.53</v>
      </c>
      <c r="D908" s="5" t="n">
        <f aca="false">IFERROR(__xludf.dummyfunction("""COMPUTED_VALUE"""),165.54)</f>
        <v>165.54</v>
      </c>
      <c r="E908" s="5" t="n">
        <f aca="false">IFERROR(__xludf.dummyfunction("""COMPUTED_VALUE"""),167.63)</f>
        <v>167.63</v>
      </c>
      <c r="F908" s="5" t="n">
        <f aca="false">IFERROR(__xludf.dummyfunction("""COMPUTED_VALUE"""),14727277)</f>
        <v>14727277</v>
      </c>
    </row>
    <row r="909" customFormat="false" ht="15.75" hidden="false" customHeight="false" outlineLevel="0" collapsed="false">
      <c r="A909" s="6" t="n">
        <f aca="false">IFERROR(__xludf.dummyfunction("""COMPUTED_VALUE"""),45517.6666666667)</f>
        <v>45517.6666666667</v>
      </c>
      <c r="B909" s="5" t="n">
        <f aca="false">IFERROR(__xludf.dummyfunction("""COMPUTED_VALUE"""),168)</f>
        <v>168</v>
      </c>
      <c r="C909" s="5" t="n">
        <f aca="false">IFERROR(__xludf.dummyfunction("""COMPUTED_VALUE"""),172.45)</f>
        <v>172.45</v>
      </c>
      <c r="D909" s="5" t="n">
        <f aca="false">IFERROR(__xludf.dummyfunction("""COMPUTED_VALUE"""),166.34)</f>
        <v>166.34</v>
      </c>
      <c r="E909" s="5" t="n">
        <f aca="false">IFERROR(__xludf.dummyfunction("""COMPUTED_VALUE"""),172.34)</f>
        <v>172.34</v>
      </c>
      <c r="F909" s="5" t="n">
        <f aca="false">IFERROR(__xludf.dummyfunction("""COMPUTED_VALUE"""),15243472)</f>
        <v>15243472</v>
      </c>
    </row>
    <row r="910" customFormat="false" ht="15.75" hidden="false" customHeight="false" outlineLevel="0" collapsed="false">
      <c r="A910" s="6" t="n">
        <f aca="false">IFERROR(__xludf.dummyfunction("""COMPUTED_VALUE"""),45518.6666666667)</f>
        <v>45518.6666666667</v>
      </c>
      <c r="B910" s="5" t="n">
        <f aca="false">IFERROR(__xludf.dummyfunction("""COMPUTED_VALUE"""),171.88)</f>
        <v>171.88</v>
      </c>
      <c r="C910" s="5" t="n">
        <f aca="false">IFERROR(__xludf.dummyfunction("""COMPUTED_VALUE"""),172.51)</f>
        <v>172.51</v>
      </c>
      <c r="D910" s="5" t="n">
        <f aca="false">IFERROR(__xludf.dummyfunction("""COMPUTED_VALUE"""),167.19)</f>
        <v>167.19</v>
      </c>
      <c r="E910" s="5" t="n">
        <f aca="false">IFERROR(__xludf.dummyfunction("""COMPUTED_VALUE"""),169.97)</f>
        <v>169.97</v>
      </c>
      <c r="F910" s="5" t="n">
        <f aca="false">IFERROR(__xludf.dummyfunction("""COMPUTED_VALUE"""),11510307)</f>
        <v>11510307</v>
      </c>
    </row>
    <row r="911" customFormat="false" ht="15.75" hidden="false" customHeight="false" outlineLevel="0" collapsed="false">
      <c r="A911" s="6" t="n">
        <f aca="false">IFERROR(__xludf.dummyfunction("""COMPUTED_VALUE"""),45519.6666666667)</f>
        <v>45519.6666666667</v>
      </c>
      <c r="B911" s="5" t="n">
        <f aca="false">IFERROR(__xludf.dummyfunction("""COMPUTED_VALUE"""),172.43)</f>
        <v>172.43</v>
      </c>
      <c r="C911" s="5" t="n">
        <f aca="false">IFERROR(__xludf.dummyfunction("""COMPUTED_VALUE"""),175.44)</f>
        <v>175.44</v>
      </c>
      <c r="D911" s="5" t="n">
        <f aca="false">IFERROR(__xludf.dummyfunction("""COMPUTED_VALUE"""),170.82)</f>
        <v>170.82</v>
      </c>
      <c r="E911" s="5" t="n">
        <f aca="false">IFERROR(__xludf.dummyfunction("""COMPUTED_VALUE"""),173.96)</f>
        <v>173.96</v>
      </c>
      <c r="F911" s="5" t="n">
        <f aca="false">IFERROR(__xludf.dummyfunction("""COMPUTED_VALUE"""),15393526)</f>
        <v>15393526</v>
      </c>
    </row>
    <row r="912" customFormat="false" ht="15.75" hidden="false" customHeight="false" outlineLevel="0" collapsed="false">
      <c r="A912" s="6" t="n">
        <f aca="false">IFERROR(__xludf.dummyfunction("""COMPUTED_VALUE"""),45520.6666666667)</f>
        <v>45520.6666666667</v>
      </c>
      <c r="B912" s="5" t="n">
        <f aca="false">IFERROR(__xludf.dummyfunction("""COMPUTED_VALUE"""),173.39)</f>
        <v>173.39</v>
      </c>
      <c r="C912" s="5" t="n">
        <f aca="false">IFERROR(__xludf.dummyfunction("""COMPUTED_VALUE"""),175)</f>
        <v>175</v>
      </c>
      <c r="D912" s="5" t="n">
        <f aca="false">IFERROR(__xludf.dummyfunction("""COMPUTED_VALUE"""),172.25)</f>
        <v>172.25</v>
      </c>
      <c r="E912" s="5" t="n">
        <f aca="false">IFERROR(__xludf.dummyfunction("""COMPUTED_VALUE"""),174.54)</f>
        <v>174.54</v>
      </c>
      <c r="F912" s="5" t="n">
        <f aca="false">IFERROR(__xludf.dummyfunction("""COMPUTED_VALUE"""),10709972)</f>
        <v>10709972</v>
      </c>
    </row>
    <row r="913" customFormat="false" ht="15.75" hidden="false" customHeight="false" outlineLevel="0" collapsed="false">
      <c r="A913" s="6" t="n">
        <f aca="false">IFERROR(__xludf.dummyfunction("""COMPUTED_VALUE"""),45523.6666666667)</f>
        <v>45523.6666666667</v>
      </c>
      <c r="B913" s="5" t="n">
        <f aca="false">IFERROR(__xludf.dummyfunction("""COMPUTED_VALUE"""),174.76)</f>
        <v>174.76</v>
      </c>
      <c r="C913" s="5" t="n">
        <f aca="false">IFERROR(__xludf.dummyfunction("""COMPUTED_VALUE"""),175.45)</f>
        <v>175.45</v>
      </c>
      <c r="D913" s="5" t="n">
        <f aca="false">IFERROR(__xludf.dummyfunction("""COMPUTED_VALUE"""),171.1)</f>
        <v>171.1</v>
      </c>
      <c r="E913" s="5" t="n">
        <f aca="false">IFERROR(__xludf.dummyfunction("""COMPUTED_VALUE"""),175.45)</f>
        <v>175.45</v>
      </c>
      <c r="F913" s="5" t="n">
        <f aca="false">IFERROR(__xludf.dummyfunction("""COMPUTED_VALUE"""),11510990)</f>
        <v>11510990</v>
      </c>
    </row>
    <row r="914" customFormat="false" ht="15.75" hidden="false" customHeight="false" outlineLevel="0" collapsed="false">
      <c r="A914" s="6" t="n">
        <f aca="false">IFERROR(__xludf.dummyfunction("""COMPUTED_VALUE"""),45524.6666666667)</f>
        <v>45524.6666666667</v>
      </c>
      <c r="B914" s="5" t="n">
        <f aca="false">IFERROR(__xludf.dummyfunction("""COMPUTED_VALUE"""),175.4)</f>
        <v>175.4</v>
      </c>
      <c r="C914" s="5" t="n">
        <f aca="false">IFERROR(__xludf.dummyfunction("""COMPUTED_VALUE"""),175.4)</f>
        <v>175.4</v>
      </c>
      <c r="D914" s="5" t="n">
        <f aca="false">IFERROR(__xludf.dummyfunction("""COMPUTED_VALUE"""),169.85)</f>
        <v>169.85</v>
      </c>
      <c r="E914" s="5" t="n">
        <f aca="false">IFERROR(__xludf.dummyfunction("""COMPUTED_VALUE"""),172.04)</f>
        <v>172.04</v>
      </c>
      <c r="F914" s="5" t="n">
        <f aca="false">IFERROR(__xludf.dummyfunction("""COMPUTED_VALUE"""),13555525)</f>
        <v>13555525</v>
      </c>
    </row>
    <row r="915" customFormat="false" ht="15.75" hidden="false" customHeight="false" outlineLevel="0" collapsed="false">
      <c r="A915" s="6" t="n">
        <f aca="false">IFERROR(__xludf.dummyfunction("""COMPUTED_VALUE"""),45525.6666666667)</f>
        <v>45525.6666666667</v>
      </c>
      <c r="B915" s="5" t="n">
        <f aca="false">IFERROR(__xludf.dummyfunction("""COMPUTED_VALUE"""),170.36)</f>
        <v>170.36</v>
      </c>
      <c r="C915" s="5" t="n">
        <f aca="false">IFERROR(__xludf.dummyfunction("""COMPUTED_VALUE"""),173.08)</f>
        <v>173.08</v>
      </c>
      <c r="D915" s="5" t="n">
        <f aca="false">IFERROR(__xludf.dummyfunction("""COMPUTED_VALUE"""),169.91)</f>
        <v>169.91</v>
      </c>
      <c r="E915" s="5" t="n">
        <f aca="false">IFERROR(__xludf.dummyfunction("""COMPUTED_VALUE"""),171.44)</f>
        <v>171.44</v>
      </c>
      <c r="F915" s="5" t="n">
        <f aca="false">IFERROR(__xludf.dummyfunction("""COMPUTED_VALUE"""),9434811)</f>
        <v>9434811</v>
      </c>
    </row>
    <row r="916" customFormat="false" ht="15.75" hidden="false" customHeight="false" outlineLevel="0" collapsed="false">
      <c r="A916" s="6" t="n">
        <f aca="false">IFERROR(__xludf.dummyfunction("""COMPUTED_VALUE"""),45526.6666666667)</f>
        <v>45526.6666666667</v>
      </c>
      <c r="B916" s="5" t="n">
        <f aca="false">IFERROR(__xludf.dummyfunction("""COMPUTED_VALUE"""),172)</f>
        <v>172</v>
      </c>
      <c r="C916" s="5" t="n">
        <f aca="false">IFERROR(__xludf.dummyfunction("""COMPUTED_VALUE"""),173.28)</f>
        <v>173.28</v>
      </c>
      <c r="D916" s="5" t="n">
        <f aca="false">IFERROR(__xludf.dummyfunction("""COMPUTED_VALUE"""),166.06)</f>
        <v>166.06</v>
      </c>
      <c r="E916" s="5" t="n">
        <f aca="false">IFERROR(__xludf.dummyfunction("""COMPUTED_VALUE"""),166.44)</f>
        <v>166.44</v>
      </c>
      <c r="F916" s="5" t="n">
        <f aca="false">IFERROR(__xludf.dummyfunction("""COMPUTED_VALUE"""),13546124)</f>
        <v>13546124</v>
      </c>
    </row>
    <row r="917" customFormat="false" ht="15.75" hidden="false" customHeight="false" outlineLevel="0" collapsed="false">
      <c r="A917" s="6" t="n">
        <f aca="false">IFERROR(__xludf.dummyfunction("""COMPUTED_VALUE"""),45527.6666666667)</f>
        <v>45527.6666666667</v>
      </c>
      <c r="B917" s="5" t="n">
        <f aca="false">IFERROR(__xludf.dummyfunction("""COMPUTED_VALUE"""),169)</f>
        <v>169</v>
      </c>
      <c r="C917" s="5" t="n">
        <f aca="false">IFERROR(__xludf.dummyfunction("""COMPUTED_VALUE"""),173.29)</f>
        <v>173.29</v>
      </c>
      <c r="D917" s="5" t="n">
        <f aca="false">IFERROR(__xludf.dummyfunction("""COMPUTED_VALUE"""),167.92)</f>
        <v>167.92</v>
      </c>
      <c r="E917" s="5" t="n">
        <f aca="false">IFERROR(__xludf.dummyfunction("""COMPUTED_VALUE"""),171.28)</f>
        <v>171.28</v>
      </c>
      <c r="F917" s="5" t="n">
        <f aca="false">IFERROR(__xludf.dummyfunction("""COMPUTED_VALUE"""),12189133)</f>
        <v>12189133</v>
      </c>
    </row>
    <row r="918" customFormat="false" ht="15.75" hidden="false" customHeight="false" outlineLevel="0" collapsed="false">
      <c r="A918" s="6" t="n">
        <f aca="false">IFERROR(__xludf.dummyfunction("""COMPUTED_VALUE"""),45530.6666666667)</f>
        <v>45530.6666666667</v>
      </c>
      <c r="B918" s="5" t="n">
        <f aca="false">IFERROR(__xludf.dummyfunction("""COMPUTED_VALUE"""),170.38)</f>
        <v>170.38</v>
      </c>
      <c r="C918" s="5" t="n">
        <f aca="false">IFERROR(__xludf.dummyfunction("""COMPUTED_VALUE"""),171.05)</f>
        <v>171.05</v>
      </c>
      <c r="D918" s="5" t="n">
        <f aca="false">IFERROR(__xludf.dummyfunction("""COMPUTED_VALUE"""),167.82)</f>
        <v>167.82</v>
      </c>
      <c r="E918" s="5" t="n">
        <f aca="false">IFERROR(__xludf.dummyfunction("""COMPUTED_VALUE"""),169.07)</f>
        <v>169.07</v>
      </c>
      <c r="F918" s="5" t="n">
        <f aca="false">IFERROR(__xludf.dummyfunction("""COMPUTED_VALUE"""),9611328)</f>
        <v>9611328</v>
      </c>
    </row>
    <row r="919" customFormat="false" ht="15.75" hidden="false" customHeight="false" outlineLevel="0" collapsed="false">
      <c r="A919" s="6" t="n">
        <f aca="false">IFERROR(__xludf.dummyfunction("""COMPUTED_VALUE"""),45531.6666666667)</f>
        <v>45531.6666666667</v>
      </c>
      <c r="B919" s="5" t="n">
        <f aca="false">IFERROR(__xludf.dummyfunction("""COMPUTED_VALUE"""),166.42)</f>
        <v>166.42</v>
      </c>
      <c r="C919" s="5" t="n">
        <f aca="false">IFERROR(__xludf.dummyfunction("""COMPUTED_VALUE"""),170.58)</f>
        <v>170.58</v>
      </c>
      <c r="D919" s="5" t="n">
        <f aca="false">IFERROR(__xludf.dummyfunction("""COMPUTED_VALUE"""),165.04)</f>
        <v>165.04</v>
      </c>
      <c r="E919" s="5" t="n">
        <f aca="false">IFERROR(__xludf.dummyfunction("""COMPUTED_VALUE"""),170.55)</f>
        <v>170.55</v>
      </c>
      <c r="F919" s="5" t="n">
        <f aca="false">IFERROR(__xludf.dummyfunction("""COMPUTED_VALUE"""),9186041)</f>
        <v>9186041</v>
      </c>
    </row>
    <row r="920" customFormat="false" ht="15.75" hidden="false" customHeight="false" outlineLevel="0" collapsed="false">
      <c r="A920" s="6" t="n">
        <f aca="false">IFERROR(__xludf.dummyfunction("""COMPUTED_VALUE"""),45532.6666666667)</f>
        <v>45532.6666666667</v>
      </c>
      <c r="B920" s="5" t="n">
        <f aca="false">IFERROR(__xludf.dummyfunction("""COMPUTED_VALUE"""),171.32)</f>
        <v>171.32</v>
      </c>
      <c r="C920" s="5" t="n">
        <f aca="false">IFERROR(__xludf.dummyfunction("""COMPUTED_VALUE"""),172.47)</f>
        <v>172.47</v>
      </c>
      <c r="D920" s="5" t="n">
        <f aca="false">IFERROR(__xludf.dummyfunction("""COMPUTED_VALUE"""),166.2)</f>
        <v>166.2</v>
      </c>
      <c r="E920" s="5" t="n">
        <f aca="false">IFERROR(__xludf.dummyfunction("""COMPUTED_VALUE"""),169.2)</f>
        <v>169.2</v>
      </c>
      <c r="F920" s="5" t="n">
        <f aca="false">IFERROR(__xludf.dummyfunction("""COMPUTED_VALUE"""),10581371)</f>
        <v>10581371</v>
      </c>
    </row>
    <row r="921" customFormat="false" ht="15.75" hidden="false" customHeight="false" outlineLevel="0" collapsed="false">
      <c r="A921" s="6" t="n">
        <f aca="false">IFERROR(__xludf.dummyfunction("""COMPUTED_VALUE"""),45533.6666666667)</f>
        <v>45533.6666666667</v>
      </c>
      <c r="B921" s="5" t="n">
        <f aca="false">IFERROR(__xludf.dummyfunction("""COMPUTED_VALUE"""),168.65)</f>
        <v>168.65</v>
      </c>
      <c r="C921" s="5" t="n">
        <f aca="false">IFERROR(__xludf.dummyfunction("""COMPUTED_VALUE"""),175.42)</f>
        <v>175.42</v>
      </c>
      <c r="D921" s="5" t="n">
        <f aca="false">IFERROR(__xludf.dummyfunction("""COMPUTED_VALUE"""),167.51)</f>
        <v>167.51</v>
      </c>
      <c r="E921" s="5" t="n">
        <f aca="false">IFERROR(__xludf.dummyfunction("""COMPUTED_VALUE"""),169.15)</f>
        <v>169.15</v>
      </c>
      <c r="F921" s="5" t="n">
        <f aca="false">IFERROR(__xludf.dummyfunction("""COMPUTED_VALUE"""),13213194)</f>
        <v>13213194</v>
      </c>
    </row>
    <row r="922" customFormat="false" ht="15.75" hidden="false" customHeight="false" outlineLevel="0" collapsed="false">
      <c r="A922" s="6" t="n">
        <f aca="false">IFERROR(__xludf.dummyfunction("""COMPUTED_VALUE"""),45534.6666666667)</f>
        <v>45534.6666666667</v>
      </c>
      <c r="B922" s="5" t="n">
        <f aca="false">IFERROR(__xludf.dummyfunction("""COMPUTED_VALUE"""),170.06)</f>
        <v>170.06</v>
      </c>
      <c r="C922" s="5" t="n">
        <f aca="false">IFERROR(__xludf.dummyfunction("""COMPUTED_VALUE"""),172.23)</f>
        <v>172.23</v>
      </c>
      <c r="D922" s="5" t="n">
        <f aca="false">IFERROR(__xludf.dummyfunction("""COMPUTED_VALUE"""),168.75)</f>
        <v>168.75</v>
      </c>
      <c r="E922" s="5" t="n">
        <f aca="false">IFERROR(__xludf.dummyfunction("""COMPUTED_VALUE"""),171.7)</f>
        <v>171.7</v>
      </c>
      <c r="F922" s="5" t="n">
        <f aca="false">IFERROR(__xludf.dummyfunction("""COMPUTED_VALUE"""),9481403)</f>
        <v>9481403</v>
      </c>
    </row>
    <row r="923" customFormat="false" ht="15.75" hidden="false" customHeight="false" outlineLevel="0" collapsed="false">
      <c r="A923" s="6" t="n">
        <f aca="false">IFERROR(__xludf.dummyfunction("""COMPUTED_VALUE"""),45538.6666666667)</f>
        <v>45538.6666666667</v>
      </c>
      <c r="B923" s="5" t="n">
        <f aca="false">IFERROR(__xludf.dummyfunction("""COMPUTED_VALUE"""),168)</f>
        <v>168</v>
      </c>
      <c r="C923" s="5" t="n">
        <f aca="false">IFERROR(__xludf.dummyfunction("""COMPUTED_VALUE"""),168.68)</f>
        <v>168.68</v>
      </c>
      <c r="D923" s="5" t="n">
        <f aca="false">IFERROR(__xludf.dummyfunction("""COMPUTED_VALUE"""),159.8)</f>
        <v>159.8</v>
      </c>
      <c r="E923" s="5" t="n">
        <f aca="false">IFERROR(__xludf.dummyfunction("""COMPUTED_VALUE"""),160.49)</f>
        <v>160.49</v>
      </c>
      <c r="F923" s="5" t="n">
        <f aca="false">IFERROR(__xludf.dummyfunction("""COMPUTED_VALUE"""),18464355)</f>
        <v>18464355</v>
      </c>
    </row>
    <row r="924" customFormat="false" ht="15.75" hidden="false" customHeight="false" outlineLevel="0" collapsed="false">
      <c r="A924" s="6" t="n">
        <f aca="false">IFERROR(__xludf.dummyfunction("""COMPUTED_VALUE"""),45539.6666666667)</f>
        <v>45539.6666666667</v>
      </c>
      <c r="B924" s="5" t="n">
        <f aca="false">IFERROR(__xludf.dummyfunction("""COMPUTED_VALUE"""),159.3)</f>
        <v>159.3</v>
      </c>
      <c r="C924" s="5" t="n">
        <f aca="false">IFERROR(__xludf.dummyfunction("""COMPUTED_VALUE"""),163.88)</f>
        <v>163.88</v>
      </c>
      <c r="D924" s="5" t="n">
        <f aca="false">IFERROR(__xludf.dummyfunction("""COMPUTED_VALUE"""),158.95)</f>
        <v>158.95</v>
      </c>
      <c r="E924" s="5" t="n">
        <f aca="false">IFERROR(__xludf.dummyfunction("""COMPUTED_VALUE"""),160.87)</f>
        <v>160.87</v>
      </c>
      <c r="F924" s="5" t="n">
        <f aca="false">IFERROR(__xludf.dummyfunction("""COMPUTED_VALUE"""),11317391)</f>
        <v>11317391</v>
      </c>
    </row>
    <row r="925" customFormat="false" ht="15.75" hidden="false" customHeight="false" outlineLevel="0" collapsed="false">
      <c r="A925" s="6" t="n">
        <f aca="false">IFERROR(__xludf.dummyfunction("""COMPUTED_VALUE"""),45540.6666666667)</f>
        <v>45540.6666666667</v>
      </c>
      <c r="B925" s="5" t="n">
        <f aca="false">IFERROR(__xludf.dummyfunction("""COMPUTED_VALUE"""),161.54)</f>
        <v>161.54</v>
      </c>
      <c r="C925" s="5" t="n">
        <f aca="false">IFERROR(__xludf.dummyfunction("""COMPUTED_VALUE"""),164.59)</f>
        <v>164.59</v>
      </c>
      <c r="D925" s="5" t="n">
        <f aca="false">IFERROR(__xludf.dummyfunction("""COMPUTED_VALUE"""),161.05)</f>
        <v>161.05</v>
      </c>
      <c r="E925" s="5" t="n">
        <f aca="false">IFERROR(__xludf.dummyfunction("""COMPUTED_VALUE"""),163.7)</f>
        <v>163.7</v>
      </c>
      <c r="F925" s="5" t="n">
        <f aca="false">IFERROR(__xludf.dummyfunction("""COMPUTED_VALUE"""),10260578)</f>
        <v>10260578</v>
      </c>
    </row>
    <row r="926" customFormat="false" ht="15.75" hidden="false" customHeight="false" outlineLevel="0" collapsed="false">
      <c r="A926" s="6" t="n">
        <f aca="false">IFERROR(__xludf.dummyfunction("""COMPUTED_VALUE"""),45541.6666666667)</f>
        <v>45541.6666666667</v>
      </c>
      <c r="B926" s="5" t="n">
        <f aca="false">IFERROR(__xludf.dummyfunction("""COMPUTED_VALUE"""),164.89)</f>
        <v>164.89</v>
      </c>
      <c r="C926" s="5" t="n">
        <f aca="false">IFERROR(__xludf.dummyfunction("""COMPUTED_VALUE"""),165.41)</f>
        <v>165.41</v>
      </c>
      <c r="D926" s="5" t="n">
        <f aca="false">IFERROR(__xludf.dummyfunction("""COMPUTED_VALUE"""),156.01)</f>
        <v>156.01</v>
      </c>
      <c r="E926" s="5" t="n">
        <f aca="false">IFERROR(__xludf.dummyfunction("""COMPUTED_VALUE"""),156.82)</f>
        <v>156.82</v>
      </c>
      <c r="F926" s="5" t="n">
        <f aca="false">IFERROR(__xludf.dummyfunction("""COMPUTED_VALUE"""),14964411)</f>
        <v>14964411</v>
      </c>
    </row>
    <row r="927" customFormat="false" ht="15.75" hidden="false" customHeight="false" outlineLevel="0" collapsed="false">
      <c r="A927" s="6" t="n">
        <f aca="false">IFERROR(__xludf.dummyfunction("""COMPUTED_VALUE"""),45544.6666666667)</f>
        <v>45544.6666666667</v>
      </c>
      <c r="B927" s="5" t="n">
        <f aca="false">IFERROR(__xludf.dummyfunction("""COMPUTED_VALUE"""),160.76)</f>
        <v>160.76</v>
      </c>
      <c r="C927" s="5" t="n">
        <f aca="false">IFERROR(__xludf.dummyfunction("""COMPUTED_VALUE"""),163.1)</f>
        <v>163.1</v>
      </c>
      <c r="D927" s="5" t="n">
        <f aca="false">IFERROR(__xludf.dummyfunction("""COMPUTED_VALUE"""),160.25)</f>
        <v>160.25</v>
      </c>
      <c r="E927" s="5" t="n">
        <f aca="false">IFERROR(__xludf.dummyfunction("""COMPUTED_VALUE"""),162.78)</f>
        <v>162.78</v>
      </c>
      <c r="F927" s="5" t="n">
        <f aca="false">IFERROR(__xludf.dummyfunction("""COMPUTED_VALUE"""),10339023)</f>
        <v>10339023</v>
      </c>
    </row>
    <row r="928" customFormat="false" ht="15.75" hidden="false" customHeight="false" outlineLevel="0" collapsed="false">
      <c r="A928" s="6" t="n">
        <f aca="false">IFERROR(__xludf.dummyfunction("""COMPUTED_VALUE"""),45545.6666666667)</f>
        <v>45545.6666666667</v>
      </c>
      <c r="B928" s="5" t="n">
        <f aca="false">IFERROR(__xludf.dummyfunction("""COMPUTED_VALUE"""),162.89)</f>
        <v>162.89</v>
      </c>
      <c r="C928" s="5" t="n">
        <f aca="false">IFERROR(__xludf.dummyfunction("""COMPUTED_VALUE"""),162.89)</f>
        <v>162.89</v>
      </c>
      <c r="D928" s="5" t="n">
        <f aca="false">IFERROR(__xludf.dummyfunction("""COMPUTED_VALUE"""),157.69)</f>
        <v>157.69</v>
      </c>
      <c r="E928" s="5" t="n">
        <f aca="false">IFERROR(__xludf.dummyfunction("""COMPUTED_VALUE"""),162.43)</f>
        <v>162.43</v>
      </c>
      <c r="F928" s="5" t="n">
        <f aca="false">IFERROR(__xludf.dummyfunction("""COMPUTED_VALUE"""),11910831)</f>
        <v>11910831</v>
      </c>
    </row>
    <row r="929" customFormat="false" ht="15.75" hidden="false" customHeight="false" outlineLevel="0" collapsed="false">
      <c r="A929" s="6" t="n">
        <f aca="false">IFERROR(__xludf.dummyfunction("""COMPUTED_VALUE"""),45546.6666666667)</f>
        <v>45546.6666666667</v>
      </c>
      <c r="B929" s="5" t="n">
        <f aca="false">IFERROR(__xludf.dummyfunction("""COMPUTED_VALUE"""),163.8)</f>
        <v>163.8</v>
      </c>
      <c r="C929" s="5" t="n">
        <f aca="false">IFERROR(__xludf.dummyfunction("""COMPUTED_VALUE"""),170.38)</f>
        <v>170.38</v>
      </c>
      <c r="D929" s="5" t="n">
        <f aca="false">IFERROR(__xludf.dummyfunction("""COMPUTED_VALUE"""),161.42)</f>
        <v>161.42</v>
      </c>
      <c r="E929" s="5" t="n">
        <f aca="false">IFERROR(__xludf.dummyfunction("""COMPUTED_VALUE"""),170.23)</f>
        <v>170.23</v>
      </c>
      <c r="F929" s="5" t="n">
        <f aca="false">IFERROR(__xludf.dummyfunction("""COMPUTED_VALUE"""),15059547)</f>
        <v>15059547</v>
      </c>
    </row>
    <row r="930" customFormat="false" ht="15.75" hidden="false" customHeight="false" outlineLevel="0" collapsed="false">
      <c r="A930" s="6" t="n">
        <f aca="false">IFERROR(__xludf.dummyfunction("""COMPUTED_VALUE"""),45547.6666666667)</f>
        <v>45547.6666666667</v>
      </c>
      <c r="B930" s="5" t="n">
        <f aca="false">IFERROR(__xludf.dummyfunction("""COMPUTED_VALUE"""),170.6)</f>
        <v>170.6</v>
      </c>
      <c r="C930" s="5" t="n">
        <f aca="false">IFERROR(__xludf.dummyfunction("""COMPUTED_VALUE"""),172.15)</f>
        <v>172.15</v>
      </c>
      <c r="D930" s="5" t="n">
        <f aca="false">IFERROR(__xludf.dummyfunction("""COMPUTED_VALUE"""),169)</f>
        <v>169</v>
      </c>
      <c r="E930" s="5" t="n">
        <f aca="false">IFERROR(__xludf.dummyfunction("""COMPUTED_VALUE"""),171.43)</f>
        <v>171.43</v>
      </c>
      <c r="F930" s="5" t="n">
        <f aca="false">IFERROR(__xludf.dummyfunction("""COMPUTED_VALUE"""),13415497)</f>
        <v>13415497</v>
      </c>
    </row>
    <row r="931" customFormat="false" ht="15.75" hidden="false" customHeight="false" outlineLevel="0" collapsed="false">
      <c r="A931" s="6" t="n">
        <f aca="false">IFERROR(__xludf.dummyfunction("""COMPUTED_VALUE"""),45548.6666666667)</f>
        <v>45548.6666666667</v>
      </c>
      <c r="B931" s="5" t="n">
        <f aca="false">IFERROR(__xludf.dummyfunction("""COMPUTED_VALUE"""),172.24)</f>
        <v>172.24</v>
      </c>
      <c r="C931" s="5" t="n">
        <f aca="false">IFERROR(__xludf.dummyfunction("""COMPUTED_VALUE"""),174.77)</f>
        <v>174.77</v>
      </c>
      <c r="D931" s="5" t="n">
        <f aca="false">IFERROR(__xludf.dummyfunction("""COMPUTED_VALUE"""),171.45)</f>
        <v>171.45</v>
      </c>
      <c r="E931" s="5" t="n">
        <f aca="false">IFERROR(__xludf.dummyfunction("""COMPUTED_VALUE"""),172.5)</f>
        <v>172.5</v>
      </c>
      <c r="F931" s="5" t="n">
        <f aca="false">IFERROR(__xludf.dummyfunction("""COMPUTED_VALUE"""),8787842)</f>
        <v>8787842</v>
      </c>
    </row>
    <row r="932" customFormat="false" ht="15.75" hidden="false" customHeight="false" outlineLevel="0" collapsed="false">
      <c r="A932" s="6" t="n">
        <f aca="false">IFERROR(__xludf.dummyfunction("""COMPUTED_VALUE"""),45551.6666666667)</f>
        <v>45551.6666666667</v>
      </c>
      <c r="B932" s="5" t="n">
        <f aca="false">IFERROR(__xludf.dummyfunction("""COMPUTED_VALUE"""),169.91)</f>
        <v>169.91</v>
      </c>
      <c r="C932" s="5" t="n">
        <f aca="false">IFERROR(__xludf.dummyfunction("""COMPUTED_VALUE"""),170.56)</f>
        <v>170.56</v>
      </c>
      <c r="D932" s="5" t="n">
        <f aca="false">IFERROR(__xludf.dummyfunction("""COMPUTED_VALUE"""),166.77)</f>
        <v>166.77</v>
      </c>
      <c r="E932" s="5" t="n">
        <f aca="false">IFERROR(__xludf.dummyfunction("""COMPUTED_VALUE"""),169.08)</f>
        <v>169.08</v>
      </c>
      <c r="F932" s="5" t="n">
        <f aca="false">IFERROR(__xludf.dummyfunction("""COMPUTED_VALUE"""),12194259)</f>
        <v>12194259</v>
      </c>
    </row>
    <row r="933" customFormat="false" ht="15.75" hidden="false" customHeight="false" outlineLevel="0" collapsed="false">
      <c r="A933" s="6" t="n">
        <f aca="false">IFERROR(__xludf.dummyfunction("""COMPUTED_VALUE"""),45552.6666666667)</f>
        <v>45552.6666666667</v>
      </c>
      <c r="B933" s="5" t="n">
        <f aca="false">IFERROR(__xludf.dummyfunction("""COMPUTED_VALUE"""),169.35)</f>
        <v>169.35</v>
      </c>
      <c r="C933" s="5" t="n">
        <f aca="false">IFERROR(__xludf.dummyfunction("""COMPUTED_VALUE"""),170.24)</f>
        <v>170.24</v>
      </c>
      <c r="D933" s="5" t="n">
        <f aca="false">IFERROR(__xludf.dummyfunction("""COMPUTED_VALUE"""),166.36)</f>
        <v>166.36</v>
      </c>
      <c r="E933" s="5" t="n">
        <f aca="false">IFERROR(__xludf.dummyfunction("""COMPUTED_VALUE"""),167.35)</f>
        <v>167.35</v>
      </c>
      <c r="F933" s="5" t="n">
        <f aca="false">IFERROR(__xludf.dummyfunction("""COMPUTED_VALUE"""),8582819)</f>
        <v>8582819</v>
      </c>
    </row>
    <row r="934" customFormat="false" ht="15.75" hidden="false" customHeight="false" outlineLevel="0" collapsed="false">
      <c r="A934" s="6" t="n">
        <f aca="false">IFERROR(__xludf.dummyfunction("""COMPUTED_VALUE"""),45553.6666666667)</f>
        <v>45553.6666666667</v>
      </c>
      <c r="B934" s="5" t="n">
        <f aca="false">IFERROR(__xludf.dummyfunction("""COMPUTED_VALUE"""),168.46)</f>
        <v>168.46</v>
      </c>
      <c r="C934" s="5" t="n">
        <f aca="false">IFERROR(__xludf.dummyfunction("""COMPUTED_VALUE"""),171.6)</f>
        <v>171.6</v>
      </c>
      <c r="D934" s="5" t="n">
        <f aca="false">IFERROR(__xludf.dummyfunction("""COMPUTED_VALUE"""),167)</f>
        <v>167</v>
      </c>
      <c r="E934" s="5" t="n">
        <f aca="false">IFERROR(__xludf.dummyfunction("""COMPUTED_VALUE"""),167.28)</f>
        <v>167.28</v>
      </c>
      <c r="F934" s="5" t="n">
        <f aca="false">IFERROR(__xludf.dummyfunction("""COMPUTED_VALUE"""),9115969)</f>
        <v>9115969</v>
      </c>
    </row>
    <row r="935" customFormat="false" ht="15.75" hidden="false" customHeight="false" outlineLevel="0" collapsed="false">
      <c r="A935" s="6" t="n">
        <f aca="false">IFERROR(__xludf.dummyfunction("""COMPUTED_VALUE"""),45554.6666666667)</f>
        <v>45554.6666666667</v>
      </c>
      <c r="B935" s="5" t="n">
        <f aca="false">IFERROR(__xludf.dummyfunction("""COMPUTED_VALUE"""),174.38)</f>
        <v>174.38</v>
      </c>
      <c r="C935" s="5" t="n">
        <f aca="false">IFERROR(__xludf.dummyfunction("""COMPUTED_VALUE"""),177.78)</f>
        <v>177.78</v>
      </c>
      <c r="D935" s="5" t="n">
        <f aca="false">IFERROR(__xludf.dummyfunction("""COMPUTED_VALUE"""),172.63)</f>
        <v>172.63</v>
      </c>
      <c r="E935" s="5" t="n">
        <f aca="false">IFERROR(__xludf.dummyfunction("""COMPUTED_VALUE"""),176.22)</f>
        <v>176.22</v>
      </c>
      <c r="F935" s="5" t="n">
        <f aca="false">IFERROR(__xludf.dummyfunction("""COMPUTED_VALUE"""),15855048)</f>
        <v>15855048</v>
      </c>
    </row>
    <row r="936" customFormat="false" ht="15.75" hidden="false" customHeight="false" outlineLevel="0" collapsed="false">
      <c r="A936" s="6" t="n">
        <f aca="false">IFERROR(__xludf.dummyfunction("""COMPUTED_VALUE"""),45555.6666666667)</f>
        <v>45555.6666666667</v>
      </c>
      <c r="B936" s="5" t="n">
        <f aca="false">IFERROR(__xludf.dummyfunction("""COMPUTED_VALUE"""),174.87)</f>
        <v>174.87</v>
      </c>
      <c r="C936" s="5" t="n">
        <f aca="false">IFERROR(__xludf.dummyfunction("""COMPUTED_VALUE"""),176.02)</f>
        <v>176.02</v>
      </c>
      <c r="D936" s="5" t="n">
        <f aca="false">IFERROR(__xludf.dummyfunction("""COMPUTED_VALUE"""),173.65)</f>
        <v>173.65</v>
      </c>
      <c r="E936" s="5" t="n">
        <f aca="false">IFERROR(__xludf.dummyfunction("""COMPUTED_VALUE"""),174.08)</f>
        <v>174.08</v>
      </c>
      <c r="F936" s="5" t="n">
        <f aca="false">IFERROR(__xludf.dummyfunction("""COMPUTED_VALUE"""),18429784)</f>
        <v>18429784</v>
      </c>
    </row>
    <row r="937" customFormat="false" ht="15.75" hidden="false" customHeight="false" outlineLevel="0" collapsed="false">
      <c r="A937" s="6" t="n">
        <f aca="false">IFERROR(__xludf.dummyfunction("""COMPUTED_VALUE"""),45558.6666666667)</f>
        <v>45558.6666666667</v>
      </c>
      <c r="B937" s="5" t="n">
        <f aca="false">IFERROR(__xludf.dummyfunction("""COMPUTED_VALUE"""),174.84)</f>
        <v>174.84</v>
      </c>
      <c r="C937" s="5" t="n">
        <f aca="false">IFERROR(__xludf.dummyfunction("""COMPUTED_VALUE"""),175.4)</f>
        <v>175.4</v>
      </c>
      <c r="D937" s="5" t="n">
        <f aca="false">IFERROR(__xludf.dummyfunction("""COMPUTED_VALUE"""),173.7)</f>
        <v>173.7</v>
      </c>
      <c r="E937" s="5" t="n">
        <f aca="false">IFERROR(__xludf.dummyfunction("""COMPUTED_VALUE"""),174.76)</f>
        <v>174.76</v>
      </c>
      <c r="F937" s="5" t="n">
        <f aca="false">IFERROR(__xludf.dummyfunction("""COMPUTED_VALUE"""),5794249)</f>
        <v>5794249</v>
      </c>
    </row>
    <row r="938" customFormat="false" ht="15.75" hidden="false" customHeight="false" outlineLevel="0" collapsed="false">
      <c r="A938" s="6" t="n">
        <f aca="false">IFERROR(__xludf.dummyfunction("""COMPUTED_VALUE"""),45559.6666666667)</f>
        <v>45559.6666666667</v>
      </c>
      <c r="B938" s="5" t="n">
        <f aca="false">IFERROR(__xludf.dummyfunction("""COMPUTED_VALUE"""),179.5)</f>
        <v>179.5</v>
      </c>
      <c r="C938" s="5" t="n">
        <f aca="false">IFERROR(__xludf.dummyfunction("""COMPUTED_VALUE"""),182.78)</f>
        <v>182.78</v>
      </c>
      <c r="D938" s="5" t="n">
        <f aca="false">IFERROR(__xludf.dummyfunction("""COMPUTED_VALUE"""),177.05)</f>
        <v>177.05</v>
      </c>
      <c r="E938" s="5" t="n">
        <f aca="false">IFERROR(__xludf.dummyfunction("""COMPUTED_VALUE"""),181.97)</f>
        <v>181.97</v>
      </c>
      <c r="F938" s="5" t="n">
        <f aca="false">IFERROR(__xludf.dummyfunction("""COMPUTED_VALUE"""),14576105)</f>
        <v>14576105</v>
      </c>
    </row>
    <row r="939" customFormat="false" ht="15.75" hidden="false" customHeight="false" outlineLevel="0" collapsed="false">
      <c r="A939" s="6" t="n">
        <f aca="false">IFERROR(__xludf.dummyfunction("""COMPUTED_VALUE"""),45560.6666666667)</f>
        <v>45560.6666666667</v>
      </c>
      <c r="B939" s="5" t="n">
        <f aca="false">IFERROR(__xludf.dummyfunction("""COMPUTED_VALUE"""),181.52)</f>
        <v>181.52</v>
      </c>
      <c r="C939" s="5" t="n">
        <f aca="false">IFERROR(__xludf.dummyfunction("""COMPUTED_VALUE"""),183.82)</f>
        <v>183.82</v>
      </c>
      <c r="D939" s="5" t="n">
        <f aca="false">IFERROR(__xludf.dummyfunction("""COMPUTED_VALUE"""),181.21)</f>
        <v>181.21</v>
      </c>
      <c r="E939" s="5" t="n">
        <f aca="false">IFERROR(__xludf.dummyfunction("""COMPUTED_VALUE"""),182.35)</f>
        <v>182.35</v>
      </c>
      <c r="F939" s="5" t="n">
        <f aca="false">IFERROR(__xludf.dummyfunction("""COMPUTED_VALUE"""),8280927)</f>
        <v>8280927</v>
      </c>
    </row>
    <row r="940" customFormat="false" ht="15.75" hidden="false" customHeight="false" outlineLevel="0" collapsed="false">
      <c r="A940" s="6" t="n">
        <f aca="false">IFERROR(__xludf.dummyfunction("""COMPUTED_VALUE"""),45561.6666666667)</f>
        <v>45561.6666666667</v>
      </c>
      <c r="B940" s="5" t="n">
        <f aca="false">IFERROR(__xludf.dummyfunction("""COMPUTED_VALUE"""),188.5)</f>
        <v>188.5</v>
      </c>
      <c r="C940" s="5" t="n">
        <f aca="false">IFERROR(__xludf.dummyfunction("""COMPUTED_VALUE"""),189.33)</f>
        <v>189.33</v>
      </c>
      <c r="D940" s="5" t="n">
        <f aca="false">IFERROR(__xludf.dummyfunction("""COMPUTED_VALUE"""),183.8)</f>
        <v>183.8</v>
      </c>
      <c r="E940" s="5" t="n">
        <f aca="false">IFERROR(__xludf.dummyfunction("""COMPUTED_VALUE"""),186.83)</f>
        <v>186.83</v>
      </c>
      <c r="F940" s="5" t="n">
        <f aca="false">IFERROR(__xludf.dummyfunction("""COMPUTED_VALUE"""),15103400)</f>
        <v>15103400</v>
      </c>
    </row>
    <row r="941" customFormat="false" ht="15.75" hidden="false" customHeight="false" outlineLevel="0" collapsed="false">
      <c r="A941" s="6" t="n">
        <f aca="false">IFERROR(__xludf.dummyfunction("""COMPUTED_VALUE"""),45562.6666666667)</f>
        <v>45562.6666666667</v>
      </c>
      <c r="B941" s="5" t="n">
        <f aca="false">IFERROR(__xludf.dummyfunction("""COMPUTED_VALUE"""),185.84)</f>
        <v>185.84</v>
      </c>
      <c r="C941" s="5" t="n">
        <f aca="false">IFERROR(__xludf.dummyfunction("""COMPUTED_VALUE"""),185.94)</f>
        <v>185.94</v>
      </c>
      <c r="D941" s="5" t="n">
        <f aca="false">IFERROR(__xludf.dummyfunction("""COMPUTED_VALUE"""),177.4)</f>
        <v>177.4</v>
      </c>
      <c r="E941" s="5" t="n">
        <f aca="false">IFERROR(__xludf.dummyfunction("""COMPUTED_VALUE"""),177.97)</f>
        <v>177.97</v>
      </c>
      <c r="F941" s="5" t="n">
        <f aca="false">IFERROR(__xludf.dummyfunction("""COMPUTED_VALUE"""),17908399)</f>
        <v>17908399</v>
      </c>
    </row>
    <row r="942" customFormat="false" ht="15.75" hidden="false" customHeight="false" outlineLevel="0" collapsed="false">
      <c r="A942" s="6" t="n">
        <f aca="false">IFERROR(__xludf.dummyfunction("""COMPUTED_VALUE"""),45565.6666666667)</f>
        <v>45565.6666666667</v>
      </c>
      <c r="B942" s="5" t="n">
        <f aca="false">IFERROR(__xludf.dummyfunction("""COMPUTED_VALUE"""),174.27)</f>
        <v>174.27</v>
      </c>
      <c r="C942" s="5" t="n">
        <f aca="false">IFERROR(__xludf.dummyfunction("""COMPUTED_VALUE"""),176.82)</f>
        <v>176.82</v>
      </c>
      <c r="D942" s="5" t="n">
        <f aca="false">IFERROR(__xludf.dummyfunction("""COMPUTED_VALUE"""),171.93)</f>
        <v>171.93</v>
      </c>
      <c r="E942" s="5" t="n">
        <f aca="false">IFERROR(__xludf.dummyfunction("""COMPUTED_VALUE"""),173.67)</f>
        <v>173.67</v>
      </c>
      <c r="F942" s="5" t="n">
        <f aca="false">IFERROR(__xludf.dummyfunction("""COMPUTED_VALUE"""),13561649)</f>
        <v>13561649</v>
      </c>
    </row>
    <row r="943" customFormat="false" ht="15.75" hidden="false" customHeight="false" outlineLevel="0" collapsed="false">
      <c r="A943" s="6" t="n">
        <f aca="false">IFERROR(__xludf.dummyfunction("""COMPUTED_VALUE"""),45566.6666666667)</f>
        <v>45566.6666666667</v>
      </c>
      <c r="B943" s="5" t="n">
        <f aca="false">IFERROR(__xludf.dummyfunction("""COMPUTED_VALUE"""),175.31)</f>
        <v>175.31</v>
      </c>
      <c r="C943" s="5" t="n">
        <f aca="false">IFERROR(__xludf.dummyfunction("""COMPUTED_VALUE"""),175.99)</f>
        <v>175.99</v>
      </c>
      <c r="D943" s="5" t="n">
        <f aca="false">IFERROR(__xludf.dummyfunction("""COMPUTED_VALUE"""),170.78)</f>
        <v>170.78</v>
      </c>
      <c r="E943" s="5" t="n">
        <f aca="false">IFERROR(__xludf.dummyfunction("""COMPUTED_VALUE"""),172.07)</f>
        <v>172.07</v>
      </c>
      <c r="F943" s="5" t="n">
        <f aca="false">IFERROR(__xludf.dummyfunction("""COMPUTED_VALUE"""),11850168)</f>
        <v>11850168</v>
      </c>
    </row>
    <row r="944" customFormat="false" ht="15.75" hidden="false" customHeight="false" outlineLevel="0" collapsed="false">
      <c r="A944" s="6" t="n">
        <f aca="false">IFERROR(__xludf.dummyfunction("""COMPUTED_VALUE"""),45567.6666666667)</f>
        <v>45567.6666666667</v>
      </c>
      <c r="B944" s="5" t="n">
        <f aca="false">IFERROR(__xludf.dummyfunction("""COMPUTED_VALUE"""),172.96)</f>
        <v>172.96</v>
      </c>
      <c r="C944" s="5" t="n">
        <f aca="false">IFERROR(__xludf.dummyfunction("""COMPUTED_VALUE"""),176.97)</f>
        <v>176.97</v>
      </c>
      <c r="D944" s="5" t="n">
        <f aca="false">IFERROR(__xludf.dummyfunction("""COMPUTED_VALUE"""),170.79)</f>
        <v>170.79</v>
      </c>
      <c r="E944" s="5" t="n">
        <f aca="false">IFERROR(__xludf.dummyfunction("""COMPUTED_VALUE"""),175.8)</f>
        <v>175.8</v>
      </c>
      <c r="F944" s="5" t="n">
        <f aca="false">IFERROR(__xludf.dummyfunction("""COMPUTED_VALUE"""),11164365)</f>
        <v>11164365</v>
      </c>
    </row>
    <row r="945" customFormat="false" ht="15.75" hidden="false" customHeight="false" outlineLevel="0" collapsed="false">
      <c r="A945" s="6" t="n">
        <f aca="false">IFERROR(__xludf.dummyfunction("""COMPUTED_VALUE"""),45568.6666666667)</f>
        <v>45568.6666666667</v>
      </c>
      <c r="B945" s="5" t="n">
        <f aca="false">IFERROR(__xludf.dummyfunction("""COMPUTED_VALUE"""),175.8)</f>
        <v>175.8</v>
      </c>
      <c r="C945" s="5" t="n">
        <f aca="false">IFERROR(__xludf.dummyfunction("""COMPUTED_VALUE"""),180.79)</f>
        <v>180.79</v>
      </c>
      <c r="D945" s="5" t="n">
        <f aca="false">IFERROR(__xludf.dummyfunction("""COMPUTED_VALUE"""),175.12)</f>
        <v>175.12</v>
      </c>
      <c r="E945" s="5" t="n">
        <f aca="false">IFERROR(__xludf.dummyfunction("""COMPUTED_VALUE"""),179.48)</f>
        <v>179.48</v>
      </c>
      <c r="F945" s="5" t="n">
        <f aca="false">IFERROR(__xludf.dummyfunction("""COMPUTED_VALUE"""),12555033)</f>
        <v>12555033</v>
      </c>
    </row>
    <row r="946" customFormat="false" ht="15.75" hidden="false" customHeight="false" outlineLevel="0" collapsed="false">
      <c r="A946" s="6" t="n">
        <f aca="false">IFERROR(__xludf.dummyfunction("""COMPUTED_VALUE"""),45569.6666666667)</f>
        <v>45569.6666666667</v>
      </c>
      <c r="B946" s="5" t="n">
        <f aca="false">IFERROR(__xludf.dummyfunction("""COMPUTED_VALUE"""),179.7)</f>
        <v>179.7</v>
      </c>
      <c r="C946" s="5" t="n">
        <f aca="false">IFERROR(__xludf.dummyfunction("""COMPUTED_VALUE"""),181.23)</f>
        <v>181.23</v>
      </c>
      <c r="D946" s="5" t="n">
        <f aca="false">IFERROR(__xludf.dummyfunction("""COMPUTED_VALUE"""),177.55)</f>
        <v>177.55</v>
      </c>
      <c r="E946" s="5" t="n">
        <f aca="false">IFERROR(__xludf.dummyfunction("""COMPUTED_VALUE"""),181.16)</f>
        <v>181.16</v>
      </c>
      <c r="F946" s="5" t="n">
        <f aca="false">IFERROR(__xludf.dummyfunction("""COMPUTED_VALUE"""),10001896)</f>
        <v>10001896</v>
      </c>
    </row>
    <row r="947" customFormat="false" ht="15.75" hidden="false" customHeight="false" outlineLevel="0" collapsed="false">
      <c r="A947" s="6" t="n">
        <f aca="false">IFERROR(__xludf.dummyfunction("""COMPUTED_VALUE"""),45572.6666666667)</f>
        <v>45572.6666666667</v>
      </c>
      <c r="B947" s="5" t="n">
        <f aca="false">IFERROR(__xludf.dummyfunction("""COMPUTED_VALUE"""),181.6)</f>
        <v>181.6</v>
      </c>
      <c r="C947" s="5" t="n">
        <f aca="false">IFERROR(__xludf.dummyfunction("""COMPUTED_VALUE"""),185)</f>
        <v>185</v>
      </c>
      <c r="D947" s="5" t="n">
        <f aca="false">IFERROR(__xludf.dummyfunction("""COMPUTED_VALUE"""),180.93)</f>
        <v>180.93</v>
      </c>
      <c r="E947" s="5" t="n">
        <f aca="false">IFERROR(__xludf.dummyfunction("""COMPUTED_VALUE"""),184.51)</f>
        <v>184.51</v>
      </c>
      <c r="F947" s="5" t="n">
        <f aca="false">IFERROR(__xludf.dummyfunction("""COMPUTED_VALUE"""),12054159)</f>
        <v>12054159</v>
      </c>
    </row>
    <row r="948" customFormat="false" ht="15.75" hidden="false" customHeight="false" outlineLevel="0" collapsed="false">
      <c r="A948" s="6" t="n">
        <f aca="false">IFERROR(__xludf.dummyfunction("""COMPUTED_VALUE"""),45573.6666666667)</f>
        <v>45573.6666666667</v>
      </c>
      <c r="B948" s="5" t="n">
        <f aca="false">IFERROR(__xludf.dummyfunction("""COMPUTED_VALUE"""),184.96)</f>
        <v>184.96</v>
      </c>
      <c r="C948" s="5" t="n">
        <f aca="false">IFERROR(__xludf.dummyfunction("""COMPUTED_VALUE"""),186.54)</f>
        <v>186.54</v>
      </c>
      <c r="D948" s="5" t="n">
        <f aca="false">IFERROR(__xludf.dummyfunction("""COMPUTED_VALUE"""),182.03)</f>
        <v>182.03</v>
      </c>
      <c r="E948" s="5" t="n">
        <f aca="false">IFERROR(__xludf.dummyfunction("""COMPUTED_VALUE"""),186.05)</f>
        <v>186.05</v>
      </c>
      <c r="F948" s="5" t="n">
        <f aca="false">IFERROR(__xludf.dummyfunction("""COMPUTED_VALUE"""),10394172)</f>
        <v>10394172</v>
      </c>
    </row>
    <row r="949" customFormat="false" ht="15.75" hidden="false" customHeight="false" outlineLevel="0" collapsed="false">
      <c r="A949" s="6" t="n">
        <f aca="false">IFERROR(__xludf.dummyfunction("""COMPUTED_VALUE"""),45574.6666666667)</f>
        <v>45574.6666666667</v>
      </c>
      <c r="B949" s="5" t="n">
        <f aca="false">IFERROR(__xludf.dummyfunction("""COMPUTED_VALUE"""),187.8)</f>
        <v>187.8</v>
      </c>
      <c r="C949" s="5" t="n">
        <f aca="false">IFERROR(__xludf.dummyfunction("""COMPUTED_VALUE"""),188)</f>
        <v>188</v>
      </c>
      <c r="D949" s="5" t="n">
        <f aca="false">IFERROR(__xludf.dummyfunction("""COMPUTED_VALUE"""),182.26)</f>
        <v>182.26</v>
      </c>
      <c r="E949" s="5" t="n">
        <f aca="false">IFERROR(__xludf.dummyfunction("""COMPUTED_VALUE"""),187.14)</f>
        <v>187.14</v>
      </c>
      <c r="F949" s="5" t="n">
        <f aca="false">IFERROR(__xludf.dummyfunction("""COMPUTED_VALUE"""),11925013)</f>
        <v>11925013</v>
      </c>
    </row>
    <row r="950" customFormat="false" ht="15.75" hidden="false" customHeight="false" outlineLevel="0" collapsed="false">
      <c r="A950" s="6" t="n">
        <f aca="false">IFERROR(__xludf.dummyfunction("""COMPUTED_VALUE"""),45575.6666666667)</f>
        <v>45575.6666666667</v>
      </c>
      <c r="B950" s="5" t="n">
        <f aca="false">IFERROR(__xludf.dummyfunction("""COMPUTED_VALUE"""),185.86)</f>
        <v>185.86</v>
      </c>
      <c r="C950" s="5" t="n">
        <f aca="false">IFERROR(__xludf.dummyfunction("""COMPUTED_VALUE"""),187.08)</f>
        <v>187.08</v>
      </c>
      <c r="D950" s="5" t="n">
        <f aca="false">IFERROR(__xludf.dummyfunction("""COMPUTED_VALUE"""),184.4)</f>
        <v>184.4</v>
      </c>
      <c r="E950" s="5" t="n">
        <f aca="false">IFERROR(__xludf.dummyfunction("""COMPUTED_VALUE"""),185.78)</f>
        <v>185.78</v>
      </c>
      <c r="F950" s="5" t="n">
        <f aca="false">IFERROR(__xludf.dummyfunction("""COMPUTED_VALUE"""),6443849)</f>
        <v>6443849</v>
      </c>
    </row>
    <row r="951" customFormat="false" ht="15.75" hidden="false" customHeight="false" outlineLevel="0" collapsed="false">
      <c r="A951" s="6" t="n">
        <f aca="false">IFERROR(__xludf.dummyfunction("""COMPUTED_VALUE"""),45576.6666666667)</f>
        <v>45576.6666666667</v>
      </c>
      <c r="B951" s="5" t="n">
        <f aca="false">IFERROR(__xludf.dummyfunction("""COMPUTED_VALUE"""),188.17)</f>
        <v>188.17</v>
      </c>
      <c r="C951" s="5" t="n">
        <f aca="false">IFERROR(__xludf.dummyfunction("""COMPUTED_VALUE"""),191.49)</f>
        <v>191.49</v>
      </c>
      <c r="D951" s="5" t="n">
        <f aca="false">IFERROR(__xludf.dummyfunction("""COMPUTED_VALUE"""),188.01)</f>
        <v>188.01</v>
      </c>
      <c r="E951" s="5" t="n">
        <f aca="false">IFERROR(__xludf.dummyfunction("""COMPUTED_VALUE"""),190.81)</f>
        <v>190.81</v>
      </c>
      <c r="F951" s="5" t="n">
        <f aca="false">IFERROR(__xludf.dummyfunction("""COMPUTED_VALUE"""),12163858)</f>
        <v>12163858</v>
      </c>
    </row>
    <row r="952" customFormat="false" ht="15.75" hidden="false" customHeight="false" outlineLevel="0" collapsed="false">
      <c r="A952" s="6" t="n">
        <f aca="false">IFERROR(__xludf.dummyfunction("""COMPUTED_VALUE"""),45579.6666666667)</f>
        <v>45579.6666666667</v>
      </c>
      <c r="B952" s="5" t="n">
        <f aca="false">IFERROR(__xludf.dummyfunction("""COMPUTED_VALUE"""),190.61)</f>
        <v>190.61</v>
      </c>
      <c r="C952" s="5" t="n">
        <f aca="false">IFERROR(__xludf.dummyfunction("""COMPUTED_VALUE"""),194.25)</f>
        <v>194.25</v>
      </c>
      <c r="D952" s="5" t="n">
        <f aca="false">IFERROR(__xludf.dummyfunction("""COMPUTED_VALUE"""),190.5)</f>
        <v>190.5</v>
      </c>
      <c r="E952" s="5" t="n">
        <f aca="false">IFERROR(__xludf.dummyfunction("""COMPUTED_VALUE"""),192.21)</f>
        <v>192.21</v>
      </c>
      <c r="F952" s="5" t="n">
        <f aca="false">IFERROR(__xludf.dummyfunction("""COMPUTED_VALUE"""),11714387)</f>
        <v>11714387</v>
      </c>
    </row>
    <row r="953" customFormat="false" ht="15.75" hidden="false" customHeight="false" outlineLevel="0" collapsed="false">
      <c r="A953" s="6" t="n">
        <f aca="false">IFERROR(__xludf.dummyfunction("""COMPUTED_VALUE"""),45580.6666666667)</f>
        <v>45580.6666666667</v>
      </c>
      <c r="B953" s="5" t="n">
        <f aca="false">IFERROR(__xludf.dummyfunction("""COMPUTED_VALUE"""),192.96)</f>
        <v>192.96</v>
      </c>
      <c r="C953" s="5" t="n">
        <f aca="false">IFERROR(__xludf.dummyfunction("""COMPUTED_VALUE"""),193.62)</f>
        <v>193.62</v>
      </c>
      <c r="D953" s="5" t="n">
        <f aca="false">IFERROR(__xludf.dummyfunction("""COMPUTED_VALUE"""),184.25)</f>
        <v>184.25</v>
      </c>
      <c r="E953" s="5" t="n">
        <f aca="false">IFERROR(__xludf.dummyfunction("""COMPUTED_VALUE"""),187.13)</f>
        <v>187.13</v>
      </c>
      <c r="F953" s="5" t="n">
        <f aca="false">IFERROR(__xludf.dummyfunction("""COMPUTED_VALUE"""),21812670)</f>
        <v>21812670</v>
      </c>
    </row>
    <row r="954" customFormat="false" ht="15.75" hidden="false" customHeight="false" outlineLevel="0" collapsed="false">
      <c r="A954" s="6" t="n">
        <f aca="false">IFERROR(__xludf.dummyfunction("""COMPUTED_VALUE"""),45581.6666666667)</f>
        <v>45581.6666666667</v>
      </c>
      <c r="B954" s="5" t="n">
        <f aca="false">IFERROR(__xludf.dummyfunction("""COMPUTED_VALUE"""),189.78)</f>
        <v>189.78</v>
      </c>
      <c r="C954" s="5" t="n">
        <f aca="false">IFERROR(__xludf.dummyfunction("""COMPUTED_VALUE"""),190.01)</f>
        <v>190.01</v>
      </c>
      <c r="D954" s="5" t="n">
        <f aca="false">IFERROR(__xludf.dummyfunction("""COMPUTED_VALUE"""),186.66)</f>
        <v>186.66</v>
      </c>
      <c r="E954" s="5" t="n">
        <f aca="false">IFERROR(__xludf.dummyfunction("""COMPUTED_VALUE"""),187.48)</f>
        <v>187.48</v>
      </c>
      <c r="F954" s="5" t="n">
        <f aca="false">IFERROR(__xludf.dummyfunction("""COMPUTED_VALUE"""),18689223)</f>
        <v>18689223</v>
      </c>
    </row>
    <row r="955" customFormat="false" ht="15.75" hidden="false" customHeight="false" outlineLevel="0" collapsed="false">
      <c r="A955" s="6" t="n">
        <f aca="false">IFERROR(__xludf.dummyfunction("""COMPUTED_VALUE"""),45582.6666666667)</f>
        <v>45582.6666666667</v>
      </c>
      <c r="B955" s="5" t="n">
        <f aca="false">IFERROR(__xludf.dummyfunction("""COMPUTED_VALUE"""),203.35)</f>
        <v>203.35</v>
      </c>
      <c r="C955" s="5" t="n">
        <f aca="false">IFERROR(__xludf.dummyfunction("""COMPUTED_VALUE"""),212.6)</f>
        <v>212.6</v>
      </c>
      <c r="D955" s="5" t="n">
        <f aca="false">IFERROR(__xludf.dummyfunction("""COMPUTED_VALUE"""),201.97)</f>
        <v>201.97</v>
      </c>
      <c r="E955" s="5" t="n">
        <f aca="false">IFERROR(__xludf.dummyfunction("""COMPUTED_VALUE"""),205.84)</f>
        <v>205.84</v>
      </c>
      <c r="F955" s="5" t="n">
        <f aca="false">IFERROR(__xludf.dummyfunction("""COMPUTED_VALUE"""),62274668)</f>
        <v>62274668</v>
      </c>
    </row>
    <row r="956" customFormat="false" ht="15.75" hidden="false" customHeight="false" outlineLevel="0" collapsed="false">
      <c r="A956" s="6" t="n">
        <f aca="false">IFERROR(__xludf.dummyfunction("""COMPUTED_VALUE"""),45583.6666666667)</f>
        <v>45583.6666666667</v>
      </c>
      <c r="B956" s="5" t="n">
        <f aca="false">IFERROR(__xludf.dummyfunction("""COMPUTED_VALUE"""),205.95)</f>
        <v>205.95</v>
      </c>
      <c r="C956" s="5" t="n">
        <f aca="false">IFERROR(__xludf.dummyfunction("""COMPUTED_VALUE"""),205.95)</f>
        <v>205.95</v>
      </c>
      <c r="D956" s="5" t="n">
        <f aca="false">IFERROR(__xludf.dummyfunction("""COMPUTED_VALUE"""),200.76)</f>
        <v>200.76</v>
      </c>
      <c r="E956" s="5" t="n">
        <f aca="false">IFERROR(__xludf.dummyfunction("""COMPUTED_VALUE"""),200.78)</f>
        <v>200.78</v>
      </c>
      <c r="F956" s="5" t="n">
        <f aca="false">IFERROR(__xludf.dummyfunction("""COMPUTED_VALUE"""),21030823)</f>
        <v>21030823</v>
      </c>
    </row>
    <row r="957" customFormat="false" ht="15.75" hidden="false" customHeight="false" outlineLevel="0" collapsed="false">
      <c r="A957" s="6" t="n">
        <f aca="false">IFERROR(__xludf.dummyfunction("""COMPUTED_VALUE"""),45586.6666666667)</f>
        <v>45586.6666666667</v>
      </c>
      <c r="B957" s="5" t="n">
        <f aca="false">IFERROR(__xludf.dummyfunction("""COMPUTED_VALUE"""),200.81)</f>
        <v>200.81</v>
      </c>
      <c r="C957" s="5" t="n">
        <f aca="false">IFERROR(__xludf.dummyfunction("""COMPUTED_VALUE"""),203.44)</f>
        <v>203.44</v>
      </c>
      <c r="D957" s="5" t="n">
        <f aca="false">IFERROR(__xludf.dummyfunction("""COMPUTED_VALUE"""),199.66)</f>
        <v>199.66</v>
      </c>
      <c r="E957" s="5" t="n">
        <f aca="false">IFERROR(__xludf.dummyfunction("""COMPUTED_VALUE"""),201.95)</f>
        <v>201.95</v>
      </c>
      <c r="F957" s="5" t="n">
        <f aca="false">IFERROR(__xludf.dummyfunction("""COMPUTED_VALUE"""),14819950)</f>
        <v>14819950</v>
      </c>
    </row>
    <row r="958" customFormat="false" ht="15.75" hidden="false" customHeight="false" outlineLevel="0" collapsed="false">
      <c r="A958" s="6" t="n">
        <f aca="false">IFERROR(__xludf.dummyfunction("""COMPUTED_VALUE"""),45587.6666666667)</f>
        <v>45587.6666666667</v>
      </c>
      <c r="B958" s="5" t="n">
        <f aca="false">IFERROR(__xludf.dummyfunction("""COMPUTED_VALUE"""),199.07)</f>
        <v>199.07</v>
      </c>
      <c r="C958" s="5" t="n">
        <f aca="false">IFERROR(__xludf.dummyfunction("""COMPUTED_VALUE"""),200.17)</f>
        <v>200.17</v>
      </c>
      <c r="D958" s="5" t="n">
        <f aca="false">IFERROR(__xludf.dummyfunction("""COMPUTED_VALUE"""),197.11)</f>
        <v>197.11</v>
      </c>
      <c r="E958" s="5" t="n">
        <f aca="false">IFERROR(__xludf.dummyfunction("""COMPUTED_VALUE"""),198.48)</f>
        <v>198.48</v>
      </c>
      <c r="F958" s="5" t="n">
        <f aca="false">IFERROR(__xludf.dummyfunction("""COMPUTED_VALUE"""),11165073)</f>
        <v>11165073</v>
      </c>
    </row>
    <row r="959" customFormat="false" ht="15.75" hidden="false" customHeight="false" outlineLevel="0" collapsed="false">
      <c r="A959" s="6" t="n">
        <f aca="false">IFERROR(__xludf.dummyfunction("""COMPUTED_VALUE"""),45588.6666666667)</f>
        <v>45588.6666666667</v>
      </c>
      <c r="B959" s="5" t="n">
        <f aca="false">IFERROR(__xludf.dummyfunction("""COMPUTED_VALUE"""),196.68)</f>
        <v>196.68</v>
      </c>
      <c r="C959" s="5" t="n">
        <f aca="false">IFERROR(__xludf.dummyfunction("""COMPUTED_VALUE"""),203.13)</f>
        <v>203.13</v>
      </c>
      <c r="D959" s="5" t="n">
        <f aca="false">IFERROR(__xludf.dummyfunction("""COMPUTED_VALUE"""),196.23)</f>
        <v>196.23</v>
      </c>
      <c r="E959" s="5" t="n">
        <f aca="false">IFERROR(__xludf.dummyfunction("""COMPUTED_VALUE"""),200.86)</f>
        <v>200.86</v>
      </c>
      <c r="F959" s="5" t="n">
        <f aca="false">IFERROR(__xludf.dummyfunction("""COMPUTED_VALUE"""),16535701)</f>
        <v>16535701</v>
      </c>
    </row>
    <row r="960" customFormat="false" ht="15.75" hidden="false" customHeight="false" outlineLevel="0" collapsed="false">
      <c r="A960" s="6" t="n">
        <f aca="false">IFERROR(__xludf.dummyfunction("""COMPUTED_VALUE"""),45589.6666666667)</f>
        <v>45589.6666666667</v>
      </c>
      <c r="B960" s="5" t="n">
        <f aca="false">IFERROR(__xludf.dummyfunction("""COMPUTED_VALUE"""),198.96)</f>
        <v>198.96</v>
      </c>
      <c r="C960" s="5" t="n">
        <f aca="false">IFERROR(__xludf.dummyfunction("""COMPUTED_VALUE"""),200.5)</f>
        <v>200.5</v>
      </c>
      <c r="D960" s="5" t="n">
        <f aca="false">IFERROR(__xludf.dummyfunction("""COMPUTED_VALUE"""),197.41)</f>
        <v>197.41</v>
      </c>
      <c r="E960" s="5" t="n">
        <f aca="false">IFERROR(__xludf.dummyfunction("""COMPUTED_VALUE"""),197.93)</f>
        <v>197.93</v>
      </c>
      <c r="F960" s="5" t="n">
        <f aca="false">IFERROR(__xludf.dummyfunction("""COMPUTED_VALUE"""),9935780)</f>
        <v>9935780</v>
      </c>
    </row>
    <row r="961" customFormat="false" ht="15.75" hidden="false" customHeight="false" outlineLevel="0" collapsed="false">
      <c r="A961" s="6" t="n">
        <f aca="false">IFERROR(__xludf.dummyfunction("""COMPUTED_VALUE"""),45590.6666666667)</f>
        <v>45590.6666666667</v>
      </c>
      <c r="B961" s="5" t="n">
        <f aca="false">IFERROR(__xludf.dummyfunction("""COMPUTED_VALUE"""),200.25)</f>
        <v>200.25</v>
      </c>
      <c r="C961" s="5" t="n">
        <f aca="false">IFERROR(__xludf.dummyfunction("""COMPUTED_VALUE"""),205.2)</f>
        <v>205.2</v>
      </c>
      <c r="D961" s="5" t="n">
        <f aca="false">IFERROR(__xludf.dummyfunction("""COMPUTED_VALUE"""),200)</f>
        <v>200</v>
      </c>
      <c r="E961" s="5" t="n">
        <f aca="false">IFERROR(__xludf.dummyfunction("""COMPUTED_VALUE"""),203.44)</f>
        <v>203.44</v>
      </c>
      <c r="F961" s="5" t="n">
        <f aca="false">IFERROR(__xludf.dummyfunction("""COMPUTED_VALUE"""),13434862)</f>
        <v>13434862</v>
      </c>
    </row>
    <row r="962" customFormat="false" ht="15.75" hidden="false" customHeight="false" outlineLevel="0" collapsed="false">
      <c r="A962" s="6" t="n">
        <f aca="false">IFERROR(__xludf.dummyfunction("""COMPUTED_VALUE"""),45593.6666666667)</f>
        <v>45593.6666666667</v>
      </c>
      <c r="B962" s="5" t="n">
        <f aca="false">IFERROR(__xludf.dummyfunction("""COMPUTED_VALUE"""),199.26)</f>
        <v>199.26</v>
      </c>
      <c r="C962" s="5" t="n">
        <f aca="false">IFERROR(__xludf.dummyfunction("""COMPUTED_VALUE"""),199.74)</f>
        <v>199.74</v>
      </c>
      <c r="D962" s="5" t="n">
        <f aca="false">IFERROR(__xludf.dummyfunction("""COMPUTED_VALUE"""),194.52)</f>
        <v>194.52</v>
      </c>
      <c r="E962" s="5" t="n">
        <f aca="false">IFERROR(__xludf.dummyfunction("""COMPUTED_VALUE"""),194.68)</f>
        <v>194.68</v>
      </c>
      <c r="F962" s="5" t="n">
        <f aca="false">IFERROR(__xludf.dummyfunction("""COMPUTED_VALUE"""),20135345)</f>
        <v>20135345</v>
      </c>
    </row>
    <row r="963" customFormat="false" ht="15.75" hidden="false" customHeight="false" outlineLevel="0" collapsed="false">
      <c r="A963" s="6" t="n">
        <f aca="false">IFERROR(__xludf.dummyfunction("""COMPUTED_VALUE"""),45594.6666666667)</f>
        <v>45594.6666666667</v>
      </c>
      <c r="B963" s="5" t="n">
        <f aca="false">IFERROR(__xludf.dummyfunction("""COMPUTED_VALUE"""),194.39)</f>
        <v>194.39</v>
      </c>
      <c r="C963" s="5" t="n">
        <f aca="false">IFERROR(__xludf.dummyfunction("""COMPUTED_VALUE"""),198.79)</f>
        <v>198.79</v>
      </c>
      <c r="D963" s="5" t="n">
        <f aca="false">IFERROR(__xludf.dummyfunction("""COMPUTED_VALUE"""),193.6)</f>
        <v>193.6</v>
      </c>
      <c r="E963" s="5" t="n">
        <f aca="false">IFERROR(__xludf.dummyfunction("""COMPUTED_VALUE"""),196.94)</f>
        <v>196.94</v>
      </c>
      <c r="F963" s="5" t="n">
        <f aca="false">IFERROR(__xludf.dummyfunction("""COMPUTED_VALUE"""),13779107)</f>
        <v>13779107</v>
      </c>
    </row>
    <row r="964" customFormat="false" ht="15.75" hidden="false" customHeight="false" outlineLevel="0" collapsed="false">
      <c r="A964" s="6" t="n">
        <f aca="false">IFERROR(__xludf.dummyfunction("""COMPUTED_VALUE"""),45595.6666666667)</f>
        <v>45595.6666666667</v>
      </c>
      <c r="B964" s="5" t="n">
        <f aca="false">IFERROR(__xludf.dummyfunction("""COMPUTED_VALUE"""),194.38)</f>
        <v>194.38</v>
      </c>
      <c r="C964" s="5" t="n">
        <f aca="false">IFERROR(__xludf.dummyfunction("""COMPUTED_VALUE"""),195.45)</f>
        <v>195.45</v>
      </c>
      <c r="D964" s="5" t="n">
        <f aca="false">IFERROR(__xludf.dummyfunction("""COMPUTED_VALUE"""),192.61)</f>
        <v>192.61</v>
      </c>
      <c r="E964" s="5" t="n">
        <f aca="false">IFERROR(__xludf.dummyfunction("""COMPUTED_VALUE"""),194.48)</f>
        <v>194.48</v>
      </c>
      <c r="F964" s="5" t="n">
        <f aca="false">IFERROR(__xludf.dummyfunction("""COMPUTED_VALUE"""),10007766)</f>
        <v>10007766</v>
      </c>
    </row>
    <row r="965" customFormat="false" ht="15.75" hidden="false" customHeight="false" outlineLevel="0" collapsed="false">
      <c r="A965" s="6" t="n">
        <f aca="false">IFERROR(__xludf.dummyfunction("""COMPUTED_VALUE"""),45596.6666666667)</f>
        <v>45596.6666666667</v>
      </c>
      <c r="B965" s="5" t="n">
        <f aca="false">IFERROR(__xludf.dummyfunction("""COMPUTED_VALUE"""),192.86)</f>
        <v>192.86</v>
      </c>
      <c r="C965" s="5" t="n">
        <f aca="false">IFERROR(__xludf.dummyfunction("""COMPUTED_VALUE"""),192.86)</f>
        <v>192.86</v>
      </c>
      <c r="D965" s="5" t="n">
        <f aca="false">IFERROR(__xludf.dummyfunction("""COMPUTED_VALUE"""),187.66)</f>
        <v>187.66</v>
      </c>
      <c r="E965" s="5" t="n">
        <f aca="false">IFERROR(__xludf.dummyfunction("""COMPUTED_VALUE"""),190.54)</f>
        <v>190.54</v>
      </c>
      <c r="F965" s="5" t="n">
        <f aca="false">IFERROR(__xludf.dummyfunction("""COMPUTED_VALUE"""),13062658)</f>
        <v>13062658</v>
      </c>
    </row>
    <row r="966" customFormat="false" ht="15.75" hidden="false" customHeight="false" outlineLevel="0" collapsed="false">
      <c r="A966" s="6" t="n">
        <f aca="false">IFERROR(__xludf.dummyfunction("""COMPUTED_VALUE"""),45597.6666666667)</f>
        <v>45597.6666666667</v>
      </c>
      <c r="B966" s="5" t="n">
        <f aca="false">IFERROR(__xludf.dummyfunction("""COMPUTED_VALUE"""),194.2)</f>
        <v>194.2</v>
      </c>
      <c r="C966" s="5" t="n">
        <f aca="false">IFERROR(__xludf.dummyfunction("""COMPUTED_VALUE"""),198.17)</f>
        <v>198.17</v>
      </c>
      <c r="D966" s="5" t="n">
        <f aca="false">IFERROR(__xludf.dummyfunction("""COMPUTED_VALUE"""),192.55)</f>
        <v>192.55</v>
      </c>
      <c r="E966" s="5" t="n">
        <f aca="false">IFERROR(__xludf.dummyfunction("""COMPUTED_VALUE"""),192.95)</f>
        <v>192.95</v>
      </c>
      <c r="F966" s="5" t="n">
        <f aca="false">IFERROR(__xludf.dummyfunction("""COMPUTED_VALUE"""),12691190)</f>
        <v>12691190</v>
      </c>
    </row>
    <row r="967" customFormat="false" ht="15.75" hidden="false" customHeight="false" outlineLevel="0" collapsed="false">
      <c r="A967" s="6" t="n">
        <f aca="false">IFERROR(__xludf.dummyfunction("""COMPUTED_VALUE"""),45600.6666666667)</f>
        <v>45600.6666666667</v>
      </c>
      <c r="B967" s="5" t="n">
        <f aca="false">IFERROR(__xludf.dummyfunction("""COMPUTED_VALUE"""),193.7)</f>
        <v>193.7</v>
      </c>
      <c r="C967" s="5" t="n">
        <f aca="false">IFERROR(__xludf.dummyfunction("""COMPUTED_VALUE"""),194.36)</f>
        <v>194.36</v>
      </c>
      <c r="D967" s="5" t="n">
        <f aca="false">IFERROR(__xludf.dummyfunction("""COMPUTED_VALUE"""),190.6)</f>
        <v>190.6</v>
      </c>
      <c r="E967" s="5" t="n">
        <f aca="false">IFERROR(__xludf.dummyfunction("""COMPUTED_VALUE"""),191.56)</f>
        <v>191.56</v>
      </c>
      <c r="F967" s="5" t="n">
        <f aca="false">IFERROR(__xludf.dummyfunction("""COMPUTED_VALUE"""),10917292)</f>
        <v>10917292</v>
      </c>
    </row>
    <row r="968" customFormat="false" ht="15.75" hidden="false" customHeight="false" outlineLevel="0" collapsed="false">
      <c r="A968" s="6" t="n">
        <f aca="false">IFERROR(__xludf.dummyfunction("""COMPUTED_VALUE"""),45601.6666666667)</f>
        <v>45601.6666666667</v>
      </c>
      <c r="B968" s="5" t="n">
        <f aca="false">IFERROR(__xludf.dummyfunction("""COMPUTED_VALUE"""),193.58)</f>
        <v>193.58</v>
      </c>
      <c r="C968" s="5" t="n">
        <f aca="false">IFERROR(__xludf.dummyfunction("""COMPUTED_VALUE"""),198.34)</f>
        <v>198.34</v>
      </c>
      <c r="D968" s="5" t="n">
        <f aca="false">IFERROR(__xludf.dummyfunction("""COMPUTED_VALUE"""),193.49)</f>
        <v>193.49</v>
      </c>
      <c r="E968" s="5" t="n">
        <f aca="false">IFERROR(__xludf.dummyfunction("""COMPUTED_VALUE"""),195.76)</f>
        <v>195.76</v>
      </c>
      <c r="F968" s="5" t="n">
        <f aca="false">IFERROR(__xludf.dummyfunction("""COMPUTED_VALUE"""),10339213)</f>
        <v>10339213</v>
      </c>
    </row>
    <row r="969" customFormat="false" ht="15.75" hidden="false" customHeight="false" outlineLevel="0" collapsed="false">
      <c r="A969" s="6" t="n">
        <f aca="false">IFERROR(__xludf.dummyfunction("""COMPUTED_VALUE"""),45602.6666666667)</f>
        <v>45602.6666666667</v>
      </c>
      <c r="B969" s="5" t="n">
        <f aca="false">IFERROR(__xludf.dummyfunction("""COMPUTED_VALUE"""),192.04)</f>
        <v>192.04</v>
      </c>
      <c r="C969" s="5" t="n">
        <f aca="false">IFERROR(__xludf.dummyfunction("""COMPUTED_VALUE"""),194.26)</f>
        <v>194.26</v>
      </c>
      <c r="D969" s="5" t="n">
        <f aca="false">IFERROR(__xludf.dummyfunction("""COMPUTED_VALUE"""),188.5)</f>
        <v>188.5</v>
      </c>
      <c r="E969" s="5" t="n">
        <f aca="false">IFERROR(__xludf.dummyfunction("""COMPUTED_VALUE"""),193.22)</f>
        <v>193.22</v>
      </c>
      <c r="F969" s="5" t="n">
        <f aca="false">IFERROR(__xludf.dummyfunction("""COMPUTED_VALUE"""),19834867)</f>
        <v>19834867</v>
      </c>
    </row>
    <row r="970" customFormat="false" ht="15.75" hidden="false" customHeight="false" outlineLevel="0" collapsed="false">
      <c r="A970" s="6" t="n">
        <f aca="false">IFERROR(__xludf.dummyfunction("""COMPUTED_VALUE"""),45603.6666666667)</f>
        <v>45603.6666666667</v>
      </c>
      <c r="B970" s="5" t="n">
        <f aca="false">IFERROR(__xludf.dummyfunction("""COMPUTED_VALUE"""),196.31)</f>
        <v>196.31</v>
      </c>
      <c r="C970" s="5" t="n">
        <f aca="false">IFERROR(__xludf.dummyfunction("""COMPUTED_VALUE"""),202.01)</f>
        <v>202.01</v>
      </c>
      <c r="D970" s="5" t="n">
        <f aca="false">IFERROR(__xludf.dummyfunction("""COMPUTED_VALUE"""),196.25)</f>
        <v>196.25</v>
      </c>
      <c r="E970" s="5" t="n">
        <f aca="false">IFERROR(__xludf.dummyfunction("""COMPUTED_VALUE"""),201.19)</f>
        <v>201.19</v>
      </c>
      <c r="F970" s="5" t="n">
        <f aca="false">IFERROR(__xludf.dummyfunction("""COMPUTED_VALUE"""),14865161)</f>
        <v>14865161</v>
      </c>
    </row>
    <row r="971" customFormat="false" ht="15.75" hidden="false" customHeight="false" outlineLevel="0" collapsed="false">
      <c r="A971" s="6" t="n">
        <f aca="false">IFERROR(__xludf.dummyfunction("""COMPUTED_VALUE"""),45604.6666666667)</f>
        <v>45604.6666666667</v>
      </c>
      <c r="B971" s="5" t="n">
        <f aca="false">IFERROR(__xludf.dummyfunction("""COMPUTED_VALUE"""),203.89)</f>
        <v>203.89</v>
      </c>
      <c r="C971" s="5" t="n">
        <f aca="false">IFERROR(__xludf.dummyfunction("""COMPUTED_VALUE"""),206.61)</f>
        <v>206.61</v>
      </c>
      <c r="D971" s="5" t="n">
        <f aca="false">IFERROR(__xludf.dummyfunction("""COMPUTED_VALUE"""),200.02)</f>
        <v>200.02</v>
      </c>
      <c r="E971" s="5" t="n">
        <f aca="false">IFERROR(__xludf.dummyfunction("""COMPUTED_VALUE"""),201.2)</f>
        <v>201.2</v>
      </c>
      <c r="F971" s="5" t="n">
        <f aca="false">IFERROR(__xludf.dummyfunction("""COMPUTED_VALUE"""),13112091)</f>
        <v>13112091</v>
      </c>
    </row>
    <row r="972" customFormat="false" ht="15.75" hidden="false" customHeight="false" outlineLevel="0" collapsed="false">
      <c r="A972" s="6" t="n">
        <f aca="false">IFERROR(__xludf.dummyfunction("""COMPUTED_VALUE"""),45607.6666666667)</f>
        <v>45607.6666666667</v>
      </c>
      <c r="B972" s="5" t="n">
        <f aca="false">IFERROR(__xludf.dummyfunction("""COMPUTED_VALUE"""),197.96)</f>
        <v>197.96</v>
      </c>
      <c r="C972" s="5" t="n">
        <f aca="false">IFERROR(__xludf.dummyfunction("""COMPUTED_VALUE"""),198.2)</f>
        <v>198.2</v>
      </c>
      <c r="D972" s="5" t="n">
        <f aca="false">IFERROR(__xludf.dummyfunction("""COMPUTED_VALUE"""),191.49)</f>
        <v>191.49</v>
      </c>
      <c r="E972" s="5" t="n">
        <f aca="false">IFERROR(__xludf.dummyfunction("""COMPUTED_VALUE"""),194.05)</f>
        <v>194.05</v>
      </c>
      <c r="F972" s="5" t="n">
        <f aca="false">IFERROR(__xludf.dummyfunction("""COMPUTED_VALUE"""),16610009)</f>
        <v>16610009</v>
      </c>
    </row>
    <row r="973" customFormat="false" ht="15.75" hidden="false" customHeight="false" outlineLevel="0" collapsed="false">
      <c r="A973" s="6" t="n">
        <f aca="false">IFERROR(__xludf.dummyfunction("""COMPUTED_VALUE"""),45608.6666666667)</f>
        <v>45608.6666666667</v>
      </c>
      <c r="B973" s="5" t="n">
        <f aca="false">IFERROR(__xludf.dummyfunction("""COMPUTED_VALUE"""),193.83)</f>
        <v>193.83</v>
      </c>
      <c r="C973" s="5" t="n">
        <f aca="false">IFERROR(__xludf.dummyfunction("""COMPUTED_VALUE"""),194)</f>
        <v>194</v>
      </c>
      <c r="D973" s="5" t="n">
        <f aca="false">IFERROR(__xludf.dummyfunction("""COMPUTED_VALUE"""),189.72)</f>
        <v>189.72</v>
      </c>
      <c r="E973" s="5" t="n">
        <f aca="false">IFERROR(__xludf.dummyfunction("""COMPUTED_VALUE"""),191.77)</f>
        <v>191.77</v>
      </c>
      <c r="F973" s="5" t="n">
        <f aca="false">IFERROR(__xludf.dummyfunction("""COMPUTED_VALUE"""),11818985)</f>
        <v>11818985</v>
      </c>
    </row>
    <row r="974" customFormat="false" ht="15.75" hidden="false" customHeight="false" outlineLevel="0" collapsed="false">
      <c r="A974" s="6" t="n">
        <f aca="false">IFERROR(__xludf.dummyfunction("""COMPUTED_VALUE"""),45609.6666666667)</f>
        <v>45609.6666666667</v>
      </c>
      <c r="B974" s="5" t="n">
        <f aca="false">IFERROR(__xludf.dummyfunction("""COMPUTED_VALUE"""),192.44)</f>
        <v>192.44</v>
      </c>
      <c r="C974" s="5" t="n">
        <f aca="false">IFERROR(__xludf.dummyfunction("""COMPUTED_VALUE"""),192.48)</f>
        <v>192.48</v>
      </c>
      <c r="D974" s="5" t="n">
        <f aca="false">IFERROR(__xludf.dummyfunction("""COMPUTED_VALUE"""),186.5)</f>
        <v>186.5</v>
      </c>
      <c r="E974" s="5" t="n">
        <f aca="false">IFERROR(__xludf.dummyfunction("""COMPUTED_VALUE"""),186.66)</f>
        <v>186.66</v>
      </c>
      <c r="F974" s="5" t="n">
        <f aca="false">IFERROR(__xludf.dummyfunction("""COMPUTED_VALUE"""),13882151)</f>
        <v>13882151</v>
      </c>
    </row>
    <row r="975" customFormat="false" ht="15.75" hidden="false" customHeight="false" outlineLevel="0" collapsed="false">
      <c r="A975" s="6" t="n">
        <f aca="false">IFERROR(__xludf.dummyfunction("""COMPUTED_VALUE"""),45610.6666666667)</f>
        <v>45610.6666666667</v>
      </c>
      <c r="B975" s="5" t="n">
        <f aca="false">IFERROR(__xludf.dummyfunction("""COMPUTED_VALUE"""),188.4)</f>
        <v>188.4</v>
      </c>
      <c r="C975" s="5" t="n">
        <f aca="false">IFERROR(__xludf.dummyfunction("""COMPUTED_VALUE"""),192.66)</f>
        <v>192.66</v>
      </c>
      <c r="D975" s="5" t="n">
        <f aca="false">IFERROR(__xludf.dummyfunction("""COMPUTED_VALUE"""),187.54)</f>
        <v>187.54</v>
      </c>
      <c r="E975" s="5" t="n">
        <f aca="false">IFERROR(__xludf.dummyfunction("""COMPUTED_VALUE"""),188.5)</f>
        <v>188.5</v>
      </c>
      <c r="F975" s="5" t="n">
        <f aca="false">IFERROR(__xludf.dummyfunction("""COMPUTED_VALUE"""),11453908)</f>
        <v>11453908</v>
      </c>
    </row>
    <row r="976" customFormat="false" ht="15.75" hidden="false" customHeight="false" outlineLevel="0" collapsed="false">
      <c r="A976" s="6" t="n">
        <f aca="false">IFERROR(__xludf.dummyfunction("""COMPUTED_VALUE"""),45611.6666666667)</f>
        <v>45611.6666666667</v>
      </c>
      <c r="B976" s="5" t="n">
        <f aca="false">IFERROR(__xludf.dummyfunction("""COMPUTED_VALUE"""),188.18)</f>
        <v>188.18</v>
      </c>
      <c r="C976" s="5" t="n">
        <f aca="false">IFERROR(__xludf.dummyfunction("""COMPUTED_VALUE"""),188.8)</f>
        <v>188.8</v>
      </c>
      <c r="D976" s="5" t="n">
        <f aca="false">IFERROR(__xludf.dummyfunction("""COMPUTED_VALUE"""),184.81)</f>
        <v>184.81</v>
      </c>
      <c r="E976" s="5" t="n">
        <f aca="false">IFERROR(__xludf.dummyfunction("""COMPUTED_VALUE"""),186.01)</f>
        <v>186.01</v>
      </c>
      <c r="F976" s="5" t="n">
        <f aca="false">IFERROR(__xludf.dummyfunction("""COMPUTED_VALUE"""),9834757)</f>
        <v>9834757</v>
      </c>
    </row>
    <row r="977" customFormat="false" ht="15.75" hidden="false" customHeight="false" outlineLevel="0" collapsed="false">
      <c r="A977" s="6" t="n">
        <f aca="false">IFERROR(__xludf.dummyfunction("""COMPUTED_VALUE"""),45614.6666666667)</f>
        <v>45614.6666666667</v>
      </c>
      <c r="B977" s="5" t="n">
        <f aca="false">IFERROR(__xludf.dummyfunction("""COMPUTED_VALUE"""),184.35)</f>
        <v>184.35</v>
      </c>
      <c r="C977" s="5" t="n">
        <f aca="false">IFERROR(__xludf.dummyfunction("""COMPUTED_VALUE"""),188)</f>
        <v>188</v>
      </c>
      <c r="D977" s="5" t="n">
        <f aca="false">IFERROR(__xludf.dummyfunction("""COMPUTED_VALUE"""),183.49)</f>
        <v>183.49</v>
      </c>
      <c r="E977" s="5" t="n">
        <f aca="false">IFERROR(__xludf.dummyfunction("""COMPUTED_VALUE"""),187.48)</f>
        <v>187.48</v>
      </c>
      <c r="F977" s="5" t="n">
        <f aca="false">IFERROR(__xludf.dummyfunction("""COMPUTED_VALUE"""),10694009)</f>
        <v>10694009</v>
      </c>
    </row>
    <row r="978" customFormat="false" ht="15.75" hidden="false" customHeight="false" outlineLevel="0" collapsed="false">
      <c r="A978" s="6" t="n">
        <f aca="false">IFERROR(__xludf.dummyfunction("""COMPUTED_VALUE"""),45615.6666666667)</f>
        <v>45615.6666666667</v>
      </c>
      <c r="B978" s="5" t="n">
        <f aca="false">IFERROR(__xludf.dummyfunction("""COMPUTED_VALUE"""),189.13)</f>
        <v>189.13</v>
      </c>
      <c r="C978" s="5" t="n">
        <f aca="false">IFERROR(__xludf.dummyfunction("""COMPUTED_VALUE"""),190.02)</f>
        <v>190.02</v>
      </c>
      <c r="D978" s="5" t="n">
        <f aca="false">IFERROR(__xludf.dummyfunction("""COMPUTED_VALUE"""),188.02)</f>
        <v>188.02</v>
      </c>
      <c r="E978" s="5" t="n">
        <f aca="false">IFERROR(__xludf.dummyfunction("""COMPUTED_VALUE"""),189.67)</f>
        <v>189.67</v>
      </c>
      <c r="F978" s="5" t="n">
        <f aca="false">IFERROR(__xludf.dummyfunction("""COMPUTED_VALUE"""),9390115)</f>
        <v>9390115</v>
      </c>
    </row>
    <row r="979" customFormat="false" ht="15.75" hidden="false" customHeight="false" outlineLevel="0" collapsed="false">
      <c r="A979" s="6" t="n">
        <f aca="false">IFERROR(__xludf.dummyfunction("""COMPUTED_VALUE"""),45616.6666666667)</f>
        <v>45616.6666666667</v>
      </c>
      <c r="B979" s="5" t="n">
        <f aca="false">IFERROR(__xludf.dummyfunction("""COMPUTED_VALUE"""),188.85)</f>
        <v>188.85</v>
      </c>
      <c r="C979" s="5" t="n">
        <f aca="false">IFERROR(__xludf.dummyfunction("""COMPUTED_VALUE"""),188.85)</f>
        <v>188.85</v>
      </c>
      <c r="D979" s="5" t="n">
        <f aca="false">IFERROR(__xludf.dummyfunction("""COMPUTED_VALUE"""),184.06)</f>
        <v>184.06</v>
      </c>
      <c r="E979" s="5" t="n">
        <f aca="false">IFERROR(__xludf.dummyfunction("""COMPUTED_VALUE"""),188.36)</f>
        <v>188.36</v>
      </c>
      <c r="F979" s="5" t="n">
        <f aca="false">IFERROR(__xludf.dummyfunction("""COMPUTED_VALUE"""),10624495)</f>
        <v>10624495</v>
      </c>
    </row>
    <row r="980" customFormat="false" ht="15.75" hidden="false" customHeight="false" outlineLevel="0" collapsed="false">
      <c r="A980" s="6" t="n">
        <f aca="false">IFERROR(__xludf.dummyfunction("""COMPUTED_VALUE"""),45617.6666666667)</f>
        <v>45617.6666666667</v>
      </c>
      <c r="B980" s="5" t="n">
        <f aca="false">IFERROR(__xludf.dummyfunction("""COMPUTED_VALUE"""),189.41)</f>
        <v>189.41</v>
      </c>
      <c r="C980" s="5" t="n">
        <f aca="false">IFERROR(__xludf.dummyfunction("""COMPUTED_VALUE"""),192.3)</f>
        <v>192.3</v>
      </c>
      <c r="D980" s="5" t="n">
        <f aca="false">IFERROR(__xludf.dummyfunction("""COMPUTED_VALUE"""),186.74)</f>
        <v>186.74</v>
      </c>
      <c r="E980" s="5" t="n">
        <f aca="false">IFERROR(__xludf.dummyfunction("""COMPUTED_VALUE"""),191.24)</f>
        <v>191.24</v>
      </c>
      <c r="F980" s="5" t="n">
        <f aca="false">IFERROR(__xludf.dummyfunction("""COMPUTED_VALUE"""),18137330)</f>
        <v>18137330</v>
      </c>
    </row>
    <row r="981" customFormat="false" ht="15.75" hidden="false" customHeight="false" outlineLevel="0" collapsed="false">
      <c r="A981" s="6" t="n">
        <f aca="false">IFERROR(__xludf.dummyfunction("""COMPUTED_VALUE"""),45618.6666666667)</f>
        <v>45618.6666666667</v>
      </c>
      <c r="B981" s="5" t="n">
        <f aca="false">IFERROR(__xludf.dummyfunction("""COMPUTED_VALUE"""),192.95)</f>
        <v>192.95</v>
      </c>
      <c r="C981" s="5" t="n">
        <f aca="false">IFERROR(__xludf.dummyfunction("""COMPUTED_VALUE"""),193)</f>
        <v>193</v>
      </c>
      <c r="D981" s="5" t="n">
        <f aca="false">IFERROR(__xludf.dummyfunction("""COMPUTED_VALUE"""),189.43)</f>
        <v>189.43</v>
      </c>
      <c r="E981" s="5" t="n">
        <f aca="false">IFERROR(__xludf.dummyfunction("""COMPUTED_VALUE"""),190.08)</f>
        <v>190.08</v>
      </c>
      <c r="F981" s="5" t="n">
        <f aca="false">IFERROR(__xludf.dummyfunction("""COMPUTED_VALUE"""),8838925)</f>
        <v>8838925</v>
      </c>
    </row>
    <row r="982" customFormat="false" ht="15.75" hidden="false" customHeight="false" outlineLevel="0" collapsed="false">
      <c r="A982" s="6" t="n">
        <f aca="false">IFERROR(__xludf.dummyfunction("""COMPUTED_VALUE"""),45621.6666666667)</f>
        <v>45621.6666666667</v>
      </c>
      <c r="B982" s="5" t="n">
        <f aca="false">IFERROR(__xludf.dummyfunction("""COMPUTED_VALUE"""),188.09)</f>
        <v>188.09</v>
      </c>
      <c r="C982" s="5" t="n">
        <f aca="false">IFERROR(__xludf.dummyfunction("""COMPUTED_VALUE"""),188.25)</f>
        <v>188.25</v>
      </c>
      <c r="D982" s="5" t="n">
        <f aca="false">IFERROR(__xludf.dummyfunction("""COMPUTED_VALUE"""),183.71)</f>
        <v>183.71</v>
      </c>
      <c r="E982" s="5" t="n">
        <f aca="false">IFERROR(__xludf.dummyfunction("""COMPUTED_VALUE"""),185.08)</f>
        <v>185.08</v>
      </c>
      <c r="F982" s="5" t="n">
        <f aca="false">IFERROR(__xludf.dummyfunction("""COMPUTED_VALUE"""),14380026)</f>
        <v>14380026</v>
      </c>
    </row>
    <row r="983" customFormat="false" ht="15.75" hidden="false" customHeight="false" outlineLevel="0" collapsed="false">
      <c r="A983" s="6" t="n">
        <f aca="false">IFERROR(__xludf.dummyfunction("""COMPUTED_VALUE"""),45622.6666666667)</f>
        <v>45622.6666666667</v>
      </c>
      <c r="B983" s="5" t="n">
        <f aca="false">IFERROR(__xludf.dummyfunction("""COMPUTED_VALUE"""),185.4)</f>
        <v>185.4</v>
      </c>
      <c r="C983" s="5" t="n">
        <f aca="false">IFERROR(__xludf.dummyfunction("""COMPUTED_VALUE"""),185.9)</f>
        <v>185.9</v>
      </c>
      <c r="D983" s="5" t="n">
        <f aca="false">IFERROR(__xludf.dummyfunction("""COMPUTED_VALUE"""),182.33)</f>
        <v>182.33</v>
      </c>
      <c r="E983" s="5" t="n">
        <f aca="false">IFERROR(__xludf.dummyfunction("""COMPUTED_VALUE"""),183.84)</f>
        <v>183.84</v>
      </c>
      <c r="F983" s="5" t="n">
        <f aca="false">IFERROR(__xludf.dummyfunction("""COMPUTED_VALUE"""),10186572)</f>
        <v>10186572</v>
      </c>
    </row>
    <row r="984" customFormat="false" ht="15.75" hidden="false" customHeight="false" outlineLevel="0" collapsed="false">
      <c r="A984" s="6" t="n">
        <f aca="false">IFERROR(__xludf.dummyfunction("""COMPUTED_VALUE"""),45623.6666666667)</f>
        <v>45623.6666666667</v>
      </c>
      <c r="B984" s="5" t="n">
        <f aca="false">IFERROR(__xludf.dummyfunction("""COMPUTED_VALUE"""),182)</f>
        <v>182</v>
      </c>
      <c r="C984" s="5" t="n">
        <f aca="false">IFERROR(__xludf.dummyfunction("""COMPUTED_VALUE"""),182.45)</f>
        <v>182.45</v>
      </c>
      <c r="D984" s="5" t="n">
        <f aca="false">IFERROR(__xludf.dummyfunction("""COMPUTED_VALUE"""),178.05)</f>
        <v>178.05</v>
      </c>
      <c r="E984" s="5" t="n">
        <f aca="false">IFERROR(__xludf.dummyfunction("""COMPUTED_VALUE"""),181.19)</f>
        <v>181.19</v>
      </c>
      <c r="F984" s="5" t="n">
        <f aca="false">IFERROR(__xludf.dummyfunction("""COMPUTED_VALUE"""),9895248)</f>
        <v>9895248</v>
      </c>
    </row>
    <row r="985" customFormat="false" ht="15.75" hidden="false" customHeight="false" outlineLevel="0" collapsed="false">
      <c r="A985" s="6" t="n">
        <f aca="false">IFERROR(__xludf.dummyfunction("""COMPUTED_VALUE"""),45625.5416666667)</f>
        <v>45625.5416666667</v>
      </c>
      <c r="B985" s="5" t="n">
        <f aca="false">IFERROR(__xludf.dummyfunction("""COMPUTED_VALUE"""),181.51)</f>
        <v>181.51</v>
      </c>
      <c r="C985" s="5" t="n">
        <f aca="false">IFERROR(__xludf.dummyfunction("""COMPUTED_VALUE"""),186.95)</f>
        <v>186.95</v>
      </c>
      <c r="D985" s="5" t="n">
        <f aca="false">IFERROR(__xludf.dummyfunction("""COMPUTED_VALUE"""),181.18)</f>
        <v>181.18</v>
      </c>
      <c r="E985" s="5" t="n">
        <f aca="false">IFERROR(__xludf.dummyfunction("""COMPUTED_VALUE"""),184.66)</f>
        <v>184.66</v>
      </c>
      <c r="F985" s="5" t="n">
        <f aca="false">IFERROR(__xludf.dummyfunction("""COMPUTED_VALUE"""),8045290)</f>
        <v>8045290</v>
      </c>
    </row>
    <row r="986" customFormat="false" ht="15.75" hidden="false" customHeight="false" outlineLevel="0" collapsed="false">
      <c r="A986" s="6" t="n">
        <f aca="false">IFERROR(__xludf.dummyfunction("""COMPUTED_VALUE"""),45628.6666666667)</f>
        <v>45628.6666666667</v>
      </c>
      <c r="B986" s="5" t="n">
        <f aca="false">IFERROR(__xludf.dummyfunction("""COMPUTED_VALUE"""),189.34)</f>
        <v>189.34</v>
      </c>
      <c r="C986" s="5" t="n">
        <f aca="false">IFERROR(__xludf.dummyfunction("""COMPUTED_VALUE"""),195.29)</f>
        <v>195.29</v>
      </c>
      <c r="D986" s="5" t="n">
        <f aca="false">IFERROR(__xludf.dummyfunction("""COMPUTED_VALUE"""),188.94)</f>
        <v>188.94</v>
      </c>
      <c r="E986" s="5" t="n">
        <f aca="false">IFERROR(__xludf.dummyfunction("""COMPUTED_VALUE"""),194.4)</f>
        <v>194.4</v>
      </c>
      <c r="F986" s="5" t="n">
        <f aca="false">IFERROR(__xludf.dummyfunction("""COMPUTED_VALUE"""),16646881)</f>
        <v>16646881</v>
      </c>
    </row>
    <row r="987" customFormat="false" ht="15.75" hidden="false" customHeight="false" outlineLevel="0" collapsed="false">
      <c r="A987" s="6" t="n">
        <f aca="false">IFERROR(__xludf.dummyfunction("""COMPUTED_VALUE"""),45629.6666666667)</f>
        <v>45629.6666666667</v>
      </c>
      <c r="B987" s="5" t="n">
        <f aca="false">IFERROR(__xludf.dummyfunction("""COMPUTED_VALUE"""),193.5)</f>
        <v>193.5</v>
      </c>
      <c r="C987" s="5" t="n">
        <f aca="false">IFERROR(__xludf.dummyfunction("""COMPUTED_VALUE"""),199)</f>
        <v>199</v>
      </c>
      <c r="D987" s="5" t="n">
        <f aca="false">IFERROR(__xludf.dummyfunction("""COMPUTED_VALUE"""),192.6)</f>
        <v>192.6</v>
      </c>
      <c r="E987" s="5" t="n">
        <f aca="false">IFERROR(__xludf.dummyfunction("""COMPUTED_VALUE"""),198.89)</f>
        <v>198.89</v>
      </c>
      <c r="F987" s="5" t="n">
        <f aca="false">IFERROR(__xludf.dummyfunction("""COMPUTED_VALUE"""),11217660)</f>
        <v>11217660</v>
      </c>
    </row>
    <row r="988" customFormat="false" ht="15.75" hidden="false" customHeight="false" outlineLevel="0" collapsed="false">
      <c r="A988" s="6" t="n">
        <f aca="false">IFERROR(__xludf.dummyfunction("""COMPUTED_VALUE"""),45630.6666666667)</f>
        <v>45630.6666666667</v>
      </c>
      <c r="B988" s="5" t="n">
        <f aca="false">IFERROR(__xludf.dummyfunction("""COMPUTED_VALUE"""),199.85)</f>
        <v>199.85</v>
      </c>
      <c r="C988" s="5" t="n">
        <f aca="false">IFERROR(__xludf.dummyfunction("""COMPUTED_VALUE"""),202.6)</f>
        <v>202.6</v>
      </c>
      <c r="D988" s="5" t="n">
        <f aca="false">IFERROR(__xludf.dummyfunction("""COMPUTED_VALUE"""),198.27)</f>
        <v>198.27</v>
      </c>
      <c r="E988" s="5" t="n">
        <f aca="false">IFERROR(__xludf.dummyfunction("""COMPUTED_VALUE"""),200.69)</f>
        <v>200.69</v>
      </c>
      <c r="F988" s="5" t="n">
        <f aca="false">IFERROR(__xludf.dummyfunction("""COMPUTED_VALUE"""),12761061)</f>
        <v>12761061</v>
      </c>
    </row>
    <row r="989" customFormat="false" ht="15.75" hidden="false" customHeight="false" outlineLevel="0" collapsed="false">
      <c r="A989" s="6" t="n">
        <f aca="false">IFERROR(__xludf.dummyfunction("""COMPUTED_VALUE"""),45631.6666666667)</f>
        <v>45631.6666666667</v>
      </c>
      <c r="B989" s="5" t="n">
        <f aca="false">IFERROR(__xludf.dummyfunction("""COMPUTED_VALUE"""),201.25)</f>
        <v>201.25</v>
      </c>
      <c r="C989" s="5" t="n">
        <f aca="false">IFERROR(__xludf.dummyfunction("""COMPUTED_VALUE"""),205.63)</f>
        <v>205.63</v>
      </c>
      <c r="D989" s="5" t="n">
        <f aca="false">IFERROR(__xludf.dummyfunction("""COMPUTED_VALUE"""),200.75)</f>
        <v>200.75</v>
      </c>
      <c r="E989" s="5" t="n">
        <f aca="false">IFERROR(__xludf.dummyfunction("""COMPUTED_VALUE"""),204.3)</f>
        <v>204.3</v>
      </c>
      <c r="F989" s="5" t="n">
        <f aca="false">IFERROR(__xludf.dummyfunction("""COMPUTED_VALUE"""),12483722)</f>
        <v>12483722</v>
      </c>
    </row>
    <row r="990" customFormat="false" ht="15.75" hidden="false" customHeight="false" outlineLevel="0" collapsed="false">
      <c r="A990" s="6" t="n">
        <f aca="false">IFERROR(__xludf.dummyfunction("""COMPUTED_VALUE"""),45632.6666666667)</f>
        <v>45632.6666666667</v>
      </c>
      <c r="B990" s="5" t="n">
        <f aca="false">IFERROR(__xludf.dummyfunction("""COMPUTED_VALUE"""),202)</f>
        <v>202</v>
      </c>
      <c r="C990" s="5" t="n">
        <f aca="false">IFERROR(__xludf.dummyfunction("""COMPUTED_VALUE"""),203.19)</f>
        <v>203.19</v>
      </c>
      <c r="D990" s="5" t="n">
        <f aca="false">IFERROR(__xludf.dummyfunction("""COMPUTED_VALUE"""),199.93)</f>
        <v>199.93</v>
      </c>
      <c r="E990" s="5" t="n">
        <f aca="false">IFERROR(__xludf.dummyfunction("""COMPUTED_VALUE"""),203.02)</f>
        <v>203.02</v>
      </c>
      <c r="F990" s="5" t="n">
        <f aca="false">IFERROR(__xludf.dummyfunction("""COMPUTED_VALUE"""),9672870)</f>
        <v>9672870</v>
      </c>
    </row>
    <row r="991" customFormat="false" ht="15.75" hidden="false" customHeight="false" outlineLevel="0" collapsed="false">
      <c r="A991" s="6" t="n">
        <f aca="false">IFERROR(__xludf.dummyfunction("""COMPUTED_VALUE"""),45635.6666666667)</f>
        <v>45635.6666666667</v>
      </c>
      <c r="B991" s="5" t="n">
        <f aca="false">IFERROR(__xludf.dummyfunction("""COMPUTED_VALUE"""),200.93)</f>
        <v>200.93</v>
      </c>
      <c r="C991" s="5" t="n">
        <f aca="false">IFERROR(__xludf.dummyfunction("""COMPUTED_VALUE"""),203.13)</f>
        <v>203.13</v>
      </c>
      <c r="D991" s="5" t="n">
        <f aca="false">IFERROR(__xludf.dummyfunction("""COMPUTED_VALUE"""),198.98)</f>
        <v>198.98</v>
      </c>
      <c r="E991" s="5" t="n">
        <f aca="false">IFERROR(__xludf.dummyfunction("""COMPUTED_VALUE"""),199.17)</f>
        <v>199.17</v>
      </c>
      <c r="F991" s="5" t="n">
        <f aca="false">IFERROR(__xludf.dummyfunction("""COMPUTED_VALUE"""),9699663)</f>
        <v>9699663</v>
      </c>
    </row>
    <row r="992" customFormat="false" ht="15.75" hidden="false" customHeight="false" outlineLevel="0" collapsed="false">
      <c r="A992" s="6" t="n">
        <f aca="false">IFERROR(__xludf.dummyfunction("""COMPUTED_VALUE"""),45636.6666666667)</f>
        <v>45636.6666666667</v>
      </c>
      <c r="B992" s="5" t="n">
        <f aca="false">IFERROR(__xludf.dummyfunction("""COMPUTED_VALUE"""),199.1)</f>
        <v>199.1</v>
      </c>
      <c r="C992" s="5" t="n">
        <f aca="false">IFERROR(__xludf.dummyfunction("""COMPUTED_VALUE"""),199.91)</f>
        <v>199.91</v>
      </c>
      <c r="D992" s="5" t="n">
        <f aca="false">IFERROR(__xludf.dummyfunction("""COMPUTED_VALUE"""),190.37)</f>
        <v>190.37</v>
      </c>
      <c r="E992" s="5" t="n">
        <f aca="false">IFERROR(__xludf.dummyfunction("""COMPUTED_VALUE"""),191.94)</f>
        <v>191.94</v>
      </c>
      <c r="F992" s="5" t="n">
        <f aca="false">IFERROR(__xludf.dummyfunction("""COMPUTED_VALUE"""),15307905)</f>
        <v>15307905</v>
      </c>
    </row>
    <row r="993" customFormat="false" ht="15.75" hidden="false" customHeight="false" outlineLevel="0" collapsed="false">
      <c r="A993" s="6" t="n">
        <f aca="false">IFERROR(__xludf.dummyfunction("""COMPUTED_VALUE"""),45637.6666666667)</f>
        <v>45637.6666666667</v>
      </c>
      <c r="B993" s="5" t="n">
        <f aca="false">IFERROR(__xludf.dummyfunction("""COMPUTED_VALUE"""),194.67)</f>
        <v>194.67</v>
      </c>
      <c r="C993" s="5" t="n">
        <f aca="false">IFERROR(__xludf.dummyfunction("""COMPUTED_VALUE"""),196)</f>
        <v>196</v>
      </c>
      <c r="D993" s="5" t="n">
        <f aca="false">IFERROR(__xludf.dummyfunction("""COMPUTED_VALUE"""),193.26)</f>
        <v>193.26</v>
      </c>
      <c r="E993" s="5" t="n">
        <f aca="false">IFERROR(__xludf.dummyfunction("""COMPUTED_VALUE"""),194.6)</f>
        <v>194.6</v>
      </c>
      <c r="F993" s="5" t="n">
        <f aca="false">IFERROR(__xludf.dummyfunction("""COMPUTED_VALUE"""),9027611)</f>
        <v>9027611</v>
      </c>
    </row>
    <row r="994" customFormat="false" ht="15.75" hidden="false" customHeight="false" outlineLevel="0" collapsed="false">
      <c r="A994" s="6" t="n">
        <f aca="false">IFERROR(__xludf.dummyfunction("""COMPUTED_VALUE"""),45638.6666666667)</f>
        <v>45638.6666666667</v>
      </c>
      <c r="B994" s="5" t="n">
        <f aca="false">IFERROR(__xludf.dummyfunction("""COMPUTED_VALUE"""),194.63)</f>
        <v>194.63</v>
      </c>
      <c r="C994" s="5" t="n">
        <f aca="false">IFERROR(__xludf.dummyfunction("""COMPUTED_VALUE"""),195.42)</f>
        <v>195.42</v>
      </c>
      <c r="D994" s="5" t="n">
        <f aca="false">IFERROR(__xludf.dummyfunction("""COMPUTED_VALUE"""),191.29)</f>
        <v>191.29</v>
      </c>
      <c r="E994" s="5" t="n">
        <f aca="false">IFERROR(__xludf.dummyfunction("""COMPUTED_VALUE"""),191.46)</f>
        <v>191.46</v>
      </c>
      <c r="F994" s="5" t="n">
        <f aca="false">IFERROR(__xludf.dummyfunction("""COMPUTED_VALUE"""),7944938)</f>
        <v>7944938</v>
      </c>
    </row>
    <row r="995" customFormat="false" ht="15.75" hidden="false" customHeight="false" outlineLevel="0" collapsed="false">
      <c r="A995" s="6" t="n">
        <f aca="false">IFERROR(__xludf.dummyfunction("""COMPUTED_VALUE"""),45639.6666666667)</f>
        <v>45639.6666666667</v>
      </c>
      <c r="B995" s="5" t="n">
        <f aca="false">IFERROR(__xludf.dummyfunction("""COMPUTED_VALUE"""),198.51)</f>
        <v>198.51</v>
      </c>
      <c r="C995" s="5" t="n">
        <f aca="false">IFERROR(__xludf.dummyfunction("""COMPUTED_VALUE"""),202.54)</f>
        <v>202.54</v>
      </c>
      <c r="D995" s="5" t="n">
        <f aca="false">IFERROR(__xludf.dummyfunction("""COMPUTED_VALUE"""),197.27)</f>
        <v>197.27</v>
      </c>
      <c r="E995" s="5" t="n">
        <f aca="false">IFERROR(__xludf.dummyfunction("""COMPUTED_VALUE"""),200.99)</f>
        <v>200.99</v>
      </c>
      <c r="F995" s="5" t="n">
        <f aca="false">IFERROR(__xludf.dummyfunction("""COMPUTED_VALUE"""),19476980)</f>
        <v>19476980</v>
      </c>
    </row>
    <row r="996" customFormat="false" ht="15.75" hidden="false" customHeight="false" outlineLevel="0" collapsed="false">
      <c r="A996" s="6" t="n">
        <f aca="false">IFERROR(__xludf.dummyfunction("""COMPUTED_VALUE"""),45642.6666666667)</f>
        <v>45642.6666666667</v>
      </c>
      <c r="B996" s="5" t="n">
        <f aca="false">IFERROR(__xludf.dummyfunction("""COMPUTED_VALUE"""),203.2)</f>
        <v>203.2</v>
      </c>
      <c r="C996" s="5" t="n">
        <f aca="false">IFERROR(__xludf.dummyfunction("""COMPUTED_VALUE"""),205.5)</f>
        <v>205.5</v>
      </c>
      <c r="D996" s="5" t="n">
        <f aca="false">IFERROR(__xludf.dummyfunction("""COMPUTED_VALUE"""),200.87)</f>
        <v>200.87</v>
      </c>
      <c r="E996" s="5" t="n">
        <f aca="false">IFERROR(__xludf.dummyfunction("""COMPUTED_VALUE"""),202.22)</f>
        <v>202.22</v>
      </c>
      <c r="F996" s="5" t="n">
        <f aca="false">IFERROR(__xludf.dummyfunction("""COMPUTED_VALUE"""),15139257)</f>
        <v>15139257</v>
      </c>
    </row>
    <row r="997" customFormat="false" ht="15.75" hidden="false" customHeight="false" outlineLevel="0" collapsed="false">
      <c r="A997" s="6" t="n">
        <f aca="false">IFERROR(__xludf.dummyfunction("""COMPUTED_VALUE"""),45643.6666666667)</f>
        <v>45643.6666666667</v>
      </c>
      <c r="B997" s="5" t="n">
        <f aca="false">IFERROR(__xludf.dummyfunction("""COMPUTED_VALUE"""),201)</f>
        <v>201</v>
      </c>
      <c r="C997" s="5" t="n">
        <f aca="false">IFERROR(__xludf.dummyfunction("""COMPUTED_VALUE"""),202.4)</f>
        <v>202.4</v>
      </c>
      <c r="D997" s="5" t="n">
        <f aca="false">IFERROR(__xludf.dummyfunction("""COMPUTED_VALUE"""),197.47)</f>
        <v>197.47</v>
      </c>
      <c r="E997" s="5" t="n">
        <f aca="false">IFERROR(__xludf.dummyfunction("""COMPUTED_VALUE"""),200.66)</f>
        <v>200.66</v>
      </c>
      <c r="F997" s="5" t="n">
        <f aca="false">IFERROR(__xludf.dummyfunction("""COMPUTED_VALUE"""),11169364)</f>
        <v>11169364</v>
      </c>
    </row>
    <row r="998" customFormat="false" ht="15.75" hidden="false" customHeight="false" outlineLevel="0" collapsed="false">
      <c r="A998" s="6" t="n">
        <f aca="false">IFERROR(__xludf.dummyfunction("""COMPUTED_VALUE"""),45644.6666666667)</f>
        <v>45644.6666666667</v>
      </c>
      <c r="B998" s="5" t="n">
        <f aca="false">IFERROR(__xludf.dummyfunction("""COMPUTED_VALUE"""),203)</f>
        <v>203</v>
      </c>
      <c r="C998" s="5" t="n">
        <f aca="false">IFERROR(__xludf.dummyfunction("""COMPUTED_VALUE"""),205.24)</f>
        <v>205.24</v>
      </c>
      <c r="D998" s="5" t="n">
        <f aca="false">IFERROR(__xludf.dummyfunction("""COMPUTED_VALUE"""),193.96)</f>
        <v>193.96</v>
      </c>
      <c r="E998" s="5" t="n">
        <f aca="false">IFERROR(__xludf.dummyfunction("""COMPUTED_VALUE"""),195.56)</f>
        <v>195.56</v>
      </c>
      <c r="F998" s="5" t="n">
        <f aca="false">IFERROR(__xludf.dummyfunction("""COMPUTED_VALUE"""),14721065)</f>
        <v>14721065</v>
      </c>
    </row>
    <row r="999" customFormat="false" ht="15.75" hidden="false" customHeight="false" outlineLevel="0" collapsed="false">
      <c r="A999" s="6" t="n">
        <f aca="false">IFERROR(__xludf.dummyfunction("""COMPUTED_VALUE"""),45645.6666666667)</f>
        <v>45645.6666666667</v>
      </c>
      <c r="B999" s="5" t="n">
        <f aca="false">IFERROR(__xludf.dummyfunction("""COMPUTED_VALUE"""),198.4)</f>
        <v>198.4</v>
      </c>
      <c r="C999" s="5" t="n">
        <f aca="false">IFERROR(__xludf.dummyfunction("""COMPUTED_VALUE"""),198.57)</f>
        <v>198.57</v>
      </c>
      <c r="D999" s="5" t="n">
        <f aca="false">IFERROR(__xludf.dummyfunction("""COMPUTED_VALUE"""),193.95)</f>
        <v>193.95</v>
      </c>
      <c r="E999" s="5" t="n">
        <f aca="false">IFERROR(__xludf.dummyfunction("""COMPUTED_VALUE"""),194.64)</f>
        <v>194.64</v>
      </c>
      <c r="F999" s="5" t="n">
        <f aca="false">IFERROR(__xludf.dummyfunction("""COMPUTED_VALUE"""),10553405)</f>
        <v>10553405</v>
      </c>
    </row>
    <row r="1000" customFormat="false" ht="15.75" hidden="false" customHeight="false" outlineLevel="0" collapsed="false">
      <c r="A1000" s="6" t="n">
        <f aca="false">IFERROR(__xludf.dummyfunction("""COMPUTED_VALUE"""),45646.6666666667)</f>
        <v>45646.6666666667</v>
      </c>
      <c r="B1000" s="5" t="n">
        <f aca="false">IFERROR(__xludf.dummyfunction("""COMPUTED_VALUE"""),192.6)</f>
        <v>192.6</v>
      </c>
      <c r="C1000" s="5" t="n">
        <f aca="false">IFERROR(__xludf.dummyfunction("""COMPUTED_VALUE"""),198.08)</f>
        <v>198.08</v>
      </c>
      <c r="D1000" s="5" t="n">
        <f aca="false">IFERROR(__xludf.dummyfunction("""COMPUTED_VALUE"""),191.98)</f>
        <v>191.98</v>
      </c>
      <c r="E1000" s="5" t="n">
        <f aca="false">IFERROR(__xludf.dummyfunction("""COMPUTED_VALUE"""),197.21)</f>
        <v>197.21</v>
      </c>
      <c r="F1000" s="5" t="n">
        <f aca="false">IFERROR(__xludf.dummyfunction("""COMPUTED_VALUE"""),16170143)</f>
        <v>16170143</v>
      </c>
    </row>
    <row r="1001" customFormat="false" ht="15.75" hidden="false" customHeight="false" outlineLevel="0" collapsed="false">
      <c r="A1001" s="6" t="n">
        <f aca="false">IFERROR(__xludf.dummyfunction("""COMPUTED_VALUE"""),45649.6666666667)</f>
        <v>45649.6666666667</v>
      </c>
      <c r="B1001" s="5" t="n">
        <f aca="false">IFERROR(__xludf.dummyfunction("""COMPUTED_VALUE"""),201)</f>
        <v>201</v>
      </c>
      <c r="C1001" s="5" t="n">
        <f aca="false">IFERROR(__xludf.dummyfunction("""COMPUTED_VALUE"""),208.05)</f>
        <v>208.05</v>
      </c>
      <c r="D1001" s="5" t="n">
        <f aca="false">IFERROR(__xludf.dummyfunction("""COMPUTED_VALUE"""),200.91)</f>
        <v>200.91</v>
      </c>
      <c r="E1001" s="5" t="n">
        <f aca="false">IFERROR(__xludf.dummyfunction("""COMPUTED_VALUE"""),207.36)</f>
        <v>207.36</v>
      </c>
      <c r="F1001" s="5" t="n">
        <f aca="false">IFERROR(__xludf.dummyfunction("""COMPUTED_VALUE"""),17847038)</f>
        <v>17847038</v>
      </c>
    </row>
    <row r="1002" customFormat="false" ht="15.75" hidden="false" customHeight="false" outlineLevel="0" collapsed="false">
      <c r="A1002" s="6" t="n">
        <f aca="false">IFERROR(__xludf.dummyfunction("""COMPUTED_VALUE"""),45650.5416666667)</f>
        <v>45650.5416666667</v>
      </c>
      <c r="B1002" s="5" t="n">
        <f aca="false">IFERROR(__xludf.dummyfunction("""COMPUTED_VALUE"""),205.92)</f>
        <v>205.92</v>
      </c>
      <c r="C1002" s="5" t="n">
        <f aca="false">IFERROR(__xludf.dummyfunction("""COMPUTED_VALUE"""),207.2)</f>
        <v>207.2</v>
      </c>
      <c r="D1002" s="5" t="n">
        <f aca="false">IFERROR(__xludf.dummyfunction("""COMPUTED_VALUE"""),204.55)</f>
        <v>204.55</v>
      </c>
      <c r="E1002" s="5" t="n">
        <f aca="false">IFERROR(__xludf.dummyfunction("""COMPUTED_VALUE"""),206.33)</f>
        <v>206.33</v>
      </c>
      <c r="F1002" s="5" t="n">
        <f aca="false">IFERROR(__xludf.dummyfunction("""COMPUTED_VALUE"""),7634490)</f>
        <v>7634490</v>
      </c>
    </row>
    <row r="1003" customFormat="false" ht="15.75" hidden="false" customHeight="false" outlineLevel="0" collapsed="false">
      <c r="A1003" s="6" t="n">
        <f aca="false">IFERROR(__xludf.dummyfunction("""COMPUTED_VALUE"""),45652.6666666667)</f>
        <v>45652.6666666667</v>
      </c>
      <c r="B1003" s="5" t="n">
        <f aca="false">IFERROR(__xludf.dummyfunction("""COMPUTED_VALUE"""),205.51)</f>
        <v>205.51</v>
      </c>
      <c r="C1003" s="5" t="n">
        <f aca="false">IFERROR(__xludf.dummyfunction("""COMPUTED_VALUE"""),208.16)</f>
        <v>208.16</v>
      </c>
      <c r="D1003" s="5" t="n">
        <f aca="false">IFERROR(__xludf.dummyfunction("""COMPUTED_VALUE"""),202.89)</f>
        <v>202.89</v>
      </c>
      <c r="E1003" s="5" t="n">
        <f aca="false">IFERROR(__xludf.dummyfunction("""COMPUTED_VALUE"""),203.06)</f>
        <v>203.06</v>
      </c>
      <c r="F1003" s="5" t="n">
        <f aca="false">IFERROR(__xludf.dummyfunction("""COMPUTED_VALUE"""),8053235)</f>
        <v>8053235</v>
      </c>
    </row>
    <row r="1004" customFormat="false" ht="15.75" hidden="false" customHeight="false" outlineLevel="0" collapsed="false">
      <c r="A1004" s="6" t="n">
        <f aca="false">IFERROR(__xludf.dummyfunction("""COMPUTED_VALUE"""),45653.6666666667)</f>
        <v>45653.6666666667</v>
      </c>
      <c r="B1004" s="5" t="n">
        <f aca="false">IFERROR(__xludf.dummyfunction("""COMPUTED_VALUE"""),204.5)</f>
        <v>204.5</v>
      </c>
      <c r="C1004" s="5" t="n">
        <f aca="false">IFERROR(__xludf.dummyfunction("""COMPUTED_VALUE"""),204.5)</f>
        <v>204.5</v>
      </c>
      <c r="D1004" s="5" t="n">
        <f aca="false">IFERROR(__xludf.dummyfunction("""COMPUTED_VALUE"""),199.05)</f>
        <v>199.05</v>
      </c>
      <c r="E1004" s="5" t="n">
        <f aca="false">IFERROR(__xludf.dummyfunction("""COMPUTED_VALUE"""),201.63)</f>
        <v>201.63</v>
      </c>
      <c r="F1004" s="5" t="n">
        <f aca="false">IFERROR(__xludf.dummyfunction("""COMPUTED_VALUE"""),10664418)</f>
        <v>10664418</v>
      </c>
    </row>
    <row r="1005" customFormat="false" ht="15.75" hidden="false" customHeight="false" outlineLevel="0" collapsed="false">
      <c r="A1005" s="6" t="n">
        <f aca="false">IFERROR(__xludf.dummyfunction("""COMPUTED_VALUE"""),45656.6666666667)</f>
        <v>45656.6666666667</v>
      </c>
      <c r="B1005" s="5" t="n">
        <f aca="false">IFERROR(__xludf.dummyfunction("""COMPUTED_VALUE"""),199.84)</f>
        <v>199.84</v>
      </c>
      <c r="C1005" s="5" t="n">
        <f aca="false">IFERROR(__xludf.dummyfunction("""COMPUTED_VALUE"""),201.97)</f>
        <v>201.97</v>
      </c>
      <c r="D1005" s="5" t="n">
        <f aca="false">IFERROR(__xludf.dummyfunction("""COMPUTED_VALUE"""),198.48)</f>
        <v>198.48</v>
      </c>
      <c r="E1005" s="5" t="n">
        <f aca="false">IFERROR(__xludf.dummyfunction("""COMPUTED_VALUE"""),200.39)</f>
        <v>200.39</v>
      </c>
      <c r="F1005" s="5" t="n">
        <f aca="false">IFERROR(__xludf.dummyfunction("""COMPUTED_VALUE"""),11235213)</f>
        <v>11235213</v>
      </c>
    </row>
    <row r="1006" customFormat="false" ht="15.75" hidden="false" customHeight="false" outlineLevel="0" collapsed="false">
      <c r="A1006" s="6" t="n">
        <f aca="false">IFERROR(__xludf.dummyfunction("""COMPUTED_VALUE"""),45657.6666666667)</f>
        <v>45657.6666666667</v>
      </c>
      <c r="B1006" s="5" t="n">
        <f aca="false">IFERROR(__xludf.dummyfunction("""COMPUTED_VALUE"""),200.79)</f>
        <v>200.79</v>
      </c>
      <c r="C1006" s="5" t="n">
        <f aca="false">IFERROR(__xludf.dummyfunction("""COMPUTED_VALUE"""),201.78)</f>
        <v>201.78</v>
      </c>
      <c r="D1006" s="5" t="n">
        <f aca="false">IFERROR(__xludf.dummyfunction("""COMPUTED_VALUE"""),197.36)</f>
        <v>197.36</v>
      </c>
      <c r="E1006" s="5" t="n">
        <f aca="false">IFERROR(__xludf.dummyfunction("""COMPUTED_VALUE"""),197.49)</f>
        <v>197.49</v>
      </c>
      <c r="F1006" s="5" t="n">
        <f aca="false">IFERROR(__xludf.dummyfunction("""COMPUTED_VALUE"""),6427867)</f>
        <v>6427867</v>
      </c>
    </row>
    <row r="1007" customFormat="false" ht="15.75" hidden="false" customHeight="false" outlineLevel="0" collapsed="false">
      <c r="A1007" s="6" t="n">
        <f aca="false">IFERROR(__xludf.dummyfunction("""COMPUTED_VALUE"""),45659.6666666667)</f>
        <v>45659.6666666667</v>
      </c>
      <c r="B1007" s="5" t="n">
        <f aca="false">IFERROR(__xludf.dummyfunction("""COMPUTED_VALUE"""),197.15)</f>
        <v>197.15</v>
      </c>
      <c r="C1007" s="5" t="n">
        <f aca="false">IFERROR(__xludf.dummyfunction("""COMPUTED_VALUE"""),203.77)</f>
        <v>203.77</v>
      </c>
      <c r="D1007" s="5" t="n">
        <f aca="false">IFERROR(__xludf.dummyfunction("""COMPUTED_VALUE"""),196.69)</f>
        <v>196.69</v>
      </c>
      <c r="E1007" s="5" t="n">
        <f aca="false">IFERROR(__xludf.dummyfunction("""COMPUTED_VALUE"""),201.58)</f>
        <v>201.58</v>
      </c>
      <c r="F1007" s="5" t="n">
        <f aca="false">IFERROR(__xludf.dummyfunction("""COMPUTED_VALUE"""),10951425)</f>
        <v>10951425</v>
      </c>
    </row>
    <row r="1008" customFormat="false" ht="15.75" hidden="false" customHeight="false" outlineLevel="0" collapsed="false">
      <c r="A1008" s="6" t="n">
        <f aca="false">IFERROR(__xludf.dummyfunction("""COMPUTED_VALUE"""),45660.6666666667)</f>
        <v>45660.6666666667</v>
      </c>
      <c r="B1008" s="5" t="n">
        <f aca="false">IFERROR(__xludf.dummyfunction("""COMPUTED_VALUE"""),204.1)</f>
        <v>204.1</v>
      </c>
      <c r="C1008" s="5" t="n">
        <f aca="false">IFERROR(__xludf.dummyfunction("""COMPUTED_VALUE"""),208.8)</f>
        <v>208.8</v>
      </c>
      <c r="D1008" s="5" t="n">
        <f aca="false">IFERROR(__xludf.dummyfunction("""COMPUTED_VALUE"""),203.7)</f>
        <v>203.7</v>
      </c>
      <c r="E1008" s="5" t="n">
        <f aca="false">IFERROR(__xludf.dummyfunction("""COMPUTED_VALUE"""),208.61)</f>
        <v>208.61</v>
      </c>
      <c r="F1008" s="5" t="n">
        <f aca="false">IFERROR(__xludf.dummyfunction("""COMPUTED_VALUE"""),10261948)</f>
        <v>10261948</v>
      </c>
    </row>
    <row r="1009" customFormat="false" ht="15.75" hidden="false" customHeight="false" outlineLevel="0" collapsed="false">
      <c r="A1009" s="6" t="n">
        <f aca="false">IFERROR(__xludf.dummyfunction("""COMPUTED_VALUE"""),45663.6666666667)</f>
        <v>45663.6666666667</v>
      </c>
      <c r="B1009" s="5" t="n">
        <f aca="false">IFERROR(__xludf.dummyfunction("""COMPUTED_VALUE"""),218.77)</f>
        <v>218.77</v>
      </c>
      <c r="C1009" s="5" t="n">
        <f aca="false">IFERROR(__xludf.dummyfunction("""COMPUTED_VALUE"""),222.2)</f>
        <v>222.2</v>
      </c>
      <c r="D1009" s="5" t="n">
        <f aca="false">IFERROR(__xludf.dummyfunction("""COMPUTED_VALUE"""),215.69)</f>
        <v>215.69</v>
      </c>
      <c r="E1009" s="5" t="n">
        <f aca="false">IFERROR(__xludf.dummyfunction("""COMPUTED_VALUE"""),220.01)</f>
        <v>220.01</v>
      </c>
      <c r="F1009" s="5" t="n">
        <f aca="false">IFERROR(__xludf.dummyfunction("""COMPUTED_VALUE"""),24339947)</f>
        <v>24339947</v>
      </c>
    </row>
    <row r="1010" customFormat="false" ht="15.75" hidden="false" customHeight="false" outlineLevel="0" collapsed="false">
      <c r="A1010" s="6" t="n">
        <f aca="false">IFERROR(__xludf.dummyfunction("""COMPUTED_VALUE"""),45664.6666666667)</f>
        <v>45664.6666666667</v>
      </c>
      <c r="B1010" s="5" t="n">
        <f aca="false">IFERROR(__xludf.dummyfunction("""COMPUTED_VALUE"""),221.24)</f>
        <v>221.24</v>
      </c>
      <c r="C1010" s="5" t="n">
        <f aca="false">IFERROR(__xludf.dummyfunction("""COMPUTED_VALUE"""),221.48)</f>
        <v>221.48</v>
      </c>
      <c r="D1010" s="5" t="n">
        <f aca="false">IFERROR(__xludf.dummyfunction("""COMPUTED_VALUE"""),211.32)</f>
        <v>211.32</v>
      </c>
      <c r="E1010" s="5" t="n">
        <f aca="false">IFERROR(__xludf.dummyfunction("""COMPUTED_VALUE"""),211.42)</f>
        <v>211.42</v>
      </c>
      <c r="F1010" s="5" t="n">
        <f aca="false">IFERROR(__xludf.dummyfunction("""COMPUTED_VALUE"""),17010000)</f>
        <v>17010000</v>
      </c>
    </row>
    <row r="1011" customFormat="false" ht="15.75" hidden="false" customHeight="false" outlineLevel="0" collapsed="false">
      <c r="A1011" s="6" t="n">
        <f aca="false">IFERROR(__xludf.dummyfunction("""COMPUTED_VALUE"""),45665.6666666667)</f>
        <v>45665.6666666667</v>
      </c>
      <c r="B1011" s="5" t="n">
        <f aca="false">IFERROR(__xludf.dummyfunction("""COMPUTED_VALUE"""),209.97)</f>
        <v>209.97</v>
      </c>
      <c r="C1011" s="5" t="n">
        <f aca="false">IFERROR(__xludf.dummyfunction("""COMPUTED_VALUE"""),210.3)</f>
        <v>210.3</v>
      </c>
      <c r="D1011" s="5" t="n">
        <f aca="false">IFERROR(__xludf.dummyfunction("""COMPUTED_VALUE"""),205.92)</f>
        <v>205.92</v>
      </c>
      <c r="E1011" s="5" t="n">
        <f aca="false">IFERROR(__xludf.dummyfunction("""COMPUTED_VALUE"""),207.12)</f>
        <v>207.12</v>
      </c>
      <c r="F1011" s="5" t="n">
        <f aca="false">IFERROR(__xludf.dummyfunction("""COMPUTED_VALUE"""),13262732)</f>
        <v>13262732</v>
      </c>
    </row>
    <row r="1012" customFormat="false" ht="15.75" hidden="false" customHeight="false" outlineLevel="0" collapsed="false">
      <c r="A1012" s="6" t="n">
        <f aca="false">IFERROR(__xludf.dummyfunction("""COMPUTED_VALUE"""),45667.6666666667)</f>
        <v>45667.6666666667</v>
      </c>
      <c r="B1012" s="5" t="n">
        <f aca="false">IFERROR(__xludf.dummyfunction("""COMPUTED_VALUE"""),207.6)</f>
        <v>207.6</v>
      </c>
      <c r="C1012" s="5" t="n">
        <f aca="false">IFERROR(__xludf.dummyfunction("""COMPUTED_VALUE"""),209.98)</f>
        <v>209.98</v>
      </c>
      <c r="D1012" s="5" t="n">
        <f aca="false">IFERROR(__xludf.dummyfunction("""COMPUTED_VALUE"""),203.23)</f>
        <v>203.23</v>
      </c>
      <c r="E1012" s="5" t="n">
        <f aca="false">IFERROR(__xludf.dummyfunction("""COMPUTED_VALUE"""),208.37)</f>
        <v>208.37</v>
      </c>
      <c r="F1012" s="5" t="n">
        <f aca="false">IFERROR(__xludf.dummyfunction("""COMPUTED_VALUE"""),17265198)</f>
        <v>17265198</v>
      </c>
    </row>
    <row r="1013" customFormat="false" ht="15.75" hidden="false" customHeight="false" outlineLevel="0" collapsed="false">
      <c r="A1013" s="6" t="n">
        <f aca="false">IFERROR(__xludf.dummyfunction("""COMPUTED_VALUE"""),45670.6666666667)</f>
        <v>45670.6666666667</v>
      </c>
      <c r="B1013" s="5" t="n">
        <f aca="false">IFERROR(__xludf.dummyfunction("""COMPUTED_VALUE"""),200.52)</f>
        <v>200.52</v>
      </c>
      <c r="C1013" s="5" t="n">
        <f aca="false">IFERROR(__xludf.dummyfunction("""COMPUTED_VALUE"""),203.59)</f>
        <v>203.59</v>
      </c>
      <c r="D1013" s="5" t="n">
        <f aca="false">IFERROR(__xludf.dummyfunction("""COMPUTED_VALUE"""),200.05)</f>
        <v>200.05</v>
      </c>
      <c r="E1013" s="5" t="n">
        <f aca="false">IFERROR(__xludf.dummyfunction("""COMPUTED_VALUE"""),201.36)</f>
        <v>201.36</v>
      </c>
      <c r="F1013" s="5" t="n">
        <f aca="false">IFERROR(__xludf.dummyfunction("""COMPUTED_VALUE"""),16612392)</f>
        <v>16612392</v>
      </c>
    </row>
    <row r="1014" customFormat="false" ht="15.75" hidden="false" customHeight="false" outlineLevel="0" collapsed="false">
      <c r="A1014" s="6" t="n">
        <f aca="false">IFERROR(__xludf.dummyfunction("""COMPUTED_VALUE"""),45671.6666666667)</f>
        <v>45671.6666666667</v>
      </c>
      <c r="B1014" s="5" t="n">
        <f aca="false">IFERROR(__xludf.dummyfunction("""COMPUTED_VALUE"""),205.19)</f>
        <v>205.19</v>
      </c>
      <c r="C1014" s="5" t="n">
        <f aca="false">IFERROR(__xludf.dummyfunction("""COMPUTED_VALUE"""),206.26)</f>
        <v>206.26</v>
      </c>
      <c r="D1014" s="5" t="n">
        <f aca="false">IFERROR(__xludf.dummyfunction("""COMPUTED_VALUE"""),198.5)</f>
        <v>198.5</v>
      </c>
      <c r="E1014" s="5" t="n">
        <f aca="false">IFERROR(__xludf.dummyfunction("""COMPUTED_VALUE"""),201.45)</f>
        <v>201.45</v>
      </c>
      <c r="F1014" s="5" t="n">
        <f aca="false">IFERROR(__xludf.dummyfunction("""COMPUTED_VALUE"""),14182944)</f>
        <v>14182944</v>
      </c>
    </row>
    <row r="1015" customFormat="false" ht="15.75" hidden="false" customHeight="false" outlineLevel="0" collapsed="false">
      <c r="A1015" s="6" t="n">
        <f aca="false">IFERROR(__xludf.dummyfunction("""COMPUTED_VALUE"""),45672.6666666667)</f>
        <v>45672.6666666667</v>
      </c>
      <c r="B1015" s="5" t="n">
        <f aca="false">IFERROR(__xludf.dummyfunction("""COMPUTED_VALUE"""),202.49)</f>
        <v>202.49</v>
      </c>
      <c r="C1015" s="5" t="n">
        <f aca="false">IFERROR(__xludf.dummyfunction("""COMPUTED_VALUE"""),209.04)</f>
        <v>209.04</v>
      </c>
      <c r="D1015" s="5" t="n">
        <f aca="false">IFERROR(__xludf.dummyfunction("""COMPUTED_VALUE"""),199.35)</f>
        <v>199.35</v>
      </c>
      <c r="E1015" s="5" t="n">
        <f aca="false">IFERROR(__xludf.dummyfunction("""COMPUTED_VALUE"""),206.8)</f>
        <v>206.8</v>
      </c>
      <c r="F1015" s="5" t="n">
        <f aca="false">IFERROR(__xludf.dummyfunction("""COMPUTED_VALUE"""),18286492)</f>
        <v>18286492</v>
      </c>
    </row>
    <row r="1016" customFormat="false" ht="15.75" hidden="false" customHeight="false" outlineLevel="0" collapsed="false">
      <c r="A1016" s="6" t="n">
        <f aca="false">IFERROR(__xludf.dummyfunction("""COMPUTED_VALUE"""),45673.6666666667)</f>
        <v>45673.6666666667</v>
      </c>
      <c r="B1016" s="5" t="n">
        <f aca="false">IFERROR(__xludf.dummyfunction("""COMPUTED_VALUE"""),218.89)</f>
        <v>218.89</v>
      </c>
      <c r="C1016" s="5" t="n">
        <f aca="false">IFERROR(__xludf.dummyfunction("""COMPUTED_VALUE"""),221.95)</f>
        <v>221.95</v>
      </c>
      <c r="D1016" s="5" t="n">
        <f aca="false">IFERROR(__xludf.dummyfunction("""COMPUTED_VALUE"""),213.17)</f>
        <v>213.17</v>
      </c>
      <c r="E1016" s="5" t="n">
        <f aca="false">IFERROR(__xludf.dummyfunction("""COMPUTED_VALUE"""),214.79)</f>
        <v>214.79</v>
      </c>
      <c r="F1016" s="5" t="n">
        <f aca="false">IFERROR(__xludf.dummyfunction("""COMPUTED_VALUE"""),38539551)</f>
        <v>38539551</v>
      </c>
    </row>
    <row r="1017" customFormat="false" ht="15.75" hidden="false" customHeight="false" outlineLevel="0" collapsed="false">
      <c r="A1017" s="6" t="n">
        <f aca="false">IFERROR(__xludf.dummyfunction("""COMPUTED_VALUE"""),45674.6666666667)</f>
        <v>45674.6666666667</v>
      </c>
      <c r="B1017" s="5" t="n">
        <f aca="false">IFERROR(__xludf.dummyfunction("""COMPUTED_VALUE"""),215.17)</f>
        <v>215.17</v>
      </c>
      <c r="C1017" s="5" t="n">
        <f aca="false">IFERROR(__xludf.dummyfunction("""COMPUTED_VALUE"""),215.68)</f>
        <v>215.68</v>
      </c>
      <c r="D1017" s="5" t="n">
        <f aca="false">IFERROR(__xludf.dummyfunction("""COMPUTED_VALUE"""),211.06)</f>
        <v>211.06</v>
      </c>
      <c r="E1017" s="5" t="n">
        <f aca="false">IFERROR(__xludf.dummyfunction("""COMPUTED_VALUE"""),211.5)</f>
        <v>211.5</v>
      </c>
      <c r="F1017" s="5" t="n">
        <f aca="false">IFERROR(__xludf.dummyfunction("""COMPUTED_VALUE"""),21606103)</f>
        <v>21606103</v>
      </c>
    </row>
    <row r="1018" customFormat="false" ht="15.75" hidden="false" customHeight="false" outlineLevel="0" collapsed="false">
      <c r="A1018" s="6" t="n">
        <f aca="false">IFERROR(__xludf.dummyfunction("""COMPUTED_VALUE"""),45678.6666666667)</f>
        <v>45678.6666666667</v>
      </c>
      <c r="B1018" s="5" t="n">
        <f aca="false">IFERROR(__xludf.dummyfunction("""COMPUTED_VALUE"""),214.73)</f>
        <v>214.73</v>
      </c>
      <c r="C1018" s="5" t="n">
        <f aca="false">IFERROR(__xludf.dummyfunction("""COMPUTED_VALUE"""),220.15)</f>
        <v>220.15</v>
      </c>
      <c r="D1018" s="5" t="n">
        <f aca="false">IFERROR(__xludf.dummyfunction("""COMPUTED_VALUE"""),212.05)</f>
        <v>212.05</v>
      </c>
      <c r="E1018" s="5" t="n">
        <f aca="false">IFERROR(__xludf.dummyfunction("""COMPUTED_VALUE"""),218.7)</f>
        <v>218.7</v>
      </c>
      <c r="F1018" s="5" t="n">
        <f aca="false">IFERROR(__xludf.dummyfunction("""COMPUTED_VALUE"""),19061304)</f>
        <v>19061304</v>
      </c>
    </row>
    <row r="1019" customFormat="false" ht="15.75" hidden="false" customHeight="false" outlineLevel="0" collapsed="false">
      <c r="A1019" s="6" t="n">
        <f aca="false">IFERROR(__xludf.dummyfunction("""COMPUTED_VALUE"""),45679.6666666667)</f>
        <v>45679.6666666667</v>
      </c>
      <c r="B1019" s="5" t="n">
        <f aca="false">IFERROR(__xludf.dummyfunction("""COMPUTED_VALUE"""),221.95)</f>
        <v>221.95</v>
      </c>
      <c r="C1019" s="5" t="n">
        <f aca="false">IFERROR(__xludf.dummyfunction("""COMPUTED_VALUE"""),225.43)</f>
        <v>225.43</v>
      </c>
      <c r="D1019" s="5" t="n">
        <f aca="false">IFERROR(__xludf.dummyfunction("""COMPUTED_VALUE"""),219.31)</f>
        <v>219.31</v>
      </c>
      <c r="E1019" s="5" t="n">
        <f aca="false">IFERROR(__xludf.dummyfunction("""COMPUTED_VALUE"""),223.2)</f>
        <v>223.2</v>
      </c>
      <c r="F1019" s="5" t="n">
        <f aca="false">IFERROR(__xludf.dummyfunction("""COMPUTED_VALUE"""),17294474)</f>
        <v>17294474</v>
      </c>
    </row>
    <row r="1020" customFormat="false" ht="15.75" hidden="false" customHeight="false" outlineLevel="0" collapsed="false">
      <c r="A1020" s="6" t="n">
        <f aca="false">IFERROR(__xludf.dummyfunction("""COMPUTED_VALUE"""),45680.6666666667)</f>
        <v>45680.6666666667</v>
      </c>
      <c r="B1020" s="5" t="n">
        <f aca="false">IFERROR(__xludf.dummyfunction("""COMPUTED_VALUE"""),220.1)</f>
        <v>220.1</v>
      </c>
      <c r="C1020" s="5" t="n">
        <f aca="false">IFERROR(__xludf.dummyfunction("""COMPUTED_VALUE"""),224.7)</f>
        <v>224.7</v>
      </c>
      <c r="D1020" s="5" t="n">
        <f aca="false">IFERROR(__xludf.dummyfunction("""COMPUTED_VALUE"""),219.41)</f>
        <v>219.41</v>
      </c>
      <c r="E1020" s="5" t="n">
        <f aca="false">IFERROR(__xludf.dummyfunction("""COMPUTED_VALUE"""),224.62)</f>
        <v>224.62</v>
      </c>
      <c r="F1020" s="5" t="n">
        <f aca="false">IFERROR(__xludf.dummyfunction("""COMPUTED_VALUE"""),8986795)</f>
        <v>8986795</v>
      </c>
    </row>
    <row r="1021" customFormat="false" ht="15.75" hidden="false" customHeight="false" outlineLevel="0" collapsed="false">
      <c r="A1021" s="6" t="n">
        <f aca="false">IFERROR(__xludf.dummyfunction("""COMPUTED_VALUE"""),45681.6666666667)</f>
        <v>45681.6666666667</v>
      </c>
      <c r="B1021" s="5" t="n">
        <f aca="false">IFERROR(__xludf.dummyfunction("""COMPUTED_VALUE"""),226.22)</f>
        <v>226.22</v>
      </c>
      <c r="C1021" s="5" t="n">
        <f aca="false">IFERROR(__xludf.dummyfunction("""COMPUTED_VALUE"""),226.4)</f>
        <v>226.4</v>
      </c>
      <c r="D1021" s="5" t="n">
        <f aca="false">IFERROR(__xludf.dummyfunction("""COMPUTED_VALUE"""),220.96)</f>
        <v>220.96</v>
      </c>
      <c r="E1021" s="5" t="n">
        <f aca="false">IFERROR(__xludf.dummyfunction("""COMPUTED_VALUE"""),221.88)</f>
        <v>221.88</v>
      </c>
      <c r="F1021" s="5" t="n">
        <f aca="false">IFERROR(__xludf.dummyfunction("""COMPUTED_VALUE"""),13183798)</f>
        <v>13183798</v>
      </c>
    </row>
    <row r="1022" customFormat="false" ht="15.75" hidden="false" customHeight="false" outlineLevel="0" collapsed="false">
      <c r="A1022" s="6" t="n">
        <f aca="false">IFERROR(__xludf.dummyfunction("""COMPUTED_VALUE"""),45684.6666666667)</f>
        <v>45684.6666666667</v>
      </c>
      <c r="B1022" s="5" t="n">
        <f aca="false">IFERROR(__xludf.dummyfunction("""COMPUTED_VALUE"""),197.04)</f>
        <v>197.04</v>
      </c>
      <c r="C1022" s="5" t="n">
        <f aca="false">IFERROR(__xludf.dummyfunction("""COMPUTED_VALUE"""),207)</f>
        <v>207</v>
      </c>
      <c r="D1022" s="5" t="n">
        <f aca="false">IFERROR(__xludf.dummyfunction("""COMPUTED_VALUE"""),187.67)</f>
        <v>187.67</v>
      </c>
      <c r="E1022" s="5" t="n">
        <f aca="false">IFERROR(__xludf.dummyfunction("""COMPUTED_VALUE"""),192.31)</f>
        <v>192.31</v>
      </c>
      <c r="F1022" s="5" t="n">
        <f aca="false">IFERROR(__xludf.dummyfunction("""COMPUTED_VALUE"""),68667472)</f>
        <v>68667472</v>
      </c>
    </row>
    <row r="1023" customFormat="false" ht="15.75" hidden="false" customHeight="false" outlineLevel="0" collapsed="false">
      <c r="A1023" s="6" t="n">
        <f aca="false">IFERROR(__xludf.dummyfunction("""COMPUTED_VALUE"""),45685.6666666667)</f>
        <v>45685.6666666667</v>
      </c>
      <c r="B1023" s="5" t="n">
        <f aca="false">IFERROR(__xludf.dummyfunction("""COMPUTED_VALUE"""),195.65)</f>
        <v>195.65</v>
      </c>
      <c r="C1023" s="5" t="n">
        <f aca="false">IFERROR(__xludf.dummyfunction("""COMPUTED_VALUE"""),202.84)</f>
        <v>202.84</v>
      </c>
      <c r="D1023" s="5" t="n">
        <f aca="false">IFERROR(__xludf.dummyfunction("""COMPUTED_VALUE"""),192.46)</f>
        <v>192.46</v>
      </c>
      <c r="E1023" s="5" t="n">
        <f aca="false">IFERROR(__xludf.dummyfunction("""COMPUTED_VALUE"""),202.4)</f>
        <v>202.4</v>
      </c>
      <c r="F1023" s="5" t="n">
        <f aca="false">IFERROR(__xludf.dummyfunction("""COMPUTED_VALUE"""),31738835)</f>
        <v>31738835</v>
      </c>
    </row>
    <row r="1024" customFormat="false" ht="15.75" hidden="false" customHeight="false" outlineLevel="0" collapsed="false">
      <c r="A1024" s="6" t="n">
        <f aca="false">IFERROR(__xludf.dummyfunction("""COMPUTED_VALUE"""),45686.6666666667)</f>
        <v>45686.6666666667</v>
      </c>
      <c r="B1024" s="5" t="n">
        <f aca="false">IFERROR(__xludf.dummyfunction("""COMPUTED_VALUE"""),204.49)</f>
        <v>204.49</v>
      </c>
      <c r="C1024" s="5" t="n">
        <f aca="false">IFERROR(__xludf.dummyfunction("""COMPUTED_VALUE"""),206.45)</f>
        <v>206.45</v>
      </c>
      <c r="D1024" s="5" t="n">
        <f aca="false">IFERROR(__xludf.dummyfunction("""COMPUTED_VALUE"""),199.75)</f>
        <v>199.75</v>
      </c>
      <c r="E1024" s="5" t="n">
        <f aca="false">IFERROR(__xludf.dummyfunction("""COMPUTED_VALUE"""),202.33)</f>
        <v>202.33</v>
      </c>
      <c r="F1024" s="5" t="n">
        <f aca="false">IFERROR(__xludf.dummyfunction("""COMPUTED_VALUE"""),15199493)</f>
        <v>15199493</v>
      </c>
    </row>
    <row r="1025" customFormat="false" ht="15.75" hidden="false" customHeight="false" outlineLevel="0" collapsed="false">
      <c r="A1025" s="6" t="n">
        <f aca="false">IFERROR(__xludf.dummyfunction("""COMPUTED_VALUE"""),45687.6666666667)</f>
        <v>45687.6666666667</v>
      </c>
      <c r="B1025" s="5" t="n">
        <f aca="false">IFERROR(__xludf.dummyfunction("""COMPUTED_VALUE"""),206.57)</f>
        <v>206.57</v>
      </c>
      <c r="C1025" s="5" t="n">
        <f aca="false">IFERROR(__xludf.dummyfunction("""COMPUTED_VALUE"""),209.62)</f>
        <v>209.62</v>
      </c>
      <c r="D1025" s="5" t="n">
        <f aca="false">IFERROR(__xludf.dummyfunction("""COMPUTED_VALUE"""),205.42)</f>
        <v>205.42</v>
      </c>
      <c r="E1025" s="5" t="n">
        <f aca="false">IFERROR(__xludf.dummyfunction("""COMPUTED_VALUE"""),208.15)</f>
        <v>208.15</v>
      </c>
      <c r="F1025" s="5" t="n">
        <f aca="false">IFERROR(__xludf.dummyfunction("""COMPUTED_VALUE"""),13538952)</f>
        <v>13538952</v>
      </c>
    </row>
    <row r="1026" customFormat="false" ht="15.75" hidden="false" customHeight="false" outlineLevel="0" collapsed="false">
      <c r="A1026" s="6" t="n">
        <f aca="false">IFERROR(__xludf.dummyfunction("""COMPUTED_VALUE"""),45688.6666666667)</f>
        <v>45688.6666666667</v>
      </c>
      <c r="B1026" s="5" t="n">
        <f aca="false">IFERROR(__xludf.dummyfunction("""COMPUTED_VALUE"""),209.93)</f>
        <v>209.93</v>
      </c>
      <c r="C1026" s="5" t="n">
        <f aca="false">IFERROR(__xludf.dummyfunction("""COMPUTED_VALUE"""),215)</f>
        <v>215</v>
      </c>
      <c r="D1026" s="5" t="n">
        <f aca="false">IFERROR(__xludf.dummyfunction("""COMPUTED_VALUE"""),208.2)</f>
        <v>208.2</v>
      </c>
      <c r="E1026" s="5" t="n">
        <f aca="false">IFERROR(__xludf.dummyfunction("""COMPUTED_VALUE"""),209.32)</f>
        <v>209.32</v>
      </c>
      <c r="F1026" s="5" t="n">
        <f aca="false">IFERROR(__xludf.dummyfunction("""COMPUTED_VALUE"""),15781905)</f>
        <v>15781905</v>
      </c>
    </row>
    <row r="1027" customFormat="false" ht="15.75" hidden="false" customHeight="false" outlineLevel="0" collapsed="false">
      <c r="A1027" s="6" t="n">
        <f aca="false">IFERROR(__xludf.dummyfunction("""COMPUTED_VALUE"""),45691.6666666667)</f>
        <v>45691.6666666667</v>
      </c>
      <c r="B1027" s="5" t="n">
        <f aca="false">IFERROR(__xludf.dummyfunction("""COMPUTED_VALUE"""),199.63)</f>
        <v>199.63</v>
      </c>
      <c r="C1027" s="5" t="n">
        <f aca="false">IFERROR(__xludf.dummyfunction("""COMPUTED_VALUE"""),204.99)</f>
        <v>204.99</v>
      </c>
      <c r="D1027" s="5" t="n">
        <f aca="false">IFERROR(__xludf.dummyfunction("""COMPUTED_VALUE"""),197.98)</f>
        <v>197.98</v>
      </c>
      <c r="E1027" s="5" t="n">
        <f aca="false">IFERROR(__xludf.dummyfunction("""COMPUTED_VALUE"""),199.8)</f>
        <v>199.8</v>
      </c>
      <c r="F1027" s="5" t="n">
        <f aca="false">IFERROR(__xludf.dummyfunction("""COMPUTED_VALUE"""),17719766)</f>
        <v>17719766</v>
      </c>
    </row>
    <row r="1028" customFormat="false" ht="15.75" hidden="false" customHeight="false" outlineLevel="0" collapsed="false">
      <c r="A1028" s="6" t="n">
        <f aca="false">IFERROR(__xludf.dummyfunction("""COMPUTED_VALUE"""),45692.6666666667)</f>
        <v>45692.6666666667</v>
      </c>
      <c r="B1028" s="5" t="n">
        <f aca="false">IFERROR(__xludf.dummyfunction("""COMPUTED_VALUE"""),204.07)</f>
        <v>204.07</v>
      </c>
      <c r="C1028" s="5" t="n">
        <f aca="false">IFERROR(__xludf.dummyfunction("""COMPUTED_VALUE"""),205.75)</f>
        <v>205.75</v>
      </c>
      <c r="D1028" s="5" t="n">
        <f aca="false">IFERROR(__xludf.dummyfunction("""COMPUTED_VALUE"""),202.08)</f>
        <v>202.08</v>
      </c>
      <c r="E1028" s="5" t="n">
        <f aca="false">IFERROR(__xludf.dummyfunction("""COMPUTED_VALUE"""),204.05)</f>
        <v>204.05</v>
      </c>
      <c r="F1028" s="5" t="n">
        <f aca="false">IFERROR(__xludf.dummyfunction("""COMPUTED_VALUE"""),12692908)</f>
        <v>12692908</v>
      </c>
    </row>
    <row r="1029" customFormat="false" ht="15.75" hidden="false" customHeight="false" outlineLevel="0" collapsed="false">
      <c r="A1029" s="6" t="n">
        <f aca="false">IFERROR(__xludf.dummyfunction("""COMPUTED_VALUE"""),45693.6666666667)</f>
        <v>45693.6666666667</v>
      </c>
      <c r="B1029" s="5" t="n">
        <f aca="false">IFERROR(__xludf.dummyfunction("""COMPUTED_VALUE"""),206)</f>
        <v>206</v>
      </c>
      <c r="C1029" s="5" t="n">
        <f aca="false">IFERROR(__xludf.dummyfunction("""COMPUTED_VALUE"""),210.48)</f>
        <v>210.48</v>
      </c>
      <c r="D1029" s="5" t="n">
        <f aca="false">IFERROR(__xludf.dummyfunction("""COMPUTED_VALUE"""),203.83)</f>
        <v>203.83</v>
      </c>
      <c r="E1029" s="5" t="n">
        <f aca="false">IFERROR(__xludf.dummyfunction("""COMPUTED_VALUE"""),208.57)</f>
        <v>208.57</v>
      </c>
      <c r="F1029" s="5" t="n">
        <f aca="false">IFERROR(__xludf.dummyfunction("""COMPUTED_VALUE"""),10997769)</f>
        <v>10997769</v>
      </c>
    </row>
    <row r="1030" customFormat="false" ht="15.75" hidden="false" customHeight="false" outlineLevel="0" collapsed="false">
      <c r="A1030" s="6" t="n">
        <f aca="false">IFERROR(__xludf.dummyfunction("""COMPUTED_VALUE"""),45694.6666666667)</f>
        <v>45694.6666666667</v>
      </c>
      <c r="B1030" s="5" t="n">
        <f aca="false">IFERROR(__xludf.dummyfunction("""COMPUTED_VALUE"""),210.06)</f>
        <v>210.06</v>
      </c>
      <c r="C1030" s="5" t="n">
        <f aca="false">IFERROR(__xludf.dummyfunction("""COMPUTED_VALUE"""),211.18)</f>
        <v>211.18</v>
      </c>
      <c r="D1030" s="5" t="n">
        <f aca="false">IFERROR(__xludf.dummyfunction("""COMPUTED_VALUE"""),207)</f>
        <v>207</v>
      </c>
      <c r="E1030" s="5" t="n">
        <f aca="false">IFERROR(__xludf.dummyfunction("""COMPUTED_VALUE"""),210.5)</f>
        <v>210.5</v>
      </c>
      <c r="F1030" s="5" t="n">
        <f aca="false">IFERROR(__xludf.dummyfunction("""COMPUTED_VALUE"""),8491436)</f>
        <v>8491436</v>
      </c>
    </row>
    <row r="1031" customFormat="false" ht="15.75" hidden="false" customHeight="false" outlineLevel="0" collapsed="false">
      <c r="A1031" s="6" t="n">
        <f aca="false">IFERROR(__xludf.dummyfunction("""COMPUTED_VALUE"""),45695.6666666667)</f>
        <v>45695.6666666667</v>
      </c>
      <c r="B1031" s="5" t="n">
        <f aca="false">IFERROR(__xludf.dummyfunction("""COMPUTED_VALUE"""),213.01)</f>
        <v>213.01</v>
      </c>
      <c r="C1031" s="5" t="n">
        <f aca="false">IFERROR(__xludf.dummyfunction("""COMPUTED_VALUE"""),213.18)</f>
        <v>213.18</v>
      </c>
      <c r="D1031" s="5" t="n">
        <f aca="false">IFERROR(__xludf.dummyfunction("""COMPUTED_VALUE"""),205.72)</f>
        <v>205.72</v>
      </c>
      <c r="E1031" s="5" t="n">
        <f aca="false">IFERROR(__xludf.dummyfunction("""COMPUTED_VALUE"""),206.12)</f>
        <v>206.12</v>
      </c>
      <c r="F1031" s="5" t="n">
        <f aca="false">IFERROR(__xludf.dummyfunction("""COMPUTED_VALUE"""),11616199)</f>
        <v>11616199</v>
      </c>
    </row>
    <row r="1032" customFormat="false" ht="15.75" hidden="false" customHeight="false" outlineLevel="0" collapsed="false">
      <c r="A1032" s="6" t="n">
        <f aca="false">IFERROR(__xludf.dummyfunction("""COMPUTED_VALUE"""),45698.6666666667)</f>
        <v>45698.6666666667</v>
      </c>
      <c r="B1032" s="5" t="n">
        <f aca="false">IFERROR(__xludf.dummyfunction("""COMPUTED_VALUE"""),208)</f>
        <v>208</v>
      </c>
      <c r="C1032" s="5" t="n">
        <f aca="false">IFERROR(__xludf.dummyfunction("""COMPUTED_VALUE"""),209.98)</f>
        <v>209.98</v>
      </c>
      <c r="D1032" s="5" t="n">
        <f aca="false">IFERROR(__xludf.dummyfunction("""COMPUTED_VALUE"""),206.53)</f>
        <v>206.53</v>
      </c>
      <c r="E1032" s="5" t="n">
        <f aca="false">IFERROR(__xludf.dummyfunction("""COMPUTED_VALUE"""),207.95)</f>
        <v>207.95</v>
      </c>
      <c r="F1032" s="5" t="n">
        <f aca="false">IFERROR(__xludf.dummyfunction("""COMPUTED_VALUE"""),9296479)</f>
        <v>9296479</v>
      </c>
    </row>
    <row r="1033" customFormat="false" ht="15.75" hidden="false" customHeight="false" outlineLevel="0" collapsed="false">
      <c r="A1033" s="6" t="n">
        <f aca="false">IFERROR(__xludf.dummyfunction("""COMPUTED_VALUE"""),45699.6666666667)</f>
        <v>45699.6666666667</v>
      </c>
      <c r="B1033" s="5" t="n">
        <f aca="false">IFERROR(__xludf.dummyfunction("""COMPUTED_VALUE"""),205.13)</f>
        <v>205.13</v>
      </c>
      <c r="C1033" s="5" t="n">
        <f aca="false">IFERROR(__xludf.dummyfunction("""COMPUTED_VALUE"""),209.84)</f>
        <v>209.84</v>
      </c>
      <c r="D1033" s="5" t="n">
        <f aca="false">IFERROR(__xludf.dummyfunction("""COMPUTED_VALUE"""),201)</f>
        <v>201</v>
      </c>
      <c r="E1033" s="5" t="n">
        <f aca="false">IFERROR(__xludf.dummyfunction("""COMPUTED_VALUE"""),208.74)</f>
        <v>208.74</v>
      </c>
      <c r="F1033" s="5" t="n">
        <f aca="false">IFERROR(__xludf.dummyfunction("""COMPUTED_VALUE"""),9224508)</f>
        <v>9224508</v>
      </c>
    </row>
    <row r="1034" customFormat="false" ht="15.75" hidden="false" customHeight="false" outlineLevel="0" collapsed="false">
      <c r="A1034" s="6" t="n">
        <f aca="false">IFERROR(__xludf.dummyfunction("""COMPUTED_VALUE"""),45700.6666666667)</f>
        <v>45700.6666666667</v>
      </c>
      <c r="B1034" s="5" t="n">
        <f aca="false">IFERROR(__xludf.dummyfunction("""COMPUTED_VALUE"""),204.9)</f>
        <v>204.9</v>
      </c>
      <c r="C1034" s="5" t="n">
        <f aca="false">IFERROR(__xludf.dummyfunction("""COMPUTED_VALUE"""),207.07)</f>
        <v>207.07</v>
      </c>
      <c r="D1034" s="5" t="n">
        <f aca="false">IFERROR(__xludf.dummyfunction("""COMPUTED_VALUE"""),203.01)</f>
        <v>203.01</v>
      </c>
      <c r="E1034" s="5" t="n">
        <f aca="false">IFERROR(__xludf.dummyfunction("""COMPUTED_VALUE"""),206.38)</f>
        <v>206.38</v>
      </c>
      <c r="F1034" s="5" t="n">
        <f aca="false">IFERROR(__xludf.dummyfunction("""COMPUTED_VALUE"""),7373675)</f>
        <v>7373675</v>
      </c>
    </row>
    <row r="1035" customFormat="false" ht="15.75" hidden="false" customHeight="false" outlineLevel="0" collapsed="false">
      <c r="A1035" s="6" t="n">
        <f aca="false">IFERROR(__xludf.dummyfunction("""COMPUTED_VALUE"""),45701.6666666667)</f>
        <v>45701.6666666667</v>
      </c>
      <c r="B1035" s="5" t="n">
        <f aca="false">IFERROR(__xludf.dummyfunction("""COMPUTED_VALUE"""),201.88)</f>
        <v>201.88</v>
      </c>
      <c r="C1035" s="5" t="n">
        <f aca="false">IFERROR(__xludf.dummyfunction("""COMPUTED_VALUE"""),202.3)</f>
        <v>202.3</v>
      </c>
      <c r="D1035" s="5" t="n">
        <f aca="false">IFERROR(__xludf.dummyfunction("""COMPUTED_VALUE"""),199.23)</f>
        <v>199.23</v>
      </c>
      <c r="E1035" s="5" t="n">
        <f aca="false">IFERROR(__xludf.dummyfunction("""COMPUTED_VALUE"""),201.83)</f>
        <v>201.83</v>
      </c>
      <c r="F1035" s="5" t="n">
        <f aca="false">IFERROR(__xludf.dummyfunction("""COMPUTED_VALUE"""),15580928)</f>
        <v>15580928</v>
      </c>
    </row>
    <row r="1036" customFormat="false" ht="15.75" hidden="false" customHeight="false" outlineLevel="0" collapsed="false">
      <c r="A1036" s="6" t="n">
        <f aca="false">IFERROR(__xludf.dummyfunction("""COMPUTED_VALUE"""),45702.6666666667)</f>
        <v>45702.6666666667</v>
      </c>
      <c r="B1036" s="5" t="n">
        <f aca="false">IFERROR(__xludf.dummyfunction("""COMPUTED_VALUE"""),199.98)</f>
        <v>199.98</v>
      </c>
      <c r="C1036" s="5" t="n">
        <f aca="false">IFERROR(__xludf.dummyfunction("""COMPUTED_VALUE"""),206.25)</f>
        <v>206.25</v>
      </c>
      <c r="D1036" s="5" t="n">
        <f aca="false">IFERROR(__xludf.dummyfunction("""COMPUTED_VALUE"""),197.46)</f>
        <v>197.46</v>
      </c>
      <c r="E1036" s="5" t="n">
        <f aca="false">IFERROR(__xludf.dummyfunction("""COMPUTED_VALUE"""),203.9)</f>
        <v>203.9</v>
      </c>
      <c r="F1036" s="5" t="n">
        <f aca="false">IFERROR(__xludf.dummyfunction("""COMPUTED_VALUE"""),23220332)</f>
        <v>23220332</v>
      </c>
    </row>
    <row r="1037" customFormat="false" ht="15.75" hidden="false" customHeight="false" outlineLevel="0" collapsed="false">
      <c r="A1037" s="6" t="n">
        <f aca="false">IFERROR(__xludf.dummyfunction("""COMPUTED_VALUE"""),45706.6666666667)</f>
        <v>45706.6666666667</v>
      </c>
      <c r="B1037" s="5" t="n">
        <f aca="false">IFERROR(__xludf.dummyfunction("""COMPUTED_VALUE"""),204.76)</f>
        <v>204.76</v>
      </c>
      <c r="C1037" s="5" t="n">
        <f aca="false">IFERROR(__xludf.dummyfunction("""COMPUTED_VALUE"""),205.85)</f>
        <v>205.85</v>
      </c>
      <c r="D1037" s="5" t="n">
        <f aca="false">IFERROR(__xludf.dummyfunction("""COMPUTED_VALUE"""),200.52)</f>
        <v>200.52</v>
      </c>
      <c r="E1037" s="5" t="n">
        <f aca="false">IFERROR(__xludf.dummyfunction("""COMPUTED_VALUE"""),202.74)</f>
        <v>202.74</v>
      </c>
      <c r="F1037" s="5" t="n">
        <f aca="false">IFERROR(__xludf.dummyfunction("""COMPUTED_VALUE"""),14988136)</f>
        <v>14988136</v>
      </c>
    </row>
    <row r="1038" customFormat="false" ht="15.75" hidden="false" customHeight="false" outlineLevel="0" collapsed="false">
      <c r="A1038" s="6" t="n">
        <f aca="false">IFERROR(__xludf.dummyfunction("""COMPUTED_VALUE"""),45707.6666666667)</f>
        <v>45707.6666666667</v>
      </c>
      <c r="B1038" s="5" t="n">
        <f aca="false">IFERROR(__xludf.dummyfunction("""COMPUTED_VALUE"""),202.01)</f>
        <v>202.01</v>
      </c>
      <c r="C1038" s="5" t="n">
        <f aca="false">IFERROR(__xludf.dummyfunction("""COMPUTED_VALUE"""),202.6)</f>
        <v>202.6</v>
      </c>
      <c r="D1038" s="5" t="n">
        <f aca="false">IFERROR(__xludf.dummyfunction("""COMPUTED_VALUE"""),200.02)</f>
        <v>200.02</v>
      </c>
      <c r="E1038" s="5" t="n">
        <f aca="false">IFERROR(__xludf.dummyfunction("""COMPUTED_VALUE"""),200.95)</f>
        <v>200.95</v>
      </c>
      <c r="F1038" s="5" t="n">
        <f aca="false">IFERROR(__xludf.dummyfunction("""COMPUTED_VALUE"""),13163071)</f>
        <v>13163071</v>
      </c>
    </row>
    <row r="1039" customFormat="false" ht="15.75" hidden="false" customHeight="false" outlineLevel="0" collapsed="false">
      <c r="A1039" s="6" t="n">
        <f aca="false">IFERROR(__xludf.dummyfunction("""COMPUTED_VALUE"""),45708.6666666667)</f>
        <v>45708.6666666667</v>
      </c>
      <c r="B1039" s="5" t="n">
        <f aca="false">IFERROR(__xludf.dummyfunction("""COMPUTED_VALUE"""),200.28)</f>
        <v>200.28</v>
      </c>
      <c r="C1039" s="5" t="n">
        <f aca="false">IFERROR(__xludf.dummyfunction("""COMPUTED_VALUE"""),200.34)</f>
        <v>200.34</v>
      </c>
      <c r="D1039" s="5" t="n">
        <f aca="false">IFERROR(__xludf.dummyfunction("""COMPUTED_VALUE"""),197.61)</f>
        <v>197.61</v>
      </c>
      <c r="E1039" s="5" t="n">
        <f aca="false">IFERROR(__xludf.dummyfunction("""COMPUTED_VALUE"""),200.1)</f>
        <v>200.1</v>
      </c>
      <c r="F1039" s="5" t="n">
        <f aca="false">IFERROR(__xludf.dummyfunction("""COMPUTED_VALUE"""),10639333)</f>
        <v>10639333</v>
      </c>
    </row>
    <row r="1040" customFormat="false" ht="15.75" hidden="false" customHeight="false" outlineLevel="0" collapsed="false">
      <c r="A1040" s="6" t="n">
        <f aca="false">IFERROR(__xludf.dummyfunction("""COMPUTED_VALUE"""),45709.6666666667)</f>
        <v>45709.6666666667</v>
      </c>
      <c r="B1040" s="5" t="n">
        <f aca="false">IFERROR(__xludf.dummyfunction("""COMPUTED_VALUE"""),201.33)</f>
        <v>201.33</v>
      </c>
      <c r="C1040" s="5" t="n">
        <f aca="false">IFERROR(__xludf.dummyfunction("""COMPUTED_VALUE"""),202.69)</f>
        <v>202.69</v>
      </c>
      <c r="D1040" s="5" t="n">
        <f aca="false">IFERROR(__xludf.dummyfunction("""COMPUTED_VALUE"""),196.01)</f>
        <v>196.01</v>
      </c>
      <c r="E1040" s="5" t="n">
        <f aca="false">IFERROR(__xludf.dummyfunction("""COMPUTED_VALUE"""),198.24)</f>
        <v>198.24</v>
      </c>
      <c r="F1040" s="5" t="n">
        <f aca="false">IFERROR(__xludf.dummyfunction("""COMPUTED_VALUE"""),13757337)</f>
        <v>13757337</v>
      </c>
    </row>
    <row r="1041" customFormat="false" ht="15.75" hidden="false" customHeight="false" outlineLevel="0" collapsed="false">
      <c r="A1041" s="6" t="n">
        <f aca="false">IFERROR(__xludf.dummyfunction("""COMPUTED_VALUE"""),45712.6666666667)</f>
        <v>45712.6666666667</v>
      </c>
      <c r="B1041" s="5" t="n">
        <f aca="false">IFERROR(__xludf.dummyfunction("""COMPUTED_VALUE"""),196.88)</f>
        <v>196.88</v>
      </c>
      <c r="C1041" s="5" t="n">
        <f aca="false">IFERROR(__xludf.dummyfunction("""COMPUTED_VALUE"""),198.79)</f>
        <v>198.79</v>
      </c>
      <c r="D1041" s="5" t="n">
        <f aca="false">IFERROR(__xludf.dummyfunction("""COMPUTED_VALUE"""),191.46)</f>
        <v>191.46</v>
      </c>
      <c r="E1041" s="5" t="n">
        <f aca="false">IFERROR(__xludf.dummyfunction("""COMPUTED_VALUE"""),191.65)</f>
        <v>191.65</v>
      </c>
      <c r="F1041" s="5" t="n">
        <f aca="false">IFERROR(__xludf.dummyfunction("""COMPUTED_VALUE"""),15114277)</f>
        <v>15114277</v>
      </c>
    </row>
    <row r="1042" customFormat="false" ht="15.75" hidden="false" customHeight="false" outlineLevel="0" collapsed="false">
      <c r="A1042" s="6" t="n">
        <f aca="false">IFERROR(__xludf.dummyfunction("""COMPUTED_VALUE"""),45713.6666666667)</f>
        <v>45713.6666666667</v>
      </c>
      <c r="B1042" s="5" t="n">
        <f aca="false">IFERROR(__xludf.dummyfunction("""COMPUTED_VALUE"""),190.65)</f>
        <v>190.65</v>
      </c>
      <c r="C1042" s="5" t="n">
        <f aca="false">IFERROR(__xludf.dummyfunction("""COMPUTED_VALUE"""),193.53)</f>
        <v>193.53</v>
      </c>
      <c r="D1042" s="5" t="n">
        <f aca="false">IFERROR(__xludf.dummyfunction("""COMPUTED_VALUE"""),187.47)</f>
        <v>187.47</v>
      </c>
      <c r="E1042" s="5" t="n">
        <f aca="false">IFERROR(__xludf.dummyfunction("""COMPUTED_VALUE"""),189.37)</f>
        <v>189.37</v>
      </c>
      <c r="F1042" s="5" t="n">
        <f aca="false">IFERROR(__xludf.dummyfunction("""COMPUTED_VALUE"""),20580951)</f>
        <v>20580951</v>
      </c>
    </row>
    <row r="1043" customFormat="false" ht="15.75" hidden="false" customHeight="false" outlineLevel="0" collapsed="false">
      <c r="A1043" s="6" t="n">
        <f aca="false">IFERROR(__xludf.dummyfunction("""COMPUTED_VALUE"""),45714.6666666667)</f>
        <v>45714.6666666667</v>
      </c>
      <c r="B1043" s="5" t="n">
        <f aca="false">IFERROR(__xludf.dummyfunction("""COMPUTED_VALUE"""),191.09)</f>
        <v>191.09</v>
      </c>
      <c r="C1043" s="5" t="n">
        <f aca="false">IFERROR(__xludf.dummyfunction("""COMPUTED_VALUE"""),196.08)</f>
        <v>196.08</v>
      </c>
      <c r="D1043" s="5" t="n">
        <f aca="false">IFERROR(__xludf.dummyfunction("""COMPUTED_VALUE"""),191.09)</f>
        <v>191.09</v>
      </c>
      <c r="E1043" s="5" t="n">
        <f aca="false">IFERROR(__xludf.dummyfunction("""COMPUTED_VALUE"""),194.62)</f>
        <v>194.62</v>
      </c>
      <c r="F1043" s="5" t="n">
        <f aca="false">IFERROR(__xludf.dummyfunction("""COMPUTED_VALUE"""),14112250)</f>
        <v>14112250</v>
      </c>
    </row>
    <row r="1044" customFormat="false" ht="15.75" hidden="false" customHeight="false" outlineLevel="0" collapsed="false">
      <c r="A1044" s="6" t="n">
        <f aca="false">IFERROR(__xludf.dummyfunction("""COMPUTED_VALUE"""),45715.6666666667)</f>
        <v>45715.6666666667</v>
      </c>
      <c r="B1044" s="5" t="n">
        <f aca="false">IFERROR(__xludf.dummyfunction("""COMPUTED_VALUE"""),194.69)</f>
        <v>194.69</v>
      </c>
      <c r="C1044" s="5" t="n">
        <f aca="false">IFERROR(__xludf.dummyfunction("""COMPUTED_VALUE"""),194.77)</f>
        <v>194.77</v>
      </c>
      <c r="D1044" s="5" t="n">
        <f aca="false">IFERROR(__xludf.dummyfunction("""COMPUTED_VALUE"""),181.08)</f>
        <v>181.08</v>
      </c>
      <c r="E1044" s="5" t="n">
        <f aca="false">IFERROR(__xludf.dummyfunction("""COMPUTED_VALUE"""),181.09)</f>
        <v>181.09</v>
      </c>
      <c r="F1044" s="5" t="n">
        <f aca="false">IFERROR(__xludf.dummyfunction("""COMPUTED_VALUE"""),24219211)</f>
        <v>24219211</v>
      </c>
    </row>
    <row r="1045" customFormat="false" ht="15.75" hidden="false" customHeight="false" outlineLevel="0" collapsed="false">
      <c r="A1045" s="6" t="n">
        <f aca="false">IFERROR(__xludf.dummyfunction("""COMPUTED_VALUE"""),45716.6666666667)</f>
        <v>45716.6666666667</v>
      </c>
      <c r="B1045" s="5" t="n">
        <f aca="false">IFERROR(__xludf.dummyfunction("""COMPUTED_VALUE"""),179.31)</f>
        <v>179.31</v>
      </c>
      <c r="C1045" s="5" t="n">
        <f aca="false">IFERROR(__xludf.dummyfunction("""COMPUTED_VALUE"""),182.16)</f>
        <v>182.16</v>
      </c>
      <c r="D1045" s="5" t="n">
        <f aca="false">IFERROR(__xludf.dummyfunction("""COMPUTED_VALUE"""),175.52)</f>
        <v>175.52</v>
      </c>
      <c r="E1045" s="5" t="n">
        <f aca="false">IFERROR(__xludf.dummyfunction("""COMPUTED_VALUE"""),180.53)</f>
        <v>180.53</v>
      </c>
      <c r="F1045" s="5" t="n">
        <f aca="false">IFERROR(__xludf.dummyfunction("""COMPUTED_VALUE"""),27929427)</f>
        <v>27929427</v>
      </c>
    </row>
    <row r="1046" customFormat="false" ht="15.75" hidden="false" customHeight="false" outlineLevel="0" collapsed="false">
      <c r="A1046" s="6" t="n">
        <f aca="false">IFERROR(__xludf.dummyfunction("""COMPUTED_VALUE"""),45719.6666666667)</f>
        <v>45719.6666666667</v>
      </c>
      <c r="B1046" s="5" t="n">
        <f aca="false">IFERROR(__xludf.dummyfunction("""COMPUTED_VALUE"""),181.15)</f>
        <v>181.15</v>
      </c>
      <c r="C1046" s="5" t="n">
        <f aca="false">IFERROR(__xludf.dummyfunction("""COMPUTED_VALUE"""),181.57)</f>
        <v>181.57</v>
      </c>
      <c r="D1046" s="5" t="n">
        <f aca="false">IFERROR(__xludf.dummyfunction("""COMPUTED_VALUE"""),171.07)</f>
        <v>171.07</v>
      </c>
      <c r="E1046" s="5" t="n">
        <f aca="false">IFERROR(__xludf.dummyfunction("""COMPUTED_VALUE"""),172.97)</f>
        <v>172.97</v>
      </c>
      <c r="F1046" s="5" t="n">
        <f aca="false">IFERROR(__xludf.dummyfunction("""COMPUTED_VALUE"""),37402998)</f>
        <v>37402998</v>
      </c>
    </row>
    <row r="1047" customFormat="false" ht="15.75" hidden="false" customHeight="false" outlineLevel="0" collapsed="false">
      <c r="A1047" s="6" t="n">
        <f aca="false">IFERROR(__xludf.dummyfunction("""COMPUTED_VALUE"""),45720.6666666667)</f>
        <v>45720.6666666667</v>
      </c>
      <c r="B1047" s="5" t="n">
        <f aca="false">IFERROR(__xludf.dummyfunction("""COMPUTED_VALUE"""),175.06)</f>
        <v>175.06</v>
      </c>
      <c r="C1047" s="5" t="n">
        <f aca="false">IFERROR(__xludf.dummyfunction("""COMPUTED_VALUE"""),183.6)</f>
        <v>183.6</v>
      </c>
      <c r="D1047" s="5" t="n">
        <f aca="false">IFERROR(__xludf.dummyfunction("""COMPUTED_VALUE"""),174.18)</f>
        <v>174.18</v>
      </c>
      <c r="E1047" s="5" t="n">
        <f aca="false">IFERROR(__xludf.dummyfunction("""COMPUTED_VALUE"""),180)</f>
        <v>180</v>
      </c>
      <c r="F1047" s="5" t="n">
        <f aca="false">IFERROR(__xludf.dummyfunction("""COMPUTED_VALUE"""),29395234)</f>
        <v>29395234</v>
      </c>
    </row>
    <row r="1048" customFormat="false" ht="15.75" hidden="false" customHeight="false" outlineLevel="0" collapsed="false">
      <c r="A1048" s="6" t="n">
        <f aca="false">IFERROR(__xludf.dummyfunction("""COMPUTED_VALUE"""),45721.6666666667)</f>
        <v>45721.6666666667</v>
      </c>
      <c r="B1048" s="5" t="n">
        <f aca="false">IFERROR(__xludf.dummyfunction("""COMPUTED_VALUE"""),183)</f>
        <v>183</v>
      </c>
      <c r="C1048" s="5" t="n">
        <f aca="false">IFERROR(__xludf.dummyfunction("""COMPUTED_VALUE"""),184.74)</f>
        <v>184.74</v>
      </c>
      <c r="D1048" s="5" t="n">
        <f aca="false">IFERROR(__xludf.dummyfunction("""COMPUTED_VALUE"""),180.72)</f>
        <v>180.72</v>
      </c>
      <c r="E1048" s="5" t="n">
        <f aca="false">IFERROR(__xludf.dummyfunction("""COMPUTED_VALUE"""),184.28)</f>
        <v>184.28</v>
      </c>
      <c r="F1048" s="5" t="n">
        <f aca="false">IFERROR(__xludf.dummyfunction("""COMPUTED_VALUE"""),17333996)</f>
        <v>17333996</v>
      </c>
    </row>
    <row r="1049" customFormat="false" ht="15.75" hidden="false" customHeight="false" outlineLevel="0" collapsed="false">
      <c r="A1049" s="6" t="n">
        <f aca="false">IFERROR(__xludf.dummyfunction("""COMPUTED_VALUE"""),45722.6666666667)</f>
        <v>45722.6666666667</v>
      </c>
      <c r="B1049" s="5" t="n">
        <f aca="false">IFERROR(__xludf.dummyfunction("""COMPUTED_VALUE"""),178.58)</f>
        <v>178.58</v>
      </c>
      <c r="C1049" s="5" t="n">
        <f aca="false">IFERROR(__xludf.dummyfunction("""COMPUTED_VALUE"""),181.55)</f>
        <v>181.55</v>
      </c>
      <c r="D1049" s="5" t="n">
        <f aca="false">IFERROR(__xludf.dummyfunction("""COMPUTED_VALUE"""),175.79)</f>
        <v>175.79</v>
      </c>
      <c r="E1049" s="5" t="n">
        <f aca="false">IFERROR(__xludf.dummyfunction("""COMPUTED_VALUE"""),175.85)</f>
        <v>175.85</v>
      </c>
      <c r="F1049" s="5" t="n">
        <f aca="false">IFERROR(__xludf.dummyfunction("""COMPUTED_VALUE"""),17864290)</f>
        <v>17864290</v>
      </c>
    </row>
    <row r="1050" customFormat="false" ht="15.75" hidden="false" customHeight="false" outlineLevel="0" collapsed="false">
      <c r="A1050" s="6" t="n">
        <f aca="false">IFERROR(__xludf.dummyfunction("""COMPUTED_VALUE"""),45723.6666666667)</f>
        <v>45723.6666666667</v>
      </c>
      <c r="B1050" s="5" t="n">
        <f aca="false">IFERROR(__xludf.dummyfunction("""COMPUTED_VALUE"""),175.79)</f>
        <v>175.79</v>
      </c>
      <c r="C1050" s="5" t="n">
        <f aca="false">IFERROR(__xludf.dummyfunction("""COMPUTED_VALUE"""),178.47)</f>
        <v>178.47</v>
      </c>
      <c r="D1050" s="5" t="n">
        <f aca="false">IFERROR(__xludf.dummyfunction("""COMPUTED_VALUE"""),171.02)</f>
        <v>171.02</v>
      </c>
      <c r="E1050" s="5" t="n">
        <f aca="false">IFERROR(__xludf.dummyfunction("""COMPUTED_VALUE"""),177.1)</f>
        <v>177.1</v>
      </c>
      <c r="F1050" s="5" t="n">
        <f aca="false">IFERROR(__xludf.dummyfunction("""COMPUTED_VALUE"""),21012687)</f>
        <v>21012687</v>
      </c>
    </row>
    <row r="1051" customFormat="false" ht="15.75" hidden="false" customHeight="false" outlineLevel="0" collapsed="false">
      <c r="A1051" s="6" t="n">
        <f aca="false">IFERROR(__xludf.dummyfunction("""COMPUTED_VALUE"""),45726.6666666667)</f>
        <v>45726.6666666667</v>
      </c>
      <c r="B1051" s="5" t="n">
        <f aca="false">IFERROR(__xludf.dummyfunction("""COMPUTED_VALUE"""),172.42)</f>
        <v>172.42</v>
      </c>
      <c r="C1051" s="5" t="n">
        <f aca="false">IFERROR(__xludf.dummyfunction("""COMPUTED_VALUE"""),174.89)</f>
        <v>174.89</v>
      </c>
      <c r="D1051" s="5" t="n">
        <f aca="false">IFERROR(__xludf.dummyfunction("""COMPUTED_VALUE"""),167.91)</f>
        <v>167.91</v>
      </c>
      <c r="E1051" s="5" t="n">
        <f aca="false">IFERROR(__xludf.dummyfunction("""COMPUTED_VALUE"""),170.65)</f>
        <v>170.65</v>
      </c>
      <c r="F1051" s="5" t="n">
        <f aca="false">IFERROR(__xludf.dummyfunction("""COMPUTED_VALUE"""),18265099)</f>
        <v>18265099</v>
      </c>
    </row>
    <row r="1052" customFormat="false" ht="15.75" hidden="false" customHeight="false" outlineLevel="0" collapsed="false">
      <c r="A1052" s="6" t="n">
        <f aca="false">IFERROR(__xludf.dummyfunction("""COMPUTED_VALUE"""),45727.6666666667)</f>
        <v>45727.6666666667</v>
      </c>
      <c r="B1052" s="5" t="n">
        <f aca="false">IFERROR(__xludf.dummyfunction("""COMPUTED_VALUE"""),170.65)</f>
        <v>170.65</v>
      </c>
      <c r="C1052" s="5" t="n">
        <f aca="false">IFERROR(__xludf.dummyfunction("""COMPUTED_VALUE"""),173.33)</f>
        <v>173.33</v>
      </c>
      <c r="D1052" s="5" t="n">
        <f aca="false">IFERROR(__xludf.dummyfunction("""COMPUTED_VALUE"""),168.1)</f>
        <v>168.1</v>
      </c>
      <c r="E1052" s="5" t="n">
        <f aca="false">IFERROR(__xludf.dummyfunction("""COMPUTED_VALUE"""),170.97)</f>
        <v>170.97</v>
      </c>
      <c r="F1052" s="5" t="n">
        <f aca="false">IFERROR(__xludf.dummyfunction("""COMPUTED_VALUE"""),16561137)</f>
        <v>16561137</v>
      </c>
    </row>
    <row r="1053" customFormat="false" ht="15.75" hidden="false" customHeight="false" outlineLevel="0" collapsed="false">
      <c r="A1053" s="6" t="n">
        <f aca="false">IFERROR(__xludf.dummyfunction("""COMPUTED_VALUE"""),45728.6666666667)</f>
        <v>45728.6666666667</v>
      </c>
      <c r="B1053" s="5" t="n">
        <f aca="false">IFERROR(__xludf.dummyfunction("""COMPUTED_VALUE"""),175.6)</f>
        <v>175.6</v>
      </c>
      <c r="C1053" s="5" t="n">
        <f aca="false">IFERROR(__xludf.dummyfunction("""COMPUTED_VALUE"""),178.13)</f>
        <v>178.13</v>
      </c>
      <c r="D1053" s="5" t="n">
        <f aca="false">IFERROR(__xludf.dummyfunction("""COMPUTED_VALUE"""),174.76)</f>
        <v>174.76</v>
      </c>
      <c r="E1053" s="5" t="n">
        <f aca="false">IFERROR(__xludf.dummyfunction("""COMPUTED_VALUE"""),177.17)</f>
        <v>177.17</v>
      </c>
      <c r="F1053" s="5" t="n">
        <f aca="false">IFERROR(__xludf.dummyfunction("""COMPUTED_VALUE"""),14737610)</f>
        <v>14737610</v>
      </c>
    </row>
    <row r="1054" customFormat="false" ht="15.75" hidden="false" customHeight="false" outlineLevel="0" collapsed="false">
      <c r="A1054" s="6" t="n">
        <f aca="false">IFERROR(__xludf.dummyfunction("""COMPUTED_VALUE"""),45729.6666666667)</f>
        <v>45729.6666666667</v>
      </c>
      <c r="B1054" s="5" t="n">
        <f aca="false">IFERROR(__xludf.dummyfunction("""COMPUTED_VALUE"""),173.89)</f>
        <v>173.89</v>
      </c>
      <c r="C1054" s="5" t="n">
        <f aca="false">IFERROR(__xludf.dummyfunction("""COMPUTED_VALUE"""),173.89)</f>
        <v>173.89</v>
      </c>
      <c r="D1054" s="5" t="n">
        <f aca="false">IFERROR(__xludf.dummyfunction("""COMPUTED_VALUE"""),170.5)</f>
        <v>170.5</v>
      </c>
      <c r="E1054" s="5" t="n">
        <f aca="false">IFERROR(__xludf.dummyfunction("""COMPUTED_VALUE"""),171.59)</f>
        <v>171.59</v>
      </c>
      <c r="F1054" s="5" t="n">
        <f aca="false">IFERROR(__xludf.dummyfunction("""COMPUTED_VALUE"""),14381570)</f>
        <v>14381570</v>
      </c>
    </row>
    <row r="1055" customFormat="false" ht="15.75" hidden="false" customHeight="false" outlineLevel="0" collapsed="false">
      <c r="A1055" s="6" t="n">
        <f aca="false">IFERROR(__xludf.dummyfunction("""COMPUTED_VALUE"""),45730.6666666667)</f>
        <v>45730.6666666667</v>
      </c>
      <c r="B1055" s="5" t="n">
        <f aca="false">IFERROR(__xludf.dummyfunction("""COMPUTED_VALUE"""),172.65)</f>
        <v>172.65</v>
      </c>
      <c r="C1055" s="5" t="n">
        <f aca="false">IFERROR(__xludf.dummyfunction("""COMPUTED_VALUE"""),174.37)</f>
        <v>174.37</v>
      </c>
      <c r="D1055" s="5" t="n">
        <f aca="false">IFERROR(__xludf.dummyfunction("""COMPUTED_VALUE"""),171.93)</f>
        <v>171.93</v>
      </c>
      <c r="E1055" s="5" t="n">
        <f aca="false">IFERROR(__xludf.dummyfunction("""COMPUTED_VALUE"""),174.09)</f>
        <v>174.09</v>
      </c>
      <c r="F1055" s="5" t="n">
        <f aca="false">IFERROR(__xludf.dummyfunction("""COMPUTED_VALUE"""),11449411)</f>
        <v>11449411</v>
      </c>
    </row>
    <row r="1056" customFormat="false" ht="15.75" hidden="false" customHeight="false" outlineLevel="0" collapsed="false">
      <c r="A1056" s="6" t="n">
        <f aca="false">IFERROR(__xludf.dummyfunction("""COMPUTED_VALUE"""),45733.6666666667)</f>
        <v>45733.6666666667</v>
      </c>
      <c r="B1056" s="5" t="n">
        <f aca="false">IFERROR(__xludf.dummyfunction("""COMPUTED_VALUE"""),173.95)</f>
        <v>173.95</v>
      </c>
      <c r="C1056" s="5" t="n">
        <f aca="false">IFERROR(__xludf.dummyfunction("""COMPUTED_VALUE"""),177.16)</f>
        <v>177.16</v>
      </c>
      <c r="D1056" s="5" t="n">
        <f aca="false">IFERROR(__xludf.dummyfunction("""COMPUTED_VALUE"""),173.82)</f>
        <v>173.82</v>
      </c>
      <c r="E1056" s="5" t="n">
        <f aca="false">IFERROR(__xludf.dummyfunction("""COMPUTED_VALUE"""),176.24)</f>
        <v>176.24</v>
      </c>
      <c r="F1056" s="5" t="n">
        <f aca="false">IFERROR(__xludf.dummyfunction("""COMPUTED_VALUE"""),9678112)</f>
        <v>9678112</v>
      </c>
    </row>
    <row r="1057" customFormat="false" ht="15.75" hidden="false" customHeight="false" outlineLevel="0" collapsed="false">
      <c r="A1057" s="6" t="n">
        <f aca="false">IFERROR(__xludf.dummyfunction("""COMPUTED_VALUE"""),45734.6666666667)</f>
        <v>45734.6666666667</v>
      </c>
      <c r="B1057" s="5" t="n">
        <f aca="false">IFERROR(__xludf.dummyfunction("""COMPUTED_VALUE"""),174.38)</f>
        <v>174.38</v>
      </c>
      <c r="C1057" s="5" t="n">
        <f aca="false">IFERROR(__xludf.dummyfunction("""COMPUTED_VALUE"""),174.58)</f>
        <v>174.58</v>
      </c>
      <c r="D1057" s="5" t="n">
        <f aca="false">IFERROR(__xludf.dummyfunction("""COMPUTED_VALUE"""),170.43)</f>
        <v>170.43</v>
      </c>
      <c r="E1057" s="5" t="n">
        <f aca="false">IFERROR(__xludf.dummyfunction("""COMPUTED_VALUE"""),173.13)</f>
        <v>173.13</v>
      </c>
      <c r="F1057" s="5" t="n">
        <f aca="false">IFERROR(__xludf.dummyfunction("""COMPUTED_VALUE"""),9986033)</f>
        <v>9986033</v>
      </c>
    </row>
    <row r="1058" customFormat="false" ht="15.75" hidden="false" customHeight="false" outlineLevel="0" collapsed="false">
      <c r="A1058" s="6" t="n">
        <f aca="false">IFERROR(__xludf.dummyfunction("""COMPUTED_VALUE"""),45735.6666666667)</f>
        <v>45735.6666666667</v>
      </c>
      <c r="B1058" s="5" t="n">
        <f aca="false">IFERROR(__xludf.dummyfunction("""COMPUTED_VALUE"""),173)</f>
        <v>173</v>
      </c>
      <c r="C1058" s="5" t="n">
        <f aca="false">IFERROR(__xludf.dummyfunction("""COMPUTED_VALUE"""),175.73)</f>
        <v>175.73</v>
      </c>
      <c r="D1058" s="5" t="n">
        <f aca="false">IFERROR(__xludf.dummyfunction("""COMPUTED_VALUE"""),171.74)</f>
        <v>171.74</v>
      </c>
      <c r="E1058" s="5" t="n">
        <f aca="false">IFERROR(__xludf.dummyfunction("""COMPUTED_VALUE"""),173.76)</f>
        <v>173.76</v>
      </c>
      <c r="F1058" s="5" t="n">
        <f aca="false">IFERROR(__xludf.dummyfunction("""COMPUTED_VALUE"""),10678482)</f>
        <v>10678482</v>
      </c>
    </row>
    <row r="1059" customFormat="false" ht="15.75" hidden="false" customHeight="false" outlineLevel="0" collapsed="false">
      <c r="A1059" s="6" t="n">
        <f aca="false">IFERROR(__xludf.dummyfunction("""COMPUTED_VALUE"""),45736.6666666667)</f>
        <v>45736.6666666667</v>
      </c>
      <c r="B1059" s="5" t="n">
        <f aca="false">IFERROR(__xludf.dummyfunction("""COMPUTED_VALUE"""),174.85)</f>
        <v>174.85</v>
      </c>
      <c r="C1059" s="5" t="n">
        <f aca="false">IFERROR(__xludf.dummyfunction("""COMPUTED_VALUE"""),178.67)</f>
        <v>178.67</v>
      </c>
      <c r="D1059" s="5" t="n">
        <f aca="false">IFERROR(__xludf.dummyfunction("""COMPUTED_VALUE"""),174.55)</f>
        <v>174.55</v>
      </c>
      <c r="E1059" s="5" t="n">
        <f aca="false">IFERROR(__xludf.dummyfunction("""COMPUTED_VALUE"""),177.47)</f>
        <v>177.47</v>
      </c>
      <c r="F1059" s="5" t="n">
        <f aca="false">IFERROR(__xludf.dummyfunction("""COMPUTED_VALUE"""),12209690)</f>
        <v>12209690</v>
      </c>
    </row>
    <row r="1060" customFormat="false" ht="15.75" hidden="false" customHeight="false" outlineLevel="0" collapsed="false">
      <c r="A1060" s="6" t="n">
        <f aca="false">IFERROR(__xludf.dummyfunction("""COMPUTED_VALUE"""),45737.6666666667)</f>
        <v>45737.6666666667</v>
      </c>
      <c r="B1060" s="5" t="n">
        <f aca="false">IFERROR(__xludf.dummyfunction("""COMPUTED_VALUE"""),174.91)</f>
        <v>174.91</v>
      </c>
      <c r="C1060" s="5" t="n">
        <f aca="false">IFERROR(__xludf.dummyfunction("""COMPUTED_VALUE"""),177.2)</f>
        <v>177.2</v>
      </c>
      <c r="D1060" s="5" t="n">
        <f aca="false">IFERROR(__xludf.dummyfunction("""COMPUTED_VALUE"""),173.79)</f>
        <v>173.79</v>
      </c>
      <c r="E1060" s="5" t="n">
        <f aca="false">IFERROR(__xludf.dummyfunction("""COMPUTED_VALUE"""),176.73)</f>
        <v>176.73</v>
      </c>
      <c r="F1060" s="5" t="n">
        <f aca="false">IFERROR(__xludf.dummyfunction("""COMPUTED_VALUE"""),9993226)</f>
        <v>9993226</v>
      </c>
    </row>
    <row r="1061" customFormat="false" ht="15.75" hidden="false" customHeight="false" outlineLevel="0" collapsed="false">
      <c r="A1061" s="6" t="n">
        <f aca="false">IFERROR(__xludf.dummyfunction("""COMPUTED_VALUE"""),45740.6666666667)</f>
        <v>45740.6666666667</v>
      </c>
      <c r="B1061" s="5" t="n">
        <f aca="false">IFERROR(__xludf.dummyfunction("""COMPUTED_VALUE"""),179.99)</f>
        <v>179.99</v>
      </c>
      <c r="C1061" s="5" t="n">
        <f aca="false">IFERROR(__xludf.dummyfunction("""COMPUTED_VALUE"""),182.93)</f>
        <v>182.93</v>
      </c>
      <c r="D1061" s="5" t="n">
        <f aca="false">IFERROR(__xludf.dummyfunction("""COMPUTED_VALUE"""),179.68)</f>
        <v>179.68</v>
      </c>
      <c r="E1061" s="5" t="n">
        <f aca="false">IFERROR(__xludf.dummyfunction("""COMPUTED_VALUE"""),181.16)</f>
        <v>181.16</v>
      </c>
      <c r="F1061" s="5" t="n">
        <f aca="false">IFERROR(__xludf.dummyfunction("""COMPUTED_VALUE"""),11440018)</f>
        <v>11440018</v>
      </c>
    </row>
    <row r="1062" customFormat="false" ht="15.75" hidden="false" customHeight="false" outlineLevel="0" collapsed="false">
      <c r="A1062" s="6" t="n">
        <f aca="false">IFERROR(__xludf.dummyfunction("""COMPUTED_VALUE"""),45741.6666666667)</f>
        <v>45741.6666666667</v>
      </c>
      <c r="B1062" s="5" t="n">
        <f aca="false">IFERROR(__xludf.dummyfunction("""COMPUTED_VALUE"""),182.47)</f>
        <v>182.47</v>
      </c>
      <c r="C1062" s="5" t="n">
        <f aca="false">IFERROR(__xludf.dummyfunction("""COMPUTED_VALUE"""),182.51)</f>
        <v>182.51</v>
      </c>
      <c r="D1062" s="5" t="n">
        <f aca="false">IFERROR(__xludf.dummyfunction("""COMPUTED_VALUE"""),179.8)</f>
        <v>179.8</v>
      </c>
      <c r="E1062" s="5" t="n">
        <f aca="false">IFERROR(__xludf.dummyfunction("""COMPUTED_VALUE"""),180.9)</f>
        <v>180.9</v>
      </c>
      <c r="F1062" s="5" t="n">
        <f aca="false">IFERROR(__xludf.dummyfunction("""COMPUTED_VALUE"""),8718753)</f>
        <v>8718753</v>
      </c>
    </row>
    <row r="1063" customFormat="false" ht="15.75" hidden="false" customHeight="false" outlineLevel="0" collapsed="false">
      <c r="A1063" s="6" t="n">
        <f aca="false">IFERROR(__xludf.dummyfunction("""COMPUTED_VALUE"""),45742.6666666667)</f>
        <v>45742.6666666667</v>
      </c>
      <c r="B1063" s="5" t="n">
        <f aca="false">IFERROR(__xludf.dummyfunction("""COMPUTED_VALUE"""),179.23)</f>
        <v>179.23</v>
      </c>
      <c r="C1063" s="5" t="n">
        <f aca="false">IFERROR(__xludf.dummyfunction("""COMPUTED_VALUE"""),179.55)</f>
        <v>179.55</v>
      </c>
      <c r="D1063" s="5" t="n">
        <f aca="false">IFERROR(__xludf.dummyfunction("""COMPUTED_VALUE"""),171.47)</f>
        <v>171.47</v>
      </c>
      <c r="E1063" s="5" t="n">
        <f aca="false">IFERROR(__xludf.dummyfunction("""COMPUTED_VALUE"""),173.5)</f>
        <v>173.5</v>
      </c>
      <c r="F1063" s="5" t="n">
        <f aca="false">IFERROR(__xludf.dummyfunction("""COMPUTED_VALUE"""),14644601)</f>
        <v>14644601</v>
      </c>
    </row>
    <row r="1064" customFormat="false" ht="15.75" hidden="false" customHeight="false" outlineLevel="0" collapsed="false">
      <c r="A1064" s="6" t="n">
        <f aca="false">IFERROR(__xludf.dummyfunction("""COMPUTED_VALUE"""),45743.6666666667)</f>
        <v>45743.6666666667</v>
      </c>
      <c r="B1064" s="5" t="n">
        <f aca="false">IFERROR(__xludf.dummyfunction("""COMPUTED_VALUE"""),171.39)</f>
        <v>171.39</v>
      </c>
      <c r="C1064" s="5" t="n">
        <f aca="false">IFERROR(__xludf.dummyfunction("""COMPUTED_VALUE"""),171.61)</f>
        <v>171.61</v>
      </c>
      <c r="D1064" s="5" t="n">
        <f aca="false">IFERROR(__xludf.dummyfunction("""COMPUTED_VALUE"""),167.55)</f>
        <v>167.55</v>
      </c>
      <c r="E1064" s="5" t="n">
        <f aca="false">IFERROR(__xludf.dummyfunction("""COMPUTED_VALUE"""),168.24)</f>
        <v>168.24</v>
      </c>
      <c r="F1064" s="5" t="n">
        <f aca="false">IFERROR(__xludf.dummyfunction("""COMPUTED_VALUE"""),17559075)</f>
        <v>17559075</v>
      </c>
    </row>
    <row r="1065" customFormat="false" ht="15.75" hidden="false" customHeight="false" outlineLevel="0" collapsed="false">
      <c r="A1065" s="6" t="n">
        <f aca="false">IFERROR(__xludf.dummyfunction("""COMPUTED_VALUE"""),45744.6666666667)</f>
        <v>45744.6666666667</v>
      </c>
      <c r="B1065" s="5" t="n">
        <f aca="false">IFERROR(__xludf.dummyfunction("""COMPUTED_VALUE"""),168.04)</f>
        <v>168.04</v>
      </c>
      <c r="C1065" s="5" t="n">
        <f aca="false">IFERROR(__xludf.dummyfunction("""COMPUTED_VALUE"""),168.63)</f>
        <v>168.63</v>
      </c>
      <c r="D1065" s="5" t="n">
        <f aca="false">IFERROR(__xludf.dummyfunction("""COMPUTED_VALUE"""),164.06)</f>
        <v>164.06</v>
      </c>
      <c r="E1065" s="5" t="n">
        <f aca="false">IFERROR(__xludf.dummyfunction("""COMPUTED_VALUE"""),165.25)</f>
        <v>165.25</v>
      </c>
      <c r="F1065" s="5" t="n">
        <f aca="false">IFERROR(__xludf.dummyfunction("""COMPUTED_VALUE"""),16331998)</f>
        <v>16331998</v>
      </c>
    </row>
    <row r="1066" customFormat="false" ht="15.75" hidden="false" customHeight="false" outlineLevel="0" collapsed="false">
      <c r="A1066" s="6" t="n">
        <f aca="false">IFERROR(__xludf.dummyfunction("""COMPUTED_VALUE"""),45747.6666666667)</f>
        <v>45747.6666666667</v>
      </c>
      <c r="B1066" s="5" t="n">
        <f aca="false">IFERROR(__xludf.dummyfunction("""COMPUTED_VALUE"""),160.36)</f>
        <v>160.36</v>
      </c>
      <c r="C1066" s="5" t="n">
        <f aca="false">IFERROR(__xludf.dummyfunction("""COMPUTED_VALUE"""),166.13)</f>
        <v>166.13</v>
      </c>
      <c r="D1066" s="5" t="n">
        <f aca="false">IFERROR(__xludf.dummyfunction("""COMPUTED_VALUE"""),159.73)</f>
        <v>159.73</v>
      </c>
      <c r="E1066" s="5" t="n">
        <f aca="false">IFERROR(__xludf.dummyfunction("""COMPUTED_VALUE"""),166)</f>
        <v>166</v>
      </c>
      <c r="F1066" s="5" t="n">
        <f aca="false">IFERROR(__xludf.dummyfunction("""COMPUTED_VALUE"""),19408272)</f>
        <v>19408272</v>
      </c>
    </row>
    <row r="1067" customFormat="false" ht="15.75" hidden="false" customHeight="false" outlineLevel="0" collapsed="false">
      <c r="A1067" s="6" t="n">
        <f aca="false">IFERROR(__xludf.dummyfunction("""COMPUTED_VALUE"""),45748.6666666667)</f>
        <v>45748.6666666667</v>
      </c>
      <c r="B1067" s="5" t="n">
        <f aca="false">IFERROR(__xludf.dummyfunction("""COMPUTED_VALUE"""),166.39)</f>
        <v>166.39</v>
      </c>
      <c r="C1067" s="5" t="n">
        <f aca="false">IFERROR(__xludf.dummyfunction("""COMPUTED_VALUE"""),168.87)</f>
        <v>168.87</v>
      </c>
      <c r="D1067" s="5" t="n">
        <f aca="false">IFERROR(__xludf.dummyfunction("""COMPUTED_VALUE"""),165.06)</f>
        <v>165.06</v>
      </c>
      <c r="E1067" s="5" t="n">
        <f aca="false">IFERROR(__xludf.dummyfunction("""COMPUTED_VALUE"""),168.64)</f>
        <v>168.64</v>
      </c>
      <c r="F1067" s="5" t="n">
        <f aca="false">IFERROR(__xludf.dummyfunction("""COMPUTED_VALUE"""),9180009)</f>
        <v>9180009</v>
      </c>
    </row>
    <row r="1068" customFormat="false" ht="15.75" hidden="false" customHeight="false" outlineLevel="0" collapsed="false">
      <c r="A1068" s="6" t="n">
        <f aca="false">IFERROR(__xludf.dummyfunction("""COMPUTED_VALUE"""),45749.6666666667)</f>
        <v>45749.6666666667</v>
      </c>
      <c r="B1068" s="5" t="n">
        <f aca="false">IFERROR(__xludf.dummyfunction("""COMPUTED_VALUE"""),166.85)</f>
        <v>166.85</v>
      </c>
      <c r="C1068" s="5" t="n">
        <f aca="false">IFERROR(__xludf.dummyfunction("""COMPUTED_VALUE"""),171.75)</f>
        <v>171.75</v>
      </c>
      <c r="D1068" s="5" t="n">
        <f aca="false">IFERROR(__xludf.dummyfunction("""COMPUTED_VALUE"""),166.35)</f>
        <v>166.35</v>
      </c>
      <c r="E1068" s="5" t="n">
        <f aca="false">IFERROR(__xludf.dummyfunction("""COMPUTED_VALUE"""),170.39)</f>
        <v>170.39</v>
      </c>
      <c r="F1068" s="5" t="n">
        <f aca="false">IFERROR(__xludf.dummyfunction("""COMPUTED_VALUE"""),10072689)</f>
        <v>10072689</v>
      </c>
    </row>
    <row r="1069" customFormat="false" ht="15.75" hidden="false" customHeight="false" outlineLevel="0" collapsed="false">
      <c r="A1069" s="6" t="n">
        <f aca="false">IFERROR(__xludf.dummyfunction("""COMPUTED_VALUE"""),45750.6666666667)</f>
        <v>45750.6666666667</v>
      </c>
      <c r="B1069" s="5" t="n">
        <f aca="false">IFERROR(__xludf.dummyfunction("""COMPUTED_VALUE"""),160.06)</f>
        <v>160.06</v>
      </c>
      <c r="C1069" s="5" t="n">
        <f aca="false">IFERROR(__xludf.dummyfunction("""COMPUTED_VALUE"""),161.8)</f>
        <v>161.8</v>
      </c>
      <c r="D1069" s="5" t="n">
        <f aca="false">IFERROR(__xludf.dummyfunction("""COMPUTED_VALUE"""),157.21)</f>
        <v>157.21</v>
      </c>
      <c r="E1069" s="5" t="n">
        <f aca="false">IFERROR(__xludf.dummyfunction("""COMPUTED_VALUE"""),157.38)</f>
        <v>157.38</v>
      </c>
      <c r="F1069" s="5" t="n">
        <f aca="false">IFERROR(__xludf.dummyfunction("""COMPUTED_VALUE"""),28370483)</f>
        <v>28370483</v>
      </c>
    </row>
    <row r="1070" customFormat="false" ht="15.75" hidden="false" customHeight="false" outlineLevel="0" collapsed="false">
      <c r="A1070" s="6" t="n">
        <f aca="false">IFERROR(__xludf.dummyfunction("""COMPUTED_VALUE"""),45751.6666666667)</f>
        <v>45751.6666666667</v>
      </c>
      <c r="B1070" s="5" t="n">
        <f aca="false">IFERROR(__xludf.dummyfunction("""COMPUTED_VALUE"""),150.89)</f>
        <v>150.89</v>
      </c>
      <c r="C1070" s="5" t="n">
        <f aca="false">IFERROR(__xludf.dummyfunction("""COMPUTED_VALUE"""),151.31)</f>
        <v>151.31</v>
      </c>
      <c r="D1070" s="5" t="n">
        <f aca="false">IFERROR(__xludf.dummyfunction("""COMPUTED_VALUE"""),144.84)</f>
        <v>144.84</v>
      </c>
      <c r="E1070" s="5" t="n">
        <f aca="false">IFERROR(__xludf.dummyfunction("""COMPUTED_VALUE"""),146.8)</f>
        <v>146.8</v>
      </c>
      <c r="F1070" s="5" t="n">
        <f aca="false">IFERROR(__xludf.dummyfunction("""COMPUTED_VALUE"""),36085144)</f>
        <v>36085144</v>
      </c>
    </row>
    <row r="1071" customFormat="false" ht="15.75" hidden="false" customHeight="false" outlineLevel="0" collapsed="false">
      <c r="A1071" s="6" t="n">
        <f aca="false">IFERROR(__xludf.dummyfunction("""COMPUTED_VALUE"""),45754.6666666667)</f>
        <v>45754.6666666667</v>
      </c>
      <c r="B1071" s="5" t="n">
        <f aca="false">IFERROR(__xludf.dummyfunction("""COMPUTED_VALUE"""),134.51)</f>
        <v>134.51</v>
      </c>
      <c r="C1071" s="5" t="n">
        <f aca="false">IFERROR(__xludf.dummyfunction("""COMPUTED_VALUE"""),153.75)</f>
        <v>153.75</v>
      </c>
      <c r="D1071" s="5" t="n">
        <f aca="false">IFERROR(__xludf.dummyfunction("""COMPUTED_VALUE"""),134.25)</f>
        <v>134.25</v>
      </c>
      <c r="E1071" s="5" t="n">
        <f aca="false">IFERROR(__xludf.dummyfunction("""COMPUTED_VALUE"""),146.17)</f>
        <v>146.17</v>
      </c>
      <c r="F1071" s="5" t="n">
        <f aca="false">IFERROR(__xludf.dummyfunction("""COMPUTED_VALUE"""),46388328)</f>
        <v>46388328</v>
      </c>
    </row>
    <row r="1072" customFormat="false" ht="15.75" hidden="false" customHeight="false" outlineLevel="0" collapsed="false">
      <c r="A1072" s="6" t="n">
        <f aca="false">IFERROR(__xludf.dummyfunction("""COMPUTED_VALUE"""),45755.6666666667)</f>
        <v>45755.6666666667</v>
      </c>
      <c r="B1072" s="5" t="n">
        <f aca="false">IFERROR(__xludf.dummyfunction("""COMPUTED_VALUE"""),151.98)</f>
        <v>151.98</v>
      </c>
      <c r="C1072" s="5" t="n">
        <f aca="false">IFERROR(__xludf.dummyfunction("""COMPUTED_VALUE"""),152.61)</f>
        <v>152.61</v>
      </c>
      <c r="D1072" s="5" t="n">
        <f aca="false">IFERROR(__xludf.dummyfunction("""COMPUTED_VALUE"""),138.98)</f>
        <v>138.98</v>
      </c>
      <c r="E1072" s="5" t="n">
        <f aca="false">IFERROR(__xludf.dummyfunction("""COMPUTED_VALUE"""),141.37)</f>
        <v>141.37</v>
      </c>
      <c r="F1072" s="5" t="n">
        <f aca="false">IFERROR(__xludf.dummyfunction("""COMPUTED_VALUE"""),30479663)</f>
        <v>30479663</v>
      </c>
    </row>
    <row r="1073" customFormat="false" ht="15.75" hidden="false" customHeight="false" outlineLevel="0" collapsed="false">
      <c r="A1073" s="6" t="n">
        <f aca="false">IFERROR(__xludf.dummyfunction("""COMPUTED_VALUE"""),45756.6666666667)</f>
        <v>45756.6666666667</v>
      </c>
      <c r="B1073" s="5" t="n">
        <f aca="false">IFERROR(__xludf.dummyfunction("""COMPUTED_VALUE"""),140.2)</f>
        <v>140.2</v>
      </c>
      <c r="C1073" s="5" t="n">
        <f aca="false">IFERROR(__xludf.dummyfunction("""COMPUTED_VALUE"""),160.62)</f>
        <v>160.62</v>
      </c>
      <c r="D1073" s="5" t="n">
        <f aca="false">IFERROR(__xludf.dummyfunction("""COMPUTED_VALUE"""),137.9)</f>
        <v>137.9</v>
      </c>
      <c r="E1073" s="5" t="n">
        <f aca="false">IFERROR(__xludf.dummyfunction("""COMPUTED_VALUE"""),158.75)</f>
        <v>158.75</v>
      </c>
      <c r="F1073" s="5" t="n">
        <f aca="false">IFERROR(__xludf.dummyfunction("""COMPUTED_VALUE"""),45612516)</f>
        <v>45612516</v>
      </c>
    </row>
    <row r="1074" customFormat="false" ht="15.75" hidden="false" customHeight="false" outlineLevel="0" collapsed="false">
      <c r="A1074" s="6" t="n">
        <f aca="false">IFERROR(__xludf.dummyfunction("""COMPUTED_VALUE"""),45757.6666666667)</f>
        <v>45757.6666666667</v>
      </c>
      <c r="B1074" s="5" t="n">
        <f aca="false">IFERROR(__xludf.dummyfunction("""COMPUTED_VALUE"""),155.5)</f>
        <v>155.5</v>
      </c>
      <c r="C1074" s="5" t="n">
        <f aca="false">IFERROR(__xludf.dummyfunction("""COMPUTED_VALUE"""),156)</f>
        <v>156</v>
      </c>
      <c r="D1074" s="5" t="n">
        <f aca="false">IFERROR(__xludf.dummyfunction("""COMPUTED_VALUE"""),146.91)</f>
        <v>146.91</v>
      </c>
      <c r="E1074" s="5" t="n">
        <f aca="false">IFERROR(__xludf.dummyfunction("""COMPUTED_VALUE"""),151.13)</f>
        <v>151.13</v>
      </c>
      <c r="F1074" s="5" t="n">
        <f aca="false">IFERROR(__xludf.dummyfunction("""COMPUTED_VALUE"""),24503452)</f>
        <v>24503452</v>
      </c>
    </row>
    <row r="1075" customFormat="false" ht="15.75" hidden="false" customHeight="false" outlineLevel="0" collapsed="false">
      <c r="A1075" s="6" t="n">
        <f aca="false">IFERROR(__xludf.dummyfunction("""COMPUTED_VALUE"""),45758.6666666667)</f>
        <v>45758.6666666667</v>
      </c>
      <c r="B1075" s="5" t="n">
        <f aca="false">IFERROR(__xludf.dummyfunction("""COMPUTED_VALUE"""),156)</f>
        <v>156</v>
      </c>
      <c r="C1075" s="5" t="n">
        <f aca="false">IFERROR(__xludf.dummyfunction("""COMPUTED_VALUE"""),158.01)</f>
        <v>158.01</v>
      </c>
      <c r="D1075" s="5" t="n">
        <f aca="false">IFERROR(__xludf.dummyfunction("""COMPUTED_VALUE"""),153.25)</f>
        <v>153.25</v>
      </c>
      <c r="E1075" s="5" t="n">
        <f aca="false">IFERROR(__xludf.dummyfunction("""COMPUTED_VALUE"""),157.08)</f>
        <v>157.08</v>
      </c>
      <c r="F1075" s="5" t="n">
        <f aca="false">IFERROR(__xludf.dummyfunction("""COMPUTED_VALUE"""),19632205)</f>
        <v>19632205</v>
      </c>
    </row>
    <row r="1076" customFormat="false" ht="15.75" hidden="false" customHeight="false" outlineLevel="0" collapsed="false">
      <c r="A1076" s="6" t="n">
        <f aca="false">IFERROR(__xludf.dummyfunction("""COMPUTED_VALUE"""),45761.6666666667)</f>
        <v>45761.6666666667</v>
      </c>
      <c r="B1076" s="5" t="n">
        <f aca="false">IFERROR(__xludf.dummyfunction("""COMPUTED_VALUE"""),158.3)</f>
        <v>158.3</v>
      </c>
      <c r="C1076" s="5" t="n">
        <f aca="false">IFERROR(__xludf.dummyfunction("""COMPUTED_VALUE"""),158.59)</f>
        <v>158.59</v>
      </c>
      <c r="D1076" s="5" t="n">
        <f aca="false">IFERROR(__xludf.dummyfunction("""COMPUTED_VALUE"""),154.03)</f>
        <v>154.03</v>
      </c>
      <c r="E1076" s="5" t="n">
        <f aca="false">IFERROR(__xludf.dummyfunction("""COMPUTED_VALUE"""),155.84)</f>
        <v>155.84</v>
      </c>
      <c r="F1076" s="5" t="n">
        <f aca="false">IFERROR(__xludf.dummyfunction("""COMPUTED_VALUE"""),17509449)</f>
        <v>17509449</v>
      </c>
    </row>
    <row r="1077" customFormat="false" ht="15.75" hidden="false" customHeight="false" outlineLevel="0" collapsed="false">
      <c r="A1077" s="6" t="n">
        <f aca="false">IFERROR(__xludf.dummyfunction("""COMPUTED_VALUE"""),45762.6666666667)</f>
        <v>45762.6666666667</v>
      </c>
      <c r="B1077" s="5" t="n">
        <f aca="false">IFERROR(__xludf.dummyfunction("""COMPUTED_VALUE"""),156.49)</f>
        <v>156.49</v>
      </c>
      <c r="C1077" s="5" t="n">
        <f aca="false">IFERROR(__xludf.dummyfunction("""COMPUTED_VALUE"""),158.25)</f>
        <v>158.25</v>
      </c>
      <c r="D1077" s="5" t="n">
        <f aca="false">IFERROR(__xludf.dummyfunction("""COMPUTED_VALUE"""),156.05)</f>
        <v>156.05</v>
      </c>
      <c r="E1077" s="5" t="n">
        <f aca="false">IFERROR(__xludf.dummyfunction("""COMPUTED_VALUE"""),157.33)</f>
        <v>157.33</v>
      </c>
      <c r="F1077" s="5" t="n">
        <f aca="false">IFERROR(__xludf.dummyfunction("""COMPUTED_VALUE"""),14306631)</f>
        <v>14306631</v>
      </c>
    </row>
    <row r="1078" customFormat="false" ht="15.75" hidden="false" customHeight="false" outlineLevel="0" collapsed="false">
      <c r="A1078" s="6" t="n">
        <f aca="false">IFERROR(__xludf.dummyfunction("""COMPUTED_VALUE"""),45763.6666666667)</f>
        <v>45763.6666666667</v>
      </c>
      <c r="B1078" s="5" t="n">
        <f aca="false">IFERROR(__xludf.dummyfunction("""COMPUTED_VALUE"""),150.6)</f>
        <v>150.6</v>
      </c>
      <c r="C1078" s="5" t="n">
        <f aca="false">IFERROR(__xludf.dummyfunction("""COMPUTED_VALUE"""),153.54)</f>
        <v>153.54</v>
      </c>
      <c r="D1078" s="5" t="n">
        <f aca="false">IFERROR(__xludf.dummyfunction("""COMPUTED_VALUE"""),148.49)</f>
        <v>148.49</v>
      </c>
      <c r="E1078" s="5" t="n">
        <f aca="false">IFERROR(__xludf.dummyfunction("""COMPUTED_VALUE"""),151.67)</f>
        <v>151.67</v>
      </c>
      <c r="F1078" s="5" t="n">
        <f aca="false">IFERROR(__xludf.dummyfunction("""COMPUTED_VALUE"""),23806098)</f>
        <v>23806098</v>
      </c>
    </row>
    <row r="1079" customFormat="false" ht="15.75" hidden="false" customHeight="false" outlineLevel="0" collapsed="false">
      <c r="A1079" s="6" t="n">
        <f aca="false">IFERROR(__xludf.dummyfunction("""COMPUTED_VALUE"""),45764.6666666667)</f>
        <v>45764.6666666667</v>
      </c>
      <c r="B1079" s="5" t="n">
        <f aca="false">IFERROR(__xludf.dummyfunction("""COMPUTED_VALUE"""),156.05)</f>
        <v>156.05</v>
      </c>
      <c r="C1079" s="5" t="n">
        <f aca="false">IFERROR(__xludf.dummyfunction("""COMPUTED_VALUE"""),157.5)</f>
        <v>157.5</v>
      </c>
      <c r="D1079" s="5" t="n">
        <f aca="false">IFERROR(__xludf.dummyfunction("""COMPUTED_VALUE"""),151.45)</f>
        <v>151.45</v>
      </c>
      <c r="E1079" s="5" t="n">
        <f aca="false">IFERROR(__xludf.dummyfunction("""COMPUTED_VALUE"""),151.74)</f>
        <v>151.74</v>
      </c>
      <c r="F1079" s="5" t="n">
        <f aca="false">IFERROR(__xludf.dummyfunction("""COMPUTED_VALUE"""),27239900)</f>
        <v>27239900</v>
      </c>
    </row>
    <row r="1080" customFormat="false" ht="15.75" hidden="false" customHeight="false" outlineLevel="0" collapsed="false">
      <c r="A1080" s="6" t="n">
        <f aca="false">IFERROR(__xludf.dummyfunction("""COMPUTED_VALUE"""),45768.6666666667)</f>
        <v>45768.6666666667</v>
      </c>
      <c r="B1080" s="5" t="n">
        <f aca="false">IFERROR(__xludf.dummyfunction("""COMPUTED_VALUE"""),149.99)</f>
        <v>149.99</v>
      </c>
      <c r="C1080" s="5" t="n">
        <f aca="false">IFERROR(__xludf.dummyfunction("""COMPUTED_VALUE"""),150.28)</f>
        <v>150.28</v>
      </c>
      <c r="D1080" s="5" t="n">
        <f aca="false">IFERROR(__xludf.dummyfunction("""COMPUTED_VALUE"""),145.84)</f>
        <v>145.84</v>
      </c>
      <c r="E1080" s="5" t="n">
        <f aca="false">IFERROR(__xludf.dummyfunction("""COMPUTED_VALUE"""),147.86)</f>
        <v>147.86</v>
      </c>
      <c r="F1080" s="5" t="n">
        <f aca="false">IFERROR(__xludf.dummyfunction("""COMPUTED_VALUE"""),15170478)</f>
        <v>15170478</v>
      </c>
    </row>
    <row r="1081" customFormat="false" ht="15.75" hidden="false" customHeight="false" outlineLevel="0" collapsed="false">
      <c r="A1081" s="6" t="n">
        <f aca="false">IFERROR(__xludf.dummyfunction("""COMPUTED_VALUE"""),45769.6666666667)</f>
        <v>45769.6666666667</v>
      </c>
      <c r="B1081" s="5" t="n">
        <f aca="false">IFERROR(__xludf.dummyfunction("""COMPUTED_VALUE"""),148)</f>
        <v>148</v>
      </c>
      <c r="C1081" s="5" t="n">
        <f aca="false">IFERROR(__xludf.dummyfunction("""COMPUTED_VALUE"""),152.6)</f>
        <v>152.6</v>
      </c>
      <c r="D1081" s="5" t="n">
        <f aca="false">IFERROR(__xludf.dummyfunction("""COMPUTED_VALUE"""),147.44)</f>
        <v>147.44</v>
      </c>
      <c r="E1081" s="5" t="n">
        <f aca="false">IFERROR(__xludf.dummyfunction("""COMPUTED_VALUE"""),151.4)</f>
        <v>151.4</v>
      </c>
      <c r="F1081" s="5" t="n">
        <f aca="false">IFERROR(__xludf.dummyfunction("""COMPUTED_VALUE"""),12668584)</f>
        <v>12668584</v>
      </c>
    </row>
    <row r="1082" customFormat="false" ht="15.75" hidden="false" customHeight="false" outlineLevel="0" collapsed="false">
      <c r="A1082" s="6" t="n">
        <f aca="false">IFERROR(__xludf.dummyfunction("""COMPUTED_VALUE"""),45770.6666666667)</f>
        <v>45770.6666666667</v>
      </c>
      <c r="B1082" s="5" t="n">
        <f aca="false">IFERROR(__xludf.dummyfunction("""COMPUTED_VALUE"""),159.37)</f>
        <v>159.37</v>
      </c>
      <c r="C1082" s="5" t="n">
        <f aca="false">IFERROR(__xludf.dummyfunction("""COMPUTED_VALUE"""),160.38)</f>
        <v>160.38</v>
      </c>
      <c r="D1082" s="5" t="n">
        <f aca="false">IFERROR(__xludf.dummyfunction("""COMPUTED_VALUE"""),156)</f>
        <v>156</v>
      </c>
      <c r="E1082" s="5" t="n">
        <f aca="false">IFERROR(__xludf.dummyfunction("""COMPUTED_VALUE"""),157.81)</f>
        <v>157.81</v>
      </c>
      <c r="F1082" s="5" t="n">
        <f aca="false">IFERROR(__xludf.dummyfunction("""COMPUTED_VALUE"""),17667929)</f>
        <v>17667929</v>
      </c>
    </row>
    <row r="1083" customFormat="false" ht="15.75" hidden="false" customHeight="false" outlineLevel="0" collapsed="false">
      <c r="A1083" s="6" t="n">
        <f aca="false">IFERROR(__xludf.dummyfunction("""COMPUTED_VALUE"""),45771.6666666667)</f>
        <v>45771.6666666667</v>
      </c>
      <c r="B1083" s="5" t="n">
        <f aca="false">IFERROR(__xludf.dummyfunction("""COMPUTED_VALUE"""),157.78)</f>
        <v>157.78</v>
      </c>
      <c r="C1083" s="5" t="n">
        <f aca="false">IFERROR(__xludf.dummyfunction("""COMPUTED_VALUE"""),164.55)</f>
        <v>164.55</v>
      </c>
      <c r="D1083" s="5" t="n">
        <f aca="false">IFERROR(__xludf.dummyfunction("""COMPUTED_VALUE"""),157.39)</f>
        <v>157.39</v>
      </c>
      <c r="E1083" s="5" t="n">
        <f aca="false">IFERROR(__xludf.dummyfunction("""COMPUTED_VALUE"""),164.18)</f>
        <v>164.18</v>
      </c>
      <c r="F1083" s="5" t="n">
        <f aca="false">IFERROR(__xludf.dummyfunction("""COMPUTED_VALUE"""),18761145)</f>
        <v>18761145</v>
      </c>
    </row>
    <row r="1084" customFormat="false" ht="15.75" hidden="false" customHeight="false" outlineLevel="0" collapsed="false">
      <c r="A1084" s="6" t="n">
        <f aca="false">IFERROR(__xludf.dummyfunction("""COMPUTED_VALUE"""),45772.6666666667)</f>
        <v>45772.6666666667</v>
      </c>
      <c r="B1084" s="5" t="n">
        <f aca="false">IFERROR(__xludf.dummyfunction("""COMPUTED_VALUE"""),163.93)</f>
        <v>163.93</v>
      </c>
      <c r="C1084" s="5" t="n">
        <f aca="false">IFERROR(__xludf.dummyfunction("""COMPUTED_VALUE"""),165.91)</f>
        <v>165.91</v>
      </c>
      <c r="D1084" s="5" t="n">
        <f aca="false">IFERROR(__xludf.dummyfunction("""COMPUTED_VALUE"""),161.16)</f>
        <v>161.16</v>
      </c>
      <c r="E1084" s="5" t="n">
        <f aca="false">IFERROR(__xludf.dummyfunction("""COMPUTED_VALUE"""),165.1)</f>
        <v>165.1</v>
      </c>
      <c r="F1084" s="5" t="n">
        <f aca="false">IFERROR(__xludf.dummyfunction("""COMPUTED_VALUE"""),14654790)</f>
        <v>14654790</v>
      </c>
    </row>
    <row r="1085" customFormat="false" ht="15.75" hidden="false" customHeight="false" outlineLevel="0" collapsed="false">
      <c r="A1085" s="6" t="n">
        <f aca="false">IFERROR(__xludf.dummyfunction("""COMPUTED_VALUE"""),45775.6666666667)</f>
        <v>45775.6666666667</v>
      </c>
      <c r="B1085" s="5" t="n">
        <f aca="false">IFERROR(__xludf.dummyfunction("""COMPUTED_VALUE"""),165)</f>
        <v>165</v>
      </c>
      <c r="C1085" s="5" t="n">
        <f aca="false">IFERROR(__xludf.dummyfunction("""COMPUTED_VALUE"""),165.32)</f>
        <v>165.32</v>
      </c>
      <c r="D1085" s="5" t="n">
        <f aca="false">IFERROR(__xludf.dummyfunction("""COMPUTED_VALUE"""),160.5)</f>
        <v>160.5</v>
      </c>
      <c r="E1085" s="5" t="n">
        <f aca="false">IFERROR(__xludf.dummyfunction("""COMPUTED_VALUE"""),163.4)</f>
        <v>163.4</v>
      </c>
      <c r="F1085" s="5" t="n">
        <f aca="false">IFERROR(__xludf.dummyfunction("""COMPUTED_VALUE"""),11415622)</f>
        <v>11415622</v>
      </c>
    </row>
    <row r="1086" customFormat="false" ht="15.75" hidden="false" customHeight="false" outlineLevel="0" collapsed="false">
      <c r="A1086" s="6" t="n">
        <f aca="false">IFERROR(__xludf.dummyfunction("""COMPUTED_VALUE"""),45776.6666666667)</f>
        <v>45776.6666666667</v>
      </c>
      <c r="B1086" s="5" t="n">
        <f aca="false">IFERROR(__xludf.dummyfunction("""COMPUTED_VALUE"""),164.38)</f>
        <v>164.38</v>
      </c>
      <c r="C1086" s="5" t="n">
        <f aca="false">IFERROR(__xludf.dummyfunction("""COMPUTED_VALUE"""),166)</f>
        <v>166</v>
      </c>
      <c r="D1086" s="5" t="n">
        <f aca="false">IFERROR(__xludf.dummyfunction("""COMPUTED_VALUE"""),163.5)</f>
        <v>163.5</v>
      </c>
      <c r="E1086" s="5" t="n">
        <f aca="false">IFERROR(__xludf.dummyfunction("""COMPUTED_VALUE"""),164.48)</f>
        <v>164.48</v>
      </c>
      <c r="F1086" s="5" t="n">
        <f aca="false">IFERROR(__xludf.dummyfunction("""COMPUTED_VALUE"""),9830097)</f>
        <v>9830097</v>
      </c>
    </row>
    <row r="1087" customFormat="false" ht="15.75" hidden="false" customHeight="false" outlineLevel="0" collapsed="false">
      <c r="A1087" s="6" t="n">
        <f aca="false">IFERROR(__xludf.dummyfunction("""COMPUTED_VALUE"""),45777.6666666667)</f>
        <v>45777.6666666667</v>
      </c>
      <c r="B1087" s="5" t="n">
        <f aca="false">IFERROR(__xludf.dummyfunction("""COMPUTED_VALUE"""),163.54)</f>
        <v>163.54</v>
      </c>
      <c r="C1087" s="5" t="n">
        <f aca="false">IFERROR(__xludf.dummyfunction("""COMPUTED_VALUE"""),166.92)</f>
        <v>166.92</v>
      </c>
      <c r="D1087" s="5" t="n">
        <f aca="false">IFERROR(__xludf.dummyfunction("""COMPUTED_VALUE"""),161.75)</f>
        <v>161.75</v>
      </c>
      <c r="E1087" s="5" t="n">
        <f aca="false">IFERROR(__xludf.dummyfunction("""COMPUTED_VALUE"""),166.69)</f>
        <v>166.69</v>
      </c>
      <c r="F1087" s="5" t="n">
        <f aca="false">IFERROR(__xludf.dummyfunction("""COMPUTED_VALUE"""),10073011)</f>
        <v>10073011</v>
      </c>
    </row>
    <row r="1088" customFormat="false" ht="15.75" hidden="false" customHeight="false" outlineLevel="0" collapsed="false">
      <c r="A1088" s="6" t="n">
        <f aca="false">IFERROR(__xludf.dummyfunction("""COMPUTED_VALUE"""),45778.6666666667)</f>
        <v>45778.6666666667</v>
      </c>
      <c r="B1088" s="5" t="n">
        <f aca="false">IFERROR(__xludf.dummyfunction("""COMPUTED_VALUE"""),172.8)</f>
        <v>172.8</v>
      </c>
      <c r="C1088" s="5" t="n">
        <f aca="false">IFERROR(__xludf.dummyfunction("""COMPUTED_VALUE"""),174.78)</f>
        <v>174.78</v>
      </c>
      <c r="D1088" s="5" t="n">
        <f aca="false">IFERROR(__xludf.dummyfunction("""COMPUTED_VALUE"""),170.95)</f>
        <v>170.95</v>
      </c>
      <c r="E1088" s="5" t="n">
        <f aca="false">IFERROR(__xludf.dummyfunction("""COMPUTED_VALUE"""),172.72)</f>
        <v>172.72</v>
      </c>
      <c r="F1088" s="5" t="n">
        <f aca="false">IFERROR(__xludf.dummyfunction("""COMPUTED_VALUE"""),22670639)</f>
        <v>22670639</v>
      </c>
    </row>
    <row r="1089" customFormat="false" ht="15.75" hidden="false" customHeight="false" outlineLevel="0" collapsed="false">
      <c r="A1089" s="6" t="n">
        <f aca="false">IFERROR(__xludf.dummyfunction("""COMPUTED_VALUE"""),45779.6666666667)</f>
        <v>45779.6666666667</v>
      </c>
      <c r="B1089" s="5" t="n">
        <f aca="false">IFERROR(__xludf.dummyfunction("""COMPUTED_VALUE"""),179.8)</f>
        <v>179.8</v>
      </c>
      <c r="C1089" s="5" t="n">
        <f aca="false">IFERROR(__xludf.dummyfunction("""COMPUTED_VALUE"""),180.65)</f>
        <v>180.65</v>
      </c>
      <c r="D1089" s="5" t="n">
        <f aca="false">IFERROR(__xludf.dummyfunction("""COMPUTED_VALUE"""),177.14)</f>
        <v>177.14</v>
      </c>
      <c r="E1089" s="5" t="n">
        <f aca="false">IFERROR(__xludf.dummyfunction("""COMPUTED_VALUE"""),179.28)</f>
        <v>179.28</v>
      </c>
      <c r="F1089" s="5" t="n">
        <f aca="false">IFERROR(__xludf.dummyfunction("""COMPUTED_VALUE"""),21691162)</f>
        <v>21691162</v>
      </c>
    </row>
    <row r="1090" customFormat="false" ht="15.75" hidden="false" customHeight="false" outlineLevel="0" collapsed="false">
      <c r="A1090" s="6" t="n">
        <f aca="false">IFERROR(__xludf.dummyfunction("""COMPUTED_VALUE"""),45782.6666666667)</f>
        <v>45782.6666666667</v>
      </c>
      <c r="B1090" s="5" t="n">
        <f aca="false">IFERROR(__xludf.dummyfunction("""COMPUTED_VALUE"""),179)</f>
        <v>179</v>
      </c>
      <c r="C1090" s="5" t="n">
        <f aca="false">IFERROR(__xludf.dummyfunction("""COMPUTED_VALUE"""),180.08)</f>
        <v>180.08</v>
      </c>
      <c r="D1090" s="5" t="n">
        <f aca="false">IFERROR(__xludf.dummyfunction("""COMPUTED_VALUE"""),176.25)</f>
        <v>176.25</v>
      </c>
      <c r="E1090" s="5" t="n">
        <f aca="false">IFERROR(__xludf.dummyfunction("""COMPUTED_VALUE"""),176.4)</f>
        <v>176.4</v>
      </c>
      <c r="F1090" s="5" t="n">
        <f aca="false">IFERROR(__xludf.dummyfunction("""COMPUTED_VALUE"""),14618920)</f>
        <v>14618920</v>
      </c>
    </row>
    <row r="1091" customFormat="false" ht="15.75" hidden="false" customHeight="false" outlineLevel="0" collapsed="false">
      <c r="A1091" s="6" t="n">
        <f aca="false">IFERROR(__xludf.dummyfunction("""COMPUTED_VALUE"""),45783.6666666667)</f>
        <v>45783.6666666667</v>
      </c>
      <c r="B1091" s="5" t="n">
        <f aca="false">IFERROR(__xludf.dummyfunction("""COMPUTED_VALUE"""),172.6)</f>
        <v>172.6</v>
      </c>
      <c r="C1091" s="5" t="n">
        <f aca="false">IFERROR(__xludf.dummyfunction("""COMPUTED_VALUE"""),174.74)</f>
        <v>174.74</v>
      </c>
      <c r="D1091" s="5" t="n">
        <f aca="false">IFERROR(__xludf.dummyfunction("""COMPUTED_VALUE"""),170.59)</f>
        <v>170.59</v>
      </c>
      <c r="E1091" s="5" t="n">
        <f aca="false">IFERROR(__xludf.dummyfunction("""COMPUTED_VALUE"""),172.28)</f>
        <v>172.28</v>
      </c>
      <c r="F1091" s="5" t="n">
        <f aca="false">IFERROR(__xludf.dummyfunction("""COMPUTED_VALUE"""),14565567)</f>
        <v>14565567</v>
      </c>
    </row>
    <row r="1092" customFormat="false" ht="15.75" hidden="false" customHeight="false" outlineLevel="0" collapsed="false">
      <c r="A1092" s="6" t="n">
        <f aca="false">IFERROR(__xludf.dummyfunction("""COMPUTED_VALUE"""),45784.6666666667)</f>
        <v>45784.6666666667</v>
      </c>
      <c r="B1092" s="5" t="n">
        <f aca="false">IFERROR(__xludf.dummyfunction("""COMPUTED_VALUE"""),174.1)</f>
        <v>174.1</v>
      </c>
      <c r="C1092" s="5" t="n">
        <f aca="false">IFERROR(__xludf.dummyfunction("""COMPUTED_VALUE"""),175.98)</f>
        <v>175.98</v>
      </c>
      <c r="D1092" s="5" t="n">
        <f aca="false">IFERROR(__xludf.dummyfunction("""COMPUTED_VALUE"""),171.37)</f>
        <v>171.37</v>
      </c>
      <c r="E1092" s="5" t="n">
        <f aca="false">IFERROR(__xludf.dummyfunction("""COMPUTED_VALUE"""),174.54)</f>
        <v>174.54</v>
      </c>
      <c r="F1092" s="5" t="n">
        <f aca="false">IFERROR(__xludf.dummyfunction("""COMPUTED_VALUE"""),9703998)</f>
        <v>9703998</v>
      </c>
    </row>
    <row r="1093" customFormat="false" ht="15.75" hidden="false" customHeight="false" outlineLevel="0" collapsed="false">
      <c r="A1093" s="6" t="n">
        <f aca="false">IFERROR(__xludf.dummyfunction("""COMPUTED_VALUE"""),45785.6666666667)</f>
        <v>45785.6666666667</v>
      </c>
      <c r="B1093" s="5" t="n">
        <f aca="false">IFERROR(__xludf.dummyfunction("""COMPUTED_VALUE"""),175.34)</f>
        <v>175.34</v>
      </c>
      <c r="C1093" s="5" t="n">
        <f aca="false">IFERROR(__xludf.dummyfunction("""COMPUTED_VALUE"""),177.45)</f>
        <v>177.45</v>
      </c>
      <c r="D1093" s="5" t="n">
        <f aca="false">IFERROR(__xludf.dummyfunction("""COMPUTED_VALUE"""),173.66)</f>
        <v>173.66</v>
      </c>
      <c r="E1093" s="5" t="n">
        <f aca="false">IFERROR(__xludf.dummyfunction("""COMPUTED_VALUE"""),175.22)</f>
        <v>175.22</v>
      </c>
      <c r="F1093" s="5" t="n">
        <f aca="false">IFERROR(__xludf.dummyfunction("""COMPUTED_VALUE"""),10342957)</f>
        <v>10342957</v>
      </c>
    </row>
    <row r="1094" customFormat="false" ht="15.75" hidden="false" customHeight="false" outlineLevel="0" collapsed="false">
      <c r="A1094" s="6" t="n">
        <f aca="false">IFERROR(__xludf.dummyfunction("""COMPUTED_VALUE"""),45786.6666666667)</f>
        <v>45786.6666666667</v>
      </c>
      <c r="B1094" s="5" t="n">
        <f aca="false">IFERROR(__xludf.dummyfunction("""COMPUTED_VALUE"""),179.8)</f>
        <v>179.8</v>
      </c>
      <c r="C1094" s="5" t="n">
        <f aca="false">IFERROR(__xludf.dummyfunction("""COMPUTED_VALUE"""),180.46)</f>
        <v>180.46</v>
      </c>
      <c r="D1094" s="5" t="n">
        <f aca="false">IFERROR(__xludf.dummyfunction("""COMPUTED_VALUE"""),176.47)</f>
        <v>176.47</v>
      </c>
      <c r="E1094" s="5" t="n">
        <f aca="false">IFERROR(__xludf.dummyfunction("""COMPUTED_VALUE"""),176.52)</f>
        <v>176.52</v>
      </c>
      <c r="F1094" s="5" t="n">
        <f aca="false">IFERROR(__xludf.dummyfunction("""COMPUTED_VALUE"""),11582754)</f>
        <v>11582754</v>
      </c>
    </row>
    <row r="1095" customFormat="false" ht="15.75" hidden="false" customHeight="false" outlineLevel="0" collapsed="false">
      <c r="A1095" s="6" t="n">
        <f aca="false">IFERROR(__xludf.dummyfunction("""COMPUTED_VALUE"""),45789.6666666667)</f>
        <v>45789.6666666667</v>
      </c>
      <c r="B1095" s="5" t="n">
        <f aca="false">IFERROR(__xludf.dummyfunction("""COMPUTED_VALUE"""),187.28)</f>
        <v>187.28</v>
      </c>
      <c r="C1095" s="5" t="n">
        <f aca="false">IFERROR(__xludf.dummyfunction("""COMPUTED_VALUE"""),189.17)</f>
        <v>189.17</v>
      </c>
      <c r="D1095" s="5" t="n">
        <f aca="false">IFERROR(__xludf.dummyfunction("""COMPUTED_VALUE"""),184.61)</f>
        <v>184.61</v>
      </c>
      <c r="E1095" s="5" t="n">
        <f aca="false">IFERROR(__xludf.dummyfunction("""COMPUTED_VALUE"""),186.98)</f>
        <v>186.98</v>
      </c>
      <c r="F1095" s="5" t="n">
        <f aca="false">IFERROR(__xludf.dummyfunction("""COMPUTED_VALUE"""),22064866)</f>
        <v>22064866</v>
      </c>
    </row>
    <row r="1096" customFormat="false" ht="15.75" hidden="false" customHeight="false" outlineLevel="0" collapsed="false">
      <c r="A1096" s="6" t="n">
        <f aca="false">IFERROR(__xludf.dummyfunction("""COMPUTED_VALUE"""),45790.6666666667)</f>
        <v>45790.6666666667</v>
      </c>
      <c r="B1096" s="5" t="n">
        <f aca="false">IFERROR(__xludf.dummyfunction("""COMPUTED_VALUE"""),187.72)</f>
        <v>187.72</v>
      </c>
      <c r="C1096" s="5" t="n">
        <f aca="false">IFERROR(__xludf.dummyfunction("""COMPUTED_VALUE"""),194.28)</f>
        <v>194.28</v>
      </c>
      <c r="D1096" s="5" t="n">
        <f aca="false">IFERROR(__xludf.dummyfunction("""COMPUTED_VALUE"""),187.72)</f>
        <v>187.72</v>
      </c>
      <c r="E1096" s="5" t="n">
        <f aca="false">IFERROR(__xludf.dummyfunction("""COMPUTED_VALUE"""),193.99)</f>
        <v>193.99</v>
      </c>
      <c r="F1096" s="5" t="n">
        <f aca="false">IFERROR(__xludf.dummyfunction("""COMPUTED_VALUE"""),19996036)</f>
        <v>19996036</v>
      </c>
    </row>
    <row r="1097" customFormat="false" ht="15.75" hidden="false" customHeight="false" outlineLevel="0" collapsed="false">
      <c r="A1097" s="6" t="n">
        <f aca="false">IFERROR(__xludf.dummyfunction("""COMPUTED_VALUE"""),45791.6666666667)</f>
        <v>45791.6666666667</v>
      </c>
      <c r="B1097" s="5" t="n">
        <f aca="false">IFERROR(__xludf.dummyfunction("""COMPUTED_VALUE"""),195.28)</f>
        <v>195.28</v>
      </c>
      <c r="C1097" s="5" t="n">
        <f aca="false">IFERROR(__xludf.dummyfunction("""COMPUTED_VALUE"""),196.22)</f>
        <v>196.22</v>
      </c>
      <c r="D1097" s="5" t="n">
        <f aca="false">IFERROR(__xludf.dummyfunction("""COMPUTED_VALUE"""),193.23)</f>
        <v>193.23</v>
      </c>
      <c r="E1097" s="5" t="n">
        <f aca="false">IFERROR(__xludf.dummyfunction("""COMPUTED_VALUE"""),194.76)</f>
        <v>194.76</v>
      </c>
      <c r="F1097" s="5" t="n">
        <f aca="false">IFERROR(__xludf.dummyfunction("""COMPUTED_VALUE"""),12358953)</f>
        <v>12358953</v>
      </c>
    </row>
    <row r="1098" customFormat="false" ht="15.75" hidden="false" customHeight="false" outlineLevel="0" collapsed="false">
      <c r="A1098" s="6" t="n">
        <f aca="false">IFERROR(__xludf.dummyfunction("""COMPUTED_VALUE"""),45792.6666666667)</f>
        <v>45792.6666666667</v>
      </c>
      <c r="B1098" s="5" t="n">
        <f aca="false">IFERROR(__xludf.dummyfunction("""COMPUTED_VALUE"""),193.1)</f>
        <v>193.1</v>
      </c>
      <c r="C1098" s="5" t="n">
        <f aca="false">IFERROR(__xludf.dummyfunction("""COMPUTED_VALUE"""),194.49)</f>
        <v>194.49</v>
      </c>
      <c r="D1098" s="5" t="n">
        <f aca="false">IFERROR(__xludf.dummyfunction("""COMPUTED_VALUE"""),191.63)</f>
        <v>191.63</v>
      </c>
      <c r="E1098" s="5" t="n">
        <f aca="false">IFERROR(__xludf.dummyfunction("""COMPUTED_VALUE"""),194.22)</f>
        <v>194.22</v>
      </c>
      <c r="F1098" s="5" t="n">
        <f aca="false">IFERROR(__xludf.dummyfunction("""COMPUTED_VALUE"""),10241765)</f>
        <v>10241765</v>
      </c>
    </row>
    <row r="1099" customFormat="false" ht="15.75" hidden="false" customHeight="false" outlineLevel="0" collapsed="false">
      <c r="A1099" s="6" t="n">
        <f aca="false">IFERROR(__xludf.dummyfunction("""COMPUTED_VALUE"""),45793.6666666667)</f>
        <v>45793.6666666667</v>
      </c>
      <c r="B1099" s="5" t="n">
        <f aca="false">IFERROR(__xludf.dummyfunction("""COMPUTED_VALUE"""),194.53)</f>
        <v>194.53</v>
      </c>
      <c r="C1099" s="5" t="n">
        <f aca="false">IFERROR(__xludf.dummyfunction("""COMPUTED_VALUE"""),195.08)</f>
        <v>195.08</v>
      </c>
      <c r="D1099" s="5" t="n">
        <f aca="false">IFERROR(__xludf.dummyfunction("""COMPUTED_VALUE"""),192.57)</f>
        <v>192.57</v>
      </c>
      <c r="E1099" s="5" t="n">
        <f aca="false">IFERROR(__xludf.dummyfunction("""COMPUTED_VALUE"""),194.22)</f>
        <v>194.22</v>
      </c>
      <c r="F1099" s="5" t="n">
        <f aca="false">IFERROR(__xludf.dummyfunction("""COMPUTED_VALUE"""),9146662)</f>
        <v>9146662</v>
      </c>
    </row>
    <row r="1100" customFormat="false" ht="15.75" hidden="false" customHeight="false" outlineLevel="0" collapsed="false">
      <c r="A1100" s="6" t="n">
        <f aca="false">IFERROR(__xludf.dummyfunction("""COMPUTED_VALUE"""),45796.6666666667)</f>
        <v>45796.6666666667</v>
      </c>
      <c r="B1100" s="5" t="n">
        <f aca="false">IFERROR(__xludf.dummyfunction("""COMPUTED_VALUE"""),189)</f>
        <v>189</v>
      </c>
      <c r="C1100" s="5" t="n">
        <f aca="false">IFERROR(__xludf.dummyfunction("""COMPUTED_VALUE"""),193.5)</f>
        <v>193.5</v>
      </c>
      <c r="D1100" s="5" t="n">
        <f aca="false">IFERROR(__xludf.dummyfunction("""COMPUTED_VALUE"""),188.81)</f>
        <v>188.81</v>
      </c>
      <c r="E1100" s="5" t="n">
        <f aca="false">IFERROR(__xludf.dummyfunction("""COMPUTED_VALUE"""),193.5)</f>
        <v>193.5</v>
      </c>
      <c r="F1100" s="5" t="n">
        <f aca="false">IFERROR(__xludf.dummyfunction("""COMPUTED_VALUE"""),10144438)</f>
        <v>10144438</v>
      </c>
    </row>
    <row r="1101" customFormat="false" ht="15.75" hidden="false" customHeight="false" outlineLevel="0" collapsed="false">
      <c r="A1101" s="6" t="n">
        <f aca="false">IFERROR(__xludf.dummyfunction("""COMPUTED_VALUE"""),45797.6666666667)</f>
        <v>45797.6666666667</v>
      </c>
      <c r="B1101" s="5" t="n">
        <f aca="false">IFERROR(__xludf.dummyfunction("""COMPUTED_VALUE"""),191.8)</f>
        <v>191.8</v>
      </c>
      <c r="C1101" s="5" t="n">
        <f aca="false">IFERROR(__xludf.dummyfunction("""COMPUTED_VALUE"""),193.73)</f>
        <v>193.73</v>
      </c>
      <c r="D1101" s="5" t="n">
        <f aca="false">IFERROR(__xludf.dummyfunction("""COMPUTED_VALUE"""),190.81)</f>
        <v>190.81</v>
      </c>
      <c r="E1101" s="5" t="n">
        <f aca="false">IFERROR(__xludf.dummyfunction("""COMPUTED_VALUE"""),193.45)</f>
        <v>193.45</v>
      </c>
      <c r="F1101" s="5" t="n">
        <f aca="false">IFERROR(__xludf.dummyfunction("""COMPUTED_VALUE"""),7054072)</f>
        <v>7054072</v>
      </c>
    </row>
    <row r="1102" customFormat="false" ht="15.75" hidden="false" customHeight="false" outlineLevel="0" collapsed="false">
      <c r="A1102" s="6" t="n">
        <f aca="false">IFERROR(__xludf.dummyfunction("""COMPUTED_VALUE"""),45798.6666666667)</f>
        <v>45798.6666666667</v>
      </c>
      <c r="B1102" s="5" t="n">
        <f aca="false">IFERROR(__xludf.dummyfunction("""COMPUTED_VALUE"""),193.1)</f>
        <v>193.1</v>
      </c>
      <c r="C1102" s="5" t="n">
        <f aca="false">IFERROR(__xludf.dummyfunction("""COMPUTED_VALUE"""),195.27)</f>
        <v>195.27</v>
      </c>
      <c r="D1102" s="5" t="n">
        <f aca="false">IFERROR(__xludf.dummyfunction("""COMPUTED_VALUE"""),190.53)</f>
        <v>190.53</v>
      </c>
      <c r="E1102" s="5" t="n">
        <f aca="false">IFERROR(__xludf.dummyfunction("""COMPUTED_VALUE"""),191.76)</f>
        <v>191.76</v>
      </c>
      <c r="F1102" s="5" t="n">
        <f aca="false">IFERROR(__xludf.dummyfunction("""COMPUTED_VALUE"""),7375650)</f>
        <v>7375650</v>
      </c>
    </row>
    <row r="1103" customFormat="false" ht="15.75" hidden="false" customHeight="false" outlineLevel="0" collapsed="false">
      <c r="A1103" s="6" t="n">
        <f aca="false">IFERROR(__xludf.dummyfunction("""COMPUTED_VALUE"""),45799.6666666667)</f>
        <v>45799.6666666667</v>
      </c>
      <c r="B1103" s="5" t="n">
        <f aca="false">IFERROR(__xludf.dummyfunction("""COMPUTED_VALUE"""),191.34)</f>
        <v>191.34</v>
      </c>
      <c r="C1103" s="5" t="n">
        <f aca="false">IFERROR(__xludf.dummyfunction("""COMPUTED_VALUE"""),196.83)</f>
        <v>196.83</v>
      </c>
      <c r="D1103" s="5" t="n">
        <f aca="false">IFERROR(__xludf.dummyfunction("""COMPUTED_VALUE"""),191.34)</f>
        <v>191.34</v>
      </c>
      <c r="E1103" s="5" t="n">
        <f aca="false">IFERROR(__xludf.dummyfunction("""COMPUTED_VALUE"""),196.19)</f>
        <v>196.19</v>
      </c>
      <c r="F1103" s="5" t="n">
        <f aca="false">IFERROR(__xludf.dummyfunction("""COMPUTED_VALUE"""),11824973)</f>
        <v>11824973</v>
      </c>
    </row>
    <row r="1104" customFormat="false" ht="15.75" hidden="false" customHeight="false" outlineLevel="0" collapsed="false">
      <c r="A1104" s="6" t="n">
        <f aca="false">IFERROR(__xludf.dummyfunction("""COMPUTED_VALUE"""),45800.6666666667)</f>
        <v>45800.6666666667</v>
      </c>
      <c r="B1104" s="5" t="n">
        <f aca="false">IFERROR(__xludf.dummyfunction("""COMPUTED_VALUE"""),192.02)</f>
        <v>192.02</v>
      </c>
      <c r="C1104" s="5" t="n">
        <f aca="false">IFERROR(__xludf.dummyfunction("""COMPUTED_VALUE"""),192.8)</f>
        <v>192.8</v>
      </c>
      <c r="D1104" s="5" t="n">
        <f aca="false">IFERROR(__xludf.dummyfunction("""COMPUTED_VALUE"""),190.03)</f>
        <v>190.03</v>
      </c>
      <c r="E1104" s="5" t="n">
        <f aca="false">IFERROR(__xludf.dummyfunction("""COMPUTED_VALUE"""),191.98)</f>
        <v>191.98</v>
      </c>
      <c r="F1104" s="5" t="n">
        <f aca="false">IFERROR(__xludf.dummyfunction("""COMPUTED_VALUE"""),9403136)</f>
        <v>9403136</v>
      </c>
    </row>
    <row r="1105" customFormat="false" ht="15.75" hidden="false" customHeight="false" outlineLevel="0" collapsed="false">
      <c r="A1105" s="6" t="n">
        <f aca="false">IFERROR(__xludf.dummyfunction("""COMPUTED_VALUE"""),45804.6666666667)</f>
        <v>45804.6666666667</v>
      </c>
      <c r="B1105" s="5" t="n">
        <f aca="false">IFERROR(__xludf.dummyfunction("""COMPUTED_VALUE"""),194.1)</f>
        <v>194.1</v>
      </c>
      <c r="C1105" s="5" t="n">
        <f aca="false">IFERROR(__xludf.dummyfunction("""COMPUTED_VALUE"""),198.31)</f>
        <v>198.31</v>
      </c>
      <c r="D1105" s="5" t="n">
        <f aca="false">IFERROR(__xludf.dummyfunction("""COMPUTED_VALUE"""),193.7)</f>
        <v>193.7</v>
      </c>
      <c r="E1105" s="5" t="n">
        <f aca="false">IFERROR(__xludf.dummyfunction("""COMPUTED_VALUE"""),197.68)</f>
        <v>197.68</v>
      </c>
      <c r="F1105" s="5" t="n">
        <f aca="false">IFERROR(__xludf.dummyfunction("""COMPUTED_VALUE"""),12228212)</f>
        <v>12228212</v>
      </c>
    </row>
    <row r="1106" customFormat="false" ht="15.75" hidden="false" customHeight="false" outlineLevel="0" collapsed="false">
      <c r="A1106" s="6" t="n">
        <f aca="false">IFERROR(__xludf.dummyfunction("""COMPUTED_VALUE"""),45805.6666666667)</f>
        <v>45805.6666666667</v>
      </c>
      <c r="B1106" s="5" t="n">
        <f aca="false">IFERROR(__xludf.dummyfunction("""COMPUTED_VALUE"""),196.09)</f>
        <v>196.09</v>
      </c>
      <c r="C1106" s="5" t="n">
        <f aca="false">IFERROR(__xludf.dummyfunction("""COMPUTED_VALUE"""),198.07)</f>
        <v>198.07</v>
      </c>
      <c r="D1106" s="5" t="n">
        <f aca="false">IFERROR(__xludf.dummyfunction("""COMPUTED_VALUE"""),195.48)</f>
        <v>195.48</v>
      </c>
      <c r="E1106" s="5" t="n">
        <f aca="false">IFERROR(__xludf.dummyfunction("""COMPUTED_VALUE"""),196.14)</f>
        <v>196.14</v>
      </c>
      <c r="F1106" s="5" t="n">
        <f aca="false">IFERROR(__xludf.dummyfunction("""COMPUTED_VALUE"""),17787617)</f>
        <v>17787617</v>
      </c>
    </row>
    <row r="1107" customFormat="false" ht="15.75" hidden="false" customHeight="false" outlineLevel="0" collapsed="false">
      <c r="A1107" s="6" t="n">
        <f aca="false">IFERROR(__xludf.dummyfunction("""COMPUTED_VALUE"""),45806.6666666667)</f>
        <v>45806.6666666667</v>
      </c>
      <c r="B1107" s="5" t="n">
        <f aca="false">IFERROR(__xludf.dummyfunction("""COMPUTED_VALUE"""),199.46)</f>
        <v>199.46</v>
      </c>
      <c r="C1107" s="5" t="n">
        <f aca="false">IFERROR(__xludf.dummyfunction("""COMPUTED_VALUE"""),199.8)</f>
        <v>199.8</v>
      </c>
      <c r="D1107" s="5" t="n">
        <f aca="false">IFERROR(__xludf.dummyfunction("""COMPUTED_VALUE"""),196.08)</f>
        <v>196.08</v>
      </c>
      <c r="E1107" s="5" t="n">
        <f aca="false">IFERROR(__xludf.dummyfunction("""COMPUTED_VALUE"""),197.15)</f>
        <v>197.15</v>
      </c>
      <c r="F1107" s="5" t="n">
        <f aca="false">IFERROR(__xludf.dummyfunction("""COMPUTED_VALUE"""),14624606)</f>
        <v>14624606</v>
      </c>
    </row>
    <row r="1108" customFormat="false" ht="15.75" hidden="false" customHeight="false" outlineLevel="0" collapsed="false">
      <c r="A1108" s="6" t="n">
        <f aca="false">IFERROR(__xludf.dummyfunction("""COMPUTED_VALUE"""),45807.6666666667)</f>
        <v>45807.6666666667</v>
      </c>
      <c r="B1108" s="5" t="n">
        <f aca="false">IFERROR(__xludf.dummyfunction("""COMPUTED_VALUE"""),195.6)</f>
        <v>195.6</v>
      </c>
      <c r="C1108" s="5" t="n">
        <f aca="false">IFERROR(__xludf.dummyfunction("""COMPUTED_VALUE"""),195.91)</f>
        <v>195.91</v>
      </c>
      <c r="D1108" s="5" t="n">
        <f aca="false">IFERROR(__xludf.dummyfunction("""COMPUTED_VALUE"""),190.56)</f>
        <v>190.56</v>
      </c>
      <c r="E1108" s="5" t="n">
        <f aca="false">IFERROR(__xludf.dummyfunction("""COMPUTED_VALUE"""),193.32)</f>
        <v>193.32</v>
      </c>
      <c r="F1108" s="5" t="n">
        <f aca="false">IFERROR(__xludf.dummyfunction("""COMPUTED_VALUE"""),11998300)</f>
        <v>11998300</v>
      </c>
    </row>
    <row r="1109" customFormat="false" ht="15.75" hidden="false" customHeight="false" outlineLevel="0" collapsed="false">
      <c r="A1109" s="6" t="n">
        <f aca="false">IFERROR(__xludf.dummyfunction("""COMPUTED_VALUE"""),45810.6666666667)</f>
        <v>45810.6666666667</v>
      </c>
      <c r="B1109" s="5" t="n">
        <f aca="false">IFERROR(__xludf.dummyfunction("""COMPUTED_VALUE"""),193.04)</f>
        <v>193.04</v>
      </c>
      <c r="C1109" s="5" t="n">
        <f aca="false">IFERROR(__xludf.dummyfunction("""COMPUTED_VALUE"""),195.16)</f>
        <v>195.16</v>
      </c>
      <c r="D1109" s="5" t="n">
        <f aca="false">IFERROR(__xludf.dummyfunction("""COMPUTED_VALUE"""),192.2)</f>
        <v>192.2</v>
      </c>
      <c r="E1109" s="5" t="n">
        <f aca="false">IFERROR(__xludf.dummyfunction("""COMPUTED_VALUE"""),194.84)</f>
        <v>194.84</v>
      </c>
      <c r="F1109" s="5" t="n">
        <f aca="false">IFERROR(__xludf.dummyfunction("""COMPUTED_VALUE"""),7447367)</f>
        <v>7447367</v>
      </c>
    </row>
    <row r="1110" customFormat="false" ht="15.75" hidden="false" customHeight="false" outlineLevel="0" collapsed="false">
      <c r="A1110" s="6" t="n">
        <f aca="false">IFERROR(__xludf.dummyfunction("""COMPUTED_VALUE"""),45811.6666666667)</f>
        <v>45811.6666666667</v>
      </c>
      <c r="B1110" s="5" t="n">
        <f aca="false">IFERROR(__xludf.dummyfunction("""COMPUTED_VALUE"""),194.35)</f>
        <v>194.35</v>
      </c>
      <c r="C1110" s="5" t="n">
        <f aca="false">IFERROR(__xludf.dummyfunction("""COMPUTED_VALUE"""),198.17)</f>
        <v>198.17</v>
      </c>
      <c r="D1110" s="5" t="n">
        <f aca="false">IFERROR(__xludf.dummyfunction("""COMPUTED_VALUE"""),193.64)</f>
        <v>193.64</v>
      </c>
      <c r="E1110" s="5" t="n">
        <f aca="false">IFERROR(__xludf.dummyfunction("""COMPUTED_VALUE"""),197.61)</f>
        <v>197.61</v>
      </c>
      <c r="F1110" s="5" t="n">
        <f aca="false">IFERROR(__xludf.dummyfunction("""COMPUTED_VALUE"""),9548320)</f>
        <v>9548320</v>
      </c>
    </row>
    <row r="1111" customFormat="false" ht="15.75" hidden="false" customHeight="false" outlineLevel="0" collapsed="false">
      <c r="A1111" s="6" t="n">
        <f aca="false">IFERROR(__xludf.dummyfunction("""COMPUTED_VALUE"""),45812.6666666667)</f>
        <v>45812.6666666667</v>
      </c>
      <c r="B1111" s="5" t="n">
        <f aca="false">IFERROR(__xludf.dummyfunction("""COMPUTED_VALUE"""),201.38)</f>
        <v>201.38</v>
      </c>
      <c r="C1111" s="5" t="n">
        <f aca="false">IFERROR(__xludf.dummyfunction("""COMPUTED_VALUE"""),204.03)</f>
        <v>204.03</v>
      </c>
      <c r="D1111" s="5" t="n">
        <f aca="false">IFERROR(__xludf.dummyfunction("""COMPUTED_VALUE"""),200.38)</f>
        <v>200.38</v>
      </c>
      <c r="E1111" s="5" t="n">
        <f aca="false">IFERROR(__xludf.dummyfunction("""COMPUTED_VALUE"""),202.4)</f>
        <v>202.4</v>
      </c>
      <c r="F1111" s="5" t="n">
        <f aca="false">IFERROR(__xludf.dummyfunction("""COMPUTED_VALUE"""),13531121)</f>
        <v>13531121</v>
      </c>
    </row>
    <row r="1112" customFormat="false" ht="15.75" hidden="false" customHeight="false" outlineLevel="0" collapsed="false">
      <c r="A1112" s="6" t="n">
        <f aca="false">IFERROR(__xludf.dummyfunction("""COMPUTED_VALUE"""),45813.6666666667)</f>
        <v>45813.6666666667</v>
      </c>
      <c r="B1112" s="5" t="n">
        <f aca="false">IFERROR(__xludf.dummyfunction("""COMPUTED_VALUE"""),204.88)</f>
        <v>204.88</v>
      </c>
      <c r="C1112" s="5" t="n">
        <f aca="false">IFERROR(__xludf.dummyfunction("""COMPUTED_VALUE"""),205.76)</f>
        <v>205.76</v>
      </c>
      <c r="D1112" s="5" t="n">
        <f aca="false">IFERROR(__xludf.dummyfunction("""COMPUTED_VALUE"""),202.28)</f>
        <v>202.28</v>
      </c>
      <c r="E1112" s="5" t="n">
        <f aca="false">IFERROR(__xludf.dummyfunction("""COMPUTED_VALUE"""),203.34)</f>
        <v>203.34</v>
      </c>
      <c r="F1112" s="5" t="n">
        <f aca="false">IFERROR(__xludf.dummyfunction("""COMPUTED_VALUE"""),12242180)</f>
        <v>12242180</v>
      </c>
    </row>
    <row r="1113" customFormat="false" ht="15.75" hidden="false" customHeight="false" outlineLevel="0" collapsed="false">
      <c r="A1113" s="6" t="n">
        <f aca="false">IFERROR(__xludf.dummyfunction("""COMPUTED_VALUE"""),45814.6666666667)</f>
        <v>45814.6666666667</v>
      </c>
      <c r="B1113" s="5" t="n">
        <f aca="false">IFERROR(__xludf.dummyfunction("""COMPUTED_VALUE"""),203.58)</f>
        <v>203.58</v>
      </c>
      <c r="C1113" s="5" t="n">
        <f aca="false">IFERROR(__xludf.dummyfunction("""COMPUTED_VALUE"""),206.29)</f>
        <v>206.29</v>
      </c>
      <c r="D1113" s="5" t="n">
        <f aca="false">IFERROR(__xludf.dummyfunction("""COMPUTED_VALUE"""),203.23)</f>
        <v>203.23</v>
      </c>
      <c r="E1113" s="5" t="n">
        <f aca="false">IFERROR(__xludf.dummyfunction("""COMPUTED_VALUE"""),205.18)</f>
        <v>205.18</v>
      </c>
      <c r="F1113" s="5" t="n">
        <f aca="false">IFERROR(__xludf.dummyfunction("""COMPUTED_VALUE"""),8531979)</f>
        <v>8531979</v>
      </c>
    </row>
    <row r="1114" customFormat="false" ht="15.75" hidden="false" customHeight="false" outlineLevel="0" collapsed="false">
      <c r="A1114" s="6" t="n">
        <f aca="false">IFERROR(__xludf.dummyfunction("""COMPUTED_VALUE"""),45817.6666666667)</f>
        <v>45817.6666666667</v>
      </c>
      <c r="B1114" s="5" t="n">
        <f aca="false">IFERROR(__xludf.dummyfunction("""COMPUTED_VALUE"""),206.4)</f>
        <v>206.4</v>
      </c>
      <c r="C1114" s="5" t="n">
        <f aca="false">IFERROR(__xludf.dummyfunction("""COMPUTED_VALUE"""),209.27)</f>
        <v>209.27</v>
      </c>
      <c r="D1114" s="5" t="n">
        <f aca="false">IFERROR(__xludf.dummyfunction("""COMPUTED_VALUE"""),205.87)</f>
        <v>205.87</v>
      </c>
      <c r="E1114" s="5" t="n">
        <f aca="false">IFERROR(__xludf.dummyfunction("""COMPUTED_VALUE"""),207)</f>
        <v>207</v>
      </c>
      <c r="F1114" s="5" t="n">
        <f aca="false">IFERROR(__xludf.dummyfunction("""COMPUTED_VALUE"""),11472258)</f>
        <v>11472258</v>
      </c>
    </row>
    <row r="1115" customFormat="false" ht="15.75" hidden="false" customHeight="false" outlineLevel="0" collapsed="false">
      <c r="A1115" s="6" t="n">
        <f aca="false">IFERROR(__xludf.dummyfunction("""COMPUTED_VALUE"""),45818.6666666667)</f>
        <v>45818.6666666667</v>
      </c>
      <c r="B1115" s="5" t="n">
        <f aca="false">IFERROR(__xludf.dummyfunction("""COMPUTED_VALUE"""),211.61)</f>
        <v>211.61</v>
      </c>
      <c r="C1115" s="5" t="n">
        <f aca="false">IFERROR(__xludf.dummyfunction("""COMPUTED_VALUE"""),213.23)</f>
        <v>213.23</v>
      </c>
      <c r="D1115" s="5" t="n">
        <f aca="false">IFERROR(__xludf.dummyfunction("""COMPUTED_VALUE"""),209.96)</f>
        <v>209.96</v>
      </c>
      <c r="E1115" s="5" t="n">
        <f aca="false">IFERROR(__xludf.dummyfunction("""COMPUTED_VALUE"""),212.46)</f>
        <v>212.46</v>
      </c>
      <c r="F1115" s="5" t="n">
        <f aca="false">IFERROR(__xludf.dummyfunction("""COMPUTED_VALUE"""),14513988)</f>
        <v>14513988</v>
      </c>
    </row>
    <row r="1116" customFormat="false" ht="15.75" hidden="false" customHeight="false" outlineLevel="0" collapsed="false">
      <c r="A1116" s="6" t="n">
        <f aca="false">IFERROR(__xludf.dummyfunction("""COMPUTED_VALUE"""),45819.6666666667)</f>
        <v>45819.6666666667</v>
      </c>
      <c r="B1116" s="5" t="n">
        <f aca="false">IFERROR(__xludf.dummyfunction("""COMPUTED_VALUE"""),215)</f>
        <v>215</v>
      </c>
      <c r="C1116" s="5" t="n">
        <f aca="false">IFERROR(__xludf.dummyfunction("""COMPUTED_VALUE"""),217.43)</f>
        <v>217.43</v>
      </c>
      <c r="D1116" s="5" t="n">
        <f aca="false">IFERROR(__xludf.dummyfunction("""COMPUTED_VALUE"""),212.95)</f>
        <v>212.95</v>
      </c>
      <c r="E1116" s="5" t="n">
        <f aca="false">IFERROR(__xludf.dummyfunction("""COMPUTED_VALUE"""),214.1)</f>
        <v>214.1</v>
      </c>
      <c r="F1116" s="5" t="n">
        <f aca="false">IFERROR(__xludf.dummyfunction("""COMPUTED_VALUE"""),13326440)</f>
        <v>13326440</v>
      </c>
    </row>
    <row r="1117" customFormat="false" ht="15.75" hidden="false" customHeight="false" outlineLevel="0" collapsed="false">
      <c r="A1117" s="6" t="n">
        <f aca="false">IFERROR(__xludf.dummyfunction("""COMPUTED_VALUE"""),45820.6666666667)</f>
        <v>45820.6666666667</v>
      </c>
      <c r="B1117" s="5" t="n">
        <f aca="false">IFERROR(__xludf.dummyfunction("""COMPUTED_VALUE"""),212.92)</f>
        <v>212.92</v>
      </c>
      <c r="C1117" s="5" t="n">
        <f aca="false">IFERROR(__xludf.dummyfunction("""COMPUTED_VALUE"""),215.88)</f>
        <v>215.88</v>
      </c>
      <c r="D1117" s="5" t="n">
        <f aca="false">IFERROR(__xludf.dummyfunction("""COMPUTED_VALUE"""),211.91)</f>
        <v>211.91</v>
      </c>
      <c r="E1117" s="5" t="n">
        <f aca="false">IFERROR(__xludf.dummyfunction("""COMPUTED_VALUE"""),215.43)</f>
        <v>215.43</v>
      </c>
      <c r="F1117" s="5" t="n">
        <f aca="false">IFERROR(__xludf.dummyfunction("""COMPUTED_VALUE"""),9796134)</f>
        <v>9796134</v>
      </c>
    </row>
    <row r="1118" customFormat="false" ht="15.75" hidden="false" customHeight="false" outlineLevel="0" collapsed="false">
      <c r="A1118" s="6" t="n">
        <f aca="false">IFERROR(__xludf.dummyfunction("""COMPUTED_VALUE"""),45821.6666666667)</f>
        <v>45821.6666666667</v>
      </c>
      <c r="B1118" s="5" t="n">
        <f aca="false">IFERROR(__xludf.dummyfunction("""COMPUTED_VALUE"""),210.11)</f>
        <v>210.11</v>
      </c>
      <c r="C1118" s="5" t="n">
        <f aca="false">IFERROR(__xludf.dummyfunction("""COMPUTED_VALUE"""),213.26)</f>
        <v>213.26</v>
      </c>
      <c r="D1118" s="5" t="n">
        <f aca="false">IFERROR(__xludf.dummyfunction("""COMPUTED_VALUE"""),209.4)</f>
        <v>209.4</v>
      </c>
      <c r="E1118" s="5" t="n">
        <f aca="false">IFERROR(__xludf.dummyfunction("""COMPUTED_VALUE"""),211.1)</f>
        <v>211.1</v>
      </c>
      <c r="F1118" s="5" t="n">
        <f aca="false">IFERROR(__xludf.dummyfunction("""COMPUTED_VALUE"""),10152533)</f>
        <v>10152533</v>
      </c>
    </row>
    <row r="1119" customFormat="false" ht="15.75" hidden="false" customHeight="false" outlineLevel="0" collapsed="false">
      <c r="A1119" s="6" t="n">
        <f aca="false">IFERROR(__xludf.dummyfunction("""COMPUTED_VALUE"""),45824.6666666667)</f>
        <v>45824.6666666667</v>
      </c>
      <c r="B1119" s="5" t="n">
        <f aca="false">IFERROR(__xludf.dummyfunction("""COMPUTED_VALUE"""),213)</f>
        <v>213</v>
      </c>
      <c r="C1119" s="5" t="n">
        <f aca="false">IFERROR(__xludf.dummyfunction("""COMPUTED_VALUE"""),217.6)</f>
        <v>217.6</v>
      </c>
      <c r="D1119" s="5" t="n">
        <f aca="false">IFERROR(__xludf.dummyfunction("""COMPUTED_VALUE"""),212.73)</f>
        <v>212.73</v>
      </c>
      <c r="E1119" s="5" t="n">
        <f aca="false">IFERROR(__xludf.dummyfunction("""COMPUTED_VALUE"""),215.68)</f>
        <v>215.68</v>
      </c>
      <c r="F1119" s="5" t="n">
        <f aca="false">IFERROR(__xludf.dummyfunction("""COMPUTED_VALUE"""),10932869)</f>
        <v>10932869</v>
      </c>
    </row>
    <row r="1120" customFormat="false" ht="15.75" hidden="false" customHeight="false" outlineLevel="0" collapsed="false">
      <c r="A1120" s="6" t="n">
        <f aca="false">IFERROR(__xludf.dummyfunction("""COMPUTED_VALUE"""),45825.6666666667)</f>
        <v>45825.6666666667</v>
      </c>
      <c r="B1120" s="5" t="n">
        <f aca="false">IFERROR(__xludf.dummyfunction("""COMPUTED_VALUE"""),213.89)</f>
        <v>213.89</v>
      </c>
      <c r="C1120" s="5" t="n">
        <f aca="false">IFERROR(__xludf.dummyfunction("""COMPUTED_VALUE"""),215.94)</f>
        <v>215.94</v>
      </c>
      <c r="D1120" s="5" t="n">
        <f aca="false">IFERROR(__xludf.dummyfunction("""COMPUTED_VALUE"""),213.5)</f>
        <v>213.5</v>
      </c>
      <c r="E1120" s="5" t="n">
        <f aca="false">IFERROR(__xludf.dummyfunction("""COMPUTED_VALUE"""),213.9)</f>
        <v>213.9</v>
      </c>
      <c r="F1120" s="5" t="n">
        <f aca="false">IFERROR(__xludf.dummyfunction("""COMPUTED_VALUE"""),8389651)</f>
        <v>8389651</v>
      </c>
    </row>
    <row r="1121" customFormat="false" ht="15.75" hidden="false" customHeight="false" outlineLevel="0" collapsed="false">
      <c r="A1121" s="6" t="n">
        <f aca="false">IFERROR(__xludf.dummyfunction("""COMPUTED_VALUE"""),45826.6666666667)</f>
        <v>45826.6666666667</v>
      </c>
      <c r="B1121" s="5" t="n">
        <f aca="false">IFERROR(__xludf.dummyfunction("""COMPUTED_VALUE"""),214.7)</f>
        <v>214.7</v>
      </c>
      <c r="C1121" s="5" t="n">
        <f aca="false">IFERROR(__xludf.dummyfunction("""COMPUTED_VALUE"""),215.17)</f>
        <v>215.17</v>
      </c>
      <c r="D1121" s="5" t="n">
        <f aca="false">IFERROR(__xludf.dummyfunction("""COMPUTED_VALUE"""),212.89)</f>
        <v>212.89</v>
      </c>
      <c r="E1121" s="5" t="n">
        <f aca="false">IFERROR(__xludf.dummyfunction("""COMPUTED_VALUE"""),213.5)</f>
        <v>213.5</v>
      </c>
      <c r="F1121" s="5" t="n">
        <f aca="false">IFERROR(__xludf.dummyfunction("""COMPUTED_VALUE"""),6931992)</f>
        <v>6931992</v>
      </c>
    </row>
    <row r="1122" customFormat="false" ht="15.75" hidden="false" customHeight="false" outlineLevel="0" collapsed="false">
      <c r="A1122" s="6" t="n">
        <f aca="false">IFERROR(__xludf.dummyfunction("""COMPUTED_VALUE"""),45828.6666666667)</f>
        <v>45828.6666666667</v>
      </c>
      <c r="B1122" s="5" t="n">
        <f aca="false">IFERROR(__xludf.dummyfunction("""COMPUTED_VALUE"""),215.2)</f>
        <v>215.2</v>
      </c>
      <c r="C1122" s="5" t="n">
        <f aca="false">IFERROR(__xludf.dummyfunction("""COMPUTED_VALUE"""),215.5)</f>
        <v>215.5</v>
      </c>
      <c r="D1122" s="5" t="n">
        <f aca="false">IFERROR(__xludf.dummyfunction("""COMPUTED_VALUE"""),208.15)</f>
        <v>208.15</v>
      </c>
      <c r="E1122" s="5" t="n">
        <f aca="false">IFERROR(__xludf.dummyfunction("""COMPUTED_VALUE"""),209.51)</f>
        <v>209.51</v>
      </c>
      <c r="F1122" s="5" t="n">
        <f aca="false">IFERROR(__xludf.dummyfunction("""COMPUTED_VALUE"""),16992048)</f>
        <v>16992048</v>
      </c>
    </row>
    <row r="1123" customFormat="false" ht="15.75" hidden="false" customHeight="false" outlineLevel="0" collapsed="false">
      <c r="A1123" s="6" t="n">
        <f aca="false">IFERROR(__xludf.dummyfunction("""COMPUTED_VALUE"""),45831.6666666667)</f>
        <v>45831.6666666667</v>
      </c>
      <c r="B1123" s="5" t="n">
        <f aca="false">IFERROR(__xludf.dummyfunction("""COMPUTED_VALUE"""),206.63)</f>
        <v>206.63</v>
      </c>
      <c r="C1123" s="5" t="n">
        <f aca="false">IFERROR(__xludf.dummyfunction("""COMPUTED_VALUE"""),210.59)</f>
        <v>210.59</v>
      </c>
      <c r="D1123" s="5" t="n">
        <f aca="false">IFERROR(__xludf.dummyfunction("""COMPUTED_VALUE"""),206.2)</f>
        <v>206.2</v>
      </c>
      <c r="E1123" s="5" t="n">
        <f aca="false">IFERROR(__xludf.dummyfunction("""COMPUTED_VALUE"""),210.32)</f>
        <v>210.32</v>
      </c>
      <c r="F1123" s="5" t="n">
        <f aca="false">IFERROR(__xludf.dummyfunction("""COMPUTED_VALUE"""),7535531)</f>
        <v>7535531</v>
      </c>
    </row>
    <row r="1124" customFormat="false" ht="15.75" hidden="false" customHeight="false" outlineLevel="0" collapsed="false">
      <c r="A1124" s="6" t="n">
        <f aca="false">IFERROR(__xludf.dummyfunction("""COMPUTED_VALUE"""),45832.6666666667)</f>
        <v>45832.6666666667</v>
      </c>
      <c r="B1124" s="5" t="n">
        <f aca="false">IFERROR(__xludf.dummyfunction("""COMPUTED_VALUE"""),214.39)</f>
        <v>214.39</v>
      </c>
      <c r="C1124" s="5" t="n">
        <f aca="false">IFERROR(__xludf.dummyfunction("""COMPUTED_VALUE"""),220.37)</f>
        <v>220.37</v>
      </c>
      <c r="D1124" s="5" t="n">
        <f aca="false">IFERROR(__xludf.dummyfunction("""COMPUTED_VALUE"""),213.88)</f>
        <v>213.88</v>
      </c>
      <c r="E1124" s="5" t="n">
        <f aca="false">IFERROR(__xludf.dummyfunction("""COMPUTED_VALUE"""),220.09)</f>
        <v>220.09</v>
      </c>
      <c r="F1124" s="5" t="n">
        <f aca="false">IFERROR(__xludf.dummyfunction("""COMPUTED_VALUE"""),14814705)</f>
        <v>14814705</v>
      </c>
    </row>
    <row r="1125" customFormat="false" ht="15.75" hidden="false" customHeight="false" outlineLevel="0" collapsed="false">
      <c r="A1125" s="6" t="n">
        <f aca="false">IFERROR(__xludf.dummyfunction("""COMPUTED_VALUE"""),45833.6666666667)</f>
        <v>45833.6666666667</v>
      </c>
      <c r="B1125" s="5" t="n">
        <f aca="false">IFERROR(__xludf.dummyfunction("""COMPUTED_VALUE"""),220.8)</f>
        <v>220.8</v>
      </c>
      <c r="C1125" s="5" t="n">
        <f aca="false">IFERROR(__xludf.dummyfunction("""COMPUTED_VALUE"""),223.5)</f>
        <v>223.5</v>
      </c>
      <c r="D1125" s="5" t="n">
        <f aca="false">IFERROR(__xludf.dummyfunction("""COMPUTED_VALUE"""),220.8)</f>
        <v>220.8</v>
      </c>
      <c r="E1125" s="5" t="n">
        <f aca="false">IFERROR(__xludf.dummyfunction("""COMPUTED_VALUE"""),222.74)</f>
        <v>222.74</v>
      </c>
      <c r="F1125" s="5" t="n">
        <f aca="false">IFERROR(__xludf.dummyfunction("""COMPUTED_VALUE"""),9168374)</f>
        <v>9168374</v>
      </c>
    </row>
    <row r="1126" customFormat="false" ht="15.75" hidden="false" customHeight="false" outlineLevel="0" collapsed="false">
      <c r="A1126" s="6" t="n">
        <f aca="false">IFERROR(__xludf.dummyfunction("""COMPUTED_VALUE"""),45834.6666666667)</f>
        <v>45834.6666666667</v>
      </c>
      <c r="B1126" s="5" t="n">
        <f aca="false">IFERROR(__xludf.dummyfunction("""COMPUTED_VALUE"""),224.98)</f>
        <v>224.98</v>
      </c>
      <c r="C1126" s="5" t="n">
        <f aca="false">IFERROR(__xludf.dummyfunction("""COMPUTED_VALUE"""),225.22)</f>
        <v>225.22</v>
      </c>
      <c r="D1126" s="5" t="n">
        <f aca="false">IFERROR(__xludf.dummyfunction("""COMPUTED_VALUE"""),222.7)</f>
        <v>222.7</v>
      </c>
      <c r="E1126" s="5" t="n">
        <f aca="false">IFERROR(__xludf.dummyfunction("""COMPUTED_VALUE"""),224.01)</f>
        <v>224.01</v>
      </c>
      <c r="F1126" s="5" t="n">
        <f aca="false">IFERROR(__xludf.dummyfunction("""COMPUTED_VALUE"""),7982208)</f>
        <v>7982208</v>
      </c>
    </row>
    <row r="1127" customFormat="false" ht="15.75" hidden="false" customHeight="false" outlineLevel="0" collapsed="false">
      <c r="A1127" s="6" t="n">
        <f aca="false">IFERROR(__xludf.dummyfunction("""COMPUTED_VALUE"""),45835.6666666667)</f>
        <v>45835.6666666667</v>
      </c>
      <c r="B1127" s="5" t="n">
        <f aca="false">IFERROR(__xludf.dummyfunction("""COMPUTED_VALUE"""),224.3)</f>
        <v>224.3</v>
      </c>
      <c r="C1127" s="5" t="n">
        <f aca="false">IFERROR(__xludf.dummyfunction("""COMPUTED_VALUE"""),228.88)</f>
        <v>228.88</v>
      </c>
      <c r="D1127" s="5" t="n">
        <f aca="false">IFERROR(__xludf.dummyfunction("""COMPUTED_VALUE"""),224.03)</f>
        <v>224.03</v>
      </c>
      <c r="E1127" s="5" t="n">
        <f aca="false">IFERROR(__xludf.dummyfunction("""COMPUTED_VALUE"""),228.57)</f>
        <v>228.57</v>
      </c>
      <c r="F1127" s="5" t="n">
        <f aca="false">IFERROR(__xludf.dummyfunction("""COMPUTED_VALUE"""),13132971)</f>
        <v>13132971</v>
      </c>
    </row>
    <row r="1128" customFormat="false" ht="15.75" hidden="false" customHeight="false" outlineLevel="0" collapsed="false">
      <c r="A1128" s="6" t="n">
        <f aca="false">IFERROR(__xludf.dummyfunction("""COMPUTED_VALUE"""),45838.6666666667)</f>
        <v>45838.6666666667</v>
      </c>
      <c r="B1128" s="5" t="n">
        <f aca="false">IFERROR(__xludf.dummyfunction("""COMPUTED_VALUE"""),227.44)</f>
        <v>227.44</v>
      </c>
      <c r="C1128" s="5" t="n">
        <f aca="false">IFERROR(__xludf.dummyfunction("""COMPUTED_VALUE"""),228.15)</f>
        <v>228.15</v>
      </c>
      <c r="D1128" s="5" t="n">
        <f aca="false">IFERROR(__xludf.dummyfunction("""COMPUTED_VALUE"""),224.8)</f>
        <v>224.8</v>
      </c>
      <c r="E1128" s="5" t="n">
        <f aca="false">IFERROR(__xludf.dummyfunction("""COMPUTED_VALUE"""),226.49)</f>
        <v>226.49</v>
      </c>
      <c r="F1128" s="5" t="n">
        <f aca="false">IFERROR(__xludf.dummyfunction("""COMPUTED_VALUE"""),9279803)</f>
        <v>9279803</v>
      </c>
    </row>
    <row r="1129" customFormat="false" ht="15.75" hidden="false" customHeight="false" outlineLevel="0" collapsed="false">
      <c r="A1129" s="6" t="n">
        <f aca="false">IFERROR(__xludf.dummyfunction("""COMPUTED_VALUE"""),45839.6666666667)</f>
        <v>45839.6666666667</v>
      </c>
      <c r="B1129" s="5" t="n">
        <f aca="false">IFERROR(__xludf.dummyfunction("""COMPUTED_VALUE"""),227.43)</f>
        <v>227.43</v>
      </c>
      <c r="C1129" s="5" t="n">
        <f aca="false">IFERROR(__xludf.dummyfunction("""COMPUTED_VALUE"""),228.6)</f>
        <v>228.6</v>
      </c>
      <c r="D1129" s="5" t="n">
        <f aca="false">IFERROR(__xludf.dummyfunction("""COMPUTED_VALUE"""),221.18)</f>
        <v>221.18</v>
      </c>
      <c r="E1129" s="5" t="n">
        <f aca="false">IFERROR(__xludf.dummyfunction("""COMPUTED_VALUE"""),224.68)</f>
        <v>224.68</v>
      </c>
      <c r="F1129" s="5" t="n">
        <f aca="false">IFERROR(__xludf.dummyfunction("""COMPUTED_VALUE"""),9990210)</f>
        <v>9990210</v>
      </c>
    </row>
    <row r="1130" customFormat="false" ht="15.75" hidden="false" customHeight="false" outlineLevel="0" collapsed="false">
      <c r="A1130" s="6" t="n">
        <f aca="false">IFERROR(__xludf.dummyfunction("""COMPUTED_VALUE"""),45840.6666666667)</f>
        <v>45840.6666666667</v>
      </c>
      <c r="B1130" s="5" t="n">
        <f aca="false">IFERROR(__xludf.dummyfunction("""COMPUTED_VALUE"""),224.48)</f>
        <v>224.48</v>
      </c>
      <c r="C1130" s="5" t="n">
        <f aca="false">IFERROR(__xludf.dummyfunction("""COMPUTED_VALUE"""),233.82)</f>
        <v>233.82</v>
      </c>
      <c r="D1130" s="5" t="n">
        <f aca="false">IFERROR(__xludf.dummyfunction("""COMPUTED_VALUE"""),224)</f>
        <v>224</v>
      </c>
      <c r="E1130" s="5" t="n">
        <f aca="false">IFERROR(__xludf.dummyfunction("""COMPUTED_VALUE"""),233.6)</f>
        <v>233.6</v>
      </c>
      <c r="F1130" s="5" t="n">
        <f aca="false">IFERROR(__xludf.dummyfunction("""COMPUTED_VALUE"""),12012459)</f>
        <v>12012459</v>
      </c>
    </row>
    <row r="1131" customFormat="false" ht="15.75" hidden="false" customHeight="false" outlineLevel="0" collapsed="false">
      <c r="A1131" s="6" t="n">
        <f aca="false">IFERROR(__xludf.dummyfunction("""COMPUTED_VALUE"""),45841.5416666667)</f>
        <v>45841.5416666667</v>
      </c>
      <c r="B1131" s="5" t="n">
        <f aca="false">IFERROR(__xludf.dummyfunction("""COMPUTED_VALUE"""),233.87)</f>
        <v>233.87</v>
      </c>
      <c r="C1131" s="5" t="n">
        <f aca="false">IFERROR(__xludf.dummyfunction("""COMPUTED_VALUE"""),237.58)</f>
        <v>237.58</v>
      </c>
      <c r="D1131" s="5" t="n">
        <f aca="false">IFERROR(__xludf.dummyfunction("""COMPUTED_VALUE"""),233.27)</f>
        <v>233.27</v>
      </c>
      <c r="E1131" s="5" t="n">
        <f aca="false">IFERROR(__xludf.dummyfunction("""COMPUTED_VALUE"""),234.8)</f>
        <v>234.8</v>
      </c>
      <c r="F1131" s="5" t="n">
        <f aca="false">IFERROR(__xludf.dummyfunction("""COMPUTED_VALUE"""),7779584)</f>
        <v>7779584</v>
      </c>
    </row>
    <row r="1132" customFormat="false" ht="15.75" hidden="false" customHeight="false" outlineLevel="0" collapsed="false">
      <c r="A1132" s="6" t="n">
        <f aca="false">IFERROR(__xludf.dummyfunction("""COMPUTED_VALUE"""),45845.6666666667)</f>
        <v>45845.6666666667</v>
      </c>
      <c r="B1132" s="5" t="n">
        <f aca="false">IFERROR(__xludf.dummyfunction("""COMPUTED_VALUE"""),231.63)</f>
        <v>231.63</v>
      </c>
      <c r="C1132" s="5" t="n">
        <f aca="false">IFERROR(__xludf.dummyfunction("""COMPUTED_VALUE"""),232.55)</f>
        <v>232.55</v>
      </c>
      <c r="D1132" s="5" t="n">
        <f aca="false">IFERROR(__xludf.dummyfunction("""COMPUTED_VALUE"""),227.44)</f>
        <v>227.44</v>
      </c>
      <c r="E1132" s="5" t="n">
        <f aca="false">IFERROR(__xludf.dummyfunction("""COMPUTED_VALUE"""),229.17)</f>
        <v>229.17</v>
      </c>
      <c r="F1132" s="5" t="n">
        <f aca="false">IFERROR(__xludf.dummyfunction("""COMPUTED_VALUE"""),13817520)</f>
        <v>13817520</v>
      </c>
    </row>
    <row r="1133" customFormat="false" ht="15.75" hidden="false" customHeight="false" outlineLevel="0" collapsed="false">
      <c r="A1133" s="6" t="n">
        <f aca="false">IFERROR(__xludf.dummyfunction("""COMPUTED_VALUE"""),45846.6666666667)</f>
        <v>45846.6666666667</v>
      </c>
      <c r="B1133" s="5" t="n">
        <f aca="false">IFERROR(__xludf.dummyfunction("""COMPUTED_VALUE"""),229.78)</f>
        <v>229.78</v>
      </c>
      <c r="C1133" s="5" t="n">
        <f aca="false">IFERROR(__xludf.dummyfunction("""COMPUTED_VALUE"""),230.33)</f>
        <v>230.33</v>
      </c>
      <c r="D1133" s="5" t="n">
        <f aca="false">IFERROR(__xludf.dummyfunction("""COMPUTED_VALUE"""),227.54)</f>
        <v>227.54</v>
      </c>
      <c r="E1133" s="5" t="n">
        <f aca="false">IFERROR(__xludf.dummyfunction("""COMPUTED_VALUE"""),227.86)</f>
        <v>227.86</v>
      </c>
      <c r="F1133" s="5" t="n">
        <f aca="false">IFERROR(__xludf.dummyfunction("""COMPUTED_VALUE"""),8854432)</f>
        <v>8854432</v>
      </c>
    </row>
    <row r="1134" customFormat="false" ht="15.75" hidden="false" customHeight="false" outlineLevel="0" collapsed="false">
      <c r="A1134" s="6" t="n">
        <f aca="false">IFERROR(__xludf.dummyfunction("""COMPUTED_VALUE"""),45847.6666666667)</f>
        <v>45847.6666666667</v>
      </c>
      <c r="B1134" s="5" t="n">
        <f aca="false">IFERROR(__xludf.dummyfunction("""COMPUTED_VALUE"""),230.45)</f>
        <v>230.45</v>
      </c>
      <c r="C1134" s="5" t="n">
        <f aca="false">IFERROR(__xludf.dummyfunction("""COMPUTED_VALUE"""),233.27)</f>
        <v>233.27</v>
      </c>
      <c r="D1134" s="5" t="n">
        <f aca="false">IFERROR(__xludf.dummyfunction("""COMPUTED_VALUE"""),230.24)</f>
        <v>230.24</v>
      </c>
      <c r="E1134" s="5" t="n">
        <f aca="false">IFERROR(__xludf.dummyfunction("""COMPUTED_VALUE"""),231.84)</f>
        <v>231.84</v>
      </c>
      <c r="F1134" s="5" t="n">
        <f aca="false">IFERROR(__xludf.dummyfunction("""COMPUTED_VALUE"""),9475340)</f>
        <v>9475340</v>
      </c>
    </row>
    <row r="1135" customFormat="false" ht="15.75" hidden="false" customHeight="false" outlineLevel="0" collapsed="false">
      <c r="A1135" s="6" t="n">
        <f aca="false">IFERROR(__xludf.dummyfunction("""COMPUTED_VALUE"""),45848.6666666667)</f>
        <v>45848.6666666667</v>
      </c>
      <c r="B1135" s="5" t="n">
        <f aca="false">IFERROR(__xludf.dummyfunction("""COMPUTED_VALUE"""),232.78)</f>
        <v>232.78</v>
      </c>
      <c r="C1135" s="5" t="n">
        <f aca="false">IFERROR(__xludf.dummyfunction("""COMPUTED_VALUE"""),233.05)</f>
        <v>233.05</v>
      </c>
      <c r="D1135" s="5" t="n">
        <f aca="false">IFERROR(__xludf.dummyfunction("""COMPUTED_VALUE"""),227.77)</f>
        <v>227.77</v>
      </c>
      <c r="E1135" s="5" t="n">
        <f aca="false">IFERROR(__xludf.dummyfunction("""COMPUTED_VALUE"""),229.76)</f>
        <v>229.76</v>
      </c>
      <c r="F1135" s="5" t="n">
        <f aca="false">IFERROR(__xludf.dummyfunction("""COMPUTED_VALUE"""),13124703)</f>
        <v>13124703</v>
      </c>
    </row>
    <row r="1136" customFormat="false" ht="15.75" hidden="false" customHeight="false" outlineLevel="0" collapsed="false">
      <c r="A1136" s="6" t="n">
        <f aca="false">IFERROR(__xludf.dummyfunction("""COMPUTED_VALUE"""),45849.6666666667)</f>
        <v>45849.6666666667</v>
      </c>
      <c r="B1136" s="5" t="n">
        <f aca="false">IFERROR(__xludf.dummyfunction("""COMPUTED_VALUE"""),231)</f>
        <v>231</v>
      </c>
      <c r="C1136" s="5" t="n">
        <f aca="false">IFERROR(__xludf.dummyfunction("""COMPUTED_VALUE"""),232.27)</f>
        <v>232.27</v>
      </c>
      <c r="D1136" s="5" t="n">
        <f aca="false">IFERROR(__xludf.dummyfunction("""COMPUTED_VALUE"""),229.4)</f>
        <v>229.4</v>
      </c>
      <c r="E1136" s="5" t="n">
        <f aca="false">IFERROR(__xludf.dummyfunction("""COMPUTED_VALUE"""),230.4)</f>
        <v>230.4</v>
      </c>
      <c r="F1136" s="5" t="n">
        <f aca="false">IFERROR(__xludf.dummyfunction("""COMPUTED_VALUE"""),8817763)</f>
        <v>8817763</v>
      </c>
    </row>
    <row r="1137" customFormat="false" ht="15.75" hidden="false" customHeight="false" outlineLevel="0" collapsed="false">
      <c r="A1137" s="6" t="n">
        <f aca="false">IFERROR(__xludf.dummyfunction("""COMPUTED_VALUE"""),45852.6666666667)</f>
        <v>45852.6666666667</v>
      </c>
      <c r="B1137" s="5" t="n">
        <f aca="false">IFERROR(__xludf.dummyfunction("""COMPUTED_VALUE"""),229.33)</f>
        <v>229.33</v>
      </c>
      <c r="C1137" s="5" t="n">
        <f aca="false">IFERROR(__xludf.dummyfunction("""COMPUTED_VALUE"""),229.85)</f>
        <v>229.85</v>
      </c>
      <c r="D1137" s="5" t="n">
        <f aca="false">IFERROR(__xludf.dummyfunction("""COMPUTED_VALUE"""),226.31)</f>
        <v>226.31</v>
      </c>
      <c r="E1137" s="5" t="n">
        <f aca="false">IFERROR(__xludf.dummyfunction("""COMPUTED_VALUE"""),228.67)</f>
        <v>228.67</v>
      </c>
      <c r="F1137" s="5" t="n">
        <f aca="false">IFERROR(__xludf.dummyfunction("""COMPUTED_VALUE"""),10673518)</f>
        <v>10673518</v>
      </c>
    </row>
    <row r="1138" customFormat="false" ht="15.75" hidden="false" customHeight="false" outlineLevel="0" collapsed="false">
      <c r="A1138" s="6" t="n">
        <f aca="false">IFERROR(__xludf.dummyfunction("""COMPUTED_VALUE"""),45853.6666666667)</f>
        <v>45853.6666666667</v>
      </c>
      <c r="B1138" s="5" t="n">
        <f aca="false">IFERROR(__xludf.dummyfunction("""COMPUTED_VALUE"""),234.46)</f>
        <v>234.46</v>
      </c>
      <c r="C1138" s="5" t="n">
        <f aca="false">IFERROR(__xludf.dummyfunction("""COMPUTED_VALUE"""),237.71)</f>
        <v>237.71</v>
      </c>
      <c r="D1138" s="5" t="n">
        <f aca="false">IFERROR(__xludf.dummyfunction("""COMPUTED_VALUE"""),233.85)</f>
        <v>233.85</v>
      </c>
      <c r="E1138" s="5" t="n">
        <f aca="false">IFERROR(__xludf.dummyfunction("""COMPUTED_VALUE"""),236.95)</f>
        <v>236.95</v>
      </c>
      <c r="F1138" s="5" t="n">
        <f aca="false">IFERROR(__xludf.dummyfunction("""COMPUTED_VALUE"""),14270133)</f>
        <v>14270133</v>
      </c>
    </row>
    <row r="1139" customFormat="false" ht="15.75" hidden="false" customHeight="false" outlineLevel="0" collapsed="false">
      <c r="A1139" s="6" t="n">
        <f aca="false">IFERROR(__xludf.dummyfunction("""COMPUTED_VALUE"""),45854.6666666667)</f>
        <v>45854.6666666667</v>
      </c>
      <c r="B1139" s="5" t="n">
        <f aca="false">IFERROR(__xludf.dummyfunction("""COMPUTED_VALUE"""),236.4)</f>
        <v>236.4</v>
      </c>
      <c r="C1139" s="5" t="n">
        <f aca="false">IFERROR(__xludf.dummyfunction("""COMPUTED_VALUE"""),238.31)</f>
        <v>238.31</v>
      </c>
      <c r="D1139" s="5" t="n">
        <f aca="false">IFERROR(__xludf.dummyfunction("""COMPUTED_VALUE"""),234.15)</f>
        <v>234.15</v>
      </c>
      <c r="E1139" s="5" t="n">
        <f aca="false">IFERROR(__xludf.dummyfunction("""COMPUTED_VALUE"""),237.56)</f>
        <v>237.56</v>
      </c>
      <c r="F1139" s="5" t="n">
        <f aca="false">IFERROR(__xludf.dummyfunction("""COMPUTED_VALUE"""),15092753)</f>
        <v>15092753</v>
      </c>
    </row>
    <row r="1140" customFormat="false" ht="15.75" hidden="false" customHeight="false" outlineLevel="0" collapsed="false">
      <c r="A1140" s="6" t="n">
        <f aca="false">IFERROR(__xludf.dummyfunction("""COMPUTED_VALUE"""),45855.6666666667)</f>
        <v>45855.6666666667</v>
      </c>
      <c r="B1140" s="5" t="n">
        <f aca="false">IFERROR(__xludf.dummyfunction("""COMPUTED_VALUE"""),245.79)</f>
        <v>245.79</v>
      </c>
      <c r="C1140" s="5" t="n">
        <f aca="false">IFERROR(__xludf.dummyfunction("""COMPUTED_VALUE"""),248.28)</f>
        <v>248.28</v>
      </c>
      <c r="D1140" s="5" t="n">
        <f aca="false">IFERROR(__xludf.dummyfunction("""COMPUTED_VALUE"""),241.39)</f>
        <v>241.39</v>
      </c>
      <c r="E1140" s="5" t="n">
        <f aca="false">IFERROR(__xludf.dummyfunction("""COMPUTED_VALUE"""),245.6)</f>
        <v>245.6</v>
      </c>
      <c r="F1140" s="5" t="n">
        <f aca="false">IFERROR(__xludf.dummyfunction("""COMPUTED_VALUE"""),27395684)</f>
        <v>27395684</v>
      </c>
    </row>
    <row r="1141" customFormat="false" ht="15.75" hidden="false" customHeight="false" outlineLevel="0" collapsed="false">
      <c r="A1141" s="6" t="n">
        <f aca="false">IFERROR(__xludf.dummyfunction("""COMPUTED_VALUE"""),45856.6666666667)</f>
        <v>45856.6666666667</v>
      </c>
      <c r="B1141" s="5" t="n">
        <f aca="false">IFERROR(__xludf.dummyfunction("""COMPUTED_VALUE"""),245.31)</f>
        <v>245.31</v>
      </c>
      <c r="C1141" s="5" t="n">
        <f aca="false">IFERROR(__xludf.dummyfunction("""COMPUTED_VALUE"""),245.97)</f>
        <v>245.97</v>
      </c>
      <c r="D1141" s="5" t="n">
        <f aca="false">IFERROR(__xludf.dummyfunction("""COMPUTED_VALUE"""),238.69)</f>
        <v>238.69</v>
      </c>
      <c r="E1141" s="5" t="n">
        <f aca="false">IFERROR(__xludf.dummyfunction("""COMPUTED_VALUE"""),240.4)</f>
        <v>240.4</v>
      </c>
      <c r="F1141" s="5" t="n">
        <f aca="false">IFERROR(__xludf.dummyfunction("""COMPUTED_VALUE"""),16252018)</f>
        <v>16252018</v>
      </c>
    </row>
    <row r="1142" customFormat="false" ht="15.75" hidden="false" customHeight="false" outlineLevel="0" collapsed="false">
      <c r="A1142" s="6" t="n">
        <f aca="false">IFERROR(__xludf.dummyfunction("""COMPUTED_VALUE"""),45859.6666666667)</f>
        <v>45859.6666666667</v>
      </c>
      <c r="B1142" s="5" t="n">
        <f aca="false">IFERROR(__xludf.dummyfunction("""COMPUTED_VALUE"""),240.12)</f>
        <v>240.12</v>
      </c>
      <c r="C1142" s="5" t="n">
        <f aca="false">IFERROR(__xludf.dummyfunction("""COMPUTED_VALUE"""),242.34)</f>
        <v>242.34</v>
      </c>
      <c r="D1142" s="5" t="n">
        <f aca="false">IFERROR(__xludf.dummyfunction("""COMPUTED_VALUE"""),238.71)</f>
        <v>238.71</v>
      </c>
      <c r="E1142" s="5" t="n">
        <f aca="false">IFERROR(__xludf.dummyfunction("""COMPUTED_VALUE"""),238.85)</f>
        <v>238.85</v>
      </c>
      <c r="F1142" s="5" t="n">
        <f aca="false">IFERROR(__xludf.dummyfunction("""COMPUTED_VALUE"""),11971805)</f>
        <v>11971805</v>
      </c>
    </row>
    <row r="1143" customFormat="false" ht="15.75" hidden="false" customHeight="false" outlineLevel="0" collapsed="false">
      <c r="A1143" s="6" t="n">
        <f aca="false">IFERROR(__xludf.dummyfunction("""COMPUTED_VALUE"""),45860.6666666667)</f>
        <v>45860.6666666667</v>
      </c>
      <c r="B1143" s="5" t="n">
        <f aca="false">IFERROR(__xludf.dummyfunction("""COMPUTED_VALUE"""),237.83)</f>
        <v>237.83</v>
      </c>
      <c r="C1143" s="5" t="n">
        <f aca="false">IFERROR(__xludf.dummyfunction("""COMPUTED_VALUE"""),238)</f>
        <v>238</v>
      </c>
      <c r="D1143" s="5" t="n">
        <f aca="false">IFERROR(__xludf.dummyfunction("""COMPUTED_VALUE"""),231.76)</f>
        <v>231.76</v>
      </c>
      <c r="E1143" s="5" t="n">
        <f aca="false">IFERROR(__xludf.dummyfunction("""COMPUTED_VALUE"""),234.6)</f>
        <v>234.6</v>
      </c>
      <c r="F1143" s="5" t="n">
        <f aca="false">IFERROR(__xludf.dummyfunction("""COMPUTED_VALUE"""),11919542)</f>
        <v>11919542</v>
      </c>
    </row>
    <row r="1144" customFormat="false" ht="15.75" hidden="false" customHeight="false" outlineLevel="0" collapsed="false">
      <c r="A1144" s="6" t="n">
        <f aca="false">IFERROR(__xludf.dummyfunction("""COMPUTED_VALUE"""),45861.6666666667)</f>
        <v>45861.6666666667</v>
      </c>
      <c r="B1144" s="5" t="n">
        <f aca="false">IFERROR(__xludf.dummyfunction("""COMPUTED_VALUE"""),238.52)</f>
        <v>238.52</v>
      </c>
      <c r="C1144" s="5" t="n">
        <f aca="false">IFERROR(__xludf.dummyfunction("""COMPUTED_VALUE"""),240.5)</f>
        <v>240.5</v>
      </c>
      <c r="D1144" s="5" t="n">
        <f aca="false">IFERROR(__xludf.dummyfunction("""COMPUTED_VALUE"""),236.38)</f>
        <v>236.38</v>
      </c>
      <c r="E1144" s="5" t="n">
        <f aca="false">IFERROR(__xludf.dummyfunction("""COMPUTED_VALUE"""),240.33)</f>
        <v>240.33</v>
      </c>
      <c r="F1144" s="5" t="n">
        <f aca="false">IFERROR(__xludf.dummyfunction("""COMPUTED_VALUE"""),9885441)</f>
        <v>9885441</v>
      </c>
    </row>
    <row r="1145" customFormat="false" ht="15.75" hidden="false" customHeight="false" outlineLevel="0" collapsed="false">
      <c r="A1145" s="6" t="n">
        <f aca="false">IFERROR(__xludf.dummyfunction("""COMPUTED_VALUE"""),45862.6666666667)</f>
        <v>45862.6666666667</v>
      </c>
      <c r="B1145" s="5" t="n">
        <f aca="false">IFERROR(__xludf.dummyfunction("""COMPUTED_VALUE"""),240.21)</f>
        <v>240.21</v>
      </c>
      <c r="C1145" s="5" t="n">
        <f aca="false">IFERROR(__xludf.dummyfunction("""COMPUTED_VALUE"""),241.95)</f>
        <v>241.95</v>
      </c>
      <c r="D1145" s="5" t="n">
        <f aca="false">IFERROR(__xludf.dummyfunction("""COMPUTED_VALUE"""),238.03)</f>
        <v>238.03</v>
      </c>
      <c r="E1145" s="5" t="n">
        <f aca="false">IFERROR(__xludf.dummyfunction("""COMPUTED_VALUE"""),241.6)</f>
        <v>241.6</v>
      </c>
      <c r="F1145" s="5" t="n">
        <f aca="false">IFERROR(__xludf.dummyfunction("""COMPUTED_VALUE"""),9081946)</f>
        <v>9081946</v>
      </c>
    </row>
    <row r="1146" customFormat="false" ht="15.75" hidden="false" customHeight="false" outlineLevel="0" collapsed="false">
      <c r="A1146" s="6" t="n">
        <f aca="false">IFERROR(__xludf.dummyfunction("""COMPUTED_VALUE"""),45863.6666666667)</f>
        <v>45863.6666666667</v>
      </c>
      <c r="B1146" s="5" t="n">
        <f aca="false">IFERROR(__xludf.dummyfunction("""COMPUTED_VALUE"""),241.32)</f>
        <v>241.32</v>
      </c>
      <c r="C1146" s="5" t="n">
        <f aca="false">IFERROR(__xludf.dummyfunction("""COMPUTED_VALUE"""),246.24)</f>
        <v>246.24</v>
      </c>
      <c r="D1146" s="5" t="n">
        <f aca="false">IFERROR(__xludf.dummyfunction("""COMPUTED_VALUE"""),240.94)</f>
        <v>240.94</v>
      </c>
      <c r="E1146" s="5" t="n">
        <f aca="false">IFERROR(__xludf.dummyfunction("""COMPUTED_VALUE"""),245.6)</f>
        <v>245.6</v>
      </c>
      <c r="F1146" s="5" t="n">
        <f aca="false">IFERROR(__xludf.dummyfunction("""COMPUTED_VALUE"""),11593366)</f>
        <v>11593366</v>
      </c>
    </row>
    <row r="1147" customFormat="false" ht="15.75" hidden="false" customHeight="false" outlineLevel="0" collapsed="false">
      <c r="A1147" s="6" t="n">
        <f aca="false">IFERROR(__xludf.dummyfunction("""COMPUTED_VALUE"""),45866.6666666667)</f>
        <v>45866.6666666667</v>
      </c>
      <c r="B1147" s="5" t="n">
        <f aca="false">IFERROR(__xludf.dummyfunction("""COMPUTED_VALUE"""),243)</f>
        <v>243</v>
      </c>
      <c r="C1147" s="5" t="n">
        <f aca="false">IFERROR(__xludf.dummyfunction("""COMPUTED_VALUE"""),243.95)</f>
        <v>243.95</v>
      </c>
      <c r="D1147" s="5" t="n">
        <f aca="false">IFERROR(__xludf.dummyfunction("""COMPUTED_VALUE"""),241.05)</f>
        <v>241.05</v>
      </c>
      <c r="E1147" s="5" t="n">
        <f aca="false">IFERROR(__xludf.dummyfunction("""COMPUTED_VALUE"""),242.75)</f>
        <v>242.75</v>
      </c>
      <c r="F1147" s="5" t="n">
        <f aca="false">IFERROR(__xludf.dummyfunction("""COMPUTED_VALUE"""),11892202)</f>
        <v>11892202</v>
      </c>
    </row>
    <row r="1148" customFormat="false" ht="15.75" hidden="false" customHeight="false" outlineLevel="0" collapsed="false">
      <c r="A1148" s="6" t="n">
        <f aca="false">IFERROR(__xludf.dummyfunction("""COMPUTED_VALUE"""),45867.6666666667)</f>
        <v>45867.6666666667</v>
      </c>
      <c r="B1148" s="5" t="n">
        <f aca="false">IFERROR(__xludf.dummyfunction("""COMPUTED_VALUE"""),241.5)</f>
        <v>241.5</v>
      </c>
      <c r="C1148" s="5" t="n">
        <f aca="false">IFERROR(__xludf.dummyfunction("""COMPUTED_VALUE"""),243.97)</f>
        <v>243.97</v>
      </c>
      <c r="D1148" s="5" t="n">
        <f aca="false">IFERROR(__xludf.dummyfunction("""COMPUTED_VALUE"""),239.82)</f>
        <v>239.82</v>
      </c>
      <c r="E1148" s="5" t="n">
        <f aca="false">IFERROR(__xludf.dummyfunction("""COMPUTED_VALUE"""),241.33)</f>
        <v>241.33</v>
      </c>
      <c r="F1148" s="5" t="n">
        <f aca="false">IFERROR(__xludf.dummyfunction("""COMPUTED_VALUE"""),9411525)</f>
        <v>9411525</v>
      </c>
    </row>
    <row r="1149" customFormat="false" ht="15.75" hidden="false" customHeight="false" outlineLevel="0" collapsed="false">
      <c r="A1149" s="6" t="n">
        <f aca="false">IFERROR(__xludf.dummyfunction("""COMPUTED_VALUE"""),45868.6666666667)</f>
        <v>45868.6666666667</v>
      </c>
      <c r="B1149" s="5" t="n">
        <f aca="false">IFERROR(__xludf.dummyfunction("""COMPUTED_VALUE"""),242.12)</f>
        <v>242.12</v>
      </c>
      <c r="C1149" s="5" t="n">
        <f aca="false">IFERROR(__xludf.dummyfunction("""COMPUTED_VALUE"""),244.57)</f>
        <v>244.57</v>
      </c>
      <c r="D1149" s="5" t="n">
        <f aca="false">IFERROR(__xludf.dummyfunction("""COMPUTED_VALUE"""),241.22)</f>
        <v>241.22</v>
      </c>
      <c r="E1149" s="5" t="n">
        <f aca="false">IFERROR(__xludf.dummyfunction("""COMPUTED_VALUE"""),242.91)</f>
        <v>242.91</v>
      </c>
      <c r="F1149" s="5" t="n">
        <f aca="false">IFERROR(__xludf.dummyfunction("""COMPUTED_VALUE"""),6823770)</f>
        <v>6823770</v>
      </c>
    </row>
    <row r="1150" customFormat="false" ht="15.75" hidden="false" customHeight="false" outlineLevel="0" collapsed="false">
      <c r="A1150" s="6" t="n">
        <f aca="false">IFERROR(__xludf.dummyfunction("""COMPUTED_VALUE"""),45869.6666666667)</f>
        <v>45869.6666666667</v>
      </c>
      <c r="B1150" s="5" t="n">
        <f aca="false">IFERROR(__xludf.dummyfunction("""COMPUTED_VALUE"""),245.98)</f>
        <v>245.98</v>
      </c>
      <c r="C1150" s="5" t="n">
        <f aca="false">IFERROR(__xludf.dummyfunction("""COMPUTED_VALUE"""),247.41)</f>
        <v>247.41</v>
      </c>
      <c r="D1150" s="5" t="n">
        <f aca="false">IFERROR(__xludf.dummyfunction("""COMPUTED_VALUE"""),239.8)</f>
        <v>239.8</v>
      </c>
      <c r="E1150" s="5" t="n">
        <f aca="false">IFERROR(__xludf.dummyfunction("""COMPUTED_VALUE"""),241.62)</f>
        <v>241.62</v>
      </c>
      <c r="F1150" s="5" t="n">
        <f aca="false">IFERROR(__xludf.dummyfunction("""COMPUTED_VALUE"""),13490682)</f>
        <v>13490682</v>
      </c>
    </row>
    <row r="1151" customFormat="false" ht="15.75" hidden="false" customHeight="false" outlineLevel="0" collapsed="false">
      <c r="A1151" s="6" t="n">
        <f aca="false">IFERROR(__xludf.dummyfunction("""COMPUTED_VALUE"""),45870.6666666667)</f>
        <v>45870.6666666667</v>
      </c>
      <c r="B1151" s="5" t="n">
        <f aca="false">IFERROR(__xludf.dummyfunction("""COMPUTED_VALUE"""),235.62)</f>
        <v>235.62</v>
      </c>
      <c r="C1151" s="5" t="n">
        <f aca="false">IFERROR(__xludf.dummyfunction("""COMPUTED_VALUE"""),237.19)</f>
        <v>237.19</v>
      </c>
      <c r="D1151" s="5" t="n">
        <f aca="false">IFERROR(__xludf.dummyfunction("""COMPUTED_VALUE"""),231.84)</f>
        <v>231.84</v>
      </c>
      <c r="E1151" s="5" t="n">
        <f aca="false">IFERROR(__xludf.dummyfunction("""COMPUTED_VALUE"""),235.21)</f>
        <v>235.21</v>
      </c>
      <c r="F1151" s="5" t="n">
        <f aca="false">IFERROR(__xludf.dummyfunction("""COMPUTED_VALUE"""),13549793)</f>
        <v>13549793</v>
      </c>
    </row>
    <row r="1152" customFormat="false" ht="15.75" hidden="false" customHeight="false" outlineLevel="0" collapsed="false">
      <c r="A1152" s="6" t="n">
        <f aca="false">IFERROR(__xludf.dummyfunction("""COMPUTED_VALUE"""),45873.6666666667)</f>
        <v>45873.6666666667</v>
      </c>
      <c r="B1152" s="5" t="n">
        <f aca="false">IFERROR(__xludf.dummyfunction("""COMPUTED_VALUE"""),237.91)</f>
        <v>237.91</v>
      </c>
      <c r="C1152" s="5" t="n">
        <f aca="false">IFERROR(__xludf.dummyfunction("""COMPUTED_VALUE"""),239)</f>
        <v>239</v>
      </c>
      <c r="D1152" s="5" t="n">
        <f aca="false">IFERROR(__xludf.dummyfunction("""COMPUTED_VALUE"""),236.39)</f>
        <v>236.39</v>
      </c>
      <c r="E1152" s="5" t="n">
        <f aca="false">IFERROR(__xludf.dummyfunction("""COMPUTED_VALUE"""),239)</f>
        <v>239</v>
      </c>
      <c r="F1152" s="5" t="n">
        <f aca="false">IFERROR(__xludf.dummyfunction("""COMPUTED_VALUE"""),6450728)</f>
        <v>6450728</v>
      </c>
    </row>
    <row r="1153" customFormat="false" ht="15.75" hidden="false" customHeight="false" outlineLevel="0" collapsed="false">
      <c r="A1153" s="6" t="n">
        <f aca="false">IFERROR(__xludf.dummyfunction("""COMPUTED_VALUE"""),45874.6666666667)</f>
        <v>45874.6666666667</v>
      </c>
      <c r="B1153" s="5" t="n">
        <f aca="false">IFERROR(__xludf.dummyfunction("""COMPUTED_VALUE"""),238.33)</f>
        <v>238.33</v>
      </c>
      <c r="C1153" s="5" t="n">
        <f aca="false">IFERROR(__xludf.dummyfunction("""COMPUTED_VALUE"""),238.63)</f>
        <v>238.63</v>
      </c>
      <c r="D1153" s="5" t="n">
        <f aca="false">IFERROR(__xludf.dummyfunction("""COMPUTED_VALUE"""),230.17)</f>
        <v>230.17</v>
      </c>
      <c r="E1153" s="5" t="n">
        <f aca="false">IFERROR(__xludf.dummyfunction("""COMPUTED_VALUE"""),232.47)</f>
        <v>232.47</v>
      </c>
      <c r="F1153" s="5" t="n">
        <f aca="false">IFERROR(__xludf.dummyfunction("""COMPUTED_VALUE"""),11868867)</f>
        <v>11868867</v>
      </c>
    </row>
    <row r="1154" customFormat="false" ht="15.75" hidden="false" customHeight="false" outlineLevel="0" collapsed="false">
      <c r="A1154" s="6" t="n">
        <f aca="false">IFERROR(__xludf.dummyfunction("""COMPUTED_VALUE"""),45875.6666666667)</f>
        <v>45875.6666666667</v>
      </c>
      <c r="B1154" s="5" t="n">
        <f aca="false">IFERROR(__xludf.dummyfunction("""COMPUTED_VALUE"""),231.03)</f>
        <v>231.03</v>
      </c>
      <c r="C1154" s="5" t="n">
        <f aca="false">IFERROR(__xludf.dummyfunction("""COMPUTED_VALUE"""),232.2)</f>
        <v>232.2</v>
      </c>
      <c r="D1154" s="5" t="n">
        <f aca="false">IFERROR(__xludf.dummyfunction("""COMPUTED_VALUE"""),228.82)</f>
        <v>228.82</v>
      </c>
      <c r="E1154" s="5" t="n">
        <f aca="false">IFERROR(__xludf.dummyfunction("""COMPUTED_VALUE"""),231.37)</f>
        <v>231.37</v>
      </c>
      <c r="F1154" s="5" t="n">
        <f aca="false">IFERROR(__xludf.dummyfunction("""COMPUTED_VALUE"""),9457183)</f>
        <v>9457183</v>
      </c>
    </row>
    <row r="1155" customFormat="false" ht="15.75" hidden="false" customHeight="false" outlineLevel="0" collapsed="false">
      <c r="A1155" s="6" t="n">
        <f aca="false">IFERROR(__xludf.dummyfunction("""COMPUTED_VALUE"""),45876.6666666667)</f>
        <v>45876.6666666667</v>
      </c>
      <c r="B1155" s="5" t="n">
        <f aca="false">IFERROR(__xludf.dummyfunction("""COMPUTED_VALUE"""),244.47)</f>
        <v>244.47</v>
      </c>
      <c r="C1155" s="5" t="n">
        <f aca="false">IFERROR(__xludf.dummyfunction("""COMPUTED_VALUE"""),247.84)</f>
        <v>247.84</v>
      </c>
      <c r="D1155" s="5" t="n">
        <f aca="false">IFERROR(__xludf.dummyfunction("""COMPUTED_VALUE"""),240.8)</f>
        <v>240.8</v>
      </c>
      <c r="E1155" s="5" t="n">
        <f aca="false">IFERROR(__xludf.dummyfunction("""COMPUTED_VALUE"""),242.62)</f>
        <v>242.62</v>
      </c>
      <c r="F1155" s="5" t="n">
        <f aca="false">IFERROR(__xludf.dummyfunction("""COMPUTED_VALUE"""),17691005)</f>
        <v>17691005</v>
      </c>
    </row>
    <row r="1156" customFormat="false" ht="15.75" hidden="false" customHeight="false" outlineLevel="0" collapsed="false">
      <c r="A1156" s="6" t="n">
        <f aca="false">IFERROR(__xludf.dummyfunction("""COMPUTED_VALUE"""),45877.6666666667)</f>
        <v>45877.6666666667</v>
      </c>
      <c r="B1156" s="5" t="n">
        <f aca="false">IFERROR(__xludf.dummyfunction("""COMPUTED_VALUE"""),243.16)</f>
        <v>243.16</v>
      </c>
      <c r="C1156" s="5" t="n">
        <f aca="false">IFERROR(__xludf.dummyfunction("""COMPUTED_VALUE"""),243.16)</f>
        <v>243.16</v>
      </c>
      <c r="D1156" s="5" t="n">
        <f aca="false">IFERROR(__xludf.dummyfunction("""COMPUTED_VALUE"""),238.97)</f>
        <v>238.97</v>
      </c>
      <c r="E1156" s="5" t="n">
        <f aca="false">IFERROR(__xludf.dummyfunction("""COMPUTED_VALUE"""),241.83)</f>
        <v>241.83</v>
      </c>
      <c r="F1156" s="5" t="n">
        <f aca="false">IFERROR(__xludf.dummyfunction("""COMPUTED_VALUE"""),10552538)</f>
        <v>10552538</v>
      </c>
    </row>
    <row r="1157" customFormat="false" ht="15.75" hidden="false" customHeight="false" outlineLevel="0" collapsed="false">
      <c r="A1157" s="6" t="n">
        <f aca="false">IFERROR(__xludf.dummyfunction("""COMPUTED_VALUE"""),45880.6666666667)</f>
        <v>45880.6666666667</v>
      </c>
      <c r="B1157" s="5" t="n">
        <f aca="false">IFERROR(__xludf.dummyfunction("""COMPUTED_VALUE"""),242.04)</f>
        <v>242.04</v>
      </c>
      <c r="C1157" s="5" t="n">
        <f aca="false">IFERROR(__xludf.dummyfunction("""COMPUTED_VALUE"""),245.35)</f>
        <v>245.35</v>
      </c>
      <c r="D1157" s="5" t="n">
        <f aca="false">IFERROR(__xludf.dummyfunction("""COMPUTED_VALUE"""),241.54)</f>
        <v>241.54</v>
      </c>
      <c r="E1157" s="5" t="n">
        <f aca="false">IFERROR(__xludf.dummyfunction("""COMPUTED_VALUE"""),242.09)</f>
        <v>242.09</v>
      </c>
      <c r="F1157" s="5" t="n">
        <f aca="false">IFERROR(__xludf.dummyfunction("""COMPUTED_VALUE"""),8272024)</f>
        <v>8272024</v>
      </c>
    </row>
    <row r="1158" customFormat="false" ht="15.75" hidden="false" customHeight="false" outlineLevel="0" collapsed="false">
      <c r="A1158" s="6" t="n">
        <f aca="false">IFERROR(__xludf.dummyfunction("""COMPUTED_VALUE"""),45881.6666666667)</f>
        <v>45881.6666666667</v>
      </c>
      <c r="B1158" s="5" t="n">
        <f aca="false">IFERROR(__xludf.dummyfunction("""COMPUTED_VALUE"""),243.72)</f>
        <v>243.72</v>
      </c>
      <c r="C1158" s="5" t="n">
        <f aca="false">IFERROR(__xludf.dummyfunction("""COMPUTED_VALUE"""),244.77)</f>
        <v>244.77</v>
      </c>
      <c r="D1158" s="5" t="n">
        <f aca="false">IFERROR(__xludf.dummyfunction("""COMPUTED_VALUE"""),241.7)</f>
        <v>241.7</v>
      </c>
      <c r="E1158" s="5" t="n">
        <f aca="false">IFERROR(__xludf.dummyfunction("""COMPUTED_VALUE"""),244.29)</f>
        <v>244.29</v>
      </c>
      <c r="F1158" s="5" t="n">
        <f aca="false">IFERROR(__xludf.dummyfunction("""COMPUTED_VALUE"""),7301986)</f>
        <v>7301986</v>
      </c>
    </row>
    <row r="1159" customFormat="false" ht="15.75" hidden="false" customHeight="false" outlineLevel="0" collapsed="false">
      <c r="A1159" s="6" t="n">
        <f aca="false">IFERROR(__xludf.dummyfunction("""COMPUTED_VALUE"""),45882.6666666667)</f>
        <v>45882.6666666667</v>
      </c>
      <c r="B1159" s="5" t="n">
        <f aca="false">IFERROR(__xludf.dummyfunction("""COMPUTED_VALUE"""),246.43)</f>
        <v>246.43</v>
      </c>
      <c r="C1159" s="5" t="n">
        <f aca="false">IFERROR(__xludf.dummyfunction("""COMPUTED_VALUE"""),246.43)</f>
        <v>246.43</v>
      </c>
      <c r="D1159" s="5" t="n">
        <f aca="false">IFERROR(__xludf.dummyfunction("""COMPUTED_VALUE"""),239.94)</f>
        <v>239.94</v>
      </c>
      <c r="E1159" s="5" t="n">
        <f aca="false">IFERROR(__xludf.dummyfunction("""COMPUTED_VALUE"""),241.44)</f>
        <v>241.44</v>
      </c>
      <c r="F1159" s="5" t="n">
        <f aca="false">IFERROR(__xludf.dummyfunction("""COMPUTED_VALUE"""),7971850)</f>
        <v>7971850</v>
      </c>
    </row>
    <row r="1160" customFormat="false" ht="15.75" hidden="false" customHeight="false" outlineLevel="0" collapsed="false">
      <c r="A1160" s="6" t="n">
        <f aca="false">IFERROR(__xludf.dummyfunction("""COMPUTED_VALUE"""),45883.6666666667)</f>
        <v>45883.6666666667</v>
      </c>
      <c r="B1160" s="5" t="n">
        <f aca="false">IFERROR(__xludf.dummyfunction("""COMPUTED_VALUE"""),237.97)</f>
        <v>237.97</v>
      </c>
      <c r="C1160" s="5" t="n">
        <f aca="false">IFERROR(__xludf.dummyfunction("""COMPUTED_VALUE"""),241.38)</f>
        <v>241.38</v>
      </c>
      <c r="D1160" s="5" t="n">
        <f aca="false">IFERROR(__xludf.dummyfunction("""COMPUTED_VALUE"""),236.82)</f>
        <v>236.82</v>
      </c>
      <c r="E1160" s="5" t="n">
        <f aca="false">IFERROR(__xludf.dummyfunction("""COMPUTED_VALUE"""),241)</f>
        <v>241</v>
      </c>
      <c r="F1160" s="5" t="n">
        <f aca="false">IFERROR(__xludf.dummyfunction("""COMPUTED_VALUE"""),11040536)</f>
        <v>11040536</v>
      </c>
    </row>
    <row r="1161" customFormat="false" ht="15.75" hidden="false" customHeight="false" outlineLevel="0" collapsed="false">
      <c r="A1161" s="6" t="n">
        <f aca="false">IFERROR(__xludf.dummyfunction("""COMPUTED_VALUE"""),45884.6666666667)</f>
        <v>45884.6666666667</v>
      </c>
      <c r="B1161" s="5" t="n">
        <f aca="false">IFERROR(__xludf.dummyfunction("""COMPUTED_VALUE"""),240.33)</f>
        <v>240.33</v>
      </c>
      <c r="C1161" s="5" t="n">
        <f aca="false">IFERROR(__xludf.dummyfunction("""COMPUTED_VALUE"""),240.8)</f>
        <v>240.8</v>
      </c>
      <c r="D1161" s="5" t="n">
        <f aca="false">IFERROR(__xludf.dummyfunction("""COMPUTED_VALUE"""),237.26)</f>
        <v>237.26</v>
      </c>
      <c r="E1161" s="5" t="n">
        <f aca="false">IFERROR(__xludf.dummyfunction("""COMPUTED_VALUE"""),238.88)</f>
        <v>238.88</v>
      </c>
      <c r="F1161" s="5" t="n">
        <f aca="false">IFERROR(__xludf.dummyfunction("""COMPUTED_VALUE"""),8155486)</f>
        <v>8155486</v>
      </c>
    </row>
    <row r="1162" customFormat="false" ht="15.75" hidden="false" customHeight="false" outlineLevel="0" collapsed="false">
      <c r="A1162" s="6" t="n">
        <f aca="false">IFERROR(__xludf.dummyfunction("""COMPUTED_VALUE"""),45887.6666666667)</f>
        <v>45887.6666666667</v>
      </c>
      <c r="B1162" s="5" t="n">
        <f aca="false">IFERROR(__xludf.dummyfunction("""COMPUTED_VALUE"""),239.99)</f>
        <v>239.99</v>
      </c>
      <c r="C1162" s="5" t="n">
        <f aca="false">IFERROR(__xludf.dummyfunction("""COMPUTED_VALUE"""),242.86)</f>
        <v>242.86</v>
      </c>
      <c r="D1162" s="5" t="n">
        <f aca="false">IFERROR(__xludf.dummyfunction("""COMPUTED_VALUE"""),239.99)</f>
        <v>239.99</v>
      </c>
      <c r="E1162" s="5" t="n">
        <f aca="false">IFERROR(__xludf.dummyfunction("""COMPUTED_VALUE"""),241.41)</f>
        <v>241.41</v>
      </c>
      <c r="F1162" s="5" t="n">
        <f aca="false">IFERROR(__xludf.dummyfunction("""COMPUTED_VALUE"""),6919779)</f>
        <v>6919779</v>
      </c>
    </row>
    <row r="1163" customFormat="false" ht="15.75" hidden="false" customHeight="false" outlineLevel="0" collapsed="false">
      <c r="A1163" s="6" t="n">
        <f aca="false">IFERROR(__xludf.dummyfunction("""COMPUTED_VALUE"""),45888.6666666667)</f>
        <v>45888.6666666667</v>
      </c>
      <c r="B1163" s="5" t="n">
        <f aca="false">IFERROR(__xludf.dummyfunction("""COMPUTED_VALUE"""),240.02)</f>
        <v>240.02</v>
      </c>
      <c r="C1163" s="5" t="n">
        <f aca="false">IFERROR(__xludf.dummyfunction("""COMPUTED_VALUE"""),240.17)</f>
        <v>240.17</v>
      </c>
      <c r="D1163" s="5" t="n">
        <f aca="false">IFERROR(__xludf.dummyfunction("""COMPUTED_VALUE"""),232.58)</f>
        <v>232.58</v>
      </c>
      <c r="E1163" s="5" t="n">
        <f aca="false">IFERROR(__xludf.dummyfunction("""COMPUTED_VALUE"""),232.7)</f>
        <v>232.7</v>
      </c>
      <c r="F1163" s="5" t="n">
        <f aca="false">IFERROR(__xludf.dummyfunction("""COMPUTED_VALUE"""),14594688)</f>
        <v>14594688</v>
      </c>
    </row>
    <row r="1164" customFormat="false" ht="15.75" hidden="false" customHeight="false" outlineLevel="0" collapsed="false">
      <c r="A1164" s="6" t="n">
        <f aca="false">IFERROR(__xludf.dummyfunction("""COMPUTED_VALUE"""),45889.6666666667)</f>
        <v>45889.6666666667</v>
      </c>
      <c r="B1164" s="5" t="n">
        <f aca="false">IFERROR(__xludf.dummyfunction("""COMPUTED_VALUE"""),228.14)</f>
        <v>228.14</v>
      </c>
      <c r="C1164" s="5" t="n">
        <f aca="false">IFERROR(__xludf.dummyfunction("""COMPUTED_VALUE"""),229.03)</f>
        <v>229.03</v>
      </c>
      <c r="D1164" s="5" t="n">
        <f aca="false">IFERROR(__xludf.dummyfunction("""COMPUTED_VALUE"""),223.7)</f>
        <v>223.7</v>
      </c>
      <c r="E1164" s="5" t="n">
        <f aca="false">IFERROR(__xludf.dummyfunction("""COMPUTED_VALUE"""),228.6)</f>
        <v>228.6</v>
      </c>
      <c r="F1164" s="5" t="n">
        <f aca="false">IFERROR(__xludf.dummyfunction("""COMPUTED_VALUE"""),17165201)</f>
        <v>17165201</v>
      </c>
    </row>
    <row r="1165" customFormat="false" ht="15.75" hidden="false" customHeight="false" outlineLevel="0" collapsed="false">
      <c r="A1165" s="6" t="n">
        <f aca="false">IFERROR(__xludf.dummyfunction("""COMPUTED_VALUE"""),45890.6666666667)</f>
        <v>45890.6666666667</v>
      </c>
      <c r="B1165" s="5" t="n">
        <f aca="false">IFERROR(__xludf.dummyfunction("""COMPUTED_VALUE"""),228.15)</f>
        <v>228.15</v>
      </c>
      <c r="C1165" s="5" t="n">
        <f aca="false">IFERROR(__xludf.dummyfunction("""COMPUTED_VALUE"""),230.33)</f>
        <v>230.33</v>
      </c>
      <c r="D1165" s="5" t="n">
        <f aca="false">IFERROR(__xludf.dummyfunction("""COMPUTED_VALUE"""),226.26)</f>
        <v>226.26</v>
      </c>
      <c r="E1165" s="5" t="n">
        <f aca="false">IFERROR(__xludf.dummyfunction("""COMPUTED_VALUE"""),227.33)</f>
        <v>227.33</v>
      </c>
      <c r="F1165" s="5" t="n">
        <f aca="false">IFERROR(__xludf.dummyfunction("""COMPUTED_VALUE"""),7449144)</f>
        <v>7449144</v>
      </c>
    </row>
    <row r="1166" customFormat="false" ht="15.75" hidden="false" customHeight="false" outlineLevel="0" collapsed="false">
      <c r="A1166" s="6" t="n">
        <f aca="false">IFERROR(__xludf.dummyfunction("""COMPUTED_VALUE"""),45891.6666666667)</f>
        <v>45891.6666666667</v>
      </c>
      <c r="B1166" s="5" t="n">
        <f aca="false">IFERROR(__xludf.dummyfunction("""COMPUTED_VALUE"""),228)</f>
        <v>228</v>
      </c>
      <c r="C1166" s="5" t="n">
        <f aca="false">IFERROR(__xludf.dummyfunction("""COMPUTED_VALUE"""),234.45)</f>
        <v>234.45</v>
      </c>
      <c r="D1166" s="5" t="n">
        <f aca="false">IFERROR(__xludf.dummyfunction("""COMPUTED_VALUE"""),226.17)</f>
        <v>226.17</v>
      </c>
      <c r="E1166" s="5" t="n">
        <f aca="false">IFERROR(__xludf.dummyfunction("""COMPUTED_VALUE"""),232.99)</f>
        <v>232.99</v>
      </c>
      <c r="F1166" s="5" t="n">
        <f aca="false">IFERROR(__xludf.dummyfunction("""COMPUTED_VALUE"""),10299467)</f>
        <v>10299467</v>
      </c>
    </row>
    <row r="1167" customFormat="false" ht="15.75" hidden="false" customHeight="false" outlineLevel="0" collapsed="false">
      <c r="A1167" s="6" t="n">
        <f aca="false">IFERROR(__xludf.dummyfunction("""COMPUTED_VALUE"""),45894.6666666667)</f>
        <v>45894.6666666667</v>
      </c>
      <c r="B1167" s="5" t="n">
        <f aca="false">IFERROR(__xludf.dummyfunction("""COMPUTED_VALUE"""),234.3)</f>
        <v>234.3</v>
      </c>
      <c r="C1167" s="5" t="n">
        <f aca="false">IFERROR(__xludf.dummyfunction("""COMPUTED_VALUE"""),237.28)</f>
        <v>237.28</v>
      </c>
      <c r="D1167" s="5" t="n">
        <f aca="false">IFERROR(__xludf.dummyfunction("""COMPUTED_VALUE"""),232.25)</f>
        <v>232.25</v>
      </c>
      <c r="E1167" s="5" t="n">
        <f aca="false">IFERROR(__xludf.dummyfunction("""COMPUTED_VALUE"""),235.59)</f>
        <v>235.59</v>
      </c>
      <c r="F1167" s="5" t="n">
        <f aca="false">IFERROR(__xludf.dummyfunction("""COMPUTED_VALUE"""),7654954)</f>
        <v>7654954</v>
      </c>
    </row>
    <row r="1168" customFormat="false" ht="15.75" hidden="false" customHeight="false" outlineLevel="0" collapsed="false">
      <c r="A1168" s="6" t="n">
        <f aca="false">IFERROR(__xludf.dummyfunction("""COMPUTED_VALUE"""),45895.6666666667)</f>
        <v>45895.6666666667</v>
      </c>
      <c r="B1168" s="5" t="n">
        <f aca="false">IFERROR(__xludf.dummyfunction("""COMPUTED_VALUE"""),236.37)</f>
        <v>236.37</v>
      </c>
      <c r="C1168" s="5" t="n">
        <f aca="false">IFERROR(__xludf.dummyfunction("""COMPUTED_VALUE"""),238.83)</f>
        <v>238.83</v>
      </c>
      <c r="D1168" s="5" t="n">
        <f aca="false">IFERROR(__xludf.dummyfunction("""COMPUTED_VALUE"""),235.73)</f>
        <v>235.73</v>
      </c>
      <c r="E1168" s="5" t="n">
        <f aca="false">IFERROR(__xludf.dummyfunction("""COMPUTED_VALUE"""),238.72)</f>
        <v>238.72</v>
      </c>
      <c r="F1168" s="5" t="n">
        <f aca="false">IFERROR(__xludf.dummyfunction("""COMPUTED_VALUE"""),9793068)</f>
        <v>9793068</v>
      </c>
    </row>
    <row r="1169" customFormat="false" ht="15.75" hidden="false" customHeight="false" outlineLevel="0" collapsed="false">
      <c r="A1169" s="6" t="n">
        <f aca="false">IFERROR(__xludf.dummyfunction("""COMPUTED_VALUE"""),45896.6666666667)</f>
        <v>45896.6666666667</v>
      </c>
      <c r="B1169" s="5" t="n">
        <f aca="false">IFERROR(__xludf.dummyfunction("""COMPUTED_VALUE"""),236.87)</f>
        <v>236.87</v>
      </c>
      <c r="C1169" s="5" t="n">
        <f aca="false">IFERROR(__xludf.dummyfunction("""COMPUTED_VALUE"""),239.4)</f>
        <v>239.4</v>
      </c>
      <c r="D1169" s="5" t="n">
        <f aca="false">IFERROR(__xludf.dummyfunction("""COMPUTED_VALUE"""),235.44)</f>
        <v>235.44</v>
      </c>
      <c r="E1169" s="5" t="n">
        <f aca="false">IFERROR(__xludf.dummyfunction("""COMPUTED_VALUE"""),239.29)</f>
        <v>239.29</v>
      </c>
      <c r="F1169" s="5" t="n">
        <f aca="false">IFERROR(__xludf.dummyfunction("""COMPUTED_VALUE"""),9516362)</f>
        <v>9516362</v>
      </c>
    </row>
    <row r="1170" customFormat="false" ht="15.75" hidden="false" customHeight="false" outlineLevel="0" collapsed="false">
      <c r="A1170" s="6" t="n">
        <f aca="false">IFERROR(__xludf.dummyfunction("""COMPUTED_VALUE"""),45897.6666666667)</f>
        <v>45897.6666666667</v>
      </c>
      <c r="B1170" s="5" t="n">
        <f aca="false">IFERROR(__xludf.dummyfunction("""COMPUTED_VALUE"""),236.3)</f>
        <v>236.3</v>
      </c>
      <c r="C1170" s="5" t="n">
        <f aca="false">IFERROR(__xludf.dummyfunction("""COMPUTED_VALUE"""),240.66)</f>
        <v>240.66</v>
      </c>
      <c r="D1170" s="5" t="n">
        <f aca="false">IFERROR(__xludf.dummyfunction("""COMPUTED_VALUE"""),236)</f>
        <v>236</v>
      </c>
      <c r="E1170" s="5" t="n">
        <f aca="false">IFERROR(__xludf.dummyfunction("""COMPUTED_VALUE"""),238.27)</f>
        <v>238.27</v>
      </c>
      <c r="F1170" s="5" t="n">
        <f aca="false">IFERROR(__xludf.dummyfunction("""COMPUTED_VALUE"""),8466216)</f>
        <v>8466216</v>
      </c>
    </row>
    <row r="1171" customFormat="false" ht="15.75" hidden="false" customHeight="false" outlineLevel="0" collapsed="false">
      <c r="A1171" s="6" t="n">
        <f aca="false">IFERROR(__xludf.dummyfunction("""COMPUTED_VALUE"""),45898.6666666667)</f>
        <v>45898.6666666667</v>
      </c>
      <c r="B1171" s="5" t="n">
        <f aca="false">IFERROR(__xludf.dummyfunction("""COMPUTED_VALUE"""),235.84)</f>
        <v>235.84</v>
      </c>
      <c r="C1171" s="5" t="n">
        <f aca="false">IFERROR(__xludf.dummyfunction("""COMPUTED_VALUE"""),235.95)</f>
        <v>235.95</v>
      </c>
      <c r="D1171" s="5" t="n">
        <f aca="false">IFERROR(__xludf.dummyfunction("""COMPUTED_VALUE"""),230.58)</f>
        <v>230.58</v>
      </c>
      <c r="E1171" s="5" t="n">
        <f aca="false">IFERROR(__xludf.dummyfunction("""COMPUTED_VALUE"""),230.87)</f>
        <v>230.87</v>
      </c>
      <c r="F1171" s="5" t="n">
        <f aca="false">IFERROR(__xludf.dummyfunction("""COMPUTED_VALUE"""),15526018)</f>
        <v>15526018</v>
      </c>
    </row>
    <row r="1172" customFormat="false" ht="15.75" hidden="false" customHeight="false" outlineLevel="0" collapsed="false">
      <c r="A1172" s="6" t="n">
        <f aca="false">IFERROR(__xludf.dummyfunction("""COMPUTED_VALUE"""),45902.6666666667)</f>
        <v>45902.6666666667</v>
      </c>
      <c r="B1172" s="5" t="n">
        <f aca="false">IFERROR(__xludf.dummyfunction("""COMPUTED_VALUE"""),226.15)</f>
        <v>226.15</v>
      </c>
      <c r="C1172" s="5" t="n">
        <f aca="false">IFERROR(__xludf.dummyfunction("""COMPUTED_VALUE"""),229.34)</f>
        <v>229.34</v>
      </c>
      <c r="D1172" s="5" t="n">
        <f aca="false">IFERROR(__xludf.dummyfunction("""COMPUTED_VALUE"""),225.63)</f>
        <v>225.63</v>
      </c>
      <c r="E1172" s="5" t="n">
        <f aca="false">IFERROR(__xludf.dummyfunction("""COMPUTED_VALUE"""),228.39)</f>
        <v>228.39</v>
      </c>
      <c r="F1172" s="5" t="n">
        <f aca="false">IFERROR(__xludf.dummyfunction("""COMPUTED_VALUE"""),13974904)</f>
        <v>13974904</v>
      </c>
    </row>
    <row r="1173" customFormat="false" ht="15.75" hidden="false" customHeight="false" outlineLevel="0" collapsed="false">
      <c r="A1173" s="6" t="n">
        <f aca="false">IFERROR(__xludf.dummyfunction("""COMPUTED_VALUE"""),45903.6666666667)</f>
        <v>45903.6666666667</v>
      </c>
      <c r="B1173" s="5" t="n">
        <f aca="false">IFERROR(__xludf.dummyfunction("""COMPUTED_VALUE"""),231.52)</f>
        <v>231.52</v>
      </c>
      <c r="C1173" s="5" t="n">
        <f aca="false">IFERROR(__xludf.dummyfunction("""COMPUTED_VALUE"""),232.45)</f>
        <v>232.45</v>
      </c>
      <c r="D1173" s="5" t="n">
        <f aca="false">IFERROR(__xludf.dummyfunction("""COMPUTED_VALUE"""),228.6)</f>
        <v>228.6</v>
      </c>
      <c r="E1173" s="5" t="n">
        <f aca="false">IFERROR(__xludf.dummyfunction("""COMPUTED_VALUE"""),231.39)</f>
        <v>231.39</v>
      </c>
      <c r="F1173" s="5" t="n">
        <f aca="false">IFERROR(__xludf.dummyfunction("""COMPUTED_VALUE"""),7198492)</f>
        <v>7198492</v>
      </c>
    </row>
    <row r="1174" customFormat="false" ht="15.75" hidden="false" customHeight="false" outlineLevel="0" collapsed="false">
      <c r="A1174" s="6" t="n">
        <f aca="false">IFERROR(__xludf.dummyfunction("""COMPUTED_VALUE"""),45904.6666666667)</f>
        <v>45904.6666666667</v>
      </c>
      <c r="B1174" s="5" t="n">
        <f aca="false">IFERROR(__xludf.dummyfunction("""COMPUTED_VALUE"""),231.35)</f>
        <v>231.35</v>
      </c>
      <c r="C1174" s="5" t="n">
        <f aca="false">IFERROR(__xludf.dummyfunction("""COMPUTED_VALUE"""),235.31)</f>
        <v>235.31</v>
      </c>
      <c r="D1174" s="5" t="n">
        <f aca="false">IFERROR(__xludf.dummyfunction("""COMPUTED_VALUE"""),230.3)</f>
        <v>230.3</v>
      </c>
      <c r="E1174" s="5" t="n">
        <f aca="false">IFERROR(__xludf.dummyfunction("""COMPUTED_VALUE"""),235.21)</f>
        <v>235.21</v>
      </c>
      <c r="F1174" s="5" t="n">
        <f aca="false">IFERROR(__xludf.dummyfunction("""COMPUTED_VALUE"""),6241940)</f>
        <v>6241940</v>
      </c>
    </row>
    <row r="1175" customFormat="false" ht="15.75" hidden="false" customHeight="false" outlineLevel="0" collapsed="false">
      <c r="A1175" s="6" t="n">
        <f aca="false">IFERROR(__xludf.dummyfunction("""COMPUTED_VALUE"""),45905.6666666667)</f>
        <v>45905.6666666667</v>
      </c>
      <c r="B1175" s="5" t="n">
        <f aca="false">IFERROR(__xludf.dummyfunction("""COMPUTED_VALUE"""),240.24)</f>
        <v>240.24</v>
      </c>
      <c r="C1175" s="5" t="n">
        <f aca="false">IFERROR(__xludf.dummyfunction("""COMPUTED_VALUE"""),244.55)</f>
        <v>244.55</v>
      </c>
      <c r="D1175" s="5" t="n">
        <f aca="false">IFERROR(__xludf.dummyfunction("""COMPUTED_VALUE"""),237.9)</f>
        <v>237.9</v>
      </c>
      <c r="E1175" s="5" t="n">
        <f aca="false">IFERROR(__xludf.dummyfunction("""COMPUTED_VALUE"""),243.41)</f>
        <v>243.41</v>
      </c>
      <c r="F1175" s="5" t="n">
        <f aca="false">IFERROR(__xludf.dummyfunction("""COMPUTED_VALUE"""),14056566)</f>
        <v>14056566</v>
      </c>
    </row>
    <row r="1176" customFormat="false" ht="15.75" hidden="false" customHeight="false" outlineLevel="0" collapsed="false">
      <c r="A1176" s="6" t="n">
        <f aca="false">IFERROR(__xludf.dummyfunction("""COMPUTED_VALUE"""),45908.6666666667)</f>
        <v>45908.6666666667</v>
      </c>
      <c r="B1176" s="5" t="n">
        <f aca="false">IFERROR(__xludf.dummyfunction("""COMPUTED_VALUE"""),241.99)</f>
        <v>241.99</v>
      </c>
      <c r="C1176" s="5" t="n">
        <f aca="false">IFERROR(__xludf.dummyfunction("""COMPUTED_VALUE"""),247.88)</f>
        <v>247.88</v>
      </c>
      <c r="D1176" s="5" t="n">
        <f aca="false">IFERROR(__xludf.dummyfunction("""COMPUTED_VALUE"""),241.62)</f>
        <v>241.62</v>
      </c>
      <c r="E1176" s="5" t="n">
        <f aca="false">IFERROR(__xludf.dummyfunction("""COMPUTED_VALUE"""),247.19)</f>
        <v>247.19</v>
      </c>
      <c r="F1176" s="5" t="n">
        <f aca="false">IFERROR(__xludf.dummyfunction("""COMPUTED_VALUE"""),12986596)</f>
        <v>12986596</v>
      </c>
    </row>
    <row r="1177" customFormat="false" ht="15.75" hidden="false" customHeight="false" outlineLevel="0" collapsed="false">
      <c r="A1177" s="6" t="n">
        <f aca="false">IFERROR(__xludf.dummyfunction("""COMPUTED_VALUE"""),45909.6666666667)</f>
        <v>45909.6666666667</v>
      </c>
      <c r="B1177" s="5" t="n">
        <f aca="false">IFERROR(__xludf.dummyfunction("""COMPUTED_VALUE"""),246.93)</f>
        <v>246.93</v>
      </c>
      <c r="C1177" s="5" t="n">
        <f aca="false">IFERROR(__xludf.dummyfunction("""COMPUTED_VALUE"""),254.73)</f>
        <v>254.73</v>
      </c>
      <c r="D1177" s="5" t="n">
        <f aca="false">IFERROR(__xludf.dummyfunction("""COMPUTED_VALUE"""),246.93)</f>
        <v>246.93</v>
      </c>
      <c r="E1177" s="5" t="n">
        <f aca="false">IFERROR(__xludf.dummyfunction("""COMPUTED_VALUE"""),250.92)</f>
        <v>250.92</v>
      </c>
      <c r="F1177" s="5" t="n">
        <f aca="false">IFERROR(__xludf.dummyfunction("""COMPUTED_VALUE"""),13443419)</f>
        <v>13443419</v>
      </c>
    </row>
    <row r="1178" customFormat="false" ht="15.75" hidden="false" customHeight="false" outlineLevel="0" collapsed="false">
      <c r="A1178" s="6" t="n">
        <f aca="false">IFERROR(__xludf.dummyfunction("""COMPUTED_VALUE"""),45910.6666666667)</f>
        <v>45910.6666666667</v>
      </c>
      <c r="B1178" s="5" t="n">
        <f aca="false">IFERROR(__xludf.dummyfunction("""COMPUTED_VALUE"""),258.87)</f>
        <v>258.87</v>
      </c>
      <c r="C1178" s="5" t="n">
        <f aca="false">IFERROR(__xludf.dummyfunction("""COMPUTED_VALUE"""),264.58)</f>
        <v>264.58</v>
      </c>
      <c r="D1178" s="5" t="n">
        <f aca="false">IFERROR(__xludf.dummyfunction("""COMPUTED_VALUE"""),257.75)</f>
        <v>257.75</v>
      </c>
      <c r="E1178" s="5" t="n">
        <f aca="false">IFERROR(__xludf.dummyfunction("""COMPUTED_VALUE"""),260.44)</f>
        <v>260.44</v>
      </c>
      <c r="F1178" s="5" t="n">
        <f aca="false">IFERROR(__xludf.dummyfunction("""COMPUTED_VALUE"""),18822431)</f>
        <v>18822431</v>
      </c>
    </row>
    <row r="1179" customFormat="false" ht="15.75" hidden="false" customHeight="false" outlineLevel="0" collapsed="false">
      <c r="A1179" s="6" t="n">
        <f aca="false">IFERROR(__xludf.dummyfunction("""COMPUTED_VALUE"""),45911.6666666667)</f>
        <v>45911.6666666667</v>
      </c>
      <c r="B1179" s="5" t="n">
        <f aca="false">IFERROR(__xludf.dummyfunction("""COMPUTED_VALUE"""),260.35)</f>
        <v>260.35</v>
      </c>
      <c r="C1179" s="5" t="n">
        <f aca="false">IFERROR(__xludf.dummyfunction("""COMPUTED_VALUE"""),261.64)</f>
        <v>261.64</v>
      </c>
      <c r="D1179" s="5" t="n">
        <f aca="false">IFERROR(__xludf.dummyfunction("""COMPUTED_VALUE"""),258.23)</f>
        <v>258.23</v>
      </c>
      <c r="E1179" s="5" t="n">
        <f aca="false">IFERROR(__xludf.dummyfunction("""COMPUTED_VALUE"""),258.91)</f>
        <v>258.91</v>
      </c>
      <c r="F1179" s="5" t="n">
        <f aca="false">IFERROR(__xludf.dummyfunction("""COMPUTED_VALUE"""),10004967)</f>
        <v>10004967</v>
      </c>
    </row>
    <row r="1180" customFormat="false" ht="15.75" hidden="false" customHeight="false" outlineLevel="0" collapsed="false">
      <c r="A1180" s="6" t="n">
        <f aca="false">IFERROR(__xludf.dummyfunction("""COMPUTED_VALUE"""),45912.6666666667)</f>
        <v>45912.6666666667</v>
      </c>
      <c r="B1180" s="5" t="n">
        <f aca="false">IFERROR(__xludf.dummyfunction("""COMPUTED_VALUE"""),260.85)</f>
        <v>260.85</v>
      </c>
      <c r="C1180" s="5" t="n">
        <f aca="false">IFERROR(__xludf.dummyfunction("""COMPUTED_VALUE"""),260.95)</f>
        <v>260.95</v>
      </c>
      <c r="D1180" s="5" t="n">
        <f aca="false">IFERROR(__xludf.dummyfunction("""COMPUTED_VALUE"""),258.38)</f>
        <v>258.38</v>
      </c>
      <c r="E1180" s="5" t="n">
        <f aca="false">IFERROR(__xludf.dummyfunction("""COMPUTED_VALUE"""),259.33)</f>
        <v>259.33</v>
      </c>
      <c r="F1180" s="5" t="n">
        <f aca="false">IFERROR(__xludf.dummyfunction("""COMPUTED_VALUE"""),8496585)</f>
        <v>8496585</v>
      </c>
    </row>
    <row r="1181" customFormat="false" ht="15.75" hidden="false" customHeight="false" outlineLevel="0" collapsed="false">
      <c r="A1181" s="6" t="n">
        <f aca="false">IFERROR(__xludf.dummyfunction("""COMPUTED_VALUE"""),45915.6666666667)</f>
        <v>45915.6666666667</v>
      </c>
      <c r="B1181" s="5" t="n">
        <f aca="false">IFERROR(__xludf.dummyfunction("""COMPUTED_VALUE"""),260)</f>
        <v>260</v>
      </c>
      <c r="C1181" s="5" t="n">
        <f aca="false">IFERROR(__xludf.dummyfunction("""COMPUTED_VALUE"""),262.8)</f>
        <v>262.8</v>
      </c>
      <c r="D1181" s="5" t="n">
        <f aca="false">IFERROR(__xludf.dummyfunction("""COMPUTED_VALUE"""),258.75)</f>
        <v>258.75</v>
      </c>
      <c r="E1181" s="5" t="n">
        <f aca="false">IFERROR(__xludf.dummyfunction("""COMPUTED_VALUE"""),261.38)</f>
        <v>261.38</v>
      </c>
      <c r="F1181" s="5" t="n">
        <f aca="false">IFERROR(__xludf.dummyfunction("""COMPUTED_VALUE"""),8147738)</f>
        <v>8147738</v>
      </c>
    </row>
    <row r="1182" customFormat="false" ht="15.75" hidden="false" customHeight="false" outlineLevel="0" collapsed="false">
      <c r="A1182" s="6" t="n">
        <f aca="false">IFERROR(__xludf.dummyfunction("""COMPUTED_VALUE"""),45916.6666666667)</f>
        <v>45916.6666666667</v>
      </c>
      <c r="B1182" s="5" t="n">
        <f aca="false">IFERROR(__xludf.dummyfunction("""COMPUTED_VALUE"""),265.92)</f>
        <v>265.92</v>
      </c>
      <c r="C1182" s="5" t="n">
        <f aca="false">IFERROR(__xludf.dummyfunction("""COMPUTED_VALUE"""),266.44)</f>
        <v>266.44</v>
      </c>
      <c r="D1182" s="5" t="n">
        <f aca="false">IFERROR(__xludf.dummyfunction("""COMPUTED_VALUE"""),260.61)</f>
        <v>260.61</v>
      </c>
      <c r="E1182" s="5" t="n">
        <f aca="false">IFERROR(__xludf.dummyfunction("""COMPUTED_VALUE"""),262.06)</f>
        <v>262.06</v>
      </c>
      <c r="F1182" s="5" t="n">
        <f aca="false">IFERROR(__xludf.dummyfunction("""COMPUTED_VALUE"""),10381854)</f>
        <v>10381854</v>
      </c>
    </row>
    <row r="1183" customFormat="false" ht="15.75" hidden="false" customHeight="false" outlineLevel="0" collapsed="false">
      <c r="A1183" s="6" t="n">
        <f aca="false">IFERROR(__xludf.dummyfunction("""COMPUTED_VALUE"""),45917.6666666667)</f>
        <v>45917.6666666667</v>
      </c>
      <c r="B1183" s="5" t="n">
        <f aca="false">IFERROR(__xludf.dummyfunction("""COMPUTED_VALUE"""),264.34)</f>
        <v>264.34</v>
      </c>
      <c r="C1183" s="5" t="n">
        <f aca="false">IFERROR(__xludf.dummyfunction("""COMPUTED_VALUE"""),264.81)</f>
        <v>264.81</v>
      </c>
      <c r="D1183" s="5" t="n">
        <f aca="false">IFERROR(__xludf.dummyfunction("""COMPUTED_VALUE"""),259.73)</f>
        <v>259.73</v>
      </c>
      <c r="E1183" s="5" t="n">
        <f aca="false">IFERROR(__xludf.dummyfunction("""COMPUTED_VALUE"""),262.79)</f>
        <v>262.79</v>
      </c>
      <c r="F1183" s="5" t="n">
        <f aca="false">IFERROR(__xludf.dummyfunction("""COMPUTED_VALUE"""),10422030)</f>
        <v>10422030</v>
      </c>
    </row>
    <row r="1184" customFormat="false" ht="15.75" hidden="false" customHeight="false" outlineLevel="0" collapsed="false">
      <c r="A1184" s="6" t="n">
        <f aca="false">IFERROR(__xludf.dummyfunction("""COMPUTED_VALUE"""),45918.6666666667)</f>
        <v>45918.6666666667</v>
      </c>
      <c r="B1184" s="5" t="n">
        <f aca="false">IFERROR(__xludf.dummyfunction("""COMPUTED_VALUE"""),258)</f>
        <v>258</v>
      </c>
      <c r="C1184" s="5" t="n">
        <f aca="false">IFERROR(__xludf.dummyfunction("""COMPUTED_VALUE"""),270.54)</f>
        <v>270.54</v>
      </c>
      <c r="D1184" s="5" t="n">
        <f aca="false">IFERROR(__xludf.dummyfunction("""COMPUTED_VALUE"""),257.98)</f>
        <v>257.98</v>
      </c>
      <c r="E1184" s="5" t="n">
        <f aca="false">IFERROR(__xludf.dummyfunction("""COMPUTED_VALUE"""),268.64)</f>
        <v>268.64</v>
      </c>
      <c r="F1184" s="5" t="n">
        <f aca="false">IFERROR(__xludf.dummyfunction("""COMPUTED_VALUE"""),16917295)</f>
        <v>16917295</v>
      </c>
    </row>
    <row r="1185" customFormat="false" ht="15.75" hidden="false" customHeight="false" outlineLevel="0" collapsed="false">
      <c r="A1185" s="6" t="n">
        <f aca="false">IFERROR(__xludf.dummyfunction("""COMPUTED_VALUE"""),45919.6666666667)</f>
        <v>45919.6666666667</v>
      </c>
      <c r="B1185" s="5" t="n">
        <f aca="false">IFERROR(__xludf.dummyfunction("""COMPUTED_VALUE"""),266.37)</f>
        <v>266.37</v>
      </c>
      <c r="C1185" s="5" t="n">
        <f aca="false">IFERROR(__xludf.dummyfunction("""COMPUTED_VALUE"""),266.57)</f>
        <v>266.57</v>
      </c>
      <c r="D1185" s="5" t="n">
        <f aca="false">IFERROR(__xludf.dummyfunction("""COMPUTED_VALUE"""),262.81)</f>
        <v>262.81</v>
      </c>
      <c r="E1185" s="5" t="n">
        <f aca="false">IFERROR(__xludf.dummyfunction("""COMPUTED_VALUE"""),264.87)</f>
        <v>264.87</v>
      </c>
      <c r="F1185" s="5" t="n">
        <f aca="false">IFERROR(__xludf.dummyfunction("""COMPUTED_VALUE"""),17640249)</f>
        <v>17640249</v>
      </c>
    </row>
    <row r="1186" customFormat="false" ht="15.75" hidden="false" customHeight="false" outlineLevel="0" collapsed="false">
      <c r="A1186" s="6" t="n">
        <f aca="false">IFERROR(__xludf.dummyfunction("""COMPUTED_VALUE"""),45922.6666666667)</f>
        <v>45922.6666666667</v>
      </c>
      <c r="B1186" s="5" t="n">
        <f aca="false">IFERROR(__xludf.dummyfunction("""COMPUTED_VALUE"""),266.54)</f>
        <v>266.54</v>
      </c>
      <c r="C1186" s="5" t="n">
        <f aca="false">IFERROR(__xludf.dummyfunction("""COMPUTED_VALUE"""),276.36)</f>
        <v>276.36</v>
      </c>
      <c r="D1186" s="5" t="n">
        <f aca="false">IFERROR(__xludf.dummyfunction("""COMPUTED_VALUE"""),265.45)</f>
        <v>265.45</v>
      </c>
      <c r="E1186" s="5" t="n">
        <f aca="false">IFERROR(__xludf.dummyfunction("""COMPUTED_VALUE"""),272.63)</f>
        <v>272.63</v>
      </c>
      <c r="F1186" s="5" t="n">
        <f aca="false">IFERROR(__xludf.dummyfunction("""COMPUTED_VALUE"""),15630292)</f>
        <v>15630292</v>
      </c>
    </row>
    <row r="1187" customFormat="false" ht="15.75" hidden="false" customHeight="false" outlineLevel="0" collapsed="false">
      <c r="A1187" s="6" t="n">
        <f aca="false">IFERROR(__xludf.dummyfunction("""COMPUTED_VALUE"""),45923.6666666667)</f>
        <v>45923.6666666667</v>
      </c>
      <c r="B1187" s="5" t="n">
        <f aca="false">IFERROR(__xludf.dummyfunction("""COMPUTED_VALUE"""),282.4)</f>
        <v>282.4</v>
      </c>
      <c r="C1187" s="5" t="n">
        <f aca="false">IFERROR(__xludf.dummyfunction("""COMPUTED_VALUE"""),286)</f>
        <v>286</v>
      </c>
      <c r="D1187" s="5" t="n">
        <f aca="false">IFERROR(__xludf.dummyfunction("""COMPUTED_VALUE"""),280)</f>
        <v>280</v>
      </c>
      <c r="E1187" s="5" t="n">
        <f aca="false">IFERROR(__xludf.dummyfunction("""COMPUTED_VALUE"""),282.71)</f>
        <v>282.71</v>
      </c>
      <c r="F1187" s="5" t="n">
        <f aca="false">IFERROR(__xludf.dummyfunction("""COMPUTED_VALUE"""),17830324)</f>
        <v>17830324</v>
      </c>
    </row>
    <row r="1188" customFormat="false" ht="15.75" hidden="false" customHeight="false" outlineLevel="0" collapsed="false">
      <c r="A1188" s="6" t="n">
        <f aca="false">IFERROR(__xludf.dummyfunction("""COMPUTED_VALUE"""),45924.6666666667)</f>
        <v>45924.6666666667</v>
      </c>
      <c r="B1188" s="5" t="n">
        <f aca="false">IFERROR(__xludf.dummyfunction("""COMPUTED_VALUE"""),280.31)</f>
        <v>280.31</v>
      </c>
      <c r="C1188" s="5" t="n">
        <f aca="false">IFERROR(__xludf.dummyfunction("""COMPUTED_VALUE"""),281.21)</f>
        <v>281.21</v>
      </c>
      <c r="D1188" s="5" t="n">
        <f aca="false">IFERROR(__xludf.dummyfunction("""COMPUTED_VALUE"""),276.72)</f>
        <v>276.72</v>
      </c>
      <c r="E1188" s="5" t="n">
        <f aca="false">IFERROR(__xludf.dummyfunction("""COMPUTED_VALUE"""),280.71)</f>
        <v>280.71</v>
      </c>
      <c r="F1188" s="5" t="n">
        <f aca="false">IFERROR(__xludf.dummyfunction("""COMPUTED_VALUE"""),10230965)</f>
        <v>10230965</v>
      </c>
    </row>
    <row r="1189" customFormat="false" ht="15.75" hidden="false" customHeight="false" outlineLevel="0" collapsed="false">
      <c r="A1189" s="6" t="n">
        <f aca="false">IFERROR(__xludf.dummyfunction("""COMPUTED_VALUE"""),45925.6666666667)</f>
        <v>45925.6666666667</v>
      </c>
      <c r="B1189" s="5" t="n">
        <f aca="false">IFERROR(__xludf.dummyfunction("""COMPUTED_VALUE"""),273.12)</f>
        <v>273.12</v>
      </c>
      <c r="C1189" s="5" t="n">
        <f aca="false">IFERROR(__xludf.dummyfunction("""COMPUTED_VALUE"""),277.14)</f>
        <v>277.14</v>
      </c>
      <c r="D1189" s="5" t="n">
        <f aca="false">IFERROR(__xludf.dummyfunction("""COMPUTED_VALUE"""),270.19)</f>
        <v>270.19</v>
      </c>
      <c r="E1189" s="5" t="n">
        <f aca="false">IFERROR(__xludf.dummyfunction("""COMPUTED_VALUE"""),276.66)</f>
        <v>276.66</v>
      </c>
      <c r="F1189" s="5" t="n">
        <f aca="false">IFERROR(__xludf.dummyfunction("""COMPUTED_VALUE"""),11863397)</f>
        <v>11863397</v>
      </c>
    </row>
    <row r="1190" customFormat="false" ht="15.75" hidden="false" customHeight="false" outlineLevel="0" collapsed="false">
      <c r="A1190" s="6" t="n">
        <f aca="false">IFERROR(__xludf.dummyfunction("""COMPUTED_VALUE"""),45926.6666666667)</f>
        <v>45926.6666666667</v>
      </c>
      <c r="B1190" s="5" t="n">
        <f aca="false">IFERROR(__xludf.dummyfunction("""COMPUTED_VALUE"""),273.89)</f>
        <v>273.89</v>
      </c>
      <c r="C1190" s="5" t="n">
        <f aca="false">IFERROR(__xludf.dummyfunction("""COMPUTED_VALUE"""),275.5)</f>
        <v>275.5</v>
      </c>
      <c r="D1190" s="5" t="n">
        <f aca="false">IFERROR(__xludf.dummyfunction("""COMPUTED_VALUE"""),270.62)</f>
        <v>270.62</v>
      </c>
      <c r="E1190" s="5" t="n">
        <f aca="false">IFERROR(__xludf.dummyfunction("""COMPUTED_VALUE"""),273.36)</f>
        <v>273.36</v>
      </c>
      <c r="F1190" s="5" t="n">
        <f aca="false">IFERROR(__xludf.dummyfunction("""COMPUTED_VALUE"""),10451886)</f>
        <v>10451886</v>
      </c>
    </row>
    <row r="1191" customFormat="false" ht="15.75" hidden="false" customHeight="false" outlineLevel="0" collapsed="false">
      <c r="A1191" s="6" t="n">
        <f aca="false">IFERROR(__xludf.dummyfunction("""COMPUTED_VALUE"""),45929.6666666667)</f>
        <v>45929.6666666667</v>
      </c>
      <c r="B1191" s="5" t="n">
        <f aca="false">IFERROR(__xludf.dummyfunction("""COMPUTED_VALUE"""),276.49)</f>
        <v>276.49</v>
      </c>
      <c r="C1191" s="5" t="n">
        <f aca="false">IFERROR(__xludf.dummyfunction("""COMPUTED_VALUE"""),279.87)</f>
        <v>279.87</v>
      </c>
      <c r="D1191" s="5" t="n">
        <f aca="false">IFERROR(__xludf.dummyfunction("""COMPUTED_VALUE"""),273.23)</f>
        <v>273.23</v>
      </c>
      <c r="E1191" s="5" t="n">
        <f aca="false">IFERROR(__xludf.dummyfunction("""COMPUTED_VALUE"""),273.23)</f>
        <v>273.23</v>
      </c>
      <c r="F1191" s="5" t="n">
        <f aca="false">IFERROR(__xludf.dummyfunction("""COMPUTED_VALUE"""),8046187)</f>
        <v>8046187</v>
      </c>
    </row>
    <row r="1192" customFormat="false" ht="15.75" hidden="false" customHeight="false" outlineLevel="0" collapsed="false">
      <c r="A1192" s="6" t="n">
        <f aca="false">IFERROR(__xludf.dummyfunction("""COMPUTED_VALUE"""),45930.6666666667)</f>
        <v>45930.6666666667</v>
      </c>
      <c r="B1192" s="5" t="n">
        <f aca="false">IFERROR(__xludf.dummyfunction("""COMPUTED_VALUE"""),275.32)</f>
        <v>275.32</v>
      </c>
      <c r="C1192" s="5" t="n">
        <f aca="false">IFERROR(__xludf.dummyfunction("""COMPUTED_VALUE"""),279.49)</f>
        <v>279.49</v>
      </c>
      <c r="D1192" s="5" t="n">
        <f aca="false">IFERROR(__xludf.dummyfunction("""COMPUTED_VALUE"""),273.83)</f>
        <v>273.83</v>
      </c>
      <c r="E1192" s="5" t="n">
        <f aca="false">IFERROR(__xludf.dummyfunction("""COMPUTED_VALUE"""),279.29)</f>
        <v>279.29</v>
      </c>
      <c r="F1192" s="5" t="n">
        <f aca="false">IFERROR(__xludf.dummyfunction("""COMPUTED_VALUE"""),8348796)</f>
        <v>8348796</v>
      </c>
    </row>
    <row r="1193" customFormat="false" ht="15.75" hidden="false" customHeight="false" outlineLevel="0" collapsed="false">
      <c r="A1193" s="6" t="n">
        <f aca="false">IFERROR(__xludf.dummyfunction("""COMPUTED_VALUE"""),45931.6666666667)</f>
        <v>45931.6666666667</v>
      </c>
      <c r="B1193" s="5" t="n">
        <f aca="false">IFERROR(__xludf.dummyfunction("""COMPUTED_VALUE"""),278.44)</f>
        <v>278.44</v>
      </c>
      <c r="C1193" s="5" t="n">
        <f aca="false">IFERROR(__xludf.dummyfunction("""COMPUTED_VALUE"""),290.48)</f>
        <v>290.48</v>
      </c>
      <c r="D1193" s="5" t="n">
        <f aca="false">IFERROR(__xludf.dummyfunction("""COMPUTED_VALUE"""),277.17)</f>
        <v>277.17</v>
      </c>
      <c r="E1193" s="5" t="n">
        <f aca="false">IFERROR(__xludf.dummyfunction("""COMPUTED_VALUE"""),288.47)</f>
        <v>288.47</v>
      </c>
      <c r="F1193" s="5" t="n">
        <f aca="false">IFERROR(__xludf.dummyfunction("""COMPUTED_VALUE"""),14620139)</f>
        <v>14620139</v>
      </c>
    </row>
    <row r="1194" customFormat="false" ht="15.75" hidden="false" customHeight="false" outlineLevel="0" collapsed="false">
      <c r="A1194" s="6" t="n">
        <f aca="false">IFERROR(__xludf.dummyfunction("""COMPUTED_VALUE"""),45932.6666666667)</f>
        <v>45932.6666666667</v>
      </c>
      <c r="B1194" s="5" t="n">
        <f aca="false">IFERROR(__xludf.dummyfunction("""COMPUTED_VALUE"""),296.52)</f>
        <v>296.52</v>
      </c>
      <c r="C1194" s="5" t="n">
        <f aca="false">IFERROR(__xludf.dummyfunction("""COMPUTED_VALUE"""),296.72)</f>
        <v>296.72</v>
      </c>
      <c r="D1194" s="5" t="n">
        <f aca="false">IFERROR(__xludf.dummyfunction("""COMPUTED_VALUE"""),287.03)</f>
        <v>287.03</v>
      </c>
      <c r="E1194" s="5" t="n">
        <f aca="false">IFERROR(__xludf.dummyfunction("""COMPUTED_VALUE"""),288.11)</f>
        <v>288.11</v>
      </c>
      <c r="F1194" s="5" t="n">
        <f aca="false">IFERROR(__xludf.dummyfunction("""COMPUTED_VALUE"""),10197961)</f>
        <v>10197961</v>
      </c>
    </row>
    <row r="1195" customFormat="false" ht="15.75" hidden="false" customHeight="false" outlineLevel="0" collapsed="false">
      <c r="A1195" s="6" t="n">
        <f aca="false">IFERROR(__xludf.dummyfunction("""COMPUTED_VALUE"""),45933.6666666667)</f>
        <v>45933.6666666667</v>
      </c>
      <c r="B1195" s="5" t="n">
        <f aca="false">IFERROR(__xludf.dummyfunction("""COMPUTED_VALUE"""),292.86)</f>
        <v>292.86</v>
      </c>
      <c r="C1195" s="5" t="n">
        <f aca="false">IFERROR(__xludf.dummyfunction("""COMPUTED_VALUE"""),296.06)</f>
        <v>296.06</v>
      </c>
      <c r="D1195" s="5" t="n">
        <f aca="false">IFERROR(__xludf.dummyfunction("""COMPUTED_VALUE"""),290.49)</f>
        <v>290.49</v>
      </c>
      <c r="E1195" s="5" t="n">
        <f aca="false">IFERROR(__xludf.dummyfunction("""COMPUTED_VALUE"""),292.19)</f>
        <v>292.19</v>
      </c>
      <c r="F1195" s="5" t="n">
        <f aca="false">IFERROR(__xludf.dummyfunction("""COMPUTED_VALUE"""),10572491)</f>
        <v>10572491</v>
      </c>
    </row>
    <row r="1196" customFormat="false" ht="15.75" hidden="false" customHeight="false" outlineLevel="0" collapsed="false">
      <c r="A1196" s="6" t="n">
        <f aca="false">IFERROR(__xludf.dummyfunction("""COMPUTED_VALUE"""),45936.6666666667)</f>
        <v>45936.6666666667</v>
      </c>
      <c r="B1196" s="5" t="n">
        <f aca="false">IFERROR(__xludf.dummyfunction("""COMPUTED_VALUE"""),300.01)</f>
        <v>300.01</v>
      </c>
      <c r="C1196" s="5" t="n">
        <f aca="false">IFERROR(__xludf.dummyfunction("""COMPUTED_VALUE"""),307.3)</f>
        <v>307.3</v>
      </c>
      <c r="D1196" s="5" t="n">
        <f aca="false">IFERROR(__xludf.dummyfunction("""COMPUTED_VALUE"""),299.94)</f>
        <v>299.94</v>
      </c>
      <c r="E1196" s="5" t="n">
        <f aca="false">IFERROR(__xludf.dummyfunction("""COMPUTED_VALUE"""),302.4)</f>
        <v>302.4</v>
      </c>
      <c r="F1196" s="5" t="n">
        <f aca="false">IFERROR(__xludf.dummyfunction("""COMPUTED_VALUE"""),15785026)</f>
        <v>15785026</v>
      </c>
    </row>
    <row r="1197" customFormat="false" ht="15.75" hidden="false" customHeight="false" outlineLevel="0" collapsed="false">
      <c r="A1197" s="6" t="n">
        <f aca="false">IFERROR(__xludf.dummyfunction("""COMPUTED_VALUE"""),45937.6666666667)</f>
        <v>45937.6666666667</v>
      </c>
      <c r="B1197" s="5" t="n">
        <f aca="false">IFERROR(__xludf.dummyfunction("""COMPUTED_VALUE"""),306.62)</f>
        <v>306.62</v>
      </c>
      <c r="C1197" s="5" t="n">
        <f aca="false">IFERROR(__xludf.dummyfunction("""COMPUTED_VALUE"""),307.1)</f>
        <v>307.1</v>
      </c>
      <c r="D1197" s="5" t="n">
        <f aca="false">IFERROR(__xludf.dummyfunction("""COMPUTED_VALUE"""),293.28)</f>
        <v>293.28</v>
      </c>
      <c r="E1197" s="5" t="n">
        <f aca="false">IFERROR(__xludf.dummyfunction("""COMPUTED_VALUE"""),294.03)</f>
        <v>294.03</v>
      </c>
      <c r="F1197" s="5" t="n">
        <f aca="false">IFERROR(__xludf.dummyfunction("""COMPUTED_VALUE"""),13080969)</f>
        <v>13080969</v>
      </c>
    </row>
    <row r="1198" customFormat="false" ht="15.75" hidden="false" customHeight="false" outlineLevel="0" collapsed="false">
      <c r="A1198" s="6" t="n">
        <f aca="false">IFERROR(__xludf.dummyfunction("""COMPUTED_VALUE"""),45938.6666666667)</f>
        <v>45938.6666666667</v>
      </c>
      <c r="B1198" s="5" t="n">
        <f aca="false">IFERROR(__xludf.dummyfunction("""COMPUTED_VALUE"""),295)</f>
        <v>295</v>
      </c>
      <c r="C1198" s="5" t="n">
        <f aca="false">IFERROR(__xludf.dummyfunction("""COMPUTED_VALUE"""),306.4)</f>
        <v>306.4</v>
      </c>
      <c r="D1198" s="5" t="n">
        <f aca="false">IFERROR(__xludf.dummyfunction("""COMPUTED_VALUE"""),293.98)</f>
        <v>293.98</v>
      </c>
      <c r="E1198" s="5" t="n">
        <f aca="false">IFERROR(__xludf.dummyfunction("""COMPUTED_VALUE"""),304.52)</f>
        <v>304.52</v>
      </c>
      <c r="F1198" s="5" t="n">
        <f aca="false">IFERROR(__xludf.dummyfunction("""COMPUTED_VALUE"""),12821210)</f>
        <v>12821210</v>
      </c>
    </row>
    <row r="1199" customFormat="false" ht="15.75" hidden="false" customHeight="false" outlineLevel="0" collapsed="false">
      <c r="A1199" s="6" t="n">
        <f aca="false">IFERROR(__xludf.dummyfunction("""COMPUTED_VALUE"""),45939.6666666667)</f>
        <v>45939.6666666667</v>
      </c>
      <c r="B1199" s="5" t="n">
        <f aca="false">IFERROR(__xludf.dummyfunction("""COMPUTED_VALUE"""),302.31)</f>
        <v>302.31</v>
      </c>
      <c r="C1199" s="5" t="n">
        <f aca="false">IFERROR(__xludf.dummyfunction("""COMPUTED_VALUE"""),302.83)</f>
        <v>302.83</v>
      </c>
      <c r="D1199" s="5" t="n">
        <f aca="false">IFERROR(__xludf.dummyfunction("""COMPUTED_VALUE"""),297.42)</f>
        <v>297.42</v>
      </c>
      <c r="E1199" s="5" t="n">
        <f aca="false">IFERROR(__xludf.dummyfunction("""COMPUTED_VALUE"""),299.88)</f>
        <v>299.88</v>
      </c>
      <c r="F1199" s="5" t="n">
        <f aca="false">IFERROR(__xludf.dummyfunction("""COMPUTED_VALUE"""),10259887)</f>
        <v>10259887</v>
      </c>
    </row>
    <row r="1200" customFormat="false" ht="15.75" hidden="false" customHeight="false" outlineLevel="0" collapsed="false">
      <c r="A1200" s="6" t="n">
        <f aca="false">IFERROR(__xludf.dummyfunction("""COMPUTED_VALUE"""),45940.6666666667)</f>
        <v>45940.6666666667</v>
      </c>
      <c r="B1200" s="5" t="n">
        <f aca="false">IFERROR(__xludf.dummyfunction("""COMPUTED_VALUE"""),299.96)</f>
        <v>299.96</v>
      </c>
      <c r="C1200" s="5" t="n">
        <f aca="false">IFERROR(__xludf.dummyfunction("""COMPUTED_VALUE"""),300.2)</f>
        <v>300.2</v>
      </c>
      <c r="D1200" s="5" t="n">
        <f aca="false">IFERROR(__xludf.dummyfunction("""COMPUTED_VALUE"""),280.33)</f>
        <v>280.33</v>
      </c>
      <c r="E1200" s="5" t="n">
        <f aca="false">IFERROR(__xludf.dummyfunction("""COMPUTED_VALUE"""),280.66)</f>
        <v>280.66</v>
      </c>
      <c r="F1200" s="5" t="n">
        <f aca="false">IFERROR(__xludf.dummyfunction("""COMPUTED_VALUE"""),23398001)</f>
        <v>23398001</v>
      </c>
    </row>
    <row r="1201" customFormat="false" ht="15.75" hidden="false" customHeight="false" outlineLevel="0" collapsed="false">
      <c r="A1201" s="6" t="n">
        <f aca="false">IFERROR(__xludf.dummyfunction("""COMPUTED_VALUE"""),45943.6666666667)</f>
        <v>45943.6666666667</v>
      </c>
      <c r="B1201" s="5" t="n">
        <f aca="false">IFERROR(__xludf.dummyfunction("""COMPUTED_VALUE"""),298.24)</f>
        <v>298.24</v>
      </c>
      <c r="C1201" s="5" t="n">
        <f aca="false">IFERROR(__xludf.dummyfunction("""COMPUTED_VALUE"""),304.63)</f>
        <v>304.63</v>
      </c>
      <c r="D1201" s="5" t="n">
        <f aca="false">IFERROR(__xludf.dummyfunction("""COMPUTED_VALUE"""),292.32)</f>
        <v>292.32</v>
      </c>
      <c r="E1201" s="5" t="n">
        <f aca="false">IFERROR(__xludf.dummyfunction("""COMPUTED_VALUE"""),302.89)</f>
        <v>302.89</v>
      </c>
      <c r="F1201" s="5" t="n">
        <f aca="false">IFERROR(__xludf.dummyfunction("""COMPUTED_VALUE"""),20318268)</f>
        <v>20318268</v>
      </c>
    </row>
    <row r="1202" customFormat="false" ht="15.75" hidden="false" customHeight="false" outlineLevel="0" collapsed="false">
      <c r="A1202" s="6" t="n">
        <f aca="false">IFERROR(__xludf.dummyfunction("""COMPUTED_VALUE"""),45944.6666666667)</f>
        <v>45944.6666666667</v>
      </c>
      <c r="B1202" s="5" t="n">
        <f aca="false">IFERROR(__xludf.dummyfunction("""COMPUTED_VALUE"""),295.63)</f>
        <v>295.63</v>
      </c>
      <c r="C1202" s="5" t="n">
        <f aca="false">IFERROR(__xludf.dummyfunction("""COMPUTED_VALUE"""),301.75)</f>
        <v>301.75</v>
      </c>
      <c r="D1202" s="5" t="n">
        <f aca="false">IFERROR(__xludf.dummyfunction("""COMPUTED_VALUE"""),291.34)</f>
        <v>291.34</v>
      </c>
      <c r="E1202" s="5" t="n">
        <f aca="false">IFERROR(__xludf.dummyfunction("""COMPUTED_VALUE"""),295.94)</f>
        <v>295.94</v>
      </c>
      <c r="F1202" s="5" t="n">
        <f aca="false">IFERROR(__xludf.dummyfunction("""COMPUTED_VALUE"""),16567867)</f>
        <v>16567867</v>
      </c>
    </row>
    <row r="1203" customFormat="false" ht="15.75" hidden="false" customHeight="false" outlineLevel="0" collapsed="false">
      <c r="A1203" s="6" t="n">
        <f aca="false">IFERROR(__xludf.dummyfunction("""COMPUTED_VALUE"""),45945.6666666667)</f>
        <v>45945.6666666667</v>
      </c>
      <c r="B1203" s="5" t="n">
        <f aca="false">IFERROR(__xludf.dummyfunction("""COMPUTED_VALUE"""),306.29)</f>
        <v>306.29</v>
      </c>
      <c r="C1203" s="5" t="n">
        <f aca="false">IFERROR(__xludf.dummyfunction("""COMPUTED_VALUE"""),306.61)</f>
        <v>306.61</v>
      </c>
      <c r="D1203" s="5" t="n">
        <f aca="false">IFERROR(__xludf.dummyfunction("""COMPUTED_VALUE"""),300.07)</f>
        <v>300.07</v>
      </c>
      <c r="E1203" s="5" t="n">
        <f aca="false">IFERROR(__xludf.dummyfunction("""COMPUTED_VALUE"""),304.71)</f>
        <v>304.71</v>
      </c>
      <c r="F1203" s="5" t="n">
        <f aca="false">IFERROR(__xludf.dummyfunction("""COMPUTED_VALUE"""),20788021)</f>
        <v>20788021</v>
      </c>
    </row>
    <row r="1204" customFormat="false" ht="15.75" hidden="false" customHeight="false" outlineLevel="0" collapsed="false">
      <c r="A1204" s="6" t="n">
        <f aca="false">IFERROR(__xludf.dummyfunction("""COMPUTED_VALUE"""),45946.6666666667)</f>
        <v>45946.6666666667</v>
      </c>
      <c r="B1204" s="5" t="n">
        <f aca="false">IFERROR(__xludf.dummyfunction("""COMPUTED_VALUE"""),310.93)</f>
        <v>310.93</v>
      </c>
      <c r="C1204" s="5" t="n">
        <f aca="false">IFERROR(__xludf.dummyfunction("""COMPUTED_VALUE"""),311.37)</f>
        <v>311.37</v>
      </c>
      <c r="D1204" s="5" t="n">
        <f aca="false">IFERROR(__xludf.dummyfunction("""COMPUTED_VALUE"""),296.69)</f>
        <v>296.69</v>
      </c>
      <c r="E1204" s="5" t="n">
        <f aca="false">IFERROR(__xludf.dummyfunction("""COMPUTED_VALUE"""),299.84)</f>
        <v>299.84</v>
      </c>
      <c r="F1204" s="5" t="n">
        <f aca="false">IFERROR(__xludf.dummyfunction("""COMPUTED_VALUE"""),26341457)</f>
        <v>26341457</v>
      </c>
    </row>
    <row r="1205" customFormat="false" ht="15.75" hidden="false" customHeight="false" outlineLevel="0" collapsed="false">
      <c r="A1205" s="6" t="n">
        <f aca="false">IFERROR(__xludf.dummyfunction("""COMPUTED_VALUE"""),45947.6666666667)</f>
        <v>45947.6666666667</v>
      </c>
      <c r="B1205" s="5" t="n">
        <f aca="false">IFERROR(__xludf.dummyfunction("""COMPUTED_VALUE"""),298.4)</f>
        <v>298.4</v>
      </c>
      <c r="C1205" s="5" t="n">
        <f aca="false">IFERROR(__xludf.dummyfunction("""COMPUTED_VALUE"""),303.3)</f>
        <v>303.3</v>
      </c>
      <c r="D1205" s="5" t="n">
        <f aca="false">IFERROR(__xludf.dummyfunction("""COMPUTED_VALUE"""),294.92)</f>
        <v>294.92</v>
      </c>
      <c r="E1205" s="5" t="n">
        <f aca="false">IFERROR(__xludf.dummyfunction("""COMPUTED_VALUE"""),295.08)</f>
        <v>295.08</v>
      </c>
      <c r="F1205" s="5" t="n">
        <f aca="false">IFERROR(__xludf.dummyfunction("""COMPUTED_VALUE"""),17633323)</f>
        <v>17633323</v>
      </c>
    </row>
    <row r="1206" customFormat="false" ht="15.75" hidden="false" customHeight="false" outlineLevel="0" collapsed="false">
      <c r="A1206" s="6" t="n">
        <f aca="false">IFERROR(__xludf.dummyfunction("""COMPUTED_VALUE"""),45950.6666666667)</f>
        <v>45950.6666666667</v>
      </c>
      <c r="B1206" s="5" t="n">
        <f aca="false">IFERROR(__xludf.dummyfunction("""COMPUTED_VALUE"""),300)</f>
        <v>300</v>
      </c>
      <c r="C1206" s="5" t="n">
        <f aca="false">IFERROR(__xludf.dummyfunction("""COMPUTED_VALUE"""),303.65)</f>
        <v>303.65</v>
      </c>
      <c r="D1206" s="5" t="n">
        <f aca="false">IFERROR(__xludf.dummyfunction("""COMPUTED_VALUE"""),297.06)</f>
        <v>297.06</v>
      </c>
      <c r="E1206" s="5" t="n">
        <f aca="false">IFERROR(__xludf.dummyfunction("""COMPUTED_VALUE"""),297.7)</f>
        <v>297.7</v>
      </c>
      <c r="F1206" s="5" t="n">
        <f aca="false">IFERROR(__xludf.dummyfunction("""COMPUTED_VALUE"""),13391614)</f>
        <v>13391614</v>
      </c>
    </row>
    <row r="1207" customFormat="false" ht="15.75" hidden="false" customHeight="false" outlineLevel="0" collapsed="false">
      <c r="A1207" s="6" t="n">
        <f aca="false">IFERROR(__xludf.dummyfunction("""COMPUTED_VALUE"""),45951.6666666667)</f>
        <v>45951.6666666667</v>
      </c>
      <c r="B1207" s="5" t="n">
        <f aca="false">IFERROR(__xludf.dummyfunction("""COMPUTED_VALUE"""),299)</f>
        <v>299</v>
      </c>
      <c r="C1207" s="5" t="n">
        <f aca="false">IFERROR(__xludf.dummyfunction("""COMPUTED_VALUE"""),299.37)</f>
        <v>299.37</v>
      </c>
      <c r="D1207" s="5" t="n">
        <f aca="false">IFERROR(__xludf.dummyfunction("""COMPUTED_VALUE"""),293.65)</f>
        <v>293.65</v>
      </c>
      <c r="E1207" s="5" t="n">
        <f aca="false">IFERROR(__xludf.dummyfunction("""COMPUTED_VALUE"""),294.51)</f>
        <v>294.51</v>
      </c>
      <c r="F1207" s="5" t="n">
        <f aca="false">IFERROR(__xludf.dummyfunction("""COMPUTED_VALUE"""),11190502)</f>
        <v>11190502</v>
      </c>
    </row>
    <row r="1208" customFormat="false" ht="15.75" hidden="false" customHeight="false" outlineLevel="0" collapsed="false">
      <c r="A1208" s="6" t="n">
        <f aca="false">IFERROR(__xludf.dummyfunction("""COMPUTED_VALUE"""),45952.6666666667)</f>
        <v>45952.6666666667</v>
      </c>
      <c r="B1208" s="5" t="n">
        <f aca="false">IFERROR(__xludf.dummyfunction("""COMPUTED_VALUE"""),293)</f>
        <v>293</v>
      </c>
      <c r="C1208" s="5" t="n">
        <f aca="false">IFERROR(__xludf.dummyfunction("""COMPUTED_VALUE"""),295.2)</f>
        <v>295.2</v>
      </c>
      <c r="D1208" s="5" t="n">
        <f aca="false">IFERROR(__xludf.dummyfunction("""COMPUTED_VALUE"""),284.4)</f>
        <v>284.4</v>
      </c>
      <c r="E1208" s="5" t="n">
        <f aca="false">IFERROR(__xludf.dummyfunction("""COMPUTED_VALUE"""),288.88)</f>
        <v>288.88</v>
      </c>
      <c r="F1208" s="5" t="n">
        <f aca="false">IFERROR(__xludf.dummyfunction("""COMPUTED_VALUE"""),15409109)</f>
        <v>15409109</v>
      </c>
    </row>
    <row r="1209" customFormat="false" ht="15.75" hidden="false" customHeight="false" outlineLevel="0" collapsed="false">
      <c r="A1209" s="6" t="n">
        <f aca="false">IFERROR(__xludf.dummyfunction("""COMPUTED_VALUE"""),45953.6666666667)</f>
        <v>45953.6666666667</v>
      </c>
      <c r="B1209" s="5" t="n">
        <f aca="false">IFERROR(__xludf.dummyfunction("""COMPUTED_VALUE"""),289.8)</f>
        <v>289.8</v>
      </c>
      <c r="C1209" s="5" t="n">
        <f aca="false">IFERROR(__xludf.dummyfunction("""COMPUTED_VALUE"""),294.09)</f>
        <v>294.09</v>
      </c>
      <c r="D1209" s="5" t="n">
        <f aca="false">IFERROR(__xludf.dummyfunction("""COMPUTED_VALUE"""),289.63)</f>
        <v>289.63</v>
      </c>
      <c r="E1209" s="5" t="n">
        <f aca="false">IFERROR(__xludf.dummyfunction("""COMPUTED_VALUE"""),290.73)</f>
        <v>290.73</v>
      </c>
      <c r="F1209" s="5" t="n">
        <f aca="false">IFERROR(__xludf.dummyfunction("""COMPUTED_VALUE"""),10379853)</f>
        <v>10379853</v>
      </c>
    </row>
    <row r="1210" customFormat="false" ht="15.75" hidden="false" customHeight="false" outlineLevel="0" collapsed="false">
      <c r="A1210" s="6" t="n">
        <f aca="false">IFERROR(__xludf.dummyfunction("""COMPUTED_VALUE"""),45954.6666666667)</f>
        <v>45954.6666666667</v>
      </c>
      <c r="B1210" s="5" t="n">
        <f aca="false">IFERROR(__xludf.dummyfunction("""COMPUTED_VALUE"""),295.57)</f>
        <v>295.57</v>
      </c>
      <c r="C1210" s="5" t="n">
        <f aca="false">IFERROR(__xludf.dummyfunction("""COMPUTED_VALUE"""),297.95)</f>
        <v>297.95</v>
      </c>
      <c r="D1210" s="5" t="n">
        <f aca="false">IFERROR(__xludf.dummyfunction("""COMPUTED_VALUE"""),294.39)</f>
        <v>294.39</v>
      </c>
      <c r="E1210" s="5" t="n">
        <f aca="false">IFERROR(__xludf.dummyfunction("""COMPUTED_VALUE"""),294.96)</f>
        <v>294.96</v>
      </c>
      <c r="F1210" s="5" t="n">
        <f aca="false">IFERROR(__xludf.dummyfunction("""COMPUTED_VALUE"""),8747007)</f>
        <v>8747007</v>
      </c>
    </row>
    <row r="1211" customFormat="false" ht="15.75" hidden="false" customHeight="false" outlineLevel="0" collapsed="false">
      <c r="A1211" s="6" t="n">
        <f aca="false">IFERROR(__xludf.dummyfunction("""COMPUTED_VALUE"""),45957.6666666667)</f>
        <v>45957.6666666667</v>
      </c>
      <c r="B1211" s="5" t="n">
        <f aca="false">IFERROR(__xludf.dummyfunction("""COMPUTED_VALUE"""),298.65)</f>
        <v>298.65</v>
      </c>
      <c r="C1211" s="5" t="n">
        <f aca="false">IFERROR(__xludf.dummyfunction("""COMPUTED_VALUE"""),300.48)</f>
        <v>300.48</v>
      </c>
      <c r="D1211" s="5" t="n">
        <f aca="false">IFERROR(__xludf.dummyfunction("""COMPUTED_VALUE"""),293.69)</f>
        <v>293.69</v>
      </c>
      <c r="E1211" s="5" t="n">
        <f aca="false">IFERROR(__xludf.dummyfunction("""COMPUTED_VALUE"""),298.25)</f>
        <v>298.25</v>
      </c>
      <c r="F1211" s="5" t="n">
        <f aca="false">IFERROR(__xludf.dummyfunction("""COMPUTED_VALUE"""),13615029)</f>
        <v>13615029</v>
      </c>
    </row>
    <row r="1212" customFormat="false" ht="15.75" hidden="false" customHeight="false" outlineLevel="0" collapsed="false">
      <c r="A1212" s="6" t="n">
        <f aca="false">IFERROR(__xludf.dummyfunction("""COMPUTED_VALUE"""),45958.6666666667)</f>
        <v>45958.6666666667</v>
      </c>
      <c r="B1212" s="5" t="n">
        <f aca="false">IFERROR(__xludf.dummyfunction("""COMPUTED_VALUE"""),298.32)</f>
        <v>298.32</v>
      </c>
      <c r="C1212" s="5" t="n">
        <f aca="false">IFERROR(__xludf.dummyfunction("""COMPUTED_VALUE"""),302.13)</f>
        <v>302.13</v>
      </c>
      <c r="D1212" s="5" t="n">
        <f aca="false">IFERROR(__xludf.dummyfunction("""COMPUTED_VALUE"""),296.08)</f>
        <v>296.08</v>
      </c>
      <c r="E1212" s="5" t="n">
        <f aca="false">IFERROR(__xludf.dummyfunction("""COMPUTED_VALUE"""),301.53)</f>
        <v>301.53</v>
      </c>
      <c r="F1212" s="5" t="n">
        <f aca="false">IFERROR(__xludf.dummyfunction("""COMPUTED_VALUE"""),11804198)</f>
        <v>11804198</v>
      </c>
    </row>
    <row r="1213" customFormat="false" ht="15.75" hidden="false" customHeight="false" outlineLevel="0" collapsed="false">
      <c r="A1213" s="6" t="n">
        <f aca="false">IFERROR(__xludf.dummyfunction("""COMPUTED_VALUE"""),45959.6666666667)</f>
        <v>45959.6666666667</v>
      </c>
      <c r="B1213" s="5" t="n">
        <f aca="false">IFERROR(__xludf.dummyfunction("""COMPUTED_VALUE"""),305.8)</f>
        <v>305.8</v>
      </c>
      <c r="C1213" s="5" t="n">
        <f aca="false">IFERROR(__xludf.dummyfunction("""COMPUTED_VALUE"""),307.96)</f>
        <v>307.96</v>
      </c>
      <c r="D1213" s="5" t="n">
        <f aca="false">IFERROR(__xludf.dummyfunction("""COMPUTED_VALUE"""),302.38)</f>
        <v>302.38</v>
      </c>
      <c r="E1213" s="5" t="n">
        <f aca="false">IFERROR(__xludf.dummyfunction("""COMPUTED_VALUE"""),305.09)</f>
        <v>305.09</v>
      </c>
      <c r="F1213" s="5" t="n">
        <f aca="false">IFERROR(__xludf.dummyfunction("""COMPUTED_VALUE"""),16177305)</f>
        <v>16177305</v>
      </c>
    </row>
    <row r="1214" customFormat="false" ht="15.75" hidden="false" customHeight="false" outlineLevel="0" collapsed="false">
      <c r="A1214" s="6" t="n">
        <f aca="false">IFERROR(__xludf.dummyfunction("""COMPUTED_VALUE"""),45960.6666666667)</f>
        <v>45960.6666666667</v>
      </c>
      <c r="B1214" s="5" t="n">
        <f aca="false">IFERROR(__xludf.dummyfunction("""COMPUTED_VALUE"""),303.08)</f>
        <v>303.08</v>
      </c>
      <c r="C1214" s="5" t="n">
        <f aca="false">IFERROR(__xludf.dummyfunction("""COMPUTED_VALUE"""),307.31)</f>
        <v>307.31</v>
      </c>
      <c r="D1214" s="5" t="n">
        <f aca="false">IFERROR(__xludf.dummyfunction("""COMPUTED_VALUE"""),300.82)</f>
        <v>300.82</v>
      </c>
      <c r="E1214" s="5" t="n">
        <f aca="false">IFERROR(__xludf.dummyfunction("""COMPUTED_VALUE"""),303.22)</f>
        <v>303.22</v>
      </c>
      <c r="F1214" s="5" t="n">
        <f aca="false">IFERROR(__xludf.dummyfunction("""COMPUTED_VALUE"""),14507088)</f>
        <v>14507088</v>
      </c>
    </row>
    <row r="1215" customFormat="false" ht="15.75" hidden="false" customHeight="false" outlineLevel="0" collapsed="false">
      <c r="A1215" s="6" t="n">
        <f aca="false">IFERROR(__xludf.dummyfunction("""COMPUTED_VALUE"""),45961.6666666667)</f>
        <v>45961.6666666667</v>
      </c>
      <c r="B1215" s="5" t="n">
        <f aca="false">IFERROR(__xludf.dummyfunction("""COMPUTED_VALUE"""),305.99)</f>
        <v>305.99</v>
      </c>
      <c r="C1215" s="5" t="n">
        <f aca="false">IFERROR(__xludf.dummyfunction("""COMPUTED_VALUE"""),307.68)</f>
        <v>307.68</v>
      </c>
      <c r="D1215" s="5" t="n">
        <f aca="false">IFERROR(__xludf.dummyfunction("""COMPUTED_VALUE"""),296.68)</f>
        <v>296.68</v>
      </c>
      <c r="E1215" s="5" t="n">
        <f aca="false">IFERROR(__xludf.dummyfunction("""COMPUTED_VALUE"""),300.43)</f>
        <v>300.43</v>
      </c>
      <c r="F1215" s="5" t="n">
        <f aca="false">IFERROR(__xludf.dummyfunction("""COMPUTED_VALUE"""),12667857)</f>
        <v>12667857</v>
      </c>
    </row>
    <row r="1216" customFormat="false" ht="15.75" hidden="false" customHeight="false" outlineLevel="0" collapsed="false">
      <c r="A1216" s="6" t="n">
        <f aca="false">IFERROR(__xludf.dummyfunction("""COMPUTED_VALUE"""),45964.6666666667)</f>
        <v>45964.6666666667</v>
      </c>
      <c r="B1216" s="5" t="n">
        <f aca="false">IFERROR(__xludf.dummyfunction("""COMPUTED_VALUE"""),302.59)</f>
        <v>302.59</v>
      </c>
      <c r="C1216" s="5" t="n">
        <f aca="false">IFERROR(__xludf.dummyfunction("""COMPUTED_VALUE"""),310.12)</f>
        <v>310.12</v>
      </c>
      <c r="D1216" s="5" t="n">
        <f aca="false">IFERROR(__xludf.dummyfunction("""COMPUTED_VALUE"""),302.12)</f>
        <v>302.12</v>
      </c>
      <c r="E1216" s="5" t="n">
        <f aca="false">IFERROR(__xludf.dummyfunction("""COMPUTED_VALUE"""),304.86)</f>
        <v>304.86</v>
      </c>
      <c r="F1216" s="5" t="n">
        <f aca="false">IFERROR(__xludf.dummyfunction("""COMPUTED_VALUE"""),12466592)</f>
        <v>12466592</v>
      </c>
    </row>
    <row r="1217" customFormat="false" ht="15.75" hidden="false" customHeight="false" outlineLevel="0" collapsed="false">
      <c r="A1217" s="6" t="n">
        <f aca="false">IFERROR(__xludf.dummyfunction("""COMPUTED_VALUE"""),45965.6666666667)</f>
        <v>45965.6666666667</v>
      </c>
      <c r="B1217" s="5" t="n">
        <f aca="false">IFERROR(__xludf.dummyfunction("""COMPUTED_VALUE"""),296.88)</f>
        <v>296.88</v>
      </c>
      <c r="C1217" s="5" t="n">
        <f aca="false">IFERROR(__xludf.dummyfunction("""COMPUTED_VALUE"""),301.99)</f>
        <v>301.99</v>
      </c>
      <c r="D1217" s="5" t="n">
        <f aca="false">IFERROR(__xludf.dummyfunction("""COMPUTED_VALUE"""),293.51)</f>
        <v>293.51</v>
      </c>
      <c r="E1217" s="5" t="n">
        <f aca="false">IFERROR(__xludf.dummyfunction("""COMPUTED_VALUE"""),294.05)</f>
        <v>294.05</v>
      </c>
      <c r="F1217" s="5" t="n">
        <f aca="false">IFERROR(__xludf.dummyfunction("""COMPUTED_VALUE"""),16224285)</f>
        <v>16224285</v>
      </c>
    </row>
    <row r="1218" customFormat="false" ht="15.75" hidden="false" customHeight="false" outlineLevel="0" collapsed="false">
      <c r="A1218" s="6" t="n">
        <f aca="false">IFERROR(__xludf.dummyfunction("""COMPUTED_VALUE"""),45966.6666666667)</f>
        <v>45966.6666666667</v>
      </c>
      <c r="B1218" s="5" t="n">
        <f aca="false">IFERROR(__xludf.dummyfunction("""COMPUTED_VALUE"""),292.62)</f>
        <v>292.62</v>
      </c>
      <c r="C1218" s="5" t="n">
        <f aca="false">IFERROR(__xludf.dummyfunction("""COMPUTED_VALUE"""),298.22)</f>
        <v>298.22</v>
      </c>
      <c r="D1218" s="5" t="n">
        <f aca="false">IFERROR(__xludf.dummyfunction("""COMPUTED_VALUE"""),291.5)</f>
        <v>291.5</v>
      </c>
      <c r="E1218" s="5" t="n">
        <f aca="false">IFERROR(__xludf.dummyfunction("""COMPUTED_VALUE"""),293.64)</f>
        <v>293.64</v>
      </c>
      <c r="F1218" s="5" t="n">
        <f aca="false">IFERROR(__xludf.dummyfunction("""COMPUTED_VALUE"""),10502502)</f>
        <v>10502502</v>
      </c>
    </row>
    <row r="1219" customFormat="false" ht="15.75" hidden="false" customHeight="false" outlineLevel="0" collapsed="false">
      <c r="A1219" s="6" t="n">
        <f aca="false">IFERROR(__xludf.dummyfunction("""COMPUTED_VALUE"""),45967.6666666667)</f>
        <v>45967.6666666667</v>
      </c>
      <c r="B1219" s="5" t="n">
        <f aca="false">IFERROR(__xludf.dummyfunction("""COMPUTED_VALUE"""),294.1)</f>
        <v>294.1</v>
      </c>
      <c r="C1219" s="5" t="n">
        <f aca="false">IFERROR(__xludf.dummyfunction("""COMPUTED_VALUE"""),294.64)</f>
        <v>294.64</v>
      </c>
      <c r="D1219" s="5" t="n">
        <f aca="false">IFERROR(__xludf.dummyfunction("""COMPUTED_VALUE"""),287.38)</f>
        <v>287.38</v>
      </c>
      <c r="E1219" s="5" t="n">
        <f aca="false">IFERROR(__xludf.dummyfunction("""COMPUTED_VALUE"""),289.24)</f>
        <v>289.24</v>
      </c>
      <c r="F1219" s="5" t="n">
        <f aca="false">IFERROR(__xludf.dummyfunction("""COMPUTED_VALUE"""),11516858)</f>
        <v>11516858</v>
      </c>
    </row>
    <row r="1220" customFormat="false" ht="15.75" hidden="false" customHeight="false" outlineLevel="0" collapsed="false">
      <c r="A1220" s="6" t="n">
        <f aca="false">IFERROR(__xludf.dummyfunction("""COMPUTED_VALUE"""),45968.6666666667)</f>
        <v>45968.6666666667</v>
      </c>
      <c r="B1220" s="5" t="n">
        <f aca="false">IFERROR(__xludf.dummyfunction("""COMPUTED_VALUE"""),285.21)</f>
        <v>285.21</v>
      </c>
      <c r="C1220" s="5" t="n">
        <f aca="false">IFERROR(__xludf.dummyfunction("""COMPUTED_VALUE"""),287.89)</f>
        <v>287.89</v>
      </c>
      <c r="D1220" s="5" t="n">
        <f aca="false">IFERROR(__xludf.dummyfunction("""COMPUTED_VALUE"""),277.13)</f>
        <v>277.13</v>
      </c>
      <c r="E1220" s="5" t="n">
        <f aca="false">IFERROR(__xludf.dummyfunction("""COMPUTED_VALUE"""),286.5)</f>
        <v>286.5</v>
      </c>
      <c r="F1220" s="5" t="n">
        <f aca="false">IFERROR(__xludf.dummyfunction("""COMPUTED_VALUE"""),15715706)</f>
        <v>15715706</v>
      </c>
    </row>
    <row r="1221" customFormat="false" ht="15.75" hidden="false" customHeight="false" outlineLevel="0" collapsed="false">
      <c r="A1221" s="6" t="n">
        <f aca="false">IFERROR(__xludf.dummyfunction("""COMPUTED_VALUE"""),45971.6666666667)</f>
        <v>45971.6666666667</v>
      </c>
      <c r="B1221" s="5" t="n">
        <f aca="false">IFERROR(__xludf.dummyfunction("""COMPUTED_VALUE"""),294.36)</f>
        <v>294.36</v>
      </c>
      <c r="C1221" s="5" t="n">
        <f aca="false">IFERROR(__xludf.dummyfunction("""COMPUTED_VALUE"""),297.13)</f>
        <v>297.13</v>
      </c>
      <c r="D1221" s="5" t="n">
        <f aca="false">IFERROR(__xludf.dummyfunction("""COMPUTED_VALUE"""),291.75)</f>
        <v>291.75</v>
      </c>
      <c r="E1221" s="5" t="n">
        <f aca="false">IFERROR(__xludf.dummyfunction("""COMPUTED_VALUE"""),295.27)</f>
        <v>295.27</v>
      </c>
      <c r="F1221" s="5" t="n">
        <f aca="false">IFERROR(__xludf.dummyfunction("""COMPUTED_VALUE"""),10869194)</f>
        <v>10869194</v>
      </c>
    </row>
    <row r="1222" customFormat="false" ht="15.75" hidden="false" customHeight="false" outlineLevel="0" collapsed="false">
      <c r="A1222" s="6" t="n">
        <f aca="false">IFERROR(__xludf.dummyfunction("""COMPUTED_VALUE"""),45972.6666666667)</f>
        <v>45972.6666666667</v>
      </c>
      <c r="B1222" s="5" t="n">
        <f aca="false">IFERROR(__xludf.dummyfunction("""COMPUTED_VALUE"""),292.06)</f>
        <v>292.06</v>
      </c>
      <c r="C1222" s="5" t="n">
        <f aca="false">IFERROR(__xludf.dummyfunction("""COMPUTED_VALUE"""),294.92)</f>
        <v>294.92</v>
      </c>
      <c r="D1222" s="5" t="n">
        <f aca="false">IFERROR(__xludf.dummyfunction("""COMPUTED_VALUE"""),288.91)</f>
        <v>288.91</v>
      </c>
      <c r="E1222" s="5" t="n">
        <f aca="false">IFERROR(__xludf.dummyfunction("""COMPUTED_VALUE"""),291.17)</f>
        <v>291.17</v>
      </c>
      <c r="F1222" s="5" t="n">
        <f aca="false">IFERROR(__xludf.dummyfunction("""COMPUTED_VALUE"""),9666250)</f>
        <v>9666250</v>
      </c>
    </row>
    <row r="1223" customFormat="false" ht="15.75" hidden="false" customHeight="false" outlineLevel="0" collapsed="false">
      <c r="A1223" s="6" t="n">
        <f aca="false">IFERROR(__xludf.dummyfunction("""COMPUTED_VALUE"""),45973.6666666667)</f>
        <v>45973.6666666667</v>
      </c>
      <c r="B1223" s="5" t="n">
        <f aca="false">IFERROR(__xludf.dummyfunction("""COMPUTED_VALUE"""),293.7)</f>
        <v>293.7</v>
      </c>
      <c r="C1223" s="5" t="n">
        <f aca="false">IFERROR(__xludf.dummyfunction("""COMPUTED_VALUE"""),294.87)</f>
        <v>294.87</v>
      </c>
      <c r="D1223" s="5" t="n">
        <f aca="false">IFERROR(__xludf.dummyfunction("""COMPUTED_VALUE"""),289.58)</f>
        <v>289.58</v>
      </c>
      <c r="E1223" s="5" t="n">
        <f aca="false">IFERROR(__xludf.dummyfunction("""COMPUTED_VALUE"""),290.62)</f>
        <v>290.62</v>
      </c>
      <c r="F1223" s="5" t="n">
        <f aca="false">IFERROR(__xludf.dummyfunction("""COMPUTED_VALUE"""),9715927)</f>
        <v>9715927</v>
      </c>
    </row>
    <row r="1224" customFormat="false" ht="15.75" hidden="false" customHeight="false" outlineLevel="0" collapsed="false">
      <c r="A1224" s="6" t="n">
        <f aca="false">IFERROR(__xludf.dummyfunction("""COMPUTED_VALUE"""),45974.6666666667)</f>
        <v>45974.6666666667</v>
      </c>
      <c r="B1224" s="5" t="n">
        <f aca="false">IFERROR(__xludf.dummyfunction("""COMPUTED_VALUE"""),289.17)</f>
        <v>289.17</v>
      </c>
      <c r="C1224" s="5" t="n">
        <f aca="false">IFERROR(__xludf.dummyfunction("""COMPUTED_VALUE"""),289.5)</f>
        <v>289.5</v>
      </c>
      <c r="D1224" s="5" t="n">
        <f aca="false">IFERROR(__xludf.dummyfunction("""COMPUTED_VALUE"""),280)</f>
        <v>280</v>
      </c>
      <c r="E1224" s="5" t="n">
        <f aca="false">IFERROR(__xludf.dummyfunction("""COMPUTED_VALUE"""),282.2)</f>
        <v>282.2</v>
      </c>
      <c r="F1224" s="5" t="n">
        <f aca="false">IFERROR(__xludf.dummyfunction("""COMPUTED_VALUE"""),13827622)</f>
        <v>13827622</v>
      </c>
    </row>
    <row r="1225" customFormat="false" ht="15.75" hidden="false" customHeight="false" outlineLevel="0" collapsed="false">
      <c r="A1225" s="6" t="n">
        <f aca="false">IFERROR(__xludf.dummyfunction("""COMPUTED_VALUE"""),45975.6666666667)</f>
        <v>45975.6666666667</v>
      </c>
      <c r="B1225" s="5" t="n">
        <f aca="false">IFERROR(__xludf.dummyfunction("""COMPUTED_VALUE"""),275.91)</f>
        <v>275.91</v>
      </c>
      <c r="C1225" s="5" t="n">
        <f aca="false">IFERROR(__xludf.dummyfunction("""COMPUTED_VALUE"""),286.86)</f>
        <v>286.86</v>
      </c>
      <c r="D1225" s="5" t="n">
        <f aca="false">IFERROR(__xludf.dummyfunction("""COMPUTED_VALUE"""),273.23)</f>
        <v>273.23</v>
      </c>
      <c r="E1225" s="5" t="n">
        <f aca="false">IFERROR(__xludf.dummyfunction("""COMPUTED_VALUE"""),284.82)</f>
        <v>284.82</v>
      </c>
      <c r="F1225" s="5" t="n">
        <f aca="false">IFERROR(__xludf.dummyfunction("""COMPUTED_VALUE"""),11486828)</f>
        <v>11486828</v>
      </c>
    </row>
    <row r="1226" customFormat="false" ht="15.75" hidden="false" customHeight="false" outlineLevel="0" collapsed="false">
      <c r="A1226" s="6" t="n">
        <f aca="false">IFERROR(__xludf.dummyfunction("""COMPUTED_VALUE"""),45978.6666666667)</f>
        <v>45978.6666666667</v>
      </c>
      <c r="B1226" s="5" t="n">
        <f aca="false">IFERROR(__xludf.dummyfunction("""COMPUTED_VALUE"""),281.44)</f>
        <v>281.44</v>
      </c>
      <c r="C1226" s="5" t="n">
        <f aca="false">IFERROR(__xludf.dummyfunction("""COMPUTED_VALUE"""),286.53)</f>
        <v>286.53</v>
      </c>
      <c r="D1226" s="5" t="n">
        <f aca="false">IFERROR(__xludf.dummyfunction("""COMPUTED_VALUE"""),279.8)</f>
        <v>279.8</v>
      </c>
      <c r="E1226" s="5" t="n">
        <f aca="false">IFERROR(__xludf.dummyfunction("""COMPUTED_VALUE"""),282.01)</f>
        <v>282.01</v>
      </c>
      <c r="F1226" s="5" t="n">
        <f aca="false">IFERROR(__xludf.dummyfunction("""COMPUTED_VALUE"""),10227124)</f>
        <v>10227124</v>
      </c>
    </row>
    <row r="1227" customFormat="false" ht="15.75" hidden="false" customHeight="false" outlineLevel="0" collapsed="false">
      <c r="A1227" s="6" t="n">
        <f aca="false">IFERROR(__xludf.dummyfunction("""COMPUTED_VALUE"""),45979.6666666667)</f>
        <v>45979.6666666667</v>
      </c>
      <c r="B1227" s="5" t="n">
        <f aca="false">IFERROR(__xludf.dummyfunction("""COMPUTED_VALUE"""),277.55)</f>
        <v>277.55</v>
      </c>
      <c r="C1227" s="5" t="n">
        <f aca="false">IFERROR(__xludf.dummyfunction("""COMPUTED_VALUE"""),280.19)</f>
        <v>280.19</v>
      </c>
      <c r="D1227" s="5" t="n">
        <f aca="false">IFERROR(__xludf.dummyfunction("""COMPUTED_VALUE"""),272.72)</f>
        <v>272.72</v>
      </c>
      <c r="E1227" s="5" t="n">
        <f aca="false">IFERROR(__xludf.dummyfunction("""COMPUTED_VALUE"""),277.91)</f>
        <v>277.91</v>
      </c>
      <c r="F1227" s="5" t="n">
        <f aca="false">IFERROR(__xludf.dummyfunction("""COMPUTED_VALUE"""),11850366)</f>
        <v>11850366</v>
      </c>
    </row>
    <row r="1228" customFormat="false" ht="15.75" hidden="false" customHeight="false" outlineLevel="0" collapsed="false">
      <c r="A1228" s="6" t="n">
        <f aca="false">IFERROR(__xludf.dummyfunction("""COMPUTED_VALUE"""),45980.6666666667)</f>
        <v>45980.6666666667</v>
      </c>
      <c r="B1228" s="5" t="n">
        <f aca="false">IFERROR(__xludf.dummyfunction("""COMPUTED_VALUE"""),276.92)</f>
        <v>276.92</v>
      </c>
      <c r="C1228" s="5" t="n">
        <f aca="false">IFERROR(__xludf.dummyfunction("""COMPUTED_VALUE"""),284.55)</f>
        <v>284.55</v>
      </c>
      <c r="D1228" s="5" t="n">
        <f aca="false">IFERROR(__xludf.dummyfunction("""COMPUTED_VALUE"""),276.32)</f>
        <v>276.32</v>
      </c>
      <c r="E1228" s="5" t="n">
        <f aca="false">IFERROR(__xludf.dummyfunction("""COMPUTED_VALUE"""),282.37)</f>
        <v>282.37</v>
      </c>
      <c r="F1228" s="5" t="n">
        <f aca="false">IFERROR(__xludf.dummyfunction("""COMPUTED_VALUE"""),11179176)</f>
        <v>11179176</v>
      </c>
    </row>
    <row r="1229" customFormat="false" ht="15.75" hidden="false" customHeight="false" outlineLevel="0" collapsed="false">
      <c r="A1229" s="6" t="n">
        <f aca="false">IFERROR(__xludf.dummyfunction("""COMPUTED_VALUE"""),45981.6666666667)</f>
        <v>45981.6666666667</v>
      </c>
      <c r="B1229" s="5" t="n">
        <f aca="false">IFERROR(__xludf.dummyfunction("""COMPUTED_VALUE"""),292.21)</f>
        <v>292.21</v>
      </c>
      <c r="C1229" s="5" t="n">
        <f aca="false">IFERROR(__xludf.dummyfunction("""COMPUTED_VALUE"""),292.85)</f>
        <v>292.85</v>
      </c>
      <c r="D1229" s="5" t="n">
        <f aca="false">IFERROR(__xludf.dummyfunction("""COMPUTED_VALUE"""),276.41)</f>
        <v>276.41</v>
      </c>
      <c r="E1229" s="5" t="n">
        <f aca="false">IFERROR(__xludf.dummyfunction("""COMPUTED_VALUE"""),277.5)</f>
        <v>277.5</v>
      </c>
      <c r="F1229" s="5" t="n">
        <f aca="false">IFERROR(__xludf.dummyfunction("""COMPUTED_VALUE"""),15747324)</f>
        <v>15747324</v>
      </c>
    </row>
    <row r="1230" customFormat="false" ht="15.75" hidden="false" customHeight="false" outlineLevel="0" collapsed="false">
      <c r="A1230" s="6" t="n">
        <f aca="false">IFERROR(__xludf.dummyfunction("""COMPUTED_VALUE"""),45982.6666666667)</f>
        <v>45982.6666666667</v>
      </c>
      <c r="B1230" s="5" t="n">
        <f aca="false">IFERROR(__xludf.dummyfunction("""COMPUTED_VALUE"""),272.81)</f>
        <v>272.81</v>
      </c>
      <c r="C1230" s="5" t="n">
        <f aca="false">IFERROR(__xludf.dummyfunction("""COMPUTED_VALUE"""),278.69)</f>
        <v>278.69</v>
      </c>
      <c r="D1230" s="5" t="n">
        <f aca="false">IFERROR(__xludf.dummyfunction("""COMPUTED_VALUE"""),266.82)</f>
        <v>266.82</v>
      </c>
      <c r="E1230" s="5" t="n">
        <f aca="false">IFERROR(__xludf.dummyfunction("""COMPUTED_VALUE"""),275.06)</f>
        <v>275.06</v>
      </c>
      <c r="F1230" s="5" t="n">
        <f aca="false">IFERROR(__xludf.dummyfunction("""COMPUTED_VALUE"""),20872828)</f>
        <v>20872828</v>
      </c>
    </row>
    <row r="1231" customFormat="false" ht="15.75" hidden="false" customHeight="false" outlineLevel="0" collapsed="false">
      <c r="A1231" s="6" t="n">
        <f aca="false">IFERROR(__xludf.dummyfunction("""COMPUTED_VALUE"""),45985.6666666667)</f>
        <v>45985.6666666667</v>
      </c>
      <c r="B1231" s="5" t="n">
        <f aca="false">IFERROR(__xludf.dummyfunction("""COMPUTED_VALUE"""),273.19)</f>
        <v>273.19</v>
      </c>
      <c r="C1231" s="5" t="n">
        <f aca="false">IFERROR(__xludf.dummyfunction("""COMPUTED_VALUE"""),285.06)</f>
        <v>285.06</v>
      </c>
      <c r="D1231" s="5" t="n">
        <f aca="false">IFERROR(__xludf.dummyfunction("""COMPUTED_VALUE"""),273.19)</f>
        <v>273.19</v>
      </c>
      <c r="E1231" s="5" t="n">
        <f aca="false">IFERROR(__xludf.dummyfunction("""COMPUTED_VALUE"""),284.64)</f>
        <v>284.64</v>
      </c>
      <c r="F1231" s="5" t="n">
        <f aca="false">IFERROR(__xludf.dummyfunction("""COMPUTED_VALUE"""),13570309)</f>
        <v>13570309</v>
      </c>
    </row>
    <row r="1232" customFormat="false" ht="15.75" hidden="false" customHeight="false" outlineLevel="0" collapsed="false">
      <c r="A1232" s="6" t="n">
        <f aca="false">IFERROR(__xludf.dummyfunction("""COMPUTED_VALUE"""),45986.6666666667)</f>
        <v>45986.6666666667</v>
      </c>
      <c r="B1232" s="5" t="n">
        <f aca="false">IFERROR(__xludf.dummyfunction("""COMPUTED_VALUE"""),282.73)</f>
        <v>282.73</v>
      </c>
      <c r="C1232" s="5" t="n">
        <f aca="false">IFERROR(__xludf.dummyfunction("""COMPUTED_VALUE"""),285.4)</f>
        <v>285.4</v>
      </c>
      <c r="D1232" s="5" t="n">
        <f aca="false">IFERROR(__xludf.dummyfunction("""COMPUTED_VALUE"""),273.08)</f>
        <v>273.08</v>
      </c>
      <c r="E1232" s="5" t="n">
        <f aca="false">IFERROR(__xludf.dummyfunction("""COMPUTED_VALUE"""),284.68)</f>
        <v>284.68</v>
      </c>
      <c r="F1232" s="5" t="n">
        <f aca="false">IFERROR(__xludf.dummyfunction("""COMPUTED_VALUE"""),13726811)</f>
        <v>13726811</v>
      </c>
    </row>
    <row r="1233" customFormat="false" ht="15.75" hidden="false" customHeight="false" outlineLevel="0" collapsed="false">
      <c r="A1233" s="6" t="n">
        <f aca="false">IFERROR(__xludf.dummyfunction("""COMPUTED_VALUE"""),45987.6666666667)</f>
        <v>45987.6666666667</v>
      </c>
      <c r="B1233" s="5" t="n">
        <f aca="false">IFERROR(__xludf.dummyfunction("""COMPUTED_VALUE"""),289.1)</f>
        <v>289.1</v>
      </c>
      <c r="C1233" s="5" t="n">
        <f aca="false">IFERROR(__xludf.dummyfunction("""COMPUTED_VALUE"""),292.81)</f>
        <v>292.81</v>
      </c>
      <c r="D1233" s="5" t="n">
        <f aca="false">IFERROR(__xludf.dummyfunction("""COMPUTED_VALUE"""),287.73)</f>
        <v>287.73</v>
      </c>
      <c r="E1233" s="5" t="n">
        <f aca="false">IFERROR(__xludf.dummyfunction("""COMPUTED_VALUE"""),289.96)</f>
        <v>289.96</v>
      </c>
      <c r="F1233" s="5" t="n">
        <f aca="false">IFERROR(__xludf.dummyfunction("""COMPUTED_VALUE"""),12220253)</f>
        <v>12220253</v>
      </c>
    </row>
    <row r="1234" customFormat="false" ht="15.75" hidden="false" customHeight="false" outlineLevel="0" collapsed="false">
      <c r="A1234" s="6" t="n">
        <f aca="false">IFERROR(__xludf.dummyfunction("""COMPUTED_VALUE"""),45989.5416666667)</f>
        <v>45989.5416666667</v>
      </c>
      <c r="B1234" s="5" t="n">
        <f aca="false">IFERROR(__xludf.dummyfunction("""COMPUTED_VALUE"""),292.48)</f>
        <v>292.48</v>
      </c>
      <c r="C1234" s="5" t="n">
        <f aca="false">IFERROR(__xludf.dummyfunction("""COMPUTED_VALUE"""),292.67)</f>
        <v>292.67</v>
      </c>
      <c r="D1234" s="5" t="n">
        <f aca="false">IFERROR(__xludf.dummyfunction("""COMPUTED_VALUE"""),289)</f>
        <v>289</v>
      </c>
      <c r="E1234" s="5" t="n">
        <f aca="false">IFERROR(__xludf.dummyfunction("""COMPUTED_VALUE"""),291.51)</f>
        <v>291.51</v>
      </c>
      <c r="F1234" s="5" t="n">
        <f aca="false">IFERROR(__xludf.dummyfunction("""COMPUTED_VALUE"""),5515376)</f>
        <v>5515376</v>
      </c>
    </row>
    <row r="1235" customFormat="false" ht="15.75" hidden="false" customHeight="false" outlineLevel="0" collapsed="false">
      <c r="A1235" s="6" t="n">
        <f aca="false">IFERROR(__xludf.dummyfunction("""COMPUTED_VALUE"""),45992.6666666667)</f>
        <v>45992.6666666667</v>
      </c>
      <c r="B1235" s="5" t="n">
        <f aca="false">IFERROR(__xludf.dummyfunction("""COMPUTED_VALUE"""),286.92)</f>
        <v>286.92</v>
      </c>
      <c r="C1235" s="5" t="n">
        <f aca="false">IFERROR(__xludf.dummyfunction("""COMPUTED_VALUE"""),291.16)</f>
        <v>291.16</v>
      </c>
      <c r="D1235" s="5" t="n">
        <f aca="false">IFERROR(__xludf.dummyfunction("""COMPUTED_VALUE"""),283.19)</f>
        <v>283.19</v>
      </c>
      <c r="E1235" s="5" t="n">
        <f aca="false">IFERROR(__xludf.dummyfunction("""COMPUTED_VALUE"""),287.68)</f>
        <v>287.68</v>
      </c>
      <c r="F1235" s="5" t="n">
        <f aca="false">IFERROR(__xludf.dummyfunction("""COMPUTED_VALUE"""),7713000)</f>
        <v>7713000</v>
      </c>
    </row>
    <row r="1236" customFormat="false" ht="15.75" hidden="false" customHeight="false" outlineLevel="0" collapsed="false">
      <c r="A1236" s="6" t="n">
        <f aca="false">IFERROR(__xludf.dummyfunction("""COMPUTED_VALUE"""),45993.6666666667)</f>
        <v>45993.6666666667</v>
      </c>
      <c r="B1236" s="5" t="n">
        <f aca="false">IFERROR(__xludf.dummyfunction("""COMPUTED_VALUE"""),292)</f>
        <v>292</v>
      </c>
      <c r="C1236" s="5" t="n">
        <f aca="false">IFERROR(__xludf.dummyfunction("""COMPUTED_VALUE"""),294.5)</f>
        <v>294.5</v>
      </c>
      <c r="D1236" s="5" t="n">
        <f aca="false">IFERROR(__xludf.dummyfunction("""COMPUTED_VALUE"""),289.18)</f>
        <v>289.18</v>
      </c>
      <c r="E1236" s="5" t="n">
        <f aca="false">IFERROR(__xludf.dummyfunction("""COMPUTED_VALUE"""),292.09)</f>
        <v>292.09</v>
      </c>
      <c r="F1236" s="5" t="n">
        <f aca="false">IFERROR(__xludf.dummyfunction("""COMPUTED_VALUE"""),10746376)</f>
        <v>10746376</v>
      </c>
    </row>
    <row r="1237" customFormat="false" ht="15.75" hidden="false" customHeight="false" outlineLevel="0" collapsed="false">
      <c r="A1237" s="6" t="n">
        <f aca="false">IFERROR(__xludf.dummyfunction("""COMPUTED_VALUE"""),45994.6666666667)</f>
        <v>45994.6666666667</v>
      </c>
      <c r="B1237" s="5" t="n">
        <f aca="false">IFERROR(__xludf.dummyfunction("""COMPUTED_VALUE"""),292.18)</f>
        <v>292.18</v>
      </c>
      <c r="C1237" s="5" t="n">
        <f aca="false">IFERROR(__xludf.dummyfunction("""COMPUTED_VALUE"""),296.62)</f>
        <v>296.62</v>
      </c>
      <c r="D1237" s="5" t="n">
        <f aca="false">IFERROR(__xludf.dummyfunction("""COMPUTED_VALUE"""),286.07)</f>
        <v>286.07</v>
      </c>
      <c r="E1237" s="5" t="n">
        <f aca="false">IFERROR(__xludf.dummyfunction("""COMPUTED_VALUE"""),295.45)</f>
        <v>295.45</v>
      </c>
      <c r="F1237" s="5" t="n">
        <f aca="false">IFERROR(__xludf.dummyfunction("""COMPUTED_VALUE"""),9599221)</f>
        <v>9599221</v>
      </c>
    </row>
    <row r="1238" customFormat="false" ht="15.75" hidden="false" customHeight="false" outlineLevel="0" collapsed="false">
      <c r="A1238" s="6" t="n">
        <f aca="false">IFERROR(__xludf.dummyfunction("""COMPUTED_VALUE"""),45995.6666666667)</f>
        <v>45995.6666666667</v>
      </c>
      <c r="B1238" s="5" t="n">
        <f aca="false">IFERROR(__xludf.dummyfunction("""COMPUTED_VALUE"""),293.98)</f>
        <v>293.98</v>
      </c>
      <c r="C1238" s="5" t="n">
        <f aca="false">IFERROR(__xludf.dummyfunction("""COMPUTED_VALUE"""),294.03)</f>
        <v>294.03</v>
      </c>
      <c r="D1238" s="5" t="n">
        <f aca="false">IFERROR(__xludf.dummyfunction("""COMPUTED_VALUE"""),290.2)</f>
        <v>290.2</v>
      </c>
      <c r="E1238" s="5" t="n">
        <f aca="false">IFERROR(__xludf.dummyfunction("""COMPUTED_VALUE"""),292.93)</f>
        <v>292.93</v>
      </c>
      <c r="F1238" s="5" t="n">
        <f aca="false">IFERROR(__xludf.dummyfunction("""COMPUTED_VALUE"""),6752997)</f>
        <v>6752997</v>
      </c>
    </row>
    <row r="1239" customFormat="false" ht="15.75" hidden="false" customHeight="false" outlineLevel="0" collapsed="false">
      <c r="A1239" s="6" t="n">
        <f aca="false">IFERROR(__xludf.dummyfunction("""COMPUTED_VALUE"""),45996.6666666667)</f>
        <v>45996.6666666667</v>
      </c>
      <c r="B1239" s="5" t="n">
        <f aca="false">IFERROR(__xludf.dummyfunction("""COMPUTED_VALUE"""),296.05)</f>
        <v>296.05</v>
      </c>
      <c r="C1239" s="5" t="n">
        <f aca="false">IFERROR(__xludf.dummyfunction("""COMPUTED_VALUE"""),300.8)</f>
        <v>300.8</v>
      </c>
      <c r="D1239" s="5" t="n">
        <f aca="false">IFERROR(__xludf.dummyfunction("""COMPUTED_VALUE"""),293.25)</f>
        <v>293.25</v>
      </c>
      <c r="E1239" s="5" t="n">
        <f aca="false">IFERROR(__xludf.dummyfunction("""COMPUTED_VALUE"""),294.72)</f>
        <v>294.72</v>
      </c>
      <c r="F1239" s="5" t="n">
        <f aca="false">IFERROR(__xludf.dummyfunction("""COMPUTED_VALUE"""),10275297)</f>
        <v>10275297</v>
      </c>
    </row>
    <row r="1240" customFormat="false" ht="15.75" hidden="false" customHeight="false" outlineLevel="0" collapsed="false">
      <c r="A1240" s="6" t="n">
        <f aca="false">IFERROR(__xludf.dummyfunction("""COMPUTED_VALUE"""),45999.6666666667)</f>
        <v>45999.6666666667</v>
      </c>
      <c r="B1240" s="5" t="n">
        <f aca="false">IFERROR(__xludf.dummyfunction("""COMPUTED_VALUE"""),301.2)</f>
        <v>301.2</v>
      </c>
      <c r="C1240" s="5" t="n">
        <f aca="false">IFERROR(__xludf.dummyfunction("""COMPUTED_VALUE"""),302.62)</f>
        <v>302.62</v>
      </c>
      <c r="D1240" s="5" t="n">
        <f aca="false">IFERROR(__xludf.dummyfunction("""COMPUTED_VALUE"""),296.72)</f>
        <v>296.72</v>
      </c>
      <c r="E1240" s="5" t="n">
        <f aca="false">IFERROR(__xludf.dummyfunction("""COMPUTED_VALUE"""),301.87)</f>
        <v>301.87</v>
      </c>
      <c r="F1240" s="5" t="n">
        <f aca="false">IFERROR(__xludf.dummyfunction("""COMPUTED_VALUE"""),16643118)</f>
        <v>16643118</v>
      </c>
    </row>
    <row r="1241" customFormat="false" ht="15.75" hidden="false" customHeight="false" outlineLevel="0" collapsed="false">
      <c r="A1241" s="6" t="n">
        <f aca="false">IFERROR(__xludf.dummyfunction("""COMPUTED_VALUE"""),46000.6666666667)</f>
        <v>46000.6666666667</v>
      </c>
      <c r="B1241" s="5" t="n">
        <f aca="false">IFERROR(__xludf.dummyfunction("""COMPUTED_VALUE"""),299.99)</f>
        <v>299.99</v>
      </c>
      <c r="C1241" s="5" t="n">
        <f aca="false">IFERROR(__xludf.dummyfunction("""COMPUTED_VALUE"""),304.68)</f>
        <v>304.68</v>
      </c>
      <c r="D1241" s="5" t="n">
        <f aca="false">IFERROR(__xludf.dummyfunction("""COMPUTED_VALUE"""),298.5)</f>
        <v>298.5</v>
      </c>
      <c r="E1241" s="5" t="n">
        <f aca="false">IFERROR(__xludf.dummyfunction("""COMPUTED_VALUE"""),303.41)</f>
        <v>303.41</v>
      </c>
      <c r="F1241" s="5" t="n">
        <f aca="false">IFERROR(__xludf.dummyfunction("""COMPUTED_VALUE"""),11349073)</f>
        <v>11349073</v>
      </c>
    </row>
    <row r="1242" customFormat="false" ht="15.75" hidden="false" customHeight="false" outlineLevel="0" collapsed="false">
      <c r="A1242" s="6" t="n">
        <f aca="false">IFERROR(__xludf.dummyfunction("""COMPUTED_VALUE"""),46001.6666666667)</f>
        <v>46001.6666666667</v>
      </c>
      <c r="B1242" s="5" t="n">
        <f aca="false">IFERROR(__xludf.dummyfunction("""COMPUTED_VALUE"""),305.37)</f>
        <v>305.37</v>
      </c>
      <c r="C1242" s="5" t="n">
        <f aca="false">IFERROR(__xludf.dummyfunction("""COMPUTED_VALUE"""),313.98)</f>
        <v>313.98</v>
      </c>
      <c r="D1242" s="5" t="n">
        <f aca="false">IFERROR(__xludf.dummyfunction("""COMPUTED_VALUE"""),302.5)</f>
        <v>302.5</v>
      </c>
      <c r="E1242" s="5" t="n">
        <f aca="false">IFERROR(__xludf.dummyfunction("""COMPUTED_VALUE"""),310.14)</f>
        <v>310.14</v>
      </c>
      <c r="F1242" s="5" t="n">
        <f aca="false">IFERROR(__xludf.dummyfunction("""COMPUTED_VALUE"""),12429150)</f>
        <v>12429150</v>
      </c>
    </row>
    <row r="1243" customFormat="false" ht="15.75" hidden="false" customHeight="false" outlineLevel="0" collapsed="false">
      <c r="A1243" s="6" t="n">
        <f aca="false">IFERROR(__xludf.dummyfunction("""COMPUTED_VALUE"""),46002.6666666667)</f>
        <v>46002.6666666667</v>
      </c>
      <c r="B1243" s="5" t="n">
        <f aca="false">IFERROR(__xludf.dummyfunction("""COMPUTED_VALUE"""),305.32)</f>
        <v>305.32</v>
      </c>
      <c r="C1243" s="5" t="n">
        <f aca="false">IFERROR(__xludf.dummyfunction("""COMPUTED_VALUE"""),305.84)</f>
        <v>305.84</v>
      </c>
      <c r="D1243" s="5" t="n">
        <f aca="false">IFERROR(__xludf.dummyfunction("""COMPUTED_VALUE"""),299.64)</f>
        <v>299.64</v>
      </c>
      <c r="E1243" s="5" t="n">
        <f aca="false">IFERROR(__xludf.dummyfunction("""COMPUTED_VALUE"""),304.85)</f>
        <v>304.85</v>
      </c>
      <c r="F1243" s="5" t="n">
        <f aca="false">IFERROR(__xludf.dummyfunction("""COMPUTED_VALUE"""),15028375)</f>
        <v>15028375</v>
      </c>
    </row>
    <row r="1244" customFormat="false" ht="15.75" hidden="false" customHeight="false" outlineLevel="0" collapsed="false">
      <c r="A1244" s="6" t="n">
        <f aca="false">IFERROR(__xludf.dummyfunction("""COMPUTED_VALUE"""),46003.6666666667)</f>
        <v>46003.6666666667</v>
      </c>
      <c r="B1244" s="5" t="n">
        <f aca="false">IFERROR(__xludf.dummyfunction("""COMPUTED_VALUE"""),304.28)</f>
        <v>304.28</v>
      </c>
      <c r="C1244" s="5" t="n">
        <f aca="false">IFERROR(__xludf.dummyfunction("""COMPUTED_VALUE"""),304.28)</f>
        <v>304.28</v>
      </c>
      <c r="D1244" s="5" t="n">
        <f aca="false">IFERROR(__xludf.dummyfunction("""COMPUTED_VALUE"""),290.98)</f>
        <v>290.98</v>
      </c>
      <c r="E1244" s="5" t="n">
        <f aca="false">IFERROR(__xludf.dummyfunction("""COMPUTED_VALUE"""),292.04)</f>
        <v>292.04</v>
      </c>
      <c r="F1244" s="5" t="n">
        <f aca="false">IFERROR(__xludf.dummyfunction("""COMPUTED_VALUE"""),19306089)</f>
        <v>19306089</v>
      </c>
    </row>
    <row r="1245" customFormat="false" ht="15.75" hidden="false" customHeight="false" outlineLevel="0" collapsed="false">
      <c r="A1245" s="6" t="n">
        <f aca="false">IFERROR(__xludf.dummyfunction("""COMPUTED_VALUE"""),46006.6666666667)</f>
        <v>46006.6666666667</v>
      </c>
      <c r="B1245" s="5" t="n">
        <f aca="false">IFERROR(__xludf.dummyfunction("""COMPUTED_VALUE"""),295.15)</f>
        <v>295.15</v>
      </c>
      <c r="C1245" s="5" t="n">
        <f aca="false">IFERROR(__xludf.dummyfunction("""COMPUTED_VALUE"""),295.8)</f>
        <v>295.8</v>
      </c>
      <c r="D1245" s="5" t="n">
        <f aca="false">IFERROR(__xludf.dummyfunction("""COMPUTED_VALUE"""),287.55)</f>
        <v>287.55</v>
      </c>
      <c r="E1245" s="5" t="n">
        <f aca="false">IFERROR(__xludf.dummyfunction("""COMPUTED_VALUE"""),287.74)</f>
        <v>287.74</v>
      </c>
      <c r="F1245" s="5" t="n">
        <f aca="false">IFERROR(__xludf.dummyfunction("""COMPUTED_VALUE"""),12082441)</f>
        <v>12082441</v>
      </c>
    </row>
    <row r="1246" customFormat="false" ht="15.75" hidden="false" customHeight="false" outlineLevel="0" collapsed="false">
      <c r="A1246" s="6" t="n">
        <f aca="false">IFERROR(__xludf.dummyfunction("""COMPUTED_VALUE"""),46007.6666666667)</f>
        <v>46007.6666666667</v>
      </c>
      <c r="B1246" s="5" t="n">
        <f aca="false">IFERROR(__xludf.dummyfunction("""COMPUTED_VALUE"""),287.26)</f>
        <v>287.26</v>
      </c>
      <c r="C1246" s="5" t="n">
        <f aca="false">IFERROR(__xludf.dummyfunction("""COMPUTED_VALUE"""),288.46)</f>
        <v>288.46</v>
      </c>
      <c r="D1246" s="5" t="n">
        <f aca="false">IFERROR(__xludf.dummyfunction("""COMPUTED_VALUE"""),283.32)</f>
        <v>283.32</v>
      </c>
      <c r="E1246" s="5" t="n">
        <f aca="false">IFERROR(__xludf.dummyfunction("""COMPUTED_VALUE"""),286.87)</f>
        <v>286.87</v>
      </c>
      <c r="F1246" s="5" t="n">
        <f aca="false">IFERROR(__xludf.dummyfunction("""COMPUTED_VALUE"""),11418442)</f>
        <v>11418442</v>
      </c>
    </row>
    <row r="1247" customFormat="false" ht="15.75" hidden="false" customHeight="false" outlineLevel="0" collapsed="false">
      <c r="A1247" s="6" t="n">
        <f aca="false">IFERROR(__xludf.dummyfunction("""COMPUTED_VALUE"""),46008.6666666667)</f>
        <v>46008.6666666667</v>
      </c>
      <c r="B1247" s="5" t="n">
        <f aca="false">IFERROR(__xludf.dummyfunction("""COMPUTED_VALUE"""),288.52)</f>
        <v>288.52</v>
      </c>
      <c r="C1247" s="5" t="n">
        <f aca="false">IFERROR(__xludf.dummyfunction("""COMPUTED_VALUE"""),289.1)</f>
        <v>289.1</v>
      </c>
      <c r="D1247" s="5" t="n">
        <f aca="false">IFERROR(__xludf.dummyfunction("""COMPUTED_VALUE"""),275.08)</f>
        <v>275.08</v>
      </c>
      <c r="E1247" s="5" t="n">
        <f aca="false">IFERROR(__xludf.dummyfunction("""COMPUTED_VALUE"""),276.96)</f>
        <v>276.96</v>
      </c>
      <c r="F1247" s="5" t="n">
        <f aca="false">IFERROR(__xludf.dummyfunction("""COMPUTED_VALUE"""),16823004)</f>
        <v>16823004</v>
      </c>
    </row>
    <row r="1248" customFormat="false" ht="15.75" hidden="false" customHeight="false" outlineLevel="0" collapsed="false">
      <c r="A1248" s="6" t="n">
        <f aca="false">IFERROR(__xludf.dummyfunction("""COMPUTED_VALUE"""),46009.6666666667)</f>
        <v>46009.6666666667</v>
      </c>
      <c r="B1248" s="5" t="n">
        <f aca="false">IFERROR(__xludf.dummyfunction("""COMPUTED_VALUE"""),285)</f>
        <v>285</v>
      </c>
      <c r="C1248" s="5" t="n">
        <f aca="false">IFERROR(__xludf.dummyfunction("""COMPUTED_VALUE"""),287.16)</f>
        <v>287.16</v>
      </c>
      <c r="D1248" s="5" t="n">
        <f aca="false">IFERROR(__xludf.dummyfunction("""COMPUTED_VALUE"""),281.75)</f>
        <v>281.75</v>
      </c>
      <c r="E1248" s="5" t="n">
        <f aca="false">IFERROR(__xludf.dummyfunction("""COMPUTED_VALUE"""),284.68)</f>
        <v>284.68</v>
      </c>
      <c r="F1248" s="5" t="n">
        <f aca="false">IFERROR(__xludf.dummyfunction("""COMPUTED_VALUE"""),11260340)</f>
        <v>11260340</v>
      </c>
    </row>
    <row r="1249" customFormat="false" ht="15.75" hidden="false" customHeight="false" outlineLevel="0" collapsed="false">
      <c r="A1249" s="6" t="n">
        <f aca="false">IFERROR(__xludf.dummyfunction("""COMPUTED_VALUE"""),46010.6666666667)</f>
        <v>46010.6666666667</v>
      </c>
      <c r="B1249" s="5" t="n">
        <f aca="false">IFERROR(__xludf.dummyfunction("""COMPUTED_VALUE"""),286.38)</f>
        <v>286.38</v>
      </c>
      <c r="C1249" s="5" t="n">
        <f aca="false">IFERROR(__xludf.dummyfunction("""COMPUTED_VALUE"""),292.17)</f>
        <v>292.17</v>
      </c>
      <c r="D1249" s="5" t="n">
        <f aca="false">IFERROR(__xludf.dummyfunction("""COMPUTED_VALUE"""),286.38)</f>
        <v>286.38</v>
      </c>
      <c r="E1249" s="5" t="n">
        <f aca="false">IFERROR(__xludf.dummyfunction("""COMPUTED_VALUE"""),288.95)</f>
        <v>288.95</v>
      </c>
      <c r="F1249" s="5" t="n">
        <f aca="false">IFERROR(__xludf.dummyfunction("""COMPUTED_VALUE"""),12735804)</f>
        <v>12735804</v>
      </c>
    </row>
    <row r="1250" customFormat="false" ht="15.75" hidden="false" customHeight="false" outlineLevel="0" collapsed="false">
      <c r="A1250" s="6" t="n">
        <f aca="false">IFERROR(__xludf.dummyfunction("""COMPUTED_VALUE"""),46013.6666666667)</f>
        <v>46013.6666666667</v>
      </c>
      <c r="B1250" s="5" t="n">
        <f aca="false">IFERROR(__xludf.dummyfunction("""COMPUTED_VALUE"""),294.67)</f>
        <v>294.67</v>
      </c>
      <c r="C1250" s="5" t="n">
        <f aca="false">IFERROR(__xludf.dummyfunction("""COMPUTED_VALUE"""),295.01)</f>
        <v>295.01</v>
      </c>
      <c r="D1250" s="5" t="n">
        <f aca="false">IFERROR(__xludf.dummyfunction("""COMPUTED_VALUE"""),291.21)</f>
        <v>291.21</v>
      </c>
      <c r="E1250" s="5" t="n">
        <f aca="false">IFERROR(__xludf.dummyfunction("""COMPUTED_VALUE"""),293.28)</f>
        <v>293.28</v>
      </c>
      <c r="F1250" s="5" t="n">
        <f aca="false">IFERROR(__xludf.dummyfunction("""COMPUTED_VALUE"""),6091071)</f>
        <v>6091071</v>
      </c>
    </row>
    <row r="1251" customFormat="false" ht="15.75" hidden="false" customHeight="false" outlineLevel="0" collapsed="false">
      <c r="A1251" s="6" t="n">
        <f aca="false">IFERROR(__xludf.dummyfunction("""COMPUTED_VALUE"""),46014.6666666667)</f>
        <v>46014.6666666667</v>
      </c>
      <c r="B1251" s="5" t="n">
        <f aca="false">IFERROR(__xludf.dummyfunction("""COMPUTED_VALUE"""),293.4)</f>
        <v>293.4</v>
      </c>
      <c r="C1251" s="5" t="n">
        <f aca="false">IFERROR(__xludf.dummyfunction("""COMPUTED_VALUE"""),297.91)</f>
        <v>297.91</v>
      </c>
      <c r="D1251" s="5" t="n">
        <f aca="false">IFERROR(__xludf.dummyfunction("""COMPUTED_VALUE"""),292.2)</f>
        <v>292.2</v>
      </c>
      <c r="E1251" s="5" t="n">
        <f aca="false">IFERROR(__xludf.dummyfunction("""COMPUTED_VALUE"""),296.95)</f>
        <v>296.95</v>
      </c>
      <c r="F1251" s="5" t="n">
        <f aca="false">IFERROR(__xludf.dummyfunction("""COMPUTED_VALUE"""),6802255)</f>
        <v>6802255</v>
      </c>
    </row>
    <row r="1252" customFormat="false" ht="15.75" hidden="false" customHeight="false" outlineLevel="0" collapsed="false">
      <c r="A1252" s="6" t="n">
        <f aca="false">IFERROR(__xludf.dummyfunction("""COMPUTED_VALUE"""),46015.5416666667)</f>
        <v>46015.5416666667</v>
      </c>
      <c r="B1252" s="5" t="n">
        <f aca="false">IFERROR(__xludf.dummyfunction("""COMPUTED_VALUE"""),297.74)</f>
        <v>297.74</v>
      </c>
      <c r="C1252" s="5" t="n">
        <f aca="false">IFERROR(__xludf.dummyfunction("""COMPUTED_VALUE"""),299.16)</f>
        <v>299.16</v>
      </c>
      <c r="D1252" s="5" t="n">
        <f aca="false">IFERROR(__xludf.dummyfunction("""COMPUTED_VALUE"""),296.23)</f>
        <v>296.23</v>
      </c>
      <c r="E1252" s="5" t="n">
        <f aca="false">IFERROR(__xludf.dummyfunction("""COMPUTED_VALUE"""),298.8)</f>
        <v>298.8</v>
      </c>
      <c r="F1252" s="5" t="n">
        <f aca="false">IFERROR(__xludf.dummyfunction("""COMPUTED_VALUE"""),2753914)</f>
        <v>2753914</v>
      </c>
    </row>
    <row r="1253" customFormat="false" ht="15.75" hidden="false" customHeight="false" outlineLevel="0" collapsed="false">
      <c r="A1253" s="6" t="n">
        <f aca="false">IFERROR(__xludf.dummyfunction("""COMPUTED_VALUE"""),46017.6666666667)</f>
        <v>46017.6666666667</v>
      </c>
      <c r="B1253" s="5" t="n">
        <f aca="false">IFERROR(__xludf.dummyfunction("""COMPUTED_VALUE"""),299.74)</f>
        <v>299.74</v>
      </c>
      <c r="C1253" s="5" t="n">
        <f aca="false">IFERROR(__xludf.dummyfunction("""COMPUTED_VALUE"""),303.38)</f>
        <v>303.38</v>
      </c>
      <c r="D1253" s="5" t="n">
        <f aca="false">IFERROR(__xludf.dummyfunction("""COMPUTED_VALUE"""),298.52)</f>
        <v>298.52</v>
      </c>
      <c r="E1253" s="5" t="n">
        <f aca="false">IFERROR(__xludf.dummyfunction("""COMPUTED_VALUE"""),302.84)</f>
        <v>302.84</v>
      </c>
      <c r="F1253" s="5" t="n">
        <f aca="false">IFERROR(__xludf.dummyfunction("""COMPUTED_VALUE"""),5125913)</f>
        <v>5125913</v>
      </c>
    </row>
    <row r="1254" customFormat="false" ht="15.75" hidden="false" customHeight="false" outlineLevel="0" collapsed="false">
      <c r="A1254" s="6" t="n">
        <f aca="false">IFERROR(__xludf.dummyfunction("""COMPUTED_VALUE"""),46020.6666666667)</f>
        <v>46020.6666666667</v>
      </c>
      <c r="B1254" s="5" t="n">
        <f aca="false">IFERROR(__xludf.dummyfunction("""COMPUTED_VALUE"""),301.78)</f>
        <v>301.78</v>
      </c>
      <c r="C1254" s="5" t="n">
        <f aca="false">IFERROR(__xludf.dummyfunction("""COMPUTED_VALUE"""),304.5)</f>
        <v>304.5</v>
      </c>
      <c r="D1254" s="5" t="n">
        <f aca="false">IFERROR(__xludf.dummyfunction("""COMPUTED_VALUE"""),298.65)</f>
        <v>298.65</v>
      </c>
      <c r="E1254" s="5" t="n">
        <f aca="false">IFERROR(__xludf.dummyfunction("""COMPUTED_VALUE"""),300.92)</f>
        <v>300.92</v>
      </c>
      <c r="F1254" s="5" t="n">
        <f aca="false">IFERROR(__xludf.dummyfunction("""COMPUTED_VALUE"""),6205140)</f>
        <v>6205140</v>
      </c>
    </row>
    <row r="1255" customFormat="false" ht="15.75" hidden="false" customHeight="false" outlineLevel="0" collapsed="false">
      <c r="A1255" s="6" t="n">
        <f aca="false">IFERROR(__xludf.dummyfunction("""COMPUTED_VALUE"""),46021.6666666667)</f>
        <v>46021.6666666667</v>
      </c>
      <c r="B1255" s="5" t="n">
        <f aca="false">IFERROR(__xludf.dummyfunction("""COMPUTED_VALUE"""),302.36)</f>
        <v>302.36</v>
      </c>
      <c r="C1255" s="5" t="n">
        <f aca="false">IFERROR(__xludf.dummyfunction("""COMPUTED_VALUE"""),304.55)</f>
        <v>304.55</v>
      </c>
      <c r="D1255" s="5" t="n">
        <f aca="false">IFERROR(__xludf.dummyfunction("""COMPUTED_VALUE"""),299.45)</f>
        <v>299.45</v>
      </c>
      <c r="E1255" s="5" t="n">
        <f aca="false">IFERROR(__xludf.dummyfunction("""COMPUTED_VALUE"""),299.58)</f>
        <v>299.58</v>
      </c>
      <c r="F1255" s="5" t="n">
        <f aca="false">IFERROR(__xludf.dummyfunction("""COMPUTED_VALUE"""),6190570)</f>
        <v>6190570</v>
      </c>
    </row>
    <row r="1256" customFormat="false" ht="15.75" hidden="false" customHeight="false" outlineLevel="0" collapsed="false">
      <c r="A1256" s="6" t="n">
        <f aca="false">IFERROR(__xludf.dummyfunction("""COMPUTED_VALUE"""),46022.6666666667)</f>
        <v>46022.6666666667</v>
      </c>
      <c r="B1256" s="5" t="n">
        <f aca="false">IFERROR(__xludf.dummyfunction("""COMPUTED_VALUE"""),304)</f>
        <v>304</v>
      </c>
      <c r="C1256" s="5" t="n">
        <f aca="false">IFERROR(__xludf.dummyfunction("""COMPUTED_VALUE"""),307.39)</f>
        <v>307.39</v>
      </c>
      <c r="D1256" s="5" t="n">
        <f aca="false">IFERROR(__xludf.dummyfunction("""COMPUTED_VALUE"""),303.43)</f>
        <v>303.43</v>
      </c>
      <c r="E1256" s="5" t="n">
        <f aca="false">IFERROR(__xludf.dummyfunction("""COMPUTED_VALUE"""),303.89)</f>
        <v>303.89</v>
      </c>
      <c r="F1256" s="5" t="n">
        <f aca="false">IFERROR(__xludf.dummyfunction("""COMPUTED_VALUE"""),8175079)</f>
        <v>8175079</v>
      </c>
    </row>
    <row r="1257" customFormat="false" ht="15.75" hidden="false" customHeight="false" outlineLevel="0" collapsed="false">
      <c r="A1257" s="6" t="n">
        <f aca="false">IFERROR(__xludf.dummyfunction("""COMPUTED_VALUE"""),46024.6666666667)</f>
        <v>46024.6666666667</v>
      </c>
      <c r="B1257" s="5" t="n">
        <f aca="false">IFERROR(__xludf.dummyfunction("""COMPUTED_VALUE"""),311.98)</f>
        <v>311.98</v>
      </c>
      <c r="C1257" s="5" t="n">
        <f aca="false">IFERROR(__xludf.dummyfunction("""COMPUTED_VALUE"""),321.59)</f>
        <v>321.59</v>
      </c>
      <c r="D1257" s="5" t="n">
        <f aca="false">IFERROR(__xludf.dummyfunction("""COMPUTED_VALUE"""),311.7)</f>
        <v>311.7</v>
      </c>
      <c r="E1257" s="5" t="n">
        <f aca="false">IFERROR(__xludf.dummyfunction("""COMPUTED_VALUE"""),319.61)</f>
        <v>319.61</v>
      </c>
      <c r="F1257" s="5" t="n">
        <f aca="false">IFERROR(__xludf.dummyfunction("""COMPUTED_VALUE"""),18526908)</f>
        <v>18526908</v>
      </c>
    </row>
    <row r="1258" customFormat="false" ht="15.75" hidden="false" customHeight="false" outlineLevel="0" collapsed="false">
      <c r="A1258" s="6" t="n">
        <f aca="false">IFERROR(__xludf.dummyfunction("""COMPUTED_VALUE"""),46027.6666666667)</f>
        <v>46027.6666666667</v>
      </c>
      <c r="B1258" s="5" t="n">
        <f aca="false">IFERROR(__xludf.dummyfunction("""COMPUTED_VALUE"""),330.4)</f>
        <v>330.4</v>
      </c>
      <c r="C1258" s="5" t="n">
        <f aca="false">IFERROR(__xludf.dummyfunction("""COMPUTED_VALUE"""),331.25)</f>
        <v>331.25</v>
      </c>
      <c r="D1258" s="5" t="n">
        <f aca="false">IFERROR(__xludf.dummyfunction("""COMPUTED_VALUE"""),321.5)</f>
        <v>321.5</v>
      </c>
      <c r="E1258" s="5" t="n">
        <f aca="false">IFERROR(__xludf.dummyfunction("""COMPUTED_VALUE"""),322.25)</f>
        <v>322.25</v>
      </c>
      <c r="F1258" s="5" t="n">
        <f aca="false">IFERROR(__xludf.dummyfunction("""COMPUTED_VALUE"""),17446299)</f>
        <v>17446299</v>
      </c>
    </row>
    <row r="1259" customFormat="false" ht="15.75" hidden="false" customHeight="false" outlineLevel="0" collapsed="false">
      <c r="A1259" s="6" t="n">
        <f aca="false">IFERROR(__xludf.dummyfunction("""COMPUTED_VALUE"""),46028.6666666667)</f>
        <v>46028.6666666667</v>
      </c>
      <c r="B1259" s="5" t="n">
        <f aca="false">IFERROR(__xludf.dummyfunction("""COMPUTED_VALUE"""),330.22)</f>
        <v>330.22</v>
      </c>
      <c r="C1259" s="5" t="n">
        <f aca="false">IFERROR(__xludf.dummyfunction("""COMPUTED_VALUE"""),333.08)</f>
        <v>333.08</v>
      </c>
      <c r="D1259" s="5" t="n">
        <f aca="false">IFERROR(__xludf.dummyfunction("""COMPUTED_VALUE"""),324.59)</f>
        <v>324.59</v>
      </c>
      <c r="E1259" s="5" t="n">
        <f aca="false">IFERROR(__xludf.dummyfunction("""COMPUTED_VALUE"""),327.43)</f>
        <v>327.43</v>
      </c>
      <c r="F1259" s="5" t="n">
        <f aca="false">IFERROR(__xludf.dummyfunction("""COMPUTED_VALUE"""),15599625)</f>
        <v>15599625</v>
      </c>
    </row>
    <row r="1260" customFormat="false" ht="15.75" hidden="false" customHeight="false" outlineLevel="0" collapsed="false">
      <c r="A1260" s="6" t="n">
        <f aca="false">IFERROR(__xludf.dummyfunction("""COMPUTED_VALUE"""),46029.6666666667)</f>
        <v>46029.6666666667</v>
      </c>
      <c r="B1260" s="5" t="n">
        <f aca="false">IFERROR(__xludf.dummyfunction("""COMPUTED_VALUE"""),324.67)</f>
        <v>324.67</v>
      </c>
      <c r="C1260" s="5" t="n">
        <f aca="false">IFERROR(__xludf.dummyfunction("""COMPUTED_VALUE"""),326.3)</f>
        <v>326.3</v>
      </c>
      <c r="D1260" s="5" t="n">
        <f aca="false">IFERROR(__xludf.dummyfunction("""COMPUTED_VALUE"""),318.54)</f>
        <v>318.54</v>
      </c>
      <c r="E1260" s="5" t="n">
        <f aca="false">IFERROR(__xludf.dummyfunction("""COMPUTED_VALUE"""),318.68)</f>
        <v>318.68</v>
      </c>
      <c r="F1260" s="5" t="n">
        <f aca="false">IFERROR(__xludf.dummyfunction("""COMPUTED_VALUE"""),11744818)</f>
        <v>11744818</v>
      </c>
    </row>
    <row r="1261" customFormat="false" ht="15.75" hidden="false" customHeight="false" outlineLevel="0" collapsed="false">
      <c r="A1261" s="6" t="n">
        <f aca="false">IFERROR(__xludf.dummyfunction("""COMPUTED_VALUE"""),46030.6666666667)</f>
        <v>46030.6666666667</v>
      </c>
      <c r="B1261" s="5" t="n">
        <f aca="false">IFERROR(__xludf.dummyfunction("""COMPUTED_VALUE"""),324.39)</f>
        <v>324.39</v>
      </c>
      <c r="C1261" s="5" t="n">
        <f aca="false">IFERROR(__xludf.dummyfunction("""COMPUTED_VALUE"""),324.5)</f>
        <v>324.5</v>
      </c>
      <c r="D1261" s="5" t="n">
        <f aca="false">IFERROR(__xludf.dummyfunction("""COMPUTED_VALUE"""),316.14)</f>
        <v>316.14</v>
      </c>
      <c r="E1261" s="5" t="n">
        <f aca="false">IFERROR(__xludf.dummyfunction("""COMPUTED_VALUE"""),318.01)</f>
        <v>318.01</v>
      </c>
      <c r="F1261" s="5" t="n">
        <f aca="false">IFERROR(__xludf.dummyfunction("""COMPUTED_VALUE"""),10850820)</f>
        <v>10850820</v>
      </c>
    </row>
    <row r="1262" customFormat="false" ht="15.75" hidden="false" customHeight="false" outlineLevel="0" collapsed="false">
      <c r="A1262" s="6" t="n">
        <f aca="false">IFERROR(__xludf.dummyfunction("""COMPUTED_VALUE"""),46031.6666666667)</f>
        <v>46031.6666666667</v>
      </c>
      <c r="B1262" s="5" t="n">
        <f aca="false">IFERROR(__xludf.dummyfunction("""COMPUTED_VALUE"""),319.83)</f>
        <v>319.83</v>
      </c>
      <c r="C1262" s="5" t="n">
        <f aca="false">IFERROR(__xludf.dummyfunction("""COMPUTED_VALUE"""),324.77)</f>
        <v>324.77</v>
      </c>
      <c r="D1262" s="5" t="n">
        <f aca="false">IFERROR(__xludf.dummyfunction("""COMPUTED_VALUE"""),318.25)</f>
        <v>318.25</v>
      </c>
      <c r="E1262" s="5" t="n">
        <f aca="false">IFERROR(__xludf.dummyfunction("""COMPUTED_VALUE"""),323.63)</f>
        <v>323.63</v>
      </c>
      <c r="F1262" s="5" t="n">
        <f aca="false">IFERROR(__xludf.dummyfunction("""COMPUTED_VALUE"""),12325146)</f>
        <v>12325146</v>
      </c>
    </row>
    <row r="1263" customFormat="false" ht="15.75" hidden="false" customHeight="false" outlineLevel="0" collapsed="false">
      <c r="A1263" s="6" t="n">
        <f aca="false">IFERROR(__xludf.dummyfunction("""COMPUTED_VALUE"""),46034.6666666667)</f>
        <v>46034.6666666667</v>
      </c>
      <c r="B1263" s="5" t="n">
        <f aca="false">IFERROR(__xludf.dummyfunction("""COMPUTED_VALUE"""),322.1)</f>
        <v>322.1</v>
      </c>
      <c r="C1263" s="5" t="n">
        <f aca="false">IFERROR(__xludf.dummyfunction("""COMPUTED_VALUE"""),333.55)</f>
        <v>333.55</v>
      </c>
      <c r="D1263" s="5" t="n">
        <f aca="false">IFERROR(__xludf.dummyfunction("""COMPUTED_VALUE"""),321.06)</f>
        <v>321.06</v>
      </c>
      <c r="E1263" s="5" t="n">
        <f aca="false">IFERROR(__xludf.dummyfunction("""COMPUTED_VALUE"""),331.77)</f>
        <v>331.77</v>
      </c>
      <c r="F1263" s="5" t="n">
        <f aca="false">IFERROR(__xludf.dummyfunction("""COMPUTED_VALUE"""),12714751)</f>
        <v>12714751</v>
      </c>
    </row>
    <row r="1264" customFormat="false" ht="15.75" hidden="false" customHeight="false" outlineLevel="0" collapsed="false">
      <c r="A1264" s="6" t="n">
        <f aca="false">IFERROR(__xludf.dummyfunction("""COMPUTED_VALUE"""),46035.6666666667)</f>
        <v>46035.6666666667</v>
      </c>
      <c r="B1264" s="5" t="n">
        <f aca="false">IFERROR(__xludf.dummyfunction("""COMPUTED_VALUE"""),332.87)</f>
        <v>332.87</v>
      </c>
      <c r="C1264" s="5" t="n">
        <f aca="false">IFERROR(__xludf.dummyfunction("""COMPUTED_VALUE"""),336.42)</f>
        <v>336.42</v>
      </c>
      <c r="D1264" s="5" t="n">
        <f aca="false">IFERROR(__xludf.dummyfunction("""COMPUTED_VALUE"""),330.78)</f>
        <v>330.78</v>
      </c>
      <c r="E1264" s="5" t="n">
        <f aca="false">IFERROR(__xludf.dummyfunction("""COMPUTED_VALUE"""),331.21)</f>
        <v>331.21</v>
      </c>
      <c r="F1264" s="5" t="n">
        <f aca="false">IFERROR(__xludf.dummyfunction("""COMPUTED_VALUE"""),11473628)</f>
        <v>11473628</v>
      </c>
    </row>
    <row r="1265" customFormat="false" ht="15.75" hidden="false" customHeight="false" outlineLevel="0" collapsed="false">
      <c r="A1265" s="6" t="n">
        <f aca="false">IFERROR(__xludf.dummyfunction("""COMPUTED_VALUE"""),46036.6666666667)</f>
        <v>46036.6666666667</v>
      </c>
      <c r="B1265" s="5" t="n">
        <f aca="false">IFERROR(__xludf.dummyfunction("""COMPUTED_VALUE"""),329.86)</f>
        <v>329.86</v>
      </c>
      <c r="C1265" s="5" t="n">
        <f aca="false">IFERROR(__xludf.dummyfunction("""COMPUTED_VALUE"""),329.86)</f>
        <v>329.86</v>
      </c>
      <c r="D1265" s="5" t="n">
        <f aca="false">IFERROR(__xludf.dummyfunction("""COMPUTED_VALUE"""),324.82)</f>
        <v>324.82</v>
      </c>
      <c r="E1265" s="5" t="n">
        <f aca="false">IFERROR(__xludf.dummyfunction("""COMPUTED_VALUE"""),327.11)</f>
        <v>327.11</v>
      </c>
      <c r="F1265" s="5" t="n">
        <f aca="false">IFERROR(__xludf.dummyfunction("""COMPUTED_VALUE"""),11210830)</f>
        <v>11210830</v>
      </c>
    </row>
    <row r="1266" customFormat="false" ht="15.75" hidden="false" customHeight="false" outlineLevel="0" collapsed="false">
      <c r="A1266" s="6" t="n">
        <f aca="false">IFERROR(__xludf.dummyfunction("""COMPUTED_VALUE"""),46037.6666666667)</f>
        <v>46037.6666666667</v>
      </c>
      <c r="B1266" s="5" t="n">
        <f aca="false">IFERROR(__xludf.dummyfunction("""COMPUTED_VALUE"""),342.81)</f>
        <v>342.81</v>
      </c>
      <c r="C1266" s="5" t="n">
        <f aca="false">IFERROR(__xludf.dummyfunction("""COMPUTED_VALUE"""),351.33)</f>
        <v>351.33</v>
      </c>
      <c r="D1266" s="5" t="n">
        <f aca="false">IFERROR(__xludf.dummyfunction("""COMPUTED_VALUE"""),337.92)</f>
        <v>337.92</v>
      </c>
      <c r="E1266" s="5" t="n">
        <f aca="false">IFERROR(__xludf.dummyfunction("""COMPUTED_VALUE"""),341.64)</f>
        <v>341.64</v>
      </c>
      <c r="F1266" s="5" t="n">
        <f aca="false">IFERROR(__xludf.dummyfunction("""COMPUTED_VALUE"""),42188476)</f>
        <v>42188476</v>
      </c>
    </row>
    <row r="1267" customFormat="false" ht="15.75" hidden="false" customHeight="false" outlineLevel="0" collapsed="false">
      <c r="A1267" s="6" t="n">
        <f aca="false">IFERROR(__xludf.dummyfunction("""COMPUTED_VALUE"""),46038.6666666667)</f>
        <v>46038.6666666667</v>
      </c>
      <c r="B1267" s="5" t="n">
        <f aca="false">IFERROR(__xludf.dummyfunction("""COMPUTED_VALUE"""),346.51)</f>
        <v>346.51</v>
      </c>
      <c r="C1267" s="5" t="n">
        <f aca="false">IFERROR(__xludf.dummyfunction("""COMPUTED_VALUE"""),349.85)</f>
        <v>349.85</v>
      </c>
      <c r="D1267" s="5" t="n">
        <f aca="false">IFERROR(__xludf.dummyfunction("""COMPUTED_VALUE"""),341.46)</f>
        <v>341.46</v>
      </c>
      <c r="E1267" s="5" t="n">
        <f aca="false">IFERROR(__xludf.dummyfunction("""COMPUTED_VALUE"""),342.4)</f>
        <v>342.4</v>
      </c>
      <c r="F1267" s="5" t="n">
        <f aca="false">IFERROR(__xludf.dummyfunction("""COMPUTED_VALUE"""),18246104)</f>
        <v>18246104</v>
      </c>
    </row>
    <row r="1268" customFormat="false" ht="15.75" hidden="false" customHeight="false" outlineLevel="0" collapsed="false">
      <c r="A1268" s="6" t="n">
        <f aca="false">IFERROR(__xludf.dummyfunction("""COMPUTED_VALUE"""),46042.6666666667)</f>
        <v>46042.6666666667</v>
      </c>
      <c r="B1268" s="5" t="n">
        <f aca="false">IFERROR(__xludf.dummyfunction("""COMPUTED_VALUE"""),340.79)</f>
        <v>340.79</v>
      </c>
      <c r="C1268" s="5" t="n">
        <f aca="false">IFERROR(__xludf.dummyfunction("""COMPUTED_VALUE"""),342.15)</f>
        <v>342.15</v>
      </c>
      <c r="D1268" s="5" t="n">
        <f aca="false">IFERROR(__xludf.dummyfunction("""COMPUTED_VALUE"""),326.9)</f>
        <v>326.9</v>
      </c>
      <c r="E1268" s="5" t="n">
        <f aca="false">IFERROR(__xludf.dummyfunction("""COMPUTED_VALUE"""),327.16)</f>
        <v>327.16</v>
      </c>
      <c r="F1268" s="5" t="n">
        <f aca="false">IFERROR(__xludf.dummyfunction("""COMPUTED_VALUE"""),22809919)</f>
        <v>22809919</v>
      </c>
    </row>
    <row r="1269" customFormat="false" ht="15.75" hidden="false" customHeight="false" outlineLevel="0" collapsed="false">
      <c r="A1269" s="6" t="n">
        <f aca="false">IFERROR(__xludf.dummyfunction("""COMPUTED_VALUE"""),46043.6666666667)</f>
        <v>46043.6666666667</v>
      </c>
      <c r="B1269" s="5" t="n">
        <f aca="false">IFERROR(__xludf.dummyfunction("""COMPUTED_VALUE"""),333.43)</f>
        <v>333.43</v>
      </c>
      <c r="C1269" s="5" t="n">
        <f aca="false">IFERROR(__xludf.dummyfunction("""COMPUTED_VALUE"""),333.64)</f>
        <v>333.64</v>
      </c>
      <c r="D1269" s="5" t="n">
        <f aca="false">IFERROR(__xludf.dummyfunction("""COMPUTED_VALUE"""),325.68)</f>
        <v>325.68</v>
      </c>
      <c r="E1269" s="5" t="n">
        <f aca="false">IFERROR(__xludf.dummyfunction("""COMPUTED_VALUE"""),326.12)</f>
        <v>326.12</v>
      </c>
      <c r="F1269" s="5" t="n">
        <f aca="false">IFERROR(__xludf.dummyfunction("""COMPUTED_VALUE"""),16789752)</f>
        <v>16789752</v>
      </c>
    </row>
    <row r="1270" customFormat="false" ht="15.75" hidden="false" customHeight="false" outlineLevel="0" collapsed="false">
      <c r="A1270" s="6" t="n">
        <f aca="false">IFERROR(__xludf.dummyfunction("""COMPUTED_VALUE"""),46044.6666666667)</f>
        <v>46044.6666666667</v>
      </c>
      <c r="B1270" s="5" t="n">
        <f aca="false">IFERROR(__xludf.dummyfunction("""COMPUTED_VALUE"""),333.42)</f>
        <v>333.42</v>
      </c>
      <c r="C1270" s="5" t="n">
        <f aca="false">IFERROR(__xludf.dummyfunction("""COMPUTED_VALUE"""),335.05)</f>
        <v>335.05</v>
      </c>
      <c r="D1270" s="5" t="n">
        <f aca="false">IFERROR(__xludf.dummyfunction("""COMPUTED_VALUE"""),326.9)</f>
        <v>326.9</v>
      </c>
      <c r="E1270" s="5" t="n">
        <f aca="false">IFERROR(__xludf.dummyfunction("""COMPUTED_VALUE"""),327.37)</f>
        <v>327.37</v>
      </c>
      <c r="F1270" s="5" t="n">
        <f aca="false">IFERROR(__xludf.dummyfunction("""COMPUTED_VALUE"""),12800956)</f>
        <v>12800956</v>
      </c>
    </row>
    <row r="1271" customFormat="false" ht="15.75" hidden="false" customHeight="false" outlineLevel="0" collapsed="false">
      <c r="A1271" s="6" t="n">
        <f aca="false">IFERROR(__xludf.dummyfunction("""COMPUTED_VALUE"""),46045.6666666667)</f>
        <v>46045.6666666667</v>
      </c>
      <c r="B1271" s="5" t="n">
        <f aca="false">IFERROR(__xludf.dummyfunction("""COMPUTED_VALUE"""),332.07)</f>
        <v>332.07</v>
      </c>
      <c r="C1271" s="5" t="n">
        <f aca="false">IFERROR(__xludf.dummyfunction("""COMPUTED_VALUE"""),337.15)</f>
        <v>337.15</v>
      </c>
      <c r="D1271" s="5" t="n">
        <f aca="false">IFERROR(__xludf.dummyfunction("""COMPUTED_VALUE"""),331.37)</f>
        <v>331.37</v>
      </c>
      <c r="E1271" s="5" t="n">
        <f aca="false">IFERROR(__xludf.dummyfunction("""COMPUTED_VALUE"""),334.87)</f>
        <v>334.87</v>
      </c>
      <c r="F1271" s="5" t="n">
        <f aca="false">IFERROR(__xludf.dummyfunction("""COMPUTED_VALUE"""),12904448)</f>
        <v>12904448</v>
      </c>
    </row>
    <row r="1272" customFormat="false" ht="15.75" hidden="false" customHeight="false" outlineLevel="0" collapsed="false">
      <c r="A1272" s="6" t="n">
        <f aca="false">IFERROR(__xludf.dummyfunction("""COMPUTED_VALUE"""),46048.6666666667)</f>
        <v>46048.6666666667</v>
      </c>
      <c r="B1272" s="5" t="n">
        <f aca="false">IFERROR(__xludf.dummyfunction("""COMPUTED_VALUE"""),332.79)</f>
        <v>332.79</v>
      </c>
      <c r="C1272" s="5" t="n">
        <f aca="false">IFERROR(__xludf.dummyfunction("""COMPUTED_VALUE"""),335.1)</f>
        <v>335.1</v>
      </c>
      <c r="D1272" s="5" t="n">
        <f aca="false">IFERROR(__xludf.dummyfunction("""COMPUTED_VALUE"""),330.23)</f>
        <v>330.23</v>
      </c>
      <c r="E1272" s="5" t="n">
        <f aca="false">IFERROR(__xludf.dummyfunction("""COMPUTED_VALUE"""),332.71)</f>
        <v>332.71</v>
      </c>
      <c r="F1272" s="5" t="n">
        <f aca="false">IFERROR(__xludf.dummyfunction("""COMPUTED_VALUE"""),8646389)</f>
        <v>8646389</v>
      </c>
    </row>
    <row r="1273" customFormat="false" ht="15.75" hidden="false" customHeight="false" outlineLevel="0" collapsed="false">
      <c r="A1273" s="6" t="n">
        <f aca="false">IFERROR(__xludf.dummyfunction("""COMPUTED_VALUE"""),46049.6666666667)</f>
        <v>46049.6666666667</v>
      </c>
      <c r="B1273" s="5" t="n">
        <f aca="false">IFERROR(__xludf.dummyfunction("""COMPUTED_VALUE"""),336.5)</f>
        <v>336.5</v>
      </c>
      <c r="C1273" s="5" t="n">
        <f aca="false">IFERROR(__xludf.dummyfunction("""COMPUTED_VALUE"""),341.25)</f>
        <v>341.25</v>
      </c>
      <c r="D1273" s="5" t="n">
        <f aca="false">IFERROR(__xludf.dummyfunction("""COMPUTED_VALUE"""),334.56)</f>
        <v>334.56</v>
      </c>
      <c r="E1273" s="5" t="n">
        <f aca="false">IFERROR(__xludf.dummyfunction("""COMPUTED_VALUE"""),338.34)</f>
        <v>338.34</v>
      </c>
      <c r="F1273" s="5" t="n">
        <f aca="false">IFERROR(__xludf.dummyfunction("""COMPUTED_VALUE"""),11298113)</f>
        <v>11298113</v>
      </c>
    </row>
    <row r="1274" customFormat="false" ht="15.75" hidden="false" customHeight="false" outlineLevel="0" collapsed="false">
      <c r="A1274" s="6" t="n">
        <f aca="false">IFERROR(__xludf.dummyfunction("""COMPUTED_VALUE"""),46050.6666666667)</f>
        <v>46050.6666666667</v>
      </c>
      <c r="B1274" s="5" t="n">
        <f aca="false">IFERROR(__xludf.dummyfunction("""COMPUTED_VALUE"""),343.03)</f>
        <v>343.03</v>
      </c>
      <c r="C1274" s="5" t="n">
        <f aca="false">IFERROR(__xludf.dummyfunction("""COMPUTED_VALUE"""),345.5)</f>
        <v>345.5</v>
      </c>
      <c r="D1274" s="5" t="n">
        <f aca="false">IFERROR(__xludf.dummyfunction("""COMPUTED_VALUE"""),338.66)</f>
        <v>338.66</v>
      </c>
      <c r="E1274" s="5" t="n">
        <f aca="false">IFERROR(__xludf.dummyfunction("""COMPUTED_VALUE"""),342.3)</f>
        <v>342.3</v>
      </c>
      <c r="F1274" s="5" t="n">
        <f aca="false">IFERROR(__xludf.dummyfunction("""COMPUTED_VALUE"""),12140053)</f>
        <v>12140053</v>
      </c>
    </row>
    <row r="1275" customFormat="false" ht="15.75" hidden="false" customHeight="false" outlineLevel="0" collapsed="false">
      <c r="A1275" s="6" t="n">
        <f aca="false">IFERROR(__xludf.dummyfunction("""COMPUTED_VALUE"""),46051.6666666667)</f>
        <v>46051.6666666667</v>
      </c>
      <c r="B1275" s="5" t="n">
        <f aca="false">IFERROR(__xludf.dummyfunction("""COMPUTED_VALUE"""),339.8)</f>
        <v>339.8</v>
      </c>
      <c r="C1275" s="5" t="n">
        <f aca="false">IFERROR(__xludf.dummyfunction("""COMPUTED_VALUE"""),343.74)</f>
        <v>343.74</v>
      </c>
      <c r="D1275" s="5" t="n">
        <f aca="false">IFERROR(__xludf.dummyfunction("""COMPUTED_VALUE"""),328.2)</f>
        <v>328.2</v>
      </c>
      <c r="E1275" s="5" t="n">
        <f aca="false">IFERROR(__xludf.dummyfunction("""COMPUTED_VALUE"""),339.55)</f>
        <v>339.55</v>
      </c>
      <c r="F1275" s="5" t="n">
        <f aca="false">IFERROR(__xludf.dummyfunction("""COMPUTED_VALUE"""),13844752)</f>
        <v>13844752</v>
      </c>
    </row>
    <row r="1276" customFormat="false" ht="15.75" hidden="false" customHeight="false" outlineLevel="0" collapsed="false">
      <c r="A1276" s="6" t="n">
        <f aca="false">IFERROR(__xludf.dummyfunction("""COMPUTED_VALUE"""),46052.6666666667)</f>
        <v>46052.6666666667</v>
      </c>
      <c r="B1276" s="5" t="n">
        <f aca="false">IFERROR(__xludf.dummyfunction("""COMPUTED_VALUE"""),335.42)</f>
        <v>335.42</v>
      </c>
      <c r="C1276" s="5" t="n">
        <f aca="false">IFERROR(__xludf.dummyfunction("""COMPUTED_VALUE"""),339.9)</f>
        <v>339.9</v>
      </c>
      <c r="D1276" s="5" t="n">
        <f aca="false">IFERROR(__xludf.dummyfunction("""COMPUTED_VALUE"""),329.1)</f>
        <v>329.1</v>
      </c>
      <c r="E1276" s="5" t="n">
        <f aca="false">IFERROR(__xludf.dummyfunction("""COMPUTED_VALUE"""),330.56)</f>
        <v>330.56</v>
      </c>
      <c r="F1276" s="5" t="n">
        <f aca="false">IFERROR(__xludf.dummyfunction("""COMPUTED_VALUE"""),12028080)</f>
        <v>12028080</v>
      </c>
    </row>
    <row r="1277" customFormat="false" ht="15.75" hidden="false" customHeight="false" outlineLevel="0" collapsed="false">
      <c r="A1277" s="6" t="n">
        <f aca="false">IFERROR(__xludf.dummyfunction("""COMPUTED_VALUE"""),46055.6666666667)</f>
        <v>46055.6666666667</v>
      </c>
      <c r="B1277" s="5" t="n">
        <f aca="false">IFERROR(__xludf.dummyfunction("""COMPUTED_VALUE"""),330.76)</f>
        <v>330.76</v>
      </c>
      <c r="C1277" s="5" t="n">
        <f aca="false">IFERROR(__xludf.dummyfunction("""COMPUTED_VALUE"""),344.2)</f>
        <v>344.2</v>
      </c>
      <c r="D1277" s="5" t="n">
        <f aca="false">IFERROR(__xludf.dummyfunction("""COMPUTED_VALUE"""),329.1)</f>
        <v>329.1</v>
      </c>
      <c r="E1277" s="5" t="n">
        <f aca="false">IFERROR(__xludf.dummyfunction("""COMPUTED_VALUE"""),341.36)</f>
        <v>341.36</v>
      </c>
      <c r="F1277" s="5" t="n">
        <f aca="false">IFERROR(__xludf.dummyfunction("""COMPUTED_VALUE"""),12459096)</f>
        <v>12459096</v>
      </c>
    </row>
    <row r="1278" customFormat="false" ht="15.75" hidden="false" customHeight="false" outlineLevel="0" collapsed="false">
      <c r="A1278" s="6" t="n">
        <f aca="false">IFERROR(__xludf.dummyfunction("""COMPUTED_VALUE"""),46056.6666666667)</f>
        <v>46056.6666666667</v>
      </c>
      <c r="B1278" s="5" t="n">
        <f aca="false">IFERROR(__xludf.dummyfunction("""COMPUTED_VALUE"""),345.07)</f>
        <v>345.07</v>
      </c>
      <c r="C1278" s="5" t="n">
        <f aca="false">IFERROR(__xludf.dummyfunction("""COMPUTED_VALUE"""),347.05)</f>
        <v>347.05</v>
      </c>
      <c r="D1278" s="5" t="n">
        <f aca="false">IFERROR(__xludf.dummyfunction("""COMPUTED_VALUE"""),330.02)</f>
        <v>330.02</v>
      </c>
      <c r="E1278" s="5" t="n">
        <f aca="false">IFERROR(__xludf.dummyfunction("""COMPUTED_VALUE"""),335.75)</f>
        <v>335.75</v>
      </c>
      <c r="F1278" s="5" t="n">
        <f aca="false">IFERROR(__xludf.dummyfunction("""COMPUTED_VALUE"""),12540016)</f>
        <v>12540016</v>
      </c>
    </row>
    <row r="1279" customFormat="false" ht="15.75" hidden="false" customHeight="false" outlineLevel="0" collapsed="false">
      <c r="A1279" s="6" t="n">
        <f aca="false">IFERROR(__xludf.dummyfunction("""COMPUTED_VALUE"""),46057.6666666667)</f>
        <v>46057.6666666667</v>
      </c>
      <c r="B1279" s="5" t="n">
        <f aca="false">IFERROR(__xludf.dummyfunction("""COMPUTED_VALUE"""),335.6)</f>
        <v>335.6</v>
      </c>
      <c r="C1279" s="5" t="n">
        <f aca="false">IFERROR(__xludf.dummyfunction("""COMPUTED_VALUE"""),338.8)</f>
        <v>338.8</v>
      </c>
      <c r="D1279" s="5" t="n">
        <f aca="false">IFERROR(__xludf.dummyfunction("""COMPUTED_VALUE"""),319.07)</f>
        <v>319.07</v>
      </c>
      <c r="E1279" s="5" t="n">
        <f aca="false">IFERROR(__xludf.dummyfunction("""COMPUTED_VALUE"""),325.74)</f>
        <v>325.74</v>
      </c>
      <c r="F1279" s="5" t="n">
        <f aca="false">IFERROR(__xludf.dummyfunction("""COMPUTED_VALUE"""),18175958)</f>
        <v>18175958</v>
      </c>
    </row>
    <row r="1280" customFormat="false" ht="15.75" hidden="false" customHeight="false" outlineLevel="0" collapsed="false">
      <c r="A1280" s="6" t="n">
        <f aca="false">IFERROR(__xludf.dummyfunction("""COMPUTED_VALUE"""),46058.6666666667)</f>
        <v>46058.6666666667</v>
      </c>
      <c r="B1280" s="5" t="n">
        <f aca="false">IFERROR(__xludf.dummyfunction("""COMPUTED_VALUE"""),322.82)</f>
        <v>322.82</v>
      </c>
      <c r="C1280" s="5" t="n">
        <f aca="false">IFERROR(__xludf.dummyfunction("""COMPUTED_VALUE"""),334.57)</f>
        <v>334.57</v>
      </c>
      <c r="D1280" s="5" t="n">
        <f aca="false">IFERROR(__xludf.dummyfunction("""COMPUTED_VALUE"""),319.65)</f>
        <v>319.65</v>
      </c>
      <c r="E1280" s="5" t="n">
        <f aca="false">IFERROR(__xludf.dummyfunction("""COMPUTED_VALUE"""),330.73)</f>
        <v>330.73</v>
      </c>
      <c r="F1280" s="5" t="n">
        <f aca="false">IFERROR(__xludf.dummyfunction("""COMPUTED_VALUE"""),14812040)</f>
        <v>14812040</v>
      </c>
    </row>
    <row r="1281" customFormat="false" ht="15.75" hidden="false" customHeight="false" outlineLevel="0" collapsed="false">
      <c r="A1281" s="6" t="n">
        <f aca="false">IFERROR(__xludf.dummyfunction("""COMPUTED_VALUE"""),46059.6666666667)</f>
        <v>46059.6666666667</v>
      </c>
      <c r="B1281" s="5" t="n">
        <f aca="false">IFERROR(__xludf.dummyfunction("""COMPUTED_VALUE"""),337.5)</f>
        <v>337.5</v>
      </c>
      <c r="C1281" s="5" t="n">
        <f aca="false">IFERROR(__xludf.dummyfunction("""COMPUTED_VALUE"""),349.72)</f>
        <v>349.72</v>
      </c>
      <c r="D1281" s="5" t="n">
        <f aca="false">IFERROR(__xludf.dummyfunction("""COMPUTED_VALUE"""),336.65)</f>
        <v>336.65</v>
      </c>
      <c r="E1281" s="5" t="n">
        <f aca="false">IFERROR(__xludf.dummyfunction("""COMPUTED_VALUE"""),348.85)</f>
        <v>348.85</v>
      </c>
      <c r="F1281" s="5" t="n">
        <f aca="false">IFERROR(__xludf.dummyfunction("""COMPUTED_VALUE"""),17025523)</f>
        <v>17025523</v>
      </c>
    </row>
    <row r="1282" customFormat="false" ht="15.75" hidden="false" customHeight="false" outlineLevel="0" collapsed="false">
      <c r="A1282" s="6" t="n">
        <f aca="false">IFERROR(__xludf.dummyfunction("""COMPUTED_VALUE"""),46062.6666666667)</f>
        <v>46062.6666666667</v>
      </c>
      <c r="B1282" s="5" t="n">
        <f aca="false">IFERROR(__xludf.dummyfunction("""COMPUTED_VALUE"""),348.76)</f>
        <v>348.76</v>
      </c>
      <c r="C1282" s="5" t="n">
        <f aca="false">IFERROR(__xludf.dummyfunction("""COMPUTED_VALUE"""),359.6)</f>
        <v>359.6</v>
      </c>
      <c r="D1282" s="5" t="n">
        <f aca="false">IFERROR(__xludf.dummyfunction("""COMPUTED_VALUE"""),347.8)</f>
        <v>347.8</v>
      </c>
      <c r="E1282" s="5" t="n">
        <f aca="false">IFERROR(__xludf.dummyfunction("""COMPUTED_VALUE"""),355.41)</f>
        <v>355.41</v>
      </c>
      <c r="F1282" s="5" t="n">
        <f aca="false">IFERROR(__xludf.dummyfunction("""COMPUTED_VALUE"""),14594922)</f>
        <v>14594922</v>
      </c>
    </row>
    <row r="1283" customFormat="false" ht="15.75" hidden="false" customHeight="false" outlineLevel="0" collapsed="false">
      <c r="A1283" s="6" t="n">
        <f aca="false">IFERROR(__xludf.dummyfunction("""COMPUTED_VALUE"""),46063.6666666667)</f>
        <v>46063.6666666667</v>
      </c>
      <c r="B1283" s="5" t="n">
        <f aca="false">IFERROR(__xludf.dummyfunction("""COMPUTED_VALUE"""),364.33)</f>
        <v>364.33</v>
      </c>
      <c r="C1283" s="5" t="n">
        <f aca="false">IFERROR(__xludf.dummyfunction("""COMPUTED_VALUE"""),364.76)</f>
        <v>364.76</v>
      </c>
      <c r="D1283" s="5" t="n">
        <f aca="false">IFERROR(__xludf.dummyfunction("""COMPUTED_VALUE"""),356.39)</f>
        <v>356.39</v>
      </c>
      <c r="E1283" s="5" t="n">
        <f aca="false">IFERROR(__xludf.dummyfunction("""COMPUTED_VALUE"""),361.91)</f>
        <v>361.91</v>
      </c>
      <c r="F1283" s="5" t="n">
        <f aca="false">IFERROR(__xludf.dummyfunction("""COMPUTED_VALUE"""),14622132)</f>
        <v>14622132</v>
      </c>
    </row>
    <row r="1284" customFormat="false" ht="15.75" hidden="false" customHeight="false" outlineLevel="0" collapsed="false">
      <c r="A1284" s="6" t="n">
        <f aca="false">IFERROR(__xludf.dummyfunction("""COMPUTED_VALUE"""),46064.6666666667)</f>
        <v>46064.6666666667</v>
      </c>
      <c r="B1284" s="5" t="n">
        <f aca="false">IFERROR(__xludf.dummyfunction("""COMPUTED_VALUE"""),370.08)</f>
        <v>370.08</v>
      </c>
      <c r="C1284" s="5" t="n">
        <f aca="false">IFERROR(__xludf.dummyfunction("""COMPUTED_VALUE"""),379.58)</f>
        <v>379.58</v>
      </c>
      <c r="D1284" s="5" t="n">
        <f aca="false">IFERROR(__xludf.dummyfunction("""COMPUTED_VALUE"""),368.39)</f>
        <v>368.39</v>
      </c>
      <c r="E1284" s="5" t="n">
        <f aca="false">IFERROR(__xludf.dummyfunction("""COMPUTED_VALUE"""),374.09)</f>
        <v>374.09</v>
      </c>
      <c r="F1284" s="5" t="n">
        <f aca="false">IFERROR(__xludf.dummyfunction("""COMPUTED_VALUE"""),18651340)</f>
        <v>18651340</v>
      </c>
    </row>
    <row r="1285" customFormat="false" ht="15.75" hidden="false" customHeight="false" outlineLevel="0" collapsed="false">
      <c r="A1285" s="6" t="n">
        <f aca="false">IFERROR(__xludf.dummyfunction("""COMPUTED_VALUE"""),46065.6666666667)</f>
        <v>46065.6666666667</v>
      </c>
      <c r="B1285" s="5" t="n">
        <f aca="false">IFERROR(__xludf.dummyfunction("""COMPUTED_VALUE"""),379)</f>
        <v>379</v>
      </c>
      <c r="C1285" s="5" t="n">
        <f aca="false">IFERROR(__xludf.dummyfunction("""COMPUTED_VALUE"""),380)</f>
        <v>380</v>
      </c>
      <c r="D1285" s="5" t="n">
        <f aca="false">IFERROR(__xludf.dummyfunction("""COMPUTED_VALUE"""),322.1)</f>
        <v>322.1</v>
      </c>
      <c r="E1285" s="5" t="n">
        <f aca="false">IFERROR(__xludf.dummyfunction("""COMPUTED_VALUE"""),368.1)</f>
        <v>368.1</v>
      </c>
      <c r="F1285" s="5" t="n">
        <f aca="false">IFERROR(__xludf.dummyfunction("""COMPUTED_VALUE"""),16835434)</f>
        <v>16835434</v>
      </c>
    </row>
    <row r="1286" customFormat="false" ht="15.75" hidden="false" customHeight="false" outlineLevel="0" collapsed="false">
      <c r="A1286" s="6" t="n">
        <f aca="false">IFERROR(__xludf.dummyfunction("""COMPUTED_VALUE"""),46066.6666666667)</f>
        <v>46066.6666666667</v>
      </c>
      <c r="B1286" s="5" t="n">
        <f aca="false">IFERROR(__xludf.dummyfunction("""COMPUTED_VALUE"""),369.15)</f>
        <v>369.15</v>
      </c>
      <c r="C1286" s="5" t="n">
        <f aca="false">IFERROR(__xludf.dummyfunction("""COMPUTED_VALUE"""),371.11)</f>
        <v>371.11</v>
      </c>
      <c r="D1286" s="5" t="n">
        <f aca="false">IFERROR(__xludf.dummyfunction("""COMPUTED_VALUE"""),360.77)</f>
        <v>360.77</v>
      </c>
      <c r="E1286" s="5" t="n">
        <f aca="false">IFERROR(__xludf.dummyfunction("""COMPUTED_VALUE"""),366.36)</f>
        <v>366.36</v>
      </c>
      <c r="F1286" s="5" t="n">
        <f aca="false">IFERROR(__xludf.dummyfunction("""COMPUTED_VALUE"""),10468150)</f>
        <v>10468150</v>
      </c>
    </row>
    <row r="1287" customFormat="false" ht="15.75" hidden="false" customHeight="false" outlineLevel="0" collapsed="false">
      <c r="A1287" s="6" t="n">
        <f aca="false">IFERROR(__xludf.dummyfunction("""COMPUTED_VALUE"""),46070.6666666667)</f>
        <v>46070.6666666667</v>
      </c>
      <c r="B1287" s="5" t="n">
        <f aca="false">IFERROR(__xludf.dummyfunction("""COMPUTED_VALUE"""),361.87)</f>
        <v>361.87</v>
      </c>
      <c r="C1287" s="5" t="n">
        <f aca="false">IFERROR(__xludf.dummyfunction("""COMPUTED_VALUE"""),366.2)</f>
        <v>366.2</v>
      </c>
      <c r="D1287" s="5" t="n">
        <f aca="false">IFERROR(__xludf.dummyfunction("""COMPUTED_VALUE"""),356.24)</f>
        <v>356.24</v>
      </c>
      <c r="E1287" s="5" t="n">
        <f aca="false">IFERROR(__xludf.dummyfunction("""COMPUTED_VALUE"""),364.2)</f>
        <v>364.2</v>
      </c>
      <c r="F1287" s="5" t="n">
        <f aca="false">IFERROR(__xludf.dummyfunction("""COMPUTED_VALUE"""),10063802)</f>
        <v>10063802</v>
      </c>
    </row>
    <row r="1288" customFormat="false" ht="15.75" hidden="false" customHeight="false" outlineLevel="0" collapsed="false">
      <c r="A1288" s="6" t="n">
        <f aca="false">IFERROR(__xludf.dummyfunction("""COMPUTED_VALUE"""),46071.6666666667)</f>
        <v>46071.6666666667</v>
      </c>
      <c r="B1288" s="5" t="n">
        <f aca="false">IFERROR(__xludf.dummyfunction("""COMPUTED_VALUE"""),363.86)</f>
        <v>363.86</v>
      </c>
      <c r="C1288" s="5" t="n">
        <f aca="false">IFERROR(__xludf.dummyfunction("""COMPUTED_VALUE"""),369.39)</f>
        <v>369.39</v>
      </c>
      <c r="D1288" s="5" t="n">
        <f aca="false">IFERROR(__xludf.dummyfunction("""COMPUTED_VALUE"""),360.71)</f>
        <v>360.71</v>
      </c>
      <c r="E1288" s="5" t="n">
        <f aca="false">IFERROR(__xludf.dummyfunction("""COMPUTED_VALUE"""),362.26)</f>
        <v>362.26</v>
      </c>
      <c r="F1288" s="5" t="n">
        <f aca="false">IFERROR(__xludf.dummyfunction("""COMPUTED_VALUE"""),7310453)</f>
        <v>7310453</v>
      </c>
    </row>
    <row r="1289" customFormat="false" ht="15.75" hidden="false" customHeight="false" outlineLevel="0" collapsed="false">
      <c r="A1289" s="6" t="n">
        <f aca="false">IFERROR(__xludf.dummyfunction("""COMPUTED_VALUE"""),46072.6666666667)</f>
        <v>46072.6666666667</v>
      </c>
      <c r="B1289" s="5" t="n">
        <f aca="false">IFERROR(__xludf.dummyfunction("""COMPUTED_VALUE"""),359.72)</f>
        <v>359.72</v>
      </c>
      <c r="C1289" s="5" t="n">
        <f aca="false">IFERROR(__xludf.dummyfunction("""COMPUTED_VALUE"""),362.8)</f>
        <v>362.8</v>
      </c>
      <c r="D1289" s="5" t="n">
        <f aca="false">IFERROR(__xludf.dummyfunction("""COMPUTED_VALUE"""),357.44)</f>
        <v>357.44</v>
      </c>
      <c r="E1289" s="5" t="n">
        <f aca="false">IFERROR(__xludf.dummyfunction("""COMPUTED_VALUE"""),360.39)</f>
        <v>360.39</v>
      </c>
      <c r="F1289" s="5" t="n">
        <f aca="false">IFERROR(__xludf.dummyfunction("""COMPUTED_VALUE"""),6346478)</f>
        <v>6346478</v>
      </c>
    </row>
    <row r="1290" customFormat="false" ht="15.75" hidden="false" customHeight="false" outlineLevel="0" collapsed="false">
      <c r="A1290" s="6" t="n">
        <f aca="false">IFERROR(__xludf.dummyfunction("""COMPUTED_VALUE"""),46073.6666666667)</f>
        <v>46073.6666666667</v>
      </c>
      <c r="B1290" s="5" t="n">
        <f aca="false">IFERROR(__xludf.dummyfunction("""COMPUTED_VALUE"""),359.78)</f>
        <v>359.78</v>
      </c>
      <c r="C1290" s="5" t="n">
        <f aca="false">IFERROR(__xludf.dummyfunction("""COMPUTED_VALUE"""),372.2)</f>
        <v>372.2</v>
      </c>
      <c r="D1290" s="5" t="n">
        <f aca="false">IFERROR(__xludf.dummyfunction("""COMPUTED_VALUE"""),359.1)</f>
        <v>359.1</v>
      </c>
      <c r="E1290" s="5" t="n">
        <f aca="false">IFERROR(__xludf.dummyfunction("""COMPUTED_VALUE"""),370.54)</f>
        <v>370.54</v>
      </c>
      <c r="F1290" s="5" t="n">
        <f aca="false">IFERROR(__xludf.dummyfunction("""COMPUTED_VALUE"""),9009239)</f>
        <v>9009239</v>
      </c>
    </row>
    <row r="1291" customFormat="false" ht="15.75" hidden="false" customHeight="false" outlineLevel="0" collapsed="false">
      <c r="A1291" s="6" t="n">
        <f aca="false">IFERROR(__xludf.dummyfunction("""COMPUTED_VALUE"""),46076.6666666667)</f>
        <v>46076.6666666667</v>
      </c>
      <c r="B1291" s="5" t="n">
        <f aca="false">IFERROR(__xludf.dummyfunction("""COMPUTED_VALUE"""),367.01)</f>
        <v>367.01</v>
      </c>
      <c r="C1291" s="5" t="n">
        <f aca="false">IFERROR(__xludf.dummyfunction("""COMPUTED_VALUE"""),373.43)</f>
        <v>373.43</v>
      </c>
      <c r="D1291" s="5" t="n">
        <f aca="false">IFERROR(__xludf.dummyfunction("""COMPUTED_VALUE"""),366.46)</f>
        <v>366.46</v>
      </c>
      <c r="E1291" s="5" t="n">
        <f aca="false">IFERROR(__xludf.dummyfunction("""COMPUTED_VALUE"""),370.04)</f>
        <v>370.04</v>
      </c>
      <c r="F1291" s="5" t="n">
        <f aca="false">IFERROR(__xludf.dummyfunction("""COMPUTED_VALUE"""),8886958)</f>
        <v>8886958</v>
      </c>
    </row>
    <row r="1292" customFormat="false" ht="15.75" hidden="false" customHeight="false" outlineLevel="0" collapsed="false">
      <c r="A1292" s="6" t="n">
        <f aca="false">IFERROR(__xludf.dummyfunction("""COMPUTED_VALUE"""),46077.6666666667)</f>
        <v>46077.6666666667</v>
      </c>
      <c r="B1292" s="5" t="n">
        <f aca="false">IFERROR(__xludf.dummyfunction("""COMPUTED_VALUE"""),379.4)</f>
        <v>379.4</v>
      </c>
      <c r="C1292" s="5" t="n">
        <f aca="false">IFERROR(__xludf.dummyfunction("""COMPUTED_VALUE"""),389.18)</f>
        <v>389.18</v>
      </c>
      <c r="D1292" s="5" t="n">
        <f aca="false">IFERROR(__xludf.dummyfunction("""COMPUTED_VALUE"""),376.05)</f>
        <v>376.05</v>
      </c>
      <c r="E1292" s="5" t="n">
        <f aca="false">IFERROR(__xludf.dummyfunction("""COMPUTED_VALUE"""),385.75)</f>
        <v>385.75</v>
      </c>
      <c r="F1292" s="5" t="n">
        <f aca="false">IFERROR(__xludf.dummyfunction("""COMPUTED_VALUE"""),13144859)</f>
        <v>13144859</v>
      </c>
    </row>
    <row r="1293" customFormat="false" ht="15.75" hidden="false" customHeight="false" outlineLevel="0" collapsed="false">
      <c r="A1293" s="6" t="n">
        <f aca="false">IFERROR(__xludf.dummyfunction("""COMPUTED_VALUE"""),46078.6666666667)</f>
        <v>46078.6666666667</v>
      </c>
      <c r="B1293" s="5" t="n">
        <f aca="false">IFERROR(__xludf.dummyfunction("""COMPUTED_VALUE"""),390.21)</f>
        <v>390.21</v>
      </c>
      <c r="C1293" s="5" t="n">
        <f aca="false">IFERROR(__xludf.dummyfunction("""COMPUTED_VALUE"""),390.21)</f>
        <v>390.21</v>
      </c>
      <c r="D1293" s="5" t="n">
        <f aca="false">IFERROR(__xludf.dummyfunction("""COMPUTED_VALUE"""),384.83)</f>
        <v>384.83</v>
      </c>
      <c r="E1293" s="5" t="n">
        <f aca="false">IFERROR(__xludf.dummyfunction("""COMPUTED_VALUE"""),387.73)</f>
        <v>387.73</v>
      </c>
      <c r="F1293" s="5" t="n">
        <f aca="false">IFERROR(__xludf.dummyfunction("""COMPUTED_VALUE"""),10333557)</f>
        <v>10333557</v>
      </c>
    </row>
    <row r="1294" customFormat="false" ht="15.75" hidden="false" customHeight="false" outlineLevel="0" collapsed="false">
      <c r="A1294" s="6" t="n">
        <f aca="false">IFERROR(__xludf.dummyfunction("""COMPUTED_VALUE"""),46079.6666666667)</f>
        <v>46079.6666666667</v>
      </c>
      <c r="B1294" s="5" t="n">
        <f aca="false">IFERROR(__xludf.dummyfunction("""COMPUTED_VALUE"""),386.18)</f>
        <v>386.18</v>
      </c>
      <c r="C1294" s="5" t="n">
        <f aca="false">IFERROR(__xludf.dummyfunction("""COMPUTED_VALUE"""),386.47)</f>
        <v>386.47</v>
      </c>
      <c r="D1294" s="5" t="n">
        <f aca="false">IFERROR(__xludf.dummyfunction("""COMPUTED_VALUE"""),369.7)</f>
        <v>369.7</v>
      </c>
      <c r="E1294" s="5" t="n">
        <f aca="false">IFERROR(__xludf.dummyfunction("""COMPUTED_VALUE"""),376.81)</f>
        <v>376.81</v>
      </c>
      <c r="F1294" s="5" t="n">
        <f aca="false">IFERROR(__xludf.dummyfunction("""COMPUTED_VALUE"""),14426982)</f>
        <v>14426982</v>
      </c>
    </row>
    <row r="1295" customFormat="false" ht="15.75" hidden="false" customHeight="false" outlineLevel="0" collapsed="false">
      <c r="A1295" s="6" t="n">
        <f aca="false">IFERROR(__xludf.dummyfunction("""COMPUTED_VALUE"""),46080.6666666667)</f>
        <v>46080.6666666667</v>
      </c>
      <c r="B1295" s="5" t="n">
        <f aca="false">IFERROR(__xludf.dummyfunction("""COMPUTED_VALUE"""),370.14)</f>
        <v>370.14</v>
      </c>
      <c r="C1295" s="5" t="n">
        <f aca="false">IFERROR(__xludf.dummyfunction("""COMPUTED_VALUE"""),376.68)</f>
        <v>376.68</v>
      </c>
      <c r="D1295" s="5" t="n">
        <f aca="false">IFERROR(__xludf.dummyfunction("""COMPUTED_VALUE"""),368.62)</f>
        <v>368.62</v>
      </c>
      <c r="E1295" s="5" t="n">
        <f aca="false">IFERROR(__xludf.dummyfunction("""COMPUTED_VALUE"""),374.58)</f>
        <v>374.58</v>
      </c>
      <c r="F1295" s="5" t="n">
        <f aca="false">IFERROR(__xludf.dummyfunction("""COMPUTED_VALUE"""),9040359)</f>
        <v>9040359</v>
      </c>
    </row>
    <row r="1296" customFormat="false" ht="15.75" hidden="false" customHeight="false" outlineLevel="0" collapsed="false">
      <c r="A1296" s="6" t="n">
        <f aca="false">IFERROR(__xludf.dummyfunction("""COMPUTED_VALUE"""),46083.6666666667)</f>
        <v>46083.6666666667</v>
      </c>
      <c r="B1296" s="5" t="n">
        <f aca="false">IFERROR(__xludf.dummyfunction("""COMPUTED_VALUE"""),365.36)</f>
        <v>365.36</v>
      </c>
      <c r="C1296" s="5" t="n">
        <f aca="false">IFERROR(__xludf.dummyfunction("""COMPUTED_VALUE"""),373.1)</f>
        <v>373.1</v>
      </c>
      <c r="D1296" s="5" t="n">
        <f aca="false">IFERROR(__xludf.dummyfunction("""COMPUTED_VALUE"""),364.65)</f>
        <v>364.65</v>
      </c>
      <c r="E1296" s="5" t="n">
        <f aca="false">IFERROR(__xludf.dummyfunction("""COMPUTED_VALUE"""),369.11)</f>
        <v>369.11</v>
      </c>
      <c r="F1296" s="5" t="n">
        <f aca="false">IFERROR(__xludf.dummyfunction("""COMPUTED_VALUE"""),605575)</f>
        <v>605575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3.23828125" defaultRowHeight="15.75" customHeight="true" zeroHeight="false" outlineLevelRow="0" outlineLevelCol="0"/>
  <cols>
    <col collapsed="false" customWidth="false" hidden="false" outlineLevel="0" max="16384" min="1" style="7" width="23.23"/>
  </cols>
  <sheetData>
    <row r="1" customFormat="false" ht="15.75" hidden="false" customHeight="false" outlineLevel="0" collapsed="false">
      <c r="A1" s="8" t="str">
        <f aca="false">IFERROR(__xludf.dummyfunction("GOOGLEFINANCE(""META"" , ""ALL"" , DATE(2021,1,1) , TODAY())"),"Date")</f>
        <v>Date</v>
      </c>
      <c r="B1" s="8" t="str">
        <f aca="false">IFERROR(__xludf.dummyfunction("""COMPUTED_VALUE"""),"Open")</f>
        <v>Open</v>
      </c>
      <c r="C1" s="8" t="str">
        <f aca="false">IFERROR(__xludf.dummyfunction("""COMPUTED_VALUE"""),"High")</f>
        <v>High</v>
      </c>
      <c r="D1" s="8" t="str">
        <f aca="false">IFERROR(__xludf.dummyfunction("""COMPUTED_VALUE"""),"Low")</f>
        <v>Low</v>
      </c>
      <c r="E1" s="8" t="str">
        <f aca="false">IFERROR(__xludf.dummyfunction("""COMPUTED_VALUE"""),"Close")</f>
        <v>Close</v>
      </c>
      <c r="F1" s="8" t="str">
        <f aca="false">IFERROR(__xludf.dummyfunction("""COMPUTED_VALUE"""),"Volume")</f>
        <v>Volume</v>
      </c>
    </row>
    <row r="2" customFormat="false" ht="15.75" hidden="false" customHeight="false" outlineLevel="0" collapsed="false">
      <c r="A2" s="9" t="n">
        <f aca="false">IFERROR(__xludf.dummyfunction("""COMPUTED_VALUE"""),44200.6666666667)</f>
        <v>44200.6666666667</v>
      </c>
      <c r="B2" s="8" t="n">
        <f aca="false">IFERROR(__xludf.dummyfunction("""COMPUTED_VALUE"""),274.78)</f>
        <v>274.78</v>
      </c>
      <c r="C2" s="8" t="n">
        <f aca="false">IFERROR(__xludf.dummyfunction("""COMPUTED_VALUE"""),275)</f>
        <v>275</v>
      </c>
      <c r="D2" s="8" t="n">
        <f aca="false">IFERROR(__xludf.dummyfunction("""COMPUTED_VALUE"""),265.2)</f>
        <v>265.2</v>
      </c>
      <c r="E2" s="8" t="n">
        <f aca="false">IFERROR(__xludf.dummyfunction("""COMPUTED_VALUE"""),268.94)</f>
        <v>268.94</v>
      </c>
      <c r="F2" s="8" t="n">
        <f aca="false">IFERROR(__xludf.dummyfunction("""COMPUTED_VALUE"""),15106113)</f>
        <v>15106113</v>
      </c>
    </row>
    <row r="3" customFormat="false" ht="15.75" hidden="false" customHeight="false" outlineLevel="0" collapsed="false">
      <c r="A3" s="9" t="n">
        <f aca="false">IFERROR(__xludf.dummyfunction("""COMPUTED_VALUE"""),44201.6666666667)</f>
        <v>44201.6666666667</v>
      </c>
      <c r="B3" s="8" t="n">
        <f aca="false">IFERROR(__xludf.dummyfunction("""COMPUTED_VALUE"""),268.29)</f>
        <v>268.29</v>
      </c>
      <c r="C3" s="8" t="n">
        <f aca="false">IFERROR(__xludf.dummyfunction("""COMPUTED_VALUE"""),272.4)</f>
        <v>272.4</v>
      </c>
      <c r="D3" s="8" t="n">
        <f aca="false">IFERROR(__xludf.dummyfunction("""COMPUTED_VALUE"""),268.21)</f>
        <v>268.21</v>
      </c>
      <c r="E3" s="8" t="n">
        <f aca="false">IFERROR(__xludf.dummyfunction("""COMPUTED_VALUE"""),270.97)</f>
        <v>270.97</v>
      </c>
      <c r="F3" s="8" t="n">
        <f aca="false">IFERROR(__xludf.dummyfunction("""COMPUTED_VALUE"""),9871557)</f>
        <v>9871557</v>
      </c>
    </row>
    <row r="4" customFormat="false" ht="15.75" hidden="false" customHeight="false" outlineLevel="0" collapsed="false">
      <c r="A4" s="9" t="n">
        <f aca="false">IFERROR(__xludf.dummyfunction("""COMPUTED_VALUE"""),44202.6666666667)</f>
        <v>44202.6666666667</v>
      </c>
      <c r="B4" s="8" t="n">
        <f aca="false">IFERROR(__xludf.dummyfunction("""COMPUTED_VALUE"""),262)</f>
        <v>262</v>
      </c>
      <c r="C4" s="8" t="n">
        <f aca="false">IFERROR(__xludf.dummyfunction("""COMPUTED_VALUE"""),267.75)</f>
        <v>267.75</v>
      </c>
      <c r="D4" s="8" t="n">
        <f aca="false">IFERROR(__xludf.dummyfunction("""COMPUTED_VALUE"""),260.01)</f>
        <v>260.01</v>
      </c>
      <c r="E4" s="8" t="n">
        <f aca="false">IFERROR(__xludf.dummyfunction("""COMPUTED_VALUE"""),263.31)</f>
        <v>263.31</v>
      </c>
      <c r="F4" s="8" t="n">
        <f aca="false">IFERROR(__xludf.dummyfunction("""COMPUTED_VALUE"""),24354149)</f>
        <v>24354149</v>
      </c>
    </row>
    <row r="5" customFormat="false" ht="15.75" hidden="false" customHeight="false" outlineLevel="0" collapsed="false">
      <c r="A5" s="9" t="n">
        <f aca="false">IFERROR(__xludf.dummyfunction("""COMPUTED_VALUE"""),44203.6666666667)</f>
        <v>44203.6666666667</v>
      </c>
      <c r="B5" s="8" t="n">
        <f aca="false">IFERROR(__xludf.dummyfunction("""COMPUTED_VALUE"""),265.9)</f>
        <v>265.9</v>
      </c>
      <c r="C5" s="8" t="n">
        <f aca="false">IFERROR(__xludf.dummyfunction("""COMPUTED_VALUE"""),271.61)</f>
        <v>271.61</v>
      </c>
      <c r="D5" s="8" t="n">
        <f aca="false">IFERROR(__xludf.dummyfunction("""COMPUTED_VALUE"""),264.78)</f>
        <v>264.78</v>
      </c>
      <c r="E5" s="8" t="n">
        <f aca="false">IFERROR(__xludf.dummyfunction("""COMPUTED_VALUE"""),268.74)</f>
        <v>268.74</v>
      </c>
      <c r="F5" s="8" t="n">
        <f aca="false">IFERROR(__xludf.dummyfunction("""COMPUTED_VALUE"""),15789756)</f>
        <v>15789756</v>
      </c>
    </row>
    <row r="6" customFormat="false" ht="15.75" hidden="false" customHeight="false" outlineLevel="0" collapsed="false">
      <c r="A6" s="9" t="n">
        <f aca="false">IFERROR(__xludf.dummyfunction("""COMPUTED_VALUE"""),44204.6666666667)</f>
        <v>44204.6666666667</v>
      </c>
      <c r="B6" s="8" t="n">
        <f aca="false">IFERROR(__xludf.dummyfunction("""COMPUTED_VALUE"""),268.31)</f>
        <v>268.31</v>
      </c>
      <c r="C6" s="8" t="n">
        <f aca="false">IFERROR(__xludf.dummyfunction("""COMPUTED_VALUE"""),268.95)</f>
        <v>268.95</v>
      </c>
      <c r="D6" s="8" t="n">
        <f aca="false">IFERROR(__xludf.dummyfunction("""COMPUTED_VALUE"""),263.18)</f>
        <v>263.18</v>
      </c>
      <c r="E6" s="8" t="n">
        <f aca="false">IFERROR(__xludf.dummyfunction("""COMPUTED_VALUE"""),267.57)</f>
        <v>267.57</v>
      </c>
      <c r="F6" s="8" t="n">
        <f aca="false">IFERROR(__xludf.dummyfunction("""COMPUTED_VALUE"""),18528251)</f>
        <v>18528251</v>
      </c>
    </row>
    <row r="7" customFormat="false" ht="15.75" hidden="false" customHeight="false" outlineLevel="0" collapsed="false">
      <c r="A7" s="9" t="n">
        <f aca="false">IFERROR(__xludf.dummyfunction("""COMPUTED_VALUE"""),44207.6666666667)</f>
        <v>44207.6666666667</v>
      </c>
      <c r="B7" s="8" t="n">
        <f aca="false">IFERROR(__xludf.dummyfunction("""COMPUTED_VALUE"""),260.48)</f>
        <v>260.48</v>
      </c>
      <c r="C7" s="8" t="n">
        <f aca="false">IFERROR(__xludf.dummyfunction("""COMPUTED_VALUE"""),263.47)</f>
        <v>263.47</v>
      </c>
      <c r="D7" s="8" t="n">
        <f aca="false">IFERROR(__xludf.dummyfunction("""COMPUTED_VALUE"""),255.9)</f>
        <v>255.9</v>
      </c>
      <c r="E7" s="8" t="n">
        <f aca="false">IFERROR(__xludf.dummyfunction("""COMPUTED_VALUE"""),256.84)</f>
        <v>256.84</v>
      </c>
      <c r="F7" s="8" t="n">
        <f aca="false">IFERROR(__xludf.dummyfunction("""COMPUTED_VALUE"""),30412286)</f>
        <v>30412286</v>
      </c>
    </row>
    <row r="8" customFormat="false" ht="15.75" hidden="false" customHeight="false" outlineLevel="0" collapsed="false">
      <c r="A8" s="9" t="n">
        <f aca="false">IFERROR(__xludf.dummyfunction("""COMPUTED_VALUE"""),44208.6666666667)</f>
        <v>44208.6666666667</v>
      </c>
      <c r="B8" s="8" t="n">
        <f aca="false">IFERROR(__xludf.dummyfunction("""COMPUTED_VALUE"""),256.63)</f>
        <v>256.63</v>
      </c>
      <c r="C8" s="8" t="n">
        <f aca="false">IFERROR(__xludf.dummyfunction("""COMPUTED_VALUE"""),259.72)</f>
        <v>259.72</v>
      </c>
      <c r="D8" s="8" t="n">
        <f aca="false">IFERROR(__xludf.dummyfunction("""COMPUTED_VALUE"""),250.3)</f>
        <v>250.3</v>
      </c>
      <c r="E8" s="8" t="n">
        <f aca="false">IFERROR(__xludf.dummyfunction("""COMPUTED_VALUE"""),251.09)</f>
        <v>251.09</v>
      </c>
      <c r="F8" s="8" t="n">
        <f aca="false">IFERROR(__xludf.dummyfunction("""COMPUTED_VALUE"""),26449943)</f>
        <v>26449943</v>
      </c>
    </row>
    <row r="9" customFormat="false" ht="15.75" hidden="false" customHeight="false" outlineLevel="0" collapsed="false">
      <c r="A9" s="9" t="n">
        <f aca="false">IFERROR(__xludf.dummyfunction("""COMPUTED_VALUE"""),44209.6666666667)</f>
        <v>44209.6666666667</v>
      </c>
      <c r="B9" s="8" t="n">
        <f aca="false">IFERROR(__xludf.dummyfunction("""COMPUTED_VALUE"""),251.55)</f>
        <v>251.55</v>
      </c>
      <c r="C9" s="8" t="n">
        <f aca="false">IFERROR(__xludf.dummyfunction("""COMPUTED_VALUE"""),253.95)</f>
        <v>253.95</v>
      </c>
      <c r="D9" s="8" t="n">
        <f aca="false">IFERROR(__xludf.dummyfunction("""COMPUTED_VALUE"""),249.2)</f>
        <v>249.2</v>
      </c>
      <c r="E9" s="8" t="n">
        <f aca="false">IFERROR(__xludf.dummyfunction("""COMPUTED_VALUE"""),251.64)</f>
        <v>251.64</v>
      </c>
      <c r="F9" s="8" t="n">
        <f aca="false">IFERROR(__xludf.dummyfunction("""COMPUTED_VALUE"""),19528938)</f>
        <v>19528938</v>
      </c>
    </row>
    <row r="10" customFormat="false" ht="15.75" hidden="false" customHeight="false" outlineLevel="0" collapsed="false">
      <c r="A10" s="9" t="n">
        <f aca="false">IFERROR(__xludf.dummyfunction("""COMPUTED_VALUE"""),44210.6666666667)</f>
        <v>44210.6666666667</v>
      </c>
      <c r="B10" s="8" t="n">
        <f aca="false">IFERROR(__xludf.dummyfunction("""COMPUTED_VALUE"""),253.4)</f>
        <v>253.4</v>
      </c>
      <c r="C10" s="8" t="n">
        <f aca="false">IFERROR(__xludf.dummyfunction("""COMPUTED_VALUE"""),255.03)</f>
        <v>255.03</v>
      </c>
      <c r="D10" s="8" t="n">
        <f aca="false">IFERROR(__xludf.dummyfunction("""COMPUTED_VALUE"""),244.61)</f>
        <v>244.61</v>
      </c>
      <c r="E10" s="8" t="n">
        <f aca="false">IFERROR(__xludf.dummyfunction("""COMPUTED_VALUE"""),245.64)</f>
        <v>245.64</v>
      </c>
      <c r="F10" s="8" t="n">
        <f aca="false">IFERROR(__xludf.dummyfunction("""COMPUTED_VALUE"""),29739404)</f>
        <v>29739404</v>
      </c>
    </row>
    <row r="11" customFormat="false" ht="15.75" hidden="false" customHeight="false" outlineLevel="0" collapsed="false">
      <c r="A11" s="9" t="n">
        <f aca="false">IFERROR(__xludf.dummyfunction("""COMPUTED_VALUE"""),44211.6666666667)</f>
        <v>44211.6666666667</v>
      </c>
      <c r="B11" s="8" t="n">
        <f aca="false">IFERROR(__xludf.dummyfunction("""COMPUTED_VALUE"""),247.9)</f>
        <v>247.9</v>
      </c>
      <c r="C11" s="8" t="n">
        <f aca="false">IFERROR(__xludf.dummyfunction("""COMPUTED_VALUE"""),253.86)</f>
        <v>253.86</v>
      </c>
      <c r="D11" s="8" t="n">
        <f aca="false">IFERROR(__xludf.dummyfunction("""COMPUTED_VALUE"""),247.16)</f>
        <v>247.16</v>
      </c>
      <c r="E11" s="8" t="n">
        <f aca="false">IFERROR(__xludf.dummyfunction("""COMPUTED_VALUE"""),251.36)</f>
        <v>251.36</v>
      </c>
      <c r="F11" s="8" t="n">
        <f aca="false">IFERROR(__xludf.dummyfunction("""COMPUTED_VALUE"""),24942930)</f>
        <v>24942930</v>
      </c>
    </row>
    <row r="12" customFormat="false" ht="15.75" hidden="false" customHeight="false" outlineLevel="0" collapsed="false">
      <c r="A12" s="9" t="n">
        <f aca="false">IFERROR(__xludf.dummyfunction("""COMPUTED_VALUE"""),44215.6666666667)</f>
        <v>44215.6666666667</v>
      </c>
      <c r="B12" s="8" t="n">
        <f aca="false">IFERROR(__xludf.dummyfunction("""COMPUTED_VALUE"""),256.9)</f>
        <v>256.9</v>
      </c>
      <c r="C12" s="8" t="n">
        <f aca="false">IFERROR(__xludf.dummyfunction("""COMPUTED_VALUE"""),262.2)</f>
        <v>262.2</v>
      </c>
      <c r="D12" s="8" t="n">
        <f aca="false">IFERROR(__xludf.dummyfunction("""COMPUTED_VALUE"""),252.72)</f>
        <v>252.72</v>
      </c>
      <c r="E12" s="8" t="n">
        <f aca="false">IFERROR(__xludf.dummyfunction("""COMPUTED_VALUE"""),261.1)</f>
        <v>261.1</v>
      </c>
      <c r="F12" s="8" t="n">
        <f aca="false">IFERROR(__xludf.dummyfunction("""COMPUTED_VALUE"""),28028546)</f>
        <v>28028546</v>
      </c>
    </row>
    <row r="13" customFormat="false" ht="15.75" hidden="false" customHeight="false" outlineLevel="0" collapsed="false">
      <c r="A13" s="9" t="n">
        <f aca="false">IFERROR(__xludf.dummyfunction("""COMPUTED_VALUE"""),44216.6666666667)</f>
        <v>44216.6666666667</v>
      </c>
      <c r="B13" s="8" t="n">
        <f aca="false">IFERROR(__xludf.dummyfunction("""COMPUTED_VALUE"""),268.93)</f>
        <v>268.93</v>
      </c>
      <c r="C13" s="8" t="n">
        <f aca="false">IFERROR(__xludf.dummyfunction("""COMPUTED_VALUE"""),270.32)</f>
        <v>270.32</v>
      </c>
      <c r="D13" s="8" t="n">
        <f aca="false">IFERROR(__xludf.dummyfunction("""COMPUTED_VALUE"""),263.6)</f>
        <v>263.6</v>
      </c>
      <c r="E13" s="8" t="n">
        <f aca="false">IFERROR(__xludf.dummyfunction("""COMPUTED_VALUE"""),267.48)</f>
        <v>267.48</v>
      </c>
      <c r="F13" s="8" t="n">
        <f aca="false">IFERROR(__xludf.dummyfunction("""COMPUTED_VALUE"""),25199919)</f>
        <v>25199919</v>
      </c>
    </row>
    <row r="14" customFormat="false" ht="15.75" hidden="false" customHeight="false" outlineLevel="0" collapsed="false">
      <c r="A14" s="9" t="n">
        <f aca="false">IFERROR(__xludf.dummyfunction("""COMPUTED_VALUE"""),44217.6666666667)</f>
        <v>44217.6666666667</v>
      </c>
      <c r="B14" s="8" t="n">
        <f aca="false">IFERROR(__xludf.dummyfunction("""COMPUTED_VALUE"""),269.26)</f>
        <v>269.26</v>
      </c>
      <c r="C14" s="8" t="n">
        <f aca="false">IFERROR(__xludf.dummyfunction("""COMPUTED_VALUE"""),273.6)</f>
        <v>273.6</v>
      </c>
      <c r="D14" s="8" t="n">
        <f aca="false">IFERROR(__xludf.dummyfunction("""COMPUTED_VALUE"""),267.49)</f>
        <v>267.49</v>
      </c>
      <c r="E14" s="8" t="n">
        <f aca="false">IFERROR(__xludf.dummyfunction("""COMPUTED_VALUE"""),272.87)</f>
        <v>272.87</v>
      </c>
      <c r="F14" s="8" t="n">
        <f aca="false">IFERROR(__xludf.dummyfunction("""COMPUTED_VALUE"""),20838687)</f>
        <v>20838687</v>
      </c>
    </row>
    <row r="15" customFormat="false" ht="15.75" hidden="false" customHeight="false" outlineLevel="0" collapsed="false">
      <c r="A15" s="9" t="n">
        <f aca="false">IFERROR(__xludf.dummyfunction("""COMPUTED_VALUE"""),44218.6666666667)</f>
        <v>44218.6666666667</v>
      </c>
      <c r="B15" s="8" t="n">
        <f aca="false">IFERROR(__xludf.dummyfunction("""COMPUTED_VALUE"""),272.01)</f>
        <v>272.01</v>
      </c>
      <c r="C15" s="8" t="n">
        <f aca="false">IFERROR(__xludf.dummyfunction("""COMPUTED_VALUE"""),278.47)</f>
        <v>278.47</v>
      </c>
      <c r="D15" s="8" t="n">
        <f aca="false">IFERROR(__xludf.dummyfunction("""COMPUTED_VALUE"""),272)</f>
        <v>272</v>
      </c>
      <c r="E15" s="8" t="n">
        <f aca="false">IFERROR(__xludf.dummyfunction("""COMPUTED_VALUE"""),274.5)</f>
        <v>274.5</v>
      </c>
      <c r="F15" s="8" t="n">
        <f aca="false">IFERROR(__xludf.dummyfunction("""COMPUTED_VALUE"""),21954042)</f>
        <v>21954042</v>
      </c>
    </row>
    <row r="16" customFormat="false" ht="15.75" hidden="false" customHeight="false" outlineLevel="0" collapsed="false">
      <c r="A16" s="9" t="n">
        <f aca="false">IFERROR(__xludf.dummyfunction("""COMPUTED_VALUE"""),44221.6666666667)</f>
        <v>44221.6666666667</v>
      </c>
      <c r="B16" s="8" t="n">
        <f aca="false">IFERROR(__xludf.dummyfunction("""COMPUTED_VALUE"""),278.14)</f>
        <v>278.14</v>
      </c>
      <c r="C16" s="8" t="n">
        <f aca="false">IFERROR(__xludf.dummyfunction("""COMPUTED_VALUE"""),280.1)</f>
        <v>280.1</v>
      </c>
      <c r="D16" s="8" t="n">
        <f aca="false">IFERROR(__xludf.dummyfunction("""COMPUTED_VALUE"""),271.51)</f>
        <v>271.51</v>
      </c>
      <c r="E16" s="8" t="n">
        <f aca="false">IFERROR(__xludf.dummyfunction("""COMPUTED_VALUE"""),278.01)</f>
        <v>278.01</v>
      </c>
      <c r="F16" s="8" t="n">
        <f aca="false">IFERROR(__xludf.dummyfunction("""COMPUTED_VALUE"""),19086990)</f>
        <v>19086990</v>
      </c>
    </row>
    <row r="17" customFormat="false" ht="15.75" hidden="false" customHeight="false" outlineLevel="0" collapsed="false">
      <c r="A17" s="9" t="n">
        <f aca="false">IFERROR(__xludf.dummyfunction("""COMPUTED_VALUE"""),44222.6666666667)</f>
        <v>44222.6666666667</v>
      </c>
      <c r="B17" s="8" t="n">
        <f aca="false">IFERROR(__xludf.dummyfunction("""COMPUTED_VALUE"""),278.14)</f>
        <v>278.14</v>
      </c>
      <c r="C17" s="8" t="n">
        <f aca="false">IFERROR(__xludf.dummyfunction("""COMPUTED_VALUE"""),285.39)</f>
        <v>285.39</v>
      </c>
      <c r="D17" s="8" t="n">
        <f aca="false">IFERROR(__xludf.dummyfunction("""COMPUTED_VALUE"""),277.81)</f>
        <v>277.81</v>
      </c>
      <c r="E17" s="8" t="n">
        <f aca="false">IFERROR(__xludf.dummyfunction("""COMPUTED_VALUE"""),282.05)</f>
        <v>282.05</v>
      </c>
      <c r="F17" s="8" t="n">
        <f aca="false">IFERROR(__xludf.dummyfunction("""COMPUTED_VALUE"""),19373636)</f>
        <v>19373636</v>
      </c>
    </row>
    <row r="18" customFormat="false" ht="15.75" hidden="false" customHeight="false" outlineLevel="0" collapsed="false">
      <c r="A18" s="9" t="n">
        <f aca="false">IFERROR(__xludf.dummyfunction("""COMPUTED_VALUE"""),44223.6666666667)</f>
        <v>44223.6666666667</v>
      </c>
      <c r="B18" s="8" t="n">
        <f aca="false">IFERROR(__xludf.dummyfunction("""COMPUTED_VALUE"""),282.53)</f>
        <v>282.53</v>
      </c>
      <c r="C18" s="8" t="n">
        <f aca="false">IFERROR(__xludf.dummyfunction("""COMPUTED_VALUE"""),283.45)</f>
        <v>283.45</v>
      </c>
      <c r="D18" s="8" t="n">
        <f aca="false">IFERROR(__xludf.dummyfunction("""COMPUTED_VALUE"""),268.12)</f>
        <v>268.12</v>
      </c>
      <c r="E18" s="8" t="n">
        <f aca="false">IFERROR(__xludf.dummyfunction("""COMPUTED_VALUE"""),272.14)</f>
        <v>272.14</v>
      </c>
      <c r="F18" s="8" t="n">
        <f aca="false">IFERROR(__xludf.dummyfunction("""COMPUTED_VALUE"""),35346194)</f>
        <v>35346194</v>
      </c>
    </row>
    <row r="19" customFormat="false" ht="15.75" hidden="false" customHeight="false" outlineLevel="0" collapsed="false">
      <c r="A19" s="9" t="n">
        <f aca="false">IFERROR(__xludf.dummyfunction("""COMPUTED_VALUE"""),44224.6666666667)</f>
        <v>44224.6666666667</v>
      </c>
      <c r="B19" s="8" t="n">
        <f aca="false">IFERROR(__xludf.dummyfunction("""COMPUTED_VALUE"""),277.18)</f>
        <v>277.18</v>
      </c>
      <c r="C19" s="8" t="n">
        <f aca="false">IFERROR(__xludf.dummyfunction("""COMPUTED_VALUE"""),286.79)</f>
        <v>286.79</v>
      </c>
      <c r="D19" s="8" t="n">
        <f aca="false">IFERROR(__xludf.dummyfunction("""COMPUTED_VALUE"""),264.7)</f>
        <v>264.7</v>
      </c>
      <c r="E19" s="8" t="n">
        <f aca="false">IFERROR(__xludf.dummyfunction("""COMPUTED_VALUE"""),265)</f>
        <v>265</v>
      </c>
      <c r="F19" s="8" t="n">
        <f aca="false">IFERROR(__xludf.dummyfunction("""COMPUTED_VALUE"""),37758844)</f>
        <v>37758844</v>
      </c>
    </row>
    <row r="20" customFormat="false" ht="15.75" hidden="false" customHeight="false" outlineLevel="0" collapsed="false">
      <c r="A20" s="9" t="n">
        <f aca="false">IFERROR(__xludf.dummyfunction("""COMPUTED_VALUE"""),44225.6666666667)</f>
        <v>44225.6666666667</v>
      </c>
      <c r="B20" s="8" t="n">
        <f aca="false">IFERROR(__xludf.dummyfunction("""COMPUTED_VALUE"""),265.3)</f>
        <v>265.3</v>
      </c>
      <c r="C20" s="8" t="n">
        <f aca="false">IFERROR(__xludf.dummyfunction("""COMPUTED_VALUE"""),266.56)</f>
        <v>266.56</v>
      </c>
      <c r="D20" s="8" t="n">
        <f aca="false">IFERROR(__xludf.dummyfunction("""COMPUTED_VALUE"""),254.85)</f>
        <v>254.85</v>
      </c>
      <c r="E20" s="8" t="n">
        <f aca="false">IFERROR(__xludf.dummyfunction("""COMPUTED_VALUE"""),258.33)</f>
        <v>258.33</v>
      </c>
      <c r="F20" s="8" t="n">
        <f aca="false">IFERROR(__xludf.dummyfunction("""COMPUTED_VALUE"""),30389499)</f>
        <v>30389499</v>
      </c>
    </row>
    <row r="21" customFormat="false" ht="15.75" hidden="false" customHeight="false" outlineLevel="0" collapsed="false">
      <c r="A21" s="9" t="n">
        <f aca="false">IFERROR(__xludf.dummyfunction("""COMPUTED_VALUE"""),44228.6666666667)</f>
        <v>44228.6666666667</v>
      </c>
      <c r="B21" s="8" t="n">
        <f aca="false">IFERROR(__xludf.dummyfunction("""COMPUTED_VALUE"""),259.52)</f>
        <v>259.52</v>
      </c>
      <c r="C21" s="8" t="n">
        <f aca="false">IFERROR(__xludf.dummyfunction("""COMPUTED_VALUE"""),264.17)</f>
        <v>264.17</v>
      </c>
      <c r="D21" s="8" t="n">
        <f aca="false">IFERROR(__xludf.dummyfunction("""COMPUTED_VALUE"""),254.91)</f>
        <v>254.91</v>
      </c>
      <c r="E21" s="8" t="n">
        <f aca="false">IFERROR(__xludf.dummyfunction("""COMPUTED_VALUE"""),262.01)</f>
        <v>262.01</v>
      </c>
      <c r="F21" s="8" t="n">
        <f aca="false">IFERROR(__xludf.dummyfunction("""COMPUTED_VALUE"""),22914255)</f>
        <v>22914255</v>
      </c>
    </row>
    <row r="22" customFormat="false" ht="15.75" hidden="false" customHeight="false" outlineLevel="0" collapsed="false">
      <c r="A22" s="9" t="n">
        <f aca="false">IFERROR(__xludf.dummyfunction("""COMPUTED_VALUE"""),44229.6666666667)</f>
        <v>44229.6666666667</v>
      </c>
      <c r="B22" s="8" t="n">
        <f aca="false">IFERROR(__xludf.dummyfunction("""COMPUTED_VALUE"""),264)</f>
        <v>264</v>
      </c>
      <c r="C22" s="8" t="n">
        <f aca="false">IFERROR(__xludf.dummyfunction("""COMPUTED_VALUE"""),268.85)</f>
        <v>268.85</v>
      </c>
      <c r="D22" s="8" t="n">
        <f aca="false">IFERROR(__xludf.dummyfunction("""COMPUTED_VALUE"""),263.27)</f>
        <v>263.27</v>
      </c>
      <c r="E22" s="8" t="n">
        <f aca="false">IFERROR(__xludf.dummyfunction("""COMPUTED_VALUE"""),267.08)</f>
        <v>267.08</v>
      </c>
      <c r="F22" s="8" t="n">
        <f aca="false">IFERROR(__xludf.dummyfunction("""COMPUTED_VALUE"""),17320788)</f>
        <v>17320788</v>
      </c>
    </row>
    <row r="23" customFormat="false" ht="15.75" hidden="false" customHeight="false" outlineLevel="0" collapsed="false">
      <c r="A23" s="9" t="n">
        <f aca="false">IFERROR(__xludf.dummyfunction("""COMPUTED_VALUE"""),44230.6666666667)</f>
        <v>44230.6666666667</v>
      </c>
      <c r="B23" s="8" t="n">
        <f aca="false">IFERROR(__xludf.dummyfunction("""COMPUTED_VALUE"""),265.62)</f>
        <v>265.62</v>
      </c>
      <c r="C23" s="8" t="n">
        <f aca="false">IFERROR(__xludf.dummyfunction("""COMPUTED_VALUE"""),269.2)</f>
        <v>269.2</v>
      </c>
      <c r="D23" s="8" t="n">
        <f aca="false">IFERROR(__xludf.dummyfunction("""COMPUTED_VALUE"""),263.84)</f>
        <v>263.84</v>
      </c>
      <c r="E23" s="8" t="n">
        <f aca="false">IFERROR(__xludf.dummyfunction("""COMPUTED_VALUE"""),266.65)</f>
        <v>266.65</v>
      </c>
      <c r="F23" s="8" t="n">
        <f aca="false">IFERROR(__xludf.dummyfunction("""COMPUTED_VALUE"""),14223377)</f>
        <v>14223377</v>
      </c>
    </row>
    <row r="24" customFormat="false" ht="15.75" hidden="false" customHeight="false" outlineLevel="0" collapsed="false">
      <c r="A24" s="9" t="n">
        <f aca="false">IFERROR(__xludf.dummyfunction("""COMPUTED_VALUE"""),44231.6666666667)</f>
        <v>44231.6666666667</v>
      </c>
      <c r="B24" s="8" t="n">
        <f aca="false">IFERROR(__xludf.dummyfunction("""COMPUTED_VALUE"""),267.01)</f>
        <v>267.01</v>
      </c>
      <c r="C24" s="8" t="n">
        <f aca="false">IFERROR(__xludf.dummyfunction("""COMPUTED_VALUE"""),268.16)</f>
        <v>268.16</v>
      </c>
      <c r="D24" s="8" t="n">
        <f aca="false">IFERROR(__xludf.dummyfunction("""COMPUTED_VALUE"""),264)</f>
        <v>264</v>
      </c>
      <c r="E24" s="8" t="n">
        <f aca="false">IFERROR(__xludf.dummyfunction("""COMPUTED_VALUE"""),266.49)</f>
        <v>266.49</v>
      </c>
      <c r="F24" s="8" t="n">
        <f aca="false">IFERROR(__xludf.dummyfunction("""COMPUTED_VALUE"""),16059958)</f>
        <v>16059958</v>
      </c>
    </row>
    <row r="25" customFormat="false" ht="15.75" hidden="false" customHeight="false" outlineLevel="0" collapsed="false">
      <c r="A25" s="9" t="n">
        <f aca="false">IFERROR(__xludf.dummyfunction("""COMPUTED_VALUE"""),44232.6666666667)</f>
        <v>44232.6666666667</v>
      </c>
      <c r="B25" s="8" t="n">
        <f aca="false">IFERROR(__xludf.dummyfunction("""COMPUTED_VALUE"""),266.8)</f>
        <v>266.8</v>
      </c>
      <c r="C25" s="8" t="n">
        <f aca="false">IFERROR(__xludf.dummyfunction("""COMPUTED_VALUE"""),269.17)</f>
        <v>269.17</v>
      </c>
      <c r="D25" s="8" t="n">
        <f aca="false">IFERROR(__xludf.dummyfunction("""COMPUTED_VALUE"""),265.67)</f>
        <v>265.67</v>
      </c>
      <c r="E25" s="8" t="n">
        <f aca="false">IFERROR(__xludf.dummyfunction("""COMPUTED_VALUE"""),268.1)</f>
        <v>268.1</v>
      </c>
      <c r="F25" s="8" t="n">
        <f aca="false">IFERROR(__xludf.dummyfunction("""COMPUTED_VALUE"""),12454367)</f>
        <v>12454367</v>
      </c>
    </row>
    <row r="26" customFormat="false" ht="15.75" hidden="false" customHeight="false" outlineLevel="0" collapsed="false">
      <c r="A26" s="9" t="n">
        <f aca="false">IFERROR(__xludf.dummyfunction("""COMPUTED_VALUE"""),44235.6666666667)</f>
        <v>44235.6666666667</v>
      </c>
      <c r="B26" s="8" t="n">
        <f aca="false">IFERROR(__xludf.dummyfunction("""COMPUTED_VALUE"""),268.75)</f>
        <v>268.75</v>
      </c>
      <c r="C26" s="8" t="n">
        <f aca="false">IFERROR(__xludf.dummyfunction("""COMPUTED_VALUE"""),269.86)</f>
        <v>269.86</v>
      </c>
      <c r="D26" s="8" t="n">
        <f aca="false">IFERROR(__xludf.dummyfunction("""COMPUTED_VALUE"""),265)</f>
        <v>265</v>
      </c>
      <c r="E26" s="8" t="n">
        <f aca="false">IFERROR(__xludf.dummyfunction("""COMPUTED_VALUE"""),266.58)</f>
        <v>266.58</v>
      </c>
      <c r="F26" s="8" t="n">
        <f aca="false">IFERROR(__xludf.dummyfunction("""COMPUTED_VALUE"""),13755191)</f>
        <v>13755191</v>
      </c>
    </row>
    <row r="27" customFormat="false" ht="15.75" hidden="false" customHeight="false" outlineLevel="0" collapsed="false">
      <c r="A27" s="9" t="n">
        <f aca="false">IFERROR(__xludf.dummyfunction("""COMPUTED_VALUE"""),44236.6666666667)</f>
        <v>44236.6666666667</v>
      </c>
      <c r="B27" s="8" t="n">
        <f aca="false">IFERROR(__xludf.dummyfunction("""COMPUTED_VALUE"""),266.44)</f>
        <v>266.44</v>
      </c>
      <c r="C27" s="8" t="n">
        <f aca="false">IFERROR(__xludf.dummyfunction("""COMPUTED_VALUE"""),273.39)</f>
        <v>273.39</v>
      </c>
      <c r="D27" s="8" t="n">
        <f aca="false">IFERROR(__xludf.dummyfunction("""COMPUTED_VALUE"""),265.75)</f>
        <v>265.75</v>
      </c>
      <c r="E27" s="8" t="n">
        <f aca="false">IFERROR(__xludf.dummyfunction("""COMPUTED_VALUE"""),269.45)</f>
        <v>269.45</v>
      </c>
      <c r="F27" s="8" t="n">
        <f aca="false">IFERROR(__xludf.dummyfunction("""COMPUTED_VALUE"""),14613375)</f>
        <v>14613375</v>
      </c>
    </row>
    <row r="28" customFormat="false" ht="15.75" hidden="false" customHeight="false" outlineLevel="0" collapsed="false">
      <c r="A28" s="9" t="n">
        <f aca="false">IFERROR(__xludf.dummyfunction("""COMPUTED_VALUE"""),44237.6666666667)</f>
        <v>44237.6666666667</v>
      </c>
      <c r="B28" s="8" t="n">
        <f aca="false">IFERROR(__xludf.dummyfunction("""COMPUTED_VALUE"""),272.45)</f>
        <v>272.45</v>
      </c>
      <c r="C28" s="8" t="n">
        <f aca="false">IFERROR(__xludf.dummyfunction("""COMPUTED_VALUE"""),273.8)</f>
        <v>273.8</v>
      </c>
      <c r="D28" s="8" t="n">
        <f aca="false">IFERROR(__xludf.dummyfunction("""COMPUTED_VALUE"""),267.72)</f>
        <v>267.72</v>
      </c>
      <c r="E28" s="8" t="n">
        <f aca="false">IFERROR(__xludf.dummyfunction("""COMPUTED_VALUE"""),271.87)</f>
        <v>271.87</v>
      </c>
      <c r="F28" s="8" t="n">
        <f aca="false">IFERROR(__xludf.dummyfunction("""COMPUTED_VALUE"""),14687152)</f>
        <v>14687152</v>
      </c>
    </row>
    <row r="29" customFormat="false" ht="15.75" hidden="false" customHeight="false" outlineLevel="0" collapsed="false">
      <c r="A29" s="9" t="n">
        <f aca="false">IFERROR(__xludf.dummyfunction("""COMPUTED_VALUE"""),44238.6666666667)</f>
        <v>44238.6666666667</v>
      </c>
      <c r="B29" s="8" t="n">
        <f aca="false">IFERROR(__xludf.dummyfunction("""COMPUTED_VALUE"""),271.89)</f>
        <v>271.89</v>
      </c>
      <c r="C29" s="8" t="n">
        <f aca="false">IFERROR(__xludf.dummyfunction("""COMPUTED_VALUE"""),273.58)</f>
        <v>273.58</v>
      </c>
      <c r="D29" s="8" t="n">
        <f aca="false">IFERROR(__xludf.dummyfunction("""COMPUTED_VALUE"""),268.49)</f>
        <v>268.49</v>
      </c>
      <c r="E29" s="8" t="n">
        <f aca="false">IFERROR(__xludf.dummyfunction("""COMPUTED_VALUE"""),270.39)</f>
        <v>270.39</v>
      </c>
      <c r="F29" s="8" t="n">
        <f aca="false">IFERROR(__xludf.dummyfunction("""COMPUTED_VALUE"""),12828572)</f>
        <v>12828572</v>
      </c>
    </row>
    <row r="30" customFormat="false" ht="15.75" hidden="false" customHeight="false" outlineLevel="0" collapsed="false">
      <c r="A30" s="9" t="n">
        <f aca="false">IFERROR(__xludf.dummyfunction("""COMPUTED_VALUE"""),44239.6666666667)</f>
        <v>44239.6666666667</v>
      </c>
      <c r="B30" s="8" t="n">
        <f aca="false">IFERROR(__xludf.dummyfunction("""COMPUTED_VALUE"""),270.52)</f>
        <v>270.52</v>
      </c>
      <c r="C30" s="8" t="n">
        <f aca="false">IFERROR(__xludf.dummyfunction("""COMPUTED_VALUE"""),271.18)</f>
        <v>271.18</v>
      </c>
      <c r="D30" s="8" t="n">
        <f aca="false">IFERROR(__xludf.dummyfunction("""COMPUTED_VALUE"""),268.34)</f>
        <v>268.34</v>
      </c>
      <c r="E30" s="8" t="n">
        <f aca="false">IFERROR(__xludf.dummyfunction("""COMPUTED_VALUE"""),270.5)</f>
        <v>270.5</v>
      </c>
      <c r="F30" s="8" t="n">
        <f aca="false">IFERROR(__xludf.dummyfunction("""COMPUTED_VALUE"""),9097597)</f>
        <v>9097597</v>
      </c>
    </row>
    <row r="31" customFormat="false" ht="15.75" hidden="false" customHeight="false" outlineLevel="0" collapsed="false">
      <c r="A31" s="9" t="n">
        <f aca="false">IFERROR(__xludf.dummyfunction("""COMPUTED_VALUE"""),44243.6666666667)</f>
        <v>44243.6666666667</v>
      </c>
      <c r="B31" s="8" t="n">
        <f aca="false">IFERROR(__xludf.dummyfunction("""COMPUTED_VALUE"""),270.8)</f>
        <v>270.8</v>
      </c>
      <c r="C31" s="8" t="n">
        <f aca="false">IFERROR(__xludf.dummyfunction("""COMPUTED_VALUE"""),276.6)</f>
        <v>276.6</v>
      </c>
      <c r="D31" s="8" t="n">
        <f aca="false">IFERROR(__xludf.dummyfunction("""COMPUTED_VALUE"""),270.05)</f>
        <v>270.05</v>
      </c>
      <c r="E31" s="8" t="n">
        <f aca="false">IFERROR(__xludf.dummyfunction("""COMPUTED_VALUE"""),273.97)</f>
        <v>273.97</v>
      </c>
      <c r="F31" s="8" t="n">
        <f aca="false">IFERROR(__xludf.dummyfunction("""COMPUTED_VALUE"""),15417243)</f>
        <v>15417243</v>
      </c>
    </row>
    <row r="32" customFormat="false" ht="15.75" hidden="false" customHeight="false" outlineLevel="0" collapsed="false">
      <c r="A32" s="9" t="n">
        <f aca="false">IFERROR(__xludf.dummyfunction("""COMPUTED_VALUE"""),44244.6666666667)</f>
        <v>44244.6666666667</v>
      </c>
      <c r="B32" s="8" t="n">
        <f aca="false">IFERROR(__xludf.dummyfunction("""COMPUTED_VALUE"""),271.24)</f>
        <v>271.24</v>
      </c>
      <c r="C32" s="8" t="n">
        <f aca="false">IFERROR(__xludf.dummyfunction("""COMPUTED_VALUE"""),273.97)</f>
        <v>273.97</v>
      </c>
      <c r="D32" s="8" t="n">
        <f aca="false">IFERROR(__xludf.dummyfunction("""COMPUTED_VALUE"""),269.58)</f>
        <v>269.58</v>
      </c>
      <c r="E32" s="8" t="n">
        <f aca="false">IFERROR(__xludf.dummyfunction("""COMPUTED_VALUE"""),273.57)</f>
        <v>273.57</v>
      </c>
      <c r="F32" s="8" t="n">
        <f aca="false">IFERROR(__xludf.dummyfunction("""COMPUTED_VALUE"""),12763240)</f>
        <v>12763240</v>
      </c>
    </row>
    <row r="33" customFormat="false" ht="15.75" hidden="false" customHeight="false" outlineLevel="0" collapsed="false">
      <c r="A33" s="9" t="n">
        <f aca="false">IFERROR(__xludf.dummyfunction("""COMPUTED_VALUE"""),44245.6666666667)</f>
        <v>44245.6666666667</v>
      </c>
      <c r="B33" s="8" t="n">
        <f aca="false">IFERROR(__xludf.dummyfunction("""COMPUTED_VALUE"""),269.57)</f>
        <v>269.57</v>
      </c>
      <c r="C33" s="8" t="n">
        <f aca="false">IFERROR(__xludf.dummyfunction("""COMPUTED_VALUE"""),271.95)</f>
        <v>271.95</v>
      </c>
      <c r="D33" s="8" t="n">
        <f aca="false">IFERROR(__xludf.dummyfunction("""COMPUTED_VALUE"""),266.03)</f>
        <v>266.03</v>
      </c>
      <c r="E33" s="8" t="n">
        <f aca="false">IFERROR(__xludf.dummyfunction("""COMPUTED_VALUE"""),269.39)</f>
        <v>269.39</v>
      </c>
      <c r="F33" s="8" t="n">
        <f aca="false">IFERROR(__xludf.dummyfunction("""COMPUTED_VALUE"""),15249134)</f>
        <v>15249134</v>
      </c>
    </row>
    <row r="34" customFormat="false" ht="15.75" hidden="false" customHeight="false" outlineLevel="0" collapsed="false">
      <c r="A34" s="9" t="n">
        <f aca="false">IFERROR(__xludf.dummyfunction("""COMPUTED_VALUE"""),44246.6666666667)</f>
        <v>44246.6666666667</v>
      </c>
      <c r="B34" s="8" t="n">
        <f aca="false">IFERROR(__xludf.dummyfunction("""COMPUTED_VALUE"""),269.86)</f>
        <v>269.86</v>
      </c>
      <c r="C34" s="8" t="n">
        <f aca="false">IFERROR(__xludf.dummyfunction("""COMPUTED_VALUE"""),270.27)</f>
        <v>270.27</v>
      </c>
      <c r="D34" s="8" t="n">
        <f aca="false">IFERROR(__xludf.dummyfunction("""COMPUTED_VALUE"""),260.15)</f>
        <v>260.15</v>
      </c>
      <c r="E34" s="8" t="n">
        <f aca="false">IFERROR(__xludf.dummyfunction("""COMPUTED_VALUE"""),261.56)</f>
        <v>261.56</v>
      </c>
      <c r="F34" s="8" t="n">
        <f aca="false">IFERROR(__xludf.dummyfunction("""COMPUTED_VALUE"""),25622587)</f>
        <v>25622587</v>
      </c>
    </row>
    <row r="35" customFormat="false" ht="15.75" hidden="false" customHeight="false" outlineLevel="0" collapsed="false">
      <c r="A35" s="9" t="n">
        <f aca="false">IFERROR(__xludf.dummyfunction("""COMPUTED_VALUE"""),44249.6666666667)</f>
        <v>44249.6666666667</v>
      </c>
      <c r="B35" s="8" t="n">
        <f aca="false">IFERROR(__xludf.dummyfunction("""COMPUTED_VALUE"""),257.95)</f>
        <v>257.95</v>
      </c>
      <c r="C35" s="8" t="n">
        <f aca="false">IFERROR(__xludf.dummyfunction("""COMPUTED_VALUE"""),263.07)</f>
        <v>263.07</v>
      </c>
      <c r="D35" s="8" t="n">
        <f aca="false">IFERROR(__xludf.dummyfunction("""COMPUTED_VALUE"""),257.53)</f>
        <v>257.53</v>
      </c>
      <c r="E35" s="8" t="n">
        <f aca="false">IFERROR(__xludf.dummyfunction("""COMPUTED_VALUE"""),260.33)</f>
        <v>260.33</v>
      </c>
      <c r="F35" s="8" t="n">
        <f aca="false">IFERROR(__xludf.dummyfunction("""COMPUTED_VALUE"""),17434873)</f>
        <v>17434873</v>
      </c>
    </row>
    <row r="36" customFormat="false" ht="15.75" hidden="false" customHeight="false" outlineLevel="0" collapsed="false">
      <c r="A36" s="9" t="n">
        <f aca="false">IFERROR(__xludf.dummyfunction("""COMPUTED_VALUE"""),44250.6666666667)</f>
        <v>44250.6666666667</v>
      </c>
      <c r="B36" s="8" t="n">
        <f aca="false">IFERROR(__xludf.dummyfunction("""COMPUTED_VALUE"""),259.5)</f>
        <v>259.5</v>
      </c>
      <c r="C36" s="8" t="n">
        <f aca="false">IFERROR(__xludf.dummyfunction("""COMPUTED_VALUE"""),267.46)</f>
        <v>267.46</v>
      </c>
      <c r="D36" s="8" t="n">
        <f aca="false">IFERROR(__xludf.dummyfunction("""COMPUTED_VALUE"""),254.96)</f>
        <v>254.96</v>
      </c>
      <c r="E36" s="8" t="n">
        <f aca="false">IFERROR(__xludf.dummyfunction("""COMPUTED_VALUE"""),265.86)</f>
        <v>265.86</v>
      </c>
      <c r="F36" s="8" t="n">
        <f aca="false">IFERROR(__xludf.dummyfunction("""COMPUTED_VALUE"""),21924557)</f>
        <v>21924557</v>
      </c>
    </row>
    <row r="37" customFormat="false" ht="15.75" hidden="false" customHeight="false" outlineLevel="0" collapsed="false">
      <c r="A37" s="9" t="n">
        <f aca="false">IFERROR(__xludf.dummyfunction("""COMPUTED_VALUE"""),44251.6666666667)</f>
        <v>44251.6666666667</v>
      </c>
      <c r="B37" s="8" t="n">
        <f aca="false">IFERROR(__xludf.dummyfunction("""COMPUTED_VALUE"""),262.33)</f>
        <v>262.33</v>
      </c>
      <c r="C37" s="8" t="n">
        <f aca="false">IFERROR(__xludf.dummyfunction("""COMPUTED_VALUE"""),266.38)</f>
        <v>266.38</v>
      </c>
      <c r="D37" s="8" t="n">
        <f aca="false">IFERROR(__xludf.dummyfunction("""COMPUTED_VALUE"""),258.39)</f>
        <v>258.39</v>
      </c>
      <c r="E37" s="8" t="n">
        <f aca="false">IFERROR(__xludf.dummyfunction("""COMPUTED_VALUE"""),264.31)</f>
        <v>264.31</v>
      </c>
      <c r="F37" s="8" t="n">
        <f aca="false">IFERROR(__xludf.dummyfunction("""COMPUTED_VALUE"""),15736123)</f>
        <v>15736123</v>
      </c>
    </row>
    <row r="38" customFormat="false" ht="15.75" hidden="false" customHeight="false" outlineLevel="0" collapsed="false">
      <c r="A38" s="9" t="n">
        <f aca="false">IFERROR(__xludf.dummyfunction("""COMPUTED_VALUE"""),44252.6666666667)</f>
        <v>44252.6666666667</v>
      </c>
      <c r="B38" s="8" t="n">
        <f aca="false">IFERROR(__xludf.dummyfunction("""COMPUTED_VALUE"""),262.3)</f>
        <v>262.3</v>
      </c>
      <c r="C38" s="8" t="n">
        <f aca="false">IFERROR(__xludf.dummyfunction("""COMPUTED_VALUE"""),266.94)</f>
        <v>266.94</v>
      </c>
      <c r="D38" s="8" t="n">
        <f aca="false">IFERROR(__xludf.dummyfunction("""COMPUTED_VALUE"""),254.04)</f>
        <v>254.04</v>
      </c>
      <c r="E38" s="8" t="n">
        <f aca="false">IFERROR(__xludf.dummyfunction("""COMPUTED_VALUE"""),254.69)</f>
        <v>254.69</v>
      </c>
      <c r="F38" s="8" t="n">
        <f aca="false">IFERROR(__xludf.dummyfunction("""COMPUTED_VALUE"""),19053142)</f>
        <v>19053142</v>
      </c>
    </row>
    <row r="39" customFormat="false" ht="15.75" hidden="false" customHeight="false" outlineLevel="0" collapsed="false">
      <c r="A39" s="9" t="n">
        <f aca="false">IFERROR(__xludf.dummyfunction("""COMPUTED_VALUE"""),44253.6666666667)</f>
        <v>44253.6666666667</v>
      </c>
      <c r="B39" s="8" t="n">
        <f aca="false">IFERROR(__xludf.dummyfunction("""COMPUTED_VALUE"""),256.47)</f>
        <v>256.47</v>
      </c>
      <c r="C39" s="8" t="n">
        <f aca="false">IFERROR(__xludf.dummyfunction("""COMPUTED_VALUE"""),265.55)</f>
        <v>265.55</v>
      </c>
      <c r="D39" s="8" t="n">
        <f aca="false">IFERROR(__xludf.dummyfunction("""COMPUTED_VALUE"""),256.47)</f>
        <v>256.47</v>
      </c>
      <c r="E39" s="8" t="n">
        <f aca="false">IFERROR(__xludf.dummyfunction("""COMPUTED_VALUE"""),257.62)</f>
        <v>257.62</v>
      </c>
      <c r="F39" s="8" t="n">
        <f aca="false">IFERROR(__xludf.dummyfunction("""COMPUTED_VALUE"""),26619517)</f>
        <v>26619517</v>
      </c>
    </row>
    <row r="40" customFormat="false" ht="15.75" hidden="false" customHeight="false" outlineLevel="0" collapsed="false">
      <c r="A40" s="9" t="n">
        <f aca="false">IFERROR(__xludf.dummyfunction("""COMPUTED_VALUE"""),44256.6666666667)</f>
        <v>44256.6666666667</v>
      </c>
      <c r="B40" s="8" t="n">
        <f aca="false">IFERROR(__xludf.dummyfunction("""COMPUTED_VALUE"""),260.82)</f>
        <v>260.82</v>
      </c>
      <c r="C40" s="8" t="n">
        <f aca="false">IFERROR(__xludf.dummyfunction("""COMPUTED_VALUE"""),266.65)</f>
        <v>266.65</v>
      </c>
      <c r="D40" s="8" t="n">
        <f aca="false">IFERROR(__xludf.dummyfunction("""COMPUTED_VALUE"""),257.9)</f>
        <v>257.9</v>
      </c>
      <c r="E40" s="8" t="n">
        <f aca="false">IFERROR(__xludf.dummyfunction("""COMPUTED_VALUE"""),264.91)</f>
        <v>264.91</v>
      </c>
      <c r="F40" s="8" t="n">
        <f aca="false">IFERROR(__xludf.dummyfunction("""COMPUTED_VALUE"""),22157255)</f>
        <v>22157255</v>
      </c>
    </row>
    <row r="41" customFormat="false" ht="15.75" hidden="false" customHeight="false" outlineLevel="0" collapsed="false">
      <c r="A41" s="9" t="n">
        <f aca="false">IFERROR(__xludf.dummyfunction("""COMPUTED_VALUE"""),44257.6666666667)</f>
        <v>44257.6666666667</v>
      </c>
      <c r="B41" s="8" t="n">
        <f aca="false">IFERROR(__xludf.dummyfunction("""COMPUTED_VALUE"""),265.78)</f>
        <v>265.78</v>
      </c>
      <c r="C41" s="8" t="n">
        <f aca="false">IFERROR(__xludf.dummyfunction("""COMPUTED_VALUE"""),266.71)</f>
        <v>266.71</v>
      </c>
      <c r="D41" s="8" t="n">
        <f aca="false">IFERROR(__xludf.dummyfunction("""COMPUTED_VALUE"""),258.65)</f>
        <v>258.65</v>
      </c>
      <c r="E41" s="8" t="n">
        <f aca="false">IFERROR(__xludf.dummyfunction("""COMPUTED_VALUE"""),259)</f>
        <v>259</v>
      </c>
      <c r="F41" s="8" t="n">
        <f aca="false">IFERROR(__xludf.dummyfunction("""COMPUTED_VALUE"""),15191722)</f>
        <v>15191722</v>
      </c>
    </row>
    <row r="42" customFormat="false" ht="15.75" hidden="false" customHeight="false" outlineLevel="0" collapsed="false">
      <c r="A42" s="9" t="n">
        <f aca="false">IFERROR(__xludf.dummyfunction("""COMPUTED_VALUE"""),44258.6666666667)</f>
        <v>44258.6666666667</v>
      </c>
      <c r="B42" s="8" t="n">
        <f aca="false">IFERROR(__xludf.dummyfunction("""COMPUTED_VALUE"""),260.29)</f>
        <v>260.29</v>
      </c>
      <c r="C42" s="8" t="n">
        <f aca="false">IFERROR(__xludf.dummyfunction("""COMPUTED_VALUE"""),260.99)</f>
        <v>260.99</v>
      </c>
      <c r="D42" s="8" t="n">
        <f aca="false">IFERROR(__xludf.dummyfunction("""COMPUTED_VALUE"""),255.1)</f>
        <v>255.1</v>
      </c>
      <c r="E42" s="8" t="n">
        <f aca="false">IFERROR(__xludf.dummyfunction("""COMPUTED_VALUE"""),255.41)</f>
        <v>255.41</v>
      </c>
      <c r="F42" s="8" t="n">
        <f aca="false">IFERROR(__xludf.dummyfunction("""COMPUTED_VALUE"""),15513515)</f>
        <v>15513515</v>
      </c>
    </row>
    <row r="43" customFormat="false" ht="15.75" hidden="false" customHeight="false" outlineLevel="0" collapsed="false">
      <c r="A43" s="9" t="n">
        <f aca="false">IFERROR(__xludf.dummyfunction("""COMPUTED_VALUE"""),44259.6666666667)</f>
        <v>44259.6666666667</v>
      </c>
      <c r="B43" s="8" t="n">
        <f aca="false">IFERROR(__xludf.dummyfunction("""COMPUTED_VALUE"""),256.47)</f>
        <v>256.47</v>
      </c>
      <c r="C43" s="8" t="n">
        <f aca="false">IFERROR(__xludf.dummyfunction("""COMPUTED_VALUE"""),266.49)</f>
        <v>266.49</v>
      </c>
      <c r="D43" s="8" t="n">
        <f aca="false">IFERROR(__xludf.dummyfunction("""COMPUTED_VALUE"""),253.5)</f>
        <v>253.5</v>
      </c>
      <c r="E43" s="8" t="n">
        <f aca="false">IFERROR(__xludf.dummyfunction("""COMPUTED_VALUE"""),257.64)</f>
        <v>257.64</v>
      </c>
      <c r="F43" s="8" t="n">
        <f aca="false">IFERROR(__xludf.dummyfunction("""COMPUTED_VALUE"""),31626463)</f>
        <v>31626463</v>
      </c>
    </row>
    <row r="44" customFormat="false" ht="15.75" hidden="false" customHeight="false" outlineLevel="0" collapsed="false">
      <c r="A44" s="9" t="n">
        <f aca="false">IFERROR(__xludf.dummyfunction("""COMPUTED_VALUE"""),44260.6666666667)</f>
        <v>44260.6666666667</v>
      </c>
      <c r="B44" s="8" t="n">
        <f aca="false">IFERROR(__xludf.dummyfunction("""COMPUTED_VALUE"""),260.67)</f>
        <v>260.67</v>
      </c>
      <c r="C44" s="8" t="n">
        <f aca="false">IFERROR(__xludf.dummyfunction("""COMPUTED_VALUE"""),265.45)</f>
        <v>265.45</v>
      </c>
      <c r="D44" s="8" t="n">
        <f aca="false">IFERROR(__xludf.dummyfunction("""COMPUTED_VALUE"""),255.61)</f>
        <v>255.61</v>
      </c>
      <c r="E44" s="8" t="n">
        <f aca="false">IFERROR(__xludf.dummyfunction("""COMPUTED_VALUE"""),264.28)</f>
        <v>264.28</v>
      </c>
      <c r="F44" s="8" t="n">
        <f aca="false">IFERROR(__xludf.dummyfunction("""COMPUTED_VALUE"""),26820055)</f>
        <v>26820055</v>
      </c>
    </row>
    <row r="45" customFormat="false" ht="15.75" hidden="false" customHeight="false" outlineLevel="0" collapsed="false">
      <c r="A45" s="9" t="n">
        <f aca="false">IFERROR(__xludf.dummyfunction("""COMPUTED_VALUE"""),44263.6666666667)</f>
        <v>44263.6666666667</v>
      </c>
      <c r="B45" s="8" t="n">
        <f aca="false">IFERROR(__xludf.dummyfunction("""COMPUTED_VALUE"""),265.55)</f>
        <v>265.55</v>
      </c>
      <c r="C45" s="8" t="n">
        <f aca="false">IFERROR(__xludf.dummyfunction("""COMPUTED_VALUE"""),265.58)</f>
        <v>265.58</v>
      </c>
      <c r="D45" s="8" t="n">
        <f aca="false">IFERROR(__xludf.dummyfunction("""COMPUTED_VALUE"""),255.05)</f>
        <v>255.05</v>
      </c>
      <c r="E45" s="8" t="n">
        <f aca="false">IFERROR(__xludf.dummyfunction("""COMPUTED_VALUE"""),255.31)</f>
        <v>255.31</v>
      </c>
      <c r="F45" s="8" t="n">
        <f aca="false">IFERROR(__xludf.dummyfunction("""COMPUTED_VALUE"""),18391768)</f>
        <v>18391768</v>
      </c>
    </row>
    <row r="46" customFormat="false" ht="15.75" hidden="false" customHeight="false" outlineLevel="0" collapsed="false">
      <c r="A46" s="9" t="n">
        <f aca="false">IFERROR(__xludf.dummyfunction("""COMPUTED_VALUE"""),44264.6666666667)</f>
        <v>44264.6666666667</v>
      </c>
      <c r="B46" s="8" t="n">
        <f aca="false">IFERROR(__xludf.dummyfunction("""COMPUTED_VALUE"""),261.18)</f>
        <v>261.18</v>
      </c>
      <c r="C46" s="8" t="n">
        <f aca="false">IFERROR(__xludf.dummyfunction("""COMPUTED_VALUE"""),268.53)</f>
        <v>268.53</v>
      </c>
      <c r="D46" s="8" t="n">
        <f aca="false">IFERROR(__xludf.dummyfunction("""COMPUTED_VALUE"""),259.81)</f>
        <v>259.81</v>
      </c>
      <c r="E46" s="8" t="n">
        <f aca="false">IFERROR(__xludf.dummyfunction("""COMPUTED_VALUE"""),265.74)</f>
        <v>265.74</v>
      </c>
      <c r="F46" s="8" t="n">
        <f aca="false">IFERROR(__xludf.dummyfunction("""COMPUTED_VALUE"""),22039740)</f>
        <v>22039740</v>
      </c>
    </row>
    <row r="47" customFormat="false" ht="15.75" hidden="false" customHeight="false" outlineLevel="0" collapsed="false">
      <c r="A47" s="9" t="n">
        <f aca="false">IFERROR(__xludf.dummyfunction("""COMPUTED_VALUE"""),44265.6666666667)</f>
        <v>44265.6666666667</v>
      </c>
      <c r="B47" s="8" t="n">
        <f aca="false">IFERROR(__xludf.dummyfunction("""COMPUTED_VALUE"""),268.64)</f>
        <v>268.64</v>
      </c>
      <c r="C47" s="8" t="n">
        <f aca="false">IFERROR(__xludf.dummyfunction("""COMPUTED_VALUE"""),268.97)</f>
        <v>268.97</v>
      </c>
      <c r="D47" s="8" t="n">
        <f aca="false">IFERROR(__xludf.dummyfunction("""COMPUTED_VALUE"""),262.87)</f>
        <v>262.87</v>
      </c>
      <c r="E47" s="8" t="n">
        <f aca="false">IFERROR(__xludf.dummyfunction("""COMPUTED_VALUE"""),264.9)</f>
        <v>264.9</v>
      </c>
      <c r="F47" s="8" t="n">
        <f aca="false">IFERROR(__xludf.dummyfunction("""COMPUTED_VALUE"""),14210318)</f>
        <v>14210318</v>
      </c>
    </row>
    <row r="48" customFormat="false" ht="15.75" hidden="false" customHeight="false" outlineLevel="0" collapsed="false">
      <c r="A48" s="9" t="n">
        <f aca="false">IFERROR(__xludf.dummyfunction("""COMPUTED_VALUE"""),44266.6666666667)</f>
        <v>44266.6666666667</v>
      </c>
      <c r="B48" s="8" t="n">
        <f aca="false">IFERROR(__xludf.dummyfunction("""COMPUTED_VALUE"""),268.11)</f>
        <v>268.11</v>
      </c>
      <c r="C48" s="8" t="n">
        <f aca="false">IFERROR(__xludf.dummyfunction("""COMPUTED_VALUE"""),277.9)</f>
        <v>277.9</v>
      </c>
      <c r="D48" s="8" t="n">
        <f aca="false">IFERROR(__xludf.dummyfunction("""COMPUTED_VALUE"""),267.82)</f>
        <v>267.82</v>
      </c>
      <c r="E48" s="8" t="n">
        <f aca="false">IFERROR(__xludf.dummyfunction("""COMPUTED_VALUE"""),273.88)</f>
        <v>273.88</v>
      </c>
      <c r="F48" s="8" t="n">
        <f aca="false">IFERROR(__xludf.dummyfunction("""COMPUTED_VALUE"""),21833979)</f>
        <v>21833979</v>
      </c>
    </row>
    <row r="49" customFormat="false" ht="15.75" hidden="false" customHeight="false" outlineLevel="0" collapsed="false">
      <c r="A49" s="9" t="n">
        <f aca="false">IFERROR(__xludf.dummyfunction("""COMPUTED_VALUE"""),44267.6666666667)</f>
        <v>44267.6666666667</v>
      </c>
      <c r="B49" s="8" t="n">
        <f aca="false">IFERROR(__xludf.dummyfunction("""COMPUTED_VALUE"""),269.14)</f>
        <v>269.14</v>
      </c>
      <c r="C49" s="8" t="n">
        <f aca="false">IFERROR(__xludf.dummyfunction("""COMPUTED_VALUE"""),269.74)</f>
        <v>269.74</v>
      </c>
      <c r="D49" s="8" t="n">
        <f aca="false">IFERROR(__xludf.dummyfunction("""COMPUTED_VALUE"""),264.02)</f>
        <v>264.02</v>
      </c>
      <c r="E49" s="8" t="n">
        <f aca="false">IFERROR(__xludf.dummyfunction("""COMPUTED_VALUE"""),268.4)</f>
        <v>268.4</v>
      </c>
      <c r="F49" s="8" t="n">
        <f aca="false">IFERROR(__xludf.dummyfunction("""COMPUTED_VALUE"""),20600198)</f>
        <v>20600198</v>
      </c>
    </row>
    <row r="50" customFormat="false" ht="15.75" hidden="false" customHeight="false" outlineLevel="0" collapsed="false">
      <c r="A50" s="9" t="n">
        <f aca="false">IFERROR(__xludf.dummyfunction("""COMPUTED_VALUE"""),44270.6666666667)</f>
        <v>44270.6666666667</v>
      </c>
      <c r="B50" s="8" t="n">
        <f aca="false">IFERROR(__xludf.dummyfunction("""COMPUTED_VALUE"""),269.08)</f>
        <v>269.08</v>
      </c>
      <c r="C50" s="8" t="n">
        <f aca="false">IFERROR(__xludf.dummyfunction("""COMPUTED_VALUE"""),275.96)</f>
        <v>275.96</v>
      </c>
      <c r="D50" s="8" t="n">
        <f aca="false">IFERROR(__xludf.dummyfunction("""COMPUTED_VALUE"""),268.5)</f>
        <v>268.5</v>
      </c>
      <c r="E50" s="8" t="n">
        <f aca="false">IFERROR(__xludf.dummyfunction("""COMPUTED_VALUE"""),273.75)</f>
        <v>273.75</v>
      </c>
      <c r="F50" s="8" t="n">
        <f aca="false">IFERROR(__xludf.dummyfunction("""COMPUTED_VALUE"""),16856746)</f>
        <v>16856746</v>
      </c>
    </row>
    <row r="51" customFormat="false" ht="15.75" hidden="false" customHeight="false" outlineLevel="0" collapsed="false">
      <c r="A51" s="9" t="n">
        <f aca="false">IFERROR(__xludf.dummyfunction("""COMPUTED_VALUE"""),44271.6666666667)</f>
        <v>44271.6666666667</v>
      </c>
      <c r="B51" s="8" t="n">
        <f aca="false">IFERROR(__xludf.dummyfunction("""COMPUTED_VALUE"""),276.08)</f>
        <v>276.08</v>
      </c>
      <c r="C51" s="8" t="n">
        <f aca="false">IFERROR(__xludf.dummyfunction("""COMPUTED_VALUE"""),282.14)</f>
        <v>282.14</v>
      </c>
      <c r="D51" s="8" t="n">
        <f aca="false">IFERROR(__xludf.dummyfunction("""COMPUTED_VALUE"""),274.8)</f>
        <v>274.8</v>
      </c>
      <c r="E51" s="8" t="n">
        <f aca="false">IFERROR(__xludf.dummyfunction("""COMPUTED_VALUE"""),279.28)</f>
        <v>279.28</v>
      </c>
      <c r="F51" s="8" t="n">
        <f aca="false">IFERROR(__xludf.dummyfunction("""COMPUTED_VALUE"""),22437665)</f>
        <v>22437665</v>
      </c>
    </row>
    <row r="52" customFormat="false" ht="15.75" hidden="false" customHeight="false" outlineLevel="0" collapsed="false">
      <c r="A52" s="9" t="n">
        <f aca="false">IFERROR(__xludf.dummyfunction("""COMPUTED_VALUE"""),44272.6666666667)</f>
        <v>44272.6666666667</v>
      </c>
      <c r="B52" s="8" t="n">
        <f aca="false">IFERROR(__xludf.dummyfunction("""COMPUTED_VALUE"""),275.71)</f>
        <v>275.71</v>
      </c>
      <c r="C52" s="8" t="n">
        <f aca="false">IFERROR(__xludf.dummyfunction("""COMPUTED_VALUE"""),286.23)</f>
        <v>286.23</v>
      </c>
      <c r="D52" s="8" t="n">
        <f aca="false">IFERROR(__xludf.dummyfunction("""COMPUTED_VALUE"""),275.41)</f>
        <v>275.41</v>
      </c>
      <c r="E52" s="8" t="n">
        <f aca="false">IFERROR(__xludf.dummyfunction("""COMPUTED_VALUE"""),284.01)</f>
        <v>284.01</v>
      </c>
      <c r="F52" s="8" t="n">
        <f aca="false">IFERROR(__xludf.dummyfunction("""COMPUTED_VALUE"""),21315044)</f>
        <v>21315044</v>
      </c>
    </row>
    <row r="53" customFormat="false" ht="15.75" hidden="false" customHeight="false" outlineLevel="0" collapsed="false">
      <c r="A53" s="9" t="n">
        <f aca="false">IFERROR(__xludf.dummyfunction("""COMPUTED_VALUE"""),44273.6666666667)</f>
        <v>44273.6666666667</v>
      </c>
      <c r="B53" s="8" t="n">
        <f aca="false">IFERROR(__xludf.dummyfunction("""COMPUTED_VALUE"""),279.87)</f>
        <v>279.87</v>
      </c>
      <c r="C53" s="8" t="n">
        <f aca="false">IFERROR(__xludf.dummyfunction("""COMPUTED_VALUE"""),285.19)</f>
        <v>285.19</v>
      </c>
      <c r="D53" s="8" t="n">
        <f aca="false">IFERROR(__xludf.dummyfunction("""COMPUTED_VALUE"""),278.28)</f>
        <v>278.28</v>
      </c>
      <c r="E53" s="8" t="n">
        <f aca="false">IFERROR(__xludf.dummyfunction("""COMPUTED_VALUE"""),278.62)</f>
        <v>278.62</v>
      </c>
      <c r="F53" s="8" t="n">
        <f aca="false">IFERROR(__xludf.dummyfunction("""COMPUTED_VALUE"""),18754853)</f>
        <v>18754853</v>
      </c>
    </row>
    <row r="54" customFormat="false" ht="15.75" hidden="false" customHeight="false" outlineLevel="0" collapsed="false">
      <c r="A54" s="9" t="n">
        <f aca="false">IFERROR(__xludf.dummyfunction("""COMPUTED_VALUE"""),44274.6666666667)</f>
        <v>44274.6666666667</v>
      </c>
      <c r="B54" s="8" t="n">
        <f aca="false">IFERROR(__xludf.dummyfunction("""COMPUTED_VALUE"""),281.22)</f>
        <v>281.22</v>
      </c>
      <c r="C54" s="8" t="n">
        <f aca="false">IFERROR(__xludf.dummyfunction("""COMPUTED_VALUE"""),292.8)</f>
        <v>292.8</v>
      </c>
      <c r="D54" s="8" t="n">
        <f aca="false">IFERROR(__xludf.dummyfunction("""COMPUTED_VALUE"""),281.2)</f>
        <v>281.2</v>
      </c>
      <c r="E54" s="8" t="n">
        <f aca="false">IFERROR(__xludf.dummyfunction("""COMPUTED_VALUE"""),290.11)</f>
        <v>290.11</v>
      </c>
      <c r="F54" s="8" t="n">
        <f aca="false">IFERROR(__xludf.dummyfunction("""COMPUTED_VALUE"""),38930536)</f>
        <v>38930536</v>
      </c>
    </row>
    <row r="55" customFormat="false" ht="15.75" hidden="false" customHeight="false" outlineLevel="0" collapsed="false">
      <c r="A55" s="9" t="n">
        <f aca="false">IFERROR(__xludf.dummyfunction("""COMPUTED_VALUE"""),44277.6666666667)</f>
        <v>44277.6666666667</v>
      </c>
      <c r="B55" s="8" t="n">
        <f aca="false">IFERROR(__xludf.dummyfunction("""COMPUTED_VALUE"""),290.45)</f>
        <v>290.45</v>
      </c>
      <c r="C55" s="8" t="n">
        <f aca="false">IFERROR(__xludf.dummyfunction("""COMPUTED_VALUE"""),299.71)</f>
        <v>299.71</v>
      </c>
      <c r="D55" s="8" t="n">
        <f aca="false">IFERROR(__xludf.dummyfunction("""COMPUTED_VALUE"""),286.75)</f>
        <v>286.75</v>
      </c>
      <c r="E55" s="8" t="n">
        <f aca="false">IFERROR(__xludf.dummyfunction("""COMPUTED_VALUE"""),293.54)</f>
        <v>293.54</v>
      </c>
      <c r="F55" s="8" t="n">
        <f aca="false">IFERROR(__xludf.dummyfunction("""COMPUTED_VALUE"""),28273073)</f>
        <v>28273073</v>
      </c>
    </row>
    <row r="56" customFormat="false" ht="15.75" hidden="false" customHeight="false" outlineLevel="0" collapsed="false">
      <c r="A56" s="9" t="n">
        <f aca="false">IFERROR(__xludf.dummyfunction("""COMPUTED_VALUE"""),44278.6666666667)</f>
        <v>44278.6666666667</v>
      </c>
      <c r="B56" s="8" t="n">
        <f aca="false">IFERROR(__xludf.dummyfunction("""COMPUTED_VALUE"""),293.15)</f>
        <v>293.15</v>
      </c>
      <c r="C56" s="8" t="n">
        <f aca="false">IFERROR(__xludf.dummyfunction("""COMPUTED_VALUE"""),298)</f>
        <v>298</v>
      </c>
      <c r="D56" s="8" t="n">
        <f aca="false">IFERROR(__xludf.dummyfunction("""COMPUTED_VALUE"""),289.81)</f>
        <v>289.81</v>
      </c>
      <c r="E56" s="8" t="n">
        <f aca="false">IFERROR(__xludf.dummyfunction("""COMPUTED_VALUE"""),290.63)</f>
        <v>290.63</v>
      </c>
      <c r="F56" s="8" t="n">
        <f aca="false">IFERROR(__xludf.dummyfunction("""COMPUTED_VALUE"""),23000929)</f>
        <v>23000929</v>
      </c>
    </row>
    <row r="57" customFormat="false" ht="15.75" hidden="false" customHeight="false" outlineLevel="0" collapsed="false">
      <c r="A57" s="9" t="n">
        <f aca="false">IFERROR(__xludf.dummyfunction("""COMPUTED_VALUE"""),44279.6666666667)</f>
        <v>44279.6666666667</v>
      </c>
      <c r="B57" s="8" t="n">
        <f aca="false">IFERROR(__xludf.dummyfunction("""COMPUTED_VALUE"""),291)</f>
        <v>291</v>
      </c>
      <c r="C57" s="8" t="n">
        <f aca="false">IFERROR(__xludf.dummyfunction("""COMPUTED_VALUE"""),291.72)</f>
        <v>291.72</v>
      </c>
      <c r="D57" s="8" t="n">
        <f aca="false">IFERROR(__xludf.dummyfunction("""COMPUTED_VALUE"""),281.16)</f>
        <v>281.16</v>
      </c>
      <c r="E57" s="8" t="n">
        <f aca="false">IFERROR(__xludf.dummyfunction("""COMPUTED_VALUE"""),282.14)</f>
        <v>282.14</v>
      </c>
      <c r="F57" s="8" t="n">
        <f aca="false">IFERROR(__xludf.dummyfunction("""COMPUTED_VALUE"""),18675046)</f>
        <v>18675046</v>
      </c>
    </row>
    <row r="58" customFormat="false" ht="15.75" hidden="false" customHeight="false" outlineLevel="0" collapsed="false">
      <c r="A58" s="9" t="n">
        <f aca="false">IFERROR(__xludf.dummyfunction("""COMPUTED_VALUE"""),44280.6666666667)</f>
        <v>44280.6666666667</v>
      </c>
      <c r="B58" s="8" t="n">
        <f aca="false">IFERROR(__xludf.dummyfunction("""COMPUTED_VALUE"""),280.98)</f>
        <v>280.98</v>
      </c>
      <c r="C58" s="8" t="n">
        <f aca="false">IFERROR(__xludf.dummyfunction("""COMPUTED_VALUE"""),288.06)</f>
        <v>288.06</v>
      </c>
      <c r="D58" s="8" t="n">
        <f aca="false">IFERROR(__xludf.dummyfunction("""COMPUTED_VALUE"""),277.75)</f>
        <v>277.75</v>
      </c>
      <c r="E58" s="8" t="n">
        <f aca="false">IFERROR(__xludf.dummyfunction("""COMPUTED_VALUE"""),278.74)</f>
        <v>278.74</v>
      </c>
      <c r="F58" s="8" t="n">
        <f aca="false">IFERROR(__xludf.dummyfunction("""COMPUTED_VALUE"""),24505648)</f>
        <v>24505648</v>
      </c>
    </row>
    <row r="59" customFormat="false" ht="15.75" hidden="false" customHeight="false" outlineLevel="0" collapsed="false">
      <c r="A59" s="9" t="n">
        <f aca="false">IFERROR(__xludf.dummyfunction("""COMPUTED_VALUE"""),44281.6666666667)</f>
        <v>44281.6666666667</v>
      </c>
      <c r="B59" s="8" t="n">
        <f aca="false">IFERROR(__xludf.dummyfunction("""COMPUTED_VALUE"""),278.3)</f>
        <v>278.3</v>
      </c>
      <c r="C59" s="8" t="n">
        <f aca="false">IFERROR(__xludf.dummyfunction("""COMPUTED_VALUE"""),284.5)</f>
        <v>284.5</v>
      </c>
      <c r="D59" s="8" t="n">
        <f aca="false">IFERROR(__xludf.dummyfunction("""COMPUTED_VALUE"""),277.77)</f>
        <v>277.77</v>
      </c>
      <c r="E59" s="8" t="n">
        <f aca="false">IFERROR(__xludf.dummyfunction("""COMPUTED_VALUE"""),283.02)</f>
        <v>283.02</v>
      </c>
      <c r="F59" s="8" t="n">
        <f aca="false">IFERROR(__xludf.dummyfunction("""COMPUTED_VALUE"""),17629185)</f>
        <v>17629185</v>
      </c>
    </row>
    <row r="60" customFormat="false" ht="15.75" hidden="false" customHeight="false" outlineLevel="0" collapsed="false">
      <c r="A60" s="9" t="n">
        <f aca="false">IFERROR(__xludf.dummyfunction("""COMPUTED_VALUE"""),44284.6666666667)</f>
        <v>44284.6666666667</v>
      </c>
      <c r="B60" s="8" t="n">
        <f aca="false">IFERROR(__xludf.dummyfunction("""COMPUTED_VALUE"""),285.77)</f>
        <v>285.77</v>
      </c>
      <c r="C60" s="8" t="n">
        <f aca="false">IFERROR(__xludf.dummyfunction("""COMPUTED_VALUE"""),293.18)</f>
        <v>293.18</v>
      </c>
      <c r="D60" s="8" t="n">
        <f aca="false">IFERROR(__xludf.dummyfunction("""COMPUTED_VALUE"""),284.7)</f>
        <v>284.7</v>
      </c>
      <c r="E60" s="8" t="n">
        <f aca="false">IFERROR(__xludf.dummyfunction("""COMPUTED_VALUE"""),290.82)</f>
        <v>290.82</v>
      </c>
      <c r="F60" s="8" t="n">
        <f aca="false">IFERROR(__xludf.dummyfunction("""COMPUTED_VALUE"""),21718831)</f>
        <v>21718831</v>
      </c>
    </row>
    <row r="61" customFormat="false" ht="15.75" hidden="false" customHeight="false" outlineLevel="0" collapsed="false">
      <c r="A61" s="9" t="n">
        <f aca="false">IFERROR(__xludf.dummyfunction("""COMPUTED_VALUE"""),44285.6666666667)</f>
        <v>44285.6666666667</v>
      </c>
      <c r="B61" s="8" t="n">
        <f aca="false">IFERROR(__xludf.dummyfunction("""COMPUTED_VALUE"""),289.83)</f>
        <v>289.83</v>
      </c>
      <c r="C61" s="8" t="n">
        <f aca="false">IFERROR(__xludf.dummyfunction("""COMPUTED_VALUE"""),292.47)</f>
        <v>292.47</v>
      </c>
      <c r="D61" s="8" t="n">
        <f aca="false">IFERROR(__xludf.dummyfunction("""COMPUTED_VALUE"""),286.7)</f>
        <v>286.7</v>
      </c>
      <c r="E61" s="8" t="n">
        <f aca="false">IFERROR(__xludf.dummyfunction("""COMPUTED_VALUE"""),288)</f>
        <v>288</v>
      </c>
      <c r="F61" s="8" t="n">
        <f aca="false">IFERROR(__xludf.dummyfunction("""COMPUTED_VALUE"""),17474537)</f>
        <v>17474537</v>
      </c>
    </row>
    <row r="62" customFormat="false" ht="15.75" hidden="false" customHeight="false" outlineLevel="0" collapsed="false">
      <c r="A62" s="9" t="n">
        <f aca="false">IFERROR(__xludf.dummyfunction("""COMPUTED_VALUE"""),44286.6666666667)</f>
        <v>44286.6666666667</v>
      </c>
      <c r="B62" s="8" t="n">
        <f aca="false">IFERROR(__xludf.dummyfunction("""COMPUTED_VALUE"""),289.99)</f>
        <v>289.99</v>
      </c>
      <c r="C62" s="8" t="n">
        <f aca="false">IFERROR(__xludf.dummyfunction("""COMPUTED_VALUE"""),296.5)</f>
        <v>296.5</v>
      </c>
      <c r="D62" s="8" t="n">
        <f aca="false">IFERROR(__xludf.dummyfunction("""COMPUTED_VALUE"""),288.61)</f>
        <v>288.61</v>
      </c>
      <c r="E62" s="8" t="n">
        <f aca="false">IFERROR(__xludf.dummyfunction("""COMPUTED_VALUE"""),294.53)</f>
        <v>294.53</v>
      </c>
      <c r="F62" s="8" t="n">
        <f aca="false">IFERROR(__xludf.dummyfunction("""COMPUTED_VALUE"""),19498157)</f>
        <v>19498157</v>
      </c>
    </row>
    <row r="63" customFormat="false" ht="15.75" hidden="false" customHeight="false" outlineLevel="0" collapsed="false">
      <c r="A63" s="9" t="n">
        <f aca="false">IFERROR(__xludf.dummyfunction("""COMPUTED_VALUE"""),44287.6666666667)</f>
        <v>44287.6666666667</v>
      </c>
      <c r="B63" s="8" t="n">
        <f aca="false">IFERROR(__xludf.dummyfunction("""COMPUTED_VALUE"""),298.4)</f>
        <v>298.4</v>
      </c>
      <c r="C63" s="8" t="n">
        <f aca="false">IFERROR(__xludf.dummyfunction("""COMPUTED_VALUE"""),302.4)</f>
        <v>302.4</v>
      </c>
      <c r="D63" s="8" t="n">
        <f aca="false">IFERROR(__xludf.dummyfunction("""COMPUTED_VALUE"""),296.6)</f>
        <v>296.6</v>
      </c>
      <c r="E63" s="8" t="n">
        <f aca="false">IFERROR(__xludf.dummyfunction("""COMPUTED_VALUE"""),298.66)</f>
        <v>298.66</v>
      </c>
      <c r="F63" s="8" t="n">
        <f aca="false">IFERROR(__xludf.dummyfunction("""COMPUTED_VALUE"""),17615980)</f>
        <v>17615980</v>
      </c>
    </row>
    <row r="64" customFormat="false" ht="15.75" hidden="false" customHeight="false" outlineLevel="0" collapsed="false">
      <c r="A64" s="9" t="n">
        <f aca="false">IFERROR(__xludf.dummyfunction("""COMPUTED_VALUE"""),44291.6666666667)</f>
        <v>44291.6666666667</v>
      </c>
      <c r="B64" s="8" t="n">
        <f aca="false">IFERROR(__xludf.dummyfunction("""COMPUTED_VALUE"""),300.89)</f>
        <v>300.89</v>
      </c>
      <c r="C64" s="8" t="n">
        <f aca="false">IFERROR(__xludf.dummyfunction("""COMPUTED_VALUE"""),310.77)</f>
        <v>310.77</v>
      </c>
      <c r="D64" s="8" t="n">
        <f aca="false">IFERROR(__xludf.dummyfunction("""COMPUTED_VALUE"""),300.68)</f>
        <v>300.68</v>
      </c>
      <c r="E64" s="8" t="n">
        <f aca="false">IFERROR(__xludf.dummyfunction("""COMPUTED_VALUE"""),308.91)</f>
        <v>308.91</v>
      </c>
      <c r="F64" s="8" t="n">
        <f aca="false">IFERROR(__xludf.dummyfunction("""COMPUTED_VALUE"""),28237006)</f>
        <v>28237006</v>
      </c>
    </row>
    <row r="65" customFormat="false" ht="15.75" hidden="false" customHeight="false" outlineLevel="0" collapsed="false">
      <c r="A65" s="9" t="n">
        <f aca="false">IFERROR(__xludf.dummyfunction("""COMPUTED_VALUE"""),44292.6666666667)</f>
        <v>44292.6666666667</v>
      </c>
      <c r="B65" s="8" t="n">
        <f aca="false">IFERROR(__xludf.dummyfunction("""COMPUTED_VALUE"""),308.84)</f>
        <v>308.84</v>
      </c>
      <c r="C65" s="8" t="n">
        <f aca="false">IFERROR(__xludf.dummyfunction("""COMPUTED_VALUE"""),311.35)</f>
        <v>311.35</v>
      </c>
      <c r="D65" s="8" t="n">
        <f aca="false">IFERROR(__xludf.dummyfunction("""COMPUTED_VALUE"""),305.25)</f>
        <v>305.25</v>
      </c>
      <c r="E65" s="8" t="n">
        <f aca="false">IFERROR(__xludf.dummyfunction("""COMPUTED_VALUE"""),306.26)</f>
        <v>306.26</v>
      </c>
      <c r="F65" s="8" t="n">
        <f aca="false">IFERROR(__xludf.dummyfunction("""COMPUTED_VALUE"""),17335246)</f>
        <v>17335246</v>
      </c>
    </row>
    <row r="66" customFormat="false" ht="15.75" hidden="false" customHeight="false" outlineLevel="0" collapsed="false">
      <c r="A66" s="9" t="n">
        <f aca="false">IFERROR(__xludf.dummyfunction("""COMPUTED_VALUE"""),44293.6666666667)</f>
        <v>44293.6666666667</v>
      </c>
      <c r="B66" s="8" t="n">
        <f aca="false">IFERROR(__xludf.dummyfunction("""COMPUTED_VALUE"""),306.34)</f>
        <v>306.34</v>
      </c>
      <c r="C66" s="8" t="n">
        <f aca="false">IFERROR(__xludf.dummyfunction("""COMPUTED_VALUE"""),314.25)</f>
        <v>314.25</v>
      </c>
      <c r="D66" s="8" t="n">
        <f aca="false">IFERROR(__xludf.dummyfunction("""COMPUTED_VALUE"""),305.5)</f>
        <v>305.5</v>
      </c>
      <c r="E66" s="8" t="n">
        <f aca="false">IFERROR(__xludf.dummyfunction("""COMPUTED_VALUE"""),313.09)</f>
        <v>313.09</v>
      </c>
      <c r="F66" s="8" t="n">
        <f aca="false">IFERROR(__xludf.dummyfunction("""COMPUTED_VALUE"""),22855241)</f>
        <v>22855241</v>
      </c>
    </row>
    <row r="67" customFormat="false" ht="15.75" hidden="false" customHeight="false" outlineLevel="0" collapsed="false">
      <c r="A67" s="9" t="n">
        <f aca="false">IFERROR(__xludf.dummyfunction("""COMPUTED_VALUE"""),44294.6666666667)</f>
        <v>44294.6666666667</v>
      </c>
      <c r="B67" s="8" t="n">
        <f aca="false">IFERROR(__xludf.dummyfunction("""COMPUTED_VALUE"""),314.85)</f>
        <v>314.85</v>
      </c>
      <c r="C67" s="8" t="n">
        <f aca="false">IFERROR(__xludf.dummyfunction("""COMPUTED_VALUE"""),315.88)</f>
        <v>315.88</v>
      </c>
      <c r="D67" s="8" t="n">
        <f aca="false">IFERROR(__xludf.dummyfunction("""COMPUTED_VALUE"""),310.05)</f>
        <v>310.05</v>
      </c>
      <c r="E67" s="8" t="n">
        <f aca="false">IFERROR(__xludf.dummyfunction("""COMPUTED_VALUE"""),313.02)</f>
        <v>313.02</v>
      </c>
      <c r="F67" s="8" t="n">
        <f aca="false">IFERROR(__xludf.dummyfunction("""COMPUTED_VALUE"""),20894148)</f>
        <v>20894148</v>
      </c>
    </row>
    <row r="68" customFormat="false" ht="15.75" hidden="false" customHeight="false" outlineLevel="0" collapsed="false">
      <c r="A68" s="9" t="n">
        <f aca="false">IFERROR(__xludf.dummyfunction("""COMPUTED_VALUE"""),44295.6666666667)</f>
        <v>44295.6666666667</v>
      </c>
      <c r="B68" s="8" t="n">
        <f aca="false">IFERROR(__xludf.dummyfunction("""COMPUTED_VALUE"""),311.4)</f>
        <v>311.4</v>
      </c>
      <c r="C68" s="8" t="n">
        <f aca="false">IFERROR(__xludf.dummyfunction("""COMPUTED_VALUE"""),314.74)</f>
        <v>314.74</v>
      </c>
      <c r="D68" s="8" t="n">
        <f aca="false">IFERROR(__xludf.dummyfunction("""COMPUTED_VALUE"""),310.33)</f>
        <v>310.33</v>
      </c>
      <c r="E68" s="8" t="n">
        <f aca="false">IFERROR(__xludf.dummyfunction("""COMPUTED_VALUE"""),312.46)</f>
        <v>312.46</v>
      </c>
      <c r="F68" s="8" t="n">
        <f aca="false">IFERROR(__xludf.dummyfunction("""COMPUTED_VALUE"""),15988568)</f>
        <v>15988568</v>
      </c>
    </row>
    <row r="69" customFormat="false" ht="15.75" hidden="false" customHeight="false" outlineLevel="0" collapsed="false">
      <c r="A69" s="9" t="n">
        <f aca="false">IFERROR(__xludf.dummyfunction("""COMPUTED_VALUE"""),44298.6666666667)</f>
        <v>44298.6666666667</v>
      </c>
      <c r="B69" s="8" t="n">
        <f aca="false">IFERROR(__xludf.dummyfunction("""COMPUTED_VALUE"""),311.05)</f>
        <v>311.05</v>
      </c>
      <c r="C69" s="8" t="n">
        <f aca="false">IFERROR(__xludf.dummyfunction("""COMPUTED_VALUE"""),312.15)</f>
        <v>312.15</v>
      </c>
      <c r="D69" s="8" t="n">
        <f aca="false">IFERROR(__xludf.dummyfunction("""COMPUTED_VALUE"""),307.93)</f>
        <v>307.93</v>
      </c>
      <c r="E69" s="8" t="n">
        <f aca="false">IFERROR(__xludf.dummyfunction("""COMPUTED_VALUE"""),311.54)</f>
        <v>311.54</v>
      </c>
      <c r="F69" s="8" t="n">
        <f aca="false">IFERROR(__xludf.dummyfunction("""COMPUTED_VALUE"""),10881935)</f>
        <v>10881935</v>
      </c>
    </row>
    <row r="70" customFormat="false" ht="15.75" hidden="false" customHeight="false" outlineLevel="0" collapsed="false">
      <c r="A70" s="9" t="n">
        <f aca="false">IFERROR(__xludf.dummyfunction("""COMPUTED_VALUE"""),44299.6666666667)</f>
        <v>44299.6666666667</v>
      </c>
      <c r="B70" s="8" t="n">
        <f aca="false">IFERROR(__xludf.dummyfunction("""COMPUTED_VALUE"""),312.21)</f>
        <v>312.21</v>
      </c>
      <c r="C70" s="8" t="n">
        <f aca="false">IFERROR(__xludf.dummyfunction("""COMPUTED_VALUE"""),314.43)</f>
        <v>314.43</v>
      </c>
      <c r="D70" s="8" t="n">
        <f aca="false">IFERROR(__xludf.dummyfunction("""COMPUTED_VALUE"""),309.32)</f>
        <v>309.32</v>
      </c>
      <c r="E70" s="8" t="n">
        <f aca="false">IFERROR(__xludf.dummyfunction("""COMPUTED_VALUE"""),309.76)</f>
        <v>309.76</v>
      </c>
      <c r="F70" s="8" t="n">
        <f aca="false">IFERROR(__xludf.dummyfunction("""COMPUTED_VALUE"""),14036927)</f>
        <v>14036927</v>
      </c>
    </row>
    <row r="71" customFormat="false" ht="15.75" hidden="false" customHeight="false" outlineLevel="0" collapsed="false">
      <c r="A71" s="9" t="n">
        <f aca="false">IFERROR(__xludf.dummyfunction("""COMPUTED_VALUE"""),44300.6666666667)</f>
        <v>44300.6666666667</v>
      </c>
      <c r="B71" s="8" t="n">
        <f aca="false">IFERROR(__xludf.dummyfunction("""COMPUTED_VALUE"""),307.3)</f>
        <v>307.3</v>
      </c>
      <c r="C71" s="8" t="n">
        <f aca="false">IFERROR(__xludf.dummyfunction("""COMPUTED_VALUE"""),308.03)</f>
        <v>308.03</v>
      </c>
      <c r="D71" s="8" t="n">
        <f aca="false">IFERROR(__xludf.dummyfunction("""COMPUTED_VALUE"""),301.95)</f>
        <v>301.95</v>
      </c>
      <c r="E71" s="8" t="n">
        <f aca="false">IFERROR(__xludf.dummyfunction("""COMPUTED_VALUE"""),302.82)</f>
        <v>302.82</v>
      </c>
      <c r="F71" s="8" t="n">
        <f aca="false">IFERROR(__xludf.dummyfunction("""COMPUTED_VALUE"""),17421393)</f>
        <v>17421393</v>
      </c>
    </row>
    <row r="72" customFormat="false" ht="15.75" hidden="false" customHeight="false" outlineLevel="0" collapsed="false">
      <c r="A72" s="9" t="n">
        <f aca="false">IFERROR(__xludf.dummyfunction("""COMPUTED_VALUE"""),44301.6666666667)</f>
        <v>44301.6666666667</v>
      </c>
      <c r="B72" s="8" t="n">
        <f aca="false">IFERROR(__xludf.dummyfunction("""COMPUTED_VALUE"""),306.34)</f>
        <v>306.34</v>
      </c>
      <c r="C72" s="8" t="n">
        <f aca="false">IFERROR(__xludf.dummyfunction("""COMPUTED_VALUE"""),310.14)</f>
        <v>310.14</v>
      </c>
      <c r="D72" s="8" t="n">
        <f aca="false">IFERROR(__xludf.dummyfunction("""COMPUTED_VALUE"""),304.1)</f>
        <v>304.1</v>
      </c>
      <c r="E72" s="8" t="n">
        <f aca="false">IFERROR(__xludf.dummyfunction("""COMPUTED_VALUE"""),307.82)</f>
        <v>307.82</v>
      </c>
      <c r="F72" s="8" t="n">
        <f aca="false">IFERROR(__xludf.dummyfunction("""COMPUTED_VALUE"""),14558273)</f>
        <v>14558273</v>
      </c>
    </row>
    <row r="73" customFormat="false" ht="15.75" hidden="false" customHeight="false" outlineLevel="0" collapsed="false">
      <c r="A73" s="9" t="n">
        <f aca="false">IFERROR(__xludf.dummyfunction("""COMPUTED_VALUE"""),44302.6666666667)</f>
        <v>44302.6666666667</v>
      </c>
      <c r="B73" s="8" t="n">
        <f aca="false">IFERROR(__xludf.dummyfunction("""COMPUTED_VALUE"""),308.17)</f>
        <v>308.17</v>
      </c>
      <c r="C73" s="8" t="n">
        <f aca="false">IFERROR(__xludf.dummyfunction("""COMPUTED_VALUE"""),308.95)</f>
        <v>308.95</v>
      </c>
      <c r="D73" s="8" t="n">
        <f aca="false">IFERROR(__xludf.dummyfunction("""COMPUTED_VALUE"""),304.61)</f>
        <v>304.61</v>
      </c>
      <c r="E73" s="8" t="n">
        <f aca="false">IFERROR(__xludf.dummyfunction("""COMPUTED_VALUE"""),306.18)</f>
        <v>306.18</v>
      </c>
      <c r="F73" s="8" t="n">
        <f aca="false">IFERROR(__xludf.dummyfunction("""COMPUTED_VALUE"""),13059163)</f>
        <v>13059163</v>
      </c>
    </row>
    <row r="74" customFormat="false" ht="15.75" hidden="false" customHeight="false" outlineLevel="0" collapsed="false">
      <c r="A74" s="9" t="n">
        <f aca="false">IFERROR(__xludf.dummyfunction("""COMPUTED_VALUE"""),44305.6666666667)</f>
        <v>44305.6666666667</v>
      </c>
      <c r="B74" s="8" t="n">
        <f aca="false">IFERROR(__xludf.dummyfunction("""COMPUTED_VALUE"""),305.01)</f>
        <v>305.01</v>
      </c>
      <c r="C74" s="8" t="n">
        <f aca="false">IFERROR(__xludf.dummyfunction("""COMPUTED_VALUE"""),307.7)</f>
        <v>307.7</v>
      </c>
      <c r="D74" s="8" t="n">
        <f aca="false">IFERROR(__xludf.dummyfunction("""COMPUTED_VALUE"""),300.56)</f>
        <v>300.56</v>
      </c>
      <c r="E74" s="8" t="n">
        <f aca="false">IFERROR(__xludf.dummyfunction("""COMPUTED_VALUE"""),302.24)</f>
        <v>302.24</v>
      </c>
      <c r="F74" s="8" t="n">
        <f aca="false">IFERROR(__xludf.dummyfunction("""COMPUTED_VALUE"""),14553507)</f>
        <v>14553507</v>
      </c>
    </row>
    <row r="75" customFormat="false" ht="15.75" hidden="false" customHeight="false" outlineLevel="0" collapsed="false">
      <c r="A75" s="9" t="n">
        <f aca="false">IFERROR(__xludf.dummyfunction("""COMPUTED_VALUE"""),44306.6666666667)</f>
        <v>44306.6666666667</v>
      </c>
      <c r="B75" s="8" t="n">
        <f aca="false">IFERROR(__xludf.dummyfunction("""COMPUTED_VALUE"""),301.99)</f>
        <v>301.99</v>
      </c>
      <c r="C75" s="8" t="n">
        <f aca="false">IFERROR(__xludf.dummyfunction("""COMPUTED_VALUE"""),305.1)</f>
        <v>305.1</v>
      </c>
      <c r="D75" s="8" t="n">
        <f aca="false">IFERROR(__xludf.dummyfunction("""COMPUTED_VALUE"""),297.21)</f>
        <v>297.21</v>
      </c>
      <c r="E75" s="8" t="n">
        <f aca="false">IFERROR(__xludf.dummyfunction("""COMPUTED_VALUE"""),302.65)</f>
        <v>302.65</v>
      </c>
      <c r="F75" s="8" t="n">
        <f aca="false">IFERROR(__xludf.dummyfunction("""COMPUTED_VALUE"""),16796442)</f>
        <v>16796442</v>
      </c>
    </row>
    <row r="76" customFormat="false" ht="15.75" hidden="false" customHeight="false" outlineLevel="0" collapsed="false">
      <c r="A76" s="9" t="n">
        <f aca="false">IFERROR(__xludf.dummyfunction("""COMPUTED_VALUE"""),44307.6666666667)</f>
        <v>44307.6666666667</v>
      </c>
      <c r="B76" s="8" t="n">
        <f aca="false">IFERROR(__xludf.dummyfunction("""COMPUTED_VALUE"""),301.95)</f>
        <v>301.95</v>
      </c>
      <c r="C76" s="8" t="n">
        <f aca="false">IFERROR(__xludf.dummyfunction("""COMPUTED_VALUE"""),301.98)</f>
        <v>301.98</v>
      </c>
      <c r="D76" s="8" t="n">
        <f aca="false">IFERROR(__xludf.dummyfunction("""COMPUTED_VALUE"""),297.39)</f>
        <v>297.39</v>
      </c>
      <c r="E76" s="8" t="n">
        <f aca="false">IFERROR(__xludf.dummyfunction("""COMPUTED_VALUE"""),301.47)</f>
        <v>301.47</v>
      </c>
      <c r="F76" s="8" t="n">
        <f aca="false">IFERROR(__xludf.dummyfunction("""COMPUTED_VALUE"""),14863474)</f>
        <v>14863474</v>
      </c>
    </row>
    <row r="77" customFormat="false" ht="15.75" hidden="false" customHeight="false" outlineLevel="0" collapsed="false">
      <c r="A77" s="9" t="n">
        <f aca="false">IFERROR(__xludf.dummyfunction("""COMPUTED_VALUE"""),44308.6666666667)</f>
        <v>44308.6666666667</v>
      </c>
      <c r="B77" s="8" t="n">
        <f aca="false">IFERROR(__xludf.dummyfunction("""COMPUTED_VALUE"""),301.33)</f>
        <v>301.33</v>
      </c>
      <c r="C77" s="8" t="n">
        <f aca="false">IFERROR(__xludf.dummyfunction("""COMPUTED_VALUE"""),302.92)</f>
        <v>302.92</v>
      </c>
      <c r="D77" s="8" t="n">
        <f aca="false">IFERROR(__xludf.dummyfunction("""COMPUTED_VALUE"""),296.04)</f>
        <v>296.04</v>
      </c>
      <c r="E77" s="8" t="n">
        <f aca="false">IFERROR(__xludf.dummyfunction("""COMPUTED_VALUE"""),296.52)</f>
        <v>296.52</v>
      </c>
      <c r="F77" s="8" t="n">
        <f aca="false">IFERROR(__xludf.dummyfunction("""COMPUTED_VALUE"""),16375350)</f>
        <v>16375350</v>
      </c>
    </row>
    <row r="78" customFormat="false" ht="15.75" hidden="false" customHeight="false" outlineLevel="0" collapsed="false">
      <c r="A78" s="9" t="n">
        <f aca="false">IFERROR(__xludf.dummyfunction("""COMPUTED_VALUE"""),44309.6666666667)</f>
        <v>44309.6666666667</v>
      </c>
      <c r="B78" s="8" t="n">
        <f aca="false">IFERROR(__xludf.dummyfunction("""COMPUTED_VALUE"""),298.76)</f>
        <v>298.76</v>
      </c>
      <c r="C78" s="8" t="n">
        <f aca="false">IFERROR(__xludf.dummyfunction("""COMPUTED_VALUE"""),302.59)</f>
        <v>302.59</v>
      </c>
      <c r="D78" s="8" t="n">
        <f aca="false">IFERROR(__xludf.dummyfunction("""COMPUTED_VALUE"""),297.15)</f>
        <v>297.15</v>
      </c>
      <c r="E78" s="8" t="n">
        <f aca="false">IFERROR(__xludf.dummyfunction("""COMPUTED_VALUE"""),301.13)</f>
        <v>301.13</v>
      </c>
      <c r="F78" s="8" t="n">
        <f aca="false">IFERROR(__xludf.dummyfunction("""COMPUTED_VALUE"""),17559498)</f>
        <v>17559498</v>
      </c>
    </row>
    <row r="79" customFormat="false" ht="15.75" hidden="false" customHeight="false" outlineLevel="0" collapsed="false">
      <c r="A79" s="9" t="n">
        <f aca="false">IFERROR(__xludf.dummyfunction("""COMPUTED_VALUE"""),44312.6666666667)</f>
        <v>44312.6666666667</v>
      </c>
      <c r="B79" s="8" t="n">
        <f aca="false">IFERROR(__xludf.dummyfunction("""COMPUTED_VALUE"""),303.34)</f>
        <v>303.34</v>
      </c>
      <c r="C79" s="8" t="n">
        <f aca="false">IFERROR(__xludf.dummyfunction("""COMPUTED_VALUE"""),305.8)</f>
        <v>305.8</v>
      </c>
      <c r="D79" s="8" t="n">
        <f aca="false">IFERROR(__xludf.dummyfunction("""COMPUTED_VALUE"""),301.56)</f>
        <v>301.56</v>
      </c>
      <c r="E79" s="8" t="n">
        <f aca="false">IFERROR(__xludf.dummyfunction("""COMPUTED_VALUE"""),303.04)</f>
        <v>303.04</v>
      </c>
      <c r="F79" s="8" t="n">
        <f aca="false">IFERROR(__xludf.dummyfunction("""COMPUTED_VALUE"""),16172593)</f>
        <v>16172593</v>
      </c>
    </row>
    <row r="80" customFormat="false" ht="15.75" hidden="false" customHeight="false" outlineLevel="0" collapsed="false">
      <c r="A80" s="9" t="n">
        <f aca="false">IFERROR(__xludf.dummyfunction("""COMPUTED_VALUE"""),44313.6666666667)</f>
        <v>44313.6666666667</v>
      </c>
      <c r="B80" s="8" t="n">
        <f aca="false">IFERROR(__xludf.dummyfunction("""COMPUTED_VALUE"""),304.28)</f>
        <v>304.28</v>
      </c>
      <c r="C80" s="8" t="n">
        <f aca="false">IFERROR(__xludf.dummyfunction("""COMPUTED_VALUE"""),305.34)</f>
        <v>305.34</v>
      </c>
      <c r="D80" s="8" t="n">
        <f aca="false">IFERROR(__xludf.dummyfunction("""COMPUTED_VALUE"""),301.11)</f>
        <v>301.11</v>
      </c>
      <c r="E80" s="8" t="n">
        <f aca="false">IFERROR(__xludf.dummyfunction("""COMPUTED_VALUE"""),303.57)</f>
        <v>303.57</v>
      </c>
      <c r="F80" s="8" t="n">
        <f aca="false">IFERROR(__xludf.dummyfunction("""COMPUTED_VALUE"""),15309256)</f>
        <v>15309256</v>
      </c>
    </row>
    <row r="81" customFormat="false" ht="15.75" hidden="false" customHeight="false" outlineLevel="0" collapsed="false">
      <c r="A81" s="9" t="n">
        <f aca="false">IFERROR(__xludf.dummyfunction("""COMPUTED_VALUE"""),44314.6666666667)</f>
        <v>44314.6666666667</v>
      </c>
      <c r="B81" s="8" t="n">
        <f aca="false">IFERROR(__xludf.dummyfunction("""COMPUTED_VALUE"""),307.36)</f>
        <v>307.36</v>
      </c>
      <c r="C81" s="8" t="n">
        <f aca="false">IFERROR(__xludf.dummyfunction("""COMPUTED_VALUE"""),310.92)</f>
        <v>310.92</v>
      </c>
      <c r="D81" s="8" t="n">
        <f aca="false">IFERROR(__xludf.dummyfunction("""COMPUTED_VALUE"""),305.37)</f>
        <v>305.37</v>
      </c>
      <c r="E81" s="8" t="n">
        <f aca="false">IFERROR(__xludf.dummyfunction("""COMPUTED_VALUE"""),307.1)</f>
        <v>307.1</v>
      </c>
      <c r="F81" s="8" t="n">
        <f aca="false">IFERROR(__xludf.dummyfunction("""COMPUTED_VALUE"""),33907210)</f>
        <v>33907210</v>
      </c>
    </row>
    <row r="82" customFormat="false" ht="15.75" hidden="false" customHeight="false" outlineLevel="0" collapsed="false">
      <c r="A82" s="9" t="n">
        <f aca="false">IFERROR(__xludf.dummyfunction("""COMPUTED_VALUE"""),44315.6666666667)</f>
        <v>44315.6666666667</v>
      </c>
      <c r="B82" s="8" t="n">
        <f aca="false">IFERROR(__xludf.dummyfunction("""COMPUTED_VALUE"""),330.12)</f>
        <v>330.12</v>
      </c>
      <c r="C82" s="8" t="n">
        <f aca="false">IFERROR(__xludf.dummyfunction("""COMPUTED_VALUE"""),331.81)</f>
        <v>331.81</v>
      </c>
      <c r="D82" s="8" t="n">
        <f aca="false">IFERROR(__xludf.dummyfunction("""COMPUTED_VALUE"""),321.61)</f>
        <v>321.61</v>
      </c>
      <c r="E82" s="8" t="n">
        <f aca="false">IFERROR(__xludf.dummyfunction("""COMPUTED_VALUE"""),329.51)</f>
        <v>329.51</v>
      </c>
      <c r="F82" s="8" t="n">
        <f aca="false">IFERROR(__xludf.dummyfunction("""COMPUTED_VALUE"""),56526771)</f>
        <v>56526771</v>
      </c>
    </row>
    <row r="83" customFormat="false" ht="15.75" hidden="false" customHeight="false" outlineLevel="0" collapsed="false">
      <c r="A83" s="9" t="n">
        <f aca="false">IFERROR(__xludf.dummyfunction("""COMPUTED_VALUE"""),44316.6666666667)</f>
        <v>44316.6666666667</v>
      </c>
      <c r="B83" s="8" t="n">
        <f aca="false">IFERROR(__xludf.dummyfunction("""COMPUTED_VALUE"""),326.14)</f>
        <v>326.14</v>
      </c>
      <c r="C83" s="8" t="n">
        <f aca="false">IFERROR(__xludf.dummyfunction("""COMPUTED_VALUE"""),329.82)</f>
        <v>329.82</v>
      </c>
      <c r="D83" s="8" t="n">
        <f aca="false">IFERROR(__xludf.dummyfunction("""COMPUTED_VALUE"""),324.5)</f>
        <v>324.5</v>
      </c>
      <c r="E83" s="8" t="n">
        <f aca="false">IFERROR(__xludf.dummyfunction("""COMPUTED_VALUE"""),325.08)</f>
        <v>325.08</v>
      </c>
      <c r="F83" s="8" t="n">
        <f aca="false">IFERROR(__xludf.dummyfunction("""COMPUTED_VALUE"""),26332423)</f>
        <v>26332423</v>
      </c>
    </row>
    <row r="84" customFormat="false" ht="15.75" hidden="false" customHeight="false" outlineLevel="0" collapsed="false">
      <c r="A84" s="9" t="n">
        <f aca="false">IFERROR(__xludf.dummyfunction("""COMPUTED_VALUE"""),44319.6666666667)</f>
        <v>44319.6666666667</v>
      </c>
      <c r="B84" s="8" t="n">
        <f aca="false">IFERROR(__xludf.dummyfunction("""COMPUTED_VALUE"""),326.17)</f>
        <v>326.17</v>
      </c>
      <c r="C84" s="8" t="n">
        <f aca="false">IFERROR(__xludf.dummyfunction("""COMPUTED_VALUE"""),328.55)</f>
        <v>328.55</v>
      </c>
      <c r="D84" s="8" t="n">
        <f aca="false">IFERROR(__xludf.dummyfunction("""COMPUTED_VALUE"""),321.84)</f>
        <v>321.84</v>
      </c>
      <c r="E84" s="8" t="n">
        <f aca="false">IFERROR(__xludf.dummyfunction("""COMPUTED_VALUE"""),322.58)</f>
        <v>322.58</v>
      </c>
      <c r="F84" s="8" t="n">
        <f aca="false">IFERROR(__xludf.dummyfunction("""COMPUTED_VALUE"""),18719462)</f>
        <v>18719462</v>
      </c>
    </row>
    <row r="85" customFormat="false" ht="15.75" hidden="false" customHeight="false" outlineLevel="0" collapsed="false">
      <c r="A85" s="9" t="n">
        <f aca="false">IFERROR(__xludf.dummyfunction("""COMPUTED_VALUE"""),44320.6666666667)</f>
        <v>44320.6666666667</v>
      </c>
      <c r="B85" s="8" t="n">
        <f aca="false">IFERROR(__xludf.dummyfunction("""COMPUTED_VALUE"""),320.02)</f>
        <v>320.02</v>
      </c>
      <c r="C85" s="8" t="n">
        <f aca="false">IFERROR(__xludf.dummyfunction("""COMPUTED_VALUE"""),322.19)</f>
        <v>322.19</v>
      </c>
      <c r="D85" s="8" t="n">
        <f aca="false">IFERROR(__xludf.dummyfunction("""COMPUTED_VALUE"""),313.12)</f>
        <v>313.12</v>
      </c>
      <c r="E85" s="8" t="n">
        <f aca="false">IFERROR(__xludf.dummyfunction("""COMPUTED_VALUE"""),318.36)</f>
        <v>318.36</v>
      </c>
      <c r="F85" s="8" t="n">
        <f aca="false">IFERROR(__xludf.dummyfunction("""COMPUTED_VALUE"""),24032557)</f>
        <v>24032557</v>
      </c>
    </row>
    <row r="86" customFormat="false" ht="15.75" hidden="false" customHeight="false" outlineLevel="0" collapsed="false">
      <c r="A86" s="9" t="n">
        <f aca="false">IFERROR(__xludf.dummyfunction("""COMPUTED_VALUE"""),44321.6666666667)</f>
        <v>44321.6666666667</v>
      </c>
      <c r="B86" s="8" t="n">
        <f aca="false">IFERROR(__xludf.dummyfunction("""COMPUTED_VALUE"""),318.19)</f>
        <v>318.19</v>
      </c>
      <c r="C86" s="8" t="n">
        <f aca="false">IFERROR(__xludf.dummyfunction("""COMPUTED_VALUE"""),321.06)</f>
        <v>321.06</v>
      </c>
      <c r="D86" s="8" t="n">
        <f aca="false">IFERROR(__xludf.dummyfunction("""COMPUTED_VALUE"""),314.49)</f>
        <v>314.49</v>
      </c>
      <c r="E86" s="8" t="n">
        <f aca="false">IFERROR(__xludf.dummyfunction("""COMPUTED_VALUE"""),315.02)</f>
        <v>315.02</v>
      </c>
      <c r="F86" s="8" t="n">
        <f aca="false">IFERROR(__xludf.dummyfunction("""COMPUTED_VALUE"""),15577605)</f>
        <v>15577605</v>
      </c>
    </row>
    <row r="87" customFormat="false" ht="15.75" hidden="false" customHeight="false" outlineLevel="0" collapsed="false">
      <c r="A87" s="9" t="n">
        <f aca="false">IFERROR(__xludf.dummyfunction("""COMPUTED_VALUE"""),44322.6666666667)</f>
        <v>44322.6666666667</v>
      </c>
      <c r="B87" s="8" t="n">
        <f aca="false">IFERROR(__xludf.dummyfunction("""COMPUTED_VALUE"""),314.52)</f>
        <v>314.52</v>
      </c>
      <c r="C87" s="8" t="n">
        <f aca="false">IFERROR(__xludf.dummyfunction("""COMPUTED_VALUE"""),320.24)</f>
        <v>320.24</v>
      </c>
      <c r="D87" s="8" t="n">
        <f aca="false">IFERROR(__xludf.dummyfunction("""COMPUTED_VALUE"""),313.27)</f>
        <v>313.27</v>
      </c>
      <c r="E87" s="8" t="n">
        <f aca="false">IFERROR(__xludf.dummyfunction("""COMPUTED_VALUE"""),320.02)</f>
        <v>320.02</v>
      </c>
      <c r="F87" s="8" t="n">
        <f aca="false">IFERROR(__xludf.dummyfunction("""COMPUTED_VALUE"""),19012241)</f>
        <v>19012241</v>
      </c>
    </row>
    <row r="88" customFormat="false" ht="15.75" hidden="false" customHeight="false" outlineLevel="0" collapsed="false">
      <c r="A88" s="9" t="n">
        <f aca="false">IFERROR(__xludf.dummyfunction("""COMPUTED_VALUE"""),44323.6666666667)</f>
        <v>44323.6666666667</v>
      </c>
      <c r="B88" s="8" t="n">
        <f aca="false">IFERROR(__xludf.dummyfunction("""COMPUTED_VALUE"""),322.38)</f>
        <v>322.38</v>
      </c>
      <c r="C88" s="8" t="n">
        <f aca="false">IFERROR(__xludf.dummyfunction("""COMPUTED_VALUE"""),322.94)</f>
        <v>322.94</v>
      </c>
      <c r="D88" s="8" t="n">
        <f aca="false">IFERROR(__xludf.dummyfunction("""COMPUTED_VALUE"""),318.75)</f>
        <v>318.75</v>
      </c>
      <c r="E88" s="8" t="n">
        <f aca="false">IFERROR(__xludf.dummyfunction("""COMPUTED_VALUE"""),319.08)</f>
        <v>319.08</v>
      </c>
      <c r="F88" s="8" t="n">
        <f aca="false">IFERROR(__xludf.dummyfunction("""COMPUTED_VALUE"""),15916743)</f>
        <v>15916743</v>
      </c>
    </row>
    <row r="89" customFormat="false" ht="15.75" hidden="false" customHeight="false" outlineLevel="0" collapsed="false">
      <c r="A89" s="9" t="n">
        <f aca="false">IFERROR(__xludf.dummyfunction("""COMPUTED_VALUE"""),44326.6666666667)</f>
        <v>44326.6666666667</v>
      </c>
      <c r="B89" s="8" t="n">
        <f aca="false">IFERROR(__xludf.dummyfunction("""COMPUTED_VALUE"""),314.35)</f>
        <v>314.35</v>
      </c>
      <c r="C89" s="8" t="n">
        <f aca="false">IFERROR(__xludf.dummyfunction("""COMPUTED_VALUE"""),314.58)</f>
        <v>314.58</v>
      </c>
      <c r="D89" s="8" t="n">
        <f aca="false">IFERROR(__xludf.dummyfunction("""COMPUTED_VALUE"""),304.83)</f>
        <v>304.83</v>
      </c>
      <c r="E89" s="8" t="n">
        <f aca="false">IFERROR(__xludf.dummyfunction("""COMPUTED_VALUE"""),305.97)</f>
        <v>305.97</v>
      </c>
      <c r="F89" s="8" t="n">
        <f aca="false">IFERROR(__xludf.dummyfunction("""COMPUTED_VALUE"""),24239170)</f>
        <v>24239170</v>
      </c>
    </row>
    <row r="90" customFormat="false" ht="15.75" hidden="false" customHeight="false" outlineLevel="0" collapsed="false">
      <c r="A90" s="9" t="n">
        <f aca="false">IFERROR(__xludf.dummyfunction("""COMPUTED_VALUE"""),44327.6666666667)</f>
        <v>44327.6666666667</v>
      </c>
      <c r="B90" s="8" t="n">
        <f aca="false">IFERROR(__xludf.dummyfunction("""COMPUTED_VALUE"""),300.75)</f>
        <v>300.75</v>
      </c>
      <c r="C90" s="8" t="n">
        <f aca="false">IFERROR(__xludf.dummyfunction("""COMPUTED_VALUE"""),306.84)</f>
        <v>306.84</v>
      </c>
      <c r="D90" s="8" t="n">
        <f aca="false">IFERROR(__xludf.dummyfunction("""COMPUTED_VALUE"""),299.69)</f>
        <v>299.69</v>
      </c>
      <c r="E90" s="8" t="n">
        <f aca="false">IFERROR(__xludf.dummyfunction("""COMPUTED_VALUE"""),306.53)</f>
        <v>306.53</v>
      </c>
      <c r="F90" s="8" t="n">
        <f aca="false">IFERROR(__xludf.dummyfunction("""COMPUTED_VALUE"""),18920086)</f>
        <v>18920086</v>
      </c>
    </row>
    <row r="91" customFormat="false" ht="15.75" hidden="false" customHeight="false" outlineLevel="0" collapsed="false">
      <c r="A91" s="9" t="n">
        <f aca="false">IFERROR(__xludf.dummyfunction("""COMPUTED_VALUE"""),44328.6666666667)</f>
        <v>44328.6666666667</v>
      </c>
      <c r="B91" s="8" t="n">
        <f aca="false">IFERROR(__xludf.dummyfunction("""COMPUTED_VALUE"""),301.13)</f>
        <v>301.13</v>
      </c>
      <c r="C91" s="8" t="n">
        <f aca="false">IFERROR(__xludf.dummyfunction("""COMPUTED_VALUE"""),304.96)</f>
        <v>304.96</v>
      </c>
      <c r="D91" s="8" t="n">
        <f aca="false">IFERROR(__xludf.dummyfunction("""COMPUTED_VALUE"""),298.19)</f>
        <v>298.19</v>
      </c>
      <c r="E91" s="8" t="n">
        <f aca="false">IFERROR(__xludf.dummyfunction("""COMPUTED_VALUE"""),302.55)</f>
        <v>302.55</v>
      </c>
      <c r="F91" s="8" t="n">
        <f aca="false">IFERROR(__xludf.dummyfunction("""COMPUTED_VALUE"""),24641010)</f>
        <v>24641010</v>
      </c>
    </row>
    <row r="92" customFormat="false" ht="15.75" hidden="false" customHeight="false" outlineLevel="0" collapsed="false">
      <c r="A92" s="9" t="n">
        <f aca="false">IFERROR(__xludf.dummyfunction("""COMPUTED_VALUE"""),44329.6666666667)</f>
        <v>44329.6666666667</v>
      </c>
      <c r="B92" s="8" t="n">
        <f aca="false">IFERROR(__xludf.dummyfunction("""COMPUTED_VALUE"""),306.08)</f>
        <v>306.08</v>
      </c>
      <c r="C92" s="8" t="n">
        <f aca="false">IFERROR(__xludf.dummyfunction("""COMPUTED_VALUE"""),308.86)</f>
        <v>308.86</v>
      </c>
      <c r="D92" s="8" t="n">
        <f aca="false">IFERROR(__xludf.dummyfunction("""COMPUTED_VALUE"""),302.77)</f>
        <v>302.77</v>
      </c>
      <c r="E92" s="8" t="n">
        <f aca="false">IFERROR(__xludf.dummyfunction("""COMPUTED_VALUE"""),305.26)</f>
        <v>305.26</v>
      </c>
      <c r="F92" s="8" t="n">
        <f aca="false">IFERROR(__xludf.dummyfunction("""COMPUTED_VALUE"""),18079160)</f>
        <v>18079160</v>
      </c>
    </row>
    <row r="93" customFormat="false" ht="15.75" hidden="false" customHeight="false" outlineLevel="0" collapsed="false">
      <c r="A93" s="9" t="n">
        <f aca="false">IFERROR(__xludf.dummyfunction("""COMPUTED_VALUE"""),44330.6666666667)</f>
        <v>44330.6666666667</v>
      </c>
      <c r="B93" s="8" t="n">
        <f aca="false">IFERROR(__xludf.dummyfunction("""COMPUTED_VALUE"""),309.54)</f>
        <v>309.54</v>
      </c>
      <c r="C93" s="8" t="n">
        <f aca="false">IFERROR(__xludf.dummyfunction("""COMPUTED_VALUE"""),316.85)</f>
        <v>316.85</v>
      </c>
      <c r="D93" s="8" t="n">
        <f aca="false">IFERROR(__xludf.dummyfunction("""COMPUTED_VALUE"""),309.08)</f>
        <v>309.08</v>
      </c>
      <c r="E93" s="8" t="n">
        <f aca="false">IFERROR(__xludf.dummyfunction("""COMPUTED_VALUE"""),315.94)</f>
        <v>315.94</v>
      </c>
      <c r="F93" s="8" t="n">
        <f aca="false">IFERROR(__xludf.dummyfunction("""COMPUTED_VALUE"""),19245724)</f>
        <v>19245724</v>
      </c>
    </row>
    <row r="94" customFormat="false" ht="15.75" hidden="false" customHeight="false" outlineLevel="0" collapsed="false">
      <c r="A94" s="9" t="n">
        <f aca="false">IFERROR(__xludf.dummyfunction("""COMPUTED_VALUE"""),44333.6666666667)</f>
        <v>44333.6666666667</v>
      </c>
      <c r="B94" s="8" t="n">
        <f aca="false">IFERROR(__xludf.dummyfunction("""COMPUTED_VALUE"""),313.55)</f>
        <v>313.55</v>
      </c>
      <c r="C94" s="8" t="n">
        <f aca="false">IFERROR(__xludf.dummyfunction("""COMPUTED_VALUE"""),315.68)</f>
        <v>315.68</v>
      </c>
      <c r="D94" s="8" t="n">
        <f aca="false">IFERROR(__xludf.dummyfunction("""COMPUTED_VALUE"""),311.58)</f>
        <v>311.58</v>
      </c>
      <c r="E94" s="8" t="n">
        <f aca="false">IFERROR(__xludf.dummyfunction("""COMPUTED_VALUE"""),315.46)</f>
        <v>315.46</v>
      </c>
      <c r="F94" s="8" t="n">
        <f aca="false">IFERROR(__xludf.dummyfunction("""COMPUTED_VALUE"""),15401343)</f>
        <v>15401343</v>
      </c>
    </row>
    <row r="95" customFormat="false" ht="15.75" hidden="false" customHeight="false" outlineLevel="0" collapsed="false">
      <c r="A95" s="9" t="n">
        <f aca="false">IFERROR(__xludf.dummyfunction("""COMPUTED_VALUE"""),44334.6666666667)</f>
        <v>44334.6666666667</v>
      </c>
      <c r="B95" s="8" t="n">
        <f aca="false">IFERROR(__xludf.dummyfunction("""COMPUTED_VALUE"""),315.59)</f>
        <v>315.59</v>
      </c>
      <c r="C95" s="8" t="n">
        <f aca="false">IFERROR(__xludf.dummyfunction("""COMPUTED_VALUE"""),316.5)</f>
        <v>316.5</v>
      </c>
      <c r="D95" s="8" t="n">
        <f aca="false">IFERROR(__xludf.dummyfunction("""COMPUTED_VALUE"""),309.81)</f>
        <v>309.81</v>
      </c>
      <c r="E95" s="8" t="n">
        <f aca="false">IFERROR(__xludf.dummyfunction("""COMPUTED_VALUE"""),309.96)</f>
        <v>309.96</v>
      </c>
      <c r="F95" s="8" t="n">
        <f aca="false">IFERROR(__xludf.dummyfunction("""COMPUTED_VALUE"""),14522403)</f>
        <v>14522403</v>
      </c>
    </row>
    <row r="96" customFormat="false" ht="15.75" hidden="false" customHeight="false" outlineLevel="0" collapsed="false">
      <c r="A96" s="9" t="n">
        <f aca="false">IFERROR(__xludf.dummyfunction("""COMPUTED_VALUE"""),44335.6666666667)</f>
        <v>44335.6666666667</v>
      </c>
      <c r="B96" s="8" t="n">
        <f aca="false">IFERROR(__xludf.dummyfunction("""COMPUTED_VALUE"""),304.19)</f>
        <v>304.19</v>
      </c>
      <c r="C96" s="8" t="n">
        <f aca="false">IFERROR(__xludf.dummyfunction("""COMPUTED_VALUE"""),314.66)</f>
        <v>314.66</v>
      </c>
      <c r="D96" s="8" t="n">
        <f aca="false">IFERROR(__xludf.dummyfunction("""COMPUTED_VALUE"""),303.57)</f>
        <v>303.57</v>
      </c>
      <c r="E96" s="8" t="n">
        <f aca="false">IFERROR(__xludf.dummyfunction("""COMPUTED_VALUE"""),313.59)</f>
        <v>313.59</v>
      </c>
      <c r="F96" s="8" t="n">
        <f aca="false">IFERROR(__xludf.dummyfunction("""COMPUTED_VALUE"""),19106244)</f>
        <v>19106244</v>
      </c>
    </row>
    <row r="97" customFormat="false" ht="15.75" hidden="false" customHeight="false" outlineLevel="0" collapsed="false">
      <c r="A97" s="9" t="n">
        <f aca="false">IFERROR(__xludf.dummyfunction("""COMPUTED_VALUE"""),44336.6666666667)</f>
        <v>44336.6666666667</v>
      </c>
      <c r="B97" s="8" t="n">
        <f aca="false">IFERROR(__xludf.dummyfunction("""COMPUTED_VALUE"""),313.58)</f>
        <v>313.58</v>
      </c>
      <c r="C97" s="8" t="n">
        <f aca="false">IFERROR(__xludf.dummyfunction("""COMPUTED_VALUE"""),319.25)</f>
        <v>319.25</v>
      </c>
      <c r="D97" s="8" t="n">
        <f aca="false">IFERROR(__xludf.dummyfunction("""COMPUTED_VALUE"""),313.16)</f>
        <v>313.16</v>
      </c>
      <c r="E97" s="8" t="n">
        <f aca="false">IFERROR(__xludf.dummyfunction("""COMPUTED_VALUE"""),318.61)</f>
        <v>318.61</v>
      </c>
      <c r="F97" s="8" t="n">
        <f aca="false">IFERROR(__xludf.dummyfunction("""COMPUTED_VALUE"""),17320241)</f>
        <v>17320241</v>
      </c>
    </row>
    <row r="98" customFormat="false" ht="15.75" hidden="false" customHeight="false" outlineLevel="0" collapsed="false">
      <c r="A98" s="9" t="n">
        <f aca="false">IFERROR(__xludf.dummyfunction("""COMPUTED_VALUE"""),44337.6666666667)</f>
        <v>44337.6666666667</v>
      </c>
      <c r="B98" s="8" t="n">
        <f aca="false">IFERROR(__xludf.dummyfunction("""COMPUTED_VALUE"""),319.29)</f>
        <v>319.29</v>
      </c>
      <c r="C98" s="8" t="n">
        <f aca="false">IFERROR(__xludf.dummyfunction("""COMPUTED_VALUE"""),319.93)</f>
        <v>319.93</v>
      </c>
      <c r="D98" s="8" t="n">
        <f aca="false">IFERROR(__xludf.dummyfunction("""COMPUTED_VALUE"""),315.81)</f>
        <v>315.81</v>
      </c>
      <c r="E98" s="8" t="n">
        <f aca="false">IFERROR(__xludf.dummyfunction("""COMPUTED_VALUE"""),316.23)</f>
        <v>316.23</v>
      </c>
      <c r="F98" s="8" t="n">
        <f aca="false">IFERROR(__xludf.dummyfunction("""COMPUTED_VALUE"""),13600901)</f>
        <v>13600901</v>
      </c>
    </row>
    <row r="99" customFormat="false" ht="15.75" hidden="false" customHeight="false" outlineLevel="0" collapsed="false">
      <c r="A99" s="9" t="n">
        <f aca="false">IFERROR(__xludf.dummyfunction("""COMPUTED_VALUE"""),44340.6666666667)</f>
        <v>44340.6666666667</v>
      </c>
      <c r="B99" s="8" t="n">
        <f aca="false">IFERROR(__xludf.dummyfunction("""COMPUTED_VALUE"""),318.21)</f>
        <v>318.21</v>
      </c>
      <c r="C99" s="8" t="n">
        <f aca="false">IFERROR(__xludf.dummyfunction("""COMPUTED_VALUE"""),325.95)</f>
        <v>325.95</v>
      </c>
      <c r="D99" s="8" t="n">
        <f aca="false">IFERROR(__xludf.dummyfunction("""COMPUTED_VALUE"""),318.03)</f>
        <v>318.03</v>
      </c>
      <c r="E99" s="8" t="n">
        <f aca="false">IFERROR(__xludf.dummyfunction("""COMPUTED_VALUE"""),324.63)</f>
        <v>324.63</v>
      </c>
      <c r="F99" s="8" t="n">
        <f aca="false">IFERROR(__xludf.dummyfunction("""COMPUTED_VALUE"""),16445356)</f>
        <v>16445356</v>
      </c>
    </row>
    <row r="100" customFormat="false" ht="15.75" hidden="false" customHeight="false" outlineLevel="0" collapsed="false">
      <c r="A100" s="9" t="n">
        <f aca="false">IFERROR(__xludf.dummyfunction("""COMPUTED_VALUE"""),44341.6666666667)</f>
        <v>44341.6666666667</v>
      </c>
      <c r="B100" s="8" t="n">
        <f aca="false">IFERROR(__xludf.dummyfunction("""COMPUTED_VALUE"""),327.08)</f>
        <v>327.08</v>
      </c>
      <c r="C100" s="8" t="n">
        <f aca="false">IFERROR(__xludf.dummyfunction("""COMPUTED_VALUE"""),329.18)</f>
        <v>329.18</v>
      </c>
      <c r="D100" s="8" t="n">
        <f aca="false">IFERROR(__xludf.dummyfunction("""COMPUTED_VALUE"""),324.8)</f>
        <v>324.8</v>
      </c>
      <c r="E100" s="8" t="n">
        <f aca="false">IFERROR(__xludf.dummyfunction("""COMPUTED_VALUE"""),327.79)</f>
        <v>327.79</v>
      </c>
      <c r="F100" s="8" t="n">
        <f aca="false">IFERROR(__xludf.dummyfunction("""COMPUTED_VALUE"""),16436965)</f>
        <v>16436965</v>
      </c>
    </row>
    <row r="101" customFormat="false" ht="15.75" hidden="false" customHeight="false" outlineLevel="0" collapsed="false">
      <c r="A101" s="9" t="n">
        <f aca="false">IFERROR(__xludf.dummyfunction("""COMPUTED_VALUE"""),44342.6666666667)</f>
        <v>44342.6666666667</v>
      </c>
      <c r="B101" s="8" t="n">
        <f aca="false">IFERROR(__xludf.dummyfunction("""COMPUTED_VALUE"""),328.35)</f>
        <v>328.35</v>
      </c>
      <c r="C101" s="8" t="n">
        <f aca="false">IFERROR(__xludf.dummyfunction("""COMPUTED_VALUE"""),329.83)</f>
        <v>329.83</v>
      </c>
      <c r="D101" s="8" t="n">
        <f aca="false">IFERROR(__xludf.dummyfunction("""COMPUTED_VALUE"""),325.82)</f>
        <v>325.82</v>
      </c>
      <c r="E101" s="8" t="n">
        <f aca="false">IFERROR(__xludf.dummyfunction("""COMPUTED_VALUE"""),327.66)</f>
        <v>327.66</v>
      </c>
      <c r="F101" s="8" t="n">
        <f aca="false">IFERROR(__xludf.dummyfunction("""COMPUTED_VALUE"""),9686917)</f>
        <v>9686917</v>
      </c>
    </row>
    <row r="102" customFormat="false" ht="15.75" hidden="false" customHeight="false" outlineLevel="0" collapsed="false">
      <c r="A102" s="9" t="n">
        <f aca="false">IFERROR(__xludf.dummyfunction("""COMPUTED_VALUE"""),44343.6666666667)</f>
        <v>44343.6666666667</v>
      </c>
      <c r="B102" s="8" t="n">
        <f aca="false">IFERROR(__xludf.dummyfunction("""COMPUTED_VALUE"""),328)</f>
        <v>328</v>
      </c>
      <c r="C102" s="8" t="n">
        <f aca="false">IFERROR(__xludf.dummyfunction("""COMPUTED_VALUE"""),333.78)</f>
        <v>333.78</v>
      </c>
      <c r="D102" s="8" t="n">
        <f aca="false">IFERROR(__xludf.dummyfunction("""COMPUTED_VALUE"""),326.76)</f>
        <v>326.76</v>
      </c>
      <c r="E102" s="8" t="n">
        <f aca="false">IFERROR(__xludf.dummyfunction("""COMPUTED_VALUE"""),332.75)</f>
        <v>332.75</v>
      </c>
      <c r="F102" s="8" t="n">
        <f aca="false">IFERROR(__xludf.dummyfunction("""COMPUTED_VALUE"""),20477726)</f>
        <v>20477726</v>
      </c>
    </row>
    <row r="103" customFormat="false" ht="15.75" hidden="false" customHeight="false" outlineLevel="0" collapsed="false">
      <c r="A103" s="9" t="n">
        <f aca="false">IFERROR(__xludf.dummyfunction("""COMPUTED_VALUE"""),44344.6666666667)</f>
        <v>44344.6666666667</v>
      </c>
      <c r="B103" s="8" t="n">
        <f aca="false">IFERROR(__xludf.dummyfunction("""COMPUTED_VALUE"""),331)</f>
        <v>331</v>
      </c>
      <c r="C103" s="8" t="n">
        <f aca="false">IFERROR(__xludf.dummyfunction("""COMPUTED_VALUE"""),332.87)</f>
        <v>332.87</v>
      </c>
      <c r="D103" s="8" t="n">
        <f aca="false">IFERROR(__xludf.dummyfunction("""COMPUTED_VALUE"""),328.33)</f>
        <v>328.33</v>
      </c>
      <c r="E103" s="8" t="n">
        <f aca="false">IFERROR(__xludf.dummyfunction("""COMPUTED_VALUE"""),328.73)</f>
        <v>328.73</v>
      </c>
      <c r="F103" s="8" t="n">
        <f aca="false">IFERROR(__xludf.dummyfunction("""COMPUTED_VALUE"""),12037430)</f>
        <v>12037430</v>
      </c>
    </row>
    <row r="104" customFormat="false" ht="15.75" hidden="false" customHeight="false" outlineLevel="0" collapsed="false">
      <c r="A104" s="9" t="n">
        <f aca="false">IFERROR(__xludf.dummyfunction("""COMPUTED_VALUE"""),44348.6666666667)</f>
        <v>44348.6666666667</v>
      </c>
      <c r="B104" s="8" t="n">
        <f aca="false">IFERROR(__xludf.dummyfunction("""COMPUTED_VALUE"""),330.15)</f>
        <v>330.15</v>
      </c>
      <c r="C104" s="8" t="n">
        <f aca="false">IFERROR(__xludf.dummyfunction("""COMPUTED_VALUE"""),331.42)</f>
        <v>331.42</v>
      </c>
      <c r="D104" s="8" t="n">
        <f aca="false">IFERROR(__xludf.dummyfunction("""COMPUTED_VALUE"""),326.64)</f>
        <v>326.64</v>
      </c>
      <c r="E104" s="8" t="n">
        <f aca="false">IFERROR(__xludf.dummyfunction("""COMPUTED_VALUE"""),329.13)</f>
        <v>329.13</v>
      </c>
      <c r="F104" s="8" t="n">
        <f aca="false">IFERROR(__xludf.dummyfunction("""COMPUTED_VALUE"""),11765906)</f>
        <v>11765906</v>
      </c>
    </row>
    <row r="105" customFormat="false" ht="15.75" hidden="false" customHeight="false" outlineLevel="0" collapsed="false">
      <c r="A105" s="9" t="n">
        <f aca="false">IFERROR(__xludf.dummyfunction("""COMPUTED_VALUE"""),44349.6666666667)</f>
        <v>44349.6666666667</v>
      </c>
      <c r="B105" s="8" t="n">
        <f aca="false">IFERROR(__xludf.dummyfunction("""COMPUTED_VALUE"""),330.38)</f>
        <v>330.38</v>
      </c>
      <c r="C105" s="8" t="n">
        <f aca="false">IFERROR(__xludf.dummyfunction("""COMPUTED_VALUE"""),331.87)</f>
        <v>331.87</v>
      </c>
      <c r="D105" s="8" t="n">
        <f aca="false">IFERROR(__xludf.dummyfunction("""COMPUTED_VALUE"""),327.12)</f>
        <v>327.12</v>
      </c>
      <c r="E105" s="8" t="n">
        <f aca="false">IFERROR(__xludf.dummyfunction("""COMPUTED_VALUE"""),329.15)</f>
        <v>329.15</v>
      </c>
      <c r="F105" s="8" t="n">
        <f aca="false">IFERROR(__xludf.dummyfunction("""COMPUTED_VALUE"""),11654275)</f>
        <v>11654275</v>
      </c>
    </row>
    <row r="106" customFormat="false" ht="15.75" hidden="false" customHeight="false" outlineLevel="0" collapsed="false">
      <c r="A106" s="9" t="n">
        <f aca="false">IFERROR(__xludf.dummyfunction("""COMPUTED_VALUE"""),44350.6666666667)</f>
        <v>44350.6666666667</v>
      </c>
      <c r="B106" s="8" t="n">
        <f aca="false">IFERROR(__xludf.dummyfunction("""COMPUTED_VALUE"""),325.78)</f>
        <v>325.78</v>
      </c>
      <c r="C106" s="8" t="n">
        <f aca="false">IFERROR(__xludf.dummyfunction("""COMPUTED_VALUE"""),327.38)</f>
        <v>327.38</v>
      </c>
      <c r="D106" s="8" t="n">
        <f aca="false">IFERROR(__xludf.dummyfunction("""COMPUTED_VALUE"""),323.48)</f>
        <v>323.48</v>
      </c>
      <c r="E106" s="8" t="n">
        <f aca="false">IFERROR(__xludf.dummyfunction("""COMPUTED_VALUE"""),326.04)</f>
        <v>326.04</v>
      </c>
      <c r="F106" s="8" t="n">
        <f aca="false">IFERROR(__xludf.dummyfunction("""COMPUTED_VALUE"""),12610788)</f>
        <v>12610788</v>
      </c>
    </row>
    <row r="107" customFormat="false" ht="15.75" hidden="false" customHeight="false" outlineLevel="0" collapsed="false">
      <c r="A107" s="9" t="n">
        <f aca="false">IFERROR(__xludf.dummyfunction("""COMPUTED_VALUE"""),44351.6666666667)</f>
        <v>44351.6666666667</v>
      </c>
      <c r="B107" s="8" t="n">
        <f aca="false">IFERROR(__xludf.dummyfunction("""COMPUTED_VALUE"""),325.9)</f>
        <v>325.9</v>
      </c>
      <c r="C107" s="8" t="n">
        <f aca="false">IFERROR(__xludf.dummyfunction("""COMPUTED_VALUE"""),332.46)</f>
        <v>332.46</v>
      </c>
      <c r="D107" s="8" t="n">
        <f aca="false">IFERROR(__xludf.dummyfunction("""COMPUTED_VALUE"""),325.18)</f>
        <v>325.18</v>
      </c>
      <c r="E107" s="8" t="n">
        <f aca="false">IFERROR(__xludf.dummyfunction("""COMPUTED_VALUE"""),330.35)</f>
        <v>330.35</v>
      </c>
      <c r="F107" s="8" t="n">
        <f aca="false">IFERROR(__xludf.dummyfunction("""COMPUTED_VALUE"""),13289383)</f>
        <v>13289383</v>
      </c>
    </row>
    <row r="108" customFormat="false" ht="15.75" hidden="false" customHeight="false" outlineLevel="0" collapsed="false">
      <c r="A108" s="9" t="n">
        <f aca="false">IFERROR(__xludf.dummyfunction("""COMPUTED_VALUE"""),44354.6666666667)</f>
        <v>44354.6666666667</v>
      </c>
      <c r="B108" s="8" t="n">
        <f aca="false">IFERROR(__xludf.dummyfunction("""COMPUTED_VALUE"""),329.48)</f>
        <v>329.48</v>
      </c>
      <c r="C108" s="8" t="n">
        <f aca="false">IFERROR(__xludf.dummyfunction("""COMPUTED_VALUE"""),337.69)</f>
        <v>337.69</v>
      </c>
      <c r="D108" s="8" t="n">
        <f aca="false">IFERROR(__xludf.dummyfunction("""COMPUTED_VALUE"""),328.93)</f>
        <v>328.93</v>
      </c>
      <c r="E108" s="8" t="n">
        <f aca="false">IFERROR(__xludf.dummyfunction("""COMPUTED_VALUE"""),336.58)</f>
        <v>336.58</v>
      </c>
      <c r="F108" s="8" t="n">
        <f aca="false">IFERROR(__xludf.dummyfunction("""COMPUTED_VALUE"""),20136707)</f>
        <v>20136707</v>
      </c>
    </row>
    <row r="109" customFormat="false" ht="15.75" hidden="false" customHeight="false" outlineLevel="0" collapsed="false">
      <c r="A109" s="9" t="n">
        <f aca="false">IFERROR(__xludf.dummyfunction("""COMPUTED_VALUE"""),44355.6666666667)</f>
        <v>44355.6666666667</v>
      </c>
      <c r="B109" s="8" t="n">
        <f aca="false">IFERROR(__xludf.dummyfunction("""COMPUTED_VALUE"""),336.7)</f>
        <v>336.7</v>
      </c>
      <c r="C109" s="8" t="n">
        <f aca="false">IFERROR(__xludf.dummyfunction("""COMPUTED_VALUE"""),338.3)</f>
        <v>338.3</v>
      </c>
      <c r="D109" s="8" t="n">
        <f aca="false">IFERROR(__xludf.dummyfunction("""COMPUTED_VALUE"""),332.24)</f>
        <v>332.24</v>
      </c>
      <c r="E109" s="8" t="n">
        <f aca="false">IFERROR(__xludf.dummyfunction("""COMPUTED_VALUE"""),333.68)</f>
        <v>333.68</v>
      </c>
      <c r="F109" s="8" t="n">
        <f aca="false">IFERROR(__xludf.dummyfunction("""COMPUTED_VALUE"""),14580464)</f>
        <v>14580464</v>
      </c>
    </row>
    <row r="110" customFormat="false" ht="15.75" hidden="false" customHeight="false" outlineLevel="0" collapsed="false">
      <c r="A110" s="9" t="n">
        <f aca="false">IFERROR(__xludf.dummyfunction("""COMPUTED_VALUE"""),44356.6666666667)</f>
        <v>44356.6666666667</v>
      </c>
      <c r="B110" s="8" t="n">
        <f aca="false">IFERROR(__xludf.dummyfunction("""COMPUTED_VALUE"""),335.74)</f>
        <v>335.74</v>
      </c>
      <c r="C110" s="8" t="n">
        <f aca="false">IFERROR(__xludf.dummyfunction("""COMPUTED_VALUE"""),336.8)</f>
        <v>336.8</v>
      </c>
      <c r="D110" s="8" t="n">
        <f aca="false">IFERROR(__xludf.dummyfunction("""COMPUTED_VALUE"""),330)</f>
        <v>330</v>
      </c>
      <c r="E110" s="8" t="n">
        <f aca="false">IFERROR(__xludf.dummyfunction("""COMPUTED_VALUE"""),330.25)</f>
        <v>330.25</v>
      </c>
      <c r="F110" s="8" t="n">
        <f aca="false">IFERROR(__xludf.dummyfunction("""COMPUTED_VALUE"""),13727946)</f>
        <v>13727946</v>
      </c>
    </row>
    <row r="111" customFormat="false" ht="15.75" hidden="false" customHeight="false" outlineLevel="0" collapsed="false">
      <c r="A111" s="9" t="n">
        <f aca="false">IFERROR(__xludf.dummyfunction("""COMPUTED_VALUE"""),44357.6666666667)</f>
        <v>44357.6666666667</v>
      </c>
      <c r="B111" s="8" t="n">
        <f aca="false">IFERROR(__xludf.dummyfunction("""COMPUTED_VALUE"""),330.79)</f>
        <v>330.79</v>
      </c>
      <c r="C111" s="8" t="n">
        <f aca="false">IFERROR(__xludf.dummyfunction("""COMPUTED_VALUE"""),333.94)</f>
        <v>333.94</v>
      </c>
      <c r="D111" s="8" t="n">
        <f aca="false">IFERROR(__xludf.dummyfunction("""COMPUTED_VALUE"""),328.55)</f>
        <v>328.55</v>
      </c>
      <c r="E111" s="8" t="n">
        <f aca="false">IFERROR(__xludf.dummyfunction("""COMPUTED_VALUE"""),332.46)</f>
        <v>332.46</v>
      </c>
      <c r="F111" s="8" t="n">
        <f aca="false">IFERROR(__xludf.dummyfunction("""COMPUTED_VALUE"""),13240229)</f>
        <v>13240229</v>
      </c>
    </row>
    <row r="112" customFormat="false" ht="15.75" hidden="false" customHeight="false" outlineLevel="0" collapsed="false">
      <c r="A112" s="9" t="n">
        <f aca="false">IFERROR(__xludf.dummyfunction("""COMPUTED_VALUE"""),44358.6666666667)</f>
        <v>44358.6666666667</v>
      </c>
      <c r="B112" s="8" t="n">
        <f aca="false">IFERROR(__xludf.dummyfunction("""COMPUTED_VALUE"""),332.58)</f>
        <v>332.58</v>
      </c>
      <c r="C112" s="8" t="n">
        <f aca="false">IFERROR(__xludf.dummyfunction("""COMPUTED_VALUE"""),332.83)</f>
        <v>332.83</v>
      </c>
      <c r="D112" s="8" t="n">
        <f aca="false">IFERROR(__xludf.dummyfunction("""COMPUTED_VALUE"""),328.93)</f>
        <v>328.93</v>
      </c>
      <c r="E112" s="8" t="n">
        <f aca="false">IFERROR(__xludf.dummyfunction("""COMPUTED_VALUE"""),331.26)</f>
        <v>331.26</v>
      </c>
      <c r="F112" s="8" t="n">
        <f aca="false">IFERROR(__xludf.dummyfunction("""COMPUTED_VALUE"""),13587916)</f>
        <v>13587916</v>
      </c>
    </row>
    <row r="113" customFormat="false" ht="15.75" hidden="false" customHeight="false" outlineLevel="0" collapsed="false">
      <c r="A113" s="9" t="n">
        <f aca="false">IFERROR(__xludf.dummyfunction("""COMPUTED_VALUE"""),44361.6666666667)</f>
        <v>44361.6666666667</v>
      </c>
      <c r="B113" s="8" t="n">
        <f aca="false">IFERROR(__xludf.dummyfunction("""COMPUTED_VALUE"""),331.9)</f>
        <v>331.9</v>
      </c>
      <c r="C113" s="8" t="n">
        <f aca="false">IFERROR(__xludf.dummyfunction("""COMPUTED_VALUE"""),336.82)</f>
        <v>336.82</v>
      </c>
      <c r="D113" s="8" t="n">
        <f aca="false">IFERROR(__xludf.dummyfunction("""COMPUTED_VALUE"""),329.81)</f>
        <v>329.81</v>
      </c>
      <c r="E113" s="8" t="n">
        <f aca="false">IFERROR(__xludf.dummyfunction("""COMPUTED_VALUE"""),336.77)</f>
        <v>336.77</v>
      </c>
      <c r="F113" s="8" t="n">
        <f aca="false">IFERROR(__xludf.dummyfunction("""COMPUTED_VALUE"""),12250799)</f>
        <v>12250799</v>
      </c>
    </row>
    <row r="114" customFormat="false" ht="15.75" hidden="false" customHeight="false" outlineLevel="0" collapsed="false">
      <c r="A114" s="9" t="n">
        <f aca="false">IFERROR(__xludf.dummyfunction("""COMPUTED_VALUE"""),44362.6666666667)</f>
        <v>44362.6666666667</v>
      </c>
      <c r="B114" s="8" t="n">
        <f aca="false">IFERROR(__xludf.dummyfunction("""COMPUTED_VALUE"""),336.99)</f>
        <v>336.99</v>
      </c>
      <c r="C114" s="8" t="n">
        <f aca="false">IFERROR(__xludf.dummyfunction("""COMPUTED_VALUE"""),339.92)</f>
        <v>339.92</v>
      </c>
      <c r="D114" s="8" t="n">
        <f aca="false">IFERROR(__xludf.dummyfunction("""COMPUTED_VALUE"""),335.03)</f>
        <v>335.03</v>
      </c>
      <c r="E114" s="8" t="n">
        <f aca="false">IFERROR(__xludf.dummyfunction("""COMPUTED_VALUE"""),336.75)</f>
        <v>336.75</v>
      </c>
      <c r="F114" s="8" t="n">
        <f aca="false">IFERROR(__xludf.dummyfunction("""COMPUTED_VALUE"""),15795226)</f>
        <v>15795226</v>
      </c>
    </row>
    <row r="115" customFormat="false" ht="15.75" hidden="false" customHeight="false" outlineLevel="0" collapsed="false">
      <c r="A115" s="9" t="n">
        <f aca="false">IFERROR(__xludf.dummyfunction("""COMPUTED_VALUE"""),44363.6666666667)</f>
        <v>44363.6666666667</v>
      </c>
      <c r="B115" s="8" t="n">
        <f aca="false">IFERROR(__xludf.dummyfunction("""COMPUTED_VALUE"""),336.7)</f>
        <v>336.7</v>
      </c>
      <c r="C115" s="8" t="n">
        <f aca="false">IFERROR(__xludf.dummyfunction("""COMPUTED_VALUE"""),337.55)</f>
        <v>337.55</v>
      </c>
      <c r="D115" s="8" t="n">
        <f aca="false">IFERROR(__xludf.dummyfunction("""COMPUTED_VALUE"""),328.72)</f>
        <v>328.72</v>
      </c>
      <c r="E115" s="8" t="n">
        <f aca="false">IFERROR(__xludf.dummyfunction("""COMPUTED_VALUE"""),331.08)</f>
        <v>331.08</v>
      </c>
      <c r="F115" s="8" t="n">
        <f aca="false">IFERROR(__xludf.dummyfunction("""COMPUTED_VALUE"""),17232157)</f>
        <v>17232157</v>
      </c>
    </row>
    <row r="116" customFormat="false" ht="15.75" hidden="false" customHeight="false" outlineLevel="0" collapsed="false">
      <c r="A116" s="9" t="n">
        <f aca="false">IFERROR(__xludf.dummyfunction("""COMPUTED_VALUE"""),44364.6666666667)</f>
        <v>44364.6666666667</v>
      </c>
      <c r="B116" s="8" t="n">
        <f aca="false">IFERROR(__xludf.dummyfunction("""COMPUTED_VALUE"""),330.49)</f>
        <v>330.49</v>
      </c>
      <c r="C116" s="8" t="n">
        <f aca="false">IFERROR(__xludf.dummyfunction("""COMPUTED_VALUE"""),337.98)</f>
        <v>337.98</v>
      </c>
      <c r="D116" s="8" t="n">
        <f aca="false">IFERROR(__xludf.dummyfunction("""COMPUTED_VALUE"""),330.15)</f>
        <v>330.15</v>
      </c>
      <c r="E116" s="8" t="n">
        <f aca="false">IFERROR(__xludf.dummyfunction("""COMPUTED_VALUE"""),336.51)</f>
        <v>336.51</v>
      </c>
      <c r="F116" s="8" t="n">
        <f aca="false">IFERROR(__xludf.dummyfunction("""COMPUTED_VALUE"""),17794080)</f>
        <v>17794080</v>
      </c>
    </row>
    <row r="117" customFormat="false" ht="15.75" hidden="false" customHeight="false" outlineLevel="0" collapsed="false">
      <c r="A117" s="9" t="n">
        <f aca="false">IFERROR(__xludf.dummyfunction("""COMPUTED_VALUE"""),44365.6666666667)</f>
        <v>44365.6666666667</v>
      </c>
      <c r="B117" s="8" t="n">
        <f aca="false">IFERROR(__xludf.dummyfunction("""COMPUTED_VALUE"""),334.53)</f>
        <v>334.53</v>
      </c>
      <c r="C117" s="8" t="n">
        <f aca="false">IFERROR(__xludf.dummyfunction("""COMPUTED_VALUE"""),336.15)</f>
        <v>336.15</v>
      </c>
      <c r="D117" s="8" t="n">
        <f aca="false">IFERROR(__xludf.dummyfunction("""COMPUTED_VALUE"""),329)</f>
        <v>329</v>
      </c>
      <c r="E117" s="8" t="n">
        <f aca="false">IFERROR(__xludf.dummyfunction("""COMPUTED_VALUE"""),329.66)</f>
        <v>329.66</v>
      </c>
      <c r="F117" s="8" t="n">
        <f aca="false">IFERROR(__xludf.dummyfunction("""COMPUTED_VALUE"""),23039457)</f>
        <v>23039457</v>
      </c>
    </row>
    <row r="118" customFormat="false" ht="15.75" hidden="false" customHeight="false" outlineLevel="0" collapsed="false">
      <c r="A118" s="9" t="n">
        <f aca="false">IFERROR(__xludf.dummyfunction("""COMPUTED_VALUE"""),44368.6666666667)</f>
        <v>44368.6666666667</v>
      </c>
      <c r="B118" s="8" t="n">
        <f aca="false">IFERROR(__xludf.dummyfunction("""COMPUTED_VALUE"""),331.09)</f>
        <v>331.09</v>
      </c>
      <c r="C118" s="8" t="n">
        <f aca="false">IFERROR(__xludf.dummyfunction("""COMPUTED_VALUE"""),332.92)</f>
        <v>332.92</v>
      </c>
      <c r="D118" s="8" t="n">
        <f aca="false">IFERROR(__xludf.dummyfunction("""COMPUTED_VALUE"""),327.65)</f>
        <v>327.65</v>
      </c>
      <c r="E118" s="8" t="n">
        <f aca="false">IFERROR(__xludf.dummyfunction("""COMPUTED_VALUE"""),332.29)</f>
        <v>332.29</v>
      </c>
      <c r="F118" s="8" t="n">
        <f aca="false">IFERROR(__xludf.dummyfunction("""COMPUTED_VALUE"""),11337522)</f>
        <v>11337522</v>
      </c>
    </row>
    <row r="119" customFormat="false" ht="15.75" hidden="false" customHeight="false" outlineLevel="0" collapsed="false">
      <c r="A119" s="9" t="n">
        <f aca="false">IFERROR(__xludf.dummyfunction("""COMPUTED_VALUE"""),44369.6666666667)</f>
        <v>44369.6666666667</v>
      </c>
      <c r="B119" s="8" t="n">
        <f aca="false">IFERROR(__xludf.dummyfunction("""COMPUTED_VALUE"""),332.69)</f>
        <v>332.69</v>
      </c>
      <c r="C119" s="8" t="n">
        <f aca="false">IFERROR(__xludf.dummyfunction("""COMPUTED_VALUE"""),339.92)</f>
        <v>339.92</v>
      </c>
      <c r="D119" s="8" t="n">
        <f aca="false">IFERROR(__xludf.dummyfunction("""COMPUTED_VALUE"""),332.6)</f>
        <v>332.6</v>
      </c>
      <c r="E119" s="8" t="n">
        <f aca="false">IFERROR(__xludf.dummyfunction("""COMPUTED_VALUE"""),339.03)</f>
        <v>339.03</v>
      </c>
      <c r="F119" s="8" t="n">
        <f aca="false">IFERROR(__xludf.dummyfunction("""COMPUTED_VALUE"""),15345299)</f>
        <v>15345299</v>
      </c>
    </row>
    <row r="120" customFormat="false" ht="15.75" hidden="false" customHeight="false" outlineLevel="0" collapsed="false">
      <c r="A120" s="9" t="n">
        <f aca="false">IFERROR(__xludf.dummyfunction("""COMPUTED_VALUE"""),44370.6666666667)</f>
        <v>44370.6666666667</v>
      </c>
      <c r="B120" s="8" t="n">
        <f aca="false">IFERROR(__xludf.dummyfunction("""COMPUTED_VALUE"""),339.35)</f>
        <v>339.35</v>
      </c>
      <c r="C120" s="8" t="n">
        <f aca="false">IFERROR(__xludf.dummyfunction("""COMPUTED_VALUE"""),343.42)</f>
        <v>343.42</v>
      </c>
      <c r="D120" s="8" t="n">
        <f aca="false">IFERROR(__xludf.dummyfunction("""COMPUTED_VALUE"""),338.2)</f>
        <v>338.2</v>
      </c>
      <c r="E120" s="8" t="n">
        <f aca="false">IFERROR(__xludf.dummyfunction("""COMPUTED_VALUE"""),340.59)</f>
        <v>340.59</v>
      </c>
      <c r="F120" s="8" t="n">
        <f aca="false">IFERROR(__xludf.dummyfunction("""COMPUTED_VALUE"""),14817824)</f>
        <v>14817824</v>
      </c>
    </row>
    <row r="121" customFormat="false" ht="15.75" hidden="false" customHeight="false" outlineLevel="0" collapsed="false">
      <c r="A121" s="9" t="n">
        <f aca="false">IFERROR(__xludf.dummyfunction("""COMPUTED_VALUE"""),44371.6666666667)</f>
        <v>44371.6666666667</v>
      </c>
      <c r="B121" s="8" t="n">
        <f aca="false">IFERROR(__xludf.dummyfunction("""COMPUTED_VALUE"""),341.85)</f>
        <v>341.85</v>
      </c>
      <c r="C121" s="8" t="n">
        <f aca="false">IFERROR(__xludf.dummyfunction("""COMPUTED_VALUE"""),344.9)</f>
        <v>344.9</v>
      </c>
      <c r="D121" s="8" t="n">
        <f aca="false">IFERROR(__xludf.dummyfunction("""COMPUTED_VALUE"""),341.79)</f>
        <v>341.79</v>
      </c>
      <c r="E121" s="8" t="n">
        <f aca="false">IFERROR(__xludf.dummyfunction("""COMPUTED_VALUE"""),343.18)</f>
        <v>343.18</v>
      </c>
      <c r="F121" s="8" t="n">
        <f aca="false">IFERROR(__xludf.dummyfunction("""COMPUTED_VALUE"""),12329096)</f>
        <v>12329096</v>
      </c>
    </row>
    <row r="122" customFormat="false" ht="15.75" hidden="false" customHeight="false" outlineLevel="0" collapsed="false">
      <c r="A122" s="9" t="n">
        <f aca="false">IFERROR(__xludf.dummyfunction("""COMPUTED_VALUE"""),44372.6666666667)</f>
        <v>44372.6666666667</v>
      </c>
      <c r="B122" s="8" t="n">
        <f aca="false">IFERROR(__xludf.dummyfunction("""COMPUTED_VALUE"""),342.59)</f>
        <v>342.59</v>
      </c>
      <c r="C122" s="8" t="n">
        <f aca="false">IFERROR(__xludf.dummyfunction("""COMPUTED_VALUE"""),344.12)</f>
        <v>344.12</v>
      </c>
      <c r="D122" s="8" t="n">
        <f aca="false">IFERROR(__xludf.dummyfunction("""COMPUTED_VALUE"""),339.68)</f>
        <v>339.68</v>
      </c>
      <c r="E122" s="8" t="n">
        <f aca="false">IFERROR(__xludf.dummyfunction("""COMPUTED_VALUE"""),341.37)</f>
        <v>341.37</v>
      </c>
      <c r="F122" s="8" t="n">
        <f aca="false">IFERROR(__xludf.dummyfunction("""COMPUTED_VALUE"""),14594444)</f>
        <v>14594444</v>
      </c>
    </row>
    <row r="123" customFormat="false" ht="15.75" hidden="false" customHeight="false" outlineLevel="0" collapsed="false">
      <c r="A123" s="9" t="n">
        <f aca="false">IFERROR(__xludf.dummyfunction("""COMPUTED_VALUE"""),44375.6666666667)</f>
        <v>44375.6666666667</v>
      </c>
      <c r="B123" s="8" t="n">
        <f aca="false">IFERROR(__xludf.dummyfunction("""COMPUTED_VALUE"""),342.46)</f>
        <v>342.46</v>
      </c>
      <c r="C123" s="8" t="n">
        <f aca="false">IFERROR(__xludf.dummyfunction("""COMPUTED_VALUE"""),358.14)</f>
        <v>358.14</v>
      </c>
      <c r="D123" s="8" t="n">
        <f aca="false">IFERROR(__xludf.dummyfunction("""COMPUTED_VALUE"""),341.77)</f>
        <v>341.77</v>
      </c>
      <c r="E123" s="8" t="n">
        <f aca="false">IFERROR(__xludf.dummyfunction("""COMPUTED_VALUE"""),355.64)</f>
        <v>355.64</v>
      </c>
      <c r="F123" s="8" t="n">
        <f aca="false">IFERROR(__xludf.dummyfunction("""COMPUTED_VALUE"""),29156132)</f>
        <v>29156132</v>
      </c>
    </row>
    <row r="124" customFormat="false" ht="15.75" hidden="false" customHeight="false" outlineLevel="0" collapsed="false">
      <c r="A124" s="9" t="n">
        <f aca="false">IFERROR(__xludf.dummyfunction("""COMPUTED_VALUE"""),44376.6666666667)</f>
        <v>44376.6666666667</v>
      </c>
      <c r="B124" s="8" t="n">
        <f aca="false">IFERROR(__xludf.dummyfunction("""COMPUTED_VALUE"""),356.27)</f>
        <v>356.27</v>
      </c>
      <c r="C124" s="8" t="n">
        <f aca="false">IFERROR(__xludf.dummyfunction("""COMPUTED_VALUE"""),356.74)</f>
        <v>356.74</v>
      </c>
      <c r="D124" s="8" t="n">
        <f aca="false">IFERROR(__xludf.dummyfunction("""COMPUTED_VALUE"""),349.05)</f>
        <v>349.05</v>
      </c>
      <c r="E124" s="8" t="n">
        <f aca="false">IFERROR(__xludf.dummyfunction("""COMPUTED_VALUE"""),351.89)</f>
        <v>351.89</v>
      </c>
      <c r="F124" s="8" t="n">
        <f aca="false">IFERROR(__xludf.dummyfunction("""COMPUTED_VALUE"""),21417305)</f>
        <v>21417305</v>
      </c>
    </row>
    <row r="125" customFormat="false" ht="15.75" hidden="false" customHeight="false" outlineLevel="0" collapsed="false">
      <c r="A125" s="9" t="n">
        <f aca="false">IFERROR(__xludf.dummyfunction("""COMPUTED_VALUE"""),44377.6666666667)</f>
        <v>44377.6666666667</v>
      </c>
      <c r="B125" s="8" t="n">
        <f aca="false">IFERROR(__xludf.dummyfunction("""COMPUTED_VALUE"""),352.17)</f>
        <v>352.17</v>
      </c>
      <c r="C125" s="8" t="n">
        <f aca="false">IFERROR(__xludf.dummyfunction("""COMPUTED_VALUE"""),352.92)</f>
        <v>352.92</v>
      </c>
      <c r="D125" s="8" t="n">
        <f aca="false">IFERROR(__xludf.dummyfunction("""COMPUTED_VALUE"""),347.17)</f>
        <v>347.17</v>
      </c>
      <c r="E125" s="8" t="n">
        <f aca="false">IFERROR(__xludf.dummyfunction("""COMPUTED_VALUE"""),347.71)</f>
        <v>347.71</v>
      </c>
      <c r="F125" s="8" t="n">
        <f aca="false">IFERROR(__xludf.dummyfunction("""COMPUTED_VALUE"""),15107514)</f>
        <v>15107514</v>
      </c>
    </row>
    <row r="126" customFormat="false" ht="15.75" hidden="false" customHeight="false" outlineLevel="0" collapsed="false">
      <c r="A126" s="9" t="n">
        <f aca="false">IFERROR(__xludf.dummyfunction("""COMPUTED_VALUE"""),44378.6666666667)</f>
        <v>44378.6666666667</v>
      </c>
      <c r="B126" s="8" t="n">
        <f aca="false">IFERROR(__xludf.dummyfunction("""COMPUTED_VALUE"""),346.82)</f>
        <v>346.82</v>
      </c>
      <c r="C126" s="8" t="n">
        <f aca="false">IFERROR(__xludf.dummyfunction("""COMPUTED_VALUE"""),354.67)</f>
        <v>354.67</v>
      </c>
      <c r="D126" s="8" t="n">
        <f aca="false">IFERROR(__xludf.dummyfunction("""COMPUTED_VALUE"""),346.5)</f>
        <v>346.5</v>
      </c>
      <c r="E126" s="8" t="n">
        <f aca="false">IFERROR(__xludf.dummyfunction("""COMPUTED_VALUE"""),354.39)</f>
        <v>354.39</v>
      </c>
      <c r="F126" s="8" t="n">
        <f aca="false">IFERROR(__xludf.dummyfunction("""COMPUTED_VALUE"""),17137021)</f>
        <v>17137021</v>
      </c>
    </row>
    <row r="127" customFormat="false" ht="15.75" hidden="false" customHeight="false" outlineLevel="0" collapsed="false">
      <c r="A127" s="9" t="n">
        <f aca="false">IFERROR(__xludf.dummyfunction("""COMPUTED_VALUE"""),44379.6666666667)</f>
        <v>44379.6666666667</v>
      </c>
      <c r="B127" s="8" t="n">
        <f aca="false">IFERROR(__xludf.dummyfunction("""COMPUTED_VALUE"""),355.1)</f>
        <v>355.1</v>
      </c>
      <c r="C127" s="8" t="n">
        <f aca="false">IFERROR(__xludf.dummyfunction("""COMPUTED_VALUE"""),356.44)</f>
        <v>356.44</v>
      </c>
      <c r="D127" s="8" t="n">
        <f aca="false">IFERROR(__xludf.dummyfunction("""COMPUTED_VALUE"""),352.62)</f>
        <v>352.62</v>
      </c>
      <c r="E127" s="8" t="n">
        <f aca="false">IFERROR(__xludf.dummyfunction("""COMPUTED_VALUE"""),354.7)</f>
        <v>354.7</v>
      </c>
      <c r="F127" s="8" t="n">
        <f aca="false">IFERROR(__xludf.dummyfunction("""COMPUTED_VALUE"""),11524614)</f>
        <v>11524614</v>
      </c>
    </row>
    <row r="128" customFormat="false" ht="15.75" hidden="false" customHeight="false" outlineLevel="0" collapsed="false">
      <c r="A128" s="9" t="n">
        <f aca="false">IFERROR(__xludf.dummyfunction("""COMPUTED_VALUE"""),44383.6666666667)</f>
        <v>44383.6666666667</v>
      </c>
      <c r="B128" s="8" t="n">
        <f aca="false">IFERROR(__xludf.dummyfunction("""COMPUTED_VALUE"""),356.5)</f>
        <v>356.5</v>
      </c>
      <c r="C128" s="8" t="n">
        <f aca="false">IFERROR(__xludf.dummyfunction("""COMPUTED_VALUE"""),358.79)</f>
        <v>358.79</v>
      </c>
      <c r="D128" s="8" t="n">
        <f aca="false">IFERROR(__xludf.dummyfunction("""COMPUTED_VALUE"""),349.18)</f>
        <v>349.18</v>
      </c>
      <c r="E128" s="8" t="n">
        <f aca="false">IFERROR(__xludf.dummyfunction("""COMPUTED_VALUE"""),352.78)</f>
        <v>352.78</v>
      </c>
      <c r="F128" s="8" t="n">
        <f aca="false">IFERROR(__xludf.dummyfunction("""COMPUTED_VALUE"""),13488455)</f>
        <v>13488455</v>
      </c>
    </row>
    <row r="129" customFormat="false" ht="15.75" hidden="false" customHeight="false" outlineLevel="0" collapsed="false">
      <c r="A129" s="9" t="n">
        <f aca="false">IFERROR(__xludf.dummyfunction("""COMPUTED_VALUE"""),44384.6666666667)</f>
        <v>44384.6666666667</v>
      </c>
      <c r="B129" s="8" t="n">
        <f aca="false">IFERROR(__xludf.dummyfunction("""COMPUTED_VALUE"""),355.26)</f>
        <v>355.26</v>
      </c>
      <c r="C129" s="8" t="n">
        <f aca="false">IFERROR(__xludf.dummyfunction("""COMPUTED_VALUE"""),356.49)</f>
        <v>356.49</v>
      </c>
      <c r="D129" s="8" t="n">
        <f aca="false">IFERROR(__xludf.dummyfunction("""COMPUTED_VALUE"""),350)</f>
        <v>350</v>
      </c>
      <c r="E129" s="8" t="n">
        <f aca="false">IFERROR(__xludf.dummyfunction("""COMPUTED_VALUE"""),350.49)</f>
        <v>350.49</v>
      </c>
      <c r="F129" s="8" t="n">
        <f aca="false">IFERROR(__xludf.dummyfunction("""COMPUTED_VALUE"""),14218866)</f>
        <v>14218866</v>
      </c>
    </row>
    <row r="130" customFormat="false" ht="15.75" hidden="false" customHeight="false" outlineLevel="0" collapsed="false">
      <c r="A130" s="9" t="n">
        <f aca="false">IFERROR(__xludf.dummyfunction("""COMPUTED_VALUE"""),44385.6666666667)</f>
        <v>44385.6666666667</v>
      </c>
      <c r="B130" s="8" t="n">
        <f aca="false">IFERROR(__xludf.dummyfunction("""COMPUTED_VALUE"""),345.73)</f>
        <v>345.73</v>
      </c>
      <c r="C130" s="8" t="n">
        <f aca="false">IFERROR(__xludf.dummyfunction("""COMPUTED_VALUE"""),348.33)</f>
        <v>348.33</v>
      </c>
      <c r="D130" s="8" t="n">
        <f aca="false">IFERROR(__xludf.dummyfunction("""COMPUTED_VALUE"""),342.56)</f>
        <v>342.56</v>
      </c>
      <c r="E130" s="8" t="n">
        <f aca="false">IFERROR(__xludf.dummyfunction("""COMPUTED_VALUE"""),345.65)</f>
        <v>345.65</v>
      </c>
      <c r="F130" s="8" t="n">
        <f aca="false">IFERROR(__xludf.dummyfunction("""COMPUTED_VALUE"""),14406457)</f>
        <v>14406457</v>
      </c>
    </row>
    <row r="131" customFormat="false" ht="15.75" hidden="false" customHeight="false" outlineLevel="0" collapsed="false">
      <c r="A131" s="9" t="n">
        <f aca="false">IFERROR(__xludf.dummyfunction("""COMPUTED_VALUE"""),44386.6666666667)</f>
        <v>44386.6666666667</v>
      </c>
      <c r="B131" s="8" t="n">
        <f aca="false">IFERROR(__xludf.dummyfunction("""COMPUTED_VALUE"""),345.32)</f>
        <v>345.32</v>
      </c>
      <c r="C131" s="8" t="n">
        <f aca="false">IFERROR(__xludf.dummyfunction("""COMPUTED_VALUE"""),350.71)</f>
        <v>350.71</v>
      </c>
      <c r="D131" s="8" t="n">
        <f aca="false">IFERROR(__xludf.dummyfunction("""COMPUTED_VALUE"""),345.27)</f>
        <v>345.27</v>
      </c>
      <c r="E131" s="8" t="n">
        <f aca="false">IFERROR(__xludf.dummyfunction("""COMPUTED_VALUE"""),350.42)</f>
        <v>350.42</v>
      </c>
      <c r="F131" s="8" t="n">
        <f aca="false">IFERROR(__xludf.dummyfunction("""COMPUTED_VALUE"""),13018694)</f>
        <v>13018694</v>
      </c>
    </row>
    <row r="132" customFormat="false" ht="15.75" hidden="false" customHeight="false" outlineLevel="0" collapsed="false">
      <c r="A132" s="9" t="n">
        <f aca="false">IFERROR(__xludf.dummyfunction("""COMPUTED_VALUE"""),44389.6666666667)</f>
        <v>44389.6666666667</v>
      </c>
      <c r="B132" s="8" t="n">
        <f aca="false">IFERROR(__xludf.dummyfunction("""COMPUTED_VALUE"""),351.23)</f>
        <v>351.23</v>
      </c>
      <c r="C132" s="8" t="n">
        <f aca="false">IFERROR(__xludf.dummyfunction("""COMPUTED_VALUE"""),354.19)</f>
        <v>354.19</v>
      </c>
      <c r="D132" s="8" t="n">
        <f aca="false">IFERROR(__xludf.dummyfunction("""COMPUTED_VALUE"""),349.64)</f>
        <v>349.64</v>
      </c>
      <c r="E132" s="8" t="n">
        <f aca="false">IFERROR(__xludf.dummyfunction("""COMPUTED_VALUE"""),353.16)</f>
        <v>353.16</v>
      </c>
      <c r="F132" s="8" t="n">
        <f aca="false">IFERROR(__xludf.dummyfunction("""COMPUTED_VALUE"""),10018624)</f>
        <v>10018624</v>
      </c>
    </row>
    <row r="133" customFormat="false" ht="15.75" hidden="false" customHeight="false" outlineLevel="0" collapsed="false">
      <c r="A133" s="9" t="n">
        <f aca="false">IFERROR(__xludf.dummyfunction("""COMPUTED_VALUE"""),44390.6666666667)</f>
        <v>44390.6666666667</v>
      </c>
      <c r="B133" s="8" t="n">
        <f aca="false">IFERROR(__xludf.dummyfunction("""COMPUTED_VALUE"""),351.5)</f>
        <v>351.5</v>
      </c>
      <c r="C133" s="8" t="n">
        <f aca="false">IFERROR(__xludf.dummyfunction("""COMPUTED_VALUE"""),358.49)</f>
        <v>358.49</v>
      </c>
      <c r="D133" s="8" t="n">
        <f aca="false">IFERROR(__xludf.dummyfunction("""COMPUTED_VALUE"""),348.8)</f>
        <v>348.8</v>
      </c>
      <c r="E133" s="8" t="n">
        <f aca="false">IFERROR(__xludf.dummyfunction("""COMPUTED_VALUE"""),352.09)</f>
        <v>352.09</v>
      </c>
      <c r="F133" s="8" t="n">
        <f aca="false">IFERROR(__xludf.dummyfunction("""COMPUTED_VALUE"""),11455963)</f>
        <v>11455963</v>
      </c>
    </row>
    <row r="134" customFormat="false" ht="15.75" hidden="false" customHeight="false" outlineLevel="0" collapsed="false">
      <c r="A134" s="9" t="n">
        <f aca="false">IFERROR(__xludf.dummyfunction("""COMPUTED_VALUE"""),44391.6666666667)</f>
        <v>44391.6666666667</v>
      </c>
      <c r="B134" s="8" t="n">
        <f aca="false">IFERROR(__xludf.dummyfunction("""COMPUTED_VALUE"""),354.56)</f>
        <v>354.56</v>
      </c>
      <c r="C134" s="8" t="n">
        <f aca="false">IFERROR(__xludf.dummyfunction("""COMPUTED_VALUE"""),355.2)</f>
        <v>355.2</v>
      </c>
      <c r="D134" s="8" t="n">
        <f aca="false">IFERROR(__xludf.dummyfunction("""COMPUTED_VALUE"""),346.73)</f>
        <v>346.73</v>
      </c>
      <c r="E134" s="8" t="n">
        <f aca="false">IFERROR(__xludf.dummyfunction("""COMPUTED_VALUE"""),347.63)</f>
        <v>347.63</v>
      </c>
      <c r="F134" s="8" t="n">
        <f aca="false">IFERROR(__xludf.dummyfunction("""COMPUTED_VALUE"""),13894221)</f>
        <v>13894221</v>
      </c>
    </row>
    <row r="135" customFormat="false" ht="15.75" hidden="false" customHeight="false" outlineLevel="0" collapsed="false">
      <c r="A135" s="9" t="n">
        <f aca="false">IFERROR(__xludf.dummyfunction("""COMPUTED_VALUE"""),44392.6666666667)</f>
        <v>44392.6666666667</v>
      </c>
      <c r="B135" s="8" t="n">
        <f aca="false">IFERROR(__xludf.dummyfunction("""COMPUTED_VALUE"""),349.23)</f>
        <v>349.23</v>
      </c>
      <c r="C135" s="8" t="n">
        <f aca="false">IFERROR(__xludf.dummyfunction("""COMPUTED_VALUE"""),349.23)</f>
        <v>349.23</v>
      </c>
      <c r="D135" s="8" t="n">
        <f aca="false">IFERROR(__xludf.dummyfunction("""COMPUTED_VALUE"""),340.22)</f>
        <v>340.22</v>
      </c>
      <c r="E135" s="8" t="n">
        <f aca="false">IFERROR(__xludf.dummyfunction("""COMPUTED_VALUE"""),344.46)</f>
        <v>344.46</v>
      </c>
      <c r="F135" s="8" t="n">
        <f aca="false">IFERROR(__xludf.dummyfunction("""COMPUTED_VALUE"""),14781594)</f>
        <v>14781594</v>
      </c>
    </row>
    <row r="136" customFormat="false" ht="15.75" hidden="false" customHeight="false" outlineLevel="0" collapsed="false">
      <c r="A136" s="9" t="n">
        <f aca="false">IFERROR(__xludf.dummyfunction("""COMPUTED_VALUE"""),44393.6666666667)</f>
        <v>44393.6666666667</v>
      </c>
      <c r="B136" s="8" t="n">
        <f aca="false">IFERROR(__xludf.dummyfunction("""COMPUTED_VALUE"""),344.91)</f>
        <v>344.91</v>
      </c>
      <c r="C136" s="8" t="n">
        <f aca="false">IFERROR(__xludf.dummyfunction("""COMPUTED_VALUE"""),345.99)</f>
        <v>345.99</v>
      </c>
      <c r="D136" s="8" t="n">
        <f aca="false">IFERROR(__xludf.dummyfunction("""COMPUTED_VALUE"""),340.14)</f>
        <v>340.14</v>
      </c>
      <c r="E136" s="8" t="n">
        <f aca="false">IFERROR(__xludf.dummyfunction("""COMPUTED_VALUE"""),341.16)</f>
        <v>341.16</v>
      </c>
      <c r="F136" s="8" t="n">
        <f aca="false">IFERROR(__xludf.dummyfunction("""COMPUTED_VALUE"""),11026093)</f>
        <v>11026093</v>
      </c>
    </row>
    <row r="137" customFormat="false" ht="15.75" hidden="false" customHeight="false" outlineLevel="0" collapsed="false">
      <c r="A137" s="9" t="n">
        <f aca="false">IFERROR(__xludf.dummyfunction("""COMPUTED_VALUE"""),44396.6666666667)</f>
        <v>44396.6666666667</v>
      </c>
      <c r="B137" s="8" t="n">
        <f aca="false">IFERROR(__xludf.dummyfunction("""COMPUTED_VALUE"""),337.57)</f>
        <v>337.57</v>
      </c>
      <c r="C137" s="8" t="n">
        <f aca="false">IFERROR(__xludf.dummyfunction("""COMPUTED_VALUE"""),339.79)</f>
        <v>339.79</v>
      </c>
      <c r="D137" s="8" t="n">
        <f aca="false">IFERROR(__xludf.dummyfunction("""COMPUTED_VALUE"""),334.54)</f>
        <v>334.54</v>
      </c>
      <c r="E137" s="8" t="n">
        <f aca="false">IFERROR(__xludf.dummyfunction("""COMPUTED_VALUE"""),336.95)</f>
        <v>336.95</v>
      </c>
      <c r="F137" s="8" t="n">
        <f aca="false">IFERROR(__xludf.dummyfunction("""COMPUTED_VALUE"""),14372345)</f>
        <v>14372345</v>
      </c>
    </row>
    <row r="138" customFormat="false" ht="15.75" hidden="false" customHeight="false" outlineLevel="0" collapsed="false">
      <c r="A138" s="9" t="n">
        <f aca="false">IFERROR(__xludf.dummyfunction("""COMPUTED_VALUE"""),44397.6666666667)</f>
        <v>44397.6666666667</v>
      </c>
      <c r="B138" s="8" t="n">
        <f aca="false">IFERROR(__xludf.dummyfunction("""COMPUTED_VALUE"""),338.8)</f>
        <v>338.8</v>
      </c>
      <c r="C138" s="8" t="n">
        <f aca="false">IFERROR(__xludf.dummyfunction("""COMPUTED_VALUE"""),343.45)</f>
        <v>343.45</v>
      </c>
      <c r="D138" s="8" t="n">
        <f aca="false">IFERROR(__xludf.dummyfunction("""COMPUTED_VALUE"""),334.5)</f>
        <v>334.5</v>
      </c>
      <c r="E138" s="8" t="n">
        <f aca="false">IFERROR(__xludf.dummyfunction("""COMPUTED_VALUE"""),341.66)</f>
        <v>341.66</v>
      </c>
      <c r="F138" s="8" t="n">
        <f aca="false">IFERROR(__xludf.dummyfunction("""COMPUTED_VALUE"""),11024277)</f>
        <v>11024277</v>
      </c>
    </row>
    <row r="139" customFormat="false" ht="15.75" hidden="false" customHeight="false" outlineLevel="0" collapsed="false">
      <c r="A139" s="9" t="n">
        <f aca="false">IFERROR(__xludf.dummyfunction("""COMPUTED_VALUE"""),44398.6666666667)</f>
        <v>44398.6666666667</v>
      </c>
      <c r="B139" s="8" t="n">
        <f aca="false">IFERROR(__xludf.dummyfunction("""COMPUTED_VALUE"""),341.5)</f>
        <v>341.5</v>
      </c>
      <c r="C139" s="8" t="n">
        <f aca="false">IFERROR(__xludf.dummyfunction("""COMPUTED_VALUE"""),346.52)</f>
        <v>346.52</v>
      </c>
      <c r="D139" s="8" t="n">
        <f aca="false">IFERROR(__xludf.dummyfunction("""COMPUTED_VALUE"""),341.25)</f>
        <v>341.25</v>
      </c>
      <c r="E139" s="8" t="n">
        <f aca="false">IFERROR(__xludf.dummyfunction("""COMPUTED_VALUE"""),346.23)</f>
        <v>346.23</v>
      </c>
      <c r="F139" s="8" t="n">
        <f aca="false">IFERROR(__xludf.dummyfunction("""COMPUTED_VALUE"""),9279657)</f>
        <v>9279657</v>
      </c>
    </row>
    <row r="140" customFormat="false" ht="15.75" hidden="false" customHeight="false" outlineLevel="0" collapsed="false">
      <c r="A140" s="9" t="n">
        <f aca="false">IFERROR(__xludf.dummyfunction("""COMPUTED_VALUE"""),44399.6666666667)</f>
        <v>44399.6666666667</v>
      </c>
      <c r="B140" s="8" t="n">
        <f aca="false">IFERROR(__xludf.dummyfunction("""COMPUTED_VALUE"""),346.68)</f>
        <v>346.68</v>
      </c>
      <c r="C140" s="8" t="n">
        <f aca="false">IFERROR(__xludf.dummyfunction("""COMPUTED_VALUE"""),351.54)</f>
        <v>351.54</v>
      </c>
      <c r="D140" s="8" t="n">
        <f aca="false">IFERROR(__xludf.dummyfunction("""COMPUTED_VALUE"""),345.21)</f>
        <v>345.21</v>
      </c>
      <c r="E140" s="8" t="n">
        <f aca="false">IFERROR(__xludf.dummyfunction("""COMPUTED_VALUE"""),351.19)</f>
        <v>351.19</v>
      </c>
      <c r="F140" s="8" t="n">
        <f aca="false">IFERROR(__xludf.dummyfunction("""COMPUTED_VALUE"""),12385441)</f>
        <v>12385441</v>
      </c>
    </row>
    <row r="141" customFormat="false" ht="15.75" hidden="false" customHeight="false" outlineLevel="0" collapsed="false">
      <c r="A141" s="9" t="n">
        <f aca="false">IFERROR(__xludf.dummyfunction("""COMPUTED_VALUE"""),44400.6666666667)</f>
        <v>44400.6666666667</v>
      </c>
      <c r="B141" s="8" t="n">
        <f aca="false">IFERROR(__xludf.dummyfunction("""COMPUTED_VALUE"""),360.91)</f>
        <v>360.91</v>
      </c>
      <c r="C141" s="8" t="n">
        <f aca="false">IFERROR(__xludf.dummyfunction("""COMPUTED_VALUE"""),375.33)</f>
        <v>375.33</v>
      </c>
      <c r="D141" s="8" t="n">
        <f aca="false">IFERROR(__xludf.dummyfunction("""COMPUTED_VALUE"""),357.19)</f>
        <v>357.19</v>
      </c>
      <c r="E141" s="8" t="n">
        <f aca="false">IFERROR(__xludf.dummyfunction("""COMPUTED_VALUE"""),369.79)</f>
        <v>369.79</v>
      </c>
      <c r="F141" s="8" t="n">
        <f aca="false">IFERROR(__xludf.dummyfunction("""COMPUTED_VALUE"""),33694328)</f>
        <v>33694328</v>
      </c>
    </row>
    <row r="142" customFormat="false" ht="15.75" hidden="false" customHeight="false" outlineLevel="0" collapsed="false">
      <c r="A142" s="9" t="n">
        <f aca="false">IFERROR(__xludf.dummyfunction("""COMPUTED_VALUE"""),44403.6666666667)</f>
        <v>44403.6666666667</v>
      </c>
      <c r="B142" s="8" t="n">
        <f aca="false">IFERROR(__xludf.dummyfunction("""COMPUTED_VALUE"""),369.58)</f>
        <v>369.58</v>
      </c>
      <c r="C142" s="8" t="n">
        <f aca="false">IFERROR(__xludf.dummyfunction("""COMPUTED_VALUE"""),374.44)</f>
        <v>374.44</v>
      </c>
      <c r="D142" s="8" t="n">
        <f aca="false">IFERROR(__xludf.dummyfunction("""COMPUTED_VALUE"""),368.22)</f>
        <v>368.22</v>
      </c>
      <c r="E142" s="8" t="n">
        <f aca="false">IFERROR(__xludf.dummyfunction("""COMPUTED_VALUE"""),372.46)</f>
        <v>372.46</v>
      </c>
      <c r="F142" s="8" t="n">
        <f aca="false">IFERROR(__xludf.dummyfunction("""COMPUTED_VALUE"""),14925222)</f>
        <v>14925222</v>
      </c>
    </row>
    <row r="143" customFormat="false" ht="15.75" hidden="false" customHeight="false" outlineLevel="0" collapsed="false">
      <c r="A143" s="9" t="n">
        <f aca="false">IFERROR(__xludf.dummyfunction("""COMPUTED_VALUE"""),44404.6666666667)</f>
        <v>44404.6666666667</v>
      </c>
      <c r="B143" s="8" t="n">
        <f aca="false">IFERROR(__xludf.dummyfunction("""COMPUTED_VALUE"""),371.91)</f>
        <v>371.91</v>
      </c>
      <c r="C143" s="8" t="n">
        <f aca="false">IFERROR(__xludf.dummyfunction("""COMPUTED_VALUE"""),373.15)</f>
        <v>373.15</v>
      </c>
      <c r="D143" s="8" t="n">
        <f aca="false">IFERROR(__xludf.dummyfunction("""COMPUTED_VALUE"""),364.55)</f>
        <v>364.55</v>
      </c>
      <c r="E143" s="8" t="n">
        <f aca="false">IFERROR(__xludf.dummyfunction("""COMPUTED_VALUE"""),367.81)</f>
        <v>367.81</v>
      </c>
      <c r="F143" s="8" t="n">
        <f aca="false">IFERROR(__xludf.dummyfunction("""COMPUTED_VALUE"""),15705447)</f>
        <v>15705447</v>
      </c>
    </row>
    <row r="144" customFormat="false" ht="15.75" hidden="false" customHeight="false" outlineLevel="0" collapsed="false">
      <c r="A144" s="9" t="n">
        <f aca="false">IFERROR(__xludf.dummyfunction("""COMPUTED_VALUE"""),44405.6666666667)</f>
        <v>44405.6666666667</v>
      </c>
      <c r="B144" s="8" t="n">
        <f aca="false">IFERROR(__xludf.dummyfunction("""COMPUTED_VALUE"""),374.56)</f>
        <v>374.56</v>
      </c>
      <c r="C144" s="8" t="n">
        <f aca="false">IFERROR(__xludf.dummyfunction("""COMPUTED_VALUE"""),377.55)</f>
        <v>377.55</v>
      </c>
      <c r="D144" s="8" t="n">
        <f aca="false">IFERROR(__xludf.dummyfunction("""COMPUTED_VALUE"""),366.93)</f>
        <v>366.93</v>
      </c>
      <c r="E144" s="8" t="n">
        <f aca="false">IFERROR(__xludf.dummyfunction("""COMPUTED_VALUE"""),373.28)</f>
        <v>373.28</v>
      </c>
      <c r="F144" s="8" t="n">
        <f aca="false">IFERROR(__xludf.dummyfunction("""COMPUTED_VALUE"""),29676910)</f>
        <v>29676910</v>
      </c>
    </row>
    <row r="145" customFormat="false" ht="15.75" hidden="false" customHeight="false" outlineLevel="0" collapsed="false">
      <c r="A145" s="9" t="n">
        <f aca="false">IFERROR(__xludf.dummyfunction("""COMPUTED_VALUE"""),44406.6666666667)</f>
        <v>44406.6666666667</v>
      </c>
      <c r="B145" s="8" t="n">
        <f aca="false">IFERROR(__xludf.dummyfunction("""COMPUTED_VALUE"""),361)</f>
        <v>361</v>
      </c>
      <c r="C145" s="8" t="n">
        <f aca="false">IFERROR(__xludf.dummyfunction("""COMPUTED_VALUE"""),365.52)</f>
        <v>365.52</v>
      </c>
      <c r="D145" s="8" t="n">
        <f aca="false">IFERROR(__xludf.dummyfunction("""COMPUTED_VALUE"""),356.74)</f>
        <v>356.74</v>
      </c>
      <c r="E145" s="8" t="n">
        <f aca="false">IFERROR(__xludf.dummyfunction("""COMPUTED_VALUE"""),358.32)</f>
        <v>358.32</v>
      </c>
      <c r="F145" s="8" t="n">
        <f aca="false">IFERROR(__xludf.dummyfunction("""COMPUTED_VALUE"""),33413244)</f>
        <v>33413244</v>
      </c>
    </row>
    <row r="146" customFormat="false" ht="15.75" hidden="false" customHeight="false" outlineLevel="0" collapsed="false">
      <c r="A146" s="9" t="n">
        <f aca="false">IFERROR(__xludf.dummyfunction("""COMPUTED_VALUE"""),44407.6666666667)</f>
        <v>44407.6666666667</v>
      </c>
      <c r="B146" s="8" t="n">
        <f aca="false">IFERROR(__xludf.dummyfunction("""COMPUTED_VALUE"""),354)</f>
        <v>354</v>
      </c>
      <c r="C146" s="8" t="n">
        <f aca="false">IFERROR(__xludf.dummyfunction("""COMPUTED_VALUE"""),360.73)</f>
        <v>360.73</v>
      </c>
      <c r="D146" s="8" t="n">
        <f aca="false">IFERROR(__xludf.dummyfunction("""COMPUTED_VALUE"""),352.94)</f>
        <v>352.94</v>
      </c>
      <c r="E146" s="8" t="n">
        <f aca="false">IFERROR(__xludf.dummyfunction("""COMPUTED_VALUE"""),356.3)</f>
        <v>356.3</v>
      </c>
      <c r="F146" s="8" t="n">
        <f aca="false">IFERROR(__xludf.dummyfunction("""COMPUTED_VALUE"""),15976179)</f>
        <v>15976179</v>
      </c>
    </row>
    <row r="147" customFormat="false" ht="15.75" hidden="false" customHeight="false" outlineLevel="0" collapsed="false">
      <c r="A147" s="9" t="n">
        <f aca="false">IFERROR(__xludf.dummyfunction("""COMPUTED_VALUE"""),44410.6666666667)</f>
        <v>44410.6666666667</v>
      </c>
      <c r="B147" s="8" t="n">
        <f aca="false">IFERROR(__xludf.dummyfunction("""COMPUTED_VALUE"""),358.1)</f>
        <v>358.1</v>
      </c>
      <c r="C147" s="8" t="n">
        <f aca="false">IFERROR(__xludf.dummyfunction("""COMPUTED_VALUE"""),359.4)</f>
        <v>359.4</v>
      </c>
      <c r="D147" s="8" t="n">
        <f aca="false">IFERROR(__xludf.dummyfunction("""COMPUTED_VALUE"""),350.74)</f>
        <v>350.74</v>
      </c>
      <c r="E147" s="8" t="n">
        <f aca="false">IFERROR(__xludf.dummyfunction("""COMPUTED_VALUE"""),351.95)</f>
        <v>351.95</v>
      </c>
      <c r="F147" s="8" t="n">
        <f aca="false">IFERROR(__xludf.dummyfunction("""COMPUTED_VALUE"""),13180439)</f>
        <v>13180439</v>
      </c>
    </row>
    <row r="148" customFormat="false" ht="15.75" hidden="false" customHeight="false" outlineLevel="0" collapsed="false">
      <c r="A148" s="9" t="n">
        <f aca="false">IFERROR(__xludf.dummyfunction("""COMPUTED_VALUE"""),44411.6666666667)</f>
        <v>44411.6666666667</v>
      </c>
      <c r="B148" s="8" t="n">
        <f aca="false">IFERROR(__xludf.dummyfunction("""COMPUTED_VALUE"""),352.73)</f>
        <v>352.73</v>
      </c>
      <c r="C148" s="8" t="n">
        <f aca="false">IFERROR(__xludf.dummyfunction("""COMPUTED_VALUE"""),353.77)</f>
        <v>353.77</v>
      </c>
      <c r="D148" s="8" t="n">
        <f aca="false">IFERROR(__xludf.dummyfunction("""COMPUTED_VALUE"""),347.7)</f>
        <v>347.7</v>
      </c>
      <c r="E148" s="8" t="n">
        <f aca="false">IFERROR(__xludf.dummyfunction("""COMPUTED_VALUE"""),351.24)</f>
        <v>351.24</v>
      </c>
      <c r="F148" s="8" t="n">
        <f aca="false">IFERROR(__xludf.dummyfunction("""COMPUTED_VALUE"""),12406054)</f>
        <v>12406054</v>
      </c>
    </row>
    <row r="149" customFormat="false" ht="15.75" hidden="false" customHeight="false" outlineLevel="0" collapsed="false">
      <c r="A149" s="9" t="n">
        <f aca="false">IFERROR(__xludf.dummyfunction("""COMPUTED_VALUE"""),44412.6666666667)</f>
        <v>44412.6666666667</v>
      </c>
      <c r="B149" s="8" t="n">
        <f aca="false">IFERROR(__xludf.dummyfunction("""COMPUTED_VALUE"""),352.42)</f>
        <v>352.42</v>
      </c>
      <c r="C149" s="8" t="n">
        <f aca="false">IFERROR(__xludf.dummyfunction("""COMPUTED_VALUE"""),360.48)</f>
        <v>360.48</v>
      </c>
      <c r="D149" s="8" t="n">
        <f aca="false">IFERROR(__xludf.dummyfunction("""COMPUTED_VALUE"""),351.51)</f>
        <v>351.51</v>
      </c>
      <c r="E149" s="8" t="n">
        <f aca="false">IFERROR(__xludf.dummyfunction("""COMPUTED_VALUE"""),358.92)</f>
        <v>358.92</v>
      </c>
      <c r="F149" s="8" t="n">
        <f aca="false">IFERROR(__xludf.dummyfunction("""COMPUTED_VALUE"""),14180572)</f>
        <v>14180572</v>
      </c>
    </row>
    <row r="150" customFormat="false" ht="15.75" hidden="false" customHeight="false" outlineLevel="0" collapsed="false">
      <c r="A150" s="9" t="n">
        <f aca="false">IFERROR(__xludf.dummyfunction("""COMPUTED_VALUE"""),44413.6666666667)</f>
        <v>44413.6666666667</v>
      </c>
      <c r="B150" s="8" t="n">
        <f aca="false">IFERROR(__xludf.dummyfunction("""COMPUTED_VALUE"""),359.64)</f>
        <v>359.64</v>
      </c>
      <c r="C150" s="8" t="n">
        <f aca="false">IFERROR(__xludf.dummyfunction("""COMPUTED_VALUE"""),363.9)</f>
        <v>363.9</v>
      </c>
      <c r="D150" s="8" t="n">
        <f aca="false">IFERROR(__xludf.dummyfunction("""COMPUTED_VALUE"""),356.9)</f>
        <v>356.9</v>
      </c>
      <c r="E150" s="8" t="n">
        <f aca="false">IFERROR(__xludf.dummyfunction("""COMPUTED_VALUE"""),362.97)</f>
        <v>362.97</v>
      </c>
      <c r="F150" s="8" t="n">
        <f aca="false">IFERROR(__xludf.dummyfunction("""COMPUTED_VALUE"""),10247207)</f>
        <v>10247207</v>
      </c>
    </row>
    <row r="151" customFormat="false" ht="15.75" hidden="false" customHeight="false" outlineLevel="0" collapsed="false">
      <c r="A151" s="9" t="n">
        <f aca="false">IFERROR(__xludf.dummyfunction("""COMPUTED_VALUE"""),44414.6666666667)</f>
        <v>44414.6666666667</v>
      </c>
      <c r="B151" s="8" t="n">
        <f aca="false">IFERROR(__xludf.dummyfunction("""COMPUTED_VALUE"""),361.4)</f>
        <v>361.4</v>
      </c>
      <c r="C151" s="8" t="n">
        <f aca="false">IFERROR(__xludf.dummyfunction("""COMPUTED_VALUE"""),365.15)</f>
        <v>365.15</v>
      </c>
      <c r="D151" s="8" t="n">
        <f aca="false">IFERROR(__xludf.dummyfunction("""COMPUTED_VALUE"""),361.4)</f>
        <v>361.4</v>
      </c>
      <c r="E151" s="8" t="n">
        <f aca="false">IFERROR(__xludf.dummyfunction("""COMPUTED_VALUE"""),363.51)</f>
        <v>363.51</v>
      </c>
      <c r="F151" s="8" t="n">
        <f aca="false">IFERROR(__xludf.dummyfunction("""COMPUTED_VALUE"""),8925017)</f>
        <v>8925017</v>
      </c>
    </row>
    <row r="152" customFormat="false" ht="15.75" hidden="false" customHeight="false" outlineLevel="0" collapsed="false">
      <c r="A152" s="9" t="n">
        <f aca="false">IFERROR(__xludf.dummyfunction("""COMPUTED_VALUE"""),44417.6666666667)</f>
        <v>44417.6666666667</v>
      </c>
      <c r="B152" s="8" t="n">
        <f aca="false">IFERROR(__xludf.dummyfunction("""COMPUTED_VALUE"""),363.76)</f>
        <v>363.76</v>
      </c>
      <c r="C152" s="8" t="n">
        <f aca="false">IFERROR(__xludf.dummyfunction("""COMPUTED_VALUE"""),365.78)</f>
        <v>365.78</v>
      </c>
      <c r="D152" s="8" t="n">
        <f aca="false">IFERROR(__xludf.dummyfunction("""COMPUTED_VALUE"""),360.75)</f>
        <v>360.75</v>
      </c>
      <c r="E152" s="8" t="n">
        <f aca="false">IFERROR(__xludf.dummyfunction("""COMPUTED_VALUE"""),361.61)</f>
        <v>361.61</v>
      </c>
      <c r="F152" s="8" t="n">
        <f aca="false">IFERROR(__xludf.dummyfunction("""COMPUTED_VALUE"""),7798872)</f>
        <v>7798872</v>
      </c>
    </row>
    <row r="153" customFormat="false" ht="15.75" hidden="false" customHeight="false" outlineLevel="0" collapsed="false">
      <c r="A153" s="9" t="n">
        <f aca="false">IFERROR(__xludf.dummyfunction("""COMPUTED_VALUE"""),44418.6666666667)</f>
        <v>44418.6666666667</v>
      </c>
      <c r="B153" s="8" t="n">
        <f aca="false">IFERROR(__xludf.dummyfunction("""COMPUTED_VALUE"""),361.83)</f>
        <v>361.83</v>
      </c>
      <c r="C153" s="8" t="n">
        <f aca="false">IFERROR(__xludf.dummyfunction("""COMPUTED_VALUE"""),364.1)</f>
        <v>364.1</v>
      </c>
      <c r="D153" s="8" t="n">
        <f aca="false">IFERROR(__xludf.dummyfunction("""COMPUTED_VALUE"""),359.04)</f>
        <v>359.04</v>
      </c>
      <c r="E153" s="8" t="n">
        <f aca="false">IFERROR(__xludf.dummyfunction("""COMPUTED_VALUE"""),361.13)</f>
        <v>361.13</v>
      </c>
      <c r="F153" s="8" t="n">
        <f aca="false">IFERROR(__xludf.dummyfunction("""COMPUTED_VALUE"""),7469878)</f>
        <v>7469878</v>
      </c>
    </row>
    <row r="154" customFormat="false" ht="15.75" hidden="false" customHeight="false" outlineLevel="0" collapsed="false">
      <c r="A154" s="9" t="n">
        <f aca="false">IFERROR(__xludf.dummyfunction("""COMPUTED_VALUE"""),44419.6666666667)</f>
        <v>44419.6666666667</v>
      </c>
      <c r="B154" s="8" t="n">
        <f aca="false">IFERROR(__xludf.dummyfunction("""COMPUTED_VALUE"""),362.1)</f>
        <v>362.1</v>
      </c>
      <c r="C154" s="8" t="n">
        <f aca="false">IFERROR(__xludf.dummyfunction("""COMPUTED_VALUE"""),362.36)</f>
        <v>362.36</v>
      </c>
      <c r="D154" s="8" t="n">
        <f aca="false">IFERROR(__xludf.dummyfunction("""COMPUTED_VALUE"""),357.81)</f>
        <v>357.81</v>
      </c>
      <c r="E154" s="8" t="n">
        <f aca="false">IFERROR(__xludf.dummyfunction("""COMPUTED_VALUE"""),359.96)</f>
        <v>359.96</v>
      </c>
      <c r="F154" s="8" t="n">
        <f aca="false">IFERROR(__xludf.dummyfunction("""COMPUTED_VALUE"""),8400332)</f>
        <v>8400332</v>
      </c>
    </row>
    <row r="155" customFormat="false" ht="15.75" hidden="false" customHeight="false" outlineLevel="0" collapsed="false">
      <c r="A155" s="9" t="n">
        <f aca="false">IFERROR(__xludf.dummyfunction("""COMPUTED_VALUE"""),44420.6666666667)</f>
        <v>44420.6666666667</v>
      </c>
      <c r="B155" s="8" t="n">
        <f aca="false">IFERROR(__xludf.dummyfunction("""COMPUTED_VALUE"""),358.45)</f>
        <v>358.45</v>
      </c>
      <c r="C155" s="8" t="n">
        <f aca="false">IFERROR(__xludf.dummyfunction("""COMPUTED_VALUE"""),363)</f>
        <v>363</v>
      </c>
      <c r="D155" s="8" t="n">
        <f aca="false">IFERROR(__xludf.dummyfunction("""COMPUTED_VALUE"""),357.11)</f>
        <v>357.11</v>
      </c>
      <c r="E155" s="8" t="n">
        <f aca="false">IFERROR(__xludf.dummyfunction("""COMPUTED_VALUE"""),362.65)</f>
        <v>362.65</v>
      </c>
      <c r="F155" s="8" t="n">
        <f aca="false">IFERROR(__xludf.dummyfunction("""COMPUTED_VALUE"""),7175206)</f>
        <v>7175206</v>
      </c>
    </row>
    <row r="156" customFormat="false" ht="15.75" hidden="false" customHeight="false" outlineLevel="0" collapsed="false">
      <c r="A156" s="9" t="n">
        <f aca="false">IFERROR(__xludf.dummyfunction("""COMPUTED_VALUE"""),44421.6666666667)</f>
        <v>44421.6666666667</v>
      </c>
      <c r="B156" s="8" t="n">
        <f aca="false">IFERROR(__xludf.dummyfunction("""COMPUTED_VALUE"""),362.97)</f>
        <v>362.97</v>
      </c>
      <c r="C156" s="8" t="n">
        <f aca="false">IFERROR(__xludf.dummyfunction("""COMPUTED_VALUE"""),364.66)</f>
        <v>364.66</v>
      </c>
      <c r="D156" s="8" t="n">
        <f aca="false">IFERROR(__xludf.dummyfunction("""COMPUTED_VALUE"""),361.48)</f>
        <v>361.48</v>
      </c>
      <c r="E156" s="8" t="n">
        <f aca="false">IFERROR(__xludf.dummyfunction("""COMPUTED_VALUE"""),363.18)</f>
        <v>363.18</v>
      </c>
      <c r="F156" s="8" t="n">
        <f aca="false">IFERROR(__xludf.dummyfunction("""COMPUTED_VALUE"""),7195724)</f>
        <v>7195724</v>
      </c>
    </row>
    <row r="157" customFormat="false" ht="15.75" hidden="false" customHeight="false" outlineLevel="0" collapsed="false">
      <c r="A157" s="9" t="n">
        <f aca="false">IFERROR(__xludf.dummyfunction("""COMPUTED_VALUE"""),44424.6666666667)</f>
        <v>44424.6666666667</v>
      </c>
      <c r="B157" s="8" t="n">
        <f aca="false">IFERROR(__xludf.dummyfunction("""COMPUTED_VALUE"""),362.52)</f>
        <v>362.52</v>
      </c>
      <c r="C157" s="8" t="n">
        <f aca="false">IFERROR(__xludf.dummyfunction("""COMPUTED_VALUE"""),366.95)</f>
        <v>366.95</v>
      </c>
      <c r="D157" s="8" t="n">
        <f aca="false">IFERROR(__xludf.dummyfunction("""COMPUTED_VALUE"""),357.38)</f>
        <v>357.38</v>
      </c>
      <c r="E157" s="8" t="n">
        <f aca="false">IFERROR(__xludf.dummyfunction("""COMPUTED_VALUE"""),366.56)</f>
        <v>366.56</v>
      </c>
      <c r="F157" s="8" t="n">
        <f aca="false">IFERROR(__xludf.dummyfunction("""COMPUTED_VALUE"""),11232269)</f>
        <v>11232269</v>
      </c>
    </row>
    <row r="158" customFormat="false" ht="15.75" hidden="false" customHeight="false" outlineLevel="0" collapsed="false">
      <c r="A158" s="9" t="n">
        <f aca="false">IFERROR(__xludf.dummyfunction("""COMPUTED_VALUE"""),44425.6666666667)</f>
        <v>44425.6666666667</v>
      </c>
      <c r="B158" s="8" t="n">
        <f aca="false">IFERROR(__xludf.dummyfunction("""COMPUTED_VALUE"""),362.98)</f>
        <v>362.98</v>
      </c>
      <c r="C158" s="8" t="n">
        <f aca="false">IFERROR(__xludf.dummyfunction("""COMPUTED_VALUE"""),364.67)</f>
        <v>364.67</v>
      </c>
      <c r="D158" s="8" t="n">
        <f aca="false">IFERROR(__xludf.dummyfunction("""COMPUTED_VALUE"""),355.07)</f>
        <v>355.07</v>
      </c>
      <c r="E158" s="8" t="n">
        <f aca="false">IFERROR(__xludf.dummyfunction("""COMPUTED_VALUE"""),358.45)</f>
        <v>358.45</v>
      </c>
      <c r="F158" s="8" t="n">
        <f aca="false">IFERROR(__xludf.dummyfunction("""COMPUTED_VALUE"""),12328737)</f>
        <v>12328737</v>
      </c>
    </row>
    <row r="159" customFormat="false" ht="15.75" hidden="false" customHeight="false" outlineLevel="0" collapsed="false">
      <c r="A159" s="9" t="n">
        <f aca="false">IFERROR(__xludf.dummyfunction("""COMPUTED_VALUE"""),44426.6666666667)</f>
        <v>44426.6666666667</v>
      </c>
      <c r="B159" s="8" t="n">
        <f aca="false">IFERROR(__xludf.dummyfunction("""COMPUTED_VALUE"""),356.25)</f>
        <v>356.25</v>
      </c>
      <c r="C159" s="8" t="n">
        <f aca="false">IFERROR(__xludf.dummyfunction("""COMPUTED_VALUE"""),359.86)</f>
        <v>359.86</v>
      </c>
      <c r="D159" s="8" t="n">
        <f aca="false">IFERROR(__xludf.dummyfunction("""COMPUTED_VALUE"""),355.15)</f>
        <v>355.15</v>
      </c>
      <c r="E159" s="8" t="n">
        <f aca="false">IFERROR(__xludf.dummyfunction("""COMPUTED_VALUE"""),355.45)</f>
        <v>355.45</v>
      </c>
      <c r="F159" s="8" t="n">
        <f aca="false">IFERROR(__xludf.dummyfunction("""COMPUTED_VALUE"""),10042381)</f>
        <v>10042381</v>
      </c>
    </row>
    <row r="160" customFormat="false" ht="15.75" hidden="false" customHeight="false" outlineLevel="0" collapsed="false">
      <c r="A160" s="9" t="n">
        <f aca="false">IFERROR(__xludf.dummyfunction("""COMPUTED_VALUE"""),44427.6666666667)</f>
        <v>44427.6666666667</v>
      </c>
      <c r="B160" s="8" t="n">
        <f aca="false">IFERROR(__xludf.dummyfunction("""COMPUTED_VALUE"""),351.35)</f>
        <v>351.35</v>
      </c>
      <c r="C160" s="8" t="n">
        <f aca="false">IFERROR(__xludf.dummyfunction("""COMPUTED_VALUE"""),357.57)</f>
        <v>357.57</v>
      </c>
      <c r="D160" s="8" t="n">
        <f aca="false">IFERROR(__xludf.dummyfunction("""COMPUTED_VALUE"""),351)</f>
        <v>351</v>
      </c>
      <c r="E160" s="8" t="n">
        <f aca="false">IFERROR(__xludf.dummyfunction("""COMPUTED_VALUE"""),355.12)</f>
        <v>355.12</v>
      </c>
      <c r="F160" s="8" t="n">
        <f aca="false">IFERROR(__xludf.dummyfunction("""COMPUTED_VALUE"""),12004535)</f>
        <v>12004535</v>
      </c>
    </row>
    <row r="161" customFormat="false" ht="15.75" hidden="false" customHeight="false" outlineLevel="0" collapsed="false">
      <c r="A161" s="9" t="n">
        <f aca="false">IFERROR(__xludf.dummyfunction("""COMPUTED_VALUE"""),44428.6666666667)</f>
        <v>44428.6666666667</v>
      </c>
      <c r="B161" s="8" t="n">
        <f aca="false">IFERROR(__xludf.dummyfunction("""COMPUTED_VALUE"""),354.6)</f>
        <v>354.6</v>
      </c>
      <c r="C161" s="8" t="n">
        <f aca="false">IFERROR(__xludf.dummyfunction("""COMPUTED_VALUE"""),359.99)</f>
        <v>359.99</v>
      </c>
      <c r="D161" s="8" t="n">
        <f aca="false">IFERROR(__xludf.dummyfunction("""COMPUTED_VALUE"""),353.31)</f>
        <v>353.31</v>
      </c>
      <c r="E161" s="8" t="n">
        <f aca="false">IFERROR(__xludf.dummyfunction("""COMPUTED_VALUE"""),359.37)</f>
        <v>359.37</v>
      </c>
      <c r="F161" s="8" t="n">
        <f aca="false">IFERROR(__xludf.dummyfunction("""COMPUTED_VALUE"""),8697667)</f>
        <v>8697667</v>
      </c>
    </row>
    <row r="162" customFormat="false" ht="15.75" hidden="false" customHeight="false" outlineLevel="0" collapsed="false">
      <c r="A162" s="9" t="n">
        <f aca="false">IFERROR(__xludf.dummyfunction("""COMPUTED_VALUE"""),44431.6666666667)</f>
        <v>44431.6666666667</v>
      </c>
      <c r="B162" s="8" t="n">
        <f aca="false">IFERROR(__xludf.dummyfunction("""COMPUTED_VALUE"""),359.44)</f>
        <v>359.44</v>
      </c>
      <c r="C162" s="8" t="n">
        <f aca="false">IFERROR(__xludf.dummyfunction("""COMPUTED_VALUE"""),365.69)</f>
        <v>365.69</v>
      </c>
      <c r="D162" s="8" t="n">
        <f aca="false">IFERROR(__xludf.dummyfunction("""COMPUTED_VALUE"""),359.1)</f>
        <v>359.1</v>
      </c>
      <c r="E162" s="8" t="n">
        <f aca="false">IFERROR(__xludf.dummyfunction("""COMPUTED_VALUE"""),363.35)</f>
        <v>363.35</v>
      </c>
      <c r="F162" s="8" t="n">
        <f aca="false">IFERROR(__xludf.dummyfunction("""COMPUTED_VALUE"""),10942007)</f>
        <v>10942007</v>
      </c>
    </row>
    <row r="163" customFormat="false" ht="15.75" hidden="false" customHeight="false" outlineLevel="0" collapsed="false">
      <c r="A163" s="9" t="n">
        <f aca="false">IFERROR(__xludf.dummyfunction("""COMPUTED_VALUE"""),44432.6666666667)</f>
        <v>44432.6666666667</v>
      </c>
      <c r="B163" s="8" t="n">
        <f aca="false">IFERROR(__xludf.dummyfunction("""COMPUTED_VALUE"""),363.66)</f>
        <v>363.66</v>
      </c>
      <c r="C163" s="8" t="n">
        <f aca="false">IFERROR(__xludf.dummyfunction("""COMPUTED_VALUE"""),367.96)</f>
        <v>367.96</v>
      </c>
      <c r="D163" s="8" t="n">
        <f aca="false">IFERROR(__xludf.dummyfunction("""COMPUTED_VALUE"""),361.84)</f>
        <v>361.84</v>
      </c>
      <c r="E163" s="8" t="n">
        <f aca="false">IFERROR(__xludf.dummyfunction("""COMPUTED_VALUE"""),365.51)</f>
        <v>365.51</v>
      </c>
      <c r="F163" s="8" t="n">
        <f aca="false">IFERROR(__xludf.dummyfunction("""COMPUTED_VALUE"""),9235148)</f>
        <v>9235148</v>
      </c>
    </row>
    <row r="164" customFormat="false" ht="15.75" hidden="false" customHeight="false" outlineLevel="0" collapsed="false">
      <c r="A164" s="9" t="n">
        <f aca="false">IFERROR(__xludf.dummyfunction("""COMPUTED_VALUE"""),44433.6666666667)</f>
        <v>44433.6666666667</v>
      </c>
      <c r="B164" s="8" t="n">
        <f aca="false">IFERROR(__xludf.dummyfunction("""COMPUTED_VALUE"""),365.6)</f>
        <v>365.6</v>
      </c>
      <c r="C164" s="8" t="n">
        <f aca="false">IFERROR(__xludf.dummyfunction("""COMPUTED_VALUE"""),370.86)</f>
        <v>370.86</v>
      </c>
      <c r="D164" s="8" t="n">
        <f aca="false">IFERROR(__xludf.dummyfunction("""COMPUTED_VALUE"""),365.4)</f>
        <v>365.4</v>
      </c>
      <c r="E164" s="8" t="n">
        <f aca="false">IFERROR(__xludf.dummyfunction("""COMPUTED_VALUE"""),368.39)</f>
        <v>368.39</v>
      </c>
      <c r="F164" s="8" t="n">
        <f aca="false">IFERROR(__xludf.dummyfunction("""COMPUTED_VALUE"""),9684519)</f>
        <v>9684519</v>
      </c>
    </row>
    <row r="165" customFormat="false" ht="15.75" hidden="false" customHeight="false" outlineLevel="0" collapsed="false">
      <c r="A165" s="9" t="n">
        <f aca="false">IFERROR(__xludf.dummyfunction("""COMPUTED_VALUE"""),44434.6666666667)</f>
        <v>44434.6666666667</v>
      </c>
      <c r="B165" s="8" t="n">
        <f aca="false">IFERROR(__xludf.dummyfunction("""COMPUTED_VALUE"""),368.38)</f>
        <v>368.38</v>
      </c>
      <c r="C165" s="8" t="n">
        <f aca="false">IFERROR(__xludf.dummyfunction("""COMPUTED_VALUE"""),369.44)</f>
        <v>369.44</v>
      </c>
      <c r="D165" s="8" t="n">
        <f aca="false">IFERROR(__xludf.dummyfunction("""COMPUTED_VALUE"""),364.13)</f>
        <v>364.13</v>
      </c>
      <c r="E165" s="8" t="n">
        <f aca="false">IFERROR(__xludf.dummyfunction("""COMPUTED_VALUE"""),364.38)</f>
        <v>364.38</v>
      </c>
      <c r="F165" s="8" t="n">
        <f aca="false">IFERROR(__xludf.dummyfunction("""COMPUTED_VALUE"""),7888683)</f>
        <v>7888683</v>
      </c>
    </row>
    <row r="166" customFormat="false" ht="15.75" hidden="false" customHeight="false" outlineLevel="0" collapsed="false">
      <c r="A166" s="9" t="n">
        <f aca="false">IFERROR(__xludf.dummyfunction("""COMPUTED_VALUE"""),44435.6666666667)</f>
        <v>44435.6666666667</v>
      </c>
      <c r="B166" s="8" t="n">
        <f aca="false">IFERROR(__xludf.dummyfunction("""COMPUTED_VALUE"""),365.1)</f>
        <v>365.1</v>
      </c>
      <c r="C166" s="8" t="n">
        <f aca="false">IFERROR(__xludf.dummyfunction("""COMPUTED_VALUE"""),373.74)</f>
        <v>373.74</v>
      </c>
      <c r="D166" s="8" t="n">
        <f aca="false">IFERROR(__xludf.dummyfunction("""COMPUTED_VALUE"""),364.08)</f>
        <v>364.08</v>
      </c>
      <c r="E166" s="8" t="n">
        <f aca="false">IFERROR(__xludf.dummyfunction("""COMPUTED_VALUE"""),372.63)</f>
        <v>372.63</v>
      </c>
      <c r="F166" s="8" t="n">
        <f aca="false">IFERROR(__xludf.dummyfunction("""COMPUTED_VALUE"""),11219142)</f>
        <v>11219142</v>
      </c>
    </row>
    <row r="167" customFormat="false" ht="15.75" hidden="false" customHeight="false" outlineLevel="0" collapsed="false">
      <c r="A167" s="9" t="n">
        <f aca="false">IFERROR(__xludf.dummyfunction("""COMPUTED_VALUE"""),44438.6666666667)</f>
        <v>44438.6666666667</v>
      </c>
      <c r="B167" s="8" t="n">
        <f aca="false">IFERROR(__xludf.dummyfunction("""COMPUTED_VALUE"""),372.56)</f>
        <v>372.56</v>
      </c>
      <c r="C167" s="8" t="n">
        <f aca="false">IFERROR(__xludf.dummyfunction("""COMPUTED_VALUE"""),381.49)</f>
        <v>381.49</v>
      </c>
      <c r="D167" s="8" t="n">
        <f aca="false">IFERROR(__xludf.dummyfunction("""COMPUTED_VALUE"""),370.52)</f>
        <v>370.52</v>
      </c>
      <c r="E167" s="8" t="n">
        <f aca="false">IFERROR(__xludf.dummyfunction("""COMPUTED_VALUE"""),380.66)</f>
        <v>380.66</v>
      </c>
      <c r="F167" s="8" t="n">
        <f aca="false">IFERROR(__xludf.dummyfunction("""COMPUTED_VALUE"""),13547261)</f>
        <v>13547261</v>
      </c>
    </row>
    <row r="168" customFormat="false" ht="15.75" hidden="false" customHeight="false" outlineLevel="0" collapsed="false">
      <c r="A168" s="9" t="n">
        <f aca="false">IFERROR(__xludf.dummyfunction("""COMPUTED_VALUE"""),44439.6666666667)</f>
        <v>44439.6666666667</v>
      </c>
      <c r="B168" s="8" t="n">
        <f aca="false">IFERROR(__xludf.dummyfunction("""COMPUTED_VALUE"""),379.95)</f>
        <v>379.95</v>
      </c>
      <c r="C168" s="8" t="n">
        <f aca="false">IFERROR(__xludf.dummyfunction("""COMPUTED_VALUE"""),382.76)</f>
        <v>382.76</v>
      </c>
      <c r="D168" s="8" t="n">
        <f aca="false">IFERROR(__xludf.dummyfunction("""COMPUTED_VALUE"""),378.8)</f>
        <v>378.8</v>
      </c>
      <c r="E168" s="8" t="n">
        <f aca="false">IFERROR(__xludf.dummyfunction("""COMPUTED_VALUE"""),379.38)</f>
        <v>379.38</v>
      </c>
      <c r="F168" s="8" t="n">
        <f aca="false">IFERROR(__xludf.dummyfunction("""COMPUTED_VALUE"""),12345350)</f>
        <v>12345350</v>
      </c>
    </row>
    <row r="169" customFormat="false" ht="15.75" hidden="false" customHeight="false" outlineLevel="0" collapsed="false">
      <c r="A169" s="9" t="n">
        <f aca="false">IFERROR(__xludf.dummyfunction("""COMPUTED_VALUE"""),44440.6666666667)</f>
        <v>44440.6666666667</v>
      </c>
      <c r="B169" s="8" t="n">
        <f aca="false">IFERROR(__xludf.dummyfunction("""COMPUTED_VALUE"""),379.59)</f>
        <v>379.59</v>
      </c>
      <c r="C169" s="8" t="n">
        <f aca="false">IFERROR(__xludf.dummyfunction("""COMPUTED_VALUE"""),384.33)</f>
        <v>384.33</v>
      </c>
      <c r="D169" s="8" t="n">
        <f aca="false">IFERROR(__xludf.dummyfunction("""COMPUTED_VALUE"""),378.81)</f>
        <v>378.81</v>
      </c>
      <c r="E169" s="8" t="n">
        <f aca="false">IFERROR(__xludf.dummyfunction("""COMPUTED_VALUE"""),382.05)</f>
        <v>382.05</v>
      </c>
      <c r="F169" s="8" t="n">
        <f aca="false">IFERROR(__xludf.dummyfunction("""COMPUTED_VALUE"""),11567163)</f>
        <v>11567163</v>
      </c>
    </row>
    <row r="170" customFormat="false" ht="15.75" hidden="false" customHeight="false" outlineLevel="0" collapsed="false">
      <c r="A170" s="9" t="n">
        <f aca="false">IFERROR(__xludf.dummyfunction("""COMPUTED_VALUE"""),44441.6666666667)</f>
        <v>44441.6666666667</v>
      </c>
      <c r="B170" s="8" t="n">
        <f aca="false">IFERROR(__xludf.dummyfunction("""COMPUTED_VALUE"""),381.5)</f>
        <v>381.5</v>
      </c>
      <c r="C170" s="8" t="n">
        <f aca="false">IFERROR(__xludf.dummyfunction("""COMPUTED_VALUE"""),381.75)</f>
        <v>381.75</v>
      </c>
      <c r="D170" s="8" t="n">
        <f aca="false">IFERROR(__xludf.dummyfunction("""COMPUTED_VALUE"""),374.06)</f>
        <v>374.06</v>
      </c>
      <c r="E170" s="8" t="n">
        <f aca="false">IFERROR(__xludf.dummyfunction("""COMPUTED_VALUE"""),375.28)</f>
        <v>375.28</v>
      </c>
      <c r="F170" s="8" t="n">
        <f aca="false">IFERROR(__xludf.dummyfunction("""COMPUTED_VALUE"""),14838274)</f>
        <v>14838274</v>
      </c>
    </row>
    <row r="171" customFormat="false" ht="15.75" hidden="false" customHeight="false" outlineLevel="0" collapsed="false">
      <c r="A171" s="9" t="n">
        <f aca="false">IFERROR(__xludf.dummyfunction("""COMPUTED_VALUE"""),44442.6666666667)</f>
        <v>44442.6666666667</v>
      </c>
      <c r="B171" s="8" t="n">
        <f aca="false">IFERROR(__xludf.dummyfunction("""COMPUTED_VALUE"""),374.75)</f>
        <v>374.75</v>
      </c>
      <c r="C171" s="8" t="n">
        <f aca="false">IFERROR(__xludf.dummyfunction("""COMPUTED_VALUE"""),377.16)</f>
        <v>377.16</v>
      </c>
      <c r="D171" s="8" t="n">
        <f aca="false">IFERROR(__xludf.dummyfunction("""COMPUTED_VALUE"""),373.11)</f>
        <v>373.11</v>
      </c>
      <c r="E171" s="8" t="n">
        <f aca="false">IFERROR(__xludf.dummyfunction("""COMPUTED_VALUE"""),376.26)</f>
        <v>376.26</v>
      </c>
      <c r="F171" s="8" t="n">
        <f aca="false">IFERROR(__xludf.dummyfunction("""COMPUTED_VALUE"""),7511356)</f>
        <v>7511356</v>
      </c>
    </row>
    <row r="172" customFormat="false" ht="15.75" hidden="false" customHeight="false" outlineLevel="0" collapsed="false">
      <c r="A172" s="9" t="n">
        <f aca="false">IFERROR(__xludf.dummyfunction("""COMPUTED_VALUE"""),44446.6666666667)</f>
        <v>44446.6666666667</v>
      </c>
      <c r="B172" s="8" t="n">
        <f aca="false">IFERROR(__xludf.dummyfunction("""COMPUTED_VALUE"""),375.88)</f>
        <v>375.88</v>
      </c>
      <c r="C172" s="8" t="n">
        <f aca="false">IFERROR(__xludf.dummyfunction("""COMPUTED_VALUE"""),382.96)</f>
        <v>382.96</v>
      </c>
      <c r="D172" s="8" t="n">
        <f aca="false">IFERROR(__xludf.dummyfunction("""COMPUTED_VALUE"""),373.15)</f>
        <v>373.15</v>
      </c>
      <c r="E172" s="8" t="n">
        <f aca="false">IFERROR(__xludf.dummyfunction("""COMPUTED_VALUE"""),382.18)</f>
        <v>382.18</v>
      </c>
      <c r="F172" s="8" t="n">
        <f aca="false">IFERROR(__xludf.dummyfunction("""COMPUTED_VALUE"""),10798920)</f>
        <v>10798920</v>
      </c>
    </row>
    <row r="173" customFormat="false" ht="15.75" hidden="false" customHeight="false" outlineLevel="0" collapsed="false">
      <c r="A173" s="9" t="n">
        <f aca="false">IFERROR(__xludf.dummyfunction("""COMPUTED_VALUE"""),44447.6666666667)</f>
        <v>44447.6666666667</v>
      </c>
      <c r="B173" s="8" t="n">
        <f aca="false">IFERROR(__xludf.dummyfunction("""COMPUTED_VALUE"""),380.16)</f>
        <v>380.16</v>
      </c>
      <c r="C173" s="8" t="n">
        <f aca="false">IFERROR(__xludf.dummyfunction("""COMPUTED_VALUE"""),380.87)</f>
        <v>380.87</v>
      </c>
      <c r="D173" s="8" t="n">
        <f aca="false">IFERROR(__xludf.dummyfunction("""COMPUTED_VALUE"""),374.79)</f>
        <v>374.79</v>
      </c>
      <c r="E173" s="8" t="n">
        <f aca="false">IFERROR(__xludf.dummyfunction("""COMPUTED_VALUE"""),377.57)</f>
        <v>377.57</v>
      </c>
      <c r="F173" s="8" t="n">
        <f aca="false">IFERROR(__xludf.dummyfunction("""COMPUTED_VALUE"""),11067166)</f>
        <v>11067166</v>
      </c>
    </row>
    <row r="174" customFormat="false" ht="15.75" hidden="false" customHeight="false" outlineLevel="0" collapsed="false">
      <c r="A174" s="9" t="n">
        <f aca="false">IFERROR(__xludf.dummyfunction("""COMPUTED_VALUE"""),44448.6666666667)</f>
        <v>44448.6666666667</v>
      </c>
      <c r="B174" s="8" t="n">
        <f aca="false">IFERROR(__xludf.dummyfunction("""COMPUTED_VALUE"""),377.64)</f>
        <v>377.64</v>
      </c>
      <c r="C174" s="8" t="n">
        <f aca="false">IFERROR(__xludf.dummyfunction("""COMPUTED_VALUE"""),379.83)</f>
        <v>379.83</v>
      </c>
      <c r="D174" s="8" t="n">
        <f aca="false">IFERROR(__xludf.dummyfunction("""COMPUTED_VALUE"""),376.57)</f>
        <v>376.57</v>
      </c>
      <c r="E174" s="8" t="n">
        <f aca="false">IFERROR(__xludf.dummyfunction("""COMPUTED_VALUE"""),378)</f>
        <v>378</v>
      </c>
      <c r="F174" s="8" t="n">
        <f aca="false">IFERROR(__xludf.dummyfunction("""COMPUTED_VALUE"""),9098941)</f>
        <v>9098941</v>
      </c>
    </row>
    <row r="175" customFormat="false" ht="15.75" hidden="false" customHeight="false" outlineLevel="0" collapsed="false">
      <c r="A175" s="9" t="n">
        <f aca="false">IFERROR(__xludf.dummyfunction("""COMPUTED_VALUE"""),44449.6666666667)</f>
        <v>44449.6666666667</v>
      </c>
      <c r="B175" s="8" t="n">
        <f aca="false">IFERROR(__xludf.dummyfunction("""COMPUTED_VALUE"""),381.36)</f>
        <v>381.36</v>
      </c>
      <c r="C175" s="8" t="n">
        <f aca="false">IFERROR(__xludf.dummyfunction("""COMPUTED_VALUE"""),383.79)</f>
        <v>383.79</v>
      </c>
      <c r="D175" s="8" t="n">
        <f aca="false">IFERROR(__xludf.dummyfunction("""COMPUTED_VALUE"""),378.26)</f>
        <v>378.26</v>
      </c>
      <c r="E175" s="8" t="n">
        <f aca="false">IFERROR(__xludf.dummyfunction("""COMPUTED_VALUE"""),378.69)</f>
        <v>378.69</v>
      </c>
      <c r="F175" s="8" t="n">
        <f aca="false">IFERROR(__xludf.dummyfunction("""COMPUTED_VALUE"""),11549595)</f>
        <v>11549595</v>
      </c>
    </row>
    <row r="176" customFormat="false" ht="15.75" hidden="false" customHeight="false" outlineLevel="0" collapsed="false">
      <c r="A176" s="9" t="n">
        <f aca="false">IFERROR(__xludf.dummyfunction("""COMPUTED_VALUE"""),44452.6666666667)</f>
        <v>44452.6666666667</v>
      </c>
      <c r="B176" s="8" t="n">
        <f aca="false">IFERROR(__xludf.dummyfunction("""COMPUTED_VALUE"""),381.68)</f>
        <v>381.68</v>
      </c>
      <c r="C176" s="8" t="n">
        <f aca="false">IFERROR(__xludf.dummyfunction("""COMPUTED_VALUE"""),381.75)</f>
        <v>381.75</v>
      </c>
      <c r="D176" s="8" t="n">
        <f aca="false">IFERROR(__xludf.dummyfunction("""COMPUTED_VALUE"""),374.35)</f>
        <v>374.35</v>
      </c>
      <c r="E176" s="8" t="n">
        <f aca="false">IFERROR(__xludf.dummyfunction("""COMPUTED_VALUE"""),376.51)</f>
        <v>376.51</v>
      </c>
      <c r="F176" s="8" t="n">
        <f aca="false">IFERROR(__xludf.dummyfunction("""COMPUTED_VALUE"""),13026275)</f>
        <v>13026275</v>
      </c>
    </row>
    <row r="177" customFormat="false" ht="15.75" hidden="false" customHeight="false" outlineLevel="0" collapsed="false">
      <c r="A177" s="9" t="n">
        <f aca="false">IFERROR(__xludf.dummyfunction("""COMPUTED_VALUE"""),44453.6666666667)</f>
        <v>44453.6666666667</v>
      </c>
      <c r="B177" s="8" t="n">
        <f aca="false">IFERROR(__xludf.dummyfunction("""COMPUTED_VALUE"""),377.4)</f>
        <v>377.4</v>
      </c>
      <c r="C177" s="8" t="n">
        <f aca="false">IFERROR(__xludf.dummyfunction("""COMPUTED_VALUE"""),378.59)</f>
        <v>378.59</v>
      </c>
      <c r="D177" s="8" t="n">
        <f aca="false">IFERROR(__xludf.dummyfunction("""COMPUTED_VALUE"""),375.11)</f>
        <v>375.11</v>
      </c>
      <c r="E177" s="8" t="n">
        <f aca="false">IFERROR(__xludf.dummyfunction("""COMPUTED_VALUE"""),376.53)</f>
        <v>376.53</v>
      </c>
      <c r="F177" s="8" t="n">
        <f aca="false">IFERROR(__xludf.dummyfunction("""COMPUTED_VALUE"""),8711569)</f>
        <v>8711569</v>
      </c>
    </row>
    <row r="178" customFormat="false" ht="15.75" hidden="false" customHeight="false" outlineLevel="0" collapsed="false">
      <c r="A178" s="9" t="n">
        <f aca="false">IFERROR(__xludf.dummyfunction("""COMPUTED_VALUE"""),44454.6666666667)</f>
        <v>44454.6666666667</v>
      </c>
      <c r="B178" s="8" t="n">
        <f aca="false">IFERROR(__xludf.dummyfunction("""COMPUTED_VALUE"""),377)</f>
        <v>377</v>
      </c>
      <c r="C178" s="8" t="n">
        <f aca="false">IFERROR(__xludf.dummyfunction("""COMPUTED_VALUE"""),377.56)</f>
        <v>377.56</v>
      </c>
      <c r="D178" s="8" t="n">
        <f aca="false">IFERROR(__xludf.dummyfunction("""COMPUTED_VALUE"""),367.67)</f>
        <v>367.67</v>
      </c>
      <c r="E178" s="8" t="n">
        <f aca="false">IFERROR(__xludf.dummyfunction("""COMPUTED_VALUE"""),373.92)</f>
        <v>373.92</v>
      </c>
      <c r="F178" s="8" t="n">
        <f aca="false">IFERROR(__xludf.dummyfunction("""COMPUTED_VALUE"""),17940297)</f>
        <v>17940297</v>
      </c>
    </row>
    <row r="179" customFormat="false" ht="15.75" hidden="false" customHeight="false" outlineLevel="0" collapsed="false">
      <c r="A179" s="9" t="n">
        <f aca="false">IFERROR(__xludf.dummyfunction("""COMPUTED_VALUE"""),44455.6666666667)</f>
        <v>44455.6666666667</v>
      </c>
      <c r="B179" s="8" t="n">
        <f aca="false">IFERROR(__xludf.dummyfunction("""COMPUTED_VALUE"""),372.79)</f>
        <v>372.79</v>
      </c>
      <c r="C179" s="8" t="n">
        <f aca="false">IFERROR(__xludf.dummyfunction("""COMPUTED_VALUE"""),373.56)</f>
        <v>373.56</v>
      </c>
      <c r="D179" s="8" t="n">
        <f aca="false">IFERROR(__xludf.dummyfunction("""COMPUTED_VALUE"""),369.71)</f>
        <v>369.71</v>
      </c>
      <c r="E179" s="8" t="n">
        <f aca="false">IFERROR(__xludf.dummyfunction("""COMPUTED_VALUE"""),373.06)</f>
        <v>373.06</v>
      </c>
      <c r="F179" s="8" t="n">
        <f aca="false">IFERROR(__xludf.dummyfunction("""COMPUTED_VALUE"""),11934217)</f>
        <v>11934217</v>
      </c>
    </row>
    <row r="180" customFormat="false" ht="15.75" hidden="false" customHeight="false" outlineLevel="0" collapsed="false">
      <c r="A180" s="9" t="n">
        <f aca="false">IFERROR(__xludf.dummyfunction("""COMPUTED_VALUE"""),44456.6666666667)</f>
        <v>44456.6666666667</v>
      </c>
      <c r="B180" s="8" t="n">
        <f aca="false">IFERROR(__xludf.dummyfunction("""COMPUTED_VALUE"""),371.41)</f>
        <v>371.41</v>
      </c>
      <c r="C180" s="8" t="n">
        <f aca="false">IFERROR(__xludf.dummyfunction("""COMPUTED_VALUE"""),371.41)</f>
        <v>371.41</v>
      </c>
      <c r="D180" s="8" t="n">
        <f aca="false">IFERROR(__xludf.dummyfunction("""COMPUTED_VALUE"""),361.59)</f>
        <v>361.59</v>
      </c>
      <c r="E180" s="8" t="n">
        <f aca="false">IFERROR(__xludf.dummyfunction("""COMPUTED_VALUE"""),364.72)</f>
        <v>364.72</v>
      </c>
      <c r="F180" s="8" t="n">
        <f aca="false">IFERROR(__xludf.dummyfunction("""COMPUTED_VALUE"""),26298966)</f>
        <v>26298966</v>
      </c>
    </row>
    <row r="181" customFormat="false" ht="15.75" hidden="false" customHeight="false" outlineLevel="0" collapsed="false">
      <c r="A181" s="9" t="n">
        <f aca="false">IFERROR(__xludf.dummyfunction("""COMPUTED_VALUE"""),44459.6666666667)</f>
        <v>44459.6666666667</v>
      </c>
      <c r="B181" s="8" t="n">
        <f aca="false">IFERROR(__xludf.dummyfunction("""COMPUTED_VALUE"""),359.3)</f>
        <v>359.3</v>
      </c>
      <c r="C181" s="8" t="n">
        <f aca="false">IFERROR(__xludf.dummyfunction("""COMPUTED_VALUE"""),361.03)</f>
        <v>361.03</v>
      </c>
      <c r="D181" s="8" t="n">
        <f aca="false">IFERROR(__xludf.dummyfunction("""COMPUTED_VALUE"""),349.8)</f>
        <v>349.8</v>
      </c>
      <c r="E181" s="8" t="n">
        <f aca="false">IFERROR(__xludf.dummyfunction("""COMPUTED_VALUE"""),355.7)</f>
        <v>355.7</v>
      </c>
      <c r="F181" s="8" t="n">
        <f aca="false">IFERROR(__xludf.dummyfunction("""COMPUTED_VALUE"""),19822772)</f>
        <v>19822772</v>
      </c>
    </row>
    <row r="182" customFormat="false" ht="15.75" hidden="false" customHeight="false" outlineLevel="0" collapsed="false">
      <c r="A182" s="9" t="n">
        <f aca="false">IFERROR(__xludf.dummyfunction("""COMPUTED_VALUE"""),44460.6666666667)</f>
        <v>44460.6666666667</v>
      </c>
      <c r="B182" s="8" t="n">
        <f aca="false">IFERROR(__xludf.dummyfunction("""COMPUTED_VALUE"""),358.5)</f>
        <v>358.5</v>
      </c>
      <c r="C182" s="8" t="n">
        <f aca="false">IFERROR(__xludf.dummyfunction("""COMPUTED_VALUE"""),360.04)</f>
        <v>360.04</v>
      </c>
      <c r="D182" s="8" t="n">
        <f aca="false">IFERROR(__xludf.dummyfunction("""COMPUTED_VALUE"""),355.19)</f>
        <v>355.19</v>
      </c>
      <c r="E182" s="8" t="n">
        <f aca="false">IFERROR(__xludf.dummyfunction("""COMPUTED_VALUE"""),357.48)</f>
        <v>357.48</v>
      </c>
      <c r="F182" s="8" t="n">
        <f aca="false">IFERROR(__xludf.dummyfunction("""COMPUTED_VALUE"""),11751917)</f>
        <v>11751917</v>
      </c>
    </row>
    <row r="183" customFormat="false" ht="15.75" hidden="false" customHeight="false" outlineLevel="0" collapsed="false">
      <c r="A183" s="9" t="n">
        <f aca="false">IFERROR(__xludf.dummyfunction("""COMPUTED_VALUE"""),44461.6666666667)</f>
        <v>44461.6666666667</v>
      </c>
      <c r="B183" s="8" t="n">
        <f aca="false">IFERROR(__xludf.dummyfunction("""COMPUTED_VALUE"""),347.23)</f>
        <v>347.23</v>
      </c>
      <c r="C183" s="8" t="n">
        <f aca="false">IFERROR(__xludf.dummyfunction("""COMPUTED_VALUE"""),349.84)</f>
        <v>349.84</v>
      </c>
      <c r="D183" s="8" t="n">
        <f aca="false">IFERROR(__xludf.dummyfunction("""COMPUTED_VALUE"""),340.69)</f>
        <v>340.69</v>
      </c>
      <c r="E183" s="8" t="n">
        <f aca="false">IFERROR(__xludf.dummyfunction("""COMPUTED_VALUE"""),343.21)</f>
        <v>343.21</v>
      </c>
      <c r="F183" s="8" t="n">
        <f aca="false">IFERROR(__xludf.dummyfunction("""COMPUTED_VALUE"""),43692859)</f>
        <v>43692859</v>
      </c>
    </row>
    <row r="184" customFormat="false" ht="15.75" hidden="false" customHeight="false" outlineLevel="0" collapsed="false">
      <c r="A184" s="9" t="n">
        <f aca="false">IFERROR(__xludf.dummyfunction("""COMPUTED_VALUE"""),44462.6666666667)</f>
        <v>44462.6666666667</v>
      </c>
      <c r="B184" s="8" t="n">
        <f aca="false">IFERROR(__xludf.dummyfunction("""COMPUTED_VALUE"""),345.36)</f>
        <v>345.36</v>
      </c>
      <c r="C184" s="8" t="n">
        <f aca="false">IFERROR(__xludf.dummyfunction("""COMPUTED_VALUE"""),349.67)</f>
        <v>349.67</v>
      </c>
      <c r="D184" s="8" t="n">
        <f aca="false">IFERROR(__xludf.dummyfunction("""COMPUTED_VALUE"""),343)</f>
        <v>343</v>
      </c>
      <c r="E184" s="8" t="n">
        <f aca="false">IFERROR(__xludf.dummyfunction("""COMPUTED_VALUE"""),345.96)</f>
        <v>345.96</v>
      </c>
      <c r="F184" s="8" t="n">
        <f aca="false">IFERROR(__xludf.dummyfunction("""COMPUTED_VALUE"""),21806264)</f>
        <v>21806264</v>
      </c>
    </row>
    <row r="185" customFormat="false" ht="15.75" hidden="false" customHeight="false" outlineLevel="0" collapsed="false">
      <c r="A185" s="9" t="n">
        <f aca="false">IFERROR(__xludf.dummyfunction("""COMPUTED_VALUE"""),44463.6666666667)</f>
        <v>44463.6666666667</v>
      </c>
      <c r="B185" s="8" t="n">
        <f aca="false">IFERROR(__xludf.dummyfunction("""COMPUTED_VALUE"""),343.24)</f>
        <v>343.24</v>
      </c>
      <c r="C185" s="8" t="n">
        <f aca="false">IFERROR(__xludf.dummyfunction("""COMPUTED_VALUE"""),354.35)</f>
        <v>354.35</v>
      </c>
      <c r="D185" s="8" t="n">
        <f aca="false">IFERROR(__xludf.dummyfunction("""COMPUTED_VALUE"""),342.37)</f>
        <v>342.37</v>
      </c>
      <c r="E185" s="8" t="n">
        <f aca="false">IFERROR(__xludf.dummyfunction("""COMPUTED_VALUE"""),352.96)</f>
        <v>352.96</v>
      </c>
      <c r="F185" s="8" t="n">
        <f aca="false">IFERROR(__xludf.dummyfunction("""COMPUTED_VALUE"""),18801933)</f>
        <v>18801933</v>
      </c>
    </row>
    <row r="186" customFormat="false" ht="15.75" hidden="false" customHeight="false" outlineLevel="0" collapsed="false">
      <c r="A186" s="9" t="n">
        <f aca="false">IFERROR(__xludf.dummyfunction("""COMPUTED_VALUE"""),44466.6666666667)</f>
        <v>44466.6666666667</v>
      </c>
      <c r="B186" s="8" t="n">
        <f aca="false">IFERROR(__xludf.dummyfunction("""COMPUTED_VALUE"""),349.81)</f>
        <v>349.81</v>
      </c>
      <c r="C186" s="8" t="n">
        <f aca="false">IFERROR(__xludf.dummyfunction("""COMPUTED_VALUE"""),355.15)</f>
        <v>355.15</v>
      </c>
      <c r="D186" s="8" t="n">
        <f aca="false">IFERROR(__xludf.dummyfunction("""COMPUTED_VALUE"""),347.08)</f>
        <v>347.08</v>
      </c>
      <c r="E186" s="8" t="n">
        <f aca="false">IFERROR(__xludf.dummyfunction("""COMPUTED_VALUE"""),353.58)</f>
        <v>353.58</v>
      </c>
      <c r="F186" s="8" t="n">
        <f aca="false">IFERROR(__xludf.dummyfunction("""COMPUTED_VALUE"""),15205843)</f>
        <v>15205843</v>
      </c>
    </row>
    <row r="187" customFormat="false" ht="15.75" hidden="false" customHeight="false" outlineLevel="0" collapsed="false">
      <c r="A187" s="9" t="n">
        <f aca="false">IFERROR(__xludf.dummyfunction("""COMPUTED_VALUE"""),44467.6666666667)</f>
        <v>44467.6666666667</v>
      </c>
      <c r="B187" s="8" t="n">
        <f aca="false">IFERROR(__xludf.dummyfunction("""COMPUTED_VALUE"""),347.97)</f>
        <v>347.97</v>
      </c>
      <c r="C187" s="8" t="n">
        <f aca="false">IFERROR(__xludf.dummyfunction("""COMPUTED_VALUE"""),349.6)</f>
        <v>349.6</v>
      </c>
      <c r="D187" s="8" t="n">
        <f aca="false">IFERROR(__xludf.dummyfunction("""COMPUTED_VALUE"""),338.92)</f>
        <v>338.92</v>
      </c>
      <c r="E187" s="8" t="n">
        <f aca="false">IFERROR(__xludf.dummyfunction("""COMPUTED_VALUE"""),340.65)</f>
        <v>340.65</v>
      </c>
      <c r="F187" s="8" t="n">
        <f aca="false">IFERROR(__xludf.dummyfunction("""COMPUTED_VALUE"""),21710286)</f>
        <v>21710286</v>
      </c>
    </row>
    <row r="188" customFormat="false" ht="15.75" hidden="false" customHeight="false" outlineLevel="0" collapsed="false">
      <c r="A188" s="9" t="n">
        <f aca="false">IFERROR(__xludf.dummyfunction("""COMPUTED_VALUE"""),44468.6666666667)</f>
        <v>44468.6666666667</v>
      </c>
      <c r="B188" s="8" t="n">
        <f aca="false">IFERROR(__xludf.dummyfunction("""COMPUTED_VALUE"""),343.15)</f>
        <v>343.15</v>
      </c>
      <c r="C188" s="8" t="n">
        <f aca="false">IFERROR(__xludf.dummyfunction("""COMPUTED_VALUE"""),345.23)</f>
        <v>345.23</v>
      </c>
      <c r="D188" s="8" t="n">
        <f aca="false">IFERROR(__xludf.dummyfunction("""COMPUTED_VALUE"""),338.88)</f>
        <v>338.88</v>
      </c>
      <c r="E188" s="8" t="n">
        <f aca="false">IFERROR(__xludf.dummyfunction("""COMPUTED_VALUE"""),339.61)</f>
        <v>339.61</v>
      </c>
      <c r="F188" s="8" t="n">
        <f aca="false">IFERROR(__xludf.dummyfunction("""COMPUTED_VALUE"""),14452241)</f>
        <v>14452241</v>
      </c>
    </row>
    <row r="189" customFormat="false" ht="15.75" hidden="false" customHeight="false" outlineLevel="0" collapsed="false">
      <c r="A189" s="9" t="n">
        <f aca="false">IFERROR(__xludf.dummyfunction("""COMPUTED_VALUE"""),44469.6666666667)</f>
        <v>44469.6666666667</v>
      </c>
      <c r="B189" s="8" t="n">
        <f aca="false">IFERROR(__xludf.dummyfunction("""COMPUTED_VALUE"""),340.45)</f>
        <v>340.45</v>
      </c>
      <c r="C189" s="8" t="n">
        <f aca="false">IFERROR(__xludf.dummyfunction("""COMPUTED_VALUE"""),342.8)</f>
        <v>342.8</v>
      </c>
      <c r="D189" s="8" t="n">
        <f aca="false">IFERROR(__xludf.dummyfunction("""COMPUTED_VALUE"""),338.15)</f>
        <v>338.15</v>
      </c>
      <c r="E189" s="8" t="n">
        <f aca="false">IFERROR(__xludf.dummyfunction("""COMPUTED_VALUE"""),339.39)</f>
        <v>339.39</v>
      </c>
      <c r="F189" s="8" t="n">
        <f aca="false">IFERROR(__xludf.dummyfunction("""COMPUTED_VALUE"""),16547094)</f>
        <v>16547094</v>
      </c>
    </row>
    <row r="190" customFormat="false" ht="15.75" hidden="false" customHeight="false" outlineLevel="0" collapsed="false">
      <c r="A190" s="9" t="n">
        <f aca="false">IFERROR(__xludf.dummyfunction("""COMPUTED_VALUE"""),44470.6666666667)</f>
        <v>44470.6666666667</v>
      </c>
      <c r="B190" s="8" t="n">
        <f aca="false">IFERROR(__xludf.dummyfunction("""COMPUTED_VALUE"""),341.61)</f>
        <v>341.61</v>
      </c>
      <c r="C190" s="8" t="n">
        <f aca="false">IFERROR(__xludf.dummyfunction("""COMPUTED_VALUE"""),345.02)</f>
        <v>345.02</v>
      </c>
      <c r="D190" s="8" t="n">
        <f aca="false">IFERROR(__xludf.dummyfunction("""COMPUTED_VALUE"""),338.64)</f>
        <v>338.64</v>
      </c>
      <c r="E190" s="8" t="n">
        <f aca="false">IFERROR(__xludf.dummyfunction("""COMPUTED_VALUE"""),343.01)</f>
        <v>343.01</v>
      </c>
      <c r="F190" s="8" t="n">
        <f aca="false">IFERROR(__xludf.dummyfunction("""COMPUTED_VALUE"""),14905311)</f>
        <v>14905311</v>
      </c>
    </row>
    <row r="191" customFormat="false" ht="15.75" hidden="false" customHeight="false" outlineLevel="0" collapsed="false">
      <c r="A191" s="9" t="n">
        <f aca="false">IFERROR(__xludf.dummyfunction("""COMPUTED_VALUE"""),44473.6666666667)</f>
        <v>44473.6666666667</v>
      </c>
      <c r="B191" s="8" t="n">
        <f aca="false">IFERROR(__xludf.dummyfunction("""COMPUTED_VALUE"""),335.53)</f>
        <v>335.53</v>
      </c>
      <c r="C191" s="8" t="n">
        <f aca="false">IFERROR(__xludf.dummyfunction("""COMPUTED_VALUE"""),335.94)</f>
        <v>335.94</v>
      </c>
      <c r="D191" s="8" t="n">
        <f aca="false">IFERROR(__xludf.dummyfunction("""COMPUTED_VALUE"""),322.7)</f>
        <v>322.7</v>
      </c>
      <c r="E191" s="8" t="n">
        <f aca="false">IFERROR(__xludf.dummyfunction("""COMPUTED_VALUE"""),326.23)</f>
        <v>326.23</v>
      </c>
      <c r="F191" s="8" t="n">
        <f aca="false">IFERROR(__xludf.dummyfunction("""COMPUTED_VALUE"""),42884975)</f>
        <v>42884975</v>
      </c>
    </row>
    <row r="192" customFormat="false" ht="15.75" hidden="false" customHeight="false" outlineLevel="0" collapsed="false">
      <c r="A192" s="9" t="n">
        <f aca="false">IFERROR(__xludf.dummyfunction("""COMPUTED_VALUE"""),44474.6666666667)</f>
        <v>44474.6666666667</v>
      </c>
      <c r="B192" s="8" t="n">
        <f aca="false">IFERROR(__xludf.dummyfunction("""COMPUTED_VALUE"""),328.58)</f>
        <v>328.58</v>
      </c>
      <c r="C192" s="8" t="n">
        <f aca="false">IFERROR(__xludf.dummyfunction("""COMPUTED_VALUE"""),335.18)</f>
        <v>335.18</v>
      </c>
      <c r="D192" s="8" t="n">
        <f aca="false">IFERROR(__xludf.dummyfunction("""COMPUTED_VALUE"""),326.16)</f>
        <v>326.16</v>
      </c>
      <c r="E192" s="8" t="n">
        <f aca="false">IFERROR(__xludf.dummyfunction("""COMPUTED_VALUE"""),332.96)</f>
        <v>332.96</v>
      </c>
      <c r="F192" s="8" t="n">
        <f aca="false">IFERROR(__xludf.dummyfunction("""COMPUTED_VALUE"""),35377947)</f>
        <v>35377947</v>
      </c>
    </row>
    <row r="193" customFormat="false" ht="15.75" hidden="false" customHeight="false" outlineLevel="0" collapsed="false">
      <c r="A193" s="9" t="n">
        <f aca="false">IFERROR(__xludf.dummyfunction("""COMPUTED_VALUE"""),44475.6666666667)</f>
        <v>44475.6666666667</v>
      </c>
      <c r="B193" s="8" t="n">
        <f aca="false">IFERROR(__xludf.dummyfunction("""COMPUTED_VALUE"""),329.74)</f>
        <v>329.74</v>
      </c>
      <c r="C193" s="8" t="n">
        <f aca="false">IFERROR(__xludf.dummyfunction("""COMPUTED_VALUE"""),334.38)</f>
        <v>334.38</v>
      </c>
      <c r="D193" s="8" t="n">
        <f aca="false">IFERROR(__xludf.dummyfunction("""COMPUTED_VALUE"""),325.8)</f>
        <v>325.8</v>
      </c>
      <c r="E193" s="8" t="n">
        <f aca="false">IFERROR(__xludf.dummyfunction("""COMPUTED_VALUE"""),333.64)</f>
        <v>333.64</v>
      </c>
      <c r="F193" s="8" t="n">
        <f aca="false">IFERROR(__xludf.dummyfunction("""COMPUTED_VALUE"""),26443010)</f>
        <v>26443010</v>
      </c>
    </row>
    <row r="194" customFormat="false" ht="15.75" hidden="false" customHeight="false" outlineLevel="0" collapsed="false">
      <c r="A194" s="9" t="n">
        <f aca="false">IFERROR(__xludf.dummyfunction("""COMPUTED_VALUE"""),44476.6666666667)</f>
        <v>44476.6666666667</v>
      </c>
      <c r="B194" s="8" t="n">
        <f aca="false">IFERROR(__xludf.dummyfunction("""COMPUTED_VALUE"""),337)</f>
        <v>337</v>
      </c>
      <c r="C194" s="8" t="n">
        <f aca="false">IFERROR(__xludf.dummyfunction("""COMPUTED_VALUE"""),338.84)</f>
        <v>338.84</v>
      </c>
      <c r="D194" s="8" t="n">
        <f aca="false">IFERROR(__xludf.dummyfunction("""COMPUTED_VALUE"""),328.98)</f>
        <v>328.98</v>
      </c>
      <c r="E194" s="8" t="n">
        <f aca="false">IFERROR(__xludf.dummyfunction("""COMPUTED_VALUE"""),329.22)</f>
        <v>329.22</v>
      </c>
      <c r="F194" s="8" t="n">
        <f aca="false">IFERROR(__xludf.dummyfunction("""COMPUTED_VALUE"""),28307456)</f>
        <v>28307456</v>
      </c>
    </row>
    <row r="195" customFormat="false" ht="15.75" hidden="false" customHeight="false" outlineLevel="0" collapsed="false">
      <c r="A195" s="9" t="n">
        <f aca="false">IFERROR(__xludf.dummyfunction("""COMPUTED_VALUE"""),44477.6666666667)</f>
        <v>44477.6666666667</v>
      </c>
      <c r="B195" s="8" t="n">
        <f aca="false">IFERROR(__xludf.dummyfunction("""COMPUTED_VALUE"""),331.51)</f>
        <v>331.51</v>
      </c>
      <c r="C195" s="8" t="n">
        <f aca="false">IFERROR(__xludf.dummyfunction("""COMPUTED_VALUE"""),333.4)</f>
        <v>333.4</v>
      </c>
      <c r="D195" s="8" t="n">
        <f aca="false">IFERROR(__xludf.dummyfunction("""COMPUTED_VALUE"""),328.71)</f>
        <v>328.71</v>
      </c>
      <c r="E195" s="8" t="n">
        <f aca="false">IFERROR(__xludf.dummyfunction("""COMPUTED_VALUE"""),330.05)</f>
        <v>330.05</v>
      </c>
      <c r="F195" s="8" t="n">
        <f aca="false">IFERROR(__xludf.dummyfunction("""COMPUTED_VALUE"""),15946110)</f>
        <v>15946110</v>
      </c>
    </row>
    <row r="196" customFormat="false" ht="15.75" hidden="false" customHeight="false" outlineLevel="0" collapsed="false">
      <c r="A196" s="9" t="n">
        <f aca="false">IFERROR(__xludf.dummyfunction("""COMPUTED_VALUE"""),44480.6666666667)</f>
        <v>44480.6666666667</v>
      </c>
      <c r="B196" s="8" t="n">
        <f aca="false">IFERROR(__xludf.dummyfunction("""COMPUTED_VALUE"""),327.63)</f>
        <v>327.63</v>
      </c>
      <c r="C196" s="8" t="n">
        <f aca="false">IFERROR(__xludf.dummyfunction("""COMPUTED_VALUE"""),330.46)</f>
        <v>330.46</v>
      </c>
      <c r="D196" s="8" t="n">
        <f aca="false">IFERROR(__xludf.dummyfunction("""COMPUTED_VALUE"""),325.31)</f>
        <v>325.31</v>
      </c>
      <c r="E196" s="8" t="n">
        <f aca="false">IFERROR(__xludf.dummyfunction("""COMPUTED_VALUE"""),325.45)</f>
        <v>325.45</v>
      </c>
      <c r="F196" s="8" t="n">
        <f aca="false">IFERROR(__xludf.dummyfunction("""COMPUTED_VALUE"""),14708224)</f>
        <v>14708224</v>
      </c>
    </row>
    <row r="197" customFormat="false" ht="15.75" hidden="false" customHeight="false" outlineLevel="0" collapsed="false">
      <c r="A197" s="9" t="n">
        <f aca="false">IFERROR(__xludf.dummyfunction("""COMPUTED_VALUE"""),44481.6666666667)</f>
        <v>44481.6666666667</v>
      </c>
      <c r="B197" s="8" t="n">
        <f aca="false">IFERROR(__xludf.dummyfunction("""COMPUTED_VALUE"""),323.03)</f>
        <v>323.03</v>
      </c>
      <c r="C197" s="8" t="n">
        <f aca="false">IFERROR(__xludf.dummyfunction("""COMPUTED_VALUE"""),324.38)</f>
        <v>324.38</v>
      </c>
      <c r="D197" s="8" t="n">
        <f aca="false">IFERROR(__xludf.dummyfunction("""COMPUTED_VALUE"""),317.37)</f>
        <v>317.37</v>
      </c>
      <c r="E197" s="8" t="n">
        <f aca="false">IFERROR(__xludf.dummyfunction("""COMPUTED_VALUE"""),323.77)</f>
        <v>323.77</v>
      </c>
      <c r="F197" s="8" t="n">
        <f aca="false">IFERROR(__xludf.dummyfunction("""COMPUTED_VALUE"""),31658684)</f>
        <v>31658684</v>
      </c>
    </row>
    <row r="198" customFormat="false" ht="15.75" hidden="false" customHeight="false" outlineLevel="0" collapsed="false">
      <c r="A198" s="9" t="n">
        <f aca="false">IFERROR(__xludf.dummyfunction("""COMPUTED_VALUE"""),44482.6666666667)</f>
        <v>44482.6666666667</v>
      </c>
      <c r="B198" s="8" t="n">
        <f aca="false">IFERROR(__xludf.dummyfunction("""COMPUTED_VALUE"""),326.97)</f>
        <v>326.97</v>
      </c>
      <c r="C198" s="8" t="n">
        <f aca="false">IFERROR(__xludf.dummyfunction("""COMPUTED_VALUE"""),327)</f>
        <v>327</v>
      </c>
      <c r="D198" s="8" t="n">
        <f aca="false">IFERROR(__xludf.dummyfunction("""COMPUTED_VALUE"""),322.66)</f>
        <v>322.66</v>
      </c>
      <c r="E198" s="8" t="n">
        <f aca="false">IFERROR(__xludf.dummyfunction("""COMPUTED_VALUE"""),324.54)</f>
        <v>324.54</v>
      </c>
      <c r="F198" s="8" t="n">
        <f aca="false">IFERROR(__xludf.dummyfunction("""COMPUTED_VALUE"""),14761470)</f>
        <v>14761470</v>
      </c>
    </row>
    <row r="199" customFormat="false" ht="15.75" hidden="false" customHeight="false" outlineLevel="0" collapsed="false">
      <c r="A199" s="9" t="n">
        <f aca="false">IFERROR(__xludf.dummyfunction("""COMPUTED_VALUE"""),44483.6666666667)</f>
        <v>44483.6666666667</v>
      </c>
      <c r="B199" s="8" t="n">
        <f aca="false">IFERROR(__xludf.dummyfunction("""COMPUTED_VALUE"""),328.36)</f>
        <v>328.36</v>
      </c>
      <c r="C199" s="8" t="n">
        <f aca="false">IFERROR(__xludf.dummyfunction("""COMPUTED_VALUE"""),330.52)</f>
        <v>330.52</v>
      </c>
      <c r="D199" s="8" t="n">
        <f aca="false">IFERROR(__xludf.dummyfunction("""COMPUTED_VALUE"""),327.1)</f>
        <v>327.1</v>
      </c>
      <c r="E199" s="8" t="n">
        <f aca="false">IFERROR(__xludf.dummyfunction("""COMPUTED_VALUE"""),328.53)</f>
        <v>328.53</v>
      </c>
      <c r="F199" s="8" t="n">
        <f aca="false">IFERROR(__xludf.dummyfunction("""COMPUTED_VALUE"""),14302154)</f>
        <v>14302154</v>
      </c>
    </row>
    <row r="200" customFormat="false" ht="15.75" hidden="false" customHeight="false" outlineLevel="0" collapsed="false">
      <c r="A200" s="9" t="n">
        <f aca="false">IFERROR(__xludf.dummyfunction("""COMPUTED_VALUE"""),44484.6666666667)</f>
        <v>44484.6666666667</v>
      </c>
      <c r="B200" s="8" t="n">
        <f aca="false">IFERROR(__xludf.dummyfunction("""COMPUTED_VALUE"""),328.68)</f>
        <v>328.68</v>
      </c>
      <c r="C200" s="8" t="n">
        <f aca="false">IFERROR(__xludf.dummyfunction("""COMPUTED_VALUE"""),329.07)</f>
        <v>329.07</v>
      </c>
      <c r="D200" s="8" t="n">
        <f aca="false">IFERROR(__xludf.dummyfunction("""COMPUTED_VALUE"""),322.51)</f>
        <v>322.51</v>
      </c>
      <c r="E200" s="8" t="n">
        <f aca="false">IFERROR(__xludf.dummyfunction("""COMPUTED_VALUE"""),324.76)</f>
        <v>324.76</v>
      </c>
      <c r="F200" s="8" t="n">
        <f aca="false">IFERROR(__xludf.dummyfunction("""COMPUTED_VALUE"""),21596370)</f>
        <v>21596370</v>
      </c>
    </row>
    <row r="201" customFormat="false" ht="15.75" hidden="false" customHeight="false" outlineLevel="0" collapsed="false">
      <c r="A201" s="9" t="n">
        <f aca="false">IFERROR(__xludf.dummyfunction("""COMPUTED_VALUE"""),44487.6666666667)</f>
        <v>44487.6666666667</v>
      </c>
      <c r="B201" s="8" t="n">
        <f aca="false">IFERROR(__xludf.dummyfunction("""COMPUTED_VALUE"""),328.95)</f>
        <v>328.95</v>
      </c>
      <c r="C201" s="8" t="n">
        <f aca="false">IFERROR(__xludf.dummyfunction("""COMPUTED_VALUE"""),335.89)</f>
        <v>335.89</v>
      </c>
      <c r="D201" s="8" t="n">
        <f aca="false">IFERROR(__xludf.dummyfunction("""COMPUTED_VALUE"""),327.5)</f>
        <v>327.5</v>
      </c>
      <c r="E201" s="8" t="n">
        <f aca="false">IFERROR(__xludf.dummyfunction("""COMPUTED_VALUE"""),335.34)</f>
        <v>335.34</v>
      </c>
      <c r="F201" s="8" t="n">
        <f aca="false">IFERROR(__xludf.dummyfunction("""COMPUTED_VALUE"""),21585018)</f>
        <v>21585018</v>
      </c>
    </row>
    <row r="202" customFormat="false" ht="15.75" hidden="false" customHeight="false" outlineLevel="0" collapsed="false">
      <c r="A202" s="9" t="n">
        <f aca="false">IFERROR(__xludf.dummyfunction("""COMPUTED_VALUE"""),44488.6666666667)</f>
        <v>44488.6666666667</v>
      </c>
      <c r="B202" s="8" t="n">
        <f aca="false">IFERROR(__xludf.dummyfunction("""COMPUTED_VALUE"""),339.65)</f>
        <v>339.65</v>
      </c>
      <c r="C202" s="8" t="n">
        <f aca="false">IFERROR(__xludf.dummyfunction("""COMPUTED_VALUE"""),342.46)</f>
        <v>342.46</v>
      </c>
      <c r="D202" s="8" t="n">
        <f aca="false">IFERROR(__xludf.dummyfunction("""COMPUTED_VALUE"""),337.28)</f>
        <v>337.28</v>
      </c>
      <c r="E202" s="8" t="n">
        <f aca="false">IFERROR(__xludf.dummyfunction("""COMPUTED_VALUE"""),339.99)</f>
        <v>339.99</v>
      </c>
      <c r="F202" s="8" t="n">
        <f aca="false">IFERROR(__xludf.dummyfunction("""COMPUTED_VALUE"""),18786316)</f>
        <v>18786316</v>
      </c>
    </row>
    <row r="203" customFormat="false" ht="15.75" hidden="false" customHeight="false" outlineLevel="0" collapsed="false">
      <c r="A203" s="9" t="n">
        <f aca="false">IFERROR(__xludf.dummyfunction("""COMPUTED_VALUE"""),44489.6666666667)</f>
        <v>44489.6666666667</v>
      </c>
      <c r="B203" s="8" t="n">
        <f aca="false">IFERROR(__xludf.dummyfunction("""COMPUTED_VALUE"""),343.45)</f>
        <v>343.45</v>
      </c>
      <c r="C203" s="8" t="n">
        <f aca="false">IFERROR(__xludf.dummyfunction("""COMPUTED_VALUE"""),343.98)</f>
        <v>343.98</v>
      </c>
      <c r="D203" s="8" t="n">
        <f aca="false">IFERROR(__xludf.dummyfunction("""COMPUTED_VALUE"""),339.45)</f>
        <v>339.45</v>
      </c>
      <c r="E203" s="8" t="n">
        <f aca="false">IFERROR(__xludf.dummyfunction("""COMPUTED_VALUE"""),340.78)</f>
        <v>340.78</v>
      </c>
      <c r="F203" s="8" t="n">
        <f aca="false">IFERROR(__xludf.dummyfunction("""COMPUTED_VALUE"""),13639465)</f>
        <v>13639465</v>
      </c>
    </row>
    <row r="204" customFormat="false" ht="15.75" hidden="false" customHeight="false" outlineLevel="0" collapsed="false">
      <c r="A204" s="9" t="n">
        <f aca="false">IFERROR(__xludf.dummyfunction("""COMPUTED_VALUE"""),44490.6666666667)</f>
        <v>44490.6666666667</v>
      </c>
      <c r="B204" s="8" t="n">
        <f aca="false">IFERROR(__xludf.dummyfunction("""COMPUTED_VALUE"""),340.28)</f>
        <v>340.28</v>
      </c>
      <c r="C204" s="8" t="n">
        <f aca="false">IFERROR(__xludf.dummyfunction("""COMPUTED_VALUE"""),342.31)</f>
        <v>342.31</v>
      </c>
      <c r="D204" s="8" t="n">
        <f aca="false">IFERROR(__xludf.dummyfunction("""COMPUTED_VALUE"""),337.8)</f>
        <v>337.8</v>
      </c>
      <c r="E204" s="8" t="n">
        <f aca="false">IFERROR(__xludf.dummyfunction("""COMPUTED_VALUE"""),341.88)</f>
        <v>341.88</v>
      </c>
      <c r="F204" s="8" t="n">
        <f aca="false">IFERROR(__xludf.dummyfunction("""COMPUTED_VALUE"""),16354423)</f>
        <v>16354423</v>
      </c>
    </row>
    <row r="205" customFormat="false" ht="15.75" hidden="false" customHeight="false" outlineLevel="0" collapsed="false">
      <c r="A205" s="9" t="n">
        <f aca="false">IFERROR(__xludf.dummyfunction("""COMPUTED_VALUE"""),44491.6666666667)</f>
        <v>44491.6666666667</v>
      </c>
      <c r="B205" s="8" t="n">
        <f aca="false">IFERROR(__xludf.dummyfunction("""COMPUTED_VALUE"""),326.35)</f>
        <v>326.35</v>
      </c>
      <c r="C205" s="8" t="n">
        <f aca="false">IFERROR(__xludf.dummyfunction("""COMPUTED_VALUE"""),329.63)</f>
        <v>329.63</v>
      </c>
      <c r="D205" s="8" t="n">
        <f aca="false">IFERROR(__xludf.dummyfunction("""COMPUTED_VALUE"""),321.11)</f>
        <v>321.11</v>
      </c>
      <c r="E205" s="8" t="n">
        <f aca="false">IFERROR(__xludf.dummyfunction("""COMPUTED_VALUE"""),324.61)</f>
        <v>324.61</v>
      </c>
      <c r="F205" s="8" t="n">
        <f aca="false">IFERROR(__xludf.dummyfunction("""COMPUTED_VALUE"""),35224543)</f>
        <v>35224543</v>
      </c>
    </row>
    <row r="206" customFormat="false" ht="15.75" hidden="false" customHeight="false" outlineLevel="0" collapsed="false">
      <c r="A206" s="9" t="n">
        <f aca="false">IFERROR(__xludf.dummyfunction("""COMPUTED_VALUE"""),44494.6666666667)</f>
        <v>44494.6666666667</v>
      </c>
      <c r="B206" s="8" t="n">
        <f aca="false">IFERROR(__xludf.dummyfunction("""COMPUTED_VALUE"""),320.3)</f>
        <v>320.3</v>
      </c>
      <c r="C206" s="8" t="n">
        <f aca="false">IFERROR(__xludf.dummyfunction("""COMPUTED_VALUE"""),329.56)</f>
        <v>329.56</v>
      </c>
      <c r="D206" s="8" t="n">
        <f aca="false">IFERROR(__xludf.dummyfunction("""COMPUTED_VALUE"""),319.72)</f>
        <v>319.72</v>
      </c>
      <c r="E206" s="8" t="n">
        <f aca="false">IFERROR(__xludf.dummyfunction("""COMPUTED_VALUE"""),328.69)</f>
        <v>328.69</v>
      </c>
      <c r="F206" s="8" t="n">
        <f aca="false">IFERROR(__xludf.dummyfunction("""COMPUTED_VALUE"""),38408957)</f>
        <v>38408957</v>
      </c>
    </row>
    <row r="207" customFormat="false" ht="15.75" hidden="false" customHeight="false" outlineLevel="0" collapsed="false">
      <c r="A207" s="9" t="n">
        <f aca="false">IFERROR(__xludf.dummyfunction("""COMPUTED_VALUE"""),44495.6666666667)</f>
        <v>44495.6666666667</v>
      </c>
      <c r="B207" s="8" t="n">
        <f aca="false">IFERROR(__xludf.dummyfunction("""COMPUTED_VALUE"""),328.26)</f>
        <v>328.26</v>
      </c>
      <c r="C207" s="8" t="n">
        <f aca="false">IFERROR(__xludf.dummyfunction("""COMPUTED_VALUE"""),330.21)</f>
        <v>330.21</v>
      </c>
      <c r="D207" s="8" t="n">
        <f aca="false">IFERROR(__xludf.dummyfunction("""COMPUTED_VALUE"""),309.6)</f>
        <v>309.6</v>
      </c>
      <c r="E207" s="8" t="n">
        <f aca="false">IFERROR(__xludf.dummyfunction("""COMPUTED_VALUE"""),315.81)</f>
        <v>315.81</v>
      </c>
      <c r="F207" s="8" t="n">
        <f aca="false">IFERROR(__xludf.dummyfunction("""COMPUTED_VALUE"""),65654043)</f>
        <v>65654043</v>
      </c>
    </row>
    <row r="208" customFormat="false" ht="15.75" hidden="false" customHeight="false" outlineLevel="0" collapsed="false">
      <c r="A208" s="9" t="n">
        <f aca="false">IFERROR(__xludf.dummyfunction("""COMPUTED_VALUE"""),44496.6666666667)</f>
        <v>44496.6666666667</v>
      </c>
      <c r="B208" s="8" t="n">
        <f aca="false">IFERROR(__xludf.dummyfunction("""COMPUTED_VALUE"""),314.19)</f>
        <v>314.19</v>
      </c>
      <c r="C208" s="8" t="n">
        <f aca="false">IFERROR(__xludf.dummyfunction("""COMPUTED_VALUE"""),319.25)</f>
        <v>319.25</v>
      </c>
      <c r="D208" s="8" t="n">
        <f aca="false">IFERROR(__xludf.dummyfunction("""COMPUTED_VALUE"""),312.06)</f>
        <v>312.06</v>
      </c>
      <c r="E208" s="8" t="n">
        <f aca="false">IFERROR(__xludf.dummyfunction("""COMPUTED_VALUE"""),312.22)</f>
        <v>312.22</v>
      </c>
      <c r="F208" s="8" t="n">
        <f aca="false">IFERROR(__xludf.dummyfunction("""COMPUTED_VALUE"""),29971761)</f>
        <v>29971761</v>
      </c>
    </row>
    <row r="209" customFormat="false" ht="15.75" hidden="false" customHeight="false" outlineLevel="0" collapsed="false">
      <c r="A209" s="9" t="n">
        <f aca="false">IFERROR(__xludf.dummyfunction("""COMPUTED_VALUE"""),44497.6666666667)</f>
        <v>44497.6666666667</v>
      </c>
      <c r="B209" s="8" t="n">
        <f aca="false">IFERROR(__xludf.dummyfunction("""COMPUTED_VALUE"""),312.99)</f>
        <v>312.99</v>
      </c>
      <c r="C209" s="8" t="n">
        <f aca="false">IFERROR(__xludf.dummyfunction("""COMPUTED_VALUE"""),325.52)</f>
        <v>325.52</v>
      </c>
      <c r="D209" s="8" t="n">
        <f aca="false">IFERROR(__xludf.dummyfunction("""COMPUTED_VALUE"""),308.11)</f>
        <v>308.11</v>
      </c>
      <c r="E209" s="8" t="n">
        <f aca="false">IFERROR(__xludf.dummyfunction("""COMPUTED_VALUE"""),316.92)</f>
        <v>316.92</v>
      </c>
      <c r="F209" s="8" t="n">
        <f aca="false">IFERROR(__xludf.dummyfunction("""COMPUTED_VALUE"""),50806840)</f>
        <v>50806840</v>
      </c>
    </row>
    <row r="210" customFormat="false" ht="15.75" hidden="false" customHeight="false" outlineLevel="0" collapsed="false">
      <c r="A210" s="9" t="n">
        <f aca="false">IFERROR(__xludf.dummyfunction("""COMPUTED_VALUE"""),44498.6666666667)</f>
        <v>44498.6666666667</v>
      </c>
      <c r="B210" s="8" t="n">
        <f aca="false">IFERROR(__xludf.dummyfunction("""COMPUTED_VALUE"""),320.19)</f>
        <v>320.19</v>
      </c>
      <c r="C210" s="8" t="n">
        <f aca="false">IFERROR(__xludf.dummyfunction("""COMPUTED_VALUE"""),326)</f>
        <v>326</v>
      </c>
      <c r="D210" s="8" t="n">
        <f aca="false">IFERROR(__xludf.dummyfunction("""COMPUTED_VALUE"""),319.6)</f>
        <v>319.6</v>
      </c>
      <c r="E210" s="8" t="n">
        <f aca="false">IFERROR(__xludf.dummyfunction("""COMPUTED_VALUE"""),323.57)</f>
        <v>323.57</v>
      </c>
      <c r="F210" s="8" t="n">
        <f aca="false">IFERROR(__xludf.dummyfunction("""COMPUTED_VALUE"""),37059384)</f>
        <v>37059384</v>
      </c>
    </row>
    <row r="211" customFormat="false" ht="15.75" hidden="false" customHeight="false" outlineLevel="0" collapsed="false">
      <c r="A211" s="9" t="n">
        <f aca="false">IFERROR(__xludf.dummyfunction("""COMPUTED_VALUE"""),44501.6666666667)</f>
        <v>44501.6666666667</v>
      </c>
      <c r="B211" s="8" t="n">
        <f aca="false">IFERROR(__xludf.dummyfunction("""COMPUTED_VALUE"""),326.04)</f>
        <v>326.04</v>
      </c>
      <c r="C211" s="8" t="n">
        <f aca="false">IFERROR(__xludf.dummyfunction("""COMPUTED_VALUE"""),333.45)</f>
        <v>333.45</v>
      </c>
      <c r="D211" s="8" t="n">
        <f aca="false">IFERROR(__xludf.dummyfunction("""COMPUTED_VALUE"""),326)</f>
        <v>326</v>
      </c>
      <c r="E211" s="8" t="n">
        <f aca="false">IFERROR(__xludf.dummyfunction("""COMPUTED_VALUE"""),329.98)</f>
        <v>329.98</v>
      </c>
      <c r="F211" s="8" t="n">
        <f aca="false">IFERROR(__xludf.dummyfunction("""COMPUTED_VALUE"""),31518885)</f>
        <v>31518885</v>
      </c>
    </row>
    <row r="212" customFormat="false" ht="15.75" hidden="false" customHeight="false" outlineLevel="0" collapsed="false">
      <c r="A212" s="9" t="n">
        <f aca="false">IFERROR(__xludf.dummyfunction("""COMPUTED_VALUE"""),44502.6666666667)</f>
        <v>44502.6666666667</v>
      </c>
      <c r="B212" s="8" t="n">
        <f aca="false">IFERROR(__xludf.dummyfunction("""COMPUTED_VALUE"""),331.38)</f>
        <v>331.38</v>
      </c>
      <c r="C212" s="8" t="n">
        <f aca="false">IFERROR(__xludf.dummyfunction("""COMPUTED_VALUE"""),334.79)</f>
        <v>334.79</v>
      </c>
      <c r="D212" s="8" t="n">
        <f aca="false">IFERROR(__xludf.dummyfunction("""COMPUTED_VALUE"""),323.8)</f>
        <v>323.8</v>
      </c>
      <c r="E212" s="8" t="n">
        <f aca="false">IFERROR(__xludf.dummyfunction("""COMPUTED_VALUE"""),328.08)</f>
        <v>328.08</v>
      </c>
      <c r="F212" s="8" t="n">
        <f aca="false">IFERROR(__xludf.dummyfunction("""COMPUTED_VALUE"""),28352966)</f>
        <v>28352966</v>
      </c>
    </row>
    <row r="213" customFormat="false" ht="15.75" hidden="false" customHeight="false" outlineLevel="0" collapsed="false">
      <c r="A213" s="9" t="n">
        <f aca="false">IFERROR(__xludf.dummyfunction("""COMPUTED_VALUE"""),44503.6666666667)</f>
        <v>44503.6666666667</v>
      </c>
      <c r="B213" s="8" t="n">
        <f aca="false">IFERROR(__xludf.dummyfunction("""COMPUTED_VALUE"""),327.49)</f>
        <v>327.49</v>
      </c>
      <c r="C213" s="8" t="n">
        <f aca="false">IFERROR(__xludf.dummyfunction("""COMPUTED_VALUE"""),332.15)</f>
        <v>332.15</v>
      </c>
      <c r="D213" s="8" t="n">
        <f aca="false">IFERROR(__xludf.dummyfunction("""COMPUTED_VALUE"""),323.2)</f>
        <v>323.2</v>
      </c>
      <c r="E213" s="8" t="n">
        <f aca="false">IFERROR(__xludf.dummyfunction("""COMPUTED_VALUE"""),331.62)</f>
        <v>331.62</v>
      </c>
      <c r="F213" s="8" t="n">
        <f aca="false">IFERROR(__xludf.dummyfunction("""COMPUTED_VALUE"""),20786502)</f>
        <v>20786502</v>
      </c>
    </row>
    <row r="214" customFormat="false" ht="15.75" hidden="false" customHeight="false" outlineLevel="0" collapsed="false">
      <c r="A214" s="9" t="n">
        <f aca="false">IFERROR(__xludf.dummyfunction("""COMPUTED_VALUE"""),44504.6666666667)</f>
        <v>44504.6666666667</v>
      </c>
      <c r="B214" s="8" t="n">
        <f aca="false">IFERROR(__xludf.dummyfunction("""COMPUTED_VALUE"""),334.01)</f>
        <v>334.01</v>
      </c>
      <c r="C214" s="8" t="n">
        <f aca="false">IFERROR(__xludf.dummyfunction("""COMPUTED_VALUE"""),337.27)</f>
        <v>337.27</v>
      </c>
      <c r="D214" s="8" t="n">
        <f aca="false">IFERROR(__xludf.dummyfunction("""COMPUTED_VALUE"""),332.65)</f>
        <v>332.65</v>
      </c>
      <c r="E214" s="8" t="n">
        <f aca="false">IFERROR(__xludf.dummyfunction("""COMPUTED_VALUE"""),335.85)</f>
        <v>335.85</v>
      </c>
      <c r="F214" s="8" t="n">
        <f aca="false">IFERROR(__xludf.dummyfunction("""COMPUTED_VALUE"""),22495281)</f>
        <v>22495281</v>
      </c>
    </row>
    <row r="215" customFormat="false" ht="15.75" hidden="false" customHeight="false" outlineLevel="0" collapsed="false">
      <c r="A215" s="9" t="n">
        <f aca="false">IFERROR(__xludf.dummyfunction("""COMPUTED_VALUE"""),44505.6666666667)</f>
        <v>44505.6666666667</v>
      </c>
      <c r="B215" s="8" t="n">
        <f aca="false">IFERROR(__xludf.dummyfunction("""COMPUTED_VALUE"""),340.31)</f>
        <v>340.31</v>
      </c>
      <c r="C215" s="8" t="n">
        <f aca="false">IFERROR(__xludf.dummyfunction("""COMPUTED_VALUE"""),346.79)</f>
        <v>346.79</v>
      </c>
      <c r="D215" s="8" t="n">
        <f aca="false">IFERROR(__xludf.dummyfunction("""COMPUTED_VALUE"""),339.64)</f>
        <v>339.64</v>
      </c>
      <c r="E215" s="8" t="n">
        <f aca="false">IFERROR(__xludf.dummyfunction("""COMPUTED_VALUE"""),341.13)</f>
        <v>341.13</v>
      </c>
      <c r="F215" s="8" t="n">
        <f aca="false">IFERROR(__xludf.dummyfunction("""COMPUTED_VALUE"""),26872817)</f>
        <v>26872817</v>
      </c>
    </row>
    <row r="216" customFormat="false" ht="15.75" hidden="false" customHeight="false" outlineLevel="0" collapsed="false">
      <c r="A216" s="9" t="n">
        <f aca="false">IFERROR(__xludf.dummyfunction("""COMPUTED_VALUE"""),44508.6666666667)</f>
        <v>44508.6666666667</v>
      </c>
      <c r="B216" s="8" t="n">
        <f aca="false">IFERROR(__xludf.dummyfunction("""COMPUTED_VALUE"""),344.42)</f>
        <v>344.42</v>
      </c>
      <c r="C216" s="8" t="n">
        <f aca="false">IFERROR(__xludf.dummyfunction("""COMPUTED_VALUE"""),344.79)</f>
        <v>344.79</v>
      </c>
      <c r="D216" s="8" t="n">
        <f aca="false">IFERROR(__xludf.dummyfunction("""COMPUTED_VALUE"""),338.34)</f>
        <v>338.34</v>
      </c>
      <c r="E216" s="8" t="n">
        <f aca="false">IFERROR(__xludf.dummyfunction("""COMPUTED_VALUE"""),338.62)</f>
        <v>338.62</v>
      </c>
      <c r="F216" s="8" t="n">
        <f aca="false">IFERROR(__xludf.dummyfunction("""COMPUTED_VALUE"""),18342458)</f>
        <v>18342458</v>
      </c>
    </row>
    <row r="217" customFormat="false" ht="15.75" hidden="false" customHeight="false" outlineLevel="0" collapsed="false">
      <c r="A217" s="9" t="n">
        <f aca="false">IFERROR(__xludf.dummyfunction("""COMPUTED_VALUE"""),44509.6666666667)</f>
        <v>44509.6666666667</v>
      </c>
      <c r="B217" s="8" t="n">
        <f aca="false">IFERROR(__xludf.dummyfunction("""COMPUTED_VALUE"""),340)</f>
        <v>340</v>
      </c>
      <c r="C217" s="8" t="n">
        <f aca="false">IFERROR(__xludf.dummyfunction("""COMPUTED_VALUE"""),341.31)</f>
        <v>341.31</v>
      </c>
      <c r="D217" s="8" t="n">
        <f aca="false">IFERROR(__xludf.dummyfunction("""COMPUTED_VALUE"""),334.47)</f>
        <v>334.47</v>
      </c>
      <c r="E217" s="8" t="n">
        <f aca="false">IFERROR(__xludf.dummyfunction("""COMPUTED_VALUE"""),335.37)</f>
        <v>335.37</v>
      </c>
      <c r="F217" s="8" t="n">
        <f aca="false">IFERROR(__xludf.dummyfunction("""COMPUTED_VALUE"""),17556721)</f>
        <v>17556721</v>
      </c>
    </row>
    <row r="218" customFormat="false" ht="15.75" hidden="false" customHeight="false" outlineLevel="0" collapsed="false">
      <c r="A218" s="9" t="n">
        <f aca="false">IFERROR(__xludf.dummyfunction("""COMPUTED_VALUE"""),44510.6666666667)</f>
        <v>44510.6666666667</v>
      </c>
      <c r="B218" s="8" t="n">
        <f aca="false">IFERROR(__xludf.dummyfunction("""COMPUTED_VALUE"""),332.49)</f>
        <v>332.49</v>
      </c>
      <c r="C218" s="8" t="n">
        <f aca="false">IFERROR(__xludf.dummyfunction("""COMPUTED_VALUE"""),333.19)</f>
        <v>333.19</v>
      </c>
      <c r="D218" s="8" t="n">
        <f aca="false">IFERROR(__xludf.dummyfunction("""COMPUTED_VALUE"""),325.51)</f>
        <v>325.51</v>
      </c>
      <c r="E218" s="8" t="n">
        <f aca="false">IFERROR(__xludf.dummyfunction("""COMPUTED_VALUE"""),327.64)</f>
        <v>327.64</v>
      </c>
      <c r="F218" s="8" t="n">
        <f aca="false">IFERROR(__xludf.dummyfunction("""COMPUTED_VALUE"""),21872605)</f>
        <v>21872605</v>
      </c>
    </row>
    <row r="219" customFormat="false" ht="15.75" hidden="false" customHeight="false" outlineLevel="0" collapsed="false">
      <c r="A219" s="9" t="n">
        <f aca="false">IFERROR(__xludf.dummyfunction("""COMPUTED_VALUE"""),44511.6666666667)</f>
        <v>44511.6666666667</v>
      </c>
      <c r="B219" s="8" t="n">
        <f aca="false">IFERROR(__xludf.dummyfunction("""COMPUTED_VALUE"""),329.82)</f>
        <v>329.82</v>
      </c>
      <c r="C219" s="8" t="n">
        <f aca="false">IFERROR(__xludf.dummyfunction("""COMPUTED_VALUE"""),332.46)</f>
        <v>332.46</v>
      </c>
      <c r="D219" s="8" t="n">
        <f aca="false">IFERROR(__xludf.dummyfunction("""COMPUTED_VALUE"""),327)</f>
        <v>327</v>
      </c>
      <c r="E219" s="8" t="n">
        <f aca="false">IFERROR(__xludf.dummyfunction("""COMPUTED_VALUE"""),327.74)</f>
        <v>327.74</v>
      </c>
      <c r="F219" s="8" t="n">
        <f aca="false">IFERROR(__xludf.dummyfunction("""COMPUTED_VALUE"""),12376563)</f>
        <v>12376563</v>
      </c>
    </row>
    <row r="220" customFormat="false" ht="15.75" hidden="false" customHeight="false" outlineLevel="0" collapsed="false">
      <c r="A220" s="9" t="n">
        <f aca="false">IFERROR(__xludf.dummyfunction("""COMPUTED_VALUE"""),44512.6666666667)</f>
        <v>44512.6666666667</v>
      </c>
      <c r="B220" s="8" t="n">
        <f aca="false">IFERROR(__xludf.dummyfunction("""COMPUTED_VALUE"""),330.18)</f>
        <v>330.18</v>
      </c>
      <c r="C220" s="8" t="n">
        <f aca="false">IFERROR(__xludf.dummyfunction("""COMPUTED_VALUE"""),341.86)</f>
        <v>341.86</v>
      </c>
      <c r="D220" s="8" t="n">
        <f aca="false">IFERROR(__xludf.dummyfunction("""COMPUTED_VALUE"""),329.78)</f>
        <v>329.78</v>
      </c>
      <c r="E220" s="8" t="n">
        <f aca="false">IFERROR(__xludf.dummyfunction("""COMPUTED_VALUE"""),340.89)</f>
        <v>340.89</v>
      </c>
      <c r="F220" s="8" t="n">
        <f aca="false">IFERROR(__xludf.dummyfunction("""COMPUTED_VALUE"""),25414311)</f>
        <v>25414311</v>
      </c>
    </row>
    <row r="221" customFormat="false" ht="15.75" hidden="false" customHeight="false" outlineLevel="0" collapsed="false">
      <c r="A221" s="9" t="n">
        <f aca="false">IFERROR(__xludf.dummyfunction("""COMPUTED_VALUE"""),44515.6666666667)</f>
        <v>44515.6666666667</v>
      </c>
      <c r="B221" s="8" t="n">
        <f aca="false">IFERROR(__xludf.dummyfunction("""COMPUTED_VALUE"""),344.34)</f>
        <v>344.34</v>
      </c>
      <c r="C221" s="8" t="n">
        <f aca="false">IFERROR(__xludf.dummyfunction("""COMPUTED_VALUE"""),353.65)</f>
        <v>353.65</v>
      </c>
      <c r="D221" s="8" t="n">
        <f aca="false">IFERROR(__xludf.dummyfunction("""COMPUTED_VALUE"""),343.2)</f>
        <v>343.2</v>
      </c>
      <c r="E221" s="8" t="n">
        <f aca="false">IFERROR(__xludf.dummyfunction("""COMPUTED_VALUE"""),347.56)</f>
        <v>347.56</v>
      </c>
      <c r="F221" s="8" t="n">
        <f aca="false">IFERROR(__xludf.dummyfunction("""COMPUTED_VALUE"""),25076603)</f>
        <v>25076603</v>
      </c>
    </row>
    <row r="222" customFormat="false" ht="15.75" hidden="false" customHeight="false" outlineLevel="0" collapsed="false">
      <c r="A222" s="9" t="n">
        <f aca="false">IFERROR(__xludf.dummyfunction("""COMPUTED_VALUE"""),44516.6666666667)</f>
        <v>44516.6666666667</v>
      </c>
      <c r="B222" s="8" t="n">
        <f aca="false">IFERROR(__xludf.dummyfunction("""COMPUTED_VALUE"""),343.83)</f>
        <v>343.83</v>
      </c>
      <c r="C222" s="8" t="n">
        <f aca="false">IFERROR(__xludf.dummyfunction("""COMPUTED_VALUE"""),346.65)</f>
        <v>346.65</v>
      </c>
      <c r="D222" s="8" t="n">
        <f aca="false">IFERROR(__xludf.dummyfunction("""COMPUTED_VALUE"""),340.87)</f>
        <v>340.87</v>
      </c>
      <c r="E222" s="8" t="n">
        <f aca="false">IFERROR(__xludf.dummyfunction("""COMPUTED_VALUE"""),342.96)</f>
        <v>342.96</v>
      </c>
      <c r="F222" s="8" t="n">
        <f aca="false">IFERROR(__xludf.dummyfunction("""COMPUTED_VALUE"""),18181106)</f>
        <v>18181106</v>
      </c>
    </row>
    <row r="223" customFormat="false" ht="15.75" hidden="false" customHeight="false" outlineLevel="0" collapsed="false">
      <c r="A223" s="9" t="n">
        <f aca="false">IFERROR(__xludf.dummyfunction("""COMPUTED_VALUE"""),44517.6666666667)</f>
        <v>44517.6666666667</v>
      </c>
      <c r="B223" s="8" t="n">
        <f aca="false">IFERROR(__xludf.dummyfunction("""COMPUTED_VALUE"""),344.24)</f>
        <v>344.24</v>
      </c>
      <c r="C223" s="8" t="n">
        <f aca="false">IFERROR(__xludf.dummyfunction("""COMPUTED_VALUE"""),347.3)</f>
        <v>347.3</v>
      </c>
      <c r="D223" s="8" t="n">
        <f aca="false">IFERROR(__xludf.dummyfunction("""COMPUTED_VALUE"""),340.1)</f>
        <v>340.1</v>
      </c>
      <c r="E223" s="8" t="n">
        <f aca="false">IFERROR(__xludf.dummyfunction("""COMPUTED_VALUE"""),340.77)</f>
        <v>340.77</v>
      </c>
      <c r="F223" s="8" t="n">
        <f aca="false">IFERROR(__xludf.dummyfunction("""COMPUTED_VALUE"""),13602812)</f>
        <v>13602812</v>
      </c>
    </row>
    <row r="224" customFormat="false" ht="15.75" hidden="false" customHeight="false" outlineLevel="0" collapsed="false">
      <c r="A224" s="9" t="n">
        <f aca="false">IFERROR(__xludf.dummyfunction("""COMPUTED_VALUE"""),44518.6666666667)</f>
        <v>44518.6666666667</v>
      </c>
      <c r="B224" s="8" t="n">
        <f aca="false">IFERROR(__xludf.dummyfunction("""COMPUTED_VALUE"""),339.72)</f>
        <v>339.72</v>
      </c>
      <c r="C224" s="8" t="n">
        <f aca="false">IFERROR(__xludf.dummyfunction("""COMPUTED_VALUE"""),342.46)</f>
        <v>342.46</v>
      </c>
      <c r="D224" s="8" t="n">
        <f aca="false">IFERROR(__xludf.dummyfunction("""COMPUTED_VALUE"""),335.3)</f>
        <v>335.3</v>
      </c>
      <c r="E224" s="8" t="n">
        <f aca="false">IFERROR(__xludf.dummyfunction("""COMPUTED_VALUE"""),338.69)</f>
        <v>338.69</v>
      </c>
      <c r="F224" s="8" t="n">
        <f aca="false">IFERROR(__xludf.dummyfunction("""COMPUTED_VALUE"""),17487235)</f>
        <v>17487235</v>
      </c>
    </row>
    <row r="225" customFormat="false" ht="15.75" hidden="false" customHeight="false" outlineLevel="0" collapsed="false">
      <c r="A225" s="9" t="n">
        <f aca="false">IFERROR(__xludf.dummyfunction("""COMPUTED_VALUE"""),44519.6666666667)</f>
        <v>44519.6666666667</v>
      </c>
      <c r="B225" s="8" t="n">
        <f aca="false">IFERROR(__xludf.dummyfunction("""COMPUTED_VALUE"""),342.2)</f>
        <v>342.2</v>
      </c>
      <c r="C225" s="8" t="n">
        <f aca="false">IFERROR(__xludf.dummyfunction("""COMPUTED_VALUE"""),352.1)</f>
        <v>352.1</v>
      </c>
      <c r="D225" s="8" t="n">
        <f aca="false">IFERROR(__xludf.dummyfunction("""COMPUTED_VALUE"""),339.9)</f>
        <v>339.9</v>
      </c>
      <c r="E225" s="8" t="n">
        <f aca="false">IFERROR(__xludf.dummyfunction("""COMPUTED_VALUE"""),345.3)</f>
        <v>345.3</v>
      </c>
      <c r="F225" s="8" t="n">
        <f aca="false">IFERROR(__xludf.dummyfunction("""COMPUTED_VALUE"""),26488541)</f>
        <v>26488541</v>
      </c>
    </row>
    <row r="226" customFormat="false" ht="15.75" hidden="false" customHeight="false" outlineLevel="0" collapsed="false">
      <c r="A226" s="9" t="n">
        <f aca="false">IFERROR(__xludf.dummyfunction("""COMPUTED_VALUE"""),44522.6666666667)</f>
        <v>44522.6666666667</v>
      </c>
      <c r="B226" s="8" t="n">
        <f aca="false">IFERROR(__xludf.dummyfunction("""COMPUTED_VALUE"""),349.05)</f>
        <v>349.05</v>
      </c>
      <c r="C226" s="8" t="n">
        <f aca="false">IFERROR(__xludf.dummyfunction("""COMPUTED_VALUE"""),353.83)</f>
        <v>353.83</v>
      </c>
      <c r="D226" s="8" t="n">
        <f aca="false">IFERROR(__xludf.dummyfunction("""COMPUTED_VALUE"""),340.51)</f>
        <v>340.51</v>
      </c>
      <c r="E226" s="8" t="n">
        <f aca="false">IFERROR(__xludf.dummyfunction("""COMPUTED_VALUE"""),341.01)</f>
        <v>341.01</v>
      </c>
      <c r="F226" s="8" t="n">
        <f aca="false">IFERROR(__xludf.dummyfunction("""COMPUTED_VALUE"""),27116811)</f>
        <v>27116811</v>
      </c>
    </row>
    <row r="227" customFormat="false" ht="15.75" hidden="false" customHeight="false" outlineLevel="0" collapsed="false">
      <c r="A227" s="9" t="n">
        <f aca="false">IFERROR(__xludf.dummyfunction("""COMPUTED_VALUE"""),44523.6666666667)</f>
        <v>44523.6666666667</v>
      </c>
      <c r="B227" s="8" t="n">
        <f aca="false">IFERROR(__xludf.dummyfunction("""COMPUTED_VALUE"""),338.93)</f>
        <v>338.93</v>
      </c>
      <c r="C227" s="8" t="n">
        <f aca="false">IFERROR(__xludf.dummyfunction("""COMPUTED_VALUE"""),341.4)</f>
        <v>341.4</v>
      </c>
      <c r="D227" s="8" t="n">
        <f aca="false">IFERROR(__xludf.dummyfunction("""COMPUTED_VALUE"""),333.5)</f>
        <v>333.5</v>
      </c>
      <c r="E227" s="8" t="n">
        <f aca="false">IFERROR(__xludf.dummyfunction("""COMPUTED_VALUE"""),337.25)</f>
        <v>337.25</v>
      </c>
      <c r="F227" s="8" t="n">
        <f aca="false">IFERROR(__xludf.dummyfunction("""COMPUTED_VALUE"""),17224986)</f>
        <v>17224986</v>
      </c>
    </row>
    <row r="228" customFormat="false" ht="15.75" hidden="false" customHeight="false" outlineLevel="0" collapsed="false">
      <c r="A228" s="9" t="n">
        <f aca="false">IFERROR(__xludf.dummyfunction("""COMPUTED_VALUE"""),44524.6666666667)</f>
        <v>44524.6666666667</v>
      </c>
      <c r="B228" s="8" t="n">
        <f aca="false">IFERROR(__xludf.dummyfunction("""COMPUTED_VALUE"""),336)</f>
        <v>336</v>
      </c>
      <c r="C228" s="8" t="n">
        <f aca="false">IFERROR(__xludf.dummyfunction("""COMPUTED_VALUE"""),341.78)</f>
        <v>341.78</v>
      </c>
      <c r="D228" s="8" t="n">
        <f aca="false">IFERROR(__xludf.dummyfunction("""COMPUTED_VALUE"""),332.81)</f>
        <v>332.81</v>
      </c>
      <c r="E228" s="8" t="n">
        <f aca="false">IFERROR(__xludf.dummyfunction("""COMPUTED_VALUE"""),341.06)</f>
        <v>341.06</v>
      </c>
      <c r="F228" s="8" t="n">
        <f aca="false">IFERROR(__xludf.dummyfunction("""COMPUTED_VALUE"""),13566181)</f>
        <v>13566181</v>
      </c>
    </row>
    <row r="229" customFormat="false" ht="15.75" hidden="false" customHeight="false" outlineLevel="0" collapsed="false">
      <c r="A229" s="9" t="n">
        <f aca="false">IFERROR(__xludf.dummyfunction("""COMPUTED_VALUE"""),44526.5416666667)</f>
        <v>44526.5416666667</v>
      </c>
      <c r="B229" s="8" t="n">
        <f aca="false">IFERROR(__xludf.dummyfunction("""COMPUTED_VALUE"""),335.8)</f>
        <v>335.8</v>
      </c>
      <c r="C229" s="8" t="n">
        <f aca="false">IFERROR(__xludf.dummyfunction("""COMPUTED_VALUE"""),337.75)</f>
        <v>337.75</v>
      </c>
      <c r="D229" s="8" t="n">
        <f aca="false">IFERROR(__xludf.dummyfunction("""COMPUTED_VALUE"""),331.9)</f>
        <v>331.9</v>
      </c>
      <c r="E229" s="8" t="n">
        <f aca="false">IFERROR(__xludf.dummyfunction("""COMPUTED_VALUE"""),333.12)</f>
        <v>333.12</v>
      </c>
      <c r="F229" s="8" t="n">
        <f aca="false">IFERROR(__xludf.dummyfunction("""COMPUTED_VALUE"""),14750737)</f>
        <v>14750737</v>
      </c>
    </row>
    <row r="230" customFormat="false" ht="15.75" hidden="false" customHeight="false" outlineLevel="0" collapsed="false">
      <c r="A230" s="9" t="n">
        <f aca="false">IFERROR(__xludf.dummyfunction("""COMPUTED_VALUE"""),44529.6666666667)</f>
        <v>44529.6666666667</v>
      </c>
      <c r="B230" s="8" t="n">
        <f aca="false">IFERROR(__xludf.dummyfunction("""COMPUTED_VALUE"""),336.89)</f>
        <v>336.89</v>
      </c>
      <c r="C230" s="8" t="n">
        <f aca="false">IFERROR(__xludf.dummyfunction("""COMPUTED_VALUE"""),340.67)</f>
        <v>340.67</v>
      </c>
      <c r="D230" s="8" t="n">
        <f aca="false">IFERROR(__xludf.dummyfunction("""COMPUTED_VALUE"""),335.31)</f>
        <v>335.31</v>
      </c>
      <c r="E230" s="8" t="n">
        <f aca="false">IFERROR(__xludf.dummyfunction("""COMPUTED_VALUE"""),338.03)</f>
        <v>338.03</v>
      </c>
      <c r="F230" s="8" t="n">
        <f aca="false">IFERROR(__xludf.dummyfunction("""COMPUTED_VALUE"""),16650949)</f>
        <v>16650949</v>
      </c>
    </row>
    <row r="231" customFormat="false" ht="15.75" hidden="false" customHeight="false" outlineLevel="0" collapsed="false">
      <c r="A231" s="9" t="n">
        <f aca="false">IFERROR(__xludf.dummyfunction("""COMPUTED_VALUE"""),44530.6666666667)</f>
        <v>44530.6666666667</v>
      </c>
      <c r="B231" s="8" t="n">
        <f aca="false">IFERROR(__xludf.dummyfunction("""COMPUTED_VALUE"""),335)</f>
        <v>335</v>
      </c>
      <c r="C231" s="8" t="n">
        <f aca="false">IFERROR(__xludf.dummyfunction("""COMPUTED_VALUE"""),335.81)</f>
        <v>335.81</v>
      </c>
      <c r="D231" s="8" t="n">
        <f aca="false">IFERROR(__xludf.dummyfunction("""COMPUTED_VALUE"""),323.43)</f>
        <v>323.43</v>
      </c>
      <c r="E231" s="8" t="n">
        <f aca="false">IFERROR(__xludf.dummyfunction("""COMPUTED_VALUE"""),324.46)</f>
        <v>324.46</v>
      </c>
      <c r="F231" s="8" t="n">
        <f aca="false">IFERROR(__xludf.dummyfunction("""COMPUTED_VALUE"""),25390008)</f>
        <v>25390008</v>
      </c>
    </row>
    <row r="232" customFormat="false" ht="15.75" hidden="false" customHeight="false" outlineLevel="0" collapsed="false">
      <c r="A232" s="9" t="n">
        <f aca="false">IFERROR(__xludf.dummyfunction("""COMPUTED_VALUE"""),44531.6666666667)</f>
        <v>44531.6666666667</v>
      </c>
      <c r="B232" s="8" t="n">
        <f aca="false">IFERROR(__xludf.dummyfunction("""COMPUTED_VALUE"""),330.29)</f>
        <v>330.29</v>
      </c>
      <c r="C232" s="8" t="n">
        <f aca="false">IFERROR(__xludf.dummyfunction("""COMPUTED_VALUE"""),330.5)</f>
        <v>330.5</v>
      </c>
      <c r="D232" s="8" t="n">
        <f aca="false">IFERROR(__xludf.dummyfunction("""COMPUTED_VALUE"""),310.29)</f>
        <v>310.29</v>
      </c>
      <c r="E232" s="8" t="n">
        <f aca="false">IFERROR(__xludf.dummyfunction("""COMPUTED_VALUE"""),310.6)</f>
        <v>310.6</v>
      </c>
      <c r="F232" s="8" t="n">
        <f aca="false">IFERROR(__xludf.dummyfunction("""COMPUTED_VALUE"""),30384083)</f>
        <v>30384083</v>
      </c>
    </row>
    <row r="233" customFormat="false" ht="15.75" hidden="false" customHeight="false" outlineLevel="0" collapsed="false">
      <c r="A233" s="9" t="n">
        <f aca="false">IFERROR(__xludf.dummyfunction("""COMPUTED_VALUE"""),44532.6666666667)</f>
        <v>44532.6666666667</v>
      </c>
      <c r="B233" s="8" t="n">
        <f aca="false">IFERROR(__xludf.dummyfunction("""COMPUTED_VALUE"""),311.4)</f>
        <v>311.4</v>
      </c>
      <c r="C233" s="8" t="n">
        <f aca="false">IFERROR(__xludf.dummyfunction("""COMPUTED_VALUE"""),314.6)</f>
        <v>314.6</v>
      </c>
      <c r="D233" s="8" t="n">
        <f aca="false">IFERROR(__xludf.dummyfunction("""COMPUTED_VALUE"""),307.2)</f>
        <v>307.2</v>
      </c>
      <c r="E233" s="8" t="n">
        <f aca="false">IFERROR(__xludf.dummyfunction("""COMPUTED_VALUE"""),310.39)</f>
        <v>310.39</v>
      </c>
      <c r="F233" s="8" t="n">
        <f aca="false">IFERROR(__xludf.dummyfunction("""COMPUTED_VALUE"""),24396169)</f>
        <v>24396169</v>
      </c>
    </row>
    <row r="234" customFormat="false" ht="15.75" hidden="false" customHeight="false" outlineLevel="0" collapsed="false">
      <c r="A234" s="9" t="n">
        <f aca="false">IFERROR(__xludf.dummyfunction("""COMPUTED_VALUE"""),44533.6666666667)</f>
        <v>44533.6666666667</v>
      </c>
      <c r="B234" s="8" t="n">
        <f aca="false">IFERROR(__xludf.dummyfunction("""COMPUTED_VALUE"""),313.73)</f>
        <v>313.73</v>
      </c>
      <c r="C234" s="8" t="n">
        <f aca="false">IFERROR(__xludf.dummyfunction("""COMPUTED_VALUE"""),313.75)</f>
        <v>313.75</v>
      </c>
      <c r="D234" s="8" t="n">
        <f aca="false">IFERROR(__xludf.dummyfunction("""COMPUTED_VALUE"""),299.5)</f>
        <v>299.5</v>
      </c>
      <c r="E234" s="8" t="n">
        <f aca="false">IFERROR(__xludf.dummyfunction("""COMPUTED_VALUE"""),306.84)</f>
        <v>306.84</v>
      </c>
      <c r="F234" s="8" t="n">
        <f aca="false">IFERROR(__xludf.dummyfunction("""COMPUTED_VALUE"""),27471010)</f>
        <v>27471010</v>
      </c>
    </row>
    <row r="235" customFormat="false" ht="15.75" hidden="false" customHeight="false" outlineLevel="0" collapsed="false">
      <c r="A235" s="9" t="n">
        <f aca="false">IFERROR(__xludf.dummyfunction("""COMPUTED_VALUE"""),44536.6666666667)</f>
        <v>44536.6666666667</v>
      </c>
      <c r="B235" s="8" t="n">
        <f aca="false">IFERROR(__xludf.dummyfunction("""COMPUTED_VALUE"""),308.13)</f>
        <v>308.13</v>
      </c>
      <c r="C235" s="8" t="n">
        <f aca="false">IFERROR(__xludf.dummyfunction("""COMPUTED_VALUE"""),320.1)</f>
        <v>320.1</v>
      </c>
      <c r="D235" s="8" t="n">
        <f aca="false">IFERROR(__xludf.dummyfunction("""COMPUTED_VALUE"""),306.34)</f>
        <v>306.34</v>
      </c>
      <c r="E235" s="8" t="n">
        <f aca="false">IFERROR(__xludf.dummyfunction("""COMPUTED_VALUE"""),317.87)</f>
        <v>317.87</v>
      </c>
      <c r="F235" s="8" t="n">
        <f aca="false">IFERROR(__xludf.dummyfunction("""COMPUTED_VALUE"""),21758340)</f>
        <v>21758340</v>
      </c>
    </row>
    <row r="236" customFormat="false" ht="15.75" hidden="false" customHeight="false" outlineLevel="0" collapsed="false">
      <c r="A236" s="9" t="n">
        <f aca="false">IFERROR(__xludf.dummyfunction("""COMPUTED_VALUE"""),44537.6666666667)</f>
        <v>44537.6666666667</v>
      </c>
      <c r="B236" s="8" t="n">
        <f aca="false">IFERROR(__xludf.dummyfunction("""COMPUTED_VALUE"""),321.57)</f>
        <v>321.57</v>
      </c>
      <c r="C236" s="8" t="n">
        <f aca="false">IFERROR(__xludf.dummyfunction("""COMPUTED_VALUE"""),326.54)</f>
        <v>326.54</v>
      </c>
      <c r="D236" s="8" t="n">
        <f aca="false">IFERROR(__xludf.dummyfunction("""COMPUTED_VALUE"""),321)</f>
        <v>321</v>
      </c>
      <c r="E236" s="8" t="n">
        <f aca="false">IFERROR(__xludf.dummyfunction("""COMPUTED_VALUE"""),322.81)</f>
        <v>322.81</v>
      </c>
      <c r="F236" s="8" t="n">
        <f aca="false">IFERROR(__xludf.dummyfunction("""COMPUTED_VALUE"""),18794047)</f>
        <v>18794047</v>
      </c>
    </row>
    <row r="237" customFormat="false" ht="15.75" hidden="false" customHeight="false" outlineLevel="0" collapsed="false">
      <c r="A237" s="9" t="n">
        <f aca="false">IFERROR(__xludf.dummyfunction("""COMPUTED_VALUE"""),44538.6666666667)</f>
        <v>44538.6666666667</v>
      </c>
      <c r="B237" s="8" t="n">
        <f aca="false">IFERROR(__xludf.dummyfunction("""COMPUTED_VALUE"""),325)</f>
        <v>325</v>
      </c>
      <c r="C237" s="8" t="n">
        <f aca="false">IFERROR(__xludf.dummyfunction("""COMPUTED_VALUE"""),332.75)</f>
        <v>332.75</v>
      </c>
      <c r="D237" s="8" t="n">
        <f aca="false">IFERROR(__xludf.dummyfunction("""COMPUTED_VALUE"""),323.07)</f>
        <v>323.07</v>
      </c>
      <c r="E237" s="8" t="n">
        <f aca="false">IFERROR(__xludf.dummyfunction("""COMPUTED_VALUE"""),330.56)</f>
        <v>330.56</v>
      </c>
      <c r="F237" s="8" t="n">
        <f aca="false">IFERROR(__xludf.dummyfunction("""COMPUTED_VALUE"""),19937722)</f>
        <v>19937722</v>
      </c>
    </row>
    <row r="238" customFormat="false" ht="15.75" hidden="false" customHeight="false" outlineLevel="0" collapsed="false">
      <c r="A238" s="9" t="n">
        <f aca="false">IFERROR(__xludf.dummyfunction("""COMPUTED_VALUE"""),44539.6666666667)</f>
        <v>44539.6666666667</v>
      </c>
      <c r="B238" s="8" t="n">
        <f aca="false">IFERROR(__xludf.dummyfunction("""COMPUTED_VALUE"""),329.54)</f>
        <v>329.54</v>
      </c>
      <c r="C238" s="8" t="n">
        <f aca="false">IFERROR(__xludf.dummyfunction("""COMPUTED_VALUE"""),336.13)</f>
        <v>336.13</v>
      </c>
      <c r="D238" s="8" t="n">
        <f aca="false">IFERROR(__xludf.dummyfunction("""COMPUTED_VALUE"""),328)</f>
        <v>328</v>
      </c>
      <c r="E238" s="8" t="n">
        <f aca="false">IFERROR(__xludf.dummyfunction("""COMPUTED_VALUE"""),329.82)</f>
        <v>329.82</v>
      </c>
      <c r="F238" s="8" t="n">
        <f aca="false">IFERROR(__xludf.dummyfunction("""COMPUTED_VALUE"""),16879168)</f>
        <v>16879168</v>
      </c>
    </row>
    <row r="239" customFormat="false" ht="15.75" hidden="false" customHeight="false" outlineLevel="0" collapsed="false">
      <c r="A239" s="9" t="n">
        <f aca="false">IFERROR(__xludf.dummyfunction("""COMPUTED_VALUE"""),44540.6666666667)</f>
        <v>44540.6666666667</v>
      </c>
      <c r="B239" s="8" t="n">
        <f aca="false">IFERROR(__xludf.dummyfunction("""COMPUTED_VALUE"""),332.56)</f>
        <v>332.56</v>
      </c>
      <c r="C239" s="8" t="n">
        <f aca="false">IFERROR(__xludf.dummyfunction("""COMPUTED_VALUE"""),335.03)</f>
        <v>335.03</v>
      </c>
      <c r="D239" s="8" t="n">
        <f aca="false">IFERROR(__xludf.dummyfunction("""COMPUTED_VALUE"""),326.37)</f>
        <v>326.37</v>
      </c>
      <c r="E239" s="8" t="n">
        <f aca="false">IFERROR(__xludf.dummyfunction("""COMPUTED_VALUE"""),329.75)</f>
        <v>329.75</v>
      </c>
      <c r="F239" s="8" t="n">
        <f aca="false">IFERROR(__xludf.dummyfunction("""COMPUTED_VALUE"""),14527969)</f>
        <v>14527969</v>
      </c>
    </row>
    <row r="240" customFormat="false" ht="15.75" hidden="false" customHeight="false" outlineLevel="0" collapsed="false">
      <c r="A240" s="9" t="n">
        <f aca="false">IFERROR(__xludf.dummyfunction("""COMPUTED_VALUE"""),44543.6666666667)</f>
        <v>44543.6666666667</v>
      </c>
      <c r="B240" s="8" t="n">
        <f aca="false">IFERROR(__xludf.dummyfunction("""COMPUTED_VALUE"""),330.95)</f>
        <v>330.95</v>
      </c>
      <c r="C240" s="8" t="n">
        <f aca="false">IFERROR(__xludf.dummyfunction("""COMPUTED_VALUE"""),341.09)</f>
        <v>341.09</v>
      </c>
      <c r="D240" s="8" t="n">
        <f aca="false">IFERROR(__xludf.dummyfunction("""COMPUTED_VALUE"""),329.59)</f>
        <v>329.59</v>
      </c>
      <c r="E240" s="8" t="n">
        <f aca="false">IFERROR(__xludf.dummyfunction("""COMPUTED_VALUE"""),334.49)</f>
        <v>334.49</v>
      </c>
      <c r="F240" s="8" t="n">
        <f aca="false">IFERROR(__xludf.dummyfunction("""COMPUTED_VALUE"""),22948655)</f>
        <v>22948655</v>
      </c>
    </row>
    <row r="241" customFormat="false" ht="15.75" hidden="false" customHeight="false" outlineLevel="0" collapsed="false">
      <c r="A241" s="9" t="n">
        <f aca="false">IFERROR(__xludf.dummyfunction("""COMPUTED_VALUE"""),44544.6666666667)</f>
        <v>44544.6666666667</v>
      </c>
      <c r="B241" s="8" t="n">
        <f aca="false">IFERROR(__xludf.dummyfunction("""COMPUTED_VALUE"""),328.05)</f>
        <v>328.05</v>
      </c>
      <c r="C241" s="8" t="n">
        <f aca="false">IFERROR(__xludf.dummyfunction("""COMPUTED_VALUE"""),335.7)</f>
        <v>335.7</v>
      </c>
      <c r="D241" s="8" t="n">
        <f aca="false">IFERROR(__xludf.dummyfunction("""COMPUTED_VALUE"""),327.65)</f>
        <v>327.65</v>
      </c>
      <c r="E241" s="8" t="n">
        <f aca="false">IFERROR(__xludf.dummyfunction("""COMPUTED_VALUE"""),333.74)</f>
        <v>333.74</v>
      </c>
      <c r="F241" s="8" t="n">
        <f aca="false">IFERROR(__xludf.dummyfunction("""COMPUTED_VALUE"""),20461024)</f>
        <v>20461024</v>
      </c>
    </row>
    <row r="242" customFormat="false" ht="15.75" hidden="false" customHeight="false" outlineLevel="0" collapsed="false">
      <c r="A242" s="9" t="n">
        <f aca="false">IFERROR(__xludf.dummyfunction("""COMPUTED_VALUE"""),44545.6666666667)</f>
        <v>44545.6666666667</v>
      </c>
      <c r="B242" s="8" t="n">
        <f aca="false">IFERROR(__xludf.dummyfunction("""COMPUTED_VALUE"""),332.49)</f>
        <v>332.49</v>
      </c>
      <c r="C242" s="8" t="n">
        <f aca="false">IFERROR(__xludf.dummyfunction("""COMPUTED_VALUE"""),342.11)</f>
        <v>342.11</v>
      </c>
      <c r="D242" s="8" t="n">
        <f aca="false">IFERROR(__xludf.dummyfunction("""COMPUTED_VALUE"""),323.98)</f>
        <v>323.98</v>
      </c>
      <c r="E242" s="8" t="n">
        <f aca="false">IFERROR(__xludf.dummyfunction("""COMPUTED_VALUE"""),341.66)</f>
        <v>341.66</v>
      </c>
      <c r="F242" s="8" t="n">
        <f aca="false">IFERROR(__xludf.dummyfunction("""COMPUTED_VALUE"""),24681326)</f>
        <v>24681326</v>
      </c>
    </row>
    <row r="243" customFormat="false" ht="15.75" hidden="false" customHeight="false" outlineLevel="0" collapsed="false">
      <c r="A243" s="9" t="n">
        <f aca="false">IFERROR(__xludf.dummyfunction("""COMPUTED_VALUE"""),44546.6666666667)</f>
        <v>44546.6666666667</v>
      </c>
      <c r="B243" s="8" t="n">
        <f aca="false">IFERROR(__xludf.dummyfunction("""COMPUTED_VALUE"""),338.98)</f>
        <v>338.98</v>
      </c>
      <c r="C243" s="8" t="n">
        <f aca="false">IFERROR(__xludf.dummyfunction("""COMPUTED_VALUE"""),344.46)</f>
        <v>344.46</v>
      </c>
      <c r="D243" s="8" t="n">
        <f aca="false">IFERROR(__xludf.dummyfunction("""COMPUTED_VALUE"""),333.74)</f>
        <v>333.74</v>
      </c>
      <c r="E243" s="8" t="n">
        <f aca="false">IFERROR(__xludf.dummyfunction("""COMPUTED_VALUE"""),334.9)</f>
        <v>334.9</v>
      </c>
      <c r="F243" s="8" t="n">
        <f aca="false">IFERROR(__xludf.dummyfunction("""COMPUTED_VALUE"""),22635025)</f>
        <v>22635025</v>
      </c>
    </row>
    <row r="244" customFormat="false" ht="15.75" hidden="false" customHeight="false" outlineLevel="0" collapsed="false">
      <c r="A244" s="9" t="n">
        <f aca="false">IFERROR(__xludf.dummyfunction("""COMPUTED_VALUE"""),44547.6666666667)</f>
        <v>44547.6666666667</v>
      </c>
      <c r="B244" s="8" t="n">
        <f aca="false">IFERROR(__xludf.dummyfunction("""COMPUTED_VALUE"""),332.8)</f>
        <v>332.8</v>
      </c>
      <c r="C244" s="8" t="n">
        <f aca="false">IFERROR(__xludf.dummyfunction("""COMPUTED_VALUE"""),337.11)</f>
        <v>337.11</v>
      </c>
      <c r="D244" s="8" t="n">
        <f aca="false">IFERROR(__xludf.dummyfunction("""COMPUTED_VALUE"""),330.75)</f>
        <v>330.75</v>
      </c>
      <c r="E244" s="8" t="n">
        <f aca="false">IFERROR(__xludf.dummyfunction("""COMPUTED_VALUE"""),333.79)</f>
        <v>333.79</v>
      </c>
      <c r="F244" s="8" t="n">
        <f aca="false">IFERROR(__xludf.dummyfunction("""COMPUTED_VALUE"""),40012637)</f>
        <v>40012637</v>
      </c>
    </row>
    <row r="245" customFormat="false" ht="15.75" hidden="false" customHeight="false" outlineLevel="0" collapsed="false">
      <c r="A245" s="9" t="n">
        <f aca="false">IFERROR(__xludf.dummyfunction("""COMPUTED_VALUE"""),44550.6666666667)</f>
        <v>44550.6666666667</v>
      </c>
      <c r="B245" s="8" t="n">
        <f aca="false">IFERROR(__xludf.dummyfunction("""COMPUTED_VALUE"""),329.78)</f>
        <v>329.78</v>
      </c>
      <c r="C245" s="8" t="n">
        <f aca="false">IFERROR(__xludf.dummyfunction("""COMPUTED_VALUE"""),329.9)</f>
        <v>329.9</v>
      </c>
      <c r="D245" s="8" t="n">
        <f aca="false">IFERROR(__xludf.dummyfunction("""COMPUTED_VALUE"""),322.53)</f>
        <v>322.53</v>
      </c>
      <c r="E245" s="8" t="n">
        <f aca="false">IFERROR(__xludf.dummyfunction("""COMPUTED_VALUE"""),325.45)</f>
        <v>325.45</v>
      </c>
      <c r="F245" s="8" t="n">
        <f aca="false">IFERROR(__xludf.dummyfunction("""COMPUTED_VALUE"""),17901783)</f>
        <v>17901783</v>
      </c>
    </row>
    <row r="246" customFormat="false" ht="15.75" hidden="false" customHeight="false" outlineLevel="0" collapsed="false">
      <c r="A246" s="9" t="n">
        <f aca="false">IFERROR(__xludf.dummyfunction("""COMPUTED_VALUE"""),44551.6666666667)</f>
        <v>44551.6666666667</v>
      </c>
      <c r="B246" s="8" t="n">
        <f aca="false">IFERROR(__xludf.dummyfunction("""COMPUTED_VALUE"""),326.41)</f>
        <v>326.41</v>
      </c>
      <c r="C246" s="8" t="n">
        <f aca="false">IFERROR(__xludf.dummyfunction("""COMPUTED_VALUE"""),336)</f>
        <v>336</v>
      </c>
      <c r="D246" s="8" t="n">
        <f aca="false">IFERROR(__xludf.dummyfunction("""COMPUTED_VALUE"""),323.75)</f>
        <v>323.75</v>
      </c>
      <c r="E246" s="8" t="n">
        <f aca="false">IFERROR(__xludf.dummyfunction("""COMPUTED_VALUE"""),334.2)</f>
        <v>334.2</v>
      </c>
      <c r="F246" s="8" t="n">
        <f aca="false">IFERROR(__xludf.dummyfunction("""COMPUTED_VALUE"""),16116784)</f>
        <v>16116784</v>
      </c>
    </row>
    <row r="247" customFormat="false" ht="15.75" hidden="false" customHeight="false" outlineLevel="0" collapsed="false">
      <c r="A247" s="9" t="n">
        <f aca="false">IFERROR(__xludf.dummyfunction("""COMPUTED_VALUE"""),44552.6666666667)</f>
        <v>44552.6666666667</v>
      </c>
      <c r="B247" s="8" t="n">
        <f aca="false">IFERROR(__xludf.dummyfunction("""COMPUTED_VALUE"""),333.8)</f>
        <v>333.8</v>
      </c>
      <c r="C247" s="8" t="n">
        <f aca="false">IFERROR(__xludf.dummyfunction("""COMPUTED_VALUE"""),334.51)</f>
        <v>334.51</v>
      </c>
      <c r="D247" s="8" t="n">
        <f aca="false">IFERROR(__xludf.dummyfunction("""COMPUTED_VALUE"""),328.26)</f>
        <v>328.26</v>
      </c>
      <c r="E247" s="8" t="n">
        <f aca="false">IFERROR(__xludf.dummyfunction("""COMPUTED_VALUE"""),330.45)</f>
        <v>330.45</v>
      </c>
      <c r="F247" s="8" t="n">
        <f aca="false">IFERROR(__xludf.dummyfunction("""COMPUTED_VALUE"""),16764566)</f>
        <v>16764566</v>
      </c>
    </row>
    <row r="248" customFormat="false" ht="15.75" hidden="false" customHeight="false" outlineLevel="0" collapsed="false">
      <c r="A248" s="9" t="n">
        <f aca="false">IFERROR(__xludf.dummyfunction("""COMPUTED_VALUE"""),44553.6666666667)</f>
        <v>44553.6666666667</v>
      </c>
      <c r="B248" s="8" t="n">
        <f aca="false">IFERROR(__xludf.dummyfunction("""COMPUTED_VALUE"""),330.1)</f>
        <v>330.1</v>
      </c>
      <c r="C248" s="8" t="n">
        <f aca="false">IFERROR(__xludf.dummyfunction("""COMPUTED_VALUE"""),336.67)</f>
        <v>336.67</v>
      </c>
      <c r="D248" s="8" t="n">
        <f aca="false">IFERROR(__xludf.dummyfunction("""COMPUTED_VALUE"""),328.36)</f>
        <v>328.36</v>
      </c>
      <c r="E248" s="8" t="n">
        <f aca="false">IFERROR(__xludf.dummyfunction("""COMPUTED_VALUE"""),335.24)</f>
        <v>335.24</v>
      </c>
      <c r="F248" s="8" t="n">
        <f aca="false">IFERROR(__xludf.dummyfunction("""COMPUTED_VALUE"""),13987698)</f>
        <v>13987698</v>
      </c>
    </row>
    <row r="249" customFormat="false" ht="15.75" hidden="false" customHeight="false" outlineLevel="0" collapsed="false">
      <c r="A249" s="9" t="n">
        <f aca="false">IFERROR(__xludf.dummyfunction("""COMPUTED_VALUE"""),44557.6666666667)</f>
        <v>44557.6666666667</v>
      </c>
      <c r="B249" s="8" t="n">
        <f aca="false">IFERROR(__xludf.dummyfunction("""COMPUTED_VALUE"""),338.85)</f>
        <v>338.85</v>
      </c>
      <c r="C249" s="8" t="n">
        <f aca="false">IFERROR(__xludf.dummyfunction("""COMPUTED_VALUE"""),347.87)</f>
        <v>347.87</v>
      </c>
      <c r="D249" s="8" t="n">
        <f aca="false">IFERROR(__xludf.dummyfunction("""COMPUTED_VALUE"""),338.01)</f>
        <v>338.01</v>
      </c>
      <c r="E249" s="8" t="n">
        <f aca="false">IFERROR(__xludf.dummyfunction("""COMPUTED_VALUE"""),346.18)</f>
        <v>346.18</v>
      </c>
      <c r="F249" s="8" t="n">
        <f aca="false">IFERROR(__xludf.dummyfunction("""COMPUTED_VALUE"""),17795026)</f>
        <v>17795026</v>
      </c>
    </row>
    <row r="250" customFormat="false" ht="15.75" hidden="false" customHeight="false" outlineLevel="0" collapsed="false">
      <c r="A250" s="9" t="n">
        <f aca="false">IFERROR(__xludf.dummyfunction("""COMPUTED_VALUE"""),44558.6666666667)</f>
        <v>44558.6666666667</v>
      </c>
      <c r="B250" s="8" t="n">
        <f aca="false">IFERROR(__xludf.dummyfunction("""COMPUTED_VALUE"""),346.63)</f>
        <v>346.63</v>
      </c>
      <c r="C250" s="8" t="n">
        <f aca="false">IFERROR(__xludf.dummyfunction("""COMPUTED_VALUE"""),352.71)</f>
        <v>352.71</v>
      </c>
      <c r="D250" s="8" t="n">
        <f aca="false">IFERROR(__xludf.dummyfunction("""COMPUTED_VALUE"""),345.2)</f>
        <v>345.2</v>
      </c>
      <c r="E250" s="8" t="n">
        <f aca="false">IFERROR(__xludf.dummyfunction("""COMPUTED_VALUE"""),346.22)</f>
        <v>346.22</v>
      </c>
      <c r="F250" s="8" t="n">
        <f aca="false">IFERROR(__xludf.dummyfunction("""COMPUTED_VALUE"""),16637608)</f>
        <v>16637608</v>
      </c>
    </row>
    <row r="251" customFormat="false" ht="15.75" hidden="false" customHeight="false" outlineLevel="0" collapsed="false">
      <c r="A251" s="9" t="n">
        <f aca="false">IFERROR(__xludf.dummyfunction("""COMPUTED_VALUE"""),44559.6666666667)</f>
        <v>44559.6666666667</v>
      </c>
      <c r="B251" s="8" t="n">
        <f aca="false">IFERROR(__xludf.dummyfunction("""COMPUTED_VALUE"""),346.91)</f>
        <v>346.91</v>
      </c>
      <c r="C251" s="8" t="n">
        <f aca="false">IFERROR(__xludf.dummyfunction("""COMPUTED_VALUE"""),349.69)</f>
        <v>349.69</v>
      </c>
      <c r="D251" s="8" t="n">
        <f aca="false">IFERROR(__xludf.dummyfunction("""COMPUTED_VALUE"""),341.64)</f>
        <v>341.64</v>
      </c>
      <c r="E251" s="8" t="n">
        <f aca="false">IFERROR(__xludf.dummyfunction("""COMPUTED_VALUE"""),342.94)</f>
        <v>342.94</v>
      </c>
      <c r="F251" s="8" t="n">
        <f aca="false">IFERROR(__xludf.dummyfunction("""COMPUTED_VALUE"""),10747009)</f>
        <v>10747009</v>
      </c>
    </row>
    <row r="252" customFormat="false" ht="15.75" hidden="false" customHeight="false" outlineLevel="0" collapsed="false">
      <c r="A252" s="9" t="n">
        <f aca="false">IFERROR(__xludf.dummyfunction("""COMPUTED_VALUE"""),44560.6666666667)</f>
        <v>44560.6666666667</v>
      </c>
      <c r="B252" s="8" t="n">
        <f aca="false">IFERROR(__xludf.dummyfunction("""COMPUTED_VALUE"""),344)</f>
        <v>344</v>
      </c>
      <c r="C252" s="8" t="n">
        <f aca="false">IFERROR(__xludf.dummyfunction("""COMPUTED_VALUE"""),347.23)</f>
        <v>347.23</v>
      </c>
      <c r="D252" s="8" t="n">
        <f aca="false">IFERROR(__xludf.dummyfunction("""COMPUTED_VALUE"""),343.22)</f>
        <v>343.22</v>
      </c>
      <c r="E252" s="8" t="n">
        <f aca="false">IFERROR(__xludf.dummyfunction("""COMPUTED_VALUE"""),344.36)</f>
        <v>344.36</v>
      </c>
      <c r="F252" s="8" t="n">
        <f aca="false">IFERROR(__xludf.dummyfunction("""COMPUTED_VALUE"""),10593347)</f>
        <v>10593347</v>
      </c>
    </row>
    <row r="253" customFormat="false" ht="15.75" hidden="false" customHeight="false" outlineLevel="0" collapsed="false">
      <c r="A253" s="9" t="n">
        <f aca="false">IFERROR(__xludf.dummyfunction("""COMPUTED_VALUE"""),44561.6666666667)</f>
        <v>44561.6666666667</v>
      </c>
      <c r="B253" s="8" t="n">
        <f aca="false">IFERROR(__xludf.dummyfunction("""COMPUTED_VALUE"""),343.02)</f>
        <v>343.02</v>
      </c>
      <c r="C253" s="8" t="n">
        <f aca="false">IFERROR(__xludf.dummyfunction("""COMPUTED_VALUE"""),343.44)</f>
        <v>343.44</v>
      </c>
      <c r="D253" s="8" t="n">
        <f aca="false">IFERROR(__xludf.dummyfunction("""COMPUTED_VALUE"""),336.27)</f>
        <v>336.27</v>
      </c>
      <c r="E253" s="8" t="n">
        <f aca="false">IFERROR(__xludf.dummyfunction("""COMPUTED_VALUE"""),336.35)</f>
        <v>336.35</v>
      </c>
      <c r="F253" s="8" t="n">
        <f aca="false">IFERROR(__xludf.dummyfunction("""COMPUTED_VALUE"""),12870480)</f>
        <v>12870480</v>
      </c>
    </row>
    <row r="254" customFormat="false" ht="15.75" hidden="false" customHeight="false" outlineLevel="0" collapsed="false">
      <c r="A254" s="9" t="n">
        <f aca="false">IFERROR(__xludf.dummyfunction("""COMPUTED_VALUE"""),44564.6666666667)</f>
        <v>44564.6666666667</v>
      </c>
      <c r="B254" s="8" t="n">
        <f aca="false">IFERROR(__xludf.dummyfunction("""COMPUTED_VALUE"""),338.3)</f>
        <v>338.3</v>
      </c>
      <c r="C254" s="8" t="n">
        <f aca="false">IFERROR(__xludf.dummyfunction("""COMPUTED_VALUE"""),341.08)</f>
        <v>341.08</v>
      </c>
      <c r="D254" s="8" t="n">
        <f aca="false">IFERROR(__xludf.dummyfunction("""COMPUTED_VALUE"""),337.19)</f>
        <v>337.19</v>
      </c>
      <c r="E254" s="8" t="n">
        <f aca="false">IFERROR(__xludf.dummyfunction("""COMPUTED_VALUE"""),338.54)</f>
        <v>338.54</v>
      </c>
      <c r="F254" s="8" t="n">
        <f aca="false">IFERROR(__xludf.dummyfunction("""COMPUTED_VALUE"""),14562849)</f>
        <v>14562849</v>
      </c>
    </row>
    <row r="255" customFormat="false" ht="15.75" hidden="false" customHeight="false" outlineLevel="0" collapsed="false">
      <c r="A255" s="9" t="n">
        <f aca="false">IFERROR(__xludf.dummyfunction("""COMPUTED_VALUE"""),44565.6666666667)</f>
        <v>44565.6666666667</v>
      </c>
      <c r="B255" s="8" t="n">
        <f aca="false">IFERROR(__xludf.dummyfunction("""COMPUTED_VALUE"""),339.95)</f>
        <v>339.95</v>
      </c>
      <c r="C255" s="8" t="n">
        <f aca="false">IFERROR(__xludf.dummyfunction("""COMPUTED_VALUE"""),343.09)</f>
        <v>343.09</v>
      </c>
      <c r="D255" s="8" t="n">
        <f aca="false">IFERROR(__xludf.dummyfunction("""COMPUTED_VALUE"""),331.87)</f>
        <v>331.87</v>
      </c>
      <c r="E255" s="8" t="n">
        <f aca="false">IFERROR(__xludf.dummyfunction("""COMPUTED_VALUE"""),336.53)</f>
        <v>336.53</v>
      </c>
      <c r="F255" s="8" t="n">
        <f aca="false">IFERROR(__xludf.dummyfunction("""COMPUTED_VALUE"""),15997974)</f>
        <v>15997974</v>
      </c>
    </row>
    <row r="256" customFormat="false" ht="15.75" hidden="false" customHeight="false" outlineLevel="0" collapsed="false">
      <c r="A256" s="9" t="n">
        <f aca="false">IFERROR(__xludf.dummyfunction("""COMPUTED_VALUE"""),44566.6666666667)</f>
        <v>44566.6666666667</v>
      </c>
      <c r="B256" s="8" t="n">
        <f aca="false">IFERROR(__xludf.dummyfunction("""COMPUTED_VALUE"""),333.02)</f>
        <v>333.02</v>
      </c>
      <c r="C256" s="8" t="n">
        <f aca="false">IFERROR(__xludf.dummyfunction("""COMPUTED_VALUE"""),335.76)</f>
        <v>335.76</v>
      </c>
      <c r="D256" s="8" t="n">
        <f aca="false">IFERROR(__xludf.dummyfunction("""COMPUTED_VALUE"""),323.84)</f>
        <v>323.84</v>
      </c>
      <c r="E256" s="8" t="n">
        <f aca="false">IFERROR(__xludf.dummyfunction("""COMPUTED_VALUE"""),324.17)</f>
        <v>324.17</v>
      </c>
      <c r="F256" s="8" t="n">
        <f aca="false">IFERROR(__xludf.dummyfunction("""COMPUTED_VALUE"""),20564521)</f>
        <v>20564521</v>
      </c>
    </row>
    <row r="257" customFormat="false" ht="15.75" hidden="false" customHeight="false" outlineLevel="0" collapsed="false">
      <c r="A257" s="9" t="n">
        <f aca="false">IFERROR(__xludf.dummyfunction("""COMPUTED_VALUE"""),44567.6666666667)</f>
        <v>44567.6666666667</v>
      </c>
      <c r="B257" s="8" t="n">
        <f aca="false">IFERROR(__xludf.dummyfunction("""COMPUTED_VALUE"""),322.82)</f>
        <v>322.82</v>
      </c>
      <c r="C257" s="8" t="n">
        <f aca="false">IFERROR(__xludf.dummyfunction("""COMPUTED_VALUE"""),339.17)</f>
        <v>339.17</v>
      </c>
      <c r="D257" s="8" t="n">
        <f aca="false">IFERROR(__xludf.dummyfunction("""COMPUTED_VALUE"""),322.72)</f>
        <v>322.72</v>
      </c>
      <c r="E257" s="8" t="n">
        <f aca="false">IFERROR(__xludf.dummyfunction("""COMPUTED_VALUE"""),332.46)</f>
        <v>332.46</v>
      </c>
      <c r="F257" s="8" t="n">
        <f aca="false">IFERROR(__xludf.dummyfunction("""COMPUTED_VALUE"""),27962809)</f>
        <v>27962809</v>
      </c>
    </row>
    <row r="258" customFormat="false" ht="15.75" hidden="false" customHeight="false" outlineLevel="0" collapsed="false">
      <c r="A258" s="9" t="n">
        <f aca="false">IFERROR(__xludf.dummyfunction("""COMPUTED_VALUE"""),44568.6666666667)</f>
        <v>44568.6666666667</v>
      </c>
      <c r="B258" s="8" t="n">
        <f aca="false">IFERROR(__xludf.dummyfunction("""COMPUTED_VALUE"""),332.74)</f>
        <v>332.74</v>
      </c>
      <c r="C258" s="8" t="n">
        <f aca="false">IFERROR(__xludf.dummyfunction("""COMPUTED_VALUE"""),337)</f>
        <v>337</v>
      </c>
      <c r="D258" s="8" t="n">
        <f aca="false">IFERROR(__xludf.dummyfunction("""COMPUTED_VALUE"""),328.88)</f>
        <v>328.88</v>
      </c>
      <c r="E258" s="8" t="n">
        <f aca="false">IFERROR(__xludf.dummyfunction("""COMPUTED_VALUE"""),331.79)</f>
        <v>331.79</v>
      </c>
      <c r="F258" s="8" t="n">
        <f aca="false">IFERROR(__xludf.dummyfunction("""COMPUTED_VALUE"""),14722020)</f>
        <v>14722020</v>
      </c>
    </row>
    <row r="259" customFormat="false" ht="15.75" hidden="false" customHeight="false" outlineLevel="0" collapsed="false">
      <c r="A259" s="9" t="n">
        <f aca="false">IFERROR(__xludf.dummyfunction("""COMPUTED_VALUE"""),44571.6666666667)</f>
        <v>44571.6666666667</v>
      </c>
      <c r="B259" s="8" t="n">
        <f aca="false">IFERROR(__xludf.dummyfunction("""COMPUTED_VALUE"""),325.31)</f>
        <v>325.31</v>
      </c>
      <c r="C259" s="8" t="n">
        <f aca="false">IFERROR(__xludf.dummyfunction("""COMPUTED_VALUE"""),328.34)</f>
        <v>328.34</v>
      </c>
      <c r="D259" s="8" t="n">
        <f aca="false">IFERROR(__xludf.dummyfunction("""COMPUTED_VALUE"""),315.43)</f>
        <v>315.43</v>
      </c>
      <c r="E259" s="8" t="n">
        <f aca="false">IFERROR(__xludf.dummyfunction("""COMPUTED_VALUE"""),328.07)</f>
        <v>328.07</v>
      </c>
      <c r="F259" s="8" t="n">
        <f aca="false">IFERROR(__xludf.dummyfunction("""COMPUTED_VALUE"""),24942383)</f>
        <v>24942383</v>
      </c>
    </row>
    <row r="260" customFormat="false" ht="15.75" hidden="false" customHeight="false" outlineLevel="0" collapsed="false">
      <c r="A260" s="9" t="n">
        <f aca="false">IFERROR(__xludf.dummyfunction("""COMPUTED_VALUE"""),44572.6666666667)</f>
        <v>44572.6666666667</v>
      </c>
      <c r="B260" s="8" t="n">
        <f aca="false">IFERROR(__xludf.dummyfunction("""COMPUTED_VALUE"""),326.78)</f>
        <v>326.78</v>
      </c>
      <c r="C260" s="8" t="n">
        <f aca="false">IFERROR(__xludf.dummyfunction("""COMPUTED_VALUE"""),334.63)</f>
        <v>334.63</v>
      </c>
      <c r="D260" s="8" t="n">
        <f aca="false">IFERROR(__xludf.dummyfunction("""COMPUTED_VALUE"""),325.28)</f>
        <v>325.28</v>
      </c>
      <c r="E260" s="8" t="n">
        <f aca="false">IFERROR(__xludf.dummyfunction("""COMPUTED_VALUE"""),334.37)</f>
        <v>334.37</v>
      </c>
      <c r="F260" s="8" t="n">
        <f aca="false">IFERROR(__xludf.dummyfunction("""COMPUTED_VALUE"""),16226847)</f>
        <v>16226847</v>
      </c>
    </row>
    <row r="261" customFormat="false" ht="15.75" hidden="false" customHeight="false" outlineLevel="0" collapsed="false">
      <c r="A261" s="9" t="n">
        <f aca="false">IFERROR(__xludf.dummyfunction("""COMPUTED_VALUE"""),44573.6666666667)</f>
        <v>44573.6666666667</v>
      </c>
      <c r="B261" s="8" t="n">
        <f aca="false">IFERROR(__xludf.dummyfunction("""COMPUTED_VALUE"""),335.18)</f>
        <v>335.18</v>
      </c>
      <c r="C261" s="8" t="n">
        <f aca="false">IFERROR(__xludf.dummyfunction("""COMPUTED_VALUE"""),336.37)</f>
        <v>336.37</v>
      </c>
      <c r="D261" s="8" t="n">
        <f aca="false">IFERROR(__xludf.dummyfunction("""COMPUTED_VALUE"""),330.03)</f>
        <v>330.03</v>
      </c>
      <c r="E261" s="8" t="n">
        <f aca="false">IFERROR(__xludf.dummyfunction("""COMPUTED_VALUE"""),333.26)</f>
        <v>333.26</v>
      </c>
      <c r="F261" s="8" t="n">
        <f aca="false">IFERROR(__xludf.dummyfunction("""COMPUTED_VALUE"""),14104858)</f>
        <v>14104858</v>
      </c>
    </row>
    <row r="262" customFormat="false" ht="15.75" hidden="false" customHeight="false" outlineLevel="0" collapsed="false">
      <c r="A262" s="9" t="n">
        <f aca="false">IFERROR(__xludf.dummyfunction("""COMPUTED_VALUE"""),44574.6666666667)</f>
        <v>44574.6666666667</v>
      </c>
      <c r="B262" s="8" t="n">
        <f aca="false">IFERROR(__xludf.dummyfunction("""COMPUTED_VALUE"""),334.98)</f>
        <v>334.98</v>
      </c>
      <c r="C262" s="8" t="n">
        <f aca="false">IFERROR(__xludf.dummyfunction("""COMPUTED_VALUE"""),335.63)</f>
        <v>335.63</v>
      </c>
      <c r="D262" s="8" t="n">
        <f aca="false">IFERROR(__xludf.dummyfunction("""COMPUTED_VALUE"""),325.76)</f>
        <v>325.76</v>
      </c>
      <c r="E262" s="8" t="n">
        <f aca="false">IFERROR(__xludf.dummyfunction("""COMPUTED_VALUE"""),326.48)</f>
        <v>326.48</v>
      </c>
      <c r="F262" s="8" t="n">
        <f aca="false">IFERROR(__xludf.dummyfunction("""COMPUTED_VALUE"""),14797109)</f>
        <v>14797109</v>
      </c>
    </row>
    <row r="263" customFormat="false" ht="15.75" hidden="false" customHeight="false" outlineLevel="0" collapsed="false">
      <c r="A263" s="9" t="n">
        <f aca="false">IFERROR(__xludf.dummyfunction("""COMPUTED_VALUE"""),44575.6666666667)</f>
        <v>44575.6666666667</v>
      </c>
      <c r="B263" s="8" t="n">
        <f aca="false">IFERROR(__xludf.dummyfunction("""COMPUTED_VALUE"""),321.79)</f>
        <v>321.79</v>
      </c>
      <c r="C263" s="8" t="n">
        <f aca="false">IFERROR(__xludf.dummyfunction("""COMPUTED_VALUE"""),332.73)</f>
        <v>332.73</v>
      </c>
      <c r="D263" s="8" t="n">
        <f aca="false">IFERROR(__xludf.dummyfunction("""COMPUTED_VALUE"""),321.21)</f>
        <v>321.21</v>
      </c>
      <c r="E263" s="8" t="n">
        <f aca="false">IFERROR(__xludf.dummyfunction("""COMPUTED_VALUE"""),331.9)</f>
        <v>331.9</v>
      </c>
      <c r="F263" s="8" t="n">
        <f aca="false">IFERROR(__xludf.dummyfunction("""COMPUTED_VALUE"""),16868497)</f>
        <v>16868497</v>
      </c>
    </row>
    <row r="264" customFormat="false" ht="15.75" hidden="false" customHeight="false" outlineLevel="0" collapsed="false">
      <c r="A264" s="9" t="n">
        <f aca="false">IFERROR(__xludf.dummyfunction("""COMPUTED_VALUE"""),44579.6666666667)</f>
        <v>44579.6666666667</v>
      </c>
      <c r="B264" s="8" t="n">
        <f aca="false">IFERROR(__xludf.dummyfunction("""COMPUTED_VALUE"""),323.29)</f>
        <v>323.29</v>
      </c>
      <c r="C264" s="8" t="n">
        <f aca="false">IFERROR(__xludf.dummyfunction("""COMPUTED_VALUE"""),324.21)</f>
        <v>324.21</v>
      </c>
      <c r="D264" s="8" t="n">
        <f aca="false">IFERROR(__xludf.dummyfunction("""COMPUTED_VALUE"""),317.64)</f>
        <v>317.64</v>
      </c>
      <c r="E264" s="8" t="n">
        <f aca="false">IFERROR(__xludf.dummyfunction("""COMPUTED_VALUE"""),318.15)</f>
        <v>318.15</v>
      </c>
      <c r="F264" s="8" t="n">
        <f aca="false">IFERROR(__xludf.dummyfunction("""COMPUTED_VALUE"""),22677332)</f>
        <v>22677332</v>
      </c>
    </row>
    <row r="265" customFormat="false" ht="15.75" hidden="false" customHeight="false" outlineLevel="0" collapsed="false">
      <c r="A265" s="9" t="n">
        <f aca="false">IFERROR(__xludf.dummyfunction("""COMPUTED_VALUE"""),44580.6666666667)</f>
        <v>44580.6666666667</v>
      </c>
      <c r="B265" s="8" t="n">
        <f aca="false">IFERROR(__xludf.dummyfunction("""COMPUTED_VALUE"""),319.58)</f>
        <v>319.58</v>
      </c>
      <c r="C265" s="8" t="n">
        <f aca="false">IFERROR(__xludf.dummyfunction("""COMPUTED_VALUE"""),327.1)</f>
        <v>327.1</v>
      </c>
      <c r="D265" s="8" t="n">
        <f aca="false">IFERROR(__xludf.dummyfunction("""COMPUTED_VALUE"""),319.33)</f>
        <v>319.33</v>
      </c>
      <c r="E265" s="8" t="n">
        <f aca="false">IFERROR(__xludf.dummyfunction("""COMPUTED_VALUE"""),319.59)</f>
        <v>319.59</v>
      </c>
      <c r="F265" s="8" t="n">
        <f aca="false">IFERROR(__xludf.dummyfunction("""COMPUTED_VALUE"""),20814740)</f>
        <v>20814740</v>
      </c>
    </row>
    <row r="266" customFormat="false" ht="15.75" hidden="false" customHeight="false" outlineLevel="0" collapsed="false">
      <c r="A266" s="9" t="n">
        <f aca="false">IFERROR(__xludf.dummyfunction("""COMPUTED_VALUE"""),44581.6666666667)</f>
        <v>44581.6666666667</v>
      </c>
      <c r="B266" s="8" t="n">
        <f aca="false">IFERROR(__xludf.dummyfunction("""COMPUTED_VALUE"""),323.9)</f>
        <v>323.9</v>
      </c>
      <c r="C266" s="8" t="n">
        <f aca="false">IFERROR(__xludf.dummyfunction("""COMPUTED_VALUE"""),327.82)</f>
        <v>327.82</v>
      </c>
      <c r="D266" s="8" t="n">
        <f aca="false">IFERROR(__xludf.dummyfunction("""COMPUTED_VALUE"""),315.98)</f>
        <v>315.98</v>
      </c>
      <c r="E266" s="8" t="n">
        <f aca="false">IFERROR(__xludf.dummyfunction("""COMPUTED_VALUE"""),316.56)</f>
        <v>316.56</v>
      </c>
      <c r="F266" s="8" t="n">
        <f aca="false">IFERROR(__xludf.dummyfunction("""COMPUTED_VALUE"""),16925030)</f>
        <v>16925030</v>
      </c>
    </row>
    <row r="267" customFormat="false" ht="15.75" hidden="false" customHeight="false" outlineLevel="0" collapsed="false">
      <c r="A267" s="9" t="n">
        <f aca="false">IFERROR(__xludf.dummyfunction("""COMPUTED_VALUE"""),44582.6666666667)</f>
        <v>44582.6666666667</v>
      </c>
      <c r="B267" s="8" t="n">
        <f aca="false">IFERROR(__xludf.dummyfunction("""COMPUTED_VALUE"""),314.81)</f>
        <v>314.81</v>
      </c>
      <c r="C267" s="8" t="n">
        <f aca="false">IFERROR(__xludf.dummyfunction("""COMPUTED_VALUE"""),318.31)</f>
        <v>318.31</v>
      </c>
      <c r="D267" s="8" t="n">
        <f aca="false">IFERROR(__xludf.dummyfunction("""COMPUTED_VALUE"""),303.04)</f>
        <v>303.04</v>
      </c>
      <c r="E267" s="8" t="n">
        <f aca="false">IFERROR(__xludf.dummyfunction("""COMPUTED_VALUE"""),303.17)</f>
        <v>303.17</v>
      </c>
      <c r="F267" s="8" t="n">
        <f aca="false">IFERROR(__xludf.dummyfunction("""COMPUTED_VALUE"""),28710717)</f>
        <v>28710717</v>
      </c>
    </row>
    <row r="268" customFormat="false" ht="15.75" hidden="false" customHeight="false" outlineLevel="0" collapsed="false">
      <c r="A268" s="9" t="n">
        <f aca="false">IFERROR(__xludf.dummyfunction("""COMPUTED_VALUE"""),44585.6666666667)</f>
        <v>44585.6666666667</v>
      </c>
      <c r="B268" s="8" t="n">
        <f aca="false">IFERROR(__xludf.dummyfunction("""COMPUTED_VALUE"""),297.84)</f>
        <v>297.84</v>
      </c>
      <c r="C268" s="8" t="n">
        <f aca="false">IFERROR(__xludf.dummyfunction("""COMPUTED_VALUE"""),309.53)</f>
        <v>309.53</v>
      </c>
      <c r="D268" s="8" t="n">
        <f aca="false">IFERROR(__xludf.dummyfunction("""COMPUTED_VALUE"""),289.01)</f>
        <v>289.01</v>
      </c>
      <c r="E268" s="8" t="n">
        <f aca="false">IFERROR(__xludf.dummyfunction("""COMPUTED_VALUE"""),308.71)</f>
        <v>308.71</v>
      </c>
      <c r="F268" s="8" t="n">
        <f aca="false">IFERROR(__xludf.dummyfunction("""COMPUTED_VALUE"""),38936901)</f>
        <v>38936901</v>
      </c>
    </row>
    <row r="269" customFormat="false" ht="15.75" hidden="false" customHeight="false" outlineLevel="0" collapsed="false">
      <c r="A269" s="9" t="n">
        <f aca="false">IFERROR(__xludf.dummyfunction("""COMPUTED_VALUE"""),44586.6666666667)</f>
        <v>44586.6666666667</v>
      </c>
      <c r="B269" s="8" t="n">
        <f aca="false">IFERROR(__xludf.dummyfunction("""COMPUTED_VALUE"""),299.95)</f>
        <v>299.95</v>
      </c>
      <c r="C269" s="8" t="n">
        <f aca="false">IFERROR(__xludf.dummyfunction("""COMPUTED_VALUE"""),306.23)</f>
        <v>306.23</v>
      </c>
      <c r="D269" s="8" t="n">
        <f aca="false">IFERROR(__xludf.dummyfunction("""COMPUTED_VALUE"""),297.58)</f>
        <v>297.58</v>
      </c>
      <c r="E269" s="8" t="n">
        <f aca="false">IFERROR(__xludf.dummyfunction("""COMPUTED_VALUE"""),300.15)</f>
        <v>300.15</v>
      </c>
      <c r="F269" s="8" t="n">
        <f aca="false">IFERROR(__xludf.dummyfunction("""COMPUTED_VALUE"""),25108454)</f>
        <v>25108454</v>
      </c>
    </row>
    <row r="270" customFormat="false" ht="15.75" hidden="false" customHeight="false" outlineLevel="0" collapsed="false">
      <c r="A270" s="9" t="n">
        <f aca="false">IFERROR(__xludf.dummyfunction("""COMPUTED_VALUE"""),44587.6666666667)</f>
        <v>44587.6666666667</v>
      </c>
      <c r="B270" s="8" t="n">
        <f aca="false">IFERROR(__xludf.dummyfunction("""COMPUTED_VALUE"""),307.01)</f>
        <v>307.01</v>
      </c>
      <c r="C270" s="8" t="n">
        <f aca="false">IFERROR(__xludf.dummyfunction("""COMPUTED_VALUE"""),307.51)</f>
        <v>307.51</v>
      </c>
      <c r="D270" s="8" t="n">
        <f aca="false">IFERROR(__xludf.dummyfunction("""COMPUTED_VALUE"""),290.85)</f>
        <v>290.85</v>
      </c>
      <c r="E270" s="8" t="n">
        <f aca="false">IFERROR(__xludf.dummyfunction("""COMPUTED_VALUE"""),294.63)</f>
        <v>294.63</v>
      </c>
      <c r="F270" s="8" t="n">
        <f aca="false">IFERROR(__xludf.dummyfunction("""COMPUTED_VALUE"""),28348801)</f>
        <v>28348801</v>
      </c>
    </row>
    <row r="271" customFormat="false" ht="15.75" hidden="false" customHeight="false" outlineLevel="0" collapsed="false">
      <c r="A271" s="9" t="n">
        <f aca="false">IFERROR(__xludf.dummyfunction("""COMPUTED_VALUE"""),44588.6666666667)</f>
        <v>44588.6666666667</v>
      </c>
      <c r="B271" s="8" t="n">
        <f aca="false">IFERROR(__xludf.dummyfunction("""COMPUTED_VALUE"""),297.75)</f>
        <v>297.75</v>
      </c>
      <c r="C271" s="8" t="n">
        <f aca="false">IFERROR(__xludf.dummyfunction("""COMPUTED_VALUE"""),301.71)</f>
        <v>301.71</v>
      </c>
      <c r="D271" s="8" t="n">
        <f aca="false">IFERROR(__xludf.dummyfunction("""COMPUTED_VALUE"""),294.26)</f>
        <v>294.26</v>
      </c>
      <c r="E271" s="8" t="n">
        <f aca="false">IFERROR(__xludf.dummyfunction("""COMPUTED_VALUE"""),294.64)</f>
        <v>294.64</v>
      </c>
      <c r="F271" s="8" t="n">
        <f aca="false">IFERROR(__xludf.dummyfunction("""COMPUTED_VALUE"""),21629922)</f>
        <v>21629922</v>
      </c>
    </row>
    <row r="272" customFormat="false" ht="15.75" hidden="false" customHeight="false" outlineLevel="0" collapsed="false">
      <c r="A272" s="9" t="n">
        <f aca="false">IFERROR(__xludf.dummyfunction("""COMPUTED_VALUE"""),44589.6666666667)</f>
        <v>44589.6666666667</v>
      </c>
      <c r="B272" s="8" t="n">
        <f aca="false">IFERROR(__xludf.dummyfunction("""COMPUTED_VALUE"""),295.62)</f>
        <v>295.62</v>
      </c>
      <c r="C272" s="8" t="n">
        <f aca="false">IFERROR(__xludf.dummyfunction("""COMPUTED_VALUE"""),301.9)</f>
        <v>301.9</v>
      </c>
      <c r="D272" s="8" t="n">
        <f aca="false">IFERROR(__xludf.dummyfunction("""COMPUTED_VALUE"""),293.03)</f>
        <v>293.03</v>
      </c>
      <c r="E272" s="8" t="n">
        <f aca="false">IFERROR(__xludf.dummyfunction("""COMPUTED_VALUE"""),301.71)</f>
        <v>301.71</v>
      </c>
      <c r="F272" s="8" t="n">
        <f aca="false">IFERROR(__xludf.dummyfunction("""COMPUTED_VALUE"""),21871620)</f>
        <v>21871620</v>
      </c>
    </row>
    <row r="273" customFormat="false" ht="15.75" hidden="false" customHeight="false" outlineLevel="0" collapsed="false">
      <c r="A273" s="9" t="n">
        <f aca="false">IFERROR(__xludf.dummyfunction("""COMPUTED_VALUE"""),44592.6666666667)</f>
        <v>44592.6666666667</v>
      </c>
      <c r="B273" s="8" t="n">
        <f aca="false">IFERROR(__xludf.dummyfunction("""COMPUTED_VALUE"""),300.68)</f>
        <v>300.68</v>
      </c>
      <c r="C273" s="8" t="n">
        <f aca="false">IFERROR(__xludf.dummyfunction("""COMPUTED_VALUE"""),313.79)</f>
        <v>313.79</v>
      </c>
      <c r="D273" s="8" t="n">
        <f aca="false">IFERROR(__xludf.dummyfunction("""COMPUTED_VALUE"""),299.32)</f>
        <v>299.32</v>
      </c>
      <c r="E273" s="8" t="n">
        <f aca="false">IFERROR(__xludf.dummyfunction("""COMPUTED_VALUE"""),313.26)</f>
        <v>313.26</v>
      </c>
      <c r="F273" s="8" t="n">
        <f aca="false">IFERROR(__xludf.dummyfunction("""COMPUTED_VALUE"""),21579474)</f>
        <v>21579474</v>
      </c>
    </row>
    <row r="274" customFormat="false" ht="15.75" hidden="false" customHeight="false" outlineLevel="0" collapsed="false">
      <c r="A274" s="9" t="n">
        <f aca="false">IFERROR(__xludf.dummyfunction("""COMPUTED_VALUE"""),44593.6666666667)</f>
        <v>44593.6666666667</v>
      </c>
      <c r="B274" s="8" t="n">
        <f aca="false">IFERROR(__xludf.dummyfunction("""COMPUTED_VALUE"""),314.56)</f>
        <v>314.56</v>
      </c>
      <c r="C274" s="8" t="n">
        <f aca="false">IFERROR(__xludf.dummyfunction("""COMPUTED_VALUE"""),319.66)</f>
        <v>319.66</v>
      </c>
      <c r="D274" s="8" t="n">
        <f aca="false">IFERROR(__xludf.dummyfunction("""COMPUTED_VALUE"""),312.12)</f>
        <v>312.12</v>
      </c>
      <c r="E274" s="8" t="n">
        <f aca="false">IFERROR(__xludf.dummyfunction("""COMPUTED_VALUE"""),319)</f>
        <v>319</v>
      </c>
      <c r="F274" s="8" t="n">
        <f aca="false">IFERROR(__xludf.dummyfunction("""COMPUTED_VALUE"""),18023796)</f>
        <v>18023796</v>
      </c>
    </row>
    <row r="275" customFormat="false" ht="15.75" hidden="false" customHeight="false" outlineLevel="0" collapsed="false">
      <c r="A275" s="9" t="n">
        <f aca="false">IFERROR(__xludf.dummyfunction("""COMPUTED_VALUE"""),44594.6666666667)</f>
        <v>44594.6666666667</v>
      </c>
      <c r="B275" s="8" t="n">
        <f aca="false">IFERROR(__xludf.dummyfunction("""COMPUTED_VALUE"""),327.82)</f>
        <v>327.82</v>
      </c>
      <c r="C275" s="8" t="n">
        <f aca="false">IFERROR(__xludf.dummyfunction("""COMPUTED_VALUE"""),328)</f>
        <v>328</v>
      </c>
      <c r="D275" s="8" t="n">
        <f aca="false">IFERROR(__xludf.dummyfunction("""COMPUTED_VALUE"""),316.87)</f>
        <v>316.87</v>
      </c>
      <c r="E275" s="8" t="n">
        <f aca="false">IFERROR(__xludf.dummyfunction("""COMPUTED_VALUE"""),323)</f>
        <v>323</v>
      </c>
      <c r="F275" s="8" t="n">
        <f aca="false">IFERROR(__xludf.dummyfunction("""COMPUTED_VALUE"""),58458280)</f>
        <v>58458280</v>
      </c>
    </row>
    <row r="276" customFormat="false" ht="15.75" hidden="false" customHeight="false" outlineLevel="0" collapsed="false">
      <c r="A276" s="9" t="n">
        <f aca="false">IFERROR(__xludf.dummyfunction("""COMPUTED_VALUE"""),44595.6666666667)</f>
        <v>44595.6666666667</v>
      </c>
      <c r="B276" s="8" t="n">
        <f aca="false">IFERROR(__xludf.dummyfunction("""COMPUTED_VALUE"""),244.65)</f>
        <v>244.65</v>
      </c>
      <c r="C276" s="8" t="n">
        <f aca="false">IFERROR(__xludf.dummyfunction("""COMPUTED_VALUE"""),248)</f>
        <v>248</v>
      </c>
      <c r="D276" s="8" t="n">
        <f aca="false">IFERROR(__xludf.dummyfunction("""COMPUTED_VALUE"""),235.75)</f>
        <v>235.75</v>
      </c>
      <c r="E276" s="8" t="n">
        <f aca="false">IFERROR(__xludf.dummyfunction("""COMPUTED_VALUE"""),237.76)</f>
        <v>237.76</v>
      </c>
      <c r="F276" s="8" t="n">
        <f aca="false">IFERROR(__xludf.dummyfunction("""COMPUTED_VALUE"""),188119925)</f>
        <v>188119925</v>
      </c>
    </row>
    <row r="277" customFormat="false" ht="15.75" hidden="false" customHeight="false" outlineLevel="0" collapsed="false">
      <c r="A277" s="9" t="n">
        <f aca="false">IFERROR(__xludf.dummyfunction("""COMPUTED_VALUE"""),44596.6666666667)</f>
        <v>44596.6666666667</v>
      </c>
      <c r="B277" s="8" t="n">
        <f aca="false">IFERROR(__xludf.dummyfunction("""COMPUTED_VALUE"""),234.97)</f>
        <v>234.97</v>
      </c>
      <c r="C277" s="8" t="n">
        <f aca="false">IFERROR(__xludf.dummyfunction("""COMPUTED_VALUE"""),242.61)</f>
        <v>242.61</v>
      </c>
      <c r="D277" s="8" t="n">
        <f aca="false">IFERROR(__xludf.dummyfunction("""COMPUTED_VALUE"""),230.11)</f>
        <v>230.11</v>
      </c>
      <c r="E277" s="8" t="n">
        <f aca="false">IFERROR(__xludf.dummyfunction("""COMPUTED_VALUE"""),237.09)</f>
        <v>237.09</v>
      </c>
      <c r="F277" s="8" t="n">
        <f aca="false">IFERROR(__xludf.dummyfunction("""COMPUTED_VALUE"""),89342247)</f>
        <v>89342247</v>
      </c>
    </row>
    <row r="278" customFormat="false" ht="15.75" hidden="false" customHeight="false" outlineLevel="0" collapsed="false">
      <c r="A278" s="9" t="n">
        <f aca="false">IFERROR(__xludf.dummyfunction("""COMPUTED_VALUE"""),44599.6666666667)</f>
        <v>44599.6666666667</v>
      </c>
      <c r="B278" s="8" t="n">
        <f aca="false">IFERROR(__xludf.dummyfunction("""COMPUTED_VALUE"""),237.7)</f>
        <v>237.7</v>
      </c>
      <c r="C278" s="8" t="n">
        <f aca="false">IFERROR(__xludf.dummyfunction("""COMPUTED_VALUE"""),238.3)</f>
        <v>238.3</v>
      </c>
      <c r="D278" s="8" t="n">
        <f aca="false">IFERROR(__xludf.dummyfunction("""COMPUTED_VALUE"""),224.01)</f>
        <v>224.01</v>
      </c>
      <c r="E278" s="8" t="n">
        <f aca="false">IFERROR(__xludf.dummyfunction("""COMPUTED_VALUE"""),224.91)</f>
        <v>224.91</v>
      </c>
      <c r="F278" s="8" t="n">
        <f aca="false">IFERROR(__xludf.dummyfunction("""COMPUTED_VALUE"""),88613826)</f>
        <v>88613826</v>
      </c>
    </row>
    <row r="279" customFormat="false" ht="15.75" hidden="false" customHeight="false" outlineLevel="0" collapsed="false">
      <c r="A279" s="9" t="n">
        <f aca="false">IFERROR(__xludf.dummyfunction("""COMPUTED_VALUE"""),44600.6666666667)</f>
        <v>44600.6666666667</v>
      </c>
      <c r="B279" s="8" t="n">
        <f aca="false">IFERROR(__xludf.dummyfunction("""COMPUTED_VALUE"""),220.85)</f>
        <v>220.85</v>
      </c>
      <c r="C279" s="8" t="n">
        <f aca="false">IFERROR(__xludf.dummyfunction("""COMPUTED_VALUE"""),225.77)</f>
        <v>225.77</v>
      </c>
      <c r="D279" s="8" t="n">
        <f aca="false">IFERROR(__xludf.dummyfunction("""COMPUTED_VALUE"""),216.15)</f>
        <v>216.15</v>
      </c>
      <c r="E279" s="8" t="n">
        <f aca="false">IFERROR(__xludf.dummyfunction("""COMPUTED_VALUE"""),220.18)</f>
        <v>220.18</v>
      </c>
      <c r="F279" s="8" t="n">
        <f aca="false">IFERROR(__xludf.dummyfunction("""COMPUTED_VALUE"""),94729672)</f>
        <v>94729672</v>
      </c>
    </row>
    <row r="280" customFormat="false" ht="15.75" hidden="false" customHeight="false" outlineLevel="0" collapsed="false">
      <c r="A280" s="9" t="n">
        <f aca="false">IFERROR(__xludf.dummyfunction("""COMPUTED_VALUE"""),44601.6666666667)</f>
        <v>44601.6666666667</v>
      </c>
      <c r="B280" s="8" t="n">
        <f aca="false">IFERROR(__xludf.dummyfunction("""COMPUTED_VALUE"""),224.2)</f>
        <v>224.2</v>
      </c>
      <c r="C280" s="8" t="n">
        <f aca="false">IFERROR(__xludf.dummyfunction("""COMPUTED_VALUE"""),233.37)</f>
        <v>233.37</v>
      </c>
      <c r="D280" s="8" t="n">
        <f aca="false">IFERROR(__xludf.dummyfunction("""COMPUTED_VALUE"""),222.21)</f>
        <v>222.21</v>
      </c>
      <c r="E280" s="8" t="n">
        <f aca="false">IFERROR(__xludf.dummyfunction("""COMPUTED_VALUE"""),232)</f>
        <v>232</v>
      </c>
      <c r="F280" s="8" t="n">
        <f aca="false">IFERROR(__xludf.dummyfunction("""COMPUTED_VALUE"""),86563275)</f>
        <v>86563275</v>
      </c>
    </row>
    <row r="281" customFormat="false" ht="15.75" hidden="false" customHeight="false" outlineLevel="0" collapsed="false">
      <c r="A281" s="9" t="n">
        <f aca="false">IFERROR(__xludf.dummyfunction("""COMPUTED_VALUE"""),44602.6666666667)</f>
        <v>44602.6666666667</v>
      </c>
      <c r="B281" s="8" t="n">
        <f aca="false">IFERROR(__xludf.dummyfunction("""COMPUTED_VALUE"""),228.27)</f>
        <v>228.27</v>
      </c>
      <c r="C281" s="8" t="n">
        <f aca="false">IFERROR(__xludf.dummyfunction("""COMPUTED_VALUE"""),235)</f>
        <v>235</v>
      </c>
      <c r="D281" s="8" t="n">
        <f aca="false">IFERROR(__xludf.dummyfunction("""COMPUTED_VALUE"""),226.7)</f>
        <v>226.7</v>
      </c>
      <c r="E281" s="8" t="n">
        <f aca="false">IFERROR(__xludf.dummyfunction("""COMPUTED_VALUE"""),228.07)</f>
        <v>228.07</v>
      </c>
      <c r="F281" s="8" t="n">
        <f aca="false">IFERROR(__xludf.dummyfunction("""COMPUTED_VALUE"""),49310356)</f>
        <v>49310356</v>
      </c>
    </row>
    <row r="282" customFormat="false" ht="15.75" hidden="false" customHeight="false" outlineLevel="0" collapsed="false">
      <c r="A282" s="9" t="n">
        <f aca="false">IFERROR(__xludf.dummyfunction("""COMPUTED_VALUE"""),44603.6666666667)</f>
        <v>44603.6666666667</v>
      </c>
      <c r="B282" s="8" t="n">
        <f aca="false">IFERROR(__xludf.dummyfunction("""COMPUTED_VALUE"""),228.46)</f>
        <v>228.46</v>
      </c>
      <c r="C282" s="8" t="n">
        <f aca="false">IFERROR(__xludf.dummyfunction("""COMPUTED_VALUE"""),230.42)</f>
        <v>230.42</v>
      </c>
      <c r="D282" s="8" t="n">
        <f aca="false">IFERROR(__xludf.dummyfunction("""COMPUTED_VALUE"""),218.77)</f>
        <v>218.77</v>
      </c>
      <c r="E282" s="8" t="n">
        <f aca="false">IFERROR(__xludf.dummyfunction("""COMPUTED_VALUE"""),219.55)</f>
        <v>219.55</v>
      </c>
      <c r="F282" s="8" t="n">
        <f aca="false">IFERROR(__xludf.dummyfunction("""COMPUTED_VALUE"""),46156943)</f>
        <v>46156943</v>
      </c>
    </row>
    <row r="283" customFormat="false" ht="15.75" hidden="false" customHeight="false" outlineLevel="0" collapsed="false">
      <c r="A283" s="9" t="n">
        <f aca="false">IFERROR(__xludf.dummyfunction("""COMPUTED_VALUE"""),44606.6666666667)</f>
        <v>44606.6666666667</v>
      </c>
      <c r="B283" s="8" t="n">
        <f aca="false">IFERROR(__xludf.dummyfunction("""COMPUTED_VALUE"""),219.31)</f>
        <v>219.31</v>
      </c>
      <c r="C283" s="8" t="n">
        <f aca="false">IFERROR(__xludf.dummyfunction("""COMPUTED_VALUE"""),221)</f>
        <v>221</v>
      </c>
      <c r="D283" s="8" t="n">
        <f aca="false">IFERROR(__xludf.dummyfunction("""COMPUTED_VALUE"""),214.78)</f>
        <v>214.78</v>
      </c>
      <c r="E283" s="8" t="n">
        <f aca="false">IFERROR(__xludf.dummyfunction("""COMPUTED_VALUE"""),217.7)</f>
        <v>217.7</v>
      </c>
      <c r="F283" s="8" t="n">
        <f aca="false">IFERROR(__xludf.dummyfunction("""COMPUTED_VALUE"""),38184035)</f>
        <v>38184035</v>
      </c>
    </row>
    <row r="284" customFormat="false" ht="15.75" hidden="false" customHeight="false" outlineLevel="0" collapsed="false">
      <c r="A284" s="9" t="n">
        <f aca="false">IFERROR(__xludf.dummyfunction("""COMPUTED_VALUE"""),44607.6666666667)</f>
        <v>44607.6666666667</v>
      </c>
      <c r="B284" s="8" t="n">
        <f aca="false">IFERROR(__xludf.dummyfunction("""COMPUTED_VALUE"""),220.47)</f>
        <v>220.47</v>
      </c>
      <c r="C284" s="8" t="n">
        <f aca="false">IFERROR(__xludf.dummyfunction("""COMPUTED_VALUE"""),221.15)</f>
        <v>221.15</v>
      </c>
      <c r="D284" s="8" t="n">
        <f aca="false">IFERROR(__xludf.dummyfunction("""COMPUTED_VALUE"""),215.06)</f>
        <v>215.06</v>
      </c>
      <c r="E284" s="8" t="n">
        <f aca="false">IFERROR(__xludf.dummyfunction("""COMPUTED_VALUE"""),221)</f>
        <v>221</v>
      </c>
      <c r="F284" s="8" t="n">
        <f aca="false">IFERROR(__xludf.dummyfunction("""COMPUTED_VALUE"""),42685473)</f>
        <v>42685473</v>
      </c>
    </row>
    <row r="285" customFormat="false" ht="15.75" hidden="false" customHeight="false" outlineLevel="0" collapsed="false">
      <c r="A285" s="9" t="n">
        <f aca="false">IFERROR(__xludf.dummyfunction("""COMPUTED_VALUE"""),44608.6666666667)</f>
        <v>44608.6666666667</v>
      </c>
      <c r="B285" s="8" t="n">
        <f aca="false">IFERROR(__xludf.dummyfunction("""COMPUTED_VALUE"""),212.41)</f>
        <v>212.41</v>
      </c>
      <c r="C285" s="8" t="n">
        <f aca="false">IFERROR(__xludf.dummyfunction("""COMPUTED_VALUE"""),217.46)</f>
        <v>217.46</v>
      </c>
      <c r="D285" s="8" t="n">
        <f aca="false">IFERROR(__xludf.dummyfunction("""COMPUTED_VALUE"""),212.36)</f>
        <v>212.36</v>
      </c>
      <c r="E285" s="8" t="n">
        <f aca="false">IFERROR(__xludf.dummyfunction("""COMPUTED_VALUE"""),216.54)</f>
        <v>216.54</v>
      </c>
      <c r="F285" s="8" t="n">
        <f aca="false">IFERROR(__xludf.dummyfunction("""COMPUTED_VALUE"""),45817457)</f>
        <v>45817457</v>
      </c>
    </row>
    <row r="286" customFormat="false" ht="15.75" hidden="false" customHeight="false" outlineLevel="0" collapsed="false">
      <c r="A286" s="9" t="n">
        <f aca="false">IFERROR(__xludf.dummyfunction("""COMPUTED_VALUE"""),44609.6666666667)</f>
        <v>44609.6666666667</v>
      </c>
      <c r="B286" s="8" t="n">
        <f aca="false">IFERROR(__xludf.dummyfunction("""COMPUTED_VALUE"""),214.02)</f>
        <v>214.02</v>
      </c>
      <c r="C286" s="8" t="n">
        <f aca="false">IFERROR(__xludf.dummyfunction("""COMPUTED_VALUE"""),217.5)</f>
        <v>217.5</v>
      </c>
      <c r="D286" s="8" t="n">
        <f aca="false">IFERROR(__xludf.dummyfunction("""COMPUTED_VALUE"""),207.16)</f>
        <v>207.16</v>
      </c>
      <c r="E286" s="8" t="n">
        <f aca="false">IFERROR(__xludf.dummyfunction("""COMPUTED_VALUE"""),207.71)</f>
        <v>207.71</v>
      </c>
      <c r="F286" s="8" t="n">
        <f aca="false">IFERROR(__xludf.dummyfunction("""COMPUTED_VALUE"""),38747533)</f>
        <v>38747533</v>
      </c>
    </row>
    <row r="287" customFormat="false" ht="15.75" hidden="false" customHeight="false" outlineLevel="0" collapsed="false">
      <c r="A287" s="9" t="n">
        <f aca="false">IFERROR(__xludf.dummyfunction("""COMPUTED_VALUE"""),44610.6666666667)</f>
        <v>44610.6666666667</v>
      </c>
      <c r="B287" s="8" t="n">
        <f aca="false">IFERROR(__xludf.dummyfunction("""COMPUTED_VALUE"""),209.39)</f>
        <v>209.39</v>
      </c>
      <c r="C287" s="8" t="n">
        <f aca="false">IFERROR(__xludf.dummyfunction("""COMPUTED_VALUE"""),210.75)</f>
        <v>210.75</v>
      </c>
      <c r="D287" s="8" t="n">
        <f aca="false">IFERROR(__xludf.dummyfunction("""COMPUTED_VALUE"""),205.18)</f>
        <v>205.18</v>
      </c>
      <c r="E287" s="8" t="n">
        <f aca="false">IFERROR(__xludf.dummyfunction("""COMPUTED_VALUE"""),206.16)</f>
        <v>206.16</v>
      </c>
      <c r="F287" s="8" t="n">
        <f aca="false">IFERROR(__xludf.dummyfunction("""COMPUTED_VALUE"""),37128438)</f>
        <v>37128438</v>
      </c>
    </row>
    <row r="288" customFormat="false" ht="15.75" hidden="false" customHeight="false" outlineLevel="0" collapsed="false">
      <c r="A288" s="9" t="n">
        <f aca="false">IFERROR(__xludf.dummyfunction("""COMPUTED_VALUE"""),44614.6666666667)</f>
        <v>44614.6666666667</v>
      </c>
      <c r="B288" s="8" t="n">
        <f aca="false">IFERROR(__xludf.dummyfunction("""COMPUTED_VALUE"""),202.34)</f>
        <v>202.34</v>
      </c>
      <c r="C288" s="8" t="n">
        <f aca="false">IFERROR(__xludf.dummyfunction("""COMPUTED_VALUE"""),207.48)</f>
        <v>207.48</v>
      </c>
      <c r="D288" s="8" t="n">
        <f aca="false">IFERROR(__xludf.dummyfunction("""COMPUTED_VALUE"""),200.06)</f>
        <v>200.06</v>
      </c>
      <c r="E288" s="8" t="n">
        <f aca="false">IFERROR(__xludf.dummyfunction("""COMPUTED_VALUE"""),202.08)</f>
        <v>202.08</v>
      </c>
      <c r="F288" s="8" t="n">
        <f aca="false">IFERROR(__xludf.dummyfunction("""COMPUTED_VALUE"""),39852391)</f>
        <v>39852391</v>
      </c>
    </row>
    <row r="289" customFormat="false" ht="15.75" hidden="false" customHeight="false" outlineLevel="0" collapsed="false">
      <c r="A289" s="9" t="n">
        <f aca="false">IFERROR(__xludf.dummyfunction("""COMPUTED_VALUE"""),44615.6666666667)</f>
        <v>44615.6666666667</v>
      </c>
      <c r="B289" s="8" t="n">
        <f aca="false">IFERROR(__xludf.dummyfunction("""COMPUTED_VALUE"""),204.16)</f>
        <v>204.16</v>
      </c>
      <c r="C289" s="8" t="n">
        <f aca="false">IFERROR(__xludf.dummyfunction("""COMPUTED_VALUE"""),206.94)</f>
        <v>206.94</v>
      </c>
      <c r="D289" s="8" t="n">
        <f aca="false">IFERROR(__xludf.dummyfunction("""COMPUTED_VALUE"""),198.05)</f>
        <v>198.05</v>
      </c>
      <c r="E289" s="8" t="n">
        <f aca="false">IFERROR(__xludf.dummyfunction("""COMPUTED_VALUE"""),198.45)</f>
        <v>198.45</v>
      </c>
      <c r="F289" s="8" t="n">
        <f aca="false">IFERROR(__xludf.dummyfunction("""COMPUTED_VALUE"""),44481359)</f>
        <v>44481359</v>
      </c>
    </row>
    <row r="290" customFormat="false" ht="15.75" hidden="false" customHeight="false" outlineLevel="0" collapsed="false">
      <c r="A290" s="9" t="n">
        <f aca="false">IFERROR(__xludf.dummyfunction("""COMPUTED_VALUE"""),44616.6666666667)</f>
        <v>44616.6666666667</v>
      </c>
      <c r="B290" s="8" t="n">
        <f aca="false">IFERROR(__xludf.dummyfunction("""COMPUTED_VALUE"""),191.06)</f>
        <v>191.06</v>
      </c>
      <c r="C290" s="8" t="n">
        <f aca="false">IFERROR(__xludf.dummyfunction("""COMPUTED_VALUE"""),208.35)</f>
        <v>208.35</v>
      </c>
      <c r="D290" s="8" t="n">
        <f aca="false">IFERROR(__xludf.dummyfunction("""COMPUTED_VALUE"""),190.22)</f>
        <v>190.22</v>
      </c>
      <c r="E290" s="8" t="n">
        <f aca="false">IFERROR(__xludf.dummyfunction("""COMPUTED_VALUE"""),207.6)</f>
        <v>207.6</v>
      </c>
      <c r="F290" s="8" t="n">
        <f aca="false">IFERROR(__xludf.dummyfunction("""COMPUTED_VALUE"""),49957167)</f>
        <v>49957167</v>
      </c>
    </row>
    <row r="291" customFormat="false" ht="15.75" hidden="false" customHeight="false" outlineLevel="0" collapsed="false">
      <c r="A291" s="9" t="n">
        <f aca="false">IFERROR(__xludf.dummyfunction("""COMPUTED_VALUE"""),44617.6666666667)</f>
        <v>44617.6666666667</v>
      </c>
      <c r="B291" s="8" t="n">
        <f aca="false">IFERROR(__xludf.dummyfunction("""COMPUTED_VALUE"""),204.94)</f>
        <v>204.94</v>
      </c>
      <c r="C291" s="8" t="n">
        <f aca="false">IFERROR(__xludf.dummyfunction("""COMPUTED_VALUE"""),211.32)</f>
        <v>211.32</v>
      </c>
      <c r="D291" s="8" t="n">
        <f aca="false">IFERROR(__xludf.dummyfunction("""COMPUTED_VALUE"""),203.18)</f>
        <v>203.18</v>
      </c>
      <c r="E291" s="8" t="n">
        <f aca="false">IFERROR(__xludf.dummyfunction("""COMPUTED_VALUE"""),210.48)</f>
        <v>210.48</v>
      </c>
      <c r="F291" s="8" t="n">
        <f aca="false">IFERROR(__xludf.dummyfunction("""COMPUTED_VALUE"""),37627551)</f>
        <v>37627551</v>
      </c>
    </row>
    <row r="292" customFormat="false" ht="15.75" hidden="false" customHeight="false" outlineLevel="0" collapsed="false">
      <c r="A292" s="9" t="n">
        <f aca="false">IFERROR(__xludf.dummyfunction("""COMPUTED_VALUE"""),44620.6666666667)</f>
        <v>44620.6666666667</v>
      </c>
      <c r="B292" s="8" t="n">
        <f aca="false">IFERROR(__xludf.dummyfunction("""COMPUTED_VALUE"""),207.68)</f>
        <v>207.68</v>
      </c>
      <c r="C292" s="8" t="n">
        <f aca="false">IFERROR(__xludf.dummyfunction("""COMPUTED_VALUE"""),213.15)</f>
        <v>213.15</v>
      </c>
      <c r="D292" s="8" t="n">
        <f aca="false">IFERROR(__xludf.dummyfunction("""COMPUTED_VALUE"""),206.83)</f>
        <v>206.83</v>
      </c>
      <c r="E292" s="8" t="n">
        <f aca="false">IFERROR(__xludf.dummyfunction("""COMPUTED_VALUE"""),211.03)</f>
        <v>211.03</v>
      </c>
      <c r="F292" s="8" t="n">
        <f aca="false">IFERROR(__xludf.dummyfunction("""COMPUTED_VALUE"""),34239803)</f>
        <v>34239803</v>
      </c>
    </row>
    <row r="293" customFormat="false" ht="15.75" hidden="false" customHeight="false" outlineLevel="0" collapsed="false">
      <c r="A293" s="9" t="n">
        <f aca="false">IFERROR(__xludf.dummyfunction("""COMPUTED_VALUE"""),44621.6666666667)</f>
        <v>44621.6666666667</v>
      </c>
      <c r="B293" s="8" t="n">
        <f aca="false">IFERROR(__xludf.dummyfunction("""COMPUTED_VALUE"""),209.87)</f>
        <v>209.87</v>
      </c>
      <c r="C293" s="8" t="n">
        <f aca="false">IFERROR(__xludf.dummyfunction("""COMPUTED_VALUE"""),211.75)</f>
        <v>211.75</v>
      </c>
      <c r="D293" s="8" t="n">
        <f aca="false">IFERROR(__xludf.dummyfunction("""COMPUTED_VALUE"""),202.22)</f>
        <v>202.22</v>
      </c>
      <c r="E293" s="8" t="n">
        <f aca="false">IFERROR(__xludf.dummyfunction("""COMPUTED_VALUE"""),203.49)</f>
        <v>203.49</v>
      </c>
      <c r="F293" s="8" t="n">
        <f aca="false">IFERROR(__xludf.dummyfunction("""COMPUTED_VALUE"""),27094902)</f>
        <v>27094902</v>
      </c>
    </row>
    <row r="294" customFormat="false" ht="15.75" hidden="false" customHeight="false" outlineLevel="0" collapsed="false">
      <c r="A294" s="9" t="n">
        <f aca="false">IFERROR(__xludf.dummyfunction("""COMPUTED_VALUE"""),44622.6666666667)</f>
        <v>44622.6666666667</v>
      </c>
      <c r="B294" s="8" t="n">
        <f aca="false">IFERROR(__xludf.dummyfunction("""COMPUTED_VALUE"""),204.78)</f>
        <v>204.78</v>
      </c>
      <c r="C294" s="8" t="n">
        <f aca="false">IFERROR(__xludf.dummyfunction("""COMPUTED_VALUE"""),209.15)</f>
        <v>209.15</v>
      </c>
      <c r="D294" s="8" t="n">
        <f aca="false">IFERROR(__xludf.dummyfunction("""COMPUTED_VALUE"""),202.02)</f>
        <v>202.02</v>
      </c>
      <c r="E294" s="8" t="n">
        <f aca="false">IFERROR(__xludf.dummyfunction("""COMPUTED_VALUE"""),208.11)</f>
        <v>208.11</v>
      </c>
      <c r="F294" s="8" t="n">
        <f aca="false">IFERROR(__xludf.dummyfunction("""COMPUTED_VALUE"""),29452147)</f>
        <v>29452147</v>
      </c>
    </row>
    <row r="295" customFormat="false" ht="15.75" hidden="false" customHeight="false" outlineLevel="0" collapsed="false">
      <c r="A295" s="9" t="n">
        <f aca="false">IFERROR(__xludf.dummyfunction("""COMPUTED_VALUE"""),44623.6666666667)</f>
        <v>44623.6666666667</v>
      </c>
      <c r="B295" s="8" t="n">
        <f aca="false">IFERROR(__xludf.dummyfunction("""COMPUTED_VALUE"""),209.02)</f>
        <v>209.02</v>
      </c>
      <c r="C295" s="8" t="n">
        <f aca="false">IFERROR(__xludf.dummyfunction("""COMPUTED_VALUE"""),209.08)</f>
        <v>209.08</v>
      </c>
      <c r="D295" s="8" t="n">
        <f aca="false">IFERROR(__xludf.dummyfunction("""COMPUTED_VALUE"""),201.42)</f>
        <v>201.42</v>
      </c>
      <c r="E295" s="8" t="n">
        <f aca="false">IFERROR(__xludf.dummyfunction("""COMPUTED_VALUE"""),202.97)</f>
        <v>202.97</v>
      </c>
      <c r="F295" s="8" t="n">
        <f aca="false">IFERROR(__xludf.dummyfunction("""COMPUTED_VALUE"""),27263524)</f>
        <v>27263524</v>
      </c>
    </row>
    <row r="296" customFormat="false" ht="15.75" hidden="false" customHeight="false" outlineLevel="0" collapsed="false">
      <c r="A296" s="9" t="n">
        <f aca="false">IFERROR(__xludf.dummyfunction("""COMPUTED_VALUE"""),44624.6666666667)</f>
        <v>44624.6666666667</v>
      </c>
      <c r="B296" s="8" t="n">
        <f aca="false">IFERROR(__xludf.dummyfunction("""COMPUTED_VALUE"""),202.37)</f>
        <v>202.37</v>
      </c>
      <c r="C296" s="8" t="n">
        <f aca="false">IFERROR(__xludf.dummyfunction("""COMPUTED_VALUE"""),205.89)</f>
        <v>205.89</v>
      </c>
      <c r="D296" s="8" t="n">
        <f aca="false">IFERROR(__xludf.dummyfunction("""COMPUTED_VALUE"""),198.79)</f>
        <v>198.79</v>
      </c>
      <c r="E296" s="8" t="n">
        <f aca="false">IFERROR(__xludf.dummyfunction("""COMPUTED_VALUE"""),200.06)</f>
        <v>200.06</v>
      </c>
      <c r="F296" s="8" t="n">
        <f aca="false">IFERROR(__xludf.dummyfunction("""COMPUTED_VALUE"""),32146264)</f>
        <v>32146264</v>
      </c>
    </row>
    <row r="297" customFormat="false" ht="15.75" hidden="false" customHeight="false" outlineLevel="0" collapsed="false">
      <c r="A297" s="9" t="n">
        <f aca="false">IFERROR(__xludf.dummyfunction("""COMPUTED_VALUE"""),44627.6666666667)</f>
        <v>44627.6666666667</v>
      </c>
      <c r="B297" s="8" t="n">
        <f aca="false">IFERROR(__xludf.dummyfunction("""COMPUTED_VALUE"""),200.79)</f>
        <v>200.79</v>
      </c>
      <c r="C297" s="8" t="n">
        <f aca="false">IFERROR(__xludf.dummyfunction("""COMPUTED_VALUE"""),200.89)</f>
        <v>200.89</v>
      </c>
      <c r="D297" s="8" t="n">
        <f aca="false">IFERROR(__xludf.dummyfunction("""COMPUTED_VALUE"""),187.28)</f>
        <v>187.28</v>
      </c>
      <c r="E297" s="8" t="n">
        <f aca="false">IFERROR(__xludf.dummyfunction("""COMPUTED_VALUE"""),187.47)</f>
        <v>187.47</v>
      </c>
      <c r="F297" s="8" t="n">
        <f aca="false">IFERROR(__xludf.dummyfunction("""COMPUTED_VALUE"""),38560609)</f>
        <v>38560609</v>
      </c>
    </row>
    <row r="298" customFormat="false" ht="15.75" hidden="false" customHeight="false" outlineLevel="0" collapsed="false">
      <c r="A298" s="9" t="n">
        <f aca="false">IFERROR(__xludf.dummyfunction("""COMPUTED_VALUE"""),44628.6666666667)</f>
        <v>44628.6666666667</v>
      </c>
      <c r="B298" s="8" t="n">
        <f aca="false">IFERROR(__xludf.dummyfunction("""COMPUTED_VALUE"""),187.85)</f>
        <v>187.85</v>
      </c>
      <c r="C298" s="8" t="n">
        <f aca="false">IFERROR(__xludf.dummyfunction("""COMPUTED_VALUE"""),196.7)</f>
        <v>196.7</v>
      </c>
      <c r="D298" s="8" t="n">
        <f aca="false">IFERROR(__xludf.dummyfunction("""COMPUTED_VALUE"""),186.11)</f>
        <v>186.11</v>
      </c>
      <c r="E298" s="8" t="n">
        <f aca="false">IFERROR(__xludf.dummyfunction("""COMPUTED_VALUE"""),190.29)</f>
        <v>190.29</v>
      </c>
      <c r="F298" s="8" t="n">
        <f aca="false">IFERROR(__xludf.dummyfunction("""COMPUTED_VALUE"""),37508149)</f>
        <v>37508149</v>
      </c>
    </row>
    <row r="299" customFormat="false" ht="15.75" hidden="false" customHeight="false" outlineLevel="0" collapsed="false">
      <c r="A299" s="9" t="n">
        <f aca="false">IFERROR(__xludf.dummyfunction("""COMPUTED_VALUE"""),44629.6666666667)</f>
        <v>44629.6666666667</v>
      </c>
      <c r="B299" s="8" t="n">
        <f aca="false">IFERROR(__xludf.dummyfunction("""COMPUTED_VALUE"""),195.74)</f>
        <v>195.74</v>
      </c>
      <c r="C299" s="8" t="n">
        <f aca="false">IFERROR(__xludf.dummyfunction("""COMPUTED_VALUE"""),199.1)</f>
        <v>199.1</v>
      </c>
      <c r="D299" s="8" t="n">
        <f aca="false">IFERROR(__xludf.dummyfunction("""COMPUTED_VALUE"""),193.92)</f>
        <v>193.92</v>
      </c>
      <c r="E299" s="8" t="n">
        <f aca="false">IFERROR(__xludf.dummyfunction("""COMPUTED_VALUE"""),198.5)</f>
        <v>198.5</v>
      </c>
      <c r="F299" s="8" t="n">
        <f aca="false">IFERROR(__xludf.dummyfunction("""COMPUTED_VALUE"""),31894695)</f>
        <v>31894695</v>
      </c>
    </row>
    <row r="300" customFormat="false" ht="15.75" hidden="false" customHeight="false" outlineLevel="0" collapsed="false">
      <c r="A300" s="9" t="n">
        <f aca="false">IFERROR(__xludf.dummyfunction("""COMPUTED_VALUE"""),44630.6666666667)</f>
        <v>44630.6666666667</v>
      </c>
      <c r="B300" s="8" t="n">
        <f aca="false">IFERROR(__xludf.dummyfunction("""COMPUTED_VALUE"""),194.84)</f>
        <v>194.84</v>
      </c>
      <c r="C300" s="8" t="n">
        <f aca="false">IFERROR(__xludf.dummyfunction("""COMPUTED_VALUE"""),196.28)</f>
        <v>196.28</v>
      </c>
      <c r="D300" s="8" t="n">
        <f aca="false">IFERROR(__xludf.dummyfunction("""COMPUTED_VALUE"""),191.07)</f>
        <v>191.07</v>
      </c>
      <c r="E300" s="8" t="n">
        <f aca="false">IFERROR(__xludf.dummyfunction("""COMPUTED_VALUE"""),195.21)</f>
        <v>195.21</v>
      </c>
      <c r="F300" s="8" t="n">
        <f aca="false">IFERROR(__xludf.dummyfunction("""COMPUTED_VALUE"""),24852975)</f>
        <v>24852975</v>
      </c>
    </row>
    <row r="301" customFormat="false" ht="15.75" hidden="false" customHeight="false" outlineLevel="0" collapsed="false">
      <c r="A301" s="9" t="n">
        <f aca="false">IFERROR(__xludf.dummyfunction("""COMPUTED_VALUE"""),44631.6666666667)</f>
        <v>44631.6666666667</v>
      </c>
      <c r="B301" s="8" t="n">
        <f aca="false">IFERROR(__xludf.dummyfunction("""COMPUTED_VALUE"""),192.64)</f>
        <v>192.64</v>
      </c>
      <c r="C301" s="8" t="n">
        <f aca="false">IFERROR(__xludf.dummyfunction("""COMPUTED_VALUE"""),193.56)</f>
        <v>193.56</v>
      </c>
      <c r="D301" s="8" t="n">
        <f aca="false">IFERROR(__xludf.dummyfunction("""COMPUTED_VALUE"""),186.67)</f>
        <v>186.67</v>
      </c>
      <c r="E301" s="8" t="n">
        <f aca="false">IFERROR(__xludf.dummyfunction("""COMPUTED_VALUE"""),187.61)</f>
        <v>187.61</v>
      </c>
      <c r="F301" s="8" t="n">
        <f aca="false">IFERROR(__xludf.dummyfunction("""COMPUTED_VALUE"""),34694534)</f>
        <v>34694534</v>
      </c>
    </row>
    <row r="302" customFormat="false" ht="15.75" hidden="false" customHeight="false" outlineLevel="0" collapsed="false">
      <c r="A302" s="9" t="n">
        <f aca="false">IFERROR(__xludf.dummyfunction("""COMPUTED_VALUE"""),44634.6666666667)</f>
        <v>44634.6666666667</v>
      </c>
      <c r="B302" s="8" t="n">
        <f aca="false">IFERROR(__xludf.dummyfunction("""COMPUTED_VALUE"""),187.03)</f>
        <v>187.03</v>
      </c>
      <c r="C302" s="8" t="n">
        <f aca="false">IFERROR(__xludf.dummyfunction("""COMPUTED_VALUE"""),192.29)</f>
        <v>192.29</v>
      </c>
      <c r="D302" s="8" t="n">
        <f aca="false">IFERROR(__xludf.dummyfunction("""COMPUTED_VALUE"""),185.82)</f>
        <v>185.82</v>
      </c>
      <c r="E302" s="8" t="n">
        <f aca="false">IFERROR(__xludf.dummyfunction("""COMPUTED_VALUE"""),186.63)</f>
        <v>186.63</v>
      </c>
      <c r="F302" s="8" t="n">
        <f aca="false">IFERROR(__xludf.dummyfunction("""COMPUTED_VALUE"""),31010462)</f>
        <v>31010462</v>
      </c>
    </row>
    <row r="303" customFormat="false" ht="15.75" hidden="false" customHeight="false" outlineLevel="0" collapsed="false">
      <c r="A303" s="9" t="n">
        <f aca="false">IFERROR(__xludf.dummyfunction("""COMPUTED_VALUE"""),44635.6666666667)</f>
        <v>44635.6666666667</v>
      </c>
      <c r="B303" s="8" t="n">
        <f aca="false">IFERROR(__xludf.dummyfunction("""COMPUTED_VALUE"""),190.8)</f>
        <v>190.8</v>
      </c>
      <c r="C303" s="8" t="n">
        <f aca="false">IFERROR(__xludf.dummyfunction("""COMPUTED_VALUE"""),192.28)</f>
        <v>192.28</v>
      </c>
      <c r="D303" s="8" t="n">
        <f aca="false">IFERROR(__xludf.dummyfunction("""COMPUTED_VALUE"""),185.91)</f>
        <v>185.91</v>
      </c>
      <c r="E303" s="8" t="n">
        <f aca="false">IFERROR(__xludf.dummyfunction("""COMPUTED_VALUE"""),192.03)</f>
        <v>192.03</v>
      </c>
      <c r="F303" s="8" t="n">
        <f aca="false">IFERROR(__xludf.dummyfunction("""COMPUTED_VALUE"""),31721682)</f>
        <v>31721682</v>
      </c>
    </row>
    <row r="304" customFormat="false" ht="15.75" hidden="false" customHeight="false" outlineLevel="0" collapsed="false">
      <c r="A304" s="9" t="n">
        <f aca="false">IFERROR(__xludf.dummyfunction("""COMPUTED_VALUE"""),44636.6666666667)</f>
        <v>44636.6666666667</v>
      </c>
      <c r="B304" s="8" t="n">
        <f aca="false">IFERROR(__xludf.dummyfunction("""COMPUTED_VALUE"""),194.7)</f>
        <v>194.7</v>
      </c>
      <c r="C304" s="8" t="n">
        <f aca="false">IFERROR(__xludf.dummyfunction("""COMPUTED_VALUE"""),203.73)</f>
        <v>203.73</v>
      </c>
      <c r="D304" s="8" t="n">
        <f aca="false">IFERROR(__xludf.dummyfunction("""COMPUTED_VALUE"""),194.52)</f>
        <v>194.52</v>
      </c>
      <c r="E304" s="8" t="n">
        <f aca="false">IFERROR(__xludf.dummyfunction("""COMPUTED_VALUE"""),203.63)</f>
        <v>203.63</v>
      </c>
      <c r="F304" s="8" t="n">
        <f aca="false">IFERROR(__xludf.dummyfunction("""COMPUTED_VALUE"""),40640264)</f>
        <v>40640264</v>
      </c>
    </row>
    <row r="305" customFormat="false" ht="15.75" hidden="false" customHeight="false" outlineLevel="0" collapsed="false">
      <c r="A305" s="9" t="n">
        <f aca="false">IFERROR(__xludf.dummyfunction("""COMPUTED_VALUE"""),44637.6666666667)</f>
        <v>44637.6666666667</v>
      </c>
      <c r="B305" s="8" t="n">
        <f aca="false">IFERROR(__xludf.dummyfunction("""COMPUTED_VALUE"""),201.7)</f>
        <v>201.7</v>
      </c>
      <c r="C305" s="8" t="n">
        <f aca="false">IFERROR(__xludf.dummyfunction("""COMPUTED_VALUE"""),208.04)</f>
        <v>208.04</v>
      </c>
      <c r="D305" s="8" t="n">
        <f aca="false">IFERROR(__xludf.dummyfunction("""COMPUTED_VALUE"""),201.11)</f>
        <v>201.11</v>
      </c>
      <c r="E305" s="8" t="n">
        <f aca="false">IFERROR(__xludf.dummyfunction("""COMPUTED_VALUE"""),207.84)</f>
        <v>207.84</v>
      </c>
      <c r="F305" s="8" t="n">
        <f aca="false">IFERROR(__xludf.dummyfunction("""COMPUTED_VALUE"""),29499681)</f>
        <v>29499681</v>
      </c>
    </row>
    <row r="306" customFormat="false" ht="15.75" hidden="false" customHeight="false" outlineLevel="0" collapsed="false">
      <c r="A306" s="9" t="n">
        <f aca="false">IFERROR(__xludf.dummyfunction("""COMPUTED_VALUE"""),44638.6666666667)</f>
        <v>44638.6666666667</v>
      </c>
      <c r="B306" s="8" t="n">
        <f aca="false">IFERROR(__xludf.dummyfunction("""COMPUTED_VALUE"""),206.7)</f>
        <v>206.7</v>
      </c>
      <c r="C306" s="8" t="n">
        <f aca="false">IFERROR(__xludf.dummyfunction("""COMPUTED_VALUE"""),216.8)</f>
        <v>216.8</v>
      </c>
      <c r="D306" s="8" t="n">
        <f aca="false">IFERROR(__xludf.dummyfunction("""COMPUTED_VALUE"""),206)</f>
        <v>206</v>
      </c>
      <c r="E306" s="8" t="n">
        <f aca="false">IFERROR(__xludf.dummyfunction("""COMPUTED_VALUE"""),216.49)</f>
        <v>216.49</v>
      </c>
      <c r="F306" s="8" t="n">
        <f aca="false">IFERROR(__xludf.dummyfunction("""COMPUTED_VALUE"""),52127982)</f>
        <v>52127982</v>
      </c>
    </row>
    <row r="307" customFormat="false" ht="15.75" hidden="false" customHeight="false" outlineLevel="0" collapsed="false">
      <c r="A307" s="9" t="n">
        <f aca="false">IFERROR(__xludf.dummyfunction("""COMPUTED_VALUE"""),44641.6666666667)</f>
        <v>44641.6666666667</v>
      </c>
      <c r="B307" s="8" t="n">
        <f aca="false">IFERROR(__xludf.dummyfunction("""COMPUTED_VALUE"""),214.5)</f>
        <v>214.5</v>
      </c>
      <c r="C307" s="8" t="n">
        <f aca="false">IFERROR(__xludf.dummyfunction("""COMPUTED_VALUE"""),214.71)</f>
        <v>214.71</v>
      </c>
      <c r="D307" s="8" t="n">
        <f aca="false">IFERROR(__xludf.dummyfunction("""COMPUTED_VALUE"""),207.63)</f>
        <v>207.63</v>
      </c>
      <c r="E307" s="8" t="n">
        <f aca="false">IFERROR(__xludf.dummyfunction("""COMPUTED_VALUE"""),211.49)</f>
        <v>211.49</v>
      </c>
      <c r="F307" s="8" t="n">
        <f aca="false">IFERROR(__xludf.dummyfunction("""COMPUTED_VALUE"""),30142338)</f>
        <v>30142338</v>
      </c>
    </row>
    <row r="308" customFormat="false" ht="15.75" hidden="false" customHeight="false" outlineLevel="0" collapsed="false">
      <c r="A308" s="9" t="n">
        <f aca="false">IFERROR(__xludf.dummyfunction("""COMPUTED_VALUE"""),44642.6666666667)</f>
        <v>44642.6666666667</v>
      </c>
      <c r="B308" s="8" t="n">
        <f aca="false">IFERROR(__xludf.dummyfunction("""COMPUTED_VALUE"""),211.37)</f>
        <v>211.37</v>
      </c>
      <c r="C308" s="8" t="n">
        <f aca="false">IFERROR(__xludf.dummyfunction("""COMPUTED_VALUE"""),219.46)</f>
        <v>219.46</v>
      </c>
      <c r="D308" s="8" t="n">
        <f aca="false">IFERROR(__xludf.dummyfunction("""COMPUTED_VALUE"""),210.18)</f>
        <v>210.18</v>
      </c>
      <c r="E308" s="8" t="n">
        <f aca="false">IFERROR(__xludf.dummyfunction("""COMPUTED_VALUE"""),216.65)</f>
        <v>216.65</v>
      </c>
      <c r="F308" s="8" t="n">
        <f aca="false">IFERROR(__xludf.dummyfunction("""COMPUTED_VALUE"""),31998799)</f>
        <v>31998799</v>
      </c>
    </row>
    <row r="309" customFormat="false" ht="15.75" hidden="false" customHeight="false" outlineLevel="0" collapsed="false">
      <c r="A309" s="9" t="n">
        <f aca="false">IFERROR(__xludf.dummyfunction("""COMPUTED_VALUE"""),44643.6666666667)</f>
        <v>44643.6666666667</v>
      </c>
      <c r="B309" s="8" t="n">
        <f aca="false">IFERROR(__xludf.dummyfunction("""COMPUTED_VALUE"""),213.33)</f>
        <v>213.33</v>
      </c>
      <c r="C309" s="8" t="n">
        <f aca="false">IFERROR(__xludf.dummyfunction("""COMPUTED_VALUE"""),216.8)</f>
        <v>216.8</v>
      </c>
      <c r="D309" s="8" t="n">
        <f aca="false">IFERROR(__xludf.dummyfunction("""COMPUTED_VALUE"""),212.16)</f>
        <v>212.16</v>
      </c>
      <c r="E309" s="8" t="n">
        <f aca="false">IFERROR(__xludf.dummyfunction("""COMPUTED_VALUE"""),213.46)</f>
        <v>213.46</v>
      </c>
      <c r="F309" s="8" t="n">
        <f aca="false">IFERROR(__xludf.dummyfunction("""COMPUTED_VALUE"""),23717321)</f>
        <v>23717321</v>
      </c>
    </row>
    <row r="310" customFormat="false" ht="15.75" hidden="false" customHeight="false" outlineLevel="0" collapsed="false">
      <c r="A310" s="9" t="n">
        <f aca="false">IFERROR(__xludf.dummyfunction("""COMPUTED_VALUE"""),44644.6666666667)</f>
        <v>44644.6666666667</v>
      </c>
      <c r="B310" s="8" t="n">
        <f aca="false">IFERROR(__xludf.dummyfunction("""COMPUTED_VALUE"""),215)</f>
        <v>215</v>
      </c>
      <c r="C310" s="8" t="n">
        <f aca="false">IFERROR(__xludf.dummyfunction("""COMPUTED_VALUE"""),220.67)</f>
        <v>220.67</v>
      </c>
      <c r="D310" s="8" t="n">
        <f aca="false">IFERROR(__xludf.dummyfunction("""COMPUTED_VALUE"""),214.79)</f>
        <v>214.79</v>
      </c>
      <c r="E310" s="8" t="n">
        <f aca="false">IFERROR(__xludf.dummyfunction("""COMPUTED_VALUE"""),219.57)</f>
        <v>219.57</v>
      </c>
      <c r="F310" s="8" t="n">
        <f aca="false">IFERROR(__xludf.dummyfunction("""COMPUTED_VALUE"""),31502314)</f>
        <v>31502314</v>
      </c>
    </row>
    <row r="311" customFormat="false" ht="15.75" hidden="false" customHeight="false" outlineLevel="0" collapsed="false">
      <c r="A311" s="9" t="n">
        <f aca="false">IFERROR(__xludf.dummyfunction("""COMPUTED_VALUE"""),44645.6666666667)</f>
        <v>44645.6666666667</v>
      </c>
      <c r="B311" s="8" t="n">
        <f aca="false">IFERROR(__xludf.dummyfunction("""COMPUTED_VALUE"""),220.51)</f>
        <v>220.51</v>
      </c>
      <c r="C311" s="8" t="n">
        <f aca="false">IFERROR(__xludf.dummyfunction("""COMPUTED_VALUE"""),225.5)</f>
        <v>225.5</v>
      </c>
      <c r="D311" s="8" t="n">
        <f aca="false">IFERROR(__xludf.dummyfunction("""COMPUTED_VALUE"""),218.89)</f>
        <v>218.89</v>
      </c>
      <c r="E311" s="8" t="n">
        <f aca="false">IFERROR(__xludf.dummyfunction("""COMPUTED_VALUE"""),221.82)</f>
        <v>221.82</v>
      </c>
      <c r="F311" s="8" t="n">
        <f aca="false">IFERROR(__xludf.dummyfunction("""COMPUTED_VALUE"""),40039026)</f>
        <v>40039026</v>
      </c>
    </row>
    <row r="312" customFormat="false" ht="15.75" hidden="false" customHeight="false" outlineLevel="0" collapsed="false">
      <c r="A312" s="9" t="n">
        <f aca="false">IFERROR(__xludf.dummyfunction("""COMPUTED_VALUE"""),44648.6666666667)</f>
        <v>44648.6666666667</v>
      </c>
      <c r="B312" s="8" t="n">
        <f aca="false">IFERROR(__xludf.dummyfunction("""COMPUTED_VALUE"""),222.13)</f>
        <v>222.13</v>
      </c>
      <c r="C312" s="8" t="n">
        <f aca="false">IFERROR(__xludf.dummyfunction("""COMPUTED_VALUE"""),224.04)</f>
        <v>224.04</v>
      </c>
      <c r="D312" s="8" t="n">
        <f aca="false">IFERROR(__xludf.dummyfunction("""COMPUTED_VALUE"""),219.54)</f>
        <v>219.54</v>
      </c>
      <c r="E312" s="8" t="n">
        <f aca="false">IFERROR(__xludf.dummyfunction("""COMPUTED_VALUE"""),223.59)</f>
        <v>223.59</v>
      </c>
      <c r="F312" s="8" t="n">
        <f aca="false">IFERROR(__xludf.dummyfunction("""COMPUTED_VALUE"""),26224141)</f>
        <v>26224141</v>
      </c>
    </row>
    <row r="313" customFormat="false" ht="15.75" hidden="false" customHeight="false" outlineLevel="0" collapsed="false">
      <c r="A313" s="9" t="n">
        <f aca="false">IFERROR(__xludf.dummyfunction("""COMPUTED_VALUE"""),44649.6666666667)</f>
        <v>44649.6666666667</v>
      </c>
      <c r="B313" s="8" t="n">
        <f aca="false">IFERROR(__xludf.dummyfunction("""COMPUTED_VALUE"""),226.07)</f>
        <v>226.07</v>
      </c>
      <c r="C313" s="8" t="n">
        <f aca="false">IFERROR(__xludf.dummyfunction("""COMPUTED_VALUE"""),230.89)</f>
        <v>230.89</v>
      </c>
      <c r="D313" s="8" t="n">
        <f aca="false">IFERROR(__xludf.dummyfunction("""COMPUTED_VALUE"""),225.29)</f>
        <v>225.29</v>
      </c>
      <c r="E313" s="8" t="n">
        <f aca="false">IFERROR(__xludf.dummyfunction("""COMPUTED_VALUE"""),229.86)</f>
        <v>229.86</v>
      </c>
      <c r="F313" s="8" t="n">
        <f aca="false">IFERROR(__xludf.dummyfunction("""COMPUTED_VALUE"""),31417857)</f>
        <v>31417857</v>
      </c>
    </row>
    <row r="314" customFormat="false" ht="15.75" hidden="false" customHeight="false" outlineLevel="0" collapsed="false">
      <c r="A314" s="9" t="n">
        <f aca="false">IFERROR(__xludf.dummyfunction("""COMPUTED_VALUE"""),44650.6666666667)</f>
        <v>44650.6666666667</v>
      </c>
      <c r="B314" s="8" t="n">
        <f aca="false">IFERROR(__xludf.dummyfunction("""COMPUTED_VALUE"""),228.91)</f>
        <v>228.91</v>
      </c>
      <c r="C314" s="8" t="n">
        <f aca="false">IFERROR(__xludf.dummyfunction("""COMPUTED_VALUE"""),231.15)</f>
        <v>231.15</v>
      </c>
      <c r="D314" s="8" t="n">
        <f aca="false">IFERROR(__xludf.dummyfunction("""COMPUTED_VALUE"""),226.71)</f>
        <v>226.71</v>
      </c>
      <c r="E314" s="8" t="n">
        <f aca="false">IFERROR(__xludf.dummyfunction("""COMPUTED_VALUE"""),227.85)</f>
        <v>227.85</v>
      </c>
      <c r="F314" s="8" t="n">
        <f aca="false">IFERROR(__xludf.dummyfunction("""COMPUTED_VALUE"""),25588046)</f>
        <v>25588046</v>
      </c>
    </row>
    <row r="315" customFormat="false" ht="15.75" hidden="false" customHeight="false" outlineLevel="0" collapsed="false">
      <c r="A315" s="9" t="n">
        <f aca="false">IFERROR(__xludf.dummyfunction("""COMPUTED_VALUE"""),44651.6666666667)</f>
        <v>44651.6666666667</v>
      </c>
      <c r="B315" s="8" t="n">
        <f aca="false">IFERROR(__xludf.dummyfunction("""COMPUTED_VALUE"""),228.45)</f>
        <v>228.45</v>
      </c>
      <c r="C315" s="8" t="n">
        <f aca="false">IFERROR(__xludf.dummyfunction("""COMPUTED_VALUE"""),228.49)</f>
        <v>228.49</v>
      </c>
      <c r="D315" s="8" t="n">
        <f aca="false">IFERROR(__xludf.dummyfunction("""COMPUTED_VALUE"""),222.26)</f>
        <v>222.26</v>
      </c>
      <c r="E315" s="8" t="n">
        <f aca="false">IFERROR(__xludf.dummyfunction("""COMPUTED_VALUE"""),222.36)</f>
        <v>222.36</v>
      </c>
      <c r="F315" s="8" t="n">
        <f aca="false">IFERROR(__xludf.dummyfunction("""COMPUTED_VALUE"""),24192266)</f>
        <v>24192266</v>
      </c>
    </row>
    <row r="316" customFormat="false" ht="15.75" hidden="false" customHeight="false" outlineLevel="0" collapsed="false">
      <c r="A316" s="9" t="n">
        <f aca="false">IFERROR(__xludf.dummyfunction("""COMPUTED_VALUE"""),44652.6666666667)</f>
        <v>44652.6666666667</v>
      </c>
      <c r="B316" s="8" t="n">
        <f aca="false">IFERROR(__xludf.dummyfunction("""COMPUTED_VALUE"""),224.55)</f>
        <v>224.55</v>
      </c>
      <c r="C316" s="8" t="n">
        <f aca="false">IFERROR(__xludf.dummyfunction("""COMPUTED_VALUE"""),227.28)</f>
        <v>227.28</v>
      </c>
      <c r="D316" s="8" t="n">
        <f aca="false">IFERROR(__xludf.dummyfunction("""COMPUTED_VALUE"""),222.7)</f>
        <v>222.7</v>
      </c>
      <c r="E316" s="8" t="n">
        <f aca="false">IFERROR(__xludf.dummyfunction("""COMPUTED_VALUE"""),224.85)</f>
        <v>224.85</v>
      </c>
      <c r="F316" s="8" t="n">
        <f aca="false">IFERROR(__xludf.dummyfunction("""COMPUTED_VALUE"""),19544758)</f>
        <v>19544758</v>
      </c>
    </row>
    <row r="317" customFormat="false" ht="15.75" hidden="false" customHeight="false" outlineLevel="0" collapsed="false">
      <c r="A317" s="9" t="n">
        <f aca="false">IFERROR(__xludf.dummyfunction("""COMPUTED_VALUE"""),44655.6666666667)</f>
        <v>44655.6666666667</v>
      </c>
      <c r="B317" s="8" t="n">
        <f aca="false">IFERROR(__xludf.dummyfunction("""COMPUTED_VALUE"""),225.98)</f>
        <v>225.98</v>
      </c>
      <c r="C317" s="8" t="n">
        <f aca="false">IFERROR(__xludf.dummyfunction("""COMPUTED_VALUE"""),234.35)</f>
        <v>234.35</v>
      </c>
      <c r="D317" s="8" t="n">
        <f aca="false">IFERROR(__xludf.dummyfunction("""COMPUTED_VALUE"""),225.86)</f>
        <v>225.86</v>
      </c>
      <c r="E317" s="8" t="n">
        <f aca="false">IFERROR(__xludf.dummyfunction("""COMPUTED_VALUE"""),233.89)</f>
        <v>233.89</v>
      </c>
      <c r="F317" s="8" t="n">
        <f aca="false">IFERROR(__xludf.dummyfunction("""COMPUTED_VALUE"""),28100826)</f>
        <v>28100826</v>
      </c>
    </row>
    <row r="318" customFormat="false" ht="15.75" hidden="false" customHeight="false" outlineLevel="0" collapsed="false">
      <c r="A318" s="9" t="n">
        <f aca="false">IFERROR(__xludf.dummyfunction("""COMPUTED_VALUE"""),44656.6666666667)</f>
        <v>44656.6666666667</v>
      </c>
      <c r="B318" s="8" t="n">
        <f aca="false">IFERROR(__xludf.dummyfunction("""COMPUTED_VALUE"""),234.08)</f>
        <v>234.08</v>
      </c>
      <c r="C318" s="8" t="n">
        <f aca="false">IFERROR(__xludf.dummyfunction("""COMPUTED_VALUE"""),236.86)</f>
        <v>236.86</v>
      </c>
      <c r="D318" s="8" t="n">
        <f aca="false">IFERROR(__xludf.dummyfunction("""COMPUTED_VALUE"""),231.02)</f>
        <v>231.02</v>
      </c>
      <c r="E318" s="8" t="n">
        <f aca="false">IFERROR(__xludf.dummyfunction("""COMPUTED_VALUE"""),231.84)</f>
        <v>231.84</v>
      </c>
      <c r="F318" s="8" t="n">
        <f aca="false">IFERROR(__xludf.dummyfunction("""COMPUTED_VALUE"""),29727181)</f>
        <v>29727181</v>
      </c>
    </row>
    <row r="319" customFormat="false" ht="15.75" hidden="false" customHeight="false" outlineLevel="0" collapsed="false">
      <c r="A319" s="9" t="n">
        <f aca="false">IFERROR(__xludf.dummyfunction("""COMPUTED_VALUE"""),44657.6666666667)</f>
        <v>44657.6666666667</v>
      </c>
      <c r="B319" s="8" t="n">
        <f aca="false">IFERROR(__xludf.dummyfunction("""COMPUTED_VALUE"""),226.91)</f>
        <v>226.91</v>
      </c>
      <c r="C319" s="8" t="n">
        <f aca="false">IFERROR(__xludf.dummyfunction("""COMPUTED_VALUE"""),228.99)</f>
        <v>228.99</v>
      </c>
      <c r="D319" s="8" t="n">
        <f aca="false">IFERROR(__xludf.dummyfunction("""COMPUTED_VALUE"""),221.41)</f>
        <v>221.41</v>
      </c>
      <c r="E319" s="8" t="n">
        <f aca="false">IFERROR(__xludf.dummyfunction("""COMPUTED_VALUE"""),223.3)</f>
        <v>223.3</v>
      </c>
      <c r="F319" s="8" t="n">
        <f aca="false">IFERROR(__xludf.dummyfunction("""COMPUTED_VALUE"""),28995080)</f>
        <v>28995080</v>
      </c>
    </row>
    <row r="320" customFormat="false" ht="15.75" hidden="false" customHeight="false" outlineLevel="0" collapsed="false">
      <c r="A320" s="9" t="n">
        <f aca="false">IFERROR(__xludf.dummyfunction("""COMPUTED_VALUE"""),44658.6666666667)</f>
        <v>44658.6666666667</v>
      </c>
      <c r="B320" s="8" t="n">
        <f aca="false">IFERROR(__xludf.dummyfunction("""COMPUTED_VALUE"""),223.93)</f>
        <v>223.93</v>
      </c>
      <c r="C320" s="8" t="n">
        <f aca="false">IFERROR(__xludf.dummyfunction("""COMPUTED_VALUE"""),225.52)</f>
        <v>225.52</v>
      </c>
      <c r="D320" s="8" t="n">
        <f aca="false">IFERROR(__xludf.dummyfunction("""COMPUTED_VALUE"""),218.56)</f>
        <v>218.56</v>
      </c>
      <c r="E320" s="8" t="n">
        <f aca="false">IFERROR(__xludf.dummyfunction("""COMPUTED_VALUE"""),222.95)</f>
        <v>222.95</v>
      </c>
      <c r="F320" s="8" t="n">
        <f aca="false">IFERROR(__xludf.dummyfunction("""COMPUTED_VALUE"""),21037187)</f>
        <v>21037187</v>
      </c>
    </row>
    <row r="321" customFormat="false" ht="15.75" hidden="false" customHeight="false" outlineLevel="0" collapsed="false">
      <c r="A321" s="9" t="n">
        <f aca="false">IFERROR(__xludf.dummyfunction("""COMPUTED_VALUE"""),44659.6666666667)</f>
        <v>44659.6666666667</v>
      </c>
      <c r="B321" s="8" t="n">
        <f aca="false">IFERROR(__xludf.dummyfunction("""COMPUTED_VALUE"""),222.38)</f>
        <v>222.38</v>
      </c>
      <c r="C321" s="8" t="n">
        <f aca="false">IFERROR(__xludf.dummyfunction("""COMPUTED_VALUE"""),225.13)</f>
        <v>225.13</v>
      </c>
      <c r="D321" s="8" t="n">
        <f aca="false">IFERROR(__xludf.dummyfunction("""COMPUTED_VALUE"""),220.03)</f>
        <v>220.03</v>
      </c>
      <c r="E321" s="8" t="n">
        <f aca="false">IFERROR(__xludf.dummyfunction("""COMPUTED_VALUE"""),222.33)</f>
        <v>222.33</v>
      </c>
      <c r="F321" s="8" t="n">
        <f aca="false">IFERROR(__xludf.dummyfunction("""COMPUTED_VALUE"""),18375711)</f>
        <v>18375711</v>
      </c>
    </row>
    <row r="322" customFormat="false" ht="15.75" hidden="false" customHeight="false" outlineLevel="0" collapsed="false">
      <c r="A322" s="9" t="n">
        <f aca="false">IFERROR(__xludf.dummyfunction("""COMPUTED_VALUE"""),44662.6666666667)</f>
        <v>44662.6666666667</v>
      </c>
      <c r="B322" s="8" t="n">
        <f aca="false">IFERROR(__xludf.dummyfunction("""COMPUTED_VALUE"""),218.42)</f>
        <v>218.42</v>
      </c>
      <c r="C322" s="8" t="n">
        <f aca="false">IFERROR(__xludf.dummyfunction("""COMPUTED_VALUE"""),220.61)</f>
        <v>220.61</v>
      </c>
      <c r="D322" s="8" t="n">
        <f aca="false">IFERROR(__xludf.dummyfunction("""COMPUTED_VALUE"""),215.22)</f>
        <v>215.22</v>
      </c>
      <c r="E322" s="8" t="n">
        <f aca="false">IFERROR(__xludf.dummyfunction("""COMPUTED_VALUE"""),216.46)</f>
        <v>216.46</v>
      </c>
      <c r="F322" s="8" t="n">
        <f aca="false">IFERROR(__xludf.dummyfunction("""COMPUTED_VALUE"""),20516586)</f>
        <v>20516586</v>
      </c>
    </row>
    <row r="323" customFormat="false" ht="15.75" hidden="false" customHeight="false" outlineLevel="0" collapsed="false">
      <c r="A323" s="9" t="n">
        <f aca="false">IFERROR(__xludf.dummyfunction("""COMPUTED_VALUE"""),44663.6666666667)</f>
        <v>44663.6666666667</v>
      </c>
      <c r="B323" s="8" t="n">
        <f aca="false">IFERROR(__xludf.dummyfunction("""COMPUTED_VALUE"""),220.24)</f>
        <v>220.24</v>
      </c>
      <c r="C323" s="8" t="n">
        <f aca="false">IFERROR(__xludf.dummyfunction("""COMPUTED_VALUE"""),222.03)</f>
        <v>222.03</v>
      </c>
      <c r="D323" s="8" t="n">
        <f aca="false">IFERROR(__xludf.dummyfunction("""COMPUTED_VALUE"""),213.13)</f>
        <v>213.13</v>
      </c>
      <c r="E323" s="8" t="n">
        <f aca="false">IFERROR(__xludf.dummyfunction("""COMPUTED_VALUE"""),214.14)</f>
        <v>214.14</v>
      </c>
      <c r="F323" s="8" t="n">
        <f aca="false">IFERROR(__xludf.dummyfunction("""COMPUTED_VALUE"""),20128827)</f>
        <v>20128827</v>
      </c>
    </row>
    <row r="324" customFormat="false" ht="15.75" hidden="false" customHeight="false" outlineLevel="0" collapsed="false">
      <c r="A324" s="9" t="n">
        <f aca="false">IFERROR(__xludf.dummyfunction("""COMPUTED_VALUE"""),44664.6666666667)</f>
        <v>44664.6666666667</v>
      </c>
      <c r="B324" s="8" t="n">
        <f aca="false">IFERROR(__xludf.dummyfunction("""COMPUTED_VALUE"""),211.82)</f>
        <v>211.82</v>
      </c>
      <c r="C324" s="8" t="n">
        <f aca="false">IFERROR(__xludf.dummyfunction("""COMPUTED_VALUE"""),216.61)</f>
        <v>216.61</v>
      </c>
      <c r="D324" s="8" t="n">
        <f aca="false">IFERROR(__xludf.dummyfunction("""COMPUTED_VALUE"""),211.33)</f>
        <v>211.33</v>
      </c>
      <c r="E324" s="8" t="n">
        <f aca="false">IFERROR(__xludf.dummyfunction("""COMPUTED_VALUE"""),214.99)</f>
        <v>214.99</v>
      </c>
      <c r="F324" s="8" t="n">
        <f aca="false">IFERROR(__xludf.dummyfunction("""COMPUTED_VALUE"""),19231816)</f>
        <v>19231816</v>
      </c>
    </row>
    <row r="325" customFormat="false" ht="15.75" hidden="false" customHeight="false" outlineLevel="0" collapsed="false">
      <c r="A325" s="9" t="n">
        <f aca="false">IFERROR(__xludf.dummyfunction("""COMPUTED_VALUE"""),44665.6666666667)</f>
        <v>44665.6666666667</v>
      </c>
      <c r="B325" s="8" t="n">
        <f aca="false">IFERROR(__xludf.dummyfunction("""COMPUTED_VALUE"""),214.89)</f>
        <v>214.89</v>
      </c>
      <c r="C325" s="8" t="n">
        <f aca="false">IFERROR(__xludf.dummyfunction("""COMPUTED_VALUE"""),214.99)</f>
        <v>214.99</v>
      </c>
      <c r="D325" s="8" t="n">
        <f aca="false">IFERROR(__xludf.dummyfunction("""COMPUTED_VALUE"""),210)</f>
        <v>210</v>
      </c>
      <c r="E325" s="8" t="n">
        <f aca="false">IFERROR(__xludf.dummyfunction("""COMPUTED_VALUE"""),210.18)</f>
        <v>210.18</v>
      </c>
      <c r="F325" s="8" t="n">
        <f aca="false">IFERROR(__xludf.dummyfunction("""COMPUTED_VALUE"""),18379455)</f>
        <v>18379455</v>
      </c>
    </row>
    <row r="326" customFormat="false" ht="15.75" hidden="false" customHeight="false" outlineLevel="0" collapsed="false">
      <c r="A326" s="9" t="n">
        <f aca="false">IFERROR(__xludf.dummyfunction("""COMPUTED_VALUE"""),44669.6666666667)</f>
        <v>44669.6666666667</v>
      </c>
      <c r="B326" s="8" t="n">
        <f aca="false">IFERROR(__xludf.dummyfunction("""COMPUTED_VALUE"""),210)</f>
        <v>210</v>
      </c>
      <c r="C326" s="8" t="n">
        <f aca="false">IFERROR(__xludf.dummyfunction("""COMPUTED_VALUE"""),213.38)</f>
        <v>213.38</v>
      </c>
      <c r="D326" s="8" t="n">
        <f aca="false">IFERROR(__xludf.dummyfunction("""COMPUTED_VALUE"""),208.3)</f>
        <v>208.3</v>
      </c>
      <c r="E326" s="8" t="n">
        <f aca="false">IFERROR(__xludf.dummyfunction("""COMPUTED_VALUE"""),210.77)</f>
        <v>210.77</v>
      </c>
      <c r="F326" s="8" t="n">
        <f aca="false">IFERROR(__xludf.dummyfunction("""COMPUTED_VALUE"""),16580792)</f>
        <v>16580792</v>
      </c>
    </row>
    <row r="327" customFormat="false" ht="15.75" hidden="false" customHeight="false" outlineLevel="0" collapsed="false">
      <c r="A327" s="9" t="n">
        <f aca="false">IFERROR(__xludf.dummyfunction("""COMPUTED_VALUE"""),44670.6666666667)</f>
        <v>44670.6666666667</v>
      </c>
      <c r="B327" s="8" t="n">
        <f aca="false">IFERROR(__xludf.dummyfunction("""COMPUTED_VALUE"""),210.52)</f>
        <v>210.52</v>
      </c>
      <c r="C327" s="8" t="n">
        <f aca="false">IFERROR(__xludf.dummyfunction("""COMPUTED_VALUE"""),218.43)</f>
        <v>218.43</v>
      </c>
      <c r="D327" s="8" t="n">
        <f aca="false">IFERROR(__xludf.dummyfunction("""COMPUTED_VALUE"""),209)</f>
        <v>209</v>
      </c>
      <c r="E327" s="8" t="n">
        <f aca="false">IFERROR(__xludf.dummyfunction("""COMPUTED_VALUE"""),217.31)</f>
        <v>217.31</v>
      </c>
      <c r="F327" s="8" t="n">
        <f aca="false">IFERROR(__xludf.dummyfunction("""COMPUTED_VALUE"""),20089871)</f>
        <v>20089871</v>
      </c>
    </row>
    <row r="328" customFormat="false" ht="15.75" hidden="false" customHeight="false" outlineLevel="0" collapsed="false">
      <c r="A328" s="9" t="n">
        <f aca="false">IFERROR(__xludf.dummyfunction("""COMPUTED_VALUE"""),44671.6666666667)</f>
        <v>44671.6666666667</v>
      </c>
      <c r="B328" s="8" t="n">
        <f aca="false">IFERROR(__xludf.dummyfunction("""COMPUTED_VALUE"""),213.61)</f>
        <v>213.61</v>
      </c>
      <c r="C328" s="8" t="n">
        <f aca="false">IFERROR(__xludf.dummyfunction("""COMPUTED_VALUE"""),214.16)</f>
        <v>214.16</v>
      </c>
      <c r="D328" s="8" t="n">
        <f aca="false">IFERROR(__xludf.dummyfunction("""COMPUTED_VALUE"""),198.92)</f>
        <v>198.92</v>
      </c>
      <c r="E328" s="8" t="n">
        <f aca="false">IFERROR(__xludf.dummyfunction("""COMPUTED_VALUE"""),200.42)</f>
        <v>200.42</v>
      </c>
      <c r="F328" s="8" t="n">
        <f aca="false">IFERROR(__xludf.dummyfunction("""COMPUTED_VALUE"""),43036528)</f>
        <v>43036528</v>
      </c>
    </row>
    <row r="329" customFormat="false" ht="15.75" hidden="false" customHeight="false" outlineLevel="0" collapsed="false">
      <c r="A329" s="9" t="n">
        <f aca="false">IFERROR(__xludf.dummyfunction("""COMPUTED_VALUE"""),44672.6666666667)</f>
        <v>44672.6666666667</v>
      </c>
      <c r="B329" s="8" t="n">
        <f aca="false">IFERROR(__xludf.dummyfunction("""COMPUTED_VALUE"""),201.6)</f>
        <v>201.6</v>
      </c>
      <c r="C329" s="8" t="n">
        <f aca="false">IFERROR(__xludf.dummyfunction("""COMPUTED_VALUE"""),202.97)</f>
        <v>202.97</v>
      </c>
      <c r="D329" s="8" t="n">
        <f aca="false">IFERROR(__xludf.dummyfunction("""COMPUTED_VALUE"""),185.58)</f>
        <v>185.58</v>
      </c>
      <c r="E329" s="8" t="n">
        <f aca="false">IFERROR(__xludf.dummyfunction("""COMPUTED_VALUE"""),188.07)</f>
        <v>188.07</v>
      </c>
      <c r="F329" s="8" t="n">
        <f aca="false">IFERROR(__xludf.dummyfunction("""COMPUTED_VALUE"""),49954078)</f>
        <v>49954078</v>
      </c>
    </row>
    <row r="330" customFormat="false" ht="15.75" hidden="false" customHeight="false" outlineLevel="0" collapsed="false">
      <c r="A330" s="9" t="n">
        <f aca="false">IFERROR(__xludf.dummyfunction("""COMPUTED_VALUE"""),44673.6666666667)</f>
        <v>44673.6666666667</v>
      </c>
      <c r="B330" s="8" t="n">
        <f aca="false">IFERROR(__xludf.dummyfunction("""COMPUTED_VALUE"""),190.37)</f>
        <v>190.37</v>
      </c>
      <c r="C330" s="8" t="n">
        <f aca="false">IFERROR(__xludf.dummyfunction("""COMPUTED_VALUE"""),192.72)</f>
        <v>192.72</v>
      </c>
      <c r="D330" s="8" t="n">
        <f aca="false">IFERROR(__xludf.dummyfunction("""COMPUTED_VALUE"""),183.27)</f>
        <v>183.27</v>
      </c>
      <c r="E330" s="8" t="n">
        <f aca="false">IFERROR(__xludf.dummyfunction("""COMPUTED_VALUE"""),184.11)</f>
        <v>184.11</v>
      </c>
      <c r="F330" s="8" t="n">
        <f aca="false">IFERROR(__xludf.dummyfunction("""COMPUTED_VALUE"""),36426769)</f>
        <v>36426769</v>
      </c>
    </row>
    <row r="331" customFormat="false" ht="15.75" hidden="false" customHeight="false" outlineLevel="0" collapsed="false">
      <c r="A331" s="9" t="n">
        <f aca="false">IFERROR(__xludf.dummyfunction("""COMPUTED_VALUE"""),44676.6666666667)</f>
        <v>44676.6666666667</v>
      </c>
      <c r="B331" s="8" t="n">
        <f aca="false">IFERROR(__xludf.dummyfunction("""COMPUTED_VALUE"""),182.73)</f>
        <v>182.73</v>
      </c>
      <c r="C331" s="8" t="n">
        <f aca="false">IFERROR(__xludf.dummyfunction("""COMPUTED_VALUE"""),187.18)</f>
        <v>187.18</v>
      </c>
      <c r="D331" s="8" t="n">
        <f aca="false">IFERROR(__xludf.dummyfunction("""COMPUTED_VALUE"""),181.66)</f>
        <v>181.66</v>
      </c>
      <c r="E331" s="8" t="n">
        <f aca="false">IFERROR(__xludf.dummyfunction("""COMPUTED_VALUE"""),186.99)</f>
        <v>186.99</v>
      </c>
      <c r="F331" s="8" t="n">
        <f aca="false">IFERROR(__xludf.dummyfunction("""COMPUTED_VALUE"""),29281060)</f>
        <v>29281060</v>
      </c>
    </row>
    <row r="332" customFormat="false" ht="15.75" hidden="false" customHeight="false" outlineLevel="0" collapsed="false">
      <c r="A332" s="9" t="n">
        <f aca="false">IFERROR(__xludf.dummyfunction("""COMPUTED_VALUE"""),44677.6666666667)</f>
        <v>44677.6666666667</v>
      </c>
      <c r="B332" s="8" t="n">
        <f aca="false">IFERROR(__xludf.dummyfunction("""COMPUTED_VALUE"""),186.63)</f>
        <v>186.63</v>
      </c>
      <c r="C332" s="8" t="n">
        <f aca="false">IFERROR(__xludf.dummyfunction("""COMPUTED_VALUE"""),187.19)</f>
        <v>187.19</v>
      </c>
      <c r="D332" s="8" t="n">
        <f aca="false">IFERROR(__xludf.dummyfunction("""COMPUTED_VALUE"""),179.5)</f>
        <v>179.5</v>
      </c>
      <c r="E332" s="8" t="n">
        <f aca="false">IFERROR(__xludf.dummyfunction("""COMPUTED_VALUE"""),180.95)</f>
        <v>180.95</v>
      </c>
      <c r="F332" s="8" t="n">
        <f aca="false">IFERROR(__xludf.dummyfunction("""COMPUTED_VALUE"""),31747434)</f>
        <v>31747434</v>
      </c>
    </row>
    <row r="333" customFormat="false" ht="15.75" hidden="false" customHeight="false" outlineLevel="0" collapsed="false">
      <c r="A333" s="9" t="n">
        <f aca="false">IFERROR(__xludf.dummyfunction("""COMPUTED_VALUE"""),44678.6666666667)</f>
        <v>44678.6666666667</v>
      </c>
      <c r="B333" s="8" t="n">
        <f aca="false">IFERROR(__xludf.dummyfunction("""COMPUTED_VALUE"""),174.43)</f>
        <v>174.43</v>
      </c>
      <c r="C333" s="8" t="n">
        <f aca="false">IFERROR(__xludf.dummyfunction("""COMPUTED_VALUE"""),181.21)</f>
        <v>181.21</v>
      </c>
      <c r="D333" s="8" t="n">
        <f aca="false">IFERROR(__xludf.dummyfunction("""COMPUTED_VALUE"""),169)</f>
        <v>169</v>
      </c>
      <c r="E333" s="8" t="n">
        <f aca="false">IFERROR(__xludf.dummyfunction("""COMPUTED_VALUE"""),174.95)</f>
        <v>174.95</v>
      </c>
      <c r="F333" s="8" t="n">
        <f aca="false">IFERROR(__xludf.dummyfunction("""COMPUTED_VALUE"""),71062886)</f>
        <v>71062886</v>
      </c>
    </row>
    <row r="334" customFormat="false" ht="15.75" hidden="false" customHeight="false" outlineLevel="0" collapsed="false">
      <c r="A334" s="9" t="n">
        <f aca="false">IFERROR(__xludf.dummyfunction("""COMPUTED_VALUE"""),44679.6666666667)</f>
        <v>44679.6666666667</v>
      </c>
      <c r="B334" s="8" t="n">
        <f aca="false">IFERROR(__xludf.dummyfunction("""COMPUTED_VALUE"""),202.92)</f>
        <v>202.92</v>
      </c>
      <c r="C334" s="8" t="n">
        <f aca="false">IFERROR(__xludf.dummyfunction("""COMPUTED_VALUE"""),208.53)</f>
        <v>208.53</v>
      </c>
      <c r="D334" s="8" t="n">
        <f aca="false">IFERROR(__xludf.dummyfunction("""COMPUTED_VALUE"""),192.9)</f>
        <v>192.9</v>
      </c>
      <c r="E334" s="8" t="n">
        <f aca="false">IFERROR(__xludf.dummyfunction("""COMPUTED_VALUE"""),205.73)</f>
        <v>205.73</v>
      </c>
      <c r="F334" s="8" t="n">
        <f aca="false">IFERROR(__xludf.dummyfunction("""COMPUTED_VALUE"""),100890551)</f>
        <v>100890551</v>
      </c>
    </row>
    <row r="335" customFormat="false" ht="15.75" hidden="false" customHeight="false" outlineLevel="0" collapsed="false">
      <c r="A335" s="9" t="n">
        <f aca="false">IFERROR(__xludf.dummyfunction("""COMPUTED_VALUE"""),44680.6666666667)</f>
        <v>44680.6666666667</v>
      </c>
      <c r="B335" s="8" t="n">
        <f aca="false">IFERROR(__xludf.dummyfunction("""COMPUTED_VALUE"""),204.46)</f>
        <v>204.46</v>
      </c>
      <c r="C335" s="8" t="n">
        <f aca="false">IFERROR(__xludf.dummyfunction("""COMPUTED_VALUE"""),212.48)</f>
        <v>212.48</v>
      </c>
      <c r="D335" s="8" t="n">
        <f aca="false">IFERROR(__xludf.dummyfunction("""COMPUTED_VALUE"""),199.9)</f>
        <v>199.9</v>
      </c>
      <c r="E335" s="8" t="n">
        <f aca="false">IFERROR(__xludf.dummyfunction("""COMPUTED_VALUE"""),200.47)</f>
        <v>200.47</v>
      </c>
      <c r="F335" s="8" t="n">
        <f aca="false">IFERROR(__xludf.dummyfunction("""COMPUTED_VALUE"""),49193434)</f>
        <v>49193434</v>
      </c>
    </row>
    <row r="336" customFormat="false" ht="15.75" hidden="false" customHeight="false" outlineLevel="0" collapsed="false">
      <c r="A336" s="9" t="n">
        <f aca="false">IFERROR(__xludf.dummyfunction("""COMPUTED_VALUE"""),44683.6666666667)</f>
        <v>44683.6666666667</v>
      </c>
      <c r="B336" s="8" t="n">
        <f aca="false">IFERROR(__xludf.dummyfunction("""COMPUTED_VALUE"""),201.17)</f>
        <v>201.17</v>
      </c>
      <c r="C336" s="8" t="n">
        <f aca="false">IFERROR(__xludf.dummyfunction("""COMPUTED_VALUE"""),211.88)</f>
        <v>211.88</v>
      </c>
      <c r="D336" s="8" t="n">
        <f aca="false">IFERROR(__xludf.dummyfunction("""COMPUTED_VALUE"""),200.99)</f>
        <v>200.99</v>
      </c>
      <c r="E336" s="8" t="n">
        <f aca="false">IFERROR(__xludf.dummyfunction("""COMPUTED_VALUE"""),211.13)</f>
        <v>211.13</v>
      </c>
      <c r="F336" s="8" t="n">
        <f aca="false">IFERROR(__xludf.dummyfunction("""COMPUTED_VALUE"""),49915289)</f>
        <v>49915289</v>
      </c>
    </row>
    <row r="337" customFormat="false" ht="15.75" hidden="false" customHeight="false" outlineLevel="0" collapsed="false">
      <c r="A337" s="9" t="n">
        <f aca="false">IFERROR(__xludf.dummyfunction("""COMPUTED_VALUE"""),44684.6666666667)</f>
        <v>44684.6666666667</v>
      </c>
      <c r="B337" s="8" t="n">
        <f aca="false">IFERROR(__xludf.dummyfunction("""COMPUTED_VALUE"""),210.45)</f>
        <v>210.45</v>
      </c>
      <c r="C337" s="8" t="n">
        <f aca="false">IFERROR(__xludf.dummyfunction("""COMPUTED_VALUE"""),214.9)</f>
        <v>214.9</v>
      </c>
      <c r="D337" s="8" t="n">
        <f aca="false">IFERROR(__xludf.dummyfunction("""COMPUTED_VALUE"""),208.09)</f>
        <v>208.09</v>
      </c>
      <c r="E337" s="8" t="n">
        <f aca="false">IFERROR(__xludf.dummyfunction("""COMPUTED_VALUE"""),212.03)</f>
        <v>212.03</v>
      </c>
      <c r="F337" s="8" t="n">
        <f aca="false">IFERROR(__xludf.dummyfunction("""COMPUTED_VALUE"""),41556267)</f>
        <v>41556267</v>
      </c>
    </row>
    <row r="338" customFormat="false" ht="15.75" hidden="false" customHeight="false" outlineLevel="0" collapsed="false">
      <c r="A338" s="9" t="n">
        <f aca="false">IFERROR(__xludf.dummyfunction("""COMPUTED_VALUE"""),44685.6666666667)</f>
        <v>44685.6666666667</v>
      </c>
      <c r="B338" s="8" t="n">
        <f aca="false">IFERROR(__xludf.dummyfunction("""COMPUTED_VALUE"""),210.65)</f>
        <v>210.65</v>
      </c>
      <c r="C338" s="8" t="n">
        <f aca="false">IFERROR(__xludf.dummyfunction("""COMPUTED_VALUE"""),224.3)</f>
        <v>224.3</v>
      </c>
      <c r="D338" s="8" t="n">
        <f aca="false">IFERROR(__xludf.dummyfunction("""COMPUTED_VALUE"""),206.96)</f>
        <v>206.96</v>
      </c>
      <c r="E338" s="8" t="n">
        <f aca="false">IFERROR(__xludf.dummyfunction("""COMPUTED_VALUE"""),223.41)</f>
        <v>223.41</v>
      </c>
      <c r="F338" s="8" t="n">
        <f aca="false">IFERROR(__xludf.dummyfunction("""COMPUTED_VALUE"""),41375881)</f>
        <v>41375881</v>
      </c>
    </row>
    <row r="339" customFormat="false" ht="15.75" hidden="false" customHeight="false" outlineLevel="0" collapsed="false">
      <c r="A339" s="9" t="n">
        <f aca="false">IFERROR(__xludf.dummyfunction("""COMPUTED_VALUE"""),44686.6666666667)</f>
        <v>44686.6666666667</v>
      </c>
      <c r="B339" s="8" t="n">
        <f aca="false">IFERROR(__xludf.dummyfunction("""COMPUTED_VALUE"""),218.74)</f>
        <v>218.74</v>
      </c>
      <c r="C339" s="8" t="n">
        <f aca="false">IFERROR(__xludf.dummyfunction("""COMPUTED_VALUE"""),220.17)</f>
        <v>220.17</v>
      </c>
      <c r="D339" s="8" t="n">
        <f aca="false">IFERROR(__xludf.dummyfunction("""COMPUTED_VALUE"""),206.16)</f>
        <v>206.16</v>
      </c>
      <c r="E339" s="8" t="n">
        <f aca="false">IFERROR(__xludf.dummyfunction("""COMPUTED_VALUE"""),208.28)</f>
        <v>208.28</v>
      </c>
      <c r="F339" s="8" t="n">
        <f aca="false">IFERROR(__xludf.dummyfunction("""COMPUTED_VALUE"""),41129192)</f>
        <v>41129192</v>
      </c>
    </row>
    <row r="340" customFormat="false" ht="15.75" hidden="false" customHeight="false" outlineLevel="0" collapsed="false">
      <c r="A340" s="9" t="n">
        <f aca="false">IFERROR(__xludf.dummyfunction("""COMPUTED_VALUE"""),44687.6666666667)</f>
        <v>44687.6666666667</v>
      </c>
      <c r="B340" s="8" t="n">
        <f aca="false">IFERROR(__xludf.dummyfunction("""COMPUTED_VALUE"""),207.34)</f>
        <v>207.34</v>
      </c>
      <c r="C340" s="8" t="n">
        <f aca="false">IFERROR(__xludf.dummyfunction("""COMPUTED_VALUE"""),209.38)</f>
        <v>209.38</v>
      </c>
      <c r="D340" s="8" t="n">
        <f aca="false">IFERROR(__xludf.dummyfunction("""COMPUTED_VALUE"""),201.02)</f>
        <v>201.02</v>
      </c>
      <c r="E340" s="8" t="n">
        <f aca="false">IFERROR(__xludf.dummyfunction("""COMPUTED_VALUE"""),203.77)</f>
        <v>203.77</v>
      </c>
      <c r="F340" s="8" t="n">
        <f aca="false">IFERROR(__xludf.dummyfunction("""COMPUTED_VALUE"""),34747158)</f>
        <v>34747158</v>
      </c>
    </row>
    <row r="341" customFormat="false" ht="15.75" hidden="false" customHeight="false" outlineLevel="0" collapsed="false">
      <c r="A341" s="9" t="n">
        <f aca="false">IFERROR(__xludf.dummyfunction("""COMPUTED_VALUE"""),44690.6666666667)</f>
        <v>44690.6666666667</v>
      </c>
      <c r="B341" s="8" t="n">
        <f aca="false">IFERROR(__xludf.dummyfunction("""COMPUTED_VALUE"""),199.84)</f>
        <v>199.84</v>
      </c>
      <c r="C341" s="8" t="n">
        <f aca="false">IFERROR(__xludf.dummyfunction("""COMPUTED_VALUE"""),202.57)</f>
        <v>202.57</v>
      </c>
      <c r="D341" s="8" t="n">
        <f aca="false">IFERROR(__xludf.dummyfunction("""COMPUTED_VALUE"""),195.58)</f>
        <v>195.58</v>
      </c>
      <c r="E341" s="8" t="n">
        <f aca="false">IFERROR(__xludf.dummyfunction("""COMPUTED_VALUE"""),196.21)</f>
        <v>196.21</v>
      </c>
      <c r="F341" s="8" t="n">
        <f aca="false">IFERROR(__xludf.dummyfunction("""COMPUTED_VALUE"""),36303200)</f>
        <v>36303200</v>
      </c>
    </row>
    <row r="342" customFormat="false" ht="15.75" hidden="false" customHeight="false" outlineLevel="0" collapsed="false">
      <c r="A342" s="9" t="n">
        <f aca="false">IFERROR(__xludf.dummyfunction("""COMPUTED_VALUE"""),44691.6666666667)</f>
        <v>44691.6666666667</v>
      </c>
      <c r="B342" s="8" t="n">
        <f aca="false">IFERROR(__xludf.dummyfunction("""COMPUTED_VALUE"""),199.51)</f>
        <v>199.51</v>
      </c>
      <c r="C342" s="8" t="n">
        <f aca="false">IFERROR(__xludf.dummyfunction("""COMPUTED_VALUE"""),202.96)</f>
        <v>202.96</v>
      </c>
      <c r="D342" s="8" t="n">
        <f aca="false">IFERROR(__xludf.dummyfunction("""COMPUTED_VALUE"""),194.19)</f>
        <v>194.19</v>
      </c>
      <c r="E342" s="8" t="n">
        <f aca="false">IFERROR(__xludf.dummyfunction("""COMPUTED_VALUE"""),197.65)</f>
        <v>197.65</v>
      </c>
      <c r="F342" s="8" t="n">
        <f aca="false">IFERROR(__xludf.dummyfunction("""COMPUTED_VALUE"""),34452491)</f>
        <v>34452491</v>
      </c>
    </row>
    <row r="343" customFormat="false" ht="15.75" hidden="false" customHeight="false" outlineLevel="0" collapsed="false">
      <c r="A343" s="9" t="n">
        <f aca="false">IFERROR(__xludf.dummyfunction("""COMPUTED_VALUE"""),44692.6666666667)</f>
        <v>44692.6666666667</v>
      </c>
      <c r="B343" s="8" t="n">
        <f aca="false">IFERROR(__xludf.dummyfunction("""COMPUTED_VALUE"""),196.33)</f>
        <v>196.33</v>
      </c>
      <c r="C343" s="8" t="n">
        <f aca="false">IFERROR(__xludf.dummyfunction("""COMPUTED_VALUE"""),200.67)</f>
        <v>200.67</v>
      </c>
      <c r="D343" s="8" t="n">
        <f aca="false">IFERROR(__xludf.dummyfunction("""COMPUTED_VALUE"""),188.27)</f>
        <v>188.27</v>
      </c>
      <c r="E343" s="8" t="n">
        <f aca="false">IFERROR(__xludf.dummyfunction("""COMPUTED_VALUE"""),188.74)</f>
        <v>188.74</v>
      </c>
      <c r="F343" s="8" t="n">
        <f aca="false">IFERROR(__xludf.dummyfunction("""COMPUTED_VALUE"""),31153383)</f>
        <v>31153383</v>
      </c>
    </row>
    <row r="344" customFormat="false" ht="15.75" hidden="false" customHeight="false" outlineLevel="0" collapsed="false">
      <c r="A344" s="9" t="n">
        <f aca="false">IFERROR(__xludf.dummyfunction("""COMPUTED_VALUE"""),44693.6666666667)</f>
        <v>44693.6666666667</v>
      </c>
      <c r="B344" s="8" t="n">
        <f aca="false">IFERROR(__xludf.dummyfunction("""COMPUTED_VALUE"""),187.06)</f>
        <v>187.06</v>
      </c>
      <c r="C344" s="8" t="n">
        <f aca="false">IFERROR(__xludf.dummyfunction("""COMPUTED_VALUE"""),198.05)</f>
        <v>198.05</v>
      </c>
      <c r="D344" s="8" t="n">
        <f aca="false">IFERROR(__xludf.dummyfunction("""COMPUTED_VALUE"""),184.78)</f>
        <v>184.78</v>
      </c>
      <c r="E344" s="8" t="n">
        <f aca="false">IFERROR(__xludf.dummyfunction("""COMPUTED_VALUE"""),191.24)</f>
        <v>191.24</v>
      </c>
      <c r="F344" s="8" t="n">
        <f aca="false">IFERROR(__xludf.dummyfunction("""COMPUTED_VALUE"""),38262226)</f>
        <v>38262226</v>
      </c>
    </row>
    <row r="345" customFormat="false" ht="15.75" hidden="false" customHeight="false" outlineLevel="0" collapsed="false">
      <c r="A345" s="9" t="n">
        <f aca="false">IFERROR(__xludf.dummyfunction("""COMPUTED_VALUE"""),44694.6666666667)</f>
        <v>44694.6666666667</v>
      </c>
      <c r="B345" s="8" t="n">
        <f aca="false">IFERROR(__xludf.dummyfunction("""COMPUTED_VALUE"""),192.58)</f>
        <v>192.58</v>
      </c>
      <c r="C345" s="8" t="n">
        <f aca="false">IFERROR(__xludf.dummyfunction("""COMPUTED_VALUE"""),199.89)</f>
        <v>199.89</v>
      </c>
      <c r="D345" s="8" t="n">
        <f aca="false">IFERROR(__xludf.dummyfunction("""COMPUTED_VALUE"""),191.28)</f>
        <v>191.28</v>
      </c>
      <c r="E345" s="8" t="n">
        <f aca="false">IFERROR(__xludf.dummyfunction("""COMPUTED_VALUE"""),198.62)</f>
        <v>198.62</v>
      </c>
      <c r="F345" s="8" t="n">
        <f aca="false">IFERROR(__xludf.dummyfunction("""COMPUTED_VALUE"""),24549844)</f>
        <v>24549844</v>
      </c>
    </row>
    <row r="346" customFormat="false" ht="15.75" hidden="false" customHeight="false" outlineLevel="0" collapsed="false">
      <c r="A346" s="9" t="n">
        <f aca="false">IFERROR(__xludf.dummyfunction("""COMPUTED_VALUE"""),44697.6666666667)</f>
        <v>44697.6666666667</v>
      </c>
      <c r="B346" s="8" t="n">
        <f aca="false">IFERROR(__xludf.dummyfunction("""COMPUTED_VALUE"""),197.05)</f>
        <v>197.05</v>
      </c>
      <c r="C346" s="8" t="n">
        <f aca="false">IFERROR(__xludf.dummyfunction("""COMPUTED_VALUE"""),205.37)</f>
        <v>205.37</v>
      </c>
      <c r="D346" s="8" t="n">
        <f aca="false">IFERROR(__xludf.dummyfunction("""COMPUTED_VALUE"""),195.93)</f>
        <v>195.93</v>
      </c>
      <c r="E346" s="8" t="n">
        <f aca="false">IFERROR(__xludf.dummyfunction("""COMPUTED_VALUE"""),200.04)</f>
        <v>200.04</v>
      </c>
      <c r="F346" s="8" t="n">
        <f aca="false">IFERROR(__xludf.dummyfunction("""COMPUTED_VALUE"""),27112595)</f>
        <v>27112595</v>
      </c>
    </row>
    <row r="347" customFormat="false" ht="15.75" hidden="false" customHeight="false" outlineLevel="0" collapsed="false">
      <c r="A347" s="9" t="n">
        <f aca="false">IFERROR(__xludf.dummyfunction("""COMPUTED_VALUE"""),44698.6666666667)</f>
        <v>44698.6666666667</v>
      </c>
      <c r="B347" s="8" t="n">
        <f aca="false">IFERROR(__xludf.dummyfunction("""COMPUTED_VALUE"""),202.12)</f>
        <v>202.12</v>
      </c>
      <c r="C347" s="8" t="n">
        <f aca="false">IFERROR(__xludf.dummyfunction("""COMPUTED_VALUE"""),205.46)</f>
        <v>205.46</v>
      </c>
      <c r="D347" s="8" t="n">
        <f aca="false">IFERROR(__xludf.dummyfunction("""COMPUTED_VALUE"""),198.36)</f>
        <v>198.36</v>
      </c>
      <c r="E347" s="8" t="n">
        <f aca="false">IFERROR(__xludf.dummyfunction("""COMPUTED_VALUE"""),202.62)</f>
        <v>202.62</v>
      </c>
      <c r="F347" s="8" t="n">
        <f aca="false">IFERROR(__xludf.dummyfunction("""COMPUTED_VALUE"""),24872729)</f>
        <v>24872729</v>
      </c>
    </row>
    <row r="348" customFormat="false" ht="15.75" hidden="false" customHeight="false" outlineLevel="0" collapsed="false">
      <c r="A348" s="9" t="n">
        <f aca="false">IFERROR(__xludf.dummyfunction("""COMPUTED_VALUE"""),44699.6666666667)</f>
        <v>44699.6666666667</v>
      </c>
      <c r="B348" s="8" t="n">
        <f aca="false">IFERROR(__xludf.dummyfunction("""COMPUTED_VALUE"""),200)</f>
        <v>200</v>
      </c>
      <c r="C348" s="8" t="n">
        <f aca="false">IFERROR(__xludf.dummyfunction("""COMPUTED_VALUE"""),201)</f>
        <v>201</v>
      </c>
      <c r="D348" s="8" t="n">
        <f aca="false">IFERROR(__xludf.dummyfunction("""COMPUTED_VALUE"""),191.63)</f>
        <v>191.63</v>
      </c>
      <c r="E348" s="8" t="n">
        <f aca="false">IFERROR(__xludf.dummyfunction("""COMPUTED_VALUE"""),192.24)</f>
        <v>192.24</v>
      </c>
      <c r="F348" s="8" t="n">
        <f aca="false">IFERROR(__xludf.dummyfunction("""COMPUTED_VALUE"""),23959966)</f>
        <v>23959966</v>
      </c>
    </row>
    <row r="349" customFormat="false" ht="15.75" hidden="false" customHeight="false" outlineLevel="0" collapsed="false">
      <c r="A349" s="9" t="n">
        <f aca="false">IFERROR(__xludf.dummyfunction("""COMPUTED_VALUE"""),44700.6666666667)</f>
        <v>44700.6666666667</v>
      </c>
      <c r="B349" s="8" t="n">
        <f aca="false">IFERROR(__xludf.dummyfunction("""COMPUTED_VALUE"""),191.2)</f>
        <v>191.2</v>
      </c>
      <c r="C349" s="8" t="n">
        <f aca="false">IFERROR(__xludf.dummyfunction("""COMPUTED_VALUE"""),195.29)</f>
        <v>195.29</v>
      </c>
      <c r="D349" s="8" t="n">
        <f aca="false">IFERROR(__xludf.dummyfunction("""COMPUTED_VALUE"""),189.6)</f>
        <v>189.6</v>
      </c>
      <c r="E349" s="8" t="n">
        <f aca="false">IFERROR(__xludf.dummyfunction("""COMPUTED_VALUE"""),191.29)</f>
        <v>191.29</v>
      </c>
      <c r="F349" s="8" t="n">
        <f aca="false">IFERROR(__xludf.dummyfunction("""COMPUTED_VALUE"""),24446938)</f>
        <v>24446938</v>
      </c>
    </row>
    <row r="350" customFormat="false" ht="15.75" hidden="false" customHeight="false" outlineLevel="0" collapsed="false">
      <c r="A350" s="9" t="n">
        <f aca="false">IFERROR(__xludf.dummyfunction("""COMPUTED_VALUE"""),44701.6666666667)</f>
        <v>44701.6666666667</v>
      </c>
      <c r="B350" s="8" t="n">
        <f aca="false">IFERROR(__xludf.dummyfunction("""COMPUTED_VALUE"""),194.97)</f>
        <v>194.97</v>
      </c>
      <c r="C350" s="8" t="n">
        <f aca="false">IFERROR(__xludf.dummyfunction("""COMPUTED_VALUE"""),197.91)</f>
        <v>197.91</v>
      </c>
      <c r="D350" s="8" t="n">
        <f aca="false">IFERROR(__xludf.dummyfunction("""COMPUTED_VALUE"""),187.87)</f>
        <v>187.87</v>
      </c>
      <c r="E350" s="8" t="n">
        <f aca="false">IFERROR(__xludf.dummyfunction("""COMPUTED_VALUE"""),193.54)</f>
        <v>193.54</v>
      </c>
      <c r="F350" s="8" t="n">
        <f aca="false">IFERROR(__xludf.dummyfunction("""COMPUTED_VALUE"""),31465570)</f>
        <v>31465570</v>
      </c>
    </row>
    <row r="351" customFormat="false" ht="15.75" hidden="false" customHeight="false" outlineLevel="0" collapsed="false">
      <c r="A351" s="9" t="n">
        <f aca="false">IFERROR(__xludf.dummyfunction("""COMPUTED_VALUE"""),44704.6666666667)</f>
        <v>44704.6666666667</v>
      </c>
      <c r="B351" s="8" t="n">
        <f aca="false">IFERROR(__xludf.dummyfunction("""COMPUTED_VALUE"""),195.19)</f>
        <v>195.19</v>
      </c>
      <c r="C351" s="8" t="n">
        <f aca="false">IFERROR(__xludf.dummyfunction("""COMPUTED_VALUE"""),196.99)</f>
        <v>196.99</v>
      </c>
      <c r="D351" s="8" t="n">
        <f aca="false">IFERROR(__xludf.dummyfunction("""COMPUTED_VALUE"""),191.24)</f>
        <v>191.24</v>
      </c>
      <c r="E351" s="8" t="n">
        <f aca="false">IFERROR(__xludf.dummyfunction("""COMPUTED_VALUE"""),196.23)</f>
        <v>196.23</v>
      </c>
      <c r="F351" s="8" t="n">
        <f aca="false">IFERROR(__xludf.dummyfunction("""COMPUTED_VALUE"""),25059161)</f>
        <v>25059161</v>
      </c>
    </row>
    <row r="352" customFormat="false" ht="15.75" hidden="false" customHeight="false" outlineLevel="0" collapsed="false">
      <c r="A352" s="9" t="n">
        <f aca="false">IFERROR(__xludf.dummyfunction("""COMPUTED_VALUE"""),44705.6666666667)</f>
        <v>44705.6666666667</v>
      </c>
      <c r="B352" s="8" t="n">
        <f aca="false">IFERROR(__xludf.dummyfunction("""COMPUTED_VALUE"""),180.55)</f>
        <v>180.55</v>
      </c>
      <c r="C352" s="8" t="n">
        <f aca="false">IFERROR(__xludf.dummyfunction("""COMPUTED_VALUE"""),183.68)</f>
        <v>183.68</v>
      </c>
      <c r="D352" s="8" t="n">
        <f aca="false">IFERROR(__xludf.dummyfunction("""COMPUTED_VALUE"""),176.11)</f>
        <v>176.11</v>
      </c>
      <c r="E352" s="8" t="n">
        <f aca="false">IFERROR(__xludf.dummyfunction("""COMPUTED_VALUE"""),181.28)</f>
        <v>181.28</v>
      </c>
      <c r="F352" s="8" t="n">
        <f aca="false">IFERROR(__xludf.dummyfunction("""COMPUTED_VALUE"""),50406273)</f>
        <v>50406273</v>
      </c>
    </row>
    <row r="353" customFormat="false" ht="15.75" hidden="false" customHeight="false" outlineLevel="0" collapsed="false">
      <c r="A353" s="9" t="n">
        <f aca="false">IFERROR(__xludf.dummyfunction("""COMPUTED_VALUE"""),44706.6666666667)</f>
        <v>44706.6666666667</v>
      </c>
      <c r="B353" s="8" t="n">
        <f aca="false">IFERROR(__xludf.dummyfunction("""COMPUTED_VALUE"""),180.4)</f>
        <v>180.4</v>
      </c>
      <c r="C353" s="8" t="n">
        <f aca="false">IFERROR(__xludf.dummyfunction("""COMPUTED_VALUE"""),185.45)</f>
        <v>185.45</v>
      </c>
      <c r="D353" s="8" t="n">
        <f aca="false">IFERROR(__xludf.dummyfunction("""COMPUTED_VALUE"""),179.32)</f>
        <v>179.32</v>
      </c>
      <c r="E353" s="8" t="n">
        <f aca="false">IFERROR(__xludf.dummyfunction("""COMPUTED_VALUE"""),183.83)</f>
        <v>183.83</v>
      </c>
      <c r="F353" s="8" t="n">
        <f aca="false">IFERROR(__xludf.dummyfunction("""COMPUTED_VALUE"""),28030194)</f>
        <v>28030194</v>
      </c>
    </row>
    <row r="354" customFormat="false" ht="15.75" hidden="false" customHeight="false" outlineLevel="0" collapsed="false">
      <c r="A354" s="9" t="n">
        <f aca="false">IFERROR(__xludf.dummyfunction("""COMPUTED_VALUE"""),44707.6666666667)</f>
        <v>44707.6666666667</v>
      </c>
      <c r="B354" s="8" t="n">
        <f aca="false">IFERROR(__xludf.dummyfunction("""COMPUTED_VALUE"""),182.88)</f>
        <v>182.88</v>
      </c>
      <c r="C354" s="8" t="n">
        <f aca="false">IFERROR(__xludf.dummyfunction("""COMPUTED_VALUE"""),192.83)</f>
        <v>192.83</v>
      </c>
      <c r="D354" s="8" t="n">
        <f aca="false">IFERROR(__xludf.dummyfunction("""COMPUTED_VALUE"""),182.26)</f>
        <v>182.26</v>
      </c>
      <c r="E354" s="8" t="n">
        <f aca="false">IFERROR(__xludf.dummyfunction("""COMPUTED_VALUE"""),191.63)</f>
        <v>191.63</v>
      </c>
      <c r="F354" s="8" t="n">
        <f aca="false">IFERROR(__xludf.dummyfunction("""COMPUTED_VALUE"""),23056455)</f>
        <v>23056455</v>
      </c>
    </row>
    <row r="355" customFormat="false" ht="15.75" hidden="false" customHeight="false" outlineLevel="0" collapsed="false">
      <c r="A355" s="9" t="n">
        <f aca="false">IFERROR(__xludf.dummyfunction("""COMPUTED_VALUE"""),44708.6666666667)</f>
        <v>44708.6666666667</v>
      </c>
      <c r="B355" s="8" t="n">
        <f aca="false">IFERROR(__xludf.dummyfunction("""COMPUTED_VALUE"""),191.36)</f>
        <v>191.36</v>
      </c>
      <c r="C355" s="8" t="n">
        <f aca="false">IFERROR(__xludf.dummyfunction("""COMPUTED_VALUE"""),195.33)</f>
        <v>195.33</v>
      </c>
      <c r="D355" s="8" t="n">
        <f aca="false">IFERROR(__xludf.dummyfunction("""COMPUTED_VALUE"""),189.8)</f>
        <v>189.8</v>
      </c>
      <c r="E355" s="8" t="n">
        <f aca="false">IFERROR(__xludf.dummyfunction("""COMPUTED_VALUE"""),195.13)</f>
        <v>195.13</v>
      </c>
      <c r="F355" s="8" t="n">
        <f aca="false">IFERROR(__xludf.dummyfunction("""COMPUTED_VALUE"""),22562727)</f>
        <v>22562727</v>
      </c>
    </row>
    <row r="356" customFormat="false" ht="15.75" hidden="false" customHeight="false" outlineLevel="0" collapsed="false">
      <c r="A356" s="9" t="n">
        <f aca="false">IFERROR(__xludf.dummyfunction("""COMPUTED_VALUE"""),44712.6666666667)</f>
        <v>44712.6666666667</v>
      </c>
      <c r="B356" s="8" t="n">
        <f aca="false">IFERROR(__xludf.dummyfunction("""COMPUTED_VALUE"""),194.89)</f>
        <v>194.89</v>
      </c>
      <c r="C356" s="8" t="n">
        <f aca="false">IFERROR(__xludf.dummyfunction("""COMPUTED_VALUE"""),197.6)</f>
        <v>197.6</v>
      </c>
      <c r="D356" s="8" t="n">
        <f aca="false">IFERROR(__xludf.dummyfunction("""COMPUTED_VALUE"""),192.01)</f>
        <v>192.01</v>
      </c>
      <c r="E356" s="8" t="n">
        <f aca="false">IFERROR(__xludf.dummyfunction("""COMPUTED_VALUE"""),193.64)</f>
        <v>193.64</v>
      </c>
      <c r="F356" s="8" t="n">
        <f aca="false">IFERROR(__xludf.dummyfunction("""COMPUTED_VALUE"""),26131103)</f>
        <v>26131103</v>
      </c>
    </row>
    <row r="357" customFormat="false" ht="15.75" hidden="false" customHeight="false" outlineLevel="0" collapsed="false">
      <c r="A357" s="9" t="n">
        <f aca="false">IFERROR(__xludf.dummyfunction("""COMPUTED_VALUE"""),44713.6666666667)</f>
        <v>44713.6666666667</v>
      </c>
      <c r="B357" s="8" t="n">
        <f aca="false">IFERROR(__xludf.dummyfunction("""COMPUTED_VALUE"""),196.51)</f>
        <v>196.51</v>
      </c>
      <c r="C357" s="8" t="n">
        <f aca="false">IFERROR(__xludf.dummyfunction("""COMPUTED_VALUE"""),199.53)</f>
        <v>199.53</v>
      </c>
      <c r="D357" s="8" t="n">
        <f aca="false">IFERROR(__xludf.dummyfunction("""COMPUTED_VALUE"""),185)</f>
        <v>185</v>
      </c>
      <c r="E357" s="8" t="n">
        <f aca="false">IFERROR(__xludf.dummyfunction("""COMPUTED_VALUE"""),188.64)</f>
        <v>188.64</v>
      </c>
      <c r="F357" s="8" t="n">
        <f aca="false">IFERROR(__xludf.dummyfunction("""COMPUTED_VALUE"""),36623495)</f>
        <v>36623495</v>
      </c>
    </row>
    <row r="358" customFormat="false" ht="15.75" hidden="false" customHeight="false" outlineLevel="0" collapsed="false">
      <c r="A358" s="9" t="n">
        <f aca="false">IFERROR(__xludf.dummyfunction("""COMPUTED_VALUE"""),44714.6666666667)</f>
        <v>44714.6666666667</v>
      </c>
      <c r="B358" s="8" t="n">
        <f aca="false">IFERROR(__xludf.dummyfunction("""COMPUTED_VALUE"""),188.45)</f>
        <v>188.45</v>
      </c>
      <c r="C358" s="8" t="n">
        <f aca="false">IFERROR(__xludf.dummyfunction("""COMPUTED_VALUE"""),200.94)</f>
        <v>200.94</v>
      </c>
      <c r="D358" s="8" t="n">
        <f aca="false">IFERROR(__xludf.dummyfunction("""COMPUTED_VALUE"""),187.73)</f>
        <v>187.73</v>
      </c>
      <c r="E358" s="8" t="n">
        <f aca="false">IFERROR(__xludf.dummyfunction("""COMPUTED_VALUE"""),198.86)</f>
        <v>198.86</v>
      </c>
      <c r="F358" s="8" t="n">
        <f aca="false">IFERROR(__xludf.dummyfunction("""COMPUTED_VALUE"""),31951582)</f>
        <v>31951582</v>
      </c>
    </row>
    <row r="359" customFormat="false" ht="15.75" hidden="false" customHeight="false" outlineLevel="0" collapsed="false">
      <c r="A359" s="9" t="n">
        <f aca="false">IFERROR(__xludf.dummyfunction("""COMPUTED_VALUE"""),44715.6666666667)</f>
        <v>44715.6666666667</v>
      </c>
      <c r="B359" s="8" t="n">
        <f aca="false">IFERROR(__xludf.dummyfunction("""COMPUTED_VALUE"""),195.98)</f>
        <v>195.98</v>
      </c>
      <c r="C359" s="8" t="n">
        <f aca="false">IFERROR(__xludf.dummyfunction("""COMPUTED_VALUE"""),196.61)</f>
        <v>196.61</v>
      </c>
      <c r="D359" s="8" t="n">
        <f aca="false">IFERROR(__xludf.dummyfunction("""COMPUTED_VALUE"""),189.78)</f>
        <v>189.78</v>
      </c>
      <c r="E359" s="8" t="n">
        <f aca="false">IFERROR(__xludf.dummyfunction("""COMPUTED_VALUE"""),190.78)</f>
        <v>190.78</v>
      </c>
      <c r="F359" s="8" t="n">
        <f aca="false">IFERROR(__xludf.dummyfunction("""COMPUTED_VALUE"""),19464993)</f>
        <v>19464993</v>
      </c>
    </row>
    <row r="360" customFormat="false" ht="15.75" hidden="false" customHeight="false" outlineLevel="0" collapsed="false">
      <c r="A360" s="9" t="n">
        <f aca="false">IFERROR(__xludf.dummyfunction("""COMPUTED_VALUE"""),44718.6666666667)</f>
        <v>44718.6666666667</v>
      </c>
      <c r="B360" s="8" t="n">
        <f aca="false">IFERROR(__xludf.dummyfunction("""COMPUTED_VALUE"""),193.99)</f>
        <v>193.99</v>
      </c>
      <c r="C360" s="8" t="n">
        <f aca="false">IFERROR(__xludf.dummyfunction("""COMPUTED_VALUE"""),196.92)</f>
        <v>196.92</v>
      </c>
      <c r="D360" s="8" t="n">
        <f aca="false">IFERROR(__xludf.dummyfunction("""COMPUTED_VALUE"""),188.4)</f>
        <v>188.4</v>
      </c>
      <c r="E360" s="8" t="n">
        <f aca="false">IFERROR(__xludf.dummyfunction("""COMPUTED_VALUE"""),194.25)</f>
        <v>194.25</v>
      </c>
      <c r="F360" s="8" t="n">
        <f aca="false">IFERROR(__xludf.dummyfunction("""COMPUTED_VALUE"""),30574242)</f>
        <v>30574242</v>
      </c>
    </row>
    <row r="361" customFormat="false" ht="15.75" hidden="false" customHeight="false" outlineLevel="0" collapsed="false">
      <c r="A361" s="9" t="n">
        <f aca="false">IFERROR(__xludf.dummyfunction("""COMPUTED_VALUE"""),44719.6666666667)</f>
        <v>44719.6666666667</v>
      </c>
      <c r="B361" s="8" t="n">
        <f aca="false">IFERROR(__xludf.dummyfunction("""COMPUTED_VALUE"""),191.93)</f>
        <v>191.93</v>
      </c>
      <c r="C361" s="8" t="n">
        <f aca="false">IFERROR(__xludf.dummyfunction("""COMPUTED_VALUE"""),196.53)</f>
        <v>196.53</v>
      </c>
      <c r="D361" s="8" t="n">
        <f aca="false">IFERROR(__xludf.dummyfunction("""COMPUTED_VALUE"""),191.49)</f>
        <v>191.49</v>
      </c>
      <c r="E361" s="8" t="n">
        <f aca="false">IFERROR(__xludf.dummyfunction("""COMPUTED_VALUE"""),195.65)</f>
        <v>195.65</v>
      </c>
      <c r="F361" s="8" t="n">
        <f aca="false">IFERROR(__xludf.dummyfunction("""COMPUTED_VALUE"""),18828687)</f>
        <v>18828687</v>
      </c>
    </row>
    <row r="362" customFormat="false" ht="15.75" hidden="false" customHeight="false" outlineLevel="0" collapsed="false">
      <c r="A362" s="9" t="n">
        <f aca="false">IFERROR(__xludf.dummyfunction("""COMPUTED_VALUE"""),44720.6666666667)</f>
        <v>44720.6666666667</v>
      </c>
      <c r="B362" s="8" t="n">
        <f aca="false">IFERROR(__xludf.dummyfunction("""COMPUTED_VALUE"""),194.67)</f>
        <v>194.67</v>
      </c>
      <c r="C362" s="8" t="n">
        <f aca="false">IFERROR(__xludf.dummyfunction("""COMPUTED_VALUE"""),202.03)</f>
        <v>202.03</v>
      </c>
      <c r="D362" s="8" t="n">
        <f aca="false">IFERROR(__xludf.dummyfunction("""COMPUTED_VALUE"""),194.41)</f>
        <v>194.41</v>
      </c>
      <c r="E362" s="8" t="n">
        <f aca="false">IFERROR(__xludf.dummyfunction("""COMPUTED_VALUE"""),196.64)</f>
        <v>196.64</v>
      </c>
      <c r="F362" s="8" t="n">
        <f aca="false">IFERROR(__xludf.dummyfunction("""COMPUTED_VALUE"""),22267154)</f>
        <v>22267154</v>
      </c>
    </row>
    <row r="363" customFormat="false" ht="15.75" hidden="false" customHeight="false" outlineLevel="0" collapsed="false">
      <c r="A363" s="9" t="n">
        <f aca="false">IFERROR(__xludf.dummyfunction("""COMPUTED_VALUE"""),44721.6666666667)</f>
        <v>44721.6666666667</v>
      </c>
      <c r="B363" s="8" t="n">
        <f aca="false">IFERROR(__xludf.dummyfunction("""COMPUTED_VALUE"""),194.28)</f>
        <v>194.28</v>
      </c>
      <c r="C363" s="8" t="n">
        <f aca="false">IFERROR(__xludf.dummyfunction("""COMPUTED_VALUE"""),199.45)</f>
        <v>199.45</v>
      </c>
      <c r="D363" s="8" t="n">
        <f aca="false">IFERROR(__xludf.dummyfunction("""COMPUTED_VALUE"""),183.68)</f>
        <v>183.68</v>
      </c>
      <c r="E363" s="8" t="n">
        <f aca="false">IFERROR(__xludf.dummyfunction("""COMPUTED_VALUE"""),184)</f>
        <v>184</v>
      </c>
      <c r="F363" s="8" t="n">
        <f aca="false">IFERROR(__xludf.dummyfunction("""COMPUTED_VALUE"""),23501579)</f>
        <v>23501579</v>
      </c>
    </row>
    <row r="364" customFormat="false" ht="15.75" hidden="false" customHeight="false" outlineLevel="0" collapsed="false">
      <c r="A364" s="9" t="n">
        <f aca="false">IFERROR(__xludf.dummyfunction("""COMPUTED_VALUE"""),44722.6666666667)</f>
        <v>44722.6666666667</v>
      </c>
      <c r="B364" s="8" t="n">
        <f aca="false">IFERROR(__xludf.dummyfunction("""COMPUTED_VALUE"""),183.04)</f>
        <v>183.04</v>
      </c>
      <c r="C364" s="8" t="n">
        <f aca="false">IFERROR(__xludf.dummyfunction("""COMPUTED_VALUE"""),183.1)</f>
        <v>183.1</v>
      </c>
      <c r="D364" s="8" t="n">
        <f aca="false">IFERROR(__xludf.dummyfunction("""COMPUTED_VALUE"""),175.02)</f>
        <v>175.02</v>
      </c>
      <c r="E364" s="8" t="n">
        <f aca="false">IFERROR(__xludf.dummyfunction("""COMPUTED_VALUE"""),175.57)</f>
        <v>175.57</v>
      </c>
      <c r="F364" s="8" t="n">
        <f aca="false">IFERROR(__xludf.dummyfunction("""COMPUTED_VALUE"""),27478354)</f>
        <v>27478354</v>
      </c>
    </row>
    <row r="365" customFormat="false" ht="15.75" hidden="false" customHeight="false" outlineLevel="0" collapsed="false">
      <c r="A365" s="9" t="n">
        <f aca="false">IFERROR(__xludf.dummyfunction("""COMPUTED_VALUE"""),44725.6666666667)</f>
        <v>44725.6666666667</v>
      </c>
      <c r="B365" s="8" t="n">
        <f aca="false">IFERROR(__xludf.dummyfunction("""COMPUTED_VALUE"""),170.59)</f>
        <v>170.59</v>
      </c>
      <c r="C365" s="8" t="n">
        <f aca="false">IFERROR(__xludf.dummyfunction("""COMPUTED_VALUE"""),172.58)</f>
        <v>172.58</v>
      </c>
      <c r="D365" s="8" t="n">
        <f aca="false">IFERROR(__xludf.dummyfunction("""COMPUTED_VALUE"""),164.03)</f>
        <v>164.03</v>
      </c>
      <c r="E365" s="8" t="n">
        <f aca="false">IFERROR(__xludf.dummyfunction("""COMPUTED_VALUE"""),164.26)</f>
        <v>164.26</v>
      </c>
      <c r="F365" s="8" t="n">
        <f aca="false">IFERROR(__xludf.dummyfunction("""COMPUTED_VALUE"""),31749304)</f>
        <v>31749304</v>
      </c>
    </row>
    <row r="366" customFormat="false" ht="15.75" hidden="false" customHeight="false" outlineLevel="0" collapsed="false">
      <c r="A366" s="9" t="n">
        <f aca="false">IFERROR(__xludf.dummyfunction("""COMPUTED_VALUE"""),44726.6666666667)</f>
        <v>44726.6666666667</v>
      </c>
      <c r="B366" s="8" t="n">
        <f aca="false">IFERROR(__xludf.dummyfunction("""COMPUTED_VALUE"""),166.03)</f>
        <v>166.03</v>
      </c>
      <c r="C366" s="8" t="n">
        <f aca="false">IFERROR(__xludf.dummyfunction("""COMPUTED_VALUE"""),166.75)</f>
        <v>166.75</v>
      </c>
      <c r="D366" s="8" t="n">
        <f aca="false">IFERROR(__xludf.dummyfunction("""COMPUTED_VALUE"""),161.36)</f>
        <v>161.36</v>
      </c>
      <c r="E366" s="8" t="n">
        <f aca="false">IFERROR(__xludf.dummyfunction("""COMPUTED_VALUE"""),163.73)</f>
        <v>163.73</v>
      </c>
      <c r="F366" s="8" t="n">
        <f aca="false">IFERROR(__xludf.dummyfunction("""COMPUTED_VALUE"""),27244274)</f>
        <v>27244274</v>
      </c>
    </row>
    <row r="367" customFormat="false" ht="15.75" hidden="false" customHeight="false" outlineLevel="0" collapsed="false">
      <c r="A367" s="9" t="n">
        <f aca="false">IFERROR(__xludf.dummyfunction("""COMPUTED_VALUE"""),44727.6666666667)</f>
        <v>44727.6666666667</v>
      </c>
      <c r="B367" s="8" t="n">
        <f aca="false">IFERROR(__xludf.dummyfunction("""COMPUTED_VALUE"""),167.2)</f>
        <v>167.2</v>
      </c>
      <c r="C367" s="8" t="n">
        <f aca="false">IFERROR(__xludf.dummyfunction("""COMPUTED_VALUE"""),172.16)</f>
        <v>172.16</v>
      </c>
      <c r="D367" s="8" t="n">
        <f aca="false">IFERROR(__xludf.dummyfunction("""COMPUTED_VALUE"""),163.98)</f>
        <v>163.98</v>
      </c>
      <c r="E367" s="8" t="n">
        <f aca="false">IFERROR(__xludf.dummyfunction("""COMPUTED_VALUE"""),169.35)</f>
        <v>169.35</v>
      </c>
      <c r="F367" s="8" t="n">
        <f aca="false">IFERROR(__xludf.dummyfunction("""COMPUTED_VALUE"""),30008251)</f>
        <v>30008251</v>
      </c>
    </row>
    <row r="368" customFormat="false" ht="15.75" hidden="false" customHeight="false" outlineLevel="0" collapsed="false">
      <c r="A368" s="9" t="n">
        <f aca="false">IFERROR(__xludf.dummyfunction("""COMPUTED_VALUE"""),44728.6666666667)</f>
        <v>44728.6666666667</v>
      </c>
      <c r="B368" s="8" t="n">
        <f aca="false">IFERROR(__xludf.dummyfunction("""COMPUTED_VALUE"""),163.72)</f>
        <v>163.72</v>
      </c>
      <c r="C368" s="8" t="n">
        <f aca="false">IFERROR(__xludf.dummyfunction("""COMPUTED_VALUE"""),165.08)</f>
        <v>165.08</v>
      </c>
      <c r="D368" s="8" t="n">
        <f aca="false">IFERROR(__xludf.dummyfunction("""COMPUTED_VALUE"""),159.61)</f>
        <v>159.61</v>
      </c>
      <c r="E368" s="8" t="n">
        <f aca="false">IFERROR(__xludf.dummyfunction("""COMPUTED_VALUE"""),160.87)</f>
        <v>160.87</v>
      </c>
      <c r="F368" s="8" t="n">
        <f aca="false">IFERROR(__xludf.dummyfunction("""COMPUTED_VALUE"""),26944143)</f>
        <v>26944143</v>
      </c>
    </row>
    <row r="369" customFormat="false" ht="15.75" hidden="false" customHeight="false" outlineLevel="0" collapsed="false">
      <c r="A369" s="9" t="n">
        <f aca="false">IFERROR(__xludf.dummyfunction("""COMPUTED_VALUE"""),44729.6666666667)</f>
        <v>44729.6666666667</v>
      </c>
      <c r="B369" s="8" t="n">
        <f aca="false">IFERROR(__xludf.dummyfunction("""COMPUTED_VALUE"""),161.68)</f>
        <v>161.68</v>
      </c>
      <c r="C369" s="8" t="n">
        <f aca="false">IFERROR(__xludf.dummyfunction("""COMPUTED_VALUE"""),165.9)</f>
        <v>165.9</v>
      </c>
      <c r="D369" s="8" t="n">
        <f aca="false">IFERROR(__xludf.dummyfunction("""COMPUTED_VALUE"""),159.9)</f>
        <v>159.9</v>
      </c>
      <c r="E369" s="8" t="n">
        <f aca="false">IFERROR(__xludf.dummyfunction("""COMPUTED_VALUE"""),163.74)</f>
        <v>163.74</v>
      </c>
      <c r="F369" s="8" t="n">
        <f aca="false">IFERROR(__xludf.dummyfunction("""COMPUTED_VALUE"""),31374215)</f>
        <v>31374215</v>
      </c>
    </row>
    <row r="370" customFormat="false" ht="15.75" hidden="false" customHeight="false" outlineLevel="0" collapsed="false">
      <c r="A370" s="9" t="n">
        <f aca="false">IFERROR(__xludf.dummyfunction("""COMPUTED_VALUE"""),44733.6666666667)</f>
        <v>44733.6666666667</v>
      </c>
      <c r="B370" s="8" t="n">
        <f aca="false">IFERROR(__xludf.dummyfunction("""COMPUTED_VALUE"""),165.93)</f>
        <v>165.93</v>
      </c>
      <c r="C370" s="8" t="n">
        <f aca="false">IFERROR(__xludf.dummyfunction("""COMPUTED_VALUE"""),167.76)</f>
        <v>167.76</v>
      </c>
      <c r="D370" s="8" t="n">
        <f aca="false">IFERROR(__xludf.dummyfunction("""COMPUTED_VALUE"""),155.97)</f>
        <v>155.97</v>
      </c>
      <c r="E370" s="8" t="n">
        <f aca="false">IFERROR(__xludf.dummyfunction("""COMPUTED_VALUE"""),157.05)</f>
        <v>157.05</v>
      </c>
      <c r="F370" s="8" t="n">
        <f aca="false">IFERROR(__xludf.dummyfunction("""COMPUTED_VALUE"""),50724899)</f>
        <v>50724899</v>
      </c>
    </row>
    <row r="371" customFormat="false" ht="15.75" hidden="false" customHeight="false" outlineLevel="0" collapsed="false">
      <c r="A371" s="9" t="n">
        <f aca="false">IFERROR(__xludf.dummyfunction("""COMPUTED_VALUE"""),44734.6666666667)</f>
        <v>44734.6666666667</v>
      </c>
      <c r="B371" s="8" t="n">
        <f aca="false">IFERROR(__xludf.dummyfunction("""COMPUTED_VALUE"""),158.38)</f>
        <v>158.38</v>
      </c>
      <c r="C371" s="8" t="n">
        <f aca="false">IFERROR(__xludf.dummyfunction("""COMPUTED_VALUE"""),160.79)</f>
        <v>160.79</v>
      </c>
      <c r="D371" s="8" t="n">
        <f aca="false">IFERROR(__xludf.dummyfunction("""COMPUTED_VALUE"""),155.44)</f>
        <v>155.44</v>
      </c>
      <c r="E371" s="8" t="n">
        <f aca="false">IFERROR(__xludf.dummyfunction("""COMPUTED_VALUE"""),155.85)</f>
        <v>155.85</v>
      </c>
      <c r="F371" s="8" t="n">
        <f aca="false">IFERROR(__xludf.dummyfunction("""COMPUTED_VALUE"""),47596820)</f>
        <v>47596820</v>
      </c>
    </row>
    <row r="372" customFormat="false" ht="15.75" hidden="false" customHeight="false" outlineLevel="0" collapsed="false">
      <c r="A372" s="9" t="n">
        <f aca="false">IFERROR(__xludf.dummyfunction("""COMPUTED_VALUE"""),44735.6666666667)</f>
        <v>44735.6666666667</v>
      </c>
      <c r="B372" s="8" t="n">
        <f aca="false">IFERROR(__xludf.dummyfunction("""COMPUTED_VALUE"""),156.27)</f>
        <v>156.27</v>
      </c>
      <c r="C372" s="8" t="n">
        <f aca="false">IFERROR(__xludf.dummyfunction("""COMPUTED_VALUE"""),159.75)</f>
        <v>159.75</v>
      </c>
      <c r="D372" s="8" t="n">
        <f aca="false">IFERROR(__xludf.dummyfunction("""COMPUTED_VALUE"""),154.25)</f>
        <v>154.25</v>
      </c>
      <c r="E372" s="8" t="n">
        <f aca="false">IFERROR(__xludf.dummyfunction("""COMPUTED_VALUE"""),158.75)</f>
        <v>158.75</v>
      </c>
      <c r="F372" s="8" t="n">
        <f aca="false">IFERROR(__xludf.dummyfunction("""COMPUTED_VALUE"""),40499198)</f>
        <v>40499198</v>
      </c>
    </row>
    <row r="373" customFormat="false" ht="15.75" hidden="false" customHeight="false" outlineLevel="0" collapsed="false">
      <c r="A373" s="9" t="n">
        <f aca="false">IFERROR(__xludf.dummyfunction("""COMPUTED_VALUE"""),44736.6666666667)</f>
        <v>44736.6666666667</v>
      </c>
      <c r="B373" s="8" t="n">
        <f aca="false">IFERROR(__xludf.dummyfunction("""COMPUTED_VALUE"""),161.73)</f>
        <v>161.73</v>
      </c>
      <c r="C373" s="8" t="n">
        <f aca="false">IFERROR(__xludf.dummyfunction("""COMPUTED_VALUE"""),170.25)</f>
        <v>170.25</v>
      </c>
      <c r="D373" s="8" t="n">
        <f aca="false">IFERROR(__xludf.dummyfunction("""COMPUTED_VALUE"""),161.3)</f>
        <v>161.3</v>
      </c>
      <c r="E373" s="8" t="n">
        <f aca="false">IFERROR(__xludf.dummyfunction("""COMPUTED_VALUE"""),170.16)</f>
        <v>170.16</v>
      </c>
      <c r="F373" s="8" t="n">
        <f aca="false">IFERROR(__xludf.dummyfunction("""COMPUTED_VALUE"""),68736009)</f>
        <v>68736009</v>
      </c>
    </row>
    <row r="374" customFormat="false" ht="15.75" hidden="false" customHeight="false" outlineLevel="0" collapsed="false">
      <c r="A374" s="9" t="n">
        <f aca="false">IFERROR(__xludf.dummyfunction("""COMPUTED_VALUE"""),44739.6666666667)</f>
        <v>44739.6666666667</v>
      </c>
      <c r="B374" s="8" t="n">
        <f aca="false">IFERROR(__xludf.dummyfunction("""COMPUTED_VALUE"""),171.32)</f>
        <v>171.32</v>
      </c>
      <c r="C374" s="8" t="n">
        <f aca="false">IFERROR(__xludf.dummyfunction("""COMPUTED_VALUE"""),171.75)</f>
        <v>171.75</v>
      </c>
      <c r="D374" s="8" t="n">
        <f aca="false">IFERROR(__xludf.dummyfunction("""COMPUTED_VALUE"""),168.01)</f>
        <v>168.01</v>
      </c>
      <c r="E374" s="8" t="n">
        <f aca="false">IFERROR(__xludf.dummyfunction("""COMPUTED_VALUE"""),169.49)</f>
        <v>169.49</v>
      </c>
      <c r="F374" s="8" t="n">
        <f aca="false">IFERROR(__xludf.dummyfunction("""COMPUTED_VALUE"""),29174559)</f>
        <v>29174559</v>
      </c>
    </row>
    <row r="375" customFormat="false" ht="15.75" hidden="false" customHeight="false" outlineLevel="0" collapsed="false">
      <c r="A375" s="9" t="n">
        <f aca="false">IFERROR(__xludf.dummyfunction("""COMPUTED_VALUE"""),44740.6666666667)</f>
        <v>44740.6666666667</v>
      </c>
      <c r="B375" s="8" t="n">
        <f aca="false">IFERROR(__xludf.dummyfunction("""COMPUTED_VALUE"""),169.9)</f>
        <v>169.9</v>
      </c>
      <c r="C375" s="8" t="n">
        <f aca="false">IFERROR(__xludf.dummyfunction("""COMPUTED_VALUE"""),171.3)</f>
        <v>171.3</v>
      </c>
      <c r="D375" s="8" t="n">
        <f aca="false">IFERROR(__xludf.dummyfunction("""COMPUTED_VALUE"""),160.61)</f>
        <v>160.61</v>
      </c>
      <c r="E375" s="8" t="n">
        <f aca="false">IFERROR(__xludf.dummyfunction("""COMPUTED_VALUE"""),160.68)</f>
        <v>160.68</v>
      </c>
      <c r="F375" s="8" t="n">
        <f aca="false">IFERROR(__xludf.dummyfunction("""COMPUTED_VALUE"""),27788725)</f>
        <v>27788725</v>
      </c>
    </row>
    <row r="376" customFormat="false" ht="15.75" hidden="false" customHeight="false" outlineLevel="0" collapsed="false">
      <c r="A376" s="9" t="n">
        <f aca="false">IFERROR(__xludf.dummyfunction("""COMPUTED_VALUE"""),44741.6666666667)</f>
        <v>44741.6666666667</v>
      </c>
      <c r="B376" s="8" t="n">
        <f aca="false">IFERROR(__xludf.dummyfunction("""COMPUTED_VALUE"""),163.57)</f>
        <v>163.57</v>
      </c>
      <c r="C376" s="8" t="n">
        <f aca="false">IFERROR(__xludf.dummyfunction("""COMPUTED_VALUE"""),166.33)</f>
        <v>166.33</v>
      </c>
      <c r="D376" s="8" t="n">
        <f aca="false">IFERROR(__xludf.dummyfunction("""COMPUTED_VALUE"""),160.32)</f>
        <v>160.32</v>
      </c>
      <c r="E376" s="8" t="n">
        <f aca="false">IFERROR(__xludf.dummyfunction("""COMPUTED_VALUE"""),163.94)</f>
        <v>163.94</v>
      </c>
      <c r="F376" s="8" t="n">
        <f aca="false">IFERROR(__xludf.dummyfunction("""COMPUTED_VALUE"""),28595236)</f>
        <v>28595236</v>
      </c>
    </row>
    <row r="377" customFormat="false" ht="15.75" hidden="false" customHeight="false" outlineLevel="0" collapsed="false">
      <c r="A377" s="9" t="n">
        <f aca="false">IFERROR(__xludf.dummyfunction("""COMPUTED_VALUE"""),44742.6666666667)</f>
        <v>44742.6666666667</v>
      </c>
      <c r="B377" s="8" t="n">
        <f aca="false">IFERROR(__xludf.dummyfunction("""COMPUTED_VALUE"""),162.15)</f>
        <v>162.15</v>
      </c>
      <c r="C377" s="8" t="n">
        <f aca="false">IFERROR(__xludf.dummyfunction("""COMPUTED_VALUE"""),165.23)</f>
        <v>165.23</v>
      </c>
      <c r="D377" s="8" t="n">
        <f aca="false">IFERROR(__xludf.dummyfunction("""COMPUTED_VALUE"""),158.49)</f>
        <v>158.49</v>
      </c>
      <c r="E377" s="8" t="n">
        <f aca="false">IFERROR(__xludf.dummyfunction("""COMPUTED_VALUE"""),161.25)</f>
        <v>161.25</v>
      </c>
      <c r="F377" s="8" t="n">
        <f aca="false">IFERROR(__xludf.dummyfunction("""COMPUTED_VALUE"""),35250605)</f>
        <v>35250605</v>
      </c>
    </row>
    <row r="378" customFormat="false" ht="15.75" hidden="false" customHeight="false" outlineLevel="0" collapsed="false">
      <c r="A378" s="9" t="n">
        <f aca="false">IFERROR(__xludf.dummyfunction("""COMPUTED_VALUE"""),44743.6666666667)</f>
        <v>44743.6666666667</v>
      </c>
      <c r="B378" s="8" t="n">
        <f aca="false">IFERROR(__xludf.dummyfunction("""COMPUTED_VALUE"""),160.31)</f>
        <v>160.31</v>
      </c>
      <c r="C378" s="8" t="n">
        <f aca="false">IFERROR(__xludf.dummyfunction("""COMPUTED_VALUE"""),160.62)</f>
        <v>160.62</v>
      </c>
      <c r="D378" s="8" t="n">
        <f aca="false">IFERROR(__xludf.dummyfunction("""COMPUTED_VALUE"""),155)</f>
        <v>155</v>
      </c>
      <c r="E378" s="8" t="n">
        <f aca="false">IFERROR(__xludf.dummyfunction("""COMPUTED_VALUE"""),160.03)</f>
        <v>160.03</v>
      </c>
      <c r="F378" s="8" t="n">
        <f aca="false">IFERROR(__xludf.dummyfunction("""COMPUTED_VALUE"""),31423933)</f>
        <v>31423933</v>
      </c>
    </row>
    <row r="379" customFormat="false" ht="15.75" hidden="false" customHeight="false" outlineLevel="0" collapsed="false">
      <c r="A379" s="9" t="n">
        <f aca="false">IFERROR(__xludf.dummyfunction("""COMPUTED_VALUE"""),44747.6666666667)</f>
        <v>44747.6666666667</v>
      </c>
      <c r="B379" s="8" t="n">
        <f aca="false">IFERROR(__xludf.dummyfunction("""COMPUTED_VALUE"""),158.14)</f>
        <v>158.14</v>
      </c>
      <c r="C379" s="8" t="n">
        <f aca="false">IFERROR(__xludf.dummyfunction("""COMPUTED_VALUE"""),168.25)</f>
        <v>168.25</v>
      </c>
      <c r="D379" s="8" t="n">
        <f aca="false">IFERROR(__xludf.dummyfunction("""COMPUTED_VALUE"""),157.02)</f>
        <v>157.02</v>
      </c>
      <c r="E379" s="8" t="n">
        <f aca="false">IFERROR(__xludf.dummyfunction("""COMPUTED_VALUE"""),168.19)</f>
        <v>168.19</v>
      </c>
      <c r="F379" s="8" t="n">
        <f aca="false">IFERROR(__xludf.dummyfunction("""COMPUTED_VALUE"""),28664799)</f>
        <v>28664799</v>
      </c>
    </row>
    <row r="380" customFormat="false" ht="15.75" hidden="false" customHeight="false" outlineLevel="0" collapsed="false">
      <c r="A380" s="9" t="n">
        <f aca="false">IFERROR(__xludf.dummyfunction("""COMPUTED_VALUE"""),44748.6666666667)</f>
        <v>44748.6666666667</v>
      </c>
      <c r="B380" s="8" t="n">
        <f aca="false">IFERROR(__xludf.dummyfunction("""COMPUTED_VALUE"""),168.2)</f>
        <v>168.2</v>
      </c>
      <c r="C380" s="8" t="n">
        <f aca="false">IFERROR(__xludf.dummyfunction("""COMPUTED_VALUE"""),171.59)</f>
        <v>171.59</v>
      </c>
      <c r="D380" s="8" t="n">
        <f aca="false">IFERROR(__xludf.dummyfunction("""COMPUTED_VALUE"""),165.46)</f>
        <v>165.46</v>
      </c>
      <c r="E380" s="8" t="n">
        <f aca="false">IFERROR(__xludf.dummyfunction("""COMPUTED_VALUE"""),169.77)</f>
        <v>169.77</v>
      </c>
      <c r="F380" s="8" t="n">
        <f aca="false">IFERROR(__xludf.dummyfunction("""COMPUTED_VALUE"""),23085921)</f>
        <v>23085921</v>
      </c>
    </row>
    <row r="381" customFormat="false" ht="15.75" hidden="false" customHeight="false" outlineLevel="0" collapsed="false">
      <c r="A381" s="9" t="n">
        <f aca="false">IFERROR(__xludf.dummyfunction("""COMPUTED_VALUE"""),44749.6666666667)</f>
        <v>44749.6666666667</v>
      </c>
      <c r="B381" s="8" t="n">
        <f aca="false">IFERROR(__xludf.dummyfunction("""COMPUTED_VALUE"""),169.45)</f>
        <v>169.45</v>
      </c>
      <c r="C381" s="8" t="n">
        <f aca="false">IFERROR(__xludf.dummyfunction("""COMPUTED_VALUE"""),172.72)</f>
        <v>172.72</v>
      </c>
      <c r="D381" s="8" t="n">
        <f aca="false">IFERROR(__xludf.dummyfunction("""COMPUTED_VALUE"""),167.78)</f>
        <v>167.78</v>
      </c>
      <c r="E381" s="8" t="n">
        <f aca="false">IFERROR(__xludf.dummyfunction("""COMPUTED_VALUE"""),172.19)</f>
        <v>172.19</v>
      </c>
      <c r="F381" s="8" t="n">
        <f aca="false">IFERROR(__xludf.dummyfunction("""COMPUTED_VALUE"""),24083368)</f>
        <v>24083368</v>
      </c>
    </row>
    <row r="382" customFormat="false" ht="15.75" hidden="false" customHeight="false" outlineLevel="0" collapsed="false">
      <c r="A382" s="9" t="n">
        <f aca="false">IFERROR(__xludf.dummyfunction("""COMPUTED_VALUE"""),44750.6666666667)</f>
        <v>44750.6666666667</v>
      </c>
      <c r="B382" s="8" t="n">
        <f aca="false">IFERROR(__xludf.dummyfunction("""COMPUTED_VALUE"""),169.98)</f>
        <v>169.98</v>
      </c>
      <c r="C382" s="8" t="n">
        <f aca="false">IFERROR(__xludf.dummyfunction("""COMPUTED_VALUE"""),172.4)</f>
        <v>172.4</v>
      </c>
      <c r="D382" s="8" t="n">
        <f aca="false">IFERROR(__xludf.dummyfunction("""COMPUTED_VALUE"""),168.15)</f>
        <v>168.15</v>
      </c>
      <c r="E382" s="8" t="n">
        <f aca="false">IFERROR(__xludf.dummyfunction("""COMPUTED_VALUE"""),170.88)</f>
        <v>170.88</v>
      </c>
      <c r="F382" s="8" t="n">
        <f aca="false">IFERROR(__xludf.dummyfunction("""COMPUTED_VALUE"""),19249243)</f>
        <v>19249243</v>
      </c>
    </row>
    <row r="383" customFormat="false" ht="15.75" hidden="false" customHeight="false" outlineLevel="0" collapsed="false">
      <c r="A383" s="9" t="n">
        <f aca="false">IFERROR(__xludf.dummyfunction("""COMPUTED_VALUE"""),44753.6666666667)</f>
        <v>44753.6666666667</v>
      </c>
      <c r="B383" s="8" t="n">
        <f aca="false">IFERROR(__xludf.dummyfunction("""COMPUTED_VALUE"""),167.07)</f>
        <v>167.07</v>
      </c>
      <c r="C383" s="8" t="n">
        <f aca="false">IFERROR(__xludf.dummyfunction("""COMPUTED_VALUE"""),167.49)</f>
        <v>167.49</v>
      </c>
      <c r="D383" s="8" t="n">
        <f aca="false">IFERROR(__xludf.dummyfunction("""COMPUTED_VALUE"""),161.91)</f>
        <v>161.91</v>
      </c>
      <c r="E383" s="8" t="n">
        <f aca="false">IFERROR(__xludf.dummyfunction("""COMPUTED_VALUE"""),162.88)</f>
        <v>162.88</v>
      </c>
      <c r="F383" s="8" t="n">
        <f aca="false">IFERROR(__xludf.dummyfunction("""COMPUTED_VALUE"""),21905133)</f>
        <v>21905133</v>
      </c>
    </row>
    <row r="384" customFormat="false" ht="15.75" hidden="false" customHeight="false" outlineLevel="0" collapsed="false">
      <c r="A384" s="9" t="n">
        <f aca="false">IFERROR(__xludf.dummyfunction("""COMPUTED_VALUE"""),44754.6666666667)</f>
        <v>44754.6666666667</v>
      </c>
      <c r="B384" s="8" t="n">
        <f aca="false">IFERROR(__xludf.dummyfunction("""COMPUTED_VALUE"""),164.8)</f>
        <v>164.8</v>
      </c>
      <c r="C384" s="8" t="n">
        <f aca="false">IFERROR(__xludf.dummyfunction("""COMPUTED_VALUE"""),165.91)</f>
        <v>165.91</v>
      </c>
      <c r="D384" s="8" t="n">
        <f aca="false">IFERROR(__xludf.dummyfunction("""COMPUTED_VALUE"""),162.1)</f>
        <v>162.1</v>
      </c>
      <c r="E384" s="8" t="n">
        <f aca="false">IFERROR(__xludf.dummyfunction("""COMPUTED_VALUE"""),163.27)</f>
        <v>163.27</v>
      </c>
      <c r="F384" s="8" t="n">
        <f aca="false">IFERROR(__xludf.dummyfunction("""COMPUTED_VALUE"""),16639659)</f>
        <v>16639659</v>
      </c>
    </row>
    <row r="385" customFormat="false" ht="15.75" hidden="false" customHeight="false" outlineLevel="0" collapsed="false">
      <c r="A385" s="9" t="n">
        <f aca="false">IFERROR(__xludf.dummyfunction("""COMPUTED_VALUE"""),44755.6666666667)</f>
        <v>44755.6666666667</v>
      </c>
      <c r="B385" s="8" t="n">
        <f aca="false">IFERROR(__xludf.dummyfunction("""COMPUTED_VALUE"""),160.16)</f>
        <v>160.16</v>
      </c>
      <c r="C385" s="8" t="n">
        <f aca="false">IFERROR(__xludf.dummyfunction("""COMPUTED_VALUE"""),164.98)</f>
        <v>164.98</v>
      </c>
      <c r="D385" s="8" t="n">
        <f aca="false">IFERROR(__xludf.dummyfunction("""COMPUTED_VALUE"""),159.61)</f>
        <v>159.61</v>
      </c>
      <c r="E385" s="8" t="n">
        <f aca="false">IFERROR(__xludf.dummyfunction("""COMPUTED_VALUE"""),163.49)</f>
        <v>163.49</v>
      </c>
      <c r="F385" s="8" t="n">
        <f aca="false">IFERROR(__xludf.dummyfunction("""COMPUTED_VALUE"""),16555138)</f>
        <v>16555138</v>
      </c>
    </row>
    <row r="386" customFormat="false" ht="15.75" hidden="false" customHeight="false" outlineLevel="0" collapsed="false">
      <c r="A386" s="9" t="n">
        <f aca="false">IFERROR(__xludf.dummyfunction("""COMPUTED_VALUE"""),44756.6666666667)</f>
        <v>44756.6666666667</v>
      </c>
      <c r="B386" s="8" t="n">
        <f aca="false">IFERROR(__xludf.dummyfunction("""COMPUTED_VALUE"""),161.22)</f>
        <v>161.22</v>
      </c>
      <c r="C386" s="8" t="n">
        <f aca="false">IFERROR(__xludf.dummyfunction("""COMPUTED_VALUE"""),162.59)</f>
        <v>162.59</v>
      </c>
      <c r="D386" s="8" t="n">
        <f aca="false">IFERROR(__xludf.dummyfunction("""COMPUTED_VALUE"""),157.28)</f>
        <v>157.28</v>
      </c>
      <c r="E386" s="8" t="n">
        <f aca="false">IFERROR(__xludf.dummyfunction("""COMPUTED_VALUE"""),158.05)</f>
        <v>158.05</v>
      </c>
      <c r="F386" s="8" t="n">
        <f aca="false">IFERROR(__xludf.dummyfunction("""COMPUTED_VALUE"""),23765168)</f>
        <v>23765168</v>
      </c>
    </row>
    <row r="387" customFormat="false" ht="15.75" hidden="false" customHeight="false" outlineLevel="0" collapsed="false">
      <c r="A387" s="9" t="n">
        <f aca="false">IFERROR(__xludf.dummyfunction("""COMPUTED_VALUE"""),44757.6666666667)</f>
        <v>44757.6666666667</v>
      </c>
      <c r="B387" s="8" t="n">
        <f aca="false">IFERROR(__xludf.dummyfunction("""COMPUTED_VALUE"""),160.54)</f>
        <v>160.54</v>
      </c>
      <c r="C387" s="8" t="n">
        <f aca="false">IFERROR(__xludf.dummyfunction("""COMPUTED_VALUE"""),164.98)</f>
        <v>164.98</v>
      </c>
      <c r="D387" s="8" t="n">
        <f aca="false">IFERROR(__xludf.dummyfunction("""COMPUTED_VALUE"""),159.82)</f>
        <v>159.82</v>
      </c>
      <c r="E387" s="8" t="n">
        <f aca="false">IFERROR(__xludf.dummyfunction("""COMPUTED_VALUE"""),164.7)</f>
        <v>164.7</v>
      </c>
      <c r="F387" s="8" t="n">
        <f aca="false">IFERROR(__xludf.dummyfunction("""COMPUTED_VALUE"""),23342807)</f>
        <v>23342807</v>
      </c>
    </row>
    <row r="388" customFormat="false" ht="15.75" hidden="false" customHeight="false" outlineLevel="0" collapsed="false">
      <c r="A388" s="9" t="n">
        <f aca="false">IFERROR(__xludf.dummyfunction("""COMPUTED_VALUE"""),44760.6666666667)</f>
        <v>44760.6666666667</v>
      </c>
      <c r="B388" s="8" t="n">
        <f aca="false">IFERROR(__xludf.dummyfunction("""COMPUTED_VALUE"""),166.75)</f>
        <v>166.75</v>
      </c>
      <c r="C388" s="8" t="n">
        <f aca="false">IFERROR(__xludf.dummyfunction("""COMPUTED_VALUE"""),171.69)</f>
        <v>171.69</v>
      </c>
      <c r="D388" s="8" t="n">
        <f aca="false">IFERROR(__xludf.dummyfunction("""COMPUTED_VALUE"""),165.64)</f>
        <v>165.64</v>
      </c>
      <c r="E388" s="8" t="n">
        <f aca="false">IFERROR(__xludf.dummyfunction("""COMPUTED_VALUE"""),167.23)</f>
        <v>167.23</v>
      </c>
      <c r="F388" s="8" t="n">
        <f aca="false">IFERROR(__xludf.dummyfunction("""COMPUTED_VALUE"""),23574337)</f>
        <v>23574337</v>
      </c>
    </row>
    <row r="389" customFormat="false" ht="15.75" hidden="false" customHeight="false" outlineLevel="0" collapsed="false">
      <c r="A389" s="9" t="n">
        <f aca="false">IFERROR(__xludf.dummyfunction("""COMPUTED_VALUE"""),44761.6666666667)</f>
        <v>44761.6666666667</v>
      </c>
      <c r="B389" s="8" t="n">
        <f aca="false">IFERROR(__xludf.dummyfunction("""COMPUTED_VALUE"""),170.37)</f>
        <v>170.37</v>
      </c>
      <c r="C389" s="8" t="n">
        <f aca="false">IFERROR(__xludf.dummyfunction("""COMPUTED_VALUE"""),176.49)</f>
        <v>176.49</v>
      </c>
      <c r="D389" s="8" t="n">
        <f aca="false">IFERROR(__xludf.dummyfunction("""COMPUTED_VALUE"""),169.51)</f>
        <v>169.51</v>
      </c>
      <c r="E389" s="8" t="n">
        <f aca="false">IFERROR(__xludf.dummyfunction("""COMPUTED_VALUE"""),175.78)</f>
        <v>175.78</v>
      </c>
      <c r="F389" s="8" t="n">
        <f aca="false">IFERROR(__xludf.dummyfunction("""COMPUTED_VALUE"""),25933679)</f>
        <v>25933679</v>
      </c>
    </row>
    <row r="390" customFormat="false" ht="15.75" hidden="false" customHeight="false" outlineLevel="0" collapsed="false">
      <c r="A390" s="9" t="n">
        <f aca="false">IFERROR(__xludf.dummyfunction("""COMPUTED_VALUE"""),44762.6666666667)</f>
        <v>44762.6666666667</v>
      </c>
      <c r="B390" s="8" t="n">
        <f aca="false">IFERROR(__xludf.dummyfunction("""COMPUTED_VALUE"""),177.49)</f>
        <v>177.49</v>
      </c>
      <c r="C390" s="8" t="n">
        <f aca="false">IFERROR(__xludf.dummyfunction("""COMPUTED_VALUE"""),183.6)</f>
        <v>183.6</v>
      </c>
      <c r="D390" s="8" t="n">
        <f aca="false">IFERROR(__xludf.dummyfunction("""COMPUTED_VALUE"""),176.7)</f>
        <v>176.7</v>
      </c>
      <c r="E390" s="8" t="n">
        <f aca="false">IFERROR(__xludf.dummyfunction("""COMPUTED_VALUE"""),183.09)</f>
        <v>183.09</v>
      </c>
      <c r="F390" s="8" t="n">
        <f aca="false">IFERROR(__xludf.dummyfunction("""COMPUTED_VALUE"""),24784274)</f>
        <v>24784274</v>
      </c>
    </row>
    <row r="391" customFormat="false" ht="15.75" hidden="false" customHeight="false" outlineLevel="0" collapsed="false">
      <c r="A391" s="9" t="n">
        <f aca="false">IFERROR(__xludf.dummyfunction("""COMPUTED_VALUE"""),44763.6666666667)</f>
        <v>44763.6666666667</v>
      </c>
      <c r="B391" s="8" t="n">
        <f aca="false">IFERROR(__xludf.dummyfunction("""COMPUTED_VALUE"""),180.63)</f>
        <v>180.63</v>
      </c>
      <c r="C391" s="8" t="n">
        <f aca="false">IFERROR(__xludf.dummyfunction("""COMPUTED_VALUE"""),183.85)</f>
        <v>183.85</v>
      </c>
      <c r="D391" s="8" t="n">
        <f aca="false">IFERROR(__xludf.dummyfunction("""COMPUTED_VALUE"""),178.87)</f>
        <v>178.87</v>
      </c>
      <c r="E391" s="8" t="n">
        <f aca="false">IFERROR(__xludf.dummyfunction("""COMPUTED_VALUE"""),183.17)</f>
        <v>183.17</v>
      </c>
      <c r="F391" s="8" t="n">
        <f aca="false">IFERROR(__xludf.dummyfunction("""COMPUTED_VALUE"""),27195815)</f>
        <v>27195815</v>
      </c>
    </row>
    <row r="392" customFormat="false" ht="15.75" hidden="false" customHeight="false" outlineLevel="0" collapsed="false">
      <c r="A392" s="9" t="n">
        <f aca="false">IFERROR(__xludf.dummyfunction("""COMPUTED_VALUE"""),44764.6666666667)</f>
        <v>44764.6666666667</v>
      </c>
      <c r="B392" s="8" t="n">
        <f aca="false">IFERROR(__xludf.dummyfunction("""COMPUTED_VALUE"""),173.07)</f>
        <v>173.07</v>
      </c>
      <c r="C392" s="8" t="n">
        <f aca="false">IFERROR(__xludf.dummyfunction("""COMPUTED_VALUE"""),175.6)</f>
        <v>175.6</v>
      </c>
      <c r="D392" s="8" t="n">
        <f aca="false">IFERROR(__xludf.dummyfunction("""COMPUTED_VALUE"""),168.41)</f>
        <v>168.41</v>
      </c>
      <c r="E392" s="8" t="n">
        <f aca="false">IFERROR(__xludf.dummyfunction("""COMPUTED_VALUE"""),169.27)</f>
        <v>169.27</v>
      </c>
      <c r="F392" s="8" t="n">
        <f aca="false">IFERROR(__xludf.dummyfunction("""COMPUTED_VALUE"""),42583916)</f>
        <v>42583916</v>
      </c>
    </row>
    <row r="393" customFormat="false" ht="15.75" hidden="false" customHeight="false" outlineLevel="0" collapsed="false">
      <c r="A393" s="9" t="n">
        <f aca="false">IFERROR(__xludf.dummyfunction("""COMPUTED_VALUE"""),44767.6666666667)</f>
        <v>44767.6666666667</v>
      </c>
      <c r="B393" s="8" t="n">
        <f aca="false">IFERROR(__xludf.dummyfunction("""COMPUTED_VALUE"""),169)</f>
        <v>169</v>
      </c>
      <c r="C393" s="8" t="n">
        <f aca="false">IFERROR(__xludf.dummyfunction("""COMPUTED_VALUE"""),170.57)</f>
        <v>170.57</v>
      </c>
      <c r="D393" s="8" t="n">
        <f aca="false">IFERROR(__xludf.dummyfunction("""COMPUTED_VALUE"""),164.81)</f>
        <v>164.81</v>
      </c>
      <c r="E393" s="8" t="n">
        <f aca="false">IFERROR(__xludf.dummyfunction("""COMPUTED_VALUE"""),166.65)</f>
        <v>166.65</v>
      </c>
      <c r="F393" s="8" t="n">
        <f aca="false">IFERROR(__xludf.dummyfunction("""COMPUTED_VALUE"""),26166326)</f>
        <v>26166326</v>
      </c>
    </row>
    <row r="394" customFormat="false" ht="15.75" hidden="false" customHeight="false" outlineLevel="0" collapsed="false">
      <c r="A394" s="9" t="n">
        <f aca="false">IFERROR(__xludf.dummyfunction("""COMPUTED_VALUE"""),44768.6666666667)</f>
        <v>44768.6666666667</v>
      </c>
      <c r="B394" s="8" t="n">
        <f aca="false">IFERROR(__xludf.dummyfunction("""COMPUTED_VALUE"""),165.94)</f>
        <v>165.94</v>
      </c>
      <c r="C394" s="8" t="n">
        <f aca="false">IFERROR(__xludf.dummyfunction("""COMPUTED_VALUE"""),166)</f>
        <v>166</v>
      </c>
      <c r="D394" s="8" t="n">
        <f aca="false">IFERROR(__xludf.dummyfunction("""COMPUTED_VALUE"""),157.95)</f>
        <v>157.95</v>
      </c>
      <c r="E394" s="8" t="n">
        <f aca="false">IFERROR(__xludf.dummyfunction("""COMPUTED_VALUE"""),159.15)</f>
        <v>159.15</v>
      </c>
      <c r="F394" s="8" t="n">
        <f aca="false">IFERROR(__xludf.dummyfunction("""COMPUTED_VALUE"""),28468424)</f>
        <v>28468424</v>
      </c>
    </row>
    <row r="395" customFormat="false" ht="15.75" hidden="false" customHeight="false" outlineLevel="0" collapsed="false">
      <c r="A395" s="9" t="n">
        <f aca="false">IFERROR(__xludf.dummyfunction("""COMPUTED_VALUE"""),44769.6666666667)</f>
        <v>44769.6666666667</v>
      </c>
      <c r="B395" s="8" t="n">
        <f aca="false">IFERROR(__xludf.dummyfunction("""COMPUTED_VALUE"""),162.59)</f>
        <v>162.59</v>
      </c>
      <c r="C395" s="8" t="n">
        <f aca="false">IFERROR(__xludf.dummyfunction("""COMPUTED_VALUE"""),170.87)</f>
        <v>170.87</v>
      </c>
      <c r="D395" s="8" t="n">
        <f aca="false">IFERROR(__xludf.dummyfunction("""COMPUTED_VALUE"""),162.02)</f>
        <v>162.02</v>
      </c>
      <c r="E395" s="8" t="n">
        <f aca="false">IFERROR(__xludf.dummyfunction("""COMPUTED_VALUE"""),169.58)</f>
        <v>169.58</v>
      </c>
      <c r="F395" s="8" t="n">
        <f aca="false">IFERROR(__xludf.dummyfunction("""COMPUTED_VALUE"""),43846557)</f>
        <v>43846557</v>
      </c>
    </row>
    <row r="396" customFormat="false" ht="15.75" hidden="false" customHeight="false" outlineLevel="0" collapsed="false">
      <c r="A396" s="9" t="n">
        <f aca="false">IFERROR(__xludf.dummyfunction("""COMPUTED_VALUE"""),44770.6666666667)</f>
        <v>44770.6666666667</v>
      </c>
      <c r="B396" s="8" t="n">
        <f aca="false">IFERROR(__xludf.dummyfunction("""COMPUTED_VALUE"""),161.06)</f>
        <v>161.06</v>
      </c>
      <c r="C396" s="8" t="n">
        <f aca="false">IFERROR(__xludf.dummyfunction("""COMPUTED_VALUE"""),161.51)</f>
        <v>161.51</v>
      </c>
      <c r="D396" s="8" t="n">
        <f aca="false">IFERROR(__xludf.dummyfunction("""COMPUTED_VALUE"""),154.85)</f>
        <v>154.85</v>
      </c>
      <c r="E396" s="8" t="n">
        <f aca="false">IFERROR(__xludf.dummyfunction("""COMPUTED_VALUE"""),160.72)</f>
        <v>160.72</v>
      </c>
      <c r="F396" s="8" t="n">
        <f aca="false">IFERROR(__xludf.dummyfunction("""COMPUTED_VALUE"""),73214326)</f>
        <v>73214326</v>
      </c>
    </row>
    <row r="397" customFormat="false" ht="15.75" hidden="false" customHeight="false" outlineLevel="0" collapsed="false">
      <c r="A397" s="9" t="n">
        <f aca="false">IFERROR(__xludf.dummyfunction("""COMPUTED_VALUE"""),44771.6666666667)</f>
        <v>44771.6666666667</v>
      </c>
      <c r="B397" s="8" t="n">
        <f aca="false">IFERROR(__xludf.dummyfunction("""COMPUTED_VALUE"""),157.69)</f>
        <v>157.69</v>
      </c>
      <c r="C397" s="8" t="n">
        <f aca="false">IFERROR(__xludf.dummyfunction("""COMPUTED_VALUE"""),160.14)</f>
        <v>160.14</v>
      </c>
      <c r="D397" s="8" t="n">
        <f aca="false">IFERROR(__xludf.dummyfunction("""COMPUTED_VALUE"""),155.17)</f>
        <v>155.17</v>
      </c>
      <c r="E397" s="8" t="n">
        <f aca="false">IFERROR(__xludf.dummyfunction("""COMPUTED_VALUE"""),159.1)</f>
        <v>159.1</v>
      </c>
      <c r="F397" s="8" t="n">
        <f aca="false">IFERROR(__xludf.dummyfunction("""COMPUTED_VALUE"""),42065395)</f>
        <v>42065395</v>
      </c>
    </row>
    <row r="398" customFormat="false" ht="15.75" hidden="false" customHeight="false" outlineLevel="0" collapsed="false">
      <c r="A398" s="9" t="n">
        <f aca="false">IFERROR(__xludf.dummyfunction("""COMPUTED_VALUE"""),44774.6666666667)</f>
        <v>44774.6666666667</v>
      </c>
      <c r="B398" s="8" t="n">
        <f aca="false">IFERROR(__xludf.dummyfunction("""COMPUTED_VALUE"""),157.25)</f>
        <v>157.25</v>
      </c>
      <c r="C398" s="8" t="n">
        <f aca="false">IFERROR(__xludf.dummyfunction("""COMPUTED_VALUE"""),165.19)</f>
        <v>165.19</v>
      </c>
      <c r="D398" s="8" t="n">
        <f aca="false">IFERROR(__xludf.dummyfunction("""COMPUTED_VALUE"""),155.23)</f>
        <v>155.23</v>
      </c>
      <c r="E398" s="8" t="n">
        <f aca="false">IFERROR(__xludf.dummyfunction("""COMPUTED_VALUE"""),159.93)</f>
        <v>159.93</v>
      </c>
      <c r="F398" s="8" t="n">
        <f aca="false">IFERROR(__xludf.dummyfunction("""COMPUTED_VALUE"""),40596702)</f>
        <v>40596702</v>
      </c>
    </row>
    <row r="399" customFormat="false" ht="15.75" hidden="false" customHeight="false" outlineLevel="0" collapsed="false">
      <c r="A399" s="9" t="n">
        <f aca="false">IFERROR(__xludf.dummyfunction("""COMPUTED_VALUE"""),44775.6666666667)</f>
        <v>44775.6666666667</v>
      </c>
      <c r="B399" s="8" t="n">
        <f aca="false">IFERROR(__xludf.dummyfunction("""COMPUTED_VALUE"""),158.31)</f>
        <v>158.31</v>
      </c>
      <c r="C399" s="8" t="n">
        <f aca="false">IFERROR(__xludf.dummyfunction("""COMPUTED_VALUE"""),162.24)</f>
        <v>162.24</v>
      </c>
      <c r="D399" s="8" t="n">
        <f aca="false">IFERROR(__xludf.dummyfunction("""COMPUTED_VALUE"""),158.01)</f>
        <v>158.01</v>
      </c>
      <c r="E399" s="8" t="n">
        <f aca="false">IFERROR(__xludf.dummyfunction("""COMPUTED_VALUE"""),160.19)</f>
        <v>160.19</v>
      </c>
      <c r="F399" s="8" t="n">
        <f aca="false">IFERROR(__xludf.dummyfunction("""COMPUTED_VALUE"""),27374516)</f>
        <v>27374516</v>
      </c>
    </row>
    <row r="400" customFormat="false" ht="15.75" hidden="false" customHeight="false" outlineLevel="0" collapsed="false">
      <c r="A400" s="9" t="n">
        <f aca="false">IFERROR(__xludf.dummyfunction("""COMPUTED_VALUE"""),44776.6666666667)</f>
        <v>44776.6666666667</v>
      </c>
      <c r="B400" s="8" t="n">
        <f aca="false">IFERROR(__xludf.dummyfunction("""COMPUTED_VALUE"""),162.69)</f>
        <v>162.69</v>
      </c>
      <c r="C400" s="8" t="n">
        <f aca="false">IFERROR(__xludf.dummyfunction("""COMPUTED_VALUE"""),169.54)</f>
        <v>169.54</v>
      </c>
      <c r="D400" s="8" t="n">
        <f aca="false">IFERROR(__xludf.dummyfunction("""COMPUTED_VALUE"""),161.57)</f>
        <v>161.57</v>
      </c>
      <c r="E400" s="8" t="n">
        <f aca="false">IFERROR(__xludf.dummyfunction("""COMPUTED_VALUE"""),168.8)</f>
        <v>168.8</v>
      </c>
      <c r="F400" s="8" t="n">
        <f aca="false">IFERROR(__xludf.dummyfunction("""COMPUTED_VALUE"""),31717527)</f>
        <v>31717527</v>
      </c>
    </row>
    <row r="401" customFormat="false" ht="15.75" hidden="false" customHeight="false" outlineLevel="0" collapsed="false">
      <c r="A401" s="9" t="n">
        <f aca="false">IFERROR(__xludf.dummyfunction("""COMPUTED_VALUE"""),44777.6666666667)</f>
        <v>44777.6666666667</v>
      </c>
      <c r="B401" s="8" t="n">
        <f aca="false">IFERROR(__xludf.dummyfunction("""COMPUTED_VALUE"""),168.3)</f>
        <v>168.3</v>
      </c>
      <c r="C401" s="8" t="n">
        <f aca="false">IFERROR(__xludf.dummyfunction("""COMPUTED_VALUE"""),172.15)</f>
        <v>172.15</v>
      </c>
      <c r="D401" s="8" t="n">
        <f aca="false">IFERROR(__xludf.dummyfunction("""COMPUTED_VALUE"""),166.8)</f>
        <v>166.8</v>
      </c>
      <c r="E401" s="8" t="n">
        <f aca="false">IFERROR(__xludf.dummyfunction("""COMPUTED_VALUE"""),170.57)</f>
        <v>170.57</v>
      </c>
      <c r="F401" s="8" t="n">
        <f aca="false">IFERROR(__xludf.dummyfunction("""COMPUTED_VALUE"""),23938212)</f>
        <v>23938212</v>
      </c>
    </row>
    <row r="402" customFormat="false" ht="15.75" hidden="false" customHeight="false" outlineLevel="0" collapsed="false">
      <c r="A402" s="9" t="n">
        <f aca="false">IFERROR(__xludf.dummyfunction("""COMPUTED_VALUE"""),44778.6666666667)</f>
        <v>44778.6666666667</v>
      </c>
      <c r="B402" s="8" t="n">
        <f aca="false">IFERROR(__xludf.dummyfunction("""COMPUTED_VALUE"""),166.99)</f>
        <v>166.99</v>
      </c>
      <c r="C402" s="8" t="n">
        <f aca="false">IFERROR(__xludf.dummyfunction("""COMPUTED_VALUE"""),171.61)</f>
        <v>171.61</v>
      </c>
      <c r="D402" s="8" t="n">
        <f aca="false">IFERROR(__xludf.dummyfunction("""COMPUTED_VALUE"""),165.8)</f>
        <v>165.8</v>
      </c>
      <c r="E402" s="8" t="n">
        <f aca="false">IFERROR(__xludf.dummyfunction("""COMPUTED_VALUE"""),167.11)</f>
        <v>167.11</v>
      </c>
      <c r="F402" s="8" t="n">
        <f aca="false">IFERROR(__xludf.dummyfunction("""COMPUTED_VALUE"""),25832701)</f>
        <v>25832701</v>
      </c>
    </row>
    <row r="403" customFormat="false" ht="15.75" hidden="false" customHeight="false" outlineLevel="0" collapsed="false">
      <c r="A403" s="9" t="n">
        <f aca="false">IFERROR(__xludf.dummyfunction("""COMPUTED_VALUE"""),44781.6666666667)</f>
        <v>44781.6666666667</v>
      </c>
      <c r="B403" s="8" t="n">
        <f aca="false">IFERROR(__xludf.dummyfunction("""COMPUTED_VALUE"""),168)</f>
        <v>168</v>
      </c>
      <c r="C403" s="8" t="n">
        <f aca="false">IFERROR(__xludf.dummyfunction("""COMPUTED_VALUE"""),177.51)</f>
        <v>177.51</v>
      </c>
      <c r="D403" s="8" t="n">
        <f aca="false">IFERROR(__xludf.dummyfunction("""COMPUTED_VALUE"""),167.13)</f>
        <v>167.13</v>
      </c>
      <c r="E403" s="8" t="n">
        <f aca="false">IFERROR(__xludf.dummyfunction("""COMPUTED_VALUE"""),170.25)</f>
        <v>170.25</v>
      </c>
      <c r="F403" s="8" t="n">
        <f aca="false">IFERROR(__xludf.dummyfunction("""COMPUTED_VALUE"""),27299113)</f>
        <v>27299113</v>
      </c>
    </row>
    <row r="404" customFormat="false" ht="15.75" hidden="false" customHeight="false" outlineLevel="0" collapsed="false">
      <c r="A404" s="9" t="n">
        <f aca="false">IFERROR(__xludf.dummyfunction("""COMPUTED_VALUE"""),44782.6666666667)</f>
        <v>44782.6666666667</v>
      </c>
      <c r="B404" s="8" t="n">
        <f aca="false">IFERROR(__xludf.dummyfunction("""COMPUTED_VALUE"""),168.95)</f>
        <v>168.95</v>
      </c>
      <c r="C404" s="8" t="n">
        <f aca="false">IFERROR(__xludf.dummyfunction("""COMPUTED_VALUE"""),169.53)</f>
        <v>169.53</v>
      </c>
      <c r="D404" s="8" t="n">
        <f aca="false">IFERROR(__xludf.dummyfunction("""COMPUTED_VALUE"""),166.6)</f>
        <v>166.6</v>
      </c>
      <c r="E404" s="8" t="n">
        <f aca="false">IFERROR(__xludf.dummyfunction("""COMPUTED_VALUE"""),168.53)</f>
        <v>168.53</v>
      </c>
      <c r="F404" s="8" t="n">
        <f aca="false">IFERROR(__xludf.dummyfunction("""COMPUTED_VALUE"""),18655056)</f>
        <v>18655056</v>
      </c>
    </row>
    <row r="405" customFormat="false" ht="15.75" hidden="false" customHeight="false" outlineLevel="0" collapsed="false">
      <c r="A405" s="9" t="n">
        <f aca="false">IFERROR(__xludf.dummyfunction("""COMPUTED_VALUE"""),44783.6666666667)</f>
        <v>44783.6666666667</v>
      </c>
      <c r="B405" s="8" t="n">
        <f aca="false">IFERROR(__xludf.dummyfunction("""COMPUTED_VALUE"""),175.99)</f>
        <v>175.99</v>
      </c>
      <c r="C405" s="8" t="n">
        <f aca="false">IFERROR(__xludf.dummyfunction("""COMPUTED_VALUE"""),180.48)</f>
        <v>180.48</v>
      </c>
      <c r="D405" s="8" t="n">
        <f aca="false">IFERROR(__xludf.dummyfunction("""COMPUTED_VALUE"""),173.95)</f>
        <v>173.95</v>
      </c>
      <c r="E405" s="8" t="n">
        <f aca="false">IFERROR(__xludf.dummyfunction("""COMPUTED_VALUE"""),178.34)</f>
        <v>178.34</v>
      </c>
      <c r="F405" s="8" t="n">
        <f aca="false">IFERROR(__xludf.dummyfunction("""COMPUTED_VALUE"""),30262132)</f>
        <v>30262132</v>
      </c>
    </row>
    <row r="406" customFormat="false" ht="15.75" hidden="false" customHeight="false" outlineLevel="0" collapsed="false">
      <c r="A406" s="9" t="n">
        <f aca="false">IFERROR(__xludf.dummyfunction("""COMPUTED_VALUE"""),44784.6666666667)</f>
        <v>44784.6666666667</v>
      </c>
      <c r="B406" s="8" t="n">
        <f aca="false">IFERROR(__xludf.dummyfunction("""COMPUTED_VALUE"""),179.71)</f>
        <v>179.71</v>
      </c>
      <c r="C406" s="8" t="n">
        <f aca="false">IFERROR(__xludf.dummyfunction("""COMPUTED_VALUE"""),183.1)</f>
        <v>183.1</v>
      </c>
      <c r="D406" s="8" t="n">
        <f aca="false">IFERROR(__xludf.dummyfunction("""COMPUTED_VALUE"""),176.37)</f>
        <v>176.37</v>
      </c>
      <c r="E406" s="8" t="n">
        <f aca="false">IFERROR(__xludf.dummyfunction("""COMPUTED_VALUE"""),177.49)</f>
        <v>177.49</v>
      </c>
      <c r="F406" s="8" t="n">
        <f aca="false">IFERROR(__xludf.dummyfunction("""COMPUTED_VALUE"""),24079062)</f>
        <v>24079062</v>
      </c>
    </row>
    <row r="407" customFormat="false" ht="15.75" hidden="false" customHeight="false" outlineLevel="0" collapsed="false">
      <c r="A407" s="9" t="n">
        <f aca="false">IFERROR(__xludf.dummyfunction("""COMPUTED_VALUE"""),44785.6666666667)</f>
        <v>44785.6666666667</v>
      </c>
      <c r="B407" s="8" t="n">
        <f aca="false">IFERROR(__xludf.dummyfunction("""COMPUTED_VALUE"""),180.81)</f>
        <v>180.81</v>
      </c>
      <c r="C407" s="8" t="n">
        <f aca="false">IFERROR(__xludf.dummyfunction("""COMPUTED_VALUE"""),181.46)</f>
        <v>181.46</v>
      </c>
      <c r="D407" s="8" t="n">
        <f aca="false">IFERROR(__xludf.dummyfunction("""COMPUTED_VALUE"""),178.91)</f>
        <v>178.91</v>
      </c>
      <c r="E407" s="8" t="n">
        <f aca="false">IFERROR(__xludf.dummyfunction("""COMPUTED_VALUE"""),180.5)</f>
        <v>180.5</v>
      </c>
      <c r="F407" s="8" t="n">
        <f aca="false">IFERROR(__xludf.dummyfunction("""COMPUTED_VALUE"""),21274046)</f>
        <v>21274046</v>
      </c>
    </row>
    <row r="408" customFormat="false" ht="15.75" hidden="false" customHeight="false" outlineLevel="0" collapsed="false">
      <c r="A408" s="9" t="n">
        <f aca="false">IFERROR(__xludf.dummyfunction("""COMPUTED_VALUE"""),44788.6666666667)</f>
        <v>44788.6666666667</v>
      </c>
      <c r="B408" s="8" t="n">
        <f aca="false">IFERROR(__xludf.dummyfunction("""COMPUTED_VALUE"""),178.96)</f>
        <v>178.96</v>
      </c>
      <c r="C408" s="8" t="n">
        <f aca="false">IFERROR(__xludf.dummyfunction("""COMPUTED_VALUE"""),181.44)</f>
        <v>181.44</v>
      </c>
      <c r="D408" s="8" t="n">
        <f aca="false">IFERROR(__xludf.dummyfunction("""COMPUTED_VALUE"""),178.2)</f>
        <v>178.2</v>
      </c>
      <c r="E408" s="8" t="n">
        <f aca="false">IFERROR(__xludf.dummyfunction("""COMPUTED_VALUE"""),180.89)</f>
        <v>180.89</v>
      </c>
      <c r="F408" s="8" t="n">
        <f aca="false">IFERROR(__xludf.dummyfunction("""COMPUTED_VALUE"""),15878671)</f>
        <v>15878671</v>
      </c>
    </row>
    <row r="409" customFormat="false" ht="15.75" hidden="false" customHeight="false" outlineLevel="0" collapsed="false">
      <c r="A409" s="9" t="n">
        <f aca="false">IFERROR(__xludf.dummyfunction("""COMPUTED_VALUE"""),44789.6666666667)</f>
        <v>44789.6666666667</v>
      </c>
      <c r="B409" s="8" t="n">
        <f aca="false">IFERROR(__xludf.dummyfunction("""COMPUTED_VALUE"""),179.44)</f>
        <v>179.44</v>
      </c>
      <c r="C409" s="8" t="n">
        <f aca="false">IFERROR(__xludf.dummyfunction("""COMPUTED_VALUE"""),180.99)</f>
        <v>180.99</v>
      </c>
      <c r="D409" s="8" t="n">
        <f aca="false">IFERROR(__xludf.dummyfunction("""COMPUTED_VALUE"""),177.04)</f>
        <v>177.04</v>
      </c>
      <c r="E409" s="8" t="n">
        <f aca="false">IFERROR(__xludf.dummyfunction("""COMPUTED_VALUE"""),179.47)</f>
        <v>179.47</v>
      </c>
      <c r="F409" s="8" t="n">
        <f aca="false">IFERROR(__xludf.dummyfunction("""COMPUTED_VALUE"""),21156710)</f>
        <v>21156710</v>
      </c>
    </row>
    <row r="410" customFormat="false" ht="15.75" hidden="false" customHeight="false" outlineLevel="0" collapsed="false">
      <c r="A410" s="9" t="n">
        <f aca="false">IFERROR(__xludf.dummyfunction("""COMPUTED_VALUE"""),44790.6666666667)</f>
        <v>44790.6666666667</v>
      </c>
      <c r="B410" s="8" t="n">
        <f aca="false">IFERROR(__xludf.dummyfunction("""COMPUTED_VALUE"""),176.76)</f>
        <v>176.76</v>
      </c>
      <c r="C410" s="8" t="n">
        <f aca="false">IFERROR(__xludf.dummyfunction("""COMPUTED_VALUE"""),178.14)</f>
        <v>178.14</v>
      </c>
      <c r="D410" s="8" t="n">
        <f aca="false">IFERROR(__xludf.dummyfunction("""COMPUTED_VALUE"""),174.17)</f>
        <v>174.17</v>
      </c>
      <c r="E410" s="8" t="n">
        <f aca="false">IFERROR(__xludf.dummyfunction("""COMPUTED_VALUE"""),174.85)</f>
        <v>174.85</v>
      </c>
      <c r="F410" s="8" t="n">
        <f aca="false">IFERROR(__xludf.dummyfunction("""COMPUTED_VALUE"""),20118133)</f>
        <v>20118133</v>
      </c>
    </row>
    <row r="411" customFormat="false" ht="15.75" hidden="false" customHeight="false" outlineLevel="0" collapsed="false">
      <c r="A411" s="9" t="n">
        <f aca="false">IFERROR(__xludf.dummyfunction("""COMPUTED_VALUE"""),44791.6666666667)</f>
        <v>44791.6666666667</v>
      </c>
      <c r="B411" s="8" t="n">
        <f aca="false">IFERROR(__xludf.dummyfunction("""COMPUTED_VALUE"""),174.34)</f>
        <v>174.34</v>
      </c>
      <c r="C411" s="8" t="n">
        <f aca="false">IFERROR(__xludf.dummyfunction("""COMPUTED_VALUE"""),175.76)</f>
        <v>175.76</v>
      </c>
      <c r="D411" s="8" t="n">
        <f aca="false">IFERROR(__xludf.dummyfunction("""COMPUTED_VALUE"""),171.86)</f>
        <v>171.86</v>
      </c>
      <c r="E411" s="8" t="n">
        <f aca="false">IFERROR(__xludf.dummyfunction("""COMPUTED_VALUE"""),174.66)</f>
        <v>174.66</v>
      </c>
      <c r="F411" s="8" t="n">
        <f aca="false">IFERROR(__xludf.dummyfunction("""COMPUTED_VALUE"""),18844451)</f>
        <v>18844451</v>
      </c>
    </row>
    <row r="412" customFormat="false" ht="15.75" hidden="false" customHeight="false" outlineLevel="0" collapsed="false">
      <c r="A412" s="9" t="n">
        <f aca="false">IFERROR(__xludf.dummyfunction("""COMPUTED_VALUE"""),44792.6666666667)</f>
        <v>44792.6666666667</v>
      </c>
      <c r="B412" s="8" t="n">
        <f aca="false">IFERROR(__xludf.dummyfunction("""COMPUTED_VALUE"""),170.2)</f>
        <v>170.2</v>
      </c>
      <c r="C412" s="8" t="n">
        <f aca="false">IFERROR(__xludf.dummyfunction("""COMPUTED_VALUE"""),172.32)</f>
        <v>172.32</v>
      </c>
      <c r="D412" s="8" t="n">
        <f aca="false">IFERROR(__xludf.dummyfunction("""COMPUTED_VALUE"""),167.05)</f>
        <v>167.05</v>
      </c>
      <c r="E412" s="8" t="n">
        <f aca="false">IFERROR(__xludf.dummyfunction("""COMPUTED_VALUE"""),167.96)</f>
        <v>167.96</v>
      </c>
      <c r="F412" s="8" t="n">
        <f aca="false">IFERROR(__xludf.dummyfunction("""COMPUTED_VALUE"""),26240799)</f>
        <v>26240799</v>
      </c>
    </row>
    <row r="413" customFormat="false" ht="15.75" hidden="false" customHeight="false" outlineLevel="0" collapsed="false">
      <c r="A413" s="9" t="n">
        <f aca="false">IFERROR(__xludf.dummyfunction("""COMPUTED_VALUE"""),44795.6666666667)</f>
        <v>44795.6666666667</v>
      </c>
      <c r="B413" s="8" t="n">
        <f aca="false">IFERROR(__xludf.dummyfunction("""COMPUTED_VALUE"""),165.49)</f>
        <v>165.49</v>
      </c>
      <c r="C413" s="8" t="n">
        <f aca="false">IFERROR(__xludf.dummyfunction("""COMPUTED_VALUE"""),165.49)</f>
        <v>165.49</v>
      </c>
      <c r="D413" s="8" t="n">
        <f aca="false">IFERROR(__xludf.dummyfunction("""COMPUTED_VALUE"""),162.26)</f>
        <v>162.26</v>
      </c>
      <c r="E413" s="8" t="n">
        <f aca="false">IFERROR(__xludf.dummyfunction("""COMPUTED_VALUE"""),163.05)</f>
        <v>163.05</v>
      </c>
      <c r="F413" s="8" t="n">
        <f aca="false">IFERROR(__xludf.dummyfunction("""COMPUTED_VALUE"""),19499711)</f>
        <v>19499711</v>
      </c>
    </row>
    <row r="414" customFormat="false" ht="15.75" hidden="false" customHeight="false" outlineLevel="0" collapsed="false">
      <c r="A414" s="9" t="n">
        <f aca="false">IFERROR(__xludf.dummyfunction("""COMPUTED_VALUE"""),44796.6666666667)</f>
        <v>44796.6666666667</v>
      </c>
      <c r="B414" s="8" t="n">
        <f aca="false">IFERROR(__xludf.dummyfunction("""COMPUTED_VALUE"""),162.48)</f>
        <v>162.48</v>
      </c>
      <c r="C414" s="8" t="n">
        <f aca="false">IFERROR(__xludf.dummyfunction("""COMPUTED_VALUE"""),165.05)</f>
        <v>165.05</v>
      </c>
      <c r="D414" s="8" t="n">
        <f aca="false">IFERROR(__xludf.dummyfunction("""COMPUTED_VALUE"""),160.7)</f>
        <v>160.7</v>
      </c>
      <c r="E414" s="8" t="n">
        <f aca="false">IFERROR(__xludf.dummyfunction("""COMPUTED_VALUE"""),161.11)</f>
        <v>161.11</v>
      </c>
      <c r="F414" s="8" t="n">
        <f aca="false">IFERROR(__xludf.dummyfunction("""COMPUTED_VALUE"""),18111777)</f>
        <v>18111777</v>
      </c>
    </row>
    <row r="415" customFormat="false" ht="15.75" hidden="false" customHeight="false" outlineLevel="0" collapsed="false">
      <c r="A415" s="9" t="n">
        <f aca="false">IFERROR(__xludf.dummyfunction("""COMPUTED_VALUE"""),44797.6666666667)</f>
        <v>44797.6666666667</v>
      </c>
      <c r="B415" s="8" t="n">
        <f aca="false">IFERROR(__xludf.dummyfunction("""COMPUTED_VALUE"""),160.6)</f>
        <v>160.6</v>
      </c>
      <c r="C415" s="8" t="n">
        <f aca="false">IFERROR(__xludf.dummyfunction("""COMPUTED_VALUE"""),165.46)</f>
        <v>165.46</v>
      </c>
      <c r="D415" s="8" t="n">
        <f aca="false">IFERROR(__xludf.dummyfunction("""COMPUTED_VALUE"""),159.77)</f>
        <v>159.77</v>
      </c>
      <c r="E415" s="8" t="n">
        <f aca="false">IFERROR(__xludf.dummyfunction("""COMPUTED_VALUE"""),163.26)</f>
        <v>163.26</v>
      </c>
      <c r="F415" s="8" t="n">
        <f aca="false">IFERROR(__xludf.dummyfunction("""COMPUTED_VALUE"""),20891481)</f>
        <v>20891481</v>
      </c>
    </row>
    <row r="416" customFormat="false" ht="15.75" hidden="false" customHeight="false" outlineLevel="0" collapsed="false">
      <c r="A416" s="9" t="n">
        <f aca="false">IFERROR(__xludf.dummyfunction("""COMPUTED_VALUE"""),44798.6666666667)</f>
        <v>44798.6666666667</v>
      </c>
      <c r="B416" s="8" t="n">
        <f aca="false">IFERROR(__xludf.dummyfunction("""COMPUTED_VALUE"""),165.18)</f>
        <v>165.18</v>
      </c>
      <c r="C416" s="8" t="n">
        <f aca="false">IFERROR(__xludf.dummyfunction("""COMPUTED_VALUE"""),168.88)</f>
        <v>168.88</v>
      </c>
      <c r="D416" s="8" t="n">
        <f aca="false">IFERROR(__xludf.dummyfunction("""COMPUTED_VALUE"""),164.02)</f>
        <v>164.02</v>
      </c>
      <c r="E416" s="8" t="n">
        <f aca="false">IFERROR(__xludf.dummyfunction("""COMPUTED_VALUE"""),168.78)</f>
        <v>168.78</v>
      </c>
      <c r="F416" s="8" t="n">
        <f aca="false">IFERROR(__xludf.dummyfunction("""COMPUTED_VALUE"""),15550514)</f>
        <v>15550514</v>
      </c>
    </row>
    <row r="417" customFormat="false" ht="15.75" hidden="false" customHeight="false" outlineLevel="0" collapsed="false">
      <c r="A417" s="9" t="n">
        <f aca="false">IFERROR(__xludf.dummyfunction("""COMPUTED_VALUE"""),44799.6666666667)</f>
        <v>44799.6666666667</v>
      </c>
      <c r="B417" s="8" t="n">
        <f aca="false">IFERROR(__xludf.dummyfunction("""COMPUTED_VALUE"""),168.48)</f>
        <v>168.48</v>
      </c>
      <c r="C417" s="8" t="n">
        <f aca="false">IFERROR(__xludf.dummyfunction("""COMPUTED_VALUE"""),170.92)</f>
        <v>170.92</v>
      </c>
      <c r="D417" s="8" t="n">
        <f aca="false">IFERROR(__xludf.dummyfunction("""COMPUTED_VALUE"""),161.67)</f>
        <v>161.67</v>
      </c>
      <c r="E417" s="8" t="n">
        <f aca="false">IFERROR(__xludf.dummyfunction("""COMPUTED_VALUE"""),161.78)</f>
        <v>161.78</v>
      </c>
      <c r="F417" s="8" t="n">
        <f aca="false">IFERROR(__xludf.dummyfunction("""COMPUTED_VALUE"""),24023633)</f>
        <v>24023633</v>
      </c>
    </row>
    <row r="418" customFormat="false" ht="15.75" hidden="false" customHeight="false" outlineLevel="0" collapsed="false">
      <c r="A418" s="9" t="n">
        <f aca="false">IFERROR(__xludf.dummyfunction("""COMPUTED_VALUE"""),44802.6666666667)</f>
        <v>44802.6666666667</v>
      </c>
      <c r="B418" s="8" t="n">
        <f aca="false">IFERROR(__xludf.dummyfunction("""COMPUTED_VALUE"""),160.66)</f>
        <v>160.66</v>
      </c>
      <c r="C418" s="8" t="n">
        <f aca="false">IFERROR(__xludf.dummyfunction("""COMPUTED_VALUE"""),163.05)</f>
        <v>163.05</v>
      </c>
      <c r="D418" s="8" t="n">
        <f aca="false">IFERROR(__xludf.dummyfunction("""COMPUTED_VALUE"""),159.01)</f>
        <v>159.01</v>
      </c>
      <c r="E418" s="8" t="n">
        <f aca="false">IFERROR(__xludf.dummyfunction("""COMPUTED_VALUE"""),159.17)</f>
        <v>159.17</v>
      </c>
      <c r="F418" s="8" t="n">
        <f aca="false">IFERROR(__xludf.dummyfunction("""COMPUTED_VALUE"""),20052661)</f>
        <v>20052661</v>
      </c>
    </row>
    <row r="419" customFormat="false" ht="15.75" hidden="false" customHeight="false" outlineLevel="0" collapsed="false">
      <c r="A419" s="9" t="n">
        <f aca="false">IFERROR(__xludf.dummyfunction("""COMPUTED_VALUE"""),44803.6666666667)</f>
        <v>44803.6666666667</v>
      </c>
      <c r="B419" s="8" t="n">
        <f aca="false">IFERROR(__xludf.dummyfunction("""COMPUTED_VALUE"""),160.35)</f>
        <v>160.35</v>
      </c>
      <c r="C419" s="8" t="n">
        <f aca="false">IFERROR(__xludf.dummyfunction("""COMPUTED_VALUE"""),161.66)</f>
        <v>161.66</v>
      </c>
      <c r="D419" s="8" t="n">
        <f aca="false">IFERROR(__xludf.dummyfunction("""COMPUTED_VALUE"""),155.91)</f>
        <v>155.91</v>
      </c>
      <c r="E419" s="8" t="n">
        <f aca="false">IFERROR(__xludf.dummyfunction("""COMPUTED_VALUE"""),157.16)</f>
        <v>157.16</v>
      </c>
      <c r="F419" s="8" t="n">
        <f aca="false">IFERROR(__xludf.dummyfunction("""COMPUTED_VALUE"""),19567948)</f>
        <v>19567948</v>
      </c>
    </row>
    <row r="420" customFormat="false" ht="15.75" hidden="false" customHeight="false" outlineLevel="0" collapsed="false">
      <c r="A420" s="9" t="n">
        <f aca="false">IFERROR(__xludf.dummyfunction("""COMPUTED_VALUE"""),44804.6666666667)</f>
        <v>44804.6666666667</v>
      </c>
      <c r="B420" s="8" t="n">
        <f aca="false">IFERROR(__xludf.dummyfunction("""COMPUTED_VALUE"""),167.07)</f>
        <v>167.07</v>
      </c>
      <c r="C420" s="8" t="n">
        <f aca="false">IFERROR(__xludf.dummyfunction("""COMPUTED_VALUE"""),167.84)</f>
        <v>167.84</v>
      </c>
      <c r="D420" s="8" t="n">
        <f aca="false">IFERROR(__xludf.dummyfunction("""COMPUTED_VALUE"""),162.14)</f>
        <v>162.14</v>
      </c>
      <c r="E420" s="8" t="n">
        <f aca="false">IFERROR(__xludf.dummyfunction("""COMPUTED_VALUE"""),162.93)</f>
        <v>162.93</v>
      </c>
      <c r="F420" s="8" t="n">
        <f aca="false">IFERROR(__xludf.dummyfunction("""COMPUTED_VALUE"""),40952975)</f>
        <v>40952975</v>
      </c>
    </row>
    <row r="421" customFormat="false" ht="15.75" hidden="false" customHeight="false" outlineLevel="0" collapsed="false">
      <c r="A421" s="9" t="n">
        <f aca="false">IFERROR(__xludf.dummyfunction("""COMPUTED_VALUE"""),44805.6666666667)</f>
        <v>44805.6666666667</v>
      </c>
      <c r="B421" s="8" t="n">
        <f aca="false">IFERROR(__xludf.dummyfunction("""COMPUTED_VALUE"""),163.58)</f>
        <v>163.58</v>
      </c>
      <c r="C421" s="8" t="n">
        <f aca="false">IFERROR(__xludf.dummyfunction("""COMPUTED_VALUE"""),167.36)</f>
        <v>167.36</v>
      </c>
      <c r="D421" s="8" t="n">
        <f aca="false">IFERROR(__xludf.dummyfunction("""COMPUTED_VALUE"""),160.35)</f>
        <v>160.35</v>
      </c>
      <c r="E421" s="8" t="n">
        <f aca="false">IFERROR(__xludf.dummyfunction("""COMPUTED_VALUE"""),165.36)</f>
        <v>165.36</v>
      </c>
      <c r="F421" s="8" t="n">
        <f aca="false">IFERROR(__xludf.dummyfunction("""COMPUTED_VALUE"""),30145683)</f>
        <v>30145683</v>
      </c>
    </row>
    <row r="422" customFormat="false" ht="15.75" hidden="false" customHeight="false" outlineLevel="0" collapsed="false">
      <c r="A422" s="9" t="n">
        <f aca="false">IFERROR(__xludf.dummyfunction("""COMPUTED_VALUE"""),44806.6666666667)</f>
        <v>44806.6666666667</v>
      </c>
      <c r="B422" s="8" t="n">
        <f aca="false">IFERROR(__xludf.dummyfunction("""COMPUTED_VALUE"""),167.45)</f>
        <v>167.45</v>
      </c>
      <c r="C422" s="8" t="n">
        <f aca="false">IFERROR(__xludf.dummyfunction("""COMPUTED_VALUE"""),167.93)</f>
        <v>167.93</v>
      </c>
      <c r="D422" s="8" t="n">
        <f aca="false">IFERROR(__xludf.dummyfunction("""COMPUTED_VALUE"""),159.22)</f>
        <v>159.22</v>
      </c>
      <c r="E422" s="8" t="n">
        <f aca="false">IFERROR(__xludf.dummyfunction("""COMPUTED_VALUE"""),160.32)</f>
        <v>160.32</v>
      </c>
      <c r="F422" s="8" t="n">
        <f aca="false">IFERROR(__xludf.dummyfunction("""COMPUTED_VALUE"""),22634191)</f>
        <v>22634191</v>
      </c>
    </row>
    <row r="423" customFormat="false" ht="15.75" hidden="false" customHeight="false" outlineLevel="0" collapsed="false">
      <c r="A423" s="9" t="n">
        <f aca="false">IFERROR(__xludf.dummyfunction("""COMPUTED_VALUE"""),44810.6666666667)</f>
        <v>44810.6666666667</v>
      </c>
      <c r="B423" s="8" t="n">
        <f aca="false">IFERROR(__xludf.dummyfunction("""COMPUTED_VALUE"""),160.1)</f>
        <v>160.1</v>
      </c>
      <c r="C423" s="8" t="n">
        <f aca="false">IFERROR(__xludf.dummyfunction("""COMPUTED_VALUE"""),161.69)</f>
        <v>161.69</v>
      </c>
      <c r="D423" s="8" t="n">
        <f aca="false">IFERROR(__xludf.dummyfunction("""COMPUTED_VALUE"""),157.69)</f>
        <v>157.69</v>
      </c>
      <c r="E423" s="8" t="n">
        <f aca="false">IFERROR(__xludf.dummyfunction("""COMPUTED_VALUE"""),158.54)</f>
        <v>158.54</v>
      </c>
      <c r="F423" s="8" t="n">
        <f aca="false">IFERROR(__xludf.dummyfunction("""COMPUTED_VALUE"""),19339781)</f>
        <v>19339781</v>
      </c>
    </row>
    <row r="424" customFormat="false" ht="15.75" hidden="false" customHeight="false" outlineLevel="0" collapsed="false">
      <c r="A424" s="9" t="n">
        <f aca="false">IFERROR(__xludf.dummyfunction("""COMPUTED_VALUE"""),44811.6666666667)</f>
        <v>44811.6666666667</v>
      </c>
      <c r="B424" s="8" t="n">
        <f aca="false">IFERROR(__xludf.dummyfunction("""COMPUTED_VALUE"""),157.76)</f>
        <v>157.76</v>
      </c>
      <c r="C424" s="8" t="n">
        <f aca="false">IFERROR(__xludf.dummyfunction("""COMPUTED_VALUE"""),160.96)</f>
        <v>160.96</v>
      </c>
      <c r="D424" s="8" t="n">
        <f aca="false">IFERROR(__xludf.dummyfunction("""COMPUTED_VALUE"""),156.81)</f>
        <v>156.81</v>
      </c>
      <c r="E424" s="8" t="n">
        <f aca="false">IFERROR(__xludf.dummyfunction("""COMPUTED_VALUE"""),160.39)</f>
        <v>160.39</v>
      </c>
      <c r="F424" s="8" t="n">
        <f aca="false">IFERROR(__xludf.dummyfunction("""COMPUTED_VALUE"""),16831182)</f>
        <v>16831182</v>
      </c>
    </row>
    <row r="425" customFormat="false" ht="15.75" hidden="false" customHeight="false" outlineLevel="0" collapsed="false">
      <c r="A425" s="9" t="n">
        <f aca="false">IFERROR(__xludf.dummyfunction("""COMPUTED_VALUE"""),44812.6666666667)</f>
        <v>44812.6666666667</v>
      </c>
      <c r="B425" s="8" t="n">
        <f aca="false">IFERROR(__xludf.dummyfunction("""COMPUTED_VALUE"""),158.71)</f>
        <v>158.71</v>
      </c>
      <c r="C425" s="8" t="n">
        <f aca="false">IFERROR(__xludf.dummyfunction("""COMPUTED_VALUE"""),162.23)</f>
        <v>162.23</v>
      </c>
      <c r="D425" s="8" t="n">
        <f aca="false">IFERROR(__xludf.dummyfunction("""COMPUTED_VALUE"""),157.74)</f>
        <v>157.74</v>
      </c>
      <c r="E425" s="8" t="n">
        <f aca="false">IFERROR(__xludf.dummyfunction("""COMPUTED_VALUE"""),162.06)</f>
        <v>162.06</v>
      </c>
      <c r="F425" s="8" t="n">
        <f aca="false">IFERROR(__xludf.dummyfunction("""COMPUTED_VALUE"""),22530785)</f>
        <v>22530785</v>
      </c>
    </row>
    <row r="426" customFormat="false" ht="15.75" hidden="false" customHeight="false" outlineLevel="0" collapsed="false">
      <c r="A426" s="9" t="n">
        <f aca="false">IFERROR(__xludf.dummyfunction("""COMPUTED_VALUE"""),44813.6666666667)</f>
        <v>44813.6666666667</v>
      </c>
      <c r="B426" s="8" t="n">
        <f aca="false">IFERROR(__xludf.dummyfunction("""COMPUTED_VALUE"""),163.25)</f>
        <v>163.25</v>
      </c>
      <c r="C426" s="8" t="n">
        <f aca="false">IFERROR(__xludf.dummyfunction("""COMPUTED_VALUE"""),169.54)</f>
        <v>169.54</v>
      </c>
      <c r="D426" s="8" t="n">
        <f aca="false">IFERROR(__xludf.dummyfunction("""COMPUTED_VALUE"""),163.02)</f>
        <v>163.02</v>
      </c>
      <c r="E426" s="8" t="n">
        <f aca="false">IFERROR(__xludf.dummyfunction("""COMPUTED_VALUE"""),169.15)</f>
        <v>169.15</v>
      </c>
      <c r="F426" s="8" t="n">
        <f aca="false">IFERROR(__xludf.dummyfunction("""COMPUTED_VALUE"""),22129802)</f>
        <v>22129802</v>
      </c>
    </row>
    <row r="427" customFormat="false" ht="15.75" hidden="false" customHeight="false" outlineLevel="0" collapsed="false">
      <c r="A427" s="9" t="n">
        <f aca="false">IFERROR(__xludf.dummyfunction("""COMPUTED_VALUE"""),44816.6666666667)</f>
        <v>44816.6666666667</v>
      </c>
      <c r="B427" s="8" t="n">
        <f aca="false">IFERROR(__xludf.dummyfunction("""COMPUTED_VALUE"""),167.39)</f>
        <v>167.39</v>
      </c>
      <c r="C427" s="8" t="n">
        <f aca="false">IFERROR(__xludf.dummyfunction("""COMPUTED_VALUE"""),171.39)</f>
        <v>171.39</v>
      </c>
      <c r="D427" s="8" t="n">
        <f aca="false">IFERROR(__xludf.dummyfunction("""COMPUTED_VALUE"""),167.28)</f>
        <v>167.28</v>
      </c>
      <c r="E427" s="8" t="n">
        <f aca="false">IFERROR(__xludf.dummyfunction("""COMPUTED_VALUE"""),168.96)</f>
        <v>168.96</v>
      </c>
      <c r="F427" s="8" t="n">
        <f aca="false">IFERROR(__xludf.dummyfunction("""COMPUTED_VALUE"""),23220405)</f>
        <v>23220405</v>
      </c>
    </row>
    <row r="428" customFormat="false" ht="15.75" hidden="false" customHeight="false" outlineLevel="0" collapsed="false">
      <c r="A428" s="9" t="n">
        <f aca="false">IFERROR(__xludf.dummyfunction("""COMPUTED_VALUE"""),44817.6666666667)</f>
        <v>44817.6666666667</v>
      </c>
      <c r="B428" s="8" t="n">
        <f aca="false">IFERROR(__xludf.dummyfunction("""COMPUTED_VALUE"""),161.54)</f>
        <v>161.54</v>
      </c>
      <c r="C428" s="8" t="n">
        <f aca="false">IFERROR(__xludf.dummyfunction("""COMPUTED_VALUE"""),161.63)</f>
        <v>161.63</v>
      </c>
      <c r="D428" s="8" t="n">
        <f aca="false">IFERROR(__xludf.dummyfunction("""COMPUTED_VALUE"""),152.67)</f>
        <v>152.67</v>
      </c>
      <c r="E428" s="8" t="n">
        <f aca="false">IFERROR(__xludf.dummyfunction("""COMPUTED_VALUE"""),153.13)</f>
        <v>153.13</v>
      </c>
      <c r="F428" s="8" t="n">
        <f aca="false">IFERROR(__xludf.dummyfunction("""COMPUTED_VALUE"""),44444061)</f>
        <v>44444061</v>
      </c>
    </row>
    <row r="429" customFormat="false" ht="15.75" hidden="false" customHeight="false" outlineLevel="0" collapsed="false">
      <c r="A429" s="9" t="n">
        <f aca="false">IFERROR(__xludf.dummyfunction("""COMPUTED_VALUE"""),44818.6666666667)</f>
        <v>44818.6666666667</v>
      </c>
      <c r="B429" s="8" t="n">
        <f aca="false">IFERROR(__xludf.dummyfunction("""COMPUTED_VALUE"""),153.33)</f>
        <v>153.33</v>
      </c>
      <c r="C429" s="8" t="n">
        <f aca="false">IFERROR(__xludf.dummyfunction("""COMPUTED_VALUE"""),153.54)</f>
        <v>153.54</v>
      </c>
      <c r="D429" s="8" t="n">
        <f aca="false">IFERROR(__xludf.dummyfunction("""COMPUTED_VALUE"""),149.05)</f>
        <v>149.05</v>
      </c>
      <c r="E429" s="8" t="n">
        <f aca="false">IFERROR(__xludf.dummyfunction("""COMPUTED_VALUE"""),151.47)</f>
        <v>151.47</v>
      </c>
      <c r="F429" s="8" t="n">
        <f aca="false">IFERROR(__xludf.dummyfunction("""COMPUTED_VALUE"""),43064195)</f>
        <v>43064195</v>
      </c>
    </row>
    <row r="430" customFormat="false" ht="15.75" hidden="false" customHeight="false" outlineLevel="0" collapsed="false">
      <c r="A430" s="9" t="n">
        <f aca="false">IFERROR(__xludf.dummyfunction("""COMPUTED_VALUE"""),44819.6666666667)</f>
        <v>44819.6666666667</v>
      </c>
      <c r="B430" s="8" t="n">
        <f aca="false">IFERROR(__xludf.dummyfunction("""COMPUTED_VALUE"""),149.8)</f>
        <v>149.8</v>
      </c>
      <c r="C430" s="8" t="n">
        <f aca="false">IFERROR(__xludf.dummyfunction("""COMPUTED_VALUE"""),154.2)</f>
        <v>154.2</v>
      </c>
      <c r="D430" s="8" t="n">
        <f aca="false">IFERROR(__xludf.dummyfunction("""COMPUTED_VALUE"""),148.7)</f>
        <v>148.7</v>
      </c>
      <c r="E430" s="8" t="n">
        <f aca="false">IFERROR(__xludf.dummyfunction("""COMPUTED_VALUE"""),149.55)</f>
        <v>149.55</v>
      </c>
      <c r="F430" s="8" t="n">
        <f aca="false">IFERROR(__xludf.dummyfunction("""COMPUTED_VALUE"""),34606348)</f>
        <v>34606348</v>
      </c>
    </row>
    <row r="431" customFormat="false" ht="15.75" hidden="false" customHeight="false" outlineLevel="0" collapsed="false">
      <c r="A431" s="9" t="n">
        <f aca="false">IFERROR(__xludf.dummyfunction("""COMPUTED_VALUE"""),44820.6666666667)</f>
        <v>44820.6666666667</v>
      </c>
      <c r="B431" s="8" t="n">
        <f aca="false">IFERROR(__xludf.dummyfunction("""COMPUTED_VALUE"""),148.05)</f>
        <v>148.05</v>
      </c>
      <c r="C431" s="8" t="n">
        <f aca="false">IFERROR(__xludf.dummyfunction("""COMPUTED_VALUE"""),148.58)</f>
        <v>148.58</v>
      </c>
      <c r="D431" s="8" t="n">
        <f aca="false">IFERROR(__xludf.dummyfunction("""COMPUTED_VALUE"""),144.29)</f>
        <v>144.29</v>
      </c>
      <c r="E431" s="8" t="n">
        <f aca="false">IFERROR(__xludf.dummyfunction("""COMPUTED_VALUE"""),146.29)</f>
        <v>146.29</v>
      </c>
      <c r="F431" s="8" t="n">
        <f aca="false">IFERROR(__xludf.dummyfunction("""COMPUTED_VALUE"""),40122824)</f>
        <v>40122824</v>
      </c>
    </row>
    <row r="432" customFormat="false" ht="15.75" hidden="false" customHeight="false" outlineLevel="0" collapsed="false">
      <c r="A432" s="9" t="n">
        <f aca="false">IFERROR(__xludf.dummyfunction("""COMPUTED_VALUE"""),44823.6666666667)</f>
        <v>44823.6666666667</v>
      </c>
      <c r="B432" s="8" t="n">
        <f aca="false">IFERROR(__xludf.dummyfunction("""COMPUTED_VALUE"""),145.24)</f>
        <v>145.24</v>
      </c>
      <c r="C432" s="8" t="n">
        <f aca="false">IFERROR(__xludf.dummyfunction("""COMPUTED_VALUE"""),148.58)</f>
        <v>148.58</v>
      </c>
      <c r="D432" s="8" t="n">
        <f aca="false">IFERROR(__xludf.dummyfunction("""COMPUTED_VALUE"""),145.1)</f>
        <v>145.1</v>
      </c>
      <c r="E432" s="8" t="n">
        <f aca="false">IFERROR(__xludf.dummyfunction("""COMPUTED_VALUE"""),148.02)</f>
        <v>148.02</v>
      </c>
      <c r="F432" s="8" t="n">
        <f aca="false">IFERROR(__xludf.dummyfunction("""COMPUTED_VALUE"""),22169477)</f>
        <v>22169477</v>
      </c>
    </row>
    <row r="433" customFormat="false" ht="15.75" hidden="false" customHeight="false" outlineLevel="0" collapsed="false">
      <c r="A433" s="9" t="n">
        <f aca="false">IFERROR(__xludf.dummyfunction("""COMPUTED_VALUE"""),44824.6666666667)</f>
        <v>44824.6666666667</v>
      </c>
      <c r="B433" s="8" t="n">
        <f aca="false">IFERROR(__xludf.dummyfunction("""COMPUTED_VALUE"""),145.78)</f>
        <v>145.78</v>
      </c>
      <c r="C433" s="8" t="n">
        <f aca="false">IFERROR(__xludf.dummyfunction("""COMPUTED_VALUE"""),148.84)</f>
        <v>148.84</v>
      </c>
      <c r="D433" s="8" t="n">
        <f aca="false">IFERROR(__xludf.dummyfunction("""COMPUTED_VALUE"""),145.22)</f>
        <v>145.22</v>
      </c>
      <c r="E433" s="8" t="n">
        <f aca="false">IFERROR(__xludf.dummyfunction("""COMPUTED_VALUE"""),146.09)</f>
        <v>146.09</v>
      </c>
      <c r="F433" s="8" t="n">
        <f aca="false">IFERROR(__xludf.dummyfunction("""COMPUTED_VALUE"""),23217350)</f>
        <v>23217350</v>
      </c>
    </row>
    <row r="434" customFormat="false" ht="15.75" hidden="false" customHeight="false" outlineLevel="0" collapsed="false">
      <c r="A434" s="9" t="n">
        <f aca="false">IFERROR(__xludf.dummyfunction("""COMPUTED_VALUE"""),44825.6666666667)</f>
        <v>44825.6666666667</v>
      </c>
      <c r="B434" s="8" t="n">
        <f aca="false">IFERROR(__xludf.dummyfunction("""COMPUTED_VALUE"""),146.39)</f>
        <v>146.39</v>
      </c>
      <c r="C434" s="8" t="n">
        <f aca="false">IFERROR(__xludf.dummyfunction("""COMPUTED_VALUE"""),149.6)</f>
        <v>149.6</v>
      </c>
      <c r="D434" s="8" t="n">
        <f aca="false">IFERROR(__xludf.dummyfunction("""COMPUTED_VALUE"""),142)</f>
        <v>142</v>
      </c>
      <c r="E434" s="8" t="n">
        <f aca="false">IFERROR(__xludf.dummyfunction("""COMPUTED_VALUE"""),142.12)</f>
        <v>142.12</v>
      </c>
      <c r="F434" s="8" t="n">
        <f aca="false">IFERROR(__xludf.dummyfunction("""COMPUTED_VALUE"""),38338614)</f>
        <v>38338614</v>
      </c>
    </row>
    <row r="435" customFormat="false" ht="15.75" hidden="false" customHeight="false" outlineLevel="0" collapsed="false">
      <c r="A435" s="9" t="n">
        <f aca="false">IFERROR(__xludf.dummyfunction("""COMPUTED_VALUE"""),44826.6666666667)</f>
        <v>44826.6666666667</v>
      </c>
      <c r="B435" s="8" t="n">
        <f aca="false">IFERROR(__xludf.dummyfunction("""COMPUTED_VALUE"""),141.55)</f>
        <v>141.55</v>
      </c>
      <c r="C435" s="8" t="n">
        <f aca="false">IFERROR(__xludf.dummyfunction("""COMPUTED_VALUE"""),144.58)</f>
        <v>144.58</v>
      </c>
      <c r="D435" s="8" t="n">
        <f aca="false">IFERROR(__xludf.dummyfunction("""COMPUTED_VALUE"""),140.87)</f>
        <v>140.87</v>
      </c>
      <c r="E435" s="8" t="n">
        <f aca="false">IFERROR(__xludf.dummyfunction("""COMPUTED_VALUE"""),142.82)</f>
        <v>142.82</v>
      </c>
      <c r="F435" s="8" t="n">
        <f aca="false">IFERROR(__xludf.dummyfunction("""COMPUTED_VALUE"""),34418521)</f>
        <v>34418521</v>
      </c>
    </row>
    <row r="436" customFormat="false" ht="15.75" hidden="false" customHeight="false" outlineLevel="0" collapsed="false">
      <c r="A436" s="9" t="n">
        <f aca="false">IFERROR(__xludf.dummyfunction("""COMPUTED_VALUE"""),44827.6666666667)</f>
        <v>44827.6666666667</v>
      </c>
      <c r="B436" s="8" t="n">
        <f aca="false">IFERROR(__xludf.dummyfunction("""COMPUTED_VALUE"""),141.42)</f>
        <v>141.42</v>
      </c>
      <c r="C436" s="8" t="n">
        <f aca="false">IFERROR(__xludf.dummyfunction("""COMPUTED_VALUE"""),142.62)</f>
        <v>142.62</v>
      </c>
      <c r="D436" s="8" t="n">
        <f aca="false">IFERROR(__xludf.dummyfunction("""COMPUTED_VALUE"""),138.89)</f>
        <v>138.89</v>
      </c>
      <c r="E436" s="8" t="n">
        <f aca="false">IFERROR(__xludf.dummyfunction("""COMPUTED_VALUE"""),140.41)</f>
        <v>140.41</v>
      </c>
      <c r="F436" s="8" t="n">
        <f aca="false">IFERROR(__xludf.dummyfunction("""COMPUTED_VALUE"""),31710685)</f>
        <v>31710685</v>
      </c>
    </row>
    <row r="437" customFormat="false" ht="15.75" hidden="false" customHeight="false" outlineLevel="0" collapsed="false">
      <c r="A437" s="9" t="n">
        <f aca="false">IFERROR(__xludf.dummyfunction("""COMPUTED_VALUE"""),44830.6666666667)</f>
        <v>44830.6666666667</v>
      </c>
      <c r="B437" s="8" t="n">
        <f aca="false">IFERROR(__xludf.dummyfunction("""COMPUTED_VALUE"""),140.12)</f>
        <v>140.12</v>
      </c>
      <c r="C437" s="8" t="n">
        <f aca="false">IFERROR(__xludf.dummyfunction("""COMPUTED_VALUE"""),142.24)</f>
        <v>142.24</v>
      </c>
      <c r="D437" s="8" t="n">
        <f aca="false">IFERROR(__xludf.dummyfunction("""COMPUTED_VALUE"""),136.19)</f>
        <v>136.19</v>
      </c>
      <c r="E437" s="8" t="n">
        <f aca="false">IFERROR(__xludf.dummyfunction("""COMPUTED_VALUE"""),136.37)</f>
        <v>136.37</v>
      </c>
      <c r="F437" s="8" t="n">
        <f aca="false">IFERROR(__xludf.dummyfunction("""COMPUTED_VALUE"""),30497021)</f>
        <v>30497021</v>
      </c>
    </row>
    <row r="438" customFormat="false" ht="15.75" hidden="false" customHeight="false" outlineLevel="0" collapsed="false">
      <c r="A438" s="9" t="n">
        <f aca="false">IFERROR(__xludf.dummyfunction("""COMPUTED_VALUE"""),44831.6666666667)</f>
        <v>44831.6666666667</v>
      </c>
      <c r="B438" s="8" t="n">
        <f aca="false">IFERROR(__xludf.dummyfunction("""COMPUTED_VALUE"""),137.92)</f>
        <v>137.92</v>
      </c>
      <c r="C438" s="8" t="n">
        <f aca="false">IFERROR(__xludf.dummyfunction("""COMPUTED_VALUE"""),139.42)</f>
        <v>139.42</v>
      </c>
      <c r="D438" s="8" t="n">
        <f aca="false">IFERROR(__xludf.dummyfunction("""COMPUTED_VALUE"""),134.12)</f>
        <v>134.12</v>
      </c>
      <c r="E438" s="8" t="n">
        <f aca="false">IFERROR(__xludf.dummyfunction("""COMPUTED_VALUE"""),134.4)</f>
        <v>134.4</v>
      </c>
      <c r="F438" s="8" t="n">
        <f aca="false">IFERROR(__xludf.dummyfunction("""COMPUTED_VALUE"""),30826471)</f>
        <v>30826471</v>
      </c>
    </row>
    <row r="439" customFormat="false" ht="15.75" hidden="false" customHeight="false" outlineLevel="0" collapsed="false">
      <c r="A439" s="9" t="n">
        <f aca="false">IFERROR(__xludf.dummyfunction("""COMPUTED_VALUE"""),44832.6666666667)</f>
        <v>44832.6666666667</v>
      </c>
      <c r="B439" s="8" t="n">
        <f aca="false">IFERROR(__xludf.dummyfunction("""COMPUTED_VALUE"""),134.62)</f>
        <v>134.62</v>
      </c>
      <c r="C439" s="8" t="n">
        <f aca="false">IFERROR(__xludf.dummyfunction("""COMPUTED_VALUE"""),142.03)</f>
        <v>142.03</v>
      </c>
      <c r="D439" s="8" t="n">
        <f aca="false">IFERROR(__xludf.dummyfunction("""COMPUTED_VALUE"""),134.27)</f>
        <v>134.27</v>
      </c>
      <c r="E439" s="8" t="n">
        <f aca="false">IFERROR(__xludf.dummyfunction("""COMPUTED_VALUE"""),141.61)</f>
        <v>141.61</v>
      </c>
      <c r="F439" s="8" t="n">
        <f aca="false">IFERROR(__xludf.dummyfunction("""COMPUTED_VALUE"""),32658478)</f>
        <v>32658478</v>
      </c>
    </row>
    <row r="440" customFormat="false" ht="15.75" hidden="false" customHeight="false" outlineLevel="0" collapsed="false">
      <c r="A440" s="9" t="n">
        <f aca="false">IFERROR(__xludf.dummyfunction("""COMPUTED_VALUE"""),44833.6666666667)</f>
        <v>44833.6666666667</v>
      </c>
      <c r="B440" s="8" t="n">
        <f aca="false">IFERROR(__xludf.dummyfunction("""COMPUTED_VALUE"""),139.36)</f>
        <v>139.36</v>
      </c>
      <c r="C440" s="8" t="n">
        <f aca="false">IFERROR(__xludf.dummyfunction("""COMPUTED_VALUE"""),139.84)</f>
        <v>139.84</v>
      </c>
      <c r="D440" s="8" t="n">
        <f aca="false">IFERROR(__xludf.dummyfunction("""COMPUTED_VALUE"""),135.2)</f>
        <v>135.2</v>
      </c>
      <c r="E440" s="8" t="n">
        <f aca="false">IFERROR(__xludf.dummyfunction("""COMPUTED_VALUE"""),136.41)</f>
        <v>136.41</v>
      </c>
      <c r="F440" s="8" t="n">
        <f aca="false">IFERROR(__xludf.dummyfunction("""COMPUTED_VALUE"""),38985414)</f>
        <v>38985414</v>
      </c>
    </row>
    <row r="441" customFormat="false" ht="15.75" hidden="false" customHeight="false" outlineLevel="0" collapsed="false">
      <c r="A441" s="9" t="n">
        <f aca="false">IFERROR(__xludf.dummyfunction("""COMPUTED_VALUE"""),44834.6666666667)</f>
        <v>44834.6666666667</v>
      </c>
      <c r="B441" s="8" t="n">
        <f aca="false">IFERROR(__xludf.dummyfunction("""COMPUTED_VALUE"""),136.05)</f>
        <v>136.05</v>
      </c>
      <c r="C441" s="8" t="n">
        <f aca="false">IFERROR(__xludf.dummyfunction("""COMPUTED_VALUE"""),140.99)</f>
        <v>140.99</v>
      </c>
      <c r="D441" s="8" t="n">
        <f aca="false">IFERROR(__xludf.dummyfunction("""COMPUTED_VALUE"""),135.5)</f>
        <v>135.5</v>
      </c>
      <c r="E441" s="8" t="n">
        <f aca="false">IFERROR(__xludf.dummyfunction("""COMPUTED_VALUE"""),135.68)</f>
        <v>135.68</v>
      </c>
      <c r="F441" s="8" t="n">
        <f aca="false">IFERROR(__xludf.dummyfunction("""COMPUTED_VALUE"""),33166393)</f>
        <v>33166393</v>
      </c>
    </row>
    <row r="442" customFormat="false" ht="15.75" hidden="false" customHeight="false" outlineLevel="0" collapsed="false">
      <c r="A442" s="9" t="n">
        <f aca="false">IFERROR(__xludf.dummyfunction("""COMPUTED_VALUE"""),44837.6666666667)</f>
        <v>44837.6666666667</v>
      </c>
      <c r="B442" s="8" t="n">
        <f aca="false">IFERROR(__xludf.dummyfunction("""COMPUTED_VALUE"""),137.14)</f>
        <v>137.14</v>
      </c>
      <c r="C442" s="8" t="n">
        <f aca="false">IFERROR(__xludf.dummyfunction("""COMPUTED_VALUE"""),139.62)</f>
        <v>139.62</v>
      </c>
      <c r="D442" s="8" t="n">
        <f aca="false">IFERROR(__xludf.dummyfunction("""COMPUTED_VALUE"""),136.1)</f>
        <v>136.1</v>
      </c>
      <c r="E442" s="8" t="n">
        <f aca="false">IFERROR(__xludf.dummyfunction("""COMPUTED_VALUE"""),138.61)</f>
        <v>138.61</v>
      </c>
      <c r="F442" s="8" t="n">
        <f aca="false">IFERROR(__xludf.dummyfunction("""COMPUTED_VALUE"""),27723063)</f>
        <v>27723063</v>
      </c>
    </row>
    <row r="443" customFormat="false" ht="15.75" hidden="false" customHeight="false" outlineLevel="0" collapsed="false">
      <c r="A443" s="9" t="n">
        <f aca="false">IFERROR(__xludf.dummyfunction("""COMPUTED_VALUE"""),44838.6666666667)</f>
        <v>44838.6666666667</v>
      </c>
      <c r="B443" s="8" t="n">
        <f aca="false">IFERROR(__xludf.dummyfunction("""COMPUTED_VALUE"""),140.49)</f>
        <v>140.49</v>
      </c>
      <c r="C443" s="8" t="n">
        <f aca="false">IFERROR(__xludf.dummyfunction("""COMPUTED_VALUE"""),142.39)</f>
        <v>142.39</v>
      </c>
      <c r="D443" s="8" t="n">
        <f aca="false">IFERROR(__xludf.dummyfunction("""COMPUTED_VALUE"""),139.34)</f>
        <v>139.34</v>
      </c>
      <c r="E443" s="8" t="n">
        <f aca="false">IFERROR(__xludf.dummyfunction("""COMPUTED_VALUE"""),140.28)</f>
        <v>140.28</v>
      </c>
      <c r="F443" s="8" t="n">
        <f aca="false">IFERROR(__xludf.dummyfunction("""COMPUTED_VALUE"""),34670729)</f>
        <v>34670729</v>
      </c>
    </row>
    <row r="444" customFormat="false" ht="15.75" hidden="false" customHeight="false" outlineLevel="0" collapsed="false">
      <c r="A444" s="9" t="n">
        <f aca="false">IFERROR(__xludf.dummyfunction("""COMPUTED_VALUE"""),44839.6666666667)</f>
        <v>44839.6666666667</v>
      </c>
      <c r="B444" s="8" t="n">
        <f aca="false">IFERROR(__xludf.dummyfunction("""COMPUTED_VALUE"""),138.24)</f>
        <v>138.24</v>
      </c>
      <c r="C444" s="8" t="n">
        <f aca="false">IFERROR(__xludf.dummyfunction("""COMPUTED_VALUE"""),140.21)</f>
        <v>140.21</v>
      </c>
      <c r="D444" s="8" t="n">
        <f aca="false">IFERROR(__xludf.dummyfunction("""COMPUTED_VALUE"""),134.78)</f>
        <v>134.78</v>
      </c>
      <c r="E444" s="8" t="n">
        <f aca="false">IFERROR(__xludf.dummyfunction("""COMPUTED_VALUE"""),138.98)</f>
        <v>138.98</v>
      </c>
      <c r="F444" s="8" t="n">
        <f aca="false">IFERROR(__xludf.dummyfunction("""COMPUTED_VALUE"""),27979348)</f>
        <v>27979348</v>
      </c>
    </row>
    <row r="445" customFormat="false" ht="15.75" hidden="false" customHeight="false" outlineLevel="0" collapsed="false">
      <c r="A445" s="9" t="n">
        <f aca="false">IFERROR(__xludf.dummyfunction("""COMPUTED_VALUE"""),44840.6666666667)</f>
        <v>44840.6666666667</v>
      </c>
      <c r="B445" s="8" t="n">
        <f aca="false">IFERROR(__xludf.dummyfunction("""COMPUTED_VALUE"""),137.72)</f>
        <v>137.72</v>
      </c>
      <c r="C445" s="8" t="n">
        <f aca="false">IFERROR(__xludf.dummyfunction("""COMPUTED_VALUE"""),141.45)</f>
        <v>141.45</v>
      </c>
      <c r="D445" s="8" t="n">
        <f aca="false">IFERROR(__xludf.dummyfunction("""COMPUTED_VALUE"""),136.6)</f>
        <v>136.6</v>
      </c>
      <c r="E445" s="8" t="n">
        <f aca="false">IFERROR(__xludf.dummyfunction("""COMPUTED_VALUE"""),139.07)</f>
        <v>139.07</v>
      </c>
      <c r="F445" s="8" t="n">
        <f aca="false">IFERROR(__xludf.dummyfunction("""COMPUTED_VALUE"""),36231056)</f>
        <v>36231056</v>
      </c>
    </row>
    <row r="446" customFormat="false" ht="15.75" hidden="false" customHeight="false" outlineLevel="0" collapsed="false">
      <c r="A446" s="9" t="n">
        <f aca="false">IFERROR(__xludf.dummyfunction("""COMPUTED_VALUE"""),44841.6666666667)</f>
        <v>44841.6666666667</v>
      </c>
      <c r="B446" s="8" t="n">
        <f aca="false">IFERROR(__xludf.dummyfunction("""COMPUTED_VALUE"""),136.76)</f>
        <v>136.76</v>
      </c>
      <c r="C446" s="8" t="n">
        <f aca="false">IFERROR(__xludf.dummyfunction("""COMPUTED_VALUE"""),138.29)</f>
        <v>138.29</v>
      </c>
      <c r="D446" s="8" t="n">
        <f aca="false">IFERROR(__xludf.dummyfunction("""COMPUTED_VALUE"""),132.44)</f>
        <v>132.44</v>
      </c>
      <c r="E446" s="8" t="n">
        <f aca="false">IFERROR(__xludf.dummyfunction("""COMPUTED_VALUE"""),133.45)</f>
        <v>133.45</v>
      </c>
      <c r="F446" s="8" t="n">
        <f aca="false">IFERROR(__xludf.dummyfunction("""COMPUTED_VALUE"""),33214773)</f>
        <v>33214773</v>
      </c>
    </row>
    <row r="447" customFormat="false" ht="15.75" hidden="false" customHeight="false" outlineLevel="0" collapsed="false">
      <c r="A447" s="9" t="n">
        <f aca="false">IFERROR(__xludf.dummyfunction("""COMPUTED_VALUE"""),44844.6666666667)</f>
        <v>44844.6666666667</v>
      </c>
      <c r="B447" s="8" t="n">
        <f aca="false">IFERROR(__xludf.dummyfunction("""COMPUTED_VALUE"""),133.55)</f>
        <v>133.55</v>
      </c>
      <c r="C447" s="8" t="n">
        <f aca="false">IFERROR(__xludf.dummyfunction("""COMPUTED_VALUE"""),136.11)</f>
        <v>136.11</v>
      </c>
      <c r="D447" s="8" t="n">
        <f aca="false">IFERROR(__xludf.dummyfunction("""COMPUTED_VALUE"""),131.87)</f>
        <v>131.87</v>
      </c>
      <c r="E447" s="8" t="n">
        <f aca="false">IFERROR(__xludf.dummyfunction("""COMPUTED_VALUE"""),133.79)</f>
        <v>133.79</v>
      </c>
      <c r="F447" s="8" t="n">
        <f aca="false">IFERROR(__xludf.dummyfunction("""COMPUTED_VALUE"""),24023982)</f>
        <v>24023982</v>
      </c>
    </row>
    <row r="448" customFormat="false" ht="15.75" hidden="false" customHeight="false" outlineLevel="0" collapsed="false">
      <c r="A448" s="9" t="n">
        <f aca="false">IFERROR(__xludf.dummyfunction("""COMPUTED_VALUE"""),44845.6666666667)</f>
        <v>44845.6666666667</v>
      </c>
      <c r="B448" s="8" t="n">
        <f aca="false">IFERROR(__xludf.dummyfunction("""COMPUTED_VALUE"""),131.62)</f>
        <v>131.62</v>
      </c>
      <c r="C448" s="8" t="n">
        <f aca="false">IFERROR(__xludf.dummyfunction("""COMPUTED_VALUE"""),132.66)</f>
        <v>132.66</v>
      </c>
      <c r="D448" s="8" t="n">
        <f aca="false">IFERROR(__xludf.dummyfunction("""COMPUTED_VALUE"""),126.99)</f>
        <v>126.99</v>
      </c>
      <c r="E448" s="8" t="n">
        <f aca="false">IFERROR(__xludf.dummyfunction("""COMPUTED_VALUE"""),128.54)</f>
        <v>128.54</v>
      </c>
      <c r="F448" s="8" t="n">
        <f aca="false">IFERROR(__xludf.dummyfunction("""COMPUTED_VALUE"""),38481403)</f>
        <v>38481403</v>
      </c>
    </row>
    <row r="449" customFormat="false" ht="15.75" hidden="false" customHeight="false" outlineLevel="0" collapsed="false">
      <c r="A449" s="9" t="n">
        <f aca="false">IFERROR(__xludf.dummyfunction("""COMPUTED_VALUE"""),44846.6666666667)</f>
        <v>44846.6666666667</v>
      </c>
      <c r="B449" s="8" t="n">
        <f aca="false">IFERROR(__xludf.dummyfunction("""COMPUTED_VALUE"""),128.32)</f>
        <v>128.32</v>
      </c>
      <c r="C449" s="8" t="n">
        <f aca="false">IFERROR(__xludf.dummyfunction("""COMPUTED_VALUE"""),129.67)</f>
        <v>129.67</v>
      </c>
      <c r="D449" s="8" t="n">
        <f aca="false">IFERROR(__xludf.dummyfunction("""COMPUTED_VALUE"""),126.25)</f>
        <v>126.25</v>
      </c>
      <c r="E449" s="8" t="n">
        <f aca="false">IFERROR(__xludf.dummyfunction("""COMPUTED_VALUE"""),127.5)</f>
        <v>127.5</v>
      </c>
      <c r="F449" s="8" t="n">
        <f aca="false">IFERROR(__xludf.dummyfunction("""COMPUTED_VALUE"""),34605245)</f>
        <v>34605245</v>
      </c>
    </row>
    <row r="450" customFormat="false" ht="15.75" hidden="false" customHeight="false" outlineLevel="0" collapsed="false">
      <c r="A450" s="9" t="n">
        <f aca="false">IFERROR(__xludf.dummyfunction("""COMPUTED_VALUE"""),44847.6666666667)</f>
        <v>44847.6666666667</v>
      </c>
      <c r="B450" s="8" t="n">
        <f aca="false">IFERROR(__xludf.dummyfunction("""COMPUTED_VALUE"""),123.53)</f>
        <v>123.53</v>
      </c>
      <c r="C450" s="8" t="n">
        <f aca="false">IFERROR(__xludf.dummyfunction("""COMPUTED_VALUE"""),131.14)</f>
        <v>131.14</v>
      </c>
      <c r="D450" s="8" t="n">
        <f aca="false">IFERROR(__xludf.dummyfunction("""COMPUTED_VALUE"""),122.53)</f>
        <v>122.53</v>
      </c>
      <c r="E450" s="8" t="n">
        <f aca="false">IFERROR(__xludf.dummyfunction("""COMPUTED_VALUE"""),130.29)</f>
        <v>130.29</v>
      </c>
      <c r="F450" s="8" t="n">
        <f aca="false">IFERROR(__xludf.dummyfunction("""COMPUTED_VALUE"""),34325715)</f>
        <v>34325715</v>
      </c>
    </row>
    <row r="451" customFormat="false" ht="15.75" hidden="false" customHeight="false" outlineLevel="0" collapsed="false">
      <c r="A451" s="9" t="n">
        <f aca="false">IFERROR(__xludf.dummyfunction("""COMPUTED_VALUE"""),44848.6666666667)</f>
        <v>44848.6666666667</v>
      </c>
      <c r="B451" s="8" t="n">
        <f aca="false">IFERROR(__xludf.dummyfunction("""COMPUTED_VALUE"""),131)</f>
        <v>131</v>
      </c>
      <c r="C451" s="8" t="n">
        <f aca="false">IFERROR(__xludf.dummyfunction("""COMPUTED_VALUE"""),131.79)</f>
        <v>131.79</v>
      </c>
      <c r="D451" s="8" t="n">
        <f aca="false">IFERROR(__xludf.dummyfunction("""COMPUTED_VALUE"""),126.52)</f>
        <v>126.52</v>
      </c>
      <c r="E451" s="8" t="n">
        <f aca="false">IFERROR(__xludf.dummyfunction("""COMPUTED_VALUE"""),126.76)</f>
        <v>126.76</v>
      </c>
      <c r="F451" s="8" t="n">
        <f aca="false">IFERROR(__xludf.dummyfunction("""COMPUTED_VALUE"""),23559407)</f>
        <v>23559407</v>
      </c>
    </row>
    <row r="452" customFormat="false" ht="15.75" hidden="false" customHeight="false" outlineLevel="0" collapsed="false">
      <c r="A452" s="9" t="n">
        <f aca="false">IFERROR(__xludf.dummyfunction("""COMPUTED_VALUE"""),44851.6666666667)</f>
        <v>44851.6666666667</v>
      </c>
      <c r="B452" s="8" t="n">
        <f aca="false">IFERROR(__xludf.dummyfunction("""COMPUTED_VALUE"""),130.3)</f>
        <v>130.3</v>
      </c>
      <c r="C452" s="8" t="n">
        <f aca="false">IFERROR(__xludf.dummyfunction("""COMPUTED_VALUE"""),134.79)</f>
        <v>134.79</v>
      </c>
      <c r="D452" s="8" t="n">
        <f aca="false">IFERROR(__xludf.dummyfunction("""COMPUTED_VALUE"""),130.18)</f>
        <v>130.18</v>
      </c>
      <c r="E452" s="8" t="n">
        <f aca="false">IFERROR(__xludf.dummyfunction("""COMPUTED_VALUE"""),134.04)</f>
        <v>134.04</v>
      </c>
      <c r="F452" s="8" t="n">
        <f aca="false">IFERROR(__xludf.dummyfunction("""COMPUTED_VALUE"""),29612245)</f>
        <v>29612245</v>
      </c>
    </row>
    <row r="453" customFormat="false" ht="15.75" hidden="false" customHeight="false" outlineLevel="0" collapsed="false">
      <c r="A453" s="9" t="n">
        <f aca="false">IFERROR(__xludf.dummyfunction("""COMPUTED_VALUE"""),44852.6666666667)</f>
        <v>44852.6666666667</v>
      </c>
      <c r="B453" s="8" t="n">
        <f aca="false">IFERROR(__xludf.dummyfunction("""COMPUTED_VALUE"""),137.09)</f>
        <v>137.09</v>
      </c>
      <c r="C453" s="8" t="n">
        <f aca="false">IFERROR(__xludf.dummyfunction("""COMPUTED_VALUE"""),137.84)</f>
        <v>137.84</v>
      </c>
      <c r="D453" s="8" t="n">
        <f aca="false">IFERROR(__xludf.dummyfunction("""COMPUTED_VALUE"""),131.4)</f>
        <v>131.4</v>
      </c>
      <c r="E453" s="8" t="n">
        <f aca="false">IFERROR(__xludf.dummyfunction("""COMPUTED_VALUE"""),132.8)</f>
        <v>132.8</v>
      </c>
      <c r="F453" s="8" t="n">
        <f aca="false">IFERROR(__xludf.dummyfunction("""COMPUTED_VALUE"""),25444979)</f>
        <v>25444979</v>
      </c>
    </row>
    <row r="454" customFormat="false" ht="15.75" hidden="false" customHeight="false" outlineLevel="0" collapsed="false">
      <c r="A454" s="9" t="n">
        <f aca="false">IFERROR(__xludf.dummyfunction("""COMPUTED_VALUE"""),44853.6666666667)</f>
        <v>44853.6666666667</v>
      </c>
      <c r="B454" s="8" t="n">
        <f aca="false">IFERROR(__xludf.dummyfunction("""COMPUTED_VALUE"""),132.89)</f>
        <v>132.89</v>
      </c>
      <c r="C454" s="8" t="n">
        <f aca="false">IFERROR(__xludf.dummyfunction("""COMPUTED_VALUE"""),137)</f>
        <v>137</v>
      </c>
      <c r="D454" s="8" t="n">
        <f aca="false">IFERROR(__xludf.dummyfunction("""COMPUTED_VALUE"""),132.22)</f>
        <v>132.22</v>
      </c>
      <c r="E454" s="8" t="n">
        <f aca="false">IFERROR(__xludf.dummyfunction("""COMPUTED_VALUE"""),133.23)</f>
        <v>133.23</v>
      </c>
      <c r="F454" s="8" t="n">
        <f aca="false">IFERROR(__xludf.dummyfunction("""COMPUTED_VALUE"""),30691047)</f>
        <v>30691047</v>
      </c>
    </row>
    <row r="455" customFormat="false" ht="15.75" hidden="false" customHeight="false" outlineLevel="0" collapsed="false">
      <c r="A455" s="9" t="n">
        <f aca="false">IFERROR(__xludf.dummyfunction("""COMPUTED_VALUE"""),44854.6666666667)</f>
        <v>44854.6666666667</v>
      </c>
      <c r="B455" s="8" t="n">
        <f aca="false">IFERROR(__xludf.dummyfunction("""COMPUTED_VALUE"""),132.93)</f>
        <v>132.93</v>
      </c>
      <c r="C455" s="8" t="n">
        <f aca="false">IFERROR(__xludf.dummyfunction("""COMPUTED_VALUE"""),136.77)</f>
        <v>136.77</v>
      </c>
      <c r="D455" s="8" t="n">
        <f aca="false">IFERROR(__xludf.dummyfunction("""COMPUTED_VALUE"""),131.31)</f>
        <v>131.31</v>
      </c>
      <c r="E455" s="8" t="n">
        <f aca="false">IFERROR(__xludf.dummyfunction("""COMPUTED_VALUE"""),131.53)</f>
        <v>131.53</v>
      </c>
      <c r="F455" s="8" t="n">
        <f aca="false">IFERROR(__xludf.dummyfunction("""COMPUTED_VALUE"""),26356276)</f>
        <v>26356276</v>
      </c>
    </row>
    <row r="456" customFormat="false" ht="15.75" hidden="false" customHeight="false" outlineLevel="0" collapsed="false">
      <c r="A456" s="9" t="n">
        <f aca="false">IFERROR(__xludf.dummyfunction("""COMPUTED_VALUE"""),44855.6666666667)</f>
        <v>44855.6666666667</v>
      </c>
      <c r="B456" s="8" t="n">
        <f aca="false">IFERROR(__xludf.dummyfunction("""COMPUTED_VALUE"""),126.31)</f>
        <v>126.31</v>
      </c>
      <c r="C456" s="8" t="n">
        <f aca="false">IFERROR(__xludf.dummyfunction("""COMPUTED_VALUE"""),130.12)</f>
        <v>130.12</v>
      </c>
      <c r="D456" s="8" t="n">
        <f aca="false">IFERROR(__xludf.dummyfunction("""COMPUTED_VALUE"""),125.44)</f>
        <v>125.44</v>
      </c>
      <c r="E456" s="8" t="n">
        <f aca="false">IFERROR(__xludf.dummyfunction("""COMPUTED_VALUE"""),130.01)</f>
        <v>130.01</v>
      </c>
      <c r="F456" s="8" t="n">
        <f aca="false">IFERROR(__xludf.dummyfunction("""COMPUTED_VALUE"""),46348647)</f>
        <v>46348647</v>
      </c>
    </row>
    <row r="457" customFormat="false" ht="15.75" hidden="false" customHeight="false" outlineLevel="0" collapsed="false">
      <c r="A457" s="9" t="n">
        <f aca="false">IFERROR(__xludf.dummyfunction("""COMPUTED_VALUE"""),44858.6666666667)</f>
        <v>44858.6666666667</v>
      </c>
      <c r="B457" s="8" t="n">
        <f aca="false">IFERROR(__xludf.dummyfunction("""COMPUTED_VALUE"""),127.25)</f>
        <v>127.25</v>
      </c>
      <c r="C457" s="8" t="n">
        <f aca="false">IFERROR(__xludf.dummyfunction("""COMPUTED_VALUE"""),133.48)</f>
        <v>133.48</v>
      </c>
      <c r="D457" s="8" t="n">
        <f aca="false">IFERROR(__xludf.dummyfunction("""COMPUTED_VALUE"""),124.57)</f>
        <v>124.57</v>
      </c>
      <c r="E457" s="8" t="n">
        <f aca="false">IFERROR(__xludf.dummyfunction("""COMPUTED_VALUE"""),129.72)</f>
        <v>129.72</v>
      </c>
      <c r="F457" s="8" t="n">
        <f aca="false">IFERROR(__xludf.dummyfunction("""COMPUTED_VALUE"""),63563447)</f>
        <v>63563447</v>
      </c>
    </row>
    <row r="458" customFormat="false" ht="15.75" hidden="false" customHeight="false" outlineLevel="0" collapsed="false">
      <c r="A458" s="9" t="n">
        <f aca="false">IFERROR(__xludf.dummyfunction("""COMPUTED_VALUE"""),44859.6666666667)</f>
        <v>44859.6666666667</v>
      </c>
      <c r="B458" s="8" t="n">
        <f aca="false">IFERROR(__xludf.dummyfunction("""COMPUTED_VALUE"""),130.88)</f>
        <v>130.88</v>
      </c>
      <c r="C458" s="8" t="n">
        <f aca="false">IFERROR(__xludf.dummyfunction("""COMPUTED_VALUE"""),138.35)</f>
        <v>138.35</v>
      </c>
      <c r="D458" s="8" t="n">
        <f aca="false">IFERROR(__xludf.dummyfunction("""COMPUTED_VALUE"""),130.59)</f>
        <v>130.59</v>
      </c>
      <c r="E458" s="8" t="n">
        <f aca="false">IFERROR(__xludf.dummyfunction("""COMPUTED_VALUE"""),137.51)</f>
        <v>137.51</v>
      </c>
      <c r="F458" s="8" t="n">
        <f aca="false">IFERROR(__xludf.dummyfunction("""COMPUTED_VALUE"""),38433219)</f>
        <v>38433219</v>
      </c>
    </row>
    <row r="459" customFormat="false" ht="15.75" hidden="false" customHeight="false" outlineLevel="0" collapsed="false">
      <c r="A459" s="9" t="n">
        <f aca="false">IFERROR(__xludf.dummyfunction("""COMPUTED_VALUE"""),44860.6666666667)</f>
        <v>44860.6666666667</v>
      </c>
      <c r="B459" s="8" t="n">
        <f aca="false">IFERROR(__xludf.dummyfunction("""COMPUTED_VALUE"""),131.68)</f>
        <v>131.68</v>
      </c>
      <c r="C459" s="8" t="n">
        <f aca="false">IFERROR(__xludf.dummyfunction("""COMPUTED_VALUE"""),135.55)</f>
        <v>135.55</v>
      </c>
      <c r="D459" s="8" t="n">
        <f aca="false">IFERROR(__xludf.dummyfunction("""COMPUTED_VALUE"""),128.53)</f>
        <v>128.53</v>
      </c>
      <c r="E459" s="8" t="n">
        <f aca="false">IFERROR(__xludf.dummyfunction("""COMPUTED_VALUE"""),129.82)</f>
        <v>129.82</v>
      </c>
      <c r="F459" s="8" t="n">
        <f aca="false">IFERROR(__xludf.dummyfunction("""COMPUTED_VALUE"""),89294679)</f>
        <v>89294679</v>
      </c>
    </row>
    <row r="460" customFormat="false" ht="15.75" hidden="false" customHeight="false" outlineLevel="0" collapsed="false">
      <c r="A460" s="9" t="n">
        <f aca="false">IFERROR(__xludf.dummyfunction("""COMPUTED_VALUE"""),44861.6666666667)</f>
        <v>44861.6666666667</v>
      </c>
      <c r="B460" s="8" t="n">
        <f aca="false">IFERROR(__xludf.dummyfunction("""COMPUTED_VALUE"""),97.98)</f>
        <v>97.98</v>
      </c>
      <c r="C460" s="8" t="n">
        <f aca="false">IFERROR(__xludf.dummyfunction("""COMPUTED_VALUE"""),102.5)</f>
        <v>102.5</v>
      </c>
      <c r="D460" s="8" t="n">
        <f aca="false">IFERROR(__xludf.dummyfunction("""COMPUTED_VALUE"""),96.38)</f>
        <v>96.38</v>
      </c>
      <c r="E460" s="8" t="n">
        <f aca="false">IFERROR(__xludf.dummyfunction("""COMPUTED_VALUE"""),97.94)</f>
        <v>97.94</v>
      </c>
      <c r="F460" s="8" t="n">
        <f aca="false">IFERROR(__xludf.dummyfunction("""COMPUTED_VALUE"""),232316571)</f>
        <v>232316571</v>
      </c>
    </row>
    <row r="461" customFormat="false" ht="15.75" hidden="false" customHeight="false" outlineLevel="0" collapsed="false">
      <c r="A461" s="9" t="n">
        <f aca="false">IFERROR(__xludf.dummyfunction("""COMPUTED_VALUE"""),44862.6666666667)</f>
        <v>44862.6666666667</v>
      </c>
      <c r="B461" s="8" t="n">
        <f aca="false">IFERROR(__xludf.dummyfunction("""COMPUTED_VALUE"""),99.58)</f>
        <v>99.58</v>
      </c>
      <c r="C461" s="8" t="n">
        <f aca="false">IFERROR(__xludf.dummyfunction("""COMPUTED_VALUE"""),100.85)</f>
        <v>100.85</v>
      </c>
      <c r="D461" s="8" t="n">
        <f aca="false">IFERROR(__xludf.dummyfunction("""COMPUTED_VALUE"""),97.51)</f>
        <v>97.51</v>
      </c>
      <c r="E461" s="8" t="n">
        <f aca="false">IFERROR(__xludf.dummyfunction("""COMPUTED_VALUE"""),99.2)</f>
        <v>99.2</v>
      </c>
      <c r="F461" s="8" t="n">
        <f aca="false">IFERROR(__xludf.dummyfunction("""COMPUTED_VALUE"""),95928306)</f>
        <v>95928306</v>
      </c>
    </row>
    <row r="462" customFormat="false" ht="15.75" hidden="false" customHeight="false" outlineLevel="0" collapsed="false">
      <c r="A462" s="9" t="n">
        <f aca="false">IFERROR(__xludf.dummyfunction("""COMPUTED_VALUE"""),44865.6666666667)</f>
        <v>44865.6666666667</v>
      </c>
      <c r="B462" s="8" t="n">
        <f aca="false">IFERROR(__xludf.dummyfunction("""COMPUTED_VALUE"""),98.22)</f>
        <v>98.22</v>
      </c>
      <c r="C462" s="8" t="n">
        <f aca="false">IFERROR(__xludf.dummyfunction("""COMPUTED_VALUE"""),99.32)</f>
        <v>99.32</v>
      </c>
      <c r="D462" s="8" t="n">
        <f aca="false">IFERROR(__xludf.dummyfunction("""COMPUTED_VALUE"""),92.6)</f>
        <v>92.6</v>
      </c>
      <c r="E462" s="8" t="n">
        <f aca="false">IFERROR(__xludf.dummyfunction("""COMPUTED_VALUE"""),93.16)</f>
        <v>93.16</v>
      </c>
      <c r="F462" s="8" t="n">
        <f aca="false">IFERROR(__xludf.dummyfunction("""COMPUTED_VALUE"""),121361444)</f>
        <v>121361444</v>
      </c>
    </row>
    <row r="463" customFormat="false" ht="15.75" hidden="false" customHeight="false" outlineLevel="0" collapsed="false">
      <c r="A463" s="9" t="n">
        <f aca="false">IFERROR(__xludf.dummyfunction("""COMPUTED_VALUE"""),44866.6666666667)</f>
        <v>44866.6666666667</v>
      </c>
      <c r="B463" s="8" t="n">
        <f aca="false">IFERROR(__xludf.dummyfunction("""COMPUTED_VALUE"""),94.33)</f>
        <v>94.33</v>
      </c>
      <c r="C463" s="8" t="n">
        <f aca="false">IFERROR(__xludf.dummyfunction("""COMPUTED_VALUE"""),97.49)</f>
        <v>97.49</v>
      </c>
      <c r="D463" s="8" t="n">
        <f aca="false">IFERROR(__xludf.dummyfunction("""COMPUTED_VALUE"""),93.55)</f>
        <v>93.55</v>
      </c>
      <c r="E463" s="8" t="n">
        <f aca="false">IFERROR(__xludf.dummyfunction("""COMPUTED_VALUE"""),95.2)</f>
        <v>95.2</v>
      </c>
      <c r="F463" s="8" t="n">
        <f aca="false">IFERROR(__xludf.dummyfunction("""COMPUTED_VALUE"""),110189617)</f>
        <v>110189617</v>
      </c>
    </row>
    <row r="464" customFormat="false" ht="15.75" hidden="false" customHeight="false" outlineLevel="0" collapsed="false">
      <c r="A464" s="9" t="n">
        <f aca="false">IFERROR(__xludf.dummyfunction("""COMPUTED_VALUE"""),44867.6666666667)</f>
        <v>44867.6666666667</v>
      </c>
      <c r="B464" s="8" t="n">
        <f aca="false">IFERROR(__xludf.dummyfunction("""COMPUTED_VALUE"""),94.21)</f>
        <v>94.21</v>
      </c>
      <c r="C464" s="8" t="n">
        <f aca="false">IFERROR(__xludf.dummyfunction("""COMPUTED_VALUE"""),95.2)</f>
        <v>95.2</v>
      </c>
      <c r="D464" s="8" t="n">
        <f aca="false">IFERROR(__xludf.dummyfunction("""COMPUTED_VALUE"""),90.48)</f>
        <v>90.48</v>
      </c>
      <c r="E464" s="8" t="n">
        <f aca="false">IFERROR(__xludf.dummyfunction("""COMPUTED_VALUE"""),90.54)</f>
        <v>90.54</v>
      </c>
      <c r="F464" s="8" t="n">
        <f aca="false">IFERROR(__xludf.dummyfunction("""COMPUTED_VALUE"""),71821058)</f>
        <v>71821058</v>
      </c>
    </row>
    <row r="465" customFormat="false" ht="15.75" hidden="false" customHeight="false" outlineLevel="0" collapsed="false">
      <c r="A465" s="9" t="n">
        <f aca="false">IFERROR(__xludf.dummyfunction("""COMPUTED_VALUE"""),44868.6666666667)</f>
        <v>44868.6666666667</v>
      </c>
      <c r="B465" s="8" t="n">
        <f aca="false">IFERROR(__xludf.dummyfunction("""COMPUTED_VALUE"""),90.08)</f>
        <v>90.08</v>
      </c>
      <c r="C465" s="8" t="n">
        <f aca="false">IFERROR(__xludf.dummyfunction("""COMPUTED_VALUE"""),90.46)</f>
        <v>90.46</v>
      </c>
      <c r="D465" s="8" t="n">
        <f aca="false">IFERROR(__xludf.dummyfunction("""COMPUTED_VALUE"""),88.41)</f>
        <v>88.41</v>
      </c>
      <c r="E465" s="8" t="n">
        <f aca="false">IFERROR(__xludf.dummyfunction("""COMPUTED_VALUE"""),88.91)</f>
        <v>88.91</v>
      </c>
      <c r="F465" s="8" t="n">
        <f aca="false">IFERROR(__xludf.dummyfunction("""COMPUTED_VALUE"""),60664012)</f>
        <v>60664012</v>
      </c>
    </row>
    <row r="466" customFormat="false" ht="15.75" hidden="false" customHeight="false" outlineLevel="0" collapsed="false">
      <c r="A466" s="9" t="n">
        <f aca="false">IFERROR(__xludf.dummyfunction("""COMPUTED_VALUE"""),44869.6666666667)</f>
        <v>44869.6666666667</v>
      </c>
      <c r="B466" s="8" t="n">
        <f aca="false">IFERROR(__xludf.dummyfunction("""COMPUTED_VALUE"""),90.35)</f>
        <v>90.35</v>
      </c>
      <c r="C466" s="8" t="n">
        <f aca="false">IFERROR(__xludf.dummyfunction("""COMPUTED_VALUE"""),91.39)</f>
        <v>91.39</v>
      </c>
      <c r="D466" s="8" t="n">
        <f aca="false">IFERROR(__xludf.dummyfunction("""COMPUTED_VALUE"""),88.09)</f>
        <v>88.09</v>
      </c>
      <c r="E466" s="8" t="n">
        <f aca="false">IFERROR(__xludf.dummyfunction("""COMPUTED_VALUE"""),90.79)</f>
        <v>90.79</v>
      </c>
      <c r="F466" s="8" t="n">
        <f aca="false">IFERROR(__xludf.dummyfunction("""COMPUTED_VALUE"""),55638061)</f>
        <v>55638061</v>
      </c>
    </row>
    <row r="467" customFormat="false" ht="15.75" hidden="false" customHeight="false" outlineLevel="0" collapsed="false">
      <c r="A467" s="9" t="n">
        <f aca="false">IFERROR(__xludf.dummyfunction("""COMPUTED_VALUE"""),44872.6666666667)</f>
        <v>44872.6666666667</v>
      </c>
      <c r="B467" s="8" t="n">
        <f aca="false">IFERROR(__xludf.dummyfunction("""COMPUTED_VALUE"""),94.78)</f>
        <v>94.78</v>
      </c>
      <c r="C467" s="8" t="n">
        <f aca="false">IFERROR(__xludf.dummyfunction("""COMPUTED_VALUE"""),96.88)</f>
        <v>96.88</v>
      </c>
      <c r="D467" s="8" t="n">
        <f aca="false">IFERROR(__xludf.dummyfunction("""COMPUTED_VALUE"""),93.1)</f>
        <v>93.1</v>
      </c>
      <c r="E467" s="8" t="n">
        <f aca="false">IFERROR(__xludf.dummyfunction("""COMPUTED_VALUE"""),96.72)</f>
        <v>96.72</v>
      </c>
      <c r="F467" s="8" t="n">
        <f aca="false">IFERROR(__xludf.dummyfunction("""COMPUTED_VALUE"""),81987295)</f>
        <v>81987295</v>
      </c>
    </row>
    <row r="468" customFormat="false" ht="15.75" hidden="false" customHeight="false" outlineLevel="0" collapsed="false">
      <c r="A468" s="9" t="n">
        <f aca="false">IFERROR(__xludf.dummyfunction("""COMPUTED_VALUE"""),44873.6666666667)</f>
        <v>44873.6666666667</v>
      </c>
      <c r="B468" s="8" t="n">
        <f aca="false">IFERROR(__xludf.dummyfunction("""COMPUTED_VALUE"""),95.92)</f>
        <v>95.92</v>
      </c>
      <c r="C468" s="8" t="n">
        <f aca="false">IFERROR(__xludf.dummyfunction("""COMPUTED_VALUE"""),97.8)</f>
        <v>97.8</v>
      </c>
      <c r="D468" s="8" t="n">
        <f aca="false">IFERROR(__xludf.dummyfunction("""COMPUTED_VALUE"""),94.79)</f>
        <v>94.79</v>
      </c>
      <c r="E468" s="8" t="n">
        <f aca="false">IFERROR(__xludf.dummyfunction("""COMPUTED_VALUE"""),96.47)</f>
        <v>96.47</v>
      </c>
      <c r="F468" s="8" t="n">
        <f aca="false">IFERROR(__xludf.dummyfunction("""COMPUTED_VALUE"""),52088320)</f>
        <v>52088320</v>
      </c>
    </row>
    <row r="469" customFormat="false" ht="15.75" hidden="false" customHeight="false" outlineLevel="0" collapsed="false">
      <c r="A469" s="9" t="n">
        <f aca="false">IFERROR(__xludf.dummyfunction("""COMPUTED_VALUE"""),44874.6666666667)</f>
        <v>44874.6666666667</v>
      </c>
      <c r="B469" s="8" t="n">
        <f aca="false">IFERROR(__xludf.dummyfunction("""COMPUTED_VALUE"""),101.72)</f>
        <v>101.72</v>
      </c>
      <c r="C469" s="8" t="n">
        <f aca="false">IFERROR(__xludf.dummyfunction("""COMPUTED_VALUE"""),104.9)</f>
        <v>104.9</v>
      </c>
      <c r="D469" s="8" t="n">
        <f aca="false">IFERROR(__xludf.dummyfunction("""COMPUTED_VALUE"""),100.74)</f>
        <v>100.74</v>
      </c>
      <c r="E469" s="8" t="n">
        <f aca="false">IFERROR(__xludf.dummyfunction("""COMPUTED_VALUE"""),101.47)</f>
        <v>101.47</v>
      </c>
      <c r="F469" s="8" t="n">
        <f aca="false">IFERROR(__xludf.dummyfunction("""COMPUTED_VALUE"""),107677284)</f>
        <v>107677284</v>
      </c>
    </row>
    <row r="470" customFormat="false" ht="15.75" hidden="false" customHeight="false" outlineLevel="0" collapsed="false">
      <c r="A470" s="9" t="n">
        <f aca="false">IFERROR(__xludf.dummyfunction("""COMPUTED_VALUE"""),44875.6666666667)</f>
        <v>44875.6666666667</v>
      </c>
      <c r="B470" s="8" t="n">
        <f aca="false">IFERROR(__xludf.dummyfunction("""COMPUTED_VALUE"""),107.12)</f>
        <v>107.12</v>
      </c>
      <c r="C470" s="8" t="n">
        <f aca="false">IFERROR(__xludf.dummyfunction("""COMPUTED_VALUE"""),112.75)</f>
        <v>112.75</v>
      </c>
      <c r="D470" s="8" t="n">
        <f aca="false">IFERROR(__xludf.dummyfunction("""COMPUTED_VALUE"""),104.61)</f>
        <v>104.61</v>
      </c>
      <c r="E470" s="8" t="n">
        <f aca="false">IFERROR(__xludf.dummyfunction("""COMPUTED_VALUE"""),111.87)</f>
        <v>111.87</v>
      </c>
      <c r="F470" s="8" t="n">
        <f aca="false">IFERROR(__xludf.dummyfunction("""COMPUTED_VALUE"""),80670961)</f>
        <v>80670961</v>
      </c>
    </row>
    <row r="471" customFormat="false" ht="15.75" hidden="false" customHeight="false" outlineLevel="0" collapsed="false">
      <c r="A471" s="9" t="n">
        <f aca="false">IFERROR(__xludf.dummyfunction("""COMPUTED_VALUE"""),44876.6666666667)</f>
        <v>44876.6666666667</v>
      </c>
      <c r="B471" s="8" t="n">
        <f aca="false">IFERROR(__xludf.dummyfunction("""COMPUTED_VALUE"""),109.23)</f>
        <v>109.23</v>
      </c>
      <c r="C471" s="8" t="n">
        <f aca="false">IFERROR(__xludf.dummyfunction("""COMPUTED_VALUE"""),114.9)</f>
        <v>114.9</v>
      </c>
      <c r="D471" s="8" t="n">
        <f aca="false">IFERROR(__xludf.dummyfunction("""COMPUTED_VALUE"""),108.81)</f>
        <v>108.81</v>
      </c>
      <c r="E471" s="8" t="n">
        <f aca="false">IFERROR(__xludf.dummyfunction("""COMPUTED_VALUE"""),113.02)</f>
        <v>113.02</v>
      </c>
      <c r="F471" s="8" t="n">
        <f aca="false">IFERROR(__xludf.dummyfunction("""COMPUTED_VALUE"""),59961742)</f>
        <v>59961742</v>
      </c>
    </row>
    <row r="472" customFormat="false" ht="15.75" hidden="false" customHeight="false" outlineLevel="0" collapsed="false">
      <c r="A472" s="9" t="n">
        <f aca="false">IFERROR(__xludf.dummyfunction("""COMPUTED_VALUE"""),44879.6666666667)</f>
        <v>44879.6666666667</v>
      </c>
      <c r="B472" s="8" t="n">
        <f aca="false">IFERROR(__xludf.dummyfunction("""COMPUTED_VALUE"""),110.99)</f>
        <v>110.99</v>
      </c>
      <c r="C472" s="8" t="n">
        <f aca="false">IFERROR(__xludf.dummyfunction("""COMPUTED_VALUE"""),116.27)</f>
        <v>116.27</v>
      </c>
      <c r="D472" s="8" t="n">
        <f aca="false">IFERROR(__xludf.dummyfunction("""COMPUTED_VALUE"""),110.8)</f>
        <v>110.8</v>
      </c>
      <c r="E472" s="8" t="n">
        <f aca="false">IFERROR(__xludf.dummyfunction("""COMPUTED_VALUE"""),114.22)</f>
        <v>114.22</v>
      </c>
      <c r="F472" s="8" t="n">
        <f aca="false">IFERROR(__xludf.dummyfunction("""COMPUTED_VALUE"""),53394974)</f>
        <v>53394974</v>
      </c>
    </row>
    <row r="473" customFormat="false" ht="15.75" hidden="false" customHeight="false" outlineLevel="0" collapsed="false">
      <c r="A473" s="9" t="n">
        <f aca="false">IFERROR(__xludf.dummyfunction("""COMPUTED_VALUE"""),44880.6666666667)</f>
        <v>44880.6666666667</v>
      </c>
      <c r="B473" s="8" t="n">
        <f aca="false">IFERROR(__xludf.dummyfunction("""COMPUTED_VALUE"""),116.07)</f>
        <v>116.07</v>
      </c>
      <c r="C473" s="8" t="n">
        <f aca="false">IFERROR(__xludf.dummyfunction("""COMPUTED_VALUE"""),118.74)</f>
        <v>118.74</v>
      </c>
      <c r="D473" s="8" t="n">
        <f aca="false">IFERROR(__xludf.dummyfunction("""COMPUTED_VALUE"""),114.41)</f>
        <v>114.41</v>
      </c>
      <c r="E473" s="8" t="n">
        <f aca="false">IFERROR(__xludf.dummyfunction("""COMPUTED_VALUE"""),117.08)</f>
        <v>117.08</v>
      </c>
      <c r="F473" s="8" t="n">
        <f aca="false">IFERROR(__xludf.dummyfunction("""COMPUTED_VALUE"""),50670499)</f>
        <v>50670499</v>
      </c>
    </row>
    <row r="474" customFormat="false" ht="15.75" hidden="false" customHeight="false" outlineLevel="0" collapsed="false">
      <c r="A474" s="9" t="n">
        <f aca="false">IFERROR(__xludf.dummyfunction("""COMPUTED_VALUE"""),44881.6666666667)</f>
        <v>44881.6666666667</v>
      </c>
      <c r="B474" s="8" t="n">
        <f aca="false">IFERROR(__xludf.dummyfunction("""COMPUTED_VALUE"""),114.5)</f>
        <v>114.5</v>
      </c>
      <c r="C474" s="8" t="n">
        <f aca="false">IFERROR(__xludf.dummyfunction("""COMPUTED_VALUE"""),116.08)</f>
        <v>116.08</v>
      </c>
      <c r="D474" s="8" t="n">
        <f aca="false">IFERROR(__xludf.dummyfunction("""COMPUTED_VALUE"""),112.66)</f>
        <v>112.66</v>
      </c>
      <c r="E474" s="8" t="n">
        <f aca="false">IFERROR(__xludf.dummyfunction("""COMPUTED_VALUE"""),113.23)</f>
        <v>113.23</v>
      </c>
      <c r="F474" s="8" t="n">
        <f aca="false">IFERROR(__xludf.dummyfunction("""COMPUTED_VALUE"""),33287773)</f>
        <v>33287773</v>
      </c>
    </row>
    <row r="475" customFormat="false" ht="15.75" hidden="false" customHeight="false" outlineLevel="0" collapsed="false">
      <c r="A475" s="9" t="n">
        <f aca="false">IFERROR(__xludf.dummyfunction("""COMPUTED_VALUE"""),44882.6666666667)</f>
        <v>44882.6666666667</v>
      </c>
      <c r="B475" s="8" t="n">
        <f aca="false">IFERROR(__xludf.dummyfunction("""COMPUTED_VALUE"""),110.41)</f>
        <v>110.41</v>
      </c>
      <c r="C475" s="8" t="n">
        <f aca="false">IFERROR(__xludf.dummyfunction("""COMPUTED_VALUE"""),112.33)</f>
        <v>112.33</v>
      </c>
      <c r="D475" s="8" t="n">
        <f aca="false">IFERROR(__xludf.dummyfunction("""COMPUTED_VALUE"""),109.8)</f>
        <v>109.8</v>
      </c>
      <c r="E475" s="8" t="n">
        <f aca="false">IFERROR(__xludf.dummyfunction("""COMPUTED_VALUE"""),111.45)</f>
        <v>111.45</v>
      </c>
      <c r="F475" s="8" t="n">
        <f aca="false">IFERROR(__xludf.dummyfunction("""COMPUTED_VALUE"""),35093822)</f>
        <v>35093822</v>
      </c>
    </row>
    <row r="476" customFormat="false" ht="15.75" hidden="false" customHeight="false" outlineLevel="0" collapsed="false">
      <c r="A476" s="9" t="n">
        <f aca="false">IFERROR(__xludf.dummyfunction("""COMPUTED_VALUE"""),44883.6666666667)</f>
        <v>44883.6666666667</v>
      </c>
      <c r="B476" s="8" t="n">
        <f aca="false">IFERROR(__xludf.dummyfunction("""COMPUTED_VALUE"""),113.8)</f>
        <v>113.8</v>
      </c>
      <c r="C476" s="8" t="n">
        <f aca="false">IFERROR(__xludf.dummyfunction("""COMPUTED_VALUE"""),114.32)</f>
        <v>114.32</v>
      </c>
      <c r="D476" s="8" t="n">
        <f aca="false">IFERROR(__xludf.dummyfunction("""COMPUTED_VALUE"""),110.62)</f>
        <v>110.62</v>
      </c>
      <c r="E476" s="8" t="n">
        <f aca="false">IFERROR(__xludf.dummyfunction("""COMPUTED_VALUE"""),112.05)</f>
        <v>112.05</v>
      </c>
      <c r="F476" s="8" t="n">
        <f aca="false">IFERROR(__xludf.dummyfunction("""COMPUTED_VALUE"""),33357707)</f>
        <v>33357707</v>
      </c>
    </row>
    <row r="477" customFormat="false" ht="15.75" hidden="false" customHeight="false" outlineLevel="0" collapsed="false">
      <c r="A477" s="9" t="n">
        <f aca="false">IFERROR(__xludf.dummyfunction("""COMPUTED_VALUE"""),44886.6666666667)</f>
        <v>44886.6666666667</v>
      </c>
      <c r="B477" s="8" t="n">
        <f aca="false">IFERROR(__xludf.dummyfunction("""COMPUTED_VALUE"""),111.52)</f>
        <v>111.52</v>
      </c>
      <c r="C477" s="8" t="n">
        <f aca="false">IFERROR(__xludf.dummyfunction("""COMPUTED_VALUE"""),112.37)</f>
        <v>112.37</v>
      </c>
      <c r="D477" s="8" t="n">
        <f aca="false">IFERROR(__xludf.dummyfunction("""COMPUTED_VALUE"""),109.19)</f>
        <v>109.19</v>
      </c>
      <c r="E477" s="8" t="n">
        <f aca="false">IFERROR(__xludf.dummyfunction("""COMPUTED_VALUE"""),109.86)</f>
        <v>109.86</v>
      </c>
      <c r="F477" s="8" t="n">
        <f aca="false">IFERROR(__xludf.dummyfunction("""COMPUTED_VALUE"""),24351074)</f>
        <v>24351074</v>
      </c>
    </row>
    <row r="478" customFormat="false" ht="15.75" hidden="false" customHeight="false" outlineLevel="0" collapsed="false">
      <c r="A478" s="9" t="n">
        <f aca="false">IFERROR(__xludf.dummyfunction("""COMPUTED_VALUE"""),44887.6666666667)</f>
        <v>44887.6666666667</v>
      </c>
      <c r="B478" s="8" t="n">
        <f aca="false">IFERROR(__xludf.dummyfunction("""COMPUTED_VALUE"""),109.86)</f>
        <v>109.86</v>
      </c>
      <c r="C478" s="8" t="n">
        <f aca="false">IFERROR(__xludf.dummyfunction("""COMPUTED_VALUE"""),111.62)</f>
        <v>111.62</v>
      </c>
      <c r="D478" s="8" t="n">
        <f aca="false">IFERROR(__xludf.dummyfunction("""COMPUTED_VALUE"""),108.32)</f>
        <v>108.32</v>
      </c>
      <c r="E478" s="8" t="n">
        <f aca="false">IFERROR(__xludf.dummyfunction("""COMPUTED_VALUE"""),111.44)</f>
        <v>111.44</v>
      </c>
      <c r="F478" s="8" t="n">
        <f aca="false">IFERROR(__xludf.dummyfunction("""COMPUTED_VALUE"""),29028963)</f>
        <v>29028963</v>
      </c>
    </row>
    <row r="479" customFormat="false" ht="15.75" hidden="false" customHeight="false" outlineLevel="0" collapsed="false">
      <c r="A479" s="9" t="n">
        <f aca="false">IFERROR(__xludf.dummyfunction("""COMPUTED_VALUE"""),44888.6666666667)</f>
        <v>44888.6666666667</v>
      </c>
      <c r="B479" s="8" t="n">
        <f aca="false">IFERROR(__xludf.dummyfunction("""COMPUTED_VALUE"""),111.72)</f>
        <v>111.72</v>
      </c>
      <c r="C479" s="8" t="n">
        <f aca="false">IFERROR(__xludf.dummyfunction("""COMPUTED_VALUE"""),112.67)</f>
        <v>112.67</v>
      </c>
      <c r="D479" s="8" t="n">
        <f aca="false">IFERROR(__xludf.dummyfunction("""COMPUTED_VALUE"""),110.73)</f>
        <v>110.73</v>
      </c>
      <c r="E479" s="8" t="n">
        <f aca="false">IFERROR(__xludf.dummyfunction("""COMPUTED_VALUE"""),112.24)</f>
        <v>112.24</v>
      </c>
      <c r="F479" s="8" t="n">
        <f aca="false">IFERROR(__xludf.dummyfunction("""COMPUTED_VALUE"""),21343083)</f>
        <v>21343083</v>
      </c>
    </row>
    <row r="480" customFormat="false" ht="15.75" hidden="false" customHeight="false" outlineLevel="0" collapsed="false">
      <c r="A480" s="9" t="n">
        <f aca="false">IFERROR(__xludf.dummyfunction("""COMPUTED_VALUE"""),44890.5451388889)</f>
        <v>44890.5451388889</v>
      </c>
      <c r="B480" s="8" t="n">
        <f aca="false">IFERROR(__xludf.dummyfunction("""COMPUTED_VALUE"""),111.3)</f>
        <v>111.3</v>
      </c>
      <c r="C480" s="8" t="n">
        <f aca="false">IFERROR(__xludf.dummyfunction("""COMPUTED_VALUE"""),112.73)</f>
        <v>112.73</v>
      </c>
      <c r="D480" s="8" t="n">
        <f aca="false">IFERROR(__xludf.dummyfunction("""COMPUTED_VALUE"""),111.02)</f>
        <v>111.02</v>
      </c>
      <c r="E480" s="8" t="n">
        <f aca="false">IFERROR(__xludf.dummyfunction("""COMPUTED_VALUE"""),111.41)</f>
        <v>111.41</v>
      </c>
      <c r="F480" s="8" t="n">
        <f aca="false">IFERROR(__xludf.dummyfunction("""COMPUTED_VALUE"""),12007566)</f>
        <v>12007566</v>
      </c>
    </row>
    <row r="481" customFormat="false" ht="15.75" hidden="false" customHeight="false" outlineLevel="0" collapsed="false">
      <c r="A481" s="9" t="n">
        <f aca="false">IFERROR(__xludf.dummyfunction("""COMPUTED_VALUE"""),44893.6666666667)</f>
        <v>44893.6666666667</v>
      </c>
      <c r="B481" s="8" t="n">
        <f aca="false">IFERROR(__xludf.dummyfunction("""COMPUTED_VALUE"""),110.78)</f>
        <v>110.78</v>
      </c>
      <c r="C481" s="8" t="n">
        <f aca="false">IFERROR(__xludf.dummyfunction("""COMPUTED_VALUE"""),112.04)</f>
        <v>112.04</v>
      </c>
      <c r="D481" s="8" t="n">
        <f aca="false">IFERROR(__xludf.dummyfunction("""COMPUTED_VALUE"""),108.38)</f>
        <v>108.38</v>
      </c>
      <c r="E481" s="8" t="n">
        <f aca="false">IFERROR(__xludf.dummyfunction("""COMPUTED_VALUE"""),108.78)</f>
        <v>108.78</v>
      </c>
      <c r="F481" s="8" t="n">
        <f aca="false">IFERROR(__xludf.dummyfunction("""COMPUTED_VALUE"""),23332816)</f>
        <v>23332816</v>
      </c>
    </row>
    <row r="482" customFormat="false" ht="15.75" hidden="false" customHeight="false" outlineLevel="0" collapsed="false">
      <c r="A482" s="9" t="n">
        <f aca="false">IFERROR(__xludf.dummyfunction("""COMPUTED_VALUE"""),44894.6666666667)</f>
        <v>44894.6666666667</v>
      </c>
      <c r="B482" s="8" t="n">
        <f aca="false">IFERROR(__xludf.dummyfunction("""COMPUTED_VALUE"""),109.54)</f>
        <v>109.54</v>
      </c>
      <c r="C482" s="8" t="n">
        <f aca="false">IFERROR(__xludf.dummyfunction("""COMPUTED_VALUE"""),110.94)</f>
        <v>110.94</v>
      </c>
      <c r="D482" s="8" t="n">
        <f aca="false">IFERROR(__xludf.dummyfunction("""COMPUTED_VALUE"""),108.54)</f>
        <v>108.54</v>
      </c>
      <c r="E482" s="8" t="n">
        <f aca="false">IFERROR(__xludf.dummyfunction("""COMPUTED_VALUE"""),109.46)</f>
        <v>109.46</v>
      </c>
      <c r="F482" s="8" t="n">
        <f aca="false">IFERROR(__xludf.dummyfunction("""COMPUTED_VALUE"""),23899238)</f>
        <v>23899238</v>
      </c>
    </row>
    <row r="483" customFormat="false" ht="15.75" hidden="false" customHeight="false" outlineLevel="0" collapsed="false">
      <c r="A483" s="9" t="n">
        <f aca="false">IFERROR(__xludf.dummyfunction("""COMPUTED_VALUE"""),44895.6666666667)</f>
        <v>44895.6666666667</v>
      </c>
      <c r="B483" s="8" t="n">
        <f aca="false">IFERROR(__xludf.dummyfunction("""COMPUTED_VALUE"""),109.51)</f>
        <v>109.51</v>
      </c>
      <c r="C483" s="8" t="n">
        <f aca="false">IFERROR(__xludf.dummyfunction("""COMPUTED_VALUE"""),118.16)</f>
        <v>118.16</v>
      </c>
      <c r="D483" s="8" t="n">
        <f aca="false">IFERROR(__xludf.dummyfunction("""COMPUTED_VALUE"""),109.38)</f>
        <v>109.38</v>
      </c>
      <c r="E483" s="8" t="n">
        <f aca="false">IFERROR(__xludf.dummyfunction("""COMPUTED_VALUE"""),118.1)</f>
        <v>118.1</v>
      </c>
      <c r="F483" s="8" t="n">
        <f aca="false">IFERROR(__xludf.dummyfunction("""COMPUTED_VALUE"""),43348557)</f>
        <v>43348557</v>
      </c>
    </row>
    <row r="484" customFormat="false" ht="15.75" hidden="false" customHeight="false" outlineLevel="0" collapsed="false">
      <c r="A484" s="9" t="n">
        <f aca="false">IFERROR(__xludf.dummyfunction("""COMPUTED_VALUE"""),44896.6666666667)</f>
        <v>44896.6666666667</v>
      </c>
      <c r="B484" s="8" t="n">
        <f aca="false">IFERROR(__xludf.dummyfunction("""COMPUTED_VALUE"""),119.2)</f>
        <v>119.2</v>
      </c>
      <c r="C484" s="8" t="n">
        <f aca="false">IFERROR(__xludf.dummyfunction("""COMPUTED_VALUE"""),121.2)</f>
        <v>121.2</v>
      </c>
      <c r="D484" s="8" t="n">
        <f aca="false">IFERROR(__xludf.dummyfunction("""COMPUTED_VALUE"""),118.4)</f>
        <v>118.4</v>
      </c>
      <c r="E484" s="8" t="n">
        <f aca="false">IFERROR(__xludf.dummyfunction("""COMPUTED_VALUE"""),120.44)</f>
        <v>120.44</v>
      </c>
      <c r="F484" s="8" t="n">
        <f aca="false">IFERROR(__xludf.dummyfunction("""COMPUTED_VALUE"""),36551374)</f>
        <v>36551374</v>
      </c>
    </row>
    <row r="485" customFormat="false" ht="15.75" hidden="false" customHeight="false" outlineLevel="0" collapsed="false">
      <c r="A485" s="9" t="n">
        <f aca="false">IFERROR(__xludf.dummyfunction("""COMPUTED_VALUE"""),44897.6666666667)</f>
        <v>44897.6666666667</v>
      </c>
      <c r="B485" s="8" t="n">
        <f aca="false">IFERROR(__xludf.dummyfunction("""COMPUTED_VALUE"""),117.83)</f>
        <v>117.83</v>
      </c>
      <c r="C485" s="8" t="n">
        <f aca="false">IFERROR(__xludf.dummyfunction("""COMPUTED_VALUE"""),124.04)</f>
        <v>124.04</v>
      </c>
      <c r="D485" s="8" t="n">
        <f aca="false">IFERROR(__xludf.dummyfunction("""COMPUTED_VALUE"""),117.61)</f>
        <v>117.61</v>
      </c>
      <c r="E485" s="8" t="n">
        <f aca="false">IFERROR(__xludf.dummyfunction("""COMPUTED_VALUE"""),123.49)</f>
        <v>123.49</v>
      </c>
      <c r="F485" s="8" t="n">
        <f aca="false">IFERROR(__xludf.dummyfunction("""COMPUTED_VALUE"""),39950464)</f>
        <v>39950464</v>
      </c>
    </row>
    <row r="486" customFormat="false" ht="15.75" hidden="false" customHeight="false" outlineLevel="0" collapsed="false">
      <c r="A486" s="9" t="n">
        <f aca="false">IFERROR(__xludf.dummyfunction("""COMPUTED_VALUE"""),44900.6666666667)</f>
        <v>44900.6666666667</v>
      </c>
      <c r="B486" s="8" t="n">
        <f aca="false">IFERROR(__xludf.dummyfunction("""COMPUTED_VALUE"""),121.75)</f>
        <v>121.75</v>
      </c>
      <c r="C486" s="8" t="n">
        <f aca="false">IFERROR(__xludf.dummyfunction("""COMPUTED_VALUE"""),124.67)</f>
        <v>124.67</v>
      </c>
      <c r="D486" s="8" t="n">
        <f aca="false">IFERROR(__xludf.dummyfunction("""COMPUTED_VALUE"""),121.35)</f>
        <v>121.35</v>
      </c>
      <c r="E486" s="8" t="n">
        <f aca="false">IFERROR(__xludf.dummyfunction("""COMPUTED_VALUE"""),122.43)</f>
        <v>122.43</v>
      </c>
      <c r="F486" s="8" t="n">
        <f aca="false">IFERROR(__xludf.dummyfunction("""COMPUTED_VALUE"""),35474884)</f>
        <v>35474884</v>
      </c>
    </row>
    <row r="487" customFormat="false" ht="15.75" hidden="false" customHeight="false" outlineLevel="0" collapsed="false">
      <c r="A487" s="9" t="n">
        <f aca="false">IFERROR(__xludf.dummyfunction("""COMPUTED_VALUE"""),44901.6666666667)</f>
        <v>44901.6666666667</v>
      </c>
      <c r="B487" s="8" t="n">
        <f aca="false">IFERROR(__xludf.dummyfunction("""COMPUTED_VALUE"""),119.91)</f>
        <v>119.91</v>
      </c>
      <c r="C487" s="8" t="n">
        <f aca="false">IFERROR(__xludf.dummyfunction("""COMPUTED_VALUE"""),120.55)</f>
        <v>120.55</v>
      </c>
      <c r="D487" s="8" t="n">
        <f aca="false">IFERROR(__xludf.dummyfunction("""COMPUTED_VALUE"""),113.74)</f>
        <v>113.74</v>
      </c>
      <c r="E487" s="8" t="n">
        <f aca="false">IFERROR(__xludf.dummyfunction("""COMPUTED_VALUE"""),114.12)</f>
        <v>114.12</v>
      </c>
      <c r="F487" s="8" t="n">
        <f aca="false">IFERROR(__xludf.dummyfunction("""COMPUTED_VALUE"""),43689183)</f>
        <v>43689183</v>
      </c>
    </row>
    <row r="488" customFormat="false" ht="15.75" hidden="false" customHeight="false" outlineLevel="0" collapsed="false">
      <c r="A488" s="9" t="n">
        <f aca="false">IFERROR(__xludf.dummyfunction("""COMPUTED_VALUE"""),44902.6666666667)</f>
        <v>44902.6666666667</v>
      </c>
      <c r="B488" s="8" t="n">
        <f aca="false">IFERROR(__xludf.dummyfunction("""COMPUTED_VALUE"""),113.76)</f>
        <v>113.76</v>
      </c>
      <c r="C488" s="8" t="n">
        <f aca="false">IFERROR(__xludf.dummyfunction("""COMPUTED_VALUE"""),115.88)</f>
        <v>115.88</v>
      </c>
      <c r="D488" s="8" t="n">
        <f aca="false">IFERROR(__xludf.dummyfunction("""COMPUTED_VALUE"""),112.88)</f>
        <v>112.88</v>
      </c>
      <c r="E488" s="8" t="n">
        <f aca="false">IFERROR(__xludf.dummyfunction("""COMPUTED_VALUE"""),113.93)</f>
        <v>113.93</v>
      </c>
      <c r="F488" s="8" t="n">
        <f aca="false">IFERROR(__xludf.dummyfunction("""COMPUTED_VALUE"""),29461137)</f>
        <v>29461137</v>
      </c>
    </row>
    <row r="489" customFormat="false" ht="15.75" hidden="false" customHeight="false" outlineLevel="0" collapsed="false">
      <c r="A489" s="9" t="n">
        <f aca="false">IFERROR(__xludf.dummyfunction("""COMPUTED_VALUE"""),44903.6666666667)</f>
        <v>44903.6666666667</v>
      </c>
      <c r="B489" s="8" t="n">
        <f aca="false">IFERROR(__xludf.dummyfunction("""COMPUTED_VALUE"""),116.39)</f>
        <v>116.39</v>
      </c>
      <c r="C489" s="8" t="n">
        <f aca="false">IFERROR(__xludf.dummyfunction("""COMPUTED_VALUE"""),117.34)</f>
        <v>117.34</v>
      </c>
      <c r="D489" s="8" t="n">
        <f aca="false">IFERROR(__xludf.dummyfunction("""COMPUTED_VALUE"""),114.59)</f>
        <v>114.59</v>
      </c>
      <c r="E489" s="8" t="n">
        <f aca="false">IFERROR(__xludf.dummyfunction("""COMPUTED_VALUE"""),115.33)</f>
        <v>115.33</v>
      </c>
      <c r="F489" s="8" t="n">
        <f aca="false">IFERROR(__xludf.dummyfunction("""COMPUTED_VALUE"""),30619418)</f>
        <v>30619418</v>
      </c>
    </row>
    <row r="490" customFormat="false" ht="15.75" hidden="false" customHeight="false" outlineLevel="0" collapsed="false">
      <c r="A490" s="9" t="n">
        <f aca="false">IFERROR(__xludf.dummyfunction("""COMPUTED_VALUE"""),44904.6666666667)</f>
        <v>44904.6666666667</v>
      </c>
      <c r="B490" s="8" t="n">
        <f aca="false">IFERROR(__xludf.dummyfunction("""COMPUTED_VALUE"""),115.3)</f>
        <v>115.3</v>
      </c>
      <c r="C490" s="8" t="n">
        <f aca="false">IFERROR(__xludf.dummyfunction("""COMPUTED_VALUE"""),117.54)</f>
        <v>117.54</v>
      </c>
      <c r="D490" s="8" t="n">
        <f aca="false">IFERROR(__xludf.dummyfunction("""COMPUTED_VALUE"""),113.87)</f>
        <v>113.87</v>
      </c>
      <c r="E490" s="8" t="n">
        <f aca="false">IFERROR(__xludf.dummyfunction("""COMPUTED_VALUE"""),115.9)</f>
        <v>115.9</v>
      </c>
      <c r="F490" s="8" t="n">
        <f aca="false">IFERROR(__xludf.dummyfunction("""COMPUTED_VALUE"""),26033353)</f>
        <v>26033353</v>
      </c>
    </row>
    <row r="491" customFormat="false" ht="15.75" hidden="false" customHeight="false" outlineLevel="0" collapsed="false">
      <c r="A491" s="9" t="n">
        <f aca="false">IFERROR(__xludf.dummyfunction("""COMPUTED_VALUE"""),44907.6666666667)</f>
        <v>44907.6666666667</v>
      </c>
      <c r="B491" s="8" t="n">
        <f aca="false">IFERROR(__xludf.dummyfunction("""COMPUTED_VALUE"""),115.18)</f>
        <v>115.18</v>
      </c>
      <c r="C491" s="8" t="n">
        <f aca="false">IFERROR(__xludf.dummyfunction("""COMPUTED_VALUE"""),115.72)</f>
        <v>115.72</v>
      </c>
      <c r="D491" s="8" t="n">
        <f aca="false">IFERROR(__xludf.dummyfunction("""COMPUTED_VALUE"""),113.14)</f>
        <v>113.14</v>
      </c>
      <c r="E491" s="8" t="n">
        <f aca="false">IFERROR(__xludf.dummyfunction("""COMPUTED_VALUE"""),114.71)</f>
        <v>114.71</v>
      </c>
      <c r="F491" s="8" t="n">
        <f aca="false">IFERROR(__xludf.dummyfunction("""COMPUTED_VALUE"""),24747064)</f>
        <v>24747064</v>
      </c>
    </row>
    <row r="492" customFormat="false" ht="15.75" hidden="false" customHeight="false" outlineLevel="0" collapsed="false">
      <c r="A492" s="9" t="n">
        <f aca="false">IFERROR(__xludf.dummyfunction("""COMPUTED_VALUE"""),44908.6666666667)</f>
        <v>44908.6666666667</v>
      </c>
      <c r="B492" s="8" t="n">
        <f aca="false">IFERROR(__xludf.dummyfunction("""COMPUTED_VALUE"""),122.13)</f>
        <v>122.13</v>
      </c>
      <c r="C492" s="8" t="n">
        <f aca="false">IFERROR(__xludf.dummyfunction("""COMPUTED_VALUE"""),123.3)</f>
        <v>123.3</v>
      </c>
      <c r="D492" s="8" t="n">
        <f aca="false">IFERROR(__xludf.dummyfunction("""COMPUTED_VALUE"""),118.64)</f>
        <v>118.64</v>
      </c>
      <c r="E492" s="8" t="n">
        <f aca="false">IFERROR(__xludf.dummyfunction("""COMPUTED_VALUE"""),120.15)</f>
        <v>120.15</v>
      </c>
      <c r="F492" s="8" t="n">
        <f aca="false">IFERROR(__xludf.dummyfunction("""COMPUTED_VALUE"""),44701054)</f>
        <v>44701054</v>
      </c>
    </row>
    <row r="493" customFormat="false" ht="15.75" hidden="false" customHeight="false" outlineLevel="0" collapsed="false">
      <c r="A493" s="9" t="n">
        <f aca="false">IFERROR(__xludf.dummyfunction("""COMPUTED_VALUE"""),44909.6666666667)</f>
        <v>44909.6666666667</v>
      </c>
      <c r="B493" s="8" t="n">
        <f aca="false">IFERROR(__xludf.dummyfunction("""COMPUTED_VALUE"""),119.39)</f>
        <v>119.39</v>
      </c>
      <c r="C493" s="8" t="n">
        <f aca="false">IFERROR(__xludf.dummyfunction("""COMPUTED_VALUE"""),124.14)</f>
        <v>124.14</v>
      </c>
      <c r="D493" s="8" t="n">
        <f aca="false">IFERROR(__xludf.dummyfunction("""COMPUTED_VALUE"""),119.39)</f>
        <v>119.39</v>
      </c>
      <c r="E493" s="8" t="n">
        <f aca="false">IFERROR(__xludf.dummyfunction("""COMPUTED_VALUE"""),121.59)</f>
        <v>121.59</v>
      </c>
      <c r="F493" s="8" t="n">
        <f aca="false">IFERROR(__xludf.dummyfunction("""COMPUTED_VALUE"""),36922037)</f>
        <v>36922037</v>
      </c>
    </row>
    <row r="494" customFormat="false" ht="15.75" hidden="false" customHeight="false" outlineLevel="0" collapsed="false">
      <c r="A494" s="9" t="n">
        <f aca="false">IFERROR(__xludf.dummyfunction("""COMPUTED_VALUE"""),44910.6666666667)</f>
        <v>44910.6666666667</v>
      </c>
      <c r="B494" s="8" t="n">
        <f aca="false">IFERROR(__xludf.dummyfunction("""COMPUTED_VALUE"""),118.33)</f>
        <v>118.33</v>
      </c>
      <c r="C494" s="8" t="n">
        <f aca="false">IFERROR(__xludf.dummyfunction("""COMPUTED_VALUE"""),118.63)</f>
        <v>118.63</v>
      </c>
      <c r="D494" s="8" t="n">
        <f aca="false">IFERROR(__xludf.dummyfunction("""COMPUTED_VALUE"""),114.01)</f>
        <v>114.01</v>
      </c>
      <c r="E494" s="8" t="n">
        <f aca="false">IFERROR(__xludf.dummyfunction("""COMPUTED_VALUE"""),116.15)</f>
        <v>116.15</v>
      </c>
      <c r="F494" s="8" t="n">
        <f aca="false">IFERROR(__xludf.dummyfunction("""COMPUTED_VALUE"""),34530970)</f>
        <v>34530970</v>
      </c>
    </row>
    <row r="495" customFormat="false" ht="15.75" hidden="false" customHeight="false" outlineLevel="0" collapsed="false">
      <c r="A495" s="9" t="n">
        <f aca="false">IFERROR(__xludf.dummyfunction("""COMPUTED_VALUE"""),44911.6666666667)</f>
        <v>44911.6666666667</v>
      </c>
      <c r="B495" s="8" t="n">
        <f aca="false">IFERROR(__xludf.dummyfunction("""COMPUTED_VALUE"""),120.23)</f>
        <v>120.23</v>
      </c>
      <c r="C495" s="8" t="n">
        <f aca="false">IFERROR(__xludf.dummyfunction("""COMPUTED_VALUE"""),123.31)</f>
        <v>123.31</v>
      </c>
      <c r="D495" s="8" t="n">
        <f aca="false">IFERROR(__xludf.dummyfunction("""COMPUTED_VALUE"""),118.82)</f>
        <v>118.82</v>
      </c>
      <c r="E495" s="8" t="n">
        <f aca="false">IFERROR(__xludf.dummyfunction("""COMPUTED_VALUE"""),119.43)</f>
        <v>119.43</v>
      </c>
      <c r="F495" s="8" t="n">
        <f aca="false">IFERROR(__xludf.dummyfunction("""COMPUTED_VALUE"""),67064001)</f>
        <v>67064001</v>
      </c>
    </row>
    <row r="496" customFormat="false" ht="15.75" hidden="false" customHeight="false" outlineLevel="0" collapsed="false">
      <c r="A496" s="9" t="n">
        <f aca="false">IFERROR(__xludf.dummyfunction("""COMPUTED_VALUE"""),44914.6666666667)</f>
        <v>44914.6666666667</v>
      </c>
      <c r="B496" s="8" t="n">
        <f aca="false">IFERROR(__xludf.dummyfunction("""COMPUTED_VALUE"""),116.83)</f>
        <v>116.83</v>
      </c>
      <c r="C496" s="8" t="n">
        <f aca="false">IFERROR(__xludf.dummyfunction("""COMPUTED_VALUE"""),117.8)</f>
        <v>117.8</v>
      </c>
      <c r="D496" s="8" t="n">
        <f aca="false">IFERROR(__xludf.dummyfunction("""COMPUTED_VALUE"""),114.33)</f>
        <v>114.33</v>
      </c>
      <c r="E496" s="8" t="n">
        <f aca="false">IFERROR(__xludf.dummyfunction("""COMPUTED_VALUE"""),114.48)</f>
        <v>114.48</v>
      </c>
      <c r="F496" s="8" t="n">
        <f aca="false">IFERROR(__xludf.dummyfunction("""COMPUTED_VALUE"""),29769875)</f>
        <v>29769875</v>
      </c>
    </row>
    <row r="497" customFormat="false" ht="15.75" hidden="false" customHeight="false" outlineLevel="0" collapsed="false">
      <c r="A497" s="9" t="n">
        <f aca="false">IFERROR(__xludf.dummyfunction("""COMPUTED_VALUE"""),44915.6666666667)</f>
        <v>44915.6666666667</v>
      </c>
      <c r="B497" s="8" t="n">
        <f aca="false">IFERROR(__xludf.dummyfunction("""COMPUTED_VALUE"""),113.26)</f>
        <v>113.26</v>
      </c>
      <c r="C497" s="8" t="n">
        <f aca="false">IFERROR(__xludf.dummyfunction("""COMPUTED_VALUE"""),117.33)</f>
        <v>117.33</v>
      </c>
      <c r="D497" s="8" t="n">
        <f aca="false">IFERROR(__xludf.dummyfunction("""COMPUTED_VALUE"""),112.46)</f>
        <v>112.46</v>
      </c>
      <c r="E497" s="8" t="n">
        <f aca="false">IFERROR(__xludf.dummyfunction("""COMPUTED_VALUE"""),117.09)</f>
        <v>117.09</v>
      </c>
      <c r="F497" s="8" t="n">
        <f aca="false">IFERROR(__xludf.dummyfunction("""COMPUTED_VALUE"""),28742501)</f>
        <v>28742501</v>
      </c>
    </row>
    <row r="498" customFormat="false" ht="15.75" hidden="false" customHeight="false" outlineLevel="0" collapsed="false">
      <c r="A498" s="9" t="n">
        <f aca="false">IFERROR(__xludf.dummyfunction("""COMPUTED_VALUE"""),44916.6666666667)</f>
        <v>44916.6666666667</v>
      </c>
      <c r="B498" s="8" t="n">
        <f aca="false">IFERROR(__xludf.dummyfunction("""COMPUTED_VALUE"""),116.7)</f>
        <v>116.7</v>
      </c>
      <c r="C498" s="8" t="n">
        <f aca="false">IFERROR(__xludf.dummyfunction("""COMPUTED_VALUE"""),120.34)</f>
        <v>120.34</v>
      </c>
      <c r="D498" s="8" t="n">
        <f aca="false">IFERROR(__xludf.dummyfunction("""COMPUTED_VALUE"""),115.62)</f>
        <v>115.62</v>
      </c>
      <c r="E498" s="8" t="n">
        <f aca="false">IFERROR(__xludf.dummyfunction("""COMPUTED_VALUE"""),119.76)</f>
        <v>119.76</v>
      </c>
      <c r="F498" s="8" t="n">
        <f aca="false">IFERROR(__xludf.dummyfunction("""COMPUTED_VALUE"""),20392799)</f>
        <v>20392799</v>
      </c>
    </row>
    <row r="499" customFormat="false" ht="15.75" hidden="false" customHeight="false" outlineLevel="0" collapsed="false">
      <c r="A499" s="9" t="n">
        <f aca="false">IFERROR(__xludf.dummyfunction("""COMPUTED_VALUE"""),44917.6666666667)</f>
        <v>44917.6666666667</v>
      </c>
      <c r="B499" s="8" t="n">
        <f aca="false">IFERROR(__xludf.dummyfunction("""COMPUTED_VALUE"""),117.2)</f>
        <v>117.2</v>
      </c>
      <c r="C499" s="8" t="n">
        <f aca="false">IFERROR(__xludf.dummyfunction("""COMPUTED_VALUE"""),118.62)</f>
        <v>118.62</v>
      </c>
      <c r="D499" s="8" t="n">
        <f aca="false">IFERROR(__xludf.dummyfunction("""COMPUTED_VALUE"""),114.38)</f>
        <v>114.38</v>
      </c>
      <c r="E499" s="8" t="n">
        <f aca="false">IFERROR(__xludf.dummyfunction("""COMPUTED_VALUE"""),117.12)</f>
        <v>117.12</v>
      </c>
      <c r="F499" s="8" t="n">
        <f aca="false">IFERROR(__xludf.dummyfunction("""COMPUTED_VALUE"""),23618121)</f>
        <v>23618121</v>
      </c>
    </row>
    <row r="500" customFormat="false" ht="15.75" hidden="false" customHeight="false" outlineLevel="0" collapsed="false">
      <c r="A500" s="9" t="n">
        <f aca="false">IFERROR(__xludf.dummyfunction("""COMPUTED_VALUE"""),44918.6666666667)</f>
        <v>44918.6666666667</v>
      </c>
      <c r="B500" s="8" t="n">
        <f aca="false">IFERROR(__xludf.dummyfunction("""COMPUTED_VALUE"""),116.03)</f>
        <v>116.03</v>
      </c>
      <c r="C500" s="8" t="n">
        <f aca="false">IFERROR(__xludf.dummyfunction("""COMPUTED_VALUE"""),118.18)</f>
        <v>118.18</v>
      </c>
      <c r="D500" s="8" t="n">
        <f aca="false">IFERROR(__xludf.dummyfunction("""COMPUTED_VALUE"""),115.54)</f>
        <v>115.54</v>
      </c>
      <c r="E500" s="8" t="n">
        <f aca="false">IFERROR(__xludf.dummyfunction("""COMPUTED_VALUE"""),118.04)</f>
        <v>118.04</v>
      </c>
      <c r="F500" s="8" t="n">
        <f aca="false">IFERROR(__xludf.dummyfunction("""COMPUTED_VALUE"""),17796625)</f>
        <v>17796625</v>
      </c>
    </row>
    <row r="501" customFormat="false" ht="15.75" hidden="false" customHeight="false" outlineLevel="0" collapsed="false">
      <c r="A501" s="9" t="n">
        <f aca="false">IFERROR(__xludf.dummyfunction("""COMPUTED_VALUE"""),44922.6666666667)</f>
        <v>44922.6666666667</v>
      </c>
      <c r="B501" s="8" t="n">
        <f aca="false">IFERROR(__xludf.dummyfunction("""COMPUTED_VALUE"""),117.93)</f>
        <v>117.93</v>
      </c>
      <c r="C501" s="8" t="n">
        <f aca="false">IFERROR(__xludf.dummyfunction("""COMPUTED_VALUE"""),118.6)</f>
        <v>118.6</v>
      </c>
      <c r="D501" s="8" t="n">
        <f aca="false">IFERROR(__xludf.dummyfunction("""COMPUTED_VALUE"""),116.05)</f>
        <v>116.05</v>
      </c>
      <c r="E501" s="8" t="n">
        <f aca="false">IFERROR(__xludf.dummyfunction("""COMPUTED_VALUE"""),116.88)</f>
        <v>116.88</v>
      </c>
      <c r="F501" s="8" t="n">
        <f aca="false">IFERROR(__xludf.dummyfunction("""COMPUTED_VALUE"""),21392311)</f>
        <v>21392311</v>
      </c>
    </row>
    <row r="502" customFormat="false" ht="15.75" hidden="false" customHeight="false" outlineLevel="0" collapsed="false">
      <c r="A502" s="9" t="n">
        <f aca="false">IFERROR(__xludf.dummyfunction("""COMPUTED_VALUE"""),44923.6666666667)</f>
        <v>44923.6666666667</v>
      </c>
      <c r="B502" s="8" t="n">
        <f aca="false">IFERROR(__xludf.dummyfunction("""COMPUTED_VALUE"""),116.25)</f>
        <v>116.25</v>
      </c>
      <c r="C502" s="8" t="n">
        <f aca="false">IFERROR(__xludf.dummyfunction("""COMPUTED_VALUE"""),118.15)</f>
        <v>118.15</v>
      </c>
      <c r="D502" s="8" t="n">
        <f aca="false">IFERROR(__xludf.dummyfunction("""COMPUTED_VALUE"""),115.51)</f>
        <v>115.51</v>
      </c>
      <c r="E502" s="8" t="n">
        <f aca="false">IFERROR(__xludf.dummyfunction("""COMPUTED_VALUE"""),115.62)</f>
        <v>115.62</v>
      </c>
      <c r="F502" s="8" t="n">
        <f aca="false">IFERROR(__xludf.dummyfunction("""COMPUTED_VALUE"""),19612473)</f>
        <v>19612473</v>
      </c>
    </row>
    <row r="503" customFormat="false" ht="15.75" hidden="false" customHeight="false" outlineLevel="0" collapsed="false">
      <c r="A503" s="9" t="n">
        <f aca="false">IFERROR(__xludf.dummyfunction("""COMPUTED_VALUE"""),44924.6666666667)</f>
        <v>44924.6666666667</v>
      </c>
      <c r="B503" s="8" t="n">
        <f aca="false">IFERROR(__xludf.dummyfunction("""COMPUTED_VALUE"""),116.4)</f>
        <v>116.4</v>
      </c>
      <c r="C503" s="8" t="n">
        <f aca="false">IFERROR(__xludf.dummyfunction("""COMPUTED_VALUE"""),121.03)</f>
        <v>121.03</v>
      </c>
      <c r="D503" s="8" t="n">
        <f aca="false">IFERROR(__xludf.dummyfunction("""COMPUTED_VALUE"""),115.77)</f>
        <v>115.77</v>
      </c>
      <c r="E503" s="8" t="n">
        <f aca="false">IFERROR(__xludf.dummyfunction("""COMPUTED_VALUE"""),120.26)</f>
        <v>120.26</v>
      </c>
      <c r="F503" s="8" t="n">
        <f aca="false">IFERROR(__xludf.dummyfunction("""COMPUTED_VALUE"""),22366192)</f>
        <v>22366192</v>
      </c>
    </row>
    <row r="504" customFormat="false" ht="15.75" hidden="false" customHeight="false" outlineLevel="0" collapsed="false">
      <c r="A504" s="9" t="n">
        <f aca="false">IFERROR(__xludf.dummyfunction("""COMPUTED_VALUE"""),44925.6666666667)</f>
        <v>44925.6666666667</v>
      </c>
      <c r="B504" s="8" t="n">
        <f aca="false">IFERROR(__xludf.dummyfunction("""COMPUTED_VALUE"""),118.16)</f>
        <v>118.16</v>
      </c>
      <c r="C504" s="8" t="n">
        <f aca="false">IFERROR(__xludf.dummyfunction("""COMPUTED_VALUE"""),120.42)</f>
        <v>120.42</v>
      </c>
      <c r="D504" s="8" t="n">
        <f aca="false">IFERROR(__xludf.dummyfunction("""COMPUTED_VALUE"""),117.74)</f>
        <v>117.74</v>
      </c>
      <c r="E504" s="8" t="n">
        <f aca="false">IFERROR(__xludf.dummyfunction("""COMPUTED_VALUE"""),120.34)</f>
        <v>120.34</v>
      </c>
      <c r="F504" s="8" t="n">
        <f aca="false">IFERROR(__xludf.dummyfunction("""COMPUTED_VALUE"""),19583825)</f>
        <v>19583825</v>
      </c>
    </row>
    <row r="505" customFormat="false" ht="15.75" hidden="false" customHeight="false" outlineLevel="0" collapsed="false">
      <c r="A505" s="9" t="n">
        <f aca="false">IFERROR(__xludf.dummyfunction("""COMPUTED_VALUE"""),44929.6666666667)</f>
        <v>44929.6666666667</v>
      </c>
      <c r="B505" s="8" t="n">
        <f aca="false">IFERROR(__xludf.dummyfunction("""COMPUTED_VALUE"""),122.82)</f>
        <v>122.82</v>
      </c>
      <c r="C505" s="8" t="n">
        <f aca="false">IFERROR(__xludf.dummyfunction("""COMPUTED_VALUE"""),126.37)</f>
        <v>126.37</v>
      </c>
      <c r="D505" s="8" t="n">
        <f aca="false">IFERROR(__xludf.dummyfunction("""COMPUTED_VALUE"""),122.28)</f>
        <v>122.28</v>
      </c>
      <c r="E505" s="8" t="n">
        <f aca="false">IFERROR(__xludf.dummyfunction("""COMPUTED_VALUE"""),124.74)</f>
        <v>124.74</v>
      </c>
      <c r="F505" s="8" t="n">
        <f aca="false">IFERROR(__xludf.dummyfunction("""COMPUTED_VALUE"""),35528531)</f>
        <v>35528531</v>
      </c>
    </row>
    <row r="506" customFormat="false" ht="15.75" hidden="false" customHeight="false" outlineLevel="0" collapsed="false">
      <c r="A506" s="9" t="n">
        <f aca="false">IFERROR(__xludf.dummyfunction("""COMPUTED_VALUE"""),44930.6666666667)</f>
        <v>44930.6666666667</v>
      </c>
      <c r="B506" s="8" t="n">
        <f aca="false">IFERROR(__xludf.dummyfunction("""COMPUTED_VALUE"""),127.38)</f>
        <v>127.38</v>
      </c>
      <c r="C506" s="8" t="n">
        <f aca="false">IFERROR(__xludf.dummyfunction("""COMPUTED_VALUE"""),129.05)</f>
        <v>129.05</v>
      </c>
      <c r="D506" s="8" t="n">
        <f aca="false">IFERROR(__xludf.dummyfunction("""COMPUTED_VALUE"""),125.85)</f>
        <v>125.85</v>
      </c>
      <c r="E506" s="8" t="n">
        <f aca="false">IFERROR(__xludf.dummyfunction("""COMPUTED_VALUE"""),127.37)</f>
        <v>127.37</v>
      </c>
      <c r="F506" s="8" t="n">
        <f aca="false">IFERROR(__xludf.dummyfunction("""COMPUTED_VALUE"""),32397094)</f>
        <v>32397094</v>
      </c>
    </row>
    <row r="507" customFormat="false" ht="15.75" hidden="false" customHeight="false" outlineLevel="0" collapsed="false">
      <c r="A507" s="9" t="n">
        <f aca="false">IFERROR(__xludf.dummyfunction("""COMPUTED_VALUE"""),44931.6666666667)</f>
        <v>44931.6666666667</v>
      </c>
      <c r="B507" s="8" t="n">
        <f aca="false">IFERROR(__xludf.dummyfunction("""COMPUTED_VALUE"""),126.13)</f>
        <v>126.13</v>
      </c>
      <c r="C507" s="8" t="n">
        <f aca="false">IFERROR(__xludf.dummyfunction("""COMPUTED_VALUE"""),128.52)</f>
        <v>128.52</v>
      </c>
      <c r="D507" s="8" t="n">
        <f aca="false">IFERROR(__xludf.dummyfunction("""COMPUTED_VALUE"""),124.54)</f>
        <v>124.54</v>
      </c>
      <c r="E507" s="8" t="n">
        <f aca="false">IFERROR(__xludf.dummyfunction("""COMPUTED_VALUE"""),126.94)</f>
        <v>126.94</v>
      </c>
      <c r="F507" s="8" t="n">
        <f aca="false">IFERROR(__xludf.dummyfunction("""COMPUTED_VALUE"""),25447099)</f>
        <v>25447099</v>
      </c>
    </row>
    <row r="508" customFormat="false" ht="15.75" hidden="false" customHeight="false" outlineLevel="0" collapsed="false">
      <c r="A508" s="9" t="n">
        <f aca="false">IFERROR(__xludf.dummyfunction("""COMPUTED_VALUE"""),44932.6666666667)</f>
        <v>44932.6666666667</v>
      </c>
      <c r="B508" s="8" t="n">
        <f aca="false">IFERROR(__xludf.dummyfunction("""COMPUTED_VALUE"""),128.97)</f>
        <v>128.97</v>
      </c>
      <c r="C508" s="8" t="n">
        <f aca="false">IFERROR(__xludf.dummyfunction("""COMPUTED_VALUE"""),130.33)</f>
        <v>130.33</v>
      </c>
      <c r="D508" s="8" t="n">
        <f aca="false">IFERROR(__xludf.dummyfunction("""COMPUTED_VALUE"""),126.04)</f>
        <v>126.04</v>
      </c>
      <c r="E508" s="8" t="n">
        <f aca="false">IFERROR(__xludf.dummyfunction("""COMPUTED_VALUE"""),130.02)</f>
        <v>130.02</v>
      </c>
      <c r="F508" s="8" t="n">
        <f aca="false">IFERROR(__xludf.dummyfunction("""COMPUTED_VALUE"""),27584498)</f>
        <v>27584498</v>
      </c>
    </row>
    <row r="509" customFormat="false" ht="15.75" hidden="false" customHeight="false" outlineLevel="0" collapsed="false">
      <c r="A509" s="9" t="n">
        <f aca="false">IFERROR(__xludf.dummyfunction("""COMPUTED_VALUE"""),44935.6666666667)</f>
        <v>44935.6666666667</v>
      </c>
      <c r="B509" s="8" t="n">
        <f aca="false">IFERROR(__xludf.dummyfunction("""COMPUTED_VALUE"""),131.16)</f>
        <v>131.16</v>
      </c>
      <c r="C509" s="8" t="n">
        <f aca="false">IFERROR(__xludf.dummyfunction("""COMPUTED_VALUE"""),132.95)</f>
        <v>132.95</v>
      </c>
      <c r="D509" s="8" t="n">
        <f aca="false">IFERROR(__xludf.dummyfunction("""COMPUTED_VALUE"""),129.28)</f>
        <v>129.28</v>
      </c>
      <c r="E509" s="8" t="n">
        <f aca="false">IFERROR(__xludf.dummyfunction("""COMPUTED_VALUE"""),129.47)</f>
        <v>129.47</v>
      </c>
      <c r="F509" s="8" t="n">
        <f aca="false">IFERROR(__xludf.dummyfunction("""COMPUTED_VALUE"""),26649145)</f>
        <v>26649145</v>
      </c>
    </row>
    <row r="510" customFormat="false" ht="15.75" hidden="false" customHeight="false" outlineLevel="0" collapsed="false">
      <c r="A510" s="9" t="n">
        <f aca="false">IFERROR(__xludf.dummyfunction("""COMPUTED_VALUE"""),44936.6666666667)</f>
        <v>44936.6666666667</v>
      </c>
      <c r="B510" s="8" t="n">
        <f aca="false">IFERROR(__xludf.dummyfunction("""COMPUTED_VALUE"""),127.27)</f>
        <v>127.27</v>
      </c>
      <c r="C510" s="8" t="n">
        <f aca="false">IFERROR(__xludf.dummyfunction("""COMPUTED_VALUE"""),133.44)</f>
        <v>133.44</v>
      </c>
      <c r="D510" s="8" t="n">
        <f aca="false">IFERROR(__xludf.dummyfunction("""COMPUTED_VALUE"""),127.15)</f>
        <v>127.15</v>
      </c>
      <c r="E510" s="8" t="n">
        <f aca="false">IFERROR(__xludf.dummyfunction("""COMPUTED_VALUE"""),132.99)</f>
        <v>132.99</v>
      </c>
      <c r="F510" s="8" t="n">
        <f aca="false">IFERROR(__xludf.dummyfunction("""COMPUTED_VALUE"""),28684431)</f>
        <v>28684431</v>
      </c>
    </row>
    <row r="511" customFormat="false" ht="15.75" hidden="false" customHeight="false" outlineLevel="0" collapsed="false">
      <c r="A511" s="9" t="n">
        <f aca="false">IFERROR(__xludf.dummyfunction("""COMPUTED_VALUE"""),44937.6666666667)</f>
        <v>44937.6666666667</v>
      </c>
      <c r="B511" s="8" t="n">
        <f aca="false">IFERROR(__xludf.dummyfunction("""COMPUTED_VALUE"""),130.96)</f>
        <v>130.96</v>
      </c>
      <c r="C511" s="8" t="n">
        <f aca="false">IFERROR(__xludf.dummyfunction("""COMPUTED_VALUE"""),133.85)</f>
        <v>133.85</v>
      </c>
      <c r="D511" s="8" t="n">
        <f aca="false">IFERROR(__xludf.dummyfunction("""COMPUTED_VALUE"""),130.34)</f>
        <v>130.34</v>
      </c>
      <c r="E511" s="8" t="n">
        <f aca="false">IFERROR(__xludf.dummyfunction("""COMPUTED_VALUE"""),132.89)</f>
        <v>132.89</v>
      </c>
      <c r="F511" s="8" t="n">
        <f aca="false">IFERROR(__xludf.dummyfunction("""COMPUTED_VALUE"""),25423046)</f>
        <v>25423046</v>
      </c>
    </row>
    <row r="512" customFormat="false" ht="15.75" hidden="false" customHeight="false" outlineLevel="0" collapsed="false">
      <c r="A512" s="9" t="n">
        <f aca="false">IFERROR(__xludf.dummyfunction("""COMPUTED_VALUE"""),44938.6666666667)</f>
        <v>44938.6666666667</v>
      </c>
      <c r="B512" s="8" t="n">
        <f aca="false">IFERROR(__xludf.dummyfunction("""COMPUTED_VALUE"""),133.44)</f>
        <v>133.44</v>
      </c>
      <c r="C512" s="8" t="n">
        <f aca="false">IFERROR(__xludf.dummyfunction("""COMPUTED_VALUE"""),137.68)</f>
        <v>137.68</v>
      </c>
      <c r="D512" s="8" t="n">
        <f aca="false">IFERROR(__xludf.dummyfunction("""COMPUTED_VALUE"""),131.76)</f>
        <v>131.76</v>
      </c>
      <c r="E512" s="8" t="n">
        <f aca="false">IFERROR(__xludf.dummyfunction("""COMPUTED_VALUE"""),136.71)</f>
        <v>136.71</v>
      </c>
      <c r="F512" s="8" t="n">
        <f aca="false">IFERROR(__xludf.dummyfunction("""COMPUTED_VALUE"""),30757732)</f>
        <v>30757732</v>
      </c>
    </row>
    <row r="513" customFormat="false" ht="15.75" hidden="false" customHeight="false" outlineLevel="0" collapsed="false">
      <c r="A513" s="9" t="n">
        <f aca="false">IFERROR(__xludf.dummyfunction("""COMPUTED_VALUE"""),44939.6666666667)</f>
        <v>44939.6666666667</v>
      </c>
      <c r="B513" s="8" t="n">
        <f aca="false">IFERROR(__xludf.dummyfunction("""COMPUTED_VALUE"""),134.97)</f>
        <v>134.97</v>
      </c>
      <c r="C513" s="8" t="n">
        <f aca="false">IFERROR(__xludf.dummyfunction("""COMPUTED_VALUE"""),137.39)</f>
        <v>137.39</v>
      </c>
      <c r="D513" s="8" t="n">
        <f aca="false">IFERROR(__xludf.dummyfunction("""COMPUTED_VALUE"""),134.84)</f>
        <v>134.84</v>
      </c>
      <c r="E513" s="8" t="n">
        <f aca="false">IFERROR(__xludf.dummyfunction("""COMPUTED_VALUE"""),136.98)</f>
        <v>136.98</v>
      </c>
      <c r="F513" s="8" t="n">
        <f aca="false">IFERROR(__xludf.dummyfunction("""COMPUTED_VALUE"""),22423839)</f>
        <v>22423839</v>
      </c>
    </row>
    <row r="514" customFormat="false" ht="15.75" hidden="false" customHeight="false" outlineLevel="0" collapsed="false">
      <c r="A514" s="9" t="n">
        <f aca="false">IFERROR(__xludf.dummyfunction("""COMPUTED_VALUE"""),44943.6666666667)</f>
        <v>44943.6666666667</v>
      </c>
      <c r="B514" s="8" t="n">
        <f aca="false">IFERROR(__xludf.dummyfunction("""COMPUTED_VALUE"""),136.18)</f>
        <v>136.18</v>
      </c>
      <c r="C514" s="8" t="n">
        <f aca="false">IFERROR(__xludf.dummyfunction("""COMPUTED_VALUE"""),136.75)</f>
        <v>136.75</v>
      </c>
      <c r="D514" s="8" t="n">
        <f aca="false">IFERROR(__xludf.dummyfunction("""COMPUTED_VALUE"""),134.25)</f>
        <v>134.25</v>
      </c>
      <c r="E514" s="8" t="n">
        <f aca="false">IFERROR(__xludf.dummyfunction("""COMPUTED_VALUE"""),135.36)</f>
        <v>135.36</v>
      </c>
      <c r="F514" s="8" t="n">
        <f aca="false">IFERROR(__xludf.dummyfunction("""COMPUTED_VALUE"""),21147587)</f>
        <v>21147587</v>
      </c>
    </row>
    <row r="515" customFormat="false" ht="15.75" hidden="false" customHeight="false" outlineLevel="0" collapsed="false">
      <c r="A515" s="9" t="n">
        <f aca="false">IFERROR(__xludf.dummyfunction("""COMPUTED_VALUE"""),44944.6666666667)</f>
        <v>44944.6666666667</v>
      </c>
      <c r="B515" s="8" t="n">
        <f aca="false">IFERROR(__xludf.dummyfunction("""COMPUTED_VALUE"""),135.81)</f>
        <v>135.81</v>
      </c>
      <c r="C515" s="8" t="n">
        <f aca="false">IFERROR(__xludf.dummyfunction("""COMPUTED_VALUE"""),137.25)</f>
        <v>137.25</v>
      </c>
      <c r="D515" s="8" t="n">
        <f aca="false">IFERROR(__xludf.dummyfunction("""COMPUTED_VALUE"""),132.8)</f>
        <v>132.8</v>
      </c>
      <c r="E515" s="8" t="n">
        <f aca="false">IFERROR(__xludf.dummyfunction("""COMPUTED_VALUE"""),133.02)</f>
        <v>133.02</v>
      </c>
      <c r="F515" s="8" t="n">
        <f aca="false">IFERROR(__xludf.dummyfunction("""COMPUTED_VALUE"""),20215486)</f>
        <v>20215486</v>
      </c>
    </row>
    <row r="516" customFormat="false" ht="15.75" hidden="false" customHeight="false" outlineLevel="0" collapsed="false">
      <c r="A516" s="9" t="n">
        <f aca="false">IFERROR(__xludf.dummyfunction("""COMPUTED_VALUE"""),44945.6666666667)</f>
        <v>44945.6666666667</v>
      </c>
      <c r="B516" s="8" t="n">
        <f aca="false">IFERROR(__xludf.dummyfunction("""COMPUTED_VALUE"""),132.49)</f>
        <v>132.49</v>
      </c>
      <c r="C516" s="8" t="n">
        <f aca="false">IFERROR(__xludf.dummyfunction("""COMPUTED_VALUE"""),137.45)</f>
        <v>137.45</v>
      </c>
      <c r="D516" s="8" t="n">
        <f aca="false">IFERROR(__xludf.dummyfunction("""COMPUTED_VALUE"""),132.14)</f>
        <v>132.14</v>
      </c>
      <c r="E516" s="8" t="n">
        <f aca="false">IFERROR(__xludf.dummyfunction("""COMPUTED_VALUE"""),136.15)</f>
        <v>136.15</v>
      </c>
      <c r="F516" s="8" t="n">
        <f aca="false">IFERROR(__xludf.dummyfunction("""COMPUTED_VALUE"""),28625232)</f>
        <v>28625232</v>
      </c>
    </row>
    <row r="517" customFormat="false" ht="15.75" hidden="false" customHeight="false" outlineLevel="0" collapsed="false">
      <c r="A517" s="9" t="n">
        <f aca="false">IFERROR(__xludf.dummyfunction("""COMPUTED_VALUE"""),44946.6666666667)</f>
        <v>44946.6666666667</v>
      </c>
      <c r="B517" s="8" t="n">
        <f aca="false">IFERROR(__xludf.dummyfunction("""COMPUTED_VALUE"""),135.89)</f>
        <v>135.89</v>
      </c>
      <c r="C517" s="8" t="n">
        <f aca="false">IFERROR(__xludf.dummyfunction("""COMPUTED_VALUE"""),139.94)</f>
        <v>139.94</v>
      </c>
      <c r="D517" s="8" t="n">
        <f aca="false">IFERROR(__xludf.dummyfunction("""COMPUTED_VALUE"""),134.61)</f>
        <v>134.61</v>
      </c>
      <c r="E517" s="8" t="n">
        <f aca="false">IFERROR(__xludf.dummyfunction("""COMPUTED_VALUE"""),139.37)</f>
        <v>139.37</v>
      </c>
      <c r="F517" s="8" t="n">
        <f aca="false">IFERROR(__xludf.dummyfunction("""COMPUTED_VALUE"""),28688630)</f>
        <v>28688630</v>
      </c>
    </row>
    <row r="518" customFormat="false" ht="15.75" hidden="false" customHeight="false" outlineLevel="0" collapsed="false">
      <c r="A518" s="9" t="n">
        <f aca="false">IFERROR(__xludf.dummyfunction("""COMPUTED_VALUE"""),44949.6666666667)</f>
        <v>44949.6666666667</v>
      </c>
      <c r="B518" s="8" t="n">
        <f aca="false">IFERROR(__xludf.dummyfunction("""COMPUTED_VALUE"""),139.29)</f>
        <v>139.29</v>
      </c>
      <c r="C518" s="8" t="n">
        <f aca="false">IFERROR(__xludf.dummyfunction("""COMPUTED_VALUE"""),143.76)</f>
        <v>143.76</v>
      </c>
      <c r="D518" s="8" t="n">
        <f aca="false">IFERROR(__xludf.dummyfunction("""COMPUTED_VALUE"""),138.66)</f>
        <v>138.66</v>
      </c>
      <c r="E518" s="8" t="n">
        <f aca="false">IFERROR(__xludf.dummyfunction("""COMPUTED_VALUE"""),143.27)</f>
        <v>143.27</v>
      </c>
      <c r="F518" s="8" t="n">
        <f aca="false">IFERROR(__xludf.dummyfunction("""COMPUTED_VALUE"""),27470093)</f>
        <v>27470093</v>
      </c>
    </row>
    <row r="519" customFormat="false" ht="15.75" hidden="false" customHeight="false" outlineLevel="0" collapsed="false">
      <c r="A519" s="9" t="n">
        <f aca="false">IFERROR(__xludf.dummyfunction("""COMPUTED_VALUE"""),44950.6666666667)</f>
        <v>44950.6666666667</v>
      </c>
      <c r="B519" s="8" t="n">
        <f aca="false">IFERROR(__xludf.dummyfunction("""COMPUTED_VALUE"""),141.69)</f>
        <v>141.69</v>
      </c>
      <c r="C519" s="8" t="n">
        <f aca="false">IFERROR(__xludf.dummyfunction("""COMPUTED_VALUE"""),145)</f>
        <v>145</v>
      </c>
      <c r="D519" s="8" t="n">
        <f aca="false">IFERROR(__xludf.dummyfunction("""COMPUTED_VALUE"""),141.36)</f>
        <v>141.36</v>
      </c>
      <c r="E519" s="8" t="n">
        <f aca="false">IFERROR(__xludf.dummyfunction("""COMPUTED_VALUE"""),143.14)</f>
        <v>143.14</v>
      </c>
      <c r="F519" s="8" t="n">
        <f aca="false">IFERROR(__xludf.dummyfunction("""COMPUTED_VALUE"""),21970190)</f>
        <v>21970190</v>
      </c>
    </row>
    <row r="520" customFormat="false" ht="15.75" hidden="false" customHeight="false" outlineLevel="0" collapsed="false">
      <c r="A520" s="9" t="n">
        <f aca="false">IFERROR(__xludf.dummyfunction("""COMPUTED_VALUE"""),44951.6666666667)</f>
        <v>44951.6666666667</v>
      </c>
      <c r="B520" s="8" t="n">
        <f aca="false">IFERROR(__xludf.dummyfunction("""COMPUTED_VALUE"""),141.22)</f>
        <v>141.22</v>
      </c>
      <c r="C520" s="8" t="n">
        <f aca="false">IFERROR(__xludf.dummyfunction("""COMPUTED_VALUE"""),143.17)</f>
        <v>143.17</v>
      </c>
      <c r="D520" s="8" t="n">
        <f aca="false">IFERROR(__xludf.dummyfunction("""COMPUTED_VALUE"""),140.31)</f>
        <v>140.31</v>
      </c>
      <c r="E520" s="8" t="n">
        <f aca="false">IFERROR(__xludf.dummyfunction("""COMPUTED_VALUE"""),141.5)</f>
        <v>141.5</v>
      </c>
      <c r="F520" s="8" t="n">
        <f aca="false">IFERROR(__xludf.dummyfunction("""COMPUTED_VALUE"""),26622021)</f>
        <v>26622021</v>
      </c>
    </row>
    <row r="521" customFormat="false" ht="15.75" hidden="false" customHeight="false" outlineLevel="0" collapsed="false">
      <c r="A521" s="9" t="n">
        <f aca="false">IFERROR(__xludf.dummyfunction("""COMPUTED_VALUE"""),44952.6666666667)</f>
        <v>44952.6666666667</v>
      </c>
      <c r="B521" s="8" t="n">
        <f aca="false">IFERROR(__xludf.dummyfunction("""COMPUTED_VALUE"""),144.4)</f>
        <v>144.4</v>
      </c>
      <c r="C521" s="8" t="n">
        <f aca="false">IFERROR(__xludf.dummyfunction("""COMPUTED_VALUE"""),147.51)</f>
        <v>147.51</v>
      </c>
      <c r="D521" s="8" t="n">
        <f aca="false">IFERROR(__xludf.dummyfunction("""COMPUTED_VALUE"""),143.3)</f>
        <v>143.3</v>
      </c>
      <c r="E521" s="8" t="n">
        <f aca="false">IFERROR(__xludf.dummyfunction("""COMPUTED_VALUE"""),147.3)</f>
        <v>147.3</v>
      </c>
      <c r="F521" s="8" t="n">
        <f aca="false">IFERROR(__xludf.dummyfunction("""COMPUTED_VALUE"""),25482084)</f>
        <v>25482084</v>
      </c>
    </row>
    <row r="522" customFormat="false" ht="15.75" hidden="false" customHeight="false" outlineLevel="0" collapsed="false">
      <c r="A522" s="9" t="n">
        <f aca="false">IFERROR(__xludf.dummyfunction("""COMPUTED_VALUE"""),44953.6666666667)</f>
        <v>44953.6666666667</v>
      </c>
      <c r="B522" s="8" t="n">
        <f aca="false">IFERROR(__xludf.dummyfunction("""COMPUTED_VALUE"""),148.24)</f>
        <v>148.24</v>
      </c>
      <c r="C522" s="8" t="n">
        <f aca="false">IFERROR(__xludf.dummyfunction("""COMPUTED_VALUE"""),153.19)</f>
        <v>153.19</v>
      </c>
      <c r="D522" s="8" t="n">
        <f aca="false">IFERROR(__xludf.dummyfunction("""COMPUTED_VALUE"""),147.39)</f>
        <v>147.39</v>
      </c>
      <c r="E522" s="8" t="n">
        <f aca="false">IFERROR(__xludf.dummyfunction("""COMPUTED_VALUE"""),151.74)</f>
        <v>151.74</v>
      </c>
      <c r="F522" s="8" t="n">
        <f aca="false">IFERROR(__xludf.dummyfunction("""COMPUTED_VALUE"""),35771865)</f>
        <v>35771865</v>
      </c>
    </row>
    <row r="523" customFormat="false" ht="15.75" hidden="false" customHeight="false" outlineLevel="0" collapsed="false">
      <c r="A523" s="9" t="n">
        <f aca="false">IFERROR(__xludf.dummyfunction("""COMPUTED_VALUE"""),44956.6666666667)</f>
        <v>44956.6666666667</v>
      </c>
      <c r="B523" s="8" t="n">
        <f aca="false">IFERROR(__xludf.dummyfunction("""COMPUTED_VALUE"""),149.41)</f>
        <v>149.41</v>
      </c>
      <c r="C523" s="8" t="n">
        <f aca="false">IFERROR(__xludf.dummyfunction("""COMPUTED_VALUE"""),151.12)</f>
        <v>151.12</v>
      </c>
      <c r="D523" s="8" t="n">
        <f aca="false">IFERROR(__xludf.dummyfunction("""COMPUTED_VALUE"""),146.95)</f>
        <v>146.95</v>
      </c>
      <c r="E523" s="8" t="n">
        <f aca="false">IFERROR(__xludf.dummyfunction("""COMPUTED_VALUE"""),147.06)</f>
        <v>147.06</v>
      </c>
      <c r="F523" s="8" t="n">
        <f aca="false">IFERROR(__xludf.dummyfunction("""COMPUTED_VALUE"""),28040100)</f>
        <v>28040100</v>
      </c>
    </row>
    <row r="524" customFormat="false" ht="15.75" hidden="false" customHeight="false" outlineLevel="0" collapsed="false">
      <c r="A524" s="9" t="n">
        <f aca="false">IFERROR(__xludf.dummyfunction("""COMPUTED_VALUE"""),44957.6666666667)</f>
        <v>44957.6666666667</v>
      </c>
      <c r="B524" s="8" t="n">
        <f aca="false">IFERROR(__xludf.dummyfunction("""COMPUTED_VALUE"""),147.95)</f>
        <v>147.95</v>
      </c>
      <c r="C524" s="8" t="n">
        <f aca="false">IFERROR(__xludf.dummyfunction("""COMPUTED_VALUE"""),149.88)</f>
        <v>149.88</v>
      </c>
      <c r="D524" s="8" t="n">
        <f aca="false">IFERROR(__xludf.dummyfunction("""COMPUTED_VALUE"""),147.52)</f>
        <v>147.52</v>
      </c>
      <c r="E524" s="8" t="n">
        <f aca="false">IFERROR(__xludf.dummyfunction("""COMPUTED_VALUE"""),148.97)</f>
        <v>148.97</v>
      </c>
      <c r="F524" s="8" t="n">
        <f aca="false">IFERROR(__xludf.dummyfunction("""COMPUTED_VALUE"""),29842109)</f>
        <v>29842109</v>
      </c>
    </row>
    <row r="525" customFormat="false" ht="15.75" hidden="false" customHeight="false" outlineLevel="0" collapsed="false">
      <c r="A525" s="9" t="n">
        <f aca="false">IFERROR(__xludf.dummyfunction("""COMPUTED_VALUE"""),44958.6666666667)</f>
        <v>44958.6666666667</v>
      </c>
      <c r="B525" s="8" t="n">
        <f aca="false">IFERROR(__xludf.dummyfunction("""COMPUTED_VALUE"""),148.03)</f>
        <v>148.03</v>
      </c>
      <c r="C525" s="8" t="n">
        <f aca="false">IFERROR(__xludf.dummyfunction("""COMPUTED_VALUE"""),153.58)</f>
        <v>153.58</v>
      </c>
      <c r="D525" s="8" t="n">
        <f aca="false">IFERROR(__xludf.dummyfunction("""COMPUTED_VALUE"""),147.06)</f>
        <v>147.06</v>
      </c>
      <c r="E525" s="8" t="n">
        <f aca="false">IFERROR(__xludf.dummyfunction("""COMPUTED_VALUE"""),153.12)</f>
        <v>153.12</v>
      </c>
      <c r="F525" s="8" t="n">
        <f aca="false">IFERROR(__xludf.dummyfunction("""COMPUTED_VALUE"""),55661017)</f>
        <v>55661017</v>
      </c>
    </row>
    <row r="526" customFormat="false" ht="15.75" hidden="false" customHeight="false" outlineLevel="0" collapsed="false">
      <c r="A526" s="9" t="n">
        <f aca="false">IFERROR(__xludf.dummyfunction("""COMPUTED_VALUE"""),44959.6666666667)</f>
        <v>44959.6666666667</v>
      </c>
      <c r="B526" s="8" t="n">
        <f aca="false">IFERROR(__xludf.dummyfunction("""COMPUTED_VALUE"""),183.38)</f>
        <v>183.38</v>
      </c>
      <c r="C526" s="8" t="n">
        <f aca="false">IFERROR(__xludf.dummyfunction("""COMPUTED_VALUE"""),197.16)</f>
        <v>197.16</v>
      </c>
      <c r="D526" s="8" t="n">
        <f aca="false">IFERROR(__xludf.dummyfunction("""COMPUTED_VALUE"""),180.16)</f>
        <v>180.16</v>
      </c>
      <c r="E526" s="8" t="n">
        <f aca="false">IFERROR(__xludf.dummyfunction("""COMPUTED_VALUE"""),188.77)</f>
        <v>188.77</v>
      </c>
      <c r="F526" s="8" t="n">
        <f aca="false">IFERROR(__xludf.dummyfunction("""COMPUTED_VALUE"""),150475687)</f>
        <v>150475687</v>
      </c>
    </row>
    <row r="527" customFormat="false" ht="15.75" hidden="false" customHeight="false" outlineLevel="0" collapsed="false">
      <c r="A527" s="9" t="n">
        <f aca="false">IFERROR(__xludf.dummyfunction("""COMPUTED_VALUE"""),44960.6666666667)</f>
        <v>44960.6666666667</v>
      </c>
      <c r="B527" s="8" t="n">
        <f aca="false">IFERROR(__xludf.dummyfunction("""COMPUTED_VALUE"""),183.47)</f>
        <v>183.47</v>
      </c>
      <c r="C527" s="8" t="n">
        <f aca="false">IFERROR(__xludf.dummyfunction("""COMPUTED_VALUE"""),196.77)</f>
        <v>196.77</v>
      </c>
      <c r="D527" s="8" t="n">
        <f aca="false">IFERROR(__xludf.dummyfunction("""COMPUTED_VALUE"""),182.89)</f>
        <v>182.89</v>
      </c>
      <c r="E527" s="8" t="n">
        <f aca="false">IFERROR(__xludf.dummyfunction("""COMPUTED_VALUE"""),186.53)</f>
        <v>186.53</v>
      </c>
      <c r="F527" s="8" t="n">
        <f aca="false">IFERROR(__xludf.dummyfunction("""COMPUTED_VALUE"""),76809701)</f>
        <v>76809701</v>
      </c>
    </row>
    <row r="528" customFormat="false" ht="15.75" hidden="false" customHeight="false" outlineLevel="0" collapsed="false">
      <c r="A528" s="9" t="n">
        <f aca="false">IFERROR(__xludf.dummyfunction("""COMPUTED_VALUE"""),44963.6666666667)</f>
        <v>44963.6666666667</v>
      </c>
      <c r="B528" s="8" t="n">
        <f aca="false">IFERROR(__xludf.dummyfunction("""COMPUTED_VALUE"""),186.53)</f>
        <v>186.53</v>
      </c>
      <c r="C528" s="8" t="n">
        <f aca="false">IFERROR(__xludf.dummyfunction("""COMPUTED_VALUE"""),190.7)</f>
        <v>190.7</v>
      </c>
      <c r="D528" s="8" t="n">
        <f aca="false">IFERROR(__xludf.dummyfunction("""COMPUTED_VALUE"""),185.52)</f>
        <v>185.52</v>
      </c>
      <c r="E528" s="8" t="n">
        <f aca="false">IFERROR(__xludf.dummyfunction("""COMPUTED_VALUE"""),186.06)</f>
        <v>186.06</v>
      </c>
      <c r="F528" s="8" t="n">
        <f aca="false">IFERROR(__xludf.dummyfunction("""COMPUTED_VALUE"""),42483811)</f>
        <v>42483811</v>
      </c>
    </row>
    <row r="529" customFormat="false" ht="15.75" hidden="false" customHeight="false" outlineLevel="0" collapsed="false">
      <c r="A529" s="9" t="n">
        <f aca="false">IFERROR(__xludf.dummyfunction("""COMPUTED_VALUE"""),44964.6666666667)</f>
        <v>44964.6666666667</v>
      </c>
      <c r="B529" s="8" t="n">
        <f aca="false">IFERROR(__xludf.dummyfunction("""COMPUTED_VALUE"""),185.58)</f>
        <v>185.58</v>
      </c>
      <c r="C529" s="8" t="n">
        <f aca="false">IFERROR(__xludf.dummyfunction("""COMPUTED_VALUE"""),193.78)</f>
        <v>193.78</v>
      </c>
      <c r="D529" s="8" t="n">
        <f aca="false">IFERROR(__xludf.dummyfunction("""COMPUTED_VALUE"""),184.4)</f>
        <v>184.4</v>
      </c>
      <c r="E529" s="8" t="n">
        <f aca="false">IFERROR(__xludf.dummyfunction("""COMPUTED_VALUE"""),191.62)</f>
        <v>191.62</v>
      </c>
      <c r="F529" s="8" t="n">
        <f aca="false">IFERROR(__xludf.dummyfunction("""COMPUTED_VALUE"""),47080662)</f>
        <v>47080662</v>
      </c>
    </row>
    <row r="530" customFormat="false" ht="15.75" hidden="false" customHeight="false" outlineLevel="0" collapsed="false">
      <c r="A530" s="9" t="n">
        <f aca="false">IFERROR(__xludf.dummyfunction("""COMPUTED_VALUE"""),44965.6666666667)</f>
        <v>44965.6666666667</v>
      </c>
      <c r="B530" s="8" t="n">
        <f aca="false">IFERROR(__xludf.dummyfunction("""COMPUTED_VALUE"""),190)</f>
        <v>190</v>
      </c>
      <c r="C530" s="8" t="n">
        <f aca="false">IFERROR(__xludf.dummyfunction("""COMPUTED_VALUE"""),190.83)</f>
        <v>190.83</v>
      </c>
      <c r="D530" s="8" t="n">
        <f aca="false">IFERROR(__xludf.dummyfunction("""COMPUTED_VALUE"""),182.92)</f>
        <v>182.92</v>
      </c>
      <c r="E530" s="8" t="n">
        <f aca="false">IFERROR(__xludf.dummyfunction("""COMPUTED_VALUE"""),183.43)</f>
        <v>183.43</v>
      </c>
      <c r="F530" s="8" t="n">
        <f aca="false">IFERROR(__xludf.dummyfunction("""COMPUTED_VALUE"""),36139074)</f>
        <v>36139074</v>
      </c>
    </row>
    <row r="531" customFormat="false" ht="15.75" hidden="false" customHeight="false" outlineLevel="0" collapsed="false">
      <c r="A531" s="9" t="n">
        <f aca="false">IFERROR(__xludf.dummyfunction("""COMPUTED_VALUE"""),44966.6666666667)</f>
        <v>44966.6666666667</v>
      </c>
      <c r="B531" s="8" t="n">
        <f aca="false">IFERROR(__xludf.dummyfunction("""COMPUTED_VALUE"""),186.13)</f>
        <v>186.13</v>
      </c>
      <c r="C531" s="8" t="n">
        <f aca="false">IFERROR(__xludf.dummyfunction("""COMPUTED_VALUE"""),186.65)</f>
        <v>186.65</v>
      </c>
      <c r="D531" s="8" t="n">
        <f aca="false">IFERROR(__xludf.dummyfunction("""COMPUTED_VALUE"""),177.27)</f>
        <v>177.27</v>
      </c>
      <c r="E531" s="8" t="n">
        <f aca="false">IFERROR(__xludf.dummyfunction("""COMPUTED_VALUE"""),177.92)</f>
        <v>177.92</v>
      </c>
      <c r="F531" s="8" t="n">
        <f aca="false">IFERROR(__xludf.dummyfunction("""COMPUTED_VALUE"""),37118811)</f>
        <v>37118811</v>
      </c>
    </row>
    <row r="532" customFormat="false" ht="15.75" hidden="false" customHeight="false" outlineLevel="0" collapsed="false">
      <c r="A532" s="9" t="n">
        <f aca="false">IFERROR(__xludf.dummyfunction("""COMPUTED_VALUE"""),44967.6666666667)</f>
        <v>44967.6666666667</v>
      </c>
      <c r="B532" s="8" t="n">
        <f aca="false">IFERROR(__xludf.dummyfunction("""COMPUTED_VALUE"""),176.35)</f>
        <v>176.35</v>
      </c>
      <c r="C532" s="8" t="n">
        <f aca="false">IFERROR(__xludf.dummyfunction("""COMPUTED_VALUE"""),178.89)</f>
        <v>178.89</v>
      </c>
      <c r="D532" s="8" t="n">
        <f aca="false">IFERROR(__xludf.dummyfunction("""COMPUTED_VALUE"""),173.35)</f>
        <v>173.35</v>
      </c>
      <c r="E532" s="8" t="n">
        <f aca="false">IFERROR(__xludf.dummyfunction("""COMPUTED_VALUE"""),174.15)</f>
        <v>174.15</v>
      </c>
      <c r="F532" s="8" t="n">
        <f aca="false">IFERROR(__xludf.dummyfunction("""COMPUTED_VALUE"""),33433567)</f>
        <v>33433567</v>
      </c>
    </row>
    <row r="533" customFormat="false" ht="15.75" hidden="false" customHeight="false" outlineLevel="0" collapsed="false">
      <c r="A533" s="9" t="n">
        <f aca="false">IFERROR(__xludf.dummyfunction("""COMPUTED_VALUE"""),44970.6666666667)</f>
        <v>44970.6666666667</v>
      </c>
      <c r="B533" s="8" t="n">
        <f aca="false">IFERROR(__xludf.dummyfunction("""COMPUTED_VALUE"""),178.22)</f>
        <v>178.22</v>
      </c>
      <c r="C533" s="8" t="n">
        <f aca="false">IFERROR(__xludf.dummyfunction("""COMPUTED_VALUE"""),181)</f>
        <v>181</v>
      </c>
      <c r="D533" s="8" t="n">
        <f aca="false">IFERROR(__xludf.dummyfunction("""COMPUTED_VALUE"""),175.82)</f>
        <v>175.82</v>
      </c>
      <c r="E533" s="8" t="n">
        <f aca="false">IFERROR(__xludf.dummyfunction("""COMPUTED_VALUE"""),179.43)</f>
        <v>179.43</v>
      </c>
      <c r="F533" s="8" t="n">
        <f aca="false">IFERROR(__xludf.dummyfunction("""COMPUTED_VALUE"""),31463223)</f>
        <v>31463223</v>
      </c>
    </row>
    <row r="534" customFormat="false" ht="15.75" hidden="false" customHeight="false" outlineLevel="0" collapsed="false">
      <c r="A534" s="9" t="n">
        <f aca="false">IFERROR(__xludf.dummyfunction("""COMPUTED_VALUE"""),44971.6666666667)</f>
        <v>44971.6666666667</v>
      </c>
      <c r="B534" s="8" t="n">
        <f aca="false">IFERROR(__xludf.dummyfunction("""COMPUTED_VALUE"""),177.16)</f>
        <v>177.16</v>
      </c>
      <c r="C534" s="8" t="n">
        <f aca="false">IFERROR(__xludf.dummyfunction("""COMPUTED_VALUE"""),181.51)</f>
        <v>181.51</v>
      </c>
      <c r="D534" s="8" t="n">
        <f aca="false">IFERROR(__xludf.dummyfunction("""COMPUTED_VALUE"""),175.88)</f>
        <v>175.88</v>
      </c>
      <c r="E534" s="8" t="n">
        <f aca="false">IFERROR(__xludf.dummyfunction("""COMPUTED_VALUE"""),179.48)</f>
        <v>179.48</v>
      </c>
      <c r="F534" s="8" t="n">
        <f aca="false">IFERROR(__xludf.dummyfunction("""COMPUTED_VALUE"""),24034631)</f>
        <v>24034631</v>
      </c>
    </row>
    <row r="535" customFormat="false" ht="15.75" hidden="false" customHeight="false" outlineLevel="0" collapsed="false">
      <c r="A535" s="9" t="n">
        <f aca="false">IFERROR(__xludf.dummyfunction("""COMPUTED_VALUE"""),44972.6666666667)</f>
        <v>44972.6666666667</v>
      </c>
      <c r="B535" s="8" t="n">
        <f aca="false">IFERROR(__xludf.dummyfunction("""COMPUTED_VALUE"""),176.42)</f>
        <v>176.42</v>
      </c>
      <c r="C535" s="8" t="n">
        <f aca="false">IFERROR(__xludf.dummyfunction("""COMPUTED_VALUE"""),178.19)</f>
        <v>178.19</v>
      </c>
      <c r="D535" s="8" t="n">
        <f aca="false">IFERROR(__xludf.dummyfunction("""COMPUTED_VALUE"""),175.33)</f>
        <v>175.33</v>
      </c>
      <c r="E535" s="8" t="n">
        <f aca="false">IFERROR(__xludf.dummyfunction("""COMPUTED_VALUE"""),177.16)</f>
        <v>177.16</v>
      </c>
      <c r="F535" s="8" t="n">
        <f aca="false">IFERROR(__xludf.dummyfunction("""COMPUTED_VALUE"""),25337966)</f>
        <v>25337966</v>
      </c>
    </row>
    <row r="536" customFormat="false" ht="15.75" hidden="false" customHeight="false" outlineLevel="0" collapsed="false">
      <c r="A536" s="9" t="n">
        <f aca="false">IFERROR(__xludf.dummyfunction("""COMPUTED_VALUE"""),44973.6666666667)</f>
        <v>44973.6666666667</v>
      </c>
      <c r="B536" s="8" t="n">
        <f aca="false">IFERROR(__xludf.dummyfunction("""COMPUTED_VALUE"""),172.75)</f>
        <v>172.75</v>
      </c>
      <c r="C536" s="8" t="n">
        <f aca="false">IFERROR(__xludf.dummyfunction("""COMPUTED_VALUE"""),175.85)</f>
        <v>175.85</v>
      </c>
      <c r="D536" s="8" t="n">
        <f aca="false">IFERROR(__xludf.dummyfunction("""COMPUTED_VALUE"""),171.79)</f>
        <v>171.79</v>
      </c>
      <c r="E536" s="8" t="n">
        <f aca="false">IFERROR(__xludf.dummyfunction("""COMPUTED_VALUE"""),172.44)</f>
        <v>172.44</v>
      </c>
      <c r="F536" s="8" t="n">
        <f aca="false">IFERROR(__xludf.dummyfunction("""COMPUTED_VALUE"""),25827473)</f>
        <v>25827473</v>
      </c>
    </row>
    <row r="537" customFormat="false" ht="15.75" hidden="false" customHeight="false" outlineLevel="0" collapsed="false">
      <c r="A537" s="9" t="n">
        <f aca="false">IFERROR(__xludf.dummyfunction("""COMPUTED_VALUE"""),44974.6666666667)</f>
        <v>44974.6666666667</v>
      </c>
      <c r="B537" s="8" t="n">
        <f aca="false">IFERROR(__xludf.dummyfunction("""COMPUTED_VALUE"""),170.22)</f>
        <v>170.22</v>
      </c>
      <c r="C537" s="8" t="n">
        <f aca="false">IFERROR(__xludf.dummyfunction("""COMPUTED_VALUE"""),173.18)</f>
        <v>173.18</v>
      </c>
      <c r="D537" s="8" t="n">
        <f aca="false">IFERROR(__xludf.dummyfunction("""COMPUTED_VALUE"""),169.7)</f>
        <v>169.7</v>
      </c>
      <c r="E537" s="8" t="n">
        <f aca="false">IFERROR(__xludf.dummyfunction("""COMPUTED_VALUE"""),172.88)</f>
        <v>172.88</v>
      </c>
      <c r="F537" s="8" t="n">
        <f aca="false">IFERROR(__xludf.dummyfunction("""COMPUTED_VALUE"""),24171260)</f>
        <v>24171260</v>
      </c>
    </row>
    <row r="538" customFormat="false" ht="15.75" hidden="false" customHeight="false" outlineLevel="0" collapsed="false">
      <c r="A538" s="9" t="n">
        <f aca="false">IFERROR(__xludf.dummyfunction("""COMPUTED_VALUE"""),44978.6666666667)</f>
        <v>44978.6666666667</v>
      </c>
      <c r="B538" s="8" t="n">
        <f aca="false">IFERROR(__xludf.dummyfunction("""COMPUTED_VALUE"""),174.31)</f>
        <v>174.31</v>
      </c>
      <c r="C538" s="8" t="n">
        <f aca="false">IFERROR(__xludf.dummyfunction("""COMPUTED_VALUE"""),178.17)</f>
        <v>178.17</v>
      </c>
      <c r="D538" s="8" t="n">
        <f aca="false">IFERROR(__xludf.dummyfunction("""COMPUTED_VALUE"""),171.88)</f>
        <v>171.88</v>
      </c>
      <c r="E538" s="8" t="n">
        <f aca="false">IFERROR(__xludf.dummyfunction("""COMPUTED_VALUE"""),172.08)</f>
        <v>172.08</v>
      </c>
      <c r="F538" s="8" t="n">
        <f aca="false">IFERROR(__xludf.dummyfunction("""COMPUTED_VALUE"""),34592582)</f>
        <v>34592582</v>
      </c>
    </row>
    <row r="539" customFormat="false" ht="15.75" hidden="false" customHeight="false" outlineLevel="0" collapsed="false">
      <c r="A539" s="9" t="n">
        <f aca="false">IFERROR(__xludf.dummyfunction("""COMPUTED_VALUE"""),44979.6666666667)</f>
        <v>44979.6666666667</v>
      </c>
      <c r="B539" s="8" t="n">
        <f aca="false">IFERROR(__xludf.dummyfunction("""COMPUTED_VALUE"""),171.07)</f>
        <v>171.07</v>
      </c>
      <c r="C539" s="8" t="n">
        <f aca="false">IFERROR(__xludf.dummyfunction("""COMPUTED_VALUE"""),172.76)</f>
        <v>172.76</v>
      </c>
      <c r="D539" s="8" t="n">
        <f aca="false">IFERROR(__xludf.dummyfunction("""COMPUTED_VALUE"""),169.69)</f>
        <v>169.69</v>
      </c>
      <c r="E539" s="8" t="n">
        <f aca="false">IFERROR(__xludf.dummyfunction("""COMPUTED_VALUE"""),171.12)</f>
        <v>171.12</v>
      </c>
      <c r="F539" s="8" t="n">
        <f aca="false">IFERROR(__xludf.dummyfunction("""COMPUTED_VALUE"""),22433158)</f>
        <v>22433158</v>
      </c>
    </row>
    <row r="540" customFormat="false" ht="15.75" hidden="false" customHeight="false" outlineLevel="0" collapsed="false">
      <c r="A540" s="9" t="n">
        <f aca="false">IFERROR(__xludf.dummyfunction("""COMPUTED_VALUE"""),44980.6666666667)</f>
        <v>44980.6666666667</v>
      </c>
      <c r="B540" s="8" t="n">
        <f aca="false">IFERROR(__xludf.dummyfunction("""COMPUTED_VALUE"""),172)</f>
        <v>172</v>
      </c>
      <c r="C540" s="8" t="n">
        <f aca="false">IFERROR(__xludf.dummyfunction("""COMPUTED_VALUE"""),173.69)</f>
        <v>173.69</v>
      </c>
      <c r="D540" s="8" t="n">
        <f aca="false">IFERROR(__xludf.dummyfunction("""COMPUTED_VALUE"""),169.38)</f>
        <v>169.38</v>
      </c>
      <c r="E540" s="8" t="n">
        <f aca="false">IFERROR(__xludf.dummyfunction("""COMPUTED_VALUE"""),172.04)</f>
        <v>172.04</v>
      </c>
      <c r="F540" s="8" t="n">
        <f aca="false">IFERROR(__xludf.dummyfunction("""COMPUTED_VALUE"""),20017779)</f>
        <v>20017779</v>
      </c>
    </row>
    <row r="541" customFormat="false" ht="15.75" hidden="false" customHeight="false" outlineLevel="0" collapsed="false">
      <c r="A541" s="9" t="n">
        <f aca="false">IFERROR(__xludf.dummyfunction("""COMPUTED_VALUE"""),44981.6666666667)</f>
        <v>44981.6666666667</v>
      </c>
      <c r="B541" s="8" t="n">
        <f aca="false">IFERROR(__xludf.dummyfunction("""COMPUTED_VALUE"""),168.64)</f>
        <v>168.64</v>
      </c>
      <c r="C541" s="8" t="n">
        <f aca="false">IFERROR(__xludf.dummyfunction("""COMPUTED_VALUE"""),170.72)</f>
        <v>170.72</v>
      </c>
      <c r="D541" s="8" t="n">
        <f aca="false">IFERROR(__xludf.dummyfunction("""COMPUTED_VALUE"""),167.66)</f>
        <v>167.66</v>
      </c>
      <c r="E541" s="8" t="n">
        <f aca="false">IFERROR(__xludf.dummyfunction("""COMPUTED_VALUE"""),170.39)</f>
        <v>170.39</v>
      </c>
      <c r="F541" s="8" t="n">
        <f aca="false">IFERROR(__xludf.dummyfunction("""COMPUTED_VALUE"""),19791334)</f>
        <v>19791334</v>
      </c>
    </row>
    <row r="542" customFormat="false" ht="15.75" hidden="false" customHeight="false" outlineLevel="0" collapsed="false">
      <c r="A542" s="9" t="n">
        <f aca="false">IFERROR(__xludf.dummyfunction("""COMPUTED_VALUE"""),44984.6666666667)</f>
        <v>44984.6666666667</v>
      </c>
      <c r="B542" s="8" t="n">
        <f aca="false">IFERROR(__xludf.dummyfunction("""COMPUTED_VALUE"""),171.88)</f>
        <v>171.88</v>
      </c>
      <c r="C542" s="8" t="n">
        <f aca="false">IFERROR(__xludf.dummyfunction("""COMPUTED_VALUE"""),173.12)</f>
        <v>173.12</v>
      </c>
      <c r="D542" s="8" t="n">
        <f aca="false">IFERROR(__xludf.dummyfunction("""COMPUTED_VALUE"""),169.06)</f>
        <v>169.06</v>
      </c>
      <c r="E542" s="8" t="n">
        <f aca="false">IFERROR(__xludf.dummyfunction("""COMPUTED_VALUE"""),169.54)</f>
        <v>169.54</v>
      </c>
      <c r="F542" s="8" t="n">
        <f aca="false">IFERROR(__xludf.dummyfunction("""COMPUTED_VALUE"""),19277002)</f>
        <v>19277002</v>
      </c>
    </row>
    <row r="543" customFormat="false" ht="15.75" hidden="false" customHeight="false" outlineLevel="0" collapsed="false">
      <c r="A543" s="9" t="n">
        <f aca="false">IFERROR(__xludf.dummyfunction("""COMPUTED_VALUE"""),44985.6666666667)</f>
        <v>44985.6666666667</v>
      </c>
      <c r="B543" s="8" t="n">
        <f aca="false">IFERROR(__xludf.dummyfunction("""COMPUTED_VALUE"""),171.9)</f>
        <v>171.9</v>
      </c>
      <c r="C543" s="8" t="n">
        <f aca="false">IFERROR(__xludf.dummyfunction("""COMPUTED_VALUE"""),177.55)</f>
        <v>177.55</v>
      </c>
      <c r="D543" s="8" t="n">
        <f aca="false">IFERROR(__xludf.dummyfunction("""COMPUTED_VALUE"""),171.87)</f>
        <v>171.87</v>
      </c>
      <c r="E543" s="8" t="n">
        <f aca="false">IFERROR(__xludf.dummyfunction("""COMPUTED_VALUE"""),174.94)</f>
        <v>174.94</v>
      </c>
      <c r="F543" s="8" t="n">
        <f aca="false">IFERROR(__xludf.dummyfunction("""COMPUTED_VALUE"""),46051117)</f>
        <v>46051117</v>
      </c>
    </row>
    <row r="544" customFormat="false" ht="15.75" hidden="false" customHeight="false" outlineLevel="0" collapsed="false">
      <c r="A544" s="9" t="n">
        <f aca="false">IFERROR(__xludf.dummyfunction("""COMPUTED_VALUE"""),44986.6666666667)</f>
        <v>44986.6666666667</v>
      </c>
      <c r="B544" s="8" t="n">
        <f aca="false">IFERROR(__xludf.dummyfunction("""COMPUTED_VALUE"""),174.59)</f>
        <v>174.59</v>
      </c>
      <c r="C544" s="8" t="n">
        <f aca="false">IFERROR(__xludf.dummyfunction("""COMPUTED_VALUE"""),177.85)</f>
        <v>177.85</v>
      </c>
      <c r="D544" s="8" t="n">
        <f aca="false">IFERROR(__xludf.dummyfunction("""COMPUTED_VALUE"""),173.05)</f>
        <v>173.05</v>
      </c>
      <c r="E544" s="8" t="n">
        <f aca="false">IFERROR(__xludf.dummyfunction("""COMPUTED_VALUE"""),173.42)</f>
        <v>173.42</v>
      </c>
      <c r="F544" s="8" t="n">
        <f aca="false">IFERROR(__xludf.dummyfunction("""COMPUTED_VALUE"""),30998380)</f>
        <v>30998380</v>
      </c>
    </row>
    <row r="545" customFormat="false" ht="15.75" hidden="false" customHeight="false" outlineLevel="0" collapsed="false">
      <c r="A545" s="9" t="n">
        <f aca="false">IFERROR(__xludf.dummyfunction("""COMPUTED_VALUE"""),44987.6666666667)</f>
        <v>44987.6666666667</v>
      </c>
      <c r="B545" s="8" t="n">
        <f aca="false">IFERROR(__xludf.dummyfunction("""COMPUTED_VALUE"""),172.38)</f>
        <v>172.38</v>
      </c>
      <c r="C545" s="8" t="n">
        <f aca="false">IFERROR(__xludf.dummyfunction("""COMPUTED_VALUE"""),175.01)</f>
        <v>175.01</v>
      </c>
      <c r="D545" s="8" t="n">
        <f aca="false">IFERROR(__xludf.dummyfunction("""COMPUTED_VALUE"""),171.43)</f>
        <v>171.43</v>
      </c>
      <c r="E545" s="8" t="n">
        <f aca="false">IFERROR(__xludf.dummyfunction("""COMPUTED_VALUE"""),174.53)</f>
        <v>174.53</v>
      </c>
      <c r="F545" s="8" t="n">
        <f aca="false">IFERROR(__xludf.dummyfunction("""COMPUTED_VALUE"""),17360708)</f>
        <v>17360708</v>
      </c>
    </row>
    <row r="546" customFormat="false" ht="15.75" hidden="false" customHeight="false" outlineLevel="0" collapsed="false">
      <c r="A546" s="9" t="n">
        <f aca="false">IFERROR(__xludf.dummyfunction("""COMPUTED_VALUE"""),44988.6666666667)</f>
        <v>44988.6666666667</v>
      </c>
      <c r="B546" s="8" t="n">
        <f aca="false">IFERROR(__xludf.dummyfunction("""COMPUTED_VALUE"""),178.92)</f>
        <v>178.92</v>
      </c>
      <c r="C546" s="8" t="n">
        <f aca="false">IFERROR(__xludf.dummyfunction("""COMPUTED_VALUE"""),186.62)</f>
        <v>186.62</v>
      </c>
      <c r="D546" s="8" t="n">
        <f aca="false">IFERROR(__xludf.dummyfunction("""COMPUTED_VALUE"""),177.05)</f>
        <v>177.05</v>
      </c>
      <c r="E546" s="8" t="n">
        <f aca="false">IFERROR(__xludf.dummyfunction("""COMPUTED_VALUE"""),185.25)</f>
        <v>185.25</v>
      </c>
      <c r="F546" s="8" t="n">
        <f aca="false">IFERROR(__xludf.dummyfunction("""COMPUTED_VALUE"""),45877692)</f>
        <v>45877692</v>
      </c>
    </row>
    <row r="547" customFormat="false" ht="15.75" hidden="false" customHeight="false" outlineLevel="0" collapsed="false">
      <c r="A547" s="9" t="n">
        <f aca="false">IFERROR(__xludf.dummyfunction("""COMPUTED_VALUE"""),44991.6666666667)</f>
        <v>44991.6666666667</v>
      </c>
      <c r="B547" s="8" t="n">
        <f aca="false">IFERROR(__xludf.dummyfunction("""COMPUTED_VALUE"""),188)</f>
        <v>188</v>
      </c>
      <c r="C547" s="8" t="n">
        <f aca="false">IFERROR(__xludf.dummyfunction("""COMPUTED_VALUE"""),189.66)</f>
        <v>189.66</v>
      </c>
      <c r="D547" s="8" t="n">
        <f aca="false">IFERROR(__xludf.dummyfunction("""COMPUTED_VALUE"""),184.64)</f>
        <v>184.64</v>
      </c>
      <c r="E547" s="8" t="n">
        <f aca="false">IFERROR(__xludf.dummyfunction("""COMPUTED_VALUE"""),184.9)</f>
        <v>184.9</v>
      </c>
      <c r="F547" s="8" t="n">
        <f aca="false">IFERROR(__xludf.dummyfunction("""COMPUTED_VALUE"""),33209394)</f>
        <v>33209394</v>
      </c>
    </row>
    <row r="548" customFormat="false" ht="15.75" hidden="false" customHeight="false" outlineLevel="0" collapsed="false">
      <c r="A548" s="9" t="n">
        <f aca="false">IFERROR(__xludf.dummyfunction("""COMPUTED_VALUE"""),44992.6666666667)</f>
        <v>44992.6666666667</v>
      </c>
      <c r="B548" s="8" t="n">
        <f aca="false">IFERROR(__xludf.dummyfunction("""COMPUTED_VALUE"""),189)</f>
        <v>189</v>
      </c>
      <c r="C548" s="8" t="n">
        <f aca="false">IFERROR(__xludf.dummyfunction("""COMPUTED_VALUE"""),190.36)</f>
        <v>190.36</v>
      </c>
      <c r="D548" s="8" t="n">
        <f aca="false">IFERROR(__xludf.dummyfunction("""COMPUTED_VALUE"""),184.01)</f>
        <v>184.01</v>
      </c>
      <c r="E548" s="8" t="n">
        <f aca="false">IFERROR(__xludf.dummyfunction("""COMPUTED_VALUE"""),184.51)</f>
        <v>184.51</v>
      </c>
      <c r="F548" s="8" t="n">
        <f aca="false">IFERROR(__xludf.dummyfunction("""COMPUTED_VALUE"""),36701495)</f>
        <v>36701495</v>
      </c>
    </row>
    <row r="549" customFormat="false" ht="15.75" hidden="false" customHeight="false" outlineLevel="0" collapsed="false">
      <c r="A549" s="9" t="n">
        <f aca="false">IFERROR(__xludf.dummyfunction("""COMPUTED_VALUE"""),44993.6666666667)</f>
        <v>44993.6666666667</v>
      </c>
      <c r="B549" s="8" t="n">
        <f aca="false">IFERROR(__xludf.dummyfunction("""COMPUTED_VALUE"""),182.87)</f>
        <v>182.87</v>
      </c>
      <c r="C549" s="8" t="n">
        <f aca="false">IFERROR(__xludf.dummyfunction("""COMPUTED_VALUE"""),185.26)</f>
        <v>185.26</v>
      </c>
      <c r="D549" s="8" t="n">
        <f aca="false">IFERROR(__xludf.dummyfunction("""COMPUTED_VALUE"""),181.34)</f>
        <v>181.34</v>
      </c>
      <c r="E549" s="8" t="n">
        <f aca="false">IFERROR(__xludf.dummyfunction("""COMPUTED_VALUE"""),184.97)</f>
        <v>184.97</v>
      </c>
      <c r="F549" s="8" t="n">
        <f aca="false">IFERROR(__xludf.dummyfunction("""COMPUTED_VALUE"""),19432405)</f>
        <v>19432405</v>
      </c>
    </row>
    <row r="550" customFormat="false" ht="15.75" hidden="false" customHeight="false" outlineLevel="0" collapsed="false">
      <c r="A550" s="9" t="n">
        <f aca="false">IFERROR(__xludf.dummyfunction("""COMPUTED_VALUE"""),44994.6666666667)</f>
        <v>44994.6666666667</v>
      </c>
      <c r="B550" s="8" t="n">
        <f aca="false">IFERROR(__xludf.dummyfunction("""COMPUTED_VALUE"""),186.35)</f>
        <v>186.35</v>
      </c>
      <c r="C550" s="8" t="n">
        <f aca="false">IFERROR(__xludf.dummyfunction("""COMPUTED_VALUE"""),188.93)</f>
        <v>188.93</v>
      </c>
      <c r="D550" s="8" t="n">
        <f aca="false">IFERROR(__xludf.dummyfunction("""COMPUTED_VALUE"""),180.3)</f>
        <v>180.3</v>
      </c>
      <c r="E550" s="8" t="n">
        <f aca="false">IFERROR(__xludf.dummyfunction("""COMPUTED_VALUE"""),181.69)</f>
        <v>181.69</v>
      </c>
      <c r="F550" s="8" t="n">
        <f aca="false">IFERROR(__xludf.dummyfunction("""COMPUTED_VALUE"""),26582750)</f>
        <v>26582750</v>
      </c>
    </row>
    <row r="551" customFormat="false" ht="15.75" hidden="false" customHeight="false" outlineLevel="0" collapsed="false">
      <c r="A551" s="9" t="n">
        <f aca="false">IFERROR(__xludf.dummyfunction("""COMPUTED_VALUE"""),44995.6666666667)</f>
        <v>44995.6666666667</v>
      </c>
      <c r="B551" s="8" t="n">
        <f aca="false">IFERROR(__xludf.dummyfunction("""COMPUTED_VALUE"""),181.01)</f>
        <v>181.01</v>
      </c>
      <c r="C551" s="8" t="n">
        <f aca="false">IFERROR(__xludf.dummyfunction("""COMPUTED_VALUE"""),184.77)</f>
        <v>184.77</v>
      </c>
      <c r="D551" s="8" t="n">
        <f aca="false">IFERROR(__xludf.dummyfunction("""COMPUTED_VALUE"""),178.8)</f>
        <v>178.8</v>
      </c>
      <c r="E551" s="8" t="n">
        <f aca="false">IFERROR(__xludf.dummyfunction("""COMPUTED_VALUE"""),179.51)</f>
        <v>179.51</v>
      </c>
      <c r="F551" s="8" t="n">
        <f aca="false">IFERROR(__xludf.dummyfunction("""COMPUTED_VALUE"""),25665032)</f>
        <v>25665032</v>
      </c>
    </row>
    <row r="552" customFormat="false" ht="15.75" hidden="false" customHeight="false" outlineLevel="0" collapsed="false">
      <c r="A552" s="9" t="n">
        <f aca="false">IFERROR(__xludf.dummyfunction("""COMPUTED_VALUE"""),44998.6666666667)</f>
        <v>44998.6666666667</v>
      </c>
      <c r="B552" s="8" t="n">
        <f aca="false">IFERROR(__xludf.dummyfunction("""COMPUTED_VALUE"""),177.96)</f>
        <v>177.96</v>
      </c>
      <c r="C552" s="8" t="n">
        <f aca="false">IFERROR(__xludf.dummyfunction("""COMPUTED_VALUE"""),183.78)</f>
        <v>183.78</v>
      </c>
      <c r="D552" s="8" t="n">
        <f aca="false">IFERROR(__xludf.dummyfunction("""COMPUTED_VALUE"""),174.82)</f>
        <v>174.82</v>
      </c>
      <c r="E552" s="8" t="n">
        <f aca="false">IFERROR(__xludf.dummyfunction("""COMPUTED_VALUE"""),180.9)</f>
        <v>180.9</v>
      </c>
      <c r="F552" s="8" t="n">
        <f aca="false">IFERROR(__xludf.dummyfunction("""COMPUTED_VALUE"""),24727969)</f>
        <v>24727969</v>
      </c>
    </row>
    <row r="553" customFormat="false" ht="15.75" hidden="false" customHeight="false" outlineLevel="0" collapsed="false">
      <c r="A553" s="9" t="n">
        <f aca="false">IFERROR(__xludf.dummyfunction("""COMPUTED_VALUE"""),44999.6666666667)</f>
        <v>44999.6666666667</v>
      </c>
      <c r="B553" s="8" t="n">
        <f aca="false">IFERROR(__xludf.dummyfunction("""COMPUTED_VALUE"""),187.58)</f>
        <v>187.58</v>
      </c>
      <c r="C553" s="8" t="n">
        <f aca="false">IFERROR(__xludf.dummyfunction("""COMPUTED_VALUE"""),194.32)</f>
        <v>194.32</v>
      </c>
      <c r="D553" s="8" t="n">
        <f aca="false">IFERROR(__xludf.dummyfunction("""COMPUTED_VALUE"""),186.56)</f>
        <v>186.56</v>
      </c>
      <c r="E553" s="8" t="n">
        <f aca="false">IFERROR(__xludf.dummyfunction("""COMPUTED_VALUE"""),194.02)</f>
        <v>194.02</v>
      </c>
      <c r="F553" s="8" t="n">
        <f aca="false">IFERROR(__xludf.dummyfunction("""COMPUTED_VALUE"""),41642627)</f>
        <v>41642627</v>
      </c>
    </row>
    <row r="554" customFormat="false" ht="15.75" hidden="false" customHeight="false" outlineLevel="0" collapsed="false">
      <c r="A554" s="9" t="n">
        <f aca="false">IFERROR(__xludf.dummyfunction("""COMPUTED_VALUE"""),45000.6666666667)</f>
        <v>45000.6666666667</v>
      </c>
      <c r="B554" s="8" t="n">
        <f aca="false">IFERROR(__xludf.dummyfunction("""COMPUTED_VALUE"""),192.95)</f>
        <v>192.95</v>
      </c>
      <c r="C554" s="8" t="n">
        <f aca="false">IFERROR(__xludf.dummyfunction("""COMPUTED_VALUE"""),197.78)</f>
        <v>197.78</v>
      </c>
      <c r="D554" s="8" t="n">
        <f aca="false">IFERROR(__xludf.dummyfunction("""COMPUTED_VALUE"""),190.84)</f>
        <v>190.84</v>
      </c>
      <c r="E554" s="8" t="n">
        <f aca="false">IFERROR(__xludf.dummyfunction("""COMPUTED_VALUE"""),197.75)</f>
        <v>197.75</v>
      </c>
      <c r="F554" s="8" t="n">
        <f aca="false">IFERROR(__xludf.dummyfunction("""COMPUTED_VALUE"""),42123552)</f>
        <v>42123552</v>
      </c>
    </row>
    <row r="555" customFormat="false" ht="15.75" hidden="false" customHeight="false" outlineLevel="0" collapsed="false">
      <c r="A555" s="9" t="n">
        <f aca="false">IFERROR(__xludf.dummyfunction("""COMPUTED_VALUE"""),45001.6666666667)</f>
        <v>45001.6666666667</v>
      </c>
      <c r="B555" s="8" t="n">
        <f aca="false">IFERROR(__xludf.dummyfunction("""COMPUTED_VALUE"""),198.26)</f>
        <v>198.26</v>
      </c>
      <c r="C555" s="8" t="n">
        <f aca="false">IFERROR(__xludf.dummyfunction("""COMPUTED_VALUE"""),205.76)</f>
        <v>205.76</v>
      </c>
      <c r="D555" s="8" t="n">
        <f aca="false">IFERROR(__xludf.dummyfunction("""COMPUTED_VALUE"""),196.09)</f>
        <v>196.09</v>
      </c>
      <c r="E555" s="8" t="n">
        <f aca="false">IFERROR(__xludf.dummyfunction("""COMPUTED_VALUE"""),204.93)</f>
        <v>204.93</v>
      </c>
      <c r="F555" s="8" t="n">
        <f aca="false">IFERROR(__xludf.dummyfunction("""COMPUTED_VALUE"""),50819659)</f>
        <v>50819659</v>
      </c>
    </row>
    <row r="556" customFormat="false" ht="15.75" hidden="false" customHeight="false" outlineLevel="0" collapsed="false">
      <c r="A556" s="9" t="n">
        <f aca="false">IFERROR(__xludf.dummyfunction("""COMPUTED_VALUE"""),45002.6666666667)</f>
        <v>45002.6666666667</v>
      </c>
      <c r="B556" s="8" t="n">
        <f aca="false">IFERROR(__xludf.dummyfunction("""COMPUTED_VALUE"""),200.56)</f>
        <v>200.56</v>
      </c>
      <c r="C556" s="8" t="n">
        <f aca="false">IFERROR(__xludf.dummyfunction("""COMPUTED_VALUE"""),201.9)</f>
        <v>201.9</v>
      </c>
      <c r="D556" s="8" t="n">
        <f aca="false">IFERROR(__xludf.dummyfunction("""COMPUTED_VALUE"""),195.43)</f>
        <v>195.43</v>
      </c>
      <c r="E556" s="8" t="n">
        <f aca="false">IFERROR(__xludf.dummyfunction("""COMPUTED_VALUE"""),195.61)</f>
        <v>195.61</v>
      </c>
      <c r="F556" s="8" t="n">
        <f aca="false">IFERROR(__xludf.dummyfunction("""COMPUTED_VALUE"""),50141098)</f>
        <v>50141098</v>
      </c>
    </row>
    <row r="557" customFormat="false" ht="15.75" hidden="false" customHeight="false" outlineLevel="0" collapsed="false">
      <c r="A557" s="9" t="n">
        <f aca="false">IFERROR(__xludf.dummyfunction("""COMPUTED_VALUE"""),45005.6666666667)</f>
        <v>45005.6666666667</v>
      </c>
      <c r="B557" s="8" t="n">
        <f aca="false">IFERROR(__xludf.dummyfunction("""COMPUTED_VALUE"""),198.48)</f>
        <v>198.48</v>
      </c>
      <c r="C557" s="8" t="n">
        <f aca="false">IFERROR(__xludf.dummyfunction("""COMPUTED_VALUE"""),199.36)</f>
        <v>199.36</v>
      </c>
      <c r="D557" s="8" t="n">
        <f aca="false">IFERROR(__xludf.dummyfunction("""COMPUTED_VALUE"""),193.64)</f>
        <v>193.64</v>
      </c>
      <c r="E557" s="8" t="n">
        <f aca="false">IFERROR(__xludf.dummyfunction("""COMPUTED_VALUE"""),197.81)</f>
        <v>197.81</v>
      </c>
      <c r="F557" s="8" t="n">
        <f aca="false">IFERROR(__xludf.dummyfunction("""COMPUTED_VALUE"""),25186315)</f>
        <v>25186315</v>
      </c>
    </row>
    <row r="558" customFormat="false" ht="15.75" hidden="false" customHeight="false" outlineLevel="0" collapsed="false">
      <c r="A558" s="9" t="n">
        <f aca="false">IFERROR(__xludf.dummyfunction("""COMPUTED_VALUE"""),45006.6666666667)</f>
        <v>45006.6666666667</v>
      </c>
      <c r="B558" s="8" t="n">
        <f aca="false">IFERROR(__xludf.dummyfunction("""COMPUTED_VALUE"""),203.2)</f>
        <v>203.2</v>
      </c>
      <c r="C558" s="8" t="n">
        <f aca="false">IFERROR(__xludf.dummyfunction("""COMPUTED_VALUE"""),203.55)</f>
        <v>203.55</v>
      </c>
      <c r="D558" s="8" t="n">
        <f aca="false">IFERROR(__xludf.dummyfunction("""COMPUTED_VALUE"""),197.95)</f>
        <v>197.95</v>
      </c>
      <c r="E558" s="8" t="n">
        <f aca="false">IFERROR(__xludf.dummyfunction("""COMPUTED_VALUE"""),202.16)</f>
        <v>202.16</v>
      </c>
      <c r="F558" s="8" t="n">
        <f aca="false">IFERROR(__xludf.dummyfunction("""COMPUTED_VALUE"""),31826952)</f>
        <v>31826952</v>
      </c>
    </row>
    <row r="559" customFormat="false" ht="15.75" hidden="false" customHeight="false" outlineLevel="0" collapsed="false">
      <c r="A559" s="9" t="n">
        <f aca="false">IFERROR(__xludf.dummyfunction("""COMPUTED_VALUE"""),45007.6666666667)</f>
        <v>45007.6666666667</v>
      </c>
      <c r="B559" s="8" t="n">
        <f aca="false">IFERROR(__xludf.dummyfunction("""COMPUTED_VALUE"""),202.5)</f>
        <v>202.5</v>
      </c>
      <c r="C559" s="8" t="n">
        <f aca="false">IFERROR(__xludf.dummyfunction("""COMPUTED_VALUE"""),207.37)</f>
        <v>207.37</v>
      </c>
      <c r="D559" s="8" t="n">
        <f aca="false">IFERROR(__xludf.dummyfunction("""COMPUTED_VALUE"""),199.67)</f>
        <v>199.67</v>
      </c>
      <c r="E559" s="8" t="n">
        <f aca="false">IFERROR(__xludf.dummyfunction("""COMPUTED_VALUE"""),199.81)</f>
        <v>199.81</v>
      </c>
      <c r="F559" s="8" t="n">
        <f aca="false">IFERROR(__xludf.dummyfunction("""COMPUTED_VALUE"""),28477759)</f>
        <v>28477759</v>
      </c>
    </row>
    <row r="560" customFormat="false" ht="15.75" hidden="false" customHeight="false" outlineLevel="0" collapsed="false">
      <c r="A560" s="9" t="n">
        <f aca="false">IFERROR(__xludf.dummyfunction("""COMPUTED_VALUE"""),45008.6666666667)</f>
        <v>45008.6666666667</v>
      </c>
      <c r="B560" s="8" t="n">
        <f aca="false">IFERROR(__xludf.dummyfunction("""COMPUTED_VALUE"""),202.84)</f>
        <v>202.84</v>
      </c>
      <c r="C560" s="8" t="n">
        <f aca="false">IFERROR(__xludf.dummyfunction("""COMPUTED_VALUE"""),207.88)</f>
        <v>207.88</v>
      </c>
      <c r="D560" s="8" t="n">
        <f aca="false">IFERROR(__xludf.dummyfunction("""COMPUTED_VALUE"""),202.15)</f>
        <v>202.15</v>
      </c>
      <c r="E560" s="8" t="n">
        <f aca="false">IFERROR(__xludf.dummyfunction("""COMPUTED_VALUE"""),204.28)</f>
        <v>204.28</v>
      </c>
      <c r="F560" s="8" t="n">
        <f aca="false">IFERROR(__xludf.dummyfunction("""COMPUTED_VALUE"""),27389669)</f>
        <v>27389669</v>
      </c>
    </row>
    <row r="561" customFormat="false" ht="15.75" hidden="false" customHeight="false" outlineLevel="0" collapsed="false">
      <c r="A561" s="9" t="n">
        <f aca="false">IFERROR(__xludf.dummyfunction("""COMPUTED_VALUE"""),45009.6666666667)</f>
        <v>45009.6666666667</v>
      </c>
      <c r="B561" s="8" t="n">
        <f aca="false">IFERROR(__xludf.dummyfunction("""COMPUTED_VALUE"""),205.18)</f>
        <v>205.18</v>
      </c>
      <c r="C561" s="8" t="n">
        <f aca="false">IFERROR(__xludf.dummyfunction("""COMPUTED_VALUE"""),207.58)</f>
        <v>207.58</v>
      </c>
      <c r="D561" s="8" t="n">
        <f aca="false">IFERROR(__xludf.dummyfunction("""COMPUTED_VALUE"""),203.55)</f>
        <v>203.55</v>
      </c>
      <c r="E561" s="8" t="n">
        <f aca="false">IFERROR(__xludf.dummyfunction("""COMPUTED_VALUE"""),206.01)</f>
        <v>206.01</v>
      </c>
      <c r="F561" s="8" t="n">
        <f aca="false">IFERROR(__xludf.dummyfunction("""COMPUTED_VALUE"""),27733042)</f>
        <v>27733042</v>
      </c>
    </row>
    <row r="562" customFormat="false" ht="15.75" hidden="false" customHeight="false" outlineLevel="0" collapsed="false">
      <c r="A562" s="9" t="n">
        <f aca="false">IFERROR(__xludf.dummyfunction("""COMPUTED_VALUE"""),45012.6666666667)</f>
        <v>45012.6666666667</v>
      </c>
      <c r="B562" s="8" t="n">
        <f aca="false">IFERROR(__xludf.dummyfunction("""COMPUTED_VALUE"""),204.81)</f>
        <v>204.81</v>
      </c>
      <c r="C562" s="8" t="n">
        <f aca="false">IFERROR(__xludf.dummyfunction("""COMPUTED_VALUE"""),205.86)</f>
        <v>205.86</v>
      </c>
      <c r="D562" s="8" t="n">
        <f aca="false">IFERROR(__xludf.dummyfunction("""COMPUTED_VALUE"""),201.36)</f>
        <v>201.36</v>
      </c>
      <c r="E562" s="8" t="n">
        <f aca="false">IFERROR(__xludf.dummyfunction("""COMPUTED_VALUE"""),202.84)</f>
        <v>202.84</v>
      </c>
      <c r="F562" s="8" t="n">
        <f aca="false">IFERROR(__xludf.dummyfunction("""COMPUTED_VALUE"""),18527184)</f>
        <v>18527184</v>
      </c>
    </row>
    <row r="563" customFormat="false" ht="15.75" hidden="false" customHeight="false" outlineLevel="0" collapsed="false">
      <c r="A563" s="9" t="n">
        <f aca="false">IFERROR(__xludf.dummyfunction("""COMPUTED_VALUE"""),45013.6666666667)</f>
        <v>45013.6666666667</v>
      </c>
      <c r="B563" s="8" t="n">
        <f aca="false">IFERROR(__xludf.dummyfunction("""COMPUTED_VALUE"""),200.15)</f>
        <v>200.15</v>
      </c>
      <c r="C563" s="8" t="n">
        <f aca="false">IFERROR(__xludf.dummyfunction("""COMPUTED_VALUE"""),201.03)</f>
        <v>201.03</v>
      </c>
      <c r="D563" s="8" t="n">
        <f aca="false">IFERROR(__xludf.dummyfunction("""COMPUTED_VALUE"""),197.9)</f>
        <v>197.9</v>
      </c>
      <c r="E563" s="8" t="n">
        <f aca="false">IFERROR(__xludf.dummyfunction("""COMPUTED_VALUE"""),200.68)</f>
        <v>200.68</v>
      </c>
      <c r="F563" s="8" t="n">
        <f aca="false">IFERROR(__xludf.dummyfunction("""COMPUTED_VALUE"""),19127295)</f>
        <v>19127295</v>
      </c>
    </row>
    <row r="564" customFormat="false" ht="15.75" hidden="false" customHeight="false" outlineLevel="0" collapsed="false">
      <c r="A564" s="9" t="n">
        <f aca="false">IFERROR(__xludf.dummyfunction("""COMPUTED_VALUE"""),45014.6666666667)</f>
        <v>45014.6666666667</v>
      </c>
      <c r="B564" s="8" t="n">
        <f aca="false">IFERROR(__xludf.dummyfunction("""COMPUTED_VALUE"""),203.56)</f>
        <v>203.56</v>
      </c>
      <c r="C564" s="8" t="n">
        <f aca="false">IFERROR(__xludf.dummyfunction("""COMPUTED_VALUE"""),205.72)</f>
        <v>205.72</v>
      </c>
      <c r="D564" s="8" t="n">
        <f aca="false">IFERROR(__xludf.dummyfunction("""COMPUTED_VALUE"""),202.54)</f>
        <v>202.54</v>
      </c>
      <c r="E564" s="8" t="n">
        <f aca="false">IFERROR(__xludf.dummyfunction("""COMPUTED_VALUE"""),205.35)</f>
        <v>205.35</v>
      </c>
      <c r="F564" s="8" t="n">
        <f aca="false">IFERROR(__xludf.dummyfunction("""COMPUTED_VALUE"""),18851137)</f>
        <v>18851137</v>
      </c>
    </row>
    <row r="565" customFormat="false" ht="15.75" hidden="false" customHeight="false" outlineLevel="0" collapsed="false">
      <c r="A565" s="9" t="n">
        <f aca="false">IFERROR(__xludf.dummyfunction("""COMPUTED_VALUE"""),45015.6666666667)</f>
        <v>45015.6666666667</v>
      </c>
      <c r="B565" s="8" t="n">
        <f aca="false">IFERROR(__xludf.dummyfunction("""COMPUTED_VALUE"""),203.38)</f>
        <v>203.38</v>
      </c>
      <c r="C565" s="8" t="n">
        <f aca="false">IFERROR(__xludf.dummyfunction("""COMPUTED_VALUE"""),208.09)</f>
        <v>208.09</v>
      </c>
      <c r="D565" s="8" t="n">
        <f aca="false">IFERROR(__xludf.dummyfunction("""COMPUTED_VALUE"""),202.82)</f>
        <v>202.82</v>
      </c>
      <c r="E565" s="8" t="n">
        <f aca="false">IFERROR(__xludf.dummyfunction("""COMPUTED_VALUE"""),207.84)</f>
        <v>207.84</v>
      </c>
      <c r="F565" s="8" t="n">
        <f aca="false">IFERROR(__xludf.dummyfunction("""COMPUTED_VALUE"""),22608303)</f>
        <v>22608303</v>
      </c>
    </row>
    <row r="566" customFormat="false" ht="15.75" hidden="false" customHeight="false" outlineLevel="0" collapsed="false">
      <c r="A566" s="9" t="n">
        <f aca="false">IFERROR(__xludf.dummyfunction("""COMPUTED_VALUE"""),45016.6666666667)</f>
        <v>45016.6666666667</v>
      </c>
      <c r="B566" s="8" t="n">
        <f aca="false">IFERROR(__xludf.dummyfunction("""COMPUTED_VALUE"""),207.24)</f>
        <v>207.24</v>
      </c>
      <c r="C566" s="8" t="n">
        <f aca="false">IFERROR(__xludf.dummyfunction("""COMPUTED_VALUE"""),212.17)</f>
        <v>212.17</v>
      </c>
      <c r="D566" s="8" t="n">
        <f aca="false">IFERROR(__xludf.dummyfunction("""COMPUTED_VALUE"""),206.77)</f>
        <v>206.77</v>
      </c>
      <c r="E566" s="8" t="n">
        <f aca="false">IFERROR(__xludf.dummyfunction("""COMPUTED_VALUE"""),211.94)</f>
        <v>211.94</v>
      </c>
      <c r="F566" s="8" t="n">
        <f aca="false">IFERROR(__xludf.dummyfunction("""COMPUTED_VALUE"""),25440273)</f>
        <v>25440273</v>
      </c>
    </row>
    <row r="567" customFormat="false" ht="15.75" hidden="false" customHeight="false" outlineLevel="0" collapsed="false">
      <c r="A567" s="9" t="n">
        <f aca="false">IFERROR(__xludf.dummyfunction("""COMPUTED_VALUE"""),45019.6666666667)</f>
        <v>45019.6666666667</v>
      </c>
      <c r="B567" s="8" t="n">
        <f aca="false">IFERROR(__xludf.dummyfunction("""COMPUTED_VALUE"""),208.84)</f>
        <v>208.84</v>
      </c>
      <c r="C567" s="8" t="n">
        <f aca="false">IFERROR(__xludf.dummyfunction("""COMPUTED_VALUE"""),213.49)</f>
        <v>213.49</v>
      </c>
      <c r="D567" s="8" t="n">
        <f aca="false">IFERROR(__xludf.dummyfunction("""COMPUTED_VALUE"""),208.2)</f>
        <v>208.2</v>
      </c>
      <c r="E567" s="8" t="n">
        <f aca="false">IFERROR(__xludf.dummyfunction("""COMPUTED_VALUE"""),213.07)</f>
        <v>213.07</v>
      </c>
      <c r="F567" s="8" t="n">
        <f aca="false">IFERROR(__xludf.dummyfunction("""COMPUTED_VALUE"""),17924613)</f>
        <v>17924613</v>
      </c>
    </row>
    <row r="568" customFormat="false" ht="15.75" hidden="false" customHeight="false" outlineLevel="0" collapsed="false">
      <c r="A568" s="9" t="n">
        <f aca="false">IFERROR(__xludf.dummyfunction("""COMPUTED_VALUE"""),45020.6666666667)</f>
        <v>45020.6666666667</v>
      </c>
      <c r="B568" s="8" t="n">
        <f aca="false">IFERROR(__xludf.dummyfunction("""COMPUTED_VALUE"""),213.39)</f>
        <v>213.39</v>
      </c>
      <c r="C568" s="8" t="n">
        <f aca="false">IFERROR(__xludf.dummyfunction("""COMPUTED_VALUE"""),216.24)</f>
        <v>216.24</v>
      </c>
      <c r="D568" s="8" t="n">
        <f aca="false">IFERROR(__xludf.dummyfunction("""COMPUTED_VALUE"""),212.54)</f>
        <v>212.54</v>
      </c>
      <c r="E568" s="8" t="n">
        <f aca="false">IFERROR(__xludf.dummyfunction("""COMPUTED_VALUE"""),214.72)</f>
        <v>214.72</v>
      </c>
      <c r="F568" s="8" t="n">
        <f aca="false">IFERROR(__xludf.dummyfunction("""COMPUTED_VALUE"""),21026367)</f>
        <v>21026367</v>
      </c>
    </row>
    <row r="569" customFormat="false" ht="15.75" hidden="false" customHeight="false" outlineLevel="0" collapsed="false">
      <c r="A569" s="9" t="n">
        <f aca="false">IFERROR(__xludf.dummyfunction("""COMPUTED_VALUE"""),45021.6666666667)</f>
        <v>45021.6666666667</v>
      </c>
      <c r="B569" s="8" t="n">
        <f aca="false">IFERROR(__xludf.dummyfunction("""COMPUTED_VALUE"""),214.15)</f>
        <v>214.15</v>
      </c>
      <c r="C569" s="8" t="n">
        <f aca="false">IFERROR(__xludf.dummyfunction("""COMPUTED_VALUE"""),215.19)</f>
        <v>215.19</v>
      </c>
      <c r="D569" s="8" t="n">
        <f aca="false">IFERROR(__xludf.dummyfunction("""COMPUTED_VALUE"""),209.94)</f>
        <v>209.94</v>
      </c>
      <c r="E569" s="8" t="n">
        <f aca="false">IFERROR(__xludf.dummyfunction("""COMPUTED_VALUE"""),211.48)</f>
        <v>211.48</v>
      </c>
      <c r="F569" s="8" t="n">
        <f aca="false">IFERROR(__xludf.dummyfunction("""COMPUTED_VALUE"""),19396630)</f>
        <v>19396630</v>
      </c>
    </row>
    <row r="570" customFormat="false" ht="15.75" hidden="false" customHeight="false" outlineLevel="0" collapsed="false">
      <c r="A570" s="9" t="n">
        <f aca="false">IFERROR(__xludf.dummyfunction("""COMPUTED_VALUE"""),45022.6666666667)</f>
        <v>45022.6666666667</v>
      </c>
      <c r="B570" s="8" t="n">
        <f aca="false">IFERROR(__xludf.dummyfunction("""COMPUTED_VALUE"""),209.25)</f>
        <v>209.25</v>
      </c>
      <c r="C570" s="8" t="n">
        <f aca="false">IFERROR(__xludf.dummyfunction("""COMPUTED_VALUE"""),216.94)</f>
        <v>216.94</v>
      </c>
      <c r="D570" s="8" t="n">
        <f aca="false">IFERROR(__xludf.dummyfunction("""COMPUTED_VALUE"""),208.65)</f>
        <v>208.65</v>
      </c>
      <c r="E570" s="8" t="n">
        <f aca="false">IFERROR(__xludf.dummyfunction("""COMPUTED_VALUE"""),216.1)</f>
        <v>216.1</v>
      </c>
      <c r="F570" s="8" t="n">
        <f aca="false">IFERROR(__xludf.dummyfunction("""COMPUTED_VALUE"""),26104411)</f>
        <v>26104411</v>
      </c>
    </row>
    <row r="571" customFormat="false" ht="15.75" hidden="false" customHeight="false" outlineLevel="0" collapsed="false">
      <c r="A571" s="9" t="n">
        <f aca="false">IFERROR(__xludf.dummyfunction("""COMPUTED_VALUE"""),45026.6666666667)</f>
        <v>45026.6666666667</v>
      </c>
      <c r="B571" s="8" t="n">
        <f aca="false">IFERROR(__xludf.dummyfunction("""COMPUTED_VALUE"""),214.71)</f>
        <v>214.71</v>
      </c>
      <c r="C571" s="8" t="n">
        <f aca="false">IFERROR(__xludf.dummyfunction("""COMPUTED_VALUE"""),215.66)</f>
        <v>215.66</v>
      </c>
      <c r="D571" s="8" t="n">
        <f aca="false">IFERROR(__xludf.dummyfunction("""COMPUTED_VALUE"""),210.66)</f>
        <v>210.66</v>
      </c>
      <c r="E571" s="8" t="n">
        <f aca="false">IFERROR(__xludf.dummyfunction("""COMPUTED_VALUE"""),214.75)</f>
        <v>214.75</v>
      </c>
      <c r="F571" s="8" t="n">
        <f aca="false">IFERROR(__xludf.dummyfunction("""COMPUTED_VALUE"""),16106074)</f>
        <v>16106074</v>
      </c>
    </row>
    <row r="572" customFormat="false" ht="15.75" hidden="false" customHeight="false" outlineLevel="0" collapsed="false">
      <c r="A572" s="9" t="n">
        <f aca="false">IFERROR(__xludf.dummyfunction("""COMPUTED_VALUE"""),45027.6666666667)</f>
        <v>45027.6666666667</v>
      </c>
      <c r="B572" s="8" t="n">
        <f aca="false">IFERROR(__xludf.dummyfunction("""COMPUTED_VALUE"""),215.48)</f>
        <v>215.48</v>
      </c>
      <c r="C572" s="8" t="n">
        <f aca="false">IFERROR(__xludf.dummyfunction("""COMPUTED_VALUE"""),216.02)</f>
        <v>216.02</v>
      </c>
      <c r="D572" s="8" t="n">
        <f aca="false">IFERROR(__xludf.dummyfunction("""COMPUTED_VALUE"""),213.41)</f>
        <v>213.41</v>
      </c>
      <c r="E572" s="8" t="n">
        <f aca="false">IFERROR(__xludf.dummyfunction("""COMPUTED_VALUE"""),213.85)</f>
        <v>213.85</v>
      </c>
      <c r="F572" s="8" t="n">
        <f aca="false">IFERROR(__xludf.dummyfunction("""COMPUTED_VALUE"""),16710101)</f>
        <v>16710101</v>
      </c>
    </row>
    <row r="573" customFormat="false" ht="15.75" hidden="false" customHeight="false" outlineLevel="0" collapsed="false">
      <c r="A573" s="9" t="n">
        <f aca="false">IFERROR(__xludf.dummyfunction("""COMPUTED_VALUE"""),45028.6666666667)</f>
        <v>45028.6666666667</v>
      </c>
      <c r="B573" s="8" t="n">
        <f aca="false">IFERROR(__xludf.dummyfunction("""COMPUTED_VALUE"""),214.84)</f>
        <v>214.84</v>
      </c>
      <c r="C573" s="8" t="n">
        <f aca="false">IFERROR(__xludf.dummyfunction("""COMPUTED_VALUE"""),216.84)</f>
        <v>216.84</v>
      </c>
      <c r="D573" s="8" t="n">
        <f aca="false">IFERROR(__xludf.dummyfunction("""COMPUTED_VALUE"""),212.58)</f>
        <v>212.58</v>
      </c>
      <c r="E573" s="8" t="n">
        <f aca="false">IFERROR(__xludf.dummyfunction("""COMPUTED_VALUE"""),214)</f>
        <v>214</v>
      </c>
      <c r="F573" s="8" t="n">
        <f aca="false">IFERROR(__xludf.dummyfunction("""COMPUTED_VALUE"""),18972172)</f>
        <v>18972172</v>
      </c>
    </row>
    <row r="574" customFormat="false" ht="15.75" hidden="false" customHeight="false" outlineLevel="0" collapsed="false">
      <c r="A574" s="9" t="n">
        <f aca="false">IFERROR(__xludf.dummyfunction("""COMPUTED_VALUE"""),45029.6666666667)</f>
        <v>45029.6666666667</v>
      </c>
      <c r="B574" s="8" t="n">
        <f aca="false">IFERROR(__xludf.dummyfunction("""COMPUTED_VALUE"""),215.73)</f>
        <v>215.73</v>
      </c>
      <c r="C574" s="8" t="n">
        <f aca="false">IFERROR(__xludf.dummyfunction("""COMPUTED_VALUE"""),221.15)</f>
        <v>221.15</v>
      </c>
      <c r="D574" s="8" t="n">
        <f aca="false">IFERROR(__xludf.dummyfunction("""COMPUTED_VALUE"""),215.69)</f>
        <v>215.69</v>
      </c>
      <c r="E574" s="8" t="n">
        <f aca="false">IFERROR(__xludf.dummyfunction("""COMPUTED_VALUE"""),220.35)</f>
        <v>220.35</v>
      </c>
      <c r="F574" s="8" t="n">
        <f aca="false">IFERROR(__xludf.dummyfunction("""COMPUTED_VALUE"""),23310357)</f>
        <v>23310357</v>
      </c>
    </row>
    <row r="575" customFormat="false" ht="15.75" hidden="false" customHeight="false" outlineLevel="0" collapsed="false">
      <c r="A575" s="9" t="n">
        <f aca="false">IFERROR(__xludf.dummyfunction("""COMPUTED_VALUE"""),45030.6666666667)</f>
        <v>45030.6666666667</v>
      </c>
      <c r="B575" s="8" t="n">
        <f aca="false">IFERROR(__xludf.dummyfunction("""COMPUTED_VALUE"""),217.88)</f>
        <v>217.88</v>
      </c>
      <c r="C575" s="8" t="n">
        <f aca="false">IFERROR(__xludf.dummyfunction("""COMPUTED_VALUE"""),222.11)</f>
        <v>222.11</v>
      </c>
      <c r="D575" s="8" t="n">
        <f aca="false">IFERROR(__xludf.dummyfunction("""COMPUTED_VALUE"""),217.55)</f>
        <v>217.55</v>
      </c>
      <c r="E575" s="8" t="n">
        <f aca="false">IFERROR(__xludf.dummyfunction("""COMPUTED_VALUE"""),221.49)</f>
        <v>221.49</v>
      </c>
      <c r="F575" s="8" t="n">
        <f aca="false">IFERROR(__xludf.dummyfunction("""COMPUTED_VALUE"""),21591207)</f>
        <v>21591207</v>
      </c>
    </row>
    <row r="576" customFormat="false" ht="15.75" hidden="false" customHeight="false" outlineLevel="0" collapsed="false">
      <c r="A576" s="9" t="n">
        <f aca="false">IFERROR(__xludf.dummyfunction("""COMPUTED_VALUE"""),45033.6666666667)</f>
        <v>45033.6666666667</v>
      </c>
      <c r="B576" s="8" t="n">
        <f aca="false">IFERROR(__xludf.dummyfunction("""COMPUTED_VALUE"""),219.79)</f>
        <v>219.79</v>
      </c>
      <c r="C576" s="8" t="n">
        <f aca="false">IFERROR(__xludf.dummyfunction("""COMPUTED_VALUE"""),220.98)</f>
        <v>220.98</v>
      </c>
      <c r="D576" s="8" t="n">
        <f aca="false">IFERROR(__xludf.dummyfunction("""COMPUTED_VALUE"""),217.13)</f>
        <v>217.13</v>
      </c>
      <c r="E576" s="8" t="n">
        <f aca="false">IFERROR(__xludf.dummyfunction("""COMPUTED_VALUE"""),218.86)</f>
        <v>218.86</v>
      </c>
      <c r="F576" s="8" t="n">
        <f aca="false">IFERROR(__xludf.dummyfunction("""COMPUTED_VALUE"""),15481874)</f>
        <v>15481874</v>
      </c>
    </row>
    <row r="577" customFormat="false" ht="15.75" hidden="false" customHeight="false" outlineLevel="0" collapsed="false">
      <c r="A577" s="9" t="n">
        <f aca="false">IFERROR(__xludf.dummyfunction("""COMPUTED_VALUE"""),45034.6666666667)</f>
        <v>45034.6666666667</v>
      </c>
      <c r="B577" s="8" t="n">
        <f aca="false">IFERROR(__xludf.dummyfunction("""COMPUTED_VALUE"""),219.91)</f>
        <v>219.91</v>
      </c>
      <c r="C577" s="8" t="n">
        <f aca="false">IFERROR(__xludf.dummyfunction("""COMPUTED_VALUE"""),220.44)</f>
        <v>220.44</v>
      </c>
      <c r="D577" s="8" t="n">
        <f aca="false">IFERROR(__xludf.dummyfunction("""COMPUTED_VALUE"""),216.21)</f>
        <v>216.21</v>
      </c>
      <c r="E577" s="8" t="n">
        <f aca="false">IFERROR(__xludf.dummyfunction("""COMPUTED_VALUE"""),217.89)</f>
        <v>217.89</v>
      </c>
      <c r="F577" s="8" t="n">
        <f aca="false">IFERROR(__xludf.dummyfunction("""COMPUTED_VALUE"""),12280984)</f>
        <v>12280984</v>
      </c>
    </row>
    <row r="578" customFormat="false" ht="15.75" hidden="false" customHeight="false" outlineLevel="0" collapsed="false">
      <c r="A578" s="9" t="n">
        <f aca="false">IFERROR(__xludf.dummyfunction("""COMPUTED_VALUE"""),45035.6666666667)</f>
        <v>45035.6666666667</v>
      </c>
      <c r="B578" s="8" t="n">
        <f aca="false">IFERROR(__xludf.dummyfunction("""COMPUTED_VALUE"""),213.47)</f>
        <v>213.47</v>
      </c>
      <c r="C578" s="8" t="n">
        <f aca="false">IFERROR(__xludf.dummyfunction("""COMPUTED_VALUE"""),217.33)</f>
        <v>217.33</v>
      </c>
      <c r="D578" s="8" t="n">
        <f aca="false">IFERROR(__xludf.dummyfunction("""COMPUTED_VALUE"""),212.93)</f>
        <v>212.93</v>
      </c>
      <c r="E578" s="8" t="n">
        <f aca="false">IFERROR(__xludf.dummyfunction("""COMPUTED_VALUE"""),215.7)</f>
        <v>215.7</v>
      </c>
      <c r="F578" s="8" t="n">
        <f aca="false">IFERROR(__xludf.dummyfunction("""COMPUTED_VALUE"""),15898078)</f>
        <v>15898078</v>
      </c>
    </row>
    <row r="579" customFormat="false" ht="15.75" hidden="false" customHeight="false" outlineLevel="0" collapsed="false">
      <c r="A579" s="9" t="n">
        <f aca="false">IFERROR(__xludf.dummyfunction("""COMPUTED_VALUE"""),45036.6666666667)</f>
        <v>45036.6666666667</v>
      </c>
      <c r="B579" s="8" t="n">
        <f aca="false">IFERROR(__xludf.dummyfunction("""COMPUTED_VALUE"""),213.48)</f>
        <v>213.48</v>
      </c>
      <c r="C579" s="8" t="n">
        <f aca="false">IFERROR(__xludf.dummyfunction("""COMPUTED_VALUE"""),216.75)</f>
        <v>216.75</v>
      </c>
      <c r="D579" s="8" t="n">
        <f aca="false">IFERROR(__xludf.dummyfunction("""COMPUTED_VALUE"""),212.77)</f>
        <v>212.77</v>
      </c>
      <c r="E579" s="8" t="n">
        <f aca="false">IFERROR(__xludf.dummyfunction("""COMPUTED_VALUE"""),213.07)</f>
        <v>213.07</v>
      </c>
      <c r="F579" s="8" t="n">
        <f aca="false">IFERROR(__xludf.dummyfunction("""COMPUTED_VALUE"""),16475443)</f>
        <v>16475443</v>
      </c>
    </row>
    <row r="580" customFormat="false" ht="15.75" hidden="false" customHeight="false" outlineLevel="0" collapsed="false">
      <c r="A580" s="9" t="n">
        <f aca="false">IFERROR(__xludf.dummyfunction("""COMPUTED_VALUE"""),45037.6666666667)</f>
        <v>45037.6666666667</v>
      </c>
      <c r="B580" s="8" t="n">
        <f aca="false">IFERROR(__xludf.dummyfunction("""COMPUTED_VALUE"""),210.21)</f>
        <v>210.21</v>
      </c>
      <c r="C580" s="8" t="n">
        <f aca="false">IFERROR(__xludf.dummyfunction("""COMPUTED_VALUE"""),213.41)</f>
        <v>213.41</v>
      </c>
      <c r="D580" s="8" t="n">
        <f aca="false">IFERROR(__xludf.dummyfunction("""COMPUTED_VALUE"""),209.58)</f>
        <v>209.58</v>
      </c>
      <c r="E580" s="8" t="n">
        <f aca="false">IFERROR(__xludf.dummyfunction("""COMPUTED_VALUE"""),212.89)</f>
        <v>212.89</v>
      </c>
      <c r="F580" s="8" t="n">
        <f aca="false">IFERROR(__xludf.dummyfunction("""COMPUTED_VALUE"""),17717166)</f>
        <v>17717166</v>
      </c>
    </row>
    <row r="581" customFormat="false" ht="15.75" hidden="false" customHeight="false" outlineLevel="0" collapsed="false">
      <c r="A581" s="9" t="n">
        <f aca="false">IFERROR(__xludf.dummyfunction("""COMPUTED_VALUE"""),45040.6666666667)</f>
        <v>45040.6666666667</v>
      </c>
      <c r="B581" s="8" t="n">
        <f aca="false">IFERROR(__xludf.dummyfunction("""COMPUTED_VALUE"""),213.68)</f>
        <v>213.68</v>
      </c>
      <c r="C581" s="8" t="n">
        <f aca="false">IFERROR(__xludf.dummyfunction("""COMPUTED_VALUE"""),213.92)</f>
        <v>213.92</v>
      </c>
      <c r="D581" s="8" t="n">
        <f aca="false">IFERROR(__xludf.dummyfunction("""COMPUTED_VALUE"""),210.71)</f>
        <v>210.71</v>
      </c>
      <c r="E581" s="8" t="n">
        <f aca="false">IFERROR(__xludf.dummyfunction("""COMPUTED_VALUE"""),212.79)</f>
        <v>212.79</v>
      </c>
      <c r="F581" s="8" t="n">
        <f aca="false">IFERROR(__xludf.dummyfunction("""COMPUTED_VALUE"""),15750920)</f>
        <v>15750920</v>
      </c>
    </row>
    <row r="582" customFormat="false" ht="15.75" hidden="false" customHeight="false" outlineLevel="0" collapsed="false">
      <c r="A582" s="9" t="n">
        <f aca="false">IFERROR(__xludf.dummyfunction("""COMPUTED_VALUE"""),45041.6666666667)</f>
        <v>45041.6666666667</v>
      </c>
      <c r="B582" s="8" t="n">
        <f aca="false">IFERROR(__xludf.dummyfunction("""COMPUTED_VALUE"""),210.82)</f>
        <v>210.82</v>
      </c>
      <c r="C582" s="8" t="n">
        <f aca="false">IFERROR(__xludf.dummyfunction("""COMPUTED_VALUE"""),211.26)</f>
        <v>211.26</v>
      </c>
      <c r="D582" s="8" t="n">
        <f aca="false">IFERROR(__xludf.dummyfunction("""COMPUTED_VALUE"""),207.13)</f>
        <v>207.13</v>
      </c>
      <c r="E582" s="8" t="n">
        <f aca="false">IFERROR(__xludf.dummyfunction("""COMPUTED_VALUE"""),207.55)</f>
        <v>207.55</v>
      </c>
      <c r="F582" s="8" t="n">
        <f aca="false">IFERROR(__xludf.dummyfunction("""COMPUTED_VALUE"""),19198175)</f>
        <v>19198175</v>
      </c>
    </row>
    <row r="583" customFormat="false" ht="15.75" hidden="false" customHeight="false" outlineLevel="0" collapsed="false">
      <c r="A583" s="9" t="n">
        <f aca="false">IFERROR(__xludf.dummyfunction("""COMPUTED_VALUE"""),45042.6666666667)</f>
        <v>45042.6666666667</v>
      </c>
      <c r="B583" s="8" t="n">
        <f aca="false">IFERROR(__xludf.dummyfunction("""COMPUTED_VALUE"""),212.5)</f>
        <v>212.5</v>
      </c>
      <c r="C583" s="8" t="n">
        <f aca="false">IFERROR(__xludf.dummyfunction("""COMPUTED_VALUE"""),214.11)</f>
        <v>214.11</v>
      </c>
      <c r="D583" s="8" t="n">
        <f aca="false">IFERROR(__xludf.dummyfunction("""COMPUTED_VALUE"""),208.88)</f>
        <v>208.88</v>
      </c>
      <c r="E583" s="8" t="n">
        <f aca="false">IFERROR(__xludf.dummyfunction("""COMPUTED_VALUE"""),209.4)</f>
        <v>209.4</v>
      </c>
      <c r="F583" s="8" t="n">
        <f aca="false">IFERROR(__xludf.dummyfunction("""COMPUTED_VALUE"""),41992726)</f>
        <v>41992726</v>
      </c>
    </row>
    <row r="584" customFormat="false" ht="15.75" hidden="false" customHeight="false" outlineLevel="0" collapsed="false">
      <c r="A584" s="9" t="n">
        <f aca="false">IFERROR(__xludf.dummyfunction("""COMPUTED_VALUE"""),45043.6666666667)</f>
        <v>45043.6666666667</v>
      </c>
      <c r="B584" s="8" t="n">
        <f aca="false">IFERROR(__xludf.dummyfunction("""COMPUTED_VALUE"""),239.89)</f>
        <v>239.89</v>
      </c>
      <c r="C584" s="8" t="n">
        <f aca="false">IFERROR(__xludf.dummyfunction("""COMPUTED_VALUE"""),241.69)</f>
        <v>241.69</v>
      </c>
      <c r="D584" s="8" t="n">
        <f aca="false">IFERROR(__xludf.dummyfunction("""COMPUTED_VALUE"""),236.77)</f>
        <v>236.77</v>
      </c>
      <c r="E584" s="8" t="n">
        <f aca="false">IFERROR(__xludf.dummyfunction("""COMPUTED_VALUE"""),238.56)</f>
        <v>238.56</v>
      </c>
      <c r="F584" s="8" t="n">
        <f aca="false">IFERROR(__xludf.dummyfunction("""COMPUTED_VALUE"""),71196531)</f>
        <v>71196531</v>
      </c>
    </row>
    <row r="585" customFormat="false" ht="15.75" hidden="false" customHeight="false" outlineLevel="0" collapsed="false">
      <c r="A585" s="9" t="n">
        <f aca="false">IFERROR(__xludf.dummyfunction("""COMPUTED_VALUE"""),45044.6666666667)</f>
        <v>45044.6666666667</v>
      </c>
      <c r="B585" s="8" t="n">
        <f aca="false">IFERROR(__xludf.dummyfunction("""COMPUTED_VALUE"""),239.01)</f>
        <v>239.01</v>
      </c>
      <c r="C585" s="8" t="n">
        <f aca="false">IFERROR(__xludf.dummyfunction("""COMPUTED_VALUE"""),240.43)</f>
        <v>240.43</v>
      </c>
      <c r="D585" s="8" t="n">
        <f aca="false">IFERROR(__xludf.dummyfunction("""COMPUTED_VALUE"""),235.75)</f>
        <v>235.75</v>
      </c>
      <c r="E585" s="8" t="n">
        <f aca="false">IFERROR(__xludf.dummyfunction("""COMPUTED_VALUE"""),240.32)</f>
        <v>240.32</v>
      </c>
      <c r="F585" s="8" t="n">
        <f aca="false">IFERROR(__xludf.dummyfunction("""COMPUTED_VALUE"""),39554036)</f>
        <v>39554036</v>
      </c>
    </row>
    <row r="586" customFormat="false" ht="15.75" hidden="false" customHeight="false" outlineLevel="0" collapsed="false">
      <c r="A586" s="9" t="n">
        <f aca="false">IFERROR(__xludf.dummyfunction("""COMPUTED_VALUE"""),45047.6666666667)</f>
        <v>45047.6666666667</v>
      </c>
      <c r="B586" s="8" t="n">
        <f aca="false">IFERROR(__xludf.dummyfunction("""COMPUTED_VALUE"""),238.62)</f>
        <v>238.62</v>
      </c>
      <c r="C586" s="8" t="n">
        <f aca="false">IFERROR(__xludf.dummyfunction("""COMPUTED_VALUE"""),244)</f>
        <v>244</v>
      </c>
      <c r="D586" s="8" t="n">
        <f aca="false">IFERROR(__xludf.dummyfunction("""COMPUTED_VALUE"""),236.46)</f>
        <v>236.46</v>
      </c>
      <c r="E586" s="8" t="n">
        <f aca="false">IFERROR(__xludf.dummyfunction("""COMPUTED_VALUE"""),243.18)</f>
        <v>243.18</v>
      </c>
      <c r="F586" s="8" t="n">
        <f aca="false">IFERROR(__xludf.dummyfunction("""COMPUTED_VALUE"""),29143912)</f>
        <v>29143912</v>
      </c>
    </row>
    <row r="587" customFormat="false" ht="15.75" hidden="false" customHeight="false" outlineLevel="0" collapsed="false">
      <c r="A587" s="9" t="n">
        <f aca="false">IFERROR(__xludf.dummyfunction("""COMPUTED_VALUE"""),45048.6666666667)</f>
        <v>45048.6666666667</v>
      </c>
      <c r="B587" s="8" t="n">
        <f aca="false">IFERROR(__xludf.dummyfunction("""COMPUTED_VALUE"""),243.18)</f>
        <v>243.18</v>
      </c>
      <c r="C587" s="8" t="n">
        <f aca="false">IFERROR(__xludf.dummyfunction("""COMPUTED_VALUE"""),244.92)</f>
        <v>244.92</v>
      </c>
      <c r="D587" s="8" t="n">
        <f aca="false">IFERROR(__xludf.dummyfunction("""COMPUTED_VALUE"""),238.99)</f>
        <v>238.99</v>
      </c>
      <c r="E587" s="8" t="n">
        <f aca="false">IFERROR(__xludf.dummyfunction("""COMPUTED_VALUE"""),239.24)</f>
        <v>239.24</v>
      </c>
      <c r="F587" s="8" t="n">
        <f aca="false">IFERROR(__xludf.dummyfunction("""COMPUTED_VALUE"""),24350149)</f>
        <v>24350149</v>
      </c>
    </row>
    <row r="588" customFormat="false" ht="15.75" hidden="false" customHeight="false" outlineLevel="0" collapsed="false">
      <c r="A588" s="9" t="n">
        <f aca="false">IFERROR(__xludf.dummyfunction("""COMPUTED_VALUE"""),45049.6666666667)</f>
        <v>45049.6666666667</v>
      </c>
      <c r="B588" s="8" t="n">
        <f aca="false">IFERROR(__xludf.dummyfunction("""COMPUTED_VALUE"""),239.47)</f>
        <v>239.47</v>
      </c>
      <c r="C588" s="8" t="n">
        <f aca="false">IFERROR(__xludf.dummyfunction("""COMPUTED_VALUE"""),241.75)</f>
        <v>241.75</v>
      </c>
      <c r="D588" s="8" t="n">
        <f aca="false">IFERROR(__xludf.dummyfunction("""COMPUTED_VALUE"""),232.75)</f>
        <v>232.75</v>
      </c>
      <c r="E588" s="8" t="n">
        <f aca="false">IFERROR(__xludf.dummyfunction("""COMPUTED_VALUE"""),237.03)</f>
        <v>237.03</v>
      </c>
      <c r="F588" s="8" t="n">
        <f aca="false">IFERROR(__xludf.dummyfunction("""COMPUTED_VALUE"""),34463859)</f>
        <v>34463859</v>
      </c>
    </row>
    <row r="589" customFormat="false" ht="15.75" hidden="false" customHeight="false" outlineLevel="0" collapsed="false">
      <c r="A589" s="9" t="n">
        <f aca="false">IFERROR(__xludf.dummyfunction("""COMPUTED_VALUE"""),45050.6666666667)</f>
        <v>45050.6666666667</v>
      </c>
      <c r="B589" s="8" t="n">
        <f aca="false">IFERROR(__xludf.dummyfunction("""COMPUTED_VALUE"""),236.06)</f>
        <v>236.06</v>
      </c>
      <c r="C589" s="8" t="n">
        <f aca="false">IFERROR(__xludf.dummyfunction("""COMPUTED_VALUE"""),238.2)</f>
        <v>238.2</v>
      </c>
      <c r="D589" s="8" t="n">
        <f aca="false">IFERROR(__xludf.dummyfunction("""COMPUTED_VALUE"""),232.93)</f>
        <v>232.93</v>
      </c>
      <c r="E589" s="8" t="n">
        <f aca="false">IFERROR(__xludf.dummyfunction("""COMPUTED_VALUE"""),233.52)</f>
        <v>233.52</v>
      </c>
      <c r="F589" s="8" t="n">
        <f aca="false">IFERROR(__xludf.dummyfunction("""COMPUTED_VALUE"""),17889391)</f>
        <v>17889391</v>
      </c>
    </row>
    <row r="590" customFormat="false" ht="15.75" hidden="false" customHeight="false" outlineLevel="0" collapsed="false">
      <c r="A590" s="9" t="n">
        <f aca="false">IFERROR(__xludf.dummyfunction("""COMPUTED_VALUE"""),45051.6666666667)</f>
        <v>45051.6666666667</v>
      </c>
      <c r="B590" s="8" t="n">
        <f aca="false">IFERROR(__xludf.dummyfunction("""COMPUTED_VALUE"""),232.24)</f>
        <v>232.24</v>
      </c>
      <c r="C590" s="8" t="n">
        <f aca="false">IFERROR(__xludf.dummyfunction("""COMPUTED_VALUE"""),234.68)</f>
        <v>234.68</v>
      </c>
      <c r="D590" s="8" t="n">
        <f aca="false">IFERROR(__xludf.dummyfunction("""COMPUTED_VALUE"""),229.85)</f>
        <v>229.85</v>
      </c>
      <c r="E590" s="8" t="n">
        <f aca="false">IFERROR(__xludf.dummyfunction("""COMPUTED_VALUE"""),232.78)</f>
        <v>232.78</v>
      </c>
      <c r="F590" s="8" t="n">
        <f aca="false">IFERROR(__xludf.dummyfunction("""COMPUTED_VALUE"""),27000480)</f>
        <v>27000480</v>
      </c>
    </row>
    <row r="591" customFormat="false" ht="15.75" hidden="false" customHeight="false" outlineLevel="0" collapsed="false">
      <c r="A591" s="9" t="n">
        <f aca="false">IFERROR(__xludf.dummyfunction("""COMPUTED_VALUE"""),45054.6666666667)</f>
        <v>45054.6666666667</v>
      </c>
      <c r="B591" s="8" t="n">
        <f aca="false">IFERROR(__xludf.dummyfunction("""COMPUTED_VALUE"""),231.42)</f>
        <v>231.42</v>
      </c>
      <c r="C591" s="8" t="n">
        <f aca="false">IFERROR(__xludf.dummyfunction("""COMPUTED_VALUE"""),235.62)</f>
        <v>235.62</v>
      </c>
      <c r="D591" s="8" t="n">
        <f aca="false">IFERROR(__xludf.dummyfunction("""COMPUTED_VALUE"""),230.27)</f>
        <v>230.27</v>
      </c>
      <c r="E591" s="8" t="n">
        <f aca="false">IFERROR(__xludf.dummyfunction("""COMPUTED_VALUE"""),233.27)</f>
        <v>233.27</v>
      </c>
      <c r="F591" s="8" t="n">
        <f aca="false">IFERROR(__xludf.dummyfunction("""COMPUTED_VALUE"""),16400526)</f>
        <v>16400526</v>
      </c>
    </row>
    <row r="592" customFormat="false" ht="15.75" hidden="false" customHeight="false" outlineLevel="0" collapsed="false">
      <c r="A592" s="9" t="n">
        <f aca="false">IFERROR(__xludf.dummyfunction("""COMPUTED_VALUE"""),45055.6666666667)</f>
        <v>45055.6666666667</v>
      </c>
      <c r="B592" s="8" t="n">
        <f aca="false">IFERROR(__xludf.dummyfunction("""COMPUTED_VALUE"""),231.46)</f>
        <v>231.46</v>
      </c>
      <c r="C592" s="8" t="n">
        <f aca="false">IFERROR(__xludf.dummyfunction("""COMPUTED_VALUE"""),235.88)</f>
        <v>235.88</v>
      </c>
      <c r="D592" s="8" t="n">
        <f aca="false">IFERROR(__xludf.dummyfunction("""COMPUTED_VALUE"""),231.08)</f>
        <v>231.08</v>
      </c>
      <c r="E592" s="8" t="n">
        <f aca="false">IFERROR(__xludf.dummyfunction("""COMPUTED_VALUE"""),233.37)</f>
        <v>233.37</v>
      </c>
      <c r="F592" s="8" t="n">
        <f aca="false">IFERROR(__xludf.dummyfunction("""COMPUTED_VALUE"""),16865587)</f>
        <v>16865587</v>
      </c>
    </row>
    <row r="593" customFormat="false" ht="15.75" hidden="false" customHeight="false" outlineLevel="0" collapsed="false">
      <c r="A593" s="9" t="n">
        <f aca="false">IFERROR(__xludf.dummyfunction("""COMPUTED_VALUE"""),45056.6666666667)</f>
        <v>45056.6666666667</v>
      </c>
      <c r="B593" s="8" t="n">
        <f aca="false">IFERROR(__xludf.dummyfunction("""COMPUTED_VALUE"""),236.17)</f>
        <v>236.17</v>
      </c>
      <c r="C593" s="8" t="n">
        <f aca="false">IFERROR(__xludf.dummyfunction("""COMPUTED_VALUE"""),236.75)</f>
        <v>236.75</v>
      </c>
      <c r="D593" s="8" t="n">
        <f aca="false">IFERROR(__xludf.dummyfunction("""COMPUTED_VALUE"""),230.72)</f>
        <v>230.72</v>
      </c>
      <c r="E593" s="8" t="n">
        <f aca="false">IFERROR(__xludf.dummyfunction("""COMPUTED_VALUE"""),233.08)</f>
        <v>233.08</v>
      </c>
      <c r="F593" s="8" t="n">
        <f aca="false">IFERROR(__xludf.dummyfunction("""COMPUTED_VALUE"""),19119007)</f>
        <v>19119007</v>
      </c>
    </row>
    <row r="594" customFormat="false" ht="15.75" hidden="false" customHeight="false" outlineLevel="0" collapsed="false">
      <c r="A594" s="9" t="n">
        <f aca="false">IFERROR(__xludf.dummyfunction("""COMPUTED_VALUE"""),45057.6666666667)</f>
        <v>45057.6666666667</v>
      </c>
      <c r="B594" s="8" t="n">
        <f aca="false">IFERROR(__xludf.dummyfunction("""COMPUTED_VALUE"""),233.05)</f>
        <v>233.05</v>
      </c>
      <c r="C594" s="8" t="n">
        <f aca="false">IFERROR(__xludf.dummyfunction("""COMPUTED_VALUE"""),238.21)</f>
        <v>238.21</v>
      </c>
      <c r="D594" s="8" t="n">
        <f aca="false">IFERROR(__xludf.dummyfunction("""COMPUTED_VALUE"""),232.3)</f>
        <v>232.3</v>
      </c>
      <c r="E594" s="8" t="n">
        <f aca="false">IFERROR(__xludf.dummyfunction("""COMPUTED_VALUE"""),235.79)</f>
        <v>235.79</v>
      </c>
      <c r="F594" s="8" t="n">
        <f aca="false">IFERROR(__xludf.dummyfunction("""COMPUTED_VALUE"""),20448991)</f>
        <v>20448991</v>
      </c>
    </row>
    <row r="595" customFormat="false" ht="15.75" hidden="false" customHeight="false" outlineLevel="0" collapsed="false">
      <c r="A595" s="9" t="n">
        <f aca="false">IFERROR(__xludf.dummyfunction("""COMPUTED_VALUE"""),45058.6666666667)</f>
        <v>45058.6666666667</v>
      </c>
      <c r="B595" s="8" t="n">
        <f aca="false">IFERROR(__xludf.dummyfunction("""COMPUTED_VALUE"""),236.74)</f>
        <v>236.74</v>
      </c>
      <c r="C595" s="8" t="n">
        <f aca="false">IFERROR(__xludf.dummyfunction("""COMPUTED_VALUE"""),236.96)</f>
        <v>236.96</v>
      </c>
      <c r="D595" s="8" t="n">
        <f aca="false">IFERROR(__xludf.dummyfunction("""COMPUTED_VALUE"""),231.45)</f>
        <v>231.45</v>
      </c>
      <c r="E595" s="8" t="n">
        <f aca="false">IFERROR(__xludf.dummyfunction("""COMPUTED_VALUE"""),233.81)</f>
        <v>233.81</v>
      </c>
      <c r="F595" s="8" t="n">
        <f aca="false">IFERROR(__xludf.dummyfunction("""COMPUTED_VALUE"""),16161447)</f>
        <v>16161447</v>
      </c>
    </row>
    <row r="596" customFormat="false" ht="15.75" hidden="false" customHeight="false" outlineLevel="0" collapsed="false">
      <c r="A596" s="9" t="n">
        <f aca="false">IFERROR(__xludf.dummyfunction("""COMPUTED_VALUE"""),45061.6666666667)</f>
        <v>45061.6666666667</v>
      </c>
      <c r="B596" s="8" t="n">
        <f aca="false">IFERROR(__xludf.dummyfunction("""COMPUTED_VALUE"""),236.92)</f>
        <v>236.92</v>
      </c>
      <c r="C596" s="8" t="n">
        <f aca="false">IFERROR(__xludf.dummyfunction("""COMPUTED_VALUE"""),240.26)</f>
        <v>240.26</v>
      </c>
      <c r="D596" s="8" t="n">
        <f aca="false">IFERROR(__xludf.dummyfunction("""COMPUTED_VALUE"""),235.33)</f>
        <v>235.33</v>
      </c>
      <c r="E596" s="8" t="n">
        <f aca="false">IFERROR(__xludf.dummyfunction("""COMPUTED_VALUE"""),238.86)</f>
        <v>238.86</v>
      </c>
      <c r="F596" s="8" t="n">
        <f aca="false">IFERROR(__xludf.dummyfunction("""COMPUTED_VALUE"""),20653229)</f>
        <v>20653229</v>
      </c>
    </row>
    <row r="597" customFormat="false" ht="15.75" hidden="false" customHeight="false" outlineLevel="0" collapsed="false">
      <c r="A597" s="9" t="n">
        <f aca="false">IFERROR(__xludf.dummyfunction("""COMPUTED_VALUE"""),45062.6666666667)</f>
        <v>45062.6666666667</v>
      </c>
      <c r="B597" s="8" t="n">
        <f aca="false">IFERROR(__xludf.dummyfunction("""COMPUTED_VALUE"""),235.79)</f>
        <v>235.79</v>
      </c>
      <c r="C597" s="8" t="n">
        <f aca="false">IFERROR(__xludf.dummyfunction("""COMPUTED_VALUE"""),239.64)</f>
        <v>239.64</v>
      </c>
      <c r="D597" s="8" t="n">
        <f aca="false">IFERROR(__xludf.dummyfunction("""COMPUTED_VALUE"""),235.52)</f>
        <v>235.52</v>
      </c>
      <c r="E597" s="8" t="n">
        <f aca="false">IFERROR(__xludf.dummyfunction("""COMPUTED_VALUE"""),238.82)</f>
        <v>238.82</v>
      </c>
      <c r="F597" s="8" t="n">
        <f aca="false">IFERROR(__xludf.dummyfunction("""COMPUTED_VALUE"""),18163772)</f>
        <v>18163772</v>
      </c>
    </row>
    <row r="598" customFormat="false" ht="15.75" hidden="false" customHeight="false" outlineLevel="0" collapsed="false">
      <c r="A598" s="9" t="n">
        <f aca="false">IFERROR(__xludf.dummyfunction("""COMPUTED_VALUE"""),45063.6666666667)</f>
        <v>45063.6666666667</v>
      </c>
      <c r="B598" s="8" t="n">
        <f aca="false">IFERROR(__xludf.dummyfunction("""COMPUTED_VALUE"""),238.45)</f>
        <v>238.45</v>
      </c>
      <c r="C598" s="8" t="n">
        <f aca="false">IFERROR(__xludf.dummyfunction("""COMPUTED_VALUE"""),243.84)</f>
        <v>243.84</v>
      </c>
      <c r="D598" s="8" t="n">
        <f aca="false">IFERROR(__xludf.dummyfunction("""COMPUTED_VALUE"""),238.14)</f>
        <v>238.14</v>
      </c>
      <c r="E598" s="8" t="n">
        <f aca="false">IFERROR(__xludf.dummyfunction("""COMPUTED_VALUE"""),242.49)</f>
        <v>242.49</v>
      </c>
      <c r="F598" s="8" t="n">
        <f aca="false">IFERROR(__xludf.dummyfunction("""COMPUTED_VALUE"""),21193080)</f>
        <v>21193080</v>
      </c>
    </row>
    <row r="599" customFormat="false" ht="15.75" hidden="false" customHeight="false" outlineLevel="0" collapsed="false">
      <c r="A599" s="9" t="n">
        <f aca="false">IFERROR(__xludf.dummyfunction("""COMPUTED_VALUE"""),45064.6666666667)</f>
        <v>45064.6666666667</v>
      </c>
      <c r="B599" s="8" t="n">
        <f aca="false">IFERROR(__xludf.dummyfunction("""COMPUTED_VALUE"""),241.3)</f>
        <v>241.3</v>
      </c>
      <c r="C599" s="8" t="n">
        <f aca="false">IFERROR(__xludf.dummyfunction("""COMPUTED_VALUE"""),247.09)</f>
        <v>247.09</v>
      </c>
      <c r="D599" s="8" t="n">
        <f aca="false">IFERROR(__xludf.dummyfunction("""COMPUTED_VALUE"""),241.19)</f>
        <v>241.19</v>
      </c>
      <c r="E599" s="8" t="n">
        <f aca="false">IFERROR(__xludf.dummyfunction("""COMPUTED_VALUE"""),246.85)</f>
        <v>246.85</v>
      </c>
      <c r="F599" s="8" t="n">
        <f aca="false">IFERROR(__xludf.dummyfunction("""COMPUTED_VALUE"""),22943297)</f>
        <v>22943297</v>
      </c>
    </row>
    <row r="600" customFormat="false" ht="15.75" hidden="false" customHeight="false" outlineLevel="0" collapsed="false">
      <c r="A600" s="9" t="n">
        <f aca="false">IFERROR(__xludf.dummyfunction("""COMPUTED_VALUE"""),45065.6666666667)</f>
        <v>45065.6666666667</v>
      </c>
      <c r="B600" s="8" t="n">
        <f aca="false">IFERROR(__xludf.dummyfunction("""COMPUTED_VALUE"""),247.47)</f>
        <v>247.47</v>
      </c>
      <c r="C600" s="8" t="n">
        <f aca="false">IFERROR(__xludf.dummyfunction("""COMPUTED_VALUE"""),248.69)</f>
        <v>248.69</v>
      </c>
      <c r="D600" s="8" t="n">
        <f aca="false">IFERROR(__xludf.dummyfunction("""COMPUTED_VALUE"""),243.41)</f>
        <v>243.41</v>
      </c>
      <c r="E600" s="8" t="n">
        <f aca="false">IFERROR(__xludf.dummyfunction("""COMPUTED_VALUE"""),245.64)</f>
        <v>245.64</v>
      </c>
      <c r="F600" s="8" t="n">
        <f aca="false">IFERROR(__xludf.dummyfunction("""COMPUTED_VALUE"""),21733581)</f>
        <v>21733581</v>
      </c>
    </row>
    <row r="601" customFormat="false" ht="15.75" hidden="false" customHeight="false" outlineLevel="0" collapsed="false">
      <c r="A601" s="9" t="n">
        <f aca="false">IFERROR(__xludf.dummyfunction("""COMPUTED_VALUE"""),45068.6666666667)</f>
        <v>45068.6666666667</v>
      </c>
      <c r="B601" s="8" t="n">
        <f aca="false">IFERROR(__xludf.dummyfunction("""COMPUTED_VALUE"""),245.41)</f>
        <v>245.41</v>
      </c>
      <c r="C601" s="8" t="n">
        <f aca="false">IFERROR(__xludf.dummyfunction("""COMPUTED_VALUE"""),253.57)</f>
        <v>253.57</v>
      </c>
      <c r="D601" s="8" t="n">
        <f aca="false">IFERROR(__xludf.dummyfunction("""COMPUTED_VALUE"""),245.12)</f>
        <v>245.12</v>
      </c>
      <c r="E601" s="8" t="n">
        <f aca="false">IFERROR(__xludf.dummyfunction("""COMPUTED_VALUE"""),248.32)</f>
        <v>248.32</v>
      </c>
      <c r="F601" s="8" t="n">
        <f aca="false">IFERROR(__xludf.dummyfunction("""COMPUTED_VALUE"""),27738479)</f>
        <v>27738479</v>
      </c>
    </row>
    <row r="602" customFormat="false" ht="15.75" hidden="false" customHeight="false" outlineLevel="0" collapsed="false">
      <c r="A602" s="9" t="n">
        <f aca="false">IFERROR(__xludf.dummyfunction("""COMPUTED_VALUE"""),45069.6666666667)</f>
        <v>45069.6666666667</v>
      </c>
      <c r="B602" s="8" t="n">
        <f aca="false">IFERROR(__xludf.dummyfunction("""COMPUTED_VALUE"""),246.81)</f>
        <v>246.81</v>
      </c>
      <c r="C602" s="8" t="n">
        <f aca="false">IFERROR(__xludf.dummyfunction("""COMPUTED_VALUE"""),251.61)</f>
        <v>251.61</v>
      </c>
      <c r="D602" s="8" t="n">
        <f aca="false">IFERROR(__xludf.dummyfunction("""COMPUTED_VALUE"""),246.65)</f>
        <v>246.65</v>
      </c>
      <c r="E602" s="8" t="n">
        <f aca="false">IFERROR(__xludf.dummyfunction("""COMPUTED_VALUE"""),246.74)</f>
        <v>246.74</v>
      </c>
      <c r="F602" s="8" t="n">
        <f aca="false">IFERROR(__xludf.dummyfunction("""COMPUTED_VALUE"""),17748115)</f>
        <v>17748115</v>
      </c>
    </row>
    <row r="603" customFormat="false" ht="15.75" hidden="false" customHeight="false" outlineLevel="0" collapsed="false">
      <c r="A603" s="9" t="n">
        <f aca="false">IFERROR(__xludf.dummyfunction("""COMPUTED_VALUE"""),45070.6666666667)</f>
        <v>45070.6666666667</v>
      </c>
      <c r="B603" s="8" t="n">
        <f aca="false">IFERROR(__xludf.dummyfunction("""COMPUTED_VALUE"""),245.28)</f>
        <v>245.28</v>
      </c>
      <c r="C603" s="8" t="n">
        <f aca="false">IFERROR(__xludf.dummyfunction("""COMPUTED_VALUE"""),249.59)</f>
        <v>249.59</v>
      </c>
      <c r="D603" s="8" t="n">
        <f aca="false">IFERROR(__xludf.dummyfunction("""COMPUTED_VALUE"""),244.95)</f>
        <v>244.95</v>
      </c>
      <c r="E603" s="8" t="n">
        <f aca="false">IFERROR(__xludf.dummyfunction("""COMPUTED_VALUE"""),249.21)</f>
        <v>249.21</v>
      </c>
      <c r="F603" s="8" t="n">
        <f aca="false">IFERROR(__xludf.dummyfunction("""COMPUTED_VALUE"""),17724338)</f>
        <v>17724338</v>
      </c>
    </row>
    <row r="604" customFormat="false" ht="15.75" hidden="false" customHeight="false" outlineLevel="0" collapsed="false">
      <c r="A604" s="9" t="n">
        <f aca="false">IFERROR(__xludf.dummyfunction("""COMPUTED_VALUE"""),45071.6666666667)</f>
        <v>45071.6666666667</v>
      </c>
      <c r="B604" s="8" t="n">
        <f aca="false">IFERROR(__xludf.dummyfunction("""COMPUTED_VALUE"""),253.4)</f>
        <v>253.4</v>
      </c>
      <c r="C604" s="8" t="n">
        <f aca="false">IFERROR(__xludf.dummyfunction("""COMPUTED_VALUE"""),255.62)</f>
        <v>255.62</v>
      </c>
      <c r="D604" s="8" t="n">
        <f aca="false">IFERROR(__xludf.dummyfunction("""COMPUTED_VALUE"""),249.17)</f>
        <v>249.17</v>
      </c>
      <c r="E604" s="8" t="n">
        <f aca="false">IFERROR(__xludf.dummyfunction("""COMPUTED_VALUE"""),252.69)</f>
        <v>252.69</v>
      </c>
      <c r="F604" s="8" t="n">
        <f aca="false">IFERROR(__xludf.dummyfunction("""COMPUTED_VALUE"""),22371435)</f>
        <v>22371435</v>
      </c>
    </row>
    <row r="605" customFormat="false" ht="15.75" hidden="false" customHeight="false" outlineLevel="0" collapsed="false">
      <c r="A605" s="9" t="n">
        <f aca="false">IFERROR(__xludf.dummyfunction("""COMPUTED_VALUE"""),45072.6666666667)</f>
        <v>45072.6666666667</v>
      </c>
      <c r="B605" s="8" t="n">
        <f aca="false">IFERROR(__xludf.dummyfunction("""COMPUTED_VALUE"""),252.93)</f>
        <v>252.93</v>
      </c>
      <c r="C605" s="8" t="n">
        <f aca="false">IFERROR(__xludf.dummyfunction("""COMPUTED_VALUE"""),262.31)</f>
        <v>262.31</v>
      </c>
      <c r="D605" s="8" t="n">
        <f aca="false">IFERROR(__xludf.dummyfunction("""COMPUTED_VALUE"""),252.71)</f>
        <v>252.71</v>
      </c>
      <c r="E605" s="8" t="n">
        <f aca="false">IFERROR(__xludf.dummyfunction("""COMPUTED_VALUE"""),262.04)</f>
        <v>262.04</v>
      </c>
      <c r="F605" s="8" t="n">
        <f aca="false">IFERROR(__xludf.dummyfunction("""COMPUTED_VALUE"""),25768663)</f>
        <v>25768663</v>
      </c>
    </row>
    <row r="606" customFormat="false" ht="15.75" hidden="false" customHeight="false" outlineLevel="0" collapsed="false">
      <c r="A606" s="9" t="n">
        <f aca="false">IFERROR(__xludf.dummyfunction("""COMPUTED_VALUE"""),45076.6666666667)</f>
        <v>45076.6666666667</v>
      </c>
      <c r="B606" s="8" t="n">
        <f aca="false">IFERROR(__xludf.dummyfunction("""COMPUTED_VALUE"""),265.25)</f>
        <v>265.25</v>
      </c>
      <c r="C606" s="8" t="n">
        <f aca="false">IFERROR(__xludf.dummyfunction("""COMPUTED_VALUE"""),268.65)</f>
        <v>268.65</v>
      </c>
      <c r="D606" s="8" t="n">
        <f aca="false">IFERROR(__xludf.dummyfunction("""COMPUTED_VALUE"""),261.29)</f>
        <v>261.29</v>
      </c>
      <c r="E606" s="8" t="n">
        <f aca="false">IFERROR(__xludf.dummyfunction("""COMPUTED_VALUE"""),262.52)</f>
        <v>262.52</v>
      </c>
      <c r="F606" s="8" t="n">
        <f aca="false">IFERROR(__xludf.dummyfunction("""COMPUTED_VALUE"""),23816483)</f>
        <v>23816483</v>
      </c>
    </row>
    <row r="607" customFormat="false" ht="15.75" hidden="false" customHeight="false" outlineLevel="0" collapsed="false">
      <c r="A607" s="9" t="n">
        <f aca="false">IFERROR(__xludf.dummyfunction("""COMPUTED_VALUE"""),45077.6666666667)</f>
        <v>45077.6666666667</v>
      </c>
      <c r="B607" s="8" t="n">
        <f aca="false">IFERROR(__xludf.dummyfunction("""COMPUTED_VALUE"""),260)</f>
        <v>260</v>
      </c>
      <c r="C607" s="8" t="n">
        <f aca="false">IFERROR(__xludf.dummyfunction("""COMPUTED_VALUE"""),265)</f>
        <v>265</v>
      </c>
      <c r="D607" s="8" t="n">
        <f aca="false">IFERROR(__xludf.dummyfunction("""COMPUTED_VALUE"""),258.45)</f>
        <v>258.45</v>
      </c>
      <c r="E607" s="8" t="n">
        <f aca="false">IFERROR(__xludf.dummyfunction("""COMPUTED_VALUE"""),264.72)</f>
        <v>264.72</v>
      </c>
      <c r="F607" s="8" t="n">
        <f aca="false">IFERROR(__xludf.dummyfunction("""COMPUTED_VALUE"""),25473690)</f>
        <v>25473690</v>
      </c>
    </row>
    <row r="608" customFormat="false" ht="15.75" hidden="false" customHeight="false" outlineLevel="0" collapsed="false">
      <c r="A608" s="9" t="n">
        <f aca="false">IFERROR(__xludf.dummyfunction("""COMPUTED_VALUE"""),45078.6666666667)</f>
        <v>45078.6666666667</v>
      </c>
      <c r="B608" s="8" t="n">
        <f aca="false">IFERROR(__xludf.dummyfunction("""COMPUTED_VALUE"""),265.9)</f>
        <v>265.9</v>
      </c>
      <c r="C608" s="8" t="n">
        <f aca="false">IFERROR(__xludf.dummyfunction("""COMPUTED_VALUE"""),274)</f>
        <v>274</v>
      </c>
      <c r="D608" s="8" t="n">
        <f aca="false">IFERROR(__xludf.dummyfunction("""COMPUTED_VALUE"""),265.89)</f>
        <v>265.89</v>
      </c>
      <c r="E608" s="8" t="n">
        <f aca="false">IFERROR(__xludf.dummyfunction("""COMPUTED_VALUE"""),272.61)</f>
        <v>272.61</v>
      </c>
      <c r="F608" s="8" t="n">
        <f aca="false">IFERROR(__xludf.dummyfunction("""COMPUTED_VALUE"""),25609508)</f>
        <v>25609508</v>
      </c>
    </row>
    <row r="609" customFormat="false" ht="15.75" hidden="false" customHeight="false" outlineLevel="0" collapsed="false">
      <c r="A609" s="9" t="n">
        <f aca="false">IFERROR(__xludf.dummyfunction("""COMPUTED_VALUE"""),45079.6666666667)</f>
        <v>45079.6666666667</v>
      </c>
      <c r="B609" s="8" t="n">
        <f aca="false">IFERROR(__xludf.dummyfunction("""COMPUTED_VALUE"""),272.66)</f>
        <v>272.66</v>
      </c>
      <c r="C609" s="8" t="n">
        <f aca="false">IFERROR(__xludf.dummyfunction("""COMPUTED_VALUE"""),275.35)</f>
        <v>275.35</v>
      </c>
      <c r="D609" s="8" t="n">
        <f aca="false">IFERROR(__xludf.dummyfunction("""COMPUTED_VALUE"""),271.12)</f>
        <v>271.12</v>
      </c>
      <c r="E609" s="8" t="n">
        <f aca="false">IFERROR(__xludf.dummyfunction("""COMPUTED_VALUE"""),272.61)</f>
        <v>272.61</v>
      </c>
      <c r="F609" s="8" t="n">
        <f aca="false">IFERROR(__xludf.dummyfunction("""COMPUTED_VALUE"""),19416930)</f>
        <v>19416930</v>
      </c>
    </row>
    <row r="610" customFormat="false" ht="15.75" hidden="false" customHeight="false" outlineLevel="0" collapsed="false">
      <c r="A610" s="9" t="n">
        <f aca="false">IFERROR(__xludf.dummyfunction("""COMPUTED_VALUE"""),45082.6666666667)</f>
        <v>45082.6666666667</v>
      </c>
      <c r="B610" s="8" t="n">
        <f aca="false">IFERROR(__xludf.dummyfunction("""COMPUTED_VALUE"""),270.3)</f>
        <v>270.3</v>
      </c>
      <c r="C610" s="8" t="n">
        <f aca="false">IFERROR(__xludf.dummyfunction("""COMPUTED_VALUE"""),275.57)</f>
        <v>275.57</v>
      </c>
      <c r="D610" s="8" t="n">
        <f aca="false">IFERROR(__xludf.dummyfunction("""COMPUTED_VALUE"""),269.56)</f>
        <v>269.56</v>
      </c>
      <c r="E610" s="8" t="n">
        <f aca="false">IFERROR(__xludf.dummyfunction("""COMPUTED_VALUE"""),271.39)</f>
        <v>271.39</v>
      </c>
      <c r="F610" s="8" t="n">
        <f aca="false">IFERROR(__xludf.dummyfunction("""COMPUTED_VALUE"""),20742946)</f>
        <v>20742946</v>
      </c>
    </row>
    <row r="611" customFormat="false" ht="15.75" hidden="false" customHeight="false" outlineLevel="0" collapsed="false">
      <c r="A611" s="9" t="n">
        <f aca="false">IFERROR(__xludf.dummyfunction("""COMPUTED_VALUE"""),45083.6666666667)</f>
        <v>45083.6666666667</v>
      </c>
      <c r="B611" s="8" t="n">
        <f aca="false">IFERROR(__xludf.dummyfunction("""COMPUTED_VALUE"""),270.14)</f>
        <v>270.14</v>
      </c>
      <c r="C611" s="8" t="n">
        <f aca="false">IFERROR(__xludf.dummyfunction("""COMPUTED_VALUE"""),276.57)</f>
        <v>276.57</v>
      </c>
      <c r="D611" s="8" t="n">
        <f aca="false">IFERROR(__xludf.dummyfunction("""COMPUTED_VALUE"""),269.69)</f>
        <v>269.69</v>
      </c>
      <c r="E611" s="8" t="n">
        <f aca="false">IFERROR(__xludf.dummyfunction("""COMPUTED_VALUE"""),271.12)</f>
        <v>271.12</v>
      </c>
      <c r="F611" s="8" t="n">
        <f aca="false">IFERROR(__xludf.dummyfunction("""COMPUTED_VALUE"""),19419010)</f>
        <v>19419010</v>
      </c>
    </row>
    <row r="612" customFormat="false" ht="15.75" hidden="false" customHeight="false" outlineLevel="0" collapsed="false">
      <c r="A612" s="9" t="n">
        <f aca="false">IFERROR(__xludf.dummyfunction("""COMPUTED_VALUE"""),45084.6666666667)</f>
        <v>45084.6666666667</v>
      </c>
      <c r="B612" s="8" t="n">
        <f aca="false">IFERROR(__xludf.dummyfunction("""COMPUTED_VALUE"""),271.67)</f>
        <v>271.67</v>
      </c>
      <c r="C612" s="8" t="n">
        <f aca="false">IFERROR(__xludf.dummyfunction("""COMPUTED_VALUE"""),274.25)</f>
        <v>274.25</v>
      </c>
      <c r="D612" s="8" t="n">
        <f aca="false">IFERROR(__xludf.dummyfunction("""COMPUTED_VALUE"""),262.8)</f>
        <v>262.8</v>
      </c>
      <c r="E612" s="8" t="n">
        <f aca="false">IFERROR(__xludf.dummyfunction("""COMPUTED_VALUE"""),263.6)</f>
        <v>263.6</v>
      </c>
      <c r="F612" s="8" t="n">
        <f aca="false">IFERROR(__xludf.dummyfunction("""COMPUTED_VALUE"""),26163627)</f>
        <v>26163627</v>
      </c>
    </row>
    <row r="613" customFormat="false" ht="15.75" hidden="false" customHeight="false" outlineLevel="0" collapsed="false">
      <c r="A613" s="9" t="n">
        <f aca="false">IFERROR(__xludf.dummyfunction("""COMPUTED_VALUE"""),45085.6666666667)</f>
        <v>45085.6666666667</v>
      </c>
      <c r="B613" s="8" t="n">
        <f aca="false">IFERROR(__xludf.dummyfunction("""COMPUTED_VALUE"""),260.62)</f>
        <v>260.62</v>
      </c>
      <c r="C613" s="8" t="n">
        <f aca="false">IFERROR(__xludf.dummyfunction("""COMPUTED_VALUE"""),267.65)</f>
        <v>267.65</v>
      </c>
      <c r="D613" s="8" t="n">
        <f aca="false">IFERROR(__xludf.dummyfunction("""COMPUTED_VALUE"""),258.88)</f>
        <v>258.88</v>
      </c>
      <c r="E613" s="8" t="n">
        <f aca="false">IFERROR(__xludf.dummyfunction("""COMPUTED_VALUE"""),264.58)</f>
        <v>264.58</v>
      </c>
      <c r="F613" s="8" t="n">
        <f aca="false">IFERROR(__xludf.dummyfunction("""COMPUTED_VALUE"""),20899359)</f>
        <v>20899359</v>
      </c>
    </row>
    <row r="614" customFormat="false" ht="15.75" hidden="false" customHeight="false" outlineLevel="0" collapsed="false">
      <c r="A614" s="9" t="n">
        <f aca="false">IFERROR(__xludf.dummyfunction("""COMPUTED_VALUE"""),45086.6666666667)</f>
        <v>45086.6666666667</v>
      </c>
      <c r="B614" s="8" t="n">
        <f aca="false">IFERROR(__xludf.dummyfunction("""COMPUTED_VALUE"""),262.48)</f>
        <v>262.48</v>
      </c>
      <c r="C614" s="8" t="n">
        <f aca="false">IFERROR(__xludf.dummyfunction("""COMPUTED_VALUE"""),267.95)</f>
        <v>267.95</v>
      </c>
      <c r="D614" s="8" t="n">
        <f aca="false">IFERROR(__xludf.dummyfunction("""COMPUTED_VALUE"""),261.7)</f>
        <v>261.7</v>
      </c>
      <c r="E614" s="8" t="n">
        <f aca="false">IFERROR(__xludf.dummyfunction("""COMPUTED_VALUE"""),264.95)</f>
        <v>264.95</v>
      </c>
      <c r="F614" s="8" t="n">
        <f aca="false">IFERROR(__xludf.dummyfunction("""COMPUTED_VALUE"""),16949794)</f>
        <v>16949794</v>
      </c>
    </row>
    <row r="615" customFormat="false" ht="15.75" hidden="false" customHeight="false" outlineLevel="0" collapsed="false">
      <c r="A615" s="9" t="n">
        <f aca="false">IFERROR(__xludf.dummyfunction("""COMPUTED_VALUE"""),45089.6666666667)</f>
        <v>45089.6666666667</v>
      </c>
      <c r="B615" s="8" t="n">
        <f aca="false">IFERROR(__xludf.dummyfunction("""COMPUTED_VALUE"""),267.17)</f>
        <v>267.17</v>
      </c>
      <c r="C615" s="8" t="n">
        <f aca="false">IFERROR(__xludf.dummyfunction("""COMPUTED_VALUE"""),271.75)</f>
        <v>271.75</v>
      </c>
      <c r="D615" s="8" t="n">
        <f aca="false">IFERROR(__xludf.dummyfunction("""COMPUTED_VALUE"""),265.33)</f>
        <v>265.33</v>
      </c>
      <c r="E615" s="8" t="n">
        <f aca="false">IFERROR(__xludf.dummyfunction("""COMPUTED_VALUE"""),271.05)</f>
        <v>271.05</v>
      </c>
      <c r="F615" s="8" t="n">
        <f aca="false">IFERROR(__xludf.dummyfunction("""COMPUTED_VALUE"""),15471702)</f>
        <v>15471702</v>
      </c>
    </row>
    <row r="616" customFormat="false" ht="15.75" hidden="false" customHeight="false" outlineLevel="0" collapsed="false">
      <c r="A616" s="9" t="n">
        <f aca="false">IFERROR(__xludf.dummyfunction("""COMPUTED_VALUE"""),45090.6666666667)</f>
        <v>45090.6666666667</v>
      </c>
      <c r="B616" s="8" t="n">
        <f aca="false">IFERROR(__xludf.dummyfunction("""COMPUTED_VALUE"""),274.88)</f>
        <v>274.88</v>
      </c>
      <c r="C616" s="8" t="n">
        <f aca="false">IFERROR(__xludf.dummyfunction("""COMPUTED_VALUE"""),275.72)</f>
        <v>275.72</v>
      </c>
      <c r="D616" s="8" t="n">
        <f aca="false">IFERROR(__xludf.dummyfunction("""COMPUTED_VALUE"""),269.09)</f>
        <v>269.09</v>
      </c>
      <c r="E616" s="8" t="n">
        <f aca="false">IFERROR(__xludf.dummyfunction("""COMPUTED_VALUE"""),271.32)</f>
        <v>271.32</v>
      </c>
      <c r="F616" s="8" t="n">
        <f aca="false">IFERROR(__xludf.dummyfunction("""COMPUTED_VALUE"""),16164024)</f>
        <v>16164024</v>
      </c>
    </row>
    <row r="617" customFormat="false" ht="15.75" hidden="false" customHeight="false" outlineLevel="0" collapsed="false">
      <c r="A617" s="9" t="n">
        <f aca="false">IFERROR(__xludf.dummyfunction("""COMPUTED_VALUE"""),45091.6666666667)</f>
        <v>45091.6666666667</v>
      </c>
      <c r="B617" s="8" t="n">
        <f aca="false">IFERROR(__xludf.dummyfunction("""COMPUTED_VALUE"""),271.89)</f>
        <v>271.89</v>
      </c>
      <c r="C617" s="8" t="n">
        <f aca="false">IFERROR(__xludf.dummyfunction("""COMPUTED_VALUE"""),274.99)</f>
        <v>274.99</v>
      </c>
      <c r="D617" s="8" t="n">
        <f aca="false">IFERROR(__xludf.dummyfunction("""COMPUTED_VALUE"""),268.32)</f>
        <v>268.32</v>
      </c>
      <c r="E617" s="8" t="n">
        <f aca="false">IFERROR(__xludf.dummyfunction("""COMPUTED_VALUE"""),273.35)</f>
        <v>273.35</v>
      </c>
      <c r="F617" s="8" t="n">
        <f aca="false">IFERROR(__xludf.dummyfunction("""COMPUTED_VALUE"""),19175066)</f>
        <v>19175066</v>
      </c>
    </row>
    <row r="618" customFormat="false" ht="15.75" hidden="false" customHeight="false" outlineLevel="0" collapsed="false">
      <c r="A618" s="9" t="n">
        <f aca="false">IFERROR(__xludf.dummyfunction("""COMPUTED_VALUE"""),45092.6666666667)</f>
        <v>45092.6666666667</v>
      </c>
      <c r="B618" s="8" t="n">
        <f aca="false">IFERROR(__xludf.dummyfunction("""COMPUTED_VALUE"""),272.3)</f>
        <v>272.3</v>
      </c>
      <c r="C618" s="8" t="n">
        <f aca="false">IFERROR(__xludf.dummyfunction("""COMPUTED_VALUE"""),283.99)</f>
        <v>283.99</v>
      </c>
      <c r="D618" s="8" t="n">
        <f aca="false">IFERROR(__xludf.dummyfunction("""COMPUTED_VALUE"""),271.42)</f>
        <v>271.42</v>
      </c>
      <c r="E618" s="8" t="n">
        <f aca="false">IFERROR(__xludf.dummyfunction("""COMPUTED_VALUE"""),281.83)</f>
        <v>281.83</v>
      </c>
      <c r="F618" s="8" t="n">
        <f aca="false">IFERROR(__xludf.dummyfunction("""COMPUTED_VALUE"""),25973455)</f>
        <v>25973455</v>
      </c>
    </row>
    <row r="619" customFormat="false" ht="15.75" hidden="false" customHeight="false" outlineLevel="0" collapsed="false">
      <c r="A619" s="9" t="n">
        <f aca="false">IFERROR(__xludf.dummyfunction("""COMPUTED_VALUE"""),45093.6666666667)</f>
        <v>45093.6666666667</v>
      </c>
      <c r="B619" s="8" t="n">
        <f aca="false">IFERROR(__xludf.dummyfunction("""COMPUTED_VALUE"""),284.75)</f>
        <v>284.75</v>
      </c>
      <c r="C619" s="8" t="n">
        <f aca="false">IFERROR(__xludf.dummyfunction("""COMPUTED_VALUE"""),287.85)</f>
        <v>287.85</v>
      </c>
      <c r="D619" s="8" t="n">
        <f aca="false">IFERROR(__xludf.dummyfunction("""COMPUTED_VALUE"""),280.13)</f>
        <v>280.13</v>
      </c>
      <c r="E619" s="8" t="n">
        <f aca="false">IFERROR(__xludf.dummyfunction("""COMPUTED_VALUE"""),281)</f>
        <v>281</v>
      </c>
      <c r="F619" s="8" t="n">
        <f aca="false">IFERROR(__xludf.dummyfunction("""COMPUTED_VALUE"""),43127731)</f>
        <v>43127731</v>
      </c>
    </row>
    <row r="620" customFormat="false" ht="15.75" hidden="false" customHeight="false" outlineLevel="0" collapsed="false">
      <c r="A620" s="9" t="n">
        <f aca="false">IFERROR(__xludf.dummyfunction("""COMPUTED_VALUE"""),45097.6666666667)</f>
        <v>45097.6666666667</v>
      </c>
      <c r="B620" s="8" t="n">
        <f aca="false">IFERROR(__xludf.dummyfunction("""COMPUTED_VALUE"""),278.73)</f>
        <v>278.73</v>
      </c>
      <c r="C620" s="8" t="n">
        <f aca="false">IFERROR(__xludf.dummyfunction("""COMPUTED_VALUE"""),284.8)</f>
        <v>284.8</v>
      </c>
      <c r="D620" s="8" t="n">
        <f aca="false">IFERROR(__xludf.dummyfunction("""COMPUTED_VALUE"""),276.22)</f>
        <v>276.22</v>
      </c>
      <c r="E620" s="8" t="n">
        <f aca="false">IFERROR(__xludf.dummyfunction("""COMPUTED_VALUE"""),284.33)</f>
        <v>284.33</v>
      </c>
      <c r="F620" s="8" t="n">
        <f aca="false">IFERROR(__xludf.dummyfunction("""COMPUTED_VALUE"""),20701589)</f>
        <v>20701589</v>
      </c>
    </row>
    <row r="621" customFormat="false" ht="15.75" hidden="false" customHeight="false" outlineLevel="0" collapsed="false">
      <c r="A621" s="9" t="n">
        <f aca="false">IFERROR(__xludf.dummyfunction("""COMPUTED_VALUE"""),45098.6666666667)</f>
        <v>45098.6666666667</v>
      </c>
      <c r="B621" s="8" t="n">
        <f aca="false">IFERROR(__xludf.dummyfunction("""COMPUTED_VALUE"""),283.53)</f>
        <v>283.53</v>
      </c>
      <c r="C621" s="8" t="n">
        <f aca="false">IFERROR(__xludf.dummyfunction("""COMPUTED_VALUE"""),284)</f>
        <v>284</v>
      </c>
      <c r="D621" s="8" t="n">
        <f aca="false">IFERROR(__xludf.dummyfunction("""COMPUTED_VALUE"""),278.36)</f>
        <v>278.36</v>
      </c>
      <c r="E621" s="8" t="n">
        <f aca="false">IFERROR(__xludf.dummyfunction("""COMPUTED_VALUE"""),281.64)</f>
        <v>281.64</v>
      </c>
      <c r="F621" s="8" t="n">
        <f aca="false">IFERROR(__xludf.dummyfunction("""COMPUTED_VALUE"""),20556170)</f>
        <v>20556170</v>
      </c>
    </row>
    <row r="622" customFormat="false" ht="15.75" hidden="false" customHeight="false" outlineLevel="0" collapsed="false">
      <c r="A622" s="9" t="n">
        <f aca="false">IFERROR(__xludf.dummyfunction("""COMPUTED_VALUE"""),45099.6666666667)</f>
        <v>45099.6666666667</v>
      </c>
      <c r="B622" s="8" t="n">
        <f aca="false">IFERROR(__xludf.dummyfunction("""COMPUTED_VALUE"""),279.08)</f>
        <v>279.08</v>
      </c>
      <c r="C622" s="8" t="n">
        <f aca="false">IFERROR(__xludf.dummyfunction("""COMPUTED_VALUE"""),285.26)</f>
        <v>285.26</v>
      </c>
      <c r="D622" s="8" t="n">
        <f aca="false">IFERROR(__xludf.dummyfunction("""COMPUTED_VALUE"""),277.79)</f>
        <v>277.79</v>
      </c>
      <c r="E622" s="8" t="n">
        <f aca="false">IFERROR(__xludf.dummyfunction("""COMPUTED_VALUE"""),284.88)</f>
        <v>284.88</v>
      </c>
      <c r="F622" s="8" t="n">
        <f aca="false">IFERROR(__xludf.dummyfunction("""COMPUTED_VALUE"""),17563061)</f>
        <v>17563061</v>
      </c>
    </row>
    <row r="623" customFormat="false" ht="15.75" hidden="false" customHeight="false" outlineLevel="0" collapsed="false">
      <c r="A623" s="9" t="n">
        <f aca="false">IFERROR(__xludf.dummyfunction("""COMPUTED_VALUE"""),45100.6666666667)</f>
        <v>45100.6666666667</v>
      </c>
      <c r="B623" s="8" t="n">
        <f aca="false">IFERROR(__xludf.dummyfunction("""COMPUTED_VALUE"""),281.51)</f>
        <v>281.51</v>
      </c>
      <c r="C623" s="8" t="n">
        <f aca="false">IFERROR(__xludf.dummyfunction("""COMPUTED_VALUE"""),289.67)</f>
        <v>289.67</v>
      </c>
      <c r="D623" s="8" t="n">
        <f aca="false">IFERROR(__xludf.dummyfunction("""COMPUTED_VALUE"""),278.95)</f>
        <v>278.95</v>
      </c>
      <c r="E623" s="8" t="n">
        <f aca="false">IFERROR(__xludf.dummyfunction("""COMPUTED_VALUE"""),288.73)</f>
        <v>288.73</v>
      </c>
      <c r="F623" s="8" t="n">
        <f aca="false">IFERROR(__xludf.dummyfunction("""COMPUTED_VALUE"""),51092038)</f>
        <v>51092038</v>
      </c>
    </row>
    <row r="624" customFormat="false" ht="15.75" hidden="false" customHeight="false" outlineLevel="0" collapsed="false">
      <c r="A624" s="9" t="n">
        <f aca="false">IFERROR(__xludf.dummyfunction("""COMPUTED_VALUE"""),45103.6666666667)</f>
        <v>45103.6666666667</v>
      </c>
      <c r="B624" s="8" t="n">
        <f aca="false">IFERROR(__xludf.dummyfunction("""COMPUTED_VALUE"""),288.7)</f>
        <v>288.7</v>
      </c>
      <c r="C624" s="8" t="n">
        <f aca="false">IFERROR(__xludf.dummyfunction("""COMPUTED_VALUE"""),289.79)</f>
        <v>289.79</v>
      </c>
      <c r="D624" s="8" t="n">
        <f aca="false">IFERROR(__xludf.dummyfunction("""COMPUTED_VALUE"""),277.6)</f>
        <v>277.6</v>
      </c>
      <c r="E624" s="8" t="n">
        <f aca="false">IFERROR(__xludf.dummyfunction("""COMPUTED_VALUE"""),278.47)</f>
        <v>278.47</v>
      </c>
      <c r="F624" s="8" t="n">
        <f aca="false">IFERROR(__xludf.dummyfunction("""COMPUTED_VALUE"""),24232651)</f>
        <v>24232651</v>
      </c>
    </row>
    <row r="625" customFormat="false" ht="15.75" hidden="false" customHeight="false" outlineLevel="0" collapsed="false">
      <c r="A625" s="9" t="n">
        <f aca="false">IFERROR(__xludf.dummyfunction("""COMPUTED_VALUE"""),45104.6666666667)</f>
        <v>45104.6666666667</v>
      </c>
      <c r="B625" s="8" t="n">
        <f aca="false">IFERROR(__xludf.dummyfunction("""COMPUTED_VALUE"""),282.01)</f>
        <v>282.01</v>
      </c>
      <c r="C625" s="8" t="n">
        <f aca="false">IFERROR(__xludf.dummyfunction("""COMPUTED_VALUE"""),289.35)</f>
        <v>289.35</v>
      </c>
      <c r="D625" s="8" t="n">
        <f aca="false">IFERROR(__xludf.dummyfunction("""COMPUTED_VALUE"""),280.65)</f>
        <v>280.65</v>
      </c>
      <c r="E625" s="8" t="n">
        <f aca="false">IFERROR(__xludf.dummyfunction("""COMPUTED_VALUE"""),287.05)</f>
        <v>287.05</v>
      </c>
      <c r="F625" s="8" t="n">
        <f aca="false">IFERROR(__xludf.dummyfunction("""COMPUTED_VALUE"""),26108260)</f>
        <v>26108260</v>
      </c>
    </row>
    <row r="626" customFormat="false" ht="15.75" hidden="false" customHeight="false" outlineLevel="0" collapsed="false">
      <c r="A626" s="9" t="n">
        <f aca="false">IFERROR(__xludf.dummyfunction("""COMPUTED_VALUE"""),45105.6666666667)</f>
        <v>45105.6666666667</v>
      </c>
      <c r="B626" s="8" t="n">
        <f aca="false">IFERROR(__xludf.dummyfunction("""COMPUTED_VALUE"""),284.82)</f>
        <v>284.82</v>
      </c>
      <c r="C626" s="8" t="n">
        <f aca="false">IFERROR(__xludf.dummyfunction("""COMPUTED_VALUE"""),289.55)</f>
        <v>289.55</v>
      </c>
      <c r="D626" s="8" t="n">
        <f aca="false">IFERROR(__xludf.dummyfunction("""COMPUTED_VALUE"""),284.06)</f>
        <v>284.06</v>
      </c>
      <c r="E626" s="8" t="n">
        <f aca="false">IFERROR(__xludf.dummyfunction("""COMPUTED_VALUE"""),285.29)</f>
        <v>285.29</v>
      </c>
      <c r="F626" s="8" t="n">
        <f aca="false">IFERROR(__xludf.dummyfunction("""COMPUTED_VALUE"""),16722117)</f>
        <v>16722117</v>
      </c>
    </row>
    <row r="627" customFormat="false" ht="15.75" hidden="false" customHeight="false" outlineLevel="0" collapsed="false">
      <c r="A627" s="9" t="n">
        <f aca="false">IFERROR(__xludf.dummyfunction("""COMPUTED_VALUE"""),45106.6666666667)</f>
        <v>45106.6666666667</v>
      </c>
      <c r="B627" s="8" t="n">
        <f aca="false">IFERROR(__xludf.dummyfunction("""COMPUTED_VALUE"""),284.5)</f>
        <v>284.5</v>
      </c>
      <c r="C627" s="8" t="n">
        <f aca="false">IFERROR(__xludf.dummyfunction("""COMPUTED_VALUE"""),286.57)</f>
        <v>286.57</v>
      </c>
      <c r="D627" s="8" t="n">
        <f aca="false">IFERROR(__xludf.dummyfunction("""COMPUTED_VALUE"""),280.69)</f>
        <v>280.69</v>
      </c>
      <c r="E627" s="8" t="n">
        <f aca="false">IFERROR(__xludf.dummyfunction("""COMPUTED_VALUE"""),281.53)</f>
        <v>281.53</v>
      </c>
      <c r="F627" s="8" t="n">
        <f aca="false">IFERROR(__xludf.dummyfunction("""COMPUTED_VALUE"""),15395690)</f>
        <v>15395690</v>
      </c>
    </row>
    <row r="628" customFormat="false" ht="15.75" hidden="false" customHeight="false" outlineLevel="0" collapsed="false">
      <c r="A628" s="9" t="n">
        <f aca="false">IFERROR(__xludf.dummyfunction("""COMPUTED_VALUE"""),45107.6666666667)</f>
        <v>45107.6666666667</v>
      </c>
      <c r="B628" s="8" t="n">
        <f aca="false">IFERROR(__xludf.dummyfunction("""COMPUTED_VALUE"""),284.76)</f>
        <v>284.76</v>
      </c>
      <c r="C628" s="8" t="n">
        <f aca="false">IFERROR(__xludf.dummyfunction("""COMPUTED_VALUE"""),289.05)</f>
        <v>289.05</v>
      </c>
      <c r="D628" s="8" t="n">
        <f aca="false">IFERROR(__xludf.dummyfunction("""COMPUTED_VALUE"""),284.42)</f>
        <v>284.42</v>
      </c>
      <c r="E628" s="8" t="n">
        <f aca="false">IFERROR(__xludf.dummyfunction("""COMPUTED_VALUE"""),286.98)</f>
        <v>286.98</v>
      </c>
      <c r="F628" s="8" t="n">
        <f aca="false">IFERROR(__xludf.dummyfunction("""COMPUTED_VALUE"""),19694872)</f>
        <v>19694872</v>
      </c>
    </row>
    <row r="629" customFormat="false" ht="15.75" hidden="false" customHeight="false" outlineLevel="0" collapsed="false">
      <c r="A629" s="9" t="n">
        <f aca="false">IFERROR(__xludf.dummyfunction("""COMPUTED_VALUE"""),45110.5451388889)</f>
        <v>45110.5451388889</v>
      </c>
      <c r="B629" s="8" t="n">
        <f aca="false">IFERROR(__xludf.dummyfunction("""COMPUTED_VALUE"""),286.7)</f>
        <v>286.7</v>
      </c>
      <c r="C629" s="8" t="n">
        <f aca="false">IFERROR(__xludf.dummyfunction("""COMPUTED_VALUE"""),289.4)</f>
        <v>289.4</v>
      </c>
      <c r="D629" s="8" t="n">
        <f aca="false">IFERROR(__xludf.dummyfunction("""COMPUTED_VALUE"""),284.85)</f>
        <v>284.85</v>
      </c>
      <c r="E629" s="8" t="n">
        <f aca="false">IFERROR(__xludf.dummyfunction("""COMPUTED_VALUE"""),286.02)</f>
        <v>286.02</v>
      </c>
      <c r="F629" s="8" t="n">
        <f aca="false">IFERROR(__xludf.dummyfunction("""COMPUTED_VALUE"""),8629269)</f>
        <v>8629269</v>
      </c>
    </row>
    <row r="630" customFormat="false" ht="15.75" hidden="false" customHeight="false" outlineLevel="0" collapsed="false">
      <c r="A630" s="9" t="n">
        <f aca="false">IFERROR(__xludf.dummyfunction("""COMPUTED_VALUE"""),45112.6666666667)</f>
        <v>45112.6666666667</v>
      </c>
      <c r="B630" s="8" t="n">
        <f aca="false">IFERROR(__xludf.dummyfunction("""COMPUTED_VALUE"""),287.65)</f>
        <v>287.65</v>
      </c>
      <c r="C630" s="8" t="n">
        <f aca="false">IFERROR(__xludf.dummyfunction("""COMPUTED_VALUE"""),298.12)</f>
        <v>298.12</v>
      </c>
      <c r="D630" s="8" t="n">
        <f aca="false">IFERROR(__xludf.dummyfunction("""COMPUTED_VALUE"""),286.36)</f>
        <v>286.36</v>
      </c>
      <c r="E630" s="8" t="n">
        <f aca="false">IFERROR(__xludf.dummyfunction("""COMPUTED_VALUE"""),294.37)</f>
        <v>294.37</v>
      </c>
      <c r="F630" s="8" t="n">
        <f aca="false">IFERROR(__xludf.dummyfunction("""COMPUTED_VALUE"""),33865457)</f>
        <v>33865457</v>
      </c>
    </row>
    <row r="631" customFormat="false" ht="15.75" hidden="false" customHeight="false" outlineLevel="0" collapsed="false">
      <c r="A631" s="9" t="n">
        <f aca="false">IFERROR(__xludf.dummyfunction("""COMPUTED_VALUE"""),45113.6666666667)</f>
        <v>45113.6666666667</v>
      </c>
      <c r="B631" s="8" t="n">
        <f aca="false">IFERROR(__xludf.dummyfunction("""COMPUTED_VALUE"""),295.89)</f>
        <v>295.89</v>
      </c>
      <c r="C631" s="8" t="n">
        <f aca="false">IFERROR(__xludf.dummyfunction("""COMPUTED_VALUE"""),298.12)</f>
        <v>298.12</v>
      </c>
      <c r="D631" s="8" t="n">
        <f aca="false">IFERROR(__xludf.dummyfunction("""COMPUTED_VALUE"""),291.31)</f>
        <v>291.31</v>
      </c>
      <c r="E631" s="8" t="n">
        <f aca="false">IFERROR(__xludf.dummyfunction("""COMPUTED_VALUE"""),291.99)</f>
        <v>291.99</v>
      </c>
      <c r="F631" s="8" t="n">
        <f aca="false">IFERROR(__xludf.dummyfunction("""COMPUTED_VALUE"""),47733829)</f>
        <v>47733829</v>
      </c>
    </row>
    <row r="632" customFormat="false" ht="15.75" hidden="false" customHeight="false" outlineLevel="0" collapsed="false">
      <c r="A632" s="9" t="n">
        <f aca="false">IFERROR(__xludf.dummyfunction("""COMPUTED_VALUE"""),45114.6666666667)</f>
        <v>45114.6666666667</v>
      </c>
      <c r="B632" s="8" t="n">
        <f aca="false">IFERROR(__xludf.dummyfunction("""COMPUTED_VALUE"""),292.18)</f>
        <v>292.18</v>
      </c>
      <c r="C632" s="8" t="n">
        <f aca="false">IFERROR(__xludf.dummyfunction("""COMPUTED_VALUE"""),296.2)</f>
        <v>296.2</v>
      </c>
      <c r="D632" s="8" t="n">
        <f aca="false">IFERROR(__xludf.dummyfunction("""COMPUTED_VALUE"""),288.66)</f>
        <v>288.66</v>
      </c>
      <c r="E632" s="8" t="n">
        <f aca="false">IFERROR(__xludf.dummyfunction("""COMPUTED_VALUE"""),290.53)</f>
        <v>290.53</v>
      </c>
      <c r="F632" s="8" t="n">
        <f aca="false">IFERROR(__xludf.dummyfunction("""COMPUTED_VALUE"""),25585975)</f>
        <v>25585975</v>
      </c>
    </row>
    <row r="633" customFormat="false" ht="15.75" hidden="false" customHeight="false" outlineLevel="0" collapsed="false">
      <c r="A633" s="9" t="n">
        <f aca="false">IFERROR(__xludf.dummyfunction("""COMPUTED_VALUE"""),45117.6666666667)</f>
        <v>45117.6666666667</v>
      </c>
      <c r="B633" s="8" t="n">
        <f aca="false">IFERROR(__xludf.dummyfunction("""COMPUTED_VALUE"""),295.55)</f>
        <v>295.55</v>
      </c>
      <c r="C633" s="8" t="n">
        <f aca="false">IFERROR(__xludf.dummyfunction("""COMPUTED_VALUE"""),298.13)</f>
        <v>298.13</v>
      </c>
      <c r="D633" s="8" t="n">
        <f aca="false">IFERROR(__xludf.dummyfunction("""COMPUTED_VALUE"""),287.05)</f>
        <v>287.05</v>
      </c>
      <c r="E633" s="8" t="n">
        <f aca="false">IFERROR(__xludf.dummyfunction("""COMPUTED_VALUE"""),294.1)</f>
        <v>294.1</v>
      </c>
      <c r="F633" s="8" t="n">
        <f aca="false">IFERROR(__xludf.dummyfunction("""COMPUTED_VALUE"""),37058306)</f>
        <v>37058306</v>
      </c>
    </row>
    <row r="634" customFormat="false" ht="15.75" hidden="false" customHeight="false" outlineLevel="0" collapsed="false">
      <c r="A634" s="9" t="n">
        <f aca="false">IFERROR(__xludf.dummyfunction("""COMPUTED_VALUE"""),45118.6666666667)</f>
        <v>45118.6666666667</v>
      </c>
      <c r="B634" s="8" t="n">
        <f aca="false">IFERROR(__xludf.dummyfunction("""COMPUTED_VALUE"""),293.9)</f>
        <v>293.9</v>
      </c>
      <c r="C634" s="8" t="n">
        <f aca="false">IFERROR(__xludf.dummyfunction("""COMPUTED_VALUE"""),300.18)</f>
        <v>300.18</v>
      </c>
      <c r="D634" s="8" t="n">
        <f aca="false">IFERROR(__xludf.dummyfunction("""COMPUTED_VALUE"""),291.9)</f>
        <v>291.9</v>
      </c>
      <c r="E634" s="8" t="n">
        <f aca="false">IFERROR(__xludf.dummyfunction("""COMPUTED_VALUE"""),298.29)</f>
        <v>298.29</v>
      </c>
      <c r="F634" s="8" t="n">
        <f aca="false">IFERROR(__xludf.dummyfunction("""COMPUTED_VALUE"""),27585918)</f>
        <v>27585918</v>
      </c>
    </row>
    <row r="635" customFormat="false" ht="15.75" hidden="false" customHeight="false" outlineLevel="0" collapsed="false">
      <c r="A635" s="9" t="n">
        <f aca="false">IFERROR(__xludf.dummyfunction("""COMPUTED_VALUE"""),45119.6666666667)</f>
        <v>45119.6666666667</v>
      </c>
      <c r="B635" s="8" t="n">
        <f aca="false">IFERROR(__xludf.dummyfunction("""COMPUTED_VALUE"""),301.75)</f>
        <v>301.75</v>
      </c>
      <c r="C635" s="8" t="n">
        <f aca="false">IFERROR(__xludf.dummyfunction("""COMPUTED_VALUE"""),309.45)</f>
        <v>309.45</v>
      </c>
      <c r="D635" s="8" t="n">
        <f aca="false">IFERROR(__xludf.dummyfunction("""COMPUTED_VALUE"""),300.1)</f>
        <v>300.1</v>
      </c>
      <c r="E635" s="8" t="n">
        <f aca="false">IFERROR(__xludf.dummyfunction("""COMPUTED_VALUE"""),309.34)</f>
        <v>309.34</v>
      </c>
      <c r="F635" s="8" t="n">
        <f aca="false">IFERROR(__xludf.dummyfunction("""COMPUTED_VALUE"""),36677127)</f>
        <v>36677127</v>
      </c>
    </row>
    <row r="636" customFormat="false" ht="15.75" hidden="false" customHeight="false" outlineLevel="0" collapsed="false">
      <c r="A636" s="9" t="n">
        <f aca="false">IFERROR(__xludf.dummyfunction("""COMPUTED_VALUE"""),45120.6666666667)</f>
        <v>45120.6666666667</v>
      </c>
      <c r="B636" s="8" t="n">
        <f aca="false">IFERROR(__xludf.dummyfunction("""COMPUTED_VALUE"""),313.62)</f>
        <v>313.62</v>
      </c>
      <c r="C636" s="8" t="n">
        <f aca="false">IFERROR(__xludf.dummyfunction("""COMPUTED_VALUE"""),316.24)</f>
        <v>316.24</v>
      </c>
      <c r="D636" s="8" t="n">
        <f aca="false">IFERROR(__xludf.dummyfunction("""COMPUTED_VALUE"""),310.29)</f>
        <v>310.29</v>
      </c>
      <c r="E636" s="8" t="n">
        <f aca="false">IFERROR(__xludf.dummyfunction("""COMPUTED_VALUE"""),313.41)</f>
        <v>313.41</v>
      </c>
      <c r="F636" s="8" t="n">
        <f aca="false">IFERROR(__xludf.dummyfunction("""COMPUTED_VALUE"""),30280972)</f>
        <v>30280972</v>
      </c>
    </row>
    <row r="637" customFormat="false" ht="15.75" hidden="false" customHeight="false" outlineLevel="0" collapsed="false">
      <c r="A637" s="9" t="n">
        <f aca="false">IFERROR(__xludf.dummyfunction("""COMPUTED_VALUE"""),45121.6666666667)</f>
        <v>45121.6666666667</v>
      </c>
      <c r="B637" s="8" t="n">
        <f aca="false">IFERROR(__xludf.dummyfunction("""COMPUTED_VALUE"""),311.79)</f>
        <v>311.79</v>
      </c>
      <c r="C637" s="8" t="n">
        <f aca="false">IFERROR(__xludf.dummyfunction("""COMPUTED_VALUE"""),314.88)</f>
        <v>314.88</v>
      </c>
      <c r="D637" s="8" t="n">
        <f aca="false">IFERROR(__xludf.dummyfunction("""COMPUTED_VALUE"""),307.36)</f>
        <v>307.36</v>
      </c>
      <c r="E637" s="8" t="n">
        <f aca="false">IFERROR(__xludf.dummyfunction("""COMPUTED_VALUE"""),308.87)</f>
        <v>308.87</v>
      </c>
      <c r="F637" s="8" t="n">
        <f aca="false">IFERROR(__xludf.dummyfunction("""COMPUTED_VALUE"""),23054108)</f>
        <v>23054108</v>
      </c>
    </row>
    <row r="638" customFormat="false" ht="15.75" hidden="false" customHeight="false" outlineLevel="0" collapsed="false">
      <c r="A638" s="9" t="n">
        <f aca="false">IFERROR(__xludf.dummyfunction("""COMPUTED_VALUE"""),45124.6666666667)</f>
        <v>45124.6666666667</v>
      </c>
      <c r="B638" s="8" t="n">
        <f aca="false">IFERROR(__xludf.dummyfunction("""COMPUTED_VALUE"""),307.54)</f>
        <v>307.54</v>
      </c>
      <c r="C638" s="8" t="n">
        <f aca="false">IFERROR(__xludf.dummyfunction("""COMPUTED_VALUE"""),311.71)</f>
        <v>311.71</v>
      </c>
      <c r="D638" s="8" t="n">
        <f aca="false">IFERROR(__xludf.dummyfunction("""COMPUTED_VALUE"""),304.71)</f>
        <v>304.71</v>
      </c>
      <c r="E638" s="8" t="n">
        <f aca="false">IFERROR(__xludf.dummyfunction("""COMPUTED_VALUE"""),310.62)</f>
        <v>310.62</v>
      </c>
      <c r="F638" s="8" t="n">
        <f aca="false">IFERROR(__xludf.dummyfunction("""COMPUTED_VALUE"""),25323126)</f>
        <v>25323126</v>
      </c>
    </row>
    <row r="639" customFormat="false" ht="15.75" hidden="false" customHeight="false" outlineLevel="0" collapsed="false">
      <c r="A639" s="9" t="n">
        <f aca="false">IFERROR(__xludf.dummyfunction("""COMPUTED_VALUE"""),45125.6666666667)</f>
        <v>45125.6666666667</v>
      </c>
      <c r="B639" s="8" t="n">
        <f aca="false">IFERROR(__xludf.dummyfunction("""COMPUTED_VALUE"""),310.88)</f>
        <v>310.88</v>
      </c>
      <c r="C639" s="8" t="n">
        <f aca="false">IFERROR(__xludf.dummyfunction("""COMPUTED_VALUE"""),314.2)</f>
        <v>314.2</v>
      </c>
      <c r="D639" s="8" t="n">
        <f aca="false">IFERROR(__xludf.dummyfunction("""COMPUTED_VALUE"""),307.62)</f>
        <v>307.62</v>
      </c>
      <c r="E639" s="8" t="n">
        <f aca="false">IFERROR(__xludf.dummyfunction("""COMPUTED_VALUE"""),312.05)</f>
        <v>312.05</v>
      </c>
      <c r="F639" s="8" t="n">
        <f aca="false">IFERROR(__xludf.dummyfunction("""COMPUTED_VALUE"""),20764580)</f>
        <v>20764580</v>
      </c>
    </row>
    <row r="640" customFormat="false" ht="15.75" hidden="false" customHeight="false" outlineLevel="0" collapsed="false">
      <c r="A640" s="9" t="n">
        <f aca="false">IFERROR(__xludf.dummyfunction("""COMPUTED_VALUE"""),45126.6666666667)</f>
        <v>45126.6666666667</v>
      </c>
      <c r="B640" s="8" t="n">
        <f aca="false">IFERROR(__xludf.dummyfunction("""COMPUTED_VALUE"""),313.03)</f>
        <v>313.03</v>
      </c>
      <c r="C640" s="8" t="n">
        <f aca="false">IFERROR(__xludf.dummyfunction("""COMPUTED_VALUE"""),318.68)</f>
        <v>318.68</v>
      </c>
      <c r="D640" s="8" t="n">
        <f aca="false">IFERROR(__xludf.dummyfunction("""COMPUTED_VALUE"""),310.52)</f>
        <v>310.52</v>
      </c>
      <c r="E640" s="8" t="n">
        <f aca="false">IFERROR(__xludf.dummyfunction("""COMPUTED_VALUE"""),316.01)</f>
        <v>316.01</v>
      </c>
      <c r="F640" s="8" t="n">
        <f aca="false">IFERROR(__xludf.dummyfunction("""COMPUTED_VALUE"""),21763688)</f>
        <v>21763688</v>
      </c>
    </row>
    <row r="641" customFormat="false" ht="15.75" hidden="false" customHeight="false" outlineLevel="0" collapsed="false">
      <c r="A641" s="9" t="n">
        <f aca="false">IFERROR(__xludf.dummyfunction("""COMPUTED_VALUE"""),45127.6666666667)</f>
        <v>45127.6666666667</v>
      </c>
      <c r="B641" s="8" t="n">
        <f aca="false">IFERROR(__xludf.dummyfunction("""COMPUTED_VALUE"""),313.5)</f>
        <v>313.5</v>
      </c>
      <c r="C641" s="8" t="n">
        <f aca="false">IFERROR(__xludf.dummyfunction("""COMPUTED_VALUE"""),315.54)</f>
        <v>315.54</v>
      </c>
      <c r="D641" s="8" t="n">
        <f aca="false">IFERROR(__xludf.dummyfunction("""COMPUTED_VALUE"""),302.22)</f>
        <v>302.22</v>
      </c>
      <c r="E641" s="8" t="n">
        <f aca="false">IFERROR(__xludf.dummyfunction("""COMPUTED_VALUE"""),302.52)</f>
        <v>302.52</v>
      </c>
      <c r="F641" s="8" t="n">
        <f aca="false">IFERROR(__xludf.dummyfunction("""COMPUTED_VALUE"""),23836876)</f>
        <v>23836876</v>
      </c>
    </row>
    <row r="642" customFormat="false" ht="15.75" hidden="false" customHeight="false" outlineLevel="0" collapsed="false">
      <c r="A642" s="9" t="n">
        <f aca="false">IFERROR(__xludf.dummyfunction("""COMPUTED_VALUE"""),45128.6666666667)</f>
        <v>45128.6666666667</v>
      </c>
      <c r="B642" s="8" t="n">
        <f aca="false">IFERROR(__xludf.dummyfunction("""COMPUTED_VALUE"""),304.57)</f>
        <v>304.57</v>
      </c>
      <c r="C642" s="8" t="n">
        <f aca="false">IFERROR(__xludf.dummyfunction("""COMPUTED_VALUE"""),305.46)</f>
        <v>305.46</v>
      </c>
      <c r="D642" s="8" t="n">
        <f aca="false">IFERROR(__xludf.dummyfunction("""COMPUTED_VALUE"""),291.2)</f>
        <v>291.2</v>
      </c>
      <c r="E642" s="8" t="n">
        <f aca="false">IFERROR(__xludf.dummyfunction("""COMPUTED_VALUE"""),294.26)</f>
        <v>294.26</v>
      </c>
      <c r="F642" s="8" t="n">
        <f aca="false">IFERROR(__xludf.dummyfunction("""COMPUTED_VALUE"""),42139259)</f>
        <v>42139259</v>
      </c>
    </row>
    <row r="643" customFormat="false" ht="15.75" hidden="false" customHeight="false" outlineLevel="0" collapsed="false">
      <c r="A643" s="9" t="n">
        <f aca="false">IFERROR(__xludf.dummyfunction("""COMPUTED_VALUE"""),45131.6666666667)</f>
        <v>45131.6666666667</v>
      </c>
      <c r="B643" s="8" t="n">
        <f aca="false">IFERROR(__xludf.dummyfunction("""COMPUTED_VALUE"""),295.79)</f>
        <v>295.79</v>
      </c>
      <c r="C643" s="8" t="n">
        <f aca="false">IFERROR(__xludf.dummyfunction("""COMPUTED_VALUE"""),297.52)</f>
        <v>297.52</v>
      </c>
      <c r="D643" s="8" t="n">
        <f aca="false">IFERROR(__xludf.dummyfunction("""COMPUTED_VALUE"""),288.3)</f>
        <v>288.3</v>
      </c>
      <c r="E643" s="8" t="n">
        <f aca="false">IFERROR(__xludf.dummyfunction("""COMPUTED_VALUE"""),291.61)</f>
        <v>291.61</v>
      </c>
      <c r="F643" s="8" t="n">
        <f aca="false">IFERROR(__xludf.dummyfunction("""COMPUTED_VALUE"""),24949405)</f>
        <v>24949405</v>
      </c>
    </row>
    <row r="644" customFormat="false" ht="15.75" hidden="false" customHeight="false" outlineLevel="0" collapsed="false">
      <c r="A644" s="9" t="n">
        <f aca="false">IFERROR(__xludf.dummyfunction("""COMPUTED_VALUE"""),45132.6666666667)</f>
        <v>45132.6666666667</v>
      </c>
      <c r="B644" s="8" t="n">
        <f aca="false">IFERROR(__xludf.dummyfunction("""COMPUTED_VALUE"""),295.19)</f>
        <v>295.19</v>
      </c>
      <c r="C644" s="8" t="n">
        <f aca="false">IFERROR(__xludf.dummyfunction("""COMPUTED_VALUE"""),298.3)</f>
        <v>298.3</v>
      </c>
      <c r="D644" s="8" t="n">
        <f aca="false">IFERROR(__xludf.dummyfunction("""COMPUTED_VALUE"""),291.86)</f>
        <v>291.86</v>
      </c>
      <c r="E644" s="8" t="n">
        <f aca="false">IFERROR(__xludf.dummyfunction("""COMPUTED_VALUE"""),294.47)</f>
        <v>294.47</v>
      </c>
      <c r="F644" s="8" t="n">
        <f aca="false">IFERROR(__xludf.dummyfunction("""COMPUTED_VALUE"""),19585584)</f>
        <v>19585584</v>
      </c>
    </row>
    <row r="645" customFormat="false" ht="15.75" hidden="false" customHeight="false" outlineLevel="0" collapsed="false">
      <c r="A645" s="9" t="n">
        <f aca="false">IFERROR(__xludf.dummyfunction("""COMPUTED_VALUE"""),45133.6666666667)</f>
        <v>45133.6666666667</v>
      </c>
      <c r="B645" s="8" t="n">
        <f aca="false">IFERROR(__xludf.dummyfunction("""COMPUTED_VALUE"""),301.19)</f>
        <v>301.19</v>
      </c>
      <c r="C645" s="8" t="n">
        <f aca="false">IFERROR(__xludf.dummyfunction("""COMPUTED_VALUE"""),301.77)</f>
        <v>301.77</v>
      </c>
      <c r="D645" s="8" t="n">
        <f aca="false">IFERROR(__xludf.dummyfunction("""COMPUTED_VALUE"""),291.9)</f>
        <v>291.9</v>
      </c>
      <c r="E645" s="8" t="n">
        <f aca="false">IFERROR(__xludf.dummyfunction("""COMPUTED_VALUE"""),298.57)</f>
        <v>298.57</v>
      </c>
      <c r="F645" s="8" t="n">
        <f aca="false">IFERROR(__xludf.dummyfunction("""COMPUTED_VALUE"""),47256930)</f>
        <v>47256930</v>
      </c>
    </row>
    <row r="646" customFormat="false" ht="15.75" hidden="false" customHeight="false" outlineLevel="0" collapsed="false">
      <c r="A646" s="9" t="n">
        <f aca="false">IFERROR(__xludf.dummyfunction("""COMPUTED_VALUE"""),45134.6666666667)</f>
        <v>45134.6666666667</v>
      </c>
      <c r="B646" s="8" t="n">
        <f aca="false">IFERROR(__xludf.dummyfunction("""COMPUTED_VALUE"""),325.12)</f>
        <v>325.12</v>
      </c>
      <c r="C646" s="8" t="n">
        <f aca="false">IFERROR(__xludf.dummyfunction("""COMPUTED_VALUE"""),325.35)</f>
        <v>325.35</v>
      </c>
      <c r="D646" s="8" t="n">
        <f aca="false">IFERROR(__xludf.dummyfunction("""COMPUTED_VALUE"""),309.84)</f>
        <v>309.84</v>
      </c>
      <c r="E646" s="8" t="n">
        <f aca="false">IFERROR(__xludf.dummyfunction("""COMPUTED_VALUE"""),311.71)</f>
        <v>311.71</v>
      </c>
      <c r="F646" s="8" t="n">
        <f aca="false">IFERROR(__xludf.dummyfunction("""COMPUTED_VALUE"""),64229173)</f>
        <v>64229173</v>
      </c>
    </row>
    <row r="647" customFormat="false" ht="15.75" hidden="false" customHeight="false" outlineLevel="0" collapsed="false">
      <c r="A647" s="9" t="n">
        <f aca="false">IFERROR(__xludf.dummyfunction("""COMPUTED_VALUE"""),45135.6666666667)</f>
        <v>45135.6666666667</v>
      </c>
      <c r="B647" s="8" t="n">
        <f aca="false">IFERROR(__xludf.dummyfunction("""COMPUTED_VALUE"""),316.88)</f>
        <v>316.88</v>
      </c>
      <c r="C647" s="8" t="n">
        <f aca="false">IFERROR(__xludf.dummyfunction("""COMPUTED_VALUE"""),326.2)</f>
        <v>326.2</v>
      </c>
      <c r="D647" s="8" t="n">
        <f aca="false">IFERROR(__xludf.dummyfunction("""COMPUTED_VALUE"""),314.25)</f>
        <v>314.25</v>
      </c>
      <c r="E647" s="8" t="n">
        <f aca="false">IFERROR(__xludf.dummyfunction("""COMPUTED_VALUE"""),325.48)</f>
        <v>325.48</v>
      </c>
      <c r="F647" s="8" t="n">
        <f aca="false">IFERROR(__xludf.dummyfunction("""COMPUTED_VALUE"""),39220270)</f>
        <v>39220270</v>
      </c>
    </row>
    <row r="648" customFormat="false" ht="15.75" hidden="false" customHeight="false" outlineLevel="0" collapsed="false">
      <c r="A648" s="9" t="n">
        <f aca="false">IFERROR(__xludf.dummyfunction("""COMPUTED_VALUE"""),45138.6666666667)</f>
        <v>45138.6666666667</v>
      </c>
      <c r="B648" s="8" t="n">
        <f aca="false">IFERROR(__xludf.dummyfunction("""COMPUTED_VALUE"""),323.69)</f>
        <v>323.69</v>
      </c>
      <c r="C648" s="8" t="n">
        <f aca="false">IFERROR(__xludf.dummyfunction("""COMPUTED_VALUE"""),325.66)</f>
        <v>325.66</v>
      </c>
      <c r="D648" s="8" t="n">
        <f aca="false">IFERROR(__xludf.dummyfunction("""COMPUTED_VALUE"""),317.59)</f>
        <v>317.59</v>
      </c>
      <c r="E648" s="8" t="n">
        <f aca="false">IFERROR(__xludf.dummyfunction("""COMPUTED_VALUE"""),318.6)</f>
        <v>318.6</v>
      </c>
      <c r="F648" s="8" t="n">
        <f aca="false">IFERROR(__xludf.dummyfunction("""COMPUTED_VALUE"""),25799603)</f>
        <v>25799603</v>
      </c>
    </row>
    <row r="649" customFormat="false" ht="15.75" hidden="false" customHeight="false" outlineLevel="0" collapsed="false">
      <c r="A649" s="9" t="n">
        <f aca="false">IFERROR(__xludf.dummyfunction("""COMPUTED_VALUE"""),45139.6666666667)</f>
        <v>45139.6666666667</v>
      </c>
      <c r="B649" s="8" t="n">
        <f aca="false">IFERROR(__xludf.dummyfunction("""COMPUTED_VALUE"""),317.54)</f>
        <v>317.54</v>
      </c>
      <c r="C649" s="8" t="n">
        <f aca="false">IFERROR(__xludf.dummyfunction("""COMPUTED_VALUE"""),324.14)</f>
        <v>324.14</v>
      </c>
      <c r="D649" s="8" t="n">
        <f aca="false">IFERROR(__xludf.dummyfunction("""COMPUTED_VALUE"""),314.66)</f>
        <v>314.66</v>
      </c>
      <c r="E649" s="8" t="n">
        <f aca="false">IFERROR(__xludf.dummyfunction("""COMPUTED_VALUE"""),322.71)</f>
        <v>322.71</v>
      </c>
      <c r="F649" s="8" t="n">
        <f aca="false">IFERROR(__xludf.dummyfunction("""COMPUTED_VALUE"""),22889870)</f>
        <v>22889870</v>
      </c>
    </row>
    <row r="650" customFormat="false" ht="15.75" hidden="false" customHeight="false" outlineLevel="0" collapsed="false">
      <c r="A650" s="9" t="n">
        <f aca="false">IFERROR(__xludf.dummyfunction("""COMPUTED_VALUE"""),45140.6666666667)</f>
        <v>45140.6666666667</v>
      </c>
      <c r="B650" s="8" t="n">
        <f aca="false">IFERROR(__xludf.dummyfunction("""COMPUTED_VALUE"""),318)</f>
        <v>318</v>
      </c>
      <c r="C650" s="8" t="n">
        <f aca="false">IFERROR(__xludf.dummyfunction("""COMPUTED_VALUE"""),318.39)</f>
        <v>318.39</v>
      </c>
      <c r="D650" s="8" t="n">
        <f aca="false">IFERROR(__xludf.dummyfunction("""COMPUTED_VALUE"""),310.65)</f>
        <v>310.65</v>
      </c>
      <c r="E650" s="8" t="n">
        <f aca="false">IFERROR(__xludf.dummyfunction("""COMPUTED_VALUE"""),314.31)</f>
        <v>314.31</v>
      </c>
      <c r="F650" s="8" t="n">
        <f aca="false">IFERROR(__xludf.dummyfunction("""COMPUTED_VALUE"""),20461094)</f>
        <v>20461094</v>
      </c>
    </row>
    <row r="651" customFormat="false" ht="15.75" hidden="false" customHeight="false" outlineLevel="0" collapsed="false">
      <c r="A651" s="9" t="n">
        <f aca="false">IFERROR(__xludf.dummyfunction("""COMPUTED_VALUE"""),45141.6666666667)</f>
        <v>45141.6666666667</v>
      </c>
      <c r="B651" s="8" t="n">
        <f aca="false">IFERROR(__xludf.dummyfunction("""COMPUTED_VALUE"""),309.93)</f>
        <v>309.93</v>
      </c>
      <c r="C651" s="8" t="n">
        <f aca="false">IFERROR(__xludf.dummyfunction("""COMPUTED_VALUE"""),315.95)</f>
        <v>315.95</v>
      </c>
      <c r="D651" s="8" t="n">
        <f aca="false">IFERROR(__xludf.dummyfunction("""COMPUTED_VALUE"""),309.93)</f>
        <v>309.93</v>
      </c>
      <c r="E651" s="8" t="n">
        <f aca="false">IFERROR(__xludf.dummyfunction("""COMPUTED_VALUE"""),313.19)</f>
        <v>313.19</v>
      </c>
      <c r="F651" s="8" t="n">
        <f aca="false">IFERROR(__xludf.dummyfunction("""COMPUTED_VALUE"""),15215422)</f>
        <v>15215422</v>
      </c>
    </row>
    <row r="652" customFormat="false" ht="15.75" hidden="false" customHeight="false" outlineLevel="0" collapsed="false">
      <c r="A652" s="9" t="n">
        <f aca="false">IFERROR(__xludf.dummyfunction("""COMPUTED_VALUE"""),45142.6666666667)</f>
        <v>45142.6666666667</v>
      </c>
      <c r="B652" s="8" t="n">
        <f aca="false">IFERROR(__xludf.dummyfunction("""COMPUTED_VALUE"""),314.96)</f>
        <v>314.96</v>
      </c>
      <c r="C652" s="8" t="n">
        <f aca="false">IFERROR(__xludf.dummyfunction("""COMPUTED_VALUE"""),318.41)</f>
        <v>318.41</v>
      </c>
      <c r="D652" s="8" t="n">
        <f aca="false">IFERROR(__xludf.dummyfunction("""COMPUTED_VALUE"""),310.2)</f>
        <v>310.2</v>
      </c>
      <c r="E652" s="8" t="n">
        <f aca="false">IFERROR(__xludf.dummyfunction("""COMPUTED_VALUE"""),310.73)</f>
        <v>310.73</v>
      </c>
      <c r="F652" s="8" t="n">
        <f aca="false">IFERROR(__xludf.dummyfunction("""COMPUTED_VALUE"""),17612762)</f>
        <v>17612762</v>
      </c>
    </row>
    <row r="653" customFormat="false" ht="15.75" hidden="false" customHeight="false" outlineLevel="0" collapsed="false">
      <c r="A653" s="9" t="n">
        <f aca="false">IFERROR(__xludf.dummyfunction("""COMPUTED_VALUE"""),45145.6666666667)</f>
        <v>45145.6666666667</v>
      </c>
      <c r="B653" s="8" t="n">
        <f aca="false">IFERROR(__xludf.dummyfunction("""COMPUTED_VALUE"""),313.23)</f>
        <v>313.23</v>
      </c>
      <c r="C653" s="8" t="n">
        <f aca="false">IFERROR(__xludf.dummyfunction("""COMPUTED_VALUE"""),317.07)</f>
        <v>317.07</v>
      </c>
      <c r="D653" s="8" t="n">
        <f aca="false">IFERROR(__xludf.dummyfunction("""COMPUTED_VALUE"""),310.46)</f>
        <v>310.46</v>
      </c>
      <c r="E653" s="8" t="n">
        <f aca="false">IFERROR(__xludf.dummyfunction("""COMPUTED_VALUE"""),316.56)</f>
        <v>316.56</v>
      </c>
      <c r="F653" s="8" t="n">
        <f aca="false">IFERROR(__xludf.dummyfunction("""COMPUTED_VALUE"""),16236504)</f>
        <v>16236504</v>
      </c>
    </row>
    <row r="654" customFormat="false" ht="15.75" hidden="false" customHeight="false" outlineLevel="0" collapsed="false">
      <c r="A654" s="9" t="n">
        <f aca="false">IFERROR(__xludf.dummyfunction("""COMPUTED_VALUE"""),45146.6666666667)</f>
        <v>45146.6666666667</v>
      </c>
      <c r="B654" s="8" t="n">
        <f aca="false">IFERROR(__xludf.dummyfunction("""COMPUTED_VALUE"""),314.4)</f>
        <v>314.4</v>
      </c>
      <c r="C654" s="8" t="n">
        <f aca="false">IFERROR(__xludf.dummyfunction("""COMPUTED_VALUE"""),317.89)</f>
        <v>317.89</v>
      </c>
      <c r="D654" s="8" t="n">
        <f aca="false">IFERROR(__xludf.dummyfunction("""COMPUTED_VALUE"""),310.11)</f>
        <v>310.11</v>
      </c>
      <c r="E654" s="8" t="n">
        <f aca="false">IFERROR(__xludf.dummyfunction("""COMPUTED_VALUE"""),312.64)</f>
        <v>312.64</v>
      </c>
      <c r="F654" s="8" t="n">
        <f aca="false">IFERROR(__xludf.dummyfunction("""COMPUTED_VALUE"""),15183532)</f>
        <v>15183532</v>
      </c>
    </row>
    <row r="655" customFormat="false" ht="15.75" hidden="false" customHeight="false" outlineLevel="0" collapsed="false">
      <c r="A655" s="9" t="n">
        <f aca="false">IFERROR(__xludf.dummyfunction("""COMPUTED_VALUE"""),45147.6666666667)</f>
        <v>45147.6666666667</v>
      </c>
      <c r="B655" s="8" t="n">
        <f aca="false">IFERROR(__xludf.dummyfunction("""COMPUTED_VALUE"""),312.88)</f>
        <v>312.88</v>
      </c>
      <c r="C655" s="8" t="n">
        <f aca="false">IFERROR(__xludf.dummyfunction("""COMPUTED_VALUE"""),313.63)</f>
        <v>313.63</v>
      </c>
      <c r="D655" s="8" t="n">
        <f aca="false">IFERROR(__xludf.dummyfunction("""COMPUTED_VALUE"""),302.85)</f>
        <v>302.85</v>
      </c>
      <c r="E655" s="8" t="n">
        <f aca="false">IFERROR(__xludf.dummyfunction("""COMPUTED_VALUE"""),305.21)</f>
        <v>305.21</v>
      </c>
      <c r="F655" s="8" t="n">
        <f aca="false">IFERROR(__xludf.dummyfunction("""COMPUTED_VALUE"""),19955783)</f>
        <v>19955783</v>
      </c>
    </row>
    <row r="656" customFormat="false" ht="15.75" hidden="false" customHeight="false" outlineLevel="0" collapsed="false">
      <c r="A656" s="9" t="n">
        <f aca="false">IFERROR(__xludf.dummyfunction("""COMPUTED_VALUE"""),45148.6666666667)</f>
        <v>45148.6666666667</v>
      </c>
      <c r="B656" s="8" t="n">
        <f aca="false">IFERROR(__xludf.dummyfunction("""COMPUTED_VALUE"""),307.94)</f>
        <v>307.94</v>
      </c>
      <c r="C656" s="8" t="n">
        <f aca="false">IFERROR(__xludf.dummyfunction("""COMPUTED_VALUE"""),312.34)</f>
        <v>312.34</v>
      </c>
      <c r="D656" s="8" t="n">
        <f aca="false">IFERROR(__xludf.dummyfunction("""COMPUTED_VALUE"""),303.87)</f>
        <v>303.87</v>
      </c>
      <c r="E656" s="8" t="n">
        <f aca="false">IFERROR(__xludf.dummyfunction("""COMPUTED_VALUE"""),305.74)</f>
        <v>305.74</v>
      </c>
      <c r="F656" s="8" t="n">
        <f aca="false">IFERROR(__xludf.dummyfunction("""COMPUTED_VALUE"""),14358897)</f>
        <v>14358897</v>
      </c>
    </row>
    <row r="657" customFormat="false" ht="15.75" hidden="false" customHeight="false" outlineLevel="0" collapsed="false">
      <c r="A657" s="9" t="n">
        <f aca="false">IFERROR(__xludf.dummyfunction("""COMPUTED_VALUE"""),45149.6666666667)</f>
        <v>45149.6666666667</v>
      </c>
      <c r="B657" s="8" t="n">
        <f aca="false">IFERROR(__xludf.dummyfunction("""COMPUTED_VALUE"""),302.57)</f>
        <v>302.57</v>
      </c>
      <c r="C657" s="8" t="n">
        <f aca="false">IFERROR(__xludf.dummyfunction("""COMPUTED_VALUE"""),304.72)</f>
        <v>304.72</v>
      </c>
      <c r="D657" s="8" t="n">
        <f aca="false">IFERROR(__xludf.dummyfunction("""COMPUTED_VALUE"""),300.36)</f>
        <v>300.36</v>
      </c>
      <c r="E657" s="8" t="n">
        <f aca="false">IFERROR(__xludf.dummyfunction("""COMPUTED_VALUE"""),301.64)</f>
        <v>301.64</v>
      </c>
      <c r="F657" s="8" t="n">
        <f aca="false">IFERROR(__xludf.dummyfunction("""COMPUTED_VALUE"""),14046250)</f>
        <v>14046250</v>
      </c>
    </row>
    <row r="658" customFormat="false" ht="15.75" hidden="false" customHeight="false" outlineLevel="0" collapsed="false">
      <c r="A658" s="9" t="n">
        <f aca="false">IFERROR(__xludf.dummyfunction("""COMPUTED_VALUE"""),45152.6666666667)</f>
        <v>45152.6666666667</v>
      </c>
      <c r="B658" s="8" t="n">
        <f aca="false">IFERROR(__xludf.dummyfunction("""COMPUTED_VALUE"""),300.98)</f>
        <v>300.98</v>
      </c>
      <c r="C658" s="8" t="n">
        <f aca="false">IFERROR(__xludf.dummyfunction("""COMPUTED_VALUE"""),306.21)</f>
        <v>306.21</v>
      </c>
      <c r="D658" s="8" t="n">
        <f aca="false">IFERROR(__xludf.dummyfunction("""COMPUTED_VALUE"""),298.25)</f>
        <v>298.25</v>
      </c>
      <c r="E658" s="8" t="n">
        <f aca="false">IFERROR(__xludf.dummyfunction("""COMPUTED_VALUE"""),306.19)</f>
        <v>306.19</v>
      </c>
      <c r="F658" s="8" t="n">
        <f aca="false">IFERROR(__xludf.dummyfunction("""COMPUTED_VALUE"""),15641921)</f>
        <v>15641921</v>
      </c>
    </row>
    <row r="659" customFormat="false" ht="15.75" hidden="false" customHeight="false" outlineLevel="0" collapsed="false">
      <c r="A659" s="9" t="n">
        <f aca="false">IFERROR(__xludf.dummyfunction("""COMPUTED_VALUE"""),45153.6666666667)</f>
        <v>45153.6666666667</v>
      </c>
      <c r="B659" s="8" t="n">
        <f aca="false">IFERROR(__xludf.dummyfunction("""COMPUTED_VALUE"""),306.14)</f>
        <v>306.14</v>
      </c>
      <c r="C659" s="8" t="n">
        <f aca="false">IFERROR(__xludf.dummyfunction("""COMPUTED_VALUE"""),307.23)</f>
        <v>307.23</v>
      </c>
      <c r="D659" s="8" t="n">
        <f aca="false">IFERROR(__xludf.dummyfunction("""COMPUTED_VALUE"""),300.03)</f>
        <v>300.03</v>
      </c>
      <c r="E659" s="8" t="n">
        <f aca="false">IFERROR(__xludf.dummyfunction("""COMPUTED_VALUE"""),301.95)</f>
        <v>301.95</v>
      </c>
      <c r="F659" s="8" t="n">
        <f aca="false">IFERROR(__xludf.dummyfunction("""COMPUTED_VALUE"""),11623613)</f>
        <v>11623613</v>
      </c>
    </row>
    <row r="660" customFormat="false" ht="15.75" hidden="false" customHeight="false" outlineLevel="0" collapsed="false">
      <c r="A660" s="9" t="n">
        <f aca="false">IFERROR(__xludf.dummyfunction("""COMPUTED_VALUE"""),45154.6666666667)</f>
        <v>45154.6666666667</v>
      </c>
      <c r="B660" s="8" t="n">
        <f aca="false">IFERROR(__xludf.dummyfunction("""COMPUTED_VALUE"""),300.2)</f>
        <v>300.2</v>
      </c>
      <c r="C660" s="8" t="n">
        <f aca="false">IFERROR(__xludf.dummyfunction("""COMPUTED_VALUE"""),301.08)</f>
        <v>301.08</v>
      </c>
      <c r="D660" s="8" t="n">
        <f aca="false">IFERROR(__xludf.dummyfunction("""COMPUTED_VALUE"""),294.28)</f>
        <v>294.28</v>
      </c>
      <c r="E660" s="8" t="n">
        <f aca="false">IFERROR(__xludf.dummyfunction("""COMPUTED_VALUE"""),294.29)</f>
        <v>294.29</v>
      </c>
      <c r="F660" s="8" t="n">
        <f aca="false">IFERROR(__xludf.dummyfunction("""COMPUTED_VALUE"""),18547741)</f>
        <v>18547741</v>
      </c>
    </row>
    <row r="661" customFormat="false" ht="15.75" hidden="false" customHeight="false" outlineLevel="0" collapsed="false">
      <c r="A661" s="9" t="n">
        <f aca="false">IFERROR(__xludf.dummyfunction("""COMPUTED_VALUE"""),45155.6666666667)</f>
        <v>45155.6666666667</v>
      </c>
      <c r="B661" s="8" t="n">
        <f aca="false">IFERROR(__xludf.dummyfunction("""COMPUTED_VALUE"""),293.05)</f>
        <v>293.05</v>
      </c>
      <c r="C661" s="8" t="n">
        <f aca="false">IFERROR(__xludf.dummyfunction("""COMPUTED_VALUE"""),296.05)</f>
        <v>296.05</v>
      </c>
      <c r="D661" s="8" t="n">
        <f aca="false">IFERROR(__xludf.dummyfunction("""COMPUTED_VALUE"""),284.95)</f>
        <v>284.95</v>
      </c>
      <c r="E661" s="8" t="n">
        <f aca="false">IFERROR(__xludf.dummyfunction("""COMPUTED_VALUE"""),285.09)</f>
        <v>285.09</v>
      </c>
      <c r="F661" s="8" t="n">
        <f aca="false">IFERROR(__xludf.dummyfunction("""COMPUTED_VALUE"""),23950089)</f>
        <v>23950089</v>
      </c>
    </row>
    <row r="662" customFormat="false" ht="15.75" hidden="false" customHeight="false" outlineLevel="0" collapsed="false">
      <c r="A662" s="9" t="n">
        <f aca="false">IFERROR(__xludf.dummyfunction("""COMPUTED_VALUE"""),45156.6666666667)</f>
        <v>45156.6666666667</v>
      </c>
      <c r="B662" s="8" t="n">
        <f aca="false">IFERROR(__xludf.dummyfunction("""COMPUTED_VALUE"""),279.03)</f>
        <v>279.03</v>
      </c>
      <c r="C662" s="8" t="n">
        <f aca="false">IFERROR(__xludf.dummyfunction("""COMPUTED_VALUE"""),285.69)</f>
        <v>285.69</v>
      </c>
      <c r="D662" s="8" t="n">
        <f aca="false">IFERROR(__xludf.dummyfunction("""COMPUTED_VALUE"""),274.38)</f>
        <v>274.38</v>
      </c>
      <c r="E662" s="8" t="n">
        <f aca="false">IFERROR(__xludf.dummyfunction("""COMPUTED_VALUE"""),283.25)</f>
        <v>283.25</v>
      </c>
      <c r="F662" s="8" t="n">
        <f aca="false">IFERROR(__xludf.dummyfunction("""COMPUTED_VALUE"""),35347925)</f>
        <v>35347925</v>
      </c>
    </row>
    <row r="663" customFormat="false" ht="15.75" hidden="false" customHeight="false" outlineLevel="0" collapsed="false">
      <c r="A663" s="9" t="n">
        <f aca="false">IFERROR(__xludf.dummyfunction("""COMPUTED_VALUE"""),45159.6666666667)</f>
        <v>45159.6666666667</v>
      </c>
      <c r="B663" s="8" t="n">
        <f aca="false">IFERROR(__xludf.dummyfunction("""COMPUTED_VALUE"""),283.45)</f>
        <v>283.45</v>
      </c>
      <c r="C663" s="8" t="n">
        <f aca="false">IFERROR(__xludf.dummyfunction("""COMPUTED_VALUE"""),290.5)</f>
        <v>290.5</v>
      </c>
      <c r="D663" s="8" t="n">
        <f aca="false">IFERROR(__xludf.dummyfunction("""COMPUTED_VALUE"""),281.85)</f>
        <v>281.85</v>
      </c>
      <c r="E663" s="8" t="n">
        <f aca="false">IFERROR(__xludf.dummyfunction("""COMPUTED_VALUE"""),289.9)</f>
        <v>289.9</v>
      </c>
      <c r="F663" s="8" t="n">
        <f aca="false">IFERROR(__xludf.dummyfunction("""COMPUTED_VALUE"""),20181475)</f>
        <v>20181475</v>
      </c>
    </row>
    <row r="664" customFormat="false" ht="15.75" hidden="false" customHeight="false" outlineLevel="0" collapsed="false">
      <c r="A664" s="9" t="n">
        <f aca="false">IFERROR(__xludf.dummyfunction("""COMPUTED_VALUE"""),45160.6666666667)</f>
        <v>45160.6666666667</v>
      </c>
      <c r="B664" s="8" t="n">
        <f aca="false">IFERROR(__xludf.dummyfunction("""COMPUTED_VALUE"""),292.55)</f>
        <v>292.55</v>
      </c>
      <c r="C664" s="8" t="n">
        <f aca="false">IFERROR(__xludf.dummyfunction("""COMPUTED_VALUE"""),292.9)</f>
        <v>292.9</v>
      </c>
      <c r="D664" s="8" t="n">
        <f aca="false">IFERROR(__xludf.dummyfunction("""COMPUTED_VALUE"""),286.75)</f>
        <v>286.75</v>
      </c>
      <c r="E664" s="8" t="n">
        <f aca="false">IFERROR(__xludf.dummyfunction("""COMPUTED_VALUE"""),287.6)</f>
        <v>287.6</v>
      </c>
      <c r="F664" s="8" t="n">
        <f aca="false">IFERROR(__xludf.dummyfunction("""COMPUTED_VALUE"""),12999913)</f>
        <v>12999913</v>
      </c>
    </row>
    <row r="665" customFormat="false" ht="15.75" hidden="false" customHeight="false" outlineLevel="0" collapsed="false">
      <c r="A665" s="9" t="n">
        <f aca="false">IFERROR(__xludf.dummyfunction("""COMPUTED_VALUE"""),45161.6666666667)</f>
        <v>45161.6666666667</v>
      </c>
      <c r="B665" s="8" t="n">
        <f aca="false">IFERROR(__xludf.dummyfunction("""COMPUTED_VALUE"""),288.5)</f>
        <v>288.5</v>
      </c>
      <c r="C665" s="8" t="n">
        <f aca="false">IFERROR(__xludf.dummyfunction("""COMPUTED_VALUE"""),297.4)</f>
        <v>297.4</v>
      </c>
      <c r="D665" s="8" t="n">
        <f aca="false">IFERROR(__xludf.dummyfunction("""COMPUTED_VALUE"""),287.67)</f>
        <v>287.67</v>
      </c>
      <c r="E665" s="8" t="n">
        <f aca="false">IFERROR(__xludf.dummyfunction("""COMPUTED_VALUE"""),294.24)</f>
        <v>294.24</v>
      </c>
      <c r="F665" s="8" t="n">
        <f aca="false">IFERROR(__xludf.dummyfunction("""COMPUTED_VALUE"""),18287001)</f>
        <v>18287001</v>
      </c>
    </row>
    <row r="666" customFormat="false" ht="15.75" hidden="false" customHeight="false" outlineLevel="0" collapsed="false">
      <c r="A666" s="9" t="n">
        <f aca="false">IFERROR(__xludf.dummyfunction("""COMPUTED_VALUE"""),45162.6666666667)</f>
        <v>45162.6666666667</v>
      </c>
      <c r="B666" s="8" t="n">
        <f aca="false">IFERROR(__xludf.dummyfunction("""COMPUTED_VALUE"""),298.5)</f>
        <v>298.5</v>
      </c>
      <c r="C666" s="8" t="n">
        <f aca="false">IFERROR(__xludf.dummyfunction("""COMPUTED_VALUE"""),299.46)</f>
        <v>299.46</v>
      </c>
      <c r="D666" s="8" t="n">
        <f aca="false">IFERROR(__xludf.dummyfunction("""COMPUTED_VALUE"""),286.64)</f>
        <v>286.64</v>
      </c>
      <c r="E666" s="8" t="n">
        <f aca="false">IFERROR(__xludf.dummyfunction("""COMPUTED_VALUE"""),286.75)</f>
        <v>286.75</v>
      </c>
      <c r="F666" s="8" t="n">
        <f aca="false">IFERROR(__xludf.dummyfunction("""COMPUTED_VALUE"""),18360882)</f>
        <v>18360882</v>
      </c>
    </row>
    <row r="667" customFormat="false" ht="15.75" hidden="false" customHeight="false" outlineLevel="0" collapsed="false">
      <c r="A667" s="9" t="n">
        <f aca="false">IFERROR(__xludf.dummyfunction("""COMPUTED_VALUE"""),45163.6666666667)</f>
        <v>45163.6666666667</v>
      </c>
      <c r="B667" s="8" t="n">
        <f aca="false">IFERROR(__xludf.dummyfunction("""COMPUTED_VALUE"""),286.13)</f>
        <v>286.13</v>
      </c>
      <c r="C667" s="8" t="n">
        <f aca="false">IFERROR(__xludf.dummyfunction("""COMPUTED_VALUE"""),288.39)</f>
        <v>288.39</v>
      </c>
      <c r="D667" s="8" t="n">
        <f aca="false">IFERROR(__xludf.dummyfunction("""COMPUTED_VALUE"""),276.03)</f>
        <v>276.03</v>
      </c>
      <c r="E667" s="8" t="n">
        <f aca="false">IFERROR(__xludf.dummyfunction("""COMPUTED_VALUE"""),285.5)</f>
        <v>285.5</v>
      </c>
      <c r="F667" s="8" t="n">
        <f aca="false">IFERROR(__xludf.dummyfunction("""COMPUTED_VALUE"""),23701443)</f>
        <v>23701443</v>
      </c>
    </row>
    <row r="668" customFormat="false" ht="15.75" hidden="false" customHeight="false" outlineLevel="0" collapsed="false">
      <c r="A668" s="9" t="n">
        <f aca="false">IFERROR(__xludf.dummyfunction("""COMPUTED_VALUE"""),45166.6666666667)</f>
        <v>45166.6666666667</v>
      </c>
      <c r="B668" s="8" t="n">
        <f aca="false">IFERROR(__xludf.dummyfunction("""COMPUTED_VALUE"""),288)</f>
        <v>288</v>
      </c>
      <c r="C668" s="8" t="n">
        <f aca="false">IFERROR(__xludf.dummyfunction("""COMPUTED_VALUE"""),291.45)</f>
        <v>291.45</v>
      </c>
      <c r="D668" s="8" t="n">
        <f aca="false">IFERROR(__xludf.dummyfunction("""COMPUTED_VALUE"""),285.8)</f>
        <v>285.8</v>
      </c>
      <c r="E668" s="8" t="n">
        <f aca="false">IFERROR(__xludf.dummyfunction("""COMPUTED_VALUE"""),290.26)</f>
        <v>290.26</v>
      </c>
      <c r="F668" s="8" t="n">
        <f aca="false">IFERROR(__xludf.dummyfunction("""COMPUTED_VALUE"""),14239285)</f>
        <v>14239285</v>
      </c>
    </row>
    <row r="669" customFormat="false" ht="15.75" hidden="false" customHeight="false" outlineLevel="0" collapsed="false">
      <c r="A669" s="9" t="n">
        <f aca="false">IFERROR(__xludf.dummyfunction("""COMPUTED_VALUE"""),45167.6666666667)</f>
        <v>45167.6666666667</v>
      </c>
      <c r="B669" s="8" t="n">
        <f aca="false">IFERROR(__xludf.dummyfunction("""COMPUTED_VALUE"""),288.58)</f>
        <v>288.58</v>
      </c>
      <c r="C669" s="8" t="n">
        <f aca="false">IFERROR(__xludf.dummyfunction("""COMPUTED_VALUE"""),299.15)</f>
        <v>299.15</v>
      </c>
      <c r="D669" s="8" t="n">
        <f aca="false">IFERROR(__xludf.dummyfunction("""COMPUTED_VALUE"""),288.18)</f>
        <v>288.18</v>
      </c>
      <c r="E669" s="8" t="n">
        <f aca="false">IFERROR(__xludf.dummyfunction("""COMPUTED_VALUE"""),297.99)</f>
        <v>297.99</v>
      </c>
      <c r="F669" s="8" t="n">
        <f aca="false">IFERROR(__xludf.dummyfunction("""COMPUTED_VALUE"""),20844522)</f>
        <v>20844522</v>
      </c>
    </row>
    <row r="670" customFormat="false" ht="15.75" hidden="false" customHeight="false" outlineLevel="0" collapsed="false">
      <c r="A670" s="9" t="n">
        <f aca="false">IFERROR(__xludf.dummyfunction("""COMPUTED_VALUE"""),45168.6666666667)</f>
        <v>45168.6666666667</v>
      </c>
      <c r="B670" s="8" t="n">
        <f aca="false">IFERROR(__xludf.dummyfunction("""COMPUTED_VALUE"""),297.17)</f>
        <v>297.17</v>
      </c>
      <c r="C670" s="8" t="n">
        <f aca="false">IFERROR(__xludf.dummyfunction("""COMPUTED_VALUE"""),298.29)</f>
        <v>298.29</v>
      </c>
      <c r="D670" s="8" t="n">
        <f aca="false">IFERROR(__xludf.dummyfunction("""COMPUTED_VALUE"""),293.43)</f>
        <v>293.43</v>
      </c>
      <c r="E670" s="8" t="n">
        <f aca="false">IFERROR(__xludf.dummyfunction("""COMPUTED_VALUE"""),295.1)</f>
        <v>295.1</v>
      </c>
      <c r="F670" s="8" t="n">
        <f aca="false">IFERROR(__xludf.dummyfunction("""COMPUTED_VALUE"""),17717024)</f>
        <v>17717024</v>
      </c>
    </row>
    <row r="671" customFormat="false" ht="15.75" hidden="false" customHeight="false" outlineLevel="0" collapsed="false">
      <c r="A671" s="9" t="n">
        <f aca="false">IFERROR(__xludf.dummyfunction("""COMPUTED_VALUE"""),45169.6666666667)</f>
        <v>45169.6666666667</v>
      </c>
      <c r="B671" s="8" t="n">
        <f aca="false">IFERROR(__xludf.dummyfunction("""COMPUTED_VALUE"""),295.8)</f>
        <v>295.8</v>
      </c>
      <c r="C671" s="8" t="n">
        <f aca="false">IFERROR(__xludf.dummyfunction("""COMPUTED_VALUE"""),301.1)</f>
        <v>301.1</v>
      </c>
      <c r="D671" s="8" t="n">
        <f aca="false">IFERROR(__xludf.dummyfunction("""COMPUTED_VALUE"""),295.66)</f>
        <v>295.66</v>
      </c>
      <c r="E671" s="8" t="n">
        <f aca="false">IFERROR(__xludf.dummyfunction("""COMPUTED_VALUE"""),295.89)</f>
        <v>295.89</v>
      </c>
      <c r="F671" s="8" t="n">
        <f aca="false">IFERROR(__xludf.dummyfunction("""COMPUTED_VALUE"""),17229865)</f>
        <v>17229865</v>
      </c>
    </row>
    <row r="672" customFormat="false" ht="15.75" hidden="false" customHeight="false" outlineLevel="0" collapsed="false">
      <c r="A672" s="9" t="n">
        <f aca="false">IFERROR(__xludf.dummyfunction("""COMPUTED_VALUE"""),45170.6666666667)</f>
        <v>45170.6666666667</v>
      </c>
      <c r="B672" s="8" t="n">
        <f aca="false">IFERROR(__xludf.dummyfunction("""COMPUTED_VALUE"""),299.37)</f>
        <v>299.37</v>
      </c>
      <c r="C672" s="8" t="n">
        <f aca="false">IFERROR(__xludf.dummyfunction("""COMPUTED_VALUE"""),301.74)</f>
        <v>301.74</v>
      </c>
      <c r="D672" s="8" t="n">
        <f aca="false">IFERROR(__xludf.dummyfunction("""COMPUTED_VALUE"""),294.47)</f>
        <v>294.47</v>
      </c>
      <c r="E672" s="8" t="n">
        <f aca="false">IFERROR(__xludf.dummyfunction("""COMPUTED_VALUE"""),296.38)</f>
        <v>296.38</v>
      </c>
      <c r="F672" s="8" t="n">
        <f aca="false">IFERROR(__xludf.dummyfunction("""COMPUTED_VALUE"""),12842257)</f>
        <v>12842257</v>
      </c>
    </row>
    <row r="673" customFormat="false" ht="15.75" hidden="false" customHeight="false" outlineLevel="0" collapsed="false">
      <c r="A673" s="9" t="n">
        <f aca="false">IFERROR(__xludf.dummyfunction("""COMPUTED_VALUE"""),45174.6666666667)</f>
        <v>45174.6666666667</v>
      </c>
      <c r="B673" s="8" t="n">
        <f aca="false">IFERROR(__xludf.dummyfunction("""COMPUTED_VALUE"""),297.02)</f>
        <v>297.02</v>
      </c>
      <c r="C673" s="8" t="n">
        <f aca="false">IFERROR(__xludf.dummyfunction("""COMPUTED_VALUE"""),301.39)</f>
        <v>301.39</v>
      </c>
      <c r="D673" s="8" t="n">
        <f aca="false">IFERROR(__xludf.dummyfunction("""COMPUTED_VALUE"""),295.51)</f>
        <v>295.51</v>
      </c>
      <c r="E673" s="8" t="n">
        <f aca="false">IFERROR(__xludf.dummyfunction("""COMPUTED_VALUE"""),300.15)</f>
        <v>300.15</v>
      </c>
      <c r="F673" s="8" t="n">
        <f aca="false">IFERROR(__xludf.dummyfunction("""COMPUTED_VALUE"""),14955989)</f>
        <v>14955989</v>
      </c>
    </row>
    <row r="674" customFormat="false" ht="15.75" hidden="false" customHeight="false" outlineLevel="0" collapsed="false">
      <c r="A674" s="9" t="n">
        <f aca="false">IFERROR(__xludf.dummyfunction("""COMPUTED_VALUE"""),45175.6666666667)</f>
        <v>45175.6666666667</v>
      </c>
      <c r="B674" s="8" t="n">
        <f aca="false">IFERROR(__xludf.dummyfunction("""COMPUTED_VALUE"""),301.71)</f>
        <v>301.71</v>
      </c>
      <c r="C674" s="8" t="n">
        <f aca="false">IFERROR(__xludf.dummyfunction("""COMPUTED_VALUE"""),303.3)</f>
        <v>303.3</v>
      </c>
      <c r="D674" s="8" t="n">
        <f aca="false">IFERROR(__xludf.dummyfunction("""COMPUTED_VALUE"""),295.66)</f>
        <v>295.66</v>
      </c>
      <c r="E674" s="8" t="n">
        <f aca="false">IFERROR(__xludf.dummyfunction("""COMPUTED_VALUE"""),299.17)</f>
        <v>299.17</v>
      </c>
      <c r="F674" s="8" t="n">
        <f aca="false">IFERROR(__xludf.dummyfunction("""COMPUTED_VALUE"""),15418092)</f>
        <v>15418092</v>
      </c>
    </row>
    <row r="675" customFormat="false" ht="15.75" hidden="false" customHeight="false" outlineLevel="0" collapsed="false">
      <c r="A675" s="9" t="n">
        <f aca="false">IFERROR(__xludf.dummyfunction("""COMPUTED_VALUE"""),45176.6666666667)</f>
        <v>45176.6666666667</v>
      </c>
      <c r="B675" s="8" t="n">
        <f aca="false">IFERROR(__xludf.dummyfunction("""COMPUTED_VALUE"""),298)</f>
        <v>298</v>
      </c>
      <c r="C675" s="8" t="n">
        <f aca="false">IFERROR(__xludf.dummyfunction("""COMPUTED_VALUE"""),307.05)</f>
        <v>307.05</v>
      </c>
      <c r="D675" s="8" t="n">
        <f aca="false">IFERROR(__xludf.dummyfunction("""COMPUTED_VALUE"""),292.22)</f>
        <v>292.22</v>
      </c>
      <c r="E675" s="8" t="n">
        <f aca="false">IFERROR(__xludf.dummyfunction("""COMPUTED_VALUE"""),298.67)</f>
        <v>298.67</v>
      </c>
      <c r="F675" s="8" t="n">
        <f aca="false">IFERROR(__xludf.dummyfunction("""COMPUTED_VALUE"""),33748737)</f>
        <v>33748737</v>
      </c>
    </row>
    <row r="676" customFormat="false" ht="15.75" hidden="false" customHeight="false" outlineLevel="0" collapsed="false">
      <c r="A676" s="9" t="n">
        <f aca="false">IFERROR(__xludf.dummyfunction("""COMPUTED_VALUE"""),45177.6666666667)</f>
        <v>45177.6666666667</v>
      </c>
      <c r="B676" s="8" t="n">
        <f aca="false">IFERROR(__xludf.dummyfunction("""COMPUTED_VALUE"""),299.22)</f>
        <v>299.22</v>
      </c>
      <c r="C676" s="8" t="n">
        <f aca="false">IFERROR(__xludf.dummyfunction("""COMPUTED_VALUE"""),305.25)</f>
        <v>305.25</v>
      </c>
      <c r="D676" s="8" t="n">
        <f aca="false">IFERROR(__xludf.dummyfunction("""COMPUTED_VALUE"""),296.78)</f>
        <v>296.78</v>
      </c>
      <c r="E676" s="8" t="n">
        <f aca="false">IFERROR(__xludf.dummyfunction("""COMPUTED_VALUE"""),297.89)</f>
        <v>297.89</v>
      </c>
      <c r="F676" s="8" t="n">
        <f aca="false">IFERROR(__xludf.dummyfunction("""COMPUTED_VALUE"""),17572203)</f>
        <v>17572203</v>
      </c>
    </row>
    <row r="677" customFormat="false" ht="15.75" hidden="false" customHeight="false" outlineLevel="0" collapsed="false">
      <c r="A677" s="9" t="n">
        <f aca="false">IFERROR(__xludf.dummyfunction("""COMPUTED_VALUE"""),45180.6666666667)</f>
        <v>45180.6666666667</v>
      </c>
      <c r="B677" s="8" t="n">
        <f aca="false">IFERROR(__xludf.dummyfunction("""COMPUTED_VALUE"""),301.41)</f>
        <v>301.41</v>
      </c>
      <c r="C677" s="8" t="n">
        <f aca="false">IFERROR(__xludf.dummyfunction("""COMPUTED_VALUE"""),309.04)</f>
        <v>309.04</v>
      </c>
      <c r="D677" s="8" t="n">
        <f aca="false">IFERROR(__xludf.dummyfunction("""COMPUTED_VALUE"""),301.28)</f>
        <v>301.28</v>
      </c>
      <c r="E677" s="8" t="n">
        <f aca="false">IFERROR(__xludf.dummyfunction("""COMPUTED_VALUE"""),307.56)</f>
        <v>307.56</v>
      </c>
      <c r="F677" s="8" t="n">
        <f aca="false">IFERROR(__xludf.dummyfunction("""COMPUTED_VALUE"""),19489330)</f>
        <v>19489330</v>
      </c>
    </row>
    <row r="678" customFormat="false" ht="15.75" hidden="false" customHeight="false" outlineLevel="0" collapsed="false">
      <c r="A678" s="9" t="n">
        <f aca="false">IFERROR(__xludf.dummyfunction("""COMPUTED_VALUE"""),45181.6666666667)</f>
        <v>45181.6666666667</v>
      </c>
      <c r="B678" s="8" t="n">
        <f aca="false">IFERROR(__xludf.dummyfunction("""COMPUTED_VALUE"""),306.33)</f>
        <v>306.33</v>
      </c>
      <c r="C678" s="8" t="n">
        <f aca="false">IFERROR(__xludf.dummyfunction("""COMPUTED_VALUE"""),308.66)</f>
        <v>308.66</v>
      </c>
      <c r="D678" s="8" t="n">
        <f aca="false">IFERROR(__xludf.dummyfunction("""COMPUTED_VALUE"""),300.23)</f>
        <v>300.23</v>
      </c>
      <c r="E678" s="8" t="n">
        <f aca="false">IFERROR(__xludf.dummyfunction("""COMPUTED_VALUE"""),301.66)</f>
        <v>301.66</v>
      </c>
      <c r="F678" s="8" t="n">
        <f aca="false">IFERROR(__xludf.dummyfunction("""COMPUTED_VALUE"""),13480400)</f>
        <v>13480400</v>
      </c>
    </row>
    <row r="679" customFormat="false" ht="15.75" hidden="false" customHeight="false" outlineLevel="0" collapsed="false">
      <c r="A679" s="9" t="n">
        <f aca="false">IFERROR(__xludf.dummyfunction("""COMPUTED_VALUE"""),45182.6666666667)</f>
        <v>45182.6666666667</v>
      </c>
      <c r="B679" s="8" t="n">
        <f aca="false">IFERROR(__xludf.dummyfunction("""COMPUTED_VALUE"""),302.36)</f>
        <v>302.36</v>
      </c>
      <c r="C679" s="8" t="n">
        <f aca="false">IFERROR(__xludf.dummyfunction("""COMPUTED_VALUE"""),307.18)</f>
        <v>307.18</v>
      </c>
      <c r="D679" s="8" t="n">
        <f aca="false">IFERROR(__xludf.dummyfunction("""COMPUTED_VALUE"""),301.32)</f>
        <v>301.32</v>
      </c>
      <c r="E679" s="8" t="n">
        <f aca="false">IFERROR(__xludf.dummyfunction("""COMPUTED_VALUE"""),305.06)</f>
        <v>305.06</v>
      </c>
      <c r="F679" s="8" t="n">
        <f aca="false">IFERROR(__xludf.dummyfunction("""COMPUTED_VALUE"""),13210915)</f>
        <v>13210915</v>
      </c>
    </row>
    <row r="680" customFormat="false" ht="15.75" hidden="false" customHeight="false" outlineLevel="0" collapsed="false">
      <c r="A680" s="9" t="n">
        <f aca="false">IFERROR(__xludf.dummyfunction("""COMPUTED_VALUE"""),45183.6666666667)</f>
        <v>45183.6666666667</v>
      </c>
      <c r="B680" s="8" t="n">
        <f aca="false">IFERROR(__xludf.dummyfunction("""COMPUTED_VALUE"""),306.74)</f>
        <v>306.74</v>
      </c>
      <c r="C680" s="8" t="n">
        <f aca="false">IFERROR(__xludf.dummyfunction("""COMPUTED_VALUE"""),312.87)</f>
        <v>312.87</v>
      </c>
      <c r="D680" s="8" t="n">
        <f aca="false">IFERROR(__xludf.dummyfunction("""COMPUTED_VALUE"""),305.03)</f>
        <v>305.03</v>
      </c>
      <c r="E680" s="8" t="n">
        <f aca="false">IFERROR(__xludf.dummyfunction("""COMPUTED_VALUE"""),311.72)</f>
        <v>311.72</v>
      </c>
      <c r="F680" s="8" t="n">
        <f aca="false">IFERROR(__xludf.dummyfunction("""COMPUTED_VALUE"""),19343102)</f>
        <v>19343102</v>
      </c>
    </row>
    <row r="681" customFormat="false" ht="15.75" hidden="false" customHeight="false" outlineLevel="0" collapsed="false">
      <c r="A681" s="9" t="n">
        <f aca="false">IFERROR(__xludf.dummyfunction("""COMPUTED_VALUE"""),45184.6666666667)</f>
        <v>45184.6666666667</v>
      </c>
      <c r="B681" s="8" t="n">
        <f aca="false">IFERROR(__xludf.dummyfunction("""COMPUTED_VALUE"""),311.61)</f>
        <v>311.61</v>
      </c>
      <c r="C681" s="8" t="n">
        <f aca="false">IFERROR(__xludf.dummyfunction("""COMPUTED_VALUE"""),312)</f>
        <v>312</v>
      </c>
      <c r="D681" s="8" t="n">
        <f aca="false">IFERROR(__xludf.dummyfunction("""COMPUTED_VALUE"""),298.75)</f>
        <v>298.75</v>
      </c>
      <c r="E681" s="8" t="n">
        <f aca="false">IFERROR(__xludf.dummyfunction("""COMPUTED_VALUE"""),300.31)</f>
        <v>300.31</v>
      </c>
      <c r="F681" s="8" t="n">
        <f aca="false">IFERROR(__xludf.dummyfunction("""COMPUTED_VALUE"""),28131140)</f>
        <v>28131140</v>
      </c>
    </row>
    <row r="682" customFormat="false" ht="15.75" hidden="false" customHeight="false" outlineLevel="0" collapsed="false">
      <c r="A682" s="9" t="n">
        <f aca="false">IFERROR(__xludf.dummyfunction("""COMPUTED_VALUE"""),45187.6666666667)</f>
        <v>45187.6666666667</v>
      </c>
      <c r="B682" s="8" t="n">
        <f aca="false">IFERROR(__xludf.dummyfunction("""COMPUTED_VALUE"""),298.19)</f>
        <v>298.19</v>
      </c>
      <c r="C682" s="8" t="n">
        <f aca="false">IFERROR(__xludf.dummyfunction("""COMPUTED_VALUE"""),303.6)</f>
        <v>303.6</v>
      </c>
      <c r="D682" s="8" t="n">
        <f aca="false">IFERROR(__xludf.dummyfunction("""COMPUTED_VALUE"""),297.8)</f>
        <v>297.8</v>
      </c>
      <c r="E682" s="8" t="n">
        <f aca="false">IFERROR(__xludf.dummyfunction("""COMPUTED_VALUE"""),302.55)</f>
        <v>302.55</v>
      </c>
      <c r="F682" s="8" t="n">
        <f aca="false">IFERROR(__xludf.dummyfunction("""COMPUTED_VALUE"""),14234158)</f>
        <v>14234158</v>
      </c>
    </row>
    <row r="683" customFormat="false" ht="15.75" hidden="false" customHeight="false" outlineLevel="0" collapsed="false">
      <c r="A683" s="9" t="n">
        <f aca="false">IFERROR(__xludf.dummyfunction("""COMPUTED_VALUE"""),45188.6666666667)</f>
        <v>45188.6666666667</v>
      </c>
      <c r="B683" s="8" t="n">
        <f aca="false">IFERROR(__xludf.dummyfunction("""COMPUTED_VALUE"""),302.48)</f>
        <v>302.48</v>
      </c>
      <c r="C683" s="8" t="n">
        <f aca="false">IFERROR(__xludf.dummyfunction("""COMPUTED_VALUE"""),306.17)</f>
        <v>306.17</v>
      </c>
      <c r="D683" s="8" t="n">
        <f aca="false">IFERROR(__xludf.dummyfunction("""COMPUTED_VALUE"""),299.81)</f>
        <v>299.81</v>
      </c>
      <c r="E683" s="8" t="n">
        <f aca="false">IFERROR(__xludf.dummyfunction("""COMPUTED_VALUE"""),305.07)</f>
        <v>305.07</v>
      </c>
      <c r="F683" s="8" t="n">
        <f aca="false">IFERROR(__xludf.dummyfunction("""COMPUTED_VALUE"""),15931618)</f>
        <v>15931618</v>
      </c>
    </row>
    <row r="684" customFormat="false" ht="15.75" hidden="false" customHeight="false" outlineLevel="0" collapsed="false">
      <c r="A684" s="9" t="n">
        <f aca="false">IFERROR(__xludf.dummyfunction("""COMPUTED_VALUE"""),45189.6666666667)</f>
        <v>45189.6666666667</v>
      </c>
      <c r="B684" s="8" t="n">
        <f aca="false">IFERROR(__xludf.dummyfunction("""COMPUTED_VALUE"""),305.05)</f>
        <v>305.05</v>
      </c>
      <c r="C684" s="8" t="n">
        <f aca="false">IFERROR(__xludf.dummyfunction("""COMPUTED_VALUE"""),308.06)</f>
        <v>308.06</v>
      </c>
      <c r="D684" s="8" t="n">
        <f aca="false">IFERROR(__xludf.dummyfunction("""COMPUTED_VALUE"""),299.43)</f>
        <v>299.43</v>
      </c>
      <c r="E684" s="8" t="n">
        <f aca="false">IFERROR(__xludf.dummyfunction("""COMPUTED_VALUE"""),299.67)</f>
        <v>299.67</v>
      </c>
      <c r="F684" s="8" t="n">
        <f aca="false">IFERROR(__xludf.dummyfunction("""COMPUTED_VALUE"""),19379515)</f>
        <v>19379515</v>
      </c>
    </row>
    <row r="685" customFormat="false" ht="15.75" hidden="false" customHeight="false" outlineLevel="0" collapsed="false">
      <c r="A685" s="9" t="n">
        <f aca="false">IFERROR(__xludf.dummyfunction("""COMPUTED_VALUE"""),45190.6666666667)</f>
        <v>45190.6666666667</v>
      </c>
      <c r="B685" s="8" t="n">
        <f aca="false">IFERROR(__xludf.dummyfunction("""COMPUTED_VALUE"""),295.7)</f>
        <v>295.7</v>
      </c>
      <c r="C685" s="8" t="n">
        <f aca="false">IFERROR(__xludf.dummyfunction("""COMPUTED_VALUE"""),300.26)</f>
        <v>300.26</v>
      </c>
      <c r="D685" s="8" t="n">
        <f aca="false">IFERROR(__xludf.dummyfunction("""COMPUTED_VALUE"""),293.27)</f>
        <v>293.27</v>
      </c>
      <c r="E685" s="8" t="n">
        <f aca="false">IFERROR(__xludf.dummyfunction("""COMPUTED_VALUE"""),295.73)</f>
        <v>295.73</v>
      </c>
      <c r="F685" s="8" t="n">
        <f aca="false">IFERROR(__xludf.dummyfunction("""COMPUTED_VALUE"""),21319582)</f>
        <v>21319582</v>
      </c>
    </row>
    <row r="686" customFormat="false" ht="15.75" hidden="false" customHeight="false" outlineLevel="0" collapsed="false">
      <c r="A686" s="9" t="n">
        <f aca="false">IFERROR(__xludf.dummyfunction("""COMPUTED_VALUE"""),45191.6666666667)</f>
        <v>45191.6666666667</v>
      </c>
      <c r="B686" s="8" t="n">
        <f aca="false">IFERROR(__xludf.dummyfunction("""COMPUTED_VALUE"""),299.3)</f>
        <v>299.3</v>
      </c>
      <c r="C686" s="8" t="n">
        <f aca="false">IFERROR(__xludf.dummyfunction("""COMPUTED_VALUE"""),305.38)</f>
        <v>305.38</v>
      </c>
      <c r="D686" s="8" t="n">
        <f aca="false">IFERROR(__xludf.dummyfunction("""COMPUTED_VALUE"""),298.27)</f>
        <v>298.27</v>
      </c>
      <c r="E686" s="8" t="n">
        <f aca="false">IFERROR(__xludf.dummyfunction("""COMPUTED_VALUE"""),299.08)</f>
        <v>299.08</v>
      </c>
      <c r="F686" s="8" t="n">
        <f aca="false">IFERROR(__xludf.dummyfunction("""COMPUTED_VALUE"""),25369592)</f>
        <v>25369592</v>
      </c>
    </row>
    <row r="687" customFormat="false" ht="15.75" hidden="false" customHeight="false" outlineLevel="0" collapsed="false">
      <c r="A687" s="9" t="n">
        <f aca="false">IFERROR(__xludf.dummyfunction("""COMPUTED_VALUE"""),45194.6666666667)</f>
        <v>45194.6666666667</v>
      </c>
      <c r="B687" s="8" t="n">
        <f aca="false">IFERROR(__xludf.dummyfunction("""COMPUTED_VALUE"""),295.64)</f>
        <v>295.64</v>
      </c>
      <c r="C687" s="8" t="n">
        <f aca="false">IFERROR(__xludf.dummyfunction("""COMPUTED_VALUE"""),300.95)</f>
        <v>300.95</v>
      </c>
      <c r="D687" s="8" t="n">
        <f aca="false">IFERROR(__xludf.dummyfunction("""COMPUTED_VALUE"""),293.7)</f>
        <v>293.7</v>
      </c>
      <c r="E687" s="8" t="n">
        <f aca="false">IFERROR(__xludf.dummyfunction("""COMPUTED_VALUE"""),300.83)</f>
        <v>300.83</v>
      </c>
      <c r="F687" s="8" t="n">
        <f aca="false">IFERROR(__xludf.dummyfunction("""COMPUTED_VALUE"""),18987014)</f>
        <v>18987014</v>
      </c>
    </row>
    <row r="688" customFormat="false" ht="15.75" hidden="false" customHeight="false" outlineLevel="0" collapsed="false">
      <c r="A688" s="9" t="n">
        <f aca="false">IFERROR(__xludf.dummyfunction("""COMPUTED_VALUE"""),45195.6666666667)</f>
        <v>45195.6666666667</v>
      </c>
      <c r="B688" s="8" t="n">
        <f aca="false">IFERROR(__xludf.dummyfunction("""COMPUTED_VALUE"""),297.66)</f>
        <v>297.66</v>
      </c>
      <c r="C688" s="8" t="n">
        <f aca="false">IFERROR(__xludf.dummyfunction("""COMPUTED_VALUE"""),300.3)</f>
        <v>300.3</v>
      </c>
      <c r="D688" s="8" t="n">
        <f aca="false">IFERROR(__xludf.dummyfunction("""COMPUTED_VALUE"""),296.01)</f>
        <v>296.01</v>
      </c>
      <c r="E688" s="8" t="n">
        <f aca="false">IFERROR(__xludf.dummyfunction("""COMPUTED_VALUE"""),298.96)</f>
        <v>298.96</v>
      </c>
      <c r="F688" s="8" t="n">
        <f aca="false">IFERROR(__xludf.dummyfunction("""COMPUTED_VALUE"""),19417161)</f>
        <v>19417161</v>
      </c>
    </row>
    <row r="689" customFormat="false" ht="15.75" hidden="false" customHeight="false" outlineLevel="0" collapsed="false">
      <c r="A689" s="9" t="n">
        <f aca="false">IFERROR(__xludf.dummyfunction("""COMPUTED_VALUE"""),45196.6666666667)</f>
        <v>45196.6666666667</v>
      </c>
      <c r="B689" s="8" t="n">
        <f aca="false">IFERROR(__xludf.dummyfunction("""COMPUTED_VALUE"""),300.45)</f>
        <v>300.45</v>
      </c>
      <c r="C689" s="8" t="n">
        <f aca="false">IFERROR(__xludf.dummyfunction("""COMPUTED_VALUE"""),301.3)</f>
        <v>301.3</v>
      </c>
      <c r="D689" s="8" t="n">
        <f aca="false">IFERROR(__xludf.dummyfunction("""COMPUTED_VALUE"""),286.79)</f>
        <v>286.79</v>
      </c>
      <c r="E689" s="8" t="n">
        <f aca="false">IFERROR(__xludf.dummyfunction("""COMPUTED_VALUE"""),297.74)</f>
        <v>297.74</v>
      </c>
      <c r="F689" s="8" t="n">
        <f aca="false">IFERROR(__xludf.dummyfunction("""COMPUTED_VALUE"""),36429835)</f>
        <v>36429835</v>
      </c>
    </row>
    <row r="690" customFormat="false" ht="15.75" hidden="false" customHeight="false" outlineLevel="0" collapsed="false">
      <c r="A690" s="9" t="n">
        <f aca="false">IFERROR(__xludf.dummyfunction("""COMPUTED_VALUE"""),45197.6666666667)</f>
        <v>45197.6666666667</v>
      </c>
      <c r="B690" s="8" t="n">
        <f aca="false">IFERROR(__xludf.dummyfunction("""COMPUTED_VALUE"""),298.94)</f>
        <v>298.94</v>
      </c>
      <c r="C690" s="8" t="n">
        <f aca="false">IFERROR(__xludf.dummyfunction("""COMPUTED_VALUE"""),306.33)</f>
        <v>306.33</v>
      </c>
      <c r="D690" s="8" t="n">
        <f aca="false">IFERROR(__xludf.dummyfunction("""COMPUTED_VALUE"""),296.7)</f>
        <v>296.7</v>
      </c>
      <c r="E690" s="8" t="n">
        <f aca="false">IFERROR(__xludf.dummyfunction("""COMPUTED_VALUE"""),303.96)</f>
        <v>303.96</v>
      </c>
      <c r="F690" s="8" t="n">
        <f aca="false">IFERROR(__xludf.dummyfunction("""COMPUTED_VALUE"""),22167075)</f>
        <v>22167075</v>
      </c>
    </row>
    <row r="691" customFormat="false" ht="15.75" hidden="false" customHeight="false" outlineLevel="0" collapsed="false">
      <c r="A691" s="9" t="n">
        <f aca="false">IFERROR(__xludf.dummyfunction("""COMPUTED_VALUE"""),45198.6666666667)</f>
        <v>45198.6666666667</v>
      </c>
      <c r="B691" s="8" t="n">
        <f aca="false">IFERROR(__xludf.dummyfunction("""COMPUTED_VALUE"""),307.38)</f>
        <v>307.38</v>
      </c>
      <c r="C691" s="8" t="n">
        <f aca="false">IFERROR(__xludf.dummyfunction("""COMPUTED_VALUE"""),310.64)</f>
        <v>310.64</v>
      </c>
      <c r="D691" s="8" t="n">
        <f aca="false">IFERROR(__xludf.dummyfunction("""COMPUTED_VALUE"""),299.36)</f>
        <v>299.36</v>
      </c>
      <c r="E691" s="8" t="n">
        <f aca="false">IFERROR(__xludf.dummyfunction("""COMPUTED_VALUE"""),300.21)</f>
        <v>300.21</v>
      </c>
      <c r="F691" s="8" t="n">
        <f aca="false">IFERROR(__xludf.dummyfunction("""COMPUTED_VALUE"""),25373695)</f>
        <v>25373695</v>
      </c>
    </row>
    <row r="692" customFormat="false" ht="15.75" hidden="false" customHeight="false" outlineLevel="0" collapsed="false">
      <c r="A692" s="9" t="n">
        <f aca="false">IFERROR(__xludf.dummyfunction("""COMPUTED_VALUE"""),45201.6666666667)</f>
        <v>45201.6666666667</v>
      </c>
      <c r="B692" s="8" t="n">
        <f aca="false">IFERROR(__xludf.dummyfunction("""COMPUTED_VALUE"""),302.74)</f>
        <v>302.74</v>
      </c>
      <c r="C692" s="8" t="n">
        <f aca="false">IFERROR(__xludf.dummyfunction("""COMPUTED_VALUE"""),307.18)</f>
        <v>307.18</v>
      </c>
      <c r="D692" s="8" t="n">
        <f aca="false">IFERROR(__xludf.dummyfunction("""COMPUTED_VALUE"""),301.63)</f>
        <v>301.63</v>
      </c>
      <c r="E692" s="8" t="n">
        <f aca="false">IFERROR(__xludf.dummyfunction("""COMPUTED_VALUE"""),306.82)</f>
        <v>306.82</v>
      </c>
      <c r="F692" s="8" t="n">
        <f aca="false">IFERROR(__xludf.dummyfunction("""COMPUTED_VALUE"""),16265571)</f>
        <v>16265571</v>
      </c>
    </row>
    <row r="693" customFormat="false" ht="15.75" hidden="false" customHeight="false" outlineLevel="0" collapsed="false">
      <c r="A693" s="9" t="n">
        <f aca="false">IFERROR(__xludf.dummyfunction("""COMPUTED_VALUE"""),45202.6666666667)</f>
        <v>45202.6666666667</v>
      </c>
      <c r="B693" s="8" t="n">
        <f aca="false">IFERROR(__xludf.dummyfunction("""COMPUTED_VALUE"""),304.26)</f>
        <v>304.26</v>
      </c>
      <c r="C693" s="8" t="n">
        <f aca="false">IFERROR(__xludf.dummyfunction("""COMPUTED_VALUE"""),306.77)</f>
        <v>306.77</v>
      </c>
      <c r="D693" s="8" t="n">
        <f aca="false">IFERROR(__xludf.dummyfunction("""COMPUTED_VALUE"""),299.64)</f>
        <v>299.64</v>
      </c>
      <c r="E693" s="8" t="n">
        <f aca="false">IFERROR(__xludf.dummyfunction("""COMPUTED_VALUE"""),300.94)</f>
        <v>300.94</v>
      </c>
      <c r="F693" s="8" t="n">
        <f aca="false">IFERROR(__xludf.dummyfunction("""COMPUTED_VALUE"""),17362250)</f>
        <v>17362250</v>
      </c>
    </row>
    <row r="694" customFormat="false" ht="15.75" hidden="false" customHeight="false" outlineLevel="0" collapsed="false">
      <c r="A694" s="9" t="n">
        <f aca="false">IFERROR(__xludf.dummyfunction("""COMPUTED_VALUE"""),45203.6666666667)</f>
        <v>45203.6666666667</v>
      </c>
      <c r="B694" s="8" t="n">
        <f aca="false">IFERROR(__xludf.dummyfunction("""COMPUTED_VALUE"""),298.73)</f>
        <v>298.73</v>
      </c>
      <c r="C694" s="8" t="n">
        <f aca="false">IFERROR(__xludf.dummyfunction("""COMPUTED_VALUE"""),306.9)</f>
        <v>306.9</v>
      </c>
      <c r="D694" s="8" t="n">
        <f aca="false">IFERROR(__xludf.dummyfunction("""COMPUTED_VALUE"""),298.5)</f>
        <v>298.5</v>
      </c>
      <c r="E694" s="8" t="n">
        <f aca="false">IFERROR(__xludf.dummyfunction("""COMPUTED_VALUE"""),305.58)</f>
        <v>305.58</v>
      </c>
      <c r="F694" s="8" t="n">
        <f aca="false">IFERROR(__xludf.dummyfunction("""COMPUTED_VALUE"""),16880484)</f>
        <v>16880484</v>
      </c>
    </row>
    <row r="695" customFormat="false" ht="15.75" hidden="false" customHeight="false" outlineLevel="0" collapsed="false">
      <c r="A695" s="9" t="n">
        <f aca="false">IFERROR(__xludf.dummyfunction("""COMPUTED_VALUE"""),45204.6666666667)</f>
        <v>45204.6666666667</v>
      </c>
      <c r="B695" s="8" t="n">
        <f aca="false">IFERROR(__xludf.dummyfunction("""COMPUTED_VALUE"""),304.63)</f>
        <v>304.63</v>
      </c>
      <c r="C695" s="8" t="n">
        <f aca="false">IFERROR(__xludf.dummyfunction("""COMPUTED_VALUE"""),306.21)</f>
        <v>306.21</v>
      </c>
      <c r="D695" s="8" t="n">
        <f aca="false">IFERROR(__xludf.dummyfunction("""COMPUTED_VALUE"""),299.5)</f>
        <v>299.5</v>
      </c>
      <c r="E695" s="8" t="n">
        <f aca="false">IFERROR(__xludf.dummyfunction("""COMPUTED_VALUE"""),304.79)</f>
        <v>304.79</v>
      </c>
      <c r="F695" s="8" t="n">
        <f aca="false">IFERROR(__xludf.dummyfunction("""COMPUTED_VALUE"""),19129957)</f>
        <v>19129957</v>
      </c>
    </row>
    <row r="696" customFormat="false" ht="15.75" hidden="false" customHeight="false" outlineLevel="0" collapsed="false">
      <c r="A696" s="9" t="n">
        <f aca="false">IFERROR(__xludf.dummyfunction("""COMPUTED_VALUE"""),45205.6666666667)</f>
        <v>45205.6666666667</v>
      </c>
      <c r="B696" s="8" t="n">
        <f aca="false">IFERROR(__xludf.dummyfunction("""COMPUTED_VALUE"""),301.44)</f>
        <v>301.44</v>
      </c>
      <c r="C696" s="8" t="n">
        <f aca="false">IFERROR(__xludf.dummyfunction("""COMPUTED_VALUE"""),316.31)</f>
        <v>316.31</v>
      </c>
      <c r="D696" s="8" t="n">
        <f aca="false">IFERROR(__xludf.dummyfunction("""COMPUTED_VALUE"""),300.91)</f>
        <v>300.91</v>
      </c>
      <c r="E696" s="8" t="n">
        <f aca="false">IFERROR(__xludf.dummyfunction("""COMPUTED_VALUE"""),315.43)</f>
        <v>315.43</v>
      </c>
      <c r="F696" s="8" t="n">
        <f aca="false">IFERROR(__xludf.dummyfunction("""COMPUTED_VALUE"""),21803856)</f>
        <v>21803856</v>
      </c>
    </row>
    <row r="697" customFormat="false" ht="15.75" hidden="false" customHeight="false" outlineLevel="0" collapsed="false">
      <c r="A697" s="9" t="n">
        <f aca="false">IFERROR(__xludf.dummyfunction("""COMPUTED_VALUE"""),45208.6666666667)</f>
        <v>45208.6666666667</v>
      </c>
      <c r="B697" s="8" t="n">
        <f aca="false">IFERROR(__xludf.dummyfunction("""COMPUTED_VALUE"""),312.5)</f>
        <v>312.5</v>
      </c>
      <c r="C697" s="8" t="n">
        <f aca="false">IFERROR(__xludf.dummyfunction("""COMPUTED_VALUE"""),320.33)</f>
        <v>320.33</v>
      </c>
      <c r="D697" s="8" t="n">
        <f aca="false">IFERROR(__xludf.dummyfunction("""COMPUTED_VALUE"""),311.82)</f>
        <v>311.82</v>
      </c>
      <c r="E697" s="8" t="n">
        <f aca="false">IFERROR(__xludf.dummyfunction("""COMPUTED_VALUE"""),318.36)</f>
        <v>318.36</v>
      </c>
      <c r="F697" s="8" t="n">
        <f aca="false">IFERROR(__xludf.dummyfunction("""COMPUTED_VALUE"""),22503662)</f>
        <v>22503662</v>
      </c>
    </row>
    <row r="698" customFormat="false" ht="15.75" hidden="false" customHeight="false" outlineLevel="0" collapsed="false">
      <c r="A698" s="9" t="n">
        <f aca="false">IFERROR(__xludf.dummyfunction("""COMPUTED_VALUE"""),45209.6666666667)</f>
        <v>45209.6666666667</v>
      </c>
      <c r="B698" s="8" t="n">
        <f aca="false">IFERROR(__xludf.dummyfunction("""COMPUTED_VALUE"""),319.12)</f>
        <v>319.12</v>
      </c>
      <c r="C698" s="8" t="n">
        <f aca="false">IFERROR(__xludf.dummyfunction("""COMPUTED_VALUE"""),324.66)</f>
        <v>324.66</v>
      </c>
      <c r="D698" s="8" t="n">
        <f aca="false">IFERROR(__xludf.dummyfunction("""COMPUTED_VALUE"""),318.16)</f>
        <v>318.16</v>
      </c>
      <c r="E698" s="8" t="n">
        <f aca="false">IFERROR(__xludf.dummyfunction("""COMPUTED_VALUE"""),321.84)</f>
        <v>321.84</v>
      </c>
      <c r="F698" s="8" t="n">
        <f aca="false">IFERROR(__xludf.dummyfunction("""COMPUTED_VALUE"""),19037973)</f>
        <v>19037973</v>
      </c>
    </row>
    <row r="699" customFormat="false" ht="15.75" hidden="false" customHeight="false" outlineLevel="0" collapsed="false">
      <c r="A699" s="9" t="n">
        <f aca="false">IFERROR(__xludf.dummyfunction("""COMPUTED_VALUE"""),45210.6666666667)</f>
        <v>45210.6666666667</v>
      </c>
      <c r="B699" s="8" t="n">
        <f aca="false">IFERROR(__xludf.dummyfunction("""COMPUTED_VALUE"""),323.01)</f>
        <v>323.01</v>
      </c>
      <c r="C699" s="8" t="n">
        <f aca="false">IFERROR(__xludf.dummyfunction("""COMPUTED_VALUE"""),328.84)</f>
        <v>328.84</v>
      </c>
      <c r="D699" s="8" t="n">
        <f aca="false">IFERROR(__xludf.dummyfunction("""COMPUTED_VALUE"""),322.95)</f>
        <v>322.95</v>
      </c>
      <c r="E699" s="8" t="n">
        <f aca="false">IFERROR(__xludf.dummyfunction("""COMPUTED_VALUE"""),327.82)</f>
        <v>327.82</v>
      </c>
      <c r="F699" s="8" t="n">
        <f aca="false">IFERROR(__xludf.dummyfunction("""COMPUTED_VALUE"""),22036297)</f>
        <v>22036297</v>
      </c>
    </row>
    <row r="700" customFormat="false" ht="15.75" hidden="false" customHeight="false" outlineLevel="0" collapsed="false">
      <c r="A700" s="9" t="n">
        <f aca="false">IFERROR(__xludf.dummyfunction("""COMPUTED_VALUE"""),45211.6666666667)</f>
        <v>45211.6666666667</v>
      </c>
      <c r="B700" s="8" t="n">
        <f aca="false">IFERROR(__xludf.dummyfunction("""COMPUTED_VALUE"""),328)</f>
        <v>328</v>
      </c>
      <c r="C700" s="8" t="n">
        <f aca="false">IFERROR(__xludf.dummyfunction("""COMPUTED_VALUE"""),330.54)</f>
        <v>330.54</v>
      </c>
      <c r="D700" s="8" t="n">
        <f aca="false">IFERROR(__xludf.dummyfunction("""COMPUTED_VALUE"""),322.69)</f>
        <v>322.69</v>
      </c>
      <c r="E700" s="8" t="n">
        <f aca="false">IFERROR(__xludf.dummyfunction("""COMPUTED_VALUE"""),324.16)</f>
        <v>324.16</v>
      </c>
      <c r="F700" s="8" t="n">
        <f aca="false">IFERROR(__xludf.dummyfunction("""COMPUTED_VALUE"""),20530518)</f>
        <v>20530518</v>
      </c>
    </row>
    <row r="701" customFormat="false" ht="15.75" hidden="false" customHeight="false" outlineLevel="0" collapsed="false">
      <c r="A701" s="9" t="n">
        <f aca="false">IFERROR(__xludf.dummyfunction("""COMPUTED_VALUE"""),45212.6666666667)</f>
        <v>45212.6666666667</v>
      </c>
      <c r="B701" s="8" t="n">
        <f aca="false">IFERROR(__xludf.dummyfunction("""COMPUTED_VALUE"""),323.53)</f>
        <v>323.53</v>
      </c>
      <c r="C701" s="8" t="n">
        <f aca="false">IFERROR(__xludf.dummyfunction("""COMPUTED_VALUE"""),325.05)</f>
        <v>325.05</v>
      </c>
      <c r="D701" s="8" t="n">
        <f aca="false">IFERROR(__xludf.dummyfunction("""COMPUTED_VALUE"""),312.37)</f>
        <v>312.37</v>
      </c>
      <c r="E701" s="8" t="n">
        <f aca="false">IFERROR(__xludf.dummyfunction("""COMPUTED_VALUE"""),314.69)</f>
        <v>314.69</v>
      </c>
      <c r="F701" s="8" t="n">
        <f aca="false">IFERROR(__xludf.dummyfunction("""COMPUTED_VALUE"""),21360790)</f>
        <v>21360790</v>
      </c>
    </row>
    <row r="702" customFormat="false" ht="15.75" hidden="false" customHeight="false" outlineLevel="0" collapsed="false">
      <c r="A702" s="9" t="n">
        <f aca="false">IFERROR(__xludf.dummyfunction("""COMPUTED_VALUE"""),45215.6666666667)</f>
        <v>45215.6666666667</v>
      </c>
      <c r="B702" s="8" t="n">
        <f aca="false">IFERROR(__xludf.dummyfunction("""COMPUTED_VALUE"""),318.64)</f>
        <v>318.64</v>
      </c>
      <c r="C702" s="8" t="n">
        <f aca="false">IFERROR(__xludf.dummyfunction("""COMPUTED_VALUE"""),321.82)</f>
        <v>321.82</v>
      </c>
      <c r="D702" s="8" t="n">
        <f aca="false">IFERROR(__xludf.dummyfunction("""COMPUTED_VALUE"""),315.52)</f>
        <v>315.52</v>
      </c>
      <c r="E702" s="8" t="n">
        <f aca="false">IFERROR(__xludf.dummyfunction("""COMPUTED_VALUE"""),321.15)</f>
        <v>321.15</v>
      </c>
      <c r="F702" s="8" t="n">
        <f aca="false">IFERROR(__xludf.dummyfunction("""COMPUTED_VALUE"""),16536114)</f>
        <v>16536114</v>
      </c>
    </row>
    <row r="703" customFormat="false" ht="15.75" hidden="false" customHeight="false" outlineLevel="0" collapsed="false">
      <c r="A703" s="9" t="n">
        <f aca="false">IFERROR(__xludf.dummyfunction("""COMPUTED_VALUE"""),45216.6666666667)</f>
        <v>45216.6666666667</v>
      </c>
      <c r="B703" s="8" t="n">
        <f aca="false">IFERROR(__xludf.dummyfunction("""COMPUTED_VALUE"""),318.18)</f>
        <v>318.18</v>
      </c>
      <c r="C703" s="8" t="n">
        <f aca="false">IFERROR(__xludf.dummyfunction("""COMPUTED_VALUE"""),324.4)</f>
        <v>324.4</v>
      </c>
      <c r="D703" s="8" t="n">
        <f aca="false">IFERROR(__xludf.dummyfunction("""COMPUTED_VALUE"""),317.3)</f>
        <v>317.3</v>
      </c>
      <c r="E703" s="8" t="n">
        <f aca="false">IFERROR(__xludf.dummyfunction("""COMPUTED_VALUE"""),324)</f>
        <v>324</v>
      </c>
      <c r="F703" s="8" t="n">
        <f aca="false">IFERROR(__xludf.dummyfunction("""COMPUTED_VALUE"""),16387799)</f>
        <v>16387799</v>
      </c>
    </row>
    <row r="704" customFormat="false" ht="15.75" hidden="false" customHeight="false" outlineLevel="0" collapsed="false">
      <c r="A704" s="9" t="n">
        <f aca="false">IFERROR(__xludf.dummyfunction("""COMPUTED_VALUE"""),45217.6666666667)</f>
        <v>45217.6666666667</v>
      </c>
      <c r="B704" s="8" t="n">
        <f aca="false">IFERROR(__xludf.dummyfunction("""COMPUTED_VALUE"""),321.39)</f>
        <v>321.39</v>
      </c>
      <c r="C704" s="8" t="n">
        <f aca="false">IFERROR(__xludf.dummyfunction("""COMPUTED_VALUE"""),325.94)</f>
        <v>325.94</v>
      </c>
      <c r="D704" s="8" t="n">
        <f aca="false">IFERROR(__xludf.dummyfunction("""COMPUTED_VALUE"""),315.56)</f>
        <v>315.56</v>
      </c>
      <c r="E704" s="8" t="n">
        <f aca="false">IFERROR(__xludf.dummyfunction("""COMPUTED_VALUE"""),316.97)</f>
        <v>316.97</v>
      </c>
      <c r="F704" s="8" t="n">
        <f aca="false">IFERROR(__xludf.dummyfunction("""COMPUTED_VALUE"""),16851003)</f>
        <v>16851003</v>
      </c>
    </row>
    <row r="705" customFormat="false" ht="15.75" hidden="false" customHeight="false" outlineLevel="0" collapsed="false">
      <c r="A705" s="9" t="n">
        <f aca="false">IFERROR(__xludf.dummyfunction("""COMPUTED_VALUE"""),45218.6666666667)</f>
        <v>45218.6666666667</v>
      </c>
      <c r="B705" s="8" t="n">
        <f aca="false">IFERROR(__xludf.dummyfunction("""COMPUTED_VALUE"""),319.88)</f>
        <v>319.88</v>
      </c>
      <c r="C705" s="8" t="n">
        <f aca="false">IFERROR(__xludf.dummyfunction("""COMPUTED_VALUE"""),321.89)</f>
        <v>321.89</v>
      </c>
      <c r="D705" s="8" t="n">
        <f aca="false">IFERROR(__xludf.dummyfunction("""COMPUTED_VALUE"""),311.75)</f>
        <v>311.75</v>
      </c>
      <c r="E705" s="8" t="n">
        <f aca="false">IFERROR(__xludf.dummyfunction("""COMPUTED_VALUE"""),312.81)</f>
        <v>312.81</v>
      </c>
      <c r="F705" s="8" t="n">
        <f aca="false">IFERROR(__xludf.dummyfunction("""COMPUTED_VALUE"""),18709160)</f>
        <v>18709160</v>
      </c>
    </row>
    <row r="706" customFormat="false" ht="15.75" hidden="false" customHeight="false" outlineLevel="0" collapsed="false">
      <c r="A706" s="9" t="n">
        <f aca="false">IFERROR(__xludf.dummyfunction("""COMPUTED_VALUE"""),45219.6666666667)</f>
        <v>45219.6666666667</v>
      </c>
      <c r="B706" s="8" t="n">
        <f aca="false">IFERROR(__xludf.dummyfunction("""COMPUTED_VALUE"""),314.14)</f>
        <v>314.14</v>
      </c>
      <c r="C706" s="8" t="n">
        <f aca="false">IFERROR(__xludf.dummyfunction("""COMPUTED_VALUE"""),315.3)</f>
        <v>315.3</v>
      </c>
      <c r="D706" s="8" t="n">
        <f aca="false">IFERROR(__xludf.dummyfunction("""COMPUTED_VALUE"""),306.47)</f>
        <v>306.47</v>
      </c>
      <c r="E706" s="8" t="n">
        <f aca="false">IFERROR(__xludf.dummyfunction("""COMPUTED_VALUE"""),308.65)</f>
        <v>308.65</v>
      </c>
      <c r="F706" s="8" t="n">
        <f aca="false">IFERROR(__xludf.dummyfunction("""COMPUTED_VALUE"""),22312275)</f>
        <v>22312275</v>
      </c>
    </row>
    <row r="707" customFormat="false" ht="15.75" hidden="false" customHeight="false" outlineLevel="0" collapsed="false">
      <c r="A707" s="9" t="n">
        <f aca="false">IFERROR(__xludf.dummyfunction("""COMPUTED_VALUE"""),45222.6666666667)</f>
        <v>45222.6666666667</v>
      </c>
      <c r="B707" s="8" t="n">
        <f aca="false">IFERROR(__xludf.dummyfunction("""COMPUTED_VALUE"""),309.5)</f>
        <v>309.5</v>
      </c>
      <c r="C707" s="8" t="n">
        <f aca="false">IFERROR(__xludf.dummyfunction("""COMPUTED_VALUE"""),317.36)</f>
        <v>317.36</v>
      </c>
      <c r="D707" s="8" t="n">
        <f aca="false">IFERROR(__xludf.dummyfunction("""COMPUTED_VALUE"""),307.26)</f>
        <v>307.26</v>
      </c>
      <c r="E707" s="8" t="n">
        <f aca="false">IFERROR(__xludf.dummyfunction("""COMPUTED_VALUE"""),314.01)</f>
        <v>314.01</v>
      </c>
      <c r="F707" s="8" t="n">
        <f aca="false">IFERROR(__xludf.dummyfunction("""COMPUTED_VALUE"""),17796785)</f>
        <v>17796785</v>
      </c>
    </row>
    <row r="708" customFormat="false" ht="15.75" hidden="false" customHeight="false" outlineLevel="0" collapsed="false">
      <c r="A708" s="9" t="n">
        <f aca="false">IFERROR(__xludf.dummyfunction("""COMPUTED_VALUE"""),45223.6666666667)</f>
        <v>45223.6666666667</v>
      </c>
      <c r="B708" s="8" t="n">
        <f aca="false">IFERROR(__xludf.dummyfunction("""COMPUTED_VALUE"""),316.78)</f>
        <v>316.78</v>
      </c>
      <c r="C708" s="8" t="n">
        <f aca="false">IFERROR(__xludf.dummyfunction("""COMPUTED_VALUE"""),318.35)</f>
        <v>318.35</v>
      </c>
      <c r="D708" s="8" t="n">
        <f aca="false">IFERROR(__xludf.dummyfunction("""COMPUTED_VALUE"""),310.63)</f>
        <v>310.63</v>
      </c>
      <c r="E708" s="8" t="n">
        <f aca="false">IFERROR(__xludf.dummyfunction("""COMPUTED_VALUE"""),312.55)</f>
        <v>312.55</v>
      </c>
      <c r="F708" s="8" t="n">
        <f aca="false">IFERROR(__xludf.dummyfunction("""COMPUTED_VALUE"""),19525488)</f>
        <v>19525488</v>
      </c>
    </row>
    <row r="709" customFormat="false" ht="15.75" hidden="false" customHeight="false" outlineLevel="0" collapsed="false">
      <c r="A709" s="9" t="n">
        <f aca="false">IFERROR(__xludf.dummyfunction("""COMPUTED_VALUE"""),45224.6666666667)</f>
        <v>45224.6666666667</v>
      </c>
      <c r="B709" s="8" t="n">
        <f aca="false">IFERROR(__xludf.dummyfunction("""COMPUTED_VALUE"""),310)</f>
        <v>310</v>
      </c>
      <c r="C709" s="8" t="n">
        <f aca="false">IFERROR(__xludf.dummyfunction("""COMPUTED_VALUE"""),310.88)</f>
        <v>310.88</v>
      </c>
      <c r="D709" s="8" t="n">
        <f aca="false">IFERROR(__xludf.dummyfunction("""COMPUTED_VALUE"""),298.84)</f>
        <v>298.84</v>
      </c>
      <c r="E709" s="8" t="n">
        <f aca="false">IFERROR(__xludf.dummyfunction("""COMPUTED_VALUE"""),299.53)</f>
        <v>299.53</v>
      </c>
      <c r="F709" s="8" t="n">
        <f aca="false">IFERROR(__xludf.dummyfunction("""COMPUTED_VALUE"""),42192474)</f>
        <v>42192474</v>
      </c>
    </row>
    <row r="710" customFormat="false" ht="15.75" hidden="false" customHeight="false" outlineLevel="0" collapsed="false">
      <c r="A710" s="9" t="n">
        <f aca="false">IFERROR(__xludf.dummyfunction("""COMPUTED_VALUE"""),45225.6666666667)</f>
        <v>45225.6666666667</v>
      </c>
      <c r="B710" s="8" t="n">
        <f aca="false">IFERROR(__xludf.dummyfunction("""COMPUTED_VALUE"""),295)</f>
        <v>295</v>
      </c>
      <c r="C710" s="8" t="n">
        <f aca="false">IFERROR(__xludf.dummyfunction("""COMPUTED_VALUE"""),295)</f>
        <v>295</v>
      </c>
      <c r="D710" s="8" t="n">
        <f aca="false">IFERROR(__xludf.dummyfunction("""COMPUTED_VALUE"""),279.4)</f>
        <v>279.4</v>
      </c>
      <c r="E710" s="8" t="n">
        <f aca="false">IFERROR(__xludf.dummyfunction("""COMPUTED_VALUE"""),288.35)</f>
        <v>288.35</v>
      </c>
      <c r="F710" s="8" t="n">
        <f aca="false">IFERROR(__xludf.dummyfunction("""COMPUTED_VALUE"""),66684141)</f>
        <v>66684141</v>
      </c>
    </row>
    <row r="711" customFormat="false" ht="15.75" hidden="false" customHeight="false" outlineLevel="0" collapsed="false">
      <c r="A711" s="9" t="n">
        <f aca="false">IFERROR(__xludf.dummyfunction("""COMPUTED_VALUE"""),45226.6666666667)</f>
        <v>45226.6666666667</v>
      </c>
      <c r="B711" s="8" t="n">
        <f aca="false">IFERROR(__xludf.dummyfunction("""COMPUTED_VALUE"""),294.48)</f>
        <v>294.48</v>
      </c>
      <c r="C711" s="8" t="n">
        <f aca="false">IFERROR(__xludf.dummyfunction("""COMPUTED_VALUE"""),299.31)</f>
        <v>299.31</v>
      </c>
      <c r="D711" s="8" t="n">
        <f aca="false">IFERROR(__xludf.dummyfunction("""COMPUTED_VALUE"""),292.97)</f>
        <v>292.97</v>
      </c>
      <c r="E711" s="8" t="n">
        <f aca="false">IFERROR(__xludf.dummyfunction("""COMPUTED_VALUE"""),296.73)</f>
        <v>296.73</v>
      </c>
      <c r="F711" s="8" t="n">
        <f aca="false">IFERROR(__xludf.dummyfunction("""COMPUTED_VALUE"""),29596256)</f>
        <v>29596256</v>
      </c>
    </row>
    <row r="712" customFormat="false" ht="15.75" hidden="false" customHeight="false" outlineLevel="0" collapsed="false">
      <c r="A712" s="9" t="n">
        <f aca="false">IFERROR(__xludf.dummyfunction("""COMPUTED_VALUE"""),45229.6666666667)</f>
        <v>45229.6666666667</v>
      </c>
      <c r="B712" s="8" t="n">
        <f aca="false">IFERROR(__xludf.dummyfunction("""COMPUTED_VALUE"""),299.09)</f>
        <v>299.09</v>
      </c>
      <c r="C712" s="8" t="n">
        <f aca="false">IFERROR(__xludf.dummyfunction("""COMPUTED_VALUE"""),309.4)</f>
        <v>309.4</v>
      </c>
      <c r="D712" s="8" t="n">
        <f aca="false">IFERROR(__xludf.dummyfunction("""COMPUTED_VALUE"""),299.05)</f>
        <v>299.05</v>
      </c>
      <c r="E712" s="8" t="n">
        <f aca="false">IFERROR(__xludf.dummyfunction("""COMPUTED_VALUE"""),302.66)</f>
        <v>302.66</v>
      </c>
      <c r="F712" s="8" t="n">
        <f aca="false">IFERROR(__xludf.dummyfunction("""COMPUTED_VALUE"""),28435053)</f>
        <v>28435053</v>
      </c>
    </row>
    <row r="713" customFormat="false" ht="15.75" hidden="false" customHeight="false" outlineLevel="0" collapsed="false">
      <c r="A713" s="9" t="n">
        <f aca="false">IFERROR(__xludf.dummyfunction("""COMPUTED_VALUE"""),45230.6666666667)</f>
        <v>45230.6666666667</v>
      </c>
      <c r="B713" s="8" t="n">
        <f aca="false">IFERROR(__xludf.dummyfunction("""COMPUTED_VALUE"""),303.31)</f>
        <v>303.31</v>
      </c>
      <c r="C713" s="8" t="n">
        <f aca="false">IFERROR(__xludf.dummyfunction("""COMPUTED_VALUE"""),303.68)</f>
        <v>303.68</v>
      </c>
      <c r="D713" s="8" t="n">
        <f aca="false">IFERROR(__xludf.dummyfunction("""COMPUTED_VALUE"""),296.86)</f>
        <v>296.86</v>
      </c>
      <c r="E713" s="8" t="n">
        <f aca="false">IFERROR(__xludf.dummyfunction("""COMPUTED_VALUE"""),301.27)</f>
        <v>301.27</v>
      </c>
      <c r="F713" s="8" t="n">
        <f aca="false">IFERROR(__xludf.dummyfunction("""COMPUTED_VALUE"""),19434168)</f>
        <v>19434168</v>
      </c>
    </row>
    <row r="714" customFormat="false" ht="15.75" hidden="false" customHeight="false" outlineLevel="0" collapsed="false">
      <c r="A714" s="9" t="n">
        <f aca="false">IFERROR(__xludf.dummyfunction("""COMPUTED_VALUE"""),45231.6666666667)</f>
        <v>45231.6666666667</v>
      </c>
      <c r="B714" s="8" t="n">
        <f aca="false">IFERROR(__xludf.dummyfunction("""COMPUTED_VALUE"""),301.85)</f>
        <v>301.85</v>
      </c>
      <c r="C714" s="8" t="n">
        <f aca="false">IFERROR(__xludf.dummyfunction("""COMPUTED_VALUE"""),312.74)</f>
        <v>312.74</v>
      </c>
      <c r="D714" s="8" t="n">
        <f aca="false">IFERROR(__xludf.dummyfunction("""COMPUTED_VALUE"""),301.85)</f>
        <v>301.85</v>
      </c>
      <c r="E714" s="8" t="n">
        <f aca="false">IFERROR(__xludf.dummyfunction("""COMPUTED_VALUE"""),311.85)</f>
        <v>311.85</v>
      </c>
      <c r="F714" s="8" t="n">
        <f aca="false">IFERROR(__xludf.dummyfunction("""COMPUTED_VALUE"""),20434580)</f>
        <v>20434580</v>
      </c>
    </row>
    <row r="715" customFormat="false" ht="15.75" hidden="false" customHeight="false" outlineLevel="0" collapsed="false">
      <c r="A715" s="9" t="n">
        <f aca="false">IFERROR(__xludf.dummyfunction("""COMPUTED_VALUE"""),45232.6666666667)</f>
        <v>45232.6666666667</v>
      </c>
      <c r="B715" s="8" t="n">
        <f aca="false">IFERROR(__xludf.dummyfunction("""COMPUTED_VALUE"""),317.3)</f>
        <v>317.3</v>
      </c>
      <c r="C715" s="8" t="n">
        <f aca="false">IFERROR(__xludf.dummyfunction("""COMPUTED_VALUE"""),318.82)</f>
        <v>318.82</v>
      </c>
      <c r="D715" s="8" t="n">
        <f aca="false">IFERROR(__xludf.dummyfunction("""COMPUTED_VALUE"""),308.33)</f>
        <v>308.33</v>
      </c>
      <c r="E715" s="8" t="n">
        <f aca="false">IFERROR(__xludf.dummyfunction("""COMPUTED_VALUE"""),310.87)</f>
        <v>310.87</v>
      </c>
      <c r="F715" s="8" t="n">
        <f aca="false">IFERROR(__xludf.dummyfunction("""COMPUTED_VALUE"""),21631820)</f>
        <v>21631820</v>
      </c>
    </row>
    <row r="716" customFormat="false" ht="15.75" hidden="false" customHeight="false" outlineLevel="0" collapsed="false">
      <c r="A716" s="9" t="n">
        <f aca="false">IFERROR(__xludf.dummyfunction("""COMPUTED_VALUE"""),45233.6666666667)</f>
        <v>45233.6666666667</v>
      </c>
      <c r="B716" s="8" t="n">
        <f aca="false">IFERROR(__xludf.dummyfunction("""COMPUTED_VALUE"""),312.55)</f>
        <v>312.55</v>
      </c>
      <c r="C716" s="8" t="n">
        <f aca="false">IFERROR(__xludf.dummyfunction("""COMPUTED_VALUE"""),315.55)</f>
        <v>315.55</v>
      </c>
      <c r="D716" s="8" t="n">
        <f aca="false">IFERROR(__xludf.dummyfunction("""COMPUTED_VALUE"""),311.02)</f>
        <v>311.02</v>
      </c>
      <c r="E716" s="8" t="n">
        <f aca="false">IFERROR(__xludf.dummyfunction("""COMPUTED_VALUE"""),314.6)</f>
        <v>314.6</v>
      </c>
      <c r="F716" s="8" t="n">
        <f aca="false">IFERROR(__xludf.dummyfunction("""COMPUTED_VALUE"""),16764315)</f>
        <v>16764315</v>
      </c>
    </row>
    <row r="717" customFormat="false" ht="15.75" hidden="false" customHeight="false" outlineLevel="0" collapsed="false">
      <c r="A717" s="9" t="n">
        <f aca="false">IFERROR(__xludf.dummyfunction("""COMPUTED_VALUE"""),45236.6666666667)</f>
        <v>45236.6666666667</v>
      </c>
      <c r="B717" s="8" t="n">
        <f aca="false">IFERROR(__xludf.dummyfunction("""COMPUTED_VALUE"""),315.98)</f>
        <v>315.98</v>
      </c>
      <c r="C717" s="8" t="n">
        <f aca="false">IFERROR(__xludf.dummyfunction("""COMPUTED_VALUE"""),318.33)</f>
        <v>318.33</v>
      </c>
      <c r="D717" s="8" t="n">
        <f aca="false">IFERROR(__xludf.dummyfunction("""COMPUTED_VALUE"""),314.45)</f>
        <v>314.45</v>
      </c>
      <c r="E717" s="8" t="n">
        <f aca="false">IFERROR(__xludf.dummyfunction("""COMPUTED_VALUE"""),315.8)</f>
        <v>315.8</v>
      </c>
      <c r="F717" s="8" t="n">
        <f aca="false">IFERROR(__xludf.dummyfunction("""COMPUTED_VALUE"""),12887699)</f>
        <v>12887699</v>
      </c>
    </row>
    <row r="718" customFormat="false" ht="15.75" hidden="false" customHeight="false" outlineLevel="0" collapsed="false">
      <c r="A718" s="9" t="n">
        <f aca="false">IFERROR(__xludf.dummyfunction("""COMPUTED_VALUE"""),45237.6666666667)</f>
        <v>45237.6666666667</v>
      </c>
      <c r="B718" s="8" t="n">
        <f aca="false">IFERROR(__xludf.dummyfunction("""COMPUTED_VALUE"""),317.06)</f>
        <v>317.06</v>
      </c>
      <c r="C718" s="8" t="n">
        <f aca="false">IFERROR(__xludf.dummyfunction("""COMPUTED_VALUE"""),321)</f>
        <v>321</v>
      </c>
      <c r="D718" s="8" t="n">
        <f aca="false">IFERROR(__xludf.dummyfunction("""COMPUTED_VALUE"""),315.12)</f>
        <v>315.12</v>
      </c>
      <c r="E718" s="8" t="n">
        <f aca="false">IFERROR(__xludf.dummyfunction("""COMPUTED_VALUE"""),318.82)</f>
        <v>318.82</v>
      </c>
      <c r="F718" s="8" t="n">
        <f aca="false">IFERROR(__xludf.dummyfunction("""COMPUTED_VALUE"""),14055614)</f>
        <v>14055614</v>
      </c>
    </row>
    <row r="719" customFormat="false" ht="15.75" hidden="false" customHeight="false" outlineLevel="0" collapsed="false">
      <c r="A719" s="9" t="n">
        <f aca="false">IFERROR(__xludf.dummyfunction("""COMPUTED_VALUE"""),45238.6666666667)</f>
        <v>45238.6666666667</v>
      </c>
      <c r="B719" s="8" t="n">
        <f aca="false">IFERROR(__xludf.dummyfunction("""COMPUTED_VALUE"""),318.14)</f>
        <v>318.14</v>
      </c>
      <c r="C719" s="8" t="n">
        <f aca="false">IFERROR(__xludf.dummyfunction("""COMPUTED_VALUE"""),321.33)</f>
        <v>321.33</v>
      </c>
      <c r="D719" s="8" t="n">
        <f aca="false">IFERROR(__xludf.dummyfunction("""COMPUTED_VALUE"""),314.88)</f>
        <v>314.88</v>
      </c>
      <c r="E719" s="8" t="n">
        <f aca="false">IFERROR(__xludf.dummyfunction("""COMPUTED_VALUE"""),319.78)</f>
        <v>319.78</v>
      </c>
      <c r="F719" s="8" t="n">
        <f aca="false">IFERROR(__xludf.dummyfunction("""COMPUTED_VALUE"""),13609704)</f>
        <v>13609704</v>
      </c>
    </row>
    <row r="720" customFormat="false" ht="15.75" hidden="false" customHeight="false" outlineLevel="0" collapsed="false">
      <c r="A720" s="9" t="n">
        <f aca="false">IFERROR(__xludf.dummyfunction("""COMPUTED_VALUE"""),45239.6666666667)</f>
        <v>45239.6666666667</v>
      </c>
      <c r="B720" s="8" t="n">
        <f aca="false">IFERROR(__xludf.dummyfunction("""COMPUTED_VALUE"""),319.42)</f>
        <v>319.42</v>
      </c>
      <c r="C720" s="8" t="n">
        <f aca="false">IFERROR(__xludf.dummyfunction("""COMPUTED_VALUE"""),324.18)</f>
        <v>324.18</v>
      </c>
      <c r="D720" s="8" t="n">
        <f aca="false">IFERROR(__xludf.dummyfunction("""COMPUTED_VALUE"""),318.8)</f>
        <v>318.8</v>
      </c>
      <c r="E720" s="8" t="n">
        <f aca="false">IFERROR(__xludf.dummyfunction("""COMPUTED_VALUE"""),320.55)</f>
        <v>320.55</v>
      </c>
      <c r="F720" s="8" t="n">
        <f aca="false">IFERROR(__xludf.dummyfunction("""COMPUTED_VALUE"""),16103071)</f>
        <v>16103071</v>
      </c>
    </row>
    <row r="721" customFormat="false" ht="15.75" hidden="false" customHeight="false" outlineLevel="0" collapsed="false">
      <c r="A721" s="9" t="n">
        <f aca="false">IFERROR(__xludf.dummyfunction("""COMPUTED_VALUE"""),45240.6666666667)</f>
        <v>45240.6666666667</v>
      </c>
      <c r="B721" s="8" t="n">
        <f aca="false">IFERROR(__xludf.dummyfunction("""COMPUTED_VALUE"""),319.94)</f>
        <v>319.94</v>
      </c>
      <c r="C721" s="8" t="n">
        <f aca="false">IFERROR(__xludf.dummyfunction("""COMPUTED_VALUE"""),329.1)</f>
        <v>329.1</v>
      </c>
      <c r="D721" s="8" t="n">
        <f aca="false">IFERROR(__xludf.dummyfunction("""COMPUTED_VALUE"""),319.46)</f>
        <v>319.46</v>
      </c>
      <c r="E721" s="8" t="n">
        <f aca="false">IFERROR(__xludf.dummyfunction("""COMPUTED_VALUE"""),328.77)</f>
        <v>328.77</v>
      </c>
      <c r="F721" s="8" t="n">
        <f aca="false">IFERROR(__xludf.dummyfunction("""COMPUTED_VALUE"""),19116921)</f>
        <v>19116921</v>
      </c>
    </row>
    <row r="722" customFormat="false" ht="15.75" hidden="false" customHeight="false" outlineLevel="0" collapsed="false">
      <c r="A722" s="9" t="n">
        <f aca="false">IFERROR(__xludf.dummyfunction("""COMPUTED_VALUE"""),45243.6666666667)</f>
        <v>45243.6666666667</v>
      </c>
      <c r="B722" s="8" t="n">
        <f aca="false">IFERROR(__xludf.dummyfunction("""COMPUTED_VALUE"""),326.2)</f>
        <v>326.2</v>
      </c>
      <c r="C722" s="8" t="n">
        <f aca="false">IFERROR(__xludf.dummyfunction("""COMPUTED_VALUE"""),332.33)</f>
        <v>332.33</v>
      </c>
      <c r="D722" s="8" t="n">
        <f aca="false">IFERROR(__xludf.dummyfunction("""COMPUTED_VALUE"""),325.7)</f>
        <v>325.7</v>
      </c>
      <c r="E722" s="8" t="n">
        <f aca="false">IFERROR(__xludf.dummyfunction("""COMPUTED_VALUE"""),329.19)</f>
        <v>329.19</v>
      </c>
      <c r="F722" s="8" t="n">
        <f aca="false">IFERROR(__xludf.dummyfunction("""COMPUTED_VALUE"""),16908948)</f>
        <v>16908948</v>
      </c>
    </row>
    <row r="723" customFormat="false" ht="15.75" hidden="false" customHeight="false" outlineLevel="0" collapsed="false">
      <c r="A723" s="9" t="n">
        <f aca="false">IFERROR(__xludf.dummyfunction("""COMPUTED_VALUE"""),45244.6666666667)</f>
        <v>45244.6666666667</v>
      </c>
      <c r="B723" s="8" t="n">
        <f aca="false">IFERROR(__xludf.dummyfunction("""COMPUTED_VALUE"""),334.54)</f>
        <v>334.54</v>
      </c>
      <c r="C723" s="8" t="n">
        <f aca="false">IFERROR(__xludf.dummyfunction("""COMPUTED_VALUE"""),338.1)</f>
        <v>338.1</v>
      </c>
      <c r="D723" s="8" t="n">
        <f aca="false">IFERROR(__xludf.dummyfunction("""COMPUTED_VALUE"""),333.33)</f>
        <v>333.33</v>
      </c>
      <c r="E723" s="8" t="n">
        <f aca="false">IFERROR(__xludf.dummyfunction("""COMPUTED_VALUE"""),336.31)</f>
        <v>336.31</v>
      </c>
      <c r="F723" s="8" t="n">
        <f aca="false">IFERROR(__xludf.dummyfunction("""COMPUTED_VALUE"""),17179403)</f>
        <v>17179403</v>
      </c>
    </row>
    <row r="724" customFormat="false" ht="15.75" hidden="false" customHeight="false" outlineLevel="0" collapsed="false">
      <c r="A724" s="9" t="n">
        <f aca="false">IFERROR(__xludf.dummyfunction("""COMPUTED_VALUE"""),45245.6666666667)</f>
        <v>45245.6666666667</v>
      </c>
      <c r="B724" s="8" t="n">
        <f aca="false">IFERROR(__xludf.dummyfunction("""COMPUTED_VALUE"""),337.93)</f>
        <v>337.93</v>
      </c>
      <c r="C724" s="8" t="n">
        <f aca="false">IFERROR(__xludf.dummyfunction("""COMPUTED_VALUE"""),338.4)</f>
        <v>338.4</v>
      </c>
      <c r="D724" s="8" t="n">
        <f aca="false">IFERROR(__xludf.dummyfunction("""COMPUTED_VALUE"""),330.02)</f>
        <v>330.02</v>
      </c>
      <c r="E724" s="8" t="n">
        <f aca="false">IFERROR(__xludf.dummyfunction("""COMPUTED_VALUE"""),332.71)</f>
        <v>332.71</v>
      </c>
      <c r="F724" s="8" t="n">
        <f aca="false">IFERROR(__xludf.dummyfunction("""COMPUTED_VALUE"""),14531180)</f>
        <v>14531180</v>
      </c>
    </row>
    <row r="725" customFormat="false" ht="15.75" hidden="false" customHeight="false" outlineLevel="0" collapsed="false">
      <c r="A725" s="9" t="n">
        <f aca="false">IFERROR(__xludf.dummyfunction("""COMPUTED_VALUE"""),45246.6666666667)</f>
        <v>45246.6666666667</v>
      </c>
      <c r="B725" s="8" t="n">
        <f aca="false">IFERROR(__xludf.dummyfunction("""COMPUTED_VALUE"""),329.37)</f>
        <v>329.37</v>
      </c>
      <c r="C725" s="8" t="n">
        <f aca="false">IFERROR(__xludf.dummyfunction("""COMPUTED_VALUE"""),334.58)</f>
        <v>334.58</v>
      </c>
      <c r="D725" s="8" t="n">
        <f aca="false">IFERROR(__xludf.dummyfunction("""COMPUTED_VALUE"""),326.38)</f>
        <v>326.38</v>
      </c>
      <c r="E725" s="8" t="n">
        <f aca="false">IFERROR(__xludf.dummyfunction("""COMPUTED_VALUE"""),334.19)</f>
        <v>334.19</v>
      </c>
      <c r="F725" s="8" t="n">
        <f aca="false">IFERROR(__xludf.dummyfunction("""COMPUTED_VALUE"""),18932572)</f>
        <v>18932572</v>
      </c>
    </row>
    <row r="726" customFormat="false" ht="15.75" hidden="false" customHeight="false" outlineLevel="0" collapsed="false">
      <c r="A726" s="9" t="n">
        <f aca="false">IFERROR(__xludf.dummyfunction("""COMPUTED_VALUE"""),45247.6666666667)</f>
        <v>45247.6666666667</v>
      </c>
      <c r="B726" s="8" t="n">
        <f aca="false">IFERROR(__xludf.dummyfunction("""COMPUTED_VALUE"""),330.26)</f>
        <v>330.26</v>
      </c>
      <c r="C726" s="8" t="n">
        <f aca="false">IFERROR(__xludf.dummyfunction("""COMPUTED_VALUE"""),335.5)</f>
        <v>335.5</v>
      </c>
      <c r="D726" s="8" t="n">
        <f aca="false">IFERROR(__xludf.dummyfunction("""COMPUTED_VALUE"""),329.35)</f>
        <v>329.35</v>
      </c>
      <c r="E726" s="8" t="n">
        <f aca="false">IFERROR(__xludf.dummyfunction("""COMPUTED_VALUE"""),335.04)</f>
        <v>335.04</v>
      </c>
      <c r="F726" s="8" t="n">
        <f aca="false">IFERROR(__xludf.dummyfunction("""COMPUTED_VALUE"""),14519213)</f>
        <v>14519213</v>
      </c>
    </row>
    <row r="727" customFormat="false" ht="15.75" hidden="false" customHeight="false" outlineLevel="0" collapsed="false">
      <c r="A727" s="9" t="n">
        <f aca="false">IFERROR(__xludf.dummyfunction("""COMPUTED_VALUE"""),45250.6666666667)</f>
        <v>45250.6666666667</v>
      </c>
      <c r="B727" s="8" t="n">
        <f aca="false">IFERROR(__xludf.dummyfunction("""COMPUTED_VALUE"""),334.89)</f>
        <v>334.89</v>
      </c>
      <c r="C727" s="8" t="n">
        <f aca="false">IFERROR(__xludf.dummyfunction("""COMPUTED_VALUE"""),341.87)</f>
        <v>341.87</v>
      </c>
      <c r="D727" s="8" t="n">
        <f aca="false">IFERROR(__xludf.dummyfunction("""COMPUTED_VALUE"""),334.19)</f>
        <v>334.19</v>
      </c>
      <c r="E727" s="8" t="n">
        <f aca="false">IFERROR(__xludf.dummyfunction("""COMPUTED_VALUE"""),339.97)</f>
        <v>339.97</v>
      </c>
      <c r="F727" s="8" t="n">
        <f aca="false">IFERROR(__xludf.dummyfunction("""COMPUTED_VALUE"""),16976129)</f>
        <v>16976129</v>
      </c>
    </row>
    <row r="728" customFormat="false" ht="15.75" hidden="false" customHeight="false" outlineLevel="0" collapsed="false">
      <c r="A728" s="9" t="n">
        <f aca="false">IFERROR(__xludf.dummyfunction("""COMPUTED_VALUE"""),45251.6666666667)</f>
        <v>45251.6666666667</v>
      </c>
      <c r="B728" s="8" t="n">
        <f aca="false">IFERROR(__xludf.dummyfunction("""COMPUTED_VALUE"""),338.33)</f>
        <v>338.33</v>
      </c>
      <c r="C728" s="8" t="n">
        <f aca="false">IFERROR(__xludf.dummyfunction("""COMPUTED_VALUE"""),339.9)</f>
        <v>339.9</v>
      </c>
      <c r="D728" s="8" t="n">
        <f aca="false">IFERROR(__xludf.dummyfunction("""COMPUTED_VALUE"""),335.9)</f>
        <v>335.9</v>
      </c>
      <c r="E728" s="8" t="n">
        <f aca="false">IFERROR(__xludf.dummyfunction("""COMPUTED_VALUE"""),336.98)</f>
        <v>336.98</v>
      </c>
      <c r="F728" s="8" t="n">
        <f aca="false">IFERROR(__xludf.dummyfunction("""COMPUTED_VALUE"""),12027863)</f>
        <v>12027863</v>
      </c>
    </row>
    <row r="729" customFormat="false" ht="15.75" hidden="false" customHeight="false" outlineLevel="0" collapsed="false">
      <c r="A729" s="9" t="n">
        <f aca="false">IFERROR(__xludf.dummyfunction("""COMPUTED_VALUE"""),45252.6666666667)</f>
        <v>45252.6666666667</v>
      </c>
      <c r="B729" s="8" t="n">
        <f aca="false">IFERROR(__xludf.dummyfunction("""COMPUTED_VALUE"""),339.21)</f>
        <v>339.21</v>
      </c>
      <c r="C729" s="8" t="n">
        <f aca="false">IFERROR(__xludf.dummyfunction("""COMPUTED_VALUE"""),342.92)</f>
        <v>342.92</v>
      </c>
      <c r="D729" s="8" t="n">
        <f aca="false">IFERROR(__xludf.dummyfunction("""COMPUTED_VALUE"""),338.58)</f>
        <v>338.58</v>
      </c>
      <c r="E729" s="8" t="n">
        <f aca="false">IFERROR(__xludf.dummyfunction("""COMPUTED_VALUE"""),341.49)</f>
        <v>341.49</v>
      </c>
      <c r="F729" s="8" t="n">
        <f aca="false">IFERROR(__xludf.dummyfunction("""COMPUTED_VALUE"""),10715177)</f>
        <v>10715177</v>
      </c>
    </row>
    <row r="730" customFormat="false" ht="15.75" hidden="false" customHeight="false" outlineLevel="0" collapsed="false">
      <c r="A730" s="9" t="n">
        <f aca="false">IFERROR(__xludf.dummyfunction("""COMPUTED_VALUE"""),45254.5451388889)</f>
        <v>45254.5451388889</v>
      </c>
      <c r="B730" s="8" t="n">
        <f aca="false">IFERROR(__xludf.dummyfunction("""COMPUTED_VALUE"""),340.13)</f>
        <v>340.13</v>
      </c>
      <c r="C730" s="8" t="n">
        <f aca="false">IFERROR(__xludf.dummyfunction("""COMPUTED_VALUE"""),341.86)</f>
        <v>341.86</v>
      </c>
      <c r="D730" s="8" t="n">
        <f aca="false">IFERROR(__xludf.dummyfunction("""COMPUTED_VALUE"""),336.77)</f>
        <v>336.77</v>
      </c>
      <c r="E730" s="8" t="n">
        <f aca="false">IFERROR(__xludf.dummyfunction("""COMPUTED_VALUE"""),338.23)</f>
        <v>338.23</v>
      </c>
      <c r="F730" s="8" t="n">
        <f aca="false">IFERROR(__xludf.dummyfunction("""COMPUTED_VALUE"""),5467488)</f>
        <v>5467488</v>
      </c>
    </row>
    <row r="731" customFormat="false" ht="15.75" hidden="false" customHeight="false" outlineLevel="0" collapsed="false">
      <c r="A731" s="9" t="n">
        <f aca="false">IFERROR(__xludf.dummyfunction("""COMPUTED_VALUE"""),45257.6666666667)</f>
        <v>45257.6666666667</v>
      </c>
      <c r="B731" s="8" t="n">
        <f aca="false">IFERROR(__xludf.dummyfunction("""COMPUTED_VALUE"""),336.18)</f>
        <v>336.18</v>
      </c>
      <c r="C731" s="8" t="n">
        <f aca="false">IFERROR(__xludf.dummyfunction("""COMPUTED_VALUE"""),339.9)</f>
        <v>339.9</v>
      </c>
      <c r="D731" s="8" t="n">
        <f aca="false">IFERROR(__xludf.dummyfunction("""COMPUTED_VALUE"""),334.2)</f>
        <v>334.2</v>
      </c>
      <c r="E731" s="8" t="n">
        <f aca="false">IFERROR(__xludf.dummyfunction("""COMPUTED_VALUE"""),334.7)</f>
        <v>334.7</v>
      </c>
      <c r="F731" s="8" t="n">
        <f aca="false">IFERROR(__xludf.dummyfunction("""COMPUTED_VALUE"""),15684454)</f>
        <v>15684454</v>
      </c>
    </row>
    <row r="732" customFormat="false" ht="15.75" hidden="false" customHeight="false" outlineLevel="0" collapsed="false">
      <c r="A732" s="9" t="n">
        <f aca="false">IFERROR(__xludf.dummyfunction("""COMPUTED_VALUE"""),45258.6666666667)</f>
        <v>45258.6666666667</v>
      </c>
      <c r="B732" s="8" t="n">
        <f aca="false">IFERROR(__xludf.dummyfunction("""COMPUTED_VALUE"""),333.4)</f>
        <v>333.4</v>
      </c>
      <c r="C732" s="8" t="n">
        <f aca="false">IFERROR(__xludf.dummyfunction("""COMPUTED_VALUE"""),339.38)</f>
        <v>339.38</v>
      </c>
      <c r="D732" s="8" t="n">
        <f aca="false">IFERROR(__xludf.dummyfunction("""COMPUTED_VALUE"""),333.4)</f>
        <v>333.4</v>
      </c>
      <c r="E732" s="8" t="n">
        <f aca="false">IFERROR(__xludf.dummyfunction("""COMPUTED_VALUE"""),338.99)</f>
        <v>338.99</v>
      </c>
      <c r="F732" s="8" t="n">
        <f aca="false">IFERROR(__xludf.dummyfunction("""COMPUTED_VALUE"""),12637245)</f>
        <v>12637245</v>
      </c>
    </row>
    <row r="733" customFormat="false" ht="15.75" hidden="false" customHeight="false" outlineLevel="0" collapsed="false">
      <c r="A733" s="9" t="n">
        <f aca="false">IFERROR(__xludf.dummyfunction("""COMPUTED_VALUE"""),45259.6666666667)</f>
        <v>45259.6666666667</v>
      </c>
      <c r="B733" s="8" t="n">
        <f aca="false">IFERROR(__xludf.dummyfunction("""COMPUTED_VALUE"""),339.69)</f>
        <v>339.69</v>
      </c>
      <c r="C733" s="8" t="n">
        <f aca="false">IFERROR(__xludf.dummyfunction("""COMPUTED_VALUE"""),339.9)</f>
        <v>339.9</v>
      </c>
      <c r="D733" s="8" t="n">
        <f aca="false">IFERROR(__xludf.dummyfunction("""COMPUTED_VALUE"""),330.78)</f>
        <v>330.78</v>
      </c>
      <c r="E733" s="8" t="n">
        <f aca="false">IFERROR(__xludf.dummyfunction("""COMPUTED_VALUE"""),332.2)</f>
        <v>332.2</v>
      </c>
      <c r="F733" s="8" t="n">
        <f aca="false">IFERROR(__xludf.dummyfunction("""COMPUTED_VALUE"""),16024497)</f>
        <v>16024497</v>
      </c>
    </row>
    <row r="734" customFormat="false" ht="15.75" hidden="false" customHeight="false" outlineLevel="0" collapsed="false">
      <c r="A734" s="9" t="n">
        <f aca="false">IFERROR(__xludf.dummyfunction("""COMPUTED_VALUE"""),45260.6666666667)</f>
        <v>45260.6666666667</v>
      </c>
      <c r="B734" s="8" t="n">
        <f aca="false">IFERROR(__xludf.dummyfunction("""COMPUTED_VALUE"""),331.89)</f>
        <v>331.89</v>
      </c>
      <c r="C734" s="8" t="n">
        <f aca="false">IFERROR(__xludf.dummyfunction("""COMPUTED_VALUE"""),333.5)</f>
        <v>333.5</v>
      </c>
      <c r="D734" s="8" t="n">
        <f aca="false">IFERROR(__xludf.dummyfunction("""COMPUTED_VALUE"""),322.4)</f>
        <v>322.4</v>
      </c>
      <c r="E734" s="8" t="n">
        <f aca="false">IFERROR(__xludf.dummyfunction("""COMPUTED_VALUE"""),327.15)</f>
        <v>327.15</v>
      </c>
      <c r="F734" s="8" t="n">
        <f aca="false">IFERROR(__xludf.dummyfunction("""COMPUTED_VALUE"""),23146387)</f>
        <v>23146387</v>
      </c>
    </row>
    <row r="735" customFormat="false" ht="15.75" hidden="false" customHeight="false" outlineLevel="0" collapsed="false">
      <c r="A735" s="9" t="n">
        <f aca="false">IFERROR(__xludf.dummyfunction("""COMPUTED_VALUE"""),45261.6666666667)</f>
        <v>45261.6666666667</v>
      </c>
      <c r="B735" s="8" t="n">
        <f aca="false">IFERROR(__xludf.dummyfunction("""COMPUTED_VALUE"""),325.48)</f>
        <v>325.48</v>
      </c>
      <c r="C735" s="8" t="n">
        <f aca="false">IFERROR(__xludf.dummyfunction("""COMPUTED_VALUE"""),326.86)</f>
        <v>326.86</v>
      </c>
      <c r="D735" s="8" t="n">
        <f aca="false">IFERROR(__xludf.dummyfunction("""COMPUTED_VALUE"""),320.76)</f>
        <v>320.76</v>
      </c>
      <c r="E735" s="8" t="n">
        <f aca="false">IFERROR(__xludf.dummyfunction("""COMPUTED_VALUE"""),324.82)</f>
        <v>324.82</v>
      </c>
      <c r="F735" s="8" t="n">
        <f aca="false">IFERROR(__xludf.dummyfunction("""COMPUTED_VALUE"""),15276375)</f>
        <v>15276375</v>
      </c>
    </row>
    <row r="736" customFormat="false" ht="15.75" hidden="false" customHeight="false" outlineLevel="0" collapsed="false">
      <c r="A736" s="9" t="n">
        <f aca="false">IFERROR(__xludf.dummyfunction("""COMPUTED_VALUE"""),45264.6666666667)</f>
        <v>45264.6666666667</v>
      </c>
      <c r="B736" s="8" t="n">
        <f aca="false">IFERROR(__xludf.dummyfunction("""COMPUTED_VALUE"""),317.29)</f>
        <v>317.29</v>
      </c>
      <c r="C736" s="8" t="n">
        <f aca="false">IFERROR(__xludf.dummyfunction("""COMPUTED_VALUE"""),320.86)</f>
        <v>320.86</v>
      </c>
      <c r="D736" s="8" t="n">
        <f aca="false">IFERROR(__xludf.dummyfunction("""COMPUTED_VALUE"""),313.66)</f>
        <v>313.66</v>
      </c>
      <c r="E736" s="8" t="n">
        <f aca="false">IFERROR(__xludf.dummyfunction("""COMPUTED_VALUE"""),320.02)</f>
        <v>320.02</v>
      </c>
      <c r="F736" s="8" t="n">
        <f aca="false">IFERROR(__xludf.dummyfunction("""COMPUTED_VALUE"""),19037080)</f>
        <v>19037080</v>
      </c>
    </row>
    <row r="737" customFormat="false" ht="15.75" hidden="false" customHeight="false" outlineLevel="0" collapsed="false">
      <c r="A737" s="9" t="n">
        <f aca="false">IFERROR(__xludf.dummyfunction("""COMPUTED_VALUE"""),45265.6666666667)</f>
        <v>45265.6666666667</v>
      </c>
      <c r="B737" s="8" t="n">
        <f aca="false">IFERROR(__xludf.dummyfunction("""COMPUTED_VALUE"""),318.98)</f>
        <v>318.98</v>
      </c>
      <c r="C737" s="8" t="n">
        <f aca="false">IFERROR(__xludf.dummyfunction("""COMPUTED_VALUE"""),321.88)</f>
        <v>321.88</v>
      </c>
      <c r="D737" s="8" t="n">
        <f aca="false">IFERROR(__xludf.dummyfunction("""COMPUTED_VALUE"""),315.39)</f>
        <v>315.39</v>
      </c>
      <c r="E737" s="8" t="n">
        <f aca="false">IFERROR(__xludf.dummyfunction("""COMPUTED_VALUE"""),318.29)</f>
        <v>318.29</v>
      </c>
      <c r="F737" s="8" t="n">
        <f aca="false">IFERROR(__xludf.dummyfunction("""COMPUTED_VALUE"""),16952128)</f>
        <v>16952128</v>
      </c>
    </row>
    <row r="738" customFormat="false" ht="15.75" hidden="false" customHeight="false" outlineLevel="0" collapsed="false">
      <c r="A738" s="9" t="n">
        <f aca="false">IFERROR(__xludf.dummyfunction("""COMPUTED_VALUE"""),45266.6666666667)</f>
        <v>45266.6666666667</v>
      </c>
      <c r="B738" s="8" t="n">
        <f aca="false">IFERROR(__xludf.dummyfunction("""COMPUTED_VALUE"""),321.93)</f>
        <v>321.93</v>
      </c>
      <c r="C738" s="8" t="n">
        <f aca="false">IFERROR(__xludf.dummyfunction("""COMPUTED_VALUE"""),322.25)</f>
        <v>322.25</v>
      </c>
      <c r="D738" s="8" t="n">
        <f aca="false">IFERROR(__xludf.dummyfunction("""COMPUTED_VALUE"""),317.04)</f>
        <v>317.04</v>
      </c>
      <c r="E738" s="8" t="n">
        <f aca="false">IFERROR(__xludf.dummyfunction("""COMPUTED_VALUE"""),317.45)</f>
        <v>317.45</v>
      </c>
      <c r="F738" s="8" t="n">
        <f aca="false">IFERROR(__xludf.dummyfunction("""COMPUTED_VALUE"""),11294337)</f>
        <v>11294337</v>
      </c>
    </row>
    <row r="739" customFormat="false" ht="15.75" hidden="false" customHeight="false" outlineLevel="0" collapsed="false">
      <c r="A739" s="9" t="n">
        <f aca="false">IFERROR(__xludf.dummyfunction("""COMPUTED_VALUE"""),45267.6666666667)</f>
        <v>45267.6666666667</v>
      </c>
      <c r="B739" s="8" t="n">
        <f aca="false">IFERROR(__xludf.dummyfunction("""COMPUTED_VALUE"""),317.77)</f>
        <v>317.77</v>
      </c>
      <c r="C739" s="8" t="n">
        <f aca="false">IFERROR(__xludf.dummyfunction("""COMPUTED_VALUE"""),328.24)</f>
        <v>328.24</v>
      </c>
      <c r="D739" s="8" t="n">
        <f aca="false">IFERROR(__xludf.dummyfunction("""COMPUTED_VALUE"""),317.77)</f>
        <v>317.77</v>
      </c>
      <c r="E739" s="8" t="n">
        <f aca="false">IFERROR(__xludf.dummyfunction("""COMPUTED_VALUE"""),326.59)</f>
        <v>326.59</v>
      </c>
      <c r="F739" s="8" t="n">
        <f aca="false">IFERROR(__xludf.dummyfunction("""COMPUTED_VALUE"""),15905079)</f>
        <v>15905079</v>
      </c>
    </row>
    <row r="740" customFormat="false" ht="15.75" hidden="false" customHeight="false" outlineLevel="0" collapsed="false">
      <c r="A740" s="9" t="n">
        <f aca="false">IFERROR(__xludf.dummyfunction("""COMPUTED_VALUE"""),45268.6666666667)</f>
        <v>45268.6666666667</v>
      </c>
      <c r="B740" s="8" t="n">
        <f aca="false">IFERROR(__xludf.dummyfunction("""COMPUTED_VALUE"""),323.09)</f>
        <v>323.09</v>
      </c>
      <c r="C740" s="8" t="n">
        <f aca="false">IFERROR(__xludf.dummyfunction("""COMPUTED_VALUE"""),333.17)</f>
        <v>333.17</v>
      </c>
      <c r="D740" s="8" t="n">
        <f aca="false">IFERROR(__xludf.dummyfunction("""COMPUTED_VALUE"""),323)</f>
        <v>323</v>
      </c>
      <c r="E740" s="8" t="n">
        <f aca="false">IFERROR(__xludf.dummyfunction("""COMPUTED_VALUE"""),332.75)</f>
        <v>332.75</v>
      </c>
      <c r="F740" s="8" t="n">
        <f aca="false">IFERROR(__xludf.dummyfunction("""COMPUTED_VALUE"""),14087351)</f>
        <v>14087351</v>
      </c>
    </row>
    <row r="741" customFormat="false" ht="15.75" hidden="false" customHeight="false" outlineLevel="0" collapsed="false">
      <c r="A741" s="9" t="n">
        <f aca="false">IFERROR(__xludf.dummyfunction("""COMPUTED_VALUE"""),45271.6666666667)</f>
        <v>45271.6666666667</v>
      </c>
      <c r="B741" s="8" t="n">
        <f aca="false">IFERROR(__xludf.dummyfunction("""COMPUTED_VALUE"""),329.4)</f>
        <v>329.4</v>
      </c>
      <c r="C741" s="8" t="n">
        <f aca="false">IFERROR(__xludf.dummyfunction("""COMPUTED_VALUE"""),329.89)</f>
        <v>329.89</v>
      </c>
      <c r="D741" s="8" t="n">
        <f aca="false">IFERROR(__xludf.dummyfunction("""COMPUTED_VALUE"""),320)</f>
        <v>320</v>
      </c>
      <c r="E741" s="8" t="n">
        <f aca="false">IFERROR(__xludf.dummyfunction("""COMPUTED_VALUE"""),325.28)</f>
        <v>325.28</v>
      </c>
      <c r="F741" s="8" t="n">
        <f aca="false">IFERROR(__xludf.dummyfunction("""COMPUTED_VALUE"""),25802462)</f>
        <v>25802462</v>
      </c>
    </row>
    <row r="742" customFormat="false" ht="15.75" hidden="false" customHeight="false" outlineLevel="0" collapsed="false">
      <c r="A742" s="9" t="n">
        <f aca="false">IFERROR(__xludf.dummyfunction("""COMPUTED_VALUE"""),45272.6666666667)</f>
        <v>45272.6666666667</v>
      </c>
      <c r="B742" s="8" t="n">
        <f aca="false">IFERROR(__xludf.dummyfunction("""COMPUTED_VALUE"""),324.6)</f>
        <v>324.6</v>
      </c>
      <c r="C742" s="8" t="n">
        <f aca="false">IFERROR(__xludf.dummyfunction("""COMPUTED_VALUE"""),334.47)</f>
        <v>334.47</v>
      </c>
      <c r="D742" s="8" t="n">
        <f aca="false">IFERROR(__xludf.dummyfunction("""COMPUTED_VALUE"""),324.56)</f>
        <v>324.56</v>
      </c>
      <c r="E742" s="8" t="n">
        <f aca="false">IFERROR(__xludf.dummyfunction("""COMPUTED_VALUE"""),334.22)</f>
        <v>334.22</v>
      </c>
      <c r="F742" s="8" t="n">
        <f aca="false">IFERROR(__xludf.dummyfunction("""COMPUTED_VALUE"""),18485461)</f>
        <v>18485461</v>
      </c>
    </row>
    <row r="743" customFormat="false" ht="15.75" hidden="false" customHeight="false" outlineLevel="0" collapsed="false">
      <c r="A743" s="9" t="n">
        <f aca="false">IFERROR(__xludf.dummyfunction("""COMPUTED_VALUE"""),45273.6666666667)</f>
        <v>45273.6666666667</v>
      </c>
      <c r="B743" s="8" t="n">
        <f aca="false">IFERROR(__xludf.dummyfunction("""COMPUTED_VALUE"""),333.93)</f>
        <v>333.93</v>
      </c>
      <c r="C743" s="8" t="n">
        <f aca="false">IFERROR(__xludf.dummyfunction("""COMPUTED_VALUE"""),338.37)</f>
        <v>338.37</v>
      </c>
      <c r="D743" s="8" t="n">
        <f aca="false">IFERROR(__xludf.dummyfunction("""COMPUTED_VALUE"""),332.64)</f>
        <v>332.64</v>
      </c>
      <c r="E743" s="8" t="n">
        <f aca="false">IFERROR(__xludf.dummyfunction("""COMPUTED_VALUE"""),334.74)</f>
        <v>334.74</v>
      </c>
      <c r="F743" s="8" t="n">
        <f aca="false">IFERROR(__xludf.dummyfunction("""COMPUTED_VALUE"""),16353321)</f>
        <v>16353321</v>
      </c>
    </row>
    <row r="744" customFormat="false" ht="15.75" hidden="false" customHeight="false" outlineLevel="0" collapsed="false">
      <c r="A744" s="9" t="n">
        <f aca="false">IFERROR(__xludf.dummyfunction("""COMPUTED_VALUE"""),45274.6666666667)</f>
        <v>45274.6666666667</v>
      </c>
      <c r="B744" s="8" t="n">
        <f aca="false">IFERROR(__xludf.dummyfunction("""COMPUTED_VALUE"""),333.85)</f>
        <v>333.85</v>
      </c>
      <c r="C744" s="8" t="n">
        <f aca="false">IFERROR(__xludf.dummyfunction("""COMPUTED_VALUE"""),334.7)</f>
        <v>334.7</v>
      </c>
      <c r="D744" s="8" t="n">
        <f aca="false">IFERROR(__xludf.dummyfunction("""COMPUTED_VALUE"""),328.64)</f>
        <v>328.64</v>
      </c>
      <c r="E744" s="8" t="n">
        <f aca="false">IFERROR(__xludf.dummyfunction("""COMPUTED_VALUE"""),333.17)</f>
        <v>333.17</v>
      </c>
      <c r="F744" s="8" t="n">
        <f aca="false">IFERROR(__xludf.dummyfunction("""COMPUTED_VALUE"""),19607335)</f>
        <v>19607335</v>
      </c>
    </row>
    <row r="745" customFormat="false" ht="15.75" hidden="false" customHeight="false" outlineLevel="0" collapsed="false">
      <c r="A745" s="9" t="n">
        <f aca="false">IFERROR(__xludf.dummyfunction("""COMPUTED_VALUE"""),45275.6666666667)</f>
        <v>45275.6666666667</v>
      </c>
      <c r="B745" s="8" t="n">
        <f aca="false">IFERROR(__xludf.dummyfunction("""COMPUTED_VALUE"""),331.99)</f>
        <v>331.99</v>
      </c>
      <c r="C745" s="8" t="n">
        <f aca="false">IFERROR(__xludf.dummyfunction("""COMPUTED_VALUE"""),338.66)</f>
        <v>338.66</v>
      </c>
      <c r="D745" s="8" t="n">
        <f aca="false">IFERROR(__xludf.dummyfunction("""COMPUTED_VALUE"""),331.22)</f>
        <v>331.22</v>
      </c>
      <c r="E745" s="8" t="n">
        <f aca="false">IFERROR(__xludf.dummyfunction("""COMPUTED_VALUE"""),334.92)</f>
        <v>334.92</v>
      </c>
      <c r="F745" s="8" t="n">
        <f aca="false">IFERROR(__xludf.dummyfunction("""COMPUTED_VALUE"""),31776852)</f>
        <v>31776852</v>
      </c>
    </row>
    <row r="746" customFormat="false" ht="15.75" hidden="false" customHeight="false" outlineLevel="0" collapsed="false">
      <c r="A746" s="9" t="n">
        <f aca="false">IFERROR(__xludf.dummyfunction("""COMPUTED_VALUE"""),45278.6666666667)</f>
        <v>45278.6666666667</v>
      </c>
      <c r="B746" s="8" t="n">
        <f aca="false">IFERROR(__xludf.dummyfunction("""COMPUTED_VALUE"""),337.48)</f>
        <v>337.48</v>
      </c>
      <c r="C746" s="8" t="n">
        <f aca="false">IFERROR(__xludf.dummyfunction("""COMPUTED_VALUE"""),347.56)</f>
        <v>347.56</v>
      </c>
      <c r="D746" s="8" t="n">
        <f aca="false">IFERROR(__xludf.dummyfunction("""COMPUTED_VALUE"""),337.02)</f>
        <v>337.02</v>
      </c>
      <c r="E746" s="8" t="n">
        <f aca="false">IFERROR(__xludf.dummyfunction("""COMPUTED_VALUE"""),344.62)</f>
        <v>344.62</v>
      </c>
      <c r="F746" s="8" t="n">
        <f aca="false">IFERROR(__xludf.dummyfunction("""COMPUTED_VALUE"""),18993852)</f>
        <v>18993852</v>
      </c>
    </row>
    <row r="747" customFormat="false" ht="15.75" hidden="false" customHeight="false" outlineLevel="0" collapsed="false">
      <c r="A747" s="9" t="n">
        <f aca="false">IFERROR(__xludf.dummyfunction("""COMPUTED_VALUE"""),45279.6666666667)</f>
        <v>45279.6666666667</v>
      </c>
      <c r="B747" s="8" t="n">
        <f aca="false">IFERROR(__xludf.dummyfunction("""COMPUTED_VALUE"""),345.58)</f>
        <v>345.58</v>
      </c>
      <c r="C747" s="8" t="n">
        <f aca="false">IFERROR(__xludf.dummyfunction("""COMPUTED_VALUE"""),353.6)</f>
        <v>353.6</v>
      </c>
      <c r="D747" s="8" t="n">
        <f aca="false">IFERROR(__xludf.dummyfunction("""COMPUTED_VALUE"""),345.12)</f>
        <v>345.12</v>
      </c>
      <c r="E747" s="8" t="n">
        <f aca="false">IFERROR(__xludf.dummyfunction("""COMPUTED_VALUE"""),350.36)</f>
        <v>350.36</v>
      </c>
      <c r="F747" s="8" t="n">
        <f aca="false">IFERROR(__xludf.dummyfunction("""COMPUTED_VALUE"""),17729362)</f>
        <v>17729362</v>
      </c>
    </row>
    <row r="748" customFormat="false" ht="15.75" hidden="false" customHeight="false" outlineLevel="0" collapsed="false">
      <c r="A748" s="9" t="n">
        <f aca="false">IFERROR(__xludf.dummyfunction("""COMPUTED_VALUE"""),45280.6666666667)</f>
        <v>45280.6666666667</v>
      </c>
      <c r="B748" s="8" t="n">
        <f aca="false">IFERROR(__xludf.dummyfunction("""COMPUTED_VALUE"""),348.65)</f>
        <v>348.65</v>
      </c>
      <c r="C748" s="8" t="n">
        <f aca="false">IFERROR(__xludf.dummyfunction("""COMPUTED_VALUE"""),354.96)</f>
        <v>354.96</v>
      </c>
      <c r="D748" s="8" t="n">
        <f aca="false">IFERROR(__xludf.dummyfunction("""COMPUTED_VALUE"""),347.79)</f>
        <v>347.79</v>
      </c>
      <c r="E748" s="8" t="n">
        <f aca="false">IFERROR(__xludf.dummyfunction("""COMPUTED_VALUE"""),349.28)</f>
        <v>349.28</v>
      </c>
      <c r="F748" s="8" t="n">
        <f aca="false">IFERROR(__xludf.dummyfunction("""COMPUTED_VALUE"""),16369850)</f>
        <v>16369850</v>
      </c>
    </row>
    <row r="749" customFormat="false" ht="15.75" hidden="false" customHeight="false" outlineLevel="0" collapsed="false">
      <c r="A749" s="9" t="n">
        <f aca="false">IFERROR(__xludf.dummyfunction("""COMPUTED_VALUE"""),45281.6666666667)</f>
        <v>45281.6666666667</v>
      </c>
      <c r="B749" s="8" t="n">
        <f aca="false">IFERROR(__xludf.dummyfunction("""COMPUTED_VALUE"""),352.98)</f>
        <v>352.98</v>
      </c>
      <c r="C749" s="8" t="n">
        <f aca="false">IFERROR(__xludf.dummyfunction("""COMPUTED_VALUE"""),356.41)</f>
        <v>356.41</v>
      </c>
      <c r="D749" s="8" t="n">
        <f aca="false">IFERROR(__xludf.dummyfunction("""COMPUTED_VALUE"""),349.21)</f>
        <v>349.21</v>
      </c>
      <c r="E749" s="8" t="n">
        <f aca="false">IFERROR(__xludf.dummyfunction("""COMPUTED_VALUE"""),354.09)</f>
        <v>354.09</v>
      </c>
      <c r="F749" s="8" t="n">
        <f aca="false">IFERROR(__xludf.dummyfunction("""COMPUTED_VALUE"""),15289556)</f>
        <v>15289556</v>
      </c>
    </row>
    <row r="750" customFormat="false" ht="15.75" hidden="false" customHeight="false" outlineLevel="0" collapsed="false">
      <c r="A750" s="9" t="n">
        <f aca="false">IFERROR(__xludf.dummyfunction("""COMPUTED_VALUE"""),45282.6666666667)</f>
        <v>45282.6666666667</v>
      </c>
      <c r="B750" s="8" t="n">
        <f aca="false">IFERROR(__xludf.dummyfunction("""COMPUTED_VALUE"""),355.58)</f>
        <v>355.58</v>
      </c>
      <c r="C750" s="8" t="n">
        <f aca="false">IFERROR(__xludf.dummyfunction("""COMPUTED_VALUE"""),357.2)</f>
        <v>357.2</v>
      </c>
      <c r="D750" s="8" t="n">
        <f aca="false">IFERROR(__xludf.dummyfunction("""COMPUTED_VALUE"""),351.22)</f>
        <v>351.22</v>
      </c>
      <c r="E750" s="8" t="n">
        <f aca="false">IFERROR(__xludf.dummyfunction("""COMPUTED_VALUE"""),353.39)</f>
        <v>353.39</v>
      </c>
      <c r="F750" s="8" t="n">
        <f aca="false">IFERROR(__xludf.dummyfunction("""COMPUTED_VALUE"""),11772779)</f>
        <v>11772779</v>
      </c>
    </row>
    <row r="751" customFormat="false" ht="15.75" hidden="false" customHeight="false" outlineLevel="0" collapsed="false">
      <c r="A751" s="9" t="n">
        <f aca="false">IFERROR(__xludf.dummyfunction("""COMPUTED_VALUE"""),45286.6666666667)</f>
        <v>45286.6666666667</v>
      </c>
      <c r="B751" s="8" t="n">
        <f aca="false">IFERROR(__xludf.dummyfunction("""COMPUTED_VALUE"""),354.99)</f>
        <v>354.99</v>
      </c>
      <c r="C751" s="8" t="n">
        <f aca="false">IFERROR(__xludf.dummyfunction("""COMPUTED_VALUE"""),356.98)</f>
        <v>356.98</v>
      </c>
      <c r="D751" s="8" t="n">
        <f aca="false">IFERROR(__xludf.dummyfunction("""COMPUTED_VALUE"""),353.45)</f>
        <v>353.45</v>
      </c>
      <c r="E751" s="8" t="n">
        <f aca="false">IFERROR(__xludf.dummyfunction("""COMPUTED_VALUE"""),354.83)</f>
        <v>354.83</v>
      </c>
      <c r="F751" s="8" t="n">
        <f aca="false">IFERROR(__xludf.dummyfunction("""COMPUTED_VALUE"""),9898614)</f>
        <v>9898614</v>
      </c>
    </row>
    <row r="752" customFormat="false" ht="15.75" hidden="false" customHeight="false" outlineLevel="0" collapsed="false">
      <c r="A752" s="9" t="n">
        <f aca="false">IFERROR(__xludf.dummyfunction("""COMPUTED_VALUE"""),45287.6666666667)</f>
        <v>45287.6666666667</v>
      </c>
      <c r="B752" s="8" t="n">
        <f aca="false">IFERROR(__xludf.dummyfunction("""COMPUTED_VALUE"""),356.07)</f>
        <v>356.07</v>
      </c>
      <c r="C752" s="8" t="n">
        <f aca="false">IFERROR(__xludf.dummyfunction("""COMPUTED_VALUE"""),359)</f>
        <v>359</v>
      </c>
      <c r="D752" s="8" t="n">
        <f aca="false">IFERROR(__xludf.dummyfunction("""COMPUTED_VALUE"""),355.31)</f>
        <v>355.31</v>
      </c>
      <c r="E752" s="8" t="n">
        <f aca="false">IFERROR(__xludf.dummyfunction("""COMPUTED_VALUE"""),357.83)</f>
        <v>357.83</v>
      </c>
      <c r="F752" s="8" t="n">
        <f aca="false">IFERROR(__xludf.dummyfunction("""COMPUTED_VALUE"""),13207928)</f>
        <v>13207928</v>
      </c>
    </row>
    <row r="753" customFormat="false" ht="15.75" hidden="false" customHeight="false" outlineLevel="0" collapsed="false">
      <c r="A753" s="9" t="n">
        <f aca="false">IFERROR(__xludf.dummyfunction("""COMPUTED_VALUE"""),45288.6666666667)</f>
        <v>45288.6666666667</v>
      </c>
      <c r="B753" s="8" t="n">
        <f aca="false">IFERROR(__xludf.dummyfunction("""COMPUTED_VALUE"""),359.7)</f>
        <v>359.7</v>
      </c>
      <c r="C753" s="8" t="n">
        <f aca="false">IFERROR(__xludf.dummyfunction("""COMPUTED_VALUE"""),361.9)</f>
        <v>361.9</v>
      </c>
      <c r="D753" s="8" t="n">
        <f aca="false">IFERROR(__xludf.dummyfunction("""COMPUTED_VALUE"""),357.81)</f>
        <v>357.81</v>
      </c>
      <c r="E753" s="8" t="n">
        <f aca="false">IFERROR(__xludf.dummyfunction("""COMPUTED_VALUE"""),358.32)</f>
        <v>358.32</v>
      </c>
      <c r="F753" s="8" t="n">
        <f aca="false">IFERROR(__xludf.dummyfunction("""COMPUTED_VALUE"""),11798807)</f>
        <v>11798807</v>
      </c>
    </row>
    <row r="754" customFormat="false" ht="15.75" hidden="false" customHeight="false" outlineLevel="0" collapsed="false">
      <c r="A754" s="9" t="n">
        <f aca="false">IFERROR(__xludf.dummyfunction("""COMPUTED_VALUE"""),45289.6666666667)</f>
        <v>45289.6666666667</v>
      </c>
      <c r="B754" s="8" t="n">
        <f aca="false">IFERROR(__xludf.dummyfunction("""COMPUTED_VALUE"""),358.99)</f>
        <v>358.99</v>
      </c>
      <c r="C754" s="8" t="n">
        <f aca="false">IFERROR(__xludf.dummyfunction("""COMPUTED_VALUE"""),360)</f>
        <v>360</v>
      </c>
      <c r="D754" s="8" t="n">
        <f aca="false">IFERROR(__xludf.dummyfunction("""COMPUTED_VALUE"""),351.82)</f>
        <v>351.82</v>
      </c>
      <c r="E754" s="8" t="n">
        <f aca="false">IFERROR(__xludf.dummyfunction("""COMPUTED_VALUE"""),353.96)</f>
        <v>353.96</v>
      </c>
      <c r="F754" s="8" t="n">
        <f aca="false">IFERROR(__xludf.dummyfunction("""COMPUTED_VALUE"""),14987092)</f>
        <v>14987092</v>
      </c>
    </row>
    <row r="755" customFormat="false" ht="15.75" hidden="false" customHeight="false" outlineLevel="0" collapsed="false">
      <c r="A755" s="9" t="n">
        <f aca="false">IFERROR(__xludf.dummyfunction("""COMPUTED_VALUE"""),45293.6666666667)</f>
        <v>45293.6666666667</v>
      </c>
      <c r="B755" s="8" t="n">
        <f aca="false">IFERROR(__xludf.dummyfunction("""COMPUTED_VALUE"""),351.32)</f>
        <v>351.32</v>
      </c>
      <c r="C755" s="8" t="n">
        <f aca="false">IFERROR(__xludf.dummyfunction("""COMPUTED_VALUE"""),353.16)</f>
        <v>353.16</v>
      </c>
      <c r="D755" s="8" t="n">
        <f aca="false">IFERROR(__xludf.dummyfunction("""COMPUTED_VALUE"""),340.01)</f>
        <v>340.01</v>
      </c>
      <c r="E755" s="8" t="n">
        <f aca="false">IFERROR(__xludf.dummyfunction("""COMPUTED_VALUE"""),346.29)</f>
        <v>346.29</v>
      </c>
      <c r="F755" s="8" t="n">
        <f aca="false">IFERROR(__xludf.dummyfunction("""COMPUTED_VALUE"""),19042152)</f>
        <v>19042152</v>
      </c>
    </row>
    <row r="756" customFormat="false" ht="15.75" hidden="false" customHeight="false" outlineLevel="0" collapsed="false">
      <c r="A756" s="9" t="n">
        <f aca="false">IFERROR(__xludf.dummyfunction("""COMPUTED_VALUE"""),45294.6666666667)</f>
        <v>45294.6666666667</v>
      </c>
      <c r="B756" s="8" t="n">
        <f aca="false">IFERROR(__xludf.dummyfunction("""COMPUTED_VALUE"""),344.98)</f>
        <v>344.98</v>
      </c>
      <c r="C756" s="8" t="n">
        <f aca="false">IFERROR(__xludf.dummyfunction("""COMPUTED_VALUE"""),347.95)</f>
        <v>347.95</v>
      </c>
      <c r="D756" s="8" t="n">
        <f aca="false">IFERROR(__xludf.dummyfunction("""COMPUTED_VALUE"""),343.18)</f>
        <v>343.18</v>
      </c>
      <c r="E756" s="8" t="n">
        <f aca="false">IFERROR(__xludf.dummyfunction("""COMPUTED_VALUE"""),344.47)</f>
        <v>344.47</v>
      </c>
      <c r="F756" s="8" t="n">
        <f aca="false">IFERROR(__xludf.dummyfunction("""COMPUTED_VALUE"""),15451133)</f>
        <v>15451133</v>
      </c>
    </row>
    <row r="757" customFormat="false" ht="15.75" hidden="false" customHeight="false" outlineLevel="0" collapsed="false">
      <c r="A757" s="9" t="n">
        <f aca="false">IFERROR(__xludf.dummyfunction("""COMPUTED_VALUE"""),45295.6666666667)</f>
        <v>45295.6666666667</v>
      </c>
      <c r="B757" s="8" t="n">
        <f aca="false">IFERROR(__xludf.dummyfunction("""COMPUTED_VALUE"""),344.5)</f>
        <v>344.5</v>
      </c>
      <c r="C757" s="8" t="n">
        <f aca="false">IFERROR(__xludf.dummyfunction("""COMPUTED_VALUE"""),348.15)</f>
        <v>348.15</v>
      </c>
      <c r="D757" s="8" t="n">
        <f aca="false">IFERROR(__xludf.dummyfunction("""COMPUTED_VALUE"""),343.4)</f>
        <v>343.4</v>
      </c>
      <c r="E757" s="8" t="n">
        <f aca="false">IFERROR(__xludf.dummyfunction("""COMPUTED_VALUE"""),347.12)</f>
        <v>347.12</v>
      </c>
      <c r="F757" s="8" t="n">
        <f aca="false">IFERROR(__xludf.dummyfunction("""COMPUTED_VALUE"""),12099895)</f>
        <v>12099895</v>
      </c>
    </row>
    <row r="758" customFormat="false" ht="15.75" hidden="false" customHeight="false" outlineLevel="0" collapsed="false">
      <c r="A758" s="9" t="n">
        <f aca="false">IFERROR(__xludf.dummyfunction("""COMPUTED_VALUE"""),45296.6666666667)</f>
        <v>45296.6666666667</v>
      </c>
      <c r="B758" s="8" t="n">
        <f aca="false">IFERROR(__xludf.dummyfunction("""COMPUTED_VALUE"""),346.99)</f>
        <v>346.99</v>
      </c>
      <c r="C758" s="8" t="n">
        <f aca="false">IFERROR(__xludf.dummyfunction("""COMPUTED_VALUE"""),353.5)</f>
        <v>353.5</v>
      </c>
      <c r="D758" s="8" t="n">
        <f aca="false">IFERROR(__xludf.dummyfunction("""COMPUTED_VALUE"""),346.26)</f>
        <v>346.26</v>
      </c>
      <c r="E758" s="8" t="n">
        <f aca="false">IFERROR(__xludf.dummyfunction("""COMPUTED_VALUE"""),351.95)</f>
        <v>351.95</v>
      </c>
      <c r="F758" s="8" t="n">
        <f aca="false">IFERROR(__xludf.dummyfunction("""COMPUTED_VALUE"""),13750912)</f>
        <v>13750912</v>
      </c>
    </row>
    <row r="759" customFormat="false" ht="15.75" hidden="false" customHeight="false" outlineLevel="0" collapsed="false">
      <c r="A759" s="9" t="n">
        <f aca="false">IFERROR(__xludf.dummyfunction("""COMPUTED_VALUE"""),45299.6666666667)</f>
        <v>45299.6666666667</v>
      </c>
      <c r="B759" s="8" t="n">
        <f aca="false">IFERROR(__xludf.dummyfunction("""COMPUTED_VALUE"""),354.7)</f>
        <v>354.7</v>
      </c>
      <c r="C759" s="8" t="n">
        <f aca="false">IFERROR(__xludf.dummyfunction("""COMPUTED_VALUE"""),358.98)</f>
        <v>358.98</v>
      </c>
      <c r="D759" s="8" t="n">
        <f aca="false">IFERROR(__xludf.dummyfunction("""COMPUTED_VALUE"""),352.05)</f>
        <v>352.05</v>
      </c>
      <c r="E759" s="8" t="n">
        <f aca="false">IFERROR(__xludf.dummyfunction("""COMPUTED_VALUE"""),358.66)</f>
        <v>358.66</v>
      </c>
      <c r="F759" s="8" t="n">
        <f aca="false">IFERROR(__xludf.dummyfunction("""COMPUTED_VALUE"""),13890222)</f>
        <v>13890222</v>
      </c>
    </row>
    <row r="760" customFormat="false" ht="15.75" hidden="false" customHeight="false" outlineLevel="0" collapsed="false">
      <c r="A760" s="9" t="n">
        <f aca="false">IFERROR(__xludf.dummyfunction("""COMPUTED_VALUE"""),45300.6666666667)</f>
        <v>45300.6666666667</v>
      </c>
      <c r="B760" s="8" t="n">
        <f aca="false">IFERROR(__xludf.dummyfunction("""COMPUTED_VALUE"""),356.4)</f>
        <v>356.4</v>
      </c>
      <c r="C760" s="8" t="n">
        <f aca="false">IFERROR(__xludf.dummyfunction("""COMPUTED_VALUE"""),360.64)</f>
        <v>360.64</v>
      </c>
      <c r="D760" s="8" t="n">
        <f aca="false">IFERROR(__xludf.dummyfunction("""COMPUTED_VALUE"""),355.36)</f>
        <v>355.36</v>
      </c>
      <c r="E760" s="8" t="n">
        <f aca="false">IFERROR(__xludf.dummyfunction("""COMPUTED_VALUE"""),357.43)</f>
        <v>357.43</v>
      </c>
      <c r="F760" s="8" t="n">
        <f aca="false">IFERROR(__xludf.dummyfunction("""COMPUTED_VALUE"""),13463871)</f>
        <v>13463871</v>
      </c>
    </row>
    <row r="761" customFormat="false" ht="15.75" hidden="false" customHeight="false" outlineLevel="0" collapsed="false">
      <c r="A761" s="9" t="n">
        <f aca="false">IFERROR(__xludf.dummyfunction("""COMPUTED_VALUE"""),45301.6666666667)</f>
        <v>45301.6666666667</v>
      </c>
      <c r="B761" s="8" t="n">
        <f aca="false">IFERROR(__xludf.dummyfunction("""COMPUTED_VALUE"""),360.17)</f>
        <v>360.17</v>
      </c>
      <c r="C761" s="8" t="n">
        <f aca="false">IFERROR(__xludf.dummyfunction("""COMPUTED_VALUE"""),372.94)</f>
        <v>372.94</v>
      </c>
      <c r="D761" s="8" t="n">
        <f aca="false">IFERROR(__xludf.dummyfunction("""COMPUTED_VALUE"""),359.08)</f>
        <v>359.08</v>
      </c>
      <c r="E761" s="8" t="n">
        <f aca="false">IFERROR(__xludf.dummyfunction("""COMPUTED_VALUE"""),370.47)</f>
        <v>370.47</v>
      </c>
      <c r="F761" s="8" t="n">
        <f aca="false">IFERROR(__xludf.dummyfunction("""COMPUTED_VALUE"""),22117206)</f>
        <v>22117206</v>
      </c>
    </row>
    <row r="762" customFormat="false" ht="15.75" hidden="false" customHeight="false" outlineLevel="0" collapsed="false">
      <c r="A762" s="9" t="n">
        <f aca="false">IFERROR(__xludf.dummyfunction("""COMPUTED_VALUE"""),45302.6666666667)</f>
        <v>45302.6666666667</v>
      </c>
      <c r="B762" s="8" t="n">
        <f aca="false">IFERROR(__xludf.dummyfunction("""COMPUTED_VALUE"""),372.13)</f>
        <v>372.13</v>
      </c>
      <c r="C762" s="8" t="n">
        <f aca="false">IFERROR(__xludf.dummyfunction("""COMPUTED_VALUE"""),372.78)</f>
        <v>372.78</v>
      </c>
      <c r="D762" s="8" t="n">
        <f aca="false">IFERROR(__xludf.dummyfunction("""COMPUTED_VALUE"""),362.93)</f>
        <v>362.93</v>
      </c>
      <c r="E762" s="8" t="n">
        <f aca="false">IFERROR(__xludf.dummyfunction("""COMPUTED_VALUE"""),369.67)</f>
        <v>369.67</v>
      </c>
      <c r="F762" s="8" t="n">
        <f aca="false">IFERROR(__xludf.dummyfunction("""COMPUTED_VALUE"""),17205385)</f>
        <v>17205385</v>
      </c>
    </row>
    <row r="763" customFormat="false" ht="15.75" hidden="false" customHeight="false" outlineLevel="0" collapsed="false">
      <c r="A763" s="9" t="n">
        <f aca="false">IFERROR(__xludf.dummyfunction("""COMPUTED_VALUE"""),45303.6666666667)</f>
        <v>45303.6666666667</v>
      </c>
      <c r="B763" s="8" t="n">
        <f aca="false">IFERROR(__xludf.dummyfunction("""COMPUTED_VALUE"""),370.16)</f>
        <v>370.16</v>
      </c>
      <c r="C763" s="8" t="n">
        <f aca="false">IFERROR(__xludf.dummyfunction("""COMPUTED_VALUE"""),377.06)</f>
        <v>377.06</v>
      </c>
      <c r="D763" s="8" t="n">
        <f aca="false">IFERROR(__xludf.dummyfunction("""COMPUTED_VALUE"""),369.54)</f>
        <v>369.54</v>
      </c>
      <c r="E763" s="8" t="n">
        <f aca="false">IFERROR(__xludf.dummyfunction("""COMPUTED_VALUE"""),374.49)</f>
        <v>374.49</v>
      </c>
      <c r="F763" s="8" t="n">
        <f aca="false">IFERROR(__xludf.dummyfunction("""COMPUTED_VALUE"""),19310046)</f>
        <v>19310046</v>
      </c>
    </row>
    <row r="764" customFormat="false" ht="15.75" hidden="false" customHeight="false" outlineLevel="0" collapsed="false">
      <c r="A764" s="9" t="n">
        <f aca="false">IFERROR(__xludf.dummyfunction("""COMPUTED_VALUE"""),45307.6666666667)</f>
        <v>45307.6666666667</v>
      </c>
      <c r="B764" s="8" t="n">
        <f aca="false">IFERROR(__xludf.dummyfunction("""COMPUTED_VALUE"""),373.65)</f>
        <v>373.65</v>
      </c>
      <c r="C764" s="8" t="n">
        <f aca="false">IFERROR(__xludf.dummyfunction("""COMPUTED_VALUE"""),375.61)</f>
        <v>375.61</v>
      </c>
      <c r="D764" s="8" t="n">
        <f aca="false">IFERROR(__xludf.dummyfunction("""COMPUTED_VALUE"""),367.23)</f>
        <v>367.23</v>
      </c>
      <c r="E764" s="8" t="n">
        <f aca="false">IFERROR(__xludf.dummyfunction("""COMPUTED_VALUE"""),367.46)</f>
        <v>367.46</v>
      </c>
      <c r="F764" s="8" t="n">
        <f aca="false">IFERROR(__xludf.dummyfunction("""COMPUTED_VALUE"""),15306885)</f>
        <v>15306885</v>
      </c>
    </row>
    <row r="765" customFormat="false" ht="15.75" hidden="false" customHeight="false" outlineLevel="0" collapsed="false">
      <c r="A765" s="9" t="n">
        <f aca="false">IFERROR(__xludf.dummyfunction("""COMPUTED_VALUE"""),45308.6666666667)</f>
        <v>45308.6666666667</v>
      </c>
      <c r="B765" s="8" t="n">
        <f aca="false">IFERROR(__xludf.dummyfunction("""COMPUTED_VALUE"""),366.3)</f>
        <v>366.3</v>
      </c>
      <c r="C765" s="8" t="n">
        <f aca="false">IFERROR(__xludf.dummyfunction("""COMPUTED_VALUE"""),368.54)</f>
        <v>368.54</v>
      </c>
      <c r="D765" s="8" t="n">
        <f aca="false">IFERROR(__xludf.dummyfunction("""COMPUTED_VALUE"""),358.61)</f>
        <v>358.61</v>
      </c>
      <c r="E765" s="8" t="n">
        <f aca="false">IFERROR(__xludf.dummyfunction("""COMPUTED_VALUE"""),368.37)</f>
        <v>368.37</v>
      </c>
      <c r="F765" s="8" t="n">
        <f aca="false">IFERROR(__xludf.dummyfunction("""COMPUTED_VALUE"""),12724779)</f>
        <v>12724779</v>
      </c>
    </row>
    <row r="766" customFormat="false" ht="15.75" hidden="false" customHeight="false" outlineLevel="0" collapsed="false">
      <c r="A766" s="9" t="n">
        <f aca="false">IFERROR(__xludf.dummyfunction("""COMPUTED_VALUE"""),45309.6666666667)</f>
        <v>45309.6666666667</v>
      </c>
      <c r="B766" s="8" t="n">
        <f aca="false">IFERROR(__xludf.dummyfunction("""COMPUTED_VALUE"""),371.49)</f>
        <v>371.49</v>
      </c>
      <c r="C766" s="8" t="n">
        <f aca="false">IFERROR(__xludf.dummyfunction("""COMPUTED_VALUE"""),376.85)</f>
        <v>376.85</v>
      </c>
      <c r="D766" s="8" t="n">
        <f aca="false">IFERROR(__xludf.dummyfunction("""COMPUTED_VALUE"""),370.95)</f>
        <v>370.95</v>
      </c>
      <c r="E766" s="8" t="n">
        <f aca="false">IFERROR(__xludf.dummyfunction("""COMPUTED_VALUE"""),376.13)</f>
        <v>376.13</v>
      </c>
      <c r="F766" s="8" t="n">
        <f aca="false">IFERROR(__xludf.dummyfunction("""COMPUTED_VALUE"""),16354332)</f>
        <v>16354332</v>
      </c>
    </row>
    <row r="767" customFormat="false" ht="15.75" hidden="false" customHeight="false" outlineLevel="0" collapsed="false">
      <c r="A767" s="9" t="n">
        <f aca="false">IFERROR(__xludf.dummyfunction("""COMPUTED_VALUE"""),45310.6666666667)</f>
        <v>45310.6666666667</v>
      </c>
      <c r="B767" s="8" t="n">
        <f aca="false">IFERROR(__xludf.dummyfunction("""COMPUTED_VALUE"""),379)</f>
        <v>379</v>
      </c>
      <c r="C767" s="8" t="n">
        <f aca="false">IFERROR(__xludf.dummyfunction("""COMPUTED_VALUE"""),384.36)</f>
        <v>384.36</v>
      </c>
      <c r="D767" s="8" t="n">
        <f aca="false">IFERROR(__xludf.dummyfunction("""COMPUTED_VALUE"""),377.97)</f>
        <v>377.97</v>
      </c>
      <c r="E767" s="8" t="n">
        <f aca="false">IFERROR(__xludf.dummyfunction("""COMPUTED_VALUE"""),383.45)</f>
        <v>383.45</v>
      </c>
      <c r="F767" s="8" t="n">
        <f aca="false">IFERROR(__xludf.dummyfunction("""COMPUTED_VALUE"""),21670806)</f>
        <v>21670806</v>
      </c>
    </row>
    <row r="768" customFormat="false" ht="15.75" hidden="false" customHeight="false" outlineLevel="0" collapsed="false">
      <c r="A768" s="9" t="n">
        <f aca="false">IFERROR(__xludf.dummyfunction("""COMPUTED_VALUE"""),45313.6666666667)</f>
        <v>45313.6666666667</v>
      </c>
      <c r="B768" s="8" t="n">
        <f aca="false">IFERROR(__xludf.dummyfunction("""COMPUTED_VALUE"""),387.95)</f>
        <v>387.95</v>
      </c>
      <c r="C768" s="8" t="n">
        <f aca="false">IFERROR(__xludf.dummyfunction("""COMPUTED_VALUE"""),390.35)</f>
        <v>390.35</v>
      </c>
      <c r="D768" s="8" t="n">
        <f aca="false">IFERROR(__xludf.dummyfunction("""COMPUTED_VALUE"""),381.16)</f>
        <v>381.16</v>
      </c>
      <c r="E768" s="8" t="n">
        <f aca="false">IFERROR(__xludf.dummyfunction("""COMPUTED_VALUE"""),381.78)</f>
        <v>381.78</v>
      </c>
      <c r="F768" s="8" t="n">
        <f aca="false">IFERROR(__xludf.dummyfunction("""COMPUTED_VALUE"""),17680454)</f>
        <v>17680454</v>
      </c>
    </row>
    <row r="769" customFormat="false" ht="15.75" hidden="false" customHeight="false" outlineLevel="0" collapsed="false">
      <c r="A769" s="9" t="n">
        <f aca="false">IFERROR(__xludf.dummyfunction("""COMPUTED_VALUE"""),45314.6666666667)</f>
        <v>45314.6666666667</v>
      </c>
      <c r="B769" s="8" t="n">
        <f aca="false">IFERROR(__xludf.dummyfunction("""COMPUTED_VALUE"""),384.62)</f>
        <v>384.62</v>
      </c>
      <c r="C769" s="8" t="n">
        <f aca="false">IFERROR(__xludf.dummyfunction("""COMPUTED_VALUE"""),388.38)</f>
        <v>388.38</v>
      </c>
      <c r="D769" s="8" t="n">
        <f aca="false">IFERROR(__xludf.dummyfunction("""COMPUTED_VALUE"""),382.08)</f>
        <v>382.08</v>
      </c>
      <c r="E769" s="8" t="n">
        <f aca="false">IFERROR(__xludf.dummyfunction("""COMPUTED_VALUE"""),385.2)</f>
        <v>385.2</v>
      </c>
      <c r="F769" s="8" t="n">
        <f aca="false">IFERROR(__xludf.dummyfunction("""COMPUTED_VALUE"""),15506096)</f>
        <v>15506096</v>
      </c>
    </row>
    <row r="770" customFormat="false" ht="15.75" hidden="false" customHeight="false" outlineLevel="0" collapsed="false">
      <c r="A770" s="9" t="n">
        <f aca="false">IFERROR(__xludf.dummyfunction("""COMPUTED_VALUE"""),45315.6666666667)</f>
        <v>45315.6666666667</v>
      </c>
      <c r="B770" s="8" t="n">
        <f aca="false">IFERROR(__xludf.dummyfunction("""COMPUTED_VALUE"""),390)</f>
        <v>390</v>
      </c>
      <c r="C770" s="8" t="n">
        <f aca="false">IFERROR(__xludf.dummyfunction("""COMPUTED_VALUE"""),396.15)</f>
        <v>396.15</v>
      </c>
      <c r="D770" s="8" t="n">
        <f aca="false">IFERROR(__xludf.dummyfunction("""COMPUTED_VALUE"""),387.81)</f>
        <v>387.81</v>
      </c>
      <c r="E770" s="8" t="n">
        <f aca="false">IFERROR(__xludf.dummyfunction("""COMPUTED_VALUE"""),390.7)</f>
        <v>390.7</v>
      </c>
      <c r="F770" s="8" t="n">
        <f aca="false">IFERROR(__xludf.dummyfunction("""COMPUTED_VALUE"""),15604285)</f>
        <v>15604285</v>
      </c>
    </row>
    <row r="771" customFormat="false" ht="15.75" hidden="false" customHeight="false" outlineLevel="0" collapsed="false">
      <c r="A771" s="9" t="n">
        <f aca="false">IFERROR(__xludf.dummyfunction("""COMPUTED_VALUE"""),45316.6666666667)</f>
        <v>45316.6666666667</v>
      </c>
      <c r="B771" s="8" t="n">
        <f aca="false">IFERROR(__xludf.dummyfunction("""COMPUTED_VALUE"""),390.17)</f>
        <v>390.17</v>
      </c>
      <c r="C771" s="8" t="n">
        <f aca="false">IFERROR(__xludf.dummyfunction("""COMPUTED_VALUE"""),395.49)</f>
        <v>395.49</v>
      </c>
      <c r="D771" s="8" t="n">
        <f aca="false">IFERROR(__xludf.dummyfunction("""COMPUTED_VALUE"""),385.66)</f>
        <v>385.66</v>
      </c>
      <c r="E771" s="8" t="n">
        <f aca="false">IFERROR(__xludf.dummyfunction("""COMPUTED_VALUE"""),393.18)</f>
        <v>393.18</v>
      </c>
      <c r="F771" s="8" t="n">
        <f aca="false">IFERROR(__xludf.dummyfunction("""COMPUTED_VALUE"""),15091080)</f>
        <v>15091080</v>
      </c>
    </row>
    <row r="772" customFormat="false" ht="15.75" hidden="false" customHeight="false" outlineLevel="0" collapsed="false">
      <c r="A772" s="9" t="n">
        <f aca="false">IFERROR(__xludf.dummyfunction("""COMPUTED_VALUE"""),45317.6666666667)</f>
        <v>45317.6666666667</v>
      </c>
      <c r="B772" s="8" t="n">
        <f aca="false">IFERROR(__xludf.dummyfunction("""COMPUTED_VALUE"""),394.35)</f>
        <v>394.35</v>
      </c>
      <c r="C772" s="8" t="n">
        <f aca="false">IFERROR(__xludf.dummyfunction("""COMPUTED_VALUE"""),396.79)</f>
        <v>396.79</v>
      </c>
      <c r="D772" s="8" t="n">
        <f aca="false">IFERROR(__xludf.dummyfunction("""COMPUTED_VALUE"""),391.59)</f>
        <v>391.59</v>
      </c>
      <c r="E772" s="8" t="n">
        <f aca="false">IFERROR(__xludf.dummyfunction("""COMPUTED_VALUE"""),394.14)</f>
        <v>394.14</v>
      </c>
      <c r="F772" s="8" t="n">
        <f aca="false">IFERROR(__xludf.dummyfunction("""COMPUTED_VALUE"""),13159290)</f>
        <v>13159290</v>
      </c>
    </row>
    <row r="773" customFormat="false" ht="15.75" hidden="false" customHeight="false" outlineLevel="0" collapsed="false">
      <c r="A773" s="9" t="n">
        <f aca="false">IFERROR(__xludf.dummyfunction("""COMPUTED_VALUE"""),45320.6666666667)</f>
        <v>45320.6666666667</v>
      </c>
      <c r="B773" s="8" t="n">
        <f aca="false">IFERROR(__xludf.dummyfunction("""COMPUTED_VALUE"""),394.99)</f>
        <v>394.99</v>
      </c>
      <c r="C773" s="8" t="n">
        <f aca="false">IFERROR(__xludf.dummyfunction("""COMPUTED_VALUE"""),402.93)</f>
        <v>402.93</v>
      </c>
      <c r="D773" s="8" t="n">
        <f aca="false">IFERROR(__xludf.dummyfunction("""COMPUTED_VALUE"""),393.1)</f>
        <v>393.1</v>
      </c>
      <c r="E773" s="8" t="n">
        <f aca="false">IFERROR(__xludf.dummyfunction("""COMPUTED_VALUE"""),401.02)</f>
        <v>401.02</v>
      </c>
      <c r="F773" s="8" t="n">
        <f aca="false">IFERROR(__xludf.dummyfunction("""COMPUTED_VALUE"""),18742433)</f>
        <v>18742433</v>
      </c>
    </row>
    <row r="774" customFormat="false" ht="15.75" hidden="false" customHeight="false" outlineLevel="0" collapsed="false">
      <c r="A774" s="9" t="n">
        <f aca="false">IFERROR(__xludf.dummyfunction("""COMPUTED_VALUE"""),45321.6666666667)</f>
        <v>45321.6666666667</v>
      </c>
      <c r="B774" s="8" t="n">
        <f aca="false">IFERROR(__xludf.dummyfunction("""COMPUTED_VALUE"""),403.59)</f>
        <v>403.59</v>
      </c>
      <c r="C774" s="8" t="n">
        <f aca="false">IFERROR(__xludf.dummyfunction("""COMPUTED_VALUE"""),406.36)</f>
        <v>406.36</v>
      </c>
      <c r="D774" s="8" t="n">
        <f aca="false">IFERROR(__xludf.dummyfunction("""COMPUTED_VALUE"""),399.57)</f>
        <v>399.57</v>
      </c>
      <c r="E774" s="8" t="n">
        <f aca="false">IFERROR(__xludf.dummyfunction("""COMPUTED_VALUE"""),400.06)</f>
        <v>400.06</v>
      </c>
      <c r="F774" s="8" t="n">
        <f aca="false">IFERROR(__xludf.dummyfunction("""COMPUTED_VALUE"""),18614727)</f>
        <v>18614727</v>
      </c>
    </row>
    <row r="775" customFormat="false" ht="15.75" hidden="false" customHeight="false" outlineLevel="0" collapsed="false">
      <c r="A775" s="9" t="n">
        <f aca="false">IFERROR(__xludf.dummyfunction("""COMPUTED_VALUE"""),45322.6666666667)</f>
        <v>45322.6666666667</v>
      </c>
      <c r="B775" s="8" t="n">
        <f aca="false">IFERROR(__xludf.dummyfunction("""COMPUTED_VALUE"""),389)</f>
        <v>389</v>
      </c>
      <c r="C775" s="8" t="n">
        <f aca="false">IFERROR(__xludf.dummyfunction("""COMPUTED_VALUE"""),398)</f>
        <v>398</v>
      </c>
      <c r="D775" s="8" t="n">
        <f aca="false">IFERROR(__xludf.dummyfunction("""COMPUTED_VALUE"""),387.1)</f>
        <v>387.1</v>
      </c>
      <c r="E775" s="8" t="n">
        <f aca="false">IFERROR(__xludf.dummyfunction("""COMPUTED_VALUE"""),390.14)</f>
        <v>390.14</v>
      </c>
      <c r="F775" s="8" t="n">
        <f aca="false">IFERROR(__xludf.dummyfunction("""COMPUTED_VALUE"""),20180817)</f>
        <v>20180817</v>
      </c>
    </row>
    <row r="776" customFormat="false" ht="15.75" hidden="false" customHeight="false" outlineLevel="0" collapsed="false">
      <c r="A776" s="9" t="n">
        <f aca="false">IFERROR(__xludf.dummyfunction("""COMPUTED_VALUE"""),45323.6666666667)</f>
        <v>45323.6666666667</v>
      </c>
      <c r="B776" s="8" t="n">
        <f aca="false">IFERROR(__xludf.dummyfunction("""COMPUTED_VALUE"""),393.94)</f>
        <v>393.94</v>
      </c>
      <c r="C776" s="8" t="n">
        <f aca="false">IFERROR(__xludf.dummyfunction("""COMPUTED_VALUE"""),400.5)</f>
        <v>400.5</v>
      </c>
      <c r="D776" s="8" t="n">
        <f aca="false">IFERROR(__xludf.dummyfunction("""COMPUTED_VALUE"""),393.05)</f>
        <v>393.05</v>
      </c>
      <c r="E776" s="8" t="n">
        <f aca="false">IFERROR(__xludf.dummyfunction("""COMPUTED_VALUE"""),394.78)</f>
        <v>394.78</v>
      </c>
      <c r="F776" s="8" t="n">
        <f aca="false">IFERROR(__xludf.dummyfunction("""COMPUTED_VALUE"""),29727051)</f>
        <v>29727051</v>
      </c>
    </row>
    <row r="777" customFormat="false" ht="15.75" hidden="false" customHeight="false" outlineLevel="0" collapsed="false">
      <c r="A777" s="9" t="n">
        <f aca="false">IFERROR(__xludf.dummyfunction("""COMPUTED_VALUE"""),45324.6666666667)</f>
        <v>45324.6666666667</v>
      </c>
      <c r="B777" s="8" t="n">
        <f aca="false">IFERROR(__xludf.dummyfunction("""COMPUTED_VALUE"""),459.6)</f>
        <v>459.6</v>
      </c>
      <c r="C777" s="8" t="n">
        <f aca="false">IFERROR(__xludf.dummyfunction("""COMPUTED_VALUE"""),485.96)</f>
        <v>485.96</v>
      </c>
      <c r="D777" s="8" t="n">
        <f aca="false">IFERROR(__xludf.dummyfunction("""COMPUTED_VALUE"""),453.01)</f>
        <v>453.01</v>
      </c>
      <c r="E777" s="8" t="n">
        <f aca="false">IFERROR(__xludf.dummyfunction("""COMPUTED_VALUE"""),474.99)</f>
        <v>474.99</v>
      </c>
      <c r="F777" s="8" t="n">
        <f aca="false">IFERROR(__xludf.dummyfunction("""COMPUTED_VALUE"""),84707646)</f>
        <v>84707646</v>
      </c>
    </row>
    <row r="778" customFormat="false" ht="15.75" hidden="false" customHeight="false" outlineLevel="0" collapsed="false">
      <c r="A778" s="9" t="n">
        <f aca="false">IFERROR(__xludf.dummyfunction("""COMPUTED_VALUE"""),45327.6666666667)</f>
        <v>45327.6666666667</v>
      </c>
      <c r="B778" s="8" t="n">
        <f aca="false">IFERROR(__xludf.dummyfunction("""COMPUTED_VALUE"""),469.88)</f>
        <v>469.88</v>
      </c>
      <c r="C778" s="8" t="n">
        <f aca="false">IFERROR(__xludf.dummyfunction("""COMPUTED_VALUE"""),471.9)</f>
        <v>471.9</v>
      </c>
      <c r="D778" s="8" t="n">
        <f aca="false">IFERROR(__xludf.dummyfunction("""COMPUTED_VALUE"""),459.22)</f>
        <v>459.22</v>
      </c>
      <c r="E778" s="8" t="n">
        <f aca="false">IFERROR(__xludf.dummyfunction("""COMPUTED_VALUE"""),459.41)</f>
        <v>459.41</v>
      </c>
      <c r="F778" s="8" t="n">
        <f aca="false">IFERROR(__xludf.dummyfunction("""COMPUTED_VALUE"""),40832376)</f>
        <v>40832376</v>
      </c>
    </row>
    <row r="779" customFormat="false" ht="15.75" hidden="false" customHeight="false" outlineLevel="0" collapsed="false">
      <c r="A779" s="9" t="n">
        <f aca="false">IFERROR(__xludf.dummyfunction("""COMPUTED_VALUE"""),45328.6666666667)</f>
        <v>45328.6666666667</v>
      </c>
      <c r="B779" s="8" t="n">
        <f aca="false">IFERROR(__xludf.dummyfunction("""COMPUTED_VALUE"""),464)</f>
        <v>464</v>
      </c>
      <c r="C779" s="8" t="n">
        <f aca="false">IFERROR(__xludf.dummyfunction("""COMPUTED_VALUE"""),467.12)</f>
        <v>467.12</v>
      </c>
      <c r="D779" s="8" t="n">
        <f aca="false">IFERROR(__xludf.dummyfunction("""COMPUTED_VALUE"""),453)</f>
        <v>453</v>
      </c>
      <c r="E779" s="8" t="n">
        <f aca="false">IFERROR(__xludf.dummyfunction("""COMPUTED_VALUE"""),454.72)</f>
        <v>454.72</v>
      </c>
      <c r="F779" s="8" t="n">
        <f aca="false">IFERROR(__xludf.dummyfunction("""COMPUTED_VALUE"""),21655214)</f>
        <v>21655214</v>
      </c>
    </row>
    <row r="780" customFormat="false" ht="15.75" hidden="false" customHeight="false" outlineLevel="0" collapsed="false">
      <c r="A780" s="9" t="n">
        <f aca="false">IFERROR(__xludf.dummyfunction("""COMPUTED_VALUE"""),45329.6666666667)</f>
        <v>45329.6666666667</v>
      </c>
      <c r="B780" s="8" t="n">
        <f aca="false">IFERROR(__xludf.dummyfunction("""COMPUTED_VALUE"""),458)</f>
        <v>458</v>
      </c>
      <c r="C780" s="8" t="n">
        <f aca="false">IFERROR(__xludf.dummyfunction("""COMPUTED_VALUE"""),471.52)</f>
        <v>471.52</v>
      </c>
      <c r="D780" s="8" t="n">
        <f aca="false">IFERROR(__xludf.dummyfunction("""COMPUTED_VALUE"""),456.18)</f>
        <v>456.18</v>
      </c>
      <c r="E780" s="8" t="n">
        <f aca="false">IFERROR(__xludf.dummyfunction("""COMPUTED_VALUE"""),469.59)</f>
        <v>469.59</v>
      </c>
      <c r="F780" s="8" t="n">
        <f aca="false">IFERROR(__xludf.dummyfunction("""COMPUTED_VALUE"""),23065994)</f>
        <v>23065994</v>
      </c>
    </row>
    <row r="781" customFormat="false" ht="15.75" hidden="false" customHeight="false" outlineLevel="0" collapsed="false">
      <c r="A781" s="9" t="n">
        <f aca="false">IFERROR(__xludf.dummyfunction("""COMPUTED_VALUE"""),45330.6666666667)</f>
        <v>45330.6666666667</v>
      </c>
      <c r="B781" s="8" t="n">
        <f aca="false">IFERROR(__xludf.dummyfunction("""COMPUTED_VALUE"""),468.32)</f>
        <v>468.32</v>
      </c>
      <c r="C781" s="8" t="n">
        <f aca="false">IFERROR(__xludf.dummyfunction("""COMPUTED_VALUE"""),470.59)</f>
        <v>470.59</v>
      </c>
      <c r="D781" s="8" t="n">
        <f aca="false">IFERROR(__xludf.dummyfunction("""COMPUTED_VALUE"""),465.03)</f>
        <v>465.03</v>
      </c>
      <c r="E781" s="8" t="n">
        <f aca="false">IFERROR(__xludf.dummyfunction("""COMPUTED_VALUE"""),470)</f>
        <v>470</v>
      </c>
      <c r="F781" s="8" t="n">
        <f aca="false">IFERROR(__xludf.dummyfunction("""COMPUTED_VALUE"""),18815097)</f>
        <v>18815097</v>
      </c>
    </row>
    <row r="782" customFormat="false" ht="15.75" hidden="false" customHeight="false" outlineLevel="0" collapsed="false">
      <c r="A782" s="9" t="n">
        <f aca="false">IFERROR(__xludf.dummyfunction("""COMPUTED_VALUE"""),45331.6666666667)</f>
        <v>45331.6666666667</v>
      </c>
      <c r="B782" s="8" t="n">
        <f aca="false">IFERROR(__xludf.dummyfunction("""COMPUTED_VALUE"""),472.95)</f>
        <v>472.95</v>
      </c>
      <c r="C782" s="8" t="n">
        <f aca="false">IFERROR(__xludf.dummyfunction("""COMPUTED_VALUE"""),473.59)</f>
        <v>473.59</v>
      </c>
      <c r="D782" s="8" t="n">
        <f aca="false">IFERROR(__xludf.dummyfunction("""COMPUTED_VALUE"""),467.47)</f>
        <v>467.47</v>
      </c>
      <c r="E782" s="8" t="n">
        <f aca="false">IFERROR(__xludf.dummyfunction("""COMPUTED_VALUE"""),468.11)</f>
        <v>468.11</v>
      </c>
      <c r="F782" s="8" t="n">
        <f aca="false">IFERROR(__xludf.dummyfunction("""COMPUTED_VALUE"""),18413137)</f>
        <v>18413137</v>
      </c>
    </row>
    <row r="783" customFormat="false" ht="15.75" hidden="false" customHeight="false" outlineLevel="0" collapsed="false">
      <c r="A783" s="9" t="n">
        <f aca="false">IFERROR(__xludf.dummyfunction("""COMPUTED_VALUE"""),45334.6666666667)</f>
        <v>45334.6666666667</v>
      </c>
      <c r="B783" s="8" t="n">
        <f aca="false">IFERROR(__xludf.dummyfunction("""COMPUTED_VALUE"""),468.19)</f>
        <v>468.19</v>
      </c>
      <c r="C783" s="8" t="n">
        <f aca="false">IFERROR(__xludf.dummyfunction("""COMPUTED_VALUE"""),479.15)</f>
        <v>479.15</v>
      </c>
      <c r="D783" s="8" t="n">
        <f aca="false">IFERROR(__xludf.dummyfunction("""COMPUTED_VALUE"""),466.58)</f>
        <v>466.58</v>
      </c>
      <c r="E783" s="8" t="n">
        <f aca="false">IFERROR(__xludf.dummyfunction("""COMPUTED_VALUE"""),468.9)</f>
        <v>468.9</v>
      </c>
      <c r="F783" s="8" t="n">
        <f aca="false">IFERROR(__xludf.dummyfunction("""COMPUTED_VALUE"""),19381963)</f>
        <v>19381963</v>
      </c>
    </row>
    <row r="784" customFormat="false" ht="15.75" hidden="false" customHeight="false" outlineLevel="0" collapsed="false">
      <c r="A784" s="9" t="n">
        <f aca="false">IFERROR(__xludf.dummyfunction("""COMPUTED_VALUE"""),45335.6666666667)</f>
        <v>45335.6666666667</v>
      </c>
      <c r="B784" s="8" t="n">
        <f aca="false">IFERROR(__xludf.dummyfunction("""COMPUTED_VALUE"""),456.87)</f>
        <v>456.87</v>
      </c>
      <c r="C784" s="8" t="n">
        <f aca="false">IFERROR(__xludf.dummyfunction("""COMPUTED_VALUE"""),467.89)</f>
        <v>467.89</v>
      </c>
      <c r="D784" s="8" t="n">
        <f aca="false">IFERROR(__xludf.dummyfunction("""COMPUTED_VALUE"""),455.09)</f>
        <v>455.09</v>
      </c>
      <c r="E784" s="8" t="n">
        <f aca="false">IFERROR(__xludf.dummyfunction("""COMPUTED_VALUE"""),460.12)</f>
        <v>460.12</v>
      </c>
      <c r="F784" s="8" t="n">
        <f aca="false">IFERROR(__xludf.dummyfunction("""COMPUTED_VALUE"""),20916602)</f>
        <v>20916602</v>
      </c>
    </row>
    <row r="785" customFormat="false" ht="15.75" hidden="false" customHeight="false" outlineLevel="0" collapsed="false">
      <c r="A785" s="9" t="n">
        <f aca="false">IFERROR(__xludf.dummyfunction("""COMPUTED_VALUE"""),45336.6666666667)</f>
        <v>45336.6666666667</v>
      </c>
      <c r="B785" s="8" t="n">
        <f aca="false">IFERROR(__xludf.dummyfunction("""COMPUTED_VALUE"""),467.93)</f>
        <v>467.93</v>
      </c>
      <c r="C785" s="8" t="n">
        <f aca="false">IFERROR(__xludf.dummyfunction("""COMPUTED_VALUE"""),474.11)</f>
        <v>474.11</v>
      </c>
      <c r="D785" s="8" t="n">
        <f aca="false">IFERROR(__xludf.dummyfunction("""COMPUTED_VALUE"""),466.09)</f>
        <v>466.09</v>
      </c>
      <c r="E785" s="8" t="n">
        <f aca="false">IFERROR(__xludf.dummyfunction("""COMPUTED_VALUE"""),473.28)</f>
        <v>473.28</v>
      </c>
      <c r="F785" s="8" t="n">
        <f aca="false">IFERROR(__xludf.dummyfunction("""COMPUTED_VALUE"""),16858401)</f>
        <v>16858401</v>
      </c>
    </row>
    <row r="786" customFormat="false" ht="15.75" hidden="false" customHeight="false" outlineLevel="0" collapsed="false">
      <c r="A786" s="9" t="n">
        <f aca="false">IFERROR(__xludf.dummyfunction("""COMPUTED_VALUE"""),45337.6666666667)</f>
        <v>45337.6666666667</v>
      </c>
      <c r="B786" s="8" t="n">
        <f aca="false">IFERROR(__xludf.dummyfunction("""COMPUTED_VALUE"""),475.28)</f>
        <v>475.28</v>
      </c>
      <c r="C786" s="8" t="n">
        <f aca="false">IFERROR(__xludf.dummyfunction("""COMPUTED_VALUE"""),488.62)</f>
        <v>488.62</v>
      </c>
      <c r="D786" s="8" t="n">
        <f aca="false">IFERROR(__xludf.dummyfunction("""COMPUTED_VALUE"""),472.22)</f>
        <v>472.22</v>
      </c>
      <c r="E786" s="8" t="n">
        <f aca="false">IFERROR(__xludf.dummyfunction("""COMPUTED_VALUE"""),484.03)</f>
        <v>484.03</v>
      </c>
      <c r="F786" s="8" t="n">
        <f aca="false">IFERROR(__xludf.dummyfunction("""COMPUTED_VALUE"""),24212326)</f>
        <v>24212326</v>
      </c>
    </row>
    <row r="787" customFormat="false" ht="15.75" hidden="false" customHeight="false" outlineLevel="0" collapsed="false">
      <c r="A787" s="9" t="n">
        <f aca="false">IFERROR(__xludf.dummyfunction("""COMPUTED_VALUE"""),45338.6666666667)</f>
        <v>45338.6666666667</v>
      </c>
      <c r="B787" s="8" t="n">
        <f aca="false">IFERROR(__xludf.dummyfunction("""COMPUTED_VALUE"""),478.11)</f>
        <v>478.11</v>
      </c>
      <c r="C787" s="8" t="n">
        <f aca="false">IFERROR(__xludf.dummyfunction("""COMPUTED_VALUE"""),478.96)</f>
        <v>478.96</v>
      </c>
      <c r="D787" s="8" t="n">
        <f aca="false">IFERROR(__xludf.dummyfunction("""COMPUTED_VALUE"""),469.21)</f>
        <v>469.21</v>
      </c>
      <c r="E787" s="8" t="n">
        <f aca="false">IFERROR(__xludf.dummyfunction("""COMPUTED_VALUE"""),473.32)</f>
        <v>473.32</v>
      </c>
      <c r="F787" s="8" t="n">
        <f aca="false">IFERROR(__xludf.dummyfunction("""COMPUTED_VALUE"""),23324620)</f>
        <v>23324620</v>
      </c>
    </row>
    <row r="788" customFormat="false" ht="15.75" hidden="false" customHeight="false" outlineLevel="0" collapsed="false">
      <c r="A788" s="9" t="n">
        <f aca="false">IFERROR(__xludf.dummyfunction("""COMPUTED_VALUE"""),45342.6666666667)</f>
        <v>45342.6666666667</v>
      </c>
      <c r="B788" s="8" t="n">
        <f aca="false">IFERROR(__xludf.dummyfunction("""COMPUTED_VALUE"""),469.72)</f>
        <v>469.72</v>
      </c>
      <c r="C788" s="8" t="n">
        <f aca="false">IFERROR(__xludf.dummyfunction("""COMPUTED_VALUE"""),476.18)</f>
        <v>476.18</v>
      </c>
      <c r="D788" s="8" t="n">
        <f aca="false">IFERROR(__xludf.dummyfunction("""COMPUTED_VALUE"""),466.56)</f>
        <v>466.56</v>
      </c>
      <c r="E788" s="8" t="n">
        <f aca="false">IFERROR(__xludf.dummyfunction("""COMPUTED_VALUE"""),471.75)</f>
        <v>471.75</v>
      </c>
      <c r="F788" s="8" t="n">
        <f aca="false">IFERROR(__xludf.dummyfunction("""COMPUTED_VALUE"""),18015523)</f>
        <v>18015523</v>
      </c>
    </row>
    <row r="789" customFormat="false" ht="15.75" hidden="false" customHeight="false" outlineLevel="0" collapsed="false">
      <c r="A789" s="9" t="n">
        <f aca="false">IFERROR(__xludf.dummyfunction("""COMPUTED_VALUE"""),45343.6666666667)</f>
        <v>45343.6666666667</v>
      </c>
      <c r="B789" s="8" t="n">
        <f aca="false">IFERROR(__xludf.dummyfunction("""COMPUTED_VALUE"""),466.5)</f>
        <v>466.5</v>
      </c>
      <c r="C789" s="8" t="n">
        <f aca="false">IFERROR(__xludf.dummyfunction("""COMPUTED_VALUE"""),469)</f>
        <v>469</v>
      </c>
      <c r="D789" s="8" t="n">
        <f aca="false">IFERROR(__xludf.dummyfunction("""COMPUTED_VALUE"""),461.79)</f>
        <v>461.79</v>
      </c>
      <c r="E789" s="8" t="n">
        <f aca="false">IFERROR(__xludf.dummyfunction("""COMPUTED_VALUE"""),468.03)</f>
        <v>468.03</v>
      </c>
      <c r="F789" s="8" t="n">
        <f aca="false">IFERROR(__xludf.dummyfunction("""COMPUTED_VALUE"""),12977050)</f>
        <v>12977050</v>
      </c>
    </row>
    <row r="790" customFormat="false" ht="15.75" hidden="false" customHeight="false" outlineLevel="0" collapsed="false">
      <c r="A790" s="9" t="n">
        <f aca="false">IFERROR(__xludf.dummyfunction("""COMPUTED_VALUE"""),45344.6666666667)</f>
        <v>45344.6666666667</v>
      </c>
      <c r="B790" s="8" t="n">
        <f aca="false">IFERROR(__xludf.dummyfunction("""COMPUTED_VALUE"""),480.24)</f>
        <v>480.24</v>
      </c>
      <c r="C790" s="8" t="n">
        <f aca="false">IFERROR(__xludf.dummyfunction("""COMPUTED_VALUE"""),489.99)</f>
        <v>489.99</v>
      </c>
      <c r="D790" s="8" t="n">
        <f aca="false">IFERROR(__xludf.dummyfunction("""COMPUTED_VALUE"""),476.06)</f>
        <v>476.06</v>
      </c>
      <c r="E790" s="8" t="n">
        <f aca="false">IFERROR(__xludf.dummyfunction("""COMPUTED_VALUE"""),486.13)</f>
        <v>486.13</v>
      </c>
      <c r="F790" s="8" t="n">
        <f aca="false">IFERROR(__xludf.dummyfunction("""COMPUTED_VALUE"""),21625805)</f>
        <v>21625805</v>
      </c>
    </row>
    <row r="791" customFormat="false" ht="15.75" hidden="false" customHeight="false" outlineLevel="0" collapsed="false">
      <c r="A791" s="9" t="n">
        <f aca="false">IFERROR(__xludf.dummyfunction("""COMPUTED_VALUE"""),45345.6666666667)</f>
        <v>45345.6666666667</v>
      </c>
      <c r="B791" s="8" t="n">
        <f aca="false">IFERROR(__xludf.dummyfunction("""COMPUTED_VALUE"""),488.05)</f>
        <v>488.05</v>
      </c>
      <c r="C791" s="8" t="n">
        <f aca="false">IFERROR(__xludf.dummyfunction("""COMPUTED_VALUE"""),494.36)</f>
        <v>494.36</v>
      </c>
      <c r="D791" s="8" t="n">
        <f aca="false">IFERROR(__xludf.dummyfunction("""COMPUTED_VALUE"""),482.35)</f>
        <v>482.35</v>
      </c>
      <c r="E791" s="8" t="n">
        <f aca="false">IFERROR(__xludf.dummyfunction("""COMPUTED_VALUE"""),484.03)</f>
        <v>484.03</v>
      </c>
      <c r="F791" s="8" t="n">
        <f aca="false">IFERROR(__xludf.dummyfunction("""COMPUTED_VALUE"""),18374286)</f>
        <v>18374286</v>
      </c>
    </row>
    <row r="792" customFormat="false" ht="15.75" hidden="false" customHeight="false" outlineLevel="0" collapsed="false">
      <c r="A792" s="9" t="n">
        <f aca="false">IFERROR(__xludf.dummyfunction("""COMPUTED_VALUE"""),45348.6666666667)</f>
        <v>45348.6666666667</v>
      </c>
      <c r="B792" s="8" t="n">
        <f aca="false">IFERROR(__xludf.dummyfunction("""COMPUTED_VALUE"""),483.47)</f>
        <v>483.47</v>
      </c>
      <c r="C792" s="8" t="n">
        <f aca="false">IFERROR(__xludf.dummyfunction("""COMPUTED_VALUE"""),486.14)</f>
        <v>486.14</v>
      </c>
      <c r="D792" s="8" t="n">
        <f aca="false">IFERROR(__xludf.dummyfunction("""COMPUTED_VALUE"""),480.6)</f>
        <v>480.6</v>
      </c>
      <c r="E792" s="8" t="n">
        <f aca="false">IFERROR(__xludf.dummyfunction("""COMPUTED_VALUE"""),481.74)</f>
        <v>481.74</v>
      </c>
      <c r="F792" s="8" t="n">
        <f aca="false">IFERROR(__xludf.dummyfunction("""COMPUTED_VALUE"""),12101415)</f>
        <v>12101415</v>
      </c>
    </row>
    <row r="793" customFormat="false" ht="15.75" hidden="false" customHeight="false" outlineLevel="0" collapsed="false">
      <c r="A793" s="9" t="n">
        <f aca="false">IFERROR(__xludf.dummyfunction("""COMPUTED_VALUE"""),45349.6666666667)</f>
        <v>45349.6666666667</v>
      </c>
      <c r="B793" s="8" t="n">
        <f aca="false">IFERROR(__xludf.dummyfunction("""COMPUTED_VALUE"""),479.98)</f>
        <v>479.98</v>
      </c>
      <c r="C793" s="8" t="n">
        <f aca="false">IFERROR(__xludf.dummyfunction("""COMPUTED_VALUE"""),487.27)</f>
        <v>487.27</v>
      </c>
      <c r="D793" s="8" t="n">
        <f aca="false">IFERROR(__xludf.dummyfunction("""COMPUTED_VALUE"""),479.92)</f>
        <v>479.92</v>
      </c>
      <c r="E793" s="8" t="n">
        <f aca="false">IFERROR(__xludf.dummyfunction("""COMPUTED_VALUE"""),487.05)</f>
        <v>487.05</v>
      </c>
      <c r="F793" s="8" t="n">
        <f aca="false">IFERROR(__xludf.dummyfunction("""COMPUTED_VALUE"""),10809595)</f>
        <v>10809595</v>
      </c>
    </row>
    <row r="794" customFormat="false" ht="15.75" hidden="false" customHeight="false" outlineLevel="0" collapsed="false">
      <c r="A794" s="9" t="n">
        <f aca="false">IFERROR(__xludf.dummyfunction("""COMPUTED_VALUE"""),45350.6666666667)</f>
        <v>45350.6666666667</v>
      </c>
      <c r="B794" s="8" t="n">
        <f aca="false">IFERROR(__xludf.dummyfunction("""COMPUTED_VALUE"""),485)</f>
        <v>485</v>
      </c>
      <c r="C794" s="8" t="n">
        <f aca="false">IFERROR(__xludf.dummyfunction("""COMPUTED_VALUE"""),491.05)</f>
        <v>491.05</v>
      </c>
      <c r="D794" s="8" t="n">
        <f aca="false">IFERROR(__xludf.dummyfunction("""COMPUTED_VALUE"""),482.75)</f>
        <v>482.75</v>
      </c>
      <c r="E794" s="8" t="n">
        <f aca="false">IFERROR(__xludf.dummyfunction("""COMPUTED_VALUE"""),484.02)</f>
        <v>484.02</v>
      </c>
      <c r="F794" s="8" t="n">
        <f aca="false">IFERROR(__xludf.dummyfunction("""COMPUTED_VALUE"""),12715486)</f>
        <v>12715486</v>
      </c>
    </row>
    <row r="795" customFormat="false" ht="15.75" hidden="false" customHeight="false" outlineLevel="0" collapsed="false">
      <c r="A795" s="9" t="n">
        <f aca="false">IFERROR(__xludf.dummyfunction("""COMPUTED_VALUE"""),45351.6666666667)</f>
        <v>45351.6666666667</v>
      </c>
      <c r="B795" s="8" t="n">
        <f aca="false">IFERROR(__xludf.dummyfunction("""COMPUTED_VALUE"""),488.44)</f>
        <v>488.44</v>
      </c>
      <c r="C795" s="8" t="n">
        <f aca="false">IFERROR(__xludf.dummyfunction("""COMPUTED_VALUE"""),491.7)</f>
        <v>491.7</v>
      </c>
      <c r="D795" s="8" t="n">
        <f aca="false">IFERROR(__xludf.dummyfunction("""COMPUTED_VALUE"""),482.61)</f>
        <v>482.61</v>
      </c>
      <c r="E795" s="8" t="n">
        <f aca="false">IFERROR(__xludf.dummyfunction("""COMPUTED_VALUE"""),490.13)</f>
        <v>490.13</v>
      </c>
      <c r="F795" s="8" t="n">
        <f aca="false">IFERROR(__xludf.dummyfunction("""COMPUTED_VALUE"""),17732045)</f>
        <v>17732045</v>
      </c>
    </row>
    <row r="796" customFormat="false" ht="15.75" hidden="false" customHeight="false" outlineLevel="0" collapsed="false">
      <c r="A796" s="9" t="n">
        <f aca="false">IFERROR(__xludf.dummyfunction("""COMPUTED_VALUE"""),45352.6666666667)</f>
        <v>45352.6666666667</v>
      </c>
      <c r="B796" s="8" t="n">
        <f aca="false">IFERROR(__xludf.dummyfunction("""COMPUTED_VALUE"""),492.11)</f>
        <v>492.11</v>
      </c>
      <c r="C796" s="8" t="n">
        <f aca="false">IFERROR(__xludf.dummyfunction("""COMPUTED_VALUE"""),504.25)</f>
        <v>504.25</v>
      </c>
      <c r="D796" s="8" t="n">
        <f aca="false">IFERROR(__xludf.dummyfunction("""COMPUTED_VALUE"""),491.85)</f>
        <v>491.85</v>
      </c>
      <c r="E796" s="8" t="n">
        <f aca="false">IFERROR(__xludf.dummyfunction("""COMPUTED_VALUE"""),502.3)</f>
        <v>502.3</v>
      </c>
      <c r="F796" s="8" t="n">
        <f aca="false">IFERROR(__xludf.dummyfunction("""COMPUTED_VALUE"""),15884882)</f>
        <v>15884882</v>
      </c>
    </row>
    <row r="797" customFormat="false" ht="15.75" hidden="false" customHeight="false" outlineLevel="0" collapsed="false">
      <c r="A797" s="9" t="n">
        <f aca="false">IFERROR(__xludf.dummyfunction("""COMPUTED_VALUE"""),45355.6666666667)</f>
        <v>45355.6666666667</v>
      </c>
      <c r="B797" s="8" t="n">
        <f aca="false">IFERROR(__xludf.dummyfunction("""COMPUTED_VALUE"""),503)</f>
        <v>503</v>
      </c>
      <c r="C797" s="8" t="n">
        <f aca="false">IFERROR(__xludf.dummyfunction("""COMPUTED_VALUE"""),504.42)</f>
        <v>504.42</v>
      </c>
      <c r="D797" s="8" t="n">
        <f aca="false">IFERROR(__xludf.dummyfunction("""COMPUTED_VALUE"""),496.42)</f>
        <v>496.42</v>
      </c>
      <c r="E797" s="8" t="n">
        <f aca="false">IFERROR(__xludf.dummyfunction("""COMPUTED_VALUE"""),498.19)</f>
        <v>498.19</v>
      </c>
      <c r="F797" s="8" t="n">
        <f aca="false">IFERROR(__xludf.dummyfunction("""COMPUTED_VALUE"""),12324141)</f>
        <v>12324141</v>
      </c>
    </row>
    <row r="798" customFormat="false" ht="15.75" hidden="false" customHeight="false" outlineLevel="0" collapsed="false">
      <c r="A798" s="9" t="n">
        <f aca="false">IFERROR(__xludf.dummyfunction("""COMPUTED_VALUE"""),45356.6666666667)</f>
        <v>45356.6666666667</v>
      </c>
      <c r="B798" s="8" t="n">
        <f aca="false">IFERROR(__xludf.dummyfunction("""COMPUTED_VALUE"""),495)</f>
        <v>495</v>
      </c>
      <c r="C798" s="8" t="n">
        <f aca="false">IFERROR(__xludf.dummyfunction("""COMPUTED_VALUE"""),495.58)</f>
        <v>495.58</v>
      </c>
      <c r="D798" s="8" t="n">
        <f aca="false">IFERROR(__xludf.dummyfunction("""COMPUTED_VALUE"""),487.89)</f>
        <v>487.89</v>
      </c>
      <c r="E798" s="8" t="n">
        <f aca="false">IFERROR(__xludf.dummyfunction("""COMPUTED_VALUE"""),490.22)</f>
        <v>490.22</v>
      </c>
      <c r="F798" s="8" t="n">
        <f aca="false">IFERROR(__xludf.dummyfunction("""COMPUTED_VALUE"""),15325299)</f>
        <v>15325299</v>
      </c>
    </row>
    <row r="799" customFormat="false" ht="15.75" hidden="false" customHeight="false" outlineLevel="0" collapsed="false">
      <c r="A799" s="9" t="n">
        <f aca="false">IFERROR(__xludf.dummyfunction("""COMPUTED_VALUE"""),45357.6666666667)</f>
        <v>45357.6666666667</v>
      </c>
      <c r="B799" s="8" t="n">
        <f aca="false">IFERROR(__xludf.dummyfunction("""COMPUTED_VALUE"""),497.63)</f>
        <v>497.63</v>
      </c>
      <c r="C799" s="8" t="n">
        <f aca="false">IFERROR(__xludf.dummyfunction("""COMPUTED_VALUE"""),502.97)</f>
        <v>502.97</v>
      </c>
      <c r="D799" s="8" t="n">
        <f aca="false">IFERROR(__xludf.dummyfunction("""COMPUTED_VALUE"""),494.29)</f>
        <v>494.29</v>
      </c>
      <c r="E799" s="8" t="n">
        <f aca="false">IFERROR(__xludf.dummyfunction("""COMPUTED_VALUE"""),496.09)</f>
        <v>496.09</v>
      </c>
      <c r="F799" s="8" t="n">
        <f aca="false">IFERROR(__xludf.dummyfunction("""COMPUTED_VALUE"""),11757925)</f>
        <v>11757925</v>
      </c>
    </row>
    <row r="800" customFormat="false" ht="15.75" hidden="false" customHeight="false" outlineLevel="0" collapsed="false">
      <c r="A800" s="9" t="n">
        <f aca="false">IFERROR(__xludf.dummyfunction("""COMPUTED_VALUE"""),45358.6666666667)</f>
        <v>45358.6666666667</v>
      </c>
      <c r="B800" s="8" t="n">
        <f aca="false">IFERROR(__xludf.dummyfunction("""COMPUTED_VALUE"""),503.28)</f>
        <v>503.28</v>
      </c>
      <c r="C800" s="8" t="n">
        <f aca="false">IFERROR(__xludf.dummyfunction("""COMPUTED_VALUE"""),519.85)</f>
        <v>519.85</v>
      </c>
      <c r="D800" s="8" t="n">
        <f aca="false">IFERROR(__xludf.dummyfunction("""COMPUTED_VALUE"""),501.38)</f>
        <v>501.38</v>
      </c>
      <c r="E800" s="8" t="n">
        <f aca="false">IFERROR(__xludf.dummyfunction("""COMPUTED_VALUE"""),512.19)</f>
        <v>512.19</v>
      </c>
      <c r="F800" s="8" t="n">
        <f aca="false">IFERROR(__xludf.dummyfunction("""COMPUTED_VALUE"""),18586437)</f>
        <v>18586437</v>
      </c>
    </row>
    <row r="801" customFormat="false" ht="15.75" hidden="false" customHeight="false" outlineLevel="0" collapsed="false">
      <c r="A801" s="9" t="n">
        <f aca="false">IFERROR(__xludf.dummyfunction("""COMPUTED_VALUE"""),45359.6666666667)</f>
        <v>45359.6666666667</v>
      </c>
      <c r="B801" s="8" t="n">
        <f aca="false">IFERROR(__xludf.dummyfunction("""COMPUTED_VALUE"""),514.19)</f>
        <v>514.19</v>
      </c>
      <c r="C801" s="8" t="n">
        <f aca="false">IFERROR(__xludf.dummyfunction("""COMPUTED_VALUE"""),523.57)</f>
        <v>523.57</v>
      </c>
      <c r="D801" s="8" t="n">
        <f aca="false">IFERROR(__xludf.dummyfunction("""COMPUTED_VALUE"""),499.35)</f>
        <v>499.35</v>
      </c>
      <c r="E801" s="8" t="n">
        <f aca="false">IFERROR(__xludf.dummyfunction("""COMPUTED_VALUE"""),505.95)</f>
        <v>505.95</v>
      </c>
      <c r="F801" s="8" t="n">
        <f aca="false">IFERROR(__xludf.dummyfunction("""COMPUTED_VALUE"""),18597059)</f>
        <v>18597059</v>
      </c>
    </row>
    <row r="802" customFormat="false" ht="15.75" hidden="false" customHeight="false" outlineLevel="0" collapsed="false">
      <c r="A802" s="9" t="n">
        <f aca="false">IFERROR(__xludf.dummyfunction("""COMPUTED_VALUE"""),45362.6666666667)</f>
        <v>45362.6666666667</v>
      </c>
      <c r="B802" s="8" t="n">
        <f aca="false">IFERROR(__xludf.dummyfunction("""COMPUTED_VALUE"""),497.01)</f>
        <v>497.01</v>
      </c>
      <c r="C802" s="8" t="n">
        <f aca="false">IFERROR(__xludf.dummyfunction("""COMPUTED_VALUE"""),497.32)</f>
        <v>497.32</v>
      </c>
      <c r="D802" s="8" t="n">
        <f aca="false">IFERROR(__xludf.dummyfunction("""COMPUTED_VALUE"""),476)</f>
        <v>476</v>
      </c>
      <c r="E802" s="8" t="n">
        <f aca="false">IFERROR(__xludf.dummyfunction("""COMPUTED_VALUE"""),483.59)</f>
        <v>483.59</v>
      </c>
      <c r="F802" s="8" t="n">
        <f aca="false">IFERROR(__xludf.dummyfunction("""COMPUTED_VALUE"""),20428274)</f>
        <v>20428274</v>
      </c>
    </row>
    <row r="803" customFormat="false" ht="15.75" hidden="false" customHeight="false" outlineLevel="0" collapsed="false">
      <c r="A803" s="9" t="n">
        <f aca="false">IFERROR(__xludf.dummyfunction("""COMPUTED_VALUE"""),45363.6666666667)</f>
        <v>45363.6666666667</v>
      </c>
      <c r="B803" s="8" t="n">
        <f aca="false">IFERROR(__xludf.dummyfunction("""COMPUTED_VALUE"""),493.26)</f>
        <v>493.26</v>
      </c>
      <c r="C803" s="8" t="n">
        <f aca="false">IFERROR(__xludf.dummyfunction("""COMPUTED_VALUE"""),502.31)</f>
        <v>502.31</v>
      </c>
      <c r="D803" s="8" t="n">
        <f aca="false">IFERROR(__xludf.dummyfunction("""COMPUTED_VALUE"""),484.73)</f>
        <v>484.73</v>
      </c>
      <c r="E803" s="8" t="n">
        <f aca="false">IFERROR(__xludf.dummyfunction("""COMPUTED_VALUE"""),499.75)</f>
        <v>499.75</v>
      </c>
      <c r="F803" s="8" t="n">
        <f aca="false">IFERROR(__xludf.dummyfunction("""COMPUTED_VALUE"""),15448232)</f>
        <v>15448232</v>
      </c>
    </row>
    <row r="804" customFormat="false" ht="15.75" hidden="false" customHeight="false" outlineLevel="0" collapsed="false">
      <c r="A804" s="9" t="n">
        <f aca="false">IFERROR(__xludf.dummyfunction("""COMPUTED_VALUE"""),45364.6666666667)</f>
        <v>45364.6666666667</v>
      </c>
      <c r="B804" s="8" t="n">
        <f aca="false">IFERROR(__xludf.dummyfunction("""COMPUTED_VALUE"""),495.39)</f>
        <v>495.39</v>
      </c>
      <c r="C804" s="8" t="n">
        <f aca="false">IFERROR(__xludf.dummyfunction("""COMPUTED_VALUE"""),500.98)</f>
        <v>500.98</v>
      </c>
      <c r="D804" s="8" t="n">
        <f aca="false">IFERROR(__xludf.dummyfunction("""COMPUTED_VALUE"""),491.03)</f>
        <v>491.03</v>
      </c>
      <c r="E804" s="8" t="n">
        <f aca="false">IFERROR(__xludf.dummyfunction("""COMPUTED_VALUE"""),495.57)</f>
        <v>495.57</v>
      </c>
      <c r="F804" s="8" t="n">
        <f aca="false">IFERROR(__xludf.dummyfunction("""COMPUTED_VALUE"""),12090656)</f>
        <v>12090656</v>
      </c>
    </row>
    <row r="805" customFormat="false" ht="15.75" hidden="false" customHeight="false" outlineLevel="0" collapsed="false">
      <c r="A805" s="9" t="n">
        <f aca="false">IFERROR(__xludf.dummyfunction("""COMPUTED_VALUE"""),45365.6666666667)</f>
        <v>45365.6666666667</v>
      </c>
      <c r="B805" s="8" t="n">
        <f aca="false">IFERROR(__xludf.dummyfunction("""COMPUTED_VALUE"""),500.26)</f>
        <v>500.26</v>
      </c>
      <c r="C805" s="8" t="n">
        <f aca="false">IFERROR(__xludf.dummyfunction("""COMPUTED_VALUE"""),501.35)</f>
        <v>501.35</v>
      </c>
      <c r="D805" s="8" t="n">
        <f aca="false">IFERROR(__xludf.dummyfunction("""COMPUTED_VALUE"""),488.16)</f>
        <v>488.16</v>
      </c>
      <c r="E805" s="8" t="n">
        <f aca="false">IFERROR(__xludf.dummyfunction("""COMPUTED_VALUE"""),491.83)</f>
        <v>491.83</v>
      </c>
      <c r="F805" s="8" t="n">
        <f aca="false">IFERROR(__xludf.dummyfunction("""COMPUTED_VALUE"""),12620014)</f>
        <v>12620014</v>
      </c>
    </row>
    <row r="806" customFormat="false" ht="15.75" hidden="false" customHeight="false" outlineLevel="0" collapsed="false">
      <c r="A806" s="9" t="n">
        <f aca="false">IFERROR(__xludf.dummyfunction("""COMPUTED_VALUE"""),45366.6666666667)</f>
        <v>45366.6666666667</v>
      </c>
      <c r="B806" s="8" t="n">
        <f aca="false">IFERROR(__xludf.dummyfunction("""COMPUTED_VALUE"""),489.01)</f>
        <v>489.01</v>
      </c>
      <c r="C806" s="8" t="n">
        <f aca="false">IFERROR(__xludf.dummyfunction("""COMPUTED_VALUE"""),491.83)</f>
        <v>491.83</v>
      </c>
      <c r="D806" s="8" t="n">
        <f aca="false">IFERROR(__xludf.dummyfunction("""COMPUTED_VALUE"""),481.3)</f>
        <v>481.3</v>
      </c>
      <c r="E806" s="8" t="n">
        <f aca="false">IFERROR(__xludf.dummyfunction("""COMPUTED_VALUE"""),484.1)</f>
        <v>484.1</v>
      </c>
      <c r="F806" s="8" t="n">
        <f aca="false">IFERROR(__xludf.dummyfunction("""COMPUTED_VALUE"""),29153576)</f>
        <v>29153576</v>
      </c>
    </row>
    <row r="807" customFormat="false" ht="15.75" hidden="false" customHeight="false" outlineLevel="0" collapsed="false">
      <c r="A807" s="9" t="n">
        <f aca="false">IFERROR(__xludf.dummyfunction("""COMPUTED_VALUE"""),45369.6666666667)</f>
        <v>45369.6666666667</v>
      </c>
      <c r="B807" s="8" t="n">
        <f aca="false">IFERROR(__xludf.dummyfunction("""COMPUTED_VALUE"""),491.91)</f>
        <v>491.91</v>
      </c>
      <c r="C807" s="8" t="n">
        <f aca="false">IFERROR(__xludf.dummyfunction("""COMPUTED_VALUE"""),497.42)</f>
        <v>497.42</v>
      </c>
      <c r="D807" s="8" t="n">
        <f aca="false">IFERROR(__xludf.dummyfunction("""COMPUTED_VALUE"""),486.81)</f>
        <v>486.81</v>
      </c>
      <c r="E807" s="8" t="n">
        <f aca="false">IFERROR(__xludf.dummyfunction("""COMPUTED_VALUE"""),496.98)</f>
        <v>496.98</v>
      </c>
      <c r="F807" s="8" t="n">
        <f aca="false">IFERROR(__xludf.dummyfunction("""COMPUTED_VALUE"""),11755251)</f>
        <v>11755251</v>
      </c>
    </row>
    <row r="808" customFormat="false" ht="15.75" hidden="false" customHeight="false" outlineLevel="0" collapsed="false">
      <c r="A808" s="9" t="n">
        <f aca="false">IFERROR(__xludf.dummyfunction("""COMPUTED_VALUE"""),45370.6666666667)</f>
        <v>45370.6666666667</v>
      </c>
      <c r="B808" s="8" t="n">
        <f aca="false">IFERROR(__xludf.dummyfunction("""COMPUTED_VALUE"""),488.17)</f>
        <v>488.17</v>
      </c>
      <c r="C808" s="8" t="n">
        <f aca="false">IFERROR(__xludf.dummyfunction("""COMPUTED_VALUE"""),496.63)</f>
        <v>496.63</v>
      </c>
      <c r="D808" s="8" t="n">
        <f aca="false">IFERROR(__xludf.dummyfunction("""COMPUTED_VALUE"""),481.28)</f>
        <v>481.28</v>
      </c>
      <c r="E808" s="8" t="n">
        <f aca="false">IFERROR(__xludf.dummyfunction("""COMPUTED_VALUE"""),496.24)</f>
        <v>496.24</v>
      </c>
      <c r="F808" s="8" t="n">
        <f aca="false">IFERROR(__xludf.dummyfunction("""COMPUTED_VALUE"""),10903092)</f>
        <v>10903092</v>
      </c>
    </row>
    <row r="809" customFormat="false" ht="15.75" hidden="false" customHeight="false" outlineLevel="0" collapsed="false">
      <c r="A809" s="9" t="n">
        <f aca="false">IFERROR(__xludf.dummyfunction("""COMPUTED_VALUE"""),45371.6666666667)</f>
        <v>45371.6666666667</v>
      </c>
      <c r="B809" s="8" t="n">
        <f aca="false">IFERROR(__xludf.dummyfunction("""COMPUTED_VALUE"""),499.5)</f>
        <v>499.5</v>
      </c>
      <c r="C809" s="8" t="n">
        <f aca="false">IFERROR(__xludf.dummyfunction("""COMPUTED_VALUE"""),508.2)</f>
        <v>508.2</v>
      </c>
      <c r="D809" s="8" t="n">
        <f aca="false">IFERROR(__xludf.dummyfunction("""COMPUTED_VALUE"""),495.17)</f>
        <v>495.17</v>
      </c>
      <c r="E809" s="8" t="n">
        <f aca="false">IFERROR(__xludf.dummyfunction("""COMPUTED_VALUE"""),505.52)</f>
        <v>505.52</v>
      </c>
      <c r="F809" s="8" t="n">
        <f aca="false">IFERROR(__xludf.dummyfunction("""COMPUTED_VALUE"""),11711100)</f>
        <v>11711100</v>
      </c>
    </row>
    <row r="810" customFormat="false" ht="15.75" hidden="false" customHeight="false" outlineLevel="0" collapsed="false">
      <c r="A810" s="9" t="n">
        <f aca="false">IFERROR(__xludf.dummyfunction("""COMPUTED_VALUE"""),45372.6666666667)</f>
        <v>45372.6666666667</v>
      </c>
      <c r="B810" s="8" t="n">
        <f aca="false">IFERROR(__xludf.dummyfunction("""COMPUTED_VALUE"""),514.71)</f>
        <v>514.71</v>
      </c>
      <c r="C810" s="8" t="n">
        <f aca="false">IFERROR(__xludf.dummyfunction("""COMPUTED_VALUE"""),515.04)</f>
        <v>515.04</v>
      </c>
      <c r="D810" s="8" t="n">
        <f aca="false">IFERROR(__xludf.dummyfunction("""COMPUTED_VALUE"""),506.01)</f>
        <v>506.01</v>
      </c>
      <c r="E810" s="8" t="n">
        <f aca="false">IFERROR(__xludf.dummyfunction("""COMPUTED_VALUE"""),507.76)</f>
        <v>507.76</v>
      </c>
      <c r="F810" s="8" t="n">
        <f aca="false">IFERROR(__xludf.dummyfunction("""COMPUTED_VALUE"""),9712549)</f>
        <v>9712549</v>
      </c>
    </row>
    <row r="811" customFormat="false" ht="15.75" hidden="false" customHeight="false" outlineLevel="0" collapsed="false">
      <c r="A811" s="9" t="n">
        <f aca="false">IFERROR(__xludf.dummyfunction("""COMPUTED_VALUE"""),45373.6666666667)</f>
        <v>45373.6666666667</v>
      </c>
      <c r="B811" s="8" t="n">
        <f aca="false">IFERROR(__xludf.dummyfunction("""COMPUTED_VALUE"""),507)</f>
        <v>507</v>
      </c>
      <c r="C811" s="8" t="n">
        <f aca="false">IFERROR(__xludf.dummyfunction("""COMPUTED_VALUE"""),509.97)</f>
        <v>509.97</v>
      </c>
      <c r="D811" s="8" t="n">
        <f aca="false">IFERROR(__xludf.dummyfunction("""COMPUTED_VALUE"""),504.34)</f>
        <v>504.34</v>
      </c>
      <c r="E811" s="8" t="n">
        <f aca="false">IFERROR(__xludf.dummyfunction("""COMPUTED_VALUE"""),509.58)</f>
        <v>509.58</v>
      </c>
      <c r="F811" s="8" t="n">
        <f aca="false">IFERROR(__xludf.dummyfunction("""COMPUTED_VALUE"""),8120593)</f>
        <v>8120593</v>
      </c>
    </row>
    <row r="812" customFormat="false" ht="15.75" hidden="false" customHeight="false" outlineLevel="0" collapsed="false">
      <c r="A812" s="9" t="n">
        <f aca="false">IFERROR(__xludf.dummyfunction("""COMPUTED_VALUE"""),45376.6666666667)</f>
        <v>45376.6666666667</v>
      </c>
      <c r="B812" s="8" t="n">
        <f aca="false">IFERROR(__xludf.dummyfunction("""COMPUTED_VALUE"""),505.79)</f>
        <v>505.79</v>
      </c>
      <c r="C812" s="8" t="n">
        <f aca="false">IFERROR(__xludf.dummyfunction("""COMPUTED_VALUE"""),507.22)</f>
        <v>507.22</v>
      </c>
      <c r="D812" s="8" t="n">
        <f aca="false">IFERROR(__xludf.dummyfunction("""COMPUTED_VALUE"""),500.24)</f>
        <v>500.24</v>
      </c>
      <c r="E812" s="8" t="n">
        <f aca="false">IFERROR(__xludf.dummyfunction("""COMPUTED_VALUE"""),503.02)</f>
        <v>503.02</v>
      </c>
      <c r="F812" s="8" t="n">
        <f aca="false">IFERROR(__xludf.dummyfunction("""COMPUTED_VALUE"""),8380617)</f>
        <v>8380617</v>
      </c>
    </row>
    <row r="813" customFormat="false" ht="15.75" hidden="false" customHeight="false" outlineLevel="0" collapsed="false">
      <c r="A813" s="9" t="n">
        <f aca="false">IFERROR(__xludf.dummyfunction("""COMPUTED_VALUE"""),45377.6666666667)</f>
        <v>45377.6666666667</v>
      </c>
      <c r="B813" s="8" t="n">
        <f aca="false">IFERROR(__xludf.dummyfunction("""COMPUTED_VALUE"""),505.13)</f>
        <v>505.13</v>
      </c>
      <c r="C813" s="8" t="n">
        <f aca="false">IFERROR(__xludf.dummyfunction("""COMPUTED_VALUE"""),510)</f>
        <v>510</v>
      </c>
      <c r="D813" s="8" t="n">
        <f aca="false">IFERROR(__xludf.dummyfunction("""COMPUTED_VALUE"""),495.21)</f>
        <v>495.21</v>
      </c>
      <c r="E813" s="8" t="n">
        <f aca="false">IFERROR(__xludf.dummyfunction("""COMPUTED_VALUE"""),495.89)</f>
        <v>495.89</v>
      </c>
      <c r="F813" s="8" t="n">
        <f aca="false">IFERROR(__xludf.dummyfunction("""COMPUTED_VALUE"""),11205382)</f>
        <v>11205382</v>
      </c>
    </row>
    <row r="814" customFormat="false" ht="15.75" hidden="false" customHeight="false" outlineLevel="0" collapsed="false">
      <c r="A814" s="9" t="n">
        <f aca="false">IFERROR(__xludf.dummyfunction("""COMPUTED_VALUE"""),45378.6666666667)</f>
        <v>45378.6666666667</v>
      </c>
      <c r="B814" s="8" t="n">
        <f aca="false">IFERROR(__xludf.dummyfunction("""COMPUTED_VALUE"""),499.3)</f>
        <v>499.3</v>
      </c>
      <c r="C814" s="8" t="n">
        <f aca="false">IFERROR(__xludf.dummyfunction("""COMPUTED_VALUE"""),499.89)</f>
        <v>499.89</v>
      </c>
      <c r="D814" s="8" t="n">
        <f aca="false">IFERROR(__xludf.dummyfunction("""COMPUTED_VALUE"""),488.07)</f>
        <v>488.07</v>
      </c>
      <c r="E814" s="8" t="n">
        <f aca="false">IFERROR(__xludf.dummyfunction("""COMPUTED_VALUE"""),493.86)</f>
        <v>493.86</v>
      </c>
      <c r="F814" s="8" t="n">
        <f aca="false">IFERROR(__xludf.dummyfunction("""COMPUTED_VALUE"""),9989676)</f>
        <v>9989676</v>
      </c>
    </row>
    <row r="815" customFormat="false" ht="15.75" hidden="false" customHeight="false" outlineLevel="0" collapsed="false">
      <c r="A815" s="9" t="n">
        <f aca="false">IFERROR(__xludf.dummyfunction("""COMPUTED_VALUE"""),45379.6666666667)</f>
        <v>45379.6666666667</v>
      </c>
      <c r="B815" s="8" t="n">
        <f aca="false">IFERROR(__xludf.dummyfunction("""COMPUTED_VALUE"""),492.84)</f>
        <v>492.84</v>
      </c>
      <c r="C815" s="8" t="n">
        <f aca="false">IFERROR(__xludf.dummyfunction("""COMPUTED_VALUE"""),492.89)</f>
        <v>492.89</v>
      </c>
      <c r="D815" s="8" t="n">
        <f aca="false">IFERROR(__xludf.dummyfunction("""COMPUTED_VALUE"""),485.15)</f>
        <v>485.15</v>
      </c>
      <c r="E815" s="8" t="n">
        <f aca="false">IFERROR(__xludf.dummyfunction("""COMPUTED_VALUE"""),485.58)</f>
        <v>485.58</v>
      </c>
      <c r="F815" s="8" t="n">
        <f aca="false">IFERROR(__xludf.dummyfunction("""COMPUTED_VALUE"""),15212764)</f>
        <v>15212764</v>
      </c>
    </row>
    <row r="816" customFormat="false" ht="15.75" hidden="false" customHeight="false" outlineLevel="0" collapsed="false">
      <c r="A816" s="9" t="n">
        <f aca="false">IFERROR(__xludf.dummyfunction("""COMPUTED_VALUE"""),45383.6666666667)</f>
        <v>45383.6666666667</v>
      </c>
      <c r="B816" s="8" t="n">
        <f aca="false">IFERROR(__xludf.dummyfunction("""COMPUTED_VALUE"""),487.2)</f>
        <v>487.2</v>
      </c>
      <c r="C816" s="8" t="n">
        <f aca="false">IFERROR(__xludf.dummyfunction("""COMPUTED_VALUE"""),497.43)</f>
        <v>497.43</v>
      </c>
      <c r="D816" s="8" t="n">
        <f aca="false">IFERROR(__xludf.dummyfunction("""COMPUTED_VALUE"""),481.78)</f>
        <v>481.78</v>
      </c>
      <c r="E816" s="8" t="n">
        <f aca="false">IFERROR(__xludf.dummyfunction("""COMPUTED_VALUE"""),491.35)</f>
        <v>491.35</v>
      </c>
      <c r="F816" s="8" t="n">
        <f aca="false">IFERROR(__xludf.dummyfunction("""COMPUTED_VALUE"""),9247007)</f>
        <v>9247007</v>
      </c>
    </row>
    <row r="817" customFormat="false" ht="15.75" hidden="false" customHeight="false" outlineLevel="0" collapsed="false">
      <c r="A817" s="9" t="n">
        <f aca="false">IFERROR(__xludf.dummyfunction("""COMPUTED_VALUE"""),45384.6666666667)</f>
        <v>45384.6666666667</v>
      </c>
      <c r="B817" s="8" t="n">
        <f aca="false">IFERROR(__xludf.dummyfunction("""COMPUTED_VALUE"""),485.1)</f>
        <v>485.1</v>
      </c>
      <c r="C817" s="8" t="n">
        <f aca="false">IFERROR(__xludf.dummyfunction("""COMPUTED_VALUE"""),497.53)</f>
        <v>497.53</v>
      </c>
      <c r="D817" s="8" t="n">
        <f aca="false">IFERROR(__xludf.dummyfunction("""COMPUTED_VALUE"""),484.65)</f>
        <v>484.65</v>
      </c>
      <c r="E817" s="8" t="n">
        <f aca="false">IFERROR(__xludf.dummyfunction("""COMPUTED_VALUE"""),497.37)</f>
        <v>497.37</v>
      </c>
      <c r="F817" s="8" t="n">
        <f aca="false">IFERROR(__xludf.dummyfunction("""COMPUTED_VALUE"""),11081026)</f>
        <v>11081026</v>
      </c>
    </row>
    <row r="818" customFormat="false" ht="15.75" hidden="false" customHeight="false" outlineLevel="0" collapsed="false">
      <c r="A818" s="9" t="n">
        <f aca="false">IFERROR(__xludf.dummyfunction("""COMPUTED_VALUE"""),45385.6666666667)</f>
        <v>45385.6666666667</v>
      </c>
      <c r="B818" s="8" t="n">
        <f aca="false">IFERROR(__xludf.dummyfunction("""COMPUTED_VALUE"""),498.93)</f>
        <v>498.93</v>
      </c>
      <c r="C818" s="8" t="n">
        <f aca="false">IFERROR(__xludf.dummyfunction("""COMPUTED_VALUE"""),507.24)</f>
        <v>507.24</v>
      </c>
      <c r="D818" s="8" t="n">
        <f aca="false">IFERROR(__xludf.dummyfunction("""COMPUTED_VALUE"""),498.75)</f>
        <v>498.75</v>
      </c>
      <c r="E818" s="8" t="n">
        <f aca="false">IFERROR(__xludf.dummyfunction("""COMPUTED_VALUE"""),506.74)</f>
        <v>506.74</v>
      </c>
      <c r="F818" s="8" t="n">
        <f aca="false">IFERROR(__xludf.dummyfunction("""COMPUTED_VALUE"""),12099171)</f>
        <v>12099171</v>
      </c>
    </row>
    <row r="819" customFormat="false" ht="15.75" hidden="false" customHeight="false" outlineLevel="0" collapsed="false">
      <c r="A819" s="9" t="n">
        <f aca="false">IFERROR(__xludf.dummyfunction("""COMPUTED_VALUE"""),45386.6666666667)</f>
        <v>45386.6666666667</v>
      </c>
      <c r="B819" s="8" t="n">
        <f aca="false">IFERROR(__xludf.dummyfunction("""COMPUTED_VALUE"""),516.42)</f>
        <v>516.42</v>
      </c>
      <c r="C819" s="8" t="n">
        <f aca="false">IFERROR(__xludf.dummyfunction("""COMPUTED_VALUE"""),530)</f>
        <v>530</v>
      </c>
      <c r="D819" s="8" t="n">
        <f aca="false">IFERROR(__xludf.dummyfunction("""COMPUTED_VALUE"""),510.58)</f>
        <v>510.58</v>
      </c>
      <c r="E819" s="8" t="n">
        <f aca="false">IFERROR(__xludf.dummyfunction("""COMPUTED_VALUE"""),510.92)</f>
        <v>510.92</v>
      </c>
      <c r="F819" s="8" t="n">
        <f aca="false">IFERROR(__xludf.dummyfunction("""COMPUTED_VALUE"""),26476253)</f>
        <v>26476253</v>
      </c>
    </row>
    <row r="820" customFormat="false" ht="15.75" hidden="false" customHeight="false" outlineLevel="0" collapsed="false">
      <c r="A820" s="9" t="n">
        <f aca="false">IFERROR(__xludf.dummyfunction("""COMPUTED_VALUE"""),45387.6666666667)</f>
        <v>45387.6666666667</v>
      </c>
      <c r="B820" s="8" t="n">
        <f aca="false">IFERROR(__xludf.dummyfunction("""COMPUTED_VALUE"""),516.86)</f>
        <v>516.86</v>
      </c>
      <c r="C820" s="8" t="n">
        <f aca="false">IFERROR(__xludf.dummyfunction("""COMPUTED_VALUE"""),530.7)</f>
        <v>530.7</v>
      </c>
      <c r="D820" s="8" t="n">
        <f aca="false">IFERROR(__xludf.dummyfunction("""COMPUTED_VALUE"""),514.41)</f>
        <v>514.41</v>
      </c>
      <c r="E820" s="8" t="n">
        <f aca="false">IFERROR(__xludf.dummyfunction("""COMPUTED_VALUE"""),527.34)</f>
        <v>527.34</v>
      </c>
      <c r="F820" s="8" t="n">
        <f aca="false">IFERROR(__xludf.dummyfunction("""COMPUTED_VALUE"""),19263265)</f>
        <v>19263265</v>
      </c>
    </row>
    <row r="821" customFormat="false" ht="15.75" hidden="false" customHeight="false" outlineLevel="0" collapsed="false">
      <c r="A821" s="9" t="n">
        <f aca="false">IFERROR(__xludf.dummyfunction("""COMPUTED_VALUE"""),45390.6666666667)</f>
        <v>45390.6666666667</v>
      </c>
      <c r="B821" s="8" t="n">
        <f aca="false">IFERROR(__xludf.dummyfunction("""COMPUTED_VALUE"""),529.28)</f>
        <v>529.28</v>
      </c>
      <c r="C821" s="8" t="n">
        <f aca="false">IFERROR(__xludf.dummyfunction("""COMPUTED_VALUE"""),531.49)</f>
        <v>531.49</v>
      </c>
      <c r="D821" s="8" t="n">
        <f aca="false">IFERROR(__xludf.dummyfunction("""COMPUTED_VALUE"""),518.89)</f>
        <v>518.89</v>
      </c>
      <c r="E821" s="8" t="n">
        <f aca="false">IFERROR(__xludf.dummyfunction("""COMPUTED_VALUE"""),519.25)</f>
        <v>519.25</v>
      </c>
      <c r="F821" s="8" t="n">
        <f aca="false">IFERROR(__xludf.dummyfunction("""COMPUTED_VALUE"""),13260579)</f>
        <v>13260579</v>
      </c>
    </row>
    <row r="822" customFormat="false" ht="15.75" hidden="false" customHeight="false" outlineLevel="0" collapsed="false">
      <c r="A822" s="9" t="n">
        <f aca="false">IFERROR(__xludf.dummyfunction("""COMPUTED_VALUE"""),45391.6666666667)</f>
        <v>45391.6666666667</v>
      </c>
      <c r="B822" s="8" t="n">
        <f aca="false">IFERROR(__xludf.dummyfunction("""COMPUTED_VALUE"""),522.23)</f>
        <v>522.23</v>
      </c>
      <c r="C822" s="8" t="n">
        <f aca="false">IFERROR(__xludf.dummyfunction("""COMPUTED_VALUE"""),525.87)</f>
        <v>525.87</v>
      </c>
      <c r="D822" s="8" t="n">
        <f aca="false">IFERROR(__xludf.dummyfunction("""COMPUTED_VALUE"""),506.74)</f>
        <v>506.74</v>
      </c>
      <c r="E822" s="8" t="n">
        <f aca="false">IFERROR(__xludf.dummyfunction("""COMPUTED_VALUE"""),516.9)</f>
        <v>516.9</v>
      </c>
      <c r="F822" s="8" t="n">
        <f aca="false">IFERROR(__xludf.dummyfunction("""COMPUTED_VALUE"""),10881445)</f>
        <v>10881445</v>
      </c>
    </row>
    <row r="823" customFormat="false" ht="15.75" hidden="false" customHeight="false" outlineLevel="0" collapsed="false">
      <c r="A823" s="9" t="n">
        <f aca="false">IFERROR(__xludf.dummyfunction("""COMPUTED_VALUE"""),45392.6666666667)</f>
        <v>45392.6666666667</v>
      </c>
      <c r="B823" s="8" t="n">
        <f aca="false">IFERROR(__xludf.dummyfunction("""COMPUTED_VALUE"""),509.29)</f>
        <v>509.29</v>
      </c>
      <c r="C823" s="8" t="n">
        <f aca="false">IFERROR(__xludf.dummyfunction("""COMPUTED_VALUE"""),522.56)</f>
        <v>522.56</v>
      </c>
      <c r="D823" s="8" t="n">
        <f aca="false">IFERROR(__xludf.dummyfunction("""COMPUTED_VALUE"""),505.8)</f>
        <v>505.8</v>
      </c>
      <c r="E823" s="8" t="n">
        <f aca="false">IFERROR(__xludf.dummyfunction("""COMPUTED_VALUE"""),519.83)</f>
        <v>519.83</v>
      </c>
      <c r="F823" s="8" t="n">
        <f aca="false">IFERROR(__xludf.dummyfunction("""COMPUTED_VALUE"""),11418491)</f>
        <v>11418491</v>
      </c>
    </row>
    <row r="824" customFormat="false" ht="15.75" hidden="false" customHeight="false" outlineLevel="0" collapsed="false">
      <c r="A824" s="9" t="n">
        <f aca="false">IFERROR(__xludf.dummyfunction("""COMPUTED_VALUE"""),45393.6666666667)</f>
        <v>45393.6666666667</v>
      </c>
      <c r="B824" s="8" t="n">
        <f aca="false">IFERROR(__xludf.dummyfunction("""COMPUTED_VALUE"""),521.11)</f>
        <v>521.11</v>
      </c>
      <c r="C824" s="8" t="n">
        <f aca="false">IFERROR(__xludf.dummyfunction("""COMPUTED_VALUE"""),523.86)</f>
        <v>523.86</v>
      </c>
      <c r="D824" s="8" t="n">
        <f aca="false">IFERROR(__xludf.dummyfunction("""COMPUTED_VALUE"""),517.29)</f>
        <v>517.29</v>
      </c>
      <c r="E824" s="8" t="n">
        <f aca="false">IFERROR(__xludf.dummyfunction("""COMPUTED_VALUE"""),523.16)</f>
        <v>523.16</v>
      </c>
      <c r="F824" s="8" t="n">
        <f aca="false">IFERROR(__xludf.dummyfunction("""COMPUTED_VALUE"""),10369469)</f>
        <v>10369469</v>
      </c>
    </row>
    <row r="825" customFormat="false" ht="15.75" hidden="false" customHeight="false" outlineLevel="0" collapsed="false">
      <c r="A825" s="9" t="n">
        <f aca="false">IFERROR(__xludf.dummyfunction("""COMPUTED_VALUE"""),45394.6666666667)</f>
        <v>45394.6666666667</v>
      </c>
      <c r="B825" s="8" t="n">
        <f aca="false">IFERROR(__xludf.dummyfunction("""COMPUTED_VALUE"""),517.75)</f>
        <v>517.75</v>
      </c>
      <c r="C825" s="8" t="n">
        <f aca="false">IFERROR(__xludf.dummyfunction("""COMPUTED_VALUE"""),520.19)</f>
        <v>520.19</v>
      </c>
      <c r="D825" s="8" t="n">
        <f aca="false">IFERROR(__xludf.dummyfunction("""COMPUTED_VALUE"""),509.33)</f>
        <v>509.33</v>
      </c>
      <c r="E825" s="8" t="n">
        <f aca="false">IFERROR(__xludf.dummyfunction("""COMPUTED_VALUE"""),511.9)</f>
        <v>511.9</v>
      </c>
      <c r="F825" s="8" t="n">
        <f aca="false">IFERROR(__xludf.dummyfunction("""COMPUTED_VALUE"""),11984535)</f>
        <v>11984535</v>
      </c>
    </row>
    <row r="826" customFormat="false" ht="15.75" hidden="false" customHeight="false" outlineLevel="0" collapsed="false">
      <c r="A826" s="9" t="n">
        <f aca="false">IFERROR(__xludf.dummyfunction("""COMPUTED_VALUE"""),45397.6666666667)</f>
        <v>45397.6666666667</v>
      </c>
      <c r="B826" s="8" t="n">
        <f aca="false">IFERROR(__xludf.dummyfunction("""COMPUTED_VALUE"""),516.72)</f>
        <v>516.72</v>
      </c>
      <c r="C826" s="8" t="n">
        <f aca="false">IFERROR(__xludf.dummyfunction("""COMPUTED_VALUE"""),518.53)</f>
        <v>518.53</v>
      </c>
      <c r="D826" s="8" t="n">
        <f aca="false">IFERROR(__xludf.dummyfunction("""COMPUTED_VALUE"""),497.28)</f>
        <v>497.28</v>
      </c>
      <c r="E826" s="8" t="n">
        <f aca="false">IFERROR(__xludf.dummyfunction("""COMPUTED_VALUE"""),500.23)</f>
        <v>500.23</v>
      </c>
      <c r="F826" s="8" t="n">
        <f aca="false">IFERROR(__xludf.dummyfunction("""COMPUTED_VALUE"""),13512893)</f>
        <v>13512893</v>
      </c>
    </row>
    <row r="827" customFormat="false" ht="15.75" hidden="false" customHeight="false" outlineLevel="0" collapsed="false">
      <c r="A827" s="9" t="n">
        <f aca="false">IFERROR(__xludf.dummyfunction("""COMPUTED_VALUE"""),45398.6666666667)</f>
        <v>45398.6666666667</v>
      </c>
      <c r="B827" s="8" t="n">
        <f aca="false">IFERROR(__xludf.dummyfunction("""COMPUTED_VALUE"""),498.11)</f>
        <v>498.11</v>
      </c>
      <c r="C827" s="8" t="n">
        <f aca="false">IFERROR(__xludf.dummyfunction("""COMPUTED_VALUE"""),504.77)</f>
        <v>504.77</v>
      </c>
      <c r="D827" s="8" t="n">
        <f aca="false">IFERROR(__xludf.dummyfunction("""COMPUTED_VALUE"""),497.11)</f>
        <v>497.11</v>
      </c>
      <c r="E827" s="8" t="n">
        <f aca="false">IFERROR(__xludf.dummyfunction("""COMPUTED_VALUE"""),499.76)</f>
        <v>499.76</v>
      </c>
      <c r="F827" s="8" t="n">
        <f aca="false">IFERROR(__xludf.dummyfunction("""COMPUTED_VALUE"""),9847925)</f>
        <v>9847925</v>
      </c>
    </row>
    <row r="828" customFormat="false" ht="15.75" hidden="false" customHeight="false" outlineLevel="0" collapsed="false">
      <c r="A828" s="9" t="n">
        <f aca="false">IFERROR(__xludf.dummyfunction("""COMPUTED_VALUE"""),45399.6666666667)</f>
        <v>45399.6666666667</v>
      </c>
      <c r="B828" s="8" t="n">
        <f aca="false">IFERROR(__xludf.dummyfunction("""COMPUTED_VALUE"""),503.1)</f>
        <v>503.1</v>
      </c>
      <c r="C828" s="8" t="n">
        <f aca="false">IFERROR(__xludf.dummyfunction("""COMPUTED_VALUE"""),503.16)</f>
        <v>503.16</v>
      </c>
      <c r="D828" s="8" t="n">
        <f aca="false">IFERROR(__xludf.dummyfunction("""COMPUTED_VALUE"""),487.14)</f>
        <v>487.14</v>
      </c>
      <c r="E828" s="8" t="n">
        <f aca="false">IFERROR(__xludf.dummyfunction("""COMPUTED_VALUE"""),494.17)</f>
        <v>494.17</v>
      </c>
      <c r="F828" s="8" t="n">
        <f aca="false">IFERROR(__xludf.dummyfunction("""COMPUTED_VALUE"""),12193743)</f>
        <v>12193743</v>
      </c>
    </row>
    <row r="829" customFormat="false" ht="15.75" hidden="false" customHeight="false" outlineLevel="0" collapsed="false">
      <c r="A829" s="9" t="n">
        <f aca="false">IFERROR(__xludf.dummyfunction("""COMPUTED_VALUE"""),45400.6666666667)</f>
        <v>45400.6666666667</v>
      </c>
      <c r="B829" s="8" t="n">
        <f aca="false">IFERROR(__xludf.dummyfunction("""COMPUTED_VALUE"""),499.82)</f>
        <v>499.82</v>
      </c>
      <c r="C829" s="8" t="n">
        <f aca="false">IFERROR(__xludf.dummyfunction("""COMPUTED_VALUE"""),512.21)</f>
        <v>512.21</v>
      </c>
      <c r="D829" s="8" t="n">
        <f aca="false">IFERROR(__xludf.dummyfunction("""COMPUTED_VALUE"""),499.04)</f>
        <v>499.04</v>
      </c>
      <c r="E829" s="8" t="n">
        <f aca="false">IFERROR(__xludf.dummyfunction("""COMPUTED_VALUE"""),501.8)</f>
        <v>501.8</v>
      </c>
      <c r="F829" s="8" t="n">
        <f aca="false">IFERROR(__xludf.dummyfunction("""COMPUTED_VALUE"""),14808670)</f>
        <v>14808670</v>
      </c>
    </row>
    <row r="830" customFormat="false" ht="15.75" hidden="false" customHeight="false" outlineLevel="0" collapsed="false">
      <c r="A830" s="9" t="n">
        <f aca="false">IFERROR(__xludf.dummyfunction("""COMPUTED_VALUE"""),45401.6666666667)</f>
        <v>45401.6666666667</v>
      </c>
      <c r="B830" s="8" t="n">
        <f aca="false">IFERROR(__xludf.dummyfunction("""COMPUTED_VALUE"""),502.8)</f>
        <v>502.8</v>
      </c>
      <c r="C830" s="8" t="n">
        <f aca="false">IFERROR(__xludf.dummyfunction("""COMPUTED_VALUE"""),502.8)</f>
        <v>502.8</v>
      </c>
      <c r="D830" s="8" t="n">
        <f aca="false">IFERROR(__xludf.dummyfunction("""COMPUTED_VALUE"""),475.73)</f>
        <v>475.73</v>
      </c>
      <c r="E830" s="8" t="n">
        <f aca="false">IFERROR(__xludf.dummyfunction("""COMPUTED_VALUE"""),481.07)</f>
        <v>481.07</v>
      </c>
      <c r="F830" s="8" t="n">
        <f aca="false">IFERROR(__xludf.dummyfunction("""COMPUTED_VALUE"""),25215364)</f>
        <v>25215364</v>
      </c>
    </row>
    <row r="831" customFormat="false" ht="15.75" hidden="false" customHeight="false" outlineLevel="0" collapsed="false">
      <c r="A831" s="9" t="n">
        <f aca="false">IFERROR(__xludf.dummyfunction("""COMPUTED_VALUE"""),45404.6666666667)</f>
        <v>45404.6666666667</v>
      </c>
      <c r="B831" s="8" t="n">
        <f aca="false">IFERROR(__xludf.dummyfunction("""COMPUTED_VALUE"""),489.72)</f>
        <v>489.72</v>
      </c>
      <c r="C831" s="8" t="n">
        <f aca="false">IFERROR(__xludf.dummyfunction("""COMPUTED_VALUE"""),492.01)</f>
        <v>492.01</v>
      </c>
      <c r="D831" s="8" t="n">
        <f aca="false">IFERROR(__xludf.dummyfunction("""COMPUTED_VALUE"""),473.4)</f>
        <v>473.4</v>
      </c>
      <c r="E831" s="8" t="n">
        <f aca="false">IFERROR(__xludf.dummyfunction("""COMPUTED_VALUE"""),481.73)</f>
        <v>481.73</v>
      </c>
      <c r="F831" s="8" t="n">
        <f aca="false">IFERROR(__xludf.dummyfunction("""COMPUTED_VALUE"""),17271125)</f>
        <v>17271125</v>
      </c>
    </row>
    <row r="832" customFormat="false" ht="15.75" hidden="false" customHeight="false" outlineLevel="0" collapsed="false">
      <c r="A832" s="9" t="n">
        <f aca="false">IFERROR(__xludf.dummyfunction("""COMPUTED_VALUE"""),45405.6666666667)</f>
        <v>45405.6666666667</v>
      </c>
      <c r="B832" s="8" t="n">
        <f aca="false">IFERROR(__xludf.dummyfunction("""COMPUTED_VALUE"""),491.25)</f>
        <v>491.25</v>
      </c>
      <c r="C832" s="8" t="n">
        <f aca="false">IFERROR(__xludf.dummyfunction("""COMPUTED_VALUE"""),498.76)</f>
        <v>498.76</v>
      </c>
      <c r="D832" s="8" t="n">
        <f aca="false">IFERROR(__xludf.dummyfunction("""COMPUTED_VALUE"""),488.97)</f>
        <v>488.97</v>
      </c>
      <c r="E832" s="8" t="n">
        <f aca="false">IFERROR(__xludf.dummyfunction("""COMPUTED_VALUE"""),496.1)</f>
        <v>496.1</v>
      </c>
      <c r="F832" s="8" t="n">
        <f aca="false">IFERROR(__xludf.dummyfunction("""COMPUTED_VALUE"""),15079196)</f>
        <v>15079196</v>
      </c>
    </row>
    <row r="833" customFormat="false" ht="15.75" hidden="false" customHeight="false" outlineLevel="0" collapsed="false">
      <c r="A833" s="9" t="n">
        <f aca="false">IFERROR(__xludf.dummyfunction("""COMPUTED_VALUE"""),45406.6666666667)</f>
        <v>45406.6666666667</v>
      </c>
      <c r="B833" s="8" t="n">
        <f aca="false">IFERROR(__xludf.dummyfunction("""COMPUTED_VALUE"""),508.06)</f>
        <v>508.06</v>
      </c>
      <c r="C833" s="8" t="n">
        <f aca="false">IFERROR(__xludf.dummyfunction("""COMPUTED_VALUE"""),510)</f>
        <v>510</v>
      </c>
      <c r="D833" s="8" t="n">
        <f aca="false">IFERROR(__xludf.dummyfunction("""COMPUTED_VALUE"""),484.58)</f>
        <v>484.58</v>
      </c>
      <c r="E833" s="8" t="n">
        <f aca="false">IFERROR(__xludf.dummyfunction("""COMPUTED_VALUE"""),493.5)</f>
        <v>493.5</v>
      </c>
      <c r="F833" s="8" t="n">
        <f aca="false">IFERROR(__xludf.dummyfunction("""COMPUTED_VALUE"""),37772677)</f>
        <v>37772677</v>
      </c>
    </row>
    <row r="834" customFormat="false" ht="15.75" hidden="false" customHeight="false" outlineLevel="0" collapsed="false">
      <c r="A834" s="9" t="n">
        <f aca="false">IFERROR(__xludf.dummyfunction("""COMPUTED_VALUE"""),45407.6666666667)</f>
        <v>45407.6666666667</v>
      </c>
      <c r="B834" s="8" t="n">
        <f aca="false">IFERROR(__xludf.dummyfunction("""COMPUTED_VALUE"""),421.4)</f>
        <v>421.4</v>
      </c>
      <c r="C834" s="8" t="n">
        <f aca="false">IFERROR(__xludf.dummyfunction("""COMPUTED_VALUE"""),445.77)</f>
        <v>445.77</v>
      </c>
      <c r="D834" s="8" t="n">
        <f aca="false">IFERROR(__xludf.dummyfunction("""COMPUTED_VALUE"""),414.5)</f>
        <v>414.5</v>
      </c>
      <c r="E834" s="8" t="n">
        <f aca="false">IFERROR(__xludf.dummyfunction("""COMPUTED_VALUE"""),441.38)</f>
        <v>441.38</v>
      </c>
      <c r="F834" s="8" t="n">
        <f aca="false">IFERROR(__xludf.dummyfunction("""COMPUTED_VALUE"""),82890741)</f>
        <v>82890741</v>
      </c>
    </row>
    <row r="835" customFormat="false" ht="15.75" hidden="false" customHeight="false" outlineLevel="0" collapsed="false">
      <c r="A835" s="9" t="n">
        <f aca="false">IFERROR(__xludf.dummyfunction("""COMPUTED_VALUE"""),45408.6666666667)</f>
        <v>45408.6666666667</v>
      </c>
      <c r="B835" s="8" t="n">
        <f aca="false">IFERROR(__xludf.dummyfunction("""COMPUTED_VALUE"""),441.46)</f>
        <v>441.46</v>
      </c>
      <c r="C835" s="8" t="n">
        <f aca="false">IFERROR(__xludf.dummyfunction("""COMPUTED_VALUE"""),446.44)</f>
        <v>446.44</v>
      </c>
      <c r="D835" s="8" t="n">
        <f aca="false">IFERROR(__xludf.dummyfunction("""COMPUTED_VALUE"""),431.96)</f>
        <v>431.96</v>
      </c>
      <c r="E835" s="8" t="n">
        <f aca="false">IFERROR(__xludf.dummyfunction("""COMPUTED_VALUE"""),443.29)</f>
        <v>443.29</v>
      </c>
      <c r="F835" s="8" t="n">
        <f aca="false">IFERROR(__xludf.dummyfunction("""COMPUTED_VALUE"""),32691443)</f>
        <v>32691443</v>
      </c>
    </row>
    <row r="836" customFormat="false" ht="15.75" hidden="false" customHeight="false" outlineLevel="0" collapsed="false">
      <c r="A836" s="9" t="n">
        <f aca="false">IFERROR(__xludf.dummyfunction("""COMPUTED_VALUE"""),45411.6666666667)</f>
        <v>45411.6666666667</v>
      </c>
      <c r="B836" s="8" t="n">
        <f aca="false">IFERROR(__xludf.dummyfunction("""COMPUTED_VALUE"""),439.56)</f>
        <v>439.56</v>
      </c>
      <c r="C836" s="8" t="n">
        <f aca="false">IFERROR(__xludf.dummyfunction("""COMPUTED_VALUE"""),439.76)</f>
        <v>439.76</v>
      </c>
      <c r="D836" s="8" t="n">
        <f aca="false">IFERROR(__xludf.dummyfunction("""COMPUTED_VALUE"""),428.56)</f>
        <v>428.56</v>
      </c>
      <c r="E836" s="8" t="n">
        <f aca="false">IFERROR(__xludf.dummyfunction("""COMPUTED_VALUE"""),432.62)</f>
        <v>432.62</v>
      </c>
      <c r="F836" s="8" t="n">
        <f aca="false">IFERROR(__xludf.dummyfunction("""COMPUTED_VALUE"""),21502646)</f>
        <v>21502646</v>
      </c>
    </row>
    <row r="837" customFormat="false" ht="15.75" hidden="false" customHeight="false" outlineLevel="0" collapsed="false">
      <c r="A837" s="9" t="n">
        <f aca="false">IFERROR(__xludf.dummyfunction("""COMPUTED_VALUE"""),45412.6666666667)</f>
        <v>45412.6666666667</v>
      </c>
      <c r="B837" s="8" t="n">
        <f aca="false">IFERROR(__xludf.dummyfunction("""COMPUTED_VALUE"""),431.05)</f>
        <v>431.05</v>
      </c>
      <c r="C837" s="8" t="n">
        <f aca="false">IFERROR(__xludf.dummyfunction("""COMPUTED_VALUE"""),439.62)</f>
        <v>439.62</v>
      </c>
      <c r="D837" s="8" t="n">
        <f aca="false">IFERROR(__xludf.dummyfunction("""COMPUTED_VALUE"""),429.72)</f>
        <v>429.72</v>
      </c>
      <c r="E837" s="8" t="n">
        <f aca="false">IFERROR(__xludf.dummyfunction("""COMPUTED_VALUE"""),430.17)</f>
        <v>430.17</v>
      </c>
      <c r="F837" s="8" t="n">
        <f aca="false">IFERROR(__xludf.dummyfunction("""COMPUTED_VALUE"""),18429496)</f>
        <v>18429496</v>
      </c>
    </row>
    <row r="838" customFormat="false" ht="15.75" hidden="false" customHeight="false" outlineLevel="0" collapsed="false">
      <c r="A838" s="9" t="n">
        <f aca="false">IFERROR(__xludf.dummyfunction("""COMPUTED_VALUE"""),45413.6666666667)</f>
        <v>45413.6666666667</v>
      </c>
      <c r="B838" s="8" t="n">
        <f aca="false">IFERROR(__xludf.dummyfunction("""COMPUTED_VALUE"""),428.6)</f>
        <v>428.6</v>
      </c>
      <c r="C838" s="8" t="n">
        <f aca="false">IFERROR(__xludf.dummyfunction("""COMPUTED_VALUE"""),449.96)</f>
        <v>449.96</v>
      </c>
      <c r="D838" s="8" t="n">
        <f aca="false">IFERROR(__xludf.dummyfunction("""COMPUTED_VALUE"""),427.11)</f>
        <v>427.11</v>
      </c>
      <c r="E838" s="8" t="n">
        <f aca="false">IFERROR(__xludf.dummyfunction("""COMPUTED_VALUE"""),439.19)</f>
        <v>439.19</v>
      </c>
      <c r="F838" s="8" t="n">
        <f aca="false">IFERROR(__xludf.dummyfunction("""COMPUTED_VALUE"""),20344947)</f>
        <v>20344947</v>
      </c>
    </row>
    <row r="839" customFormat="false" ht="15.75" hidden="false" customHeight="false" outlineLevel="0" collapsed="false">
      <c r="A839" s="9" t="n">
        <f aca="false">IFERROR(__xludf.dummyfunction("""COMPUTED_VALUE"""),45414.6666666667)</f>
        <v>45414.6666666667</v>
      </c>
      <c r="B839" s="8" t="n">
        <f aca="false">IFERROR(__xludf.dummyfunction("""COMPUTED_VALUE"""),438.84)</f>
        <v>438.84</v>
      </c>
      <c r="C839" s="8" t="n">
        <f aca="false">IFERROR(__xludf.dummyfunction("""COMPUTED_VALUE"""),443.96)</f>
        <v>443.96</v>
      </c>
      <c r="D839" s="8" t="n">
        <f aca="false">IFERROR(__xludf.dummyfunction("""COMPUTED_VALUE"""),432.28)</f>
        <v>432.28</v>
      </c>
      <c r="E839" s="8" t="n">
        <f aca="false">IFERROR(__xludf.dummyfunction("""COMPUTED_VALUE"""),441.68)</f>
        <v>441.68</v>
      </c>
      <c r="F839" s="8" t="n">
        <f aca="false">IFERROR(__xludf.dummyfunction("""COMPUTED_VALUE"""),15221322)</f>
        <v>15221322</v>
      </c>
    </row>
    <row r="840" customFormat="false" ht="15.75" hidden="false" customHeight="false" outlineLevel="0" collapsed="false">
      <c r="A840" s="9" t="n">
        <f aca="false">IFERROR(__xludf.dummyfunction("""COMPUTED_VALUE"""),45415.6666666667)</f>
        <v>45415.6666666667</v>
      </c>
      <c r="B840" s="8" t="n">
        <f aca="false">IFERROR(__xludf.dummyfunction("""COMPUTED_VALUE"""),445.93)</f>
        <v>445.93</v>
      </c>
      <c r="C840" s="8" t="n">
        <f aca="false">IFERROR(__xludf.dummyfunction("""COMPUTED_VALUE"""),454.17)</f>
        <v>454.17</v>
      </c>
      <c r="D840" s="8" t="n">
        <f aca="false">IFERROR(__xludf.dummyfunction("""COMPUTED_VALUE"""),443.85)</f>
        <v>443.85</v>
      </c>
      <c r="E840" s="8" t="n">
        <f aca="false">IFERROR(__xludf.dummyfunction("""COMPUTED_VALUE"""),451.96)</f>
        <v>451.96</v>
      </c>
      <c r="F840" s="8" t="n">
        <f aca="false">IFERROR(__xludf.dummyfunction("""COMPUTED_VALUE"""),16489057)</f>
        <v>16489057</v>
      </c>
    </row>
    <row r="841" customFormat="false" ht="15.75" hidden="false" customHeight="false" outlineLevel="0" collapsed="false">
      <c r="A841" s="9" t="n">
        <f aca="false">IFERROR(__xludf.dummyfunction("""COMPUTED_VALUE"""),45418.6666666667)</f>
        <v>45418.6666666667</v>
      </c>
      <c r="B841" s="8" t="n">
        <f aca="false">IFERROR(__xludf.dummyfunction("""COMPUTED_VALUE"""),455.58)</f>
        <v>455.58</v>
      </c>
      <c r="C841" s="8" t="n">
        <f aca="false">IFERROR(__xludf.dummyfunction("""COMPUTED_VALUE"""),466.16)</f>
        <v>466.16</v>
      </c>
      <c r="D841" s="8" t="n">
        <f aca="false">IFERROR(__xludf.dummyfunction("""COMPUTED_VALUE"""),453.34)</f>
        <v>453.34</v>
      </c>
      <c r="E841" s="8" t="n">
        <f aca="false">IFERROR(__xludf.dummyfunction("""COMPUTED_VALUE"""),465.68)</f>
        <v>465.68</v>
      </c>
      <c r="F841" s="8" t="n">
        <f aca="false">IFERROR(__xludf.dummyfunction("""COMPUTED_VALUE"""),15094627)</f>
        <v>15094627</v>
      </c>
    </row>
    <row r="842" customFormat="false" ht="15.75" hidden="false" customHeight="false" outlineLevel="0" collapsed="false">
      <c r="A842" s="9" t="n">
        <f aca="false">IFERROR(__xludf.dummyfunction("""COMPUTED_VALUE"""),45419.6666666667)</f>
        <v>45419.6666666667</v>
      </c>
      <c r="B842" s="8" t="n">
        <f aca="false">IFERROR(__xludf.dummyfunction("""COMPUTED_VALUE"""),466.29)</f>
        <v>466.29</v>
      </c>
      <c r="C842" s="8" t="n">
        <f aca="false">IFERROR(__xludf.dummyfunction("""COMPUTED_VALUE"""),471.53)</f>
        <v>471.53</v>
      </c>
      <c r="D842" s="8" t="n">
        <f aca="false">IFERROR(__xludf.dummyfunction("""COMPUTED_VALUE"""),461.31)</f>
        <v>461.31</v>
      </c>
      <c r="E842" s="8" t="n">
        <f aca="false">IFERROR(__xludf.dummyfunction("""COMPUTED_VALUE"""),468.24)</f>
        <v>468.24</v>
      </c>
      <c r="F842" s="8" t="n">
        <f aca="false">IFERROR(__xludf.dummyfunction("""COMPUTED_VALUE"""),13406816)</f>
        <v>13406816</v>
      </c>
    </row>
    <row r="843" customFormat="false" ht="15.75" hidden="false" customHeight="false" outlineLevel="0" collapsed="false">
      <c r="A843" s="9" t="n">
        <f aca="false">IFERROR(__xludf.dummyfunction("""COMPUTED_VALUE"""),45420.6666666667)</f>
        <v>45420.6666666667</v>
      </c>
      <c r="B843" s="8" t="n">
        <f aca="false">IFERROR(__xludf.dummyfunction("""COMPUTED_VALUE"""),463.5)</f>
        <v>463.5</v>
      </c>
      <c r="C843" s="8" t="n">
        <f aca="false">IFERROR(__xludf.dummyfunction("""COMPUTED_VALUE"""),475.58)</f>
        <v>475.58</v>
      </c>
      <c r="D843" s="8" t="n">
        <f aca="false">IFERROR(__xludf.dummyfunction("""COMPUTED_VALUE"""),463)</f>
        <v>463</v>
      </c>
      <c r="E843" s="8" t="n">
        <f aca="false">IFERROR(__xludf.dummyfunction("""COMPUTED_VALUE"""),472.6)</f>
        <v>472.6</v>
      </c>
      <c r="F843" s="8" t="n">
        <f aca="false">IFERROR(__xludf.dummyfunction("""COMPUTED_VALUE"""),11683929)</f>
        <v>11683929</v>
      </c>
    </row>
    <row r="844" customFormat="false" ht="15.75" hidden="false" customHeight="false" outlineLevel="0" collapsed="false">
      <c r="A844" s="9" t="n">
        <f aca="false">IFERROR(__xludf.dummyfunction("""COMPUTED_VALUE"""),45421.6666666667)</f>
        <v>45421.6666666667</v>
      </c>
      <c r="B844" s="8" t="n">
        <f aca="false">IFERROR(__xludf.dummyfunction("""COMPUTED_VALUE"""),470)</f>
        <v>470</v>
      </c>
      <c r="C844" s="8" t="n">
        <f aca="false">IFERROR(__xludf.dummyfunction("""COMPUTED_VALUE"""),476.08)</f>
        <v>476.08</v>
      </c>
      <c r="D844" s="8" t="n">
        <f aca="false">IFERROR(__xludf.dummyfunction("""COMPUTED_VALUE"""),467.63)</f>
        <v>467.63</v>
      </c>
      <c r="E844" s="8" t="n">
        <f aca="false">IFERROR(__xludf.dummyfunction("""COMPUTED_VALUE"""),475.42)</f>
        <v>475.42</v>
      </c>
      <c r="F844" s="8" t="n">
        <f aca="false">IFERROR(__xludf.dummyfunction("""COMPUTED_VALUE"""),9437651)</f>
        <v>9437651</v>
      </c>
    </row>
    <row r="845" customFormat="false" ht="15.75" hidden="false" customHeight="false" outlineLevel="0" collapsed="false">
      <c r="A845" s="9" t="n">
        <f aca="false">IFERROR(__xludf.dummyfunction("""COMPUTED_VALUE"""),45422.6666666667)</f>
        <v>45422.6666666667</v>
      </c>
      <c r="B845" s="8" t="n">
        <f aca="false">IFERROR(__xludf.dummyfunction("""COMPUTED_VALUE"""),477.09)</f>
        <v>477.09</v>
      </c>
      <c r="C845" s="8" t="n">
        <f aca="false">IFERROR(__xludf.dummyfunction("""COMPUTED_VALUE"""),477.5)</f>
        <v>477.5</v>
      </c>
      <c r="D845" s="8" t="n">
        <f aca="false">IFERROR(__xludf.dummyfunction("""COMPUTED_VALUE"""),469.6)</f>
        <v>469.6</v>
      </c>
      <c r="E845" s="8" t="n">
        <f aca="false">IFERROR(__xludf.dummyfunction("""COMPUTED_VALUE"""),476.2)</f>
        <v>476.2</v>
      </c>
      <c r="F845" s="8" t="n">
        <f aca="false">IFERROR(__xludf.dummyfunction("""COMPUTED_VALUE"""),10749999)</f>
        <v>10749999</v>
      </c>
    </row>
    <row r="846" customFormat="false" ht="15.75" hidden="false" customHeight="false" outlineLevel="0" collapsed="false">
      <c r="A846" s="9" t="n">
        <f aca="false">IFERROR(__xludf.dummyfunction("""COMPUTED_VALUE"""),45425.6666666667)</f>
        <v>45425.6666666667</v>
      </c>
      <c r="B846" s="8" t="n">
        <f aca="false">IFERROR(__xludf.dummyfunction("""COMPUTED_VALUE"""),472.75)</f>
        <v>472.75</v>
      </c>
      <c r="C846" s="8" t="n">
        <f aca="false">IFERROR(__xludf.dummyfunction("""COMPUTED_VALUE"""),473.35)</f>
        <v>473.35</v>
      </c>
      <c r="D846" s="8" t="n">
        <f aca="false">IFERROR(__xludf.dummyfunction("""COMPUTED_VALUE"""),462.85)</f>
        <v>462.85</v>
      </c>
      <c r="E846" s="8" t="n">
        <f aca="false">IFERROR(__xludf.dummyfunction("""COMPUTED_VALUE"""),468.01)</f>
        <v>468.01</v>
      </c>
      <c r="F846" s="8" t="n">
        <f aca="false">IFERROR(__xludf.dummyfunction("""COMPUTED_VALUE"""),14668798)</f>
        <v>14668798</v>
      </c>
    </row>
    <row r="847" customFormat="false" ht="15.75" hidden="false" customHeight="false" outlineLevel="0" collapsed="false">
      <c r="A847" s="9" t="n">
        <f aca="false">IFERROR(__xludf.dummyfunction("""COMPUTED_VALUE"""),45426.6666666667)</f>
        <v>45426.6666666667</v>
      </c>
      <c r="B847" s="8" t="n">
        <f aca="false">IFERROR(__xludf.dummyfunction("""COMPUTED_VALUE"""),463.37)</f>
        <v>463.37</v>
      </c>
      <c r="C847" s="8" t="n">
        <f aca="false">IFERROR(__xludf.dummyfunction("""COMPUTED_VALUE"""),472.54)</f>
        <v>472.54</v>
      </c>
      <c r="D847" s="8" t="n">
        <f aca="false">IFERROR(__xludf.dummyfunction("""COMPUTED_VALUE"""),460.08)</f>
        <v>460.08</v>
      </c>
      <c r="E847" s="8" t="n">
        <f aca="false">IFERROR(__xludf.dummyfunction("""COMPUTED_VALUE"""),471.85)</f>
        <v>471.85</v>
      </c>
      <c r="F847" s="8" t="n">
        <f aca="false">IFERROR(__xludf.dummyfunction("""COMPUTED_VALUE"""),10478553)</f>
        <v>10478553</v>
      </c>
    </row>
    <row r="848" customFormat="false" ht="15.75" hidden="false" customHeight="false" outlineLevel="0" collapsed="false">
      <c r="A848" s="9" t="n">
        <f aca="false">IFERROR(__xludf.dummyfunction("""COMPUTED_VALUE"""),45427.6666666667)</f>
        <v>45427.6666666667</v>
      </c>
      <c r="B848" s="8" t="n">
        <f aca="false">IFERROR(__xludf.dummyfunction("""COMPUTED_VALUE"""),474.98)</f>
        <v>474.98</v>
      </c>
      <c r="C848" s="8" t="n">
        <f aca="false">IFERROR(__xludf.dummyfunction("""COMPUTED_VALUE"""),482.5)</f>
        <v>482.5</v>
      </c>
      <c r="D848" s="8" t="n">
        <f aca="false">IFERROR(__xludf.dummyfunction("""COMPUTED_VALUE"""),471.2)</f>
        <v>471.2</v>
      </c>
      <c r="E848" s="8" t="n">
        <f aca="false">IFERROR(__xludf.dummyfunction("""COMPUTED_VALUE"""),481.54)</f>
        <v>481.54</v>
      </c>
      <c r="F848" s="8" t="n">
        <f aca="false">IFERROR(__xludf.dummyfunction("""COMPUTED_VALUE"""),13100470)</f>
        <v>13100470</v>
      </c>
    </row>
    <row r="849" customFormat="false" ht="15.75" hidden="false" customHeight="false" outlineLevel="0" collapsed="false">
      <c r="A849" s="9" t="n">
        <f aca="false">IFERROR(__xludf.dummyfunction("""COMPUTED_VALUE"""),45428.6666666667)</f>
        <v>45428.6666666667</v>
      </c>
      <c r="B849" s="8" t="n">
        <f aca="false">IFERROR(__xludf.dummyfunction("""COMPUTED_VALUE"""),475)</f>
        <v>475</v>
      </c>
      <c r="C849" s="8" t="n">
        <f aca="false">IFERROR(__xludf.dummyfunction("""COMPUTED_VALUE"""),477.69)</f>
        <v>477.69</v>
      </c>
      <c r="D849" s="8" t="n">
        <f aca="false">IFERROR(__xludf.dummyfunction("""COMPUTED_VALUE"""),472.75)</f>
        <v>472.75</v>
      </c>
      <c r="E849" s="8" t="n">
        <f aca="false">IFERROR(__xludf.dummyfunction("""COMPUTED_VALUE"""),473.23)</f>
        <v>473.23</v>
      </c>
      <c r="F849" s="8" t="n">
        <f aca="false">IFERROR(__xludf.dummyfunction("""COMPUTED_VALUE"""),16608179)</f>
        <v>16608179</v>
      </c>
    </row>
    <row r="850" customFormat="false" ht="15.75" hidden="false" customHeight="false" outlineLevel="0" collapsed="false">
      <c r="A850" s="9" t="n">
        <f aca="false">IFERROR(__xludf.dummyfunction("""COMPUTED_VALUE"""),45429.6666666667)</f>
        <v>45429.6666666667</v>
      </c>
      <c r="B850" s="8" t="n">
        <f aca="false">IFERROR(__xludf.dummyfunction("""COMPUTED_VALUE"""),470.83)</f>
        <v>470.83</v>
      </c>
      <c r="C850" s="8" t="n">
        <f aca="false">IFERROR(__xludf.dummyfunction("""COMPUTED_VALUE"""),472.8)</f>
        <v>472.8</v>
      </c>
      <c r="D850" s="8" t="n">
        <f aca="false">IFERROR(__xludf.dummyfunction("""COMPUTED_VALUE"""),468.42)</f>
        <v>468.42</v>
      </c>
      <c r="E850" s="8" t="n">
        <f aca="false">IFERROR(__xludf.dummyfunction("""COMPUTED_VALUE"""),471.91)</f>
        <v>471.91</v>
      </c>
      <c r="F850" s="8" t="n">
        <f aca="false">IFERROR(__xludf.dummyfunction("""COMPUTED_VALUE"""),10807289)</f>
        <v>10807289</v>
      </c>
    </row>
    <row r="851" customFormat="false" ht="15.75" hidden="false" customHeight="false" outlineLevel="0" collapsed="false">
      <c r="A851" s="9" t="n">
        <f aca="false">IFERROR(__xludf.dummyfunction("""COMPUTED_VALUE"""),45432.6666666667)</f>
        <v>45432.6666666667</v>
      </c>
      <c r="B851" s="8" t="n">
        <f aca="false">IFERROR(__xludf.dummyfunction("""COMPUTED_VALUE"""),469.95)</f>
        <v>469.95</v>
      </c>
      <c r="C851" s="8" t="n">
        <f aca="false">IFERROR(__xludf.dummyfunction("""COMPUTED_VALUE"""),473.2)</f>
        <v>473.2</v>
      </c>
      <c r="D851" s="8" t="n">
        <f aca="false">IFERROR(__xludf.dummyfunction("""COMPUTED_VALUE"""),467.04)</f>
        <v>467.04</v>
      </c>
      <c r="E851" s="8" t="n">
        <f aca="false">IFERROR(__xludf.dummyfunction("""COMPUTED_VALUE"""),468.84)</f>
        <v>468.84</v>
      </c>
      <c r="F851" s="8" t="n">
        <f aca="false">IFERROR(__xludf.dummyfunction("""COMPUTED_VALUE"""),11745080)</f>
        <v>11745080</v>
      </c>
    </row>
    <row r="852" customFormat="false" ht="15.75" hidden="false" customHeight="false" outlineLevel="0" collapsed="false">
      <c r="A852" s="9" t="n">
        <f aca="false">IFERROR(__xludf.dummyfunction("""COMPUTED_VALUE"""),45433.6666666667)</f>
        <v>45433.6666666667</v>
      </c>
      <c r="B852" s="8" t="n">
        <f aca="false">IFERROR(__xludf.dummyfunction("""COMPUTED_VALUE"""),467.12)</f>
        <v>467.12</v>
      </c>
      <c r="C852" s="8" t="n">
        <f aca="false">IFERROR(__xludf.dummyfunction("""COMPUTED_VALUE"""),470.7)</f>
        <v>470.7</v>
      </c>
      <c r="D852" s="8" t="n">
        <f aca="false">IFERROR(__xludf.dummyfunction("""COMPUTED_VALUE"""),462.27)</f>
        <v>462.27</v>
      </c>
      <c r="E852" s="8" t="n">
        <f aca="false">IFERROR(__xludf.dummyfunction("""COMPUTED_VALUE"""),464.63)</f>
        <v>464.63</v>
      </c>
      <c r="F852" s="8" t="n">
        <f aca="false">IFERROR(__xludf.dummyfunction("""COMPUTED_VALUE"""),11742189)</f>
        <v>11742189</v>
      </c>
    </row>
    <row r="853" customFormat="false" ht="15.75" hidden="false" customHeight="false" outlineLevel="0" collapsed="false">
      <c r="A853" s="9" t="n">
        <f aca="false">IFERROR(__xludf.dummyfunction("""COMPUTED_VALUE"""),45434.6666666667)</f>
        <v>45434.6666666667</v>
      </c>
      <c r="B853" s="8" t="n">
        <f aca="false">IFERROR(__xludf.dummyfunction("""COMPUTED_VALUE"""),467.87)</f>
        <v>467.87</v>
      </c>
      <c r="C853" s="8" t="n">
        <f aca="false">IFERROR(__xludf.dummyfunction("""COMPUTED_VALUE"""),473.72)</f>
        <v>473.72</v>
      </c>
      <c r="D853" s="8" t="n">
        <f aca="false">IFERROR(__xludf.dummyfunction("""COMPUTED_VALUE"""),465.65)</f>
        <v>465.65</v>
      </c>
      <c r="E853" s="8" t="n">
        <f aca="false">IFERROR(__xludf.dummyfunction("""COMPUTED_VALUE"""),467.78)</f>
        <v>467.78</v>
      </c>
      <c r="F853" s="8" t="n">
        <f aca="false">IFERROR(__xludf.dummyfunction("""COMPUTED_VALUE"""),10078611)</f>
        <v>10078611</v>
      </c>
    </row>
    <row r="854" customFormat="false" ht="15.75" hidden="false" customHeight="false" outlineLevel="0" collapsed="false">
      <c r="A854" s="9" t="n">
        <f aca="false">IFERROR(__xludf.dummyfunction("""COMPUTED_VALUE"""),45435.6666666667)</f>
        <v>45435.6666666667</v>
      </c>
      <c r="B854" s="8" t="n">
        <f aca="false">IFERROR(__xludf.dummyfunction("""COMPUTED_VALUE"""),472.88)</f>
        <v>472.88</v>
      </c>
      <c r="C854" s="8" t="n">
        <f aca="false">IFERROR(__xludf.dummyfunction("""COMPUTED_VALUE"""),474.36)</f>
        <v>474.36</v>
      </c>
      <c r="D854" s="8" t="n">
        <f aca="false">IFERROR(__xludf.dummyfunction("""COMPUTED_VALUE"""),461.54)</f>
        <v>461.54</v>
      </c>
      <c r="E854" s="8" t="n">
        <f aca="false">IFERROR(__xludf.dummyfunction("""COMPUTED_VALUE"""),465.78)</f>
        <v>465.78</v>
      </c>
      <c r="F854" s="8" t="n">
        <f aca="false">IFERROR(__xludf.dummyfunction("""COMPUTED_VALUE"""),11747913)</f>
        <v>11747913</v>
      </c>
    </row>
    <row r="855" customFormat="false" ht="15.75" hidden="false" customHeight="false" outlineLevel="0" collapsed="false">
      <c r="A855" s="9" t="n">
        <f aca="false">IFERROR(__xludf.dummyfunction("""COMPUTED_VALUE"""),45436.6666666667)</f>
        <v>45436.6666666667</v>
      </c>
      <c r="B855" s="8" t="n">
        <f aca="false">IFERROR(__xludf.dummyfunction("""COMPUTED_VALUE"""),467.62)</f>
        <v>467.62</v>
      </c>
      <c r="C855" s="8" t="n">
        <f aca="false">IFERROR(__xludf.dummyfunction("""COMPUTED_VALUE"""),479.85)</f>
        <v>479.85</v>
      </c>
      <c r="D855" s="8" t="n">
        <f aca="false">IFERROR(__xludf.dummyfunction("""COMPUTED_VALUE"""),466.3)</f>
        <v>466.3</v>
      </c>
      <c r="E855" s="8" t="n">
        <f aca="false">IFERROR(__xludf.dummyfunction("""COMPUTED_VALUE"""),478.22)</f>
        <v>478.22</v>
      </c>
      <c r="F855" s="8" t="n">
        <f aca="false">IFERROR(__xludf.dummyfunction("""COMPUTED_VALUE"""),12024254)</f>
        <v>12024254</v>
      </c>
    </row>
    <row r="856" customFormat="false" ht="15.75" hidden="false" customHeight="false" outlineLevel="0" collapsed="false">
      <c r="A856" s="9" t="n">
        <f aca="false">IFERROR(__xludf.dummyfunction("""COMPUTED_VALUE"""),45440.6666666667)</f>
        <v>45440.6666666667</v>
      </c>
      <c r="B856" s="8" t="n">
        <f aca="false">IFERROR(__xludf.dummyfunction("""COMPUTED_VALUE"""),476.58)</f>
        <v>476.58</v>
      </c>
      <c r="C856" s="8" t="n">
        <f aca="false">IFERROR(__xludf.dummyfunction("""COMPUTED_VALUE"""),480.86)</f>
        <v>480.86</v>
      </c>
      <c r="D856" s="8" t="n">
        <f aca="false">IFERROR(__xludf.dummyfunction("""COMPUTED_VALUE"""),474.84)</f>
        <v>474.84</v>
      </c>
      <c r="E856" s="8" t="n">
        <f aca="false">IFERROR(__xludf.dummyfunction("""COMPUTED_VALUE"""),479.92)</f>
        <v>479.92</v>
      </c>
      <c r="F856" s="8" t="n">
        <f aca="false">IFERROR(__xludf.dummyfunction("""COMPUTED_VALUE"""),10175770)</f>
        <v>10175770</v>
      </c>
    </row>
    <row r="857" customFormat="false" ht="15.75" hidden="false" customHeight="false" outlineLevel="0" collapsed="false">
      <c r="A857" s="9" t="n">
        <f aca="false">IFERROR(__xludf.dummyfunction("""COMPUTED_VALUE"""),45441.6666666667)</f>
        <v>45441.6666666667</v>
      </c>
      <c r="B857" s="8" t="n">
        <f aca="false">IFERROR(__xludf.dummyfunction("""COMPUTED_VALUE"""),474.66)</f>
        <v>474.66</v>
      </c>
      <c r="C857" s="8" t="n">
        <f aca="false">IFERROR(__xludf.dummyfunction("""COMPUTED_VALUE"""),479.85)</f>
        <v>479.85</v>
      </c>
      <c r="D857" s="8" t="n">
        <f aca="false">IFERROR(__xludf.dummyfunction("""COMPUTED_VALUE"""),473.7)</f>
        <v>473.7</v>
      </c>
      <c r="E857" s="8" t="n">
        <f aca="false">IFERROR(__xludf.dummyfunction("""COMPUTED_VALUE"""),474.36)</f>
        <v>474.36</v>
      </c>
      <c r="F857" s="8" t="n">
        <f aca="false">IFERROR(__xludf.dummyfunction("""COMPUTED_VALUE"""),9226218)</f>
        <v>9226218</v>
      </c>
    </row>
    <row r="858" customFormat="false" ht="15.75" hidden="false" customHeight="false" outlineLevel="0" collapsed="false">
      <c r="A858" s="9" t="n">
        <f aca="false">IFERROR(__xludf.dummyfunction("""COMPUTED_VALUE"""),45442.6666666667)</f>
        <v>45442.6666666667</v>
      </c>
      <c r="B858" s="8" t="n">
        <f aca="false">IFERROR(__xludf.dummyfunction("""COMPUTED_VALUE"""),471.67)</f>
        <v>471.67</v>
      </c>
      <c r="C858" s="8" t="n">
        <f aca="false">IFERROR(__xludf.dummyfunction("""COMPUTED_VALUE"""),471.73)</f>
        <v>471.73</v>
      </c>
      <c r="D858" s="8" t="n">
        <f aca="false">IFERROR(__xludf.dummyfunction("""COMPUTED_VALUE"""),464.71)</f>
        <v>464.71</v>
      </c>
      <c r="E858" s="8" t="n">
        <f aca="false">IFERROR(__xludf.dummyfunction("""COMPUTED_VALUE"""),467.05)</f>
        <v>467.05</v>
      </c>
      <c r="F858" s="8" t="n">
        <f aca="false">IFERROR(__xludf.dummyfunction("""COMPUTED_VALUE"""),10735226)</f>
        <v>10735226</v>
      </c>
    </row>
    <row r="859" customFormat="false" ht="15.75" hidden="false" customHeight="false" outlineLevel="0" collapsed="false">
      <c r="A859" s="9" t="n">
        <f aca="false">IFERROR(__xludf.dummyfunction("""COMPUTED_VALUE"""),45443.6666666667)</f>
        <v>45443.6666666667</v>
      </c>
      <c r="B859" s="8" t="n">
        <f aca="false">IFERROR(__xludf.dummyfunction("""COMPUTED_VALUE"""),465.8)</f>
        <v>465.8</v>
      </c>
      <c r="C859" s="8" t="n">
        <f aca="false">IFERROR(__xludf.dummyfunction("""COMPUTED_VALUE"""),469.12)</f>
        <v>469.12</v>
      </c>
      <c r="D859" s="8" t="n">
        <f aca="false">IFERROR(__xludf.dummyfunction("""COMPUTED_VALUE"""),454.46)</f>
        <v>454.46</v>
      </c>
      <c r="E859" s="8" t="n">
        <f aca="false">IFERROR(__xludf.dummyfunction("""COMPUTED_VALUE"""),466.83)</f>
        <v>466.83</v>
      </c>
      <c r="F859" s="8" t="n">
        <f aca="false">IFERROR(__xludf.dummyfunction("""COMPUTED_VALUE"""),16919805)</f>
        <v>16919805</v>
      </c>
    </row>
    <row r="860" customFormat="false" ht="15.75" hidden="false" customHeight="false" outlineLevel="0" collapsed="false">
      <c r="A860" s="9" t="n">
        <f aca="false">IFERROR(__xludf.dummyfunction("""COMPUTED_VALUE"""),45446.6666666667)</f>
        <v>45446.6666666667</v>
      </c>
      <c r="B860" s="8" t="n">
        <f aca="false">IFERROR(__xludf.dummyfunction("""COMPUTED_VALUE"""),470.86)</f>
        <v>470.86</v>
      </c>
      <c r="C860" s="8" t="n">
        <f aca="false">IFERROR(__xludf.dummyfunction("""COMPUTED_VALUE"""),479.6)</f>
        <v>479.6</v>
      </c>
      <c r="D860" s="8" t="n">
        <f aca="false">IFERROR(__xludf.dummyfunction("""COMPUTED_VALUE"""),468.24)</f>
        <v>468.24</v>
      </c>
      <c r="E860" s="8" t="n">
        <f aca="false">IFERROR(__xludf.dummyfunction("""COMPUTED_VALUE"""),477.49)</f>
        <v>477.49</v>
      </c>
      <c r="F860" s="8" t="n">
        <f aca="false">IFERROR(__xludf.dummyfunction("""COMPUTED_VALUE"""),11279390)</f>
        <v>11279390</v>
      </c>
    </row>
    <row r="861" customFormat="false" ht="15.75" hidden="false" customHeight="false" outlineLevel="0" collapsed="false">
      <c r="A861" s="9" t="n">
        <f aca="false">IFERROR(__xludf.dummyfunction("""COMPUTED_VALUE"""),45447.6666666667)</f>
        <v>45447.6666666667</v>
      </c>
      <c r="B861" s="8" t="n">
        <f aca="false">IFERROR(__xludf.dummyfunction("""COMPUTED_VALUE"""),477)</f>
        <v>477</v>
      </c>
      <c r="C861" s="8" t="n">
        <f aca="false">IFERROR(__xludf.dummyfunction("""COMPUTED_VALUE"""),478.89)</f>
        <v>478.89</v>
      </c>
      <c r="D861" s="8" t="n">
        <f aca="false">IFERROR(__xludf.dummyfunction("""COMPUTED_VALUE"""),473.23)</f>
        <v>473.23</v>
      </c>
      <c r="E861" s="8" t="n">
        <f aca="false">IFERROR(__xludf.dummyfunction("""COMPUTED_VALUE"""),476.99)</f>
        <v>476.99</v>
      </c>
      <c r="F861" s="8" t="n">
        <f aca="false">IFERROR(__xludf.dummyfunction("""COMPUTED_VALUE"""),7088718)</f>
        <v>7088718</v>
      </c>
    </row>
    <row r="862" customFormat="false" ht="15.75" hidden="false" customHeight="false" outlineLevel="0" collapsed="false">
      <c r="A862" s="9" t="n">
        <f aca="false">IFERROR(__xludf.dummyfunction("""COMPUTED_VALUE"""),45448.6666666667)</f>
        <v>45448.6666666667</v>
      </c>
      <c r="B862" s="8" t="n">
        <f aca="false">IFERROR(__xludf.dummyfunction("""COMPUTED_VALUE"""),484.45)</f>
        <v>484.45</v>
      </c>
      <c r="C862" s="8" t="n">
        <f aca="false">IFERROR(__xludf.dummyfunction("""COMPUTED_VALUE"""),496.65)</f>
        <v>496.65</v>
      </c>
      <c r="D862" s="8" t="n">
        <f aca="false">IFERROR(__xludf.dummyfunction("""COMPUTED_VALUE"""),483.91)</f>
        <v>483.91</v>
      </c>
      <c r="E862" s="8" t="n">
        <f aca="false">IFERROR(__xludf.dummyfunction("""COMPUTED_VALUE"""),495.06)</f>
        <v>495.06</v>
      </c>
      <c r="F862" s="8" t="n">
        <f aca="false">IFERROR(__xludf.dummyfunction("""COMPUTED_VALUE"""),15690484)</f>
        <v>15690484</v>
      </c>
    </row>
    <row r="863" customFormat="false" ht="15.75" hidden="false" customHeight="false" outlineLevel="0" collapsed="false">
      <c r="A863" s="9" t="n">
        <f aca="false">IFERROR(__xludf.dummyfunction("""COMPUTED_VALUE"""),45449.6666666667)</f>
        <v>45449.6666666667</v>
      </c>
      <c r="B863" s="8" t="n">
        <f aca="false">IFERROR(__xludf.dummyfunction("""COMPUTED_VALUE"""),492.98)</f>
        <v>492.98</v>
      </c>
      <c r="C863" s="8" t="n">
        <f aca="false">IFERROR(__xludf.dummyfunction("""COMPUTED_VALUE"""),502.82)</f>
        <v>502.82</v>
      </c>
      <c r="D863" s="8" t="n">
        <f aca="false">IFERROR(__xludf.dummyfunction("""COMPUTED_VALUE"""),490.89)</f>
        <v>490.89</v>
      </c>
      <c r="E863" s="8" t="n">
        <f aca="false">IFERROR(__xludf.dummyfunction("""COMPUTED_VALUE"""),493.76)</f>
        <v>493.76</v>
      </c>
      <c r="F863" s="8" t="n">
        <f aca="false">IFERROR(__xludf.dummyfunction("""COMPUTED_VALUE"""),10667339)</f>
        <v>10667339</v>
      </c>
    </row>
    <row r="864" customFormat="false" ht="15.75" hidden="false" customHeight="false" outlineLevel="0" collapsed="false">
      <c r="A864" s="9" t="n">
        <f aca="false">IFERROR(__xludf.dummyfunction("""COMPUTED_VALUE"""),45450.6666666667)</f>
        <v>45450.6666666667</v>
      </c>
      <c r="B864" s="8" t="n">
        <f aca="false">IFERROR(__xludf.dummyfunction("""COMPUTED_VALUE"""),495.91)</f>
        <v>495.91</v>
      </c>
      <c r="C864" s="8" t="n">
        <f aca="false">IFERROR(__xludf.dummyfunction("""COMPUTED_VALUE"""),498.91)</f>
        <v>498.91</v>
      </c>
      <c r="D864" s="8" t="n">
        <f aca="false">IFERROR(__xludf.dummyfunction("""COMPUTED_VALUE"""),490.17)</f>
        <v>490.17</v>
      </c>
      <c r="E864" s="8" t="n">
        <f aca="false">IFERROR(__xludf.dummyfunction("""COMPUTED_VALUE"""),492.96)</f>
        <v>492.96</v>
      </c>
      <c r="F864" s="8" t="n">
        <f aca="false">IFERROR(__xludf.dummyfunction("""COMPUTED_VALUE"""),9380745)</f>
        <v>9380745</v>
      </c>
    </row>
    <row r="865" customFormat="false" ht="15.75" hidden="false" customHeight="false" outlineLevel="0" collapsed="false">
      <c r="A865" s="9" t="n">
        <f aca="false">IFERROR(__xludf.dummyfunction("""COMPUTED_VALUE"""),45453.6666666667)</f>
        <v>45453.6666666667</v>
      </c>
      <c r="B865" s="8" t="n">
        <f aca="false">IFERROR(__xludf.dummyfunction("""COMPUTED_VALUE"""),493.86)</f>
        <v>493.86</v>
      </c>
      <c r="C865" s="8" t="n">
        <f aca="false">IFERROR(__xludf.dummyfunction("""COMPUTED_VALUE"""),502.66)</f>
        <v>502.66</v>
      </c>
      <c r="D865" s="8" t="n">
        <f aca="false">IFERROR(__xludf.dummyfunction("""COMPUTED_VALUE"""),493.41)</f>
        <v>493.41</v>
      </c>
      <c r="E865" s="8" t="n">
        <f aca="false">IFERROR(__xludf.dummyfunction("""COMPUTED_VALUE"""),502.6)</f>
        <v>502.6</v>
      </c>
      <c r="F865" s="8" t="n">
        <f aca="false">IFERROR(__xludf.dummyfunction("""COMPUTED_VALUE"""),11236919)</f>
        <v>11236919</v>
      </c>
    </row>
    <row r="866" customFormat="false" ht="15.75" hidden="false" customHeight="false" outlineLevel="0" collapsed="false">
      <c r="A866" s="9" t="n">
        <f aca="false">IFERROR(__xludf.dummyfunction("""COMPUTED_VALUE"""),45454.6666666667)</f>
        <v>45454.6666666667</v>
      </c>
      <c r="B866" s="8" t="n">
        <f aca="false">IFERROR(__xludf.dummyfunction("""COMPUTED_VALUE"""),500.16)</f>
        <v>500.16</v>
      </c>
      <c r="C866" s="8" t="n">
        <f aca="false">IFERROR(__xludf.dummyfunction("""COMPUTED_VALUE"""),507.6)</f>
        <v>507.6</v>
      </c>
      <c r="D866" s="8" t="n">
        <f aca="false">IFERROR(__xludf.dummyfunction("""COMPUTED_VALUE"""),498.27)</f>
        <v>498.27</v>
      </c>
      <c r="E866" s="8" t="n">
        <f aca="false">IFERROR(__xludf.dummyfunction("""COMPUTED_VALUE"""),507.47)</f>
        <v>507.47</v>
      </c>
      <c r="F866" s="8" t="n">
        <f aca="false">IFERROR(__xludf.dummyfunction("""COMPUTED_VALUE"""),9673715)</f>
        <v>9673715</v>
      </c>
    </row>
    <row r="867" customFormat="false" ht="15.75" hidden="false" customHeight="false" outlineLevel="0" collapsed="false">
      <c r="A867" s="9" t="n">
        <f aca="false">IFERROR(__xludf.dummyfunction("""COMPUTED_VALUE"""),45455.6666666667)</f>
        <v>45455.6666666667</v>
      </c>
      <c r="B867" s="8" t="n">
        <f aca="false">IFERROR(__xludf.dummyfunction("""COMPUTED_VALUE"""),513.99)</f>
        <v>513.99</v>
      </c>
      <c r="C867" s="8" t="n">
        <f aca="false">IFERROR(__xludf.dummyfunction("""COMPUTED_VALUE"""),514.01)</f>
        <v>514.01</v>
      </c>
      <c r="D867" s="8" t="n">
        <f aca="false">IFERROR(__xludf.dummyfunction("""COMPUTED_VALUE"""),504.47)</f>
        <v>504.47</v>
      </c>
      <c r="E867" s="8" t="n">
        <f aca="false">IFERROR(__xludf.dummyfunction("""COMPUTED_VALUE"""),508.84)</f>
        <v>508.84</v>
      </c>
      <c r="F867" s="8" t="n">
        <f aca="false">IFERROR(__xludf.dummyfunction("""COMPUTED_VALUE"""),11983227)</f>
        <v>11983227</v>
      </c>
    </row>
    <row r="868" customFormat="false" ht="15.75" hidden="false" customHeight="false" outlineLevel="0" collapsed="false">
      <c r="A868" s="9" t="n">
        <f aca="false">IFERROR(__xludf.dummyfunction("""COMPUTED_VALUE"""),45456.6666666667)</f>
        <v>45456.6666666667</v>
      </c>
      <c r="B868" s="8" t="n">
        <f aca="false">IFERROR(__xludf.dummyfunction("""COMPUTED_VALUE"""),505.71)</f>
        <v>505.71</v>
      </c>
      <c r="C868" s="8" t="n">
        <f aca="false">IFERROR(__xludf.dummyfunction("""COMPUTED_VALUE"""),509.36)</f>
        <v>509.36</v>
      </c>
      <c r="D868" s="8" t="n">
        <f aca="false">IFERROR(__xludf.dummyfunction("""COMPUTED_VALUE"""),501.36)</f>
        <v>501.36</v>
      </c>
      <c r="E868" s="8" t="n">
        <f aca="false">IFERROR(__xludf.dummyfunction("""COMPUTED_VALUE"""),504.1)</f>
        <v>504.1</v>
      </c>
      <c r="F868" s="8" t="n">
        <f aca="false">IFERROR(__xludf.dummyfunction("""COMPUTED_VALUE"""),9954621)</f>
        <v>9954621</v>
      </c>
    </row>
    <row r="869" customFormat="false" ht="15.75" hidden="false" customHeight="false" outlineLevel="0" collapsed="false">
      <c r="A869" s="9" t="n">
        <f aca="false">IFERROR(__xludf.dummyfunction("""COMPUTED_VALUE"""),45457.6666666667)</f>
        <v>45457.6666666667</v>
      </c>
      <c r="B869" s="8" t="n">
        <f aca="false">IFERROR(__xludf.dummyfunction("""COMPUTED_VALUE"""),502.65)</f>
        <v>502.65</v>
      </c>
      <c r="C869" s="8" t="n">
        <f aca="false">IFERROR(__xludf.dummyfunction("""COMPUTED_VALUE"""),507.15)</f>
        <v>507.15</v>
      </c>
      <c r="D869" s="8" t="n">
        <f aca="false">IFERROR(__xludf.dummyfunction("""COMPUTED_VALUE"""),500.75)</f>
        <v>500.75</v>
      </c>
      <c r="E869" s="8" t="n">
        <f aca="false">IFERROR(__xludf.dummyfunction("""COMPUTED_VALUE"""),504.16)</f>
        <v>504.16</v>
      </c>
      <c r="F869" s="8" t="n">
        <f aca="false">IFERROR(__xludf.dummyfunction("""COMPUTED_VALUE"""),10243347)</f>
        <v>10243347</v>
      </c>
    </row>
    <row r="870" customFormat="false" ht="15.75" hidden="false" customHeight="false" outlineLevel="0" collapsed="false">
      <c r="A870" s="9" t="n">
        <f aca="false">IFERROR(__xludf.dummyfunction("""COMPUTED_VALUE"""),45460.6666666667)</f>
        <v>45460.6666666667</v>
      </c>
      <c r="B870" s="8" t="n">
        <f aca="false">IFERROR(__xludf.dummyfunction("""COMPUTED_VALUE"""),501.67)</f>
        <v>501.67</v>
      </c>
      <c r="C870" s="8" t="n">
        <f aca="false">IFERROR(__xludf.dummyfunction("""COMPUTED_VALUE"""),510.75)</f>
        <v>510.75</v>
      </c>
      <c r="D870" s="8" t="n">
        <f aca="false">IFERROR(__xludf.dummyfunction("""COMPUTED_VALUE"""),496.01)</f>
        <v>496.01</v>
      </c>
      <c r="E870" s="8" t="n">
        <f aca="false">IFERROR(__xludf.dummyfunction("""COMPUTED_VALUE"""),506.63)</f>
        <v>506.63</v>
      </c>
      <c r="F870" s="8" t="n">
        <f aca="false">IFERROR(__xludf.dummyfunction("""COMPUTED_VALUE"""),11266601)</f>
        <v>11266601</v>
      </c>
    </row>
    <row r="871" customFormat="false" ht="15.75" hidden="false" customHeight="false" outlineLevel="0" collapsed="false">
      <c r="A871" s="9" t="n">
        <f aca="false">IFERROR(__xludf.dummyfunction("""COMPUTED_VALUE"""),45461.6666666667)</f>
        <v>45461.6666666667</v>
      </c>
      <c r="B871" s="8" t="n">
        <f aca="false">IFERROR(__xludf.dummyfunction("""COMPUTED_VALUE"""),504.56)</f>
        <v>504.56</v>
      </c>
      <c r="C871" s="8" t="n">
        <f aca="false">IFERROR(__xludf.dummyfunction("""COMPUTED_VALUE"""),506)</f>
        <v>506</v>
      </c>
      <c r="D871" s="8" t="n">
        <f aca="false">IFERROR(__xludf.dummyfunction("""COMPUTED_VALUE"""),495.02)</f>
        <v>495.02</v>
      </c>
      <c r="E871" s="8" t="n">
        <f aca="false">IFERROR(__xludf.dummyfunction("""COMPUTED_VALUE"""),499.49)</f>
        <v>499.49</v>
      </c>
      <c r="F871" s="8" t="n">
        <f aca="false">IFERROR(__xludf.dummyfunction("""COMPUTED_VALUE"""),13060425)</f>
        <v>13060425</v>
      </c>
    </row>
    <row r="872" customFormat="false" ht="15.75" hidden="false" customHeight="false" outlineLevel="0" collapsed="false">
      <c r="A872" s="9" t="n">
        <f aca="false">IFERROR(__xludf.dummyfunction("""COMPUTED_VALUE"""),45463.6666666667)</f>
        <v>45463.6666666667</v>
      </c>
      <c r="B872" s="8" t="n">
        <f aca="false">IFERROR(__xludf.dummyfunction("""COMPUTED_VALUE"""),502)</f>
        <v>502</v>
      </c>
      <c r="C872" s="8" t="n">
        <f aca="false">IFERROR(__xludf.dummyfunction("""COMPUTED_VALUE"""),503.67)</f>
        <v>503.67</v>
      </c>
      <c r="D872" s="8" t="n">
        <f aca="false">IFERROR(__xludf.dummyfunction("""COMPUTED_VALUE"""),496.77)</f>
        <v>496.77</v>
      </c>
      <c r="E872" s="8" t="n">
        <f aca="false">IFERROR(__xludf.dummyfunction("""COMPUTED_VALUE"""),501.7)</f>
        <v>501.7</v>
      </c>
      <c r="F872" s="8" t="n">
        <f aca="false">IFERROR(__xludf.dummyfunction("""COMPUTED_VALUE"""),11801182)</f>
        <v>11801182</v>
      </c>
    </row>
    <row r="873" customFormat="false" ht="15.75" hidden="false" customHeight="false" outlineLevel="0" collapsed="false">
      <c r="A873" s="9" t="n">
        <f aca="false">IFERROR(__xludf.dummyfunction("""COMPUTED_VALUE"""),45464.6666666667)</f>
        <v>45464.6666666667</v>
      </c>
      <c r="B873" s="8" t="n">
        <f aca="false">IFERROR(__xludf.dummyfunction("""COMPUTED_VALUE"""),503.45)</f>
        <v>503.45</v>
      </c>
      <c r="C873" s="8" t="n">
        <f aca="false">IFERROR(__xludf.dummyfunction("""COMPUTED_VALUE"""),503.45)</f>
        <v>503.45</v>
      </c>
      <c r="D873" s="8" t="n">
        <f aca="false">IFERROR(__xludf.dummyfunction("""COMPUTED_VALUE"""),492.39)</f>
        <v>492.39</v>
      </c>
      <c r="E873" s="8" t="n">
        <f aca="false">IFERROR(__xludf.dummyfunction("""COMPUTED_VALUE"""),494.78)</f>
        <v>494.78</v>
      </c>
      <c r="F873" s="8" t="n">
        <f aca="false">IFERROR(__xludf.dummyfunction("""COMPUTED_VALUE"""),23130732)</f>
        <v>23130732</v>
      </c>
    </row>
    <row r="874" customFormat="false" ht="15.75" hidden="false" customHeight="false" outlineLevel="0" collapsed="false">
      <c r="A874" s="9" t="n">
        <f aca="false">IFERROR(__xludf.dummyfunction("""COMPUTED_VALUE"""),45467.6666666667)</f>
        <v>45467.6666666667</v>
      </c>
      <c r="B874" s="8" t="n">
        <f aca="false">IFERROR(__xludf.dummyfunction("""COMPUTED_VALUE"""),499.2)</f>
        <v>499.2</v>
      </c>
      <c r="C874" s="8" t="n">
        <f aca="false">IFERROR(__xludf.dummyfunction("""COMPUTED_VALUE"""),507.8)</f>
        <v>507.8</v>
      </c>
      <c r="D874" s="8" t="n">
        <f aca="false">IFERROR(__xludf.dummyfunction("""COMPUTED_VALUE"""),494.29)</f>
        <v>494.29</v>
      </c>
      <c r="E874" s="8" t="n">
        <f aca="false">IFERROR(__xludf.dummyfunction("""COMPUTED_VALUE"""),498.91)</f>
        <v>498.91</v>
      </c>
      <c r="F874" s="8" t="n">
        <f aca="false">IFERROR(__xludf.dummyfunction("""COMPUTED_VALUE"""),13525278)</f>
        <v>13525278</v>
      </c>
    </row>
    <row r="875" customFormat="false" ht="15.75" hidden="false" customHeight="false" outlineLevel="0" collapsed="false">
      <c r="A875" s="9" t="n">
        <f aca="false">IFERROR(__xludf.dummyfunction("""COMPUTED_VALUE"""),45468.6666666667)</f>
        <v>45468.6666666667</v>
      </c>
      <c r="B875" s="8" t="n">
        <f aca="false">IFERROR(__xludf.dummyfunction("""COMPUTED_VALUE"""),497.05)</f>
        <v>497.05</v>
      </c>
      <c r="C875" s="8" t="n">
        <f aca="false">IFERROR(__xludf.dummyfunction("""COMPUTED_VALUE"""),510.71)</f>
        <v>510.71</v>
      </c>
      <c r="D875" s="8" t="n">
        <f aca="false">IFERROR(__xludf.dummyfunction("""COMPUTED_VALUE"""),495.5)</f>
        <v>495.5</v>
      </c>
      <c r="E875" s="8" t="n">
        <f aca="false">IFERROR(__xludf.dummyfunction("""COMPUTED_VALUE"""),510.6)</f>
        <v>510.6</v>
      </c>
      <c r="F875" s="8" t="n">
        <f aca="false">IFERROR(__xludf.dummyfunction("""COMPUTED_VALUE"""),12109769)</f>
        <v>12109769</v>
      </c>
    </row>
    <row r="876" customFormat="false" ht="15.75" hidden="false" customHeight="false" outlineLevel="0" collapsed="false">
      <c r="A876" s="9" t="n">
        <f aca="false">IFERROR(__xludf.dummyfunction("""COMPUTED_VALUE"""),45469.6666666667)</f>
        <v>45469.6666666667</v>
      </c>
      <c r="B876" s="8" t="n">
        <f aca="false">IFERROR(__xludf.dummyfunction("""COMPUTED_VALUE"""),506.65)</f>
        <v>506.65</v>
      </c>
      <c r="C876" s="8" t="n">
        <f aca="false">IFERROR(__xludf.dummyfunction("""COMPUTED_VALUE"""),513.81)</f>
        <v>513.81</v>
      </c>
      <c r="D876" s="8" t="n">
        <f aca="false">IFERROR(__xludf.dummyfunction("""COMPUTED_VALUE"""),504.68)</f>
        <v>504.68</v>
      </c>
      <c r="E876" s="8" t="n">
        <f aca="false">IFERROR(__xludf.dummyfunction("""COMPUTED_VALUE"""),513.12)</f>
        <v>513.12</v>
      </c>
      <c r="F876" s="8" t="n">
        <f aca="false">IFERROR(__xludf.dummyfunction("""COMPUTED_VALUE"""),8882337)</f>
        <v>8882337</v>
      </c>
    </row>
    <row r="877" customFormat="false" ht="15.75" hidden="false" customHeight="false" outlineLevel="0" collapsed="false">
      <c r="A877" s="9" t="n">
        <f aca="false">IFERROR(__xludf.dummyfunction("""COMPUTED_VALUE"""),45470.6666666667)</f>
        <v>45470.6666666667</v>
      </c>
      <c r="B877" s="8" t="n">
        <f aca="false">IFERROR(__xludf.dummyfunction("""COMPUTED_VALUE"""),514.25)</f>
        <v>514.25</v>
      </c>
      <c r="C877" s="8" t="n">
        <f aca="false">IFERROR(__xludf.dummyfunction("""COMPUTED_VALUE"""),522.88)</f>
        <v>522.88</v>
      </c>
      <c r="D877" s="8" t="n">
        <f aca="false">IFERROR(__xludf.dummyfunction("""COMPUTED_VALUE"""),513.9)</f>
        <v>513.9</v>
      </c>
      <c r="E877" s="8" t="n">
        <f aca="false">IFERROR(__xludf.dummyfunction("""COMPUTED_VALUE"""),519.56)</f>
        <v>519.56</v>
      </c>
      <c r="F877" s="8" t="n">
        <f aca="false">IFERROR(__xludf.dummyfunction("""COMPUTED_VALUE"""),10121199)</f>
        <v>10121199</v>
      </c>
    </row>
    <row r="878" customFormat="false" ht="15.75" hidden="false" customHeight="false" outlineLevel="0" collapsed="false">
      <c r="A878" s="9" t="n">
        <f aca="false">IFERROR(__xludf.dummyfunction("""COMPUTED_VALUE"""),45471.6666666667)</f>
        <v>45471.6666666667</v>
      </c>
      <c r="B878" s="8" t="n">
        <f aca="false">IFERROR(__xludf.dummyfunction("""COMPUTED_VALUE"""),517.15)</f>
        <v>517.15</v>
      </c>
      <c r="C878" s="8" t="n">
        <f aca="false">IFERROR(__xludf.dummyfunction("""COMPUTED_VALUE"""),521.88)</f>
        <v>521.88</v>
      </c>
      <c r="D878" s="8" t="n">
        <f aca="false">IFERROR(__xludf.dummyfunction("""COMPUTED_VALUE"""),503.84)</f>
        <v>503.84</v>
      </c>
      <c r="E878" s="8" t="n">
        <f aca="false">IFERROR(__xludf.dummyfunction("""COMPUTED_VALUE"""),504.22)</f>
        <v>504.22</v>
      </c>
      <c r="F878" s="8" t="n">
        <f aca="false">IFERROR(__xludf.dummyfunction("""COMPUTED_VALUE"""),15855137)</f>
        <v>15855137</v>
      </c>
    </row>
    <row r="879" customFormat="false" ht="15.75" hidden="false" customHeight="false" outlineLevel="0" collapsed="false">
      <c r="A879" s="9" t="n">
        <f aca="false">IFERROR(__xludf.dummyfunction("""COMPUTED_VALUE"""),45474.6666666667)</f>
        <v>45474.6666666667</v>
      </c>
      <c r="B879" s="8" t="n">
        <f aca="false">IFERROR(__xludf.dummyfunction("""COMPUTED_VALUE"""),504.95)</f>
        <v>504.95</v>
      </c>
      <c r="C879" s="8" t="n">
        <f aca="false">IFERROR(__xludf.dummyfunction("""COMPUTED_VALUE"""),506.58)</f>
        <v>506.58</v>
      </c>
      <c r="D879" s="8" t="n">
        <f aca="false">IFERROR(__xludf.dummyfunction("""COMPUTED_VALUE"""),493.17)</f>
        <v>493.17</v>
      </c>
      <c r="E879" s="8" t="n">
        <f aca="false">IFERROR(__xludf.dummyfunction("""COMPUTED_VALUE"""),504.68)</f>
        <v>504.68</v>
      </c>
      <c r="F879" s="8" t="n">
        <f aca="false">IFERROR(__xludf.dummyfunction("""COMPUTED_VALUE"""),10328150)</f>
        <v>10328150</v>
      </c>
    </row>
    <row r="880" customFormat="false" ht="15.75" hidden="false" customHeight="false" outlineLevel="0" collapsed="false">
      <c r="A880" s="9" t="n">
        <f aca="false">IFERROR(__xludf.dummyfunction("""COMPUTED_VALUE"""),45475.6666666667)</f>
        <v>45475.6666666667</v>
      </c>
      <c r="B880" s="8" t="n">
        <f aca="false">IFERROR(__xludf.dummyfunction("""COMPUTED_VALUE"""),500.76)</f>
        <v>500.76</v>
      </c>
      <c r="C880" s="8" t="n">
        <f aca="false">IFERROR(__xludf.dummyfunction("""COMPUTED_VALUE"""),510.5)</f>
        <v>510.5</v>
      </c>
      <c r="D880" s="8" t="n">
        <f aca="false">IFERROR(__xludf.dummyfunction("""COMPUTED_VALUE"""),499.45)</f>
        <v>499.45</v>
      </c>
      <c r="E880" s="8" t="n">
        <f aca="false">IFERROR(__xludf.dummyfunction("""COMPUTED_VALUE"""),509.5)</f>
        <v>509.5</v>
      </c>
      <c r="F880" s="8" t="n">
        <f aca="false">IFERROR(__xludf.dummyfunction("""COMPUTED_VALUE"""),7739479)</f>
        <v>7739479</v>
      </c>
    </row>
    <row r="881" customFormat="false" ht="15.75" hidden="false" customHeight="false" outlineLevel="0" collapsed="false">
      <c r="A881" s="9" t="n">
        <f aca="false">IFERROR(__xludf.dummyfunction("""COMPUTED_VALUE"""),45476.5451388889)</f>
        <v>45476.5451388889</v>
      </c>
      <c r="B881" s="8" t="n">
        <f aca="false">IFERROR(__xludf.dummyfunction("""COMPUTED_VALUE"""),506.37)</f>
        <v>506.37</v>
      </c>
      <c r="C881" s="8" t="n">
        <f aca="false">IFERROR(__xludf.dummyfunction("""COMPUTED_VALUE"""),511.28)</f>
        <v>511.28</v>
      </c>
      <c r="D881" s="8" t="n">
        <f aca="false">IFERROR(__xludf.dummyfunction("""COMPUTED_VALUE"""),506.02)</f>
        <v>506.02</v>
      </c>
      <c r="E881" s="8" t="n">
        <f aca="false">IFERROR(__xludf.dummyfunction("""COMPUTED_VALUE"""),509.96)</f>
        <v>509.96</v>
      </c>
      <c r="F881" s="8" t="n">
        <f aca="false">IFERROR(__xludf.dummyfunction("""COMPUTED_VALUE"""),6005615)</f>
        <v>6005615</v>
      </c>
    </row>
    <row r="882" customFormat="false" ht="15.75" hidden="false" customHeight="false" outlineLevel="0" collapsed="false">
      <c r="A882" s="9" t="n">
        <f aca="false">IFERROR(__xludf.dummyfunction("""COMPUTED_VALUE"""),45478.6666666667)</f>
        <v>45478.6666666667</v>
      </c>
      <c r="B882" s="8" t="n">
        <f aca="false">IFERROR(__xludf.dummyfunction("""COMPUTED_VALUE"""),511.6)</f>
        <v>511.6</v>
      </c>
      <c r="C882" s="8" t="n">
        <f aca="false">IFERROR(__xludf.dummyfunction("""COMPUTED_VALUE"""),540.87)</f>
        <v>540.87</v>
      </c>
      <c r="D882" s="8" t="n">
        <f aca="false">IFERROR(__xludf.dummyfunction("""COMPUTED_VALUE"""),511.6)</f>
        <v>511.6</v>
      </c>
      <c r="E882" s="8" t="n">
        <f aca="false">IFERROR(__xludf.dummyfunction("""COMPUTED_VALUE"""),539.91)</f>
        <v>539.91</v>
      </c>
      <c r="F882" s="8" t="n">
        <f aca="false">IFERROR(__xludf.dummyfunction("""COMPUTED_VALUE"""),21354093)</f>
        <v>21354093</v>
      </c>
    </row>
    <row r="883" customFormat="false" ht="15.75" hidden="false" customHeight="false" outlineLevel="0" collapsed="false">
      <c r="A883" s="9" t="n">
        <f aca="false">IFERROR(__xludf.dummyfunction("""COMPUTED_VALUE"""),45481.6666666667)</f>
        <v>45481.6666666667</v>
      </c>
      <c r="B883" s="8" t="n">
        <f aca="false">IFERROR(__xludf.dummyfunction("""COMPUTED_VALUE"""),542.35)</f>
        <v>542.35</v>
      </c>
      <c r="C883" s="8" t="n">
        <f aca="false">IFERROR(__xludf.dummyfunction("""COMPUTED_VALUE"""),542.81)</f>
        <v>542.81</v>
      </c>
      <c r="D883" s="8" t="n">
        <f aca="false">IFERROR(__xludf.dummyfunction("""COMPUTED_VALUE"""),526.65)</f>
        <v>526.65</v>
      </c>
      <c r="E883" s="8" t="n">
        <f aca="false">IFERROR(__xludf.dummyfunction("""COMPUTED_VALUE"""),529.32)</f>
        <v>529.32</v>
      </c>
      <c r="F883" s="8" t="n">
        <f aca="false">IFERROR(__xludf.dummyfunction("""COMPUTED_VALUE"""),14917495)</f>
        <v>14917495</v>
      </c>
    </row>
    <row r="884" customFormat="false" ht="15.75" hidden="false" customHeight="false" outlineLevel="0" collapsed="false">
      <c r="A884" s="9" t="n">
        <f aca="false">IFERROR(__xludf.dummyfunction("""COMPUTED_VALUE"""),45482.6666666667)</f>
        <v>45482.6666666667</v>
      </c>
      <c r="B884" s="8" t="n">
        <f aca="false">IFERROR(__xludf.dummyfunction("""COMPUTED_VALUE"""),533.75)</f>
        <v>533.75</v>
      </c>
      <c r="C884" s="8" t="n">
        <f aca="false">IFERROR(__xludf.dummyfunction("""COMPUTED_VALUE"""),537.48)</f>
        <v>537.48</v>
      </c>
      <c r="D884" s="8" t="n">
        <f aca="false">IFERROR(__xludf.dummyfunction("""COMPUTED_VALUE"""),528.19)</f>
        <v>528.19</v>
      </c>
      <c r="E884" s="8" t="n">
        <f aca="false">IFERROR(__xludf.dummyfunction("""COMPUTED_VALUE"""),530)</f>
        <v>530</v>
      </c>
      <c r="F884" s="8" t="n">
        <f aca="false">IFERROR(__xludf.dummyfunction("""COMPUTED_VALUE"""),8769088)</f>
        <v>8769088</v>
      </c>
    </row>
    <row r="885" customFormat="false" ht="15.75" hidden="false" customHeight="false" outlineLevel="0" collapsed="false">
      <c r="A885" s="9" t="n">
        <f aca="false">IFERROR(__xludf.dummyfunction("""COMPUTED_VALUE"""),45483.6666666667)</f>
        <v>45483.6666666667</v>
      </c>
      <c r="B885" s="8" t="n">
        <f aca="false">IFERROR(__xludf.dummyfunction("""COMPUTED_VALUE"""),530.79)</f>
        <v>530.79</v>
      </c>
      <c r="C885" s="8" t="n">
        <f aca="false">IFERROR(__xludf.dummyfunction("""COMPUTED_VALUE"""),538.88)</f>
        <v>538.88</v>
      </c>
      <c r="D885" s="8" t="n">
        <f aca="false">IFERROR(__xludf.dummyfunction("""COMPUTED_VALUE"""),528.36)</f>
        <v>528.36</v>
      </c>
      <c r="E885" s="8" t="n">
        <f aca="false">IFERROR(__xludf.dummyfunction("""COMPUTED_VALUE"""),534.69)</f>
        <v>534.69</v>
      </c>
      <c r="F885" s="8" t="n">
        <f aca="false">IFERROR(__xludf.dummyfunction("""COMPUTED_VALUE"""),10983276)</f>
        <v>10983276</v>
      </c>
    </row>
    <row r="886" customFormat="false" ht="15.75" hidden="false" customHeight="false" outlineLevel="0" collapsed="false">
      <c r="A886" s="9" t="n">
        <f aca="false">IFERROR(__xludf.dummyfunction("""COMPUTED_VALUE"""),45484.6666666667)</f>
        <v>45484.6666666667</v>
      </c>
      <c r="B886" s="8" t="n">
        <f aca="false">IFERROR(__xludf.dummyfunction("""COMPUTED_VALUE"""),530.89)</f>
        <v>530.89</v>
      </c>
      <c r="C886" s="8" t="n">
        <f aca="false">IFERROR(__xludf.dummyfunction("""COMPUTED_VALUE"""),535.46)</f>
        <v>535.46</v>
      </c>
      <c r="D886" s="8" t="n">
        <f aca="false">IFERROR(__xludf.dummyfunction("""COMPUTED_VALUE"""),508.37)</f>
        <v>508.37</v>
      </c>
      <c r="E886" s="8" t="n">
        <f aca="false">IFERROR(__xludf.dummyfunction("""COMPUTED_VALUE"""),512.7)</f>
        <v>512.7</v>
      </c>
      <c r="F886" s="8" t="n">
        <f aca="false">IFERROR(__xludf.dummyfunction("""COMPUTED_VALUE"""),16458253)</f>
        <v>16458253</v>
      </c>
    </row>
    <row r="887" customFormat="false" ht="15.75" hidden="false" customHeight="false" outlineLevel="0" collapsed="false">
      <c r="A887" s="9" t="n">
        <f aca="false">IFERROR(__xludf.dummyfunction("""COMPUTED_VALUE"""),45485.6666666667)</f>
        <v>45485.6666666667</v>
      </c>
      <c r="B887" s="8" t="n">
        <f aca="false">IFERROR(__xludf.dummyfunction("""COMPUTED_VALUE"""),497.76)</f>
        <v>497.76</v>
      </c>
      <c r="C887" s="8" t="n">
        <f aca="false">IFERROR(__xludf.dummyfunction("""COMPUTED_VALUE"""),508.09)</f>
        <v>508.09</v>
      </c>
      <c r="D887" s="8" t="n">
        <f aca="false">IFERROR(__xludf.dummyfunction("""COMPUTED_VALUE"""),494.23)</f>
        <v>494.23</v>
      </c>
      <c r="E887" s="8" t="n">
        <f aca="false">IFERROR(__xludf.dummyfunction("""COMPUTED_VALUE"""),498.87)</f>
        <v>498.87</v>
      </c>
      <c r="F887" s="8" t="n">
        <f aca="false">IFERROR(__xludf.dummyfunction("""COMPUTED_VALUE"""),19750544)</f>
        <v>19750544</v>
      </c>
    </row>
    <row r="888" customFormat="false" ht="15.75" hidden="false" customHeight="false" outlineLevel="0" collapsed="false">
      <c r="A888" s="9" t="n">
        <f aca="false">IFERROR(__xludf.dummyfunction("""COMPUTED_VALUE"""),45488.6666666667)</f>
        <v>45488.6666666667</v>
      </c>
      <c r="B888" s="8" t="n">
        <f aca="false">IFERROR(__xludf.dummyfunction("""COMPUTED_VALUE"""),498.63)</f>
        <v>498.63</v>
      </c>
      <c r="C888" s="8" t="n">
        <f aca="false">IFERROR(__xludf.dummyfunction("""COMPUTED_VALUE"""),506.68)</f>
        <v>506.68</v>
      </c>
      <c r="D888" s="8" t="n">
        <f aca="false">IFERROR(__xludf.dummyfunction("""COMPUTED_VALUE"""),493.37)</f>
        <v>493.37</v>
      </c>
      <c r="E888" s="8" t="n">
        <f aca="false">IFERROR(__xludf.dummyfunction("""COMPUTED_VALUE"""),496.16)</f>
        <v>496.16</v>
      </c>
      <c r="F888" s="8" t="n">
        <f aca="false">IFERROR(__xludf.dummyfunction("""COMPUTED_VALUE"""),12539163)</f>
        <v>12539163</v>
      </c>
    </row>
    <row r="889" customFormat="false" ht="15.75" hidden="false" customHeight="false" outlineLevel="0" collapsed="false">
      <c r="A889" s="9" t="n">
        <f aca="false">IFERROR(__xludf.dummyfunction("""COMPUTED_VALUE"""),45489.6666666667)</f>
        <v>45489.6666666667</v>
      </c>
      <c r="B889" s="8" t="n">
        <f aca="false">IFERROR(__xludf.dummyfunction("""COMPUTED_VALUE"""),501.5)</f>
        <v>501.5</v>
      </c>
      <c r="C889" s="8" t="n">
        <f aca="false">IFERROR(__xludf.dummyfunction("""COMPUTED_VALUE"""),503.95)</f>
        <v>503.95</v>
      </c>
      <c r="D889" s="8" t="n">
        <f aca="false">IFERROR(__xludf.dummyfunction("""COMPUTED_VALUE"""),485.79)</f>
        <v>485.79</v>
      </c>
      <c r="E889" s="8" t="n">
        <f aca="false">IFERROR(__xludf.dummyfunction("""COMPUTED_VALUE"""),489.79)</f>
        <v>489.79</v>
      </c>
      <c r="F889" s="8" t="n">
        <f aca="false">IFERROR(__xludf.dummyfunction("""COMPUTED_VALUE"""),14075833)</f>
        <v>14075833</v>
      </c>
    </row>
    <row r="890" customFormat="false" ht="15.75" hidden="false" customHeight="false" outlineLevel="0" collapsed="false">
      <c r="A890" s="9" t="n">
        <f aca="false">IFERROR(__xludf.dummyfunction("""COMPUTED_VALUE"""),45490.6666666667)</f>
        <v>45490.6666666667</v>
      </c>
      <c r="B890" s="8" t="n">
        <f aca="false">IFERROR(__xludf.dummyfunction("""COMPUTED_VALUE"""),479.17)</f>
        <v>479.17</v>
      </c>
      <c r="C890" s="8" t="n">
        <f aca="false">IFERROR(__xludf.dummyfunction("""COMPUTED_VALUE"""),479.17)</f>
        <v>479.17</v>
      </c>
      <c r="D890" s="8" t="n">
        <f aca="false">IFERROR(__xludf.dummyfunction("""COMPUTED_VALUE"""),459.12)</f>
        <v>459.12</v>
      </c>
      <c r="E890" s="8" t="n">
        <f aca="false">IFERROR(__xludf.dummyfunction("""COMPUTED_VALUE"""),461.99)</f>
        <v>461.99</v>
      </c>
      <c r="F890" s="8" t="n">
        <f aca="false">IFERROR(__xludf.dummyfunction("""COMPUTED_VALUE"""),28076595)</f>
        <v>28076595</v>
      </c>
    </row>
    <row r="891" customFormat="false" ht="15.75" hidden="false" customHeight="false" outlineLevel="0" collapsed="false">
      <c r="A891" s="9" t="n">
        <f aca="false">IFERROR(__xludf.dummyfunction("""COMPUTED_VALUE"""),45491.6666666667)</f>
        <v>45491.6666666667</v>
      </c>
      <c r="B891" s="8" t="n">
        <f aca="false">IFERROR(__xludf.dummyfunction("""COMPUTED_VALUE"""),475)</f>
        <v>475</v>
      </c>
      <c r="C891" s="8" t="n">
        <f aca="false">IFERROR(__xludf.dummyfunction("""COMPUTED_VALUE"""),479.24)</f>
        <v>479.24</v>
      </c>
      <c r="D891" s="8" t="n">
        <f aca="false">IFERROR(__xludf.dummyfunction("""COMPUTED_VALUE"""),464.54)</f>
        <v>464.54</v>
      </c>
      <c r="E891" s="8" t="n">
        <f aca="false">IFERROR(__xludf.dummyfunction("""COMPUTED_VALUE"""),475.85)</f>
        <v>475.85</v>
      </c>
      <c r="F891" s="8" t="n">
        <f aca="false">IFERROR(__xludf.dummyfunction("""COMPUTED_VALUE"""),19267160)</f>
        <v>19267160</v>
      </c>
    </row>
    <row r="892" customFormat="false" ht="15.75" hidden="false" customHeight="false" outlineLevel="0" collapsed="false">
      <c r="A892" s="9" t="n">
        <f aca="false">IFERROR(__xludf.dummyfunction("""COMPUTED_VALUE"""),45492.6666666667)</f>
        <v>45492.6666666667</v>
      </c>
      <c r="B892" s="8" t="n">
        <f aca="false">IFERROR(__xludf.dummyfunction("""COMPUTED_VALUE"""),476.06)</f>
        <v>476.06</v>
      </c>
      <c r="C892" s="8" t="n">
        <f aca="false">IFERROR(__xludf.dummyfunction("""COMPUTED_VALUE"""),486.71)</f>
        <v>486.71</v>
      </c>
      <c r="D892" s="8" t="n">
        <f aca="false">IFERROR(__xludf.dummyfunction("""COMPUTED_VALUE"""),475.71)</f>
        <v>475.71</v>
      </c>
      <c r="E892" s="8" t="n">
        <f aca="false">IFERROR(__xludf.dummyfunction("""COMPUTED_VALUE"""),476.79)</f>
        <v>476.79</v>
      </c>
      <c r="F892" s="8" t="n">
        <f aca="false">IFERROR(__xludf.dummyfunction("""COMPUTED_VALUE"""),15149416)</f>
        <v>15149416</v>
      </c>
    </row>
    <row r="893" customFormat="false" ht="15.75" hidden="false" customHeight="false" outlineLevel="0" collapsed="false">
      <c r="A893" s="9" t="n">
        <f aca="false">IFERROR(__xludf.dummyfunction("""COMPUTED_VALUE"""),45495.6666666667)</f>
        <v>45495.6666666667</v>
      </c>
      <c r="B893" s="8" t="n">
        <f aca="false">IFERROR(__xludf.dummyfunction("""COMPUTED_VALUE"""),486.58)</f>
        <v>486.58</v>
      </c>
      <c r="C893" s="8" t="n">
        <f aca="false">IFERROR(__xludf.dummyfunction("""COMPUTED_VALUE"""),492.06)</f>
        <v>492.06</v>
      </c>
      <c r="D893" s="8" t="n">
        <f aca="false">IFERROR(__xludf.dummyfunction("""COMPUTED_VALUE"""),483.9)</f>
        <v>483.9</v>
      </c>
      <c r="E893" s="8" t="n">
        <f aca="false">IFERROR(__xludf.dummyfunction("""COMPUTED_VALUE"""),487.4)</f>
        <v>487.4</v>
      </c>
      <c r="F893" s="8" t="n">
        <f aca="false">IFERROR(__xludf.dummyfunction("""COMPUTED_VALUE"""),12023088)</f>
        <v>12023088</v>
      </c>
    </row>
    <row r="894" customFormat="false" ht="15.75" hidden="false" customHeight="false" outlineLevel="0" collapsed="false">
      <c r="A894" s="9" t="n">
        <f aca="false">IFERROR(__xludf.dummyfunction("""COMPUTED_VALUE"""),45496.6666666667)</f>
        <v>45496.6666666667</v>
      </c>
      <c r="B894" s="8" t="n">
        <f aca="false">IFERROR(__xludf.dummyfunction("""COMPUTED_VALUE"""),489.84)</f>
        <v>489.84</v>
      </c>
      <c r="C894" s="8" t="n">
        <f aca="false">IFERROR(__xludf.dummyfunction("""COMPUTED_VALUE"""),495.22)</f>
        <v>495.22</v>
      </c>
      <c r="D894" s="8" t="n">
        <f aca="false">IFERROR(__xludf.dummyfunction("""COMPUTED_VALUE"""),487.72)</f>
        <v>487.72</v>
      </c>
      <c r="E894" s="8" t="n">
        <f aca="false">IFERROR(__xludf.dummyfunction("""COMPUTED_VALUE"""),488.69)</f>
        <v>488.69</v>
      </c>
      <c r="F894" s="8" t="n">
        <f aca="false">IFERROR(__xludf.dummyfunction("""COMPUTED_VALUE"""),9455527)</f>
        <v>9455527</v>
      </c>
    </row>
    <row r="895" customFormat="false" ht="15.75" hidden="false" customHeight="false" outlineLevel="0" collapsed="false">
      <c r="A895" s="9" t="n">
        <f aca="false">IFERROR(__xludf.dummyfunction("""COMPUTED_VALUE"""),45497.6666666667)</f>
        <v>45497.6666666667</v>
      </c>
      <c r="B895" s="8" t="n">
        <f aca="false">IFERROR(__xludf.dummyfunction("""COMPUTED_VALUE"""),472.31)</f>
        <v>472.31</v>
      </c>
      <c r="C895" s="8" t="n">
        <f aca="false">IFERROR(__xludf.dummyfunction("""COMPUTED_VALUE"""),476.3)</f>
        <v>476.3</v>
      </c>
      <c r="D895" s="8" t="n">
        <f aca="false">IFERROR(__xludf.dummyfunction("""COMPUTED_VALUE"""),460.58)</f>
        <v>460.58</v>
      </c>
      <c r="E895" s="8" t="n">
        <f aca="false">IFERROR(__xludf.dummyfunction("""COMPUTED_VALUE"""),461.27)</f>
        <v>461.27</v>
      </c>
      <c r="F895" s="8" t="n">
        <f aca="false">IFERROR(__xludf.dummyfunction("""COMPUTED_VALUE"""),17649738)</f>
        <v>17649738</v>
      </c>
    </row>
    <row r="896" customFormat="false" ht="15.75" hidden="false" customHeight="false" outlineLevel="0" collapsed="false">
      <c r="A896" s="9" t="n">
        <f aca="false">IFERROR(__xludf.dummyfunction("""COMPUTED_VALUE"""),45498.6666666667)</f>
        <v>45498.6666666667</v>
      </c>
      <c r="B896" s="8" t="n">
        <f aca="false">IFERROR(__xludf.dummyfunction("""COMPUTED_VALUE"""),463.26)</f>
        <v>463.26</v>
      </c>
      <c r="C896" s="8" t="n">
        <f aca="false">IFERROR(__xludf.dummyfunction("""COMPUTED_VALUE"""),463.55)</f>
        <v>463.55</v>
      </c>
      <c r="D896" s="8" t="n">
        <f aca="false">IFERROR(__xludf.dummyfunction("""COMPUTED_VALUE"""),442.65)</f>
        <v>442.65</v>
      </c>
      <c r="E896" s="8" t="n">
        <f aca="false">IFERROR(__xludf.dummyfunction("""COMPUTED_VALUE"""),453.41)</f>
        <v>453.41</v>
      </c>
      <c r="F896" s="8" t="n">
        <f aca="false">IFERROR(__xludf.dummyfunction("""COMPUTED_VALUE"""),18240489)</f>
        <v>18240489</v>
      </c>
    </row>
    <row r="897" customFormat="false" ht="15.75" hidden="false" customHeight="false" outlineLevel="0" collapsed="false">
      <c r="A897" s="9" t="n">
        <f aca="false">IFERROR(__xludf.dummyfunction("""COMPUTED_VALUE"""),45499.6666666667)</f>
        <v>45499.6666666667</v>
      </c>
      <c r="B897" s="8" t="n">
        <f aca="false">IFERROR(__xludf.dummyfunction("""COMPUTED_VALUE"""),464.2)</f>
        <v>464.2</v>
      </c>
      <c r="C897" s="8" t="n">
        <f aca="false">IFERROR(__xludf.dummyfunction("""COMPUTED_VALUE"""),469.77)</f>
        <v>469.77</v>
      </c>
      <c r="D897" s="8" t="n">
        <f aca="false">IFERROR(__xludf.dummyfunction("""COMPUTED_VALUE"""),459.42)</f>
        <v>459.42</v>
      </c>
      <c r="E897" s="8" t="n">
        <f aca="false">IFERROR(__xludf.dummyfunction("""COMPUTED_VALUE"""),465.7)</f>
        <v>465.7</v>
      </c>
      <c r="F897" s="8" t="n">
        <f aca="false">IFERROR(__xludf.dummyfunction("""COMPUTED_VALUE"""),14222388)</f>
        <v>14222388</v>
      </c>
    </row>
    <row r="898" customFormat="false" ht="15.75" hidden="false" customHeight="false" outlineLevel="0" collapsed="false">
      <c r="A898" s="9" t="n">
        <f aca="false">IFERROR(__xludf.dummyfunction("""COMPUTED_VALUE"""),45502.6666666667)</f>
        <v>45502.6666666667</v>
      </c>
      <c r="B898" s="8" t="n">
        <f aca="false">IFERROR(__xludf.dummyfunction("""COMPUTED_VALUE"""),469.88)</f>
        <v>469.88</v>
      </c>
      <c r="C898" s="8" t="n">
        <f aca="false">IFERROR(__xludf.dummyfunction("""COMPUTED_VALUE"""),473.96)</f>
        <v>473.96</v>
      </c>
      <c r="D898" s="8" t="n">
        <f aca="false">IFERROR(__xludf.dummyfunction("""COMPUTED_VALUE"""),465.02)</f>
        <v>465.02</v>
      </c>
      <c r="E898" s="8" t="n">
        <f aca="false">IFERROR(__xludf.dummyfunction("""COMPUTED_VALUE"""),465.71)</f>
        <v>465.71</v>
      </c>
      <c r="F898" s="8" t="n">
        <f aca="false">IFERROR(__xludf.dummyfunction("""COMPUTED_VALUE"""),11339630)</f>
        <v>11339630</v>
      </c>
    </row>
    <row r="899" customFormat="false" ht="15.75" hidden="false" customHeight="false" outlineLevel="0" collapsed="false">
      <c r="A899" s="9" t="n">
        <f aca="false">IFERROR(__xludf.dummyfunction("""COMPUTED_VALUE"""),45503.6666666667)</f>
        <v>45503.6666666667</v>
      </c>
      <c r="B899" s="8" t="n">
        <f aca="false">IFERROR(__xludf.dummyfunction("""COMPUTED_VALUE"""),467)</f>
        <v>467</v>
      </c>
      <c r="C899" s="8" t="n">
        <f aca="false">IFERROR(__xludf.dummyfunction("""COMPUTED_VALUE"""),472.73)</f>
        <v>472.73</v>
      </c>
      <c r="D899" s="8" t="n">
        <f aca="false">IFERROR(__xludf.dummyfunction("""COMPUTED_VALUE"""),456.7)</f>
        <v>456.7</v>
      </c>
      <c r="E899" s="8" t="n">
        <f aca="false">IFERROR(__xludf.dummyfunction("""COMPUTED_VALUE"""),463.19)</f>
        <v>463.19</v>
      </c>
      <c r="F899" s="8" t="n">
        <f aca="false">IFERROR(__xludf.dummyfunction("""COMPUTED_VALUE"""),11390439)</f>
        <v>11390439</v>
      </c>
    </row>
    <row r="900" customFormat="false" ht="15.75" hidden="false" customHeight="false" outlineLevel="0" collapsed="false">
      <c r="A900" s="9" t="n">
        <f aca="false">IFERROR(__xludf.dummyfunction("""COMPUTED_VALUE"""),45504.6666666667)</f>
        <v>45504.6666666667</v>
      </c>
      <c r="B900" s="8" t="n">
        <f aca="false">IFERROR(__xludf.dummyfunction("""COMPUTED_VALUE"""),471.02)</f>
        <v>471.02</v>
      </c>
      <c r="C900" s="8" t="n">
        <f aca="false">IFERROR(__xludf.dummyfunction("""COMPUTED_VALUE"""),476.5)</f>
        <v>476.5</v>
      </c>
      <c r="D900" s="8" t="n">
        <f aca="false">IFERROR(__xludf.dummyfunction("""COMPUTED_VALUE"""),466.75)</f>
        <v>466.75</v>
      </c>
      <c r="E900" s="8" t="n">
        <f aca="false">IFERROR(__xludf.dummyfunction("""COMPUTED_VALUE"""),474.83)</f>
        <v>474.83</v>
      </c>
      <c r="F900" s="8" t="n">
        <f aca="false">IFERROR(__xludf.dummyfunction("""COMPUTED_VALUE"""),24285777)</f>
        <v>24285777</v>
      </c>
    </row>
    <row r="901" customFormat="false" ht="15.75" hidden="false" customHeight="false" outlineLevel="0" collapsed="false">
      <c r="A901" s="9" t="n">
        <f aca="false">IFERROR(__xludf.dummyfunction("""COMPUTED_VALUE"""),45505.6666666667)</f>
        <v>45505.6666666667</v>
      </c>
      <c r="B901" s="8" t="n">
        <f aca="false">IFERROR(__xludf.dummyfunction("""COMPUTED_VALUE"""),521)</f>
        <v>521</v>
      </c>
      <c r="C901" s="8" t="n">
        <f aca="false">IFERROR(__xludf.dummyfunction("""COMPUTED_VALUE"""),527.17)</f>
        <v>527.17</v>
      </c>
      <c r="D901" s="8" t="n">
        <f aca="false">IFERROR(__xludf.dummyfunction("""COMPUTED_VALUE"""),492.1)</f>
        <v>492.1</v>
      </c>
      <c r="E901" s="8" t="n">
        <f aca="false">IFERROR(__xludf.dummyfunction("""COMPUTED_VALUE"""),497.74)</f>
        <v>497.74</v>
      </c>
      <c r="F901" s="8" t="n">
        <f aca="false">IFERROR(__xludf.dummyfunction("""COMPUTED_VALUE"""),43083082)</f>
        <v>43083082</v>
      </c>
    </row>
    <row r="902" customFormat="false" ht="15.75" hidden="false" customHeight="false" outlineLevel="0" collapsed="false">
      <c r="A902" s="9" t="n">
        <f aca="false">IFERROR(__xludf.dummyfunction("""COMPUTED_VALUE"""),45506.6666666667)</f>
        <v>45506.6666666667</v>
      </c>
      <c r="B902" s="8" t="n">
        <f aca="false">IFERROR(__xludf.dummyfunction("""COMPUTED_VALUE"""),489)</f>
        <v>489</v>
      </c>
      <c r="C902" s="8" t="n">
        <f aca="false">IFERROR(__xludf.dummyfunction("""COMPUTED_VALUE"""),501.15)</f>
        <v>501.15</v>
      </c>
      <c r="D902" s="8" t="n">
        <f aca="false">IFERROR(__xludf.dummyfunction("""COMPUTED_VALUE"""),476.15)</f>
        <v>476.15</v>
      </c>
      <c r="E902" s="8" t="n">
        <f aca="false">IFERROR(__xludf.dummyfunction("""COMPUTED_VALUE"""),488.14)</f>
        <v>488.14</v>
      </c>
      <c r="F902" s="8" t="n">
        <f aca="false">IFERROR(__xludf.dummyfunction("""COMPUTED_VALUE"""),24044658)</f>
        <v>24044658</v>
      </c>
    </row>
    <row r="903" customFormat="false" ht="15.75" hidden="false" customHeight="false" outlineLevel="0" collapsed="false">
      <c r="A903" s="9" t="n">
        <f aca="false">IFERROR(__xludf.dummyfunction("""COMPUTED_VALUE"""),45509.6666666667)</f>
        <v>45509.6666666667</v>
      </c>
      <c r="B903" s="8" t="n">
        <f aca="false">IFERROR(__xludf.dummyfunction("""COMPUTED_VALUE"""),451.35)</f>
        <v>451.35</v>
      </c>
      <c r="C903" s="8" t="n">
        <f aca="false">IFERROR(__xludf.dummyfunction("""COMPUTED_VALUE"""),483.48)</f>
        <v>483.48</v>
      </c>
      <c r="D903" s="8" t="n">
        <f aca="false">IFERROR(__xludf.dummyfunction("""COMPUTED_VALUE"""),450.8)</f>
        <v>450.8</v>
      </c>
      <c r="E903" s="8" t="n">
        <f aca="false">IFERROR(__xludf.dummyfunction("""COMPUTED_VALUE"""),475.73)</f>
        <v>475.73</v>
      </c>
      <c r="F903" s="8" t="n">
        <f aca="false">IFERROR(__xludf.dummyfunction("""COMPUTED_VALUE"""),21396191)</f>
        <v>21396191</v>
      </c>
    </row>
    <row r="904" customFormat="false" ht="15.75" hidden="false" customHeight="false" outlineLevel="0" collapsed="false">
      <c r="A904" s="9" t="n">
        <f aca="false">IFERROR(__xludf.dummyfunction("""COMPUTED_VALUE"""),45510.6666666667)</f>
        <v>45510.6666666667</v>
      </c>
      <c r="B904" s="8" t="n">
        <f aca="false">IFERROR(__xludf.dummyfunction("""COMPUTED_VALUE"""),479)</f>
        <v>479</v>
      </c>
      <c r="C904" s="8" t="n">
        <f aca="false">IFERROR(__xludf.dummyfunction("""COMPUTED_VALUE"""),502.56)</f>
        <v>502.56</v>
      </c>
      <c r="D904" s="8" t="n">
        <f aca="false">IFERROR(__xludf.dummyfunction("""COMPUTED_VALUE"""),478.65)</f>
        <v>478.65</v>
      </c>
      <c r="E904" s="8" t="n">
        <f aca="false">IFERROR(__xludf.dummyfunction("""COMPUTED_VALUE"""),494.09)</f>
        <v>494.09</v>
      </c>
      <c r="F904" s="8" t="n">
        <f aca="false">IFERROR(__xludf.dummyfunction("""COMPUTED_VALUE"""),20954959)</f>
        <v>20954959</v>
      </c>
    </row>
    <row r="905" customFormat="false" ht="15.75" hidden="false" customHeight="false" outlineLevel="0" collapsed="false">
      <c r="A905" s="9" t="n">
        <f aca="false">IFERROR(__xludf.dummyfunction("""COMPUTED_VALUE"""),45511.6666666667)</f>
        <v>45511.6666666667</v>
      </c>
      <c r="B905" s="8" t="n">
        <f aca="false">IFERROR(__xludf.dummyfunction("""COMPUTED_VALUE"""),503.13)</f>
        <v>503.13</v>
      </c>
      <c r="C905" s="8" t="n">
        <f aca="false">IFERROR(__xludf.dummyfunction("""COMPUTED_VALUE"""),510.15)</f>
        <v>510.15</v>
      </c>
      <c r="D905" s="8" t="n">
        <f aca="false">IFERROR(__xludf.dummyfunction("""COMPUTED_VALUE"""),486.86)</f>
        <v>486.86</v>
      </c>
      <c r="E905" s="8" t="n">
        <f aca="false">IFERROR(__xludf.dummyfunction("""COMPUTED_VALUE"""),488.92)</f>
        <v>488.92</v>
      </c>
      <c r="F905" s="8" t="n">
        <f aca="false">IFERROR(__xludf.dummyfunction("""COMPUTED_VALUE"""),20105307)</f>
        <v>20105307</v>
      </c>
    </row>
    <row r="906" customFormat="false" ht="15.75" hidden="false" customHeight="false" outlineLevel="0" collapsed="false">
      <c r="A906" s="9" t="n">
        <f aca="false">IFERROR(__xludf.dummyfunction("""COMPUTED_VALUE"""),45512.6666666667)</f>
        <v>45512.6666666667</v>
      </c>
      <c r="B906" s="8" t="n">
        <f aca="false">IFERROR(__xludf.dummyfunction("""COMPUTED_VALUE"""),497.5)</f>
        <v>497.5</v>
      </c>
      <c r="C906" s="8" t="n">
        <f aca="false">IFERROR(__xludf.dummyfunction("""COMPUTED_VALUE"""),509.96)</f>
        <v>509.96</v>
      </c>
      <c r="D906" s="8" t="n">
        <f aca="false">IFERROR(__xludf.dummyfunction("""COMPUTED_VALUE"""),494.72)</f>
        <v>494.72</v>
      </c>
      <c r="E906" s="8" t="n">
        <f aca="false">IFERROR(__xludf.dummyfunction("""COMPUTED_VALUE"""),509.63)</f>
        <v>509.63</v>
      </c>
      <c r="F906" s="8" t="n">
        <f aca="false">IFERROR(__xludf.dummyfunction("""COMPUTED_VALUE"""),16156843)</f>
        <v>16156843</v>
      </c>
    </row>
    <row r="907" customFormat="false" ht="15.75" hidden="false" customHeight="false" outlineLevel="0" collapsed="false">
      <c r="A907" s="9" t="n">
        <f aca="false">IFERROR(__xludf.dummyfunction("""COMPUTED_VALUE"""),45513.6666666667)</f>
        <v>45513.6666666667</v>
      </c>
      <c r="B907" s="8" t="n">
        <f aca="false">IFERROR(__xludf.dummyfunction("""COMPUTED_VALUE"""),507.71)</f>
        <v>507.71</v>
      </c>
      <c r="C907" s="8" t="n">
        <f aca="false">IFERROR(__xludf.dummyfunction("""COMPUTED_VALUE"""),518.34)</f>
        <v>518.34</v>
      </c>
      <c r="D907" s="8" t="n">
        <f aca="false">IFERROR(__xludf.dummyfunction("""COMPUTED_VALUE"""),505.7)</f>
        <v>505.7</v>
      </c>
      <c r="E907" s="8" t="n">
        <f aca="false">IFERROR(__xludf.dummyfunction("""COMPUTED_VALUE"""),517.77)</f>
        <v>517.77</v>
      </c>
      <c r="F907" s="8" t="n">
        <f aca="false">IFERROR(__xludf.dummyfunction("""COMPUTED_VALUE"""),13696640)</f>
        <v>13696640</v>
      </c>
    </row>
    <row r="908" customFormat="false" ht="15.75" hidden="false" customHeight="false" outlineLevel="0" collapsed="false">
      <c r="A908" s="9" t="n">
        <f aca="false">IFERROR(__xludf.dummyfunction("""COMPUTED_VALUE"""),45516.6666666667)</f>
        <v>45516.6666666667</v>
      </c>
      <c r="B908" s="8" t="n">
        <f aca="false">IFERROR(__xludf.dummyfunction("""COMPUTED_VALUE"""),516.86)</f>
        <v>516.86</v>
      </c>
      <c r="C908" s="8" t="n">
        <f aca="false">IFERROR(__xludf.dummyfunction("""COMPUTED_VALUE"""),518.02)</f>
        <v>518.02</v>
      </c>
      <c r="D908" s="8" t="n">
        <f aca="false">IFERROR(__xludf.dummyfunction("""COMPUTED_VALUE"""),509.1)</f>
        <v>509.1</v>
      </c>
      <c r="E908" s="8" t="n">
        <f aca="false">IFERROR(__xludf.dummyfunction("""COMPUTED_VALUE"""),515.95)</f>
        <v>515.95</v>
      </c>
      <c r="F908" s="8" t="n">
        <f aca="false">IFERROR(__xludf.dummyfunction("""COMPUTED_VALUE"""),9767422)</f>
        <v>9767422</v>
      </c>
    </row>
    <row r="909" customFormat="false" ht="15.75" hidden="false" customHeight="false" outlineLevel="0" collapsed="false">
      <c r="A909" s="9" t="n">
        <f aca="false">IFERROR(__xludf.dummyfunction("""COMPUTED_VALUE"""),45517.6666666667)</f>
        <v>45517.6666666667</v>
      </c>
      <c r="B909" s="8" t="n">
        <f aca="false">IFERROR(__xludf.dummyfunction("""COMPUTED_VALUE"""),520.01)</f>
        <v>520.01</v>
      </c>
      <c r="C909" s="8" t="n">
        <f aca="false">IFERROR(__xludf.dummyfunction("""COMPUTED_VALUE"""),531.5)</f>
        <v>531.5</v>
      </c>
      <c r="D909" s="8" t="n">
        <f aca="false">IFERROR(__xludf.dummyfunction("""COMPUTED_VALUE"""),518.15)</f>
        <v>518.15</v>
      </c>
      <c r="E909" s="8" t="n">
        <f aca="false">IFERROR(__xludf.dummyfunction("""COMPUTED_VALUE"""),528.54)</f>
        <v>528.54</v>
      </c>
      <c r="F909" s="8" t="n">
        <f aca="false">IFERROR(__xludf.dummyfunction("""COMPUTED_VALUE"""),13743839)</f>
        <v>13743839</v>
      </c>
    </row>
    <row r="910" customFormat="false" ht="15.75" hidden="false" customHeight="false" outlineLevel="0" collapsed="false">
      <c r="A910" s="9" t="n">
        <f aca="false">IFERROR(__xludf.dummyfunction("""COMPUTED_VALUE"""),45518.6666666667)</f>
        <v>45518.6666666667</v>
      </c>
      <c r="B910" s="8" t="n">
        <f aca="false">IFERROR(__xludf.dummyfunction("""COMPUTED_VALUE"""),528.06)</f>
        <v>528.06</v>
      </c>
      <c r="C910" s="8" t="n">
        <f aca="false">IFERROR(__xludf.dummyfunction("""COMPUTED_VALUE"""),534)</f>
        <v>534</v>
      </c>
      <c r="D910" s="8" t="n">
        <f aca="false">IFERROR(__xludf.dummyfunction("""COMPUTED_VALUE"""),523.13)</f>
        <v>523.13</v>
      </c>
      <c r="E910" s="8" t="n">
        <f aca="false">IFERROR(__xludf.dummyfunction("""COMPUTED_VALUE"""),526.76)</f>
        <v>526.76</v>
      </c>
      <c r="F910" s="8" t="n">
        <f aca="false">IFERROR(__xludf.dummyfunction("""COMPUTED_VALUE"""),11444189)</f>
        <v>11444189</v>
      </c>
    </row>
    <row r="911" customFormat="false" ht="15.75" hidden="false" customHeight="false" outlineLevel="0" collapsed="false">
      <c r="A911" s="9" t="n">
        <f aca="false">IFERROR(__xludf.dummyfunction("""COMPUTED_VALUE"""),45519.6666666667)</f>
        <v>45519.6666666667</v>
      </c>
      <c r="B911" s="8" t="n">
        <f aca="false">IFERROR(__xludf.dummyfunction("""COMPUTED_VALUE"""),531.79)</f>
        <v>531.79</v>
      </c>
      <c r="C911" s="8" t="n">
        <f aca="false">IFERROR(__xludf.dummyfunction("""COMPUTED_VALUE"""),539.77)</f>
        <v>539.77</v>
      </c>
      <c r="D911" s="8" t="n">
        <f aca="false">IFERROR(__xludf.dummyfunction("""COMPUTED_VALUE"""),526.7)</f>
        <v>526.7</v>
      </c>
      <c r="E911" s="8" t="n">
        <f aca="false">IFERROR(__xludf.dummyfunction("""COMPUTED_VALUE"""),537.33)</f>
        <v>537.33</v>
      </c>
      <c r="F911" s="8" t="n">
        <f aca="false">IFERROR(__xludf.dummyfunction("""COMPUTED_VALUE"""),13482141)</f>
        <v>13482141</v>
      </c>
    </row>
    <row r="912" customFormat="false" ht="15.75" hidden="false" customHeight="false" outlineLevel="0" collapsed="false">
      <c r="A912" s="9" t="n">
        <f aca="false">IFERROR(__xludf.dummyfunction("""COMPUTED_VALUE"""),45520.6666666667)</f>
        <v>45520.6666666667</v>
      </c>
      <c r="B912" s="8" t="n">
        <f aca="false">IFERROR(__xludf.dummyfunction("""COMPUTED_VALUE"""),531.9)</f>
        <v>531.9</v>
      </c>
      <c r="C912" s="8" t="n">
        <f aca="false">IFERROR(__xludf.dummyfunction("""COMPUTED_VALUE"""),533.66)</f>
        <v>533.66</v>
      </c>
      <c r="D912" s="8" t="n">
        <f aca="false">IFERROR(__xludf.dummyfunction("""COMPUTED_VALUE"""),524.66)</f>
        <v>524.66</v>
      </c>
      <c r="E912" s="8" t="n">
        <f aca="false">IFERROR(__xludf.dummyfunction("""COMPUTED_VALUE"""),527.42)</f>
        <v>527.42</v>
      </c>
      <c r="F912" s="8" t="n">
        <f aca="false">IFERROR(__xludf.dummyfunction("""COMPUTED_VALUE"""),14776684)</f>
        <v>14776684</v>
      </c>
    </row>
    <row r="913" customFormat="false" ht="15.75" hidden="false" customHeight="false" outlineLevel="0" collapsed="false">
      <c r="A913" s="9" t="n">
        <f aca="false">IFERROR(__xludf.dummyfunction("""COMPUTED_VALUE"""),45523.6666666667)</f>
        <v>45523.6666666667</v>
      </c>
      <c r="B913" s="8" t="n">
        <f aca="false">IFERROR(__xludf.dummyfunction("""COMPUTED_VALUE"""),526.87)</f>
        <v>526.87</v>
      </c>
      <c r="C913" s="8" t="n">
        <f aca="false">IFERROR(__xludf.dummyfunction("""COMPUTED_VALUE"""),531.66)</f>
        <v>531.66</v>
      </c>
      <c r="D913" s="8" t="n">
        <f aca="false">IFERROR(__xludf.dummyfunction("""COMPUTED_VALUE"""),522.76)</f>
        <v>522.76</v>
      </c>
      <c r="E913" s="8" t="n">
        <f aca="false">IFERROR(__xludf.dummyfunction("""COMPUTED_VALUE"""),529.28)</f>
        <v>529.28</v>
      </c>
      <c r="F913" s="8" t="n">
        <f aca="false">IFERROR(__xludf.dummyfunction("""COMPUTED_VALUE"""),9879713)</f>
        <v>9879713</v>
      </c>
    </row>
    <row r="914" customFormat="false" ht="15.75" hidden="false" customHeight="false" outlineLevel="0" collapsed="false">
      <c r="A914" s="9" t="n">
        <f aca="false">IFERROR(__xludf.dummyfunction("""COMPUTED_VALUE"""),45524.6666666667)</f>
        <v>45524.6666666667</v>
      </c>
      <c r="B914" s="8" t="n">
        <f aca="false">IFERROR(__xludf.dummyfunction("""COMPUTED_VALUE"""),528.35)</f>
        <v>528.35</v>
      </c>
      <c r="C914" s="8" t="n">
        <f aca="false">IFERROR(__xludf.dummyfunction("""COMPUTED_VALUE"""),531.09)</f>
        <v>531.09</v>
      </c>
      <c r="D914" s="8" t="n">
        <f aca="false">IFERROR(__xludf.dummyfunction("""COMPUTED_VALUE"""),525.88)</f>
        <v>525.88</v>
      </c>
      <c r="E914" s="8" t="n">
        <f aca="false">IFERROR(__xludf.dummyfunction("""COMPUTED_VALUE"""),526.73)</f>
        <v>526.73</v>
      </c>
      <c r="F914" s="8" t="n">
        <f aca="false">IFERROR(__xludf.dummyfunction("""COMPUTED_VALUE"""),7944391)</f>
        <v>7944391</v>
      </c>
    </row>
    <row r="915" customFormat="false" ht="15.75" hidden="false" customHeight="false" outlineLevel="0" collapsed="false">
      <c r="A915" s="9" t="n">
        <f aca="false">IFERROR(__xludf.dummyfunction("""COMPUTED_VALUE"""),45525.6666666667)</f>
        <v>45525.6666666667</v>
      </c>
      <c r="B915" s="8" t="n">
        <f aca="false">IFERROR(__xludf.dummyfunction("""COMPUTED_VALUE"""),527.15)</f>
        <v>527.15</v>
      </c>
      <c r="C915" s="8" t="n">
        <f aca="false">IFERROR(__xludf.dummyfunction("""COMPUTED_VALUE"""),539.4)</f>
        <v>539.4</v>
      </c>
      <c r="D915" s="8" t="n">
        <f aca="false">IFERROR(__xludf.dummyfunction("""COMPUTED_VALUE"""),526.93)</f>
        <v>526.93</v>
      </c>
      <c r="E915" s="8" t="n">
        <f aca="false">IFERROR(__xludf.dummyfunction("""COMPUTED_VALUE"""),535.16)</f>
        <v>535.16</v>
      </c>
      <c r="F915" s="8" t="n">
        <f aca="false">IFERROR(__xludf.dummyfunction("""COMPUTED_VALUE"""),13423292)</f>
        <v>13423292</v>
      </c>
    </row>
    <row r="916" customFormat="false" ht="15.75" hidden="false" customHeight="false" outlineLevel="0" collapsed="false">
      <c r="A916" s="9" t="n">
        <f aca="false">IFERROR(__xludf.dummyfunction("""COMPUTED_VALUE"""),45526.6666666667)</f>
        <v>45526.6666666667</v>
      </c>
      <c r="B916" s="8" t="n">
        <f aca="false">IFERROR(__xludf.dummyfunction("""COMPUTED_VALUE"""),537)</f>
        <v>537</v>
      </c>
      <c r="C916" s="8" t="n">
        <f aca="false">IFERROR(__xludf.dummyfunction("""COMPUTED_VALUE"""),544.23)</f>
        <v>544.23</v>
      </c>
      <c r="D916" s="8" t="n">
        <f aca="false">IFERROR(__xludf.dummyfunction("""COMPUTED_VALUE"""),528.59)</f>
        <v>528.59</v>
      </c>
      <c r="E916" s="8" t="n">
        <f aca="false">IFERROR(__xludf.dummyfunction("""COMPUTED_VALUE"""),531.93)</f>
        <v>531.93</v>
      </c>
      <c r="F916" s="8" t="n">
        <f aca="false">IFERROR(__xludf.dummyfunction("""COMPUTED_VALUE"""),15708292)</f>
        <v>15708292</v>
      </c>
    </row>
    <row r="917" customFormat="false" ht="15.75" hidden="false" customHeight="false" outlineLevel="0" collapsed="false">
      <c r="A917" s="9" t="n">
        <f aca="false">IFERROR(__xludf.dummyfunction("""COMPUTED_VALUE"""),45527.6666666667)</f>
        <v>45527.6666666667</v>
      </c>
      <c r="B917" s="8" t="n">
        <f aca="false">IFERROR(__xludf.dummyfunction("""COMPUTED_VALUE"""),536.92)</f>
        <v>536.92</v>
      </c>
      <c r="C917" s="8" t="n">
        <f aca="false">IFERROR(__xludf.dummyfunction("""COMPUTED_VALUE"""),539.87)</f>
        <v>539.87</v>
      </c>
      <c r="D917" s="8" t="n">
        <f aca="false">IFERROR(__xludf.dummyfunction("""COMPUTED_VALUE"""),525.06)</f>
        <v>525.06</v>
      </c>
      <c r="E917" s="8" t="n">
        <f aca="false">IFERROR(__xludf.dummyfunction("""COMPUTED_VALUE"""),528)</f>
        <v>528</v>
      </c>
      <c r="F917" s="8" t="n">
        <f aca="false">IFERROR(__xludf.dummyfunction("""COMPUTED_VALUE"""),11323936)</f>
        <v>11323936</v>
      </c>
    </row>
    <row r="918" customFormat="false" ht="15.75" hidden="false" customHeight="false" outlineLevel="0" collapsed="false">
      <c r="A918" s="9" t="n">
        <f aca="false">IFERROR(__xludf.dummyfunction("""COMPUTED_VALUE"""),45530.6666666667)</f>
        <v>45530.6666666667</v>
      </c>
      <c r="B918" s="8" t="n">
        <f aca="false">IFERROR(__xludf.dummyfunction("""COMPUTED_VALUE"""),527.6)</f>
        <v>527.6</v>
      </c>
      <c r="C918" s="8" t="n">
        <f aca="false">IFERROR(__xludf.dummyfunction("""COMPUTED_VALUE"""),528)</f>
        <v>528</v>
      </c>
      <c r="D918" s="8" t="n">
        <f aca="false">IFERROR(__xludf.dummyfunction("""COMPUTED_VALUE"""),514.95)</f>
        <v>514.95</v>
      </c>
      <c r="E918" s="8" t="n">
        <f aca="false">IFERROR(__xludf.dummyfunction("""COMPUTED_VALUE"""),521.12)</f>
        <v>521.12</v>
      </c>
      <c r="F918" s="8" t="n">
        <f aca="false">IFERROR(__xludf.dummyfunction("""COMPUTED_VALUE"""),9584002)</f>
        <v>9584002</v>
      </c>
    </row>
    <row r="919" customFormat="false" ht="15.75" hidden="false" customHeight="false" outlineLevel="0" collapsed="false">
      <c r="A919" s="9" t="n">
        <f aca="false">IFERROR(__xludf.dummyfunction("""COMPUTED_VALUE"""),45531.6666666667)</f>
        <v>45531.6666666667</v>
      </c>
      <c r="B919" s="8" t="n">
        <f aca="false">IFERROR(__xludf.dummyfunction("""COMPUTED_VALUE"""),518.98)</f>
        <v>518.98</v>
      </c>
      <c r="C919" s="8" t="n">
        <f aca="false">IFERROR(__xludf.dummyfunction("""COMPUTED_VALUE"""),524.01)</f>
        <v>524.01</v>
      </c>
      <c r="D919" s="8" t="n">
        <f aca="false">IFERROR(__xludf.dummyfunction("""COMPUTED_VALUE"""),515.31)</f>
        <v>515.31</v>
      </c>
      <c r="E919" s="8" t="n">
        <f aca="false">IFERROR(__xludf.dummyfunction("""COMPUTED_VALUE"""),519.1)</f>
        <v>519.1</v>
      </c>
      <c r="F919" s="8" t="n">
        <f aca="false">IFERROR(__xludf.dummyfunction("""COMPUTED_VALUE"""),6282720)</f>
        <v>6282720</v>
      </c>
    </row>
    <row r="920" customFormat="false" ht="15.75" hidden="false" customHeight="false" outlineLevel="0" collapsed="false">
      <c r="A920" s="9" t="n">
        <f aca="false">IFERROR(__xludf.dummyfunction("""COMPUTED_VALUE"""),45532.6666666667)</f>
        <v>45532.6666666667</v>
      </c>
      <c r="B920" s="8" t="n">
        <f aca="false">IFERROR(__xludf.dummyfunction("""COMPUTED_VALUE"""),517.67)</f>
        <v>517.67</v>
      </c>
      <c r="C920" s="8" t="n">
        <f aca="false">IFERROR(__xludf.dummyfunction("""COMPUTED_VALUE"""),521.09)</f>
        <v>521.09</v>
      </c>
      <c r="D920" s="8" t="n">
        <f aca="false">IFERROR(__xludf.dummyfunction("""COMPUTED_VALUE"""),512.45)</f>
        <v>512.45</v>
      </c>
      <c r="E920" s="8" t="n">
        <f aca="false">IFERROR(__xludf.dummyfunction("""COMPUTED_VALUE"""),516.78)</f>
        <v>516.78</v>
      </c>
      <c r="F920" s="8" t="n">
        <f aca="false">IFERROR(__xludf.dummyfunction("""COMPUTED_VALUE"""),9106077)</f>
        <v>9106077</v>
      </c>
    </row>
    <row r="921" customFormat="false" ht="15.75" hidden="false" customHeight="false" outlineLevel="0" collapsed="false">
      <c r="A921" s="9" t="n">
        <f aca="false">IFERROR(__xludf.dummyfunction("""COMPUTED_VALUE"""),45533.6666666667)</f>
        <v>45533.6666666667</v>
      </c>
      <c r="B921" s="8" t="n">
        <f aca="false">IFERROR(__xludf.dummyfunction("""COMPUTED_VALUE"""),519.05)</f>
        <v>519.05</v>
      </c>
      <c r="C921" s="8" t="n">
        <f aca="false">IFERROR(__xludf.dummyfunction("""COMPUTED_VALUE"""),527.2)</f>
        <v>527.2</v>
      </c>
      <c r="D921" s="8" t="n">
        <f aca="false">IFERROR(__xludf.dummyfunction("""COMPUTED_VALUE"""),515.68)</f>
        <v>515.68</v>
      </c>
      <c r="E921" s="8" t="n">
        <f aca="false">IFERROR(__xludf.dummyfunction("""COMPUTED_VALUE"""),518.22)</f>
        <v>518.22</v>
      </c>
      <c r="F921" s="8" t="n">
        <f aca="false">IFERROR(__xludf.dummyfunction("""COMPUTED_VALUE"""),8317424)</f>
        <v>8317424</v>
      </c>
    </row>
    <row r="922" customFormat="false" ht="15.75" hidden="false" customHeight="false" outlineLevel="0" collapsed="false">
      <c r="A922" s="9" t="n">
        <f aca="false">IFERROR(__xludf.dummyfunction("""COMPUTED_VALUE"""),45534.6666666667)</f>
        <v>45534.6666666667</v>
      </c>
      <c r="B922" s="8" t="n">
        <f aca="false">IFERROR(__xludf.dummyfunction("""COMPUTED_VALUE"""),521.35)</f>
        <v>521.35</v>
      </c>
      <c r="C922" s="8" t="n">
        <f aca="false">IFERROR(__xludf.dummyfunction("""COMPUTED_VALUE"""),523.54)</f>
        <v>523.54</v>
      </c>
      <c r="D922" s="8" t="n">
        <f aca="false">IFERROR(__xludf.dummyfunction("""COMPUTED_VALUE"""),515.2)</f>
        <v>515.2</v>
      </c>
      <c r="E922" s="8" t="n">
        <f aca="false">IFERROR(__xludf.dummyfunction("""COMPUTED_VALUE"""),521.31)</f>
        <v>521.31</v>
      </c>
      <c r="F922" s="8" t="n">
        <f aca="false">IFERROR(__xludf.dummyfunction("""COMPUTED_VALUE"""),9157541)</f>
        <v>9157541</v>
      </c>
    </row>
    <row r="923" customFormat="false" ht="15.75" hidden="false" customHeight="false" outlineLevel="0" collapsed="false">
      <c r="A923" s="9" t="n">
        <f aca="false">IFERROR(__xludf.dummyfunction("""COMPUTED_VALUE"""),45538.6666666667)</f>
        <v>45538.6666666667</v>
      </c>
      <c r="B923" s="8" t="n">
        <f aca="false">IFERROR(__xludf.dummyfunction("""COMPUTED_VALUE"""),519.64)</f>
        <v>519.64</v>
      </c>
      <c r="C923" s="8" t="n">
        <f aca="false">IFERROR(__xludf.dummyfunction("""COMPUTED_VALUE"""),525.49)</f>
        <v>525.49</v>
      </c>
      <c r="D923" s="8" t="n">
        <f aca="false">IFERROR(__xludf.dummyfunction("""COMPUTED_VALUE"""),508.62)</f>
        <v>508.62</v>
      </c>
      <c r="E923" s="8" t="n">
        <f aca="false">IFERROR(__xludf.dummyfunction("""COMPUTED_VALUE"""),511.76)</f>
        <v>511.76</v>
      </c>
      <c r="F923" s="8" t="n">
        <f aca="false">IFERROR(__xludf.dummyfunction("""COMPUTED_VALUE"""),12459113)</f>
        <v>12459113</v>
      </c>
    </row>
    <row r="924" customFormat="false" ht="15.75" hidden="false" customHeight="false" outlineLevel="0" collapsed="false">
      <c r="A924" s="9" t="n">
        <f aca="false">IFERROR(__xludf.dummyfunction("""COMPUTED_VALUE"""),45539.6666666667)</f>
        <v>45539.6666666667</v>
      </c>
      <c r="B924" s="8" t="n">
        <f aca="false">IFERROR(__xludf.dummyfunction("""COMPUTED_VALUE"""),506.07)</f>
        <v>506.07</v>
      </c>
      <c r="C924" s="8" t="n">
        <f aca="false">IFERROR(__xludf.dummyfunction("""COMPUTED_VALUE"""),516.59)</f>
        <v>516.59</v>
      </c>
      <c r="D924" s="8" t="n">
        <f aca="false">IFERROR(__xludf.dummyfunction("""COMPUTED_VALUE"""),504.07)</f>
        <v>504.07</v>
      </c>
      <c r="E924" s="8" t="n">
        <f aca="false">IFERROR(__xludf.dummyfunction("""COMPUTED_VALUE"""),512.74)</f>
        <v>512.74</v>
      </c>
      <c r="F924" s="8" t="n">
        <f aca="false">IFERROR(__xludf.dummyfunction("""COMPUTED_VALUE"""),8335207)</f>
        <v>8335207</v>
      </c>
    </row>
    <row r="925" customFormat="false" ht="15.75" hidden="false" customHeight="false" outlineLevel="0" collapsed="false">
      <c r="A925" s="9" t="n">
        <f aca="false">IFERROR(__xludf.dummyfunction("""COMPUTED_VALUE"""),45540.6666666667)</f>
        <v>45540.6666666667</v>
      </c>
      <c r="B925" s="8" t="n">
        <f aca="false">IFERROR(__xludf.dummyfunction("""COMPUTED_VALUE"""),511.72)</f>
        <v>511.72</v>
      </c>
      <c r="C925" s="8" t="n">
        <f aca="false">IFERROR(__xludf.dummyfunction("""COMPUTED_VALUE"""),521.63)</f>
        <v>521.63</v>
      </c>
      <c r="D925" s="8" t="n">
        <f aca="false">IFERROR(__xludf.dummyfunction("""COMPUTED_VALUE"""),511.15)</f>
        <v>511.15</v>
      </c>
      <c r="E925" s="8" t="n">
        <f aca="false">IFERROR(__xludf.dummyfunction("""COMPUTED_VALUE"""),516.86)</f>
        <v>516.86</v>
      </c>
      <c r="F925" s="8" t="n">
        <f aca="false">IFERROR(__xludf.dummyfunction("""COMPUTED_VALUE"""),8640888)</f>
        <v>8640888</v>
      </c>
    </row>
    <row r="926" customFormat="false" ht="15.75" hidden="false" customHeight="false" outlineLevel="0" collapsed="false">
      <c r="A926" s="9" t="n">
        <f aca="false">IFERROR(__xludf.dummyfunction("""COMPUTED_VALUE"""),45541.6666666667)</f>
        <v>45541.6666666667</v>
      </c>
      <c r="B926" s="8" t="n">
        <f aca="false">IFERROR(__xludf.dummyfunction("""COMPUTED_VALUE"""),521.88)</f>
        <v>521.88</v>
      </c>
      <c r="C926" s="8" t="n">
        <f aca="false">IFERROR(__xludf.dummyfunction("""COMPUTED_VALUE"""),524.58)</f>
        <v>524.58</v>
      </c>
      <c r="D926" s="8" t="n">
        <f aca="false">IFERROR(__xludf.dummyfunction("""COMPUTED_VALUE"""),498.25)</f>
        <v>498.25</v>
      </c>
      <c r="E926" s="8" t="n">
        <f aca="false">IFERROR(__xludf.dummyfunction("""COMPUTED_VALUE"""),500.27)</f>
        <v>500.27</v>
      </c>
      <c r="F926" s="8" t="n">
        <f aca="false">IFERROR(__xludf.dummyfunction("""COMPUTED_VALUE"""),14744521)</f>
        <v>14744521</v>
      </c>
    </row>
    <row r="927" customFormat="false" ht="15.75" hidden="false" customHeight="false" outlineLevel="0" collapsed="false">
      <c r="A927" s="9" t="n">
        <f aca="false">IFERROR(__xludf.dummyfunction("""COMPUTED_VALUE"""),45544.6666666667)</f>
        <v>45544.6666666667</v>
      </c>
      <c r="B927" s="8" t="n">
        <f aca="false">IFERROR(__xludf.dummyfunction("""COMPUTED_VALUE"""),506.16)</f>
        <v>506.16</v>
      </c>
      <c r="C927" s="8" t="n">
        <f aca="false">IFERROR(__xludf.dummyfunction("""COMPUTED_VALUE"""),511.33)</f>
        <v>511.33</v>
      </c>
      <c r="D927" s="8" t="n">
        <f aca="false">IFERROR(__xludf.dummyfunction("""COMPUTED_VALUE"""),502.08)</f>
        <v>502.08</v>
      </c>
      <c r="E927" s="8" t="n">
        <f aca="false">IFERROR(__xludf.dummyfunction("""COMPUTED_VALUE"""),504.79)</f>
        <v>504.79</v>
      </c>
      <c r="F927" s="8" t="n">
        <f aca="false">IFERROR(__xludf.dummyfunction("""COMPUTED_VALUE"""),11047828)</f>
        <v>11047828</v>
      </c>
    </row>
    <row r="928" customFormat="false" ht="15.75" hidden="false" customHeight="false" outlineLevel="0" collapsed="false">
      <c r="A928" s="9" t="n">
        <f aca="false">IFERROR(__xludf.dummyfunction("""COMPUTED_VALUE"""),45545.6666666667)</f>
        <v>45545.6666666667</v>
      </c>
      <c r="B928" s="8" t="n">
        <f aca="false">IFERROR(__xludf.dummyfunction("""COMPUTED_VALUE"""),508.16)</f>
        <v>508.16</v>
      </c>
      <c r="C928" s="8" t="n">
        <f aca="false">IFERROR(__xludf.dummyfunction("""COMPUTED_VALUE"""),514.18)</f>
        <v>514.18</v>
      </c>
      <c r="D928" s="8" t="n">
        <f aca="false">IFERROR(__xludf.dummyfunction("""COMPUTED_VALUE"""),500.03)</f>
        <v>500.03</v>
      </c>
      <c r="E928" s="8" t="n">
        <f aca="false">IFERROR(__xludf.dummyfunction("""COMPUTED_VALUE"""),504.79)</f>
        <v>504.79</v>
      </c>
      <c r="F928" s="8" t="n">
        <f aca="false">IFERROR(__xludf.dummyfunction("""COMPUTED_VALUE"""),9899022)</f>
        <v>9899022</v>
      </c>
    </row>
    <row r="929" customFormat="false" ht="15.75" hidden="false" customHeight="false" outlineLevel="0" collapsed="false">
      <c r="A929" s="9" t="n">
        <f aca="false">IFERROR(__xludf.dummyfunction("""COMPUTED_VALUE"""),45546.6666666667)</f>
        <v>45546.6666666667</v>
      </c>
      <c r="B929" s="8" t="n">
        <f aca="false">IFERROR(__xludf.dummyfunction("""COMPUTED_VALUE"""),507.01)</f>
        <v>507.01</v>
      </c>
      <c r="C929" s="8" t="n">
        <f aca="false">IFERROR(__xludf.dummyfunction("""COMPUTED_VALUE"""),513.12)</f>
        <v>513.12</v>
      </c>
      <c r="D929" s="8" t="n">
        <f aca="false">IFERROR(__xludf.dummyfunction("""COMPUTED_VALUE"""),495.6)</f>
        <v>495.6</v>
      </c>
      <c r="E929" s="8" t="n">
        <f aca="false">IFERROR(__xludf.dummyfunction("""COMPUTED_VALUE"""),511.83)</f>
        <v>511.83</v>
      </c>
      <c r="F929" s="8" t="n">
        <f aca="false">IFERROR(__xludf.dummyfunction("""COMPUTED_VALUE"""),10782532)</f>
        <v>10782532</v>
      </c>
    </row>
    <row r="930" customFormat="false" ht="15.75" hidden="false" customHeight="false" outlineLevel="0" collapsed="false">
      <c r="A930" s="9" t="n">
        <f aca="false">IFERROR(__xludf.dummyfunction("""COMPUTED_VALUE"""),45547.6666666667)</f>
        <v>45547.6666666667</v>
      </c>
      <c r="B930" s="8" t="n">
        <f aca="false">IFERROR(__xludf.dummyfunction("""COMPUTED_VALUE"""),517.05)</f>
        <v>517.05</v>
      </c>
      <c r="C930" s="8" t="n">
        <f aca="false">IFERROR(__xludf.dummyfunction("""COMPUTED_VALUE"""),526.71)</f>
        <v>526.71</v>
      </c>
      <c r="D930" s="8" t="n">
        <f aca="false">IFERROR(__xludf.dummyfunction("""COMPUTED_VALUE"""),515.22)</f>
        <v>515.22</v>
      </c>
      <c r="E930" s="8" t="n">
        <f aca="false">IFERROR(__xludf.dummyfunction("""COMPUTED_VALUE"""),525.6)</f>
        <v>525.6</v>
      </c>
      <c r="F930" s="8" t="n">
        <f aca="false">IFERROR(__xludf.dummyfunction("""COMPUTED_VALUE"""),11993342)</f>
        <v>11993342</v>
      </c>
    </row>
    <row r="931" customFormat="false" ht="15.75" hidden="false" customHeight="false" outlineLevel="0" collapsed="false">
      <c r="A931" s="9" t="n">
        <f aca="false">IFERROR(__xludf.dummyfunction("""COMPUTED_VALUE"""),45548.6666666667)</f>
        <v>45548.6666666667</v>
      </c>
      <c r="B931" s="8" t="n">
        <f aca="false">IFERROR(__xludf.dummyfunction("""COMPUTED_VALUE"""),520.34)</f>
        <v>520.34</v>
      </c>
      <c r="C931" s="8" t="n">
        <f aca="false">IFERROR(__xludf.dummyfunction("""COMPUTED_VALUE"""),527.58)</f>
        <v>527.58</v>
      </c>
      <c r="D931" s="8" t="n">
        <f aca="false">IFERROR(__xludf.dummyfunction("""COMPUTED_VALUE"""),517.11)</f>
        <v>517.11</v>
      </c>
      <c r="E931" s="8" t="n">
        <f aca="false">IFERROR(__xludf.dummyfunction("""COMPUTED_VALUE"""),524.62)</f>
        <v>524.62</v>
      </c>
      <c r="F931" s="8" t="n">
        <f aca="false">IFERROR(__xludf.dummyfunction("""COMPUTED_VALUE"""),10321422)</f>
        <v>10321422</v>
      </c>
    </row>
    <row r="932" customFormat="false" ht="15.75" hidden="false" customHeight="false" outlineLevel="0" collapsed="false">
      <c r="A932" s="9" t="n">
        <f aca="false">IFERROR(__xludf.dummyfunction("""COMPUTED_VALUE"""),45551.6666666667)</f>
        <v>45551.6666666667</v>
      </c>
      <c r="B932" s="8" t="n">
        <f aca="false">IFERROR(__xludf.dummyfunction("""COMPUTED_VALUE"""),524.54)</f>
        <v>524.54</v>
      </c>
      <c r="C932" s="8" t="n">
        <f aca="false">IFERROR(__xludf.dummyfunction("""COMPUTED_VALUE"""),534.1)</f>
        <v>534.1</v>
      </c>
      <c r="D932" s="8" t="n">
        <f aca="false">IFERROR(__xludf.dummyfunction("""COMPUTED_VALUE"""),517.4)</f>
        <v>517.4</v>
      </c>
      <c r="E932" s="8" t="n">
        <f aca="false">IFERROR(__xludf.dummyfunction("""COMPUTED_VALUE"""),533.28)</f>
        <v>533.28</v>
      </c>
      <c r="F932" s="8" t="n">
        <f aca="false">IFERROR(__xludf.dummyfunction("""COMPUTED_VALUE"""),9527646)</f>
        <v>9527646</v>
      </c>
    </row>
    <row r="933" customFormat="false" ht="15.75" hidden="false" customHeight="false" outlineLevel="0" collapsed="false">
      <c r="A933" s="9" t="n">
        <f aca="false">IFERROR(__xludf.dummyfunction("""COMPUTED_VALUE"""),45552.6666666667)</f>
        <v>45552.6666666667</v>
      </c>
      <c r="B933" s="8" t="n">
        <f aca="false">IFERROR(__xludf.dummyfunction("""COMPUTED_VALUE"""),537.6)</f>
        <v>537.6</v>
      </c>
      <c r="C933" s="8" t="n">
        <f aca="false">IFERROR(__xludf.dummyfunction("""COMPUTED_VALUE"""),542.1)</f>
        <v>542.1</v>
      </c>
      <c r="D933" s="8" t="n">
        <f aca="false">IFERROR(__xludf.dummyfunction("""COMPUTED_VALUE"""),530.57)</f>
        <v>530.57</v>
      </c>
      <c r="E933" s="8" t="n">
        <f aca="false">IFERROR(__xludf.dummyfunction("""COMPUTED_VALUE"""),536.32)</f>
        <v>536.32</v>
      </c>
      <c r="F933" s="8" t="n">
        <f aca="false">IFERROR(__xludf.dummyfunction("""COMPUTED_VALUE"""),11690779)</f>
        <v>11690779</v>
      </c>
    </row>
    <row r="934" customFormat="false" ht="15.75" hidden="false" customHeight="false" outlineLevel="0" collapsed="false">
      <c r="A934" s="9" t="n">
        <f aca="false">IFERROR(__xludf.dummyfunction("""COMPUTED_VALUE"""),45553.6666666667)</f>
        <v>45553.6666666667</v>
      </c>
      <c r="B934" s="8" t="n">
        <f aca="false">IFERROR(__xludf.dummyfunction("""COMPUTED_VALUE"""),537.07)</f>
        <v>537.07</v>
      </c>
      <c r="C934" s="8" t="n">
        <f aca="false">IFERROR(__xludf.dummyfunction("""COMPUTED_VALUE"""),544.2)</f>
        <v>544.2</v>
      </c>
      <c r="D934" s="8" t="n">
        <f aca="false">IFERROR(__xludf.dummyfunction("""COMPUTED_VALUE"""),533.9)</f>
        <v>533.9</v>
      </c>
      <c r="E934" s="8" t="n">
        <f aca="false">IFERROR(__xludf.dummyfunction("""COMPUTED_VALUE"""),537.95)</f>
        <v>537.95</v>
      </c>
      <c r="F934" s="8" t="n">
        <f aca="false">IFERROR(__xludf.dummyfunction("""COMPUTED_VALUE"""),10323537)</f>
        <v>10323537</v>
      </c>
    </row>
    <row r="935" customFormat="false" ht="15.75" hidden="false" customHeight="false" outlineLevel="0" collapsed="false">
      <c r="A935" s="9" t="n">
        <f aca="false">IFERROR(__xludf.dummyfunction("""COMPUTED_VALUE"""),45554.6666666667)</f>
        <v>45554.6666666667</v>
      </c>
      <c r="B935" s="8" t="n">
        <f aca="false">IFERROR(__xludf.dummyfunction("""COMPUTED_VALUE"""),550)</f>
        <v>550</v>
      </c>
      <c r="C935" s="8" t="n">
        <f aca="false">IFERROR(__xludf.dummyfunction("""COMPUTED_VALUE"""),562.07)</f>
        <v>562.07</v>
      </c>
      <c r="D935" s="8" t="n">
        <f aca="false">IFERROR(__xludf.dummyfunction("""COMPUTED_VALUE"""),546.52)</f>
        <v>546.52</v>
      </c>
      <c r="E935" s="8" t="n">
        <f aca="false">IFERROR(__xludf.dummyfunction("""COMPUTED_VALUE"""),559.1)</f>
        <v>559.1</v>
      </c>
      <c r="F935" s="8" t="n">
        <f aca="false">IFERROR(__xludf.dummyfunction("""COMPUTED_VALUE"""),15646951)</f>
        <v>15646951</v>
      </c>
    </row>
    <row r="936" customFormat="false" ht="15.75" hidden="false" customHeight="false" outlineLevel="0" collapsed="false">
      <c r="A936" s="9" t="n">
        <f aca="false">IFERROR(__xludf.dummyfunction("""COMPUTED_VALUE"""),45555.6666666667)</f>
        <v>45555.6666666667</v>
      </c>
      <c r="B936" s="8" t="n">
        <f aca="false">IFERROR(__xludf.dummyfunction("""COMPUTED_VALUE"""),560)</f>
        <v>560</v>
      </c>
      <c r="C936" s="8" t="n">
        <f aca="false">IFERROR(__xludf.dummyfunction("""COMPUTED_VALUE"""),564.5)</f>
        <v>564.5</v>
      </c>
      <c r="D936" s="8" t="n">
        <f aca="false">IFERROR(__xludf.dummyfunction("""COMPUTED_VALUE"""),556.3)</f>
        <v>556.3</v>
      </c>
      <c r="E936" s="8" t="n">
        <f aca="false">IFERROR(__xludf.dummyfunction("""COMPUTED_VALUE"""),561.35)</f>
        <v>561.35</v>
      </c>
      <c r="F936" s="8" t="n">
        <f aca="false">IFERROR(__xludf.dummyfunction("""COMPUTED_VALUE"""),22066817)</f>
        <v>22066817</v>
      </c>
    </row>
    <row r="937" customFormat="false" ht="15.75" hidden="false" customHeight="false" outlineLevel="0" collapsed="false">
      <c r="A937" s="9" t="n">
        <f aca="false">IFERROR(__xludf.dummyfunction("""COMPUTED_VALUE"""),45558.6666666667)</f>
        <v>45558.6666666667</v>
      </c>
      <c r="B937" s="8" t="n">
        <f aca="false">IFERROR(__xludf.dummyfunction("""COMPUTED_VALUE"""),569.5)</f>
        <v>569.5</v>
      </c>
      <c r="C937" s="8" t="n">
        <f aca="false">IFERROR(__xludf.dummyfunction("""COMPUTED_VALUE"""),573.98)</f>
        <v>573.98</v>
      </c>
      <c r="D937" s="8" t="n">
        <f aca="false">IFERROR(__xludf.dummyfunction("""COMPUTED_VALUE"""),562.41)</f>
        <v>562.41</v>
      </c>
      <c r="E937" s="8" t="n">
        <f aca="false">IFERROR(__xludf.dummyfunction("""COMPUTED_VALUE"""),564.41)</f>
        <v>564.41</v>
      </c>
      <c r="F937" s="8" t="n">
        <f aca="false">IFERROR(__xludf.dummyfunction("""COMPUTED_VALUE"""),12830669)</f>
        <v>12830669</v>
      </c>
    </row>
    <row r="938" customFormat="false" ht="15.75" hidden="false" customHeight="false" outlineLevel="0" collapsed="false">
      <c r="A938" s="9" t="n">
        <f aca="false">IFERROR(__xludf.dummyfunction("""COMPUTED_VALUE"""),45559.6666666667)</f>
        <v>45559.6666666667</v>
      </c>
      <c r="B938" s="8" t="n">
        <f aca="false">IFERROR(__xludf.dummyfunction("""COMPUTED_VALUE"""),566.68)</f>
        <v>566.68</v>
      </c>
      <c r="C938" s="8" t="n">
        <f aca="false">IFERROR(__xludf.dummyfunction("""COMPUTED_VALUE"""),567.75)</f>
        <v>567.75</v>
      </c>
      <c r="D938" s="8" t="n">
        <f aca="false">IFERROR(__xludf.dummyfunction("""COMPUTED_VALUE"""),554.19)</f>
        <v>554.19</v>
      </c>
      <c r="E938" s="8" t="n">
        <f aca="false">IFERROR(__xludf.dummyfunction("""COMPUTED_VALUE"""),563.33)</f>
        <v>563.33</v>
      </c>
      <c r="F938" s="8" t="n">
        <f aca="false">IFERROR(__xludf.dummyfunction("""COMPUTED_VALUE"""),12992956)</f>
        <v>12992956</v>
      </c>
    </row>
    <row r="939" customFormat="false" ht="15.75" hidden="false" customHeight="false" outlineLevel="0" collapsed="false">
      <c r="A939" s="9" t="n">
        <f aca="false">IFERROR(__xludf.dummyfunction("""COMPUTED_VALUE"""),45560.6666666667)</f>
        <v>45560.6666666667</v>
      </c>
      <c r="B939" s="8" t="n">
        <f aca="false">IFERROR(__xludf.dummyfunction("""COMPUTED_VALUE"""),564.05)</f>
        <v>564.05</v>
      </c>
      <c r="C939" s="8" t="n">
        <f aca="false">IFERROR(__xludf.dummyfunction("""COMPUTED_VALUE"""),576.88)</f>
        <v>576.88</v>
      </c>
      <c r="D939" s="8" t="n">
        <f aca="false">IFERROR(__xludf.dummyfunction("""COMPUTED_VALUE"""),563.72)</f>
        <v>563.72</v>
      </c>
      <c r="E939" s="8" t="n">
        <f aca="false">IFERROR(__xludf.dummyfunction("""COMPUTED_VALUE"""),568.31)</f>
        <v>568.31</v>
      </c>
      <c r="F939" s="8" t="n">
        <f aca="false">IFERROR(__xludf.dummyfunction("""COMPUTED_VALUE"""),16543350)</f>
        <v>16543350</v>
      </c>
    </row>
    <row r="940" customFormat="false" ht="15.75" hidden="false" customHeight="false" outlineLevel="0" collapsed="false">
      <c r="A940" s="9" t="n">
        <f aca="false">IFERROR(__xludf.dummyfunction("""COMPUTED_VALUE"""),45561.6666666667)</f>
        <v>45561.6666666667</v>
      </c>
      <c r="B940" s="8" t="n">
        <f aca="false">IFERROR(__xludf.dummyfunction("""COMPUTED_VALUE"""),575.73)</f>
        <v>575.73</v>
      </c>
      <c r="C940" s="8" t="n">
        <f aca="false">IFERROR(__xludf.dummyfunction("""COMPUTED_VALUE"""),577.4)</f>
        <v>577.4</v>
      </c>
      <c r="D940" s="8" t="n">
        <f aca="false">IFERROR(__xludf.dummyfunction("""COMPUTED_VALUE"""),562.35)</f>
        <v>562.35</v>
      </c>
      <c r="E940" s="8" t="n">
        <f aca="false">IFERROR(__xludf.dummyfunction("""COMPUTED_VALUE"""),567.84)</f>
        <v>567.84</v>
      </c>
      <c r="F940" s="8" t="n">
        <f aca="false">IFERROR(__xludf.dummyfunction("""COMPUTED_VALUE"""),14400787)</f>
        <v>14400787</v>
      </c>
    </row>
    <row r="941" customFormat="false" ht="15.75" hidden="false" customHeight="false" outlineLevel="0" collapsed="false">
      <c r="A941" s="9" t="n">
        <f aca="false">IFERROR(__xludf.dummyfunction("""COMPUTED_VALUE"""),45562.6666666667)</f>
        <v>45562.6666666667</v>
      </c>
      <c r="B941" s="8" t="n">
        <f aca="false">IFERROR(__xludf.dummyfunction("""COMPUTED_VALUE"""),570.1)</f>
        <v>570.1</v>
      </c>
      <c r="C941" s="8" t="n">
        <f aca="false">IFERROR(__xludf.dummyfunction("""COMPUTED_VALUE"""),570.84)</f>
        <v>570.84</v>
      </c>
      <c r="D941" s="8" t="n">
        <f aca="false">IFERROR(__xludf.dummyfunction("""COMPUTED_VALUE"""),564.51)</f>
        <v>564.51</v>
      </c>
      <c r="E941" s="8" t="n">
        <f aca="false">IFERROR(__xludf.dummyfunction("""COMPUTED_VALUE"""),567.36)</f>
        <v>567.36</v>
      </c>
      <c r="F941" s="8" t="n">
        <f aca="false">IFERROR(__xludf.dummyfunction("""COMPUTED_VALUE"""),9398367)</f>
        <v>9398367</v>
      </c>
    </row>
    <row r="942" customFormat="false" ht="15.75" hidden="false" customHeight="false" outlineLevel="0" collapsed="false">
      <c r="A942" s="9" t="n">
        <f aca="false">IFERROR(__xludf.dummyfunction("""COMPUTED_VALUE"""),45565.6666666667)</f>
        <v>45565.6666666667</v>
      </c>
      <c r="B942" s="8" t="n">
        <f aca="false">IFERROR(__xludf.dummyfunction("""COMPUTED_VALUE"""),567.7)</f>
        <v>567.7</v>
      </c>
      <c r="C942" s="8" t="n">
        <f aca="false">IFERROR(__xludf.dummyfunction("""COMPUTED_VALUE"""),574.68)</f>
        <v>574.68</v>
      </c>
      <c r="D942" s="8" t="n">
        <f aca="false">IFERROR(__xludf.dummyfunction("""COMPUTED_VALUE"""),564.8)</f>
        <v>564.8</v>
      </c>
      <c r="E942" s="8" t="n">
        <f aca="false">IFERROR(__xludf.dummyfunction("""COMPUTED_VALUE"""),572.44)</f>
        <v>572.44</v>
      </c>
      <c r="F942" s="8" t="n">
        <f aca="false">IFERROR(__xludf.dummyfunction("""COMPUTED_VALUE"""),12807206)</f>
        <v>12807206</v>
      </c>
    </row>
    <row r="943" customFormat="false" ht="15.75" hidden="false" customHeight="false" outlineLevel="0" collapsed="false">
      <c r="A943" s="9" t="n">
        <f aca="false">IFERROR(__xludf.dummyfunction("""COMPUTED_VALUE"""),45566.6666666667)</f>
        <v>45566.6666666667</v>
      </c>
      <c r="B943" s="8" t="n">
        <f aca="false">IFERROR(__xludf.dummyfunction("""COMPUTED_VALUE"""),577.98)</f>
        <v>577.98</v>
      </c>
      <c r="C943" s="8" t="n">
        <f aca="false">IFERROR(__xludf.dummyfunction("""COMPUTED_VALUE"""),583.04)</f>
        <v>583.04</v>
      </c>
      <c r="D943" s="8" t="n">
        <f aca="false">IFERROR(__xludf.dummyfunction("""COMPUTED_VALUE"""),570.1)</f>
        <v>570.1</v>
      </c>
      <c r="E943" s="8" t="n">
        <f aca="false">IFERROR(__xludf.dummyfunction("""COMPUTED_VALUE"""),576.47)</f>
        <v>576.47</v>
      </c>
      <c r="F943" s="8" t="n">
        <f aca="false">IFERROR(__xludf.dummyfunction("""COMPUTED_VALUE"""),15259274)</f>
        <v>15259274</v>
      </c>
    </row>
    <row r="944" customFormat="false" ht="15.75" hidden="false" customHeight="false" outlineLevel="0" collapsed="false">
      <c r="A944" s="9" t="n">
        <f aca="false">IFERROR(__xludf.dummyfunction("""COMPUTED_VALUE"""),45567.6666666667)</f>
        <v>45567.6666666667</v>
      </c>
      <c r="B944" s="8" t="n">
        <f aca="false">IFERROR(__xludf.dummyfunction("""COMPUTED_VALUE"""),574.86)</f>
        <v>574.86</v>
      </c>
      <c r="C944" s="8" t="n">
        <f aca="false">IFERROR(__xludf.dummyfunction("""COMPUTED_VALUE"""),576)</f>
        <v>576</v>
      </c>
      <c r="D944" s="8" t="n">
        <f aca="false">IFERROR(__xludf.dummyfunction("""COMPUTED_VALUE"""),569.34)</f>
        <v>569.34</v>
      </c>
      <c r="E944" s="8" t="n">
        <f aca="false">IFERROR(__xludf.dummyfunction("""COMPUTED_VALUE"""),572.81)</f>
        <v>572.81</v>
      </c>
      <c r="F944" s="8" t="n">
        <f aca="false">IFERROR(__xludf.dummyfunction("""COMPUTED_VALUE"""),6524650)</f>
        <v>6524650</v>
      </c>
    </row>
    <row r="945" customFormat="false" ht="15.75" hidden="false" customHeight="false" outlineLevel="0" collapsed="false">
      <c r="A945" s="9" t="n">
        <f aca="false">IFERROR(__xludf.dummyfunction("""COMPUTED_VALUE"""),45568.6666666667)</f>
        <v>45568.6666666667</v>
      </c>
      <c r="B945" s="8" t="n">
        <f aca="false">IFERROR(__xludf.dummyfunction("""COMPUTED_VALUE"""),570.15)</f>
        <v>570.15</v>
      </c>
      <c r="C945" s="8" t="n">
        <f aca="false">IFERROR(__xludf.dummyfunction("""COMPUTED_VALUE"""),583.36)</f>
        <v>583.36</v>
      </c>
      <c r="D945" s="8" t="n">
        <f aca="false">IFERROR(__xludf.dummyfunction("""COMPUTED_VALUE"""),568.73)</f>
        <v>568.73</v>
      </c>
      <c r="E945" s="8" t="n">
        <f aca="false">IFERROR(__xludf.dummyfunction("""COMPUTED_VALUE"""),582.77)</f>
        <v>582.77</v>
      </c>
      <c r="F945" s="8" t="n">
        <f aca="false">IFERROR(__xludf.dummyfunction("""COMPUTED_VALUE"""),11580980)</f>
        <v>11580980</v>
      </c>
    </row>
    <row r="946" customFormat="false" ht="15.75" hidden="false" customHeight="false" outlineLevel="0" collapsed="false">
      <c r="A946" s="9" t="n">
        <f aca="false">IFERROR(__xludf.dummyfunction("""COMPUTED_VALUE"""),45569.6666666667)</f>
        <v>45569.6666666667</v>
      </c>
      <c r="B946" s="8" t="n">
        <f aca="false">IFERROR(__xludf.dummyfunction("""COMPUTED_VALUE"""),583.73)</f>
        <v>583.73</v>
      </c>
      <c r="C946" s="8" t="n">
        <f aca="false">IFERROR(__xludf.dummyfunction("""COMPUTED_VALUE"""),596.85)</f>
        <v>596.85</v>
      </c>
      <c r="D946" s="8" t="n">
        <f aca="false">IFERROR(__xludf.dummyfunction("""COMPUTED_VALUE"""),581.43)</f>
        <v>581.43</v>
      </c>
      <c r="E946" s="8" t="n">
        <f aca="false">IFERROR(__xludf.dummyfunction("""COMPUTED_VALUE"""),595.94)</f>
        <v>595.94</v>
      </c>
      <c r="F946" s="8" t="n">
        <f aca="false">IFERROR(__xludf.dummyfunction("""COMPUTED_VALUE"""),14199788)</f>
        <v>14199788</v>
      </c>
    </row>
    <row r="947" customFormat="false" ht="15.75" hidden="false" customHeight="false" outlineLevel="0" collapsed="false">
      <c r="A947" s="9" t="n">
        <f aca="false">IFERROR(__xludf.dummyfunction("""COMPUTED_VALUE"""),45572.6666666667)</f>
        <v>45572.6666666667</v>
      </c>
      <c r="B947" s="8" t="n">
        <f aca="false">IFERROR(__xludf.dummyfunction("""COMPUTED_VALUE"""),598.22)</f>
        <v>598.22</v>
      </c>
      <c r="C947" s="8" t="n">
        <f aca="false">IFERROR(__xludf.dummyfunction("""COMPUTED_VALUE"""),602.95)</f>
        <v>602.95</v>
      </c>
      <c r="D947" s="8" t="n">
        <f aca="false">IFERROR(__xludf.dummyfunction("""COMPUTED_VALUE"""),584.04)</f>
        <v>584.04</v>
      </c>
      <c r="E947" s="8" t="n">
        <f aca="false">IFERROR(__xludf.dummyfunction("""COMPUTED_VALUE"""),584.78)</f>
        <v>584.78</v>
      </c>
      <c r="F947" s="8" t="n">
        <f aca="false">IFERROR(__xludf.dummyfunction("""COMPUTED_VALUE"""),12014198)</f>
        <v>12014198</v>
      </c>
    </row>
    <row r="948" customFormat="false" ht="15.75" hidden="false" customHeight="false" outlineLevel="0" collapsed="false">
      <c r="A948" s="9" t="n">
        <f aca="false">IFERROR(__xludf.dummyfunction("""COMPUTED_VALUE"""),45573.6666666667)</f>
        <v>45573.6666666667</v>
      </c>
      <c r="B948" s="8" t="n">
        <f aca="false">IFERROR(__xludf.dummyfunction("""COMPUTED_VALUE"""),589.69)</f>
        <v>589.69</v>
      </c>
      <c r="C948" s="8" t="n">
        <f aca="false">IFERROR(__xludf.dummyfunction("""COMPUTED_VALUE"""),593.56)</f>
        <v>593.56</v>
      </c>
      <c r="D948" s="8" t="n">
        <f aca="false">IFERROR(__xludf.dummyfunction("""COMPUTED_VALUE"""),585.97)</f>
        <v>585.97</v>
      </c>
      <c r="E948" s="8" t="n">
        <f aca="false">IFERROR(__xludf.dummyfunction("""COMPUTED_VALUE"""),592.89)</f>
        <v>592.89</v>
      </c>
      <c r="F948" s="8" t="n">
        <f aca="false">IFERROR(__xludf.dummyfunction("""COMPUTED_VALUE"""),7857377)</f>
        <v>7857377</v>
      </c>
    </row>
    <row r="949" customFormat="false" ht="15.75" hidden="false" customHeight="false" outlineLevel="0" collapsed="false">
      <c r="A949" s="9" t="n">
        <f aca="false">IFERROR(__xludf.dummyfunction("""COMPUTED_VALUE"""),45574.6666666667)</f>
        <v>45574.6666666667</v>
      </c>
      <c r="B949" s="8" t="n">
        <f aca="false">IFERROR(__xludf.dummyfunction("""COMPUTED_VALUE"""),593.99)</f>
        <v>593.99</v>
      </c>
      <c r="C949" s="8" t="n">
        <f aca="false">IFERROR(__xludf.dummyfunction("""COMPUTED_VALUE"""),594.39)</f>
        <v>594.39</v>
      </c>
      <c r="D949" s="8" t="n">
        <f aca="false">IFERROR(__xludf.dummyfunction("""COMPUTED_VALUE"""),581.61)</f>
        <v>581.61</v>
      </c>
      <c r="E949" s="8" t="n">
        <f aca="false">IFERROR(__xludf.dummyfunction("""COMPUTED_VALUE"""),590.51)</f>
        <v>590.51</v>
      </c>
      <c r="F949" s="8" t="n">
        <f aca="false">IFERROR(__xludf.dummyfunction("""COMPUTED_VALUE"""),9529707)</f>
        <v>9529707</v>
      </c>
    </row>
    <row r="950" customFormat="false" ht="15.75" hidden="false" customHeight="false" outlineLevel="0" collapsed="false">
      <c r="A950" s="9" t="n">
        <f aca="false">IFERROR(__xludf.dummyfunction("""COMPUTED_VALUE"""),45575.6666666667)</f>
        <v>45575.6666666667</v>
      </c>
      <c r="B950" s="8" t="n">
        <f aca="false">IFERROR(__xludf.dummyfunction("""COMPUTED_VALUE"""),587.57)</f>
        <v>587.57</v>
      </c>
      <c r="C950" s="8" t="n">
        <f aca="false">IFERROR(__xludf.dummyfunction("""COMPUTED_VALUE"""),590.23)</f>
        <v>590.23</v>
      </c>
      <c r="D950" s="8" t="n">
        <f aca="false">IFERROR(__xludf.dummyfunction("""COMPUTED_VALUE"""),582.52)</f>
        <v>582.52</v>
      </c>
      <c r="E950" s="8" t="n">
        <f aca="false">IFERROR(__xludf.dummyfunction("""COMPUTED_VALUE"""),583.83)</f>
        <v>583.83</v>
      </c>
      <c r="F950" s="8" t="n">
        <f aca="false">IFERROR(__xludf.dummyfunction("""COMPUTED_VALUE"""),7740449)</f>
        <v>7740449</v>
      </c>
    </row>
    <row r="951" customFormat="false" ht="15.75" hidden="false" customHeight="false" outlineLevel="0" collapsed="false">
      <c r="A951" s="9" t="n">
        <f aca="false">IFERROR(__xludf.dummyfunction("""COMPUTED_VALUE"""),45576.6666666667)</f>
        <v>45576.6666666667</v>
      </c>
      <c r="B951" s="8" t="n">
        <f aca="false">IFERROR(__xludf.dummyfunction("""COMPUTED_VALUE"""),584.83)</f>
        <v>584.83</v>
      </c>
      <c r="C951" s="8" t="n">
        <f aca="false">IFERROR(__xludf.dummyfunction("""COMPUTED_VALUE"""),591.21)</f>
        <v>591.21</v>
      </c>
      <c r="D951" s="8" t="n">
        <f aca="false">IFERROR(__xludf.dummyfunction("""COMPUTED_VALUE"""),582.71)</f>
        <v>582.71</v>
      </c>
      <c r="E951" s="8" t="n">
        <f aca="false">IFERROR(__xludf.dummyfunction("""COMPUTED_VALUE"""),589.95)</f>
        <v>589.95</v>
      </c>
      <c r="F951" s="8" t="n">
        <f aca="false">IFERROR(__xludf.dummyfunction("""COMPUTED_VALUE"""),8587051)</f>
        <v>8587051</v>
      </c>
    </row>
    <row r="952" customFormat="false" ht="15.75" hidden="false" customHeight="false" outlineLevel="0" collapsed="false">
      <c r="A952" s="9" t="n">
        <f aca="false">IFERROR(__xludf.dummyfunction("""COMPUTED_VALUE"""),45579.6666666667)</f>
        <v>45579.6666666667</v>
      </c>
      <c r="B952" s="8" t="n">
        <f aca="false">IFERROR(__xludf.dummyfunction("""COMPUTED_VALUE"""),594.22)</f>
        <v>594.22</v>
      </c>
      <c r="C952" s="8" t="n">
        <f aca="false">IFERROR(__xludf.dummyfunction("""COMPUTED_VALUE"""),600.1)</f>
        <v>600.1</v>
      </c>
      <c r="D952" s="8" t="n">
        <f aca="false">IFERROR(__xludf.dummyfunction("""COMPUTED_VALUE"""),589.96)</f>
        <v>589.96</v>
      </c>
      <c r="E952" s="8" t="n">
        <f aca="false">IFERROR(__xludf.dummyfunction("""COMPUTED_VALUE"""),590.42)</f>
        <v>590.42</v>
      </c>
      <c r="F952" s="8" t="n">
        <f aca="false">IFERROR(__xludf.dummyfunction("""COMPUTED_VALUE"""),8251971)</f>
        <v>8251971</v>
      </c>
    </row>
    <row r="953" customFormat="false" ht="15.75" hidden="false" customHeight="false" outlineLevel="0" collapsed="false">
      <c r="A953" s="9" t="n">
        <f aca="false">IFERROR(__xludf.dummyfunction("""COMPUTED_VALUE"""),45580.6666666667)</f>
        <v>45580.6666666667</v>
      </c>
      <c r="B953" s="8" t="n">
        <f aca="false">IFERROR(__xludf.dummyfunction("""COMPUTED_VALUE"""),590.16)</f>
        <v>590.16</v>
      </c>
      <c r="C953" s="8" t="n">
        <f aca="false">IFERROR(__xludf.dummyfunction("""COMPUTED_VALUE"""),590.61)</f>
        <v>590.61</v>
      </c>
      <c r="D953" s="8" t="n">
        <f aca="false">IFERROR(__xludf.dummyfunction("""COMPUTED_VALUE"""),580.14)</f>
        <v>580.14</v>
      </c>
      <c r="E953" s="8" t="n">
        <f aca="false">IFERROR(__xludf.dummyfunction("""COMPUTED_VALUE"""),586.27)</f>
        <v>586.27</v>
      </c>
      <c r="F953" s="8" t="n">
        <f aca="false">IFERROR(__xludf.dummyfunction("""COMPUTED_VALUE"""),9564236)</f>
        <v>9564236</v>
      </c>
    </row>
    <row r="954" customFormat="false" ht="15.75" hidden="false" customHeight="false" outlineLevel="0" collapsed="false">
      <c r="A954" s="9" t="n">
        <f aca="false">IFERROR(__xludf.dummyfunction("""COMPUTED_VALUE"""),45581.6666666667)</f>
        <v>45581.6666666667</v>
      </c>
      <c r="B954" s="8" t="n">
        <f aca="false">IFERROR(__xludf.dummyfunction("""COMPUTED_VALUE"""),581.4)</f>
        <v>581.4</v>
      </c>
      <c r="C954" s="8" t="n">
        <f aca="false">IFERROR(__xludf.dummyfunction("""COMPUTED_VALUE"""),582.08)</f>
        <v>582.08</v>
      </c>
      <c r="D954" s="8" t="n">
        <f aca="false">IFERROR(__xludf.dummyfunction("""COMPUTED_VALUE"""),574.03)</f>
        <v>574.03</v>
      </c>
      <c r="E954" s="8" t="n">
        <f aca="false">IFERROR(__xludf.dummyfunction("""COMPUTED_VALUE"""),576.79)</f>
        <v>576.79</v>
      </c>
      <c r="F954" s="8" t="n">
        <f aca="false">IFERROR(__xludf.dummyfunction("""COMPUTED_VALUE"""),11268384)</f>
        <v>11268384</v>
      </c>
    </row>
    <row r="955" customFormat="false" ht="15.75" hidden="false" customHeight="false" outlineLevel="0" collapsed="false">
      <c r="A955" s="9" t="n">
        <f aca="false">IFERROR(__xludf.dummyfunction("""COMPUTED_VALUE"""),45582.6666666667)</f>
        <v>45582.6666666667</v>
      </c>
      <c r="B955" s="8" t="n">
        <f aca="false">IFERROR(__xludf.dummyfunction("""COMPUTED_VALUE"""),583.33)</f>
        <v>583.33</v>
      </c>
      <c r="C955" s="8" t="n">
        <f aca="false">IFERROR(__xludf.dummyfunction("""COMPUTED_VALUE"""),584.97)</f>
        <v>584.97</v>
      </c>
      <c r="D955" s="8" t="n">
        <f aca="false">IFERROR(__xludf.dummyfunction("""COMPUTED_VALUE"""),575.2)</f>
        <v>575.2</v>
      </c>
      <c r="E955" s="8" t="n">
        <f aca="false">IFERROR(__xludf.dummyfunction("""COMPUTED_VALUE"""),576.93)</f>
        <v>576.93</v>
      </c>
      <c r="F955" s="8" t="n">
        <f aca="false">IFERROR(__xludf.dummyfunction("""COMPUTED_VALUE"""),8701158)</f>
        <v>8701158</v>
      </c>
    </row>
    <row r="956" customFormat="false" ht="15.75" hidden="false" customHeight="false" outlineLevel="0" collapsed="false">
      <c r="A956" s="9" t="n">
        <f aca="false">IFERROR(__xludf.dummyfunction("""COMPUTED_VALUE"""),45583.6666666667)</f>
        <v>45583.6666666667</v>
      </c>
      <c r="B956" s="8" t="n">
        <f aca="false">IFERROR(__xludf.dummyfunction("""COMPUTED_VALUE"""),581.1)</f>
        <v>581.1</v>
      </c>
      <c r="C956" s="8" t="n">
        <f aca="false">IFERROR(__xludf.dummyfunction("""COMPUTED_VALUE"""),583.97)</f>
        <v>583.97</v>
      </c>
      <c r="D956" s="8" t="n">
        <f aca="false">IFERROR(__xludf.dummyfunction("""COMPUTED_VALUE"""),575.25)</f>
        <v>575.25</v>
      </c>
      <c r="E956" s="8" t="n">
        <f aca="false">IFERROR(__xludf.dummyfunction("""COMPUTED_VALUE"""),576.47)</f>
        <v>576.47</v>
      </c>
      <c r="F956" s="8" t="n">
        <f aca="false">IFERROR(__xludf.dummyfunction("""COMPUTED_VALUE"""),7694274)</f>
        <v>7694274</v>
      </c>
    </row>
    <row r="957" customFormat="false" ht="15.75" hidden="false" customHeight="false" outlineLevel="0" collapsed="false">
      <c r="A957" s="9" t="n">
        <f aca="false">IFERROR(__xludf.dummyfunction("""COMPUTED_VALUE"""),45586.6666666667)</f>
        <v>45586.6666666667</v>
      </c>
      <c r="B957" s="8" t="n">
        <f aca="false">IFERROR(__xludf.dummyfunction("""COMPUTED_VALUE"""),576.03)</f>
        <v>576.03</v>
      </c>
      <c r="C957" s="8" t="n">
        <f aca="false">IFERROR(__xludf.dummyfunction("""COMPUTED_VALUE"""),577.24)</f>
        <v>577.24</v>
      </c>
      <c r="D957" s="8" t="n">
        <f aca="false">IFERROR(__xludf.dummyfunction("""COMPUTED_VALUE"""),569.11)</f>
        <v>569.11</v>
      </c>
      <c r="E957" s="8" t="n">
        <f aca="false">IFERROR(__xludf.dummyfunction("""COMPUTED_VALUE"""),575.16)</f>
        <v>575.16</v>
      </c>
      <c r="F957" s="8" t="n">
        <f aca="false">IFERROR(__xludf.dummyfunction("""COMPUTED_VALUE"""),8171879)</f>
        <v>8171879</v>
      </c>
    </row>
    <row r="958" customFormat="false" ht="15.75" hidden="false" customHeight="false" outlineLevel="0" collapsed="false">
      <c r="A958" s="9" t="n">
        <f aca="false">IFERROR(__xludf.dummyfunction("""COMPUTED_VALUE"""),45587.6666666667)</f>
        <v>45587.6666666667</v>
      </c>
      <c r="B958" s="8" t="n">
        <f aca="false">IFERROR(__xludf.dummyfunction("""COMPUTED_VALUE"""),574.29)</f>
        <v>574.29</v>
      </c>
      <c r="C958" s="8" t="n">
        <f aca="false">IFERROR(__xludf.dummyfunction("""COMPUTED_VALUE"""),583.53)</f>
        <v>583.53</v>
      </c>
      <c r="D958" s="8" t="n">
        <f aca="false">IFERROR(__xludf.dummyfunction("""COMPUTED_VALUE"""),572.12)</f>
        <v>572.12</v>
      </c>
      <c r="E958" s="8" t="n">
        <f aca="false">IFERROR(__xludf.dummyfunction("""COMPUTED_VALUE"""),582.01)</f>
        <v>582.01</v>
      </c>
      <c r="F958" s="8" t="n">
        <f aca="false">IFERROR(__xludf.dummyfunction("""COMPUTED_VALUE"""),8544463)</f>
        <v>8544463</v>
      </c>
    </row>
    <row r="959" customFormat="false" ht="15.75" hidden="false" customHeight="false" outlineLevel="0" collapsed="false">
      <c r="A959" s="9" t="n">
        <f aca="false">IFERROR(__xludf.dummyfunction("""COMPUTED_VALUE"""),45588.6666666667)</f>
        <v>45588.6666666667</v>
      </c>
      <c r="B959" s="8" t="n">
        <f aca="false">IFERROR(__xludf.dummyfunction("""COMPUTED_VALUE"""),579.97)</f>
        <v>579.97</v>
      </c>
      <c r="C959" s="8" t="n">
        <f aca="false">IFERROR(__xludf.dummyfunction("""COMPUTED_VALUE"""),585)</f>
        <v>585</v>
      </c>
      <c r="D959" s="8" t="n">
        <f aca="false">IFERROR(__xludf.dummyfunction("""COMPUTED_VALUE"""),562.5)</f>
        <v>562.5</v>
      </c>
      <c r="E959" s="8" t="n">
        <f aca="false">IFERROR(__xludf.dummyfunction("""COMPUTED_VALUE"""),563.69)</f>
        <v>563.69</v>
      </c>
      <c r="F959" s="8" t="n">
        <f aca="false">IFERROR(__xludf.dummyfunction("""COMPUTED_VALUE"""),14248419)</f>
        <v>14248419</v>
      </c>
    </row>
    <row r="960" customFormat="false" ht="15.75" hidden="false" customHeight="false" outlineLevel="0" collapsed="false">
      <c r="A960" s="9" t="n">
        <f aca="false">IFERROR(__xludf.dummyfunction("""COMPUTED_VALUE"""),45589.6666666667)</f>
        <v>45589.6666666667</v>
      </c>
      <c r="B960" s="8" t="n">
        <f aca="false">IFERROR(__xludf.dummyfunction("""COMPUTED_VALUE"""),567.13)</f>
        <v>567.13</v>
      </c>
      <c r="C960" s="8" t="n">
        <f aca="false">IFERROR(__xludf.dummyfunction("""COMPUTED_VALUE"""),568.88)</f>
        <v>568.88</v>
      </c>
      <c r="D960" s="8" t="n">
        <f aca="false">IFERROR(__xludf.dummyfunction("""COMPUTED_VALUE"""),561.52)</f>
        <v>561.52</v>
      </c>
      <c r="E960" s="8" t="n">
        <f aca="false">IFERROR(__xludf.dummyfunction("""COMPUTED_VALUE"""),567.78)</f>
        <v>567.78</v>
      </c>
      <c r="F960" s="8" t="n">
        <f aca="false">IFERROR(__xludf.dummyfunction("""COMPUTED_VALUE"""),7184651)</f>
        <v>7184651</v>
      </c>
    </row>
    <row r="961" customFormat="false" ht="15.75" hidden="false" customHeight="false" outlineLevel="0" collapsed="false">
      <c r="A961" s="9" t="n">
        <f aca="false">IFERROR(__xludf.dummyfunction("""COMPUTED_VALUE"""),45590.6666666667)</f>
        <v>45590.6666666667</v>
      </c>
      <c r="B961" s="8" t="n">
        <f aca="false">IFERROR(__xludf.dummyfunction("""COMPUTED_VALUE"""),573.93)</f>
        <v>573.93</v>
      </c>
      <c r="C961" s="8" t="n">
        <f aca="false">IFERROR(__xludf.dummyfunction("""COMPUTED_VALUE"""),581.29)</f>
        <v>581.29</v>
      </c>
      <c r="D961" s="8" t="n">
        <f aca="false">IFERROR(__xludf.dummyfunction("""COMPUTED_VALUE"""),571.72)</f>
        <v>571.72</v>
      </c>
      <c r="E961" s="8" t="n">
        <f aca="false">IFERROR(__xludf.dummyfunction("""COMPUTED_VALUE"""),573.25)</f>
        <v>573.25</v>
      </c>
      <c r="F961" s="8" t="n">
        <f aca="false">IFERROR(__xludf.dummyfunction("""COMPUTED_VALUE"""),11337874)</f>
        <v>11337874</v>
      </c>
    </row>
    <row r="962" customFormat="false" ht="15.75" hidden="false" customHeight="false" outlineLevel="0" collapsed="false">
      <c r="A962" s="9" t="n">
        <f aca="false">IFERROR(__xludf.dummyfunction("""COMPUTED_VALUE"""),45593.6666666667)</f>
        <v>45593.6666666667</v>
      </c>
      <c r="B962" s="8" t="n">
        <f aca="false">IFERROR(__xludf.dummyfunction("""COMPUTED_VALUE"""),582)</f>
        <v>582</v>
      </c>
      <c r="C962" s="8" t="n">
        <f aca="false">IFERROR(__xludf.dummyfunction("""COMPUTED_VALUE"""),583.75)</f>
        <v>583.75</v>
      </c>
      <c r="D962" s="8" t="n">
        <f aca="false">IFERROR(__xludf.dummyfunction("""COMPUTED_VALUE"""),574.12)</f>
        <v>574.12</v>
      </c>
      <c r="E962" s="8" t="n">
        <f aca="false">IFERROR(__xludf.dummyfunction("""COMPUTED_VALUE"""),578.16)</f>
        <v>578.16</v>
      </c>
      <c r="F962" s="8" t="n">
        <f aca="false">IFERROR(__xludf.dummyfunction("""COMPUTED_VALUE"""),10925131)</f>
        <v>10925131</v>
      </c>
    </row>
    <row r="963" customFormat="false" ht="15.75" hidden="false" customHeight="false" outlineLevel="0" collapsed="false">
      <c r="A963" s="9" t="n">
        <f aca="false">IFERROR(__xludf.dummyfunction("""COMPUTED_VALUE"""),45594.6666666667)</f>
        <v>45594.6666666667</v>
      </c>
      <c r="B963" s="8" t="n">
        <f aca="false">IFERROR(__xludf.dummyfunction("""COMPUTED_VALUE"""),580.15)</f>
        <v>580.15</v>
      </c>
      <c r="C963" s="8" t="n">
        <f aca="false">IFERROR(__xludf.dummyfunction("""COMPUTED_VALUE"""),593.67)</f>
        <v>593.67</v>
      </c>
      <c r="D963" s="8" t="n">
        <f aca="false">IFERROR(__xludf.dummyfunction("""COMPUTED_VALUE"""),575.4)</f>
        <v>575.4</v>
      </c>
      <c r="E963" s="8" t="n">
        <f aca="false">IFERROR(__xludf.dummyfunction("""COMPUTED_VALUE"""),593.28)</f>
        <v>593.28</v>
      </c>
      <c r="F963" s="8" t="n">
        <f aca="false">IFERROR(__xludf.dummyfunction("""COMPUTED_VALUE"""),13019092)</f>
        <v>13019092</v>
      </c>
    </row>
    <row r="964" customFormat="false" ht="15.75" hidden="false" customHeight="false" outlineLevel="0" collapsed="false">
      <c r="A964" s="9" t="n">
        <f aca="false">IFERROR(__xludf.dummyfunction("""COMPUTED_VALUE"""),45595.6666666667)</f>
        <v>45595.6666666667</v>
      </c>
      <c r="B964" s="8" t="n">
        <f aca="false">IFERROR(__xludf.dummyfunction("""COMPUTED_VALUE"""),600.98)</f>
        <v>600.98</v>
      </c>
      <c r="C964" s="8" t="n">
        <f aca="false">IFERROR(__xludf.dummyfunction("""COMPUTED_VALUE"""),601.2)</f>
        <v>601.2</v>
      </c>
      <c r="D964" s="8" t="n">
        <f aca="false">IFERROR(__xludf.dummyfunction("""COMPUTED_VALUE"""),589.38)</f>
        <v>589.38</v>
      </c>
      <c r="E964" s="8" t="n">
        <f aca="false">IFERROR(__xludf.dummyfunction("""COMPUTED_VALUE"""),591.8)</f>
        <v>591.8</v>
      </c>
      <c r="F964" s="8" t="n">
        <f aca="false">IFERROR(__xludf.dummyfunction("""COMPUTED_VALUE"""),26864925)</f>
        <v>26864925</v>
      </c>
    </row>
    <row r="965" customFormat="false" ht="15.75" hidden="false" customHeight="false" outlineLevel="0" collapsed="false">
      <c r="A965" s="9" t="n">
        <f aca="false">IFERROR(__xludf.dummyfunction("""COMPUTED_VALUE"""),45596.6666666667)</f>
        <v>45596.6666666667</v>
      </c>
      <c r="B965" s="8" t="n">
        <f aca="false">IFERROR(__xludf.dummyfunction("""COMPUTED_VALUE"""),585)</f>
        <v>585</v>
      </c>
      <c r="C965" s="8" t="n">
        <f aca="false">IFERROR(__xludf.dummyfunction("""COMPUTED_VALUE"""),589.9)</f>
        <v>589.9</v>
      </c>
      <c r="D965" s="8" t="n">
        <f aca="false">IFERROR(__xludf.dummyfunction("""COMPUTED_VALUE"""),563.01)</f>
        <v>563.01</v>
      </c>
      <c r="E965" s="8" t="n">
        <f aca="false">IFERROR(__xludf.dummyfunction("""COMPUTED_VALUE"""),567.58)</f>
        <v>567.58</v>
      </c>
      <c r="F965" s="8" t="n">
        <f aca="false">IFERROR(__xludf.dummyfunction("""COMPUTED_VALUE"""),26838395)</f>
        <v>26838395</v>
      </c>
    </row>
    <row r="966" customFormat="false" ht="15.75" hidden="false" customHeight="false" outlineLevel="0" collapsed="false">
      <c r="A966" s="9" t="n">
        <f aca="false">IFERROR(__xludf.dummyfunction("""COMPUTED_VALUE"""),45597.6666666667)</f>
        <v>45597.6666666667</v>
      </c>
      <c r="B966" s="8" t="n">
        <f aca="false">IFERROR(__xludf.dummyfunction("""COMPUTED_VALUE"""),567.61)</f>
        <v>567.61</v>
      </c>
      <c r="C966" s="8" t="n">
        <f aca="false">IFERROR(__xludf.dummyfunction("""COMPUTED_VALUE"""),573.67)</f>
        <v>573.67</v>
      </c>
      <c r="D966" s="8" t="n">
        <f aca="false">IFERROR(__xludf.dummyfunction("""COMPUTED_VALUE"""),562.56)</f>
        <v>562.56</v>
      </c>
      <c r="E966" s="8" t="n">
        <f aca="false">IFERROR(__xludf.dummyfunction("""COMPUTED_VALUE"""),567.16)</f>
        <v>567.16</v>
      </c>
      <c r="F966" s="8" t="n">
        <f aca="false">IFERROR(__xludf.dummyfunction("""COMPUTED_VALUE"""),15303235)</f>
        <v>15303235</v>
      </c>
    </row>
    <row r="967" customFormat="false" ht="15.75" hidden="false" customHeight="false" outlineLevel="0" collapsed="false">
      <c r="A967" s="9" t="n">
        <f aca="false">IFERROR(__xludf.dummyfunction("""COMPUTED_VALUE"""),45600.6666666667)</f>
        <v>45600.6666666667</v>
      </c>
      <c r="B967" s="8" t="n">
        <f aca="false">IFERROR(__xludf.dummyfunction("""COMPUTED_VALUE"""),564.1)</f>
        <v>564.1</v>
      </c>
      <c r="C967" s="8" t="n">
        <f aca="false">IFERROR(__xludf.dummyfunction("""COMPUTED_VALUE"""),568.69)</f>
        <v>568.69</v>
      </c>
      <c r="D967" s="8" t="n">
        <f aca="false">IFERROR(__xludf.dummyfunction("""COMPUTED_VALUE"""),557.89)</f>
        <v>557.89</v>
      </c>
      <c r="E967" s="8" t="n">
        <f aca="false">IFERROR(__xludf.dummyfunction("""COMPUTED_VALUE"""),560.68)</f>
        <v>560.68</v>
      </c>
      <c r="F967" s="8" t="n">
        <f aca="false">IFERROR(__xludf.dummyfunction("""COMPUTED_VALUE"""),12064601)</f>
        <v>12064601</v>
      </c>
    </row>
    <row r="968" customFormat="false" ht="15.75" hidden="false" customHeight="false" outlineLevel="0" collapsed="false">
      <c r="A968" s="9" t="n">
        <f aca="false">IFERROR(__xludf.dummyfunction("""COMPUTED_VALUE"""),45601.6666666667)</f>
        <v>45601.6666666667</v>
      </c>
      <c r="B968" s="8" t="n">
        <f aca="false">IFERROR(__xludf.dummyfunction("""COMPUTED_VALUE"""),567.3)</f>
        <v>567.3</v>
      </c>
      <c r="C968" s="8" t="n">
        <f aca="false">IFERROR(__xludf.dummyfunction("""COMPUTED_VALUE"""),573.48)</f>
        <v>573.48</v>
      </c>
      <c r="D968" s="8" t="n">
        <f aca="false">IFERROR(__xludf.dummyfunction("""COMPUTED_VALUE"""),566.67)</f>
        <v>566.67</v>
      </c>
      <c r="E968" s="8" t="n">
        <f aca="false">IFERROR(__xludf.dummyfunction("""COMPUTED_VALUE"""),572.43)</f>
        <v>572.43</v>
      </c>
      <c r="F968" s="8" t="n">
        <f aca="false">IFERROR(__xludf.dummyfunction("""COMPUTED_VALUE"""),9775379)</f>
        <v>9775379</v>
      </c>
    </row>
    <row r="969" customFormat="false" ht="15.75" hidden="false" customHeight="false" outlineLevel="0" collapsed="false">
      <c r="A969" s="9" t="n">
        <f aca="false">IFERROR(__xludf.dummyfunction("""COMPUTED_VALUE"""),45602.6666666667)</f>
        <v>45602.6666666667</v>
      </c>
      <c r="B969" s="8" t="n">
        <f aca="false">IFERROR(__xludf.dummyfunction("""COMPUTED_VALUE"""),562.75)</f>
        <v>562.75</v>
      </c>
      <c r="C969" s="8" t="n">
        <f aca="false">IFERROR(__xludf.dummyfunction("""COMPUTED_VALUE"""),573)</f>
        <v>573</v>
      </c>
      <c r="D969" s="8" t="n">
        <f aca="false">IFERROR(__xludf.dummyfunction("""COMPUTED_VALUE"""),555.17)</f>
        <v>555.17</v>
      </c>
      <c r="E969" s="8" t="n">
        <f aca="false">IFERROR(__xludf.dummyfunction("""COMPUTED_VALUE"""),572.05)</f>
        <v>572.05</v>
      </c>
      <c r="F969" s="8" t="n">
        <f aca="false">IFERROR(__xludf.dummyfunction("""COMPUTED_VALUE"""),18305429)</f>
        <v>18305429</v>
      </c>
    </row>
    <row r="970" customFormat="false" ht="15.75" hidden="false" customHeight="false" outlineLevel="0" collapsed="false">
      <c r="A970" s="9" t="n">
        <f aca="false">IFERROR(__xludf.dummyfunction("""COMPUTED_VALUE"""),45603.6666666667)</f>
        <v>45603.6666666667</v>
      </c>
      <c r="B970" s="8" t="n">
        <f aca="false">IFERROR(__xludf.dummyfunction("""COMPUTED_VALUE"""),576.89)</f>
        <v>576.89</v>
      </c>
      <c r="C970" s="8" t="n">
        <f aca="false">IFERROR(__xludf.dummyfunction("""COMPUTED_VALUE"""),594.8)</f>
        <v>594.8</v>
      </c>
      <c r="D970" s="8" t="n">
        <f aca="false">IFERROR(__xludf.dummyfunction("""COMPUTED_VALUE"""),575.21)</f>
        <v>575.21</v>
      </c>
      <c r="E970" s="8" t="n">
        <f aca="false">IFERROR(__xludf.dummyfunction("""COMPUTED_VALUE"""),591.7)</f>
        <v>591.7</v>
      </c>
      <c r="F970" s="8" t="n">
        <f aca="false">IFERROR(__xludf.dummyfunction("""COMPUTED_VALUE"""),14653708)</f>
        <v>14653708</v>
      </c>
    </row>
    <row r="971" customFormat="false" ht="15.75" hidden="false" customHeight="false" outlineLevel="0" collapsed="false">
      <c r="A971" s="9" t="n">
        <f aca="false">IFERROR(__xludf.dummyfunction("""COMPUTED_VALUE"""),45604.6666666667)</f>
        <v>45604.6666666667</v>
      </c>
      <c r="B971" s="8" t="n">
        <f aca="false">IFERROR(__xludf.dummyfunction("""COMPUTED_VALUE"""),591.54)</f>
        <v>591.54</v>
      </c>
      <c r="C971" s="8" t="n">
        <f aca="false">IFERROR(__xludf.dummyfunction("""COMPUTED_VALUE"""),593.1)</f>
        <v>593.1</v>
      </c>
      <c r="D971" s="8" t="n">
        <f aca="false">IFERROR(__xludf.dummyfunction("""COMPUTED_VALUE"""),584.52)</f>
        <v>584.52</v>
      </c>
      <c r="E971" s="8" t="n">
        <f aca="false">IFERROR(__xludf.dummyfunction("""COMPUTED_VALUE"""),589.34)</f>
        <v>589.34</v>
      </c>
      <c r="F971" s="8" t="n">
        <f aca="false">IFERROR(__xludf.dummyfunction("""COMPUTED_VALUE"""),9415699)</f>
        <v>9415699</v>
      </c>
    </row>
    <row r="972" customFormat="false" ht="15.75" hidden="false" customHeight="false" outlineLevel="0" collapsed="false">
      <c r="A972" s="9" t="n">
        <f aca="false">IFERROR(__xludf.dummyfunction("""COMPUTED_VALUE"""),45607.6666666667)</f>
        <v>45607.6666666667</v>
      </c>
      <c r="B972" s="8" t="n">
        <f aca="false">IFERROR(__xludf.dummyfunction("""COMPUTED_VALUE"""),586.36)</f>
        <v>586.36</v>
      </c>
      <c r="C972" s="8" t="n">
        <f aca="false">IFERROR(__xludf.dummyfunction("""COMPUTED_VALUE"""),587)</f>
        <v>587</v>
      </c>
      <c r="D972" s="8" t="n">
        <f aca="false">IFERROR(__xludf.dummyfunction("""COMPUTED_VALUE"""),576.51)</f>
        <v>576.51</v>
      </c>
      <c r="E972" s="8" t="n">
        <f aca="false">IFERROR(__xludf.dummyfunction("""COMPUTED_VALUE"""),583.17)</f>
        <v>583.17</v>
      </c>
      <c r="F972" s="8" t="n">
        <f aca="false">IFERROR(__xludf.dummyfunction("""COMPUTED_VALUE"""),10209051)</f>
        <v>10209051</v>
      </c>
    </row>
    <row r="973" customFormat="false" ht="15.75" hidden="false" customHeight="false" outlineLevel="0" collapsed="false">
      <c r="A973" s="9" t="n">
        <f aca="false">IFERROR(__xludf.dummyfunction("""COMPUTED_VALUE"""),45608.6666666667)</f>
        <v>45608.6666666667</v>
      </c>
      <c r="B973" s="8" t="n">
        <f aca="false">IFERROR(__xludf.dummyfunction("""COMPUTED_VALUE"""),588.54)</f>
        <v>588.54</v>
      </c>
      <c r="C973" s="8" t="n">
        <f aca="false">IFERROR(__xludf.dummyfunction("""COMPUTED_VALUE"""),599.66)</f>
        <v>599.66</v>
      </c>
      <c r="D973" s="8" t="n">
        <f aca="false">IFERROR(__xludf.dummyfunction("""COMPUTED_VALUE"""),580.38)</f>
        <v>580.38</v>
      </c>
      <c r="E973" s="8" t="n">
        <f aca="false">IFERROR(__xludf.dummyfunction("""COMPUTED_VALUE"""),584.82)</f>
        <v>584.82</v>
      </c>
      <c r="F973" s="8" t="n">
        <f aca="false">IFERROR(__xludf.dummyfunction("""COMPUTED_VALUE"""),16287724)</f>
        <v>16287724</v>
      </c>
    </row>
    <row r="974" customFormat="false" ht="15.75" hidden="false" customHeight="false" outlineLevel="0" collapsed="false">
      <c r="A974" s="9" t="n">
        <f aca="false">IFERROR(__xludf.dummyfunction("""COMPUTED_VALUE"""),45609.6666666667)</f>
        <v>45609.6666666667</v>
      </c>
      <c r="B974" s="8" t="n">
        <f aca="false">IFERROR(__xludf.dummyfunction("""COMPUTED_VALUE"""),582.61)</f>
        <v>582.61</v>
      </c>
      <c r="C974" s="8" t="n">
        <f aca="false">IFERROR(__xludf.dummyfunction("""COMPUTED_VALUE"""),585.64)</f>
        <v>585.64</v>
      </c>
      <c r="D974" s="8" t="n">
        <f aca="false">IFERROR(__xludf.dummyfunction("""COMPUTED_VALUE"""),575.17)</f>
        <v>575.17</v>
      </c>
      <c r="E974" s="8" t="n">
        <f aca="false">IFERROR(__xludf.dummyfunction("""COMPUTED_VALUE"""),580)</f>
        <v>580</v>
      </c>
      <c r="F974" s="8" t="n">
        <f aca="false">IFERROR(__xludf.dummyfunction("""COMPUTED_VALUE"""),10757583)</f>
        <v>10757583</v>
      </c>
    </row>
    <row r="975" customFormat="false" ht="15.75" hidden="false" customHeight="false" outlineLevel="0" collapsed="false">
      <c r="A975" s="9" t="n">
        <f aca="false">IFERROR(__xludf.dummyfunction("""COMPUTED_VALUE"""),45610.6666666667)</f>
        <v>45610.6666666667</v>
      </c>
      <c r="B975" s="8" t="n">
        <f aca="false">IFERROR(__xludf.dummyfunction("""COMPUTED_VALUE"""),577)</f>
        <v>577</v>
      </c>
      <c r="C975" s="8" t="n">
        <f aca="false">IFERROR(__xludf.dummyfunction("""COMPUTED_VALUE"""),580.76)</f>
        <v>580.76</v>
      </c>
      <c r="D975" s="8" t="n">
        <f aca="false">IFERROR(__xludf.dummyfunction("""COMPUTED_VALUE"""),573.01)</f>
        <v>573.01</v>
      </c>
      <c r="E975" s="8" t="n">
        <f aca="false">IFERROR(__xludf.dummyfunction("""COMPUTED_VALUE"""),577.16)</f>
        <v>577.16</v>
      </c>
      <c r="F975" s="8" t="n">
        <f aca="false">IFERROR(__xludf.dummyfunction("""COMPUTED_VALUE"""),11053743)</f>
        <v>11053743</v>
      </c>
    </row>
    <row r="976" customFormat="false" ht="15.75" hidden="false" customHeight="false" outlineLevel="0" collapsed="false">
      <c r="A976" s="9" t="n">
        <f aca="false">IFERROR(__xludf.dummyfunction("""COMPUTED_VALUE"""),45611.6666666667)</f>
        <v>45611.6666666667</v>
      </c>
      <c r="B976" s="8" t="n">
        <f aca="false">IFERROR(__xludf.dummyfunction("""COMPUTED_VALUE"""),571.22)</f>
        <v>571.22</v>
      </c>
      <c r="C976" s="8" t="n">
        <f aca="false">IFERROR(__xludf.dummyfunction("""COMPUTED_VALUE"""),572.57)</f>
        <v>572.57</v>
      </c>
      <c r="D976" s="8" t="n">
        <f aca="false">IFERROR(__xludf.dummyfunction("""COMPUTED_VALUE"""),551.5)</f>
        <v>551.5</v>
      </c>
      <c r="E976" s="8" t="n">
        <f aca="false">IFERROR(__xludf.dummyfunction("""COMPUTED_VALUE"""),554.08)</f>
        <v>554.08</v>
      </c>
      <c r="F976" s="8" t="n">
        <f aca="false">IFERROR(__xludf.dummyfunction("""COMPUTED_VALUE"""),17712864)</f>
        <v>17712864</v>
      </c>
    </row>
    <row r="977" customFormat="false" ht="15.75" hidden="false" customHeight="false" outlineLevel="0" collapsed="false">
      <c r="A977" s="9" t="n">
        <f aca="false">IFERROR(__xludf.dummyfunction("""COMPUTED_VALUE"""),45614.6666666667)</f>
        <v>45614.6666666667</v>
      </c>
      <c r="B977" s="8" t="n">
        <f aca="false">IFERROR(__xludf.dummyfunction("""COMPUTED_VALUE"""),557.04)</f>
        <v>557.04</v>
      </c>
      <c r="C977" s="8" t="n">
        <f aca="false">IFERROR(__xludf.dummyfunction("""COMPUTED_VALUE"""),559.9)</f>
        <v>559.9</v>
      </c>
      <c r="D977" s="8" t="n">
        <f aca="false">IFERROR(__xludf.dummyfunction("""COMPUTED_VALUE"""),550.09)</f>
        <v>550.09</v>
      </c>
      <c r="E977" s="8" t="n">
        <f aca="false">IFERROR(__xludf.dummyfunction("""COMPUTED_VALUE"""),554.4)</f>
        <v>554.4</v>
      </c>
      <c r="F977" s="8" t="n">
        <f aca="false">IFERROR(__xludf.dummyfunction("""COMPUTED_VALUE"""),14346715)</f>
        <v>14346715</v>
      </c>
    </row>
    <row r="978" customFormat="false" ht="15.75" hidden="false" customHeight="false" outlineLevel="0" collapsed="false">
      <c r="A978" s="9" t="n">
        <f aca="false">IFERROR(__xludf.dummyfunction("""COMPUTED_VALUE"""),45615.6666666667)</f>
        <v>45615.6666666667</v>
      </c>
      <c r="B978" s="8" t="n">
        <f aca="false">IFERROR(__xludf.dummyfunction("""COMPUTED_VALUE"""),551.86)</f>
        <v>551.86</v>
      </c>
      <c r="C978" s="8" t="n">
        <f aca="false">IFERROR(__xludf.dummyfunction("""COMPUTED_VALUE"""),561.43)</f>
        <v>561.43</v>
      </c>
      <c r="D978" s="8" t="n">
        <f aca="false">IFERROR(__xludf.dummyfunction("""COMPUTED_VALUE"""),550.6)</f>
        <v>550.6</v>
      </c>
      <c r="E978" s="8" t="n">
        <f aca="false">IFERROR(__xludf.dummyfunction("""COMPUTED_VALUE"""),561.09)</f>
        <v>561.09</v>
      </c>
      <c r="F978" s="8" t="n">
        <f aca="false">IFERROR(__xludf.dummyfunction("""COMPUTED_VALUE"""),9522445)</f>
        <v>9522445</v>
      </c>
    </row>
    <row r="979" customFormat="false" ht="15.75" hidden="false" customHeight="false" outlineLevel="0" collapsed="false">
      <c r="A979" s="9" t="n">
        <f aca="false">IFERROR(__xludf.dummyfunction("""COMPUTED_VALUE"""),45616.6666666667)</f>
        <v>45616.6666666667</v>
      </c>
      <c r="B979" s="8" t="n">
        <f aca="false">IFERROR(__xludf.dummyfunction("""COMPUTED_VALUE"""),562.93)</f>
        <v>562.93</v>
      </c>
      <c r="C979" s="8" t="n">
        <f aca="false">IFERROR(__xludf.dummyfunction("""COMPUTED_VALUE"""),566.35)</f>
        <v>566.35</v>
      </c>
      <c r="D979" s="8" t="n">
        <f aca="false">IFERROR(__xludf.dummyfunction("""COMPUTED_VALUE"""),554.2)</f>
        <v>554.2</v>
      </c>
      <c r="E979" s="8" t="n">
        <f aca="false">IFERROR(__xludf.dummyfunction("""COMPUTED_VALUE"""),565.52)</f>
        <v>565.52</v>
      </c>
      <c r="F979" s="8" t="n">
        <f aca="false">IFERROR(__xludf.dummyfunction("""COMPUTED_VALUE"""),9797339)</f>
        <v>9797339</v>
      </c>
    </row>
    <row r="980" customFormat="false" ht="15.75" hidden="false" customHeight="false" outlineLevel="0" collapsed="false">
      <c r="A980" s="9" t="n">
        <f aca="false">IFERROR(__xludf.dummyfunction("""COMPUTED_VALUE"""),45617.6666666667)</f>
        <v>45617.6666666667</v>
      </c>
      <c r="B980" s="8" t="n">
        <f aca="false">IFERROR(__xludf.dummyfunction("""COMPUTED_VALUE"""),569.52)</f>
        <v>569.52</v>
      </c>
      <c r="C980" s="8" t="n">
        <f aca="false">IFERROR(__xludf.dummyfunction("""COMPUTED_VALUE"""),570)</f>
        <v>570</v>
      </c>
      <c r="D980" s="8" t="n">
        <f aca="false">IFERROR(__xludf.dummyfunction("""COMPUTED_VALUE"""),549.05)</f>
        <v>549.05</v>
      </c>
      <c r="E980" s="8" t="n">
        <f aca="false">IFERROR(__xludf.dummyfunction("""COMPUTED_VALUE"""),563.09)</f>
        <v>563.09</v>
      </c>
      <c r="F980" s="8" t="n">
        <f aca="false">IFERROR(__xludf.dummyfunction("""COMPUTED_VALUE"""),11154749)</f>
        <v>11154749</v>
      </c>
    </row>
    <row r="981" customFormat="false" ht="15.75" hidden="false" customHeight="false" outlineLevel="0" collapsed="false">
      <c r="A981" s="9" t="n">
        <f aca="false">IFERROR(__xludf.dummyfunction("""COMPUTED_VALUE"""),45618.6666666667)</f>
        <v>45618.6666666667</v>
      </c>
      <c r="B981" s="8" t="n">
        <f aca="false">IFERROR(__xludf.dummyfunction("""COMPUTED_VALUE"""),563.55)</f>
        <v>563.55</v>
      </c>
      <c r="C981" s="8" t="n">
        <f aca="false">IFERROR(__xludf.dummyfunction("""COMPUTED_VALUE"""),563.83)</f>
        <v>563.83</v>
      </c>
      <c r="D981" s="8" t="n">
        <f aca="false">IFERROR(__xludf.dummyfunction("""COMPUTED_VALUE"""),554.59)</f>
        <v>554.59</v>
      </c>
      <c r="E981" s="8" t="n">
        <f aca="false">IFERROR(__xludf.dummyfunction("""COMPUTED_VALUE"""),559.14)</f>
        <v>559.14</v>
      </c>
      <c r="F981" s="8" t="n">
        <f aca="false">IFERROR(__xludf.dummyfunction("""COMPUTED_VALUE"""),9164004)</f>
        <v>9164004</v>
      </c>
    </row>
    <row r="982" customFormat="false" ht="15.75" hidden="false" customHeight="false" outlineLevel="0" collapsed="false">
      <c r="A982" s="9" t="n">
        <f aca="false">IFERROR(__xludf.dummyfunction("""COMPUTED_VALUE"""),45621.6666666667)</f>
        <v>45621.6666666667</v>
      </c>
      <c r="B982" s="8" t="n">
        <f aca="false">IFERROR(__xludf.dummyfunction("""COMPUTED_VALUE"""),562.1)</f>
        <v>562.1</v>
      </c>
      <c r="C982" s="8" t="n">
        <f aca="false">IFERROR(__xludf.dummyfunction("""COMPUTED_VALUE"""),572.59)</f>
        <v>572.59</v>
      </c>
      <c r="D982" s="8" t="n">
        <f aca="false">IFERROR(__xludf.dummyfunction("""COMPUTED_VALUE"""),556.39)</f>
        <v>556.39</v>
      </c>
      <c r="E982" s="8" t="n">
        <f aca="false">IFERROR(__xludf.dummyfunction("""COMPUTED_VALUE"""),565.11)</f>
        <v>565.11</v>
      </c>
      <c r="F982" s="8" t="n">
        <f aca="false">IFERROR(__xludf.dummyfunction("""COMPUTED_VALUE"""),13599830)</f>
        <v>13599830</v>
      </c>
    </row>
    <row r="983" customFormat="false" ht="15.75" hidden="false" customHeight="false" outlineLevel="0" collapsed="false">
      <c r="A983" s="9" t="n">
        <f aca="false">IFERROR(__xludf.dummyfunction("""COMPUTED_VALUE"""),45622.6666666667)</f>
        <v>45622.6666666667</v>
      </c>
      <c r="B983" s="8" t="n">
        <f aca="false">IFERROR(__xludf.dummyfunction("""COMPUTED_VALUE"""),566)</f>
        <v>566</v>
      </c>
      <c r="C983" s="8" t="n">
        <f aca="false">IFERROR(__xludf.dummyfunction("""COMPUTED_VALUE"""),577.5)</f>
        <v>577.5</v>
      </c>
      <c r="D983" s="8" t="n">
        <f aca="false">IFERROR(__xludf.dummyfunction("""COMPUTED_VALUE"""),565.2)</f>
        <v>565.2</v>
      </c>
      <c r="E983" s="8" t="n">
        <f aca="false">IFERROR(__xludf.dummyfunction("""COMPUTED_VALUE"""),573.54)</f>
        <v>573.54</v>
      </c>
      <c r="F983" s="8" t="n">
        <f aca="false">IFERROR(__xludf.dummyfunction("""COMPUTED_VALUE"""),10356550)</f>
        <v>10356550</v>
      </c>
    </row>
    <row r="984" customFormat="false" ht="15.75" hidden="false" customHeight="false" outlineLevel="0" collapsed="false">
      <c r="A984" s="9" t="n">
        <f aca="false">IFERROR(__xludf.dummyfunction("""COMPUTED_VALUE"""),45623.6666666667)</f>
        <v>45623.6666666667</v>
      </c>
      <c r="B984" s="8" t="n">
        <f aca="false">IFERROR(__xludf.dummyfunction("""COMPUTED_VALUE"""),574.89)</f>
        <v>574.89</v>
      </c>
      <c r="C984" s="8" t="n">
        <f aca="false">IFERROR(__xludf.dummyfunction("""COMPUTED_VALUE"""),574.98)</f>
        <v>574.98</v>
      </c>
      <c r="D984" s="8" t="n">
        <f aca="false">IFERROR(__xludf.dummyfunction("""COMPUTED_VALUE"""),564.1)</f>
        <v>564.1</v>
      </c>
      <c r="E984" s="8" t="n">
        <f aca="false">IFERROR(__xludf.dummyfunction("""COMPUTED_VALUE"""),569.2)</f>
        <v>569.2</v>
      </c>
      <c r="F984" s="8" t="n">
        <f aca="false">IFERROR(__xludf.dummyfunction("""COMPUTED_VALUE"""),7200228)</f>
        <v>7200228</v>
      </c>
    </row>
    <row r="985" customFormat="false" ht="15.75" hidden="false" customHeight="false" outlineLevel="0" collapsed="false">
      <c r="A985" s="9" t="n">
        <f aca="false">IFERROR(__xludf.dummyfunction("""COMPUTED_VALUE"""),45625.5451388889)</f>
        <v>45625.5451388889</v>
      </c>
      <c r="B985" s="8" t="n">
        <f aca="false">IFERROR(__xludf.dummyfunction("""COMPUTED_VALUE"""),569)</f>
        <v>569</v>
      </c>
      <c r="C985" s="8" t="n">
        <f aca="false">IFERROR(__xludf.dummyfunction("""COMPUTED_VALUE"""),578.46)</f>
        <v>578.46</v>
      </c>
      <c r="D985" s="8" t="n">
        <f aca="false">IFERROR(__xludf.dummyfunction("""COMPUTED_VALUE"""),566.9)</f>
        <v>566.9</v>
      </c>
      <c r="E985" s="8" t="n">
        <f aca="false">IFERROR(__xludf.dummyfunction("""COMPUTED_VALUE"""),574.32)</f>
        <v>574.32</v>
      </c>
      <c r="F985" s="8" t="n">
        <f aca="false">IFERROR(__xludf.dummyfunction("""COMPUTED_VALUE"""),7130519)</f>
        <v>7130519</v>
      </c>
    </row>
    <row r="986" customFormat="false" ht="15.75" hidden="false" customHeight="false" outlineLevel="0" collapsed="false">
      <c r="A986" s="9" t="n">
        <f aca="false">IFERROR(__xludf.dummyfunction("""COMPUTED_VALUE"""),45628.6666666667)</f>
        <v>45628.6666666667</v>
      </c>
      <c r="B986" s="8" t="n">
        <f aca="false">IFERROR(__xludf.dummyfunction("""COMPUTED_VALUE"""),577.5)</f>
        <v>577.5</v>
      </c>
      <c r="C986" s="8" t="n">
        <f aca="false">IFERROR(__xludf.dummyfunction("""COMPUTED_VALUE"""),594.5)</f>
        <v>594.5</v>
      </c>
      <c r="D986" s="8" t="n">
        <f aca="false">IFERROR(__xludf.dummyfunction("""COMPUTED_VALUE"""),575.57)</f>
        <v>575.57</v>
      </c>
      <c r="E986" s="8" t="n">
        <f aca="false">IFERROR(__xludf.dummyfunction("""COMPUTED_VALUE"""),592.83)</f>
        <v>592.83</v>
      </c>
      <c r="F986" s="8" t="n">
        <f aca="false">IFERROR(__xludf.dummyfunction("""COMPUTED_VALUE"""),12522371)</f>
        <v>12522371</v>
      </c>
    </row>
    <row r="987" customFormat="false" ht="15.75" hidden="false" customHeight="false" outlineLevel="0" collapsed="false">
      <c r="A987" s="9" t="n">
        <f aca="false">IFERROR(__xludf.dummyfunction("""COMPUTED_VALUE"""),45629.6666666667)</f>
        <v>45629.6666666667</v>
      </c>
      <c r="B987" s="8" t="n">
        <f aca="false">IFERROR(__xludf.dummyfunction("""COMPUTED_VALUE"""),595)</f>
        <v>595</v>
      </c>
      <c r="C987" s="8" t="n">
        <f aca="false">IFERROR(__xludf.dummyfunction("""COMPUTED_VALUE"""),614.2)</f>
        <v>614.2</v>
      </c>
      <c r="D987" s="8" t="n">
        <f aca="false">IFERROR(__xludf.dummyfunction("""COMPUTED_VALUE"""),591.25)</f>
        <v>591.25</v>
      </c>
      <c r="E987" s="8" t="n">
        <f aca="false">IFERROR(__xludf.dummyfunction("""COMPUTED_VALUE"""),613.65)</f>
        <v>613.65</v>
      </c>
      <c r="F987" s="8" t="n">
        <f aca="false">IFERROR(__xludf.dummyfunction("""COMPUTED_VALUE"""),14907164)</f>
        <v>14907164</v>
      </c>
    </row>
    <row r="988" customFormat="false" ht="15.75" hidden="false" customHeight="false" outlineLevel="0" collapsed="false">
      <c r="A988" s="9" t="n">
        <f aca="false">IFERROR(__xludf.dummyfunction("""COMPUTED_VALUE"""),45630.6666666667)</f>
        <v>45630.6666666667</v>
      </c>
      <c r="B988" s="8" t="n">
        <f aca="false">IFERROR(__xludf.dummyfunction("""COMPUTED_VALUE"""),612.96)</f>
        <v>612.96</v>
      </c>
      <c r="C988" s="8" t="n">
        <f aca="false">IFERROR(__xludf.dummyfunction("""COMPUTED_VALUE"""),617.78)</f>
        <v>617.78</v>
      </c>
      <c r="D988" s="8" t="n">
        <f aca="false">IFERROR(__xludf.dummyfunction("""COMPUTED_VALUE"""),605.1)</f>
        <v>605.1</v>
      </c>
      <c r="E988" s="8" t="n">
        <f aca="false">IFERROR(__xludf.dummyfunction("""COMPUTED_VALUE"""),613.78)</f>
        <v>613.78</v>
      </c>
      <c r="F988" s="8" t="n">
        <f aca="false">IFERROR(__xludf.dummyfunction("""COMPUTED_VALUE"""),14697006)</f>
        <v>14697006</v>
      </c>
    </row>
    <row r="989" customFormat="false" ht="15.75" hidden="false" customHeight="false" outlineLevel="0" collapsed="false">
      <c r="A989" s="9" t="n">
        <f aca="false">IFERROR(__xludf.dummyfunction("""COMPUTED_VALUE"""),45631.6666666667)</f>
        <v>45631.6666666667</v>
      </c>
      <c r="B989" s="8" t="n">
        <f aca="false">IFERROR(__xludf.dummyfunction("""COMPUTED_VALUE"""),617.08)</f>
        <v>617.08</v>
      </c>
      <c r="C989" s="8" t="n">
        <f aca="false">IFERROR(__xludf.dummyfunction("""COMPUTED_VALUE"""),619.9)</f>
        <v>619.9</v>
      </c>
      <c r="D989" s="8" t="n">
        <f aca="false">IFERROR(__xludf.dummyfunction("""COMPUTED_VALUE"""),607.05)</f>
        <v>607.05</v>
      </c>
      <c r="E989" s="8" t="n">
        <f aca="false">IFERROR(__xludf.dummyfunction("""COMPUTED_VALUE"""),608.93)</f>
        <v>608.93</v>
      </c>
      <c r="F989" s="8" t="n">
        <f aca="false">IFERROR(__xludf.dummyfunction("""COMPUTED_VALUE"""),8081212)</f>
        <v>8081212</v>
      </c>
    </row>
    <row r="990" customFormat="false" ht="15.75" hidden="false" customHeight="false" outlineLevel="0" collapsed="false">
      <c r="A990" s="9" t="n">
        <f aca="false">IFERROR(__xludf.dummyfunction("""COMPUTED_VALUE"""),45632.6666666667)</f>
        <v>45632.6666666667</v>
      </c>
      <c r="B990" s="8" t="n">
        <f aca="false">IFERROR(__xludf.dummyfunction("""COMPUTED_VALUE"""),610.1)</f>
        <v>610.1</v>
      </c>
      <c r="C990" s="8" t="n">
        <f aca="false">IFERROR(__xludf.dummyfunction("""COMPUTED_VALUE"""),629.79)</f>
        <v>629.79</v>
      </c>
      <c r="D990" s="8" t="n">
        <f aca="false">IFERROR(__xludf.dummyfunction("""COMPUTED_VALUE"""),608.53)</f>
        <v>608.53</v>
      </c>
      <c r="E990" s="8" t="n">
        <f aca="false">IFERROR(__xludf.dummyfunction("""COMPUTED_VALUE"""),623.77)</f>
        <v>623.77</v>
      </c>
      <c r="F990" s="8" t="n">
        <f aca="false">IFERROR(__xludf.dummyfunction("""COMPUTED_VALUE"""),16935503)</f>
        <v>16935503</v>
      </c>
    </row>
    <row r="991" customFormat="false" ht="15.75" hidden="false" customHeight="false" outlineLevel="0" collapsed="false">
      <c r="A991" s="9" t="n">
        <f aca="false">IFERROR(__xludf.dummyfunction("""COMPUTED_VALUE"""),45635.6666666667)</f>
        <v>45635.6666666667</v>
      </c>
      <c r="B991" s="8" t="n">
        <f aca="false">IFERROR(__xludf.dummyfunction("""COMPUTED_VALUE"""),623.92)</f>
        <v>623.92</v>
      </c>
      <c r="C991" s="8" t="n">
        <f aca="false">IFERROR(__xludf.dummyfunction("""COMPUTED_VALUE"""),626.4)</f>
        <v>626.4</v>
      </c>
      <c r="D991" s="8" t="n">
        <f aca="false">IFERROR(__xludf.dummyfunction("""COMPUTED_VALUE"""),606.17)</f>
        <v>606.17</v>
      </c>
      <c r="E991" s="8" t="n">
        <f aca="false">IFERROR(__xludf.dummyfunction("""COMPUTED_VALUE"""),613.57)</f>
        <v>613.57</v>
      </c>
      <c r="F991" s="8" t="n">
        <f aca="false">IFERROR(__xludf.dummyfunction("""COMPUTED_VALUE"""),11426015)</f>
        <v>11426015</v>
      </c>
    </row>
    <row r="992" customFormat="false" ht="15.75" hidden="false" customHeight="false" outlineLevel="0" collapsed="false">
      <c r="A992" s="9" t="n">
        <f aca="false">IFERROR(__xludf.dummyfunction("""COMPUTED_VALUE"""),45636.6666666667)</f>
        <v>45636.6666666667</v>
      </c>
      <c r="B992" s="8" t="n">
        <f aca="false">IFERROR(__xludf.dummyfunction("""COMPUTED_VALUE"""),617.56)</f>
        <v>617.56</v>
      </c>
      <c r="C992" s="8" t="n">
        <f aca="false">IFERROR(__xludf.dummyfunction("""COMPUTED_VALUE"""),625.59)</f>
        <v>625.59</v>
      </c>
      <c r="D992" s="8" t="n">
        <f aca="false">IFERROR(__xludf.dummyfunction("""COMPUTED_VALUE"""),612.74)</f>
        <v>612.74</v>
      </c>
      <c r="E992" s="8" t="n">
        <f aca="false">IFERROR(__xludf.dummyfunction("""COMPUTED_VALUE"""),619.32)</f>
        <v>619.32</v>
      </c>
      <c r="F992" s="8" t="n">
        <f aca="false">IFERROR(__xludf.dummyfunction("""COMPUTED_VALUE"""),10938854)</f>
        <v>10938854</v>
      </c>
    </row>
    <row r="993" customFormat="false" ht="15.75" hidden="false" customHeight="false" outlineLevel="0" collapsed="false">
      <c r="A993" s="9" t="n">
        <f aca="false">IFERROR(__xludf.dummyfunction("""COMPUTED_VALUE"""),45637.6666666667)</f>
        <v>45637.6666666667</v>
      </c>
      <c r="B993" s="8" t="n">
        <f aca="false">IFERROR(__xludf.dummyfunction("""COMPUTED_VALUE"""),623.37)</f>
        <v>623.37</v>
      </c>
      <c r="C993" s="8" t="n">
        <f aca="false">IFERROR(__xludf.dummyfunction("""COMPUTED_VALUE"""),638.4)</f>
        <v>638.4</v>
      </c>
      <c r="D993" s="8" t="n">
        <f aca="false">IFERROR(__xludf.dummyfunction("""COMPUTED_VALUE"""),621.53)</f>
        <v>621.53</v>
      </c>
      <c r="E993" s="8" t="n">
        <f aca="false">IFERROR(__xludf.dummyfunction("""COMPUTED_VALUE"""),632.68)</f>
        <v>632.68</v>
      </c>
      <c r="F993" s="8" t="n">
        <f aca="false">IFERROR(__xludf.dummyfunction("""COMPUTED_VALUE"""),10837228)</f>
        <v>10837228</v>
      </c>
    </row>
    <row r="994" customFormat="false" ht="15.75" hidden="false" customHeight="false" outlineLevel="0" collapsed="false">
      <c r="A994" s="9" t="n">
        <f aca="false">IFERROR(__xludf.dummyfunction("""COMPUTED_VALUE"""),45638.6666666667)</f>
        <v>45638.6666666667</v>
      </c>
      <c r="B994" s="8" t="n">
        <f aca="false">IFERROR(__xludf.dummyfunction("""COMPUTED_VALUE"""),631.5)</f>
        <v>631.5</v>
      </c>
      <c r="C994" s="8" t="n">
        <f aca="false">IFERROR(__xludf.dummyfunction("""COMPUTED_VALUE"""),636.66)</f>
        <v>636.66</v>
      </c>
      <c r="D994" s="8" t="n">
        <f aca="false">IFERROR(__xludf.dummyfunction("""COMPUTED_VALUE"""),627.21)</f>
        <v>627.21</v>
      </c>
      <c r="E994" s="8" t="n">
        <f aca="false">IFERROR(__xludf.dummyfunction("""COMPUTED_VALUE"""),630.79)</f>
        <v>630.79</v>
      </c>
      <c r="F994" s="8" t="n">
        <f aca="false">IFERROR(__xludf.dummyfunction("""COMPUTED_VALUE"""),7474717)</f>
        <v>7474717</v>
      </c>
    </row>
    <row r="995" customFormat="false" ht="15.75" hidden="false" customHeight="false" outlineLevel="0" collapsed="false">
      <c r="A995" s="9" t="n">
        <f aca="false">IFERROR(__xludf.dummyfunction("""COMPUTED_VALUE"""),45639.6666666667)</f>
        <v>45639.6666666667</v>
      </c>
      <c r="B995" s="8" t="n">
        <f aca="false">IFERROR(__xludf.dummyfunction("""COMPUTED_VALUE"""),627.22)</f>
        <v>627.22</v>
      </c>
      <c r="C995" s="8" t="n">
        <f aca="false">IFERROR(__xludf.dummyfunction("""COMPUTED_VALUE"""),631.08)</f>
        <v>631.08</v>
      </c>
      <c r="D995" s="8" t="n">
        <f aca="false">IFERROR(__xludf.dummyfunction("""COMPUTED_VALUE"""),616.89)</f>
        <v>616.89</v>
      </c>
      <c r="E995" s="8" t="n">
        <f aca="false">IFERROR(__xludf.dummyfunction("""COMPUTED_VALUE"""),620.35)</f>
        <v>620.35</v>
      </c>
      <c r="F995" s="8" t="n">
        <f aca="false">IFERROR(__xludf.dummyfunction("""COMPUTED_VALUE"""),8453349)</f>
        <v>8453349</v>
      </c>
    </row>
    <row r="996" customFormat="false" ht="15.75" hidden="false" customHeight="false" outlineLevel="0" collapsed="false">
      <c r="A996" s="9" t="n">
        <f aca="false">IFERROR(__xludf.dummyfunction("""COMPUTED_VALUE"""),45642.6666666667)</f>
        <v>45642.6666666667</v>
      </c>
      <c r="B996" s="8" t="n">
        <f aca="false">IFERROR(__xludf.dummyfunction("""COMPUTED_VALUE"""),629.98)</f>
        <v>629.98</v>
      </c>
      <c r="C996" s="8" t="n">
        <f aca="false">IFERROR(__xludf.dummyfunction("""COMPUTED_VALUE"""),631.15)</f>
        <v>631.15</v>
      </c>
      <c r="D996" s="8" t="n">
        <f aca="false">IFERROR(__xludf.dummyfunction("""COMPUTED_VALUE"""),618.58)</f>
        <v>618.58</v>
      </c>
      <c r="E996" s="8" t="n">
        <f aca="false">IFERROR(__xludf.dummyfunction("""COMPUTED_VALUE"""),624.24)</f>
        <v>624.24</v>
      </c>
      <c r="F996" s="8" t="n">
        <f aca="false">IFERROR(__xludf.dummyfunction("""COMPUTED_VALUE"""),10885625)</f>
        <v>10885625</v>
      </c>
    </row>
    <row r="997" customFormat="false" ht="15.75" hidden="false" customHeight="false" outlineLevel="0" collapsed="false">
      <c r="A997" s="9" t="n">
        <f aca="false">IFERROR(__xludf.dummyfunction("""COMPUTED_VALUE"""),45643.6666666667)</f>
        <v>45643.6666666667</v>
      </c>
      <c r="B997" s="8" t="n">
        <f aca="false">IFERROR(__xludf.dummyfunction("""COMPUTED_VALUE"""),626.17)</f>
        <v>626.17</v>
      </c>
      <c r="C997" s="8" t="n">
        <f aca="false">IFERROR(__xludf.dummyfunction("""COMPUTED_VALUE"""),632.37)</f>
        <v>632.37</v>
      </c>
      <c r="D997" s="8" t="n">
        <f aca="false">IFERROR(__xludf.dummyfunction("""COMPUTED_VALUE"""),616.54)</f>
        <v>616.54</v>
      </c>
      <c r="E997" s="8" t="n">
        <f aca="false">IFERROR(__xludf.dummyfunction("""COMPUTED_VALUE"""),619.44)</f>
        <v>619.44</v>
      </c>
      <c r="F997" s="8" t="n">
        <f aca="false">IFERROR(__xludf.dummyfunction("""COMPUTED_VALUE"""),12897842)</f>
        <v>12897842</v>
      </c>
    </row>
    <row r="998" customFormat="false" ht="15.75" hidden="false" customHeight="false" outlineLevel="0" collapsed="false">
      <c r="A998" s="9" t="n">
        <f aca="false">IFERROR(__xludf.dummyfunction("""COMPUTED_VALUE"""),45644.6666666667)</f>
        <v>45644.6666666667</v>
      </c>
      <c r="B998" s="8" t="n">
        <f aca="false">IFERROR(__xludf.dummyfunction("""COMPUTED_VALUE"""),621)</f>
        <v>621</v>
      </c>
      <c r="C998" s="8" t="n">
        <f aca="false">IFERROR(__xludf.dummyfunction("""COMPUTED_VALUE"""),627.36)</f>
        <v>627.36</v>
      </c>
      <c r="D998" s="8" t="n">
        <f aca="false">IFERROR(__xludf.dummyfunction("""COMPUTED_VALUE"""),596.32)</f>
        <v>596.32</v>
      </c>
      <c r="E998" s="8" t="n">
        <f aca="false">IFERROR(__xludf.dummyfunction("""COMPUTED_VALUE"""),597.19)</f>
        <v>597.19</v>
      </c>
      <c r="F998" s="8" t="n">
        <f aca="false">IFERROR(__xludf.dummyfunction("""COMPUTED_VALUE"""),17075480)</f>
        <v>17075480</v>
      </c>
    </row>
    <row r="999" customFormat="false" ht="15.75" hidden="false" customHeight="false" outlineLevel="0" collapsed="false">
      <c r="A999" s="9" t="n">
        <f aca="false">IFERROR(__xludf.dummyfunction("""COMPUTED_VALUE"""),45645.6666666667)</f>
        <v>45645.6666666667</v>
      </c>
      <c r="B999" s="8" t="n">
        <f aca="false">IFERROR(__xludf.dummyfunction("""COMPUTED_VALUE"""),610.39)</f>
        <v>610.39</v>
      </c>
      <c r="C999" s="8" t="n">
        <f aca="false">IFERROR(__xludf.dummyfunction("""COMPUTED_VALUE"""),611.52)</f>
        <v>611.52</v>
      </c>
      <c r="D999" s="8" t="n">
        <f aca="false">IFERROR(__xludf.dummyfunction("""COMPUTED_VALUE"""),595)</f>
        <v>595</v>
      </c>
      <c r="E999" s="8" t="n">
        <f aca="false">IFERROR(__xludf.dummyfunction("""COMPUTED_VALUE"""),595.57)</f>
        <v>595.57</v>
      </c>
      <c r="F999" s="8" t="n">
        <f aca="false">IFERROR(__xludf.dummyfunction("""COMPUTED_VALUE"""),14958082)</f>
        <v>14958082</v>
      </c>
    </row>
    <row r="1000" customFormat="false" ht="15.75" hidden="false" customHeight="false" outlineLevel="0" collapsed="false">
      <c r="A1000" s="9" t="n">
        <f aca="false">IFERROR(__xludf.dummyfunction("""COMPUTED_VALUE"""),45646.6666666667)</f>
        <v>45646.6666666667</v>
      </c>
      <c r="B1000" s="8" t="n">
        <f aca="false">IFERROR(__xludf.dummyfunction("""COMPUTED_VALUE"""),590.58)</f>
        <v>590.58</v>
      </c>
      <c r="C1000" s="8" t="n">
        <f aca="false">IFERROR(__xludf.dummyfunction("""COMPUTED_VALUE"""),603.11)</f>
        <v>603.11</v>
      </c>
      <c r="D1000" s="8" t="n">
        <f aca="false">IFERROR(__xludf.dummyfunction("""COMPUTED_VALUE"""),580)</f>
        <v>580</v>
      </c>
      <c r="E1000" s="8" t="n">
        <f aca="false">IFERROR(__xludf.dummyfunction("""COMPUTED_VALUE"""),585.25)</f>
        <v>585.25</v>
      </c>
      <c r="F1000" s="8" t="n">
        <f aca="false">IFERROR(__xludf.dummyfunction("""COMPUTED_VALUE"""),48989390)</f>
        <v>48989390</v>
      </c>
    </row>
    <row r="1001" customFormat="false" ht="15.75" hidden="false" customHeight="false" outlineLevel="0" collapsed="false">
      <c r="A1001" s="9" t="n">
        <f aca="false">IFERROR(__xludf.dummyfunction("""COMPUTED_VALUE"""),45649.6666666667)</f>
        <v>45649.6666666667</v>
      </c>
      <c r="B1001" s="8" t="n">
        <f aca="false">IFERROR(__xludf.dummyfunction("""COMPUTED_VALUE"""),589.6)</f>
        <v>589.6</v>
      </c>
      <c r="C1001" s="8" t="n">
        <f aca="false">IFERROR(__xludf.dummyfunction("""COMPUTED_VALUE"""),601.09)</f>
        <v>601.09</v>
      </c>
      <c r="D1001" s="8" t="n">
        <f aca="false">IFERROR(__xludf.dummyfunction("""COMPUTED_VALUE"""),586.25)</f>
        <v>586.25</v>
      </c>
      <c r="E1001" s="8" t="n">
        <f aca="false">IFERROR(__xludf.dummyfunction("""COMPUTED_VALUE"""),599.85)</f>
        <v>599.85</v>
      </c>
      <c r="F1001" s="8" t="n">
        <f aca="false">IFERROR(__xludf.dummyfunction("""COMPUTED_VALUE"""),10205750)</f>
        <v>10205750</v>
      </c>
    </row>
    <row r="1002" customFormat="false" ht="15.75" hidden="false" customHeight="false" outlineLevel="0" collapsed="false">
      <c r="A1002" s="9" t="n">
        <f aca="false">IFERROR(__xludf.dummyfunction("""COMPUTED_VALUE"""),45650.5451388889)</f>
        <v>45650.5451388889</v>
      </c>
      <c r="B1002" s="8" t="n">
        <f aca="false">IFERROR(__xludf.dummyfunction("""COMPUTED_VALUE"""),602.72)</f>
        <v>602.72</v>
      </c>
      <c r="C1002" s="8" t="n">
        <f aca="false">IFERROR(__xludf.dummyfunction("""COMPUTED_VALUE"""),607.99)</f>
        <v>607.99</v>
      </c>
      <c r="D1002" s="8" t="n">
        <f aca="false">IFERROR(__xludf.dummyfunction("""COMPUTED_VALUE"""),599.28)</f>
        <v>599.28</v>
      </c>
      <c r="E1002" s="8" t="n">
        <f aca="false">IFERROR(__xludf.dummyfunction("""COMPUTED_VALUE"""),607.75)</f>
        <v>607.75</v>
      </c>
      <c r="F1002" s="8" t="n">
        <f aca="false">IFERROR(__xludf.dummyfunction("""COMPUTED_VALUE"""),4726056)</f>
        <v>4726056</v>
      </c>
    </row>
    <row r="1003" customFormat="false" ht="15.75" hidden="false" customHeight="false" outlineLevel="0" collapsed="false">
      <c r="A1003" s="9" t="n">
        <f aca="false">IFERROR(__xludf.dummyfunction("""COMPUTED_VALUE"""),45652.6666666667)</f>
        <v>45652.6666666667</v>
      </c>
      <c r="B1003" s="8" t="n">
        <f aca="false">IFERROR(__xludf.dummyfunction("""COMPUTED_VALUE"""),605.48)</f>
        <v>605.48</v>
      </c>
      <c r="C1003" s="8" t="n">
        <f aca="false">IFERROR(__xludf.dummyfunction("""COMPUTED_VALUE"""),606.3)</f>
        <v>606.3</v>
      </c>
      <c r="D1003" s="8" t="n">
        <f aca="false">IFERROR(__xludf.dummyfunction("""COMPUTED_VALUE"""),598.94)</f>
        <v>598.94</v>
      </c>
      <c r="E1003" s="8" t="n">
        <f aca="false">IFERROR(__xludf.dummyfunction("""COMPUTED_VALUE"""),603.35)</f>
        <v>603.35</v>
      </c>
      <c r="F1003" s="8" t="n">
        <f aca="false">IFERROR(__xludf.dummyfunction("""COMPUTED_VALUE"""),6091239)</f>
        <v>6091239</v>
      </c>
    </row>
    <row r="1004" customFormat="false" ht="15.75" hidden="false" customHeight="false" outlineLevel="0" collapsed="false">
      <c r="A1004" s="9" t="n">
        <f aca="false">IFERROR(__xludf.dummyfunction("""COMPUTED_VALUE"""),45653.6666666667)</f>
        <v>45653.6666666667</v>
      </c>
      <c r="B1004" s="8" t="n">
        <f aca="false">IFERROR(__xludf.dummyfunction("""COMPUTED_VALUE"""),599.41)</f>
        <v>599.41</v>
      </c>
      <c r="C1004" s="8" t="n">
        <f aca="false">IFERROR(__xludf.dummyfunction("""COMPUTED_VALUE"""),601.85)</f>
        <v>601.85</v>
      </c>
      <c r="D1004" s="8" t="n">
        <f aca="false">IFERROR(__xludf.dummyfunction("""COMPUTED_VALUE"""),589.8)</f>
        <v>589.8</v>
      </c>
      <c r="E1004" s="8" t="n">
        <f aca="false">IFERROR(__xludf.dummyfunction("""COMPUTED_VALUE"""),599.81)</f>
        <v>599.81</v>
      </c>
      <c r="F1004" s="8" t="n">
        <f aca="false">IFERROR(__xludf.dummyfunction("""COMPUTED_VALUE"""),8084229)</f>
        <v>8084229</v>
      </c>
    </row>
    <row r="1005" customFormat="false" ht="15.75" hidden="false" customHeight="false" outlineLevel="0" collapsed="false">
      <c r="A1005" s="9" t="n">
        <f aca="false">IFERROR(__xludf.dummyfunction("""COMPUTED_VALUE"""),45656.6666666667)</f>
        <v>45656.6666666667</v>
      </c>
      <c r="B1005" s="8" t="n">
        <f aca="false">IFERROR(__xludf.dummyfunction("""COMPUTED_VALUE"""),588.75)</f>
        <v>588.75</v>
      </c>
      <c r="C1005" s="8" t="n">
        <f aca="false">IFERROR(__xludf.dummyfunction("""COMPUTED_VALUE"""),596.94)</f>
        <v>596.94</v>
      </c>
      <c r="D1005" s="8" t="n">
        <f aca="false">IFERROR(__xludf.dummyfunction("""COMPUTED_VALUE"""),585.58)</f>
        <v>585.58</v>
      </c>
      <c r="E1005" s="8" t="n">
        <f aca="false">IFERROR(__xludf.dummyfunction("""COMPUTED_VALUE"""),591.24)</f>
        <v>591.24</v>
      </c>
      <c r="F1005" s="8" t="n">
        <f aca="false">IFERROR(__xludf.dummyfunction("""COMPUTED_VALUE"""),7025864)</f>
        <v>7025864</v>
      </c>
    </row>
    <row r="1006" customFormat="false" ht="15.75" hidden="false" customHeight="false" outlineLevel="0" collapsed="false">
      <c r="A1006" s="9" t="n">
        <f aca="false">IFERROR(__xludf.dummyfunction("""COMPUTED_VALUE"""),45657.6666666667)</f>
        <v>45657.6666666667</v>
      </c>
      <c r="B1006" s="8" t="n">
        <f aca="false">IFERROR(__xludf.dummyfunction("""COMPUTED_VALUE"""),592.27)</f>
        <v>592.27</v>
      </c>
      <c r="C1006" s="8" t="n">
        <f aca="false">IFERROR(__xludf.dummyfunction("""COMPUTED_VALUE"""),593.97)</f>
        <v>593.97</v>
      </c>
      <c r="D1006" s="8" t="n">
        <f aca="false">IFERROR(__xludf.dummyfunction("""COMPUTED_VALUE"""),583.85)</f>
        <v>583.85</v>
      </c>
      <c r="E1006" s="8" t="n">
        <f aca="false">IFERROR(__xludf.dummyfunction("""COMPUTED_VALUE"""),585.51)</f>
        <v>585.51</v>
      </c>
      <c r="F1006" s="8" t="n">
        <f aca="false">IFERROR(__xludf.dummyfunction("""COMPUTED_VALUE"""),6019520)</f>
        <v>6019520</v>
      </c>
    </row>
    <row r="1007" customFormat="false" ht="15.75" hidden="false" customHeight="false" outlineLevel="0" collapsed="false">
      <c r="A1007" s="9" t="n">
        <f aca="false">IFERROR(__xludf.dummyfunction("""COMPUTED_VALUE"""),45659.6666666667)</f>
        <v>45659.6666666667</v>
      </c>
      <c r="B1007" s="8" t="n">
        <f aca="false">IFERROR(__xludf.dummyfunction("""COMPUTED_VALUE"""),589.72)</f>
        <v>589.72</v>
      </c>
      <c r="C1007" s="8" t="n">
        <f aca="false">IFERROR(__xludf.dummyfunction("""COMPUTED_VALUE"""),604.91)</f>
        <v>604.91</v>
      </c>
      <c r="D1007" s="8" t="n">
        <f aca="false">IFERROR(__xludf.dummyfunction("""COMPUTED_VALUE"""),587.82)</f>
        <v>587.82</v>
      </c>
      <c r="E1007" s="8" t="n">
        <f aca="false">IFERROR(__xludf.dummyfunction("""COMPUTED_VALUE"""),599.24)</f>
        <v>599.24</v>
      </c>
      <c r="F1007" s="8" t="n">
        <f aca="false">IFERROR(__xludf.dummyfunction("""COMPUTED_VALUE"""),12682269)</f>
        <v>12682269</v>
      </c>
    </row>
    <row r="1008" customFormat="false" ht="15.75" hidden="false" customHeight="false" outlineLevel="0" collapsed="false">
      <c r="A1008" s="9" t="n">
        <f aca="false">IFERROR(__xludf.dummyfunction("""COMPUTED_VALUE"""),45660.6666666667)</f>
        <v>45660.6666666667</v>
      </c>
      <c r="B1008" s="8" t="n">
        <f aca="false">IFERROR(__xludf.dummyfunction("""COMPUTED_VALUE"""),604.76)</f>
        <v>604.76</v>
      </c>
      <c r="C1008" s="8" t="n">
        <f aca="false">IFERROR(__xludf.dummyfunction("""COMPUTED_VALUE"""),609.5)</f>
        <v>609.5</v>
      </c>
      <c r="D1008" s="8" t="n">
        <f aca="false">IFERROR(__xludf.dummyfunction("""COMPUTED_VALUE"""),596.41)</f>
        <v>596.41</v>
      </c>
      <c r="E1008" s="8" t="n">
        <f aca="false">IFERROR(__xludf.dummyfunction("""COMPUTED_VALUE"""),604.63)</f>
        <v>604.63</v>
      </c>
      <c r="F1008" s="8" t="n">
        <f aca="false">IFERROR(__xludf.dummyfunction("""COMPUTED_VALUE"""),11436784)</f>
        <v>11436784</v>
      </c>
    </row>
    <row r="1009" customFormat="false" ht="15.75" hidden="false" customHeight="false" outlineLevel="0" collapsed="false">
      <c r="A1009" s="9" t="n">
        <f aca="false">IFERROR(__xludf.dummyfunction("""COMPUTED_VALUE"""),45663.6666666667)</f>
        <v>45663.6666666667</v>
      </c>
      <c r="B1009" s="8" t="n">
        <f aca="false">IFERROR(__xludf.dummyfunction("""COMPUTED_VALUE"""),611.83)</f>
        <v>611.83</v>
      </c>
      <c r="C1009" s="8" t="n">
        <f aca="false">IFERROR(__xludf.dummyfunction("""COMPUTED_VALUE"""),630.99)</f>
        <v>630.99</v>
      </c>
      <c r="D1009" s="8" t="n">
        <f aca="false">IFERROR(__xludf.dummyfunction("""COMPUTED_VALUE"""),605.62)</f>
        <v>605.62</v>
      </c>
      <c r="E1009" s="8" t="n">
        <f aca="false">IFERROR(__xludf.dummyfunction("""COMPUTED_VALUE"""),630.2)</f>
        <v>630.2</v>
      </c>
      <c r="F1009" s="8" t="n">
        <f aca="false">IFERROR(__xludf.dummyfunction("""COMPUTED_VALUE"""),14560754)</f>
        <v>14560754</v>
      </c>
    </row>
    <row r="1010" customFormat="false" ht="15.75" hidden="false" customHeight="false" outlineLevel="0" collapsed="false">
      <c r="A1010" s="9" t="n">
        <f aca="false">IFERROR(__xludf.dummyfunction("""COMPUTED_VALUE"""),45664.6666666667)</f>
        <v>45664.6666666667</v>
      </c>
      <c r="B1010" s="8" t="n">
        <f aca="false">IFERROR(__xludf.dummyfunction("""COMPUTED_VALUE"""),631.7)</f>
        <v>631.7</v>
      </c>
      <c r="C1010" s="8" t="n">
        <f aca="false">IFERROR(__xludf.dummyfunction("""COMPUTED_VALUE"""),632.1)</f>
        <v>632.1</v>
      </c>
      <c r="D1010" s="8" t="n">
        <f aca="false">IFERROR(__xludf.dummyfunction("""COMPUTED_VALUE"""),608.23)</f>
        <v>608.23</v>
      </c>
      <c r="E1010" s="8" t="n">
        <f aca="false">IFERROR(__xludf.dummyfunction("""COMPUTED_VALUE"""),617.89)</f>
        <v>617.89</v>
      </c>
      <c r="F1010" s="8" t="n">
        <f aca="false">IFERROR(__xludf.dummyfunction("""COMPUTED_VALUE"""),12071479)</f>
        <v>12071479</v>
      </c>
    </row>
    <row r="1011" customFormat="false" ht="15.75" hidden="false" customHeight="false" outlineLevel="0" collapsed="false">
      <c r="A1011" s="9" t="n">
        <f aca="false">IFERROR(__xludf.dummyfunction("""COMPUTED_VALUE"""),45665.6666666667)</f>
        <v>45665.6666666667</v>
      </c>
      <c r="B1011" s="8" t="n">
        <f aca="false">IFERROR(__xludf.dummyfunction("""COMPUTED_VALUE"""),613.4)</f>
        <v>613.4</v>
      </c>
      <c r="C1011" s="8" t="n">
        <f aca="false">IFERROR(__xludf.dummyfunction("""COMPUTED_VALUE"""),616.44)</f>
        <v>616.44</v>
      </c>
      <c r="D1011" s="8" t="n">
        <f aca="false">IFERROR(__xludf.dummyfunction("""COMPUTED_VALUE"""),602.79)</f>
        <v>602.79</v>
      </c>
      <c r="E1011" s="8" t="n">
        <f aca="false">IFERROR(__xludf.dummyfunction("""COMPUTED_VALUE"""),610.72)</f>
        <v>610.72</v>
      </c>
      <c r="F1011" s="8" t="n">
        <f aca="false">IFERROR(__xludf.dummyfunction("""COMPUTED_VALUE"""),10085846)</f>
        <v>10085846</v>
      </c>
    </row>
    <row r="1012" customFormat="false" ht="15.75" hidden="false" customHeight="false" outlineLevel="0" collapsed="false">
      <c r="A1012" s="9" t="n">
        <f aca="false">IFERROR(__xludf.dummyfunction("""COMPUTED_VALUE"""),45667.6666666667)</f>
        <v>45667.6666666667</v>
      </c>
      <c r="B1012" s="8" t="n">
        <f aca="false">IFERROR(__xludf.dummyfunction("""COMPUTED_VALUE"""),610.03)</f>
        <v>610.03</v>
      </c>
      <c r="C1012" s="8" t="n">
        <f aca="false">IFERROR(__xludf.dummyfunction("""COMPUTED_VALUE"""),629.91)</f>
        <v>629.91</v>
      </c>
      <c r="D1012" s="8" t="n">
        <f aca="false">IFERROR(__xludf.dummyfunction("""COMPUTED_VALUE"""),597.34)</f>
        <v>597.34</v>
      </c>
      <c r="E1012" s="8" t="n">
        <f aca="false">IFERROR(__xludf.dummyfunction("""COMPUTED_VALUE"""),615.86)</f>
        <v>615.86</v>
      </c>
      <c r="F1012" s="8" t="n">
        <f aca="false">IFERROR(__xludf.dummyfunction("""COMPUTED_VALUE"""),19256564)</f>
        <v>19256564</v>
      </c>
    </row>
    <row r="1013" customFormat="false" ht="15.75" hidden="false" customHeight="false" outlineLevel="0" collapsed="false">
      <c r="A1013" s="9" t="n">
        <f aca="false">IFERROR(__xludf.dummyfunction("""COMPUTED_VALUE"""),45670.6666666667)</f>
        <v>45670.6666666667</v>
      </c>
      <c r="B1013" s="8" t="n">
        <f aca="false">IFERROR(__xludf.dummyfunction("""COMPUTED_VALUE"""),607.1)</f>
        <v>607.1</v>
      </c>
      <c r="C1013" s="8" t="n">
        <f aca="false">IFERROR(__xludf.dummyfunction("""COMPUTED_VALUE"""),608.97)</f>
        <v>608.97</v>
      </c>
      <c r="D1013" s="8" t="n">
        <f aca="false">IFERROR(__xludf.dummyfunction("""COMPUTED_VALUE"""),598.45)</f>
        <v>598.45</v>
      </c>
      <c r="E1013" s="8" t="n">
        <f aca="false">IFERROR(__xludf.dummyfunction("""COMPUTED_VALUE"""),608.33)</f>
        <v>608.33</v>
      </c>
      <c r="F1013" s="8" t="n">
        <f aca="false">IFERROR(__xludf.dummyfunction("""COMPUTED_VALUE"""),10785031)</f>
        <v>10785031</v>
      </c>
    </row>
    <row r="1014" customFormat="false" ht="15.75" hidden="false" customHeight="false" outlineLevel="0" collapsed="false">
      <c r="A1014" s="9" t="n">
        <f aca="false">IFERROR(__xludf.dummyfunction("""COMPUTED_VALUE"""),45671.6666666667)</f>
        <v>45671.6666666667</v>
      </c>
      <c r="B1014" s="8" t="n">
        <f aca="false">IFERROR(__xludf.dummyfunction("""COMPUTED_VALUE"""),605.07)</f>
        <v>605.07</v>
      </c>
      <c r="C1014" s="8" t="n">
        <f aca="false">IFERROR(__xludf.dummyfunction("""COMPUTED_VALUE"""),605.49)</f>
        <v>605.49</v>
      </c>
      <c r="D1014" s="8" t="n">
        <f aca="false">IFERROR(__xludf.dummyfunction("""COMPUTED_VALUE"""),588.55)</f>
        <v>588.55</v>
      </c>
      <c r="E1014" s="8" t="n">
        <f aca="false">IFERROR(__xludf.dummyfunction("""COMPUTED_VALUE"""),594.25)</f>
        <v>594.25</v>
      </c>
      <c r="F1014" s="8" t="n">
        <f aca="false">IFERROR(__xludf.dummyfunction("""COMPUTED_VALUE"""),13597992)</f>
        <v>13597992</v>
      </c>
    </row>
    <row r="1015" customFormat="false" ht="15.75" hidden="false" customHeight="false" outlineLevel="0" collapsed="false">
      <c r="A1015" s="9" t="n">
        <f aca="false">IFERROR(__xludf.dummyfunction("""COMPUTED_VALUE"""),45672.6666666667)</f>
        <v>45672.6666666667</v>
      </c>
      <c r="B1015" s="8" t="n">
        <f aca="false">IFERROR(__xludf.dummyfunction("""COMPUTED_VALUE"""),610.21)</f>
        <v>610.21</v>
      </c>
      <c r="C1015" s="8" t="n">
        <f aca="false">IFERROR(__xludf.dummyfunction("""COMPUTED_VALUE"""),622.46)</f>
        <v>622.46</v>
      </c>
      <c r="D1015" s="8" t="n">
        <f aca="false">IFERROR(__xludf.dummyfunction("""COMPUTED_VALUE"""),606.5)</f>
        <v>606.5</v>
      </c>
      <c r="E1015" s="8" t="n">
        <f aca="false">IFERROR(__xludf.dummyfunction("""COMPUTED_VALUE"""),617.12)</f>
        <v>617.12</v>
      </c>
      <c r="F1015" s="8" t="n">
        <f aca="false">IFERROR(__xludf.dummyfunction("""COMPUTED_VALUE"""),15524302)</f>
        <v>15524302</v>
      </c>
    </row>
    <row r="1016" customFormat="false" ht="15.75" hidden="false" customHeight="false" outlineLevel="0" collapsed="false">
      <c r="A1016" s="9" t="n">
        <f aca="false">IFERROR(__xludf.dummyfunction("""COMPUTED_VALUE"""),45673.6666666667)</f>
        <v>45673.6666666667</v>
      </c>
      <c r="B1016" s="8" t="n">
        <f aca="false">IFERROR(__xludf.dummyfunction("""COMPUTED_VALUE"""),611.5)</f>
        <v>611.5</v>
      </c>
      <c r="C1016" s="8" t="n">
        <f aca="false">IFERROR(__xludf.dummyfunction("""COMPUTED_VALUE"""),616.25)</f>
        <v>616.25</v>
      </c>
      <c r="D1016" s="8" t="n">
        <f aca="false">IFERROR(__xludf.dummyfunction("""COMPUTED_VALUE"""),609.71)</f>
        <v>609.71</v>
      </c>
      <c r="E1016" s="8" t="n">
        <f aca="false">IFERROR(__xludf.dummyfunction("""COMPUTED_VALUE"""),611.3)</f>
        <v>611.3</v>
      </c>
      <c r="F1016" s="8" t="n">
        <f aca="false">IFERROR(__xludf.dummyfunction("""COMPUTED_VALUE"""),8355349)</f>
        <v>8355349</v>
      </c>
    </row>
    <row r="1017" customFormat="false" ht="15.75" hidden="false" customHeight="false" outlineLevel="0" collapsed="false">
      <c r="A1017" s="9" t="n">
        <f aca="false">IFERROR(__xludf.dummyfunction("""COMPUTED_VALUE"""),45674.6666666667)</f>
        <v>45674.6666666667</v>
      </c>
      <c r="B1017" s="8" t="n">
        <f aca="false">IFERROR(__xludf.dummyfunction("""COMPUTED_VALUE"""),624.05)</f>
        <v>624.05</v>
      </c>
      <c r="C1017" s="8" t="n">
        <f aca="false">IFERROR(__xludf.dummyfunction("""COMPUTED_VALUE"""),624.97)</f>
        <v>624.97</v>
      </c>
      <c r="D1017" s="8" t="n">
        <f aca="false">IFERROR(__xludf.dummyfunction("""COMPUTED_VALUE"""),603.67)</f>
        <v>603.67</v>
      </c>
      <c r="E1017" s="8" t="n">
        <f aca="false">IFERROR(__xludf.dummyfunction("""COMPUTED_VALUE"""),612.77)</f>
        <v>612.77</v>
      </c>
      <c r="F1017" s="8" t="n">
        <f aca="false">IFERROR(__xludf.dummyfunction("""COMPUTED_VALUE"""),17280600)</f>
        <v>17280600</v>
      </c>
    </row>
    <row r="1018" customFormat="false" ht="15.75" hidden="false" customHeight="false" outlineLevel="0" collapsed="false">
      <c r="A1018" s="9" t="n">
        <f aca="false">IFERROR(__xludf.dummyfunction("""COMPUTED_VALUE"""),45678.6666666667)</f>
        <v>45678.6666666667</v>
      </c>
      <c r="B1018" s="8" t="n">
        <f aca="false">IFERROR(__xludf.dummyfunction("""COMPUTED_VALUE"""),617.83)</f>
        <v>617.83</v>
      </c>
      <c r="C1018" s="8" t="n">
        <f aca="false">IFERROR(__xludf.dummyfunction("""COMPUTED_VALUE"""),621.5)</f>
        <v>621.5</v>
      </c>
      <c r="D1018" s="8" t="n">
        <f aca="false">IFERROR(__xludf.dummyfunction("""COMPUTED_VALUE"""),609.01)</f>
        <v>609.01</v>
      </c>
      <c r="E1018" s="8" t="n">
        <f aca="false">IFERROR(__xludf.dummyfunction("""COMPUTED_VALUE"""),616.46)</f>
        <v>616.46</v>
      </c>
      <c r="F1018" s="8" t="n">
        <f aca="false">IFERROR(__xludf.dummyfunction("""COMPUTED_VALUE"""),11674016)</f>
        <v>11674016</v>
      </c>
    </row>
    <row r="1019" customFormat="false" ht="15.75" hidden="false" customHeight="false" outlineLevel="0" collapsed="false">
      <c r="A1019" s="9" t="n">
        <f aca="false">IFERROR(__xludf.dummyfunction("""COMPUTED_VALUE"""),45679.6666666667)</f>
        <v>45679.6666666667</v>
      </c>
      <c r="B1019" s="8" t="n">
        <f aca="false">IFERROR(__xludf.dummyfunction("""COMPUTED_VALUE"""),623.3)</f>
        <v>623.3</v>
      </c>
      <c r="C1019" s="8" t="n">
        <f aca="false">IFERROR(__xludf.dummyfunction("""COMPUTED_VALUE"""),633.7)</f>
        <v>633.7</v>
      </c>
      <c r="D1019" s="8" t="n">
        <f aca="false">IFERROR(__xludf.dummyfunction("""COMPUTED_VALUE"""),619.43)</f>
        <v>619.43</v>
      </c>
      <c r="E1019" s="8" t="n">
        <f aca="false">IFERROR(__xludf.dummyfunction("""COMPUTED_VALUE"""),623.5)</f>
        <v>623.5</v>
      </c>
      <c r="F1019" s="8" t="n">
        <f aca="false">IFERROR(__xludf.dummyfunction("""COMPUTED_VALUE"""),12274011)</f>
        <v>12274011</v>
      </c>
    </row>
    <row r="1020" customFormat="false" ht="15.75" hidden="false" customHeight="false" outlineLevel="0" collapsed="false">
      <c r="A1020" s="9" t="n">
        <f aca="false">IFERROR(__xludf.dummyfunction("""COMPUTED_VALUE"""),45680.6666666667)</f>
        <v>45680.6666666667</v>
      </c>
      <c r="B1020" s="8" t="n">
        <f aca="false">IFERROR(__xludf.dummyfunction("""COMPUTED_VALUE"""),627.36)</f>
        <v>627.36</v>
      </c>
      <c r="C1020" s="8" t="n">
        <f aca="false">IFERROR(__xludf.dummyfunction("""COMPUTED_VALUE"""),636.6)</f>
        <v>636.6</v>
      </c>
      <c r="D1020" s="8" t="n">
        <f aca="false">IFERROR(__xludf.dummyfunction("""COMPUTED_VALUE"""),621.15)</f>
        <v>621.15</v>
      </c>
      <c r="E1020" s="8" t="n">
        <f aca="false">IFERROR(__xludf.dummyfunction("""COMPUTED_VALUE"""),636.45)</f>
        <v>636.45</v>
      </c>
      <c r="F1020" s="8" t="n">
        <f aca="false">IFERROR(__xludf.dummyfunction("""COMPUTED_VALUE"""),9910163)</f>
        <v>9910163</v>
      </c>
    </row>
    <row r="1021" customFormat="false" ht="15.75" hidden="false" customHeight="false" outlineLevel="0" collapsed="false">
      <c r="A1021" s="9" t="n">
        <f aca="false">IFERROR(__xludf.dummyfunction("""COMPUTED_VALUE"""),45681.6666666667)</f>
        <v>45681.6666666667</v>
      </c>
      <c r="B1021" s="8" t="n">
        <f aca="false">IFERROR(__xludf.dummyfunction("""COMPUTED_VALUE"""),636.4)</f>
        <v>636.4</v>
      </c>
      <c r="C1021" s="8" t="n">
        <f aca="false">IFERROR(__xludf.dummyfunction("""COMPUTED_VALUE"""),652)</f>
        <v>652</v>
      </c>
      <c r="D1021" s="8" t="n">
        <f aca="false">IFERROR(__xludf.dummyfunction("""COMPUTED_VALUE"""),634.2)</f>
        <v>634.2</v>
      </c>
      <c r="E1021" s="8" t="n">
        <f aca="false">IFERROR(__xludf.dummyfunction("""COMPUTED_VALUE"""),647.49)</f>
        <v>647.49</v>
      </c>
      <c r="F1021" s="8" t="n">
        <f aca="false">IFERROR(__xludf.dummyfunction("""COMPUTED_VALUE"""),19065329)</f>
        <v>19065329</v>
      </c>
    </row>
    <row r="1022" customFormat="false" ht="15.75" hidden="false" customHeight="false" outlineLevel="0" collapsed="false">
      <c r="A1022" s="9" t="n">
        <f aca="false">IFERROR(__xludf.dummyfunction("""COMPUTED_VALUE"""),45684.6666666667)</f>
        <v>45684.6666666667</v>
      </c>
      <c r="B1022" s="8" t="n">
        <f aca="false">IFERROR(__xludf.dummyfunction("""COMPUTED_VALUE"""),626.61)</f>
        <v>626.61</v>
      </c>
      <c r="C1022" s="8" t="n">
        <f aca="false">IFERROR(__xludf.dummyfunction("""COMPUTED_VALUE"""),663.87)</f>
        <v>663.87</v>
      </c>
      <c r="D1022" s="8" t="n">
        <f aca="false">IFERROR(__xludf.dummyfunction("""COMPUTED_VALUE"""),625.1)</f>
        <v>625.1</v>
      </c>
      <c r="E1022" s="8" t="n">
        <f aca="false">IFERROR(__xludf.dummyfunction("""COMPUTED_VALUE"""),659.88)</f>
        <v>659.88</v>
      </c>
      <c r="F1022" s="8" t="n">
        <f aca="false">IFERROR(__xludf.dummyfunction("""COMPUTED_VALUE"""),28399190)</f>
        <v>28399190</v>
      </c>
    </row>
    <row r="1023" customFormat="false" ht="15.75" hidden="false" customHeight="false" outlineLevel="0" collapsed="false">
      <c r="A1023" s="9" t="n">
        <f aca="false">IFERROR(__xludf.dummyfunction("""COMPUTED_VALUE"""),45685.6666666667)</f>
        <v>45685.6666666667</v>
      </c>
      <c r="B1023" s="8" t="n">
        <f aca="false">IFERROR(__xludf.dummyfunction("""COMPUTED_VALUE"""),666)</f>
        <v>666</v>
      </c>
      <c r="C1023" s="8" t="n">
        <f aca="false">IFERROR(__xludf.dummyfunction("""COMPUTED_VALUE"""),682.58)</f>
        <v>682.58</v>
      </c>
      <c r="D1023" s="8" t="n">
        <f aca="false">IFERROR(__xludf.dummyfunction("""COMPUTED_VALUE"""),659.47)</f>
        <v>659.47</v>
      </c>
      <c r="E1023" s="8" t="n">
        <f aca="false">IFERROR(__xludf.dummyfunction("""COMPUTED_VALUE"""),674.33)</f>
        <v>674.33</v>
      </c>
      <c r="F1023" s="8" t="n">
        <f aca="false">IFERROR(__xludf.dummyfunction("""COMPUTED_VALUE"""),20950107)</f>
        <v>20950107</v>
      </c>
    </row>
    <row r="1024" customFormat="false" ht="15.75" hidden="false" customHeight="false" outlineLevel="0" collapsed="false">
      <c r="A1024" s="9" t="n">
        <f aca="false">IFERROR(__xludf.dummyfunction("""COMPUTED_VALUE"""),45686.6666666667)</f>
        <v>45686.6666666667</v>
      </c>
      <c r="B1024" s="8" t="n">
        <f aca="false">IFERROR(__xludf.dummyfunction("""COMPUTED_VALUE"""),675)</f>
        <v>675</v>
      </c>
      <c r="C1024" s="8" t="n">
        <f aca="false">IFERROR(__xludf.dummyfunction("""COMPUTED_VALUE"""),681.05)</f>
        <v>681.05</v>
      </c>
      <c r="D1024" s="8" t="n">
        <f aca="false">IFERROR(__xludf.dummyfunction("""COMPUTED_VALUE"""),665.67)</f>
        <v>665.67</v>
      </c>
      <c r="E1024" s="8" t="n">
        <f aca="false">IFERROR(__xludf.dummyfunction("""COMPUTED_VALUE"""),676.49)</f>
        <v>676.49</v>
      </c>
      <c r="F1024" s="8" t="n">
        <f aca="false">IFERROR(__xludf.dummyfunction("""COMPUTED_VALUE"""),21377820)</f>
        <v>21377820</v>
      </c>
    </row>
    <row r="1025" customFormat="false" ht="15.75" hidden="false" customHeight="false" outlineLevel="0" collapsed="false">
      <c r="A1025" s="9" t="n">
        <f aca="false">IFERROR(__xludf.dummyfunction("""COMPUTED_VALUE"""),45687.6666666667)</f>
        <v>45687.6666666667</v>
      </c>
      <c r="B1025" s="8" t="n">
        <f aca="false">IFERROR(__xludf.dummyfunction("""COMPUTED_VALUE"""),696.82)</f>
        <v>696.82</v>
      </c>
      <c r="C1025" s="8" t="n">
        <f aca="false">IFERROR(__xludf.dummyfunction("""COMPUTED_VALUE"""),710.79)</f>
        <v>710.79</v>
      </c>
      <c r="D1025" s="8" t="n">
        <f aca="false">IFERROR(__xludf.dummyfunction("""COMPUTED_VALUE"""),676.1)</f>
        <v>676.1</v>
      </c>
      <c r="E1025" s="8" t="n">
        <f aca="false">IFERROR(__xludf.dummyfunction("""COMPUTED_VALUE"""),687)</f>
        <v>687</v>
      </c>
      <c r="F1025" s="8" t="n">
        <f aca="false">IFERROR(__xludf.dummyfunction("""COMPUTED_VALUE"""),29322898)</f>
        <v>29322898</v>
      </c>
    </row>
    <row r="1026" customFormat="false" ht="15.75" hidden="false" customHeight="false" outlineLevel="0" collapsed="false">
      <c r="A1026" s="9" t="n">
        <f aca="false">IFERROR(__xludf.dummyfunction("""COMPUTED_VALUE"""),45688.6666666667)</f>
        <v>45688.6666666667</v>
      </c>
      <c r="B1026" s="8" t="n">
        <f aca="false">IFERROR(__xludf.dummyfunction("""COMPUTED_VALUE"""),691)</f>
        <v>691</v>
      </c>
      <c r="C1026" s="8" t="n">
        <f aca="false">IFERROR(__xludf.dummyfunction("""COMPUTED_VALUE"""),705.3)</f>
        <v>705.3</v>
      </c>
      <c r="D1026" s="8" t="n">
        <f aca="false">IFERROR(__xludf.dummyfunction("""COMPUTED_VALUE"""),685.58)</f>
        <v>685.58</v>
      </c>
      <c r="E1026" s="8" t="n">
        <f aca="false">IFERROR(__xludf.dummyfunction("""COMPUTED_VALUE"""),689.18)</f>
        <v>689.18</v>
      </c>
      <c r="F1026" s="8" t="n">
        <f aca="false">IFERROR(__xludf.dummyfunction("""COMPUTED_VALUE"""),19331660)</f>
        <v>19331660</v>
      </c>
    </row>
    <row r="1027" customFormat="false" ht="15.75" hidden="false" customHeight="false" outlineLevel="0" collapsed="false">
      <c r="A1027" s="9" t="n">
        <f aca="false">IFERROR(__xludf.dummyfunction("""COMPUTED_VALUE"""),45691.6666666667)</f>
        <v>45691.6666666667</v>
      </c>
      <c r="B1027" s="8" t="n">
        <f aca="false">IFERROR(__xludf.dummyfunction("""COMPUTED_VALUE"""),675.91)</f>
        <v>675.91</v>
      </c>
      <c r="C1027" s="8" t="n">
        <f aca="false">IFERROR(__xludf.dummyfunction("""COMPUTED_VALUE"""),704)</f>
        <v>704</v>
      </c>
      <c r="D1027" s="8" t="n">
        <f aca="false">IFERROR(__xludf.dummyfunction("""COMPUTED_VALUE"""),675.25)</f>
        <v>675.25</v>
      </c>
      <c r="E1027" s="8" t="n">
        <f aca="false">IFERROR(__xludf.dummyfunction("""COMPUTED_VALUE"""),697.46)</f>
        <v>697.46</v>
      </c>
      <c r="F1027" s="8" t="n">
        <f aca="false">IFERROR(__xludf.dummyfunction("""COMPUTED_VALUE"""),21415739)</f>
        <v>21415739</v>
      </c>
    </row>
    <row r="1028" customFormat="false" ht="15.75" hidden="false" customHeight="false" outlineLevel="0" collapsed="false">
      <c r="A1028" s="9" t="n">
        <f aca="false">IFERROR(__xludf.dummyfunction("""COMPUTED_VALUE"""),45692.6666666667)</f>
        <v>45692.6666666667</v>
      </c>
      <c r="B1028" s="8" t="n">
        <f aca="false">IFERROR(__xludf.dummyfunction("""COMPUTED_VALUE"""),702.5)</f>
        <v>702.5</v>
      </c>
      <c r="C1028" s="8" t="n">
        <f aca="false">IFERROR(__xludf.dummyfunction("""COMPUTED_VALUE"""),707.71)</f>
        <v>707.71</v>
      </c>
      <c r="D1028" s="8" t="n">
        <f aca="false">IFERROR(__xludf.dummyfunction("""COMPUTED_VALUE"""),691.61)</f>
        <v>691.61</v>
      </c>
      <c r="E1028" s="8" t="n">
        <f aca="false">IFERROR(__xludf.dummyfunction("""COMPUTED_VALUE"""),704.19)</f>
        <v>704.19</v>
      </c>
      <c r="F1028" s="8" t="n">
        <f aca="false">IFERROR(__xludf.dummyfunction("""COMPUTED_VALUE"""),13826270)</f>
        <v>13826270</v>
      </c>
    </row>
    <row r="1029" customFormat="false" ht="15.75" hidden="false" customHeight="false" outlineLevel="0" collapsed="false">
      <c r="A1029" s="9" t="n">
        <f aca="false">IFERROR(__xludf.dummyfunction("""COMPUTED_VALUE"""),45693.6666666667)</f>
        <v>45693.6666666667</v>
      </c>
      <c r="B1029" s="8" t="n">
        <f aca="false">IFERROR(__xludf.dummyfunction("""COMPUTED_VALUE"""),703.55)</f>
        <v>703.55</v>
      </c>
      <c r="C1029" s="8" t="n">
        <f aca="false">IFERROR(__xludf.dummyfunction("""COMPUTED_VALUE"""),718.14)</f>
        <v>718.14</v>
      </c>
      <c r="D1029" s="8" t="n">
        <f aca="false">IFERROR(__xludf.dummyfunction("""COMPUTED_VALUE"""),699.01)</f>
        <v>699.01</v>
      </c>
      <c r="E1029" s="8" t="n">
        <f aca="false">IFERROR(__xludf.dummyfunction("""COMPUTED_VALUE"""),704.87)</f>
        <v>704.87</v>
      </c>
      <c r="F1029" s="8" t="n">
        <f aca="false">IFERROR(__xludf.dummyfunction("""COMPUTED_VALUE"""),17793766)</f>
        <v>17793766</v>
      </c>
    </row>
    <row r="1030" customFormat="false" ht="15.75" hidden="false" customHeight="false" outlineLevel="0" collapsed="false">
      <c r="A1030" s="9" t="n">
        <f aca="false">IFERROR(__xludf.dummyfunction("""COMPUTED_VALUE"""),45694.6666666667)</f>
        <v>45694.6666666667</v>
      </c>
      <c r="B1030" s="8" t="n">
        <f aca="false">IFERROR(__xludf.dummyfunction("""COMPUTED_VALUE"""),705.88)</f>
        <v>705.88</v>
      </c>
      <c r="C1030" s="8" t="n">
        <f aca="false">IFERROR(__xludf.dummyfunction("""COMPUTED_VALUE"""),718.9)</f>
        <v>718.9</v>
      </c>
      <c r="D1030" s="8" t="n">
        <f aca="false">IFERROR(__xludf.dummyfunction("""COMPUTED_VALUE"""),703.5)</f>
        <v>703.5</v>
      </c>
      <c r="E1030" s="8" t="n">
        <f aca="false">IFERROR(__xludf.dummyfunction("""COMPUTED_VALUE"""),711.99)</f>
        <v>711.99</v>
      </c>
      <c r="F1030" s="8" t="n">
        <f aca="false">IFERROR(__xludf.dummyfunction("""COMPUTED_VALUE"""),13080690)</f>
        <v>13080690</v>
      </c>
    </row>
    <row r="1031" customFormat="false" ht="15.75" hidden="false" customHeight="false" outlineLevel="0" collapsed="false">
      <c r="A1031" s="9" t="n">
        <f aca="false">IFERROR(__xludf.dummyfunction("""COMPUTED_VALUE"""),45695.6666666667)</f>
        <v>45695.6666666667</v>
      </c>
      <c r="B1031" s="8" t="n">
        <f aca="false">IFERROR(__xludf.dummyfunction("""COMPUTED_VALUE"""),716.8)</f>
        <v>716.8</v>
      </c>
      <c r="C1031" s="8" t="n">
        <f aca="false">IFERROR(__xludf.dummyfunction("""COMPUTED_VALUE"""),725.01)</f>
        <v>725.01</v>
      </c>
      <c r="D1031" s="8" t="n">
        <f aca="false">IFERROR(__xludf.dummyfunction("""COMPUTED_VALUE"""),711.75)</f>
        <v>711.75</v>
      </c>
      <c r="E1031" s="8" t="n">
        <f aca="false">IFERROR(__xludf.dummyfunction("""COMPUTED_VALUE"""),714.52)</f>
        <v>714.52</v>
      </c>
      <c r="F1031" s="8" t="n">
        <f aca="false">IFERROR(__xludf.dummyfunction("""COMPUTED_VALUE"""),16427067)</f>
        <v>16427067</v>
      </c>
    </row>
    <row r="1032" customFormat="false" ht="15.75" hidden="false" customHeight="false" outlineLevel="0" collapsed="false">
      <c r="A1032" s="9" t="n">
        <f aca="false">IFERROR(__xludf.dummyfunction("""COMPUTED_VALUE"""),45698.6666666667)</f>
        <v>45698.6666666667</v>
      </c>
      <c r="B1032" s="8" t="n">
        <f aca="false">IFERROR(__xludf.dummyfunction("""COMPUTED_VALUE"""),718.56)</f>
        <v>718.56</v>
      </c>
      <c r="C1032" s="8" t="n">
        <f aca="false">IFERROR(__xludf.dummyfunction("""COMPUTED_VALUE"""),721.2)</f>
        <v>721.2</v>
      </c>
      <c r="D1032" s="8" t="n">
        <f aca="false">IFERROR(__xludf.dummyfunction("""COMPUTED_VALUE"""),711.33)</f>
        <v>711.33</v>
      </c>
      <c r="E1032" s="8" t="n">
        <f aca="false">IFERROR(__xludf.dummyfunction("""COMPUTED_VALUE"""),717.4)</f>
        <v>717.4</v>
      </c>
      <c r="F1032" s="8" t="n">
        <f aca="false">IFERROR(__xludf.dummyfunction("""COMPUTED_VALUE"""),12904317)</f>
        <v>12904317</v>
      </c>
    </row>
    <row r="1033" customFormat="false" ht="15.75" hidden="false" customHeight="false" outlineLevel="0" collapsed="false">
      <c r="A1033" s="9" t="n">
        <f aca="false">IFERROR(__xludf.dummyfunction("""COMPUTED_VALUE"""),45699.6666666667)</f>
        <v>45699.6666666667</v>
      </c>
      <c r="B1033" s="8" t="n">
        <f aca="false">IFERROR(__xludf.dummyfunction("""COMPUTED_VALUE"""),713.32)</f>
        <v>713.32</v>
      </c>
      <c r="C1033" s="8" t="n">
        <f aca="false">IFERROR(__xludf.dummyfunction("""COMPUTED_VALUE"""),723.66)</f>
        <v>723.66</v>
      </c>
      <c r="D1033" s="8" t="n">
        <f aca="false">IFERROR(__xludf.dummyfunction("""COMPUTED_VALUE"""),710.04)</f>
        <v>710.04</v>
      </c>
      <c r="E1033" s="8" t="n">
        <f aca="false">IFERROR(__xludf.dummyfunction("""COMPUTED_VALUE"""),719.8)</f>
        <v>719.8</v>
      </c>
      <c r="F1033" s="8" t="n">
        <f aca="false">IFERROR(__xludf.dummyfunction("""COMPUTED_VALUE"""),12997959)</f>
        <v>12997959</v>
      </c>
    </row>
    <row r="1034" customFormat="false" ht="15.75" hidden="false" customHeight="false" outlineLevel="0" collapsed="false">
      <c r="A1034" s="9" t="n">
        <f aca="false">IFERROR(__xludf.dummyfunction("""COMPUTED_VALUE"""),45700.6666666667)</f>
        <v>45700.6666666667</v>
      </c>
      <c r="B1034" s="8" t="n">
        <f aca="false">IFERROR(__xludf.dummyfunction("""COMPUTED_VALUE"""),715.3)</f>
        <v>715.3</v>
      </c>
      <c r="C1034" s="8" t="n">
        <f aca="false">IFERROR(__xludf.dummyfunction("""COMPUTED_VALUE"""),727.1)</f>
        <v>727.1</v>
      </c>
      <c r="D1034" s="8" t="n">
        <f aca="false">IFERROR(__xludf.dummyfunction("""COMPUTED_VALUE"""),712.6)</f>
        <v>712.6</v>
      </c>
      <c r="E1034" s="8" t="n">
        <f aca="false">IFERROR(__xludf.dummyfunction("""COMPUTED_VALUE"""),725.38)</f>
        <v>725.38</v>
      </c>
      <c r="F1034" s="8" t="n">
        <f aca="false">IFERROR(__xludf.dummyfunction("""COMPUTED_VALUE"""),12016517)</f>
        <v>12016517</v>
      </c>
    </row>
    <row r="1035" customFormat="false" ht="15.75" hidden="false" customHeight="false" outlineLevel="0" collapsed="false">
      <c r="A1035" s="9" t="n">
        <f aca="false">IFERROR(__xludf.dummyfunction("""COMPUTED_VALUE"""),45701.6666666667)</f>
        <v>45701.6666666667</v>
      </c>
      <c r="B1035" s="8" t="n">
        <f aca="false">IFERROR(__xludf.dummyfunction("""COMPUTED_VALUE"""),721.52)</f>
        <v>721.52</v>
      </c>
      <c r="C1035" s="8" t="n">
        <f aca="false">IFERROR(__xludf.dummyfunction("""COMPUTED_VALUE"""),729)</f>
        <v>729</v>
      </c>
      <c r="D1035" s="8" t="n">
        <f aca="false">IFERROR(__xludf.dummyfunction("""COMPUTED_VALUE"""),718.04)</f>
        <v>718.04</v>
      </c>
      <c r="E1035" s="8" t="n">
        <f aca="false">IFERROR(__xludf.dummyfunction("""COMPUTED_VALUE"""),728.56)</f>
        <v>728.56</v>
      </c>
      <c r="F1035" s="8" t="n">
        <f aca="false">IFERROR(__xludf.dummyfunction("""COMPUTED_VALUE"""),12569064)</f>
        <v>12569064</v>
      </c>
    </row>
    <row r="1036" customFormat="false" ht="15.75" hidden="false" customHeight="false" outlineLevel="0" collapsed="false">
      <c r="A1036" s="9" t="n">
        <f aca="false">IFERROR(__xludf.dummyfunction("""COMPUTED_VALUE"""),45702.6666666667)</f>
        <v>45702.6666666667</v>
      </c>
      <c r="B1036" s="8" t="n">
        <f aca="false">IFERROR(__xludf.dummyfunction("""COMPUTED_VALUE"""),726.14)</f>
        <v>726.14</v>
      </c>
      <c r="C1036" s="8" t="n">
        <f aca="false">IFERROR(__xludf.dummyfunction("""COMPUTED_VALUE"""),740.91)</f>
        <v>740.91</v>
      </c>
      <c r="D1036" s="8" t="n">
        <f aca="false">IFERROR(__xludf.dummyfunction("""COMPUTED_VALUE"""),725.62)</f>
        <v>725.62</v>
      </c>
      <c r="E1036" s="8" t="n">
        <f aca="false">IFERROR(__xludf.dummyfunction("""COMPUTED_VALUE"""),736.67)</f>
        <v>736.67</v>
      </c>
      <c r="F1036" s="8" t="n">
        <f aca="false">IFERROR(__xludf.dummyfunction("""COMPUTED_VALUE"""),16901249)</f>
        <v>16901249</v>
      </c>
    </row>
    <row r="1037" customFormat="false" ht="15.75" hidden="false" customHeight="false" outlineLevel="0" collapsed="false">
      <c r="A1037" s="9" t="n">
        <f aca="false">IFERROR(__xludf.dummyfunction("""COMPUTED_VALUE"""),45706.6666666667)</f>
        <v>45706.6666666667</v>
      </c>
      <c r="B1037" s="8" t="n">
        <f aca="false">IFERROR(__xludf.dummyfunction("""COMPUTED_VALUE"""),736)</f>
        <v>736</v>
      </c>
      <c r="C1037" s="8" t="n">
        <f aca="false">IFERROR(__xludf.dummyfunction("""COMPUTED_VALUE"""),737)</f>
        <v>737</v>
      </c>
      <c r="D1037" s="8" t="n">
        <f aca="false">IFERROR(__xludf.dummyfunction("""COMPUTED_VALUE"""),706.44)</f>
        <v>706.44</v>
      </c>
      <c r="E1037" s="8" t="n">
        <f aca="false">IFERROR(__xludf.dummyfunction("""COMPUTED_VALUE"""),716.37)</f>
        <v>716.37</v>
      </c>
      <c r="F1037" s="8" t="n">
        <f aca="false">IFERROR(__xludf.dummyfunction("""COMPUTED_VALUE"""),21938703)</f>
        <v>21938703</v>
      </c>
    </row>
    <row r="1038" customFormat="false" ht="15.75" hidden="false" customHeight="false" outlineLevel="0" collapsed="false">
      <c r="A1038" s="9" t="n">
        <f aca="false">IFERROR(__xludf.dummyfunction("""COMPUTED_VALUE"""),45707.6666666667)</f>
        <v>45707.6666666667</v>
      </c>
      <c r="B1038" s="8" t="n">
        <f aca="false">IFERROR(__xludf.dummyfunction("""COMPUTED_VALUE"""),704.1)</f>
        <v>704.1</v>
      </c>
      <c r="C1038" s="8" t="n">
        <f aca="false">IFERROR(__xludf.dummyfunction("""COMPUTED_VALUE"""),707)</f>
        <v>707</v>
      </c>
      <c r="D1038" s="8" t="n">
        <f aca="false">IFERROR(__xludf.dummyfunction("""COMPUTED_VALUE"""),695.39)</f>
        <v>695.39</v>
      </c>
      <c r="E1038" s="8" t="n">
        <f aca="false">IFERROR(__xludf.dummyfunction("""COMPUTED_VALUE"""),703.77)</f>
        <v>703.77</v>
      </c>
      <c r="F1038" s="8" t="n">
        <f aca="false">IFERROR(__xludf.dummyfunction("""COMPUTED_VALUE"""),17535480)</f>
        <v>17535480</v>
      </c>
    </row>
    <row r="1039" customFormat="false" ht="15.75" hidden="false" customHeight="false" outlineLevel="0" collapsed="false">
      <c r="A1039" s="9" t="n">
        <f aca="false">IFERROR(__xludf.dummyfunction("""COMPUTED_VALUE"""),45708.6666666667)</f>
        <v>45708.6666666667</v>
      </c>
      <c r="B1039" s="8" t="n">
        <f aca="false">IFERROR(__xludf.dummyfunction("""COMPUTED_VALUE"""),697.28)</f>
        <v>697.28</v>
      </c>
      <c r="C1039" s="8" t="n">
        <f aca="false">IFERROR(__xludf.dummyfunction("""COMPUTED_VALUE"""),705.63)</f>
        <v>705.63</v>
      </c>
      <c r="D1039" s="8" t="n">
        <f aca="false">IFERROR(__xludf.dummyfunction("""COMPUTED_VALUE"""),693.64)</f>
        <v>693.64</v>
      </c>
      <c r="E1039" s="8" t="n">
        <f aca="false">IFERROR(__xludf.dummyfunction("""COMPUTED_VALUE"""),694.84)</f>
        <v>694.84</v>
      </c>
      <c r="F1039" s="8" t="n">
        <f aca="false">IFERROR(__xludf.dummyfunction("""COMPUTED_VALUE"""),12587408)</f>
        <v>12587408</v>
      </c>
    </row>
    <row r="1040" customFormat="false" ht="15.75" hidden="false" customHeight="false" outlineLevel="0" collapsed="false">
      <c r="A1040" s="9" t="n">
        <f aca="false">IFERROR(__xludf.dummyfunction("""COMPUTED_VALUE"""),45709.6666666667)</f>
        <v>45709.6666666667</v>
      </c>
      <c r="B1040" s="8" t="n">
        <f aca="false">IFERROR(__xludf.dummyfunction("""COMPUTED_VALUE"""),696.58)</f>
        <v>696.58</v>
      </c>
      <c r="C1040" s="8" t="n">
        <f aca="false">IFERROR(__xludf.dummyfunction("""COMPUTED_VALUE"""),703.87)</f>
        <v>703.87</v>
      </c>
      <c r="D1040" s="8" t="n">
        <f aca="false">IFERROR(__xludf.dummyfunction("""COMPUTED_VALUE"""),682.36)</f>
        <v>682.36</v>
      </c>
      <c r="E1040" s="8" t="n">
        <f aca="false">IFERROR(__xludf.dummyfunction("""COMPUTED_VALUE"""),683.55)</f>
        <v>683.55</v>
      </c>
      <c r="F1040" s="8" t="n">
        <f aca="false">IFERROR(__xludf.dummyfunction("""COMPUTED_VALUE"""),15660355)</f>
        <v>15660355</v>
      </c>
    </row>
    <row r="1041" customFormat="false" ht="15.75" hidden="false" customHeight="false" outlineLevel="0" collapsed="false">
      <c r="A1041" s="9" t="n">
        <f aca="false">IFERROR(__xludf.dummyfunction("""COMPUTED_VALUE"""),45712.6666666667)</f>
        <v>45712.6666666667</v>
      </c>
      <c r="B1041" s="8" t="n">
        <f aca="false">IFERROR(__xludf.dummyfunction("""COMPUTED_VALUE"""),686.28)</f>
        <v>686.28</v>
      </c>
      <c r="C1041" s="8" t="n">
        <f aca="false">IFERROR(__xludf.dummyfunction("""COMPUTED_VALUE"""),687.27)</f>
        <v>687.27</v>
      </c>
      <c r="D1041" s="8" t="n">
        <f aca="false">IFERROR(__xludf.dummyfunction("""COMPUTED_VALUE"""),662.45)</f>
        <v>662.45</v>
      </c>
      <c r="E1041" s="8" t="n">
        <f aca="false">IFERROR(__xludf.dummyfunction("""COMPUTED_VALUE"""),668.13)</f>
        <v>668.13</v>
      </c>
      <c r="F1041" s="8" t="n">
        <f aca="false">IFERROR(__xludf.dummyfunction("""COMPUTED_VALUE"""),15676994)</f>
        <v>15676994</v>
      </c>
    </row>
    <row r="1042" customFormat="false" ht="15.75" hidden="false" customHeight="false" outlineLevel="0" collapsed="false">
      <c r="A1042" s="9" t="n">
        <f aca="false">IFERROR(__xludf.dummyfunction("""COMPUTED_VALUE"""),45713.6666666667)</f>
        <v>45713.6666666667</v>
      </c>
      <c r="B1042" s="8" t="n">
        <f aca="false">IFERROR(__xludf.dummyfunction("""COMPUTED_VALUE"""),665.97)</f>
        <v>665.97</v>
      </c>
      <c r="C1042" s="8" t="n">
        <f aca="false">IFERROR(__xludf.dummyfunction("""COMPUTED_VALUE"""),668)</f>
        <v>668</v>
      </c>
      <c r="D1042" s="8" t="n">
        <f aca="false">IFERROR(__xludf.dummyfunction("""COMPUTED_VALUE"""),641.86)</f>
        <v>641.86</v>
      </c>
      <c r="E1042" s="8" t="n">
        <f aca="false">IFERROR(__xludf.dummyfunction("""COMPUTED_VALUE"""),657.5)</f>
        <v>657.5</v>
      </c>
      <c r="F1042" s="8" t="n">
        <f aca="false">IFERROR(__xludf.dummyfunction("""COMPUTED_VALUE"""),20579662)</f>
        <v>20579662</v>
      </c>
    </row>
    <row r="1043" customFormat="false" ht="15.75" hidden="false" customHeight="false" outlineLevel="0" collapsed="false">
      <c r="A1043" s="9" t="n">
        <f aca="false">IFERROR(__xludf.dummyfunction("""COMPUTED_VALUE"""),45714.6666666667)</f>
        <v>45714.6666666667</v>
      </c>
      <c r="B1043" s="8" t="n">
        <f aca="false">IFERROR(__xludf.dummyfunction("""COMPUTED_VALUE"""),659.65)</f>
        <v>659.65</v>
      </c>
      <c r="C1043" s="8" t="n">
        <f aca="false">IFERROR(__xludf.dummyfunction("""COMPUTED_VALUE"""),683.01)</f>
        <v>683.01</v>
      </c>
      <c r="D1043" s="8" t="n">
        <f aca="false">IFERROR(__xludf.dummyfunction("""COMPUTED_VALUE"""),658)</f>
        <v>658</v>
      </c>
      <c r="E1043" s="8" t="n">
        <f aca="false">IFERROR(__xludf.dummyfunction("""COMPUTED_VALUE"""),673.7)</f>
        <v>673.7</v>
      </c>
      <c r="F1043" s="8" t="n">
        <f aca="false">IFERROR(__xludf.dummyfunction("""COMPUTED_VALUE"""),14488705)</f>
        <v>14488705</v>
      </c>
    </row>
    <row r="1044" customFormat="false" ht="15.75" hidden="false" customHeight="false" outlineLevel="0" collapsed="false">
      <c r="A1044" s="9" t="n">
        <f aca="false">IFERROR(__xludf.dummyfunction("""COMPUTED_VALUE"""),45715.6666666667)</f>
        <v>45715.6666666667</v>
      </c>
      <c r="B1044" s="8" t="n">
        <f aca="false">IFERROR(__xludf.dummyfunction("""COMPUTED_VALUE"""),682.45)</f>
        <v>682.45</v>
      </c>
      <c r="C1044" s="8" t="n">
        <f aca="false">IFERROR(__xludf.dummyfunction("""COMPUTED_VALUE"""),688.65)</f>
        <v>688.65</v>
      </c>
      <c r="D1044" s="8" t="n">
        <f aca="false">IFERROR(__xludf.dummyfunction("""COMPUTED_VALUE"""),657.57)</f>
        <v>657.57</v>
      </c>
      <c r="E1044" s="8" t="n">
        <f aca="false">IFERROR(__xludf.dummyfunction("""COMPUTED_VALUE"""),658.24)</f>
        <v>658.24</v>
      </c>
      <c r="F1044" s="8" t="n">
        <f aca="false">IFERROR(__xludf.dummyfunction("""COMPUTED_VALUE"""),12500013)</f>
        <v>12500013</v>
      </c>
    </row>
    <row r="1045" customFormat="false" ht="15.75" hidden="false" customHeight="false" outlineLevel="0" collapsed="false">
      <c r="A1045" s="9" t="n">
        <f aca="false">IFERROR(__xludf.dummyfunction("""COMPUTED_VALUE"""),45716.6666666667)</f>
        <v>45716.6666666667</v>
      </c>
      <c r="B1045" s="8" t="n">
        <f aca="false">IFERROR(__xludf.dummyfunction("""COMPUTED_VALUE"""),658.04)</f>
        <v>658.04</v>
      </c>
      <c r="C1045" s="8" t="n">
        <f aca="false">IFERROR(__xludf.dummyfunction("""COMPUTED_VALUE"""),669.63)</f>
        <v>669.63</v>
      </c>
      <c r="D1045" s="8" t="n">
        <f aca="false">IFERROR(__xludf.dummyfunction("""COMPUTED_VALUE"""),642.6)</f>
        <v>642.6</v>
      </c>
      <c r="E1045" s="8" t="n">
        <f aca="false">IFERROR(__xludf.dummyfunction("""COMPUTED_VALUE"""),668.2)</f>
        <v>668.2</v>
      </c>
      <c r="F1045" s="8" t="n">
        <f aca="false">IFERROR(__xludf.dummyfunction("""COMPUTED_VALUE"""),17534168)</f>
        <v>17534168</v>
      </c>
    </row>
    <row r="1046" customFormat="false" ht="15.75" hidden="false" customHeight="false" outlineLevel="0" collapsed="false">
      <c r="A1046" s="9" t="n">
        <f aca="false">IFERROR(__xludf.dummyfunction("""COMPUTED_VALUE"""),45719.6666666667)</f>
        <v>45719.6666666667</v>
      </c>
      <c r="B1046" s="8" t="n">
        <f aca="false">IFERROR(__xludf.dummyfunction("""COMPUTED_VALUE"""),673.68)</f>
        <v>673.68</v>
      </c>
      <c r="C1046" s="8" t="n">
        <f aca="false">IFERROR(__xludf.dummyfunction("""COMPUTED_VALUE"""),681.25)</f>
        <v>681.25</v>
      </c>
      <c r="D1046" s="8" t="n">
        <f aca="false">IFERROR(__xludf.dummyfunction("""COMPUTED_VALUE"""),650.84)</f>
        <v>650.84</v>
      </c>
      <c r="E1046" s="8" t="n">
        <f aca="false">IFERROR(__xludf.dummyfunction("""COMPUTED_VALUE"""),655.05)</f>
        <v>655.05</v>
      </c>
      <c r="F1046" s="8" t="n">
        <f aca="false">IFERROR(__xludf.dummyfunction("""COMPUTED_VALUE"""),10843763)</f>
        <v>10843763</v>
      </c>
    </row>
    <row r="1047" customFormat="false" ht="15.75" hidden="false" customHeight="false" outlineLevel="0" collapsed="false">
      <c r="A1047" s="9" t="n">
        <f aca="false">IFERROR(__xludf.dummyfunction("""COMPUTED_VALUE"""),45720.6666666667)</f>
        <v>45720.6666666667</v>
      </c>
      <c r="B1047" s="8" t="n">
        <f aca="false">IFERROR(__xludf.dummyfunction("""COMPUTED_VALUE"""),645.51)</f>
        <v>645.51</v>
      </c>
      <c r="C1047" s="8" t="n">
        <f aca="false">IFERROR(__xludf.dummyfunction("""COMPUTED_VALUE"""),649.75)</f>
        <v>649.75</v>
      </c>
      <c r="D1047" s="8" t="n">
        <f aca="false">IFERROR(__xludf.dummyfunction("""COMPUTED_VALUE"""),623.65)</f>
        <v>623.65</v>
      </c>
      <c r="E1047" s="8" t="n">
        <f aca="false">IFERROR(__xludf.dummyfunction("""COMPUTED_VALUE"""),640)</f>
        <v>640</v>
      </c>
      <c r="F1047" s="8" t="n">
        <f aca="false">IFERROR(__xludf.dummyfunction("""COMPUTED_VALUE"""),21495208)</f>
        <v>21495208</v>
      </c>
    </row>
    <row r="1048" customFormat="false" ht="15.75" hidden="false" customHeight="false" outlineLevel="0" collapsed="false">
      <c r="A1048" s="9" t="n">
        <f aca="false">IFERROR(__xludf.dummyfunction("""COMPUTED_VALUE"""),45721.6666666667)</f>
        <v>45721.6666666667</v>
      </c>
      <c r="B1048" s="8" t="n">
        <f aca="false">IFERROR(__xludf.dummyfunction("""COMPUTED_VALUE"""),641)</f>
        <v>641</v>
      </c>
      <c r="C1048" s="8" t="n">
        <f aca="false">IFERROR(__xludf.dummyfunction("""COMPUTED_VALUE"""),659.5)</f>
        <v>659.5</v>
      </c>
      <c r="D1048" s="8" t="n">
        <f aca="false">IFERROR(__xludf.dummyfunction("""COMPUTED_VALUE"""),637.66)</f>
        <v>637.66</v>
      </c>
      <c r="E1048" s="8" t="n">
        <f aca="false">IFERROR(__xludf.dummyfunction("""COMPUTED_VALUE"""),656.47)</f>
        <v>656.47</v>
      </c>
      <c r="F1048" s="8" t="n">
        <f aca="false">IFERROR(__xludf.dummyfunction("""COMPUTED_VALUE"""),13770026)</f>
        <v>13770026</v>
      </c>
    </row>
    <row r="1049" customFormat="false" ht="15.75" hidden="false" customHeight="false" outlineLevel="0" collapsed="false">
      <c r="A1049" s="9" t="n">
        <f aca="false">IFERROR(__xludf.dummyfunction("""COMPUTED_VALUE"""),45722.6666666667)</f>
        <v>45722.6666666667</v>
      </c>
      <c r="B1049" s="8" t="n">
        <f aca="false">IFERROR(__xludf.dummyfunction("""COMPUTED_VALUE"""),648)</f>
        <v>648</v>
      </c>
      <c r="C1049" s="8" t="n">
        <f aca="false">IFERROR(__xludf.dummyfunction("""COMPUTED_VALUE"""),650.56)</f>
        <v>650.56</v>
      </c>
      <c r="D1049" s="8" t="n">
        <f aca="false">IFERROR(__xludf.dummyfunction("""COMPUTED_VALUE"""),624.11)</f>
        <v>624.11</v>
      </c>
      <c r="E1049" s="8" t="n">
        <f aca="false">IFERROR(__xludf.dummyfunction("""COMPUTED_VALUE"""),627.93)</f>
        <v>627.93</v>
      </c>
      <c r="F1049" s="8" t="n">
        <f aca="false">IFERROR(__xludf.dummyfunction("""COMPUTED_VALUE"""),13446454)</f>
        <v>13446454</v>
      </c>
    </row>
    <row r="1050" customFormat="false" ht="15.75" hidden="false" customHeight="false" outlineLevel="0" collapsed="false">
      <c r="A1050" s="9" t="n">
        <f aca="false">IFERROR(__xludf.dummyfunction("""COMPUTED_VALUE"""),45723.6666666667)</f>
        <v>45723.6666666667</v>
      </c>
      <c r="B1050" s="8" t="n">
        <f aca="false">IFERROR(__xludf.dummyfunction("""COMPUTED_VALUE"""),625.37)</f>
        <v>625.37</v>
      </c>
      <c r="C1050" s="8" t="n">
        <f aca="false">IFERROR(__xludf.dummyfunction("""COMPUTED_VALUE"""),634.79)</f>
        <v>634.79</v>
      </c>
      <c r="D1050" s="8" t="n">
        <f aca="false">IFERROR(__xludf.dummyfunction("""COMPUTED_VALUE"""),600.61)</f>
        <v>600.61</v>
      </c>
      <c r="E1050" s="8" t="n">
        <f aca="false">IFERROR(__xludf.dummyfunction("""COMPUTED_VALUE"""),625.66)</f>
        <v>625.66</v>
      </c>
      <c r="F1050" s="8" t="n">
        <f aca="false">IFERROR(__xludf.dummyfunction("""COMPUTED_VALUE"""),21375671)</f>
        <v>21375671</v>
      </c>
    </row>
    <row r="1051" customFormat="false" ht="15.75" hidden="false" customHeight="false" outlineLevel="0" collapsed="false">
      <c r="A1051" s="9" t="n">
        <f aca="false">IFERROR(__xludf.dummyfunction("""COMPUTED_VALUE"""),45726.6666666667)</f>
        <v>45726.6666666667</v>
      </c>
      <c r="B1051" s="8" t="n">
        <f aca="false">IFERROR(__xludf.dummyfunction("""COMPUTED_VALUE"""),608.07)</f>
        <v>608.07</v>
      </c>
      <c r="C1051" s="8" t="n">
        <f aca="false">IFERROR(__xludf.dummyfunction("""COMPUTED_VALUE"""),610.11)</f>
        <v>610.11</v>
      </c>
      <c r="D1051" s="8" t="n">
        <f aca="false">IFERROR(__xludf.dummyfunction("""COMPUTED_VALUE"""),586.87)</f>
        <v>586.87</v>
      </c>
      <c r="E1051" s="8" t="n">
        <f aca="false">IFERROR(__xludf.dummyfunction("""COMPUTED_VALUE"""),597.99)</f>
        <v>597.99</v>
      </c>
      <c r="F1051" s="8" t="n">
        <f aca="false">IFERROR(__xludf.dummyfunction("""COMPUTED_VALUE"""),21999943)</f>
        <v>21999943</v>
      </c>
    </row>
    <row r="1052" customFormat="false" ht="15.75" hidden="false" customHeight="false" outlineLevel="0" collapsed="false">
      <c r="A1052" s="9" t="n">
        <f aca="false">IFERROR(__xludf.dummyfunction("""COMPUTED_VALUE"""),45727.6666666667)</f>
        <v>45727.6666666667</v>
      </c>
      <c r="B1052" s="8" t="n">
        <f aca="false">IFERROR(__xludf.dummyfunction("""COMPUTED_VALUE"""),595.05)</f>
        <v>595.05</v>
      </c>
      <c r="C1052" s="8" t="n">
        <f aca="false">IFERROR(__xludf.dummyfunction("""COMPUTED_VALUE"""),614.93)</f>
        <v>614.93</v>
      </c>
      <c r="D1052" s="8" t="n">
        <f aca="false">IFERROR(__xludf.dummyfunction("""COMPUTED_VALUE"""),593.33)</f>
        <v>593.33</v>
      </c>
      <c r="E1052" s="8" t="n">
        <f aca="false">IFERROR(__xludf.dummyfunction("""COMPUTED_VALUE"""),605.71)</f>
        <v>605.71</v>
      </c>
      <c r="F1052" s="8" t="n">
        <f aca="false">IFERROR(__xludf.dummyfunction("""COMPUTED_VALUE"""),17401469)</f>
        <v>17401469</v>
      </c>
    </row>
    <row r="1053" customFormat="false" ht="15.75" hidden="false" customHeight="false" outlineLevel="0" collapsed="false">
      <c r="A1053" s="9" t="n">
        <f aca="false">IFERROR(__xludf.dummyfunction("""COMPUTED_VALUE"""),45728.6666666667)</f>
        <v>45728.6666666667</v>
      </c>
      <c r="B1053" s="8" t="n">
        <f aca="false">IFERROR(__xludf.dummyfunction("""COMPUTED_VALUE"""),629.9)</f>
        <v>629.9</v>
      </c>
      <c r="C1053" s="8" t="n">
        <f aca="false">IFERROR(__xludf.dummyfunction("""COMPUTED_VALUE"""),633.33)</f>
        <v>633.33</v>
      </c>
      <c r="D1053" s="8" t="n">
        <f aca="false">IFERROR(__xludf.dummyfunction("""COMPUTED_VALUE"""),609.35)</f>
        <v>609.35</v>
      </c>
      <c r="E1053" s="8" t="n">
        <f aca="false">IFERROR(__xludf.dummyfunction("""COMPUTED_VALUE"""),619.56)</f>
        <v>619.56</v>
      </c>
      <c r="F1053" s="8" t="n">
        <f aca="false">IFERROR(__xludf.dummyfunction("""COMPUTED_VALUE"""),15746966)</f>
        <v>15746966</v>
      </c>
    </row>
    <row r="1054" customFormat="false" ht="15.75" hidden="false" customHeight="false" outlineLevel="0" collapsed="false">
      <c r="A1054" s="9" t="n">
        <f aca="false">IFERROR(__xludf.dummyfunction("""COMPUTED_VALUE"""),45729.6666666667)</f>
        <v>45729.6666666667</v>
      </c>
      <c r="B1054" s="8" t="n">
        <f aca="false">IFERROR(__xludf.dummyfunction("""COMPUTED_VALUE"""),620.25)</f>
        <v>620.25</v>
      </c>
      <c r="C1054" s="8" t="n">
        <f aca="false">IFERROR(__xludf.dummyfunction("""COMPUTED_VALUE"""),620.5)</f>
        <v>620.5</v>
      </c>
      <c r="D1054" s="8" t="n">
        <f aca="false">IFERROR(__xludf.dummyfunction("""COMPUTED_VALUE"""),586.51)</f>
        <v>586.51</v>
      </c>
      <c r="E1054" s="8" t="n">
        <f aca="false">IFERROR(__xludf.dummyfunction("""COMPUTED_VALUE"""),590.64)</f>
        <v>590.64</v>
      </c>
      <c r="F1054" s="8" t="n">
        <f aca="false">IFERROR(__xludf.dummyfunction("""COMPUTED_VALUE"""),16480324)</f>
        <v>16480324</v>
      </c>
    </row>
    <row r="1055" customFormat="false" ht="15.75" hidden="false" customHeight="false" outlineLevel="0" collapsed="false">
      <c r="A1055" s="9" t="n">
        <f aca="false">IFERROR(__xludf.dummyfunction("""COMPUTED_VALUE"""),45730.6666666667)</f>
        <v>45730.6666666667</v>
      </c>
      <c r="B1055" s="8" t="n">
        <f aca="false">IFERROR(__xludf.dummyfunction("""COMPUTED_VALUE"""),602.8)</f>
        <v>602.8</v>
      </c>
      <c r="C1055" s="8" t="n">
        <f aca="false">IFERROR(__xludf.dummyfunction("""COMPUTED_VALUE"""),608.86)</f>
        <v>608.86</v>
      </c>
      <c r="D1055" s="8" t="n">
        <f aca="false">IFERROR(__xludf.dummyfunction("""COMPUTED_VALUE"""),594.78)</f>
        <v>594.78</v>
      </c>
      <c r="E1055" s="8" t="n">
        <f aca="false">IFERROR(__xludf.dummyfunction("""COMPUTED_VALUE"""),607.6)</f>
        <v>607.6</v>
      </c>
      <c r="F1055" s="8" t="n">
        <f aca="false">IFERROR(__xludf.dummyfunction("""COMPUTED_VALUE"""),12364505)</f>
        <v>12364505</v>
      </c>
    </row>
    <row r="1056" customFormat="false" ht="15.75" hidden="false" customHeight="false" outlineLevel="0" collapsed="false">
      <c r="A1056" s="9" t="n">
        <f aca="false">IFERROR(__xludf.dummyfunction("""COMPUTED_VALUE"""),45733.6666666667)</f>
        <v>45733.6666666667</v>
      </c>
      <c r="B1056" s="8" t="n">
        <f aca="false">IFERROR(__xludf.dummyfunction("""COMPUTED_VALUE"""),607.46)</f>
        <v>607.46</v>
      </c>
      <c r="C1056" s="8" t="n">
        <f aca="false">IFERROR(__xludf.dummyfunction("""COMPUTED_VALUE"""),613.1)</f>
        <v>613.1</v>
      </c>
      <c r="D1056" s="8" t="n">
        <f aca="false">IFERROR(__xludf.dummyfunction("""COMPUTED_VALUE"""),598)</f>
        <v>598</v>
      </c>
      <c r="E1056" s="8" t="n">
        <f aca="false">IFERROR(__xludf.dummyfunction("""COMPUTED_VALUE"""),604.9)</f>
        <v>604.9</v>
      </c>
      <c r="F1056" s="8" t="n">
        <f aca="false">IFERROR(__xludf.dummyfunction("""COMPUTED_VALUE"""),15473909)</f>
        <v>15473909</v>
      </c>
    </row>
    <row r="1057" customFormat="false" ht="15.75" hidden="false" customHeight="false" outlineLevel="0" collapsed="false">
      <c r="A1057" s="9" t="n">
        <f aca="false">IFERROR(__xludf.dummyfunction("""COMPUTED_VALUE"""),45734.6666666667)</f>
        <v>45734.6666666667</v>
      </c>
      <c r="B1057" s="8" t="n">
        <f aca="false">IFERROR(__xludf.dummyfunction("""COMPUTED_VALUE"""),600.05)</f>
        <v>600.05</v>
      </c>
      <c r="C1057" s="8" t="n">
        <f aca="false">IFERROR(__xludf.dummyfunction("""COMPUTED_VALUE"""),600.25)</f>
        <v>600.25</v>
      </c>
      <c r="D1057" s="8" t="n">
        <f aca="false">IFERROR(__xludf.dummyfunction("""COMPUTED_VALUE"""),574.66)</f>
        <v>574.66</v>
      </c>
      <c r="E1057" s="8" t="n">
        <f aca="false">IFERROR(__xludf.dummyfunction("""COMPUTED_VALUE"""),582.36)</f>
        <v>582.36</v>
      </c>
      <c r="F1057" s="8" t="n">
        <f aca="false">IFERROR(__xludf.dummyfunction("""COMPUTED_VALUE"""),20297708)</f>
        <v>20297708</v>
      </c>
    </row>
    <row r="1058" customFormat="false" ht="15.75" hidden="false" customHeight="false" outlineLevel="0" collapsed="false">
      <c r="A1058" s="9" t="n">
        <f aca="false">IFERROR(__xludf.dummyfunction("""COMPUTED_VALUE"""),45735.6666666667)</f>
        <v>45735.6666666667</v>
      </c>
      <c r="B1058" s="8" t="n">
        <f aca="false">IFERROR(__xludf.dummyfunction("""COMPUTED_VALUE"""),584.28)</f>
        <v>584.28</v>
      </c>
      <c r="C1058" s="8" t="n">
        <f aca="false">IFERROR(__xludf.dummyfunction("""COMPUTED_VALUE"""),592.32)</f>
        <v>592.32</v>
      </c>
      <c r="D1058" s="8" t="n">
        <f aca="false">IFERROR(__xludf.dummyfunction("""COMPUTED_VALUE"""),574.77)</f>
        <v>574.77</v>
      </c>
      <c r="E1058" s="8" t="n">
        <f aca="false">IFERROR(__xludf.dummyfunction("""COMPUTED_VALUE"""),584.06)</f>
        <v>584.06</v>
      </c>
      <c r="F1058" s="8" t="n">
        <f aca="false">IFERROR(__xludf.dummyfunction("""COMPUTED_VALUE"""),20537498)</f>
        <v>20537498</v>
      </c>
    </row>
    <row r="1059" customFormat="false" ht="15.75" hidden="false" customHeight="false" outlineLevel="0" collapsed="false">
      <c r="A1059" s="9" t="n">
        <f aca="false">IFERROR(__xludf.dummyfunction("""COMPUTED_VALUE"""),45736.6666666667)</f>
        <v>45736.6666666667</v>
      </c>
      <c r="B1059" s="8" t="n">
        <f aca="false">IFERROR(__xludf.dummyfunction("""COMPUTED_VALUE"""),582.76)</f>
        <v>582.76</v>
      </c>
      <c r="C1059" s="8" t="n">
        <f aca="false">IFERROR(__xludf.dummyfunction("""COMPUTED_VALUE"""),610.2)</f>
        <v>610.2</v>
      </c>
      <c r="D1059" s="8" t="n">
        <f aca="false">IFERROR(__xludf.dummyfunction("""COMPUTED_VALUE"""),579.51)</f>
        <v>579.51</v>
      </c>
      <c r="E1059" s="8" t="n">
        <f aca="false">IFERROR(__xludf.dummyfunction("""COMPUTED_VALUE"""),586)</f>
        <v>586</v>
      </c>
      <c r="F1059" s="8" t="n">
        <f aca="false">IFERROR(__xludf.dummyfunction("""COMPUTED_VALUE"""),24336505)</f>
        <v>24336505</v>
      </c>
    </row>
    <row r="1060" customFormat="false" ht="15.75" hidden="false" customHeight="false" outlineLevel="0" collapsed="false">
      <c r="A1060" s="9" t="n">
        <f aca="false">IFERROR(__xludf.dummyfunction("""COMPUTED_VALUE"""),45737.6666666667)</f>
        <v>45737.6666666667</v>
      </c>
      <c r="B1060" s="8" t="n">
        <f aca="false">IFERROR(__xludf.dummyfunction("""COMPUTED_VALUE"""),583.42)</f>
        <v>583.42</v>
      </c>
      <c r="C1060" s="8" t="n">
        <f aca="false">IFERROR(__xludf.dummyfunction("""COMPUTED_VALUE"""),597.54)</f>
        <v>597.54</v>
      </c>
      <c r="D1060" s="8" t="n">
        <f aca="false">IFERROR(__xludf.dummyfunction("""COMPUTED_VALUE"""),580.95)</f>
        <v>580.95</v>
      </c>
      <c r="E1060" s="8" t="n">
        <f aca="false">IFERROR(__xludf.dummyfunction("""COMPUTED_VALUE"""),596.25)</f>
        <v>596.25</v>
      </c>
      <c r="F1060" s="8" t="n">
        <f aca="false">IFERROR(__xludf.dummyfunction("""COMPUTED_VALUE"""),25015864)</f>
        <v>25015864</v>
      </c>
    </row>
    <row r="1061" customFormat="false" ht="15.75" hidden="false" customHeight="false" outlineLevel="0" collapsed="false">
      <c r="A1061" s="9" t="n">
        <f aca="false">IFERROR(__xludf.dummyfunction("""COMPUTED_VALUE"""),45740.6666666667)</f>
        <v>45740.6666666667</v>
      </c>
      <c r="B1061" s="8" t="n">
        <f aca="false">IFERROR(__xludf.dummyfunction("""COMPUTED_VALUE"""),614.97)</f>
        <v>614.97</v>
      </c>
      <c r="C1061" s="8" t="n">
        <f aca="false">IFERROR(__xludf.dummyfunction("""COMPUTED_VALUE"""),622.54)</f>
        <v>622.54</v>
      </c>
      <c r="D1061" s="8" t="n">
        <f aca="false">IFERROR(__xludf.dummyfunction("""COMPUTED_VALUE"""),612.2)</f>
        <v>612.2</v>
      </c>
      <c r="E1061" s="8" t="n">
        <f aca="false">IFERROR(__xludf.dummyfunction("""COMPUTED_VALUE"""),618.85)</f>
        <v>618.85</v>
      </c>
      <c r="F1061" s="8" t="n">
        <f aca="false">IFERROR(__xludf.dummyfunction("""COMPUTED_VALUE"""),15741274)</f>
        <v>15741274</v>
      </c>
    </row>
    <row r="1062" customFormat="false" ht="15.75" hidden="false" customHeight="false" outlineLevel="0" collapsed="false">
      <c r="A1062" s="9" t="n">
        <f aca="false">IFERROR(__xludf.dummyfunction("""COMPUTED_VALUE"""),45741.6666666667)</f>
        <v>45741.6666666667</v>
      </c>
      <c r="B1062" s="8" t="n">
        <f aca="false">IFERROR(__xludf.dummyfunction("""COMPUTED_VALUE"""),626.76)</f>
        <v>626.76</v>
      </c>
      <c r="C1062" s="8" t="n">
        <f aca="false">IFERROR(__xludf.dummyfunction("""COMPUTED_VALUE"""),633.88)</f>
        <v>633.88</v>
      </c>
      <c r="D1062" s="8" t="n">
        <f aca="false">IFERROR(__xludf.dummyfunction("""COMPUTED_VALUE"""),621.18)</f>
        <v>621.18</v>
      </c>
      <c r="E1062" s="8" t="n">
        <f aca="false">IFERROR(__xludf.dummyfunction("""COMPUTED_VALUE"""),626.31)</f>
        <v>626.31</v>
      </c>
      <c r="F1062" s="8" t="n">
        <f aca="false">IFERROR(__xludf.dummyfunction("""COMPUTED_VALUE"""),15312540)</f>
        <v>15312540</v>
      </c>
    </row>
    <row r="1063" customFormat="false" ht="15.75" hidden="false" customHeight="false" outlineLevel="0" collapsed="false">
      <c r="A1063" s="9" t="n">
        <f aca="false">IFERROR(__xludf.dummyfunction("""COMPUTED_VALUE"""),45742.6666666667)</f>
        <v>45742.6666666667</v>
      </c>
      <c r="B1063" s="8" t="n">
        <f aca="false">IFERROR(__xludf.dummyfunction("""COMPUTED_VALUE"""),624.89)</f>
        <v>624.89</v>
      </c>
      <c r="C1063" s="8" t="n">
        <f aca="false">IFERROR(__xludf.dummyfunction("""COMPUTED_VALUE"""),626.75)</f>
        <v>626.75</v>
      </c>
      <c r="D1063" s="8" t="n">
        <f aca="false">IFERROR(__xludf.dummyfunction("""COMPUTED_VALUE"""),606.61)</f>
        <v>606.61</v>
      </c>
      <c r="E1063" s="8" t="n">
        <f aca="false">IFERROR(__xludf.dummyfunction("""COMPUTED_VALUE"""),610.98)</f>
        <v>610.98</v>
      </c>
      <c r="F1063" s="8" t="n">
        <f aca="false">IFERROR(__xludf.dummyfunction("""COMPUTED_VALUE"""),12661891)</f>
        <v>12661891</v>
      </c>
    </row>
    <row r="1064" customFormat="false" ht="15.75" hidden="false" customHeight="false" outlineLevel="0" collapsed="false">
      <c r="A1064" s="9" t="n">
        <f aca="false">IFERROR(__xludf.dummyfunction("""COMPUTED_VALUE"""),45743.6666666667)</f>
        <v>45743.6666666667</v>
      </c>
      <c r="B1064" s="8" t="n">
        <f aca="false">IFERROR(__xludf.dummyfunction("""COMPUTED_VALUE"""),602)</f>
        <v>602</v>
      </c>
      <c r="C1064" s="8" t="n">
        <f aca="false">IFERROR(__xludf.dummyfunction("""COMPUTED_VALUE"""),614.25)</f>
        <v>614.25</v>
      </c>
      <c r="D1064" s="8" t="n">
        <f aca="false">IFERROR(__xludf.dummyfunction("""COMPUTED_VALUE"""),600.1)</f>
        <v>600.1</v>
      </c>
      <c r="E1064" s="8" t="n">
        <f aca="false">IFERROR(__xludf.dummyfunction("""COMPUTED_VALUE"""),602.58)</f>
        <v>602.58</v>
      </c>
      <c r="F1064" s="8" t="n">
        <f aca="false">IFERROR(__xludf.dummyfunction("""COMPUTED_VALUE"""),10436524)</f>
        <v>10436524</v>
      </c>
    </row>
    <row r="1065" customFormat="false" ht="15.75" hidden="false" customHeight="false" outlineLevel="0" collapsed="false">
      <c r="A1065" s="9" t="n">
        <f aca="false">IFERROR(__xludf.dummyfunction("""COMPUTED_VALUE"""),45744.6666666667)</f>
        <v>45744.6666666667</v>
      </c>
      <c r="B1065" s="8" t="n">
        <f aca="false">IFERROR(__xludf.dummyfunction("""COMPUTED_VALUE"""),600.31)</f>
        <v>600.31</v>
      </c>
      <c r="C1065" s="8" t="n">
        <f aca="false">IFERROR(__xludf.dummyfunction("""COMPUTED_VALUE"""),601.75)</f>
        <v>601.75</v>
      </c>
      <c r="D1065" s="8" t="n">
        <f aca="false">IFERROR(__xludf.dummyfunction("""COMPUTED_VALUE"""),573.92)</f>
        <v>573.92</v>
      </c>
      <c r="E1065" s="8" t="n">
        <f aca="false">IFERROR(__xludf.dummyfunction("""COMPUTED_VALUE"""),576.74)</f>
        <v>576.74</v>
      </c>
      <c r="F1065" s="8" t="n">
        <f aca="false">IFERROR(__xludf.dummyfunction("""COMPUTED_VALUE"""),17602823)</f>
        <v>17602823</v>
      </c>
    </row>
    <row r="1066" customFormat="false" ht="15.75" hidden="false" customHeight="false" outlineLevel="0" collapsed="false">
      <c r="A1066" s="9" t="n">
        <f aca="false">IFERROR(__xludf.dummyfunction("""COMPUTED_VALUE"""),45747.6666666667)</f>
        <v>45747.6666666667</v>
      </c>
      <c r="B1066" s="8" t="n">
        <f aca="false">IFERROR(__xludf.dummyfunction("""COMPUTED_VALUE"""),563.5)</f>
        <v>563.5</v>
      </c>
      <c r="C1066" s="8" t="n">
        <f aca="false">IFERROR(__xludf.dummyfunction("""COMPUTED_VALUE"""),578.7)</f>
        <v>578.7</v>
      </c>
      <c r="D1066" s="8" t="n">
        <f aca="false">IFERROR(__xludf.dummyfunction("""COMPUTED_VALUE"""),553.3)</f>
        <v>553.3</v>
      </c>
      <c r="E1066" s="8" t="n">
        <f aca="false">IFERROR(__xludf.dummyfunction("""COMPUTED_VALUE"""),576.36)</f>
        <v>576.36</v>
      </c>
      <c r="F1066" s="8" t="n">
        <f aca="false">IFERROR(__xludf.dummyfunction("""COMPUTED_VALUE"""),21124677)</f>
        <v>21124677</v>
      </c>
    </row>
    <row r="1067" customFormat="false" ht="15.75" hidden="false" customHeight="false" outlineLevel="0" collapsed="false">
      <c r="A1067" s="9" t="n">
        <f aca="false">IFERROR(__xludf.dummyfunction("""COMPUTED_VALUE"""),45748.6666666667)</f>
        <v>45748.6666666667</v>
      </c>
      <c r="B1067" s="8" t="n">
        <f aca="false">IFERROR(__xludf.dummyfunction("""COMPUTED_VALUE"""),570.84)</f>
        <v>570.84</v>
      </c>
      <c r="C1067" s="8" t="n">
        <f aca="false">IFERROR(__xludf.dummyfunction("""COMPUTED_VALUE"""),589.91)</f>
        <v>589.91</v>
      </c>
      <c r="D1067" s="8" t="n">
        <f aca="false">IFERROR(__xludf.dummyfunction("""COMPUTED_VALUE"""),570)</f>
        <v>570</v>
      </c>
      <c r="E1067" s="8" t="n">
        <f aca="false">IFERROR(__xludf.dummyfunction("""COMPUTED_VALUE"""),586)</f>
        <v>586</v>
      </c>
      <c r="F1067" s="8" t="n">
        <f aca="false">IFERROR(__xludf.dummyfunction("""COMPUTED_VALUE"""),12836574)</f>
        <v>12836574</v>
      </c>
    </row>
    <row r="1068" customFormat="false" ht="15.75" hidden="false" customHeight="false" outlineLevel="0" collapsed="false">
      <c r="A1068" s="9" t="n">
        <f aca="false">IFERROR(__xludf.dummyfunction("""COMPUTED_VALUE"""),45749.6666666667)</f>
        <v>45749.6666666667</v>
      </c>
      <c r="B1068" s="8" t="n">
        <f aca="false">IFERROR(__xludf.dummyfunction("""COMPUTED_VALUE"""),574.91)</f>
        <v>574.91</v>
      </c>
      <c r="C1068" s="8" t="n">
        <f aca="false">IFERROR(__xludf.dummyfunction("""COMPUTED_VALUE"""),592.66)</f>
        <v>592.66</v>
      </c>
      <c r="D1068" s="8" t="n">
        <f aca="false">IFERROR(__xludf.dummyfunction("""COMPUTED_VALUE"""),573.36)</f>
        <v>573.36</v>
      </c>
      <c r="E1068" s="8" t="n">
        <f aca="false">IFERROR(__xludf.dummyfunction("""COMPUTED_VALUE"""),583.93)</f>
        <v>583.93</v>
      </c>
      <c r="F1068" s="8" t="n">
        <f aca="false">IFERROR(__xludf.dummyfunction("""COMPUTED_VALUE"""),13470778)</f>
        <v>13470778</v>
      </c>
    </row>
    <row r="1069" customFormat="false" ht="15.75" hidden="false" customHeight="false" outlineLevel="0" collapsed="false">
      <c r="A1069" s="9" t="n">
        <f aca="false">IFERROR(__xludf.dummyfunction("""COMPUTED_VALUE"""),45750.6666666667)</f>
        <v>45750.6666666667</v>
      </c>
      <c r="B1069" s="8" t="n">
        <f aca="false">IFERROR(__xludf.dummyfunction("""COMPUTED_VALUE"""),546.22)</f>
        <v>546.22</v>
      </c>
      <c r="C1069" s="8" t="n">
        <f aca="false">IFERROR(__xludf.dummyfunction("""COMPUTED_VALUE"""),552.56)</f>
        <v>552.56</v>
      </c>
      <c r="D1069" s="8" t="n">
        <f aca="false">IFERROR(__xludf.dummyfunction("""COMPUTED_VALUE"""),530.3)</f>
        <v>530.3</v>
      </c>
      <c r="E1069" s="8" t="n">
        <f aca="false">IFERROR(__xludf.dummyfunction("""COMPUTED_VALUE"""),531.62)</f>
        <v>531.62</v>
      </c>
      <c r="F1069" s="8" t="n">
        <f aca="false">IFERROR(__xludf.dummyfunction("""COMPUTED_VALUE"""),34777460)</f>
        <v>34777460</v>
      </c>
    </row>
    <row r="1070" customFormat="false" ht="15.75" hidden="false" customHeight="false" outlineLevel="0" collapsed="false">
      <c r="A1070" s="9" t="n">
        <f aca="false">IFERROR(__xludf.dummyfunction("""COMPUTED_VALUE"""),45751.6666666667)</f>
        <v>45751.6666666667</v>
      </c>
      <c r="B1070" s="8" t="n">
        <f aca="false">IFERROR(__xludf.dummyfunction("""COMPUTED_VALUE"""),506.62)</f>
        <v>506.62</v>
      </c>
      <c r="C1070" s="8" t="n">
        <f aca="false">IFERROR(__xludf.dummyfunction("""COMPUTED_VALUE"""),518)</f>
        <v>518</v>
      </c>
      <c r="D1070" s="8" t="n">
        <f aca="false">IFERROR(__xludf.dummyfunction("""COMPUTED_VALUE"""),494.2)</f>
        <v>494.2</v>
      </c>
      <c r="E1070" s="8" t="n">
        <f aca="false">IFERROR(__xludf.dummyfunction("""COMPUTED_VALUE"""),504.73)</f>
        <v>504.73</v>
      </c>
      <c r="F1070" s="8" t="n">
        <f aca="false">IFERROR(__xludf.dummyfunction("""COMPUTED_VALUE"""),38589814)</f>
        <v>38589814</v>
      </c>
    </row>
    <row r="1071" customFormat="false" ht="15.75" hidden="false" customHeight="false" outlineLevel="0" collapsed="false">
      <c r="A1071" s="9" t="n">
        <f aca="false">IFERROR(__xludf.dummyfunction("""COMPUTED_VALUE"""),45754.6666666667)</f>
        <v>45754.6666666667</v>
      </c>
      <c r="B1071" s="8" t="n">
        <f aca="false">IFERROR(__xludf.dummyfunction("""COMPUTED_VALUE"""),485.1)</f>
        <v>485.1</v>
      </c>
      <c r="C1071" s="8" t="n">
        <f aca="false">IFERROR(__xludf.dummyfunction("""COMPUTED_VALUE"""),539.37)</f>
        <v>539.37</v>
      </c>
      <c r="D1071" s="8" t="n">
        <f aca="false">IFERROR(__xludf.dummyfunction("""COMPUTED_VALUE"""),481.9)</f>
        <v>481.9</v>
      </c>
      <c r="E1071" s="8" t="n">
        <f aca="false">IFERROR(__xludf.dummyfunction("""COMPUTED_VALUE"""),516.25)</f>
        <v>516.25</v>
      </c>
      <c r="F1071" s="8" t="n">
        <f aca="false">IFERROR(__xludf.dummyfunction("""COMPUTED_VALUE"""),36606136)</f>
        <v>36606136</v>
      </c>
    </row>
    <row r="1072" customFormat="false" ht="15.75" hidden="false" customHeight="false" outlineLevel="0" collapsed="false">
      <c r="A1072" s="9" t="n">
        <f aca="false">IFERROR(__xludf.dummyfunction("""COMPUTED_VALUE"""),45755.6666666667)</f>
        <v>45755.6666666667</v>
      </c>
      <c r="B1072" s="8" t="n">
        <f aca="false">IFERROR(__xludf.dummyfunction("""COMPUTED_VALUE"""),543.25)</f>
        <v>543.25</v>
      </c>
      <c r="C1072" s="8" t="n">
        <f aca="false">IFERROR(__xludf.dummyfunction("""COMPUTED_VALUE"""),547.43)</f>
        <v>547.43</v>
      </c>
      <c r="D1072" s="8" t="n">
        <f aca="false">IFERROR(__xludf.dummyfunction("""COMPUTED_VALUE"""),502.86)</f>
        <v>502.86</v>
      </c>
      <c r="E1072" s="8" t="n">
        <f aca="false">IFERROR(__xludf.dummyfunction("""COMPUTED_VALUE"""),510.45)</f>
        <v>510.45</v>
      </c>
      <c r="F1072" s="8" t="n">
        <f aca="false">IFERROR(__xludf.dummyfunction("""COMPUTED_VALUE"""),28034211)</f>
        <v>28034211</v>
      </c>
    </row>
    <row r="1073" customFormat="false" ht="15.75" hidden="false" customHeight="false" outlineLevel="0" collapsed="false">
      <c r="A1073" s="9" t="n">
        <f aca="false">IFERROR(__xludf.dummyfunction("""COMPUTED_VALUE"""),45756.6666666667)</f>
        <v>45756.6666666667</v>
      </c>
      <c r="B1073" s="8" t="n">
        <f aca="false">IFERROR(__xludf.dummyfunction("""COMPUTED_VALUE"""),509.27)</f>
        <v>509.27</v>
      </c>
      <c r="C1073" s="8" t="n">
        <f aca="false">IFERROR(__xludf.dummyfunction("""COMPUTED_VALUE"""),587.89)</f>
        <v>587.89</v>
      </c>
      <c r="D1073" s="8" t="n">
        <f aca="false">IFERROR(__xludf.dummyfunction("""COMPUTED_VALUE"""),502.11)</f>
        <v>502.11</v>
      </c>
      <c r="E1073" s="8" t="n">
        <f aca="false">IFERROR(__xludf.dummyfunction("""COMPUTED_VALUE"""),585.77)</f>
        <v>585.77</v>
      </c>
      <c r="F1073" s="8" t="n">
        <f aca="false">IFERROR(__xludf.dummyfunction("""COMPUTED_VALUE"""),39216578)</f>
        <v>39216578</v>
      </c>
    </row>
    <row r="1074" customFormat="false" ht="15.75" hidden="false" customHeight="false" outlineLevel="0" collapsed="false">
      <c r="A1074" s="9" t="n">
        <f aca="false">IFERROR(__xludf.dummyfunction("""COMPUTED_VALUE"""),45757.6666666667)</f>
        <v>45757.6666666667</v>
      </c>
      <c r="B1074" s="8" t="n">
        <f aca="false">IFERROR(__xludf.dummyfunction("""COMPUTED_VALUE"""),575.49)</f>
        <v>575.49</v>
      </c>
      <c r="C1074" s="8" t="n">
        <f aca="false">IFERROR(__xludf.dummyfunction("""COMPUTED_VALUE"""),581.3)</f>
        <v>581.3</v>
      </c>
      <c r="D1074" s="8" t="n">
        <f aca="false">IFERROR(__xludf.dummyfunction("""COMPUTED_VALUE"""),535.3)</f>
        <v>535.3</v>
      </c>
      <c r="E1074" s="8" t="n">
        <f aca="false">IFERROR(__xludf.dummyfunction("""COMPUTED_VALUE"""),546.29)</f>
        <v>546.29</v>
      </c>
      <c r="F1074" s="8" t="n">
        <f aca="false">IFERROR(__xludf.dummyfunction("""COMPUTED_VALUE"""),28173491)</f>
        <v>28173491</v>
      </c>
    </row>
    <row r="1075" customFormat="false" ht="15.75" hidden="false" customHeight="false" outlineLevel="0" collapsed="false">
      <c r="A1075" s="9" t="n">
        <f aca="false">IFERROR(__xludf.dummyfunction("""COMPUTED_VALUE"""),45758.6666666667)</f>
        <v>45758.6666666667</v>
      </c>
      <c r="B1075" s="8" t="n">
        <f aca="false">IFERROR(__xludf.dummyfunction("""COMPUTED_VALUE"""),535.51)</f>
        <v>535.51</v>
      </c>
      <c r="C1075" s="8" t="n">
        <f aca="false">IFERROR(__xludf.dummyfunction("""COMPUTED_VALUE"""),547.4)</f>
        <v>547.4</v>
      </c>
      <c r="D1075" s="8" t="n">
        <f aca="false">IFERROR(__xludf.dummyfunction("""COMPUTED_VALUE"""),528.59)</f>
        <v>528.59</v>
      </c>
      <c r="E1075" s="8" t="n">
        <f aca="false">IFERROR(__xludf.dummyfunction("""COMPUTED_VALUE"""),543.57)</f>
        <v>543.57</v>
      </c>
      <c r="F1075" s="8" t="n">
        <f aca="false">IFERROR(__xludf.dummyfunction("""COMPUTED_VALUE"""),17642327)</f>
        <v>17642327</v>
      </c>
    </row>
    <row r="1076" customFormat="false" ht="15.75" hidden="false" customHeight="false" outlineLevel="0" collapsed="false">
      <c r="A1076" s="9" t="n">
        <f aca="false">IFERROR(__xludf.dummyfunction("""COMPUTED_VALUE"""),45761.6666666667)</f>
        <v>45761.6666666667</v>
      </c>
      <c r="B1076" s="8" t="n">
        <f aca="false">IFERROR(__xludf.dummyfunction("""COMPUTED_VALUE"""),556.17)</f>
        <v>556.17</v>
      </c>
      <c r="C1076" s="8" t="n">
        <f aca="false">IFERROR(__xludf.dummyfunction("""COMPUTED_VALUE"""),557.77)</f>
        <v>557.77</v>
      </c>
      <c r="D1076" s="8" t="n">
        <f aca="false">IFERROR(__xludf.dummyfunction("""COMPUTED_VALUE"""),528.28)</f>
        <v>528.28</v>
      </c>
      <c r="E1076" s="8" t="n">
        <f aca="false">IFERROR(__xludf.dummyfunction("""COMPUTED_VALUE"""),531.48)</f>
        <v>531.48</v>
      </c>
      <c r="F1076" s="8" t="n">
        <f aca="false">IFERROR(__xludf.dummyfunction("""COMPUTED_VALUE"""),14130928)</f>
        <v>14130928</v>
      </c>
    </row>
    <row r="1077" customFormat="false" ht="15.75" hidden="false" customHeight="false" outlineLevel="0" collapsed="false">
      <c r="A1077" s="9" t="n">
        <f aca="false">IFERROR(__xludf.dummyfunction("""COMPUTED_VALUE"""),45762.6666666667)</f>
        <v>45762.6666666667</v>
      </c>
      <c r="B1077" s="8" t="n">
        <f aca="false">IFERROR(__xludf.dummyfunction("""COMPUTED_VALUE"""),532.11)</f>
        <v>532.11</v>
      </c>
      <c r="C1077" s="8" t="n">
        <f aca="false">IFERROR(__xludf.dummyfunction("""COMPUTED_VALUE"""),537.94)</f>
        <v>537.94</v>
      </c>
      <c r="D1077" s="8" t="n">
        <f aca="false">IFERROR(__xludf.dummyfunction("""COMPUTED_VALUE"""),517.5)</f>
        <v>517.5</v>
      </c>
      <c r="E1077" s="8" t="n">
        <f aca="false">IFERROR(__xludf.dummyfunction("""COMPUTED_VALUE"""),521.52)</f>
        <v>521.52</v>
      </c>
      <c r="F1077" s="8" t="n">
        <f aca="false">IFERROR(__xludf.dummyfunction("""COMPUTED_VALUE"""),15558659)</f>
        <v>15558659</v>
      </c>
    </row>
    <row r="1078" customFormat="false" ht="15.75" hidden="false" customHeight="false" outlineLevel="0" collapsed="false">
      <c r="A1078" s="9" t="n">
        <f aca="false">IFERROR(__xludf.dummyfunction("""COMPUTED_VALUE"""),45763.6666666667)</f>
        <v>45763.6666666667</v>
      </c>
      <c r="B1078" s="8" t="n">
        <f aca="false">IFERROR(__xludf.dummyfunction("""COMPUTED_VALUE"""),508.51)</f>
        <v>508.51</v>
      </c>
      <c r="C1078" s="8" t="n">
        <f aca="false">IFERROR(__xludf.dummyfunction("""COMPUTED_VALUE"""),513.37)</f>
        <v>513.37</v>
      </c>
      <c r="D1078" s="8" t="n">
        <f aca="false">IFERROR(__xludf.dummyfunction("""COMPUTED_VALUE"""),495.63)</f>
        <v>495.63</v>
      </c>
      <c r="E1078" s="8" t="n">
        <f aca="false">IFERROR(__xludf.dummyfunction("""COMPUTED_VALUE"""),502.31)</f>
        <v>502.31</v>
      </c>
      <c r="F1078" s="8" t="n">
        <f aca="false">IFERROR(__xludf.dummyfunction("""COMPUTED_VALUE"""),18735075)</f>
        <v>18735075</v>
      </c>
    </row>
    <row r="1079" customFormat="false" ht="15.75" hidden="false" customHeight="false" outlineLevel="0" collapsed="false">
      <c r="A1079" s="9" t="n">
        <f aca="false">IFERROR(__xludf.dummyfunction("""COMPUTED_VALUE"""),45764.6666666667)</f>
        <v>45764.6666666667</v>
      </c>
      <c r="B1079" s="8" t="n">
        <f aca="false">IFERROR(__xludf.dummyfunction("""COMPUTED_VALUE"""),505.25)</f>
        <v>505.25</v>
      </c>
      <c r="C1079" s="8" t="n">
        <f aca="false">IFERROR(__xludf.dummyfunction("""COMPUTED_VALUE"""),507.3)</f>
        <v>507.3</v>
      </c>
      <c r="D1079" s="8" t="n">
        <f aca="false">IFERROR(__xludf.dummyfunction("""COMPUTED_VALUE"""),498.01)</f>
        <v>498.01</v>
      </c>
      <c r="E1079" s="8" t="n">
        <f aca="false">IFERROR(__xludf.dummyfunction("""COMPUTED_VALUE"""),501.48)</f>
        <v>501.48</v>
      </c>
      <c r="F1079" s="8" t="n">
        <f aca="false">IFERROR(__xludf.dummyfunction("""COMPUTED_VALUE"""),14593508)</f>
        <v>14593508</v>
      </c>
    </row>
    <row r="1080" customFormat="false" ht="15.75" hidden="false" customHeight="false" outlineLevel="0" collapsed="false">
      <c r="A1080" s="9" t="n">
        <f aca="false">IFERROR(__xludf.dummyfunction("""COMPUTED_VALUE"""),45768.6666666667)</f>
        <v>45768.6666666667</v>
      </c>
      <c r="B1080" s="8" t="n">
        <f aca="false">IFERROR(__xludf.dummyfunction("""COMPUTED_VALUE"""),491.33)</f>
        <v>491.33</v>
      </c>
      <c r="C1080" s="8" t="n">
        <f aca="false">IFERROR(__xludf.dummyfunction("""COMPUTED_VALUE"""),493.5)</f>
        <v>493.5</v>
      </c>
      <c r="D1080" s="8" t="n">
        <f aca="false">IFERROR(__xludf.dummyfunction("""COMPUTED_VALUE"""),479.8)</f>
        <v>479.8</v>
      </c>
      <c r="E1080" s="8" t="n">
        <f aca="false">IFERROR(__xludf.dummyfunction("""COMPUTED_VALUE"""),484.66)</f>
        <v>484.66</v>
      </c>
      <c r="F1080" s="8" t="n">
        <f aca="false">IFERROR(__xludf.dummyfunction("""COMPUTED_VALUE"""),16165982)</f>
        <v>16165982</v>
      </c>
    </row>
    <row r="1081" customFormat="false" ht="15.75" hidden="false" customHeight="false" outlineLevel="0" collapsed="false">
      <c r="A1081" s="9" t="n">
        <f aca="false">IFERROR(__xludf.dummyfunction("""COMPUTED_VALUE"""),45769.6666666667)</f>
        <v>45769.6666666667</v>
      </c>
      <c r="B1081" s="8" t="n">
        <f aca="false">IFERROR(__xludf.dummyfunction("""COMPUTED_VALUE"""),491.87)</f>
        <v>491.87</v>
      </c>
      <c r="C1081" s="8" t="n">
        <f aca="false">IFERROR(__xludf.dummyfunction("""COMPUTED_VALUE"""),506.88)</f>
        <v>506.88</v>
      </c>
      <c r="D1081" s="8" t="n">
        <f aca="false">IFERROR(__xludf.dummyfunction("""COMPUTED_VALUE"""),486.36)</f>
        <v>486.36</v>
      </c>
      <c r="E1081" s="8" t="n">
        <f aca="false">IFERROR(__xludf.dummyfunction("""COMPUTED_VALUE"""),500.28)</f>
        <v>500.28</v>
      </c>
      <c r="F1081" s="8" t="n">
        <f aca="false">IFERROR(__xludf.dummyfunction("""COMPUTED_VALUE"""),17399408)</f>
        <v>17399408</v>
      </c>
    </row>
    <row r="1082" customFormat="false" ht="15.75" hidden="false" customHeight="false" outlineLevel="0" collapsed="false">
      <c r="A1082" s="9" t="n">
        <f aca="false">IFERROR(__xludf.dummyfunction("""COMPUTED_VALUE"""),45770.6666666667)</f>
        <v>45770.6666666667</v>
      </c>
      <c r="B1082" s="8" t="n">
        <f aca="false">IFERROR(__xludf.dummyfunction("""COMPUTED_VALUE"""),528.53)</f>
        <v>528.53</v>
      </c>
      <c r="C1082" s="8" t="n">
        <f aca="false">IFERROR(__xludf.dummyfunction("""COMPUTED_VALUE"""),535.34)</f>
        <v>535.34</v>
      </c>
      <c r="D1082" s="8" t="n">
        <f aca="false">IFERROR(__xludf.dummyfunction("""COMPUTED_VALUE"""),516.52)</f>
        <v>516.52</v>
      </c>
      <c r="E1082" s="8" t="n">
        <f aca="false">IFERROR(__xludf.dummyfunction("""COMPUTED_VALUE"""),520.27)</f>
        <v>520.27</v>
      </c>
      <c r="F1082" s="8" t="n">
        <f aca="false">IFERROR(__xludf.dummyfunction("""COMPUTED_VALUE"""),18173910)</f>
        <v>18173910</v>
      </c>
    </row>
    <row r="1083" customFormat="false" ht="15.75" hidden="false" customHeight="false" outlineLevel="0" collapsed="false">
      <c r="A1083" s="9" t="n">
        <f aca="false">IFERROR(__xludf.dummyfunction("""COMPUTED_VALUE"""),45771.6666666667)</f>
        <v>45771.6666666667</v>
      </c>
      <c r="B1083" s="8" t="n">
        <f aca="false">IFERROR(__xludf.dummyfunction("""COMPUTED_VALUE"""),518.73)</f>
        <v>518.73</v>
      </c>
      <c r="C1083" s="8" t="n">
        <f aca="false">IFERROR(__xludf.dummyfunction("""COMPUTED_VALUE"""),533.9)</f>
        <v>533.9</v>
      </c>
      <c r="D1083" s="8" t="n">
        <f aca="false">IFERROR(__xludf.dummyfunction("""COMPUTED_VALUE"""),517.5)</f>
        <v>517.5</v>
      </c>
      <c r="E1083" s="8" t="n">
        <f aca="false">IFERROR(__xludf.dummyfunction("""COMPUTED_VALUE"""),533.15)</f>
        <v>533.15</v>
      </c>
      <c r="F1083" s="8" t="n">
        <f aca="false">IFERROR(__xludf.dummyfunction("""COMPUTED_VALUE"""),13910011)</f>
        <v>13910011</v>
      </c>
    </row>
    <row r="1084" customFormat="false" ht="15.75" hidden="false" customHeight="false" outlineLevel="0" collapsed="false">
      <c r="A1084" s="9" t="n">
        <f aca="false">IFERROR(__xludf.dummyfunction("""COMPUTED_VALUE"""),45772.6666666667)</f>
        <v>45772.6666666667</v>
      </c>
      <c r="B1084" s="8" t="n">
        <f aca="false">IFERROR(__xludf.dummyfunction("""COMPUTED_VALUE"""),546.8)</f>
        <v>546.8</v>
      </c>
      <c r="C1084" s="8" t="n">
        <f aca="false">IFERROR(__xludf.dummyfunction("""COMPUTED_VALUE"""),549.86)</f>
        <v>549.86</v>
      </c>
      <c r="D1084" s="8" t="n">
        <f aca="false">IFERROR(__xludf.dummyfunction("""COMPUTED_VALUE"""),536.25)</f>
        <v>536.25</v>
      </c>
      <c r="E1084" s="8" t="n">
        <f aca="false">IFERROR(__xludf.dummyfunction("""COMPUTED_VALUE"""),547.27)</f>
        <v>547.27</v>
      </c>
      <c r="F1084" s="8" t="n">
        <f aca="false">IFERROR(__xludf.dummyfunction("""COMPUTED_VALUE"""),17098921)</f>
        <v>17098921</v>
      </c>
    </row>
    <row r="1085" customFormat="false" ht="15.75" hidden="false" customHeight="false" outlineLevel="0" collapsed="false">
      <c r="A1085" s="9" t="n">
        <f aca="false">IFERROR(__xludf.dummyfunction("""COMPUTED_VALUE"""),45775.6666666667)</f>
        <v>45775.6666666667</v>
      </c>
      <c r="B1085" s="8" t="n">
        <f aca="false">IFERROR(__xludf.dummyfunction("""COMPUTED_VALUE"""),555.64)</f>
        <v>555.64</v>
      </c>
      <c r="C1085" s="8" t="n">
        <f aca="false">IFERROR(__xludf.dummyfunction("""COMPUTED_VALUE"""),558.49)</f>
        <v>558.49</v>
      </c>
      <c r="D1085" s="8" t="n">
        <f aca="false">IFERROR(__xludf.dummyfunction("""COMPUTED_VALUE"""),540.59)</f>
        <v>540.59</v>
      </c>
      <c r="E1085" s="8" t="n">
        <f aca="false">IFERROR(__xludf.dummyfunction("""COMPUTED_VALUE"""),549.74)</f>
        <v>549.74</v>
      </c>
      <c r="F1085" s="8" t="n">
        <f aca="false">IFERROR(__xludf.dummyfunction("""COMPUTED_VALUE"""),15178995)</f>
        <v>15178995</v>
      </c>
    </row>
    <row r="1086" customFormat="false" ht="15.75" hidden="false" customHeight="false" outlineLevel="0" collapsed="false">
      <c r="A1086" s="9" t="n">
        <f aca="false">IFERROR(__xludf.dummyfunction("""COMPUTED_VALUE"""),45776.6666666667)</f>
        <v>45776.6666666667</v>
      </c>
      <c r="B1086" s="8" t="n">
        <f aca="false">IFERROR(__xludf.dummyfunction("""COMPUTED_VALUE"""),546)</f>
        <v>546</v>
      </c>
      <c r="C1086" s="8" t="n">
        <f aca="false">IFERROR(__xludf.dummyfunction("""COMPUTED_VALUE"""),556.57)</f>
        <v>556.57</v>
      </c>
      <c r="D1086" s="8" t="n">
        <f aca="false">IFERROR(__xludf.dummyfunction("""COMPUTED_VALUE"""),544.12)</f>
        <v>544.12</v>
      </c>
      <c r="E1086" s="8" t="n">
        <f aca="false">IFERROR(__xludf.dummyfunction("""COMPUTED_VALUE"""),554.44)</f>
        <v>554.44</v>
      </c>
      <c r="F1086" s="8" t="n">
        <f aca="false">IFERROR(__xludf.dummyfunction("""COMPUTED_VALUE"""),11835036)</f>
        <v>11835036</v>
      </c>
    </row>
    <row r="1087" customFormat="false" ht="15.75" hidden="false" customHeight="false" outlineLevel="0" collapsed="false">
      <c r="A1087" s="9" t="n">
        <f aca="false">IFERROR(__xludf.dummyfunction("""COMPUTED_VALUE"""),45777.6666666667)</f>
        <v>45777.6666666667</v>
      </c>
      <c r="B1087" s="8" t="n">
        <f aca="false">IFERROR(__xludf.dummyfunction("""COMPUTED_VALUE"""),538.4)</f>
        <v>538.4</v>
      </c>
      <c r="C1087" s="8" t="n">
        <f aca="false">IFERROR(__xludf.dummyfunction("""COMPUTED_VALUE"""),549.1)</f>
        <v>549.1</v>
      </c>
      <c r="D1087" s="8" t="n">
        <f aca="false">IFERROR(__xludf.dummyfunction("""COMPUTED_VALUE"""),529.5)</f>
        <v>529.5</v>
      </c>
      <c r="E1087" s="8" t="n">
        <f aca="false">IFERROR(__xludf.dummyfunction("""COMPUTED_VALUE"""),549)</f>
        <v>549</v>
      </c>
      <c r="F1087" s="8" t="n">
        <f aca="false">IFERROR(__xludf.dummyfunction("""COMPUTED_VALUE"""),29243971)</f>
        <v>29243971</v>
      </c>
    </row>
    <row r="1088" customFormat="false" ht="15.75" hidden="false" customHeight="false" outlineLevel="0" collapsed="false">
      <c r="A1088" s="9" t="n">
        <f aca="false">IFERROR(__xludf.dummyfunction("""COMPUTED_VALUE"""),45778.6666666667)</f>
        <v>45778.6666666667</v>
      </c>
      <c r="B1088" s="8" t="n">
        <f aca="false">IFERROR(__xludf.dummyfunction("""COMPUTED_VALUE"""),592.08)</f>
        <v>592.08</v>
      </c>
      <c r="C1088" s="8" t="n">
        <f aca="false">IFERROR(__xludf.dummyfunction("""COMPUTED_VALUE"""),592.95)</f>
        <v>592.95</v>
      </c>
      <c r="D1088" s="8" t="n">
        <f aca="false">IFERROR(__xludf.dummyfunction("""COMPUTED_VALUE"""),570.5)</f>
        <v>570.5</v>
      </c>
      <c r="E1088" s="8" t="n">
        <f aca="false">IFERROR(__xludf.dummyfunction("""COMPUTED_VALUE"""),572.21)</f>
        <v>572.21</v>
      </c>
      <c r="F1088" s="8" t="n">
        <f aca="false">IFERROR(__xludf.dummyfunction("""COMPUTED_VALUE"""),31159033)</f>
        <v>31159033</v>
      </c>
    </row>
    <row r="1089" customFormat="false" ht="15.75" hidden="false" customHeight="false" outlineLevel="0" collapsed="false">
      <c r="A1089" s="9" t="n">
        <f aca="false">IFERROR(__xludf.dummyfunction("""COMPUTED_VALUE"""),45779.6666666667)</f>
        <v>45779.6666666667</v>
      </c>
      <c r="B1089" s="8" t="n">
        <f aca="false">IFERROR(__xludf.dummyfunction("""COMPUTED_VALUE"""),583.46)</f>
        <v>583.46</v>
      </c>
      <c r="C1089" s="8" t="n">
        <f aca="false">IFERROR(__xludf.dummyfunction("""COMPUTED_VALUE"""),604.34)</f>
        <v>604.34</v>
      </c>
      <c r="D1089" s="8" t="n">
        <f aca="false">IFERROR(__xludf.dummyfunction("""COMPUTED_VALUE"""),578.33)</f>
        <v>578.33</v>
      </c>
      <c r="E1089" s="8" t="n">
        <f aca="false">IFERROR(__xludf.dummyfunction("""COMPUTED_VALUE"""),597.02)</f>
        <v>597.02</v>
      </c>
      <c r="F1089" s="8" t="n">
        <f aca="false">IFERROR(__xludf.dummyfunction("""COMPUTED_VALUE"""),24739260)</f>
        <v>24739260</v>
      </c>
    </row>
    <row r="1090" customFormat="false" ht="15.75" hidden="false" customHeight="false" outlineLevel="0" collapsed="false">
      <c r="A1090" s="9" t="n">
        <f aca="false">IFERROR(__xludf.dummyfunction("""COMPUTED_VALUE"""),45782.6666666667)</f>
        <v>45782.6666666667</v>
      </c>
      <c r="B1090" s="8" t="n">
        <f aca="false">IFERROR(__xludf.dummyfunction("""COMPUTED_VALUE"""),591.22)</f>
        <v>591.22</v>
      </c>
      <c r="C1090" s="8" t="n">
        <f aca="false">IFERROR(__xludf.dummyfunction("""COMPUTED_VALUE"""),603.21)</f>
        <v>603.21</v>
      </c>
      <c r="D1090" s="8" t="n">
        <f aca="false">IFERROR(__xludf.dummyfunction("""COMPUTED_VALUE"""),588.05)</f>
        <v>588.05</v>
      </c>
      <c r="E1090" s="8" t="n">
        <f aca="false">IFERROR(__xludf.dummyfunction("""COMPUTED_VALUE"""),599.27)</f>
        <v>599.27</v>
      </c>
      <c r="F1090" s="8" t="n">
        <f aca="false">IFERROR(__xludf.dummyfunction("""COMPUTED_VALUE"""),13887724)</f>
        <v>13887724</v>
      </c>
    </row>
    <row r="1091" customFormat="false" ht="15.75" hidden="false" customHeight="false" outlineLevel="0" collapsed="false">
      <c r="A1091" s="9" t="n">
        <f aca="false">IFERROR(__xludf.dummyfunction("""COMPUTED_VALUE"""),45783.6666666667)</f>
        <v>45783.6666666667</v>
      </c>
      <c r="B1091" s="8" t="n">
        <f aca="false">IFERROR(__xludf.dummyfunction("""COMPUTED_VALUE"""),592.53)</f>
        <v>592.53</v>
      </c>
      <c r="C1091" s="8" t="n">
        <f aca="false">IFERROR(__xludf.dummyfunction("""COMPUTED_VALUE"""),596.03)</f>
        <v>596.03</v>
      </c>
      <c r="D1091" s="8" t="n">
        <f aca="false">IFERROR(__xludf.dummyfunction("""COMPUTED_VALUE"""),586.58)</f>
        <v>586.58</v>
      </c>
      <c r="E1091" s="8" t="n">
        <f aca="false">IFERROR(__xludf.dummyfunction("""COMPUTED_VALUE"""),587.31)</f>
        <v>587.31</v>
      </c>
      <c r="F1091" s="8" t="n">
        <f aca="false">IFERROR(__xludf.dummyfunction("""COMPUTED_VALUE"""),10600650)</f>
        <v>10600650</v>
      </c>
    </row>
    <row r="1092" customFormat="false" ht="15.75" hidden="false" customHeight="false" outlineLevel="0" collapsed="false">
      <c r="A1092" s="9" t="n">
        <f aca="false">IFERROR(__xludf.dummyfunction("""COMPUTED_VALUE"""),45784.6666666667)</f>
        <v>45784.6666666667</v>
      </c>
      <c r="B1092" s="8" t="n">
        <f aca="false">IFERROR(__xludf.dummyfunction("""COMPUTED_VALUE"""),590.36)</f>
        <v>590.36</v>
      </c>
      <c r="C1092" s="8" t="n">
        <f aca="false">IFERROR(__xludf.dummyfunction("""COMPUTED_VALUE"""),603.08)</f>
        <v>603.08</v>
      </c>
      <c r="D1092" s="8" t="n">
        <f aca="false">IFERROR(__xludf.dummyfunction("""COMPUTED_VALUE"""),586.67)</f>
        <v>586.67</v>
      </c>
      <c r="E1092" s="8" t="n">
        <f aca="false">IFERROR(__xludf.dummyfunction("""COMPUTED_VALUE"""),596.81)</f>
        <v>596.81</v>
      </c>
      <c r="F1092" s="8" t="n">
        <f aca="false">IFERROR(__xludf.dummyfunction("""COMPUTED_VALUE"""),13160976)</f>
        <v>13160976</v>
      </c>
    </row>
    <row r="1093" customFormat="false" ht="15.75" hidden="false" customHeight="false" outlineLevel="0" collapsed="false">
      <c r="A1093" s="9" t="n">
        <f aca="false">IFERROR(__xludf.dummyfunction("""COMPUTED_VALUE"""),45785.6666666667)</f>
        <v>45785.6666666667</v>
      </c>
      <c r="B1093" s="8" t="n">
        <f aca="false">IFERROR(__xludf.dummyfunction("""COMPUTED_VALUE"""),606.29)</f>
        <v>606.29</v>
      </c>
      <c r="C1093" s="8" t="n">
        <f aca="false">IFERROR(__xludf.dummyfunction("""COMPUTED_VALUE"""),611.3)</f>
        <v>611.3</v>
      </c>
      <c r="D1093" s="8" t="n">
        <f aca="false">IFERROR(__xludf.dummyfunction("""COMPUTED_VALUE"""),596.62)</f>
        <v>596.62</v>
      </c>
      <c r="E1093" s="8" t="n">
        <f aca="false">IFERROR(__xludf.dummyfunction("""COMPUTED_VALUE"""),598.01)</f>
        <v>598.01</v>
      </c>
      <c r="F1093" s="8" t="n">
        <f aca="false">IFERROR(__xludf.dummyfunction("""COMPUTED_VALUE"""),14622805)</f>
        <v>14622805</v>
      </c>
    </row>
    <row r="1094" customFormat="false" ht="15.75" hidden="false" customHeight="false" outlineLevel="0" collapsed="false">
      <c r="A1094" s="9" t="n">
        <f aca="false">IFERROR(__xludf.dummyfunction("""COMPUTED_VALUE"""),45786.6666666667)</f>
        <v>45786.6666666667</v>
      </c>
      <c r="B1094" s="8" t="n">
        <f aca="false">IFERROR(__xludf.dummyfunction("""COMPUTED_VALUE"""),603.72)</f>
        <v>603.72</v>
      </c>
      <c r="C1094" s="8" t="n">
        <f aca="false">IFERROR(__xludf.dummyfunction("""COMPUTED_VALUE"""),606.97)</f>
        <v>606.97</v>
      </c>
      <c r="D1094" s="8" t="n">
        <f aca="false">IFERROR(__xludf.dummyfunction("""COMPUTED_VALUE"""),591.71)</f>
        <v>591.71</v>
      </c>
      <c r="E1094" s="8" t="n">
        <f aca="false">IFERROR(__xludf.dummyfunction("""COMPUTED_VALUE"""),592.49)</f>
        <v>592.49</v>
      </c>
      <c r="F1094" s="8" t="n">
        <f aca="false">IFERROR(__xludf.dummyfunction("""COMPUTED_VALUE"""),10427286)</f>
        <v>10427286</v>
      </c>
    </row>
    <row r="1095" customFormat="false" ht="15.75" hidden="false" customHeight="false" outlineLevel="0" collapsed="false">
      <c r="A1095" s="9" t="n">
        <f aca="false">IFERROR(__xludf.dummyfunction("""COMPUTED_VALUE"""),45789.6666666667)</f>
        <v>45789.6666666667</v>
      </c>
      <c r="B1095" s="8" t="n">
        <f aca="false">IFERROR(__xludf.dummyfunction("""COMPUTED_VALUE"""),630.92)</f>
        <v>630.92</v>
      </c>
      <c r="C1095" s="8" t="n">
        <f aca="false">IFERROR(__xludf.dummyfunction("""COMPUTED_VALUE"""),640.39)</f>
        <v>640.39</v>
      </c>
      <c r="D1095" s="8" t="n">
        <f aca="false">IFERROR(__xludf.dummyfunction("""COMPUTED_VALUE"""),621.03)</f>
        <v>621.03</v>
      </c>
      <c r="E1095" s="8" t="n">
        <f aca="false">IFERROR(__xludf.dummyfunction("""COMPUTED_VALUE"""),639.43)</f>
        <v>639.43</v>
      </c>
      <c r="F1095" s="8" t="n">
        <f aca="false">IFERROR(__xludf.dummyfunction("""COMPUTED_VALUE"""),21965085)</f>
        <v>21965085</v>
      </c>
    </row>
    <row r="1096" customFormat="false" ht="15.75" hidden="false" customHeight="false" outlineLevel="0" collapsed="false">
      <c r="A1096" s="9" t="n">
        <f aca="false">IFERROR(__xludf.dummyfunction("""COMPUTED_VALUE"""),45790.6666666667)</f>
        <v>45790.6666666667</v>
      </c>
      <c r="B1096" s="8" t="n">
        <f aca="false">IFERROR(__xludf.dummyfunction("""COMPUTED_VALUE"""),645.54)</f>
        <v>645.54</v>
      </c>
      <c r="C1096" s="8" t="n">
        <f aca="false">IFERROR(__xludf.dummyfunction("""COMPUTED_VALUE"""),660.92)</f>
        <v>660.92</v>
      </c>
      <c r="D1096" s="8" t="n">
        <f aca="false">IFERROR(__xludf.dummyfunction("""COMPUTED_VALUE"""),642.83)</f>
        <v>642.83</v>
      </c>
      <c r="E1096" s="8" t="n">
        <f aca="false">IFERROR(__xludf.dummyfunction("""COMPUTED_VALUE"""),656.03)</f>
        <v>656.03</v>
      </c>
      <c r="F1096" s="8" t="n">
        <f aca="false">IFERROR(__xludf.dummyfunction("""COMPUTED_VALUE"""),18570821)</f>
        <v>18570821</v>
      </c>
    </row>
    <row r="1097" customFormat="false" ht="15.75" hidden="false" customHeight="false" outlineLevel="0" collapsed="false">
      <c r="A1097" s="9" t="n">
        <f aca="false">IFERROR(__xludf.dummyfunction("""COMPUTED_VALUE"""),45791.6666666667)</f>
        <v>45791.6666666667</v>
      </c>
      <c r="B1097" s="8" t="n">
        <f aca="false">IFERROR(__xludf.dummyfunction("""COMPUTED_VALUE"""),661.21)</f>
        <v>661.21</v>
      </c>
      <c r="C1097" s="8" t="n">
        <f aca="false">IFERROR(__xludf.dummyfunction("""COMPUTED_VALUE"""),662.67)</f>
        <v>662.67</v>
      </c>
      <c r="D1097" s="8" t="n">
        <f aca="false">IFERROR(__xludf.dummyfunction("""COMPUTED_VALUE"""),654.31)</f>
        <v>654.31</v>
      </c>
      <c r="E1097" s="8" t="n">
        <f aca="false">IFERROR(__xludf.dummyfunction("""COMPUTED_VALUE"""),659.36)</f>
        <v>659.36</v>
      </c>
      <c r="F1097" s="8" t="n">
        <f aca="false">IFERROR(__xludf.dummyfunction("""COMPUTED_VALUE"""),12348179)</f>
        <v>12348179</v>
      </c>
    </row>
    <row r="1098" customFormat="false" ht="15.75" hidden="false" customHeight="false" outlineLevel="0" collapsed="false">
      <c r="A1098" s="9" t="n">
        <f aca="false">IFERROR(__xludf.dummyfunction("""COMPUTED_VALUE"""),45792.6666666667)</f>
        <v>45792.6666666667</v>
      </c>
      <c r="B1098" s="8" t="n">
        <f aca="false">IFERROR(__xludf.dummyfunction("""COMPUTED_VALUE"""),654.28)</f>
        <v>654.28</v>
      </c>
      <c r="C1098" s="8" t="n">
        <f aca="false">IFERROR(__xludf.dummyfunction("""COMPUTED_VALUE"""),657.31)</f>
        <v>657.31</v>
      </c>
      <c r="D1098" s="8" t="n">
        <f aca="false">IFERROR(__xludf.dummyfunction("""COMPUTED_VALUE"""),638.58)</f>
        <v>638.58</v>
      </c>
      <c r="E1098" s="8" t="n">
        <f aca="false">IFERROR(__xludf.dummyfunction("""COMPUTED_VALUE"""),643.88)</f>
        <v>643.88</v>
      </c>
      <c r="F1098" s="8" t="n">
        <f aca="false">IFERROR(__xludf.dummyfunction("""COMPUTED_VALUE"""),14341835)</f>
        <v>14341835</v>
      </c>
    </row>
    <row r="1099" customFormat="false" ht="15.75" hidden="false" customHeight="false" outlineLevel="0" collapsed="false">
      <c r="A1099" s="9" t="n">
        <f aca="false">IFERROR(__xludf.dummyfunction("""COMPUTED_VALUE"""),45793.6666666667)</f>
        <v>45793.6666666667</v>
      </c>
      <c r="B1099" s="8" t="n">
        <f aca="false">IFERROR(__xludf.dummyfunction("""COMPUTED_VALUE"""),637.96)</f>
        <v>637.96</v>
      </c>
      <c r="C1099" s="8" t="n">
        <f aca="false">IFERROR(__xludf.dummyfunction("""COMPUTED_VALUE"""),640.44)</f>
        <v>640.44</v>
      </c>
      <c r="D1099" s="8" t="n">
        <f aca="false">IFERROR(__xludf.dummyfunction("""COMPUTED_VALUE"""),626.15)</f>
        <v>626.15</v>
      </c>
      <c r="E1099" s="8" t="n">
        <f aca="false">IFERROR(__xludf.dummyfunction("""COMPUTED_VALUE"""),640.34)</f>
        <v>640.34</v>
      </c>
      <c r="F1099" s="8" t="n">
        <f aca="false">IFERROR(__xludf.dummyfunction("""COMPUTED_VALUE"""),18518972)</f>
        <v>18518972</v>
      </c>
    </row>
    <row r="1100" customFormat="false" ht="15.75" hidden="false" customHeight="false" outlineLevel="0" collapsed="false">
      <c r="A1100" s="9" t="n">
        <f aca="false">IFERROR(__xludf.dummyfunction("""COMPUTED_VALUE"""),45796.6666666667)</f>
        <v>45796.6666666667</v>
      </c>
      <c r="B1100" s="8" t="n">
        <f aca="false">IFERROR(__xludf.dummyfunction("""COMPUTED_VALUE"""),628.25)</f>
        <v>628.25</v>
      </c>
      <c r="C1100" s="8" t="n">
        <f aca="false">IFERROR(__xludf.dummyfunction("""COMPUTED_VALUE"""),643)</f>
        <v>643</v>
      </c>
      <c r="D1100" s="8" t="n">
        <f aca="false">IFERROR(__xludf.dummyfunction("""COMPUTED_VALUE"""),627.8)</f>
        <v>627.8</v>
      </c>
      <c r="E1100" s="8" t="n">
        <f aca="false">IFERROR(__xludf.dummyfunction("""COMPUTED_VALUE"""),640.43)</f>
        <v>640.43</v>
      </c>
      <c r="F1100" s="8" t="n">
        <f aca="false">IFERROR(__xludf.dummyfunction("""COMPUTED_VALUE"""),9592374)</f>
        <v>9592374</v>
      </c>
    </row>
    <row r="1101" customFormat="false" ht="15.75" hidden="false" customHeight="false" outlineLevel="0" collapsed="false">
      <c r="A1101" s="9" t="n">
        <f aca="false">IFERROR(__xludf.dummyfunction("""COMPUTED_VALUE"""),45797.6666666667)</f>
        <v>45797.6666666667</v>
      </c>
      <c r="B1101" s="8" t="n">
        <f aca="false">IFERROR(__xludf.dummyfunction("""COMPUTED_VALUE"""),636.01)</f>
        <v>636.01</v>
      </c>
      <c r="C1101" s="8" t="n">
        <f aca="false">IFERROR(__xludf.dummyfunction("""COMPUTED_VALUE"""),639.35)</f>
        <v>639.35</v>
      </c>
      <c r="D1101" s="8" t="n">
        <f aca="false">IFERROR(__xludf.dummyfunction("""COMPUTED_VALUE"""),632.26)</f>
        <v>632.26</v>
      </c>
      <c r="E1101" s="8" t="n">
        <f aca="false">IFERROR(__xludf.dummyfunction("""COMPUTED_VALUE"""),637.1)</f>
        <v>637.1</v>
      </c>
      <c r="F1101" s="8" t="n">
        <f aca="false">IFERROR(__xludf.dummyfunction("""COMPUTED_VALUE"""),6743473)</f>
        <v>6743473</v>
      </c>
    </row>
    <row r="1102" customFormat="false" ht="15.75" hidden="false" customHeight="false" outlineLevel="0" collapsed="false">
      <c r="A1102" s="9" t="n">
        <f aca="false">IFERROR(__xludf.dummyfunction("""COMPUTED_VALUE"""),45798.6666666667)</f>
        <v>45798.6666666667</v>
      </c>
      <c r="B1102" s="8" t="n">
        <f aca="false">IFERROR(__xludf.dummyfunction("""COMPUTED_VALUE"""),631.79)</f>
        <v>631.79</v>
      </c>
      <c r="C1102" s="8" t="n">
        <f aca="false">IFERROR(__xludf.dummyfunction("""COMPUTED_VALUE"""),646.61)</f>
        <v>646.61</v>
      </c>
      <c r="D1102" s="8" t="n">
        <f aca="false">IFERROR(__xludf.dummyfunction("""COMPUTED_VALUE"""),630.17)</f>
        <v>630.17</v>
      </c>
      <c r="E1102" s="8" t="n">
        <f aca="false">IFERROR(__xludf.dummyfunction("""COMPUTED_VALUE"""),635.5)</f>
        <v>635.5</v>
      </c>
      <c r="F1102" s="8" t="n">
        <f aca="false">IFERROR(__xludf.dummyfunction("""COMPUTED_VALUE"""),11464569)</f>
        <v>11464569</v>
      </c>
    </row>
    <row r="1103" customFormat="false" ht="15.75" hidden="false" customHeight="false" outlineLevel="0" collapsed="false">
      <c r="A1103" s="9" t="n">
        <f aca="false">IFERROR(__xludf.dummyfunction("""COMPUTED_VALUE"""),45799.6666666667)</f>
        <v>45799.6666666667</v>
      </c>
      <c r="B1103" s="8" t="n">
        <f aca="false">IFERROR(__xludf.dummyfunction("""COMPUTED_VALUE"""),634.05)</f>
        <v>634.05</v>
      </c>
      <c r="C1103" s="8" t="n">
        <f aca="false">IFERROR(__xludf.dummyfunction("""COMPUTED_VALUE"""),643.25)</f>
        <v>643.25</v>
      </c>
      <c r="D1103" s="8" t="n">
        <f aca="false">IFERROR(__xludf.dummyfunction("""COMPUTED_VALUE"""),630.71)</f>
        <v>630.71</v>
      </c>
      <c r="E1103" s="8" t="n">
        <f aca="false">IFERROR(__xludf.dummyfunction("""COMPUTED_VALUE"""),636.57)</f>
        <v>636.57</v>
      </c>
      <c r="F1103" s="8" t="n">
        <f aca="false">IFERROR(__xludf.dummyfunction("""COMPUTED_VALUE"""),8228443)</f>
        <v>8228443</v>
      </c>
    </row>
    <row r="1104" customFormat="false" ht="15.75" hidden="false" customHeight="false" outlineLevel="0" collapsed="false">
      <c r="A1104" s="9" t="n">
        <f aca="false">IFERROR(__xludf.dummyfunction("""COMPUTED_VALUE"""),45800.6666666667)</f>
        <v>45800.6666666667</v>
      </c>
      <c r="B1104" s="8" t="n">
        <f aca="false">IFERROR(__xludf.dummyfunction("""COMPUTED_VALUE"""),624)</f>
        <v>624</v>
      </c>
      <c r="C1104" s="8" t="n">
        <f aca="false">IFERROR(__xludf.dummyfunction("""COMPUTED_VALUE"""),632.45)</f>
        <v>632.45</v>
      </c>
      <c r="D1104" s="8" t="n">
        <f aca="false">IFERROR(__xludf.dummyfunction("""COMPUTED_VALUE"""),622.65)</f>
        <v>622.65</v>
      </c>
      <c r="E1104" s="8" t="n">
        <f aca="false">IFERROR(__xludf.dummyfunction("""COMPUTED_VALUE"""),627.06)</f>
        <v>627.06</v>
      </c>
      <c r="F1104" s="8" t="n">
        <f aca="false">IFERROR(__xludf.dummyfunction("""COMPUTED_VALUE"""),8454067)</f>
        <v>8454067</v>
      </c>
    </row>
    <row r="1105" customFormat="false" ht="15.75" hidden="false" customHeight="false" outlineLevel="0" collapsed="false">
      <c r="A1105" s="9" t="n">
        <f aca="false">IFERROR(__xludf.dummyfunction("""COMPUTED_VALUE"""),45804.6666666667)</f>
        <v>45804.6666666667</v>
      </c>
      <c r="B1105" s="8" t="n">
        <f aca="false">IFERROR(__xludf.dummyfunction("""COMPUTED_VALUE"""),635.41)</f>
        <v>635.41</v>
      </c>
      <c r="C1105" s="8" t="n">
        <f aca="false">IFERROR(__xludf.dummyfunction("""COMPUTED_VALUE"""),643.08)</f>
        <v>643.08</v>
      </c>
      <c r="D1105" s="8" t="n">
        <f aca="false">IFERROR(__xludf.dummyfunction("""COMPUTED_VALUE"""),632.75)</f>
        <v>632.75</v>
      </c>
      <c r="E1105" s="8" t="n">
        <f aca="false">IFERROR(__xludf.dummyfunction("""COMPUTED_VALUE"""),642.32)</f>
        <v>642.32</v>
      </c>
      <c r="F1105" s="8" t="n">
        <f aca="false">IFERROR(__xludf.dummyfunction("""COMPUTED_VALUE"""),9508367)</f>
        <v>9508367</v>
      </c>
    </row>
    <row r="1106" customFormat="false" ht="15.75" hidden="false" customHeight="false" outlineLevel="0" collapsed="false">
      <c r="A1106" s="9" t="n">
        <f aca="false">IFERROR(__xludf.dummyfunction("""COMPUTED_VALUE"""),45805.6666666667)</f>
        <v>45805.6666666667</v>
      </c>
      <c r="B1106" s="8" t="n">
        <f aca="false">IFERROR(__xludf.dummyfunction("""COMPUTED_VALUE"""),642.6)</f>
        <v>642.6</v>
      </c>
      <c r="C1106" s="8" t="n">
        <f aca="false">IFERROR(__xludf.dummyfunction("""COMPUTED_VALUE"""),650.88)</f>
        <v>650.88</v>
      </c>
      <c r="D1106" s="8" t="n">
        <f aca="false">IFERROR(__xludf.dummyfunction("""COMPUTED_VALUE"""),642.55)</f>
        <v>642.55</v>
      </c>
      <c r="E1106" s="8" t="n">
        <f aca="false">IFERROR(__xludf.dummyfunction("""COMPUTED_VALUE"""),643.58)</f>
        <v>643.58</v>
      </c>
      <c r="F1106" s="8" t="n">
        <f aca="false">IFERROR(__xludf.dummyfunction("""COMPUTED_VALUE"""),9042874)</f>
        <v>9042874</v>
      </c>
    </row>
    <row r="1107" customFormat="false" ht="15.75" hidden="false" customHeight="false" outlineLevel="0" collapsed="false">
      <c r="A1107" s="9" t="n">
        <f aca="false">IFERROR(__xludf.dummyfunction("""COMPUTED_VALUE"""),45806.6666666667)</f>
        <v>45806.6666666667</v>
      </c>
      <c r="B1107" s="8" t="n">
        <f aca="false">IFERROR(__xludf.dummyfunction("""COMPUTED_VALUE"""),651.65)</f>
        <v>651.65</v>
      </c>
      <c r="C1107" s="8" t="n">
        <f aca="false">IFERROR(__xludf.dummyfunction("""COMPUTED_VALUE"""),653.32)</f>
        <v>653.32</v>
      </c>
      <c r="D1107" s="8" t="n">
        <f aca="false">IFERROR(__xludf.dummyfunction("""COMPUTED_VALUE"""),639.5)</f>
        <v>639.5</v>
      </c>
      <c r="E1107" s="8" t="n">
        <f aca="false">IFERROR(__xludf.dummyfunction("""COMPUTED_VALUE"""),645.05)</f>
        <v>645.05</v>
      </c>
      <c r="F1107" s="8" t="n">
        <f aca="false">IFERROR(__xludf.dummyfunction("""COMPUTED_VALUE"""),8883436)</f>
        <v>8883436</v>
      </c>
    </row>
    <row r="1108" customFormat="false" ht="15.75" hidden="false" customHeight="false" outlineLevel="0" collapsed="false">
      <c r="A1108" s="9" t="n">
        <f aca="false">IFERROR(__xludf.dummyfunction("""COMPUTED_VALUE"""),45807.6666666667)</f>
        <v>45807.6666666667</v>
      </c>
      <c r="B1108" s="8" t="n">
        <f aca="false">IFERROR(__xludf.dummyfunction("""COMPUTED_VALUE"""),642.5)</f>
        <v>642.5</v>
      </c>
      <c r="C1108" s="8" t="n">
        <f aca="false">IFERROR(__xludf.dummyfunction("""COMPUTED_VALUE"""),649.41)</f>
        <v>649.41</v>
      </c>
      <c r="D1108" s="8" t="n">
        <f aca="false">IFERROR(__xludf.dummyfunction("""COMPUTED_VALUE"""),632.78)</f>
        <v>632.78</v>
      </c>
      <c r="E1108" s="8" t="n">
        <f aca="false">IFERROR(__xludf.dummyfunction("""COMPUTED_VALUE"""),647.49)</f>
        <v>647.49</v>
      </c>
      <c r="F1108" s="8" t="n">
        <f aca="false">IFERROR(__xludf.dummyfunction("""COMPUTED_VALUE"""),16240951)</f>
        <v>16240951</v>
      </c>
    </row>
    <row r="1109" customFormat="false" ht="15.75" hidden="false" customHeight="false" outlineLevel="0" collapsed="false">
      <c r="A1109" s="9" t="n">
        <f aca="false">IFERROR(__xludf.dummyfunction("""COMPUTED_VALUE"""),45810.6666666667)</f>
        <v>45810.6666666667</v>
      </c>
      <c r="B1109" s="8" t="n">
        <f aca="false">IFERROR(__xludf.dummyfunction("""COMPUTED_VALUE"""),644.39)</f>
        <v>644.39</v>
      </c>
      <c r="C1109" s="8" t="n">
        <f aca="false">IFERROR(__xludf.dummyfunction("""COMPUTED_VALUE"""),673.26)</f>
        <v>673.26</v>
      </c>
      <c r="D1109" s="8" t="n">
        <f aca="false">IFERROR(__xludf.dummyfunction("""COMPUTED_VALUE"""),644.26)</f>
        <v>644.26</v>
      </c>
      <c r="E1109" s="8" t="n">
        <f aca="false">IFERROR(__xludf.dummyfunction("""COMPUTED_VALUE"""),670.9)</f>
        <v>670.9</v>
      </c>
      <c r="F1109" s="8" t="n">
        <f aca="false">IFERROR(__xludf.dummyfunction("""COMPUTED_VALUE"""),15766258)</f>
        <v>15766258</v>
      </c>
    </row>
    <row r="1110" customFormat="false" ht="15.75" hidden="false" customHeight="false" outlineLevel="0" collapsed="false">
      <c r="A1110" s="9" t="n">
        <f aca="false">IFERROR(__xludf.dummyfunction("""COMPUTED_VALUE"""),45811.6666666667)</f>
        <v>45811.6666666667</v>
      </c>
      <c r="B1110" s="8" t="n">
        <f aca="false">IFERROR(__xludf.dummyfunction("""COMPUTED_VALUE"""),671.45)</f>
        <v>671.45</v>
      </c>
      <c r="C1110" s="8" t="n">
        <f aca="false">IFERROR(__xludf.dummyfunction("""COMPUTED_VALUE"""),675.58)</f>
        <v>675.58</v>
      </c>
      <c r="D1110" s="8" t="n">
        <f aca="false">IFERROR(__xludf.dummyfunction("""COMPUTED_VALUE"""),665.03)</f>
        <v>665.03</v>
      </c>
      <c r="E1110" s="8" t="n">
        <f aca="false">IFERROR(__xludf.dummyfunction("""COMPUTED_VALUE"""),666.85)</f>
        <v>666.85</v>
      </c>
      <c r="F1110" s="8" t="n">
        <f aca="false">IFERROR(__xludf.dummyfunction("""COMPUTED_VALUE"""),11585031)</f>
        <v>11585031</v>
      </c>
    </row>
    <row r="1111" customFormat="false" ht="15.75" hidden="false" customHeight="false" outlineLevel="0" collapsed="false">
      <c r="A1111" s="9" t="n">
        <f aca="false">IFERROR(__xludf.dummyfunction("""COMPUTED_VALUE"""),45812.6666666667)</f>
        <v>45812.6666666667</v>
      </c>
      <c r="B1111" s="8" t="n">
        <f aca="false">IFERROR(__xludf.dummyfunction("""COMPUTED_VALUE"""),669.32)</f>
        <v>669.32</v>
      </c>
      <c r="C1111" s="8" t="n">
        <f aca="false">IFERROR(__xludf.dummyfunction("""COMPUTED_VALUE"""),689)</f>
        <v>689</v>
      </c>
      <c r="D1111" s="8" t="n">
        <f aca="false">IFERROR(__xludf.dummyfunction("""COMPUTED_VALUE"""),668.57)</f>
        <v>668.57</v>
      </c>
      <c r="E1111" s="8" t="n">
        <f aca="false">IFERROR(__xludf.dummyfunction("""COMPUTED_VALUE"""),687.95)</f>
        <v>687.95</v>
      </c>
      <c r="F1111" s="8" t="n">
        <f aca="false">IFERROR(__xludf.dummyfunction("""COMPUTED_VALUE"""),14031931)</f>
        <v>14031931</v>
      </c>
    </row>
    <row r="1112" customFormat="false" ht="15.75" hidden="false" customHeight="false" outlineLevel="0" collapsed="false">
      <c r="A1112" s="9" t="n">
        <f aca="false">IFERROR(__xludf.dummyfunction("""COMPUTED_VALUE"""),45813.6666666667)</f>
        <v>45813.6666666667</v>
      </c>
      <c r="B1112" s="8" t="n">
        <f aca="false">IFERROR(__xludf.dummyfunction("""COMPUTED_VALUE"""),691.66)</f>
        <v>691.66</v>
      </c>
      <c r="C1112" s="8" t="n">
        <f aca="false">IFERROR(__xludf.dummyfunction("""COMPUTED_VALUE"""),694.38)</f>
        <v>694.38</v>
      </c>
      <c r="D1112" s="8" t="n">
        <f aca="false">IFERROR(__xludf.dummyfunction("""COMPUTED_VALUE"""),682.25)</f>
        <v>682.25</v>
      </c>
      <c r="E1112" s="8" t="n">
        <f aca="false">IFERROR(__xludf.dummyfunction("""COMPUTED_VALUE"""),684.62)</f>
        <v>684.62</v>
      </c>
      <c r="F1112" s="8" t="n">
        <f aca="false">IFERROR(__xludf.dummyfunction("""COMPUTED_VALUE"""),13120335)</f>
        <v>13120335</v>
      </c>
    </row>
    <row r="1113" customFormat="false" ht="15.75" hidden="false" customHeight="false" outlineLevel="0" collapsed="false">
      <c r="A1113" s="9" t="n">
        <f aca="false">IFERROR(__xludf.dummyfunction("""COMPUTED_VALUE"""),45814.6666666667)</f>
        <v>45814.6666666667</v>
      </c>
      <c r="B1113" s="8" t="n">
        <f aca="false">IFERROR(__xludf.dummyfunction("""COMPUTED_VALUE"""),696.17)</f>
        <v>696.17</v>
      </c>
      <c r="C1113" s="8" t="n">
        <f aca="false">IFERROR(__xludf.dummyfunction("""COMPUTED_VALUE"""),702.81)</f>
        <v>702.81</v>
      </c>
      <c r="D1113" s="8" t="n">
        <f aca="false">IFERROR(__xludf.dummyfunction("""COMPUTED_VALUE"""),691.87)</f>
        <v>691.87</v>
      </c>
      <c r="E1113" s="8" t="n">
        <f aca="false">IFERROR(__xludf.dummyfunction("""COMPUTED_VALUE"""),697.71)</f>
        <v>697.71</v>
      </c>
      <c r="F1113" s="8" t="n">
        <f aca="false">IFERROR(__xludf.dummyfunction("""COMPUTED_VALUE"""),11727961)</f>
        <v>11727961</v>
      </c>
    </row>
    <row r="1114" customFormat="false" ht="15.75" hidden="false" customHeight="false" outlineLevel="0" collapsed="false">
      <c r="A1114" s="9" t="n">
        <f aca="false">IFERROR(__xludf.dummyfunction("""COMPUTED_VALUE"""),45817.6666666667)</f>
        <v>45817.6666666667</v>
      </c>
      <c r="B1114" s="8" t="n">
        <f aca="false">IFERROR(__xludf.dummyfunction("""COMPUTED_VALUE"""),698.46)</f>
        <v>698.46</v>
      </c>
      <c r="C1114" s="8" t="n">
        <f aca="false">IFERROR(__xludf.dummyfunction("""COMPUTED_VALUE"""),705.19)</f>
        <v>705.19</v>
      </c>
      <c r="D1114" s="8" t="n">
        <f aca="false">IFERROR(__xludf.dummyfunction("""COMPUTED_VALUE"""),693.94)</f>
        <v>693.94</v>
      </c>
      <c r="E1114" s="8" t="n">
        <f aca="false">IFERROR(__xludf.dummyfunction("""COMPUTED_VALUE"""),694.06)</f>
        <v>694.06</v>
      </c>
      <c r="F1114" s="8" t="n">
        <f aca="false">IFERROR(__xludf.dummyfunction("""COMPUTED_VALUE"""),12773221)</f>
        <v>12773221</v>
      </c>
    </row>
    <row r="1115" customFormat="false" ht="15.75" hidden="false" customHeight="false" outlineLevel="0" collapsed="false">
      <c r="A1115" s="9" t="n">
        <f aca="false">IFERROR(__xludf.dummyfunction("""COMPUTED_VALUE"""),45818.6666666667)</f>
        <v>45818.6666666667</v>
      </c>
      <c r="B1115" s="8" t="n">
        <f aca="false">IFERROR(__xludf.dummyfunction("""COMPUTED_VALUE"""),701.35)</f>
        <v>701.35</v>
      </c>
      <c r="C1115" s="8" t="n">
        <f aca="false">IFERROR(__xludf.dummyfunction("""COMPUTED_VALUE"""),703.23)</f>
        <v>703.23</v>
      </c>
      <c r="D1115" s="8" t="n">
        <f aca="false">IFERROR(__xludf.dummyfunction("""COMPUTED_VALUE"""),691.56)</f>
        <v>691.56</v>
      </c>
      <c r="E1115" s="8" t="n">
        <f aca="false">IFERROR(__xludf.dummyfunction("""COMPUTED_VALUE"""),702.4)</f>
        <v>702.4</v>
      </c>
      <c r="F1115" s="8" t="n">
        <f aca="false">IFERROR(__xludf.dummyfunction("""COMPUTED_VALUE"""),10850146)</f>
        <v>10850146</v>
      </c>
    </row>
    <row r="1116" customFormat="false" ht="15.75" hidden="false" customHeight="false" outlineLevel="0" collapsed="false">
      <c r="A1116" s="9" t="n">
        <f aca="false">IFERROR(__xludf.dummyfunction("""COMPUTED_VALUE"""),45819.6666666667)</f>
        <v>45819.6666666667</v>
      </c>
      <c r="B1116" s="8" t="n">
        <f aca="false">IFERROR(__xludf.dummyfunction("""COMPUTED_VALUE"""),703.71)</f>
        <v>703.71</v>
      </c>
      <c r="C1116" s="8" t="n">
        <f aca="false">IFERROR(__xludf.dummyfunction("""COMPUTED_VALUE"""),708.87)</f>
        <v>708.87</v>
      </c>
      <c r="D1116" s="8" t="n">
        <f aca="false">IFERROR(__xludf.dummyfunction("""COMPUTED_VALUE"""),691.99)</f>
        <v>691.99</v>
      </c>
      <c r="E1116" s="8" t="n">
        <f aca="false">IFERROR(__xludf.dummyfunction("""COMPUTED_VALUE"""),694.14)</f>
        <v>694.14</v>
      </c>
      <c r="F1116" s="8" t="n">
        <f aca="false">IFERROR(__xludf.dummyfunction("""COMPUTED_VALUE"""),9582508)</f>
        <v>9582508</v>
      </c>
    </row>
    <row r="1117" customFormat="false" ht="15.75" hidden="false" customHeight="false" outlineLevel="0" collapsed="false">
      <c r="A1117" s="9" t="n">
        <f aca="false">IFERROR(__xludf.dummyfunction("""COMPUTED_VALUE"""),45820.6666666667)</f>
        <v>45820.6666666667</v>
      </c>
      <c r="B1117" s="8" t="n">
        <f aca="false">IFERROR(__xludf.dummyfunction("""COMPUTED_VALUE"""),693.3)</f>
        <v>693.3</v>
      </c>
      <c r="C1117" s="8" t="n">
        <f aca="false">IFERROR(__xludf.dummyfunction("""COMPUTED_VALUE"""),695.38)</f>
        <v>695.38</v>
      </c>
      <c r="D1117" s="8" t="n">
        <f aca="false">IFERROR(__xludf.dummyfunction("""COMPUTED_VALUE"""),687)</f>
        <v>687</v>
      </c>
      <c r="E1117" s="8" t="n">
        <f aca="false">IFERROR(__xludf.dummyfunction("""COMPUTED_VALUE"""),693.36)</f>
        <v>693.36</v>
      </c>
      <c r="F1117" s="8" t="n">
        <f aca="false">IFERROR(__xludf.dummyfunction("""COMPUTED_VALUE"""),7322730)</f>
        <v>7322730</v>
      </c>
    </row>
    <row r="1118" customFormat="false" ht="15.75" hidden="false" customHeight="false" outlineLevel="0" collapsed="false">
      <c r="A1118" s="9" t="n">
        <f aca="false">IFERROR(__xludf.dummyfunction("""COMPUTED_VALUE"""),45821.6666666667)</f>
        <v>45821.6666666667</v>
      </c>
      <c r="B1118" s="8" t="n">
        <f aca="false">IFERROR(__xludf.dummyfunction("""COMPUTED_VALUE"""),687.95)</f>
        <v>687.95</v>
      </c>
      <c r="C1118" s="8" t="n">
        <f aca="false">IFERROR(__xludf.dummyfunction("""COMPUTED_VALUE"""),694.57)</f>
        <v>694.57</v>
      </c>
      <c r="D1118" s="8" t="n">
        <f aca="false">IFERROR(__xludf.dummyfunction("""COMPUTED_VALUE"""),681.01)</f>
        <v>681.01</v>
      </c>
      <c r="E1118" s="8" t="n">
        <f aca="false">IFERROR(__xludf.dummyfunction("""COMPUTED_VALUE"""),682.87)</f>
        <v>682.87</v>
      </c>
      <c r="F1118" s="8" t="n">
        <f aca="false">IFERROR(__xludf.dummyfunction("""COMPUTED_VALUE"""),9274441)</f>
        <v>9274441</v>
      </c>
    </row>
    <row r="1119" customFormat="false" ht="15.75" hidden="false" customHeight="false" outlineLevel="0" collapsed="false">
      <c r="A1119" s="9" t="n">
        <f aca="false">IFERROR(__xludf.dummyfunction("""COMPUTED_VALUE"""),45824.6666666667)</f>
        <v>45824.6666666667</v>
      </c>
      <c r="B1119" s="8" t="n">
        <f aca="false">IFERROR(__xludf.dummyfunction("""COMPUTED_VALUE"""),699.33)</f>
        <v>699.33</v>
      </c>
      <c r="C1119" s="8" t="n">
        <f aca="false">IFERROR(__xludf.dummyfunction("""COMPUTED_VALUE"""),707.15)</f>
        <v>707.15</v>
      </c>
      <c r="D1119" s="8" t="n">
        <f aca="false">IFERROR(__xludf.dummyfunction("""COMPUTED_VALUE"""),693.51)</f>
        <v>693.51</v>
      </c>
      <c r="E1119" s="8" t="n">
        <f aca="false">IFERROR(__xludf.dummyfunction("""COMPUTED_VALUE"""),702.12)</f>
        <v>702.12</v>
      </c>
      <c r="F1119" s="8" t="n">
        <f aca="false">IFERROR(__xludf.dummyfunction("""COMPUTED_VALUE"""),13720288)</f>
        <v>13720288</v>
      </c>
    </row>
    <row r="1120" customFormat="false" ht="15.75" hidden="false" customHeight="false" outlineLevel="0" collapsed="false">
      <c r="A1120" s="9" t="n">
        <f aca="false">IFERROR(__xludf.dummyfunction("""COMPUTED_VALUE"""),45825.6666666667)</f>
        <v>45825.6666666667</v>
      </c>
      <c r="B1120" s="8" t="n">
        <f aca="false">IFERROR(__xludf.dummyfunction("""COMPUTED_VALUE"""),702)</f>
        <v>702</v>
      </c>
      <c r="C1120" s="8" t="n">
        <f aca="false">IFERROR(__xludf.dummyfunction("""COMPUTED_VALUE"""),705.97)</f>
        <v>705.97</v>
      </c>
      <c r="D1120" s="8" t="n">
        <f aca="false">IFERROR(__xludf.dummyfunction("""COMPUTED_VALUE"""),696.06)</f>
        <v>696.06</v>
      </c>
      <c r="E1120" s="8" t="n">
        <f aca="false">IFERROR(__xludf.dummyfunction("""COMPUTED_VALUE"""),697.23)</f>
        <v>697.23</v>
      </c>
      <c r="F1120" s="8" t="n">
        <f aca="false">IFERROR(__xludf.dummyfunction("""COMPUTED_VALUE"""),10066110)</f>
        <v>10066110</v>
      </c>
    </row>
    <row r="1121" customFormat="false" ht="15.75" hidden="false" customHeight="false" outlineLevel="0" collapsed="false">
      <c r="A1121" s="9" t="n">
        <f aca="false">IFERROR(__xludf.dummyfunction("""COMPUTED_VALUE"""),45826.6666666667)</f>
        <v>45826.6666666667</v>
      </c>
      <c r="B1121" s="8" t="n">
        <f aca="false">IFERROR(__xludf.dummyfunction("""COMPUTED_VALUE"""),698.18)</f>
        <v>698.18</v>
      </c>
      <c r="C1121" s="8" t="n">
        <f aca="false">IFERROR(__xludf.dummyfunction("""COMPUTED_VALUE"""),701.59)</f>
        <v>701.59</v>
      </c>
      <c r="D1121" s="8" t="n">
        <f aca="false">IFERROR(__xludf.dummyfunction("""COMPUTED_VALUE"""),694.9)</f>
        <v>694.9</v>
      </c>
      <c r="E1121" s="8" t="n">
        <f aca="false">IFERROR(__xludf.dummyfunction("""COMPUTED_VALUE"""),695.77)</f>
        <v>695.77</v>
      </c>
      <c r="F1121" s="8" t="n">
        <f aca="false">IFERROR(__xludf.dummyfunction("""COMPUTED_VALUE"""),10068255)</f>
        <v>10068255</v>
      </c>
    </row>
    <row r="1122" customFormat="false" ht="15.75" hidden="false" customHeight="false" outlineLevel="0" collapsed="false">
      <c r="A1122" s="9" t="n">
        <f aca="false">IFERROR(__xludf.dummyfunction("""COMPUTED_VALUE"""),45828.6666666667)</f>
        <v>45828.6666666667</v>
      </c>
      <c r="B1122" s="8" t="n">
        <f aca="false">IFERROR(__xludf.dummyfunction("""COMPUTED_VALUE"""),700.75)</f>
        <v>700.75</v>
      </c>
      <c r="C1122" s="8" t="n">
        <f aca="false">IFERROR(__xludf.dummyfunction("""COMPUTED_VALUE"""),701.82)</f>
        <v>701.82</v>
      </c>
      <c r="D1122" s="8" t="n">
        <f aca="false">IFERROR(__xludf.dummyfunction("""COMPUTED_VALUE"""),678.67)</f>
        <v>678.67</v>
      </c>
      <c r="E1122" s="8" t="n">
        <f aca="false">IFERROR(__xludf.dummyfunction("""COMPUTED_VALUE"""),682.35)</f>
        <v>682.35</v>
      </c>
      <c r="F1122" s="8" t="n">
        <f aca="false">IFERROR(__xludf.dummyfunction("""COMPUTED_VALUE"""),22538640)</f>
        <v>22538640</v>
      </c>
    </row>
    <row r="1123" customFormat="false" ht="15.75" hidden="false" customHeight="false" outlineLevel="0" collapsed="false">
      <c r="A1123" s="9" t="n">
        <f aca="false">IFERROR(__xludf.dummyfunction("""COMPUTED_VALUE"""),45831.6666666667)</f>
        <v>45831.6666666667</v>
      </c>
      <c r="B1123" s="8" t="n">
        <f aca="false">IFERROR(__xludf.dummyfunction("""COMPUTED_VALUE"""),683.69)</f>
        <v>683.69</v>
      </c>
      <c r="C1123" s="8" t="n">
        <f aca="false">IFERROR(__xludf.dummyfunction("""COMPUTED_VALUE"""),699.05)</f>
        <v>699.05</v>
      </c>
      <c r="D1123" s="8" t="n">
        <f aca="false">IFERROR(__xludf.dummyfunction("""COMPUTED_VALUE"""),678.75)</f>
        <v>678.75</v>
      </c>
      <c r="E1123" s="8" t="n">
        <f aca="false">IFERROR(__xludf.dummyfunction("""COMPUTED_VALUE"""),698.53)</f>
        <v>698.53</v>
      </c>
      <c r="F1123" s="8" t="n">
        <f aca="false">IFERROR(__xludf.dummyfunction("""COMPUTED_VALUE"""),11080055)</f>
        <v>11080055</v>
      </c>
    </row>
    <row r="1124" customFormat="false" ht="15.75" hidden="false" customHeight="false" outlineLevel="0" collapsed="false">
      <c r="A1124" s="9" t="n">
        <f aca="false">IFERROR(__xludf.dummyfunction("""COMPUTED_VALUE"""),45832.6666666667)</f>
        <v>45832.6666666667</v>
      </c>
      <c r="B1124" s="8" t="n">
        <f aca="false">IFERROR(__xludf.dummyfunction("""COMPUTED_VALUE"""),704.89)</f>
        <v>704.89</v>
      </c>
      <c r="C1124" s="8" t="n">
        <f aca="false">IFERROR(__xludf.dummyfunction("""COMPUTED_VALUE"""),713.19)</f>
        <v>713.19</v>
      </c>
      <c r="D1124" s="8" t="n">
        <f aca="false">IFERROR(__xludf.dummyfunction("""COMPUTED_VALUE"""),702.11)</f>
        <v>702.11</v>
      </c>
      <c r="E1124" s="8" t="n">
        <f aca="false">IFERROR(__xludf.dummyfunction("""COMPUTED_VALUE"""),712.2)</f>
        <v>712.2</v>
      </c>
      <c r="F1124" s="8" t="n">
        <f aca="false">IFERROR(__xludf.dummyfunction("""COMPUTED_VALUE"""),13823180)</f>
        <v>13823180</v>
      </c>
    </row>
    <row r="1125" customFormat="false" ht="15.75" hidden="false" customHeight="false" outlineLevel="0" collapsed="false">
      <c r="A1125" s="9" t="n">
        <f aca="false">IFERROR(__xludf.dummyfunction("""COMPUTED_VALUE"""),45833.6666666667)</f>
        <v>45833.6666666667</v>
      </c>
      <c r="B1125" s="8" t="n">
        <f aca="false">IFERROR(__xludf.dummyfunction("""COMPUTED_VALUE"""),713.32)</f>
        <v>713.32</v>
      </c>
      <c r="C1125" s="8" t="n">
        <f aca="false">IFERROR(__xludf.dummyfunction("""COMPUTED_VALUE"""),716.58)</f>
        <v>716.58</v>
      </c>
      <c r="D1125" s="8" t="n">
        <f aca="false">IFERROR(__xludf.dummyfunction("""COMPUTED_VALUE"""),705.38)</f>
        <v>705.38</v>
      </c>
      <c r="E1125" s="8" t="n">
        <f aca="false">IFERROR(__xludf.dummyfunction("""COMPUTED_VALUE"""),708.68)</f>
        <v>708.68</v>
      </c>
      <c r="F1125" s="8" t="n">
        <f aca="false">IFERROR(__xludf.dummyfunction("""COMPUTED_VALUE"""),9320436)</f>
        <v>9320436</v>
      </c>
    </row>
    <row r="1126" customFormat="false" ht="15.75" hidden="false" customHeight="false" outlineLevel="0" collapsed="false">
      <c r="A1126" s="9" t="n">
        <f aca="false">IFERROR(__xludf.dummyfunction("""COMPUTED_VALUE"""),45834.6666666667)</f>
        <v>45834.6666666667</v>
      </c>
      <c r="B1126" s="8" t="n">
        <f aca="false">IFERROR(__xludf.dummyfunction("""COMPUTED_VALUE"""),714.36)</f>
        <v>714.36</v>
      </c>
      <c r="C1126" s="8" t="n">
        <f aca="false">IFERROR(__xludf.dummyfunction("""COMPUTED_VALUE"""),728.22)</f>
        <v>728.22</v>
      </c>
      <c r="D1126" s="8" t="n">
        <f aca="false">IFERROR(__xludf.dummyfunction("""COMPUTED_VALUE"""),711.05)</f>
        <v>711.05</v>
      </c>
      <c r="E1126" s="8" t="n">
        <f aca="false">IFERROR(__xludf.dummyfunction("""COMPUTED_VALUE"""),726.09)</f>
        <v>726.09</v>
      </c>
      <c r="F1126" s="8" t="n">
        <f aca="false">IFERROR(__xludf.dummyfunction("""COMPUTED_VALUE"""),13964793)</f>
        <v>13964793</v>
      </c>
    </row>
    <row r="1127" customFormat="false" ht="15.75" hidden="false" customHeight="false" outlineLevel="0" collapsed="false">
      <c r="A1127" s="9" t="n">
        <f aca="false">IFERROR(__xludf.dummyfunction("""COMPUTED_VALUE"""),45835.6666666667)</f>
        <v>45835.6666666667</v>
      </c>
      <c r="B1127" s="8" t="n">
        <f aca="false">IFERROR(__xludf.dummyfunction("""COMPUTED_VALUE"""),726.52)</f>
        <v>726.52</v>
      </c>
      <c r="C1127" s="8" t="n">
        <f aca="false">IFERROR(__xludf.dummyfunction("""COMPUTED_VALUE"""),735.43)</f>
        <v>735.43</v>
      </c>
      <c r="D1127" s="8" t="n">
        <f aca="false">IFERROR(__xludf.dummyfunction("""COMPUTED_VALUE"""),725.86)</f>
        <v>725.86</v>
      </c>
      <c r="E1127" s="8" t="n">
        <f aca="false">IFERROR(__xludf.dummyfunction("""COMPUTED_VALUE"""),733.63)</f>
        <v>733.63</v>
      </c>
      <c r="F1127" s="8" t="n">
        <f aca="false">IFERROR(__xludf.dummyfunction("""COMPUTED_VALUE"""),18775735)</f>
        <v>18775735</v>
      </c>
    </row>
    <row r="1128" customFormat="false" ht="15.75" hidden="false" customHeight="false" outlineLevel="0" collapsed="false">
      <c r="A1128" s="9" t="n">
        <f aca="false">IFERROR(__xludf.dummyfunction("""COMPUTED_VALUE"""),45838.6666666667)</f>
        <v>45838.6666666667</v>
      </c>
      <c r="B1128" s="8" t="n">
        <f aca="false">IFERROR(__xludf.dummyfunction("""COMPUTED_VALUE"""),744.55)</f>
        <v>744.55</v>
      </c>
      <c r="C1128" s="8" t="n">
        <f aca="false">IFERROR(__xludf.dummyfunction("""COMPUTED_VALUE"""),747.9)</f>
        <v>747.9</v>
      </c>
      <c r="D1128" s="8" t="n">
        <f aca="false">IFERROR(__xludf.dummyfunction("""COMPUTED_VALUE"""),734.25)</f>
        <v>734.25</v>
      </c>
      <c r="E1128" s="8" t="n">
        <f aca="false">IFERROR(__xludf.dummyfunction("""COMPUTED_VALUE"""),738.09)</f>
        <v>738.09</v>
      </c>
      <c r="F1128" s="8" t="n">
        <f aca="false">IFERROR(__xludf.dummyfunction("""COMPUTED_VALUE"""),15402105)</f>
        <v>15402105</v>
      </c>
    </row>
    <row r="1129" customFormat="false" ht="15.75" hidden="false" customHeight="false" outlineLevel="0" collapsed="false">
      <c r="A1129" s="9" t="n">
        <f aca="false">IFERROR(__xludf.dummyfunction("""COMPUTED_VALUE"""),45839.6666666667)</f>
        <v>45839.6666666667</v>
      </c>
      <c r="B1129" s="8" t="n">
        <f aca="false">IFERROR(__xludf.dummyfunction("""COMPUTED_VALUE"""),736.88)</f>
        <v>736.88</v>
      </c>
      <c r="C1129" s="8" t="n">
        <f aca="false">IFERROR(__xludf.dummyfunction("""COMPUTED_VALUE"""),737.75)</f>
        <v>737.75</v>
      </c>
      <c r="D1129" s="8" t="n">
        <f aca="false">IFERROR(__xludf.dummyfunction("""COMPUTED_VALUE"""),715.37)</f>
        <v>715.37</v>
      </c>
      <c r="E1129" s="8" t="n">
        <f aca="false">IFERROR(__xludf.dummyfunction("""COMPUTED_VALUE"""),719.22)</f>
        <v>719.22</v>
      </c>
      <c r="F1129" s="8" t="n">
        <f aca="false">IFERROR(__xludf.dummyfunction("""COMPUTED_VALUE"""),13431248)</f>
        <v>13431248</v>
      </c>
    </row>
    <row r="1130" customFormat="false" ht="15.75" hidden="false" customHeight="false" outlineLevel="0" collapsed="false">
      <c r="A1130" s="9" t="n">
        <f aca="false">IFERROR(__xludf.dummyfunction("""COMPUTED_VALUE"""),45840.6666666667)</f>
        <v>45840.6666666667</v>
      </c>
      <c r="B1130" s="8" t="n">
        <f aca="false">IFERROR(__xludf.dummyfunction("""COMPUTED_VALUE"""),715.33)</f>
        <v>715.33</v>
      </c>
      <c r="C1130" s="8" t="n">
        <f aca="false">IFERROR(__xludf.dummyfunction("""COMPUTED_VALUE"""),720.3)</f>
        <v>720.3</v>
      </c>
      <c r="D1130" s="8" t="n">
        <f aca="false">IFERROR(__xludf.dummyfunction("""COMPUTED_VALUE"""),712.8)</f>
        <v>712.8</v>
      </c>
      <c r="E1130" s="8" t="n">
        <f aca="false">IFERROR(__xludf.dummyfunction("""COMPUTED_VALUE"""),713.57)</f>
        <v>713.57</v>
      </c>
      <c r="F1130" s="8" t="n">
        <f aca="false">IFERROR(__xludf.dummyfunction("""COMPUTED_VALUE"""),9336740)</f>
        <v>9336740</v>
      </c>
    </row>
    <row r="1131" customFormat="false" ht="15.75" hidden="false" customHeight="false" outlineLevel="0" collapsed="false">
      <c r="A1131" s="9" t="n">
        <f aca="false">IFERROR(__xludf.dummyfunction("""COMPUTED_VALUE"""),45841.5451388889)</f>
        <v>45841.5451388889</v>
      </c>
      <c r="B1131" s="8" t="n">
        <f aca="false">IFERROR(__xludf.dummyfunction("""COMPUTED_VALUE"""),726.61)</f>
        <v>726.61</v>
      </c>
      <c r="C1131" s="8" t="n">
        <f aca="false">IFERROR(__xludf.dummyfunction("""COMPUTED_VALUE"""),729.03)</f>
        <v>729.03</v>
      </c>
      <c r="D1131" s="8" t="n">
        <f aca="false">IFERROR(__xludf.dummyfunction("""COMPUTED_VALUE"""),714.42)</f>
        <v>714.42</v>
      </c>
      <c r="E1131" s="8" t="n">
        <f aca="false">IFERROR(__xludf.dummyfunction("""COMPUTED_VALUE"""),719.01)</f>
        <v>719.01</v>
      </c>
      <c r="F1131" s="8" t="n">
        <f aca="false">IFERROR(__xludf.dummyfunction("""COMPUTED_VALUE"""),8601653)</f>
        <v>8601653</v>
      </c>
    </row>
    <row r="1132" customFormat="false" ht="15.75" hidden="false" customHeight="false" outlineLevel="0" collapsed="false">
      <c r="A1132" s="9" t="n">
        <f aca="false">IFERROR(__xludf.dummyfunction("""COMPUTED_VALUE"""),45845.6666666667)</f>
        <v>45845.6666666667</v>
      </c>
      <c r="B1132" s="8" t="n">
        <f aca="false">IFERROR(__xludf.dummyfunction("""COMPUTED_VALUE"""),717.6)</f>
        <v>717.6</v>
      </c>
      <c r="C1132" s="8" t="n">
        <f aca="false">IFERROR(__xludf.dummyfunction("""COMPUTED_VALUE"""),727)</f>
        <v>727</v>
      </c>
      <c r="D1132" s="8" t="n">
        <f aca="false">IFERROR(__xludf.dummyfunction("""COMPUTED_VALUE"""),713.51)</f>
        <v>713.51</v>
      </c>
      <c r="E1132" s="8" t="n">
        <f aca="false">IFERROR(__xludf.dummyfunction("""COMPUTED_VALUE"""),718.35)</f>
        <v>718.35</v>
      </c>
      <c r="F1132" s="8" t="n">
        <f aca="false">IFERROR(__xludf.dummyfunction("""COMPUTED_VALUE"""),9457080)</f>
        <v>9457080</v>
      </c>
    </row>
    <row r="1133" customFormat="false" ht="15.75" hidden="false" customHeight="false" outlineLevel="0" collapsed="false">
      <c r="A1133" s="9" t="n">
        <f aca="false">IFERROR(__xludf.dummyfunction("""COMPUTED_VALUE"""),45846.6666666667)</f>
        <v>45846.6666666667</v>
      </c>
      <c r="B1133" s="8" t="n">
        <f aca="false">IFERROR(__xludf.dummyfunction("""COMPUTED_VALUE"""),721.57)</f>
        <v>721.57</v>
      </c>
      <c r="C1133" s="8" t="n">
        <f aca="false">IFERROR(__xludf.dummyfunction("""COMPUTED_VALUE"""),722.91)</f>
        <v>722.91</v>
      </c>
      <c r="D1133" s="8" t="n">
        <f aca="false">IFERROR(__xludf.dummyfunction("""COMPUTED_VALUE"""),714.81)</f>
        <v>714.81</v>
      </c>
      <c r="E1133" s="8" t="n">
        <f aca="false">IFERROR(__xludf.dummyfunction("""COMPUTED_VALUE"""),720.67)</f>
        <v>720.67</v>
      </c>
      <c r="F1133" s="8" t="n">
        <f aca="false">IFERROR(__xludf.dummyfunction("""COMPUTED_VALUE"""),7770693)</f>
        <v>7770693</v>
      </c>
    </row>
    <row r="1134" customFormat="false" ht="15.75" hidden="false" customHeight="false" outlineLevel="0" collapsed="false">
      <c r="A1134" s="9" t="n">
        <f aca="false">IFERROR(__xludf.dummyfunction("""COMPUTED_VALUE"""),45847.6666666667)</f>
        <v>45847.6666666667</v>
      </c>
      <c r="B1134" s="8" t="n">
        <f aca="false">IFERROR(__xludf.dummyfunction("""COMPUTED_VALUE"""),722.72)</f>
        <v>722.72</v>
      </c>
      <c r="C1134" s="8" t="n">
        <f aca="false">IFERROR(__xludf.dummyfunction("""COMPUTED_VALUE"""),737.53)</f>
        <v>737.53</v>
      </c>
      <c r="D1134" s="8" t="n">
        <f aca="false">IFERROR(__xludf.dummyfunction("""COMPUTED_VALUE"""),722.72)</f>
        <v>722.72</v>
      </c>
      <c r="E1134" s="8" t="n">
        <f aca="false">IFERROR(__xludf.dummyfunction("""COMPUTED_VALUE"""),732.78)</f>
        <v>732.78</v>
      </c>
      <c r="F1134" s="8" t="n">
        <f aca="false">IFERROR(__xludf.dummyfunction("""COMPUTED_VALUE"""),11417963)</f>
        <v>11417963</v>
      </c>
    </row>
    <row r="1135" customFormat="false" ht="15.75" hidden="false" customHeight="false" outlineLevel="0" collapsed="false">
      <c r="A1135" s="9" t="n">
        <f aca="false">IFERROR(__xludf.dummyfunction("""COMPUTED_VALUE"""),45848.6666666667)</f>
        <v>45848.6666666667</v>
      </c>
      <c r="B1135" s="8" t="n">
        <f aca="false">IFERROR(__xludf.dummyfunction("""COMPUTED_VALUE"""),731.55)</f>
        <v>731.55</v>
      </c>
      <c r="C1135" s="8" t="n">
        <f aca="false">IFERROR(__xludf.dummyfunction("""COMPUTED_VALUE"""),735.8)</f>
        <v>735.8</v>
      </c>
      <c r="D1135" s="8" t="n">
        <f aca="false">IFERROR(__xludf.dummyfunction("""COMPUTED_VALUE"""),719.6)</f>
        <v>719.6</v>
      </c>
      <c r="E1135" s="8" t="n">
        <f aca="false">IFERROR(__xludf.dummyfunction("""COMPUTED_VALUE"""),727.24)</f>
        <v>727.24</v>
      </c>
      <c r="F1135" s="8" t="n">
        <f aca="false">IFERROR(__xludf.dummyfunction("""COMPUTED_VALUE"""),9922249)</f>
        <v>9922249</v>
      </c>
    </row>
    <row r="1136" customFormat="false" ht="15.75" hidden="false" customHeight="false" outlineLevel="0" collapsed="false">
      <c r="A1136" s="9" t="n">
        <f aca="false">IFERROR(__xludf.dummyfunction("""COMPUTED_VALUE"""),45849.6666666667)</f>
        <v>45849.6666666667</v>
      </c>
      <c r="B1136" s="8" t="n">
        <f aca="false">IFERROR(__xludf.dummyfunction("""COMPUTED_VALUE"""),722.5)</f>
        <v>722.5</v>
      </c>
      <c r="C1136" s="8" t="n">
        <f aca="false">IFERROR(__xludf.dummyfunction("""COMPUTED_VALUE"""),725.16)</f>
        <v>725.16</v>
      </c>
      <c r="D1136" s="8" t="n">
        <f aca="false">IFERROR(__xludf.dummyfunction("""COMPUTED_VALUE"""),709.7)</f>
        <v>709.7</v>
      </c>
      <c r="E1136" s="8" t="n">
        <f aca="false">IFERROR(__xludf.dummyfunction("""COMPUTED_VALUE"""),717.51)</f>
        <v>717.51</v>
      </c>
      <c r="F1136" s="8" t="n">
        <f aca="false">IFERROR(__xludf.dummyfunction("""COMPUTED_VALUE"""),10873880)</f>
        <v>10873880</v>
      </c>
    </row>
    <row r="1137" customFormat="false" ht="15.75" hidden="false" customHeight="false" outlineLevel="0" collapsed="false">
      <c r="A1137" s="9" t="n">
        <f aca="false">IFERROR(__xludf.dummyfunction("""COMPUTED_VALUE"""),45852.6666666667)</f>
        <v>45852.6666666667</v>
      </c>
      <c r="B1137" s="8" t="n">
        <f aca="false">IFERROR(__xludf.dummyfunction("""COMPUTED_VALUE"""),717.6)</f>
        <v>717.6</v>
      </c>
      <c r="C1137" s="8" t="n">
        <f aca="false">IFERROR(__xludf.dummyfunction("""COMPUTED_VALUE"""),728)</f>
        <v>728</v>
      </c>
      <c r="D1137" s="8" t="n">
        <f aca="false">IFERROR(__xludf.dummyfunction("""COMPUTED_VALUE"""),716.55)</f>
        <v>716.55</v>
      </c>
      <c r="E1137" s="8" t="n">
        <f aca="false">IFERROR(__xludf.dummyfunction("""COMPUTED_VALUE"""),720.92)</f>
        <v>720.92</v>
      </c>
      <c r="F1137" s="8" t="n">
        <f aca="false">IFERROR(__xludf.dummyfunction("""COMPUTED_VALUE"""),8939399)</f>
        <v>8939399</v>
      </c>
    </row>
    <row r="1138" customFormat="false" ht="15.75" hidden="false" customHeight="false" outlineLevel="0" collapsed="false">
      <c r="A1138" s="9" t="n">
        <f aca="false">IFERROR(__xludf.dummyfunction("""COMPUTED_VALUE"""),45853.6666666667)</f>
        <v>45853.6666666667</v>
      </c>
      <c r="B1138" s="8" t="n">
        <f aca="false">IFERROR(__xludf.dummyfunction("""COMPUTED_VALUE"""),723.9)</f>
        <v>723.9</v>
      </c>
      <c r="C1138" s="8" t="n">
        <f aca="false">IFERROR(__xludf.dummyfunction("""COMPUTED_VALUE"""),724.47)</f>
        <v>724.47</v>
      </c>
      <c r="D1138" s="8" t="n">
        <f aca="false">IFERROR(__xludf.dummyfunction("""COMPUTED_VALUE"""),709.82)</f>
        <v>709.82</v>
      </c>
      <c r="E1138" s="8" t="n">
        <f aca="false">IFERROR(__xludf.dummyfunction("""COMPUTED_VALUE"""),710.39)</f>
        <v>710.39</v>
      </c>
      <c r="F1138" s="8" t="n">
        <f aca="false">IFERROR(__xludf.dummyfunction("""COMPUTED_VALUE"""),11529511)</f>
        <v>11529511</v>
      </c>
    </row>
    <row r="1139" customFormat="false" ht="15.75" hidden="false" customHeight="false" outlineLevel="0" collapsed="false">
      <c r="A1139" s="9" t="n">
        <f aca="false">IFERROR(__xludf.dummyfunction("""COMPUTED_VALUE"""),45854.6666666667)</f>
        <v>45854.6666666667</v>
      </c>
      <c r="B1139" s="8" t="n">
        <f aca="false">IFERROR(__xludf.dummyfunction("""COMPUTED_VALUE"""),713.37)</f>
        <v>713.37</v>
      </c>
      <c r="C1139" s="8" t="n">
        <f aca="false">IFERROR(__xludf.dummyfunction("""COMPUTED_VALUE"""),713.97)</f>
        <v>713.97</v>
      </c>
      <c r="D1139" s="8" t="n">
        <f aca="false">IFERROR(__xludf.dummyfunction("""COMPUTED_VALUE"""),699.27)</f>
        <v>699.27</v>
      </c>
      <c r="E1139" s="8" t="n">
        <f aca="false">IFERROR(__xludf.dummyfunction("""COMPUTED_VALUE"""),702.91)</f>
        <v>702.91</v>
      </c>
      <c r="F1139" s="8" t="n">
        <f aca="false">IFERROR(__xludf.dummyfunction("""COMPUTED_VALUE"""),13067627)</f>
        <v>13067627</v>
      </c>
    </row>
    <row r="1140" customFormat="false" ht="15.75" hidden="false" customHeight="false" outlineLevel="0" collapsed="false">
      <c r="A1140" s="9" t="n">
        <f aca="false">IFERROR(__xludf.dummyfunction("""COMPUTED_VALUE"""),45855.6666666667)</f>
        <v>45855.6666666667</v>
      </c>
      <c r="B1140" s="8" t="n">
        <f aca="false">IFERROR(__xludf.dummyfunction("""COMPUTED_VALUE"""),704.39)</f>
        <v>704.39</v>
      </c>
      <c r="C1140" s="8" t="n">
        <f aca="false">IFERROR(__xludf.dummyfunction("""COMPUTED_VALUE"""),705.9)</f>
        <v>705.9</v>
      </c>
      <c r="D1140" s="8" t="n">
        <f aca="false">IFERROR(__xludf.dummyfunction("""COMPUTED_VALUE"""),697.11)</f>
        <v>697.11</v>
      </c>
      <c r="E1140" s="8" t="n">
        <f aca="false">IFERROR(__xludf.dummyfunction("""COMPUTED_VALUE"""),701.41)</f>
        <v>701.41</v>
      </c>
      <c r="F1140" s="8" t="n">
        <f aca="false">IFERROR(__xludf.dummyfunction("""COMPUTED_VALUE"""),11803264)</f>
        <v>11803264</v>
      </c>
    </row>
    <row r="1141" customFormat="false" ht="15.75" hidden="false" customHeight="false" outlineLevel="0" collapsed="false">
      <c r="A1141" s="9" t="n">
        <f aca="false">IFERROR(__xludf.dummyfunction("""COMPUTED_VALUE"""),45856.6666666667)</f>
        <v>45856.6666666667</v>
      </c>
      <c r="B1141" s="8" t="n">
        <f aca="false">IFERROR(__xludf.dummyfunction("""COMPUTED_VALUE"""),702.19)</f>
        <v>702.19</v>
      </c>
      <c r="C1141" s="8" t="n">
        <f aca="false">IFERROR(__xludf.dummyfunction("""COMPUTED_VALUE"""),704.71)</f>
        <v>704.71</v>
      </c>
      <c r="D1141" s="8" t="n">
        <f aca="false">IFERROR(__xludf.dummyfunction("""COMPUTED_VALUE"""),691.65)</f>
        <v>691.65</v>
      </c>
      <c r="E1141" s="8" t="n">
        <f aca="false">IFERROR(__xludf.dummyfunction("""COMPUTED_VALUE"""),704.28)</f>
        <v>704.28</v>
      </c>
      <c r="F1141" s="8" t="n">
        <f aca="false">IFERROR(__xludf.dummyfunction("""COMPUTED_VALUE"""),12779752)</f>
        <v>12779752</v>
      </c>
    </row>
    <row r="1142" customFormat="false" ht="15.75" hidden="false" customHeight="false" outlineLevel="0" collapsed="false">
      <c r="A1142" s="9" t="n">
        <f aca="false">IFERROR(__xludf.dummyfunction("""COMPUTED_VALUE"""),45859.6666666667)</f>
        <v>45859.6666666667</v>
      </c>
      <c r="B1142" s="8" t="n">
        <f aca="false">IFERROR(__xludf.dummyfunction("""COMPUTED_VALUE"""),706.8)</f>
        <v>706.8</v>
      </c>
      <c r="C1142" s="8" t="n">
        <f aca="false">IFERROR(__xludf.dummyfunction("""COMPUTED_VALUE"""),717)</f>
        <v>717</v>
      </c>
      <c r="D1142" s="8" t="n">
        <f aca="false">IFERROR(__xludf.dummyfunction("""COMPUTED_VALUE"""),705.76)</f>
        <v>705.76</v>
      </c>
      <c r="E1142" s="8" t="n">
        <f aca="false">IFERROR(__xludf.dummyfunction("""COMPUTED_VALUE"""),712.97)</f>
        <v>712.97</v>
      </c>
      <c r="F1142" s="8" t="n">
        <f aca="false">IFERROR(__xludf.dummyfunction("""COMPUTED_VALUE"""),9404391)</f>
        <v>9404391</v>
      </c>
    </row>
    <row r="1143" customFormat="false" ht="15.75" hidden="false" customHeight="false" outlineLevel="0" collapsed="false">
      <c r="A1143" s="9" t="n">
        <f aca="false">IFERROR(__xludf.dummyfunction("""COMPUTED_VALUE"""),45860.6666666667)</f>
        <v>45860.6666666667</v>
      </c>
      <c r="B1143" s="8" t="n">
        <f aca="false">IFERROR(__xludf.dummyfunction("""COMPUTED_VALUE"""),716.19)</f>
        <v>716.19</v>
      </c>
      <c r="C1143" s="8" t="n">
        <f aca="false">IFERROR(__xludf.dummyfunction("""COMPUTED_VALUE"""),716.6)</f>
        <v>716.6</v>
      </c>
      <c r="D1143" s="8" t="n">
        <f aca="false">IFERROR(__xludf.dummyfunction("""COMPUTED_VALUE"""),701.41)</f>
        <v>701.41</v>
      </c>
      <c r="E1143" s="8" t="n">
        <f aca="false">IFERROR(__xludf.dummyfunction("""COMPUTED_VALUE"""),704.81)</f>
        <v>704.81</v>
      </c>
      <c r="F1143" s="8" t="n">
        <f aca="false">IFERROR(__xludf.dummyfunction("""COMPUTED_VALUE"""),8921064)</f>
        <v>8921064</v>
      </c>
    </row>
    <row r="1144" customFormat="false" ht="15.75" hidden="false" customHeight="false" outlineLevel="0" collapsed="false">
      <c r="A1144" s="9" t="n">
        <f aca="false">IFERROR(__xludf.dummyfunction("""COMPUTED_VALUE"""),45861.6666666667)</f>
        <v>45861.6666666667</v>
      </c>
      <c r="B1144" s="8" t="n">
        <f aca="false">IFERROR(__xludf.dummyfunction("""COMPUTED_VALUE"""),706.37)</f>
        <v>706.37</v>
      </c>
      <c r="C1144" s="8" t="n">
        <f aca="false">IFERROR(__xludf.dummyfunction("""COMPUTED_VALUE"""),714.63)</f>
        <v>714.63</v>
      </c>
      <c r="D1144" s="8" t="n">
        <f aca="false">IFERROR(__xludf.dummyfunction("""COMPUTED_VALUE"""),704.93)</f>
        <v>704.93</v>
      </c>
      <c r="E1144" s="8" t="n">
        <f aca="false">IFERROR(__xludf.dummyfunction("""COMPUTED_VALUE"""),713.58)</f>
        <v>713.58</v>
      </c>
      <c r="F1144" s="8" t="n">
        <f aca="false">IFERROR(__xludf.dummyfunction("""COMPUTED_VALUE"""),8771615)</f>
        <v>8771615</v>
      </c>
    </row>
    <row r="1145" customFormat="false" ht="15.75" hidden="false" customHeight="false" outlineLevel="0" collapsed="false">
      <c r="A1145" s="9" t="n">
        <f aca="false">IFERROR(__xludf.dummyfunction("""COMPUTED_VALUE"""),45862.6666666667)</f>
        <v>45862.6666666667</v>
      </c>
      <c r="B1145" s="8" t="n">
        <f aca="false">IFERROR(__xludf.dummyfunction("""COMPUTED_VALUE"""),717.05)</f>
        <v>717.05</v>
      </c>
      <c r="C1145" s="8" t="n">
        <f aca="false">IFERROR(__xludf.dummyfunction("""COMPUTED_VALUE"""),723.62)</f>
        <v>723.62</v>
      </c>
      <c r="D1145" s="8" t="n">
        <f aca="false">IFERROR(__xludf.dummyfunction("""COMPUTED_VALUE"""),714)</f>
        <v>714</v>
      </c>
      <c r="E1145" s="8" t="n">
        <f aca="false">IFERROR(__xludf.dummyfunction("""COMPUTED_VALUE"""),714.8)</f>
        <v>714.8</v>
      </c>
      <c r="F1145" s="8" t="n">
        <f aca="false">IFERROR(__xludf.dummyfunction("""COMPUTED_VALUE"""),10920836)</f>
        <v>10920836</v>
      </c>
    </row>
    <row r="1146" customFormat="false" ht="15.75" hidden="false" customHeight="false" outlineLevel="0" collapsed="false">
      <c r="A1146" s="9" t="n">
        <f aca="false">IFERROR(__xludf.dummyfunction("""COMPUTED_VALUE"""),45863.6666666667)</f>
        <v>45863.6666666667</v>
      </c>
      <c r="B1146" s="8" t="n">
        <f aca="false">IFERROR(__xludf.dummyfunction("""COMPUTED_VALUE"""),716.92)</f>
        <v>716.92</v>
      </c>
      <c r="C1146" s="8" t="n">
        <f aca="false">IFERROR(__xludf.dummyfunction("""COMPUTED_VALUE"""),720.65)</f>
        <v>720.65</v>
      </c>
      <c r="D1146" s="8" t="n">
        <f aca="false">IFERROR(__xludf.dummyfunction("""COMPUTED_VALUE"""),711.9)</f>
        <v>711.9</v>
      </c>
      <c r="E1146" s="8" t="n">
        <f aca="false">IFERROR(__xludf.dummyfunction("""COMPUTED_VALUE"""),712.68)</f>
        <v>712.68</v>
      </c>
      <c r="F1146" s="8" t="n">
        <f aca="false">IFERROR(__xludf.dummyfunction("""COMPUTED_VALUE"""),8271698)</f>
        <v>8271698</v>
      </c>
    </row>
    <row r="1147" customFormat="false" ht="15.75" hidden="false" customHeight="false" outlineLevel="0" collapsed="false">
      <c r="A1147" s="9" t="n">
        <f aca="false">IFERROR(__xludf.dummyfunction("""COMPUTED_VALUE"""),45866.6666666667)</f>
        <v>45866.6666666667</v>
      </c>
      <c r="B1147" s="8" t="n">
        <f aca="false">IFERROR(__xludf.dummyfunction("""COMPUTED_VALUE"""),715.2)</f>
        <v>715.2</v>
      </c>
      <c r="C1147" s="8" t="n">
        <f aca="false">IFERROR(__xludf.dummyfunction("""COMPUTED_VALUE"""),724.74)</f>
        <v>724.74</v>
      </c>
      <c r="D1147" s="8" t="n">
        <f aca="false">IFERROR(__xludf.dummyfunction("""COMPUTED_VALUE"""),712.68)</f>
        <v>712.68</v>
      </c>
      <c r="E1147" s="8" t="n">
        <f aca="false">IFERROR(__xludf.dummyfunction("""COMPUTED_VALUE"""),717.63)</f>
        <v>717.63</v>
      </c>
      <c r="F1147" s="8" t="n">
        <f aca="false">IFERROR(__xludf.dummyfunction("""COMPUTED_VALUE"""),8715743)</f>
        <v>8715743</v>
      </c>
    </row>
    <row r="1148" customFormat="false" ht="15.75" hidden="false" customHeight="false" outlineLevel="0" collapsed="false">
      <c r="A1148" s="9" t="n">
        <f aca="false">IFERROR(__xludf.dummyfunction("""COMPUTED_VALUE"""),45867.6666666667)</f>
        <v>45867.6666666667</v>
      </c>
      <c r="B1148" s="8" t="n">
        <f aca="false">IFERROR(__xludf.dummyfunction("""COMPUTED_VALUE"""),720)</f>
        <v>720</v>
      </c>
      <c r="C1148" s="8" t="n">
        <f aca="false">IFERROR(__xludf.dummyfunction("""COMPUTED_VALUE"""),724.47)</f>
        <v>724.47</v>
      </c>
      <c r="D1148" s="8" t="n">
        <f aca="false">IFERROR(__xludf.dummyfunction("""COMPUTED_VALUE"""),699.91)</f>
        <v>699.91</v>
      </c>
      <c r="E1148" s="8" t="n">
        <f aca="false">IFERROR(__xludf.dummyfunction("""COMPUTED_VALUE"""),700)</f>
        <v>700</v>
      </c>
      <c r="F1148" s="8" t="n">
        <f aca="false">IFERROR(__xludf.dummyfunction("""COMPUTED_VALUE"""),13267032)</f>
        <v>13267032</v>
      </c>
    </row>
    <row r="1149" customFormat="false" ht="15.75" hidden="false" customHeight="false" outlineLevel="0" collapsed="false">
      <c r="A1149" s="9" t="n">
        <f aca="false">IFERROR(__xludf.dummyfunction("""COMPUTED_VALUE"""),45868.6666666667)</f>
        <v>45868.6666666667</v>
      </c>
      <c r="B1149" s="8" t="n">
        <f aca="false">IFERROR(__xludf.dummyfunction("""COMPUTED_VALUE"""),708.09)</f>
        <v>708.09</v>
      </c>
      <c r="C1149" s="8" t="n">
        <f aca="false">IFERROR(__xludf.dummyfunction("""COMPUTED_VALUE"""),708.5)</f>
        <v>708.5</v>
      </c>
      <c r="D1149" s="8" t="n">
        <f aca="false">IFERROR(__xludf.dummyfunction("""COMPUTED_VALUE"""),691.2)</f>
        <v>691.2</v>
      </c>
      <c r="E1149" s="8" t="n">
        <f aca="false">IFERROR(__xludf.dummyfunction("""COMPUTED_VALUE"""),695.21)</f>
        <v>695.21</v>
      </c>
      <c r="F1149" s="8" t="n">
        <f aca="false">IFERROR(__xludf.dummyfunction("""COMPUTED_VALUE"""),27077286)</f>
        <v>27077286</v>
      </c>
    </row>
    <row r="1150" customFormat="false" ht="15.75" hidden="false" customHeight="false" outlineLevel="0" collapsed="false">
      <c r="A1150" s="9" t="n">
        <f aca="false">IFERROR(__xludf.dummyfunction("""COMPUTED_VALUE"""),45869.6666666667)</f>
        <v>45869.6666666667</v>
      </c>
      <c r="B1150" s="8" t="n">
        <f aca="false">IFERROR(__xludf.dummyfunction("""COMPUTED_VALUE"""),775.2)</f>
        <v>775.2</v>
      </c>
      <c r="C1150" s="8" t="n">
        <f aca="false">IFERROR(__xludf.dummyfunction("""COMPUTED_VALUE"""),784.75)</f>
        <v>784.75</v>
      </c>
      <c r="D1150" s="8" t="n">
        <f aca="false">IFERROR(__xludf.dummyfunction("""COMPUTED_VALUE"""),765.51)</f>
        <v>765.51</v>
      </c>
      <c r="E1150" s="8" t="n">
        <f aca="false">IFERROR(__xludf.dummyfunction("""COMPUTED_VALUE"""),773.44)</f>
        <v>773.44</v>
      </c>
      <c r="F1150" s="8" t="n">
        <f aca="false">IFERROR(__xludf.dummyfunction("""COMPUTED_VALUE"""),38831098)</f>
        <v>38831098</v>
      </c>
    </row>
    <row r="1151" customFormat="false" ht="15.75" hidden="false" customHeight="false" outlineLevel="0" collapsed="false">
      <c r="A1151" s="9" t="n">
        <f aca="false">IFERROR(__xludf.dummyfunction("""COMPUTED_VALUE"""),45870.6666666667)</f>
        <v>45870.6666666667</v>
      </c>
      <c r="B1151" s="8" t="n">
        <f aca="false">IFERROR(__xludf.dummyfunction("""COMPUTED_VALUE"""),760.73)</f>
        <v>760.73</v>
      </c>
      <c r="C1151" s="8" t="n">
        <f aca="false">IFERROR(__xludf.dummyfunction("""COMPUTED_VALUE"""),766)</f>
        <v>766</v>
      </c>
      <c r="D1151" s="8" t="n">
        <f aca="false">IFERROR(__xludf.dummyfunction("""COMPUTED_VALUE"""),745.31)</f>
        <v>745.31</v>
      </c>
      <c r="E1151" s="8" t="n">
        <f aca="false">IFERROR(__xludf.dummyfunction("""COMPUTED_VALUE"""),750.01)</f>
        <v>750.01</v>
      </c>
      <c r="F1151" s="8" t="n">
        <f aca="false">IFERROR(__xludf.dummyfunction("""COMPUTED_VALUE"""),19028710)</f>
        <v>19028710</v>
      </c>
    </row>
    <row r="1152" customFormat="false" ht="15.75" hidden="false" customHeight="false" outlineLevel="0" collapsed="false">
      <c r="A1152" s="9" t="n">
        <f aca="false">IFERROR(__xludf.dummyfunction("""COMPUTED_VALUE"""),45873.6666666667)</f>
        <v>45873.6666666667</v>
      </c>
      <c r="B1152" s="8" t="n">
        <f aca="false">IFERROR(__xludf.dummyfunction("""COMPUTED_VALUE"""),760)</f>
        <v>760</v>
      </c>
      <c r="C1152" s="8" t="n">
        <f aca="false">IFERROR(__xludf.dummyfunction("""COMPUTED_VALUE"""),776.85)</f>
        <v>776.85</v>
      </c>
      <c r="D1152" s="8" t="n">
        <f aca="false">IFERROR(__xludf.dummyfunction("""COMPUTED_VALUE"""),758.41)</f>
        <v>758.41</v>
      </c>
      <c r="E1152" s="8" t="n">
        <f aca="false">IFERROR(__xludf.dummyfunction("""COMPUTED_VALUE"""),776.37)</f>
        <v>776.37</v>
      </c>
      <c r="F1152" s="8" t="n">
        <f aca="false">IFERROR(__xludf.dummyfunction("""COMPUTED_VALUE"""),15801727)</f>
        <v>15801727</v>
      </c>
    </row>
    <row r="1153" customFormat="false" ht="15.75" hidden="false" customHeight="false" outlineLevel="0" collapsed="false">
      <c r="A1153" s="9" t="n">
        <f aca="false">IFERROR(__xludf.dummyfunction("""COMPUTED_VALUE"""),45874.6666666667)</f>
        <v>45874.6666666667</v>
      </c>
      <c r="B1153" s="8" t="n">
        <f aca="false">IFERROR(__xludf.dummyfunction("""COMPUTED_VALUE"""),776.45)</f>
        <v>776.45</v>
      </c>
      <c r="C1153" s="8" t="n">
        <f aca="false">IFERROR(__xludf.dummyfunction("""COMPUTED_VALUE"""),783.13)</f>
        <v>783.13</v>
      </c>
      <c r="D1153" s="8" t="n">
        <f aca="false">IFERROR(__xludf.dummyfunction("""COMPUTED_VALUE"""),763)</f>
        <v>763</v>
      </c>
      <c r="E1153" s="8" t="n">
        <f aca="false">IFERROR(__xludf.dummyfunction("""COMPUTED_VALUE"""),763.46)</f>
        <v>763.46</v>
      </c>
      <c r="F1153" s="8" t="n">
        <f aca="false">IFERROR(__xludf.dummyfunction("""COMPUTED_VALUE"""),11640294)</f>
        <v>11640294</v>
      </c>
    </row>
    <row r="1154" customFormat="false" ht="15.75" hidden="false" customHeight="false" outlineLevel="0" collapsed="false">
      <c r="A1154" s="9" t="n">
        <f aca="false">IFERROR(__xludf.dummyfunction("""COMPUTED_VALUE"""),45875.6666666667)</f>
        <v>45875.6666666667</v>
      </c>
      <c r="B1154" s="8" t="n">
        <f aca="false">IFERROR(__xludf.dummyfunction("""COMPUTED_VALUE"""),770)</f>
        <v>770</v>
      </c>
      <c r="C1154" s="8" t="n">
        <f aca="false">IFERROR(__xludf.dummyfunction("""COMPUTED_VALUE"""),773.64)</f>
        <v>773.64</v>
      </c>
      <c r="D1154" s="8" t="n">
        <f aca="false">IFERROR(__xludf.dummyfunction("""COMPUTED_VALUE"""),760.46)</f>
        <v>760.46</v>
      </c>
      <c r="E1154" s="8" t="n">
        <f aca="false">IFERROR(__xludf.dummyfunction("""COMPUTED_VALUE"""),771.99)</f>
        <v>771.99</v>
      </c>
      <c r="F1154" s="8" t="n">
        <f aca="false">IFERROR(__xludf.dummyfunction("""COMPUTED_VALUE"""),9733910)</f>
        <v>9733910</v>
      </c>
    </row>
    <row r="1155" customFormat="false" ht="15.75" hidden="false" customHeight="false" outlineLevel="0" collapsed="false">
      <c r="A1155" s="9" t="n">
        <f aca="false">IFERROR(__xludf.dummyfunction("""COMPUTED_VALUE"""),45876.6666666667)</f>
        <v>45876.6666666667</v>
      </c>
      <c r="B1155" s="8" t="n">
        <f aca="false">IFERROR(__xludf.dummyfunction("""COMPUTED_VALUE"""),773.49)</f>
        <v>773.49</v>
      </c>
      <c r="C1155" s="8" t="n">
        <f aca="false">IFERROR(__xludf.dummyfunction("""COMPUTED_VALUE"""),775)</f>
        <v>775</v>
      </c>
      <c r="D1155" s="8" t="n">
        <f aca="false">IFERROR(__xludf.dummyfunction("""COMPUTED_VALUE"""),759.55)</f>
        <v>759.55</v>
      </c>
      <c r="E1155" s="8" t="n">
        <f aca="false">IFERROR(__xludf.dummyfunction("""COMPUTED_VALUE"""),761.83)</f>
        <v>761.83</v>
      </c>
      <c r="F1155" s="8" t="n">
        <f aca="false">IFERROR(__xludf.dummyfunction("""COMPUTED_VALUE"""),9019691)</f>
        <v>9019691</v>
      </c>
    </row>
    <row r="1156" customFormat="false" ht="15.75" hidden="false" customHeight="false" outlineLevel="0" collapsed="false">
      <c r="A1156" s="9" t="n">
        <f aca="false">IFERROR(__xludf.dummyfunction("""COMPUTED_VALUE"""),45877.6666666667)</f>
        <v>45877.6666666667</v>
      </c>
      <c r="B1156" s="8" t="n">
        <f aca="false">IFERROR(__xludf.dummyfunction("""COMPUTED_VALUE"""),762.75)</f>
        <v>762.75</v>
      </c>
      <c r="C1156" s="8" t="n">
        <f aca="false">IFERROR(__xludf.dummyfunction("""COMPUTED_VALUE"""),769.9)</f>
        <v>769.9</v>
      </c>
      <c r="D1156" s="8" t="n">
        <f aca="false">IFERROR(__xludf.dummyfunction("""COMPUTED_VALUE"""),758.58)</f>
        <v>758.58</v>
      </c>
      <c r="E1156" s="8" t="n">
        <f aca="false">IFERROR(__xludf.dummyfunction("""COMPUTED_VALUE"""),769.3)</f>
        <v>769.3</v>
      </c>
      <c r="F1156" s="8" t="n">
        <f aca="false">IFERROR(__xludf.dummyfunction("""COMPUTED_VALUE"""),7320755)</f>
        <v>7320755</v>
      </c>
    </row>
    <row r="1157" customFormat="false" ht="15.75" hidden="false" customHeight="false" outlineLevel="0" collapsed="false">
      <c r="A1157" s="9" t="n">
        <f aca="false">IFERROR(__xludf.dummyfunction("""COMPUTED_VALUE"""),45880.6666666667)</f>
        <v>45880.6666666667</v>
      </c>
      <c r="B1157" s="8" t="n">
        <f aca="false">IFERROR(__xludf.dummyfunction("""COMPUTED_VALUE"""),770.08)</f>
        <v>770.08</v>
      </c>
      <c r="C1157" s="8" t="n">
        <f aca="false">IFERROR(__xludf.dummyfunction("""COMPUTED_VALUE"""),773.46)</f>
        <v>773.46</v>
      </c>
      <c r="D1157" s="8" t="n">
        <f aca="false">IFERROR(__xludf.dummyfunction("""COMPUTED_VALUE"""),764.67)</f>
        <v>764.67</v>
      </c>
      <c r="E1157" s="8" t="n">
        <f aca="false">IFERROR(__xludf.dummyfunction("""COMPUTED_VALUE"""),765.87)</f>
        <v>765.87</v>
      </c>
      <c r="F1157" s="8" t="n">
        <f aca="false">IFERROR(__xludf.dummyfunction("""COMPUTED_VALUE"""),7611964)</f>
        <v>7611964</v>
      </c>
    </row>
    <row r="1158" customFormat="false" ht="15.75" hidden="false" customHeight="false" outlineLevel="0" collapsed="false">
      <c r="A1158" s="9" t="n">
        <f aca="false">IFERROR(__xludf.dummyfunction("""COMPUTED_VALUE"""),45881.6666666667)</f>
        <v>45881.6666666667</v>
      </c>
      <c r="B1158" s="8" t="n">
        <f aca="false">IFERROR(__xludf.dummyfunction("""COMPUTED_VALUE"""),773)</f>
        <v>773</v>
      </c>
      <c r="C1158" s="8" t="n">
        <f aca="false">IFERROR(__xludf.dummyfunction("""COMPUTED_VALUE"""),793.67)</f>
        <v>793.67</v>
      </c>
      <c r="D1158" s="8" t="n">
        <f aca="false">IFERROR(__xludf.dummyfunction("""COMPUTED_VALUE"""),772.43)</f>
        <v>772.43</v>
      </c>
      <c r="E1158" s="8" t="n">
        <f aca="false">IFERROR(__xludf.dummyfunction("""COMPUTED_VALUE"""),790)</f>
        <v>790</v>
      </c>
      <c r="F1158" s="8" t="n">
        <f aca="false">IFERROR(__xludf.dummyfunction("""COMPUTED_VALUE"""),14579765)</f>
        <v>14579765</v>
      </c>
    </row>
    <row r="1159" customFormat="false" ht="15.75" hidden="false" customHeight="false" outlineLevel="0" collapsed="false">
      <c r="A1159" s="9" t="n">
        <f aca="false">IFERROR(__xludf.dummyfunction("""COMPUTED_VALUE"""),45882.6666666667)</f>
        <v>45882.6666666667</v>
      </c>
      <c r="B1159" s="8" t="n">
        <f aca="false">IFERROR(__xludf.dummyfunction("""COMPUTED_VALUE"""),791.15)</f>
        <v>791.15</v>
      </c>
      <c r="C1159" s="8" t="n">
        <f aca="false">IFERROR(__xludf.dummyfunction("""COMPUTED_VALUE"""),795.46)</f>
        <v>795.46</v>
      </c>
      <c r="D1159" s="8" t="n">
        <f aca="false">IFERROR(__xludf.dummyfunction("""COMPUTED_VALUE"""),778.23)</f>
        <v>778.23</v>
      </c>
      <c r="E1159" s="8" t="n">
        <f aca="false">IFERROR(__xludf.dummyfunction("""COMPUTED_VALUE"""),780.08)</f>
        <v>780.08</v>
      </c>
      <c r="F1159" s="8" t="n">
        <f aca="false">IFERROR(__xludf.dummyfunction("""COMPUTED_VALUE"""),8811750)</f>
        <v>8811750</v>
      </c>
    </row>
    <row r="1160" customFormat="false" ht="15.75" hidden="false" customHeight="false" outlineLevel="0" collapsed="false">
      <c r="A1160" s="9" t="n">
        <f aca="false">IFERROR(__xludf.dummyfunction("""COMPUTED_VALUE"""),45883.6666666667)</f>
        <v>45883.6666666667</v>
      </c>
      <c r="B1160" s="8" t="n">
        <f aca="false">IFERROR(__xludf.dummyfunction("""COMPUTED_VALUE"""),777.88)</f>
        <v>777.88</v>
      </c>
      <c r="C1160" s="8" t="n">
        <f aca="false">IFERROR(__xludf.dummyfunction("""COMPUTED_VALUE"""),787.81)</f>
        <v>787.81</v>
      </c>
      <c r="D1160" s="8" t="n">
        <f aca="false">IFERROR(__xludf.dummyfunction("""COMPUTED_VALUE"""),772.51)</f>
        <v>772.51</v>
      </c>
      <c r="E1160" s="8" t="n">
        <f aca="false">IFERROR(__xludf.dummyfunction("""COMPUTED_VALUE"""),782.13)</f>
        <v>782.13</v>
      </c>
      <c r="F1160" s="8" t="n">
        <f aca="false">IFERROR(__xludf.dummyfunction("""COMPUTED_VALUE"""),8116193)</f>
        <v>8116193</v>
      </c>
    </row>
    <row r="1161" customFormat="false" ht="15.75" hidden="false" customHeight="false" outlineLevel="0" collapsed="false">
      <c r="A1161" s="9" t="n">
        <f aca="false">IFERROR(__xludf.dummyfunction("""COMPUTED_VALUE"""),45884.6666666667)</f>
        <v>45884.6666666667</v>
      </c>
      <c r="B1161" s="8" t="n">
        <f aca="false">IFERROR(__xludf.dummyfunction("""COMPUTED_VALUE"""),784.15)</f>
        <v>784.15</v>
      </c>
      <c r="C1161" s="8" t="n">
        <f aca="false">IFERROR(__xludf.dummyfunction("""COMPUTED_VALUE"""),796.25)</f>
        <v>796.25</v>
      </c>
      <c r="D1161" s="8" t="n">
        <f aca="false">IFERROR(__xludf.dummyfunction("""COMPUTED_VALUE"""),780.82)</f>
        <v>780.82</v>
      </c>
      <c r="E1161" s="8" t="n">
        <f aca="false">IFERROR(__xludf.dummyfunction("""COMPUTED_VALUE"""),785.23)</f>
        <v>785.23</v>
      </c>
      <c r="F1161" s="8" t="n">
        <f aca="false">IFERROR(__xludf.dummyfunction("""COMPUTED_VALUE"""),13375361)</f>
        <v>13375361</v>
      </c>
    </row>
    <row r="1162" customFormat="false" ht="15.75" hidden="false" customHeight="false" outlineLevel="0" collapsed="false">
      <c r="A1162" s="9" t="n">
        <f aca="false">IFERROR(__xludf.dummyfunction("""COMPUTED_VALUE"""),45887.6666666667)</f>
        <v>45887.6666666667</v>
      </c>
      <c r="B1162" s="8" t="n">
        <f aca="false">IFERROR(__xludf.dummyfunction("""COMPUTED_VALUE"""),775.09)</f>
        <v>775.09</v>
      </c>
      <c r="C1162" s="8" t="n">
        <f aca="false">IFERROR(__xludf.dummyfunction("""COMPUTED_VALUE"""),775.81)</f>
        <v>775.81</v>
      </c>
      <c r="D1162" s="8" t="n">
        <f aca="false">IFERROR(__xludf.dummyfunction("""COMPUTED_VALUE"""),756.56)</f>
        <v>756.56</v>
      </c>
      <c r="E1162" s="8" t="n">
        <f aca="false">IFERROR(__xludf.dummyfunction("""COMPUTED_VALUE"""),767.37)</f>
        <v>767.37</v>
      </c>
      <c r="F1162" s="8" t="n">
        <f aca="false">IFERROR(__xludf.dummyfunction("""COMPUTED_VALUE"""),16513737)</f>
        <v>16513737</v>
      </c>
    </row>
    <row r="1163" customFormat="false" ht="15.75" hidden="false" customHeight="false" outlineLevel="0" collapsed="false">
      <c r="A1163" s="9" t="n">
        <f aca="false">IFERROR(__xludf.dummyfunction("""COMPUTED_VALUE"""),45888.6666666667)</f>
        <v>45888.6666666667</v>
      </c>
      <c r="B1163" s="8" t="n">
        <f aca="false">IFERROR(__xludf.dummyfunction("""COMPUTED_VALUE"""),767.12)</f>
        <v>767.12</v>
      </c>
      <c r="C1163" s="8" t="n">
        <f aca="false">IFERROR(__xludf.dummyfunction("""COMPUTED_VALUE"""),767.17)</f>
        <v>767.17</v>
      </c>
      <c r="D1163" s="8" t="n">
        <f aca="false">IFERROR(__xludf.dummyfunction("""COMPUTED_VALUE"""),749.36)</f>
        <v>749.36</v>
      </c>
      <c r="E1163" s="8" t="n">
        <f aca="false">IFERROR(__xludf.dummyfunction("""COMPUTED_VALUE"""),751.48)</f>
        <v>751.48</v>
      </c>
      <c r="F1163" s="8" t="n">
        <f aca="false">IFERROR(__xludf.dummyfunction("""COMPUTED_VALUE"""),12286690)</f>
        <v>12286690</v>
      </c>
    </row>
    <row r="1164" customFormat="false" ht="15.75" hidden="false" customHeight="false" outlineLevel="0" collapsed="false">
      <c r="A1164" s="9" t="n">
        <f aca="false">IFERROR(__xludf.dummyfunction("""COMPUTED_VALUE"""),45889.6666666667)</f>
        <v>45889.6666666667</v>
      </c>
      <c r="B1164" s="8" t="n">
        <f aca="false">IFERROR(__xludf.dummyfunction("""COMPUTED_VALUE"""),747.57)</f>
        <v>747.57</v>
      </c>
      <c r="C1164" s="8" t="n">
        <f aca="false">IFERROR(__xludf.dummyfunction("""COMPUTED_VALUE"""),750.2)</f>
        <v>750.2</v>
      </c>
      <c r="D1164" s="8" t="n">
        <f aca="false">IFERROR(__xludf.dummyfunction("""COMPUTED_VALUE"""),731)</f>
        <v>731</v>
      </c>
      <c r="E1164" s="8" t="n">
        <f aca="false">IFERROR(__xludf.dummyfunction("""COMPUTED_VALUE"""),747.72)</f>
        <v>747.72</v>
      </c>
      <c r="F1164" s="8" t="n">
        <f aca="false">IFERROR(__xludf.dummyfunction("""COMPUTED_VALUE"""),11898190)</f>
        <v>11898190</v>
      </c>
    </row>
    <row r="1165" customFormat="false" ht="15.75" hidden="false" customHeight="false" outlineLevel="0" collapsed="false">
      <c r="A1165" s="9" t="n">
        <f aca="false">IFERROR(__xludf.dummyfunction("""COMPUTED_VALUE"""),45890.6666666667)</f>
        <v>45890.6666666667</v>
      </c>
      <c r="B1165" s="8" t="n">
        <f aca="false">IFERROR(__xludf.dummyfunction("""COMPUTED_VALUE"""),744.71)</f>
        <v>744.71</v>
      </c>
      <c r="C1165" s="8" t="n">
        <f aca="false">IFERROR(__xludf.dummyfunction("""COMPUTED_VALUE"""),745.5)</f>
        <v>745.5</v>
      </c>
      <c r="D1165" s="8" t="n">
        <f aca="false">IFERROR(__xludf.dummyfunction("""COMPUTED_VALUE"""),733.11)</f>
        <v>733.11</v>
      </c>
      <c r="E1165" s="8" t="n">
        <f aca="false">IFERROR(__xludf.dummyfunction("""COMPUTED_VALUE"""),739.1)</f>
        <v>739.1</v>
      </c>
      <c r="F1165" s="8" t="n">
        <f aca="false">IFERROR(__xludf.dummyfunction("""COMPUTED_VALUE"""),8876307)</f>
        <v>8876307</v>
      </c>
    </row>
    <row r="1166" customFormat="false" ht="15.75" hidden="false" customHeight="false" outlineLevel="0" collapsed="false">
      <c r="A1166" s="9" t="n">
        <f aca="false">IFERROR(__xludf.dummyfunction("""COMPUTED_VALUE"""),45891.6666666667)</f>
        <v>45891.6666666667</v>
      </c>
      <c r="B1166" s="8" t="n">
        <f aca="false">IFERROR(__xludf.dummyfunction("""COMPUTED_VALUE"""),739.23)</f>
        <v>739.23</v>
      </c>
      <c r="C1166" s="8" t="n">
        <f aca="false">IFERROR(__xludf.dummyfunction("""COMPUTED_VALUE"""),756.9)</f>
        <v>756.9</v>
      </c>
      <c r="D1166" s="8" t="n">
        <f aca="false">IFERROR(__xludf.dummyfunction("""COMPUTED_VALUE"""),734.39)</f>
        <v>734.39</v>
      </c>
      <c r="E1166" s="8" t="n">
        <f aca="false">IFERROR(__xludf.dummyfunction("""COMPUTED_VALUE"""),754.79)</f>
        <v>754.79</v>
      </c>
      <c r="F1166" s="8" t="n">
        <f aca="false">IFERROR(__xludf.dummyfunction("""COMPUTED_VALUE"""),10612667)</f>
        <v>10612667</v>
      </c>
    </row>
    <row r="1167" customFormat="false" ht="15.75" hidden="false" customHeight="false" outlineLevel="0" collapsed="false">
      <c r="A1167" s="9" t="n">
        <f aca="false">IFERROR(__xludf.dummyfunction("""COMPUTED_VALUE"""),45894.6666666667)</f>
        <v>45894.6666666667</v>
      </c>
      <c r="B1167" s="8" t="n">
        <f aca="false">IFERROR(__xludf.dummyfunction("""COMPUTED_VALUE"""),754.82)</f>
        <v>754.82</v>
      </c>
      <c r="C1167" s="8" t="n">
        <f aca="false">IFERROR(__xludf.dummyfunction("""COMPUTED_VALUE"""),758.88)</f>
        <v>758.88</v>
      </c>
      <c r="D1167" s="8" t="n">
        <f aca="false">IFERROR(__xludf.dummyfunction("""COMPUTED_VALUE"""),750.13)</f>
        <v>750.13</v>
      </c>
      <c r="E1167" s="8" t="n">
        <f aca="false">IFERROR(__xludf.dummyfunction("""COMPUTED_VALUE"""),753.3)</f>
        <v>753.3</v>
      </c>
      <c r="F1167" s="8" t="n">
        <f aca="false">IFERROR(__xludf.dummyfunction("""COMPUTED_VALUE"""),6861158)</f>
        <v>6861158</v>
      </c>
    </row>
    <row r="1168" customFormat="false" ht="15.75" hidden="false" customHeight="false" outlineLevel="0" collapsed="false">
      <c r="A1168" s="9" t="n">
        <f aca="false">IFERROR(__xludf.dummyfunction("""COMPUTED_VALUE"""),45895.6666666667)</f>
        <v>45895.6666666667</v>
      </c>
      <c r="B1168" s="8" t="n">
        <f aca="false">IFERROR(__xludf.dummyfunction("""COMPUTED_VALUE"""),750.8)</f>
        <v>750.8</v>
      </c>
      <c r="C1168" s="8" t="n">
        <f aca="false">IFERROR(__xludf.dummyfunction("""COMPUTED_VALUE"""),754.87)</f>
        <v>754.87</v>
      </c>
      <c r="D1168" s="8" t="n">
        <f aca="false">IFERROR(__xludf.dummyfunction("""COMPUTED_VALUE"""),747.94)</f>
        <v>747.94</v>
      </c>
      <c r="E1168" s="8" t="n">
        <f aca="false">IFERROR(__xludf.dummyfunction("""COMPUTED_VALUE"""),754.1)</f>
        <v>754.1</v>
      </c>
      <c r="F1168" s="8" t="n">
        <f aca="false">IFERROR(__xludf.dummyfunction("""COMPUTED_VALUE"""),7601800)</f>
        <v>7601800</v>
      </c>
    </row>
    <row r="1169" customFormat="false" ht="15.75" hidden="false" customHeight="false" outlineLevel="0" collapsed="false">
      <c r="A1169" s="9" t="n">
        <f aca="false">IFERROR(__xludf.dummyfunction("""COMPUTED_VALUE"""),45896.6666666667)</f>
        <v>45896.6666666667</v>
      </c>
      <c r="B1169" s="8" t="n">
        <f aca="false">IFERROR(__xludf.dummyfunction("""COMPUTED_VALUE"""),752.3)</f>
        <v>752.3</v>
      </c>
      <c r="C1169" s="8" t="n">
        <f aca="false">IFERROR(__xludf.dummyfunction("""COMPUTED_VALUE"""),754.15)</f>
        <v>754.15</v>
      </c>
      <c r="D1169" s="8" t="n">
        <f aca="false">IFERROR(__xludf.dummyfunction("""COMPUTED_VALUE"""),742.84)</f>
        <v>742.84</v>
      </c>
      <c r="E1169" s="8" t="n">
        <f aca="false">IFERROR(__xludf.dummyfunction("""COMPUTED_VALUE"""),747.38)</f>
        <v>747.38</v>
      </c>
      <c r="F1169" s="8" t="n">
        <f aca="false">IFERROR(__xludf.dummyfunction("""COMPUTED_VALUE"""),8315435)</f>
        <v>8315435</v>
      </c>
    </row>
    <row r="1170" customFormat="false" ht="15.75" hidden="false" customHeight="false" outlineLevel="0" collapsed="false">
      <c r="A1170" s="9" t="n">
        <f aca="false">IFERROR(__xludf.dummyfunction("""COMPUTED_VALUE"""),45897.6666666667)</f>
        <v>45897.6666666667</v>
      </c>
      <c r="B1170" s="8" t="n">
        <f aca="false">IFERROR(__xludf.dummyfunction("""COMPUTED_VALUE"""),744)</f>
        <v>744</v>
      </c>
      <c r="C1170" s="8" t="n">
        <f aca="false">IFERROR(__xludf.dummyfunction("""COMPUTED_VALUE"""),753.05)</f>
        <v>753.05</v>
      </c>
      <c r="D1170" s="8" t="n">
        <f aca="false">IFERROR(__xludf.dummyfunction("""COMPUTED_VALUE"""),740.8)</f>
        <v>740.8</v>
      </c>
      <c r="E1170" s="8" t="n">
        <f aca="false">IFERROR(__xludf.dummyfunction("""COMPUTED_VALUE"""),751.11)</f>
        <v>751.11</v>
      </c>
      <c r="F1170" s="8" t="n">
        <f aca="false">IFERROR(__xludf.dummyfunction("""COMPUTED_VALUE"""),7467955)</f>
        <v>7467955</v>
      </c>
    </row>
    <row r="1171" customFormat="false" ht="15.75" hidden="false" customHeight="false" outlineLevel="0" collapsed="false">
      <c r="A1171" s="9" t="n">
        <f aca="false">IFERROR(__xludf.dummyfunction("""COMPUTED_VALUE"""),45898.6666666667)</f>
        <v>45898.6666666667</v>
      </c>
      <c r="B1171" s="8" t="n">
        <f aca="false">IFERROR(__xludf.dummyfunction("""COMPUTED_VALUE"""),745.28)</f>
        <v>745.28</v>
      </c>
      <c r="C1171" s="8" t="n">
        <f aca="false">IFERROR(__xludf.dummyfunction("""COMPUTED_VALUE"""),747.14)</f>
        <v>747.14</v>
      </c>
      <c r="D1171" s="8" t="n">
        <f aca="false">IFERROR(__xludf.dummyfunction("""COMPUTED_VALUE"""),735.35)</f>
        <v>735.35</v>
      </c>
      <c r="E1171" s="8" t="n">
        <f aca="false">IFERROR(__xludf.dummyfunction("""COMPUTED_VALUE"""),738.7)</f>
        <v>738.7</v>
      </c>
      <c r="F1171" s="8" t="n">
        <f aca="false">IFERROR(__xludf.dummyfunction("""COMPUTED_VALUE"""),9070546)</f>
        <v>9070546</v>
      </c>
    </row>
    <row r="1172" customFormat="false" ht="15.75" hidden="false" customHeight="false" outlineLevel="0" collapsed="false">
      <c r="A1172" s="9" t="n">
        <f aca="false">IFERROR(__xludf.dummyfunction("""COMPUTED_VALUE"""),45902.6666666667)</f>
        <v>45902.6666666667</v>
      </c>
      <c r="B1172" s="8" t="n">
        <f aca="false">IFERROR(__xludf.dummyfunction("""COMPUTED_VALUE"""),726.04)</f>
        <v>726.04</v>
      </c>
      <c r="C1172" s="8" t="n">
        <f aca="false">IFERROR(__xludf.dummyfunction("""COMPUTED_VALUE"""),736)</f>
        <v>736</v>
      </c>
      <c r="D1172" s="8" t="n">
        <f aca="false">IFERROR(__xludf.dummyfunction("""COMPUTED_VALUE"""),721.73)</f>
        <v>721.73</v>
      </c>
      <c r="E1172" s="8" t="n">
        <f aca="false">IFERROR(__xludf.dummyfunction("""COMPUTED_VALUE"""),735.11)</f>
        <v>735.11</v>
      </c>
      <c r="F1172" s="8" t="n">
        <f aca="false">IFERROR(__xludf.dummyfunction("""COMPUTED_VALUE"""),9350857)</f>
        <v>9350857</v>
      </c>
    </row>
    <row r="1173" customFormat="false" ht="15.75" hidden="false" customHeight="false" outlineLevel="0" collapsed="false">
      <c r="A1173" s="9" t="n">
        <f aca="false">IFERROR(__xludf.dummyfunction("""COMPUTED_VALUE"""),45903.6666666667)</f>
        <v>45903.6666666667</v>
      </c>
      <c r="B1173" s="8" t="n">
        <f aca="false">IFERROR(__xludf.dummyfunction("""COMPUTED_VALUE"""),736)</f>
        <v>736</v>
      </c>
      <c r="C1173" s="8" t="n">
        <f aca="false">IFERROR(__xludf.dummyfunction("""COMPUTED_VALUE"""),740.25)</f>
        <v>740.25</v>
      </c>
      <c r="D1173" s="8" t="n">
        <f aca="false">IFERROR(__xludf.dummyfunction("""COMPUTED_VALUE"""),733.99)</f>
        <v>733.99</v>
      </c>
      <c r="E1173" s="8" t="n">
        <f aca="false">IFERROR(__xludf.dummyfunction("""COMPUTED_VALUE"""),737.05)</f>
        <v>737.05</v>
      </c>
      <c r="F1173" s="8" t="n">
        <f aca="false">IFERROR(__xludf.dummyfunction("""COMPUTED_VALUE"""),7699332)</f>
        <v>7699332</v>
      </c>
    </row>
    <row r="1174" customFormat="false" ht="15.75" hidden="false" customHeight="false" outlineLevel="0" collapsed="false">
      <c r="A1174" s="9" t="n">
        <f aca="false">IFERROR(__xludf.dummyfunction("""COMPUTED_VALUE"""),45904.6666666667)</f>
        <v>45904.6666666667</v>
      </c>
      <c r="B1174" s="8" t="n">
        <f aca="false">IFERROR(__xludf.dummyfunction("""COMPUTED_VALUE"""),748.57)</f>
        <v>748.57</v>
      </c>
      <c r="C1174" s="8" t="n">
        <f aca="false">IFERROR(__xludf.dummyfunction("""COMPUTED_VALUE"""),761.16)</f>
        <v>761.16</v>
      </c>
      <c r="D1174" s="8" t="n">
        <f aca="false">IFERROR(__xludf.dummyfunction("""COMPUTED_VALUE"""),745.82)</f>
        <v>745.82</v>
      </c>
      <c r="E1174" s="8" t="n">
        <f aca="false">IFERROR(__xludf.dummyfunction("""COMPUTED_VALUE"""),748.65)</f>
        <v>748.65</v>
      </c>
      <c r="F1174" s="8" t="n">
        <f aca="false">IFERROR(__xludf.dummyfunction("""COMPUTED_VALUE"""),11439078)</f>
        <v>11439078</v>
      </c>
    </row>
    <row r="1175" customFormat="false" ht="15.75" hidden="false" customHeight="false" outlineLevel="0" collapsed="false">
      <c r="A1175" s="9" t="n">
        <f aca="false">IFERROR(__xludf.dummyfunction("""COMPUTED_VALUE"""),45905.6666666667)</f>
        <v>45905.6666666667</v>
      </c>
      <c r="B1175" s="8" t="n">
        <f aca="false">IFERROR(__xludf.dummyfunction("""COMPUTED_VALUE"""),752.62)</f>
        <v>752.62</v>
      </c>
      <c r="C1175" s="8" t="n">
        <f aca="false">IFERROR(__xludf.dummyfunction("""COMPUTED_VALUE"""),757.95)</f>
        <v>757.95</v>
      </c>
      <c r="D1175" s="8" t="n">
        <f aca="false">IFERROR(__xludf.dummyfunction("""COMPUTED_VALUE"""),745.03)</f>
        <v>745.03</v>
      </c>
      <c r="E1175" s="8" t="n">
        <f aca="false">IFERROR(__xludf.dummyfunction("""COMPUTED_VALUE"""),752.45)</f>
        <v>752.45</v>
      </c>
      <c r="F1175" s="8" t="n">
        <f aca="false">IFERROR(__xludf.dummyfunction("""COMPUTED_VALUE"""),9663441)</f>
        <v>9663441</v>
      </c>
    </row>
    <row r="1176" customFormat="false" ht="15.75" hidden="false" customHeight="false" outlineLevel="0" collapsed="false">
      <c r="A1176" s="9" t="n">
        <f aca="false">IFERROR(__xludf.dummyfunction("""COMPUTED_VALUE"""),45908.6666666667)</f>
        <v>45908.6666666667</v>
      </c>
      <c r="B1176" s="8" t="n">
        <f aca="false">IFERROR(__xludf.dummyfunction("""COMPUTED_VALUE"""),756)</f>
        <v>756</v>
      </c>
      <c r="C1176" s="8" t="n">
        <f aca="false">IFERROR(__xludf.dummyfunction("""COMPUTED_VALUE"""),766.51)</f>
        <v>766.51</v>
      </c>
      <c r="D1176" s="8" t="n">
        <f aca="false">IFERROR(__xludf.dummyfunction("""COMPUTED_VALUE"""),752.02)</f>
        <v>752.02</v>
      </c>
      <c r="E1176" s="8" t="n">
        <f aca="false">IFERROR(__xludf.dummyfunction("""COMPUTED_VALUE"""),752.3)</f>
        <v>752.3</v>
      </c>
      <c r="F1176" s="8" t="n">
        <f aca="false">IFERROR(__xludf.dummyfunction("""COMPUTED_VALUE"""),13087816)</f>
        <v>13087816</v>
      </c>
    </row>
    <row r="1177" customFormat="false" ht="15.75" hidden="false" customHeight="false" outlineLevel="0" collapsed="false">
      <c r="A1177" s="9" t="n">
        <f aca="false">IFERROR(__xludf.dummyfunction("""COMPUTED_VALUE"""),45909.6666666667)</f>
        <v>45909.6666666667</v>
      </c>
      <c r="B1177" s="8" t="n">
        <f aca="false">IFERROR(__xludf.dummyfunction("""COMPUTED_VALUE"""),757.49)</f>
        <v>757.49</v>
      </c>
      <c r="C1177" s="8" t="n">
        <f aca="false">IFERROR(__xludf.dummyfunction("""COMPUTED_VALUE"""),766.3)</f>
        <v>766.3</v>
      </c>
      <c r="D1177" s="8" t="n">
        <f aca="false">IFERROR(__xludf.dummyfunction("""COMPUTED_VALUE"""),753.43)</f>
        <v>753.43</v>
      </c>
      <c r="E1177" s="8" t="n">
        <f aca="false">IFERROR(__xludf.dummyfunction("""COMPUTED_VALUE"""),765.7)</f>
        <v>765.7</v>
      </c>
      <c r="F1177" s="8" t="n">
        <f aca="false">IFERROR(__xludf.dummyfunction("""COMPUTED_VALUE"""),10999026)</f>
        <v>10999026</v>
      </c>
    </row>
    <row r="1178" customFormat="false" ht="15.75" hidden="false" customHeight="false" outlineLevel="0" collapsed="false">
      <c r="A1178" s="9" t="n">
        <f aca="false">IFERROR(__xludf.dummyfunction("""COMPUTED_VALUE"""),45910.6666666667)</f>
        <v>45910.6666666667</v>
      </c>
      <c r="B1178" s="8" t="n">
        <f aca="false">IFERROR(__xludf.dummyfunction("""COMPUTED_VALUE"""),765.13)</f>
        <v>765.13</v>
      </c>
      <c r="C1178" s="8" t="n">
        <f aca="false">IFERROR(__xludf.dummyfunction("""COMPUTED_VALUE"""),765.7)</f>
        <v>765.7</v>
      </c>
      <c r="D1178" s="8" t="n">
        <f aca="false">IFERROR(__xludf.dummyfunction("""COMPUTED_VALUE"""),751)</f>
        <v>751</v>
      </c>
      <c r="E1178" s="8" t="n">
        <f aca="false">IFERROR(__xludf.dummyfunction("""COMPUTED_VALUE"""),751.98)</f>
        <v>751.98</v>
      </c>
      <c r="F1178" s="8" t="n">
        <f aca="false">IFERROR(__xludf.dummyfunction("""COMPUTED_VALUE"""),12478276)</f>
        <v>12478276</v>
      </c>
    </row>
    <row r="1179" customFormat="false" ht="15.75" hidden="false" customHeight="false" outlineLevel="0" collapsed="false">
      <c r="A1179" s="9" t="n">
        <f aca="false">IFERROR(__xludf.dummyfunction("""COMPUTED_VALUE"""),45911.6666666667)</f>
        <v>45911.6666666667</v>
      </c>
      <c r="B1179" s="8" t="n">
        <f aca="false">IFERROR(__xludf.dummyfunction("""COMPUTED_VALUE"""),754.65)</f>
        <v>754.65</v>
      </c>
      <c r="C1179" s="8" t="n">
        <f aca="false">IFERROR(__xludf.dummyfunction("""COMPUTED_VALUE"""),757.1)</f>
        <v>757.1</v>
      </c>
      <c r="D1179" s="8" t="n">
        <f aca="false">IFERROR(__xludf.dummyfunction("""COMPUTED_VALUE"""),748.37)</f>
        <v>748.37</v>
      </c>
      <c r="E1179" s="8" t="n">
        <f aca="false">IFERROR(__xludf.dummyfunction("""COMPUTED_VALUE"""),750.9)</f>
        <v>750.9</v>
      </c>
      <c r="F1179" s="8" t="n">
        <f aca="false">IFERROR(__xludf.dummyfunction("""COMPUTED_VALUE"""),7923284)</f>
        <v>7923284</v>
      </c>
    </row>
    <row r="1180" customFormat="false" ht="15.75" hidden="false" customHeight="false" outlineLevel="0" collapsed="false">
      <c r="A1180" s="9" t="n">
        <f aca="false">IFERROR(__xludf.dummyfunction("""COMPUTED_VALUE"""),45912.6666666667)</f>
        <v>45912.6666666667</v>
      </c>
      <c r="B1180" s="8" t="n">
        <f aca="false">IFERROR(__xludf.dummyfunction("""COMPUTED_VALUE"""),748.73)</f>
        <v>748.73</v>
      </c>
      <c r="C1180" s="8" t="n">
        <f aca="false">IFERROR(__xludf.dummyfunction("""COMPUTED_VALUE"""),757.57)</f>
        <v>757.57</v>
      </c>
      <c r="D1180" s="8" t="n">
        <f aca="false">IFERROR(__xludf.dummyfunction("""COMPUTED_VALUE"""),743.76)</f>
        <v>743.76</v>
      </c>
      <c r="E1180" s="8" t="n">
        <f aca="false">IFERROR(__xludf.dummyfunction("""COMPUTED_VALUE"""),755.59)</f>
        <v>755.59</v>
      </c>
      <c r="F1180" s="8" t="n">
        <f aca="false">IFERROR(__xludf.dummyfunction("""COMPUTED_VALUE"""),8248557)</f>
        <v>8248557</v>
      </c>
    </row>
    <row r="1181" customFormat="false" ht="15.75" hidden="false" customHeight="false" outlineLevel="0" collapsed="false">
      <c r="A1181" s="9" t="n">
        <f aca="false">IFERROR(__xludf.dummyfunction("""COMPUTED_VALUE"""),45915.6666666667)</f>
        <v>45915.6666666667</v>
      </c>
      <c r="B1181" s="8" t="n">
        <f aca="false">IFERROR(__xludf.dummyfunction("""COMPUTED_VALUE"""),757.47)</f>
        <v>757.47</v>
      </c>
      <c r="C1181" s="8" t="n">
        <f aca="false">IFERROR(__xludf.dummyfunction("""COMPUTED_VALUE"""),774.07)</f>
        <v>774.07</v>
      </c>
      <c r="D1181" s="8" t="n">
        <f aca="false">IFERROR(__xludf.dummyfunction("""COMPUTED_VALUE"""),751.99)</f>
        <v>751.99</v>
      </c>
      <c r="E1181" s="8" t="n">
        <f aca="false">IFERROR(__xludf.dummyfunction("""COMPUTED_VALUE"""),764.7)</f>
        <v>764.7</v>
      </c>
      <c r="F1181" s="8" t="n">
        <f aca="false">IFERROR(__xludf.dummyfunction("""COMPUTED_VALUE"""),10533780)</f>
        <v>10533780</v>
      </c>
    </row>
    <row r="1182" customFormat="false" ht="15.75" hidden="false" customHeight="false" outlineLevel="0" collapsed="false">
      <c r="A1182" s="9" t="n">
        <f aca="false">IFERROR(__xludf.dummyfunction("""COMPUTED_VALUE"""),45916.6666666667)</f>
        <v>45916.6666666667</v>
      </c>
      <c r="B1182" s="8" t="n">
        <f aca="false">IFERROR(__xludf.dummyfunction("""COMPUTED_VALUE"""),767)</f>
        <v>767</v>
      </c>
      <c r="C1182" s="8" t="n">
        <f aca="false">IFERROR(__xludf.dummyfunction("""COMPUTED_VALUE"""),781.36)</f>
        <v>781.36</v>
      </c>
      <c r="D1182" s="8" t="n">
        <f aca="false">IFERROR(__xludf.dummyfunction("""COMPUTED_VALUE"""),765.1)</f>
        <v>765.1</v>
      </c>
      <c r="E1182" s="8" t="n">
        <f aca="false">IFERROR(__xludf.dummyfunction("""COMPUTED_VALUE"""),779)</f>
        <v>779</v>
      </c>
      <c r="F1182" s="8" t="n">
        <f aca="false">IFERROR(__xludf.dummyfunction("""COMPUTED_VALUE"""),11782482)</f>
        <v>11782482</v>
      </c>
    </row>
    <row r="1183" customFormat="false" ht="15.75" hidden="false" customHeight="false" outlineLevel="0" collapsed="false">
      <c r="A1183" s="9" t="n">
        <f aca="false">IFERROR(__xludf.dummyfunction("""COMPUTED_VALUE"""),45917.6666666667)</f>
        <v>45917.6666666667</v>
      </c>
      <c r="B1183" s="8" t="n">
        <f aca="false">IFERROR(__xludf.dummyfunction("""COMPUTED_VALUE"""),779.99)</f>
        <v>779.99</v>
      </c>
      <c r="C1183" s="8" t="n">
        <f aca="false">IFERROR(__xludf.dummyfunction("""COMPUTED_VALUE"""),783.29)</f>
        <v>783.29</v>
      </c>
      <c r="D1183" s="8" t="n">
        <f aca="false">IFERROR(__xludf.dummyfunction("""COMPUTED_VALUE"""),766.31)</f>
        <v>766.31</v>
      </c>
      <c r="E1183" s="8" t="n">
        <f aca="false">IFERROR(__xludf.dummyfunction("""COMPUTED_VALUE"""),775.72)</f>
        <v>775.72</v>
      </c>
      <c r="F1183" s="8" t="n">
        <f aca="false">IFERROR(__xludf.dummyfunction("""COMPUTED_VALUE"""),9400867)</f>
        <v>9400867</v>
      </c>
    </row>
    <row r="1184" customFormat="false" ht="15.75" hidden="false" customHeight="false" outlineLevel="0" collapsed="false">
      <c r="A1184" s="9" t="n">
        <f aca="false">IFERROR(__xludf.dummyfunction("""COMPUTED_VALUE"""),45918.6666666667)</f>
        <v>45918.6666666667</v>
      </c>
      <c r="B1184" s="8" t="n">
        <f aca="false">IFERROR(__xludf.dummyfunction("""COMPUTED_VALUE"""),780.75)</f>
        <v>780.75</v>
      </c>
      <c r="C1184" s="8" t="n">
        <f aca="false">IFERROR(__xludf.dummyfunction("""COMPUTED_VALUE"""),788.78)</f>
        <v>788.78</v>
      </c>
      <c r="D1184" s="8" t="n">
        <f aca="false">IFERROR(__xludf.dummyfunction("""COMPUTED_VALUE"""),773.36)</f>
        <v>773.36</v>
      </c>
      <c r="E1184" s="8" t="n">
        <f aca="false">IFERROR(__xludf.dummyfunction("""COMPUTED_VALUE"""),780.25)</f>
        <v>780.25</v>
      </c>
      <c r="F1184" s="8" t="n">
        <f aca="false">IFERROR(__xludf.dummyfunction("""COMPUTED_VALUE"""),10954950)</f>
        <v>10954950</v>
      </c>
    </row>
    <row r="1185" customFormat="false" ht="15.75" hidden="false" customHeight="false" outlineLevel="0" collapsed="false">
      <c r="A1185" s="9" t="n">
        <f aca="false">IFERROR(__xludf.dummyfunction("""COMPUTED_VALUE"""),45919.6666666667)</f>
        <v>45919.6666666667</v>
      </c>
      <c r="B1185" s="8" t="n">
        <f aca="false">IFERROR(__xludf.dummyfunction("""COMPUTED_VALUE"""),786.42)</f>
        <v>786.42</v>
      </c>
      <c r="C1185" s="8" t="n">
        <f aca="false">IFERROR(__xludf.dummyfunction("""COMPUTED_VALUE"""),790.8)</f>
        <v>790.8</v>
      </c>
      <c r="D1185" s="8" t="n">
        <f aca="false">IFERROR(__xludf.dummyfunction("""COMPUTED_VALUE"""),769.19)</f>
        <v>769.19</v>
      </c>
      <c r="E1185" s="8" t="n">
        <f aca="false">IFERROR(__xludf.dummyfunction("""COMPUTED_VALUE"""),778.38)</f>
        <v>778.38</v>
      </c>
      <c r="F1185" s="8" t="n">
        <f aca="false">IFERROR(__xludf.dummyfunction("""COMPUTED_VALUE"""),23696824)</f>
        <v>23696824</v>
      </c>
    </row>
    <row r="1186" customFormat="false" ht="15.75" hidden="false" customHeight="false" outlineLevel="0" collapsed="false">
      <c r="A1186" s="9" t="n">
        <f aca="false">IFERROR(__xludf.dummyfunction("""COMPUTED_VALUE"""),45922.6666666667)</f>
        <v>45922.6666666667</v>
      </c>
      <c r="B1186" s="8" t="n">
        <f aca="false">IFERROR(__xludf.dummyfunction("""COMPUTED_VALUE"""),781.85)</f>
        <v>781.85</v>
      </c>
      <c r="C1186" s="8" t="n">
        <f aca="false">IFERROR(__xludf.dummyfunction("""COMPUTED_VALUE"""),785.73)</f>
        <v>785.73</v>
      </c>
      <c r="D1186" s="8" t="n">
        <f aca="false">IFERROR(__xludf.dummyfunction("""COMPUTED_VALUE"""),764.47)</f>
        <v>764.47</v>
      </c>
      <c r="E1186" s="8" t="n">
        <f aca="false">IFERROR(__xludf.dummyfunction("""COMPUTED_VALUE"""),765.16)</f>
        <v>765.16</v>
      </c>
      <c r="F1186" s="8" t="n">
        <f aca="false">IFERROR(__xludf.dummyfunction("""COMPUTED_VALUE"""),11706946)</f>
        <v>11706946</v>
      </c>
    </row>
    <row r="1187" customFormat="false" ht="15.75" hidden="false" customHeight="false" outlineLevel="0" collapsed="false">
      <c r="A1187" s="9" t="n">
        <f aca="false">IFERROR(__xludf.dummyfunction("""COMPUTED_VALUE"""),45923.6666666667)</f>
        <v>45923.6666666667</v>
      </c>
      <c r="B1187" s="8" t="n">
        <f aca="false">IFERROR(__xludf.dummyfunction("""COMPUTED_VALUE"""),769.25)</f>
        <v>769.25</v>
      </c>
      <c r="C1187" s="8" t="n">
        <f aca="false">IFERROR(__xludf.dummyfunction("""COMPUTED_VALUE"""),770.6)</f>
        <v>770.6</v>
      </c>
      <c r="D1187" s="8" t="n">
        <f aca="false">IFERROR(__xludf.dummyfunction("""COMPUTED_VALUE"""),751.07)</f>
        <v>751.07</v>
      </c>
      <c r="E1187" s="8" t="n">
        <f aca="false">IFERROR(__xludf.dummyfunction("""COMPUTED_VALUE"""),755.4)</f>
        <v>755.4</v>
      </c>
      <c r="F1187" s="8" t="n">
        <f aca="false">IFERROR(__xludf.dummyfunction("""COMPUTED_VALUE"""),10872592)</f>
        <v>10872592</v>
      </c>
    </row>
    <row r="1188" customFormat="false" ht="15.75" hidden="false" customHeight="false" outlineLevel="0" collapsed="false">
      <c r="A1188" s="9" t="n">
        <f aca="false">IFERROR(__xludf.dummyfunction("""COMPUTED_VALUE"""),45924.6666666667)</f>
        <v>45924.6666666667</v>
      </c>
      <c r="B1188" s="8" t="n">
        <f aca="false">IFERROR(__xludf.dummyfunction("""COMPUTED_VALUE"""),757.5)</f>
        <v>757.5</v>
      </c>
      <c r="C1188" s="8" t="n">
        <f aca="false">IFERROR(__xludf.dummyfunction("""COMPUTED_VALUE"""),761.11)</f>
        <v>761.11</v>
      </c>
      <c r="D1188" s="8" t="n">
        <f aca="false">IFERROR(__xludf.dummyfunction("""COMPUTED_VALUE"""),752.53)</f>
        <v>752.53</v>
      </c>
      <c r="E1188" s="8" t="n">
        <f aca="false">IFERROR(__xludf.dummyfunction("""COMPUTED_VALUE"""),760.66)</f>
        <v>760.66</v>
      </c>
      <c r="F1188" s="8" t="n">
        <f aca="false">IFERROR(__xludf.dummyfunction("""COMPUTED_VALUE"""),8828227)</f>
        <v>8828227</v>
      </c>
    </row>
    <row r="1189" customFormat="false" ht="15.75" hidden="false" customHeight="false" outlineLevel="0" collapsed="false">
      <c r="A1189" s="9" t="n">
        <f aca="false">IFERROR(__xludf.dummyfunction("""COMPUTED_VALUE"""),45925.6666666667)</f>
        <v>45925.6666666667</v>
      </c>
      <c r="B1189" s="8" t="n">
        <f aca="false">IFERROR(__xludf.dummyfunction("""COMPUTED_VALUE"""),753.45)</f>
        <v>753.45</v>
      </c>
      <c r="C1189" s="8" t="n">
        <f aca="false">IFERROR(__xludf.dummyfunction("""COMPUTED_VALUE"""),756.77)</f>
        <v>756.77</v>
      </c>
      <c r="D1189" s="8" t="n">
        <f aca="false">IFERROR(__xludf.dummyfunction("""COMPUTED_VALUE"""),744.55)</f>
        <v>744.55</v>
      </c>
      <c r="E1189" s="8" t="n">
        <f aca="false">IFERROR(__xludf.dummyfunction("""COMPUTED_VALUE"""),748.91)</f>
        <v>748.91</v>
      </c>
      <c r="F1189" s="8" t="n">
        <f aca="false">IFERROR(__xludf.dummyfunction("""COMPUTED_VALUE"""),10591065)</f>
        <v>10591065</v>
      </c>
    </row>
    <row r="1190" customFormat="false" ht="15.75" hidden="false" customHeight="false" outlineLevel="0" collapsed="false">
      <c r="A1190" s="9" t="n">
        <f aca="false">IFERROR(__xludf.dummyfunction("""COMPUTED_VALUE"""),45926.6666666667)</f>
        <v>45926.6666666667</v>
      </c>
      <c r="B1190" s="8" t="n">
        <f aca="false">IFERROR(__xludf.dummyfunction("""COMPUTED_VALUE"""),750)</f>
        <v>750</v>
      </c>
      <c r="C1190" s="8" t="n">
        <f aca="false">IFERROR(__xludf.dummyfunction("""COMPUTED_VALUE"""),751.93)</f>
        <v>751.93</v>
      </c>
      <c r="D1190" s="8" t="n">
        <f aca="false">IFERROR(__xludf.dummyfunction("""COMPUTED_VALUE"""),737.35)</f>
        <v>737.35</v>
      </c>
      <c r="E1190" s="8" t="n">
        <f aca="false">IFERROR(__xludf.dummyfunction("""COMPUTED_VALUE"""),743.75)</f>
        <v>743.75</v>
      </c>
      <c r="F1190" s="8" t="n">
        <f aca="false">IFERROR(__xludf.dummyfunction("""COMPUTED_VALUE"""),9696338)</f>
        <v>9696338</v>
      </c>
    </row>
    <row r="1191" customFormat="false" ht="15.75" hidden="false" customHeight="false" outlineLevel="0" collapsed="false">
      <c r="A1191" s="9" t="n">
        <f aca="false">IFERROR(__xludf.dummyfunction("""COMPUTED_VALUE"""),45929.6666666667)</f>
        <v>45929.6666666667</v>
      </c>
      <c r="B1191" s="8" t="n">
        <f aca="false">IFERROR(__xludf.dummyfunction("""COMPUTED_VALUE"""),748.72)</f>
        <v>748.72</v>
      </c>
      <c r="C1191" s="8" t="n">
        <f aca="false">IFERROR(__xludf.dummyfunction("""COMPUTED_VALUE"""),750.78)</f>
        <v>750.78</v>
      </c>
      <c r="D1191" s="8" t="n">
        <f aca="false">IFERROR(__xludf.dummyfunction("""COMPUTED_VALUE"""),739.15)</f>
        <v>739.15</v>
      </c>
      <c r="E1191" s="8" t="n">
        <f aca="false">IFERROR(__xludf.dummyfunction("""COMPUTED_VALUE"""),743.4)</f>
        <v>743.4</v>
      </c>
      <c r="F1191" s="8" t="n">
        <f aca="false">IFERROR(__xludf.dummyfunction("""COMPUTED_VALUE"""),9246768)</f>
        <v>9246768</v>
      </c>
    </row>
    <row r="1192" customFormat="false" ht="15.75" hidden="false" customHeight="false" outlineLevel="0" collapsed="false">
      <c r="A1192" s="9" t="n">
        <f aca="false">IFERROR(__xludf.dummyfunction("""COMPUTED_VALUE"""),45930.6666666667)</f>
        <v>45930.6666666667</v>
      </c>
      <c r="B1192" s="8" t="n">
        <f aca="false">IFERROR(__xludf.dummyfunction("""COMPUTED_VALUE"""),742.25)</f>
        <v>742.25</v>
      </c>
      <c r="C1192" s="8" t="n">
        <f aca="false">IFERROR(__xludf.dummyfunction("""COMPUTED_VALUE"""),742.97)</f>
        <v>742.97</v>
      </c>
      <c r="D1192" s="8" t="n">
        <f aca="false">IFERROR(__xludf.dummyfunction("""COMPUTED_VALUE"""),726.3)</f>
        <v>726.3</v>
      </c>
      <c r="E1192" s="8" t="n">
        <f aca="false">IFERROR(__xludf.dummyfunction("""COMPUTED_VALUE"""),734.38)</f>
        <v>734.38</v>
      </c>
      <c r="F1192" s="8" t="n">
        <f aca="false">IFERROR(__xludf.dummyfunction("""COMPUTED_VALUE"""),16226750)</f>
        <v>16226750</v>
      </c>
    </row>
    <row r="1193" customFormat="false" ht="15.75" hidden="false" customHeight="false" outlineLevel="0" collapsed="false">
      <c r="A1193" s="9" t="n">
        <f aca="false">IFERROR(__xludf.dummyfunction("""COMPUTED_VALUE"""),45931.6666666667)</f>
        <v>45931.6666666667</v>
      </c>
      <c r="B1193" s="8" t="n">
        <f aca="false">IFERROR(__xludf.dummyfunction("""COMPUTED_VALUE"""),721.49)</f>
        <v>721.49</v>
      </c>
      <c r="C1193" s="8" t="n">
        <f aca="false">IFERROR(__xludf.dummyfunction("""COMPUTED_VALUE"""),721.85)</f>
        <v>721.85</v>
      </c>
      <c r="D1193" s="8" t="n">
        <f aca="false">IFERROR(__xludf.dummyfunction("""COMPUTED_VALUE"""),710.2)</f>
        <v>710.2</v>
      </c>
      <c r="E1193" s="8" t="n">
        <f aca="false">IFERROR(__xludf.dummyfunction("""COMPUTED_VALUE"""),717.34)</f>
        <v>717.34</v>
      </c>
      <c r="F1193" s="8" t="n">
        <f aca="false">IFERROR(__xludf.dummyfunction("""COMPUTED_VALUE"""),20419633)</f>
        <v>20419633</v>
      </c>
    </row>
    <row r="1194" customFormat="false" ht="15.75" hidden="false" customHeight="false" outlineLevel="0" collapsed="false">
      <c r="A1194" s="9" t="n">
        <f aca="false">IFERROR(__xludf.dummyfunction("""COMPUTED_VALUE"""),45932.6666666667)</f>
        <v>45932.6666666667</v>
      </c>
      <c r="B1194" s="8" t="n">
        <f aca="false">IFERROR(__xludf.dummyfunction("""COMPUTED_VALUE"""),722.58)</f>
        <v>722.58</v>
      </c>
      <c r="C1194" s="8" t="n">
        <f aca="false">IFERROR(__xludf.dummyfunction("""COMPUTED_VALUE"""),727.77)</f>
        <v>727.77</v>
      </c>
      <c r="D1194" s="8" t="n">
        <f aca="false">IFERROR(__xludf.dummyfunction("""COMPUTED_VALUE"""),718.14)</f>
        <v>718.14</v>
      </c>
      <c r="E1194" s="8" t="n">
        <f aca="false">IFERROR(__xludf.dummyfunction("""COMPUTED_VALUE"""),727.05)</f>
        <v>727.05</v>
      </c>
      <c r="F1194" s="8" t="n">
        <f aca="false">IFERROR(__xludf.dummyfunction("""COMPUTED_VALUE"""),11415271)</f>
        <v>11415271</v>
      </c>
    </row>
    <row r="1195" customFormat="false" ht="15.75" hidden="false" customHeight="false" outlineLevel="0" collapsed="false">
      <c r="A1195" s="9" t="n">
        <f aca="false">IFERROR(__xludf.dummyfunction("""COMPUTED_VALUE"""),45933.6666666667)</f>
        <v>45933.6666666667</v>
      </c>
      <c r="B1195" s="8" t="n">
        <f aca="false">IFERROR(__xludf.dummyfunction("""COMPUTED_VALUE"""),729.63)</f>
        <v>729.63</v>
      </c>
      <c r="C1195" s="8" t="n">
        <f aca="false">IFERROR(__xludf.dummyfunction("""COMPUTED_VALUE"""),731)</f>
        <v>731</v>
      </c>
      <c r="D1195" s="8" t="n">
        <f aca="false">IFERROR(__xludf.dummyfunction("""COMPUTED_VALUE"""),710.18)</f>
        <v>710.18</v>
      </c>
      <c r="E1195" s="8" t="n">
        <f aca="false">IFERROR(__xludf.dummyfunction("""COMPUTED_VALUE"""),710.56)</f>
        <v>710.56</v>
      </c>
      <c r="F1195" s="8" t="n">
        <f aca="false">IFERROR(__xludf.dummyfunction("""COMPUTED_VALUE"""),16154305)</f>
        <v>16154305</v>
      </c>
    </row>
    <row r="1196" customFormat="false" ht="15.75" hidden="false" customHeight="false" outlineLevel="0" collapsed="false">
      <c r="A1196" s="9" t="n">
        <f aca="false">IFERROR(__xludf.dummyfunction("""COMPUTED_VALUE"""),45936.6666666667)</f>
        <v>45936.6666666667</v>
      </c>
      <c r="B1196" s="8" t="n">
        <f aca="false">IFERROR(__xludf.dummyfunction("""COMPUTED_VALUE"""),705.19)</f>
        <v>705.19</v>
      </c>
      <c r="C1196" s="8" t="n">
        <f aca="false">IFERROR(__xludf.dummyfunction("""COMPUTED_VALUE"""),716.88)</f>
        <v>716.88</v>
      </c>
      <c r="D1196" s="8" t="n">
        <f aca="false">IFERROR(__xludf.dummyfunction("""COMPUTED_VALUE"""),690.51)</f>
        <v>690.51</v>
      </c>
      <c r="E1196" s="8" t="n">
        <f aca="false">IFERROR(__xludf.dummyfunction("""COMPUTED_VALUE"""),715.66)</f>
        <v>715.66</v>
      </c>
      <c r="F1196" s="8" t="n">
        <f aca="false">IFERROR(__xludf.dummyfunction("""COMPUTED_VALUE"""),21654738)</f>
        <v>21654738</v>
      </c>
    </row>
    <row r="1197" customFormat="false" ht="15.75" hidden="false" customHeight="false" outlineLevel="0" collapsed="false">
      <c r="A1197" s="9" t="n">
        <f aca="false">IFERROR(__xludf.dummyfunction("""COMPUTED_VALUE"""),45937.6666666667)</f>
        <v>45937.6666666667</v>
      </c>
      <c r="B1197" s="8" t="n">
        <f aca="false">IFERROR(__xludf.dummyfunction("""COMPUTED_VALUE"""),717.72)</f>
        <v>717.72</v>
      </c>
      <c r="C1197" s="8" t="n">
        <f aca="false">IFERROR(__xludf.dummyfunction("""COMPUTED_VALUE"""),718.5)</f>
        <v>718.5</v>
      </c>
      <c r="D1197" s="8" t="n">
        <f aca="false">IFERROR(__xludf.dummyfunction("""COMPUTED_VALUE"""),705.75)</f>
        <v>705.75</v>
      </c>
      <c r="E1197" s="8" t="n">
        <f aca="false">IFERROR(__xludf.dummyfunction("""COMPUTED_VALUE"""),713.08)</f>
        <v>713.08</v>
      </c>
      <c r="F1197" s="8" t="n">
        <f aca="false">IFERROR(__xludf.dummyfunction("""COMPUTED_VALUE"""),12062928)</f>
        <v>12062928</v>
      </c>
    </row>
    <row r="1198" customFormat="false" ht="15.75" hidden="false" customHeight="false" outlineLevel="0" collapsed="false">
      <c r="A1198" s="9" t="n">
        <f aca="false">IFERROR(__xludf.dummyfunction("""COMPUTED_VALUE"""),45938.6666666667)</f>
        <v>45938.6666666667</v>
      </c>
      <c r="B1198" s="8" t="n">
        <f aca="false">IFERROR(__xludf.dummyfunction("""COMPUTED_VALUE"""),713.45)</f>
        <v>713.45</v>
      </c>
      <c r="C1198" s="8" t="n">
        <f aca="false">IFERROR(__xludf.dummyfunction("""COMPUTED_VALUE"""),719.65)</f>
        <v>719.65</v>
      </c>
      <c r="D1198" s="8" t="n">
        <f aca="false">IFERROR(__xludf.dummyfunction("""COMPUTED_VALUE"""),707.81)</f>
        <v>707.81</v>
      </c>
      <c r="E1198" s="8" t="n">
        <f aca="false">IFERROR(__xludf.dummyfunction("""COMPUTED_VALUE"""),717.84)</f>
        <v>717.84</v>
      </c>
      <c r="F1198" s="8" t="n">
        <f aca="false">IFERROR(__xludf.dummyfunction("""COMPUTED_VALUE"""),10790571)</f>
        <v>10790571</v>
      </c>
    </row>
    <row r="1199" customFormat="false" ht="15.75" hidden="false" customHeight="false" outlineLevel="0" collapsed="false">
      <c r="A1199" s="9" t="n">
        <f aca="false">IFERROR(__xludf.dummyfunction("""COMPUTED_VALUE"""),45939.6666666667)</f>
        <v>45939.6666666667</v>
      </c>
      <c r="B1199" s="8" t="n">
        <f aca="false">IFERROR(__xludf.dummyfunction("""COMPUTED_VALUE"""),718.28)</f>
        <v>718.28</v>
      </c>
      <c r="C1199" s="8" t="n">
        <f aca="false">IFERROR(__xludf.dummyfunction("""COMPUTED_VALUE"""),733.51)</f>
        <v>733.51</v>
      </c>
      <c r="D1199" s="8" t="n">
        <f aca="false">IFERROR(__xludf.dummyfunction("""COMPUTED_VALUE"""),712.44)</f>
        <v>712.44</v>
      </c>
      <c r="E1199" s="8" t="n">
        <f aca="false">IFERROR(__xludf.dummyfunction("""COMPUTED_VALUE"""),733.51)</f>
        <v>733.51</v>
      </c>
      <c r="F1199" s="8" t="n">
        <f aca="false">IFERROR(__xludf.dummyfunction("""COMPUTED_VALUE"""),12717172)</f>
        <v>12717172</v>
      </c>
    </row>
    <row r="1200" customFormat="false" ht="15.75" hidden="false" customHeight="false" outlineLevel="0" collapsed="false">
      <c r="A1200" s="9" t="n">
        <f aca="false">IFERROR(__xludf.dummyfunction("""COMPUTED_VALUE"""),45940.6666666667)</f>
        <v>45940.6666666667</v>
      </c>
      <c r="B1200" s="8" t="n">
        <f aca="false">IFERROR(__xludf.dummyfunction("""COMPUTED_VALUE"""),730.92)</f>
        <v>730.92</v>
      </c>
      <c r="C1200" s="8" t="n">
        <f aca="false">IFERROR(__xludf.dummyfunction("""COMPUTED_VALUE"""),735.27)</f>
        <v>735.27</v>
      </c>
      <c r="D1200" s="8" t="n">
        <f aca="false">IFERROR(__xludf.dummyfunction("""COMPUTED_VALUE"""),704.51)</f>
        <v>704.51</v>
      </c>
      <c r="E1200" s="8" t="n">
        <f aca="false">IFERROR(__xludf.dummyfunction("""COMPUTED_VALUE"""),705.3)</f>
        <v>705.3</v>
      </c>
      <c r="F1200" s="8" t="n">
        <f aca="false">IFERROR(__xludf.dummyfunction("""COMPUTED_VALUE"""),16980091)</f>
        <v>16980091</v>
      </c>
    </row>
    <row r="1201" customFormat="false" ht="15.75" hidden="false" customHeight="false" outlineLevel="0" collapsed="false">
      <c r="A1201" s="9" t="n">
        <f aca="false">IFERROR(__xludf.dummyfunction("""COMPUTED_VALUE"""),45943.6666666667)</f>
        <v>45943.6666666667</v>
      </c>
      <c r="B1201" s="8" t="n">
        <f aca="false">IFERROR(__xludf.dummyfunction("""COMPUTED_VALUE"""),713.01)</f>
        <v>713.01</v>
      </c>
      <c r="C1201" s="8" t="n">
        <f aca="false">IFERROR(__xludf.dummyfunction("""COMPUTED_VALUE"""),719.94)</f>
        <v>719.94</v>
      </c>
      <c r="D1201" s="8" t="n">
        <f aca="false">IFERROR(__xludf.dummyfunction("""COMPUTED_VALUE"""),707.64)</f>
        <v>707.64</v>
      </c>
      <c r="E1201" s="8" t="n">
        <f aca="false">IFERROR(__xludf.dummyfunction("""COMPUTED_VALUE"""),715.7)</f>
        <v>715.7</v>
      </c>
      <c r="F1201" s="8" t="n">
        <f aca="false">IFERROR(__xludf.dummyfunction("""COMPUTED_VALUE"""),9251796)</f>
        <v>9251796</v>
      </c>
    </row>
    <row r="1202" customFormat="false" ht="15.75" hidden="false" customHeight="false" outlineLevel="0" collapsed="false">
      <c r="A1202" s="9" t="n">
        <f aca="false">IFERROR(__xludf.dummyfunction("""COMPUTED_VALUE"""),45944.6666666667)</f>
        <v>45944.6666666667</v>
      </c>
      <c r="B1202" s="8" t="n">
        <f aca="false">IFERROR(__xludf.dummyfunction("""COMPUTED_VALUE"""),707.78)</f>
        <v>707.78</v>
      </c>
      <c r="C1202" s="8" t="n">
        <f aca="false">IFERROR(__xludf.dummyfunction("""COMPUTED_VALUE"""),715.55)</f>
        <v>715.55</v>
      </c>
      <c r="D1202" s="8" t="n">
        <f aca="false">IFERROR(__xludf.dummyfunction("""COMPUTED_VALUE"""),699.33)</f>
        <v>699.33</v>
      </c>
      <c r="E1202" s="8" t="n">
        <f aca="false">IFERROR(__xludf.dummyfunction("""COMPUTED_VALUE"""),708.65)</f>
        <v>708.65</v>
      </c>
      <c r="F1202" s="8" t="n">
        <f aca="false">IFERROR(__xludf.dummyfunction("""COMPUTED_VALUE"""),8829757)</f>
        <v>8829757</v>
      </c>
    </row>
    <row r="1203" customFormat="false" ht="15.75" hidden="false" customHeight="false" outlineLevel="0" collapsed="false">
      <c r="A1203" s="9" t="n">
        <f aca="false">IFERROR(__xludf.dummyfunction("""COMPUTED_VALUE"""),45945.6666666667)</f>
        <v>45945.6666666667</v>
      </c>
      <c r="B1203" s="8" t="n">
        <f aca="false">IFERROR(__xludf.dummyfunction("""COMPUTED_VALUE"""),717.06)</f>
        <v>717.06</v>
      </c>
      <c r="C1203" s="8" t="n">
        <f aca="false">IFERROR(__xludf.dummyfunction("""COMPUTED_VALUE"""),723.9)</f>
        <v>723.9</v>
      </c>
      <c r="D1203" s="8" t="n">
        <f aca="false">IFERROR(__xludf.dummyfunction("""COMPUTED_VALUE"""),709.51)</f>
        <v>709.51</v>
      </c>
      <c r="E1203" s="8" t="n">
        <f aca="false">IFERROR(__xludf.dummyfunction("""COMPUTED_VALUE"""),717.55)</f>
        <v>717.55</v>
      </c>
      <c r="F1203" s="8" t="n">
        <f aca="false">IFERROR(__xludf.dummyfunction("""COMPUTED_VALUE"""),10246766)</f>
        <v>10246766</v>
      </c>
    </row>
    <row r="1204" customFormat="false" ht="15.75" hidden="false" customHeight="false" outlineLevel="0" collapsed="false">
      <c r="A1204" s="9" t="n">
        <f aca="false">IFERROR(__xludf.dummyfunction("""COMPUTED_VALUE"""),45946.6666666667)</f>
        <v>45946.6666666667</v>
      </c>
      <c r="B1204" s="8" t="n">
        <f aca="false">IFERROR(__xludf.dummyfunction("""COMPUTED_VALUE"""),717.55)</f>
        <v>717.55</v>
      </c>
      <c r="C1204" s="8" t="n">
        <f aca="false">IFERROR(__xludf.dummyfunction("""COMPUTED_VALUE"""),725.49)</f>
        <v>725.49</v>
      </c>
      <c r="D1204" s="8" t="n">
        <f aca="false">IFERROR(__xludf.dummyfunction("""COMPUTED_VALUE"""),703.88)</f>
        <v>703.88</v>
      </c>
      <c r="E1204" s="8" t="n">
        <f aca="false">IFERROR(__xludf.dummyfunction("""COMPUTED_VALUE"""),712.07)</f>
        <v>712.07</v>
      </c>
      <c r="F1204" s="8" t="n">
        <f aca="false">IFERROR(__xludf.dummyfunction("""COMPUTED_VALUE"""),9017010)</f>
        <v>9017010</v>
      </c>
    </row>
    <row r="1205" customFormat="false" ht="15.75" hidden="false" customHeight="false" outlineLevel="0" collapsed="false">
      <c r="A1205" s="9" t="n">
        <f aca="false">IFERROR(__xludf.dummyfunction("""COMPUTED_VALUE"""),45947.6666666667)</f>
        <v>45947.6666666667</v>
      </c>
      <c r="B1205" s="8" t="n">
        <f aca="false">IFERROR(__xludf.dummyfunction("""COMPUTED_VALUE"""),707.08)</f>
        <v>707.08</v>
      </c>
      <c r="C1205" s="8" t="n">
        <f aca="false">IFERROR(__xludf.dummyfunction("""COMPUTED_VALUE"""),718.54)</f>
        <v>718.54</v>
      </c>
      <c r="D1205" s="8" t="n">
        <f aca="false">IFERROR(__xludf.dummyfunction("""COMPUTED_VALUE"""),706.12)</f>
        <v>706.12</v>
      </c>
      <c r="E1205" s="8" t="n">
        <f aca="false">IFERROR(__xludf.dummyfunction("""COMPUTED_VALUE"""),716.92)</f>
        <v>716.92</v>
      </c>
      <c r="F1205" s="8" t="n">
        <f aca="false">IFERROR(__xludf.dummyfunction("""COMPUTED_VALUE"""),12232441)</f>
        <v>12232441</v>
      </c>
    </row>
    <row r="1206" customFormat="false" ht="15.75" hidden="false" customHeight="false" outlineLevel="0" collapsed="false">
      <c r="A1206" s="9" t="n">
        <f aca="false">IFERROR(__xludf.dummyfunction("""COMPUTED_VALUE"""),45950.6666666667)</f>
        <v>45950.6666666667</v>
      </c>
      <c r="B1206" s="8" t="n">
        <f aca="false">IFERROR(__xludf.dummyfunction("""COMPUTED_VALUE"""),721.19)</f>
        <v>721.19</v>
      </c>
      <c r="C1206" s="8" t="n">
        <f aca="false">IFERROR(__xludf.dummyfunction("""COMPUTED_VALUE"""),733.77)</f>
        <v>733.77</v>
      </c>
      <c r="D1206" s="8" t="n">
        <f aca="false">IFERROR(__xludf.dummyfunction("""COMPUTED_VALUE"""),720.18)</f>
        <v>720.18</v>
      </c>
      <c r="E1206" s="8" t="n">
        <f aca="false">IFERROR(__xludf.dummyfunction("""COMPUTED_VALUE"""),732.17)</f>
        <v>732.17</v>
      </c>
      <c r="F1206" s="8" t="n">
        <f aca="false">IFERROR(__xludf.dummyfunction("""COMPUTED_VALUE"""),8900204)</f>
        <v>8900204</v>
      </c>
    </row>
    <row r="1207" customFormat="false" ht="15.75" hidden="false" customHeight="false" outlineLevel="0" collapsed="false">
      <c r="A1207" s="9" t="n">
        <f aca="false">IFERROR(__xludf.dummyfunction("""COMPUTED_VALUE"""),45951.6666666667)</f>
        <v>45951.6666666667</v>
      </c>
      <c r="B1207" s="8" t="n">
        <f aca="false">IFERROR(__xludf.dummyfunction("""COMPUTED_VALUE"""),736.02)</f>
        <v>736.02</v>
      </c>
      <c r="C1207" s="8" t="n">
        <f aca="false">IFERROR(__xludf.dummyfunction("""COMPUTED_VALUE"""),738.5)</f>
        <v>738.5</v>
      </c>
      <c r="D1207" s="8" t="n">
        <f aca="false">IFERROR(__xludf.dummyfunction("""COMPUTED_VALUE"""),728.75)</f>
        <v>728.75</v>
      </c>
      <c r="E1207" s="8" t="n">
        <f aca="false">IFERROR(__xludf.dummyfunction("""COMPUTED_VALUE"""),733.27)</f>
        <v>733.27</v>
      </c>
      <c r="F1207" s="8" t="n">
        <f aca="false">IFERROR(__xludf.dummyfunction("""COMPUTED_VALUE"""),7647269)</f>
        <v>7647269</v>
      </c>
    </row>
    <row r="1208" customFormat="false" ht="15.75" hidden="false" customHeight="false" outlineLevel="0" collapsed="false">
      <c r="A1208" s="9" t="n">
        <f aca="false">IFERROR(__xludf.dummyfunction("""COMPUTED_VALUE"""),45952.6666666667)</f>
        <v>45952.6666666667</v>
      </c>
      <c r="B1208" s="8" t="n">
        <f aca="false">IFERROR(__xludf.dummyfunction("""COMPUTED_VALUE"""),733.83)</f>
        <v>733.83</v>
      </c>
      <c r="C1208" s="8" t="n">
        <f aca="false">IFERROR(__xludf.dummyfunction("""COMPUTED_VALUE"""),740.6)</f>
        <v>740.6</v>
      </c>
      <c r="D1208" s="8" t="n">
        <f aca="false">IFERROR(__xludf.dummyfunction("""COMPUTED_VALUE"""),724.03)</f>
        <v>724.03</v>
      </c>
      <c r="E1208" s="8" t="n">
        <f aca="false">IFERROR(__xludf.dummyfunction("""COMPUTED_VALUE"""),733.41)</f>
        <v>733.41</v>
      </c>
      <c r="F1208" s="8" t="n">
        <f aca="false">IFERROR(__xludf.dummyfunction("""COMPUTED_VALUE"""),8734491)</f>
        <v>8734491</v>
      </c>
    </row>
    <row r="1209" customFormat="false" ht="15.75" hidden="false" customHeight="false" outlineLevel="0" collapsed="false">
      <c r="A1209" s="9" t="n">
        <f aca="false">IFERROR(__xludf.dummyfunction("""COMPUTED_VALUE"""),45953.6666666667)</f>
        <v>45953.6666666667</v>
      </c>
      <c r="B1209" s="8" t="n">
        <f aca="false">IFERROR(__xludf.dummyfunction("""COMPUTED_VALUE"""),734.7)</f>
        <v>734.7</v>
      </c>
      <c r="C1209" s="8" t="n">
        <f aca="false">IFERROR(__xludf.dummyfunction("""COMPUTED_VALUE"""),742.41)</f>
        <v>742.41</v>
      </c>
      <c r="D1209" s="8" t="n">
        <f aca="false">IFERROR(__xludf.dummyfunction("""COMPUTED_VALUE"""),733.1)</f>
        <v>733.1</v>
      </c>
      <c r="E1209" s="8" t="n">
        <f aca="false">IFERROR(__xludf.dummyfunction("""COMPUTED_VALUE"""),734)</f>
        <v>734</v>
      </c>
      <c r="F1209" s="8" t="n">
        <f aca="false">IFERROR(__xludf.dummyfunction("""COMPUTED_VALUE"""),9855974)</f>
        <v>9855974</v>
      </c>
    </row>
    <row r="1210" customFormat="false" ht="15.75" hidden="false" customHeight="false" outlineLevel="0" collapsed="false">
      <c r="A1210" s="9" t="n">
        <f aca="false">IFERROR(__xludf.dummyfunction("""COMPUTED_VALUE"""),45954.6666666667)</f>
        <v>45954.6666666667</v>
      </c>
      <c r="B1210" s="8" t="n">
        <f aca="false">IFERROR(__xludf.dummyfunction("""COMPUTED_VALUE"""),736.79)</f>
        <v>736.79</v>
      </c>
      <c r="C1210" s="8" t="n">
        <f aca="false">IFERROR(__xludf.dummyfunction("""COMPUTED_VALUE"""),741.21)</f>
        <v>741.21</v>
      </c>
      <c r="D1210" s="8" t="n">
        <f aca="false">IFERROR(__xludf.dummyfunction("""COMPUTED_VALUE"""),731.15)</f>
        <v>731.15</v>
      </c>
      <c r="E1210" s="8" t="n">
        <f aca="false">IFERROR(__xludf.dummyfunction("""COMPUTED_VALUE"""),738.36)</f>
        <v>738.36</v>
      </c>
      <c r="F1210" s="8" t="n">
        <f aca="false">IFERROR(__xludf.dummyfunction("""COMPUTED_VALUE"""),9151267)</f>
        <v>9151267</v>
      </c>
    </row>
    <row r="1211" customFormat="false" ht="15.75" hidden="false" customHeight="false" outlineLevel="0" collapsed="false">
      <c r="A1211" s="9" t="n">
        <f aca="false">IFERROR(__xludf.dummyfunction("""COMPUTED_VALUE"""),45957.6666666667)</f>
        <v>45957.6666666667</v>
      </c>
      <c r="B1211" s="8" t="n">
        <f aca="false">IFERROR(__xludf.dummyfunction("""COMPUTED_VALUE"""),749.73)</f>
        <v>749.73</v>
      </c>
      <c r="C1211" s="8" t="n">
        <f aca="false">IFERROR(__xludf.dummyfunction("""COMPUTED_VALUE"""),755.75)</f>
        <v>755.75</v>
      </c>
      <c r="D1211" s="8" t="n">
        <f aca="false">IFERROR(__xludf.dummyfunction("""COMPUTED_VALUE"""),748.01)</f>
        <v>748.01</v>
      </c>
      <c r="E1211" s="8" t="n">
        <f aca="false">IFERROR(__xludf.dummyfunction("""COMPUTED_VALUE"""),750.82)</f>
        <v>750.82</v>
      </c>
      <c r="F1211" s="8" t="n">
        <f aca="false">IFERROR(__xludf.dummyfunction("""COMPUTED_VALUE"""),11321080)</f>
        <v>11321080</v>
      </c>
    </row>
    <row r="1212" customFormat="false" ht="15.75" hidden="false" customHeight="false" outlineLevel="0" collapsed="false">
      <c r="A1212" s="9" t="n">
        <f aca="false">IFERROR(__xludf.dummyfunction("""COMPUTED_VALUE"""),45958.6666666667)</f>
        <v>45958.6666666667</v>
      </c>
      <c r="B1212" s="8" t="n">
        <f aca="false">IFERROR(__xludf.dummyfunction("""COMPUTED_VALUE"""),752.63)</f>
        <v>752.63</v>
      </c>
      <c r="C1212" s="8" t="n">
        <f aca="false">IFERROR(__xludf.dummyfunction("""COMPUTED_VALUE"""),758.4)</f>
        <v>758.4</v>
      </c>
      <c r="D1212" s="8" t="n">
        <f aca="false">IFERROR(__xludf.dummyfunction("""COMPUTED_VALUE"""),745.52)</f>
        <v>745.52</v>
      </c>
      <c r="E1212" s="8" t="n">
        <f aca="false">IFERROR(__xludf.dummyfunction("""COMPUTED_VALUE"""),751.44)</f>
        <v>751.44</v>
      </c>
      <c r="F1212" s="8" t="n">
        <f aca="false">IFERROR(__xludf.dummyfunction("""COMPUTED_VALUE"""),12193818)</f>
        <v>12193818</v>
      </c>
    </row>
    <row r="1213" customFormat="false" ht="15.75" hidden="false" customHeight="false" outlineLevel="0" collapsed="false">
      <c r="A1213" s="9" t="n">
        <f aca="false">IFERROR(__xludf.dummyfunction("""COMPUTED_VALUE"""),45959.6666666667)</f>
        <v>45959.6666666667</v>
      </c>
      <c r="B1213" s="8" t="n">
        <f aca="false">IFERROR(__xludf.dummyfunction("""COMPUTED_VALUE"""),754.75)</f>
        <v>754.75</v>
      </c>
      <c r="C1213" s="8" t="n">
        <f aca="false">IFERROR(__xludf.dummyfunction("""COMPUTED_VALUE"""),759.16)</f>
        <v>759.16</v>
      </c>
      <c r="D1213" s="8" t="n">
        <f aca="false">IFERROR(__xludf.dummyfunction("""COMPUTED_VALUE"""),742.51)</f>
        <v>742.51</v>
      </c>
      <c r="E1213" s="8" t="n">
        <f aca="false">IFERROR(__xludf.dummyfunction("""COMPUTED_VALUE"""),751.67)</f>
        <v>751.67</v>
      </c>
      <c r="F1213" s="8" t="n">
        <f aca="false">IFERROR(__xludf.dummyfunction("""COMPUTED_VALUE"""),26818592)</f>
        <v>26818592</v>
      </c>
    </row>
    <row r="1214" customFormat="false" ht="15.75" hidden="false" customHeight="false" outlineLevel="0" collapsed="false">
      <c r="A1214" s="9" t="n">
        <f aca="false">IFERROR(__xludf.dummyfunction("""COMPUTED_VALUE"""),45960.6666666667)</f>
        <v>45960.6666666667</v>
      </c>
      <c r="B1214" s="8" t="n">
        <f aca="false">IFERROR(__xludf.dummyfunction("""COMPUTED_VALUE"""),669.15)</f>
        <v>669.15</v>
      </c>
      <c r="C1214" s="8" t="n">
        <f aca="false">IFERROR(__xludf.dummyfunction("""COMPUTED_VALUE"""),680.96)</f>
        <v>680.96</v>
      </c>
      <c r="D1214" s="8" t="n">
        <f aca="false">IFERROR(__xludf.dummyfunction("""COMPUTED_VALUE"""),650.17)</f>
        <v>650.17</v>
      </c>
      <c r="E1214" s="8" t="n">
        <f aca="false">IFERROR(__xludf.dummyfunction("""COMPUTED_VALUE"""),666.47)</f>
        <v>666.47</v>
      </c>
      <c r="F1214" s="8" t="n">
        <f aca="false">IFERROR(__xludf.dummyfunction("""COMPUTED_VALUE"""),88440094)</f>
        <v>88440094</v>
      </c>
    </row>
    <row r="1215" customFormat="false" ht="15.75" hidden="false" customHeight="false" outlineLevel="0" collapsed="false">
      <c r="A1215" s="9" t="n">
        <f aca="false">IFERROR(__xludf.dummyfunction("""COMPUTED_VALUE"""),45961.6666666667)</f>
        <v>45961.6666666667</v>
      </c>
      <c r="B1215" s="8" t="n">
        <f aca="false">IFERROR(__xludf.dummyfunction("""COMPUTED_VALUE"""),674.51)</f>
        <v>674.51</v>
      </c>
      <c r="C1215" s="8" t="n">
        <f aca="false">IFERROR(__xludf.dummyfunction("""COMPUTED_VALUE"""),674.89)</f>
        <v>674.89</v>
      </c>
      <c r="D1215" s="8" t="n">
        <f aca="false">IFERROR(__xludf.dummyfunction("""COMPUTED_VALUE"""),645.57)</f>
        <v>645.57</v>
      </c>
      <c r="E1215" s="8" t="n">
        <f aca="false">IFERROR(__xludf.dummyfunction("""COMPUTED_VALUE"""),648.35)</f>
        <v>648.35</v>
      </c>
      <c r="F1215" s="8" t="n">
        <f aca="false">IFERROR(__xludf.dummyfunction("""COMPUTED_VALUE"""),56953169)</f>
        <v>56953169</v>
      </c>
    </row>
    <row r="1216" customFormat="false" ht="15.75" hidden="false" customHeight="false" outlineLevel="0" collapsed="false">
      <c r="A1216" s="9" t="n">
        <f aca="false">IFERROR(__xludf.dummyfunction("""COMPUTED_VALUE"""),45964.6666666667)</f>
        <v>45964.6666666667</v>
      </c>
      <c r="B1216" s="8" t="n">
        <f aca="false">IFERROR(__xludf.dummyfunction("""COMPUTED_VALUE"""),656)</f>
        <v>656</v>
      </c>
      <c r="C1216" s="8" t="n">
        <f aca="false">IFERROR(__xludf.dummyfunction("""COMPUTED_VALUE"""),659.33)</f>
        <v>659.33</v>
      </c>
      <c r="D1216" s="8" t="n">
        <f aca="false">IFERROR(__xludf.dummyfunction("""COMPUTED_VALUE"""),636.18)</f>
        <v>636.18</v>
      </c>
      <c r="E1216" s="8" t="n">
        <f aca="false">IFERROR(__xludf.dummyfunction("""COMPUTED_VALUE"""),637.71)</f>
        <v>637.71</v>
      </c>
      <c r="F1216" s="8" t="n">
        <f aca="false">IFERROR(__xludf.dummyfunction("""COMPUTED_VALUE"""),33003599)</f>
        <v>33003599</v>
      </c>
    </row>
    <row r="1217" customFormat="false" ht="15.75" hidden="false" customHeight="false" outlineLevel="0" collapsed="false">
      <c r="A1217" s="9" t="n">
        <f aca="false">IFERROR(__xludf.dummyfunction("""COMPUTED_VALUE"""),45965.6666666667)</f>
        <v>45965.6666666667</v>
      </c>
      <c r="B1217" s="8" t="n">
        <f aca="false">IFERROR(__xludf.dummyfunction("""COMPUTED_VALUE"""),628.04)</f>
        <v>628.04</v>
      </c>
      <c r="C1217" s="8" t="n">
        <f aca="false">IFERROR(__xludf.dummyfunction("""COMPUTED_VALUE"""),641.74)</f>
        <v>641.74</v>
      </c>
      <c r="D1217" s="8" t="n">
        <f aca="false">IFERROR(__xludf.dummyfunction("""COMPUTED_VALUE"""),626.01)</f>
        <v>626.01</v>
      </c>
      <c r="E1217" s="8" t="n">
        <f aca="false">IFERROR(__xludf.dummyfunction("""COMPUTED_VALUE"""),627.32)</f>
        <v>627.32</v>
      </c>
      <c r="F1217" s="8" t="n">
        <f aca="false">IFERROR(__xludf.dummyfunction("""COMPUTED_VALUE"""),27356553)</f>
        <v>27356553</v>
      </c>
    </row>
    <row r="1218" customFormat="false" ht="15.75" hidden="false" customHeight="false" outlineLevel="0" collapsed="false">
      <c r="A1218" s="9" t="n">
        <f aca="false">IFERROR(__xludf.dummyfunction("""COMPUTED_VALUE"""),45966.6666666667)</f>
        <v>45966.6666666667</v>
      </c>
      <c r="B1218" s="8" t="n">
        <f aca="false">IFERROR(__xludf.dummyfunction("""COMPUTED_VALUE"""),632.31)</f>
        <v>632.31</v>
      </c>
      <c r="C1218" s="8" t="n">
        <f aca="false">IFERROR(__xludf.dummyfunction("""COMPUTED_VALUE"""),642.23)</f>
        <v>642.23</v>
      </c>
      <c r="D1218" s="8" t="n">
        <f aca="false">IFERROR(__xludf.dummyfunction("""COMPUTED_VALUE"""),626.54)</f>
        <v>626.54</v>
      </c>
      <c r="E1218" s="8" t="n">
        <f aca="false">IFERROR(__xludf.dummyfunction("""COMPUTED_VALUE"""),635.95)</f>
        <v>635.95</v>
      </c>
      <c r="F1218" s="8" t="n">
        <f aca="false">IFERROR(__xludf.dummyfunction("""COMPUTED_VALUE"""),20219855)</f>
        <v>20219855</v>
      </c>
    </row>
    <row r="1219" customFormat="false" ht="15.75" hidden="false" customHeight="false" outlineLevel="0" collapsed="false">
      <c r="A1219" s="9" t="n">
        <f aca="false">IFERROR(__xludf.dummyfunction("""COMPUTED_VALUE"""),45967.6666666667)</f>
        <v>45967.6666666667</v>
      </c>
      <c r="B1219" s="8" t="n">
        <f aca="false">IFERROR(__xludf.dummyfunction("""COMPUTED_VALUE"""),635.85)</f>
        <v>635.85</v>
      </c>
      <c r="C1219" s="8" t="n">
        <f aca="false">IFERROR(__xludf.dummyfunction("""COMPUTED_VALUE"""),636)</f>
        <v>636</v>
      </c>
      <c r="D1219" s="8" t="n">
        <f aca="false">IFERROR(__xludf.dummyfunction("""COMPUTED_VALUE"""),618)</f>
        <v>618</v>
      </c>
      <c r="E1219" s="8" t="n">
        <f aca="false">IFERROR(__xludf.dummyfunction("""COMPUTED_VALUE"""),618.94)</f>
        <v>618.94</v>
      </c>
      <c r="F1219" s="8" t="n">
        <f aca="false">IFERROR(__xludf.dummyfunction("""COMPUTED_VALUE"""),23628750)</f>
        <v>23628750</v>
      </c>
    </row>
    <row r="1220" customFormat="false" ht="15.75" hidden="false" customHeight="false" outlineLevel="0" collapsed="false">
      <c r="A1220" s="9" t="n">
        <f aca="false">IFERROR(__xludf.dummyfunction("""COMPUTED_VALUE"""),45968.6666666667)</f>
        <v>45968.6666666667</v>
      </c>
      <c r="B1220" s="8" t="n">
        <f aca="false">IFERROR(__xludf.dummyfunction("""COMPUTED_VALUE"""),616.49)</f>
        <v>616.49</v>
      </c>
      <c r="C1220" s="8" t="n">
        <f aca="false">IFERROR(__xludf.dummyfunction("""COMPUTED_VALUE"""),622.13)</f>
        <v>622.13</v>
      </c>
      <c r="D1220" s="8" t="n">
        <f aca="false">IFERROR(__xludf.dummyfunction("""COMPUTED_VALUE"""),601.2)</f>
        <v>601.2</v>
      </c>
      <c r="E1220" s="8" t="n">
        <f aca="false">IFERROR(__xludf.dummyfunction("""COMPUTED_VALUE"""),621.71)</f>
        <v>621.71</v>
      </c>
      <c r="F1220" s="8" t="n">
        <f aca="false">IFERROR(__xludf.dummyfunction("""COMPUTED_VALUE"""),29946826)</f>
        <v>29946826</v>
      </c>
    </row>
    <row r="1221" customFormat="false" ht="15.75" hidden="false" customHeight="false" outlineLevel="0" collapsed="false">
      <c r="A1221" s="9" t="n">
        <f aca="false">IFERROR(__xludf.dummyfunction("""COMPUTED_VALUE"""),45971.6666666667)</f>
        <v>45971.6666666667</v>
      </c>
      <c r="B1221" s="8" t="n">
        <f aca="false">IFERROR(__xludf.dummyfunction("""COMPUTED_VALUE"""),631.09)</f>
        <v>631.09</v>
      </c>
      <c r="C1221" s="8" t="n">
        <f aca="false">IFERROR(__xludf.dummyfunction("""COMPUTED_VALUE"""),635)</f>
        <v>635</v>
      </c>
      <c r="D1221" s="8" t="n">
        <f aca="false">IFERROR(__xludf.dummyfunction("""COMPUTED_VALUE"""),618.11)</f>
        <v>618.11</v>
      </c>
      <c r="E1221" s="8" t="n">
        <f aca="false">IFERROR(__xludf.dummyfunction("""COMPUTED_VALUE"""),631.76)</f>
        <v>631.76</v>
      </c>
      <c r="F1221" s="8" t="n">
        <f aca="false">IFERROR(__xludf.dummyfunction("""COMPUTED_VALUE"""),19245000)</f>
        <v>19245000</v>
      </c>
    </row>
    <row r="1222" customFormat="false" ht="15.75" hidden="false" customHeight="false" outlineLevel="0" collapsed="false">
      <c r="A1222" s="9" t="n">
        <f aca="false">IFERROR(__xludf.dummyfunction("""COMPUTED_VALUE"""),45972.6666666667)</f>
        <v>45972.6666666667</v>
      </c>
      <c r="B1222" s="8" t="n">
        <f aca="false">IFERROR(__xludf.dummyfunction("""COMPUTED_VALUE"""),628)</f>
        <v>628</v>
      </c>
      <c r="C1222" s="8" t="n">
        <f aca="false">IFERROR(__xludf.dummyfunction("""COMPUTED_VALUE"""),629.56)</f>
        <v>629.56</v>
      </c>
      <c r="D1222" s="8" t="n">
        <f aca="false">IFERROR(__xludf.dummyfunction("""COMPUTED_VALUE"""),619.39)</f>
        <v>619.39</v>
      </c>
      <c r="E1222" s="8" t="n">
        <f aca="false">IFERROR(__xludf.dummyfunction("""COMPUTED_VALUE"""),627.08)</f>
        <v>627.08</v>
      </c>
      <c r="F1222" s="8" t="n">
        <f aca="false">IFERROR(__xludf.dummyfunction("""COMPUTED_VALUE"""),13302187)</f>
        <v>13302187</v>
      </c>
    </row>
    <row r="1223" customFormat="false" ht="15.75" hidden="false" customHeight="false" outlineLevel="0" collapsed="false">
      <c r="A1223" s="9" t="n">
        <f aca="false">IFERROR(__xludf.dummyfunction("""COMPUTED_VALUE"""),45973.6666666667)</f>
        <v>45973.6666666667</v>
      </c>
      <c r="B1223" s="8" t="n">
        <f aca="false">IFERROR(__xludf.dummyfunction("""COMPUTED_VALUE"""),628.13)</f>
        <v>628.13</v>
      </c>
      <c r="C1223" s="8" t="n">
        <f aca="false">IFERROR(__xludf.dummyfunction("""COMPUTED_VALUE"""),628.99)</f>
        <v>628.99</v>
      </c>
      <c r="D1223" s="8" t="n">
        <f aca="false">IFERROR(__xludf.dummyfunction("""COMPUTED_VALUE"""),607.77)</f>
        <v>607.77</v>
      </c>
      <c r="E1223" s="8" t="n">
        <f aca="false">IFERROR(__xludf.dummyfunction("""COMPUTED_VALUE"""),609.01)</f>
        <v>609.01</v>
      </c>
      <c r="F1223" s="8" t="n">
        <f aca="false">IFERROR(__xludf.dummyfunction("""COMPUTED_VALUE"""),24493272)</f>
        <v>24493272</v>
      </c>
    </row>
    <row r="1224" customFormat="false" ht="15.75" hidden="false" customHeight="false" outlineLevel="0" collapsed="false">
      <c r="A1224" s="9" t="n">
        <f aca="false">IFERROR(__xludf.dummyfunction("""COMPUTED_VALUE"""),45974.6666666667)</f>
        <v>45974.6666666667</v>
      </c>
      <c r="B1224" s="8" t="n">
        <f aca="false">IFERROR(__xludf.dummyfunction("""COMPUTED_VALUE"""),613.07)</f>
        <v>613.07</v>
      </c>
      <c r="C1224" s="8" t="n">
        <f aca="false">IFERROR(__xludf.dummyfunction("""COMPUTED_VALUE"""),617.65)</f>
        <v>617.65</v>
      </c>
      <c r="D1224" s="8" t="n">
        <f aca="false">IFERROR(__xludf.dummyfunction("""COMPUTED_VALUE"""),603)</f>
        <v>603</v>
      </c>
      <c r="E1224" s="8" t="n">
        <f aca="false">IFERROR(__xludf.dummyfunction("""COMPUTED_VALUE"""),609.89)</f>
        <v>609.89</v>
      </c>
      <c r="F1224" s="8" t="n">
        <f aca="false">IFERROR(__xludf.dummyfunction("""COMPUTED_VALUE"""),20973845)</f>
        <v>20973845</v>
      </c>
    </row>
    <row r="1225" customFormat="false" ht="15.75" hidden="false" customHeight="false" outlineLevel="0" collapsed="false">
      <c r="A1225" s="9" t="n">
        <f aca="false">IFERROR(__xludf.dummyfunction("""COMPUTED_VALUE"""),45975.6666666667)</f>
        <v>45975.6666666667</v>
      </c>
      <c r="B1225" s="8" t="n">
        <f aca="false">IFERROR(__xludf.dummyfunction("""COMPUTED_VALUE"""),601.79)</f>
        <v>601.79</v>
      </c>
      <c r="C1225" s="8" t="n">
        <f aca="false">IFERROR(__xludf.dummyfunction("""COMPUTED_VALUE"""),613.68)</f>
        <v>613.68</v>
      </c>
      <c r="D1225" s="8" t="n">
        <f aca="false">IFERROR(__xludf.dummyfunction("""COMPUTED_VALUE"""),595.2)</f>
        <v>595.2</v>
      </c>
      <c r="E1225" s="8" t="n">
        <f aca="false">IFERROR(__xludf.dummyfunction("""COMPUTED_VALUE"""),609.46)</f>
        <v>609.46</v>
      </c>
      <c r="F1225" s="8" t="n">
        <f aca="false">IFERROR(__xludf.dummyfunction("""COMPUTED_VALUE"""),20724146)</f>
        <v>20724146</v>
      </c>
    </row>
    <row r="1226" customFormat="false" ht="15.75" hidden="false" customHeight="false" outlineLevel="0" collapsed="false">
      <c r="A1226" s="9" t="n">
        <f aca="false">IFERROR(__xludf.dummyfunction("""COMPUTED_VALUE"""),45978.6666666667)</f>
        <v>45978.6666666667</v>
      </c>
      <c r="B1226" s="8" t="n">
        <f aca="false">IFERROR(__xludf.dummyfunction("""COMPUTED_VALUE"""),609.04)</f>
        <v>609.04</v>
      </c>
      <c r="C1226" s="8" t="n">
        <f aca="false">IFERROR(__xludf.dummyfunction("""COMPUTED_VALUE"""),611.69)</f>
        <v>611.69</v>
      </c>
      <c r="D1226" s="8" t="n">
        <f aca="false">IFERROR(__xludf.dummyfunction("""COMPUTED_VALUE"""),595.4)</f>
        <v>595.4</v>
      </c>
      <c r="E1226" s="8" t="n">
        <f aca="false">IFERROR(__xludf.dummyfunction("""COMPUTED_VALUE"""),602.01)</f>
        <v>602.01</v>
      </c>
      <c r="F1226" s="8" t="n">
        <f aca="false">IFERROR(__xludf.dummyfunction("""COMPUTED_VALUE"""),16501331)</f>
        <v>16501331</v>
      </c>
    </row>
    <row r="1227" customFormat="false" ht="15.75" hidden="false" customHeight="false" outlineLevel="0" collapsed="false">
      <c r="A1227" s="9" t="n">
        <f aca="false">IFERROR(__xludf.dummyfunction("""COMPUTED_VALUE"""),45979.6666666667)</f>
        <v>45979.6666666667</v>
      </c>
      <c r="B1227" s="8" t="n">
        <f aca="false">IFERROR(__xludf.dummyfunction("""COMPUTED_VALUE"""),591.6)</f>
        <v>591.6</v>
      </c>
      <c r="C1227" s="8" t="n">
        <f aca="false">IFERROR(__xludf.dummyfunction("""COMPUTED_VALUE"""),603.66)</f>
        <v>603.66</v>
      </c>
      <c r="D1227" s="8" t="n">
        <f aca="false">IFERROR(__xludf.dummyfunction("""COMPUTED_VALUE"""),583.78)</f>
        <v>583.78</v>
      </c>
      <c r="E1227" s="8" t="n">
        <f aca="false">IFERROR(__xludf.dummyfunction("""COMPUTED_VALUE"""),597.69)</f>
        <v>597.69</v>
      </c>
      <c r="F1227" s="8" t="n">
        <f aca="false">IFERROR(__xludf.dummyfunction("""COMPUTED_VALUE"""),25500647)</f>
        <v>25500647</v>
      </c>
    </row>
    <row r="1228" customFormat="false" ht="15.75" hidden="false" customHeight="false" outlineLevel="0" collapsed="false">
      <c r="A1228" s="9" t="n">
        <f aca="false">IFERROR(__xludf.dummyfunction("""COMPUTED_VALUE"""),45980.6666666667)</f>
        <v>45980.6666666667</v>
      </c>
      <c r="B1228" s="8" t="n">
        <f aca="false">IFERROR(__xludf.dummyfunction("""COMPUTED_VALUE"""),593.72)</f>
        <v>593.72</v>
      </c>
      <c r="C1228" s="8" t="n">
        <f aca="false">IFERROR(__xludf.dummyfunction("""COMPUTED_VALUE"""),595.33)</f>
        <v>595.33</v>
      </c>
      <c r="D1228" s="8" t="n">
        <f aca="false">IFERROR(__xludf.dummyfunction("""COMPUTED_VALUE"""),581.25)</f>
        <v>581.25</v>
      </c>
      <c r="E1228" s="8" t="n">
        <f aca="false">IFERROR(__xludf.dummyfunction("""COMPUTED_VALUE"""),590.32)</f>
        <v>590.32</v>
      </c>
      <c r="F1228" s="8" t="n">
        <f aca="false">IFERROR(__xludf.dummyfunction("""COMPUTED_VALUE"""),24744703)</f>
        <v>24744703</v>
      </c>
    </row>
    <row r="1229" customFormat="false" ht="15.75" hidden="false" customHeight="false" outlineLevel="0" collapsed="false">
      <c r="A1229" s="9" t="n">
        <f aca="false">IFERROR(__xludf.dummyfunction("""COMPUTED_VALUE"""),45981.6666666667)</f>
        <v>45981.6666666667</v>
      </c>
      <c r="B1229" s="8" t="n">
        <f aca="false">IFERROR(__xludf.dummyfunction("""COMPUTED_VALUE"""),603.5)</f>
        <v>603.5</v>
      </c>
      <c r="C1229" s="8" t="n">
        <f aca="false">IFERROR(__xludf.dummyfunction("""COMPUTED_VALUE"""),606.72)</f>
        <v>606.72</v>
      </c>
      <c r="D1229" s="8" t="n">
        <f aca="false">IFERROR(__xludf.dummyfunction("""COMPUTED_VALUE"""),583.35)</f>
        <v>583.35</v>
      </c>
      <c r="E1229" s="8" t="n">
        <f aca="false">IFERROR(__xludf.dummyfunction("""COMPUTED_VALUE"""),589.15)</f>
        <v>589.15</v>
      </c>
      <c r="F1229" s="8" t="n">
        <f aca="false">IFERROR(__xludf.dummyfunction("""COMPUTED_VALUE"""),20603024)</f>
        <v>20603024</v>
      </c>
    </row>
    <row r="1230" customFormat="false" ht="15.75" hidden="false" customHeight="false" outlineLevel="0" collapsed="false">
      <c r="A1230" s="9" t="n">
        <f aca="false">IFERROR(__xludf.dummyfunction("""COMPUTED_VALUE"""),45982.6666666667)</f>
        <v>45982.6666666667</v>
      </c>
      <c r="B1230" s="8" t="n">
        <f aca="false">IFERROR(__xludf.dummyfunction("""COMPUTED_VALUE"""),588.5)</f>
        <v>588.5</v>
      </c>
      <c r="C1230" s="8" t="n">
        <f aca="false">IFERROR(__xludf.dummyfunction("""COMPUTED_VALUE"""),598.12)</f>
        <v>598.12</v>
      </c>
      <c r="D1230" s="8" t="n">
        <f aca="false">IFERROR(__xludf.dummyfunction("""COMPUTED_VALUE"""),581.86)</f>
        <v>581.86</v>
      </c>
      <c r="E1230" s="8" t="n">
        <f aca="false">IFERROR(__xludf.dummyfunction("""COMPUTED_VALUE"""),594.25)</f>
        <v>594.25</v>
      </c>
      <c r="F1230" s="8" t="n">
        <f aca="false">IFERROR(__xludf.dummyfunction("""COMPUTED_VALUE"""),21052624)</f>
        <v>21052624</v>
      </c>
    </row>
    <row r="1231" customFormat="false" ht="15.75" hidden="false" customHeight="false" outlineLevel="0" collapsed="false">
      <c r="A1231" s="9" t="n">
        <f aca="false">IFERROR(__xludf.dummyfunction("""COMPUTED_VALUE"""),45985.6666666667)</f>
        <v>45985.6666666667</v>
      </c>
      <c r="B1231" s="8" t="n">
        <f aca="false">IFERROR(__xludf.dummyfunction("""COMPUTED_VALUE"""),598.72)</f>
        <v>598.72</v>
      </c>
      <c r="C1231" s="8" t="n">
        <f aca="false">IFERROR(__xludf.dummyfunction("""COMPUTED_VALUE"""),616.7)</f>
        <v>616.7</v>
      </c>
      <c r="D1231" s="8" t="n">
        <f aca="false">IFERROR(__xludf.dummyfunction("""COMPUTED_VALUE"""),597.63)</f>
        <v>597.63</v>
      </c>
      <c r="E1231" s="8" t="n">
        <f aca="false">IFERROR(__xludf.dummyfunction("""COMPUTED_VALUE"""),613.05)</f>
        <v>613.05</v>
      </c>
      <c r="F1231" s="8" t="n">
        <f aca="false">IFERROR(__xludf.dummyfunction("""COMPUTED_VALUE"""),23554932)</f>
        <v>23554932</v>
      </c>
    </row>
    <row r="1232" customFormat="false" ht="15.75" hidden="false" customHeight="false" outlineLevel="0" collapsed="false">
      <c r="A1232" s="9" t="n">
        <f aca="false">IFERROR(__xludf.dummyfunction("""COMPUTED_VALUE"""),45986.6666666667)</f>
        <v>45986.6666666667</v>
      </c>
      <c r="B1232" s="8" t="n">
        <f aca="false">IFERROR(__xludf.dummyfunction("""COMPUTED_VALUE"""),624)</f>
        <v>624</v>
      </c>
      <c r="C1232" s="8" t="n">
        <f aca="false">IFERROR(__xludf.dummyfunction("""COMPUTED_VALUE"""),637.04)</f>
        <v>637.04</v>
      </c>
      <c r="D1232" s="8" t="n">
        <f aca="false">IFERROR(__xludf.dummyfunction("""COMPUTED_VALUE"""),618.3)</f>
        <v>618.3</v>
      </c>
      <c r="E1232" s="8" t="n">
        <f aca="false">IFERROR(__xludf.dummyfunction("""COMPUTED_VALUE"""),636.22)</f>
        <v>636.22</v>
      </c>
      <c r="F1232" s="8" t="n">
        <f aca="false">IFERROR(__xludf.dummyfunction("""COMPUTED_VALUE"""),25212978)</f>
        <v>25212978</v>
      </c>
    </row>
    <row r="1233" customFormat="false" ht="15.75" hidden="false" customHeight="false" outlineLevel="0" collapsed="false">
      <c r="A1233" s="9" t="n">
        <f aca="false">IFERROR(__xludf.dummyfunction("""COMPUTED_VALUE"""),45987.6666666667)</f>
        <v>45987.6666666667</v>
      </c>
      <c r="B1233" s="8" t="n">
        <f aca="false">IFERROR(__xludf.dummyfunction("""COMPUTED_VALUE"""),637.69)</f>
        <v>637.69</v>
      </c>
      <c r="C1233" s="8" t="n">
        <f aca="false">IFERROR(__xludf.dummyfunction("""COMPUTED_VALUE"""),638.36)</f>
        <v>638.36</v>
      </c>
      <c r="D1233" s="8" t="n">
        <f aca="false">IFERROR(__xludf.dummyfunction("""COMPUTED_VALUE"""),631.63)</f>
        <v>631.63</v>
      </c>
      <c r="E1233" s="8" t="n">
        <f aca="false">IFERROR(__xludf.dummyfunction("""COMPUTED_VALUE"""),633.61)</f>
        <v>633.61</v>
      </c>
      <c r="F1233" s="8" t="n">
        <f aca="false">IFERROR(__xludf.dummyfunction("""COMPUTED_VALUE"""),15209481)</f>
        <v>15209481</v>
      </c>
    </row>
    <row r="1234" customFormat="false" ht="15.75" hidden="false" customHeight="false" outlineLevel="0" collapsed="false">
      <c r="A1234" s="9" t="n">
        <f aca="false">IFERROR(__xludf.dummyfunction("""COMPUTED_VALUE"""),45989.5451388889)</f>
        <v>45989.5451388889</v>
      </c>
      <c r="B1234" s="8" t="n">
        <f aca="false">IFERROR(__xludf.dummyfunction("""COMPUTED_VALUE"""),636.08)</f>
        <v>636.08</v>
      </c>
      <c r="C1234" s="8" t="n">
        <f aca="false">IFERROR(__xludf.dummyfunction("""COMPUTED_VALUE"""),648.05)</f>
        <v>648.05</v>
      </c>
      <c r="D1234" s="8" t="n">
        <f aca="false">IFERROR(__xludf.dummyfunction("""COMPUTED_VALUE"""),635.5)</f>
        <v>635.5</v>
      </c>
      <c r="E1234" s="8" t="n">
        <f aca="false">IFERROR(__xludf.dummyfunction("""COMPUTED_VALUE"""),647.95)</f>
        <v>647.95</v>
      </c>
      <c r="F1234" s="8" t="n">
        <f aca="false">IFERROR(__xludf.dummyfunction("""COMPUTED_VALUE"""),11033198)</f>
        <v>11033198</v>
      </c>
    </row>
    <row r="1235" customFormat="false" ht="15.75" hidden="false" customHeight="false" outlineLevel="0" collapsed="false">
      <c r="A1235" s="9" t="n">
        <f aca="false">IFERROR(__xludf.dummyfunction("""COMPUTED_VALUE"""),45992.6666666667)</f>
        <v>45992.6666666667</v>
      </c>
      <c r="B1235" s="8" t="n">
        <f aca="false">IFERROR(__xludf.dummyfunction("""COMPUTED_VALUE"""),639.55)</f>
        <v>639.55</v>
      </c>
      <c r="C1235" s="8" t="n">
        <f aca="false">IFERROR(__xludf.dummyfunction("""COMPUTED_VALUE"""),645.32)</f>
        <v>645.32</v>
      </c>
      <c r="D1235" s="8" t="n">
        <f aca="false">IFERROR(__xludf.dummyfunction("""COMPUTED_VALUE"""),637.76)</f>
        <v>637.76</v>
      </c>
      <c r="E1235" s="8" t="n">
        <f aca="false">IFERROR(__xludf.dummyfunction("""COMPUTED_VALUE"""),640.87)</f>
        <v>640.87</v>
      </c>
      <c r="F1235" s="8" t="n">
        <f aca="false">IFERROR(__xludf.dummyfunction("""COMPUTED_VALUE"""),13029922)</f>
        <v>13029922</v>
      </c>
    </row>
    <row r="1236" customFormat="false" ht="15.75" hidden="false" customHeight="false" outlineLevel="0" collapsed="false">
      <c r="A1236" s="9" t="n">
        <f aca="false">IFERROR(__xludf.dummyfunction("""COMPUTED_VALUE"""),45993.6666666667)</f>
        <v>45993.6666666667</v>
      </c>
      <c r="B1236" s="8" t="n">
        <f aca="false">IFERROR(__xludf.dummyfunction("""COMPUTED_VALUE"""),642.34)</f>
        <v>642.34</v>
      </c>
      <c r="C1236" s="8" t="n">
        <f aca="false">IFERROR(__xludf.dummyfunction("""COMPUTED_VALUE"""),647.87)</f>
        <v>647.87</v>
      </c>
      <c r="D1236" s="8" t="n">
        <f aca="false">IFERROR(__xludf.dummyfunction("""COMPUTED_VALUE"""),638.07)</f>
        <v>638.07</v>
      </c>
      <c r="E1236" s="8" t="n">
        <f aca="false">IFERROR(__xludf.dummyfunction("""COMPUTED_VALUE"""),647.1)</f>
        <v>647.1</v>
      </c>
      <c r="F1236" s="8" t="n">
        <f aca="false">IFERROR(__xludf.dummyfunction("""COMPUTED_VALUE"""),11640869)</f>
        <v>11640869</v>
      </c>
    </row>
    <row r="1237" customFormat="false" ht="15.75" hidden="false" customHeight="false" outlineLevel="0" collapsed="false">
      <c r="A1237" s="9" t="n">
        <f aca="false">IFERROR(__xludf.dummyfunction("""COMPUTED_VALUE"""),45994.6666666667)</f>
        <v>45994.6666666667</v>
      </c>
      <c r="B1237" s="8" t="n">
        <f aca="false">IFERROR(__xludf.dummyfunction("""COMPUTED_VALUE"""),644.41)</f>
        <v>644.41</v>
      </c>
      <c r="C1237" s="8" t="n">
        <f aca="false">IFERROR(__xludf.dummyfunction("""COMPUTED_VALUE"""),648.85)</f>
        <v>648.85</v>
      </c>
      <c r="D1237" s="8" t="n">
        <f aca="false">IFERROR(__xludf.dummyfunction("""COMPUTED_VALUE"""),637.55)</f>
        <v>637.55</v>
      </c>
      <c r="E1237" s="8" t="n">
        <f aca="false">IFERROR(__xludf.dummyfunction("""COMPUTED_VALUE"""),639.6)</f>
        <v>639.6</v>
      </c>
      <c r="F1237" s="8" t="n">
        <f aca="false">IFERROR(__xludf.dummyfunction("""COMPUTED_VALUE"""),11134305)</f>
        <v>11134305</v>
      </c>
    </row>
    <row r="1238" customFormat="false" ht="15.75" hidden="false" customHeight="false" outlineLevel="0" collapsed="false">
      <c r="A1238" s="9" t="n">
        <f aca="false">IFERROR(__xludf.dummyfunction("""COMPUTED_VALUE"""),45995.6666666667)</f>
        <v>45995.6666666667</v>
      </c>
      <c r="B1238" s="8" t="n">
        <f aca="false">IFERROR(__xludf.dummyfunction("""COMPUTED_VALUE"""),676)</f>
        <v>676</v>
      </c>
      <c r="C1238" s="8" t="n">
        <f aca="false">IFERROR(__xludf.dummyfunction("""COMPUTED_VALUE"""),676.1)</f>
        <v>676.1</v>
      </c>
      <c r="D1238" s="8" t="n">
        <f aca="false">IFERROR(__xludf.dummyfunction("""COMPUTED_VALUE"""),660.05)</f>
        <v>660.05</v>
      </c>
      <c r="E1238" s="8" t="n">
        <f aca="false">IFERROR(__xludf.dummyfunction("""COMPUTED_VALUE"""),661.53)</f>
        <v>661.53</v>
      </c>
      <c r="F1238" s="8" t="n">
        <f aca="false">IFERROR(__xludf.dummyfunction("""COMPUTED_VALUE"""),29874622)</f>
        <v>29874622</v>
      </c>
    </row>
    <row r="1239" customFormat="false" ht="15.75" hidden="false" customHeight="false" outlineLevel="0" collapsed="false">
      <c r="A1239" s="9" t="n">
        <f aca="false">IFERROR(__xludf.dummyfunction("""COMPUTED_VALUE"""),45996.6666666667)</f>
        <v>45996.6666666667</v>
      </c>
      <c r="B1239" s="8" t="n">
        <f aca="false">IFERROR(__xludf.dummyfunction("""COMPUTED_VALUE"""),664)</f>
        <v>664</v>
      </c>
      <c r="C1239" s="8" t="n">
        <f aca="false">IFERROR(__xludf.dummyfunction("""COMPUTED_VALUE"""),674.69)</f>
        <v>674.69</v>
      </c>
      <c r="D1239" s="8" t="n">
        <f aca="false">IFERROR(__xludf.dummyfunction("""COMPUTED_VALUE"""),662.39)</f>
        <v>662.39</v>
      </c>
      <c r="E1239" s="8" t="n">
        <f aca="false">IFERROR(__xludf.dummyfunction("""COMPUTED_VALUE"""),673.42)</f>
        <v>673.42</v>
      </c>
      <c r="F1239" s="8" t="n">
        <f aca="false">IFERROR(__xludf.dummyfunction("""COMPUTED_VALUE"""),21207861)</f>
        <v>21207861</v>
      </c>
    </row>
    <row r="1240" customFormat="false" ht="15.75" hidden="false" customHeight="false" outlineLevel="0" collapsed="false">
      <c r="A1240" s="9" t="n">
        <f aca="false">IFERROR(__xludf.dummyfunction("""COMPUTED_VALUE"""),45999.6666666667)</f>
        <v>45999.6666666667</v>
      </c>
      <c r="B1240" s="8" t="n">
        <f aca="false">IFERROR(__xludf.dummyfunction("""COMPUTED_VALUE"""),669.34)</f>
        <v>669.34</v>
      </c>
      <c r="C1240" s="8" t="n">
        <f aca="false">IFERROR(__xludf.dummyfunction("""COMPUTED_VALUE"""),676.71)</f>
        <v>676.71</v>
      </c>
      <c r="D1240" s="8" t="n">
        <f aca="false">IFERROR(__xludf.dummyfunction("""COMPUTED_VALUE"""),665.07)</f>
        <v>665.07</v>
      </c>
      <c r="E1240" s="8" t="n">
        <f aca="false">IFERROR(__xludf.dummyfunction("""COMPUTED_VALUE"""),666.8)</f>
        <v>666.8</v>
      </c>
      <c r="F1240" s="8" t="n">
        <f aca="false">IFERROR(__xludf.dummyfunction("""COMPUTED_VALUE"""),13160976)</f>
        <v>13160976</v>
      </c>
    </row>
    <row r="1241" customFormat="false" ht="15.75" hidden="false" customHeight="false" outlineLevel="0" collapsed="false">
      <c r="A1241" s="9" t="n">
        <f aca="false">IFERROR(__xludf.dummyfunction("""COMPUTED_VALUE"""),46000.6666666667)</f>
        <v>46000.6666666667</v>
      </c>
      <c r="B1241" s="8" t="n">
        <f aca="false">IFERROR(__xludf.dummyfunction("""COMPUTED_VALUE"""),663.77)</f>
        <v>663.77</v>
      </c>
      <c r="C1241" s="8" t="n">
        <f aca="false">IFERROR(__xludf.dummyfunction("""COMPUTED_VALUE"""),664.48)</f>
        <v>664.48</v>
      </c>
      <c r="D1241" s="8" t="n">
        <f aca="false">IFERROR(__xludf.dummyfunction("""COMPUTED_VALUE"""),653.34)</f>
        <v>653.34</v>
      </c>
      <c r="E1241" s="8" t="n">
        <f aca="false">IFERROR(__xludf.dummyfunction("""COMPUTED_VALUE"""),656.96)</f>
        <v>656.96</v>
      </c>
      <c r="F1241" s="8" t="n">
        <f aca="false">IFERROR(__xludf.dummyfunction("""COMPUTED_VALUE"""),12997116)</f>
        <v>12997116</v>
      </c>
    </row>
    <row r="1242" customFormat="false" ht="15.75" hidden="false" customHeight="false" outlineLevel="0" collapsed="false">
      <c r="A1242" s="9" t="n">
        <f aca="false">IFERROR(__xludf.dummyfunction("""COMPUTED_VALUE"""),46001.6666666667)</f>
        <v>46001.6666666667</v>
      </c>
      <c r="B1242" s="8" t="n">
        <f aca="false">IFERROR(__xludf.dummyfunction("""COMPUTED_VALUE"""),649.95)</f>
        <v>649.95</v>
      </c>
      <c r="C1242" s="8" t="n">
        <f aca="false">IFERROR(__xludf.dummyfunction("""COMPUTED_VALUE"""),654.51)</f>
        <v>654.51</v>
      </c>
      <c r="D1242" s="8" t="n">
        <f aca="false">IFERROR(__xludf.dummyfunction("""COMPUTED_VALUE"""),643.4)</f>
        <v>643.4</v>
      </c>
      <c r="E1242" s="8" t="n">
        <f aca="false">IFERROR(__xludf.dummyfunction("""COMPUTED_VALUE"""),650.13)</f>
        <v>650.13</v>
      </c>
      <c r="F1242" s="8" t="n">
        <f aca="false">IFERROR(__xludf.dummyfunction("""COMPUTED_VALUE"""),16910883)</f>
        <v>16910883</v>
      </c>
    </row>
    <row r="1243" customFormat="false" ht="15.75" hidden="false" customHeight="false" outlineLevel="0" collapsed="false">
      <c r="A1243" s="9" t="n">
        <f aca="false">IFERROR(__xludf.dummyfunction("""COMPUTED_VALUE"""),46002.6666666667)</f>
        <v>46002.6666666667</v>
      </c>
      <c r="B1243" s="8" t="n">
        <f aca="false">IFERROR(__xludf.dummyfunction("""COMPUTED_VALUE"""),643.29)</f>
        <v>643.29</v>
      </c>
      <c r="C1243" s="8" t="n">
        <f aca="false">IFERROR(__xludf.dummyfunction("""COMPUTED_VALUE"""),655.28)</f>
        <v>655.28</v>
      </c>
      <c r="D1243" s="8" t="n">
        <f aca="false">IFERROR(__xludf.dummyfunction("""COMPUTED_VALUE"""),640.79)</f>
        <v>640.79</v>
      </c>
      <c r="E1243" s="8" t="n">
        <f aca="false">IFERROR(__xludf.dummyfunction("""COMPUTED_VALUE"""),652.71)</f>
        <v>652.71</v>
      </c>
      <c r="F1243" s="8" t="n">
        <f aca="false">IFERROR(__xludf.dummyfunction("""COMPUTED_VALUE"""),13056726)</f>
        <v>13056726</v>
      </c>
    </row>
    <row r="1244" customFormat="false" ht="15.75" hidden="false" customHeight="false" outlineLevel="0" collapsed="false">
      <c r="A1244" s="9" t="n">
        <f aca="false">IFERROR(__xludf.dummyfunction("""COMPUTED_VALUE"""),46003.6666666667)</f>
        <v>46003.6666666667</v>
      </c>
      <c r="B1244" s="8" t="n">
        <f aca="false">IFERROR(__xludf.dummyfunction("""COMPUTED_VALUE"""),649.8)</f>
        <v>649.8</v>
      </c>
      <c r="C1244" s="8" t="n">
        <f aca="false">IFERROR(__xludf.dummyfunction("""COMPUTED_VALUE"""),711)</f>
        <v>711</v>
      </c>
      <c r="D1244" s="8" t="n">
        <f aca="false">IFERROR(__xludf.dummyfunction("""COMPUTED_VALUE"""),638.61)</f>
        <v>638.61</v>
      </c>
      <c r="E1244" s="8" t="n">
        <f aca="false">IFERROR(__xludf.dummyfunction("""COMPUTED_VALUE"""),644.23)</f>
        <v>644.23</v>
      </c>
      <c r="F1244" s="8" t="n">
        <f aca="false">IFERROR(__xludf.dummyfunction("""COMPUTED_VALUE"""),14016915)</f>
        <v>14016915</v>
      </c>
    </row>
    <row r="1245" customFormat="false" ht="15.75" hidden="false" customHeight="false" outlineLevel="0" collapsed="false">
      <c r="A1245" s="9" t="n">
        <f aca="false">IFERROR(__xludf.dummyfunction("""COMPUTED_VALUE"""),46006.6666666667)</f>
        <v>46006.6666666667</v>
      </c>
      <c r="B1245" s="8" t="n">
        <f aca="false">IFERROR(__xludf.dummyfunction("""COMPUTED_VALUE"""),645.7)</f>
        <v>645.7</v>
      </c>
      <c r="C1245" s="8" t="n">
        <f aca="false">IFERROR(__xludf.dummyfunction("""COMPUTED_VALUE"""),653)</f>
        <v>653</v>
      </c>
      <c r="D1245" s="8" t="n">
        <f aca="false">IFERROR(__xludf.dummyfunction("""COMPUTED_VALUE"""),638.7)</f>
        <v>638.7</v>
      </c>
      <c r="E1245" s="8" t="n">
        <f aca="false">IFERROR(__xludf.dummyfunction("""COMPUTED_VALUE"""),647.51)</f>
        <v>647.51</v>
      </c>
      <c r="F1245" s="8" t="n">
        <f aca="false">IFERROR(__xludf.dummyfunction("""COMPUTED_VALUE"""),15549088)</f>
        <v>15549088</v>
      </c>
    </row>
    <row r="1246" customFormat="false" ht="15.75" hidden="false" customHeight="false" outlineLevel="0" collapsed="false">
      <c r="A1246" s="9" t="n">
        <f aca="false">IFERROR(__xludf.dummyfunction("""COMPUTED_VALUE"""),46007.6666666667)</f>
        <v>46007.6666666667</v>
      </c>
      <c r="B1246" s="8" t="n">
        <f aca="false">IFERROR(__xludf.dummyfunction("""COMPUTED_VALUE"""),643.5)</f>
        <v>643.5</v>
      </c>
      <c r="C1246" s="8" t="n">
        <f aca="false">IFERROR(__xludf.dummyfunction("""COMPUTED_VALUE"""),662.54)</f>
        <v>662.54</v>
      </c>
      <c r="D1246" s="8" t="n">
        <f aca="false">IFERROR(__xludf.dummyfunction("""COMPUTED_VALUE"""),643.2)</f>
        <v>643.2</v>
      </c>
      <c r="E1246" s="8" t="n">
        <f aca="false">IFERROR(__xludf.dummyfunction("""COMPUTED_VALUE"""),657.15)</f>
        <v>657.15</v>
      </c>
      <c r="F1246" s="8" t="n">
        <f aca="false">IFERROR(__xludf.dummyfunction("""COMPUTED_VALUE"""),14309136)</f>
        <v>14309136</v>
      </c>
    </row>
    <row r="1247" customFormat="false" ht="15.75" hidden="false" customHeight="false" outlineLevel="0" collapsed="false">
      <c r="A1247" s="9" t="n">
        <f aca="false">IFERROR(__xludf.dummyfunction("""COMPUTED_VALUE"""),46008.6666666667)</f>
        <v>46008.6666666667</v>
      </c>
      <c r="B1247" s="8" t="n">
        <f aca="false">IFERROR(__xludf.dummyfunction("""COMPUTED_VALUE"""),655.61)</f>
        <v>655.61</v>
      </c>
      <c r="C1247" s="8" t="n">
        <f aca="false">IFERROR(__xludf.dummyfunction("""COMPUTED_VALUE"""),661.23)</f>
        <v>661.23</v>
      </c>
      <c r="D1247" s="8" t="n">
        <f aca="false">IFERROR(__xludf.dummyfunction("""COMPUTED_VALUE"""),649.2)</f>
        <v>649.2</v>
      </c>
      <c r="E1247" s="8" t="n">
        <f aca="false">IFERROR(__xludf.dummyfunction("""COMPUTED_VALUE"""),649.5)</f>
        <v>649.5</v>
      </c>
      <c r="F1247" s="8" t="n">
        <f aca="false">IFERROR(__xludf.dummyfunction("""COMPUTED_VALUE"""),15598548)</f>
        <v>15598548</v>
      </c>
    </row>
    <row r="1248" customFormat="false" ht="15.75" hidden="false" customHeight="false" outlineLevel="0" collapsed="false">
      <c r="A1248" s="9" t="n">
        <f aca="false">IFERROR(__xludf.dummyfunction("""COMPUTED_VALUE"""),46009.6666666667)</f>
        <v>46009.6666666667</v>
      </c>
      <c r="B1248" s="8" t="n">
        <f aca="false">IFERROR(__xludf.dummyfunction("""COMPUTED_VALUE"""),657.03)</f>
        <v>657.03</v>
      </c>
      <c r="C1248" s="8" t="n">
        <f aca="false">IFERROR(__xludf.dummyfunction("""COMPUTED_VALUE"""),670.56)</f>
        <v>670.56</v>
      </c>
      <c r="D1248" s="8" t="n">
        <f aca="false">IFERROR(__xludf.dummyfunction("""COMPUTED_VALUE"""),656.46)</f>
        <v>656.46</v>
      </c>
      <c r="E1248" s="8" t="n">
        <f aca="false">IFERROR(__xludf.dummyfunction("""COMPUTED_VALUE"""),664.45)</f>
        <v>664.45</v>
      </c>
      <c r="F1248" s="8" t="n">
        <f aca="false">IFERROR(__xludf.dummyfunction("""COMPUTED_VALUE"""),20260295)</f>
        <v>20260295</v>
      </c>
    </row>
    <row r="1249" customFormat="false" ht="15.75" hidden="false" customHeight="false" outlineLevel="0" collapsed="false">
      <c r="A1249" s="9" t="n">
        <f aca="false">IFERROR(__xludf.dummyfunction("""COMPUTED_VALUE"""),46010.6666666667)</f>
        <v>46010.6666666667</v>
      </c>
      <c r="B1249" s="8" t="n">
        <f aca="false">IFERROR(__xludf.dummyfunction("""COMPUTED_VALUE"""),666.42)</f>
        <v>666.42</v>
      </c>
      <c r="C1249" s="8" t="n">
        <f aca="false">IFERROR(__xludf.dummyfunction("""COMPUTED_VALUE"""),671)</f>
        <v>671</v>
      </c>
      <c r="D1249" s="8" t="n">
        <f aca="false">IFERROR(__xludf.dummyfunction("""COMPUTED_VALUE"""),658.18)</f>
        <v>658.18</v>
      </c>
      <c r="E1249" s="8" t="n">
        <f aca="false">IFERROR(__xludf.dummyfunction("""COMPUTED_VALUE"""),658.77)</f>
        <v>658.77</v>
      </c>
      <c r="F1249" s="8" t="n">
        <f aca="false">IFERROR(__xludf.dummyfunction("""COMPUTED_VALUE"""),49977051)</f>
        <v>49977051</v>
      </c>
    </row>
    <row r="1250" customFormat="false" ht="15.75" hidden="false" customHeight="false" outlineLevel="0" collapsed="false">
      <c r="A1250" s="9" t="n">
        <f aca="false">IFERROR(__xludf.dummyfunction("""COMPUTED_VALUE"""),46013.6666666667)</f>
        <v>46013.6666666667</v>
      </c>
      <c r="B1250" s="8" t="n">
        <f aca="false">IFERROR(__xludf.dummyfunction("""COMPUTED_VALUE"""),661.65)</f>
        <v>661.65</v>
      </c>
      <c r="C1250" s="8" t="n">
        <f aca="false">IFERROR(__xludf.dummyfunction("""COMPUTED_VALUE"""),673.58)</f>
        <v>673.58</v>
      </c>
      <c r="D1250" s="8" t="n">
        <f aca="false">IFERROR(__xludf.dummyfunction("""COMPUTED_VALUE"""),656.65)</f>
        <v>656.65</v>
      </c>
      <c r="E1250" s="8" t="n">
        <f aca="false">IFERROR(__xludf.dummyfunction("""COMPUTED_VALUE"""),661.5)</f>
        <v>661.5</v>
      </c>
      <c r="F1250" s="8" t="n">
        <f aca="false">IFERROR(__xludf.dummyfunction("""COMPUTED_VALUE"""),15659385)</f>
        <v>15659385</v>
      </c>
    </row>
    <row r="1251" customFormat="false" ht="15.75" hidden="false" customHeight="false" outlineLevel="0" collapsed="false">
      <c r="A1251" s="9" t="n">
        <f aca="false">IFERROR(__xludf.dummyfunction("""COMPUTED_VALUE"""),46014.6666666667)</f>
        <v>46014.6666666667</v>
      </c>
      <c r="B1251" s="8" t="n">
        <f aca="false">IFERROR(__xludf.dummyfunction("""COMPUTED_VALUE"""),660.05)</f>
        <v>660.05</v>
      </c>
      <c r="C1251" s="8" t="n">
        <f aca="false">IFERROR(__xludf.dummyfunction("""COMPUTED_VALUE"""),666)</f>
        <v>666</v>
      </c>
      <c r="D1251" s="8" t="n">
        <f aca="false">IFERROR(__xludf.dummyfunction("""COMPUTED_VALUE"""),658.25)</f>
        <v>658.25</v>
      </c>
      <c r="E1251" s="8" t="n">
        <f aca="false">IFERROR(__xludf.dummyfunction("""COMPUTED_VALUE"""),664.94)</f>
        <v>664.94</v>
      </c>
      <c r="F1251" s="8" t="n">
        <f aca="false">IFERROR(__xludf.dummyfunction("""COMPUTED_VALUE"""),8486847)</f>
        <v>8486847</v>
      </c>
    </row>
    <row r="1252" customFormat="false" ht="15.75" hidden="false" customHeight="false" outlineLevel="0" collapsed="false">
      <c r="A1252" s="9" t="n">
        <f aca="false">IFERROR(__xludf.dummyfunction("""COMPUTED_VALUE"""),46015.5451388889)</f>
        <v>46015.5451388889</v>
      </c>
      <c r="B1252" s="8" t="n">
        <f aca="false">IFERROR(__xludf.dummyfunction("""COMPUTED_VALUE"""),662.53)</f>
        <v>662.53</v>
      </c>
      <c r="C1252" s="8" t="n">
        <f aca="false">IFERROR(__xludf.dummyfunction("""COMPUTED_VALUE"""),668.18)</f>
        <v>668.18</v>
      </c>
      <c r="D1252" s="8" t="n">
        <f aca="false">IFERROR(__xludf.dummyfunction("""COMPUTED_VALUE"""),662.2)</f>
        <v>662.2</v>
      </c>
      <c r="E1252" s="8" t="n">
        <f aca="false">IFERROR(__xludf.dummyfunction("""COMPUTED_VALUE"""),667.55)</f>
        <v>667.55</v>
      </c>
      <c r="F1252" s="8" t="n">
        <f aca="false">IFERROR(__xludf.dummyfunction("""COMPUTED_VALUE"""),5627512)</f>
        <v>5627512</v>
      </c>
    </row>
    <row r="1253" customFormat="false" ht="15.75" hidden="false" customHeight="false" outlineLevel="0" collapsed="false">
      <c r="A1253" s="9" t="n">
        <f aca="false">IFERROR(__xludf.dummyfunction("""COMPUTED_VALUE"""),46017.6666666667)</f>
        <v>46017.6666666667</v>
      </c>
      <c r="B1253" s="8" t="n">
        <f aca="false">IFERROR(__xludf.dummyfunction("""COMPUTED_VALUE"""),668.06)</f>
        <v>668.06</v>
      </c>
      <c r="C1253" s="8" t="n">
        <f aca="false">IFERROR(__xludf.dummyfunction("""COMPUTED_VALUE"""),668.95)</f>
        <v>668.95</v>
      </c>
      <c r="D1253" s="8" t="n">
        <f aca="false">IFERROR(__xludf.dummyfunction("""COMPUTED_VALUE"""),661.32)</f>
        <v>661.32</v>
      </c>
      <c r="E1253" s="8" t="n">
        <f aca="false">IFERROR(__xludf.dummyfunction("""COMPUTED_VALUE"""),663.29)</f>
        <v>663.29</v>
      </c>
      <c r="F1253" s="8" t="n">
        <f aca="false">IFERROR(__xludf.dummyfunction("""COMPUTED_VALUE"""),7133813)</f>
        <v>7133813</v>
      </c>
    </row>
    <row r="1254" customFormat="false" ht="15.75" hidden="false" customHeight="false" outlineLevel="0" collapsed="false">
      <c r="A1254" s="9" t="n">
        <f aca="false">IFERROR(__xludf.dummyfunction("""COMPUTED_VALUE"""),46020.6666666667)</f>
        <v>46020.6666666667</v>
      </c>
      <c r="B1254" s="8" t="n">
        <f aca="false">IFERROR(__xludf.dummyfunction("""COMPUTED_VALUE"""),658.01)</f>
        <v>658.01</v>
      </c>
      <c r="C1254" s="8" t="n">
        <f aca="false">IFERROR(__xludf.dummyfunction("""COMPUTED_VALUE"""),660.25)</f>
        <v>660.25</v>
      </c>
      <c r="D1254" s="8" t="n">
        <f aca="false">IFERROR(__xludf.dummyfunction("""COMPUTED_VALUE"""),654.39)</f>
        <v>654.39</v>
      </c>
      <c r="E1254" s="8" t="n">
        <f aca="false">IFERROR(__xludf.dummyfunction("""COMPUTED_VALUE"""),658.69)</f>
        <v>658.69</v>
      </c>
      <c r="F1254" s="8" t="n">
        <f aca="false">IFERROR(__xludf.dummyfunction("""COMPUTED_VALUE"""),8506477)</f>
        <v>8506477</v>
      </c>
    </row>
    <row r="1255" customFormat="false" ht="15.75" hidden="false" customHeight="false" outlineLevel="0" collapsed="false">
      <c r="A1255" s="9" t="n">
        <f aca="false">IFERROR(__xludf.dummyfunction("""COMPUTED_VALUE"""),46021.6666666667)</f>
        <v>46021.6666666667</v>
      </c>
      <c r="B1255" s="8" t="n">
        <f aca="false">IFERROR(__xludf.dummyfunction("""COMPUTED_VALUE"""),658.69)</f>
        <v>658.69</v>
      </c>
      <c r="C1255" s="8" t="n">
        <f aca="false">IFERROR(__xludf.dummyfunction("""COMPUTED_VALUE"""),672.22)</f>
        <v>672.22</v>
      </c>
      <c r="D1255" s="8" t="n">
        <f aca="false">IFERROR(__xludf.dummyfunction("""COMPUTED_VALUE"""),657.84)</f>
        <v>657.84</v>
      </c>
      <c r="E1255" s="8" t="n">
        <f aca="false">IFERROR(__xludf.dummyfunction("""COMPUTED_VALUE"""),665.95)</f>
        <v>665.95</v>
      </c>
      <c r="F1255" s="8" t="n">
        <f aca="false">IFERROR(__xludf.dummyfunction("""COMPUTED_VALUE"""),9187483)</f>
        <v>9187483</v>
      </c>
    </row>
    <row r="1256" customFormat="false" ht="15.75" hidden="false" customHeight="false" outlineLevel="0" collapsed="false">
      <c r="A1256" s="9" t="n">
        <f aca="false">IFERROR(__xludf.dummyfunction("""COMPUTED_VALUE"""),46022.6666666667)</f>
        <v>46022.6666666667</v>
      </c>
      <c r="B1256" s="8" t="n">
        <f aca="false">IFERROR(__xludf.dummyfunction("""COMPUTED_VALUE"""),664.75)</f>
        <v>664.75</v>
      </c>
      <c r="C1256" s="8" t="n">
        <f aca="false">IFERROR(__xludf.dummyfunction("""COMPUTED_VALUE"""),665)</f>
        <v>665</v>
      </c>
      <c r="D1256" s="8" t="n">
        <f aca="false">IFERROR(__xludf.dummyfunction("""COMPUTED_VALUE"""),659.44)</f>
        <v>659.44</v>
      </c>
      <c r="E1256" s="8" t="n">
        <f aca="false">IFERROR(__xludf.dummyfunction("""COMPUTED_VALUE"""),660.09)</f>
        <v>660.09</v>
      </c>
      <c r="F1256" s="8" t="n">
        <f aca="false">IFERROR(__xludf.dummyfunction("""COMPUTED_VALUE"""),7940359)</f>
        <v>7940359</v>
      </c>
    </row>
    <row r="1257" customFormat="false" ht="15.75" hidden="false" customHeight="false" outlineLevel="0" collapsed="false">
      <c r="A1257" s="9" t="n">
        <f aca="false">IFERROR(__xludf.dummyfunction("""COMPUTED_VALUE"""),46024.6666666667)</f>
        <v>46024.6666666667</v>
      </c>
      <c r="B1257" s="8" t="n">
        <f aca="false">IFERROR(__xludf.dummyfunction("""COMPUTED_VALUE"""),662.73)</f>
        <v>662.73</v>
      </c>
      <c r="C1257" s="8" t="n">
        <f aca="false">IFERROR(__xludf.dummyfunction("""COMPUTED_VALUE"""),664.39)</f>
        <v>664.39</v>
      </c>
      <c r="D1257" s="8" t="n">
        <f aca="false">IFERROR(__xludf.dummyfunction("""COMPUTED_VALUE"""),643.5)</f>
        <v>643.5</v>
      </c>
      <c r="E1257" s="8" t="n">
        <f aca="false">IFERROR(__xludf.dummyfunction("""COMPUTED_VALUE"""),650.41)</f>
        <v>650.41</v>
      </c>
      <c r="F1257" s="8" t="n">
        <f aca="false">IFERROR(__xludf.dummyfunction("""COMPUTED_VALUE"""),13726517)</f>
        <v>13726517</v>
      </c>
    </row>
    <row r="1258" customFormat="false" ht="15.75" hidden="false" customHeight="false" outlineLevel="0" collapsed="false">
      <c r="A1258" s="9" t="n">
        <f aca="false">IFERROR(__xludf.dummyfunction("""COMPUTED_VALUE"""),46027.6666666667)</f>
        <v>46027.6666666667</v>
      </c>
      <c r="B1258" s="8" t="n">
        <f aca="false">IFERROR(__xludf.dummyfunction("""COMPUTED_VALUE"""),651.01)</f>
        <v>651.01</v>
      </c>
      <c r="C1258" s="8" t="n">
        <f aca="false">IFERROR(__xludf.dummyfunction("""COMPUTED_VALUE"""),664.54)</f>
        <v>664.54</v>
      </c>
      <c r="D1258" s="8" t="n">
        <f aca="false">IFERROR(__xludf.dummyfunction("""COMPUTED_VALUE"""),647.75)</f>
        <v>647.75</v>
      </c>
      <c r="E1258" s="8" t="n">
        <f aca="false">IFERROR(__xludf.dummyfunction("""COMPUTED_VALUE"""),658.79)</f>
        <v>658.79</v>
      </c>
      <c r="F1258" s="8" t="n">
        <f aca="false">IFERROR(__xludf.dummyfunction("""COMPUTED_VALUE"""),12213745)</f>
        <v>12213745</v>
      </c>
    </row>
    <row r="1259" customFormat="false" ht="15.75" hidden="false" customHeight="false" outlineLevel="0" collapsed="false">
      <c r="A1259" s="9" t="n">
        <f aca="false">IFERROR(__xludf.dummyfunction("""COMPUTED_VALUE"""),46028.6666666667)</f>
        <v>46028.6666666667</v>
      </c>
      <c r="B1259" s="8" t="n">
        <f aca="false">IFERROR(__xludf.dummyfunction("""COMPUTED_VALUE"""),659.57)</f>
        <v>659.57</v>
      </c>
      <c r="C1259" s="8" t="n">
        <f aca="false">IFERROR(__xludf.dummyfunction("""COMPUTED_VALUE"""),665.52)</f>
        <v>665.52</v>
      </c>
      <c r="D1259" s="8" t="n">
        <f aca="false">IFERROR(__xludf.dummyfunction("""COMPUTED_VALUE"""),651.9)</f>
        <v>651.9</v>
      </c>
      <c r="E1259" s="8" t="n">
        <f aca="false">IFERROR(__xludf.dummyfunction("""COMPUTED_VALUE"""),660.62)</f>
        <v>660.62</v>
      </c>
      <c r="F1259" s="8" t="n">
        <f aca="false">IFERROR(__xludf.dummyfunction("""COMPUTED_VALUE"""),11074419)</f>
        <v>11074419</v>
      </c>
    </row>
    <row r="1260" customFormat="false" ht="15.75" hidden="false" customHeight="false" outlineLevel="0" collapsed="false">
      <c r="A1260" s="9" t="n">
        <f aca="false">IFERROR(__xludf.dummyfunction("""COMPUTED_VALUE"""),46029.6666666667)</f>
        <v>46029.6666666667</v>
      </c>
      <c r="B1260" s="8" t="n">
        <f aca="false">IFERROR(__xludf.dummyfunction("""COMPUTED_VALUE"""),655.64)</f>
        <v>655.64</v>
      </c>
      <c r="C1260" s="8" t="n">
        <f aca="false">IFERROR(__xludf.dummyfunction("""COMPUTED_VALUE"""),659.15)</f>
        <v>659.15</v>
      </c>
      <c r="D1260" s="8" t="n">
        <f aca="false">IFERROR(__xludf.dummyfunction("""COMPUTED_VALUE"""),644.81)</f>
        <v>644.81</v>
      </c>
      <c r="E1260" s="8" t="n">
        <f aca="false">IFERROR(__xludf.dummyfunction("""COMPUTED_VALUE"""),648.69)</f>
        <v>648.69</v>
      </c>
      <c r="F1260" s="8" t="n">
        <f aca="false">IFERROR(__xludf.dummyfunction("""COMPUTED_VALUE"""),12846273)</f>
        <v>12846273</v>
      </c>
    </row>
    <row r="1261" customFormat="false" ht="15.75" hidden="false" customHeight="false" outlineLevel="0" collapsed="false">
      <c r="A1261" s="9" t="n">
        <f aca="false">IFERROR(__xludf.dummyfunction("""COMPUTED_VALUE"""),46030.6666666667)</f>
        <v>46030.6666666667</v>
      </c>
      <c r="B1261" s="8" t="n">
        <f aca="false">IFERROR(__xludf.dummyfunction("""COMPUTED_VALUE"""),645.88)</f>
        <v>645.88</v>
      </c>
      <c r="C1261" s="8" t="n">
        <f aca="false">IFERROR(__xludf.dummyfunction("""COMPUTED_VALUE"""),647.1)</f>
        <v>647.1</v>
      </c>
      <c r="D1261" s="8" t="n">
        <f aca="false">IFERROR(__xludf.dummyfunction("""COMPUTED_VALUE"""),635.72)</f>
        <v>635.72</v>
      </c>
      <c r="E1261" s="8" t="n">
        <f aca="false">IFERROR(__xludf.dummyfunction("""COMPUTED_VALUE"""),646.06)</f>
        <v>646.06</v>
      </c>
      <c r="F1261" s="8" t="n">
        <f aca="false">IFERROR(__xludf.dummyfunction("""COMPUTED_VALUE"""),11921708)</f>
        <v>11921708</v>
      </c>
    </row>
    <row r="1262" customFormat="false" ht="15.75" hidden="false" customHeight="false" outlineLevel="0" collapsed="false">
      <c r="A1262" s="9" t="n">
        <f aca="false">IFERROR(__xludf.dummyfunction("""COMPUTED_VALUE"""),46031.6666666667)</f>
        <v>46031.6666666667</v>
      </c>
      <c r="B1262" s="8" t="n">
        <f aca="false">IFERROR(__xludf.dummyfunction("""COMPUTED_VALUE"""),645.43)</f>
        <v>645.43</v>
      </c>
      <c r="C1262" s="8" t="n">
        <f aca="false">IFERROR(__xludf.dummyfunction("""COMPUTED_VALUE"""),654.95)</f>
        <v>654.95</v>
      </c>
      <c r="D1262" s="8" t="n">
        <f aca="false">IFERROR(__xludf.dummyfunction("""COMPUTED_VALUE"""),642.85)</f>
        <v>642.85</v>
      </c>
      <c r="E1262" s="8" t="n">
        <f aca="false">IFERROR(__xludf.dummyfunction("""COMPUTED_VALUE"""),653.06)</f>
        <v>653.06</v>
      </c>
      <c r="F1262" s="8" t="n">
        <f aca="false">IFERROR(__xludf.dummyfunction("""COMPUTED_VALUE"""),11634944)</f>
        <v>11634944</v>
      </c>
    </row>
    <row r="1263" customFormat="false" ht="15.75" hidden="false" customHeight="false" outlineLevel="0" collapsed="false">
      <c r="A1263" s="9" t="n">
        <f aca="false">IFERROR(__xludf.dummyfunction("""COMPUTED_VALUE"""),46034.6666666667)</f>
        <v>46034.6666666667</v>
      </c>
      <c r="B1263" s="8" t="n">
        <f aca="false">IFERROR(__xludf.dummyfunction("""COMPUTED_VALUE"""),652.53)</f>
        <v>652.53</v>
      </c>
      <c r="C1263" s="8" t="n">
        <f aca="false">IFERROR(__xludf.dummyfunction("""COMPUTED_VALUE"""),653.97)</f>
        <v>653.97</v>
      </c>
      <c r="D1263" s="8" t="n">
        <f aca="false">IFERROR(__xludf.dummyfunction("""COMPUTED_VALUE"""),641.23)</f>
        <v>641.23</v>
      </c>
      <c r="E1263" s="8" t="n">
        <f aca="false">IFERROR(__xludf.dummyfunction("""COMPUTED_VALUE"""),641.97)</f>
        <v>641.97</v>
      </c>
      <c r="F1263" s="8" t="n">
        <f aca="false">IFERROR(__xludf.dummyfunction("""COMPUTED_VALUE"""),14797197)</f>
        <v>14797197</v>
      </c>
    </row>
    <row r="1264" customFormat="false" ht="15.75" hidden="false" customHeight="false" outlineLevel="0" collapsed="false">
      <c r="A1264" s="9" t="n">
        <f aca="false">IFERROR(__xludf.dummyfunction("""COMPUTED_VALUE"""),46035.6666666667)</f>
        <v>46035.6666666667</v>
      </c>
      <c r="B1264" s="8" t="n">
        <f aca="false">IFERROR(__xludf.dummyfunction("""COMPUTED_VALUE"""),642.27)</f>
        <v>642.27</v>
      </c>
      <c r="C1264" s="8" t="n">
        <f aca="false">IFERROR(__xludf.dummyfunction("""COMPUTED_VALUE"""),642.27)</f>
        <v>642.27</v>
      </c>
      <c r="D1264" s="8" t="n">
        <f aca="false">IFERROR(__xludf.dummyfunction("""COMPUTED_VALUE"""),624.1)</f>
        <v>624.1</v>
      </c>
      <c r="E1264" s="8" t="n">
        <f aca="false">IFERROR(__xludf.dummyfunction("""COMPUTED_VALUE"""),631.09)</f>
        <v>631.09</v>
      </c>
      <c r="F1264" s="8" t="n">
        <f aca="false">IFERROR(__xludf.dummyfunction("""COMPUTED_VALUE"""),18030395)</f>
        <v>18030395</v>
      </c>
    </row>
    <row r="1265" customFormat="false" ht="15.75" hidden="false" customHeight="false" outlineLevel="0" collapsed="false">
      <c r="A1265" s="9" t="n">
        <f aca="false">IFERROR(__xludf.dummyfunction("""COMPUTED_VALUE"""),46036.6666666667)</f>
        <v>46036.6666666667</v>
      </c>
      <c r="B1265" s="8" t="n">
        <f aca="false">IFERROR(__xludf.dummyfunction("""COMPUTED_VALUE"""),626.5)</f>
        <v>626.5</v>
      </c>
      <c r="C1265" s="8" t="n">
        <f aca="false">IFERROR(__xludf.dummyfunction("""COMPUTED_VALUE"""),628.45)</f>
        <v>628.45</v>
      </c>
      <c r="D1265" s="8" t="n">
        <f aca="false">IFERROR(__xludf.dummyfunction("""COMPUTED_VALUE"""),614.82)</f>
        <v>614.82</v>
      </c>
      <c r="E1265" s="8" t="n">
        <f aca="false">IFERROR(__xludf.dummyfunction("""COMPUTED_VALUE"""),615.52)</f>
        <v>615.52</v>
      </c>
      <c r="F1265" s="8" t="n">
        <f aca="false">IFERROR(__xludf.dummyfunction("""COMPUTED_VALUE"""),15527875)</f>
        <v>15527875</v>
      </c>
    </row>
    <row r="1266" customFormat="false" ht="15.75" hidden="false" customHeight="false" outlineLevel="0" collapsed="false">
      <c r="A1266" s="9" t="n">
        <f aca="false">IFERROR(__xludf.dummyfunction("""COMPUTED_VALUE"""),46037.6666666667)</f>
        <v>46037.6666666667</v>
      </c>
      <c r="B1266" s="8" t="n">
        <f aca="false">IFERROR(__xludf.dummyfunction("""COMPUTED_VALUE"""),618.48)</f>
        <v>618.48</v>
      </c>
      <c r="C1266" s="8" t="n">
        <f aca="false">IFERROR(__xludf.dummyfunction("""COMPUTED_VALUE"""),624.17)</f>
        <v>624.17</v>
      </c>
      <c r="D1266" s="8" t="n">
        <f aca="false">IFERROR(__xludf.dummyfunction("""COMPUTED_VALUE"""),614.23)</f>
        <v>614.23</v>
      </c>
      <c r="E1266" s="8" t="n">
        <f aca="false">IFERROR(__xludf.dummyfunction("""COMPUTED_VALUE"""),620.8)</f>
        <v>620.8</v>
      </c>
      <c r="F1266" s="8" t="n">
        <f aca="false">IFERROR(__xludf.dummyfunction("""COMPUTED_VALUE"""),13076058)</f>
        <v>13076058</v>
      </c>
    </row>
    <row r="1267" customFormat="false" ht="15.75" hidden="false" customHeight="false" outlineLevel="0" collapsed="false">
      <c r="A1267" s="9" t="n">
        <f aca="false">IFERROR(__xludf.dummyfunction("""COMPUTED_VALUE"""),46038.6666666667)</f>
        <v>46038.6666666667</v>
      </c>
      <c r="B1267" s="8" t="n">
        <f aca="false">IFERROR(__xludf.dummyfunction("""COMPUTED_VALUE"""),624.18)</f>
        <v>624.18</v>
      </c>
      <c r="C1267" s="8" t="n">
        <f aca="false">IFERROR(__xludf.dummyfunction("""COMPUTED_VALUE"""),629.08)</f>
        <v>629.08</v>
      </c>
      <c r="D1267" s="8" t="n">
        <f aca="false">IFERROR(__xludf.dummyfunction("""COMPUTED_VALUE"""),620.08)</f>
        <v>620.08</v>
      </c>
      <c r="E1267" s="8" t="n">
        <f aca="false">IFERROR(__xludf.dummyfunction("""COMPUTED_VALUE"""),620.25)</f>
        <v>620.25</v>
      </c>
      <c r="F1267" s="8" t="n">
        <f aca="false">IFERROR(__xludf.dummyfunction("""COMPUTED_VALUE"""),17012516)</f>
        <v>17012516</v>
      </c>
    </row>
    <row r="1268" customFormat="false" ht="15.75" hidden="false" customHeight="false" outlineLevel="0" collapsed="false">
      <c r="A1268" s="9" t="n">
        <f aca="false">IFERROR(__xludf.dummyfunction("""COMPUTED_VALUE"""),46042.6666666667)</f>
        <v>46042.6666666667</v>
      </c>
      <c r="B1268" s="8" t="n">
        <f aca="false">IFERROR(__xludf.dummyfunction("""COMPUTED_VALUE"""),607.88)</f>
        <v>607.88</v>
      </c>
      <c r="C1268" s="8" t="n">
        <f aca="false">IFERROR(__xludf.dummyfunction("""COMPUTED_VALUE"""),611.4)</f>
        <v>611.4</v>
      </c>
      <c r="D1268" s="8" t="n">
        <f aca="false">IFERROR(__xludf.dummyfunction("""COMPUTED_VALUE"""),600)</f>
        <v>600</v>
      </c>
      <c r="E1268" s="8" t="n">
        <f aca="false">IFERROR(__xludf.dummyfunction("""COMPUTED_VALUE"""),604.12)</f>
        <v>604.12</v>
      </c>
      <c r="F1268" s="8" t="n">
        <f aca="false">IFERROR(__xludf.dummyfunction("""COMPUTED_VALUE"""),15169565)</f>
        <v>15169565</v>
      </c>
    </row>
    <row r="1269" customFormat="false" ht="15.75" hidden="false" customHeight="false" outlineLevel="0" collapsed="false">
      <c r="A1269" s="9" t="n">
        <f aca="false">IFERROR(__xludf.dummyfunction("""COMPUTED_VALUE"""),46043.6666666667)</f>
        <v>46043.6666666667</v>
      </c>
      <c r="B1269" s="8" t="n">
        <f aca="false">IFERROR(__xludf.dummyfunction("""COMPUTED_VALUE"""),606.74)</f>
        <v>606.74</v>
      </c>
      <c r="C1269" s="8" t="n">
        <f aca="false">IFERROR(__xludf.dummyfunction("""COMPUTED_VALUE"""),618.27)</f>
        <v>618.27</v>
      </c>
      <c r="D1269" s="8" t="n">
        <f aca="false">IFERROR(__xludf.dummyfunction("""COMPUTED_VALUE"""),600.08)</f>
        <v>600.08</v>
      </c>
      <c r="E1269" s="8" t="n">
        <f aca="false">IFERROR(__xludf.dummyfunction("""COMPUTED_VALUE"""),612.96)</f>
        <v>612.96</v>
      </c>
      <c r="F1269" s="8" t="n">
        <f aca="false">IFERROR(__xludf.dummyfunction("""COMPUTED_VALUE"""),14494655)</f>
        <v>14494655</v>
      </c>
    </row>
    <row r="1270" customFormat="false" ht="15.75" hidden="false" customHeight="false" outlineLevel="0" collapsed="false">
      <c r="A1270" s="9" t="n">
        <f aca="false">IFERROR(__xludf.dummyfunction("""COMPUTED_VALUE"""),46044.6666666667)</f>
        <v>46044.6666666667</v>
      </c>
      <c r="B1270" s="8" t="n">
        <f aca="false">IFERROR(__xludf.dummyfunction("""COMPUTED_VALUE"""),629.35)</f>
        <v>629.35</v>
      </c>
      <c r="C1270" s="8" t="n">
        <f aca="false">IFERROR(__xludf.dummyfunction("""COMPUTED_VALUE"""),660.57)</f>
        <v>660.57</v>
      </c>
      <c r="D1270" s="8" t="n">
        <f aca="false">IFERROR(__xludf.dummyfunction("""COMPUTED_VALUE"""),626.55)</f>
        <v>626.55</v>
      </c>
      <c r="E1270" s="8" t="n">
        <f aca="false">IFERROR(__xludf.dummyfunction("""COMPUTED_VALUE"""),647.63)</f>
        <v>647.63</v>
      </c>
      <c r="F1270" s="8" t="n">
        <f aca="false">IFERROR(__xludf.dummyfunction("""COMPUTED_VALUE"""),21394669)</f>
        <v>21394669</v>
      </c>
    </row>
    <row r="1271" customFormat="false" ht="15.75" hidden="false" customHeight="false" outlineLevel="0" collapsed="false">
      <c r="A1271" s="9" t="n">
        <f aca="false">IFERROR(__xludf.dummyfunction("""COMPUTED_VALUE"""),46045.6666666667)</f>
        <v>46045.6666666667</v>
      </c>
      <c r="B1271" s="8" t="n">
        <f aca="false">IFERROR(__xludf.dummyfunction("""COMPUTED_VALUE"""),644.77)</f>
        <v>644.77</v>
      </c>
      <c r="C1271" s="8" t="n">
        <f aca="false">IFERROR(__xludf.dummyfunction("""COMPUTED_VALUE"""),666.49)</f>
        <v>666.49</v>
      </c>
      <c r="D1271" s="8" t="n">
        <f aca="false">IFERROR(__xludf.dummyfunction("""COMPUTED_VALUE"""),644.45)</f>
        <v>644.45</v>
      </c>
      <c r="E1271" s="8" t="n">
        <f aca="false">IFERROR(__xludf.dummyfunction("""COMPUTED_VALUE"""),658.76)</f>
        <v>658.76</v>
      </c>
      <c r="F1271" s="8" t="n">
        <f aca="false">IFERROR(__xludf.dummyfunction("""COMPUTED_VALUE"""),22797723)</f>
        <v>22797723</v>
      </c>
    </row>
    <row r="1272" customFormat="false" ht="15.75" hidden="false" customHeight="false" outlineLevel="0" collapsed="false">
      <c r="A1272" s="9" t="n">
        <f aca="false">IFERROR(__xludf.dummyfunction("""COMPUTED_VALUE"""),46048.6666666667)</f>
        <v>46048.6666666667</v>
      </c>
      <c r="B1272" s="8" t="n">
        <f aca="false">IFERROR(__xludf.dummyfunction("""COMPUTED_VALUE"""),665.13)</f>
        <v>665.13</v>
      </c>
      <c r="C1272" s="8" t="n">
        <f aca="false">IFERROR(__xludf.dummyfunction("""COMPUTED_VALUE"""),675.28)</f>
        <v>675.28</v>
      </c>
      <c r="D1272" s="8" t="n">
        <f aca="false">IFERROR(__xludf.dummyfunction("""COMPUTED_VALUE"""),661.29)</f>
        <v>661.29</v>
      </c>
      <c r="E1272" s="8" t="n">
        <f aca="false">IFERROR(__xludf.dummyfunction("""COMPUTED_VALUE"""),672.36)</f>
        <v>672.36</v>
      </c>
      <c r="F1272" s="8" t="n">
        <f aca="false">IFERROR(__xludf.dummyfunction("""COMPUTED_VALUE"""),16327378)</f>
        <v>16327378</v>
      </c>
    </row>
    <row r="1273" customFormat="false" ht="15.75" hidden="false" customHeight="false" outlineLevel="0" collapsed="false">
      <c r="A1273" s="9" t="n">
        <f aca="false">IFERROR(__xludf.dummyfunction("""COMPUTED_VALUE"""),46049.6666666667)</f>
        <v>46049.6666666667</v>
      </c>
      <c r="B1273" s="8" t="n">
        <f aca="false">IFERROR(__xludf.dummyfunction("""COMPUTED_VALUE"""),674.59)</f>
        <v>674.59</v>
      </c>
      <c r="C1273" s="8" t="n">
        <f aca="false">IFERROR(__xludf.dummyfunction("""COMPUTED_VALUE"""),676.82)</f>
        <v>676.82</v>
      </c>
      <c r="D1273" s="8" t="n">
        <f aca="false">IFERROR(__xludf.dummyfunction("""COMPUTED_VALUE"""),664.66)</f>
        <v>664.66</v>
      </c>
      <c r="E1273" s="8" t="n">
        <f aca="false">IFERROR(__xludf.dummyfunction("""COMPUTED_VALUE"""),672.97)</f>
        <v>672.97</v>
      </c>
      <c r="F1273" s="8" t="n">
        <f aca="false">IFERROR(__xludf.dummyfunction("""COMPUTED_VALUE"""),13297350)</f>
        <v>13297350</v>
      </c>
    </row>
    <row r="1274" customFormat="false" ht="15.75" hidden="false" customHeight="false" outlineLevel="0" collapsed="false">
      <c r="A1274" s="9" t="n">
        <f aca="false">IFERROR(__xludf.dummyfunction("""COMPUTED_VALUE"""),46050.6666666667)</f>
        <v>46050.6666666667</v>
      </c>
      <c r="B1274" s="8" t="n">
        <f aca="false">IFERROR(__xludf.dummyfunction("""COMPUTED_VALUE"""),674.5)</f>
        <v>674.5</v>
      </c>
      <c r="C1274" s="8" t="n">
        <f aca="false">IFERROR(__xludf.dummyfunction("""COMPUTED_VALUE"""),677.68)</f>
        <v>677.68</v>
      </c>
      <c r="D1274" s="8" t="n">
        <f aca="false">IFERROR(__xludf.dummyfunction("""COMPUTED_VALUE"""),666.1)</f>
        <v>666.1</v>
      </c>
      <c r="E1274" s="8" t="n">
        <f aca="false">IFERROR(__xludf.dummyfunction("""COMPUTED_VALUE"""),668.73)</f>
        <v>668.73</v>
      </c>
      <c r="F1274" s="8" t="n">
        <f aca="false">IFERROR(__xludf.dummyfunction("""COMPUTED_VALUE"""),25709600)</f>
        <v>25709600</v>
      </c>
    </row>
    <row r="1275" customFormat="false" ht="15.75" hidden="false" customHeight="false" outlineLevel="0" collapsed="false">
      <c r="A1275" s="9" t="n">
        <f aca="false">IFERROR(__xludf.dummyfunction("""COMPUTED_VALUE"""),46051.6666666667)</f>
        <v>46051.6666666667</v>
      </c>
      <c r="B1275" s="8" t="n">
        <f aca="false">IFERROR(__xludf.dummyfunction("""COMPUTED_VALUE"""),737.43)</f>
        <v>737.43</v>
      </c>
      <c r="C1275" s="8" t="n">
        <f aca="false">IFERROR(__xludf.dummyfunction("""COMPUTED_VALUE"""),744)</f>
        <v>744</v>
      </c>
      <c r="D1275" s="8" t="n">
        <f aca="false">IFERROR(__xludf.dummyfunction("""COMPUTED_VALUE"""),712.55)</f>
        <v>712.55</v>
      </c>
      <c r="E1275" s="8" t="n">
        <f aca="false">IFERROR(__xludf.dummyfunction("""COMPUTED_VALUE"""),738.31)</f>
        <v>738.31</v>
      </c>
      <c r="F1275" s="8" t="n">
        <f aca="false">IFERROR(__xludf.dummyfunction("""COMPUTED_VALUE"""),59852903)</f>
        <v>59852903</v>
      </c>
    </row>
    <row r="1276" customFormat="false" ht="15.75" hidden="false" customHeight="false" outlineLevel="0" collapsed="false">
      <c r="A1276" s="9" t="n">
        <f aca="false">IFERROR(__xludf.dummyfunction("""COMPUTED_VALUE"""),46052.6666666667)</f>
        <v>46052.6666666667</v>
      </c>
      <c r="B1276" s="8" t="n">
        <f aca="false">IFERROR(__xludf.dummyfunction("""COMPUTED_VALUE"""),727.5)</f>
        <v>727.5</v>
      </c>
      <c r="C1276" s="8" t="n">
        <f aca="false">IFERROR(__xludf.dummyfunction("""COMPUTED_VALUE"""),732.17)</f>
        <v>732.17</v>
      </c>
      <c r="D1276" s="8" t="n">
        <f aca="false">IFERROR(__xludf.dummyfunction("""COMPUTED_VALUE"""),713.59)</f>
        <v>713.59</v>
      </c>
      <c r="E1276" s="8" t="n">
        <f aca="false">IFERROR(__xludf.dummyfunction("""COMPUTED_VALUE"""),716.5)</f>
        <v>716.5</v>
      </c>
      <c r="F1276" s="8" t="n">
        <f aca="false">IFERROR(__xludf.dummyfunction("""COMPUTED_VALUE"""),23744573)</f>
        <v>23744573</v>
      </c>
    </row>
    <row r="1277" customFormat="false" ht="15.75" hidden="false" customHeight="false" outlineLevel="0" collapsed="false">
      <c r="A1277" s="9" t="n">
        <f aca="false">IFERROR(__xludf.dummyfunction("""COMPUTED_VALUE"""),46055.6666666667)</f>
        <v>46055.6666666667</v>
      </c>
      <c r="B1277" s="8" t="n">
        <f aca="false">IFERROR(__xludf.dummyfunction("""COMPUTED_VALUE"""),714.6)</f>
        <v>714.6</v>
      </c>
      <c r="C1277" s="8" t="n">
        <f aca="false">IFERROR(__xludf.dummyfunction("""COMPUTED_VALUE"""),721.3)</f>
        <v>721.3</v>
      </c>
      <c r="D1277" s="8" t="n">
        <f aca="false">IFERROR(__xludf.dummyfunction("""COMPUTED_VALUE"""),703.52)</f>
        <v>703.52</v>
      </c>
      <c r="E1277" s="8" t="n">
        <f aca="false">IFERROR(__xludf.dummyfunction("""COMPUTED_VALUE"""),706.41)</f>
        <v>706.41</v>
      </c>
      <c r="F1277" s="8" t="n">
        <f aca="false">IFERROR(__xludf.dummyfunction("""COMPUTED_VALUE"""),14365224)</f>
        <v>14365224</v>
      </c>
    </row>
    <row r="1278" customFormat="false" ht="15.75" hidden="false" customHeight="false" outlineLevel="0" collapsed="false">
      <c r="A1278" s="9" t="n">
        <f aca="false">IFERROR(__xludf.dummyfunction("""COMPUTED_VALUE"""),46056.6666666667)</f>
        <v>46056.6666666667</v>
      </c>
      <c r="B1278" s="8" t="n">
        <f aca="false">IFERROR(__xludf.dummyfunction("""COMPUTED_VALUE"""),707.37)</f>
        <v>707.37</v>
      </c>
      <c r="C1278" s="8" t="n">
        <f aca="false">IFERROR(__xludf.dummyfunction("""COMPUTED_VALUE"""),717)</f>
        <v>717</v>
      </c>
      <c r="D1278" s="8" t="n">
        <f aca="false">IFERROR(__xludf.dummyfunction("""COMPUTED_VALUE"""),686.41)</f>
        <v>686.41</v>
      </c>
      <c r="E1278" s="8" t="n">
        <f aca="false">IFERROR(__xludf.dummyfunction("""COMPUTED_VALUE"""),691.7)</f>
        <v>691.7</v>
      </c>
      <c r="F1278" s="8" t="n">
        <f aca="false">IFERROR(__xludf.dummyfunction("""COMPUTED_VALUE"""),13760663)</f>
        <v>13760663</v>
      </c>
    </row>
    <row r="1279" customFormat="false" ht="15.75" hidden="false" customHeight="false" outlineLevel="0" collapsed="false">
      <c r="A1279" s="9" t="n">
        <f aca="false">IFERROR(__xludf.dummyfunction("""COMPUTED_VALUE"""),46057.6666666667)</f>
        <v>46057.6666666667</v>
      </c>
      <c r="B1279" s="8" t="n">
        <f aca="false">IFERROR(__xludf.dummyfunction("""COMPUTED_VALUE"""),687.73)</f>
        <v>687.73</v>
      </c>
      <c r="C1279" s="8" t="n">
        <f aca="false">IFERROR(__xludf.dummyfunction("""COMPUTED_VALUE"""),688.83)</f>
        <v>688.83</v>
      </c>
      <c r="D1279" s="8" t="n">
        <f aca="false">IFERROR(__xludf.dummyfunction("""COMPUTED_VALUE"""),667.46)</f>
        <v>667.46</v>
      </c>
      <c r="E1279" s="8" t="n">
        <f aca="false">IFERROR(__xludf.dummyfunction("""COMPUTED_VALUE"""),668.99)</f>
        <v>668.99</v>
      </c>
      <c r="F1279" s="8" t="n">
        <f aca="false">IFERROR(__xludf.dummyfunction("""COMPUTED_VALUE"""),16882761)</f>
        <v>16882761</v>
      </c>
    </row>
    <row r="1280" customFormat="false" ht="15.75" hidden="false" customHeight="false" outlineLevel="0" collapsed="false">
      <c r="A1280" s="9" t="n">
        <f aca="false">IFERROR(__xludf.dummyfunction("""COMPUTED_VALUE"""),46058.6666666667)</f>
        <v>46058.6666666667</v>
      </c>
      <c r="B1280" s="8" t="n">
        <f aca="false">IFERROR(__xludf.dummyfunction("""COMPUTED_VALUE"""),663.58)</f>
        <v>663.58</v>
      </c>
      <c r="C1280" s="8" t="n">
        <f aca="false">IFERROR(__xludf.dummyfunction("""COMPUTED_VALUE"""),681.5)</f>
        <v>681.5</v>
      </c>
      <c r="D1280" s="8" t="n">
        <f aca="false">IFERROR(__xludf.dummyfunction("""COMPUTED_VALUE"""),653.5)</f>
        <v>653.5</v>
      </c>
      <c r="E1280" s="8" t="n">
        <f aca="false">IFERROR(__xludf.dummyfunction("""COMPUTED_VALUE"""),670.21)</f>
        <v>670.21</v>
      </c>
      <c r="F1280" s="8" t="n">
        <f aca="false">IFERROR(__xludf.dummyfunction("""COMPUTED_VALUE"""),17131791)</f>
        <v>17131791</v>
      </c>
    </row>
    <row r="1281" customFormat="false" ht="15.75" hidden="false" customHeight="false" outlineLevel="0" collapsed="false">
      <c r="A1281" s="9" t="n">
        <f aca="false">IFERROR(__xludf.dummyfunction("""COMPUTED_VALUE"""),46059.6666666667)</f>
        <v>46059.6666666667</v>
      </c>
      <c r="B1281" s="8" t="n">
        <f aca="false">IFERROR(__xludf.dummyfunction("""COMPUTED_VALUE"""),665.49)</f>
        <v>665.49</v>
      </c>
      <c r="C1281" s="8" t="n">
        <f aca="false">IFERROR(__xludf.dummyfunction("""COMPUTED_VALUE"""),671.99)</f>
        <v>671.99</v>
      </c>
      <c r="D1281" s="8" t="n">
        <f aca="false">IFERROR(__xludf.dummyfunction("""COMPUTED_VALUE"""),646.5)</f>
        <v>646.5</v>
      </c>
      <c r="E1281" s="8" t="n">
        <f aca="false">IFERROR(__xludf.dummyfunction("""COMPUTED_VALUE"""),661.46)</f>
        <v>661.46</v>
      </c>
      <c r="F1281" s="8" t="n">
        <f aca="false">IFERROR(__xludf.dummyfunction("""COMPUTED_VALUE"""),18159253)</f>
        <v>18159253</v>
      </c>
    </row>
    <row r="1282" customFormat="false" ht="15.75" hidden="false" customHeight="false" outlineLevel="0" collapsed="false">
      <c r="A1282" s="9" t="n">
        <f aca="false">IFERROR(__xludf.dummyfunction("""COMPUTED_VALUE"""),46062.6666666667)</f>
        <v>46062.6666666667</v>
      </c>
      <c r="B1282" s="8" t="n">
        <f aca="false">IFERROR(__xludf.dummyfunction("""COMPUTED_VALUE"""),663.18)</f>
        <v>663.18</v>
      </c>
      <c r="C1282" s="8" t="n">
        <f aca="false">IFERROR(__xludf.dummyfunction("""COMPUTED_VALUE"""),683.31)</f>
        <v>683.31</v>
      </c>
      <c r="D1282" s="8" t="n">
        <f aca="false">IFERROR(__xludf.dummyfunction("""COMPUTED_VALUE"""),658.78)</f>
        <v>658.78</v>
      </c>
      <c r="E1282" s="8" t="n">
        <f aca="false">IFERROR(__xludf.dummyfunction("""COMPUTED_VALUE"""),677.22)</f>
        <v>677.22</v>
      </c>
      <c r="F1282" s="8" t="n">
        <f aca="false">IFERROR(__xludf.dummyfunction("""COMPUTED_VALUE"""),14837529)</f>
        <v>14837529</v>
      </c>
    </row>
    <row r="1283" customFormat="false" ht="15.75" hidden="false" customHeight="false" outlineLevel="0" collapsed="false">
      <c r="A1283" s="9" t="n">
        <f aca="false">IFERROR(__xludf.dummyfunction("""COMPUTED_VALUE"""),46063.6666666667)</f>
        <v>46063.6666666667</v>
      </c>
      <c r="B1283" s="8" t="n">
        <f aca="false">IFERROR(__xludf.dummyfunction("""COMPUTED_VALUE"""),677.6)</f>
        <v>677.6</v>
      </c>
      <c r="C1283" s="8" t="n">
        <f aca="false">IFERROR(__xludf.dummyfunction("""COMPUTED_VALUE"""),680.65)</f>
        <v>680.65</v>
      </c>
      <c r="D1283" s="8" t="n">
        <f aca="false">IFERROR(__xludf.dummyfunction("""COMPUTED_VALUE"""),669.79)</f>
        <v>669.79</v>
      </c>
      <c r="E1283" s="8" t="n">
        <f aca="false">IFERROR(__xludf.dummyfunction("""COMPUTED_VALUE"""),670.72)</f>
        <v>670.72</v>
      </c>
      <c r="F1283" s="8" t="n">
        <f aca="false">IFERROR(__xludf.dummyfunction("""COMPUTED_VALUE"""),10455816)</f>
        <v>10455816</v>
      </c>
    </row>
    <row r="1284" customFormat="false" ht="15.75" hidden="false" customHeight="false" outlineLevel="0" collapsed="false">
      <c r="A1284" s="9" t="n">
        <f aca="false">IFERROR(__xludf.dummyfunction("""COMPUTED_VALUE"""),46064.6666666667)</f>
        <v>46064.6666666667</v>
      </c>
      <c r="B1284" s="8" t="n">
        <f aca="false">IFERROR(__xludf.dummyfunction("""COMPUTED_VALUE"""),674)</f>
        <v>674</v>
      </c>
      <c r="C1284" s="8" t="n">
        <f aca="false">IFERROR(__xludf.dummyfunction("""COMPUTED_VALUE"""),679.27)</f>
        <v>679.27</v>
      </c>
      <c r="D1284" s="8" t="n">
        <f aca="false">IFERROR(__xludf.dummyfunction("""COMPUTED_VALUE"""),657.1)</f>
        <v>657.1</v>
      </c>
      <c r="E1284" s="8" t="n">
        <f aca="false">IFERROR(__xludf.dummyfunction("""COMPUTED_VALUE"""),668.69)</f>
        <v>668.69</v>
      </c>
      <c r="F1284" s="8" t="n">
        <f aca="false">IFERROR(__xludf.dummyfunction("""COMPUTED_VALUE"""),14323818)</f>
        <v>14323818</v>
      </c>
    </row>
    <row r="1285" customFormat="false" ht="15.75" hidden="false" customHeight="false" outlineLevel="0" collapsed="false">
      <c r="A1285" s="9" t="n">
        <f aca="false">IFERROR(__xludf.dummyfunction("""COMPUTED_VALUE"""),46065.6666666667)</f>
        <v>46065.6666666667</v>
      </c>
      <c r="B1285" s="8" t="n">
        <f aca="false">IFERROR(__xludf.dummyfunction("""COMPUTED_VALUE"""),669.97)</f>
        <v>669.97</v>
      </c>
      <c r="C1285" s="8" t="n">
        <f aca="false">IFERROR(__xludf.dummyfunction("""COMPUTED_VALUE"""),676)</f>
        <v>676</v>
      </c>
      <c r="D1285" s="8" t="n">
        <f aca="false">IFERROR(__xludf.dummyfunction("""COMPUTED_VALUE"""),645.28)</f>
        <v>645.28</v>
      </c>
      <c r="E1285" s="8" t="n">
        <f aca="false">IFERROR(__xludf.dummyfunction("""COMPUTED_VALUE"""),649.81)</f>
        <v>649.81</v>
      </c>
      <c r="F1285" s="8" t="n">
        <f aca="false">IFERROR(__xludf.dummyfunction("""COMPUTED_VALUE"""),14960108)</f>
        <v>14960108</v>
      </c>
    </row>
    <row r="1286" customFormat="false" ht="15.75" hidden="false" customHeight="false" outlineLevel="0" collapsed="false">
      <c r="A1286" s="9" t="n">
        <f aca="false">IFERROR(__xludf.dummyfunction("""COMPUTED_VALUE"""),46066.6666666667)</f>
        <v>46066.6666666667</v>
      </c>
      <c r="B1286" s="8" t="n">
        <f aca="false">IFERROR(__xludf.dummyfunction("""COMPUTED_VALUE"""),645.1)</f>
        <v>645.1</v>
      </c>
      <c r="C1286" s="8" t="n">
        <f aca="false">IFERROR(__xludf.dummyfunction("""COMPUTED_VALUE"""),651.43)</f>
        <v>651.43</v>
      </c>
      <c r="D1286" s="8" t="n">
        <f aca="false">IFERROR(__xludf.dummyfunction("""COMPUTED_VALUE"""),634.57)</f>
        <v>634.57</v>
      </c>
      <c r="E1286" s="8" t="n">
        <f aca="false">IFERROR(__xludf.dummyfunction("""COMPUTED_VALUE"""),639.77)</f>
        <v>639.77</v>
      </c>
      <c r="F1286" s="8" t="n">
        <f aca="false">IFERROR(__xludf.dummyfunction("""COMPUTED_VALUE"""),12336363)</f>
        <v>12336363</v>
      </c>
    </row>
    <row r="1287" customFormat="false" ht="15.75" hidden="false" customHeight="false" outlineLevel="0" collapsed="false">
      <c r="A1287" s="9" t="n">
        <f aca="false">IFERROR(__xludf.dummyfunction("""COMPUTED_VALUE"""),46070.6666666667)</f>
        <v>46070.6666666667</v>
      </c>
      <c r="B1287" s="8" t="n">
        <f aca="false">IFERROR(__xludf.dummyfunction("""COMPUTED_VALUE"""),639.5)</f>
        <v>639.5</v>
      </c>
      <c r="C1287" s="8" t="n">
        <f aca="false">IFERROR(__xludf.dummyfunction("""COMPUTED_VALUE"""),642.6)</f>
        <v>642.6</v>
      </c>
      <c r="D1287" s="8" t="n">
        <f aca="false">IFERROR(__xludf.dummyfunction("""COMPUTED_VALUE"""),628.8)</f>
        <v>628.8</v>
      </c>
      <c r="E1287" s="8" t="n">
        <f aca="false">IFERROR(__xludf.dummyfunction("""COMPUTED_VALUE"""),639.29)</f>
        <v>639.29</v>
      </c>
      <c r="F1287" s="8" t="n">
        <f aca="false">IFERROR(__xludf.dummyfunction("""COMPUTED_VALUE"""),12674739)</f>
        <v>12674739</v>
      </c>
    </row>
    <row r="1288" customFormat="false" ht="15.75" hidden="false" customHeight="false" outlineLevel="0" collapsed="false">
      <c r="A1288" s="9" t="n">
        <f aca="false">IFERROR(__xludf.dummyfunction("""COMPUTED_VALUE"""),46071.6666666667)</f>
        <v>46071.6666666667</v>
      </c>
      <c r="B1288" s="8" t="n">
        <f aca="false">IFERROR(__xludf.dummyfunction("""COMPUTED_VALUE"""),633.8)</f>
        <v>633.8</v>
      </c>
      <c r="C1288" s="8" t="n">
        <f aca="false">IFERROR(__xludf.dummyfunction("""COMPUTED_VALUE"""),645)</f>
        <v>645</v>
      </c>
      <c r="D1288" s="8" t="n">
        <f aca="false">IFERROR(__xludf.dummyfunction("""COMPUTED_VALUE"""),628.15)</f>
        <v>628.15</v>
      </c>
      <c r="E1288" s="8" t="n">
        <f aca="false">IFERROR(__xludf.dummyfunction("""COMPUTED_VALUE"""),643.22)</f>
        <v>643.22</v>
      </c>
      <c r="F1288" s="8" t="n">
        <f aca="false">IFERROR(__xludf.dummyfunction("""COMPUTED_VALUE"""),14649196)</f>
        <v>14649196</v>
      </c>
    </row>
    <row r="1289" customFormat="false" ht="15.75" hidden="false" customHeight="false" outlineLevel="0" collapsed="false">
      <c r="A1289" s="9" t="n">
        <f aca="false">IFERROR(__xludf.dummyfunction("""COMPUTED_VALUE"""),46072.6666666667)</f>
        <v>46072.6666666667</v>
      </c>
      <c r="B1289" s="8" t="n">
        <f aca="false">IFERROR(__xludf.dummyfunction("""COMPUTED_VALUE"""),638.57)</f>
        <v>638.57</v>
      </c>
      <c r="C1289" s="8" t="n">
        <f aca="false">IFERROR(__xludf.dummyfunction("""COMPUTED_VALUE"""),647.19)</f>
        <v>647.19</v>
      </c>
      <c r="D1289" s="8" t="n">
        <f aca="false">IFERROR(__xludf.dummyfunction("""COMPUTED_VALUE"""),636.72)</f>
        <v>636.72</v>
      </c>
      <c r="E1289" s="8" t="n">
        <f aca="false">IFERROR(__xludf.dummyfunction("""COMPUTED_VALUE"""),644.78)</f>
        <v>644.78</v>
      </c>
      <c r="F1289" s="8" t="n">
        <f aca="false">IFERROR(__xludf.dummyfunction("""COMPUTED_VALUE"""),10035698)</f>
        <v>10035698</v>
      </c>
    </row>
    <row r="1290" customFormat="false" ht="15.75" hidden="false" customHeight="false" outlineLevel="0" collapsed="false">
      <c r="A1290" s="9" t="n">
        <f aca="false">IFERROR(__xludf.dummyfunction("""COMPUTED_VALUE"""),46073.6666666667)</f>
        <v>46073.6666666667</v>
      </c>
      <c r="B1290" s="8" t="n">
        <f aca="false">IFERROR(__xludf.dummyfunction("""COMPUTED_VALUE"""),639.68)</f>
        <v>639.68</v>
      </c>
      <c r="C1290" s="8" t="n">
        <f aca="false">IFERROR(__xludf.dummyfunction("""COMPUTED_VALUE"""),663.35)</f>
        <v>663.35</v>
      </c>
      <c r="D1290" s="8" t="n">
        <f aca="false">IFERROR(__xludf.dummyfunction("""COMPUTED_VALUE"""),638.78)</f>
        <v>638.78</v>
      </c>
      <c r="E1290" s="8" t="n">
        <f aca="false">IFERROR(__xludf.dummyfunction("""COMPUTED_VALUE"""),655.66)</f>
        <v>655.66</v>
      </c>
      <c r="F1290" s="8" t="n">
        <f aca="false">IFERROR(__xludf.dummyfunction("""COMPUTED_VALUE"""),14183512)</f>
        <v>14183512</v>
      </c>
    </row>
    <row r="1291" customFormat="false" ht="15.75" hidden="false" customHeight="false" outlineLevel="0" collapsed="false">
      <c r="A1291" s="9" t="n">
        <f aca="false">IFERROR(__xludf.dummyfunction("""COMPUTED_VALUE"""),46076.6666666667)</f>
        <v>46076.6666666667</v>
      </c>
      <c r="B1291" s="8" t="n">
        <f aca="false">IFERROR(__xludf.dummyfunction("""COMPUTED_VALUE"""),652.54)</f>
        <v>652.54</v>
      </c>
      <c r="C1291" s="8" t="n">
        <f aca="false">IFERROR(__xludf.dummyfunction("""COMPUTED_VALUE"""),657.7)</f>
        <v>657.7</v>
      </c>
      <c r="D1291" s="8" t="n">
        <f aca="false">IFERROR(__xludf.dummyfunction("""COMPUTED_VALUE"""),636)</f>
        <v>636</v>
      </c>
      <c r="E1291" s="8" t="n">
        <f aca="false">IFERROR(__xludf.dummyfunction("""COMPUTED_VALUE"""),637.25)</f>
        <v>637.25</v>
      </c>
      <c r="F1291" s="8" t="n">
        <f aca="false">IFERROR(__xludf.dummyfunction("""COMPUTED_VALUE"""),8543731)</f>
        <v>8543731</v>
      </c>
    </row>
    <row r="1292" customFormat="false" ht="15.75" hidden="false" customHeight="false" outlineLevel="0" collapsed="false">
      <c r="A1292" s="9" t="n">
        <f aca="false">IFERROR(__xludf.dummyfunction("""COMPUTED_VALUE"""),46077.6666666667)</f>
        <v>46077.6666666667</v>
      </c>
      <c r="B1292" s="8" t="n">
        <f aca="false">IFERROR(__xludf.dummyfunction("""COMPUTED_VALUE"""),633.08)</f>
        <v>633.08</v>
      </c>
      <c r="C1292" s="8" t="n">
        <f aca="false">IFERROR(__xludf.dummyfunction("""COMPUTED_VALUE"""),641.11)</f>
        <v>641.11</v>
      </c>
      <c r="D1292" s="8" t="n">
        <f aca="false">IFERROR(__xludf.dummyfunction("""COMPUTED_VALUE"""),628.98)</f>
        <v>628.98</v>
      </c>
      <c r="E1292" s="8" t="n">
        <f aca="false">IFERROR(__xludf.dummyfunction("""COMPUTED_VALUE"""),639.3)</f>
        <v>639.3</v>
      </c>
      <c r="F1292" s="8" t="n">
        <f aca="false">IFERROR(__xludf.dummyfunction("""COMPUTED_VALUE"""),10092073)</f>
        <v>10092073</v>
      </c>
    </row>
    <row r="1293" customFormat="false" ht="15.75" hidden="false" customHeight="false" outlineLevel="0" collapsed="false">
      <c r="A1293" s="9" t="n">
        <f aca="false">IFERROR(__xludf.dummyfunction("""COMPUTED_VALUE"""),46078.6666666667)</f>
        <v>46078.6666666667</v>
      </c>
      <c r="B1293" s="8" t="n">
        <f aca="false">IFERROR(__xludf.dummyfunction("""COMPUTED_VALUE"""),642.53)</f>
        <v>642.53</v>
      </c>
      <c r="C1293" s="8" t="n">
        <f aca="false">IFERROR(__xludf.dummyfunction("""COMPUTED_VALUE"""),653.88)</f>
        <v>653.88</v>
      </c>
      <c r="D1293" s="8" t="n">
        <f aca="false">IFERROR(__xludf.dummyfunction("""COMPUTED_VALUE"""),642.14)</f>
        <v>642.14</v>
      </c>
      <c r="E1293" s="8" t="n">
        <f aca="false">IFERROR(__xludf.dummyfunction("""COMPUTED_VALUE"""),653.69)</f>
        <v>653.69</v>
      </c>
      <c r="F1293" s="8" t="n">
        <f aca="false">IFERROR(__xludf.dummyfunction("""COMPUTED_VALUE"""),11185585)</f>
        <v>11185585</v>
      </c>
    </row>
    <row r="1294" customFormat="false" ht="15.75" hidden="false" customHeight="false" outlineLevel="0" collapsed="false">
      <c r="A1294" s="9" t="n">
        <f aca="false">IFERROR(__xludf.dummyfunction("""COMPUTED_VALUE"""),46079.6666666667)</f>
        <v>46079.6666666667</v>
      </c>
      <c r="B1294" s="8" t="n">
        <f aca="false">IFERROR(__xludf.dummyfunction("""COMPUTED_VALUE"""),650.55)</f>
        <v>650.55</v>
      </c>
      <c r="C1294" s="8" t="n">
        <f aca="false">IFERROR(__xludf.dummyfunction("""COMPUTED_VALUE"""),661)</f>
        <v>661</v>
      </c>
      <c r="D1294" s="8" t="n">
        <f aca="false">IFERROR(__xludf.dummyfunction("""COMPUTED_VALUE"""),647.5)</f>
        <v>647.5</v>
      </c>
      <c r="E1294" s="8" t="n">
        <f aca="false">IFERROR(__xludf.dummyfunction("""COMPUTED_VALUE"""),657.01)</f>
        <v>657.01</v>
      </c>
      <c r="F1294" s="8" t="n">
        <f aca="false">IFERROR(__xludf.dummyfunction("""COMPUTED_VALUE"""),9967620)</f>
        <v>9967620</v>
      </c>
    </row>
    <row r="1295" customFormat="false" ht="15.75" hidden="false" customHeight="false" outlineLevel="0" collapsed="false">
      <c r="A1295" s="9" t="n">
        <f aca="false">IFERROR(__xludf.dummyfunction("""COMPUTED_VALUE"""),46080.6666666667)</f>
        <v>46080.6666666667</v>
      </c>
      <c r="B1295" s="8" t="n">
        <f aca="false">IFERROR(__xludf.dummyfunction("""COMPUTED_VALUE"""),643.45)</f>
        <v>643.45</v>
      </c>
      <c r="C1295" s="8" t="n">
        <f aca="false">IFERROR(__xludf.dummyfunction("""COMPUTED_VALUE"""),649.44)</f>
        <v>649.44</v>
      </c>
      <c r="D1295" s="8" t="n">
        <f aca="false">IFERROR(__xludf.dummyfunction("""COMPUTED_VALUE"""),638.12)</f>
        <v>638.12</v>
      </c>
      <c r="E1295" s="8" t="n">
        <f aca="false">IFERROR(__xludf.dummyfunction("""COMPUTED_VALUE"""),648.18)</f>
        <v>648.18</v>
      </c>
      <c r="F1295" s="8" t="n">
        <f aca="false">IFERROR(__xludf.dummyfunction("""COMPUTED_VALUE"""),15624301)</f>
        <v>15624301</v>
      </c>
    </row>
    <row r="1296" customFormat="false" ht="15.75" hidden="false" customHeight="false" outlineLevel="0" collapsed="false">
      <c r="A1296" s="9" t="n">
        <f aca="false">IFERROR(__xludf.dummyfunction("""COMPUTED_VALUE"""),46083.6666666667)</f>
        <v>46083.6666666667</v>
      </c>
      <c r="B1296" s="8" t="n">
        <f aca="false">IFERROR(__xludf.dummyfunction("""COMPUTED_VALUE"""),637.16)</f>
        <v>637.16</v>
      </c>
      <c r="C1296" s="8" t="n">
        <f aca="false">IFERROR(__xludf.dummyfunction("""COMPUTED_VALUE"""),659.94)</f>
        <v>659.94</v>
      </c>
      <c r="D1296" s="8" t="n">
        <f aca="false">IFERROR(__xludf.dummyfunction("""COMPUTED_VALUE"""),634.5)</f>
        <v>634.5</v>
      </c>
      <c r="E1296" s="8" t="n">
        <f aca="false">IFERROR(__xludf.dummyfunction("""COMPUTED_VALUE"""),653.56)</f>
        <v>653.56</v>
      </c>
      <c r="F1296" s="8" t="n">
        <f aca="false">IFERROR(__xludf.dummyfunction("""COMPUTED_VALUE"""),141261)</f>
        <v>141261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2.94921875" defaultRowHeight="15.75" customHeight="true" zeroHeight="false" outlineLevelRow="0" outlineLevelCol="0"/>
  <cols>
    <col collapsed="false" customWidth="false" hidden="false" outlineLevel="0" max="16384" min="1" style="1" width="22.95"/>
  </cols>
  <sheetData>
    <row r="1" customFormat="false" ht="15.75" hidden="false" customHeight="false" outlineLevel="0" collapsed="false">
      <c r="A1" s="2" t="str">
        <f aca="false">IFERROR(__xludf.dummyfunction("GOOGLEFINANCE(""AVGO"" , ""ALL"" , DATE(2021,1,1) , TODAY())"),"Date")</f>
        <v>Date</v>
      </c>
      <c r="B1" s="2" t="str">
        <f aca="false">IFERROR(__xludf.dummyfunction("""COMPUTED_VALUE"""),"Open")</f>
        <v>Open</v>
      </c>
      <c r="C1" s="2" t="str">
        <f aca="false">IFERROR(__xludf.dummyfunction("""COMPUTED_VALUE"""),"High")</f>
        <v>High</v>
      </c>
      <c r="D1" s="2" t="str">
        <f aca="false">IFERROR(__xludf.dummyfunction("""COMPUTED_VALUE"""),"Low")</f>
        <v>Low</v>
      </c>
      <c r="E1" s="2" t="str">
        <f aca="false">IFERROR(__xludf.dummyfunction("""COMPUTED_VALUE"""),"Close")</f>
        <v>Close</v>
      </c>
      <c r="F1" s="2" t="str">
        <f aca="false">IFERROR(__xludf.dummyfunction("""COMPUTED_VALUE"""),"Volume")</f>
        <v>Volume</v>
      </c>
    </row>
    <row r="2" customFormat="false" ht="15.75" hidden="false" customHeight="false" outlineLevel="0" collapsed="false">
      <c r="A2" s="3" t="n">
        <f aca="false">IFERROR(__xludf.dummyfunction("""COMPUTED_VALUE"""),44200.6666666667)</f>
        <v>44200.6666666667</v>
      </c>
      <c r="B2" s="2" t="n">
        <f aca="false">IFERROR(__xludf.dummyfunction("""COMPUTED_VALUE"""),43.93)</f>
        <v>43.93</v>
      </c>
      <c r="C2" s="2" t="n">
        <f aca="false">IFERROR(__xludf.dummyfunction("""COMPUTED_VALUE"""),44.22)</f>
        <v>44.22</v>
      </c>
      <c r="D2" s="2" t="n">
        <f aca="false">IFERROR(__xludf.dummyfunction("""COMPUTED_VALUE"""),42.12)</f>
        <v>42.12</v>
      </c>
      <c r="E2" s="2" t="n">
        <f aca="false">IFERROR(__xludf.dummyfunction("""COMPUTED_VALUE"""),42.52)</f>
        <v>42.52</v>
      </c>
      <c r="F2" s="2" t="n">
        <f aca="false">IFERROR(__xludf.dummyfunction("""COMPUTED_VALUE"""),2417225)</f>
        <v>2417225</v>
      </c>
    </row>
    <row r="3" customFormat="false" ht="15.75" hidden="false" customHeight="false" outlineLevel="0" collapsed="false">
      <c r="A3" s="3" t="n">
        <f aca="false">IFERROR(__xludf.dummyfunction("""COMPUTED_VALUE"""),44201.6666666667)</f>
        <v>44201.6666666667</v>
      </c>
      <c r="B3" s="2" t="n">
        <f aca="false">IFERROR(__xludf.dummyfunction("""COMPUTED_VALUE"""),42.51)</f>
        <v>42.51</v>
      </c>
      <c r="C3" s="2" t="n">
        <f aca="false">IFERROR(__xludf.dummyfunction("""COMPUTED_VALUE"""),42.94)</f>
        <v>42.94</v>
      </c>
      <c r="D3" s="2" t="n">
        <f aca="false">IFERROR(__xludf.dummyfunction("""COMPUTED_VALUE"""),42.24)</f>
        <v>42.24</v>
      </c>
      <c r="E3" s="2" t="n">
        <f aca="false">IFERROR(__xludf.dummyfunction("""COMPUTED_VALUE"""),42.81)</f>
        <v>42.81</v>
      </c>
      <c r="F3" s="2" t="n">
        <f aca="false">IFERROR(__xludf.dummyfunction("""COMPUTED_VALUE"""),1506912)</f>
        <v>1506912</v>
      </c>
    </row>
    <row r="4" customFormat="false" ht="15.75" hidden="false" customHeight="false" outlineLevel="0" collapsed="false">
      <c r="A4" s="3" t="n">
        <f aca="false">IFERROR(__xludf.dummyfunction("""COMPUTED_VALUE"""),44202.6666666667)</f>
        <v>44202.6666666667</v>
      </c>
      <c r="B4" s="2" t="n">
        <f aca="false">IFERROR(__xludf.dummyfunction("""COMPUTED_VALUE"""),42.33)</f>
        <v>42.33</v>
      </c>
      <c r="C4" s="2" t="n">
        <f aca="false">IFERROR(__xludf.dummyfunction("""COMPUTED_VALUE"""),43.46)</f>
        <v>43.46</v>
      </c>
      <c r="D4" s="2" t="n">
        <f aca="false">IFERROR(__xludf.dummyfunction("""COMPUTED_VALUE"""),42.05)</f>
        <v>42.05</v>
      </c>
      <c r="E4" s="2" t="n">
        <f aca="false">IFERROR(__xludf.dummyfunction("""COMPUTED_VALUE"""),42.55)</f>
        <v>42.55</v>
      </c>
      <c r="F4" s="2" t="n">
        <f aca="false">IFERROR(__xludf.dummyfunction("""COMPUTED_VALUE"""),1722618)</f>
        <v>1722618</v>
      </c>
    </row>
    <row r="5" customFormat="false" ht="15.75" hidden="false" customHeight="false" outlineLevel="0" collapsed="false">
      <c r="A5" s="3" t="n">
        <f aca="false">IFERROR(__xludf.dummyfunction("""COMPUTED_VALUE"""),44203.6666666667)</f>
        <v>44203.6666666667</v>
      </c>
      <c r="B5" s="2" t="n">
        <f aca="false">IFERROR(__xludf.dummyfunction("""COMPUTED_VALUE"""),43.21)</f>
        <v>43.21</v>
      </c>
      <c r="C5" s="2" t="n">
        <f aca="false">IFERROR(__xludf.dummyfunction("""COMPUTED_VALUE"""),44.46)</f>
        <v>44.46</v>
      </c>
      <c r="D5" s="2" t="n">
        <f aca="false">IFERROR(__xludf.dummyfunction("""COMPUTED_VALUE"""),43.06)</f>
        <v>43.06</v>
      </c>
      <c r="E5" s="2" t="n">
        <f aca="false">IFERROR(__xludf.dummyfunction("""COMPUTED_VALUE"""),44.34)</f>
        <v>44.34</v>
      </c>
      <c r="F5" s="2" t="n">
        <f aca="false">IFERROR(__xludf.dummyfunction("""COMPUTED_VALUE"""),2126960)</f>
        <v>2126960</v>
      </c>
    </row>
    <row r="6" customFormat="false" ht="15.75" hidden="false" customHeight="false" outlineLevel="0" collapsed="false">
      <c r="A6" s="3" t="n">
        <f aca="false">IFERROR(__xludf.dummyfunction("""COMPUTED_VALUE"""),44204.6666666667)</f>
        <v>44204.6666666667</v>
      </c>
      <c r="B6" s="2" t="n">
        <f aca="false">IFERROR(__xludf.dummyfunction("""COMPUTED_VALUE"""),44.7)</f>
        <v>44.7</v>
      </c>
      <c r="C6" s="2" t="n">
        <f aca="false">IFERROR(__xludf.dummyfunction("""COMPUTED_VALUE"""),45)</f>
        <v>45</v>
      </c>
      <c r="D6" s="2" t="n">
        <f aca="false">IFERROR(__xludf.dummyfunction("""COMPUTED_VALUE"""),43.86)</f>
        <v>43.86</v>
      </c>
      <c r="E6" s="2" t="n">
        <f aca="false">IFERROR(__xludf.dummyfunction("""COMPUTED_VALUE"""),44.56)</f>
        <v>44.56</v>
      </c>
      <c r="F6" s="2" t="n">
        <f aca="false">IFERROR(__xludf.dummyfunction("""COMPUTED_VALUE"""),1527347)</f>
        <v>1527347</v>
      </c>
    </row>
    <row r="7" customFormat="false" ht="15.75" hidden="false" customHeight="false" outlineLevel="0" collapsed="false">
      <c r="A7" s="3" t="n">
        <f aca="false">IFERROR(__xludf.dummyfunction("""COMPUTED_VALUE"""),44207.6666666667)</f>
        <v>44207.6666666667</v>
      </c>
      <c r="B7" s="2" t="n">
        <f aca="false">IFERROR(__xludf.dummyfunction("""COMPUTED_VALUE"""),44.06)</f>
        <v>44.06</v>
      </c>
      <c r="C7" s="2" t="n">
        <f aca="false">IFERROR(__xludf.dummyfunction("""COMPUTED_VALUE"""),44.88)</f>
        <v>44.88</v>
      </c>
      <c r="D7" s="2" t="n">
        <f aca="false">IFERROR(__xludf.dummyfunction("""COMPUTED_VALUE"""),44.04)</f>
        <v>44.04</v>
      </c>
      <c r="E7" s="2" t="n">
        <f aca="false">IFERROR(__xludf.dummyfunction("""COMPUTED_VALUE"""),44.58)</f>
        <v>44.58</v>
      </c>
      <c r="F7" s="2" t="n">
        <f aca="false">IFERROR(__xludf.dummyfunction("""COMPUTED_VALUE"""),1166168)</f>
        <v>1166168</v>
      </c>
    </row>
    <row r="8" customFormat="false" ht="15.75" hidden="false" customHeight="false" outlineLevel="0" collapsed="false">
      <c r="A8" s="3" t="n">
        <f aca="false">IFERROR(__xludf.dummyfunction("""COMPUTED_VALUE"""),44208.6666666667)</f>
        <v>44208.6666666667</v>
      </c>
      <c r="B8" s="2" t="n">
        <f aca="false">IFERROR(__xludf.dummyfunction("""COMPUTED_VALUE"""),44.78)</f>
        <v>44.78</v>
      </c>
      <c r="C8" s="2" t="n">
        <f aca="false">IFERROR(__xludf.dummyfunction("""COMPUTED_VALUE"""),45.48)</f>
        <v>45.48</v>
      </c>
      <c r="D8" s="2" t="n">
        <f aca="false">IFERROR(__xludf.dummyfunction("""COMPUTED_VALUE"""),44.56)</f>
        <v>44.56</v>
      </c>
      <c r="E8" s="2" t="n">
        <f aca="false">IFERROR(__xludf.dummyfunction("""COMPUTED_VALUE"""),44.94)</f>
        <v>44.94</v>
      </c>
      <c r="F8" s="2" t="n">
        <f aca="false">IFERROR(__xludf.dummyfunction("""COMPUTED_VALUE"""),1384901)</f>
        <v>1384901</v>
      </c>
    </row>
    <row r="9" customFormat="false" ht="15.75" hidden="false" customHeight="false" outlineLevel="0" collapsed="false">
      <c r="A9" s="3" t="n">
        <f aca="false">IFERROR(__xludf.dummyfunction("""COMPUTED_VALUE"""),44209.6666666667)</f>
        <v>44209.6666666667</v>
      </c>
      <c r="B9" s="2" t="n">
        <f aca="false">IFERROR(__xludf.dummyfunction("""COMPUTED_VALUE"""),45.03)</f>
        <v>45.03</v>
      </c>
      <c r="C9" s="2" t="n">
        <f aca="false">IFERROR(__xludf.dummyfunction("""COMPUTED_VALUE"""),45.35)</f>
        <v>45.35</v>
      </c>
      <c r="D9" s="2" t="n">
        <f aca="false">IFERROR(__xludf.dummyfunction("""COMPUTED_VALUE"""),44.81)</f>
        <v>44.81</v>
      </c>
      <c r="E9" s="2" t="n">
        <f aca="false">IFERROR(__xludf.dummyfunction("""COMPUTED_VALUE"""),45.12)</f>
        <v>45.12</v>
      </c>
      <c r="F9" s="2" t="n">
        <f aca="false">IFERROR(__xludf.dummyfunction("""COMPUTED_VALUE"""),1311809)</f>
        <v>1311809</v>
      </c>
    </row>
    <row r="10" customFormat="false" ht="15.75" hidden="false" customHeight="false" outlineLevel="0" collapsed="false">
      <c r="A10" s="3" t="n">
        <f aca="false">IFERROR(__xludf.dummyfunction("""COMPUTED_VALUE"""),44210.6666666667)</f>
        <v>44210.6666666667</v>
      </c>
      <c r="B10" s="2" t="n">
        <f aca="false">IFERROR(__xludf.dummyfunction("""COMPUTED_VALUE"""),45.35)</f>
        <v>45.35</v>
      </c>
      <c r="C10" s="2" t="n">
        <f aca="false">IFERROR(__xludf.dummyfunction("""COMPUTED_VALUE"""),45.85)</f>
        <v>45.85</v>
      </c>
      <c r="D10" s="2" t="n">
        <f aca="false">IFERROR(__xludf.dummyfunction("""COMPUTED_VALUE"""),45.13)</f>
        <v>45.13</v>
      </c>
      <c r="E10" s="2" t="n">
        <f aca="false">IFERROR(__xludf.dummyfunction("""COMPUTED_VALUE"""),45.21)</f>
        <v>45.21</v>
      </c>
      <c r="F10" s="2" t="n">
        <f aca="false">IFERROR(__xludf.dummyfunction("""COMPUTED_VALUE"""),1969243)</f>
        <v>1969243</v>
      </c>
    </row>
    <row r="11" customFormat="false" ht="15.75" hidden="false" customHeight="false" outlineLevel="0" collapsed="false">
      <c r="A11" s="3" t="n">
        <f aca="false">IFERROR(__xludf.dummyfunction("""COMPUTED_VALUE"""),44211.6666666667)</f>
        <v>44211.6666666667</v>
      </c>
      <c r="B11" s="2" t="n">
        <f aca="false">IFERROR(__xludf.dummyfunction("""COMPUTED_VALUE"""),44.82)</f>
        <v>44.82</v>
      </c>
      <c r="C11" s="2" t="n">
        <f aca="false">IFERROR(__xludf.dummyfunction("""COMPUTED_VALUE"""),45)</f>
        <v>45</v>
      </c>
      <c r="D11" s="2" t="n">
        <f aca="false">IFERROR(__xludf.dummyfunction("""COMPUTED_VALUE"""),44.07)</f>
        <v>44.07</v>
      </c>
      <c r="E11" s="2" t="n">
        <f aca="false">IFERROR(__xludf.dummyfunction("""COMPUTED_VALUE"""),44.59)</f>
        <v>44.59</v>
      </c>
      <c r="F11" s="2" t="n">
        <f aca="false">IFERROR(__xludf.dummyfunction("""COMPUTED_VALUE"""),1816738)</f>
        <v>1816738</v>
      </c>
    </row>
    <row r="12" customFormat="false" ht="15.75" hidden="false" customHeight="false" outlineLevel="0" collapsed="false">
      <c r="A12" s="3" t="n">
        <f aca="false">IFERROR(__xludf.dummyfunction("""COMPUTED_VALUE"""),44215.6666666667)</f>
        <v>44215.6666666667</v>
      </c>
      <c r="B12" s="2" t="n">
        <f aca="false">IFERROR(__xludf.dummyfunction("""COMPUTED_VALUE"""),44.83)</f>
        <v>44.83</v>
      </c>
      <c r="C12" s="2" t="n">
        <f aca="false">IFERROR(__xludf.dummyfunction("""COMPUTED_VALUE"""),45.95)</f>
        <v>45.95</v>
      </c>
      <c r="D12" s="2" t="n">
        <f aca="false">IFERROR(__xludf.dummyfunction("""COMPUTED_VALUE"""),44.83)</f>
        <v>44.83</v>
      </c>
      <c r="E12" s="2" t="n">
        <f aca="false">IFERROR(__xludf.dummyfunction("""COMPUTED_VALUE"""),45.93)</f>
        <v>45.93</v>
      </c>
      <c r="F12" s="2" t="n">
        <f aca="false">IFERROR(__xludf.dummyfunction("""COMPUTED_VALUE"""),1881935)</f>
        <v>1881935</v>
      </c>
    </row>
    <row r="13" customFormat="false" ht="15.75" hidden="false" customHeight="false" outlineLevel="0" collapsed="false">
      <c r="A13" s="3" t="n">
        <f aca="false">IFERROR(__xludf.dummyfunction("""COMPUTED_VALUE"""),44216.6666666667)</f>
        <v>44216.6666666667</v>
      </c>
      <c r="B13" s="2" t="n">
        <f aca="false">IFERROR(__xludf.dummyfunction("""COMPUTED_VALUE"""),45.95)</f>
        <v>45.95</v>
      </c>
      <c r="C13" s="2" t="n">
        <f aca="false">IFERROR(__xludf.dummyfunction("""COMPUTED_VALUE"""),46.58)</f>
        <v>46.58</v>
      </c>
      <c r="D13" s="2" t="n">
        <f aca="false">IFERROR(__xludf.dummyfunction("""COMPUTED_VALUE"""),45.5)</f>
        <v>45.5</v>
      </c>
      <c r="E13" s="2" t="n">
        <f aca="false">IFERROR(__xludf.dummyfunction("""COMPUTED_VALUE"""),46.19)</f>
        <v>46.19</v>
      </c>
      <c r="F13" s="2" t="n">
        <f aca="false">IFERROR(__xludf.dummyfunction("""COMPUTED_VALUE"""),1471116)</f>
        <v>1471116</v>
      </c>
    </row>
    <row r="14" customFormat="false" ht="15.75" hidden="false" customHeight="false" outlineLevel="0" collapsed="false">
      <c r="A14" s="3" t="n">
        <f aca="false">IFERROR(__xludf.dummyfunction("""COMPUTED_VALUE"""),44217.6666666667)</f>
        <v>44217.6666666667</v>
      </c>
      <c r="B14" s="2" t="n">
        <f aca="false">IFERROR(__xludf.dummyfunction("""COMPUTED_VALUE"""),46.21)</f>
        <v>46.21</v>
      </c>
      <c r="C14" s="2" t="n">
        <f aca="false">IFERROR(__xludf.dummyfunction("""COMPUTED_VALUE"""),46.95)</f>
        <v>46.95</v>
      </c>
      <c r="D14" s="2" t="n">
        <f aca="false">IFERROR(__xludf.dummyfunction("""COMPUTED_VALUE"""),46.04)</f>
        <v>46.04</v>
      </c>
      <c r="E14" s="2" t="n">
        <f aca="false">IFERROR(__xludf.dummyfunction("""COMPUTED_VALUE"""),46.68)</f>
        <v>46.68</v>
      </c>
      <c r="F14" s="2" t="n">
        <f aca="false">IFERROR(__xludf.dummyfunction("""COMPUTED_VALUE"""),1575420)</f>
        <v>1575420</v>
      </c>
    </row>
    <row r="15" customFormat="false" ht="15.75" hidden="false" customHeight="false" outlineLevel="0" collapsed="false">
      <c r="A15" s="3" t="n">
        <f aca="false">IFERROR(__xludf.dummyfunction("""COMPUTED_VALUE"""),44218.6666666667)</f>
        <v>44218.6666666667</v>
      </c>
      <c r="B15" s="2" t="n">
        <f aca="false">IFERROR(__xludf.dummyfunction("""COMPUTED_VALUE"""),46.37)</f>
        <v>46.37</v>
      </c>
      <c r="C15" s="2" t="n">
        <f aca="false">IFERROR(__xludf.dummyfunction("""COMPUTED_VALUE"""),46.76)</f>
        <v>46.76</v>
      </c>
      <c r="D15" s="2" t="n">
        <f aca="false">IFERROR(__xludf.dummyfunction("""COMPUTED_VALUE"""),46.24)</f>
        <v>46.24</v>
      </c>
      <c r="E15" s="2" t="n">
        <f aca="false">IFERROR(__xludf.dummyfunction("""COMPUTED_VALUE"""),46.5)</f>
        <v>46.5</v>
      </c>
      <c r="F15" s="2" t="n">
        <f aca="false">IFERROR(__xludf.dummyfunction("""COMPUTED_VALUE"""),1624758)</f>
        <v>1624758</v>
      </c>
    </row>
    <row r="16" customFormat="false" ht="15.75" hidden="false" customHeight="false" outlineLevel="0" collapsed="false">
      <c r="A16" s="3" t="n">
        <f aca="false">IFERROR(__xludf.dummyfunction("""COMPUTED_VALUE"""),44221.6666666667)</f>
        <v>44221.6666666667</v>
      </c>
      <c r="B16" s="2" t="n">
        <f aca="false">IFERROR(__xludf.dummyfunction("""COMPUTED_VALUE"""),46.96)</f>
        <v>46.96</v>
      </c>
      <c r="C16" s="2" t="n">
        <f aca="false">IFERROR(__xludf.dummyfunction("""COMPUTED_VALUE"""),47)</f>
        <v>47</v>
      </c>
      <c r="D16" s="2" t="n">
        <f aca="false">IFERROR(__xludf.dummyfunction("""COMPUTED_VALUE"""),45.61)</f>
        <v>45.61</v>
      </c>
      <c r="E16" s="2" t="n">
        <f aca="false">IFERROR(__xludf.dummyfunction("""COMPUTED_VALUE"""),46.48)</f>
        <v>46.48</v>
      </c>
      <c r="F16" s="2" t="n">
        <f aca="false">IFERROR(__xludf.dummyfunction("""COMPUTED_VALUE"""),1469391)</f>
        <v>1469391</v>
      </c>
    </row>
    <row r="17" customFormat="false" ht="15.75" hidden="false" customHeight="false" outlineLevel="0" collapsed="false">
      <c r="A17" s="3" t="n">
        <f aca="false">IFERROR(__xludf.dummyfunction("""COMPUTED_VALUE"""),44222.6666666667)</f>
        <v>44222.6666666667</v>
      </c>
      <c r="B17" s="2" t="n">
        <f aca="false">IFERROR(__xludf.dummyfunction("""COMPUTED_VALUE"""),46.27)</f>
        <v>46.27</v>
      </c>
      <c r="C17" s="2" t="n">
        <f aca="false">IFERROR(__xludf.dummyfunction("""COMPUTED_VALUE"""),46.7)</f>
        <v>46.7</v>
      </c>
      <c r="D17" s="2" t="n">
        <f aca="false">IFERROR(__xludf.dummyfunction("""COMPUTED_VALUE"""),46.19)</f>
        <v>46.19</v>
      </c>
      <c r="E17" s="2" t="n">
        <f aca="false">IFERROR(__xludf.dummyfunction("""COMPUTED_VALUE"""),46.39)</f>
        <v>46.39</v>
      </c>
      <c r="F17" s="2" t="n">
        <f aca="false">IFERROR(__xludf.dummyfunction("""COMPUTED_VALUE"""),1074174)</f>
        <v>1074174</v>
      </c>
    </row>
    <row r="18" customFormat="false" ht="15.75" hidden="false" customHeight="false" outlineLevel="0" collapsed="false">
      <c r="A18" s="3" t="n">
        <f aca="false">IFERROR(__xludf.dummyfunction("""COMPUTED_VALUE"""),44223.6666666667)</f>
        <v>44223.6666666667</v>
      </c>
      <c r="B18" s="2" t="n">
        <f aca="false">IFERROR(__xludf.dummyfunction("""COMPUTED_VALUE"""),45.55)</f>
        <v>45.55</v>
      </c>
      <c r="C18" s="2" t="n">
        <f aca="false">IFERROR(__xludf.dummyfunction("""COMPUTED_VALUE"""),45.7)</f>
        <v>45.7</v>
      </c>
      <c r="D18" s="2" t="n">
        <f aca="false">IFERROR(__xludf.dummyfunction("""COMPUTED_VALUE"""),44.15)</f>
        <v>44.15</v>
      </c>
      <c r="E18" s="2" t="n">
        <f aca="false">IFERROR(__xludf.dummyfunction("""COMPUTED_VALUE"""),44.47)</f>
        <v>44.47</v>
      </c>
      <c r="F18" s="2" t="n">
        <f aca="false">IFERROR(__xludf.dummyfunction("""COMPUTED_VALUE"""),2185727)</f>
        <v>2185727</v>
      </c>
    </row>
    <row r="19" customFormat="false" ht="15.75" hidden="false" customHeight="false" outlineLevel="0" collapsed="false">
      <c r="A19" s="3" t="n">
        <f aca="false">IFERROR(__xludf.dummyfunction("""COMPUTED_VALUE"""),44224.6666666667)</f>
        <v>44224.6666666667</v>
      </c>
      <c r="B19" s="2" t="n">
        <f aca="false">IFERROR(__xludf.dummyfunction("""COMPUTED_VALUE"""),45.55)</f>
        <v>45.55</v>
      </c>
      <c r="C19" s="2" t="n">
        <f aca="false">IFERROR(__xludf.dummyfunction("""COMPUTED_VALUE"""),45.85)</f>
        <v>45.85</v>
      </c>
      <c r="D19" s="2" t="n">
        <f aca="false">IFERROR(__xludf.dummyfunction("""COMPUTED_VALUE"""),44.7)</f>
        <v>44.7</v>
      </c>
      <c r="E19" s="2" t="n">
        <f aca="false">IFERROR(__xludf.dummyfunction("""COMPUTED_VALUE"""),45.17)</f>
        <v>45.17</v>
      </c>
      <c r="F19" s="2" t="n">
        <f aca="false">IFERROR(__xludf.dummyfunction("""COMPUTED_VALUE"""),1694612)</f>
        <v>1694612</v>
      </c>
    </row>
    <row r="20" customFormat="false" ht="15.75" hidden="false" customHeight="false" outlineLevel="0" collapsed="false">
      <c r="A20" s="3" t="n">
        <f aca="false">IFERROR(__xludf.dummyfunction("""COMPUTED_VALUE"""),44225.6666666667)</f>
        <v>44225.6666666667</v>
      </c>
      <c r="B20" s="2" t="n">
        <f aca="false">IFERROR(__xludf.dummyfunction("""COMPUTED_VALUE"""),44.99)</f>
        <v>44.99</v>
      </c>
      <c r="C20" s="2" t="n">
        <f aca="false">IFERROR(__xludf.dummyfunction("""COMPUTED_VALUE"""),45.81)</f>
        <v>45.81</v>
      </c>
      <c r="D20" s="2" t="n">
        <f aca="false">IFERROR(__xludf.dummyfunction("""COMPUTED_VALUE"""),44.76)</f>
        <v>44.76</v>
      </c>
      <c r="E20" s="2" t="n">
        <f aca="false">IFERROR(__xludf.dummyfunction("""COMPUTED_VALUE"""),45.05)</f>
        <v>45.05</v>
      </c>
      <c r="F20" s="2" t="n">
        <f aca="false">IFERROR(__xludf.dummyfunction("""COMPUTED_VALUE"""),2207108)</f>
        <v>2207108</v>
      </c>
    </row>
    <row r="21" customFormat="false" ht="15.75" hidden="false" customHeight="false" outlineLevel="0" collapsed="false">
      <c r="A21" s="3" t="n">
        <f aca="false">IFERROR(__xludf.dummyfunction("""COMPUTED_VALUE"""),44228.6666666667)</f>
        <v>44228.6666666667</v>
      </c>
      <c r="B21" s="2" t="n">
        <f aca="false">IFERROR(__xludf.dummyfunction("""COMPUTED_VALUE"""),45.59)</f>
        <v>45.59</v>
      </c>
      <c r="C21" s="2" t="n">
        <f aca="false">IFERROR(__xludf.dummyfunction("""COMPUTED_VALUE"""),46.93)</f>
        <v>46.93</v>
      </c>
      <c r="D21" s="2" t="n">
        <f aca="false">IFERROR(__xludf.dummyfunction("""COMPUTED_VALUE"""),45.36)</f>
        <v>45.36</v>
      </c>
      <c r="E21" s="2" t="n">
        <f aca="false">IFERROR(__xludf.dummyfunction("""COMPUTED_VALUE"""),46.67)</f>
        <v>46.67</v>
      </c>
      <c r="F21" s="2" t="n">
        <f aca="false">IFERROR(__xludf.dummyfunction("""COMPUTED_VALUE"""),1702813)</f>
        <v>1702813</v>
      </c>
    </row>
    <row r="22" customFormat="false" ht="15.75" hidden="false" customHeight="false" outlineLevel="0" collapsed="false">
      <c r="A22" s="3" t="n">
        <f aca="false">IFERROR(__xludf.dummyfunction("""COMPUTED_VALUE"""),44229.6666666667)</f>
        <v>44229.6666666667</v>
      </c>
      <c r="B22" s="2" t="n">
        <f aca="false">IFERROR(__xludf.dummyfunction("""COMPUTED_VALUE"""),46.98)</f>
        <v>46.98</v>
      </c>
      <c r="C22" s="2" t="n">
        <f aca="false">IFERROR(__xludf.dummyfunction("""COMPUTED_VALUE"""),47.7)</f>
        <v>47.7</v>
      </c>
      <c r="D22" s="2" t="n">
        <f aca="false">IFERROR(__xludf.dummyfunction("""COMPUTED_VALUE"""),46.8)</f>
        <v>46.8</v>
      </c>
      <c r="E22" s="2" t="n">
        <f aca="false">IFERROR(__xludf.dummyfunction("""COMPUTED_VALUE"""),47.69)</f>
        <v>47.69</v>
      </c>
      <c r="F22" s="2" t="n">
        <f aca="false">IFERROR(__xludf.dummyfunction("""COMPUTED_VALUE"""),1614083)</f>
        <v>1614083</v>
      </c>
    </row>
    <row r="23" customFormat="false" ht="15.75" hidden="false" customHeight="false" outlineLevel="0" collapsed="false">
      <c r="A23" s="3" t="n">
        <f aca="false">IFERROR(__xludf.dummyfunction("""COMPUTED_VALUE"""),44230.6666666667)</f>
        <v>44230.6666666667</v>
      </c>
      <c r="B23" s="2" t="n">
        <f aca="false">IFERROR(__xludf.dummyfunction("""COMPUTED_VALUE"""),47.69)</f>
        <v>47.69</v>
      </c>
      <c r="C23" s="2" t="n">
        <f aca="false">IFERROR(__xludf.dummyfunction("""COMPUTED_VALUE"""),47.85)</f>
        <v>47.85</v>
      </c>
      <c r="D23" s="2" t="n">
        <f aca="false">IFERROR(__xludf.dummyfunction("""COMPUTED_VALUE"""),46.46)</f>
        <v>46.46</v>
      </c>
      <c r="E23" s="2" t="n">
        <f aca="false">IFERROR(__xludf.dummyfunction("""COMPUTED_VALUE"""),46.52)</f>
        <v>46.52</v>
      </c>
      <c r="F23" s="2" t="n">
        <f aca="false">IFERROR(__xludf.dummyfunction("""COMPUTED_VALUE"""),1785699)</f>
        <v>1785699</v>
      </c>
    </row>
    <row r="24" customFormat="false" ht="15.75" hidden="false" customHeight="false" outlineLevel="0" collapsed="false">
      <c r="A24" s="3" t="n">
        <f aca="false">IFERROR(__xludf.dummyfunction("""COMPUTED_VALUE"""),44231.6666666667)</f>
        <v>44231.6666666667</v>
      </c>
      <c r="B24" s="2" t="n">
        <f aca="false">IFERROR(__xludf.dummyfunction("""COMPUTED_VALUE"""),46)</f>
        <v>46</v>
      </c>
      <c r="C24" s="2" t="n">
        <f aca="false">IFERROR(__xludf.dummyfunction("""COMPUTED_VALUE"""),47.12)</f>
        <v>47.12</v>
      </c>
      <c r="D24" s="2" t="n">
        <f aca="false">IFERROR(__xludf.dummyfunction("""COMPUTED_VALUE"""),45.75)</f>
        <v>45.75</v>
      </c>
      <c r="E24" s="2" t="n">
        <f aca="false">IFERROR(__xludf.dummyfunction("""COMPUTED_VALUE"""),47.06)</f>
        <v>47.06</v>
      </c>
      <c r="F24" s="2" t="n">
        <f aca="false">IFERROR(__xludf.dummyfunction("""COMPUTED_VALUE"""),1524265)</f>
        <v>1524265</v>
      </c>
    </row>
    <row r="25" customFormat="false" ht="15.75" hidden="false" customHeight="false" outlineLevel="0" collapsed="false">
      <c r="A25" s="3" t="n">
        <f aca="false">IFERROR(__xludf.dummyfunction("""COMPUTED_VALUE"""),44232.6666666667)</f>
        <v>44232.6666666667</v>
      </c>
      <c r="B25" s="2" t="n">
        <f aca="false">IFERROR(__xludf.dummyfunction("""COMPUTED_VALUE"""),47.43)</f>
        <v>47.43</v>
      </c>
      <c r="C25" s="2" t="n">
        <f aca="false">IFERROR(__xludf.dummyfunction("""COMPUTED_VALUE"""),47.69)</f>
        <v>47.69</v>
      </c>
      <c r="D25" s="2" t="n">
        <f aca="false">IFERROR(__xludf.dummyfunction("""COMPUTED_VALUE"""),46.54)</f>
        <v>46.54</v>
      </c>
      <c r="E25" s="2" t="n">
        <f aca="false">IFERROR(__xludf.dummyfunction("""COMPUTED_VALUE"""),46.6)</f>
        <v>46.6</v>
      </c>
      <c r="F25" s="2" t="n">
        <f aca="false">IFERROR(__xludf.dummyfunction("""COMPUTED_VALUE"""),1248935)</f>
        <v>1248935</v>
      </c>
    </row>
    <row r="26" customFormat="false" ht="15.75" hidden="false" customHeight="false" outlineLevel="0" collapsed="false">
      <c r="A26" s="3" t="n">
        <f aca="false">IFERROR(__xludf.dummyfunction("""COMPUTED_VALUE"""),44235.6666666667)</f>
        <v>44235.6666666667</v>
      </c>
      <c r="B26" s="2" t="n">
        <f aca="false">IFERROR(__xludf.dummyfunction("""COMPUTED_VALUE"""),46.88)</f>
        <v>46.88</v>
      </c>
      <c r="C26" s="2" t="n">
        <f aca="false">IFERROR(__xludf.dummyfunction("""COMPUTED_VALUE"""),47.34)</f>
        <v>47.34</v>
      </c>
      <c r="D26" s="2" t="n">
        <f aca="false">IFERROR(__xludf.dummyfunction("""COMPUTED_VALUE"""),46.56)</f>
        <v>46.56</v>
      </c>
      <c r="E26" s="2" t="n">
        <f aca="false">IFERROR(__xludf.dummyfunction("""COMPUTED_VALUE"""),47.27)</f>
        <v>47.27</v>
      </c>
      <c r="F26" s="2" t="n">
        <f aca="false">IFERROR(__xludf.dummyfunction("""COMPUTED_VALUE"""),1761131)</f>
        <v>1761131</v>
      </c>
    </row>
    <row r="27" customFormat="false" ht="15.75" hidden="false" customHeight="false" outlineLevel="0" collapsed="false">
      <c r="A27" s="3" t="n">
        <f aca="false">IFERROR(__xludf.dummyfunction("""COMPUTED_VALUE"""),44236.6666666667)</f>
        <v>44236.6666666667</v>
      </c>
      <c r="B27" s="2" t="n">
        <f aca="false">IFERROR(__xludf.dummyfunction("""COMPUTED_VALUE"""),47.2)</f>
        <v>47.2</v>
      </c>
      <c r="C27" s="2" t="n">
        <f aca="false">IFERROR(__xludf.dummyfunction("""COMPUTED_VALUE"""),47.52)</f>
        <v>47.52</v>
      </c>
      <c r="D27" s="2" t="n">
        <f aca="false">IFERROR(__xludf.dummyfunction("""COMPUTED_VALUE"""),46.86)</f>
        <v>46.86</v>
      </c>
      <c r="E27" s="2" t="n">
        <f aca="false">IFERROR(__xludf.dummyfunction("""COMPUTED_VALUE"""),47.46)</f>
        <v>47.46</v>
      </c>
      <c r="F27" s="2" t="n">
        <f aca="false">IFERROR(__xludf.dummyfunction("""COMPUTED_VALUE"""),1275922)</f>
        <v>1275922</v>
      </c>
    </row>
    <row r="28" customFormat="false" ht="15.75" hidden="false" customHeight="false" outlineLevel="0" collapsed="false">
      <c r="A28" s="3" t="n">
        <f aca="false">IFERROR(__xludf.dummyfunction("""COMPUTED_VALUE"""),44237.6666666667)</f>
        <v>44237.6666666667</v>
      </c>
      <c r="B28" s="2" t="n">
        <f aca="false">IFERROR(__xludf.dummyfunction("""COMPUTED_VALUE"""),47.72)</f>
        <v>47.72</v>
      </c>
      <c r="C28" s="2" t="n">
        <f aca="false">IFERROR(__xludf.dummyfunction("""COMPUTED_VALUE"""),47.75)</f>
        <v>47.75</v>
      </c>
      <c r="D28" s="2" t="n">
        <f aca="false">IFERROR(__xludf.dummyfunction("""COMPUTED_VALUE"""),46.55)</f>
        <v>46.55</v>
      </c>
      <c r="E28" s="2" t="n">
        <f aca="false">IFERROR(__xludf.dummyfunction("""COMPUTED_VALUE"""),47.01)</f>
        <v>47.01</v>
      </c>
      <c r="F28" s="2" t="n">
        <f aca="false">IFERROR(__xludf.dummyfunction("""COMPUTED_VALUE"""),1459042)</f>
        <v>1459042</v>
      </c>
    </row>
    <row r="29" customFormat="false" ht="15.75" hidden="false" customHeight="false" outlineLevel="0" collapsed="false">
      <c r="A29" s="3" t="n">
        <f aca="false">IFERROR(__xludf.dummyfunction("""COMPUTED_VALUE"""),44238.6666666667)</f>
        <v>44238.6666666667</v>
      </c>
      <c r="B29" s="2" t="n">
        <f aca="false">IFERROR(__xludf.dummyfunction("""COMPUTED_VALUE"""),47.37)</f>
        <v>47.37</v>
      </c>
      <c r="C29" s="2" t="n">
        <f aca="false">IFERROR(__xludf.dummyfunction("""COMPUTED_VALUE"""),47.94)</f>
        <v>47.94</v>
      </c>
      <c r="D29" s="2" t="n">
        <f aca="false">IFERROR(__xludf.dummyfunction("""COMPUTED_VALUE"""),46.92)</f>
        <v>46.92</v>
      </c>
      <c r="E29" s="2" t="n">
        <f aca="false">IFERROR(__xludf.dummyfunction("""COMPUTED_VALUE"""),47.84)</f>
        <v>47.84</v>
      </c>
      <c r="F29" s="2" t="n">
        <f aca="false">IFERROR(__xludf.dummyfunction("""COMPUTED_VALUE"""),1712354)</f>
        <v>1712354</v>
      </c>
    </row>
    <row r="30" customFormat="false" ht="15.75" hidden="false" customHeight="false" outlineLevel="0" collapsed="false">
      <c r="A30" s="3" t="n">
        <f aca="false">IFERROR(__xludf.dummyfunction("""COMPUTED_VALUE"""),44239.6666666667)</f>
        <v>44239.6666666667</v>
      </c>
      <c r="B30" s="2" t="n">
        <f aca="false">IFERROR(__xludf.dummyfunction("""COMPUTED_VALUE"""),47.84)</f>
        <v>47.84</v>
      </c>
      <c r="C30" s="2" t="n">
        <f aca="false">IFERROR(__xludf.dummyfunction("""COMPUTED_VALUE"""),48.7)</f>
        <v>48.7</v>
      </c>
      <c r="D30" s="2" t="n">
        <f aca="false">IFERROR(__xludf.dummyfunction("""COMPUTED_VALUE"""),47.49)</f>
        <v>47.49</v>
      </c>
      <c r="E30" s="2" t="n">
        <f aca="false">IFERROR(__xludf.dummyfunction("""COMPUTED_VALUE"""),48.63)</f>
        <v>48.63</v>
      </c>
      <c r="F30" s="2" t="n">
        <f aca="false">IFERROR(__xludf.dummyfunction("""COMPUTED_VALUE"""),1355191)</f>
        <v>1355191</v>
      </c>
    </row>
    <row r="31" customFormat="false" ht="15.75" hidden="false" customHeight="false" outlineLevel="0" collapsed="false">
      <c r="A31" s="3" t="n">
        <f aca="false">IFERROR(__xludf.dummyfunction("""COMPUTED_VALUE"""),44243.6666666667)</f>
        <v>44243.6666666667</v>
      </c>
      <c r="B31" s="2" t="n">
        <f aca="false">IFERROR(__xludf.dummyfunction("""COMPUTED_VALUE"""),49.09)</f>
        <v>49.09</v>
      </c>
      <c r="C31" s="2" t="n">
        <f aca="false">IFERROR(__xludf.dummyfunction("""COMPUTED_VALUE"""),49.48)</f>
        <v>49.48</v>
      </c>
      <c r="D31" s="2" t="n">
        <f aca="false">IFERROR(__xludf.dummyfunction("""COMPUTED_VALUE"""),48.7)</f>
        <v>48.7</v>
      </c>
      <c r="E31" s="2" t="n">
        <f aca="false">IFERROR(__xludf.dummyfunction("""COMPUTED_VALUE"""),48.91)</f>
        <v>48.91</v>
      </c>
      <c r="F31" s="2" t="n">
        <f aca="false">IFERROR(__xludf.dummyfunction("""COMPUTED_VALUE"""),1516338)</f>
        <v>1516338</v>
      </c>
    </row>
    <row r="32" customFormat="false" ht="15.75" hidden="false" customHeight="false" outlineLevel="0" collapsed="false">
      <c r="A32" s="3" t="n">
        <f aca="false">IFERROR(__xludf.dummyfunction("""COMPUTED_VALUE"""),44244.6666666667)</f>
        <v>44244.6666666667</v>
      </c>
      <c r="B32" s="2" t="n">
        <f aca="false">IFERROR(__xludf.dummyfunction("""COMPUTED_VALUE"""),48.42)</f>
        <v>48.42</v>
      </c>
      <c r="C32" s="2" t="n">
        <f aca="false">IFERROR(__xludf.dummyfunction("""COMPUTED_VALUE"""),48.61)</f>
        <v>48.61</v>
      </c>
      <c r="D32" s="2" t="n">
        <f aca="false">IFERROR(__xludf.dummyfunction("""COMPUTED_VALUE"""),47.51)</f>
        <v>47.51</v>
      </c>
      <c r="E32" s="2" t="n">
        <f aca="false">IFERROR(__xludf.dummyfunction("""COMPUTED_VALUE"""),48.25)</f>
        <v>48.25</v>
      </c>
      <c r="F32" s="2" t="n">
        <f aca="false">IFERROR(__xludf.dummyfunction("""COMPUTED_VALUE"""),1408589)</f>
        <v>1408589</v>
      </c>
    </row>
    <row r="33" customFormat="false" ht="15.75" hidden="false" customHeight="false" outlineLevel="0" collapsed="false">
      <c r="A33" s="3" t="n">
        <f aca="false">IFERROR(__xludf.dummyfunction("""COMPUTED_VALUE"""),44245.6666666667)</f>
        <v>44245.6666666667</v>
      </c>
      <c r="B33" s="2" t="n">
        <f aca="false">IFERROR(__xludf.dummyfunction("""COMPUTED_VALUE"""),48.02)</f>
        <v>48.02</v>
      </c>
      <c r="C33" s="2" t="n">
        <f aca="false">IFERROR(__xludf.dummyfunction("""COMPUTED_VALUE"""),48.54)</f>
        <v>48.54</v>
      </c>
      <c r="D33" s="2" t="n">
        <f aca="false">IFERROR(__xludf.dummyfunction("""COMPUTED_VALUE"""),47.51)</f>
        <v>47.51</v>
      </c>
      <c r="E33" s="2" t="n">
        <f aca="false">IFERROR(__xludf.dummyfunction("""COMPUTED_VALUE"""),48.33)</f>
        <v>48.33</v>
      </c>
      <c r="F33" s="2" t="n">
        <f aca="false">IFERROR(__xludf.dummyfunction("""COMPUTED_VALUE"""),1671453)</f>
        <v>1671453</v>
      </c>
    </row>
    <row r="34" customFormat="false" ht="15.75" hidden="false" customHeight="false" outlineLevel="0" collapsed="false">
      <c r="A34" s="3" t="n">
        <f aca="false">IFERROR(__xludf.dummyfunction("""COMPUTED_VALUE"""),44246.6666666667)</f>
        <v>44246.6666666667</v>
      </c>
      <c r="B34" s="2" t="n">
        <f aca="false">IFERROR(__xludf.dummyfunction("""COMPUTED_VALUE"""),48.73)</f>
        <v>48.73</v>
      </c>
      <c r="C34" s="2" t="n">
        <f aca="false">IFERROR(__xludf.dummyfunction("""COMPUTED_VALUE"""),49.51)</f>
        <v>49.51</v>
      </c>
      <c r="D34" s="2" t="n">
        <f aca="false">IFERROR(__xludf.dummyfunction("""COMPUTED_VALUE"""),48.68)</f>
        <v>48.68</v>
      </c>
      <c r="E34" s="2" t="n">
        <f aca="false">IFERROR(__xludf.dummyfunction("""COMPUTED_VALUE"""),49)</f>
        <v>49</v>
      </c>
      <c r="F34" s="2" t="n">
        <f aca="false">IFERROR(__xludf.dummyfunction("""COMPUTED_VALUE"""),1799449)</f>
        <v>1799449</v>
      </c>
    </row>
    <row r="35" customFormat="false" ht="15.75" hidden="false" customHeight="false" outlineLevel="0" collapsed="false">
      <c r="A35" s="3" t="n">
        <f aca="false">IFERROR(__xludf.dummyfunction("""COMPUTED_VALUE"""),44249.6666666667)</f>
        <v>44249.6666666667</v>
      </c>
      <c r="B35" s="2" t="n">
        <f aca="false">IFERROR(__xludf.dummyfunction("""COMPUTED_VALUE"""),48.4)</f>
        <v>48.4</v>
      </c>
      <c r="C35" s="2" t="n">
        <f aca="false">IFERROR(__xludf.dummyfunction("""COMPUTED_VALUE"""),48.66)</f>
        <v>48.66</v>
      </c>
      <c r="D35" s="2" t="n">
        <f aca="false">IFERROR(__xludf.dummyfunction("""COMPUTED_VALUE"""),47.53)</f>
        <v>47.53</v>
      </c>
      <c r="E35" s="2" t="n">
        <f aca="false">IFERROR(__xludf.dummyfunction("""COMPUTED_VALUE"""),47.64)</f>
        <v>47.64</v>
      </c>
      <c r="F35" s="2" t="n">
        <f aca="false">IFERROR(__xludf.dummyfunction("""COMPUTED_VALUE"""),1696705)</f>
        <v>1696705</v>
      </c>
    </row>
    <row r="36" customFormat="false" ht="15.75" hidden="false" customHeight="false" outlineLevel="0" collapsed="false">
      <c r="A36" s="3" t="n">
        <f aca="false">IFERROR(__xludf.dummyfunction("""COMPUTED_VALUE"""),44250.6666666667)</f>
        <v>44250.6666666667</v>
      </c>
      <c r="B36" s="2" t="n">
        <f aca="false">IFERROR(__xludf.dummyfunction("""COMPUTED_VALUE"""),47.11)</f>
        <v>47.11</v>
      </c>
      <c r="C36" s="2" t="n">
        <f aca="false">IFERROR(__xludf.dummyfunction("""COMPUTED_VALUE"""),47.46)</f>
        <v>47.46</v>
      </c>
      <c r="D36" s="2" t="n">
        <f aca="false">IFERROR(__xludf.dummyfunction("""COMPUTED_VALUE"""),45.61)</f>
        <v>45.61</v>
      </c>
      <c r="E36" s="2" t="n">
        <f aca="false">IFERROR(__xludf.dummyfunction("""COMPUTED_VALUE"""),47.19)</f>
        <v>47.19</v>
      </c>
      <c r="F36" s="2" t="n">
        <f aca="false">IFERROR(__xludf.dummyfunction("""COMPUTED_VALUE"""),2130608)</f>
        <v>2130608</v>
      </c>
    </row>
    <row r="37" customFormat="false" ht="15.75" hidden="false" customHeight="false" outlineLevel="0" collapsed="false">
      <c r="A37" s="3" t="n">
        <f aca="false">IFERROR(__xludf.dummyfunction("""COMPUTED_VALUE"""),44251.6666666667)</f>
        <v>44251.6666666667</v>
      </c>
      <c r="B37" s="2" t="n">
        <f aca="false">IFERROR(__xludf.dummyfunction("""COMPUTED_VALUE"""),46.77)</f>
        <v>46.77</v>
      </c>
      <c r="C37" s="2" t="n">
        <f aca="false">IFERROR(__xludf.dummyfunction("""COMPUTED_VALUE"""),48.14)</f>
        <v>48.14</v>
      </c>
      <c r="D37" s="2" t="n">
        <f aca="false">IFERROR(__xludf.dummyfunction("""COMPUTED_VALUE"""),46.27)</f>
        <v>46.27</v>
      </c>
      <c r="E37" s="2" t="n">
        <f aca="false">IFERROR(__xludf.dummyfunction("""COMPUTED_VALUE"""),48.09)</f>
        <v>48.09</v>
      </c>
      <c r="F37" s="2" t="n">
        <f aca="false">IFERROR(__xludf.dummyfunction("""COMPUTED_VALUE"""),1512530)</f>
        <v>1512530</v>
      </c>
    </row>
    <row r="38" customFormat="false" ht="15.75" hidden="false" customHeight="false" outlineLevel="0" collapsed="false">
      <c r="A38" s="3" t="n">
        <f aca="false">IFERROR(__xludf.dummyfunction("""COMPUTED_VALUE"""),44252.6666666667)</f>
        <v>44252.6666666667</v>
      </c>
      <c r="B38" s="2" t="n">
        <f aca="false">IFERROR(__xludf.dummyfunction("""COMPUTED_VALUE"""),47.48)</f>
        <v>47.48</v>
      </c>
      <c r="C38" s="2" t="n">
        <f aca="false">IFERROR(__xludf.dummyfunction("""COMPUTED_VALUE"""),47.94)</f>
        <v>47.94</v>
      </c>
      <c r="D38" s="2" t="n">
        <f aca="false">IFERROR(__xludf.dummyfunction("""COMPUTED_VALUE"""),45.52)</f>
        <v>45.52</v>
      </c>
      <c r="E38" s="2" t="n">
        <f aca="false">IFERROR(__xludf.dummyfunction("""COMPUTED_VALUE"""),45.72)</f>
        <v>45.72</v>
      </c>
      <c r="F38" s="2" t="n">
        <f aca="false">IFERROR(__xludf.dummyfunction("""COMPUTED_VALUE"""),2314797)</f>
        <v>2314797</v>
      </c>
    </row>
    <row r="39" customFormat="false" ht="15.75" hidden="false" customHeight="false" outlineLevel="0" collapsed="false">
      <c r="A39" s="3" t="n">
        <f aca="false">IFERROR(__xludf.dummyfunction("""COMPUTED_VALUE"""),44253.6666666667)</f>
        <v>44253.6666666667</v>
      </c>
      <c r="B39" s="2" t="n">
        <f aca="false">IFERROR(__xludf.dummyfunction("""COMPUTED_VALUE"""),46.75)</f>
        <v>46.75</v>
      </c>
      <c r="C39" s="2" t="n">
        <f aca="false">IFERROR(__xludf.dummyfunction("""COMPUTED_VALUE"""),47.58)</f>
        <v>47.58</v>
      </c>
      <c r="D39" s="2" t="n">
        <f aca="false">IFERROR(__xludf.dummyfunction("""COMPUTED_VALUE"""),46.07)</f>
        <v>46.07</v>
      </c>
      <c r="E39" s="2" t="n">
        <f aca="false">IFERROR(__xludf.dummyfunction("""COMPUTED_VALUE"""),46.99)</f>
        <v>46.99</v>
      </c>
      <c r="F39" s="2" t="n">
        <f aca="false">IFERROR(__xludf.dummyfunction("""COMPUTED_VALUE"""),2264347)</f>
        <v>2264347</v>
      </c>
    </row>
    <row r="40" customFormat="false" ht="15.75" hidden="false" customHeight="false" outlineLevel="0" collapsed="false">
      <c r="A40" s="3" t="n">
        <f aca="false">IFERROR(__xludf.dummyfunction("""COMPUTED_VALUE"""),44256.6666666667)</f>
        <v>44256.6666666667</v>
      </c>
      <c r="B40" s="2" t="n">
        <f aca="false">IFERROR(__xludf.dummyfunction("""COMPUTED_VALUE"""),47.97)</f>
        <v>47.97</v>
      </c>
      <c r="C40" s="2" t="n">
        <f aca="false">IFERROR(__xludf.dummyfunction("""COMPUTED_VALUE"""),49)</f>
        <v>49</v>
      </c>
      <c r="D40" s="2" t="n">
        <f aca="false">IFERROR(__xludf.dummyfunction("""COMPUTED_VALUE"""),47.39)</f>
        <v>47.39</v>
      </c>
      <c r="E40" s="2" t="n">
        <f aca="false">IFERROR(__xludf.dummyfunction("""COMPUTED_VALUE"""),48.96)</f>
        <v>48.96</v>
      </c>
      <c r="F40" s="2" t="n">
        <f aca="false">IFERROR(__xludf.dummyfunction("""COMPUTED_VALUE"""),2468239)</f>
        <v>2468239</v>
      </c>
    </row>
    <row r="41" customFormat="false" ht="15.75" hidden="false" customHeight="false" outlineLevel="0" collapsed="false">
      <c r="A41" s="3" t="n">
        <f aca="false">IFERROR(__xludf.dummyfunction("""COMPUTED_VALUE"""),44257.6666666667)</f>
        <v>44257.6666666667</v>
      </c>
      <c r="B41" s="2" t="n">
        <f aca="false">IFERROR(__xludf.dummyfunction("""COMPUTED_VALUE"""),49.04)</f>
        <v>49.04</v>
      </c>
      <c r="C41" s="2" t="n">
        <f aca="false">IFERROR(__xludf.dummyfunction("""COMPUTED_VALUE"""),49.09)</f>
        <v>49.09</v>
      </c>
      <c r="D41" s="2" t="n">
        <f aca="false">IFERROR(__xludf.dummyfunction("""COMPUTED_VALUE"""),47.96)</f>
        <v>47.96</v>
      </c>
      <c r="E41" s="2" t="n">
        <f aca="false">IFERROR(__xludf.dummyfunction("""COMPUTED_VALUE"""),48.05)</f>
        <v>48.05</v>
      </c>
      <c r="F41" s="2" t="n">
        <f aca="false">IFERROR(__xludf.dummyfunction("""COMPUTED_VALUE"""),1854574)</f>
        <v>1854574</v>
      </c>
    </row>
    <row r="42" customFormat="false" ht="15.75" hidden="false" customHeight="false" outlineLevel="0" collapsed="false">
      <c r="A42" s="3" t="n">
        <f aca="false">IFERROR(__xludf.dummyfunction("""COMPUTED_VALUE"""),44258.6666666667)</f>
        <v>44258.6666666667</v>
      </c>
      <c r="B42" s="2" t="n">
        <f aca="false">IFERROR(__xludf.dummyfunction("""COMPUTED_VALUE"""),47.8)</f>
        <v>47.8</v>
      </c>
      <c r="C42" s="2" t="n">
        <f aca="false">IFERROR(__xludf.dummyfunction("""COMPUTED_VALUE"""),48.14)</f>
        <v>48.14</v>
      </c>
      <c r="D42" s="2" t="n">
        <f aca="false">IFERROR(__xludf.dummyfunction("""COMPUTED_VALUE"""),46.2)</f>
        <v>46.2</v>
      </c>
      <c r="E42" s="2" t="n">
        <f aca="false">IFERROR(__xludf.dummyfunction("""COMPUTED_VALUE"""),46.31)</f>
        <v>46.31</v>
      </c>
      <c r="F42" s="2" t="n">
        <f aca="false">IFERROR(__xludf.dummyfunction("""COMPUTED_VALUE"""),2399134)</f>
        <v>2399134</v>
      </c>
    </row>
    <row r="43" customFormat="false" ht="15.75" hidden="false" customHeight="false" outlineLevel="0" collapsed="false">
      <c r="A43" s="3" t="n">
        <f aca="false">IFERROR(__xludf.dummyfunction("""COMPUTED_VALUE"""),44259.6666666667)</f>
        <v>44259.6666666667</v>
      </c>
      <c r="B43" s="2" t="n">
        <f aca="false">IFERROR(__xludf.dummyfunction("""COMPUTED_VALUE"""),46.17)</f>
        <v>46.17</v>
      </c>
      <c r="C43" s="2" t="n">
        <f aca="false">IFERROR(__xludf.dummyfunction("""COMPUTED_VALUE"""),46.7)</f>
        <v>46.7</v>
      </c>
      <c r="D43" s="2" t="n">
        <f aca="false">IFERROR(__xludf.dummyfunction("""COMPUTED_VALUE"""),44.14)</f>
        <v>44.14</v>
      </c>
      <c r="E43" s="2" t="n">
        <f aca="false">IFERROR(__xludf.dummyfunction("""COMPUTED_VALUE"""),44.36)</f>
        <v>44.36</v>
      </c>
      <c r="F43" s="2" t="n">
        <f aca="false">IFERROR(__xludf.dummyfunction("""COMPUTED_VALUE"""),3457469)</f>
        <v>3457469</v>
      </c>
    </row>
    <row r="44" customFormat="false" ht="15.75" hidden="false" customHeight="false" outlineLevel="0" collapsed="false">
      <c r="A44" s="3" t="n">
        <f aca="false">IFERROR(__xludf.dummyfunction("""COMPUTED_VALUE"""),44260.6666666667)</f>
        <v>44260.6666666667</v>
      </c>
      <c r="B44" s="2" t="n">
        <f aca="false">IFERROR(__xludf.dummyfunction("""COMPUTED_VALUE"""),45.43)</f>
        <v>45.43</v>
      </c>
      <c r="C44" s="2" t="n">
        <f aca="false">IFERROR(__xludf.dummyfunction("""COMPUTED_VALUE"""),45.6)</f>
        <v>45.6</v>
      </c>
      <c r="D44" s="2" t="n">
        <f aca="false">IFERROR(__xludf.dummyfunction("""COMPUTED_VALUE"""),43.3)</f>
        <v>43.3</v>
      </c>
      <c r="E44" s="2" t="n">
        <f aca="false">IFERROR(__xludf.dummyfunction("""COMPUTED_VALUE"""),45.01)</f>
        <v>45.01</v>
      </c>
      <c r="F44" s="2" t="n">
        <f aca="false">IFERROR(__xludf.dummyfunction("""COMPUTED_VALUE"""),4241400)</f>
        <v>4241400</v>
      </c>
    </row>
    <row r="45" customFormat="false" ht="15.75" hidden="false" customHeight="false" outlineLevel="0" collapsed="false">
      <c r="A45" s="3" t="n">
        <f aca="false">IFERROR(__xludf.dummyfunction("""COMPUTED_VALUE"""),44263.6666666667)</f>
        <v>44263.6666666667</v>
      </c>
      <c r="B45" s="2" t="n">
        <f aca="false">IFERROR(__xludf.dummyfunction("""COMPUTED_VALUE"""),44.68)</f>
        <v>44.68</v>
      </c>
      <c r="C45" s="2" t="n">
        <f aca="false">IFERROR(__xludf.dummyfunction("""COMPUTED_VALUE"""),44.8)</f>
        <v>44.8</v>
      </c>
      <c r="D45" s="2" t="n">
        <f aca="false">IFERROR(__xludf.dummyfunction("""COMPUTED_VALUE"""),41.93)</f>
        <v>41.93</v>
      </c>
      <c r="E45" s="2" t="n">
        <f aca="false">IFERROR(__xludf.dummyfunction("""COMPUTED_VALUE"""),42.13)</f>
        <v>42.13</v>
      </c>
      <c r="F45" s="2" t="n">
        <f aca="false">IFERROR(__xludf.dummyfunction("""COMPUTED_VALUE"""),4524328)</f>
        <v>4524328</v>
      </c>
    </row>
    <row r="46" customFormat="false" ht="15.75" hidden="false" customHeight="false" outlineLevel="0" collapsed="false">
      <c r="A46" s="3" t="n">
        <f aca="false">IFERROR(__xludf.dummyfunction("""COMPUTED_VALUE"""),44264.6666666667)</f>
        <v>44264.6666666667</v>
      </c>
      <c r="B46" s="2" t="n">
        <f aca="false">IFERROR(__xludf.dummyfunction("""COMPUTED_VALUE"""),43.57)</f>
        <v>43.57</v>
      </c>
      <c r="C46" s="2" t="n">
        <f aca="false">IFERROR(__xludf.dummyfunction("""COMPUTED_VALUE"""),44.69)</f>
        <v>44.69</v>
      </c>
      <c r="D46" s="2" t="n">
        <f aca="false">IFERROR(__xludf.dummyfunction("""COMPUTED_VALUE"""),43.06)</f>
        <v>43.06</v>
      </c>
      <c r="E46" s="2" t="n">
        <f aca="false">IFERROR(__xludf.dummyfunction("""COMPUTED_VALUE"""),44.36)</f>
        <v>44.36</v>
      </c>
      <c r="F46" s="2" t="n">
        <f aca="false">IFERROR(__xludf.dummyfunction("""COMPUTED_VALUE"""),3788449)</f>
        <v>3788449</v>
      </c>
    </row>
    <row r="47" customFormat="false" ht="15.75" hidden="false" customHeight="false" outlineLevel="0" collapsed="false">
      <c r="A47" s="3" t="n">
        <f aca="false">IFERROR(__xludf.dummyfunction("""COMPUTED_VALUE"""),44265.6666666667)</f>
        <v>44265.6666666667</v>
      </c>
      <c r="B47" s="2" t="n">
        <f aca="false">IFERROR(__xludf.dummyfunction("""COMPUTED_VALUE"""),44.74)</f>
        <v>44.74</v>
      </c>
      <c r="C47" s="2" t="n">
        <f aca="false">IFERROR(__xludf.dummyfunction("""COMPUTED_VALUE"""),45.4)</f>
        <v>45.4</v>
      </c>
      <c r="D47" s="2" t="n">
        <f aca="false">IFERROR(__xludf.dummyfunction("""COMPUTED_VALUE"""),43.51)</f>
        <v>43.51</v>
      </c>
      <c r="E47" s="2" t="n">
        <f aca="false">IFERROR(__xludf.dummyfunction("""COMPUTED_VALUE"""),43.76)</f>
        <v>43.76</v>
      </c>
      <c r="F47" s="2" t="n">
        <f aca="false">IFERROR(__xludf.dummyfunction("""COMPUTED_VALUE"""),1991428)</f>
        <v>1991428</v>
      </c>
    </row>
    <row r="48" customFormat="false" ht="15.75" hidden="false" customHeight="false" outlineLevel="0" collapsed="false">
      <c r="A48" s="3" t="n">
        <f aca="false">IFERROR(__xludf.dummyfunction("""COMPUTED_VALUE"""),44266.6666666667)</f>
        <v>44266.6666666667</v>
      </c>
      <c r="B48" s="2" t="n">
        <f aca="false">IFERROR(__xludf.dummyfunction("""COMPUTED_VALUE"""),44.9)</f>
        <v>44.9</v>
      </c>
      <c r="C48" s="2" t="n">
        <f aca="false">IFERROR(__xludf.dummyfunction("""COMPUTED_VALUE"""),45.75)</f>
        <v>45.75</v>
      </c>
      <c r="D48" s="2" t="n">
        <f aca="false">IFERROR(__xludf.dummyfunction("""COMPUTED_VALUE"""),44.21)</f>
        <v>44.21</v>
      </c>
      <c r="E48" s="2" t="n">
        <f aca="false">IFERROR(__xludf.dummyfunction("""COMPUTED_VALUE"""),45.37)</f>
        <v>45.37</v>
      </c>
      <c r="F48" s="2" t="n">
        <f aca="false">IFERROR(__xludf.dummyfunction("""COMPUTED_VALUE"""),2616955)</f>
        <v>2616955</v>
      </c>
    </row>
    <row r="49" customFormat="false" ht="15.75" hidden="false" customHeight="false" outlineLevel="0" collapsed="false">
      <c r="A49" s="3" t="n">
        <f aca="false">IFERROR(__xludf.dummyfunction("""COMPUTED_VALUE"""),44267.6666666667)</f>
        <v>44267.6666666667</v>
      </c>
      <c r="B49" s="2" t="n">
        <f aca="false">IFERROR(__xludf.dummyfunction("""COMPUTED_VALUE"""),44.54)</f>
        <v>44.54</v>
      </c>
      <c r="C49" s="2" t="n">
        <f aca="false">IFERROR(__xludf.dummyfunction("""COMPUTED_VALUE"""),45.35)</f>
        <v>45.35</v>
      </c>
      <c r="D49" s="2" t="n">
        <f aca="false">IFERROR(__xludf.dummyfunction("""COMPUTED_VALUE"""),44.45)</f>
        <v>44.45</v>
      </c>
      <c r="E49" s="2" t="n">
        <f aca="false">IFERROR(__xludf.dummyfunction("""COMPUTED_VALUE"""),45.12)</f>
        <v>45.12</v>
      </c>
      <c r="F49" s="2" t="n">
        <f aca="false">IFERROR(__xludf.dummyfunction("""COMPUTED_VALUE"""),1890607)</f>
        <v>1890607</v>
      </c>
    </row>
    <row r="50" customFormat="false" ht="15.75" hidden="false" customHeight="false" outlineLevel="0" collapsed="false">
      <c r="A50" s="3" t="n">
        <f aca="false">IFERROR(__xludf.dummyfunction("""COMPUTED_VALUE"""),44270.6666666667)</f>
        <v>44270.6666666667</v>
      </c>
      <c r="B50" s="2" t="n">
        <f aca="false">IFERROR(__xludf.dummyfunction("""COMPUTED_VALUE"""),45.52)</f>
        <v>45.52</v>
      </c>
      <c r="C50" s="2" t="n">
        <f aca="false">IFERROR(__xludf.dummyfunction("""COMPUTED_VALUE"""),47.12)</f>
        <v>47.12</v>
      </c>
      <c r="D50" s="2" t="n">
        <f aca="false">IFERROR(__xludf.dummyfunction("""COMPUTED_VALUE"""),45.32)</f>
        <v>45.32</v>
      </c>
      <c r="E50" s="2" t="n">
        <f aca="false">IFERROR(__xludf.dummyfunction("""COMPUTED_VALUE"""),47.08)</f>
        <v>47.08</v>
      </c>
      <c r="F50" s="2" t="n">
        <f aca="false">IFERROR(__xludf.dummyfunction("""COMPUTED_VALUE"""),3129937)</f>
        <v>3129937</v>
      </c>
    </row>
    <row r="51" customFormat="false" ht="15.75" hidden="false" customHeight="false" outlineLevel="0" collapsed="false">
      <c r="A51" s="3" t="n">
        <f aca="false">IFERROR(__xludf.dummyfunction("""COMPUTED_VALUE"""),44271.6666666667)</f>
        <v>44271.6666666667</v>
      </c>
      <c r="B51" s="2" t="n">
        <f aca="false">IFERROR(__xludf.dummyfunction("""COMPUTED_VALUE"""),47.13)</f>
        <v>47.13</v>
      </c>
      <c r="C51" s="2" t="n">
        <f aca="false">IFERROR(__xludf.dummyfunction("""COMPUTED_VALUE"""),48.4)</f>
        <v>48.4</v>
      </c>
      <c r="D51" s="2" t="n">
        <f aca="false">IFERROR(__xludf.dummyfunction("""COMPUTED_VALUE"""),46.74)</f>
        <v>46.74</v>
      </c>
      <c r="E51" s="2" t="n">
        <f aca="false">IFERROR(__xludf.dummyfunction("""COMPUTED_VALUE"""),47.82)</f>
        <v>47.82</v>
      </c>
      <c r="F51" s="2" t="n">
        <f aca="false">IFERROR(__xludf.dummyfunction("""COMPUTED_VALUE"""),3119015)</f>
        <v>3119015</v>
      </c>
    </row>
    <row r="52" customFormat="false" ht="15.75" hidden="false" customHeight="false" outlineLevel="0" collapsed="false">
      <c r="A52" s="3" t="n">
        <f aca="false">IFERROR(__xludf.dummyfunction("""COMPUTED_VALUE"""),44272.6666666667)</f>
        <v>44272.6666666667</v>
      </c>
      <c r="B52" s="2" t="n">
        <f aca="false">IFERROR(__xludf.dummyfunction("""COMPUTED_VALUE"""),47.03)</f>
        <v>47.03</v>
      </c>
      <c r="C52" s="2" t="n">
        <f aca="false">IFERROR(__xludf.dummyfunction("""COMPUTED_VALUE"""),48.73)</f>
        <v>48.73</v>
      </c>
      <c r="D52" s="2" t="n">
        <f aca="false">IFERROR(__xludf.dummyfunction("""COMPUTED_VALUE"""),47)</f>
        <v>47</v>
      </c>
      <c r="E52" s="2" t="n">
        <f aca="false">IFERROR(__xludf.dummyfunction("""COMPUTED_VALUE"""),48.36)</f>
        <v>48.36</v>
      </c>
      <c r="F52" s="2" t="n">
        <f aca="false">IFERROR(__xludf.dummyfunction("""COMPUTED_VALUE"""),2375358)</f>
        <v>2375358</v>
      </c>
    </row>
    <row r="53" customFormat="false" ht="15.75" hidden="false" customHeight="false" outlineLevel="0" collapsed="false">
      <c r="A53" s="3" t="n">
        <f aca="false">IFERROR(__xludf.dummyfunction("""COMPUTED_VALUE"""),44273.6666666667)</f>
        <v>44273.6666666667</v>
      </c>
      <c r="B53" s="2" t="n">
        <f aca="false">IFERROR(__xludf.dummyfunction("""COMPUTED_VALUE"""),47.46)</f>
        <v>47.46</v>
      </c>
      <c r="C53" s="2" t="n">
        <f aca="false">IFERROR(__xludf.dummyfunction("""COMPUTED_VALUE"""),48.34)</f>
        <v>48.34</v>
      </c>
      <c r="D53" s="2" t="n">
        <f aca="false">IFERROR(__xludf.dummyfunction("""COMPUTED_VALUE"""),46.38)</f>
        <v>46.38</v>
      </c>
      <c r="E53" s="2" t="n">
        <f aca="false">IFERROR(__xludf.dummyfunction("""COMPUTED_VALUE"""),46.42)</f>
        <v>46.42</v>
      </c>
      <c r="F53" s="2" t="n">
        <f aca="false">IFERROR(__xludf.dummyfunction("""COMPUTED_VALUE"""),2874329)</f>
        <v>2874329</v>
      </c>
    </row>
    <row r="54" customFormat="false" ht="15.75" hidden="false" customHeight="false" outlineLevel="0" collapsed="false">
      <c r="A54" s="3" t="n">
        <f aca="false">IFERROR(__xludf.dummyfunction("""COMPUTED_VALUE"""),44274.6666666667)</f>
        <v>44274.6666666667</v>
      </c>
      <c r="B54" s="2" t="n">
        <f aca="false">IFERROR(__xludf.dummyfunction("""COMPUTED_VALUE"""),45.71)</f>
        <v>45.71</v>
      </c>
      <c r="C54" s="2" t="n">
        <f aca="false">IFERROR(__xludf.dummyfunction("""COMPUTED_VALUE"""),47.67)</f>
        <v>47.67</v>
      </c>
      <c r="D54" s="2" t="n">
        <f aca="false">IFERROR(__xludf.dummyfunction("""COMPUTED_VALUE"""),45.41)</f>
        <v>45.41</v>
      </c>
      <c r="E54" s="2" t="n">
        <f aca="false">IFERROR(__xludf.dummyfunction("""COMPUTED_VALUE"""),47.45)</f>
        <v>47.45</v>
      </c>
      <c r="F54" s="2" t="n">
        <f aca="false">IFERROR(__xludf.dummyfunction("""COMPUTED_VALUE"""),10860245)</f>
        <v>10860245</v>
      </c>
    </row>
    <row r="55" customFormat="false" ht="15.75" hidden="false" customHeight="false" outlineLevel="0" collapsed="false">
      <c r="A55" s="3" t="n">
        <f aca="false">IFERROR(__xludf.dummyfunction("""COMPUTED_VALUE"""),44277.6666666667)</f>
        <v>44277.6666666667</v>
      </c>
      <c r="B55" s="2" t="n">
        <f aca="false">IFERROR(__xludf.dummyfunction("""COMPUTED_VALUE"""),47.29)</f>
        <v>47.29</v>
      </c>
      <c r="C55" s="2" t="n">
        <f aca="false">IFERROR(__xludf.dummyfunction("""COMPUTED_VALUE"""),48.13)</f>
        <v>48.13</v>
      </c>
      <c r="D55" s="2" t="n">
        <f aca="false">IFERROR(__xludf.dummyfunction("""COMPUTED_VALUE"""),47.17)</f>
        <v>47.17</v>
      </c>
      <c r="E55" s="2" t="n">
        <f aca="false">IFERROR(__xludf.dummyfunction("""COMPUTED_VALUE"""),47.53)</f>
        <v>47.53</v>
      </c>
      <c r="F55" s="2" t="n">
        <f aca="false">IFERROR(__xludf.dummyfunction("""COMPUTED_VALUE"""),3180705)</f>
        <v>3180705</v>
      </c>
    </row>
    <row r="56" customFormat="false" ht="15.75" hidden="false" customHeight="false" outlineLevel="0" collapsed="false">
      <c r="A56" s="3" t="n">
        <f aca="false">IFERROR(__xludf.dummyfunction("""COMPUTED_VALUE"""),44278.6666666667)</f>
        <v>44278.6666666667</v>
      </c>
      <c r="B56" s="2" t="n">
        <f aca="false">IFERROR(__xludf.dummyfunction("""COMPUTED_VALUE"""),47.38)</f>
        <v>47.38</v>
      </c>
      <c r="C56" s="2" t="n">
        <f aca="false">IFERROR(__xludf.dummyfunction("""COMPUTED_VALUE"""),47.54)</f>
        <v>47.54</v>
      </c>
      <c r="D56" s="2" t="n">
        <f aca="false">IFERROR(__xludf.dummyfunction("""COMPUTED_VALUE"""),46.27)</f>
        <v>46.27</v>
      </c>
      <c r="E56" s="2" t="n">
        <f aca="false">IFERROR(__xludf.dummyfunction("""COMPUTED_VALUE"""),46.41)</f>
        <v>46.41</v>
      </c>
      <c r="F56" s="2" t="n">
        <f aca="false">IFERROR(__xludf.dummyfunction("""COMPUTED_VALUE"""),2471188)</f>
        <v>2471188</v>
      </c>
    </row>
    <row r="57" customFormat="false" ht="15.75" hidden="false" customHeight="false" outlineLevel="0" collapsed="false">
      <c r="A57" s="3" t="n">
        <f aca="false">IFERROR(__xludf.dummyfunction("""COMPUTED_VALUE"""),44279.6666666667)</f>
        <v>44279.6666666667</v>
      </c>
      <c r="B57" s="2" t="n">
        <f aca="false">IFERROR(__xludf.dummyfunction("""COMPUTED_VALUE"""),46.95)</f>
        <v>46.95</v>
      </c>
      <c r="C57" s="2" t="n">
        <f aca="false">IFERROR(__xludf.dummyfunction("""COMPUTED_VALUE"""),47)</f>
        <v>47</v>
      </c>
      <c r="D57" s="2" t="n">
        <f aca="false">IFERROR(__xludf.dummyfunction("""COMPUTED_VALUE"""),45.69)</f>
        <v>45.69</v>
      </c>
      <c r="E57" s="2" t="n">
        <f aca="false">IFERROR(__xludf.dummyfunction("""COMPUTED_VALUE"""),45.73)</f>
        <v>45.73</v>
      </c>
      <c r="F57" s="2" t="n">
        <f aca="false">IFERROR(__xludf.dummyfunction("""COMPUTED_VALUE"""),2088274)</f>
        <v>2088274</v>
      </c>
    </row>
    <row r="58" customFormat="false" ht="15.75" hidden="false" customHeight="false" outlineLevel="0" collapsed="false">
      <c r="A58" s="3" t="n">
        <f aca="false">IFERROR(__xludf.dummyfunction("""COMPUTED_VALUE"""),44280.6666666667)</f>
        <v>44280.6666666667</v>
      </c>
      <c r="B58" s="2" t="n">
        <f aca="false">IFERROR(__xludf.dummyfunction("""COMPUTED_VALUE"""),45.5)</f>
        <v>45.5</v>
      </c>
      <c r="C58" s="2" t="n">
        <f aca="false">IFERROR(__xludf.dummyfunction("""COMPUTED_VALUE"""),46.4)</f>
        <v>46.4</v>
      </c>
      <c r="D58" s="2" t="n">
        <f aca="false">IFERROR(__xludf.dummyfunction("""COMPUTED_VALUE"""),44.93)</f>
        <v>44.93</v>
      </c>
      <c r="E58" s="2" t="n">
        <f aca="false">IFERROR(__xludf.dummyfunction("""COMPUTED_VALUE"""),46.17)</f>
        <v>46.17</v>
      </c>
      <c r="F58" s="2" t="n">
        <f aca="false">IFERROR(__xludf.dummyfunction("""COMPUTED_VALUE"""),1753868)</f>
        <v>1753868</v>
      </c>
    </row>
    <row r="59" customFormat="false" ht="15.75" hidden="false" customHeight="false" outlineLevel="0" collapsed="false">
      <c r="A59" s="3" t="n">
        <f aca="false">IFERROR(__xludf.dummyfunction("""COMPUTED_VALUE"""),44281.6666666667)</f>
        <v>44281.6666666667</v>
      </c>
      <c r="B59" s="2" t="n">
        <f aca="false">IFERROR(__xludf.dummyfunction("""COMPUTED_VALUE"""),45.66)</f>
        <v>45.66</v>
      </c>
      <c r="C59" s="2" t="n">
        <f aca="false">IFERROR(__xludf.dummyfunction("""COMPUTED_VALUE"""),48.3)</f>
        <v>48.3</v>
      </c>
      <c r="D59" s="2" t="n">
        <f aca="false">IFERROR(__xludf.dummyfunction("""COMPUTED_VALUE"""),45.66)</f>
        <v>45.66</v>
      </c>
      <c r="E59" s="2" t="n">
        <f aca="false">IFERROR(__xludf.dummyfunction("""COMPUTED_VALUE"""),48.2)</f>
        <v>48.2</v>
      </c>
      <c r="F59" s="2" t="n">
        <f aca="false">IFERROR(__xludf.dummyfunction("""COMPUTED_VALUE"""),2892453)</f>
        <v>2892453</v>
      </c>
    </row>
    <row r="60" customFormat="false" ht="15.75" hidden="false" customHeight="false" outlineLevel="0" collapsed="false">
      <c r="A60" s="3" t="n">
        <f aca="false">IFERROR(__xludf.dummyfunction("""COMPUTED_VALUE"""),44284.6666666667)</f>
        <v>44284.6666666667</v>
      </c>
      <c r="B60" s="2" t="n">
        <f aca="false">IFERROR(__xludf.dummyfunction("""COMPUTED_VALUE"""),48.04)</f>
        <v>48.04</v>
      </c>
      <c r="C60" s="2" t="n">
        <f aca="false">IFERROR(__xludf.dummyfunction("""COMPUTED_VALUE"""),48.12)</f>
        <v>48.12</v>
      </c>
      <c r="D60" s="2" t="n">
        <f aca="false">IFERROR(__xludf.dummyfunction("""COMPUTED_VALUE"""),46.83)</f>
        <v>46.83</v>
      </c>
      <c r="E60" s="2" t="n">
        <f aca="false">IFERROR(__xludf.dummyfunction("""COMPUTED_VALUE"""),47.26)</f>
        <v>47.26</v>
      </c>
      <c r="F60" s="2" t="n">
        <f aca="false">IFERROR(__xludf.dummyfunction("""COMPUTED_VALUE"""),2841104)</f>
        <v>2841104</v>
      </c>
    </row>
    <row r="61" customFormat="false" ht="15.75" hidden="false" customHeight="false" outlineLevel="0" collapsed="false">
      <c r="A61" s="3" t="n">
        <f aca="false">IFERROR(__xludf.dummyfunction("""COMPUTED_VALUE"""),44285.6666666667)</f>
        <v>44285.6666666667</v>
      </c>
      <c r="B61" s="2" t="n">
        <f aca="false">IFERROR(__xludf.dummyfunction("""COMPUTED_VALUE"""),46.39)</f>
        <v>46.39</v>
      </c>
      <c r="C61" s="2" t="n">
        <f aca="false">IFERROR(__xludf.dummyfunction("""COMPUTED_VALUE"""),46.4)</f>
        <v>46.4</v>
      </c>
      <c r="D61" s="2" t="n">
        <f aca="false">IFERROR(__xludf.dummyfunction("""COMPUTED_VALUE"""),45.16)</f>
        <v>45.16</v>
      </c>
      <c r="E61" s="2" t="n">
        <f aca="false">IFERROR(__xludf.dummyfunction("""COMPUTED_VALUE"""),45.62)</f>
        <v>45.62</v>
      </c>
      <c r="F61" s="2" t="n">
        <f aca="false">IFERROR(__xludf.dummyfunction("""COMPUTED_VALUE"""),2793520)</f>
        <v>2793520</v>
      </c>
    </row>
    <row r="62" customFormat="false" ht="15.75" hidden="false" customHeight="false" outlineLevel="0" collapsed="false">
      <c r="A62" s="3" t="n">
        <f aca="false">IFERROR(__xludf.dummyfunction("""COMPUTED_VALUE"""),44286.6666666667)</f>
        <v>44286.6666666667</v>
      </c>
      <c r="B62" s="2" t="n">
        <f aca="false">IFERROR(__xludf.dummyfunction("""COMPUTED_VALUE"""),45.9)</f>
        <v>45.9</v>
      </c>
      <c r="C62" s="2" t="n">
        <f aca="false">IFERROR(__xludf.dummyfunction("""COMPUTED_VALUE"""),46.71)</f>
        <v>46.71</v>
      </c>
      <c r="D62" s="2" t="n">
        <f aca="false">IFERROR(__xludf.dummyfunction("""COMPUTED_VALUE"""),45.24)</f>
        <v>45.24</v>
      </c>
      <c r="E62" s="2" t="n">
        <f aca="false">IFERROR(__xludf.dummyfunction("""COMPUTED_VALUE"""),46.37)</f>
        <v>46.37</v>
      </c>
      <c r="F62" s="2" t="n">
        <f aca="false">IFERROR(__xludf.dummyfunction("""COMPUTED_VALUE"""),2868442)</f>
        <v>2868442</v>
      </c>
    </row>
    <row r="63" customFormat="false" ht="15.75" hidden="false" customHeight="false" outlineLevel="0" collapsed="false">
      <c r="A63" s="3" t="n">
        <f aca="false">IFERROR(__xludf.dummyfunction("""COMPUTED_VALUE"""),44287.6666666667)</f>
        <v>44287.6666666667</v>
      </c>
      <c r="B63" s="2" t="n">
        <f aca="false">IFERROR(__xludf.dummyfunction("""COMPUTED_VALUE"""),47.21)</f>
        <v>47.21</v>
      </c>
      <c r="C63" s="2" t="n">
        <f aca="false">IFERROR(__xludf.dummyfunction("""COMPUTED_VALUE"""),47.66)</f>
        <v>47.66</v>
      </c>
      <c r="D63" s="2" t="n">
        <f aca="false">IFERROR(__xludf.dummyfunction("""COMPUTED_VALUE"""),46.92)</f>
        <v>46.92</v>
      </c>
      <c r="E63" s="2" t="n">
        <f aca="false">IFERROR(__xludf.dummyfunction("""COMPUTED_VALUE"""),47.6)</f>
        <v>47.6</v>
      </c>
      <c r="F63" s="2" t="n">
        <f aca="false">IFERROR(__xludf.dummyfunction("""COMPUTED_VALUE"""),2352951)</f>
        <v>2352951</v>
      </c>
    </row>
    <row r="64" customFormat="false" ht="15.75" hidden="false" customHeight="false" outlineLevel="0" collapsed="false">
      <c r="A64" s="3" t="n">
        <f aca="false">IFERROR(__xludf.dummyfunction("""COMPUTED_VALUE"""),44291.6666666667)</f>
        <v>44291.6666666667</v>
      </c>
      <c r="B64" s="2" t="n">
        <f aca="false">IFERROR(__xludf.dummyfunction("""COMPUTED_VALUE"""),48.03)</f>
        <v>48.03</v>
      </c>
      <c r="C64" s="2" t="n">
        <f aca="false">IFERROR(__xludf.dummyfunction("""COMPUTED_VALUE"""),48.96)</f>
        <v>48.96</v>
      </c>
      <c r="D64" s="2" t="n">
        <f aca="false">IFERROR(__xludf.dummyfunction("""COMPUTED_VALUE"""),47.68)</f>
        <v>47.68</v>
      </c>
      <c r="E64" s="2" t="n">
        <f aca="false">IFERROR(__xludf.dummyfunction("""COMPUTED_VALUE"""),48.85)</f>
        <v>48.85</v>
      </c>
      <c r="F64" s="2" t="n">
        <f aca="false">IFERROR(__xludf.dummyfunction("""COMPUTED_VALUE"""),2296566)</f>
        <v>2296566</v>
      </c>
    </row>
    <row r="65" customFormat="false" ht="15.75" hidden="false" customHeight="false" outlineLevel="0" collapsed="false">
      <c r="A65" s="3" t="n">
        <f aca="false">IFERROR(__xludf.dummyfunction("""COMPUTED_VALUE"""),44292.6666666667)</f>
        <v>44292.6666666667</v>
      </c>
      <c r="B65" s="2" t="n">
        <f aca="false">IFERROR(__xludf.dummyfunction("""COMPUTED_VALUE"""),48.31)</f>
        <v>48.31</v>
      </c>
      <c r="C65" s="2" t="n">
        <f aca="false">IFERROR(__xludf.dummyfunction("""COMPUTED_VALUE"""),48.82)</f>
        <v>48.82</v>
      </c>
      <c r="D65" s="2" t="n">
        <f aca="false">IFERROR(__xludf.dummyfunction("""COMPUTED_VALUE"""),47.77)</f>
        <v>47.77</v>
      </c>
      <c r="E65" s="2" t="n">
        <f aca="false">IFERROR(__xludf.dummyfunction("""COMPUTED_VALUE"""),48.39)</f>
        <v>48.39</v>
      </c>
      <c r="F65" s="2" t="n">
        <f aca="false">IFERROR(__xludf.dummyfunction("""COMPUTED_VALUE"""),1806300)</f>
        <v>1806300</v>
      </c>
    </row>
    <row r="66" customFormat="false" ht="15.75" hidden="false" customHeight="false" outlineLevel="0" collapsed="false">
      <c r="A66" s="3" t="n">
        <f aca="false">IFERROR(__xludf.dummyfunction("""COMPUTED_VALUE"""),44293.6666666667)</f>
        <v>44293.6666666667</v>
      </c>
      <c r="B66" s="2" t="n">
        <f aca="false">IFERROR(__xludf.dummyfunction("""COMPUTED_VALUE"""),48)</f>
        <v>48</v>
      </c>
      <c r="C66" s="2" t="n">
        <f aca="false">IFERROR(__xludf.dummyfunction("""COMPUTED_VALUE"""),48.39)</f>
        <v>48.39</v>
      </c>
      <c r="D66" s="2" t="n">
        <f aca="false">IFERROR(__xludf.dummyfunction("""COMPUTED_VALUE"""),47.8)</f>
        <v>47.8</v>
      </c>
      <c r="E66" s="2" t="n">
        <f aca="false">IFERROR(__xludf.dummyfunction("""COMPUTED_VALUE"""),48.25)</f>
        <v>48.25</v>
      </c>
      <c r="F66" s="2" t="n">
        <f aca="false">IFERROR(__xludf.dummyfunction("""COMPUTED_VALUE"""),1207383)</f>
        <v>1207383</v>
      </c>
    </row>
    <row r="67" customFormat="false" ht="15.75" hidden="false" customHeight="false" outlineLevel="0" collapsed="false">
      <c r="A67" s="3" t="n">
        <f aca="false">IFERROR(__xludf.dummyfunction("""COMPUTED_VALUE"""),44294.6666666667)</f>
        <v>44294.6666666667</v>
      </c>
      <c r="B67" s="2" t="n">
        <f aca="false">IFERROR(__xludf.dummyfunction("""COMPUTED_VALUE"""),48.8)</f>
        <v>48.8</v>
      </c>
      <c r="C67" s="2" t="n">
        <f aca="false">IFERROR(__xludf.dummyfunction("""COMPUTED_VALUE"""),48.8)</f>
        <v>48.8</v>
      </c>
      <c r="D67" s="2" t="n">
        <f aca="false">IFERROR(__xludf.dummyfunction("""COMPUTED_VALUE"""),48.01)</f>
        <v>48.01</v>
      </c>
      <c r="E67" s="2" t="n">
        <f aca="false">IFERROR(__xludf.dummyfunction("""COMPUTED_VALUE"""),48.55)</f>
        <v>48.55</v>
      </c>
      <c r="F67" s="2" t="n">
        <f aca="false">IFERROR(__xludf.dummyfunction("""COMPUTED_VALUE"""),1812102)</f>
        <v>1812102</v>
      </c>
    </row>
    <row r="68" customFormat="false" ht="15.75" hidden="false" customHeight="false" outlineLevel="0" collapsed="false">
      <c r="A68" s="3" t="n">
        <f aca="false">IFERROR(__xludf.dummyfunction("""COMPUTED_VALUE"""),44295.6666666667)</f>
        <v>44295.6666666667</v>
      </c>
      <c r="B68" s="2" t="n">
        <f aca="false">IFERROR(__xludf.dummyfunction("""COMPUTED_VALUE"""),48)</f>
        <v>48</v>
      </c>
      <c r="C68" s="2" t="n">
        <f aca="false">IFERROR(__xludf.dummyfunction("""COMPUTED_VALUE"""),48.53)</f>
        <v>48.53</v>
      </c>
      <c r="D68" s="2" t="n">
        <f aca="false">IFERROR(__xludf.dummyfunction("""COMPUTED_VALUE"""),47.65)</f>
        <v>47.65</v>
      </c>
      <c r="E68" s="2" t="n">
        <f aca="false">IFERROR(__xludf.dummyfunction("""COMPUTED_VALUE"""),48.51)</f>
        <v>48.51</v>
      </c>
      <c r="F68" s="2" t="n">
        <f aca="false">IFERROR(__xludf.dummyfunction("""COMPUTED_VALUE"""),1661746)</f>
        <v>1661746</v>
      </c>
    </row>
    <row r="69" customFormat="false" ht="15.75" hidden="false" customHeight="false" outlineLevel="0" collapsed="false">
      <c r="A69" s="3" t="n">
        <f aca="false">IFERROR(__xludf.dummyfunction("""COMPUTED_VALUE"""),44298.6666666667)</f>
        <v>44298.6666666667</v>
      </c>
      <c r="B69" s="2" t="n">
        <f aca="false">IFERROR(__xludf.dummyfunction("""COMPUTED_VALUE"""),48.19)</f>
        <v>48.19</v>
      </c>
      <c r="C69" s="2" t="n">
        <f aca="false">IFERROR(__xludf.dummyfunction("""COMPUTED_VALUE"""),48.54)</f>
        <v>48.54</v>
      </c>
      <c r="D69" s="2" t="n">
        <f aca="false">IFERROR(__xludf.dummyfunction("""COMPUTED_VALUE"""),47.86)</f>
        <v>47.86</v>
      </c>
      <c r="E69" s="2" t="n">
        <f aca="false">IFERROR(__xludf.dummyfunction("""COMPUTED_VALUE"""),48.37)</f>
        <v>48.37</v>
      </c>
      <c r="F69" s="2" t="n">
        <f aca="false">IFERROR(__xludf.dummyfunction("""COMPUTED_VALUE"""),2324776)</f>
        <v>2324776</v>
      </c>
    </row>
    <row r="70" customFormat="false" ht="15.75" hidden="false" customHeight="false" outlineLevel="0" collapsed="false">
      <c r="A70" s="3" t="n">
        <f aca="false">IFERROR(__xludf.dummyfunction("""COMPUTED_VALUE"""),44299.6666666667)</f>
        <v>44299.6666666667</v>
      </c>
      <c r="B70" s="2" t="n">
        <f aca="false">IFERROR(__xludf.dummyfunction("""COMPUTED_VALUE"""),48.5)</f>
        <v>48.5</v>
      </c>
      <c r="C70" s="2" t="n">
        <f aca="false">IFERROR(__xludf.dummyfunction("""COMPUTED_VALUE"""),48.82)</f>
        <v>48.82</v>
      </c>
      <c r="D70" s="2" t="n">
        <f aca="false">IFERROR(__xludf.dummyfunction("""COMPUTED_VALUE"""),48.03)</f>
        <v>48.03</v>
      </c>
      <c r="E70" s="2" t="n">
        <f aca="false">IFERROR(__xludf.dummyfunction("""COMPUTED_VALUE"""),48.5)</f>
        <v>48.5</v>
      </c>
      <c r="F70" s="2" t="n">
        <f aca="false">IFERROR(__xludf.dummyfunction("""COMPUTED_VALUE"""),1528110)</f>
        <v>1528110</v>
      </c>
    </row>
    <row r="71" customFormat="false" ht="15.75" hidden="false" customHeight="false" outlineLevel="0" collapsed="false">
      <c r="A71" s="3" t="n">
        <f aca="false">IFERROR(__xludf.dummyfunction("""COMPUTED_VALUE"""),44300.6666666667)</f>
        <v>44300.6666666667</v>
      </c>
      <c r="B71" s="2" t="n">
        <f aca="false">IFERROR(__xludf.dummyfunction("""COMPUTED_VALUE"""),48.25)</f>
        <v>48.25</v>
      </c>
      <c r="C71" s="2" t="n">
        <f aca="false">IFERROR(__xludf.dummyfunction("""COMPUTED_VALUE"""),48.92)</f>
        <v>48.92</v>
      </c>
      <c r="D71" s="2" t="n">
        <f aca="false">IFERROR(__xludf.dummyfunction("""COMPUTED_VALUE"""),47.52)</f>
        <v>47.52</v>
      </c>
      <c r="E71" s="2" t="n">
        <f aca="false">IFERROR(__xludf.dummyfunction("""COMPUTED_VALUE"""),47.73)</f>
        <v>47.73</v>
      </c>
      <c r="F71" s="2" t="n">
        <f aca="false">IFERROR(__xludf.dummyfunction("""COMPUTED_VALUE"""),1822341)</f>
        <v>1822341</v>
      </c>
    </row>
    <row r="72" customFormat="false" ht="15.75" hidden="false" customHeight="false" outlineLevel="0" collapsed="false">
      <c r="A72" s="3" t="n">
        <f aca="false">IFERROR(__xludf.dummyfunction("""COMPUTED_VALUE"""),44301.6666666667)</f>
        <v>44301.6666666667</v>
      </c>
      <c r="B72" s="2" t="n">
        <f aca="false">IFERROR(__xludf.dummyfunction("""COMPUTED_VALUE"""),48.16)</f>
        <v>48.16</v>
      </c>
      <c r="C72" s="2" t="n">
        <f aca="false">IFERROR(__xludf.dummyfunction("""COMPUTED_VALUE"""),48.23)</f>
        <v>48.23</v>
      </c>
      <c r="D72" s="2" t="n">
        <f aca="false">IFERROR(__xludf.dummyfunction("""COMPUTED_VALUE"""),47.68)</f>
        <v>47.68</v>
      </c>
      <c r="E72" s="2" t="n">
        <f aca="false">IFERROR(__xludf.dummyfunction("""COMPUTED_VALUE"""),48)</f>
        <v>48</v>
      </c>
      <c r="F72" s="2" t="n">
        <f aca="false">IFERROR(__xludf.dummyfunction("""COMPUTED_VALUE"""),1837111)</f>
        <v>1837111</v>
      </c>
    </row>
    <row r="73" customFormat="false" ht="15.75" hidden="false" customHeight="false" outlineLevel="0" collapsed="false">
      <c r="A73" s="3" t="n">
        <f aca="false">IFERROR(__xludf.dummyfunction("""COMPUTED_VALUE"""),44302.6666666667)</f>
        <v>44302.6666666667</v>
      </c>
      <c r="B73" s="2" t="n">
        <f aca="false">IFERROR(__xludf.dummyfunction("""COMPUTED_VALUE"""),48.05)</f>
        <v>48.05</v>
      </c>
      <c r="C73" s="2" t="n">
        <f aca="false">IFERROR(__xludf.dummyfunction("""COMPUTED_VALUE"""),48.18)</f>
        <v>48.18</v>
      </c>
      <c r="D73" s="2" t="n">
        <f aca="false">IFERROR(__xludf.dummyfunction("""COMPUTED_VALUE"""),47.68)</f>
        <v>47.68</v>
      </c>
      <c r="E73" s="2" t="n">
        <f aca="false">IFERROR(__xludf.dummyfunction("""COMPUTED_VALUE"""),47.88)</f>
        <v>47.88</v>
      </c>
      <c r="F73" s="2" t="n">
        <f aca="false">IFERROR(__xludf.dummyfunction("""COMPUTED_VALUE"""),1626384)</f>
        <v>1626384</v>
      </c>
    </row>
    <row r="74" customFormat="false" ht="15.75" hidden="false" customHeight="false" outlineLevel="0" collapsed="false">
      <c r="A74" s="3" t="n">
        <f aca="false">IFERROR(__xludf.dummyfunction("""COMPUTED_VALUE"""),44305.6666666667)</f>
        <v>44305.6666666667</v>
      </c>
      <c r="B74" s="2" t="n">
        <f aca="false">IFERROR(__xludf.dummyfunction("""COMPUTED_VALUE"""),47.65)</f>
        <v>47.65</v>
      </c>
      <c r="C74" s="2" t="n">
        <f aca="false">IFERROR(__xludf.dummyfunction("""COMPUTED_VALUE"""),47.68)</f>
        <v>47.68</v>
      </c>
      <c r="D74" s="2" t="n">
        <f aca="false">IFERROR(__xludf.dummyfunction("""COMPUTED_VALUE"""),46.01)</f>
        <v>46.01</v>
      </c>
      <c r="E74" s="2" t="n">
        <f aca="false">IFERROR(__xludf.dummyfunction("""COMPUTED_VALUE"""),46.2)</f>
        <v>46.2</v>
      </c>
      <c r="F74" s="2" t="n">
        <f aca="false">IFERROR(__xludf.dummyfunction("""COMPUTED_VALUE"""),2631892)</f>
        <v>2631892</v>
      </c>
    </row>
    <row r="75" customFormat="false" ht="15.75" hidden="false" customHeight="false" outlineLevel="0" collapsed="false">
      <c r="A75" s="3" t="n">
        <f aca="false">IFERROR(__xludf.dummyfunction("""COMPUTED_VALUE"""),44306.6666666667)</f>
        <v>44306.6666666667</v>
      </c>
      <c r="B75" s="2" t="n">
        <f aca="false">IFERROR(__xludf.dummyfunction("""COMPUTED_VALUE"""),46)</f>
        <v>46</v>
      </c>
      <c r="C75" s="2" t="n">
        <f aca="false">IFERROR(__xludf.dummyfunction("""COMPUTED_VALUE"""),46.2)</f>
        <v>46.2</v>
      </c>
      <c r="D75" s="2" t="n">
        <f aca="false">IFERROR(__xludf.dummyfunction("""COMPUTED_VALUE"""),45.45)</f>
        <v>45.45</v>
      </c>
      <c r="E75" s="2" t="n">
        <f aca="false">IFERROR(__xludf.dummyfunction("""COMPUTED_VALUE"""),45.73)</f>
        <v>45.73</v>
      </c>
      <c r="F75" s="2" t="n">
        <f aca="false">IFERROR(__xludf.dummyfunction("""COMPUTED_VALUE"""),1912840)</f>
        <v>1912840</v>
      </c>
    </row>
    <row r="76" customFormat="false" ht="15.75" hidden="false" customHeight="false" outlineLevel="0" collapsed="false">
      <c r="A76" s="3" t="n">
        <f aca="false">IFERROR(__xludf.dummyfunction("""COMPUTED_VALUE"""),44307.6666666667)</f>
        <v>44307.6666666667</v>
      </c>
      <c r="B76" s="2" t="n">
        <f aca="false">IFERROR(__xludf.dummyfunction("""COMPUTED_VALUE"""),45.52)</f>
        <v>45.52</v>
      </c>
      <c r="C76" s="2" t="n">
        <f aca="false">IFERROR(__xludf.dummyfunction("""COMPUTED_VALUE"""),46.03)</f>
        <v>46.03</v>
      </c>
      <c r="D76" s="2" t="n">
        <f aca="false">IFERROR(__xludf.dummyfunction("""COMPUTED_VALUE"""),45.26)</f>
        <v>45.26</v>
      </c>
      <c r="E76" s="2" t="n">
        <f aca="false">IFERROR(__xludf.dummyfunction("""COMPUTED_VALUE"""),45.98)</f>
        <v>45.98</v>
      </c>
      <c r="F76" s="2" t="n">
        <f aca="false">IFERROR(__xludf.dummyfunction("""COMPUTED_VALUE"""),2594937)</f>
        <v>2594937</v>
      </c>
    </row>
    <row r="77" customFormat="false" ht="15.75" hidden="false" customHeight="false" outlineLevel="0" collapsed="false">
      <c r="A77" s="3" t="n">
        <f aca="false">IFERROR(__xludf.dummyfunction("""COMPUTED_VALUE"""),44308.6666666667)</f>
        <v>44308.6666666667</v>
      </c>
      <c r="B77" s="2" t="n">
        <f aca="false">IFERROR(__xludf.dummyfunction("""COMPUTED_VALUE"""),45.51)</f>
        <v>45.51</v>
      </c>
      <c r="C77" s="2" t="n">
        <f aca="false">IFERROR(__xludf.dummyfunction("""COMPUTED_VALUE"""),46.11)</f>
        <v>46.11</v>
      </c>
      <c r="D77" s="2" t="n">
        <f aca="false">IFERROR(__xludf.dummyfunction("""COMPUTED_VALUE"""),44.9)</f>
        <v>44.9</v>
      </c>
      <c r="E77" s="2" t="n">
        <f aca="false">IFERROR(__xludf.dummyfunction("""COMPUTED_VALUE"""),45.51)</f>
        <v>45.51</v>
      </c>
      <c r="F77" s="2" t="n">
        <f aca="false">IFERROR(__xludf.dummyfunction("""COMPUTED_VALUE"""),2705774)</f>
        <v>2705774</v>
      </c>
    </row>
    <row r="78" customFormat="false" ht="15.75" hidden="false" customHeight="false" outlineLevel="0" collapsed="false">
      <c r="A78" s="3" t="n">
        <f aca="false">IFERROR(__xludf.dummyfunction("""COMPUTED_VALUE"""),44309.6666666667)</f>
        <v>44309.6666666667</v>
      </c>
      <c r="B78" s="2" t="n">
        <f aca="false">IFERROR(__xludf.dummyfunction("""COMPUTED_VALUE"""),45.85)</f>
        <v>45.85</v>
      </c>
      <c r="C78" s="2" t="n">
        <f aca="false">IFERROR(__xludf.dummyfunction("""COMPUTED_VALUE"""),46.79)</f>
        <v>46.79</v>
      </c>
      <c r="D78" s="2" t="n">
        <f aca="false">IFERROR(__xludf.dummyfunction("""COMPUTED_VALUE"""),45.75)</f>
        <v>45.75</v>
      </c>
      <c r="E78" s="2" t="n">
        <f aca="false">IFERROR(__xludf.dummyfunction("""COMPUTED_VALUE"""),46.61)</f>
        <v>46.61</v>
      </c>
      <c r="F78" s="2" t="n">
        <f aca="false">IFERROR(__xludf.dummyfunction("""COMPUTED_VALUE"""),2289167)</f>
        <v>2289167</v>
      </c>
    </row>
    <row r="79" customFormat="false" ht="15.75" hidden="false" customHeight="false" outlineLevel="0" collapsed="false">
      <c r="A79" s="3" t="n">
        <f aca="false">IFERROR(__xludf.dummyfunction("""COMPUTED_VALUE"""),44312.6666666667)</f>
        <v>44312.6666666667</v>
      </c>
      <c r="B79" s="2" t="n">
        <f aca="false">IFERROR(__xludf.dummyfunction("""COMPUTED_VALUE"""),46.7)</f>
        <v>46.7</v>
      </c>
      <c r="C79" s="2" t="n">
        <f aca="false">IFERROR(__xludf.dummyfunction("""COMPUTED_VALUE"""),47.38)</f>
        <v>47.38</v>
      </c>
      <c r="D79" s="2" t="n">
        <f aca="false">IFERROR(__xludf.dummyfunction("""COMPUTED_VALUE"""),46.36)</f>
        <v>46.36</v>
      </c>
      <c r="E79" s="2" t="n">
        <f aca="false">IFERROR(__xludf.dummyfunction("""COMPUTED_VALUE"""),47.19)</f>
        <v>47.19</v>
      </c>
      <c r="F79" s="2" t="n">
        <f aca="false">IFERROR(__xludf.dummyfunction("""COMPUTED_VALUE"""),1827157)</f>
        <v>1827157</v>
      </c>
    </row>
    <row r="80" customFormat="false" ht="15.75" hidden="false" customHeight="false" outlineLevel="0" collapsed="false">
      <c r="A80" s="3" t="n">
        <f aca="false">IFERROR(__xludf.dummyfunction("""COMPUTED_VALUE"""),44313.6666666667)</f>
        <v>44313.6666666667</v>
      </c>
      <c r="B80" s="2" t="n">
        <f aca="false">IFERROR(__xludf.dummyfunction("""COMPUTED_VALUE"""),47.37)</f>
        <v>47.37</v>
      </c>
      <c r="C80" s="2" t="n">
        <f aca="false">IFERROR(__xludf.dummyfunction("""COMPUTED_VALUE"""),47.43)</f>
        <v>47.43</v>
      </c>
      <c r="D80" s="2" t="n">
        <f aca="false">IFERROR(__xludf.dummyfunction("""COMPUTED_VALUE"""),46.51)</f>
        <v>46.51</v>
      </c>
      <c r="E80" s="2" t="n">
        <f aca="false">IFERROR(__xludf.dummyfunction("""COMPUTED_VALUE"""),46.64)</f>
        <v>46.64</v>
      </c>
      <c r="F80" s="2" t="n">
        <f aca="false">IFERROR(__xludf.dummyfunction("""COMPUTED_VALUE"""),1326721)</f>
        <v>1326721</v>
      </c>
    </row>
    <row r="81" customFormat="false" ht="15.75" hidden="false" customHeight="false" outlineLevel="0" collapsed="false">
      <c r="A81" s="3" t="n">
        <f aca="false">IFERROR(__xludf.dummyfunction("""COMPUTED_VALUE"""),44314.6666666667)</f>
        <v>44314.6666666667</v>
      </c>
      <c r="B81" s="2" t="n">
        <f aca="false">IFERROR(__xludf.dummyfunction("""COMPUTED_VALUE"""),46.54)</f>
        <v>46.54</v>
      </c>
      <c r="C81" s="2" t="n">
        <f aca="false">IFERROR(__xludf.dummyfunction("""COMPUTED_VALUE"""),46.6)</f>
        <v>46.6</v>
      </c>
      <c r="D81" s="2" t="n">
        <f aca="false">IFERROR(__xludf.dummyfunction("""COMPUTED_VALUE"""),45.61)</f>
        <v>45.61</v>
      </c>
      <c r="E81" s="2" t="n">
        <f aca="false">IFERROR(__xludf.dummyfunction("""COMPUTED_VALUE"""),45.92)</f>
        <v>45.92</v>
      </c>
      <c r="F81" s="2" t="n">
        <f aca="false">IFERROR(__xludf.dummyfunction("""COMPUTED_VALUE"""),1593972)</f>
        <v>1593972</v>
      </c>
    </row>
    <row r="82" customFormat="false" ht="15.75" hidden="false" customHeight="false" outlineLevel="0" collapsed="false">
      <c r="A82" s="3" t="n">
        <f aca="false">IFERROR(__xludf.dummyfunction("""COMPUTED_VALUE"""),44315.6666666667)</f>
        <v>44315.6666666667</v>
      </c>
      <c r="B82" s="2" t="n">
        <f aca="false">IFERROR(__xludf.dummyfunction("""COMPUTED_VALUE"""),46.97)</f>
        <v>46.97</v>
      </c>
      <c r="C82" s="2" t="n">
        <f aca="false">IFERROR(__xludf.dummyfunction("""COMPUTED_VALUE"""),46.97)</f>
        <v>46.97</v>
      </c>
      <c r="D82" s="2" t="n">
        <f aca="false">IFERROR(__xludf.dummyfunction("""COMPUTED_VALUE"""),45.9)</f>
        <v>45.9</v>
      </c>
      <c r="E82" s="2" t="n">
        <f aca="false">IFERROR(__xludf.dummyfunction("""COMPUTED_VALUE"""),46.63)</f>
        <v>46.63</v>
      </c>
      <c r="F82" s="2" t="n">
        <f aca="false">IFERROR(__xludf.dummyfunction("""COMPUTED_VALUE"""),1464994)</f>
        <v>1464994</v>
      </c>
    </row>
    <row r="83" customFormat="false" ht="15.75" hidden="false" customHeight="false" outlineLevel="0" collapsed="false">
      <c r="A83" s="3" t="n">
        <f aca="false">IFERROR(__xludf.dummyfunction("""COMPUTED_VALUE"""),44316.6666666667)</f>
        <v>44316.6666666667</v>
      </c>
      <c r="B83" s="2" t="n">
        <f aca="false">IFERROR(__xludf.dummyfunction("""COMPUTED_VALUE"""),45.97)</f>
        <v>45.97</v>
      </c>
      <c r="C83" s="2" t="n">
        <f aca="false">IFERROR(__xludf.dummyfunction("""COMPUTED_VALUE"""),46.07)</f>
        <v>46.07</v>
      </c>
      <c r="D83" s="2" t="n">
        <f aca="false">IFERROR(__xludf.dummyfunction("""COMPUTED_VALUE"""),45.38)</f>
        <v>45.38</v>
      </c>
      <c r="E83" s="2" t="n">
        <f aca="false">IFERROR(__xludf.dummyfunction("""COMPUTED_VALUE"""),45.62)</f>
        <v>45.62</v>
      </c>
      <c r="F83" s="2" t="n">
        <f aca="false">IFERROR(__xludf.dummyfunction("""COMPUTED_VALUE"""),1936764)</f>
        <v>1936764</v>
      </c>
    </row>
    <row r="84" customFormat="false" ht="15.75" hidden="false" customHeight="false" outlineLevel="0" collapsed="false">
      <c r="A84" s="3" t="n">
        <f aca="false">IFERROR(__xludf.dummyfunction("""COMPUTED_VALUE"""),44319.6666666667)</f>
        <v>44319.6666666667</v>
      </c>
      <c r="B84" s="2" t="n">
        <f aca="false">IFERROR(__xludf.dummyfunction("""COMPUTED_VALUE"""),45.98)</f>
        <v>45.98</v>
      </c>
      <c r="C84" s="2" t="n">
        <f aca="false">IFERROR(__xludf.dummyfunction("""COMPUTED_VALUE"""),45.98)</f>
        <v>45.98</v>
      </c>
      <c r="D84" s="2" t="n">
        <f aca="false">IFERROR(__xludf.dummyfunction("""COMPUTED_VALUE"""),44.83)</f>
        <v>44.83</v>
      </c>
      <c r="E84" s="2" t="n">
        <f aca="false">IFERROR(__xludf.dummyfunction("""COMPUTED_VALUE"""),45.01)</f>
        <v>45.01</v>
      </c>
      <c r="F84" s="2" t="n">
        <f aca="false">IFERROR(__xludf.dummyfunction("""COMPUTED_VALUE"""),1509765)</f>
        <v>1509765</v>
      </c>
    </row>
    <row r="85" customFormat="false" ht="15.75" hidden="false" customHeight="false" outlineLevel="0" collapsed="false">
      <c r="A85" s="3" t="n">
        <f aca="false">IFERROR(__xludf.dummyfunction("""COMPUTED_VALUE"""),44320.6666666667)</f>
        <v>44320.6666666667</v>
      </c>
      <c r="B85" s="2" t="n">
        <f aca="false">IFERROR(__xludf.dummyfunction("""COMPUTED_VALUE"""),44.72)</f>
        <v>44.72</v>
      </c>
      <c r="C85" s="2" t="n">
        <f aca="false">IFERROR(__xludf.dummyfunction("""COMPUTED_VALUE"""),44.77)</f>
        <v>44.77</v>
      </c>
      <c r="D85" s="2" t="n">
        <f aca="false">IFERROR(__xludf.dummyfunction("""COMPUTED_VALUE"""),43.73)</f>
        <v>43.73</v>
      </c>
      <c r="E85" s="2" t="n">
        <f aca="false">IFERROR(__xludf.dummyfunction("""COMPUTED_VALUE"""),44.45)</f>
        <v>44.45</v>
      </c>
      <c r="F85" s="2" t="n">
        <f aca="false">IFERROR(__xludf.dummyfunction("""COMPUTED_VALUE"""),2349723)</f>
        <v>2349723</v>
      </c>
    </row>
    <row r="86" customFormat="false" ht="15.75" hidden="false" customHeight="false" outlineLevel="0" collapsed="false">
      <c r="A86" s="3" t="n">
        <f aca="false">IFERROR(__xludf.dummyfunction("""COMPUTED_VALUE"""),44321.6666666667)</f>
        <v>44321.6666666667</v>
      </c>
      <c r="B86" s="2" t="n">
        <f aca="false">IFERROR(__xludf.dummyfunction("""COMPUTED_VALUE"""),45.04)</f>
        <v>45.04</v>
      </c>
      <c r="C86" s="2" t="n">
        <f aca="false">IFERROR(__xludf.dummyfunction("""COMPUTED_VALUE"""),45.14)</f>
        <v>45.14</v>
      </c>
      <c r="D86" s="2" t="n">
        <f aca="false">IFERROR(__xludf.dummyfunction("""COMPUTED_VALUE"""),44.24)</f>
        <v>44.24</v>
      </c>
      <c r="E86" s="2" t="n">
        <f aca="false">IFERROR(__xludf.dummyfunction("""COMPUTED_VALUE"""),44.38)</f>
        <v>44.38</v>
      </c>
      <c r="F86" s="2" t="n">
        <f aca="false">IFERROR(__xludf.dummyfunction("""COMPUTED_VALUE"""),1638981)</f>
        <v>1638981</v>
      </c>
    </row>
    <row r="87" customFormat="false" ht="15.75" hidden="false" customHeight="false" outlineLevel="0" collapsed="false">
      <c r="A87" s="3" t="n">
        <f aca="false">IFERROR(__xludf.dummyfunction("""COMPUTED_VALUE"""),44322.6666666667)</f>
        <v>44322.6666666667</v>
      </c>
      <c r="B87" s="2" t="n">
        <f aca="false">IFERROR(__xludf.dummyfunction("""COMPUTED_VALUE"""),44.38)</f>
        <v>44.38</v>
      </c>
      <c r="C87" s="2" t="n">
        <f aca="false">IFERROR(__xludf.dummyfunction("""COMPUTED_VALUE"""),44.91)</f>
        <v>44.91</v>
      </c>
      <c r="D87" s="2" t="n">
        <f aca="false">IFERROR(__xludf.dummyfunction("""COMPUTED_VALUE"""),43.98)</f>
        <v>43.98</v>
      </c>
      <c r="E87" s="2" t="n">
        <f aca="false">IFERROR(__xludf.dummyfunction("""COMPUTED_VALUE"""),44.86)</f>
        <v>44.86</v>
      </c>
      <c r="F87" s="2" t="n">
        <f aca="false">IFERROR(__xludf.dummyfunction("""COMPUTED_VALUE"""),1349637)</f>
        <v>1349637</v>
      </c>
    </row>
    <row r="88" customFormat="false" ht="15.75" hidden="false" customHeight="false" outlineLevel="0" collapsed="false">
      <c r="A88" s="3" t="n">
        <f aca="false">IFERROR(__xludf.dummyfunction("""COMPUTED_VALUE"""),44323.6666666667)</f>
        <v>44323.6666666667</v>
      </c>
      <c r="B88" s="2" t="n">
        <f aca="false">IFERROR(__xludf.dummyfunction("""COMPUTED_VALUE"""),45.46)</f>
        <v>45.46</v>
      </c>
      <c r="C88" s="2" t="n">
        <f aca="false">IFERROR(__xludf.dummyfunction("""COMPUTED_VALUE"""),45.84)</f>
        <v>45.84</v>
      </c>
      <c r="D88" s="2" t="n">
        <f aca="false">IFERROR(__xludf.dummyfunction("""COMPUTED_VALUE"""),44.92)</f>
        <v>44.92</v>
      </c>
      <c r="E88" s="2" t="n">
        <f aca="false">IFERROR(__xludf.dummyfunction("""COMPUTED_VALUE"""),45.26)</f>
        <v>45.26</v>
      </c>
      <c r="F88" s="2" t="n">
        <f aca="false">IFERROR(__xludf.dummyfunction("""COMPUTED_VALUE"""),1171164)</f>
        <v>1171164</v>
      </c>
    </row>
    <row r="89" customFormat="false" ht="15.75" hidden="false" customHeight="false" outlineLevel="0" collapsed="false">
      <c r="A89" s="3" t="n">
        <f aca="false">IFERROR(__xludf.dummyfunction("""COMPUTED_VALUE"""),44326.6666666667)</f>
        <v>44326.6666666667</v>
      </c>
      <c r="B89" s="2" t="n">
        <f aca="false">IFERROR(__xludf.dummyfunction("""COMPUTED_VALUE"""),44.84)</f>
        <v>44.84</v>
      </c>
      <c r="C89" s="2" t="n">
        <f aca="false">IFERROR(__xludf.dummyfunction("""COMPUTED_VALUE"""),44.85)</f>
        <v>44.85</v>
      </c>
      <c r="D89" s="2" t="n">
        <f aca="false">IFERROR(__xludf.dummyfunction("""COMPUTED_VALUE"""),43.58)</f>
        <v>43.58</v>
      </c>
      <c r="E89" s="2" t="n">
        <f aca="false">IFERROR(__xludf.dummyfunction("""COMPUTED_VALUE"""),43.61)</f>
        <v>43.61</v>
      </c>
      <c r="F89" s="2" t="n">
        <f aca="false">IFERROR(__xludf.dummyfunction("""COMPUTED_VALUE"""),2523850)</f>
        <v>2523850</v>
      </c>
    </row>
    <row r="90" customFormat="false" ht="15.75" hidden="false" customHeight="false" outlineLevel="0" collapsed="false">
      <c r="A90" s="3" t="n">
        <f aca="false">IFERROR(__xludf.dummyfunction("""COMPUTED_VALUE"""),44327.6666666667)</f>
        <v>44327.6666666667</v>
      </c>
      <c r="B90" s="2" t="n">
        <f aca="false">IFERROR(__xludf.dummyfunction("""COMPUTED_VALUE"""),42.5)</f>
        <v>42.5</v>
      </c>
      <c r="C90" s="2" t="n">
        <f aca="false">IFERROR(__xludf.dummyfunction("""COMPUTED_VALUE"""),44.18)</f>
        <v>44.18</v>
      </c>
      <c r="D90" s="2" t="n">
        <f aca="false">IFERROR(__xludf.dummyfunction("""COMPUTED_VALUE"""),42.31)</f>
        <v>42.31</v>
      </c>
      <c r="E90" s="2" t="n">
        <f aca="false">IFERROR(__xludf.dummyfunction("""COMPUTED_VALUE"""),44.01)</f>
        <v>44.01</v>
      </c>
      <c r="F90" s="2" t="n">
        <f aca="false">IFERROR(__xludf.dummyfunction("""COMPUTED_VALUE"""),1788913)</f>
        <v>1788913</v>
      </c>
    </row>
    <row r="91" customFormat="false" ht="15.75" hidden="false" customHeight="false" outlineLevel="0" collapsed="false">
      <c r="A91" s="3" t="n">
        <f aca="false">IFERROR(__xludf.dummyfunction("""COMPUTED_VALUE"""),44328.6666666667)</f>
        <v>44328.6666666667</v>
      </c>
      <c r="B91" s="2" t="n">
        <f aca="false">IFERROR(__xludf.dummyfunction("""COMPUTED_VALUE"""),42.93)</f>
        <v>42.93</v>
      </c>
      <c r="C91" s="2" t="n">
        <f aca="false">IFERROR(__xludf.dummyfunction("""COMPUTED_VALUE"""),43.09)</f>
        <v>43.09</v>
      </c>
      <c r="D91" s="2" t="n">
        <f aca="false">IFERROR(__xludf.dummyfunction("""COMPUTED_VALUE"""),41.91)</f>
        <v>41.91</v>
      </c>
      <c r="E91" s="2" t="n">
        <f aca="false">IFERROR(__xludf.dummyfunction("""COMPUTED_VALUE"""),42.24)</f>
        <v>42.24</v>
      </c>
      <c r="F91" s="2" t="n">
        <f aca="false">IFERROR(__xludf.dummyfunction("""COMPUTED_VALUE"""),2994319)</f>
        <v>2994319</v>
      </c>
    </row>
    <row r="92" customFormat="false" ht="15.75" hidden="false" customHeight="false" outlineLevel="0" collapsed="false">
      <c r="A92" s="3" t="n">
        <f aca="false">IFERROR(__xludf.dummyfunction("""COMPUTED_VALUE"""),44329.6666666667)</f>
        <v>44329.6666666667</v>
      </c>
      <c r="B92" s="2" t="n">
        <f aca="false">IFERROR(__xludf.dummyfunction("""COMPUTED_VALUE"""),42.99)</f>
        <v>42.99</v>
      </c>
      <c r="C92" s="2" t="n">
        <f aca="false">IFERROR(__xludf.dummyfunction("""COMPUTED_VALUE"""),43.48)</f>
        <v>43.48</v>
      </c>
      <c r="D92" s="2" t="n">
        <f aca="false">IFERROR(__xludf.dummyfunction("""COMPUTED_VALUE"""),42.56)</f>
        <v>42.56</v>
      </c>
      <c r="E92" s="2" t="n">
        <f aca="false">IFERROR(__xludf.dummyfunction("""COMPUTED_VALUE"""),43.06)</f>
        <v>43.06</v>
      </c>
      <c r="F92" s="2" t="n">
        <f aca="false">IFERROR(__xludf.dummyfunction("""COMPUTED_VALUE"""),2184221)</f>
        <v>2184221</v>
      </c>
    </row>
    <row r="93" customFormat="false" ht="15.75" hidden="false" customHeight="false" outlineLevel="0" collapsed="false">
      <c r="A93" s="3" t="n">
        <f aca="false">IFERROR(__xludf.dummyfunction("""COMPUTED_VALUE"""),44330.6666666667)</f>
        <v>44330.6666666667</v>
      </c>
      <c r="B93" s="2" t="n">
        <f aca="false">IFERROR(__xludf.dummyfunction("""COMPUTED_VALUE"""),43.64)</f>
        <v>43.64</v>
      </c>
      <c r="C93" s="2" t="n">
        <f aca="false">IFERROR(__xludf.dummyfunction("""COMPUTED_VALUE"""),44.51)</f>
        <v>44.51</v>
      </c>
      <c r="D93" s="2" t="n">
        <f aca="false">IFERROR(__xludf.dummyfunction("""COMPUTED_VALUE"""),43.21)</f>
        <v>43.21</v>
      </c>
      <c r="E93" s="2" t="n">
        <f aca="false">IFERROR(__xludf.dummyfunction("""COMPUTED_VALUE"""),44.16)</f>
        <v>44.16</v>
      </c>
      <c r="F93" s="2" t="n">
        <f aca="false">IFERROR(__xludf.dummyfunction("""COMPUTED_VALUE"""),1696613)</f>
        <v>1696613</v>
      </c>
    </row>
    <row r="94" customFormat="false" ht="15.75" hidden="false" customHeight="false" outlineLevel="0" collapsed="false">
      <c r="A94" s="3" t="n">
        <f aca="false">IFERROR(__xludf.dummyfunction("""COMPUTED_VALUE"""),44333.6666666667)</f>
        <v>44333.6666666667</v>
      </c>
      <c r="B94" s="2" t="n">
        <f aca="false">IFERROR(__xludf.dummyfunction("""COMPUTED_VALUE"""),44.21)</f>
        <v>44.21</v>
      </c>
      <c r="C94" s="2" t="n">
        <f aca="false">IFERROR(__xludf.dummyfunction("""COMPUTED_VALUE"""),44.21)</f>
        <v>44.21</v>
      </c>
      <c r="D94" s="2" t="n">
        <f aca="false">IFERROR(__xludf.dummyfunction("""COMPUTED_VALUE"""),43.28)</f>
        <v>43.28</v>
      </c>
      <c r="E94" s="2" t="n">
        <f aca="false">IFERROR(__xludf.dummyfunction("""COMPUTED_VALUE"""),43.99)</f>
        <v>43.99</v>
      </c>
      <c r="F94" s="2" t="n">
        <f aca="false">IFERROR(__xludf.dummyfunction("""COMPUTED_VALUE"""),1572813)</f>
        <v>1572813</v>
      </c>
    </row>
    <row r="95" customFormat="false" ht="15.75" hidden="false" customHeight="false" outlineLevel="0" collapsed="false">
      <c r="A95" s="3" t="n">
        <f aca="false">IFERROR(__xludf.dummyfunction("""COMPUTED_VALUE"""),44334.6666666667)</f>
        <v>44334.6666666667</v>
      </c>
      <c r="B95" s="2" t="n">
        <f aca="false">IFERROR(__xludf.dummyfunction("""COMPUTED_VALUE"""),44.39)</f>
        <v>44.39</v>
      </c>
      <c r="C95" s="2" t="n">
        <f aca="false">IFERROR(__xludf.dummyfunction("""COMPUTED_VALUE"""),44.44)</f>
        <v>44.44</v>
      </c>
      <c r="D95" s="2" t="n">
        <f aca="false">IFERROR(__xludf.dummyfunction("""COMPUTED_VALUE"""),43.33)</f>
        <v>43.33</v>
      </c>
      <c r="E95" s="2" t="n">
        <f aca="false">IFERROR(__xludf.dummyfunction("""COMPUTED_VALUE"""),43.37)</f>
        <v>43.37</v>
      </c>
      <c r="F95" s="2" t="n">
        <f aca="false">IFERROR(__xludf.dummyfunction("""COMPUTED_VALUE"""),1782448)</f>
        <v>1782448</v>
      </c>
    </row>
    <row r="96" customFormat="false" ht="15.75" hidden="false" customHeight="false" outlineLevel="0" collapsed="false">
      <c r="A96" s="3" t="n">
        <f aca="false">IFERROR(__xludf.dummyfunction("""COMPUTED_VALUE"""),44335.6666666667)</f>
        <v>44335.6666666667</v>
      </c>
      <c r="B96" s="2" t="n">
        <f aca="false">IFERROR(__xludf.dummyfunction("""COMPUTED_VALUE"""),42.6)</f>
        <v>42.6</v>
      </c>
      <c r="C96" s="2" t="n">
        <f aca="false">IFERROR(__xludf.dummyfunction("""COMPUTED_VALUE"""),44.25)</f>
        <v>44.25</v>
      </c>
      <c r="D96" s="2" t="n">
        <f aca="false">IFERROR(__xludf.dummyfunction("""COMPUTED_VALUE"""),42.57)</f>
        <v>42.57</v>
      </c>
      <c r="E96" s="2" t="n">
        <f aca="false">IFERROR(__xludf.dummyfunction("""COMPUTED_VALUE"""),44.17)</f>
        <v>44.17</v>
      </c>
      <c r="F96" s="2" t="n">
        <f aca="false">IFERROR(__xludf.dummyfunction("""COMPUTED_VALUE"""),2136931)</f>
        <v>2136931</v>
      </c>
    </row>
    <row r="97" customFormat="false" ht="15.75" hidden="false" customHeight="false" outlineLevel="0" collapsed="false">
      <c r="A97" s="3" t="n">
        <f aca="false">IFERROR(__xludf.dummyfunction("""COMPUTED_VALUE"""),44336.6666666667)</f>
        <v>44336.6666666667</v>
      </c>
      <c r="B97" s="2" t="n">
        <f aca="false">IFERROR(__xludf.dummyfunction("""COMPUTED_VALUE"""),44.58)</f>
        <v>44.58</v>
      </c>
      <c r="C97" s="2" t="n">
        <f aca="false">IFERROR(__xludf.dummyfunction("""COMPUTED_VALUE"""),45.93)</f>
        <v>45.93</v>
      </c>
      <c r="D97" s="2" t="n">
        <f aca="false">IFERROR(__xludf.dummyfunction("""COMPUTED_VALUE"""),44.53)</f>
        <v>44.53</v>
      </c>
      <c r="E97" s="2" t="n">
        <f aca="false">IFERROR(__xludf.dummyfunction("""COMPUTED_VALUE"""),45.5)</f>
        <v>45.5</v>
      </c>
      <c r="F97" s="2" t="n">
        <f aca="false">IFERROR(__xludf.dummyfunction("""COMPUTED_VALUE"""),2188892)</f>
        <v>2188892</v>
      </c>
    </row>
    <row r="98" customFormat="false" ht="15.75" hidden="false" customHeight="false" outlineLevel="0" collapsed="false">
      <c r="A98" s="3" t="n">
        <f aca="false">IFERROR(__xludf.dummyfunction("""COMPUTED_VALUE"""),44337.6666666667)</f>
        <v>44337.6666666667</v>
      </c>
      <c r="B98" s="2" t="n">
        <f aca="false">IFERROR(__xludf.dummyfunction("""COMPUTED_VALUE"""),45.8)</f>
        <v>45.8</v>
      </c>
      <c r="C98" s="2" t="n">
        <f aca="false">IFERROR(__xludf.dummyfunction("""COMPUTED_VALUE"""),45.8)</f>
        <v>45.8</v>
      </c>
      <c r="D98" s="2" t="n">
        <f aca="false">IFERROR(__xludf.dummyfunction("""COMPUTED_VALUE"""),44.93)</f>
        <v>44.93</v>
      </c>
      <c r="E98" s="2" t="n">
        <f aca="false">IFERROR(__xludf.dummyfunction("""COMPUTED_VALUE"""),45.12)</f>
        <v>45.12</v>
      </c>
      <c r="F98" s="2" t="n">
        <f aca="false">IFERROR(__xludf.dummyfunction("""COMPUTED_VALUE"""),1321815)</f>
        <v>1321815</v>
      </c>
    </row>
    <row r="99" customFormat="false" ht="15.75" hidden="false" customHeight="false" outlineLevel="0" collapsed="false">
      <c r="A99" s="3" t="n">
        <f aca="false">IFERROR(__xludf.dummyfunction("""COMPUTED_VALUE"""),44340.6666666667)</f>
        <v>44340.6666666667</v>
      </c>
      <c r="B99" s="2" t="n">
        <f aca="false">IFERROR(__xludf.dummyfunction("""COMPUTED_VALUE"""),45.69)</f>
        <v>45.69</v>
      </c>
      <c r="C99" s="2" t="n">
        <f aca="false">IFERROR(__xludf.dummyfunction("""COMPUTED_VALUE"""),46.24)</f>
        <v>46.24</v>
      </c>
      <c r="D99" s="2" t="n">
        <f aca="false">IFERROR(__xludf.dummyfunction("""COMPUTED_VALUE"""),45.64)</f>
        <v>45.64</v>
      </c>
      <c r="E99" s="2" t="n">
        <f aca="false">IFERROR(__xludf.dummyfunction("""COMPUTED_VALUE"""),45.92)</f>
        <v>45.92</v>
      </c>
      <c r="F99" s="2" t="n">
        <f aca="false">IFERROR(__xludf.dummyfunction("""COMPUTED_VALUE"""),1442259)</f>
        <v>1442259</v>
      </c>
    </row>
    <row r="100" customFormat="false" ht="15.75" hidden="false" customHeight="false" outlineLevel="0" collapsed="false">
      <c r="A100" s="3" t="n">
        <f aca="false">IFERROR(__xludf.dummyfunction("""COMPUTED_VALUE"""),44341.6666666667)</f>
        <v>44341.6666666667</v>
      </c>
      <c r="B100" s="2" t="n">
        <f aca="false">IFERROR(__xludf.dummyfunction("""COMPUTED_VALUE"""),46.19)</f>
        <v>46.19</v>
      </c>
      <c r="C100" s="2" t="n">
        <f aca="false">IFERROR(__xludf.dummyfunction("""COMPUTED_VALUE"""),46.3)</f>
        <v>46.3</v>
      </c>
      <c r="D100" s="2" t="n">
        <f aca="false">IFERROR(__xludf.dummyfunction("""COMPUTED_VALUE"""),45.65)</f>
        <v>45.65</v>
      </c>
      <c r="E100" s="2" t="n">
        <f aca="false">IFERROR(__xludf.dummyfunction("""COMPUTED_VALUE"""),45.95)</f>
        <v>45.95</v>
      </c>
      <c r="F100" s="2" t="n">
        <f aca="false">IFERROR(__xludf.dummyfunction("""COMPUTED_VALUE"""),960027)</f>
        <v>960027</v>
      </c>
    </row>
    <row r="101" customFormat="false" ht="15.75" hidden="false" customHeight="false" outlineLevel="0" collapsed="false">
      <c r="A101" s="3" t="n">
        <f aca="false">IFERROR(__xludf.dummyfunction("""COMPUTED_VALUE"""),44342.6666666667)</f>
        <v>44342.6666666667</v>
      </c>
      <c r="B101" s="2" t="n">
        <f aca="false">IFERROR(__xludf.dummyfunction("""COMPUTED_VALUE"""),46.08)</f>
        <v>46.08</v>
      </c>
      <c r="C101" s="2" t="n">
        <f aca="false">IFERROR(__xludf.dummyfunction("""COMPUTED_VALUE"""),46.21)</f>
        <v>46.21</v>
      </c>
      <c r="D101" s="2" t="n">
        <f aca="false">IFERROR(__xludf.dummyfunction("""COMPUTED_VALUE"""),45.55)</f>
        <v>45.55</v>
      </c>
      <c r="E101" s="2" t="n">
        <f aca="false">IFERROR(__xludf.dummyfunction("""COMPUTED_VALUE"""),46.05)</f>
        <v>46.05</v>
      </c>
      <c r="F101" s="2" t="n">
        <f aca="false">IFERROR(__xludf.dummyfunction("""COMPUTED_VALUE"""),987409)</f>
        <v>987409</v>
      </c>
    </row>
    <row r="102" customFormat="false" ht="15.75" hidden="false" customHeight="false" outlineLevel="0" collapsed="false">
      <c r="A102" s="3" t="n">
        <f aca="false">IFERROR(__xludf.dummyfunction("""COMPUTED_VALUE"""),44343.6666666667)</f>
        <v>44343.6666666667</v>
      </c>
      <c r="B102" s="2" t="n">
        <f aca="false">IFERROR(__xludf.dummyfunction("""COMPUTED_VALUE"""),46)</f>
        <v>46</v>
      </c>
      <c r="C102" s="2" t="n">
        <f aca="false">IFERROR(__xludf.dummyfunction("""COMPUTED_VALUE"""),46.84)</f>
        <v>46.84</v>
      </c>
      <c r="D102" s="2" t="n">
        <f aca="false">IFERROR(__xludf.dummyfunction("""COMPUTED_VALUE"""),45.96)</f>
        <v>45.96</v>
      </c>
      <c r="E102" s="2" t="n">
        <f aca="false">IFERROR(__xludf.dummyfunction("""COMPUTED_VALUE"""),46.77)</f>
        <v>46.77</v>
      </c>
      <c r="F102" s="2" t="n">
        <f aca="false">IFERROR(__xludf.dummyfunction("""COMPUTED_VALUE"""),1909835)</f>
        <v>1909835</v>
      </c>
    </row>
    <row r="103" customFormat="false" ht="15.75" hidden="false" customHeight="false" outlineLevel="0" collapsed="false">
      <c r="A103" s="3" t="n">
        <f aca="false">IFERROR(__xludf.dummyfunction("""COMPUTED_VALUE"""),44344.6666666667)</f>
        <v>44344.6666666667</v>
      </c>
      <c r="B103" s="2" t="n">
        <f aca="false">IFERROR(__xludf.dummyfunction("""COMPUTED_VALUE"""),47)</f>
        <v>47</v>
      </c>
      <c r="C103" s="2" t="n">
        <f aca="false">IFERROR(__xludf.dummyfunction("""COMPUTED_VALUE"""),47.46)</f>
        <v>47.46</v>
      </c>
      <c r="D103" s="2" t="n">
        <f aca="false">IFERROR(__xludf.dummyfunction("""COMPUTED_VALUE"""),46.77)</f>
        <v>46.77</v>
      </c>
      <c r="E103" s="2" t="n">
        <f aca="false">IFERROR(__xludf.dummyfunction("""COMPUTED_VALUE"""),47.23)</f>
        <v>47.23</v>
      </c>
      <c r="F103" s="2" t="n">
        <f aca="false">IFERROR(__xludf.dummyfunction("""COMPUTED_VALUE"""),1994762)</f>
        <v>1994762</v>
      </c>
    </row>
    <row r="104" customFormat="false" ht="15.75" hidden="false" customHeight="false" outlineLevel="0" collapsed="false">
      <c r="A104" s="3" t="n">
        <f aca="false">IFERROR(__xludf.dummyfunction("""COMPUTED_VALUE"""),44348.6666666667)</f>
        <v>44348.6666666667</v>
      </c>
      <c r="B104" s="2" t="n">
        <f aca="false">IFERROR(__xludf.dummyfunction("""COMPUTED_VALUE"""),47.54)</f>
        <v>47.54</v>
      </c>
      <c r="C104" s="2" t="n">
        <f aca="false">IFERROR(__xludf.dummyfunction("""COMPUTED_VALUE"""),47.8)</f>
        <v>47.8</v>
      </c>
      <c r="D104" s="2" t="n">
        <f aca="false">IFERROR(__xludf.dummyfunction("""COMPUTED_VALUE"""),46.72)</f>
        <v>46.72</v>
      </c>
      <c r="E104" s="2" t="n">
        <f aca="false">IFERROR(__xludf.dummyfunction("""COMPUTED_VALUE"""),46.83)</f>
        <v>46.83</v>
      </c>
      <c r="F104" s="2" t="n">
        <f aca="false">IFERROR(__xludf.dummyfunction("""COMPUTED_VALUE"""),1627735)</f>
        <v>1627735</v>
      </c>
    </row>
    <row r="105" customFormat="false" ht="15.75" hidden="false" customHeight="false" outlineLevel="0" collapsed="false">
      <c r="A105" s="3" t="n">
        <f aca="false">IFERROR(__xludf.dummyfunction("""COMPUTED_VALUE"""),44349.6666666667)</f>
        <v>44349.6666666667</v>
      </c>
      <c r="B105" s="2" t="n">
        <f aca="false">IFERROR(__xludf.dummyfunction("""COMPUTED_VALUE"""),47.18)</f>
        <v>47.18</v>
      </c>
      <c r="C105" s="2" t="n">
        <f aca="false">IFERROR(__xludf.dummyfunction("""COMPUTED_VALUE"""),47.77)</f>
        <v>47.77</v>
      </c>
      <c r="D105" s="2" t="n">
        <f aca="false">IFERROR(__xludf.dummyfunction("""COMPUTED_VALUE"""),46.95)</f>
        <v>46.95</v>
      </c>
      <c r="E105" s="2" t="n">
        <f aca="false">IFERROR(__xludf.dummyfunction("""COMPUTED_VALUE"""),47.37)</f>
        <v>47.37</v>
      </c>
      <c r="F105" s="2" t="n">
        <f aca="false">IFERROR(__xludf.dummyfunction("""COMPUTED_VALUE"""),1328640)</f>
        <v>1328640</v>
      </c>
    </row>
    <row r="106" customFormat="false" ht="15.75" hidden="false" customHeight="false" outlineLevel="0" collapsed="false">
      <c r="A106" s="3" t="n">
        <f aca="false">IFERROR(__xludf.dummyfunction("""COMPUTED_VALUE"""),44350.6666666667)</f>
        <v>44350.6666666667</v>
      </c>
      <c r="B106" s="2" t="n">
        <f aca="false">IFERROR(__xludf.dummyfunction("""COMPUTED_VALUE"""),46.88)</f>
        <v>46.88</v>
      </c>
      <c r="C106" s="2" t="n">
        <f aca="false">IFERROR(__xludf.dummyfunction("""COMPUTED_VALUE"""),46.98)</f>
        <v>46.98</v>
      </c>
      <c r="D106" s="2" t="n">
        <f aca="false">IFERROR(__xludf.dummyfunction("""COMPUTED_VALUE"""),46.33)</f>
        <v>46.33</v>
      </c>
      <c r="E106" s="2" t="n">
        <f aca="false">IFERROR(__xludf.dummyfunction("""COMPUTED_VALUE"""),46.48)</f>
        <v>46.48</v>
      </c>
      <c r="F106" s="2" t="n">
        <f aca="false">IFERROR(__xludf.dummyfunction("""COMPUTED_VALUE"""),2038896)</f>
        <v>2038896</v>
      </c>
    </row>
    <row r="107" customFormat="false" ht="15.75" hidden="false" customHeight="false" outlineLevel="0" collapsed="false">
      <c r="A107" s="3" t="n">
        <f aca="false">IFERROR(__xludf.dummyfunction("""COMPUTED_VALUE"""),44351.6666666667)</f>
        <v>44351.6666666667</v>
      </c>
      <c r="B107" s="2" t="n">
        <f aca="false">IFERROR(__xludf.dummyfunction("""COMPUTED_VALUE"""),47.05)</f>
        <v>47.05</v>
      </c>
      <c r="C107" s="2" t="n">
        <f aca="false">IFERROR(__xludf.dummyfunction("""COMPUTED_VALUE"""),47.84)</f>
        <v>47.84</v>
      </c>
      <c r="D107" s="2" t="n">
        <f aca="false">IFERROR(__xludf.dummyfunction("""COMPUTED_VALUE"""),46.95)</f>
        <v>46.95</v>
      </c>
      <c r="E107" s="2" t="n">
        <f aca="false">IFERROR(__xludf.dummyfunction("""COMPUTED_VALUE"""),47.5)</f>
        <v>47.5</v>
      </c>
      <c r="F107" s="2" t="n">
        <f aca="false">IFERROR(__xludf.dummyfunction("""COMPUTED_VALUE"""),2386716)</f>
        <v>2386716</v>
      </c>
    </row>
    <row r="108" customFormat="false" ht="15.75" hidden="false" customHeight="false" outlineLevel="0" collapsed="false">
      <c r="A108" s="3" t="n">
        <f aca="false">IFERROR(__xludf.dummyfunction("""COMPUTED_VALUE"""),44354.6666666667)</f>
        <v>44354.6666666667</v>
      </c>
      <c r="B108" s="2" t="n">
        <f aca="false">IFERROR(__xludf.dummyfunction("""COMPUTED_VALUE"""),47.3)</f>
        <v>47.3</v>
      </c>
      <c r="C108" s="2" t="n">
        <f aca="false">IFERROR(__xludf.dummyfunction("""COMPUTED_VALUE"""),47.45)</f>
        <v>47.45</v>
      </c>
      <c r="D108" s="2" t="n">
        <f aca="false">IFERROR(__xludf.dummyfunction("""COMPUTED_VALUE"""),46.25)</f>
        <v>46.25</v>
      </c>
      <c r="E108" s="2" t="n">
        <f aca="false">IFERROR(__xludf.dummyfunction("""COMPUTED_VALUE"""),46.38)</f>
        <v>46.38</v>
      </c>
      <c r="F108" s="2" t="n">
        <f aca="false">IFERROR(__xludf.dummyfunction("""COMPUTED_VALUE"""),2414160)</f>
        <v>2414160</v>
      </c>
    </row>
    <row r="109" customFormat="false" ht="15.75" hidden="false" customHeight="false" outlineLevel="0" collapsed="false">
      <c r="A109" s="3" t="n">
        <f aca="false">IFERROR(__xludf.dummyfunction("""COMPUTED_VALUE"""),44355.6666666667)</f>
        <v>44355.6666666667</v>
      </c>
      <c r="B109" s="2" t="n">
        <f aca="false">IFERROR(__xludf.dummyfunction("""COMPUTED_VALUE"""),46.81)</f>
        <v>46.81</v>
      </c>
      <c r="C109" s="2" t="n">
        <f aca="false">IFERROR(__xludf.dummyfunction("""COMPUTED_VALUE"""),47.24)</f>
        <v>47.24</v>
      </c>
      <c r="D109" s="2" t="n">
        <f aca="false">IFERROR(__xludf.dummyfunction("""COMPUTED_VALUE"""),46.35)</f>
        <v>46.35</v>
      </c>
      <c r="E109" s="2" t="n">
        <f aca="false">IFERROR(__xludf.dummyfunction("""COMPUTED_VALUE"""),46.35)</f>
        <v>46.35</v>
      </c>
      <c r="F109" s="2" t="n">
        <f aca="false">IFERROR(__xludf.dummyfunction("""COMPUTED_VALUE"""),1661565)</f>
        <v>1661565</v>
      </c>
    </row>
    <row r="110" customFormat="false" ht="15.75" hidden="false" customHeight="false" outlineLevel="0" collapsed="false">
      <c r="A110" s="3" t="n">
        <f aca="false">IFERROR(__xludf.dummyfunction("""COMPUTED_VALUE"""),44356.6666666667)</f>
        <v>44356.6666666667</v>
      </c>
      <c r="B110" s="2" t="n">
        <f aca="false">IFERROR(__xludf.dummyfunction("""COMPUTED_VALUE"""),46.72)</f>
        <v>46.72</v>
      </c>
      <c r="C110" s="2" t="n">
        <f aca="false">IFERROR(__xludf.dummyfunction("""COMPUTED_VALUE"""),46.72)</f>
        <v>46.72</v>
      </c>
      <c r="D110" s="2" t="n">
        <f aca="false">IFERROR(__xludf.dummyfunction("""COMPUTED_VALUE"""),46.17)</f>
        <v>46.17</v>
      </c>
      <c r="E110" s="2" t="n">
        <f aca="false">IFERROR(__xludf.dummyfunction("""COMPUTED_VALUE"""),46.39)</f>
        <v>46.39</v>
      </c>
      <c r="F110" s="2" t="n">
        <f aca="false">IFERROR(__xludf.dummyfunction("""COMPUTED_VALUE"""),1212781)</f>
        <v>1212781</v>
      </c>
    </row>
    <row r="111" customFormat="false" ht="15.75" hidden="false" customHeight="false" outlineLevel="0" collapsed="false">
      <c r="A111" s="3" t="n">
        <f aca="false">IFERROR(__xludf.dummyfunction("""COMPUTED_VALUE"""),44357.6666666667)</f>
        <v>44357.6666666667</v>
      </c>
      <c r="B111" s="2" t="n">
        <f aca="false">IFERROR(__xludf.dummyfunction("""COMPUTED_VALUE"""),46.55)</f>
        <v>46.55</v>
      </c>
      <c r="C111" s="2" t="n">
        <f aca="false">IFERROR(__xludf.dummyfunction("""COMPUTED_VALUE"""),46.95)</f>
        <v>46.95</v>
      </c>
      <c r="D111" s="2" t="n">
        <f aca="false">IFERROR(__xludf.dummyfunction("""COMPUTED_VALUE"""),46.02)</f>
        <v>46.02</v>
      </c>
      <c r="E111" s="2" t="n">
        <f aca="false">IFERROR(__xludf.dummyfunction("""COMPUTED_VALUE"""),46.87)</f>
        <v>46.87</v>
      </c>
      <c r="F111" s="2" t="n">
        <f aca="false">IFERROR(__xludf.dummyfunction("""COMPUTED_VALUE"""),1541504)</f>
        <v>1541504</v>
      </c>
    </row>
    <row r="112" customFormat="false" ht="15.75" hidden="false" customHeight="false" outlineLevel="0" collapsed="false">
      <c r="A112" s="3" t="n">
        <f aca="false">IFERROR(__xludf.dummyfunction("""COMPUTED_VALUE"""),44358.6666666667)</f>
        <v>44358.6666666667</v>
      </c>
      <c r="B112" s="2" t="n">
        <f aca="false">IFERROR(__xludf.dummyfunction("""COMPUTED_VALUE"""),46.84)</f>
        <v>46.84</v>
      </c>
      <c r="C112" s="2" t="n">
        <f aca="false">IFERROR(__xludf.dummyfunction("""COMPUTED_VALUE"""),47.21)</f>
        <v>47.21</v>
      </c>
      <c r="D112" s="2" t="n">
        <f aca="false">IFERROR(__xludf.dummyfunction("""COMPUTED_VALUE"""),46.71)</f>
        <v>46.71</v>
      </c>
      <c r="E112" s="2" t="n">
        <f aca="false">IFERROR(__xludf.dummyfunction("""COMPUTED_VALUE"""),47.07)</f>
        <v>47.07</v>
      </c>
      <c r="F112" s="2" t="n">
        <f aca="false">IFERROR(__xludf.dummyfunction("""COMPUTED_VALUE"""),1450840)</f>
        <v>1450840</v>
      </c>
    </row>
    <row r="113" customFormat="false" ht="15.75" hidden="false" customHeight="false" outlineLevel="0" collapsed="false">
      <c r="A113" s="3" t="n">
        <f aca="false">IFERROR(__xludf.dummyfunction("""COMPUTED_VALUE"""),44361.6666666667)</f>
        <v>44361.6666666667</v>
      </c>
      <c r="B113" s="2" t="n">
        <f aca="false">IFERROR(__xludf.dummyfunction("""COMPUTED_VALUE"""),47.05)</f>
        <v>47.05</v>
      </c>
      <c r="C113" s="2" t="n">
        <f aca="false">IFERROR(__xludf.dummyfunction("""COMPUTED_VALUE"""),47.59)</f>
        <v>47.59</v>
      </c>
      <c r="D113" s="2" t="n">
        <f aca="false">IFERROR(__xludf.dummyfunction("""COMPUTED_VALUE"""),46.61)</f>
        <v>46.61</v>
      </c>
      <c r="E113" s="2" t="n">
        <f aca="false">IFERROR(__xludf.dummyfunction("""COMPUTED_VALUE"""),47.58)</f>
        <v>47.58</v>
      </c>
      <c r="F113" s="2" t="n">
        <f aca="false">IFERROR(__xludf.dummyfunction("""COMPUTED_VALUE"""),1467617)</f>
        <v>1467617</v>
      </c>
    </row>
    <row r="114" customFormat="false" ht="15.75" hidden="false" customHeight="false" outlineLevel="0" collapsed="false">
      <c r="A114" s="3" t="n">
        <f aca="false">IFERROR(__xludf.dummyfunction("""COMPUTED_VALUE"""),44362.6666666667)</f>
        <v>44362.6666666667</v>
      </c>
      <c r="B114" s="2" t="n">
        <f aca="false">IFERROR(__xludf.dummyfunction("""COMPUTED_VALUE"""),47.66)</f>
        <v>47.66</v>
      </c>
      <c r="C114" s="2" t="n">
        <f aca="false">IFERROR(__xludf.dummyfunction("""COMPUTED_VALUE"""),47.66)</f>
        <v>47.66</v>
      </c>
      <c r="D114" s="2" t="n">
        <f aca="false">IFERROR(__xludf.dummyfunction("""COMPUTED_VALUE"""),46.86)</f>
        <v>46.86</v>
      </c>
      <c r="E114" s="2" t="n">
        <f aca="false">IFERROR(__xludf.dummyfunction("""COMPUTED_VALUE"""),47.07)</f>
        <v>47.07</v>
      </c>
      <c r="F114" s="2" t="n">
        <f aca="false">IFERROR(__xludf.dummyfunction("""COMPUTED_VALUE"""),1113122)</f>
        <v>1113122</v>
      </c>
    </row>
    <row r="115" customFormat="false" ht="15.75" hidden="false" customHeight="false" outlineLevel="0" collapsed="false">
      <c r="A115" s="3" t="n">
        <f aca="false">IFERROR(__xludf.dummyfunction("""COMPUTED_VALUE"""),44363.6666666667)</f>
        <v>44363.6666666667</v>
      </c>
      <c r="B115" s="2" t="n">
        <f aca="false">IFERROR(__xludf.dummyfunction("""COMPUTED_VALUE"""),47.03)</f>
        <v>47.03</v>
      </c>
      <c r="C115" s="2" t="n">
        <f aca="false">IFERROR(__xludf.dummyfunction("""COMPUTED_VALUE"""),47.11)</f>
        <v>47.11</v>
      </c>
      <c r="D115" s="2" t="n">
        <f aca="false">IFERROR(__xludf.dummyfunction("""COMPUTED_VALUE"""),46.15)</f>
        <v>46.15</v>
      </c>
      <c r="E115" s="2" t="n">
        <f aca="false">IFERROR(__xludf.dummyfunction("""COMPUTED_VALUE"""),46.58)</f>
        <v>46.58</v>
      </c>
      <c r="F115" s="2" t="n">
        <f aca="false">IFERROR(__xludf.dummyfunction("""COMPUTED_VALUE"""),2043803)</f>
        <v>2043803</v>
      </c>
    </row>
    <row r="116" customFormat="false" ht="15.75" hidden="false" customHeight="false" outlineLevel="0" collapsed="false">
      <c r="A116" s="3" t="n">
        <f aca="false">IFERROR(__xludf.dummyfunction("""COMPUTED_VALUE"""),44364.6666666667)</f>
        <v>44364.6666666667</v>
      </c>
      <c r="B116" s="2" t="n">
        <f aca="false">IFERROR(__xludf.dummyfunction("""COMPUTED_VALUE"""),46.49)</f>
        <v>46.49</v>
      </c>
      <c r="C116" s="2" t="n">
        <f aca="false">IFERROR(__xludf.dummyfunction("""COMPUTED_VALUE"""),47.52)</f>
        <v>47.52</v>
      </c>
      <c r="D116" s="2" t="n">
        <f aca="false">IFERROR(__xludf.dummyfunction("""COMPUTED_VALUE"""),46.39)</f>
        <v>46.39</v>
      </c>
      <c r="E116" s="2" t="n">
        <f aca="false">IFERROR(__xludf.dummyfunction("""COMPUTED_VALUE"""),47.12)</f>
        <v>47.12</v>
      </c>
      <c r="F116" s="2" t="n">
        <f aca="false">IFERROR(__xludf.dummyfunction("""COMPUTED_VALUE"""),2088079)</f>
        <v>2088079</v>
      </c>
    </row>
    <row r="117" customFormat="false" ht="15.75" hidden="false" customHeight="false" outlineLevel="0" collapsed="false">
      <c r="A117" s="3" t="n">
        <f aca="false">IFERROR(__xludf.dummyfunction("""COMPUTED_VALUE"""),44365.6666666667)</f>
        <v>44365.6666666667</v>
      </c>
      <c r="B117" s="2" t="n">
        <f aca="false">IFERROR(__xludf.dummyfunction("""COMPUTED_VALUE"""),46.73)</f>
        <v>46.73</v>
      </c>
      <c r="C117" s="2" t="n">
        <f aca="false">IFERROR(__xludf.dummyfunction("""COMPUTED_VALUE"""),46.98)</f>
        <v>46.98</v>
      </c>
      <c r="D117" s="2" t="n">
        <f aca="false">IFERROR(__xludf.dummyfunction("""COMPUTED_VALUE"""),46.05)</f>
        <v>46.05</v>
      </c>
      <c r="E117" s="2" t="n">
        <f aca="false">IFERROR(__xludf.dummyfunction("""COMPUTED_VALUE"""),46.35)</f>
        <v>46.35</v>
      </c>
      <c r="F117" s="2" t="n">
        <f aca="false">IFERROR(__xludf.dummyfunction("""COMPUTED_VALUE"""),2853689)</f>
        <v>2853689</v>
      </c>
    </row>
    <row r="118" customFormat="false" ht="15.75" hidden="false" customHeight="false" outlineLevel="0" collapsed="false">
      <c r="A118" s="3" t="n">
        <f aca="false">IFERROR(__xludf.dummyfunction("""COMPUTED_VALUE"""),44368.6666666667)</f>
        <v>44368.6666666667</v>
      </c>
      <c r="B118" s="2" t="n">
        <f aca="false">IFERROR(__xludf.dummyfunction("""COMPUTED_VALUE"""),46.12)</f>
        <v>46.12</v>
      </c>
      <c r="C118" s="2" t="n">
        <f aca="false">IFERROR(__xludf.dummyfunction("""COMPUTED_VALUE"""),46.54)</f>
        <v>46.54</v>
      </c>
      <c r="D118" s="2" t="n">
        <f aca="false">IFERROR(__xludf.dummyfunction("""COMPUTED_VALUE"""),45.84)</f>
        <v>45.84</v>
      </c>
      <c r="E118" s="2" t="n">
        <f aca="false">IFERROR(__xludf.dummyfunction("""COMPUTED_VALUE"""),46.46)</f>
        <v>46.46</v>
      </c>
      <c r="F118" s="2" t="n">
        <f aca="false">IFERROR(__xludf.dummyfunction("""COMPUTED_VALUE"""),1859179)</f>
        <v>1859179</v>
      </c>
    </row>
    <row r="119" customFormat="false" ht="15.75" hidden="false" customHeight="false" outlineLevel="0" collapsed="false">
      <c r="A119" s="3" t="n">
        <f aca="false">IFERROR(__xludf.dummyfunction("""COMPUTED_VALUE"""),44369.6666666667)</f>
        <v>44369.6666666667</v>
      </c>
      <c r="B119" s="2" t="n">
        <f aca="false">IFERROR(__xludf.dummyfunction("""COMPUTED_VALUE"""),46.66)</f>
        <v>46.66</v>
      </c>
      <c r="C119" s="2" t="n">
        <f aca="false">IFERROR(__xludf.dummyfunction("""COMPUTED_VALUE"""),46.86)</f>
        <v>46.86</v>
      </c>
      <c r="D119" s="2" t="n">
        <f aca="false">IFERROR(__xludf.dummyfunction("""COMPUTED_VALUE"""),46.13)</f>
        <v>46.13</v>
      </c>
      <c r="E119" s="2" t="n">
        <f aca="false">IFERROR(__xludf.dummyfunction("""COMPUTED_VALUE"""),46.45)</f>
        <v>46.45</v>
      </c>
      <c r="F119" s="2" t="n">
        <f aca="false">IFERROR(__xludf.dummyfunction("""COMPUTED_VALUE"""),1372197)</f>
        <v>1372197</v>
      </c>
    </row>
    <row r="120" customFormat="false" ht="15.75" hidden="false" customHeight="false" outlineLevel="0" collapsed="false">
      <c r="A120" s="3" t="n">
        <f aca="false">IFERROR(__xludf.dummyfunction("""COMPUTED_VALUE"""),44370.6666666667)</f>
        <v>44370.6666666667</v>
      </c>
      <c r="B120" s="2" t="n">
        <f aca="false">IFERROR(__xludf.dummyfunction("""COMPUTED_VALUE"""),46.39)</f>
        <v>46.39</v>
      </c>
      <c r="C120" s="2" t="n">
        <f aca="false">IFERROR(__xludf.dummyfunction("""COMPUTED_VALUE"""),46.79)</f>
        <v>46.79</v>
      </c>
      <c r="D120" s="2" t="n">
        <f aca="false">IFERROR(__xludf.dummyfunction("""COMPUTED_VALUE"""),46.3)</f>
        <v>46.3</v>
      </c>
      <c r="E120" s="2" t="n">
        <f aca="false">IFERROR(__xludf.dummyfunction("""COMPUTED_VALUE"""),46.67)</f>
        <v>46.67</v>
      </c>
      <c r="F120" s="2" t="n">
        <f aca="false">IFERROR(__xludf.dummyfunction("""COMPUTED_VALUE"""),1767412)</f>
        <v>1767412</v>
      </c>
    </row>
    <row r="121" customFormat="false" ht="15.75" hidden="false" customHeight="false" outlineLevel="0" collapsed="false">
      <c r="A121" s="3" t="n">
        <f aca="false">IFERROR(__xludf.dummyfunction("""COMPUTED_VALUE"""),44371.6666666667)</f>
        <v>44371.6666666667</v>
      </c>
      <c r="B121" s="2" t="n">
        <f aca="false">IFERROR(__xludf.dummyfunction("""COMPUTED_VALUE"""),46.99)</f>
        <v>46.99</v>
      </c>
      <c r="C121" s="2" t="n">
        <f aca="false">IFERROR(__xludf.dummyfunction("""COMPUTED_VALUE"""),47.37)</f>
        <v>47.37</v>
      </c>
      <c r="D121" s="2" t="n">
        <f aca="false">IFERROR(__xludf.dummyfunction("""COMPUTED_VALUE"""),46.86)</f>
        <v>46.86</v>
      </c>
      <c r="E121" s="2" t="n">
        <f aca="false">IFERROR(__xludf.dummyfunction("""COMPUTED_VALUE"""),47.01)</f>
        <v>47.01</v>
      </c>
      <c r="F121" s="2" t="n">
        <f aca="false">IFERROR(__xludf.dummyfunction("""COMPUTED_VALUE"""),1250272)</f>
        <v>1250272</v>
      </c>
    </row>
    <row r="122" customFormat="false" ht="15.75" hidden="false" customHeight="false" outlineLevel="0" collapsed="false">
      <c r="A122" s="3" t="n">
        <f aca="false">IFERROR(__xludf.dummyfunction("""COMPUTED_VALUE"""),44372.6666666667)</f>
        <v>44372.6666666667</v>
      </c>
      <c r="B122" s="2" t="n">
        <f aca="false">IFERROR(__xludf.dummyfunction("""COMPUTED_VALUE"""),47.14)</f>
        <v>47.14</v>
      </c>
      <c r="C122" s="2" t="n">
        <f aca="false">IFERROR(__xludf.dummyfunction("""COMPUTED_VALUE"""),47.25)</f>
        <v>47.25</v>
      </c>
      <c r="D122" s="2" t="n">
        <f aca="false">IFERROR(__xludf.dummyfunction("""COMPUTED_VALUE"""),46)</f>
        <v>46</v>
      </c>
      <c r="E122" s="2" t="n">
        <f aca="false">IFERROR(__xludf.dummyfunction("""COMPUTED_VALUE"""),46.22)</f>
        <v>46.22</v>
      </c>
      <c r="F122" s="2" t="n">
        <f aca="false">IFERROR(__xludf.dummyfunction("""COMPUTED_VALUE"""),1909957)</f>
        <v>1909957</v>
      </c>
    </row>
    <row r="123" customFormat="false" ht="15.75" hidden="false" customHeight="false" outlineLevel="0" collapsed="false">
      <c r="A123" s="3" t="n">
        <f aca="false">IFERROR(__xludf.dummyfunction("""COMPUTED_VALUE"""),44375.6666666667)</f>
        <v>44375.6666666667</v>
      </c>
      <c r="B123" s="2" t="n">
        <f aca="false">IFERROR(__xludf.dummyfunction("""COMPUTED_VALUE"""),46.6)</f>
        <v>46.6</v>
      </c>
      <c r="C123" s="2" t="n">
        <f aca="false">IFERROR(__xludf.dummyfunction("""COMPUTED_VALUE"""),47.63)</f>
        <v>47.63</v>
      </c>
      <c r="D123" s="2" t="n">
        <f aca="false">IFERROR(__xludf.dummyfunction("""COMPUTED_VALUE"""),46.55)</f>
        <v>46.55</v>
      </c>
      <c r="E123" s="2" t="n">
        <f aca="false">IFERROR(__xludf.dummyfunction("""COMPUTED_VALUE"""),47.28)</f>
        <v>47.28</v>
      </c>
      <c r="F123" s="2" t="n">
        <f aca="false">IFERROR(__xludf.dummyfunction("""COMPUTED_VALUE"""),1398674)</f>
        <v>1398674</v>
      </c>
    </row>
    <row r="124" customFormat="false" ht="15.75" hidden="false" customHeight="false" outlineLevel="0" collapsed="false">
      <c r="A124" s="3" t="n">
        <f aca="false">IFERROR(__xludf.dummyfunction("""COMPUTED_VALUE"""),44376.6666666667)</f>
        <v>44376.6666666667</v>
      </c>
      <c r="B124" s="2" t="n">
        <f aca="false">IFERROR(__xludf.dummyfunction("""COMPUTED_VALUE"""),47.24)</f>
        <v>47.24</v>
      </c>
      <c r="C124" s="2" t="n">
        <f aca="false">IFERROR(__xludf.dummyfunction("""COMPUTED_VALUE"""),47.73)</f>
        <v>47.73</v>
      </c>
      <c r="D124" s="2" t="n">
        <f aca="false">IFERROR(__xludf.dummyfunction("""COMPUTED_VALUE"""),47.07)</f>
        <v>47.07</v>
      </c>
      <c r="E124" s="2" t="n">
        <f aca="false">IFERROR(__xludf.dummyfunction("""COMPUTED_VALUE"""),47.72)</f>
        <v>47.72</v>
      </c>
      <c r="F124" s="2" t="n">
        <f aca="false">IFERROR(__xludf.dummyfunction("""COMPUTED_VALUE"""),1418430)</f>
        <v>1418430</v>
      </c>
    </row>
    <row r="125" customFormat="false" ht="15.75" hidden="false" customHeight="false" outlineLevel="0" collapsed="false">
      <c r="A125" s="3" t="n">
        <f aca="false">IFERROR(__xludf.dummyfunction("""COMPUTED_VALUE"""),44377.6666666667)</f>
        <v>44377.6666666667</v>
      </c>
      <c r="B125" s="2" t="n">
        <f aca="false">IFERROR(__xludf.dummyfunction("""COMPUTED_VALUE"""),47.81)</f>
        <v>47.81</v>
      </c>
      <c r="C125" s="2" t="n">
        <f aca="false">IFERROR(__xludf.dummyfunction("""COMPUTED_VALUE"""),47.86)</f>
        <v>47.86</v>
      </c>
      <c r="D125" s="2" t="n">
        <f aca="false">IFERROR(__xludf.dummyfunction("""COMPUTED_VALUE"""),47.25)</f>
        <v>47.25</v>
      </c>
      <c r="E125" s="2" t="n">
        <f aca="false">IFERROR(__xludf.dummyfunction("""COMPUTED_VALUE"""),47.68)</f>
        <v>47.68</v>
      </c>
      <c r="F125" s="2" t="n">
        <f aca="false">IFERROR(__xludf.dummyfunction("""COMPUTED_VALUE"""),1538268)</f>
        <v>1538268</v>
      </c>
    </row>
    <row r="126" customFormat="false" ht="15.75" hidden="false" customHeight="false" outlineLevel="0" collapsed="false">
      <c r="A126" s="3" t="n">
        <f aca="false">IFERROR(__xludf.dummyfunction("""COMPUTED_VALUE"""),44378.6666666667)</f>
        <v>44378.6666666667</v>
      </c>
      <c r="B126" s="2" t="n">
        <f aca="false">IFERROR(__xludf.dummyfunction("""COMPUTED_VALUE"""),47.78)</f>
        <v>47.78</v>
      </c>
      <c r="C126" s="2" t="n">
        <f aca="false">IFERROR(__xludf.dummyfunction("""COMPUTED_VALUE"""),47.78)</f>
        <v>47.78</v>
      </c>
      <c r="D126" s="2" t="n">
        <f aca="false">IFERROR(__xludf.dummyfunction("""COMPUTED_VALUE"""),46.89)</f>
        <v>46.89</v>
      </c>
      <c r="E126" s="2" t="n">
        <f aca="false">IFERROR(__xludf.dummyfunction("""COMPUTED_VALUE"""),46.96)</f>
        <v>46.96</v>
      </c>
      <c r="F126" s="2" t="n">
        <f aca="false">IFERROR(__xludf.dummyfunction("""COMPUTED_VALUE"""),1115374)</f>
        <v>1115374</v>
      </c>
    </row>
    <row r="127" customFormat="false" ht="15.75" hidden="false" customHeight="false" outlineLevel="0" collapsed="false">
      <c r="A127" s="3" t="n">
        <f aca="false">IFERROR(__xludf.dummyfunction("""COMPUTED_VALUE"""),44379.6666666667)</f>
        <v>44379.6666666667</v>
      </c>
      <c r="B127" s="2" t="n">
        <f aca="false">IFERROR(__xludf.dummyfunction("""COMPUTED_VALUE"""),47.68)</f>
        <v>47.68</v>
      </c>
      <c r="C127" s="2" t="n">
        <f aca="false">IFERROR(__xludf.dummyfunction("""COMPUTED_VALUE"""),47.86)</f>
        <v>47.86</v>
      </c>
      <c r="D127" s="2" t="n">
        <f aca="false">IFERROR(__xludf.dummyfunction("""COMPUTED_VALUE"""),45.57)</f>
        <v>45.57</v>
      </c>
      <c r="E127" s="2" t="n">
        <f aca="false">IFERROR(__xludf.dummyfunction("""COMPUTED_VALUE"""),46.82)</f>
        <v>46.82</v>
      </c>
      <c r="F127" s="2" t="n">
        <f aca="false">IFERROR(__xludf.dummyfunction("""COMPUTED_VALUE"""),3705859)</f>
        <v>3705859</v>
      </c>
    </row>
    <row r="128" customFormat="false" ht="15.75" hidden="false" customHeight="false" outlineLevel="0" collapsed="false">
      <c r="A128" s="3" t="n">
        <f aca="false">IFERROR(__xludf.dummyfunction("""COMPUTED_VALUE"""),44383.6666666667)</f>
        <v>44383.6666666667</v>
      </c>
      <c r="B128" s="2" t="n">
        <f aca="false">IFERROR(__xludf.dummyfunction("""COMPUTED_VALUE"""),47.04)</f>
        <v>47.04</v>
      </c>
      <c r="C128" s="2" t="n">
        <f aca="false">IFERROR(__xludf.dummyfunction("""COMPUTED_VALUE"""),47.68)</f>
        <v>47.68</v>
      </c>
      <c r="D128" s="2" t="n">
        <f aca="false">IFERROR(__xludf.dummyfunction("""COMPUTED_VALUE"""),46.83)</f>
        <v>46.83</v>
      </c>
      <c r="E128" s="2" t="n">
        <f aca="false">IFERROR(__xludf.dummyfunction("""COMPUTED_VALUE"""),47.33)</f>
        <v>47.33</v>
      </c>
      <c r="F128" s="2" t="n">
        <f aca="false">IFERROR(__xludf.dummyfunction("""COMPUTED_VALUE"""),1387136)</f>
        <v>1387136</v>
      </c>
    </row>
    <row r="129" customFormat="false" ht="15.75" hidden="false" customHeight="false" outlineLevel="0" collapsed="false">
      <c r="A129" s="3" t="n">
        <f aca="false">IFERROR(__xludf.dummyfunction("""COMPUTED_VALUE"""),44384.6666666667)</f>
        <v>44384.6666666667</v>
      </c>
      <c r="B129" s="2" t="n">
        <f aca="false">IFERROR(__xludf.dummyfunction("""COMPUTED_VALUE"""),47.5)</f>
        <v>47.5</v>
      </c>
      <c r="C129" s="2" t="n">
        <f aca="false">IFERROR(__xludf.dummyfunction("""COMPUTED_VALUE"""),47.54)</f>
        <v>47.54</v>
      </c>
      <c r="D129" s="2" t="n">
        <f aca="false">IFERROR(__xludf.dummyfunction("""COMPUTED_VALUE"""),46.64)</f>
        <v>46.64</v>
      </c>
      <c r="E129" s="2" t="n">
        <f aca="false">IFERROR(__xludf.dummyfunction("""COMPUTED_VALUE"""),46.95)</f>
        <v>46.95</v>
      </c>
      <c r="F129" s="2" t="n">
        <f aca="false">IFERROR(__xludf.dummyfunction("""COMPUTED_VALUE"""),1258175)</f>
        <v>1258175</v>
      </c>
    </row>
    <row r="130" customFormat="false" ht="15.75" hidden="false" customHeight="false" outlineLevel="0" collapsed="false">
      <c r="A130" s="3" t="n">
        <f aca="false">IFERROR(__xludf.dummyfunction("""COMPUTED_VALUE"""),44385.6666666667)</f>
        <v>44385.6666666667</v>
      </c>
      <c r="B130" s="2" t="n">
        <f aca="false">IFERROR(__xludf.dummyfunction("""COMPUTED_VALUE"""),46.44)</f>
        <v>46.44</v>
      </c>
      <c r="C130" s="2" t="n">
        <f aca="false">IFERROR(__xludf.dummyfunction("""COMPUTED_VALUE"""),47.11)</f>
        <v>47.11</v>
      </c>
      <c r="D130" s="2" t="n">
        <f aca="false">IFERROR(__xludf.dummyfunction("""COMPUTED_VALUE"""),46.16)</f>
        <v>46.16</v>
      </c>
      <c r="E130" s="2" t="n">
        <f aca="false">IFERROR(__xludf.dummyfunction("""COMPUTED_VALUE"""),47.05)</f>
        <v>47.05</v>
      </c>
      <c r="F130" s="2" t="n">
        <f aca="false">IFERROR(__xludf.dummyfunction("""COMPUTED_VALUE"""),1601160)</f>
        <v>1601160</v>
      </c>
    </row>
    <row r="131" customFormat="false" ht="15.75" hidden="false" customHeight="false" outlineLevel="0" collapsed="false">
      <c r="A131" s="3" t="n">
        <f aca="false">IFERROR(__xludf.dummyfunction("""COMPUTED_VALUE"""),44386.6666666667)</f>
        <v>44386.6666666667</v>
      </c>
      <c r="B131" s="2" t="n">
        <f aca="false">IFERROR(__xludf.dummyfunction("""COMPUTED_VALUE"""),46.96)</f>
        <v>46.96</v>
      </c>
      <c r="C131" s="2" t="n">
        <f aca="false">IFERROR(__xludf.dummyfunction("""COMPUTED_VALUE"""),48.09)</f>
        <v>48.09</v>
      </c>
      <c r="D131" s="2" t="n">
        <f aca="false">IFERROR(__xludf.dummyfunction("""COMPUTED_VALUE"""),46.8)</f>
        <v>46.8</v>
      </c>
      <c r="E131" s="2" t="n">
        <f aca="false">IFERROR(__xludf.dummyfunction("""COMPUTED_VALUE"""),48.02)</f>
        <v>48.02</v>
      </c>
      <c r="F131" s="2" t="n">
        <f aca="false">IFERROR(__xludf.dummyfunction("""COMPUTED_VALUE"""),1678344)</f>
        <v>1678344</v>
      </c>
    </row>
    <row r="132" customFormat="false" ht="15.75" hidden="false" customHeight="false" outlineLevel="0" collapsed="false">
      <c r="A132" s="3" t="n">
        <f aca="false">IFERROR(__xludf.dummyfunction("""COMPUTED_VALUE"""),44389.6666666667)</f>
        <v>44389.6666666667</v>
      </c>
      <c r="B132" s="2" t="n">
        <f aca="false">IFERROR(__xludf.dummyfunction("""COMPUTED_VALUE"""),48.13)</f>
        <v>48.13</v>
      </c>
      <c r="C132" s="2" t="n">
        <f aca="false">IFERROR(__xludf.dummyfunction("""COMPUTED_VALUE"""),49.4)</f>
        <v>49.4</v>
      </c>
      <c r="D132" s="2" t="n">
        <f aca="false">IFERROR(__xludf.dummyfunction("""COMPUTED_VALUE"""),47.33)</f>
        <v>47.33</v>
      </c>
      <c r="E132" s="2" t="n">
        <f aca="false">IFERROR(__xludf.dummyfunction("""COMPUTED_VALUE"""),48.58)</f>
        <v>48.58</v>
      </c>
      <c r="F132" s="2" t="n">
        <f aca="false">IFERROR(__xludf.dummyfunction("""COMPUTED_VALUE"""),3314161)</f>
        <v>3314161</v>
      </c>
    </row>
    <row r="133" customFormat="false" ht="15.75" hidden="false" customHeight="false" outlineLevel="0" collapsed="false">
      <c r="A133" s="3" t="n">
        <f aca="false">IFERROR(__xludf.dummyfunction("""COMPUTED_VALUE"""),44390.6666666667)</f>
        <v>44390.6666666667</v>
      </c>
      <c r="B133" s="2" t="n">
        <f aca="false">IFERROR(__xludf.dummyfunction("""COMPUTED_VALUE"""),48.53)</f>
        <v>48.53</v>
      </c>
      <c r="C133" s="2" t="n">
        <f aca="false">IFERROR(__xludf.dummyfunction("""COMPUTED_VALUE"""),48.75)</f>
        <v>48.75</v>
      </c>
      <c r="D133" s="2" t="n">
        <f aca="false">IFERROR(__xludf.dummyfunction("""COMPUTED_VALUE"""),48.2)</f>
        <v>48.2</v>
      </c>
      <c r="E133" s="2" t="n">
        <f aca="false">IFERROR(__xludf.dummyfunction("""COMPUTED_VALUE"""),48.4)</f>
        <v>48.4</v>
      </c>
      <c r="F133" s="2" t="n">
        <f aca="false">IFERROR(__xludf.dummyfunction("""COMPUTED_VALUE"""),1180646)</f>
        <v>1180646</v>
      </c>
    </row>
    <row r="134" customFormat="false" ht="15.75" hidden="false" customHeight="false" outlineLevel="0" collapsed="false">
      <c r="A134" s="3" t="n">
        <f aca="false">IFERROR(__xludf.dummyfunction("""COMPUTED_VALUE"""),44391.6666666667)</f>
        <v>44391.6666666667</v>
      </c>
      <c r="B134" s="2" t="n">
        <f aca="false">IFERROR(__xludf.dummyfunction("""COMPUTED_VALUE"""),48.92)</f>
        <v>48.92</v>
      </c>
      <c r="C134" s="2" t="n">
        <f aca="false">IFERROR(__xludf.dummyfunction("""COMPUTED_VALUE"""),49.2)</f>
        <v>49.2</v>
      </c>
      <c r="D134" s="2" t="n">
        <f aca="false">IFERROR(__xludf.dummyfunction("""COMPUTED_VALUE"""),48.07)</f>
        <v>48.07</v>
      </c>
      <c r="E134" s="2" t="n">
        <f aca="false">IFERROR(__xludf.dummyfunction("""COMPUTED_VALUE"""),48.16)</f>
        <v>48.16</v>
      </c>
      <c r="F134" s="2" t="n">
        <f aca="false">IFERROR(__xludf.dummyfunction("""COMPUTED_VALUE"""),1401987)</f>
        <v>1401987</v>
      </c>
    </row>
    <row r="135" customFormat="false" ht="15.75" hidden="false" customHeight="false" outlineLevel="0" collapsed="false">
      <c r="A135" s="3" t="n">
        <f aca="false">IFERROR(__xludf.dummyfunction("""COMPUTED_VALUE"""),44392.6666666667)</f>
        <v>44392.6666666667</v>
      </c>
      <c r="B135" s="2" t="n">
        <f aca="false">IFERROR(__xludf.dummyfunction("""COMPUTED_VALUE"""),48.33)</f>
        <v>48.33</v>
      </c>
      <c r="C135" s="2" t="n">
        <f aca="false">IFERROR(__xludf.dummyfunction("""COMPUTED_VALUE"""),48.45)</f>
        <v>48.45</v>
      </c>
      <c r="D135" s="2" t="n">
        <f aca="false">IFERROR(__xludf.dummyfunction("""COMPUTED_VALUE"""),47.31)</f>
        <v>47.31</v>
      </c>
      <c r="E135" s="2" t="n">
        <f aca="false">IFERROR(__xludf.dummyfunction("""COMPUTED_VALUE"""),47.73)</f>
        <v>47.73</v>
      </c>
      <c r="F135" s="2" t="n">
        <f aca="false">IFERROR(__xludf.dummyfunction("""COMPUTED_VALUE"""),1262488)</f>
        <v>1262488</v>
      </c>
    </row>
    <row r="136" customFormat="false" ht="15.75" hidden="false" customHeight="false" outlineLevel="0" collapsed="false">
      <c r="A136" s="3" t="n">
        <f aca="false">IFERROR(__xludf.dummyfunction("""COMPUTED_VALUE"""),44393.6666666667)</f>
        <v>44393.6666666667</v>
      </c>
      <c r="B136" s="2" t="n">
        <f aca="false">IFERROR(__xludf.dummyfunction("""COMPUTED_VALUE"""),47.91)</f>
        <v>47.91</v>
      </c>
      <c r="C136" s="2" t="n">
        <f aca="false">IFERROR(__xludf.dummyfunction("""COMPUTED_VALUE"""),48.03)</f>
        <v>48.03</v>
      </c>
      <c r="D136" s="2" t="n">
        <f aca="false">IFERROR(__xludf.dummyfunction("""COMPUTED_VALUE"""),46.73)</f>
        <v>46.73</v>
      </c>
      <c r="E136" s="2" t="n">
        <f aca="false">IFERROR(__xludf.dummyfunction("""COMPUTED_VALUE"""),46.81)</f>
        <v>46.81</v>
      </c>
      <c r="F136" s="2" t="n">
        <f aca="false">IFERROR(__xludf.dummyfunction("""COMPUTED_VALUE"""),1398147)</f>
        <v>1398147</v>
      </c>
    </row>
    <row r="137" customFormat="false" ht="15.75" hidden="false" customHeight="false" outlineLevel="0" collapsed="false">
      <c r="A137" s="3" t="n">
        <f aca="false">IFERROR(__xludf.dummyfunction("""COMPUTED_VALUE"""),44396.6666666667)</f>
        <v>44396.6666666667</v>
      </c>
      <c r="B137" s="2" t="n">
        <f aca="false">IFERROR(__xludf.dummyfunction("""COMPUTED_VALUE"""),46.35)</f>
        <v>46.35</v>
      </c>
      <c r="C137" s="2" t="n">
        <f aca="false">IFERROR(__xludf.dummyfunction("""COMPUTED_VALUE"""),46.6)</f>
        <v>46.6</v>
      </c>
      <c r="D137" s="2" t="n">
        <f aca="false">IFERROR(__xludf.dummyfunction("""COMPUTED_VALUE"""),45.76)</f>
        <v>45.76</v>
      </c>
      <c r="E137" s="2" t="n">
        <f aca="false">IFERROR(__xludf.dummyfunction("""COMPUTED_VALUE"""),46.57)</f>
        <v>46.57</v>
      </c>
      <c r="F137" s="2" t="n">
        <f aca="false">IFERROR(__xludf.dummyfunction("""COMPUTED_VALUE"""),1493878)</f>
        <v>1493878</v>
      </c>
    </row>
    <row r="138" customFormat="false" ht="15.75" hidden="false" customHeight="false" outlineLevel="0" collapsed="false">
      <c r="A138" s="3" t="n">
        <f aca="false">IFERROR(__xludf.dummyfunction("""COMPUTED_VALUE"""),44397.6666666667)</f>
        <v>44397.6666666667</v>
      </c>
      <c r="B138" s="2" t="n">
        <f aca="false">IFERROR(__xludf.dummyfunction("""COMPUTED_VALUE"""),46.79)</f>
        <v>46.79</v>
      </c>
      <c r="C138" s="2" t="n">
        <f aca="false">IFERROR(__xludf.dummyfunction("""COMPUTED_VALUE"""),47.23)</f>
        <v>47.23</v>
      </c>
      <c r="D138" s="2" t="n">
        <f aca="false">IFERROR(__xludf.dummyfunction("""COMPUTED_VALUE"""),46.33)</f>
        <v>46.33</v>
      </c>
      <c r="E138" s="2" t="n">
        <f aca="false">IFERROR(__xludf.dummyfunction("""COMPUTED_VALUE"""),46.86)</f>
        <v>46.86</v>
      </c>
      <c r="F138" s="2" t="n">
        <f aca="false">IFERROR(__xludf.dummyfunction("""COMPUTED_VALUE"""),2072779)</f>
        <v>2072779</v>
      </c>
    </row>
    <row r="139" customFormat="false" ht="15.75" hidden="false" customHeight="false" outlineLevel="0" collapsed="false">
      <c r="A139" s="3" t="n">
        <f aca="false">IFERROR(__xludf.dummyfunction("""COMPUTED_VALUE"""),44398.6666666667)</f>
        <v>44398.6666666667</v>
      </c>
      <c r="B139" s="2" t="n">
        <f aca="false">IFERROR(__xludf.dummyfunction("""COMPUTED_VALUE"""),46.96)</f>
        <v>46.96</v>
      </c>
      <c r="C139" s="2" t="n">
        <f aca="false">IFERROR(__xludf.dummyfunction("""COMPUTED_VALUE"""),47.93)</f>
        <v>47.93</v>
      </c>
      <c r="D139" s="2" t="n">
        <f aca="false">IFERROR(__xludf.dummyfunction("""COMPUTED_VALUE"""),46.85)</f>
        <v>46.85</v>
      </c>
      <c r="E139" s="2" t="n">
        <f aca="false">IFERROR(__xludf.dummyfunction("""COMPUTED_VALUE"""),47.9)</f>
        <v>47.9</v>
      </c>
      <c r="F139" s="2" t="n">
        <f aca="false">IFERROR(__xludf.dummyfunction("""COMPUTED_VALUE"""),1366068)</f>
        <v>1366068</v>
      </c>
    </row>
    <row r="140" customFormat="false" ht="15.75" hidden="false" customHeight="false" outlineLevel="0" collapsed="false">
      <c r="A140" s="3" t="n">
        <f aca="false">IFERROR(__xludf.dummyfunction("""COMPUTED_VALUE"""),44399.6666666667)</f>
        <v>44399.6666666667</v>
      </c>
      <c r="B140" s="2" t="n">
        <f aca="false">IFERROR(__xludf.dummyfunction("""COMPUTED_VALUE"""),47.66)</f>
        <v>47.66</v>
      </c>
      <c r="C140" s="2" t="n">
        <f aca="false">IFERROR(__xludf.dummyfunction("""COMPUTED_VALUE"""),47.9)</f>
        <v>47.9</v>
      </c>
      <c r="D140" s="2" t="n">
        <f aca="false">IFERROR(__xludf.dummyfunction("""COMPUTED_VALUE"""),47.45)</f>
        <v>47.45</v>
      </c>
      <c r="E140" s="2" t="n">
        <f aca="false">IFERROR(__xludf.dummyfunction("""COMPUTED_VALUE"""),47.63)</f>
        <v>47.63</v>
      </c>
      <c r="F140" s="2" t="n">
        <f aca="false">IFERROR(__xludf.dummyfunction("""COMPUTED_VALUE"""),1258396)</f>
        <v>1258396</v>
      </c>
    </row>
    <row r="141" customFormat="false" ht="15.75" hidden="false" customHeight="false" outlineLevel="0" collapsed="false">
      <c r="A141" s="3" t="n">
        <f aca="false">IFERROR(__xludf.dummyfunction("""COMPUTED_VALUE"""),44400.6666666667)</f>
        <v>44400.6666666667</v>
      </c>
      <c r="B141" s="2" t="n">
        <f aca="false">IFERROR(__xludf.dummyfunction("""COMPUTED_VALUE"""),48)</f>
        <v>48</v>
      </c>
      <c r="C141" s="2" t="n">
        <f aca="false">IFERROR(__xludf.dummyfunction("""COMPUTED_VALUE"""),48.36)</f>
        <v>48.36</v>
      </c>
      <c r="D141" s="2" t="n">
        <f aca="false">IFERROR(__xludf.dummyfunction("""COMPUTED_VALUE"""),47.68)</f>
        <v>47.68</v>
      </c>
      <c r="E141" s="2" t="n">
        <f aca="false">IFERROR(__xludf.dummyfunction("""COMPUTED_VALUE"""),48.32)</f>
        <v>48.32</v>
      </c>
      <c r="F141" s="2" t="n">
        <f aca="false">IFERROR(__xludf.dummyfunction("""COMPUTED_VALUE"""),1348920)</f>
        <v>1348920</v>
      </c>
    </row>
    <row r="142" customFormat="false" ht="15.75" hidden="false" customHeight="false" outlineLevel="0" collapsed="false">
      <c r="A142" s="3" t="n">
        <f aca="false">IFERROR(__xludf.dummyfunction("""COMPUTED_VALUE"""),44403.6666666667)</f>
        <v>44403.6666666667</v>
      </c>
      <c r="B142" s="2" t="n">
        <f aca="false">IFERROR(__xludf.dummyfunction("""COMPUTED_VALUE"""),48.22)</f>
        <v>48.22</v>
      </c>
      <c r="C142" s="2" t="n">
        <f aca="false">IFERROR(__xludf.dummyfunction("""COMPUTED_VALUE"""),48.36)</f>
        <v>48.36</v>
      </c>
      <c r="D142" s="2" t="n">
        <f aca="false">IFERROR(__xludf.dummyfunction("""COMPUTED_VALUE"""),47.97)</f>
        <v>47.97</v>
      </c>
      <c r="E142" s="2" t="n">
        <f aca="false">IFERROR(__xludf.dummyfunction("""COMPUTED_VALUE"""),48.22)</f>
        <v>48.22</v>
      </c>
      <c r="F142" s="2" t="n">
        <f aca="false">IFERROR(__xludf.dummyfunction("""COMPUTED_VALUE"""),1116087)</f>
        <v>1116087</v>
      </c>
    </row>
    <row r="143" customFormat="false" ht="15.75" hidden="false" customHeight="false" outlineLevel="0" collapsed="false">
      <c r="A143" s="3" t="n">
        <f aca="false">IFERROR(__xludf.dummyfunction("""COMPUTED_VALUE"""),44404.6666666667)</f>
        <v>44404.6666666667</v>
      </c>
      <c r="B143" s="2" t="n">
        <f aca="false">IFERROR(__xludf.dummyfunction("""COMPUTED_VALUE"""),48.08)</f>
        <v>48.08</v>
      </c>
      <c r="C143" s="2" t="n">
        <f aca="false">IFERROR(__xludf.dummyfunction("""COMPUTED_VALUE"""),48.18)</f>
        <v>48.18</v>
      </c>
      <c r="D143" s="2" t="n">
        <f aca="false">IFERROR(__xludf.dummyfunction("""COMPUTED_VALUE"""),46.78)</f>
        <v>46.78</v>
      </c>
      <c r="E143" s="2" t="n">
        <f aca="false">IFERROR(__xludf.dummyfunction("""COMPUTED_VALUE"""),47.54)</f>
        <v>47.54</v>
      </c>
      <c r="F143" s="2" t="n">
        <f aca="false">IFERROR(__xludf.dummyfunction("""COMPUTED_VALUE"""),1471521)</f>
        <v>1471521</v>
      </c>
    </row>
    <row r="144" customFormat="false" ht="15.75" hidden="false" customHeight="false" outlineLevel="0" collapsed="false">
      <c r="A144" s="3" t="n">
        <f aca="false">IFERROR(__xludf.dummyfunction("""COMPUTED_VALUE"""),44405.6666666667)</f>
        <v>44405.6666666667</v>
      </c>
      <c r="B144" s="2" t="n">
        <f aca="false">IFERROR(__xludf.dummyfunction("""COMPUTED_VALUE"""),47.67)</f>
        <v>47.67</v>
      </c>
      <c r="C144" s="2" t="n">
        <f aca="false">IFERROR(__xludf.dummyfunction("""COMPUTED_VALUE"""),47.91)</f>
        <v>47.91</v>
      </c>
      <c r="D144" s="2" t="n">
        <f aca="false">IFERROR(__xludf.dummyfunction("""COMPUTED_VALUE"""),47.43)</f>
        <v>47.43</v>
      </c>
      <c r="E144" s="2" t="n">
        <f aca="false">IFERROR(__xludf.dummyfunction("""COMPUTED_VALUE"""),47.77)</f>
        <v>47.77</v>
      </c>
      <c r="F144" s="2" t="n">
        <f aca="false">IFERROR(__xludf.dummyfunction("""COMPUTED_VALUE"""),836185)</f>
        <v>836185</v>
      </c>
    </row>
    <row r="145" customFormat="false" ht="15.75" hidden="false" customHeight="false" outlineLevel="0" collapsed="false">
      <c r="A145" s="3" t="n">
        <f aca="false">IFERROR(__xludf.dummyfunction("""COMPUTED_VALUE"""),44406.6666666667)</f>
        <v>44406.6666666667</v>
      </c>
      <c r="B145" s="2" t="n">
        <f aca="false">IFERROR(__xludf.dummyfunction("""COMPUTED_VALUE"""),47.85)</f>
        <v>47.85</v>
      </c>
      <c r="C145" s="2" t="n">
        <f aca="false">IFERROR(__xludf.dummyfunction("""COMPUTED_VALUE"""),48.58)</f>
        <v>48.58</v>
      </c>
      <c r="D145" s="2" t="n">
        <f aca="false">IFERROR(__xludf.dummyfunction("""COMPUTED_VALUE"""),47.74)</f>
        <v>47.74</v>
      </c>
      <c r="E145" s="2" t="n">
        <f aca="false">IFERROR(__xludf.dummyfunction("""COMPUTED_VALUE"""),48.41)</f>
        <v>48.41</v>
      </c>
      <c r="F145" s="2" t="n">
        <f aca="false">IFERROR(__xludf.dummyfunction("""COMPUTED_VALUE"""),916172)</f>
        <v>916172</v>
      </c>
    </row>
    <row r="146" customFormat="false" ht="15.75" hidden="false" customHeight="false" outlineLevel="0" collapsed="false">
      <c r="A146" s="3" t="n">
        <f aca="false">IFERROR(__xludf.dummyfunction("""COMPUTED_VALUE"""),44407.6666666667)</f>
        <v>44407.6666666667</v>
      </c>
      <c r="B146" s="2" t="n">
        <f aca="false">IFERROR(__xludf.dummyfunction("""COMPUTED_VALUE"""),48.2)</f>
        <v>48.2</v>
      </c>
      <c r="C146" s="2" t="n">
        <f aca="false">IFERROR(__xludf.dummyfunction("""COMPUTED_VALUE"""),48.63)</f>
        <v>48.63</v>
      </c>
      <c r="D146" s="2" t="n">
        <f aca="false">IFERROR(__xludf.dummyfunction("""COMPUTED_VALUE"""),47.96)</f>
        <v>47.96</v>
      </c>
      <c r="E146" s="2" t="n">
        <f aca="false">IFERROR(__xludf.dummyfunction("""COMPUTED_VALUE"""),48.54)</f>
        <v>48.54</v>
      </c>
      <c r="F146" s="2" t="n">
        <f aca="false">IFERROR(__xludf.dummyfunction("""COMPUTED_VALUE"""),1154827)</f>
        <v>1154827</v>
      </c>
    </row>
    <row r="147" customFormat="false" ht="15.75" hidden="false" customHeight="false" outlineLevel="0" collapsed="false">
      <c r="A147" s="3" t="n">
        <f aca="false">IFERROR(__xludf.dummyfunction("""COMPUTED_VALUE"""),44410.6666666667)</f>
        <v>44410.6666666667</v>
      </c>
      <c r="B147" s="2" t="n">
        <f aca="false">IFERROR(__xludf.dummyfunction("""COMPUTED_VALUE"""),48.91)</f>
        <v>48.91</v>
      </c>
      <c r="C147" s="2" t="n">
        <f aca="false">IFERROR(__xludf.dummyfunction("""COMPUTED_VALUE"""),49.46)</f>
        <v>49.46</v>
      </c>
      <c r="D147" s="2" t="n">
        <f aca="false">IFERROR(__xludf.dummyfunction("""COMPUTED_VALUE"""),48.35)</f>
        <v>48.35</v>
      </c>
      <c r="E147" s="2" t="n">
        <f aca="false">IFERROR(__xludf.dummyfunction("""COMPUTED_VALUE"""),48.47)</f>
        <v>48.47</v>
      </c>
      <c r="F147" s="2" t="n">
        <f aca="false">IFERROR(__xludf.dummyfunction("""COMPUTED_VALUE"""),1562164)</f>
        <v>1562164</v>
      </c>
    </row>
    <row r="148" customFormat="false" ht="15.75" hidden="false" customHeight="false" outlineLevel="0" collapsed="false">
      <c r="A148" s="3" t="n">
        <f aca="false">IFERROR(__xludf.dummyfunction("""COMPUTED_VALUE"""),44411.6666666667)</f>
        <v>44411.6666666667</v>
      </c>
      <c r="B148" s="2" t="n">
        <f aca="false">IFERROR(__xludf.dummyfunction("""COMPUTED_VALUE"""),48.55)</f>
        <v>48.55</v>
      </c>
      <c r="C148" s="2" t="n">
        <f aca="false">IFERROR(__xludf.dummyfunction("""COMPUTED_VALUE"""),48.78)</f>
        <v>48.78</v>
      </c>
      <c r="D148" s="2" t="n">
        <f aca="false">IFERROR(__xludf.dummyfunction("""COMPUTED_VALUE"""),48)</f>
        <v>48</v>
      </c>
      <c r="E148" s="2" t="n">
        <f aca="false">IFERROR(__xludf.dummyfunction("""COMPUTED_VALUE"""),48.68)</f>
        <v>48.68</v>
      </c>
      <c r="F148" s="2" t="n">
        <f aca="false">IFERROR(__xludf.dummyfunction("""COMPUTED_VALUE"""),1113483)</f>
        <v>1113483</v>
      </c>
    </row>
    <row r="149" customFormat="false" ht="15.75" hidden="false" customHeight="false" outlineLevel="0" collapsed="false">
      <c r="A149" s="3" t="n">
        <f aca="false">IFERROR(__xludf.dummyfunction("""COMPUTED_VALUE"""),44412.6666666667)</f>
        <v>44412.6666666667</v>
      </c>
      <c r="B149" s="2" t="n">
        <f aca="false">IFERROR(__xludf.dummyfunction("""COMPUTED_VALUE"""),48.85)</f>
        <v>48.85</v>
      </c>
      <c r="C149" s="2" t="n">
        <f aca="false">IFERROR(__xludf.dummyfunction("""COMPUTED_VALUE"""),49)</f>
        <v>49</v>
      </c>
      <c r="D149" s="2" t="n">
        <f aca="false">IFERROR(__xludf.dummyfunction("""COMPUTED_VALUE"""),48.4)</f>
        <v>48.4</v>
      </c>
      <c r="E149" s="2" t="n">
        <f aca="false">IFERROR(__xludf.dummyfunction("""COMPUTED_VALUE"""),48.78)</f>
        <v>48.78</v>
      </c>
      <c r="F149" s="2" t="n">
        <f aca="false">IFERROR(__xludf.dummyfunction("""COMPUTED_VALUE"""),1212419)</f>
        <v>1212419</v>
      </c>
    </row>
    <row r="150" customFormat="false" ht="15.75" hidden="false" customHeight="false" outlineLevel="0" collapsed="false">
      <c r="A150" s="3" t="n">
        <f aca="false">IFERROR(__xludf.dummyfunction("""COMPUTED_VALUE"""),44413.6666666667)</f>
        <v>44413.6666666667</v>
      </c>
      <c r="B150" s="2" t="n">
        <f aca="false">IFERROR(__xludf.dummyfunction("""COMPUTED_VALUE"""),49.04)</f>
        <v>49.04</v>
      </c>
      <c r="C150" s="2" t="n">
        <f aca="false">IFERROR(__xludf.dummyfunction("""COMPUTED_VALUE"""),49.04)</f>
        <v>49.04</v>
      </c>
      <c r="D150" s="2" t="n">
        <f aca="false">IFERROR(__xludf.dummyfunction("""COMPUTED_VALUE"""),48.49)</f>
        <v>48.49</v>
      </c>
      <c r="E150" s="2" t="n">
        <f aca="false">IFERROR(__xludf.dummyfunction("""COMPUTED_VALUE"""),48.77)</f>
        <v>48.77</v>
      </c>
      <c r="F150" s="2" t="n">
        <f aca="false">IFERROR(__xludf.dummyfunction("""COMPUTED_VALUE"""),837272)</f>
        <v>837272</v>
      </c>
    </row>
    <row r="151" customFormat="false" ht="15.75" hidden="false" customHeight="false" outlineLevel="0" collapsed="false">
      <c r="A151" s="3" t="n">
        <f aca="false">IFERROR(__xludf.dummyfunction("""COMPUTED_VALUE"""),44414.6666666667)</f>
        <v>44414.6666666667</v>
      </c>
      <c r="B151" s="2" t="n">
        <f aca="false">IFERROR(__xludf.dummyfunction("""COMPUTED_VALUE"""),48.51)</f>
        <v>48.51</v>
      </c>
      <c r="C151" s="2" t="n">
        <f aca="false">IFERROR(__xludf.dummyfunction("""COMPUTED_VALUE"""),48.81)</f>
        <v>48.81</v>
      </c>
      <c r="D151" s="2" t="n">
        <f aca="false">IFERROR(__xludf.dummyfunction("""COMPUTED_VALUE"""),48.4)</f>
        <v>48.4</v>
      </c>
      <c r="E151" s="2" t="n">
        <f aca="false">IFERROR(__xludf.dummyfunction("""COMPUTED_VALUE"""),48.54)</f>
        <v>48.54</v>
      </c>
      <c r="F151" s="2" t="n">
        <f aca="false">IFERROR(__xludf.dummyfunction("""COMPUTED_VALUE"""),996463)</f>
        <v>996463</v>
      </c>
    </row>
    <row r="152" customFormat="false" ht="15.75" hidden="false" customHeight="false" outlineLevel="0" collapsed="false">
      <c r="A152" s="3" t="n">
        <f aca="false">IFERROR(__xludf.dummyfunction("""COMPUTED_VALUE"""),44417.6666666667)</f>
        <v>44417.6666666667</v>
      </c>
      <c r="B152" s="2" t="n">
        <f aca="false">IFERROR(__xludf.dummyfunction("""COMPUTED_VALUE"""),48.65)</f>
        <v>48.65</v>
      </c>
      <c r="C152" s="2" t="n">
        <f aca="false">IFERROR(__xludf.dummyfunction("""COMPUTED_VALUE"""),48.68)</f>
        <v>48.68</v>
      </c>
      <c r="D152" s="2" t="n">
        <f aca="false">IFERROR(__xludf.dummyfunction("""COMPUTED_VALUE"""),48.1)</f>
        <v>48.1</v>
      </c>
      <c r="E152" s="2" t="n">
        <f aca="false">IFERROR(__xludf.dummyfunction("""COMPUTED_VALUE"""),48.47)</f>
        <v>48.47</v>
      </c>
      <c r="F152" s="2" t="n">
        <f aca="false">IFERROR(__xludf.dummyfunction("""COMPUTED_VALUE"""),595390)</f>
        <v>595390</v>
      </c>
    </row>
    <row r="153" customFormat="false" ht="15.75" hidden="false" customHeight="false" outlineLevel="0" collapsed="false">
      <c r="A153" s="3" t="n">
        <f aca="false">IFERROR(__xludf.dummyfunction("""COMPUTED_VALUE"""),44418.6666666667)</f>
        <v>44418.6666666667</v>
      </c>
      <c r="B153" s="2" t="n">
        <f aca="false">IFERROR(__xludf.dummyfunction("""COMPUTED_VALUE"""),48.59)</f>
        <v>48.59</v>
      </c>
      <c r="C153" s="2" t="n">
        <f aca="false">IFERROR(__xludf.dummyfunction("""COMPUTED_VALUE"""),48.65)</f>
        <v>48.65</v>
      </c>
      <c r="D153" s="2" t="n">
        <f aca="false">IFERROR(__xludf.dummyfunction("""COMPUTED_VALUE"""),47.78)</f>
        <v>47.78</v>
      </c>
      <c r="E153" s="2" t="n">
        <f aca="false">IFERROR(__xludf.dummyfunction("""COMPUTED_VALUE"""),48.23)</f>
        <v>48.23</v>
      </c>
      <c r="F153" s="2" t="n">
        <f aca="false">IFERROR(__xludf.dummyfunction("""COMPUTED_VALUE"""),932006)</f>
        <v>932006</v>
      </c>
    </row>
    <row r="154" customFormat="false" ht="15.75" hidden="false" customHeight="false" outlineLevel="0" collapsed="false">
      <c r="A154" s="3" t="n">
        <f aca="false">IFERROR(__xludf.dummyfunction("""COMPUTED_VALUE"""),44419.6666666667)</f>
        <v>44419.6666666667</v>
      </c>
      <c r="B154" s="2" t="n">
        <f aca="false">IFERROR(__xludf.dummyfunction("""COMPUTED_VALUE"""),48.48)</f>
        <v>48.48</v>
      </c>
      <c r="C154" s="2" t="n">
        <f aca="false">IFERROR(__xludf.dummyfunction("""COMPUTED_VALUE"""),48.6)</f>
        <v>48.6</v>
      </c>
      <c r="D154" s="2" t="n">
        <f aca="false">IFERROR(__xludf.dummyfunction("""COMPUTED_VALUE"""),47.98)</f>
        <v>47.98</v>
      </c>
      <c r="E154" s="2" t="n">
        <f aca="false">IFERROR(__xludf.dummyfunction("""COMPUTED_VALUE"""),48.36)</f>
        <v>48.36</v>
      </c>
      <c r="F154" s="2" t="n">
        <f aca="false">IFERROR(__xludf.dummyfunction("""COMPUTED_VALUE"""),981602)</f>
        <v>981602</v>
      </c>
    </row>
    <row r="155" customFormat="false" ht="15.75" hidden="false" customHeight="false" outlineLevel="0" collapsed="false">
      <c r="A155" s="3" t="n">
        <f aca="false">IFERROR(__xludf.dummyfunction("""COMPUTED_VALUE"""),44420.6666666667)</f>
        <v>44420.6666666667</v>
      </c>
      <c r="B155" s="2" t="n">
        <f aca="false">IFERROR(__xludf.dummyfunction("""COMPUTED_VALUE"""),48.23)</f>
        <v>48.23</v>
      </c>
      <c r="C155" s="2" t="n">
        <f aca="false">IFERROR(__xludf.dummyfunction("""COMPUTED_VALUE"""),48.5)</f>
        <v>48.5</v>
      </c>
      <c r="D155" s="2" t="n">
        <f aca="false">IFERROR(__xludf.dummyfunction("""COMPUTED_VALUE"""),47.67)</f>
        <v>47.67</v>
      </c>
      <c r="E155" s="2" t="n">
        <f aca="false">IFERROR(__xludf.dummyfunction("""COMPUTED_VALUE"""),48.43)</f>
        <v>48.43</v>
      </c>
      <c r="F155" s="2" t="n">
        <f aca="false">IFERROR(__xludf.dummyfunction("""COMPUTED_VALUE"""),870201)</f>
        <v>870201</v>
      </c>
    </row>
    <row r="156" customFormat="false" ht="15.75" hidden="false" customHeight="false" outlineLevel="0" collapsed="false">
      <c r="A156" s="3" t="n">
        <f aca="false">IFERROR(__xludf.dummyfunction("""COMPUTED_VALUE"""),44421.6666666667)</f>
        <v>44421.6666666667</v>
      </c>
      <c r="B156" s="2" t="n">
        <f aca="false">IFERROR(__xludf.dummyfunction("""COMPUTED_VALUE"""),48.26)</f>
        <v>48.26</v>
      </c>
      <c r="C156" s="2" t="n">
        <f aca="false">IFERROR(__xludf.dummyfunction("""COMPUTED_VALUE"""),48.9)</f>
        <v>48.9</v>
      </c>
      <c r="D156" s="2" t="n">
        <f aca="false">IFERROR(__xludf.dummyfunction("""COMPUTED_VALUE"""),48.21)</f>
        <v>48.21</v>
      </c>
      <c r="E156" s="2" t="n">
        <f aca="false">IFERROR(__xludf.dummyfunction("""COMPUTED_VALUE"""),48.62)</f>
        <v>48.62</v>
      </c>
      <c r="F156" s="2" t="n">
        <f aca="false">IFERROR(__xludf.dummyfunction("""COMPUTED_VALUE"""),858227)</f>
        <v>858227</v>
      </c>
    </row>
    <row r="157" customFormat="false" ht="15.75" hidden="false" customHeight="false" outlineLevel="0" collapsed="false">
      <c r="A157" s="3" t="n">
        <f aca="false">IFERROR(__xludf.dummyfunction("""COMPUTED_VALUE"""),44424.6666666667)</f>
        <v>44424.6666666667</v>
      </c>
      <c r="B157" s="2" t="n">
        <f aca="false">IFERROR(__xludf.dummyfunction("""COMPUTED_VALUE"""),48.48)</f>
        <v>48.48</v>
      </c>
      <c r="C157" s="2" t="n">
        <f aca="false">IFERROR(__xludf.dummyfunction("""COMPUTED_VALUE"""),48.89)</f>
        <v>48.89</v>
      </c>
      <c r="D157" s="2" t="n">
        <f aca="false">IFERROR(__xludf.dummyfunction("""COMPUTED_VALUE"""),48.44)</f>
        <v>48.44</v>
      </c>
      <c r="E157" s="2" t="n">
        <f aca="false">IFERROR(__xludf.dummyfunction("""COMPUTED_VALUE"""),48.81)</f>
        <v>48.81</v>
      </c>
      <c r="F157" s="2" t="n">
        <f aca="false">IFERROR(__xludf.dummyfunction("""COMPUTED_VALUE"""),918862)</f>
        <v>918862</v>
      </c>
    </row>
    <row r="158" customFormat="false" ht="15.75" hidden="false" customHeight="false" outlineLevel="0" collapsed="false">
      <c r="A158" s="3" t="n">
        <f aca="false">IFERROR(__xludf.dummyfunction("""COMPUTED_VALUE"""),44425.6666666667)</f>
        <v>44425.6666666667</v>
      </c>
      <c r="B158" s="2" t="n">
        <f aca="false">IFERROR(__xludf.dummyfunction("""COMPUTED_VALUE"""),48.56)</f>
        <v>48.56</v>
      </c>
      <c r="C158" s="2" t="n">
        <f aca="false">IFERROR(__xludf.dummyfunction("""COMPUTED_VALUE"""),48.62)</f>
        <v>48.62</v>
      </c>
      <c r="D158" s="2" t="n">
        <f aca="false">IFERROR(__xludf.dummyfunction("""COMPUTED_VALUE"""),47.45)</f>
        <v>47.45</v>
      </c>
      <c r="E158" s="2" t="n">
        <f aca="false">IFERROR(__xludf.dummyfunction("""COMPUTED_VALUE"""),47.87)</f>
        <v>47.87</v>
      </c>
      <c r="F158" s="2" t="n">
        <f aca="false">IFERROR(__xludf.dummyfunction("""COMPUTED_VALUE"""),1650087)</f>
        <v>1650087</v>
      </c>
    </row>
    <row r="159" customFormat="false" ht="15.75" hidden="false" customHeight="false" outlineLevel="0" collapsed="false">
      <c r="A159" s="3" t="n">
        <f aca="false">IFERROR(__xludf.dummyfunction("""COMPUTED_VALUE"""),44426.6666666667)</f>
        <v>44426.6666666667</v>
      </c>
      <c r="B159" s="2" t="n">
        <f aca="false">IFERROR(__xludf.dummyfunction("""COMPUTED_VALUE"""),47.67)</f>
        <v>47.67</v>
      </c>
      <c r="C159" s="2" t="n">
        <f aca="false">IFERROR(__xludf.dummyfunction("""COMPUTED_VALUE"""),47.71)</f>
        <v>47.71</v>
      </c>
      <c r="D159" s="2" t="n">
        <f aca="false">IFERROR(__xludf.dummyfunction("""COMPUTED_VALUE"""),46.83)</f>
        <v>46.83</v>
      </c>
      <c r="E159" s="2" t="n">
        <f aca="false">IFERROR(__xludf.dummyfunction("""COMPUTED_VALUE"""),46.9)</f>
        <v>46.9</v>
      </c>
      <c r="F159" s="2" t="n">
        <f aca="false">IFERROR(__xludf.dummyfunction("""COMPUTED_VALUE"""),1561643)</f>
        <v>1561643</v>
      </c>
    </row>
    <row r="160" customFormat="false" ht="15.75" hidden="false" customHeight="false" outlineLevel="0" collapsed="false">
      <c r="A160" s="3" t="n">
        <f aca="false">IFERROR(__xludf.dummyfunction("""COMPUTED_VALUE"""),44427.6666666667)</f>
        <v>44427.6666666667</v>
      </c>
      <c r="B160" s="2" t="n">
        <f aca="false">IFERROR(__xludf.dummyfunction("""COMPUTED_VALUE"""),46.64)</f>
        <v>46.64</v>
      </c>
      <c r="C160" s="2" t="n">
        <f aca="false">IFERROR(__xludf.dummyfunction("""COMPUTED_VALUE"""),47.58)</f>
        <v>47.58</v>
      </c>
      <c r="D160" s="2" t="n">
        <f aca="false">IFERROR(__xludf.dummyfunction("""COMPUTED_VALUE"""),46.27)</f>
        <v>46.27</v>
      </c>
      <c r="E160" s="2" t="n">
        <f aca="false">IFERROR(__xludf.dummyfunction("""COMPUTED_VALUE"""),47.35)</f>
        <v>47.35</v>
      </c>
      <c r="F160" s="2" t="n">
        <f aca="false">IFERROR(__xludf.dummyfunction("""COMPUTED_VALUE"""),1404368)</f>
        <v>1404368</v>
      </c>
    </row>
    <row r="161" customFormat="false" ht="15.75" hidden="false" customHeight="false" outlineLevel="0" collapsed="false">
      <c r="A161" s="3" t="n">
        <f aca="false">IFERROR(__xludf.dummyfunction("""COMPUTED_VALUE"""),44428.6666666667)</f>
        <v>44428.6666666667</v>
      </c>
      <c r="B161" s="2" t="n">
        <f aca="false">IFERROR(__xludf.dummyfunction("""COMPUTED_VALUE"""),47.28)</f>
        <v>47.28</v>
      </c>
      <c r="C161" s="2" t="n">
        <f aca="false">IFERROR(__xludf.dummyfunction("""COMPUTED_VALUE"""),47.62)</f>
        <v>47.62</v>
      </c>
      <c r="D161" s="2" t="n">
        <f aca="false">IFERROR(__xludf.dummyfunction("""COMPUTED_VALUE"""),47.04)</f>
        <v>47.04</v>
      </c>
      <c r="E161" s="2" t="n">
        <f aca="false">IFERROR(__xludf.dummyfunction("""COMPUTED_VALUE"""),47.52)</f>
        <v>47.52</v>
      </c>
      <c r="F161" s="2" t="n">
        <f aca="false">IFERROR(__xludf.dummyfunction("""COMPUTED_VALUE"""),1000807)</f>
        <v>1000807</v>
      </c>
    </row>
    <row r="162" customFormat="false" ht="15.75" hidden="false" customHeight="false" outlineLevel="0" collapsed="false">
      <c r="A162" s="3" t="n">
        <f aca="false">IFERROR(__xludf.dummyfunction("""COMPUTED_VALUE"""),44431.6666666667)</f>
        <v>44431.6666666667</v>
      </c>
      <c r="B162" s="2" t="n">
        <f aca="false">IFERROR(__xludf.dummyfunction("""COMPUTED_VALUE"""),47.63)</f>
        <v>47.63</v>
      </c>
      <c r="C162" s="2" t="n">
        <f aca="false">IFERROR(__xludf.dummyfunction("""COMPUTED_VALUE"""),48.62)</f>
        <v>48.62</v>
      </c>
      <c r="D162" s="2" t="n">
        <f aca="false">IFERROR(__xludf.dummyfunction("""COMPUTED_VALUE"""),47.57)</f>
        <v>47.57</v>
      </c>
      <c r="E162" s="2" t="n">
        <f aca="false">IFERROR(__xludf.dummyfunction("""COMPUTED_VALUE"""),48.25)</f>
        <v>48.25</v>
      </c>
      <c r="F162" s="2" t="n">
        <f aca="false">IFERROR(__xludf.dummyfunction("""COMPUTED_VALUE"""),1570741)</f>
        <v>1570741</v>
      </c>
    </row>
    <row r="163" customFormat="false" ht="15.75" hidden="false" customHeight="false" outlineLevel="0" collapsed="false">
      <c r="A163" s="3" t="n">
        <f aca="false">IFERROR(__xludf.dummyfunction("""COMPUTED_VALUE"""),44432.6666666667)</f>
        <v>44432.6666666667</v>
      </c>
      <c r="B163" s="2" t="n">
        <f aca="false">IFERROR(__xludf.dummyfunction("""COMPUTED_VALUE"""),48.24)</f>
        <v>48.24</v>
      </c>
      <c r="C163" s="2" t="n">
        <f aca="false">IFERROR(__xludf.dummyfunction("""COMPUTED_VALUE"""),48.3)</f>
        <v>48.3</v>
      </c>
      <c r="D163" s="2" t="n">
        <f aca="false">IFERROR(__xludf.dummyfunction("""COMPUTED_VALUE"""),48.02)</f>
        <v>48.02</v>
      </c>
      <c r="E163" s="2" t="n">
        <f aca="false">IFERROR(__xludf.dummyfunction("""COMPUTED_VALUE"""),48.14)</f>
        <v>48.14</v>
      </c>
      <c r="F163" s="2" t="n">
        <f aca="false">IFERROR(__xludf.dummyfunction("""COMPUTED_VALUE"""),942923)</f>
        <v>942923</v>
      </c>
    </row>
    <row r="164" customFormat="false" ht="15.75" hidden="false" customHeight="false" outlineLevel="0" collapsed="false">
      <c r="A164" s="3" t="n">
        <f aca="false">IFERROR(__xludf.dummyfunction("""COMPUTED_VALUE"""),44433.6666666667)</f>
        <v>44433.6666666667</v>
      </c>
      <c r="B164" s="2" t="n">
        <f aca="false">IFERROR(__xludf.dummyfunction("""COMPUTED_VALUE"""),48.16)</f>
        <v>48.16</v>
      </c>
      <c r="C164" s="2" t="n">
        <f aca="false">IFERROR(__xludf.dummyfunction("""COMPUTED_VALUE"""),48.63)</f>
        <v>48.63</v>
      </c>
      <c r="D164" s="2" t="n">
        <f aca="false">IFERROR(__xludf.dummyfunction("""COMPUTED_VALUE"""),48.16)</f>
        <v>48.16</v>
      </c>
      <c r="E164" s="2" t="n">
        <f aca="false">IFERROR(__xludf.dummyfunction("""COMPUTED_VALUE"""),48.34)</f>
        <v>48.34</v>
      </c>
      <c r="F164" s="2" t="n">
        <f aca="false">IFERROR(__xludf.dummyfunction("""COMPUTED_VALUE"""),1001693)</f>
        <v>1001693</v>
      </c>
    </row>
    <row r="165" customFormat="false" ht="15.75" hidden="false" customHeight="false" outlineLevel="0" collapsed="false">
      <c r="A165" s="3" t="n">
        <f aca="false">IFERROR(__xludf.dummyfunction("""COMPUTED_VALUE"""),44434.6666666667)</f>
        <v>44434.6666666667</v>
      </c>
      <c r="B165" s="2" t="n">
        <f aca="false">IFERROR(__xludf.dummyfunction("""COMPUTED_VALUE"""),48.3)</f>
        <v>48.3</v>
      </c>
      <c r="C165" s="2" t="n">
        <f aca="false">IFERROR(__xludf.dummyfunction("""COMPUTED_VALUE"""),48.81)</f>
        <v>48.81</v>
      </c>
      <c r="D165" s="2" t="n">
        <f aca="false">IFERROR(__xludf.dummyfunction("""COMPUTED_VALUE"""),48.06)</f>
        <v>48.06</v>
      </c>
      <c r="E165" s="2" t="n">
        <f aca="false">IFERROR(__xludf.dummyfunction("""COMPUTED_VALUE"""),48.57)</f>
        <v>48.57</v>
      </c>
      <c r="F165" s="2" t="n">
        <f aca="false">IFERROR(__xludf.dummyfunction("""COMPUTED_VALUE"""),1083764)</f>
        <v>1083764</v>
      </c>
    </row>
    <row r="166" customFormat="false" ht="15.75" hidden="false" customHeight="false" outlineLevel="0" collapsed="false">
      <c r="A166" s="3" t="n">
        <f aca="false">IFERROR(__xludf.dummyfunction("""COMPUTED_VALUE"""),44435.6666666667)</f>
        <v>44435.6666666667</v>
      </c>
      <c r="B166" s="2" t="n">
        <f aca="false">IFERROR(__xludf.dummyfunction("""COMPUTED_VALUE"""),48.8)</f>
        <v>48.8</v>
      </c>
      <c r="C166" s="2" t="n">
        <f aca="false">IFERROR(__xludf.dummyfunction("""COMPUTED_VALUE"""),49.64)</f>
        <v>49.64</v>
      </c>
      <c r="D166" s="2" t="n">
        <f aca="false">IFERROR(__xludf.dummyfunction("""COMPUTED_VALUE"""),48.66)</f>
        <v>48.66</v>
      </c>
      <c r="E166" s="2" t="n">
        <f aca="false">IFERROR(__xludf.dummyfunction("""COMPUTED_VALUE"""),49.59)</f>
        <v>49.59</v>
      </c>
      <c r="F166" s="2" t="n">
        <f aca="false">IFERROR(__xludf.dummyfunction("""COMPUTED_VALUE"""),1646077)</f>
        <v>1646077</v>
      </c>
    </row>
    <row r="167" customFormat="false" ht="15.75" hidden="false" customHeight="false" outlineLevel="0" collapsed="false">
      <c r="A167" s="3" t="n">
        <f aca="false">IFERROR(__xludf.dummyfunction("""COMPUTED_VALUE"""),44438.6666666667)</f>
        <v>44438.6666666667</v>
      </c>
      <c r="B167" s="2" t="n">
        <f aca="false">IFERROR(__xludf.dummyfunction("""COMPUTED_VALUE"""),50)</f>
        <v>50</v>
      </c>
      <c r="C167" s="2" t="n">
        <f aca="false">IFERROR(__xludf.dummyfunction("""COMPUTED_VALUE"""),50.79)</f>
        <v>50.79</v>
      </c>
      <c r="D167" s="2" t="n">
        <f aca="false">IFERROR(__xludf.dummyfunction("""COMPUTED_VALUE"""),49.83)</f>
        <v>49.83</v>
      </c>
      <c r="E167" s="2" t="n">
        <f aca="false">IFERROR(__xludf.dummyfunction("""COMPUTED_VALUE"""),49.89)</f>
        <v>49.89</v>
      </c>
      <c r="F167" s="2" t="n">
        <f aca="false">IFERROR(__xludf.dummyfunction("""COMPUTED_VALUE"""),1961364)</f>
        <v>1961364</v>
      </c>
    </row>
    <row r="168" customFormat="false" ht="15.75" hidden="false" customHeight="false" outlineLevel="0" collapsed="false">
      <c r="A168" s="3" t="n">
        <f aca="false">IFERROR(__xludf.dummyfunction("""COMPUTED_VALUE"""),44439.6666666667)</f>
        <v>44439.6666666667</v>
      </c>
      <c r="B168" s="2" t="n">
        <f aca="false">IFERROR(__xludf.dummyfunction("""COMPUTED_VALUE"""),50.13)</f>
        <v>50.13</v>
      </c>
      <c r="C168" s="2" t="n">
        <f aca="false">IFERROR(__xludf.dummyfunction("""COMPUTED_VALUE"""),50.13)</f>
        <v>50.13</v>
      </c>
      <c r="D168" s="2" t="n">
        <f aca="false">IFERROR(__xludf.dummyfunction("""COMPUTED_VALUE"""),49.27)</f>
        <v>49.27</v>
      </c>
      <c r="E168" s="2" t="n">
        <f aca="false">IFERROR(__xludf.dummyfunction("""COMPUTED_VALUE"""),49.72)</f>
        <v>49.72</v>
      </c>
      <c r="F168" s="2" t="n">
        <f aca="false">IFERROR(__xludf.dummyfunction("""COMPUTED_VALUE"""),1738040)</f>
        <v>1738040</v>
      </c>
    </row>
    <row r="169" customFormat="false" ht="15.75" hidden="false" customHeight="false" outlineLevel="0" collapsed="false">
      <c r="A169" s="3" t="n">
        <f aca="false">IFERROR(__xludf.dummyfunction("""COMPUTED_VALUE"""),44440.6666666667)</f>
        <v>44440.6666666667</v>
      </c>
      <c r="B169" s="2" t="n">
        <f aca="false">IFERROR(__xludf.dummyfunction("""COMPUTED_VALUE"""),49.63)</f>
        <v>49.63</v>
      </c>
      <c r="C169" s="2" t="n">
        <f aca="false">IFERROR(__xludf.dummyfunction("""COMPUTED_VALUE"""),49.92)</f>
        <v>49.92</v>
      </c>
      <c r="D169" s="2" t="n">
        <f aca="false">IFERROR(__xludf.dummyfunction("""COMPUTED_VALUE"""),49.29)</f>
        <v>49.29</v>
      </c>
      <c r="E169" s="2" t="n">
        <f aca="false">IFERROR(__xludf.dummyfunction("""COMPUTED_VALUE"""),49.32)</f>
        <v>49.32</v>
      </c>
      <c r="F169" s="2" t="n">
        <f aca="false">IFERROR(__xludf.dummyfunction("""COMPUTED_VALUE"""),1258589)</f>
        <v>1258589</v>
      </c>
    </row>
    <row r="170" customFormat="false" ht="15.75" hidden="false" customHeight="false" outlineLevel="0" collapsed="false">
      <c r="A170" s="3" t="n">
        <f aca="false">IFERROR(__xludf.dummyfunction("""COMPUTED_VALUE"""),44441.6666666667)</f>
        <v>44441.6666666667</v>
      </c>
      <c r="B170" s="2" t="n">
        <f aca="false">IFERROR(__xludf.dummyfunction("""COMPUTED_VALUE"""),49.58)</f>
        <v>49.58</v>
      </c>
      <c r="C170" s="2" t="n">
        <f aca="false">IFERROR(__xludf.dummyfunction("""COMPUTED_VALUE"""),49.6)</f>
        <v>49.6</v>
      </c>
      <c r="D170" s="2" t="n">
        <f aca="false">IFERROR(__xludf.dummyfunction("""COMPUTED_VALUE"""),49.02)</f>
        <v>49.02</v>
      </c>
      <c r="E170" s="2" t="n">
        <f aca="false">IFERROR(__xludf.dummyfunction("""COMPUTED_VALUE"""),49.19)</f>
        <v>49.19</v>
      </c>
      <c r="F170" s="2" t="n">
        <f aca="false">IFERROR(__xludf.dummyfunction("""COMPUTED_VALUE"""),1712249)</f>
        <v>1712249</v>
      </c>
    </row>
    <row r="171" customFormat="false" ht="15.75" hidden="false" customHeight="false" outlineLevel="0" collapsed="false">
      <c r="A171" s="3" t="n">
        <f aca="false">IFERROR(__xludf.dummyfunction("""COMPUTED_VALUE"""),44442.6666666667)</f>
        <v>44442.6666666667</v>
      </c>
      <c r="B171" s="2" t="n">
        <f aca="false">IFERROR(__xludf.dummyfunction("""COMPUTED_VALUE"""),49.59)</f>
        <v>49.59</v>
      </c>
      <c r="C171" s="2" t="n">
        <f aca="false">IFERROR(__xludf.dummyfunction("""COMPUTED_VALUE"""),50.6)</f>
        <v>50.6</v>
      </c>
      <c r="D171" s="2" t="n">
        <f aca="false">IFERROR(__xludf.dummyfunction("""COMPUTED_VALUE"""),49.5)</f>
        <v>49.5</v>
      </c>
      <c r="E171" s="2" t="n">
        <f aca="false">IFERROR(__xludf.dummyfunction("""COMPUTED_VALUE"""),49.77)</f>
        <v>49.77</v>
      </c>
      <c r="F171" s="2" t="n">
        <f aca="false">IFERROR(__xludf.dummyfunction("""COMPUTED_VALUE"""),2520467)</f>
        <v>2520467</v>
      </c>
    </row>
    <row r="172" customFormat="false" ht="15.75" hidden="false" customHeight="false" outlineLevel="0" collapsed="false">
      <c r="A172" s="3" t="n">
        <f aca="false">IFERROR(__xludf.dummyfunction("""COMPUTED_VALUE"""),44446.6666666667)</f>
        <v>44446.6666666667</v>
      </c>
      <c r="B172" s="2" t="n">
        <f aca="false">IFERROR(__xludf.dummyfunction("""COMPUTED_VALUE"""),49.76)</f>
        <v>49.76</v>
      </c>
      <c r="C172" s="2" t="n">
        <f aca="false">IFERROR(__xludf.dummyfunction("""COMPUTED_VALUE"""),49.76)</f>
        <v>49.76</v>
      </c>
      <c r="D172" s="2" t="n">
        <f aca="false">IFERROR(__xludf.dummyfunction("""COMPUTED_VALUE"""),49.1)</f>
        <v>49.1</v>
      </c>
      <c r="E172" s="2" t="n">
        <f aca="false">IFERROR(__xludf.dummyfunction("""COMPUTED_VALUE"""),49.66)</f>
        <v>49.66</v>
      </c>
      <c r="F172" s="2" t="n">
        <f aca="false">IFERROR(__xludf.dummyfunction("""COMPUTED_VALUE"""),1239944)</f>
        <v>1239944</v>
      </c>
    </row>
    <row r="173" customFormat="false" ht="15.75" hidden="false" customHeight="false" outlineLevel="0" collapsed="false">
      <c r="A173" s="3" t="n">
        <f aca="false">IFERROR(__xludf.dummyfunction("""COMPUTED_VALUE"""),44447.6666666667)</f>
        <v>44447.6666666667</v>
      </c>
      <c r="B173" s="2" t="n">
        <f aca="false">IFERROR(__xludf.dummyfunction("""COMPUTED_VALUE"""),49.96)</f>
        <v>49.96</v>
      </c>
      <c r="C173" s="2" t="n">
        <f aca="false">IFERROR(__xludf.dummyfunction("""COMPUTED_VALUE"""),49.99)</f>
        <v>49.99</v>
      </c>
      <c r="D173" s="2" t="n">
        <f aca="false">IFERROR(__xludf.dummyfunction("""COMPUTED_VALUE"""),48.81)</f>
        <v>48.81</v>
      </c>
      <c r="E173" s="2" t="n">
        <f aca="false">IFERROR(__xludf.dummyfunction("""COMPUTED_VALUE"""),49.44)</f>
        <v>49.44</v>
      </c>
      <c r="F173" s="2" t="n">
        <f aca="false">IFERROR(__xludf.dummyfunction("""COMPUTED_VALUE"""),1398675)</f>
        <v>1398675</v>
      </c>
    </row>
    <row r="174" customFormat="false" ht="15.75" hidden="false" customHeight="false" outlineLevel="0" collapsed="false">
      <c r="A174" s="3" t="n">
        <f aca="false">IFERROR(__xludf.dummyfunction("""COMPUTED_VALUE"""),44448.6666666667)</f>
        <v>44448.6666666667</v>
      </c>
      <c r="B174" s="2" t="n">
        <f aca="false">IFERROR(__xludf.dummyfunction("""COMPUTED_VALUE"""),49.28)</f>
        <v>49.28</v>
      </c>
      <c r="C174" s="2" t="n">
        <f aca="false">IFERROR(__xludf.dummyfunction("""COMPUTED_VALUE"""),49.87)</f>
        <v>49.87</v>
      </c>
      <c r="D174" s="2" t="n">
        <f aca="false">IFERROR(__xludf.dummyfunction("""COMPUTED_VALUE"""),49.28)</f>
        <v>49.28</v>
      </c>
      <c r="E174" s="2" t="n">
        <f aca="false">IFERROR(__xludf.dummyfunction("""COMPUTED_VALUE"""),49.35)</f>
        <v>49.35</v>
      </c>
      <c r="F174" s="2" t="n">
        <f aca="false">IFERROR(__xludf.dummyfunction("""COMPUTED_VALUE"""),1317503)</f>
        <v>1317503</v>
      </c>
    </row>
    <row r="175" customFormat="false" ht="15.75" hidden="false" customHeight="false" outlineLevel="0" collapsed="false">
      <c r="A175" s="3" t="n">
        <f aca="false">IFERROR(__xludf.dummyfunction("""COMPUTED_VALUE"""),44449.6666666667)</f>
        <v>44449.6666666667</v>
      </c>
      <c r="B175" s="2" t="n">
        <f aca="false">IFERROR(__xludf.dummyfunction("""COMPUTED_VALUE"""),49.71)</f>
        <v>49.71</v>
      </c>
      <c r="C175" s="2" t="n">
        <f aca="false">IFERROR(__xludf.dummyfunction("""COMPUTED_VALUE"""),50.6)</f>
        <v>50.6</v>
      </c>
      <c r="D175" s="2" t="n">
        <f aca="false">IFERROR(__xludf.dummyfunction("""COMPUTED_VALUE"""),49.65)</f>
        <v>49.65</v>
      </c>
      <c r="E175" s="2" t="n">
        <f aca="false">IFERROR(__xludf.dummyfunction("""COMPUTED_VALUE"""),49.82)</f>
        <v>49.82</v>
      </c>
      <c r="F175" s="2" t="n">
        <f aca="false">IFERROR(__xludf.dummyfunction("""COMPUTED_VALUE"""),1611029)</f>
        <v>1611029</v>
      </c>
    </row>
    <row r="176" customFormat="false" ht="15.75" hidden="false" customHeight="false" outlineLevel="0" collapsed="false">
      <c r="A176" s="3" t="n">
        <f aca="false">IFERROR(__xludf.dummyfunction("""COMPUTED_VALUE"""),44452.6666666667)</f>
        <v>44452.6666666667</v>
      </c>
      <c r="B176" s="2" t="n">
        <f aca="false">IFERROR(__xludf.dummyfunction("""COMPUTED_VALUE"""),50.2)</f>
        <v>50.2</v>
      </c>
      <c r="C176" s="2" t="n">
        <f aca="false">IFERROR(__xludf.dummyfunction("""COMPUTED_VALUE"""),50.25)</f>
        <v>50.25</v>
      </c>
      <c r="D176" s="2" t="n">
        <f aca="false">IFERROR(__xludf.dummyfunction("""COMPUTED_VALUE"""),49.33)</f>
        <v>49.33</v>
      </c>
      <c r="E176" s="2" t="n">
        <f aca="false">IFERROR(__xludf.dummyfunction("""COMPUTED_VALUE"""),49.9)</f>
        <v>49.9</v>
      </c>
      <c r="F176" s="2" t="n">
        <f aca="false">IFERROR(__xludf.dummyfunction("""COMPUTED_VALUE"""),1492982)</f>
        <v>1492982</v>
      </c>
    </row>
    <row r="177" customFormat="false" ht="15.75" hidden="false" customHeight="false" outlineLevel="0" collapsed="false">
      <c r="A177" s="3" t="n">
        <f aca="false">IFERROR(__xludf.dummyfunction("""COMPUTED_VALUE"""),44453.6666666667)</f>
        <v>44453.6666666667</v>
      </c>
      <c r="B177" s="2" t="n">
        <f aca="false">IFERROR(__xludf.dummyfunction("""COMPUTED_VALUE"""),50.2)</f>
        <v>50.2</v>
      </c>
      <c r="C177" s="2" t="n">
        <f aca="false">IFERROR(__xludf.dummyfunction("""COMPUTED_VALUE"""),50.54)</f>
        <v>50.54</v>
      </c>
      <c r="D177" s="2" t="n">
        <f aca="false">IFERROR(__xludf.dummyfunction("""COMPUTED_VALUE"""),49.84)</f>
        <v>49.84</v>
      </c>
      <c r="E177" s="2" t="n">
        <f aca="false">IFERROR(__xludf.dummyfunction("""COMPUTED_VALUE"""),50.19)</f>
        <v>50.19</v>
      </c>
      <c r="F177" s="2" t="n">
        <f aca="false">IFERROR(__xludf.dummyfunction("""COMPUTED_VALUE"""),1413410)</f>
        <v>1413410</v>
      </c>
    </row>
    <row r="178" customFormat="false" ht="15.75" hidden="false" customHeight="false" outlineLevel="0" collapsed="false">
      <c r="A178" s="3" t="n">
        <f aca="false">IFERROR(__xludf.dummyfunction("""COMPUTED_VALUE"""),44454.6666666667)</f>
        <v>44454.6666666667</v>
      </c>
      <c r="B178" s="2" t="n">
        <f aca="false">IFERROR(__xludf.dummyfunction("""COMPUTED_VALUE"""),50.21)</f>
        <v>50.21</v>
      </c>
      <c r="C178" s="2" t="n">
        <f aca="false">IFERROR(__xludf.dummyfunction("""COMPUTED_VALUE"""),51.07)</f>
        <v>51.07</v>
      </c>
      <c r="D178" s="2" t="n">
        <f aca="false">IFERROR(__xludf.dummyfunction("""COMPUTED_VALUE"""),49.94)</f>
        <v>49.94</v>
      </c>
      <c r="E178" s="2" t="n">
        <f aca="false">IFERROR(__xludf.dummyfunction("""COMPUTED_VALUE"""),50.97)</f>
        <v>50.97</v>
      </c>
      <c r="F178" s="2" t="n">
        <f aca="false">IFERROR(__xludf.dummyfunction("""COMPUTED_VALUE"""),2334578)</f>
        <v>2334578</v>
      </c>
    </row>
    <row r="179" customFormat="false" ht="15.75" hidden="false" customHeight="false" outlineLevel="0" collapsed="false">
      <c r="A179" s="3" t="n">
        <f aca="false">IFERROR(__xludf.dummyfunction("""COMPUTED_VALUE"""),44455.6666666667)</f>
        <v>44455.6666666667</v>
      </c>
      <c r="B179" s="2" t="n">
        <f aca="false">IFERROR(__xludf.dummyfunction("""COMPUTED_VALUE"""),50.52)</f>
        <v>50.52</v>
      </c>
      <c r="C179" s="2" t="n">
        <f aca="false">IFERROR(__xludf.dummyfunction("""COMPUTED_VALUE"""),50.92)</f>
        <v>50.92</v>
      </c>
      <c r="D179" s="2" t="n">
        <f aca="false">IFERROR(__xludf.dummyfunction("""COMPUTED_VALUE"""),50.02)</f>
        <v>50.02</v>
      </c>
      <c r="E179" s="2" t="n">
        <f aca="false">IFERROR(__xludf.dummyfunction("""COMPUTED_VALUE"""),50.74)</f>
        <v>50.74</v>
      </c>
      <c r="F179" s="2" t="n">
        <f aca="false">IFERROR(__xludf.dummyfunction("""COMPUTED_VALUE"""),1756917)</f>
        <v>1756917</v>
      </c>
    </row>
    <row r="180" customFormat="false" ht="15.75" hidden="false" customHeight="false" outlineLevel="0" collapsed="false">
      <c r="A180" s="3" t="n">
        <f aca="false">IFERROR(__xludf.dummyfunction("""COMPUTED_VALUE"""),44456.6666666667)</f>
        <v>44456.6666666667</v>
      </c>
      <c r="B180" s="2" t="n">
        <f aca="false">IFERROR(__xludf.dummyfunction("""COMPUTED_VALUE"""),50.4)</f>
        <v>50.4</v>
      </c>
      <c r="C180" s="2" t="n">
        <f aca="false">IFERROR(__xludf.dummyfunction("""COMPUTED_VALUE"""),50.76)</f>
        <v>50.76</v>
      </c>
      <c r="D180" s="2" t="n">
        <f aca="false">IFERROR(__xludf.dummyfunction("""COMPUTED_VALUE"""),50.1)</f>
        <v>50.1</v>
      </c>
      <c r="E180" s="2" t="n">
        <f aca="false">IFERROR(__xludf.dummyfunction("""COMPUTED_VALUE"""),50.6)</f>
        <v>50.6</v>
      </c>
      <c r="F180" s="2" t="n">
        <f aca="false">IFERROR(__xludf.dummyfunction("""COMPUTED_VALUE"""),3446968)</f>
        <v>3446968</v>
      </c>
    </row>
    <row r="181" customFormat="false" ht="15.75" hidden="false" customHeight="false" outlineLevel="0" collapsed="false">
      <c r="A181" s="3" t="n">
        <f aca="false">IFERROR(__xludf.dummyfunction("""COMPUTED_VALUE"""),44459.6666666667)</f>
        <v>44459.6666666667</v>
      </c>
      <c r="B181" s="2" t="n">
        <f aca="false">IFERROR(__xludf.dummyfunction("""COMPUTED_VALUE"""),49.9)</f>
        <v>49.9</v>
      </c>
      <c r="C181" s="2" t="n">
        <f aca="false">IFERROR(__xludf.dummyfunction("""COMPUTED_VALUE"""),50.3)</f>
        <v>50.3</v>
      </c>
      <c r="D181" s="2" t="n">
        <f aca="false">IFERROR(__xludf.dummyfunction("""COMPUTED_VALUE"""),48.84)</f>
        <v>48.84</v>
      </c>
      <c r="E181" s="2" t="n">
        <f aca="false">IFERROR(__xludf.dummyfunction("""COMPUTED_VALUE"""),49.48)</f>
        <v>49.48</v>
      </c>
      <c r="F181" s="2" t="n">
        <f aca="false">IFERROR(__xludf.dummyfunction("""COMPUTED_VALUE"""),3010547)</f>
        <v>3010547</v>
      </c>
    </row>
    <row r="182" customFormat="false" ht="15.75" hidden="false" customHeight="false" outlineLevel="0" collapsed="false">
      <c r="A182" s="3" t="n">
        <f aca="false">IFERROR(__xludf.dummyfunction("""COMPUTED_VALUE"""),44460.6666666667)</f>
        <v>44460.6666666667</v>
      </c>
      <c r="B182" s="2" t="n">
        <f aca="false">IFERROR(__xludf.dummyfunction("""COMPUTED_VALUE"""),49.35)</f>
        <v>49.35</v>
      </c>
      <c r="C182" s="2" t="n">
        <f aca="false">IFERROR(__xludf.dummyfunction("""COMPUTED_VALUE"""),49.38)</f>
        <v>49.38</v>
      </c>
      <c r="D182" s="2" t="n">
        <f aca="false">IFERROR(__xludf.dummyfunction("""COMPUTED_VALUE"""),48.7)</f>
        <v>48.7</v>
      </c>
      <c r="E182" s="2" t="n">
        <f aca="false">IFERROR(__xludf.dummyfunction("""COMPUTED_VALUE"""),49.1)</f>
        <v>49.1</v>
      </c>
      <c r="F182" s="2" t="n">
        <f aca="false">IFERROR(__xludf.dummyfunction("""COMPUTED_VALUE"""),1693622)</f>
        <v>1693622</v>
      </c>
    </row>
    <row r="183" customFormat="false" ht="15.75" hidden="false" customHeight="false" outlineLevel="0" collapsed="false">
      <c r="A183" s="3" t="n">
        <f aca="false">IFERROR(__xludf.dummyfunction("""COMPUTED_VALUE"""),44461.6666666667)</f>
        <v>44461.6666666667</v>
      </c>
      <c r="B183" s="2" t="n">
        <f aca="false">IFERROR(__xludf.dummyfunction("""COMPUTED_VALUE"""),49.43)</f>
        <v>49.43</v>
      </c>
      <c r="C183" s="2" t="n">
        <f aca="false">IFERROR(__xludf.dummyfunction("""COMPUTED_VALUE"""),50.3)</f>
        <v>50.3</v>
      </c>
      <c r="D183" s="2" t="n">
        <f aca="false">IFERROR(__xludf.dummyfunction("""COMPUTED_VALUE"""),49.22)</f>
        <v>49.22</v>
      </c>
      <c r="E183" s="2" t="n">
        <f aca="false">IFERROR(__xludf.dummyfunction("""COMPUTED_VALUE"""),50.06)</f>
        <v>50.06</v>
      </c>
      <c r="F183" s="2" t="n">
        <f aca="false">IFERROR(__xludf.dummyfunction("""COMPUTED_VALUE"""),2061043)</f>
        <v>2061043</v>
      </c>
    </row>
    <row r="184" customFormat="false" ht="15.75" hidden="false" customHeight="false" outlineLevel="0" collapsed="false">
      <c r="A184" s="3" t="n">
        <f aca="false">IFERROR(__xludf.dummyfunction("""COMPUTED_VALUE"""),44462.6666666667)</f>
        <v>44462.6666666667</v>
      </c>
      <c r="B184" s="2" t="n">
        <f aca="false">IFERROR(__xludf.dummyfunction("""COMPUTED_VALUE"""),50.25)</f>
        <v>50.25</v>
      </c>
      <c r="C184" s="2" t="n">
        <f aca="false">IFERROR(__xludf.dummyfunction("""COMPUTED_VALUE"""),50.73)</f>
        <v>50.73</v>
      </c>
      <c r="D184" s="2" t="n">
        <f aca="false">IFERROR(__xludf.dummyfunction("""COMPUTED_VALUE"""),50.06)</f>
        <v>50.06</v>
      </c>
      <c r="E184" s="2" t="n">
        <f aca="false">IFERROR(__xludf.dummyfunction("""COMPUTED_VALUE"""),50.43)</f>
        <v>50.43</v>
      </c>
      <c r="F184" s="2" t="n">
        <f aca="false">IFERROR(__xludf.dummyfunction("""COMPUTED_VALUE"""),1837027)</f>
        <v>1837027</v>
      </c>
    </row>
    <row r="185" customFormat="false" ht="15.75" hidden="false" customHeight="false" outlineLevel="0" collapsed="false">
      <c r="A185" s="3" t="n">
        <f aca="false">IFERROR(__xludf.dummyfunction("""COMPUTED_VALUE"""),44463.6666666667)</f>
        <v>44463.6666666667</v>
      </c>
      <c r="B185" s="2" t="n">
        <f aca="false">IFERROR(__xludf.dummyfunction("""COMPUTED_VALUE"""),50.23)</f>
        <v>50.23</v>
      </c>
      <c r="C185" s="2" t="n">
        <f aca="false">IFERROR(__xludf.dummyfunction("""COMPUTED_VALUE"""),50.55)</f>
        <v>50.55</v>
      </c>
      <c r="D185" s="2" t="n">
        <f aca="false">IFERROR(__xludf.dummyfunction("""COMPUTED_VALUE"""),50.08)</f>
        <v>50.08</v>
      </c>
      <c r="E185" s="2" t="n">
        <f aca="false">IFERROR(__xludf.dummyfunction("""COMPUTED_VALUE"""),50.49)</f>
        <v>50.49</v>
      </c>
      <c r="F185" s="2" t="n">
        <f aca="false">IFERROR(__xludf.dummyfunction("""COMPUTED_VALUE"""),1060793)</f>
        <v>1060793</v>
      </c>
    </row>
    <row r="186" customFormat="false" ht="15.75" hidden="false" customHeight="false" outlineLevel="0" collapsed="false">
      <c r="A186" s="3" t="n">
        <f aca="false">IFERROR(__xludf.dummyfunction("""COMPUTED_VALUE"""),44466.6666666667)</f>
        <v>44466.6666666667</v>
      </c>
      <c r="B186" s="2" t="n">
        <f aca="false">IFERROR(__xludf.dummyfunction("""COMPUTED_VALUE"""),49.98)</f>
        <v>49.98</v>
      </c>
      <c r="C186" s="2" t="n">
        <f aca="false">IFERROR(__xludf.dummyfunction("""COMPUTED_VALUE"""),50.58)</f>
        <v>50.58</v>
      </c>
      <c r="D186" s="2" t="n">
        <f aca="false">IFERROR(__xludf.dummyfunction("""COMPUTED_VALUE"""),49.74)</f>
        <v>49.74</v>
      </c>
      <c r="E186" s="2" t="n">
        <f aca="false">IFERROR(__xludf.dummyfunction("""COMPUTED_VALUE"""),50.49)</f>
        <v>50.49</v>
      </c>
      <c r="F186" s="2" t="n">
        <f aca="false">IFERROR(__xludf.dummyfunction("""COMPUTED_VALUE"""),983099)</f>
        <v>983099</v>
      </c>
    </row>
    <row r="187" customFormat="false" ht="15.75" hidden="false" customHeight="false" outlineLevel="0" collapsed="false">
      <c r="A187" s="3" t="n">
        <f aca="false">IFERROR(__xludf.dummyfunction("""COMPUTED_VALUE"""),44467.6666666667)</f>
        <v>44467.6666666667</v>
      </c>
      <c r="B187" s="2" t="n">
        <f aca="false">IFERROR(__xludf.dummyfunction("""COMPUTED_VALUE"""),49.7)</f>
        <v>49.7</v>
      </c>
      <c r="C187" s="2" t="n">
        <f aca="false">IFERROR(__xludf.dummyfunction("""COMPUTED_VALUE"""),50.15)</f>
        <v>50.15</v>
      </c>
      <c r="D187" s="2" t="n">
        <f aca="false">IFERROR(__xludf.dummyfunction("""COMPUTED_VALUE"""),49.05)</f>
        <v>49.05</v>
      </c>
      <c r="E187" s="2" t="n">
        <f aca="false">IFERROR(__xludf.dummyfunction("""COMPUTED_VALUE"""),49.1)</f>
        <v>49.1</v>
      </c>
      <c r="F187" s="2" t="n">
        <f aca="false">IFERROR(__xludf.dummyfunction("""COMPUTED_VALUE"""),2012409)</f>
        <v>2012409</v>
      </c>
    </row>
    <row r="188" customFormat="false" ht="15.75" hidden="false" customHeight="false" outlineLevel="0" collapsed="false">
      <c r="A188" s="3" t="n">
        <f aca="false">IFERROR(__xludf.dummyfunction("""COMPUTED_VALUE"""),44468.6666666667)</f>
        <v>44468.6666666667</v>
      </c>
      <c r="B188" s="2" t="n">
        <f aca="false">IFERROR(__xludf.dummyfunction("""COMPUTED_VALUE"""),49.36)</f>
        <v>49.36</v>
      </c>
      <c r="C188" s="2" t="n">
        <f aca="false">IFERROR(__xludf.dummyfunction("""COMPUTED_VALUE"""),49.43)</f>
        <v>49.43</v>
      </c>
      <c r="D188" s="2" t="n">
        <f aca="false">IFERROR(__xludf.dummyfunction("""COMPUTED_VALUE"""),48.77)</f>
        <v>48.77</v>
      </c>
      <c r="E188" s="2" t="n">
        <f aca="false">IFERROR(__xludf.dummyfunction("""COMPUTED_VALUE"""),48.95)</f>
        <v>48.95</v>
      </c>
      <c r="F188" s="2" t="n">
        <f aca="false">IFERROR(__xludf.dummyfunction("""COMPUTED_VALUE"""),1578367)</f>
        <v>1578367</v>
      </c>
    </row>
    <row r="189" customFormat="false" ht="15.75" hidden="false" customHeight="false" outlineLevel="0" collapsed="false">
      <c r="A189" s="3" t="n">
        <f aca="false">IFERROR(__xludf.dummyfunction("""COMPUTED_VALUE"""),44469.6666666667)</f>
        <v>44469.6666666667</v>
      </c>
      <c r="B189" s="2" t="n">
        <f aca="false">IFERROR(__xludf.dummyfunction("""COMPUTED_VALUE"""),49.45)</f>
        <v>49.45</v>
      </c>
      <c r="C189" s="2" t="n">
        <f aca="false">IFERROR(__xludf.dummyfunction("""COMPUTED_VALUE"""),49.45)</f>
        <v>49.45</v>
      </c>
      <c r="D189" s="2" t="n">
        <f aca="false">IFERROR(__xludf.dummyfunction("""COMPUTED_VALUE"""),48.45)</f>
        <v>48.45</v>
      </c>
      <c r="E189" s="2" t="n">
        <f aca="false">IFERROR(__xludf.dummyfunction("""COMPUTED_VALUE"""),48.49)</f>
        <v>48.49</v>
      </c>
      <c r="F189" s="2" t="n">
        <f aca="false">IFERROR(__xludf.dummyfunction("""COMPUTED_VALUE"""),1573539)</f>
        <v>1573539</v>
      </c>
    </row>
    <row r="190" customFormat="false" ht="15.75" hidden="false" customHeight="false" outlineLevel="0" collapsed="false">
      <c r="A190" s="3" t="n">
        <f aca="false">IFERROR(__xludf.dummyfunction("""COMPUTED_VALUE"""),44470.6666666667)</f>
        <v>44470.6666666667</v>
      </c>
      <c r="B190" s="2" t="n">
        <f aca="false">IFERROR(__xludf.dummyfunction("""COMPUTED_VALUE"""),48.79)</f>
        <v>48.79</v>
      </c>
      <c r="C190" s="2" t="n">
        <f aca="false">IFERROR(__xludf.dummyfunction("""COMPUTED_VALUE"""),48.87)</f>
        <v>48.87</v>
      </c>
      <c r="D190" s="2" t="n">
        <f aca="false">IFERROR(__xludf.dummyfunction("""COMPUTED_VALUE"""),47.75)</f>
        <v>47.75</v>
      </c>
      <c r="E190" s="2" t="n">
        <f aca="false">IFERROR(__xludf.dummyfunction("""COMPUTED_VALUE"""),48.74)</f>
        <v>48.74</v>
      </c>
      <c r="F190" s="2" t="n">
        <f aca="false">IFERROR(__xludf.dummyfunction("""COMPUTED_VALUE"""),1605175)</f>
        <v>1605175</v>
      </c>
    </row>
    <row r="191" customFormat="false" ht="15.75" hidden="false" customHeight="false" outlineLevel="0" collapsed="false">
      <c r="A191" s="3" t="n">
        <f aca="false">IFERROR(__xludf.dummyfunction("""COMPUTED_VALUE"""),44473.6666666667)</f>
        <v>44473.6666666667</v>
      </c>
      <c r="B191" s="2" t="n">
        <f aca="false">IFERROR(__xludf.dummyfunction("""COMPUTED_VALUE"""),48.49)</f>
        <v>48.49</v>
      </c>
      <c r="C191" s="2" t="n">
        <f aca="false">IFERROR(__xludf.dummyfunction("""COMPUTED_VALUE"""),48.66)</f>
        <v>48.66</v>
      </c>
      <c r="D191" s="2" t="n">
        <f aca="false">IFERROR(__xludf.dummyfunction("""COMPUTED_VALUE"""),47.28)</f>
        <v>47.28</v>
      </c>
      <c r="E191" s="2" t="n">
        <f aca="false">IFERROR(__xludf.dummyfunction("""COMPUTED_VALUE"""),47.6)</f>
        <v>47.6</v>
      </c>
      <c r="F191" s="2" t="n">
        <f aca="false">IFERROR(__xludf.dummyfunction("""COMPUTED_VALUE"""),2009284)</f>
        <v>2009284</v>
      </c>
    </row>
    <row r="192" customFormat="false" ht="15.75" hidden="false" customHeight="false" outlineLevel="0" collapsed="false">
      <c r="A192" s="3" t="n">
        <f aca="false">IFERROR(__xludf.dummyfunction("""COMPUTED_VALUE"""),44474.6666666667)</f>
        <v>44474.6666666667</v>
      </c>
      <c r="B192" s="2" t="n">
        <f aca="false">IFERROR(__xludf.dummyfunction("""COMPUTED_VALUE"""),47.59)</f>
        <v>47.59</v>
      </c>
      <c r="C192" s="2" t="n">
        <f aca="false">IFERROR(__xludf.dummyfunction("""COMPUTED_VALUE"""),48.98)</f>
        <v>48.98</v>
      </c>
      <c r="D192" s="2" t="n">
        <f aca="false">IFERROR(__xludf.dummyfunction("""COMPUTED_VALUE"""),47.53)</f>
        <v>47.53</v>
      </c>
      <c r="E192" s="2" t="n">
        <f aca="false">IFERROR(__xludf.dummyfunction("""COMPUTED_VALUE"""),48.54)</f>
        <v>48.54</v>
      </c>
      <c r="F192" s="2" t="n">
        <f aca="false">IFERROR(__xludf.dummyfunction("""COMPUTED_VALUE"""),1655798)</f>
        <v>1655798</v>
      </c>
    </row>
    <row r="193" customFormat="false" ht="15.75" hidden="false" customHeight="false" outlineLevel="0" collapsed="false">
      <c r="A193" s="3" t="n">
        <f aca="false">IFERROR(__xludf.dummyfunction("""COMPUTED_VALUE"""),44475.6666666667)</f>
        <v>44475.6666666667</v>
      </c>
      <c r="B193" s="2" t="n">
        <f aca="false">IFERROR(__xludf.dummyfunction("""COMPUTED_VALUE"""),48.31)</f>
        <v>48.31</v>
      </c>
      <c r="C193" s="2" t="n">
        <f aca="false">IFERROR(__xludf.dummyfunction("""COMPUTED_VALUE"""),48.94)</f>
        <v>48.94</v>
      </c>
      <c r="D193" s="2" t="n">
        <f aca="false">IFERROR(__xludf.dummyfunction("""COMPUTED_VALUE"""),47.97)</f>
        <v>47.97</v>
      </c>
      <c r="E193" s="2" t="n">
        <f aca="false">IFERROR(__xludf.dummyfunction("""COMPUTED_VALUE"""),48.88)</f>
        <v>48.88</v>
      </c>
      <c r="F193" s="2" t="n">
        <f aca="false">IFERROR(__xludf.dummyfunction("""COMPUTED_VALUE"""),1204169)</f>
        <v>1204169</v>
      </c>
    </row>
    <row r="194" customFormat="false" ht="15.75" hidden="false" customHeight="false" outlineLevel="0" collapsed="false">
      <c r="A194" s="3" t="n">
        <f aca="false">IFERROR(__xludf.dummyfunction("""COMPUTED_VALUE"""),44476.6666666667)</f>
        <v>44476.6666666667</v>
      </c>
      <c r="B194" s="2" t="n">
        <f aca="false">IFERROR(__xludf.dummyfunction("""COMPUTED_VALUE"""),49.26)</f>
        <v>49.26</v>
      </c>
      <c r="C194" s="2" t="n">
        <f aca="false">IFERROR(__xludf.dummyfunction("""COMPUTED_VALUE"""),49.99)</f>
        <v>49.99</v>
      </c>
      <c r="D194" s="2" t="n">
        <f aca="false">IFERROR(__xludf.dummyfunction("""COMPUTED_VALUE"""),49.26)</f>
        <v>49.26</v>
      </c>
      <c r="E194" s="2" t="n">
        <f aca="false">IFERROR(__xludf.dummyfunction("""COMPUTED_VALUE"""),49.39)</f>
        <v>49.39</v>
      </c>
      <c r="F194" s="2" t="n">
        <f aca="false">IFERROR(__xludf.dummyfunction("""COMPUTED_VALUE"""),1326088)</f>
        <v>1326088</v>
      </c>
    </row>
    <row r="195" customFormat="false" ht="15.75" hidden="false" customHeight="false" outlineLevel="0" collapsed="false">
      <c r="A195" s="3" t="n">
        <f aca="false">IFERROR(__xludf.dummyfunction("""COMPUTED_VALUE"""),44477.6666666667)</f>
        <v>44477.6666666667</v>
      </c>
      <c r="B195" s="2" t="n">
        <f aca="false">IFERROR(__xludf.dummyfunction("""COMPUTED_VALUE"""),49.68)</f>
        <v>49.68</v>
      </c>
      <c r="C195" s="2" t="n">
        <f aca="false">IFERROR(__xludf.dummyfunction("""COMPUTED_VALUE"""),49.8)</f>
        <v>49.8</v>
      </c>
      <c r="D195" s="2" t="n">
        <f aca="false">IFERROR(__xludf.dummyfunction("""COMPUTED_VALUE"""),49.13)</f>
        <v>49.13</v>
      </c>
      <c r="E195" s="2" t="n">
        <f aca="false">IFERROR(__xludf.dummyfunction("""COMPUTED_VALUE"""),49.29)</f>
        <v>49.29</v>
      </c>
      <c r="F195" s="2" t="n">
        <f aca="false">IFERROR(__xludf.dummyfunction("""COMPUTED_VALUE"""),1027984)</f>
        <v>1027984</v>
      </c>
    </row>
    <row r="196" customFormat="false" ht="15.75" hidden="false" customHeight="false" outlineLevel="0" collapsed="false">
      <c r="A196" s="3" t="n">
        <f aca="false">IFERROR(__xludf.dummyfunction("""COMPUTED_VALUE"""),44480.6666666667)</f>
        <v>44480.6666666667</v>
      </c>
      <c r="B196" s="2" t="n">
        <f aca="false">IFERROR(__xludf.dummyfunction("""COMPUTED_VALUE"""),49.12)</f>
        <v>49.12</v>
      </c>
      <c r="C196" s="2" t="n">
        <f aca="false">IFERROR(__xludf.dummyfunction("""COMPUTED_VALUE"""),49.96)</f>
        <v>49.96</v>
      </c>
      <c r="D196" s="2" t="n">
        <f aca="false">IFERROR(__xludf.dummyfunction("""COMPUTED_VALUE"""),49.09)</f>
        <v>49.09</v>
      </c>
      <c r="E196" s="2" t="n">
        <f aca="false">IFERROR(__xludf.dummyfunction("""COMPUTED_VALUE"""),49.23)</f>
        <v>49.23</v>
      </c>
      <c r="F196" s="2" t="n">
        <f aca="false">IFERROR(__xludf.dummyfunction("""COMPUTED_VALUE"""),1118804)</f>
        <v>1118804</v>
      </c>
    </row>
    <row r="197" customFormat="false" ht="15.75" hidden="false" customHeight="false" outlineLevel="0" collapsed="false">
      <c r="A197" s="3" t="n">
        <f aca="false">IFERROR(__xludf.dummyfunction("""COMPUTED_VALUE"""),44481.6666666667)</f>
        <v>44481.6666666667</v>
      </c>
      <c r="B197" s="2" t="n">
        <f aca="false">IFERROR(__xludf.dummyfunction("""COMPUTED_VALUE"""),49.58)</f>
        <v>49.58</v>
      </c>
      <c r="C197" s="2" t="n">
        <f aca="false">IFERROR(__xludf.dummyfunction("""COMPUTED_VALUE"""),49.67)</f>
        <v>49.67</v>
      </c>
      <c r="D197" s="2" t="n">
        <f aca="false">IFERROR(__xludf.dummyfunction("""COMPUTED_VALUE"""),48.2)</f>
        <v>48.2</v>
      </c>
      <c r="E197" s="2" t="n">
        <f aca="false">IFERROR(__xludf.dummyfunction("""COMPUTED_VALUE"""),48.53)</f>
        <v>48.53</v>
      </c>
      <c r="F197" s="2" t="n">
        <f aca="false">IFERROR(__xludf.dummyfunction("""COMPUTED_VALUE"""),2099054)</f>
        <v>2099054</v>
      </c>
    </row>
    <row r="198" customFormat="false" ht="15.75" hidden="false" customHeight="false" outlineLevel="0" collapsed="false">
      <c r="A198" s="3" t="n">
        <f aca="false">IFERROR(__xludf.dummyfunction("""COMPUTED_VALUE"""),44482.6666666667)</f>
        <v>44482.6666666667</v>
      </c>
      <c r="B198" s="2" t="n">
        <f aca="false">IFERROR(__xludf.dummyfunction("""COMPUTED_VALUE"""),48.12)</f>
        <v>48.12</v>
      </c>
      <c r="C198" s="2" t="n">
        <f aca="false">IFERROR(__xludf.dummyfunction("""COMPUTED_VALUE"""),48.54)</f>
        <v>48.54</v>
      </c>
      <c r="D198" s="2" t="n">
        <f aca="false">IFERROR(__xludf.dummyfunction("""COMPUTED_VALUE"""),47.96)</f>
        <v>47.96</v>
      </c>
      <c r="E198" s="2" t="n">
        <f aca="false">IFERROR(__xludf.dummyfunction("""COMPUTED_VALUE"""),48.5)</f>
        <v>48.5</v>
      </c>
      <c r="F198" s="2" t="n">
        <f aca="false">IFERROR(__xludf.dummyfunction("""COMPUTED_VALUE"""),1642533)</f>
        <v>1642533</v>
      </c>
    </row>
    <row r="199" customFormat="false" ht="15.75" hidden="false" customHeight="false" outlineLevel="0" collapsed="false">
      <c r="A199" s="3" t="n">
        <f aca="false">IFERROR(__xludf.dummyfunction("""COMPUTED_VALUE"""),44483.6666666667)</f>
        <v>44483.6666666667</v>
      </c>
      <c r="B199" s="2" t="n">
        <f aca="false">IFERROR(__xludf.dummyfunction("""COMPUTED_VALUE"""),49.19)</f>
        <v>49.19</v>
      </c>
      <c r="C199" s="2" t="n">
        <f aca="false">IFERROR(__xludf.dummyfunction("""COMPUTED_VALUE"""),49.92)</f>
        <v>49.92</v>
      </c>
      <c r="D199" s="2" t="n">
        <f aca="false">IFERROR(__xludf.dummyfunction("""COMPUTED_VALUE"""),49.08)</f>
        <v>49.08</v>
      </c>
      <c r="E199" s="2" t="n">
        <f aca="false">IFERROR(__xludf.dummyfunction("""COMPUTED_VALUE"""),49.76)</f>
        <v>49.76</v>
      </c>
      <c r="F199" s="2" t="n">
        <f aca="false">IFERROR(__xludf.dummyfunction("""COMPUTED_VALUE"""),1923297)</f>
        <v>1923297</v>
      </c>
    </row>
    <row r="200" customFormat="false" ht="15.75" hidden="false" customHeight="false" outlineLevel="0" collapsed="false">
      <c r="A200" s="3" t="n">
        <f aca="false">IFERROR(__xludf.dummyfunction("""COMPUTED_VALUE"""),44484.6666666667)</f>
        <v>44484.6666666667</v>
      </c>
      <c r="B200" s="2" t="n">
        <f aca="false">IFERROR(__xludf.dummyfunction("""COMPUTED_VALUE"""),50.44)</f>
        <v>50.44</v>
      </c>
      <c r="C200" s="2" t="n">
        <f aca="false">IFERROR(__xludf.dummyfunction("""COMPUTED_VALUE"""),50.59)</f>
        <v>50.59</v>
      </c>
      <c r="D200" s="2" t="n">
        <f aca="false">IFERROR(__xludf.dummyfunction("""COMPUTED_VALUE"""),50.11)</f>
        <v>50.11</v>
      </c>
      <c r="E200" s="2" t="n">
        <f aca="false">IFERROR(__xludf.dummyfunction("""COMPUTED_VALUE"""),50.33)</f>
        <v>50.33</v>
      </c>
      <c r="F200" s="2" t="n">
        <f aca="false">IFERROR(__xludf.dummyfunction("""COMPUTED_VALUE"""),2510461)</f>
        <v>2510461</v>
      </c>
    </row>
    <row r="201" customFormat="false" ht="15.75" hidden="false" customHeight="false" outlineLevel="0" collapsed="false">
      <c r="A201" s="3" t="n">
        <f aca="false">IFERROR(__xludf.dummyfunction("""COMPUTED_VALUE"""),44487.6666666667)</f>
        <v>44487.6666666667</v>
      </c>
      <c r="B201" s="2" t="n">
        <f aca="false">IFERROR(__xludf.dummyfunction("""COMPUTED_VALUE"""),50.04)</f>
        <v>50.04</v>
      </c>
      <c r="C201" s="2" t="n">
        <f aca="false">IFERROR(__xludf.dummyfunction("""COMPUTED_VALUE"""),50.4)</f>
        <v>50.4</v>
      </c>
      <c r="D201" s="2" t="n">
        <f aca="false">IFERROR(__xludf.dummyfunction("""COMPUTED_VALUE"""),49.87)</f>
        <v>49.87</v>
      </c>
      <c r="E201" s="2" t="n">
        <f aca="false">IFERROR(__xludf.dummyfunction("""COMPUTED_VALUE"""),50.34)</f>
        <v>50.34</v>
      </c>
      <c r="F201" s="2" t="n">
        <f aca="false">IFERROR(__xludf.dummyfunction("""COMPUTED_VALUE"""),1604242)</f>
        <v>1604242</v>
      </c>
    </row>
    <row r="202" customFormat="false" ht="15.75" hidden="false" customHeight="false" outlineLevel="0" collapsed="false">
      <c r="A202" s="3" t="n">
        <f aca="false">IFERROR(__xludf.dummyfunction("""COMPUTED_VALUE"""),44488.6666666667)</f>
        <v>44488.6666666667</v>
      </c>
      <c r="B202" s="2" t="n">
        <f aca="false">IFERROR(__xludf.dummyfunction("""COMPUTED_VALUE"""),50.43)</f>
        <v>50.43</v>
      </c>
      <c r="C202" s="2" t="n">
        <f aca="false">IFERROR(__xludf.dummyfunction("""COMPUTED_VALUE"""),51.09)</f>
        <v>51.09</v>
      </c>
      <c r="D202" s="2" t="n">
        <f aca="false">IFERROR(__xludf.dummyfunction("""COMPUTED_VALUE"""),50.18)</f>
        <v>50.18</v>
      </c>
      <c r="E202" s="2" t="n">
        <f aca="false">IFERROR(__xludf.dummyfunction("""COMPUTED_VALUE"""),51.04)</f>
        <v>51.04</v>
      </c>
      <c r="F202" s="2" t="n">
        <f aca="false">IFERROR(__xludf.dummyfunction("""COMPUTED_VALUE"""),1638306)</f>
        <v>1638306</v>
      </c>
    </row>
    <row r="203" customFormat="false" ht="15.75" hidden="false" customHeight="false" outlineLevel="0" collapsed="false">
      <c r="A203" s="3" t="n">
        <f aca="false">IFERROR(__xludf.dummyfunction("""COMPUTED_VALUE"""),44489.6666666667)</f>
        <v>44489.6666666667</v>
      </c>
      <c r="B203" s="2" t="n">
        <f aca="false">IFERROR(__xludf.dummyfunction("""COMPUTED_VALUE"""),51.1)</f>
        <v>51.1</v>
      </c>
      <c r="C203" s="2" t="n">
        <f aca="false">IFERROR(__xludf.dummyfunction("""COMPUTED_VALUE"""),51.34)</f>
        <v>51.34</v>
      </c>
      <c r="D203" s="2" t="n">
        <f aca="false">IFERROR(__xludf.dummyfunction("""COMPUTED_VALUE"""),50.84)</f>
        <v>50.84</v>
      </c>
      <c r="E203" s="2" t="n">
        <f aca="false">IFERROR(__xludf.dummyfunction("""COMPUTED_VALUE"""),50.94)</f>
        <v>50.94</v>
      </c>
      <c r="F203" s="2" t="n">
        <f aca="false">IFERROR(__xludf.dummyfunction("""COMPUTED_VALUE"""),1345845)</f>
        <v>1345845</v>
      </c>
    </row>
    <row r="204" customFormat="false" ht="15.75" hidden="false" customHeight="false" outlineLevel="0" collapsed="false">
      <c r="A204" s="3" t="n">
        <f aca="false">IFERROR(__xludf.dummyfunction("""COMPUTED_VALUE"""),44490.6666666667)</f>
        <v>44490.6666666667</v>
      </c>
      <c r="B204" s="2" t="n">
        <f aca="false">IFERROR(__xludf.dummyfunction("""COMPUTED_VALUE"""),50.94)</f>
        <v>50.94</v>
      </c>
      <c r="C204" s="2" t="n">
        <f aca="false">IFERROR(__xludf.dummyfunction("""COMPUTED_VALUE"""),51.48)</f>
        <v>51.48</v>
      </c>
      <c r="D204" s="2" t="n">
        <f aca="false">IFERROR(__xludf.dummyfunction("""COMPUTED_VALUE"""),50.86)</f>
        <v>50.86</v>
      </c>
      <c r="E204" s="2" t="n">
        <f aca="false">IFERROR(__xludf.dummyfunction("""COMPUTED_VALUE"""),51.42)</f>
        <v>51.42</v>
      </c>
      <c r="F204" s="2" t="n">
        <f aca="false">IFERROR(__xludf.dummyfunction("""COMPUTED_VALUE"""),1178679)</f>
        <v>1178679</v>
      </c>
    </row>
    <row r="205" customFormat="false" ht="15.75" hidden="false" customHeight="false" outlineLevel="0" collapsed="false">
      <c r="A205" s="3" t="n">
        <f aca="false">IFERROR(__xludf.dummyfunction("""COMPUTED_VALUE"""),44491.6666666667)</f>
        <v>44491.6666666667</v>
      </c>
      <c r="B205" s="2" t="n">
        <f aca="false">IFERROR(__xludf.dummyfunction("""COMPUTED_VALUE"""),51.47)</f>
        <v>51.47</v>
      </c>
      <c r="C205" s="2" t="n">
        <f aca="false">IFERROR(__xludf.dummyfunction("""COMPUTED_VALUE"""),52.14)</f>
        <v>52.14</v>
      </c>
      <c r="D205" s="2" t="n">
        <f aca="false">IFERROR(__xludf.dummyfunction("""COMPUTED_VALUE"""),51.3)</f>
        <v>51.3</v>
      </c>
      <c r="E205" s="2" t="n">
        <f aca="false">IFERROR(__xludf.dummyfunction("""COMPUTED_VALUE"""),51.54)</f>
        <v>51.54</v>
      </c>
      <c r="F205" s="2" t="n">
        <f aca="false">IFERROR(__xludf.dummyfunction("""COMPUTED_VALUE"""),1536739)</f>
        <v>1536739</v>
      </c>
    </row>
    <row r="206" customFormat="false" ht="15.75" hidden="false" customHeight="false" outlineLevel="0" collapsed="false">
      <c r="A206" s="3" t="n">
        <f aca="false">IFERROR(__xludf.dummyfunction("""COMPUTED_VALUE"""),44494.6666666667)</f>
        <v>44494.6666666667</v>
      </c>
      <c r="B206" s="2" t="n">
        <f aca="false">IFERROR(__xludf.dummyfunction("""COMPUTED_VALUE"""),51.75)</f>
        <v>51.75</v>
      </c>
      <c r="C206" s="2" t="n">
        <f aca="false">IFERROR(__xludf.dummyfunction("""COMPUTED_VALUE"""),52.45)</f>
        <v>52.45</v>
      </c>
      <c r="D206" s="2" t="n">
        <f aca="false">IFERROR(__xludf.dummyfunction("""COMPUTED_VALUE"""),51.52)</f>
        <v>51.52</v>
      </c>
      <c r="E206" s="2" t="n">
        <f aca="false">IFERROR(__xludf.dummyfunction("""COMPUTED_VALUE"""),52.21)</f>
        <v>52.21</v>
      </c>
      <c r="F206" s="2" t="n">
        <f aca="false">IFERROR(__xludf.dummyfunction("""COMPUTED_VALUE"""),1241554)</f>
        <v>1241554</v>
      </c>
    </row>
    <row r="207" customFormat="false" ht="15.75" hidden="false" customHeight="false" outlineLevel="0" collapsed="false">
      <c r="A207" s="3" t="n">
        <f aca="false">IFERROR(__xludf.dummyfunction("""COMPUTED_VALUE"""),44495.6666666667)</f>
        <v>44495.6666666667</v>
      </c>
      <c r="B207" s="2" t="n">
        <f aca="false">IFERROR(__xludf.dummyfunction("""COMPUTED_VALUE"""),52.52)</f>
        <v>52.52</v>
      </c>
      <c r="C207" s="2" t="n">
        <f aca="false">IFERROR(__xludf.dummyfunction("""COMPUTED_VALUE"""),53.5)</f>
        <v>53.5</v>
      </c>
      <c r="D207" s="2" t="n">
        <f aca="false">IFERROR(__xludf.dummyfunction("""COMPUTED_VALUE"""),52.4)</f>
        <v>52.4</v>
      </c>
      <c r="E207" s="2" t="n">
        <f aca="false">IFERROR(__xludf.dummyfunction("""COMPUTED_VALUE"""),53.39)</f>
        <v>53.39</v>
      </c>
      <c r="F207" s="2" t="n">
        <f aca="false">IFERROR(__xludf.dummyfunction("""COMPUTED_VALUE"""),2404304)</f>
        <v>2404304</v>
      </c>
    </row>
    <row r="208" customFormat="false" ht="15.75" hidden="false" customHeight="false" outlineLevel="0" collapsed="false">
      <c r="A208" s="3" t="n">
        <f aca="false">IFERROR(__xludf.dummyfunction("""COMPUTED_VALUE"""),44496.6666666667)</f>
        <v>44496.6666666667</v>
      </c>
      <c r="B208" s="2" t="n">
        <f aca="false">IFERROR(__xludf.dummyfunction("""COMPUTED_VALUE"""),53.18)</f>
        <v>53.18</v>
      </c>
      <c r="C208" s="2" t="n">
        <f aca="false">IFERROR(__xludf.dummyfunction("""COMPUTED_VALUE"""),53.61)</f>
        <v>53.61</v>
      </c>
      <c r="D208" s="2" t="n">
        <f aca="false">IFERROR(__xludf.dummyfunction("""COMPUTED_VALUE"""),52.19)</f>
        <v>52.19</v>
      </c>
      <c r="E208" s="2" t="n">
        <f aca="false">IFERROR(__xludf.dummyfunction("""COMPUTED_VALUE"""),52.31)</f>
        <v>52.31</v>
      </c>
      <c r="F208" s="2" t="n">
        <f aca="false">IFERROR(__xludf.dummyfunction("""COMPUTED_VALUE"""),2350034)</f>
        <v>2350034</v>
      </c>
    </row>
    <row r="209" customFormat="false" ht="15.75" hidden="false" customHeight="false" outlineLevel="0" collapsed="false">
      <c r="A209" s="3" t="n">
        <f aca="false">IFERROR(__xludf.dummyfunction("""COMPUTED_VALUE"""),44497.6666666667)</f>
        <v>44497.6666666667</v>
      </c>
      <c r="B209" s="2" t="n">
        <f aca="false">IFERROR(__xludf.dummyfunction("""COMPUTED_VALUE"""),52.41)</f>
        <v>52.41</v>
      </c>
      <c r="C209" s="2" t="n">
        <f aca="false">IFERROR(__xludf.dummyfunction("""COMPUTED_VALUE"""),53)</f>
        <v>53</v>
      </c>
      <c r="D209" s="2" t="n">
        <f aca="false">IFERROR(__xludf.dummyfunction("""COMPUTED_VALUE"""),52.34)</f>
        <v>52.34</v>
      </c>
      <c r="E209" s="2" t="n">
        <f aca="false">IFERROR(__xludf.dummyfunction("""COMPUTED_VALUE"""),52.96)</f>
        <v>52.96</v>
      </c>
      <c r="F209" s="2" t="n">
        <f aca="false">IFERROR(__xludf.dummyfunction("""COMPUTED_VALUE"""),1187523)</f>
        <v>1187523</v>
      </c>
    </row>
    <row r="210" customFormat="false" ht="15.75" hidden="false" customHeight="false" outlineLevel="0" collapsed="false">
      <c r="A210" s="3" t="n">
        <f aca="false">IFERROR(__xludf.dummyfunction("""COMPUTED_VALUE"""),44498.6666666667)</f>
        <v>44498.6666666667</v>
      </c>
      <c r="B210" s="2" t="n">
        <f aca="false">IFERROR(__xludf.dummyfunction("""COMPUTED_VALUE"""),52.35)</f>
        <v>52.35</v>
      </c>
      <c r="C210" s="2" t="n">
        <f aca="false">IFERROR(__xludf.dummyfunction("""COMPUTED_VALUE"""),53.22)</f>
        <v>53.22</v>
      </c>
      <c r="D210" s="2" t="n">
        <f aca="false">IFERROR(__xludf.dummyfunction("""COMPUTED_VALUE"""),52.35)</f>
        <v>52.35</v>
      </c>
      <c r="E210" s="2" t="n">
        <f aca="false">IFERROR(__xludf.dummyfunction("""COMPUTED_VALUE"""),53.17)</f>
        <v>53.17</v>
      </c>
      <c r="F210" s="2" t="n">
        <f aca="false">IFERROR(__xludf.dummyfunction("""COMPUTED_VALUE"""),1556429)</f>
        <v>1556429</v>
      </c>
    </row>
    <row r="211" customFormat="false" ht="15.75" hidden="false" customHeight="false" outlineLevel="0" collapsed="false">
      <c r="A211" s="3" t="n">
        <f aca="false">IFERROR(__xludf.dummyfunction("""COMPUTED_VALUE"""),44501.6666666667)</f>
        <v>44501.6666666667</v>
      </c>
      <c r="B211" s="2" t="n">
        <f aca="false">IFERROR(__xludf.dummyfunction("""COMPUTED_VALUE"""),53.03)</f>
        <v>53.03</v>
      </c>
      <c r="C211" s="2" t="n">
        <f aca="false">IFERROR(__xludf.dummyfunction("""COMPUTED_VALUE"""),53.26)</f>
        <v>53.26</v>
      </c>
      <c r="D211" s="2" t="n">
        <f aca="false">IFERROR(__xludf.dummyfunction("""COMPUTED_VALUE"""),52.49)</f>
        <v>52.49</v>
      </c>
      <c r="E211" s="2" t="n">
        <f aca="false">IFERROR(__xludf.dummyfunction("""COMPUTED_VALUE"""),52.81)</f>
        <v>52.81</v>
      </c>
      <c r="F211" s="2" t="n">
        <f aca="false">IFERROR(__xludf.dummyfunction("""COMPUTED_VALUE"""),1689598)</f>
        <v>1689598</v>
      </c>
    </row>
    <row r="212" customFormat="false" ht="15.75" hidden="false" customHeight="false" outlineLevel="0" collapsed="false">
      <c r="A212" s="3" t="n">
        <f aca="false">IFERROR(__xludf.dummyfunction("""COMPUTED_VALUE"""),44502.6666666667)</f>
        <v>44502.6666666667</v>
      </c>
      <c r="B212" s="2" t="n">
        <f aca="false">IFERROR(__xludf.dummyfunction("""COMPUTED_VALUE"""),52.74)</f>
        <v>52.74</v>
      </c>
      <c r="C212" s="2" t="n">
        <f aca="false">IFERROR(__xludf.dummyfunction("""COMPUTED_VALUE"""),54.08)</f>
        <v>54.08</v>
      </c>
      <c r="D212" s="2" t="n">
        <f aca="false">IFERROR(__xludf.dummyfunction("""COMPUTED_VALUE"""),52.67)</f>
        <v>52.67</v>
      </c>
      <c r="E212" s="2" t="n">
        <f aca="false">IFERROR(__xludf.dummyfunction("""COMPUTED_VALUE"""),53.71)</f>
        <v>53.71</v>
      </c>
      <c r="F212" s="2" t="n">
        <f aca="false">IFERROR(__xludf.dummyfunction("""COMPUTED_VALUE"""),1626300)</f>
        <v>1626300</v>
      </c>
    </row>
    <row r="213" customFormat="false" ht="15.75" hidden="false" customHeight="false" outlineLevel="0" collapsed="false">
      <c r="A213" s="3" t="n">
        <f aca="false">IFERROR(__xludf.dummyfunction("""COMPUTED_VALUE"""),44503.6666666667)</f>
        <v>44503.6666666667</v>
      </c>
      <c r="B213" s="2" t="n">
        <f aca="false">IFERROR(__xludf.dummyfunction("""COMPUTED_VALUE"""),53.91)</f>
        <v>53.91</v>
      </c>
      <c r="C213" s="2" t="n">
        <f aca="false">IFERROR(__xludf.dummyfunction("""COMPUTED_VALUE"""),54.38)</f>
        <v>54.38</v>
      </c>
      <c r="D213" s="2" t="n">
        <f aca="false">IFERROR(__xludf.dummyfunction("""COMPUTED_VALUE"""),53.38)</f>
        <v>53.38</v>
      </c>
      <c r="E213" s="2" t="n">
        <f aca="false">IFERROR(__xludf.dummyfunction("""COMPUTED_VALUE"""),54.24)</f>
        <v>54.24</v>
      </c>
      <c r="F213" s="2" t="n">
        <f aca="false">IFERROR(__xludf.dummyfunction("""COMPUTED_VALUE"""),1403784)</f>
        <v>1403784</v>
      </c>
    </row>
    <row r="214" customFormat="false" ht="15.75" hidden="false" customHeight="false" outlineLevel="0" collapsed="false">
      <c r="A214" s="3" t="n">
        <f aca="false">IFERROR(__xludf.dummyfunction("""COMPUTED_VALUE"""),44504.6666666667)</f>
        <v>44504.6666666667</v>
      </c>
      <c r="B214" s="2" t="n">
        <f aca="false">IFERROR(__xludf.dummyfunction("""COMPUTED_VALUE"""),54.38)</f>
        <v>54.38</v>
      </c>
      <c r="C214" s="2" t="n">
        <f aca="false">IFERROR(__xludf.dummyfunction("""COMPUTED_VALUE"""),54.91)</f>
        <v>54.91</v>
      </c>
      <c r="D214" s="2" t="n">
        <f aca="false">IFERROR(__xludf.dummyfunction("""COMPUTED_VALUE"""),54.09)</f>
        <v>54.09</v>
      </c>
      <c r="E214" s="2" t="n">
        <f aca="false">IFERROR(__xludf.dummyfunction("""COMPUTED_VALUE"""),54.86)</f>
        <v>54.86</v>
      </c>
      <c r="F214" s="2" t="n">
        <f aca="false">IFERROR(__xludf.dummyfunction("""COMPUTED_VALUE"""),1595804)</f>
        <v>1595804</v>
      </c>
    </row>
    <row r="215" customFormat="false" ht="15.75" hidden="false" customHeight="false" outlineLevel="0" collapsed="false">
      <c r="A215" s="3" t="n">
        <f aca="false">IFERROR(__xludf.dummyfunction("""COMPUTED_VALUE"""),44505.6666666667)</f>
        <v>44505.6666666667</v>
      </c>
      <c r="B215" s="2" t="n">
        <f aca="false">IFERROR(__xludf.dummyfunction("""COMPUTED_VALUE"""),55)</f>
        <v>55</v>
      </c>
      <c r="C215" s="2" t="n">
        <f aca="false">IFERROR(__xludf.dummyfunction("""COMPUTED_VALUE"""),55.97)</f>
        <v>55.97</v>
      </c>
      <c r="D215" s="2" t="n">
        <f aca="false">IFERROR(__xludf.dummyfunction("""COMPUTED_VALUE"""),54.98)</f>
        <v>54.98</v>
      </c>
      <c r="E215" s="2" t="n">
        <f aca="false">IFERROR(__xludf.dummyfunction("""COMPUTED_VALUE"""),55.89)</f>
        <v>55.89</v>
      </c>
      <c r="F215" s="2" t="n">
        <f aca="false">IFERROR(__xludf.dummyfunction("""COMPUTED_VALUE"""),1867351)</f>
        <v>1867351</v>
      </c>
    </row>
    <row r="216" customFormat="false" ht="15.75" hidden="false" customHeight="false" outlineLevel="0" collapsed="false">
      <c r="A216" s="3" t="n">
        <f aca="false">IFERROR(__xludf.dummyfunction("""COMPUTED_VALUE"""),44508.6666666667)</f>
        <v>44508.6666666667</v>
      </c>
      <c r="B216" s="2" t="n">
        <f aca="false">IFERROR(__xludf.dummyfunction("""COMPUTED_VALUE"""),56.2)</f>
        <v>56.2</v>
      </c>
      <c r="C216" s="2" t="n">
        <f aca="false">IFERROR(__xludf.dummyfunction("""COMPUTED_VALUE"""),56.39)</f>
        <v>56.39</v>
      </c>
      <c r="D216" s="2" t="n">
        <f aca="false">IFERROR(__xludf.dummyfunction("""COMPUTED_VALUE"""),55.81)</f>
        <v>55.81</v>
      </c>
      <c r="E216" s="2" t="n">
        <f aca="false">IFERROR(__xludf.dummyfunction("""COMPUTED_VALUE"""),55.9)</f>
        <v>55.9</v>
      </c>
      <c r="F216" s="2" t="n">
        <f aca="false">IFERROR(__xludf.dummyfunction("""COMPUTED_VALUE"""),1723365)</f>
        <v>1723365</v>
      </c>
    </row>
    <row r="217" customFormat="false" ht="15.75" hidden="false" customHeight="false" outlineLevel="0" collapsed="false">
      <c r="A217" s="3" t="n">
        <f aca="false">IFERROR(__xludf.dummyfunction("""COMPUTED_VALUE"""),44509.6666666667)</f>
        <v>44509.6666666667</v>
      </c>
      <c r="B217" s="2" t="n">
        <f aca="false">IFERROR(__xludf.dummyfunction("""COMPUTED_VALUE"""),55.92)</f>
        <v>55.92</v>
      </c>
      <c r="C217" s="2" t="n">
        <f aca="false">IFERROR(__xludf.dummyfunction("""COMPUTED_VALUE"""),56.19)</f>
        <v>56.19</v>
      </c>
      <c r="D217" s="2" t="n">
        <f aca="false">IFERROR(__xludf.dummyfunction("""COMPUTED_VALUE"""),55.51)</f>
        <v>55.51</v>
      </c>
      <c r="E217" s="2" t="n">
        <f aca="false">IFERROR(__xludf.dummyfunction("""COMPUTED_VALUE"""),55.78)</f>
        <v>55.78</v>
      </c>
      <c r="F217" s="2" t="n">
        <f aca="false">IFERROR(__xludf.dummyfunction("""COMPUTED_VALUE"""),1583843)</f>
        <v>1583843</v>
      </c>
    </row>
    <row r="218" customFormat="false" ht="15.75" hidden="false" customHeight="false" outlineLevel="0" collapsed="false">
      <c r="A218" s="3" t="n">
        <f aca="false">IFERROR(__xludf.dummyfunction("""COMPUTED_VALUE"""),44510.6666666667)</f>
        <v>44510.6666666667</v>
      </c>
      <c r="B218" s="2" t="n">
        <f aca="false">IFERROR(__xludf.dummyfunction("""COMPUTED_VALUE"""),55.43)</f>
        <v>55.43</v>
      </c>
      <c r="C218" s="2" t="n">
        <f aca="false">IFERROR(__xludf.dummyfunction("""COMPUTED_VALUE"""),56.09)</f>
        <v>56.09</v>
      </c>
      <c r="D218" s="2" t="n">
        <f aca="false">IFERROR(__xludf.dummyfunction("""COMPUTED_VALUE"""),54.81)</f>
        <v>54.81</v>
      </c>
      <c r="E218" s="2" t="n">
        <f aca="false">IFERROR(__xludf.dummyfunction("""COMPUTED_VALUE"""),54.88)</f>
        <v>54.88</v>
      </c>
      <c r="F218" s="2" t="n">
        <f aca="false">IFERROR(__xludf.dummyfunction("""COMPUTED_VALUE"""),1844824)</f>
        <v>1844824</v>
      </c>
    </row>
    <row r="219" customFormat="false" ht="15.75" hidden="false" customHeight="false" outlineLevel="0" collapsed="false">
      <c r="A219" s="3" t="n">
        <f aca="false">IFERROR(__xludf.dummyfunction("""COMPUTED_VALUE"""),44511.6666666667)</f>
        <v>44511.6666666667</v>
      </c>
      <c r="B219" s="2" t="n">
        <f aca="false">IFERROR(__xludf.dummyfunction("""COMPUTED_VALUE"""),55.27)</f>
        <v>55.27</v>
      </c>
      <c r="C219" s="2" t="n">
        <f aca="false">IFERROR(__xludf.dummyfunction("""COMPUTED_VALUE"""),55.71)</f>
        <v>55.71</v>
      </c>
      <c r="D219" s="2" t="n">
        <f aca="false">IFERROR(__xludf.dummyfunction("""COMPUTED_VALUE"""),54.88)</f>
        <v>54.88</v>
      </c>
      <c r="E219" s="2" t="n">
        <f aca="false">IFERROR(__xludf.dummyfunction("""COMPUTED_VALUE"""),55.54)</f>
        <v>55.54</v>
      </c>
      <c r="F219" s="2" t="n">
        <f aca="false">IFERROR(__xludf.dummyfunction("""COMPUTED_VALUE"""),1415701)</f>
        <v>1415701</v>
      </c>
    </row>
    <row r="220" customFormat="false" ht="15.75" hidden="false" customHeight="false" outlineLevel="0" collapsed="false">
      <c r="A220" s="3" t="n">
        <f aca="false">IFERROR(__xludf.dummyfunction("""COMPUTED_VALUE"""),44512.6666666667)</f>
        <v>44512.6666666667</v>
      </c>
      <c r="B220" s="2" t="n">
        <f aca="false">IFERROR(__xludf.dummyfunction("""COMPUTED_VALUE"""),55.84)</f>
        <v>55.84</v>
      </c>
      <c r="C220" s="2" t="n">
        <f aca="false">IFERROR(__xludf.dummyfunction("""COMPUTED_VALUE"""),56.58)</f>
        <v>56.58</v>
      </c>
      <c r="D220" s="2" t="n">
        <f aca="false">IFERROR(__xludf.dummyfunction("""COMPUTED_VALUE"""),55.46)</f>
        <v>55.46</v>
      </c>
      <c r="E220" s="2" t="n">
        <f aca="false">IFERROR(__xludf.dummyfunction("""COMPUTED_VALUE"""),56.32)</f>
        <v>56.32</v>
      </c>
      <c r="F220" s="2" t="n">
        <f aca="false">IFERROR(__xludf.dummyfunction("""COMPUTED_VALUE"""),1359222)</f>
        <v>1359222</v>
      </c>
    </row>
    <row r="221" customFormat="false" ht="15.75" hidden="false" customHeight="false" outlineLevel="0" collapsed="false">
      <c r="A221" s="3" t="n">
        <f aca="false">IFERROR(__xludf.dummyfunction("""COMPUTED_VALUE"""),44515.6666666667)</f>
        <v>44515.6666666667</v>
      </c>
      <c r="B221" s="2" t="n">
        <f aca="false">IFERROR(__xludf.dummyfunction("""COMPUTED_VALUE"""),56.77)</f>
        <v>56.77</v>
      </c>
      <c r="C221" s="2" t="n">
        <f aca="false">IFERROR(__xludf.dummyfunction("""COMPUTED_VALUE"""),56.77)</f>
        <v>56.77</v>
      </c>
      <c r="D221" s="2" t="n">
        <f aca="false">IFERROR(__xludf.dummyfunction("""COMPUTED_VALUE"""),55.98)</f>
        <v>55.98</v>
      </c>
      <c r="E221" s="2" t="n">
        <f aca="false">IFERROR(__xludf.dummyfunction("""COMPUTED_VALUE"""),56.58)</f>
        <v>56.58</v>
      </c>
      <c r="F221" s="2" t="n">
        <f aca="false">IFERROR(__xludf.dummyfunction("""COMPUTED_VALUE"""),1397239)</f>
        <v>1397239</v>
      </c>
    </row>
    <row r="222" customFormat="false" ht="15.75" hidden="false" customHeight="false" outlineLevel="0" collapsed="false">
      <c r="A222" s="3" t="n">
        <f aca="false">IFERROR(__xludf.dummyfunction("""COMPUTED_VALUE"""),44516.6666666667)</f>
        <v>44516.6666666667</v>
      </c>
      <c r="B222" s="2" t="n">
        <f aca="false">IFERROR(__xludf.dummyfunction("""COMPUTED_VALUE"""),56.41)</f>
        <v>56.41</v>
      </c>
      <c r="C222" s="2" t="n">
        <f aca="false">IFERROR(__xludf.dummyfunction("""COMPUTED_VALUE"""),56.95)</f>
        <v>56.95</v>
      </c>
      <c r="D222" s="2" t="n">
        <f aca="false">IFERROR(__xludf.dummyfunction("""COMPUTED_VALUE"""),56.27)</f>
        <v>56.27</v>
      </c>
      <c r="E222" s="2" t="n">
        <f aca="false">IFERROR(__xludf.dummyfunction("""COMPUTED_VALUE"""),56.88)</f>
        <v>56.88</v>
      </c>
      <c r="F222" s="2" t="n">
        <f aca="false">IFERROR(__xludf.dummyfunction("""COMPUTED_VALUE"""),1319404)</f>
        <v>1319404</v>
      </c>
    </row>
    <row r="223" customFormat="false" ht="15.75" hidden="false" customHeight="false" outlineLevel="0" collapsed="false">
      <c r="A223" s="3" t="n">
        <f aca="false">IFERROR(__xludf.dummyfunction("""COMPUTED_VALUE"""),44517.6666666667)</f>
        <v>44517.6666666667</v>
      </c>
      <c r="B223" s="2" t="n">
        <f aca="false">IFERROR(__xludf.dummyfunction("""COMPUTED_VALUE"""),56.81)</f>
        <v>56.81</v>
      </c>
      <c r="C223" s="2" t="n">
        <f aca="false">IFERROR(__xludf.dummyfunction("""COMPUTED_VALUE"""),57.14)</f>
        <v>57.14</v>
      </c>
      <c r="D223" s="2" t="n">
        <f aca="false">IFERROR(__xludf.dummyfunction("""COMPUTED_VALUE"""),56.41)</f>
        <v>56.41</v>
      </c>
      <c r="E223" s="2" t="n">
        <f aca="false">IFERROR(__xludf.dummyfunction("""COMPUTED_VALUE"""),56.96)</f>
        <v>56.96</v>
      </c>
      <c r="F223" s="2" t="n">
        <f aca="false">IFERROR(__xludf.dummyfunction("""COMPUTED_VALUE"""),1253294)</f>
        <v>1253294</v>
      </c>
    </row>
    <row r="224" customFormat="false" ht="15.75" hidden="false" customHeight="false" outlineLevel="0" collapsed="false">
      <c r="A224" s="3" t="n">
        <f aca="false">IFERROR(__xludf.dummyfunction("""COMPUTED_VALUE"""),44518.6666666667)</f>
        <v>44518.6666666667</v>
      </c>
      <c r="B224" s="2" t="n">
        <f aca="false">IFERROR(__xludf.dummyfunction("""COMPUTED_VALUE"""),57.11)</f>
        <v>57.11</v>
      </c>
      <c r="C224" s="2" t="n">
        <f aca="false">IFERROR(__xludf.dummyfunction("""COMPUTED_VALUE"""),57.67)</f>
        <v>57.67</v>
      </c>
      <c r="D224" s="2" t="n">
        <f aca="false">IFERROR(__xludf.dummyfunction("""COMPUTED_VALUE"""),56.96)</f>
        <v>56.96</v>
      </c>
      <c r="E224" s="2" t="n">
        <f aca="false">IFERROR(__xludf.dummyfunction("""COMPUTED_VALUE"""),57.48)</f>
        <v>57.48</v>
      </c>
      <c r="F224" s="2" t="n">
        <f aca="false">IFERROR(__xludf.dummyfunction("""COMPUTED_VALUE"""),1271333)</f>
        <v>1271333</v>
      </c>
    </row>
    <row r="225" customFormat="false" ht="15.75" hidden="false" customHeight="false" outlineLevel="0" collapsed="false">
      <c r="A225" s="3" t="n">
        <f aca="false">IFERROR(__xludf.dummyfunction("""COMPUTED_VALUE"""),44519.6666666667)</f>
        <v>44519.6666666667</v>
      </c>
      <c r="B225" s="2" t="n">
        <f aca="false">IFERROR(__xludf.dummyfunction("""COMPUTED_VALUE"""),57.63)</f>
        <v>57.63</v>
      </c>
      <c r="C225" s="2" t="n">
        <f aca="false">IFERROR(__xludf.dummyfunction("""COMPUTED_VALUE"""),57.72)</f>
        <v>57.72</v>
      </c>
      <c r="D225" s="2" t="n">
        <f aca="false">IFERROR(__xludf.dummyfunction("""COMPUTED_VALUE"""),56.59)</f>
        <v>56.59</v>
      </c>
      <c r="E225" s="2" t="n">
        <f aca="false">IFERROR(__xludf.dummyfunction("""COMPUTED_VALUE"""),56.87)</f>
        <v>56.87</v>
      </c>
      <c r="F225" s="2" t="n">
        <f aca="false">IFERROR(__xludf.dummyfunction("""COMPUTED_VALUE"""),1963032)</f>
        <v>1963032</v>
      </c>
    </row>
    <row r="226" customFormat="false" ht="15.75" hidden="false" customHeight="false" outlineLevel="0" collapsed="false">
      <c r="A226" s="3" t="n">
        <f aca="false">IFERROR(__xludf.dummyfunction("""COMPUTED_VALUE"""),44522.6666666667)</f>
        <v>44522.6666666667</v>
      </c>
      <c r="B226" s="2" t="n">
        <f aca="false">IFERROR(__xludf.dummyfunction("""COMPUTED_VALUE"""),57.17)</f>
        <v>57.17</v>
      </c>
      <c r="C226" s="2" t="n">
        <f aca="false">IFERROR(__xludf.dummyfunction("""COMPUTED_VALUE"""),57.2)</f>
        <v>57.2</v>
      </c>
      <c r="D226" s="2" t="n">
        <f aca="false">IFERROR(__xludf.dummyfunction("""COMPUTED_VALUE"""),55.25)</f>
        <v>55.25</v>
      </c>
      <c r="E226" s="2" t="n">
        <f aca="false">IFERROR(__xludf.dummyfunction("""COMPUTED_VALUE"""),55.33)</f>
        <v>55.33</v>
      </c>
      <c r="F226" s="2" t="n">
        <f aca="false">IFERROR(__xludf.dummyfunction("""COMPUTED_VALUE"""),2590056)</f>
        <v>2590056</v>
      </c>
    </row>
    <row r="227" customFormat="false" ht="15.75" hidden="false" customHeight="false" outlineLevel="0" collapsed="false">
      <c r="A227" s="3" t="n">
        <f aca="false">IFERROR(__xludf.dummyfunction("""COMPUTED_VALUE"""),44523.6666666667)</f>
        <v>44523.6666666667</v>
      </c>
      <c r="B227" s="2" t="n">
        <f aca="false">IFERROR(__xludf.dummyfunction("""COMPUTED_VALUE"""),55.24)</f>
        <v>55.24</v>
      </c>
      <c r="C227" s="2" t="n">
        <f aca="false">IFERROR(__xludf.dummyfunction("""COMPUTED_VALUE"""),55.59)</f>
        <v>55.59</v>
      </c>
      <c r="D227" s="2" t="n">
        <f aca="false">IFERROR(__xludf.dummyfunction("""COMPUTED_VALUE"""),54.85)</f>
        <v>54.85</v>
      </c>
      <c r="E227" s="2" t="n">
        <f aca="false">IFERROR(__xludf.dummyfunction("""COMPUTED_VALUE"""),55.51)</f>
        <v>55.51</v>
      </c>
      <c r="F227" s="2" t="n">
        <f aca="false">IFERROR(__xludf.dummyfunction("""COMPUTED_VALUE"""),1710989)</f>
        <v>1710989</v>
      </c>
    </row>
    <row r="228" customFormat="false" ht="15.75" hidden="false" customHeight="false" outlineLevel="0" collapsed="false">
      <c r="A228" s="3" t="n">
        <f aca="false">IFERROR(__xludf.dummyfunction("""COMPUTED_VALUE"""),44524.6666666667)</f>
        <v>44524.6666666667</v>
      </c>
      <c r="B228" s="2" t="n">
        <f aca="false">IFERROR(__xludf.dummyfunction("""COMPUTED_VALUE"""),55.32)</f>
        <v>55.32</v>
      </c>
      <c r="C228" s="2" t="n">
        <f aca="false">IFERROR(__xludf.dummyfunction("""COMPUTED_VALUE"""),55.91)</f>
        <v>55.91</v>
      </c>
      <c r="D228" s="2" t="n">
        <f aca="false">IFERROR(__xludf.dummyfunction("""COMPUTED_VALUE"""),54.74)</f>
        <v>54.74</v>
      </c>
      <c r="E228" s="2" t="n">
        <f aca="false">IFERROR(__xludf.dummyfunction("""COMPUTED_VALUE"""),55.87)</f>
        <v>55.87</v>
      </c>
      <c r="F228" s="2" t="n">
        <f aca="false">IFERROR(__xludf.dummyfunction("""COMPUTED_VALUE"""),1208725)</f>
        <v>1208725</v>
      </c>
    </row>
    <row r="229" customFormat="false" ht="15.75" hidden="false" customHeight="false" outlineLevel="0" collapsed="false">
      <c r="A229" s="3" t="n">
        <f aca="false">IFERROR(__xludf.dummyfunction("""COMPUTED_VALUE"""),44526.5416666667)</f>
        <v>44526.5416666667</v>
      </c>
      <c r="B229" s="2" t="n">
        <f aca="false">IFERROR(__xludf.dummyfunction("""COMPUTED_VALUE"""),55.18)</f>
        <v>55.18</v>
      </c>
      <c r="C229" s="2" t="n">
        <f aca="false">IFERROR(__xludf.dummyfunction("""COMPUTED_VALUE"""),55.73)</f>
        <v>55.73</v>
      </c>
      <c r="D229" s="2" t="n">
        <f aca="false">IFERROR(__xludf.dummyfunction("""COMPUTED_VALUE"""),54.33)</f>
        <v>54.33</v>
      </c>
      <c r="E229" s="2" t="n">
        <f aca="false">IFERROR(__xludf.dummyfunction("""COMPUTED_VALUE"""),54.66)</f>
        <v>54.66</v>
      </c>
      <c r="F229" s="2" t="n">
        <f aca="false">IFERROR(__xludf.dummyfunction("""COMPUTED_VALUE"""),1421903)</f>
        <v>1421903</v>
      </c>
    </row>
    <row r="230" customFormat="false" ht="15.75" hidden="false" customHeight="false" outlineLevel="0" collapsed="false">
      <c r="A230" s="3" t="n">
        <f aca="false">IFERROR(__xludf.dummyfunction("""COMPUTED_VALUE"""),44529.6666666667)</f>
        <v>44529.6666666667</v>
      </c>
      <c r="B230" s="2" t="n">
        <f aca="false">IFERROR(__xludf.dummyfunction("""COMPUTED_VALUE"""),55.62)</f>
        <v>55.62</v>
      </c>
      <c r="C230" s="2" t="n">
        <f aca="false">IFERROR(__xludf.dummyfunction("""COMPUTED_VALUE"""),56.76)</f>
        <v>56.76</v>
      </c>
      <c r="D230" s="2" t="n">
        <f aca="false">IFERROR(__xludf.dummyfunction("""COMPUTED_VALUE"""),55.37)</f>
        <v>55.37</v>
      </c>
      <c r="E230" s="2" t="n">
        <f aca="false">IFERROR(__xludf.dummyfunction("""COMPUTED_VALUE"""),56.43)</f>
        <v>56.43</v>
      </c>
      <c r="F230" s="2" t="n">
        <f aca="false">IFERROR(__xludf.dummyfunction("""COMPUTED_VALUE"""),1870345)</f>
        <v>1870345</v>
      </c>
    </row>
    <row r="231" customFormat="false" ht="15.75" hidden="false" customHeight="false" outlineLevel="0" collapsed="false">
      <c r="A231" s="3" t="n">
        <f aca="false">IFERROR(__xludf.dummyfunction("""COMPUTED_VALUE"""),44530.6666666667)</f>
        <v>44530.6666666667</v>
      </c>
      <c r="B231" s="2" t="n">
        <f aca="false">IFERROR(__xludf.dummyfunction("""COMPUTED_VALUE"""),56.33)</f>
        <v>56.33</v>
      </c>
      <c r="C231" s="2" t="n">
        <f aca="false">IFERROR(__xludf.dummyfunction("""COMPUTED_VALUE"""),56.5)</f>
        <v>56.5</v>
      </c>
      <c r="D231" s="2" t="n">
        <f aca="false">IFERROR(__xludf.dummyfunction("""COMPUTED_VALUE"""),55.2)</f>
        <v>55.2</v>
      </c>
      <c r="E231" s="2" t="n">
        <f aca="false">IFERROR(__xludf.dummyfunction("""COMPUTED_VALUE"""),55.37)</f>
        <v>55.37</v>
      </c>
      <c r="F231" s="2" t="n">
        <f aca="false">IFERROR(__xludf.dummyfunction("""COMPUTED_VALUE"""),2257749)</f>
        <v>2257749</v>
      </c>
    </row>
    <row r="232" customFormat="false" ht="15.75" hidden="false" customHeight="false" outlineLevel="0" collapsed="false">
      <c r="A232" s="3" t="n">
        <f aca="false">IFERROR(__xludf.dummyfunction("""COMPUTED_VALUE"""),44531.6666666667)</f>
        <v>44531.6666666667</v>
      </c>
      <c r="B232" s="2" t="n">
        <f aca="false">IFERROR(__xludf.dummyfunction("""COMPUTED_VALUE"""),56.35)</f>
        <v>56.35</v>
      </c>
      <c r="C232" s="2" t="n">
        <f aca="false">IFERROR(__xludf.dummyfunction("""COMPUTED_VALUE"""),56.85)</f>
        <v>56.85</v>
      </c>
      <c r="D232" s="2" t="n">
        <f aca="false">IFERROR(__xludf.dummyfunction("""COMPUTED_VALUE"""),55.33)</f>
        <v>55.33</v>
      </c>
      <c r="E232" s="2" t="n">
        <f aca="false">IFERROR(__xludf.dummyfunction("""COMPUTED_VALUE"""),55.48)</f>
        <v>55.48</v>
      </c>
      <c r="F232" s="2" t="n">
        <f aca="false">IFERROR(__xludf.dummyfunction("""COMPUTED_VALUE"""),2198288)</f>
        <v>2198288</v>
      </c>
    </row>
    <row r="233" customFormat="false" ht="15.75" hidden="false" customHeight="false" outlineLevel="0" collapsed="false">
      <c r="A233" s="3" t="n">
        <f aca="false">IFERROR(__xludf.dummyfunction("""COMPUTED_VALUE"""),44532.6666666667)</f>
        <v>44532.6666666667</v>
      </c>
      <c r="B233" s="2" t="n">
        <f aca="false">IFERROR(__xludf.dummyfunction("""COMPUTED_VALUE"""),54.61)</f>
        <v>54.61</v>
      </c>
      <c r="C233" s="2" t="n">
        <f aca="false">IFERROR(__xludf.dummyfunction("""COMPUTED_VALUE"""),55.91)</f>
        <v>55.91</v>
      </c>
      <c r="D233" s="2" t="n">
        <f aca="false">IFERROR(__xludf.dummyfunction("""COMPUTED_VALUE"""),54.4)</f>
        <v>54.4</v>
      </c>
      <c r="E233" s="2" t="n">
        <f aca="false">IFERROR(__xludf.dummyfunction("""COMPUTED_VALUE"""),55.25)</f>
        <v>55.25</v>
      </c>
      <c r="F233" s="2" t="n">
        <f aca="false">IFERROR(__xludf.dummyfunction("""COMPUTED_VALUE"""),2261872)</f>
        <v>2261872</v>
      </c>
    </row>
    <row r="234" customFormat="false" ht="15.75" hidden="false" customHeight="false" outlineLevel="0" collapsed="false">
      <c r="A234" s="3" t="n">
        <f aca="false">IFERROR(__xludf.dummyfunction("""COMPUTED_VALUE"""),44533.6666666667)</f>
        <v>44533.6666666667</v>
      </c>
      <c r="B234" s="2" t="n">
        <f aca="false">IFERROR(__xludf.dummyfunction("""COMPUTED_VALUE"""),56.49)</f>
        <v>56.49</v>
      </c>
      <c r="C234" s="2" t="n">
        <f aca="false">IFERROR(__xludf.dummyfunction("""COMPUTED_VALUE"""),56.9)</f>
        <v>56.9</v>
      </c>
      <c r="D234" s="2" t="n">
        <f aca="false">IFERROR(__xludf.dummyfunction("""COMPUTED_VALUE"""),55.04)</f>
        <v>55.04</v>
      </c>
      <c r="E234" s="2" t="n">
        <f aca="false">IFERROR(__xludf.dummyfunction("""COMPUTED_VALUE"""),55.81)</f>
        <v>55.81</v>
      </c>
      <c r="F234" s="2" t="n">
        <f aca="false">IFERROR(__xludf.dummyfunction("""COMPUTED_VALUE"""),2030739)</f>
        <v>2030739</v>
      </c>
    </row>
    <row r="235" customFormat="false" ht="15.75" hidden="false" customHeight="false" outlineLevel="0" collapsed="false">
      <c r="A235" s="3" t="n">
        <f aca="false">IFERROR(__xludf.dummyfunction("""COMPUTED_VALUE"""),44536.6666666667)</f>
        <v>44536.6666666667</v>
      </c>
      <c r="B235" s="2" t="n">
        <f aca="false">IFERROR(__xludf.dummyfunction("""COMPUTED_VALUE"""),56.46)</f>
        <v>56.46</v>
      </c>
      <c r="C235" s="2" t="n">
        <f aca="false">IFERROR(__xludf.dummyfunction("""COMPUTED_VALUE"""),56.84)</f>
        <v>56.84</v>
      </c>
      <c r="D235" s="2" t="n">
        <f aca="false">IFERROR(__xludf.dummyfunction("""COMPUTED_VALUE"""),55.6)</f>
        <v>55.6</v>
      </c>
      <c r="E235" s="2" t="n">
        <f aca="false">IFERROR(__xludf.dummyfunction("""COMPUTED_VALUE"""),56.5)</f>
        <v>56.5</v>
      </c>
      <c r="F235" s="2" t="n">
        <f aca="false">IFERROR(__xludf.dummyfunction("""COMPUTED_VALUE"""),2248229)</f>
        <v>2248229</v>
      </c>
    </row>
    <row r="236" customFormat="false" ht="15.75" hidden="false" customHeight="false" outlineLevel="0" collapsed="false">
      <c r="A236" s="3" t="n">
        <f aca="false">IFERROR(__xludf.dummyfunction("""COMPUTED_VALUE"""),44537.6666666667)</f>
        <v>44537.6666666667</v>
      </c>
      <c r="B236" s="2" t="n">
        <f aca="false">IFERROR(__xludf.dummyfunction("""COMPUTED_VALUE"""),57.2)</f>
        <v>57.2</v>
      </c>
      <c r="C236" s="2" t="n">
        <f aca="false">IFERROR(__xludf.dummyfunction("""COMPUTED_VALUE"""),59.31)</f>
        <v>59.31</v>
      </c>
      <c r="D236" s="2" t="n">
        <f aca="false">IFERROR(__xludf.dummyfunction("""COMPUTED_VALUE"""),57.2)</f>
        <v>57.2</v>
      </c>
      <c r="E236" s="2" t="n">
        <f aca="false">IFERROR(__xludf.dummyfunction("""COMPUTED_VALUE"""),59.04)</f>
        <v>59.04</v>
      </c>
      <c r="F236" s="2" t="n">
        <f aca="false">IFERROR(__xludf.dummyfunction("""COMPUTED_VALUE"""),2956207)</f>
        <v>2956207</v>
      </c>
    </row>
    <row r="237" customFormat="false" ht="15.75" hidden="false" customHeight="false" outlineLevel="0" collapsed="false">
      <c r="A237" s="3" t="n">
        <f aca="false">IFERROR(__xludf.dummyfunction("""COMPUTED_VALUE"""),44538.6666666667)</f>
        <v>44538.6666666667</v>
      </c>
      <c r="B237" s="2" t="n">
        <f aca="false">IFERROR(__xludf.dummyfunction("""COMPUTED_VALUE"""),59.09)</f>
        <v>59.09</v>
      </c>
      <c r="C237" s="2" t="n">
        <f aca="false">IFERROR(__xludf.dummyfunction("""COMPUTED_VALUE"""),59.09)</f>
        <v>59.09</v>
      </c>
      <c r="D237" s="2" t="n">
        <f aca="false">IFERROR(__xludf.dummyfunction("""COMPUTED_VALUE"""),58.24)</f>
        <v>58.24</v>
      </c>
      <c r="E237" s="2" t="n">
        <f aca="false">IFERROR(__xludf.dummyfunction("""COMPUTED_VALUE"""),58.86)</f>
        <v>58.86</v>
      </c>
      <c r="F237" s="2" t="n">
        <f aca="false">IFERROR(__xludf.dummyfunction("""COMPUTED_VALUE"""),1799765)</f>
        <v>1799765</v>
      </c>
    </row>
    <row r="238" customFormat="false" ht="15.75" hidden="false" customHeight="false" outlineLevel="0" collapsed="false">
      <c r="A238" s="3" t="n">
        <f aca="false">IFERROR(__xludf.dummyfunction("""COMPUTED_VALUE"""),44539.6666666667)</f>
        <v>44539.6666666667</v>
      </c>
      <c r="B238" s="2" t="n">
        <f aca="false">IFERROR(__xludf.dummyfunction("""COMPUTED_VALUE"""),58.25)</f>
        <v>58.25</v>
      </c>
      <c r="C238" s="2" t="n">
        <f aca="false">IFERROR(__xludf.dummyfunction("""COMPUTED_VALUE"""),59.02)</f>
        <v>59.02</v>
      </c>
      <c r="D238" s="2" t="n">
        <f aca="false">IFERROR(__xludf.dummyfunction("""COMPUTED_VALUE"""),58.25)</f>
        <v>58.25</v>
      </c>
      <c r="E238" s="2" t="n">
        <f aca="false">IFERROR(__xludf.dummyfunction("""COMPUTED_VALUE"""),58.34)</f>
        <v>58.34</v>
      </c>
      <c r="F238" s="2" t="n">
        <f aca="false">IFERROR(__xludf.dummyfunction("""COMPUTED_VALUE"""),2907960)</f>
        <v>2907960</v>
      </c>
    </row>
    <row r="239" customFormat="false" ht="15.75" hidden="false" customHeight="false" outlineLevel="0" collapsed="false">
      <c r="A239" s="3" t="n">
        <f aca="false">IFERROR(__xludf.dummyfunction("""COMPUTED_VALUE"""),44540.6666666667)</f>
        <v>44540.6666666667</v>
      </c>
      <c r="B239" s="2" t="n">
        <f aca="false">IFERROR(__xludf.dummyfunction("""COMPUTED_VALUE"""),62.4)</f>
        <v>62.4</v>
      </c>
      <c r="C239" s="2" t="n">
        <f aca="false">IFERROR(__xludf.dummyfunction("""COMPUTED_VALUE"""),64.47)</f>
        <v>64.47</v>
      </c>
      <c r="D239" s="2" t="n">
        <f aca="false">IFERROR(__xludf.dummyfunction("""COMPUTED_VALUE"""),61.86)</f>
        <v>61.86</v>
      </c>
      <c r="E239" s="2" t="n">
        <f aca="false">IFERROR(__xludf.dummyfunction("""COMPUTED_VALUE"""),63.17)</f>
        <v>63.17</v>
      </c>
      <c r="F239" s="2" t="n">
        <f aca="false">IFERROR(__xludf.dummyfunction("""COMPUTED_VALUE"""),5708665)</f>
        <v>5708665</v>
      </c>
    </row>
    <row r="240" customFormat="false" ht="15.75" hidden="false" customHeight="false" outlineLevel="0" collapsed="false">
      <c r="A240" s="3" t="n">
        <f aca="false">IFERROR(__xludf.dummyfunction("""COMPUTED_VALUE"""),44543.6666666667)</f>
        <v>44543.6666666667</v>
      </c>
      <c r="B240" s="2" t="n">
        <f aca="false">IFERROR(__xludf.dummyfunction("""COMPUTED_VALUE"""),63.4)</f>
        <v>63.4</v>
      </c>
      <c r="C240" s="2" t="n">
        <f aca="false">IFERROR(__xludf.dummyfunction("""COMPUTED_VALUE"""),63.44)</f>
        <v>63.44</v>
      </c>
      <c r="D240" s="2" t="n">
        <f aca="false">IFERROR(__xludf.dummyfunction("""COMPUTED_VALUE"""),62.12)</f>
        <v>62.12</v>
      </c>
      <c r="E240" s="2" t="n">
        <f aca="false">IFERROR(__xludf.dummyfunction("""COMPUTED_VALUE"""),62.17)</f>
        <v>62.17</v>
      </c>
      <c r="F240" s="2" t="n">
        <f aca="false">IFERROR(__xludf.dummyfunction("""COMPUTED_VALUE"""),2689830)</f>
        <v>2689830</v>
      </c>
    </row>
    <row r="241" customFormat="false" ht="15.75" hidden="false" customHeight="false" outlineLevel="0" collapsed="false">
      <c r="A241" s="3" t="n">
        <f aca="false">IFERROR(__xludf.dummyfunction("""COMPUTED_VALUE"""),44544.6666666667)</f>
        <v>44544.6666666667</v>
      </c>
      <c r="B241" s="2" t="n">
        <f aca="false">IFERROR(__xludf.dummyfunction("""COMPUTED_VALUE"""),61.78)</f>
        <v>61.78</v>
      </c>
      <c r="C241" s="2" t="n">
        <f aca="false">IFERROR(__xludf.dummyfunction("""COMPUTED_VALUE"""),61.86)</f>
        <v>61.86</v>
      </c>
      <c r="D241" s="2" t="n">
        <f aca="false">IFERROR(__xludf.dummyfunction("""COMPUTED_VALUE"""),60.56)</f>
        <v>60.56</v>
      </c>
      <c r="E241" s="2" t="n">
        <f aca="false">IFERROR(__xludf.dummyfunction("""COMPUTED_VALUE"""),61.49)</f>
        <v>61.49</v>
      </c>
      <c r="F241" s="2" t="n">
        <f aca="false">IFERROR(__xludf.dummyfunction("""COMPUTED_VALUE"""),3595635)</f>
        <v>3595635</v>
      </c>
    </row>
    <row r="242" customFormat="false" ht="15.75" hidden="false" customHeight="false" outlineLevel="0" collapsed="false">
      <c r="A242" s="3" t="n">
        <f aca="false">IFERROR(__xludf.dummyfunction("""COMPUTED_VALUE"""),44545.6666666667)</f>
        <v>44545.6666666667</v>
      </c>
      <c r="B242" s="2" t="n">
        <f aca="false">IFERROR(__xludf.dummyfunction("""COMPUTED_VALUE"""),61.56)</f>
        <v>61.56</v>
      </c>
      <c r="C242" s="2" t="n">
        <f aca="false">IFERROR(__xludf.dummyfunction("""COMPUTED_VALUE"""),64.09)</f>
        <v>64.09</v>
      </c>
      <c r="D242" s="2" t="n">
        <f aca="false">IFERROR(__xludf.dummyfunction("""COMPUTED_VALUE"""),61.03)</f>
        <v>61.03</v>
      </c>
      <c r="E242" s="2" t="n">
        <f aca="false">IFERROR(__xludf.dummyfunction("""COMPUTED_VALUE"""),63.99)</f>
        <v>63.99</v>
      </c>
      <c r="F242" s="2" t="n">
        <f aca="false">IFERROR(__xludf.dummyfunction("""COMPUTED_VALUE"""),2909168)</f>
        <v>2909168</v>
      </c>
    </row>
    <row r="243" customFormat="false" ht="15.75" hidden="false" customHeight="false" outlineLevel="0" collapsed="false">
      <c r="A243" s="3" t="n">
        <f aca="false">IFERROR(__xludf.dummyfunction("""COMPUTED_VALUE"""),44546.6666666667)</f>
        <v>44546.6666666667</v>
      </c>
      <c r="B243" s="2" t="n">
        <f aca="false">IFERROR(__xludf.dummyfunction("""COMPUTED_VALUE"""),63.74)</f>
        <v>63.74</v>
      </c>
      <c r="C243" s="2" t="n">
        <f aca="false">IFERROR(__xludf.dummyfunction("""COMPUTED_VALUE"""),64.07)</f>
        <v>64.07</v>
      </c>
      <c r="D243" s="2" t="n">
        <f aca="false">IFERROR(__xludf.dummyfunction("""COMPUTED_VALUE"""),61.15)</f>
        <v>61.15</v>
      </c>
      <c r="E243" s="2" t="n">
        <f aca="false">IFERROR(__xludf.dummyfunction("""COMPUTED_VALUE"""),62.07)</f>
        <v>62.07</v>
      </c>
      <c r="F243" s="2" t="n">
        <f aca="false">IFERROR(__xludf.dummyfunction("""COMPUTED_VALUE"""),4274842)</f>
        <v>4274842</v>
      </c>
    </row>
    <row r="244" customFormat="false" ht="15.75" hidden="false" customHeight="false" outlineLevel="0" collapsed="false">
      <c r="A244" s="3" t="n">
        <f aca="false">IFERROR(__xludf.dummyfunction("""COMPUTED_VALUE"""),44547.6666666667)</f>
        <v>44547.6666666667</v>
      </c>
      <c r="B244" s="2" t="n">
        <f aca="false">IFERROR(__xludf.dummyfunction("""COMPUTED_VALUE"""),61.75)</f>
        <v>61.75</v>
      </c>
      <c r="C244" s="2" t="n">
        <f aca="false">IFERROR(__xludf.dummyfunction("""COMPUTED_VALUE"""),64)</f>
        <v>64</v>
      </c>
      <c r="D244" s="2" t="n">
        <f aca="false">IFERROR(__xludf.dummyfunction("""COMPUTED_VALUE"""),61.51)</f>
        <v>61.51</v>
      </c>
      <c r="E244" s="2" t="n">
        <f aca="false">IFERROR(__xludf.dummyfunction("""COMPUTED_VALUE"""),63.5)</f>
        <v>63.5</v>
      </c>
      <c r="F244" s="2" t="n">
        <f aca="false">IFERROR(__xludf.dummyfunction("""COMPUTED_VALUE"""),5075310)</f>
        <v>5075310</v>
      </c>
    </row>
    <row r="245" customFormat="false" ht="15.75" hidden="false" customHeight="false" outlineLevel="0" collapsed="false">
      <c r="A245" s="3" t="n">
        <f aca="false">IFERROR(__xludf.dummyfunction("""COMPUTED_VALUE"""),44550.6666666667)</f>
        <v>44550.6666666667</v>
      </c>
      <c r="B245" s="2" t="n">
        <f aca="false">IFERROR(__xludf.dummyfunction("""COMPUTED_VALUE"""),62.63)</f>
        <v>62.63</v>
      </c>
      <c r="C245" s="2" t="n">
        <f aca="false">IFERROR(__xludf.dummyfunction("""COMPUTED_VALUE"""),64.61)</f>
        <v>64.61</v>
      </c>
      <c r="D245" s="2" t="n">
        <f aca="false">IFERROR(__xludf.dummyfunction("""COMPUTED_VALUE"""),62.51)</f>
        <v>62.51</v>
      </c>
      <c r="E245" s="2" t="n">
        <f aca="false">IFERROR(__xludf.dummyfunction("""COMPUTED_VALUE"""),64.5)</f>
        <v>64.5</v>
      </c>
      <c r="F245" s="2" t="n">
        <f aca="false">IFERROR(__xludf.dummyfunction("""COMPUTED_VALUE"""),3277047)</f>
        <v>3277047</v>
      </c>
    </row>
    <row r="246" customFormat="false" ht="15.75" hidden="false" customHeight="false" outlineLevel="0" collapsed="false">
      <c r="A246" s="3" t="n">
        <f aca="false">IFERROR(__xludf.dummyfunction("""COMPUTED_VALUE"""),44551.6666666667)</f>
        <v>44551.6666666667</v>
      </c>
      <c r="B246" s="2" t="n">
        <f aca="false">IFERROR(__xludf.dummyfunction("""COMPUTED_VALUE"""),64.81)</f>
        <v>64.81</v>
      </c>
      <c r="C246" s="2" t="n">
        <f aca="false">IFERROR(__xludf.dummyfunction("""COMPUTED_VALUE"""),64.95)</f>
        <v>64.95</v>
      </c>
      <c r="D246" s="2" t="n">
        <f aca="false">IFERROR(__xludf.dummyfunction("""COMPUTED_VALUE"""),63.33)</f>
        <v>63.33</v>
      </c>
      <c r="E246" s="2" t="n">
        <f aca="false">IFERROR(__xludf.dummyfunction("""COMPUTED_VALUE"""),64.62)</f>
        <v>64.62</v>
      </c>
      <c r="F246" s="2" t="n">
        <f aca="false">IFERROR(__xludf.dummyfunction("""COMPUTED_VALUE"""),3653389)</f>
        <v>3653389</v>
      </c>
    </row>
    <row r="247" customFormat="false" ht="15.75" hidden="false" customHeight="false" outlineLevel="0" collapsed="false">
      <c r="A247" s="3" t="n">
        <f aca="false">IFERROR(__xludf.dummyfunction("""COMPUTED_VALUE"""),44552.6666666667)</f>
        <v>44552.6666666667</v>
      </c>
      <c r="B247" s="2" t="n">
        <f aca="false">IFERROR(__xludf.dummyfunction("""COMPUTED_VALUE"""),64.33)</f>
        <v>64.33</v>
      </c>
      <c r="C247" s="2" t="n">
        <f aca="false">IFERROR(__xludf.dummyfunction("""COMPUTED_VALUE"""),65.72)</f>
        <v>65.72</v>
      </c>
      <c r="D247" s="2" t="n">
        <f aca="false">IFERROR(__xludf.dummyfunction("""COMPUTED_VALUE"""),63.93)</f>
        <v>63.93</v>
      </c>
      <c r="E247" s="2" t="n">
        <f aca="false">IFERROR(__xludf.dummyfunction("""COMPUTED_VALUE"""),65.52)</f>
        <v>65.52</v>
      </c>
      <c r="F247" s="2" t="n">
        <f aca="false">IFERROR(__xludf.dummyfunction("""COMPUTED_VALUE"""),2838293)</f>
        <v>2838293</v>
      </c>
    </row>
    <row r="248" customFormat="false" ht="15.75" hidden="false" customHeight="false" outlineLevel="0" collapsed="false">
      <c r="A248" s="3" t="n">
        <f aca="false">IFERROR(__xludf.dummyfunction("""COMPUTED_VALUE"""),44553.6666666667)</f>
        <v>44553.6666666667</v>
      </c>
      <c r="B248" s="2" t="n">
        <f aca="false">IFERROR(__xludf.dummyfunction("""COMPUTED_VALUE"""),65.61)</f>
        <v>65.61</v>
      </c>
      <c r="C248" s="2" t="n">
        <f aca="false">IFERROR(__xludf.dummyfunction("""COMPUTED_VALUE"""),67.07)</f>
        <v>67.07</v>
      </c>
      <c r="D248" s="2" t="n">
        <f aca="false">IFERROR(__xludf.dummyfunction("""COMPUTED_VALUE"""),65.61)</f>
        <v>65.61</v>
      </c>
      <c r="E248" s="2" t="n">
        <f aca="false">IFERROR(__xludf.dummyfunction("""COMPUTED_VALUE"""),66.48)</f>
        <v>66.48</v>
      </c>
      <c r="F248" s="2" t="n">
        <f aca="false">IFERROR(__xludf.dummyfunction("""COMPUTED_VALUE"""),2359625)</f>
        <v>2359625</v>
      </c>
    </row>
    <row r="249" customFormat="false" ht="15.75" hidden="false" customHeight="false" outlineLevel="0" collapsed="false">
      <c r="A249" s="3" t="n">
        <f aca="false">IFERROR(__xludf.dummyfunction("""COMPUTED_VALUE"""),44557.6666666667)</f>
        <v>44557.6666666667</v>
      </c>
      <c r="B249" s="2" t="n">
        <f aca="false">IFERROR(__xludf.dummyfunction("""COMPUTED_VALUE"""),66.48)</f>
        <v>66.48</v>
      </c>
      <c r="C249" s="2" t="n">
        <f aca="false">IFERROR(__xludf.dummyfunction("""COMPUTED_VALUE"""),67.63)</f>
        <v>67.63</v>
      </c>
      <c r="D249" s="2" t="n">
        <f aca="false">IFERROR(__xludf.dummyfunction("""COMPUTED_VALUE"""),66.45)</f>
        <v>66.45</v>
      </c>
      <c r="E249" s="2" t="n">
        <f aca="false">IFERROR(__xludf.dummyfunction("""COMPUTED_VALUE"""),67.43)</f>
        <v>67.43</v>
      </c>
      <c r="F249" s="2" t="n">
        <f aca="false">IFERROR(__xludf.dummyfunction("""COMPUTED_VALUE"""),1944503)</f>
        <v>1944503</v>
      </c>
    </row>
    <row r="250" customFormat="false" ht="15.75" hidden="false" customHeight="false" outlineLevel="0" collapsed="false">
      <c r="A250" s="3" t="n">
        <f aca="false">IFERROR(__xludf.dummyfunction("""COMPUTED_VALUE"""),44558.6666666667)</f>
        <v>44558.6666666667</v>
      </c>
      <c r="B250" s="2" t="n">
        <f aca="false">IFERROR(__xludf.dummyfunction("""COMPUTED_VALUE"""),67.76)</f>
        <v>67.76</v>
      </c>
      <c r="C250" s="2" t="n">
        <f aca="false">IFERROR(__xludf.dummyfunction("""COMPUTED_VALUE"""),67.78)</f>
        <v>67.78</v>
      </c>
      <c r="D250" s="2" t="n">
        <f aca="false">IFERROR(__xludf.dummyfunction("""COMPUTED_VALUE"""),66.7)</f>
        <v>66.7</v>
      </c>
      <c r="E250" s="2" t="n">
        <f aca="false">IFERROR(__xludf.dummyfunction("""COMPUTED_VALUE"""),66.9)</f>
        <v>66.9</v>
      </c>
      <c r="F250" s="2" t="n">
        <f aca="false">IFERROR(__xludf.dummyfunction("""COMPUTED_VALUE"""),1725041)</f>
        <v>1725041</v>
      </c>
    </row>
    <row r="251" customFormat="false" ht="15.75" hidden="false" customHeight="false" outlineLevel="0" collapsed="false">
      <c r="A251" s="3" t="n">
        <f aca="false">IFERROR(__xludf.dummyfunction("""COMPUTED_VALUE"""),44559.6666666667)</f>
        <v>44559.6666666667</v>
      </c>
      <c r="B251" s="2" t="n">
        <f aca="false">IFERROR(__xludf.dummyfunction("""COMPUTED_VALUE"""),66.98)</f>
        <v>66.98</v>
      </c>
      <c r="C251" s="2" t="n">
        <f aca="false">IFERROR(__xludf.dummyfunction("""COMPUTED_VALUE"""),67.7)</f>
        <v>67.7</v>
      </c>
      <c r="D251" s="2" t="n">
        <f aca="false">IFERROR(__xludf.dummyfunction("""COMPUTED_VALUE"""),66.91)</f>
        <v>66.91</v>
      </c>
      <c r="E251" s="2" t="n">
        <f aca="false">IFERROR(__xludf.dummyfunction("""COMPUTED_VALUE"""),67.26)</f>
        <v>67.26</v>
      </c>
      <c r="F251" s="2" t="n">
        <f aca="false">IFERROR(__xludf.dummyfunction("""COMPUTED_VALUE"""),1479957)</f>
        <v>1479957</v>
      </c>
    </row>
    <row r="252" customFormat="false" ht="15.75" hidden="false" customHeight="false" outlineLevel="0" collapsed="false">
      <c r="A252" s="3" t="n">
        <f aca="false">IFERROR(__xludf.dummyfunction("""COMPUTED_VALUE"""),44560.6666666667)</f>
        <v>44560.6666666667</v>
      </c>
      <c r="B252" s="2" t="n">
        <f aca="false">IFERROR(__xludf.dummyfunction("""COMPUTED_VALUE"""),67.31)</f>
        <v>67.31</v>
      </c>
      <c r="C252" s="2" t="n">
        <f aca="false">IFERROR(__xludf.dummyfunction("""COMPUTED_VALUE"""),67.57)</f>
        <v>67.57</v>
      </c>
      <c r="D252" s="2" t="n">
        <f aca="false">IFERROR(__xludf.dummyfunction("""COMPUTED_VALUE"""),66.38)</f>
        <v>66.38</v>
      </c>
      <c r="E252" s="2" t="n">
        <f aca="false">IFERROR(__xludf.dummyfunction("""COMPUTED_VALUE"""),66.51)</f>
        <v>66.51</v>
      </c>
      <c r="F252" s="2" t="n">
        <f aca="false">IFERROR(__xludf.dummyfunction("""COMPUTED_VALUE"""),1147314)</f>
        <v>1147314</v>
      </c>
    </row>
    <row r="253" customFormat="false" ht="15.75" hidden="false" customHeight="false" outlineLevel="0" collapsed="false">
      <c r="A253" s="3" t="n">
        <f aca="false">IFERROR(__xludf.dummyfunction("""COMPUTED_VALUE"""),44561.6666666667)</f>
        <v>44561.6666666667</v>
      </c>
      <c r="B253" s="2" t="n">
        <f aca="false">IFERROR(__xludf.dummyfunction("""COMPUTED_VALUE"""),66.7)</f>
        <v>66.7</v>
      </c>
      <c r="C253" s="2" t="n">
        <f aca="false">IFERROR(__xludf.dummyfunction("""COMPUTED_VALUE"""),67.13)</f>
        <v>67.13</v>
      </c>
      <c r="D253" s="2" t="n">
        <f aca="false">IFERROR(__xludf.dummyfunction("""COMPUTED_VALUE"""),66.33)</f>
        <v>66.33</v>
      </c>
      <c r="E253" s="2" t="n">
        <f aca="false">IFERROR(__xludf.dummyfunction("""COMPUTED_VALUE"""),66.54)</f>
        <v>66.54</v>
      </c>
      <c r="F253" s="2" t="n">
        <f aca="false">IFERROR(__xludf.dummyfunction("""COMPUTED_VALUE"""),1204614)</f>
        <v>1204614</v>
      </c>
    </row>
    <row r="254" customFormat="false" ht="15.75" hidden="false" customHeight="false" outlineLevel="0" collapsed="false">
      <c r="A254" s="3" t="n">
        <f aca="false">IFERROR(__xludf.dummyfunction("""COMPUTED_VALUE"""),44564.6666666667)</f>
        <v>44564.6666666667</v>
      </c>
      <c r="B254" s="2" t="n">
        <f aca="false">IFERROR(__xludf.dummyfunction("""COMPUTED_VALUE"""),66.63)</f>
        <v>66.63</v>
      </c>
      <c r="C254" s="2" t="n">
        <f aca="false">IFERROR(__xludf.dummyfunction("""COMPUTED_VALUE"""),67.17)</f>
        <v>67.17</v>
      </c>
      <c r="D254" s="2" t="n">
        <f aca="false">IFERROR(__xludf.dummyfunction("""COMPUTED_VALUE"""),66.12)</f>
        <v>66.12</v>
      </c>
      <c r="E254" s="2" t="n">
        <f aca="false">IFERROR(__xludf.dummyfunction("""COMPUTED_VALUE"""),66.33)</f>
        <v>66.33</v>
      </c>
      <c r="F254" s="2" t="n">
        <f aca="false">IFERROR(__xludf.dummyfunction("""COMPUTED_VALUE"""),2259950)</f>
        <v>2259950</v>
      </c>
    </row>
    <row r="255" customFormat="false" ht="15.75" hidden="false" customHeight="false" outlineLevel="0" collapsed="false">
      <c r="A255" s="3" t="n">
        <f aca="false">IFERROR(__xludf.dummyfunction("""COMPUTED_VALUE"""),44565.6666666667)</f>
        <v>44565.6666666667</v>
      </c>
      <c r="B255" s="2" t="n">
        <f aca="false">IFERROR(__xludf.dummyfunction("""COMPUTED_VALUE"""),66.29)</f>
        <v>66.29</v>
      </c>
      <c r="C255" s="2" t="n">
        <f aca="false">IFERROR(__xludf.dummyfunction("""COMPUTED_VALUE"""),67.22)</f>
        <v>67.22</v>
      </c>
      <c r="D255" s="2" t="n">
        <f aca="false">IFERROR(__xludf.dummyfunction("""COMPUTED_VALUE"""),65.72)</f>
        <v>65.72</v>
      </c>
      <c r="E255" s="2" t="n">
        <f aca="false">IFERROR(__xludf.dummyfunction("""COMPUTED_VALUE"""),67.09)</f>
        <v>67.09</v>
      </c>
      <c r="F255" s="2" t="n">
        <f aca="false">IFERROR(__xludf.dummyfunction("""COMPUTED_VALUE"""),2110277)</f>
        <v>2110277</v>
      </c>
    </row>
    <row r="256" customFormat="false" ht="15.75" hidden="false" customHeight="false" outlineLevel="0" collapsed="false">
      <c r="A256" s="3" t="n">
        <f aca="false">IFERROR(__xludf.dummyfunction("""COMPUTED_VALUE"""),44566.6666666667)</f>
        <v>44566.6666666667</v>
      </c>
      <c r="B256" s="2" t="n">
        <f aca="false">IFERROR(__xludf.dummyfunction("""COMPUTED_VALUE"""),67.12)</f>
        <v>67.12</v>
      </c>
      <c r="C256" s="2" t="n">
        <f aca="false">IFERROR(__xludf.dummyfunction("""COMPUTED_VALUE"""),67.12)</f>
        <v>67.12</v>
      </c>
      <c r="D256" s="2" t="n">
        <f aca="false">IFERROR(__xludf.dummyfunction("""COMPUTED_VALUE"""),64.2)</f>
        <v>64.2</v>
      </c>
      <c r="E256" s="2" t="n">
        <f aca="false">IFERROR(__xludf.dummyfunction("""COMPUTED_VALUE"""),64.3)</f>
        <v>64.3</v>
      </c>
      <c r="F256" s="2" t="n">
        <f aca="false">IFERROR(__xludf.dummyfunction("""COMPUTED_VALUE"""),3496111)</f>
        <v>3496111</v>
      </c>
    </row>
    <row r="257" customFormat="false" ht="15.75" hidden="false" customHeight="false" outlineLevel="0" collapsed="false">
      <c r="A257" s="3" t="n">
        <f aca="false">IFERROR(__xludf.dummyfunction("""COMPUTED_VALUE"""),44567.6666666667)</f>
        <v>44567.6666666667</v>
      </c>
      <c r="B257" s="2" t="n">
        <f aca="false">IFERROR(__xludf.dummyfunction("""COMPUTED_VALUE"""),64.02)</f>
        <v>64.02</v>
      </c>
      <c r="C257" s="2" t="n">
        <f aca="false">IFERROR(__xludf.dummyfunction("""COMPUTED_VALUE"""),64.86)</f>
        <v>64.86</v>
      </c>
      <c r="D257" s="2" t="n">
        <f aca="false">IFERROR(__xludf.dummyfunction("""COMPUTED_VALUE"""),63.44)</f>
        <v>63.44</v>
      </c>
      <c r="E257" s="2" t="n">
        <f aca="false">IFERROR(__xludf.dummyfunction("""COMPUTED_VALUE"""),63.7)</f>
        <v>63.7</v>
      </c>
      <c r="F257" s="2" t="n">
        <f aca="false">IFERROR(__xludf.dummyfunction("""COMPUTED_VALUE"""),2858130)</f>
        <v>2858130</v>
      </c>
    </row>
    <row r="258" customFormat="false" ht="15.75" hidden="false" customHeight="false" outlineLevel="0" collapsed="false">
      <c r="A258" s="3" t="n">
        <f aca="false">IFERROR(__xludf.dummyfunction("""COMPUTED_VALUE"""),44568.6666666667)</f>
        <v>44568.6666666667</v>
      </c>
      <c r="B258" s="2" t="n">
        <f aca="false">IFERROR(__xludf.dummyfunction("""COMPUTED_VALUE"""),63.59)</f>
        <v>63.59</v>
      </c>
      <c r="C258" s="2" t="n">
        <f aca="false">IFERROR(__xludf.dummyfunction("""COMPUTED_VALUE"""),63.99)</f>
        <v>63.99</v>
      </c>
      <c r="D258" s="2" t="n">
        <f aca="false">IFERROR(__xludf.dummyfunction("""COMPUTED_VALUE"""),61.85)</f>
        <v>61.85</v>
      </c>
      <c r="E258" s="2" t="n">
        <f aca="false">IFERROR(__xludf.dummyfunction("""COMPUTED_VALUE"""),61.92)</f>
        <v>61.92</v>
      </c>
      <c r="F258" s="2" t="n">
        <f aca="false">IFERROR(__xludf.dummyfunction("""COMPUTED_VALUE"""),2783173)</f>
        <v>2783173</v>
      </c>
    </row>
    <row r="259" customFormat="false" ht="15.75" hidden="false" customHeight="false" outlineLevel="0" collapsed="false">
      <c r="A259" s="3" t="n">
        <f aca="false">IFERROR(__xludf.dummyfunction("""COMPUTED_VALUE"""),44571.6666666667)</f>
        <v>44571.6666666667</v>
      </c>
      <c r="B259" s="2" t="n">
        <f aca="false">IFERROR(__xludf.dummyfunction("""COMPUTED_VALUE"""),60.89)</f>
        <v>60.89</v>
      </c>
      <c r="C259" s="2" t="n">
        <f aca="false">IFERROR(__xludf.dummyfunction("""COMPUTED_VALUE"""),62.2)</f>
        <v>62.2</v>
      </c>
      <c r="D259" s="2" t="n">
        <f aca="false">IFERROR(__xludf.dummyfunction("""COMPUTED_VALUE"""),60.36)</f>
        <v>60.36</v>
      </c>
      <c r="E259" s="2" t="n">
        <f aca="false">IFERROR(__xludf.dummyfunction("""COMPUTED_VALUE"""),62.12)</f>
        <v>62.12</v>
      </c>
      <c r="F259" s="2" t="n">
        <f aca="false">IFERROR(__xludf.dummyfunction("""COMPUTED_VALUE"""),2979338)</f>
        <v>2979338</v>
      </c>
    </row>
    <row r="260" customFormat="false" ht="15.75" hidden="false" customHeight="false" outlineLevel="0" collapsed="false">
      <c r="A260" s="3" t="n">
        <f aca="false">IFERROR(__xludf.dummyfunction("""COMPUTED_VALUE"""),44572.6666666667)</f>
        <v>44572.6666666667</v>
      </c>
      <c r="B260" s="2" t="n">
        <f aca="false">IFERROR(__xludf.dummyfunction("""COMPUTED_VALUE"""),61.55)</f>
        <v>61.55</v>
      </c>
      <c r="C260" s="2" t="n">
        <f aca="false">IFERROR(__xludf.dummyfunction("""COMPUTED_VALUE"""),62.8)</f>
        <v>62.8</v>
      </c>
      <c r="D260" s="2" t="n">
        <f aca="false">IFERROR(__xludf.dummyfunction("""COMPUTED_VALUE"""),61.46)</f>
        <v>61.46</v>
      </c>
      <c r="E260" s="2" t="n">
        <f aca="false">IFERROR(__xludf.dummyfunction("""COMPUTED_VALUE"""),62.21)</f>
        <v>62.21</v>
      </c>
      <c r="F260" s="2" t="n">
        <f aca="false">IFERROR(__xludf.dummyfunction("""COMPUTED_VALUE"""),1903653)</f>
        <v>1903653</v>
      </c>
    </row>
    <row r="261" customFormat="false" ht="15.75" hidden="false" customHeight="false" outlineLevel="0" collapsed="false">
      <c r="A261" s="3" t="n">
        <f aca="false">IFERROR(__xludf.dummyfunction("""COMPUTED_VALUE"""),44573.6666666667)</f>
        <v>44573.6666666667</v>
      </c>
      <c r="B261" s="2" t="n">
        <f aca="false">IFERROR(__xludf.dummyfunction("""COMPUTED_VALUE"""),62.75)</f>
        <v>62.75</v>
      </c>
      <c r="C261" s="2" t="n">
        <f aca="false">IFERROR(__xludf.dummyfunction("""COMPUTED_VALUE"""),63.1)</f>
        <v>63.1</v>
      </c>
      <c r="D261" s="2" t="n">
        <f aca="false">IFERROR(__xludf.dummyfunction("""COMPUTED_VALUE"""),61.97)</f>
        <v>61.97</v>
      </c>
      <c r="E261" s="2" t="n">
        <f aca="false">IFERROR(__xludf.dummyfunction("""COMPUTED_VALUE"""),62.2)</f>
        <v>62.2</v>
      </c>
      <c r="F261" s="2" t="n">
        <f aca="false">IFERROR(__xludf.dummyfunction("""COMPUTED_VALUE"""),1880639)</f>
        <v>1880639</v>
      </c>
    </row>
    <row r="262" customFormat="false" ht="15.75" hidden="false" customHeight="false" outlineLevel="0" collapsed="false">
      <c r="A262" s="3" t="n">
        <f aca="false">IFERROR(__xludf.dummyfunction("""COMPUTED_VALUE"""),44574.6666666667)</f>
        <v>44574.6666666667</v>
      </c>
      <c r="B262" s="2" t="n">
        <f aca="false">IFERROR(__xludf.dummyfunction("""COMPUTED_VALUE"""),62.75)</f>
        <v>62.75</v>
      </c>
      <c r="C262" s="2" t="n">
        <f aca="false">IFERROR(__xludf.dummyfunction("""COMPUTED_VALUE"""),62.79)</f>
        <v>62.79</v>
      </c>
      <c r="D262" s="2" t="n">
        <f aca="false">IFERROR(__xludf.dummyfunction("""COMPUTED_VALUE"""),59.42)</f>
        <v>59.42</v>
      </c>
      <c r="E262" s="2" t="n">
        <f aca="false">IFERROR(__xludf.dummyfunction("""COMPUTED_VALUE"""),59.72)</f>
        <v>59.72</v>
      </c>
      <c r="F262" s="2" t="n">
        <f aca="false">IFERROR(__xludf.dummyfunction("""COMPUTED_VALUE"""),3004792)</f>
        <v>3004792</v>
      </c>
    </row>
    <row r="263" customFormat="false" ht="15.75" hidden="false" customHeight="false" outlineLevel="0" collapsed="false">
      <c r="A263" s="3" t="n">
        <f aca="false">IFERROR(__xludf.dummyfunction("""COMPUTED_VALUE"""),44575.6666666667)</f>
        <v>44575.6666666667</v>
      </c>
      <c r="B263" s="2" t="n">
        <f aca="false">IFERROR(__xludf.dummyfunction("""COMPUTED_VALUE"""),59.58)</f>
        <v>59.58</v>
      </c>
      <c r="C263" s="2" t="n">
        <f aca="false">IFERROR(__xludf.dummyfunction("""COMPUTED_VALUE"""),60.04)</f>
        <v>60.04</v>
      </c>
      <c r="D263" s="2" t="n">
        <f aca="false">IFERROR(__xludf.dummyfunction("""COMPUTED_VALUE"""),59.2)</f>
        <v>59.2</v>
      </c>
      <c r="E263" s="2" t="n">
        <f aca="false">IFERROR(__xludf.dummyfunction("""COMPUTED_VALUE"""),59.64)</f>
        <v>59.64</v>
      </c>
      <c r="F263" s="2" t="n">
        <f aca="false">IFERROR(__xludf.dummyfunction("""COMPUTED_VALUE"""),2566283)</f>
        <v>2566283</v>
      </c>
    </row>
    <row r="264" customFormat="false" ht="15.75" hidden="false" customHeight="false" outlineLevel="0" collapsed="false">
      <c r="A264" s="3" t="n">
        <f aca="false">IFERROR(__xludf.dummyfunction("""COMPUTED_VALUE"""),44579.6666666667)</f>
        <v>44579.6666666667</v>
      </c>
      <c r="B264" s="2" t="n">
        <f aca="false">IFERROR(__xludf.dummyfunction("""COMPUTED_VALUE"""),58.83)</f>
        <v>58.83</v>
      </c>
      <c r="C264" s="2" t="n">
        <f aca="false">IFERROR(__xludf.dummyfunction("""COMPUTED_VALUE"""),59.1)</f>
        <v>59.1</v>
      </c>
      <c r="D264" s="2" t="n">
        <f aca="false">IFERROR(__xludf.dummyfunction("""COMPUTED_VALUE"""),57.6)</f>
        <v>57.6</v>
      </c>
      <c r="E264" s="2" t="n">
        <f aca="false">IFERROR(__xludf.dummyfunction("""COMPUTED_VALUE"""),57.78)</f>
        <v>57.78</v>
      </c>
      <c r="F264" s="2" t="n">
        <f aca="false">IFERROR(__xludf.dummyfunction("""COMPUTED_VALUE"""),3583706)</f>
        <v>3583706</v>
      </c>
    </row>
    <row r="265" customFormat="false" ht="15.75" hidden="false" customHeight="false" outlineLevel="0" collapsed="false">
      <c r="A265" s="3" t="n">
        <f aca="false">IFERROR(__xludf.dummyfunction("""COMPUTED_VALUE"""),44580.6666666667)</f>
        <v>44580.6666666667</v>
      </c>
      <c r="B265" s="2" t="n">
        <f aca="false">IFERROR(__xludf.dummyfunction("""COMPUTED_VALUE"""),58.16)</f>
        <v>58.16</v>
      </c>
      <c r="C265" s="2" t="n">
        <f aca="false">IFERROR(__xludf.dummyfunction("""COMPUTED_VALUE"""),58.47)</f>
        <v>58.47</v>
      </c>
      <c r="D265" s="2" t="n">
        <f aca="false">IFERROR(__xludf.dummyfunction("""COMPUTED_VALUE"""),56.33)</f>
        <v>56.33</v>
      </c>
      <c r="E265" s="2" t="n">
        <f aca="false">IFERROR(__xludf.dummyfunction("""COMPUTED_VALUE"""),56.4)</f>
        <v>56.4</v>
      </c>
      <c r="F265" s="2" t="n">
        <f aca="false">IFERROR(__xludf.dummyfunction("""COMPUTED_VALUE"""),2269172)</f>
        <v>2269172</v>
      </c>
    </row>
    <row r="266" customFormat="false" ht="15.75" hidden="false" customHeight="false" outlineLevel="0" collapsed="false">
      <c r="A266" s="3" t="n">
        <f aca="false">IFERROR(__xludf.dummyfunction("""COMPUTED_VALUE"""),44581.6666666667)</f>
        <v>44581.6666666667</v>
      </c>
      <c r="B266" s="2" t="n">
        <f aca="false">IFERROR(__xludf.dummyfunction("""COMPUTED_VALUE"""),56.8)</f>
        <v>56.8</v>
      </c>
      <c r="C266" s="2" t="n">
        <f aca="false">IFERROR(__xludf.dummyfunction("""COMPUTED_VALUE"""),57.01)</f>
        <v>57.01</v>
      </c>
      <c r="D266" s="2" t="n">
        <f aca="false">IFERROR(__xludf.dummyfunction("""COMPUTED_VALUE"""),54.68)</f>
        <v>54.68</v>
      </c>
      <c r="E266" s="2" t="n">
        <f aca="false">IFERROR(__xludf.dummyfunction("""COMPUTED_VALUE"""),54.77)</f>
        <v>54.77</v>
      </c>
      <c r="F266" s="2" t="n">
        <f aca="false">IFERROR(__xludf.dummyfunction("""COMPUTED_VALUE"""),2522478)</f>
        <v>2522478</v>
      </c>
    </row>
    <row r="267" customFormat="false" ht="15.75" hidden="false" customHeight="false" outlineLevel="0" collapsed="false">
      <c r="A267" s="3" t="n">
        <f aca="false">IFERROR(__xludf.dummyfunction("""COMPUTED_VALUE"""),44582.6666666667)</f>
        <v>44582.6666666667</v>
      </c>
      <c r="B267" s="2" t="n">
        <f aca="false">IFERROR(__xludf.dummyfunction("""COMPUTED_VALUE"""),54.66)</f>
        <v>54.66</v>
      </c>
      <c r="C267" s="2" t="n">
        <f aca="false">IFERROR(__xludf.dummyfunction("""COMPUTED_VALUE"""),55.54)</f>
        <v>55.54</v>
      </c>
      <c r="D267" s="2" t="n">
        <f aca="false">IFERROR(__xludf.dummyfunction("""COMPUTED_VALUE"""),53.13)</f>
        <v>53.13</v>
      </c>
      <c r="E267" s="2" t="n">
        <f aca="false">IFERROR(__xludf.dummyfunction("""COMPUTED_VALUE"""),53.32)</f>
        <v>53.32</v>
      </c>
      <c r="F267" s="2" t="n">
        <f aca="false">IFERROR(__xludf.dummyfunction("""COMPUTED_VALUE"""),3801047)</f>
        <v>3801047</v>
      </c>
    </row>
    <row r="268" customFormat="false" ht="15.75" hidden="false" customHeight="false" outlineLevel="0" collapsed="false">
      <c r="A268" s="3" t="n">
        <f aca="false">IFERROR(__xludf.dummyfunction("""COMPUTED_VALUE"""),44585.6666666667)</f>
        <v>44585.6666666667</v>
      </c>
      <c r="B268" s="2" t="n">
        <f aca="false">IFERROR(__xludf.dummyfunction("""COMPUTED_VALUE"""),53.09)</f>
        <v>53.09</v>
      </c>
      <c r="C268" s="2" t="n">
        <f aca="false">IFERROR(__xludf.dummyfunction("""COMPUTED_VALUE"""),54.35)</f>
        <v>54.35</v>
      </c>
      <c r="D268" s="2" t="n">
        <f aca="false">IFERROR(__xludf.dummyfunction("""COMPUTED_VALUE"""),51.34)</f>
        <v>51.34</v>
      </c>
      <c r="E268" s="2" t="n">
        <f aca="false">IFERROR(__xludf.dummyfunction("""COMPUTED_VALUE"""),54.16)</f>
        <v>54.16</v>
      </c>
      <c r="F268" s="2" t="n">
        <f aca="false">IFERROR(__xludf.dummyfunction("""COMPUTED_VALUE"""),5426724)</f>
        <v>5426724</v>
      </c>
    </row>
    <row r="269" customFormat="false" ht="15.75" hidden="false" customHeight="false" outlineLevel="0" collapsed="false">
      <c r="A269" s="3" t="n">
        <f aca="false">IFERROR(__xludf.dummyfunction("""COMPUTED_VALUE"""),44586.6666666667)</f>
        <v>44586.6666666667</v>
      </c>
      <c r="B269" s="2" t="n">
        <f aca="false">IFERROR(__xludf.dummyfunction("""COMPUTED_VALUE"""),52.8)</f>
        <v>52.8</v>
      </c>
      <c r="C269" s="2" t="n">
        <f aca="false">IFERROR(__xludf.dummyfunction("""COMPUTED_VALUE"""),54.54)</f>
        <v>54.54</v>
      </c>
      <c r="D269" s="2" t="n">
        <f aca="false">IFERROR(__xludf.dummyfunction("""COMPUTED_VALUE"""),52.42)</f>
        <v>52.42</v>
      </c>
      <c r="E269" s="2" t="n">
        <f aca="false">IFERROR(__xludf.dummyfunction("""COMPUTED_VALUE"""),53.41)</f>
        <v>53.41</v>
      </c>
      <c r="F269" s="2" t="n">
        <f aca="false">IFERROR(__xludf.dummyfunction("""COMPUTED_VALUE"""),3815824)</f>
        <v>3815824</v>
      </c>
    </row>
    <row r="270" customFormat="false" ht="15.75" hidden="false" customHeight="false" outlineLevel="0" collapsed="false">
      <c r="A270" s="3" t="n">
        <f aca="false">IFERROR(__xludf.dummyfunction("""COMPUTED_VALUE"""),44587.6666666667)</f>
        <v>44587.6666666667</v>
      </c>
      <c r="B270" s="2" t="n">
        <f aca="false">IFERROR(__xludf.dummyfunction("""COMPUTED_VALUE"""),55.2)</f>
        <v>55.2</v>
      </c>
      <c r="C270" s="2" t="n">
        <f aca="false">IFERROR(__xludf.dummyfunction("""COMPUTED_VALUE"""),57.42)</f>
        <v>57.42</v>
      </c>
      <c r="D270" s="2" t="n">
        <f aca="false">IFERROR(__xludf.dummyfunction("""COMPUTED_VALUE"""),55.01)</f>
        <v>55.01</v>
      </c>
      <c r="E270" s="2" t="n">
        <f aca="false">IFERROR(__xludf.dummyfunction("""COMPUTED_VALUE"""),55.71)</f>
        <v>55.71</v>
      </c>
      <c r="F270" s="2" t="n">
        <f aca="false">IFERROR(__xludf.dummyfunction("""COMPUTED_VALUE"""),4971487)</f>
        <v>4971487</v>
      </c>
    </row>
    <row r="271" customFormat="false" ht="15.75" hidden="false" customHeight="false" outlineLevel="0" collapsed="false">
      <c r="A271" s="3" t="n">
        <f aca="false">IFERROR(__xludf.dummyfunction("""COMPUTED_VALUE"""),44588.6666666667)</f>
        <v>44588.6666666667</v>
      </c>
      <c r="B271" s="2" t="n">
        <f aca="false">IFERROR(__xludf.dummyfunction("""COMPUTED_VALUE"""),56.97)</f>
        <v>56.97</v>
      </c>
      <c r="C271" s="2" t="n">
        <f aca="false">IFERROR(__xludf.dummyfunction("""COMPUTED_VALUE"""),57.03)</f>
        <v>57.03</v>
      </c>
      <c r="D271" s="2" t="n">
        <f aca="false">IFERROR(__xludf.dummyfunction("""COMPUTED_VALUE"""),54.1)</f>
        <v>54.1</v>
      </c>
      <c r="E271" s="2" t="n">
        <f aca="false">IFERROR(__xludf.dummyfunction("""COMPUTED_VALUE"""),54.23)</f>
        <v>54.23</v>
      </c>
      <c r="F271" s="2" t="n">
        <f aca="false">IFERROR(__xludf.dummyfunction("""COMPUTED_VALUE"""),3420955)</f>
        <v>3420955</v>
      </c>
    </row>
    <row r="272" customFormat="false" ht="15.75" hidden="false" customHeight="false" outlineLevel="0" collapsed="false">
      <c r="A272" s="3" t="n">
        <f aca="false">IFERROR(__xludf.dummyfunction("""COMPUTED_VALUE"""),44589.6666666667)</f>
        <v>44589.6666666667</v>
      </c>
      <c r="B272" s="2" t="n">
        <f aca="false">IFERROR(__xludf.dummyfunction("""COMPUTED_VALUE"""),54.34)</f>
        <v>54.34</v>
      </c>
      <c r="C272" s="2" t="n">
        <f aca="false">IFERROR(__xludf.dummyfunction("""COMPUTED_VALUE"""),56.05)</f>
        <v>56.05</v>
      </c>
      <c r="D272" s="2" t="n">
        <f aca="false">IFERROR(__xludf.dummyfunction("""COMPUTED_VALUE"""),53.24)</f>
        <v>53.24</v>
      </c>
      <c r="E272" s="2" t="n">
        <f aca="false">IFERROR(__xludf.dummyfunction("""COMPUTED_VALUE"""),56.01)</f>
        <v>56.01</v>
      </c>
      <c r="F272" s="2" t="n">
        <f aca="false">IFERROR(__xludf.dummyfunction("""COMPUTED_VALUE"""),3025363)</f>
        <v>3025363</v>
      </c>
    </row>
    <row r="273" customFormat="false" ht="15.75" hidden="false" customHeight="false" outlineLevel="0" collapsed="false">
      <c r="A273" s="3" t="n">
        <f aca="false">IFERROR(__xludf.dummyfunction("""COMPUTED_VALUE"""),44592.6666666667)</f>
        <v>44592.6666666667</v>
      </c>
      <c r="B273" s="2" t="n">
        <f aca="false">IFERROR(__xludf.dummyfunction("""COMPUTED_VALUE"""),55.94)</f>
        <v>55.94</v>
      </c>
      <c r="C273" s="2" t="n">
        <f aca="false">IFERROR(__xludf.dummyfunction("""COMPUTED_VALUE"""),58.64)</f>
        <v>58.64</v>
      </c>
      <c r="D273" s="2" t="n">
        <f aca="false">IFERROR(__xludf.dummyfunction("""COMPUTED_VALUE"""),55.6)</f>
        <v>55.6</v>
      </c>
      <c r="E273" s="2" t="n">
        <f aca="false">IFERROR(__xludf.dummyfunction("""COMPUTED_VALUE"""),58.59)</f>
        <v>58.59</v>
      </c>
      <c r="F273" s="2" t="n">
        <f aca="false">IFERROR(__xludf.dummyfunction("""COMPUTED_VALUE"""),4028846)</f>
        <v>4028846</v>
      </c>
    </row>
    <row r="274" customFormat="false" ht="15.75" hidden="false" customHeight="false" outlineLevel="0" collapsed="false">
      <c r="A274" s="3" t="n">
        <f aca="false">IFERROR(__xludf.dummyfunction("""COMPUTED_VALUE"""),44593.6666666667)</f>
        <v>44593.6666666667</v>
      </c>
      <c r="B274" s="2" t="n">
        <f aca="false">IFERROR(__xludf.dummyfunction("""COMPUTED_VALUE"""),58.59)</f>
        <v>58.59</v>
      </c>
      <c r="C274" s="2" t="n">
        <f aca="false">IFERROR(__xludf.dummyfunction("""COMPUTED_VALUE"""),59.39)</f>
        <v>59.39</v>
      </c>
      <c r="D274" s="2" t="n">
        <f aca="false">IFERROR(__xludf.dummyfunction("""COMPUTED_VALUE"""),57.58)</f>
        <v>57.58</v>
      </c>
      <c r="E274" s="2" t="n">
        <f aca="false">IFERROR(__xludf.dummyfunction("""COMPUTED_VALUE"""),59.27)</f>
        <v>59.27</v>
      </c>
      <c r="F274" s="2" t="n">
        <f aca="false">IFERROR(__xludf.dummyfunction("""COMPUTED_VALUE"""),2571948)</f>
        <v>2571948</v>
      </c>
    </row>
    <row r="275" customFormat="false" ht="15.75" hidden="false" customHeight="false" outlineLevel="0" collapsed="false">
      <c r="A275" s="3" t="n">
        <f aca="false">IFERROR(__xludf.dummyfunction("""COMPUTED_VALUE"""),44594.6666666667)</f>
        <v>44594.6666666667</v>
      </c>
      <c r="B275" s="2" t="n">
        <f aca="false">IFERROR(__xludf.dummyfunction("""COMPUTED_VALUE"""),59.9)</f>
        <v>59.9</v>
      </c>
      <c r="C275" s="2" t="n">
        <f aca="false">IFERROR(__xludf.dummyfunction("""COMPUTED_VALUE"""),60.48)</f>
        <v>60.48</v>
      </c>
      <c r="D275" s="2" t="n">
        <f aca="false">IFERROR(__xludf.dummyfunction("""COMPUTED_VALUE"""),59.36)</f>
        <v>59.36</v>
      </c>
      <c r="E275" s="2" t="n">
        <f aca="false">IFERROR(__xludf.dummyfunction("""COMPUTED_VALUE"""),60.34)</f>
        <v>60.34</v>
      </c>
      <c r="F275" s="2" t="n">
        <f aca="false">IFERROR(__xludf.dummyfunction("""COMPUTED_VALUE"""),2444338)</f>
        <v>2444338</v>
      </c>
    </row>
    <row r="276" customFormat="false" ht="15.75" hidden="false" customHeight="false" outlineLevel="0" collapsed="false">
      <c r="A276" s="3" t="n">
        <f aca="false">IFERROR(__xludf.dummyfunction("""COMPUTED_VALUE"""),44595.6666666667)</f>
        <v>44595.6666666667</v>
      </c>
      <c r="B276" s="2" t="n">
        <f aca="false">IFERROR(__xludf.dummyfunction("""COMPUTED_VALUE"""),59.57)</f>
        <v>59.57</v>
      </c>
      <c r="C276" s="2" t="n">
        <f aca="false">IFERROR(__xludf.dummyfunction("""COMPUTED_VALUE"""),59.9)</f>
        <v>59.9</v>
      </c>
      <c r="D276" s="2" t="n">
        <f aca="false">IFERROR(__xludf.dummyfunction("""COMPUTED_VALUE"""),58.01)</f>
        <v>58.01</v>
      </c>
      <c r="E276" s="2" t="n">
        <f aca="false">IFERROR(__xludf.dummyfunction("""COMPUTED_VALUE"""),58.09)</f>
        <v>58.09</v>
      </c>
      <c r="F276" s="2" t="n">
        <f aca="false">IFERROR(__xludf.dummyfunction("""COMPUTED_VALUE"""),3060176)</f>
        <v>3060176</v>
      </c>
    </row>
    <row r="277" customFormat="false" ht="15.75" hidden="false" customHeight="false" outlineLevel="0" collapsed="false">
      <c r="A277" s="3" t="n">
        <f aca="false">IFERROR(__xludf.dummyfunction("""COMPUTED_VALUE"""),44596.6666666667)</f>
        <v>44596.6666666667</v>
      </c>
      <c r="B277" s="2" t="n">
        <f aca="false">IFERROR(__xludf.dummyfunction("""COMPUTED_VALUE"""),57.64)</f>
        <v>57.64</v>
      </c>
      <c r="C277" s="2" t="n">
        <f aca="false">IFERROR(__xludf.dummyfunction("""COMPUTED_VALUE"""),59.65)</f>
        <v>59.65</v>
      </c>
      <c r="D277" s="2" t="n">
        <f aca="false">IFERROR(__xludf.dummyfunction("""COMPUTED_VALUE"""),57.61)</f>
        <v>57.61</v>
      </c>
      <c r="E277" s="2" t="n">
        <f aca="false">IFERROR(__xludf.dummyfunction("""COMPUTED_VALUE"""),59.02)</f>
        <v>59.02</v>
      </c>
      <c r="F277" s="2" t="n">
        <f aca="false">IFERROR(__xludf.dummyfunction("""COMPUTED_VALUE"""),2054844)</f>
        <v>2054844</v>
      </c>
    </row>
    <row r="278" customFormat="false" ht="15.75" hidden="false" customHeight="false" outlineLevel="0" collapsed="false">
      <c r="A278" s="3" t="n">
        <f aca="false">IFERROR(__xludf.dummyfunction("""COMPUTED_VALUE"""),44599.6666666667)</f>
        <v>44599.6666666667</v>
      </c>
      <c r="B278" s="2" t="n">
        <f aca="false">IFERROR(__xludf.dummyfunction("""COMPUTED_VALUE"""),59.02)</f>
        <v>59.02</v>
      </c>
      <c r="C278" s="2" t="n">
        <f aca="false">IFERROR(__xludf.dummyfunction("""COMPUTED_VALUE"""),60.16)</f>
        <v>60.16</v>
      </c>
      <c r="D278" s="2" t="n">
        <f aca="false">IFERROR(__xludf.dummyfunction("""COMPUTED_VALUE"""),58.42)</f>
        <v>58.42</v>
      </c>
      <c r="E278" s="2" t="n">
        <f aca="false">IFERROR(__xludf.dummyfunction("""COMPUTED_VALUE"""),58.76)</f>
        <v>58.76</v>
      </c>
      <c r="F278" s="2" t="n">
        <f aca="false">IFERROR(__xludf.dummyfunction("""COMPUTED_VALUE"""),1867302)</f>
        <v>1867302</v>
      </c>
    </row>
    <row r="279" customFormat="false" ht="15.75" hidden="false" customHeight="false" outlineLevel="0" collapsed="false">
      <c r="A279" s="3" t="n">
        <f aca="false">IFERROR(__xludf.dummyfunction("""COMPUTED_VALUE"""),44600.6666666667)</f>
        <v>44600.6666666667</v>
      </c>
      <c r="B279" s="2" t="n">
        <f aca="false">IFERROR(__xludf.dummyfunction("""COMPUTED_VALUE"""),58.84)</f>
        <v>58.84</v>
      </c>
      <c r="C279" s="2" t="n">
        <f aca="false">IFERROR(__xludf.dummyfunction("""COMPUTED_VALUE"""),60.19)</f>
        <v>60.19</v>
      </c>
      <c r="D279" s="2" t="n">
        <f aca="false">IFERROR(__xludf.dummyfunction("""COMPUTED_VALUE"""),58.7)</f>
        <v>58.7</v>
      </c>
      <c r="E279" s="2" t="n">
        <f aca="false">IFERROR(__xludf.dummyfunction("""COMPUTED_VALUE"""),60.02)</f>
        <v>60.02</v>
      </c>
      <c r="F279" s="2" t="n">
        <f aca="false">IFERROR(__xludf.dummyfunction("""COMPUTED_VALUE"""),1457174)</f>
        <v>1457174</v>
      </c>
    </row>
    <row r="280" customFormat="false" ht="15.75" hidden="false" customHeight="false" outlineLevel="0" collapsed="false">
      <c r="A280" s="3" t="n">
        <f aca="false">IFERROR(__xludf.dummyfunction("""COMPUTED_VALUE"""),44601.6666666667)</f>
        <v>44601.6666666667</v>
      </c>
      <c r="B280" s="2" t="n">
        <f aca="false">IFERROR(__xludf.dummyfunction("""COMPUTED_VALUE"""),60.74)</f>
        <v>60.74</v>
      </c>
      <c r="C280" s="2" t="n">
        <f aca="false">IFERROR(__xludf.dummyfunction("""COMPUTED_VALUE"""),61.17)</f>
        <v>61.17</v>
      </c>
      <c r="D280" s="2" t="n">
        <f aca="false">IFERROR(__xludf.dummyfunction("""COMPUTED_VALUE"""),60.16)</f>
        <v>60.16</v>
      </c>
      <c r="E280" s="2" t="n">
        <f aca="false">IFERROR(__xludf.dummyfunction("""COMPUTED_VALUE"""),61.13)</f>
        <v>61.13</v>
      </c>
      <c r="F280" s="2" t="n">
        <f aca="false">IFERROR(__xludf.dummyfunction("""COMPUTED_VALUE"""),2200361)</f>
        <v>2200361</v>
      </c>
    </row>
    <row r="281" customFormat="false" ht="15.75" hidden="false" customHeight="false" outlineLevel="0" collapsed="false">
      <c r="A281" s="3" t="n">
        <f aca="false">IFERROR(__xludf.dummyfunction("""COMPUTED_VALUE"""),44602.6666666667)</f>
        <v>44602.6666666667</v>
      </c>
      <c r="B281" s="2" t="n">
        <f aca="false">IFERROR(__xludf.dummyfunction("""COMPUTED_VALUE"""),59.53)</f>
        <v>59.53</v>
      </c>
      <c r="C281" s="2" t="n">
        <f aca="false">IFERROR(__xludf.dummyfunction("""COMPUTED_VALUE"""),61.46)</f>
        <v>61.46</v>
      </c>
      <c r="D281" s="2" t="n">
        <f aca="false">IFERROR(__xludf.dummyfunction("""COMPUTED_VALUE"""),58.86)</f>
        <v>58.86</v>
      </c>
      <c r="E281" s="2" t="n">
        <f aca="false">IFERROR(__xludf.dummyfunction("""COMPUTED_VALUE"""),59.14)</f>
        <v>59.14</v>
      </c>
      <c r="F281" s="2" t="n">
        <f aca="false">IFERROR(__xludf.dummyfunction("""COMPUTED_VALUE"""),2491954)</f>
        <v>2491954</v>
      </c>
    </row>
    <row r="282" customFormat="false" ht="15.75" hidden="false" customHeight="false" outlineLevel="0" collapsed="false">
      <c r="A282" s="3" t="n">
        <f aca="false">IFERROR(__xludf.dummyfunction("""COMPUTED_VALUE"""),44603.6666666667)</f>
        <v>44603.6666666667</v>
      </c>
      <c r="B282" s="2" t="n">
        <f aca="false">IFERROR(__xludf.dummyfunction("""COMPUTED_VALUE"""),59.14)</f>
        <v>59.14</v>
      </c>
      <c r="C282" s="2" t="n">
        <f aca="false">IFERROR(__xludf.dummyfunction("""COMPUTED_VALUE"""),59.98)</f>
        <v>59.98</v>
      </c>
      <c r="D282" s="2" t="n">
        <f aca="false">IFERROR(__xludf.dummyfunction("""COMPUTED_VALUE"""),56.91)</f>
        <v>56.91</v>
      </c>
      <c r="E282" s="2" t="n">
        <f aca="false">IFERROR(__xludf.dummyfunction("""COMPUTED_VALUE"""),57.34)</f>
        <v>57.34</v>
      </c>
      <c r="F282" s="2" t="n">
        <f aca="false">IFERROR(__xludf.dummyfunction("""COMPUTED_VALUE"""),2728064)</f>
        <v>2728064</v>
      </c>
    </row>
    <row r="283" customFormat="false" ht="15.75" hidden="false" customHeight="false" outlineLevel="0" collapsed="false">
      <c r="A283" s="3" t="n">
        <f aca="false">IFERROR(__xludf.dummyfunction("""COMPUTED_VALUE"""),44606.6666666667)</f>
        <v>44606.6666666667</v>
      </c>
      <c r="B283" s="2" t="n">
        <f aca="false">IFERROR(__xludf.dummyfunction("""COMPUTED_VALUE"""),57.5)</f>
        <v>57.5</v>
      </c>
      <c r="C283" s="2" t="n">
        <f aca="false">IFERROR(__xludf.dummyfunction("""COMPUTED_VALUE"""),58.28)</f>
        <v>58.28</v>
      </c>
      <c r="D283" s="2" t="n">
        <f aca="false">IFERROR(__xludf.dummyfunction("""COMPUTED_VALUE"""),57.01)</f>
        <v>57.01</v>
      </c>
      <c r="E283" s="2" t="n">
        <f aca="false">IFERROR(__xludf.dummyfunction("""COMPUTED_VALUE"""),57.86)</f>
        <v>57.86</v>
      </c>
      <c r="F283" s="2" t="n">
        <f aca="false">IFERROR(__xludf.dummyfunction("""COMPUTED_VALUE"""),1929091)</f>
        <v>1929091</v>
      </c>
    </row>
    <row r="284" customFormat="false" ht="15.75" hidden="false" customHeight="false" outlineLevel="0" collapsed="false">
      <c r="A284" s="3" t="n">
        <f aca="false">IFERROR(__xludf.dummyfunction("""COMPUTED_VALUE"""),44607.6666666667)</f>
        <v>44607.6666666667</v>
      </c>
      <c r="B284" s="2" t="n">
        <f aca="false">IFERROR(__xludf.dummyfunction("""COMPUTED_VALUE"""),58.9)</f>
        <v>58.9</v>
      </c>
      <c r="C284" s="2" t="n">
        <f aca="false">IFERROR(__xludf.dummyfunction("""COMPUTED_VALUE"""),60.6)</f>
        <v>60.6</v>
      </c>
      <c r="D284" s="2" t="n">
        <f aca="false">IFERROR(__xludf.dummyfunction("""COMPUTED_VALUE"""),58.83)</f>
        <v>58.83</v>
      </c>
      <c r="E284" s="2" t="n">
        <f aca="false">IFERROR(__xludf.dummyfunction("""COMPUTED_VALUE"""),60.28)</f>
        <v>60.28</v>
      </c>
      <c r="F284" s="2" t="n">
        <f aca="false">IFERROR(__xludf.dummyfunction("""COMPUTED_VALUE"""),3428437)</f>
        <v>3428437</v>
      </c>
    </row>
    <row r="285" customFormat="false" ht="15.75" hidden="false" customHeight="false" outlineLevel="0" collapsed="false">
      <c r="A285" s="3" t="n">
        <f aca="false">IFERROR(__xludf.dummyfunction("""COMPUTED_VALUE"""),44608.6666666667)</f>
        <v>44608.6666666667</v>
      </c>
      <c r="B285" s="2" t="n">
        <f aca="false">IFERROR(__xludf.dummyfunction("""COMPUTED_VALUE"""),59.41)</f>
        <v>59.41</v>
      </c>
      <c r="C285" s="2" t="n">
        <f aca="false">IFERROR(__xludf.dummyfunction("""COMPUTED_VALUE"""),60.08)</f>
        <v>60.08</v>
      </c>
      <c r="D285" s="2" t="n">
        <f aca="false">IFERROR(__xludf.dummyfunction("""COMPUTED_VALUE"""),58.72)</f>
        <v>58.72</v>
      </c>
      <c r="E285" s="2" t="n">
        <f aca="false">IFERROR(__xludf.dummyfunction("""COMPUTED_VALUE"""),59.72)</f>
        <v>59.72</v>
      </c>
      <c r="F285" s="2" t="n">
        <f aca="false">IFERROR(__xludf.dummyfunction("""COMPUTED_VALUE"""),2293143)</f>
        <v>2293143</v>
      </c>
    </row>
    <row r="286" customFormat="false" ht="15.75" hidden="false" customHeight="false" outlineLevel="0" collapsed="false">
      <c r="A286" s="3" t="n">
        <f aca="false">IFERROR(__xludf.dummyfunction("""COMPUTED_VALUE"""),44609.6666666667)</f>
        <v>44609.6666666667</v>
      </c>
      <c r="B286" s="2" t="n">
        <f aca="false">IFERROR(__xludf.dummyfunction("""COMPUTED_VALUE"""),58.97)</f>
        <v>58.97</v>
      </c>
      <c r="C286" s="2" t="n">
        <f aca="false">IFERROR(__xludf.dummyfunction("""COMPUTED_VALUE"""),59.16)</f>
        <v>59.16</v>
      </c>
      <c r="D286" s="2" t="n">
        <f aca="false">IFERROR(__xludf.dummyfunction("""COMPUTED_VALUE"""),57.89)</f>
        <v>57.89</v>
      </c>
      <c r="E286" s="2" t="n">
        <f aca="false">IFERROR(__xludf.dummyfunction("""COMPUTED_VALUE"""),57.9)</f>
        <v>57.9</v>
      </c>
      <c r="F286" s="2" t="n">
        <f aca="false">IFERROR(__xludf.dummyfunction("""COMPUTED_VALUE"""),2142434)</f>
        <v>2142434</v>
      </c>
    </row>
    <row r="287" customFormat="false" ht="15.75" hidden="false" customHeight="false" outlineLevel="0" collapsed="false">
      <c r="A287" s="3" t="n">
        <f aca="false">IFERROR(__xludf.dummyfunction("""COMPUTED_VALUE"""),44610.6666666667)</f>
        <v>44610.6666666667</v>
      </c>
      <c r="B287" s="2" t="n">
        <f aca="false">IFERROR(__xludf.dummyfunction("""COMPUTED_VALUE"""),58.09)</f>
        <v>58.09</v>
      </c>
      <c r="C287" s="2" t="n">
        <f aca="false">IFERROR(__xludf.dummyfunction("""COMPUTED_VALUE"""),58.77)</f>
        <v>58.77</v>
      </c>
      <c r="D287" s="2" t="n">
        <f aca="false">IFERROR(__xludf.dummyfunction("""COMPUTED_VALUE"""),57.33)</f>
        <v>57.33</v>
      </c>
      <c r="E287" s="2" t="n">
        <f aca="false">IFERROR(__xludf.dummyfunction("""COMPUTED_VALUE"""),58)</f>
        <v>58</v>
      </c>
      <c r="F287" s="2" t="n">
        <f aca="false">IFERROR(__xludf.dummyfunction("""COMPUTED_VALUE"""),1970772)</f>
        <v>1970772</v>
      </c>
    </row>
    <row r="288" customFormat="false" ht="15.75" hidden="false" customHeight="false" outlineLevel="0" collapsed="false">
      <c r="A288" s="3" t="n">
        <f aca="false">IFERROR(__xludf.dummyfunction("""COMPUTED_VALUE"""),44614.6666666667)</f>
        <v>44614.6666666667</v>
      </c>
      <c r="B288" s="2" t="n">
        <f aca="false">IFERROR(__xludf.dummyfunction("""COMPUTED_VALUE"""),58)</f>
        <v>58</v>
      </c>
      <c r="C288" s="2" t="n">
        <f aca="false">IFERROR(__xludf.dummyfunction("""COMPUTED_VALUE"""),59.02)</f>
        <v>59.02</v>
      </c>
      <c r="D288" s="2" t="n">
        <f aca="false">IFERROR(__xludf.dummyfunction("""COMPUTED_VALUE"""),56.98)</f>
        <v>56.98</v>
      </c>
      <c r="E288" s="2" t="n">
        <f aca="false">IFERROR(__xludf.dummyfunction("""COMPUTED_VALUE"""),57.75)</f>
        <v>57.75</v>
      </c>
      <c r="F288" s="2" t="n">
        <f aca="false">IFERROR(__xludf.dummyfunction("""COMPUTED_VALUE"""),2020421)</f>
        <v>2020421</v>
      </c>
    </row>
    <row r="289" customFormat="false" ht="15.75" hidden="false" customHeight="false" outlineLevel="0" collapsed="false">
      <c r="A289" s="3" t="n">
        <f aca="false">IFERROR(__xludf.dummyfunction("""COMPUTED_VALUE"""),44615.6666666667)</f>
        <v>44615.6666666667</v>
      </c>
      <c r="B289" s="2" t="n">
        <f aca="false">IFERROR(__xludf.dummyfunction("""COMPUTED_VALUE"""),58.02)</f>
        <v>58.02</v>
      </c>
      <c r="C289" s="2" t="n">
        <f aca="false">IFERROR(__xludf.dummyfunction("""COMPUTED_VALUE"""),58.51)</f>
        <v>58.51</v>
      </c>
      <c r="D289" s="2" t="n">
        <f aca="false">IFERROR(__xludf.dummyfunction("""COMPUTED_VALUE"""),56.47)</f>
        <v>56.47</v>
      </c>
      <c r="E289" s="2" t="n">
        <f aca="false">IFERROR(__xludf.dummyfunction("""COMPUTED_VALUE"""),56.52)</f>
        <v>56.52</v>
      </c>
      <c r="F289" s="2" t="n">
        <f aca="false">IFERROR(__xludf.dummyfunction("""COMPUTED_VALUE"""),2241646)</f>
        <v>2241646</v>
      </c>
    </row>
    <row r="290" customFormat="false" ht="15.75" hidden="false" customHeight="false" outlineLevel="0" collapsed="false">
      <c r="A290" s="3" t="n">
        <f aca="false">IFERROR(__xludf.dummyfunction("""COMPUTED_VALUE"""),44616.6666666667)</f>
        <v>44616.6666666667</v>
      </c>
      <c r="B290" s="2" t="n">
        <f aca="false">IFERROR(__xludf.dummyfunction("""COMPUTED_VALUE"""),55.16)</f>
        <v>55.16</v>
      </c>
      <c r="C290" s="2" t="n">
        <f aca="false">IFERROR(__xludf.dummyfunction("""COMPUTED_VALUE"""),58.57)</f>
        <v>58.57</v>
      </c>
      <c r="D290" s="2" t="n">
        <f aca="false">IFERROR(__xludf.dummyfunction("""COMPUTED_VALUE"""),54.9)</f>
        <v>54.9</v>
      </c>
      <c r="E290" s="2" t="n">
        <f aca="false">IFERROR(__xludf.dummyfunction("""COMPUTED_VALUE"""),58)</f>
        <v>58</v>
      </c>
      <c r="F290" s="2" t="n">
        <f aca="false">IFERROR(__xludf.dummyfunction("""COMPUTED_VALUE"""),3531619)</f>
        <v>3531619</v>
      </c>
    </row>
    <row r="291" customFormat="false" ht="15.75" hidden="false" customHeight="false" outlineLevel="0" collapsed="false">
      <c r="A291" s="3" t="n">
        <f aca="false">IFERROR(__xludf.dummyfunction("""COMPUTED_VALUE"""),44617.6666666667)</f>
        <v>44617.6666666667</v>
      </c>
      <c r="B291" s="2" t="n">
        <f aca="false">IFERROR(__xludf.dummyfunction("""COMPUTED_VALUE"""),57.98)</f>
        <v>57.98</v>
      </c>
      <c r="C291" s="2" t="n">
        <f aca="false">IFERROR(__xludf.dummyfunction("""COMPUTED_VALUE"""),58.94)</f>
        <v>58.94</v>
      </c>
      <c r="D291" s="2" t="n">
        <f aca="false">IFERROR(__xludf.dummyfunction("""COMPUTED_VALUE"""),57.4)</f>
        <v>57.4</v>
      </c>
      <c r="E291" s="2" t="n">
        <f aca="false">IFERROR(__xludf.dummyfunction("""COMPUTED_VALUE"""),58.8)</f>
        <v>58.8</v>
      </c>
      <c r="F291" s="2" t="n">
        <f aca="false">IFERROR(__xludf.dummyfunction("""COMPUTED_VALUE"""),2238003)</f>
        <v>2238003</v>
      </c>
    </row>
    <row r="292" customFormat="false" ht="15.75" hidden="false" customHeight="false" outlineLevel="0" collapsed="false">
      <c r="A292" s="3" t="n">
        <f aca="false">IFERROR(__xludf.dummyfunction("""COMPUTED_VALUE"""),44620.6666666667)</f>
        <v>44620.6666666667</v>
      </c>
      <c r="B292" s="2" t="n">
        <f aca="false">IFERROR(__xludf.dummyfunction("""COMPUTED_VALUE"""),58.1)</f>
        <v>58.1</v>
      </c>
      <c r="C292" s="2" t="n">
        <f aca="false">IFERROR(__xludf.dummyfunction("""COMPUTED_VALUE"""),59.23)</f>
        <v>59.23</v>
      </c>
      <c r="D292" s="2" t="n">
        <f aca="false">IFERROR(__xludf.dummyfunction("""COMPUTED_VALUE"""),57.64)</f>
        <v>57.64</v>
      </c>
      <c r="E292" s="2" t="n">
        <f aca="false">IFERROR(__xludf.dummyfunction("""COMPUTED_VALUE"""),58.74)</f>
        <v>58.74</v>
      </c>
      <c r="F292" s="2" t="n">
        <f aca="false">IFERROR(__xludf.dummyfunction("""COMPUTED_VALUE"""),2500487)</f>
        <v>2500487</v>
      </c>
    </row>
    <row r="293" customFormat="false" ht="15.75" hidden="false" customHeight="false" outlineLevel="0" collapsed="false">
      <c r="A293" s="3" t="n">
        <f aca="false">IFERROR(__xludf.dummyfunction("""COMPUTED_VALUE"""),44621.6666666667)</f>
        <v>44621.6666666667</v>
      </c>
      <c r="B293" s="2" t="n">
        <f aca="false">IFERROR(__xludf.dummyfunction("""COMPUTED_VALUE"""),58.48)</f>
        <v>58.48</v>
      </c>
      <c r="C293" s="2" t="n">
        <f aca="false">IFERROR(__xludf.dummyfunction("""COMPUTED_VALUE"""),58.76)</f>
        <v>58.76</v>
      </c>
      <c r="D293" s="2" t="n">
        <f aca="false">IFERROR(__xludf.dummyfunction("""COMPUTED_VALUE"""),56.53)</f>
        <v>56.53</v>
      </c>
      <c r="E293" s="2" t="n">
        <f aca="false">IFERROR(__xludf.dummyfunction("""COMPUTED_VALUE"""),57.01)</f>
        <v>57.01</v>
      </c>
      <c r="F293" s="2" t="n">
        <f aca="false">IFERROR(__xludf.dummyfunction("""COMPUTED_VALUE"""),2489810)</f>
        <v>2489810</v>
      </c>
    </row>
    <row r="294" customFormat="false" ht="15.75" hidden="false" customHeight="false" outlineLevel="0" collapsed="false">
      <c r="A294" s="3" t="n">
        <f aca="false">IFERROR(__xludf.dummyfunction("""COMPUTED_VALUE"""),44622.6666666667)</f>
        <v>44622.6666666667</v>
      </c>
      <c r="B294" s="2" t="n">
        <f aca="false">IFERROR(__xludf.dummyfunction("""COMPUTED_VALUE"""),57.45)</f>
        <v>57.45</v>
      </c>
      <c r="C294" s="2" t="n">
        <f aca="false">IFERROR(__xludf.dummyfunction("""COMPUTED_VALUE"""),59.05)</f>
        <v>59.05</v>
      </c>
      <c r="D294" s="2" t="n">
        <f aca="false">IFERROR(__xludf.dummyfunction("""COMPUTED_VALUE"""),57.36)</f>
        <v>57.36</v>
      </c>
      <c r="E294" s="2" t="n">
        <f aca="false">IFERROR(__xludf.dummyfunction("""COMPUTED_VALUE"""),58.58)</f>
        <v>58.58</v>
      </c>
      <c r="F294" s="2" t="n">
        <f aca="false">IFERROR(__xludf.dummyfunction("""COMPUTED_VALUE"""),2177131)</f>
        <v>2177131</v>
      </c>
    </row>
    <row r="295" customFormat="false" ht="15.75" hidden="false" customHeight="false" outlineLevel="0" collapsed="false">
      <c r="A295" s="3" t="n">
        <f aca="false">IFERROR(__xludf.dummyfunction("""COMPUTED_VALUE"""),44623.6666666667)</f>
        <v>44623.6666666667</v>
      </c>
      <c r="B295" s="2" t="n">
        <f aca="false">IFERROR(__xludf.dummyfunction("""COMPUTED_VALUE"""),59.37)</f>
        <v>59.37</v>
      </c>
      <c r="C295" s="2" t="n">
        <f aca="false">IFERROR(__xludf.dummyfunction("""COMPUTED_VALUE"""),59.37)</f>
        <v>59.37</v>
      </c>
      <c r="D295" s="2" t="n">
        <f aca="false">IFERROR(__xludf.dummyfunction("""COMPUTED_VALUE"""),57.43)</f>
        <v>57.43</v>
      </c>
      <c r="E295" s="2" t="n">
        <f aca="false">IFERROR(__xludf.dummyfunction("""COMPUTED_VALUE"""),57.86)</f>
        <v>57.86</v>
      </c>
      <c r="F295" s="2" t="n">
        <f aca="false">IFERROR(__xludf.dummyfunction("""COMPUTED_VALUE"""),2645397)</f>
        <v>2645397</v>
      </c>
    </row>
    <row r="296" customFormat="false" ht="15.75" hidden="false" customHeight="false" outlineLevel="0" collapsed="false">
      <c r="A296" s="3" t="n">
        <f aca="false">IFERROR(__xludf.dummyfunction("""COMPUTED_VALUE"""),44624.6666666667)</f>
        <v>44624.6666666667</v>
      </c>
      <c r="B296" s="2" t="n">
        <f aca="false">IFERROR(__xludf.dummyfunction("""COMPUTED_VALUE"""),59.28)</f>
        <v>59.28</v>
      </c>
      <c r="C296" s="2" t="n">
        <f aca="false">IFERROR(__xludf.dummyfunction("""COMPUTED_VALUE"""),60.59)</f>
        <v>60.59</v>
      </c>
      <c r="D296" s="2" t="n">
        <f aca="false">IFERROR(__xludf.dummyfunction("""COMPUTED_VALUE"""),58.4)</f>
        <v>58.4</v>
      </c>
      <c r="E296" s="2" t="n">
        <f aca="false">IFERROR(__xludf.dummyfunction("""COMPUTED_VALUE"""),59.6)</f>
        <v>59.6</v>
      </c>
      <c r="F296" s="2" t="n">
        <f aca="false">IFERROR(__xludf.dummyfunction("""COMPUTED_VALUE"""),4476193)</f>
        <v>4476193</v>
      </c>
    </row>
    <row r="297" customFormat="false" ht="15.75" hidden="false" customHeight="false" outlineLevel="0" collapsed="false">
      <c r="A297" s="3" t="n">
        <f aca="false">IFERROR(__xludf.dummyfunction("""COMPUTED_VALUE"""),44627.6666666667)</f>
        <v>44627.6666666667</v>
      </c>
      <c r="B297" s="2" t="n">
        <f aca="false">IFERROR(__xludf.dummyfunction("""COMPUTED_VALUE"""),59.71)</f>
        <v>59.71</v>
      </c>
      <c r="C297" s="2" t="n">
        <f aca="false">IFERROR(__xludf.dummyfunction("""COMPUTED_VALUE"""),59.88)</f>
        <v>59.88</v>
      </c>
      <c r="D297" s="2" t="n">
        <f aca="false">IFERROR(__xludf.dummyfunction("""COMPUTED_VALUE"""),57)</f>
        <v>57</v>
      </c>
      <c r="E297" s="2" t="n">
        <f aca="false">IFERROR(__xludf.dummyfunction("""COMPUTED_VALUE"""),57.07)</f>
        <v>57.07</v>
      </c>
      <c r="F297" s="2" t="n">
        <f aca="false">IFERROR(__xludf.dummyfunction("""COMPUTED_VALUE"""),2649363)</f>
        <v>2649363</v>
      </c>
    </row>
    <row r="298" customFormat="false" ht="15.75" hidden="false" customHeight="false" outlineLevel="0" collapsed="false">
      <c r="A298" s="3" t="n">
        <f aca="false">IFERROR(__xludf.dummyfunction("""COMPUTED_VALUE"""),44628.6666666667)</f>
        <v>44628.6666666667</v>
      </c>
      <c r="B298" s="2" t="n">
        <f aca="false">IFERROR(__xludf.dummyfunction("""COMPUTED_VALUE"""),57.22)</f>
        <v>57.22</v>
      </c>
      <c r="C298" s="2" t="n">
        <f aca="false">IFERROR(__xludf.dummyfunction("""COMPUTED_VALUE"""),59.61)</f>
        <v>59.61</v>
      </c>
      <c r="D298" s="2" t="n">
        <f aca="false">IFERROR(__xludf.dummyfunction("""COMPUTED_VALUE"""),56.36)</f>
        <v>56.36</v>
      </c>
      <c r="E298" s="2" t="n">
        <f aca="false">IFERROR(__xludf.dummyfunction("""COMPUTED_VALUE"""),57.6)</f>
        <v>57.6</v>
      </c>
      <c r="F298" s="2" t="n">
        <f aca="false">IFERROR(__xludf.dummyfunction("""COMPUTED_VALUE"""),2699261)</f>
        <v>2699261</v>
      </c>
    </row>
    <row r="299" customFormat="false" ht="15.75" hidden="false" customHeight="false" outlineLevel="0" collapsed="false">
      <c r="A299" s="3" t="n">
        <f aca="false">IFERROR(__xludf.dummyfunction("""COMPUTED_VALUE"""),44629.6666666667)</f>
        <v>44629.6666666667</v>
      </c>
      <c r="B299" s="2" t="n">
        <f aca="false">IFERROR(__xludf.dummyfunction("""COMPUTED_VALUE"""),58.88)</f>
        <v>58.88</v>
      </c>
      <c r="C299" s="2" t="n">
        <f aca="false">IFERROR(__xludf.dummyfunction("""COMPUTED_VALUE"""),60.16)</f>
        <v>60.16</v>
      </c>
      <c r="D299" s="2" t="n">
        <f aca="false">IFERROR(__xludf.dummyfunction("""COMPUTED_VALUE"""),58.7)</f>
        <v>58.7</v>
      </c>
      <c r="E299" s="2" t="n">
        <f aca="false">IFERROR(__xludf.dummyfunction("""COMPUTED_VALUE"""),59.7)</f>
        <v>59.7</v>
      </c>
      <c r="F299" s="2" t="n">
        <f aca="false">IFERROR(__xludf.dummyfunction("""COMPUTED_VALUE"""),2256049)</f>
        <v>2256049</v>
      </c>
    </row>
    <row r="300" customFormat="false" ht="15.75" hidden="false" customHeight="false" outlineLevel="0" collapsed="false">
      <c r="A300" s="3" t="n">
        <f aca="false">IFERROR(__xludf.dummyfunction("""COMPUTED_VALUE"""),44630.6666666667)</f>
        <v>44630.6666666667</v>
      </c>
      <c r="B300" s="2" t="n">
        <f aca="false">IFERROR(__xludf.dummyfunction("""COMPUTED_VALUE"""),58.56)</f>
        <v>58.56</v>
      </c>
      <c r="C300" s="2" t="n">
        <f aca="false">IFERROR(__xludf.dummyfunction("""COMPUTED_VALUE"""),59)</f>
        <v>59</v>
      </c>
      <c r="D300" s="2" t="n">
        <f aca="false">IFERROR(__xludf.dummyfunction("""COMPUTED_VALUE"""),57.64)</f>
        <v>57.64</v>
      </c>
      <c r="E300" s="2" t="n">
        <f aca="false">IFERROR(__xludf.dummyfunction("""COMPUTED_VALUE"""),58.77)</f>
        <v>58.77</v>
      </c>
      <c r="F300" s="2" t="n">
        <f aca="false">IFERROR(__xludf.dummyfunction("""COMPUTED_VALUE"""),1932364)</f>
        <v>1932364</v>
      </c>
    </row>
    <row r="301" customFormat="false" ht="15.75" hidden="false" customHeight="false" outlineLevel="0" collapsed="false">
      <c r="A301" s="3" t="n">
        <f aca="false">IFERROR(__xludf.dummyfunction("""COMPUTED_VALUE"""),44631.6666666667)</f>
        <v>44631.6666666667</v>
      </c>
      <c r="B301" s="2" t="n">
        <f aca="false">IFERROR(__xludf.dummyfunction("""COMPUTED_VALUE"""),59.2)</f>
        <v>59.2</v>
      </c>
      <c r="C301" s="2" t="n">
        <f aca="false">IFERROR(__xludf.dummyfunction("""COMPUTED_VALUE"""),59.44)</f>
        <v>59.44</v>
      </c>
      <c r="D301" s="2" t="n">
        <f aca="false">IFERROR(__xludf.dummyfunction("""COMPUTED_VALUE"""),57.71)</f>
        <v>57.71</v>
      </c>
      <c r="E301" s="2" t="n">
        <f aca="false">IFERROR(__xludf.dummyfunction("""COMPUTED_VALUE"""),57.79)</f>
        <v>57.79</v>
      </c>
      <c r="F301" s="2" t="n">
        <f aca="false">IFERROR(__xludf.dummyfunction("""COMPUTED_VALUE"""),1981534)</f>
        <v>1981534</v>
      </c>
    </row>
    <row r="302" customFormat="false" ht="15.75" hidden="false" customHeight="false" outlineLevel="0" collapsed="false">
      <c r="A302" s="3" t="n">
        <f aca="false">IFERROR(__xludf.dummyfunction("""COMPUTED_VALUE"""),44634.6666666667)</f>
        <v>44634.6666666667</v>
      </c>
      <c r="B302" s="2" t="n">
        <f aca="false">IFERROR(__xludf.dummyfunction("""COMPUTED_VALUE"""),57.7)</f>
        <v>57.7</v>
      </c>
      <c r="C302" s="2" t="n">
        <f aca="false">IFERROR(__xludf.dummyfunction("""COMPUTED_VALUE"""),58)</f>
        <v>58</v>
      </c>
      <c r="D302" s="2" t="n">
        <f aca="false">IFERROR(__xludf.dummyfunction("""COMPUTED_VALUE"""),56.48)</f>
        <v>56.48</v>
      </c>
      <c r="E302" s="2" t="n">
        <f aca="false">IFERROR(__xludf.dummyfunction("""COMPUTED_VALUE"""),56.78)</f>
        <v>56.78</v>
      </c>
      <c r="F302" s="2" t="n">
        <f aca="false">IFERROR(__xludf.dummyfunction("""COMPUTED_VALUE"""),2523390)</f>
        <v>2523390</v>
      </c>
    </row>
    <row r="303" customFormat="false" ht="15.75" hidden="false" customHeight="false" outlineLevel="0" collapsed="false">
      <c r="A303" s="3" t="n">
        <f aca="false">IFERROR(__xludf.dummyfunction("""COMPUTED_VALUE"""),44635.6666666667)</f>
        <v>44635.6666666667</v>
      </c>
      <c r="B303" s="2" t="n">
        <f aca="false">IFERROR(__xludf.dummyfunction("""COMPUTED_VALUE"""),57.73)</f>
        <v>57.73</v>
      </c>
      <c r="C303" s="2" t="n">
        <f aca="false">IFERROR(__xludf.dummyfunction("""COMPUTED_VALUE"""),59.68)</f>
        <v>59.68</v>
      </c>
      <c r="D303" s="2" t="n">
        <f aca="false">IFERROR(__xludf.dummyfunction("""COMPUTED_VALUE"""),57.5)</f>
        <v>57.5</v>
      </c>
      <c r="E303" s="2" t="n">
        <f aca="false">IFERROR(__xludf.dummyfunction("""COMPUTED_VALUE"""),59.28)</f>
        <v>59.28</v>
      </c>
      <c r="F303" s="2" t="n">
        <f aca="false">IFERROR(__xludf.dummyfunction("""COMPUTED_VALUE"""),2825988)</f>
        <v>2825988</v>
      </c>
    </row>
    <row r="304" customFormat="false" ht="15.75" hidden="false" customHeight="false" outlineLevel="0" collapsed="false">
      <c r="A304" s="3" t="n">
        <f aca="false">IFERROR(__xludf.dummyfunction("""COMPUTED_VALUE"""),44636.6666666667)</f>
        <v>44636.6666666667</v>
      </c>
      <c r="B304" s="2" t="n">
        <f aca="false">IFERROR(__xludf.dummyfunction("""COMPUTED_VALUE"""),59.67)</f>
        <v>59.67</v>
      </c>
      <c r="C304" s="2" t="n">
        <f aca="false">IFERROR(__xludf.dummyfunction("""COMPUTED_VALUE"""),60.77)</f>
        <v>60.77</v>
      </c>
      <c r="D304" s="2" t="n">
        <f aca="false">IFERROR(__xludf.dummyfunction("""COMPUTED_VALUE"""),58.41)</f>
        <v>58.41</v>
      </c>
      <c r="E304" s="2" t="n">
        <f aca="false">IFERROR(__xludf.dummyfunction("""COMPUTED_VALUE"""),60.71)</f>
        <v>60.71</v>
      </c>
      <c r="F304" s="2" t="n">
        <f aca="false">IFERROR(__xludf.dummyfunction("""COMPUTED_VALUE"""),2945372)</f>
        <v>2945372</v>
      </c>
    </row>
    <row r="305" customFormat="false" ht="15.75" hidden="false" customHeight="false" outlineLevel="0" collapsed="false">
      <c r="A305" s="3" t="n">
        <f aca="false">IFERROR(__xludf.dummyfunction("""COMPUTED_VALUE"""),44637.6666666667)</f>
        <v>44637.6666666667</v>
      </c>
      <c r="B305" s="2" t="n">
        <f aca="false">IFERROR(__xludf.dummyfunction("""COMPUTED_VALUE"""),60.47)</f>
        <v>60.47</v>
      </c>
      <c r="C305" s="2" t="n">
        <f aca="false">IFERROR(__xludf.dummyfunction("""COMPUTED_VALUE"""),60.7)</f>
        <v>60.7</v>
      </c>
      <c r="D305" s="2" t="n">
        <f aca="false">IFERROR(__xludf.dummyfunction("""COMPUTED_VALUE"""),59.76)</f>
        <v>59.76</v>
      </c>
      <c r="E305" s="2" t="n">
        <f aca="false">IFERROR(__xludf.dummyfunction("""COMPUTED_VALUE"""),60.27)</f>
        <v>60.27</v>
      </c>
      <c r="F305" s="2" t="n">
        <f aca="false">IFERROR(__xludf.dummyfunction("""COMPUTED_VALUE"""),1817402)</f>
        <v>1817402</v>
      </c>
    </row>
    <row r="306" customFormat="false" ht="15.75" hidden="false" customHeight="false" outlineLevel="0" collapsed="false">
      <c r="A306" s="3" t="n">
        <f aca="false">IFERROR(__xludf.dummyfunction("""COMPUTED_VALUE"""),44638.6666666667)</f>
        <v>44638.6666666667</v>
      </c>
      <c r="B306" s="2" t="n">
        <f aca="false">IFERROR(__xludf.dummyfunction("""COMPUTED_VALUE"""),60.4)</f>
        <v>60.4</v>
      </c>
      <c r="C306" s="2" t="n">
        <f aca="false">IFERROR(__xludf.dummyfunction("""COMPUTED_VALUE"""),61.32)</f>
        <v>61.32</v>
      </c>
      <c r="D306" s="2" t="n">
        <f aca="false">IFERROR(__xludf.dummyfunction("""COMPUTED_VALUE"""),59.6)</f>
        <v>59.6</v>
      </c>
      <c r="E306" s="2" t="n">
        <f aca="false">IFERROR(__xludf.dummyfunction("""COMPUTED_VALUE"""),61.04)</f>
        <v>61.04</v>
      </c>
      <c r="F306" s="2" t="n">
        <f aca="false">IFERROR(__xludf.dummyfunction("""COMPUTED_VALUE"""),4153788)</f>
        <v>4153788</v>
      </c>
    </row>
    <row r="307" customFormat="false" ht="15.75" hidden="false" customHeight="false" outlineLevel="0" collapsed="false">
      <c r="A307" s="3" t="n">
        <f aca="false">IFERROR(__xludf.dummyfunction("""COMPUTED_VALUE"""),44641.6666666667)</f>
        <v>44641.6666666667</v>
      </c>
      <c r="B307" s="2" t="n">
        <f aca="false">IFERROR(__xludf.dummyfunction("""COMPUTED_VALUE"""),60.56)</f>
        <v>60.56</v>
      </c>
      <c r="C307" s="2" t="n">
        <f aca="false">IFERROR(__xludf.dummyfunction("""COMPUTED_VALUE"""),60.56)</f>
        <v>60.56</v>
      </c>
      <c r="D307" s="2" t="n">
        <f aca="false">IFERROR(__xludf.dummyfunction("""COMPUTED_VALUE"""),58.89)</f>
        <v>58.89</v>
      </c>
      <c r="E307" s="2" t="n">
        <f aca="false">IFERROR(__xludf.dummyfunction("""COMPUTED_VALUE"""),60.13)</f>
        <v>60.13</v>
      </c>
      <c r="F307" s="2" t="n">
        <f aca="false">IFERROR(__xludf.dummyfunction("""COMPUTED_VALUE"""),2578930)</f>
        <v>2578930</v>
      </c>
    </row>
    <row r="308" customFormat="false" ht="15.75" hidden="false" customHeight="false" outlineLevel="0" collapsed="false">
      <c r="A308" s="3" t="n">
        <f aca="false">IFERROR(__xludf.dummyfunction("""COMPUTED_VALUE"""),44642.6666666667)</f>
        <v>44642.6666666667</v>
      </c>
      <c r="B308" s="2" t="n">
        <f aca="false">IFERROR(__xludf.dummyfunction("""COMPUTED_VALUE"""),60.17)</f>
        <v>60.17</v>
      </c>
      <c r="C308" s="2" t="n">
        <f aca="false">IFERROR(__xludf.dummyfunction("""COMPUTED_VALUE"""),61.35)</f>
        <v>61.35</v>
      </c>
      <c r="D308" s="2" t="n">
        <f aca="false">IFERROR(__xludf.dummyfunction("""COMPUTED_VALUE"""),59.93)</f>
        <v>59.93</v>
      </c>
      <c r="E308" s="2" t="n">
        <f aca="false">IFERROR(__xludf.dummyfunction("""COMPUTED_VALUE"""),61.13)</f>
        <v>61.13</v>
      </c>
      <c r="F308" s="2" t="n">
        <f aca="false">IFERROR(__xludf.dummyfunction("""COMPUTED_VALUE"""),1926180)</f>
        <v>1926180</v>
      </c>
    </row>
    <row r="309" customFormat="false" ht="15.75" hidden="false" customHeight="false" outlineLevel="0" collapsed="false">
      <c r="A309" s="3" t="n">
        <f aca="false">IFERROR(__xludf.dummyfunction("""COMPUTED_VALUE"""),44643.6666666667)</f>
        <v>44643.6666666667</v>
      </c>
      <c r="B309" s="2" t="n">
        <f aca="false">IFERROR(__xludf.dummyfunction("""COMPUTED_VALUE"""),60.8)</f>
        <v>60.8</v>
      </c>
      <c r="C309" s="2" t="n">
        <f aca="false">IFERROR(__xludf.dummyfunction("""COMPUTED_VALUE"""),61.14)</f>
        <v>61.14</v>
      </c>
      <c r="D309" s="2" t="n">
        <f aca="false">IFERROR(__xludf.dummyfunction("""COMPUTED_VALUE"""),59.92)</f>
        <v>59.92</v>
      </c>
      <c r="E309" s="2" t="n">
        <f aca="false">IFERROR(__xludf.dummyfunction("""COMPUTED_VALUE"""),59.94)</f>
        <v>59.94</v>
      </c>
      <c r="F309" s="2" t="n">
        <f aca="false">IFERROR(__xludf.dummyfunction("""COMPUTED_VALUE"""),1383886)</f>
        <v>1383886</v>
      </c>
    </row>
    <row r="310" customFormat="false" ht="15.75" hidden="false" customHeight="false" outlineLevel="0" collapsed="false">
      <c r="A310" s="3" t="n">
        <f aca="false">IFERROR(__xludf.dummyfunction("""COMPUTED_VALUE"""),44644.6666666667)</f>
        <v>44644.6666666667</v>
      </c>
      <c r="B310" s="2" t="n">
        <f aca="false">IFERROR(__xludf.dummyfunction("""COMPUTED_VALUE"""),60.66)</f>
        <v>60.66</v>
      </c>
      <c r="C310" s="2" t="n">
        <f aca="false">IFERROR(__xludf.dummyfunction("""COMPUTED_VALUE"""),62.72)</f>
        <v>62.72</v>
      </c>
      <c r="D310" s="2" t="n">
        <f aca="false">IFERROR(__xludf.dummyfunction("""COMPUTED_VALUE"""),60.2)</f>
        <v>60.2</v>
      </c>
      <c r="E310" s="2" t="n">
        <f aca="false">IFERROR(__xludf.dummyfunction("""COMPUTED_VALUE"""),62.64)</f>
        <v>62.64</v>
      </c>
      <c r="F310" s="2" t="n">
        <f aca="false">IFERROR(__xludf.dummyfunction("""COMPUTED_VALUE"""),2601580)</f>
        <v>2601580</v>
      </c>
    </row>
    <row r="311" customFormat="false" ht="15.75" hidden="false" customHeight="false" outlineLevel="0" collapsed="false">
      <c r="A311" s="3" t="n">
        <f aca="false">IFERROR(__xludf.dummyfunction("""COMPUTED_VALUE"""),44645.6666666667)</f>
        <v>44645.6666666667</v>
      </c>
      <c r="B311" s="2" t="n">
        <f aca="false">IFERROR(__xludf.dummyfunction("""COMPUTED_VALUE"""),62.71)</f>
        <v>62.71</v>
      </c>
      <c r="C311" s="2" t="n">
        <f aca="false">IFERROR(__xludf.dummyfunction("""COMPUTED_VALUE"""),63.04)</f>
        <v>63.04</v>
      </c>
      <c r="D311" s="2" t="n">
        <f aca="false">IFERROR(__xludf.dummyfunction("""COMPUTED_VALUE"""),62.01)</f>
        <v>62.01</v>
      </c>
      <c r="E311" s="2" t="n">
        <f aca="false">IFERROR(__xludf.dummyfunction("""COMPUTED_VALUE"""),62.89)</f>
        <v>62.89</v>
      </c>
      <c r="F311" s="2" t="n">
        <f aca="false">IFERROR(__xludf.dummyfunction("""COMPUTED_VALUE"""),1454087)</f>
        <v>1454087</v>
      </c>
    </row>
    <row r="312" customFormat="false" ht="15.75" hidden="false" customHeight="false" outlineLevel="0" collapsed="false">
      <c r="A312" s="3" t="n">
        <f aca="false">IFERROR(__xludf.dummyfunction("""COMPUTED_VALUE"""),44648.6666666667)</f>
        <v>44648.6666666667</v>
      </c>
      <c r="B312" s="2" t="n">
        <f aca="false">IFERROR(__xludf.dummyfunction("""COMPUTED_VALUE"""),62.59)</f>
        <v>62.59</v>
      </c>
      <c r="C312" s="2" t="n">
        <f aca="false">IFERROR(__xludf.dummyfunction("""COMPUTED_VALUE"""),63.33)</f>
        <v>63.33</v>
      </c>
      <c r="D312" s="2" t="n">
        <f aca="false">IFERROR(__xludf.dummyfunction("""COMPUTED_VALUE"""),61.58)</f>
        <v>61.58</v>
      </c>
      <c r="E312" s="2" t="n">
        <f aca="false">IFERROR(__xludf.dummyfunction("""COMPUTED_VALUE"""),63.29)</f>
        <v>63.29</v>
      </c>
      <c r="F312" s="2" t="n">
        <f aca="false">IFERROR(__xludf.dummyfunction("""COMPUTED_VALUE"""),1442861)</f>
        <v>1442861</v>
      </c>
    </row>
    <row r="313" customFormat="false" ht="15.75" hidden="false" customHeight="false" outlineLevel="0" collapsed="false">
      <c r="A313" s="3" t="n">
        <f aca="false">IFERROR(__xludf.dummyfunction("""COMPUTED_VALUE"""),44649.6666666667)</f>
        <v>44649.6666666667</v>
      </c>
      <c r="B313" s="2" t="n">
        <f aca="false">IFERROR(__xludf.dummyfunction("""COMPUTED_VALUE"""),64)</f>
        <v>64</v>
      </c>
      <c r="C313" s="2" t="n">
        <f aca="false">IFERROR(__xludf.dummyfunction("""COMPUTED_VALUE"""),64.53)</f>
        <v>64.53</v>
      </c>
      <c r="D313" s="2" t="n">
        <f aca="false">IFERROR(__xludf.dummyfunction("""COMPUTED_VALUE"""),63)</f>
        <v>63</v>
      </c>
      <c r="E313" s="2" t="n">
        <f aca="false">IFERROR(__xludf.dummyfunction("""COMPUTED_VALUE"""),64.15)</f>
        <v>64.15</v>
      </c>
      <c r="F313" s="2" t="n">
        <f aca="false">IFERROR(__xludf.dummyfunction("""COMPUTED_VALUE"""),2300138)</f>
        <v>2300138</v>
      </c>
    </row>
    <row r="314" customFormat="false" ht="15.75" hidden="false" customHeight="false" outlineLevel="0" collapsed="false">
      <c r="A314" s="3" t="n">
        <f aca="false">IFERROR(__xludf.dummyfunction("""COMPUTED_VALUE"""),44650.6666666667)</f>
        <v>44650.6666666667</v>
      </c>
      <c r="B314" s="2" t="n">
        <f aca="false">IFERROR(__xludf.dummyfunction("""COMPUTED_VALUE"""),63.89)</f>
        <v>63.89</v>
      </c>
      <c r="C314" s="2" t="n">
        <f aca="false">IFERROR(__xludf.dummyfunction("""COMPUTED_VALUE"""),64.43)</f>
        <v>64.43</v>
      </c>
      <c r="D314" s="2" t="n">
        <f aca="false">IFERROR(__xludf.dummyfunction("""COMPUTED_VALUE"""),62.73)</f>
        <v>62.73</v>
      </c>
      <c r="E314" s="2" t="n">
        <f aca="false">IFERROR(__xludf.dummyfunction("""COMPUTED_VALUE"""),63.11)</f>
        <v>63.11</v>
      </c>
      <c r="F314" s="2" t="n">
        <f aca="false">IFERROR(__xludf.dummyfunction("""COMPUTED_VALUE"""),1862620)</f>
        <v>1862620</v>
      </c>
    </row>
    <row r="315" customFormat="false" ht="15.75" hidden="false" customHeight="false" outlineLevel="0" collapsed="false">
      <c r="A315" s="3" t="n">
        <f aca="false">IFERROR(__xludf.dummyfunction("""COMPUTED_VALUE"""),44651.6666666667)</f>
        <v>44651.6666666667</v>
      </c>
      <c r="B315" s="2" t="n">
        <f aca="false">IFERROR(__xludf.dummyfunction("""COMPUTED_VALUE"""),63.05)</f>
        <v>63.05</v>
      </c>
      <c r="C315" s="2" t="n">
        <f aca="false">IFERROR(__xludf.dummyfunction("""COMPUTED_VALUE"""),63.9)</f>
        <v>63.9</v>
      </c>
      <c r="D315" s="2" t="n">
        <f aca="false">IFERROR(__xludf.dummyfunction("""COMPUTED_VALUE"""),62.81)</f>
        <v>62.81</v>
      </c>
      <c r="E315" s="2" t="n">
        <f aca="false">IFERROR(__xludf.dummyfunction("""COMPUTED_VALUE"""),62.97)</f>
        <v>62.97</v>
      </c>
      <c r="F315" s="2" t="n">
        <f aca="false">IFERROR(__xludf.dummyfunction("""COMPUTED_VALUE"""),2173051)</f>
        <v>2173051</v>
      </c>
    </row>
    <row r="316" customFormat="false" ht="15.75" hidden="false" customHeight="false" outlineLevel="0" collapsed="false">
      <c r="A316" s="3" t="n">
        <f aca="false">IFERROR(__xludf.dummyfunction("""COMPUTED_VALUE"""),44652.6666666667)</f>
        <v>44652.6666666667</v>
      </c>
      <c r="B316" s="2" t="n">
        <f aca="false">IFERROR(__xludf.dummyfunction("""COMPUTED_VALUE"""),63.17)</f>
        <v>63.17</v>
      </c>
      <c r="C316" s="2" t="n">
        <f aca="false">IFERROR(__xludf.dummyfunction("""COMPUTED_VALUE"""),63.46)</f>
        <v>63.46</v>
      </c>
      <c r="D316" s="2" t="n">
        <f aca="false">IFERROR(__xludf.dummyfunction("""COMPUTED_VALUE"""),61.87)</f>
        <v>61.87</v>
      </c>
      <c r="E316" s="2" t="n">
        <f aca="false">IFERROR(__xludf.dummyfunction("""COMPUTED_VALUE"""),62.7)</f>
        <v>62.7</v>
      </c>
      <c r="F316" s="2" t="n">
        <f aca="false">IFERROR(__xludf.dummyfunction("""COMPUTED_VALUE"""),1626685)</f>
        <v>1626685</v>
      </c>
    </row>
    <row r="317" customFormat="false" ht="15.75" hidden="false" customHeight="false" outlineLevel="0" collapsed="false">
      <c r="A317" s="3" t="n">
        <f aca="false">IFERROR(__xludf.dummyfunction("""COMPUTED_VALUE"""),44655.6666666667)</f>
        <v>44655.6666666667</v>
      </c>
      <c r="B317" s="2" t="n">
        <f aca="false">IFERROR(__xludf.dummyfunction("""COMPUTED_VALUE"""),62.64)</f>
        <v>62.64</v>
      </c>
      <c r="C317" s="2" t="n">
        <f aca="false">IFERROR(__xludf.dummyfunction("""COMPUTED_VALUE"""),63.67)</f>
        <v>63.67</v>
      </c>
      <c r="D317" s="2" t="n">
        <f aca="false">IFERROR(__xludf.dummyfunction("""COMPUTED_VALUE"""),62.45)</f>
        <v>62.45</v>
      </c>
      <c r="E317" s="2" t="n">
        <f aca="false">IFERROR(__xludf.dummyfunction("""COMPUTED_VALUE"""),63.49)</f>
        <v>63.49</v>
      </c>
      <c r="F317" s="2" t="n">
        <f aca="false">IFERROR(__xludf.dummyfunction("""COMPUTED_VALUE"""),1648573)</f>
        <v>1648573</v>
      </c>
    </row>
    <row r="318" customFormat="false" ht="15.75" hidden="false" customHeight="false" outlineLevel="0" collapsed="false">
      <c r="A318" s="3" t="n">
        <f aca="false">IFERROR(__xludf.dummyfunction("""COMPUTED_VALUE"""),44656.6666666667)</f>
        <v>44656.6666666667</v>
      </c>
      <c r="B318" s="2" t="n">
        <f aca="false">IFERROR(__xludf.dummyfunction("""COMPUTED_VALUE"""),62.96)</f>
        <v>62.96</v>
      </c>
      <c r="C318" s="2" t="n">
        <f aca="false">IFERROR(__xludf.dummyfunction("""COMPUTED_VALUE"""),63.23)</f>
        <v>63.23</v>
      </c>
      <c r="D318" s="2" t="n">
        <f aca="false">IFERROR(__xludf.dummyfunction("""COMPUTED_VALUE"""),61.3)</f>
        <v>61.3</v>
      </c>
      <c r="E318" s="2" t="n">
        <f aca="false">IFERROR(__xludf.dummyfunction("""COMPUTED_VALUE"""),61.41)</f>
        <v>61.41</v>
      </c>
      <c r="F318" s="2" t="n">
        <f aca="false">IFERROR(__xludf.dummyfunction("""COMPUTED_VALUE"""),1977782)</f>
        <v>1977782</v>
      </c>
    </row>
    <row r="319" customFormat="false" ht="15.75" hidden="false" customHeight="false" outlineLevel="0" collapsed="false">
      <c r="A319" s="3" t="n">
        <f aca="false">IFERROR(__xludf.dummyfunction("""COMPUTED_VALUE"""),44657.6666666667)</f>
        <v>44657.6666666667</v>
      </c>
      <c r="B319" s="2" t="n">
        <f aca="false">IFERROR(__xludf.dummyfunction("""COMPUTED_VALUE"""),60.21)</f>
        <v>60.21</v>
      </c>
      <c r="C319" s="2" t="n">
        <f aca="false">IFERROR(__xludf.dummyfunction("""COMPUTED_VALUE"""),61.16)</f>
        <v>61.16</v>
      </c>
      <c r="D319" s="2" t="n">
        <f aca="false">IFERROR(__xludf.dummyfunction("""COMPUTED_VALUE"""),59.38)</f>
        <v>59.38</v>
      </c>
      <c r="E319" s="2" t="n">
        <f aca="false">IFERROR(__xludf.dummyfunction("""COMPUTED_VALUE"""),60.2)</f>
        <v>60.2</v>
      </c>
      <c r="F319" s="2" t="n">
        <f aca="false">IFERROR(__xludf.dummyfunction("""COMPUTED_VALUE"""),2374237)</f>
        <v>2374237</v>
      </c>
    </row>
    <row r="320" customFormat="false" ht="15.75" hidden="false" customHeight="false" outlineLevel="0" collapsed="false">
      <c r="A320" s="3" t="n">
        <f aca="false">IFERROR(__xludf.dummyfunction("""COMPUTED_VALUE"""),44658.6666666667)</f>
        <v>44658.6666666667</v>
      </c>
      <c r="B320" s="2" t="n">
        <f aca="false">IFERROR(__xludf.dummyfunction("""COMPUTED_VALUE"""),59.98)</f>
        <v>59.98</v>
      </c>
      <c r="C320" s="2" t="n">
        <f aca="false">IFERROR(__xludf.dummyfunction("""COMPUTED_VALUE"""),60.76)</f>
        <v>60.76</v>
      </c>
      <c r="D320" s="2" t="n">
        <f aca="false">IFERROR(__xludf.dummyfunction("""COMPUTED_VALUE"""),59.32)</f>
        <v>59.32</v>
      </c>
      <c r="E320" s="2" t="n">
        <f aca="false">IFERROR(__xludf.dummyfunction("""COMPUTED_VALUE"""),60.31)</f>
        <v>60.31</v>
      </c>
      <c r="F320" s="2" t="n">
        <f aca="false">IFERROR(__xludf.dummyfunction("""COMPUTED_VALUE"""),1658333)</f>
        <v>1658333</v>
      </c>
    </row>
    <row r="321" customFormat="false" ht="15.75" hidden="false" customHeight="false" outlineLevel="0" collapsed="false">
      <c r="A321" s="3" t="n">
        <f aca="false">IFERROR(__xludf.dummyfunction("""COMPUTED_VALUE"""),44659.6666666667)</f>
        <v>44659.6666666667</v>
      </c>
      <c r="B321" s="2" t="n">
        <f aca="false">IFERROR(__xludf.dummyfunction("""COMPUTED_VALUE"""),59.74)</f>
        <v>59.74</v>
      </c>
      <c r="C321" s="2" t="n">
        <f aca="false">IFERROR(__xludf.dummyfunction("""COMPUTED_VALUE"""),59.86)</f>
        <v>59.86</v>
      </c>
      <c r="D321" s="2" t="n">
        <f aca="false">IFERROR(__xludf.dummyfunction("""COMPUTED_VALUE"""),58.6)</f>
        <v>58.6</v>
      </c>
      <c r="E321" s="2" t="n">
        <f aca="false">IFERROR(__xludf.dummyfunction("""COMPUTED_VALUE"""),58.7)</f>
        <v>58.7</v>
      </c>
      <c r="F321" s="2" t="n">
        <f aca="false">IFERROR(__xludf.dummyfunction("""COMPUTED_VALUE"""),2046397)</f>
        <v>2046397</v>
      </c>
    </row>
    <row r="322" customFormat="false" ht="15.75" hidden="false" customHeight="false" outlineLevel="0" collapsed="false">
      <c r="A322" s="3" t="n">
        <f aca="false">IFERROR(__xludf.dummyfunction("""COMPUTED_VALUE"""),44662.6666666667)</f>
        <v>44662.6666666667</v>
      </c>
      <c r="B322" s="2" t="n">
        <f aca="false">IFERROR(__xludf.dummyfunction("""COMPUTED_VALUE"""),58.26)</f>
        <v>58.26</v>
      </c>
      <c r="C322" s="2" t="n">
        <f aca="false">IFERROR(__xludf.dummyfunction("""COMPUTED_VALUE"""),58.93)</f>
        <v>58.93</v>
      </c>
      <c r="D322" s="2" t="n">
        <f aca="false">IFERROR(__xludf.dummyfunction("""COMPUTED_VALUE"""),57.94)</f>
        <v>57.94</v>
      </c>
      <c r="E322" s="2" t="n">
        <f aca="false">IFERROR(__xludf.dummyfunction("""COMPUTED_VALUE"""),58.06)</f>
        <v>58.06</v>
      </c>
      <c r="F322" s="2" t="n">
        <f aca="false">IFERROR(__xludf.dummyfunction("""COMPUTED_VALUE"""),2351240)</f>
        <v>2351240</v>
      </c>
    </row>
    <row r="323" customFormat="false" ht="15.75" hidden="false" customHeight="false" outlineLevel="0" collapsed="false">
      <c r="A323" s="3" t="n">
        <f aca="false">IFERROR(__xludf.dummyfunction("""COMPUTED_VALUE"""),44663.6666666667)</f>
        <v>44663.6666666667</v>
      </c>
      <c r="B323" s="2" t="n">
        <f aca="false">IFERROR(__xludf.dummyfunction("""COMPUTED_VALUE"""),58.91)</f>
        <v>58.91</v>
      </c>
      <c r="C323" s="2" t="n">
        <f aca="false">IFERROR(__xludf.dummyfunction("""COMPUTED_VALUE"""),59.86)</f>
        <v>59.86</v>
      </c>
      <c r="D323" s="2" t="n">
        <f aca="false">IFERROR(__xludf.dummyfunction("""COMPUTED_VALUE"""),58.22)</f>
        <v>58.22</v>
      </c>
      <c r="E323" s="2" t="n">
        <f aca="false">IFERROR(__xludf.dummyfunction("""COMPUTED_VALUE"""),58.51)</f>
        <v>58.51</v>
      </c>
      <c r="F323" s="2" t="n">
        <f aca="false">IFERROR(__xludf.dummyfunction("""COMPUTED_VALUE"""),1734993)</f>
        <v>1734993</v>
      </c>
    </row>
    <row r="324" customFormat="false" ht="15.75" hidden="false" customHeight="false" outlineLevel="0" collapsed="false">
      <c r="A324" s="3" t="n">
        <f aca="false">IFERROR(__xludf.dummyfunction("""COMPUTED_VALUE"""),44664.6666666667)</f>
        <v>44664.6666666667</v>
      </c>
      <c r="B324" s="2" t="n">
        <f aca="false">IFERROR(__xludf.dummyfunction("""COMPUTED_VALUE"""),58.85)</f>
        <v>58.85</v>
      </c>
      <c r="C324" s="2" t="n">
        <f aca="false">IFERROR(__xludf.dummyfunction("""COMPUTED_VALUE"""),59.67)</f>
        <v>59.67</v>
      </c>
      <c r="D324" s="2" t="n">
        <f aca="false">IFERROR(__xludf.dummyfunction("""COMPUTED_VALUE"""),58.61)</f>
        <v>58.61</v>
      </c>
      <c r="E324" s="2" t="n">
        <f aca="false">IFERROR(__xludf.dummyfunction("""COMPUTED_VALUE"""),59.25)</f>
        <v>59.25</v>
      </c>
      <c r="F324" s="2" t="n">
        <f aca="false">IFERROR(__xludf.dummyfunction("""COMPUTED_VALUE"""),2026760)</f>
        <v>2026760</v>
      </c>
    </row>
    <row r="325" customFormat="false" ht="15.75" hidden="false" customHeight="false" outlineLevel="0" collapsed="false">
      <c r="A325" s="3" t="n">
        <f aca="false">IFERROR(__xludf.dummyfunction("""COMPUTED_VALUE"""),44665.6666666667)</f>
        <v>44665.6666666667</v>
      </c>
      <c r="B325" s="2" t="n">
        <f aca="false">IFERROR(__xludf.dummyfunction("""COMPUTED_VALUE"""),59.5)</f>
        <v>59.5</v>
      </c>
      <c r="C325" s="2" t="n">
        <f aca="false">IFERROR(__xludf.dummyfunction("""COMPUTED_VALUE"""),59.71)</f>
        <v>59.71</v>
      </c>
      <c r="D325" s="2" t="n">
        <f aca="false">IFERROR(__xludf.dummyfunction("""COMPUTED_VALUE"""),57.29)</f>
        <v>57.29</v>
      </c>
      <c r="E325" s="2" t="n">
        <f aca="false">IFERROR(__xludf.dummyfunction("""COMPUTED_VALUE"""),57.39)</f>
        <v>57.39</v>
      </c>
      <c r="F325" s="2" t="n">
        <f aca="false">IFERROR(__xludf.dummyfunction("""COMPUTED_VALUE"""),2738471)</f>
        <v>2738471</v>
      </c>
    </row>
    <row r="326" customFormat="false" ht="15.75" hidden="false" customHeight="false" outlineLevel="0" collapsed="false">
      <c r="A326" s="3" t="n">
        <f aca="false">IFERROR(__xludf.dummyfunction("""COMPUTED_VALUE"""),44669.6666666667)</f>
        <v>44669.6666666667</v>
      </c>
      <c r="B326" s="2" t="n">
        <f aca="false">IFERROR(__xludf.dummyfunction("""COMPUTED_VALUE"""),57.29)</f>
        <v>57.29</v>
      </c>
      <c r="C326" s="2" t="n">
        <f aca="false">IFERROR(__xludf.dummyfunction("""COMPUTED_VALUE"""),59.12)</f>
        <v>59.12</v>
      </c>
      <c r="D326" s="2" t="n">
        <f aca="false">IFERROR(__xludf.dummyfunction("""COMPUTED_VALUE"""),57.29)</f>
        <v>57.29</v>
      </c>
      <c r="E326" s="2" t="n">
        <f aca="false">IFERROR(__xludf.dummyfunction("""COMPUTED_VALUE"""),58.65)</f>
        <v>58.65</v>
      </c>
      <c r="F326" s="2" t="n">
        <f aca="false">IFERROR(__xludf.dummyfunction("""COMPUTED_VALUE"""),2137453)</f>
        <v>2137453</v>
      </c>
    </row>
    <row r="327" customFormat="false" ht="15.75" hidden="false" customHeight="false" outlineLevel="0" collapsed="false">
      <c r="A327" s="3" t="n">
        <f aca="false">IFERROR(__xludf.dummyfunction("""COMPUTED_VALUE"""),44670.6666666667)</f>
        <v>44670.6666666667</v>
      </c>
      <c r="B327" s="2" t="n">
        <f aca="false">IFERROR(__xludf.dummyfunction("""COMPUTED_VALUE"""),57.94)</f>
        <v>57.94</v>
      </c>
      <c r="C327" s="2" t="n">
        <f aca="false">IFERROR(__xludf.dummyfunction("""COMPUTED_VALUE"""),59.87)</f>
        <v>59.87</v>
      </c>
      <c r="D327" s="2" t="n">
        <f aca="false">IFERROR(__xludf.dummyfunction("""COMPUTED_VALUE"""),57.94)</f>
        <v>57.94</v>
      </c>
      <c r="E327" s="2" t="n">
        <f aca="false">IFERROR(__xludf.dummyfunction("""COMPUTED_VALUE"""),59.76)</f>
        <v>59.76</v>
      </c>
      <c r="F327" s="2" t="n">
        <f aca="false">IFERROR(__xludf.dummyfunction("""COMPUTED_VALUE"""),1658242)</f>
        <v>1658242</v>
      </c>
    </row>
    <row r="328" customFormat="false" ht="15.75" hidden="false" customHeight="false" outlineLevel="0" collapsed="false">
      <c r="A328" s="3" t="n">
        <f aca="false">IFERROR(__xludf.dummyfunction("""COMPUTED_VALUE"""),44671.6666666667)</f>
        <v>44671.6666666667</v>
      </c>
      <c r="B328" s="2" t="n">
        <f aca="false">IFERROR(__xludf.dummyfunction("""COMPUTED_VALUE"""),60.42)</f>
        <v>60.42</v>
      </c>
      <c r="C328" s="2" t="n">
        <f aca="false">IFERROR(__xludf.dummyfunction("""COMPUTED_VALUE"""),61.34)</f>
        <v>61.34</v>
      </c>
      <c r="D328" s="2" t="n">
        <f aca="false">IFERROR(__xludf.dummyfunction("""COMPUTED_VALUE"""),59.51)</f>
        <v>59.51</v>
      </c>
      <c r="E328" s="2" t="n">
        <f aca="false">IFERROR(__xludf.dummyfunction("""COMPUTED_VALUE"""),59.77)</f>
        <v>59.77</v>
      </c>
      <c r="F328" s="2" t="n">
        <f aca="false">IFERROR(__xludf.dummyfunction("""COMPUTED_VALUE"""),1391990)</f>
        <v>1391990</v>
      </c>
    </row>
    <row r="329" customFormat="false" ht="15.75" hidden="false" customHeight="false" outlineLevel="0" collapsed="false">
      <c r="A329" s="3" t="n">
        <f aca="false">IFERROR(__xludf.dummyfunction("""COMPUTED_VALUE"""),44672.6666666667)</f>
        <v>44672.6666666667</v>
      </c>
      <c r="B329" s="2" t="n">
        <f aca="false">IFERROR(__xludf.dummyfunction("""COMPUTED_VALUE"""),60.55)</f>
        <v>60.55</v>
      </c>
      <c r="C329" s="2" t="n">
        <f aca="false">IFERROR(__xludf.dummyfunction("""COMPUTED_VALUE"""),61.59)</f>
        <v>61.59</v>
      </c>
      <c r="D329" s="2" t="n">
        <f aca="false">IFERROR(__xludf.dummyfunction("""COMPUTED_VALUE"""),59.07)</f>
        <v>59.07</v>
      </c>
      <c r="E329" s="2" t="n">
        <f aca="false">IFERROR(__xludf.dummyfunction("""COMPUTED_VALUE"""),59.27)</f>
        <v>59.27</v>
      </c>
      <c r="F329" s="2" t="n">
        <f aca="false">IFERROR(__xludf.dummyfunction("""COMPUTED_VALUE"""),2035211)</f>
        <v>2035211</v>
      </c>
    </row>
    <row r="330" customFormat="false" ht="15.75" hidden="false" customHeight="false" outlineLevel="0" collapsed="false">
      <c r="A330" s="3" t="n">
        <f aca="false">IFERROR(__xludf.dummyfunction("""COMPUTED_VALUE"""),44673.6666666667)</f>
        <v>44673.6666666667</v>
      </c>
      <c r="B330" s="2" t="n">
        <f aca="false">IFERROR(__xludf.dummyfunction("""COMPUTED_VALUE"""),59.01)</f>
        <v>59.01</v>
      </c>
      <c r="C330" s="2" t="n">
        <f aca="false">IFERROR(__xludf.dummyfunction("""COMPUTED_VALUE"""),59.87)</f>
        <v>59.87</v>
      </c>
      <c r="D330" s="2" t="n">
        <f aca="false">IFERROR(__xludf.dummyfunction("""COMPUTED_VALUE"""),58.63)</f>
        <v>58.63</v>
      </c>
      <c r="E330" s="2" t="n">
        <f aca="false">IFERROR(__xludf.dummyfunction("""COMPUTED_VALUE"""),58.7)</f>
        <v>58.7</v>
      </c>
      <c r="F330" s="2" t="n">
        <f aca="false">IFERROR(__xludf.dummyfunction("""COMPUTED_VALUE"""),2106519)</f>
        <v>2106519</v>
      </c>
    </row>
    <row r="331" customFormat="false" ht="15.75" hidden="false" customHeight="false" outlineLevel="0" collapsed="false">
      <c r="A331" s="3" t="n">
        <f aca="false">IFERROR(__xludf.dummyfunction("""COMPUTED_VALUE"""),44676.6666666667)</f>
        <v>44676.6666666667</v>
      </c>
      <c r="B331" s="2" t="n">
        <f aca="false">IFERROR(__xludf.dummyfunction("""COMPUTED_VALUE"""),58.15)</f>
        <v>58.15</v>
      </c>
      <c r="C331" s="2" t="n">
        <f aca="false">IFERROR(__xludf.dummyfunction("""COMPUTED_VALUE"""),58.88)</f>
        <v>58.88</v>
      </c>
      <c r="D331" s="2" t="n">
        <f aca="false">IFERROR(__xludf.dummyfunction("""COMPUTED_VALUE"""),57.11)</f>
        <v>57.11</v>
      </c>
      <c r="E331" s="2" t="n">
        <f aca="false">IFERROR(__xludf.dummyfunction("""COMPUTED_VALUE"""),58.79)</f>
        <v>58.79</v>
      </c>
      <c r="F331" s="2" t="n">
        <f aca="false">IFERROR(__xludf.dummyfunction("""COMPUTED_VALUE"""),2695907)</f>
        <v>2695907</v>
      </c>
    </row>
    <row r="332" customFormat="false" ht="15.75" hidden="false" customHeight="false" outlineLevel="0" collapsed="false">
      <c r="A332" s="3" t="n">
        <f aca="false">IFERROR(__xludf.dummyfunction("""COMPUTED_VALUE"""),44677.6666666667)</f>
        <v>44677.6666666667</v>
      </c>
      <c r="B332" s="2" t="n">
        <f aca="false">IFERROR(__xludf.dummyfunction("""COMPUTED_VALUE"""),58.38)</f>
        <v>58.38</v>
      </c>
      <c r="C332" s="2" t="n">
        <f aca="false">IFERROR(__xludf.dummyfunction("""COMPUTED_VALUE"""),58.55)</f>
        <v>58.55</v>
      </c>
      <c r="D332" s="2" t="n">
        <f aca="false">IFERROR(__xludf.dummyfunction("""COMPUTED_VALUE"""),55.97)</f>
        <v>55.97</v>
      </c>
      <c r="E332" s="2" t="n">
        <f aca="false">IFERROR(__xludf.dummyfunction("""COMPUTED_VALUE"""),56.01)</f>
        <v>56.01</v>
      </c>
      <c r="F332" s="2" t="n">
        <f aca="false">IFERROR(__xludf.dummyfunction("""COMPUTED_VALUE"""),3580891)</f>
        <v>3580891</v>
      </c>
    </row>
    <row r="333" customFormat="false" ht="15.75" hidden="false" customHeight="false" outlineLevel="0" collapsed="false">
      <c r="A333" s="3" t="n">
        <f aca="false">IFERROR(__xludf.dummyfunction("""COMPUTED_VALUE"""),44678.6666666667)</f>
        <v>44678.6666666667</v>
      </c>
      <c r="B333" s="2" t="n">
        <f aca="false">IFERROR(__xludf.dummyfunction("""COMPUTED_VALUE"""),55.58)</f>
        <v>55.58</v>
      </c>
      <c r="C333" s="2" t="n">
        <f aca="false">IFERROR(__xludf.dummyfunction("""COMPUTED_VALUE"""),57.01)</f>
        <v>57.01</v>
      </c>
      <c r="D333" s="2" t="n">
        <f aca="false">IFERROR(__xludf.dummyfunction("""COMPUTED_VALUE"""),55.5)</f>
        <v>55.5</v>
      </c>
      <c r="E333" s="2" t="n">
        <f aca="false">IFERROR(__xludf.dummyfunction("""COMPUTED_VALUE"""),55.95)</f>
        <v>55.95</v>
      </c>
      <c r="F333" s="2" t="n">
        <f aca="false">IFERROR(__xludf.dummyfunction("""COMPUTED_VALUE"""),1931324)</f>
        <v>1931324</v>
      </c>
    </row>
    <row r="334" customFormat="false" ht="15.75" hidden="false" customHeight="false" outlineLevel="0" collapsed="false">
      <c r="A334" s="3" t="n">
        <f aca="false">IFERROR(__xludf.dummyfunction("""COMPUTED_VALUE"""),44679.6666666667)</f>
        <v>44679.6666666667</v>
      </c>
      <c r="B334" s="2" t="n">
        <f aca="false">IFERROR(__xludf.dummyfunction("""COMPUTED_VALUE"""),56.59)</f>
        <v>56.59</v>
      </c>
      <c r="C334" s="2" t="n">
        <f aca="false">IFERROR(__xludf.dummyfunction("""COMPUTED_VALUE"""),58.5)</f>
        <v>58.5</v>
      </c>
      <c r="D334" s="2" t="n">
        <f aca="false">IFERROR(__xludf.dummyfunction("""COMPUTED_VALUE"""),55.8)</f>
        <v>55.8</v>
      </c>
      <c r="E334" s="2" t="n">
        <f aca="false">IFERROR(__xludf.dummyfunction("""COMPUTED_VALUE"""),57.89)</f>
        <v>57.89</v>
      </c>
      <c r="F334" s="2" t="n">
        <f aca="false">IFERROR(__xludf.dummyfunction("""COMPUTED_VALUE"""),2233400)</f>
        <v>2233400</v>
      </c>
    </row>
    <row r="335" customFormat="false" ht="15.75" hidden="false" customHeight="false" outlineLevel="0" collapsed="false">
      <c r="A335" s="3" t="n">
        <f aca="false">IFERROR(__xludf.dummyfunction("""COMPUTED_VALUE"""),44680.6666666667)</f>
        <v>44680.6666666667</v>
      </c>
      <c r="B335" s="2" t="n">
        <f aca="false">IFERROR(__xludf.dummyfunction("""COMPUTED_VALUE"""),57.26)</f>
        <v>57.26</v>
      </c>
      <c r="C335" s="2" t="n">
        <f aca="false">IFERROR(__xludf.dummyfunction("""COMPUTED_VALUE"""),57.83)</f>
        <v>57.83</v>
      </c>
      <c r="D335" s="2" t="n">
        <f aca="false">IFERROR(__xludf.dummyfunction("""COMPUTED_VALUE"""),55.34)</f>
        <v>55.34</v>
      </c>
      <c r="E335" s="2" t="n">
        <f aca="false">IFERROR(__xludf.dummyfunction("""COMPUTED_VALUE"""),55.44)</f>
        <v>55.44</v>
      </c>
      <c r="F335" s="2" t="n">
        <f aca="false">IFERROR(__xludf.dummyfunction("""COMPUTED_VALUE"""),2611006)</f>
        <v>2611006</v>
      </c>
    </row>
    <row r="336" customFormat="false" ht="15.75" hidden="false" customHeight="false" outlineLevel="0" collapsed="false">
      <c r="A336" s="3" t="n">
        <f aca="false">IFERROR(__xludf.dummyfunction("""COMPUTED_VALUE"""),44683.6666666667)</f>
        <v>44683.6666666667</v>
      </c>
      <c r="B336" s="2" t="n">
        <f aca="false">IFERROR(__xludf.dummyfunction("""COMPUTED_VALUE"""),55.71)</f>
        <v>55.71</v>
      </c>
      <c r="C336" s="2" t="n">
        <f aca="false">IFERROR(__xludf.dummyfunction("""COMPUTED_VALUE"""),57.76)</f>
        <v>57.76</v>
      </c>
      <c r="D336" s="2" t="n">
        <f aca="false">IFERROR(__xludf.dummyfunction("""COMPUTED_VALUE"""),55.64)</f>
        <v>55.64</v>
      </c>
      <c r="E336" s="2" t="n">
        <f aca="false">IFERROR(__xludf.dummyfunction("""COMPUTED_VALUE"""),57.64)</f>
        <v>57.64</v>
      </c>
      <c r="F336" s="2" t="n">
        <f aca="false">IFERROR(__xludf.dummyfunction("""COMPUTED_VALUE"""),2672471)</f>
        <v>2672471</v>
      </c>
    </row>
    <row r="337" customFormat="false" ht="15.75" hidden="false" customHeight="false" outlineLevel="0" collapsed="false">
      <c r="A337" s="3" t="n">
        <f aca="false">IFERROR(__xludf.dummyfunction("""COMPUTED_VALUE"""),44684.6666666667)</f>
        <v>44684.6666666667</v>
      </c>
      <c r="B337" s="2" t="n">
        <f aca="false">IFERROR(__xludf.dummyfunction("""COMPUTED_VALUE"""),57.6)</f>
        <v>57.6</v>
      </c>
      <c r="C337" s="2" t="n">
        <f aca="false">IFERROR(__xludf.dummyfunction("""COMPUTED_VALUE"""),58.68)</f>
        <v>58.68</v>
      </c>
      <c r="D337" s="2" t="n">
        <f aca="false">IFERROR(__xludf.dummyfunction("""COMPUTED_VALUE"""),57.18)</f>
        <v>57.18</v>
      </c>
      <c r="E337" s="2" t="n">
        <f aca="false">IFERROR(__xludf.dummyfunction("""COMPUTED_VALUE"""),58.12)</f>
        <v>58.12</v>
      </c>
      <c r="F337" s="2" t="n">
        <f aca="false">IFERROR(__xludf.dummyfunction("""COMPUTED_VALUE"""),1706449)</f>
        <v>1706449</v>
      </c>
    </row>
    <row r="338" customFormat="false" ht="15.75" hidden="false" customHeight="false" outlineLevel="0" collapsed="false">
      <c r="A338" s="3" t="n">
        <f aca="false">IFERROR(__xludf.dummyfunction("""COMPUTED_VALUE"""),44685.6666666667)</f>
        <v>44685.6666666667</v>
      </c>
      <c r="B338" s="2" t="n">
        <f aca="false">IFERROR(__xludf.dummyfunction("""COMPUTED_VALUE"""),58.18)</f>
        <v>58.18</v>
      </c>
      <c r="C338" s="2" t="n">
        <f aca="false">IFERROR(__xludf.dummyfunction("""COMPUTED_VALUE"""),60.41)</f>
        <v>60.41</v>
      </c>
      <c r="D338" s="2" t="n">
        <f aca="false">IFERROR(__xludf.dummyfunction("""COMPUTED_VALUE"""),57.4)</f>
        <v>57.4</v>
      </c>
      <c r="E338" s="2" t="n">
        <f aca="false">IFERROR(__xludf.dummyfunction("""COMPUTED_VALUE"""),60.37)</f>
        <v>60.37</v>
      </c>
      <c r="F338" s="2" t="n">
        <f aca="false">IFERROR(__xludf.dummyfunction("""COMPUTED_VALUE"""),2389585)</f>
        <v>2389585</v>
      </c>
    </row>
    <row r="339" customFormat="false" ht="15.75" hidden="false" customHeight="false" outlineLevel="0" collapsed="false">
      <c r="A339" s="3" t="n">
        <f aca="false">IFERROR(__xludf.dummyfunction("""COMPUTED_VALUE"""),44686.6666666667)</f>
        <v>44686.6666666667</v>
      </c>
      <c r="B339" s="2" t="n">
        <f aca="false">IFERROR(__xludf.dummyfunction("""COMPUTED_VALUE"""),59.42)</f>
        <v>59.42</v>
      </c>
      <c r="C339" s="2" t="n">
        <f aca="false">IFERROR(__xludf.dummyfunction("""COMPUTED_VALUE"""),59.79)</f>
        <v>59.79</v>
      </c>
      <c r="D339" s="2" t="n">
        <f aca="false">IFERROR(__xludf.dummyfunction("""COMPUTED_VALUE"""),57.43)</f>
        <v>57.43</v>
      </c>
      <c r="E339" s="2" t="n">
        <f aca="false">IFERROR(__xludf.dummyfunction("""COMPUTED_VALUE"""),58)</f>
        <v>58</v>
      </c>
      <c r="F339" s="2" t="n">
        <f aca="false">IFERROR(__xludf.dummyfunction("""COMPUTED_VALUE"""),3280649)</f>
        <v>3280649</v>
      </c>
    </row>
    <row r="340" customFormat="false" ht="15.75" hidden="false" customHeight="false" outlineLevel="0" collapsed="false">
      <c r="A340" s="3" t="n">
        <f aca="false">IFERROR(__xludf.dummyfunction("""COMPUTED_VALUE"""),44687.6666666667)</f>
        <v>44687.6666666667</v>
      </c>
      <c r="B340" s="2" t="n">
        <f aca="false">IFERROR(__xludf.dummyfunction("""COMPUTED_VALUE"""),57.49)</f>
        <v>57.49</v>
      </c>
      <c r="C340" s="2" t="n">
        <f aca="false">IFERROR(__xludf.dummyfunction("""COMPUTED_VALUE"""),59)</f>
        <v>59</v>
      </c>
      <c r="D340" s="2" t="n">
        <f aca="false">IFERROR(__xludf.dummyfunction("""COMPUTED_VALUE"""),56.94)</f>
        <v>56.94</v>
      </c>
      <c r="E340" s="2" t="n">
        <f aca="false">IFERROR(__xludf.dummyfunction("""COMPUTED_VALUE"""),58.01)</f>
        <v>58.01</v>
      </c>
      <c r="F340" s="2" t="n">
        <f aca="false">IFERROR(__xludf.dummyfunction("""COMPUTED_VALUE"""),2074700)</f>
        <v>2074700</v>
      </c>
    </row>
    <row r="341" customFormat="false" ht="15.75" hidden="false" customHeight="false" outlineLevel="0" collapsed="false">
      <c r="A341" s="3" t="n">
        <f aca="false">IFERROR(__xludf.dummyfunction("""COMPUTED_VALUE"""),44690.6666666667)</f>
        <v>44690.6666666667</v>
      </c>
      <c r="B341" s="2" t="n">
        <f aca="false">IFERROR(__xludf.dummyfunction("""COMPUTED_VALUE"""),57.29)</f>
        <v>57.29</v>
      </c>
      <c r="C341" s="2" t="n">
        <f aca="false">IFERROR(__xludf.dummyfunction("""COMPUTED_VALUE"""),57.8)</f>
        <v>57.8</v>
      </c>
      <c r="D341" s="2" t="n">
        <f aca="false">IFERROR(__xludf.dummyfunction("""COMPUTED_VALUE"""),56.03)</f>
        <v>56.03</v>
      </c>
      <c r="E341" s="2" t="n">
        <f aca="false">IFERROR(__xludf.dummyfunction("""COMPUTED_VALUE"""),56.29)</f>
        <v>56.29</v>
      </c>
      <c r="F341" s="2" t="n">
        <f aca="false">IFERROR(__xludf.dummyfunction("""COMPUTED_VALUE"""),3007388)</f>
        <v>3007388</v>
      </c>
    </row>
    <row r="342" customFormat="false" ht="15.75" hidden="false" customHeight="false" outlineLevel="0" collapsed="false">
      <c r="A342" s="3" t="n">
        <f aca="false">IFERROR(__xludf.dummyfunction("""COMPUTED_VALUE"""),44691.6666666667)</f>
        <v>44691.6666666667</v>
      </c>
      <c r="B342" s="2" t="n">
        <f aca="false">IFERROR(__xludf.dummyfunction("""COMPUTED_VALUE"""),58.05)</f>
        <v>58.05</v>
      </c>
      <c r="C342" s="2" t="n">
        <f aca="false">IFERROR(__xludf.dummyfunction("""COMPUTED_VALUE"""),59.12)</f>
        <v>59.12</v>
      </c>
      <c r="D342" s="2" t="n">
        <f aca="false">IFERROR(__xludf.dummyfunction("""COMPUTED_VALUE"""),57.18)</f>
        <v>57.18</v>
      </c>
      <c r="E342" s="2" t="n">
        <f aca="false">IFERROR(__xludf.dummyfunction("""COMPUTED_VALUE"""),58.14)</f>
        <v>58.14</v>
      </c>
      <c r="F342" s="2" t="n">
        <f aca="false">IFERROR(__xludf.dummyfunction("""COMPUTED_VALUE"""),2927311)</f>
        <v>2927311</v>
      </c>
    </row>
    <row r="343" customFormat="false" ht="15.75" hidden="false" customHeight="false" outlineLevel="0" collapsed="false">
      <c r="A343" s="3" t="n">
        <f aca="false">IFERROR(__xludf.dummyfunction("""COMPUTED_VALUE"""),44692.6666666667)</f>
        <v>44692.6666666667</v>
      </c>
      <c r="B343" s="2" t="n">
        <f aca="false">IFERROR(__xludf.dummyfunction("""COMPUTED_VALUE"""),57.46)</f>
        <v>57.46</v>
      </c>
      <c r="C343" s="2" t="n">
        <f aca="false">IFERROR(__xludf.dummyfunction("""COMPUTED_VALUE"""),58.47)</f>
        <v>58.47</v>
      </c>
      <c r="D343" s="2" t="n">
        <f aca="false">IFERROR(__xludf.dummyfunction("""COMPUTED_VALUE"""),56.59)</f>
        <v>56.59</v>
      </c>
      <c r="E343" s="2" t="n">
        <f aca="false">IFERROR(__xludf.dummyfunction("""COMPUTED_VALUE"""),56.71)</f>
        <v>56.71</v>
      </c>
      <c r="F343" s="2" t="n">
        <f aca="false">IFERROR(__xludf.dummyfunction("""COMPUTED_VALUE"""),2665951)</f>
        <v>2665951</v>
      </c>
    </row>
    <row r="344" customFormat="false" ht="15.75" hidden="false" customHeight="false" outlineLevel="0" collapsed="false">
      <c r="A344" s="3" t="n">
        <f aca="false">IFERROR(__xludf.dummyfunction("""COMPUTED_VALUE"""),44693.6666666667)</f>
        <v>44693.6666666667</v>
      </c>
      <c r="B344" s="2" t="n">
        <f aca="false">IFERROR(__xludf.dummyfunction("""COMPUTED_VALUE"""),56.34)</f>
        <v>56.34</v>
      </c>
      <c r="C344" s="2" t="n">
        <f aca="false">IFERROR(__xludf.dummyfunction("""COMPUTED_VALUE"""),57.36)</f>
        <v>57.36</v>
      </c>
      <c r="D344" s="2" t="n">
        <f aca="false">IFERROR(__xludf.dummyfunction("""COMPUTED_VALUE"""),55.83)</f>
        <v>55.83</v>
      </c>
      <c r="E344" s="2" t="n">
        <f aca="false">IFERROR(__xludf.dummyfunction("""COMPUTED_VALUE"""),57.16)</f>
        <v>57.16</v>
      </c>
      <c r="F344" s="2" t="n">
        <f aca="false">IFERROR(__xludf.dummyfunction("""COMPUTED_VALUE"""),2551775)</f>
        <v>2551775</v>
      </c>
    </row>
    <row r="345" customFormat="false" ht="15.75" hidden="false" customHeight="false" outlineLevel="0" collapsed="false">
      <c r="A345" s="3" t="n">
        <f aca="false">IFERROR(__xludf.dummyfunction("""COMPUTED_VALUE"""),44694.6666666667)</f>
        <v>44694.6666666667</v>
      </c>
      <c r="B345" s="2" t="n">
        <f aca="false">IFERROR(__xludf.dummyfunction("""COMPUTED_VALUE"""),57.71)</f>
        <v>57.71</v>
      </c>
      <c r="C345" s="2" t="n">
        <f aca="false">IFERROR(__xludf.dummyfunction("""COMPUTED_VALUE"""),59.16)</f>
        <v>59.16</v>
      </c>
      <c r="D345" s="2" t="n">
        <f aca="false">IFERROR(__xludf.dummyfunction("""COMPUTED_VALUE"""),57.35)</f>
        <v>57.35</v>
      </c>
      <c r="E345" s="2" t="n">
        <f aca="false">IFERROR(__xludf.dummyfunction("""COMPUTED_VALUE"""),58.82)</f>
        <v>58.82</v>
      </c>
      <c r="F345" s="2" t="n">
        <f aca="false">IFERROR(__xludf.dummyfunction("""COMPUTED_VALUE"""),1945085)</f>
        <v>1945085</v>
      </c>
    </row>
    <row r="346" customFormat="false" ht="15.75" hidden="false" customHeight="false" outlineLevel="0" collapsed="false">
      <c r="A346" s="3" t="n">
        <f aca="false">IFERROR(__xludf.dummyfunction("""COMPUTED_VALUE"""),44697.6666666667)</f>
        <v>44697.6666666667</v>
      </c>
      <c r="B346" s="2" t="n">
        <f aca="false">IFERROR(__xludf.dummyfunction("""COMPUTED_VALUE"""),58.44)</f>
        <v>58.44</v>
      </c>
      <c r="C346" s="2" t="n">
        <f aca="false">IFERROR(__xludf.dummyfunction("""COMPUTED_VALUE"""),58.91)</f>
        <v>58.91</v>
      </c>
      <c r="D346" s="2" t="n">
        <f aca="false">IFERROR(__xludf.dummyfunction("""COMPUTED_VALUE"""),57.77)</f>
        <v>57.77</v>
      </c>
      <c r="E346" s="2" t="n">
        <f aca="false">IFERROR(__xludf.dummyfunction("""COMPUTED_VALUE"""),58.27)</f>
        <v>58.27</v>
      </c>
      <c r="F346" s="2" t="n">
        <f aca="false">IFERROR(__xludf.dummyfunction("""COMPUTED_VALUE"""),1419084)</f>
        <v>1419084</v>
      </c>
    </row>
    <row r="347" customFormat="false" ht="15.75" hidden="false" customHeight="false" outlineLevel="0" collapsed="false">
      <c r="A347" s="3" t="n">
        <f aca="false">IFERROR(__xludf.dummyfunction("""COMPUTED_VALUE"""),44698.6666666667)</f>
        <v>44698.6666666667</v>
      </c>
      <c r="B347" s="2" t="n">
        <f aca="false">IFERROR(__xludf.dummyfunction("""COMPUTED_VALUE"""),59.55)</f>
        <v>59.55</v>
      </c>
      <c r="C347" s="2" t="n">
        <f aca="false">IFERROR(__xludf.dummyfunction("""COMPUTED_VALUE"""),60.9)</f>
        <v>60.9</v>
      </c>
      <c r="D347" s="2" t="n">
        <f aca="false">IFERROR(__xludf.dummyfunction("""COMPUTED_VALUE"""),59.36)</f>
        <v>59.36</v>
      </c>
      <c r="E347" s="2" t="n">
        <f aca="false">IFERROR(__xludf.dummyfunction("""COMPUTED_VALUE"""),60.82)</f>
        <v>60.82</v>
      </c>
      <c r="F347" s="2" t="n">
        <f aca="false">IFERROR(__xludf.dummyfunction("""COMPUTED_VALUE"""),2467604)</f>
        <v>2467604</v>
      </c>
    </row>
    <row r="348" customFormat="false" ht="15.75" hidden="false" customHeight="false" outlineLevel="0" collapsed="false">
      <c r="A348" s="3" t="n">
        <f aca="false">IFERROR(__xludf.dummyfunction("""COMPUTED_VALUE"""),44699.6666666667)</f>
        <v>44699.6666666667</v>
      </c>
      <c r="B348" s="2" t="n">
        <f aca="false">IFERROR(__xludf.dummyfunction("""COMPUTED_VALUE"""),60)</f>
        <v>60</v>
      </c>
      <c r="C348" s="2" t="n">
        <f aca="false">IFERROR(__xludf.dummyfunction("""COMPUTED_VALUE"""),60.07)</f>
        <v>60.07</v>
      </c>
      <c r="D348" s="2" t="n">
        <f aca="false">IFERROR(__xludf.dummyfunction("""COMPUTED_VALUE"""),56.62)</f>
        <v>56.62</v>
      </c>
      <c r="E348" s="2" t="n">
        <f aca="false">IFERROR(__xludf.dummyfunction("""COMPUTED_VALUE"""),57.06)</f>
        <v>57.06</v>
      </c>
      <c r="F348" s="2" t="n">
        <f aca="false">IFERROR(__xludf.dummyfunction("""COMPUTED_VALUE"""),3502433)</f>
        <v>3502433</v>
      </c>
    </row>
    <row r="349" customFormat="false" ht="15.75" hidden="false" customHeight="false" outlineLevel="0" collapsed="false">
      <c r="A349" s="3" t="n">
        <f aca="false">IFERROR(__xludf.dummyfunction("""COMPUTED_VALUE"""),44700.6666666667)</f>
        <v>44700.6666666667</v>
      </c>
      <c r="B349" s="2" t="n">
        <f aca="false">IFERROR(__xludf.dummyfunction("""COMPUTED_VALUE"""),55.8)</f>
        <v>55.8</v>
      </c>
      <c r="C349" s="2" t="n">
        <f aca="false">IFERROR(__xludf.dummyfunction("""COMPUTED_VALUE"""),56.08)</f>
        <v>56.08</v>
      </c>
      <c r="D349" s="2" t="n">
        <f aca="false">IFERROR(__xludf.dummyfunction("""COMPUTED_VALUE"""),53.9)</f>
        <v>53.9</v>
      </c>
      <c r="E349" s="2" t="n">
        <f aca="false">IFERROR(__xludf.dummyfunction("""COMPUTED_VALUE"""),54.62)</f>
        <v>54.62</v>
      </c>
      <c r="F349" s="2" t="n">
        <f aca="false">IFERROR(__xludf.dummyfunction("""COMPUTED_VALUE"""),3488421)</f>
        <v>3488421</v>
      </c>
    </row>
    <row r="350" customFormat="false" ht="15.75" hidden="false" customHeight="false" outlineLevel="0" collapsed="false">
      <c r="A350" s="3" t="n">
        <f aca="false">IFERROR(__xludf.dummyfunction("""COMPUTED_VALUE"""),44701.6666666667)</f>
        <v>44701.6666666667</v>
      </c>
      <c r="B350" s="2" t="n">
        <f aca="false">IFERROR(__xludf.dummyfunction("""COMPUTED_VALUE"""),55.39)</f>
        <v>55.39</v>
      </c>
      <c r="C350" s="2" t="n">
        <f aca="false">IFERROR(__xludf.dummyfunction("""COMPUTED_VALUE"""),55.5)</f>
        <v>55.5</v>
      </c>
      <c r="D350" s="2" t="n">
        <f aca="false">IFERROR(__xludf.dummyfunction("""COMPUTED_VALUE"""),51.24)</f>
        <v>51.24</v>
      </c>
      <c r="E350" s="2" t="n">
        <f aca="false">IFERROR(__xludf.dummyfunction("""COMPUTED_VALUE"""),54.32)</f>
        <v>54.32</v>
      </c>
      <c r="F350" s="2" t="n">
        <f aca="false">IFERROR(__xludf.dummyfunction("""COMPUTED_VALUE"""),4028103)</f>
        <v>4028103</v>
      </c>
    </row>
    <row r="351" customFormat="false" ht="15.75" hidden="false" customHeight="false" outlineLevel="0" collapsed="false">
      <c r="A351" s="3" t="n">
        <f aca="false">IFERROR(__xludf.dummyfunction("""COMPUTED_VALUE"""),44704.6666666667)</f>
        <v>44704.6666666667</v>
      </c>
      <c r="B351" s="2" t="n">
        <f aca="false">IFERROR(__xludf.dummyfunction("""COMPUTED_VALUE"""),52.4)</f>
        <v>52.4</v>
      </c>
      <c r="C351" s="2" t="n">
        <f aca="false">IFERROR(__xludf.dummyfunction("""COMPUTED_VALUE"""),53.56)</f>
        <v>53.56</v>
      </c>
      <c r="D351" s="2" t="n">
        <f aca="false">IFERROR(__xludf.dummyfunction("""COMPUTED_VALUE"""),51.43)</f>
        <v>51.43</v>
      </c>
      <c r="E351" s="2" t="n">
        <f aca="false">IFERROR(__xludf.dummyfunction("""COMPUTED_VALUE"""),52.64)</f>
        <v>52.64</v>
      </c>
      <c r="F351" s="2" t="n">
        <f aca="false">IFERROR(__xludf.dummyfunction("""COMPUTED_VALUE"""),5858580)</f>
        <v>5858580</v>
      </c>
    </row>
    <row r="352" customFormat="false" ht="15.75" hidden="false" customHeight="false" outlineLevel="0" collapsed="false">
      <c r="A352" s="3" t="n">
        <f aca="false">IFERROR(__xludf.dummyfunction("""COMPUTED_VALUE"""),44705.6666666667)</f>
        <v>44705.6666666667</v>
      </c>
      <c r="B352" s="2" t="n">
        <f aca="false">IFERROR(__xludf.dummyfunction("""COMPUTED_VALUE"""),52.67)</f>
        <v>52.67</v>
      </c>
      <c r="C352" s="2" t="n">
        <f aca="false">IFERROR(__xludf.dummyfunction("""COMPUTED_VALUE"""),52.89)</f>
        <v>52.89</v>
      </c>
      <c r="D352" s="2" t="n">
        <f aca="false">IFERROR(__xludf.dummyfunction("""COMPUTED_VALUE"""),51.62)</f>
        <v>51.62</v>
      </c>
      <c r="E352" s="2" t="n">
        <f aca="false">IFERROR(__xludf.dummyfunction("""COMPUTED_VALUE"""),52.42)</f>
        <v>52.42</v>
      </c>
      <c r="F352" s="2" t="n">
        <f aca="false">IFERROR(__xludf.dummyfunction("""COMPUTED_VALUE"""),2506019)</f>
        <v>2506019</v>
      </c>
    </row>
    <row r="353" customFormat="false" ht="15.75" hidden="false" customHeight="false" outlineLevel="0" collapsed="false">
      <c r="A353" s="3" t="n">
        <f aca="false">IFERROR(__xludf.dummyfunction("""COMPUTED_VALUE"""),44706.6666666667)</f>
        <v>44706.6666666667</v>
      </c>
      <c r="B353" s="2" t="n">
        <f aca="false">IFERROR(__xludf.dummyfunction("""COMPUTED_VALUE"""),52.39)</f>
        <v>52.39</v>
      </c>
      <c r="C353" s="2" t="n">
        <f aca="false">IFERROR(__xludf.dummyfunction("""COMPUTED_VALUE"""),53.75)</f>
        <v>53.75</v>
      </c>
      <c r="D353" s="2" t="n">
        <f aca="false">IFERROR(__xludf.dummyfunction("""COMPUTED_VALUE"""),52.39)</f>
        <v>52.39</v>
      </c>
      <c r="E353" s="2" t="n">
        <f aca="false">IFERROR(__xludf.dummyfunction("""COMPUTED_VALUE"""),53.16)</f>
        <v>53.16</v>
      </c>
      <c r="F353" s="2" t="n">
        <f aca="false">IFERROR(__xludf.dummyfunction("""COMPUTED_VALUE"""),1784225)</f>
        <v>1784225</v>
      </c>
    </row>
    <row r="354" customFormat="false" ht="15.75" hidden="false" customHeight="false" outlineLevel="0" collapsed="false">
      <c r="A354" s="3" t="n">
        <f aca="false">IFERROR(__xludf.dummyfunction("""COMPUTED_VALUE"""),44707.6666666667)</f>
        <v>44707.6666666667</v>
      </c>
      <c r="B354" s="2" t="n">
        <f aca="false">IFERROR(__xludf.dummyfunction("""COMPUTED_VALUE"""),53.15)</f>
        <v>53.15</v>
      </c>
      <c r="C354" s="2" t="n">
        <f aca="false">IFERROR(__xludf.dummyfunction("""COMPUTED_VALUE"""),55.46)</f>
        <v>55.46</v>
      </c>
      <c r="D354" s="2" t="n">
        <f aca="false">IFERROR(__xludf.dummyfunction("""COMPUTED_VALUE"""),52.77)</f>
        <v>52.77</v>
      </c>
      <c r="E354" s="2" t="n">
        <f aca="false">IFERROR(__xludf.dummyfunction("""COMPUTED_VALUE"""),55.07)</f>
        <v>55.07</v>
      </c>
      <c r="F354" s="2" t="n">
        <f aca="false">IFERROR(__xludf.dummyfunction("""COMPUTED_VALUE"""),3974283)</f>
        <v>3974283</v>
      </c>
    </row>
    <row r="355" customFormat="false" ht="15.75" hidden="false" customHeight="false" outlineLevel="0" collapsed="false">
      <c r="A355" s="3" t="n">
        <f aca="false">IFERROR(__xludf.dummyfunction("""COMPUTED_VALUE"""),44708.6666666667)</f>
        <v>44708.6666666667</v>
      </c>
      <c r="B355" s="2" t="n">
        <f aca="false">IFERROR(__xludf.dummyfunction("""COMPUTED_VALUE"""),56.21)</f>
        <v>56.21</v>
      </c>
      <c r="C355" s="2" t="n">
        <f aca="false">IFERROR(__xludf.dummyfunction("""COMPUTED_VALUE"""),58.55)</f>
        <v>58.55</v>
      </c>
      <c r="D355" s="2" t="n">
        <f aca="false">IFERROR(__xludf.dummyfunction("""COMPUTED_VALUE"""),56)</f>
        <v>56</v>
      </c>
      <c r="E355" s="2" t="n">
        <f aca="false">IFERROR(__xludf.dummyfunction("""COMPUTED_VALUE"""),58.33)</f>
        <v>58.33</v>
      </c>
      <c r="F355" s="2" t="n">
        <f aca="false">IFERROR(__xludf.dummyfunction("""COMPUTED_VALUE"""),3730114)</f>
        <v>3730114</v>
      </c>
    </row>
    <row r="356" customFormat="false" ht="15.75" hidden="false" customHeight="false" outlineLevel="0" collapsed="false">
      <c r="A356" s="3" t="n">
        <f aca="false">IFERROR(__xludf.dummyfunction("""COMPUTED_VALUE"""),44712.6666666667)</f>
        <v>44712.6666666667</v>
      </c>
      <c r="B356" s="2" t="n">
        <f aca="false">IFERROR(__xludf.dummyfunction("""COMPUTED_VALUE"""),58.45)</f>
        <v>58.45</v>
      </c>
      <c r="C356" s="2" t="n">
        <f aca="false">IFERROR(__xludf.dummyfunction("""COMPUTED_VALUE"""),58.7)</f>
        <v>58.7</v>
      </c>
      <c r="D356" s="2" t="n">
        <f aca="false">IFERROR(__xludf.dummyfunction("""COMPUTED_VALUE"""),57.6)</f>
        <v>57.6</v>
      </c>
      <c r="E356" s="2" t="n">
        <f aca="false">IFERROR(__xludf.dummyfunction("""COMPUTED_VALUE"""),58.01)</f>
        <v>58.01</v>
      </c>
      <c r="F356" s="2" t="n">
        <f aca="false">IFERROR(__xludf.dummyfunction("""COMPUTED_VALUE"""),3000940)</f>
        <v>3000940</v>
      </c>
    </row>
    <row r="357" customFormat="false" ht="15.75" hidden="false" customHeight="false" outlineLevel="0" collapsed="false">
      <c r="A357" s="3" t="n">
        <f aca="false">IFERROR(__xludf.dummyfunction("""COMPUTED_VALUE"""),44713.6666666667)</f>
        <v>44713.6666666667</v>
      </c>
      <c r="B357" s="2" t="n">
        <f aca="false">IFERROR(__xludf.dummyfunction("""COMPUTED_VALUE"""),58.76)</f>
        <v>58.76</v>
      </c>
      <c r="C357" s="2" t="n">
        <f aca="false">IFERROR(__xludf.dummyfunction("""COMPUTED_VALUE"""),59.09)</f>
        <v>59.09</v>
      </c>
      <c r="D357" s="2" t="n">
        <f aca="false">IFERROR(__xludf.dummyfunction("""COMPUTED_VALUE"""),56.84)</f>
        <v>56.84</v>
      </c>
      <c r="E357" s="2" t="n">
        <f aca="false">IFERROR(__xludf.dummyfunction("""COMPUTED_VALUE"""),57.36)</f>
        <v>57.36</v>
      </c>
      <c r="F357" s="2" t="n">
        <f aca="false">IFERROR(__xludf.dummyfunction("""COMPUTED_VALUE"""),1834481)</f>
        <v>1834481</v>
      </c>
    </row>
    <row r="358" customFormat="false" ht="15.75" hidden="false" customHeight="false" outlineLevel="0" collapsed="false">
      <c r="A358" s="3" t="n">
        <f aca="false">IFERROR(__xludf.dummyfunction("""COMPUTED_VALUE"""),44714.6666666667)</f>
        <v>44714.6666666667</v>
      </c>
      <c r="B358" s="2" t="n">
        <f aca="false">IFERROR(__xludf.dummyfunction("""COMPUTED_VALUE"""),57.78)</f>
        <v>57.78</v>
      </c>
      <c r="C358" s="2" t="n">
        <f aca="false">IFERROR(__xludf.dummyfunction("""COMPUTED_VALUE"""),57.78)</f>
        <v>57.78</v>
      </c>
      <c r="D358" s="2" t="n">
        <f aca="false">IFERROR(__xludf.dummyfunction("""COMPUTED_VALUE"""),56.81)</f>
        <v>56.81</v>
      </c>
      <c r="E358" s="2" t="n">
        <f aca="false">IFERROR(__xludf.dummyfunction("""COMPUTED_VALUE"""),57.67)</f>
        <v>57.67</v>
      </c>
      <c r="F358" s="2" t="n">
        <f aca="false">IFERROR(__xludf.dummyfunction("""COMPUTED_VALUE"""),2948939)</f>
        <v>2948939</v>
      </c>
    </row>
    <row r="359" customFormat="false" ht="15.75" hidden="false" customHeight="false" outlineLevel="0" collapsed="false">
      <c r="A359" s="3" t="n">
        <f aca="false">IFERROR(__xludf.dummyfunction("""COMPUTED_VALUE"""),44715.6666666667)</f>
        <v>44715.6666666667</v>
      </c>
      <c r="B359" s="2" t="n">
        <f aca="false">IFERROR(__xludf.dummyfunction("""COMPUTED_VALUE"""),56.89)</f>
        <v>56.89</v>
      </c>
      <c r="C359" s="2" t="n">
        <f aca="false">IFERROR(__xludf.dummyfunction("""COMPUTED_VALUE"""),56.96)</f>
        <v>56.96</v>
      </c>
      <c r="D359" s="2" t="n">
        <f aca="false">IFERROR(__xludf.dummyfunction("""COMPUTED_VALUE"""),56.1)</f>
        <v>56.1</v>
      </c>
      <c r="E359" s="2" t="n">
        <f aca="false">IFERROR(__xludf.dummyfunction("""COMPUTED_VALUE"""),56.33)</f>
        <v>56.33</v>
      </c>
      <c r="F359" s="2" t="n">
        <f aca="false">IFERROR(__xludf.dummyfunction("""COMPUTED_VALUE"""),2056171)</f>
        <v>2056171</v>
      </c>
    </row>
    <row r="360" customFormat="false" ht="15.75" hidden="false" customHeight="false" outlineLevel="0" collapsed="false">
      <c r="A360" s="3" t="n">
        <f aca="false">IFERROR(__xludf.dummyfunction("""COMPUTED_VALUE"""),44718.6666666667)</f>
        <v>44718.6666666667</v>
      </c>
      <c r="B360" s="2" t="n">
        <f aca="false">IFERROR(__xludf.dummyfunction("""COMPUTED_VALUE"""),57.15)</f>
        <v>57.15</v>
      </c>
      <c r="C360" s="2" t="n">
        <f aca="false">IFERROR(__xludf.dummyfunction("""COMPUTED_VALUE"""),57.27)</f>
        <v>57.27</v>
      </c>
      <c r="D360" s="2" t="n">
        <f aca="false">IFERROR(__xludf.dummyfunction("""COMPUTED_VALUE"""),55.75)</f>
        <v>55.75</v>
      </c>
      <c r="E360" s="2" t="n">
        <f aca="false">IFERROR(__xludf.dummyfunction("""COMPUTED_VALUE"""),56.12)</f>
        <v>56.12</v>
      </c>
      <c r="F360" s="2" t="n">
        <f aca="false">IFERROR(__xludf.dummyfunction("""COMPUTED_VALUE"""),1455678)</f>
        <v>1455678</v>
      </c>
    </row>
    <row r="361" customFormat="false" ht="15.75" hidden="false" customHeight="false" outlineLevel="0" collapsed="false">
      <c r="A361" s="3" t="n">
        <f aca="false">IFERROR(__xludf.dummyfunction("""COMPUTED_VALUE"""),44719.6666666667)</f>
        <v>44719.6666666667</v>
      </c>
      <c r="B361" s="2" t="n">
        <f aca="false">IFERROR(__xludf.dummyfunction("""COMPUTED_VALUE"""),56.05)</f>
        <v>56.05</v>
      </c>
      <c r="C361" s="2" t="n">
        <f aca="false">IFERROR(__xludf.dummyfunction("""COMPUTED_VALUE"""),57.45)</f>
        <v>57.45</v>
      </c>
      <c r="D361" s="2" t="n">
        <f aca="false">IFERROR(__xludf.dummyfunction("""COMPUTED_VALUE"""),55.75)</f>
        <v>55.75</v>
      </c>
      <c r="E361" s="2" t="n">
        <f aca="false">IFERROR(__xludf.dummyfunction("""COMPUTED_VALUE"""),57.3)</f>
        <v>57.3</v>
      </c>
      <c r="F361" s="2" t="n">
        <f aca="false">IFERROR(__xludf.dummyfunction("""COMPUTED_VALUE"""),1589491)</f>
        <v>1589491</v>
      </c>
    </row>
    <row r="362" customFormat="false" ht="15.75" hidden="false" customHeight="false" outlineLevel="0" collapsed="false">
      <c r="A362" s="3" t="n">
        <f aca="false">IFERROR(__xludf.dummyfunction("""COMPUTED_VALUE"""),44720.6666666667)</f>
        <v>44720.6666666667</v>
      </c>
      <c r="B362" s="2" t="n">
        <f aca="false">IFERROR(__xludf.dummyfunction("""COMPUTED_VALUE"""),57.18)</f>
        <v>57.18</v>
      </c>
      <c r="C362" s="2" t="n">
        <f aca="false">IFERROR(__xludf.dummyfunction("""COMPUTED_VALUE"""),57.63)</f>
        <v>57.63</v>
      </c>
      <c r="D362" s="2" t="n">
        <f aca="false">IFERROR(__xludf.dummyfunction("""COMPUTED_VALUE"""),56.21)</f>
        <v>56.21</v>
      </c>
      <c r="E362" s="2" t="n">
        <f aca="false">IFERROR(__xludf.dummyfunction("""COMPUTED_VALUE"""),56.54)</f>
        <v>56.54</v>
      </c>
      <c r="F362" s="2" t="n">
        <f aca="false">IFERROR(__xludf.dummyfunction("""COMPUTED_VALUE"""),2400504)</f>
        <v>2400504</v>
      </c>
    </row>
    <row r="363" customFormat="false" ht="15.75" hidden="false" customHeight="false" outlineLevel="0" collapsed="false">
      <c r="A363" s="3" t="n">
        <f aca="false">IFERROR(__xludf.dummyfunction("""COMPUTED_VALUE"""),44721.6666666667)</f>
        <v>44721.6666666667</v>
      </c>
      <c r="B363" s="2" t="n">
        <f aca="false">IFERROR(__xludf.dummyfunction("""COMPUTED_VALUE"""),56.12)</f>
        <v>56.12</v>
      </c>
      <c r="C363" s="2" t="n">
        <f aca="false">IFERROR(__xludf.dummyfunction("""COMPUTED_VALUE"""),57.36)</f>
        <v>57.36</v>
      </c>
      <c r="D363" s="2" t="n">
        <f aca="false">IFERROR(__xludf.dummyfunction("""COMPUTED_VALUE"""),55.59)</f>
        <v>55.59</v>
      </c>
      <c r="E363" s="2" t="n">
        <f aca="false">IFERROR(__xludf.dummyfunction("""COMPUTED_VALUE"""),55.62)</f>
        <v>55.62</v>
      </c>
      <c r="F363" s="2" t="n">
        <f aca="false">IFERROR(__xludf.dummyfunction("""COMPUTED_VALUE"""),1878740)</f>
        <v>1878740</v>
      </c>
    </row>
    <row r="364" customFormat="false" ht="15.75" hidden="false" customHeight="false" outlineLevel="0" collapsed="false">
      <c r="A364" s="3" t="n">
        <f aca="false">IFERROR(__xludf.dummyfunction("""COMPUTED_VALUE"""),44722.6666666667)</f>
        <v>44722.6666666667</v>
      </c>
      <c r="B364" s="2" t="n">
        <f aca="false">IFERROR(__xludf.dummyfunction("""COMPUTED_VALUE"""),55.01)</f>
        <v>55.01</v>
      </c>
      <c r="C364" s="2" t="n">
        <f aca="false">IFERROR(__xludf.dummyfunction("""COMPUTED_VALUE"""),55.1)</f>
        <v>55.1</v>
      </c>
      <c r="D364" s="2" t="n">
        <f aca="false">IFERROR(__xludf.dummyfunction("""COMPUTED_VALUE"""),53.97)</f>
        <v>53.97</v>
      </c>
      <c r="E364" s="2" t="n">
        <f aca="false">IFERROR(__xludf.dummyfunction("""COMPUTED_VALUE"""),54.13)</f>
        <v>54.13</v>
      </c>
      <c r="F364" s="2" t="n">
        <f aca="false">IFERROR(__xludf.dummyfunction("""COMPUTED_VALUE"""),2402436)</f>
        <v>2402436</v>
      </c>
    </row>
    <row r="365" customFormat="false" ht="15.75" hidden="false" customHeight="false" outlineLevel="0" collapsed="false">
      <c r="A365" s="3" t="n">
        <f aca="false">IFERROR(__xludf.dummyfunction("""COMPUTED_VALUE"""),44725.6666666667)</f>
        <v>44725.6666666667</v>
      </c>
      <c r="B365" s="2" t="n">
        <f aca="false">IFERROR(__xludf.dummyfunction("""COMPUTED_VALUE"""),52.68)</f>
        <v>52.68</v>
      </c>
      <c r="C365" s="2" t="n">
        <f aca="false">IFERROR(__xludf.dummyfunction("""COMPUTED_VALUE"""),53.3)</f>
        <v>53.3</v>
      </c>
      <c r="D365" s="2" t="n">
        <f aca="false">IFERROR(__xludf.dummyfunction("""COMPUTED_VALUE"""),51.6)</f>
        <v>51.6</v>
      </c>
      <c r="E365" s="2" t="n">
        <f aca="false">IFERROR(__xludf.dummyfunction("""COMPUTED_VALUE"""),51.76)</f>
        <v>51.76</v>
      </c>
      <c r="F365" s="2" t="n">
        <f aca="false">IFERROR(__xludf.dummyfunction("""COMPUTED_VALUE"""),3161905)</f>
        <v>3161905</v>
      </c>
    </row>
    <row r="366" customFormat="false" ht="15.75" hidden="false" customHeight="false" outlineLevel="0" collapsed="false">
      <c r="A366" s="3" t="n">
        <f aca="false">IFERROR(__xludf.dummyfunction("""COMPUTED_VALUE"""),44726.6666666667)</f>
        <v>44726.6666666667</v>
      </c>
      <c r="B366" s="2" t="n">
        <f aca="false">IFERROR(__xludf.dummyfunction("""COMPUTED_VALUE"""),52.5)</f>
        <v>52.5</v>
      </c>
      <c r="C366" s="2" t="n">
        <f aca="false">IFERROR(__xludf.dummyfunction("""COMPUTED_VALUE"""),52.5)</f>
        <v>52.5</v>
      </c>
      <c r="D366" s="2" t="n">
        <f aca="false">IFERROR(__xludf.dummyfunction("""COMPUTED_VALUE"""),51.46)</f>
        <v>51.46</v>
      </c>
      <c r="E366" s="2" t="n">
        <f aca="false">IFERROR(__xludf.dummyfunction("""COMPUTED_VALUE"""),52.02)</f>
        <v>52.02</v>
      </c>
      <c r="F366" s="2" t="n">
        <f aca="false">IFERROR(__xludf.dummyfunction("""COMPUTED_VALUE"""),2438173)</f>
        <v>2438173</v>
      </c>
    </row>
    <row r="367" customFormat="false" ht="15.75" hidden="false" customHeight="false" outlineLevel="0" collapsed="false">
      <c r="A367" s="3" t="n">
        <f aca="false">IFERROR(__xludf.dummyfunction("""COMPUTED_VALUE"""),44727.6666666667)</f>
        <v>44727.6666666667</v>
      </c>
      <c r="B367" s="2" t="n">
        <f aca="false">IFERROR(__xludf.dummyfunction("""COMPUTED_VALUE"""),52.92)</f>
        <v>52.92</v>
      </c>
      <c r="C367" s="2" t="n">
        <f aca="false">IFERROR(__xludf.dummyfunction("""COMPUTED_VALUE"""),53.38)</f>
        <v>53.38</v>
      </c>
      <c r="D367" s="2" t="n">
        <f aca="false">IFERROR(__xludf.dummyfunction("""COMPUTED_VALUE"""),51.55)</f>
        <v>51.55</v>
      </c>
      <c r="E367" s="2" t="n">
        <f aca="false">IFERROR(__xludf.dummyfunction("""COMPUTED_VALUE"""),52.67)</f>
        <v>52.67</v>
      </c>
      <c r="F367" s="2" t="n">
        <f aca="false">IFERROR(__xludf.dummyfunction("""COMPUTED_VALUE"""),1914054)</f>
        <v>1914054</v>
      </c>
    </row>
    <row r="368" customFormat="false" ht="15.75" hidden="false" customHeight="false" outlineLevel="0" collapsed="false">
      <c r="A368" s="3" t="n">
        <f aca="false">IFERROR(__xludf.dummyfunction("""COMPUTED_VALUE"""),44728.6666666667)</f>
        <v>44728.6666666667</v>
      </c>
      <c r="B368" s="2" t="n">
        <f aca="false">IFERROR(__xludf.dummyfunction("""COMPUTED_VALUE"""),51.2)</f>
        <v>51.2</v>
      </c>
      <c r="C368" s="2" t="n">
        <f aca="false">IFERROR(__xludf.dummyfunction("""COMPUTED_VALUE"""),51.44)</f>
        <v>51.44</v>
      </c>
      <c r="D368" s="2" t="n">
        <f aca="false">IFERROR(__xludf.dummyfunction("""COMPUTED_VALUE"""),49.23)</f>
        <v>49.23</v>
      </c>
      <c r="E368" s="2" t="n">
        <f aca="false">IFERROR(__xludf.dummyfunction("""COMPUTED_VALUE"""),49.72)</f>
        <v>49.72</v>
      </c>
      <c r="F368" s="2" t="n">
        <f aca="false">IFERROR(__xludf.dummyfunction("""COMPUTED_VALUE"""),3724442)</f>
        <v>3724442</v>
      </c>
    </row>
    <row r="369" customFormat="false" ht="15.75" hidden="false" customHeight="false" outlineLevel="0" collapsed="false">
      <c r="A369" s="3" t="n">
        <f aca="false">IFERROR(__xludf.dummyfunction("""COMPUTED_VALUE"""),44729.6666666667)</f>
        <v>44729.6666666667</v>
      </c>
      <c r="B369" s="2" t="n">
        <f aca="false">IFERROR(__xludf.dummyfunction("""COMPUTED_VALUE"""),49.5)</f>
        <v>49.5</v>
      </c>
      <c r="C369" s="2" t="n">
        <f aca="false">IFERROR(__xludf.dummyfunction("""COMPUTED_VALUE"""),50.04)</f>
        <v>50.04</v>
      </c>
      <c r="D369" s="2" t="n">
        <f aca="false">IFERROR(__xludf.dummyfunction("""COMPUTED_VALUE"""),48.79)</f>
        <v>48.79</v>
      </c>
      <c r="E369" s="2" t="n">
        <f aca="false">IFERROR(__xludf.dummyfunction("""COMPUTED_VALUE"""),49.87)</f>
        <v>49.87</v>
      </c>
      <c r="F369" s="2" t="n">
        <f aca="false">IFERROR(__xludf.dummyfunction("""COMPUTED_VALUE"""),4350396)</f>
        <v>4350396</v>
      </c>
    </row>
    <row r="370" customFormat="false" ht="15.75" hidden="false" customHeight="false" outlineLevel="0" collapsed="false">
      <c r="A370" s="3" t="n">
        <f aca="false">IFERROR(__xludf.dummyfunction("""COMPUTED_VALUE"""),44733.6666666667)</f>
        <v>44733.6666666667</v>
      </c>
      <c r="B370" s="2" t="n">
        <f aca="false">IFERROR(__xludf.dummyfunction("""COMPUTED_VALUE"""),50.41)</f>
        <v>50.41</v>
      </c>
      <c r="C370" s="2" t="n">
        <f aca="false">IFERROR(__xludf.dummyfunction("""COMPUTED_VALUE"""),51.09)</f>
        <v>51.09</v>
      </c>
      <c r="D370" s="2" t="n">
        <f aca="false">IFERROR(__xludf.dummyfunction("""COMPUTED_VALUE"""),50.29)</f>
        <v>50.29</v>
      </c>
      <c r="E370" s="2" t="n">
        <f aca="false">IFERROR(__xludf.dummyfunction("""COMPUTED_VALUE"""),50.38)</f>
        <v>50.38</v>
      </c>
      <c r="F370" s="2" t="n">
        <f aca="false">IFERROR(__xludf.dummyfunction("""COMPUTED_VALUE"""),2190065)</f>
        <v>2190065</v>
      </c>
    </row>
    <row r="371" customFormat="false" ht="15.75" hidden="false" customHeight="false" outlineLevel="0" collapsed="false">
      <c r="A371" s="3" t="n">
        <f aca="false">IFERROR(__xludf.dummyfunction("""COMPUTED_VALUE"""),44734.6666666667)</f>
        <v>44734.6666666667</v>
      </c>
      <c r="B371" s="2" t="n">
        <f aca="false">IFERROR(__xludf.dummyfunction("""COMPUTED_VALUE"""),49.63)</f>
        <v>49.63</v>
      </c>
      <c r="C371" s="2" t="n">
        <f aca="false">IFERROR(__xludf.dummyfunction("""COMPUTED_VALUE"""),50.38)</f>
        <v>50.38</v>
      </c>
      <c r="D371" s="2" t="n">
        <f aca="false">IFERROR(__xludf.dummyfunction("""COMPUTED_VALUE"""),49.42)</f>
        <v>49.42</v>
      </c>
      <c r="E371" s="2" t="n">
        <f aca="false">IFERROR(__xludf.dummyfunction("""COMPUTED_VALUE"""),49.61)</f>
        <v>49.61</v>
      </c>
      <c r="F371" s="2" t="n">
        <f aca="false">IFERROR(__xludf.dummyfunction("""COMPUTED_VALUE"""),2472117)</f>
        <v>2472117</v>
      </c>
    </row>
    <row r="372" customFormat="false" ht="15.75" hidden="false" customHeight="false" outlineLevel="0" collapsed="false">
      <c r="A372" s="3" t="n">
        <f aca="false">IFERROR(__xludf.dummyfunction("""COMPUTED_VALUE"""),44735.6666666667)</f>
        <v>44735.6666666667</v>
      </c>
      <c r="B372" s="2" t="n">
        <f aca="false">IFERROR(__xludf.dummyfunction("""COMPUTED_VALUE"""),50.18)</f>
        <v>50.18</v>
      </c>
      <c r="C372" s="2" t="n">
        <f aca="false">IFERROR(__xludf.dummyfunction("""COMPUTED_VALUE"""),50.18)</f>
        <v>50.18</v>
      </c>
      <c r="D372" s="2" t="n">
        <f aca="false">IFERROR(__xludf.dummyfunction("""COMPUTED_VALUE"""),49.1)</f>
        <v>49.1</v>
      </c>
      <c r="E372" s="2" t="n">
        <f aca="false">IFERROR(__xludf.dummyfunction("""COMPUTED_VALUE"""),49.66)</f>
        <v>49.66</v>
      </c>
      <c r="F372" s="2" t="n">
        <f aca="false">IFERROR(__xludf.dummyfunction("""COMPUTED_VALUE"""),1670776)</f>
        <v>1670776</v>
      </c>
    </row>
    <row r="373" customFormat="false" ht="15.75" hidden="false" customHeight="false" outlineLevel="0" collapsed="false">
      <c r="A373" s="3" t="n">
        <f aca="false">IFERROR(__xludf.dummyfunction("""COMPUTED_VALUE"""),44736.6666666667)</f>
        <v>44736.6666666667</v>
      </c>
      <c r="B373" s="2" t="n">
        <f aca="false">IFERROR(__xludf.dummyfunction("""COMPUTED_VALUE"""),50.5)</f>
        <v>50.5</v>
      </c>
      <c r="C373" s="2" t="n">
        <f aca="false">IFERROR(__xludf.dummyfunction("""COMPUTED_VALUE"""),51.18)</f>
        <v>51.18</v>
      </c>
      <c r="D373" s="2" t="n">
        <f aca="false">IFERROR(__xludf.dummyfunction("""COMPUTED_VALUE"""),50.14)</f>
        <v>50.14</v>
      </c>
      <c r="E373" s="2" t="n">
        <f aca="false">IFERROR(__xludf.dummyfunction("""COMPUTED_VALUE"""),50.91)</f>
        <v>50.91</v>
      </c>
      <c r="F373" s="2" t="n">
        <f aca="false">IFERROR(__xludf.dummyfunction("""COMPUTED_VALUE"""),2120140)</f>
        <v>2120140</v>
      </c>
    </row>
    <row r="374" customFormat="false" ht="15.75" hidden="false" customHeight="false" outlineLevel="0" collapsed="false">
      <c r="A374" s="3" t="n">
        <f aca="false">IFERROR(__xludf.dummyfunction("""COMPUTED_VALUE"""),44739.6666666667)</f>
        <v>44739.6666666667</v>
      </c>
      <c r="B374" s="2" t="n">
        <f aca="false">IFERROR(__xludf.dummyfunction("""COMPUTED_VALUE"""),51.38)</f>
        <v>51.38</v>
      </c>
      <c r="C374" s="2" t="n">
        <f aca="false">IFERROR(__xludf.dummyfunction("""COMPUTED_VALUE"""),51.4)</f>
        <v>51.4</v>
      </c>
      <c r="D374" s="2" t="n">
        <f aca="false">IFERROR(__xludf.dummyfunction("""COMPUTED_VALUE"""),50.28)</f>
        <v>50.28</v>
      </c>
      <c r="E374" s="2" t="n">
        <f aca="false">IFERROR(__xludf.dummyfunction("""COMPUTED_VALUE"""),50.57)</f>
        <v>50.57</v>
      </c>
      <c r="F374" s="2" t="n">
        <f aca="false">IFERROR(__xludf.dummyfunction("""COMPUTED_VALUE"""),1320718)</f>
        <v>1320718</v>
      </c>
    </row>
    <row r="375" customFormat="false" ht="15.75" hidden="false" customHeight="false" outlineLevel="0" collapsed="false">
      <c r="A375" s="3" t="n">
        <f aca="false">IFERROR(__xludf.dummyfunction("""COMPUTED_VALUE"""),44740.6666666667)</f>
        <v>44740.6666666667</v>
      </c>
      <c r="B375" s="2" t="n">
        <f aca="false">IFERROR(__xludf.dummyfunction("""COMPUTED_VALUE"""),51.26)</f>
        <v>51.26</v>
      </c>
      <c r="C375" s="2" t="n">
        <f aca="false">IFERROR(__xludf.dummyfunction("""COMPUTED_VALUE"""),51.42)</f>
        <v>51.42</v>
      </c>
      <c r="D375" s="2" t="n">
        <f aca="false">IFERROR(__xludf.dummyfunction("""COMPUTED_VALUE"""),49.81)</f>
        <v>49.81</v>
      </c>
      <c r="E375" s="2" t="n">
        <f aca="false">IFERROR(__xludf.dummyfunction("""COMPUTED_VALUE"""),49.85)</f>
        <v>49.85</v>
      </c>
      <c r="F375" s="2" t="n">
        <f aca="false">IFERROR(__xludf.dummyfunction("""COMPUTED_VALUE"""),1566904)</f>
        <v>1566904</v>
      </c>
    </row>
    <row r="376" customFormat="false" ht="15.75" hidden="false" customHeight="false" outlineLevel="0" collapsed="false">
      <c r="A376" s="3" t="n">
        <f aca="false">IFERROR(__xludf.dummyfunction("""COMPUTED_VALUE"""),44741.6666666667)</f>
        <v>44741.6666666667</v>
      </c>
      <c r="B376" s="2" t="n">
        <f aca="false">IFERROR(__xludf.dummyfunction("""COMPUTED_VALUE"""),49.55)</f>
        <v>49.55</v>
      </c>
      <c r="C376" s="2" t="n">
        <f aca="false">IFERROR(__xludf.dummyfunction("""COMPUTED_VALUE"""),49.59)</f>
        <v>49.59</v>
      </c>
      <c r="D376" s="2" t="n">
        <f aca="false">IFERROR(__xludf.dummyfunction("""COMPUTED_VALUE"""),48.67)</f>
        <v>48.67</v>
      </c>
      <c r="E376" s="2" t="n">
        <f aca="false">IFERROR(__xludf.dummyfunction("""COMPUTED_VALUE"""),49.04)</f>
        <v>49.04</v>
      </c>
      <c r="F376" s="2" t="n">
        <f aca="false">IFERROR(__xludf.dummyfunction("""COMPUTED_VALUE"""),1444397)</f>
        <v>1444397</v>
      </c>
    </row>
    <row r="377" customFormat="false" ht="15.75" hidden="false" customHeight="false" outlineLevel="0" collapsed="false">
      <c r="A377" s="3" t="n">
        <f aca="false">IFERROR(__xludf.dummyfunction("""COMPUTED_VALUE"""),44742.6666666667)</f>
        <v>44742.6666666667</v>
      </c>
      <c r="B377" s="2" t="n">
        <f aca="false">IFERROR(__xludf.dummyfunction("""COMPUTED_VALUE"""),48.8)</f>
        <v>48.8</v>
      </c>
      <c r="C377" s="2" t="n">
        <f aca="false">IFERROR(__xludf.dummyfunction("""COMPUTED_VALUE"""),49.37)</f>
        <v>49.37</v>
      </c>
      <c r="D377" s="2" t="n">
        <f aca="false">IFERROR(__xludf.dummyfunction("""COMPUTED_VALUE"""),48.07)</f>
        <v>48.07</v>
      </c>
      <c r="E377" s="2" t="n">
        <f aca="false">IFERROR(__xludf.dummyfunction("""COMPUTED_VALUE"""),48.58)</f>
        <v>48.58</v>
      </c>
      <c r="F377" s="2" t="n">
        <f aca="false">IFERROR(__xludf.dummyfunction("""COMPUTED_VALUE"""),1888997)</f>
        <v>1888997</v>
      </c>
    </row>
    <row r="378" customFormat="false" ht="15.75" hidden="false" customHeight="false" outlineLevel="0" collapsed="false">
      <c r="A378" s="3" t="n">
        <f aca="false">IFERROR(__xludf.dummyfunction("""COMPUTED_VALUE"""),44743.6666666667)</f>
        <v>44743.6666666667</v>
      </c>
      <c r="B378" s="2" t="n">
        <f aca="false">IFERROR(__xludf.dummyfunction("""COMPUTED_VALUE"""),47.94)</f>
        <v>47.94</v>
      </c>
      <c r="C378" s="2" t="n">
        <f aca="false">IFERROR(__xludf.dummyfunction("""COMPUTED_VALUE"""),48.43)</f>
        <v>48.43</v>
      </c>
      <c r="D378" s="2" t="n">
        <f aca="false">IFERROR(__xludf.dummyfunction("""COMPUTED_VALUE"""),46.94)</f>
        <v>46.94</v>
      </c>
      <c r="E378" s="2" t="n">
        <f aca="false">IFERROR(__xludf.dummyfunction("""COMPUTED_VALUE"""),47.78)</f>
        <v>47.78</v>
      </c>
      <c r="F378" s="2" t="n">
        <f aca="false">IFERROR(__xludf.dummyfunction("""COMPUTED_VALUE"""),2131693)</f>
        <v>2131693</v>
      </c>
    </row>
    <row r="379" customFormat="false" ht="15.75" hidden="false" customHeight="false" outlineLevel="0" collapsed="false">
      <c r="A379" s="3" t="n">
        <f aca="false">IFERROR(__xludf.dummyfunction("""COMPUTED_VALUE"""),44747.6666666667)</f>
        <v>44747.6666666667</v>
      </c>
      <c r="B379" s="2" t="n">
        <f aca="false">IFERROR(__xludf.dummyfunction("""COMPUTED_VALUE"""),47.2)</f>
        <v>47.2</v>
      </c>
      <c r="C379" s="2" t="n">
        <f aca="false">IFERROR(__xludf.dummyfunction("""COMPUTED_VALUE"""),47.69)</f>
        <v>47.69</v>
      </c>
      <c r="D379" s="2" t="n">
        <f aca="false">IFERROR(__xludf.dummyfunction("""COMPUTED_VALUE"""),46.39)</f>
        <v>46.39</v>
      </c>
      <c r="E379" s="2" t="n">
        <f aca="false">IFERROR(__xludf.dummyfunction("""COMPUTED_VALUE"""),47.63)</f>
        <v>47.63</v>
      </c>
      <c r="F379" s="2" t="n">
        <f aca="false">IFERROR(__xludf.dummyfunction("""COMPUTED_VALUE"""),2071600)</f>
        <v>2071600</v>
      </c>
    </row>
    <row r="380" customFormat="false" ht="15.75" hidden="false" customHeight="false" outlineLevel="0" collapsed="false">
      <c r="A380" s="3" t="n">
        <f aca="false">IFERROR(__xludf.dummyfunction("""COMPUTED_VALUE"""),44748.6666666667)</f>
        <v>44748.6666666667</v>
      </c>
      <c r="B380" s="2" t="n">
        <f aca="false">IFERROR(__xludf.dummyfunction("""COMPUTED_VALUE"""),48.05)</f>
        <v>48.05</v>
      </c>
      <c r="C380" s="2" t="n">
        <f aca="false">IFERROR(__xludf.dummyfunction("""COMPUTED_VALUE"""),48.71)</f>
        <v>48.71</v>
      </c>
      <c r="D380" s="2" t="n">
        <f aca="false">IFERROR(__xludf.dummyfunction("""COMPUTED_VALUE"""),47.55)</f>
        <v>47.55</v>
      </c>
      <c r="E380" s="2" t="n">
        <f aca="false">IFERROR(__xludf.dummyfunction("""COMPUTED_VALUE"""),48.26)</f>
        <v>48.26</v>
      </c>
      <c r="F380" s="2" t="n">
        <f aca="false">IFERROR(__xludf.dummyfunction("""COMPUTED_VALUE"""),2297599)</f>
        <v>2297599</v>
      </c>
    </row>
    <row r="381" customFormat="false" ht="15.75" hidden="false" customHeight="false" outlineLevel="0" collapsed="false">
      <c r="A381" s="3" t="n">
        <f aca="false">IFERROR(__xludf.dummyfunction("""COMPUTED_VALUE"""),44749.6666666667)</f>
        <v>44749.6666666667</v>
      </c>
      <c r="B381" s="2" t="n">
        <f aca="false">IFERROR(__xludf.dummyfunction("""COMPUTED_VALUE"""),48.81)</f>
        <v>48.81</v>
      </c>
      <c r="C381" s="2" t="n">
        <f aca="false">IFERROR(__xludf.dummyfunction("""COMPUTED_VALUE"""),50.14)</f>
        <v>50.14</v>
      </c>
      <c r="D381" s="2" t="n">
        <f aca="false">IFERROR(__xludf.dummyfunction("""COMPUTED_VALUE"""),48.81)</f>
        <v>48.81</v>
      </c>
      <c r="E381" s="2" t="n">
        <f aca="false">IFERROR(__xludf.dummyfunction("""COMPUTED_VALUE"""),49.85)</f>
        <v>49.85</v>
      </c>
      <c r="F381" s="2" t="n">
        <f aca="false">IFERROR(__xludf.dummyfunction("""COMPUTED_VALUE"""),2131887)</f>
        <v>2131887</v>
      </c>
    </row>
    <row r="382" customFormat="false" ht="15.75" hidden="false" customHeight="false" outlineLevel="0" collapsed="false">
      <c r="A382" s="3" t="n">
        <f aca="false">IFERROR(__xludf.dummyfunction("""COMPUTED_VALUE"""),44750.6666666667)</f>
        <v>44750.6666666667</v>
      </c>
      <c r="B382" s="2" t="n">
        <f aca="false">IFERROR(__xludf.dummyfunction("""COMPUTED_VALUE"""),49.3)</f>
        <v>49.3</v>
      </c>
      <c r="C382" s="2" t="n">
        <f aca="false">IFERROR(__xludf.dummyfunction("""COMPUTED_VALUE"""),49.96)</f>
        <v>49.96</v>
      </c>
      <c r="D382" s="2" t="n">
        <f aca="false">IFERROR(__xludf.dummyfunction("""COMPUTED_VALUE"""),49)</f>
        <v>49</v>
      </c>
      <c r="E382" s="2" t="n">
        <f aca="false">IFERROR(__xludf.dummyfunction("""COMPUTED_VALUE"""),49.87)</f>
        <v>49.87</v>
      </c>
      <c r="F382" s="2" t="n">
        <f aca="false">IFERROR(__xludf.dummyfunction("""COMPUTED_VALUE"""),1271338)</f>
        <v>1271338</v>
      </c>
    </row>
    <row r="383" customFormat="false" ht="15.75" hidden="false" customHeight="false" outlineLevel="0" collapsed="false">
      <c r="A383" s="3" t="n">
        <f aca="false">IFERROR(__xludf.dummyfunction("""COMPUTED_VALUE"""),44753.6666666667)</f>
        <v>44753.6666666667</v>
      </c>
      <c r="B383" s="2" t="n">
        <f aca="false">IFERROR(__xludf.dummyfunction("""COMPUTED_VALUE"""),48.95)</f>
        <v>48.95</v>
      </c>
      <c r="C383" s="2" t="n">
        <f aca="false">IFERROR(__xludf.dummyfunction("""COMPUTED_VALUE"""),49.16)</f>
        <v>49.16</v>
      </c>
      <c r="D383" s="2" t="n">
        <f aca="false">IFERROR(__xludf.dummyfunction("""COMPUTED_VALUE"""),48.1)</f>
        <v>48.1</v>
      </c>
      <c r="E383" s="2" t="n">
        <f aca="false">IFERROR(__xludf.dummyfunction("""COMPUTED_VALUE"""),48.29)</f>
        <v>48.29</v>
      </c>
      <c r="F383" s="2" t="n">
        <f aca="false">IFERROR(__xludf.dummyfunction("""COMPUTED_VALUE"""),2148141)</f>
        <v>2148141</v>
      </c>
    </row>
    <row r="384" customFormat="false" ht="15.75" hidden="false" customHeight="false" outlineLevel="0" collapsed="false">
      <c r="A384" s="3" t="n">
        <f aca="false">IFERROR(__xludf.dummyfunction("""COMPUTED_VALUE"""),44754.6666666667)</f>
        <v>44754.6666666667</v>
      </c>
      <c r="B384" s="2" t="n">
        <f aca="false">IFERROR(__xludf.dummyfunction("""COMPUTED_VALUE"""),48.78)</f>
        <v>48.78</v>
      </c>
      <c r="C384" s="2" t="n">
        <f aca="false">IFERROR(__xludf.dummyfunction("""COMPUTED_VALUE"""),49.26)</f>
        <v>49.26</v>
      </c>
      <c r="D384" s="2" t="n">
        <f aca="false">IFERROR(__xludf.dummyfunction("""COMPUTED_VALUE"""),48.01)</f>
        <v>48.01</v>
      </c>
      <c r="E384" s="2" t="n">
        <f aca="false">IFERROR(__xludf.dummyfunction("""COMPUTED_VALUE"""),48.14)</f>
        <v>48.14</v>
      </c>
      <c r="F384" s="2" t="n">
        <f aca="false">IFERROR(__xludf.dummyfunction("""COMPUTED_VALUE"""),2116095)</f>
        <v>2116095</v>
      </c>
    </row>
    <row r="385" customFormat="false" ht="15.75" hidden="false" customHeight="false" outlineLevel="0" collapsed="false">
      <c r="A385" s="3" t="n">
        <f aca="false">IFERROR(__xludf.dummyfunction("""COMPUTED_VALUE"""),44755.6666666667)</f>
        <v>44755.6666666667</v>
      </c>
      <c r="B385" s="2" t="n">
        <f aca="false">IFERROR(__xludf.dummyfunction("""COMPUTED_VALUE"""),47.5)</f>
        <v>47.5</v>
      </c>
      <c r="C385" s="2" t="n">
        <f aca="false">IFERROR(__xludf.dummyfunction("""COMPUTED_VALUE"""),48.56)</f>
        <v>48.56</v>
      </c>
      <c r="D385" s="2" t="n">
        <f aca="false">IFERROR(__xludf.dummyfunction("""COMPUTED_VALUE"""),47.23)</f>
        <v>47.23</v>
      </c>
      <c r="E385" s="2" t="n">
        <f aca="false">IFERROR(__xludf.dummyfunction("""COMPUTED_VALUE"""),48.17)</f>
        <v>48.17</v>
      </c>
      <c r="F385" s="2" t="n">
        <f aca="false">IFERROR(__xludf.dummyfunction("""COMPUTED_VALUE"""),1766746)</f>
        <v>1766746</v>
      </c>
    </row>
    <row r="386" customFormat="false" ht="15.75" hidden="false" customHeight="false" outlineLevel="0" collapsed="false">
      <c r="A386" s="3" t="n">
        <f aca="false">IFERROR(__xludf.dummyfunction("""COMPUTED_VALUE"""),44756.6666666667)</f>
        <v>44756.6666666667</v>
      </c>
      <c r="B386" s="2" t="n">
        <f aca="false">IFERROR(__xludf.dummyfunction("""COMPUTED_VALUE"""),48.25)</f>
        <v>48.25</v>
      </c>
      <c r="C386" s="2" t="n">
        <f aca="false">IFERROR(__xludf.dummyfunction("""COMPUTED_VALUE"""),48.67)</f>
        <v>48.67</v>
      </c>
      <c r="D386" s="2" t="n">
        <f aca="false">IFERROR(__xludf.dummyfunction("""COMPUTED_VALUE"""),47.34)</f>
        <v>47.34</v>
      </c>
      <c r="E386" s="2" t="n">
        <f aca="false">IFERROR(__xludf.dummyfunction("""COMPUTED_VALUE"""),48.46)</f>
        <v>48.46</v>
      </c>
      <c r="F386" s="2" t="n">
        <f aca="false">IFERROR(__xludf.dummyfunction("""COMPUTED_VALUE"""),1995682)</f>
        <v>1995682</v>
      </c>
    </row>
    <row r="387" customFormat="false" ht="15.75" hidden="false" customHeight="false" outlineLevel="0" collapsed="false">
      <c r="A387" s="3" t="n">
        <f aca="false">IFERROR(__xludf.dummyfunction("""COMPUTED_VALUE"""),44757.6666666667)</f>
        <v>44757.6666666667</v>
      </c>
      <c r="B387" s="2" t="n">
        <f aca="false">IFERROR(__xludf.dummyfunction("""COMPUTED_VALUE"""),49.08)</f>
        <v>49.08</v>
      </c>
      <c r="C387" s="2" t="n">
        <f aca="false">IFERROR(__xludf.dummyfunction("""COMPUTED_VALUE"""),49.47)</f>
        <v>49.47</v>
      </c>
      <c r="D387" s="2" t="n">
        <f aca="false">IFERROR(__xludf.dummyfunction("""COMPUTED_VALUE"""),48.61)</f>
        <v>48.61</v>
      </c>
      <c r="E387" s="2" t="n">
        <f aca="false">IFERROR(__xludf.dummyfunction("""COMPUTED_VALUE"""),49.45)</f>
        <v>49.45</v>
      </c>
      <c r="F387" s="2" t="n">
        <f aca="false">IFERROR(__xludf.dummyfunction("""COMPUTED_VALUE"""),1871375)</f>
        <v>1871375</v>
      </c>
    </row>
    <row r="388" customFormat="false" ht="15.75" hidden="false" customHeight="false" outlineLevel="0" collapsed="false">
      <c r="A388" s="3" t="n">
        <f aca="false">IFERROR(__xludf.dummyfunction("""COMPUTED_VALUE"""),44760.6666666667)</f>
        <v>44760.6666666667</v>
      </c>
      <c r="B388" s="2" t="n">
        <f aca="false">IFERROR(__xludf.dummyfunction("""COMPUTED_VALUE"""),50.02)</f>
        <v>50.02</v>
      </c>
      <c r="C388" s="2" t="n">
        <f aca="false">IFERROR(__xludf.dummyfunction("""COMPUTED_VALUE"""),50.24)</f>
        <v>50.24</v>
      </c>
      <c r="D388" s="2" t="n">
        <f aca="false">IFERROR(__xludf.dummyfunction("""COMPUTED_VALUE"""),48.82)</f>
        <v>48.82</v>
      </c>
      <c r="E388" s="2" t="n">
        <f aca="false">IFERROR(__xludf.dummyfunction("""COMPUTED_VALUE"""),49.11)</f>
        <v>49.11</v>
      </c>
      <c r="F388" s="2" t="n">
        <f aca="false">IFERROR(__xludf.dummyfunction("""COMPUTED_VALUE"""),1804234)</f>
        <v>1804234</v>
      </c>
    </row>
    <row r="389" customFormat="false" ht="15.75" hidden="false" customHeight="false" outlineLevel="0" collapsed="false">
      <c r="A389" s="3" t="n">
        <f aca="false">IFERROR(__xludf.dummyfunction("""COMPUTED_VALUE"""),44761.6666666667)</f>
        <v>44761.6666666667</v>
      </c>
      <c r="B389" s="2" t="n">
        <f aca="false">IFERROR(__xludf.dummyfunction("""COMPUTED_VALUE"""),49.68)</f>
        <v>49.68</v>
      </c>
      <c r="C389" s="2" t="n">
        <f aca="false">IFERROR(__xludf.dummyfunction("""COMPUTED_VALUE"""),51.14)</f>
        <v>51.14</v>
      </c>
      <c r="D389" s="2" t="n">
        <f aca="false">IFERROR(__xludf.dummyfunction("""COMPUTED_VALUE"""),49.59)</f>
        <v>49.59</v>
      </c>
      <c r="E389" s="2" t="n">
        <f aca="false">IFERROR(__xludf.dummyfunction("""COMPUTED_VALUE"""),50.9)</f>
        <v>50.9</v>
      </c>
      <c r="F389" s="2" t="n">
        <f aca="false">IFERROR(__xludf.dummyfunction("""COMPUTED_VALUE"""),2725707)</f>
        <v>2725707</v>
      </c>
    </row>
    <row r="390" customFormat="false" ht="15.75" hidden="false" customHeight="false" outlineLevel="0" collapsed="false">
      <c r="A390" s="3" t="n">
        <f aca="false">IFERROR(__xludf.dummyfunction("""COMPUTED_VALUE"""),44762.6666666667)</f>
        <v>44762.6666666667</v>
      </c>
      <c r="B390" s="2" t="n">
        <f aca="false">IFERROR(__xludf.dummyfunction("""COMPUTED_VALUE"""),50.95)</f>
        <v>50.95</v>
      </c>
      <c r="C390" s="2" t="n">
        <f aca="false">IFERROR(__xludf.dummyfunction("""COMPUTED_VALUE"""),51.76)</f>
        <v>51.76</v>
      </c>
      <c r="D390" s="2" t="n">
        <f aca="false">IFERROR(__xludf.dummyfunction("""COMPUTED_VALUE"""),50.45)</f>
        <v>50.45</v>
      </c>
      <c r="E390" s="2" t="n">
        <f aca="false">IFERROR(__xludf.dummyfunction("""COMPUTED_VALUE"""),51.18)</f>
        <v>51.18</v>
      </c>
      <c r="F390" s="2" t="n">
        <f aca="false">IFERROR(__xludf.dummyfunction("""COMPUTED_VALUE"""),2741173)</f>
        <v>2741173</v>
      </c>
    </row>
    <row r="391" customFormat="false" ht="15.75" hidden="false" customHeight="false" outlineLevel="0" collapsed="false">
      <c r="A391" s="3" t="n">
        <f aca="false">IFERROR(__xludf.dummyfunction("""COMPUTED_VALUE"""),44763.6666666667)</f>
        <v>44763.6666666667</v>
      </c>
      <c r="B391" s="2" t="n">
        <f aca="false">IFERROR(__xludf.dummyfunction("""COMPUTED_VALUE"""),51.26)</f>
        <v>51.26</v>
      </c>
      <c r="C391" s="2" t="n">
        <f aca="false">IFERROR(__xludf.dummyfunction("""COMPUTED_VALUE"""),51.78)</f>
        <v>51.78</v>
      </c>
      <c r="D391" s="2" t="n">
        <f aca="false">IFERROR(__xludf.dummyfunction("""COMPUTED_VALUE"""),50.6)</f>
        <v>50.6</v>
      </c>
      <c r="E391" s="2" t="n">
        <f aca="false">IFERROR(__xludf.dummyfunction("""COMPUTED_VALUE"""),51.77)</f>
        <v>51.77</v>
      </c>
      <c r="F391" s="2" t="n">
        <f aca="false">IFERROR(__xludf.dummyfunction("""COMPUTED_VALUE"""),1391150)</f>
        <v>1391150</v>
      </c>
    </row>
    <row r="392" customFormat="false" ht="15.75" hidden="false" customHeight="false" outlineLevel="0" collapsed="false">
      <c r="A392" s="3" t="n">
        <f aca="false">IFERROR(__xludf.dummyfunction("""COMPUTED_VALUE"""),44764.6666666667)</f>
        <v>44764.6666666667</v>
      </c>
      <c r="B392" s="2" t="n">
        <f aca="false">IFERROR(__xludf.dummyfunction("""COMPUTED_VALUE"""),51.88)</f>
        <v>51.88</v>
      </c>
      <c r="C392" s="2" t="n">
        <f aca="false">IFERROR(__xludf.dummyfunction("""COMPUTED_VALUE"""),51.98)</f>
        <v>51.98</v>
      </c>
      <c r="D392" s="2" t="n">
        <f aca="false">IFERROR(__xludf.dummyfunction("""COMPUTED_VALUE"""),50.67)</f>
        <v>50.67</v>
      </c>
      <c r="E392" s="2" t="n">
        <f aca="false">IFERROR(__xludf.dummyfunction("""COMPUTED_VALUE"""),51.25)</f>
        <v>51.25</v>
      </c>
      <c r="F392" s="2" t="n">
        <f aca="false">IFERROR(__xludf.dummyfunction("""COMPUTED_VALUE"""),1786684)</f>
        <v>1786684</v>
      </c>
    </row>
    <row r="393" customFormat="false" ht="15.75" hidden="false" customHeight="false" outlineLevel="0" collapsed="false">
      <c r="A393" s="3" t="n">
        <f aca="false">IFERROR(__xludf.dummyfunction("""COMPUTED_VALUE"""),44767.6666666667)</f>
        <v>44767.6666666667</v>
      </c>
      <c r="B393" s="2" t="n">
        <f aca="false">IFERROR(__xludf.dummyfunction("""COMPUTED_VALUE"""),51.05)</f>
        <v>51.05</v>
      </c>
      <c r="C393" s="2" t="n">
        <f aca="false">IFERROR(__xludf.dummyfunction("""COMPUTED_VALUE"""),51.33)</f>
        <v>51.33</v>
      </c>
      <c r="D393" s="2" t="n">
        <f aca="false">IFERROR(__xludf.dummyfunction("""COMPUTED_VALUE"""),50.65)</f>
        <v>50.65</v>
      </c>
      <c r="E393" s="2" t="n">
        <f aca="false">IFERROR(__xludf.dummyfunction("""COMPUTED_VALUE"""),51.31)</f>
        <v>51.31</v>
      </c>
      <c r="F393" s="2" t="n">
        <f aca="false">IFERROR(__xludf.dummyfunction("""COMPUTED_VALUE"""),1506053)</f>
        <v>1506053</v>
      </c>
    </row>
    <row r="394" customFormat="false" ht="15.75" hidden="false" customHeight="false" outlineLevel="0" collapsed="false">
      <c r="A394" s="3" t="n">
        <f aca="false">IFERROR(__xludf.dummyfunction("""COMPUTED_VALUE"""),44768.6666666667)</f>
        <v>44768.6666666667</v>
      </c>
      <c r="B394" s="2" t="n">
        <f aca="false">IFERROR(__xludf.dummyfunction("""COMPUTED_VALUE"""),51.46)</f>
        <v>51.46</v>
      </c>
      <c r="C394" s="2" t="n">
        <f aca="false">IFERROR(__xludf.dummyfunction("""COMPUTED_VALUE"""),51.68)</f>
        <v>51.68</v>
      </c>
      <c r="D394" s="2" t="n">
        <f aca="false">IFERROR(__xludf.dummyfunction("""COMPUTED_VALUE"""),50.89)</f>
        <v>50.89</v>
      </c>
      <c r="E394" s="2" t="n">
        <f aca="false">IFERROR(__xludf.dummyfunction("""COMPUTED_VALUE"""),51.11)</f>
        <v>51.11</v>
      </c>
      <c r="F394" s="2" t="n">
        <f aca="false">IFERROR(__xludf.dummyfunction("""COMPUTED_VALUE"""),1795782)</f>
        <v>1795782</v>
      </c>
    </row>
    <row r="395" customFormat="false" ht="15.75" hidden="false" customHeight="false" outlineLevel="0" collapsed="false">
      <c r="A395" s="3" t="n">
        <f aca="false">IFERROR(__xludf.dummyfunction("""COMPUTED_VALUE"""),44769.6666666667)</f>
        <v>44769.6666666667</v>
      </c>
      <c r="B395" s="2" t="n">
        <f aca="false">IFERROR(__xludf.dummyfunction("""COMPUTED_VALUE"""),51.82)</f>
        <v>51.82</v>
      </c>
      <c r="C395" s="2" t="n">
        <f aca="false">IFERROR(__xludf.dummyfunction("""COMPUTED_VALUE"""),53.02)</f>
        <v>53.02</v>
      </c>
      <c r="D395" s="2" t="n">
        <f aca="false">IFERROR(__xludf.dummyfunction("""COMPUTED_VALUE"""),51.69)</f>
        <v>51.69</v>
      </c>
      <c r="E395" s="2" t="n">
        <f aca="false">IFERROR(__xludf.dummyfunction("""COMPUTED_VALUE"""),52.78)</f>
        <v>52.78</v>
      </c>
      <c r="F395" s="2" t="n">
        <f aca="false">IFERROR(__xludf.dummyfunction("""COMPUTED_VALUE"""),2552844)</f>
        <v>2552844</v>
      </c>
    </row>
    <row r="396" customFormat="false" ht="15.75" hidden="false" customHeight="false" outlineLevel="0" collapsed="false">
      <c r="A396" s="3" t="n">
        <f aca="false">IFERROR(__xludf.dummyfunction("""COMPUTED_VALUE"""),44770.6666666667)</f>
        <v>44770.6666666667</v>
      </c>
      <c r="B396" s="2" t="n">
        <f aca="false">IFERROR(__xludf.dummyfunction("""COMPUTED_VALUE"""),52.86)</f>
        <v>52.86</v>
      </c>
      <c r="C396" s="2" t="n">
        <f aca="false">IFERROR(__xludf.dummyfunction("""COMPUTED_VALUE"""),53.65)</f>
        <v>53.65</v>
      </c>
      <c r="D396" s="2" t="n">
        <f aca="false">IFERROR(__xludf.dummyfunction("""COMPUTED_VALUE"""),52.06)</f>
        <v>52.06</v>
      </c>
      <c r="E396" s="2" t="n">
        <f aca="false">IFERROR(__xludf.dummyfunction("""COMPUTED_VALUE"""),53.36)</f>
        <v>53.36</v>
      </c>
      <c r="F396" s="2" t="n">
        <f aca="false">IFERROR(__xludf.dummyfunction("""COMPUTED_VALUE"""),1486745)</f>
        <v>1486745</v>
      </c>
    </row>
    <row r="397" customFormat="false" ht="15.75" hidden="false" customHeight="false" outlineLevel="0" collapsed="false">
      <c r="A397" s="3" t="n">
        <f aca="false">IFERROR(__xludf.dummyfunction("""COMPUTED_VALUE"""),44771.6666666667)</f>
        <v>44771.6666666667</v>
      </c>
      <c r="B397" s="2" t="n">
        <f aca="false">IFERROR(__xludf.dummyfunction("""COMPUTED_VALUE"""),53.2)</f>
        <v>53.2</v>
      </c>
      <c r="C397" s="2" t="n">
        <f aca="false">IFERROR(__xludf.dummyfunction("""COMPUTED_VALUE"""),53.78)</f>
        <v>53.78</v>
      </c>
      <c r="D397" s="2" t="n">
        <f aca="false">IFERROR(__xludf.dummyfunction("""COMPUTED_VALUE"""),53.03)</f>
        <v>53.03</v>
      </c>
      <c r="E397" s="2" t="n">
        <f aca="false">IFERROR(__xludf.dummyfunction("""COMPUTED_VALUE"""),53.55)</f>
        <v>53.55</v>
      </c>
      <c r="F397" s="2" t="n">
        <f aca="false">IFERROR(__xludf.dummyfunction("""COMPUTED_VALUE"""),1848287)</f>
        <v>1848287</v>
      </c>
    </row>
    <row r="398" customFormat="false" ht="15.75" hidden="false" customHeight="false" outlineLevel="0" collapsed="false">
      <c r="A398" s="3" t="n">
        <f aca="false">IFERROR(__xludf.dummyfunction("""COMPUTED_VALUE"""),44774.6666666667)</f>
        <v>44774.6666666667</v>
      </c>
      <c r="B398" s="2" t="n">
        <f aca="false">IFERROR(__xludf.dummyfunction("""COMPUTED_VALUE"""),53.14)</f>
        <v>53.14</v>
      </c>
      <c r="C398" s="2" t="n">
        <f aca="false">IFERROR(__xludf.dummyfunction("""COMPUTED_VALUE"""),53.98)</f>
        <v>53.98</v>
      </c>
      <c r="D398" s="2" t="n">
        <f aca="false">IFERROR(__xludf.dummyfunction("""COMPUTED_VALUE"""),53.04)</f>
        <v>53.04</v>
      </c>
      <c r="E398" s="2" t="n">
        <f aca="false">IFERROR(__xludf.dummyfunction("""COMPUTED_VALUE"""),53.64)</f>
        <v>53.64</v>
      </c>
      <c r="F398" s="2" t="n">
        <f aca="false">IFERROR(__xludf.dummyfunction("""COMPUTED_VALUE"""),1148539)</f>
        <v>1148539</v>
      </c>
    </row>
    <row r="399" customFormat="false" ht="15.75" hidden="false" customHeight="false" outlineLevel="0" collapsed="false">
      <c r="A399" s="3" t="n">
        <f aca="false">IFERROR(__xludf.dummyfunction("""COMPUTED_VALUE"""),44775.6666666667)</f>
        <v>44775.6666666667</v>
      </c>
      <c r="B399" s="2" t="n">
        <f aca="false">IFERROR(__xludf.dummyfunction("""COMPUTED_VALUE"""),53.32)</f>
        <v>53.32</v>
      </c>
      <c r="C399" s="2" t="n">
        <f aca="false">IFERROR(__xludf.dummyfunction("""COMPUTED_VALUE"""),53.92)</f>
        <v>53.92</v>
      </c>
      <c r="D399" s="2" t="n">
        <f aca="false">IFERROR(__xludf.dummyfunction("""COMPUTED_VALUE"""),52.72)</f>
        <v>52.72</v>
      </c>
      <c r="E399" s="2" t="n">
        <f aca="false">IFERROR(__xludf.dummyfunction("""COMPUTED_VALUE"""),53.12)</f>
        <v>53.12</v>
      </c>
      <c r="F399" s="2" t="n">
        <f aca="false">IFERROR(__xludf.dummyfunction("""COMPUTED_VALUE"""),1307231)</f>
        <v>1307231</v>
      </c>
    </row>
    <row r="400" customFormat="false" ht="15.75" hidden="false" customHeight="false" outlineLevel="0" collapsed="false">
      <c r="A400" s="3" t="n">
        <f aca="false">IFERROR(__xludf.dummyfunction("""COMPUTED_VALUE"""),44776.6666666667)</f>
        <v>44776.6666666667</v>
      </c>
      <c r="B400" s="2" t="n">
        <f aca="false">IFERROR(__xludf.dummyfunction("""COMPUTED_VALUE"""),53.53)</f>
        <v>53.53</v>
      </c>
      <c r="C400" s="2" t="n">
        <f aca="false">IFERROR(__xludf.dummyfunction("""COMPUTED_VALUE"""),54.8)</f>
        <v>54.8</v>
      </c>
      <c r="D400" s="2" t="n">
        <f aca="false">IFERROR(__xludf.dummyfunction("""COMPUTED_VALUE"""),53.41)</f>
        <v>53.41</v>
      </c>
      <c r="E400" s="2" t="n">
        <f aca="false">IFERROR(__xludf.dummyfunction("""COMPUTED_VALUE"""),54.67)</f>
        <v>54.67</v>
      </c>
      <c r="F400" s="2" t="n">
        <f aca="false">IFERROR(__xludf.dummyfunction("""COMPUTED_VALUE"""),1922816)</f>
        <v>1922816</v>
      </c>
    </row>
    <row r="401" customFormat="false" ht="15.75" hidden="false" customHeight="false" outlineLevel="0" collapsed="false">
      <c r="A401" s="3" t="n">
        <f aca="false">IFERROR(__xludf.dummyfunction("""COMPUTED_VALUE"""),44777.6666666667)</f>
        <v>44777.6666666667</v>
      </c>
      <c r="B401" s="2" t="n">
        <f aca="false">IFERROR(__xludf.dummyfunction("""COMPUTED_VALUE"""),54.84)</f>
        <v>54.84</v>
      </c>
      <c r="C401" s="2" t="n">
        <f aca="false">IFERROR(__xludf.dummyfunction("""COMPUTED_VALUE"""),55.32)</f>
        <v>55.32</v>
      </c>
      <c r="D401" s="2" t="n">
        <f aca="false">IFERROR(__xludf.dummyfunction("""COMPUTED_VALUE"""),54.5)</f>
        <v>54.5</v>
      </c>
      <c r="E401" s="2" t="n">
        <f aca="false">IFERROR(__xludf.dummyfunction("""COMPUTED_VALUE"""),55.28)</f>
        <v>55.28</v>
      </c>
      <c r="F401" s="2" t="n">
        <f aca="false">IFERROR(__xludf.dummyfunction("""COMPUTED_VALUE"""),1629251)</f>
        <v>1629251</v>
      </c>
    </row>
    <row r="402" customFormat="false" ht="15.75" hidden="false" customHeight="false" outlineLevel="0" collapsed="false">
      <c r="A402" s="3" t="n">
        <f aca="false">IFERROR(__xludf.dummyfunction("""COMPUTED_VALUE"""),44778.6666666667)</f>
        <v>44778.6666666667</v>
      </c>
      <c r="B402" s="2" t="n">
        <f aca="false">IFERROR(__xludf.dummyfunction("""COMPUTED_VALUE"""),54.49)</f>
        <v>54.49</v>
      </c>
      <c r="C402" s="2" t="n">
        <f aca="false">IFERROR(__xludf.dummyfunction("""COMPUTED_VALUE"""),55.2)</f>
        <v>55.2</v>
      </c>
      <c r="D402" s="2" t="n">
        <f aca="false">IFERROR(__xludf.dummyfunction("""COMPUTED_VALUE"""),54.33)</f>
        <v>54.33</v>
      </c>
      <c r="E402" s="2" t="n">
        <f aca="false">IFERROR(__xludf.dummyfunction("""COMPUTED_VALUE"""),55.14)</f>
        <v>55.14</v>
      </c>
      <c r="F402" s="2" t="n">
        <f aca="false">IFERROR(__xludf.dummyfunction("""COMPUTED_VALUE"""),1435744)</f>
        <v>1435744</v>
      </c>
    </row>
    <row r="403" customFormat="false" ht="15.75" hidden="false" customHeight="false" outlineLevel="0" collapsed="false">
      <c r="A403" s="3" t="n">
        <f aca="false">IFERROR(__xludf.dummyfunction("""COMPUTED_VALUE"""),44781.6666666667)</f>
        <v>44781.6666666667</v>
      </c>
      <c r="B403" s="2" t="n">
        <f aca="false">IFERROR(__xludf.dummyfunction("""COMPUTED_VALUE"""),54.94)</f>
        <v>54.94</v>
      </c>
      <c r="C403" s="2" t="n">
        <f aca="false">IFERROR(__xludf.dummyfunction("""COMPUTED_VALUE"""),55.3)</f>
        <v>55.3</v>
      </c>
      <c r="D403" s="2" t="n">
        <f aca="false">IFERROR(__xludf.dummyfunction("""COMPUTED_VALUE"""),53.87)</f>
        <v>53.87</v>
      </c>
      <c r="E403" s="2" t="n">
        <f aca="false">IFERROR(__xludf.dummyfunction("""COMPUTED_VALUE"""),54.55)</f>
        <v>54.55</v>
      </c>
      <c r="F403" s="2" t="n">
        <f aca="false">IFERROR(__xludf.dummyfunction("""COMPUTED_VALUE"""),1372821)</f>
        <v>1372821</v>
      </c>
    </row>
    <row r="404" customFormat="false" ht="15.75" hidden="false" customHeight="false" outlineLevel="0" collapsed="false">
      <c r="A404" s="3" t="n">
        <f aca="false">IFERROR(__xludf.dummyfunction("""COMPUTED_VALUE"""),44782.6666666667)</f>
        <v>44782.6666666667</v>
      </c>
      <c r="B404" s="2" t="n">
        <f aca="false">IFERROR(__xludf.dummyfunction("""COMPUTED_VALUE"""),53.91)</f>
        <v>53.91</v>
      </c>
      <c r="C404" s="2" t="n">
        <f aca="false">IFERROR(__xludf.dummyfunction("""COMPUTED_VALUE"""),53.94)</f>
        <v>53.94</v>
      </c>
      <c r="D404" s="2" t="n">
        <f aca="false">IFERROR(__xludf.dummyfunction("""COMPUTED_VALUE"""),52.78)</f>
        <v>52.78</v>
      </c>
      <c r="E404" s="2" t="n">
        <f aca="false">IFERROR(__xludf.dummyfunction("""COMPUTED_VALUE"""),53.28)</f>
        <v>53.28</v>
      </c>
      <c r="F404" s="2" t="n">
        <f aca="false">IFERROR(__xludf.dummyfunction("""COMPUTED_VALUE"""),2007417)</f>
        <v>2007417</v>
      </c>
    </row>
    <row r="405" customFormat="false" ht="15.75" hidden="false" customHeight="false" outlineLevel="0" collapsed="false">
      <c r="A405" s="3" t="n">
        <f aca="false">IFERROR(__xludf.dummyfunction("""COMPUTED_VALUE"""),44783.6666666667)</f>
        <v>44783.6666666667</v>
      </c>
      <c r="B405" s="2" t="n">
        <f aca="false">IFERROR(__xludf.dummyfunction("""COMPUTED_VALUE"""),54.61)</f>
        <v>54.61</v>
      </c>
      <c r="C405" s="2" t="n">
        <f aca="false">IFERROR(__xludf.dummyfunction("""COMPUTED_VALUE"""),55.1)</f>
        <v>55.1</v>
      </c>
      <c r="D405" s="2" t="n">
        <f aca="false">IFERROR(__xludf.dummyfunction("""COMPUTED_VALUE"""),53.92)</f>
        <v>53.92</v>
      </c>
      <c r="E405" s="2" t="n">
        <f aca="false">IFERROR(__xludf.dummyfunction("""COMPUTED_VALUE"""),55.04)</f>
        <v>55.04</v>
      </c>
      <c r="F405" s="2" t="n">
        <f aca="false">IFERROR(__xludf.dummyfunction("""COMPUTED_VALUE"""),1951872)</f>
        <v>1951872</v>
      </c>
    </row>
    <row r="406" customFormat="false" ht="15.75" hidden="false" customHeight="false" outlineLevel="0" collapsed="false">
      <c r="A406" s="3" t="n">
        <f aca="false">IFERROR(__xludf.dummyfunction("""COMPUTED_VALUE"""),44784.6666666667)</f>
        <v>44784.6666666667</v>
      </c>
      <c r="B406" s="2" t="n">
        <f aca="false">IFERROR(__xludf.dummyfunction("""COMPUTED_VALUE"""),55.4)</f>
        <v>55.4</v>
      </c>
      <c r="C406" s="2" t="n">
        <f aca="false">IFERROR(__xludf.dummyfunction("""COMPUTED_VALUE"""),55.78)</f>
        <v>55.78</v>
      </c>
      <c r="D406" s="2" t="n">
        <f aca="false">IFERROR(__xludf.dummyfunction("""COMPUTED_VALUE"""),54.43)</f>
        <v>54.43</v>
      </c>
      <c r="E406" s="2" t="n">
        <f aca="false">IFERROR(__xludf.dummyfunction("""COMPUTED_VALUE"""),54.54)</f>
        <v>54.54</v>
      </c>
      <c r="F406" s="2" t="n">
        <f aca="false">IFERROR(__xludf.dummyfunction("""COMPUTED_VALUE"""),1427035)</f>
        <v>1427035</v>
      </c>
    </row>
    <row r="407" customFormat="false" ht="15.75" hidden="false" customHeight="false" outlineLevel="0" collapsed="false">
      <c r="A407" s="3" t="n">
        <f aca="false">IFERROR(__xludf.dummyfunction("""COMPUTED_VALUE"""),44785.6666666667)</f>
        <v>44785.6666666667</v>
      </c>
      <c r="B407" s="2" t="n">
        <f aca="false">IFERROR(__xludf.dummyfunction("""COMPUTED_VALUE"""),54.78)</f>
        <v>54.78</v>
      </c>
      <c r="C407" s="2" t="n">
        <f aca="false">IFERROR(__xludf.dummyfunction("""COMPUTED_VALUE"""),55.84)</f>
        <v>55.84</v>
      </c>
      <c r="D407" s="2" t="n">
        <f aca="false">IFERROR(__xludf.dummyfunction("""COMPUTED_VALUE"""),54.57)</f>
        <v>54.57</v>
      </c>
      <c r="E407" s="2" t="n">
        <f aca="false">IFERROR(__xludf.dummyfunction("""COMPUTED_VALUE"""),55.82)</f>
        <v>55.82</v>
      </c>
      <c r="F407" s="2" t="n">
        <f aca="false">IFERROR(__xludf.dummyfunction("""COMPUTED_VALUE"""),1840020)</f>
        <v>1840020</v>
      </c>
    </row>
    <row r="408" customFormat="false" ht="15.75" hidden="false" customHeight="false" outlineLevel="0" collapsed="false">
      <c r="A408" s="3" t="n">
        <f aca="false">IFERROR(__xludf.dummyfunction("""COMPUTED_VALUE"""),44788.6666666667)</f>
        <v>44788.6666666667</v>
      </c>
      <c r="B408" s="2" t="n">
        <f aca="false">IFERROR(__xludf.dummyfunction("""COMPUTED_VALUE"""),55.42)</f>
        <v>55.42</v>
      </c>
      <c r="C408" s="2" t="n">
        <f aca="false">IFERROR(__xludf.dummyfunction("""COMPUTED_VALUE"""),55.98)</f>
        <v>55.98</v>
      </c>
      <c r="D408" s="2" t="n">
        <f aca="false">IFERROR(__xludf.dummyfunction("""COMPUTED_VALUE"""),55.05)</f>
        <v>55.05</v>
      </c>
      <c r="E408" s="2" t="n">
        <f aca="false">IFERROR(__xludf.dummyfunction("""COMPUTED_VALUE"""),55.9)</f>
        <v>55.9</v>
      </c>
      <c r="F408" s="2" t="n">
        <f aca="false">IFERROR(__xludf.dummyfunction("""COMPUTED_VALUE"""),1432965)</f>
        <v>1432965</v>
      </c>
    </row>
    <row r="409" customFormat="false" ht="15.75" hidden="false" customHeight="false" outlineLevel="0" collapsed="false">
      <c r="A409" s="3" t="n">
        <f aca="false">IFERROR(__xludf.dummyfunction("""COMPUTED_VALUE"""),44789.6666666667)</f>
        <v>44789.6666666667</v>
      </c>
      <c r="B409" s="2" t="n">
        <f aca="false">IFERROR(__xludf.dummyfunction("""COMPUTED_VALUE"""),55.75)</f>
        <v>55.75</v>
      </c>
      <c r="C409" s="2" t="n">
        <f aca="false">IFERROR(__xludf.dummyfunction("""COMPUTED_VALUE"""),55.79)</f>
        <v>55.79</v>
      </c>
      <c r="D409" s="2" t="n">
        <f aca="false">IFERROR(__xludf.dummyfunction("""COMPUTED_VALUE"""),54.6)</f>
        <v>54.6</v>
      </c>
      <c r="E409" s="2" t="n">
        <f aca="false">IFERROR(__xludf.dummyfunction("""COMPUTED_VALUE"""),55.17)</f>
        <v>55.17</v>
      </c>
      <c r="F409" s="2" t="n">
        <f aca="false">IFERROR(__xludf.dummyfunction("""COMPUTED_VALUE"""),1478384)</f>
        <v>1478384</v>
      </c>
    </row>
    <row r="410" customFormat="false" ht="15.75" hidden="false" customHeight="false" outlineLevel="0" collapsed="false">
      <c r="A410" s="3" t="n">
        <f aca="false">IFERROR(__xludf.dummyfunction("""COMPUTED_VALUE"""),44790.6666666667)</f>
        <v>44790.6666666667</v>
      </c>
      <c r="B410" s="2" t="n">
        <f aca="false">IFERROR(__xludf.dummyfunction("""COMPUTED_VALUE"""),54.44)</f>
        <v>54.44</v>
      </c>
      <c r="C410" s="2" t="n">
        <f aca="false">IFERROR(__xludf.dummyfunction("""COMPUTED_VALUE"""),54.47)</f>
        <v>54.47</v>
      </c>
      <c r="D410" s="2" t="n">
        <f aca="false">IFERROR(__xludf.dummyfunction("""COMPUTED_VALUE"""),53.1)</f>
        <v>53.1</v>
      </c>
      <c r="E410" s="2" t="n">
        <f aca="false">IFERROR(__xludf.dummyfunction("""COMPUTED_VALUE"""),53.86)</f>
        <v>53.86</v>
      </c>
      <c r="F410" s="2" t="n">
        <f aca="false">IFERROR(__xludf.dummyfunction("""COMPUTED_VALUE"""),1902221)</f>
        <v>1902221</v>
      </c>
    </row>
    <row r="411" customFormat="false" ht="15.75" hidden="false" customHeight="false" outlineLevel="0" collapsed="false">
      <c r="A411" s="3" t="n">
        <f aca="false">IFERROR(__xludf.dummyfunction("""COMPUTED_VALUE"""),44791.6666666667)</f>
        <v>44791.6666666667</v>
      </c>
      <c r="B411" s="2" t="n">
        <f aca="false">IFERROR(__xludf.dummyfunction("""COMPUTED_VALUE"""),54.34)</f>
        <v>54.34</v>
      </c>
      <c r="C411" s="2" t="n">
        <f aca="false">IFERROR(__xludf.dummyfunction("""COMPUTED_VALUE"""),56.06)</f>
        <v>56.06</v>
      </c>
      <c r="D411" s="2" t="n">
        <f aca="false">IFERROR(__xludf.dummyfunction("""COMPUTED_VALUE"""),54.16)</f>
        <v>54.16</v>
      </c>
      <c r="E411" s="2" t="n">
        <f aca="false">IFERROR(__xludf.dummyfunction("""COMPUTED_VALUE"""),55.85)</f>
        <v>55.85</v>
      </c>
      <c r="F411" s="2" t="n">
        <f aca="false">IFERROR(__xludf.dummyfunction("""COMPUTED_VALUE"""),2345959)</f>
        <v>2345959</v>
      </c>
    </row>
    <row r="412" customFormat="false" ht="15.75" hidden="false" customHeight="false" outlineLevel="0" collapsed="false">
      <c r="A412" s="3" t="n">
        <f aca="false">IFERROR(__xludf.dummyfunction("""COMPUTED_VALUE"""),44792.6666666667)</f>
        <v>44792.6666666667</v>
      </c>
      <c r="B412" s="2" t="n">
        <f aca="false">IFERROR(__xludf.dummyfunction("""COMPUTED_VALUE"""),55.09)</f>
        <v>55.09</v>
      </c>
      <c r="C412" s="2" t="n">
        <f aca="false">IFERROR(__xludf.dummyfunction("""COMPUTED_VALUE"""),55.56)</f>
        <v>55.56</v>
      </c>
      <c r="D412" s="2" t="n">
        <f aca="false">IFERROR(__xludf.dummyfunction("""COMPUTED_VALUE"""),54.79)</f>
        <v>54.79</v>
      </c>
      <c r="E412" s="2" t="n">
        <f aca="false">IFERROR(__xludf.dummyfunction("""COMPUTED_VALUE"""),54.84)</f>
        <v>54.84</v>
      </c>
      <c r="F412" s="2" t="n">
        <f aca="false">IFERROR(__xludf.dummyfunction("""COMPUTED_VALUE"""),1692455)</f>
        <v>1692455</v>
      </c>
    </row>
    <row r="413" customFormat="false" ht="15.75" hidden="false" customHeight="false" outlineLevel="0" collapsed="false">
      <c r="A413" s="3" t="n">
        <f aca="false">IFERROR(__xludf.dummyfunction("""COMPUTED_VALUE"""),44795.6666666667)</f>
        <v>44795.6666666667</v>
      </c>
      <c r="B413" s="2" t="n">
        <f aca="false">IFERROR(__xludf.dummyfunction("""COMPUTED_VALUE"""),54.26)</f>
        <v>54.26</v>
      </c>
      <c r="C413" s="2" t="n">
        <f aca="false">IFERROR(__xludf.dummyfunction("""COMPUTED_VALUE"""),54.31)</f>
        <v>54.31</v>
      </c>
      <c r="D413" s="2" t="n">
        <f aca="false">IFERROR(__xludf.dummyfunction("""COMPUTED_VALUE"""),52.71)</f>
        <v>52.71</v>
      </c>
      <c r="E413" s="2" t="n">
        <f aca="false">IFERROR(__xludf.dummyfunction("""COMPUTED_VALUE"""),52.88)</f>
        <v>52.88</v>
      </c>
      <c r="F413" s="2" t="n">
        <f aca="false">IFERROR(__xludf.dummyfunction("""COMPUTED_VALUE"""),1855584)</f>
        <v>1855584</v>
      </c>
    </row>
    <row r="414" customFormat="false" ht="15.75" hidden="false" customHeight="false" outlineLevel="0" collapsed="false">
      <c r="A414" s="3" t="n">
        <f aca="false">IFERROR(__xludf.dummyfunction("""COMPUTED_VALUE"""),44796.6666666667)</f>
        <v>44796.6666666667</v>
      </c>
      <c r="B414" s="2" t="n">
        <f aca="false">IFERROR(__xludf.dummyfunction("""COMPUTED_VALUE"""),53.39)</f>
        <v>53.39</v>
      </c>
      <c r="C414" s="2" t="n">
        <f aca="false">IFERROR(__xludf.dummyfunction("""COMPUTED_VALUE"""),53.76)</f>
        <v>53.76</v>
      </c>
      <c r="D414" s="2" t="n">
        <f aca="false">IFERROR(__xludf.dummyfunction("""COMPUTED_VALUE"""),52.89)</f>
        <v>52.89</v>
      </c>
      <c r="E414" s="2" t="n">
        <f aca="false">IFERROR(__xludf.dummyfunction("""COMPUTED_VALUE"""),52.98)</f>
        <v>52.98</v>
      </c>
      <c r="F414" s="2" t="n">
        <f aca="false">IFERROR(__xludf.dummyfunction("""COMPUTED_VALUE"""),900317)</f>
        <v>900317</v>
      </c>
    </row>
    <row r="415" customFormat="false" ht="15.75" hidden="false" customHeight="false" outlineLevel="0" collapsed="false">
      <c r="A415" s="3" t="n">
        <f aca="false">IFERROR(__xludf.dummyfunction("""COMPUTED_VALUE"""),44797.6666666667)</f>
        <v>44797.6666666667</v>
      </c>
      <c r="B415" s="2" t="n">
        <f aca="false">IFERROR(__xludf.dummyfunction("""COMPUTED_VALUE"""),52.96)</f>
        <v>52.96</v>
      </c>
      <c r="C415" s="2" t="n">
        <f aca="false">IFERROR(__xludf.dummyfunction("""COMPUTED_VALUE"""),53.13)</f>
        <v>53.13</v>
      </c>
      <c r="D415" s="2" t="n">
        <f aca="false">IFERROR(__xludf.dummyfunction("""COMPUTED_VALUE"""),52.34)</f>
        <v>52.34</v>
      </c>
      <c r="E415" s="2" t="n">
        <f aca="false">IFERROR(__xludf.dummyfunction("""COMPUTED_VALUE"""),53.08)</f>
        <v>53.08</v>
      </c>
      <c r="F415" s="2" t="n">
        <f aca="false">IFERROR(__xludf.dummyfunction("""COMPUTED_VALUE"""),1188496)</f>
        <v>1188496</v>
      </c>
    </row>
    <row r="416" customFormat="false" ht="15.75" hidden="false" customHeight="false" outlineLevel="0" collapsed="false">
      <c r="A416" s="3" t="n">
        <f aca="false">IFERROR(__xludf.dummyfunction("""COMPUTED_VALUE"""),44798.6666666667)</f>
        <v>44798.6666666667</v>
      </c>
      <c r="B416" s="2" t="n">
        <f aca="false">IFERROR(__xludf.dummyfunction("""COMPUTED_VALUE"""),53.35)</f>
        <v>53.35</v>
      </c>
      <c r="C416" s="2" t="n">
        <f aca="false">IFERROR(__xludf.dummyfunction("""COMPUTED_VALUE"""),55.05)</f>
        <v>55.05</v>
      </c>
      <c r="D416" s="2" t="n">
        <f aca="false">IFERROR(__xludf.dummyfunction("""COMPUTED_VALUE"""),53.23)</f>
        <v>53.23</v>
      </c>
      <c r="E416" s="2" t="n">
        <f aca="false">IFERROR(__xludf.dummyfunction("""COMPUTED_VALUE"""),55.01)</f>
        <v>55.01</v>
      </c>
      <c r="F416" s="2" t="n">
        <f aca="false">IFERROR(__xludf.dummyfunction("""COMPUTED_VALUE"""),1734523)</f>
        <v>1734523</v>
      </c>
    </row>
    <row r="417" customFormat="false" ht="15.75" hidden="false" customHeight="false" outlineLevel="0" collapsed="false">
      <c r="A417" s="3" t="n">
        <f aca="false">IFERROR(__xludf.dummyfunction("""COMPUTED_VALUE"""),44799.6666666667)</f>
        <v>44799.6666666667</v>
      </c>
      <c r="B417" s="2" t="n">
        <f aca="false">IFERROR(__xludf.dummyfunction("""COMPUTED_VALUE"""),54.88)</f>
        <v>54.88</v>
      </c>
      <c r="C417" s="2" t="n">
        <f aca="false">IFERROR(__xludf.dummyfunction("""COMPUTED_VALUE"""),55.1)</f>
        <v>55.1</v>
      </c>
      <c r="D417" s="2" t="n">
        <f aca="false">IFERROR(__xludf.dummyfunction("""COMPUTED_VALUE"""),52)</f>
        <v>52</v>
      </c>
      <c r="E417" s="2" t="n">
        <f aca="false">IFERROR(__xludf.dummyfunction("""COMPUTED_VALUE"""),52.09)</f>
        <v>52.09</v>
      </c>
      <c r="F417" s="2" t="n">
        <f aca="false">IFERROR(__xludf.dummyfunction("""COMPUTED_VALUE"""),2568256)</f>
        <v>2568256</v>
      </c>
    </row>
    <row r="418" customFormat="false" ht="15.75" hidden="false" customHeight="false" outlineLevel="0" collapsed="false">
      <c r="A418" s="3" t="n">
        <f aca="false">IFERROR(__xludf.dummyfunction("""COMPUTED_VALUE"""),44802.6666666667)</f>
        <v>44802.6666666667</v>
      </c>
      <c r="B418" s="2" t="n">
        <f aca="false">IFERROR(__xludf.dummyfunction("""COMPUTED_VALUE"""),52)</f>
        <v>52</v>
      </c>
      <c r="C418" s="2" t="n">
        <f aca="false">IFERROR(__xludf.dummyfunction("""COMPUTED_VALUE"""),52.27)</f>
        <v>52.27</v>
      </c>
      <c r="D418" s="2" t="n">
        <f aca="false">IFERROR(__xludf.dummyfunction("""COMPUTED_VALUE"""),51.2)</f>
        <v>51.2</v>
      </c>
      <c r="E418" s="2" t="n">
        <f aca="false">IFERROR(__xludf.dummyfunction("""COMPUTED_VALUE"""),51.42)</f>
        <v>51.42</v>
      </c>
      <c r="F418" s="2" t="n">
        <f aca="false">IFERROR(__xludf.dummyfunction("""COMPUTED_VALUE"""),1658015)</f>
        <v>1658015</v>
      </c>
    </row>
    <row r="419" customFormat="false" ht="15.75" hidden="false" customHeight="false" outlineLevel="0" collapsed="false">
      <c r="A419" s="3" t="n">
        <f aca="false">IFERROR(__xludf.dummyfunction("""COMPUTED_VALUE"""),44803.6666666667)</f>
        <v>44803.6666666667</v>
      </c>
      <c r="B419" s="2" t="n">
        <f aca="false">IFERROR(__xludf.dummyfunction("""COMPUTED_VALUE"""),51.68)</f>
        <v>51.68</v>
      </c>
      <c r="C419" s="2" t="n">
        <f aca="false">IFERROR(__xludf.dummyfunction("""COMPUTED_VALUE"""),51.79)</f>
        <v>51.79</v>
      </c>
      <c r="D419" s="2" t="n">
        <f aca="false">IFERROR(__xludf.dummyfunction("""COMPUTED_VALUE"""),50.14)</f>
        <v>50.14</v>
      </c>
      <c r="E419" s="2" t="n">
        <f aca="false">IFERROR(__xludf.dummyfunction("""COMPUTED_VALUE"""),50.64)</f>
        <v>50.64</v>
      </c>
      <c r="F419" s="2" t="n">
        <f aca="false">IFERROR(__xludf.dummyfunction("""COMPUTED_VALUE"""),1828167)</f>
        <v>1828167</v>
      </c>
    </row>
    <row r="420" customFormat="false" ht="15.75" hidden="false" customHeight="false" outlineLevel="0" collapsed="false">
      <c r="A420" s="3" t="n">
        <f aca="false">IFERROR(__xludf.dummyfunction("""COMPUTED_VALUE"""),44804.6666666667)</f>
        <v>44804.6666666667</v>
      </c>
      <c r="B420" s="2" t="n">
        <f aca="false">IFERROR(__xludf.dummyfunction("""COMPUTED_VALUE"""),51.02)</f>
        <v>51.02</v>
      </c>
      <c r="C420" s="2" t="n">
        <f aca="false">IFERROR(__xludf.dummyfunction("""COMPUTED_VALUE"""),51.02)</f>
        <v>51.02</v>
      </c>
      <c r="D420" s="2" t="n">
        <f aca="false">IFERROR(__xludf.dummyfunction("""COMPUTED_VALUE"""),49.65)</f>
        <v>49.65</v>
      </c>
      <c r="E420" s="2" t="n">
        <f aca="false">IFERROR(__xludf.dummyfunction("""COMPUTED_VALUE"""),49.91)</f>
        <v>49.91</v>
      </c>
      <c r="F420" s="2" t="n">
        <f aca="false">IFERROR(__xludf.dummyfunction("""COMPUTED_VALUE"""),3244469)</f>
        <v>3244469</v>
      </c>
    </row>
    <row r="421" customFormat="false" ht="15.75" hidden="false" customHeight="false" outlineLevel="0" collapsed="false">
      <c r="A421" s="3" t="n">
        <f aca="false">IFERROR(__xludf.dummyfunction("""COMPUTED_VALUE"""),44805.6666666667)</f>
        <v>44805.6666666667</v>
      </c>
      <c r="B421" s="2" t="n">
        <f aca="false">IFERROR(__xludf.dummyfunction("""COMPUTED_VALUE"""),49.15)</f>
        <v>49.15</v>
      </c>
      <c r="C421" s="2" t="n">
        <f aca="false">IFERROR(__xludf.dummyfunction("""COMPUTED_VALUE"""),49.33)</f>
        <v>49.33</v>
      </c>
      <c r="D421" s="2" t="n">
        <f aca="false">IFERROR(__xludf.dummyfunction("""COMPUTED_VALUE"""),48.08)</f>
        <v>48.08</v>
      </c>
      <c r="E421" s="2" t="n">
        <f aca="false">IFERROR(__xludf.dummyfunction("""COMPUTED_VALUE"""),49.2)</f>
        <v>49.2</v>
      </c>
      <c r="F421" s="2" t="n">
        <f aca="false">IFERROR(__xludf.dummyfunction("""COMPUTED_VALUE"""),3193046)</f>
        <v>3193046</v>
      </c>
    </row>
    <row r="422" customFormat="false" ht="15.75" hidden="false" customHeight="false" outlineLevel="0" collapsed="false">
      <c r="A422" s="3" t="n">
        <f aca="false">IFERROR(__xludf.dummyfunction("""COMPUTED_VALUE"""),44806.6666666667)</f>
        <v>44806.6666666667</v>
      </c>
      <c r="B422" s="2" t="n">
        <f aca="false">IFERROR(__xludf.dummyfunction("""COMPUTED_VALUE"""),51.8)</f>
        <v>51.8</v>
      </c>
      <c r="C422" s="2" t="n">
        <f aca="false">IFERROR(__xludf.dummyfunction("""COMPUTED_VALUE"""),51.98)</f>
        <v>51.98</v>
      </c>
      <c r="D422" s="2" t="n">
        <f aca="false">IFERROR(__xludf.dummyfunction("""COMPUTED_VALUE"""),49.83)</f>
        <v>49.83</v>
      </c>
      <c r="E422" s="2" t="n">
        <f aca="false">IFERROR(__xludf.dummyfunction("""COMPUTED_VALUE"""),50.02)</f>
        <v>50.02</v>
      </c>
      <c r="F422" s="2" t="n">
        <f aca="false">IFERROR(__xludf.dummyfunction("""COMPUTED_VALUE"""),4042587)</f>
        <v>4042587</v>
      </c>
    </row>
    <row r="423" customFormat="false" ht="15.75" hidden="false" customHeight="false" outlineLevel="0" collapsed="false">
      <c r="A423" s="3" t="n">
        <f aca="false">IFERROR(__xludf.dummyfunction("""COMPUTED_VALUE"""),44810.6666666667)</f>
        <v>44810.6666666667</v>
      </c>
      <c r="B423" s="2" t="n">
        <f aca="false">IFERROR(__xludf.dummyfunction("""COMPUTED_VALUE"""),49.85)</f>
        <v>49.85</v>
      </c>
      <c r="C423" s="2" t="n">
        <f aca="false">IFERROR(__xludf.dummyfunction("""COMPUTED_VALUE"""),50.4)</f>
        <v>50.4</v>
      </c>
      <c r="D423" s="2" t="n">
        <f aca="false">IFERROR(__xludf.dummyfunction("""COMPUTED_VALUE"""),49.04)</f>
        <v>49.04</v>
      </c>
      <c r="E423" s="2" t="n">
        <f aca="false">IFERROR(__xludf.dummyfunction("""COMPUTED_VALUE"""),49.82)</f>
        <v>49.82</v>
      </c>
      <c r="F423" s="2" t="n">
        <f aca="false">IFERROR(__xludf.dummyfunction("""COMPUTED_VALUE"""),2473855)</f>
        <v>2473855</v>
      </c>
    </row>
    <row r="424" customFormat="false" ht="15.75" hidden="false" customHeight="false" outlineLevel="0" collapsed="false">
      <c r="A424" s="3" t="n">
        <f aca="false">IFERROR(__xludf.dummyfunction("""COMPUTED_VALUE"""),44811.6666666667)</f>
        <v>44811.6666666667</v>
      </c>
      <c r="B424" s="2" t="n">
        <f aca="false">IFERROR(__xludf.dummyfunction("""COMPUTED_VALUE"""),50.29)</f>
        <v>50.29</v>
      </c>
      <c r="C424" s="2" t="n">
        <f aca="false">IFERROR(__xludf.dummyfunction("""COMPUTED_VALUE"""),50.94)</f>
        <v>50.94</v>
      </c>
      <c r="D424" s="2" t="n">
        <f aca="false">IFERROR(__xludf.dummyfunction("""COMPUTED_VALUE"""),49.91)</f>
        <v>49.91</v>
      </c>
      <c r="E424" s="2" t="n">
        <f aca="false">IFERROR(__xludf.dummyfunction("""COMPUTED_VALUE"""),50.51)</f>
        <v>50.51</v>
      </c>
      <c r="F424" s="2" t="n">
        <f aca="false">IFERROR(__xludf.dummyfunction("""COMPUTED_VALUE"""),2044027)</f>
        <v>2044027</v>
      </c>
    </row>
    <row r="425" customFormat="false" ht="15.75" hidden="false" customHeight="false" outlineLevel="0" collapsed="false">
      <c r="A425" s="3" t="n">
        <f aca="false">IFERROR(__xludf.dummyfunction("""COMPUTED_VALUE"""),44812.6666666667)</f>
        <v>44812.6666666667</v>
      </c>
      <c r="B425" s="2" t="n">
        <f aca="false">IFERROR(__xludf.dummyfunction("""COMPUTED_VALUE"""),50.26)</f>
        <v>50.26</v>
      </c>
      <c r="C425" s="2" t="n">
        <f aca="false">IFERROR(__xludf.dummyfunction("""COMPUTED_VALUE"""),51.27)</f>
        <v>51.27</v>
      </c>
      <c r="D425" s="2" t="n">
        <f aca="false">IFERROR(__xludf.dummyfunction("""COMPUTED_VALUE"""),49.87)</f>
        <v>49.87</v>
      </c>
      <c r="E425" s="2" t="n">
        <f aca="false">IFERROR(__xludf.dummyfunction("""COMPUTED_VALUE"""),51.19)</f>
        <v>51.19</v>
      </c>
      <c r="F425" s="2" t="n">
        <f aca="false">IFERROR(__xludf.dummyfunction("""COMPUTED_VALUE"""),2253477)</f>
        <v>2253477</v>
      </c>
    </row>
    <row r="426" customFormat="false" ht="15.75" hidden="false" customHeight="false" outlineLevel="0" collapsed="false">
      <c r="A426" s="3" t="n">
        <f aca="false">IFERROR(__xludf.dummyfunction("""COMPUTED_VALUE"""),44813.6666666667)</f>
        <v>44813.6666666667</v>
      </c>
      <c r="B426" s="2" t="n">
        <f aca="false">IFERROR(__xludf.dummyfunction("""COMPUTED_VALUE"""),51.54)</f>
        <v>51.54</v>
      </c>
      <c r="C426" s="2" t="n">
        <f aca="false">IFERROR(__xludf.dummyfunction("""COMPUTED_VALUE"""),52.6)</f>
        <v>52.6</v>
      </c>
      <c r="D426" s="2" t="n">
        <f aca="false">IFERROR(__xludf.dummyfunction("""COMPUTED_VALUE"""),51.54)</f>
        <v>51.54</v>
      </c>
      <c r="E426" s="2" t="n">
        <f aca="false">IFERROR(__xludf.dummyfunction("""COMPUTED_VALUE"""),52.24)</f>
        <v>52.24</v>
      </c>
      <c r="F426" s="2" t="n">
        <f aca="false">IFERROR(__xludf.dummyfunction("""COMPUTED_VALUE"""),2301888)</f>
        <v>2301888</v>
      </c>
    </row>
    <row r="427" customFormat="false" ht="15.75" hidden="false" customHeight="false" outlineLevel="0" collapsed="false">
      <c r="A427" s="3" t="n">
        <f aca="false">IFERROR(__xludf.dummyfunction("""COMPUTED_VALUE"""),44816.6666666667)</f>
        <v>44816.6666666667</v>
      </c>
      <c r="B427" s="2" t="n">
        <f aca="false">IFERROR(__xludf.dummyfunction("""COMPUTED_VALUE"""),52.68)</f>
        <v>52.68</v>
      </c>
      <c r="C427" s="2" t="n">
        <f aca="false">IFERROR(__xludf.dummyfunction("""COMPUTED_VALUE"""),53.13)</f>
        <v>53.13</v>
      </c>
      <c r="D427" s="2" t="n">
        <f aca="false">IFERROR(__xludf.dummyfunction("""COMPUTED_VALUE"""),52.46)</f>
        <v>52.46</v>
      </c>
      <c r="E427" s="2" t="n">
        <f aca="false">IFERROR(__xludf.dummyfunction("""COMPUTED_VALUE"""),52.91)</f>
        <v>52.91</v>
      </c>
      <c r="F427" s="2" t="n">
        <f aca="false">IFERROR(__xludf.dummyfunction("""COMPUTED_VALUE"""),1815800)</f>
        <v>1815800</v>
      </c>
    </row>
    <row r="428" customFormat="false" ht="15.75" hidden="false" customHeight="false" outlineLevel="0" collapsed="false">
      <c r="A428" s="3" t="n">
        <f aca="false">IFERROR(__xludf.dummyfunction("""COMPUTED_VALUE"""),44817.6666666667)</f>
        <v>44817.6666666667</v>
      </c>
      <c r="B428" s="2" t="n">
        <f aca="false">IFERROR(__xludf.dummyfunction("""COMPUTED_VALUE"""),51.38)</f>
        <v>51.38</v>
      </c>
      <c r="C428" s="2" t="n">
        <f aca="false">IFERROR(__xludf.dummyfunction("""COMPUTED_VALUE"""),51.83)</f>
        <v>51.83</v>
      </c>
      <c r="D428" s="2" t="n">
        <f aca="false">IFERROR(__xludf.dummyfunction("""COMPUTED_VALUE"""),50.17)</f>
        <v>50.17</v>
      </c>
      <c r="E428" s="2" t="n">
        <f aca="false">IFERROR(__xludf.dummyfunction("""COMPUTED_VALUE"""),50.37)</f>
        <v>50.37</v>
      </c>
      <c r="F428" s="2" t="n">
        <f aca="false">IFERROR(__xludf.dummyfunction("""COMPUTED_VALUE"""),3513603)</f>
        <v>3513603</v>
      </c>
    </row>
    <row r="429" customFormat="false" ht="15.75" hidden="false" customHeight="false" outlineLevel="0" collapsed="false">
      <c r="A429" s="3" t="n">
        <f aca="false">IFERROR(__xludf.dummyfunction("""COMPUTED_VALUE"""),44818.6666666667)</f>
        <v>44818.6666666667</v>
      </c>
      <c r="B429" s="2" t="n">
        <f aca="false">IFERROR(__xludf.dummyfunction("""COMPUTED_VALUE"""),50.71)</f>
        <v>50.71</v>
      </c>
      <c r="C429" s="2" t="n">
        <f aca="false">IFERROR(__xludf.dummyfunction("""COMPUTED_VALUE"""),51.3)</f>
        <v>51.3</v>
      </c>
      <c r="D429" s="2" t="n">
        <f aca="false">IFERROR(__xludf.dummyfunction("""COMPUTED_VALUE"""),50.28)</f>
        <v>50.28</v>
      </c>
      <c r="E429" s="2" t="n">
        <f aca="false">IFERROR(__xludf.dummyfunction("""COMPUTED_VALUE"""),51.08)</f>
        <v>51.08</v>
      </c>
      <c r="F429" s="2" t="n">
        <f aca="false">IFERROR(__xludf.dummyfunction("""COMPUTED_VALUE"""),2060450)</f>
        <v>2060450</v>
      </c>
    </row>
    <row r="430" customFormat="false" ht="15.75" hidden="false" customHeight="false" outlineLevel="0" collapsed="false">
      <c r="A430" s="3" t="n">
        <f aca="false">IFERROR(__xludf.dummyfunction("""COMPUTED_VALUE"""),44819.6666666667)</f>
        <v>44819.6666666667</v>
      </c>
      <c r="B430" s="2" t="n">
        <f aca="false">IFERROR(__xludf.dummyfunction("""COMPUTED_VALUE"""),50.89)</f>
        <v>50.89</v>
      </c>
      <c r="C430" s="2" t="n">
        <f aca="false">IFERROR(__xludf.dummyfunction("""COMPUTED_VALUE"""),51.16)</f>
        <v>51.16</v>
      </c>
      <c r="D430" s="2" t="n">
        <f aca="false">IFERROR(__xludf.dummyfunction("""COMPUTED_VALUE"""),49.73)</f>
        <v>49.73</v>
      </c>
      <c r="E430" s="2" t="n">
        <f aca="false">IFERROR(__xludf.dummyfunction("""COMPUTED_VALUE"""),50.01)</f>
        <v>50.01</v>
      </c>
      <c r="F430" s="2" t="n">
        <f aca="false">IFERROR(__xludf.dummyfunction("""COMPUTED_VALUE"""),3657361)</f>
        <v>3657361</v>
      </c>
    </row>
    <row r="431" customFormat="false" ht="15.75" hidden="false" customHeight="false" outlineLevel="0" collapsed="false">
      <c r="A431" s="3" t="n">
        <f aca="false">IFERROR(__xludf.dummyfunction("""COMPUTED_VALUE"""),44820.6666666667)</f>
        <v>44820.6666666667</v>
      </c>
      <c r="B431" s="2" t="n">
        <f aca="false">IFERROR(__xludf.dummyfunction("""COMPUTED_VALUE"""),49.77)</f>
        <v>49.77</v>
      </c>
      <c r="C431" s="2" t="n">
        <f aca="false">IFERROR(__xludf.dummyfunction("""COMPUTED_VALUE"""),50.37)</f>
        <v>50.37</v>
      </c>
      <c r="D431" s="2" t="n">
        <f aca="false">IFERROR(__xludf.dummyfunction("""COMPUTED_VALUE"""),48.99)</f>
        <v>48.99</v>
      </c>
      <c r="E431" s="2" t="n">
        <f aca="false">IFERROR(__xludf.dummyfunction("""COMPUTED_VALUE"""),50.25)</f>
        <v>50.25</v>
      </c>
      <c r="F431" s="2" t="n">
        <f aca="false">IFERROR(__xludf.dummyfunction("""COMPUTED_VALUE"""),5901214)</f>
        <v>5901214</v>
      </c>
    </row>
    <row r="432" customFormat="false" ht="15.75" hidden="false" customHeight="false" outlineLevel="0" collapsed="false">
      <c r="A432" s="3" t="n">
        <f aca="false">IFERROR(__xludf.dummyfunction("""COMPUTED_VALUE"""),44823.6666666667)</f>
        <v>44823.6666666667</v>
      </c>
      <c r="B432" s="2" t="n">
        <f aca="false">IFERROR(__xludf.dummyfunction("""COMPUTED_VALUE"""),49.44)</f>
        <v>49.44</v>
      </c>
      <c r="C432" s="2" t="n">
        <f aca="false">IFERROR(__xludf.dummyfunction("""COMPUTED_VALUE"""),50.34)</f>
        <v>50.34</v>
      </c>
      <c r="D432" s="2" t="n">
        <f aca="false">IFERROR(__xludf.dummyfunction("""COMPUTED_VALUE"""),49.44)</f>
        <v>49.44</v>
      </c>
      <c r="E432" s="2" t="n">
        <f aca="false">IFERROR(__xludf.dummyfunction("""COMPUTED_VALUE"""),50.18)</f>
        <v>50.18</v>
      </c>
      <c r="F432" s="2" t="n">
        <f aca="false">IFERROR(__xludf.dummyfunction("""COMPUTED_VALUE"""),1794826)</f>
        <v>1794826</v>
      </c>
    </row>
    <row r="433" customFormat="false" ht="15.75" hidden="false" customHeight="false" outlineLevel="0" collapsed="false">
      <c r="A433" s="3" t="n">
        <f aca="false">IFERROR(__xludf.dummyfunction("""COMPUTED_VALUE"""),44824.6666666667)</f>
        <v>44824.6666666667</v>
      </c>
      <c r="B433" s="2" t="n">
        <f aca="false">IFERROR(__xludf.dummyfunction("""COMPUTED_VALUE"""),49.6)</f>
        <v>49.6</v>
      </c>
      <c r="C433" s="2" t="n">
        <f aca="false">IFERROR(__xludf.dummyfunction("""COMPUTED_VALUE"""),49.88)</f>
        <v>49.88</v>
      </c>
      <c r="D433" s="2" t="n">
        <f aca="false">IFERROR(__xludf.dummyfunction("""COMPUTED_VALUE"""),48.97)</f>
        <v>48.97</v>
      </c>
      <c r="E433" s="2" t="n">
        <f aca="false">IFERROR(__xludf.dummyfunction("""COMPUTED_VALUE"""),49.31)</f>
        <v>49.31</v>
      </c>
      <c r="F433" s="2" t="n">
        <f aca="false">IFERROR(__xludf.dummyfunction("""COMPUTED_VALUE"""),1713164)</f>
        <v>1713164</v>
      </c>
    </row>
    <row r="434" customFormat="false" ht="15.75" hidden="false" customHeight="false" outlineLevel="0" collapsed="false">
      <c r="A434" s="3" t="n">
        <f aca="false">IFERROR(__xludf.dummyfunction("""COMPUTED_VALUE"""),44825.6666666667)</f>
        <v>44825.6666666667</v>
      </c>
      <c r="B434" s="2" t="n">
        <f aca="false">IFERROR(__xludf.dummyfunction("""COMPUTED_VALUE"""),49.1)</f>
        <v>49.1</v>
      </c>
      <c r="C434" s="2" t="n">
        <f aca="false">IFERROR(__xludf.dummyfunction("""COMPUTED_VALUE"""),49.99)</f>
        <v>49.99</v>
      </c>
      <c r="D434" s="2" t="n">
        <f aca="false">IFERROR(__xludf.dummyfunction("""COMPUTED_VALUE"""),48.18)</f>
        <v>48.18</v>
      </c>
      <c r="E434" s="2" t="n">
        <f aca="false">IFERROR(__xludf.dummyfunction("""COMPUTED_VALUE"""),48.21)</f>
        <v>48.21</v>
      </c>
      <c r="F434" s="2" t="n">
        <f aca="false">IFERROR(__xludf.dummyfunction("""COMPUTED_VALUE"""),2066913)</f>
        <v>2066913</v>
      </c>
    </row>
    <row r="435" customFormat="false" ht="15.75" hidden="false" customHeight="false" outlineLevel="0" collapsed="false">
      <c r="A435" s="3" t="n">
        <f aca="false">IFERROR(__xludf.dummyfunction("""COMPUTED_VALUE"""),44826.6666666667)</f>
        <v>44826.6666666667</v>
      </c>
      <c r="B435" s="2" t="n">
        <f aca="false">IFERROR(__xludf.dummyfunction("""COMPUTED_VALUE"""),48.24)</f>
        <v>48.24</v>
      </c>
      <c r="C435" s="2" t="n">
        <f aca="false">IFERROR(__xludf.dummyfunction("""COMPUTED_VALUE"""),48.32)</f>
        <v>48.32</v>
      </c>
      <c r="D435" s="2" t="n">
        <f aca="false">IFERROR(__xludf.dummyfunction("""COMPUTED_VALUE"""),47.3)</f>
        <v>47.3</v>
      </c>
      <c r="E435" s="2" t="n">
        <f aca="false">IFERROR(__xludf.dummyfunction("""COMPUTED_VALUE"""),47.76)</f>
        <v>47.76</v>
      </c>
      <c r="F435" s="2" t="n">
        <f aca="false">IFERROR(__xludf.dummyfunction("""COMPUTED_VALUE"""),2353999)</f>
        <v>2353999</v>
      </c>
    </row>
    <row r="436" customFormat="false" ht="15.75" hidden="false" customHeight="false" outlineLevel="0" collapsed="false">
      <c r="A436" s="3" t="n">
        <f aca="false">IFERROR(__xludf.dummyfunction("""COMPUTED_VALUE"""),44827.6666666667)</f>
        <v>44827.6666666667</v>
      </c>
      <c r="B436" s="2" t="n">
        <f aca="false">IFERROR(__xludf.dummyfunction("""COMPUTED_VALUE"""),47.5)</f>
        <v>47.5</v>
      </c>
      <c r="C436" s="2" t="n">
        <f aca="false">IFERROR(__xludf.dummyfunction("""COMPUTED_VALUE"""),47.8)</f>
        <v>47.8</v>
      </c>
      <c r="D436" s="2" t="n">
        <f aca="false">IFERROR(__xludf.dummyfunction("""COMPUTED_VALUE"""),46.2)</f>
        <v>46.2</v>
      </c>
      <c r="E436" s="2" t="n">
        <f aca="false">IFERROR(__xludf.dummyfunction("""COMPUTED_VALUE"""),46.87)</f>
        <v>46.87</v>
      </c>
      <c r="F436" s="2" t="n">
        <f aca="false">IFERROR(__xludf.dummyfunction("""COMPUTED_VALUE"""),2964907)</f>
        <v>2964907</v>
      </c>
    </row>
    <row r="437" customFormat="false" ht="15.75" hidden="false" customHeight="false" outlineLevel="0" collapsed="false">
      <c r="A437" s="3" t="n">
        <f aca="false">IFERROR(__xludf.dummyfunction("""COMPUTED_VALUE"""),44830.6666666667)</f>
        <v>44830.6666666667</v>
      </c>
      <c r="B437" s="2" t="n">
        <f aca="false">IFERROR(__xludf.dummyfunction("""COMPUTED_VALUE"""),46.9)</f>
        <v>46.9</v>
      </c>
      <c r="C437" s="2" t="n">
        <f aca="false">IFERROR(__xludf.dummyfunction("""COMPUTED_VALUE"""),47.33)</f>
        <v>47.33</v>
      </c>
      <c r="D437" s="2" t="n">
        <f aca="false">IFERROR(__xludf.dummyfunction("""COMPUTED_VALUE"""),46.13)</f>
        <v>46.13</v>
      </c>
      <c r="E437" s="2" t="n">
        <f aca="false">IFERROR(__xludf.dummyfunction("""COMPUTED_VALUE"""),46.23)</f>
        <v>46.23</v>
      </c>
      <c r="F437" s="2" t="n">
        <f aca="false">IFERROR(__xludf.dummyfunction("""COMPUTED_VALUE"""),1936095)</f>
        <v>1936095</v>
      </c>
    </row>
    <row r="438" customFormat="false" ht="15.75" hidden="false" customHeight="false" outlineLevel="0" collapsed="false">
      <c r="A438" s="3" t="n">
        <f aca="false">IFERROR(__xludf.dummyfunction("""COMPUTED_VALUE"""),44831.6666666667)</f>
        <v>44831.6666666667</v>
      </c>
      <c r="B438" s="2" t="n">
        <f aca="false">IFERROR(__xludf.dummyfunction("""COMPUTED_VALUE"""),46.96)</f>
        <v>46.96</v>
      </c>
      <c r="C438" s="2" t="n">
        <f aca="false">IFERROR(__xludf.dummyfunction("""COMPUTED_VALUE"""),46.99)</f>
        <v>46.99</v>
      </c>
      <c r="D438" s="2" t="n">
        <f aca="false">IFERROR(__xludf.dummyfunction("""COMPUTED_VALUE"""),45.65)</f>
        <v>45.65</v>
      </c>
      <c r="E438" s="2" t="n">
        <f aca="false">IFERROR(__xludf.dummyfunction("""COMPUTED_VALUE"""),46.48)</f>
        <v>46.48</v>
      </c>
      <c r="F438" s="2" t="n">
        <f aca="false">IFERROR(__xludf.dummyfunction("""COMPUTED_VALUE"""),1785161)</f>
        <v>1785161</v>
      </c>
    </row>
    <row r="439" customFormat="false" ht="15.75" hidden="false" customHeight="false" outlineLevel="0" collapsed="false">
      <c r="A439" s="3" t="n">
        <f aca="false">IFERROR(__xludf.dummyfunction("""COMPUTED_VALUE"""),44832.6666666667)</f>
        <v>44832.6666666667</v>
      </c>
      <c r="B439" s="2" t="n">
        <f aca="false">IFERROR(__xludf.dummyfunction("""COMPUTED_VALUE"""),46.13)</f>
        <v>46.13</v>
      </c>
      <c r="C439" s="2" t="n">
        <f aca="false">IFERROR(__xludf.dummyfunction("""COMPUTED_VALUE"""),46.88)</f>
        <v>46.88</v>
      </c>
      <c r="D439" s="2" t="n">
        <f aca="false">IFERROR(__xludf.dummyfunction("""COMPUTED_VALUE"""),45.64)</f>
        <v>45.64</v>
      </c>
      <c r="E439" s="2" t="n">
        <f aca="false">IFERROR(__xludf.dummyfunction("""COMPUTED_VALUE"""),46.6)</f>
        <v>46.6</v>
      </c>
      <c r="F439" s="2" t="n">
        <f aca="false">IFERROR(__xludf.dummyfunction("""COMPUTED_VALUE"""),2760544)</f>
        <v>2760544</v>
      </c>
    </row>
    <row r="440" customFormat="false" ht="15.75" hidden="false" customHeight="false" outlineLevel="0" collapsed="false">
      <c r="A440" s="3" t="n">
        <f aca="false">IFERROR(__xludf.dummyfunction("""COMPUTED_VALUE"""),44833.6666666667)</f>
        <v>44833.6666666667</v>
      </c>
      <c r="B440" s="2" t="n">
        <f aca="false">IFERROR(__xludf.dummyfunction("""COMPUTED_VALUE"""),46.09)</f>
        <v>46.09</v>
      </c>
      <c r="C440" s="2" t="n">
        <f aca="false">IFERROR(__xludf.dummyfunction("""COMPUTED_VALUE"""),46.14)</f>
        <v>46.14</v>
      </c>
      <c r="D440" s="2" t="n">
        <f aca="false">IFERROR(__xludf.dummyfunction("""COMPUTED_VALUE"""),44.49)</f>
        <v>44.49</v>
      </c>
      <c r="E440" s="2" t="n">
        <f aca="false">IFERROR(__xludf.dummyfunction("""COMPUTED_VALUE"""),45.01)</f>
        <v>45.01</v>
      </c>
      <c r="F440" s="2" t="n">
        <f aca="false">IFERROR(__xludf.dummyfunction("""COMPUTED_VALUE"""),3999662)</f>
        <v>3999662</v>
      </c>
    </row>
    <row r="441" customFormat="false" ht="15.75" hidden="false" customHeight="false" outlineLevel="0" collapsed="false">
      <c r="A441" s="3" t="n">
        <f aca="false">IFERROR(__xludf.dummyfunction("""COMPUTED_VALUE"""),44834.6666666667)</f>
        <v>44834.6666666667</v>
      </c>
      <c r="B441" s="2" t="n">
        <f aca="false">IFERROR(__xludf.dummyfunction("""COMPUTED_VALUE"""),44.91)</f>
        <v>44.91</v>
      </c>
      <c r="C441" s="2" t="n">
        <f aca="false">IFERROR(__xludf.dummyfunction("""COMPUTED_VALUE"""),45.78)</f>
        <v>45.78</v>
      </c>
      <c r="D441" s="2" t="n">
        <f aca="false">IFERROR(__xludf.dummyfunction("""COMPUTED_VALUE"""),44.36)</f>
        <v>44.36</v>
      </c>
      <c r="E441" s="2" t="n">
        <f aca="false">IFERROR(__xludf.dummyfunction("""COMPUTED_VALUE"""),44.4)</f>
        <v>44.4</v>
      </c>
      <c r="F441" s="2" t="n">
        <f aca="false">IFERROR(__xludf.dummyfunction("""COMPUTED_VALUE"""),2720220)</f>
        <v>2720220</v>
      </c>
    </row>
    <row r="442" customFormat="false" ht="15.75" hidden="false" customHeight="false" outlineLevel="0" collapsed="false">
      <c r="A442" s="3" t="n">
        <f aca="false">IFERROR(__xludf.dummyfunction("""COMPUTED_VALUE"""),44837.6666666667)</f>
        <v>44837.6666666667</v>
      </c>
      <c r="B442" s="2" t="n">
        <f aca="false">IFERROR(__xludf.dummyfunction("""COMPUTED_VALUE"""),44.92)</f>
        <v>44.92</v>
      </c>
      <c r="C442" s="2" t="n">
        <f aca="false">IFERROR(__xludf.dummyfunction("""COMPUTED_VALUE"""),46.1)</f>
        <v>46.1</v>
      </c>
      <c r="D442" s="2" t="n">
        <f aca="false">IFERROR(__xludf.dummyfunction("""COMPUTED_VALUE"""),44.7)</f>
        <v>44.7</v>
      </c>
      <c r="E442" s="2" t="n">
        <f aca="false">IFERROR(__xludf.dummyfunction("""COMPUTED_VALUE"""),45.68)</f>
        <v>45.68</v>
      </c>
      <c r="F442" s="2" t="n">
        <f aca="false">IFERROR(__xludf.dummyfunction("""COMPUTED_VALUE"""),2147893)</f>
        <v>2147893</v>
      </c>
    </row>
    <row r="443" customFormat="false" ht="15.75" hidden="false" customHeight="false" outlineLevel="0" collapsed="false">
      <c r="A443" s="3" t="n">
        <f aca="false">IFERROR(__xludf.dummyfunction("""COMPUTED_VALUE"""),44838.6666666667)</f>
        <v>44838.6666666667</v>
      </c>
      <c r="B443" s="2" t="n">
        <f aca="false">IFERROR(__xludf.dummyfunction("""COMPUTED_VALUE"""),46.85)</f>
        <v>46.85</v>
      </c>
      <c r="C443" s="2" t="n">
        <f aca="false">IFERROR(__xludf.dummyfunction("""COMPUTED_VALUE"""),48.02)</f>
        <v>48.02</v>
      </c>
      <c r="D443" s="2" t="n">
        <f aca="false">IFERROR(__xludf.dummyfunction("""COMPUTED_VALUE"""),46.59)</f>
        <v>46.59</v>
      </c>
      <c r="E443" s="2" t="n">
        <f aca="false">IFERROR(__xludf.dummyfunction("""COMPUTED_VALUE"""),47.99)</f>
        <v>47.99</v>
      </c>
      <c r="F443" s="2" t="n">
        <f aca="false">IFERROR(__xludf.dummyfunction("""COMPUTED_VALUE"""),2727696)</f>
        <v>2727696</v>
      </c>
    </row>
    <row r="444" customFormat="false" ht="15.75" hidden="false" customHeight="false" outlineLevel="0" collapsed="false">
      <c r="A444" s="3" t="n">
        <f aca="false">IFERROR(__xludf.dummyfunction("""COMPUTED_VALUE"""),44839.6666666667)</f>
        <v>44839.6666666667</v>
      </c>
      <c r="B444" s="2" t="n">
        <f aca="false">IFERROR(__xludf.dummyfunction("""COMPUTED_VALUE"""),47.26)</f>
        <v>47.26</v>
      </c>
      <c r="C444" s="2" t="n">
        <f aca="false">IFERROR(__xludf.dummyfunction("""COMPUTED_VALUE"""),48.81)</f>
        <v>48.81</v>
      </c>
      <c r="D444" s="2" t="n">
        <f aca="false">IFERROR(__xludf.dummyfunction("""COMPUTED_VALUE"""),47.15)</f>
        <v>47.15</v>
      </c>
      <c r="E444" s="2" t="n">
        <f aca="false">IFERROR(__xludf.dummyfunction("""COMPUTED_VALUE"""),48.48)</f>
        <v>48.48</v>
      </c>
      <c r="F444" s="2" t="n">
        <f aca="false">IFERROR(__xludf.dummyfunction("""COMPUTED_VALUE"""),1849324)</f>
        <v>1849324</v>
      </c>
    </row>
    <row r="445" customFormat="false" ht="15.75" hidden="false" customHeight="false" outlineLevel="0" collapsed="false">
      <c r="A445" s="3" t="n">
        <f aca="false">IFERROR(__xludf.dummyfunction("""COMPUTED_VALUE"""),44840.6666666667)</f>
        <v>44840.6666666667</v>
      </c>
      <c r="B445" s="2" t="n">
        <f aca="false">IFERROR(__xludf.dummyfunction("""COMPUTED_VALUE"""),48.38)</f>
        <v>48.38</v>
      </c>
      <c r="C445" s="2" t="n">
        <f aca="false">IFERROR(__xludf.dummyfunction("""COMPUTED_VALUE"""),48.97)</f>
        <v>48.97</v>
      </c>
      <c r="D445" s="2" t="n">
        <f aca="false">IFERROR(__xludf.dummyfunction("""COMPUTED_VALUE"""),47.87)</f>
        <v>47.87</v>
      </c>
      <c r="E445" s="2" t="n">
        <f aca="false">IFERROR(__xludf.dummyfunction("""COMPUTED_VALUE"""),47.95)</f>
        <v>47.95</v>
      </c>
      <c r="F445" s="2" t="n">
        <f aca="false">IFERROR(__xludf.dummyfunction("""COMPUTED_VALUE"""),1725000)</f>
        <v>1725000</v>
      </c>
    </row>
    <row r="446" customFormat="false" ht="15.75" hidden="false" customHeight="false" outlineLevel="0" collapsed="false">
      <c r="A446" s="3" t="n">
        <f aca="false">IFERROR(__xludf.dummyfunction("""COMPUTED_VALUE"""),44841.6666666667)</f>
        <v>44841.6666666667</v>
      </c>
      <c r="B446" s="2" t="n">
        <f aca="false">IFERROR(__xludf.dummyfunction("""COMPUTED_VALUE"""),47.24)</f>
        <v>47.24</v>
      </c>
      <c r="C446" s="2" t="n">
        <f aca="false">IFERROR(__xludf.dummyfunction("""COMPUTED_VALUE"""),47.33)</f>
        <v>47.33</v>
      </c>
      <c r="D446" s="2" t="n">
        <f aca="false">IFERROR(__xludf.dummyfunction("""COMPUTED_VALUE"""),45.9)</f>
        <v>45.9</v>
      </c>
      <c r="E446" s="2" t="n">
        <f aca="false">IFERROR(__xludf.dummyfunction("""COMPUTED_VALUE"""),46.05)</f>
        <v>46.05</v>
      </c>
      <c r="F446" s="2" t="n">
        <f aca="false">IFERROR(__xludf.dummyfunction("""COMPUTED_VALUE"""),2842546)</f>
        <v>2842546</v>
      </c>
    </row>
    <row r="447" customFormat="false" ht="15.75" hidden="false" customHeight="false" outlineLevel="0" collapsed="false">
      <c r="A447" s="3" t="n">
        <f aca="false">IFERROR(__xludf.dummyfunction("""COMPUTED_VALUE"""),44844.6666666667)</f>
        <v>44844.6666666667</v>
      </c>
      <c r="B447" s="2" t="n">
        <f aca="false">IFERROR(__xludf.dummyfunction("""COMPUTED_VALUE"""),46)</f>
        <v>46</v>
      </c>
      <c r="C447" s="2" t="n">
        <f aca="false">IFERROR(__xludf.dummyfunction("""COMPUTED_VALUE"""),46.01)</f>
        <v>46.01</v>
      </c>
      <c r="D447" s="2" t="n">
        <f aca="false">IFERROR(__xludf.dummyfunction("""COMPUTED_VALUE"""),43.18)</f>
        <v>43.18</v>
      </c>
      <c r="E447" s="2" t="n">
        <f aca="false">IFERROR(__xludf.dummyfunction("""COMPUTED_VALUE"""),43.77)</f>
        <v>43.77</v>
      </c>
      <c r="F447" s="2" t="n">
        <f aca="false">IFERROR(__xludf.dummyfunction("""COMPUTED_VALUE"""),3345412)</f>
        <v>3345412</v>
      </c>
    </row>
    <row r="448" customFormat="false" ht="15.75" hidden="false" customHeight="false" outlineLevel="0" collapsed="false">
      <c r="A448" s="3" t="n">
        <f aca="false">IFERROR(__xludf.dummyfunction("""COMPUTED_VALUE"""),44845.6666666667)</f>
        <v>44845.6666666667</v>
      </c>
      <c r="B448" s="2" t="n">
        <f aca="false">IFERROR(__xludf.dummyfunction("""COMPUTED_VALUE"""),43.52)</f>
        <v>43.52</v>
      </c>
      <c r="C448" s="2" t="n">
        <f aca="false">IFERROR(__xludf.dummyfunction("""COMPUTED_VALUE"""),43.87)</f>
        <v>43.87</v>
      </c>
      <c r="D448" s="2" t="n">
        <f aca="false">IFERROR(__xludf.dummyfunction("""COMPUTED_VALUE"""),42.56)</f>
        <v>42.56</v>
      </c>
      <c r="E448" s="2" t="n">
        <f aca="false">IFERROR(__xludf.dummyfunction("""COMPUTED_VALUE"""),43.08)</f>
        <v>43.08</v>
      </c>
      <c r="F448" s="2" t="n">
        <f aca="false">IFERROR(__xludf.dummyfunction("""COMPUTED_VALUE"""),2804633)</f>
        <v>2804633</v>
      </c>
    </row>
    <row r="449" customFormat="false" ht="15.75" hidden="false" customHeight="false" outlineLevel="0" collapsed="false">
      <c r="A449" s="3" t="n">
        <f aca="false">IFERROR(__xludf.dummyfunction("""COMPUTED_VALUE"""),44846.6666666667)</f>
        <v>44846.6666666667</v>
      </c>
      <c r="B449" s="2" t="n">
        <f aca="false">IFERROR(__xludf.dummyfunction("""COMPUTED_VALUE"""),43.23)</f>
        <v>43.23</v>
      </c>
      <c r="C449" s="2" t="n">
        <f aca="false">IFERROR(__xludf.dummyfunction("""COMPUTED_VALUE"""),43.57)</f>
        <v>43.57</v>
      </c>
      <c r="D449" s="2" t="n">
        <f aca="false">IFERROR(__xludf.dummyfunction("""COMPUTED_VALUE"""),42.8)</f>
        <v>42.8</v>
      </c>
      <c r="E449" s="2" t="n">
        <f aca="false">IFERROR(__xludf.dummyfunction("""COMPUTED_VALUE"""),43.06)</f>
        <v>43.06</v>
      </c>
      <c r="F449" s="2" t="n">
        <f aca="false">IFERROR(__xludf.dummyfunction("""COMPUTED_VALUE"""),1504625)</f>
        <v>1504625</v>
      </c>
    </row>
    <row r="450" customFormat="false" ht="15.75" hidden="false" customHeight="false" outlineLevel="0" collapsed="false">
      <c r="A450" s="3" t="n">
        <f aca="false">IFERROR(__xludf.dummyfunction("""COMPUTED_VALUE"""),44847.6666666667)</f>
        <v>44847.6666666667</v>
      </c>
      <c r="B450" s="2" t="n">
        <f aca="false">IFERROR(__xludf.dummyfunction("""COMPUTED_VALUE"""),41.74)</f>
        <v>41.74</v>
      </c>
      <c r="C450" s="2" t="n">
        <f aca="false">IFERROR(__xludf.dummyfunction("""COMPUTED_VALUE"""),44.38)</f>
        <v>44.38</v>
      </c>
      <c r="D450" s="2" t="n">
        <f aca="false">IFERROR(__xludf.dummyfunction("""COMPUTED_VALUE"""),41.51)</f>
        <v>41.51</v>
      </c>
      <c r="E450" s="2" t="n">
        <f aca="false">IFERROR(__xludf.dummyfunction("""COMPUTED_VALUE"""),43.8)</f>
        <v>43.8</v>
      </c>
      <c r="F450" s="2" t="n">
        <f aca="false">IFERROR(__xludf.dummyfunction("""COMPUTED_VALUE"""),2798438)</f>
        <v>2798438</v>
      </c>
    </row>
    <row r="451" customFormat="false" ht="15.75" hidden="false" customHeight="false" outlineLevel="0" collapsed="false">
      <c r="A451" s="3" t="n">
        <f aca="false">IFERROR(__xludf.dummyfunction("""COMPUTED_VALUE"""),44848.6666666667)</f>
        <v>44848.6666666667</v>
      </c>
      <c r="B451" s="2" t="n">
        <f aca="false">IFERROR(__xludf.dummyfunction("""COMPUTED_VALUE"""),44.33)</f>
        <v>44.33</v>
      </c>
      <c r="C451" s="2" t="n">
        <f aca="false">IFERROR(__xludf.dummyfunction("""COMPUTED_VALUE"""),44.4)</f>
        <v>44.4</v>
      </c>
      <c r="D451" s="2" t="n">
        <f aca="false">IFERROR(__xludf.dummyfunction("""COMPUTED_VALUE"""),42.64)</f>
        <v>42.64</v>
      </c>
      <c r="E451" s="2" t="n">
        <f aca="false">IFERROR(__xludf.dummyfunction("""COMPUTED_VALUE"""),42.71)</f>
        <v>42.71</v>
      </c>
      <c r="F451" s="2" t="n">
        <f aca="false">IFERROR(__xludf.dummyfunction("""COMPUTED_VALUE"""),2281671)</f>
        <v>2281671</v>
      </c>
    </row>
    <row r="452" customFormat="false" ht="15.75" hidden="false" customHeight="false" outlineLevel="0" collapsed="false">
      <c r="A452" s="3" t="n">
        <f aca="false">IFERROR(__xludf.dummyfunction("""COMPUTED_VALUE"""),44851.6666666667)</f>
        <v>44851.6666666667</v>
      </c>
      <c r="B452" s="2" t="n">
        <f aca="false">IFERROR(__xludf.dummyfunction("""COMPUTED_VALUE"""),43.96)</f>
        <v>43.96</v>
      </c>
      <c r="C452" s="2" t="n">
        <f aca="false">IFERROR(__xludf.dummyfunction("""COMPUTED_VALUE"""),44.12)</f>
        <v>44.12</v>
      </c>
      <c r="D452" s="2" t="n">
        <f aca="false">IFERROR(__xludf.dummyfunction("""COMPUTED_VALUE"""),43.34)</f>
        <v>43.34</v>
      </c>
      <c r="E452" s="2" t="n">
        <f aca="false">IFERROR(__xludf.dummyfunction("""COMPUTED_VALUE"""),43.54)</f>
        <v>43.54</v>
      </c>
      <c r="F452" s="2" t="n">
        <f aca="false">IFERROR(__xludf.dummyfunction("""COMPUTED_VALUE"""),2412009)</f>
        <v>2412009</v>
      </c>
    </row>
    <row r="453" customFormat="false" ht="15.75" hidden="false" customHeight="false" outlineLevel="0" collapsed="false">
      <c r="A453" s="3" t="n">
        <f aca="false">IFERROR(__xludf.dummyfunction("""COMPUTED_VALUE"""),44852.6666666667)</f>
        <v>44852.6666666667</v>
      </c>
      <c r="B453" s="2" t="n">
        <f aca="false">IFERROR(__xludf.dummyfunction("""COMPUTED_VALUE"""),44.82)</f>
        <v>44.82</v>
      </c>
      <c r="C453" s="2" t="n">
        <f aca="false">IFERROR(__xludf.dummyfunction("""COMPUTED_VALUE"""),44.86)</f>
        <v>44.86</v>
      </c>
      <c r="D453" s="2" t="n">
        <f aca="false">IFERROR(__xludf.dummyfunction("""COMPUTED_VALUE"""),43.02)</f>
        <v>43.02</v>
      </c>
      <c r="E453" s="2" t="n">
        <f aca="false">IFERROR(__xludf.dummyfunction("""COMPUTED_VALUE"""),43.48)</f>
        <v>43.48</v>
      </c>
      <c r="F453" s="2" t="n">
        <f aca="false">IFERROR(__xludf.dummyfunction("""COMPUTED_VALUE"""),2034087)</f>
        <v>2034087</v>
      </c>
    </row>
    <row r="454" customFormat="false" ht="15.75" hidden="false" customHeight="false" outlineLevel="0" collapsed="false">
      <c r="A454" s="3" t="n">
        <f aca="false">IFERROR(__xludf.dummyfunction("""COMPUTED_VALUE"""),44853.6666666667)</f>
        <v>44853.6666666667</v>
      </c>
      <c r="B454" s="2" t="n">
        <f aca="false">IFERROR(__xludf.dummyfunction("""COMPUTED_VALUE"""),43.32)</f>
        <v>43.32</v>
      </c>
      <c r="C454" s="2" t="n">
        <f aca="false">IFERROR(__xludf.dummyfunction("""COMPUTED_VALUE"""),43.83)</f>
        <v>43.83</v>
      </c>
      <c r="D454" s="2" t="n">
        <f aca="false">IFERROR(__xludf.dummyfunction("""COMPUTED_VALUE"""),43.09)</f>
        <v>43.09</v>
      </c>
      <c r="E454" s="2" t="n">
        <f aca="false">IFERROR(__xludf.dummyfunction("""COMPUTED_VALUE"""),43.53)</f>
        <v>43.53</v>
      </c>
      <c r="F454" s="2" t="n">
        <f aca="false">IFERROR(__xludf.dummyfunction("""COMPUTED_VALUE"""),1270235)</f>
        <v>1270235</v>
      </c>
    </row>
    <row r="455" customFormat="false" ht="15.75" hidden="false" customHeight="false" outlineLevel="0" collapsed="false">
      <c r="A455" s="3" t="n">
        <f aca="false">IFERROR(__xludf.dummyfunction("""COMPUTED_VALUE"""),44854.6666666667)</f>
        <v>44854.6666666667</v>
      </c>
      <c r="B455" s="2" t="n">
        <f aca="false">IFERROR(__xludf.dummyfunction("""COMPUTED_VALUE"""),43.51)</f>
        <v>43.51</v>
      </c>
      <c r="C455" s="2" t="n">
        <f aca="false">IFERROR(__xludf.dummyfunction("""COMPUTED_VALUE"""),44.22)</f>
        <v>44.22</v>
      </c>
      <c r="D455" s="2" t="n">
        <f aca="false">IFERROR(__xludf.dummyfunction("""COMPUTED_VALUE"""),42.81)</f>
        <v>42.81</v>
      </c>
      <c r="E455" s="2" t="n">
        <f aca="false">IFERROR(__xludf.dummyfunction("""COMPUTED_VALUE"""),43.03)</f>
        <v>43.03</v>
      </c>
      <c r="F455" s="2" t="n">
        <f aca="false">IFERROR(__xludf.dummyfunction("""COMPUTED_VALUE"""),2340319)</f>
        <v>2340319</v>
      </c>
    </row>
    <row r="456" customFormat="false" ht="15.75" hidden="false" customHeight="false" outlineLevel="0" collapsed="false">
      <c r="A456" s="3" t="n">
        <f aca="false">IFERROR(__xludf.dummyfunction("""COMPUTED_VALUE"""),44855.6666666667)</f>
        <v>44855.6666666667</v>
      </c>
      <c r="B456" s="2" t="n">
        <f aca="false">IFERROR(__xludf.dummyfunction("""COMPUTED_VALUE"""),43.21)</f>
        <v>43.21</v>
      </c>
      <c r="C456" s="2" t="n">
        <f aca="false">IFERROR(__xludf.dummyfunction("""COMPUTED_VALUE"""),45.07)</f>
        <v>45.07</v>
      </c>
      <c r="D456" s="2" t="n">
        <f aca="false">IFERROR(__xludf.dummyfunction("""COMPUTED_VALUE"""),42.92)</f>
        <v>42.92</v>
      </c>
      <c r="E456" s="2" t="n">
        <f aca="false">IFERROR(__xludf.dummyfunction("""COMPUTED_VALUE"""),44.97)</f>
        <v>44.97</v>
      </c>
      <c r="F456" s="2" t="n">
        <f aca="false">IFERROR(__xludf.dummyfunction("""COMPUTED_VALUE"""),2697968)</f>
        <v>2697968</v>
      </c>
    </row>
    <row r="457" customFormat="false" ht="15.75" hidden="false" customHeight="false" outlineLevel="0" collapsed="false">
      <c r="A457" s="3" t="n">
        <f aca="false">IFERROR(__xludf.dummyfunction("""COMPUTED_VALUE"""),44858.6666666667)</f>
        <v>44858.6666666667</v>
      </c>
      <c r="B457" s="2" t="n">
        <f aca="false">IFERROR(__xludf.dummyfunction("""COMPUTED_VALUE"""),45.27)</f>
        <v>45.27</v>
      </c>
      <c r="C457" s="2" t="n">
        <f aca="false">IFERROR(__xludf.dummyfunction("""COMPUTED_VALUE"""),45.88)</f>
        <v>45.88</v>
      </c>
      <c r="D457" s="2" t="n">
        <f aca="false">IFERROR(__xludf.dummyfunction("""COMPUTED_VALUE"""),45.11)</f>
        <v>45.11</v>
      </c>
      <c r="E457" s="2" t="n">
        <f aca="false">IFERROR(__xludf.dummyfunction("""COMPUTED_VALUE"""),45.65)</f>
        <v>45.65</v>
      </c>
      <c r="F457" s="2" t="n">
        <f aca="false">IFERROR(__xludf.dummyfunction("""COMPUTED_VALUE"""),2528701)</f>
        <v>2528701</v>
      </c>
    </row>
    <row r="458" customFormat="false" ht="15.75" hidden="false" customHeight="false" outlineLevel="0" collapsed="false">
      <c r="A458" s="3" t="n">
        <f aca="false">IFERROR(__xludf.dummyfunction("""COMPUTED_VALUE"""),44859.6666666667)</f>
        <v>44859.6666666667</v>
      </c>
      <c r="B458" s="2" t="n">
        <f aca="false">IFERROR(__xludf.dummyfunction("""COMPUTED_VALUE"""),45.8)</f>
        <v>45.8</v>
      </c>
      <c r="C458" s="2" t="n">
        <f aca="false">IFERROR(__xludf.dummyfunction("""COMPUTED_VALUE"""),46.43)</f>
        <v>46.43</v>
      </c>
      <c r="D458" s="2" t="n">
        <f aca="false">IFERROR(__xludf.dummyfunction("""COMPUTED_VALUE"""),45.68)</f>
        <v>45.68</v>
      </c>
      <c r="E458" s="2" t="n">
        <f aca="false">IFERROR(__xludf.dummyfunction("""COMPUTED_VALUE"""),46.01)</f>
        <v>46.01</v>
      </c>
      <c r="F458" s="2" t="n">
        <f aca="false">IFERROR(__xludf.dummyfunction("""COMPUTED_VALUE"""),1824609)</f>
        <v>1824609</v>
      </c>
    </row>
    <row r="459" customFormat="false" ht="15.75" hidden="false" customHeight="false" outlineLevel="0" collapsed="false">
      <c r="A459" s="3" t="n">
        <f aca="false">IFERROR(__xludf.dummyfunction("""COMPUTED_VALUE"""),44860.6666666667)</f>
        <v>44860.6666666667</v>
      </c>
      <c r="B459" s="2" t="n">
        <f aca="false">IFERROR(__xludf.dummyfunction("""COMPUTED_VALUE"""),45.8)</f>
        <v>45.8</v>
      </c>
      <c r="C459" s="2" t="n">
        <f aca="false">IFERROR(__xludf.dummyfunction("""COMPUTED_VALUE"""),47.18)</f>
        <v>47.18</v>
      </c>
      <c r="D459" s="2" t="n">
        <f aca="false">IFERROR(__xludf.dummyfunction("""COMPUTED_VALUE"""),45.53)</f>
        <v>45.53</v>
      </c>
      <c r="E459" s="2" t="n">
        <f aca="false">IFERROR(__xludf.dummyfunction("""COMPUTED_VALUE"""),46.12)</f>
        <v>46.12</v>
      </c>
      <c r="F459" s="2" t="n">
        <f aca="false">IFERROR(__xludf.dummyfunction("""COMPUTED_VALUE"""),2931519)</f>
        <v>2931519</v>
      </c>
    </row>
    <row r="460" customFormat="false" ht="15.75" hidden="false" customHeight="false" outlineLevel="0" collapsed="false">
      <c r="A460" s="3" t="n">
        <f aca="false">IFERROR(__xludf.dummyfunction("""COMPUTED_VALUE"""),44861.6666666667)</f>
        <v>44861.6666666667</v>
      </c>
      <c r="B460" s="2" t="n">
        <f aca="false">IFERROR(__xludf.dummyfunction("""COMPUTED_VALUE"""),46.61)</f>
        <v>46.61</v>
      </c>
      <c r="C460" s="2" t="n">
        <f aca="false">IFERROR(__xludf.dummyfunction("""COMPUTED_VALUE"""),47.08)</f>
        <v>47.08</v>
      </c>
      <c r="D460" s="2" t="n">
        <f aca="false">IFERROR(__xludf.dummyfunction("""COMPUTED_VALUE"""),45.49)</f>
        <v>45.49</v>
      </c>
      <c r="E460" s="2" t="n">
        <f aca="false">IFERROR(__xludf.dummyfunction("""COMPUTED_VALUE"""),45.54)</f>
        <v>45.54</v>
      </c>
      <c r="F460" s="2" t="n">
        <f aca="false">IFERROR(__xludf.dummyfunction("""COMPUTED_VALUE"""),1851186)</f>
        <v>1851186</v>
      </c>
    </row>
    <row r="461" customFormat="false" ht="15.75" hidden="false" customHeight="false" outlineLevel="0" collapsed="false">
      <c r="A461" s="3" t="n">
        <f aca="false">IFERROR(__xludf.dummyfunction("""COMPUTED_VALUE"""),44862.6666666667)</f>
        <v>44862.6666666667</v>
      </c>
      <c r="B461" s="2" t="n">
        <f aca="false">IFERROR(__xludf.dummyfunction("""COMPUTED_VALUE"""),45.7)</f>
        <v>45.7</v>
      </c>
      <c r="C461" s="2" t="n">
        <f aca="false">IFERROR(__xludf.dummyfunction("""COMPUTED_VALUE"""),47.43)</f>
        <v>47.43</v>
      </c>
      <c r="D461" s="2" t="n">
        <f aca="false">IFERROR(__xludf.dummyfunction("""COMPUTED_VALUE"""),45.56)</f>
        <v>45.56</v>
      </c>
      <c r="E461" s="2" t="n">
        <f aca="false">IFERROR(__xludf.dummyfunction("""COMPUTED_VALUE"""),47.29)</f>
        <v>47.29</v>
      </c>
      <c r="F461" s="2" t="n">
        <f aca="false">IFERROR(__xludf.dummyfunction("""COMPUTED_VALUE"""),2309608)</f>
        <v>2309608</v>
      </c>
    </row>
    <row r="462" customFormat="false" ht="15.75" hidden="false" customHeight="false" outlineLevel="0" collapsed="false">
      <c r="A462" s="3" t="n">
        <f aca="false">IFERROR(__xludf.dummyfunction("""COMPUTED_VALUE"""),44865.6666666667)</f>
        <v>44865.6666666667</v>
      </c>
      <c r="B462" s="2" t="n">
        <f aca="false">IFERROR(__xludf.dummyfunction("""COMPUTED_VALUE"""),46.69)</f>
        <v>46.69</v>
      </c>
      <c r="C462" s="2" t="n">
        <f aca="false">IFERROR(__xludf.dummyfunction("""COMPUTED_VALUE"""),47.28)</f>
        <v>47.28</v>
      </c>
      <c r="D462" s="2" t="n">
        <f aca="false">IFERROR(__xludf.dummyfunction("""COMPUTED_VALUE"""),46.5)</f>
        <v>46.5</v>
      </c>
      <c r="E462" s="2" t="n">
        <f aca="false">IFERROR(__xludf.dummyfunction("""COMPUTED_VALUE"""),47.01)</f>
        <v>47.01</v>
      </c>
      <c r="F462" s="2" t="n">
        <f aca="false">IFERROR(__xludf.dummyfunction("""COMPUTED_VALUE"""),1925861)</f>
        <v>1925861</v>
      </c>
    </row>
    <row r="463" customFormat="false" ht="15.75" hidden="false" customHeight="false" outlineLevel="0" collapsed="false">
      <c r="A463" s="3" t="n">
        <f aca="false">IFERROR(__xludf.dummyfunction("""COMPUTED_VALUE"""),44866.6666666667)</f>
        <v>44866.6666666667</v>
      </c>
      <c r="B463" s="2" t="n">
        <f aca="false">IFERROR(__xludf.dummyfunction("""COMPUTED_VALUE"""),47.58)</f>
        <v>47.58</v>
      </c>
      <c r="C463" s="2" t="n">
        <f aca="false">IFERROR(__xludf.dummyfunction("""COMPUTED_VALUE"""),47.68)</f>
        <v>47.68</v>
      </c>
      <c r="D463" s="2" t="n">
        <f aca="false">IFERROR(__xludf.dummyfunction("""COMPUTED_VALUE"""),46.32)</f>
        <v>46.32</v>
      </c>
      <c r="E463" s="2" t="n">
        <f aca="false">IFERROR(__xludf.dummyfunction("""COMPUTED_VALUE"""),46.79)</f>
        <v>46.79</v>
      </c>
      <c r="F463" s="2" t="n">
        <f aca="false">IFERROR(__xludf.dummyfunction("""COMPUTED_VALUE"""),1632438)</f>
        <v>1632438</v>
      </c>
    </row>
    <row r="464" customFormat="false" ht="15.75" hidden="false" customHeight="false" outlineLevel="0" collapsed="false">
      <c r="A464" s="3" t="n">
        <f aca="false">IFERROR(__xludf.dummyfunction("""COMPUTED_VALUE"""),44867.6666666667)</f>
        <v>44867.6666666667</v>
      </c>
      <c r="B464" s="2" t="n">
        <f aca="false">IFERROR(__xludf.dummyfunction("""COMPUTED_VALUE"""),47.03)</f>
        <v>47.03</v>
      </c>
      <c r="C464" s="2" t="n">
        <f aca="false">IFERROR(__xludf.dummyfunction("""COMPUTED_VALUE"""),48.05)</f>
        <v>48.05</v>
      </c>
      <c r="D464" s="2" t="n">
        <f aca="false">IFERROR(__xludf.dummyfunction("""COMPUTED_VALUE"""),45.57)</f>
        <v>45.57</v>
      </c>
      <c r="E464" s="2" t="n">
        <f aca="false">IFERROR(__xludf.dummyfunction("""COMPUTED_VALUE"""),45.6)</f>
        <v>45.6</v>
      </c>
      <c r="F464" s="2" t="n">
        <f aca="false">IFERROR(__xludf.dummyfunction("""COMPUTED_VALUE"""),2109131)</f>
        <v>2109131</v>
      </c>
    </row>
    <row r="465" customFormat="false" ht="15.75" hidden="false" customHeight="false" outlineLevel="0" collapsed="false">
      <c r="A465" s="3" t="n">
        <f aca="false">IFERROR(__xludf.dummyfunction("""COMPUTED_VALUE"""),44868.6666666667)</f>
        <v>44868.6666666667</v>
      </c>
      <c r="B465" s="2" t="n">
        <f aca="false">IFERROR(__xludf.dummyfunction("""COMPUTED_VALUE"""),45.09)</f>
        <v>45.09</v>
      </c>
      <c r="C465" s="2" t="n">
        <f aca="false">IFERROR(__xludf.dummyfunction("""COMPUTED_VALUE"""),45.29)</f>
        <v>45.29</v>
      </c>
      <c r="D465" s="2" t="n">
        <f aca="false">IFERROR(__xludf.dummyfunction("""COMPUTED_VALUE"""),44.14)</f>
        <v>44.14</v>
      </c>
      <c r="E465" s="2" t="n">
        <f aca="false">IFERROR(__xludf.dummyfunction("""COMPUTED_VALUE"""),44.41)</f>
        <v>44.41</v>
      </c>
      <c r="F465" s="2" t="n">
        <f aca="false">IFERROR(__xludf.dummyfunction("""COMPUTED_VALUE"""),2388727)</f>
        <v>2388727</v>
      </c>
    </row>
    <row r="466" customFormat="false" ht="15.75" hidden="false" customHeight="false" outlineLevel="0" collapsed="false">
      <c r="A466" s="3" t="n">
        <f aca="false">IFERROR(__xludf.dummyfunction("""COMPUTED_VALUE"""),44869.6666666667)</f>
        <v>44869.6666666667</v>
      </c>
      <c r="B466" s="2" t="n">
        <f aca="false">IFERROR(__xludf.dummyfunction("""COMPUTED_VALUE"""),45.69)</f>
        <v>45.69</v>
      </c>
      <c r="C466" s="2" t="n">
        <f aca="false">IFERROR(__xludf.dummyfunction("""COMPUTED_VALUE"""),46.89)</f>
        <v>46.89</v>
      </c>
      <c r="D466" s="2" t="n">
        <f aca="false">IFERROR(__xludf.dummyfunction("""COMPUTED_VALUE"""),45.33)</f>
        <v>45.33</v>
      </c>
      <c r="E466" s="2" t="n">
        <f aca="false">IFERROR(__xludf.dummyfunction("""COMPUTED_VALUE"""),46.53)</f>
        <v>46.53</v>
      </c>
      <c r="F466" s="2" t="n">
        <f aca="false">IFERROR(__xludf.dummyfunction("""COMPUTED_VALUE"""),2889054)</f>
        <v>2889054</v>
      </c>
    </row>
    <row r="467" customFormat="false" ht="15.75" hidden="false" customHeight="false" outlineLevel="0" collapsed="false">
      <c r="A467" s="3" t="n">
        <f aca="false">IFERROR(__xludf.dummyfunction("""COMPUTED_VALUE"""),44872.6666666667)</f>
        <v>44872.6666666667</v>
      </c>
      <c r="B467" s="2" t="n">
        <f aca="false">IFERROR(__xludf.dummyfunction("""COMPUTED_VALUE"""),46.68)</f>
        <v>46.68</v>
      </c>
      <c r="C467" s="2" t="n">
        <f aca="false">IFERROR(__xludf.dummyfunction("""COMPUTED_VALUE"""),47.77)</f>
        <v>47.77</v>
      </c>
      <c r="D467" s="2" t="n">
        <f aca="false">IFERROR(__xludf.dummyfunction("""COMPUTED_VALUE"""),46.16)</f>
        <v>46.16</v>
      </c>
      <c r="E467" s="2" t="n">
        <f aca="false">IFERROR(__xludf.dummyfunction("""COMPUTED_VALUE"""),47.52)</f>
        <v>47.52</v>
      </c>
      <c r="F467" s="2" t="n">
        <f aca="false">IFERROR(__xludf.dummyfunction("""COMPUTED_VALUE"""),1768745)</f>
        <v>1768745</v>
      </c>
    </row>
    <row r="468" customFormat="false" ht="15.75" hidden="false" customHeight="false" outlineLevel="0" collapsed="false">
      <c r="A468" s="3" t="n">
        <f aca="false">IFERROR(__xludf.dummyfunction("""COMPUTED_VALUE"""),44873.6666666667)</f>
        <v>44873.6666666667</v>
      </c>
      <c r="B468" s="2" t="n">
        <f aca="false">IFERROR(__xludf.dummyfunction("""COMPUTED_VALUE"""),48.12)</f>
        <v>48.12</v>
      </c>
      <c r="C468" s="2" t="n">
        <f aca="false">IFERROR(__xludf.dummyfunction("""COMPUTED_VALUE"""),48.88)</f>
        <v>48.88</v>
      </c>
      <c r="D468" s="2" t="n">
        <f aca="false">IFERROR(__xludf.dummyfunction("""COMPUTED_VALUE"""),47.35)</f>
        <v>47.35</v>
      </c>
      <c r="E468" s="2" t="n">
        <f aca="false">IFERROR(__xludf.dummyfunction("""COMPUTED_VALUE"""),48.21)</f>
        <v>48.21</v>
      </c>
      <c r="F468" s="2" t="n">
        <f aca="false">IFERROR(__xludf.dummyfunction("""COMPUTED_VALUE"""),2074321)</f>
        <v>2074321</v>
      </c>
    </row>
    <row r="469" customFormat="false" ht="15.75" hidden="false" customHeight="false" outlineLevel="0" collapsed="false">
      <c r="A469" s="3" t="n">
        <f aca="false">IFERROR(__xludf.dummyfunction("""COMPUTED_VALUE"""),44874.6666666667)</f>
        <v>44874.6666666667</v>
      </c>
      <c r="B469" s="2" t="n">
        <f aca="false">IFERROR(__xludf.dummyfunction("""COMPUTED_VALUE"""),47.85)</f>
        <v>47.85</v>
      </c>
      <c r="C469" s="2" t="n">
        <f aca="false">IFERROR(__xludf.dummyfunction("""COMPUTED_VALUE"""),47.9)</f>
        <v>47.9</v>
      </c>
      <c r="D469" s="2" t="n">
        <f aca="false">IFERROR(__xludf.dummyfunction("""COMPUTED_VALUE"""),46.9)</f>
        <v>46.9</v>
      </c>
      <c r="E469" s="2" t="n">
        <f aca="false">IFERROR(__xludf.dummyfunction("""COMPUTED_VALUE"""),46.95)</f>
        <v>46.95</v>
      </c>
      <c r="F469" s="2" t="n">
        <f aca="false">IFERROR(__xludf.dummyfunction("""COMPUTED_VALUE"""),2369509)</f>
        <v>2369509</v>
      </c>
    </row>
    <row r="470" customFormat="false" ht="15.75" hidden="false" customHeight="false" outlineLevel="0" collapsed="false">
      <c r="A470" s="3" t="n">
        <f aca="false">IFERROR(__xludf.dummyfunction("""COMPUTED_VALUE"""),44875.6666666667)</f>
        <v>44875.6666666667</v>
      </c>
      <c r="B470" s="2" t="n">
        <f aca="false">IFERROR(__xludf.dummyfunction("""COMPUTED_VALUE"""),49.1)</f>
        <v>49.1</v>
      </c>
      <c r="C470" s="2" t="n">
        <f aca="false">IFERROR(__xludf.dummyfunction("""COMPUTED_VALUE"""),50.72)</f>
        <v>50.72</v>
      </c>
      <c r="D470" s="2" t="n">
        <f aca="false">IFERROR(__xludf.dummyfunction("""COMPUTED_VALUE"""),48.72)</f>
        <v>48.72</v>
      </c>
      <c r="E470" s="2" t="n">
        <f aca="false">IFERROR(__xludf.dummyfunction("""COMPUTED_VALUE"""),50.66)</f>
        <v>50.66</v>
      </c>
      <c r="F470" s="2" t="n">
        <f aca="false">IFERROR(__xludf.dummyfunction("""COMPUTED_VALUE"""),3397028)</f>
        <v>3397028</v>
      </c>
    </row>
    <row r="471" customFormat="false" ht="15.75" hidden="false" customHeight="false" outlineLevel="0" collapsed="false">
      <c r="A471" s="3" t="n">
        <f aca="false">IFERROR(__xludf.dummyfunction("""COMPUTED_VALUE"""),44876.6666666667)</f>
        <v>44876.6666666667</v>
      </c>
      <c r="B471" s="2" t="n">
        <f aca="false">IFERROR(__xludf.dummyfunction("""COMPUTED_VALUE"""),50.48)</f>
        <v>50.48</v>
      </c>
      <c r="C471" s="2" t="n">
        <f aca="false">IFERROR(__xludf.dummyfunction("""COMPUTED_VALUE"""),51.9)</f>
        <v>51.9</v>
      </c>
      <c r="D471" s="2" t="n">
        <f aca="false">IFERROR(__xludf.dummyfunction("""COMPUTED_VALUE"""),50.2)</f>
        <v>50.2</v>
      </c>
      <c r="E471" s="2" t="n">
        <f aca="false">IFERROR(__xludf.dummyfunction("""COMPUTED_VALUE"""),51.81)</f>
        <v>51.81</v>
      </c>
      <c r="F471" s="2" t="n">
        <f aca="false">IFERROR(__xludf.dummyfunction("""COMPUTED_VALUE"""),2672832)</f>
        <v>2672832</v>
      </c>
    </row>
    <row r="472" customFormat="false" ht="15.75" hidden="false" customHeight="false" outlineLevel="0" collapsed="false">
      <c r="A472" s="3" t="n">
        <f aca="false">IFERROR(__xludf.dummyfunction("""COMPUTED_VALUE"""),44879.6666666667)</f>
        <v>44879.6666666667</v>
      </c>
      <c r="B472" s="2" t="n">
        <f aca="false">IFERROR(__xludf.dummyfunction("""COMPUTED_VALUE"""),51.54)</f>
        <v>51.54</v>
      </c>
      <c r="C472" s="2" t="n">
        <f aca="false">IFERROR(__xludf.dummyfunction("""COMPUTED_VALUE"""),52.5)</f>
        <v>52.5</v>
      </c>
      <c r="D472" s="2" t="n">
        <f aca="false">IFERROR(__xludf.dummyfunction("""COMPUTED_VALUE"""),51.3)</f>
        <v>51.3</v>
      </c>
      <c r="E472" s="2" t="n">
        <f aca="false">IFERROR(__xludf.dummyfunction("""COMPUTED_VALUE"""),51.32)</f>
        <v>51.32</v>
      </c>
      <c r="F472" s="2" t="n">
        <f aca="false">IFERROR(__xludf.dummyfunction("""COMPUTED_VALUE"""),2160182)</f>
        <v>2160182</v>
      </c>
    </row>
    <row r="473" customFormat="false" ht="15.75" hidden="false" customHeight="false" outlineLevel="0" collapsed="false">
      <c r="A473" s="3" t="n">
        <f aca="false">IFERROR(__xludf.dummyfunction("""COMPUTED_VALUE"""),44880.6666666667)</f>
        <v>44880.6666666667</v>
      </c>
      <c r="B473" s="2" t="n">
        <f aca="false">IFERROR(__xludf.dummyfunction("""COMPUTED_VALUE"""),53)</f>
        <v>53</v>
      </c>
      <c r="C473" s="2" t="n">
        <f aca="false">IFERROR(__xludf.dummyfunction("""COMPUTED_VALUE"""),53.26)</f>
        <v>53.26</v>
      </c>
      <c r="D473" s="2" t="n">
        <f aca="false">IFERROR(__xludf.dummyfunction("""COMPUTED_VALUE"""),51.59)</f>
        <v>51.59</v>
      </c>
      <c r="E473" s="2" t="n">
        <f aca="false">IFERROR(__xludf.dummyfunction("""COMPUTED_VALUE"""),52.44)</f>
        <v>52.44</v>
      </c>
      <c r="F473" s="2" t="n">
        <f aca="false">IFERROR(__xludf.dummyfunction("""COMPUTED_VALUE"""),2331539)</f>
        <v>2331539</v>
      </c>
    </row>
    <row r="474" customFormat="false" ht="15.75" hidden="false" customHeight="false" outlineLevel="0" collapsed="false">
      <c r="A474" s="3" t="n">
        <f aca="false">IFERROR(__xludf.dummyfunction("""COMPUTED_VALUE"""),44881.6666666667)</f>
        <v>44881.6666666667</v>
      </c>
      <c r="B474" s="2" t="n">
        <f aca="false">IFERROR(__xludf.dummyfunction("""COMPUTED_VALUE"""),51.67)</f>
        <v>51.67</v>
      </c>
      <c r="C474" s="2" t="n">
        <f aca="false">IFERROR(__xludf.dummyfunction("""COMPUTED_VALUE"""),51.85)</f>
        <v>51.85</v>
      </c>
      <c r="D474" s="2" t="n">
        <f aca="false">IFERROR(__xludf.dummyfunction("""COMPUTED_VALUE"""),51.03)</f>
        <v>51.03</v>
      </c>
      <c r="E474" s="2" t="n">
        <f aca="false">IFERROR(__xludf.dummyfunction("""COMPUTED_VALUE"""),51.17)</f>
        <v>51.17</v>
      </c>
      <c r="F474" s="2" t="n">
        <f aca="false">IFERROR(__xludf.dummyfunction("""COMPUTED_VALUE"""),2540504)</f>
        <v>2540504</v>
      </c>
    </row>
    <row r="475" customFormat="false" ht="15.75" hidden="false" customHeight="false" outlineLevel="0" collapsed="false">
      <c r="A475" s="3" t="n">
        <f aca="false">IFERROR(__xludf.dummyfunction("""COMPUTED_VALUE"""),44882.6666666667)</f>
        <v>44882.6666666667</v>
      </c>
      <c r="B475" s="2" t="n">
        <f aca="false">IFERROR(__xludf.dummyfunction("""COMPUTED_VALUE"""),50.5)</f>
        <v>50.5</v>
      </c>
      <c r="C475" s="2" t="n">
        <f aca="false">IFERROR(__xludf.dummyfunction("""COMPUTED_VALUE"""),51.27)</f>
        <v>51.27</v>
      </c>
      <c r="D475" s="2" t="n">
        <f aca="false">IFERROR(__xludf.dummyfunction("""COMPUTED_VALUE"""),50.31)</f>
        <v>50.31</v>
      </c>
      <c r="E475" s="2" t="n">
        <f aca="false">IFERROR(__xludf.dummyfunction("""COMPUTED_VALUE"""),51.21)</f>
        <v>51.21</v>
      </c>
      <c r="F475" s="2" t="n">
        <f aca="false">IFERROR(__xludf.dummyfunction("""COMPUTED_VALUE"""),2038503)</f>
        <v>2038503</v>
      </c>
    </row>
    <row r="476" customFormat="false" ht="15.75" hidden="false" customHeight="false" outlineLevel="0" collapsed="false">
      <c r="A476" s="3" t="n">
        <f aca="false">IFERROR(__xludf.dummyfunction("""COMPUTED_VALUE"""),44883.6666666667)</f>
        <v>44883.6666666667</v>
      </c>
      <c r="B476" s="2" t="n">
        <f aca="false">IFERROR(__xludf.dummyfunction("""COMPUTED_VALUE"""),51.69)</f>
        <v>51.69</v>
      </c>
      <c r="C476" s="2" t="n">
        <f aca="false">IFERROR(__xludf.dummyfunction("""COMPUTED_VALUE"""),51.77)</f>
        <v>51.77</v>
      </c>
      <c r="D476" s="2" t="n">
        <f aca="false">IFERROR(__xludf.dummyfunction("""COMPUTED_VALUE"""),51.1)</f>
        <v>51.1</v>
      </c>
      <c r="E476" s="2" t="n">
        <f aca="false">IFERROR(__xludf.dummyfunction("""COMPUTED_VALUE"""),51.52)</f>
        <v>51.52</v>
      </c>
      <c r="F476" s="2" t="n">
        <f aca="false">IFERROR(__xludf.dummyfunction("""COMPUTED_VALUE"""),1453871)</f>
        <v>1453871</v>
      </c>
    </row>
    <row r="477" customFormat="false" ht="15.75" hidden="false" customHeight="false" outlineLevel="0" collapsed="false">
      <c r="A477" s="3" t="n">
        <f aca="false">IFERROR(__xludf.dummyfunction("""COMPUTED_VALUE"""),44886.6666666667)</f>
        <v>44886.6666666667</v>
      </c>
      <c r="B477" s="2" t="n">
        <f aca="false">IFERROR(__xludf.dummyfunction("""COMPUTED_VALUE"""),51.29)</f>
        <v>51.29</v>
      </c>
      <c r="C477" s="2" t="n">
        <f aca="false">IFERROR(__xludf.dummyfunction("""COMPUTED_VALUE"""),52.09)</f>
        <v>52.09</v>
      </c>
      <c r="D477" s="2" t="n">
        <f aca="false">IFERROR(__xludf.dummyfunction("""COMPUTED_VALUE"""),51.11)</f>
        <v>51.11</v>
      </c>
      <c r="E477" s="2" t="n">
        <f aca="false">IFERROR(__xludf.dummyfunction("""COMPUTED_VALUE"""),51.74)</f>
        <v>51.74</v>
      </c>
      <c r="F477" s="2" t="n">
        <f aca="false">IFERROR(__xludf.dummyfunction("""COMPUTED_VALUE"""),1862162)</f>
        <v>1862162</v>
      </c>
    </row>
    <row r="478" customFormat="false" ht="15.75" hidden="false" customHeight="false" outlineLevel="0" collapsed="false">
      <c r="A478" s="3" t="n">
        <f aca="false">IFERROR(__xludf.dummyfunction("""COMPUTED_VALUE"""),44887.6666666667)</f>
        <v>44887.6666666667</v>
      </c>
      <c r="B478" s="2" t="n">
        <f aca="false">IFERROR(__xludf.dummyfunction("""COMPUTED_VALUE"""),52.3)</f>
        <v>52.3</v>
      </c>
      <c r="C478" s="2" t="n">
        <f aca="false">IFERROR(__xludf.dummyfunction("""COMPUTED_VALUE"""),53.03)</f>
        <v>53.03</v>
      </c>
      <c r="D478" s="2" t="n">
        <f aca="false">IFERROR(__xludf.dummyfunction("""COMPUTED_VALUE"""),51.9)</f>
        <v>51.9</v>
      </c>
      <c r="E478" s="2" t="n">
        <f aca="false">IFERROR(__xludf.dummyfunction("""COMPUTED_VALUE"""),53.01)</f>
        <v>53.01</v>
      </c>
      <c r="F478" s="2" t="n">
        <f aca="false">IFERROR(__xludf.dummyfunction("""COMPUTED_VALUE"""),1891968)</f>
        <v>1891968</v>
      </c>
    </row>
    <row r="479" customFormat="false" ht="15.75" hidden="false" customHeight="false" outlineLevel="0" collapsed="false">
      <c r="A479" s="3" t="n">
        <f aca="false">IFERROR(__xludf.dummyfunction("""COMPUTED_VALUE"""),44888.6666666667)</f>
        <v>44888.6666666667</v>
      </c>
      <c r="B479" s="2" t="n">
        <f aca="false">IFERROR(__xludf.dummyfunction("""COMPUTED_VALUE"""),53.04)</f>
        <v>53.04</v>
      </c>
      <c r="C479" s="2" t="n">
        <f aca="false">IFERROR(__xludf.dummyfunction("""COMPUTED_VALUE"""),54.15)</f>
        <v>54.15</v>
      </c>
      <c r="D479" s="2" t="n">
        <f aca="false">IFERROR(__xludf.dummyfunction("""COMPUTED_VALUE"""),52.88)</f>
        <v>52.88</v>
      </c>
      <c r="E479" s="2" t="n">
        <f aca="false">IFERROR(__xludf.dummyfunction("""COMPUTED_VALUE"""),53.36)</f>
        <v>53.36</v>
      </c>
      <c r="F479" s="2" t="n">
        <f aca="false">IFERROR(__xludf.dummyfunction("""COMPUTED_VALUE"""),1396717)</f>
        <v>1396717</v>
      </c>
    </row>
    <row r="480" customFormat="false" ht="15.75" hidden="false" customHeight="false" outlineLevel="0" collapsed="false">
      <c r="A480" s="3" t="n">
        <f aca="false">IFERROR(__xludf.dummyfunction("""COMPUTED_VALUE"""),44890.5451388889)</f>
        <v>44890.5451388889</v>
      </c>
      <c r="B480" s="2" t="n">
        <f aca="false">IFERROR(__xludf.dummyfunction("""COMPUTED_VALUE"""),53.07)</f>
        <v>53.07</v>
      </c>
      <c r="C480" s="2" t="n">
        <f aca="false">IFERROR(__xludf.dummyfunction("""COMPUTED_VALUE"""),53.46)</f>
        <v>53.46</v>
      </c>
      <c r="D480" s="2" t="n">
        <f aca="false">IFERROR(__xludf.dummyfunction("""COMPUTED_VALUE"""),52.95)</f>
        <v>52.95</v>
      </c>
      <c r="E480" s="2" t="n">
        <f aca="false">IFERROR(__xludf.dummyfunction("""COMPUTED_VALUE"""),52.99)</f>
        <v>52.99</v>
      </c>
      <c r="F480" s="2" t="n">
        <f aca="false">IFERROR(__xludf.dummyfunction("""COMPUTED_VALUE"""),745539)</f>
        <v>745539</v>
      </c>
    </row>
    <row r="481" customFormat="false" ht="15.75" hidden="false" customHeight="false" outlineLevel="0" collapsed="false">
      <c r="A481" s="3" t="n">
        <f aca="false">IFERROR(__xludf.dummyfunction("""COMPUTED_VALUE"""),44893.6666666667)</f>
        <v>44893.6666666667</v>
      </c>
      <c r="B481" s="2" t="n">
        <f aca="false">IFERROR(__xludf.dummyfunction("""COMPUTED_VALUE"""),52.52)</f>
        <v>52.52</v>
      </c>
      <c r="C481" s="2" t="n">
        <f aca="false">IFERROR(__xludf.dummyfunction("""COMPUTED_VALUE"""),52.88)</f>
        <v>52.88</v>
      </c>
      <c r="D481" s="2" t="n">
        <f aca="false">IFERROR(__xludf.dummyfunction("""COMPUTED_VALUE"""),51.62)</f>
        <v>51.62</v>
      </c>
      <c r="E481" s="2" t="n">
        <f aca="false">IFERROR(__xludf.dummyfunction("""COMPUTED_VALUE"""),52.22)</f>
        <v>52.22</v>
      </c>
      <c r="F481" s="2" t="n">
        <f aca="false">IFERROR(__xludf.dummyfunction("""COMPUTED_VALUE"""),2351064)</f>
        <v>2351064</v>
      </c>
    </row>
    <row r="482" customFormat="false" ht="15.75" hidden="false" customHeight="false" outlineLevel="0" collapsed="false">
      <c r="A482" s="3" t="n">
        <f aca="false">IFERROR(__xludf.dummyfunction("""COMPUTED_VALUE"""),44894.6666666667)</f>
        <v>44894.6666666667</v>
      </c>
      <c r="B482" s="2" t="n">
        <f aca="false">IFERROR(__xludf.dummyfunction("""COMPUTED_VALUE"""),52.3)</f>
        <v>52.3</v>
      </c>
      <c r="C482" s="2" t="n">
        <f aca="false">IFERROR(__xludf.dummyfunction("""COMPUTED_VALUE"""),52.59)</f>
        <v>52.59</v>
      </c>
      <c r="D482" s="2" t="n">
        <f aca="false">IFERROR(__xludf.dummyfunction("""COMPUTED_VALUE"""),51.48)</f>
        <v>51.48</v>
      </c>
      <c r="E482" s="2" t="n">
        <f aca="false">IFERROR(__xludf.dummyfunction("""COMPUTED_VALUE"""),52.14)</f>
        <v>52.14</v>
      </c>
      <c r="F482" s="2" t="n">
        <f aca="false">IFERROR(__xludf.dummyfunction("""COMPUTED_VALUE"""),1269585)</f>
        <v>1269585</v>
      </c>
    </row>
    <row r="483" customFormat="false" ht="15.75" hidden="false" customHeight="false" outlineLevel="0" collapsed="false">
      <c r="A483" s="3" t="n">
        <f aca="false">IFERROR(__xludf.dummyfunction("""COMPUTED_VALUE"""),44895.6666666667)</f>
        <v>44895.6666666667</v>
      </c>
      <c r="B483" s="2" t="n">
        <f aca="false">IFERROR(__xludf.dummyfunction("""COMPUTED_VALUE"""),52.41)</f>
        <v>52.41</v>
      </c>
      <c r="C483" s="2" t="n">
        <f aca="false">IFERROR(__xludf.dummyfunction("""COMPUTED_VALUE"""),55.17)</f>
        <v>55.17</v>
      </c>
      <c r="D483" s="2" t="n">
        <f aca="false">IFERROR(__xludf.dummyfunction("""COMPUTED_VALUE"""),51.78)</f>
        <v>51.78</v>
      </c>
      <c r="E483" s="2" t="n">
        <f aca="false">IFERROR(__xludf.dummyfunction("""COMPUTED_VALUE"""),55.1)</f>
        <v>55.1</v>
      </c>
      <c r="F483" s="2" t="n">
        <f aca="false">IFERROR(__xludf.dummyfunction("""COMPUTED_VALUE"""),4734939)</f>
        <v>4734939</v>
      </c>
    </row>
    <row r="484" customFormat="false" ht="15.75" hidden="false" customHeight="false" outlineLevel="0" collapsed="false">
      <c r="A484" s="3" t="n">
        <f aca="false">IFERROR(__xludf.dummyfunction("""COMPUTED_VALUE"""),44896.6666666667)</f>
        <v>44896.6666666667</v>
      </c>
      <c r="B484" s="2" t="n">
        <f aca="false">IFERROR(__xludf.dummyfunction("""COMPUTED_VALUE"""),55.1)</f>
        <v>55.1</v>
      </c>
      <c r="C484" s="2" t="n">
        <f aca="false">IFERROR(__xludf.dummyfunction("""COMPUTED_VALUE"""),55.24)</f>
        <v>55.24</v>
      </c>
      <c r="D484" s="2" t="n">
        <f aca="false">IFERROR(__xludf.dummyfunction("""COMPUTED_VALUE"""),54.2)</f>
        <v>54.2</v>
      </c>
      <c r="E484" s="2" t="n">
        <f aca="false">IFERROR(__xludf.dummyfunction("""COMPUTED_VALUE"""),55.08)</f>
        <v>55.08</v>
      </c>
      <c r="F484" s="2" t="n">
        <f aca="false">IFERROR(__xludf.dummyfunction("""COMPUTED_VALUE"""),2300645)</f>
        <v>2300645</v>
      </c>
    </row>
    <row r="485" customFormat="false" ht="15.75" hidden="false" customHeight="false" outlineLevel="0" collapsed="false">
      <c r="A485" s="3" t="n">
        <f aca="false">IFERROR(__xludf.dummyfunction("""COMPUTED_VALUE"""),44897.6666666667)</f>
        <v>44897.6666666667</v>
      </c>
      <c r="B485" s="2" t="n">
        <f aca="false">IFERROR(__xludf.dummyfunction("""COMPUTED_VALUE"""),53.71)</f>
        <v>53.71</v>
      </c>
      <c r="C485" s="2" t="n">
        <f aca="false">IFERROR(__xludf.dummyfunction("""COMPUTED_VALUE"""),54.27)</f>
        <v>54.27</v>
      </c>
      <c r="D485" s="2" t="n">
        <f aca="false">IFERROR(__xludf.dummyfunction("""COMPUTED_VALUE"""),53.61)</f>
        <v>53.61</v>
      </c>
      <c r="E485" s="2" t="n">
        <f aca="false">IFERROR(__xludf.dummyfunction("""COMPUTED_VALUE"""),54.08)</f>
        <v>54.08</v>
      </c>
      <c r="F485" s="2" t="n">
        <f aca="false">IFERROR(__xludf.dummyfunction("""COMPUTED_VALUE"""),1931953)</f>
        <v>1931953</v>
      </c>
    </row>
    <row r="486" customFormat="false" ht="15.75" hidden="false" customHeight="false" outlineLevel="0" collapsed="false">
      <c r="A486" s="3" t="n">
        <f aca="false">IFERROR(__xludf.dummyfunction("""COMPUTED_VALUE"""),44900.6666666667)</f>
        <v>44900.6666666667</v>
      </c>
      <c r="B486" s="2" t="n">
        <f aca="false">IFERROR(__xludf.dummyfunction("""COMPUTED_VALUE"""),53.78)</f>
        <v>53.78</v>
      </c>
      <c r="C486" s="2" t="n">
        <f aca="false">IFERROR(__xludf.dummyfunction("""COMPUTED_VALUE"""),53.95)</f>
        <v>53.95</v>
      </c>
      <c r="D486" s="2" t="n">
        <f aca="false">IFERROR(__xludf.dummyfunction("""COMPUTED_VALUE"""),52.55)</f>
        <v>52.55</v>
      </c>
      <c r="E486" s="2" t="n">
        <f aca="false">IFERROR(__xludf.dummyfunction("""COMPUTED_VALUE"""),53.06)</f>
        <v>53.06</v>
      </c>
      <c r="F486" s="2" t="n">
        <f aca="false">IFERROR(__xludf.dummyfunction("""COMPUTED_VALUE"""),1854983)</f>
        <v>1854983</v>
      </c>
    </row>
    <row r="487" customFormat="false" ht="15.75" hidden="false" customHeight="false" outlineLevel="0" collapsed="false">
      <c r="A487" s="3" t="n">
        <f aca="false">IFERROR(__xludf.dummyfunction("""COMPUTED_VALUE"""),44901.6666666667)</f>
        <v>44901.6666666667</v>
      </c>
      <c r="B487" s="2" t="n">
        <f aca="false">IFERROR(__xludf.dummyfunction("""COMPUTED_VALUE"""),53.07)</f>
        <v>53.07</v>
      </c>
      <c r="C487" s="2" t="n">
        <f aca="false">IFERROR(__xludf.dummyfunction("""COMPUTED_VALUE"""),53.36)</f>
        <v>53.36</v>
      </c>
      <c r="D487" s="2" t="n">
        <f aca="false">IFERROR(__xludf.dummyfunction("""COMPUTED_VALUE"""),52.18)</f>
        <v>52.18</v>
      </c>
      <c r="E487" s="2" t="n">
        <f aca="false">IFERROR(__xludf.dummyfunction("""COMPUTED_VALUE"""),52.58)</f>
        <v>52.58</v>
      </c>
      <c r="F487" s="2" t="n">
        <f aca="false">IFERROR(__xludf.dummyfunction("""COMPUTED_VALUE"""),1965513)</f>
        <v>1965513</v>
      </c>
    </row>
    <row r="488" customFormat="false" ht="15.75" hidden="false" customHeight="false" outlineLevel="0" collapsed="false">
      <c r="A488" s="3" t="n">
        <f aca="false">IFERROR(__xludf.dummyfunction("""COMPUTED_VALUE"""),44902.6666666667)</f>
        <v>44902.6666666667</v>
      </c>
      <c r="B488" s="2" t="n">
        <f aca="false">IFERROR(__xludf.dummyfunction("""COMPUTED_VALUE"""),51.96)</f>
        <v>51.96</v>
      </c>
      <c r="C488" s="2" t="n">
        <f aca="false">IFERROR(__xludf.dummyfunction("""COMPUTED_VALUE"""),52.5)</f>
        <v>52.5</v>
      </c>
      <c r="D488" s="2" t="n">
        <f aca="false">IFERROR(__xludf.dummyfunction("""COMPUTED_VALUE"""),51.61)</f>
        <v>51.61</v>
      </c>
      <c r="E488" s="2" t="n">
        <f aca="false">IFERROR(__xludf.dummyfunction("""COMPUTED_VALUE"""),51.85)</f>
        <v>51.85</v>
      </c>
      <c r="F488" s="2" t="n">
        <f aca="false">IFERROR(__xludf.dummyfunction("""COMPUTED_VALUE"""),1652385)</f>
        <v>1652385</v>
      </c>
    </row>
    <row r="489" customFormat="false" ht="15.75" hidden="false" customHeight="false" outlineLevel="0" collapsed="false">
      <c r="A489" s="3" t="n">
        <f aca="false">IFERROR(__xludf.dummyfunction("""COMPUTED_VALUE"""),44903.6666666667)</f>
        <v>44903.6666666667</v>
      </c>
      <c r="B489" s="2" t="n">
        <f aca="false">IFERROR(__xludf.dummyfunction("""COMPUTED_VALUE"""),52.08)</f>
        <v>52.08</v>
      </c>
      <c r="C489" s="2" t="n">
        <f aca="false">IFERROR(__xludf.dummyfunction("""COMPUTED_VALUE"""),53.24)</f>
        <v>53.24</v>
      </c>
      <c r="D489" s="2" t="n">
        <f aca="false">IFERROR(__xludf.dummyfunction("""COMPUTED_VALUE"""),52.04)</f>
        <v>52.04</v>
      </c>
      <c r="E489" s="2" t="n">
        <f aca="false">IFERROR(__xludf.dummyfunction("""COMPUTED_VALUE"""),53.11)</f>
        <v>53.11</v>
      </c>
      <c r="F489" s="2" t="n">
        <f aca="false">IFERROR(__xludf.dummyfunction("""COMPUTED_VALUE"""),2751431)</f>
        <v>2751431</v>
      </c>
    </row>
    <row r="490" customFormat="false" ht="15.75" hidden="false" customHeight="false" outlineLevel="0" collapsed="false">
      <c r="A490" s="3" t="n">
        <f aca="false">IFERROR(__xludf.dummyfunction("""COMPUTED_VALUE"""),44904.6666666667)</f>
        <v>44904.6666666667</v>
      </c>
      <c r="B490" s="2" t="n">
        <f aca="false">IFERROR(__xludf.dummyfunction("""COMPUTED_VALUE"""),55.09)</f>
        <v>55.09</v>
      </c>
      <c r="C490" s="2" t="n">
        <f aca="false">IFERROR(__xludf.dummyfunction("""COMPUTED_VALUE"""),55.26)</f>
        <v>55.26</v>
      </c>
      <c r="D490" s="2" t="n">
        <f aca="false">IFERROR(__xludf.dummyfunction("""COMPUTED_VALUE"""),54.1)</f>
        <v>54.1</v>
      </c>
      <c r="E490" s="2" t="n">
        <f aca="false">IFERROR(__xludf.dummyfunction("""COMPUTED_VALUE"""),54.47)</f>
        <v>54.47</v>
      </c>
      <c r="F490" s="2" t="n">
        <f aca="false">IFERROR(__xludf.dummyfunction("""COMPUTED_VALUE"""),3702830)</f>
        <v>3702830</v>
      </c>
    </row>
    <row r="491" customFormat="false" ht="15.75" hidden="false" customHeight="false" outlineLevel="0" collapsed="false">
      <c r="A491" s="3" t="n">
        <f aca="false">IFERROR(__xludf.dummyfunction("""COMPUTED_VALUE"""),44907.6666666667)</f>
        <v>44907.6666666667</v>
      </c>
      <c r="B491" s="2" t="n">
        <f aca="false">IFERROR(__xludf.dummyfunction("""COMPUTED_VALUE"""),54.48)</f>
        <v>54.48</v>
      </c>
      <c r="C491" s="2" t="n">
        <f aca="false">IFERROR(__xludf.dummyfunction("""COMPUTED_VALUE"""),55.69)</f>
        <v>55.69</v>
      </c>
      <c r="D491" s="2" t="n">
        <f aca="false">IFERROR(__xludf.dummyfunction("""COMPUTED_VALUE"""),54.22)</f>
        <v>54.22</v>
      </c>
      <c r="E491" s="2" t="n">
        <f aca="false">IFERROR(__xludf.dummyfunction("""COMPUTED_VALUE"""),55.66)</f>
        <v>55.66</v>
      </c>
      <c r="F491" s="2" t="n">
        <f aca="false">IFERROR(__xludf.dummyfunction("""COMPUTED_VALUE"""),2341842)</f>
        <v>2341842</v>
      </c>
    </row>
    <row r="492" customFormat="false" ht="15.75" hidden="false" customHeight="false" outlineLevel="0" collapsed="false">
      <c r="A492" s="3" t="n">
        <f aca="false">IFERROR(__xludf.dummyfunction("""COMPUTED_VALUE"""),44908.6666666667)</f>
        <v>44908.6666666667</v>
      </c>
      <c r="B492" s="2" t="n">
        <f aca="false">IFERROR(__xludf.dummyfunction("""COMPUTED_VALUE"""),57.58)</f>
        <v>57.58</v>
      </c>
      <c r="C492" s="2" t="n">
        <f aca="false">IFERROR(__xludf.dummyfunction("""COMPUTED_VALUE"""),58.18)</f>
        <v>58.18</v>
      </c>
      <c r="D492" s="2" t="n">
        <f aca="false">IFERROR(__xludf.dummyfunction("""COMPUTED_VALUE"""),56.5)</f>
        <v>56.5</v>
      </c>
      <c r="E492" s="2" t="n">
        <f aca="false">IFERROR(__xludf.dummyfunction("""COMPUTED_VALUE"""),57.1)</f>
        <v>57.1</v>
      </c>
      <c r="F492" s="2" t="n">
        <f aca="false">IFERROR(__xludf.dummyfunction("""COMPUTED_VALUE"""),4041629)</f>
        <v>4041629</v>
      </c>
    </row>
    <row r="493" customFormat="false" ht="15.75" hidden="false" customHeight="false" outlineLevel="0" collapsed="false">
      <c r="A493" s="3" t="n">
        <f aca="false">IFERROR(__xludf.dummyfunction("""COMPUTED_VALUE"""),44909.6666666667)</f>
        <v>44909.6666666667</v>
      </c>
      <c r="B493" s="2" t="n">
        <f aca="false">IFERROR(__xludf.dummyfunction("""COMPUTED_VALUE"""),56.86)</f>
        <v>56.86</v>
      </c>
      <c r="C493" s="2" t="n">
        <f aca="false">IFERROR(__xludf.dummyfunction("""COMPUTED_VALUE"""),58.57)</f>
        <v>58.57</v>
      </c>
      <c r="D493" s="2" t="n">
        <f aca="false">IFERROR(__xludf.dummyfunction("""COMPUTED_VALUE"""),56.77)</f>
        <v>56.77</v>
      </c>
      <c r="E493" s="2" t="n">
        <f aca="false">IFERROR(__xludf.dummyfunction("""COMPUTED_VALUE"""),57.44)</f>
        <v>57.44</v>
      </c>
      <c r="F493" s="2" t="n">
        <f aca="false">IFERROR(__xludf.dummyfunction("""COMPUTED_VALUE"""),3521831)</f>
        <v>3521831</v>
      </c>
    </row>
    <row r="494" customFormat="false" ht="15.75" hidden="false" customHeight="false" outlineLevel="0" collapsed="false">
      <c r="A494" s="3" t="n">
        <f aca="false">IFERROR(__xludf.dummyfunction("""COMPUTED_VALUE"""),44910.6666666667)</f>
        <v>44910.6666666667</v>
      </c>
      <c r="B494" s="2" t="n">
        <f aca="false">IFERROR(__xludf.dummyfunction("""COMPUTED_VALUE"""),56.38)</f>
        <v>56.38</v>
      </c>
      <c r="C494" s="2" t="n">
        <f aca="false">IFERROR(__xludf.dummyfunction("""COMPUTED_VALUE"""),56.65)</f>
        <v>56.65</v>
      </c>
      <c r="D494" s="2" t="n">
        <f aca="false">IFERROR(__xludf.dummyfunction("""COMPUTED_VALUE"""),55.77)</f>
        <v>55.77</v>
      </c>
      <c r="E494" s="2" t="n">
        <f aca="false">IFERROR(__xludf.dummyfunction("""COMPUTED_VALUE"""),55.8)</f>
        <v>55.8</v>
      </c>
      <c r="F494" s="2" t="n">
        <f aca="false">IFERROR(__xludf.dummyfunction("""COMPUTED_VALUE"""),3690333)</f>
        <v>3690333</v>
      </c>
    </row>
    <row r="495" customFormat="false" ht="15.75" hidden="false" customHeight="false" outlineLevel="0" collapsed="false">
      <c r="A495" s="3" t="n">
        <f aca="false">IFERROR(__xludf.dummyfunction("""COMPUTED_VALUE"""),44911.6666666667)</f>
        <v>44911.6666666667</v>
      </c>
      <c r="B495" s="2" t="n">
        <f aca="false">IFERROR(__xludf.dummyfunction("""COMPUTED_VALUE"""),55.75)</f>
        <v>55.75</v>
      </c>
      <c r="C495" s="2" t="n">
        <f aca="false">IFERROR(__xludf.dummyfunction("""COMPUTED_VALUE"""),55.98)</f>
        <v>55.98</v>
      </c>
      <c r="D495" s="2" t="n">
        <f aca="false">IFERROR(__xludf.dummyfunction("""COMPUTED_VALUE"""),55.09)</f>
        <v>55.09</v>
      </c>
      <c r="E495" s="2" t="n">
        <f aca="false">IFERROR(__xludf.dummyfunction("""COMPUTED_VALUE"""),55.59)</f>
        <v>55.59</v>
      </c>
      <c r="F495" s="2" t="n">
        <f aca="false">IFERROR(__xludf.dummyfunction("""COMPUTED_VALUE"""),4954898)</f>
        <v>4954898</v>
      </c>
    </row>
    <row r="496" customFormat="false" ht="15.75" hidden="false" customHeight="false" outlineLevel="0" collapsed="false">
      <c r="A496" s="3" t="n">
        <f aca="false">IFERROR(__xludf.dummyfunction("""COMPUTED_VALUE"""),44914.6666666667)</f>
        <v>44914.6666666667</v>
      </c>
      <c r="B496" s="2" t="n">
        <f aca="false">IFERROR(__xludf.dummyfunction("""COMPUTED_VALUE"""),55.4)</f>
        <v>55.4</v>
      </c>
      <c r="C496" s="2" t="n">
        <f aca="false">IFERROR(__xludf.dummyfunction("""COMPUTED_VALUE"""),55.65)</f>
        <v>55.65</v>
      </c>
      <c r="D496" s="2" t="n">
        <f aca="false">IFERROR(__xludf.dummyfunction("""COMPUTED_VALUE"""),54.57)</f>
        <v>54.57</v>
      </c>
      <c r="E496" s="2" t="n">
        <f aca="false">IFERROR(__xludf.dummyfunction("""COMPUTED_VALUE"""),54.96)</f>
        <v>54.96</v>
      </c>
      <c r="F496" s="2" t="n">
        <f aca="false">IFERROR(__xludf.dummyfunction("""COMPUTED_VALUE"""),2509318)</f>
        <v>2509318</v>
      </c>
    </row>
    <row r="497" customFormat="false" ht="15.75" hidden="false" customHeight="false" outlineLevel="0" collapsed="false">
      <c r="A497" s="3" t="n">
        <f aca="false">IFERROR(__xludf.dummyfunction("""COMPUTED_VALUE"""),44915.6666666667)</f>
        <v>44915.6666666667</v>
      </c>
      <c r="B497" s="2" t="n">
        <f aca="false">IFERROR(__xludf.dummyfunction("""COMPUTED_VALUE"""),54.52)</f>
        <v>54.52</v>
      </c>
      <c r="C497" s="2" t="n">
        <f aca="false">IFERROR(__xludf.dummyfunction("""COMPUTED_VALUE"""),54.9)</f>
        <v>54.9</v>
      </c>
      <c r="D497" s="2" t="n">
        <f aca="false">IFERROR(__xludf.dummyfunction("""COMPUTED_VALUE"""),54.09)</f>
        <v>54.09</v>
      </c>
      <c r="E497" s="2" t="n">
        <f aca="false">IFERROR(__xludf.dummyfunction("""COMPUTED_VALUE"""),54.4)</f>
        <v>54.4</v>
      </c>
      <c r="F497" s="2" t="n">
        <f aca="false">IFERROR(__xludf.dummyfunction("""COMPUTED_VALUE"""),2983055)</f>
        <v>2983055</v>
      </c>
    </row>
    <row r="498" customFormat="false" ht="15.75" hidden="false" customHeight="false" outlineLevel="0" collapsed="false">
      <c r="A498" s="3" t="n">
        <f aca="false">IFERROR(__xludf.dummyfunction("""COMPUTED_VALUE"""),44916.6666666667)</f>
        <v>44916.6666666667</v>
      </c>
      <c r="B498" s="2" t="n">
        <f aca="false">IFERROR(__xludf.dummyfunction("""COMPUTED_VALUE"""),54.77)</f>
        <v>54.77</v>
      </c>
      <c r="C498" s="2" t="n">
        <f aca="false">IFERROR(__xludf.dummyfunction("""COMPUTED_VALUE"""),56.19)</f>
        <v>56.19</v>
      </c>
      <c r="D498" s="2" t="n">
        <f aca="false">IFERROR(__xludf.dummyfunction("""COMPUTED_VALUE"""),54.7)</f>
        <v>54.7</v>
      </c>
      <c r="E498" s="2" t="n">
        <f aca="false">IFERROR(__xludf.dummyfunction("""COMPUTED_VALUE"""),56.12)</f>
        <v>56.12</v>
      </c>
      <c r="F498" s="2" t="n">
        <f aca="false">IFERROR(__xludf.dummyfunction("""COMPUTED_VALUE"""),2561912)</f>
        <v>2561912</v>
      </c>
    </row>
    <row r="499" customFormat="false" ht="15.75" hidden="false" customHeight="false" outlineLevel="0" collapsed="false">
      <c r="A499" s="3" t="n">
        <f aca="false">IFERROR(__xludf.dummyfunction("""COMPUTED_VALUE"""),44917.6666666667)</f>
        <v>44917.6666666667</v>
      </c>
      <c r="B499" s="2" t="n">
        <f aca="false">IFERROR(__xludf.dummyfunction("""COMPUTED_VALUE"""),55.34)</f>
        <v>55.34</v>
      </c>
      <c r="C499" s="2" t="n">
        <f aca="false">IFERROR(__xludf.dummyfunction("""COMPUTED_VALUE"""),55.49)</f>
        <v>55.49</v>
      </c>
      <c r="D499" s="2" t="n">
        <f aca="false">IFERROR(__xludf.dummyfunction("""COMPUTED_VALUE"""),54.72)</f>
        <v>54.72</v>
      </c>
      <c r="E499" s="2" t="n">
        <f aca="false">IFERROR(__xludf.dummyfunction("""COMPUTED_VALUE"""),55.31)</f>
        <v>55.31</v>
      </c>
      <c r="F499" s="2" t="n">
        <f aca="false">IFERROR(__xludf.dummyfunction("""COMPUTED_VALUE"""),2755413)</f>
        <v>2755413</v>
      </c>
    </row>
    <row r="500" customFormat="false" ht="15.75" hidden="false" customHeight="false" outlineLevel="0" collapsed="false">
      <c r="A500" s="3" t="n">
        <f aca="false">IFERROR(__xludf.dummyfunction("""COMPUTED_VALUE"""),44918.6666666667)</f>
        <v>44918.6666666667</v>
      </c>
      <c r="B500" s="2" t="n">
        <f aca="false">IFERROR(__xludf.dummyfunction("""COMPUTED_VALUE"""),55)</f>
        <v>55</v>
      </c>
      <c r="C500" s="2" t="n">
        <f aca="false">IFERROR(__xludf.dummyfunction("""COMPUTED_VALUE"""),55.36)</f>
        <v>55.36</v>
      </c>
      <c r="D500" s="2" t="n">
        <f aca="false">IFERROR(__xludf.dummyfunction("""COMPUTED_VALUE"""),54.75)</f>
        <v>54.75</v>
      </c>
      <c r="E500" s="2" t="n">
        <f aca="false">IFERROR(__xludf.dummyfunction("""COMPUTED_VALUE"""),55.24)</f>
        <v>55.24</v>
      </c>
      <c r="F500" s="2" t="n">
        <f aca="false">IFERROR(__xludf.dummyfunction("""COMPUTED_VALUE"""),1376102)</f>
        <v>1376102</v>
      </c>
    </row>
    <row r="501" customFormat="false" ht="15.75" hidden="false" customHeight="false" outlineLevel="0" collapsed="false">
      <c r="A501" s="3" t="n">
        <f aca="false">IFERROR(__xludf.dummyfunction("""COMPUTED_VALUE"""),44922.6666666667)</f>
        <v>44922.6666666667</v>
      </c>
      <c r="B501" s="2" t="n">
        <f aca="false">IFERROR(__xludf.dummyfunction("""COMPUTED_VALUE"""),55.16)</f>
        <v>55.16</v>
      </c>
      <c r="C501" s="2" t="n">
        <f aca="false">IFERROR(__xludf.dummyfunction("""COMPUTED_VALUE"""),55.81)</f>
        <v>55.81</v>
      </c>
      <c r="D501" s="2" t="n">
        <f aca="false">IFERROR(__xludf.dummyfunction("""COMPUTED_VALUE"""),54.69)</f>
        <v>54.69</v>
      </c>
      <c r="E501" s="2" t="n">
        <f aca="false">IFERROR(__xludf.dummyfunction("""COMPUTED_VALUE"""),55.35)</f>
        <v>55.35</v>
      </c>
      <c r="F501" s="2" t="n">
        <f aca="false">IFERROR(__xludf.dummyfunction("""COMPUTED_VALUE"""),1667704)</f>
        <v>1667704</v>
      </c>
    </row>
    <row r="502" customFormat="false" ht="15.75" hidden="false" customHeight="false" outlineLevel="0" collapsed="false">
      <c r="A502" s="3" t="n">
        <f aca="false">IFERROR(__xludf.dummyfunction("""COMPUTED_VALUE"""),44923.6666666667)</f>
        <v>44923.6666666667</v>
      </c>
      <c r="B502" s="2" t="n">
        <f aca="false">IFERROR(__xludf.dummyfunction("""COMPUTED_VALUE"""),55.16)</f>
        <v>55.16</v>
      </c>
      <c r="C502" s="2" t="n">
        <f aca="false">IFERROR(__xludf.dummyfunction("""COMPUTED_VALUE"""),55.78)</f>
        <v>55.78</v>
      </c>
      <c r="D502" s="2" t="n">
        <f aca="false">IFERROR(__xludf.dummyfunction("""COMPUTED_VALUE"""),54.25)</f>
        <v>54.25</v>
      </c>
      <c r="E502" s="2" t="n">
        <f aca="false">IFERROR(__xludf.dummyfunction("""COMPUTED_VALUE"""),54.49)</f>
        <v>54.49</v>
      </c>
      <c r="F502" s="2" t="n">
        <f aca="false">IFERROR(__xludf.dummyfunction("""COMPUTED_VALUE"""),1541156)</f>
        <v>1541156</v>
      </c>
    </row>
    <row r="503" customFormat="false" ht="15.75" hidden="false" customHeight="false" outlineLevel="0" collapsed="false">
      <c r="A503" s="3" t="n">
        <f aca="false">IFERROR(__xludf.dummyfunction("""COMPUTED_VALUE"""),44924.6666666667)</f>
        <v>44924.6666666667</v>
      </c>
      <c r="B503" s="2" t="n">
        <f aca="false">IFERROR(__xludf.dummyfunction("""COMPUTED_VALUE"""),55.19)</f>
        <v>55.19</v>
      </c>
      <c r="C503" s="2" t="n">
        <f aca="false">IFERROR(__xludf.dummyfunction("""COMPUTED_VALUE"""),56.26)</f>
        <v>56.26</v>
      </c>
      <c r="D503" s="2" t="n">
        <f aca="false">IFERROR(__xludf.dummyfunction("""COMPUTED_VALUE"""),55.05)</f>
        <v>55.05</v>
      </c>
      <c r="E503" s="2" t="n">
        <f aca="false">IFERROR(__xludf.dummyfunction("""COMPUTED_VALUE"""),55.78)</f>
        <v>55.78</v>
      </c>
      <c r="F503" s="2" t="n">
        <f aca="false">IFERROR(__xludf.dummyfunction("""COMPUTED_VALUE"""),1817606)</f>
        <v>1817606</v>
      </c>
    </row>
    <row r="504" customFormat="false" ht="15.75" hidden="false" customHeight="false" outlineLevel="0" collapsed="false">
      <c r="A504" s="3" t="n">
        <f aca="false">IFERROR(__xludf.dummyfunction("""COMPUTED_VALUE"""),44925.6666666667)</f>
        <v>44925.6666666667</v>
      </c>
      <c r="B504" s="2" t="n">
        <f aca="false">IFERROR(__xludf.dummyfunction("""COMPUTED_VALUE"""),55.18)</f>
        <v>55.18</v>
      </c>
      <c r="C504" s="2" t="n">
        <f aca="false">IFERROR(__xludf.dummyfunction("""COMPUTED_VALUE"""),55.97)</f>
        <v>55.97</v>
      </c>
      <c r="D504" s="2" t="n">
        <f aca="false">IFERROR(__xludf.dummyfunction("""COMPUTED_VALUE"""),54.8)</f>
        <v>54.8</v>
      </c>
      <c r="E504" s="2" t="n">
        <f aca="false">IFERROR(__xludf.dummyfunction("""COMPUTED_VALUE"""),55.91)</f>
        <v>55.91</v>
      </c>
      <c r="F504" s="2" t="n">
        <f aca="false">IFERROR(__xludf.dummyfunction("""COMPUTED_VALUE"""),1437725)</f>
        <v>1437725</v>
      </c>
    </row>
    <row r="505" customFormat="false" ht="15.75" hidden="false" customHeight="false" outlineLevel="0" collapsed="false">
      <c r="A505" s="3" t="n">
        <f aca="false">IFERROR(__xludf.dummyfunction("""COMPUTED_VALUE"""),44929.6666666667)</f>
        <v>44929.6666666667</v>
      </c>
      <c r="B505" s="2" t="n">
        <f aca="false">IFERROR(__xludf.dummyfunction("""COMPUTED_VALUE"""),56.5)</f>
        <v>56.5</v>
      </c>
      <c r="C505" s="2" t="n">
        <f aca="false">IFERROR(__xludf.dummyfunction("""COMPUTED_VALUE"""),56.76)</f>
        <v>56.76</v>
      </c>
      <c r="D505" s="2" t="n">
        <f aca="false">IFERROR(__xludf.dummyfunction("""COMPUTED_VALUE"""),55.08)</f>
        <v>55.08</v>
      </c>
      <c r="E505" s="2" t="n">
        <f aca="false">IFERROR(__xludf.dummyfunction("""COMPUTED_VALUE"""),55.35)</f>
        <v>55.35</v>
      </c>
      <c r="F505" s="2" t="n">
        <f aca="false">IFERROR(__xludf.dummyfunction("""COMPUTED_VALUE"""),2017314)</f>
        <v>2017314</v>
      </c>
    </row>
    <row r="506" customFormat="false" ht="15.75" hidden="false" customHeight="false" outlineLevel="0" collapsed="false">
      <c r="A506" s="3" t="n">
        <f aca="false">IFERROR(__xludf.dummyfunction("""COMPUTED_VALUE"""),44930.6666666667)</f>
        <v>44930.6666666667</v>
      </c>
      <c r="B506" s="2" t="n">
        <f aca="false">IFERROR(__xludf.dummyfunction("""COMPUTED_VALUE"""),56.3)</f>
        <v>56.3</v>
      </c>
      <c r="C506" s="2" t="n">
        <f aca="false">IFERROR(__xludf.dummyfunction("""COMPUTED_VALUE"""),56.82)</f>
        <v>56.82</v>
      </c>
      <c r="D506" s="2" t="n">
        <f aca="false">IFERROR(__xludf.dummyfunction("""COMPUTED_VALUE"""),55.6)</f>
        <v>55.6</v>
      </c>
      <c r="E506" s="2" t="n">
        <f aca="false">IFERROR(__xludf.dummyfunction("""COMPUTED_VALUE"""),56.02)</f>
        <v>56.02</v>
      </c>
      <c r="F506" s="2" t="n">
        <f aca="false">IFERROR(__xludf.dummyfunction("""COMPUTED_VALUE"""),1707359)</f>
        <v>1707359</v>
      </c>
    </row>
    <row r="507" customFormat="false" ht="15.75" hidden="false" customHeight="false" outlineLevel="0" collapsed="false">
      <c r="A507" s="3" t="n">
        <f aca="false">IFERROR(__xludf.dummyfunction("""COMPUTED_VALUE"""),44931.6666666667)</f>
        <v>44931.6666666667</v>
      </c>
      <c r="B507" s="2" t="n">
        <f aca="false">IFERROR(__xludf.dummyfunction("""COMPUTED_VALUE"""),55.57)</f>
        <v>55.57</v>
      </c>
      <c r="C507" s="2" t="n">
        <f aca="false">IFERROR(__xludf.dummyfunction("""COMPUTED_VALUE"""),55.98)</f>
        <v>55.98</v>
      </c>
      <c r="D507" s="2" t="n">
        <f aca="false">IFERROR(__xludf.dummyfunction("""COMPUTED_VALUE"""),55.11)</f>
        <v>55.11</v>
      </c>
      <c r="E507" s="2" t="n">
        <f aca="false">IFERROR(__xludf.dummyfunction("""COMPUTED_VALUE"""),55.5)</f>
        <v>55.5</v>
      </c>
      <c r="F507" s="2" t="n">
        <f aca="false">IFERROR(__xludf.dummyfunction("""COMPUTED_VALUE"""),1627885)</f>
        <v>1627885</v>
      </c>
    </row>
    <row r="508" customFormat="false" ht="15.75" hidden="false" customHeight="false" outlineLevel="0" collapsed="false">
      <c r="A508" s="3" t="n">
        <f aca="false">IFERROR(__xludf.dummyfunction("""COMPUTED_VALUE"""),44932.6666666667)</f>
        <v>44932.6666666667</v>
      </c>
      <c r="B508" s="2" t="n">
        <f aca="false">IFERROR(__xludf.dummyfunction("""COMPUTED_VALUE"""),56.31)</f>
        <v>56.31</v>
      </c>
      <c r="C508" s="2" t="n">
        <f aca="false">IFERROR(__xludf.dummyfunction("""COMPUTED_VALUE"""),59.1)</f>
        <v>59.1</v>
      </c>
      <c r="D508" s="2" t="n">
        <f aca="false">IFERROR(__xludf.dummyfunction("""COMPUTED_VALUE"""),56.23)</f>
        <v>56.23</v>
      </c>
      <c r="E508" s="2" t="n">
        <f aca="false">IFERROR(__xludf.dummyfunction("""COMPUTED_VALUE"""),58.84)</f>
        <v>58.84</v>
      </c>
      <c r="F508" s="2" t="n">
        <f aca="false">IFERROR(__xludf.dummyfunction("""COMPUTED_VALUE"""),3526101)</f>
        <v>3526101</v>
      </c>
    </row>
    <row r="509" customFormat="false" ht="15.75" hidden="false" customHeight="false" outlineLevel="0" collapsed="false">
      <c r="A509" s="3" t="n">
        <f aca="false">IFERROR(__xludf.dummyfunction("""COMPUTED_VALUE"""),44935.6666666667)</f>
        <v>44935.6666666667</v>
      </c>
      <c r="B509" s="2" t="n">
        <f aca="false">IFERROR(__xludf.dummyfunction("""COMPUTED_VALUE"""),59.23)</f>
        <v>59.23</v>
      </c>
      <c r="C509" s="2" t="n">
        <f aca="false">IFERROR(__xludf.dummyfunction("""COMPUTED_VALUE"""),60.17)</f>
        <v>60.17</v>
      </c>
      <c r="D509" s="2" t="n">
        <f aca="false">IFERROR(__xludf.dummyfunction("""COMPUTED_VALUE"""),56.06)</f>
        <v>56.06</v>
      </c>
      <c r="E509" s="2" t="n">
        <f aca="false">IFERROR(__xludf.dummyfunction("""COMPUTED_VALUE"""),57.69)</f>
        <v>57.69</v>
      </c>
      <c r="F509" s="2" t="n">
        <f aca="false">IFERROR(__xludf.dummyfunction("""COMPUTED_VALUE"""),3773874)</f>
        <v>3773874</v>
      </c>
    </row>
    <row r="510" customFormat="false" ht="15.75" hidden="false" customHeight="false" outlineLevel="0" collapsed="false">
      <c r="A510" s="3" t="n">
        <f aca="false">IFERROR(__xludf.dummyfunction("""COMPUTED_VALUE"""),44936.6666666667)</f>
        <v>44936.6666666667</v>
      </c>
      <c r="B510" s="2" t="n">
        <f aca="false">IFERROR(__xludf.dummyfunction("""COMPUTED_VALUE"""),57.2)</f>
        <v>57.2</v>
      </c>
      <c r="C510" s="2" t="n">
        <f aca="false">IFERROR(__xludf.dummyfunction("""COMPUTED_VALUE"""),57.51)</f>
        <v>57.51</v>
      </c>
      <c r="D510" s="2" t="n">
        <f aca="false">IFERROR(__xludf.dummyfunction("""COMPUTED_VALUE"""),55)</f>
        <v>55</v>
      </c>
      <c r="E510" s="2" t="n">
        <f aca="false">IFERROR(__xludf.dummyfunction("""COMPUTED_VALUE"""),57.49)</f>
        <v>57.49</v>
      </c>
      <c r="F510" s="2" t="n">
        <f aca="false">IFERROR(__xludf.dummyfunction("""COMPUTED_VALUE"""),4463532)</f>
        <v>4463532</v>
      </c>
    </row>
    <row r="511" customFormat="false" ht="15.75" hidden="false" customHeight="false" outlineLevel="0" collapsed="false">
      <c r="A511" s="3" t="n">
        <f aca="false">IFERROR(__xludf.dummyfunction("""COMPUTED_VALUE"""),44937.6666666667)</f>
        <v>44937.6666666667</v>
      </c>
      <c r="B511" s="2" t="n">
        <f aca="false">IFERROR(__xludf.dummyfunction("""COMPUTED_VALUE"""),57.3)</f>
        <v>57.3</v>
      </c>
      <c r="C511" s="2" t="n">
        <f aca="false">IFERROR(__xludf.dummyfunction("""COMPUTED_VALUE"""),57.83)</f>
        <v>57.83</v>
      </c>
      <c r="D511" s="2" t="n">
        <f aca="false">IFERROR(__xludf.dummyfunction("""COMPUTED_VALUE"""),56.69)</f>
        <v>56.69</v>
      </c>
      <c r="E511" s="2" t="n">
        <f aca="false">IFERROR(__xludf.dummyfunction("""COMPUTED_VALUE"""),57.81)</f>
        <v>57.81</v>
      </c>
      <c r="F511" s="2" t="n">
        <f aca="false">IFERROR(__xludf.dummyfunction("""COMPUTED_VALUE"""),2250247)</f>
        <v>2250247</v>
      </c>
    </row>
    <row r="512" customFormat="false" ht="15.75" hidden="false" customHeight="false" outlineLevel="0" collapsed="false">
      <c r="A512" s="3" t="n">
        <f aca="false">IFERROR(__xludf.dummyfunction("""COMPUTED_VALUE"""),44938.6666666667)</f>
        <v>44938.6666666667</v>
      </c>
      <c r="B512" s="2" t="n">
        <f aca="false">IFERROR(__xludf.dummyfunction("""COMPUTED_VALUE"""),57.56)</f>
        <v>57.56</v>
      </c>
      <c r="C512" s="2" t="n">
        <f aca="false">IFERROR(__xludf.dummyfunction("""COMPUTED_VALUE"""),58.51)</f>
        <v>58.51</v>
      </c>
      <c r="D512" s="2" t="n">
        <f aca="false">IFERROR(__xludf.dummyfunction("""COMPUTED_VALUE"""),57.38)</f>
        <v>57.38</v>
      </c>
      <c r="E512" s="2" t="n">
        <f aca="false">IFERROR(__xludf.dummyfunction("""COMPUTED_VALUE"""),58.19)</f>
        <v>58.19</v>
      </c>
      <c r="F512" s="2" t="n">
        <f aca="false">IFERROR(__xludf.dummyfunction("""COMPUTED_VALUE"""),1951395)</f>
        <v>1951395</v>
      </c>
    </row>
    <row r="513" customFormat="false" ht="15.75" hidden="false" customHeight="false" outlineLevel="0" collapsed="false">
      <c r="A513" s="3" t="n">
        <f aca="false">IFERROR(__xludf.dummyfunction("""COMPUTED_VALUE"""),44939.6666666667)</f>
        <v>44939.6666666667</v>
      </c>
      <c r="B513" s="2" t="n">
        <f aca="false">IFERROR(__xludf.dummyfunction("""COMPUTED_VALUE"""),57.72)</f>
        <v>57.72</v>
      </c>
      <c r="C513" s="2" t="n">
        <f aca="false">IFERROR(__xludf.dummyfunction("""COMPUTED_VALUE"""),58.19)</f>
        <v>58.19</v>
      </c>
      <c r="D513" s="2" t="n">
        <f aca="false">IFERROR(__xludf.dummyfunction("""COMPUTED_VALUE"""),57.67)</f>
        <v>57.67</v>
      </c>
      <c r="E513" s="2" t="n">
        <f aca="false">IFERROR(__xludf.dummyfunction("""COMPUTED_VALUE"""),57.9)</f>
        <v>57.9</v>
      </c>
      <c r="F513" s="2" t="n">
        <f aca="false">IFERROR(__xludf.dummyfunction("""COMPUTED_VALUE"""),1964748)</f>
        <v>1964748</v>
      </c>
    </row>
    <row r="514" customFormat="false" ht="15.75" hidden="false" customHeight="false" outlineLevel="0" collapsed="false">
      <c r="A514" s="3" t="n">
        <f aca="false">IFERROR(__xludf.dummyfunction("""COMPUTED_VALUE"""),44943.6666666667)</f>
        <v>44943.6666666667</v>
      </c>
      <c r="B514" s="2" t="n">
        <f aca="false">IFERROR(__xludf.dummyfunction("""COMPUTED_VALUE"""),57.49)</f>
        <v>57.49</v>
      </c>
      <c r="C514" s="2" t="n">
        <f aca="false">IFERROR(__xludf.dummyfunction("""COMPUTED_VALUE"""),58.54)</f>
        <v>58.54</v>
      </c>
      <c r="D514" s="2" t="n">
        <f aca="false">IFERROR(__xludf.dummyfunction("""COMPUTED_VALUE"""),57.45)</f>
        <v>57.45</v>
      </c>
      <c r="E514" s="2" t="n">
        <f aca="false">IFERROR(__xludf.dummyfunction("""COMPUTED_VALUE"""),57.92)</f>
        <v>57.92</v>
      </c>
      <c r="F514" s="2" t="n">
        <f aca="false">IFERROR(__xludf.dummyfunction("""COMPUTED_VALUE"""),1583506)</f>
        <v>1583506</v>
      </c>
    </row>
    <row r="515" customFormat="false" ht="15.75" hidden="false" customHeight="false" outlineLevel="0" collapsed="false">
      <c r="A515" s="3" t="n">
        <f aca="false">IFERROR(__xludf.dummyfunction("""COMPUTED_VALUE"""),44944.6666666667)</f>
        <v>44944.6666666667</v>
      </c>
      <c r="B515" s="2" t="n">
        <f aca="false">IFERROR(__xludf.dummyfunction("""COMPUTED_VALUE"""),58.32)</f>
        <v>58.32</v>
      </c>
      <c r="C515" s="2" t="n">
        <f aca="false">IFERROR(__xludf.dummyfunction("""COMPUTED_VALUE"""),58.76)</f>
        <v>58.76</v>
      </c>
      <c r="D515" s="2" t="n">
        <f aca="false">IFERROR(__xludf.dummyfunction("""COMPUTED_VALUE"""),57.37)</f>
        <v>57.37</v>
      </c>
      <c r="E515" s="2" t="n">
        <f aca="false">IFERROR(__xludf.dummyfunction("""COMPUTED_VALUE"""),57.43)</f>
        <v>57.43</v>
      </c>
      <c r="F515" s="2" t="n">
        <f aca="false">IFERROR(__xludf.dummyfunction("""COMPUTED_VALUE"""),1570366)</f>
        <v>1570366</v>
      </c>
    </row>
    <row r="516" customFormat="false" ht="15.75" hidden="false" customHeight="false" outlineLevel="0" collapsed="false">
      <c r="A516" s="3" t="n">
        <f aca="false">IFERROR(__xludf.dummyfunction("""COMPUTED_VALUE"""),44945.6666666667)</f>
        <v>44945.6666666667</v>
      </c>
      <c r="B516" s="2" t="n">
        <f aca="false">IFERROR(__xludf.dummyfunction("""COMPUTED_VALUE"""),56.91)</f>
        <v>56.91</v>
      </c>
      <c r="C516" s="2" t="n">
        <f aca="false">IFERROR(__xludf.dummyfunction("""COMPUTED_VALUE"""),57.01)</f>
        <v>57.01</v>
      </c>
      <c r="D516" s="2" t="n">
        <f aca="false">IFERROR(__xludf.dummyfunction("""COMPUTED_VALUE"""),56.03)</f>
        <v>56.03</v>
      </c>
      <c r="E516" s="2" t="n">
        <f aca="false">IFERROR(__xludf.dummyfunction("""COMPUTED_VALUE"""),56.32)</f>
        <v>56.32</v>
      </c>
      <c r="F516" s="2" t="n">
        <f aca="false">IFERROR(__xludf.dummyfunction("""COMPUTED_VALUE"""),2269382)</f>
        <v>2269382</v>
      </c>
    </row>
    <row r="517" customFormat="false" ht="15.75" hidden="false" customHeight="false" outlineLevel="0" collapsed="false">
      <c r="A517" s="3" t="n">
        <f aca="false">IFERROR(__xludf.dummyfunction("""COMPUTED_VALUE"""),44946.6666666667)</f>
        <v>44946.6666666667</v>
      </c>
      <c r="B517" s="2" t="n">
        <f aca="false">IFERROR(__xludf.dummyfunction("""COMPUTED_VALUE"""),56.3)</f>
        <v>56.3</v>
      </c>
      <c r="C517" s="2" t="n">
        <f aca="false">IFERROR(__xludf.dummyfunction("""COMPUTED_VALUE"""),57.14)</f>
        <v>57.14</v>
      </c>
      <c r="D517" s="2" t="n">
        <f aca="false">IFERROR(__xludf.dummyfunction("""COMPUTED_VALUE"""),55.91)</f>
        <v>55.91</v>
      </c>
      <c r="E517" s="2" t="n">
        <f aca="false">IFERROR(__xludf.dummyfunction("""COMPUTED_VALUE"""),57.08)</f>
        <v>57.08</v>
      </c>
      <c r="F517" s="2" t="n">
        <f aca="false">IFERROR(__xludf.dummyfunction("""COMPUTED_VALUE"""),2295020)</f>
        <v>2295020</v>
      </c>
    </row>
    <row r="518" customFormat="false" ht="15.75" hidden="false" customHeight="false" outlineLevel="0" collapsed="false">
      <c r="A518" s="3" t="n">
        <f aca="false">IFERROR(__xludf.dummyfunction("""COMPUTED_VALUE"""),44949.6666666667)</f>
        <v>44949.6666666667</v>
      </c>
      <c r="B518" s="2" t="n">
        <f aca="false">IFERROR(__xludf.dummyfunction("""COMPUTED_VALUE"""),57.2)</f>
        <v>57.2</v>
      </c>
      <c r="C518" s="2" t="n">
        <f aca="false">IFERROR(__xludf.dummyfunction("""COMPUTED_VALUE"""),58.48)</f>
        <v>58.48</v>
      </c>
      <c r="D518" s="2" t="n">
        <f aca="false">IFERROR(__xludf.dummyfunction("""COMPUTED_VALUE"""),56.98)</f>
        <v>56.98</v>
      </c>
      <c r="E518" s="2" t="n">
        <f aca="false">IFERROR(__xludf.dummyfunction("""COMPUTED_VALUE"""),58.16)</f>
        <v>58.16</v>
      </c>
      <c r="F518" s="2" t="n">
        <f aca="false">IFERROR(__xludf.dummyfunction("""COMPUTED_VALUE"""),2342882)</f>
        <v>2342882</v>
      </c>
    </row>
    <row r="519" customFormat="false" ht="15.75" hidden="false" customHeight="false" outlineLevel="0" collapsed="false">
      <c r="A519" s="3" t="n">
        <f aca="false">IFERROR(__xludf.dummyfunction("""COMPUTED_VALUE"""),44950.6666666667)</f>
        <v>44950.6666666667</v>
      </c>
      <c r="B519" s="2" t="n">
        <f aca="false">IFERROR(__xludf.dummyfunction("""COMPUTED_VALUE"""),57.84)</f>
        <v>57.84</v>
      </c>
      <c r="C519" s="2" t="n">
        <f aca="false">IFERROR(__xludf.dummyfunction("""COMPUTED_VALUE"""),58.67)</f>
        <v>58.67</v>
      </c>
      <c r="D519" s="2" t="n">
        <f aca="false">IFERROR(__xludf.dummyfunction("""COMPUTED_VALUE"""),57.56)</f>
        <v>57.56</v>
      </c>
      <c r="E519" s="2" t="n">
        <f aca="false">IFERROR(__xludf.dummyfunction("""COMPUTED_VALUE"""),58.5)</f>
        <v>58.5</v>
      </c>
      <c r="F519" s="2" t="n">
        <f aca="false">IFERROR(__xludf.dummyfunction("""COMPUTED_VALUE"""),1382466)</f>
        <v>1382466</v>
      </c>
    </row>
    <row r="520" customFormat="false" ht="15.75" hidden="false" customHeight="false" outlineLevel="0" collapsed="false">
      <c r="A520" s="3" t="n">
        <f aca="false">IFERROR(__xludf.dummyfunction("""COMPUTED_VALUE"""),44951.6666666667)</f>
        <v>44951.6666666667</v>
      </c>
      <c r="B520" s="2" t="n">
        <f aca="false">IFERROR(__xludf.dummyfunction("""COMPUTED_VALUE"""),57.77)</f>
        <v>57.77</v>
      </c>
      <c r="C520" s="2" t="n">
        <f aca="false">IFERROR(__xludf.dummyfunction("""COMPUTED_VALUE"""),58.7)</f>
        <v>58.7</v>
      </c>
      <c r="D520" s="2" t="n">
        <f aca="false">IFERROR(__xludf.dummyfunction("""COMPUTED_VALUE"""),57.6)</f>
        <v>57.6</v>
      </c>
      <c r="E520" s="2" t="n">
        <f aca="false">IFERROR(__xludf.dummyfunction("""COMPUTED_VALUE"""),58.57)</f>
        <v>58.57</v>
      </c>
      <c r="F520" s="2" t="n">
        <f aca="false">IFERROR(__xludf.dummyfunction("""COMPUTED_VALUE"""),1376594)</f>
        <v>1376594</v>
      </c>
    </row>
    <row r="521" customFormat="false" ht="15.75" hidden="false" customHeight="false" outlineLevel="0" collapsed="false">
      <c r="A521" s="3" t="n">
        <f aca="false">IFERROR(__xludf.dummyfunction("""COMPUTED_VALUE"""),44952.6666666667)</f>
        <v>44952.6666666667</v>
      </c>
      <c r="B521" s="2" t="n">
        <f aca="false">IFERROR(__xludf.dummyfunction("""COMPUTED_VALUE"""),59.04)</f>
        <v>59.04</v>
      </c>
      <c r="C521" s="2" t="n">
        <f aca="false">IFERROR(__xludf.dummyfunction("""COMPUTED_VALUE"""),60.06)</f>
        <v>60.06</v>
      </c>
      <c r="D521" s="2" t="n">
        <f aca="false">IFERROR(__xludf.dummyfunction("""COMPUTED_VALUE"""),58.63)</f>
        <v>58.63</v>
      </c>
      <c r="E521" s="2" t="n">
        <f aca="false">IFERROR(__xludf.dummyfunction("""COMPUTED_VALUE"""),59.86)</f>
        <v>59.86</v>
      </c>
      <c r="F521" s="2" t="n">
        <f aca="false">IFERROR(__xludf.dummyfunction("""COMPUTED_VALUE"""),2452457)</f>
        <v>2452457</v>
      </c>
    </row>
    <row r="522" customFormat="false" ht="15.75" hidden="false" customHeight="false" outlineLevel="0" collapsed="false">
      <c r="A522" s="3" t="n">
        <f aca="false">IFERROR(__xludf.dummyfunction("""COMPUTED_VALUE"""),44953.6666666667)</f>
        <v>44953.6666666667</v>
      </c>
      <c r="B522" s="2" t="n">
        <f aca="false">IFERROR(__xludf.dummyfunction("""COMPUTED_VALUE"""),59.33)</f>
        <v>59.33</v>
      </c>
      <c r="C522" s="2" t="n">
        <f aca="false">IFERROR(__xludf.dummyfunction("""COMPUTED_VALUE"""),59.93)</f>
        <v>59.93</v>
      </c>
      <c r="D522" s="2" t="n">
        <f aca="false">IFERROR(__xludf.dummyfunction("""COMPUTED_VALUE"""),59.02)</f>
        <v>59.02</v>
      </c>
      <c r="E522" s="2" t="n">
        <f aca="false">IFERROR(__xludf.dummyfunction("""COMPUTED_VALUE"""),59.1)</f>
        <v>59.1</v>
      </c>
      <c r="F522" s="2" t="n">
        <f aca="false">IFERROR(__xludf.dummyfunction("""COMPUTED_VALUE"""),1934464)</f>
        <v>1934464</v>
      </c>
    </row>
    <row r="523" customFormat="false" ht="15.75" hidden="false" customHeight="false" outlineLevel="0" collapsed="false">
      <c r="A523" s="3" t="n">
        <f aca="false">IFERROR(__xludf.dummyfunction("""COMPUTED_VALUE"""),44956.6666666667)</f>
        <v>44956.6666666667</v>
      </c>
      <c r="B523" s="2" t="n">
        <f aca="false">IFERROR(__xludf.dummyfunction("""COMPUTED_VALUE"""),58.3)</f>
        <v>58.3</v>
      </c>
      <c r="C523" s="2" t="n">
        <f aca="false">IFERROR(__xludf.dummyfunction("""COMPUTED_VALUE"""),58.96)</f>
        <v>58.96</v>
      </c>
      <c r="D523" s="2" t="n">
        <f aca="false">IFERROR(__xludf.dummyfunction("""COMPUTED_VALUE"""),57.98)</f>
        <v>57.98</v>
      </c>
      <c r="E523" s="2" t="n">
        <f aca="false">IFERROR(__xludf.dummyfunction("""COMPUTED_VALUE"""),58.15)</f>
        <v>58.15</v>
      </c>
      <c r="F523" s="2" t="n">
        <f aca="false">IFERROR(__xludf.dummyfunction("""COMPUTED_VALUE"""),1698406)</f>
        <v>1698406</v>
      </c>
    </row>
    <row r="524" customFormat="false" ht="15.75" hidden="false" customHeight="false" outlineLevel="0" collapsed="false">
      <c r="A524" s="3" t="n">
        <f aca="false">IFERROR(__xludf.dummyfunction("""COMPUTED_VALUE"""),44957.6666666667)</f>
        <v>44957.6666666667</v>
      </c>
      <c r="B524" s="2" t="n">
        <f aca="false">IFERROR(__xludf.dummyfunction("""COMPUTED_VALUE"""),58.21)</f>
        <v>58.21</v>
      </c>
      <c r="C524" s="2" t="n">
        <f aca="false">IFERROR(__xludf.dummyfunction("""COMPUTED_VALUE"""),58.72)</f>
        <v>58.72</v>
      </c>
      <c r="D524" s="2" t="n">
        <f aca="false">IFERROR(__xludf.dummyfunction("""COMPUTED_VALUE"""),58.07)</f>
        <v>58.07</v>
      </c>
      <c r="E524" s="2" t="n">
        <f aca="false">IFERROR(__xludf.dummyfunction("""COMPUTED_VALUE"""),58.5)</f>
        <v>58.5</v>
      </c>
      <c r="F524" s="2" t="n">
        <f aca="false">IFERROR(__xludf.dummyfunction("""COMPUTED_VALUE"""),2371907)</f>
        <v>2371907</v>
      </c>
    </row>
    <row r="525" customFormat="false" ht="15.75" hidden="false" customHeight="false" outlineLevel="0" collapsed="false">
      <c r="A525" s="3" t="n">
        <f aca="false">IFERROR(__xludf.dummyfunction("""COMPUTED_VALUE"""),44958.6666666667)</f>
        <v>44958.6666666667</v>
      </c>
      <c r="B525" s="2" t="n">
        <f aca="false">IFERROR(__xludf.dummyfunction("""COMPUTED_VALUE"""),58.36)</f>
        <v>58.36</v>
      </c>
      <c r="C525" s="2" t="n">
        <f aca="false">IFERROR(__xludf.dummyfunction("""COMPUTED_VALUE"""),60.83)</f>
        <v>60.83</v>
      </c>
      <c r="D525" s="2" t="n">
        <f aca="false">IFERROR(__xludf.dummyfunction("""COMPUTED_VALUE"""),58.27)</f>
        <v>58.27</v>
      </c>
      <c r="E525" s="2" t="n">
        <f aca="false">IFERROR(__xludf.dummyfunction("""COMPUTED_VALUE"""),60.28)</f>
        <v>60.28</v>
      </c>
      <c r="F525" s="2" t="n">
        <f aca="false">IFERROR(__xludf.dummyfunction("""COMPUTED_VALUE"""),2655270)</f>
        <v>2655270</v>
      </c>
    </row>
    <row r="526" customFormat="false" ht="15.75" hidden="false" customHeight="false" outlineLevel="0" collapsed="false">
      <c r="A526" s="3" t="n">
        <f aca="false">IFERROR(__xludf.dummyfunction("""COMPUTED_VALUE"""),44959.6666666667)</f>
        <v>44959.6666666667</v>
      </c>
      <c r="B526" s="2" t="n">
        <f aca="false">IFERROR(__xludf.dummyfunction("""COMPUTED_VALUE"""),60.76)</f>
        <v>60.76</v>
      </c>
      <c r="C526" s="2" t="n">
        <f aca="false">IFERROR(__xludf.dummyfunction("""COMPUTED_VALUE"""),61.31)</f>
        <v>61.31</v>
      </c>
      <c r="D526" s="2" t="n">
        <f aca="false">IFERROR(__xludf.dummyfunction("""COMPUTED_VALUE"""),59.98)</f>
        <v>59.98</v>
      </c>
      <c r="E526" s="2" t="n">
        <f aca="false">IFERROR(__xludf.dummyfunction("""COMPUTED_VALUE"""),60.58)</f>
        <v>60.58</v>
      </c>
      <c r="F526" s="2" t="n">
        <f aca="false">IFERROR(__xludf.dummyfunction("""COMPUTED_VALUE"""),2418766)</f>
        <v>2418766</v>
      </c>
    </row>
    <row r="527" customFormat="false" ht="15.75" hidden="false" customHeight="false" outlineLevel="0" collapsed="false">
      <c r="A527" s="3" t="n">
        <f aca="false">IFERROR(__xludf.dummyfunction("""COMPUTED_VALUE"""),44960.6666666667)</f>
        <v>44960.6666666667</v>
      </c>
      <c r="B527" s="2" t="n">
        <f aca="false">IFERROR(__xludf.dummyfunction("""COMPUTED_VALUE"""),59.8)</f>
        <v>59.8</v>
      </c>
      <c r="C527" s="2" t="n">
        <f aca="false">IFERROR(__xludf.dummyfunction("""COMPUTED_VALUE"""),60.8)</f>
        <v>60.8</v>
      </c>
      <c r="D527" s="2" t="n">
        <f aca="false">IFERROR(__xludf.dummyfunction("""COMPUTED_VALUE"""),59.63)</f>
        <v>59.63</v>
      </c>
      <c r="E527" s="2" t="n">
        <f aca="false">IFERROR(__xludf.dummyfunction("""COMPUTED_VALUE"""),59.76)</f>
        <v>59.76</v>
      </c>
      <c r="F527" s="2" t="n">
        <f aca="false">IFERROR(__xludf.dummyfunction("""COMPUTED_VALUE"""),1909419)</f>
        <v>1909419</v>
      </c>
    </row>
    <row r="528" customFormat="false" ht="15.75" hidden="false" customHeight="false" outlineLevel="0" collapsed="false">
      <c r="A528" s="3" t="n">
        <f aca="false">IFERROR(__xludf.dummyfunction("""COMPUTED_VALUE"""),44963.6666666667)</f>
        <v>44963.6666666667</v>
      </c>
      <c r="B528" s="2" t="n">
        <f aca="false">IFERROR(__xludf.dummyfunction("""COMPUTED_VALUE"""),59.33)</f>
        <v>59.33</v>
      </c>
      <c r="C528" s="2" t="n">
        <f aca="false">IFERROR(__xludf.dummyfunction("""COMPUTED_VALUE"""),60.32)</f>
        <v>60.32</v>
      </c>
      <c r="D528" s="2" t="n">
        <f aca="false">IFERROR(__xludf.dummyfunction("""COMPUTED_VALUE"""),59.23)</f>
        <v>59.23</v>
      </c>
      <c r="E528" s="2" t="n">
        <f aca="false">IFERROR(__xludf.dummyfunction("""COMPUTED_VALUE"""),60.13)</f>
        <v>60.13</v>
      </c>
      <c r="F528" s="2" t="n">
        <f aca="false">IFERROR(__xludf.dummyfunction("""COMPUTED_VALUE"""),1870933)</f>
        <v>1870933</v>
      </c>
    </row>
    <row r="529" customFormat="false" ht="15.75" hidden="false" customHeight="false" outlineLevel="0" collapsed="false">
      <c r="A529" s="3" t="n">
        <f aca="false">IFERROR(__xludf.dummyfunction("""COMPUTED_VALUE"""),44964.6666666667)</f>
        <v>44964.6666666667</v>
      </c>
      <c r="B529" s="2" t="n">
        <f aca="false">IFERROR(__xludf.dummyfunction("""COMPUTED_VALUE"""),60.07)</f>
        <v>60.07</v>
      </c>
      <c r="C529" s="2" t="n">
        <f aca="false">IFERROR(__xludf.dummyfunction("""COMPUTED_VALUE"""),61.7)</f>
        <v>61.7</v>
      </c>
      <c r="D529" s="2" t="n">
        <f aca="false">IFERROR(__xludf.dummyfunction("""COMPUTED_VALUE"""),59.97)</f>
        <v>59.97</v>
      </c>
      <c r="E529" s="2" t="n">
        <f aca="false">IFERROR(__xludf.dummyfunction("""COMPUTED_VALUE"""),61.45)</f>
        <v>61.45</v>
      </c>
      <c r="F529" s="2" t="n">
        <f aca="false">IFERROR(__xludf.dummyfunction("""COMPUTED_VALUE"""),2402487)</f>
        <v>2402487</v>
      </c>
    </row>
    <row r="530" customFormat="false" ht="15.75" hidden="false" customHeight="false" outlineLevel="0" collapsed="false">
      <c r="A530" s="3" t="n">
        <f aca="false">IFERROR(__xludf.dummyfunction("""COMPUTED_VALUE"""),44965.6666666667)</f>
        <v>44965.6666666667</v>
      </c>
      <c r="B530" s="2" t="n">
        <f aca="false">IFERROR(__xludf.dummyfunction("""COMPUTED_VALUE"""),60.67)</f>
        <v>60.67</v>
      </c>
      <c r="C530" s="2" t="n">
        <f aca="false">IFERROR(__xludf.dummyfunction("""COMPUTED_VALUE"""),61.02)</f>
        <v>61.02</v>
      </c>
      <c r="D530" s="2" t="n">
        <f aca="false">IFERROR(__xludf.dummyfunction("""COMPUTED_VALUE"""),60.06)</f>
        <v>60.06</v>
      </c>
      <c r="E530" s="2" t="n">
        <f aca="false">IFERROR(__xludf.dummyfunction("""COMPUTED_VALUE"""),60.17)</f>
        <v>60.17</v>
      </c>
      <c r="F530" s="2" t="n">
        <f aca="false">IFERROR(__xludf.dummyfunction("""COMPUTED_VALUE"""),1529012)</f>
        <v>1529012</v>
      </c>
    </row>
    <row r="531" customFormat="false" ht="15.75" hidden="false" customHeight="false" outlineLevel="0" collapsed="false">
      <c r="A531" s="3" t="n">
        <f aca="false">IFERROR(__xludf.dummyfunction("""COMPUTED_VALUE"""),44966.6666666667)</f>
        <v>44966.6666666667</v>
      </c>
      <c r="B531" s="2" t="n">
        <f aca="false">IFERROR(__xludf.dummyfunction("""COMPUTED_VALUE"""),61.26)</f>
        <v>61.26</v>
      </c>
      <c r="C531" s="2" t="n">
        <f aca="false">IFERROR(__xludf.dummyfunction("""COMPUTED_VALUE"""),61.49)</f>
        <v>61.49</v>
      </c>
      <c r="D531" s="2" t="n">
        <f aca="false">IFERROR(__xludf.dummyfunction("""COMPUTED_VALUE"""),59.55)</f>
        <v>59.55</v>
      </c>
      <c r="E531" s="2" t="n">
        <f aca="false">IFERROR(__xludf.dummyfunction("""COMPUTED_VALUE"""),59.94)</f>
        <v>59.94</v>
      </c>
      <c r="F531" s="2" t="n">
        <f aca="false">IFERROR(__xludf.dummyfunction("""COMPUTED_VALUE"""),1883657)</f>
        <v>1883657</v>
      </c>
    </row>
    <row r="532" customFormat="false" ht="15.75" hidden="false" customHeight="false" outlineLevel="0" collapsed="false">
      <c r="A532" s="3" t="n">
        <f aca="false">IFERROR(__xludf.dummyfunction("""COMPUTED_VALUE"""),44967.6666666667)</f>
        <v>44967.6666666667</v>
      </c>
      <c r="B532" s="2" t="n">
        <f aca="false">IFERROR(__xludf.dummyfunction("""COMPUTED_VALUE"""),59.63)</f>
        <v>59.63</v>
      </c>
      <c r="C532" s="2" t="n">
        <f aca="false">IFERROR(__xludf.dummyfunction("""COMPUTED_VALUE"""),59.85)</f>
        <v>59.85</v>
      </c>
      <c r="D532" s="2" t="n">
        <f aca="false">IFERROR(__xludf.dummyfunction("""COMPUTED_VALUE"""),58.96)</f>
        <v>58.96</v>
      </c>
      <c r="E532" s="2" t="n">
        <f aca="false">IFERROR(__xludf.dummyfunction("""COMPUTED_VALUE"""),59.33)</f>
        <v>59.33</v>
      </c>
      <c r="F532" s="2" t="n">
        <f aca="false">IFERROR(__xludf.dummyfunction("""COMPUTED_VALUE"""),2103456)</f>
        <v>2103456</v>
      </c>
    </row>
    <row r="533" customFormat="false" ht="15.75" hidden="false" customHeight="false" outlineLevel="0" collapsed="false">
      <c r="A533" s="3" t="n">
        <f aca="false">IFERROR(__xludf.dummyfunction("""COMPUTED_VALUE"""),44970.6666666667)</f>
        <v>44970.6666666667</v>
      </c>
      <c r="B533" s="2" t="n">
        <f aca="false">IFERROR(__xludf.dummyfunction("""COMPUTED_VALUE"""),59.5)</f>
        <v>59.5</v>
      </c>
      <c r="C533" s="2" t="n">
        <f aca="false">IFERROR(__xludf.dummyfunction("""COMPUTED_VALUE"""),60.15)</f>
        <v>60.15</v>
      </c>
      <c r="D533" s="2" t="n">
        <f aca="false">IFERROR(__xludf.dummyfunction("""COMPUTED_VALUE"""),59.35)</f>
        <v>59.35</v>
      </c>
      <c r="E533" s="2" t="n">
        <f aca="false">IFERROR(__xludf.dummyfunction("""COMPUTED_VALUE"""),60.11)</f>
        <v>60.11</v>
      </c>
      <c r="F533" s="2" t="n">
        <f aca="false">IFERROR(__xludf.dummyfunction("""COMPUTED_VALUE"""),1984742)</f>
        <v>1984742</v>
      </c>
    </row>
    <row r="534" customFormat="false" ht="15.75" hidden="false" customHeight="false" outlineLevel="0" collapsed="false">
      <c r="A534" s="3" t="n">
        <f aca="false">IFERROR(__xludf.dummyfunction("""COMPUTED_VALUE"""),44971.6666666667)</f>
        <v>44971.6666666667</v>
      </c>
      <c r="B534" s="2" t="n">
        <f aca="false">IFERROR(__xludf.dummyfunction("""COMPUTED_VALUE"""),59.42)</f>
        <v>59.42</v>
      </c>
      <c r="C534" s="2" t="n">
        <f aca="false">IFERROR(__xludf.dummyfunction("""COMPUTED_VALUE"""),60.56)</f>
        <v>60.56</v>
      </c>
      <c r="D534" s="2" t="n">
        <f aca="false">IFERROR(__xludf.dummyfunction("""COMPUTED_VALUE"""),59.33)</f>
        <v>59.33</v>
      </c>
      <c r="E534" s="2" t="n">
        <f aca="false">IFERROR(__xludf.dummyfunction("""COMPUTED_VALUE"""),60.23)</f>
        <v>60.23</v>
      </c>
      <c r="F534" s="2" t="n">
        <f aca="false">IFERROR(__xludf.dummyfunction("""COMPUTED_VALUE"""),1757119)</f>
        <v>1757119</v>
      </c>
    </row>
    <row r="535" customFormat="false" ht="15.75" hidden="false" customHeight="false" outlineLevel="0" collapsed="false">
      <c r="A535" s="3" t="n">
        <f aca="false">IFERROR(__xludf.dummyfunction("""COMPUTED_VALUE"""),44972.6666666667)</f>
        <v>44972.6666666667</v>
      </c>
      <c r="B535" s="2" t="n">
        <f aca="false">IFERROR(__xludf.dummyfunction("""COMPUTED_VALUE"""),59.89)</f>
        <v>59.89</v>
      </c>
      <c r="C535" s="2" t="n">
        <f aca="false">IFERROR(__xludf.dummyfunction("""COMPUTED_VALUE"""),60.83)</f>
        <v>60.83</v>
      </c>
      <c r="D535" s="2" t="n">
        <f aca="false">IFERROR(__xludf.dummyfunction("""COMPUTED_VALUE"""),59.67)</f>
        <v>59.67</v>
      </c>
      <c r="E535" s="2" t="n">
        <f aca="false">IFERROR(__xludf.dummyfunction("""COMPUTED_VALUE"""),60.77)</f>
        <v>60.77</v>
      </c>
      <c r="F535" s="2" t="n">
        <f aca="false">IFERROR(__xludf.dummyfunction("""COMPUTED_VALUE"""),1268895)</f>
        <v>1268895</v>
      </c>
    </row>
    <row r="536" customFormat="false" ht="15.75" hidden="false" customHeight="false" outlineLevel="0" collapsed="false">
      <c r="A536" s="3" t="n">
        <f aca="false">IFERROR(__xludf.dummyfunction("""COMPUTED_VALUE"""),44973.6666666667)</f>
        <v>44973.6666666667</v>
      </c>
      <c r="B536" s="2" t="n">
        <f aca="false">IFERROR(__xludf.dummyfunction("""COMPUTED_VALUE"""),60.08)</f>
        <v>60.08</v>
      </c>
      <c r="C536" s="2" t="n">
        <f aca="false">IFERROR(__xludf.dummyfunction("""COMPUTED_VALUE"""),60.89)</f>
        <v>60.89</v>
      </c>
      <c r="D536" s="2" t="n">
        <f aca="false">IFERROR(__xludf.dummyfunction("""COMPUTED_VALUE"""),59.96)</f>
        <v>59.96</v>
      </c>
      <c r="E536" s="2" t="n">
        <f aca="false">IFERROR(__xludf.dummyfunction("""COMPUTED_VALUE"""),60.05)</f>
        <v>60.05</v>
      </c>
      <c r="F536" s="2" t="n">
        <f aca="false">IFERROR(__xludf.dummyfunction("""COMPUTED_VALUE"""),1744871)</f>
        <v>1744871</v>
      </c>
    </row>
    <row r="537" customFormat="false" ht="15.75" hidden="false" customHeight="false" outlineLevel="0" collapsed="false">
      <c r="A537" s="3" t="n">
        <f aca="false">IFERROR(__xludf.dummyfunction("""COMPUTED_VALUE"""),44974.6666666667)</f>
        <v>44974.6666666667</v>
      </c>
      <c r="B537" s="2" t="n">
        <f aca="false">IFERROR(__xludf.dummyfunction("""COMPUTED_VALUE"""),60)</f>
        <v>60</v>
      </c>
      <c r="C537" s="2" t="n">
        <f aca="false">IFERROR(__xludf.dummyfunction("""COMPUTED_VALUE"""),60.09)</f>
        <v>60.09</v>
      </c>
      <c r="D537" s="2" t="n">
        <f aca="false">IFERROR(__xludf.dummyfunction("""COMPUTED_VALUE"""),59.25)</f>
        <v>59.25</v>
      </c>
      <c r="E537" s="2" t="n">
        <f aca="false">IFERROR(__xludf.dummyfunction("""COMPUTED_VALUE"""),59.56)</f>
        <v>59.56</v>
      </c>
      <c r="F537" s="2" t="n">
        <f aca="false">IFERROR(__xludf.dummyfunction("""COMPUTED_VALUE"""),1421560)</f>
        <v>1421560</v>
      </c>
    </row>
    <row r="538" customFormat="false" ht="15.75" hidden="false" customHeight="false" outlineLevel="0" collapsed="false">
      <c r="A538" s="3" t="n">
        <f aca="false">IFERROR(__xludf.dummyfunction("""COMPUTED_VALUE"""),44978.6666666667)</f>
        <v>44978.6666666667</v>
      </c>
      <c r="B538" s="2" t="n">
        <f aca="false">IFERROR(__xludf.dummyfunction("""COMPUTED_VALUE"""),59)</f>
        <v>59</v>
      </c>
      <c r="C538" s="2" t="n">
        <f aca="false">IFERROR(__xludf.dummyfunction("""COMPUTED_VALUE"""),59.31)</f>
        <v>59.31</v>
      </c>
      <c r="D538" s="2" t="n">
        <f aca="false">IFERROR(__xludf.dummyfunction("""COMPUTED_VALUE"""),57.98)</f>
        <v>57.98</v>
      </c>
      <c r="E538" s="2" t="n">
        <f aca="false">IFERROR(__xludf.dummyfunction("""COMPUTED_VALUE"""),58.15)</f>
        <v>58.15</v>
      </c>
      <c r="F538" s="2" t="n">
        <f aca="false">IFERROR(__xludf.dummyfunction("""COMPUTED_VALUE"""),2273874)</f>
        <v>2273874</v>
      </c>
    </row>
    <row r="539" customFormat="false" ht="15.75" hidden="false" customHeight="false" outlineLevel="0" collapsed="false">
      <c r="A539" s="3" t="n">
        <f aca="false">IFERROR(__xludf.dummyfunction("""COMPUTED_VALUE"""),44979.6666666667)</f>
        <v>44979.6666666667</v>
      </c>
      <c r="B539" s="2" t="n">
        <f aca="false">IFERROR(__xludf.dummyfunction("""COMPUTED_VALUE"""),58.23)</f>
        <v>58.23</v>
      </c>
      <c r="C539" s="2" t="n">
        <f aca="false">IFERROR(__xludf.dummyfunction("""COMPUTED_VALUE"""),58.31)</f>
        <v>58.31</v>
      </c>
      <c r="D539" s="2" t="n">
        <f aca="false">IFERROR(__xludf.dummyfunction("""COMPUTED_VALUE"""),57.21)</f>
        <v>57.21</v>
      </c>
      <c r="E539" s="2" t="n">
        <f aca="false">IFERROR(__xludf.dummyfunction("""COMPUTED_VALUE"""),57.62)</f>
        <v>57.62</v>
      </c>
      <c r="F539" s="2" t="n">
        <f aca="false">IFERROR(__xludf.dummyfunction("""COMPUTED_VALUE"""),2347525)</f>
        <v>2347525</v>
      </c>
    </row>
    <row r="540" customFormat="false" ht="15.75" hidden="false" customHeight="false" outlineLevel="0" collapsed="false">
      <c r="A540" s="3" t="n">
        <f aca="false">IFERROR(__xludf.dummyfunction("""COMPUTED_VALUE"""),44980.6666666667)</f>
        <v>44980.6666666667</v>
      </c>
      <c r="B540" s="2" t="n">
        <f aca="false">IFERROR(__xludf.dummyfunction("""COMPUTED_VALUE"""),58.58)</f>
        <v>58.58</v>
      </c>
      <c r="C540" s="2" t="n">
        <f aca="false">IFERROR(__xludf.dummyfunction("""COMPUTED_VALUE"""),58.59)</f>
        <v>58.59</v>
      </c>
      <c r="D540" s="2" t="n">
        <f aca="false">IFERROR(__xludf.dummyfunction("""COMPUTED_VALUE"""),57.37)</f>
        <v>57.37</v>
      </c>
      <c r="E540" s="2" t="n">
        <f aca="false">IFERROR(__xludf.dummyfunction("""COMPUTED_VALUE"""),58.38)</f>
        <v>58.38</v>
      </c>
      <c r="F540" s="2" t="n">
        <f aca="false">IFERROR(__xludf.dummyfunction("""COMPUTED_VALUE"""),1893930)</f>
        <v>1893930</v>
      </c>
    </row>
    <row r="541" customFormat="false" ht="15.75" hidden="false" customHeight="false" outlineLevel="0" collapsed="false">
      <c r="A541" s="3" t="n">
        <f aca="false">IFERROR(__xludf.dummyfunction("""COMPUTED_VALUE"""),44981.6666666667)</f>
        <v>44981.6666666667</v>
      </c>
      <c r="B541" s="2" t="n">
        <f aca="false">IFERROR(__xludf.dummyfunction("""COMPUTED_VALUE"""),57.75)</f>
        <v>57.75</v>
      </c>
      <c r="C541" s="2" t="n">
        <f aca="false">IFERROR(__xludf.dummyfunction("""COMPUTED_VALUE"""),58.02)</f>
        <v>58.02</v>
      </c>
      <c r="D541" s="2" t="n">
        <f aca="false">IFERROR(__xludf.dummyfunction("""COMPUTED_VALUE"""),57.36)</f>
        <v>57.36</v>
      </c>
      <c r="E541" s="2" t="n">
        <f aca="false">IFERROR(__xludf.dummyfunction("""COMPUTED_VALUE"""),57.78)</f>
        <v>57.78</v>
      </c>
      <c r="F541" s="2" t="n">
        <f aca="false">IFERROR(__xludf.dummyfunction("""COMPUTED_VALUE"""),1535326)</f>
        <v>1535326</v>
      </c>
    </row>
    <row r="542" customFormat="false" ht="15.75" hidden="false" customHeight="false" outlineLevel="0" collapsed="false">
      <c r="A542" s="3" t="n">
        <f aca="false">IFERROR(__xludf.dummyfunction("""COMPUTED_VALUE"""),44984.6666666667)</f>
        <v>44984.6666666667</v>
      </c>
      <c r="B542" s="2" t="n">
        <f aca="false">IFERROR(__xludf.dummyfunction("""COMPUTED_VALUE"""),58.59)</f>
        <v>58.59</v>
      </c>
      <c r="C542" s="2" t="n">
        <f aca="false">IFERROR(__xludf.dummyfunction("""COMPUTED_VALUE"""),58.98)</f>
        <v>58.98</v>
      </c>
      <c r="D542" s="2" t="n">
        <f aca="false">IFERROR(__xludf.dummyfunction("""COMPUTED_VALUE"""),58.43)</f>
        <v>58.43</v>
      </c>
      <c r="E542" s="2" t="n">
        <f aca="false">IFERROR(__xludf.dummyfunction("""COMPUTED_VALUE"""),58.55)</f>
        <v>58.55</v>
      </c>
      <c r="F542" s="2" t="n">
        <f aca="false">IFERROR(__xludf.dummyfunction("""COMPUTED_VALUE"""),1832279)</f>
        <v>1832279</v>
      </c>
    </row>
    <row r="543" customFormat="false" ht="15.75" hidden="false" customHeight="false" outlineLevel="0" collapsed="false">
      <c r="A543" s="3" t="n">
        <f aca="false">IFERROR(__xludf.dummyfunction("""COMPUTED_VALUE"""),44985.6666666667)</f>
        <v>44985.6666666667</v>
      </c>
      <c r="B543" s="2" t="n">
        <f aca="false">IFERROR(__xludf.dummyfunction("""COMPUTED_VALUE"""),58.56)</f>
        <v>58.56</v>
      </c>
      <c r="C543" s="2" t="n">
        <f aca="false">IFERROR(__xludf.dummyfunction("""COMPUTED_VALUE"""),59.86)</f>
        <v>59.86</v>
      </c>
      <c r="D543" s="2" t="n">
        <f aca="false">IFERROR(__xludf.dummyfunction("""COMPUTED_VALUE"""),58.22)</f>
        <v>58.22</v>
      </c>
      <c r="E543" s="2" t="n">
        <f aca="false">IFERROR(__xludf.dummyfunction("""COMPUTED_VALUE"""),59.43)</f>
        <v>59.43</v>
      </c>
      <c r="F543" s="2" t="n">
        <f aca="false">IFERROR(__xludf.dummyfunction("""COMPUTED_VALUE"""),2782194)</f>
        <v>2782194</v>
      </c>
    </row>
    <row r="544" customFormat="false" ht="15.75" hidden="false" customHeight="false" outlineLevel="0" collapsed="false">
      <c r="A544" s="3" t="n">
        <f aca="false">IFERROR(__xludf.dummyfunction("""COMPUTED_VALUE"""),44986.6666666667)</f>
        <v>44986.6666666667</v>
      </c>
      <c r="B544" s="2" t="n">
        <f aca="false">IFERROR(__xludf.dummyfunction("""COMPUTED_VALUE"""),59.4)</f>
        <v>59.4</v>
      </c>
      <c r="C544" s="2" t="n">
        <f aca="false">IFERROR(__xludf.dummyfunction("""COMPUTED_VALUE"""),59.82)</f>
        <v>59.82</v>
      </c>
      <c r="D544" s="2" t="n">
        <f aca="false">IFERROR(__xludf.dummyfunction("""COMPUTED_VALUE"""),59.03)</f>
        <v>59.03</v>
      </c>
      <c r="E544" s="2" t="n">
        <f aca="false">IFERROR(__xludf.dummyfunction("""COMPUTED_VALUE"""),59.36)</f>
        <v>59.36</v>
      </c>
      <c r="F544" s="2" t="n">
        <f aca="false">IFERROR(__xludf.dummyfunction("""COMPUTED_VALUE"""),1548354)</f>
        <v>1548354</v>
      </c>
    </row>
    <row r="545" customFormat="false" ht="15.75" hidden="false" customHeight="false" outlineLevel="0" collapsed="false">
      <c r="A545" s="3" t="n">
        <f aca="false">IFERROR(__xludf.dummyfunction("""COMPUTED_VALUE"""),44987.6666666667)</f>
        <v>44987.6666666667</v>
      </c>
      <c r="B545" s="2" t="n">
        <f aca="false">IFERROR(__xludf.dummyfunction("""COMPUTED_VALUE"""),58.94)</f>
        <v>58.94</v>
      </c>
      <c r="C545" s="2" t="n">
        <f aca="false">IFERROR(__xludf.dummyfunction("""COMPUTED_VALUE"""),60.09)</f>
        <v>60.09</v>
      </c>
      <c r="D545" s="2" t="n">
        <f aca="false">IFERROR(__xludf.dummyfunction("""COMPUTED_VALUE"""),58.61)</f>
        <v>58.61</v>
      </c>
      <c r="E545" s="2" t="n">
        <f aca="false">IFERROR(__xludf.dummyfunction("""COMPUTED_VALUE"""),59.87)</f>
        <v>59.87</v>
      </c>
      <c r="F545" s="2" t="n">
        <f aca="false">IFERROR(__xludf.dummyfunction("""COMPUTED_VALUE"""),2766254)</f>
        <v>2766254</v>
      </c>
    </row>
    <row r="546" customFormat="false" ht="15.75" hidden="false" customHeight="false" outlineLevel="0" collapsed="false">
      <c r="A546" s="3" t="n">
        <f aca="false">IFERROR(__xludf.dummyfunction("""COMPUTED_VALUE"""),44988.6666666667)</f>
        <v>44988.6666666667</v>
      </c>
      <c r="B546" s="2" t="n">
        <f aca="false">IFERROR(__xludf.dummyfunction("""COMPUTED_VALUE"""),61.77)</f>
        <v>61.77</v>
      </c>
      <c r="C546" s="2" t="n">
        <f aca="false">IFERROR(__xludf.dummyfunction("""COMPUTED_VALUE"""),63.57)</f>
        <v>63.57</v>
      </c>
      <c r="D546" s="2" t="n">
        <f aca="false">IFERROR(__xludf.dummyfunction("""COMPUTED_VALUE"""),61.58)</f>
        <v>61.58</v>
      </c>
      <c r="E546" s="2" t="n">
        <f aca="false">IFERROR(__xludf.dummyfunction("""COMPUTED_VALUE"""),63.28)</f>
        <v>63.28</v>
      </c>
      <c r="F546" s="2" t="n">
        <f aca="false">IFERROR(__xludf.dummyfunction("""COMPUTED_VALUE"""),4608782)</f>
        <v>4608782</v>
      </c>
    </row>
    <row r="547" customFormat="false" ht="15.75" hidden="false" customHeight="false" outlineLevel="0" collapsed="false">
      <c r="A547" s="3" t="n">
        <f aca="false">IFERROR(__xludf.dummyfunction("""COMPUTED_VALUE"""),44991.6666666667)</f>
        <v>44991.6666666667</v>
      </c>
      <c r="B547" s="2" t="n">
        <f aca="false">IFERROR(__xludf.dummyfunction("""COMPUTED_VALUE"""),63.5)</f>
        <v>63.5</v>
      </c>
      <c r="C547" s="2" t="n">
        <f aca="false">IFERROR(__xludf.dummyfunction("""COMPUTED_VALUE"""),64.41)</f>
        <v>64.41</v>
      </c>
      <c r="D547" s="2" t="n">
        <f aca="false">IFERROR(__xludf.dummyfunction("""COMPUTED_VALUE"""),63.17)</f>
        <v>63.17</v>
      </c>
      <c r="E547" s="2" t="n">
        <f aca="false">IFERROR(__xludf.dummyfunction("""COMPUTED_VALUE"""),63.29)</f>
        <v>63.29</v>
      </c>
      <c r="F547" s="2" t="n">
        <f aca="false">IFERROR(__xludf.dummyfunction("""COMPUTED_VALUE"""),2498259)</f>
        <v>2498259</v>
      </c>
    </row>
    <row r="548" customFormat="false" ht="15.75" hidden="false" customHeight="false" outlineLevel="0" collapsed="false">
      <c r="A548" s="3" t="n">
        <f aca="false">IFERROR(__xludf.dummyfunction("""COMPUTED_VALUE"""),44992.6666666667)</f>
        <v>44992.6666666667</v>
      </c>
      <c r="B548" s="2" t="n">
        <f aca="false">IFERROR(__xludf.dummyfunction("""COMPUTED_VALUE"""),63.49)</f>
        <v>63.49</v>
      </c>
      <c r="C548" s="2" t="n">
        <f aca="false">IFERROR(__xludf.dummyfunction("""COMPUTED_VALUE"""),63.58)</f>
        <v>63.58</v>
      </c>
      <c r="D548" s="2" t="n">
        <f aca="false">IFERROR(__xludf.dummyfunction("""COMPUTED_VALUE"""),62.35)</f>
        <v>62.35</v>
      </c>
      <c r="E548" s="2" t="n">
        <f aca="false">IFERROR(__xludf.dummyfunction("""COMPUTED_VALUE"""),62.52)</f>
        <v>62.52</v>
      </c>
      <c r="F548" s="2" t="n">
        <f aca="false">IFERROR(__xludf.dummyfunction("""COMPUTED_VALUE"""),1933550)</f>
        <v>1933550</v>
      </c>
    </row>
    <row r="549" customFormat="false" ht="15.75" hidden="false" customHeight="false" outlineLevel="0" collapsed="false">
      <c r="A549" s="3" t="n">
        <f aca="false">IFERROR(__xludf.dummyfunction("""COMPUTED_VALUE"""),44993.6666666667)</f>
        <v>44993.6666666667</v>
      </c>
      <c r="B549" s="2" t="n">
        <f aca="false">IFERROR(__xludf.dummyfunction("""COMPUTED_VALUE"""),62.78)</f>
        <v>62.78</v>
      </c>
      <c r="C549" s="2" t="n">
        <f aca="false">IFERROR(__xludf.dummyfunction("""COMPUTED_VALUE"""),63.27)</f>
        <v>63.27</v>
      </c>
      <c r="D549" s="2" t="n">
        <f aca="false">IFERROR(__xludf.dummyfunction("""COMPUTED_VALUE"""),62.37)</f>
        <v>62.37</v>
      </c>
      <c r="E549" s="2" t="n">
        <f aca="false">IFERROR(__xludf.dummyfunction("""COMPUTED_VALUE"""),63.23)</f>
        <v>63.23</v>
      </c>
      <c r="F549" s="2" t="n">
        <f aca="false">IFERROR(__xludf.dummyfunction("""COMPUTED_VALUE"""),2091312)</f>
        <v>2091312</v>
      </c>
    </row>
    <row r="550" customFormat="false" ht="15.75" hidden="false" customHeight="false" outlineLevel="0" collapsed="false">
      <c r="A550" s="3" t="n">
        <f aca="false">IFERROR(__xludf.dummyfunction("""COMPUTED_VALUE"""),44994.6666666667)</f>
        <v>44994.6666666667</v>
      </c>
      <c r="B550" s="2" t="n">
        <f aca="false">IFERROR(__xludf.dummyfunction("""COMPUTED_VALUE"""),63.01)</f>
        <v>63.01</v>
      </c>
      <c r="C550" s="2" t="n">
        <f aca="false">IFERROR(__xludf.dummyfunction("""COMPUTED_VALUE"""),64.24)</f>
        <v>64.24</v>
      </c>
      <c r="D550" s="2" t="n">
        <f aca="false">IFERROR(__xludf.dummyfunction("""COMPUTED_VALUE"""),62.19)</f>
        <v>62.19</v>
      </c>
      <c r="E550" s="2" t="n">
        <f aca="false">IFERROR(__xludf.dummyfunction("""COMPUTED_VALUE"""),62.25)</f>
        <v>62.25</v>
      </c>
      <c r="F550" s="2" t="n">
        <f aca="false">IFERROR(__xludf.dummyfunction("""COMPUTED_VALUE"""),2177832)</f>
        <v>2177832</v>
      </c>
    </row>
    <row r="551" customFormat="false" ht="15.75" hidden="false" customHeight="false" outlineLevel="0" collapsed="false">
      <c r="A551" s="3" t="n">
        <f aca="false">IFERROR(__xludf.dummyfunction("""COMPUTED_VALUE"""),44995.6666666667)</f>
        <v>44995.6666666667</v>
      </c>
      <c r="B551" s="2" t="n">
        <f aca="false">IFERROR(__xludf.dummyfunction("""COMPUTED_VALUE"""),62.82)</f>
        <v>62.82</v>
      </c>
      <c r="C551" s="2" t="n">
        <f aca="false">IFERROR(__xludf.dummyfunction("""COMPUTED_VALUE"""),63.02)</f>
        <v>63.02</v>
      </c>
      <c r="D551" s="2" t="n">
        <f aca="false">IFERROR(__xludf.dummyfunction("""COMPUTED_VALUE"""),61.28)</f>
        <v>61.28</v>
      </c>
      <c r="E551" s="2" t="n">
        <f aca="false">IFERROR(__xludf.dummyfunction("""COMPUTED_VALUE"""),61.48)</f>
        <v>61.48</v>
      </c>
      <c r="F551" s="2" t="n">
        <f aca="false">IFERROR(__xludf.dummyfunction("""COMPUTED_VALUE"""),2609918)</f>
        <v>2609918</v>
      </c>
    </row>
    <row r="552" customFormat="false" ht="15.75" hidden="false" customHeight="false" outlineLevel="0" collapsed="false">
      <c r="A552" s="3" t="n">
        <f aca="false">IFERROR(__xludf.dummyfunction("""COMPUTED_VALUE"""),44998.6666666667)</f>
        <v>44998.6666666667</v>
      </c>
      <c r="B552" s="2" t="n">
        <f aca="false">IFERROR(__xludf.dummyfunction("""COMPUTED_VALUE"""),60.71)</f>
        <v>60.71</v>
      </c>
      <c r="C552" s="2" t="n">
        <f aca="false">IFERROR(__xludf.dummyfunction("""COMPUTED_VALUE"""),62.44)</f>
        <v>62.44</v>
      </c>
      <c r="D552" s="2" t="n">
        <f aca="false">IFERROR(__xludf.dummyfunction("""COMPUTED_VALUE"""),60.69)</f>
        <v>60.69</v>
      </c>
      <c r="E552" s="2" t="n">
        <f aca="false">IFERROR(__xludf.dummyfunction("""COMPUTED_VALUE"""),61.65)</f>
        <v>61.65</v>
      </c>
      <c r="F552" s="2" t="n">
        <f aca="false">IFERROR(__xludf.dummyfunction("""COMPUTED_VALUE"""),2236402)</f>
        <v>2236402</v>
      </c>
    </row>
    <row r="553" customFormat="false" ht="15.75" hidden="false" customHeight="false" outlineLevel="0" collapsed="false">
      <c r="A553" s="3" t="n">
        <f aca="false">IFERROR(__xludf.dummyfunction("""COMPUTED_VALUE"""),44999.6666666667)</f>
        <v>44999.6666666667</v>
      </c>
      <c r="B553" s="2" t="n">
        <f aca="false">IFERROR(__xludf.dummyfunction("""COMPUTED_VALUE"""),62.34)</f>
        <v>62.34</v>
      </c>
      <c r="C553" s="2" t="n">
        <f aca="false">IFERROR(__xludf.dummyfunction("""COMPUTED_VALUE"""),63.34)</f>
        <v>63.34</v>
      </c>
      <c r="D553" s="2" t="n">
        <f aca="false">IFERROR(__xludf.dummyfunction("""COMPUTED_VALUE"""),61.85)</f>
        <v>61.85</v>
      </c>
      <c r="E553" s="2" t="n">
        <f aca="false">IFERROR(__xludf.dummyfunction("""COMPUTED_VALUE"""),63.25)</f>
        <v>63.25</v>
      </c>
      <c r="F553" s="2" t="n">
        <f aca="false">IFERROR(__xludf.dummyfunction("""COMPUTED_VALUE"""),2589333)</f>
        <v>2589333</v>
      </c>
    </row>
    <row r="554" customFormat="false" ht="15.75" hidden="false" customHeight="false" outlineLevel="0" collapsed="false">
      <c r="A554" s="3" t="n">
        <f aca="false">IFERROR(__xludf.dummyfunction("""COMPUTED_VALUE"""),45000.6666666667)</f>
        <v>45000.6666666667</v>
      </c>
      <c r="B554" s="2" t="n">
        <f aca="false">IFERROR(__xludf.dummyfunction("""COMPUTED_VALUE"""),62.77)</f>
        <v>62.77</v>
      </c>
      <c r="C554" s="2" t="n">
        <f aca="false">IFERROR(__xludf.dummyfunction("""COMPUTED_VALUE"""),63.01)</f>
        <v>63.01</v>
      </c>
      <c r="D554" s="2" t="n">
        <f aca="false">IFERROR(__xludf.dummyfunction("""COMPUTED_VALUE"""),61.62)</f>
        <v>61.62</v>
      </c>
      <c r="E554" s="2" t="n">
        <f aca="false">IFERROR(__xludf.dummyfunction("""COMPUTED_VALUE"""),62.6)</f>
        <v>62.6</v>
      </c>
      <c r="F554" s="2" t="n">
        <f aca="false">IFERROR(__xludf.dummyfunction("""COMPUTED_VALUE"""),2296299)</f>
        <v>2296299</v>
      </c>
    </row>
    <row r="555" customFormat="false" ht="15.75" hidden="false" customHeight="false" outlineLevel="0" collapsed="false">
      <c r="A555" s="3" t="n">
        <f aca="false">IFERROR(__xludf.dummyfunction("""COMPUTED_VALUE"""),45001.6666666667)</f>
        <v>45001.6666666667</v>
      </c>
      <c r="B555" s="2" t="n">
        <f aca="false">IFERROR(__xludf.dummyfunction("""COMPUTED_VALUE"""),62.19)</f>
        <v>62.19</v>
      </c>
      <c r="C555" s="2" t="n">
        <f aca="false">IFERROR(__xludf.dummyfunction("""COMPUTED_VALUE"""),63.71)</f>
        <v>63.71</v>
      </c>
      <c r="D555" s="2" t="n">
        <f aca="false">IFERROR(__xludf.dummyfunction("""COMPUTED_VALUE"""),61.78)</f>
        <v>61.78</v>
      </c>
      <c r="E555" s="2" t="n">
        <f aca="false">IFERROR(__xludf.dummyfunction("""COMPUTED_VALUE"""),63.65)</f>
        <v>63.65</v>
      </c>
      <c r="F555" s="2" t="n">
        <f aca="false">IFERROR(__xludf.dummyfunction("""COMPUTED_VALUE"""),3172152)</f>
        <v>3172152</v>
      </c>
    </row>
    <row r="556" customFormat="false" ht="15.75" hidden="false" customHeight="false" outlineLevel="0" collapsed="false">
      <c r="A556" s="3" t="n">
        <f aca="false">IFERROR(__xludf.dummyfunction("""COMPUTED_VALUE"""),45002.6666666667)</f>
        <v>45002.6666666667</v>
      </c>
      <c r="B556" s="2" t="n">
        <f aca="false">IFERROR(__xludf.dummyfunction("""COMPUTED_VALUE"""),63.65)</f>
        <v>63.65</v>
      </c>
      <c r="C556" s="2" t="n">
        <f aca="false">IFERROR(__xludf.dummyfunction("""COMPUTED_VALUE"""),63.96)</f>
        <v>63.96</v>
      </c>
      <c r="D556" s="2" t="n">
        <f aca="false">IFERROR(__xludf.dummyfunction("""COMPUTED_VALUE"""),62.71)</f>
        <v>62.71</v>
      </c>
      <c r="E556" s="2" t="n">
        <f aca="false">IFERROR(__xludf.dummyfunction("""COMPUTED_VALUE"""),63.1)</f>
        <v>63.1</v>
      </c>
      <c r="F556" s="2" t="n">
        <f aca="false">IFERROR(__xludf.dummyfunction("""COMPUTED_VALUE"""),7930280)</f>
        <v>7930280</v>
      </c>
    </row>
    <row r="557" customFormat="false" ht="15.75" hidden="false" customHeight="false" outlineLevel="0" collapsed="false">
      <c r="A557" s="3" t="n">
        <f aca="false">IFERROR(__xludf.dummyfunction("""COMPUTED_VALUE"""),45005.6666666667)</f>
        <v>45005.6666666667</v>
      </c>
      <c r="B557" s="2" t="n">
        <f aca="false">IFERROR(__xludf.dummyfunction("""COMPUTED_VALUE"""),63.27)</f>
        <v>63.27</v>
      </c>
      <c r="C557" s="2" t="n">
        <f aca="false">IFERROR(__xludf.dummyfunction("""COMPUTED_VALUE"""),64.47)</f>
        <v>64.47</v>
      </c>
      <c r="D557" s="2" t="n">
        <f aca="false">IFERROR(__xludf.dummyfunction("""COMPUTED_VALUE"""),63.16)</f>
        <v>63.16</v>
      </c>
      <c r="E557" s="2" t="n">
        <f aca="false">IFERROR(__xludf.dummyfunction("""COMPUTED_VALUE"""),64.37)</f>
        <v>64.37</v>
      </c>
      <c r="F557" s="2" t="n">
        <f aca="false">IFERROR(__xludf.dummyfunction("""COMPUTED_VALUE"""),2585730)</f>
        <v>2585730</v>
      </c>
    </row>
    <row r="558" customFormat="false" ht="15.75" hidden="false" customHeight="false" outlineLevel="0" collapsed="false">
      <c r="A558" s="3" t="n">
        <f aca="false">IFERROR(__xludf.dummyfunction("""COMPUTED_VALUE"""),45006.6666666667)</f>
        <v>45006.6666666667</v>
      </c>
      <c r="B558" s="2" t="n">
        <f aca="false">IFERROR(__xludf.dummyfunction("""COMPUTED_VALUE"""),64.31)</f>
        <v>64.31</v>
      </c>
      <c r="C558" s="2" t="n">
        <f aca="false">IFERROR(__xludf.dummyfunction("""COMPUTED_VALUE"""),64.66)</f>
        <v>64.66</v>
      </c>
      <c r="D558" s="2" t="n">
        <f aca="false">IFERROR(__xludf.dummyfunction("""COMPUTED_VALUE"""),63.43)</f>
        <v>63.43</v>
      </c>
      <c r="E558" s="2" t="n">
        <f aca="false">IFERROR(__xludf.dummyfunction("""COMPUTED_VALUE"""),63.68)</f>
        <v>63.68</v>
      </c>
      <c r="F558" s="2" t="n">
        <f aca="false">IFERROR(__xludf.dummyfunction("""COMPUTED_VALUE"""),2500011)</f>
        <v>2500011</v>
      </c>
    </row>
    <row r="559" customFormat="false" ht="15.75" hidden="false" customHeight="false" outlineLevel="0" collapsed="false">
      <c r="A559" s="3" t="n">
        <f aca="false">IFERROR(__xludf.dummyfunction("""COMPUTED_VALUE"""),45007.6666666667)</f>
        <v>45007.6666666667</v>
      </c>
      <c r="B559" s="2" t="n">
        <f aca="false">IFERROR(__xludf.dummyfunction("""COMPUTED_VALUE"""),63.69)</f>
        <v>63.69</v>
      </c>
      <c r="C559" s="2" t="n">
        <f aca="false">IFERROR(__xludf.dummyfunction("""COMPUTED_VALUE"""),64.85)</f>
        <v>64.85</v>
      </c>
      <c r="D559" s="2" t="n">
        <f aca="false">IFERROR(__xludf.dummyfunction("""COMPUTED_VALUE"""),63.07)</f>
        <v>63.07</v>
      </c>
      <c r="E559" s="2" t="n">
        <f aca="false">IFERROR(__xludf.dummyfunction("""COMPUTED_VALUE"""),63.09)</f>
        <v>63.09</v>
      </c>
      <c r="F559" s="2" t="n">
        <f aca="false">IFERROR(__xludf.dummyfunction("""COMPUTED_VALUE"""),2579887)</f>
        <v>2579887</v>
      </c>
    </row>
    <row r="560" customFormat="false" ht="15.75" hidden="false" customHeight="false" outlineLevel="0" collapsed="false">
      <c r="A560" s="3" t="n">
        <f aca="false">IFERROR(__xludf.dummyfunction("""COMPUTED_VALUE"""),45008.6666666667)</f>
        <v>45008.6666666667</v>
      </c>
      <c r="B560" s="2" t="n">
        <f aca="false">IFERROR(__xludf.dummyfunction("""COMPUTED_VALUE"""),63.89)</f>
        <v>63.89</v>
      </c>
      <c r="C560" s="2" t="n">
        <f aca="false">IFERROR(__xludf.dummyfunction("""COMPUTED_VALUE"""),64.82)</f>
        <v>64.82</v>
      </c>
      <c r="D560" s="2" t="n">
        <f aca="false">IFERROR(__xludf.dummyfunction("""COMPUTED_VALUE"""),63.15)</f>
        <v>63.15</v>
      </c>
      <c r="E560" s="2" t="n">
        <f aca="false">IFERROR(__xludf.dummyfunction("""COMPUTED_VALUE"""),63.92)</f>
        <v>63.92</v>
      </c>
      <c r="F560" s="2" t="n">
        <f aca="false">IFERROR(__xludf.dummyfunction("""COMPUTED_VALUE"""),2716446)</f>
        <v>2716446</v>
      </c>
    </row>
    <row r="561" customFormat="false" ht="15.75" hidden="false" customHeight="false" outlineLevel="0" collapsed="false">
      <c r="A561" s="3" t="n">
        <f aca="false">IFERROR(__xludf.dummyfunction("""COMPUTED_VALUE"""),45009.6666666667)</f>
        <v>45009.6666666667</v>
      </c>
      <c r="B561" s="2" t="n">
        <f aca="false">IFERROR(__xludf.dummyfunction("""COMPUTED_VALUE"""),63.8)</f>
        <v>63.8</v>
      </c>
      <c r="C561" s="2" t="n">
        <f aca="false">IFERROR(__xludf.dummyfunction("""COMPUTED_VALUE"""),63.93)</f>
        <v>63.93</v>
      </c>
      <c r="D561" s="2" t="n">
        <f aca="false">IFERROR(__xludf.dummyfunction("""COMPUTED_VALUE"""),62.86)</f>
        <v>62.86</v>
      </c>
      <c r="E561" s="2" t="n">
        <f aca="false">IFERROR(__xludf.dummyfunction("""COMPUTED_VALUE"""),63.62)</f>
        <v>63.62</v>
      </c>
      <c r="F561" s="2" t="n">
        <f aca="false">IFERROR(__xludf.dummyfunction("""COMPUTED_VALUE"""),1722916)</f>
        <v>1722916</v>
      </c>
    </row>
    <row r="562" customFormat="false" ht="15.75" hidden="false" customHeight="false" outlineLevel="0" collapsed="false">
      <c r="A562" s="3" t="n">
        <f aca="false">IFERROR(__xludf.dummyfunction("""COMPUTED_VALUE"""),45012.6666666667)</f>
        <v>45012.6666666667</v>
      </c>
      <c r="B562" s="2" t="n">
        <f aca="false">IFERROR(__xludf.dummyfunction("""COMPUTED_VALUE"""),63.9)</f>
        <v>63.9</v>
      </c>
      <c r="C562" s="2" t="n">
        <f aca="false">IFERROR(__xludf.dummyfunction("""COMPUTED_VALUE"""),63.91)</f>
        <v>63.91</v>
      </c>
      <c r="D562" s="2" t="n">
        <f aca="false">IFERROR(__xludf.dummyfunction("""COMPUTED_VALUE"""),62.6)</f>
        <v>62.6</v>
      </c>
      <c r="E562" s="2" t="n">
        <f aca="false">IFERROR(__xludf.dummyfunction("""COMPUTED_VALUE"""),62.68)</f>
        <v>62.68</v>
      </c>
      <c r="F562" s="2" t="n">
        <f aca="false">IFERROR(__xludf.dummyfunction("""COMPUTED_VALUE"""),1470884)</f>
        <v>1470884</v>
      </c>
    </row>
    <row r="563" customFormat="false" ht="15.75" hidden="false" customHeight="false" outlineLevel="0" collapsed="false">
      <c r="A563" s="3" t="n">
        <f aca="false">IFERROR(__xludf.dummyfunction("""COMPUTED_VALUE"""),45013.6666666667)</f>
        <v>45013.6666666667</v>
      </c>
      <c r="B563" s="2" t="n">
        <f aca="false">IFERROR(__xludf.dummyfunction("""COMPUTED_VALUE"""),62.52)</f>
        <v>62.52</v>
      </c>
      <c r="C563" s="2" t="n">
        <f aca="false">IFERROR(__xludf.dummyfunction("""COMPUTED_VALUE"""),62.65)</f>
        <v>62.65</v>
      </c>
      <c r="D563" s="2" t="n">
        <f aca="false">IFERROR(__xludf.dummyfunction("""COMPUTED_VALUE"""),61.89)</f>
        <v>61.89</v>
      </c>
      <c r="E563" s="2" t="n">
        <f aca="false">IFERROR(__xludf.dummyfunction("""COMPUTED_VALUE"""),62.47)</f>
        <v>62.47</v>
      </c>
      <c r="F563" s="2" t="n">
        <f aca="false">IFERROR(__xludf.dummyfunction("""COMPUTED_VALUE"""),1243911)</f>
        <v>1243911</v>
      </c>
    </row>
    <row r="564" customFormat="false" ht="15.75" hidden="false" customHeight="false" outlineLevel="0" collapsed="false">
      <c r="A564" s="3" t="n">
        <f aca="false">IFERROR(__xludf.dummyfunction("""COMPUTED_VALUE"""),45014.6666666667)</f>
        <v>45014.6666666667</v>
      </c>
      <c r="B564" s="2" t="n">
        <f aca="false">IFERROR(__xludf.dummyfunction("""COMPUTED_VALUE"""),63.28)</f>
        <v>63.28</v>
      </c>
      <c r="C564" s="2" t="n">
        <f aca="false">IFERROR(__xludf.dummyfunction("""COMPUTED_VALUE"""),63.4)</f>
        <v>63.4</v>
      </c>
      <c r="D564" s="2" t="n">
        <f aca="false">IFERROR(__xludf.dummyfunction("""COMPUTED_VALUE"""),62.46)</f>
        <v>62.46</v>
      </c>
      <c r="E564" s="2" t="n">
        <f aca="false">IFERROR(__xludf.dummyfunction("""COMPUTED_VALUE"""),62.55)</f>
        <v>62.55</v>
      </c>
      <c r="F564" s="2" t="n">
        <f aca="false">IFERROR(__xludf.dummyfunction("""COMPUTED_VALUE"""),2639532)</f>
        <v>2639532</v>
      </c>
    </row>
    <row r="565" customFormat="false" ht="15.75" hidden="false" customHeight="false" outlineLevel="0" collapsed="false">
      <c r="A565" s="3" t="n">
        <f aca="false">IFERROR(__xludf.dummyfunction("""COMPUTED_VALUE"""),45015.6666666667)</f>
        <v>45015.6666666667</v>
      </c>
      <c r="B565" s="2" t="n">
        <f aca="false">IFERROR(__xludf.dummyfunction("""COMPUTED_VALUE"""),63.27)</f>
        <v>63.27</v>
      </c>
      <c r="C565" s="2" t="n">
        <f aca="false">IFERROR(__xludf.dummyfunction("""COMPUTED_VALUE"""),63.61)</f>
        <v>63.61</v>
      </c>
      <c r="D565" s="2" t="n">
        <f aca="false">IFERROR(__xludf.dummyfunction("""COMPUTED_VALUE"""),62.93)</f>
        <v>62.93</v>
      </c>
      <c r="E565" s="2" t="n">
        <f aca="false">IFERROR(__xludf.dummyfunction("""COMPUTED_VALUE"""),63.38)</f>
        <v>63.38</v>
      </c>
      <c r="F565" s="2" t="n">
        <f aca="false">IFERROR(__xludf.dummyfunction("""COMPUTED_VALUE"""),2152294)</f>
        <v>2152294</v>
      </c>
    </row>
    <row r="566" customFormat="false" ht="15.75" hidden="false" customHeight="false" outlineLevel="0" collapsed="false">
      <c r="A566" s="3" t="n">
        <f aca="false">IFERROR(__xludf.dummyfunction("""COMPUTED_VALUE"""),45016.6666666667)</f>
        <v>45016.6666666667</v>
      </c>
      <c r="B566" s="2" t="n">
        <f aca="false">IFERROR(__xludf.dummyfunction("""COMPUTED_VALUE"""),63.05)</f>
        <v>63.05</v>
      </c>
      <c r="C566" s="2" t="n">
        <f aca="false">IFERROR(__xludf.dummyfunction("""COMPUTED_VALUE"""),64.22)</f>
        <v>64.22</v>
      </c>
      <c r="D566" s="2" t="n">
        <f aca="false">IFERROR(__xludf.dummyfunction("""COMPUTED_VALUE"""),62.59)</f>
        <v>62.59</v>
      </c>
      <c r="E566" s="2" t="n">
        <f aca="false">IFERROR(__xludf.dummyfunction("""COMPUTED_VALUE"""),64.15)</f>
        <v>64.15</v>
      </c>
      <c r="F566" s="2" t="n">
        <f aca="false">IFERROR(__xludf.dummyfunction("""COMPUTED_VALUE"""),2209728)</f>
        <v>2209728</v>
      </c>
    </row>
    <row r="567" customFormat="false" ht="15.75" hidden="false" customHeight="false" outlineLevel="0" collapsed="false">
      <c r="A567" s="3" t="n">
        <f aca="false">IFERROR(__xludf.dummyfunction("""COMPUTED_VALUE"""),45019.6666666667)</f>
        <v>45019.6666666667</v>
      </c>
      <c r="B567" s="2" t="n">
        <f aca="false">IFERROR(__xludf.dummyfunction("""COMPUTED_VALUE"""),63.9)</f>
        <v>63.9</v>
      </c>
      <c r="C567" s="2" t="n">
        <f aca="false">IFERROR(__xludf.dummyfunction("""COMPUTED_VALUE"""),64.39)</f>
        <v>64.39</v>
      </c>
      <c r="D567" s="2" t="n">
        <f aca="false">IFERROR(__xludf.dummyfunction("""COMPUTED_VALUE"""),63.64)</f>
        <v>63.64</v>
      </c>
      <c r="E567" s="2" t="n">
        <f aca="false">IFERROR(__xludf.dummyfunction("""COMPUTED_VALUE"""),64.25)</f>
        <v>64.25</v>
      </c>
      <c r="F567" s="2" t="n">
        <f aca="false">IFERROR(__xludf.dummyfunction("""COMPUTED_VALUE"""),1568246)</f>
        <v>1568246</v>
      </c>
    </row>
    <row r="568" customFormat="false" ht="15.75" hidden="false" customHeight="false" outlineLevel="0" collapsed="false">
      <c r="A568" s="3" t="n">
        <f aca="false">IFERROR(__xludf.dummyfunction("""COMPUTED_VALUE"""),45020.6666666667)</f>
        <v>45020.6666666667</v>
      </c>
      <c r="B568" s="2" t="n">
        <f aca="false">IFERROR(__xludf.dummyfunction("""COMPUTED_VALUE"""),64.32)</f>
        <v>64.32</v>
      </c>
      <c r="C568" s="2" t="n">
        <f aca="false">IFERROR(__xludf.dummyfunction("""COMPUTED_VALUE"""),64.42)</f>
        <v>64.42</v>
      </c>
      <c r="D568" s="2" t="n">
        <f aca="false">IFERROR(__xludf.dummyfunction("""COMPUTED_VALUE"""),63.2)</f>
        <v>63.2</v>
      </c>
      <c r="E568" s="2" t="n">
        <f aca="false">IFERROR(__xludf.dummyfunction("""COMPUTED_VALUE"""),63.44)</f>
        <v>63.44</v>
      </c>
      <c r="F568" s="2" t="n">
        <f aca="false">IFERROR(__xludf.dummyfunction("""COMPUTED_VALUE"""),1342999)</f>
        <v>1342999</v>
      </c>
    </row>
    <row r="569" customFormat="false" ht="15.75" hidden="false" customHeight="false" outlineLevel="0" collapsed="false">
      <c r="A569" s="3" t="n">
        <f aca="false">IFERROR(__xludf.dummyfunction("""COMPUTED_VALUE"""),45021.6666666667)</f>
        <v>45021.6666666667</v>
      </c>
      <c r="B569" s="2" t="n">
        <f aca="false">IFERROR(__xludf.dummyfunction("""COMPUTED_VALUE"""),63.11)</f>
        <v>63.11</v>
      </c>
      <c r="C569" s="2" t="n">
        <f aca="false">IFERROR(__xludf.dummyfunction("""COMPUTED_VALUE"""),63.17)</f>
        <v>63.17</v>
      </c>
      <c r="D569" s="2" t="n">
        <f aca="false">IFERROR(__xludf.dummyfunction("""COMPUTED_VALUE"""),62.57)</f>
        <v>62.57</v>
      </c>
      <c r="E569" s="2" t="n">
        <f aca="false">IFERROR(__xludf.dummyfunction("""COMPUTED_VALUE"""),62.9)</f>
        <v>62.9</v>
      </c>
      <c r="F569" s="2" t="n">
        <f aca="false">IFERROR(__xludf.dummyfunction("""COMPUTED_VALUE"""),1690875)</f>
        <v>1690875</v>
      </c>
    </row>
    <row r="570" customFormat="false" ht="15.75" hidden="false" customHeight="false" outlineLevel="0" collapsed="false">
      <c r="A570" s="3" t="n">
        <f aca="false">IFERROR(__xludf.dummyfunction("""COMPUTED_VALUE"""),45022.6666666667)</f>
        <v>45022.6666666667</v>
      </c>
      <c r="B570" s="2" t="n">
        <f aca="false">IFERROR(__xludf.dummyfunction("""COMPUTED_VALUE"""),62.42)</f>
        <v>62.42</v>
      </c>
      <c r="C570" s="2" t="n">
        <f aca="false">IFERROR(__xludf.dummyfunction("""COMPUTED_VALUE"""),62.84)</f>
        <v>62.84</v>
      </c>
      <c r="D570" s="2" t="n">
        <f aca="false">IFERROR(__xludf.dummyfunction("""COMPUTED_VALUE"""),61.9)</f>
        <v>61.9</v>
      </c>
      <c r="E570" s="2" t="n">
        <f aca="false">IFERROR(__xludf.dummyfunction("""COMPUTED_VALUE"""),62.26)</f>
        <v>62.26</v>
      </c>
      <c r="F570" s="2" t="n">
        <f aca="false">IFERROR(__xludf.dummyfunction("""COMPUTED_VALUE"""),1449317)</f>
        <v>1449317</v>
      </c>
    </row>
    <row r="571" customFormat="false" ht="15.75" hidden="false" customHeight="false" outlineLevel="0" collapsed="false">
      <c r="A571" s="3" t="n">
        <f aca="false">IFERROR(__xludf.dummyfunction("""COMPUTED_VALUE"""),45026.6666666667)</f>
        <v>45026.6666666667</v>
      </c>
      <c r="B571" s="2" t="n">
        <f aca="false">IFERROR(__xludf.dummyfunction("""COMPUTED_VALUE"""),61.81)</f>
        <v>61.81</v>
      </c>
      <c r="C571" s="2" t="n">
        <f aca="false">IFERROR(__xludf.dummyfunction("""COMPUTED_VALUE"""),62.79)</f>
        <v>62.79</v>
      </c>
      <c r="D571" s="2" t="n">
        <f aca="false">IFERROR(__xludf.dummyfunction("""COMPUTED_VALUE"""),61.65)</f>
        <v>61.65</v>
      </c>
      <c r="E571" s="2" t="n">
        <f aca="false">IFERROR(__xludf.dummyfunction("""COMPUTED_VALUE"""),62.74)</f>
        <v>62.74</v>
      </c>
      <c r="F571" s="2" t="n">
        <f aca="false">IFERROR(__xludf.dummyfunction("""COMPUTED_VALUE"""),1540174)</f>
        <v>1540174</v>
      </c>
    </row>
    <row r="572" customFormat="false" ht="15.75" hidden="false" customHeight="false" outlineLevel="0" collapsed="false">
      <c r="A572" s="3" t="n">
        <f aca="false">IFERROR(__xludf.dummyfunction("""COMPUTED_VALUE"""),45027.6666666667)</f>
        <v>45027.6666666667</v>
      </c>
      <c r="B572" s="2" t="n">
        <f aca="false">IFERROR(__xludf.dummyfunction("""COMPUTED_VALUE"""),63.08)</f>
        <v>63.08</v>
      </c>
      <c r="C572" s="2" t="n">
        <f aca="false">IFERROR(__xludf.dummyfunction("""COMPUTED_VALUE"""),63.09)</f>
        <v>63.09</v>
      </c>
      <c r="D572" s="2" t="n">
        <f aca="false">IFERROR(__xludf.dummyfunction("""COMPUTED_VALUE"""),62.08)</f>
        <v>62.08</v>
      </c>
      <c r="E572" s="2" t="n">
        <f aca="false">IFERROR(__xludf.dummyfunction("""COMPUTED_VALUE"""),62.16)</f>
        <v>62.16</v>
      </c>
      <c r="F572" s="2" t="n">
        <f aca="false">IFERROR(__xludf.dummyfunction("""COMPUTED_VALUE"""),1651762)</f>
        <v>1651762</v>
      </c>
    </row>
    <row r="573" customFormat="false" ht="15.75" hidden="false" customHeight="false" outlineLevel="0" collapsed="false">
      <c r="A573" s="3" t="n">
        <f aca="false">IFERROR(__xludf.dummyfunction("""COMPUTED_VALUE"""),45028.6666666667)</f>
        <v>45028.6666666667</v>
      </c>
      <c r="B573" s="2" t="n">
        <f aca="false">IFERROR(__xludf.dummyfunction("""COMPUTED_VALUE"""),62.73)</f>
        <v>62.73</v>
      </c>
      <c r="C573" s="2" t="n">
        <f aca="false">IFERROR(__xludf.dummyfunction("""COMPUTED_VALUE"""),62.75)</f>
        <v>62.75</v>
      </c>
      <c r="D573" s="2" t="n">
        <f aca="false">IFERROR(__xludf.dummyfunction("""COMPUTED_VALUE"""),61.63)</f>
        <v>61.63</v>
      </c>
      <c r="E573" s="2" t="n">
        <f aca="false">IFERROR(__xludf.dummyfunction("""COMPUTED_VALUE"""),61.67)</f>
        <v>61.67</v>
      </c>
      <c r="F573" s="2" t="n">
        <f aca="false">IFERROR(__xludf.dummyfunction("""COMPUTED_VALUE"""),1411200)</f>
        <v>1411200</v>
      </c>
    </row>
    <row r="574" customFormat="false" ht="15.75" hidden="false" customHeight="false" outlineLevel="0" collapsed="false">
      <c r="A574" s="3" t="n">
        <f aca="false">IFERROR(__xludf.dummyfunction("""COMPUTED_VALUE"""),45029.6666666667)</f>
        <v>45029.6666666667</v>
      </c>
      <c r="B574" s="2" t="n">
        <f aca="false">IFERROR(__xludf.dummyfunction("""COMPUTED_VALUE"""),61.91)</f>
        <v>61.91</v>
      </c>
      <c r="C574" s="2" t="n">
        <f aca="false">IFERROR(__xludf.dummyfunction("""COMPUTED_VALUE"""),62.65)</f>
        <v>62.65</v>
      </c>
      <c r="D574" s="2" t="n">
        <f aca="false">IFERROR(__xludf.dummyfunction("""COMPUTED_VALUE"""),61.71)</f>
        <v>61.71</v>
      </c>
      <c r="E574" s="2" t="n">
        <f aca="false">IFERROR(__xludf.dummyfunction("""COMPUTED_VALUE"""),62.42)</f>
        <v>62.42</v>
      </c>
      <c r="F574" s="2" t="n">
        <f aca="false">IFERROR(__xludf.dummyfunction("""COMPUTED_VALUE"""),1726497)</f>
        <v>1726497</v>
      </c>
    </row>
    <row r="575" customFormat="false" ht="15.75" hidden="false" customHeight="false" outlineLevel="0" collapsed="false">
      <c r="A575" s="3" t="n">
        <f aca="false">IFERROR(__xludf.dummyfunction("""COMPUTED_VALUE"""),45030.6666666667)</f>
        <v>45030.6666666667</v>
      </c>
      <c r="B575" s="2" t="n">
        <f aca="false">IFERROR(__xludf.dummyfunction("""COMPUTED_VALUE"""),62.05)</f>
        <v>62.05</v>
      </c>
      <c r="C575" s="2" t="n">
        <f aca="false">IFERROR(__xludf.dummyfunction("""COMPUTED_VALUE"""),62.8)</f>
        <v>62.8</v>
      </c>
      <c r="D575" s="2" t="n">
        <f aca="false">IFERROR(__xludf.dummyfunction("""COMPUTED_VALUE"""),61.52)</f>
        <v>61.52</v>
      </c>
      <c r="E575" s="2" t="n">
        <f aca="false">IFERROR(__xludf.dummyfunction("""COMPUTED_VALUE"""),61.95)</f>
        <v>61.95</v>
      </c>
      <c r="F575" s="2" t="n">
        <f aca="false">IFERROR(__xludf.dummyfunction("""COMPUTED_VALUE"""),1746594)</f>
        <v>1746594</v>
      </c>
    </row>
    <row r="576" customFormat="false" ht="15.75" hidden="false" customHeight="false" outlineLevel="0" collapsed="false">
      <c r="A576" s="3" t="n">
        <f aca="false">IFERROR(__xludf.dummyfunction("""COMPUTED_VALUE"""),45033.6666666667)</f>
        <v>45033.6666666667</v>
      </c>
      <c r="B576" s="2" t="n">
        <f aca="false">IFERROR(__xludf.dummyfunction("""COMPUTED_VALUE"""),61.86)</f>
        <v>61.86</v>
      </c>
      <c r="C576" s="2" t="n">
        <f aca="false">IFERROR(__xludf.dummyfunction("""COMPUTED_VALUE"""),62.83)</f>
        <v>62.83</v>
      </c>
      <c r="D576" s="2" t="n">
        <f aca="false">IFERROR(__xludf.dummyfunction("""COMPUTED_VALUE"""),61.78)</f>
        <v>61.78</v>
      </c>
      <c r="E576" s="2" t="n">
        <f aca="false">IFERROR(__xludf.dummyfunction("""COMPUTED_VALUE"""),62.74)</f>
        <v>62.74</v>
      </c>
      <c r="F576" s="2" t="n">
        <f aca="false">IFERROR(__xludf.dummyfunction("""COMPUTED_VALUE"""),1320112)</f>
        <v>1320112</v>
      </c>
    </row>
    <row r="577" customFormat="false" ht="15.75" hidden="false" customHeight="false" outlineLevel="0" collapsed="false">
      <c r="A577" s="3" t="n">
        <f aca="false">IFERROR(__xludf.dummyfunction("""COMPUTED_VALUE"""),45034.6666666667)</f>
        <v>45034.6666666667</v>
      </c>
      <c r="B577" s="2" t="n">
        <f aca="false">IFERROR(__xludf.dummyfunction("""COMPUTED_VALUE"""),63.16)</f>
        <v>63.16</v>
      </c>
      <c r="C577" s="2" t="n">
        <f aca="false">IFERROR(__xludf.dummyfunction("""COMPUTED_VALUE"""),63.55)</f>
        <v>63.55</v>
      </c>
      <c r="D577" s="2" t="n">
        <f aca="false">IFERROR(__xludf.dummyfunction("""COMPUTED_VALUE"""),62.71)</f>
        <v>62.71</v>
      </c>
      <c r="E577" s="2" t="n">
        <f aca="false">IFERROR(__xludf.dummyfunction("""COMPUTED_VALUE"""),63.23)</f>
        <v>63.23</v>
      </c>
      <c r="F577" s="2" t="n">
        <f aca="false">IFERROR(__xludf.dummyfunction("""COMPUTED_VALUE"""),1680730)</f>
        <v>1680730</v>
      </c>
    </row>
    <row r="578" customFormat="false" ht="15.75" hidden="false" customHeight="false" outlineLevel="0" collapsed="false">
      <c r="A578" s="3" t="n">
        <f aca="false">IFERROR(__xludf.dummyfunction("""COMPUTED_VALUE"""),45035.6666666667)</f>
        <v>45035.6666666667</v>
      </c>
      <c r="B578" s="2" t="n">
        <f aca="false">IFERROR(__xludf.dummyfunction("""COMPUTED_VALUE"""),62.68)</f>
        <v>62.68</v>
      </c>
      <c r="C578" s="2" t="n">
        <f aca="false">IFERROR(__xludf.dummyfunction("""COMPUTED_VALUE"""),63.68)</f>
        <v>63.68</v>
      </c>
      <c r="D578" s="2" t="n">
        <f aca="false">IFERROR(__xludf.dummyfunction("""COMPUTED_VALUE"""),62.56)</f>
        <v>62.56</v>
      </c>
      <c r="E578" s="2" t="n">
        <f aca="false">IFERROR(__xludf.dummyfunction("""COMPUTED_VALUE"""),63.45)</f>
        <v>63.45</v>
      </c>
      <c r="F578" s="2" t="n">
        <f aca="false">IFERROR(__xludf.dummyfunction("""COMPUTED_VALUE"""),1906166)</f>
        <v>1906166</v>
      </c>
    </row>
    <row r="579" customFormat="false" ht="15.75" hidden="false" customHeight="false" outlineLevel="0" collapsed="false">
      <c r="A579" s="3" t="n">
        <f aca="false">IFERROR(__xludf.dummyfunction("""COMPUTED_VALUE"""),45036.6666666667)</f>
        <v>45036.6666666667</v>
      </c>
      <c r="B579" s="2" t="n">
        <f aca="false">IFERROR(__xludf.dummyfunction("""COMPUTED_VALUE"""),62.79)</f>
        <v>62.79</v>
      </c>
      <c r="C579" s="2" t="n">
        <f aca="false">IFERROR(__xludf.dummyfunction("""COMPUTED_VALUE"""),64.27)</f>
        <v>64.27</v>
      </c>
      <c r="D579" s="2" t="n">
        <f aca="false">IFERROR(__xludf.dummyfunction("""COMPUTED_VALUE"""),62.71)</f>
        <v>62.71</v>
      </c>
      <c r="E579" s="2" t="n">
        <f aca="false">IFERROR(__xludf.dummyfunction("""COMPUTED_VALUE"""),63.3)</f>
        <v>63.3</v>
      </c>
      <c r="F579" s="2" t="n">
        <f aca="false">IFERROR(__xludf.dummyfunction("""COMPUTED_VALUE"""),2023927)</f>
        <v>2023927</v>
      </c>
    </row>
    <row r="580" customFormat="false" ht="15.75" hidden="false" customHeight="false" outlineLevel="0" collapsed="false">
      <c r="A580" s="3" t="n">
        <f aca="false">IFERROR(__xludf.dummyfunction("""COMPUTED_VALUE"""),45037.6666666667)</f>
        <v>45037.6666666667</v>
      </c>
      <c r="B580" s="2" t="n">
        <f aca="false">IFERROR(__xludf.dummyfunction("""COMPUTED_VALUE"""),63.06)</f>
        <v>63.06</v>
      </c>
      <c r="C580" s="2" t="n">
        <f aca="false">IFERROR(__xludf.dummyfunction("""COMPUTED_VALUE"""),63.38)</f>
        <v>63.38</v>
      </c>
      <c r="D580" s="2" t="n">
        <f aca="false">IFERROR(__xludf.dummyfunction("""COMPUTED_VALUE"""),62.2)</f>
        <v>62.2</v>
      </c>
      <c r="E580" s="2" t="n">
        <f aca="false">IFERROR(__xludf.dummyfunction("""COMPUTED_VALUE"""),63.29)</f>
        <v>63.29</v>
      </c>
      <c r="F580" s="2" t="n">
        <f aca="false">IFERROR(__xludf.dummyfunction("""COMPUTED_VALUE"""),1480715)</f>
        <v>1480715</v>
      </c>
    </row>
    <row r="581" customFormat="false" ht="15.75" hidden="false" customHeight="false" outlineLevel="0" collapsed="false">
      <c r="A581" s="3" t="n">
        <f aca="false">IFERROR(__xludf.dummyfunction("""COMPUTED_VALUE"""),45040.6666666667)</f>
        <v>45040.6666666667</v>
      </c>
      <c r="B581" s="2" t="n">
        <f aca="false">IFERROR(__xludf.dummyfunction("""COMPUTED_VALUE"""),63.36)</f>
        <v>63.36</v>
      </c>
      <c r="C581" s="2" t="n">
        <f aca="false">IFERROR(__xludf.dummyfunction("""COMPUTED_VALUE"""),63.89)</f>
        <v>63.89</v>
      </c>
      <c r="D581" s="2" t="n">
        <f aca="false">IFERROR(__xludf.dummyfunction("""COMPUTED_VALUE"""),63.18)</f>
        <v>63.18</v>
      </c>
      <c r="E581" s="2" t="n">
        <f aca="false">IFERROR(__xludf.dummyfunction("""COMPUTED_VALUE"""),63.45)</f>
        <v>63.45</v>
      </c>
      <c r="F581" s="2" t="n">
        <f aca="false">IFERROR(__xludf.dummyfunction("""COMPUTED_VALUE"""),1233771)</f>
        <v>1233771</v>
      </c>
    </row>
    <row r="582" customFormat="false" ht="15.75" hidden="false" customHeight="false" outlineLevel="0" collapsed="false">
      <c r="A582" s="3" t="n">
        <f aca="false">IFERROR(__xludf.dummyfunction("""COMPUTED_VALUE"""),45041.6666666667)</f>
        <v>45041.6666666667</v>
      </c>
      <c r="B582" s="2" t="n">
        <f aca="false">IFERROR(__xludf.dummyfunction("""COMPUTED_VALUE"""),63.4)</f>
        <v>63.4</v>
      </c>
      <c r="C582" s="2" t="n">
        <f aca="false">IFERROR(__xludf.dummyfunction("""COMPUTED_VALUE"""),63.6)</f>
        <v>63.6</v>
      </c>
      <c r="D582" s="2" t="n">
        <f aca="false">IFERROR(__xludf.dummyfunction("""COMPUTED_VALUE"""),62.17)</f>
        <v>62.17</v>
      </c>
      <c r="E582" s="2" t="n">
        <f aca="false">IFERROR(__xludf.dummyfunction("""COMPUTED_VALUE"""),62.2)</f>
        <v>62.2</v>
      </c>
      <c r="F582" s="2" t="n">
        <f aca="false">IFERROR(__xludf.dummyfunction("""COMPUTED_VALUE"""),2366980)</f>
        <v>2366980</v>
      </c>
    </row>
    <row r="583" customFormat="false" ht="15.75" hidden="false" customHeight="false" outlineLevel="0" collapsed="false">
      <c r="A583" s="3" t="n">
        <f aca="false">IFERROR(__xludf.dummyfunction("""COMPUTED_VALUE"""),45042.6666666667)</f>
        <v>45042.6666666667</v>
      </c>
      <c r="B583" s="2" t="n">
        <f aca="false">IFERROR(__xludf.dummyfunction("""COMPUTED_VALUE"""),62)</f>
        <v>62</v>
      </c>
      <c r="C583" s="2" t="n">
        <f aca="false">IFERROR(__xludf.dummyfunction("""COMPUTED_VALUE"""),62.31)</f>
        <v>62.31</v>
      </c>
      <c r="D583" s="2" t="n">
        <f aca="false">IFERROR(__xludf.dummyfunction("""COMPUTED_VALUE"""),61.35)</f>
        <v>61.35</v>
      </c>
      <c r="E583" s="2" t="n">
        <f aca="false">IFERROR(__xludf.dummyfunction("""COMPUTED_VALUE"""),61.62)</f>
        <v>61.62</v>
      </c>
      <c r="F583" s="2" t="n">
        <f aca="false">IFERROR(__xludf.dummyfunction("""COMPUTED_VALUE"""),1717891)</f>
        <v>1717891</v>
      </c>
    </row>
    <row r="584" customFormat="false" ht="15.75" hidden="false" customHeight="false" outlineLevel="0" collapsed="false">
      <c r="A584" s="3" t="n">
        <f aca="false">IFERROR(__xludf.dummyfunction("""COMPUTED_VALUE"""),45043.6666666667)</f>
        <v>45043.6666666667</v>
      </c>
      <c r="B584" s="2" t="n">
        <f aca="false">IFERROR(__xludf.dummyfunction("""COMPUTED_VALUE"""),61.62)</f>
        <v>61.62</v>
      </c>
      <c r="C584" s="2" t="n">
        <f aca="false">IFERROR(__xludf.dummyfunction("""COMPUTED_VALUE"""),62.01)</f>
        <v>62.01</v>
      </c>
      <c r="D584" s="2" t="n">
        <f aca="false">IFERROR(__xludf.dummyfunction("""COMPUTED_VALUE"""),60.32)</f>
        <v>60.32</v>
      </c>
      <c r="E584" s="2" t="n">
        <f aca="false">IFERROR(__xludf.dummyfunction("""COMPUTED_VALUE"""),61.84)</f>
        <v>61.84</v>
      </c>
      <c r="F584" s="2" t="n">
        <f aca="false">IFERROR(__xludf.dummyfunction("""COMPUTED_VALUE"""),1824988)</f>
        <v>1824988</v>
      </c>
    </row>
    <row r="585" customFormat="false" ht="15.75" hidden="false" customHeight="false" outlineLevel="0" collapsed="false">
      <c r="A585" s="3" t="n">
        <f aca="false">IFERROR(__xludf.dummyfunction("""COMPUTED_VALUE"""),45044.6666666667)</f>
        <v>45044.6666666667</v>
      </c>
      <c r="B585" s="2" t="n">
        <f aca="false">IFERROR(__xludf.dummyfunction("""COMPUTED_VALUE"""),61.91)</f>
        <v>61.91</v>
      </c>
      <c r="C585" s="2" t="n">
        <f aca="false">IFERROR(__xludf.dummyfunction("""COMPUTED_VALUE"""),62.68)</f>
        <v>62.68</v>
      </c>
      <c r="D585" s="2" t="n">
        <f aca="false">IFERROR(__xludf.dummyfunction("""COMPUTED_VALUE"""),61.46)</f>
        <v>61.46</v>
      </c>
      <c r="E585" s="2" t="n">
        <f aca="false">IFERROR(__xludf.dummyfunction("""COMPUTED_VALUE"""),62.65)</f>
        <v>62.65</v>
      </c>
      <c r="F585" s="2" t="n">
        <f aca="false">IFERROR(__xludf.dummyfunction("""COMPUTED_VALUE"""),1618305)</f>
        <v>1618305</v>
      </c>
    </row>
    <row r="586" customFormat="false" ht="15.75" hidden="false" customHeight="false" outlineLevel="0" collapsed="false">
      <c r="A586" s="3" t="n">
        <f aca="false">IFERROR(__xludf.dummyfunction("""COMPUTED_VALUE"""),45047.6666666667)</f>
        <v>45047.6666666667</v>
      </c>
      <c r="B586" s="2" t="n">
        <f aca="false">IFERROR(__xludf.dummyfunction("""COMPUTED_VALUE"""),62.65)</f>
        <v>62.65</v>
      </c>
      <c r="C586" s="2" t="n">
        <f aca="false">IFERROR(__xludf.dummyfunction("""COMPUTED_VALUE"""),63.9)</f>
        <v>63.9</v>
      </c>
      <c r="D586" s="2" t="n">
        <f aca="false">IFERROR(__xludf.dummyfunction("""COMPUTED_VALUE"""),62.62)</f>
        <v>62.62</v>
      </c>
      <c r="E586" s="2" t="n">
        <f aca="false">IFERROR(__xludf.dummyfunction("""COMPUTED_VALUE"""),63.8)</f>
        <v>63.8</v>
      </c>
      <c r="F586" s="2" t="n">
        <f aca="false">IFERROR(__xludf.dummyfunction("""COMPUTED_VALUE"""),1702989)</f>
        <v>1702989</v>
      </c>
    </row>
    <row r="587" customFormat="false" ht="15.75" hidden="false" customHeight="false" outlineLevel="0" collapsed="false">
      <c r="A587" s="3" t="n">
        <f aca="false">IFERROR(__xludf.dummyfunction("""COMPUTED_VALUE"""),45048.6666666667)</f>
        <v>45048.6666666667</v>
      </c>
      <c r="B587" s="2" t="n">
        <f aca="false">IFERROR(__xludf.dummyfunction("""COMPUTED_VALUE"""),62.58)</f>
        <v>62.58</v>
      </c>
      <c r="C587" s="2" t="n">
        <f aca="false">IFERROR(__xludf.dummyfunction("""COMPUTED_VALUE"""),62.65)</f>
        <v>62.65</v>
      </c>
      <c r="D587" s="2" t="n">
        <f aca="false">IFERROR(__xludf.dummyfunction("""COMPUTED_VALUE"""),60.5)</f>
        <v>60.5</v>
      </c>
      <c r="E587" s="2" t="n">
        <f aca="false">IFERROR(__xludf.dummyfunction("""COMPUTED_VALUE"""),61.23)</f>
        <v>61.23</v>
      </c>
      <c r="F587" s="2" t="n">
        <f aca="false">IFERROR(__xludf.dummyfunction("""COMPUTED_VALUE"""),2835748)</f>
        <v>2835748</v>
      </c>
    </row>
    <row r="588" customFormat="false" ht="15.75" hidden="false" customHeight="false" outlineLevel="0" collapsed="false">
      <c r="A588" s="3" t="n">
        <f aca="false">IFERROR(__xludf.dummyfunction("""COMPUTED_VALUE"""),45049.6666666667)</f>
        <v>45049.6666666667</v>
      </c>
      <c r="B588" s="2" t="n">
        <f aca="false">IFERROR(__xludf.dummyfunction("""COMPUTED_VALUE"""),61.69)</f>
        <v>61.69</v>
      </c>
      <c r="C588" s="2" t="n">
        <f aca="false">IFERROR(__xludf.dummyfunction("""COMPUTED_VALUE"""),62.2)</f>
        <v>62.2</v>
      </c>
      <c r="D588" s="2" t="n">
        <f aca="false">IFERROR(__xludf.dummyfunction("""COMPUTED_VALUE"""),61.24)</f>
        <v>61.24</v>
      </c>
      <c r="E588" s="2" t="n">
        <f aca="false">IFERROR(__xludf.dummyfunction("""COMPUTED_VALUE"""),61.32)</f>
        <v>61.32</v>
      </c>
      <c r="F588" s="2" t="n">
        <f aca="false">IFERROR(__xludf.dummyfunction("""COMPUTED_VALUE"""),1981558)</f>
        <v>1981558</v>
      </c>
    </row>
    <row r="589" customFormat="false" ht="15.75" hidden="false" customHeight="false" outlineLevel="0" collapsed="false">
      <c r="A589" s="3" t="n">
        <f aca="false">IFERROR(__xludf.dummyfunction("""COMPUTED_VALUE"""),45050.6666666667)</f>
        <v>45050.6666666667</v>
      </c>
      <c r="B589" s="2" t="n">
        <f aca="false">IFERROR(__xludf.dummyfunction("""COMPUTED_VALUE"""),61)</f>
        <v>61</v>
      </c>
      <c r="C589" s="2" t="n">
        <f aca="false">IFERROR(__xludf.dummyfunction("""COMPUTED_VALUE"""),61.4)</f>
        <v>61.4</v>
      </c>
      <c r="D589" s="2" t="n">
        <f aca="false">IFERROR(__xludf.dummyfunction("""COMPUTED_VALUE"""),60.13)</f>
        <v>60.13</v>
      </c>
      <c r="E589" s="2" t="n">
        <f aca="false">IFERROR(__xludf.dummyfunction("""COMPUTED_VALUE"""),61.02)</f>
        <v>61.02</v>
      </c>
      <c r="F589" s="2" t="n">
        <f aca="false">IFERROR(__xludf.dummyfunction("""COMPUTED_VALUE"""),1768438)</f>
        <v>1768438</v>
      </c>
    </row>
    <row r="590" customFormat="false" ht="15.75" hidden="false" customHeight="false" outlineLevel="0" collapsed="false">
      <c r="A590" s="3" t="n">
        <f aca="false">IFERROR(__xludf.dummyfunction("""COMPUTED_VALUE"""),45051.6666666667)</f>
        <v>45051.6666666667</v>
      </c>
      <c r="B590" s="2" t="n">
        <f aca="false">IFERROR(__xludf.dummyfunction("""COMPUTED_VALUE"""),61.6)</f>
        <v>61.6</v>
      </c>
      <c r="C590" s="2" t="n">
        <f aca="false">IFERROR(__xludf.dummyfunction("""COMPUTED_VALUE"""),63.15)</f>
        <v>63.15</v>
      </c>
      <c r="D590" s="2" t="n">
        <f aca="false">IFERROR(__xludf.dummyfunction("""COMPUTED_VALUE"""),61.34)</f>
        <v>61.34</v>
      </c>
      <c r="E590" s="2" t="n">
        <f aca="false">IFERROR(__xludf.dummyfunction("""COMPUTED_VALUE"""),63.01)</f>
        <v>63.01</v>
      </c>
      <c r="F590" s="2" t="n">
        <f aca="false">IFERROR(__xludf.dummyfunction("""COMPUTED_VALUE"""),2487634)</f>
        <v>2487634</v>
      </c>
    </row>
    <row r="591" customFormat="false" ht="15.75" hidden="false" customHeight="false" outlineLevel="0" collapsed="false">
      <c r="A591" s="3" t="n">
        <f aca="false">IFERROR(__xludf.dummyfunction("""COMPUTED_VALUE"""),45054.6666666667)</f>
        <v>45054.6666666667</v>
      </c>
      <c r="B591" s="2" t="n">
        <f aca="false">IFERROR(__xludf.dummyfunction("""COMPUTED_VALUE"""),62.98)</f>
        <v>62.98</v>
      </c>
      <c r="C591" s="2" t="n">
        <f aca="false">IFERROR(__xludf.dummyfunction("""COMPUTED_VALUE"""),63.07)</f>
        <v>63.07</v>
      </c>
      <c r="D591" s="2" t="n">
        <f aca="false">IFERROR(__xludf.dummyfunction("""COMPUTED_VALUE"""),62.06)</f>
        <v>62.06</v>
      </c>
      <c r="E591" s="2" t="n">
        <f aca="false">IFERROR(__xludf.dummyfunction("""COMPUTED_VALUE"""),62.91)</f>
        <v>62.91</v>
      </c>
      <c r="F591" s="2" t="n">
        <f aca="false">IFERROR(__xludf.dummyfunction("""COMPUTED_VALUE"""),1393503)</f>
        <v>1393503</v>
      </c>
    </row>
    <row r="592" customFormat="false" ht="15.75" hidden="false" customHeight="false" outlineLevel="0" collapsed="false">
      <c r="A592" s="3" t="n">
        <f aca="false">IFERROR(__xludf.dummyfunction("""COMPUTED_VALUE"""),45055.6666666667)</f>
        <v>45055.6666666667</v>
      </c>
      <c r="B592" s="2" t="n">
        <f aca="false">IFERROR(__xludf.dummyfunction("""COMPUTED_VALUE"""),62.27)</f>
        <v>62.27</v>
      </c>
      <c r="C592" s="2" t="n">
        <f aca="false">IFERROR(__xludf.dummyfunction("""COMPUTED_VALUE"""),62.41)</f>
        <v>62.41</v>
      </c>
      <c r="D592" s="2" t="n">
        <f aca="false">IFERROR(__xludf.dummyfunction("""COMPUTED_VALUE"""),61.59)</f>
        <v>61.59</v>
      </c>
      <c r="E592" s="2" t="n">
        <f aca="false">IFERROR(__xludf.dummyfunction("""COMPUTED_VALUE"""),61.85)</f>
        <v>61.85</v>
      </c>
      <c r="F592" s="2" t="n">
        <f aca="false">IFERROR(__xludf.dummyfunction("""COMPUTED_VALUE"""),1699048)</f>
        <v>1699048</v>
      </c>
    </row>
    <row r="593" customFormat="false" ht="15.75" hidden="false" customHeight="false" outlineLevel="0" collapsed="false">
      <c r="A593" s="3" t="n">
        <f aca="false">IFERROR(__xludf.dummyfunction("""COMPUTED_VALUE"""),45056.6666666667)</f>
        <v>45056.6666666667</v>
      </c>
      <c r="B593" s="2" t="n">
        <f aca="false">IFERROR(__xludf.dummyfunction("""COMPUTED_VALUE"""),62.21)</f>
        <v>62.21</v>
      </c>
      <c r="C593" s="2" t="n">
        <f aca="false">IFERROR(__xludf.dummyfunction("""COMPUTED_VALUE"""),62.8)</f>
        <v>62.8</v>
      </c>
      <c r="D593" s="2" t="n">
        <f aca="false">IFERROR(__xludf.dummyfunction("""COMPUTED_VALUE"""),61.83)</f>
        <v>61.83</v>
      </c>
      <c r="E593" s="2" t="n">
        <f aca="false">IFERROR(__xludf.dummyfunction("""COMPUTED_VALUE"""),62.63)</f>
        <v>62.63</v>
      </c>
      <c r="F593" s="2" t="n">
        <f aca="false">IFERROR(__xludf.dummyfunction("""COMPUTED_VALUE"""),1917544)</f>
        <v>1917544</v>
      </c>
    </row>
    <row r="594" customFormat="false" ht="15.75" hidden="false" customHeight="false" outlineLevel="0" collapsed="false">
      <c r="A594" s="3" t="n">
        <f aca="false">IFERROR(__xludf.dummyfunction("""COMPUTED_VALUE"""),45057.6666666667)</f>
        <v>45057.6666666667</v>
      </c>
      <c r="B594" s="2" t="n">
        <f aca="false">IFERROR(__xludf.dummyfunction("""COMPUTED_VALUE"""),62.66)</f>
        <v>62.66</v>
      </c>
      <c r="C594" s="2" t="n">
        <f aca="false">IFERROR(__xludf.dummyfunction("""COMPUTED_VALUE"""),62.85)</f>
        <v>62.85</v>
      </c>
      <c r="D594" s="2" t="n">
        <f aca="false">IFERROR(__xludf.dummyfunction("""COMPUTED_VALUE"""),61.8)</f>
        <v>61.8</v>
      </c>
      <c r="E594" s="2" t="n">
        <f aca="false">IFERROR(__xludf.dummyfunction("""COMPUTED_VALUE"""),62.77)</f>
        <v>62.77</v>
      </c>
      <c r="F594" s="2" t="n">
        <f aca="false">IFERROR(__xludf.dummyfunction("""COMPUTED_VALUE"""),1442994)</f>
        <v>1442994</v>
      </c>
    </row>
    <row r="595" customFormat="false" ht="15.75" hidden="false" customHeight="false" outlineLevel="0" collapsed="false">
      <c r="A595" s="3" t="n">
        <f aca="false">IFERROR(__xludf.dummyfunction("""COMPUTED_VALUE"""),45058.6666666667)</f>
        <v>45058.6666666667</v>
      </c>
      <c r="B595" s="2" t="n">
        <f aca="false">IFERROR(__xludf.dummyfunction("""COMPUTED_VALUE"""),62.84)</f>
        <v>62.84</v>
      </c>
      <c r="C595" s="2" t="n">
        <f aca="false">IFERROR(__xludf.dummyfunction("""COMPUTED_VALUE"""),63.27)</f>
        <v>63.27</v>
      </c>
      <c r="D595" s="2" t="n">
        <f aca="false">IFERROR(__xludf.dummyfunction("""COMPUTED_VALUE"""),62.42)</f>
        <v>62.42</v>
      </c>
      <c r="E595" s="2" t="n">
        <f aca="false">IFERROR(__xludf.dummyfunction("""COMPUTED_VALUE"""),63.12)</f>
        <v>63.12</v>
      </c>
      <c r="F595" s="2" t="n">
        <f aca="false">IFERROR(__xludf.dummyfunction("""COMPUTED_VALUE"""),1194246)</f>
        <v>1194246</v>
      </c>
    </row>
    <row r="596" customFormat="false" ht="15.75" hidden="false" customHeight="false" outlineLevel="0" collapsed="false">
      <c r="A596" s="3" t="n">
        <f aca="false">IFERROR(__xludf.dummyfunction("""COMPUTED_VALUE"""),45061.6666666667)</f>
        <v>45061.6666666667</v>
      </c>
      <c r="B596" s="2" t="n">
        <f aca="false">IFERROR(__xludf.dummyfunction("""COMPUTED_VALUE"""),63.19)</f>
        <v>63.19</v>
      </c>
      <c r="C596" s="2" t="n">
        <f aca="false">IFERROR(__xludf.dummyfunction("""COMPUTED_VALUE"""),64)</f>
        <v>64</v>
      </c>
      <c r="D596" s="2" t="n">
        <f aca="false">IFERROR(__xludf.dummyfunction("""COMPUTED_VALUE"""),62.85)</f>
        <v>62.85</v>
      </c>
      <c r="E596" s="2" t="n">
        <f aca="false">IFERROR(__xludf.dummyfunction("""COMPUTED_VALUE"""),63.98)</f>
        <v>63.98</v>
      </c>
      <c r="F596" s="2" t="n">
        <f aca="false">IFERROR(__xludf.dummyfunction("""COMPUTED_VALUE"""),1461357)</f>
        <v>1461357</v>
      </c>
    </row>
    <row r="597" customFormat="false" ht="15.75" hidden="false" customHeight="false" outlineLevel="0" collapsed="false">
      <c r="A597" s="3" t="n">
        <f aca="false">IFERROR(__xludf.dummyfunction("""COMPUTED_VALUE"""),45062.6666666667)</f>
        <v>45062.6666666667</v>
      </c>
      <c r="B597" s="2" t="n">
        <f aca="false">IFERROR(__xludf.dummyfunction("""COMPUTED_VALUE"""),64.05)</f>
        <v>64.05</v>
      </c>
      <c r="C597" s="2" t="n">
        <f aca="false">IFERROR(__xludf.dummyfunction("""COMPUTED_VALUE"""),64.69)</f>
        <v>64.69</v>
      </c>
      <c r="D597" s="2" t="n">
        <f aca="false">IFERROR(__xludf.dummyfunction("""COMPUTED_VALUE"""),63.87)</f>
        <v>63.87</v>
      </c>
      <c r="E597" s="2" t="n">
        <f aca="false">IFERROR(__xludf.dummyfunction("""COMPUTED_VALUE"""),64.14)</f>
        <v>64.14</v>
      </c>
      <c r="F597" s="2" t="n">
        <f aca="false">IFERROR(__xludf.dummyfunction("""COMPUTED_VALUE"""),1496930)</f>
        <v>1496930</v>
      </c>
    </row>
    <row r="598" customFormat="false" ht="15.75" hidden="false" customHeight="false" outlineLevel="0" collapsed="false">
      <c r="A598" s="3" t="n">
        <f aca="false">IFERROR(__xludf.dummyfunction("""COMPUTED_VALUE"""),45063.6666666667)</f>
        <v>45063.6666666667</v>
      </c>
      <c r="B598" s="2" t="n">
        <f aca="false">IFERROR(__xludf.dummyfunction("""COMPUTED_VALUE"""),64.74)</f>
        <v>64.74</v>
      </c>
      <c r="C598" s="2" t="n">
        <f aca="false">IFERROR(__xludf.dummyfunction("""COMPUTED_VALUE"""),66.09)</f>
        <v>66.09</v>
      </c>
      <c r="D598" s="2" t="n">
        <f aca="false">IFERROR(__xludf.dummyfunction("""COMPUTED_VALUE"""),64.46)</f>
        <v>64.46</v>
      </c>
      <c r="E598" s="2" t="n">
        <f aca="false">IFERROR(__xludf.dummyfunction("""COMPUTED_VALUE"""),65.75)</f>
        <v>65.75</v>
      </c>
      <c r="F598" s="2" t="n">
        <f aca="false">IFERROR(__xludf.dummyfunction("""COMPUTED_VALUE"""),2413298)</f>
        <v>2413298</v>
      </c>
    </row>
    <row r="599" customFormat="false" ht="15.75" hidden="false" customHeight="false" outlineLevel="0" collapsed="false">
      <c r="A599" s="3" t="n">
        <f aca="false">IFERROR(__xludf.dummyfunction("""COMPUTED_VALUE"""),45064.6666666667)</f>
        <v>45064.6666666667</v>
      </c>
      <c r="B599" s="2" t="n">
        <f aca="false">IFERROR(__xludf.dummyfunction("""COMPUTED_VALUE"""),65.6)</f>
        <v>65.6</v>
      </c>
      <c r="C599" s="2" t="n">
        <f aca="false">IFERROR(__xludf.dummyfunction("""COMPUTED_VALUE"""),67.94)</f>
        <v>67.94</v>
      </c>
      <c r="D599" s="2" t="n">
        <f aca="false">IFERROR(__xludf.dummyfunction("""COMPUTED_VALUE"""),65.6)</f>
        <v>65.6</v>
      </c>
      <c r="E599" s="2" t="n">
        <f aca="false">IFERROR(__xludf.dummyfunction("""COMPUTED_VALUE"""),67.79)</f>
        <v>67.79</v>
      </c>
      <c r="F599" s="2" t="n">
        <f aca="false">IFERROR(__xludf.dummyfunction("""COMPUTED_VALUE"""),2638889)</f>
        <v>2638889</v>
      </c>
    </row>
    <row r="600" customFormat="false" ht="15.75" hidden="false" customHeight="false" outlineLevel="0" collapsed="false">
      <c r="A600" s="3" t="n">
        <f aca="false">IFERROR(__xludf.dummyfunction("""COMPUTED_VALUE"""),45065.6666666667)</f>
        <v>45065.6666666667</v>
      </c>
      <c r="B600" s="2" t="n">
        <f aca="false">IFERROR(__xludf.dummyfunction("""COMPUTED_VALUE"""),68)</f>
        <v>68</v>
      </c>
      <c r="C600" s="2" t="n">
        <f aca="false">IFERROR(__xludf.dummyfunction("""COMPUTED_VALUE"""),68.5)</f>
        <v>68.5</v>
      </c>
      <c r="D600" s="2" t="n">
        <f aca="false">IFERROR(__xludf.dummyfunction("""COMPUTED_VALUE"""),67.84)</f>
        <v>67.84</v>
      </c>
      <c r="E600" s="2" t="n">
        <f aca="false">IFERROR(__xludf.dummyfunction("""COMPUTED_VALUE"""),68.22)</f>
        <v>68.22</v>
      </c>
      <c r="F600" s="2" t="n">
        <f aca="false">IFERROR(__xludf.dummyfunction("""COMPUTED_VALUE"""),2296790)</f>
        <v>2296790</v>
      </c>
    </row>
    <row r="601" customFormat="false" ht="15.75" hidden="false" customHeight="false" outlineLevel="0" collapsed="false">
      <c r="A601" s="3" t="n">
        <f aca="false">IFERROR(__xludf.dummyfunction("""COMPUTED_VALUE"""),45068.6666666667)</f>
        <v>45068.6666666667</v>
      </c>
      <c r="B601" s="2" t="n">
        <f aca="false">IFERROR(__xludf.dummyfunction("""COMPUTED_VALUE"""),68.14)</f>
        <v>68.14</v>
      </c>
      <c r="C601" s="2" t="n">
        <f aca="false">IFERROR(__xludf.dummyfunction("""COMPUTED_VALUE"""),68.47)</f>
        <v>68.47</v>
      </c>
      <c r="D601" s="2" t="n">
        <f aca="false">IFERROR(__xludf.dummyfunction("""COMPUTED_VALUE"""),67.41)</f>
        <v>67.41</v>
      </c>
      <c r="E601" s="2" t="n">
        <f aca="false">IFERROR(__xludf.dummyfunction("""COMPUTED_VALUE"""),67.84)</f>
        <v>67.84</v>
      </c>
      <c r="F601" s="2" t="n">
        <f aca="false">IFERROR(__xludf.dummyfunction("""COMPUTED_VALUE"""),1779776)</f>
        <v>1779776</v>
      </c>
    </row>
    <row r="602" customFormat="false" ht="15.75" hidden="false" customHeight="false" outlineLevel="0" collapsed="false">
      <c r="A602" s="3" t="n">
        <f aca="false">IFERROR(__xludf.dummyfunction("""COMPUTED_VALUE"""),45069.6666666667)</f>
        <v>45069.6666666667</v>
      </c>
      <c r="B602" s="2" t="n">
        <f aca="false">IFERROR(__xludf.dummyfunction("""COMPUTED_VALUE"""),69.06)</f>
        <v>69.06</v>
      </c>
      <c r="C602" s="2" t="n">
        <f aca="false">IFERROR(__xludf.dummyfunction("""COMPUTED_VALUE"""),69.9)</f>
        <v>69.9</v>
      </c>
      <c r="D602" s="2" t="n">
        <f aca="false">IFERROR(__xludf.dummyfunction("""COMPUTED_VALUE"""),68.2)</f>
        <v>68.2</v>
      </c>
      <c r="E602" s="2" t="n">
        <f aca="false">IFERROR(__xludf.dummyfunction("""COMPUTED_VALUE"""),68.65)</f>
        <v>68.65</v>
      </c>
      <c r="F602" s="2" t="n">
        <f aca="false">IFERROR(__xludf.dummyfunction("""COMPUTED_VALUE"""),3608802)</f>
        <v>3608802</v>
      </c>
    </row>
    <row r="603" customFormat="false" ht="15.75" hidden="false" customHeight="false" outlineLevel="0" collapsed="false">
      <c r="A603" s="3" t="n">
        <f aca="false">IFERROR(__xludf.dummyfunction("""COMPUTED_VALUE"""),45070.6666666667)</f>
        <v>45070.6666666667</v>
      </c>
      <c r="B603" s="2" t="n">
        <f aca="false">IFERROR(__xludf.dummyfunction("""COMPUTED_VALUE"""),68.14)</f>
        <v>68.14</v>
      </c>
      <c r="C603" s="2" t="n">
        <f aca="false">IFERROR(__xludf.dummyfunction("""COMPUTED_VALUE"""),68.43)</f>
        <v>68.43</v>
      </c>
      <c r="D603" s="2" t="n">
        <f aca="false">IFERROR(__xludf.dummyfunction("""COMPUTED_VALUE"""),67.61)</f>
        <v>67.61</v>
      </c>
      <c r="E603" s="2" t="n">
        <f aca="false">IFERROR(__xludf.dummyfunction("""COMPUTED_VALUE"""),67.95)</f>
        <v>67.95</v>
      </c>
      <c r="F603" s="2" t="n">
        <f aca="false">IFERROR(__xludf.dummyfunction("""COMPUTED_VALUE"""),2302096)</f>
        <v>2302096</v>
      </c>
    </row>
    <row r="604" customFormat="false" ht="15.75" hidden="false" customHeight="false" outlineLevel="0" collapsed="false">
      <c r="A604" s="3" t="n">
        <f aca="false">IFERROR(__xludf.dummyfunction("""COMPUTED_VALUE"""),45071.6666666667)</f>
        <v>45071.6666666667</v>
      </c>
      <c r="B604" s="2" t="n">
        <f aca="false">IFERROR(__xludf.dummyfunction("""COMPUTED_VALUE"""),69.94)</f>
        <v>69.94</v>
      </c>
      <c r="C604" s="2" t="n">
        <f aca="false">IFERROR(__xludf.dummyfunction("""COMPUTED_VALUE"""),73.24)</f>
        <v>73.24</v>
      </c>
      <c r="D604" s="2" t="n">
        <f aca="false">IFERROR(__xludf.dummyfunction("""COMPUTED_VALUE"""),69.08)</f>
        <v>69.08</v>
      </c>
      <c r="E604" s="2" t="n">
        <f aca="false">IFERROR(__xludf.dummyfunction("""COMPUTED_VALUE"""),72.88)</f>
        <v>72.88</v>
      </c>
      <c r="F604" s="2" t="n">
        <f aca="false">IFERROR(__xludf.dummyfunction("""COMPUTED_VALUE"""),4926257)</f>
        <v>4926257</v>
      </c>
    </row>
    <row r="605" customFormat="false" ht="15.75" hidden="false" customHeight="false" outlineLevel="0" collapsed="false">
      <c r="A605" s="3" t="n">
        <f aca="false">IFERROR(__xludf.dummyfunction("""COMPUTED_VALUE"""),45072.6666666667)</f>
        <v>45072.6666666667</v>
      </c>
      <c r="B605" s="2" t="n">
        <f aca="false">IFERROR(__xludf.dummyfunction("""COMPUTED_VALUE"""),74.74)</f>
        <v>74.74</v>
      </c>
      <c r="C605" s="2" t="n">
        <f aca="false">IFERROR(__xludf.dummyfunction("""COMPUTED_VALUE"""),81.5)</f>
        <v>81.5</v>
      </c>
      <c r="D605" s="2" t="n">
        <f aca="false">IFERROR(__xludf.dummyfunction("""COMPUTED_VALUE"""),74.7)</f>
        <v>74.7</v>
      </c>
      <c r="E605" s="2" t="n">
        <f aca="false">IFERROR(__xludf.dummyfunction("""COMPUTED_VALUE"""),81.27)</f>
        <v>81.27</v>
      </c>
      <c r="F605" s="2" t="n">
        <f aca="false">IFERROR(__xludf.dummyfunction("""COMPUTED_VALUE"""),8250038)</f>
        <v>8250038</v>
      </c>
    </row>
    <row r="606" customFormat="false" ht="15.75" hidden="false" customHeight="false" outlineLevel="0" collapsed="false">
      <c r="A606" s="3" t="n">
        <f aca="false">IFERROR(__xludf.dummyfunction("""COMPUTED_VALUE"""),45076.6666666667)</f>
        <v>45076.6666666667</v>
      </c>
      <c r="B606" s="2" t="n">
        <f aca="false">IFERROR(__xludf.dummyfunction("""COMPUTED_VALUE"""),83.51)</f>
        <v>83.51</v>
      </c>
      <c r="C606" s="2" t="n">
        <f aca="false">IFERROR(__xludf.dummyfunction("""COMPUTED_VALUE"""),92.18)</f>
        <v>92.18</v>
      </c>
      <c r="D606" s="2" t="n">
        <f aca="false">IFERROR(__xludf.dummyfunction("""COMPUTED_VALUE"""),79.88)</f>
        <v>79.88</v>
      </c>
      <c r="E606" s="2" t="n">
        <f aca="false">IFERROR(__xludf.dummyfunction("""COMPUTED_VALUE"""),80.33)</f>
        <v>80.33</v>
      </c>
      <c r="F606" s="2" t="n">
        <f aca="false">IFERROR(__xludf.dummyfunction("""COMPUTED_VALUE"""),11691201)</f>
        <v>11691201</v>
      </c>
    </row>
    <row r="607" customFormat="false" ht="15.75" hidden="false" customHeight="false" outlineLevel="0" collapsed="false">
      <c r="A607" s="3" t="n">
        <f aca="false">IFERROR(__xludf.dummyfunction("""COMPUTED_VALUE"""),45077.6666666667)</f>
        <v>45077.6666666667</v>
      </c>
      <c r="B607" s="2" t="n">
        <f aca="false">IFERROR(__xludf.dummyfunction("""COMPUTED_VALUE"""),79.49)</f>
        <v>79.49</v>
      </c>
      <c r="C607" s="2" t="n">
        <f aca="false">IFERROR(__xludf.dummyfunction("""COMPUTED_VALUE"""),82.17)</f>
        <v>82.17</v>
      </c>
      <c r="D607" s="2" t="n">
        <f aca="false">IFERROR(__xludf.dummyfunction("""COMPUTED_VALUE"""),79.01)</f>
        <v>79.01</v>
      </c>
      <c r="E607" s="2" t="n">
        <f aca="false">IFERROR(__xludf.dummyfunction("""COMPUTED_VALUE"""),80.8)</f>
        <v>80.8</v>
      </c>
      <c r="F607" s="2" t="n">
        <f aca="false">IFERROR(__xludf.dummyfunction("""COMPUTED_VALUE"""),8999766)</f>
        <v>8999766</v>
      </c>
    </row>
    <row r="608" customFormat="false" ht="15.75" hidden="false" customHeight="false" outlineLevel="0" collapsed="false">
      <c r="A608" s="3" t="n">
        <f aca="false">IFERROR(__xludf.dummyfunction("""COMPUTED_VALUE"""),45078.6666666667)</f>
        <v>45078.6666666667</v>
      </c>
      <c r="B608" s="2" t="n">
        <f aca="false">IFERROR(__xludf.dummyfunction("""COMPUTED_VALUE"""),80.06)</f>
        <v>80.06</v>
      </c>
      <c r="C608" s="2" t="n">
        <f aca="false">IFERROR(__xludf.dummyfunction("""COMPUTED_VALUE"""),80.58)</f>
        <v>80.58</v>
      </c>
      <c r="D608" s="2" t="n">
        <f aca="false">IFERROR(__xludf.dummyfunction("""COMPUTED_VALUE"""),78.52)</f>
        <v>78.52</v>
      </c>
      <c r="E608" s="2" t="n">
        <f aca="false">IFERROR(__xludf.dummyfunction("""COMPUTED_VALUE"""),79)</f>
        <v>79</v>
      </c>
      <c r="F608" s="2" t="n">
        <f aca="false">IFERROR(__xludf.dummyfunction("""COMPUTED_VALUE"""),8079228)</f>
        <v>8079228</v>
      </c>
    </row>
    <row r="609" customFormat="false" ht="15.75" hidden="false" customHeight="false" outlineLevel="0" collapsed="false">
      <c r="A609" s="3" t="n">
        <f aca="false">IFERROR(__xludf.dummyfunction("""COMPUTED_VALUE"""),45079.6666666667)</f>
        <v>45079.6666666667</v>
      </c>
      <c r="B609" s="2" t="n">
        <f aca="false">IFERROR(__xludf.dummyfunction("""COMPUTED_VALUE"""),79.06)</f>
        <v>79.06</v>
      </c>
      <c r="C609" s="2" t="n">
        <f aca="false">IFERROR(__xludf.dummyfunction("""COMPUTED_VALUE"""),82.38)</f>
        <v>82.38</v>
      </c>
      <c r="D609" s="2" t="n">
        <f aca="false">IFERROR(__xludf.dummyfunction("""COMPUTED_VALUE"""),78.72)</f>
        <v>78.72</v>
      </c>
      <c r="E609" s="2" t="n">
        <f aca="false">IFERROR(__xludf.dummyfunction("""COMPUTED_VALUE"""),81.2)</f>
        <v>81.2</v>
      </c>
      <c r="F609" s="2" t="n">
        <f aca="false">IFERROR(__xludf.dummyfunction("""COMPUTED_VALUE"""),6281484)</f>
        <v>6281484</v>
      </c>
    </row>
    <row r="610" customFormat="false" ht="15.75" hidden="false" customHeight="false" outlineLevel="0" collapsed="false">
      <c r="A610" s="3" t="n">
        <f aca="false">IFERROR(__xludf.dummyfunction("""COMPUTED_VALUE"""),45082.6666666667)</f>
        <v>45082.6666666667</v>
      </c>
      <c r="B610" s="2" t="n">
        <f aca="false">IFERROR(__xludf.dummyfunction("""COMPUTED_VALUE"""),80.92)</f>
        <v>80.92</v>
      </c>
      <c r="C610" s="2" t="n">
        <f aca="false">IFERROR(__xludf.dummyfunction("""COMPUTED_VALUE"""),80.92)</f>
        <v>80.92</v>
      </c>
      <c r="D610" s="2" t="n">
        <f aca="false">IFERROR(__xludf.dummyfunction("""COMPUTED_VALUE"""),79.45)</f>
        <v>79.45</v>
      </c>
      <c r="E610" s="2" t="n">
        <f aca="false">IFERROR(__xludf.dummyfunction("""COMPUTED_VALUE"""),80.23)</f>
        <v>80.23</v>
      </c>
      <c r="F610" s="2" t="n">
        <f aca="false">IFERROR(__xludf.dummyfunction("""COMPUTED_VALUE"""),2622196)</f>
        <v>2622196</v>
      </c>
    </row>
    <row r="611" customFormat="false" ht="15.75" hidden="false" customHeight="false" outlineLevel="0" collapsed="false">
      <c r="A611" s="3" t="n">
        <f aca="false">IFERROR(__xludf.dummyfunction("""COMPUTED_VALUE"""),45083.6666666667)</f>
        <v>45083.6666666667</v>
      </c>
      <c r="B611" s="2" t="n">
        <f aca="false">IFERROR(__xludf.dummyfunction("""COMPUTED_VALUE"""),80.2)</f>
        <v>80.2</v>
      </c>
      <c r="C611" s="2" t="n">
        <f aca="false">IFERROR(__xludf.dummyfunction("""COMPUTED_VALUE"""),80.2)</f>
        <v>80.2</v>
      </c>
      <c r="D611" s="2" t="n">
        <f aca="false">IFERROR(__xludf.dummyfunction("""COMPUTED_VALUE"""),77.64)</f>
        <v>77.64</v>
      </c>
      <c r="E611" s="2" t="n">
        <f aca="false">IFERROR(__xludf.dummyfunction("""COMPUTED_VALUE"""),79)</f>
        <v>79</v>
      </c>
      <c r="F611" s="2" t="n">
        <f aca="false">IFERROR(__xludf.dummyfunction("""COMPUTED_VALUE"""),3782345)</f>
        <v>3782345</v>
      </c>
    </row>
    <row r="612" customFormat="false" ht="15.75" hidden="false" customHeight="false" outlineLevel="0" collapsed="false">
      <c r="A612" s="3" t="n">
        <f aca="false">IFERROR(__xludf.dummyfunction("""COMPUTED_VALUE"""),45084.6666666667)</f>
        <v>45084.6666666667</v>
      </c>
      <c r="B612" s="2" t="n">
        <f aca="false">IFERROR(__xludf.dummyfunction("""COMPUTED_VALUE"""),78.98)</f>
        <v>78.98</v>
      </c>
      <c r="C612" s="2" t="n">
        <f aca="false">IFERROR(__xludf.dummyfunction("""COMPUTED_VALUE"""),80.55)</f>
        <v>80.55</v>
      </c>
      <c r="D612" s="2" t="n">
        <f aca="false">IFERROR(__xludf.dummyfunction("""COMPUTED_VALUE"""),78.75)</f>
        <v>78.75</v>
      </c>
      <c r="E612" s="2" t="n">
        <f aca="false">IFERROR(__xludf.dummyfunction("""COMPUTED_VALUE"""),79.26)</f>
        <v>79.26</v>
      </c>
      <c r="F612" s="2" t="n">
        <f aca="false">IFERROR(__xludf.dummyfunction("""COMPUTED_VALUE"""),2895699)</f>
        <v>2895699</v>
      </c>
    </row>
    <row r="613" customFormat="false" ht="15.75" hidden="false" customHeight="false" outlineLevel="0" collapsed="false">
      <c r="A613" s="3" t="n">
        <f aca="false">IFERROR(__xludf.dummyfunction("""COMPUTED_VALUE"""),45085.6666666667)</f>
        <v>45085.6666666667</v>
      </c>
      <c r="B613" s="2" t="n">
        <f aca="false">IFERROR(__xludf.dummyfunction("""COMPUTED_VALUE"""),79.49)</f>
        <v>79.49</v>
      </c>
      <c r="C613" s="2" t="n">
        <f aca="false">IFERROR(__xludf.dummyfunction("""COMPUTED_VALUE"""),80.5)</f>
        <v>80.5</v>
      </c>
      <c r="D613" s="2" t="n">
        <f aca="false">IFERROR(__xludf.dummyfunction("""COMPUTED_VALUE"""),78.88)</f>
        <v>78.88</v>
      </c>
      <c r="E613" s="2" t="n">
        <f aca="false">IFERROR(__xludf.dummyfunction("""COMPUTED_VALUE"""),80.42)</f>
        <v>80.42</v>
      </c>
      <c r="F613" s="2" t="n">
        <f aca="false">IFERROR(__xludf.dummyfunction("""COMPUTED_VALUE"""),2191717)</f>
        <v>2191717</v>
      </c>
    </row>
    <row r="614" customFormat="false" ht="15.75" hidden="false" customHeight="false" outlineLevel="0" collapsed="false">
      <c r="A614" s="3" t="n">
        <f aca="false">IFERROR(__xludf.dummyfunction("""COMPUTED_VALUE"""),45086.6666666667)</f>
        <v>45086.6666666667</v>
      </c>
      <c r="B614" s="2" t="n">
        <f aca="false">IFERROR(__xludf.dummyfunction("""COMPUTED_VALUE"""),80.58)</f>
        <v>80.58</v>
      </c>
      <c r="C614" s="2" t="n">
        <f aca="false">IFERROR(__xludf.dummyfunction("""COMPUTED_VALUE"""),81.77)</f>
        <v>81.77</v>
      </c>
      <c r="D614" s="2" t="n">
        <f aca="false">IFERROR(__xludf.dummyfunction("""COMPUTED_VALUE"""),80.39)</f>
        <v>80.39</v>
      </c>
      <c r="E614" s="2" t="n">
        <f aca="false">IFERROR(__xludf.dummyfunction("""COMPUTED_VALUE"""),80.46)</f>
        <v>80.46</v>
      </c>
      <c r="F614" s="2" t="n">
        <f aca="false">IFERROR(__xludf.dummyfunction("""COMPUTED_VALUE"""),1924688)</f>
        <v>1924688</v>
      </c>
    </row>
    <row r="615" customFormat="false" ht="15.75" hidden="false" customHeight="false" outlineLevel="0" collapsed="false">
      <c r="A615" s="3" t="n">
        <f aca="false">IFERROR(__xludf.dummyfunction("""COMPUTED_VALUE"""),45089.6666666667)</f>
        <v>45089.6666666667</v>
      </c>
      <c r="B615" s="2" t="n">
        <f aca="false">IFERROR(__xludf.dummyfunction("""COMPUTED_VALUE"""),81.11)</f>
        <v>81.11</v>
      </c>
      <c r="C615" s="2" t="n">
        <f aca="false">IFERROR(__xludf.dummyfunction("""COMPUTED_VALUE"""),85.8)</f>
        <v>85.8</v>
      </c>
      <c r="D615" s="2" t="n">
        <f aca="false">IFERROR(__xludf.dummyfunction("""COMPUTED_VALUE"""),81.11)</f>
        <v>81.11</v>
      </c>
      <c r="E615" s="2" t="n">
        <f aca="false">IFERROR(__xludf.dummyfunction("""COMPUTED_VALUE"""),85.54)</f>
        <v>85.54</v>
      </c>
      <c r="F615" s="2" t="n">
        <f aca="false">IFERROR(__xludf.dummyfunction("""COMPUTED_VALUE"""),5109788)</f>
        <v>5109788</v>
      </c>
    </row>
    <row r="616" customFormat="false" ht="15.75" hidden="false" customHeight="false" outlineLevel="0" collapsed="false">
      <c r="A616" s="3" t="n">
        <f aca="false">IFERROR(__xludf.dummyfunction("""COMPUTED_VALUE"""),45090.6666666667)</f>
        <v>45090.6666666667</v>
      </c>
      <c r="B616" s="2" t="n">
        <f aca="false">IFERROR(__xludf.dummyfunction("""COMPUTED_VALUE"""),86.11)</f>
        <v>86.11</v>
      </c>
      <c r="C616" s="2" t="n">
        <f aca="false">IFERROR(__xludf.dummyfunction("""COMPUTED_VALUE"""),86.33)</f>
        <v>86.33</v>
      </c>
      <c r="D616" s="2" t="n">
        <f aca="false">IFERROR(__xludf.dummyfunction("""COMPUTED_VALUE"""),84.1)</f>
        <v>84.1</v>
      </c>
      <c r="E616" s="2" t="n">
        <f aca="false">IFERROR(__xludf.dummyfunction("""COMPUTED_VALUE"""),85.11)</f>
        <v>85.11</v>
      </c>
      <c r="F616" s="2" t="n">
        <f aca="false">IFERROR(__xludf.dummyfunction("""COMPUTED_VALUE"""),3899027)</f>
        <v>3899027</v>
      </c>
    </row>
    <row r="617" customFormat="false" ht="15.75" hidden="false" customHeight="false" outlineLevel="0" collapsed="false">
      <c r="A617" s="3" t="n">
        <f aca="false">IFERROR(__xludf.dummyfunction("""COMPUTED_VALUE"""),45091.6666666667)</f>
        <v>45091.6666666667</v>
      </c>
      <c r="B617" s="2" t="n">
        <f aca="false">IFERROR(__xludf.dummyfunction("""COMPUTED_VALUE"""),85.59)</f>
        <v>85.59</v>
      </c>
      <c r="C617" s="2" t="n">
        <f aca="false">IFERROR(__xludf.dummyfunction("""COMPUTED_VALUE"""),88.85)</f>
        <v>88.85</v>
      </c>
      <c r="D617" s="2" t="n">
        <f aca="false">IFERROR(__xludf.dummyfunction("""COMPUTED_VALUE"""),84.72)</f>
        <v>84.72</v>
      </c>
      <c r="E617" s="2" t="n">
        <f aca="false">IFERROR(__xludf.dummyfunction("""COMPUTED_VALUE"""),88.62)</f>
        <v>88.62</v>
      </c>
      <c r="F617" s="2" t="n">
        <f aca="false">IFERROR(__xludf.dummyfunction("""COMPUTED_VALUE"""),4352396)</f>
        <v>4352396</v>
      </c>
    </row>
    <row r="618" customFormat="false" ht="15.75" hidden="false" customHeight="false" outlineLevel="0" collapsed="false">
      <c r="A618" s="3" t="n">
        <f aca="false">IFERROR(__xludf.dummyfunction("""COMPUTED_VALUE"""),45092.6666666667)</f>
        <v>45092.6666666667</v>
      </c>
      <c r="B618" s="2" t="n">
        <f aca="false">IFERROR(__xludf.dummyfunction("""COMPUTED_VALUE"""),88.44)</f>
        <v>88.44</v>
      </c>
      <c r="C618" s="2" t="n">
        <f aca="false">IFERROR(__xludf.dummyfunction("""COMPUTED_VALUE"""),88.8)</f>
        <v>88.8</v>
      </c>
      <c r="D618" s="2" t="n">
        <f aca="false">IFERROR(__xludf.dummyfunction("""COMPUTED_VALUE"""),87.1)</f>
        <v>87.1</v>
      </c>
      <c r="E618" s="2" t="n">
        <f aca="false">IFERROR(__xludf.dummyfunction("""COMPUTED_VALUE"""),88.34)</f>
        <v>88.34</v>
      </c>
      <c r="F618" s="2" t="n">
        <f aca="false">IFERROR(__xludf.dummyfunction("""COMPUTED_VALUE"""),3381353)</f>
        <v>3381353</v>
      </c>
    </row>
    <row r="619" customFormat="false" ht="15.75" hidden="false" customHeight="false" outlineLevel="0" collapsed="false">
      <c r="A619" s="3" t="n">
        <f aca="false">IFERROR(__xludf.dummyfunction("""COMPUTED_VALUE"""),45093.6666666667)</f>
        <v>45093.6666666667</v>
      </c>
      <c r="B619" s="2" t="n">
        <f aca="false">IFERROR(__xludf.dummyfunction("""COMPUTED_VALUE"""),88.93)</f>
        <v>88.93</v>
      </c>
      <c r="C619" s="2" t="n">
        <f aca="false">IFERROR(__xludf.dummyfunction("""COMPUTED_VALUE"""),89)</f>
        <v>89</v>
      </c>
      <c r="D619" s="2" t="n">
        <f aca="false">IFERROR(__xludf.dummyfunction("""COMPUTED_VALUE"""),86.54)</f>
        <v>86.54</v>
      </c>
      <c r="E619" s="2" t="n">
        <f aca="false">IFERROR(__xludf.dummyfunction("""COMPUTED_VALUE"""),86.81)</f>
        <v>86.81</v>
      </c>
      <c r="F619" s="2" t="n">
        <f aca="false">IFERROR(__xludf.dummyfunction("""COMPUTED_VALUE"""),6829894)</f>
        <v>6829894</v>
      </c>
    </row>
    <row r="620" customFormat="false" ht="15.75" hidden="false" customHeight="false" outlineLevel="0" collapsed="false">
      <c r="A620" s="3" t="n">
        <f aca="false">IFERROR(__xludf.dummyfunction("""COMPUTED_VALUE"""),45097.6666666667)</f>
        <v>45097.6666666667</v>
      </c>
      <c r="B620" s="2" t="n">
        <f aca="false">IFERROR(__xludf.dummyfunction("""COMPUTED_VALUE"""),86.27)</f>
        <v>86.27</v>
      </c>
      <c r="C620" s="2" t="n">
        <f aca="false">IFERROR(__xludf.dummyfunction("""COMPUTED_VALUE"""),87.71)</f>
        <v>87.71</v>
      </c>
      <c r="D620" s="2" t="n">
        <f aca="false">IFERROR(__xludf.dummyfunction("""COMPUTED_VALUE"""),86.1)</f>
        <v>86.1</v>
      </c>
      <c r="E620" s="2" t="n">
        <f aca="false">IFERROR(__xludf.dummyfunction("""COMPUTED_VALUE"""),86.8)</f>
        <v>86.8</v>
      </c>
      <c r="F620" s="2" t="n">
        <f aca="false">IFERROR(__xludf.dummyfunction("""COMPUTED_VALUE"""),2753723)</f>
        <v>2753723</v>
      </c>
    </row>
    <row r="621" customFormat="false" ht="15.75" hidden="false" customHeight="false" outlineLevel="0" collapsed="false">
      <c r="A621" s="3" t="n">
        <f aca="false">IFERROR(__xludf.dummyfunction("""COMPUTED_VALUE"""),45098.6666666667)</f>
        <v>45098.6666666667</v>
      </c>
      <c r="B621" s="2" t="n">
        <f aca="false">IFERROR(__xludf.dummyfunction("""COMPUTED_VALUE"""),86)</f>
        <v>86</v>
      </c>
      <c r="C621" s="2" t="n">
        <f aca="false">IFERROR(__xludf.dummyfunction("""COMPUTED_VALUE"""),86.6)</f>
        <v>86.6</v>
      </c>
      <c r="D621" s="2" t="n">
        <f aca="false">IFERROR(__xludf.dummyfunction("""COMPUTED_VALUE"""),84.46)</f>
        <v>84.46</v>
      </c>
      <c r="E621" s="2" t="n">
        <f aca="false">IFERROR(__xludf.dummyfunction("""COMPUTED_VALUE"""),84.77)</f>
        <v>84.77</v>
      </c>
      <c r="F621" s="2" t="n">
        <f aca="false">IFERROR(__xludf.dummyfunction("""COMPUTED_VALUE"""),2322881)</f>
        <v>2322881</v>
      </c>
    </row>
    <row r="622" customFormat="false" ht="15.75" hidden="false" customHeight="false" outlineLevel="0" collapsed="false">
      <c r="A622" s="3" t="n">
        <f aca="false">IFERROR(__xludf.dummyfunction("""COMPUTED_VALUE"""),45099.6666666667)</f>
        <v>45099.6666666667</v>
      </c>
      <c r="B622" s="2" t="n">
        <f aca="false">IFERROR(__xludf.dummyfunction("""COMPUTED_VALUE"""),84.51)</f>
        <v>84.51</v>
      </c>
      <c r="C622" s="2" t="n">
        <f aca="false">IFERROR(__xludf.dummyfunction("""COMPUTED_VALUE"""),84.89)</f>
        <v>84.89</v>
      </c>
      <c r="D622" s="2" t="n">
        <f aca="false">IFERROR(__xludf.dummyfunction("""COMPUTED_VALUE"""),83.53)</f>
        <v>83.53</v>
      </c>
      <c r="E622" s="2" t="n">
        <f aca="false">IFERROR(__xludf.dummyfunction("""COMPUTED_VALUE"""),84.24)</f>
        <v>84.24</v>
      </c>
      <c r="F622" s="2" t="n">
        <f aca="false">IFERROR(__xludf.dummyfunction("""COMPUTED_VALUE"""),2347326)</f>
        <v>2347326</v>
      </c>
    </row>
    <row r="623" customFormat="false" ht="15.75" hidden="false" customHeight="false" outlineLevel="0" collapsed="false">
      <c r="A623" s="3" t="n">
        <f aca="false">IFERROR(__xludf.dummyfunction("""COMPUTED_VALUE"""),45100.6666666667)</f>
        <v>45100.6666666667</v>
      </c>
      <c r="B623" s="2" t="n">
        <f aca="false">IFERROR(__xludf.dummyfunction("""COMPUTED_VALUE"""),83.4)</f>
        <v>83.4</v>
      </c>
      <c r="C623" s="2" t="n">
        <f aca="false">IFERROR(__xludf.dummyfunction("""COMPUTED_VALUE"""),83.6)</f>
        <v>83.6</v>
      </c>
      <c r="D623" s="2" t="n">
        <f aca="false">IFERROR(__xludf.dummyfunction("""COMPUTED_VALUE"""),81.89)</f>
        <v>81.89</v>
      </c>
      <c r="E623" s="2" t="n">
        <f aca="false">IFERROR(__xludf.dummyfunction("""COMPUTED_VALUE"""),82.22)</f>
        <v>82.22</v>
      </c>
      <c r="F623" s="2" t="n">
        <f aca="false">IFERROR(__xludf.dummyfunction("""COMPUTED_VALUE"""),3741325)</f>
        <v>3741325</v>
      </c>
    </row>
    <row r="624" customFormat="false" ht="15.75" hidden="false" customHeight="false" outlineLevel="0" collapsed="false">
      <c r="A624" s="3" t="n">
        <f aca="false">IFERROR(__xludf.dummyfunction("""COMPUTED_VALUE"""),45103.6666666667)</f>
        <v>45103.6666666667</v>
      </c>
      <c r="B624" s="2" t="n">
        <f aca="false">IFERROR(__xludf.dummyfunction("""COMPUTED_VALUE"""),82.5)</f>
        <v>82.5</v>
      </c>
      <c r="C624" s="2" t="n">
        <f aca="false">IFERROR(__xludf.dummyfunction("""COMPUTED_VALUE"""),83.7)</f>
        <v>83.7</v>
      </c>
      <c r="D624" s="2" t="n">
        <f aca="false">IFERROR(__xludf.dummyfunction("""COMPUTED_VALUE"""),82.02)</f>
        <v>82.02</v>
      </c>
      <c r="E624" s="2" t="n">
        <f aca="false">IFERROR(__xludf.dummyfunction("""COMPUTED_VALUE"""),82.16)</f>
        <v>82.16</v>
      </c>
      <c r="F624" s="2" t="n">
        <f aca="false">IFERROR(__xludf.dummyfunction("""COMPUTED_VALUE"""),2137215)</f>
        <v>2137215</v>
      </c>
    </row>
    <row r="625" customFormat="false" ht="15.75" hidden="false" customHeight="false" outlineLevel="0" collapsed="false">
      <c r="A625" s="3" t="n">
        <f aca="false">IFERROR(__xludf.dummyfunction("""COMPUTED_VALUE"""),45104.6666666667)</f>
        <v>45104.6666666667</v>
      </c>
      <c r="B625" s="2" t="n">
        <f aca="false">IFERROR(__xludf.dummyfunction("""COMPUTED_VALUE"""),82.87)</f>
        <v>82.87</v>
      </c>
      <c r="C625" s="2" t="n">
        <f aca="false">IFERROR(__xludf.dummyfunction("""COMPUTED_VALUE"""),85)</f>
        <v>85</v>
      </c>
      <c r="D625" s="2" t="n">
        <f aca="false">IFERROR(__xludf.dummyfunction("""COMPUTED_VALUE"""),82.1)</f>
        <v>82.1</v>
      </c>
      <c r="E625" s="2" t="n">
        <f aca="false">IFERROR(__xludf.dummyfunction("""COMPUTED_VALUE"""),84.84)</f>
        <v>84.84</v>
      </c>
      <c r="F625" s="2" t="n">
        <f aca="false">IFERROR(__xludf.dummyfunction("""COMPUTED_VALUE"""),2492272)</f>
        <v>2492272</v>
      </c>
    </row>
    <row r="626" customFormat="false" ht="15.75" hidden="false" customHeight="false" outlineLevel="0" collapsed="false">
      <c r="A626" s="3" t="n">
        <f aca="false">IFERROR(__xludf.dummyfunction("""COMPUTED_VALUE"""),45105.6666666667)</f>
        <v>45105.6666666667</v>
      </c>
      <c r="B626" s="2" t="n">
        <f aca="false">IFERROR(__xludf.dummyfunction("""COMPUTED_VALUE"""),83.87)</f>
        <v>83.87</v>
      </c>
      <c r="C626" s="2" t="n">
        <f aca="false">IFERROR(__xludf.dummyfunction("""COMPUTED_VALUE"""),85.85)</f>
        <v>85.85</v>
      </c>
      <c r="D626" s="2" t="n">
        <f aca="false">IFERROR(__xludf.dummyfunction("""COMPUTED_VALUE"""),83.71)</f>
        <v>83.71</v>
      </c>
      <c r="E626" s="2" t="n">
        <f aca="false">IFERROR(__xludf.dummyfunction("""COMPUTED_VALUE"""),84.79)</f>
        <v>84.79</v>
      </c>
      <c r="F626" s="2" t="n">
        <f aca="false">IFERROR(__xludf.dummyfunction("""COMPUTED_VALUE"""),1944475)</f>
        <v>1944475</v>
      </c>
    </row>
    <row r="627" customFormat="false" ht="15.75" hidden="false" customHeight="false" outlineLevel="0" collapsed="false">
      <c r="A627" s="3" t="n">
        <f aca="false">IFERROR(__xludf.dummyfunction("""COMPUTED_VALUE"""),45106.6666666667)</f>
        <v>45106.6666666667</v>
      </c>
      <c r="B627" s="2" t="n">
        <f aca="false">IFERROR(__xludf.dummyfunction("""COMPUTED_VALUE"""),85.45)</f>
        <v>85.45</v>
      </c>
      <c r="C627" s="2" t="n">
        <f aca="false">IFERROR(__xludf.dummyfunction("""COMPUTED_VALUE"""),86.28)</f>
        <v>86.28</v>
      </c>
      <c r="D627" s="2" t="n">
        <f aca="false">IFERROR(__xludf.dummyfunction("""COMPUTED_VALUE"""),84.64)</f>
        <v>84.64</v>
      </c>
      <c r="E627" s="2" t="n">
        <f aca="false">IFERROR(__xludf.dummyfunction("""COMPUTED_VALUE"""),86.26)</f>
        <v>86.26</v>
      </c>
      <c r="F627" s="2" t="n">
        <f aca="false">IFERROR(__xludf.dummyfunction("""COMPUTED_VALUE"""),2338598)</f>
        <v>2338598</v>
      </c>
    </row>
    <row r="628" customFormat="false" ht="15.75" hidden="false" customHeight="false" outlineLevel="0" collapsed="false">
      <c r="A628" s="3" t="n">
        <f aca="false">IFERROR(__xludf.dummyfunction("""COMPUTED_VALUE"""),45107.6666666667)</f>
        <v>45107.6666666667</v>
      </c>
      <c r="B628" s="2" t="n">
        <f aca="false">IFERROR(__xludf.dummyfunction("""COMPUTED_VALUE"""),86.85)</f>
        <v>86.85</v>
      </c>
      <c r="C628" s="2" t="n">
        <f aca="false">IFERROR(__xludf.dummyfunction("""COMPUTED_VALUE"""),87.46)</f>
        <v>87.46</v>
      </c>
      <c r="D628" s="2" t="n">
        <f aca="false">IFERROR(__xludf.dummyfunction("""COMPUTED_VALUE"""),86.43)</f>
        <v>86.43</v>
      </c>
      <c r="E628" s="2" t="n">
        <f aca="false">IFERROR(__xludf.dummyfunction("""COMPUTED_VALUE"""),86.74)</f>
        <v>86.74</v>
      </c>
      <c r="F628" s="2" t="n">
        <f aca="false">IFERROR(__xludf.dummyfunction("""COMPUTED_VALUE"""),2314517)</f>
        <v>2314517</v>
      </c>
    </row>
    <row r="629" customFormat="false" ht="15.75" hidden="false" customHeight="false" outlineLevel="0" collapsed="false">
      <c r="A629" s="3" t="n">
        <f aca="false">IFERROR(__xludf.dummyfunction("""COMPUTED_VALUE"""),45110.5451388889)</f>
        <v>45110.5451388889</v>
      </c>
      <c r="B629" s="2" t="n">
        <f aca="false">IFERROR(__xludf.dummyfunction("""COMPUTED_VALUE"""),86.86)</f>
        <v>86.86</v>
      </c>
      <c r="C629" s="2" t="n">
        <f aca="false">IFERROR(__xludf.dummyfunction("""COMPUTED_VALUE"""),87.67)</f>
        <v>87.67</v>
      </c>
      <c r="D629" s="2" t="n">
        <f aca="false">IFERROR(__xludf.dummyfunction("""COMPUTED_VALUE"""),86.49)</f>
        <v>86.49</v>
      </c>
      <c r="E629" s="2" t="n">
        <f aca="false">IFERROR(__xludf.dummyfunction("""COMPUTED_VALUE"""),87.64)</f>
        <v>87.64</v>
      </c>
      <c r="F629" s="2" t="n">
        <f aca="false">IFERROR(__xludf.dummyfunction("""COMPUTED_VALUE"""),903830)</f>
        <v>903830</v>
      </c>
    </row>
    <row r="630" customFormat="false" ht="15.75" hidden="false" customHeight="false" outlineLevel="0" collapsed="false">
      <c r="A630" s="3" t="n">
        <f aca="false">IFERROR(__xludf.dummyfunction("""COMPUTED_VALUE"""),45112.6666666667)</f>
        <v>45112.6666666667</v>
      </c>
      <c r="B630" s="2" t="n">
        <f aca="false">IFERROR(__xludf.dummyfunction("""COMPUTED_VALUE"""),86.74)</f>
        <v>86.74</v>
      </c>
      <c r="C630" s="2" t="n">
        <f aca="false">IFERROR(__xludf.dummyfunction("""COMPUTED_VALUE"""),87.69)</f>
        <v>87.69</v>
      </c>
      <c r="D630" s="2" t="n">
        <f aca="false">IFERROR(__xludf.dummyfunction("""COMPUTED_VALUE"""),86.18)</f>
        <v>86.18</v>
      </c>
      <c r="E630" s="2" t="n">
        <f aca="false">IFERROR(__xludf.dummyfunction("""COMPUTED_VALUE"""),86.19)</f>
        <v>86.19</v>
      </c>
      <c r="F630" s="2" t="n">
        <f aca="false">IFERROR(__xludf.dummyfunction("""COMPUTED_VALUE"""),1444642)</f>
        <v>1444642</v>
      </c>
    </row>
    <row r="631" customFormat="false" ht="15.75" hidden="false" customHeight="false" outlineLevel="0" collapsed="false">
      <c r="A631" s="3" t="n">
        <f aca="false">IFERROR(__xludf.dummyfunction("""COMPUTED_VALUE"""),45113.6666666667)</f>
        <v>45113.6666666667</v>
      </c>
      <c r="B631" s="2" t="n">
        <f aca="false">IFERROR(__xludf.dummyfunction("""COMPUTED_VALUE"""),84.5)</f>
        <v>84.5</v>
      </c>
      <c r="C631" s="2" t="n">
        <f aca="false">IFERROR(__xludf.dummyfunction("""COMPUTED_VALUE"""),85.39)</f>
        <v>85.39</v>
      </c>
      <c r="D631" s="2" t="n">
        <f aca="false">IFERROR(__xludf.dummyfunction("""COMPUTED_VALUE"""),84.43)</f>
        <v>84.43</v>
      </c>
      <c r="E631" s="2" t="n">
        <f aca="false">IFERROR(__xludf.dummyfunction("""COMPUTED_VALUE"""),84.8)</f>
        <v>84.8</v>
      </c>
      <c r="F631" s="2" t="n">
        <f aca="false">IFERROR(__xludf.dummyfunction("""COMPUTED_VALUE"""),2395005)</f>
        <v>2395005</v>
      </c>
    </row>
    <row r="632" customFormat="false" ht="15.75" hidden="false" customHeight="false" outlineLevel="0" collapsed="false">
      <c r="A632" s="3" t="n">
        <f aca="false">IFERROR(__xludf.dummyfunction("""COMPUTED_VALUE"""),45114.6666666667)</f>
        <v>45114.6666666667</v>
      </c>
      <c r="B632" s="2" t="n">
        <f aca="false">IFERROR(__xludf.dummyfunction("""COMPUTED_VALUE"""),85.04)</f>
        <v>85.04</v>
      </c>
      <c r="C632" s="2" t="n">
        <f aca="false">IFERROR(__xludf.dummyfunction("""COMPUTED_VALUE"""),85.8)</f>
        <v>85.8</v>
      </c>
      <c r="D632" s="2" t="n">
        <f aca="false">IFERROR(__xludf.dummyfunction("""COMPUTED_VALUE"""),84.47)</f>
        <v>84.47</v>
      </c>
      <c r="E632" s="2" t="n">
        <f aca="false">IFERROR(__xludf.dummyfunction("""COMPUTED_VALUE"""),84.68)</f>
        <v>84.68</v>
      </c>
      <c r="F632" s="2" t="n">
        <f aca="false">IFERROR(__xludf.dummyfunction("""COMPUTED_VALUE"""),1940866)</f>
        <v>1940866</v>
      </c>
    </row>
    <row r="633" customFormat="false" ht="15.75" hidden="false" customHeight="false" outlineLevel="0" collapsed="false">
      <c r="A633" s="3" t="n">
        <f aca="false">IFERROR(__xludf.dummyfunction("""COMPUTED_VALUE"""),45117.6666666667)</f>
        <v>45117.6666666667</v>
      </c>
      <c r="B633" s="2" t="n">
        <f aca="false">IFERROR(__xludf.dummyfunction("""COMPUTED_VALUE"""),84.83)</f>
        <v>84.83</v>
      </c>
      <c r="C633" s="2" t="n">
        <f aca="false">IFERROR(__xludf.dummyfunction("""COMPUTED_VALUE"""),87.92)</f>
        <v>87.92</v>
      </c>
      <c r="D633" s="2" t="n">
        <f aca="false">IFERROR(__xludf.dummyfunction("""COMPUTED_VALUE"""),84.83)</f>
        <v>84.83</v>
      </c>
      <c r="E633" s="2" t="n">
        <f aca="false">IFERROR(__xludf.dummyfunction("""COMPUTED_VALUE"""),87.77)</f>
        <v>87.77</v>
      </c>
      <c r="F633" s="2" t="n">
        <f aca="false">IFERROR(__xludf.dummyfunction("""COMPUTED_VALUE"""),3062175)</f>
        <v>3062175</v>
      </c>
    </row>
    <row r="634" customFormat="false" ht="15.75" hidden="false" customHeight="false" outlineLevel="0" collapsed="false">
      <c r="A634" s="3" t="n">
        <f aca="false">IFERROR(__xludf.dummyfunction("""COMPUTED_VALUE"""),45118.6666666667)</f>
        <v>45118.6666666667</v>
      </c>
      <c r="B634" s="2" t="n">
        <f aca="false">IFERROR(__xludf.dummyfunction("""COMPUTED_VALUE"""),88.11)</f>
        <v>88.11</v>
      </c>
      <c r="C634" s="2" t="n">
        <f aca="false">IFERROR(__xludf.dummyfunction("""COMPUTED_VALUE"""),88.3)</f>
        <v>88.3</v>
      </c>
      <c r="D634" s="2" t="n">
        <f aca="false">IFERROR(__xludf.dummyfunction("""COMPUTED_VALUE"""),86.46)</f>
        <v>86.46</v>
      </c>
      <c r="E634" s="2" t="n">
        <f aca="false">IFERROR(__xludf.dummyfunction("""COMPUTED_VALUE"""),88.21)</f>
        <v>88.21</v>
      </c>
      <c r="F634" s="2" t="n">
        <f aca="false">IFERROR(__xludf.dummyfunction("""COMPUTED_VALUE"""),2550446)</f>
        <v>2550446</v>
      </c>
    </row>
    <row r="635" customFormat="false" ht="15.75" hidden="false" customHeight="false" outlineLevel="0" collapsed="false">
      <c r="A635" s="3" t="n">
        <f aca="false">IFERROR(__xludf.dummyfunction("""COMPUTED_VALUE"""),45119.6666666667)</f>
        <v>45119.6666666667</v>
      </c>
      <c r="B635" s="2" t="n">
        <f aca="false">IFERROR(__xludf.dummyfunction("""COMPUTED_VALUE"""),88.9)</f>
        <v>88.9</v>
      </c>
      <c r="C635" s="2" t="n">
        <f aca="false">IFERROR(__xludf.dummyfunction("""COMPUTED_VALUE"""),89.76)</f>
        <v>89.76</v>
      </c>
      <c r="D635" s="2" t="n">
        <f aca="false">IFERROR(__xludf.dummyfunction("""COMPUTED_VALUE"""),88.2)</f>
        <v>88.2</v>
      </c>
      <c r="E635" s="2" t="n">
        <f aca="false">IFERROR(__xludf.dummyfunction("""COMPUTED_VALUE"""),89)</f>
        <v>89</v>
      </c>
      <c r="F635" s="2" t="n">
        <f aca="false">IFERROR(__xludf.dummyfunction("""COMPUTED_VALUE"""),2819675)</f>
        <v>2819675</v>
      </c>
    </row>
    <row r="636" customFormat="false" ht="15.75" hidden="false" customHeight="false" outlineLevel="0" collapsed="false">
      <c r="A636" s="3" t="n">
        <f aca="false">IFERROR(__xludf.dummyfunction("""COMPUTED_VALUE"""),45120.6666666667)</f>
        <v>45120.6666666667</v>
      </c>
      <c r="B636" s="2" t="n">
        <f aca="false">IFERROR(__xludf.dummyfunction("""COMPUTED_VALUE"""),89.89)</f>
        <v>89.89</v>
      </c>
      <c r="C636" s="2" t="n">
        <f aca="false">IFERROR(__xludf.dummyfunction("""COMPUTED_VALUE"""),89.89)</f>
        <v>89.89</v>
      </c>
      <c r="D636" s="2" t="n">
        <f aca="false">IFERROR(__xludf.dummyfunction("""COMPUTED_VALUE"""),87.83)</f>
        <v>87.83</v>
      </c>
      <c r="E636" s="2" t="n">
        <f aca="false">IFERROR(__xludf.dummyfunction("""COMPUTED_VALUE"""),89.04)</f>
        <v>89.04</v>
      </c>
      <c r="F636" s="2" t="n">
        <f aca="false">IFERROR(__xludf.dummyfunction("""COMPUTED_VALUE"""),2591199)</f>
        <v>2591199</v>
      </c>
    </row>
    <row r="637" customFormat="false" ht="15.75" hidden="false" customHeight="false" outlineLevel="0" collapsed="false">
      <c r="A637" s="3" t="n">
        <f aca="false">IFERROR(__xludf.dummyfunction("""COMPUTED_VALUE"""),45121.6666666667)</f>
        <v>45121.6666666667</v>
      </c>
      <c r="B637" s="2" t="n">
        <f aca="false">IFERROR(__xludf.dummyfunction("""COMPUTED_VALUE"""),88.62)</f>
        <v>88.62</v>
      </c>
      <c r="C637" s="2" t="n">
        <f aca="false">IFERROR(__xludf.dummyfunction("""COMPUTED_VALUE"""),90.34)</f>
        <v>90.34</v>
      </c>
      <c r="D637" s="2" t="n">
        <f aca="false">IFERROR(__xludf.dummyfunction("""COMPUTED_VALUE"""),88.62)</f>
        <v>88.62</v>
      </c>
      <c r="E637" s="2" t="n">
        <f aca="false">IFERROR(__xludf.dummyfunction("""COMPUTED_VALUE"""),88.86)</f>
        <v>88.86</v>
      </c>
      <c r="F637" s="2" t="n">
        <f aca="false">IFERROR(__xludf.dummyfunction("""COMPUTED_VALUE"""),1851036)</f>
        <v>1851036</v>
      </c>
    </row>
    <row r="638" customFormat="false" ht="15.75" hidden="false" customHeight="false" outlineLevel="0" collapsed="false">
      <c r="A638" s="3" t="n">
        <f aca="false">IFERROR(__xludf.dummyfunction("""COMPUTED_VALUE"""),45124.6666666667)</f>
        <v>45124.6666666667</v>
      </c>
      <c r="B638" s="2" t="n">
        <f aca="false">IFERROR(__xludf.dummyfunction("""COMPUTED_VALUE"""),89.1)</f>
        <v>89.1</v>
      </c>
      <c r="C638" s="2" t="n">
        <f aca="false">IFERROR(__xludf.dummyfunction("""COMPUTED_VALUE"""),91.32)</f>
        <v>91.32</v>
      </c>
      <c r="D638" s="2" t="n">
        <f aca="false">IFERROR(__xludf.dummyfunction("""COMPUTED_VALUE"""),88.98)</f>
        <v>88.98</v>
      </c>
      <c r="E638" s="2" t="n">
        <f aca="false">IFERROR(__xludf.dummyfunction("""COMPUTED_VALUE"""),91.04)</f>
        <v>91.04</v>
      </c>
      <c r="F638" s="2" t="n">
        <f aca="false">IFERROR(__xludf.dummyfunction("""COMPUTED_VALUE"""),2682521)</f>
        <v>2682521</v>
      </c>
    </row>
    <row r="639" customFormat="false" ht="15.75" hidden="false" customHeight="false" outlineLevel="0" collapsed="false">
      <c r="A639" s="3" t="n">
        <f aca="false">IFERROR(__xludf.dummyfunction("""COMPUTED_VALUE"""),45125.6666666667)</f>
        <v>45125.6666666667</v>
      </c>
      <c r="B639" s="2" t="n">
        <f aca="false">IFERROR(__xludf.dummyfunction("""COMPUTED_VALUE"""),90.6)</f>
        <v>90.6</v>
      </c>
      <c r="C639" s="2" t="n">
        <f aca="false">IFERROR(__xludf.dummyfunction("""COMPUTED_VALUE"""),90.99)</f>
        <v>90.99</v>
      </c>
      <c r="D639" s="2" t="n">
        <f aca="false">IFERROR(__xludf.dummyfunction("""COMPUTED_VALUE"""),89.83)</f>
        <v>89.83</v>
      </c>
      <c r="E639" s="2" t="n">
        <f aca="false">IFERROR(__xludf.dummyfunction("""COMPUTED_VALUE"""),90.34)</f>
        <v>90.34</v>
      </c>
      <c r="F639" s="2" t="n">
        <f aca="false">IFERROR(__xludf.dummyfunction("""COMPUTED_VALUE"""),2451835)</f>
        <v>2451835</v>
      </c>
    </row>
    <row r="640" customFormat="false" ht="15.75" hidden="false" customHeight="false" outlineLevel="0" collapsed="false">
      <c r="A640" s="3" t="n">
        <f aca="false">IFERROR(__xludf.dummyfunction("""COMPUTED_VALUE"""),45126.6666666667)</f>
        <v>45126.6666666667</v>
      </c>
      <c r="B640" s="2" t="n">
        <f aca="false">IFERROR(__xludf.dummyfunction("""COMPUTED_VALUE"""),89.73)</f>
        <v>89.73</v>
      </c>
      <c r="C640" s="2" t="n">
        <f aca="false">IFERROR(__xludf.dummyfunction("""COMPUTED_VALUE"""),90.6)</f>
        <v>90.6</v>
      </c>
      <c r="D640" s="2" t="n">
        <f aca="false">IFERROR(__xludf.dummyfunction("""COMPUTED_VALUE"""),88.56)</f>
        <v>88.56</v>
      </c>
      <c r="E640" s="2" t="n">
        <f aca="false">IFERROR(__xludf.dummyfunction("""COMPUTED_VALUE"""),90.14)</f>
        <v>90.14</v>
      </c>
      <c r="F640" s="2" t="n">
        <f aca="false">IFERROR(__xludf.dummyfunction("""COMPUTED_VALUE"""),2411756)</f>
        <v>2411756</v>
      </c>
    </row>
    <row r="641" customFormat="false" ht="15.75" hidden="false" customHeight="false" outlineLevel="0" collapsed="false">
      <c r="A641" s="3" t="n">
        <f aca="false">IFERROR(__xludf.dummyfunction("""COMPUTED_VALUE"""),45127.6666666667)</f>
        <v>45127.6666666667</v>
      </c>
      <c r="B641" s="2" t="n">
        <f aca="false">IFERROR(__xludf.dummyfunction("""COMPUTED_VALUE"""),89.25)</f>
        <v>89.25</v>
      </c>
      <c r="C641" s="2" t="n">
        <f aca="false">IFERROR(__xludf.dummyfunction("""COMPUTED_VALUE"""),90.7)</f>
        <v>90.7</v>
      </c>
      <c r="D641" s="2" t="n">
        <f aca="false">IFERROR(__xludf.dummyfunction("""COMPUTED_VALUE"""),88.6)</f>
        <v>88.6</v>
      </c>
      <c r="E641" s="2" t="n">
        <f aca="false">IFERROR(__xludf.dummyfunction("""COMPUTED_VALUE"""),88.83)</f>
        <v>88.83</v>
      </c>
      <c r="F641" s="2" t="n">
        <f aca="false">IFERROR(__xludf.dummyfunction("""COMPUTED_VALUE"""),2826831)</f>
        <v>2826831</v>
      </c>
    </row>
    <row r="642" customFormat="false" ht="15.75" hidden="false" customHeight="false" outlineLevel="0" collapsed="false">
      <c r="A642" s="3" t="n">
        <f aca="false">IFERROR(__xludf.dummyfunction("""COMPUTED_VALUE"""),45128.6666666667)</f>
        <v>45128.6666666667</v>
      </c>
      <c r="B642" s="2" t="n">
        <f aca="false">IFERROR(__xludf.dummyfunction("""COMPUTED_VALUE"""),90.45)</f>
        <v>90.45</v>
      </c>
      <c r="C642" s="2" t="n">
        <f aca="false">IFERROR(__xludf.dummyfunction("""COMPUTED_VALUE"""),91.12)</f>
        <v>91.12</v>
      </c>
      <c r="D642" s="2" t="n">
        <f aca="false">IFERROR(__xludf.dummyfunction("""COMPUTED_VALUE"""),89.38)</f>
        <v>89.38</v>
      </c>
      <c r="E642" s="2" t="n">
        <f aca="false">IFERROR(__xludf.dummyfunction("""COMPUTED_VALUE"""),89.68)</f>
        <v>89.68</v>
      </c>
      <c r="F642" s="2" t="n">
        <f aca="false">IFERROR(__xludf.dummyfunction("""COMPUTED_VALUE"""),7428676)</f>
        <v>7428676</v>
      </c>
    </row>
    <row r="643" customFormat="false" ht="15.75" hidden="false" customHeight="false" outlineLevel="0" collapsed="false">
      <c r="A643" s="3" t="n">
        <f aca="false">IFERROR(__xludf.dummyfunction("""COMPUTED_VALUE"""),45131.6666666667)</f>
        <v>45131.6666666667</v>
      </c>
      <c r="B643" s="2" t="n">
        <f aca="false">IFERROR(__xludf.dummyfunction("""COMPUTED_VALUE"""),90.08)</f>
        <v>90.08</v>
      </c>
      <c r="C643" s="2" t="n">
        <f aca="false">IFERROR(__xludf.dummyfunction("""COMPUTED_VALUE"""),90.54)</f>
        <v>90.54</v>
      </c>
      <c r="D643" s="2" t="n">
        <f aca="false">IFERROR(__xludf.dummyfunction("""COMPUTED_VALUE"""),89.42)</f>
        <v>89.42</v>
      </c>
      <c r="E643" s="2" t="n">
        <f aca="false">IFERROR(__xludf.dummyfunction("""COMPUTED_VALUE"""),90.16)</f>
        <v>90.16</v>
      </c>
      <c r="F643" s="2" t="n">
        <f aca="false">IFERROR(__xludf.dummyfunction("""COMPUTED_VALUE"""),1999382)</f>
        <v>1999382</v>
      </c>
    </row>
    <row r="644" customFormat="false" ht="15.75" hidden="false" customHeight="false" outlineLevel="0" collapsed="false">
      <c r="A644" s="3" t="n">
        <f aca="false">IFERROR(__xludf.dummyfunction("""COMPUTED_VALUE"""),45132.6666666667)</f>
        <v>45132.6666666667</v>
      </c>
      <c r="B644" s="2" t="n">
        <f aca="false">IFERROR(__xludf.dummyfunction("""COMPUTED_VALUE"""),90.06)</f>
        <v>90.06</v>
      </c>
      <c r="C644" s="2" t="n">
        <f aca="false">IFERROR(__xludf.dummyfunction("""COMPUTED_VALUE"""),92.32)</f>
        <v>92.32</v>
      </c>
      <c r="D644" s="2" t="n">
        <f aca="false">IFERROR(__xludf.dummyfunction("""COMPUTED_VALUE"""),90.06)</f>
        <v>90.06</v>
      </c>
      <c r="E644" s="2" t="n">
        <f aca="false">IFERROR(__xludf.dummyfunction("""COMPUTED_VALUE"""),91.8)</f>
        <v>91.8</v>
      </c>
      <c r="F644" s="2" t="n">
        <f aca="false">IFERROR(__xludf.dummyfunction("""COMPUTED_VALUE"""),2004161)</f>
        <v>2004161</v>
      </c>
    </row>
    <row r="645" customFormat="false" ht="15.75" hidden="false" customHeight="false" outlineLevel="0" collapsed="false">
      <c r="A645" s="3" t="n">
        <f aca="false">IFERROR(__xludf.dummyfunction("""COMPUTED_VALUE"""),45133.6666666667)</f>
        <v>45133.6666666667</v>
      </c>
      <c r="B645" s="2" t="n">
        <f aca="false">IFERROR(__xludf.dummyfunction("""COMPUTED_VALUE"""),90.9)</f>
        <v>90.9</v>
      </c>
      <c r="C645" s="2" t="n">
        <f aca="false">IFERROR(__xludf.dummyfunction("""COMPUTED_VALUE"""),91.06)</f>
        <v>91.06</v>
      </c>
      <c r="D645" s="2" t="n">
        <f aca="false">IFERROR(__xludf.dummyfunction("""COMPUTED_VALUE"""),88.77)</f>
        <v>88.77</v>
      </c>
      <c r="E645" s="2" t="n">
        <f aca="false">IFERROR(__xludf.dummyfunction("""COMPUTED_VALUE"""),89.31)</f>
        <v>89.31</v>
      </c>
      <c r="F645" s="2" t="n">
        <f aca="false">IFERROR(__xludf.dummyfunction("""COMPUTED_VALUE"""),1987667)</f>
        <v>1987667</v>
      </c>
    </row>
    <row r="646" customFormat="false" ht="15.75" hidden="false" customHeight="false" outlineLevel="0" collapsed="false">
      <c r="A646" s="3" t="n">
        <f aca="false">IFERROR(__xludf.dummyfunction("""COMPUTED_VALUE"""),45134.6666666667)</f>
        <v>45134.6666666667</v>
      </c>
      <c r="B646" s="2" t="n">
        <f aca="false">IFERROR(__xludf.dummyfunction("""COMPUTED_VALUE"""),90.85)</f>
        <v>90.85</v>
      </c>
      <c r="C646" s="2" t="n">
        <f aca="false">IFERROR(__xludf.dummyfunction("""COMPUTED_VALUE"""),90.99)</f>
        <v>90.99</v>
      </c>
      <c r="D646" s="2" t="n">
        <f aca="false">IFERROR(__xludf.dummyfunction("""COMPUTED_VALUE"""),88.6)</f>
        <v>88.6</v>
      </c>
      <c r="E646" s="2" t="n">
        <f aca="false">IFERROR(__xludf.dummyfunction("""COMPUTED_VALUE"""),89.35)</f>
        <v>89.35</v>
      </c>
      <c r="F646" s="2" t="n">
        <f aca="false">IFERROR(__xludf.dummyfunction("""COMPUTED_VALUE"""),2192178)</f>
        <v>2192178</v>
      </c>
    </row>
    <row r="647" customFormat="false" ht="15.75" hidden="false" customHeight="false" outlineLevel="0" collapsed="false">
      <c r="A647" s="3" t="n">
        <f aca="false">IFERROR(__xludf.dummyfunction("""COMPUTED_VALUE"""),45135.6666666667)</f>
        <v>45135.6666666667</v>
      </c>
      <c r="B647" s="2" t="n">
        <f aca="false">IFERROR(__xludf.dummyfunction("""COMPUTED_VALUE"""),89.93)</f>
        <v>89.93</v>
      </c>
      <c r="C647" s="2" t="n">
        <f aca="false">IFERROR(__xludf.dummyfunction("""COMPUTED_VALUE"""),90.36)</f>
        <v>90.36</v>
      </c>
      <c r="D647" s="2" t="n">
        <f aca="false">IFERROR(__xludf.dummyfunction("""COMPUTED_VALUE"""),89.4)</f>
        <v>89.4</v>
      </c>
      <c r="E647" s="2" t="n">
        <f aca="false">IFERROR(__xludf.dummyfunction("""COMPUTED_VALUE"""),89.98)</f>
        <v>89.98</v>
      </c>
      <c r="F647" s="2" t="n">
        <f aca="false">IFERROR(__xludf.dummyfunction("""COMPUTED_VALUE"""),1879426)</f>
        <v>1879426</v>
      </c>
    </row>
    <row r="648" customFormat="false" ht="15.75" hidden="false" customHeight="false" outlineLevel="0" collapsed="false">
      <c r="A648" s="3" t="n">
        <f aca="false">IFERROR(__xludf.dummyfunction("""COMPUTED_VALUE"""),45138.6666666667)</f>
        <v>45138.6666666667</v>
      </c>
      <c r="B648" s="2" t="n">
        <f aca="false">IFERROR(__xludf.dummyfunction("""COMPUTED_VALUE"""),89.75)</f>
        <v>89.75</v>
      </c>
      <c r="C648" s="2" t="n">
        <f aca="false">IFERROR(__xludf.dummyfunction("""COMPUTED_VALUE"""),90.1)</f>
        <v>90.1</v>
      </c>
      <c r="D648" s="2" t="n">
        <f aca="false">IFERROR(__xludf.dummyfunction("""COMPUTED_VALUE"""),89.1)</f>
        <v>89.1</v>
      </c>
      <c r="E648" s="2" t="n">
        <f aca="false">IFERROR(__xludf.dummyfunction("""COMPUTED_VALUE"""),89.87)</f>
        <v>89.87</v>
      </c>
      <c r="F648" s="2" t="n">
        <f aca="false">IFERROR(__xludf.dummyfunction("""COMPUTED_VALUE"""),1496692)</f>
        <v>1496692</v>
      </c>
    </row>
    <row r="649" customFormat="false" ht="15.75" hidden="false" customHeight="false" outlineLevel="0" collapsed="false">
      <c r="A649" s="3" t="n">
        <f aca="false">IFERROR(__xludf.dummyfunction("""COMPUTED_VALUE"""),45139.6666666667)</f>
        <v>45139.6666666667</v>
      </c>
      <c r="B649" s="2" t="n">
        <f aca="false">IFERROR(__xludf.dummyfunction("""COMPUTED_VALUE"""),89.9)</f>
        <v>89.9</v>
      </c>
      <c r="C649" s="2" t="n">
        <f aca="false">IFERROR(__xludf.dummyfunction("""COMPUTED_VALUE"""),92.06)</f>
        <v>92.06</v>
      </c>
      <c r="D649" s="2" t="n">
        <f aca="false">IFERROR(__xludf.dummyfunction("""COMPUTED_VALUE"""),89.77)</f>
        <v>89.77</v>
      </c>
      <c r="E649" s="2" t="n">
        <f aca="false">IFERROR(__xludf.dummyfunction("""COMPUTED_VALUE"""),92)</f>
        <v>92</v>
      </c>
      <c r="F649" s="2" t="n">
        <f aca="false">IFERROR(__xludf.dummyfunction("""COMPUTED_VALUE"""),1970675)</f>
        <v>1970675</v>
      </c>
    </row>
    <row r="650" customFormat="false" ht="15.75" hidden="false" customHeight="false" outlineLevel="0" collapsed="false">
      <c r="A650" s="3" t="n">
        <f aca="false">IFERROR(__xludf.dummyfunction("""COMPUTED_VALUE"""),45140.6666666667)</f>
        <v>45140.6666666667</v>
      </c>
      <c r="B650" s="2" t="n">
        <f aca="false">IFERROR(__xludf.dummyfunction("""COMPUTED_VALUE"""),91.23)</f>
        <v>91.23</v>
      </c>
      <c r="C650" s="2" t="n">
        <f aca="false">IFERROR(__xludf.dummyfunction("""COMPUTED_VALUE"""),91.3)</f>
        <v>91.3</v>
      </c>
      <c r="D650" s="2" t="n">
        <f aca="false">IFERROR(__xludf.dummyfunction("""COMPUTED_VALUE"""),89.03)</f>
        <v>89.03</v>
      </c>
      <c r="E650" s="2" t="n">
        <f aca="false">IFERROR(__xludf.dummyfunction("""COMPUTED_VALUE"""),89.23)</f>
        <v>89.23</v>
      </c>
      <c r="F650" s="2" t="n">
        <f aca="false">IFERROR(__xludf.dummyfunction("""COMPUTED_VALUE"""),2688957)</f>
        <v>2688957</v>
      </c>
    </row>
    <row r="651" customFormat="false" ht="15.75" hidden="false" customHeight="false" outlineLevel="0" collapsed="false">
      <c r="A651" s="3" t="n">
        <f aca="false">IFERROR(__xludf.dummyfunction("""COMPUTED_VALUE"""),45141.6666666667)</f>
        <v>45141.6666666667</v>
      </c>
      <c r="B651" s="2" t="n">
        <f aca="false">IFERROR(__xludf.dummyfunction("""COMPUTED_VALUE"""),88.66)</f>
        <v>88.66</v>
      </c>
      <c r="C651" s="2" t="n">
        <f aca="false">IFERROR(__xludf.dummyfunction("""COMPUTED_VALUE"""),89.53)</f>
        <v>89.53</v>
      </c>
      <c r="D651" s="2" t="n">
        <f aca="false">IFERROR(__xludf.dummyfunction("""COMPUTED_VALUE"""),88.11)</f>
        <v>88.11</v>
      </c>
      <c r="E651" s="2" t="n">
        <f aca="false">IFERROR(__xludf.dummyfunction("""COMPUTED_VALUE"""),88.5)</f>
        <v>88.5</v>
      </c>
      <c r="F651" s="2" t="n">
        <f aca="false">IFERROR(__xludf.dummyfunction("""COMPUTED_VALUE"""),1829264)</f>
        <v>1829264</v>
      </c>
    </row>
    <row r="652" customFormat="false" ht="15.75" hidden="false" customHeight="false" outlineLevel="0" collapsed="false">
      <c r="A652" s="3" t="n">
        <f aca="false">IFERROR(__xludf.dummyfunction("""COMPUTED_VALUE"""),45142.6666666667)</f>
        <v>45142.6666666667</v>
      </c>
      <c r="B652" s="2" t="n">
        <f aca="false">IFERROR(__xludf.dummyfunction("""COMPUTED_VALUE"""),88.5)</f>
        <v>88.5</v>
      </c>
      <c r="C652" s="2" t="n">
        <f aca="false">IFERROR(__xludf.dummyfunction("""COMPUTED_VALUE"""),89.36)</f>
        <v>89.36</v>
      </c>
      <c r="D652" s="2" t="n">
        <f aca="false">IFERROR(__xludf.dummyfunction("""COMPUTED_VALUE"""),87.34)</f>
        <v>87.34</v>
      </c>
      <c r="E652" s="2" t="n">
        <f aca="false">IFERROR(__xludf.dummyfunction("""COMPUTED_VALUE"""),88.17)</f>
        <v>88.17</v>
      </c>
      <c r="F652" s="2" t="n">
        <f aca="false">IFERROR(__xludf.dummyfunction("""COMPUTED_VALUE"""),2115785)</f>
        <v>2115785</v>
      </c>
    </row>
    <row r="653" customFormat="false" ht="15.75" hidden="false" customHeight="false" outlineLevel="0" collapsed="false">
      <c r="A653" s="3" t="n">
        <f aca="false">IFERROR(__xludf.dummyfunction("""COMPUTED_VALUE"""),45145.6666666667)</f>
        <v>45145.6666666667</v>
      </c>
      <c r="B653" s="2" t="n">
        <f aca="false">IFERROR(__xludf.dummyfunction("""COMPUTED_VALUE"""),88.77)</f>
        <v>88.77</v>
      </c>
      <c r="C653" s="2" t="n">
        <f aca="false">IFERROR(__xludf.dummyfunction("""COMPUTED_VALUE"""),89.74)</f>
        <v>89.74</v>
      </c>
      <c r="D653" s="2" t="n">
        <f aca="false">IFERROR(__xludf.dummyfunction("""COMPUTED_VALUE"""),88.53)</f>
        <v>88.53</v>
      </c>
      <c r="E653" s="2" t="n">
        <f aca="false">IFERROR(__xludf.dummyfunction("""COMPUTED_VALUE"""),89.71)</f>
        <v>89.71</v>
      </c>
      <c r="F653" s="2" t="n">
        <f aca="false">IFERROR(__xludf.dummyfunction("""COMPUTED_VALUE"""),1114565)</f>
        <v>1114565</v>
      </c>
    </row>
    <row r="654" customFormat="false" ht="15.75" hidden="false" customHeight="false" outlineLevel="0" collapsed="false">
      <c r="A654" s="3" t="n">
        <f aca="false">IFERROR(__xludf.dummyfunction("""COMPUTED_VALUE"""),45146.6666666667)</f>
        <v>45146.6666666667</v>
      </c>
      <c r="B654" s="2" t="n">
        <f aca="false">IFERROR(__xludf.dummyfunction("""COMPUTED_VALUE"""),89.01)</f>
        <v>89.01</v>
      </c>
      <c r="C654" s="2" t="n">
        <f aca="false">IFERROR(__xludf.dummyfunction("""COMPUTED_VALUE"""),89.06)</f>
        <v>89.06</v>
      </c>
      <c r="D654" s="2" t="n">
        <f aca="false">IFERROR(__xludf.dummyfunction("""COMPUTED_VALUE"""),87.34)</f>
        <v>87.34</v>
      </c>
      <c r="E654" s="2" t="n">
        <f aca="false">IFERROR(__xludf.dummyfunction("""COMPUTED_VALUE"""),88.32)</f>
        <v>88.32</v>
      </c>
      <c r="F654" s="2" t="n">
        <f aca="false">IFERROR(__xludf.dummyfunction("""COMPUTED_VALUE"""),1408091)</f>
        <v>1408091</v>
      </c>
    </row>
    <row r="655" customFormat="false" ht="15.75" hidden="false" customHeight="false" outlineLevel="0" collapsed="false">
      <c r="A655" s="3" t="n">
        <f aca="false">IFERROR(__xludf.dummyfunction("""COMPUTED_VALUE"""),45147.6666666667)</f>
        <v>45147.6666666667</v>
      </c>
      <c r="B655" s="2" t="n">
        <f aca="false">IFERROR(__xludf.dummyfunction("""COMPUTED_VALUE"""),88.27)</f>
        <v>88.27</v>
      </c>
      <c r="C655" s="2" t="n">
        <f aca="false">IFERROR(__xludf.dummyfunction("""COMPUTED_VALUE"""),88.35)</f>
        <v>88.35</v>
      </c>
      <c r="D655" s="2" t="n">
        <f aca="false">IFERROR(__xludf.dummyfunction("""COMPUTED_VALUE"""),84.87)</f>
        <v>84.87</v>
      </c>
      <c r="E655" s="2" t="n">
        <f aca="false">IFERROR(__xludf.dummyfunction("""COMPUTED_VALUE"""),85.07)</f>
        <v>85.07</v>
      </c>
      <c r="F655" s="2" t="n">
        <f aca="false">IFERROR(__xludf.dummyfunction("""COMPUTED_VALUE"""),2467248)</f>
        <v>2467248</v>
      </c>
    </row>
    <row r="656" customFormat="false" ht="15.75" hidden="false" customHeight="false" outlineLevel="0" collapsed="false">
      <c r="A656" s="3" t="n">
        <f aca="false">IFERROR(__xludf.dummyfunction("""COMPUTED_VALUE"""),45148.6666666667)</f>
        <v>45148.6666666667</v>
      </c>
      <c r="B656" s="2" t="n">
        <f aca="false">IFERROR(__xludf.dummyfunction("""COMPUTED_VALUE"""),85.31)</f>
        <v>85.31</v>
      </c>
      <c r="C656" s="2" t="n">
        <f aca="false">IFERROR(__xludf.dummyfunction("""COMPUTED_VALUE"""),86.15)</f>
        <v>86.15</v>
      </c>
      <c r="D656" s="2" t="n">
        <f aca="false">IFERROR(__xludf.dummyfunction("""COMPUTED_VALUE"""),83.71)</f>
        <v>83.71</v>
      </c>
      <c r="E656" s="2" t="n">
        <f aca="false">IFERROR(__xludf.dummyfunction("""COMPUTED_VALUE"""),84.29)</f>
        <v>84.29</v>
      </c>
      <c r="F656" s="2" t="n">
        <f aca="false">IFERROR(__xludf.dummyfunction("""COMPUTED_VALUE"""),2018613)</f>
        <v>2018613</v>
      </c>
    </row>
    <row r="657" customFormat="false" ht="15.75" hidden="false" customHeight="false" outlineLevel="0" collapsed="false">
      <c r="A657" s="3" t="n">
        <f aca="false">IFERROR(__xludf.dummyfunction("""COMPUTED_VALUE"""),45149.6666666667)</f>
        <v>45149.6666666667</v>
      </c>
      <c r="B657" s="2" t="n">
        <f aca="false">IFERROR(__xludf.dummyfunction("""COMPUTED_VALUE"""),83.4)</f>
        <v>83.4</v>
      </c>
      <c r="C657" s="2" t="n">
        <f aca="false">IFERROR(__xludf.dummyfunction("""COMPUTED_VALUE"""),83.64)</f>
        <v>83.64</v>
      </c>
      <c r="D657" s="2" t="n">
        <f aca="false">IFERROR(__xludf.dummyfunction("""COMPUTED_VALUE"""),82.35)</f>
        <v>82.35</v>
      </c>
      <c r="E657" s="2" t="n">
        <f aca="false">IFERROR(__xludf.dummyfunction("""COMPUTED_VALUE"""),82.98)</f>
        <v>82.98</v>
      </c>
      <c r="F657" s="2" t="n">
        <f aca="false">IFERROR(__xludf.dummyfunction("""COMPUTED_VALUE"""),2033126)</f>
        <v>2033126</v>
      </c>
    </row>
    <row r="658" customFormat="false" ht="15.75" hidden="false" customHeight="false" outlineLevel="0" collapsed="false">
      <c r="A658" s="3" t="n">
        <f aca="false">IFERROR(__xludf.dummyfunction("""COMPUTED_VALUE"""),45152.6666666667)</f>
        <v>45152.6666666667</v>
      </c>
      <c r="B658" s="2" t="n">
        <f aca="false">IFERROR(__xludf.dummyfunction("""COMPUTED_VALUE"""),83.11)</f>
        <v>83.11</v>
      </c>
      <c r="C658" s="2" t="n">
        <f aca="false">IFERROR(__xludf.dummyfunction("""COMPUTED_VALUE"""),85.42)</f>
        <v>85.42</v>
      </c>
      <c r="D658" s="2" t="n">
        <f aca="false">IFERROR(__xludf.dummyfunction("""COMPUTED_VALUE"""),82.74)</f>
        <v>82.74</v>
      </c>
      <c r="E658" s="2" t="n">
        <f aca="false">IFERROR(__xludf.dummyfunction("""COMPUTED_VALUE"""),85.41)</f>
        <v>85.41</v>
      </c>
      <c r="F658" s="2" t="n">
        <f aca="false">IFERROR(__xludf.dummyfunction("""COMPUTED_VALUE"""),1768800)</f>
        <v>1768800</v>
      </c>
    </row>
    <row r="659" customFormat="false" ht="15.75" hidden="false" customHeight="false" outlineLevel="0" collapsed="false">
      <c r="A659" s="3" t="n">
        <f aca="false">IFERROR(__xludf.dummyfunction("""COMPUTED_VALUE"""),45153.6666666667)</f>
        <v>45153.6666666667</v>
      </c>
      <c r="B659" s="2" t="n">
        <f aca="false">IFERROR(__xludf.dummyfunction("""COMPUTED_VALUE"""),84.92)</f>
        <v>84.92</v>
      </c>
      <c r="C659" s="2" t="n">
        <f aca="false">IFERROR(__xludf.dummyfunction("""COMPUTED_VALUE"""),85.46)</f>
        <v>85.46</v>
      </c>
      <c r="D659" s="2" t="n">
        <f aca="false">IFERROR(__xludf.dummyfunction("""COMPUTED_VALUE"""),83.65)</f>
        <v>83.65</v>
      </c>
      <c r="E659" s="2" t="n">
        <f aca="false">IFERROR(__xludf.dummyfunction("""COMPUTED_VALUE"""),84.25)</f>
        <v>84.25</v>
      </c>
      <c r="F659" s="2" t="n">
        <f aca="false">IFERROR(__xludf.dummyfunction("""COMPUTED_VALUE"""),1403635)</f>
        <v>1403635</v>
      </c>
    </row>
    <row r="660" customFormat="false" ht="15.75" hidden="false" customHeight="false" outlineLevel="0" collapsed="false">
      <c r="A660" s="3" t="n">
        <f aca="false">IFERROR(__xludf.dummyfunction("""COMPUTED_VALUE"""),45154.6666666667)</f>
        <v>45154.6666666667</v>
      </c>
      <c r="B660" s="2" t="n">
        <f aca="false">IFERROR(__xludf.dummyfunction("""COMPUTED_VALUE"""),84.78)</f>
        <v>84.78</v>
      </c>
      <c r="C660" s="2" t="n">
        <f aca="false">IFERROR(__xludf.dummyfunction("""COMPUTED_VALUE"""),85.45)</f>
        <v>85.45</v>
      </c>
      <c r="D660" s="2" t="n">
        <f aca="false">IFERROR(__xludf.dummyfunction("""COMPUTED_VALUE"""),83.2)</f>
        <v>83.2</v>
      </c>
      <c r="E660" s="2" t="n">
        <f aca="false">IFERROR(__xludf.dummyfunction("""COMPUTED_VALUE"""),83.3)</f>
        <v>83.3</v>
      </c>
      <c r="F660" s="2" t="n">
        <f aca="false">IFERROR(__xludf.dummyfunction("""COMPUTED_VALUE"""),1600301)</f>
        <v>1600301</v>
      </c>
    </row>
    <row r="661" customFormat="false" ht="15.75" hidden="false" customHeight="false" outlineLevel="0" collapsed="false">
      <c r="A661" s="3" t="n">
        <f aca="false">IFERROR(__xludf.dummyfunction("""COMPUTED_VALUE"""),45155.6666666667)</f>
        <v>45155.6666666667</v>
      </c>
      <c r="B661" s="2" t="n">
        <f aca="false">IFERROR(__xludf.dummyfunction("""COMPUTED_VALUE"""),83.65)</f>
        <v>83.65</v>
      </c>
      <c r="C661" s="2" t="n">
        <f aca="false">IFERROR(__xludf.dummyfunction("""COMPUTED_VALUE"""),83.94)</f>
        <v>83.94</v>
      </c>
      <c r="D661" s="2" t="n">
        <f aca="false">IFERROR(__xludf.dummyfunction("""COMPUTED_VALUE"""),82.7)</f>
        <v>82.7</v>
      </c>
      <c r="E661" s="2" t="n">
        <f aca="false">IFERROR(__xludf.dummyfunction("""COMPUTED_VALUE"""),82.71)</f>
        <v>82.71</v>
      </c>
      <c r="F661" s="2" t="n">
        <f aca="false">IFERROR(__xludf.dummyfunction("""COMPUTED_VALUE"""),1922777)</f>
        <v>1922777</v>
      </c>
    </row>
    <row r="662" customFormat="false" ht="15.75" hidden="false" customHeight="false" outlineLevel="0" collapsed="false">
      <c r="A662" s="3" t="n">
        <f aca="false">IFERROR(__xludf.dummyfunction("""COMPUTED_VALUE"""),45156.6666666667)</f>
        <v>45156.6666666667</v>
      </c>
      <c r="B662" s="2" t="n">
        <f aca="false">IFERROR(__xludf.dummyfunction("""COMPUTED_VALUE"""),82)</f>
        <v>82</v>
      </c>
      <c r="C662" s="2" t="n">
        <f aca="false">IFERROR(__xludf.dummyfunction("""COMPUTED_VALUE"""),82.82)</f>
        <v>82.82</v>
      </c>
      <c r="D662" s="2" t="n">
        <f aca="false">IFERROR(__xludf.dummyfunction("""COMPUTED_VALUE"""),81.2)</f>
        <v>81.2</v>
      </c>
      <c r="E662" s="2" t="n">
        <f aca="false">IFERROR(__xludf.dummyfunction("""COMPUTED_VALUE"""),82.58)</f>
        <v>82.58</v>
      </c>
      <c r="F662" s="2" t="n">
        <f aca="false">IFERROR(__xludf.dummyfunction("""COMPUTED_VALUE"""),1775869)</f>
        <v>1775869</v>
      </c>
    </row>
    <row r="663" customFormat="false" ht="15.75" hidden="false" customHeight="false" outlineLevel="0" collapsed="false">
      <c r="A663" s="3" t="n">
        <f aca="false">IFERROR(__xludf.dummyfunction("""COMPUTED_VALUE"""),45159.6666666667)</f>
        <v>45159.6666666667</v>
      </c>
      <c r="B663" s="2" t="n">
        <f aca="false">IFERROR(__xludf.dummyfunction("""COMPUTED_VALUE"""),83.41)</f>
        <v>83.41</v>
      </c>
      <c r="C663" s="2" t="n">
        <f aca="false">IFERROR(__xludf.dummyfunction("""COMPUTED_VALUE"""),86.73)</f>
        <v>86.73</v>
      </c>
      <c r="D663" s="2" t="n">
        <f aca="false">IFERROR(__xludf.dummyfunction("""COMPUTED_VALUE"""),83.18)</f>
        <v>83.18</v>
      </c>
      <c r="E663" s="2" t="n">
        <f aca="false">IFERROR(__xludf.dummyfunction("""COMPUTED_VALUE"""),86.51)</f>
        <v>86.51</v>
      </c>
      <c r="F663" s="2" t="n">
        <f aca="false">IFERROR(__xludf.dummyfunction("""COMPUTED_VALUE"""),3001163)</f>
        <v>3001163</v>
      </c>
    </row>
    <row r="664" customFormat="false" ht="15.75" hidden="false" customHeight="false" outlineLevel="0" collapsed="false">
      <c r="A664" s="3" t="n">
        <f aca="false">IFERROR(__xludf.dummyfunction("""COMPUTED_VALUE"""),45160.6666666667)</f>
        <v>45160.6666666667</v>
      </c>
      <c r="B664" s="2" t="n">
        <f aca="false">IFERROR(__xludf.dummyfunction("""COMPUTED_VALUE"""),87.34)</f>
        <v>87.34</v>
      </c>
      <c r="C664" s="2" t="n">
        <f aca="false">IFERROR(__xludf.dummyfunction("""COMPUTED_VALUE"""),87.48)</f>
        <v>87.48</v>
      </c>
      <c r="D664" s="2" t="n">
        <f aca="false">IFERROR(__xludf.dummyfunction("""COMPUTED_VALUE"""),85.09)</f>
        <v>85.09</v>
      </c>
      <c r="E664" s="2" t="n">
        <f aca="false">IFERROR(__xludf.dummyfunction("""COMPUTED_VALUE"""),85.58)</f>
        <v>85.58</v>
      </c>
      <c r="F664" s="2" t="n">
        <f aca="false">IFERROR(__xludf.dummyfunction("""COMPUTED_VALUE"""),1708164)</f>
        <v>1708164</v>
      </c>
    </row>
    <row r="665" customFormat="false" ht="15.75" hidden="false" customHeight="false" outlineLevel="0" collapsed="false">
      <c r="A665" s="3" t="n">
        <f aca="false">IFERROR(__xludf.dummyfunction("""COMPUTED_VALUE"""),45161.6666666667)</f>
        <v>45161.6666666667</v>
      </c>
      <c r="B665" s="2" t="n">
        <f aca="false">IFERROR(__xludf.dummyfunction("""COMPUTED_VALUE"""),85.08)</f>
        <v>85.08</v>
      </c>
      <c r="C665" s="2" t="n">
        <f aca="false">IFERROR(__xludf.dummyfunction("""COMPUTED_VALUE"""),87.82)</f>
        <v>87.82</v>
      </c>
      <c r="D665" s="2" t="n">
        <f aca="false">IFERROR(__xludf.dummyfunction("""COMPUTED_VALUE"""),85)</f>
        <v>85</v>
      </c>
      <c r="E665" s="2" t="n">
        <f aca="false">IFERROR(__xludf.dummyfunction("""COMPUTED_VALUE"""),87.66)</f>
        <v>87.66</v>
      </c>
      <c r="F665" s="2" t="n">
        <f aca="false">IFERROR(__xludf.dummyfunction("""COMPUTED_VALUE"""),1969205)</f>
        <v>1969205</v>
      </c>
    </row>
    <row r="666" customFormat="false" ht="15.75" hidden="false" customHeight="false" outlineLevel="0" collapsed="false">
      <c r="A666" s="3" t="n">
        <f aca="false">IFERROR(__xludf.dummyfunction("""COMPUTED_VALUE"""),45162.6666666667)</f>
        <v>45162.6666666667</v>
      </c>
      <c r="B666" s="2" t="n">
        <f aca="false">IFERROR(__xludf.dummyfunction("""COMPUTED_VALUE"""),90.24)</f>
        <v>90.24</v>
      </c>
      <c r="C666" s="2" t="n">
        <f aca="false">IFERROR(__xludf.dummyfunction("""COMPUTED_VALUE"""),90.99)</f>
        <v>90.99</v>
      </c>
      <c r="D666" s="2" t="n">
        <f aca="false">IFERROR(__xludf.dummyfunction("""COMPUTED_VALUE"""),85.25)</f>
        <v>85.25</v>
      </c>
      <c r="E666" s="2" t="n">
        <f aca="false">IFERROR(__xludf.dummyfunction("""COMPUTED_VALUE"""),85.45)</f>
        <v>85.45</v>
      </c>
      <c r="F666" s="2" t="n">
        <f aca="false">IFERROR(__xludf.dummyfunction("""COMPUTED_VALUE"""),3093431)</f>
        <v>3093431</v>
      </c>
    </row>
    <row r="667" customFormat="false" ht="15.75" hidden="false" customHeight="false" outlineLevel="0" collapsed="false">
      <c r="A667" s="3" t="n">
        <f aca="false">IFERROR(__xludf.dummyfunction("""COMPUTED_VALUE"""),45163.6666666667)</f>
        <v>45163.6666666667</v>
      </c>
      <c r="B667" s="2" t="n">
        <f aca="false">IFERROR(__xludf.dummyfunction("""COMPUTED_VALUE"""),85.7)</f>
        <v>85.7</v>
      </c>
      <c r="C667" s="2" t="n">
        <f aca="false">IFERROR(__xludf.dummyfunction("""COMPUTED_VALUE"""),86.94)</f>
        <v>86.94</v>
      </c>
      <c r="D667" s="2" t="n">
        <f aca="false">IFERROR(__xludf.dummyfunction("""COMPUTED_VALUE"""),83.77)</f>
        <v>83.77</v>
      </c>
      <c r="E667" s="2" t="n">
        <f aca="false">IFERROR(__xludf.dummyfunction("""COMPUTED_VALUE"""),85.18)</f>
        <v>85.18</v>
      </c>
      <c r="F667" s="2" t="n">
        <f aca="false">IFERROR(__xludf.dummyfunction("""COMPUTED_VALUE"""),2418053)</f>
        <v>2418053</v>
      </c>
    </row>
    <row r="668" customFormat="false" ht="15.75" hidden="false" customHeight="false" outlineLevel="0" collapsed="false">
      <c r="A668" s="3" t="n">
        <f aca="false">IFERROR(__xludf.dummyfunction("""COMPUTED_VALUE"""),45166.6666666667)</f>
        <v>45166.6666666667</v>
      </c>
      <c r="B668" s="2" t="n">
        <f aca="false">IFERROR(__xludf.dummyfunction("""COMPUTED_VALUE"""),85.64)</f>
        <v>85.64</v>
      </c>
      <c r="C668" s="2" t="n">
        <f aca="false">IFERROR(__xludf.dummyfunction("""COMPUTED_VALUE"""),86.41)</f>
        <v>86.41</v>
      </c>
      <c r="D668" s="2" t="n">
        <f aca="false">IFERROR(__xludf.dummyfunction("""COMPUTED_VALUE"""),84.71)</f>
        <v>84.71</v>
      </c>
      <c r="E668" s="2" t="n">
        <f aca="false">IFERROR(__xludf.dummyfunction("""COMPUTED_VALUE"""),86.11)</f>
        <v>86.11</v>
      </c>
      <c r="F668" s="2" t="n">
        <f aca="false">IFERROR(__xludf.dummyfunction("""COMPUTED_VALUE"""),1430596)</f>
        <v>1430596</v>
      </c>
    </row>
    <row r="669" customFormat="false" ht="15.75" hidden="false" customHeight="false" outlineLevel="0" collapsed="false">
      <c r="A669" s="3" t="n">
        <f aca="false">IFERROR(__xludf.dummyfunction("""COMPUTED_VALUE"""),45167.6666666667)</f>
        <v>45167.6666666667</v>
      </c>
      <c r="B669" s="2" t="n">
        <f aca="false">IFERROR(__xludf.dummyfunction("""COMPUTED_VALUE"""),85.84)</f>
        <v>85.84</v>
      </c>
      <c r="C669" s="2" t="n">
        <f aca="false">IFERROR(__xludf.dummyfunction("""COMPUTED_VALUE"""),89.28)</f>
        <v>89.28</v>
      </c>
      <c r="D669" s="2" t="n">
        <f aca="false">IFERROR(__xludf.dummyfunction("""COMPUTED_VALUE"""),85.64)</f>
        <v>85.64</v>
      </c>
      <c r="E669" s="2" t="n">
        <f aca="false">IFERROR(__xludf.dummyfunction("""COMPUTED_VALUE"""),88.99)</f>
        <v>88.99</v>
      </c>
      <c r="F669" s="2" t="n">
        <f aca="false">IFERROR(__xludf.dummyfunction("""COMPUTED_VALUE"""),2782239)</f>
        <v>2782239</v>
      </c>
    </row>
    <row r="670" customFormat="false" ht="15.75" hidden="false" customHeight="false" outlineLevel="0" collapsed="false">
      <c r="A670" s="3" t="n">
        <f aca="false">IFERROR(__xludf.dummyfunction("""COMPUTED_VALUE"""),45168.6666666667)</f>
        <v>45168.6666666667</v>
      </c>
      <c r="B670" s="2" t="n">
        <f aca="false">IFERROR(__xludf.dummyfunction("""COMPUTED_VALUE"""),89.24)</f>
        <v>89.24</v>
      </c>
      <c r="C670" s="2" t="n">
        <f aca="false">IFERROR(__xludf.dummyfunction("""COMPUTED_VALUE"""),89.87)</f>
        <v>89.87</v>
      </c>
      <c r="D670" s="2" t="n">
        <f aca="false">IFERROR(__xludf.dummyfunction("""COMPUTED_VALUE"""),87.91)</f>
        <v>87.91</v>
      </c>
      <c r="E670" s="2" t="n">
        <f aca="false">IFERROR(__xludf.dummyfunction("""COMPUTED_VALUE"""),89.23)</f>
        <v>89.23</v>
      </c>
      <c r="F670" s="2" t="n">
        <f aca="false">IFERROR(__xludf.dummyfunction("""COMPUTED_VALUE"""),2323424)</f>
        <v>2323424</v>
      </c>
    </row>
    <row r="671" customFormat="false" ht="15.75" hidden="false" customHeight="false" outlineLevel="0" collapsed="false">
      <c r="A671" s="3" t="n">
        <f aca="false">IFERROR(__xludf.dummyfunction("""COMPUTED_VALUE"""),45169.6666666667)</f>
        <v>45169.6666666667</v>
      </c>
      <c r="B671" s="2" t="n">
        <f aca="false">IFERROR(__xludf.dummyfunction("""COMPUTED_VALUE"""),89.8)</f>
        <v>89.8</v>
      </c>
      <c r="C671" s="2" t="n">
        <f aca="false">IFERROR(__xludf.dummyfunction("""COMPUTED_VALUE"""),92.37)</f>
        <v>92.37</v>
      </c>
      <c r="D671" s="2" t="n">
        <f aca="false">IFERROR(__xludf.dummyfunction("""COMPUTED_VALUE"""),89.38)</f>
        <v>89.38</v>
      </c>
      <c r="E671" s="2" t="n">
        <f aca="false">IFERROR(__xludf.dummyfunction("""COMPUTED_VALUE"""),92.29)</f>
        <v>92.29</v>
      </c>
      <c r="F671" s="2" t="n">
        <f aca="false">IFERROR(__xludf.dummyfunction("""COMPUTED_VALUE"""),5520285)</f>
        <v>5520285</v>
      </c>
    </row>
    <row r="672" customFormat="false" ht="15.75" hidden="false" customHeight="false" outlineLevel="0" collapsed="false">
      <c r="A672" s="3" t="n">
        <f aca="false">IFERROR(__xludf.dummyfunction("""COMPUTED_VALUE"""),45170.6666666667)</f>
        <v>45170.6666666667</v>
      </c>
      <c r="B672" s="2" t="n">
        <f aca="false">IFERROR(__xludf.dummyfunction("""COMPUTED_VALUE"""),90.19)</f>
        <v>90.19</v>
      </c>
      <c r="C672" s="2" t="n">
        <f aca="false">IFERROR(__xludf.dummyfunction("""COMPUTED_VALUE"""),90.19)</f>
        <v>90.19</v>
      </c>
      <c r="D672" s="2" t="n">
        <f aca="false">IFERROR(__xludf.dummyfunction("""COMPUTED_VALUE"""),86.47)</f>
        <v>86.47</v>
      </c>
      <c r="E672" s="2" t="n">
        <f aca="false">IFERROR(__xludf.dummyfunction("""COMPUTED_VALUE"""),87.25)</f>
        <v>87.25</v>
      </c>
      <c r="F672" s="2" t="n">
        <f aca="false">IFERROR(__xludf.dummyfunction("""COMPUTED_VALUE"""),6501716)</f>
        <v>6501716</v>
      </c>
    </row>
    <row r="673" customFormat="false" ht="15.75" hidden="false" customHeight="false" outlineLevel="0" collapsed="false">
      <c r="A673" s="3" t="n">
        <f aca="false">IFERROR(__xludf.dummyfunction("""COMPUTED_VALUE"""),45174.6666666667)</f>
        <v>45174.6666666667</v>
      </c>
      <c r="B673" s="2" t="n">
        <f aca="false">IFERROR(__xludf.dummyfunction("""COMPUTED_VALUE"""),86.95)</f>
        <v>86.95</v>
      </c>
      <c r="C673" s="2" t="n">
        <f aca="false">IFERROR(__xludf.dummyfunction("""COMPUTED_VALUE"""),88.3)</f>
        <v>88.3</v>
      </c>
      <c r="D673" s="2" t="n">
        <f aca="false">IFERROR(__xludf.dummyfunction("""COMPUTED_VALUE"""),86.7)</f>
        <v>86.7</v>
      </c>
      <c r="E673" s="2" t="n">
        <f aca="false">IFERROR(__xludf.dummyfunction("""COMPUTED_VALUE"""),87.22)</f>
        <v>87.22</v>
      </c>
      <c r="F673" s="2" t="n">
        <f aca="false">IFERROR(__xludf.dummyfunction("""COMPUTED_VALUE"""),2480807)</f>
        <v>2480807</v>
      </c>
    </row>
    <row r="674" customFormat="false" ht="15.75" hidden="false" customHeight="false" outlineLevel="0" collapsed="false">
      <c r="A674" s="3" t="n">
        <f aca="false">IFERROR(__xludf.dummyfunction("""COMPUTED_VALUE"""),45175.6666666667)</f>
        <v>45175.6666666667</v>
      </c>
      <c r="B674" s="2" t="n">
        <f aca="false">IFERROR(__xludf.dummyfunction("""COMPUTED_VALUE"""),87.25)</f>
        <v>87.25</v>
      </c>
      <c r="C674" s="2" t="n">
        <f aca="false">IFERROR(__xludf.dummyfunction("""COMPUTED_VALUE"""),87.74)</f>
        <v>87.74</v>
      </c>
      <c r="D674" s="2" t="n">
        <f aca="false">IFERROR(__xludf.dummyfunction("""COMPUTED_VALUE"""),86.67)</f>
        <v>86.67</v>
      </c>
      <c r="E674" s="2" t="n">
        <f aca="false">IFERROR(__xludf.dummyfunction("""COMPUTED_VALUE"""),87.23)</f>
        <v>87.23</v>
      </c>
      <c r="F674" s="2" t="n">
        <f aca="false">IFERROR(__xludf.dummyfunction("""COMPUTED_VALUE"""),2014246)</f>
        <v>2014246</v>
      </c>
    </row>
    <row r="675" customFormat="false" ht="15.75" hidden="false" customHeight="false" outlineLevel="0" collapsed="false">
      <c r="A675" s="3" t="n">
        <f aca="false">IFERROR(__xludf.dummyfunction("""COMPUTED_VALUE"""),45176.6666666667)</f>
        <v>45176.6666666667</v>
      </c>
      <c r="B675" s="2" t="n">
        <f aca="false">IFERROR(__xludf.dummyfunction("""COMPUTED_VALUE"""),85.95)</f>
        <v>85.95</v>
      </c>
      <c r="C675" s="2" t="n">
        <f aca="false">IFERROR(__xludf.dummyfunction("""COMPUTED_VALUE"""),86.17)</f>
        <v>86.17</v>
      </c>
      <c r="D675" s="2" t="n">
        <f aca="false">IFERROR(__xludf.dummyfunction("""COMPUTED_VALUE"""),84.05)</f>
        <v>84.05</v>
      </c>
      <c r="E675" s="2" t="n">
        <f aca="false">IFERROR(__xludf.dummyfunction("""COMPUTED_VALUE"""),85.7)</f>
        <v>85.7</v>
      </c>
      <c r="F675" s="2" t="n">
        <f aca="false">IFERROR(__xludf.dummyfunction("""COMPUTED_VALUE"""),2778920)</f>
        <v>2778920</v>
      </c>
    </row>
    <row r="676" customFormat="false" ht="15.75" hidden="false" customHeight="false" outlineLevel="0" collapsed="false">
      <c r="A676" s="3" t="n">
        <f aca="false">IFERROR(__xludf.dummyfunction("""COMPUTED_VALUE"""),45177.6666666667)</f>
        <v>45177.6666666667</v>
      </c>
      <c r="B676" s="2" t="n">
        <f aca="false">IFERROR(__xludf.dummyfunction("""COMPUTED_VALUE"""),85.5)</f>
        <v>85.5</v>
      </c>
      <c r="C676" s="2" t="n">
        <f aca="false">IFERROR(__xludf.dummyfunction("""COMPUTED_VALUE"""),86.08)</f>
        <v>86.08</v>
      </c>
      <c r="D676" s="2" t="n">
        <f aca="false">IFERROR(__xludf.dummyfunction("""COMPUTED_VALUE"""),85.01)</f>
        <v>85.01</v>
      </c>
      <c r="E676" s="2" t="n">
        <f aca="false">IFERROR(__xludf.dummyfunction("""COMPUTED_VALUE"""),85.76)</f>
        <v>85.76</v>
      </c>
      <c r="F676" s="2" t="n">
        <f aca="false">IFERROR(__xludf.dummyfunction("""COMPUTED_VALUE"""),1681900)</f>
        <v>1681900</v>
      </c>
    </row>
    <row r="677" customFormat="false" ht="15.75" hidden="false" customHeight="false" outlineLevel="0" collapsed="false">
      <c r="A677" s="3" t="n">
        <f aca="false">IFERROR(__xludf.dummyfunction("""COMPUTED_VALUE"""),45180.6666666667)</f>
        <v>45180.6666666667</v>
      </c>
      <c r="B677" s="2" t="n">
        <f aca="false">IFERROR(__xludf.dummyfunction("""COMPUTED_VALUE"""),86.88)</f>
        <v>86.88</v>
      </c>
      <c r="C677" s="2" t="n">
        <f aca="false">IFERROR(__xludf.dummyfunction("""COMPUTED_VALUE"""),86.9)</f>
        <v>86.9</v>
      </c>
      <c r="D677" s="2" t="n">
        <f aca="false">IFERROR(__xludf.dummyfunction("""COMPUTED_VALUE"""),84.57)</f>
        <v>84.57</v>
      </c>
      <c r="E677" s="2" t="n">
        <f aca="false">IFERROR(__xludf.dummyfunction("""COMPUTED_VALUE"""),85.91)</f>
        <v>85.91</v>
      </c>
      <c r="F677" s="2" t="n">
        <f aca="false">IFERROR(__xludf.dummyfunction("""COMPUTED_VALUE"""),1571039)</f>
        <v>1571039</v>
      </c>
    </row>
    <row r="678" customFormat="false" ht="15.75" hidden="false" customHeight="false" outlineLevel="0" collapsed="false">
      <c r="A678" s="3" t="n">
        <f aca="false">IFERROR(__xludf.dummyfunction("""COMPUTED_VALUE"""),45181.6666666667)</f>
        <v>45181.6666666667</v>
      </c>
      <c r="B678" s="2" t="n">
        <f aca="false">IFERROR(__xludf.dummyfunction("""COMPUTED_VALUE"""),85.02)</f>
        <v>85.02</v>
      </c>
      <c r="C678" s="2" t="n">
        <f aca="false">IFERROR(__xludf.dummyfunction("""COMPUTED_VALUE"""),85.83)</f>
        <v>85.83</v>
      </c>
      <c r="D678" s="2" t="n">
        <f aca="false">IFERROR(__xludf.dummyfunction("""COMPUTED_VALUE"""),84.17)</f>
        <v>84.17</v>
      </c>
      <c r="E678" s="2" t="n">
        <f aca="false">IFERROR(__xludf.dummyfunction("""COMPUTED_VALUE"""),84.45)</f>
        <v>84.45</v>
      </c>
      <c r="F678" s="2" t="n">
        <f aca="false">IFERROR(__xludf.dummyfunction("""COMPUTED_VALUE"""),1668027)</f>
        <v>1668027</v>
      </c>
    </row>
    <row r="679" customFormat="false" ht="15.75" hidden="false" customHeight="false" outlineLevel="0" collapsed="false">
      <c r="A679" s="3" t="n">
        <f aca="false">IFERROR(__xludf.dummyfunction("""COMPUTED_VALUE"""),45182.6666666667)</f>
        <v>45182.6666666667</v>
      </c>
      <c r="B679" s="2" t="n">
        <f aca="false">IFERROR(__xludf.dummyfunction("""COMPUTED_VALUE"""),84.72)</f>
        <v>84.72</v>
      </c>
      <c r="C679" s="2" t="n">
        <f aca="false">IFERROR(__xludf.dummyfunction("""COMPUTED_VALUE"""),85.91)</f>
        <v>85.91</v>
      </c>
      <c r="D679" s="2" t="n">
        <f aca="false">IFERROR(__xludf.dummyfunction("""COMPUTED_VALUE"""),84.42)</f>
        <v>84.42</v>
      </c>
      <c r="E679" s="2" t="n">
        <f aca="false">IFERROR(__xludf.dummyfunction("""COMPUTED_VALUE"""),85.29)</f>
        <v>85.29</v>
      </c>
      <c r="F679" s="2" t="n">
        <f aca="false">IFERROR(__xludf.dummyfunction("""COMPUTED_VALUE"""),1741263)</f>
        <v>1741263</v>
      </c>
    </row>
    <row r="680" customFormat="false" ht="15.75" hidden="false" customHeight="false" outlineLevel="0" collapsed="false">
      <c r="A680" s="3" t="n">
        <f aca="false">IFERROR(__xludf.dummyfunction("""COMPUTED_VALUE"""),45183.6666666667)</f>
        <v>45183.6666666667</v>
      </c>
      <c r="B680" s="2" t="n">
        <f aca="false">IFERROR(__xludf.dummyfunction("""COMPUTED_VALUE"""),85.9)</f>
        <v>85.9</v>
      </c>
      <c r="C680" s="2" t="n">
        <f aca="false">IFERROR(__xludf.dummyfunction("""COMPUTED_VALUE"""),87.67)</f>
        <v>87.67</v>
      </c>
      <c r="D680" s="2" t="n">
        <f aca="false">IFERROR(__xludf.dummyfunction("""COMPUTED_VALUE"""),85.5)</f>
        <v>85.5</v>
      </c>
      <c r="E680" s="2" t="n">
        <f aca="false">IFERROR(__xludf.dummyfunction("""COMPUTED_VALUE"""),87.16)</f>
        <v>87.16</v>
      </c>
      <c r="F680" s="2" t="n">
        <f aca="false">IFERROR(__xludf.dummyfunction("""COMPUTED_VALUE"""),1964828)</f>
        <v>1964828</v>
      </c>
    </row>
    <row r="681" customFormat="false" ht="15.75" hidden="false" customHeight="false" outlineLevel="0" collapsed="false">
      <c r="A681" s="3" t="n">
        <f aca="false">IFERROR(__xludf.dummyfunction("""COMPUTED_VALUE"""),45184.6666666667)</f>
        <v>45184.6666666667</v>
      </c>
      <c r="B681" s="2" t="n">
        <f aca="false">IFERROR(__xludf.dummyfunction("""COMPUTED_VALUE"""),86.82)</f>
        <v>86.82</v>
      </c>
      <c r="C681" s="2" t="n">
        <f aca="false">IFERROR(__xludf.dummyfunction("""COMPUTED_VALUE"""),86.82)</f>
        <v>86.82</v>
      </c>
      <c r="D681" s="2" t="n">
        <f aca="false">IFERROR(__xludf.dummyfunction("""COMPUTED_VALUE"""),84.29)</f>
        <v>84.29</v>
      </c>
      <c r="E681" s="2" t="n">
        <f aca="false">IFERROR(__xludf.dummyfunction("""COMPUTED_VALUE"""),85.17)</f>
        <v>85.17</v>
      </c>
      <c r="F681" s="2" t="n">
        <f aca="false">IFERROR(__xludf.dummyfunction("""COMPUTED_VALUE"""),5018958)</f>
        <v>5018958</v>
      </c>
    </row>
    <row r="682" customFormat="false" ht="15.75" hidden="false" customHeight="false" outlineLevel="0" collapsed="false">
      <c r="A682" s="3" t="n">
        <f aca="false">IFERROR(__xludf.dummyfunction("""COMPUTED_VALUE"""),45187.6666666667)</f>
        <v>45187.6666666667</v>
      </c>
      <c r="B682" s="2" t="n">
        <f aca="false">IFERROR(__xludf.dummyfunction("""COMPUTED_VALUE"""),84.26)</f>
        <v>84.26</v>
      </c>
      <c r="C682" s="2" t="n">
        <f aca="false">IFERROR(__xludf.dummyfunction("""COMPUTED_VALUE"""),85.63)</f>
        <v>85.63</v>
      </c>
      <c r="D682" s="2" t="n">
        <f aca="false">IFERROR(__xludf.dummyfunction("""COMPUTED_VALUE"""),84)</f>
        <v>84</v>
      </c>
      <c r="E682" s="2" t="n">
        <f aca="false">IFERROR(__xludf.dummyfunction("""COMPUTED_VALUE"""),85)</f>
        <v>85</v>
      </c>
      <c r="F682" s="2" t="n">
        <f aca="false">IFERROR(__xludf.dummyfunction("""COMPUTED_VALUE"""),1654086)</f>
        <v>1654086</v>
      </c>
    </row>
    <row r="683" customFormat="false" ht="15.75" hidden="false" customHeight="false" outlineLevel="0" collapsed="false">
      <c r="A683" s="3" t="n">
        <f aca="false">IFERROR(__xludf.dummyfunction("""COMPUTED_VALUE"""),45188.6666666667)</f>
        <v>45188.6666666667</v>
      </c>
      <c r="B683" s="2" t="n">
        <f aca="false">IFERROR(__xludf.dummyfunction("""COMPUTED_VALUE"""),84.6)</f>
        <v>84.6</v>
      </c>
      <c r="C683" s="2" t="n">
        <f aca="false">IFERROR(__xludf.dummyfunction("""COMPUTED_VALUE"""),85.1)</f>
        <v>85.1</v>
      </c>
      <c r="D683" s="2" t="n">
        <f aca="false">IFERROR(__xludf.dummyfunction("""COMPUTED_VALUE"""),83.85)</f>
        <v>83.85</v>
      </c>
      <c r="E683" s="2" t="n">
        <f aca="false">IFERROR(__xludf.dummyfunction("""COMPUTED_VALUE"""),84.92)</f>
        <v>84.92</v>
      </c>
      <c r="F683" s="2" t="n">
        <f aca="false">IFERROR(__xludf.dummyfunction("""COMPUTED_VALUE"""),1313196)</f>
        <v>1313196</v>
      </c>
    </row>
    <row r="684" customFormat="false" ht="15.75" hidden="false" customHeight="false" outlineLevel="0" collapsed="false">
      <c r="A684" s="3" t="n">
        <f aca="false">IFERROR(__xludf.dummyfunction("""COMPUTED_VALUE"""),45189.6666666667)</f>
        <v>45189.6666666667</v>
      </c>
      <c r="B684" s="2" t="n">
        <f aca="false">IFERROR(__xludf.dummyfunction("""COMPUTED_VALUE"""),85)</f>
        <v>85</v>
      </c>
      <c r="C684" s="2" t="n">
        <f aca="false">IFERROR(__xludf.dummyfunction("""COMPUTED_VALUE"""),85)</f>
        <v>85</v>
      </c>
      <c r="D684" s="2" t="n">
        <f aca="false">IFERROR(__xludf.dummyfunction("""COMPUTED_VALUE"""),83.04)</f>
        <v>83.04</v>
      </c>
      <c r="E684" s="2" t="n">
        <f aca="false">IFERROR(__xludf.dummyfunction("""COMPUTED_VALUE"""),83.06)</f>
        <v>83.06</v>
      </c>
      <c r="F684" s="2" t="n">
        <f aca="false">IFERROR(__xludf.dummyfunction("""COMPUTED_VALUE"""),1370171)</f>
        <v>1370171</v>
      </c>
    </row>
    <row r="685" customFormat="false" ht="15.75" hidden="false" customHeight="false" outlineLevel="0" collapsed="false">
      <c r="A685" s="3" t="n">
        <f aca="false">IFERROR(__xludf.dummyfunction("""COMPUTED_VALUE"""),45190.6666666667)</f>
        <v>45190.6666666667</v>
      </c>
      <c r="B685" s="2" t="n">
        <f aca="false">IFERROR(__xludf.dummyfunction("""COMPUTED_VALUE"""),79.51)</f>
        <v>79.51</v>
      </c>
      <c r="C685" s="2" t="n">
        <f aca="false">IFERROR(__xludf.dummyfunction("""COMPUTED_VALUE"""),82.25)</f>
        <v>82.25</v>
      </c>
      <c r="D685" s="2" t="n">
        <f aca="false">IFERROR(__xludf.dummyfunction("""COMPUTED_VALUE"""),79.51)</f>
        <v>79.51</v>
      </c>
      <c r="E685" s="2" t="n">
        <f aca="false">IFERROR(__xludf.dummyfunction("""COMPUTED_VALUE"""),80.84)</f>
        <v>80.84</v>
      </c>
      <c r="F685" s="2" t="n">
        <f aca="false">IFERROR(__xludf.dummyfunction("""COMPUTED_VALUE"""),5367165)</f>
        <v>5367165</v>
      </c>
    </row>
    <row r="686" customFormat="false" ht="15.75" hidden="false" customHeight="false" outlineLevel="0" collapsed="false">
      <c r="A686" s="3" t="n">
        <f aca="false">IFERROR(__xludf.dummyfunction("""COMPUTED_VALUE"""),45191.6666666667)</f>
        <v>45191.6666666667</v>
      </c>
      <c r="B686" s="2" t="n">
        <f aca="false">IFERROR(__xludf.dummyfunction("""COMPUTED_VALUE"""),81.12)</f>
        <v>81.12</v>
      </c>
      <c r="C686" s="2" t="n">
        <f aca="false">IFERROR(__xludf.dummyfunction("""COMPUTED_VALUE"""),83.06)</f>
        <v>83.06</v>
      </c>
      <c r="D686" s="2" t="n">
        <f aca="false">IFERROR(__xludf.dummyfunction("""COMPUTED_VALUE"""),81.04)</f>
        <v>81.04</v>
      </c>
      <c r="E686" s="2" t="n">
        <f aca="false">IFERROR(__xludf.dummyfunction("""COMPUTED_VALUE"""),82.91)</f>
        <v>82.91</v>
      </c>
      <c r="F686" s="2" t="n">
        <f aca="false">IFERROR(__xludf.dummyfunction("""COMPUTED_VALUE"""),2779501)</f>
        <v>2779501</v>
      </c>
    </row>
    <row r="687" customFormat="false" ht="15.75" hidden="false" customHeight="false" outlineLevel="0" collapsed="false">
      <c r="A687" s="3" t="n">
        <f aca="false">IFERROR(__xludf.dummyfunction("""COMPUTED_VALUE"""),45194.6666666667)</f>
        <v>45194.6666666667</v>
      </c>
      <c r="B687" s="2" t="n">
        <f aca="false">IFERROR(__xludf.dummyfunction("""COMPUTED_VALUE"""),82.8)</f>
        <v>82.8</v>
      </c>
      <c r="C687" s="2" t="n">
        <f aca="false">IFERROR(__xludf.dummyfunction("""COMPUTED_VALUE"""),83.86)</f>
        <v>83.86</v>
      </c>
      <c r="D687" s="2" t="n">
        <f aca="false">IFERROR(__xludf.dummyfunction("""COMPUTED_VALUE"""),82.3)</f>
        <v>82.3</v>
      </c>
      <c r="E687" s="2" t="n">
        <f aca="false">IFERROR(__xludf.dummyfunction("""COMPUTED_VALUE"""),83.39)</f>
        <v>83.39</v>
      </c>
      <c r="F687" s="2" t="n">
        <f aca="false">IFERROR(__xludf.dummyfunction("""COMPUTED_VALUE"""),1564758)</f>
        <v>1564758</v>
      </c>
    </row>
    <row r="688" customFormat="false" ht="15.75" hidden="false" customHeight="false" outlineLevel="0" collapsed="false">
      <c r="A688" s="3" t="n">
        <f aca="false">IFERROR(__xludf.dummyfunction("""COMPUTED_VALUE"""),45195.6666666667)</f>
        <v>45195.6666666667</v>
      </c>
      <c r="B688" s="2" t="n">
        <f aca="false">IFERROR(__xludf.dummyfunction("""COMPUTED_VALUE"""),82.92)</f>
        <v>82.92</v>
      </c>
      <c r="C688" s="2" t="n">
        <f aca="false">IFERROR(__xludf.dummyfunction("""COMPUTED_VALUE"""),83.03)</f>
        <v>83.03</v>
      </c>
      <c r="D688" s="2" t="n">
        <f aca="false">IFERROR(__xludf.dummyfunction("""COMPUTED_VALUE"""),81.12)</f>
        <v>81.12</v>
      </c>
      <c r="E688" s="2" t="n">
        <f aca="false">IFERROR(__xludf.dummyfunction("""COMPUTED_VALUE"""),81.62)</f>
        <v>81.62</v>
      </c>
      <c r="F688" s="2" t="n">
        <f aca="false">IFERROR(__xludf.dummyfunction("""COMPUTED_VALUE"""),1764138)</f>
        <v>1764138</v>
      </c>
    </row>
    <row r="689" customFormat="false" ht="15.75" hidden="false" customHeight="false" outlineLevel="0" collapsed="false">
      <c r="A689" s="3" t="n">
        <f aca="false">IFERROR(__xludf.dummyfunction("""COMPUTED_VALUE"""),45196.6666666667)</f>
        <v>45196.6666666667</v>
      </c>
      <c r="B689" s="2" t="n">
        <f aca="false">IFERROR(__xludf.dummyfunction("""COMPUTED_VALUE"""),81.93)</f>
        <v>81.93</v>
      </c>
      <c r="C689" s="2" t="n">
        <f aca="false">IFERROR(__xludf.dummyfunction("""COMPUTED_VALUE"""),82.37)</f>
        <v>82.37</v>
      </c>
      <c r="D689" s="2" t="n">
        <f aca="false">IFERROR(__xludf.dummyfunction("""COMPUTED_VALUE"""),80.44)</f>
        <v>80.44</v>
      </c>
      <c r="E689" s="2" t="n">
        <f aca="false">IFERROR(__xludf.dummyfunction("""COMPUTED_VALUE"""),81.68)</f>
        <v>81.68</v>
      </c>
      <c r="F689" s="2" t="n">
        <f aca="false">IFERROR(__xludf.dummyfunction("""COMPUTED_VALUE"""),1535268)</f>
        <v>1535268</v>
      </c>
    </row>
    <row r="690" customFormat="false" ht="15.75" hidden="false" customHeight="false" outlineLevel="0" collapsed="false">
      <c r="A690" s="3" t="n">
        <f aca="false">IFERROR(__xludf.dummyfunction("""COMPUTED_VALUE"""),45197.6666666667)</f>
        <v>45197.6666666667</v>
      </c>
      <c r="B690" s="2" t="n">
        <f aca="false">IFERROR(__xludf.dummyfunction("""COMPUTED_VALUE"""),82.02)</f>
        <v>82.02</v>
      </c>
      <c r="C690" s="2" t="n">
        <f aca="false">IFERROR(__xludf.dummyfunction("""COMPUTED_VALUE"""),83.89)</f>
        <v>83.89</v>
      </c>
      <c r="D690" s="2" t="n">
        <f aca="false">IFERROR(__xludf.dummyfunction("""COMPUTED_VALUE"""),81.47)</f>
        <v>81.47</v>
      </c>
      <c r="E690" s="2" t="n">
        <f aca="false">IFERROR(__xludf.dummyfunction("""COMPUTED_VALUE"""),83.2)</f>
        <v>83.2</v>
      </c>
      <c r="F690" s="2" t="n">
        <f aca="false">IFERROR(__xludf.dummyfunction("""COMPUTED_VALUE"""),1617994)</f>
        <v>1617994</v>
      </c>
    </row>
    <row r="691" customFormat="false" ht="15.75" hidden="false" customHeight="false" outlineLevel="0" collapsed="false">
      <c r="A691" s="3" t="n">
        <f aca="false">IFERROR(__xludf.dummyfunction("""COMPUTED_VALUE"""),45198.6666666667)</f>
        <v>45198.6666666667</v>
      </c>
      <c r="B691" s="2" t="n">
        <f aca="false">IFERROR(__xludf.dummyfunction("""COMPUTED_VALUE"""),83.65)</f>
        <v>83.65</v>
      </c>
      <c r="C691" s="2" t="n">
        <f aca="false">IFERROR(__xludf.dummyfunction("""COMPUTED_VALUE"""),84.4)</f>
        <v>84.4</v>
      </c>
      <c r="D691" s="2" t="n">
        <f aca="false">IFERROR(__xludf.dummyfunction("""COMPUTED_VALUE"""),82.29)</f>
        <v>82.29</v>
      </c>
      <c r="E691" s="2" t="n">
        <f aca="false">IFERROR(__xludf.dummyfunction("""COMPUTED_VALUE"""),83.06)</f>
        <v>83.06</v>
      </c>
      <c r="F691" s="2" t="n">
        <f aca="false">IFERROR(__xludf.dummyfunction("""COMPUTED_VALUE"""),1648104)</f>
        <v>1648104</v>
      </c>
    </row>
    <row r="692" customFormat="false" ht="15.75" hidden="false" customHeight="false" outlineLevel="0" collapsed="false">
      <c r="A692" s="3" t="n">
        <f aca="false">IFERROR(__xludf.dummyfunction("""COMPUTED_VALUE"""),45201.6666666667)</f>
        <v>45201.6666666667</v>
      </c>
      <c r="B692" s="2" t="n">
        <f aca="false">IFERROR(__xludf.dummyfunction("""COMPUTED_VALUE"""),82.91)</f>
        <v>82.91</v>
      </c>
      <c r="C692" s="2" t="n">
        <f aca="false">IFERROR(__xludf.dummyfunction("""COMPUTED_VALUE"""),83.86)</f>
        <v>83.86</v>
      </c>
      <c r="D692" s="2" t="n">
        <f aca="false">IFERROR(__xludf.dummyfunction("""COMPUTED_VALUE"""),82.35)</f>
        <v>82.35</v>
      </c>
      <c r="E692" s="2" t="n">
        <f aca="false">IFERROR(__xludf.dummyfunction("""COMPUTED_VALUE"""),83.5)</f>
        <v>83.5</v>
      </c>
      <c r="F692" s="2" t="n">
        <f aca="false">IFERROR(__xludf.dummyfunction("""COMPUTED_VALUE"""),1467578)</f>
        <v>1467578</v>
      </c>
    </row>
    <row r="693" customFormat="false" ht="15.75" hidden="false" customHeight="false" outlineLevel="0" collapsed="false">
      <c r="A693" s="3" t="n">
        <f aca="false">IFERROR(__xludf.dummyfunction("""COMPUTED_VALUE"""),45202.6666666667)</f>
        <v>45202.6666666667</v>
      </c>
      <c r="B693" s="2" t="n">
        <f aca="false">IFERROR(__xludf.dummyfunction("""COMPUTED_VALUE"""),82.7)</f>
        <v>82.7</v>
      </c>
      <c r="C693" s="2" t="n">
        <f aca="false">IFERROR(__xludf.dummyfunction("""COMPUTED_VALUE"""),83.58)</f>
        <v>83.58</v>
      </c>
      <c r="D693" s="2" t="n">
        <f aca="false">IFERROR(__xludf.dummyfunction("""COMPUTED_VALUE"""),80.89)</f>
        <v>80.89</v>
      </c>
      <c r="E693" s="2" t="n">
        <f aca="false">IFERROR(__xludf.dummyfunction("""COMPUTED_VALUE"""),81.48)</f>
        <v>81.48</v>
      </c>
      <c r="F693" s="2" t="n">
        <f aca="false">IFERROR(__xludf.dummyfunction("""COMPUTED_VALUE"""),1876086)</f>
        <v>1876086</v>
      </c>
    </row>
    <row r="694" customFormat="false" ht="15.75" hidden="false" customHeight="false" outlineLevel="0" collapsed="false">
      <c r="A694" s="3" t="n">
        <f aca="false">IFERROR(__xludf.dummyfunction("""COMPUTED_VALUE"""),45203.6666666667)</f>
        <v>45203.6666666667</v>
      </c>
      <c r="B694" s="2" t="n">
        <f aca="false">IFERROR(__xludf.dummyfunction("""COMPUTED_VALUE"""),82.03)</f>
        <v>82.03</v>
      </c>
      <c r="C694" s="2" t="n">
        <f aca="false">IFERROR(__xludf.dummyfunction("""COMPUTED_VALUE"""),83.06)</f>
        <v>83.06</v>
      </c>
      <c r="D694" s="2" t="n">
        <f aca="false">IFERROR(__xludf.dummyfunction("""COMPUTED_VALUE"""),81.63)</f>
        <v>81.63</v>
      </c>
      <c r="E694" s="2" t="n">
        <f aca="false">IFERROR(__xludf.dummyfunction("""COMPUTED_VALUE"""),82.38)</f>
        <v>82.38</v>
      </c>
      <c r="F694" s="2" t="n">
        <f aca="false">IFERROR(__xludf.dummyfunction("""COMPUTED_VALUE"""),1641706)</f>
        <v>1641706</v>
      </c>
    </row>
    <row r="695" customFormat="false" ht="15.75" hidden="false" customHeight="false" outlineLevel="0" collapsed="false">
      <c r="A695" s="3" t="n">
        <f aca="false">IFERROR(__xludf.dummyfunction("""COMPUTED_VALUE"""),45204.6666666667)</f>
        <v>45204.6666666667</v>
      </c>
      <c r="B695" s="2" t="n">
        <f aca="false">IFERROR(__xludf.dummyfunction("""COMPUTED_VALUE"""),82.01)</f>
        <v>82.01</v>
      </c>
      <c r="C695" s="2" t="n">
        <f aca="false">IFERROR(__xludf.dummyfunction("""COMPUTED_VALUE"""),82.86)</f>
        <v>82.86</v>
      </c>
      <c r="D695" s="2" t="n">
        <f aca="false">IFERROR(__xludf.dummyfunction("""COMPUTED_VALUE"""),81.55)</f>
        <v>81.55</v>
      </c>
      <c r="E695" s="2" t="n">
        <f aca="false">IFERROR(__xludf.dummyfunction("""COMPUTED_VALUE"""),82.39)</f>
        <v>82.39</v>
      </c>
      <c r="F695" s="2" t="n">
        <f aca="false">IFERROR(__xludf.dummyfunction("""COMPUTED_VALUE"""),1147424)</f>
        <v>1147424</v>
      </c>
    </row>
    <row r="696" customFormat="false" ht="15.75" hidden="false" customHeight="false" outlineLevel="0" collapsed="false">
      <c r="A696" s="3" t="n">
        <f aca="false">IFERROR(__xludf.dummyfunction("""COMPUTED_VALUE"""),45205.6666666667)</f>
        <v>45205.6666666667</v>
      </c>
      <c r="B696" s="2" t="n">
        <f aca="false">IFERROR(__xludf.dummyfunction("""COMPUTED_VALUE"""),81.94)</f>
        <v>81.94</v>
      </c>
      <c r="C696" s="2" t="n">
        <f aca="false">IFERROR(__xludf.dummyfunction("""COMPUTED_VALUE"""),84.84)</f>
        <v>84.84</v>
      </c>
      <c r="D696" s="2" t="n">
        <f aca="false">IFERROR(__xludf.dummyfunction("""COMPUTED_VALUE"""),81.17)</f>
        <v>81.17</v>
      </c>
      <c r="E696" s="2" t="n">
        <f aca="false">IFERROR(__xludf.dummyfunction("""COMPUTED_VALUE"""),84.53)</f>
        <v>84.53</v>
      </c>
      <c r="F696" s="2" t="n">
        <f aca="false">IFERROR(__xludf.dummyfunction("""COMPUTED_VALUE"""),2110319)</f>
        <v>2110319</v>
      </c>
    </row>
    <row r="697" customFormat="false" ht="15.75" hidden="false" customHeight="false" outlineLevel="0" collapsed="false">
      <c r="A697" s="3" t="n">
        <f aca="false">IFERROR(__xludf.dummyfunction("""COMPUTED_VALUE"""),45208.6666666667)</f>
        <v>45208.6666666667</v>
      </c>
      <c r="B697" s="2" t="n">
        <f aca="false">IFERROR(__xludf.dummyfunction("""COMPUTED_VALUE"""),84.05)</f>
        <v>84.05</v>
      </c>
      <c r="C697" s="2" t="n">
        <f aca="false">IFERROR(__xludf.dummyfunction("""COMPUTED_VALUE"""),85.66)</f>
        <v>85.66</v>
      </c>
      <c r="D697" s="2" t="n">
        <f aca="false">IFERROR(__xludf.dummyfunction("""COMPUTED_VALUE"""),83.78)</f>
        <v>83.78</v>
      </c>
      <c r="E697" s="2" t="n">
        <f aca="false">IFERROR(__xludf.dummyfunction("""COMPUTED_VALUE"""),85.59)</f>
        <v>85.59</v>
      </c>
      <c r="F697" s="2" t="n">
        <f aca="false">IFERROR(__xludf.dummyfunction("""COMPUTED_VALUE"""),1575985)</f>
        <v>1575985</v>
      </c>
    </row>
    <row r="698" customFormat="false" ht="15.75" hidden="false" customHeight="false" outlineLevel="0" collapsed="false">
      <c r="A698" s="3" t="n">
        <f aca="false">IFERROR(__xludf.dummyfunction("""COMPUTED_VALUE"""),45209.6666666667)</f>
        <v>45209.6666666667</v>
      </c>
      <c r="B698" s="2" t="n">
        <f aca="false">IFERROR(__xludf.dummyfunction("""COMPUTED_VALUE"""),85.72)</f>
        <v>85.72</v>
      </c>
      <c r="C698" s="2" t="n">
        <f aca="false">IFERROR(__xludf.dummyfunction("""COMPUTED_VALUE"""),87.25)</f>
        <v>87.25</v>
      </c>
      <c r="D698" s="2" t="n">
        <f aca="false">IFERROR(__xludf.dummyfunction("""COMPUTED_VALUE"""),85.57)</f>
        <v>85.57</v>
      </c>
      <c r="E698" s="2" t="n">
        <f aca="false">IFERROR(__xludf.dummyfunction("""COMPUTED_VALUE"""),85.84)</f>
        <v>85.84</v>
      </c>
      <c r="F698" s="2" t="n">
        <f aca="false">IFERROR(__xludf.dummyfunction("""COMPUTED_VALUE"""),1471807)</f>
        <v>1471807</v>
      </c>
    </row>
    <row r="699" customFormat="false" ht="15.75" hidden="false" customHeight="false" outlineLevel="0" collapsed="false">
      <c r="A699" s="3" t="n">
        <f aca="false">IFERROR(__xludf.dummyfunction("""COMPUTED_VALUE"""),45210.6666666667)</f>
        <v>45210.6666666667</v>
      </c>
      <c r="B699" s="2" t="n">
        <f aca="false">IFERROR(__xludf.dummyfunction("""COMPUTED_VALUE"""),85.97)</f>
        <v>85.97</v>
      </c>
      <c r="C699" s="2" t="n">
        <f aca="false">IFERROR(__xludf.dummyfunction("""COMPUTED_VALUE"""),87.53)</f>
        <v>87.53</v>
      </c>
      <c r="D699" s="2" t="n">
        <f aca="false">IFERROR(__xludf.dummyfunction("""COMPUTED_VALUE"""),85.66)</f>
        <v>85.66</v>
      </c>
      <c r="E699" s="2" t="n">
        <f aca="false">IFERROR(__xludf.dummyfunction("""COMPUTED_VALUE"""),87.46)</f>
        <v>87.46</v>
      </c>
      <c r="F699" s="2" t="n">
        <f aca="false">IFERROR(__xludf.dummyfunction("""COMPUTED_VALUE"""),1433412)</f>
        <v>1433412</v>
      </c>
    </row>
    <row r="700" customFormat="false" ht="15.75" hidden="false" customHeight="false" outlineLevel="0" collapsed="false">
      <c r="A700" s="3" t="n">
        <f aca="false">IFERROR(__xludf.dummyfunction("""COMPUTED_VALUE"""),45211.6666666667)</f>
        <v>45211.6666666667</v>
      </c>
      <c r="B700" s="2" t="n">
        <f aca="false">IFERROR(__xludf.dummyfunction("""COMPUTED_VALUE"""),87.64)</f>
        <v>87.64</v>
      </c>
      <c r="C700" s="2" t="n">
        <f aca="false">IFERROR(__xludf.dummyfunction("""COMPUTED_VALUE"""),91.79)</f>
        <v>91.79</v>
      </c>
      <c r="D700" s="2" t="n">
        <f aca="false">IFERROR(__xludf.dummyfunction("""COMPUTED_VALUE"""),87.64)</f>
        <v>87.64</v>
      </c>
      <c r="E700" s="2" t="n">
        <f aca="false">IFERROR(__xludf.dummyfunction("""COMPUTED_VALUE"""),90.56)</f>
        <v>90.56</v>
      </c>
      <c r="F700" s="2" t="n">
        <f aca="false">IFERROR(__xludf.dummyfunction("""COMPUTED_VALUE"""),4387055)</f>
        <v>4387055</v>
      </c>
    </row>
    <row r="701" customFormat="false" ht="15.75" hidden="false" customHeight="false" outlineLevel="0" collapsed="false">
      <c r="A701" s="3" t="n">
        <f aca="false">IFERROR(__xludf.dummyfunction("""COMPUTED_VALUE"""),45212.6666666667)</f>
        <v>45212.6666666667</v>
      </c>
      <c r="B701" s="2" t="n">
        <f aca="false">IFERROR(__xludf.dummyfunction("""COMPUTED_VALUE"""),90.9)</f>
        <v>90.9</v>
      </c>
      <c r="C701" s="2" t="n">
        <f aca="false">IFERROR(__xludf.dummyfunction("""COMPUTED_VALUE"""),92.59)</f>
        <v>92.59</v>
      </c>
      <c r="D701" s="2" t="n">
        <f aca="false">IFERROR(__xludf.dummyfunction("""COMPUTED_VALUE"""),88.21)</f>
        <v>88.21</v>
      </c>
      <c r="E701" s="2" t="n">
        <f aca="false">IFERROR(__xludf.dummyfunction("""COMPUTED_VALUE"""),88.32)</f>
        <v>88.32</v>
      </c>
      <c r="F701" s="2" t="n">
        <f aca="false">IFERROR(__xludf.dummyfunction("""COMPUTED_VALUE"""),2833352)</f>
        <v>2833352</v>
      </c>
    </row>
    <row r="702" customFormat="false" ht="15.75" hidden="false" customHeight="false" outlineLevel="0" collapsed="false">
      <c r="A702" s="3" t="n">
        <f aca="false">IFERROR(__xludf.dummyfunction("""COMPUTED_VALUE"""),45215.6666666667)</f>
        <v>45215.6666666667</v>
      </c>
      <c r="B702" s="2" t="n">
        <f aca="false">IFERROR(__xludf.dummyfunction("""COMPUTED_VALUE"""),89.1)</f>
        <v>89.1</v>
      </c>
      <c r="C702" s="2" t="n">
        <f aca="false">IFERROR(__xludf.dummyfunction("""COMPUTED_VALUE"""),91.58)</f>
        <v>91.58</v>
      </c>
      <c r="D702" s="2" t="n">
        <f aca="false">IFERROR(__xludf.dummyfunction("""COMPUTED_VALUE"""),89.1)</f>
        <v>89.1</v>
      </c>
      <c r="E702" s="2" t="n">
        <f aca="false">IFERROR(__xludf.dummyfunction("""COMPUTED_VALUE"""),90.26)</f>
        <v>90.26</v>
      </c>
      <c r="F702" s="2" t="n">
        <f aca="false">IFERROR(__xludf.dummyfunction("""COMPUTED_VALUE"""),2115048)</f>
        <v>2115048</v>
      </c>
    </row>
    <row r="703" customFormat="false" ht="15.75" hidden="false" customHeight="false" outlineLevel="0" collapsed="false">
      <c r="A703" s="3" t="n">
        <f aca="false">IFERROR(__xludf.dummyfunction("""COMPUTED_VALUE"""),45216.6666666667)</f>
        <v>45216.6666666667</v>
      </c>
      <c r="B703" s="2" t="n">
        <f aca="false">IFERROR(__xludf.dummyfunction("""COMPUTED_VALUE"""),88.52)</f>
        <v>88.52</v>
      </c>
      <c r="C703" s="2" t="n">
        <f aca="false">IFERROR(__xludf.dummyfunction("""COMPUTED_VALUE"""),89.3)</f>
        <v>89.3</v>
      </c>
      <c r="D703" s="2" t="n">
        <f aca="false">IFERROR(__xludf.dummyfunction("""COMPUTED_VALUE"""),86.6)</f>
        <v>86.6</v>
      </c>
      <c r="E703" s="2" t="n">
        <f aca="false">IFERROR(__xludf.dummyfunction("""COMPUTED_VALUE"""),88.44)</f>
        <v>88.44</v>
      </c>
      <c r="F703" s="2" t="n">
        <f aca="false">IFERROR(__xludf.dummyfunction("""COMPUTED_VALUE"""),3300834)</f>
        <v>3300834</v>
      </c>
    </row>
    <row r="704" customFormat="false" ht="15.75" hidden="false" customHeight="false" outlineLevel="0" collapsed="false">
      <c r="A704" s="3" t="n">
        <f aca="false">IFERROR(__xludf.dummyfunction("""COMPUTED_VALUE"""),45217.6666666667)</f>
        <v>45217.6666666667</v>
      </c>
      <c r="B704" s="2" t="n">
        <f aca="false">IFERROR(__xludf.dummyfunction("""COMPUTED_VALUE"""),87.99)</f>
        <v>87.99</v>
      </c>
      <c r="C704" s="2" t="n">
        <f aca="false">IFERROR(__xludf.dummyfunction("""COMPUTED_VALUE"""),89.56)</f>
        <v>89.56</v>
      </c>
      <c r="D704" s="2" t="n">
        <f aca="false">IFERROR(__xludf.dummyfunction("""COMPUTED_VALUE"""),87.52)</f>
        <v>87.52</v>
      </c>
      <c r="E704" s="2" t="n">
        <f aca="false">IFERROR(__xludf.dummyfunction("""COMPUTED_VALUE"""),88.7)</f>
        <v>88.7</v>
      </c>
      <c r="F704" s="2" t="n">
        <f aca="false">IFERROR(__xludf.dummyfunction("""COMPUTED_VALUE"""),2040434)</f>
        <v>2040434</v>
      </c>
    </row>
    <row r="705" customFormat="false" ht="15.75" hidden="false" customHeight="false" outlineLevel="0" collapsed="false">
      <c r="A705" s="3" t="n">
        <f aca="false">IFERROR(__xludf.dummyfunction("""COMPUTED_VALUE"""),45218.6666666667)</f>
        <v>45218.6666666667</v>
      </c>
      <c r="B705" s="2" t="n">
        <f aca="false">IFERROR(__xludf.dummyfunction("""COMPUTED_VALUE"""),88.7)</f>
        <v>88.7</v>
      </c>
      <c r="C705" s="2" t="n">
        <f aca="false">IFERROR(__xludf.dummyfunction("""COMPUTED_VALUE"""),88.95)</f>
        <v>88.95</v>
      </c>
      <c r="D705" s="2" t="n">
        <f aca="false">IFERROR(__xludf.dummyfunction("""COMPUTED_VALUE"""),86.57)</f>
        <v>86.57</v>
      </c>
      <c r="E705" s="2" t="n">
        <f aca="false">IFERROR(__xludf.dummyfunction("""COMPUTED_VALUE"""),86.78)</f>
        <v>86.78</v>
      </c>
      <c r="F705" s="2" t="n">
        <f aca="false">IFERROR(__xludf.dummyfunction("""COMPUTED_VALUE"""),2661970)</f>
        <v>2661970</v>
      </c>
    </row>
    <row r="706" customFormat="false" ht="15.75" hidden="false" customHeight="false" outlineLevel="0" collapsed="false">
      <c r="A706" s="3" t="n">
        <f aca="false">IFERROR(__xludf.dummyfunction("""COMPUTED_VALUE"""),45219.6666666667)</f>
        <v>45219.6666666667</v>
      </c>
      <c r="B706" s="2" t="n">
        <f aca="false">IFERROR(__xludf.dummyfunction("""COMPUTED_VALUE"""),87.49)</f>
        <v>87.49</v>
      </c>
      <c r="C706" s="2" t="n">
        <f aca="false">IFERROR(__xludf.dummyfunction("""COMPUTED_VALUE"""),87.49)</f>
        <v>87.49</v>
      </c>
      <c r="D706" s="2" t="n">
        <f aca="false">IFERROR(__xludf.dummyfunction("""COMPUTED_VALUE"""),85.18)</f>
        <v>85.18</v>
      </c>
      <c r="E706" s="2" t="n">
        <f aca="false">IFERROR(__xludf.dummyfunction("""COMPUTED_VALUE"""),85.36)</f>
        <v>85.36</v>
      </c>
      <c r="F706" s="2" t="n">
        <f aca="false">IFERROR(__xludf.dummyfunction("""COMPUTED_VALUE"""),2695307)</f>
        <v>2695307</v>
      </c>
    </row>
    <row r="707" customFormat="false" ht="15.75" hidden="false" customHeight="false" outlineLevel="0" collapsed="false">
      <c r="A707" s="3" t="n">
        <f aca="false">IFERROR(__xludf.dummyfunction("""COMPUTED_VALUE"""),45222.6666666667)</f>
        <v>45222.6666666667</v>
      </c>
      <c r="B707" s="2" t="n">
        <f aca="false">IFERROR(__xludf.dummyfunction("""COMPUTED_VALUE"""),85.8)</f>
        <v>85.8</v>
      </c>
      <c r="C707" s="2" t="n">
        <f aca="false">IFERROR(__xludf.dummyfunction("""COMPUTED_VALUE"""),87.36)</f>
        <v>87.36</v>
      </c>
      <c r="D707" s="2" t="n">
        <f aca="false">IFERROR(__xludf.dummyfunction("""COMPUTED_VALUE"""),84.28)</f>
        <v>84.28</v>
      </c>
      <c r="E707" s="2" t="n">
        <f aca="false">IFERROR(__xludf.dummyfunction("""COMPUTED_VALUE"""),86.22)</f>
        <v>86.22</v>
      </c>
      <c r="F707" s="2" t="n">
        <f aca="false">IFERROR(__xludf.dummyfunction("""COMPUTED_VALUE"""),1645579)</f>
        <v>1645579</v>
      </c>
    </row>
    <row r="708" customFormat="false" ht="15.75" hidden="false" customHeight="false" outlineLevel="0" collapsed="false">
      <c r="A708" s="3" t="n">
        <f aca="false">IFERROR(__xludf.dummyfunction("""COMPUTED_VALUE"""),45223.6666666667)</f>
        <v>45223.6666666667</v>
      </c>
      <c r="B708" s="2" t="n">
        <f aca="false">IFERROR(__xludf.dummyfunction("""COMPUTED_VALUE"""),86.4)</f>
        <v>86.4</v>
      </c>
      <c r="C708" s="2" t="n">
        <f aca="false">IFERROR(__xludf.dummyfunction("""COMPUTED_VALUE"""),88.3)</f>
        <v>88.3</v>
      </c>
      <c r="D708" s="2" t="n">
        <f aca="false">IFERROR(__xludf.dummyfunction("""COMPUTED_VALUE"""),86.31)</f>
        <v>86.31</v>
      </c>
      <c r="E708" s="2" t="n">
        <f aca="false">IFERROR(__xludf.dummyfunction("""COMPUTED_VALUE"""),88.11)</f>
        <v>88.11</v>
      </c>
      <c r="F708" s="2" t="n">
        <f aca="false">IFERROR(__xludf.dummyfunction("""COMPUTED_VALUE"""),1497244)</f>
        <v>1497244</v>
      </c>
    </row>
    <row r="709" customFormat="false" ht="15.75" hidden="false" customHeight="false" outlineLevel="0" collapsed="false">
      <c r="A709" s="3" t="n">
        <f aca="false">IFERROR(__xludf.dummyfunction("""COMPUTED_VALUE"""),45224.6666666667)</f>
        <v>45224.6666666667</v>
      </c>
      <c r="B709" s="2" t="n">
        <f aca="false">IFERROR(__xludf.dummyfunction("""COMPUTED_VALUE"""),87.71)</f>
        <v>87.71</v>
      </c>
      <c r="C709" s="2" t="n">
        <f aca="false">IFERROR(__xludf.dummyfunction("""COMPUTED_VALUE"""),87.87)</f>
        <v>87.87</v>
      </c>
      <c r="D709" s="2" t="n">
        <f aca="false">IFERROR(__xludf.dummyfunction("""COMPUTED_VALUE"""),84.61)</f>
        <v>84.61</v>
      </c>
      <c r="E709" s="2" t="n">
        <f aca="false">IFERROR(__xludf.dummyfunction("""COMPUTED_VALUE"""),84.96)</f>
        <v>84.96</v>
      </c>
      <c r="F709" s="2" t="n">
        <f aca="false">IFERROR(__xludf.dummyfunction("""COMPUTED_VALUE"""),2143160)</f>
        <v>2143160</v>
      </c>
    </row>
    <row r="710" customFormat="false" ht="15.75" hidden="false" customHeight="false" outlineLevel="0" collapsed="false">
      <c r="A710" s="3" t="n">
        <f aca="false">IFERROR(__xludf.dummyfunction("""COMPUTED_VALUE"""),45225.6666666667)</f>
        <v>45225.6666666667</v>
      </c>
      <c r="B710" s="2" t="n">
        <f aca="false">IFERROR(__xludf.dummyfunction("""COMPUTED_VALUE"""),84.79)</f>
        <v>84.79</v>
      </c>
      <c r="C710" s="2" t="n">
        <f aca="false">IFERROR(__xludf.dummyfunction("""COMPUTED_VALUE"""),85.44)</f>
        <v>85.44</v>
      </c>
      <c r="D710" s="2" t="n">
        <f aca="false">IFERROR(__xludf.dummyfunction("""COMPUTED_VALUE"""),81.83)</f>
        <v>81.83</v>
      </c>
      <c r="E710" s="2" t="n">
        <f aca="false">IFERROR(__xludf.dummyfunction("""COMPUTED_VALUE"""),82.68)</f>
        <v>82.68</v>
      </c>
      <c r="F710" s="2" t="n">
        <f aca="false">IFERROR(__xludf.dummyfunction("""COMPUTED_VALUE"""),2791656)</f>
        <v>2791656</v>
      </c>
    </row>
    <row r="711" customFormat="false" ht="15.75" hidden="false" customHeight="false" outlineLevel="0" collapsed="false">
      <c r="A711" s="3" t="n">
        <f aca="false">IFERROR(__xludf.dummyfunction("""COMPUTED_VALUE"""),45226.6666666667)</f>
        <v>45226.6666666667</v>
      </c>
      <c r="B711" s="2" t="n">
        <f aca="false">IFERROR(__xludf.dummyfunction("""COMPUTED_VALUE"""),83)</f>
        <v>83</v>
      </c>
      <c r="C711" s="2" t="n">
        <f aca="false">IFERROR(__xludf.dummyfunction("""COMPUTED_VALUE"""),84.02)</f>
        <v>84.02</v>
      </c>
      <c r="D711" s="2" t="n">
        <f aca="false">IFERROR(__xludf.dummyfunction("""COMPUTED_VALUE"""),82.85)</f>
        <v>82.85</v>
      </c>
      <c r="E711" s="2" t="n">
        <f aca="false">IFERROR(__xludf.dummyfunction("""COMPUTED_VALUE"""),83.84)</f>
        <v>83.84</v>
      </c>
      <c r="F711" s="2" t="n">
        <f aca="false">IFERROR(__xludf.dummyfunction("""COMPUTED_VALUE"""),1823628)</f>
        <v>1823628</v>
      </c>
    </row>
    <row r="712" customFormat="false" ht="15.75" hidden="false" customHeight="false" outlineLevel="0" collapsed="false">
      <c r="A712" s="3" t="n">
        <f aca="false">IFERROR(__xludf.dummyfunction("""COMPUTED_VALUE"""),45229.6666666667)</f>
        <v>45229.6666666667</v>
      </c>
      <c r="B712" s="2" t="n">
        <f aca="false">IFERROR(__xludf.dummyfunction("""COMPUTED_VALUE"""),84.11)</f>
        <v>84.11</v>
      </c>
      <c r="C712" s="2" t="n">
        <f aca="false">IFERROR(__xludf.dummyfunction("""COMPUTED_VALUE"""),84.94)</f>
        <v>84.94</v>
      </c>
      <c r="D712" s="2" t="n">
        <f aca="false">IFERROR(__xludf.dummyfunction("""COMPUTED_VALUE"""),82.72)</f>
        <v>82.72</v>
      </c>
      <c r="E712" s="2" t="n">
        <f aca="false">IFERROR(__xludf.dummyfunction("""COMPUTED_VALUE"""),84.13)</f>
        <v>84.13</v>
      </c>
      <c r="F712" s="2" t="n">
        <f aca="false">IFERROR(__xludf.dummyfunction("""COMPUTED_VALUE"""),2088946)</f>
        <v>2088946</v>
      </c>
    </row>
    <row r="713" customFormat="false" ht="15.75" hidden="false" customHeight="false" outlineLevel="0" collapsed="false">
      <c r="A713" s="3" t="n">
        <f aca="false">IFERROR(__xludf.dummyfunction("""COMPUTED_VALUE"""),45230.6666666667)</f>
        <v>45230.6666666667</v>
      </c>
      <c r="B713" s="2" t="n">
        <f aca="false">IFERROR(__xludf.dummyfunction("""COMPUTED_VALUE"""),84.39)</f>
        <v>84.39</v>
      </c>
      <c r="C713" s="2" t="n">
        <f aca="false">IFERROR(__xludf.dummyfunction("""COMPUTED_VALUE"""),84.55)</f>
        <v>84.55</v>
      </c>
      <c r="D713" s="2" t="n">
        <f aca="false">IFERROR(__xludf.dummyfunction("""COMPUTED_VALUE"""),83.26)</f>
        <v>83.26</v>
      </c>
      <c r="E713" s="2" t="n">
        <f aca="false">IFERROR(__xludf.dummyfunction("""COMPUTED_VALUE"""),84.14)</f>
        <v>84.14</v>
      </c>
      <c r="F713" s="2" t="n">
        <f aca="false">IFERROR(__xludf.dummyfunction("""COMPUTED_VALUE"""),1474720)</f>
        <v>1474720</v>
      </c>
    </row>
    <row r="714" customFormat="false" ht="15.75" hidden="false" customHeight="false" outlineLevel="0" collapsed="false">
      <c r="A714" s="3" t="n">
        <f aca="false">IFERROR(__xludf.dummyfunction("""COMPUTED_VALUE"""),45231.6666666667)</f>
        <v>45231.6666666667</v>
      </c>
      <c r="B714" s="2" t="n">
        <f aca="false">IFERROR(__xludf.dummyfunction("""COMPUTED_VALUE"""),84.2)</f>
        <v>84.2</v>
      </c>
      <c r="C714" s="2" t="n">
        <f aca="false">IFERROR(__xludf.dummyfunction("""COMPUTED_VALUE"""),85.38)</f>
        <v>85.38</v>
      </c>
      <c r="D714" s="2" t="n">
        <f aca="false">IFERROR(__xludf.dummyfunction("""COMPUTED_VALUE"""),83.56)</f>
        <v>83.56</v>
      </c>
      <c r="E714" s="2" t="n">
        <f aca="false">IFERROR(__xludf.dummyfunction("""COMPUTED_VALUE"""),85.29)</f>
        <v>85.29</v>
      </c>
      <c r="F714" s="2" t="n">
        <f aca="false">IFERROR(__xludf.dummyfunction("""COMPUTED_VALUE"""),1868391)</f>
        <v>1868391</v>
      </c>
    </row>
    <row r="715" customFormat="false" ht="15.75" hidden="false" customHeight="false" outlineLevel="0" collapsed="false">
      <c r="A715" s="3" t="n">
        <f aca="false">IFERROR(__xludf.dummyfunction("""COMPUTED_VALUE"""),45232.6666666667)</f>
        <v>45232.6666666667</v>
      </c>
      <c r="B715" s="2" t="n">
        <f aca="false">IFERROR(__xludf.dummyfunction("""COMPUTED_VALUE"""),86.2)</f>
        <v>86.2</v>
      </c>
      <c r="C715" s="2" t="n">
        <f aca="false">IFERROR(__xludf.dummyfunction("""COMPUTED_VALUE"""),88.05)</f>
        <v>88.05</v>
      </c>
      <c r="D715" s="2" t="n">
        <f aca="false">IFERROR(__xludf.dummyfunction("""COMPUTED_VALUE"""),86)</f>
        <v>86</v>
      </c>
      <c r="E715" s="2" t="n">
        <f aca="false">IFERROR(__xludf.dummyfunction("""COMPUTED_VALUE"""),87.13)</f>
        <v>87.13</v>
      </c>
      <c r="F715" s="2" t="n">
        <f aca="false">IFERROR(__xludf.dummyfunction("""COMPUTED_VALUE"""),1875945)</f>
        <v>1875945</v>
      </c>
    </row>
    <row r="716" customFormat="false" ht="15.75" hidden="false" customHeight="false" outlineLevel="0" collapsed="false">
      <c r="A716" s="3" t="n">
        <f aca="false">IFERROR(__xludf.dummyfunction("""COMPUTED_VALUE"""),45233.6666666667)</f>
        <v>45233.6666666667</v>
      </c>
      <c r="B716" s="2" t="n">
        <f aca="false">IFERROR(__xludf.dummyfunction("""COMPUTED_VALUE"""),87.75)</f>
        <v>87.75</v>
      </c>
      <c r="C716" s="2" t="n">
        <f aca="false">IFERROR(__xludf.dummyfunction("""COMPUTED_VALUE"""),88.75)</f>
        <v>88.75</v>
      </c>
      <c r="D716" s="2" t="n">
        <f aca="false">IFERROR(__xludf.dummyfunction("""COMPUTED_VALUE"""),87.11)</f>
        <v>87.11</v>
      </c>
      <c r="E716" s="2" t="n">
        <f aca="false">IFERROR(__xludf.dummyfunction("""COMPUTED_VALUE"""),88.27)</f>
        <v>88.27</v>
      </c>
      <c r="F716" s="2" t="n">
        <f aca="false">IFERROR(__xludf.dummyfunction("""COMPUTED_VALUE"""),1804129)</f>
        <v>1804129</v>
      </c>
    </row>
    <row r="717" customFormat="false" ht="15.75" hidden="false" customHeight="false" outlineLevel="0" collapsed="false">
      <c r="A717" s="3" t="n">
        <f aca="false">IFERROR(__xludf.dummyfunction("""COMPUTED_VALUE"""),45236.6666666667)</f>
        <v>45236.6666666667</v>
      </c>
      <c r="B717" s="2" t="n">
        <f aca="false">IFERROR(__xludf.dummyfunction("""COMPUTED_VALUE"""),88.16)</f>
        <v>88.16</v>
      </c>
      <c r="C717" s="2" t="n">
        <f aca="false">IFERROR(__xludf.dummyfunction("""COMPUTED_VALUE"""),88.59)</f>
        <v>88.59</v>
      </c>
      <c r="D717" s="2" t="n">
        <f aca="false">IFERROR(__xludf.dummyfunction("""COMPUTED_VALUE"""),87.12)</f>
        <v>87.12</v>
      </c>
      <c r="E717" s="2" t="n">
        <f aca="false">IFERROR(__xludf.dummyfunction("""COMPUTED_VALUE"""),88.08)</f>
        <v>88.08</v>
      </c>
      <c r="F717" s="2" t="n">
        <f aca="false">IFERROR(__xludf.dummyfunction("""COMPUTED_VALUE"""),1287148)</f>
        <v>1287148</v>
      </c>
    </row>
    <row r="718" customFormat="false" ht="15.75" hidden="false" customHeight="false" outlineLevel="0" collapsed="false">
      <c r="A718" s="3" t="n">
        <f aca="false">IFERROR(__xludf.dummyfunction("""COMPUTED_VALUE"""),45237.6666666667)</f>
        <v>45237.6666666667</v>
      </c>
      <c r="B718" s="2" t="n">
        <f aca="false">IFERROR(__xludf.dummyfunction("""COMPUTED_VALUE"""),88.23)</f>
        <v>88.23</v>
      </c>
      <c r="C718" s="2" t="n">
        <f aca="false">IFERROR(__xludf.dummyfunction("""COMPUTED_VALUE"""),90.18)</f>
        <v>90.18</v>
      </c>
      <c r="D718" s="2" t="n">
        <f aca="false">IFERROR(__xludf.dummyfunction("""COMPUTED_VALUE"""),87.62)</f>
        <v>87.62</v>
      </c>
      <c r="E718" s="2" t="n">
        <f aca="false">IFERROR(__xludf.dummyfunction("""COMPUTED_VALUE"""),89.78)</f>
        <v>89.78</v>
      </c>
      <c r="F718" s="2" t="n">
        <f aca="false">IFERROR(__xludf.dummyfunction("""COMPUTED_VALUE"""),1936665)</f>
        <v>1936665</v>
      </c>
    </row>
    <row r="719" customFormat="false" ht="15.75" hidden="false" customHeight="false" outlineLevel="0" collapsed="false">
      <c r="A719" s="3" t="n">
        <f aca="false">IFERROR(__xludf.dummyfunction("""COMPUTED_VALUE"""),45238.6666666667)</f>
        <v>45238.6666666667</v>
      </c>
      <c r="B719" s="2" t="n">
        <f aca="false">IFERROR(__xludf.dummyfunction("""COMPUTED_VALUE"""),90)</f>
        <v>90</v>
      </c>
      <c r="C719" s="2" t="n">
        <f aca="false">IFERROR(__xludf.dummyfunction("""COMPUTED_VALUE"""),91.29)</f>
        <v>91.29</v>
      </c>
      <c r="D719" s="2" t="n">
        <f aca="false">IFERROR(__xludf.dummyfunction("""COMPUTED_VALUE"""),89.9)</f>
        <v>89.9</v>
      </c>
      <c r="E719" s="2" t="n">
        <f aca="false">IFERROR(__xludf.dummyfunction("""COMPUTED_VALUE"""),91.11)</f>
        <v>91.11</v>
      </c>
      <c r="F719" s="2" t="n">
        <f aca="false">IFERROR(__xludf.dummyfunction("""COMPUTED_VALUE"""),1527994)</f>
        <v>1527994</v>
      </c>
    </row>
    <row r="720" customFormat="false" ht="15.75" hidden="false" customHeight="false" outlineLevel="0" collapsed="false">
      <c r="A720" s="3" t="n">
        <f aca="false">IFERROR(__xludf.dummyfunction("""COMPUTED_VALUE"""),45239.6666666667)</f>
        <v>45239.6666666667</v>
      </c>
      <c r="B720" s="2" t="n">
        <f aca="false">IFERROR(__xludf.dummyfunction("""COMPUTED_VALUE"""),91.25)</f>
        <v>91.25</v>
      </c>
      <c r="C720" s="2" t="n">
        <f aca="false">IFERROR(__xludf.dummyfunction("""COMPUTED_VALUE"""),92.98)</f>
        <v>92.98</v>
      </c>
      <c r="D720" s="2" t="n">
        <f aca="false">IFERROR(__xludf.dummyfunction("""COMPUTED_VALUE"""),90.86)</f>
        <v>90.86</v>
      </c>
      <c r="E720" s="2" t="n">
        <f aca="false">IFERROR(__xludf.dummyfunction("""COMPUTED_VALUE"""),91.14)</f>
        <v>91.14</v>
      </c>
      <c r="F720" s="2" t="n">
        <f aca="false">IFERROR(__xludf.dummyfunction("""COMPUTED_VALUE"""),2448621)</f>
        <v>2448621</v>
      </c>
    </row>
    <row r="721" customFormat="false" ht="15.75" hidden="false" customHeight="false" outlineLevel="0" collapsed="false">
      <c r="A721" s="3" t="n">
        <f aca="false">IFERROR(__xludf.dummyfunction("""COMPUTED_VALUE"""),45240.6666666667)</f>
        <v>45240.6666666667</v>
      </c>
      <c r="B721" s="2" t="n">
        <f aca="false">IFERROR(__xludf.dummyfunction("""COMPUTED_VALUE"""),92.17)</f>
        <v>92.17</v>
      </c>
      <c r="C721" s="2" t="n">
        <f aca="false">IFERROR(__xludf.dummyfunction("""COMPUTED_VALUE"""),95.9)</f>
        <v>95.9</v>
      </c>
      <c r="D721" s="2" t="n">
        <f aca="false">IFERROR(__xludf.dummyfunction("""COMPUTED_VALUE"""),91.82)</f>
        <v>91.82</v>
      </c>
      <c r="E721" s="2" t="n">
        <f aca="false">IFERROR(__xludf.dummyfunction("""COMPUTED_VALUE"""),95.75)</f>
        <v>95.75</v>
      </c>
      <c r="F721" s="2" t="n">
        <f aca="false">IFERROR(__xludf.dummyfunction("""COMPUTED_VALUE"""),3628792)</f>
        <v>3628792</v>
      </c>
    </row>
    <row r="722" customFormat="false" ht="15.75" hidden="false" customHeight="false" outlineLevel="0" collapsed="false">
      <c r="A722" s="3" t="n">
        <f aca="false">IFERROR(__xludf.dummyfunction("""COMPUTED_VALUE"""),45243.6666666667)</f>
        <v>45243.6666666667</v>
      </c>
      <c r="B722" s="2" t="n">
        <f aca="false">IFERROR(__xludf.dummyfunction("""COMPUTED_VALUE"""),95.01)</f>
        <v>95.01</v>
      </c>
      <c r="C722" s="2" t="n">
        <f aca="false">IFERROR(__xludf.dummyfunction("""COMPUTED_VALUE"""),95.24)</f>
        <v>95.24</v>
      </c>
      <c r="D722" s="2" t="n">
        <f aca="false">IFERROR(__xludf.dummyfunction("""COMPUTED_VALUE"""),94.05)</f>
        <v>94.05</v>
      </c>
      <c r="E722" s="2" t="n">
        <f aca="false">IFERROR(__xludf.dummyfunction("""COMPUTED_VALUE"""),94.69)</f>
        <v>94.69</v>
      </c>
      <c r="F722" s="2" t="n">
        <f aca="false">IFERROR(__xludf.dummyfunction("""COMPUTED_VALUE"""),1689297)</f>
        <v>1689297</v>
      </c>
    </row>
    <row r="723" customFormat="false" ht="15.75" hidden="false" customHeight="false" outlineLevel="0" collapsed="false">
      <c r="A723" s="3" t="n">
        <f aca="false">IFERROR(__xludf.dummyfunction("""COMPUTED_VALUE"""),45244.6666666667)</f>
        <v>45244.6666666667</v>
      </c>
      <c r="B723" s="2" t="n">
        <f aca="false">IFERROR(__xludf.dummyfunction("""COMPUTED_VALUE"""),96.23)</f>
        <v>96.23</v>
      </c>
      <c r="C723" s="2" t="n">
        <f aca="false">IFERROR(__xludf.dummyfunction("""COMPUTED_VALUE"""),97.68)</f>
        <v>97.68</v>
      </c>
      <c r="D723" s="2" t="n">
        <f aca="false">IFERROR(__xludf.dummyfunction("""COMPUTED_VALUE"""),95.53)</f>
        <v>95.53</v>
      </c>
      <c r="E723" s="2" t="n">
        <f aca="false">IFERROR(__xludf.dummyfunction("""COMPUTED_VALUE"""),97.3)</f>
        <v>97.3</v>
      </c>
      <c r="F723" s="2" t="n">
        <f aca="false">IFERROR(__xludf.dummyfunction("""COMPUTED_VALUE"""),2388558)</f>
        <v>2388558</v>
      </c>
    </row>
    <row r="724" customFormat="false" ht="15.75" hidden="false" customHeight="false" outlineLevel="0" collapsed="false">
      <c r="A724" s="3" t="n">
        <f aca="false">IFERROR(__xludf.dummyfunction("""COMPUTED_VALUE"""),45245.6666666667)</f>
        <v>45245.6666666667</v>
      </c>
      <c r="B724" s="2" t="n">
        <f aca="false">IFERROR(__xludf.dummyfunction("""COMPUTED_VALUE"""),97.95)</f>
        <v>97.95</v>
      </c>
      <c r="C724" s="2" t="n">
        <f aca="false">IFERROR(__xludf.dummyfunction("""COMPUTED_VALUE"""),98.18)</f>
        <v>98.18</v>
      </c>
      <c r="D724" s="2" t="n">
        <f aca="false">IFERROR(__xludf.dummyfunction("""COMPUTED_VALUE"""),96.69)</f>
        <v>96.69</v>
      </c>
      <c r="E724" s="2" t="n">
        <f aca="false">IFERROR(__xludf.dummyfunction("""COMPUTED_VALUE"""),97.54)</f>
        <v>97.54</v>
      </c>
      <c r="F724" s="2" t="n">
        <f aca="false">IFERROR(__xludf.dummyfunction("""COMPUTED_VALUE"""),1609948)</f>
        <v>1609948</v>
      </c>
    </row>
    <row r="725" customFormat="false" ht="15.75" hidden="false" customHeight="false" outlineLevel="0" collapsed="false">
      <c r="A725" s="3" t="n">
        <f aca="false">IFERROR(__xludf.dummyfunction("""COMPUTED_VALUE"""),45246.6666666667)</f>
        <v>45246.6666666667</v>
      </c>
      <c r="B725" s="2" t="n">
        <f aca="false">IFERROR(__xludf.dummyfunction("""COMPUTED_VALUE"""),96.4)</f>
        <v>96.4</v>
      </c>
      <c r="C725" s="2" t="n">
        <f aca="false">IFERROR(__xludf.dummyfunction("""COMPUTED_VALUE"""),96.87)</f>
        <v>96.87</v>
      </c>
      <c r="D725" s="2" t="n">
        <f aca="false">IFERROR(__xludf.dummyfunction("""COMPUTED_VALUE"""),95.05)</f>
        <v>95.05</v>
      </c>
      <c r="E725" s="2" t="n">
        <f aca="false">IFERROR(__xludf.dummyfunction("""COMPUTED_VALUE"""),95.96)</f>
        <v>95.96</v>
      </c>
      <c r="F725" s="2" t="n">
        <f aca="false">IFERROR(__xludf.dummyfunction("""COMPUTED_VALUE"""),2619803)</f>
        <v>2619803</v>
      </c>
    </row>
    <row r="726" customFormat="false" ht="15.75" hidden="false" customHeight="false" outlineLevel="0" collapsed="false">
      <c r="A726" s="3" t="n">
        <f aca="false">IFERROR(__xludf.dummyfunction("""COMPUTED_VALUE"""),45247.6666666667)</f>
        <v>45247.6666666667</v>
      </c>
      <c r="B726" s="2" t="n">
        <f aca="false">IFERROR(__xludf.dummyfunction("""COMPUTED_VALUE"""),95.82)</f>
        <v>95.82</v>
      </c>
      <c r="C726" s="2" t="n">
        <f aca="false">IFERROR(__xludf.dummyfunction("""COMPUTED_VALUE"""),98.39)</f>
        <v>98.39</v>
      </c>
      <c r="D726" s="2" t="n">
        <f aca="false">IFERROR(__xludf.dummyfunction("""COMPUTED_VALUE"""),95.1)</f>
        <v>95.1</v>
      </c>
      <c r="E726" s="2" t="n">
        <f aca="false">IFERROR(__xludf.dummyfunction("""COMPUTED_VALUE"""),97.77)</f>
        <v>97.77</v>
      </c>
      <c r="F726" s="2" t="n">
        <f aca="false">IFERROR(__xludf.dummyfunction("""COMPUTED_VALUE"""),1979461)</f>
        <v>1979461</v>
      </c>
    </row>
    <row r="727" customFormat="false" ht="15.75" hidden="false" customHeight="false" outlineLevel="0" collapsed="false">
      <c r="A727" s="3" t="n">
        <f aca="false">IFERROR(__xludf.dummyfunction("""COMPUTED_VALUE"""),45250.6666666667)</f>
        <v>45250.6666666667</v>
      </c>
      <c r="B727" s="2" t="n">
        <f aca="false">IFERROR(__xludf.dummyfunction("""COMPUTED_VALUE"""),97.3)</f>
        <v>97.3</v>
      </c>
      <c r="C727" s="2" t="n">
        <f aca="false">IFERROR(__xludf.dummyfunction("""COMPUTED_VALUE"""),99.99)</f>
        <v>99.99</v>
      </c>
      <c r="D727" s="2" t="n">
        <f aca="false">IFERROR(__xludf.dummyfunction("""COMPUTED_VALUE"""),97.3)</f>
        <v>97.3</v>
      </c>
      <c r="E727" s="2" t="n">
        <f aca="false">IFERROR(__xludf.dummyfunction("""COMPUTED_VALUE"""),99.57)</f>
        <v>99.57</v>
      </c>
      <c r="F727" s="2" t="n">
        <f aca="false">IFERROR(__xludf.dummyfunction("""COMPUTED_VALUE"""),1868034)</f>
        <v>1868034</v>
      </c>
    </row>
    <row r="728" customFormat="false" ht="15.75" hidden="false" customHeight="false" outlineLevel="0" collapsed="false">
      <c r="A728" s="3" t="n">
        <f aca="false">IFERROR(__xludf.dummyfunction("""COMPUTED_VALUE"""),45251.6666666667)</f>
        <v>45251.6666666667</v>
      </c>
      <c r="B728" s="2" t="n">
        <f aca="false">IFERROR(__xludf.dummyfunction("""COMPUTED_VALUE"""),97.5)</f>
        <v>97.5</v>
      </c>
      <c r="C728" s="2" t="n">
        <f aca="false">IFERROR(__xludf.dummyfunction("""COMPUTED_VALUE"""),99.1)</f>
        <v>99.1</v>
      </c>
      <c r="D728" s="2" t="n">
        <f aca="false">IFERROR(__xludf.dummyfunction("""COMPUTED_VALUE"""),97.16)</f>
        <v>97.16</v>
      </c>
      <c r="E728" s="2" t="n">
        <f aca="false">IFERROR(__xludf.dummyfunction("""COMPUTED_VALUE"""),98.12)</f>
        <v>98.12</v>
      </c>
      <c r="F728" s="2" t="n">
        <f aca="false">IFERROR(__xludf.dummyfunction("""COMPUTED_VALUE"""),4334384)</f>
        <v>4334384</v>
      </c>
    </row>
    <row r="729" customFormat="false" ht="15.75" hidden="false" customHeight="false" outlineLevel="0" collapsed="false">
      <c r="A729" s="3" t="n">
        <f aca="false">IFERROR(__xludf.dummyfunction("""COMPUTED_VALUE"""),45252.6666666667)</f>
        <v>45252.6666666667</v>
      </c>
      <c r="B729" s="2" t="n">
        <f aca="false">IFERROR(__xludf.dummyfunction("""COMPUTED_VALUE"""),98.37)</f>
        <v>98.37</v>
      </c>
      <c r="C729" s="2" t="n">
        <f aca="false">IFERROR(__xludf.dummyfunction("""COMPUTED_VALUE"""),98.8)</f>
        <v>98.8</v>
      </c>
      <c r="D729" s="2" t="n">
        <f aca="false">IFERROR(__xludf.dummyfunction("""COMPUTED_VALUE"""),97.1)</f>
        <v>97.1</v>
      </c>
      <c r="E729" s="2" t="n">
        <f aca="false">IFERROR(__xludf.dummyfunction("""COMPUTED_VALUE"""),97.2)</f>
        <v>97.2</v>
      </c>
      <c r="F729" s="2" t="n">
        <f aca="false">IFERROR(__xludf.dummyfunction("""COMPUTED_VALUE"""),3375092)</f>
        <v>3375092</v>
      </c>
    </row>
    <row r="730" customFormat="false" ht="15.75" hidden="false" customHeight="false" outlineLevel="0" collapsed="false">
      <c r="A730" s="3" t="n">
        <f aca="false">IFERROR(__xludf.dummyfunction("""COMPUTED_VALUE"""),45254.5451388889)</f>
        <v>45254.5451388889</v>
      </c>
      <c r="B730" s="2" t="n">
        <f aca="false">IFERROR(__xludf.dummyfunction("""COMPUTED_VALUE"""),97.5)</f>
        <v>97.5</v>
      </c>
      <c r="C730" s="2" t="n">
        <f aca="false">IFERROR(__xludf.dummyfunction("""COMPUTED_VALUE"""),97.99)</f>
        <v>97.99</v>
      </c>
      <c r="D730" s="2" t="n">
        <f aca="false">IFERROR(__xludf.dummyfunction("""COMPUTED_VALUE"""),96.68)</f>
        <v>96.68</v>
      </c>
      <c r="E730" s="2" t="n">
        <f aca="false">IFERROR(__xludf.dummyfunction("""COMPUTED_VALUE"""),97.89)</f>
        <v>97.89</v>
      </c>
      <c r="F730" s="2" t="n">
        <f aca="false">IFERROR(__xludf.dummyfunction("""COMPUTED_VALUE"""),2315789)</f>
        <v>2315789</v>
      </c>
    </row>
    <row r="731" customFormat="false" ht="15.75" hidden="false" customHeight="false" outlineLevel="0" collapsed="false">
      <c r="A731" s="3" t="n">
        <f aca="false">IFERROR(__xludf.dummyfunction("""COMPUTED_VALUE"""),45257.6666666667)</f>
        <v>45257.6666666667</v>
      </c>
      <c r="B731" s="2" t="n">
        <f aca="false">IFERROR(__xludf.dummyfunction("""COMPUTED_VALUE"""),97.62)</f>
        <v>97.62</v>
      </c>
      <c r="C731" s="2" t="n">
        <f aca="false">IFERROR(__xludf.dummyfunction("""COMPUTED_VALUE"""),98.1)</f>
        <v>98.1</v>
      </c>
      <c r="D731" s="2" t="n">
        <f aca="false">IFERROR(__xludf.dummyfunction("""COMPUTED_VALUE"""),94.93)</f>
        <v>94.93</v>
      </c>
      <c r="E731" s="2" t="n">
        <f aca="false">IFERROR(__xludf.dummyfunction("""COMPUTED_VALUE"""),95.02)</f>
        <v>95.02</v>
      </c>
      <c r="F731" s="2" t="n">
        <f aca="false">IFERROR(__xludf.dummyfunction("""COMPUTED_VALUE"""),9696202)</f>
        <v>9696202</v>
      </c>
    </row>
    <row r="732" customFormat="false" ht="15.75" hidden="false" customHeight="false" outlineLevel="0" collapsed="false">
      <c r="A732" s="3" t="n">
        <f aca="false">IFERROR(__xludf.dummyfunction("""COMPUTED_VALUE"""),45258.6666666667)</f>
        <v>45258.6666666667</v>
      </c>
      <c r="B732" s="2" t="n">
        <f aca="false">IFERROR(__xludf.dummyfunction("""COMPUTED_VALUE"""),93.99)</f>
        <v>93.99</v>
      </c>
      <c r="C732" s="2" t="n">
        <f aca="false">IFERROR(__xludf.dummyfunction("""COMPUTED_VALUE"""),95.09)</f>
        <v>95.09</v>
      </c>
      <c r="D732" s="2" t="n">
        <f aca="false">IFERROR(__xludf.dummyfunction("""COMPUTED_VALUE"""),93.42)</f>
        <v>93.42</v>
      </c>
      <c r="E732" s="2" t="n">
        <f aca="false">IFERROR(__xludf.dummyfunction("""COMPUTED_VALUE"""),94.64)</f>
        <v>94.64</v>
      </c>
      <c r="F732" s="2" t="n">
        <f aca="false">IFERROR(__xludf.dummyfunction("""COMPUTED_VALUE"""),3902494)</f>
        <v>3902494</v>
      </c>
    </row>
    <row r="733" customFormat="false" ht="15.75" hidden="false" customHeight="false" outlineLevel="0" collapsed="false">
      <c r="A733" s="3" t="n">
        <f aca="false">IFERROR(__xludf.dummyfunction("""COMPUTED_VALUE"""),45259.6666666667)</f>
        <v>45259.6666666667</v>
      </c>
      <c r="B733" s="2" t="n">
        <f aca="false">IFERROR(__xludf.dummyfunction("""COMPUTED_VALUE"""),94.83)</f>
        <v>94.83</v>
      </c>
      <c r="C733" s="2" t="n">
        <f aca="false">IFERROR(__xludf.dummyfunction("""COMPUTED_VALUE"""),95.94)</f>
        <v>95.94</v>
      </c>
      <c r="D733" s="2" t="n">
        <f aca="false">IFERROR(__xludf.dummyfunction("""COMPUTED_VALUE"""),93.94)</f>
        <v>93.94</v>
      </c>
      <c r="E733" s="2" t="n">
        <f aca="false">IFERROR(__xludf.dummyfunction("""COMPUTED_VALUE"""),94.08)</f>
        <v>94.08</v>
      </c>
      <c r="F733" s="2" t="n">
        <f aca="false">IFERROR(__xludf.dummyfunction("""COMPUTED_VALUE"""),3484274)</f>
        <v>3484274</v>
      </c>
    </row>
    <row r="734" customFormat="false" ht="15.75" hidden="false" customHeight="false" outlineLevel="0" collapsed="false">
      <c r="A734" s="3" t="n">
        <f aca="false">IFERROR(__xludf.dummyfunction("""COMPUTED_VALUE"""),45260.6666666667)</f>
        <v>45260.6666666667</v>
      </c>
      <c r="B734" s="2" t="n">
        <f aca="false">IFERROR(__xludf.dummyfunction("""COMPUTED_VALUE"""),94.1)</f>
        <v>94.1</v>
      </c>
      <c r="C734" s="2" t="n">
        <f aca="false">IFERROR(__xludf.dummyfunction("""COMPUTED_VALUE"""),94.24)</f>
        <v>94.24</v>
      </c>
      <c r="D734" s="2" t="n">
        <f aca="false">IFERROR(__xludf.dummyfunction("""COMPUTED_VALUE"""),91.84)</f>
        <v>91.84</v>
      </c>
      <c r="E734" s="2" t="n">
        <f aca="false">IFERROR(__xludf.dummyfunction("""COMPUTED_VALUE"""),92.57)</f>
        <v>92.57</v>
      </c>
      <c r="F734" s="2" t="n">
        <f aca="false">IFERROR(__xludf.dummyfunction("""COMPUTED_VALUE"""),4957110)</f>
        <v>4957110</v>
      </c>
    </row>
    <row r="735" customFormat="false" ht="15.75" hidden="false" customHeight="false" outlineLevel="0" collapsed="false">
      <c r="A735" s="3" t="n">
        <f aca="false">IFERROR(__xludf.dummyfunction("""COMPUTED_VALUE"""),45261.6666666667)</f>
        <v>45261.6666666667</v>
      </c>
      <c r="B735" s="2" t="n">
        <f aca="false">IFERROR(__xludf.dummyfunction("""COMPUTED_VALUE"""),92.25)</f>
        <v>92.25</v>
      </c>
      <c r="C735" s="2" t="n">
        <f aca="false">IFERROR(__xludf.dummyfunction("""COMPUTED_VALUE"""),93.39)</f>
        <v>93.39</v>
      </c>
      <c r="D735" s="2" t="n">
        <f aca="false">IFERROR(__xludf.dummyfunction("""COMPUTED_VALUE"""),90.8)</f>
        <v>90.8</v>
      </c>
      <c r="E735" s="2" t="n">
        <f aca="false">IFERROR(__xludf.dummyfunction("""COMPUTED_VALUE"""),93)</f>
        <v>93</v>
      </c>
      <c r="F735" s="2" t="n">
        <f aca="false">IFERROR(__xludf.dummyfunction("""COMPUTED_VALUE"""),2961244)</f>
        <v>2961244</v>
      </c>
    </row>
    <row r="736" customFormat="false" ht="15.75" hidden="false" customHeight="false" outlineLevel="0" collapsed="false">
      <c r="A736" s="3" t="n">
        <f aca="false">IFERROR(__xludf.dummyfunction("""COMPUTED_VALUE"""),45264.6666666667)</f>
        <v>45264.6666666667</v>
      </c>
      <c r="B736" s="2" t="n">
        <f aca="false">IFERROR(__xludf.dummyfunction("""COMPUTED_VALUE"""),92.06)</f>
        <v>92.06</v>
      </c>
      <c r="C736" s="2" t="n">
        <f aca="false">IFERROR(__xludf.dummyfunction("""COMPUTED_VALUE"""),93.1)</f>
        <v>93.1</v>
      </c>
      <c r="D736" s="2" t="n">
        <f aca="false">IFERROR(__xludf.dummyfunction("""COMPUTED_VALUE"""),91.64)</f>
        <v>91.64</v>
      </c>
      <c r="E736" s="2" t="n">
        <f aca="false">IFERROR(__xludf.dummyfunction("""COMPUTED_VALUE"""),92.4)</f>
        <v>92.4</v>
      </c>
      <c r="F736" s="2" t="n">
        <f aca="false">IFERROR(__xludf.dummyfunction("""COMPUTED_VALUE"""),2500921)</f>
        <v>2500921</v>
      </c>
    </row>
    <row r="737" customFormat="false" ht="15.75" hidden="false" customHeight="false" outlineLevel="0" collapsed="false">
      <c r="A737" s="3" t="n">
        <f aca="false">IFERROR(__xludf.dummyfunction("""COMPUTED_VALUE"""),45265.6666666667)</f>
        <v>45265.6666666667</v>
      </c>
      <c r="B737" s="2" t="n">
        <f aca="false">IFERROR(__xludf.dummyfunction("""COMPUTED_VALUE"""),91.16)</f>
        <v>91.16</v>
      </c>
      <c r="C737" s="2" t="n">
        <f aca="false">IFERROR(__xludf.dummyfunction("""COMPUTED_VALUE"""),91.73)</f>
        <v>91.73</v>
      </c>
      <c r="D737" s="2" t="n">
        <f aca="false">IFERROR(__xludf.dummyfunction("""COMPUTED_VALUE"""),90.58)</f>
        <v>90.58</v>
      </c>
      <c r="E737" s="2" t="n">
        <f aca="false">IFERROR(__xludf.dummyfunction("""COMPUTED_VALUE"""),91.31)</f>
        <v>91.31</v>
      </c>
      <c r="F737" s="2" t="n">
        <f aca="false">IFERROR(__xludf.dummyfunction("""COMPUTED_VALUE"""),3706593)</f>
        <v>3706593</v>
      </c>
    </row>
    <row r="738" customFormat="false" ht="15.75" hidden="false" customHeight="false" outlineLevel="0" collapsed="false">
      <c r="A738" s="3" t="n">
        <f aca="false">IFERROR(__xludf.dummyfunction("""COMPUTED_VALUE"""),45266.6666666667)</f>
        <v>45266.6666666667</v>
      </c>
      <c r="B738" s="2" t="n">
        <f aca="false">IFERROR(__xludf.dummyfunction("""COMPUTED_VALUE"""),92.04)</f>
        <v>92.04</v>
      </c>
      <c r="C738" s="2" t="n">
        <f aca="false">IFERROR(__xludf.dummyfunction("""COMPUTED_VALUE"""),92.1)</f>
        <v>92.1</v>
      </c>
      <c r="D738" s="2" t="n">
        <f aca="false">IFERROR(__xludf.dummyfunction("""COMPUTED_VALUE"""),90.31)</f>
        <v>90.31</v>
      </c>
      <c r="E738" s="2" t="n">
        <f aca="false">IFERROR(__xludf.dummyfunction("""COMPUTED_VALUE"""),90.36)</f>
        <v>90.36</v>
      </c>
      <c r="F738" s="2" t="n">
        <f aca="false">IFERROR(__xludf.dummyfunction("""COMPUTED_VALUE"""),2481269)</f>
        <v>2481269</v>
      </c>
    </row>
    <row r="739" customFormat="false" ht="15.75" hidden="false" customHeight="false" outlineLevel="0" collapsed="false">
      <c r="A739" s="3" t="n">
        <f aca="false">IFERROR(__xludf.dummyfunction("""COMPUTED_VALUE"""),45267.6666666667)</f>
        <v>45267.6666666667</v>
      </c>
      <c r="B739" s="2" t="n">
        <f aca="false">IFERROR(__xludf.dummyfunction("""COMPUTED_VALUE"""),90.55)</f>
        <v>90.55</v>
      </c>
      <c r="C739" s="2" t="n">
        <f aca="false">IFERROR(__xludf.dummyfunction("""COMPUTED_VALUE"""),92.41)</f>
        <v>92.41</v>
      </c>
      <c r="D739" s="2" t="n">
        <f aca="false">IFERROR(__xludf.dummyfunction("""COMPUTED_VALUE"""),90.36)</f>
        <v>90.36</v>
      </c>
      <c r="E739" s="2" t="n">
        <f aca="false">IFERROR(__xludf.dummyfunction("""COMPUTED_VALUE"""),92.23)</f>
        <v>92.23</v>
      </c>
      <c r="F739" s="2" t="n">
        <f aca="false">IFERROR(__xludf.dummyfunction("""COMPUTED_VALUE"""),4351689)</f>
        <v>4351689</v>
      </c>
    </row>
    <row r="740" customFormat="false" ht="15.75" hidden="false" customHeight="false" outlineLevel="0" collapsed="false">
      <c r="A740" s="3" t="n">
        <f aca="false">IFERROR(__xludf.dummyfunction("""COMPUTED_VALUE"""),45268.6666666667)</f>
        <v>45268.6666666667</v>
      </c>
      <c r="B740" s="2" t="n">
        <f aca="false">IFERROR(__xludf.dummyfunction("""COMPUTED_VALUE"""),92.78)</f>
        <v>92.78</v>
      </c>
      <c r="C740" s="2" t="n">
        <f aca="false">IFERROR(__xludf.dummyfunction("""COMPUTED_VALUE"""),95.07)</f>
        <v>95.07</v>
      </c>
      <c r="D740" s="2" t="n">
        <f aca="false">IFERROR(__xludf.dummyfunction("""COMPUTED_VALUE"""),91.05)</f>
        <v>91.05</v>
      </c>
      <c r="E740" s="2" t="n">
        <f aca="false">IFERROR(__xludf.dummyfunction("""COMPUTED_VALUE"""),94.43)</f>
        <v>94.43</v>
      </c>
      <c r="F740" s="2" t="n">
        <f aca="false">IFERROR(__xludf.dummyfunction("""COMPUTED_VALUE"""),6966842)</f>
        <v>6966842</v>
      </c>
    </row>
    <row r="741" customFormat="false" ht="15.75" hidden="false" customHeight="false" outlineLevel="0" collapsed="false">
      <c r="A741" s="3" t="n">
        <f aca="false">IFERROR(__xludf.dummyfunction("""COMPUTED_VALUE"""),45271.6666666667)</f>
        <v>45271.6666666667</v>
      </c>
      <c r="B741" s="2" t="n">
        <f aca="false">IFERROR(__xludf.dummyfunction("""COMPUTED_VALUE"""),95.7)</f>
        <v>95.7</v>
      </c>
      <c r="C741" s="2" t="n">
        <f aca="false">IFERROR(__xludf.dummyfunction("""COMPUTED_VALUE"""),103.95)</f>
        <v>103.95</v>
      </c>
      <c r="D741" s="2" t="n">
        <f aca="false">IFERROR(__xludf.dummyfunction("""COMPUTED_VALUE"""),95.61)</f>
        <v>95.61</v>
      </c>
      <c r="E741" s="2" t="n">
        <f aca="false">IFERROR(__xludf.dummyfunction("""COMPUTED_VALUE"""),102.92)</f>
        <v>102.92</v>
      </c>
      <c r="F741" s="2" t="n">
        <f aca="false">IFERROR(__xludf.dummyfunction("""COMPUTED_VALUE"""),10118369)</f>
        <v>10118369</v>
      </c>
    </row>
    <row r="742" customFormat="false" ht="15.75" hidden="false" customHeight="false" outlineLevel="0" collapsed="false">
      <c r="A742" s="3" t="n">
        <f aca="false">IFERROR(__xludf.dummyfunction("""COMPUTED_VALUE"""),45272.6666666667)</f>
        <v>45272.6666666667</v>
      </c>
      <c r="B742" s="2" t="n">
        <f aca="false">IFERROR(__xludf.dummyfunction("""COMPUTED_VALUE"""),102.8)</f>
        <v>102.8</v>
      </c>
      <c r="C742" s="2" t="n">
        <f aca="false">IFERROR(__xludf.dummyfunction("""COMPUTED_VALUE"""),107.94)</f>
        <v>107.94</v>
      </c>
      <c r="D742" s="2" t="n">
        <f aca="false">IFERROR(__xludf.dummyfunction("""COMPUTED_VALUE"""),102.46)</f>
        <v>102.46</v>
      </c>
      <c r="E742" s="2" t="n">
        <f aca="false">IFERROR(__xludf.dummyfunction("""COMPUTED_VALUE"""),107.23)</f>
        <v>107.23</v>
      </c>
      <c r="F742" s="2" t="n">
        <f aca="false">IFERROR(__xludf.dummyfunction("""COMPUTED_VALUE"""),9024155)</f>
        <v>9024155</v>
      </c>
    </row>
    <row r="743" customFormat="false" ht="15.75" hidden="false" customHeight="false" outlineLevel="0" collapsed="false">
      <c r="A743" s="3" t="n">
        <f aca="false">IFERROR(__xludf.dummyfunction("""COMPUTED_VALUE"""),45273.6666666667)</f>
        <v>45273.6666666667</v>
      </c>
      <c r="B743" s="2" t="n">
        <f aca="false">IFERROR(__xludf.dummyfunction("""COMPUTED_VALUE"""),106.8)</f>
        <v>106.8</v>
      </c>
      <c r="C743" s="2" t="n">
        <f aca="false">IFERROR(__xludf.dummyfunction("""COMPUTED_VALUE"""),109.98)</f>
        <v>109.98</v>
      </c>
      <c r="D743" s="2" t="n">
        <f aca="false">IFERROR(__xludf.dummyfunction("""COMPUTED_VALUE"""),106.25)</f>
        <v>106.25</v>
      </c>
      <c r="E743" s="2" t="n">
        <f aca="false">IFERROR(__xludf.dummyfunction("""COMPUTED_VALUE"""),108.97)</f>
        <v>108.97</v>
      </c>
      <c r="F743" s="2" t="n">
        <f aca="false">IFERROR(__xludf.dummyfunction("""COMPUTED_VALUE"""),7165375)</f>
        <v>7165375</v>
      </c>
    </row>
    <row r="744" customFormat="false" ht="15.75" hidden="false" customHeight="false" outlineLevel="0" collapsed="false">
      <c r="A744" s="3" t="n">
        <f aca="false">IFERROR(__xludf.dummyfunction("""COMPUTED_VALUE"""),45274.6666666667)</f>
        <v>45274.6666666667</v>
      </c>
      <c r="B744" s="2" t="n">
        <f aca="false">IFERROR(__xludf.dummyfunction("""COMPUTED_VALUE"""),109.22)</f>
        <v>109.22</v>
      </c>
      <c r="C744" s="2" t="n">
        <f aca="false">IFERROR(__xludf.dummyfunction("""COMPUTED_VALUE"""),112.15)</f>
        <v>112.15</v>
      </c>
      <c r="D744" s="2" t="n">
        <f aca="false">IFERROR(__xludf.dummyfunction("""COMPUTED_VALUE"""),109.03)</f>
        <v>109.03</v>
      </c>
      <c r="E744" s="2" t="n">
        <f aca="false">IFERROR(__xludf.dummyfunction("""COMPUTED_VALUE"""),110.65)</f>
        <v>110.65</v>
      </c>
      <c r="F744" s="2" t="n">
        <f aca="false">IFERROR(__xludf.dummyfunction("""COMPUTED_VALUE"""),6696402)</f>
        <v>6696402</v>
      </c>
    </row>
    <row r="745" customFormat="false" ht="15.75" hidden="false" customHeight="false" outlineLevel="0" collapsed="false">
      <c r="A745" s="3" t="n">
        <f aca="false">IFERROR(__xludf.dummyfunction("""COMPUTED_VALUE"""),45275.6666666667)</f>
        <v>45275.6666666667</v>
      </c>
      <c r="B745" s="2" t="n">
        <f aca="false">IFERROR(__xludf.dummyfunction("""COMPUTED_VALUE"""),109.52)</f>
        <v>109.52</v>
      </c>
      <c r="C745" s="2" t="n">
        <f aca="false">IFERROR(__xludf.dummyfunction("""COMPUTED_VALUE"""),114.99)</f>
        <v>114.99</v>
      </c>
      <c r="D745" s="2" t="n">
        <f aca="false">IFERROR(__xludf.dummyfunction("""COMPUTED_VALUE"""),109.46)</f>
        <v>109.46</v>
      </c>
      <c r="E745" s="2" t="n">
        <f aca="false">IFERROR(__xludf.dummyfunction("""COMPUTED_VALUE"""),112.97)</f>
        <v>112.97</v>
      </c>
      <c r="F745" s="2" t="n">
        <f aca="false">IFERROR(__xludf.dummyfunction("""COMPUTED_VALUE"""),11854371)</f>
        <v>11854371</v>
      </c>
    </row>
    <row r="746" customFormat="false" ht="15.75" hidden="false" customHeight="false" outlineLevel="0" collapsed="false">
      <c r="A746" s="3" t="n">
        <f aca="false">IFERROR(__xludf.dummyfunction("""COMPUTED_VALUE"""),45278.6666666667)</f>
        <v>45278.6666666667</v>
      </c>
      <c r="B746" s="2" t="n">
        <f aca="false">IFERROR(__xludf.dummyfunction("""COMPUTED_VALUE"""),112.08)</f>
        <v>112.08</v>
      </c>
      <c r="C746" s="2" t="n">
        <f aca="false">IFERROR(__xludf.dummyfunction("""COMPUTED_VALUE"""),115.18)</f>
        <v>115.18</v>
      </c>
      <c r="D746" s="2" t="n">
        <f aca="false">IFERROR(__xludf.dummyfunction("""COMPUTED_VALUE"""),111.86)</f>
        <v>111.86</v>
      </c>
      <c r="E746" s="2" t="n">
        <f aca="false">IFERROR(__xludf.dummyfunction("""COMPUTED_VALUE"""),114.7)</f>
        <v>114.7</v>
      </c>
      <c r="F746" s="2" t="n">
        <f aca="false">IFERROR(__xludf.dummyfunction("""COMPUTED_VALUE"""),5474137)</f>
        <v>5474137</v>
      </c>
    </row>
    <row r="747" customFormat="false" ht="15.75" hidden="false" customHeight="false" outlineLevel="0" collapsed="false">
      <c r="A747" s="3" t="n">
        <f aca="false">IFERROR(__xludf.dummyfunction("""COMPUTED_VALUE"""),45279.6666666667)</f>
        <v>45279.6666666667</v>
      </c>
      <c r="B747" s="2" t="n">
        <f aca="false">IFERROR(__xludf.dummyfunction("""COMPUTED_VALUE"""),114.2)</f>
        <v>114.2</v>
      </c>
      <c r="C747" s="2" t="n">
        <f aca="false">IFERROR(__xludf.dummyfunction("""COMPUTED_VALUE"""),115.05)</f>
        <v>115.05</v>
      </c>
      <c r="D747" s="2" t="n">
        <f aca="false">IFERROR(__xludf.dummyfunction("""COMPUTED_VALUE"""),113.25)</f>
        <v>113.25</v>
      </c>
      <c r="E747" s="2" t="n">
        <f aca="false">IFERROR(__xludf.dummyfunction("""COMPUTED_VALUE"""),113.96)</f>
        <v>113.96</v>
      </c>
      <c r="F747" s="2" t="n">
        <f aca="false">IFERROR(__xludf.dummyfunction("""COMPUTED_VALUE"""),3602040)</f>
        <v>3602040</v>
      </c>
    </row>
    <row r="748" customFormat="false" ht="15.75" hidden="false" customHeight="false" outlineLevel="0" collapsed="false">
      <c r="A748" s="3" t="n">
        <f aca="false">IFERROR(__xludf.dummyfunction("""COMPUTED_VALUE"""),45280.6666666667)</f>
        <v>45280.6666666667</v>
      </c>
      <c r="B748" s="2" t="n">
        <f aca="false">IFERROR(__xludf.dummyfunction("""COMPUTED_VALUE"""),113.27)</f>
        <v>113.27</v>
      </c>
      <c r="C748" s="2" t="n">
        <f aca="false">IFERROR(__xludf.dummyfunction("""COMPUTED_VALUE"""),114.14)</f>
        <v>114.14</v>
      </c>
      <c r="D748" s="2" t="n">
        <f aca="false">IFERROR(__xludf.dummyfunction("""COMPUTED_VALUE"""),110.93)</f>
        <v>110.93</v>
      </c>
      <c r="E748" s="2" t="n">
        <f aca="false">IFERROR(__xludf.dummyfunction("""COMPUTED_VALUE"""),111.04)</f>
        <v>111.04</v>
      </c>
      <c r="F748" s="2" t="n">
        <f aca="false">IFERROR(__xludf.dummyfunction("""COMPUTED_VALUE"""),3452335)</f>
        <v>3452335</v>
      </c>
    </row>
    <row r="749" customFormat="false" ht="15.75" hidden="false" customHeight="false" outlineLevel="0" collapsed="false">
      <c r="A749" s="3" t="n">
        <f aca="false">IFERROR(__xludf.dummyfunction("""COMPUTED_VALUE"""),45281.6666666667)</f>
        <v>45281.6666666667</v>
      </c>
      <c r="B749" s="2" t="n">
        <f aca="false">IFERROR(__xludf.dummyfunction("""COMPUTED_VALUE"""),113.27)</f>
        <v>113.27</v>
      </c>
      <c r="C749" s="2" t="n">
        <f aca="false">IFERROR(__xludf.dummyfunction("""COMPUTED_VALUE"""),113.54)</f>
        <v>113.54</v>
      </c>
      <c r="D749" s="2" t="n">
        <f aca="false">IFERROR(__xludf.dummyfunction("""COMPUTED_VALUE"""),111.5)</f>
        <v>111.5</v>
      </c>
      <c r="E749" s="2" t="n">
        <f aca="false">IFERROR(__xludf.dummyfunction("""COMPUTED_VALUE"""),112.73)</f>
        <v>112.73</v>
      </c>
      <c r="F749" s="2" t="n">
        <f aca="false">IFERROR(__xludf.dummyfunction("""COMPUTED_VALUE"""),2410561)</f>
        <v>2410561</v>
      </c>
    </row>
    <row r="750" customFormat="false" ht="15.75" hidden="false" customHeight="false" outlineLevel="0" collapsed="false">
      <c r="A750" s="3" t="n">
        <f aca="false">IFERROR(__xludf.dummyfunction("""COMPUTED_VALUE"""),45282.6666666667)</f>
        <v>45282.6666666667</v>
      </c>
      <c r="B750" s="2" t="n">
        <f aca="false">IFERROR(__xludf.dummyfunction("""COMPUTED_VALUE"""),112.8)</f>
        <v>112.8</v>
      </c>
      <c r="C750" s="2" t="n">
        <f aca="false">IFERROR(__xludf.dummyfunction("""COMPUTED_VALUE"""),113.2)</f>
        <v>113.2</v>
      </c>
      <c r="D750" s="2" t="n">
        <f aca="false">IFERROR(__xludf.dummyfunction("""COMPUTED_VALUE"""),111.35)</f>
        <v>111.35</v>
      </c>
      <c r="E750" s="2" t="n">
        <f aca="false">IFERROR(__xludf.dummyfunction("""COMPUTED_VALUE"""),112.2)</f>
        <v>112.2</v>
      </c>
      <c r="F750" s="2" t="n">
        <f aca="false">IFERROR(__xludf.dummyfunction("""COMPUTED_VALUE"""),1908897)</f>
        <v>1908897</v>
      </c>
    </row>
    <row r="751" customFormat="false" ht="15.75" hidden="false" customHeight="false" outlineLevel="0" collapsed="false">
      <c r="A751" s="3" t="n">
        <f aca="false">IFERROR(__xludf.dummyfunction("""COMPUTED_VALUE"""),45286.6666666667)</f>
        <v>45286.6666666667</v>
      </c>
      <c r="B751" s="2" t="n">
        <f aca="false">IFERROR(__xludf.dummyfunction("""COMPUTED_VALUE"""),112.42)</f>
        <v>112.42</v>
      </c>
      <c r="C751" s="2" t="n">
        <f aca="false">IFERROR(__xludf.dummyfunction("""COMPUTED_VALUE"""),113.55)</f>
        <v>113.55</v>
      </c>
      <c r="D751" s="2" t="n">
        <f aca="false">IFERROR(__xludf.dummyfunction("""COMPUTED_VALUE"""),112.3)</f>
        <v>112.3</v>
      </c>
      <c r="E751" s="2" t="n">
        <f aca="false">IFERROR(__xludf.dummyfunction("""COMPUTED_VALUE"""),113.19)</f>
        <v>113.19</v>
      </c>
      <c r="F751" s="2" t="n">
        <f aca="false">IFERROR(__xludf.dummyfunction("""COMPUTED_VALUE"""),1679327)</f>
        <v>1679327</v>
      </c>
    </row>
    <row r="752" customFormat="false" ht="15.75" hidden="false" customHeight="false" outlineLevel="0" collapsed="false">
      <c r="A752" s="3" t="n">
        <f aca="false">IFERROR(__xludf.dummyfunction("""COMPUTED_VALUE"""),45287.6666666667)</f>
        <v>45287.6666666667</v>
      </c>
      <c r="B752" s="2" t="n">
        <f aca="false">IFERROR(__xludf.dummyfunction("""COMPUTED_VALUE"""),113.6)</f>
        <v>113.6</v>
      </c>
      <c r="C752" s="2" t="n">
        <f aca="false">IFERROR(__xludf.dummyfunction("""COMPUTED_VALUE"""),113.96)</f>
        <v>113.96</v>
      </c>
      <c r="D752" s="2" t="n">
        <f aca="false">IFERROR(__xludf.dummyfunction("""COMPUTED_VALUE"""),112.3)</f>
        <v>112.3</v>
      </c>
      <c r="E752" s="2" t="n">
        <f aca="false">IFERROR(__xludf.dummyfunction("""COMPUTED_VALUE"""),112.62)</f>
        <v>112.62</v>
      </c>
      <c r="F752" s="2" t="n">
        <f aca="false">IFERROR(__xludf.dummyfunction("""COMPUTED_VALUE"""),2005523)</f>
        <v>2005523</v>
      </c>
    </row>
    <row r="753" customFormat="false" ht="15.75" hidden="false" customHeight="false" outlineLevel="0" collapsed="false">
      <c r="A753" s="3" t="n">
        <f aca="false">IFERROR(__xludf.dummyfunction("""COMPUTED_VALUE"""),45288.6666666667)</f>
        <v>45288.6666666667</v>
      </c>
      <c r="B753" s="2" t="n">
        <f aca="false">IFERROR(__xludf.dummyfunction("""COMPUTED_VALUE"""),113.17)</f>
        <v>113.17</v>
      </c>
      <c r="C753" s="2" t="n">
        <f aca="false">IFERROR(__xludf.dummyfunction("""COMPUTED_VALUE"""),113.22)</f>
        <v>113.22</v>
      </c>
      <c r="D753" s="2" t="n">
        <f aca="false">IFERROR(__xludf.dummyfunction("""COMPUTED_VALUE"""),111.91)</f>
        <v>111.91</v>
      </c>
      <c r="E753" s="2" t="n">
        <f aca="false">IFERROR(__xludf.dummyfunction("""COMPUTED_VALUE"""),112.24)</f>
        <v>112.24</v>
      </c>
      <c r="F753" s="2" t="n">
        <f aca="false">IFERROR(__xludf.dummyfunction("""COMPUTED_VALUE"""),2124925)</f>
        <v>2124925</v>
      </c>
    </row>
    <row r="754" customFormat="false" ht="15.75" hidden="false" customHeight="false" outlineLevel="0" collapsed="false">
      <c r="A754" s="3" t="n">
        <f aca="false">IFERROR(__xludf.dummyfunction("""COMPUTED_VALUE"""),45289.6666666667)</f>
        <v>45289.6666666667</v>
      </c>
      <c r="B754" s="2" t="n">
        <f aca="false">IFERROR(__xludf.dummyfunction("""COMPUTED_VALUE"""),112.15)</f>
        <v>112.15</v>
      </c>
      <c r="C754" s="2" t="n">
        <f aca="false">IFERROR(__xludf.dummyfunction("""COMPUTED_VALUE"""),112.44)</f>
        <v>112.44</v>
      </c>
      <c r="D754" s="2" t="n">
        <f aca="false">IFERROR(__xludf.dummyfunction("""COMPUTED_VALUE"""),111.47)</f>
        <v>111.47</v>
      </c>
      <c r="E754" s="2" t="n">
        <f aca="false">IFERROR(__xludf.dummyfunction("""COMPUTED_VALUE"""),111.63)</f>
        <v>111.63</v>
      </c>
      <c r="F754" s="2" t="n">
        <f aca="false">IFERROR(__xludf.dummyfunction("""COMPUTED_VALUE"""),2055800)</f>
        <v>2055800</v>
      </c>
    </row>
    <row r="755" customFormat="false" ht="15.75" hidden="false" customHeight="false" outlineLevel="0" collapsed="false">
      <c r="A755" s="3" t="n">
        <f aca="false">IFERROR(__xludf.dummyfunction("""COMPUTED_VALUE"""),45293.6666666667)</f>
        <v>45293.6666666667</v>
      </c>
      <c r="B755" s="2" t="n">
        <f aca="false">IFERROR(__xludf.dummyfunction("""COMPUTED_VALUE"""),109.21)</f>
        <v>109.21</v>
      </c>
      <c r="C755" s="2" t="n">
        <f aca="false">IFERROR(__xludf.dummyfunction("""COMPUTED_VALUE"""),110.2)</f>
        <v>110.2</v>
      </c>
      <c r="D755" s="2" t="n">
        <f aca="false">IFERROR(__xludf.dummyfunction("""COMPUTED_VALUE"""),107.71)</f>
        <v>107.71</v>
      </c>
      <c r="E755" s="2" t="n">
        <f aca="false">IFERROR(__xludf.dummyfunction("""COMPUTED_VALUE"""),108.54)</f>
        <v>108.54</v>
      </c>
      <c r="F755" s="2" t="n">
        <f aca="false">IFERROR(__xludf.dummyfunction("""COMPUTED_VALUE"""),2883102)</f>
        <v>2883102</v>
      </c>
    </row>
    <row r="756" customFormat="false" ht="15.75" hidden="false" customHeight="false" outlineLevel="0" collapsed="false">
      <c r="A756" s="3" t="n">
        <f aca="false">IFERROR(__xludf.dummyfunction("""COMPUTED_VALUE"""),45294.6666666667)</f>
        <v>45294.6666666667</v>
      </c>
      <c r="B756" s="2" t="n">
        <f aca="false">IFERROR(__xludf.dummyfunction("""COMPUTED_VALUE"""),107.02)</f>
        <v>107.02</v>
      </c>
      <c r="C756" s="2" t="n">
        <f aca="false">IFERROR(__xludf.dummyfunction("""COMPUTED_VALUE"""),107.5)</f>
        <v>107.5</v>
      </c>
      <c r="D756" s="2" t="n">
        <f aca="false">IFERROR(__xludf.dummyfunction("""COMPUTED_VALUE"""),105.53)</f>
        <v>105.53</v>
      </c>
      <c r="E756" s="2" t="n">
        <f aca="false">IFERROR(__xludf.dummyfunction("""COMPUTED_VALUE"""),105.86)</f>
        <v>105.86</v>
      </c>
      <c r="F756" s="2" t="n">
        <f aca="false">IFERROR(__xludf.dummyfunction("""COMPUTED_VALUE"""),3473547)</f>
        <v>3473547</v>
      </c>
    </row>
    <row r="757" customFormat="false" ht="15.75" hidden="false" customHeight="false" outlineLevel="0" collapsed="false">
      <c r="A757" s="3" t="n">
        <f aca="false">IFERROR(__xludf.dummyfunction("""COMPUTED_VALUE"""),45295.6666666667)</f>
        <v>45295.6666666667</v>
      </c>
      <c r="B757" s="2" t="n">
        <f aca="false">IFERROR(__xludf.dummyfunction("""COMPUTED_VALUE"""),105.8)</f>
        <v>105.8</v>
      </c>
      <c r="C757" s="2" t="n">
        <f aca="false">IFERROR(__xludf.dummyfunction("""COMPUTED_VALUE"""),106.95)</f>
        <v>106.95</v>
      </c>
      <c r="D757" s="2" t="n">
        <f aca="false">IFERROR(__xludf.dummyfunction("""COMPUTED_VALUE"""),104.74)</f>
        <v>104.74</v>
      </c>
      <c r="E757" s="2" t="n">
        <f aca="false">IFERROR(__xludf.dummyfunction("""COMPUTED_VALUE"""),104.9)</f>
        <v>104.9</v>
      </c>
      <c r="F757" s="2" t="n">
        <f aca="false">IFERROR(__xludf.dummyfunction("""COMPUTED_VALUE"""),2565803)</f>
        <v>2565803</v>
      </c>
    </row>
    <row r="758" customFormat="false" ht="15.75" hidden="false" customHeight="false" outlineLevel="0" collapsed="false">
      <c r="A758" s="3" t="n">
        <f aca="false">IFERROR(__xludf.dummyfunction("""COMPUTED_VALUE"""),45296.6666666667)</f>
        <v>45296.6666666667</v>
      </c>
      <c r="B758" s="2" t="n">
        <f aca="false">IFERROR(__xludf.dummyfunction("""COMPUTED_VALUE"""),105.16)</f>
        <v>105.16</v>
      </c>
      <c r="C758" s="2" t="n">
        <f aca="false">IFERROR(__xludf.dummyfunction("""COMPUTED_VALUE"""),105.55)</f>
        <v>105.55</v>
      </c>
      <c r="D758" s="2" t="n">
        <f aca="false">IFERROR(__xludf.dummyfunction("""COMPUTED_VALUE"""),104.15)</f>
        <v>104.15</v>
      </c>
      <c r="E758" s="2" t="n">
        <f aca="false">IFERROR(__xludf.dummyfunction("""COMPUTED_VALUE"""),104.93)</f>
        <v>104.93</v>
      </c>
      <c r="F758" s="2" t="n">
        <f aca="false">IFERROR(__xludf.dummyfunction("""COMPUTED_VALUE"""),2247469)</f>
        <v>2247469</v>
      </c>
    </row>
    <row r="759" customFormat="false" ht="15.75" hidden="false" customHeight="false" outlineLevel="0" collapsed="false">
      <c r="A759" s="3" t="n">
        <f aca="false">IFERROR(__xludf.dummyfunction("""COMPUTED_VALUE"""),45299.6666666667)</f>
        <v>45299.6666666667</v>
      </c>
      <c r="B759" s="2" t="n">
        <f aca="false">IFERROR(__xludf.dummyfunction("""COMPUTED_VALUE"""),105.65)</f>
        <v>105.65</v>
      </c>
      <c r="C759" s="2" t="n">
        <f aca="false">IFERROR(__xludf.dummyfunction("""COMPUTED_VALUE"""),107.8)</f>
        <v>107.8</v>
      </c>
      <c r="D759" s="2" t="n">
        <f aca="false">IFERROR(__xludf.dummyfunction("""COMPUTED_VALUE"""),105.2)</f>
        <v>105.2</v>
      </c>
      <c r="E759" s="2" t="n">
        <f aca="false">IFERROR(__xludf.dummyfunction("""COMPUTED_VALUE"""),107.49)</f>
        <v>107.49</v>
      </c>
      <c r="F759" s="2" t="n">
        <f aca="false">IFERROR(__xludf.dummyfunction("""COMPUTED_VALUE"""),3311029)</f>
        <v>3311029</v>
      </c>
    </row>
    <row r="760" customFormat="false" ht="15.75" hidden="false" customHeight="false" outlineLevel="0" collapsed="false">
      <c r="A760" s="3" t="n">
        <f aca="false">IFERROR(__xludf.dummyfunction("""COMPUTED_VALUE"""),45300.6666666667)</f>
        <v>45300.6666666667</v>
      </c>
      <c r="B760" s="2" t="n">
        <f aca="false">IFERROR(__xludf.dummyfunction("""COMPUTED_VALUE"""),106.56)</f>
        <v>106.56</v>
      </c>
      <c r="C760" s="2" t="n">
        <f aca="false">IFERROR(__xludf.dummyfunction("""COMPUTED_VALUE"""),108.85)</f>
        <v>108.85</v>
      </c>
      <c r="D760" s="2" t="n">
        <f aca="false">IFERROR(__xludf.dummyfunction("""COMPUTED_VALUE"""),106.47)</f>
        <v>106.47</v>
      </c>
      <c r="E760" s="2" t="n">
        <f aca="false">IFERROR(__xludf.dummyfunction("""COMPUTED_VALUE"""),108.25)</f>
        <v>108.25</v>
      </c>
      <c r="F760" s="2" t="n">
        <f aca="false">IFERROR(__xludf.dummyfunction("""COMPUTED_VALUE"""),2322534)</f>
        <v>2322534</v>
      </c>
    </row>
    <row r="761" customFormat="false" ht="15.75" hidden="false" customHeight="false" outlineLevel="0" collapsed="false">
      <c r="A761" s="3" t="n">
        <f aca="false">IFERROR(__xludf.dummyfunction("""COMPUTED_VALUE"""),45301.6666666667)</f>
        <v>45301.6666666667</v>
      </c>
      <c r="B761" s="2" t="n">
        <f aca="false">IFERROR(__xludf.dummyfunction("""COMPUTED_VALUE"""),108.04)</f>
        <v>108.04</v>
      </c>
      <c r="C761" s="2" t="n">
        <f aca="false">IFERROR(__xludf.dummyfunction("""COMPUTED_VALUE"""),108.3)</f>
        <v>108.3</v>
      </c>
      <c r="D761" s="2" t="n">
        <f aca="false">IFERROR(__xludf.dummyfunction("""COMPUTED_VALUE"""),106.26)</f>
        <v>106.26</v>
      </c>
      <c r="E761" s="2" t="n">
        <f aca="false">IFERROR(__xludf.dummyfunction("""COMPUTED_VALUE"""),108.06)</f>
        <v>108.06</v>
      </c>
      <c r="F761" s="2" t="n">
        <f aca="false">IFERROR(__xludf.dummyfunction("""COMPUTED_VALUE"""),1764345)</f>
        <v>1764345</v>
      </c>
    </row>
    <row r="762" customFormat="false" ht="15.75" hidden="false" customHeight="false" outlineLevel="0" collapsed="false">
      <c r="A762" s="3" t="n">
        <f aca="false">IFERROR(__xludf.dummyfunction("""COMPUTED_VALUE"""),45302.6666666667)</f>
        <v>45302.6666666667</v>
      </c>
      <c r="B762" s="2" t="n">
        <f aca="false">IFERROR(__xludf.dummyfunction("""COMPUTED_VALUE"""),108.43)</f>
        <v>108.43</v>
      </c>
      <c r="C762" s="2" t="n">
        <f aca="false">IFERROR(__xludf.dummyfunction("""COMPUTED_VALUE"""),110.13)</f>
        <v>110.13</v>
      </c>
      <c r="D762" s="2" t="n">
        <f aca="false">IFERROR(__xludf.dummyfunction("""COMPUTED_VALUE"""),107.45)</f>
        <v>107.45</v>
      </c>
      <c r="E762" s="2" t="n">
        <f aca="false">IFERROR(__xludf.dummyfunction("""COMPUTED_VALUE"""),110)</f>
        <v>110</v>
      </c>
      <c r="F762" s="2" t="n">
        <f aca="false">IFERROR(__xludf.dummyfunction("""COMPUTED_VALUE"""),2575722)</f>
        <v>2575722</v>
      </c>
    </row>
    <row r="763" customFormat="false" ht="15.75" hidden="false" customHeight="false" outlineLevel="0" collapsed="false">
      <c r="A763" s="3" t="n">
        <f aca="false">IFERROR(__xludf.dummyfunction("""COMPUTED_VALUE"""),45303.6666666667)</f>
        <v>45303.6666666667</v>
      </c>
      <c r="B763" s="2" t="n">
        <f aca="false">IFERROR(__xludf.dummyfunction("""COMPUTED_VALUE"""),111.21)</f>
        <v>111.21</v>
      </c>
      <c r="C763" s="2" t="n">
        <f aca="false">IFERROR(__xludf.dummyfunction("""COMPUTED_VALUE"""),111.57)</f>
        <v>111.57</v>
      </c>
      <c r="D763" s="2" t="n">
        <f aca="false">IFERROR(__xludf.dummyfunction("""COMPUTED_VALUE"""),110)</f>
        <v>110</v>
      </c>
      <c r="E763" s="2" t="n">
        <f aca="false">IFERROR(__xludf.dummyfunction("""COMPUTED_VALUE"""),110.77)</f>
        <v>110.77</v>
      </c>
      <c r="F763" s="2" t="n">
        <f aca="false">IFERROR(__xludf.dummyfunction("""COMPUTED_VALUE"""),2688196)</f>
        <v>2688196</v>
      </c>
    </row>
    <row r="764" customFormat="false" ht="15.75" hidden="false" customHeight="false" outlineLevel="0" collapsed="false">
      <c r="A764" s="3" t="n">
        <f aca="false">IFERROR(__xludf.dummyfunction("""COMPUTED_VALUE"""),45307.6666666667)</f>
        <v>45307.6666666667</v>
      </c>
      <c r="B764" s="2" t="n">
        <f aca="false">IFERROR(__xludf.dummyfunction("""COMPUTED_VALUE"""),111.23)</f>
        <v>111.23</v>
      </c>
      <c r="C764" s="2" t="n">
        <f aca="false">IFERROR(__xludf.dummyfunction("""COMPUTED_VALUE"""),112.62)</f>
        <v>112.62</v>
      </c>
      <c r="D764" s="2" t="n">
        <f aca="false">IFERROR(__xludf.dummyfunction("""COMPUTED_VALUE"""),109.86)</f>
        <v>109.86</v>
      </c>
      <c r="E764" s="2" t="n">
        <f aca="false">IFERROR(__xludf.dummyfunction("""COMPUTED_VALUE"""),111.5)</f>
        <v>111.5</v>
      </c>
      <c r="F764" s="2" t="n">
        <f aca="false">IFERROR(__xludf.dummyfunction("""COMPUTED_VALUE"""),2614508)</f>
        <v>2614508</v>
      </c>
    </row>
    <row r="765" customFormat="false" ht="15.75" hidden="false" customHeight="false" outlineLevel="0" collapsed="false">
      <c r="A765" s="3" t="n">
        <f aca="false">IFERROR(__xludf.dummyfunction("""COMPUTED_VALUE"""),45308.6666666667)</f>
        <v>45308.6666666667</v>
      </c>
      <c r="B765" s="2" t="n">
        <f aca="false">IFERROR(__xludf.dummyfunction("""COMPUTED_VALUE"""),110.63)</f>
        <v>110.63</v>
      </c>
      <c r="C765" s="2" t="n">
        <f aca="false">IFERROR(__xludf.dummyfunction("""COMPUTED_VALUE"""),111.31)</f>
        <v>111.31</v>
      </c>
      <c r="D765" s="2" t="n">
        <f aca="false">IFERROR(__xludf.dummyfunction("""COMPUTED_VALUE"""),109.02)</f>
        <v>109.02</v>
      </c>
      <c r="E765" s="2" t="n">
        <f aca="false">IFERROR(__xludf.dummyfunction("""COMPUTED_VALUE"""),110.37)</f>
        <v>110.37</v>
      </c>
      <c r="F765" s="2" t="n">
        <f aca="false">IFERROR(__xludf.dummyfunction("""COMPUTED_VALUE"""),1831405)</f>
        <v>1831405</v>
      </c>
    </row>
    <row r="766" customFormat="false" ht="15.75" hidden="false" customHeight="false" outlineLevel="0" collapsed="false">
      <c r="A766" s="3" t="n">
        <f aca="false">IFERROR(__xludf.dummyfunction("""COMPUTED_VALUE"""),45309.6666666667)</f>
        <v>45309.6666666667</v>
      </c>
      <c r="B766" s="2" t="n">
        <f aca="false">IFERROR(__xludf.dummyfunction("""COMPUTED_VALUE"""),112.49)</f>
        <v>112.49</v>
      </c>
      <c r="C766" s="2" t="n">
        <f aca="false">IFERROR(__xludf.dummyfunction("""COMPUTED_VALUE"""),114.65)</f>
        <v>114.65</v>
      </c>
      <c r="D766" s="2" t="n">
        <f aca="false">IFERROR(__xludf.dummyfunction("""COMPUTED_VALUE"""),112.19)</f>
        <v>112.19</v>
      </c>
      <c r="E766" s="2" t="n">
        <f aca="false">IFERROR(__xludf.dummyfunction("""COMPUTED_VALUE"""),114.39)</f>
        <v>114.39</v>
      </c>
      <c r="F766" s="2" t="n">
        <f aca="false">IFERROR(__xludf.dummyfunction("""COMPUTED_VALUE"""),3222840)</f>
        <v>3222840</v>
      </c>
    </row>
    <row r="767" customFormat="false" ht="15.75" hidden="false" customHeight="false" outlineLevel="0" collapsed="false">
      <c r="A767" s="3" t="n">
        <f aca="false">IFERROR(__xludf.dummyfunction("""COMPUTED_VALUE"""),45310.6666666667)</f>
        <v>45310.6666666667</v>
      </c>
      <c r="B767" s="2" t="n">
        <f aca="false">IFERROR(__xludf.dummyfunction("""COMPUTED_VALUE"""),115.73)</f>
        <v>115.73</v>
      </c>
      <c r="C767" s="2" t="n">
        <f aca="false">IFERROR(__xludf.dummyfunction("""COMPUTED_VALUE"""),121.7)</f>
        <v>121.7</v>
      </c>
      <c r="D767" s="2" t="n">
        <f aca="false">IFERROR(__xludf.dummyfunction("""COMPUTED_VALUE"""),115.6)</f>
        <v>115.6</v>
      </c>
      <c r="E767" s="2" t="n">
        <f aca="false">IFERROR(__xludf.dummyfunction("""COMPUTED_VALUE"""),121.12)</f>
        <v>121.12</v>
      </c>
      <c r="F767" s="2" t="n">
        <f aca="false">IFERROR(__xludf.dummyfunction("""COMPUTED_VALUE"""),5307712)</f>
        <v>5307712</v>
      </c>
    </row>
    <row r="768" customFormat="false" ht="15.75" hidden="false" customHeight="false" outlineLevel="0" collapsed="false">
      <c r="A768" s="3" t="n">
        <f aca="false">IFERROR(__xludf.dummyfunction("""COMPUTED_VALUE"""),45313.6666666667)</f>
        <v>45313.6666666667</v>
      </c>
      <c r="B768" s="2" t="n">
        <f aca="false">IFERROR(__xludf.dummyfunction("""COMPUTED_VALUE"""),121.63)</f>
        <v>121.63</v>
      </c>
      <c r="C768" s="2" t="n">
        <f aca="false">IFERROR(__xludf.dummyfunction("""COMPUTED_VALUE"""),123.13)</f>
        <v>123.13</v>
      </c>
      <c r="D768" s="2" t="n">
        <f aca="false">IFERROR(__xludf.dummyfunction("""COMPUTED_VALUE"""),120.82)</f>
        <v>120.82</v>
      </c>
      <c r="E768" s="2" t="n">
        <f aca="false">IFERROR(__xludf.dummyfunction("""COMPUTED_VALUE"""),122.05)</f>
        <v>122.05</v>
      </c>
      <c r="F768" s="2" t="n">
        <f aca="false">IFERROR(__xludf.dummyfunction("""COMPUTED_VALUE"""),3122224)</f>
        <v>3122224</v>
      </c>
    </row>
    <row r="769" customFormat="false" ht="15.75" hidden="false" customHeight="false" outlineLevel="0" collapsed="false">
      <c r="A769" s="3" t="n">
        <f aca="false">IFERROR(__xludf.dummyfunction("""COMPUTED_VALUE"""),45314.6666666667)</f>
        <v>45314.6666666667</v>
      </c>
      <c r="B769" s="2" t="n">
        <f aca="false">IFERROR(__xludf.dummyfunction("""COMPUTED_VALUE"""),122.1)</f>
        <v>122.1</v>
      </c>
      <c r="C769" s="2" t="n">
        <f aca="false">IFERROR(__xludf.dummyfunction("""COMPUTED_VALUE"""),122.7)</f>
        <v>122.7</v>
      </c>
      <c r="D769" s="2" t="n">
        <f aca="false">IFERROR(__xludf.dummyfunction("""COMPUTED_VALUE"""),120.35)</f>
        <v>120.35</v>
      </c>
      <c r="E769" s="2" t="n">
        <f aca="false">IFERROR(__xludf.dummyfunction("""COMPUTED_VALUE"""),122.63)</f>
        <v>122.63</v>
      </c>
      <c r="F769" s="2" t="n">
        <f aca="false">IFERROR(__xludf.dummyfunction("""COMPUTED_VALUE"""),1695211)</f>
        <v>1695211</v>
      </c>
    </row>
    <row r="770" customFormat="false" ht="15.75" hidden="false" customHeight="false" outlineLevel="0" collapsed="false">
      <c r="A770" s="3" t="n">
        <f aca="false">IFERROR(__xludf.dummyfunction("""COMPUTED_VALUE"""),45315.6666666667)</f>
        <v>45315.6666666667</v>
      </c>
      <c r="B770" s="2" t="n">
        <f aca="false">IFERROR(__xludf.dummyfunction("""COMPUTED_VALUE"""),124.23)</f>
        <v>124.23</v>
      </c>
      <c r="C770" s="2" t="n">
        <f aca="false">IFERROR(__xludf.dummyfunction("""COMPUTED_VALUE"""),128.45)</f>
        <v>128.45</v>
      </c>
      <c r="D770" s="2" t="n">
        <f aca="false">IFERROR(__xludf.dummyfunction("""COMPUTED_VALUE"""),123.1)</f>
        <v>123.1</v>
      </c>
      <c r="E770" s="2" t="n">
        <f aca="false">IFERROR(__xludf.dummyfunction("""COMPUTED_VALUE"""),125.39)</f>
        <v>125.39</v>
      </c>
      <c r="F770" s="2" t="n">
        <f aca="false">IFERROR(__xludf.dummyfunction("""COMPUTED_VALUE"""),3480482)</f>
        <v>3480482</v>
      </c>
    </row>
    <row r="771" customFormat="false" ht="15.75" hidden="false" customHeight="false" outlineLevel="0" collapsed="false">
      <c r="A771" s="3" t="n">
        <f aca="false">IFERROR(__xludf.dummyfunction("""COMPUTED_VALUE"""),45316.6666666667)</f>
        <v>45316.6666666667</v>
      </c>
      <c r="B771" s="2" t="n">
        <f aca="false">IFERROR(__xludf.dummyfunction("""COMPUTED_VALUE"""),128.1)</f>
        <v>128.1</v>
      </c>
      <c r="C771" s="2" t="n">
        <f aca="false">IFERROR(__xludf.dummyfunction("""COMPUTED_VALUE"""),128.1)</f>
        <v>128.1</v>
      </c>
      <c r="D771" s="2" t="n">
        <f aca="false">IFERROR(__xludf.dummyfunction("""COMPUTED_VALUE"""),122.88)</f>
        <v>122.88</v>
      </c>
      <c r="E771" s="2" t="n">
        <f aca="false">IFERROR(__xludf.dummyfunction("""COMPUTED_VALUE"""),123)</f>
        <v>123</v>
      </c>
      <c r="F771" s="2" t="n">
        <f aca="false">IFERROR(__xludf.dummyfunction("""COMPUTED_VALUE"""),3635610)</f>
        <v>3635610</v>
      </c>
    </row>
    <row r="772" customFormat="false" ht="15.75" hidden="false" customHeight="false" outlineLevel="0" collapsed="false">
      <c r="A772" s="3" t="n">
        <f aca="false">IFERROR(__xludf.dummyfunction("""COMPUTED_VALUE"""),45317.6666666667)</f>
        <v>45317.6666666667</v>
      </c>
      <c r="B772" s="2" t="n">
        <f aca="false">IFERROR(__xludf.dummyfunction("""COMPUTED_VALUE"""),121.97)</f>
        <v>121.97</v>
      </c>
      <c r="C772" s="2" t="n">
        <f aca="false">IFERROR(__xludf.dummyfunction("""COMPUTED_VALUE"""),122.12)</f>
        <v>122.12</v>
      </c>
      <c r="D772" s="2" t="n">
        <f aca="false">IFERROR(__xludf.dummyfunction("""COMPUTED_VALUE"""),120.02)</f>
        <v>120.02</v>
      </c>
      <c r="E772" s="2" t="n">
        <f aca="false">IFERROR(__xludf.dummyfunction("""COMPUTED_VALUE"""),120.49)</f>
        <v>120.49</v>
      </c>
      <c r="F772" s="2" t="n">
        <f aca="false">IFERROR(__xludf.dummyfunction("""COMPUTED_VALUE"""),2581760)</f>
        <v>2581760</v>
      </c>
    </row>
    <row r="773" customFormat="false" ht="15.75" hidden="false" customHeight="false" outlineLevel="0" collapsed="false">
      <c r="A773" s="3" t="n">
        <f aca="false">IFERROR(__xludf.dummyfunction("""COMPUTED_VALUE"""),45320.6666666667)</f>
        <v>45320.6666666667</v>
      </c>
      <c r="B773" s="2" t="n">
        <f aca="false">IFERROR(__xludf.dummyfunction("""COMPUTED_VALUE"""),121.49)</f>
        <v>121.49</v>
      </c>
      <c r="C773" s="2" t="n">
        <f aca="false">IFERROR(__xludf.dummyfunction("""COMPUTED_VALUE"""),122.37)</f>
        <v>122.37</v>
      </c>
      <c r="D773" s="2" t="n">
        <f aca="false">IFERROR(__xludf.dummyfunction("""COMPUTED_VALUE"""),120.5)</f>
        <v>120.5</v>
      </c>
      <c r="E773" s="2" t="n">
        <f aca="false">IFERROR(__xludf.dummyfunction("""COMPUTED_VALUE"""),121.78)</f>
        <v>121.78</v>
      </c>
      <c r="F773" s="2" t="n">
        <f aca="false">IFERROR(__xludf.dummyfunction("""COMPUTED_VALUE"""),2152647)</f>
        <v>2152647</v>
      </c>
    </row>
    <row r="774" customFormat="false" ht="15.75" hidden="false" customHeight="false" outlineLevel="0" collapsed="false">
      <c r="A774" s="3" t="n">
        <f aca="false">IFERROR(__xludf.dummyfunction("""COMPUTED_VALUE"""),45321.6666666667)</f>
        <v>45321.6666666667</v>
      </c>
      <c r="B774" s="2" t="n">
        <f aca="false">IFERROR(__xludf.dummyfunction("""COMPUTED_VALUE"""),121.68)</f>
        <v>121.68</v>
      </c>
      <c r="C774" s="2" t="n">
        <f aca="false">IFERROR(__xludf.dummyfunction("""COMPUTED_VALUE"""),122.8)</f>
        <v>122.8</v>
      </c>
      <c r="D774" s="2" t="n">
        <f aca="false">IFERROR(__xludf.dummyfunction("""COMPUTED_VALUE"""),120.43)</f>
        <v>120.43</v>
      </c>
      <c r="E774" s="2" t="n">
        <f aca="false">IFERROR(__xludf.dummyfunction("""COMPUTED_VALUE"""),120.82)</f>
        <v>120.82</v>
      </c>
      <c r="F774" s="2" t="n">
        <f aca="false">IFERROR(__xludf.dummyfunction("""COMPUTED_VALUE"""),2068254)</f>
        <v>2068254</v>
      </c>
    </row>
    <row r="775" customFormat="false" ht="15.75" hidden="false" customHeight="false" outlineLevel="0" collapsed="false">
      <c r="A775" s="3" t="n">
        <f aca="false">IFERROR(__xludf.dummyfunction("""COMPUTED_VALUE"""),45322.6666666667)</f>
        <v>45322.6666666667</v>
      </c>
      <c r="B775" s="2" t="n">
        <f aca="false">IFERROR(__xludf.dummyfunction("""COMPUTED_VALUE"""),118.95)</f>
        <v>118.95</v>
      </c>
      <c r="C775" s="2" t="n">
        <f aca="false">IFERROR(__xludf.dummyfunction("""COMPUTED_VALUE"""),119.72)</f>
        <v>119.72</v>
      </c>
      <c r="D775" s="2" t="n">
        <f aca="false">IFERROR(__xludf.dummyfunction("""COMPUTED_VALUE"""),117.43)</f>
        <v>117.43</v>
      </c>
      <c r="E775" s="2" t="n">
        <f aca="false">IFERROR(__xludf.dummyfunction("""COMPUTED_VALUE"""),118)</f>
        <v>118</v>
      </c>
      <c r="F775" s="2" t="n">
        <f aca="false">IFERROR(__xludf.dummyfunction("""COMPUTED_VALUE"""),2740019)</f>
        <v>2740019</v>
      </c>
    </row>
    <row r="776" customFormat="false" ht="15.75" hidden="false" customHeight="false" outlineLevel="0" collapsed="false">
      <c r="A776" s="3" t="n">
        <f aca="false">IFERROR(__xludf.dummyfunction("""COMPUTED_VALUE"""),45323.6666666667)</f>
        <v>45323.6666666667</v>
      </c>
      <c r="B776" s="2" t="n">
        <f aca="false">IFERROR(__xludf.dummyfunction("""COMPUTED_VALUE"""),118.74)</f>
        <v>118.74</v>
      </c>
      <c r="C776" s="2" t="n">
        <f aca="false">IFERROR(__xludf.dummyfunction("""COMPUTED_VALUE"""),120.31)</f>
        <v>120.31</v>
      </c>
      <c r="D776" s="2" t="n">
        <f aca="false">IFERROR(__xludf.dummyfunction("""COMPUTED_VALUE"""),117.91)</f>
        <v>117.91</v>
      </c>
      <c r="E776" s="2" t="n">
        <f aca="false">IFERROR(__xludf.dummyfunction("""COMPUTED_VALUE"""),120)</f>
        <v>120</v>
      </c>
      <c r="F776" s="2" t="n">
        <f aca="false">IFERROR(__xludf.dummyfunction("""COMPUTED_VALUE"""),1941128)</f>
        <v>1941128</v>
      </c>
    </row>
    <row r="777" customFormat="false" ht="15.75" hidden="false" customHeight="false" outlineLevel="0" collapsed="false">
      <c r="A777" s="3" t="n">
        <f aca="false">IFERROR(__xludf.dummyfunction("""COMPUTED_VALUE"""),45324.6666666667)</f>
        <v>45324.6666666667</v>
      </c>
      <c r="B777" s="2" t="n">
        <f aca="false">IFERROR(__xludf.dummyfunction("""COMPUTED_VALUE"""),120.88)</f>
        <v>120.88</v>
      </c>
      <c r="C777" s="2" t="n">
        <f aca="false">IFERROR(__xludf.dummyfunction("""COMPUTED_VALUE"""),123.47)</f>
        <v>123.47</v>
      </c>
      <c r="D777" s="2" t="n">
        <f aca="false">IFERROR(__xludf.dummyfunction("""COMPUTED_VALUE"""),120.52)</f>
        <v>120.52</v>
      </c>
      <c r="E777" s="2" t="n">
        <f aca="false">IFERROR(__xludf.dummyfunction("""COMPUTED_VALUE"""),122.43)</f>
        <v>122.43</v>
      </c>
      <c r="F777" s="2" t="n">
        <f aca="false">IFERROR(__xludf.dummyfunction("""COMPUTED_VALUE"""),2668929)</f>
        <v>2668929</v>
      </c>
    </row>
    <row r="778" customFormat="false" ht="15.75" hidden="false" customHeight="false" outlineLevel="0" collapsed="false">
      <c r="A778" s="3" t="n">
        <f aca="false">IFERROR(__xludf.dummyfunction("""COMPUTED_VALUE"""),45327.6666666667)</f>
        <v>45327.6666666667</v>
      </c>
      <c r="B778" s="2" t="n">
        <f aca="false">IFERROR(__xludf.dummyfunction("""COMPUTED_VALUE"""),122.7)</f>
        <v>122.7</v>
      </c>
      <c r="C778" s="2" t="n">
        <f aca="false">IFERROR(__xludf.dummyfunction("""COMPUTED_VALUE"""),124.78)</f>
        <v>124.78</v>
      </c>
      <c r="D778" s="2" t="n">
        <f aca="false">IFERROR(__xludf.dummyfunction("""COMPUTED_VALUE"""),122.22)</f>
        <v>122.22</v>
      </c>
      <c r="E778" s="2" t="n">
        <f aca="false">IFERROR(__xludf.dummyfunction("""COMPUTED_VALUE"""),124.31)</f>
        <v>124.31</v>
      </c>
      <c r="F778" s="2" t="n">
        <f aca="false">IFERROR(__xludf.dummyfunction("""COMPUTED_VALUE"""),2204452)</f>
        <v>2204452</v>
      </c>
    </row>
    <row r="779" customFormat="false" ht="15.75" hidden="false" customHeight="false" outlineLevel="0" collapsed="false">
      <c r="A779" s="3" t="n">
        <f aca="false">IFERROR(__xludf.dummyfunction("""COMPUTED_VALUE"""),45328.6666666667)</f>
        <v>45328.6666666667</v>
      </c>
      <c r="B779" s="2" t="n">
        <f aca="false">IFERROR(__xludf.dummyfunction("""COMPUTED_VALUE"""),126.36)</f>
        <v>126.36</v>
      </c>
      <c r="C779" s="2" t="n">
        <f aca="false">IFERROR(__xludf.dummyfunction("""COMPUTED_VALUE"""),127.21)</f>
        <v>127.21</v>
      </c>
      <c r="D779" s="2" t="n">
        <f aca="false">IFERROR(__xludf.dummyfunction("""COMPUTED_VALUE"""),121.19)</f>
        <v>121.19</v>
      </c>
      <c r="E779" s="2" t="n">
        <f aca="false">IFERROR(__xludf.dummyfunction("""COMPUTED_VALUE"""),122.27)</f>
        <v>122.27</v>
      </c>
      <c r="F779" s="2" t="n">
        <f aca="false">IFERROR(__xludf.dummyfunction("""COMPUTED_VALUE"""),2535410)</f>
        <v>2535410</v>
      </c>
    </row>
    <row r="780" customFormat="false" ht="15.75" hidden="false" customHeight="false" outlineLevel="0" collapsed="false">
      <c r="A780" s="3" t="n">
        <f aca="false">IFERROR(__xludf.dummyfunction("""COMPUTED_VALUE"""),45329.6666666667)</f>
        <v>45329.6666666667</v>
      </c>
      <c r="B780" s="2" t="n">
        <f aca="false">IFERROR(__xludf.dummyfunction("""COMPUTED_VALUE"""),123.4)</f>
        <v>123.4</v>
      </c>
      <c r="C780" s="2" t="n">
        <f aca="false">IFERROR(__xludf.dummyfunction("""COMPUTED_VALUE"""),125.95)</f>
        <v>125.95</v>
      </c>
      <c r="D780" s="2" t="n">
        <f aca="false">IFERROR(__xludf.dummyfunction("""COMPUTED_VALUE"""),122.67)</f>
        <v>122.67</v>
      </c>
      <c r="E780" s="2" t="n">
        <f aca="false">IFERROR(__xludf.dummyfunction("""COMPUTED_VALUE"""),125.71)</f>
        <v>125.71</v>
      </c>
      <c r="F780" s="2" t="n">
        <f aca="false">IFERROR(__xludf.dummyfunction("""COMPUTED_VALUE"""),2576775)</f>
        <v>2576775</v>
      </c>
    </row>
    <row r="781" customFormat="false" ht="15.75" hidden="false" customHeight="false" outlineLevel="0" collapsed="false">
      <c r="A781" s="3" t="n">
        <f aca="false">IFERROR(__xludf.dummyfunction("""COMPUTED_VALUE"""),45330.6666666667)</f>
        <v>45330.6666666667</v>
      </c>
      <c r="B781" s="2" t="n">
        <f aca="false">IFERROR(__xludf.dummyfunction("""COMPUTED_VALUE"""),126.7)</f>
        <v>126.7</v>
      </c>
      <c r="C781" s="2" t="n">
        <f aca="false">IFERROR(__xludf.dummyfunction("""COMPUTED_VALUE"""),129.6)</f>
        <v>129.6</v>
      </c>
      <c r="D781" s="2" t="n">
        <f aca="false">IFERROR(__xludf.dummyfunction("""COMPUTED_VALUE"""),126.5)</f>
        <v>126.5</v>
      </c>
      <c r="E781" s="2" t="n">
        <f aca="false">IFERROR(__xludf.dummyfunction("""COMPUTED_VALUE"""),127.48)</f>
        <v>127.48</v>
      </c>
      <c r="F781" s="2" t="n">
        <f aca="false">IFERROR(__xludf.dummyfunction("""COMPUTED_VALUE"""),2932624)</f>
        <v>2932624</v>
      </c>
    </row>
    <row r="782" customFormat="false" ht="15.75" hidden="false" customHeight="false" outlineLevel="0" collapsed="false">
      <c r="A782" s="3" t="n">
        <f aca="false">IFERROR(__xludf.dummyfunction("""COMPUTED_VALUE"""),45331.6666666667)</f>
        <v>45331.6666666667</v>
      </c>
      <c r="B782" s="2" t="n">
        <f aca="false">IFERROR(__xludf.dummyfunction("""COMPUTED_VALUE"""),125.2)</f>
        <v>125.2</v>
      </c>
      <c r="C782" s="2" t="n">
        <f aca="false">IFERROR(__xludf.dummyfunction("""COMPUTED_VALUE"""),128.57)</f>
        <v>128.57</v>
      </c>
      <c r="D782" s="2" t="n">
        <f aca="false">IFERROR(__xludf.dummyfunction("""COMPUTED_VALUE"""),124.9)</f>
        <v>124.9</v>
      </c>
      <c r="E782" s="2" t="n">
        <f aca="false">IFERROR(__xludf.dummyfunction("""COMPUTED_VALUE"""),128.34)</f>
        <v>128.34</v>
      </c>
      <c r="F782" s="2" t="n">
        <f aca="false">IFERROR(__xludf.dummyfunction("""COMPUTED_VALUE"""),2629289)</f>
        <v>2629289</v>
      </c>
    </row>
    <row r="783" customFormat="false" ht="15.75" hidden="false" customHeight="false" outlineLevel="0" collapsed="false">
      <c r="A783" s="3" t="n">
        <f aca="false">IFERROR(__xludf.dummyfunction("""COMPUTED_VALUE"""),45334.6666666667)</f>
        <v>45334.6666666667</v>
      </c>
      <c r="B783" s="2" t="n">
        <f aca="false">IFERROR(__xludf.dummyfunction("""COMPUTED_VALUE"""),129)</f>
        <v>129</v>
      </c>
      <c r="C783" s="2" t="n">
        <f aca="false">IFERROR(__xludf.dummyfunction("""COMPUTED_VALUE"""),129.01)</f>
        <v>129.01</v>
      </c>
      <c r="D783" s="2" t="n">
        <f aca="false">IFERROR(__xludf.dummyfunction("""COMPUTED_VALUE"""),125.9)</f>
        <v>125.9</v>
      </c>
      <c r="E783" s="2" t="n">
        <f aca="false">IFERROR(__xludf.dummyfunction("""COMPUTED_VALUE"""),126.5)</f>
        <v>126.5</v>
      </c>
      <c r="F783" s="2" t="n">
        <f aca="false">IFERROR(__xludf.dummyfunction("""COMPUTED_VALUE"""),2477822)</f>
        <v>2477822</v>
      </c>
    </row>
    <row r="784" customFormat="false" ht="15.75" hidden="false" customHeight="false" outlineLevel="0" collapsed="false">
      <c r="A784" s="3" t="n">
        <f aca="false">IFERROR(__xludf.dummyfunction("""COMPUTED_VALUE"""),45335.6666666667)</f>
        <v>45335.6666666667</v>
      </c>
      <c r="B784" s="2" t="n">
        <f aca="false">IFERROR(__xludf.dummyfunction("""COMPUTED_VALUE"""),123.51)</f>
        <v>123.51</v>
      </c>
      <c r="C784" s="2" t="n">
        <f aca="false">IFERROR(__xludf.dummyfunction("""COMPUTED_VALUE"""),125.59)</f>
        <v>125.59</v>
      </c>
      <c r="D784" s="2" t="n">
        <f aca="false">IFERROR(__xludf.dummyfunction("""COMPUTED_VALUE"""),122.71)</f>
        <v>122.71</v>
      </c>
      <c r="E784" s="2" t="n">
        <f aca="false">IFERROR(__xludf.dummyfunction("""COMPUTED_VALUE"""),125.17)</f>
        <v>125.17</v>
      </c>
      <c r="F784" s="2" t="n">
        <f aca="false">IFERROR(__xludf.dummyfunction("""COMPUTED_VALUE"""),3190652)</f>
        <v>3190652</v>
      </c>
    </row>
    <row r="785" customFormat="false" ht="15.75" hidden="false" customHeight="false" outlineLevel="0" collapsed="false">
      <c r="A785" s="3" t="n">
        <f aca="false">IFERROR(__xludf.dummyfunction("""COMPUTED_VALUE"""),45336.6666666667)</f>
        <v>45336.6666666667</v>
      </c>
      <c r="B785" s="2" t="n">
        <f aca="false">IFERROR(__xludf.dummyfunction("""COMPUTED_VALUE"""),126.92)</f>
        <v>126.92</v>
      </c>
      <c r="C785" s="2" t="n">
        <f aca="false">IFERROR(__xludf.dummyfunction("""COMPUTED_VALUE"""),127.3)</f>
        <v>127.3</v>
      </c>
      <c r="D785" s="2" t="n">
        <f aca="false">IFERROR(__xludf.dummyfunction("""COMPUTED_VALUE"""),124.13)</f>
        <v>124.13</v>
      </c>
      <c r="E785" s="2" t="n">
        <f aca="false">IFERROR(__xludf.dummyfunction("""COMPUTED_VALUE"""),126.22)</f>
        <v>126.22</v>
      </c>
      <c r="F785" s="2" t="n">
        <f aca="false">IFERROR(__xludf.dummyfunction("""COMPUTED_VALUE"""),2730626)</f>
        <v>2730626</v>
      </c>
    </row>
    <row r="786" customFormat="false" ht="15.75" hidden="false" customHeight="false" outlineLevel="0" collapsed="false">
      <c r="A786" s="3" t="n">
        <f aca="false">IFERROR(__xludf.dummyfunction("""COMPUTED_VALUE"""),45337.6666666667)</f>
        <v>45337.6666666667</v>
      </c>
      <c r="B786" s="2" t="n">
        <f aca="false">IFERROR(__xludf.dummyfunction("""COMPUTED_VALUE"""),128)</f>
        <v>128</v>
      </c>
      <c r="C786" s="2" t="n">
        <f aca="false">IFERROR(__xludf.dummyfunction("""COMPUTED_VALUE"""),128)</f>
        <v>128</v>
      </c>
      <c r="D786" s="2" t="n">
        <f aca="false">IFERROR(__xludf.dummyfunction("""COMPUTED_VALUE"""),124.49)</f>
        <v>124.49</v>
      </c>
      <c r="E786" s="2" t="n">
        <f aca="false">IFERROR(__xludf.dummyfunction("""COMPUTED_VALUE"""),126.51)</f>
        <v>126.51</v>
      </c>
      <c r="F786" s="2" t="n">
        <f aca="false">IFERROR(__xludf.dummyfunction("""COMPUTED_VALUE"""),2187344)</f>
        <v>2187344</v>
      </c>
    </row>
    <row r="787" customFormat="false" ht="15.75" hidden="false" customHeight="false" outlineLevel="0" collapsed="false">
      <c r="A787" s="3" t="n">
        <f aca="false">IFERROR(__xludf.dummyfunction("""COMPUTED_VALUE"""),45338.6666666667)</f>
        <v>45338.6666666667</v>
      </c>
      <c r="B787" s="2" t="n">
        <f aca="false">IFERROR(__xludf.dummyfunction("""COMPUTED_VALUE"""),125.9)</f>
        <v>125.9</v>
      </c>
      <c r="C787" s="2" t="n">
        <f aca="false">IFERROR(__xludf.dummyfunction("""COMPUTED_VALUE"""),127.57)</f>
        <v>127.57</v>
      </c>
      <c r="D787" s="2" t="n">
        <f aca="false">IFERROR(__xludf.dummyfunction("""COMPUTED_VALUE"""),124.24)</f>
        <v>124.24</v>
      </c>
      <c r="E787" s="2" t="n">
        <f aca="false">IFERROR(__xludf.dummyfunction("""COMPUTED_VALUE"""),124.55)</f>
        <v>124.55</v>
      </c>
      <c r="F787" s="2" t="n">
        <f aca="false">IFERROR(__xludf.dummyfunction("""COMPUTED_VALUE"""),2126805)</f>
        <v>2126805</v>
      </c>
    </row>
    <row r="788" customFormat="false" ht="15.75" hidden="false" customHeight="false" outlineLevel="0" collapsed="false">
      <c r="A788" s="3" t="n">
        <f aca="false">IFERROR(__xludf.dummyfunction("""COMPUTED_VALUE"""),45342.6666666667)</f>
        <v>45342.6666666667</v>
      </c>
      <c r="B788" s="2" t="n">
        <f aca="false">IFERROR(__xludf.dummyfunction("""COMPUTED_VALUE"""),123.59)</f>
        <v>123.59</v>
      </c>
      <c r="C788" s="2" t="n">
        <f aca="false">IFERROR(__xludf.dummyfunction("""COMPUTED_VALUE"""),123.77)</f>
        <v>123.77</v>
      </c>
      <c r="D788" s="2" t="n">
        <f aca="false">IFERROR(__xludf.dummyfunction("""COMPUTED_VALUE"""),121.26)</f>
        <v>121.26</v>
      </c>
      <c r="E788" s="2" t="n">
        <f aca="false">IFERROR(__xludf.dummyfunction("""COMPUTED_VALUE"""),122.66)</f>
        <v>122.66</v>
      </c>
      <c r="F788" s="2" t="n">
        <f aca="false">IFERROR(__xludf.dummyfunction("""COMPUTED_VALUE"""),2632919)</f>
        <v>2632919</v>
      </c>
    </row>
    <row r="789" customFormat="false" ht="15.75" hidden="false" customHeight="false" outlineLevel="0" collapsed="false">
      <c r="A789" s="3" t="n">
        <f aca="false">IFERROR(__xludf.dummyfunction("""COMPUTED_VALUE"""),45343.6666666667)</f>
        <v>45343.6666666667</v>
      </c>
      <c r="B789" s="2" t="n">
        <f aca="false">IFERROR(__xludf.dummyfunction("""COMPUTED_VALUE"""),121.8)</f>
        <v>121.8</v>
      </c>
      <c r="C789" s="2" t="n">
        <f aca="false">IFERROR(__xludf.dummyfunction("""COMPUTED_VALUE"""),122.81)</f>
        <v>122.81</v>
      </c>
      <c r="D789" s="2" t="n">
        <f aca="false">IFERROR(__xludf.dummyfunction("""COMPUTED_VALUE"""),120.26)</f>
        <v>120.26</v>
      </c>
      <c r="E789" s="2" t="n">
        <f aca="false">IFERROR(__xludf.dummyfunction("""COMPUTED_VALUE"""),122.75)</f>
        <v>122.75</v>
      </c>
      <c r="F789" s="2" t="n">
        <f aca="false">IFERROR(__xludf.dummyfunction("""COMPUTED_VALUE"""),2063983)</f>
        <v>2063983</v>
      </c>
    </row>
    <row r="790" customFormat="false" ht="15.75" hidden="false" customHeight="false" outlineLevel="0" collapsed="false">
      <c r="A790" s="3" t="n">
        <f aca="false">IFERROR(__xludf.dummyfunction("""COMPUTED_VALUE"""),45344.6666666667)</f>
        <v>45344.6666666667</v>
      </c>
      <c r="B790" s="2" t="n">
        <f aca="false">IFERROR(__xludf.dummyfunction("""COMPUTED_VALUE"""),128.17)</f>
        <v>128.17</v>
      </c>
      <c r="C790" s="2" t="n">
        <f aca="false">IFERROR(__xludf.dummyfunction("""COMPUTED_VALUE"""),131.1)</f>
        <v>131.1</v>
      </c>
      <c r="D790" s="2" t="n">
        <f aca="false">IFERROR(__xludf.dummyfunction("""COMPUTED_VALUE"""),127.65)</f>
        <v>127.65</v>
      </c>
      <c r="E790" s="2" t="n">
        <f aca="false">IFERROR(__xludf.dummyfunction("""COMPUTED_VALUE"""),130.49)</f>
        <v>130.49</v>
      </c>
      <c r="F790" s="2" t="n">
        <f aca="false">IFERROR(__xludf.dummyfunction("""COMPUTED_VALUE"""),4081926)</f>
        <v>4081926</v>
      </c>
    </row>
    <row r="791" customFormat="false" ht="15.75" hidden="false" customHeight="false" outlineLevel="0" collapsed="false">
      <c r="A791" s="3" t="n">
        <f aca="false">IFERROR(__xludf.dummyfunction("""COMPUTED_VALUE"""),45345.6666666667)</f>
        <v>45345.6666666667</v>
      </c>
      <c r="B791" s="2" t="n">
        <f aca="false">IFERROR(__xludf.dummyfunction("""COMPUTED_VALUE"""),130.84)</f>
        <v>130.84</v>
      </c>
      <c r="C791" s="2" t="n">
        <f aca="false">IFERROR(__xludf.dummyfunction("""COMPUTED_VALUE"""),131.96)</f>
        <v>131.96</v>
      </c>
      <c r="D791" s="2" t="n">
        <f aca="false">IFERROR(__xludf.dummyfunction("""COMPUTED_VALUE"""),128.88)</f>
        <v>128.88</v>
      </c>
      <c r="E791" s="2" t="n">
        <f aca="false">IFERROR(__xludf.dummyfunction("""COMPUTED_VALUE"""),129.64)</f>
        <v>129.64</v>
      </c>
      <c r="F791" s="2" t="n">
        <f aca="false">IFERROR(__xludf.dummyfunction("""COMPUTED_VALUE"""),2311464)</f>
        <v>2311464</v>
      </c>
    </row>
    <row r="792" customFormat="false" ht="15.75" hidden="false" customHeight="false" outlineLevel="0" collapsed="false">
      <c r="A792" s="3" t="n">
        <f aca="false">IFERROR(__xludf.dummyfunction("""COMPUTED_VALUE"""),45348.6666666667)</f>
        <v>45348.6666666667</v>
      </c>
      <c r="B792" s="2" t="n">
        <f aca="false">IFERROR(__xludf.dummyfunction("""COMPUTED_VALUE"""),131)</f>
        <v>131</v>
      </c>
      <c r="C792" s="2" t="n">
        <f aca="false">IFERROR(__xludf.dummyfunction("""COMPUTED_VALUE"""),131.88)</f>
        <v>131.88</v>
      </c>
      <c r="D792" s="2" t="n">
        <f aca="false">IFERROR(__xludf.dummyfunction("""COMPUTED_VALUE"""),130.15)</f>
        <v>130.15</v>
      </c>
      <c r="E792" s="2" t="n">
        <f aca="false">IFERROR(__xludf.dummyfunction("""COMPUTED_VALUE"""),130.91)</f>
        <v>130.91</v>
      </c>
      <c r="F792" s="2" t="n">
        <f aca="false">IFERROR(__xludf.dummyfunction("""COMPUTED_VALUE"""),1628248)</f>
        <v>1628248</v>
      </c>
    </row>
    <row r="793" customFormat="false" ht="15.75" hidden="false" customHeight="false" outlineLevel="0" collapsed="false">
      <c r="A793" s="3" t="n">
        <f aca="false">IFERROR(__xludf.dummyfunction("""COMPUTED_VALUE"""),45349.6666666667)</f>
        <v>45349.6666666667</v>
      </c>
      <c r="B793" s="2" t="n">
        <f aca="false">IFERROR(__xludf.dummyfunction("""COMPUTED_VALUE"""),130.91)</f>
        <v>130.91</v>
      </c>
      <c r="C793" s="2" t="n">
        <f aca="false">IFERROR(__xludf.dummyfunction("""COMPUTED_VALUE"""),131.19)</f>
        <v>131.19</v>
      </c>
      <c r="D793" s="2" t="n">
        <f aca="false">IFERROR(__xludf.dummyfunction("""COMPUTED_VALUE"""),129.22)</f>
        <v>129.22</v>
      </c>
      <c r="E793" s="2" t="n">
        <f aca="false">IFERROR(__xludf.dummyfunction("""COMPUTED_VALUE"""),129.62)</f>
        <v>129.62</v>
      </c>
      <c r="F793" s="2" t="n">
        <f aca="false">IFERROR(__xludf.dummyfunction("""COMPUTED_VALUE"""),1212605)</f>
        <v>1212605</v>
      </c>
    </row>
    <row r="794" customFormat="false" ht="15.75" hidden="false" customHeight="false" outlineLevel="0" collapsed="false">
      <c r="A794" s="3" t="n">
        <f aca="false">IFERROR(__xludf.dummyfunction("""COMPUTED_VALUE"""),45350.6666666667)</f>
        <v>45350.6666666667</v>
      </c>
      <c r="B794" s="2" t="n">
        <f aca="false">IFERROR(__xludf.dummyfunction("""COMPUTED_VALUE"""),129.3)</f>
        <v>129.3</v>
      </c>
      <c r="C794" s="2" t="n">
        <f aca="false">IFERROR(__xludf.dummyfunction("""COMPUTED_VALUE"""),129.85)</f>
        <v>129.85</v>
      </c>
      <c r="D794" s="2" t="n">
        <f aca="false">IFERROR(__xludf.dummyfunction("""COMPUTED_VALUE"""),128.3)</f>
        <v>128.3</v>
      </c>
      <c r="E794" s="2" t="n">
        <f aca="false">IFERROR(__xludf.dummyfunction("""COMPUTED_VALUE"""),128.94)</f>
        <v>128.94</v>
      </c>
      <c r="F794" s="2" t="n">
        <f aca="false">IFERROR(__xludf.dummyfunction("""COMPUTED_VALUE"""),1096718)</f>
        <v>1096718</v>
      </c>
    </row>
    <row r="795" customFormat="false" ht="15.75" hidden="false" customHeight="false" outlineLevel="0" collapsed="false">
      <c r="A795" s="3" t="n">
        <f aca="false">IFERROR(__xludf.dummyfunction("""COMPUTED_VALUE"""),45351.6666666667)</f>
        <v>45351.6666666667</v>
      </c>
      <c r="B795" s="2" t="n">
        <f aca="false">IFERROR(__xludf.dummyfunction("""COMPUTED_VALUE"""),130.33)</f>
        <v>130.33</v>
      </c>
      <c r="C795" s="2" t="n">
        <f aca="false">IFERROR(__xludf.dummyfunction("""COMPUTED_VALUE"""),130.84)</f>
        <v>130.84</v>
      </c>
      <c r="D795" s="2" t="n">
        <f aca="false">IFERROR(__xludf.dummyfunction("""COMPUTED_VALUE"""),128.73)</f>
        <v>128.73</v>
      </c>
      <c r="E795" s="2" t="n">
        <f aca="false">IFERROR(__xludf.dummyfunction("""COMPUTED_VALUE"""),130.05)</f>
        <v>130.05</v>
      </c>
      <c r="F795" s="2" t="n">
        <f aca="false">IFERROR(__xludf.dummyfunction("""COMPUTED_VALUE"""),2753564)</f>
        <v>2753564</v>
      </c>
    </row>
    <row r="796" customFormat="false" ht="15.75" hidden="false" customHeight="false" outlineLevel="0" collapsed="false">
      <c r="A796" s="3" t="n">
        <f aca="false">IFERROR(__xludf.dummyfunction("""COMPUTED_VALUE"""),45352.6666666667)</f>
        <v>45352.6666666667</v>
      </c>
      <c r="B796" s="2" t="n">
        <f aca="false">IFERROR(__xludf.dummyfunction("""COMPUTED_VALUE"""),132.59)</f>
        <v>132.59</v>
      </c>
      <c r="C796" s="2" t="n">
        <f aca="false">IFERROR(__xludf.dummyfunction("""COMPUTED_VALUE"""),140.78)</f>
        <v>140.78</v>
      </c>
      <c r="D796" s="2" t="n">
        <f aca="false">IFERROR(__xludf.dummyfunction("""COMPUTED_VALUE"""),132)</f>
        <v>132</v>
      </c>
      <c r="E796" s="2" t="n">
        <f aca="false">IFERROR(__xludf.dummyfunction("""COMPUTED_VALUE"""),139.92)</f>
        <v>139.92</v>
      </c>
      <c r="F796" s="2" t="n">
        <f aca="false">IFERROR(__xludf.dummyfunction("""COMPUTED_VALUE"""),4448772)</f>
        <v>4448772</v>
      </c>
    </row>
    <row r="797" customFormat="false" ht="15.75" hidden="false" customHeight="false" outlineLevel="0" collapsed="false">
      <c r="A797" s="3" t="n">
        <f aca="false">IFERROR(__xludf.dummyfunction("""COMPUTED_VALUE"""),45355.6666666667)</f>
        <v>45355.6666666667</v>
      </c>
      <c r="B797" s="2" t="n">
        <f aca="false">IFERROR(__xludf.dummyfunction("""COMPUTED_VALUE"""),140.32)</f>
        <v>140.32</v>
      </c>
      <c r="C797" s="2" t="n">
        <f aca="false">IFERROR(__xludf.dummyfunction("""COMPUTED_VALUE"""),143.82)</f>
        <v>143.82</v>
      </c>
      <c r="D797" s="2" t="n">
        <f aca="false">IFERROR(__xludf.dummyfunction("""COMPUTED_VALUE"""),138.52)</f>
        <v>138.52</v>
      </c>
      <c r="E797" s="2" t="n">
        <f aca="false">IFERROR(__xludf.dummyfunction("""COMPUTED_VALUE"""),140.23)</f>
        <v>140.23</v>
      </c>
      <c r="F797" s="2" t="n">
        <f aca="false">IFERROR(__xludf.dummyfunction("""COMPUTED_VALUE"""),3485418)</f>
        <v>3485418</v>
      </c>
    </row>
    <row r="798" customFormat="false" ht="15.75" hidden="false" customHeight="false" outlineLevel="0" collapsed="false">
      <c r="A798" s="3" t="n">
        <f aca="false">IFERROR(__xludf.dummyfunction("""COMPUTED_VALUE"""),45356.6666666667)</f>
        <v>45356.6666666667</v>
      </c>
      <c r="B798" s="2" t="n">
        <f aca="false">IFERROR(__xludf.dummyfunction("""COMPUTED_VALUE"""),139.5)</f>
        <v>139.5</v>
      </c>
      <c r="C798" s="2" t="n">
        <f aca="false">IFERROR(__xludf.dummyfunction("""COMPUTED_VALUE"""),139.5)</f>
        <v>139.5</v>
      </c>
      <c r="D798" s="2" t="n">
        <f aca="false">IFERROR(__xludf.dummyfunction("""COMPUTED_VALUE"""),133.24)</f>
        <v>133.24</v>
      </c>
      <c r="E798" s="2" t="n">
        <f aca="false">IFERROR(__xludf.dummyfunction("""COMPUTED_VALUE"""),134.28)</f>
        <v>134.28</v>
      </c>
      <c r="F798" s="2" t="n">
        <f aca="false">IFERROR(__xludf.dummyfunction("""COMPUTED_VALUE"""),3603975)</f>
        <v>3603975</v>
      </c>
    </row>
    <row r="799" customFormat="false" ht="15.75" hidden="false" customHeight="false" outlineLevel="0" collapsed="false">
      <c r="A799" s="3" t="n">
        <f aca="false">IFERROR(__xludf.dummyfunction("""COMPUTED_VALUE"""),45357.6666666667)</f>
        <v>45357.6666666667</v>
      </c>
      <c r="B799" s="2" t="n">
        <f aca="false">IFERROR(__xludf.dummyfunction("""COMPUTED_VALUE"""),139.16)</f>
        <v>139.16</v>
      </c>
      <c r="C799" s="2" t="n">
        <f aca="false">IFERROR(__xludf.dummyfunction("""COMPUTED_VALUE"""),139.48)</f>
        <v>139.48</v>
      </c>
      <c r="D799" s="2" t="n">
        <f aca="false">IFERROR(__xludf.dummyfunction("""COMPUTED_VALUE"""),134.71)</f>
        <v>134.71</v>
      </c>
      <c r="E799" s="2" t="n">
        <f aca="false">IFERROR(__xludf.dummyfunction("""COMPUTED_VALUE"""),135)</f>
        <v>135</v>
      </c>
      <c r="F799" s="2" t="n">
        <f aca="false">IFERROR(__xludf.dummyfunction("""COMPUTED_VALUE"""),4319589)</f>
        <v>4319589</v>
      </c>
    </row>
    <row r="800" customFormat="false" ht="15.75" hidden="false" customHeight="false" outlineLevel="0" collapsed="false">
      <c r="A800" s="3" t="n">
        <f aca="false">IFERROR(__xludf.dummyfunction("""COMPUTED_VALUE"""),45358.6666666667)</f>
        <v>45358.6666666667</v>
      </c>
      <c r="B800" s="2" t="n">
        <f aca="false">IFERROR(__xludf.dummyfunction("""COMPUTED_VALUE"""),138.2)</f>
        <v>138.2</v>
      </c>
      <c r="C800" s="2" t="n">
        <f aca="false">IFERROR(__xludf.dummyfunction("""COMPUTED_VALUE"""),141.43)</f>
        <v>141.43</v>
      </c>
      <c r="D800" s="2" t="n">
        <f aca="false">IFERROR(__xludf.dummyfunction("""COMPUTED_VALUE"""),137.29)</f>
        <v>137.29</v>
      </c>
      <c r="E800" s="2" t="n">
        <f aca="false">IFERROR(__xludf.dummyfunction("""COMPUTED_VALUE"""),140.7)</f>
        <v>140.7</v>
      </c>
      <c r="F800" s="2" t="n">
        <f aca="false">IFERROR(__xludf.dummyfunction("""COMPUTED_VALUE"""),6283177)</f>
        <v>6283177</v>
      </c>
    </row>
    <row r="801" customFormat="false" ht="15.75" hidden="false" customHeight="false" outlineLevel="0" collapsed="false">
      <c r="A801" s="3" t="n">
        <f aca="false">IFERROR(__xludf.dummyfunction("""COMPUTED_VALUE"""),45359.6666666667)</f>
        <v>45359.6666666667</v>
      </c>
      <c r="B801" s="2" t="n">
        <f aca="false">IFERROR(__xludf.dummyfunction("""COMPUTED_VALUE"""),139.43)</f>
        <v>139.43</v>
      </c>
      <c r="C801" s="2" t="n">
        <f aca="false">IFERROR(__xludf.dummyfunction("""COMPUTED_VALUE"""),141.3)</f>
        <v>141.3</v>
      </c>
      <c r="D801" s="2" t="n">
        <f aca="false">IFERROR(__xludf.dummyfunction("""COMPUTED_VALUE"""),130.16)</f>
        <v>130.16</v>
      </c>
      <c r="E801" s="2" t="n">
        <f aca="false">IFERROR(__xludf.dummyfunction("""COMPUTED_VALUE"""),130.87)</f>
        <v>130.87</v>
      </c>
      <c r="F801" s="2" t="n">
        <f aca="false">IFERROR(__xludf.dummyfunction("""COMPUTED_VALUE"""),7402484)</f>
        <v>7402484</v>
      </c>
    </row>
    <row r="802" customFormat="false" ht="15.75" hidden="false" customHeight="false" outlineLevel="0" collapsed="false">
      <c r="A802" s="3" t="n">
        <f aca="false">IFERROR(__xludf.dummyfunction("""COMPUTED_VALUE"""),45362.6666666667)</f>
        <v>45362.6666666667</v>
      </c>
      <c r="B802" s="2" t="n">
        <f aca="false">IFERROR(__xludf.dummyfunction("""COMPUTED_VALUE"""),127.79)</f>
        <v>127.79</v>
      </c>
      <c r="C802" s="2" t="n">
        <f aca="false">IFERROR(__xludf.dummyfunction("""COMPUTED_VALUE"""),129.9)</f>
        <v>129.9</v>
      </c>
      <c r="D802" s="2" t="n">
        <f aca="false">IFERROR(__xludf.dummyfunction("""COMPUTED_VALUE"""),125.26)</f>
        <v>125.26</v>
      </c>
      <c r="E802" s="2" t="n">
        <f aca="false">IFERROR(__xludf.dummyfunction("""COMPUTED_VALUE"""),129.31)</f>
        <v>129.31</v>
      </c>
      <c r="F802" s="2" t="n">
        <f aca="false">IFERROR(__xludf.dummyfunction("""COMPUTED_VALUE"""),3110512)</f>
        <v>3110512</v>
      </c>
    </row>
    <row r="803" customFormat="false" ht="15.75" hidden="false" customHeight="false" outlineLevel="0" collapsed="false">
      <c r="A803" s="3" t="n">
        <f aca="false">IFERROR(__xludf.dummyfunction("""COMPUTED_VALUE"""),45363.6666666667)</f>
        <v>45363.6666666667</v>
      </c>
      <c r="B803" s="2" t="n">
        <f aca="false">IFERROR(__xludf.dummyfunction("""COMPUTED_VALUE"""),130.7)</f>
        <v>130.7</v>
      </c>
      <c r="C803" s="2" t="n">
        <f aca="false">IFERROR(__xludf.dummyfunction("""COMPUTED_VALUE"""),130.78)</f>
        <v>130.78</v>
      </c>
      <c r="D803" s="2" t="n">
        <f aca="false">IFERROR(__xludf.dummyfunction("""COMPUTED_VALUE"""),125.93)</f>
        <v>125.93</v>
      </c>
      <c r="E803" s="2" t="n">
        <f aca="false">IFERROR(__xludf.dummyfunction("""COMPUTED_VALUE"""),129.19)</f>
        <v>129.19</v>
      </c>
      <c r="F803" s="2" t="n">
        <f aca="false">IFERROR(__xludf.dummyfunction("""COMPUTED_VALUE"""),4278913)</f>
        <v>4278913</v>
      </c>
    </row>
    <row r="804" customFormat="false" ht="15.75" hidden="false" customHeight="false" outlineLevel="0" collapsed="false">
      <c r="A804" s="3" t="n">
        <f aca="false">IFERROR(__xludf.dummyfunction("""COMPUTED_VALUE"""),45364.6666666667)</f>
        <v>45364.6666666667</v>
      </c>
      <c r="B804" s="2" t="n">
        <f aca="false">IFERROR(__xludf.dummyfunction("""COMPUTED_VALUE"""),128.29)</f>
        <v>128.29</v>
      </c>
      <c r="C804" s="2" t="n">
        <f aca="false">IFERROR(__xludf.dummyfunction("""COMPUTED_VALUE"""),128.29)</f>
        <v>128.29</v>
      </c>
      <c r="D804" s="2" t="n">
        <f aca="false">IFERROR(__xludf.dummyfunction("""COMPUTED_VALUE"""),125.24)</f>
        <v>125.24</v>
      </c>
      <c r="E804" s="2" t="n">
        <f aca="false">IFERROR(__xludf.dummyfunction("""COMPUTED_VALUE"""),125.79)</f>
        <v>125.79</v>
      </c>
      <c r="F804" s="2" t="n">
        <f aca="false">IFERROR(__xludf.dummyfunction("""COMPUTED_VALUE"""),3783848)</f>
        <v>3783848</v>
      </c>
    </row>
    <row r="805" customFormat="false" ht="15.75" hidden="false" customHeight="false" outlineLevel="0" collapsed="false">
      <c r="A805" s="3" t="n">
        <f aca="false">IFERROR(__xludf.dummyfunction("""COMPUTED_VALUE"""),45365.6666666667)</f>
        <v>45365.6666666667</v>
      </c>
      <c r="B805" s="2" t="n">
        <f aca="false">IFERROR(__xludf.dummyfunction("""COMPUTED_VALUE"""),126.25)</f>
        <v>126.25</v>
      </c>
      <c r="C805" s="2" t="n">
        <f aca="false">IFERROR(__xludf.dummyfunction("""COMPUTED_VALUE"""),127.31)</f>
        <v>127.31</v>
      </c>
      <c r="D805" s="2" t="n">
        <f aca="false">IFERROR(__xludf.dummyfunction("""COMPUTED_VALUE"""),124.77)</f>
        <v>124.77</v>
      </c>
      <c r="E805" s="2" t="n">
        <f aca="false">IFERROR(__xludf.dummyfunction("""COMPUTED_VALUE"""),126.23)</f>
        <v>126.23</v>
      </c>
      <c r="F805" s="2" t="n">
        <f aca="false">IFERROR(__xludf.dummyfunction("""COMPUTED_VALUE"""),3802938)</f>
        <v>3802938</v>
      </c>
    </row>
    <row r="806" customFormat="false" ht="15.75" hidden="false" customHeight="false" outlineLevel="0" collapsed="false">
      <c r="A806" s="3" t="n">
        <f aca="false">IFERROR(__xludf.dummyfunction("""COMPUTED_VALUE"""),45366.6666666667)</f>
        <v>45366.6666666667</v>
      </c>
      <c r="B806" s="2" t="n">
        <f aca="false">IFERROR(__xludf.dummyfunction("""COMPUTED_VALUE"""),125.35)</f>
        <v>125.35</v>
      </c>
      <c r="C806" s="2" t="n">
        <f aca="false">IFERROR(__xludf.dummyfunction("""COMPUTED_VALUE"""),126.74)</f>
        <v>126.74</v>
      </c>
      <c r="D806" s="2" t="n">
        <f aca="false">IFERROR(__xludf.dummyfunction("""COMPUTED_VALUE"""),123.01)</f>
        <v>123.01</v>
      </c>
      <c r="E806" s="2" t="n">
        <f aca="false">IFERROR(__xludf.dummyfunction("""COMPUTED_VALUE"""),123.55)</f>
        <v>123.55</v>
      </c>
      <c r="F806" s="2" t="n">
        <f aca="false">IFERROR(__xludf.dummyfunction("""COMPUTED_VALUE"""),8882251)</f>
        <v>8882251</v>
      </c>
    </row>
    <row r="807" customFormat="false" ht="15.75" hidden="false" customHeight="false" outlineLevel="0" collapsed="false">
      <c r="A807" s="3" t="n">
        <f aca="false">IFERROR(__xludf.dummyfunction("""COMPUTED_VALUE"""),45369.6666666667)</f>
        <v>45369.6666666667</v>
      </c>
      <c r="B807" s="2" t="n">
        <f aca="false">IFERROR(__xludf.dummyfunction("""COMPUTED_VALUE"""),125.4)</f>
        <v>125.4</v>
      </c>
      <c r="C807" s="2" t="n">
        <f aca="false">IFERROR(__xludf.dummyfunction("""COMPUTED_VALUE"""),126.29)</f>
        <v>126.29</v>
      </c>
      <c r="D807" s="2" t="n">
        <f aca="false">IFERROR(__xludf.dummyfunction("""COMPUTED_VALUE"""),123.17)</f>
        <v>123.17</v>
      </c>
      <c r="E807" s="2" t="n">
        <f aca="false">IFERROR(__xludf.dummyfunction("""COMPUTED_VALUE"""),123.72)</f>
        <v>123.72</v>
      </c>
      <c r="F807" s="2" t="n">
        <f aca="false">IFERROR(__xludf.dummyfunction("""COMPUTED_VALUE"""),2573716)</f>
        <v>2573716</v>
      </c>
    </row>
    <row r="808" customFormat="false" ht="15.75" hidden="false" customHeight="false" outlineLevel="0" collapsed="false">
      <c r="A808" s="3" t="n">
        <f aca="false">IFERROR(__xludf.dummyfunction("""COMPUTED_VALUE"""),45370.6666666667)</f>
        <v>45370.6666666667</v>
      </c>
      <c r="B808" s="2" t="n">
        <f aca="false">IFERROR(__xludf.dummyfunction("""COMPUTED_VALUE"""),121.7)</f>
        <v>121.7</v>
      </c>
      <c r="C808" s="2" t="n">
        <f aca="false">IFERROR(__xludf.dummyfunction("""COMPUTED_VALUE"""),124.03)</f>
        <v>124.03</v>
      </c>
      <c r="D808" s="2" t="n">
        <f aca="false">IFERROR(__xludf.dummyfunction("""COMPUTED_VALUE"""),120.4)</f>
        <v>120.4</v>
      </c>
      <c r="E808" s="2" t="n">
        <f aca="false">IFERROR(__xludf.dummyfunction("""COMPUTED_VALUE"""),123.8)</f>
        <v>123.8</v>
      </c>
      <c r="F808" s="2" t="n">
        <f aca="false">IFERROR(__xludf.dummyfunction("""COMPUTED_VALUE"""),2449087)</f>
        <v>2449087</v>
      </c>
    </row>
    <row r="809" customFormat="false" ht="15.75" hidden="false" customHeight="false" outlineLevel="0" collapsed="false">
      <c r="A809" s="3" t="n">
        <f aca="false">IFERROR(__xludf.dummyfunction("""COMPUTED_VALUE"""),45371.6666666667)</f>
        <v>45371.6666666667</v>
      </c>
      <c r="B809" s="2" t="n">
        <f aca="false">IFERROR(__xludf.dummyfunction("""COMPUTED_VALUE"""),123.9)</f>
        <v>123.9</v>
      </c>
      <c r="C809" s="2" t="n">
        <f aca="false">IFERROR(__xludf.dummyfunction("""COMPUTED_VALUE"""),128.8)</f>
        <v>128.8</v>
      </c>
      <c r="D809" s="2" t="n">
        <f aca="false">IFERROR(__xludf.dummyfunction("""COMPUTED_VALUE"""),122.66)</f>
        <v>122.66</v>
      </c>
      <c r="E809" s="2" t="n">
        <f aca="false">IFERROR(__xludf.dummyfunction("""COMPUTED_VALUE"""),127.6)</f>
        <v>127.6</v>
      </c>
      <c r="F809" s="2" t="n">
        <f aca="false">IFERROR(__xludf.dummyfunction("""COMPUTED_VALUE"""),4094614)</f>
        <v>4094614</v>
      </c>
    </row>
    <row r="810" customFormat="false" ht="15.75" hidden="false" customHeight="false" outlineLevel="0" collapsed="false">
      <c r="A810" s="3" t="n">
        <f aca="false">IFERROR(__xludf.dummyfunction("""COMPUTED_VALUE"""),45372.6666666667)</f>
        <v>45372.6666666667</v>
      </c>
      <c r="B810" s="2" t="n">
        <f aca="false">IFERROR(__xludf.dummyfunction("""COMPUTED_VALUE"""),132.83)</f>
        <v>132.83</v>
      </c>
      <c r="C810" s="2" t="n">
        <f aca="false">IFERROR(__xludf.dummyfunction("""COMPUTED_VALUE"""),140.36)</f>
        <v>140.36</v>
      </c>
      <c r="D810" s="2" t="n">
        <f aca="false">IFERROR(__xludf.dummyfunction("""COMPUTED_VALUE"""),131.6)</f>
        <v>131.6</v>
      </c>
      <c r="E810" s="2" t="n">
        <f aca="false">IFERROR(__xludf.dummyfunction("""COMPUTED_VALUE"""),134.8)</f>
        <v>134.8</v>
      </c>
      <c r="F810" s="2" t="n">
        <f aca="false">IFERROR(__xludf.dummyfunction("""COMPUTED_VALUE"""),7246773)</f>
        <v>7246773</v>
      </c>
    </row>
    <row r="811" customFormat="false" ht="15.75" hidden="false" customHeight="false" outlineLevel="0" collapsed="false">
      <c r="A811" s="3" t="n">
        <f aca="false">IFERROR(__xludf.dummyfunction("""COMPUTED_VALUE"""),45373.6666666667)</f>
        <v>45373.6666666667</v>
      </c>
      <c r="B811" s="2" t="n">
        <f aca="false">IFERROR(__xludf.dummyfunction("""COMPUTED_VALUE"""),135)</f>
        <v>135</v>
      </c>
      <c r="C811" s="2" t="n">
        <f aca="false">IFERROR(__xludf.dummyfunction("""COMPUTED_VALUE"""),137.62)</f>
        <v>137.62</v>
      </c>
      <c r="D811" s="2" t="n">
        <f aca="false">IFERROR(__xludf.dummyfunction("""COMPUTED_VALUE"""),134.62)</f>
        <v>134.62</v>
      </c>
      <c r="E811" s="2" t="n">
        <f aca="false">IFERROR(__xludf.dummyfunction("""COMPUTED_VALUE"""),135.35)</f>
        <v>135.35</v>
      </c>
      <c r="F811" s="2" t="n">
        <f aca="false">IFERROR(__xludf.dummyfunction("""COMPUTED_VALUE"""),3862386)</f>
        <v>3862386</v>
      </c>
    </row>
    <row r="812" customFormat="false" ht="15.75" hidden="false" customHeight="false" outlineLevel="0" collapsed="false">
      <c r="A812" s="3" t="n">
        <f aca="false">IFERROR(__xludf.dummyfunction("""COMPUTED_VALUE"""),45376.6666666667)</f>
        <v>45376.6666666667</v>
      </c>
      <c r="B812" s="2" t="n">
        <f aca="false">IFERROR(__xludf.dummyfunction("""COMPUTED_VALUE"""),134.5)</f>
        <v>134.5</v>
      </c>
      <c r="C812" s="2" t="n">
        <f aca="false">IFERROR(__xludf.dummyfunction("""COMPUTED_VALUE"""),135.84)</f>
        <v>135.84</v>
      </c>
      <c r="D812" s="2" t="n">
        <f aca="false">IFERROR(__xludf.dummyfunction("""COMPUTED_VALUE"""),133.75)</f>
        <v>133.75</v>
      </c>
      <c r="E812" s="2" t="n">
        <f aca="false">IFERROR(__xludf.dummyfunction("""COMPUTED_VALUE"""),135.16)</f>
        <v>135.16</v>
      </c>
      <c r="F812" s="2" t="n">
        <f aca="false">IFERROR(__xludf.dummyfunction("""COMPUTED_VALUE"""),2123660)</f>
        <v>2123660</v>
      </c>
    </row>
    <row r="813" customFormat="false" ht="15.75" hidden="false" customHeight="false" outlineLevel="0" collapsed="false">
      <c r="A813" s="3" t="n">
        <f aca="false">IFERROR(__xludf.dummyfunction("""COMPUTED_VALUE"""),45377.6666666667)</f>
        <v>45377.6666666667</v>
      </c>
      <c r="B813" s="2" t="n">
        <f aca="false">IFERROR(__xludf.dummyfunction("""COMPUTED_VALUE"""),136.47)</f>
        <v>136.47</v>
      </c>
      <c r="C813" s="2" t="n">
        <f aca="false">IFERROR(__xludf.dummyfunction("""COMPUTED_VALUE"""),137.99)</f>
        <v>137.99</v>
      </c>
      <c r="D813" s="2" t="n">
        <f aca="false">IFERROR(__xludf.dummyfunction("""COMPUTED_VALUE"""),133.05)</f>
        <v>133.05</v>
      </c>
      <c r="E813" s="2" t="n">
        <f aca="false">IFERROR(__xludf.dummyfunction("""COMPUTED_VALUE"""),133.15)</f>
        <v>133.15</v>
      </c>
      <c r="F813" s="2" t="n">
        <f aca="false">IFERROR(__xludf.dummyfunction("""COMPUTED_VALUE"""),2352218)</f>
        <v>2352218</v>
      </c>
    </row>
    <row r="814" customFormat="false" ht="15.75" hidden="false" customHeight="false" outlineLevel="0" collapsed="false">
      <c r="A814" s="3" t="n">
        <f aca="false">IFERROR(__xludf.dummyfunction("""COMPUTED_VALUE"""),45378.6666666667)</f>
        <v>45378.6666666667</v>
      </c>
      <c r="B814" s="2" t="n">
        <f aca="false">IFERROR(__xludf.dummyfunction("""COMPUTED_VALUE"""),135)</f>
        <v>135</v>
      </c>
      <c r="C814" s="2" t="n">
        <f aca="false">IFERROR(__xludf.dummyfunction("""COMPUTED_VALUE"""),135)</f>
        <v>135</v>
      </c>
      <c r="D814" s="2" t="n">
        <f aca="false">IFERROR(__xludf.dummyfunction("""COMPUTED_VALUE"""),129.6)</f>
        <v>129.6</v>
      </c>
      <c r="E814" s="2" t="n">
        <f aca="false">IFERROR(__xludf.dummyfunction("""COMPUTED_VALUE"""),131.87)</f>
        <v>131.87</v>
      </c>
      <c r="F814" s="2" t="n">
        <f aca="false">IFERROR(__xludf.dummyfunction("""COMPUTED_VALUE"""),2558265)</f>
        <v>2558265</v>
      </c>
    </row>
    <row r="815" customFormat="false" ht="15.75" hidden="false" customHeight="false" outlineLevel="0" collapsed="false">
      <c r="A815" s="3" t="n">
        <f aca="false">IFERROR(__xludf.dummyfunction("""COMPUTED_VALUE"""),45379.6666666667)</f>
        <v>45379.6666666667</v>
      </c>
      <c r="B815" s="2" t="n">
        <f aca="false">IFERROR(__xludf.dummyfunction("""COMPUTED_VALUE"""),131.79)</f>
        <v>131.79</v>
      </c>
      <c r="C815" s="2" t="n">
        <f aca="false">IFERROR(__xludf.dummyfunction("""COMPUTED_VALUE"""),133.01)</f>
        <v>133.01</v>
      </c>
      <c r="D815" s="2" t="n">
        <f aca="false">IFERROR(__xludf.dummyfunction("""COMPUTED_VALUE"""),131.15)</f>
        <v>131.15</v>
      </c>
      <c r="E815" s="2" t="n">
        <f aca="false">IFERROR(__xludf.dummyfunction("""COMPUTED_VALUE"""),132.54)</f>
        <v>132.54</v>
      </c>
      <c r="F815" s="2" t="n">
        <f aca="false">IFERROR(__xludf.dummyfunction("""COMPUTED_VALUE"""),1985552)</f>
        <v>1985552</v>
      </c>
    </row>
    <row r="816" customFormat="false" ht="15.75" hidden="false" customHeight="false" outlineLevel="0" collapsed="false">
      <c r="A816" s="3" t="n">
        <f aca="false">IFERROR(__xludf.dummyfunction("""COMPUTED_VALUE"""),45383.6666666667)</f>
        <v>45383.6666666667</v>
      </c>
      <c r="B816" s="2" t="n">
        <f aca="false">IFERROR(__xludf.dummyfunction("""COMPUTED_VALUE"""),132.57)</f>
        <v>132.57</v>
      </c>
      <c r="C816" s="2" t="n">
        <f aca="false">IFERROR(__xludf.dummyfunction("""COMPUTED_VALUE"""),136.3)</f>
        <v>136.3</v>
      </c>
      <c r="D816" s="2" t="n">
        <f aca="false">IFERROR(__xludf.dummyfunction("""COMPUTED_VALUE"""),132.54)</f>
        <v>132.54</v>
      </c>
      <c r="E816" s="2" t="n">
        <f aca="false">IFERROR(__xludf.dummyfunction("""COMPUTED_VALUE"""),135.03)</f>
        <v>135.03</v>
      </c>
      <c r="F816" s="2" t="n">
        <f aca="false">IFERROR(__xludf.dummyfunction("""COMPUTED_VALUE"""),1725196)</f>
        <v>1725196</v>
      </c>
    </row>
    <row r="817" customFormat="false" ht="15.75" hidden="false" customHeight="false" outlineLevel="0" collapsed="false">
      <c r="A817" s="3" t="n">
        <f aca="false">IFERROR(__xludf.dummyfunction("""COMPUTED_VALUE"""),45384.6666666667)</f>
        <v>45384.6666666667</v>
      </c>
      <c r="B817" s="2" t="n">
        <f aca="false">IFERROR(__xludf.dummyfunction("""COMPUTED_VALUE"""),131.58)</f>
        <v>131.58</v>
      </c>
      <c r="C817" s="2" t="n">
        <f aca="false">IFERROR(__xludf.dummyfunction("""COMPUTED_VALUE"""),134.24)</f>
        <v>134.24</v>
      </c>
      <c r="D817" s="2" t="n">
        <f aca="false">IFERROR(__xludf.dummyfunction("""COMPUTED_VALUE"""),130.34)</f>
        <v>130.34</v>
      </c>
      <c r="E817" s="2" t="n">
        <f aca="false">IFERROR(__xludf.dummyfunction("""COMPUTED_VALUE"""),133.88)</f>
        <v>133.88</v>
      </c>
      <c r="F817" s="2" t="n">
        <f aca="false">IFERROR(__xludf.dummyfunction("""COMPUTED_VALUE"""),2469356)</f>
        <v>2469356</v>
      </c>
    </row>
    <row r="818" customFormat="false" ht="15.75" hidden="false" customHeight="false" outlineLevel="0" collapsed="false">
      <c r="A818" s="3" t="n">
        <f aca="false">IFERROR(__xludf.dummyfunction("""COMPUTED_VALUE"""),45385.6666666667)</f>
        <v>45385.6666666667</v>
      </c>
      <c r="B818" s="2" t="n">
        <f aca="false">IFERROR(__xludf.dummyfunction("""COMPUTED_VALUE"""),132.8)</f>
        <v>132.8</v>
      </c>
      <c r="C818" s="2" t="n">
        <f aca="false">IFERROR(__xludf.dummyfunction("""COMPUTED_VALUE"""),137.68)</f>
        <v>137.68</v>
      </c>
      <c r="D818" s="2" t="n">
        <f aca="false">IFERROR(__xludf.dummyfunction("""COMPUTED_VALUE"""),132.53)</f>
        <v>132.53</v>
      </c>
      <c r="E818" s="2" t="n">
        <f aca="false">IFERROR(__xludf.dummyfunction("""COMPUTED_VALUE"""),136.32)</f>
        <v>136.32</v>
      </c>
      <c r="F818" s="2" t="n">
        <f aca="false">IFERROR(__xludf.dummyfunction("""COMPUTED_VALUE"""),2865042)</f>
        <v>2865042</v>
      </c>
    </row>
    <row r="819" customFormat="false" ht="15.75" hidden="false" customHeight="false" outlineLevel="0" collapsed="false">
      <c r="A819" s="3" t="n">
        <f aca="false">IFERROR(__xludf.dummyfunction("""COMPUTED_VALUE"""),45386.6666666667)</f>
        <v>45386.6666666667</v>
      </c>
      <c r="B819" s="2" t="n">
        <f aca="false">IFERROR(__xludf.dummyfunction("""COMPUTED_VALUE"""),138.53)</f>
        <v>138.53</v>
      </c>
      <c r="C819" s="2" t="n">
        <f aca="false">IFERROR(__xludf.dummyfunction("""COMPUTED_VALUE"""),140.4)</f>
        <v>140.4</v>
      </c>
      <c r="D819" s="2" t="n">
        <f aca="false">IFERROR(__xludf.dummyfunction("""COMPUTED_VALUE"""),131.5)</f>
        <v>131.5</v>
      </c>
      <c r="E819" s="2" t="n">
        <f aca="false">IFERROR(__xludf.dummyfunction("""COMPUTED_VALUE"""),131.75)</f>
        <v>131.75</v>
      </c>
      <c r="F819" s="2" t="n">
        <f aca="false">IFERROR(__xludf.dummyfunction("""COMPUTED_VALUE"""),2701365)</f>
        <v>2701365</v>
      </c>
    </row>
    <row r="820" customFormat="false" ht="15.75" hidden="false" customHeight="false" outlineLevel="0" collapsed="false">
      <c r="A820" s="3" t="n">
        <f aca="false">IFERROR(__xludf.dummyfunction("""COMPUTED_VALUE"""),45387.6666666667)</f>
        <v>45387.6666666667</v>
      </c>
      <c r="B820" s="2" t="n">
        <f aca="false">IFERROR(__xludf.dummyfunction("""COMPUTED_VALUE"""),132.6)</f>
        <v>132.6</v>
      </c>
      <c r="C820" s="2" t="n">
        <f aca="false">IFERROR(__xludf.dummyfunction("""COMPUTED_VALUE"""),136.12)</f>
        <v>136.12</v>
      </c>
      <c r="D820" s="2" t="n">
        <f aca="false">IFERROR(__xludf.dummyfunction("""COMPUTED_VALUE"""),131.42)</f>
        <v>131.42</v>
      </c>
      <c r="E820" s="2" t="n">
        <f aca="false">IFERROR(__xludf.dummyfunction("""COMPUTED_VALUE"""),133.94)</f>
        <v>133.94</v>
      </c>
      <c r="F820" s="2" t="n">
        <f aca="false">IFERROR(__xludf.dummyfunction("""COMPUTED_VALUE"""),1943828)</f>
        <v>1943828</v>
      </c>
    </row>
    <row r="821" customFormat="false" ht="15.75" hidden="false" customHeight="false" outlineLevel="0" collapsed="false">
      <c r="A821" s="3" t="n">
        <f aca="false">IFERROR(__xludf.dummyfunction("""COMPUTED_VALUE"""),45390.6666666667)</f>
        <v>45390.6666666667</v>
      </c>
      <c r="B821" s="2" t="n">
        <f aca="false">IFERROR(__xludf.dummyfunction("""COMPUTED_VALUE"""),133.37)</f>
        <v>133.37</v>
      </c>
      <c r="C821" s="2" t="n">
        <f aca="false">IFERROR(__xludf.dummyfunction("""COMPUTED_VALUE"""),134.25)</f>
        <v>134.25</v>
      </c>
      <c r="D821" s="2" t="n">
        <f aca="false">IFERROR(__xludf.dummyfunction("""COMPUTED_VALUE"""),131.58)</f>
        <v>131.58</v>
      </c>
      <c r="E821" s="2" t="n">
        <f aca="false">IFERROR(__xludf.dummyfunction("""COMPUTED_VALUE"""),133.61)</f>
        <v>133.61</v>
      </c>
      <c r="F821" s="2" t="n">
        <f aca="false">IFERROR(__xludf.dummyfunction("""COMPUTED_VALUE"""),1713917)</f>
        <v>1713917</v>
      </c>
    </row>
    <row r="822" customFormat="false" ht="15.75" hidden="false" customHeight="false" outlineLevel="0" collapsed="false">
      <c r="A822" s="3" t="n">
        <f aca="false">IFERROR(__xludf.dummyfunction("""COMPUTED_VALUE"""),45391.6666666667)</f>
        <v>45391.6666666667</v>
      </c>
      <c r="B822" s="2" t="n">
        <f aca="false">IFERROR(__xludf.dummyfunction("""COMPUTED_VALUE"""),135.74)</f>
        <v>135.74</v>
      </c>
      <c r="C822" s="2" t="n">
        <f aca="false">IFERROR(__xludf.dummyfunction("""COMPUTED_VALUE"""),135.95)</f>
        <v>135.95</v>
      </c>
      <c r="D822" s="2" t="n">
        <f aca="false">IFERROR(__xludf.dummyfunction("""COMPUTED_VALUE"""),130.86)</f>
        <v>130.86</v>
      </c>
      <c r="E822" s="2" t="n">
        <f aca="false">IFERROR(__xludf.dummyfunction("""COMPUTED_VALUE"""),133.41)</f>
        <v>133.41</v>
      </c>
      <c r="F822" s="2" t="n">
        <f aca="false">IFERROR(__xludf.dummyfunction("""COMPUTED_VALUE"""),1800794)</f>
        <v>1800794</v>
      </c>
    </row>
    <row r="823" customFormat="false" ht="15.75" hidden="false" customHeight="false" outlineLevel="0" collapsed="false">
      <c r="A823" s="3" t="n">
        <f aca="false">IFERROR(__xludf.dummyfunction("""COMPUTED_VALUE"""),45392.6666666667)</f>
        <v>45392.6666666667</v>
      </c>
      <c r="B823" s="2" t="n">
        <f aca="false">IFERROR(__xludf.dummyfunction("""COMPUTED_VALUE"""),132.3)</f>
        <v>132.3</v>
      </c>
      <c r="C823" s="2" t="n">
        <f aca="false">IFERROR(__xludf.dummyfunction("""COMPUTED_VALUE"""),133.57)</f>
        <v>133.57</v>
      </c>
      <c r="D823" s="2" t="n">
        <f aca="false">IFERROR(__xludf.dummyfunction("""COMPUTED_VALUE"""),131.55)</f>
        <v>131.55</v>
      </c>
      <c r="E823" s="2" t="n">
        <f aca="false">IFERROR(__xludf.dummyfunction("""COMPUTED_VALUE"""),132.24)</f>
        <v>132.24</v>
      </c>
      <c r="F823" s="2" t="n">
        <f aca="false">IFERROR(__xludf.dummyfunction("""COMPUTED_VALUE"""),1746652)</f>
        <v>1746652</v>
      </c>
    </row>
    <row r="824" customFormat="false" ht="15.75" hidden="false" customHeight="false" outlineLevel="0" collapsed="false">
      <c r="A824" s="3" t="n">
        <f aca="false">IFERROR(__xludf.dummyfunction("""COMPUTED_VALUE"""),45393.6666666667)</f>
        <v>45393.6666666667</v>
      </c>
      <c r="B824" s="2" t="n">
        <f aca="false">IFERROR(__xludf.dummyfunction("""COMPUTED_VALUE"""),133.27)</f>
        <v>133.27</v>
      </c>
      <c r="C824" s="2" t="n">
        <f aca="false">IFERROR(__xludf.dummyfunction("""COMPUTED_VALUE"""),139.19)</f>
        <v>139.19</v>
      </c>
      <c r="D824" s="2" t="n">
        <f aca="false">IFERROR(__xludf.dummyfunction("""COMPUTED_VALUE"""),132.37)</f>
        <v>132.37</v>
      </c>
      <c r="E824" s="2" t="n">
        <f aca="false">IFERROR(__xludf.dummyfunction("""COMPUTED_VALUE"""),138.25)</f>
        <v>138.25</v>
      </c>
      <c r="F824" s="2" t="n">
        <f aca="false">IFERROR(__xludf.dummyfunction("""COMPUTED_VALUE"""),3171331)</f>
        <v>3171331</v>
      </c>
    </row>
    <row r="825" customFormat="false" ht="15.75" hidden="false" customHeight="false" outlineLevel="0" collapsed="false">
      <c r="A825" s="3" t="n">
        <f aca="false">IFERROR(__xludf.dummyfunction("""COMPUTED_VALUE"""),45394.6666666667)</f>
        <v>45394.6666666667</v>
      </c>
      <c r="B825" s="2" t="n">
        <f aca="false">IFERROR(__xludf.dummyfunction("""COMPUTED_VALUE"""),135.2)</f>
        <v>135.2</v>
      </c>
      <c r="C825" s="2" t="n">
        <f aca="false">IFERROR(__xludf.dummyfunction("""COMPUTED_VALUE"""),136.65)</f>
        <v>136.65</v>
      </c>
      <c r="D825" s="2" t="n">
        <f aca="false">IFERROR(__xludf.dummyfunction("""COMPUTED_VALUE"""),133.66)</f>
        <v>133.66</v>
      </c>
      <c r="E825" s="2" t="n">
        <f aca="false">IFERROR(__xludf.dummyfunction("""COMPUTED_VALUE"""),134.41)</f>
        <v>134.41</v>
      </c>
      <c r="F825" s="2" t="n">
        <f aca="false">IFERROR(__xludf.dummyfunction("""COMPUTED_VALUE"""),2782332)</f>
        <v>2782332</v>
      </c>
    </row>
    <row r="826" customFormat="false" ht="15.75" hidden="false" customHeight="false" outlineLevel="0" collapsed="false">
      <c r="A826" s="3" t="n">
        <f aca="false">IFERROR(__xludf.dummyfunction("""COMPUTED_VALUE"""),45397.6666666667)</f>
        <v>45397.6666666667</v>
      </c>
      <c r="B826" s="2" t="n">
        <f aca="false">IFERROR(__xludf.dummyfunction("""COMPUTED_VALUE"""),137)</f>
        <v>137</v>
      </c>
      <c r="C826" s="2" t="n">
        <f aca="false">IFERROR(__xludf.dummyfunction("""COMPUTED_VALUE"""),137)</f>
        <v>137</v>
      </c>
      <c r="D826" s="2" t="n">
        <f aca="false">IFERROR(__xludf.dummyfunction("""COMPUTED_VALUE"""),130.6)</f>
        <v>130.6</v>
      </c>
      <c r="E826" s="2" t="n">
        <f aca="false">IFERROR(__xludf.dummyfunction("""COMPUTED_VALUE"""),131.07)</f>
        <v>131.07</v>
      </c>
      <c r="F826" s="2" t="n">
        <f aca="false">IFERROR(__xludf.dummyfunction("""COMPUTED_VALUE"""),2437045)</f>
        <v>2437045</v>
      </c>
    </row>
    <row r="827" customFormat="false" ht="15.75" hidden="false" customHeight="false" outlineLevel="0" collapsed="false">
      <c r="A827" s="3" t="n">
        <f aca="false">IFERROR(__xludf.dummyfunction("""COMPUTED_VALUE"""),45398.6666666667)</f>
        <v>45398.6666666667</v>
      </c>
      <c r="B827" s="2" t="n">
        <f aca="false">IFERROR(__xludf.dummyfunction("""COMPUTED_VALUE"""),131.54)</f>
        <v>131.54</v>
      </c>
      <c r="C827" s="2" t="n">
        <f aca="false">IFERROR(__xludf.dummyfunction("""COMPUTED_VALUE"""),133.63)</f>
        <v>133.63</v>
      </c>
      <c r="D827" s="2" t="n">
        <f aca="false">IFERROR(__xludf.dummyfunction("""COMPUTED_VALUE"""),131.1)</f>
        <v>131.1</v>
      </c>
      <c r="E827" s="2" t="n">
        <f aca="false">IFERROR(__xludf.dummyfunction("""COMPUTED_VALUE"""),132.91)</f>
        <v>132.91</v>
      </c>
      <c r="F827" s="2" t="n">
        <f aca="false">IFERROR(__xludf.dummyfunction("""COMPUTED_VALUE"""),1892274)</f>
        <v>1892274</v>
      </c>
    </row>
    <row r="828" customFormat="false" ht="15.75" hidden="false" customHeight="false" outlineLevel="0" collapsed="false">
      <c r="A828" s="3" t="n">
        <f aca="false">IFERROR(__xludf.dummyfunction("""COMPUTED_VALUE"""),45399.6666666667)</f>
        <v>45399.6666666667</v>
      </c>
      <c r="B828" s="2" t="n">
        <f aca="false">IFERROR(__xludf.dummyfunction("""COMPUTED_VALUE"""),134.31)</f>
        <v>134.31</v>
      </c>
      <c r="C828" s="2" t="n">
        <f aca="false">IFERROR(__xludf.dummyfunction("""COMPUTED_VALUE"""),134.7)</f>
        <v>134.7</v>
      </c>
      <c r="D828" s="2" t="n">
        <f aca="false">IFERROR(__xludf.dummyfunction("""COMPUTED_VALUE"""),128.14)</f>
        <v>128.14</v>
      </c>
      <c r="E828" s="2" t="n">
        <f aca="false">IFERROR(__xludf.dummyfunction("""COMPUTED_VALUE"""),128.26)</f>
        <v>128.26</v>
      </c>
      <c r="F828" s="2" t="n">
        <f aca="false">IFERROR(__xludf.dummyfunction("""COMPUTED_VALUE"""),2471780)</f>
        <v>2471780</v>
      </c>
    </row>
    <row r="829" customFormat="false" ht="15.75" hidden="false" customHeight="false" outlineLevel="0" collapsed="false">
      <c r="A829" s="3" t="n">
        <f aca="false">IFERROR(__xludf.dummyfunction("""COMPUTED_VALUE"""),45400.6666666667)</f>
        <v>45400.6666666667</v>
      </c>
      <c r="B829" s="2" t="n">
        <f aca="false">IFERROR(__xludf.dummyfunction("""COMPUTED_VALUE"""),128.8)</f>
        <v>128.8</v>
      </c>
      <c r="C829" s="2" t="n">
        <f aca="false">IFERROR(__xludf.dummyfunction("""COMPUTED_VALUE"""),129.26)</f>
        <v>129.26</v>
      </c>
      <c r="D829" s="2" t="n">
        <f aca="false">IFERROR(__xludf.dummyfunction("""COMPUTED_VALUE"""),125.55)</f>
        <v>125.55</v>
      </c>
      <c r="E829" s="2" t="n">
        <f aca="false">IFERROR(__xludf.dummyfunction("""COMPUTED_VALUE"""),125.9)</f>
        <v>125.9</v>
      </c>
      <c r="F829" s="2" t="n">
        <f aca="false">IFERROR(__xludf.dummyfunction("""COMPUTED_VALUE"""),2488803)</f>
        <v>2488803</v>
      </c>
    </row>
    <row r="830" customFormat="false" ht="15.75" hidden="false" customHeight="false" outlineLevel="0" collapsed="false">
      <c r="A830" s="3" t="n">
        <f aca="false">IFERROR(__xludf.dummyfunction("""COMPUTED_VALUE"""),45401.6666666667)</f>
        <v>45401.6666666667</v>
      </c>
      <c r="B830" s="2" t="n">
        <f aca="false">IFERROR(__xludf.dummyfunction("""COMPUTED_VALUE"""),125.9)</f>
        <v>125.9</v>
      </c>
      <c r="C830" s="2" t="n">
        <f aca="false">IFERROR(__xludf.dummyfunction("""COMPUTED_VALUE"""),126)</f>
        <v>126</v>
      </c>
      <c r="D830" s="2" t="n">
        <f aca="false">IFERROR(__xludf.dummyfunction("""COMPUTED_VALUE"""),119.76)</f>
        <v>119.76</v>
      </c>
      <c r="E830" s="2" t="n">
        <f aca="false">IFERROR(__xludf.dummyfunction("""COMPUTED_VALUE"""),120.47)</f>
        <v>120.47</v>
      </c>
      <c r="F830" s="2" t="n">
        <f aca="false">IFERROR(__xludf.dummyfunction("""COMPUTED_VALUE"""),4479658)</f>
        <v>4479658</v>
      </c>
    </row>
    <row r="831" customFormat="false" ht="15.75" hidden="false" customHeight="false" outlineLevel="0" collapsed="false">
      <c r="A831" s="3" t="n">
        <f aca="false">IFERROR(__xludf.dummyfunction("""COMPUTED_VALUE"""),45404.6666666667)</f>
        <v>45404.6666666667</v>
      </c>
      <c r="B831" s="2" t="n">
        <f aca="false">IFERROR(__xludf.dummyfunction("""COMPUTED_VALUE"""),122.45)</f>
        <v>122.45</v>
      </c>
      <c r="C831" s="2" t="n">
        <f aca="false">IFERROR(__xludf.dummyfunction("""COMPUTED_VALUE"""),123.32)</f>
        <v>123.32</v>
      </c>
      <c r="D831" s="2" t="n">
        <f aca="false">IFERROR(__xludf.dummyfunction("""COMPUTED_VALUE"""),120.05)</f>
        <v>120.05</v>
      </c>
      <c r="E831" s="2" t="n">
        <f aca="false">IFERROR(__xludf.dummyfunction("""COMPUTED_VALUE"""),122.45)</f>
        <v>122.45</v>
      </c>
      <c r="F831" s="2" t="n">
        <f aca="false">IFERROR(__xludf.dummyfunction("""COMPUTED_VALUE"""),2516218)</f>
        <v>2516218</v>
      </c>
    </row>
    <row r="832" customFormat="false" ht="15.75" hidden="false" customHeight="false" outlineLevel="0" collapsed="false">
      <c r="A832" s="3" t="n">
        <f aca="false">IFERROR(__xludf.dummyfunction("""COMPUTED_VALUE"""),45405.6666666667)</f>
        <v>45405.6666666667</v>
      </c>
      <c r="B832" s="2" t="n">
        <f aca="false">IFERROR(__xludf.dummyfunction("""COMPUTED_VALUE"""),122.82)</f>
        <v>122.82</v>
      </c>
      <c r="C832" s="2" t="n">
        <f aca="false">IFERROR(__xludf.dummyfunction("""COMPUTED_VALUE"""),125.79)</f>
        <v>125.79</v>
      </c>
      <c r="D832" s="2" t="n">
        <f aca="false">IFERROR(__xludf.dummyfunction("""COMPUTED_VALUE"""),122.8)</f>
        <v>122.8</v>
      </c>
      <c r="E832" s="2" t="n">
        <f aca="false">IFERROR(__xludf.dummyfunction("""COMPUTED_VALUE"""),124.92)</f>
        <v>124.92</v>
      </c>
      <c r="F832" s="2" t="n">
        <f aca="false">IFERROR(__xludf.dummyfunction("""COMPUTED_VALUE"""),2202513)</f>
        <v>2202513</v>
      </c>
    </row>
    <row r="833" customFormat="false" ht="15.75" hidden="false" customHeight="false" outlineLevel="0" collapsed="false">
      <c r="A833" s="3" t="n">
        <f aca="false">IFERROR(__xludf.dummyfunction("""COMPUTED_VALUE"""),45406.6666666667)</f>
        <v>45406.6666666667</v>
      </c>
      <c r="B833" s="2" t="n">
        <f aca="false">IFERROR(__xludf.dummyfunction("""COMPUTED_VALUE"""),126.39)</f>
        <v>126.39</v>
      </c>
      <c r="C833" s="2" t="n">
        <f aca="false">IFERROR(__xludf.dummyfunction("""COMPUTED_VALUE"""),128.56)</f>
        <v>128.56</v>
      </c>
      <c r="D833" s="2" t="n">
        <f aca="false">IFERROR(__xludf.dummyfunction("""COMPUTED_VALUE"""),124.5)</f>
        <v>124.5</v>
      </c>
      <c r="E833" s="2" t="n">
        <f aca="false">IFERROR(__xludf.dummyfunction("""COMPUTED_VALUE"""),125.68)</f>
        <v>125.68</v>
      </c>
      <c r="F833" s="2" t="n">
        <f aca="false">IFERROR(__xludf.dummyfunction("""COMPUTED_VALUE"""),2010793)</f>
        <v>2010793</v>
      </c>
    </row>
    <row r="834" customFormat="false" ht="15.75" hidden="false" customHeight="false" outlineLevel="0" collapsed="false">
      <c r="A834" s="3" t="n">
        <f aca="false">IFERROR(__xludf.dummyfunction("""COMPUTED_VALUE"""),45407.6666666667)</f>
        <v>45407.6666666667</v>
      </c>
      <c r="B834" s="2" t="n">
        <f aca="false">IFERROR(__xludf.dummyfunction("""COMPUTED_VALUE"""),127.25)</f>
        <v>127.25</v>
      </c>
      <c r="C834" s="2" t="n">
        <f aca="false">IFERROR(__xludf.dummyfunction("""COMPUTED_VALUE"""),130.8)</f>
        <v>130.8</v>
      </c>
      <c r="D834" s="2" t="n">
        <f aca="false">IFERROR(__xludf.dummyfunction("""COMPUTED_VALUE"""),125.7)</f>
        <v>125.7</v>
      </c>
      <c r="E834" s="2" t="n">
        <f aca="false">IFERROR(__xludf.dummyfunction("""COMPUTED_VALUE"""),129.44)</f>
        <v>129.44</v>
      </c>
      <c r="F834" s="2" t="n">
        <f aca="false">IFERROR(__xludf.dummyfunction("""COMPUTED_VALUE"""),3040967)</f>
        <v>3040967</v>
      </c>
    </row>
    <row r="835" customFormat="false" ht="15.75" hidden="false" customHeight="false" outlineLevel="0" collapsed="false">
      <c r="A835" s="3" t="n">
        <f aca="false">IFERROR(__xludf.dummyfunction("""COMPUTED_VALUE"""),45408.6666666667)</f>
        <v>45408.6666666667</v>
      </c>
      <c r="B835" s="2" t="n">
        <f aca="false">IFERROR(__xludf.dummyfunction("""COMPUTED_VALUE"""),131)</f>
        <v>131</v>
      </c>
      <c r="C835" s="2" t="n">
        <f aca="false">IFERROR(__xludf.dummyfunction("""COMPUTED_VALUE"""),135.58)</f>
        <v>135.58</v>
      </c>
      <c r="D835" s="2" t="n">
        <f aca="false">IFERROR(__xludf.dummyfunction("""COMPUTED_VALUE"""),130.31)</f>
        <v>130.31</v>
      </c>
      <c r="E835" s="2" t="n">
        <f aca="false">IFERROR(__xludf.dummyfunction("""COMPUTED_VALUE"""),134.41)</f>
        <v>134.41</v>
      </c>
      <c r="F835" s="2" t="n">
        <f aca="false">IFERROR(__xludf.dummyfunction("""COMPUTED_VALUE"""),2409983)</f>
        <v>2409983</v>
      </c>
    </row>
    <row r="836" customFormat="false" ht="15.75" hidden="false" customHeight="false" outlineLevel="0" collapsed="false">
      <c r="A836" s="3" t="n">
        <f aca="false">IFERROR(__xludf.dummyfunction("""COMPUTED_VALUE"""),45411.6666666667)</f>
        <v>45411.6666666667</v>
      </c>
      <c r="B836" s="2" t="n">
        <f aca="false">IFERROR(__xludf.dummyfunction("""COMPUTED_VALUE"""),134.41)</f>
        <v>134.41</v>
      </c>
      <c r="C836" s="2" t="n">
        <f aca="false">IFERROR(__xludf.dummyfunction("""COMPUTED_VALUE"""),135.3)</f>
        <v>135.3</v>
      </c>
      <c r="D836" s="2" t="n">
        <f aca="false">IFERROR(__xludf.dummyfunction("""COMPUTED_VALUE"""),132.57)</f>
        <v>132.57</v>
      </c>
      <c r="E836" s="2" t="n">
        <f aca="false">IFERROR(__xludf.dummyfunction("""COMPUTED_VALUE"""),133.86)</f>
        <v>133.86</v>
      </c>
      <c r="F836" s="2" t="n">
        <f aca="false">IFERROR(__xludf.dummyfunction("""COMPUTED_VALUE"""),1337179)</f>
        <v>1337179</v>
      </c>
    </row>
    <row r="837" customFormat="false" ht="15.75" hidden="false" customHeight="false" outlineLevel="0" collapsed="false">
      <c r="A837" s="3" t="n">
        <f aca="false">IFERROR(__xludf.dummyfunction("""COMPUTED_VALUE"""),45412.6666666667)</f>
        <v>45412.6666666667</v>
      </c>
      <c r="B837" s="2" t="n">
        <f aca="false">IFERROR(__xludf.dummyfunction("""COMPUTED_VALUE"""),132.89)</f>
        <v>132.89</v>
      </c>
      <c r="C837" s="2" t="n">
        <f aca="false">IFERROR(__xludf.dummyfunction("""COMPUTED_VALUE"""),134.84)</f>
        <v>134.84</v>
      </c>
      <c r="D837" s="2" t="n">
        <f aca="false">IFERROR(__xludf.dummyfunction("""COMPUTED_VALUE"""),129.91)</f>
        <v>129.91</v>
      </c>
      <c r="E837" s="2" t="n">
        <f aca="false">IFERROR(__xludf.dummyfunction("""COMPUTED_VALUE"""),130.03)</f>
        <v>130.03</v>
      </c>
      <c r="F837" s="2" t="n">
        <f aca="false">IFERROR(__xludf.dummyfunction("""COMPUTED_VALUE"""),2211336)</f>
        <v>2211336</v>
      </c>
    </row>
    <row r="838" customFormat="false" ht="15.75" hidden="false" customHeight="false" outlineLevel="0" collapsed="false">
      <c r="A838" s="3" t="n">
        <f aca="false">IFERROR(__xludf.dummyfunction("""COMPUTED_VALUE"""),45413.6666666667)</f>
        <v>45413.6666666667</v>
      </c>
      <c r="B838" s="2" t="n">
        <f aca="false">IFERROR(__xludf.dummyfunction("""COMPUTED_VALUE"""),127.83)</f>
        <v>127.83</v>
      </c>
      <c r="C838" s="2" t="n">
        <f aca="false">IFERROR(__xludf.dummyfunction("""COMPUTED_VALUE"""),129.24)</f>
        <v>129.24</v>
      </c>
      <c r="D838" s="2" t="n">
        <f aca="false">IFERROR(__xludf.dummyfunction("""COMPUTED_VALUE"""),124.13)</f>
        <v>124.13</v>
      </c>
      <c r="E838" s="2" t="n">
        <f aca="false">IFERROR(__xludf.dummyfunction("""COMPUTED_VALUE"""),124.29)</f>
        <v>124.29</v>
      </c>
      <c r="F838" s="2" t="n">
        <f aca="false">IFERROR(__xludf.dummyfunction("""COMPUTED_VALUE"""),3095783)</f>
        <v>3095783</v>
      </c>
    </row>
    <row r="839" customFormat="false" ht="15.75" hidden="false" customHeight="false" outlineLevel="0" collapsed="false">
      <c r="A839" s="3" t="n">
        <f aca="false">IFERROR(__xludf.dummyfunction("""COMPUTED_VALUE"""),45414.6666666667)</f>
        <v>45414.6666666667</v>
      </c>
      <c r="B839" s="2" t="n">
        <f aca="false">IFERROR(__xludf.dummyfunction("""COMPUTED_VALUE"""),125.63)</f>
        <v>125.63</v>
      </c>
      <c r="C839" s="2" t="n">
        <f aca="false">IFERROR(__xludf.dummyfunction("""COMPUTED_VALUE"""),126.45)</f>
        <v>126.45</v>
      </c>
      <c r="D839" s="2" t="n">
        <f aca="false">IFERROR(__xludf.dummyfunction("""COMPUTED_VALUE"""),122.33)</f>
        <v>122.33</v>
      </c>
      <c r="E839" s="2" t="n">
        <f aca="false">IFERROR(__xludf.dummyfunction("""COMPUTED_VALUE"""),123.86)</f>
        <v>123.86</v>
      </c>
      <c r="F839" s="2" t="n">
        <f aca="false">IFERROR(__xludf.dummyfunction("""COMPUTED_VALUE"""),2947968)</f>
        <v>2947968</v>
      </c>
    </row>
    <row r="840" customFormat="false" ht="15.75" hidden="false" customHeight="false" outlineLevel="0" collapsed="false">
      <c r="A840" s="3" t="n">
        <f aca="false">IFERROR(__xludf.dummyfunction("""COMPUTED_VALUE"""),45415.6666666667)</f>
        <v>45415.6666666667</v>
      </c>
      <c r="B840" s="2" t="n">
        <f aca="false">IFERROR(__xludf.dummyfunction("""COMPUTED_VALUE"""),125.9)</f>
        <v>125.9</v>
      </c>
      <c r="C840" s="2" t="n">
        <f aca="false">IFERROR(__xludf.dummyfunction("""COMPUTED_VALUE"""),128.39)</f>
        <v>128.39</v>
      </c>
      <c r="D840" s="2" t="n">
        <f aca="false">IFERROR(__xludf.dummyfunction("""COMPUTED_VALUE"""),124.71)</f>
        <v>124.71</v>
      </c>
      <c r="E840" s="2" t="n">
        <f aca="false">IFERROR(__xludf.dummyfunction("""COMPUTED_VALUE"""),127.81)</f>
        <v>127.81</v>
      </c>
      <c r="F840" s="2" t="n">
        <f aca="false">IFERROR(__xludf.dummyfunction("""COMPUTED_VALUE"""),2489755)</f>
        <v>2489755</v>
      </c>
    </row>
    <row r="841" customFormat="false" ht="15.75" hidden="false" customHeight="false" outlineLevel="0" collapsed="false">
      <c r="A841" s="3" t="n">
        <f aca="false">IFERROR(__xludf.dummyfunction("""COMPUTED_VALUE"""),45418.6666666667)</f>
        <v>45418.6666666667</v>
      </c>
      <c r="B841" s="2" t="n">
        <f aca="false">IFERROR(__xludf.dummyfunction("""COMPUTED_VALUE"""),128.62)</f>
        <v>128.62</v>
      </c>
      <c r="C841" s="2" t="n">
        <f aca="false">IFERROR(__xludf.dummyfunction("""COMPUTED_VALUE"""),131.08)</f>
        <v>131.08</v>
      </c>
      <c r="D841" s="2" t="n">
        <f aca="false">IFERROR(__xludf.dummyfunction("""COMPUTED_VALUE"""),127.51)</f>
        <v>127.51</v>
      </c>
      <c r="E841" s="2" t="n">
        <f aca="false">IFERROR(__xludf.dummyfunction("""COMPUTED_VALUE"""),131.03)</f>
        <v>131.03</v>
      </c>
      <c r="F841" s="2" t="n">
        <f aca="false">IFERROR(__xludf.dummyfunction("""COMPUTED_VALUE"""),1628708)</f>
        <v>1628708</v>
      </c>
    </row>
    <row r="842" customFormat="false" ht="15.75" hidden="false" customHeight="false" outlineLevel="0" collapsed="false">
      <c r="A842" s="3" t="n">
        <f aca="false">IFERROR(__xludf.dummyfunction("""COMPUTED_VALUE"""),45419.6666666667)</f>
        <v>45419.6666666667</v>
      </c>
      <c r="B842" s="2" t="n">
        <f aca="false">IFERROR(__xludf.dummyfunction("""COMPUTED_VALUE"""),131.64)</f>
        <v>131.64</v>
      </c>
      <c r="C842" s="2" t="n">
        <f aca="false">IFERROR(__xludf.dummyfunction("""COMPUTED_VALUE"""),131.9)</f>
        <v>131.9</v>
      </c>
      <c r="D842" s="2" t="n">
        <f aca="false">IFERROR(__xludf.dummyfunction("""COMPUTED_VALUE"""),129.68)</f>
        <v>129.68</v>
      </c>
      <c r="E842" s="2" t="n">
        <f aca="false">IFERROR(__xludf.dummyfunction("""COMPUTED_VALUE"""),130.31)</f>
        <v>130.31</v>
      </c>
      <c r="F842" s="2" t="n">
        <f aca="false">IFERROR(__xludf.dummyfunction("""COMPUTED_VALUE"""),1241283)</f>
        <v>1241283</v>
      </c>
    </row>
    <row r="843" customFormat="false" ht="15.75" hidden="false" customHeight="false" outlineLevel="0" collapsed="false">
      <c r="A843" s="3" t="n">
        <f aca="false">IFERROR(__xludf.dummyfunction("""COMPUTED_VALUE"""),45420.6666666667)</f>
        <v>45420.6666666667</v>
      </c>
      <c r="B843" s="2" t="n">
        <f aca="false">IFERROR(__xludf.dummyfunction("""COMPUTED_VALUE"""),129.35)</f>
        <v>129.35</v>
      </c>
      <c r="C843" s="2" t="n">
        <f aca="false">IFERROR(__xludf.dummyfunction("""COMPUTED_VALUE"""),133.79)</f>
        <v>133.79</v>
      </c>
      <c r="D843" s="2" t="n">
        <f aca="false">IFERROR(__xludf.dummyfunction("""COMPUTED_VALUE"""),128.85)</f>
        <v>128.85</v>
      </c>
      <c r="E843" s="2" t="n">
        <f aca="false">IFERROR(__xludf.dummyfunction("""COMPUTED_VALUE"""),132.54)</f>
        <v>132.54</v>
      </c>
      <c r="F843" s="2" t="n">
        <f aca="false">IFERROR(__xludf.dummyfunction("""COMPUTED_VALUE"""),1391764)</f>
        <v>1391764</v>
      </c>
    </row>
    <row r="844" customFormat="false" ht="15.75" hidden="false" customHeight="false" outlineLevel="0" collapsed="false">
      <c r="A844" s="3" t="n">
        <f aca="false">IFERROR(__xludf.dummyfunction("""COMPUTED_VALUE"""),45421.6666666667)</f>
        <v>45421.6666666667</v>
      </c>
      <c r="B844" s="2" t="n">
        <f aca="false">IFERROR(__xludf.dummyfunction("""COMPUTED_VALUE"""),131.78)</f>
        <v>131.78</v>
      </c>
      <c r="C844" s="2" t="n">
        <f aca="false">IFERROR(__xludf.dummyfunction("""COMPUTED_VALUE"""),132.16)</f>
        <v>132.16</v>
      </c>
      <c r="D844" s="2" t="n">
        <f aca="false">IFERROR(__xludf.dummyfunction("""COMPUTED_VALUE"""),130.2)</f>
        <v>130.2</v>
      </c>
      <c r="E844" s="2" t="n">
        <f aca="false">IFERROR(__xludf.dummyfunction("""COMPUTED_VALUE"""),130.57)</f>
        <v>130.57</v>
      </c>
      <c r="F844" s="2" t="n">
        <f aca="false">IFERROR(__xludf.dummyfunction("""COMPUTED_VALUE"""),1216955)</f>
        <v>1216955</v>
      </c>
    </row>
    <row r="845" customFormat="false" ht="15.75" hidden="false" customHeight="false" outlineLevel="0" collapsed="false">
      <c r="A845" s="3" t="n">
        <f aca="false">IFERROR(__xludf.dummyfunction("""COMPUTED_VALUE"""),45422.6666666667)</f>
        <v>45422.6666666667</v>
      </c>
      <c r="B845" s="2" t="n">
        <f aca="false">IFERROR(__xludf.dummyfunction("""COMPUTED_VALUE"""),131.53)</f>
        <v>131.53</v>
      </c>
      <c r="C845" s="2" t="n">
        <f aca="false">IFERROR(__xludf.dummyfunction("""COMPUTED_VALUE"""),134.4)</f>
        <v>134.4</v>
      </c>
      <c r="D845" s="2" t="n">
        <f aca="false">IFERROR(__xludf.dummyfunction("""COMPUTED_VALUE"""),131.53)</f>
        <v>131.53</v>
      </c>
      <c r="E845" s="2" t="n">
        <f aca="false">IFERROR(__xludf.dummyfunction("""COMPUTED_VALUE"""),133.28)</f>
        <v>133.28</v>
      </c>
      <c r="F845" s="2" t="n">
        <f aca="false">IFERROR(__xludf.dummyfunction("""COMPUTED_VALUE"""),1629953)</f>
        <v>1629953</v>
      </c>
    </row>
    <row r="846" customFormat="false" ht="15.75" hidden="false" customHeight="false" outlineLevel="0" collapsed="false">
      <c r="A846" s="3" t="n">
        <f aca="false">IFERROR(__xludf.dummyfunction("""COMPUTED_VALUE"""),45425.6666666667)</f>
        <v>45425.6666666667</v>
      </c>
      <c r="B846" s="2" t="n">
        <f aca="false">IFERROR(__xludf.dummyfunction("""COMPUTED_VALUE"""),134.8)</f>
        <v>134.8</v>
      </c>
      <c r="C846" s="2" t="n">
        <f aca="false">IFERROR(__xludf.dummyfunction("""COMPUTED_VALUE"""),135.84)</f>
        <v>135.84</v>
      </c>
      <c r="D846" s="2" t="n">
        <f aca="false">IFERROR(__xludf.dummyfunction("""COMPUTED_VALUE"""),133.01)</f>
        <v>133.01</v>
      </c>
      <c r="E846" s="2" t="n">
        <f aca="false">IFERROR(__xludf.dummyfunction("""COMPUTED_VALUE"""),133.75)</f>
        <v>133.75</v>
      </c>
      <c r="F846" s="2" t="n">
        <f aca="false">IFERROR(__xludf.dummyfunction("""COMPUTED_VALUE"""),1850703)</f>
        <v>1850703</v>
      </c>
    </row>
    <row r="847" customFormat="false" ht="15.75" hidden="false" customHeight="false" outlineLevel="0" collapsed="false">
      <c r="A847" s="3" t="n">
        <f aca="false">IFERROR(__xludf.dummyfunction("""COMPUTED_VALUE"""),45426.6666666667)</f>
        <v>45426.6666666667</v>
      </c>
      <c r="B847" s="2" t="n">
        <f aca="false">IFERROR(__xludf.dummyfunction("""COMPUTED_VALUE"""),133.23)</f>
        <v>133.23</v>
      </c>
      <c r="C847" s="2" t="n">
        <f aca="false">IFERROR(__xludf.dummyfunction("""COMPUTED_VALUE"""),138.2)</f>
        <v>138.2</v>
      </c>
      <c r="D847" s="2" t="n">
        <f aca="false">IFERROR(__xludf.dummyfunction("""COMPUTED_VALUE"""),132.58)</f>
        <v>132.58</v>
      </c>
      <c r="E847" s="2" t="n">
        <f aca="false">IFERROR(__xludf.dummyfunction("""COMPUTED_VALUE"""),138)</f>
        <v>138</v>
      </c>
      <c r="F847" s="2" t="n">
        <f aca="false">IFERROR(__xludf.dummyfunction("""COMPUTED_VALUE"""),1942029)</f>
        <v>1942029</v>
      </c>
    </row>
    <row r="848" customFormat="false" ht="15.75" hidden="false" customHeight="false" outlineLevel="0" collapsed="false">
      <c r="A848" s="3" t="n">
        <f aca="false">IFERROR(__xludf.dummyfunction("""COMPUTED_VALUE"""),45427.6666666667)</f>
        <v>45427.6666666667</v>
      </c>
      <c r="B848" s="2" t="n">
        <f aca="false">IFERROR(__xludf.dummyfunction("""COMPUTED_VALUE"""),138)</f>
        <v>138</v>
      </c>
      <c r="C848" s="2" t="n">
        <f aca="false">IFERROR(__xludf.dummyfunction("""COMPUTED_VALUE"""),143.9)</f>
        <v>143.9</v>
      </c>
      <c r="D848" s="2" t="n">
        <f aca="false">IFERROR(__xludf.dummyfunction("""COMPUTED_VALUE"""),137)</f>
        <v>137</v>
      </c>
      <c r="E848" s="2" t="n">
        <f aca="false">IFERROR(__xludf.dummyfunction("""COMPUTED_VALUE"""),143.62)</f>
        <v>143.62</v>
      </c>
      <c r="F848" s="2" t="n">
        <f aca="false">IFERROR(__xludf.dummyfunction("""COMPUTED_VALUE"""),3275738)</f>
        <v>3275738</v>
      </c>
    </row>
    <row r="849" customFormat="false" ht="15.75" hidden="false" customHeight="false" outlineLevel="0" collapsed="false">
      <c r="A849" s="3" t="n">
        <f aca="false">IFERROR(__xludf.dummyfunction("""COMPUTED_VALUE"""),45428.6666666667)</f>
        <v>45428.6666666667</v>
      </c>
      <c r="B849" s="2" t="n">
        <f aca="false">IFERROR(__xludf.dummyfunction("""COMPUTED_VALUE"""),142.6)</f>
        <v>142.6</v>
      </c>
      <c r="C849" s="2" t="n">
        <f aca="false">IFERROR(__xludf.dummyfunction("""COMPUTED_VALUE"""),144.54)</f>
        <v>144.54</v>
      </c>
      <c r="D849" s="2" t="n">
        <f aca="false">IFERROR(__xludf.dummyfunction("""COMPUTED_VALUE"""),140.51)</f>
        <v>140.51</v>
      </c>
      <c r="E849" s="2" t="n">
        <f aca="false">IFERROR(__xludf.dummyfunction("""COMPUTED_VALUE"""),141.21)</f>
        <v>141.21</v>
      </c>
      <c r="F849" s="2" t="n">
        <f aca="false">IFERROR(__xludf.dummyfunction("""COMPUTED_VALUE"""),2839503)</f>
        <v>2839503</v>
      </c>
    </row>
    <row r="850" customFormat="false" ht="15.75" hidden="false" customHeight="false" outlineLevel="0" collapsed="false">
      <c r="A850" s="3" t="n">
        <f aca="false">IFERROR(__xludf.dummyfunction("""COMPUTED_VALUE"""),45429.6666666667)</f>
        <v>45429.6666666667</v>
      </c>
      <c r="B850" s="2" t="n">
        <f aca="false">IFERROR(__xludf.dummyfunction("""COMPUTED_VALUE"""),141.24)</f>
        <v>141.24</v>
      </c>
      <c r="C850" s="2" t="n">
        <f aca="false">IFERROR(__xludf.dummyfunction("""COMPUTED_VALUE"""),141.95)</f>
        <v>141.95</v>
      </c>
      <c r="D850" s="2" t="n">
        <f aca="false">IFERROR(__xludf.dummyfunction("""COMPUTED_VALUE"""),138.18)</f>
        <v>138.18</v>
      </c>
      <c r="E850" s="2" t="n">
        <f aca="false">IFERROR(__xludf.dummyfunction("""COMPUTED_VALUE"""),139.53)</f>
        <v>139.53</v>
      </c>
      <c r="F850" s="2" t="n">
        <f aca="false">IFERROR(__xludf.dummyfunction("""COMPUTED_VALUE"""),1817367)</f>
        <v>1817367</v>
      </c>
    </row>
    <row r="851" customFormat="false" ht="15.75" hidden="false" customHeight="false" outlineLevel="0" collapsed="false">
      <c r="A851" s="3" t="n">
        <f aca="false">IFERROR(__xludf.dummyfunction("""COMPUTED_VALUE"""),45432.6666666667)</f>
        <v>45432.6666666667</v>
      </c>
      <c r="B851" s="2" t="n">
        <f aca="false">IFERROR(__xludf.dummyfunction("""COMPUTED_VALUE"""),139.6)</f>
        <v>139.6</v>
      </c>
      <c r="C851" s="2" t="n">
        <f aca="false">IFERROR(__xludf.dummyfunction("""COMPUTED_VALUE"""),141.69)</f>
        <v>141.69</v>
      </c>
      <c r="D851" s="2" t="n">
        <f aca="false">IFERROR(__xludf.dummyfunction("""COMPUTED_VALUE"""),139.32)</f>
        <v>139.32</v>
      </c>
      <c r="E851" s="2" t="n">
        <f aca="false">IFERROR(__xludf.dummyfunction("""COMPUTED_VALUE"""),141.4)</f>
        <v>141.4</v>
      </c>
      <c r="F851" s="2" t="n">
        <f aca="false">IFERROR(__xludf.dummyfunction("""COMPUTED_VALUE"""),2716995)</f>
        <v>2716995</v>
      </c>
    </row>
    <row r="852" customFormat="false" ht="15.75" hidden="false" customHeight="false" outlineLevel="0" collapsed="false">
      <c r="A852" s="3" t="n">
        <f aca="false">IFERROR(__xludf.dummyfunction("""COMPUTED_VALUE"""),45433.6666666667)</f>
        <v>45433.6666666667</v>
      </c>
      <c r="B852" s="2" t="n">
        <f aca="false">IFERROR(__xludf.dummyfunction("""COMPUTED_VALUE"""),139.87)</f>
        <v>139.87</v>
      </c>
      <c r="C852" s="2" t="n">
        <f aca="false">IFERROR(__xludf.dummyfunction("""COMPUTED_VALUE"""),140.94)</f>
        <v>140.94</v>
      </c>
      <c r="D852" s="2" t="n">
        <f aca="false">IFERROR(__xludf.dummyfunction("""COMPUTED_VALUE"""),139.35)</f>
        <v>139.35</v>
      </c>
      <c r="E852" s="2" t="n">
        <f aca="false">IFERROR(__xludf.dummyfunction("""COMPUTED_VALUE"""),139.92)</f>
        <v>139.92</v>
      </c>
      <c r="F852" s="2" t="n">
        <f aca="false">IFERROR(__xludf.dummyfunction("""COMPUTED_VALUE"""),1533251)</f>
        <v>1533251</v>
      </c>
    </row>
    <row r="853" customFormat="false" ht="15.75" hidden="false" customHeight="false" outlineLevel="0" collapsed="false">
      <c r="A853" s="3" t="n">
        <f aca="false">IFERROR(__xludf.dummyfunction("""COMPUTED_VALUE"""),45434.6666666667)</f>
        <v>45434.6666666667</v>
      </c>
      <c r="B853" s="2" t="n">
        <f aca="false">IFERROR(__xludf.dummyfunction("""COMPUTED_VALUE"""),139.6)</f>
        <v>139.6</v>
      </c>
      <c r="C853" s="2" t="n">
        <f aca="false">IFERROR(__xludf.dummyfunction("""COMPUTED_VALUE"""),140.5)</f>
        <v>140.5</v>
      </c>
      <c r="D853" s="2" t="n">
        <f aca="false">IFERROR(__xludf.dummyfunction("""COMPUTED_VALUE"""),138.42)</f>
        <v>138.42</v>
      </c>
      <c r="E853" s="2" t="n">
        <f aca="false">IFERROR(__xludf.dummyfunction("""COMPUTED_VALUE"""),139.22)</f>
        <v>139.22</v>
      </c>
      <c r="F853" s="2" t="n">
        <f aca="false">IFERROR(__xludf.dummyfunction("""COMPUTED_VALUE"""),2100212)</f>
        <v>2100212</v>
      </c>
    </row>
    <row r="854" customFormat="false" ht="15.75" hidden="false" customHeight="false" outlineLevel="0" collapsed="false">
      <c r="A854" s="3" t="n">
        <f aca="false">IFERROR(__xludf.dummyfunction("""COMPUTED_VALUE"""),45435.6666666667)</f>
        <v>45435.6666666667</v>
      </c>
      <c r="B854" s="2" t="n">
        <f aca="false">IFERROR(__xludf.dummyfunction("""COMPUTED_VALUE"""),142.84)</f>
        <v>142.84</v>
      </c>
      <c r="C854" s="2" t="n">
        <f aca="false">IFERROR(__xludf.dummyfunction("""COMPUTED_VALUE"""),142.9)</f>
        <v>142.9</v>
      </c>
      <c r="D854" s="2" t="n">
        <f aca="false">IFERROR(__xludf.dummyfunction("""COMPUTED_VALUE"""),137.8)</f>
        <v>137.8</v>
      </c>
      <c r="E854" s="2" t="n">
        <f aca="false">IFERROR(__xludf.dummyfunction("""COMPUTED_VALUE"""),139.33)</f>
        <v>139.33</v>
      </c>
      <c r="F854" s="2" t="n">
        <f aca="false">IFERROR(__xludf.dummyfunction("""COMPUTED_VALUE"""),3103899)</f>
        <v>3103899</v>
      </c>
    </row>
    <row r="855" customFormat="false" ht="15.75" hidden="false" customHeight="false" outlineLevel="0" collapsed="false">
      <c r="A855" s="3" t="n">
        <f aca="false">IFERROR(__xludf.dummyfunction("""COMPUTED_VALUE"""),45436.6666666667)</f>
        <v>45436.6666666667</v>
      </c>
      <c r="B855" s="2" t="n">
        <f aca="false">IFERROR(__xludf.dummyfunction("""COMPUTED_VALUE"""),139.98)</f>
        <v>139.98</v>
      </c>
      <c r="C855" s="2" t="n">
        <f aca="false">IFERROR(__xludf.dummyfunction("""COMPUTED_VALUE"""),141.36)</f>
        <v>141.36</v>
      </c>
      <c r="D855" s="2" t="n">
        <f aca="false">IFERROR(__xludf.dummyfunction("""COMPUTED_VALUE"""),139.2)</f>
        <v>139.2</v>
      </c>
      <c r="E855" s="2" t="n">
        <f aca="false">IFERROR(__xludf.dummyfunction("""COMPUTED_VALUE"""),140.78)</f>
        <v>140.78</v>
      </c>
      <c r="F855" s="2" t="n">
        <f aca="false">IFERROR(__xludf.dummyfunction("""COMPUTED_VALUE"""),1672996)</f>
        <v>1672996</v>
      </c>
    </row>
    <row r="856" customFormat="false" ht="15.75" hidden="false" customHeight="false" outlineLevel="0" collapsed="false">
      <c r="A856" s="3" t="n">
        <f aca="false">IFERROR(__xludf.dummyfunction("""COMPUTED_VALUE"""),45440.6666666667)</f>
        <v>45440.6666666667</v>
      </c>
      <c r="B856" s="2" t="n">
        <f aca="false">IFERROR(__xludf.dummyfunction("""COMPUTED_VALUE"""),141)</f>
        <v>141</v>
      </c>
      <c r="C856" s="2" t="n">
        <f aca="false">IFERROR(__xludf.dummyfunction("""COMPUTED_VALUE"""),141.72)</f>
        <v>141.72</v>
      </c>
      <c r="D856" s="2" t="n">
        <f aca="false">IFERROR(__xludf.dummyfunction("""COMPUTED_VALUE"""),139.25)</f>
        <v>139.25</v>
      </c>
      <c r="E856" s="2" t="n">
        <f aca="false">IFERROR(__xludf.dummyfunction("""COMPUTED_VALUE"""),141.25)</f>
        <v>141.25</v>
      </c>
      <c r="F856" s="2" t="n">
        <f aca="false">IFERROR(__xludf.dummyfunction("""COMPUTED_VALUE"""),2291886)</f>
        <v>2291886</v>
      </c>
    </row>
    <row r="857" customFormat="false" ht="15.75" hidden="false" customHeight="false" outlineLevel="0" collapsed="false">
      <c r="A857" s="3" t="n">
        <f aca="false">IFERROR(__xludf.dummyfunction("""COMPUTED_VALUE"""),45441.6666666667)</f>
        <v>45441.6666666667</v>
      </c>
      <c r="B857" s="2" t="n">
        <f aca="false">IFERROR(__xludf.dummyfunction("""COMPUTED_VALUE"""),139.91)</f>
        <v>139.91</v>
      </c>
      <c r="C857" s="2" t="n">
        <f aca="false">IFERROR(__xludf.dummyfunction("""COMPUTED_VALUE"""),139.91)</f>
        <v>139.91</v>
      </c>
      <c r="D857" s="2" t="n">
        <f aca="false">IFERROR(__xludf.dummyfunction("""COMPUTED_VALUE"""),138.3)</f>
        <v>138.3</v>
      </c>
      <c r="E857" s="2" t="n">
        <f aca="false">IFERROR(__xludf.dummyfunction("""COMPUTED_VALUE"""),139.07)</f>
        <v>139.07</v>
      </c>
      <c r="F857" s="2" t="n">
        <f aca="false">IFERROR(__xludf.dummyfunction("""COMPUTED_VALUE"""),2686055)</f>
        <v>2686055</v>
      </c>
    </row>
    <row r="858" customFormat="false" ht="15.75" hidden="false" customHeight="false" outlineLevel="0" collapsed="false">
      <c r="A858" s="3" t="n">
        <f aca="false">IFERROR(__xludf.dummyfunction("""COMPUTED_VALUE"""),45442.6666666667)</f>
        <v>45442.6666666667</v>
      </c>
      <c r="B858" s="2" t="n">
        <f aca="false">IFERROR(__xludf.dummyfunction("""COMPUTED_VALUE"""),137.9)</f>
        <v>137.9</v>
      </c>
      <c r="C858" s="2" t="n">
        <f aca="false">IFERROR(__xludf.dummyfunction("""COMPUTED_VALUE"""),138.28)</f>
        <v>138.28</v>
      </c>
      <c r="D858" s="2" t="n">
        <f aca="false">IFERROR(__xludf.dummyfunction("""COMPUTED_VALUE"""),135.56)</f>
        <v>135.56</v>
      </c>
      <c r="E858" s="2" t="n">
        <f aca="false">IFERROR(__xludf.dummyfunction("""COMPUTED_VALUE"""),136.41)</f>
        <v>136.41</v>
      </c>
      <c r="F858" s="2" t="n">
        <f aca="false">IFERROR(__xludf.dummyfunction("""COMPUTED_VALUE"""),2172828)</f>
        <v>2172828</v>
      </c>
    </row>
    <row r="859" customFormat="false" ht="15.75" hidden="false" customHeight="false" outlineLevel="0" collapsed="false">
      <c r="A859" s="3" t="n">
        <f aca="false">IFERROR(__xludf.dummyfunction("""COMPUTED_VALUE"""),45443.6666666667)</f>
        <v>45443.6666666667</v>
      </c>
      <c r="B859" s="2" t="n">
        <f aca="false">IFERROR(__xludf.dummyfunction("""COMPUTED_VALUE"""),136.14)</f>
        <v>136.14</v>
      </c>
      <c r="C859" s="2" t="n">
        <f aca="false">IFERROR(__xludf.dummyfunction("""COMPUTED_VALUE"""),136.26)</f>
        <v>136.26</v>
      </c>
      <c r="D859" s="2" t="n">
        <f aca="false">IFERROR(__xludf.dummyfunction("""COMPUTED_VALUE"""),130.73)</f>
        <v>130.73</v>
      </c>
      <c r="E859" s="2" t="n">
        <f aca="false">IFERROR(__xludf.dummyfunction("""COMPUTED_VALUE"""),132.85)</f>
        <v>132.85</v>
      </c>
      <c r="F859" s="2" t="n">
        <f aca="false">IFERROR(__xludf.dummyfunction("""COMPUTED_VALUE"""),7309132)</f>
        <v>7309132</v>
      </c>
    </row>
    <row r="860" customFormat="false" ht="15.75" hidden="false" customHeight="false" outlineLevel="0" collapsed="false">
      <c r="A860" s="3" t="n">
        <f aca="false">IFERROR(__xludf.dummyfunction("""COMPUTED_VALUE"""),45446.6666666667)</f>
        <v>45446.6666666667</v>
      </c>
      <c r="B860" s="2" t="n">
        <f aca="false">IFERROR(__xludf.dummyfunction("""COMPUTED_VALUE"""),135.27)</f>
        <v>135.27</v>
      </c>
      <c r="C860" s="2" t="n">
        <f aca="false">IFERROR(__xludf.dummyfunction("""COMPUTED_VALUE"""),135.3)</f>
        <v>135.3</v>
      </c>
      <c r="D860" s="2" t="n">
        <f aca="false">IFERROR(__xludf.dummyfunction("""COMPUTED_VALUE"""),130.25)</f>
        <v>130.25</v>
      </c>
      <c r="E860" s="2" t="n">
        <f aca="false">IFERROR(__xludf.dummyfunction("""COMPUTED_VALUE"""),132.19)</f>
        <v>132.19</v>
      </c>
      <c r="F860" s="2" t="n">
        <f aca="false">IFERROR(__xludf.dummyfunction("""COMPUTED_VALUE"""),2627847)</f>
        <v>2627847</v>
      </c>
    </row>
    <row r="861" customFormat="false" ht="15.75" hidden="false" customHeight="false" outlineLevel="0" collapsed="false">
      <c r="A861" s="3" t="n">
        <f aca="false">IFERROR(__xludf.dummyfunction("""COMPUTED_VALUE"""),45447.6666666667)</f>
        <v>45447.6666666667</v>
      </c>
      <c r="B861" s="2" t="n">
        <f aca="false">IFERROR(__xludf.dummyfunction("""COMPUTED_VALUE"""),132.04)</f>
        <v>132.04</v>
      </c>
      <c r="C861" s="2" t="n">
        <f aca="false">IFERROR(__xludf.dummyfunction("""COMPUTED_VALUE"""),133.2)</f>
        <v>133.2</v>
      </c>
      <c r="D861" s="2" t="n">
        <f aca="false">IFERROR(__xludf.dummyfunction("""COMPUTED_VALUE"""),130.7)</f>
        <v>130.7</v>
      </c>
      <c r="E861" s="2" t="n">
        <f aca="false">IFERROR(__xludf.dummyfunction("""COMPUTED_VALUE"""),133.08)</f>
        <v>133.08</v>
      </c>
      <c r="F861" s="2" t="n">
        <f aca="false">IFERROR(__xludf.dummyfunction("""COMPUTED_VALUE"""),2304814)</f>
        <v>2304814</v>
      </c>
    </row>
    <row r="862" customFormat="false" ht="15.75" hidden="false" customHeight="false" outlineLevel="0" collapsed="false">
      <c r="A862" s="3" t="n">
        <f aca="false">IFERROR(__xludf.dummyfunction("""COMPUTED_VALUE"""),45448.6666666667)</f>
        <v>45448.6666666667</v>
      </c>
      <c r="B862" s="2" t="n">
        <f aca="false">IFERROR(__xludf.dummyfunction("""COMPUTED_VALUE"""),134.6)</f>
        <v>134.6</v>
      </c>
      <c r="C862" s="2" t="n">
        <f aca="false">IFERROR(__xludf.dummyfunction("""COMPUTED_VALUE"""),141.44)</f>
        <v>141.44</v>
      </c>
      <c r="D862" s="2" t="n">
        <f aca="false">IFERROR(__xludf.dummyfunction("""COMPUTED_VALUE"""),134.05)</f>
        <v>134.05</v>
      </c>
      <c r="E862" s="2" t="n">
        <f aca="false">IFERROR(__xludf.dummyfunction("""COMPUTED_VALUE"""),141.31)</f>
        <v>141.31</v>
      </c>
      <c r="F862" s="2" t="n">
        <f aca="false">IFERROR(__xludf.dummyfunction("""COMPUTED_VALUE"""),3294656)</f>
        <v>3294656</v>
      </c>
    </row>
    <row r="863" customFormat="false" ht="15.75" hidden="false" customHeight="false" outlineLevel="0" collapsed="false">
      <c r="A863" s="3" t="n">
        <f aca="false">IFERROR(__xludf.dummyfunction("""COMPUTED_VALUE"""),45449.6666666667)</f>
        <v>45449.6666666667</v>
      </c>
      <c r="B863" s="2" t="n">
        <f aca="false">IFERROR(__xludf.dummyfunction("""COMPUTED_VALUE"""),142.19)</f>
        <v>142.19</v>
      </c>
      <c r="C863" s="2" t="n">
        <f aca="false">IFERROR(__xludf.dummyfunction("""COMPUTED_VALUE"""),142.27)</f>
        <v>142.27</v>
      </c>
      <c r="D863" s="2" t="n">
        <f aca="false">IFERROR(__xludf.dummyfunction("""COMPUTED_VALUE"""),138.82)</f>
        <v>138.82</v>
      </c>
      <c r="E863" s="2" t="n">
        <f aca="false">IFERROR(__xludf.dummyfunction("""COMPUTED_VALUE"""),140.13)</f>
        <v>140.13</v>
      </c>
      <c r="F863" s="2" t="n">
        <f aca="false">IFERROR(__xludf.dummyfunction("""COMPUTED_VALUE"""),2017181)</f>
        <v>2017181</v>
      </c>
    </row>
    <row r="864" customFormat="false" ht="15.75" hidden="false" customHeight="false" outlineLevel="0" collapsed="false">
      <c r="A864" s="3" t="n">
        <f aca="false">IFERROR(__xludf.dummyfunction("""COMPUTED_VALUE"""),45450.6666666667)</f>
        <v>45450.6666666667</v>
      </c>
      <c r="B864" s="2" t="n">
        <f aca="false">IFERROR(__xludf.dummyfunction("""COMPUTED_VALUE"""),140.78)</f>
        <v>140.78</v>
      </c>
      <c r="C864" s="2" t="n">
        <f aca="false">IFERROR(__xludf.dummyfunction("""COMPUTED_VALUE"""),142.5)</f>
        <v>142.5</v>
      </c>
      <c r="D864" s="2" t="n">
        <f aca="false">IFERROR(__xludf.dummyfunction("""COMPUTED_VALUE"""),139.7)</f>
        <v>139.7</v>
      </c>
      <c r="E864" s="2" t="n">
        <f aca="false">IFERROR(__xludf.dummyfunction("""COMPUTED_VALUE"""),140.66)</f>
        <v>140.66</v>
      </c>
      <c r="F864" s="2" t="n">
        <f aca="false">IFERROR(__xludf.dummyfunction("""COMPUTED_VALUE"""),1785903)</f>
        <v>1785903</v>
      </c>
    </row>
    <row r="865" customFormat="false" ht="15.75" hidden="false" customHeight="false" outlineLevel="0" collapsed="false">
      <c r="A865" s="3" t="n">
        <f aca="false">IFERROR(__xludf.dummyfunction("""COMPUTED_VALUE"""),45453.6666666667)</f>
        <v>45453.6666666667</v>
      </c>
      <c r="B865" s="2" t="n">
        <f aca="false">IFERROR(__xludf.dummyfunction("""COMPUTED_VALUE"""),140.98)</f>
        <v>140.98</v>
      </c>
      <c r="C865" s="2" t="n">
        <f aca="false">IFERROR(__xludf.dummyfunction("""COMPUTED_VALUE"""),144.9)</f>
        <v>144.9</v>
      </c>
      <c r="D865" s="2" t="n">
        <f aca="false">IFERROR(__xludf.dummyfunction("""COMPUTED_VALUE"""),140.91)</f>
        <v>140.91</v>
      </c>
      <c r="E865" s="2" t="n">
        <f aca="false">IFERROR(__xludf.dummyfunction("""COMPUTED_VALUE"""),144.05)</f>
        <v>144.05</v>
      </c>
      <c r="F865" s="2" t="n">
        <f aca="false">IFERROR(__xludf.dummyfunction("""COMPUTED_VALUE"""),3108171)</f>
        <v>3108171</v>
      </c>
    </row>
    <row r="866" customFormat="false" ht="15.75" hidden="false" customHeight="false" outlineLevel="0" collapsed="false">
      <c r="A866" s="3" t="n">
        <f aca="false">IFERROR(__xludf.dummyfunction("""COMPUTED_VALUE"""),45454.6666666667)</f>
        <v>45454.6666666667</v>
      </c>
      <c r="B866" s="2" t="n">
        <f aca="false">IFERROR(__xludf.dummyfunction("""COMPUTED_VALUE"""),143.82)</f>
        <v>143.82</v>
      </c>
      <c r="C866" s="2" t="n">
        <f aca="false">IFERROR(__xludf.dummyfunction("""COMPUTED_VALUE"""),146.5)</f>
        <v>146.5</v>
      </c>
      <c r="D866" s="2" t="n">
        <f aca="false">IFERROR(__xludf.dummyfunction("""COMPUTED_VALUE"""),141.62)</f>
        <v>141.62</v>
      </c>
      <c r="E866" s="2" t="n">
        <f aca="false">IFERROR(__xludf.dummyfunction("""COMPUTED_VALUE"""),146.1)</f>
        <v>146.1</v>
      </c>
      <c r="F866" s="2" t="n">
        <f aca="false">IFERROR(__xludf.dummyfunction("""COMPUTED_VALUE"""),3484432)</f>
        <v>3484432</v>
      </c>
    </row>
    <row r="867" customFormat="false" ht="15.75" hidden="false" customHeight="false" outlineLevel="0" collapsed="false">
      <c r="A867" s="3" t="n">
        <f aca="false">IFERROR(__xludf.dummyfunction("""COMPUTED_VALUE"""),45455.6666666667)</f>
        <v>45455.6666666667</v>
      </c>
      <c r="B867" s="2" t="n">
        <f aca="false">IFERROR(__xludf.dummyfunction("""COMPUTED_VALUE"""),150)</f>
        <v>150</v>
      </c>
      <c r="C867" s="2" t="n">
        <f aca="false">IFERROR(__xludf.dummyfunction("""COMPUTED_VALUE"""),150.58)</f>
        <v>150.58</v>
      </c>
      <c r="D867" s="2" t="n">
        <f aca="false">IFERROR(__xludf.dummyfunction("""COMPUTED_VALUE"""),147.64)</f>
        <v>147.64</v>
      </c>
      <c r="E867" s="2" t="n">
        <f aca="false">IFERROR(__xludf.dummyfunction("""COMPUTED_VALUE"""),149.55)</f>
        <v>149.55</v>
      </c>
      <c r="F867" s="2" t="n">
        <f aca="false">IFERROR(__xludf.dummyfunction("""COMPUTED_VALUE"""),5669737)</f>
        <v>5669737</v>
      </c>
    </row>
    <row r="868" customFormat="false" ht="15.75" hidden="false" customHeight="false" outlineLevel="0" collapsed="false">
      <c r="A868" s="3" t="n">
        <f aca="false">IFERROR(__xludf.dummyfunction("""COMPUTED_VALUE"""),45456.6666666667)</f>
        <v>45456.6666666667</v>
      </c>
      <c r="B868" s="2" t="n">
        <f aca="false">IFERROR(__xludf.dummyfunction("""COMPUTED_VALUE"""),171)</f>
        <v>171</v>
      </c>
      <c r="C868" s="2" t="n">
        <f aca="false">IFERROR(__xludf.dummyfunction("""COMPUTED_VALUE"""),173.59)</f>
        <v>173.59</v>
      </c>
      <c r="D868" s="2" t="n">
        <f aca="false">IFERROR(__xludf.dummyfunction("""COMPUTED_VALUE"""),165.25)</f>
        <v>165.25</v>
      </c>
      <c r="E868" s="2" t="n">
        <f aca="false">IFERROR(__xludf.dummyfunction("""COMPUTED_VALUE"""),167.9)</f>
        <v>167.9</v>
      </c>
      <c r="F868" s="2" t="n">
        <f aca="false">IFERROR(__xludf.dummyfunction("""COMPUTED_VALUE"""),8906065)</f>
        <v>8906065</v>
      </c>
    </row>
    <row r="869" customFormat="false" ht="15.75" hidden="false" customHeight="false" outlineLevel="0" collapsed="false">
      <c r="A869" s="3" t="n">
        <f aca="false">IFERROR(__xludf.dummyfunction("""COMPUTED_VALUE"""),45457.6666666667)</f>
        <v>45457.6666666667</v>
      </c>
      <c r="B869" s="2" t="n">
        <f aca="false">IFERROR(__xludf.dummyfunction("""COMPUTED_VALUE"""),168.69)</f>
        <v>168.69</v>
      </c>
      <c r="C869" s="2" t="n">
        <f aca="false">IFERROR(__xludf.dummyfunction("""COMPUTED_VALUE"""),174.72)</f>
        <v>174.72</v>
      </c>
      <c r="D869" s="2" t="n">
        <f aca="false">IFERROR(__xludf.dummyfunction("""COMPUTED_VALUE"""),168.21)</f>
        <v>168.21</v>
      </c>
      <c r="E869" s="2" t="n">
        <f aca="false">IFERROR(__xludf.dummyfunction("""COMPUTED_VALUE"""),173.5)</f>
        <v>173.5</v>
      </c>
      <c r="F869" s="2" t="n">
        <f aca="false">IFERROR(__xludf.dummyfunction("""COMPUTED_VALUE"""),6970471)</f>
        <v>6970471</v>
      </c>
    </row>
    <row r="870" customFormat="false" ht="15.75" hidden="false" customHeight="false" outlineLevel="0" collapsed="false">
      <c r="A870" s="3" t="n">
        <f aca="false">IFERROR(__xludf.dummyfunction("""COMPUTED_VALUE"""),45460.6666666667)</f>
        <v>45460.6666666667</v>
      </c>
      <c r="B870" s="2" t="n">
        <f aca="false">IFERROR(__xludf.dummyfunction("""COMPUTED_VALUE"""),180)</f>
        <v>180</v>
      </c>
      <c r="C870" s="2" t="n">
        <f aca="false">IFERROR(__xludf.dummyfunction("""COMPUTED_VALUE"""),184.3)</f>
        <v>184.3</v>
      </c>
      <c r="D870" s="2" t="n">
        <f aca="false">IFERROR(__xludf.dummyfunction("""COMPUTED_VALUE"""),177.86)</f>
        <v>177.86</v>
      </c>
      <c r="E870" s="2" t="n">
        <f aca="false">IFERROR(__xludf.dummyfunction("""COMPUTED_VALUE"""),182.89)</f>
        <v>182.89</v>
      </c>
      <c r="F870" s="2" t="n">
        <f aca="false">IFERROR(__xludf.dummyfunction("""COMPUTED_VALUE"""),8752762)</f>
        <v>8752762</v>
      </c>
    </row>
    <row r="871" customFormat="false" ht="15.75" hidden="false" customHeight="false" outlineLevel="0" collapsed="false">
      <c r="A871" s="3" t="n">
        <f aca="false">IFERROR(__xludf.dummyfunction("""COMPUTED_VALUE"""),45461.6666666667)</f>
        <v>45461.6666666667</v>
      </c>
      <c r="B871" s="2" t="n">
        <f aca="false">IFERROR(__xludf.dummyfunction("""COMPUTED_VALUE"""),183.96)</f>
        <v>183.96</v>
      </c>
      <c r="C871" s="2" t="n">
        <f aca="false">IFERROR(__xludf.dummyfunction("""COMPUTED_VALUE"""),185.16)</f>
        <v>185.16</v>
      </c>
      <c r="D871" s="2" t="n">
        <f aca="false">IFERROR(__xludf.dummyfunction("""COMPUTED_VALUE"""),178.5)</f>
        <v>178.5</v>
      </c>
      <c r="E871" s="2" t="n">
        <f aca="false">IFERROR(__xludf.dummyfunction("""COMPUTED_VALUE"""),180.25)</f>
        <v>180.25</v>
      </c>
      <c r="F871" s="2" t="n">
        <f aca="false">IFERROR(__xludf.dummyfunction("""COMPUTED_VALUE"""),8679674)</f>
        <v>8679674</v>
      </c>
    </row>
    <row r="872" customFormat="false" ht="15.75" hidden="false" customHeight="false" outlineLevel="0" collapsed="false">
      <c r="A872" s="3" t="n">
        <f aca="false">IFERROR(__xludf.dummyfunction("""COMPUTED_VALUE"""),45463.6666666667)</f>
        <v>45463.6666666667</v>
      </c>
      <c r="B872" s="2" t="n">
        <f aca="false">IFERROR(__xludf.dummyfunction("""COMPUTED_VALUE"""),180.35)</f>
        <v>180.35</v>
      </c>
      <c r="C872" s="2" t="n">
        <f aca="false">IFERROR(__xludf.dummyfunction("""COMPUTED_VALUE"""),180.48)</f>
        <v>180.48</v>
      </c>
      <c r="D872" s="2" t="n">
        <f aca="false">IFERROR(__xludf.dummyfunction("""COMPUTED_VALUE"""),172.22)</f>
        <v>172.22</v>
      </c>
      <c r="E872" s="2" t="n">
        <f aca="false">IFERROR(__xludf.dummyfunction("""COMPUTED_VALUE"""),173.46)</f>
        <v>173.46</v>
      </c>
      <c r="F872" s="2" t="n">
        <f aca="false">IFERROR(__xludf.dummyfunction("""COMPUTED_VALUE"""),6815662)</f>
        <v>6815662</v>
      </c>
    </row>
    <row r="873" customFormat="false" ht="15.75" hidden="false" customHeight="false" outlineLevel="0" collapsed="false">
      <c r="A873" s="3" t="n">
        <f aca="false">IFERROR(__xludf.dummyfunction("""COMPUTED_VALUE"""),45464.6666666667)</f>
        <v>45464.6666666667</v>
      </c>
      <c r="B873" s="2" t="n">
        <f aca="false">IFERROR(__xludf.dummyfunction("""COMPUTED_VALUE"""),169.57)</f>
        <v>169.57</v>
      </c>
      <c r="C873" s="2" t="n">
        <f aca="false">IFERROR(__xludf.dummyfunction("""COMPUTED_VALUE"""),171.4)</f>
        <v>171.4</v>
      </c>
      <c r="D873" s="2" t="n">
        <f aca="false">IFERROR(__xludf.dummyfunction("""COMPUTED_VALUE"""),165.14)</f>
        <v>165.14</v>
      </c>
      <c r="E873" s="2" t="n">
        <f aca="false">IFERROR(__xludf.dummyfunction("""COMPUTED_VALUE"""),165.86)</f>
        <v>165.86</v>
      </c>
      <c r="F873" s="2" t="n">
        <f aca="false">IFERROR(__xludf.dummyfunction("""COMPUTED_VALUE"""),9999861)</f>
        <v>9999861</v>
      </c>
    </row>
    <row r="874" customFormat="false" ht="15.75" hidden="false" customHeight="false" outlineLevel="0" collapsed="false">
      <c r="A874" s="3" t="n">
        <f aca="false">IFERROR(__xludf.dummyfunction("""COMPUTED_VALUE"""),45467.6666666667)</f>
        <v>45467.6666666667</v>
      </c>
      <c r="B874" s="2" t="n">
        <f aca="false">IFERROR(__xludf.dummyfunction("""COMPUTED_VALUE"""),164.21)</f>
        <v>164.21</v>
      </c>
      <c r="C874" s="2" t="n">
        <f aca="false">IFERROR(__xludf.dummyfunction("""COMPUTED_VALUE"""),166.1)</f>
        <v>166.1</v>
      </c>
      <c r="D874" s="2" t="n">
        <f aca="false">IFERROR(__xludf.dummyfunction("""COMPUTED_VALUE"""),159.07)</f>
        <v>159.07</v>
      </c>
      <c r="E874" s="2" t="n">
        <f aca="false">IFERROR(__xludf.dummyfunction("""COMPUTED_VALUE"""),159.22)</f>
        <v>159.22</v>
      </c>
      <c r="F874" s="2" t="n">
        <f aca="false">IFERROR(__xludf.dummyfunction("""COMPUTED_VALUE"""),5857538)</f>
        <v>5857538</v>
      </c>
    </row>
    <row r="875" customFormat="false" ht="15.75" hidden="false" customHeight="false" outlineLevel="0" collapsed="false">
      <c r="A875" s="3" t="n">
        <f aca="false">IFERROR(__xludf.dummyfunction("""COMPUTED_VALUE"""),45468.6666666667)</f>
        <v>45468.6666666667</v>
      </c>
      <c r="B875" s="2" t="n">
        <f aca="false">IFERROR(__xludf.dummyfunction("""COMPUTED_VALUE"""),160.01)</f>
        <v>160.01</v>
      </c>
      <c r="C875" s="2" t="n">
        <f aca="false">IFERROR(__xludf.dummyfunction("""COMPUTED_VALUE"""),160.6)</f>
        <v>160.6</v>
      </c>
      <c r="D875" s="2" t="n">
        <f aca="false">IFERROR(__xludf.dummyfunction("""COMPUTED_VALUE"""),156.4)</f>
        <v>156.4</v>
      </c>
      <c r="E875" s="2" t="n">
        <f aca="false">IFERROR(__xludf.dummyfunction("""COMPUTED_VALUE"""),158.08)</f>
        <v>158.08</v>
      </c>
      <c r="F875" s="2" t="n">
        <f aca="false">IFERROR(__xludf.dummyfunction("""COMPUTED_VALUE"""),5681045)</f>
        <v>5681045</v>
      </c>
    </row>
    <row r="876" customFormat="false" ht="15.75" hidden="false" customHeight="false" outlineLevel="0" collapsed="false">
      <c r="A876" s="3" t="n">
        <f aca="false">IFERROR(__xludf.dummyfunction("""COMPUTED_VALUE"""),45469.6666666667)</f>
        <v>45469.6666666667</v>
      </c>
      <c r="B876" s="2" t="n">
        <f aca="false">IFERROR(__xludf.dummyfunction("""COMPUTED_VALUE"""),159.76)</f>
        <v>159.76</v>
      </c>
      <c r="C876" s="2" t="n">
        <f aca="false">IFERROR(__xludf.dummyfunction("""COMPUTED_VALUE"""),161.82)</f>
        <v>161.82</v>
      </c>
      <c r="D876" s="2" t="n">
        <f aca="false">IFERROR(__xludf.dummyfunction("""COMPUTED_VALUE"""),157.36)</f>
        <v>157.36</v>
      </c>
      <c r="E876" s="2" t="n">
        <f aca="false">IFERROR(__xludf.dummyfunction("""COMPUTED_VALUE"""),159.2)</f>
        <v>159.2</v>
      </c>
      <c r="F876" s="2" t="n">
        <f aca="false">IFERROR(__xludf.dummyfunction("""COMPUTED_VALUE"""),4647875)</f>
        <v>4647875</v>
      </c>
    </row>
    <row r="877" customFormat="false" ht="15.75" hidden="false" customHeight="false" outlineLevel="0" collapsed="false">
      <c r="A877" s="3" t="n">
        <f aca="false">IFERROR(__xludf.dummyfunction("""COMPUTED_VALUE"""),45470.6666666667)</f>
        <v>45470.6666666667</v>
      </c>
      <c r="B877" s="2" t="n">
        <f aca="false">IFERROR(__xludf.dummyfunction("""COMPUTED_VALUE"""),159.2)</f>
        <v>159.2</v>
      </c>
      <c r="C877" s="2" t="n">
        <f aca="false">IFERROR(__xludf.dummyfunction("""COMPUTED_VALUE"""),160.56)</f>
        <v>160.56</v>
      </c>
      <c r="D877" s="2" t="n">
        <f aca="false">IFERROR(__xludf.dummyfunction("""COMPUTED_VALUE"""),157.1)</f>
        <v>157.1</v>
      </c>
      <c r="E877" s="2" t="n">
        <f aca="false">IFERROR(__xludf.dummyfunction("""COMPUTED_VALUE"""),158.67)</f>
        <v>158.67</v>
      </c>
      <c r="F877" s="2" t="n">
        <f aca="false">IFERROR(__xludf.dummyfunction("""COMPUTED_VALUE"""),3164906)</f>
        <v>3164906</v>
      </c>
    </row>
    <row r="878" customFormat="false" ht="15.75" hidden="false" customHeight="false" outlineLevel="0" collapsed="false">
      <c r="A878" s="3" t="n">
        <f aca="false">IFERROR(__xludf.dummyfunction("""COMPUTED_VALUE"""),45471.6666666667)</f>
        <v>45471.6666666667</v>
      </c>
      <c r="B878" s="2" t="n">
        <f aca="false">IFERROR(__xludf.dummyfunction("""COMPUTED_VALUE"""),159.59)</f>
        <v>159.59</v>
      </c>
      <c r="C878" s="2" t="n">
        <f aca="false">IFERROR(__xludf.dummyfunction("""COMPUTED_VALUE"""),163.92)</f>
        <v>163.92</v>
      </c>
      <c r="D878" s="2" t="n">
        <f aca="false">IFERROR(__xludf.dummyfunction("""COMPUTED_VALUE"""),158.6)</f>
        <v>158.6</v>
      </c>
      <c r="E878" s="2" t="n">
        <f aca="false">IFERROR(__xludf.dummyfunction("""COMPUTED_VALUE"""),160.55)</f>
        <v>160.55</v>
      </c>
      <c r="F878" s="2" t="n">
        <f aca="false">IFERROR(__xludf.dummyfunction("""COMPUTED_VALUE"""),6937663)</f>
        <v>6937663</v>
      </c>
    </row>
    <row r="879" customFormat="false" ht="15.75" hidden="false" customHeight="false" outlineLevel="0" collapsed="false">
      <c r="A879" s="3" t="n">
        <f aca="false">IFERROR(__xludf.dummyfunction("""COMPUTED_VALUE"""),45474.6666666667)</f>
        <v>45474.6666666667</v>
      </c>
      <c r="B879" s="2" t="n">
        <f aca="false">IFERROR(__xludf.dummyfunction("""COMPUTED_VALUE"""),160.82)</f>
        <v>160.82</v>
      </c>
      <c r="C879" s="2" t="n">
        <f aca="false">IFERROR(__xludf.dummyfunction("""COMPUTED_VALUE"""),164.88)</f>
        <v>164.88</v>
      </c>
      <c r="D879" s="2" t="n">
        <f aca="false">IFERROR(__xludf.dummyfunction("""COMPUTED_VALUE"""),159.35)</f>
        <v>159.35</v>
      </c>
      <c r="E879" s="2" t="n">
        <f aca="false">IFERROR(__xludf.dummyfunction("""COMPUTED_VALUE"""),164.08)</f>
        <v>164.08</v>
      </c>
      <c r="F879" s="2" t="n">
        <f aca="false">IFERROR(__xludf.dummyfunction("""COMPUTED_VALUE"""),4762344)</f>
        <v>4762344</v>
      </c>
    </row>
    <row r="880" customFormat="false" ht="15.75" hidden="false" customHeight="false" outlineLevel="0" collapsed="false">
      <c r="A880" s="3" t="n">
        <f aca="false">IFERROR(__xludf.dummyfunction("""COMPUTED_VALUE"""),45475.6666666667)</f>
        <v>45475.6666666667</v>
      </c>
      <c r="B880" s="2" t="n">
        <f aca="false">IFERROR(__xludf.dummyfunction("""COMPUTED_VALUE"""),164.08)</f>
        <v>164.08</v>
      </c>
      <c r="C880" s="2" t="n">
        <f aca="false">IFERROR(__xludf.dummyfunction("""COMPUTED_VALUE"""),165.92)</f>
        <v>165.92</v>
      </c>
      <c r="D880" s="2" t="n">
        <f aca="false">IFERROR(__xludf.dummyfunction("""COMPUTED_VALUE"""),162.2)</f>
        <v>162.2</v>
      </c>
      <c r="E880" s="2" t="n">
        <f aca="false">IFERROR(__xludf.dummyfunction("""COMPUTED_VALUE"""),165.75)</f>
        <v>165.75</v>
      </c>
      <c r="F880" s="2" t="n">
        <f aca="false">IFERROR(__xludf.dummyfunction("""COMPUTED_VALUE"""),3253884)</f>
        <v>3253884</v>
      </c>
    </row>
    <row r="881" customFormat="false" ht="15.75" hidden="false" customHeight="false" outlineLevel="0" collapsed="false">
      <c r="A881" s="3" t="n">
        <f aca="false">IFERROR(__xludf.dummyfunction("""COMPUTED_VALUE"""),45476.5451388889)</f>
        <v>45476.5451388889</v>
      </c>
      <c r="B881" s="2" t="n">
        <f aca="false">IFERROR(__xludf.dummyfunction("""COMPUTED_VALUE"""),167)</f>
        <v>167</v>
      </c>
      <c r="C881" s="2" t="n">
        <f aca="false">IFERROR(__xludf.dummyfunction("""COMPUTED_VALUE"""),172.92)</f>
        <v>172.92</v>
      </c>
      <c r="D881" s="2" t="n">
        <f aca="false">IFERROR(__xludf.dummyfunction("""COMPUTED_VALUE"""),166.45)</f>
        <v>166.45</v>
      </c>
      <c r="E881" s="2" t="n">
        <f aca="false">IFERROR(__xludf.dummyfunction("""COMPUTED_VALUE"""),172.92)</f>
        <v>172.92</v>
      </c>
      <c r="F881" s="2" t="n">
        <f aca="false">IFERROR(__xludf.dummyfunction("""COMPUTED_VALUE"""),3995382)</f>
        <v>3995382</v>
      </c>
    </row>
    <row r="882" customFormat="false" ht="15.75" hidden="false" customHeight="false" outlineLevel="0" collapsed="false">
      <c r="A882" s="3" t="n">
        <f aca="false">IFERROR(__xludf.dummyfunction("""COMPUTED_VALUE"""),45478.6666666667)</f>
        <v>45478.6666666667</v>
      </c>
      <c r="B882" s="2" t="n">
        <f aca="false">IFERROR(__xludf.dummyfunction("""COMPUTED_VALUE"""),175.56)</f>
        <v>175.56</v>
      </c>
      <c r="C882" s="2" t="n">
        <f aca="false">IFERROR(__xludf.dummyfunction("""COMPUTED_VALUE"""),176.55)</f>
        <v>176.55</v>
      </c>
      <c r="D882" s="2" t="n">
        <f aca="false">IFERROR(__xludf.dummyfunction("""COMPUTED_VALUE"""),169.6)</f>
        <v>169.6</v>
      </c>
      <c r="E882" s="2" t="n">
        <f aca="false">IFERROR(__xludf.dummyfunction("""COMPUTED_VALUE"""),170.33)</f>
        <v>170.33</v>
      </c>
      <c r="F882" s="2" t="n">
        <f aca="false">IFERROR(__xludf.dummyfunction("""COMPUTED_VALUE"""),4524048)</f>
        <v>4524048</v>
      </c>
    </row>
    <row r="883" customFormat="false" ht="15.75" hidden="false" customHeight="false" outlineLevel="0" collapsed="false">
      <c r="A883" s="3" t="n">
        <f aca="false">IFERROR(__xludf.dummyfunction("""COMPUTED_VALUE"""),45481.6666666667)</f>
        <v>45481.6666666667</v>
      </c>
      <c r="B883" s="2" t="n">
        <f aca="false">IFERROR(__xludf.dummyfunction("""COMPUTED_VALUE"""),170.5)</f>
        <v>170.5</v>
      </c>
      <c r="C883" s="2" t="n">
        <f aca="false">IFERROR(__xludf.dummyfunction("""COMPUTED_VALUE"""),175.69)</f>
        <v>175.69</v>
      </c>
      <c r="D883" s="2" t="n">
        <f aca="false">IFERROR(__xludf.dummyfunction("""COMPUTED_VALUE"""),170.5)</f>
        <v>170.5</v>
      </c>
      <c r="E883" s="2" t="n">
        <f aca="false">IFERROR(__xludf.dummyfunction("""COMPUTED_VALUE"""),174.59)</f>
        <v>174.59</v>
      </c>
      <c r="F883" s="2" t="n">
        <f aca="false">IFERROR(__xludf.dummyfunction("""COMPUTED_VALUE"""),3639846)</f>
        <v>3639846</v>
      </c>
    </row>
    <row r="884" customFormat="false" ht="15.75" hidden="false" customHeight="false" outlineLevel="0" collapsed="false">
      <c r="A884" s="3" t="n">
        <f aca="false">IFERROR(__xludf.dummyfunction("""COMPUTED_VALUE"""),45482.6666666667)</f>
        <v>45482.6666666667</v>
      </c>
      <c r="B884" s="2" t="n">
        <f aca="false">IFERROR(__xludf.dummyfunction("""COMPUTED_VALUE"""),175.66)</f>
        <v>175.66</v>
      </c>
      <c r="C884" s="2" t="n">
        <f aca="false">IFERROR(__xludf.dummyfunction("""COMPUTED_VALUE"""),177.1)</f>
        <v>177.1</v>
      </c>
      <c r="D884" s="2" t="n">
        <f aca="false">IFERROR(__xludf.dummyfunction("""COMPUTED_VALUE"""),170.56)</f>
        <v>170.56</v>
      </c>
      <c r="E884" s="2" t="n">
        <f aca="false">IFERROR(__xludf.dummyfunction("""COMPUTED_VALUE"""),173.33)</f>
        <v>173.33</v>
      </c>
      <c r="F884" s="2" t="n">
        <f aca="false">IFERROR(__xludf.dummyfunction("""COMPUTED_VALUE"""),3791621)</f>
        <v>3791621</v>
      </c>
    </row>
    <row r="885" customFormat="false" ht="15.75" hidden="false" customHeight="false" outlineLevel="0" collapsed="false">
      <c r="A885" s="3" t="n">
        <f aca="false">IFERROR(__xludf.dummyfunction("""COMPUTED_VALUE"""),45483.6666666667)</f>
        <v>45483.6666666667</v>
      </c>
      <c r="B885" s="2" t="n">
        <f aca="false">IFERROR(__xludf.dummyfunction("""COMPUTED_VALUE"""),174.6)</f>
        <v>174.6</v>
      </c>
      <c r="C885" s="2" t="n">
        <f aca="false">IFERROR(__xludf.dummyfunction("""COMPUTED_VALUE"""),176.65)</f>
        <v>176.65</v>
      </c>
      <c r="D885" s="2" t="n">
        <f aca="false">IFERROR(__xludf.dummyfunction("""COMPUTED_VALUE"""),172.64)</f>
        <v>172.64</v>
      </c>
      <c r="E885" s="2" t="n">
        <f aca="false">IFERROR(__xludf.dummyfunction("""COMPUTED_VALUE"""),174.47)</f>
        <v>174.47</v>
      </c>
      <c r="F885" s="2" t="n">
        <f aca="false">IFERROR(__xludf.dummyfunction("""COMPUTED_VALUE"""),4107420)</f>
        <v>4107420</v>
      </c>
    </row>
    <row r="886" customFormat="false" ht="15.75" hidden="false" customHeight="false" outlineLevel="0" collapsed="false">
      <c r="A886" s="3" t="n">
        <f aca="false">IFERROR(__xludf.dummyfunction("""COMPUTED_VALUE"""),45484.6666666667)</f>
        <v>45484.6666666667</v>
      </c>
      <c r="B886" s="2" t="n">
        <f aca="false">IFERROR(__xludf.dummyfunction("""COMPUTED_VALUE"""),176.47)</f>
        <v>176.47</v>
      </c>
      <c r="C886" s="2" t="n">
        <f aca="false">IFERROR(__xludf.dummyfunction("""COMPUTED_VALUE"""),176.49)</f>
        <v>176.49</v>
      </c>
      <c r="D886" s="2" t="n">
        <f aca="false">IFERROR(__xludf.dummyfunction("""COMPUTED_VALUE"""),166.85)</f>
        <v>166.85</v>
      </c>
      <c r="E886" s="2" t="n">
        <f aca="false">IFERROR(__xludf.dummyfunction("""COMPUTED_VALUE"""),170.6)</f>
        <v>170.6</v>
      </c>
      <c r="F886" s="2" t="n">
        <f aca="false">IFERROR(__xludf.dummyfunction("""COMPUTED_VALUE"""),5111168)</f>
        <v>5111168</v>
      </c>
    </row>
    <row r="887" customFormat="false" ht="15.75" hidden="false" customHeight="false" outlineLevel="0" collapsed="false">
      <c r="A887" s="3" t="n">
        <f aca="false">IFERROR(__xludf.dummyfunction("""COMPUTED_VALUE"""),45485.6666666667)</f>
        <v>45485.6666666667</v>
      </c>
      <c r="B887" s="2" t="n">
        <f aca="false">IFERROR(__xludf.dummyfunction("""COMPUTED_VALUE"""),171.1)</f>
        <v>171.1</v>
      </c>
      <c r="C887" s="2" t="n">
        <f aca="false">IFERROR(__xludf.dummyfunction("""COMPUTED_VALUE"""),172.59)</f>
        <v>172.59</v>
      </c>
      <c r="D887" s="2" t="n">
        <f aca="false">IFERROR(__xludf.dummyfunction("""COMPUTED_VALUE"""),169.13)</f>
        <v>169.13</v>
      </c>
      <c r="E887" s="2" t="n">
        <f aca="false">IFERROR(__xludf.dummyfunction("""COMPUTED_VALUE"""),170.07)</f>
        <v>170.07</v>
      </c>
      <c r="F887" s="2" t="n">
        <f aca="false">IFERROR(__xludf.dummyfunction("""COMPUTED_VALUE"""),3045300)</f>
        <v>3045300</v>
      </c>
    </row>
    <row r="888" customFormat="false" ht="15.75" hidden="false" customHeight="false" outlineLevel="0" collapsed="false">
      <c r="A888" s="3" t="n">
        <f aca="false">IFERROR(__xludf.dummyfunction("""COMPUTED_VALUE"""),45488.6666666667)</f>
        <v>45488.6666666667</v>
      </c>
      <c r="B888" s="2" t="n">
        <f aca="false">IFERROR(__xludf.dummyfunction("""COMPUTED_VALUE"""),170)</f>
        <v>170</v>
      </c>
      <c r="C888" s="2" t="n">
        <f aca="false">IFERROR(__xludf.dummyfunction("""COMPUTED_VALUE"""),173.51)</f>
        <v>173.51</v>
      </c>
      <c r="D888" s="2" t="n">
        <f aca="false">IFERROR(__xludf.dummyfunction("""COMPUTED_VALUE"""),169.26)</f>
        <v>169.26</v>
      </c>
      <c r="E888" s="2" t="n">
        <f aca="false">IFERROR(__xludf.dummyfunction("""COMPUTED_VALUE"""),171.42)</f>
        <v>171.42</v>
      </c>
      <c r="F888" s="2" t="n">
        <f aca="false">IFERROR(__xludf.dummyfunction("""COMPUTED_VALUE"""),22999201)</f>
        <v>22999201</v>
      </c>
    </row>
    <row r="889" customFormat="false" ht="15.75" hidden="false" customHeight="false" outlineLevel="0" collapsed="false">
      <c r="A889" s="3" t="n">
        <f aca="false">IFERROR(__xludf.dummyfunction("""COMPUTED_VALUE"""),45489.6666666667)</f>
        <v>45489.6666666667</v>
      </c>
      <c r="B889" s="2" t="n">
        <f aca="false">IFERROR(__xludf.dummyfunction("""COMPUTED_VALUE"""),172.4)</f>
        <v>172.4</v>
      </c>
      <c r="C889" s="2" t="n">
        <f aca="false">IFERROR(__xludf.dummyfunction("""COMPUTED_VALUE"""),172.81)</f>
        <v>172.81</v>
      </c>
      <c r="D889" s="2" t="n">
        <f aca="false">IFERROR(__xludf.dummyfunction("""COMPUTED_VALUE"""),166.4)</f>
        <v>166.4</v>
      </c>
      <c r="E889" s="2" t="n">
        <f aca="false">IFERROR(__xludf.dummyfunction("""COMPUTED_VALUE"""),169.38)</f>
        <v>169.38</v>
      </c>
      <c r="F889" s="2" t="n">
        <f aca="false">IFERROR(__xludf.dummyfunction("""COMPUTED_VALUE"""),22244943)</f>
        <v>22244943</v>
      </c>
    </row>
    <row r="890" customFormat="false" ht="15.75" hidden="false" customHeight="false" outlineLevel="0" collapsed="false">
      <c r="A890" s="3" t="n">
        <f aca="false">IFERROR(__xludf.dummyfunction("""COMPUTED_VALUE"""),45490.6666666667)</f>
        <v>45490.6666666667</v>
      </c>
      <c r="B890" s="2" t="n">
        <f aca="false">IFERROR(__xludf.dummyfunction("""COMPUTED_VALUE"""),162.31)</f>
        <v>162.31</v>
      </c>
      <c r="C890" s="2" t="n">
        <f aca="false">IFERROR(__xludf.dummyfunction("""COMPUTED_VALUE"""),162.84)</f>
        <v>162.84</v>
      </c>
      <c r="D890" s="2" t="n">
        <f aca="false">IFERROR(__xludf.dummyfunction("""COMPUTED_VALUE"""),155.61)</f>
        <v>155.61</v>
      </c>
      <c r="E890" s="2" t="n">
        <f aca="false">IFERROR(__xludf.dummyfunction("""COMPUTED_VALUE"""),155.98)</f>
        <v>155.98</v>
      </c>
      <c r="F890" s="2" t="n">
        <f aca="false">IFERROR(__xludf.dummyfunction("""COMPUTED_VALUE"""),43343355)</f>
        <v>43343355</v>
      </c>
    </row>
    <row r="891" customFormat="false" ht="15.75" hidden="false" customHeight="false" outlineLevel="0" collapsed="false">
      <c r="A891" s="3" t="n">
        <f aca="false">IFERROR(__xludf.dummyfunction("""COMPUTED_VALUE"""),45491.6666666667)</f>
        <v>45491.6666666667</v>
      </c>
      <c r="B891" s="2" t="n">
        <f aca="false">IFERROR(__xludf.dummyfunction("""COMPUTED_VALUE"""),158.89)</f>
        <v>158.89</v>
      </c>
      <c r="C891" s="2" t="n">
        <f aca="false">IFERROR(__xludf.dummyfunction("""COMPUTED_VALUE"""),161.51)</f>
        <v>161.51</v>
      </c>
      <c r="D891" s="2" t="n">
        <f aca="false">IFERROR(__xludf.dummyfunction("""COMPUTED_VALUE"""),153.9)</f>
        <v>153.9</v>
      </c>
      <c r="E891" s="2" t="n">
        <f aca="false">IFERROR(__xludf.dummyfunction("""COMPUTED_VALUE"""),160.52)</f>
        <v>160.52</v>
      </c>
      <c r="F891" s="2" t="n">
        <f aca="false">IFERROR(__xludf.dummyfunction("""COMPUTED_VALUE"""),37973498)</f>
        <v>37973498</v>
      </c>
    </row>
    <row r="892" customFormat="false" ht="15.75" hidden="false" customHeight="false" outlineLevel="0" collapsed="false">
      <c r="A892" s="3" t="n">
        <f aca="false">IFERROR(__xludf.dummyfunction("""COMPUTED_VALUE"""),45492.6666666667)</f>
        <v>45492.6666666667</v>
      </c>
      <c r="B892" s="2" t="n">
        <f aca="false">IFERROR(__xludf.dummyfunction("""COMPUTED_VALUE"""),161.84)</f>
        <v>161.84</v>
      </c>
      <c r="C892" s="2" t="n">
        <f aca="false">IFERROR(__xludf.dummyfunction("""COMPUTED_VALUE"""),163.95)</f>
        <v>163.95</v>
      </c>
      <c r="D892" s="2" t="n">
        <f aca="false">IFERROR(__xludf.dummyfunction("""COMPUTED_VALUE"""),157.12)</f>
        <v>157.12</v>
      </c>
      <c r="E892" s="2" t="n">
        <f aca="false">IFERROR(__xludf.dummyfunction("""COMPUTED_VALUE"""),157.35)</f>
        <v>157.35</v>
      </c>
      <c r="F892" s="2" t="n">
        <f aca="false">IFERROR(__xludf.dummyfunction("""COMPUTED_VALUE"""),26309545)</f>
        <v>26309545</v>
      </c>
    </row>
    <row r="893" customFormat="false" ht="15.75" hidden="false" customHeight="false" outlineLevel="0" collapsed="false">
      <c r="A893" s="3" t="n">
        <f aca="false">IFERROR(__xludf.dummyfunction("""COMPUTED_VALUE"""),45495.6666666667)</f>
        <v>45495.6666666667</v>
      </c>
      <c r="B893" s="2" t="n">
        <f aca="false">IFERROR(__xludf.dummyfunction("""COMPUTED_VALUE"""),160.23)</f>
        <v>160.23</v>
      </c>
      <c r="C893" s="2" t="n">
        <f aca="false">IFERROR(__xludf.dummyfunction("""COMPUTED_VALUE"""),162.99)</f>
        <v>162.99</v>
      </c>
      <c r="D893" s="2" t="n">
        <f aca="false">IFERROR(__xludf.dummyfunction("""COMPUTED_VALUE"""),157.9)</f>
        <v>157.9</v>
      </c>
      <c r="E893" s="2" t="n">
        <f aca="false">IFERROR(__xludf.dummyfunction("""COMPUTED_VALUE"""),161.06)</f>
        <v>161.06</v>
      </c>
      <c r="F893" s="2" t="n">
        <f aca="false">IFERROR(__xludf.dummyfunction("""COMPUTED_VALUE"""),28813334)</f>
        <v>28813334</v>
      </c>
    </row>
    <row r="894" customFormat="false" ht="15.75" hidden="false" customHeight="false" outlineLevel="0" collapsed="false">
      <c r="A894" s="3" t="n">
        <f aca="false">IFERROR(__xludf.dummyfunction("""COMPUTED_VALUE"""),45496.6666666667)</f>
        <v>45496.6666666667</v>
      </c>
      <c r="B894" s="2" t="n">
        <f aca="false">IFERROR(__xludf.dummyfunction("""COMPUTED_VALUE"""),160.4)</f>
        <v>160.4</v>
      </c>
      <c r="C894" s="2" t="n">
        <f aca="false">IFERROR(__xludf.dummyfunction("""COMPUTED_VALUE"""),165.33)</f>
        <v>165.33</v>
      </c>
      <c r="D894" s="2" t="n">
        <f aca="false">IFERROR(__xludf.dummyfunction("""COMPUTED_VALUE"""),159.9)</f>
        <v>159.9</v>
      </c>
      <c r="E894" s="2" t="n">
        <f aca="false">IFERROR(__xludf.dummyfunction("""COMPUTED_VALUE"""),163.77)</f>
        <v>163.77</v>
      </c>
      <c r="F894" s="2" t="n">
        <f aca="false">IFERROR(__xludf.dummyfunction("""COMPUTED_VALUE"""),21570177)</f>
        <v>21570177</v>
      </c>
    </row>
    <row r="895" customFormat="false" ht="15.75" hidden="false" customHeight="false" outlineLevel="0" collapsed="false">
      <c r="A895" s="3" t="n">
        <f aca="false">IFERROR(__xludf.dummyfunction("""COMPUTED_VALUE"""),45497.6666666667)</f>
        <v>45497.6666666667</v>
      </c>
      <c r="B895" s="2" t="n">
        <f aca="false">IFERROR(__xludf.dummyfunction("""COMPUTED_VALUE"""),160.35)</f>
        <v>160.35</v>
      </c>
      <c r="C895" s="2" t="n">
        <f aca="false">IFERROR(__xludf.dummyfunction("""COMPUTED_VALUE"""),161.41)</f>
        <v>161.41</v>
      </c>
      <c r="D895" s="2" t="n">
        <f aca="false">IFERROR(__xludf.dummyfunction("""COMPUTED_VALUE"""),151.1)</f>
        <v>151.1</v>
      </c>
      <c r="E895" s="2" t="n">
        <f aca="false">IFERROR(__xludf.dummyfunction("""COMPUTED_VALUE"""),151.34)</f>
        <v>151.34</v>
      </c>
      <c r="F895" s="2" t="n">
        <f aca="false">IFERROR(__xludf.dummyfunction("""COMPUTED_VALUE"""),37162620)</f>
        <v>37162620</v>
      </c>
    </row>
    <row r="896" customFormat="false" ht="15.75" hidden="false" customHeight="false" outlineLevel="0" collapsed="false">
      <c r="A896" s="3" t="n">
        <f aca="false">IFERROR(__xludf.dummyfunction("""COMPUTED_VALUE"""),45498.6666666667)</f>
        <v>45498.6666666667</v>
      </c>
      <c r="B896" s="2" t="n">
        <f aca="false">IFERROR(__xludf.dummyfunction("""COMPUTED_VALUE"""),151.26)</f>
        <v>151.26</v>
      </c>
      <c r="C896" s="2" t="n">
        <f aca="false">IFERROR(__xludf.dummyfunction("""COMPUTED_VALUE"""),153.55)</f>
        <v>153.55</v>
      </c>
      <c r="D896" s="2" t="n">
        <f aca="false">IFERROR(__xludf.dummyfunction("""COMPUTED_VALUE"""),145.52)</f>
        <v>145.52</v>
      </c>
      <c r="E896" s="2" t="n">
        <f aca="false">IFERROR(__xludf.dummyfunction("""COMPUTED_VALUE"""),149.26)</f>
        <v>149.26</v>
      </c>
      <c r="F896" s="2" t="n">
        <f aca="false">IFERROR(__xludf.dummyfunction("""COMPUTED_VALUE"""),30872127)</f>
        <v>30872127</v>
      </c>
    </row>
    <row r="897" customFormat="false" ht="15.75" hidden="false" customHeight="false" outlineLevel="0" collapsed="false">
      <c r="A897" s="3" t="n">
        <f aca="false">IFERROR(__xludf.dummyfunction("""COMPUTED_VALUE"""),45499.6666666667)</f>
        <v>45499.6666666667</v>
      </c>
      <c r="B897" s="2" t="n">
        <f aca="false">IFERROR(__xludf.dummyfunction("""COMPUTED_VALUE"""),153.5)</f>
        <v>153.5</v>
      </c>
      <c r="C897" s="2" t="n">
        <f aca="false">IFERROR(__xludf.dummyfunction("""COMPUTED_VALUE"""),153.58)</f>
        <v>153.58</v>
      </c>
      <c r="D897" s="2" t="n">
        <f aca="false">IFERROR(__xludf.dummyfunction("""COMPUTED_VALUE"""),149.92)</f>
        <v>149.92</v>
      </c>
      <c r="E897" s="2" t="n">
        <f aca="false">IFERROR(__xludf.dummyfunction("""COMPUTED_VALUE"""),151.63)</f>
        <v>151.63</v>
      </c>
      <c r="F897" s="2" t="n">
        <f aca="false">IFERROR(__xludf.dummyfunction("""COMPUTED_VALUE"""),20839871)</f>
        <v>20839871</v>
      </c>
    </row>
    <row r="898" customFormat="false" ht="15.75" hidden="false" customHeight="false" outlineLevel="0" collapsed="false">
      <c r="A898" s="3" t="n">
        <f aca="false">IFERROR(__xludf.dummyfunction("""COMPUTED_VALUE"""),45502.6666666667)</f>
        <v>45502.6666666667</v>
      </c>
      <c r="B898" s="2" t="n">
        <f aca="false">IFERROR(__xludf.dummyfunction("""COMPUTED_VALUE"""),152.02)</f>
        <v>152.02</v>
      </c>
      <c r="C898" s="2" t="n">
        <f aca="false">IFERROR(__xludf.dummyfunction("""COMPUTED_VALUE"""),155)</f>
        <v>155</v>
      </c>
      <c r="D898" s="2" t="n">
        <f aca="false">IFERROR(__xludf.dummyfunction("""COMPUTED_VALUE"""),149.15)</f>
        <v>149.15</v>
      </c>
      <c r="E898" s="2" t="n">
        <f aca="false">IFERROR(__xludf.dummyfunction("""COMPUTED_VALUE"""),150.22)</f>
        <v>150.22</v>
      </c>
      <c r="F898" s="2" t="n">
        <f aca="false">IFERROR(__xludf.dummyfunction("""COMPUTED_VALUE"""),16625762)</f>
        <v>16625762</v>
      </c>
    </row>
    <row r="899" customFormat="false" ht="15.75" hidden="false" customHeight="false" outlineLevel="0" collapsed="false">
      <c r="A899" s="3" t="n">
        <f aca="false">IFERROR(__xludf.dummyfunction("""COMPUTED_VALUE"""),45503.6666666667)</f>
        <v>45503.6666666667</v>
      </c>
      <c r="B899" s="2" t="n">
        <f aca="false">IFERROR(__xludf.dummyfunction("""COMPUTED_VALUE"""),153.28)</f>
        <v>153.28</v>
      </c>
      <c r="C899" s="2" t="n">
        <f aca="false">IFERROR(__xludf.dummyfunction("""COMPUTED_VALUE"""),153.47)</f>
        <v>153.47</v>
      </c>
      <c r="D899" s="2" t="n">
        <f aca="false">IFERROR(__xludf.dummyfunction("""COMPUTED_VALUE"""),143.35)</f>
        <v>143.35</v>
      </c>
      <c r="E899" s="2" t="n">
        <f aca="false">IFERROR(__xludf.dummyfunction("""COMPUTED_VALUE"""),143.52)</f>
        <v>143.52</v>
      </c>
      <c r="F899" s="2" t="n">
        <f aca="false">IFERROR(__xludf.dummyfunction("""COMPUTED_VALUE"""),31102341)</f>
        <v>31102341</v>
      </c>
    </row>
    <row r="900" customFormat="false" ht="15.75" hidden="false" customHeight="false" outlineLevel="0" collapsed="false">
      <c r="A900" s="3" t="n">
        <f aca="false">IFERROR(__xludf.dummyfunction("""COMPUTED_VALUE"""),45504.6666666667)</f>
        <v>45504.6666666667</v>
      </c>
      <c r="B900" s="2" t="n">
        <f aca="false">IFERROR(__xludf.dummyfunction("""COMPUTED_VALUE"""),151.47)</f>
        <v>151.47</v>
      </c>
      <c r="C900" s="2" t="n">
        <f aca="false">IFERROR(__xludf.dummyfunction("""COMPUTED_VALUE"""),161.33)</f>
        <v>161.33</v>
      </c>
      <c r="D900" s="2" t="n">
        <f aca="false">IFERROR(__xludf.dummyfunction("""COMPUTED_VALUE"""),151)</f>
        <v>151</v>
      </c>
      <c r="E900" s="2" t="n">
        <f aca="false">IFERROR(__xludf.dummyfunction("""COMPUTED_VALUE"""),160.68)</f>
        <v>160.68</v>
      </c>
      <c r="F900" s="2" t="n">
        <f aca="false">IFERROR(__xludf.dummyfunction("""COMPUTED_VALUE"""),45827511)</f>
        <v>45827511</v>
      </c>
    </row>
    <row r="901" customFormat="false" ht="15.75" hidden="false" customHeight="false" outlineLevel="0" collapsed="false">
      <c r="A901" s="3" t="n">
        <f aca="false">IFERROR(__xludf.dummyfunction("""COMPUTED_VALUE"""),45505.6666666667)</f>
        <v>45505.6666666667</v>
      </c>
      <c r="B901" s="2" t="n">
        <f aca="false">IFERROR(__xludf.dummyfunction("""COMPUTED_VALUE"""),157.5)</f>
        <v>157.5</v>
      </c>
      <c r="C901" s="2" t="n">
        <f aca="false">IFERROR(__xludf.dummyfunction("""COMPUTED_VALUE"""),158.91)</f>
        <v>158.91</v>
      </c>
      <c r="D901" s="2" t="n">
        <f aca="false">IFERROR(__xludf.dummyfunction("""COMPUTED_VALUE"""),146.17)</f>
        <v>146.17</v>
      </c>
      <c r="E901" s="2" t="n">
        <f aca="false">IFERROR(__xludf.dummyfunction("""COMPUTED_VALUE"""),147.02)</f>
        <v>147.02</v>
      </c>
      <c r="F901" s="2" t="n">
        <f aca="false">IFERROR(__xludf.dummyfunction("""COMPUTED_VALUE"""),40319955)</f>
        <v>40319955</v>
      </c>
    </row>
    <row r="902" customFormat="false" ht="15.75" hidden="false" customHeight="false" outlineLevel="0" collapsed="false">
      <c r="A902" s="3" t="n">
        <f aca="false">IFERROR(__xludf.dummyfunction("""COMPUTED_VALUE"""),45506.6666666667)</f>
        <v>45506.6666666667</v>
      </c>
      <c r="B902" s="2" t="n">
        <f aca="false">IFERROR(__xludf.dummyfunction("""COMPUTED_VALUE"""),141.93)</f>
        <v>141.93</v>
      </c>
      <c r="C902" s="2" t="n">
        <f aca="false">IFERROR(__xludf.dummyfunction("""COMPUTED_VALUE"""),145.35)</f>
        <v>145.35</v>
      </c>
      <c r="D902" s="2" t="n">
        <f aca="false">IFERROR(__xludf.dummyfunction("""COMPUTED_VALUE"""),139.6)</f>
        <v>139.6</v>
      </c>
      <c r="E902" s="2" t="n">
        <f aca="false">IFERROR(__xludf.dummyfunction("""COMPUTED_VALUE"""),143.82)</f>
        <v>143.82</v>
      </c>
      <c r="F902" s="2" t="n">
        <f aca="false">IFERROR(__xludf.dummyfunction("""COMPUTED_VALUE"""),33745843)</f>
        <v>33745843</v>
      </c>
    </row>
    <row r="903" customFormat="false" ht="15.75" hidden="false" customHeight="false" outlineLevel="0" collapsed="false">
      <c r="A903" s="3" t="n">
        <f aca="false">IFERROR(__xludf.dummyfunction("""COMPUTED_VALUE"""),45509.6666666667)</f>
        <v>45509.6666666667</v>
      </c>
      <c r="B903" s="2" t="n">
        <f aca="false">IFERROR(__xludf.dummyfunction("""COMPUTED_VALUE"""),129.61)</f>
        <v>129.61</v>
      </c>
      <c r="C903" s="2" t="n">
        <f aca="false">IFERROR(__xludf.dummyfunction("""COMPUTED_VALUE"""),145.42)</f>
        <v>145.42</v>
      </c>
      <c r="D903" s="2" t="n">
        <f aca="false">IFERROR(__xludf.dummyfunction("""COMPUTED_VALUE"""),128.5)</f>
        <v>128.5</v>
      </c>
      <c r="E903" s="2" t="n">
        <f aca="false">IFERROR(__xludf.dummyfunction("""COMPUTED_VALUE"""),142.08)</f>
        <v>142.08</v>
      </c>
      <c r="F903" s="2" t="n">
        <f aca="false">IFERROR(__xludf.dummyfunction("""COMPUTED_VALUE"""),41309257)</f>
        <v>41309257</v>
      </c>
    </row>
    <row r="904" customFormat="false" ht="15.75" hidden="false" customHeight="false" outlineLevel="0" collapsed="false">
      <c r="A904" s="3" t="n">
        <f aca="false">IFERROR(__xludf.dummyfunction("""COMPUTED_VALUE"""),45510.6666666667)</f>
        <v>45510.6666666667</v>
      </c>
      <c r="B904" s="2" t="n">
        <f aca="false">IFERROR(__xludf.dummyfunction("""COMPUTED_VALUE"""),141.73)</f>
        <v>141.73</v>
      </c>
      <c r="C904" s="2" t="n">
        <f aca="false">IFERROR(__xludf.dummyfunction("""COMPUTED_VALUE"""),148.91)</f>
        <v>148.91</v>
      </c>
      <c r="D904" s="2" t="n">
        <f aca="false">IFERROR(__xludf.dummyfunction("""COMPUTED_VALUE"""),140.25)</f>
        <v>140.25</v>
      </c>
      <c r="E904" s="2" t="n">
        <f aca="false">IFERROR(__xludf.dummyfunction("""COMPUTED_VALUE"""),143.92)</f>
        <v>143.92</v>
      </c>
      <c r="F904" s="2" t="n">
        <f aca="false">IFERROR(__xludf.dummyfunction("""COMPUTED_VALUE"""),24751290)</f>
        <v>24751290</v>
      </c>
    </row>
    <row r="905" customFormat="false" ht="15.75" hidden="false" customHeight="false" outlineLevel="0" collapsed="false">
      <c r="A905" s="3" t="n">
        <f aca="false">IFERROR(__xludf.dummyfunction("""COMPUTED_VALUE"""),45511.6666666667)</f>
        <v>45511.6666666667</v>
      </c>
      <c r="B905" s="2" t="n">
        <f aca="false">IFERROR(__xludf.dummyfunction("""COMPUTED_VALUE"""),148.25)</f>
        <v>148.25</v>
      </c>
      <c r="C905" s="2" t="n">
        <f aca="false">IFERROR(__xludf.dummyfunction("""COMPUTED_VALUE"""),150.1)</f>
        <v>150.1</v>
      </c>
      <c r="D905" s="2" t="n">
        <f aca="false">IFERROR(__xludf.dummyfunction("""COMPUTED_VALUE"""),135.83)</f>
        <v>135.83</v>
      </c>
      <c r="E905" s="2" t="n">
        <f aca="false">IFERROR(__xludf.dummyfunction("""COMPUTED_VALUE"""),136.27)</f>
        <v>136.27</v>
      </c>
      <c r="F905" s="2" t="n">
        <f aca="false">IFERROR(__xludf.dummyfunction("""COMPUTED_VALUE"""),29749755)</f>
        <v>29749755</v>
      </c>
    </row>
    <row r="906" customFormat="false" ht="15.75" hidden="false" customHeight="false" outlineLevel="0" collapsed="false">
      <c r="A906" s="3" t="n">
        <f aca="false">IFERROR(__xludf.dummyfunction("""COMPUTED_VALUE"""),45512.6666666667)</f>
        <v>45512.6666666667</v>
      </c>
      <c r="B906" s="2" t="n">
        <f aca="false">IFERROR(__xludf.dummyfunction("""COMPUTED_VALUE"""),141.2)</f>
        <v>141.2</v>
      </c>
      <c r="C906" s="2" t="n">
        <f aca="false">IFERROR(__xludf.dummyfunction("""COMPUTED_VALUE"""),146.27)</f>
        <v>146.27</v>
      </c>
      <c r="D906" s="2" t="n">
        <f aca="false">IFERROR(__xludf.dummyfunction("""COMPUTED_VALUE"""),138.4)</f>
        <v>138.4</v>
      </c>
      <c r="E906" s="2" t="n">
        <f aca="false">IFERROR(__xludf.dummyfunction("""COMPUTED_VALUE"""),145.74)</f>
        <v>145.74</v>
      </c>
      <c r="F906" s="2" t="n">
        <f aca="false">IFERROR(__xludf.dummyfunction("""COMPUTED_VALUE"""),27583199)</f>
        <v>27583199</v>
      </c>
    </row>
    <row r="907" customFormat="false" ht="15.75" hidden="false" customHeight="false" outlineLevel="0" collapsed="false">
      <c r="A907" s="3" t="n">
        <f aca="false">IFERROR(__xludf.dummyfunction("""COMPUTED_VALUE"""),45513.6666666667)</f>
        <v>45513.6666666667</v>
      </c>
      <c r="B907" s="2" t="n">
        <f aca="false">IFERROR(__xludf.dummyfunction("""COMPUTED_VALUE"""),144.2)</f>
        <v>144.2</v>
      </c>
      <c r="C907" s="2" t="n">
        <f aca="false">IFERROR(__xludf.dummyfunction("""COMPUTED_VALUE"""),149.55)</f>
        <v>149.55</v>
      </c>
      <c r="D907" s="2" t="n">
        <f aca="false">IFERROR(__xludf.dummyfunction("""COMPUTED_VALUE"""),144.11)</f>
        <v>144.11</v>
      </c>
      <c r="E907" s="2" t="n">
        <f aca="false">IFERROR(__xludf.dummyfunction("""COMPUTED_VALUE"""),148.26)</f>
        <v>148.26</v>
      </c>
      <c r="F907" s="2" t="n">
        <f aca="false">IFERROR(__xludf.dummyfunction("""COMPUTED_VALUE"""),18438655)</f>
        <v>18438655</v>
      </c>
    </row>
    <row r="908" customFormat="false" ht="15.75" hidden="false" customHeight="false" outlineLevel="0" collapsed="false">
      <c r="A908" s="3" t="n">
        <f aca="false">IFERROR(__xludf.dummyfunction("""COMPUTED_VALUE"""),45516.6666666667)</f>
        <v>45516.6666666667</v>
      </c>
      <c r="B908" s="2" t="n">
        <f aca="false">IFERROR(__xludf.dummyfunction("""COMPUTED_VALUE"""),148.08)</f>
        <v>148.08</v>
      </c>
      <c r="C908" s="2" t="n">
        <f aca="false">IFERROR(__xludf.dummyfunction("""COMPUTED_VALUE"""),151.13)</f>
        <v>151.13</v>
      </c>
      <c r="D908" s="2" t="n">
        <f aca="false">IFERROR(__xludf.dummyfunction("""COMPUTED_VALUE"""),146.37)</f>
        <v>146.37</v>
      </c>
      <c r="E908" s="2" t="n">
        <f aca="false">IFERROR(__xludf.dummyfunction("""COMPUTED_VALUE"""),148.62)</f>
        <v>148.62</v>
      </c>
      <c r="F908" s="2" t="n">
        <f aca="false">IFERROR(__xludf.dummyfunction("""COMPUTED_VALUE"""),17778473)</f>
        <v>17778473</v>
      </c>
    </row>
    <row r="909" customFormat="false" ht="15.75" hidden="false" customHeight="false" outlineLevel="0" collapsed="false">
      <c r="A909" s="3" t="n">
        <f aca="false">IFERROR(__xludf.dummyfunction("""COMPUTED_VALUE"""),45517.6666666667)</f>
        <v>45517.6666666667</v>
      </c>
      <c r="B909" s="2" t="n">
        <f aca="false">IFERROR(__xludf.dummyfunction("""COMPUTED_VALUE"""),151.55)</f>
        <v>151.55</v>
      </c>
      <c r="C909" s="2" t="n">
        <f aca="false">IFERROR(__xludf.dummyfunction("""COMPUTED_VALUE"""),156.38)</f>
        <v>156.38</v>
      </c>
      <c r="D909" s="2" t="n">
        <f aca="false">IFERROR(__xludf.dummyfunction("""COMPUTED_VALUE"""),149.81)</f>
        <v>149.81</v>
      </c>
      <c r="E909" s="2" t="n">
        <f aca="false">IFERROR(__xludf.dummyfunction("""COMPUTED_VALUE"""),156.16)</f>
        <v>156.16</v>
      </c>
      <c r="F909" s="2" t="n">
        <f aca="false">IFERROR(__xludf.dummyfunction("""COMPUTED_VALUE"""),22053604)</f>
        <v>22053604</v>
      </c>
    </row>
    <row r="910" customFormat="false" ht="15.75" hidden="false" customHeight="false" outlineLevel="0" collapsed="false">
      <c r="A910" s="3" t="n">
        <f aca="false">IFERROR(__xludf.dummyfunction("""COMPUTED_VALUE"""),45518.6666666667)</f>
        <v>45518.6666666667</v>
      </c>
      <c r="B910" s="2" t="n">
        <f aca="false">IFERROR(__xludf.dummyfunction("""COMPUTED_VALUE"""),158.02)</f>
        <v>158.02</v>
      </c>
      <c r="C910" s="2" t="n">
        <f aca="false">IFERROR(__xludf.dummyfunction("""COMPUTED_VALUE"""),160.25)</f>
        <v>160.25</v>
      </c>
      <c r="D910" s="2" t="n">
        <f aca="false">IFERROR(__xludf.dummyfunction("""COMPUTED_VALUE"""),154.72)</f>
        <v>154.72</v>
      </c>
      <c r="E910" s="2" t="n">
        <f aca="false">IFERROR(__xludf.dummyfunction("""COMPUTED_VALUE"""),157.69)</f>
        <v>157.69</v>
      </c>
      <c r="F910" s="2" t="n">
        <f aca="false">IFERROR(__xludf.dummyfunction("""COMPUTED_VALUE"""),20184199)</f>
        <v>20184199</v>
      </c>
    </row>
    <row r="911" customFormat="false" ht="15.75" hidden="false" customHeight="false" outlineLevel="0" collapsed="false">
      <c r="A911" s="3" t="n">
        <f aca="false">IFERROR(__xludf.dummyfunction("""COMPUTED_VALUE"""),45519.6666666667)</f>
        <v>45519.6666666667</v>
      </c>
      <c r="B911" s="2" t="n">
        <f aca="false">IFERROR(__xludf.dummyfunction("""COMPUTED_VALUE"""),161.2)</f>
        <v>161.2</v>
      </c>
      <c r="C911" s="2" t="n">
        <f aca="false">IFERROR(__xludf.dummyfunction("""COMPUTED_VALUE"""),166.67)</f>
        <v>166.67</v>
      </c>
      <c r="D911" s="2" t="n">
        <f aca="false">IFERROR(__xludf.dummyfunction("""COMPUTED_VALUE"""),160.34)</f>
        <v>160.34</v>
      </c>
      <c r="E911" s="2" t="n">
        <f aca="false">IFERROR(__xludf.dummyfunction("""COMPUTED_VALUE"""),166.13)</f>
        <v>166.13</v>
      </c>
      <c r="F911" s="2" t="n">
        <f aca="false">IFERROR(__xludf.dummyfunction("""COMPUTED_VALUE"""),27944968)</f>
        <v>27944968</v>
      </c>
    </row>
    <row r="912" customFormat="false" ht="15.75" hidden="false" customHeight="false" outlineLevel="0" collapsed="false">
      <c r="A912" s="3" t="n">
        <f aca="false">IFERROR(__xludf.dummyfunction("""COMPUTED_VALUE"""),45520.6666666667)</f>
        <v>45520.6666666667</v>
      </c>
      <c r="B912" s="2" t="n">
        <f aca="false">IFERROR(__xludf.dummyfunction("""COMPUTED_VALUE"""),164.47)</f>
        <v>164.47</v>
      </c>
      <c r="C912" s="2" t="n">
        <f aca="false">IFERROR(__xludf.dummyfunction("""COMPUTED_VALUE"""),166.09)</f>
        <v>166.09</v>
      </c>
      <c r="D912" s="2" t="n">
        <f aca="false">IFERROR(__xludf.dummyfunction("""COMPUTED_VALUE"""),162.68)</f>
        <v>162.68</v>
      </c>
      <c r="E912" s="2" t="n">
        <f aca="false">IFERROR(__xludf.dummyfunction("""COMPUTED_VALUE"""),165.72)</f>
        <v>165.72</v>
      </c>
      <c r="F912" s="2" t="n">
        <f aca="false">IFERROR(__xludf.dummyfunction("""COMPUTED_VALUE"""),19296868)</f>
        <v>19296868</v>
      </c>
    </row>
    <row r="913" customFormat="false" ht="15.75" hidden="false" customHeight="false" outlineLevel="0" collapsed="false">
      <c r="A913" s="3" t="n">
        <f aca="false">IFERROR(__xludf.dummyfunction("""COMPUTED_VALUE"""),45523.6666666667)</f>
        <v>45523.6666666667</v>
      </c>
      <c r="B913" s="2" t="n">
        <f aca="false">IFERROR(__xludf.dummyfunction("""COMPUTED_VALUE"""),164.86)</f>
        <v>164.86</v>
      </c>
      <c r="C913" s="2" t="n">
        <f aca="false">IFERROR(__xludf.dummyfunction("""COMPUTED_VALUE"""),167.83)</f>
        <v>167.83</v>
      </c>
      <c r="D913" s="2" t="n">
        <f aca="false">IFERROR(__xludf.dummyfunction("""COMPUTED_VALUE"""),160.42)</f>
        <v>160.42</v>
      </c>
      <c r="E913" s="2" t="n">
        <f aca="false">IFERROR(__xludf.dummyfunction("""COMPUTED_VALUE"""),167.71)</f>
        <v>167.71</v>
      </c>
      <c r="F913" s="2" t="n">
        <f aca="false">IFERROR(__xludf.dummyfunction("""COMPUTED_VALUE"""),20441691)</f>
        <v>20441691</v>
      </c>
    </row>
    <row r="914" customFormat="false" ht="15.75" hidden="false" customHeight="false" outlineLevel="0" collapsed="false">
      <c r="A914" s="3" t="n">
        <f aca="false">IFERROR(__xludf.dummyfunction("""COMPUTED_VALUE"""),45524.6666666667)</f>
        <v>45524.6666666667</v>
      </c>
      <c r="B914" s="2" t="n">
        <f aca="false">IFERROR(__xludf.dummyfunction("""COMPUTED_VALUE"""),167.05)</f>
        <v>167.05</v>
      </c>
      <c r="C914" s="2" t="n">
        <f aca="false">IFERROR(__xludf.dummyfunction("""COMPUTED_VALUE"""),168.37)</f>
        <v>168.37</v>
      </c>
      <c r="D914" s="2" t="n">
        <f aca="false">IFERROR(__xludf.dummyfunction("""COMPUTED_VALUE"""),164.15)</f>
        <v>164.15</v>
      </c>
      <c r="E914" s="2" t="n">
        <f aca="false">IFERROR(__xludf.dummyfunction("""COMPUTED_VALUE"""),165.95)</f>
        <v>165.95</v>
      </c>
      <c r="F914" s="2" t="n">
        <f aca="false">IFERROR(__xludf.dummyfunction("""COMPUTED_VALUE"""),19417494)</f>
        <v>19417494</v>
      </c>
    </row>
    <row r="915" customFormat="false" ht="15.75" hidden="false" customHeight="false" outlineLevel="0" collapsed="false">
      <c r="A915" s="3" t="n">
        <f aca="false">IFERROR(__xludf.dummyfunction("""COMPUTED_VALUE"""),45525.6666666667)</f>
        <v>45525.6666666667</v>
      </c>
      <c r="B915" s="2" t="n">
        <f aca="false">IFERROR(__xludf.dummyfunction("""COMPUTED_VALUE"""),165.12)</f>
        <v>165.12</v>
      </c>
      <c r="C915" s="2" t="n">
        <f aca="false">IFERROR(__xludf.dummyfunction("""COMPUTED_VALUE"""),166.47)</f>
        <v>166.47</v>
      </c>
      <c r="D915" s="2" t="n">
        <f aca="false">IFERROR(__xludf.dummyfunction("""COMPUTED_VALUE"""),162.88)</f>
        <v>162.88</v>
      </c>
      <c r="E915" s="2" t="n">
        <f aca="false">IFERROR(__xludf.dummyfunction("""COMPUTED_VALUE"""),165.78)</f>
        <v>165.78</v>
      </c>
      <c r="F915" s="2" t="n">
        <f aca="false">IFERROR(__xludf.dummyfunction("""COMPUTED_VALUE"""),16097693)</f>
        <v>16097693</v>
      </c>
    </row>
    <row r="916" customFormat="false" ht="15.75" hidden="false" customHeight="false" outlineLevel="0" collapsed="false">
      <c r="A916" s="3" t="n">
        <f aca="false">IFERROR(__xludf.dummyfunction("""COMPUTED_VALUE"""),45526.6666666667)</f>
        <v>45526.6666666667</v>
      </c>
      <c r="B916" s="2" t="n">
        <f aca="false">IFERROR(__xludf.dummyfunction("""COMPUTED_VALUE"""),170.84)</f>
        <v>170.84</v>
      </c>
      <c r="C916" s="2" t="n">
        <f aca="false">IFERROR(__xludf.dummyfunction("""COMPUTED_VALUE"""),172.42)</f>
        <v>172.42</v>
      </c>
      <c r="D916" s="2" t="n">
        <f aca="false">IFERROR(__xludf.dummyfunction("""COMPUTED_VALUE"""),161.49)</f>
        <v>161.49</v>
      </c>
      <c r="E916" s="2" t="n">
        <f aca="false">IFERROR(__xludf.dummyfunction("""COMPUTED_VALUE"""),162.34)</f>
        <v>162.34</v>
      </c>
      <c r="F916" s="2" t="n">
        <f aca="false">IFERROR(__xludf.dummyfunction("""COMPUTED_VALUE"""),30044532)</f>
        <v>30044532</v>
      </c>
    </row>
    <row r="917" customFormat="false" ht="15.75" hidden="false" customHeight="false" outlineLevel="0" collapsed="false">
      <c r="A917" s="3" t="n">
        <f aca="false">IFERROR(__xludf.dummyfunction("""COMPUTED_VALUE"""),45527.6666666667)</f>
        <v>45527.6666666667</v>
      </c>
      <c r="B917" s="2" t="n">
        <f aca="false">IFERROR(__xludf.dummyfunction("""COMPUTED_VALUE"""),165.03)</f>
        <v>165.03</v>
      </c>
      <c r="C917" s="2" t="n">
        <f aca="false">IFERROR(__xludf.dummyfunction("""COMPUTED_VALUE"""),168.28)</f>
        <v>168.28</v>
      </c>
      <c r="D917" s="2" t="n">
        <f aca="false">IFERROR(__xludf.dummyfunction("""COMPUTED_VALUE"""),163.46)</f>
        <v>163.46</v>
      </c>
      <c r="E917" s="2" t="n">
        <f aca="false">IFERROR(__xludf.dummyfunction("""COMPUTED_VALUE"""),166.36)</f>
        <v>166.36</v>
      </c>
      <c r="F917" s="2" t="n">
        <f aca="false">IFERROR(__xludf.dummyfunction("""COMPUTED_VALUE"""),18848022)</f>
        <v>18848022</v>
      </c>
    </row>
    <row r="918" customFormat="false" ht="15.75" hidden="false" customHeight="false" outlineLevel="0" collapsed="false">
      <c r="A918" s="3" t="n">
        <f aca="false">IFERROR(__xludf.dummyfunction("""COMPUTED_VALUE"""),45530.6666666667)</f>
        <v>45530.6666666667</v>
      </c>
      <c r="B918" s="2" t="n">
        <f aca="false">IFERROR(__xludf.dummyfunction("""COMPUTED_VALUE"""),164.96)</f>
        <v>164.96</v>
      </c>
      <c r="C918" s="2" t="n">
        <f aca="false">IFERROR(__xludf.dummyfunction("""COMPUTED_VALUE"""),165.7)</f>
        <v>165.7</v>
      </c>
      <c r="D918" s="2" t="n">
        <f aca="false">IFERROR(__xludf.dummyfunction("""COMPUTED_VALUE"""),158.66)</f>
        <v>158.66</v>
      </c>
      <c r="E918" s="2" t="n">
        <f aca="false">IFERROR(__xludf.dummyfunction("""COMPUTED_VALUE"""),159.62)</f>
        <v>159.62</v>
      </c>
      <c r="F918" s="2" t="n">
        <f aca="false">IFERROR(__xludf.dummyfunction("""COMPUTED_VALUE"""),18521153)</f>
        <v>18521153</v>
      </c>
    </row>
    <row r="919" customFormat="false" ht="15.75" hidden="false" customHeight="false" outlineLevel="0" collapsed="false">
      <c r="A919" s="3" t="n">
        <f aca="false">IFERROR(__xludf.dummyfunction("""COMPUTED_VALUE"""),45531.6666666667)</f>
        <v>45531.6666666667</v>
      </c>
      <c r="B919" s="2" t="n">
        <f aca="false">IFERROR(__xludf.dummyfunction("""COMPUTED_VALUE"""),157.6)</f>
        <v>157.6</v>
      </c>
      <c r="C919" s="2" t="n">
        <f aca="false">IFERROR(__xludf.dummyfunction("""COMPUTED_VALUE"""),162.03)</f>
        <v>162.03</v>
      </c>
      <c r="D919" s="2" t="n">
        <f aca="false">IFERROR(__xludf.dummyfunction("""COMPUTED_VALUE"""),155.83)</f>
        <v>155.83</v>
      </c>
      <c r="E919" s="2" t="n">
        <f aca="false">IFERROR(__xludf.dummyfunction("""COMPUTED_VALUE"""),161.39)</f>
        <v>161.39</v>
      </c>
      <c r="F919" s="2" t="n">
        <f aca="false">IFERROR(__xludf.dummyfunction("""COMPUTED_VALUE"""),16683106)</f>
        <v>16683106</v>
      </c>
    </row>
    <row r="920" customFormat="false" ht="15.75" hidden="false" customHeight="false" outlineLevel="0" collapsed="false">
      <c r="A920" s="3" t="n">
        <f aca="false">IFERROR(__xludf.dummyfunction("""COMPUTED_VALUE"""),45532.6666666667)</f>
        <v>45532.6666666667</v>
      </c>
      <c r="B920" s="2" t="n">
        <f aca="false">IFERROR(__xludf.dummyfunction("""COMPUTED_VALUE"""),160.08)</f>
        <v>160.08</v>
      </c>
      <c r="C920" s="2" t="n">
        <f aca="false">IFERROR(__xludf.dummyfunction("""COMPUTED_VALUE"""),162.28)</f>
        <v>162.28</v>
      </c>
      <c r="D920" s="2" t="n">
        <f aca="false">IFERROR(__xludf.dummyfunction("""COMPUTED_VALUE"""),156.25)</f>
        <v>156.25</v>
      </c>
      <c r="E920" s="2" t="n">
        <f aca="false">IFERROR(__xludf.dummyfunction("""COMPUTED_VALUE"""),158.18)</f>
        <v>158.18</v>
      </c>
      <c r="F920" s="2" t="n">
        <f aca="false">IFERROR(__xludf.dummyfunction("""COMPUTED_VALUE"""),18063622)</f>
        <v>18063622</v>
      </c>
    </row>
    <row r="921" customFormat="false" ht="15.75" hidden="false" customHeight="false" outlineLevel="0" collapsed="false">
      <c r="A921" s="3" t="n">
        <f aca="false">IFERROR(__xludf.dummyfunction("""COMPUTED_VALUE"""),45533.6666666667)</f>
        <v>45533.6666666667</v>
      </c>
      <c r="B921" s="2" t="n">
        <f aca="false">IFERROR(__xludf.dummyfunction("""COMPUTED_VALUE"""),158.49)</f>
        <v>158.49</v>
      </c>
      <c r="C921" s="2" t="n">
        <f aca="false">IFERROR(__xludf.dummyfunction("""COMPUTED_VALUE"""),163.2)</f>
        <v>163.2</v>
      </c>
      <c r="D921" s="2" t="n">
        <f aca="false">IFERROR(__xludf.dummyfunction("""COMPUTED_VALUE"""),155.41)</f>
        <v>155.41</v>
      </c>
      <c r="E921" s="2" t="n">
        <f aca="false">IFERROR(__xludf.dummyfunction("""COMPUTED_VALUE"""),156.93)</f>
        <v>156.93</v>
      </c>
      <c r="F921" s="2" t="n">
        <f aca="false">IFERROR(__xludf.dummyfunction("""COMPUTED_VALUE"""),23519286)</f>
        <v>23519286</v>
      </c>
    </row>
    <row r="922" customFormat="false" ht="15.75" hidden="false" customHeight="false" outlineLevel="0" collapsed="false">
      <c r="A922" s="3" t="n">
        <f aca="false">IFERROR(__xludf.dummyfunction("""COMPUTED_VALUE"""),45534.6666666667)</f>
        <v>45534.6666666667</v>
      </c>
      <c r="B922" s="2" t="n">
        <f aca="false">IFERROR(__xludf.dummyfunction("""COMPUTED_VALUE"""),161.12)</f>
        <v>161.12</v>
      </c>
      <c r="C922" s="2" t="n">
        <f aca="false">IFERROR(__xludf.dummyfunction("""COMPUTED_VALUE"""),163.24)</f>
        <v>163.24</v>
      </c>
      <c r="D922" s="2" t="n">
        <f aca="false">IFERROR(__xludf.dummyfunction("""COMPUTED_VALUE"""),158.71)</f>
        <v>158.71</v>
      </c>
      <c r="E922" s="2" t="n">
        <f aca="false">IFERROR(__xludf.dummyfunction("""COMPUTED_VALUE"""),162.82)</f>
        <v>162.82</v>
      </c>
      <c r="F922" s="2" t="n">
        <f aca="false">IFERROR(__xludf.dummyfunction("""COMPUTED_VALUE"""),25158510)</f>
        <v>25158510</v>
      </c>
    </row>
    <row r="923" customFormat="false" ht="15.75" hidden="false" customHeight="false" outlineLevel="0" collapsed="false">
      <c r="A923" s="3" t="n">
        <f aca="false">IFERROR(__xludf.dummyfunction("""COMPUTED_VALUE"""),45538.6666666667)</f>
        <v>45538.6666666667</v>
      </c>
      <c r="B923" s="2" t="n">
        <f aca="false">IFERROR(__xludf.dummyfunction("""COMPUTED_VALUE"""),160.38)</f>
        <v>160.38</v>
      </c>
      <c r="C923" s="2" t="n">
        <f aca="false">IFERROR(__xludf.dummyfunction("""COMPUTED_VALUE"""),160.74)</f>
        <v>160.74</v>
      </c>
      <c r="D923" s="2" t="n">
        <f aca="false">IFERROR(__xludf.dummyfunction("""COMPUTED_VALUE"""),151.38)</f>
        <v>151.38</v>
      </c>
      <c r="E923" s="2" t="n">
        <f aca="false">IFERROR(__xludf.dummyfunction("""COMPUTED_VALUE"""),152.79)</f>
        <v>152.79</v>
      </c>
      <c r="F923" s="2" t="n">
        <f aca="false">IFERROR(__xludf.dummyfunction("""COMPUTED_VALUE"""),37179061)</f>
        <v>37179061</v>
      </c>
    </row>
    <row r="924" customFormat="false" ht="15.75" hidden="false" customHeight="false" outlineLevel="0" collapsed="false">
      <c r="A924" s="3" t="n">
        <f aca="false">IFERROR(__xludf.dummyfunction("""COMPUTED_VALUE"""),45539.6666666667)</f>
        <v>45539.6666666667</v>
      </c>
      <c r="B924" s="2" t="n">
        <f aca="false">IFERROR(__xludf.dummyfunction("""COMPUTED_VALUE"""),150.3)</f>
        <v>150.3</v>
      </c>
      <c r="C924" s="2" t="n">
        <f aca="false">IFERROR(__xludf.dummyfunction("""COMPUTED_VALUE"""),157.79)</f>
        <v>157.79</v>
      </c>
      <c r="D924" s="2" t="n">
        <f aca="false">IFERROR(__xludf.dummyfunction("""COMPUTED_VALUE"""),149.15)</f>
        <v>149.15</v>
      </c>
      <c r="E924" s="2" t="n">
        <f aca="false">IFERROR(__xludf.dummyfunction("""COMPUTED_VALUE"""),154.12)</f>
        <v>154.12</v>
      </c>
      <c r="F924" s="2" t="n">
        <f aca="false">IFERROR(__xludf.dummyfunction("""COMPUTED_VALUE"""),20324062)</f>
        <v>20324062</v>
      </c>
    </row>
    <row r="925" customFormat="false" ht="15.75" hidden="false" customHeight="false" outlineLevel="0" collapsed="false">
      <c r="A925" s="3" t="n">
        <f aca="false">IFERROR(__xludf.dummyfunction("""COMPUTED_VALUE"""),45540.6666666667)</f>
        <v>45540.6666666667</v>
      </c>
      <c r="B925" s="2" t="n">
        <f aca="false">IFERROR(__xludf.dummyfunction("""COMPUTED_VALUE"""),150.57)</f>
        <v>150.57</v>
      </c>
      <c r="C925" s="2" t="n">
        <f aca="false">IFERROR(__xludf.dummyfunction("""COMPUTED_VALUE"""),156.36)</f>
        <v>156.36</v>
      </c>
      <c r="D925" s="2" t="n">
        <f aca="false">IFERROR(__xludf.dummyfunction("""COMPUTED_VALUE"""),150.11)</f>
        <v>150.11</v>
      </c>
      <c r="E925" s="2" t="n">
        <f aca="false">IFERROR(__xludf.dummyfunction("""COMPUTED_VALUE"""),152.82)</f>
        <v>152.82</v>
      </c>
      <c r="F925" s="2" t="n">
        <f aca="false">IFERROR(__xludf.dummyfunction("""COMPUTED_VALUE"""),31548537)</f>
        <v>31548537</v>
      </c>
    </row>
    <row r="926" customFormat="false" ht="15.75" hidden="false" customHeight="false" outlineLevel="0" collapsed="false">
      <c r="A926" s="3" t="n">
        <f aca="false">IFERROR(__xludf.dummyfunction("""COMPUTED_VALUE"""),45541.6666666667)</f>
        <v>45541.6666666667</v>
      </c>
      <c r="B926" s="2" t="n">
        <f aca="false">IFERROR(__xludf.dummyfunction("""COMPUTED_VALUE"""),143.25)</f>
        <v>143.25</v>
      </c>
      <c r="C926" s="2" t="n">
        <f aca="false">IFERROR(__xludf.dummyfunction("""COMPUTED_VALUE"""),143.5)</f>
        <v>143.5</v>
      </c>
      <c r="D926" s="2" t="n">
        <f aca="false">IFERROR(__xludf.dummyfunction("""COMPUTED_VALUE"""),136.6)</f>
        <v>136.6</v>
      </c>
      <c r="E926" s="2" t="n">
        <f aca="false">IFERROR(__xludf.dummyfunction("""COMPUTED_VALUE"""),137)</f>
        <v>137</v>
      </c>
      <c r="F926" s="2" t="n">
        <f aca="false">IFERROR(__xludf.dummyfunction("""COMPUTED_VALUE"""),76634630)</f>
        <v>76634630</v>
      </c>
    </row>
    <row r="927" customFormat="false" ht="15.75" hidden="false" customHeight="false" outlineLevel="0" collapsed="false">
      <c r="A927" s="3" t="n">
        <f aca="false">IFERROR(__xludf.dummyfunction("""COMPUTED_VALUE"""),45544.6666666667)</f>
        <v>45544.6666666667</v>
      </c>
      <c r="B927" s="2" t="n">
        <f aca="false">IFERROR(__xludf.dummyfunction("""COMPUTED_VALUE"""),139.11)</f>
        <v>139.11</v>
      </c>
      <c r="C927" s="2" t="n">
        <f aca="false">IFERROR(__xludf.dummyfunction("""COMPUTED_VALUE"""),141.59)</f>
        <v>141.59</v>
      </c>
      <c r="D927" s="2" t="n">
        <f aca="false">IFERROR(__xludf.dummyfunction("""COMPUTED_VALUE"""),134.9)</f>
        <v>134.9</v>
      </c>
      <c r="E927" s="2" t="n">
        <f aca="false">IFERROR(__xludf.dummyfunction("""COMPUTED_VALUE"""),140.82)</f>
        <v>140.82</v>
      </c>
      <c r="F927" s="2" t="n">
        <f aca="false">IFERROR(__xludf.dummyfunction("""COMPUTED_VALUE"""),39516691)</f>
        <v>39516691</v>
      </c>
    </row>
    <row r="928" customFormat="false" ht="15.75" hidden="false" customHeight="false" outlineLevel="0" collapsed="false">
      <c r="A928" s="3" t="n">
        <f aca="false">IFERROR(__xludf.dummyfunction("""COMPUTED_VALUE"""),45545.6666666667)</f>
        <v>45545.6666666667</v>
      </c>
      <c r="B928" s="2" t="n">
        <f aca="false">IFERROR(__xludf.dummyfunction("""COMPUTED_VALUE"""),141.22)</f>
        <v>141.22</v>
      </c>
      <c r="C928" s="2" t="n">
        <f aca="false">IFERROR(__xludf.dummyfunction("""COMPUTED_VALUE"""),149.86)</f>
        <v>149.86</v>
      </c>
      <c r="D928" s="2" t="n">
        <f aca="false">IFERROR(__xludf.dummyfunction("""COMPUTED_VALUE"""),141.04)</f>
        <v>141.04</v>
      </c>
      <c r="E928" s="2" t="n">
        <f aca="false">IFERROR(__xludf.dummyfunction("""COMPUTED_VALUE"""),148.21)</f>
        <v>148.21</v>
      </c>
      <c r="F928" s="2" t="n">
        <f aca="false">IFERROR(__xludf.dummyfunction("""COMPUTED_VALUE"""),36067473)</f>
        <v>36067473</v>
      </c>
    </row>
    <row r="929" customFormat="false" ht="15.75" hidden="false" customHeight="false" outlineLevel="0" collapsed="false">
      <c r="A929" s="3" t="n">
        <f aca="false">IFERROR(__xludf.dummyfunction("""COMPUTED_VALUE"""),45546.6666666667)</f>
        <v>45546.6666666667</v>
      </c>
      <c r="B929" s="2" t="n">
        <f aca="false">IFERROR(__xludf.dummyfunction("""COMPUTED_VALUE"""),148.39)</f>
        <v>148.39</v>
      </c>
      <c r="C929" s="2" t="n">
        <f aca="false">IFERROR(__xludf.dummyfunction("""COMPUTED_VALUE"""),158.87)</f>
        <v>158.87</v>
      </c>
      <c r="D929" s="2" t="n">
        <f aca="false">IFERROR(__xludf.dummyfunction("""COMPUTED_VALUE"""),145.04)</f>
        <v>145.04</v>
      </c>
      <c r="E929" s="2" t="n">
        <f aca="false">IFERROR(__xludf.dummyfunction("""COMPUTED_VALUE"""),158.27)</f>
        <v>158.27</v>
      </c>
      <c r="F929" s="2" t="n">
        <f aca="false">IFERROR(__xludf.dummyfunction("""COMPUTED_VALUE"""),39700766)</f>
        <v>39700766</v>
      </c>
    </row>
    <row r="930" customFormat="false" ht="15.75" hidden="false" customHeight="false" outlineLevel="0" collapsed="false">
      <c r="A930" s="3" t="n">
        <f aca="false">IFERROR(__xludf.dummyfunction("""COMPUTED_VALUE"""),45547.6666666667)</f>
        <v>45547.6666666667</v>
      </c>
      <c r="B930" s="2" t="n">
        <f aca="false">IFERROR(__xludf.dummyfunction("""COMPUTED_VALUE"""),158.1)</f>
        <v>158.1</v>
      </c>
      <c r="C930" s="2" t="n">
        <f aca="false">IFERROR(__xludf.dummyfunction("""COMPUTED_VALUE"""),166.32)</f>
        <v>166.32</v>
      </c>
      <c r="D930" s="2" t="n">
        <f aca="false">IFERROR(__xludf.dummyfunction("""COMPUTED_VALUE"""),156.83)</f>
        <v>156.83</v>
      </c>
      <c r="E930" s="2" t="n">
        <f aca="false">IFERROR(__xludf.dummyfunction("""COMPUTED_VALUE"""),164.56)</f>
        <v>164.56</v>
      </c>
      <c r="F930" s="2" t="n">
        <f aca="false">IFERROR(__xludf.dummyfunction("""COMPUTED_VALUE"""),43581917)</f>
        <v>43581917</v>
      </c>
    </row>
    <row r="931" customFormat="false" ht="15.75" hidden="false" customHeight="false" outlineLevel="0" collapsed="false">
      <c r="A931" s="3" t="n">
        <f aca="false">IFERROR(__xludf.dummyfunction("""COMPUTED_VALUE"""),45548.6666666667)</f>
        <v>45548.6666666667</v>
      </c>
      <c r="B931" s="2" t="n">
        <f aca="false">IFERROR(__xludf.dummyfunction("""COMPUTED_VALUE"""),166.74)</f>
        <v>166.74</v>
      </c>
      <c r="C931" s="2" t="n">
        <f aca="false">IFERROR(__xludf.dummyfunction("""COMPUTED_VALUE"""),168.08)</f>
        <v>168.08</v>
      </c>
      <c r="D931" s="2" t="n">
        <f aca="false">IFERROR(__xludf.dummyfunction("""COMPUTED_VALUE"""),164.04)</f>
        <v>164.04</v>
      </c>
      <c r="E931" s="2" t="n">
        <f aca="false">IFERROR(__xludf.dummyfunction("""COMPUTED_VALUE"""),167.69)</f>
        <v>167.69</v>
      </c>
      <c r="F931" s="2" t="n">
        <f aca="false">IFERROR(__xludf.dummyfunction("""COMPUTED_VALUE"""),29850048)</f>
        <v>29850048</v>
      </c>
    </row>
    <row r="932" customFormat="false" ht="15.75" hidden="false" customHeight="false" outlineLevel="0" collapsed="false">
      <c r="A932" s="3" t="n">
        <f aca="false">IFERROR(__xludf.dummyfunction("""COMPUTED_VALUE"""),45551.6666666667)</f>
        <v>45551.6666666667</v>
      </c>
      <c r="B932" s="2" t="n">
        <f aca="false">IFERROR(__xludf.dummyfunction("""COMPUTED_VALUE"""),165.19)</f>
        <v>165.19</v>
      </c>
      <c r="C932" s="2" t="n">
        <f aca="false">IFERROR(__xludf.dummyfunction("""COMPUTED_VALUE"""),165.5)</f>
        <v>165.5</v>
      </c>
      <c r="D932" s="2" t="n">
        <f aca="false">IFERROR(__xludf.dummyfunction("""COMPUTED_VALUE"""),160.41)</f>
        <v>160.41</v>
      </c>
      <c r="E932" s="2" t="n">
        <f aca="false">IFERROR(__xludf.dummyfunction("""COMPUTED_VALUE"""),164.02)</f>
        <v>164.02</v>
      </c>
      <c r="F932" s="2" t="n">
        <f aca="false">IFERROR(__xludf.dummyfunction("""COMPUTED_VALUE"""),26126934)</f>
        <v>26126934</v>
      </c>
    </row>
    <row r="933" customFormat="false" ht="15.75" hidden="false" customHeight="false" outlineLevel="0" collapsed="false">
      <c r="A933" s="3" t="n">
        <f aca="false">IFERROR(__xludf.dummyfunction("""COMPUTED_VALUE"""),45552.6666666667)</f>
        <v>45552.6666666667</v>
      </c>
      <c r="B933" s="2" t="n">
        <f aca="false">IFERROR(__xludf.dummyfunction("""COMPUTED_VALUE"""),165.49)</f>
        <v>165.49</v>
      </c>
      <c r="C933" s="2" t="n">
        <f aca="false">IFERROR(__xludf.dummyfunction("""COMPUTED_VALUE"""),166.02)</f>
        <v>166.02</v>
      </c>
      <c r="D933" s="2" t="n">
        <f aca="false">IFERROR(__xludf.dummyfunction("""COMPUTED_VALUE"""),160.7)</f>
        <v>160.7</v>
      </c>
      <c r="E933" s="2" t="n">
        <f aca="false">IFERROR(__xludf.dummyfunction("""COMPUTED_VALUE"""),162.47)</f>
        <v>162.47</v>
      </c>
      <c r="F933" s="2" t="n">
        <f aca="false">IFERROR(__xludf.dummyfunction("""COMPUTED_VALUE"""),19844343)</f>
        <v>19844343</v>
      </c>
    </row>
    <row r="934" customFormat="false" ht="15.75" hidden="false" customHeight="false" outlineLevel="0" collapsed="false">
      <c r="A934" s="3" t="n">
        <f aca="false">IFERROR(__xludf.dummyfunction("""COMPUTED_VALUE"""),45553.6666666667)</f>
        <v>45553.6666666667</v>
      </c>
      <c r="B934" s="2" t="n">
        <f aca="false">IFERROR(__xludf.dummyfunction("""COMPUTED_VALUE"""),163.77)</f>
        <v>163.77</v>
      </c>
      <c r="C934" s="2" t="n">
        <f aca="false">IFERROR(__xludf.dummyfunction("""COMPUTED_VALUE"""),167.47)</f>
        <v>167.47</v>
      </c>
      <c r="D934" s="2" t="n">
        <f aca="false">IFERROR(__xludf.dummyfunction("""COMPUTED_VALUE"""),161.36)</f>
        <v>161.36</v>
      </c>
      <c r="E934" s="2" t="n">
        <f aca="false">IFERROR(__xludf.dummyfunction("""COMPUTED_VALUE"""),161.67)</f>
        <v>161.67</v>
      </c>
      <c r="F934" s="2" t="n">
        <f aca="false">IFERROR(__xludf.dummyfunction("""COMPUTED_VALUE"""),26557560)</f>
        <v>26557560</v>
      </c>
    </row>
    <row r="935" customFormat="false" ht="15.75" hidden="false" customHeight="false" outlineLevel="0" collapsed="false">
      <c r="A935" s="3" t="n">
        <f aca="false">IFERROR(__xludf.dummyfunction("""COMPUTED_VALUE"""),45554.6666666667)</f>
        <v>45554.6666666667</v>
      </c>
      <c r="B935" s="2" t="n">
        <f aca="false">IFERROR(__xludf.dummyfunction("""COMPUTED_VALUE"""),167.68)</f>
        <v>167.68</v>
      </c>
      <c r="C935" s="2" t="n">
        <f aca="false">IFERROR(__xludf.dummyfunction("""COMPUTED_VALUE"""),170)</f>
        <v>170</v>
      </c>
      <c r="D935" s="2" t="n">
        <f aca="false">IFERROR(__xludf.dummyfunction("""COMPUTED_VALUE"""),165.66)</f>
        <v>165.66</v>
      </c>
      <c r="E935" s="2" t="n">
        <f aca="false">IFERROR(__xludf.dummyfunction("""COMPUTED_VALUE"""),167.42)</f>
        <v>167.42</v>
      </c>
      <c r="F935" s="2" t="n">
        <f aca="false">IFERROR(__xludf.dummyfunction("""COMPUTED_VALUE"""),32453057)</f>
        <v>32453057</v>
      </c>
    </row>
    <row r="936" customFormat="false" ht="15.75" hidden="false" customHeight="false" outlineLevel="0" collapsed="false">
      <c r="A936" s="3" t="n">
        <f aca="false">IFERROR(__xludf.dummyfunction("""COMPUTED_VALUE"""),45555.6666666667)</f>
        <v>45555.6666666667</v>
      </c>
      <c r="B936" s="2" t="n">
        <f aca="false">IFERROR(__xludf.dummyfunction("""COMPUTED_VALUE"""),167.18)</f>
        <v>167.18</v>
      </c>
      <c r="C936" s="2" t="n">
        <f aca="false">IFERROR(__xludf.dummyfunction("""COMPUTED_VALUE"""),172.02)</f>
        <v>172.02</v>
      </c>
      <c r="D936" s="2" t="n">
        <f aca="false">IFERROR(__xludf.dummyfunction("""COMPUTED_VALUE"""),166.47)</f>
        <v>166.47</v>
      </c>
      <c r="E936" s="2" t="n">
        <f aca="false">IFERROR(__xludf.dummyfunction("""COMPUTED_VALUE"""),171.1)</f>
        <v>171.1</v>
      </c>
      <c r="F936" s="2" t="n">
        <f aca="false">IFERROR(__xludf.dummyfunction("""COMPUTED_VALUE"""),91758507)</f>
        <v>91758507</v>
      </c>
    </row>
    <row r="937" customFormat="false" ht="15.75" hidden="false" customHeight="false" outlineLevel="0" collapsed="false">
      <c r="A937" s="3" t="n">
        <f aca="false">IFERROR(__xludf.dummyfunction("""COMPUTED_VALUE"""),45558.6666666667)</f>
        <v>45558.6666666667</v>
      </c>
      <c r="B937" s="2" t="n">
        <f aca="false">IFERROR(__xludf.dummyfunction("""COMPUTED_VALUE"""),172)</f>
        <v>172</v>
      </c>
      <c r="C937" s="2" t="n">
        <f aca="false">IFERROR(__xludf.dummyfunction("""COMPUTED_VALUE"""),173.32)</f>
        <v>173.32</v>
      </c>
      <c r="D937" s="2" t="n">
        <f aca="false">IFERROR(__xludf.dummyfunction("""COMPUTED_VALUE"""),168.35)</f>
        <v>168.35</v>
      </c>
      <c r="E937" s="2" t="n">
        <f aca="false">IFERROR(__xludf.dummyfunction("""COMPUTED_VALUE"""),172.94)</f>
        <v>172.94</v>
      </c>
      <c r="F937" s="2" t="n">
        <f aca="false">IFERROR(__xludf.dummyfunction("""COMPUTED_VALUE"""),29431112)</f>
        <v>29431112</v>
      </c>
    </row>
    <row r="938" customFormat="false" ht="15.75" hidden="false" customHeight="false" outlineLevel="0" collapsed="false">
      <c r="A938" s="3" t="n">
        <f aca="false">IFERROR(__xludf.dummyfunction("""COMPUTED_VALUE"""),45559.6666666667)</f>
        <v>45559.6666666667</v>
      </c>
      <c r="B938" s="2" t="n">
        <f aca="false">IFERROR(__xludf.dummyfunction("""COMPUTED_VALUE"""),172.81)</f>
        <v>172.81</v>
      </c>
      <c r="C938" s="2" t="n">
        <f aca="false">IFERROR(__xludf.dummyfunction("""COMPUTED_VALUE"""),175.99)</f>
        <v>175.99</v>
      </c>
      <c r="D938" s="2" t="n">
        <f aca="false">IFERROR(__xludf.dummyfunction("""COMPUTED_VALUE"""),171.68)</f>
        <v>171.68</v>
      </c>
      <c r="E938" s="2" t="n">
        <f aca="false">IFERROR(__xludf.dummyfunction("""COMPUTED_VALUE"""),174.84)</f>
        <v>174.84</v>
      </c>
      <c r="F938" s="2" t="n">
        <f aca="false">IFERROR(__xludf.dummyfunction("""COMPUTED_VALUE"""),34223405)</f>
        <v>34223405</v>
      </c>
    </row>
    <row r="939" customFormat="false" ht="15.75" hidden="false" customHeight="false" outlineLevel="0" collapsed="false">
      <c r="A939" s="3" t="n">
        <f aca="false">IFERROR(__xludf.dummyfunction("""COMPUTED_VALUE"""),45560.6666666667)</f>
        <v>45560.6666666667</v>
      </c>
      <c r="B939" s="2" t="n">
        <f aca="false">IFERROR(__xludf.dummyfunction("""COMPUTED_VALUE"""),174.65)</f>
        <v>174.65</v>
      </c>
      <c r="C939" s="2" t="n">
        <f aca="false">IFERROR(__xludf.dummyfunction("""COMPUTED_VALUE"""),177.14)</f>
        <v>177.14</v>
      </c>
      <c r="D939" s="2" t="n">
        <f aca="false">IFERROR(__xludf.dummyfunction("""COMPUTED_VALUE"""),173.76)</f>
        <v>173.76</v>
      </c>
      <c r="E939" s="2" t="n">
        <f aca="false">IFERROR(__xludf.dummyfunction("""COMPUTED_VALUE"""),175.52)</f>
        <v>175.52</v>
      </c>
      <c r="F939" s="2" t="n">
        <f aca="false">IFERROR(__xludf.dummyfunction("""COMPUTED_VALUE"""),16613795)</f>
        <v>16613795</v>
      </c>
    </row>
    <row r="940" customFormat="false" ht="15.75" hidden="false" customHeight="false" outlineLevel="0" collapsed="false">
      <c r="A940" s="3" t="n">
        <f aca="false">IFERROR(__xludf.dummyfunction("""COMPUTED_VALUE"""),45561.6666666667)</f>
        <v>45561.6666666667</v>
      </c>
      <c r="B940" s="2" t="n">
        <f aca="false">IFERROR(__xludf.dummyfunction("""COMPUTED_VALUE"""),178.5)</f>
        <v>178.5</v>
      </c>
      <c r="C940" s="2" t="n">
        <f aca="false">IFERROR(__xludf.dummyfunction("""COMPUTED_VALUE"""),180.25)</f>
        <v>180.25</v>
      </c>
      <c r="D940" s="2" t="n">
        <f aca="false">IFERROR(__xludf.dummyfunction("""COMPUTED_VALUE"""),175)</f>
        <v>175</v>
      </c>
      <c r="E940" s="2" t="n">
        <f aca="false">IFERROR(__xludf.dummyfunction("""COMPUTED_VALUE"""),178.09)</f>
        <v>178.09</v>
      </c>
      <c r="F940" s="2" t="n">
        <f aca="false">IFERROR(__xludf.dummyfunction("""COMPUTED_VALUE"""),24339996)</f>
        <v>24339996</v>
      </c>
    </row>
    <row r="941" customFormat="false" ht="15.75" hidden="false" customHeight="false" outlineLevel="0" collapsed="false">
      <c r="A941" s="3" t="n">
        <f aca="false">IFERROR(__xludf.dummyfunction("""COMPUTED_VALUE"""),45562.6666666667)</f>
        <v>45562.6666666667</v>
      </c>
      <c r="B941" s="2" t="n">
        <f aca="false">IFERROR(__xludf.dummyfunction("""COMPUTED_VALUE"""),178.17)</f>
        <v>178.17</v>
      </c>
      <c r="C941" s="2" t="n">
        <f aca="false">IFERROR(__xludf.dummyfunction("""COMPUTED_VALUE"""),178.47)</f>
        <v>178.47</v>
      </c>
      <c r="D941" s="2" t="n">
        <f aca="false">IFERROR(__xludf.dummyfunction("""COMPUTED_VALUE"""),171.76)</f>
        <v>171.76</v>
      </c>
      <c r="E941" s="2" t="n">
        <f aca="false">IFERROR(__xludf.dummyfunction("""COMPUTED_VALUE"""),172.69)</f>
        <v>172.69</v>
      </c>
      <c r="F941" s="2" t="n">
        <f aca="false">IFERROR(__xludf.dummyfunction("""COMPUTED_VALUE"""),20580905)</f>
        <v>20580905</v>
      </c>
    </row>
    <row r="942" customFormat="false" ht="15.75" hidden="false" customHeight="false" outlineLevel="0" collapsed="false">
      <c r="A942" s="3" t="n">
        <f aca="false">IFERROR(__xludf.dummyfunction("""COMPUTED_VALUE"""),45565.6666666667)</f>
        <v>45565.6666666667</v>
      </c>
      <c r="B942" s="2" t="n">
        <f aca="false">IFERROR(__xludf.dummyfunction("""COMPUTED_VALUE"""),171.87)</f>
        <v>171.87</v>
      </c>
      <c r="C942" s="2" t="n">
        <f aca="false">IFERROR(__xludf.dummyfunction("""COMPUTED_VALUE"""),172.92)</f>
        <v>172.92</v>
      </c>
      <c r="D942" s="2" t="n">
        <f aca="false">IFERROR(__xludf.dummyfunction("""COMPUTED_VALUE"""),169.63)</f>
        <v>169.63</v>
      </c>
      <c r="E942" s="2" t="n">
        <f aca="false">IFERROR(__xludf.dummyfunction("""COMPUTED_VALUE"""),172.5)</f>
        <v>172.5</v>
      </c>
      <c r="F942" s="2" t="n">
        <f aca="false">IFERROR(__xludf.dummyfunction("""COMPUTED_VALUE"""),16900033)</f>
        <v>16900033</v>
      </c>
    </row>
    <row r="943" customFormat="false" ht="15.75" hidden="false" customHeight="false" outlineLevel="0" collapsed="false">
      <c r="A943" s="3" t="n">
        <f aca="false">IFERROR(__xludf.dummyfunction("""COMPUTED_VALUE"""),45566.6666666667)</f>
        <v>45566.6666666667</v>
      </c>
      <c r="B943" s="2" t="n">
        <f aca="false">IFERROR(__xludf.dummyfunction("""COMPUTED_VALUE"""),172.16)</f>
        <v>172.16</v>
      </c>
      <c r="C943" s="2" t="n">
        <f aca="false">IFERROR(__xludf.dummyfunction("""COMPUTED_VALUE"""),172.25)</f>
        <v>172.25</v>
      </c>
      <c r="D943" s="2" t="n">
        <f aca="false">IFERROR(__xludf.dummyfunction("""COMPUTED_VALUE"""),165.8)</f>
        <v>165.8</v>
      </c>
      <c r="E943" s="2" t="n">
        <f aca="false">IFERROR(__xludf.dummyfunction("""COMPUTED_VALUE"""),167.47)</f>
        <v>167.47</v>
      </c>
      <c r="F943" s="2" t="n">
        <f aca="false">IFERROR(__xludf.dummyfunction("""COMPUTED_VALUE"""),23770416)</f>
        <v>23770416</v>
      </c>
    </row>
    <row r="944" customFormat="false" ht="15.75" hidden="false" customHeight="false" outlineLevel="0" collapsed="false">
      <c r="A944" s="3" t="n">
        <f aca="false">IFERROR(__xludf.dummyfunction("""COMPUTED_VALUE"""),45567.6666666667)</f>
        <v>45567.6666666667</v>
      </c>
      <c r="B944" s="2" t="n">
        <f aca="false">IFERROR(__xludf.dummyfunction("""COMPUTED_VALUE"""),167.55)</f>
        <v>167.55</v>
      </c>
      <c r="C944" s="2" t="n">
        <f aca="false">IFERROR(__xludf.dummyfunction("""COMPUTED_VALUE"""),172.84)</f>
        <v>172.84</v>
      </c>
      <c r="D944" s="2" t="n">
        <f aca="false">IFERROR(__xludf.dummyfunction("""COMPUTED_VALUE"""),167.02)</f>
        <v>167.02</v>
      </c>
      <c r="E944" s="2" t="n">
        <f aca="false">IFERROR(__xludf.dummyfunction("""COMPUTED_VALUE"""),170.66)</f>
        <v>170.66</v>
      </c>
      <c r="F944" s="2" t="n">
        <f aca="false">IFERROR(__xludf.dummyfunction("""COMPUTED_VALUE"""),14317834)</f>
        <v>14317834</v>
      </c>
    </row>
    <row r="945" customFormat="false" ht="15.75" hidden="false" customHeight="false" outlineLevel="0" collapsed="false">
      <c r="A945" s="3" t="n">
        <f aca="false">IFERROR(__xludf.dummyfunction("""COMPUTED_VALUE"""),45568.6666666667)</f>
        <v>45568.6666666667</v>
      </c>
      <c r="B945" s="2" t="n">
        <f aca="false">IFERROR(__xludf.dummyfunction("""COMPUTED_VALUE"""),169.62)</f>
        <v>169.62</v>
      </c>
      <c r="C945" s="2" t="n">
        <f aca="false">IFERROR(__xludf.dummyfunction("""COMPUTED_VALUE"""),174.94)</f>
        <v>174.94</v>
      </c>
      <c r="D945" s="2" t="n">
        <f aca="false">IFERROR(__xludf.dummyfunction("""COMPUTED_VALUE"""),169.19)</f>
        <v>169.19</v>
      </c>
      <c r="E945" s="2" t="n">
        <f aca="false">IFERROR(__xludf.dummyfunction("""COMPUTED_VALUE"""),171.89)</f>
        <v>171.89</v>
      </c>
      <c r="F945" s="2" t="n">
        <f aca="false">IFERROR(__xludf.dummyfunction("""COMPUTED_VALUE"""),13072281)</f>
        <v>13072281</v>
      </c>
    </row>
    <row r="946" customFormat="false" ht="15.75" hidden="false" customHeight="false" outlineLevel="0" collapsed="false">
      <c r="A946" s="3" t="n">
        <f aca="false">IFERROR(__xludf.dummyfunction("""COMPUTED_VALUE"""),45569.6666666667)</f>
        <v>45569.6666666667</v>
      </c>
      <c r="B946" s="2" t="n">
        <f aca="false">IFERROR(__xludf.dummyfunction("""COMPUTED_VALUE"""),176.3)</f>
        <v>176.3</v>
      </c>
      <c r="C946" s="2" t="n">
        <f aca="false">IFERROR(__xludf.dummyfunction("""COMPUTED_VALUE"""),176.9)</f>
        <v>176.9</v>
      </c>
      <c r="D946" s="2" t="n">
        <f aca="false">IFERROR(__xludf.dummyfunction("""COMPUTED_VALUE"""),172.6)</f>
        <v>172.6</v>
      </c>
      <c r="E946" s="2" t="n">
        <f aca="false">IFERROR(__xludf.dummyfunction("""COMPUTED_VALUE"""),176.64)</f>
        <v>176.64</v>
      </c>
      <c r="F946" s="2" t="n">
        <f aca="false">IFERROR(__xludf.dummyfunction("""COMPUTED_VALUE"""),17941387)</f>
        <v>17941387</v>
      </c>
    </row>
    <row r="947" customFormat="false" ht="15.75" hidden="false" customHeight="false" outlineLevel="0" collapsed="false">
      <c r="A947" s="3" t="n">
        <f aca="false">IFERROR(__xludf.dummyfunction("""COMPUTED_VALUE"""),45572.6666666667)</f>
        <v>45572.6666666667</v>
      </c>
      <c r="B947" s="2" t="n">
        <f aca="false">IFERROR(__xludf.dummyfunction("""COMPUTED_VALUE"""),174.82)</f>
        <v>174.82</v>
      </c>
      <c r="C947" s="2" t="n">
        <f aca="false">IFERROR(__xludf.dummyfunction("""COMPUTED_VALUE"""),178.31)</f>
        <v>178.31</v>
      </c>
      <c r="D947" s="2" t="n">
        <f aca="false">IFERROR(__xludf.dummyfunction("""COMPUTED_VALUE"""),173.86)</f>
        <v>173.86</v>
      </c>
      <c r="E947" s="2" t="n">
        <f aca="false">IFERROR(__xludf.dummyfunction("""COMPUTED_VALUE"""),175.08)</f>
        <v>175.08</v>
      </c>
      <c r="F947" s="2" t="n">
        <f aca="false">IFERROR(__xludf.dummyfunction("""COMPUTED_VALUE"""),15588333)</f>
        <v>15588333</v>
      </c>
    </row>
    <row r="948" customFormat="false" ht="15.75" hidden="false" customHeight="false" outlineLevel="0" collapsed="false">
      <c r="A948" s="3" t="n">
        <f aca="false">IFERROR(__xludf.dummyfunction("""COMPUTED_VALUE"""),45573.6666666667)</f>
        <v>45573.6666666667</v>
      </c>
      <c r="B948" s="2" t="n">
        <f aca="false">IFERROR(__xludf.dummyfunction("""COMPUTED_VALUE"""),175.42)</f>
        <v>175.42</v>
      </c>
      <c r="C948" s="2" t="n">
        <f aca="false">IFERROR(__xludf.dummyfunction("""COMPUTED_VALUE"""),181.6)</f>
        <v>181.6</v>
      </c>
      <c r="D948" s="2" t="n">
        <f aca="false">IFERROR(__xludf.dummyfunction("""COMPUTED_VALUE"""),174.89)</f>
        <v>174.89</v>
      </c>
      <c r="E948" s="2" t="n">
        <f aca="false">IFERROR(__xludf.dummyfunction("""COMPUTED_VALUE"""),180.73)</f>
        <v>180.73</v>
      </c>
      <c r="F948" s="2" t="n">
        <f aca="false">IFERROR(__xludf.dummyfunction("""COMPUTED_VALUE"""),20774189)</f>
        <v>20774189</v>
      </c>
    </row>
    <row r="949" customFormat="false" ht="15.75" hidden="false" customHeight="false" outlineLevel="0" collapsed="false">
      <c r="A949" s="3" t="n">
        <f aca="false">IFERROR(__xludf.dummyfunction("""COMPUTED_VALUE"""),45574.6666666667)</f>
        <v>45574.6666666667</v>
      </c>
      <c r="B949" s="2" t="n">
        <f aca="false">IFERROR(__xludf.dummyfunction("""COMPUTED_VALUE"""),179.24)</f>
        <v>179.24</v>
      </c>
      <c r="C949" s="2" t="n">
        <f aca="false">IFERROR(__xludf.dummyfunction("""COMPUTED_VALUE"""),186.42)</f>
        <v>186.42</v>
      </c>
      <c r="D949" s="2" t="n">
        <f aca="false">IFERROR(__xludf.dummyfunction("""COMPUTED_VALUE"""),176.42)</f>
        <v>176.42</v>
      </c>
      <c r="E949" s="2" t="n">
        <f aca="false">IFERROR(__xludf.dummyfunction("""COMPUTED_VALUE"""),185.95)</f>
        <v>185.95</v>
      </c>
      <c r="F949" s="2" t="n">
        <f aca="false">IFERROR(__xludf.dummyfunction("""COMPUTED_VALUE"""),25504058)</f>
        <v>25504058</v>
      </c>
    </row>
    <row r="950" customFormat="false" ht="15.75" hidden="false" customHeight="false" outlineLevel="0" collapsed="false">
      <c r="A950" s="3" t="n">
        <f aca="false">IFERROR(__xludf.dummyfunction("""COMPUTED_VALUE"""),45575.6666666667)</f>
        <v>45575.6666666667</v>
      </c>
      <c r="B950" s="2" t="n">
        <f aca="false">IFERROR(__xludf.dummyfunction("""COMPUTED_VALUE"""),183.56)</f>
        <v>183.56</v>
      </c>
      <c r="C950" s="2" t="n">
        <f aca="false">IFERROR(__xludf.dummyfunction("""COMPUTED_VALUE"""),186.31)</f>
        <v>186.31</v>
      </c>
      <c r="D950" s="2" t="n">
        <f aca="false">IFERROR(__xludf.dummyfunction("""COMPUTED_VALUE"""),182.53)</f>
        <v>182.53</v>
      </c>
      <c r="E950" s="2" t="n">
        <f aca="false">IFERROR(__xludf.dummyfunction("""COMPUTED_VALUE"""),185.69)</f>
        <v>185.69</v>
      </c>
      <c r="F950" s="2" t="n">
        <f aca="false">IFERROR(__xludf.dummyfunction("""COMPUTED_VALUE"""),16317969)</f>
        <v>16317969</v>
      </c>
    </row>
    <row r="951" customFormat="false" ht="15.75" hidden="false" customHeight="false" outlineLevel="0" collapsed="false">
      <c r="A951" s="3" t="n">
        <f aca="false">IFERROR(__xludf.dummyfunction("""COMPUTED_VALUE"""),45576.6666666667)</f>
        <v>45576.6666666667</v>
      </c>
      <c r="B951" s="2" t="n">
        <f aca="false">IFERROR(__xludf.dummyfunction("""COMPUTED_VALUE"""),181.14)</f>
        <v>181.14</v>
      </c>
      <c r="C951" s="2" t="n">
        <f aca="false">IFERROR(__xludf.dummyfunction("""COMPUTED_VALUE"""),182.59)</f>
        <v>182.59</v>
      </c>
      <c r="D951" s="2" t="n">
        <f aca="false">IFERROR(__xludf.dummyfunction("""COMPUTED_VALUE"""),177.4)</f>
        <v>177.4</v>
      </c>
      <c r="E951" s="2" t="n">
        <f aca="false">IFERROR(__xludf.dummyfunction("""COMPUTED_VALUE"""),181.48)</f>
        <v>181.48</v>
      </c>
      <c r="F951" s="2" t="n">
        <f aca="false">IFERROR(__xludf.dummyfunction("""COMPUTED_VALUE"""),23070023)</f>
        <v>23070023</v>
      </c>
    </row>
    <row r="952" customFormat="false" ht="15.75" hidden="false" customHeight="false" outlineLevel="0" collapsed="false">
      <c r="A952" s="3" t="n">
        <f aca="false">IFERROR(__xludf.dummyfunction("""COMPUTED_VALUE"""),45579.6666666667)</f>
        <v>45579.6666666667</v>
      </c>
      <c r="B952" s="2" t="n">
        <f aca="false">IFERROR(__xludf.dummyfunction("""COMPUTED_VALUE"""),183.3)</f>
        <v>183.3</v>
      </c>
      <c r="C952" s="2" t="n">
        <f aca="false">IFERROR(__xludf.dummyfunction("""COMPUTED_VALUE"""),184.95)</f>
        <v>184.95</v>
      </c>
      <c r="D952" s="2" t="n">
        <f aca="false">IFERROR(__xludf.dummyfunction("""COMPUTED_VALUE"""),180.13)</f>
        <v>180.13</v>
      </c>
      <c r="E952" s="2" t="n">
        <f aca="false">IFERROR(__xludf.dummyfunction("""COMPUTED_VALUE"""),182.31)</f>
        <v>182.31</v>
      </c>
      <c r="F952" s="2" t="n">
        <f aca="false">IFERROR(__xludf.dummyfunction("""COMPUTED_VALUE"""),17195824)</f>
        <v>17195824</v>
      </c>
    </row>
    <row r="953" customFormat="false" ht="15.75" hidden="false" customHeight="false" outlineLevel="0" collapsed="false">
      <c r="A953" s="3" t="n">
        <f aca="false">IFERROR(__xludf.dummyfunction("""COMPUTED_VALUE"""),45580.6666666667)</f>
        <v>45580.6666666667</v>
      </c>
      <c r="B953" s="2" t="n">
        <f aca="false">IFERROR(__xludf.dummyfunction("""COMPUTED_VALUE"""),180.79)</f>
        <v>180.79</v>
      </c>
      <c r="C953" s="2" t="n">
        <f aca="false">IFERROR(__xludf.dummyfunction("""COMPUTED_VALUE"""),181.7)</f>
        <v>181.7</v>
      </c>
      <c r="D953" s="2" t="n">
        <f aca="false">IFERROR(__xludf.dummyfunction("""COMPUTED_VALUE"""),173.37)</f>
        <v>173.37</v>
      </c>
      <c r="E953" s="2" t="n">
        <f aca="false">IFERROR(__xludf.dummyfunction("""COMPUTED_VALUE"""),175.98)</f>
        <v>175.98</v>
      </c>
      <c r="F953" s="2" t="n">
        <f aca="false">IFERROR(__xludf.dummyfunction("""COMPUTED_VALUE"""),27657529)</f>
        <v>27657529</v>
      </c>
    </row>
    <row r="954" customFormat="false" ht="15.75" hidden="false" customHeight="false" outlineLevel="0" collapsed="false">
      <c r="A954" s="3" t="n">
        <f aca="false">IFERROR(__xludf.dummyfunction("""COMPUTED_VALUE"""),45581.6666666667)</f>
        <v>45581.6666666667</v>
      </c>
      <c r="B954" s="2" t="n">
        <f aca="false">IFERROR(__xludf.dummyfunction("""COMPUTED_VALUE"""),178.51)</f>
        <v>178.51</v>
      </c>
      <c r="C954" s="2" t="n">
        <f aca="false">IFERROR(__xludf.dummyfunction("""COMPUTED_VALUE"""),179.25)</f>
        <v>179.25</v>
      </c>
      <c r="D954" s="2" t="n">
        <f aca="false">IFERROR(__xludf.dummyfunction("""COMPUTED_VALUE"""),175.33)</f>
        <v>175.33</v>
      </c>
      <c r="E954" s="2" t="n">
        <f aca="false">IFERROR(__xludf.dummyfunction("""COMPUTED_VALUE"""),176.82)</f>
        <v>176.82</v>
      </c>
      <c r="F954" s="2" t="n">
        <f aca="false">IFERROR(__xludf.dummyfunction("""COMPUTED_VALUE"""),15285054)</f>
        <v>15285054</v>
      </c>
    </row>
    <row r="955" customFormat="false" ht="15.75" hidden="false" customHeight="false" outlineLevel="0" collapsed="false">
      <c r="A955" s="3" t="n">
        <f aca="false">IFERROR(__xludf.dummyfunction("""COMPUTED_VALUE"""),45582.6666666667)</f>
        <v>45582.6666666667</v>
      </c>
      <c r="B955" s="2" t="n">
        <f aca="false">IFERROR(__xludf.dummyfunction("""COMPUTED_VALUE"""),181.37)</f>
        <v>181.37</v>
      </c>
      <c r="C955" s="2" t="n">
        <f aca="false">IFERROR(__xludf.dummyfunction("""COMPUTED_VALUE"""),185.51)</f>
        <v>185.51</v>
      </c>
      <c r="D955" s="2" t="n">
        <f aca="false">IFERROR(__xludf.dummyfunction("""COMPUTED_VALUE"""),180.69)</f>
        <v>180.69</v>
      </c>
      <c r="E955" s="2" t="n">
        <f aca="false">IFERROR(__xludf.dummyfunction("""COMPUTED_VALUE"""),181.53)</f>
        <v>181.53</v>
      </c>
      <c r="F955" s="2" t="n">
        <f aca="false">IFERROR(__xludf.dummyfunction("""COMPUTED_VALUE"""),25232427)</f>
        <v>25232427</v>
      </c>
    </row>
    <row r="956" customFormat="false" ht="15.75" hidden="false" customHeight="false" outlineLevel="0" collapsed="false">
      <c r="A956" s="3" t="n">
        <f aca="false">IFERROR(__xludf.dummyfunction("""COMPUTED_VALUE"""),45583.6666666667)</f>
        <v>45583.6666666667</v>
      </c>
      <c r="B956" s="2" t="n">
        <f aca="false">IFERROR(__xludf.dummyfunction("""COMPUTED_VALUE"""),182.32)</f>
        <v>182.32</v>
      </c>
      <c r="C956" s="2" t="n">
        <f aca="false">IFERROR(__xludf.dummyfunction("""COMPUTED_VALUE"""),182.71)</f>
        <v>182.71</v>
      </c>
      <c r="D956" s="2" t="n">
        <f aca="false">IFERROR(__xludf.dummyfunction("""COMPUTED_VALUE"""),178.68)</f>
        <v>178.68</v>
      </c>
      <c r="E956" s="2" t="n">
        <f aca="false">IFERROR(__xludf.dummyfunction("""COMPUTED_VALUE"""),179.89)</f>
        <v>179.89</v>
      </c>
      <c r="F956" s="2" t="n">
        <f aca="false">IFERROR(__xludf.dummyfunction("""COMPUTED_VALUE"""),17835247)</f>
        <v>17835247</v>
      </c>
    </row>
    <row r="957" customFormat="false" ht="15.75" hidden="false" customHeight="false" outlineLevel="0" collapsed="false">
      <c r="A957" s="3" t="n">
        <f aca="false">IFERROR(__xludf.dummyfunction("""COMPUTED_VALUE"""),45586.6666666667)</f>
        <v>45586.6666666667</v>
      </c>
      <c r="B957" s="2" t="n">
        <f aca="false">IFERROR(__xludf.dummyfunction("""COMPUTED_VALUE"""),179.38)</f>
        <v>179.38</v>
      </c>
      <c r="C957" s="2" t="n">
        <f aca="false">IFERROR(__xludf.dummyfunction("""COMPUTED_VALUE"""),181.72)</f>
        <v>181.72</v>
      </c>
      <c r="D957" s="2" t="n">
        <f aca="false">IFERROR(__xludf.dummyfunction("""COMPUTED_VALUE"""),178.25)</f>
        <v>178.25</v>
      </c>
      <c r="E957" s="2" t="n">
        <f aca="false">IFERROR(__xludf.dummyfunction("""COMPUTED_VALUE"""),179.99)</f>
        <v>179.99</v>
      </c>
      <c r="F957" s="2" t="n">
        <f aca="false">IFERROR(__xludf.dummyfunction("""COMPUTED_VALUE"""),13695149)</f>
        <v>13695149</v>
      </c>
    </row>
    <row r="958" customFormat="false" ht="15.75" hidden="false" customHeight="false" outlineLevel="0" collapsed="false">
      <c r="A958" s="3" t="n">
        <f aca="false">IFERROR(__xludf.dummyfunction("""COMPUTED_VALUE"""),45587.6666666667)</f>
        <v>45587.6666666667</v>
      </c>
      <c r="B958" s="2" t="n">
        <f aca="false">IFERROR(__xludf.dummyfunction("""COMPUTED_VALUE"""),178.66)</f>
        <v>178.66</v>
      </c>
      <c r="C958" s="2" t="n">
        <f aca="false">IFERROR(__xludf.dummyfunction("""COMPUTED_VALUE"""),180.69)</f>
        <v>180.69</v>
      </c>
      <c r="D958" s="2" t="n">
        <f aca="false">IFERROR(__xludf.dummyfunction("""COMPUTED_VALUE"""),177.41)</f>
        <v>177.41</v>
      </c>
      <c r="E958" s="2" t="n">
        <f aca="false">IFERROR(__xludf.dummyfunction("""COMPUTED_VALUE"""),179.38)</f>
        <v>179.38</v>
      </c>
      <c r="F958" s="2" t="n">
        <f aca="false">IFERROR(__xludf.dummyfunction("""COMPUTED_VALUE"""),12062648)</f>
        <v>12062648</v>
      </c>
    </row>
    <row r="959" customFormat="false" ht="15.75" hidden="false" customHeight="false" outlineLevel="0" collapsed="false">
      <c r="A959" s="3" t="n">
        <f aca="false">IFERROR(__xludf.dummyfunction("""COMPUTED_VALUE"""),45588.6666666667)</f>
        <v>45588.6666666667</v>
      </c>
      <c r="B959" s="2" t="n">
        <f aca="false">IFERROR(__xludf.dummyfunction("""COMPUTED_VALUE"""),177.59)</f>
        <v>177.59</v>
      </c>
      <c r="C959" s="2" t="n">
        <f aca="false">IFERROR(__xludf.dummyfunction("""COMPUTED_VALUE"""),178.98)</f>
        <v>178.98</v>
      </c>
      <c r="D959" s="2" t="n">
        <f aca="false">IFERROR(__xludf.dummyfunction("""COMPUTED_VALUE"""),172.57)</f>
        <v>172.57</v>
      </c>
      <c r="E959" s="2" t="n">
        <f aca="false">IFERROR(__xludf.dummyfunction("""COMPUTED_VALUE"""),173.51)</f>
        <v>173.51</v>
      </c>
      <c r="F959" s="2" t="n">
        <f aca="false">IFERROR(__xludf.dummyfunction("""COMPUTED_VALUE"""),19513713)</f>
        <v>19513713</v>
      </c>
    </row>
    <row r="960" customFormat="false" ht="15.75" hidden="false" customHeight="false" outlineLevel="0" collapsed="false">
      <c r="A960" s="3" t="n">
        <f aca="false">IFERROR(__xludf.dummyfunction("""COMPUTED_VALUE"""),45589.6666666667)</f>
        <v>45589.6666666667</v>
      </c>
      <c r="B960" s="2" t="n">
        <f aca="false">IFERROR(__xludf.dummyfunction("""COMPUTED_VALUE"""),174.26)</f>
        <v>174.26</v>
      </c>
      <c r="C960" s="2" t="n">
        <f aca="false">IFERROR(__xludf.dummyfunction("""COMPUTED_VALUE"""),174.3)</f>
        <v>174.3</v>
      </c>
      <c r="D960" s="2" t="n">
        <f aca="false">IFERROR(__xludf.dummyfunction("""COMPUTED_VALUE"""),169.5)</f>
        <v>169.5</v>
      </c>
      <c r="E960" s="2" t="n">
        <f aca="false">IFERROR(__xludf.dummyfunction("""COMPUTED_VALUE"""),171.35)</f>
        <v>171.35</v>
      </c>
      <c r="F960" s="2" t="n">
        <f aca="false">IFERROR(__xludf.dummyfunction("""COMPUTED_VALUE"""),20485174)</f>
        <v>20485174</v>
      </c>
    </row>
    <row r="961" customFormat="false" ht="15.75" hidden="false" customHeight="false" outlineLevel="0" collapsed="false">
      <c r="A961" s="3" t="n">
        <f aca="false">IFERROR(__xludf.dummyfunction("""COMPUTED_VALUE"""),45590.6666666667)</f>
        <v>45590.6666666667</v>
      </c>
      <c r="B961" s="2" t="n">
        <f aca="false">IFERROR(__xludf.dummyfunction("""COMPUTED_VALUE"""),174.19)</f>
        <v>174.19</v>
      </c>
      <c r="C961" s="2" t="n">
        <f aca="false">IFERROR(__xludf.dummyfunction("""COMPUTED_VALUE"""),176.8)</f>
        <v>176.8</v>
      </c>
      <c r="D961" s="2" t="n">
        <f aca="false">IFERROR(__xludf.dummyfunction("""COMPUTED_VALUE"""),172.72)</f>
        <v>172.72</v>
      </c>
      <c r="E961" s="2" t="n">
        <f aca="false">IFERROR(__xludf.dummyfunction("""COMPUTED_VALUE"""),173)</f>
        <v>173</v>
      </c>
      <c r="F961" s="2" t="n">
        <f aca="false">IFERROR(__xludf.dummyfunction("""COMPUTED_VALUE"""),19977679)</f>
        <v>19977679</v>
      </c>
    </row>
    <row r="962" customFormat="false" ht="15.75" hidden="false" customHeight="false" outlineLevel="0" collapsed="false">
      <c r="A962" s="3" t="n">
        <f aca="false">IFERROR(__xludf.dummyfunction("""COMPUTED_VALUE"""),45593.6666666667)</f>
        <v>45593.6666666667</v>
      </c>
      <c r="B962" s="2" t="n">
        <f aca="false">IFERROR(__xludf.dummyfunction("""COMPUTED_VALUE"""),173)</f>
        <v>173</v>
      </c>
      <c r="C962" s="2" t="n">
        <f aca="false">IFERROR(__xludf.dummyfunction("""COMPUTED_VALUE"""),173.97)</f>
        <v>173.97</v>
      </c>
      <c r="D962" s="2" t="n">
        <f aca="false">IFERROR(__xludf.dummyfunction("""COMPUTED_VALUE"""),171.35)</f>
        <v>171.35</v>
      </c>
      <c r="E962" s="2" t="n">
        <f aca="false">IFERROR(__xludf.dummyfunction("""COMPUTED_VALUE"""),172.02)</f>
        <v>172.02</v>
      </c>
      <c r="F962" s="2" t="n">
        <f aca="false">IFERROR(__xludf.dummyfunction("""COMPUTED_VALUE"""),13195829)</f>
        <v>13195829</v>
      </c>
    </row>
    <row r="963" customFormat="false" ht="15.75" hidden="false" customHeight="false" outlineLevel="0" collapsed="false">
      <c r="A963" s="3" t="n">
        <f aca="false">IFERROR(__xludf.dummyfunction("""COMPUTED_VALUE"""),45594.6666666667)</f>
        <v>45594.6666666667</v>
      </c>
      <c r="B963" s="2" t="n">
        <f aca="false">IFERROR(__xludf.dummyfunction("""COMPUTED_VALUE"""),172.44)</f>
        <v>172.44</v>
      </c>
      <c r="C963" s="2" t="n">
        <f aca="false">IFERROR(__xludf.dummyfunction("""COMPUTED_VALUE"""),180.23)</f>
        <v>180.23</v>
      </c>
      <c r="D963" s="2" t="n">
        <f aca="false">IFERROR(__xludf.dummyfunction("""COMPUTED_VALUE"""),171.21)</f>
        <v>171.21</v>
      </c>
      <c r="E963" s="2" t="n">
        <f aca="false">IFERROR(__xludf.dummyfunction("""COMPUTED_VALUE"""),179.24)</f>
        <v>179.24</v>
      </c>
      <c r="F963" s="2" t="n">
        <f aca="false">IFERROR(__xludf.dummyfunction("""COMPUTED_VALUE"""),23702344)</f>
        <v>23702344</v>
      </c>
    </row>
    <row r="964" customFormat="false" ht="15.75" hidden="false" customHeight="false" outlineLevel="0" collapsed="false">
      <c r="A964" s="3" t="n">
        <f aca="false">IFERROR(__xludf.dummyfunction("""COMPUTED_VALUE"""),45595.6666666667)</f>
        <v>45595.6666666667</v>
      </c>
      <c r="B964" s="2" t="n">
        <f aca="false">IFERROR(__xludf.dummyfunction("""COMPUTED_VALUE"""),177.47)</f>
        <v>177.47</v>
      </c>
      <c r="C964" s="2" t="n">
        <f aca="false">IFERROR(__xludf.dummyfunction("""COMPUTED_VALUE"""),179.19)</f>
        <v>179.19</v>
      </c>
      <c r="D964" s="2" t="n">
        <f aca="false">IFERROR(__xludf.dummyfunction("""COMPUTED_VALUE"""),175.62)</f>
        <v>175.62</v>
      </c>
      <c r="E964" s="2" t="n">
        <f aca="false">IFERROR(__xludf.dummyfunction("""COMPUTED_VALUE"""),176.64)</f>
        <v>176.64</v>
      </c>
      <c r="F964" s="2" t="n">
        <f aca="false">IFERROR(__xludf.dummyfunction("""COMPUTED_VALUE"""),17911488)</f>
        <v>17911488</v>
      </c>
    </row>
    <row r="965" customFormat="false" ht="15.75" hidden="false" customHeight="false" outlineLevel="0" collapsed="false">
      <c r="A965" s="3" t="n">
        <f aca="false">IFERROR(__xludf.dummyfunction("""COMPUTED_VALUE"""),45596.6666666667)</f>
        <v>45596.6666666667</v>
      </c>
      <c r="B965" s="2" t="n">
        <f aca="false">IFERROR(__xludf.dummyfunction("""COMPUTED_VALUE"""),174.45)</f>
        <v>174.45</v>
      </c>
      <c r="C965" s="2" t="n">
        <f aca="false">IFERROR(__xludf.dummyfunction("""COMPUTED_VALUE"""),174.45)</f>
        <v>174.45</v>
      </c>
      <c r="D965" s="2" t="n">
        <f aca="false">IFERROR(__xludf.dummyfunction("""COMPUTED_VALUE"""),167.38)</f>
        <v>167.38</v>
      </c>
      <c r="E965" s="2" t="n">
        <f aca="false">IFERROR(__xludf.dummyfunction("""COMPUTED_VALUE"""),169.77)</f>
        <v>169.77</v>
      </c>
      <c r="F965" s="2" t="n">
        <f aca="false">IFERROR(__xludf.dummyfunction("""COMPUTED_VALUE"""),26086587)</f>
        <v>26086587</v>
      </c>
    </row>
    <row r="966" customFormat="false" ht="15.75" hidden="false" customHeight="false" outlineLevel="0" collapsed="false">
      <c r="A966" s="3" t="n">
        <f aca="false">IFERROR(__xludf.dummyfunction("""COMPUTED_VALUE"""),45597.6666666667)</f>
        <v>45597.6666666667</v>
      </c>
      <c r="B966" s="2" t="n">
        <f aca="false">IFERROR(__xludf.dummyfunction("""COMPUTED_VALUE"""),168.26)</f>
        <v>168.26</v>
      </c>
      <c r="C966" s="2" t="n">
        <f aca="false">IFERROR(__xludf.dummyfunction("""COMPUTED_VALUE"""),171.33)</f>
        <v>171.33</v>
      </c>
      <c r="D966" s="2" t="n">
        <f aca="false">IFERROR(__xludf.dummyfunction("""COMPUTED_VALUE"""),167.5)</f>
        <v>167.5</v>
      </c>
      <c r="E966" s="2" t="n">
        <f aca="false">IFERROR(__xludf.dummyfunction("""COMPUTED_VALUE"""),168.92)</f>
        <v>168.92</v>
      </c>
      <c r="F966" s="2" t="n">
        <f aca="false">IFERROR(__xludf.dummyfunction("""COMPUTED_VALUE"""),17847038)</f>
        <v>17847038</v>
      </c>
    </row>
    <row r="967" customFormat="false" ht="15.75" hidden="false" customHeight="false" outlineLevel="0" collapsed="false">
      <c r="A967" s="3" t="n">
        <f aca="false">IFERROR(__xludf.dummyfunction("""COMPUTED_VALUE"""),45600.6666666667)</f>
        <v>45600.6666666667</v>
      </c>
      <c r="B967" s="2" t="n">
        <f aca="false">IFERROR(__xludf.dummyfunction("""COMPUTED_VALUE"""),169.28)</f>
        <v>169.28</v>
      </c>
      <c r="C967" s="2" t="n">
        <f aca="false">IFERROR(__xludf.dummyfunction("""COMPUTED_VALUE"""),172.45)</f>
        <v>172.45</v>
      </c>
      <c r="D967" s="2" t="n">
        <f aca="false">IFERROR(__xludf.dummyfunction("""COMPUTED_VALUE"""),168.42)</f>
        <v>168.42</v>
      </c>
      <c r="E967" s="2" t="n">
        <f aca="false">IFERROR(__xludf.dummyfunction("""COMPUTED_VALUE"""),168.55)</f>
        <v>168.55</v>
      </c>
      <c r="F967" s="2" t="n">
        <f aca="false">IFERROR(__xludf.dummyfunction("""COMPUTED_VALUE"""),13621310)</f>
        <v>13621310</v>
      </c>
    </row>
    <row r="968" customFormat="false" ht="15.75" hidden="false" customHeight="false" outlineLevel="0" collapsed="false">
      <c r="A968" s="3" t="n">
        <f aca="false">IFERROR(__xludf.dummyfunction("""COMPUTED_VALUE"""),45601.6666666667)</f>
        <v>45601.6666666667</v>
      </c>
      <c r="B968" s="2" t="n">
        <f aca="false">IFERROR(__xludf.dummyfunction("""COMPUTED_VALUE"""),170.05)</f>
        <v>170.05</v>
      </c>
      <c r="C968" s="2" t="n">
        <f aca="false">IFERROR(__xludf.dummyfunction("""COMPUTED_VALUE"""),174.4)</f>
        <v>174.4</v>
      </c>
      <c r="D968" s="2" t="n">
        <f aca="false">IFERROR(__xludf.dummyfunction("""COMPUTED_VALUE"""),170.05)</f>
        <v>170.05</v>
      </c>
      <c r="E968" s="2" t="n">
        <f aca="false">IFERROR(__xludf.dummyfunction("""COMPUTED_VALUE"""),173.9)</f>
        <v>173.9</v>
      </c>
      <c r="F968" s="2" t="n">
        <f aca="false">IFERROR(__xludf.dummyfunction("""COMPUTED_VALUE"""),13441752)</f>
        <v>13441752</v>
      </c>
    </row>
    <row r="969" customFormat="false" ht="15.75" hidden="false" customHeight="false" outlineLevel="0" collapsed="false">
      <c r="A969" s="3" t="n">
        <f aca="false">IFERROR(__xludf.dummyfunction("""COMPUTED_VALUE"""),45602.6666666667)</f>
        <v>45602.6666666667</v>
      </c>
      <c r="B969" s="2" t="n">
        <f aca="false">IFERROR(__xludf.dummyfunction("""COMPUTED_VALUE"""),179.63)</f>
        <v>179.63</v>
      </c>
      <c r="C969" s="2" t="n">
        <f aca="false">IFERROR(__xludf.dummyfunction("""COMPUTED_VALUE"""),180.21)</f>
        <v>180.21</v>
      </c>
      <c r="D969" s="2" t="n">
        <f aca="false">IFERROR(__xludf.dummyfunction("""COMPUTED_VALUE"""),175.96)</f>
        <v>175.96</v>
      </c>
      <c r="E969" s="2" t="n">
        <f aca="false">IFERROR(__xludf.dummyfunction("""COMPUTED_VALUE"""),179.55)</f>
        <v>179.55</v>
      </c>
      <c r="F969" s="2" t="n">
        <f aca="false">IFERROR(__xludf.dummyfunction("""COMPUTED_VALUE"""),24300758)</f>
        <v>24300758</v>
      </c>
    </row>
    <row r="970" customFormat="false" ht="15.75" hidden="false" customHeight="false" outlineLevel="0" collapsed="false">
      <c r="A970" s="3" t="n">
        <f aca="false">IFERROR(__xludf.dummyfunction("""COMPUTED_VALUE"""),45603.6666666667)</f>
        <v>45603.6666666667</v>
      </c>
      <c r="B970" s="2" t="n">
        <f aca="false">IFERROR(__xludf.dummyfunction("""COMPUTED_VALUE"""),181.99)</f>
        <v>181.99</v>
      </c>
      <c r="C970" s="2" t="n">
        <f aca="false">IFERROR(__xludf.dummyfunction("""COMPUTED_VALUE"""),184.87)</f>
        <v>184.87</v>
      </c>
      <c r="D970" s="2" t="n">
        <f aca="false">IFERROR(__xludf.dummyfunction("""COMPUTED_VALUE"""),181.79)</f>
        <v>181.79</v>
      </c>
      <c r="E970" s="2" t="n">
        <f aca="false">IFERROR(__xludf.dummyfunction("""COMPUTED_VALUE"""),183.81)</f>
        <v>183.81</v>
      </c>
      <c r="F970" s="2" t="n">
        <f aca="false">IFERROR(__xludf.dummyfunction("""COMPUTED_VALUE"""),18970581)</f>
        <v>18970581</v>
      </c>
    </row>
    <row r="971" customFormat="false" ht="15.75" hidden="false" customHeight="false" outlineLevel="0" collapsed="false">
      <c r="A971" s="3" t="n">
        <f aca="false">IFERROR(__xludf.dummyfunction("""COMPUTED_VALUE"""),45604.6666666667)</f>
        <v>45604.6666666667</v>
      </c>
      <c r="B971" s="2" t="n">
        <f aca="false">IFERROR(__xludf.dummyfunction("""COMPUTED_VALUE"""),182.99)</f>
        <v>182.99</v>
      </c>
      <c r="C971" s="2" t="n">
        <f aca="false">IFERROR(__xludf.dummyfunction("""COMPUTED_VALUE"""),185.05)</f>
        <v>185.05</v>
      </c>
      <c r="D971" s="2" t="n">
        <f aca="false">IFERROR(__xludf.dummyfunction("""COMPUTED_VALUE"""),181.83)</f>
        <v>181.83</v>
      </c>
      <c r="E971" s="2" t="n">
        <f aca="false">IFERROR(__xludf.dummyfunction("""COMPUTED_VALUE"""),183.64)</f>
        <v>183.64</v>
      </c>
      <c r="F971" s="2" t="n">
        <f aca="false">IFERROR(__xludf.dummyfunction("""COMPUTED_VALUE"""),13503154)</f>
        <v>13503154</v>
      </c>
    </row>
    <row r="972" customFormat="false" ht="15.75" hidden="false" customHeight="false" outlineLevel="0" collapsed="false">
      <c r="A972" s="3" t="n">
        <f aca="false">IFERROR(__xludf.dummyfunction("""COMPUTED_VALUE"""),45607.6666666667)</f>
        <v>45607.6666666667</v>
      </c>
      <c r="B972" s="2" t="n">
        <f aca="false">IFERROR(__xludf.dummyfunction("""COMPUTED_VALUE"""),183.4)</f>
        <v>183.4</v>
      </c>
      <c r="C972" s="2" t="n">
        <f aca="false">IFERROR(__xludf.dummyfunction("""COMPUTED_VALUE"""),183.63)</f>
        <v>183.63</v>
      </c>
      <c r="D972" s="2" t="n">
        <f aca="false">IFERROR(__xludf.dummyfunction("""COMPUTED_VALUE"""),176.82)</f>
        <v>176.82</v>
      </c>
      <c r="E972" s="2" t="n">
        <f aca="false">IFERROR(__xludf.dummyfunction("""COMPUTED_VALUE"""),178.91)</f>
        <v>178.91</v>
      </c>
      <c r="F972" s="2" t="n">
        <f aca="false">IFERROR(__xludf.dummyfunction("""COMPUTED_VALUE"""),17036660)</f>
        <v>17036660</v>
      </c>
    </row>
    <row r="973" customFormat="false" ht="15.75" hidden="false" customHeight="false" outlineLevel="0" collapsed="false">
      <c r="A973" s="3" t="n">
        <f aca="false">IFERROR(__xludf.dummyfunction("""COMPUTED_VALUE"""),45608.6666666667)</f>
        <v>45608.6666666667</v>
      </c>
      <c r="B973" s="2" t="n">
        <f aca="false">IFERROR(__xludf.dummyfunction("""COMPUTED_VALUE"""),178.9)</f>
        <v>178.9</v>
      </c>
      <c r="C973" s="2" t="n">
        <f aca="false">IFERROR(__xludf.dummyfunction("""COMPUTED_VALUE"""),179.56)</f>
        <v>179.56</v>
      </c>
      <c r="D973" s="2" t="n">
        <f aca="false">IFERROR(__xludf.dummyfunction("""COMPUTED_VALUE"""),173.2)</f>
        <v>173.2</v>
      </c>
      <c r="E973" s="2" t="n">
        <f aca="false">IFERROR(__xludf.dummyfunction("""COMPUTED_VALUE"""),176.22)</f>
        <v>176.22</v>
      </c>
      <c r="F973" s="2" t="n">
        <f aca="false">IFERROR(__xludf.dummyfunction("""COMPUTED_VALUE"""),15861981)</f>
        <v>15861981</v>
      </c>
    </row>
    <row r="974" customFormat="false" ht="15.75" hidden="false" customHeight="false" outlineLevel="0" collapsed="false">
      <c r="A974" s="3" t="n">
        <f aca="false">IFERROR(__xludf.dummyfunction("""COMPUTED_VALUE"""),45609.6666666667)</f>
        <v>45609.6666666667</v>
      </c>
      <c r="B974" s="2" t="n">
        <f aca="false">IFERROR(__xludf.dummyfunction("""COMPUTED_VALUE"""),174.71)</f>
        <v>174.71</v>
      </c>
      <c r="C974" s="2" t="n">
        <f aca="false">IFERROR(__xludf.dummyfunction("""COMPUTED_VALUE"""),175.59)</f>
        <v>175.59</v>
      </c>
      <c r="D974" s="2" t="n">
        <f aca="false">IFERROR(__xludf.dummyfunction("""COMPUTED_VALUE"""),172.6)</f>
        <v>172.6</v>
      </c>
      <c r="E974" s="2" t="n">
        <f aca="false">IFERROR(__xludf.dummyfunction("""COMPUTED_VALUE"""),173.58)</f>
        <v>173.58</v>
      </c>
      <c r="F974" s="2" t="n">
        <f aca="false">IFERROR(__xludf.dummyfunction("""COMPUTED_VALUE"""),17472513)</f>
        <v>17472513</v>
      </c>
    </row>
    <row r="975" customFormat="false" ht="15.75" hidden="false" customHeight="false" outlineLevel="0" collapsed="false">
      <c r="A975" s="3" t="n">
        <f aca="false">IFERROR(__xludf.dummyfunction("""COMPUTED_VALUE"""),45610.6666666667)</f>
        <v>45610.6666666667</v>
      </c>
      <c r="B975" s="2" t="n">
        <f aca="false">IFERROR(__xludf.dummyfunction("""COMPUTED_VALUE"""),174.77)</f>
        <v>174.77</v>
      </c>
      <c r="C975" s="2" t="n">
        <f aca="false">IFERROR(__xludf.dummyfunction("""COMPUTED_VALUE"""),175.57)</f>
        <v>175.57</v>
      </c>
      <c r="D975" s="2" t="n">
        <f aca="false">IFERROR(__xludf.dummyfunction("""COMPUTED_VALUE"""),169.87)</f>
        <v>169.87</v>
      </c>
      <c r="E975" s="2" t="n">
        <f aca="false">IFERROR(__xludf.dummyfunction("""COMPUTED_VALUE"""),170.38)</f>
        <v>170.38</v>
      </c>
      <c r="F975" s="2" t="n">
        <f aca="false">IFERROR(__xludf.dummyfunction("""COMPUTED_VALUE"""),20638855)</f>
        <v>20638855</v>
      </c>
    </row>
    <row r="976" customFormat="false" ht="15.75" hidden="false" customHeight="false" outlineLevel="0" collapsed="false">
      <c r="A976" s="3" t="n">
        <f aca="false">IFERROR(__xludf.dummyfunction("""COMPUTED_VALUE"""),45611.6666666667)</f>
        <v>45611.6666666667</v>
      </c>
      <c r="B976" s="2" t="n">
        <f aca="false">IFERROR(__xludf.dummyfunction("""COMPUTED_VALUE"""),168.47)</f>
        <v>168.47</v>
      </c>
      <c r="C976" s="2" t="n">
        <f aca="false">IFERROR(__xludf.dummyfunction("""COMPUTED_VALUE"""),169.14)</f>
        <v>169.14</v>
      </c>
      <c r="D976" s="2" t="n">
        <f aca="false">IFERROR(__xludf.dummyfunction("""COMPUTED_VALUE"""),163.43)</f>
        <v>163.43</v>
      </c>
      <c r="E976" s="2" t="n">
        <f aca="false">IFERROR(__xludf.dummyfunction("""COMPUTED_VALUE"""),164.84)</f>
        <v>164.84</v>
      </c>
      <c r="F976" s="2" t="n">
        <f aca="false">IFERROR(__xludf.dummyfunction("""COMPUTED_VALUE"""),20836160)</f>
        <v>20836160</v>
      </c>
    </row>
    <row r="977" customFormat="false" ht="15.75" hidden="false" customHeight="false" outlineLevel="0" collapsed="false">
      <c r="A977" s="3" t="n">
        <f aca="false">IFERROR(__xludf.dummyfunction("""COMPUTED_VALUE"""),45614.6666666667)</f>
        <v>45614.6666666667</v>
      </c>
      <c r="B977" s="2" t="n">
        <f aca="false">IFERROR(__xludf.dummyfunction("""COMPUTED_VALUE"""),165.66)</f>
        <v>165.66</v>
      </c>
      <c r="C977" s="2" t="n">
        <f aca="false">IFERROR(__xludf.dummyfunction("""COMPUTED_VALUE"""),166.35)</f>
        <v>166.35</v>
      </c>
      <c r="D977" s="2" t="n">
        <f aca="false">IFERROR(__xludf.dummyfunction("""COMPUTED_VALUE"""),162.22)</f>
        <v>162.22</v>
      </c>
      <c r="E977" s="2" t="n">
        <f aca="false">IFERROR(__xludf.dummyfunction("""COMPUTED_VALUE"""),165.67)</f>
        <v>165.67</v>
      </c>
      <c r="F977" s="2" t="n">
        <f aca="false">IFERROR(__xludf.dummyfunction("""COMPUTED_VALUE"""),17870329)</f>
        <v>17870329</v>
      </c>
    </row>
    <row r="978" customFormat="false" ht="15.75" hidden="false" customHeight="false" outlineLevel="0" collapsed="false">
      <c r="A978" s="3" t="n">
        <f aca="false">IFERROR(__xludf.dummyfunction("""COMPUTED_VALUE"""),45615.6666666667)</f>
        <v>45615.6666666667</v>
      </c>
      <c r="B978" s="2" t="n">
        <f aca="false">IFERROR(__xludf.dummyfunction("""COMPUTED_VALUE"""),166.66)</f>
        <v>166.66</v>
      </c>
      <c r="C978" s="2" t="n">
        <f aca="false">IFERROR(__xludf.dummyfunction("""COMPUTED_VALUE"""),166.8)</f>
        <v>166.8</v>
      </c>
      <c r="D978" s="2" t="n">
        <f aca="false">IFERROR(__xludf.dummyfunction("""COMPUTED_VALUE"""),164.31)</f>
        <v>164.31</v>
      </c>
      <c r="E978" s="2" t="n">
        <f aca="false">IFERROR(__xludf.dummyfunction("""COMPUTED_VALUE"""),165.35)</f>
        <v>165.35</v>
      </c>
      <c r="F978" s="2" t="n">
        <f aca="false">IFERROR(__xludf.dummyfunction("""COMPUTED_VALUE"""),18003401)</f>
        <v>18003401</v>
      </c>
    </row>
    <row r="979" customFormat="false" ht="15.75" hidden="false" customHeight="false" outlineLevel="0" collapsed="false">
      <c r="A979" s="3" t="n">
        <f aca="false">IFERROR(__xludf.dummyfunction("""COMPUTED_VALUE"""),45616.6666666667)</f>
        <v>45616.6666666667</v>
      </c>
      <c r="B979" s="2" t="n">
        <f aca="false">IFERROR(__xludf.dummyfunction("""COMPUTED_VALUE"""),165.54)</f>
        <v>165.54</v>
      </c>
      <c r="C979" s="2" t="n">
        <f aca="false">IFERROR(__xludf.dummyfunction("""COMPUTED_VALUE"""),165.54)</f>
        <v>165.54</v>
      </c>
      <c r="D979" s="2" t="n">
        <f aca="false">IFERROR(__xludf.dummyfunction("""COMPUTED_VALUE"""),160.86)</f>
        <v>160.86</v>
      </c>
      <c r="E979" s="2" t="n">
        <f aca="false">IFERROR(__xludf.dummyfunction("""COMPUTED_VALUE"""),163.25)</f>
        <v>163.25</v>
      </c>
      <c r="F979" s="2" t="n">
        <f aca="false">IFERROR(__xludf.dummyfunction("""COMPUTED_VALUE"""),17196728)</f>
        <v>17196728</v>
      </c>
    </row>
    <row r="980" customFormat="false" ht="15.75" hidden="false" customHeight="false" outlineLevel="0" collapsed="false">
      <c r="A980" s="3" t="n">
        <f aca="false">IFERROR(__xludf.dummyfunction("""COMPUTED_VALUE"""),45617.6666666667)</f>
        <v>45617.6666666667</v>
      </c>
      <c r="B980" s="2" t="n">
        <f aca="false">IFERROR(__xludf.dummyfunction("""COMPUTED_VALUE"""),166.25)</f>
        <v>166.25</v>
      </c>
      <c r="C980" s="2" t="n">
        <f aca="false">IFERROR(__xludf.dummyfunction("""COMPUTED_VALUE"""),166.34)</f>
        <v>166.34</v>
      </c>
      <c r="D980" s="2" t="n">
        <f aca="false">IFERROR(__xludf.dummyfunction("""COMPUTED_VALUE"""),160.6)</f>
        <v>160.6</v>
      </c>
      <c r="E980" s="2" t="n">
        <f aca="false">IFERROR(__xludf.dummyfunction("""COMPUTED_VALUE"""),163.94)</f>
        <v>163.94</v>
      </c>
      <c r="F980" s="2" t="n">
        <f aca="false">IFERROR(__xludf.dummyfunction("""COMPUTED_VALUE"""),24835252)</f>
        <v>24835252</v>
      </c>
    </row>
    <row r="981" customFormat="false" ht="15.75" hidden="false" customHeight="false" outlineLevel="0" collapsed="false">
      <c r="A981" s="3" t="n">
        <f aca="false">IFERROR(__xludf.dummyfunction("""COMPUTED_VALUE"""),45618.6666666667)</f>
        <v>45618.6666666667</v>
      </c>
      <c r="B981" s="2" t="n">
        <f aca="false">IFERROR(__xludf.dummyfunction("""COMPUTED_VALUE"""),164.3)</f>
        <v>164.3</v>
      </c>
      <c r="C981" s="2" t="n">
        <f aca="false">IFERROR(__xludf.dummyfunction("""COMPUTED_VALUE"""),164.91)</f>
        <v>164.91</v>
      </c>
      <c r="D981" s="2" t="n">
        <f aca="false">IFERROR(__xludf.dummyfunction("""COMPUTED_VALUE"""),162.4)</f>
        <v>162.4</v>
      </c>
      <c r="E981" s="2" t="n">
        <f aca="false">IFERROR(__xludf.dummyfunction("""COMPUTED_VALUE"""),164.23)</f>
        <v>164.23</v>
      </c>
      <c r="F981" s="2" t="n">
        <f aca="false">IFERROR(__xludf.dummyfunction("""COMPUTED_VALUE"""),17332473)</f>
        <v>17332473</v>
      </c>
    </row>
    <row r="982" customFormat="false" ht="15.75" hidden="false" customHeight="false" outlineLevel="0" collapsed="false">
      <c r="A982" s="3" t="n">
        <f aca="false">IFERROR(__xludf.dummyfunction("""COMPUTED_VALUE"""),45621.6666666667)</f>
        <v>45621.6666666667</v>
      </c>
      <c r="B982" s="2" t="n">
        <f aca="false">IFERROR(__xludf.dummyfunction("""COMPUTED_VALUE"""),165.4)</f>
        <v>165.4</v>
      </c>
      <c r="C982" s="2" t="n">
        <f aca="false">IFERROR(__xludf.dummyfunction("""COMPUTED_VALUE"""),167.23)</f>
        <v>167.23</v>
      </c>
      <c r="D982" s="2" t="n">
        <f aca="false">IFERROR(__xludf.dummyfunction("""COMPUTED_VALUE"""),162.89)</f>
        <v>162.89</v>
      </c>
      <c r="E982" s="2" t="n">
        <f aca="false">IFERROR(__xludf.dummyfunction("""COMPUTED_VALUE"""),164.82)</f>
        <v>164.82</v>
      </c>
      <c r="F982" s="2" t="n">
        <f aca="false">IFERROR(__xludf.dummyfunction("""COMPUTED_VALUE"""),26850591)</f>
        <v>26850591</v>
      </c>
    </row>
    <row r="983" customFormat="false" ht="15.75" hidden="false" customHeight="false" outlineLevel="0" collapsed="false">
      <c r="A983" s="3" t="n">
        <f aca="false">IFERROR(__xludf.dummyfunction("""COMPUTED_VALUE"""),45622.6666666667)</f>
        <v>45622.6666666667</v>
      </c>
      <c r="B983" s="2" t="n">
        <f aca="false">IFERROR(__xludf.dummyfunction("""COMPUTED_VALUE"""),164.6)</f>
        <v>164.6</v>
      </c>
      <c r="C983" s="2" t="n">
        <f aca="false">IFERROR(__xludf.dummyfunction("""COMPUTED_VALUE"""),166.37)</f>
        <v>166.37</v>
      </c>
      <c r="D983" s="2" t="n">
        <f aca="false">IFERROR(__xludf.dummyfunction("""COMPUTED_VALUE"""),162.69)</f>
        <v>162.69</v>
      </c>
      <c r="E983" s="2" t="n">
        <f aca="false">IFERROR(__xludf.dummyfunction("""COMPUTED_VALUE"""),164.74)</f>
        <v>164.74</v>
      </c>
      <c r="F983" s="2" t="n">
        <f aca="false">IFERROR(__xludf.dummyfunction("""COMPUTED_VALUE"""),16308772)</f>
        <v>16308772</v>
      </c>
    </row>
    <row r="984" customFormat="false" ht="15.75" hidden="false" customHeight="false" outlineLevel="0" collapsed="false">
      <c r="A984" s="3" t="n">
        <f aca="false">IFERROR(__xludf.dummyfunction("""COMPUTED_VALUE"""),45623.6666666667)</f>
        <v>45623.6666666667</v>
      </c>
      <c r="B984" s="2" t="n">
        <f aca="false">IFERROR(__xludf.dummyfunction("""COMPUTED_VALUE"""),163.2)</f>
        <v>163.2</v>
      </c>
      <c r="C984" s="2" t="n">
        <f aca="false">IFERROR(__xludf.dummyfunction("""COMPUTED_VALUE"""),163.2)</f>
        <v>163.2</v>
      </c>
      <c r="D984" s="2" t="n">
        <f aca="false">IFERROR(__xludf.dummyfunction("""COMPUTED_VALUE"""),157.54)</f>
        <v>157.54</v>
      </c>
      <c r="E984" s="2" t="n">
        <f aca="false">IFERROR(__xludf.dummyfunction("""COMPUTED_VALUE"""),159.67)</f>
        <v>159.67</v>
      </c>
      <c r="F984" s="2" t="n">
        <f aca="false">IFERROR(__xludf.dummyfunction("""COMPUTED_VALUE"""),19722723)</f>
        <v>19722723</v>
      </c>
    </row>
    <row r="985" customFormat="false" ht="15.75" hidden="false" customHeight="false" outlineLevel="0" collapsed="false">
      <c r="A985" s="3" t="n">
        <f aca="false">IFERROR(__xludf.dummyfunction("""COMPUTED_VALUE"""),45625.5451388889)</f>
        <v>45625.5451388889</v>
      </c>
      <c r="B985" s="2" t="n">
        <f aca="false">IFERROR(__xludf.dummyfunction("""COMPUTED_VALUE"""),159.57)</f>
        <v>159.57</v>
      </c>
      <c r="C985" s="2" t="n">
        <f aca="false">IFERROR(__xludf.dummyfunction("""COMPUTED_VALUE"""),162.69)</f>
        <v>162.69</v>
      </c>
      <c r="D985" s="2" t="n">
        <f aca="false">IFERROR(__xludf.dummyfunction("""COMPUTED_VALUE"""),159.08)</f>
        <v>159.08</v>
      </c>
      <c r="E985" s="2" t="n">
        <f aca="false">IFERROR(__xludf.dummyfunction("""COMPUTED_VALUE"""),162.08)</f>
        <v>162.08</v>
      </c>
      <c r="F985" s="2" t="n">
        <f aca="false">IFERROR(__xludf.dummyfunction("""COMPUTED_VALUE"""),11024005)</f>
        <v>11024005</v>
      </c>
    </row>
    <row r="986" customFormat="false" ht="15.75" hidden="false" customHeight="false" outlineLevel="0" collapsed="false">
      <c r="A986" s="3" t="n">
        <f aca="false">IFERROR(__xludf.dummyfunction("""COMPUTED_VALUE"""),45628.6666666667)</f>
        <v>45628.6666666667</v>
      </c>
      <c r="B986" s="2" t="n">
        <f aca="false">IFERROR(__xludf.dummyfunction("""COMPUTED_VALUE"""),162.95)</f>
        <v>162.95</v>
      </c>
      <c r="C986" s="2" t="n">
        <f aca="false">IFERROR(__xludf.dummyfunction("""COMPUTED_VALUE"""),168.38)</f>
        <v>168.38</v>
      </c>
      <c r="D986" s="2" t="n">
        <f aca="false">IFERROR(__xludf.dummyfunction("""COMPUTED_VALUE"""),162.75)</f>
        <v>162.75</v>
      </c>
      <c r="E986" s="2" t="n">
        <f aca="false">IFERROR(__xludf.dummyfunction("""COMPUTED_VALUE"""),166.51)</f>
        <v>166.51</v>
      </c>
      <c r="F986" s="2" t="n">
        <f aca="false">IFERROR(__xludf.dummyfunction("""COMPUTED_VALUE"""),21472442)</f>
        <v>21472442</v>
      </c>
    </row>
    <row r="987" customFormat="false" ht="15.75" hidden="false" customHeight="false" outlineLevel="0" collapsed="false">
      <c r="A987" s="3" t="n">
        <f aca="false">IFERROR(__xludf.dummyfunction("""COMPUTED_VALUE"""),45629.6666666667)</f>
        <v>45629.6666666667</v>
      </c>
      <c r="B987" s="2" t="n">
        <f aca="false">IFERROR(__xludf.dummyfunction("""COMPUTED_VALUE"""),164.48)</f>
        <v>164.48</v>
      </c>
      <c r="C987" s="2" t="n">
        <f aca="false">IFERROR(__xludf.dummyfunction("""COMPUTED_VALUE"""),168.27)</f>
        <v>168.27</v>
      </c>
      <c r="D987" s="2" t="n">
        <f aca="false">IFERROR(__xludf.dummyfunction("""COMPUTED_VALUE"""),164.03)</f>
        <v>164.03</v>
      </c>
      <c r="E987" s="2" t="n">
        <f aca="false">IFERROR(__xludf.dummyfunction("""COMPUTED_VALUE"""),168.15)</f>
        <v>168.15</v>
      </c>
      <c r="F987" s="2" t="n">
        <f aca="false">IFERROR(__xludf.dummyfunction("""COMPUTED_VALUE"""),17024434)</f>
        <v>17024434</v>
      </c>
    </row>
    <row r="988" customFormat="false" ht="15.75" hidden="false" customHeight="false" outlineLevel="0" collapsed="false">
      <c r="A988" s="3" t="n">
        <f aca="false">IFERROR(__xludf.dummyfunction("""COMPUTED_VALUE"""),45630.6666666667)</f>
        <v>45630.6666666667</v>
      </c>
      <c r="B988" s="2" t="n">
        <f aca="false">IFERROR(__xludf.dummyfunction("""COMPUTED_VALUE"""),173.44)</f>
        <v>173.44</v>
      </c>
      <c r="C988" s="2" t="n">
        <f aca="false">IFERROR(__xludf.dummyfunction("""COMPUTED_VALUE"""),175.39)</f>
        <v>175.39</v>
      </c>
      <c r="D988" s="2" t="n">
        <f aca="false">IFERROR(__xludf.dummyfunction("""COMPUTED_VALUE"""),168.56)</f>
        <v>168.56</v>
      </c>
      <c r="E988" s="2" t="n">
        <f aca="false">IFERROR(__xludf.dummyfunction("""COMPUTED_VALUE"""),170.56)</f>
        <v>170.56</v>
      </c>
      <c r="F988" s="2" t="n">
        <f aca="false">IFERROR(__xludf.dummyfunction("""COMPUTED_VALUE"""),32748246)</f>
        <v>32748246</v>
      </c>
    </row>
    <row r="989" customFormat="false" ht="15.75" hidden="false" customHeight="false" outlineLevel="0" collapsed="false">
      <c r="A989" s="3" t="n">
        <f aca="false">IFERROR(__xludf.dummyfunction("""COMPUTED_VALUE"""),45631.6666666667)</f>
        <v>45631.6666666667</v>
      </c>
      <c r="B989" s="2" t="n">
        <f aca="false">IFERROR(__xludf.dummyfunction("""COMPUTED_VALUE"""),170.75)</f>
        <v>170.75</v>
      </c>
      <c r="C989" s="2" t="n">
        <f aca="false">IFERROR(__xludf.dummyfunction("""COMPUTED_VALUE"""),172.4)</f>
        <v>172.4</v>
      </c>
      <c r="D989" s="2" t="n">
        <f aca="false">IFERROR(__xludf.dummyfunction("""COMPUTED_VALUE"""),169.2)</f>
        <v>169.2</v>
      </c>
      <c r="E989" s="2" t="n">
        <f aca="false">IFERROR(__xludf.dummyfunction("""COMPUTED_VALUE"""),170.47)</f>
        <v>170.47</v>
      </c>
      <c r="F989" s="2" t="n">
        <f aca="false">IFERROR(__xludf.dummyfunction("""COMPUTED_VALUE"""),18489993)</f>
        <v>18489993</v>
      </c>
    </row>
    <row r="990" customFormat="false" ht="15.75" hidden="false" customHeight="false" outlineLevel="0" collapsed="false">
      <c r="A990" s="3" t="n">
        <f aca="false">IFERROR(__xludf.dummyfunction("""COMPUTED_VALUE"""),45632.6666666667)</f>
        <v>45632.6666666667</v>
      </c>
      <c r="B990" s="2" t="n">
        <f aca="false">IFERROR(__xludf.dummyfunction("""COMPUTED_VALUE"""),170.1)</f>
        <v>170.1</v>
      </c>
      <c r="C990" s="2" t="n">
        <f aca="false">IFERROR(__xludf.dummyfunction("""COMPUTED_VALUE"""),180.68)</f>
        <v>180.68</v>
      </c>
      <c r="D990" s="2" t="n">
        <f aca="false">IFERROR(__xludf.dummyfunction("""COMPUTED_VALUE"""),169.33)</f>
        <v>169.33</v>
      </c>
      <c r="E990" s="2" t="n">
        <f aca="false">IFERROR(__xludf.dummyfunction("""COMPUTED_VALUE"""),179.53)</f>
        <v>179.53</v>
      </c>
      <c r="F990" s="2" t="n">
        <f aca="false">IFERROR(__xludf.dummyfunction("""COMPUTED_VALUE"""),27830828)</f>
        <v>27830828</v>
      </c>
    </row>
    <row r="991" customFormat="false" ht="15.75" hidden="false" customHeight="false" outlineLevel="0" collapsed="false">
      <c r="A991" s="3" t="n">
        <f aca="false">IFERROR(__xludf.dummyfunction("""COMPUTED_VALUE"""),45635.6666666667)</f>
        <v>45635.6666666667</v>
      </c>
      <c r="B991" s="2" t="n">
        <f aca="false">IFERROR(__xludf.dummyfunction("""COMPUTED_VALUE"""),178.95)</f>
        <v>178.95</v>
      </c>
      <c r="C991" s="2" t="n">
        <f aca="false">IFERROR(__xludf.dummyfunction("""COMPUTED_VALUE"""),180.79)</f>
        <v>180.79</v>
      </c>
      <c r="D991" s="2" t="n">
        <f aca="false">IFERROR(__xludf.dummyfunction("""COMPUTED_VALUE"""),176.02)</f>
        <v>176.02</v>
      </c>
      <c r="E991" s="2" t="n">
        <f aca="false">IFERROR(__xludf.dummyfunction("""COMPUTED_VALUE"""),178.94)</f>
        <v>178.94</v>
      </c>
      <c r="F991" s="2" t="n">
        <f aca="false">IFERROR(__xludf.dummyfunction("""COMPUTED_VALUE"""),20886305)</f>
        <v>20886305</v>
      </c>
    </row>
    <row r="992" customFormat="false" ht="15.75" hidden="false" customHeight="false" outlineLevel="0" collapsed="false">
      <c r="A992" s="3" t="n">
        <f aca="false">IFERROR(__xludf.dummyfunction("""COMPUTED_VALUE"""),45636.6666666667)</f>
        <v>45636.6666666667</v>
      </c>
      <c r="B992" s="2" t="n">
        <f aca="false">IFERROR(__xludf.dummyfunction("""COMPUTED_VALUE"""),177.81)</f>
        <v>177.81</v>
      </c>
      <c r="C992" s="2" t="n">
        <f aca="false">IFERROR(__xludf.dummyfunction("""COMPUTED_VALUE"""),178.5)</f>
        <v>178.5</v>
      </c>
      <c r="D992" s="2" t="n">
        <f aca="false">IFERROR(__xludf.dummyfunction("""COMPUTED_VALUE"""),169.73)</f>
        <v>169.73</v>
      </c>
      <c r="E992" s="2" t="n">
        <f aca="false">IFERROR(__xludf.dummyfunction("""COMPUTED_VALUE"""),171.81)</f>
        <v>171.81</v>
      </c>
      <c r="F992" s="2" t="n">
        <f aca="false">IFERROR(__xludf.dummyfunction("""COMPUTED_VALUE"""),27762632)</f>
        <v>27762632</v>
      </c>
    </row>
    <row r="993" customFormat="false" ht="15.75" hidden="false" customHeight="false" outlineLevel="0" collapsed="false">
      <c r="A993" s="3" t="n">
        <f aca="false">IFERROR(__xludf.dummyfunction("""COMPUTED_VALUE"""),45637.6666666667)</f>
        <v>45637.6666666667</v>
      </c>
      <c r="B993" s="2" t="n">
        <f aca="false">IFERROR(__xludf.dummyfunction("""COMPUTED_VALUE"""),180.01)</f>
        <v>180.01</v>
      </c>
      <c r="C993" s="2" t="n">
        <f aca="false">IFERROR(__xludf.dummyfunction("""COMPUTED_VALUE"""),184.87)</f>
        <v>184.87</v>
      </c>
      <c r="D993" s="2" t="n">
        <f aca="false">IFERROR(__xludf.dummyfunction("""COMPUTED_VALUE"""),176.43)</f>
        <v>176.43</v>
      </c>
      <c r="E993" s="2" t="n">
        <f aca="false">IFERROR(__xludf.dummyfunction("""COMPUTED_VALUE"""),183.2)</f>
        <v>183.2</v>
      </c>
      <c r="F993" s="2" t="n">
        <f aca="false">IFERROR(__xludf.dummyfunction("""COMPUTED_VALUE"""),41295179)</f>
        <v>41295179</v>
      </c>
    </row>
    <row r="994" customFormat="false" ht="15.75" hidden="false" customHeight="false" outlineLevel="0" collapsed="false">
      <c r="A994" s="3" t="n">
        <f aca="false">IFERROR(__xludf.dummyfunction("""COMPUTED_VALUE"""),45638.6666666667)</f>
        <v>45638.6666666667</v>
      </c>
      <c r="B994" s="2" t="n">
        <f aca="false">IFERROR(__xludf.dummyfunction("""COMPUTED_VALUE"""),180.93)</f>
        <v>180.93</v>
      </c>
      <c r="C994" s="2" t="n">
        <f aca="false">IFERROR(__xludf.dummyfunction("""COMPUTED_VALUE"""),182)</f>
        <v>182</v>
      </c>
      <c r="D994" s="2" t="n">
        <f aca="false">IFERROR(__xludf.dummyfunction("""COMPUTED_VALUE"""),175.99)</f>
        <v>175.99</v>
      </c>
      <c r="E994" s="2" t="n">
        <f aca="false">IFERROR(__xludf.dummyfunction("""COMPUTED_VALUE"""),180.66)</f>
        <v>180.66</v>
      </c>
      <c r="F994" s="2" t="n">
        <f aca="false">IFERROR(__xludf.dummyfunction("""COMPUTED_VALUE"""),46967170)</f>
        <v>46967170</v>
      </c>
    </row>
    <row r="995" customFormat="false" ht="15.75" hidden="false" customHeight="false" outlineLevel="0" collapsed="false">
      <c r="A995" s="3" t="n">
        <f aca="false">IFERROR(__xludf.dummyfunction("""COMPUTED_VALUE"""),45639.6666666667)</f>
        <v>45639.6666666667</v>
      </c>
      <c r="B995" s="2" t="n">
        <f aca="false">IFERROR(__xludf.dummyfunction("""COMPUTED_VALUE"""),213.9)</f>
        <v>213.9</v>
      </c>
      <c r="C995" s="2" t="n">
        <f aca="false">IFERROR(__xludf.dummyfunction("""COMPUTED_VALUE"""),228.7)</f>
        <v>228.7</v>
      </c>
      <c r="D995" s="2" t="n">
        <f aca="false">IFERROR(__xludf.dummyfunction("""COMPUTED_VALUE"""),211.11)</f>
        <v>211.11</v>
      </c>
      <c r="E995" s="2" t="n">
        <f aca="false">IFERROR(__xludf.dummyfunction("""COMPUTED_VALUE"""),224.8)</f>
        <v>224.8</v>
      </c>
      <c r="F995" s="2" t="n">
        <f aca="false">IFERROR(__xludf.dummyfunction("""COMPUTED_VALUE"""),121336628)</f>
        <v>121336628</v>
      </c>
    </row>
    <row r="996" customFormat="false" ht="15.75" hidden="false" customHeight="false" outlineLevel="0" collapsed="false">
      <c r="A996" s="3" t="n">
        <f aca="false">IFERROR(__xludf.dummyfunction("""COMPUTED_VALUE"""),45642.6666666667)</f>
        <v>45642.6666666667</v>
      </c>
      <c r="B996" s="2" t="n">
        <f aca="false">IFERROR(__xludf.dummyfunction("""COMPUTED_VALUE"""),231.79)</f>
        <v>231.79</v>
      </c>
      <c r="C996" s="2" t="n">
        <f aca="false">IFERROR(__xludf.dummyfunction("""COMPUTED_VALUE"""),251.88)</f>
        <v>251.88</v>
      </c>
      <c r="D996" s="2" t="n">
        <f aca="false">IFERROR(__xludf.dummyfunction("""COMPUTED_VALUE"""),230.81)</f>
        <v>230.81</v>
      </c>
      <c r="E996" s="2" t="n">
        <f aca="false">IFERROR(__xludf.dummyfunction("""COMPUTED_VALUE"""),250)</f>
        <v>250</v>
      </c>
      <c r="F996" s="2" t="n">
        <f aca="false">IFERROR(__xludf.dummyfunction("""COMPUTED_VALUE"""),111623166)</f>
        <v>111623166</v>
      </c>
    </row>
    <row r="997" customFormat="false" ht="15.75" hidden="false" customHeight="false" outlineLevel="0" collapsed="false">
      <c r="A997" s="3" t="n">
        <f aca="false">IFERROR(__xludf.dummyfunction("""COMPUTED_VALUE"""),45643.6666666667)</f>
        <v>45643.6666666667</v>
      </c>
      <c r="B997" s="2" t="n">
        <f aca="false">IFERROR(__xludf.dummyfunction("""COMPUTED_VALUE"""),240.65)</f>
        <v>240.65</v>
      </c>
      <c r="C997" s="2" t="n">
        <f aca="false">IFERROR(__xludf.dummyfunction("""COMPUTED_VALUE"""),242.47)</f>
        <v>242.47</v>
      </c>
      <c r="D997" s="2" t="n">
        <f aca="false">IFERROR(__xludf.dummyfunction("""COMPUTED_VALUE"""),233.8)</f>
        <v>233.8</v>
      </c>
      <c r="E997" s="2" t="n">
        <f aca="false">IFERROR(__xludf.dummyfunction("""COMPUTED_VALUE"""),240.23)</f>
        <v>240.23</v>
      </c>
      <c r="F997" s="2" t="n">
        <f aca="false">IFERROR(__xludf.dummyfunction("""COMPUTED_VALUE"""),70382134)</f>
        <v>70382134</v>
      </c>
    </row>
    <row r="998" customFormat="false" ht="15.75" hidden="false" customHeight="false" outlineLevel="0" collapsed="false">
      <c r="A998" s="3" t="n">
        <f aca="false">IFERROR(__xludf.dummyfunction("""COMPUTED_VALUE"""),45644.6666666667)</f>
        <v>45644.6666666667</v>
      </c>
      <c r="B998" s="2" t="n">
        <f aca="false">IFERROR(__xludf.dummyfunction("""COMPUTED_VALUE"""),239.41)</f>
        <v>239.41</v>
      </c>
      <c r="C998" s="2" t="n">
        <f aca="false">IFERROR(__xludf.dummyfunction("""COMPUTED_VALUE"""),239.85)</f>
        <v>239.85</v>
      </c>
      <c r="D998" s="2" t="n">
        <f aca="false">IFERROR(__xludf.dummyfunction("""COMPUTED_VALUE"""),219.22)</f>
        <v>219.22</v>
      </c>
      <c r="E998" s="2" t="n">
        <f aca="false">IFERROR(__xludf.dummyfunction("""COMPUTED_VALUE"""),223.62)</f>
        <v>223.62</v>
      </c>
      <c r="F998" s="2" t="n">
        <f aca="false">IFERROR(__xludf.dummyfunction("""COMPUTED_VALUE"""),53960103)</f>
        <v>53960103</v>
      </c>
    </row>
    <row r="999" customFormat="false" ht="15.75" hidden="false" customHeight="false" outlineLevel="0" collapsed="false">
      <c r="A999" s="3" t="n">
        <f aca="false">IFERROR(__xludf.dummyfunction("""COMPUTED_VALUE"""),45645.6666666667)</f>
        <v>45645.6666666667</v>
      </c>
      <c r="B999" s="2" t="n">
        <f aca="false">IFERROR(__xludf.dummyfunction("""COMPUTED_VALUE"""),227.91)</f>
        <v>227.91</v>
      </c>
      <c r="C999" s="2" t="n">
        <f aca="false">IFERROR(__xludf.dummyfunction("""COMPUTED_VALUE"""),228.05)</f>
        <v>228.05</v>
      </c>
      <c r="D999" s="2" t="n">
        <f aca="false">IFERROR(__xludf.dummyfunction("""COMPUTED_VALUE"""),217.58)</f>
        <v>217.58</v>
      </c>
      <c r="E999" s="2" t="n">
        <f aca="false">IFERROR(__xludf.dummyfunction("""COMPUTED_VALUE"""),218.32)</f>
        <v>218.32</v>
      </c>
      <c r="F999" s="2" t="n">
        <f aca="false">IFERROR(__xludf.dummyfunction("""COMPUTED_VALUE"""),40845167)</f>
        <v>40845167</v>
      </c>
    </row>
    <row r="1000" customFormat="false" ht="15.75" hidden="false" customHeight="false" outlineLevel="0" collapsed="false">
      <c r="A1000" s="3" t="n">
        <f aca="false">IFERROR(__xludf.dummyfunction("""COMPUTED_VALUE"""),45646.6666666667)</f>
        <v>45646.6666666667</v>
      </c>
      <c r="B1000" s="2" t="n">
        <f aca="false">IFERROR(__xludf.dummyfunction("""COMPUTED_VALUE"""),220.36)</f>
        <v>220.36</v>
      </c>
      <c r="C1000" s="2" t="n">
        <f aca="false">IFERROR(__xludf.dummyfunction("""COMPUTED_VALUE"""),230.29)</f>
        <v>230.29</v>
      </c>
      <c r="D1000" s="2" t="n">
        <f aca="false">IFERROR(__xludf.dummyfunction("""COMPUTED_VALUE"""),218.91)</f>
        <v>218.91</v>
      </c>
      <c r="E1000" s="2" t="n">
        <f aca="false">IFERROR(__xludf.dummyfunction("""COMPUTED_VALUE"""),220.79)</f>
        <v>220.79</v>
      </c>
      <c r="F1000" s="2" t="n">
        <f aca="false">IFERROR(__xludf.dummyfunction("""COMPUTED_VALUE"""),131910354)</f>
        <v>131910354</v>
      </c>
    </row>
    <row r="1001" customFormat="false" ht="15.75" hidden="false" customHeight="false" outlineLevel="0" collapsed="false">
      <c r="A1001" s="3" t="n">
        <f aca="false">IFERROR(__xludf.dummyfunction("""COMPUTED_VALUE"""),45649.6666666667)</f>
        <v>45649.6666666667</v>
      </c>
      <c r="B1001" s="2" t="n">
        <f aca="false">IFERROR(__xludf.dummyfunction("""COMPUTED_VALUE"""),226.69)</f>
        <v>226.69</v>
      </c>
      <c r="C1001" s="2" t="n">
        <f aca="false">IFERROR(__xludf.dummyfunction("""COMPUTED_VALUE"""),233.4)</f>
        <v>233.4</v>
      </c>
      <c r="D1001" s="2" t="n">
        <f aca="false">IFERROR(__xludf.dummyfunction("""COMPUTED_VALUE"""),225.13)</f>
        <v>225.13</v>
      </c>
      <c r="E1001" s="2" t="n">
        <f aca="false">IFERROR(__xludf.dummyfunction("""COMPUTED_VALUE"""),232.35)</f>
        <v>232.35</v>
      </c>
      <c r="F1001" s="2" t="n">
        <f aca="false">IFERROR(__xludf.dummyfunction("""COMPUTED_VALUE"""),40643778)</f>
        <v>40643778</v>
      </c>
    </row>
    <row r="1002" customFormat="false" ht="15.75" hidden="false" customHeight="false" outlineLevel="0" collapsed="false">
      <c r="A1002" s="3" t="n">
        <f aca="false">IFERROR(__xludf.dummyfunction("""COMPUTED_VALUE"""),45650.5451388889)</f>
        <v>45650.5451388889</v>
      </c>
      <c r="B1002" s="2" t="n">
        <f aca="false">IFERROR(__xludf.dummyfunction("""COMPUTED_VALUE"""),240.12)</f>
        <v>240.12</v>
      </c>
      <c r="C1002" s="2" t="n">
        <f aca="false">IFERROR(__xludf.dummyfunction("""COMPUTED_VALUE"""),240.23)</f>
        <v>240.23</v>
      </c>
      <c r="D1002" s="2" t="n">
        <f aca="false">IFERROR(__xludf.dummyfunction("""COMPUTED_VALUE"""),234.8)</f>
        <v>234.8</v>
      </c>
      <c r="E1002" s="2" t="n">
        <f aca="false">IFERROR(__xludf.dummyfunction("""COMPUTED_VALUE"""),239.68)</f>
        <v>239.68</v>
      </c>
      <c r="F1002" s="2" t="n">
        <f aca="false">IFERROR(__xludf.dummyfunction("""COMPUTED_VALUE"""),22827188)</f>
        <v>22827188</v>
      </c>
    </row>
    <row r="1003" customFormat="false" ht="15.75" hidden="false" customHeight="false" outlineLevel="0" collapsed="false">
      <c r="A1003" s="3" t="n">
        <f aca="false">IFERROR(__xludf.dummyfunction("""COMPUTED_VALUE"""),45652.6666666667)</f>
        <v>45652.6666666667</v>
      </c>
      <c r="B1003" s="2" t="n">
        <f aca="false">IFERROR(__xludf.dummyfunction("""COMPUTED_VALUE"""),240)</f>
        <v>240</v>
      </c>
      <c r="C1003" s="2" t="n">
        <f aca="false">IFERROR(__xludf.dummyfunction("""COMPUTED_VALUE"""),247.28)</f>
        <v>247.28</v>
      </c>
      <c r="D1003" s="2" t="n">
        <f aca="false">IFERROR(__xludf.dummyfunction("""COMPUTED_VALUE"""),237.6)</f>
        <v>237.6</v>
      </c>
      <c r="E1003" s="2" t="n">
        <f aca="false">IFERROR(__xludf.dummyfunction("""COMPUTED_VALUE"""),245.36)</f>
        <v>245.36</v>
      </c>
      <c r="F1003" s="2" t="n">
        <f aca="false">IFERROR(__xludf.dummyfunction("""COMPUTED_VALUE"""),28537540)</f>
        <v>28537540</v>
      </c>
    </row>
    <row r="1004" customFormat="false" ht="15.75" hidden="false" customHeight="false" outlineLevel="0" collapsed="false">
      <c r="A1004" s="3" t="n">
        <f aca="false">IFERROR(__xludf.dummyfunction("""COMPUTED_VALUE"""),45653.6666666667)</f>
        <v>45653.6666666667</v>
      </c>
      <c r="B1004" s="2" t="n">
        <f aca="false">IFERROR(__xludf.dummyfunction("""COMPUTED_VALUE"""),245.64)</f>
        <v>245.64</v>
      </c>
      <c r="C1004" s="2" t="n">
        <f aca="false">IFERROR(__xludf.dummyfunction("""COMPUTED_VALUE"""),245.78)</f>
        <v>245.78</v>
      </c>
      <c r="D1004" s="2" t="n">
        <f aca="false">IFERROR(__xludf.dummyfunction("""COMPUTED_VALUE"""),236.35)</f>
        <v>236.35</v>
      </c>
      <c r="E1004" s="2" t="n">
        <f aca="false">IFERROR(__xludf.dummyfunction("""COMPUTED_VALUE"""),241.75)</f>
        <v>241.75</v>
      </c>
      <c r="F1004" s="2" t="n">
        <f aca="false">IFERROR(__xludf.dummyfunction("""COMPUTED_VALUE"""),29282230)</f>
        <v>29282230</v>
      </c>
    </row>
    <row r="1005" customFormat="false" ht="15.75" hidden="false" customHeight="false" outlineLevel="0" collapsed="false">
      <c r="A1005" s="3" t="n">
        <f aca="false">IFERROR(__xludf.dummyfunction("""COMPUTED_VALUE"""),45656.6666666667)</f>
        <v>45656.6666666667</v>
      </c>
      <c r="B1005" s="2" t="n">
        <f aca="false">IFERROR(__xludf.dummyfunction("""COMPUTED_VALUE"""),234.7)</f>
        <v>234.7</v>
      </c>
      <c r="C1005" s="2" t="n">
        <f aca="false">IFERROR(__xludf.dummyfunction("""COMPUTED_VALUE"""),238.77)</f>
        <v>238.77</v>
      </c>
      <c r="D1005" s="2" t="n">
        <f aca="false">IFERROR(__xludf.dummyfunction("""COMPUTED_VALUE"""),231.62)</f>
        <v>231.62</v>
      </c>
      <c r="E1005" s="2" t="n">
        <f aca="false">IFERROR(__xludf.dummyfunction("""COMPUTED_VALUE"""),235.58)</f>
        <v>235.58</v>
      </c>
      <c r="F1005" s="2" t="n">
        <f aca="false">IFERROR(__xludf.dummyfunction("""COMPUTED_VALUE"""),27316797)</f>
        <v>27316797</v>
      </c>
    </row>
    <row r="1006" customFormat="false" ht="15.75" hidden="false" customHeight="false" outlineLevel="0" collapsed="false">
      <c r="A1006" s="3" t="n">
        <f aca="false">IFERROR(__xludf.dummyfunction("""COMPUTED_VALUE"""),45657.6666666667)</f>
        <v>45657.6666666667</v>
      </c>
      <c r="B1006" s="2" t="n">
        <f aca="false">IFERROR(__xludf.dummyfunction("""COMPUTED_VALUE"""),235.88)</f>
        <v>235.88</v>
      </c>
      <c r="C1006" s="2" t="n">
        <f aca="false">IFERROR(__xludf.dummyfunction("""COMPUTED_VALUE"""),237.46)</f>
        <v>237.46</v>
      </c>
      <c r="D1006" s="2" t="n">
        <f aca="false">IFERROR(__xludf.dummyfunction("""COMPUTED_VALUE"""),231.31)</f>
        <v>231.31</v>
      </c>
      <c r="E1006" s="2" t="n">
        <f aca="false">IFERROR(__xludf.dummyfunction("""COMPUTED_VALUE"""),231.84)</f>
        <v>231.84</v>
      </c>
      <c r="F1006" s="2" t="n">
        <f aca="false">IFERROR(__xludf.dummyfunction("""COMPUTED_VALUE"""),17927719)</f>
        <v>17927719</v>
      </c>
    </row>
    <row r="1007" customFormat="false" ht="15.75" hidden="false" customHeight="false" outlineLevel="0" collapsed="false">
      <c r="A1007" s="3" t="n">
        <f aca="false">IFERROR(__xludf.dummyfunction("""COMPUTED_VALUE"""),45659.6666666667)</f>
        <v>45659.6666666667</v>
      </c>
      <c r="B1007" s="2" t="n">
        <f aca="false">IFERROR(__xludf.dummyfunction("""COMPUTED_VALUE"""),236.16)</f>
        <v>236.16</v>
      </c>
      <c r="C1007" s="2" t="n">
        <f aca="false">IFERROR(__xludf.dummyfunction("""COMPUTED_VALUE"""),239.5)</f>
        <v>239.5</v>
      </c>
      <c r="D1007" s="2" t="n">
        <f aca="false">IFERROR(__xludf.dummyfunction("""COMPUTED_VALUE"""),230.24)</f>
        <v>230.24</v>
      </c>
      <c r="E1007" s="2" t="n">
        <f aca="false">IFERROR(__xludf.dummyfunction("""COMPUTED_VALUE"""),231.98)</f>
        <v>231.98</v>
      </c>
      <c r="F1007" s="2" t="n">
        <f aca="false">IFERROR(__xludf.dummyfunction("""COMPUTED_VALUE"""),31525830)</f>
        <v>31525830</v>
      </c>
    </row>
    <row r="1008" customFormat="false" ht="15.75" hidden="false" customHeight="false" outlineLevel="0" collapsed="false">
      <c r="A1008" s="3" t="n">
        <f aca="false">IFERROR(__xludf.dummyfunction("""COMPUTED_VALUE"""),45660.6666666667)</f>
        <v>45660.6666666667</v>
      </c>
      <c r="B1008" s="2" t="n">
        <f aca="false">IFERROR(__xludf.dummyfunction("""COMPUTED_VALUE"""),233.59)</f>
        <v>233.59</v>
      </c>
      <c r="C1008" s="2" t="n">
        <f aca="false">IFERROR(__xludf.dummyfunction("""COMPUTED_VALUE"""),236.49)</f>
        <v>236.49</v>
      </c>
      <c r="D1008" s="2" t="n">
        <f aca="false">IFERROR(__xludf.dummyfunction("""COMPUTED_VALUE"""),229)</f>
        <v>229</v>
      </c>
      <c r="E1008" s="2" t="n">
        <f aca="false">IFERROR(__xludf.dummyfunction("""COMPUTED_VALUE"""),232.55)</f>
        <v>232.55</v>
      </c>
      <c r="F1008" s="2" t="n">
        <f aca="false">IFERROR(__xludf.dummyfunction("""COMPUTED_VALUE"""),24973192)</f>
        <v>24973192</v>
      </c>
    </row>
    <row r="1009" customFormat="false" ht="15.75" hidden="false" customHeight="false" outlineLevel="0" collapsed="false">
      <c r="A1009" s="3" t="n">
        <f aca="false">IFERROR(__xludf.dummyfunction("""COMPUTED_VALUE"""),45663.6666666667)</f>
        <v>45663.6666666667</v>
      </c>
      <c r="B1009" s="2" t="n">
        <f aca="false">IFERROR(__xludf.dummyfunction("""COMPUTED_VALUE"""),236.5)</f>
        <v>236.5</v>
      </c>
      <c r="C1009" s="2" t="n">
        <f aca="false">IFERROR(__xludf.dummyfunction("""COMPUTED_VALUE"""),241.75)</f>
        <v>241.75</v>
      </c>
      <c r="D1009" s="2" t="n">
        <f aca="false">IFERROR(__xludf.dummyfunction("""COMPUTED_VALUE"""),233.3)</f>
        <v>233.3</v>
      </c>
      <c r="E1009" s="2" t="n">
        <f aca="false">IFERROR(__xludf.dummyfunction("""COMPUTED_VALUE"""),236.41)</f>
        <v>236.41</v>
      </c>
      <c r="F1009" s="2" t="n">
        <f aca="false">IFERROR(__xludf.dummyfunction("""COMPUTED_VALUE"""),34028377)</f>
        <v>34028377</v>
      </c>
    </row>
    <row r="1010" customFormat="false" ht="15.75" hidden="false" customHeight="false" outlineLevel="0" collapsed="false">
      <c r="A1010" s="3" t="n">
        <f aca="false">IFERROR(__xludf.dummyfunction("""COMPUTED_VALUE"""),45664.6666666667)</f>
        <v>45664.6666666667</v>
      </c>
      <c r="B1010" s="2" t="n">
        <f aca="false">IFERROR(__xludf.dummyfunction("""COMPUTED_VALUE"""),239.5)</f>
        <v>239.5</v>
      </c>
      <c r="C1010" s="2" t="n">
        <f aca="false">IFERROR(__xludf.dummyfunction("""COMPUTED_VALUE"""),239.5)</f>
        <v>239.5</v>
      </c>
      <c r="D1010" s="2" t="n">
        <f aca="false">IFERROR(__xludf.dummyfunction("""COMPUTED_VALUE"""),227.6)</f>
        <v>227.6</v>
      </c>
      <c r="E1010" s="2" t="n">
        <f aca="false">IFERROR(__xludf.dummyfunction("""COMPUTED_VALUE"""),228.64)</f>
        <v>228.64</v>
      </c>
      <c r="F1010" s="2" t="n">
        <f aca="false">IFERROR(__xludf.dummyfunction("""COMPUTED_VALUE"""),25928606)</f>
        <v>25928606</v>
      </c>
    </row>
    <row r="1011" customFormat="false" ht="15.75" hidden="false" customHeight="false" outlineLevel="0" collapsed="false">
      <c r="A1011" s="3" t="n">
        <f aca="false">IFERROR(__xludf.dummyfunction("""COMPUTED_VALUE"""),45665.6666666667)</f>
        <v>45665.6666666667</v>
      </c>
      <c r="B1011" s="2" t="n">
        <f aca="false">IFERROR(__xludf.dummyfunction("""COMPUTED_VALUE"""),229.7)</f>
        <v>229.7</v>
      </c>
      <c r="C1011" s="2" t="n">
        <f aca="false">IFERROR(__xludf.dummyfunction("""COMPUTED_VALUE"""),232.47)</f>
        <v>232.47</v>
      </c>
      <c r="D1011" s="2" t="n">
        <f aca="false">IFERROR(__xludf.dummyfunction("""COMPUTED_VALUE"""),226.06)</f>
        <v>226.06</v>
      </c>
      <c r="E1011" s="2" t="n">
        <f aca="false">IFERROR(__xludf.dummyfunction("""COMPUTED_VALUE"""),229.31)</f>
        <v>229.31</v>
      </c>
      <c r="F1011" s="2" t="n">
        <f aca="false">IFERROR(__xludf.dummyfunction("""COMPUTED_VALUE"""),18756487)</f>
        <v>18756487</v>
      </c>
    </row>
    <row r="1012" customFormat="false" ht="15.75" hidden="false" customHeight="false" outlineLevel="0" collapsed="false">
      <c r="A1012" s="3" t="n">
        <f aca="false">IFERROR(__xludf.dummyfunction("""COMPUTED_VALUE"""),45667.6666666667)</f>
        <v>45667.6666666667</v>
      </c>
      <c r="B1012" s="2" t="n">
        <f aca="false">IFERROR(__xludf.dummyfunction("""COMPUTED_VALUE"""),227.3)</f>
        <v>227.3</v>
      </c>
      <c r="C1012" s="2" t="n">
        <f aca="false">IFERROR(__xludf.dummyfunction("""COMPUTED_VALUE"""),227.83)</f>
        <v>227.83</v>
      </c>
      <c r="D1012" s="2" t="n">
        <f aca="false">IFERROR(__xludf.dummyfunction("""COMPUTED_VALUE"""),221.25)</f>
        <v>221.25</v>
      </c>
      <c r="E1012" s="2" t="n">
        <f aca="false">IFERROR(__xludf.dummyfunction("""COMPUTED_VALUE"""),224.31)</f>
        <v>224.31</v>
      </c>
      <c r="F1012" s="2" t="n">
        <f aca="false">IFERROR(__xludf.dummyfunction("""COMPUTED_VALUE"""),23864005)</f>
        <v>23864005</v>
      </c>
    </row>
    <row r="1013" customFormat="false" ht="15.75" hidden="false" customHeight="false" outlineLevel="0" collapsed="false">
      <c r="A1013" s="3" t="n">
        <f aca="false">IFERROR(__xludf.dummyfunction("""COMPUTED_VALUE"""),45670.6666666667)</f>
        <v>45670.6666666667</v>
      </c>
      <c r="B1013" s="2" t="n">
        <f aca="false">IFERROR(__xludf.dummyfunction("""COMPUTED_VALUE"""),219.99)</f>
        <v>219.99</v>
      </c>
      <c r="C1013" s="2" t="n">
        <f aca="false">IFERROR(__xludf.dummyfunction("""COMPUTED_VALUE"""),229.26)</f>
        <v>229.26</v>
      </c>
      <c r="D1013" s="2" t="n">
        <f aca="false">IFERROR(__xludf.dummyfunction("""COMPUTED_VALUE"""),219.51)</f>
        <v>219.51</v>
      </c>
      <c r="E1013" s="2" t="n">
        <f aca="false">IFERROR(__xludf.dummyfunction("""COMPUTED_VALUE"""),225.29)</f>
        <v>225.29</v>
      </c>
      <c r="F1013" s="2" t="n">
        <f aca="false">IFERROR(__xludf.dummyfunction("""COMPUTED_VALUE"""),23772091)</f>
        <v>23772091</v>
      </c>
    </row>
    <row r="1014" customFormat="false" ht="15.75" hidden="false" customHeight="false" outlineLevel="0" collapsed="false">
      <c r="A1014" s="3" t="n">
        <f aca="false">IFERROR(__xludf.dummyfunction("""COMPUTED_VALUE"""),45671.6666666667)</f>
        <v>45671.6666666667</v>
      </c>
      <c r="B1014" s="2" t="n">
        <f aca="false">IFERROR(__xludf.dummyfunction("""COMPUTED_VALUE"""),226.57)</f>
        <v>226.57</v>
      </c>
      <c r="C1014" s="2" t="n">
        <f aca="false">IFERROR(__xludf.dummyfunction("""COMPUTED_VALUE"""),230.26)</f>
        <v>230.26</v>
      </c>
      <c r="D1014" s="2" t="n">
        <f aca="false">IFERROR(__xludf.dummyfunction("""COMPUTED_VALUE"""),223.1)</f>
        <v>223.1</v>
      </c>
      <c r="E1014" s="2" t="n">
        <f aca="false">IFERROR(__xludf.dummyfunction("""COMPUTED_VALUE"""),224.7)</f>
        <v>224.7</v>
      </c>
      <c r="F1014" s="2" t="n">
        <f aca="false">IFERROR(__xludf.dummyfunction("""COMPUTED_VALUE"""),18143124)</f>
        <v>18143124</v>
      </c>
    </row>
    <row r="1015" customFormat="false" ht="15.75" hidden="false" customHeight="false" outlineLevel="0" collapsed="false">
      <c r="A1015" s="3" t="n">
        <f aca="false">IFERROR(__xludf.dummyfunction("""COMPUTED_VALUE"""),45672.6666666667)</f>
        <v>45672.6666666667</v>
      </c>
      <c r="B1015" s="2" t="n">
        <f aca="false">IFERROR(__xludf.dummyfunction("""COMPUTED_VALUE"""),228.55)</f>
        <v>228.55</v>
      </c>
      <c r="C1015" s="2" t="n">
        <f aca="false">IFERROR(__xludf.dummyfunction("""COMPUTED_VALUE"""),230.34)</f>
        <v>230.34</v>
      </c>
      <c r="D1015" s="2" t="n">
        <f aca="false">IFERROR(__xludf.dummyfunction("""COMPUTED_VALUE"""),225.58)</f>
        <v>225.58</v>
      </c>
      <c r="E1015" s="2" t="n">
        <f aca="false">IFERROR(__xludf.dummyfunction("""COMPUTED_VALUE"""),228)</f>
        <v>228</v>
      </c>
      <c r="F1015" s="2" t="n">
        <f aca="false">IFERROR(__xludf.dummyfunction("""COMPUTED_VALUE"""),21745616)</f>
        <v>21745616</v>
      </c>
    </row>
    <row r="1016" customFormat="false" ht="15.75" hidden="false" customHeight="false" outlineLevel="0" collapsed="false">
      <c r="A1016" s="3" t="n">
        <f aca="false">IFERROR(__xludf.dummyfunction("""COMPUTED_VALUE"""),45673.6666666667)</f>
        <v>45673.6666666667</v>
      </c>
      <c r="B1016" s="2" t="n">
        <f aca="false">IFERROR(__xludf.dummyfunction("""COMPUTED_VALUE"""),235.22)</f>
        <v>235.22</v>
      </c>
      <c r="C1016" s="2" t="n">
        <f aca="false">IFERROR(__xludf.dummyfunction("""COMPUTED_VALUE"""),238.6)</f>
        <v>238.6</v>
      </c>
      <c r="D1016" s="2" t="n">
        <f aca="false">IFERROR(__xludf.dummyfunction("""COMPUTED_VALUE"""),229.21)</f>
        <v>229.21</v>
      </c>
      <c r="E1016" s="2" t="n">
        <f aca="false">IFERROR(__xludf.dummyfunction("""COMPUTED_VALUE"""),229.41)</f>
        <v>229.41</v>
      </c>
      <c r="F1016" s="2" t="n">
        <f aca="false">IFERROR(__xludf.dummyfunction("""COMPUTED_VALUE"""),23471871)</f>
        <v>23471871</v>
      </c>
    </row>
    <row r="1017" customFormat="false" ht="15.75" hidden="false" customHeight="false" outlineLevel="0" collapsed="false">
      <c r="A1017" s="3" t="n">
        <f aca="false">IFERROR(__xludf.dummyfunction("""COMPUTED_VALUE"""),45674.6666666667)</f>
        <v>45674.6666666667</v>
      </c>
      <c r="B1017" s="2" t="n">
        <f aca="false">IFERROR(__xludf.dummyfunction("""COMPUTED_VALUE"""),237.08)</f>
        <v>237.08</v>
      </c>
      <c r="C1017" s="2" t="n">
        <f aca="false">IFERROR(__xludf.dummyfunction("""COMPUTED_VALUE"""),238.1)</f>
        <v>238.1</v>
      </c>
      <c r="D1017" s="2" t="n">
        <f aca="false">IFERROR(__xludf.dummyfunction("""COMPUTED_VALUE"""),232.66)</f>
        <v>232.66</v>
      </c>
      <c r="E1017" s="2" t="n">
        <f aca="false">IFERROR(__xludf.dummyfunction("""COMPUTED_VALUE"""),237.44)</f>
        <v>237.44</v>
      </c>
      <c r="F1017" s="2" t="n">
        <f aca="false">IFERROR(__xludf.dummyfunction("""COMPUTED_VALUE"""),31196642)</f>
        <v>31196642</v>
      </c>
    </row>
    <row r="1018" customFormat="false" ht="15.75" hidden="false" customHeight="false" outlineLevel="0" collapsed="false">
      <c r="A1018" s="3" t="n">
        <f aca="false">IFERROR(__xludf.dummyfunction("""COMPUTED_VALUE"""),45678.6666666667)</f>
        <v>45678.6666666667</v>
      </c>
      <c r="B1018" s="2" t="n">
        <f aca="false">IFERROR(__xludf.dummyfunction("""COMPUTED_VALUE"""),241.5)</f>
        <v>241.5</v>
      </c>
      <c r="C1018" s="2" t="n">
        <f aca="false">IFERROR(__xludf.dummyfunction("""COMPUTED_VALUE"""),242.75)</f>
        <v>242.75</v>
      </c>
      <c r="D1018" s="2" t="n">
        <f aca="false">IFERROR(__xludf.dummyfunction("""COMPUTED_VALUE"""),237.4)</f>
        <v>237.4</v>
      </c>
      <c r="E1018" s="2" t="n">
        <f aca="false">IFERROR(__xludf.dummyfunction("""COMPUTED_VALUE"""),240.31)</f>
        <v>240.31</v>
      </c>
      <c r="F1018" s="2" t="n">
        <f aca="false">IFERROR(__xludf.dummyfunction("""COMPUTED_VALUE"""),30903186)</f>
        <v>30903186</v>
      </c>
    </row>
    <row r="1019" customFormat="false" ht="15.75" hidden="false" customHeight="false" outlineLevel="0" collapsed="false">
      <c r="A1019" s="3" t="n">
        <f aca="false">IFERROR(__xludf.dummyfunction("""COMPUTED_VALUE"""),45679.6666666667)</f>
        <v>45679.6666666667</v>
      </c>
      <c r="B1019" s="2" t="n">
        <f aca="false">IFERROR(__xludf.dummyfunction("""COMPUTED_VALUE"""),246.75)</f>
        <v>246.75</v>
      </c>
      <c r="C1019" s="2" t="n">
        <f aca="false">IFERROR(__xludf.dummyfunction("""COMPUTED_VALUE"""),246.99)</f>
        <v>246.99</v>
      </c>
      <c r="D1019" s="2" t="n">
        <f aca="false">IFERROR(__xludf.dummyfunction("""COMPUTED_VALUE"""),240.69)</f>
        <v>240.69</v>
      </c>
      <c r="E1019" s="2" t="n">
        <f aca="false">IFERROR(__xludf.dummyfunction("""COMPUTED_VALUE"""),240.91)</f>
        <v>240.91</v>
      </c>
      <c r="F1019" s="2" t="n">
        <f aca="false">IFERROR(__xludf.dummyfunction("""COMPUTED_VALUE"""),29610501)</f>
        <v>29610501</v>
      </c>
    </row>
    <row r="1020" customFormat="false" ht="15.75" hidden="false" customHeight="false" outlineLevel="0" collapsed="false">
      <c r="A1020" s="3" t="n">
        <f aca="false">IFERROR(__xludf.dummyfunction("""COMPUTED_VALUE"""),45680.6666666667)</f>
        <v>45680.6666666667</v>
      </c>
      <c r="B1020" s="2" t="n">
        <f aca="false">IFERROR(__xludf.dummyfunction("""COMPUTED_VALUE"""),238.41)</f>
        <v>238.41</v>
      </c>
      <c r="C1020" s="2" t="n">
        <f aca="false">IFERROR(__xludf.dummyfunction("""COMPUTED_VALUE"""),240.4)</f>
        <v>240.4</v>
      </c>
      <c r="D1020" s="2" t="n">
        <f aca="false">IFERROR(__xludf.dummyfunction("""COMPUTED_VALUE"""),236.12)</f>
        <v>236.12</v>
      </c>
      <c r="E1020" s="2" t="n">
        <f aca="false">IFERROR(__xludf.dummyfunction("""COMPUTED_VALUE"""),240.28)</f>
        <v>240.28</v>
      </c>
      <c r="F1020" s="2" t="n">
        <f aca="false">IFERROR(__xludf.dummyfunction("""COMPUTED_VALUE"""),17653942)</f>
        <v>17653942</v>
      </c>
    </row>
    <row r="1021" customFormat="false" ht="15.75" hidden="false" customHeight="false" outlineLevel="0" collapsed="false">
      <c r="A1021" s="3" t="n">
        <f aca="false">IFERROR(__xludf.dummyfunction("""COMPUTED_VALUE"""),45681.6666666667)</f>
        <v>45681.6666666667</v>
      </c>
      <c r="B1021" s="2" t="n">
        <f aca="false">IFERROR(__xludf.dummyfunction("""COMPUTED_VALUE"""),244.7)</f>
        <v>244.7</v>
      </c>
      <c r="C1021" s="2" t="n">
        <f aca="false">IFERROR(__xludf.dummyfunction("""COMPUTED_VALUE"""),249.59)</f>
        <v>249.59</v>
      </c>
      <c r="D1021" s="2" t="n">
        <f aca="false">IFERROR(__xludf.dummyfunction("""COMPUTED_VALUE"""),241.91)</f>
        <v>241.91</v>
      </c>
      <c r="E1021" s="2" t="n">
        <f aca="false">IFERROR(__xludf.dummyfunction("""COMPUTED_VALUE"""),244.7)</f>
        <v>244.7</v>
      </c>
      <c r="F1021" s="2" t="n">
        <f aca="false">IFERROR(__xludf.dummyfunction("""COMPUTED_VALUE"""),25387825)</f>
        <v>25387825</v>
      </c>
    </row>
    <row r="1022" customFormat="false" ht="15.75" hidden="false" customHeight="false" outlineLevel="0" collapsed="false">
      <c r="A1022" s="3" t="n">
        <f aca="false">IFERROR(__xludf.dummyfunction("""COMPUTED_VALUE"""),45684.6666666667)</f>
        <v>45684.6666666667</v>
      </c>
      <c r="B1022" s="2" t="n">
        <f aca="false">IFERROR(__xludf.dummyfunction("""COMPUTED_VALUE"""),213.4)</f>
        <v>213.4</v>
      </c>
      <c r="C1022" s="2" t="n">
        <f aca="false">IFERROR(__xludf.dummyfunction("""COMPUTED_VALUE"""),218.43)</f>
        <v>218.43</v>
      </c>
      <c r="D1022" s="2" t="n">
        <f aca="false">IFERROR(__xludf.dummyfunction("""COMPUTED_VALUE"""),196.23)</f>
        <v>196.23</v>
      </c>
      <c r="E1022" s="2" t="n">
        <f aca="false">IFERROR(__xludf.dummyfunction("""COMPUTED_VALUE"""),202.13)</f>
        <v>202.13</v>
      </c>
      <c r="F1022" s="2" t="n">
        <f aca="false">IFERROR(__xludf.dummyfunction("""COMPUTED_VALUE"""),90569376)</f>
        <v>90569376</v>
      </c>
    </row>
    <row r="1023" customFormat="false" ht="15.75" hidden="false" customHeight="false" outlineLevel="0" collapsed="false">
      <c r="A1023" s="3" t="n">
        <f aca="false">IFERROR(__xludf.dummyfunction("""COMPUTED_VALUE"""),45685.6666666667)</f>
        <v>45685.6666666667</v>
      </c>
      <c r="B1023" s="2" t="n">
        <f aca="false">IFERROR(__xludf.dummyfunction("""COMPUTED_VALUE"""),208.01)</f>
        <v>208.01</v>
      </c>
      <c r="C1023" s="2" t="n">
        <f aca="false">IFERROR(__xludf.dummyfunction("""COMPUTED_VALUE"""),209.95)</f>
        <v>209.95</v>
      </c>
      <c r="D1023" s="2" t="n">
        <f aca="false">IFERROR(__xludf.dummyfunction("""COMPUTED_VALUE"""),198.89)</f>
        <v>198.89</v>
      </c>
      <c r="E1023" s="2" t="n">
        <f aca="false">IFERROR(__xludf.dummyfunction("""COMPUTED_VALUE"""),207.36)</f>
        <v>207.36</v>
      </c>
      <c r="F1023" s="2" t="n">
        <f aca="false">IFERROR(__xludf.dummyfunction("""COMPUTED_VALUE"""),50315987)</f>
        <v>50315987</v>
      </c>
    </row>
    <row r="1024" customFormat="false" ht="15.75" hidden="false" customHeight="false" outlineLevel="0" collapsed="false">
      <c r="A1024" s="3" t="n">
        <f aca="false">IFERROR(__xludf.dummyfunction("""COMPUTED_VALUE"""),45686.6666666667)</f>
        <v>45686.6666666667</v>
      </c>
      <c r="B1024" s="2" t="n">
        <f aca="false">IFERROR(__xludf.dummyfunction("""COMPUTED_VALUE"""),208.84)</f>
        <v>208.84</v>
      </c>
      <c r="C1024" s="2" t="n">
        <f aca="false">IFERROR(__xludf.dummyfunction("""COMPUTED_VALUE"""),211.45)</f>
        <v>211.45</v>
      </c>
      <c r="D1024" s="2" t="n">
        <f aca="false">IFERROR(__xludf.dummyfunction("""COMPUTED_VALUE"""),202.77)</f>
        <v>202.77</v>
      </c>
      <c r="E1024" s="2" t="n">
        <f aca="false">IFERROR(__xludf.dummyfunction("""COMPUTED_VALUE"""),206.35)</f>
        <v>206.35</v>
      </c>
      <c r="F1024" s="2" t="n">
        <f aca="false">IFERROR(__xludf.dummyfunction("""COMPUTED_VALUE"""),32533735)</f>
        <v>32533735</v>
      </c>
    </row>
    <row r="1025" customFormat="false" ht="15.75" hidden="false" customHeight="false" outlineLevel="0" collapsed="false">
      <c r="A1025" s="3" t="n">
        <f aca="false">IFERROR(__xludf.dummyfunction("""COMPUTED_VALUE"""),45687.6666666667)</f>
        <v>45687.6666666667</v>
      </c>
      <c r="B1025" s="2" t="n">
        <f aca="false">IFERROR(__xludf.dummyfunction("""COMPUTED_VALUE"""),218.57)</f>
        <v>218.57</v>
      </c>
      <c r="C1025" s="2" t="n">
        <f aca="false">IFERROR(__xludf.dummyfunction("""COMPUTED_VALUE"""),221.96)</f>
        <v>221.96</v>
      </c>
      <c r="D1025" s="2" t="n">
        <f aca="false">IFERROR(__xludf.dummyfunction("""COMPUTED_VALUE"""),213.7)</f>
        <v>213.7</v>
      </c>
      <c r="E1025" s="2" t="n">
        <f aca="false">IFERROR(__xludf.dummyfunction("""COMPUTED_VALUE"""),215.66)</f>
        <v>215.66</v>
      </c>
      <c r="F1025" s="2" t="n">
        <f aca="false">IFERROR(__xludf.dummyfunction("""COMPUTED_VALUE"""),42449478)</f>
        <v>42449478</v>
      </c>
    </row>
    <row r="1026" customFormat="false" ht="15.75" hidden="false" customHeight="false" outlineLevel="0" collapsed="false">
      <c r="A1026" s="3" t="n">
        <f aca="false">IFERROR(__xludf.dummyfunction("""COMPUTED_VALUE"""),45688.6666666667)</f>
        <v>45688.6666666667</v>
      </c>
      <c r="B1026" s="2" t="n">
        <f aca="false">IFERROR(__xludf.dummyfunction("""COMPUTED_VALUE"""),219.66)</f>
        <v>219.66</v>
      </c>
      <c r="C1026" s="2" t="n">
        <f aca="false">IFERROR(__xludf.dummyfunction("""COMPUTED_VALUE"""),226.8)</f>
        <v>226.8</v>
      </c>
      <c r="D1026" s="2" t="n">
        <f aca="false">IFERROR(__xludf.dummyfunction("""COMPUTED_VALUE"""),216.3)</f>
        <v>216.3</v>
      </c>
      <c r="E1026" s="2" t="n">
        <f aca="false">IFERROR(__xludf.dummyfunction("""COMPUTED_VALUE"""),221.27)</f>
        <v>221.27</v>
      </c>
      <c r="F1026" s="2" t="n">
        <f aca="false">IFERROR(__xludf.dummyfunction("""COMPUTED_VALUE"""),41150975)</f>
        <v>41150975</v>
      </c>
    </row>
    <row r="1027" customFormat="false" ht="15.75" hidden="false" customHeight="false" outlineLevel="0" collapsed="false">
      <c r="A1027" s="3" t="n">
        <f aca="false">IFERROR(__xludf.dummyfunction("""COMPUTED_VALUE"""),45691.6666666667)</f>
        <v>45691.6666666667</v>
      </c>
      <c r="B1027" s="2" t="n">
        <f aca="false">IFERROR(__xludf.dummyfunction("""COMPUTED_VALUE"""),215.46)</f>
        <v>215.46</v>
      </c>
      <c r="C1027" s="2" t="n">
        <f aca="false">IFERROR(__xludf.dummyfunction("""COMPUTED_VALUE"""),220.94)</f>
        <v>220.94</v>
      </c>
      <c r="D1027" s="2" t="n">
        <f aca="false">IFERROR(__xludf.dummyfunction("""COMPUTED_VALUE"""),213.51)</f>
        <v>213.51</v>
      </c>
      <c r="E1027" s="2" t="n">
        <f aca="false">IFERROR(__xludf.dummyfunction("""COMPUTED_VALUE"""),217.73)</f>
        <v>217.73</v>
      </c>
      <c r="F1027" s="2" t="n">
        <f aca="false">IFERROR(__xludf.dummyfunction("""COMPUTED_VALUE"""),24507274)</f>
        <v>24507274</v>
      </c>
    </row>
    <row r="1028" customFormat="false" ht="15.75" hidden="false" customHeight="false" outlineLevel="0" collapsed="false">
      <c r="A1028" s="3" t="n">
        <f aca="false">IFERROR(__xludf.dummyfunction("""COMPUTED_VALUE"""),45692.6666666667)</f>
        <v>45692.6666666667</v>
      </c>
      <c r="B1028" s="2" t="n">
        <f aca="false">IFERROR(__xludf.dummyfunction("""COMPUTED_VALUE"""),219.35)</f>
        <v>219.35</v>
      </c>
      <c r="C1028" s="2" t="n">
        <f aca="false">IFERROR(__xludf.dummyfunction("""COMPUTED_VALUE"""),223.03)</f>
        <v>223.03</v>
      </c>
      <c r="D1028" s="2" t="n">
        <f aca="false">IFERROR(__xludf.dummyfunction("""COMPUTED_VALUE"""),215.3)</f>
        <v>215.3</v>
      </c>
      <c r="E1028" s="2" t="n">
        <f aca="false">IFERROR(__xludf.dummyfunction("""COMPUTED_VALUE"""),222.43)</f>
        <v>222.43</v>
      </c>
      <c r="F1028" s="2" t="n">
        <f aca="false">IFERROR(__xludf.dummyfunction("""COMPUTED_VALUE"""),23768517)</f>
        <v>23768517</v>
      </c>
    </row>
    <row r="1029" customFormat="false" ht="15.75" hidden="false" customHeight="false" outlineLevel="0" collapsed="false">
      <c r="A1029" s="3" t="n">
        <f aca="false">IFERROR(__xludf.dummyfunction("""COMPUTED_VALUE"""),45693.6666666667)</f>
        <v>45693.6666666667</v>
      </c>
      <c r="B1029" s="2" t="n">
        <f aca="false">IFERROR(__xludf.dummyfunction("""COMPUTED_VALUE"""),233.94)</f>
        <v>233.94</v>
      </c>
      <c r="C1029" s="2" t="n">
        <f aca="false">IFERROR(__xludf.dummyfunction("""COMPUTED_VALUE"""),237.93)</f>
        <v>237.93</v>
      </c>
      <c r="D1029" s="2" t="n">
        <f aca="false">IFERROR(__xludf.dummyfunction("""COMPUTED_VALUE"""),227.5)</f>
        <v>227.5</v>
      </c>
      <c r="E1029" s="2" t="n">
        <f aca="false">IFERROR(__xludf.dummyfunction("""COMPUTED_VALUE"""),232)</f>
        <v>232</v>
      </c>
      <c r="F1029" s="2" t="n">
        <f aca="false">IFERROR(__xludf.dummyfunction("""COMPUTED_VALUE"""),29250582)</f>
        <v>29250582</v>
      </c>
    </row>
    <row r="1030" customFormat="false" ht="15.75" hidden="false" customHeight="false" outlineLevel="0" collapsed="false">
      <c r="A1030" s="3" t="n">
        <f aca="false">IFERROR(__xludf.dummyfunction("""COMPUTED_VALUE"""),45694.6666666667)</f>
        <v>45694.6666666667</v>
      </c>
      <c r="B1030" s="2" t="n">
        <f aca="false">IFERROR(__xludf.dummyfunction("""COMPUTED_VALUE"""),234.5)</f>
        <v>234.5</v>
      </c>
      <c r="C1030" s="2" t="n">
        <f aca="false">IFERROR(__xludf.dummyfunction("""COMPUTED_VALUE"""),234.8)</f>
        <v>234.8</v>
      </c>
      <c r="D1030" s="2" t="n">
        <f aca="false">IFERROR(__xludf.dummyfunction("""COMPUTED_VALUE"""),228.56)</f>
        <v>228.56</v>
      </c>
      <c r="E1030" s="2" t="n">
        <f aca="false">IFERROR(__xludf.dummyfunction("""COMPUTED_VALUE"""),231.36)</f>
        <v>231.36</v>
      </c>
      <c r="F1030" s="2" t="n">
        <f aca="false">IFERROR(__xludf.dummyfunction("""COMPUTED_VALUE"""),21169529)</f>
        <v>21169529</v>
      </c>
    </row>
    <row r="1031" customFormat="false" ht="15.75" hidden="false" customHeight="false" outlineLevel="0" collapsed="false">
      <c r="A1031" s="3" t="n">
        <f aca="false">IFERROR(__xludf.dummyfunction("""COMPUTED_VALUE"""),45695.6666666667)</f>
        <v>45695.6666666667</v>
      </c>
      <c r="B1031" s="2" t="n">
        <f aca="false">IFERROR(__xludf.dummyfunction("""COMPUTED_VALUE"""),235)</f>
        <v>235</v>
      </c>
      <c r="C1031" s="2" t="n">
        <f aca="false">IFERROR(__xludf.dummyfunction("""COMPUTED_VALUE"""),235.65)</f>
        <v>235.65</v>
      </c>
      <c r="D1031" s="2" t="n">
        <f aca="false">IFERROR(__xludf.dummyfunction("""COMPUTED_VALUE"""),224.11)</f>
        <v>224.11</v>
      </c>
      <c r="E1031" s="2" t="n">
        <f aca="false">IFERROR(__xludf.dummyfunction("""COMPUTED_VALUE"""),224.87)</f>
        <v>224.87</v>
      </c>
      <c r="F1031" s="2" t="n">
        <f aca="false">IFERROR(__xludf.dummyfunction("""COMPUTED_VALUE"""),22117468)</f>
        <v>22117468</v>
      </c>
    </row>
    <row r="1032" customFormat="false" ht="15.75" hidden="false" customHeight="false" outlineLevel="0" collapsed="false">
      <c r="A1032" s="3" t="n">
        <f aca="false">IFERROR(__xludf.dummyfunction("""COMPUTED_VALUE"""),45698.6666666667)</f>
        <v>45698.6666666667</v>
      </c>
      <c r="B1032" s="2" t="n">
        <f aca="false">IFERROR(__xludf.dummyfunction("""COMPUTED_VALUE"""),227.43)</f>
        <v>227.43</v>
      </c>
      <c r="C1032" s="2" t="n">
        <f aca="false">IFERROR(__xludf.dummyfunction("""COMPUTED_VALUE"""),235.82)</f>
        <v>235.82</v>
      </c>
      <c r="D1032" s="2" t="n">
        <f aca="false">IFERROR(__xludf.dummyfunction("""COMPUTED_VALUE"""),227.12)</f>
        <v>227.12</v>
      </c>
      <c r="E1032" s="2" t="n">
        <f aca="false">IFERROR(__xludf.dummyfunction("""COMPUTED_VALUE"""),235.04)</f>
        <v>235.04</v>
      </c>
      <c r="F1032" s="2" t="n">
        <f aca="false">IFERROR(__xludf.dummyfunction("""COMPUTED_VALUE"""),23901643)</f>
        <v>23901643</v>
      </c>
    </row>
    <row r="1033" customFormat="false" ht="15.75" hidden="false" customHeight="false" outlineLevel="0" collapsed="false">
      <c r="A1033" s="3" t="n">
        <f aca="false">IFERROR(__xludf.dummyfunction("""COMPUTED_VALUE"""),45699.6666666667)</f>
        <v>45699.6666666667</v>
      </c>
      <c r="B1033" s="2" t="n">
        <f aca="false">IFERROR(__xludf.dummyfunction("""COMPUTED_VALUE"""),232.48)</f>
        <v>232.48</v>
      </c>
      <c r="C1033" s="2" t="n">
        <f aca="false">IFERROR(__xludf.dummyfunction("""COMPUTED_VALUE"""),237.89)</f>
        <v>237.89</v>
      </c>
      <c r="D1033" s="2" t="n">
        <f aca="false">IFERROR(__xludf.dummyfunction("""COMPUTED_VALUE"""),229.97)</f>
        <v>229.97</v>
      </c>
      <c r="E1033" s="2" t="n">
        <f aca="false">IFERROR(__xludf.dummyfunction("""COMPUTED_VALUE"""),235.04)</f>
        <v>235.04</v>
      </c>
      <c r="F1033" s="2" t="n">
        <f aca="false">IFERROR(__xludf.dummyfunction("""COMPUTED_VALUE"""),18476200)</f>
        <v>18476200</v>
      </c>
    </row>
    <row r="1034" customFormat="false" ht="15.75" hidden="false" customHeight="false" outlineLevel="0" collapsed="false">
      <c r="A1034" s="3" t="n">
        <f aca="false">IFERROR(__xludf.dummyfunction("""COMPUTED_VALUE"""),45700.6666666667)</f>
        <v>45700.6666666667</v>
      </c>
      <c r="B1034" s="2" t="n">
        <f aca="false">IFERROR(__xludf.dummyfunction("""COMPUTED_VALUE"""),230.36)</f>
        <v>230.36</v>
      </c>
      <c r="C1034" s="2" t="n">
        <f aca="false">IFERROR(__xludf.dummyfunction("""COMPUTED_VALUE"""),236.48)</f>
        <v>236.48</v>
      </c>
      <c r="D1034" s="2" t="n">
        <f aca="false">IFERROR(__xludf.dummyfunction("""COMPUTED_VALUE"""),230)</f>
        <v>230</v>
      </c>
      <c r="E1034" s="2" t="n">
        <f aca="false">IFERROR(__xludf.dummyfunction("""COMPUTED_VALUE"""),236.35)</f>
        <v>236.35</v>
      </c>
      <c r="F1034" s="2" t="n">
        <f aca="false">IFERROR(__xludf.dummyfunction("""COMPUTED_VALUE"""),16397336)</f>
        <v>16397336</v>
      </c>
    </row>
    <row r="1035" customFormat="false" ht="15.75" hidden="false" customHeight="false" outlineLevel="0" collapsed="false">
      <c r="A1035" s="3" t="n">
        <f aca="false">IFERROR(__xludf.dummyfunction("""COMPUTED_VALUE"""),45701.6666666667)</f>
        <v>45701.6666666667</v>
      </c>
      <c r="B1035" s="2" t="n">
        <f aca="false">IFERROR(__xludf.dummyfunction("""COMPUTED_VALUE"""),236.06)</f>
        <v>236.06</v>
      </c>
      <c r="C1035" s="2" t="n">
        <f aca="false">IFERROR(__xludf.dummyfunction("""COMPUTED_VALUE"""),236.95)</f>
        <v>236.95</v>
      </c>
      <c r="D1035" s="2" t="n">
        <f aca="false">IFERROR(__xludf.dummyfunction("""COMPUTED_VALUE"""),230.73)</f>
        <v>230.73</v>
      </c>
      <c r="E1035" s="2" t="n">
        <f aca="false">IFERROR(__xludf.dummyfunction("""COMPUTED_VALUE"""),235.8)</f>
        <v>235.8</v>
      </c>
      <c r="F1035" s="2" t="n">
        <f aca="false">IFERROR(__xludf.dummyfunction("""COMPUTED_VALUE"""),20962031)</f>
        <v>20962031</v>
      </c>
    </row>
    <row r="1036" customFormat="false" ht="15.75" hidden="false" customHeight="false" outlineLevel="0" collapsed="false">
      <c r="A1036" s="3" t="n">
        <f aca="false">IFERROR(__xludf.dummyfunction("""COMPUTED_VALUE"""),45702.6666666667)</f>
        <v>45702.6666666667</v>
      </c>
      <c r="B1036" s="2" t="n">
        <f aca="false">IFERROR(__xludf.dummyfunction("""COMPUTED_VALUE"""),234.53)</f>
        <v>234.53</v>
      </c>
      <c r="C1036" s="2" t="n">
        <f aca="false">IFERROR(__xludf.dummyfunction("""COMPUTED_VALUE"""),235.74)</f>
        <v>235.74</v>
      </c>
      <c r="D1036" s="2" t="n">
        <f aca="false">IFERROR(__xludf.dummyfunction("""COMPUTED_VALUE"""),228.9)</f>
        <v>228.9</v>
      </c>
      <c r="E1036" s="2" t="n">
        <f aca="false">IFERROR(__xludf.dummyfunction("""COMPUTED_VALUE"""),233.04)</f>
        <v>233.04</v>
      </c>
      <c r="F1036" s="2" t="n">
        <f aca="false">IFERROR(__xludf.dummyfunction("""COMPUTED_VALUE"""),16988777)</f>
        <v>16988777</v>
      </c>
    </row>
    <row r="1037" customFormat="false" ht="15.75" hidden="false" customHeight="false" outlineLevel="0" collapsed="false">
      <c r="A1037" s="3" t="n">
        <f aca="false">IFERROR(__xludf.dummyfunction("""COMPUTED_VALUE"""),45706.6666666667)</f>
        <v>45706.6666666667</v>
      </c>
      <c r="B1037" s="2" t="n">
        <f aca="false">IFERROR(__xludf.dummyfunction("""COMPUTED_VALUE"""),230.1)</f>
        <v>230.1</v>
      </c>
      <c r="C1037" s="2" t="n">
        <f aca="false">IFERROR(__xludf.dummyfunction("""COMPUTED_VALUE"""),232.2)</f>
        <v>232.2</v>
      </c>
      <c r="D1037" s="2" t="n">
        <f aca="false">IFERROR(__xludf.dummyfunction("""COMPUTED_VALUE"""),224.3)</f>
        <v>224.3</v>
      </c>
      <c r="E1037" s="2" t="n">
        <f aca="false">IFERROR(__xludf.dummyfunction("""COMPUTED_VALUE"""),228.53)</f>
        <v>228.53</v>
      </c>
      <c r="F1037" s="2" t="n">
        <f aca="false">IFERROR(__xludf.dummyfunction("""COMPUTED_VALUE"""),26080547)</f>
        <v>26080547</v>
      </c>
    </row>
    <row r="1038" customFormat="false" ht="15.75" hidden="false" customHeight="false" outlineLevel="0" collapsed="false">
      <c r="A1038" s="3" t="n">
        <f aca="false">IFERROR(__xludf.dummyfunction("""COMPUTED_VALUE"""),45707.6666666667)</f>
        <v>45707.6666666667</v>
      </c>
      <c r="B1038" s="2" t="n">
        <f aca="false">IFERROR(__xludf.dummyfunction("""COMPUTED_VALUE"""),227.85)</f>
        <v>227.85</v>
      </c>
      <c r="C1038" s="2" t="n">
        <f aca="false">IFERROR(__xludf.dummyfunction("""COMPUTED_VALUE"""),229.07)</f>
        <v>229.07</v>
      </c>
      <c r="D1038" s="2" t="n">
        <f aca="false">IFERROR(__xludf.dummyfunction("""COMPUTED_VALUE"""),224.4)</f>
        <v>224.4</v>
      </c>
      <c r="E1038" s="2" t="n">
        <f aca="false">IFERROR(__xludf.dummyfunction("""COMPUTED_VALUE"""),228.73)</f>
        <v>228.73</v>
      </c>
      <c r="F1038" s="2" t="n">
        <f aca="false">IFERROR(__xludf.dummyfunction("""COMPUTED_VALUE"""),16375487)</f>
        <v>16375487</v>
      </c>
    </row>
    <row r="1039" customFormat="false" ht="15.75" hidden="false" customHeight="false" outlineLevel="0" collapsed="false">
      <c r="A1039" s="3" t="n">
        <f aca="false">IFERROR(__xludf.dummyfunction("""COMPUTED_VALUE"""),45708.6666666667)</f>
        <v>45708.6666666667</v>
      </c>
      <c r="B1039" s="2" t="n">
        <f aca="false">IFERROR(__xludf.dummyfunction("""COMPUTED_VALUE"""),228.65)</f>
        <v>228.65</v>
      </c>
      <c r="C1039" s="2" t="n">
        <f aca="false">IFERROR(__xludf.dummyfunction("""COMPUTED_VALUE"""),228.98)</f>
        <v>228.98</v>
      </c>
      <c r="D1039" s="2" t="n">
        <f aca="false">IFERROR(__xludf.dummyfunction("""COMPUTED_VALUE"""),222.75)</f>
        <v>222.75</v>
      </c>
      <c r="E1039" s="2" t="n">
        <f aca="false">IFERROR(__xludf.dummyfunction("""COMPUTED_VALUE"""),226.74)</f>
        <v>226.74</v>
      </c>
      <c r="F1039" s="2" t="n">
        <f aca="false">IFERROR(__xludf.dummyfunction("""COMPUTED_VALUE"""),16103996)</f>
        <v>16103996</v>
      </c>
    </row>
    <row r="1040" customFormat="false" ht="15.75" hidden="false" customHeight="false" outlineLevel="0" collapsed="false">
      <c r="A1040" s="3" t="n">
        <f aca="false">IFERROR(__xludf.dummyfunction("""COMPUTED_VALUE"""),45709.6666666667)</f>
        <v>45709.6666666667</v>
      </c>
      <c r="B1040" s="2" t="n">
        <f aca="false">IFERROR(__xludf.dummyfunction("""COMPUTED_VALUE"""),225.65)</f>
        <v>225.65</v>
      </c>
      <c r="C1040" s="2" t="n">
        <f aca="false">IFERROR(__xludf.dummyfunction("""COMPUTED_VALUE"""),227.75)</f>
        <v>227.75</v>
      </c>
      <c r="D1040" s="2" t="n">
        <f aca="false">IFERROR(__xludf.dummyfunction("""COMPUTED_VALUE"""),215.63)</f>
        <v>215.63</v>
      </c>
      <c r="E1040" s="2" t="n">
        <f aca="false">IFERROR(__xludf.dummyfunction("""COMPUTED_VALUE"""),218.66)</f>
        <v>218.66</v>
      </c>
      <c r="F1040" s="2" t="n">
        <f aca="false">IFERROR(__xludf.dummyfunction("""COMPUTED_VALUE"""),24883556)</f>
        <v>24883556</v>
      </c>
    </row>
    <row r="1041" customFormat="false" ht="15.75" hidden="false" customHeight="false" outlineLevel="0" collapsed="false">
      <c r="A1041" s="3" t="n">
        <f aca="false">IFERROR(__xludf.dummyfunction("""COMPUTED_VALUE"""),45712.6666666667)</f>
        <v>45712.6666666667</v>
      </c>
      <c r="B1041" s="2" t="n">
        <f aca="false">IFERROR(__xludf.dummyfunction("""COMPUTED_VALUE"""),218.6)</f>
        <v>218.6</v>
      </c>
      <c r="C1041" s="2" t="n">
        <f aca="false">IFERROR(__xludf.dummyfunction("""COMPUTED_VALUE"""),219.48)</f>
        <v>219.48</v>
      </c>
      <c r="D1041" s="2" t="n">
        <f aca="false">IFERROR(__xludf.dummyfunction("""COMPUTED_VALUE"""),207.54)</f>
        <v>207.54</v>
      </c>
      <c r="E1041" s="2" t="n">
        <f aca="false">IFERROR(__xludf.dummyfunction("""COMPUTED_VALUE"""),207.93)</f>
        <v>207.93</v>
      </c>
      <c r="F1041" s="2" t="n">
        <f aca="false">IFERROR(__xludf.dummyfunction("""COMPUTED_VALUE"""),33050425)</f>
        <v>33050425</v>
      </c>
    </row>
    <row r="1042" customFormat="false" ht="15.75" hidden="false" customHeight="false" outlineLevel="0" collapsed="false">
      <c r="A1042" s="3" t="n">
        <f aca="false">IFERROR(__xludf.dummyfunction("""COMPUTED_VALUE"""),45713.6666666667)</f>
        <v>45713.6666666667</v>
      </c>
      <c r="B1042" s="2" t="n">
        <f aca="false">IFERROR(__xludf.dummyfunction("""COMPUTED_VALUE"""),207)</f>
        <v>207</v>
      </c>
      <c r="C1042" s="2" t="n">
        <f aca="false">IFERROR(__xludf.dummyfunction("""COMPUTED_VALUE"""),208.64)</f>
        <v>208.64</v>
      </c>
      <c r="D1042" s="2" t="n">
        <f aca="false">IFERROR(__xludf.dummyfunction("""COMPUTED_VALUE"""),200.92)</f>
        <v>200.92</v>
      </c>
      <c r="E1042" s="2" t="n">
        <f aca="false">IFERROR(__xludf.dummyfunction("""COMPUTED_VALUE"""),202.54)</f>
        <v>202.54</v>
      </c>
      <c r="F1042" s="2" t="n">
        <f aca="false">IFERROR(__xludf.dummyfunction("""COMPUTED_VALUE"""),33100814)</f>
        <v>33100814</v>
      </c>
    </row>
    <row r="1043" customFormat="false" ht="15.75" hidden="false" customHeight="false" outlineLevel="0" collapsed="false">
      <c r="A1043" s="3" t="n">
        <f aca="false">IFERROR(__xludf.dummyfunction("""COMPUTED_VALUE"""),45714.6666666667)</f>
        <v>45714.6666666667</v>
      </c>
      <c r="B1043" s="2" t="n">
        <f aca="false">IFERROR(__xludf.dummyfunction("""COMPUTED_VALUE"""),206.91)</f>
        <v>206.91</v>
      </c>
      <c r="C1043" s="2" t="n">
        <f aca="false">IFERROR(__xludf.dummyfunction("""COMPUTED_VALUE"""),213.54)</f>
        <v>213.54</v>
      </c>
      <c r="D1043" s="2" t="n">
        <f aca="false">IFERROR(__xludf.dummyfunction("""COMPUTED_VALUE"""),206)</f>
        <v>206</v>
      </c>
      <c r="E1043" s="2" t="n">
        <f aca="false">IFERROR(__xludf.dummyfunction("""COMPUTED_VALUE"""),212.94)</f>
        <v>212.94</v>
      </c>
      <c r="F1043" s="2" t="n">
        <f aca="false">IFERROR(__xludf.dummyfunction("""COMPUTED_VALUE"""),21368302)</f>
        <v>21368302</v>
      </c>
    </row>
    <row r="1044" customFormat="false" ht="15.75" hidden="false" customHeight="false" outlineLevel="0" collapsed="false">
      <c r="A1044" s="3" t="n">
        <f aca="false">IFERROR(__xludf.dummyfunction("""COMPUTED_VALUE"""),45715.6666666667)</f>
        <v>45715.6666666667</v>
      </c>
      <c r="B1044" s="2" t="n">
        <f aca="false">IFERROR(__xludf.dummyfunction("""COMPUTED_VALUE"""),217.28)</f>
        <v>217.28</v>
      </c>
      <c r="C1044" s="2" t="n">
        <f aca="false">IFERROR(__xludf.dummyfunction("""COMPUTED_VALUE"""),219.25)</f>
        <v>219.25</v>
      </c>
      <c r="D1044" s="2" t="n">
        <f aca="false">IFERROR(__xludf.dummyfunction("""COMPUTED_VALUE"""),197.4)</f>
        <v>197.4</v>
      </c>
      <c r="E1044" s="2" t="n">
        <f aca="false">IFERROR(__xludf.dummyfunction("""COMPUTED_VALUE"""),197.8)</f>
        <v>197.8</v>
      </c>
      <c r="F1044" s="2" t="n">
        <f aca="false">IFERROR(__xludf.dummyfunction("""COMPUTED_VALUE"""),27572887)</f>
        <v>27572887</v>
      </c>
    </row>
    <row r="1045" customFormat="false" ht="15.75" hidden="false" customHeight="false" outlineLevel="0" collapsed="false">
      <c r="A1045" s="3" t="n">
        <f aca="false">IFERROR(__xludf.dummyfunction("""COMPUTED_VALUE"""),45716.6666666667)</f>
        <v>45716.6666666667</v>
      </c>
      <c r="B1045" s="2" t="n">
        <f aca="false">IFERROR(__xludf.dummyfunction("""COMPUTED_VALUE"""),195.76)</f>
        <v>195.76</v>
      </c>
      <c r="C1045" s="2" t="n">
        <f aca="false">IFERROR(__xludf.dummyfunction("""COMPUTED_VALUE"""),201.19)</f>
        <v>201.19</v>
      </c>
      <c r="D1045" s="2" t="n">
        <f aca="false">IFERROR(__xludf.dummyfunction("""COMPUTED_VALUE"""),193.15)</f>
        <v>193.15</v>
      </c>
      <c r="E1045" s="2" t="n">
        <f aca="false">IFERROR(__xludf.dummyfunction("""COMPUTED_VALUE"""),199.43)</f>
        <v>199.43</v>
      </c>
      <c r="F1045" s="2" t="n">
        <f aca="false">IFERROR(__xludf.dummyfunction("""COMPUTED_VALUE"""),39747248)</f>
        <v>39747248</v>
      </c>
    </row>
    <row r="1046" customFormat="false" ht="15.75" hidden="false" customHeight="false" outlineLevel="0" collapsed="false">
      <c r="A1046" s="3" t="n">
        <f aca="false">IFERROR(__xludf.dummyfunction("""COMPUTED_VALUE"""),45719.6666666667)</f>
        <v>45719.6666666667</v>
      </c>
      <c r="B1046" s="2" t="n">
        <f aca="false">IFERROR(__xludf.dummyfunction("""COMPUTED_VALUE"""),204)</f>
        <v>204</v>
      </c>
      <c r="C1046" s="2" t="n">
        <f aca="false">IFERROR(__xludf.dummyfunction("""COMPUTED_VALUE"""),204.06)</f>
        <v>204.06</v>
      </c>
      <c r="D1046" s="2" t="n">
        <f aca="false">IFERROR(__xludf.dummyfunction("""COMPUTED_VALUE"""),184.53)</f>
        <v>184.53</v>
      </c>
      <c r="E1046" s="2" t="n">
        <f aca="false">IFERROR(__xludf.dummyfunction("""COMPUTED_VALUE"""),187.37)</f>
        <v>187.37</v>
      </c>
      <c r="F1046" s="2" t="n">
        <f aca="false">IFERROR(__xludf.dummyfunction("""COMPUTED_VALUE"""),37435603)</f>
        <v>37435603</v>
      </c>
    </row>
    <row r="1047" customFormat="false" ht="15.75" hidden="false" customHeight="false" outlineLevel="0" collapsed="false">
      <c r="A1047" s="3" t="n">
        <f aca="false">IFERROR(__xludf.dummyfunction("""COMPUTED_VALUE"""),45720.6666666667)</f>
        <v>45720.6666666667</v>
      </c>
      <c r="B1047" s="2" t="n">
        <f aca="false">IFERROR(__xludf.dummyfunction("""COMPUTED_VALUE"""),189.22)</f>
        <v>189.22</v>
      </c>
      <c r="C1047" s="2" t="n">
        <f aca="false">IFERROR(__xludf.dummyfunction("""COMPUTED_VALUE"""),193.95)</f>
        <v>193.95</v>
      </c>
      <c r="D1047" s="2" t="n">
        <f aca="false">IFERROR(__xludf.dummyfunction("""COMPUTED_VALUE"""),180.48)</f>
        <v>180.48</v>
      </c>
      <c r="E1047" s="2" t="n">
        <f aca="false">IFERROR(__xludf.dummyfunction("""COMPUTED_VALUE"""),187.48)</f>
        <v>187.48</v>
      </c>
      <c r="F1047" s="2" t="n">
        <f aca="false">IFERROR(__xludf.dummyfunction("""COMPUTED_VALUE"""),37910477)</f>
        <v>37910477</v>
      </c>
    </row>
    <row r="1048" customFormat="false" ht="15.75" hidden="false" customHeight="false" outlineLevel="0" collapsed="false">
      <c r="A1048" s="3" t="n">
        <f aca="false">IFERROR(__xludf.dummyfunction("""COMPUTED_VALUE"""),45721.6666666667)</f>
        <v>45721.6666666667</v>
      </c>
      <c r="B1048" s="2" t="n">
        <f aca="false">IFERROR(__xludf.dummyfunction("""COMPUTED_VALUE"""),191.86)</f>
        <v>191.86</v>
      </c>
      <c r="C1048" s="2" t="n">
        <f aca="false">IFERROR(__xludf.dummyfunction("""COMPUTED_VALUE"""),194.08)</f>
        <v>194.08</v>
      </c>
      <c r="D1048" s="2" t="n">
        <f aca="false">IFERROR(__xludf.dummyfunction("""COMPUTED_VALUE"""),187.1)</f>
        <v>187.1</v>
      </c>
      <c r="E1048" s="2" t="n">
        <f aca="false">IFERROR(__xludf.dummyfunction("""COMPUTED_VALUE"""),191.58)</f>
        <v>191.58</v>
      </c>
      <c r="F1048" s="2" t="n">
        <f aca="false">IFERROR(__xludf.dummyfunction("""COMPUTED_VALUE"""),25644540)</f>
        <v>25644540</v>
      </c>
    </row>
    <row r="1049" customFormat="false" ht="15.75" hidden="false" customHeight="false" outlineLevel="0" collapsed="false">
      <c r="A1049" s="3" t="n">
        <f aca="false">IFERROR(__xludf.dummyfunction("""COMPUTED_VALUE"""),45722.6666666667)</f>
        <v>45722.6666666667</v>
      </c>
      <c r="B1049" s="2" t="n">
        <f aca="false">IFERROR(__xludf.dummyfunction("""COMPUTED_VALUE"""),181.04)</f>
        <v>181.04</v>
      </c>
      <c r="C1049" s="2" t="n">
        <f aca="false">IFERROR(__xludf.dummyfunction("""COMPUTED_VALUE"""),186.83)</f>
        <v>186.83</v>
      </c>
      <c r="D1049" s="2" t="n">
        <f aca="false">IFERROR(__xludf.dummyfunction("""COMPUTED_VALUE"""),177.61)</f>
        <v>177.61</v>
      </c>
      <c r="E1049" s="2" t="n">
        <f aca="false">IFERROR(__xludf.dummyfunction("""COMPUTED_VALUE"""),179.45)</f>
        <v>179.45</v>
      </c>
      <c r="F1049" s="2" t="n">
        <f aca="false">IFERROR(__xludf.dummyfunction("""COMPUTED_VALUE"""),56864099)</f>
        <v>56864099</v>
      </c>
    </row>
    <row r="1050" customFormat="false" ht="15.75" hidden="false" customHeight="false" outlineLevel="0" collapsed="false">
      <c r="A1050" s="3" t="n">
        <f aca="false">IFERROR(__xludf.dummyfunction("""COMPUTED_VALUE"""),45723.6666666667)</f>
        <v>45723.6666666667</v>
      </c>
      <c r="B1050" s="2" t="n">
        <f aca="false">IFERROR(__xludf.dummyfunction("""COMPUTED_VALUE"""),187.73)</f>
        <v>187.73</v>
      </c>
      <c r="C1050" s="2" t="n">
        <f aca="false">IFERROR(__xludf.dummyfunction("""COMPUTED_VALUE"""),195.48)</f>
        <v>195.48</v>
      </c>
      <c r="D1050" s="2" t="n">
        <f aca="false">IFERROR(__xludf.dummyfunction("""COMPUTED_VALUE"""),181.56)</f>
        <v>181.56</v>
      </c>
      <c r="E1050" s="2" t="n">
        <f aca="false">IFERROR(__xludf.dummyfunction("""COMPUTED_VALUE"""),194.96)</f>
        <v>194.96</v>
      </c>
      <c r="F1050" s="2" t="n">
        <f aca="false">IFERROR(__xludf.dummyfunction("""COMPUTED_VALUE"""),74528855)</f>
        <v>74528855</v>
      </c>
    </row>
    <row r="1051" customFormat="false" ht="15.75" hidden="false" customHeight="false" outlineLevel="0" collapsed="false">
      <c r="A1051" s="3" t="n">
        <f aca="false">IFERROR(__xludf.dummyfunction("""COMPUTED_VALUE"""),45726.6666666667)</f>
        <v>45726.6666666667</v>
      </c>
      <c r="B1051" s="2" t="n">
        <f aca="false">IFERROR(__xludf.dummyfunction("""COMPUTED_VALUE"""),189.6)</f>
        <v>189.6</v>
      </c>
      <c r="C1051" s="2" t="n">
        <f aca="false">IFERROR(__xludf.dummyfunction("""COMPUTED_VALUE"""),191.98)</f>
        <v>191.98</v>
      </c>
      <c r="D1051" s="2" t="n">
        <f aca="false">IFERROR(__xludf.dummyfunction("""COMPUTED_VALUE"""),180.43)</f>
        <v>180.43</v>
      </c>
      <c r="E1051" s="2" t="n">
        <f aca="false">IFERROR(__xludf.dummyfunction("""COMPUTED_VALUE"""),184.45)</f>
        <v>184.45</v>
      </c>
      <c r="F1051" s="2" t="n">
        <f aca="false">IFERROR(__xludf.dummyfunction("""COMPUTED_VALUE"""),44217115)</f>
        <v>44217115</v>
      </c>
    </row>
    <row r="1052" customFormat="false" ht="15.75" hidden="false" customHeight="false" outlineLevel="0" collapsed="false">
      <c r="A1052" s="3" t="n">
        <f aca="false">IFERROR(__xludf.dummyfunction("""COMPUTED_VALUE"""),45727.6666666667)</f>
        <v>45727.6666666667</v>
      </c>
      <c r="B1052" s="2" t="n">
        <f aca="false">IFERROR(__xludf.dummyfunction("""COMPUTED_VALUE"""),188.05)</f>
        <v>188.05</v>
      </c>
      <c r="C1052" s="2" t="n">
        <f aca="false">IFERROR(__xludf.dummyfunction("""COMPUTED_VALUE"""),195.62)</f>
        <v>195.62</v>
      </c>
      <c r="D1052" s="2" t="n">
        <f aca="false">IFERROR(__xludf.dummyfunction("""COMPUTED_VALUE"""),185.35)</f>
        <v>185.35</v>
      </c>
      <c r="E1052" s="2" t="n">
        <f aca="false">IFERROR(__xludf.dummyfunction("""COMPUTED_VALUE"""),190.09)</f>
        <v>190.09</v>
      </c>
      <c r="F1052" s="2" t="n">
        <f aca="false">IFERROR(__xludf.dummyfunction("""COMPUTED_VALUE"""),42153248)</f>
        <v>42153248</v>
      </c>
    </row>
    <row r="1053" customFormat="false" ht="15.75" hidden="false" customHeight="false" outlineLevel="0" collapsed="false">
      <c r="A1053" s="3" t="n">
        <f aca="false">IFERROR(__xludf.dummyfunction("""COMPUTED_VALUE"""),45728.6666666667)</f>
        <v>45728.6666666667</v>
      </c>
      <c r="B1053" s="2" t="n">
        <f aca="false">IFERROR(__xludf.dummyfunction("""COMPUTED_VALUE"""),196.22)</f>
        <v>196.22</v>
      </c>
      <c r="C1053" s="2" t="n">
        <f aca="false">IFERROR(__xludf.dummyfunction("""COMPUTED_VALUE"""),199.98)</f>
        <v>199.98</v>
      </c>
      <c r="D1053" s="2" t="n">
        <f aca="false">IFERROR(__xludf.dummyfunction("""COMPUTED_VALUE"""),192.45)</f>
        <v>192.45</v>
      </c>
      <c r="E1053" s="2" t="n">
        <f aca="false">IFERROR(__xludf.dummyfunction("""COMPUTED_VALUE"""),194.23)</f>
        <v>194.23</v>
      </c>
      <c r="F1053" s="2" t="n">
        <f aca="false">IFERROR(__xludf.dummyfunction("""COMPUTED_VALUE"""),30409728)</f>
        <v>30409728</v>
      </c>
    </row>
    <row r="1054" customFormat="false" ht="15.75" hidden="false" customHeight="false" outlineLevel="0" collapsed="false">
      <c r="A1054" s="3" t="n">
        <f aca="false">IFERROR(__xludf.dummyfunction("""COMPUTED_VALUE"""),45729.6666666667)</f>
        <v>45729.6666666667</v>
      </c>
      <c r="B1054" s="2" t="n">
        <f aca="false">IFERROR(__xludf.dummyfunction("""COMPUTED_VALUE"""),193.15)</f>
        <v>193.15</v>
      </c>
      <c r="C1054" s="2" t="n">
        <f aca="false">IFERROR(__xludf.dummyfunction("""COMPUTED_VALUE"""),196.32)</f>
        <v>196.32</v>
      </c>
      <c r="D1054" s="2" t="n">
        <f aca="false">IFERROR(__xludf.dummyfunction("""COMPUTED_VALUE"""),189.47)</f>
        <v>189.47</v>
      </c>
      <c r="E1054" s="2" t="n">
        <f aca="false">IFERROR(__xludf.dummyfunction("""COMPUTED_VALUE"""),191.36)</f>
        <v>191.36</v>
      </c>
      <c r="F1054" s="2" t="n">
        <f aca="false">IFERROR(__xludf.dummyfunction("""COMPUTED_VALUE"""),27236137)</f>
        <v>27236137</v>
      </c>
    </row>
    <row r="1055" customFormat="false" ht="15.75" hidden="false" customHeight="false" outlineLevel="0" collapsed="false">
      <c r="A1055" s="3" t="n">
        <f aca="false">IFERROR(__xludf.dummyfunction("""COMPUTED_VALUE"""),45730.6666666667)</f>
        <v>45730.6666666667</v>
      </c>
      <c r="B1055" s="2" t="n">
        <f aca="false">IFERROR(__xludf.dummyfunction("""COMPUTED_VALUE"""),196.2)</f>
        <v>196.2</v>
      </c>
      <c r="C1055" s="2" t="n">
        <f aca="false">IFERROR(__xludf.dummyfunction("""COMPUTED_VALUE"""),197.5)</f>
        <v>197.5</v>
      </c>
      <c r="D1055" s="2" t="n">
        <f aca="false">IFERROR(__xludf.dummyfunction("""COMPUTED_VALUE"""),193.2)</f>
        <v>193.2</v>
      </c>
      <c r="E1055" s="2" t="n">
        <f aca="false">IFERROR(__xludf.dummyfunction("""COMPUTED_VALUE"""),195.54)</f>
        <v>195.54</v>
      </c>
      <c r="F1055" s="2" t="n">
        <f aca="false">IFERROR(__xludf.dummyfunction("""COMPUTED_VALUE"""),25900939)</f>
        <v>25900939</v>
      </c>
    </row>
    <row r="1056" customFormat="false" ht="15.75" hidden="false" customHeight="false" outlineLevel="0" collapsed="false">
      <c r="A1056" s="3" t="n">
        <f aca="false">IFERROR(__xludf.dummyfunction("""COMPUTED_VALUE"""),45733.6666666667)</f>
        <v>45733.6666666667</v>
      </c>
      <c r="B1056" s="2" t="n">
        <f aca="false">IFERROR(__xludf.dummyfunction("""COMPUTED_VALUE"""),188.05)</f>
        <v>188.05</v>
      </c>
      <c r="C1056" s="2" t="n">
        <f aca="false">IFERROR(__xludf.dummyfunction("""COMPUTED_VALUE"""),196.72)</f>
        <v>196.72</v>
      </c>
      <c r="D1056" s="2" t="n">
        <f aca="false">IFERROR(__xludf.dummyfunction("""COMPUTED_VALUE"""),187.5)</f>
        <v>187.5</v>
      </c>
      <c r="E1056" s="2" t="n">
        <f aca="false">IFERROR(__xludf.dummyfunction("""COMPUTED_VALUE"""),194.5)</f>
        <v>194.5</v>
      </c>
      <c r="F1056" s="2" t="n">
        <f aca="false">IFERROR(__xludf.dummyfunction("""COMPUTED_VALUE"""),26830624)</f>
        <v>26830624</v>
      </c>
    </row>
    <row r="1057" customFormat="false" ht="15.75" hidden="false" customHeight="false" outlineLevel="0" collapsed="false">
      <c r="A1057" s="3" t="n">
        <f aca="false">IFERROR(__xludf.dummyfunction("""COMPUTED_VALUE"""),45734.6666666667)</f>
        <v>45734.6666666667</v>
      </c>
      <c r="B1057" s="2" t="n">
        <f aca="false">IFERROR(__xludf.dummyfunction("""COMPUTED_VALUE"""),190.44)</f>
        <v>190.44</v>
      </c>
      <c r="C1057" s="2" t="n">
        <f aca="false">IFERROR(__xludf.dummyfunction("""COMPUTED_VALUE"""),192.89)</f>
        <v>192.89</v>
      </c>
      <c r="D1057" s="2" t="n">
        <f aca="false">IFERROR(__xludf.dummyfunction("""COMPUTED_VALUE"""),186.9)</f>
        <v>186.9</v>
      </c>
      <c r="E1057" s="2" t="n">
        <f aca="false">IFERROR(__xludf.dummyfunction("""COMPUTED_VALUE"""),188.67)</f>
        <v>188.67</v>
      </c>
      <c r="F1057" s="2" t="n">
        <f aca="false">IFERROR(__xludf.dummyfunction("""COMPUTED_VALUE"""),24951025)</f>
        <v>24951025</v>
      </c>
    </row>
    <row r="1058" customFormat="false" ht="15.75" hidden="false" customHeight="false" outlineLevel="0" collapsed="false">
      <c r="A1058" s="3" t="n">
        <f aca="false">IFERROR(__xludf.dummyfunction("""COMPUTED_VALUE"""),45735.6666666667)</f>
        <v>45735.6666666667</v>
      </c>
      <c r="B1058" s="2" t="n">
        <f aca="false">IFERROR(__xludf.dummyfunction("""COMPUTED_VALUE"""),189.34)</f>
        <v>189.34</v>
      </c>
      <c r="C1058" s="2" t="n">
        <f aca="false">IFERROR(__xludf.dummyfunction("""COMPUTED_VALUE"""),198.27)</f>
        <v>198.27</v>
      </c>
      <c r="D1058" s="2" t="n">
        <f aca="false">IFERROR(__xludf.dummyfunction("""COMPUTED_VALUE"""),186.9)</f>
        <v>186.9</v>
      </c>
      <c r="E1058" s="2" t="n">
        <f aca="false">IFERROR(__xludf.dummyfunction("""COMPUTED_VALUE"""),195.57)</f>
        <v>195.57</v>
      </c>
      <c r="F1058" s="2" t="n">
        <f aca="false">IFERROR(__xludf.dummyfunction("""COMPUTED_VALUE"""),37962698)</f>
        <v>37962698</v>
      </c>
    </row>
    <row r="1059" customFormat="false" ht="15.75" hidden="false" customHeight="false" outlineLevel="0" collapsed="false">
      <c r="A1059" s="3" t="n">
        <f aca="false">IFERROR(__xludf.dummyfunction("""COMPUTED_VALUE"""),45736.6666666667)</f>
        <v>45736.6666666667</v>
      </c>
      <c r="B1059" s="2" t="n">
        <f aca="false">IFERROR(__xludf.dummyfunction("""COMPUTED_VALUE"""),191.52)</f>
        <v>191.52</v>
      </c>
      <c r="C1059" s="2" t="n">
        <f aca="false">IFERROR(__xludf.dummyfunction("""COMPUTED_VALUE"""),193.84)</f>
        <v>193.84</v>
      </c>
      <c r="D1059" s="2" t="n">
        <f aca="false">IFERROR(__xludf.dummyfunction("""COMPUTED_VALUE"""),188.94)</f>
        <v>188.94</v>
      </c>
      <c r="E1059" s="2" t="n">
        <f aca="false">IFERROR(__xludf.dummyfunction("""COMPUTED_VALUE"""),190.54)</f>
        <v>190.54</v>
      </c>
      <c r="F1059" s="2" t="n">
        <f aca="false">IFERROR(__xludf.dummyfunction("""COMPUTED_VALUE"""),31430022)</f>
        <v>31430022</v>
      </c>
    </row>
    <row r="1060" customFormat="false" ht="15.75" hidden="false" customHeight="false" outlineLevel="0" collapsed="false">
      <c r="A1060" s="3" t="n">
        <f aca="false">IFERROR(__xludf.dummyfunction("""COMPUTED_VALUE"""),45737.6666666667)</f>
        <v>45737.6666666667</v>
      </c>
      <c r="B1060" s="2" t="n">
        <f aca="false">IFERROR(__xludf.dummyfunction("""COMPUTED_VALUE"""),188.21)</f>
        <v>188.21</v>
      </c>
      <c r="C1060" s="2" t="n">
        <f aca="false">IFERROR(__xludf.dummyfunction("""COMPUTED_VALUE"""),192.07)</f>
        <v>192.07</v>
      </c>
      <c r="D1060" s="2" t="n">
        <f aca="false">IFERROR(__xludf.dummyfunction("""COMPUTED_VALUE"""),187.37)</f>
        <v>187.37</v>
      </c>
      <c r="E1060" s="2" t="n">
        <f aca="false">IFERROR(__xludf.dummyfunction("""COMPUTED_VALUE"""),191.66)</f>
        <v>191.66</v>
      </c>
      <c r="F1060" s="2" t="n">
        <f aca="false">IFERROR(__xludf.dummyfunction("""COMPUTED_VALUE"""),43086517)</f>
        <v>43086517</v>
      </c>
    </row>
    <row r="1061" customFormat="false" ht="15.75" hidden="false" customHeight="false" outlineLevel="0" collapsed="false">
      <c r="A1061" s="3" t="n">
        <f aca="false">IFERROR(__xludf.dummyfunction("""COMPUTED_VALUE"""),45740.6666666667)</f>
        <v>45740.6666666667</v>
      </c>
      <c r="B1061" s="2" t="n">
        <f aca="false">IFERROR(__xludf.dummyfunction("""COMPUTED_VALUE"""),194.3)</f>
        <v>194.3</v>
      </c>
      <c r="C1061" s="2" t="n">
        <f aca="false">IFERROR(__xludf.dummyfunction("""COMPUTED_VALUE"""),196.69)</f>
        <v>196.69</v>
      </c>
      <c r="D1061" s="2" t="n">
        <f aca="false">IFERROR(__xludf.dummyfunction("""COMPUTED_VALUE"""),190.67)</f>
        <v>190.67</v>
      </c>
      <c r="E1061" s="2" t="n">
        <f aca="false">IFERROR(__xludf.dummyfunction("""COMPUTED_VALUE"""),191.25)</f>
        <v>191.25</v>
      </c>
      <c r="F1061" s="2" t="n">
        <f aca="false">IFERROR(__xludf.dummyfunction("""COMPUTED_VALUE"""),33180280)</f>
        <v>33180280</v>
      </c>
    </row>
    <row r="1062" customFormat="false" ht="15.75" hidden="false" customHeight="false" outlineLevel="0" collapsed="false">
      <c r="A1062" s="3" t="n">
        <f aca="false">IFERROR(__xludf.dummyfunction("""COMPUTED_VALUE"""),45741.6666666667)</f>
        <v>45741.6666666667</v>
      </c>
      <c r="B1062" s="2" t="n">
        <f aca="false">IFERROR(__xludf.dummyfunction("""COMPUTED_VALUE"""),190.89)</f>
        <v>190.89</v>
      </c>
      <c r="C1062" s="2" t="n">
        <f aca="false">IFERROR(__xludf.dummyfunction("""COMPUTED_VALUE"""),191.6)</f>
        <v>191.6</v>
      </c>
      <c r="D1062" s="2" t="n">
        <f aca="false">IFERROR(__xludf.dummyfunction("""COMPUTED_VALUE"""),187.68)</f>
        <v>187.68</v>
      </c>
      <c r="E1062" s="2" t="n">
        <f aca="false">IFERROR(__xludf.dummyfunction("""COMPUTED_VALUE"""),188.26)</f>
        <v>188.26</v>
      </c>
      <c r="F1062" s="2" t="n">
        <f aca="false">IFERROR(__xludf.dummyfunction("""COMPUTED_VALUE"""),23417250)</f>
        <v>23417250</v>
      </c>
    </row>
    <row r="1063" customFormat="false" ht="15.75" hidden="false" customHeight="false" outlineLevel="0" collapsed="false">
      <c r="A1063" s="3" t="n">
        <f aca="false">IFERROR(__xludf.dummyfunction("""COMPUTED_VALUE"""),45742.6666666667)</f>
        <v>45742.6666666667</v>
      </c>
      <c r="B1063" s="2" t="n">
        <f aca="false">IFERROR(__xludf.dummyfunction("""COMPUTED_VALUE"""),186.66)</f>
        <v>186.66</v>
      </c>
      <c r="C1063" s="2" t="n">
        <f aca="false">IFERROR(__xludf.dummyfunction("""COMPUTED_VALUE"""),188.06)</f>
        <v>188.06</v>
      </c>
      <c r="D1063" s="2" t="n">
        <f aca="false">IFERROR(__xludf.dummyfunction("""COMPUTED_VALUE"""),177.58)</f>
        <v>177.58</v>
      </c>
      <c r="E1063" s="2" t="n">
        <f aca="false">IFERROR(__xludf.dummyfunction("""COMPUTED_VALUE"""),179.27)</f>
        <v>179.27</v>
      </c>
      <c r="F1063" s="2" t="n">
        <f aca="false">IFERROR(__xludf.dummyfunction("""COMPUTED_VALUE"""),30670536)</f>
        <v>30670536</v>
      </c>
    </row>
    <row r="1064" customFormat="false" ht="15.75" hidden="false" customHeight="false" outlineLevel="0" collapsed="false">
      <c r="A1064" s="3" t="n">
        <f aca="false">IFERROR(__xludf.dummyfunction("""COMPUTED_VALUE"""),45743.6666666667)</f>
        <v>45743.6666666667</v>
      </c>
      <c r="B1064" s="2" t="n">
        <f aca="false">IFERROR(__xludf.dummyfunction("""COMPUTED_VALUE"""),177.66)</f>
        <v>177.66</v>
      </c>
      <c r="C1064" s="2" t="n">
        <f aca="false">IFERROR(__xludf.dummyfunction("""COMPUTED_VALUE"""),178.38)</f>
        <v>178.38</v>
      </c>
      <c r="D1064" s="2" t="n">
        <f aca="false">IFERROR(__xludf.dummyfunction("""COMPUTED_VALUE"""),170.46)</f>
        <v>170.46</v>
      </c>
      <c r="E1064" s="2" t="n">
        <f aca="false">IFERROR(__xludf.dummyfunction("""COMPUTED_VALUE"""),171.99)</f>
        <v>171.99</v>
      </c>
      <c r="F1064" s="2" t="n">
        <f aca="false">IFERROR(__xludf.dummyfunction("""COMPUTED_VALUE"""),32151667)</f>
        <v>32151667</v>
      </c>
    </row>
    <row r="1065" customFormat="false" ht="15.75" hidden="false" customHeight="false" outlineLevel="0" collapsed="false">
      <c r="A1065" s="3" t="n">
        <f aca="false">IFERROR(__xludf.dummyfunction("""COMPUTED_VALUE"""),45744.6666666667)</f>
        <v>45744.6666666667</v>
      </c>
      <c r="B1065" s="2" t="n">
        <f aca="false">IFERROR(__xludf.dummyfunction("""COMPUTED_VALUE"""),171.93)</f>
        <v>171.93</v>
      </c>
      <c r="C1065" s="2" t="n">
        <f aca="false">IFERROR(__xludf.dummyfunction("""COMPUTED_VALUE"""),173.3)</f>
        <v>173.3</v>
      </c>
      <c r="D1065" s="2" t="n">
        <f aca="false">IFERROR(__xludf.dummyfunction("""COMPUTED_VALUE"""),166.47)</f>
        <v>166.47</v>
      </c>
      <c r="E1065" s="2" t="n">
        <f aca="false">IFERROR(__xludf.dummyfunction("""COMPUTED_VALUE"""),169.12)</f>
        <v>169.12</v>
      </c>
      <c r="F1065" s="2" t="n">
        <f aca="false">IFERROR(__xludf.dummyfunction("""COMPUTED_VALUE"""),30391479)</f>
        <v>30391479</v>
      </c>
    </row>
    <row r="1066" customFormat="false" ht="15.75" hidden="false" customHeight="false" outlineLevel="0" collapsed="false">
      <c r="A1066" s="3" t="n">
        <f aca="false">IFERROR(__xludf.dummyfunction("""COMPUTED_VALUE"""),45747.6666666667)</f>
        <v>45747.6666666667</v>
      </c>
      <c r="B1066" s="2" t="n">
        <f aca="false">IFERROR(__xludf.dummyfunction("""COMPUTED_VALUE"""),164.49)</f>
        <v>164.49</v>
      </c>
      <c r="C1066" s="2" t="n">
        <f aca="false">IFERROR(__xludf.dummyfunction("""COMPUTED_VALUE"""),167.94)</f>
        <v>167.94</v>
      </c>
      <c r="D1066" s="2" t="n">
        <f aca="false">IFERROR(__xludf.dummyfunction("""COMPUTED_VALUE"""),160.62)</f>
        <v>160.62</v>
      </c>
      <c r="E1066" s="2" t="n">
        <f aca="false">IFERROR(__xludf.dummyfunction("""COMPUTED_VALUE"""),167.43)</f>
        <v>167.43</v>
      </c>
      <c r="F1066" s="2" t="n">
        <f aca="false">IFERROR(__xludf.dummyfunction("""COMPUTED_VALUE"""),35656449)</f>
        <v>35656449</v>
      </c>
    </row>
    <row r="1067" customFormat="false" ht="15.75" hidden="false" customHeight="false" outlineLevel="0" collapsed="false">
      <c r="A1067" s="3" t="n">
        <f aca="false">IFERROR(__xludf.dummyfunction("""COMPUTED_VALUE"""),45748.6666666667)</f>
        <v>45748.6666666667</v>
      </c>
      <c r="B1067" s="2" t="n">
        <f aca="false">IFERROR(__xludf.dummyfunction("""COMPUTED_VALUE"""),166.37)</f>
        <v>166.37</v>
      </c>
      <c r="C1067" s="2" t="n">
        <f aca="false">IFERROR(__xludf.dummyfunction("""COMPUTED_VALUE"""),168.71)</f>
        <v>168.71</v>
      </c>
      <c r="D1067" s="2" t="n">
        <f aca="false">IFERROR(__xludf.dummyfunction("""COMPUTED_VALUE"""),163.42)</f>
        <v>163.42</v>
      </c>
      <c r="E1067" s="2" t="n">
        <f aca="false">IFERROR(__xludf.dummyfunction("""COMPUTED_VALUE"""),168.52)</f>
        <v>168.52</v>
      </c>
      <c r="F1067" s="2" t="n">
        <f aca="false">IFERROR(__xludf.dummyfunction("""COMPUTED_VALUE"""),20472443)</f>
        <v>20472443</v>
      </c>
    </row>
    <row r="1068" customFormat="false" ht="15.75" hidden="false" customHeight="false" outlineLevel="0" collapsed="false">
      <c r="A1068" s="3" t="n">
        <f aca="false">IFERROR(__xludf.dummyfunction("""COMPUTED_VALUE"""),45749.6666666667)</f>
        <v>45749.6666666667</v>
      </c>
      <c r="B1068" s="2" t="n">
        <f aca="false">IFERROR(__xludf.dummyfunction("""COMPUTED_VALUE"""),166.08)</f>
        <v>166.08</v>
      </c>
      <c r="C1068" s="2" t="n">
        <f aca="false">IFERROR(__xludf.dummyfunction("""COMPUTED_VALUE"""),173.43)</f>
        <v>173.43</v>
      </c>
      <c r="D1068" s="2" t="n">
        <f aca="false">IFERROR(__xludf.dummyfunction("""COMPUTED_VALUE"""),165.5)</f>
        <v>165.5</v>
      </c>
      <c r="E1068" s="2" t="n">
        <f aca="false">IFERROR(__xludf.dummyfunction("""COMPUTED_VALUE"""),172.09)</f>
        <v>172.09</v>
      </c>
      <c r="F1068" s="2" t="n">
        <f aca="false">IFERROR(__xludf.dummyfunction("""COMPUTED_VALUE"""),19523663)</f>
        <v>19523663</v>
      </c>
    </row>
    <row r="1069" customFormat="false" ht="15.75" hidden="false" customHeight="false" outlineLevel="0" collapsed="false">
      <c r="A1069" s="3" t="n">
        <f aca="false">IFERROR(__xludf.dummyfunction("""COMPUTED_VALUE"""),45750.6666666667)</f>
        <v>45750.6666666667</v>
      </c>
      <c r="B1069" s="2" t="n">
        <f aca="false">IFERROR(__xludf.dummyfunction("""COMPUTED_VALUE"""),160.54)</f>
        <v>160.54</v>
      </c>
      <c r="C1069" s="2" t="n">
        <f aca="false">IFERROR(__xludf.dummyfunction("""COMPUTED_VALUE"""),163.43)</f>
        <v>163.43</v>
      </c>
      <c r="D1069" s="2" t="n">
        <f aca="false">IFERROR(__xludf.dummyfunction("""COMPUTED_VALUE"""),153.7)</f>
        <v>153.7</v>
      </c>
      <c r="E1069" s="2" t="n">
        <f aca="false">IFERROR(__xludf.dummyfunction("""COMPUTED_VALUE"""),154.01)</f>
        <v>154.01</v>
      </c>
      <c r="F1069" s="2" t="n">
        <f aca="false">IFERROR(__xludf.dummyfunction("""COMPUTED_VALUE"""),44354859)</f>
        <v>44354859</v>
      </c>
    </row>
    <row r="1070" customFormat="false" ht="15.75" hidden="false" customHeight="false" outlineLevel="0" collapsed="false">
      <c r="A1070" s="3" t="n">
        <f aca="false">IFERROR(__xludf.dummyfunction("""COMPUTED_VALUE"""),45751.6666666667)</f>
        <v>45751.6666666667</v>
      </c>
      <c r="B1070" s="2" t="n">
        <f aca="false">IFERROR(__xludf.dummyfunction("""COMPUTED_VALUE"""),148.17)</f>
        <v>148.17</v>
      </c>
      <c r="C1070" s="2" t="n">
        <f aca="false">IFERROR(__xludf.dummyfunction("""COMPUTED_VALUE"""),152.8)</f>
        <v>152.8</v>
      </c>
      <c r="D1070" s="2" t="n">
        <f aca="false">IFERROR(__xludf.dummyfunction("""COMPUTED_VALUE"""),139.17)</f>
        <v>139.17</v>
      </c>
      <c r="E1070" s="2" t="n">
        <f aca="false">IFERROR(__xludf.dummyfunction("""COMPUTED_VALUE"""),146.29)</f>
        <v>146.29</v>
      </c>
      <c r="F1070" s="2" t="n">
        <f aca="false">IFERROR(__xludf.dummyfunction("""COMPUTED_VALUE"""),72302229)</f>
        <v>72302229</v>
      </c>
    </row>
    <row r="1071" customFormat="false" ht="15.75" hidden="false" customHeight="false" outlineLevel="0" collapsed="false">
      <c r="A1071" s="3" t="n">
        <f aca="false">IFERROR(__xludf.dummyfunction("""COMPUTED_VALUE"""),45754.6666666667)</f>
        <v>45754.6666666667</v>
      </c>
      <c r="B1071" s="2" t="n">
        <f aca="false">IFERROR(__xludf.dummyfunction("""COMPUTED_VALUE"""),144.49)</f>
        <v>144.49</v>
      </c>
      <c r="C1071" s="2" t="n">
        <f aca="false">IFERROR(__xludf.dummyfunction("""COMPUTED_VALUE"""),160.43)</f>
        <v>160.43</v>
      </c>
      <c r="D1071" s="2" t="n">
        <f aca="false">IFERROR(__xludf.dummyfunction("""COMPUTED_VALUE"""),138.1)</f>
        <v>138.1</v>
      </c>
      <c r="E1071" s="2" t="n">
        <f aca="false">IFERROR(__xludf.dummyfunction("""COMPUTED_VALUE"""),154.14)</f>
        <v>154.14</v>
      </c>
      <c r="F1071" s="2" t="n">
        <f aca="false">IFERROR(__xludf.dummyfunction("""COMPUTED_VALUE"""),68503505)</f>
        <v>68503505</v>
      </c>
    </row>
    <row r="1072" customFormat="false" ht="15.75" hidden="false" customHeight="false" outlineLevel="0" collapsed="false">
      <c r="A1072" s="3" t="n">
        <f aca="false">IFERROR(__xludf.dummyfunction("""COMPUTED_VALUE"""),45755.6666666667)</f>
        <v>45755.6666666667</v>
      </c>
      <c r="B1072" s="2" t="n">
        <f aca="false">IFERROR(__xludf.dummyfunction("""COMPUTED_VALUE"""),167.62)</f>
        <v>167.62</v>
      </c>
      <c r="C1072" s="2" t="n">
        <f aca="false">IFERROR(__xludf.dummyfunction("""COMPUTED_VALUE"""),169.78)</f>
        <v>169.78</v>
      </c>
      <c r="D1072" s="2" t="n">
        <f aca="false">IFERROR(__xludf.dummyfunction("""COMPUTED_VALUE"""),153.09)</f>
        <v>153.09</v>
      </c>
      <c r="E1072" s="2" t="n">
        <f aca="false">IFERROR(__xludf.dummyfunction("""COMPUTED_VALUE"""),156.03)</f>
        <v>156.03</v>
      </c>
      <c r="F1072" s="2" t="n">
        <f aca="false">IFERROR(__xludf.dummyfunction("""COMPUTED_VALUE"""),58888228)</f>
        <v>58888228</v>
      </c>
    </row>
    <row r="1073" customFormat="false" ht="15.75" hidden="false" customHeight="false" outlineLevel="0" collapsed="false">
      <c r="A1073" s="3" t="n">
        <f aca="false">IFERROR(__xludf.dummyfunction("""COMPUTED_VALUE"""),45756.6666666667)</f>
        <v>45756.6666666667</v>
      </c>
      <c r="B1073" s="2" t="n">
        <f aca="false">IFERROR(__xludf.dummyfunction("""COMPUTED_VALUE"""),160.5)</f>
        <v>160.5</v>
      </c>
      <c r="C1073" s="2" t="n">
        <f aca="false">IFERROR(__xludf.dummyfunction("""COMPUTED_VALUE"""),187.33)</f>
        <v>187.33</v>
      </c>
      <c r="D1073" s="2" t="n">
        <f aca="false">IFERROR(__xludf.dummyfunction("""COMPUTED_VALUE"""),157.51)</f>
        <v>157.51</v>
      </c>
      <c r="E1073" s="2" t="n">
        <f aca="false">IFERROR(__xludf.dummyfunction("""COMPUTED_VALUE"""),185.15)</f>
        <v>185.15</v>
      </c>
      <c r="F1073" s="2" t="n">
        <f aca="false">IFERROR(__xludf.dummyfunction("""COMPUTED_VALUE"""),72708307)</f>
        <v>72708307</v>
      </c>
    </row>
    <row r="1074" customFormat="false" ht="15.75" hidden="false" customHeight="false" outlineLevel="0" collapsed="false">
      <c r="A1074" s="3" t="n">
        <f aca="false">IFERROR(__xludf.dummyfunction("""COMPUTED_VALUE"""),45757.6666666667)</f>
        <v>45757.6666666667</v>
      </c>
      <c r="B1074" s="2" t="n">
        <f aca="false">IFERROR(__xludf.dummyfunction("""COMPUTED_VALUE"""),175.3)</f>
        <v>175.3</v>
      </c>
      <c r="C1074" s="2" t="n">
        <f aca="false">IFERROR(__xludf.dummyfunction("""COMPUTED_VALUE"""),176.95)</f>
        <v>176.95</v>
      </c>
      <c r="D1074" s="2" t="n">
        <f aca="false">IFERROR(__xludf.dummyfunction("""COMPUTED_VALUE"""),166.4)</f>
        <v>166.4</v>
      </c>
      <c r="E1074" s="2" t="n">
        <f aca="false">IFERROR(__xludf.dummyfunction("""COMPUTED_VALUE"""),172.3)</f>
        <v>172.3</v>
      </c>
      <c r="F1074" s="2" t="n">
        <f aca="false">IFERROR(__xludf.dummyfunction("""COMPUTED_VALUE"""),51212217)</f>
        <v>51212217</v>
      </c>
    </row>
    <row r="1075" customFormat="false" ht="15.75" hidden="false" customHeight="false" outlineLevel="0" collapsed="false">
      <c r="A1075" s="3" t="n">
        <f aca="false">IFERROR(__xludf.dummyfunction("""COMPUTED_VALUE"""),45758.6666666667)</f>
        <v>45758.6666666667</v>
      </c>
      <c r="B1075" s="2" t="n">
        <f aca="false">IFERROR(__xludf.dummyfunction("""COMPUTED_VALUE"""),173.62)</f>
        <v>173.62</v>
      </c>
      <c r="C1075" s="2" t="n">
        <f aca="false">IFERROR(__xludf.dummyfunction("""COMPUTED_VALUE"""),182.66)</f>
        <v>182.66</v>
      </c>
      <c r="D1075" s="2" t="n">
        <f aca="false">IFERROR(__xludf.dummyfunction("""COMPUTED_VALUE"""),173.31)</f>
        <v>173.31</v>
      </c>
      <c r="E1075" s="2" t="n">
        <f aca="false">IFERROR(__xludf.dummyfunction("""COMPUTED_VALUE"""),181.94)</f>
        <v>181.94</v>
      </c>
      <c r="F1075" s="2" t="n">
        <f aca="false">IFERROR(__xludf.dummyfunction("""COMPUTED_VALUE"""),33964143)</f>
        <v>33964143</v>
      </c>
    </row>
    <row r="1076" customFormat="false" ht="15.75" hidden="false" customHeight="false" outlineLevel="0" collapsed="false">
      <c r="A1076" s="3" t="n">
        <f aca="false">IFERROR(__xludf.dummyfunction("""COMPUTED_VALUE"""),45761.6666666667)</f>
        <v>45761.6666666667</v>
      </c>
      <c r="B1076" s="2" t="n">
        <f aca="false">IFERROR(__xludf.dummyfunction("""COMPUTED_VALUE"""),185.08)</f>
        <v>185.08</v>
      </c>
      <c r="C1076" s="2" t="n">
        <f aca="false">IFERROR(__xludf.dummyfunction("""COMPUTED_VALUE"""),186)</f>
        <v>186</v>
      </c>
      <c r="D1076" s="2" t="n">
        <f aca="false">IFERROR(__xludf.dummyfunction("""COMPUTED_VALUE"""),175.82)</f>
        <v>175.82</v>
      </c>
      <c r="E1076" s="2" t="n">
        <f aca="false">IFERROR(__xludf.dummyfunction("""COMPUTED_VALUE"""),178.36)</f>
        <v>178.36</v>
      </c>
      <c r="F1076" s="2" t="n">
        <f aca="false">IFERROR(__xludf.dummyfunction("""COMPUTED_VALUE"""),25748301)</f>
        <v>25748301</v>
      </c>
    </row>
    <row r="1077" customFormat="false" ht="15.75" hidden="false" customHeight="false" outlineLevel="0" collapsed="false">
      <c r="A1077" s="3" t="n">
        <f aca="false">IFERROR(__xludf.dummyfunction("""COMPUTED_VALUE"""),45762.6666666667)</f>
        <v>45762.6666666667</v>
      </c>
      <c r="B1077" s="2" t="n">
        <f aca="false">IFERROR(__xludf.dummyfunction("""COMPUTED_VALUE"""),179.73)</f>
        <v>179.73</v>
      </c>
      <c r="C1077" s="2" t="n">
        <f aca="false">IFERROR(__xludf.dummyfunction("""COMPUTED_VALUE"""),182.26)</f>
        <v>182.26</v>
      </c>
      <c r="D1077" s="2" t="n">
        <f aca="false">IFERROR(__xludf.dummyfunction("""COMPUTED_VALUE"""),178.08)</f>
        <v>178.08</v>
      </c>
      <c r="E1077" s="2" t="n">
        <f aca="false">IFERROR(__xludf.dummyfunction("""COMPUTED_VALUE"""),178.95)</f>
        <v>178.95</v>
      </c>
      <c r="F1077" s="2" t="n">
        <f aca="false">IFERROR(__xludf.dummyfunction("""COMPUTED_VALUE"""),17242350)</f>
        <v>17242350</v>
      </c>
    </row>
    <row r="1078" customFormat="false" ht="15.75" hidden="false" customHeight="false" outlineLevel="0" collapsed="false">
      <c r="A1078" s="3" t="n">
        <f aca="false">IFERROR(__xludf.dummyfunction("""COMPUTED_VALUE"""),45763.6666666667)</f>
        <v>45763.6666666667</v>
      </c>
      <c r="B1078" s="2" t="n">
        <f aca="false">IFERROR(__xludf.dummyfunction("""COMPUTED_VALUE"""),170.43)</f>
        <v>170.43</v>
      </c>
      <c r="C1078" s="2" t="n">
        <f aca="false">IFERROR(__xludf.dummyfunction("""COMPUTED_VALUE"""),176.08)</f>
        <v>176.08</v>
      </c>
      <c r="D1078" s="2" t="n">
        <f aca="false">IFERROR(__xludf.dummyfunction("""COMPUTED_VALUE"""),166.92)</f>
        <v>166.92</v>
      </c>
      <c r="E1078" s="2" t="n">
        <f aca="false">IFERROR(__xludf.dummyfunction("""COMPUTED_VALUE"""),174.61)</f>
        <v>174.61</v>
      </c>
      <c r="F1078" s="2" t="n">
        <f aca="false">IFERROR(__xludf.dummyfunction("""COMPUTED_VALUE"""),34638639)</f>
        <v>34638639</v>
      </c>
    </row>
    <row r="1079" customFormat="false" ht="15.75" hidden="false" customHeight="false" outlineLevel="0" collapsed="false">
      <c r="A1079" s="3" t="n">
        <f aca="false">IFERROR(__xludf.dummyfunction("""COMPUTED_VALUE"""),45764.6666666667)</f>
        <v>45764.6666666667</v>
      </c>
      <c r="B1079" s="2" t="n">
        <f aca="false">IFERROR(__xludf.dummyfunction("""COMPUTED_VALUE"""),176.25)</f>
        <v>176.25</v>
      </c>
      <c r="C1079" s="2" t="n">
        <f aca="false">IFERROR(__xludf.dummyfunction("""COMPUTED_VALUE"""),176.25)</f>
        <v>176.25</v>
      </c>
      <c r="D1079" s="2" t="n">
        <f aca="false">IFERROR(__xludf.dummyfunction("""COMPUTED_VALUE"""),169.92)</f>
        <v>169.92</v>
      </c>
      <c r="E1079" s="2" t="n">
        <f aca="false">IFERROR(__xludf.dummyfunction("""COMPUTED_VALUE"""),170.99)</f>
        <v>170.99</v>
      </c>
      <c r="F1079" s="2" t="n">
        <f aca="false">IFERROR(__xludf.dummyfunction("""COMPUTED_VALUE"""),22501785)</f>
        <v>22501785</v>
      </c>
    </row>
    <row r="1080" customFormat="false" ht="15.75" hidden="false" customHeight="false" outlineLevel="0" collapsed="false">
      <c r="A1080" s="3" t="n">
        <f aca="false">IFERROR(__xludf.dummyfunction("""COMPUTED_VALUE"""),45768.6666666667)</f>
        <v>45768.6666666667</v>
      </c>
      <c r="B1080" s="2" t="n">
        <f aca="false">IFERROR(__xludf.dummyfunction("""COMPUTED_VALUE"""),166.99)</f>
        <v>166.99</v>
      </c>
      <c r="C1080" s="2" t="n">
        <f aca="false">IFERROR(__xludf.dummyfunction("""COMPUTED_VALUE"""),168)</f>
        <v>168</v>
      </c>
      <c r="D1080" s="2" t="n">
        <f aca="false">IFERROR(__xludf.dummyfunction("""COMPUTED_VALUE"""),161.61)</f>
        <v>161.61</v>
      </c>
      <c r="E1080" s="2" t="n">
        <f aca="false">IFERROR(__xludf.dummyfunction("""COMPUTED_VALUE"""),166.21)</f>
        <v>166.21</v>
      </c>
      <c r="F1080" s="2" t="n">
        <f aca="false">IFERROR(__xludf.dummyfunction("""COMPUTED_VALUE"""),23469794)</f>
        <v>23469794</v>
      </c>
    </row>
    <row r="1081" customFormat="false" ht="15.75" hidden="false" customHeight="false" outlineLevel="0" collapsed="false">
      <c r="A1081" s="3" t="n">
        <f aca="false">IFERROR(__xludf.dummyfunction("""COMPUTED_VALUE"""),45769.6666666667)</f>
        <v>45769.6666666667</v>
      </c>
      <c r="B1081" s="2" t="n">
        <f aca="false">IFERROR(__xludf.dummyfunction("""COMPUTED_VALUE"""),167.43)</f>
        <v>167.43</v>
      </c>
      <c r="C1081" s="2" t="n">
        <f aca="false">IFERROR(__xludf.dummyfunction("""COMPUTED_VALUE"""),170.52)</f>
        <v>170.52</v>
      </c>
      <c r="D1081" s="2" t="n">
        <f aca="false">IFERROR(__xludf.dummyfunction("""COMPUTED_VALUE"""),165.22)</f>
        <v>165.22</v>
      </c>
      <c r="E1081" s="2" t="n">
        <f aca="false">IFERROR(__xludf.dummyfunction("""COMPUTED_VALUE"""),169.58)</f>
        <v>169.58</v>
      </c>
      <c r="F1081" s="2" t="n">
        <f aca="false">IFERROR(__xludf.dummyfunction("""COMPUTED_VALUE"""),18504860)</f>
        <v>18504860</v>
      </c>
    </row>
    <row r="1082" customFormat="false" ht="15.75" hidden="false" customHeight="false" outlineLevel="0" collapsed="false">
      <c r="A1082" s="3" t="n">
        <f aca="false">IFERROR(__xludf.dummyfunction("""COMPUTED_VALUE"""),45770.6666666667)</f>
        <v>45770.6666666667</v>
      </c>
      <c r="B1082" s="2" t="n">
        <f aca="false">IFERROR(__xludf.dummyfunction("""COMPUTED_VALUE"""),177.78)</f>
        <v>177.78</v>
      </c>
      <c r="C1082" s="2" t="n">
        <f aca="false">IFERROR(__xludf.dummyfunction("""COMPUTED_VALUE"""),180.45)</f>
        <v>180.45</v>
      </c>
      <c r="D1082" s="2" t="n">
        <f aca="false">IFERROR(__xludf.dummyfunction("""COMPUTED_VALUE"""),175.82)</f>
        <v>175.82</v>
      </c>
      <c r="E1082" s="2" t="n">
        <f aca="false">IFERROR(__xludf.dummyfunction("""COMPUTED_VALUE"""),176.91)</f>
        <v>176.91</v>
      </c>
      <c r="F1082" s="2" t="n">
        <f aca="false">IFERROR(__xludf.dummyfunction("""COMPUTED_VALUE"""),24380470)</f>
        <v>24380470</v>
      </c>
    </row>
    <row r="1083" customFormat="false" ht="15.75" hidden="false" customHeight="false" outlineLevel="0" collapsed="false">
      <c r="A1083" s="3" t="n">
        <f aca="false">IFERROR(__xludf.dummyfunction("""COMPUTED_VALUE"""),45771.6666666667)</f>
        <v>45771.6666666667</v>
      </c>
      <c r="B1083" s="2" t="n">
        <f aca="false">IFERROR(__xludf.dummyfunction("""COMPUTED_VALUE"""),179.69)</f>
        <v>179.69</v>
      </c>
      <c r="C1083" s="2" t="n">
        <f aca="false">IFERROR(__xludf.dummyfunction("""COMPUTED_VALUE"""),188.57)</f>
        <v>188.57</v>
      </c>
      <c r="D1083" s="2" t="n">
        <f aca="false">IFERROR(__xludf.dummyfunction("""COMPUTED_VALUE"""),178.3)</f>
        <v>178.3</v>
      </c>
      <c r="E1083" s="2" t="n">
        <f aca="false">IFERROR(__xludf.dummyfunction("""COMPUTED_VALUE"""),188.15)</f>
        <v>188.15</v>
      </c>
      <c r="F1083" s="2" t="n">
        <f aca="false">IFERROR(__xludf.dummyfunction("""COMPUTED_VALUE"""),27576900)</f>
        <v>27576900</v>
      </c>
    </row>
    <row r="1084" customFormat="false" ht="15.75" hidden="false" customHeight="false" outlineLevel="0" collapsed="false">
      <c r="A1084" s="3" t="n">
        <f aca="false">IFERROR(__xludf.dummyfunction("""COMPUTED_VALUE"""),45772.6666666667)</f>
        <v>45772.6666666667</v>
      </c>
      <c r="B1084" s="2" t="n">
        <f aca="false">IFERROR(__xludf.dummyfunction("""COMPUTED_VALUE"""),186.92)</f>
        <v>186.92</v>
      </c>
      <c r="C1084" s="2" t="n">
        <f aca="false">IFERROR(__xludf.dummyfunction("""COMPUTED_VALUE"""),193.37)</f>
        <v>193.37</v>
      </c>
      <c r="D1084" s="2" t="n">
        <f aca="false">IFERROR(__xludf.dummyfunction("""COMPUTED_VALUE"""),186.89)</f>
        <v>186.89</v>
      </c>
      <c r="E1084" s="2" t="n">
        <f aca="false">IFERROR(__xludf.dummyfunction("""COMPUTED_VALUE"""),192.31)</f>
        <v>192.31</v>
      </c>
      <c r="F1084" s="2" t="n">
        <f aca="false">IFERROR(__xludf.dummyfunction("""COMPUTED_VALUE"""),21242342)</f>
        <v>21242342</v>
      </c>
    </row>
    <row r="1085" customFormat="false" ht="15.75" hidden="false" customHeight="false" outlineLevel="0" collapsed="false">
      <c r="A1085" s="3" t="n">
        <f aca="false">IFERROR(__xludf.dummyfunction("""COMPUTED_VALUE"""),45775.6666666667)</f>
        <v>45775.6666666667</v>
      </c>
      <c r="B1085" s="2" t="n">
        <f aca="false">IFERROR(__xludf.dummyfunction("""COMPUTED_VALUE"""),190.53)</f>
        <v>190.53</v>
      </c>
      <c r="C1085" s="2" t="n">
        <f aca="false">IFERROR(__xludf.dummyfunction("""COMPUTED_VALUE"""),193.1)</f>
        <v>193.1</v>
      </c>
      <c r="D1085" s="2" t="n">
        <f aca="false">IFERROR(__xludf.dummyfunction("""COMPUTED_VALUE"""),187.68)</f>
        <v>187.68</v>
      </c>
      <c r="E1085" s="2" t="n">
        <f aca="false">IFERROR(__xludf.dummyfunction("""COMPUTED_VALUE"""),192.47)</f>
        <v>192.47</v>
      </c>
      <c r="F1085" s="2" t="n">
        <f aca="false">IFERROR(__xludf.dummyfunction("""COMPUTED_VALUE"""),16385846)</f>
        <v>16385846</v>
      </c>
    </row>
    <row r="1086" customFormat="false" ht="15.75" hidden="false" customHeight="false" outlineLevel="0" collapsed="false">
      <c r="A1086" s="3" t="n">
        <f aca="false">IFERROR(__xludf.dummyfunction("""COMPUTED_VALUE"""),45776.6666666667)</f>
        <v>45776.6666666667</v>
      </c>
      <c r="B1086" s="2" t="n">
        <f aca="false">IFERROR(__xludf.dummyfunction("""COMPUTED_VALUE"""),191.72)</f>
        <v>191.72</v>
      </c>
      <c r="C1086" s="2" t="n">
        <f aca="false">IFERROR(__xludf.dummyfunction("""COMPUTED_VALUE"""),193.25)</f>
        <v>193.25</v>
      </c>
      <c r="D1086" s="2" t="n">
        <f aca="false">IFERROR(__xludf.dummyfunction("""COMPUTED_VALUE"""),190.1)</f>
        <v>190.1</v>
      </c>
      <c r="E1086" s="2" t="n">
        <f aca="false">IFERROR(__xludf.dummyfunction("""COMPUTED_VALUE"""),191.17)</f>
        <v>191.17</v>
      </c>
      <c r="F1086" s="2" t="n">
        <f aca="false">IFERROR(__xludf.dummyfunction("""COMPUTED_VALUE"""),14630015)</f>
        <v>14630015</v>
      </c>
    </row>
    <row r="1087" customFormat="false" ht="15.75" hidden="false" customHeight="false" outlineLevel="0" collapsed="false">
      <c r="A1087" s="3" t="n">
        <f aca="false">IFERROR(__xludf.dummyfunction("""COMPUTED_VALUE"""),45777.6666666667)</f>
        <v>45777.6666666667</v>
      </c>
      <c r="B1087" s="2" t="n">
        <f aca="false">IFERROR(__xludf.dummyfunction("""COMPUTED_VALUE"""),185.9)</f>
        <v>185.9</v>
      </c>
      <c r="C1087" s="2" t="n">
        <f aca="false">IFERROR(__xludf.dummyfunction("""COMPUTED_VALUE"""),193.2)</f>
        <v>193.2</v>
      </c>
      <c r="D1087" s="2" t="n">
        <f aca="false">IFERROR(__xludf.dummyfunction("""COMPUTED_VALUE"""),184.02)</f>
        <v>184.02</v>
      </c>
      <c r="E1087" s="2" t="n">
        <f aca="false">IFERROR(__xludf.dummyfunction("""COMPUTED_VALUE"""),192.47)</f>
        <v>192.47</v>
      </c>
      <c r="F1087" s="2" t="n">
        <f aca="false">IFERROR(__xludf.dummyfunction("""COMPUTED_VALUE"""),22768862)</f>
        <v>22768862</v>
      </c>
    </row>
    <row r="1088" customFormat="false" ht="15.75" hidden="false" customHeight="false" outlineLevel="0" collapsed="false">
      <c r="A1088" s="3" t="n">
        <f aca="false">IFERROR(__xludf.dummyfunction("""COMPUTED_VALUE"""),45778.6666666667)</f>
        <v>45778.6666666667</v>
      </c>
      <c r="B1088" s="2" t="n">
        <f aca="false">IFERROR(__xludf.dummyfunction("""COMPUTED_VALUE"""),198.14)</f>
        <v>198.14</v>
      </c>
      <c r="C1088" s="2" t="n">
        <f aca="false">IFERROR(__xludf.dummyfunction("""COMPUTED_VALUE"""),201.4)</f>
        <v>201.4</v>
      </c>
      <c r="D1088" s="2" t="n">
        <f aca="false">IFERROR(__xludf.dummyfunction("""COMPUTED_VALUE"""),196.24)</f>
        <v>196.24</v>
      </c>
      <c r="E1088" s="2" t="n">
        <f aca="false">IFERROR(__xludf.dummyfunction("""COMPUTED_VALUE"""),197.33)</f>
        <v>197.33</v>
      </c>
      <c r="F1088" s="2" t="n">
        <f aca="false">IFERROR(__xludf.dummyfunction("""COMPUTED_VALUE"""),24939695)</f>
        <v>24939695</v>
      </c>
    </row>
    <row r="1089" customFormat="false" ht="15.75" hidden="false" customHeight="false" outlineLevel="0" collapsed="false">
      <c r="A1089" s="3" t="n">
        <f aca="false">IFERROR(__xludf.dummyfunction("""COMPUTED_VALUE"""),45779.6666666667)</f>
        <v>45779.6666666667</v>
      </c>
      <c r="B1089" s="2" t="n">
        <f aca="false">IFERROR(__xludf.dummyfunction("""COMPUTED_VALUE"""),203.9)</f>
        <v>203.9</v>
      </c>
      <c r="C1089" s="2" t="n">
        <f aca="false">IFERROR(__xludf.dummyfunction("""COMPUTED_VALUE"""),205.68)</f>
        <v>205.68</v>
      </c>
      <c r="D1089" s="2" t="n">
        <f aca="false">IFERROR(__xludf.dummyfunction("""COMPUTED_VALUE"""),201.08)</f>
        <v>201.08</v>
      </c>
      <c r="E1089" s="2" t="n">
        <f aca="false">IFERROR(__xludf.dummyfunction("""COMPUTED_VALUE"""),203.64)</f>
        <v>203.64</v>
      </c>
      <c r="F1089" s="2" t="n">
        <f aca="false">IFERROR(__xludf.dummyfunction("""COMPUTED_VALUE"""),17766751)</f>
        <v>17766751</v>
      </c>
    </row>
    <row r="1090" customFormat="false" ht="15.75" hidden="false" customHeight="false" outlineLevel="0" collapsed="false">
      <c r="A1090" s="3" t="n">
        <f aca="false">IFERROR(__xludf.dummyfunction("""COMPUTED_VALUE"""),45782.6666666667)</f>
        <v>45782.6666666667</v>
      </c>
      <c r="B1090" s="2" t="n">
        <f aca="false">IFERROR(__xludf.dummyfunction("""COMPUTED_VALUE"""),200.25)</f>
        <v>200.25</v>
      </c>
      <c r="C1090" s="2" t="n">
        <f aca="false">IFERROR(__xludf.dummyfunction("""COMPUTED_VALUE"""),203.23)</f>
        <v>203.23</v>
      </c>
      <c r="D1090" s="2" t="n">
        <f aca="false">IFERROR(__xludf.dummyfunction("""COMPUTED_VALUE"""),200)</f>
        <v>200</v>
      </c>
      <c r="E1090" s="2" t="n">
        <f aca="false">IFERROR(__xludf.dummyfunction("""COMPUTED_VALUE"""),200.72)</f>
        <v>200.72</v>
      </c>
      <c r="F1090" s="2" t="n">
        <f aca="false">IFERROR(__xludf.dummyfunction("""COMPUTED_VALUE"""),14025425)</f>
        <v>14025425</v>
      </c>
    </row>
    <row r="1091" customFormat="false" ht="15.75" hidden="false" customHeight="false" outlineLevel="0" collapsed="false">
      <c r="A1091" s="3" t="n">
        <f aca="false">IFERROR(__xludf.dummyfunction("""COMPUTED_VALUE"""),45783.6666666667)</f>
        <v>45783.6666666667</v>
      </c>
      <c r="B1091" s="2" t="n">
        <f aca="false">IFERROR(__xludf.dummyfunction("""COMPUTED_VALUE"""),196.44)</f>
        <v>196.44</v>
      </c>
      <c r="C1091" s="2" t="n">
        <f aca="false">IFERROR(__xludf.dummyfunction("""COMPUTED_VALUE"""),201.91)</f>
        <v>201.91</v>
      </c>
      <c r="D1091" s="2" t="n">
        <f aca="false">IFERROR(__xludf.dummyfunction("""COMPUTED_VALUE"""),195.94)</f>
        <v>195.94</v>
      </c>
      <c r="E1091" s="2" t="n">
        <f aca="false">IFERROR(__xludf.dummyfunction("""COMPUTED_VALUE"""),200.09)</f>
        <v>200.09</v>
      </c>
      <c r="F1091" s="2" t="n">
        <f aca="false">IFERROR(__xludf.dummyfunction("""COMPUTED_VALUE"""),16348806)</f>
        <v>16348806</v>
      </c>
    </row>
    <row r="1092" customFormat="false" ht="15.75" hidden="false" customHeight="false" outlineLevel="0" collapsed="false">
      <c r="A1092" s="3" t="n">
        <f aca="false">IFERROR(__xludf.dummyfunction("""COMPUTED_VALUE"""),45784.6666666667)</f>
        <v>45784.6666666667</v>
      </c>
      <c r="B1092" s="2" t="n">
        <f aca="false">IFERROR(__xludf.dummyfunction("""COMPUTED_VALUE"""),199.29)</f>
        <v>199.29</v>
      </c>
      <c r="C1092" s="2" t="n">
        <f aca="false">IFERROR(__xludf.dummyfunction("""COMPUTED_VALUE"""),206.23)</f>
        <v>206.23</v>
      </c>
      <c r="D1092" s="2" t="n">
        <f aca="false">IFERROR(__xludf.dummyfunction("""COMPUTED_VALUE"""),198.43)</f>
        <v>198.43</v>
      </c>
      <c r="E1092" s="2" t="n">
        <f aca="false">IFERROR(__xludf.dummyfunction("""COMPUTED_VALUE"""),204.81)</f>
        <v>204.81</v>
      </c>
      <c r="F1092" s="2" t="n">
        <f aca="false">IFERROR(__xludf.dummyfunction("""COMPUTED_VALUE"""),20277825)</f>
        <v>20277825</v>
      </c>
    </row>
    <row r="1093" customFormat="false" ht="15.75" hidden="false" customHeight="false" outlineLevel="0" collapsed="false">
      <c r="A1093" s="3" t="n">
        <f aca="false">IFERROR(__xludf.dummyfunction("""COMPUTED_VALUE"""),45785.6666666667)</f>
        <v>45785.6666666667</v>
      </c>
      <c r="B1093" s="2" t="n">
        <f aca="false">IFERROR(__xludf.dummyfunction("""COMPUTED_VALUE"""),208)</f>
        <v>208</v>
      </c>
      <c r="C1093" s="2" t="n">
        <f aca="false">IFERROR(__xludf.dummyfunction("""COMPUTED_VALUE"""),211.16)</f>
        <v>211.16</v>
      </c>
      <c r="D1093" s="2" t="n">
        <f aca="false">IFERROR(__xludf.dummyfunction("""COMPUTED_VALUE"""),203.69)</f>
        <v>203.69</v>
      </c>
      <c r="E1093" s="2" t="n">
        <f aca="false">IFERROR(__xludf.dummyfunction("""COMPUTED_VALUE"""),207.77)</f>
        <v>207.77</v>
      </c>
      <c r="F1093" s="2" t="n">
        <f aca="false">IFERROR(__xludf.dummyfunction("""COMPUTED_VALUE"""),18460929)</f>
        <v>18460929</v>
      </c>
    </row>
    <row r="1094" customFormat="false" ht="15.75" hidden="false" customHeight="false" outlineLevel="0" collapsed="false">
      <c r="A1094" s="3" t="n">
        <f aca="false">IFERROR(__xludf.dummyfunction("""COMPUTED_VALUE"""),45786.6666666667)</f>
        <v>45786.6666666667</v>
      </c>
      <c r="B1094" s="2" t="n">
        <f aca="false">IFERROR(__xludf.dummyfunction("""COMPUTED_VALUE"""),209.33)</f>
        <v>209.33</v>
      </c>
      <c r="C1094" s="2" t="n">
        <f aca="false">IFERROR(__xludf.dummyfunction("""COMPUTED_VALUE"""),209.96)</f>
        <v>209.96</v>
      </c>
      <c r="D1094" s="2" t="n">
        <f aca="false">IFERROR(__xludf.dummyfunction("""COMPUTED_VALUE"""),206.52)</f>
        <v>206.52</v>
      </c>
      <c r="E1094" s="2" t="n">
        <f aca="false">IFERROR(__xludf.dummyfunction("""COMPUTED_VALUE"""),208.2)</f>
        <v>208.2</v>
      </c>
      <c r="F1094" s="2" t="n">
        <f aca="false">IFERROR(__xludf.dummyfunction("""COMPUTED_VALUE"""),13289174)</f>
        <v>13289174</v>
      </c>
    </row>
    <row r="1095" customFormat="false" ht="15.75" hidden="false" customHeight="false" outlineLevel="0" collapsed="false">
      <c r="A1095" s="3" t="n">
        <f aca="false">IFERROR(__xludf.dummyfunction("""COMPUTED_VALUE"""),45789.6666666667)</f>
        <v>45789.6666666667</v>
      </c>
      <c r="B1095" s="2" t="n">
        <f aca="false">IFERROR(__xludf.dummyfunction("""COMPUTED_VALUE"""),219.49)</f>
        <v>219.49</v>
      </c>
      <c r="C1095" s="2" t="n">
        <f aca="false">IFERROR(__xludf.dummyfunction("""COMPUTED_VALUE"""),221.8)</f>
        <v>221.8</v>
      </c>
      <c r="D1095" s="2" t="n">
        <f aca="false">IFERROR(__xludf.dummyfunction("""COMPUTED_VALUE"""),215.88)</f>
        <v>215.88</v>
      </c>
      <c r="E1095" s="2" t="n">
        <f aca="false">IFERROR(__xludf.dummyfunction("""COMPUTED_VALUE"""),221.58)</f>
        <v>221.58</v>
      </c>
      <c r="F1095" s="2" t="n">
        <f aca="false">IFERROR(__xludf.dummyfunction("""COMPUTED_VALUE"""),25437672)</f>
        <v>25437672</v>
      </c>
    </row>
    <row r="1096" customFormat="false" ht="15.75" hidden="false" customHeight="false" outlineLevel="0" collapsed="false">
      <c r="A1096" s="3" t="n">
        <f aca="false">IFERROR(__xludf.dummyfunction("""COMPUTED_VALUE"""),45790.6666666667)</f>
        <v>45790.6666666667</v>
      </c>
      <c r="B1096" s="2" t="n">
        <f aca="false">IFERROR(__xludf.dummyfunction("""COMPUTED_VALUE"""),222)</f>
        <v>222</v>
      </c>
      <c r="C1096" s="2" t="n">
        <f aca="false">IFERROR(__xludf.dummyfunction("""COMPUTED_VALUE"""),235.28)</f>
        <v>235.28</v>
      </c>
      <c r="D1096" s="2" t="n">
        <f aca="false">IFERROR(__xludf.dummyfunction("""COMPUTED_VALUE"""),222)</f>
        <v>222</v>
      </c>
      <c r="E1096" s="2" t="n">
        <f aca="false">IFERROR(__xludf.dummyfunction("""COMPUTED_VALUE"""),232.42)</f>
        <v>232.42</v>
      </c>
      <c r="F1096" s="2" t="n">
        <f aca="false">IFERROR(__xludf.dummyfunction("""COMPUTED_VALUE"""),28790536)</f>
        <v>28790536</v>
      </c>
    </row>
    <row r="1097" customFormat="false" ht="15.75" hidden="false" customHeight="false" outlineLevel="0" collapsed="false">
      <c r="A1097" s="3" t="n">
        <f aca="false">IFERROR(__xludf.dummyfunction("""COMPUTED_VALUE"""),45791.6666666667)</f>
        <v>45791.6666666667</v>
      </c>
      <c r="B1097" s="2" t="n">
        <f aca="false">IFERROR(__xludf.dummyfunction("""COMPUTED_VALUE"""),230.23)</f>
        <v>230.23</v>
      </c>
      <c r="C1097" s="2" t="n">
        <f aca="false">IFERROR(__xludf.dummyfunction("""COMPUTED_VALUE"""),233.5)</f>
        <v>233.5</v>
      </c>
      <c r="D1097" s="2" t="n">
        <f aca="false">IFERROR(__xludf.dummyfunction("""COMPUTED_VALUE"""),228.35)</f>
        <v>228.35</v>
      </c>
      <c r="E1097" s="2" t="n">
        <f aca="false">IFERROR(__xludf.dummyfunction("""COMPUTED_VALUE"""),232.12)</f>
        <v>232.12</v>
      </c>
      <c r="F1097" s="2" t="n">
        <f aca="false">IFERROR(__xludf.dummyfunction("""COMPUTED_VALUE"""),19751445)</f>
        <v>19751445</v>
      </c>
    </row>
    <row r="1098" customFormat="false" ht="15.75" hidden="false" customHeight="false" outlineLevel="0" collapsed="false">
      <c r="A1098" s="3" t="n">
        <f aca="false">IFERROR(__xludf.dummyfunction("""COMPUTED_VALUE"""),45792.6666666667)</f>
        <v>45792.6666666667</v>
      </c>
      <c r="B1098" s="2" t="n">
        <f aca="false">IFERROR(__xludf.dummyfunction("""COMPUTED_VALUE"""),230.16)</f>
        <v>230.16</v>
      </c>
      <c r="C1098" s="2" t="n">
        <f aca="false">IFERROR(__xludf.dummyfunction("""COMPUTED_VALUE"""),234.46)</f>
        <v>234.46</v>
      </c>
      <c r="D1098" s="2" t="n">
        <f aca="false">IFERROR(__xludf.dummyfunction("""COMPUTED_VALUE"""),228.07)</f>
        <v>228.07</v>
      </c>
      <c r="E1098" s="2" t="n">
        <f aca="false">IFERROR(__xludf.dummyfunction("""COMPUTED_VALUE"""),232.64)</f>
        <v>232.64</v>
      </c>
      <c r="F1098" s="2" t="n">
        <f aca="false">IFERROR(__xludf.dummyfunction("""COMPUTED_VALUE"""),18803678)</f>
        <v>18803678</v>
      </c>
    </row>
    <row r="1099" customFormat="false" ht="15.75" hidden="false" customHeight="false" outlineLevel="0" collapsed="false">
      <c r="A1099" s="3" t="n">
        <f aca="false">IFERROR(__xludf.dummyfunction("""COMPUTED_VALUE"""),45793.6666666667)</f>
        <v>45793.6666666667</v>
      </c>
      <c r="B1099" s="2" t="n">
        <f aca="false">IFERROR(__xludf.dummyfunction("""COMPUTED_VALUE"""),232.32)</f>
        <v>232.32</v>
      </c>
      <c r="C1099" s="2" t="n">
        <f aca="false">IFERROR(__xludf.dummyfunction("""COMPUTED_VALUE"""),232.64)</f>
        <v>232.64</v>
      </c>
      <c r="D1099" s="2" t="n">
        <f aca="false">IFERROR(__xludf.dummyfunction("""COMPUTED_VALUE"""),226.39)</f>
        <v>226.39</v>
      </c>
      <c r="E1099" s="2" t="n">
        <f aca="false">IFERROR(__xludf.dummyfunction("""COMPUTED_VALUE"""),228.61)</f>
        <v>228.61</v>
      </c>
      <c r="F1099" s="2" t="n">
        <f aca="false">IFERROR(__xludf.dummyfunction("""COMPUTED_VALUE"""),23094606)</f>
        <v>23094606</v>
      </c>
    </row>
    <row r="1100" customFormat="false" ht="15.75" hidden="false" customHeight="false" outlineLevel="0" collapsed="false">
      <c r="A1100" s="3" t="n">
        <f aca="false">IFERROR(__xludf.dummyfunction("""COMPUTED_VALUE"""),45796.6666666667)</f>
        <v>45796.6666666667</v>
      </c>
      <c r="B1100" s="2" t="n">
        <f aca="false">IFERROR(__xludf.dummyfunction("""COMPUTED_VALUE"""),221.85)</f>
        <v>221.85</v>
      </c>
      <c r="C1100" s="2" t="n">
        <f aca="false">IFERROR(__xludf.dummyfunction("""COMPUTED_VALUE"""),231.25)</f>
        <v>231.25</v>
      </c>
      <c r="D1100" s="2" t="n">
        <f aca="false">IFERROR(__xludf.dummyfunction("""COMPUTED_VALUE"""),221.6)</f>
        <v>221.6</v>
      </c>
      <c r="E1100" s="2" t="n">
        <f aca="false">IFERROR(__xludf.dummyfunction("""COMPUTED_VALUE"""),230.63)</f>
        <v>230.63</v>
      </c>
      <c r="F1100" s="2" t="n">
        <f aca="false">IFERROR(__xludf.dummyfunction("""COMPUTED_VALUE"""),15355450)</f>
        <v>15355450</v>
      </c>
    </row>
    <row r="1101" customFormat="false" ht="15.75" hidden="false" customHeight="false" outlineLevel="0" collapsed="false">
      <c r="A1101" s="3" t="n">
        <f aca="false">IFERROR(__xludf.dummyfunction("""COMPUTED_VALUE"""),45797.6666666667)</f>
        <v>45797.6666666667</v>
      </c>
      <c r="B1101" s="2" t="n">
        <f aca="false">IFERROR(__xludf.dummyfunction("""COMPUTED_VALUE"""),226.49)</f>
        <v>226.49</v>
      </c>
      <c r="C1101" s="2" t="n">
        <f aca="false">IFERROR(__xludf.dummyfunction("""COMPUTED_VALUE"""),231.77)</f>
        <v>231.77</v>
      </c>
      <c r="D1101" s="2" t="n">
        <f aca="false">IFERROR(__xludf.dummyfunction("""COMPUTED_VALUE"""),226.34)</f>
        <v>226.34</v>
      </c>
      <c r="E1101" s="2" t="n">
        <f aca="false">IFERROR(__xludf.dummyfunction("""COMPUTED_VALUE"""),231.68)</f>
        <v>231.68</v>
      </c>
      <c r="F1101" s="2" t="n">
        <f aca="false">IFERROR(__xludf.dummyfunction("""COMPUTED_VALUE"""),11787156)</f>
        <v>11787156</v>
      </c>
    </row>
    <row r="1102" customFormat="false" ht="15.75" hidden="false" customHeight="false" outlineLevel="0" collapsed="false">
      <c r="A1102" s="3" t="n">
        <f aca="false">IFERROR(__xludf.dummyfunction("""COMPUTED_VALUE"""),45798.6666666667)</f>
        <v>45798.6666666667</v>
      </c>
      <c r="B1102" s="2" t="n">
        <f aca="false">IFERROR(__xludf.dummyfunction("""COMPUTED_VALUE"""),228.39)</f>
        <v>228.39</v>
      </c>
      <c r="C1102" s="2" t="n">
        <f aca="false">IFERROR(__xludf.dummyfunction("""COMPUTED_VALUE"""),236.5)</f>
        <v>236.5</v>
      </c>
      <c r="D1102" s="2" t="n">
        <f aca="false">IFERROR(__xludf.dummyfunction("""COMPUTED_VALUE"""),227.83)</f>
        <v>227.83</v>
      </c>
      <c r="E1102" s="2" t="n">
        <f aca="false">IFERROR(__xludf.dummyfunction("""COMPUTED_VALUE"""),229.73)</f>
        <v>229.73</v>
      </c>
      <c r="F1102" s="2" t="n">
        <f aca="false">IFERROR(__xludf.dummyfunction("""COMPUTED_VALUE"""),17642941)</f>
        <v>17642941</v>
      </c>
    </row>
    <row r="1103" customFormat="false" ht="15.75" hidden="false" customHeight="false" outlineLevel="0" collapsed="false">
      <c r="A1103" s="3" t="n">
        <f aca="false">IFERROR(__xludf.dummyfunction("""COMPUTED_VALUE"""),45799.6666666667)</f>
        <v>45799.6666666667</v>
      </c>
      <c r="B1103" s="2" t="n">
        <f aca="false">IFERROR(__xludf.dummyfunction("""COMPUTED_VALUE"""),228.34)</f>
        <v>228.34</v>
      </c>
      <c r="C1103" s="2" t="n">
        <f aca="false">IFERROR(__xludf.dummyfunction("""COMPUTED_VALUE"""),233.69)</f>
        <v>233.69</v>
      </c>
      <c r="D1103" s="2" t="n">
        <f aca="false">IFERROR(__xludf.dummyfunction("""COMPUTED_VALUE"""),227.43)</f>
        <v>227.43</v>
      </c>
      <c r="E1103" s="2" t="n">
        <f aca="false">IFERROR(__xludf.dummyfunction("""COMPUTED_VALUE"""),230.53)</f>
        <v>230.53</v>
      </c>
      <c r="F1103" s="2" t="n">
        <f aca="false">IFERROR(__xludf.dummyfunction("""COMPUTED_VALUE"""),14340230)</f>
        <v>14340230</v>
      </c>
    </row>
    <row r="1104" customFormat="false" ht="15.75" hidden="false" customHeight="false" outlineLevel="0" collapsed="false">
      <c r="A1104" s="3" t="n">
        <f aca="false">IFERROR(__xludf.dummyfunction("""COMPUTED_VALUE"""),45800.6666666667)</f>
        <v>45800.6666666667</v>
      </c>
      <c r="B1104" s="2" t="n">
        <f aca="false">IFERROR(__xludf.dummyfunction("""COMPUTED_VALUE"""),226.94)</f>
        <v>226.94</v>
      </c>
      <c r="C1104" s="2" t="n">
        <f aca="false">IFERROR(__xludf.dummyfunction("""COMPUTED_VALUE"""),230.65)</f>
        <v>230.65</v>
      </c>
      <c r="D1104" s="2" t="n">
        <f aca="false">IFERROR(__xludf.dummyfunction("""COMPUTED_VALUE"""),226.18)</f>
        <v>226.18</v>
      </c>
      <c r="E1104" s="2" t="n">
        <f aca="false">IFERROR(__xludf.dummyfunction("""COMPUTED_VALUE"""),228.72)</f>
        <v>228.72</v>
      </c>
      <c r="F1104" s="2" t="n">
        <f aca="false">IFERROR(__xludf.dummyfunction("""COMPUTED_VALUE"""),15385632)</f>
        <v>15385632</v>
      </c>
    </row>
    <row r="1105" customFormat="false" ht="15.75" hidden="false" customHeight="false" outlineLevel="0" collapsed="false">
      <c r="A1105" s="3" t="n">
        <f aca="false">IFERROR(__xludf.dummyfunction("""COMPUTED_VALUE"""),45804.6666666667)</f>
        <v>45804.6666666667</v>
      </c>
      <c r="B1105" s="2" t="n">
        <f aca="false">IFERROR(__xludf.dummyfunction("""COMPUTED_VALUE"""),232.87)</f>
        <v>232.87</v>
      </c>
      <c r="C1105" s="2" t="n">
        <f aca="false">IFERROR(__xludf.dummyfunction("""COMPUTED_VALUE"""),236.48)</f>
        <v>236.48</v>
      </c>
      <c r="D1105" s="2" t="n">
        <f aca="false">IFERROR(__xludf.dummyfunction("""COMPUTED_VALUE"""),231.13)</f>
        <v>231.13</v>
      </c>
      <c r="E1105" s="2" t="n">
        <f aca="false">IFERROR(__xludf.dummyfunction("""COMPUTED_VALUE"""),235.65)</f>
        <v>235.65</v>
      </c>
      <c r="F1105" s="2" t="n">
        <f aca="false">IFERROR(__xludf.dummyfunction("""COMPUTED_VALUE"""),17941668)</f>
        <v>17941668</v>
      </c>
    </row>
    <row r="1106" customFormat="false" ht="15.75" hidden="false" customHeight="false" outlineLevel="0" collapsed="false">
      <c r="A1106" s="3" t="n">
        <f aca="false">IFERROR(__xludf.dummyfunction("""COMPUTED_VALUE"""),45805.6666666667)</f>
        <v>45805.6666666667</v>
      </c>
      <c r="B1106" s="2" t="n">
        <f aca="false">IFERROR(__xludf.dummyfunction("""COMPUTED_VALUE"""),237.15)</f>
        <v>237.15</v>
      </c>
      <c r="C1106" s="2" t="n">
        <f aca="false">IFERROR(__xludf.dummyfunction("""COMPUTED_VALUE"""),240.99)</f>
        <v>240.99</v>
      </c>
      <c r="D1106" s="2" t="n">
        <f aca="false">IFERROR(__xludf.dummyfunction("""COMPUTED_VALUE"""),234.43)</f>
        <v>234.43</v>
      </c>
      <c r="E1106" s="2" t="n">
        <f aca="false">IFERROR(__xludf.dummyfunction("""COMPUTED_VALUE"""),239.43)</f>
        <v>239.43</v>
      </c>
      <c r="F1106" s="2" t="n">
        <f aca="false">IFERROR(__xludf.dummyfunction("""COMPUTED_VALUE"""),20443004)</f>
        <v>20443004</v>
      </c>
    </row>
    <row r="1107" customFormat="false" ht="15.75" hidden="false" customHeight="false" outlineLevel="0" collapsed="false">
      <c r="A1107" s="3" t="n">
        <f aca="false">IFERROR(__xludf.dummyfunction("""COMPUTED_VALUE"""),45806.6666666667)</f>
        <v>45806.6666666667</v>
      </c>
      <c r="B1107" s="2" t="n">
        <f aca="false">IFERROR(__xludf.dummyfunction("""COMPUTED_VALUE"""),245.91)</f>
        <v>245.91</v>
      </c>
      <c r="C1107" s="2" t="n">
        <f aca="false">IFERROR(__xludf.dummyfunction("""COMPUTED_VALUE"""),246.07)</f>
        <v>246.07</v>
      </c>
      <c r="D1107" s="2" t="n">
        <f aca="false">IFERROR(__xludf.dummyfunction("""COMPUTED_VALUE"""),237.4)</f>
        <v>237.4</v>
      </c>
      <c r="E1107" s="2" t="n">
        <f aca="false">IFERROR(__xludf.dummyfunction("""COMPUTED_VALUE"""),241.97)</f>
        <v>241.97</v>
      </c>
      <c r="F1107" s="2" t="n">
        <f aca="false">IFERROR(__xludf.dummyfunction("""COMPUTED_VALUE"""),20768031)</f>
        <v>20768031</v>
      </c>
    </row>
    <row r="1108" customFormat="false" ht="15.75" hidden="false" customHeight="false" outlineLevel="0" collapsed="false">
      <c r="A1108" s="3" t="n">
        <f aca="false">IFERROR(__xludf.dummyfunction("""COMPUTED_VALUE"""),45807.6666666667)</f>
        <v>45807.6666666667</v>
      </c>
      <c r="B1108" s="2" t="n">
        <f aca="false">IFERROR(__xludf.dummyfunction("""COMPUTED_VALUE"""),241.22)</f>
        <v>241.22</v>
      </c>
      <c r="C1108" s="2" t="n">
        <f aca="false">IFERROR(__xludf.dummyfunction("""COMPUTED_VALUE"""),243.17)</f>
        <v>243.17</v>
      </c>
      <c r="D1108" s="2" t="n">
        <f aca="false">IFERROR(__xludf.dummyfunction("""COMPUTED_VALUE"""),234.9)</f>
        <v>234.9</v>
      </c>
      <c r="E1108" s="2" t="n">
        <f aca="false">IFERROR(__xludf.dummyfunction("""COMPUTED_VALUE"""),242.07)</f>
        <v>242.07</v>
      </c>
      <c r="F1108" s="2" t="n">
        <f aca="false">IFERROR(__xludf.dummyfunction("""COMPUTED_VALUE"""),27088559)</f>
        <v>27088559</v>
      </c>
    </row>
    <row r="1109" customFormat="false" ht="15.75" hidden="false" customHeight="false" outlineLevel="0" collapsed="false">
      <c r="A1109" s="3" t="n">
        <f aca="false">IFERROR(__xludf.dummyfunction("""COMPUTED_VALUE"""),45810.6666666667)</f>
        <v>45810.6666666667</v>
      </c>
      <c r="B1109" s="2" t="n">
        <f aca="false">IFERROR(__xludf.dummyfunction("""COMPUTED_VALUE"""),243.25)</f>
        <v>243.25</v>
      </c>
      <c r="C1109" s="2" t="n">
        <f aca="false">IFERROR(__xludf.dummyfunction("""COMPUTED_VALUE"""),250)</f>
        <v>250</v>
      </c>
      <c r="D1109" s="2" t="n">
        <f aca="false">IFERROR(__xludf.dummyfunction("""COMPUTED_VALUE"""),243.19)</f>
        <v>243.19</v>
      </c>
      <c r="E1109" s="2" t="n">
        <f aca="false">IFERROR(__xludf.dummyfunction("""COMPUTED_VALUE"""),248.71)</f>
        <v>248.71</v>
      </c>
      <c r="F1109" s="2" t="n">
        <f aca="false">IFERROR(__xludf.dummyfunction("""COMPUTED_VALUE"""),19197009)</f>
        <v>19197009</v>
      </c>
    </row>
    <row r="1110" customFormat="false" ht="15.75" hidden="false" customHeight="false" outlineLevel="0" collapsed="false">
      <c r="A1110" s="3" t="n">
        <f aca="false">IFERROR(__xludf.dummyfunction("""COMPUTED_VALUE"""),45811.6666666667)</f>
        <v>45811.6666666667</v>
      </c>
      <c r="B1110" s="2" t="n">
        <f aca="false">IFERROR(__xludf.dummyfunction("""COMPUTED_VALUE"""),250.08)</f>
        <v>250.08</v>
      </c>
      <c r="C1110" s="2" t="n">
        <f aca="false">IFERROR(__xludf.dummyfunction("""COMPUTED_VALUE"""),257.88)</f>
        <v>257.88</v>
      </c>
      <c r="D1110" s="2" t="n">
        <f aca="false">IFERROR(__xludf.dummyfunction("""COMPUTED_VALUE"""),249.4)</f>
        <v>249.4</v>
      </c>
      <c r="E1110" s="2" t="n">
        <f aca="false">IFERROR(__xludf.dummyfunction("""COMPUTED_VALUE"""),256.85)</f>
        <v>256.85</v>
      </c>
      <c r="F1110" s="2" t="n">
        <f aca="false">IFERROR(__xludf.dummyfunction("""COMPUTED_VALUE"""),30380248)</f>
        <v>30380248</v>
      </c>
    </row>
    <row r="1111" customFormat="false" ht="15.75" hidden="false" customHeight="false" outlineLevel="0" collapsed="false">
      <c r="A1111" s="3" t="n">
        <f aca="false">IFERROR(__xludf.dummyfunction("""COMPUTED_VALUE"""),45812.6666666667)</f>
        <v>45812.6666666667</v>
      </c>
      <c r="B1111" s="2" t="n">
        <f aca="false">IFERROR(__xludf.dummyfunction("""COMPUTED_VALUE"""),258.06)</f>
        <v>258.06</v>
      </c>
      <c r="C1111" s="2" t="n">
        <f aca="false">IFERROR(__xludf.dummyfunction("""COMPUTED_VALUE"""),265.43)</f>
        <v>265.43</v>
      </c>
      <c r="D1111" s="2" t="n">
        <f aca="false">IFERROR(__xludf.dummyfunction("""COMPUTED_VALUE"""),257.59)</f>
        <v>257.59</v>
      </c>
      <c r="E1111" s="2" t="n">
        <f aca="false">IFERROR(__xludf.dummyfunction("""COMPUTED_VALUE"""),261.08)</f>
        <v>261.08</v>
      </c>
      <c r="F1111" s="2" t="n">
        <f aca="false">IFERROR(__xludf.dummyfunction("""COMPUTED_VALUE"""),31536047)</f>
        <v>31536047</v>
      </c>
    </row>
    <row r="1112" customFormat="false" ht="15.75" hidden="false" customHeight="false" outlineLevel="0" collapsed="false">
      <c r="A1112" s="3" t="n">
        <f aca="false">IFERROR(__xludf.dummyfunction("""COMPUTED_VALUE"""),45813.6666666667)</f>
        <v>45813.6666666667</v>
      </c>
      <c r="B1112" s="2" t="n">
        <f aca="false">IFERROR(__xludf.dummyfunction("""COMPUTED_VALUE"""),262.95)</f>
        <v>262.95</v>
      </c>
      <c r="C1112" s="2" t="n">
        <f aca="false">IFERROR(__xludf.dummyfunction("""COMPUTED_VALUE"""),264.89)</f>
        <v>264.89</v>
      </c>
      <c r="D1112" s="2" t="n">
        <f aca="false">IFERROR(__xludf.dummyfunction("""COMPUTED_VALUE"""),259.06)</f>
        <v>259.06</v>
      </c>
      <c r="E1112" s="2" t="n">
        <f aca="false">IFERROR(__xludf.dummyfunction("""COMPUTED_VALUE"""),259.93)</f>
        <v>259.93</v>
      </c>
      <c r="F1112" s="2" t="n">
        <f aca="false">IFERROR(__xludf.dummyfunction("""COMPUTED_VALUE"""),42334079)</f>
        <v>42334079</v>
      </c>
    </row>
    <row r="1113" customFormat="false" ht="15.75" hidden="false" customHeight="false" outlineLevel="0" collapsed="false">
      <c r="A1113" s="3" t="n">
        <f aca="false">IFERROR(__xludf.dummyfunction("""COMPUTED_VALUE"""),45814.6666666667)</f>
        <v>45814.6666666667</v>
      </c>
      <c r="B1113" s="2" t="n">
        <f aca="false">IFERROR(__xludf.dummyfunction("""COMPUTED_VALUE"""),251.14)</f>
        <v>251.14</v>
      </c>
      <c r="C1113" s="2" t="n">
        <f aca="false">IFERROR(__xludf.dummyfunction("""COMPUTED_VALUE"""),255.32)</f>
        <v>255.32</v>
      </c>
      <c r="D1113" s="2" t="n">
        <f aca="false">IFERROR(__xludf.dummyfunction("""COMPUTED_VALUE"""),246.13)</f>
        <v>246.13</v>
      </c>
      <c r="E1113" s="2" t="n">
        <f aca="false">IFERROR(__xludf.dummyfunction("""COMPUTED_VALUE"""),246.93)</f>
        <v>246.93</v>
      </c>
      <c r="F1113" s="2" t="n">
        <f aca="false">IFERROR(__xludf.dummyfunction("""COMPUTED_VALUE"""),41146653)</f>
        <v>41146653</v>
      </c>
    </row>
    <row r="1114" customFormat="false" ht="15.75" hidden="false" customHeight="false" outlineLevel="0" collapsed="false">
      <c r="A1114" s="3" t="n">
        <f aca="false">IFERROR(__xludf.dummyfunction("""COMPUTED_VALUE"""),45817.6666666667)</f>
        <v>45817.6666666667</v>
      </c>
      <c r="B1114" s="2" t="n">
        <f aca="false">IFERROR(__xludf.dummyfunction("""COMPUTED_VALUE"""),245.05)</f>
        <v>245.05</v>
      </c>
      <c r="C1114" s="2" t="n">
        <f aca="false">IFERROR(__xludf.dummyfunction("""COMPUTED_VALUE"""),248.17)</f>
        <v>248.17</v>
      </c>
      <c r="D1114" s="2" t="n">
        <f aca="false">IFERROR(__xludf.dummyfunction("""COMPUTED_VALUE"""),241.11)</f>
        <v>241.11</v>
      </c>
      <c r="E1114" s="2" t="n">
        <f aca="false">IFERROR(__xludf.dummyfunction("""COMPUTED_VALUE"""),244.28)</f>
        <v>244.28</v>
      </c>
      <c r="F1114" s="2" t="n">
        <f aca="false">IFERROR(__xludf.dummyfunction("""COMPUTED_VALUE"""),25334081)</f>
        <v>25334081</v>
      </c>
    </row>
    <row r="1115" customFormat="false" ht="15.75" hidden="false" customHeight="false" outlineLevel="0" collapsed="false">
      <c r="A1115" s="3" t="n">
        <f aca="false">IFERROR(__xludf.dummyfunction("""COMPUTED_VALUE"""),45818.6666666667)</f>
        <v>45818.6666666667</v>
      </c>
      <c r="B1115" s="2" t="n">
        <f aca="false">IFERROR(__xludf.dummyfunction("""COMPUTED_VALUE"""),244.22)</f>
        <v>244.22</v>
      </c>
      <c r="C1115" s="2" t="n">
        <f aca="false">IFERROR(__xludf.dummyfunction("""COMPUTED_VALUE"""),246.28)</f>
        <v>246.28</v>
      </c>
      <c r="D1115" s="2" t="n">
        <f aca="false">IFERROR(__xludf.dummyfunction("""COMPUTED_VALUE"""),241.4)</f>
        <v>241.4</v>
      </c>
      <c r="E1115" s="2" t="n">
        <f aca="false">IFERROR(__xludf.dummyfunction("""COMPUTED_VALUE"""),244.63)</f>
        <v>244.63</v>
      </c>
      <c r="F1115" s="2" t="n">
        <f aca="false">IFERROR(__xludf.dummyfunction("""COMPUTED_VALUE"""),25491286)</f>
        <v>25491286</v>
      </c>
    </row>
    <row r="1116" customFormat="false" ht="15.75" hidden="false" customHeight="false" outlineLevel="0" collapsed="false">
      <c r="A1116" s="3" t="n">
        <f aca="false">IFERROR(__xludf.dummyfunction("""COMPUTED_VALUE"""),45819.6666666667)</f>
        <v>45819.6666666667</v>
      </c>
      <c r="B1116" s="2" t="n">
        <f aca="false">IFERROR(__xludf.dummyfunction("""COMPUTED_VALUE"""),246.36)</f>
        <v>246.36</v>
      </c>
      <c r="C1116" s="2" t="n">
        <f aca="false">IFERROR(__xludf.dummyfunction("""COMPUTED_VALUE"""),254.77)</f>
        <v>254.77</v>
      </c>
      <c r="D1116" s="2" t="n">
        <f aca="false">IFERROR(__xludf.dummyfunction("""COMPUTED_VALUE"""),243.8)</f>
        <v>243.8</v>
      </c>
      <c r="E1116" s="2" t="n">
        <f aca="false">IFERROR(__xludf.dummyfunction("""COMPUTED_VALUE"""),252.91)</f>
        <v>252.91</v>
      </c>
      <c r="F1116" s="2" t="n">
        <f aca="false">IFERROR(__xludf.dummyfunction("""COMPUTED_VALUE"""),24598987)</f>
        <v>24598987</v>
      </c>
    </row>
    <row r="1117" customFormat="false" ht="15.75" hidden="false" customHeight="false" outlineLevel="0" collapsed="false">
      <c r="A1117" s="3" t="n">
        <f aca="false">IFERROR(__xludf.dummyfunction("""COMPUTED_VALUE"""),45820.6666666667)</f>
        <v>45820.6666666667</v>
      </c>
      <c r="B1117" s="2" t="n">
        <f aca="false">IFERROR(__xludf.dummyfunction("""COMPUTED_VALUE"""),250.19)</f>
        <v>250.19</v>
      </c>
      <c r="C1117" s="2" t="n">
        <f aca="false">IFERROR(__xludf.dummyfunction("""COMPUTED_VALUE"""),257.89)</f>
        <v>257.89</v>
      </c>
      <c r="D1117" s="2" t="n">
        <f aca="false">IFERROR(__xludf.dummyfunction("""COMPUTED_VALUE"""),249.5)</f>
        <v>249.5</v>
      </c>
      <c r="E1117" s="2" t="n">
        <f aca="false">IFERROR(__xludf.dummyfunction("""COMPUTED_VALUE"""),256.07)</f>
        <v>256.07</v>
      </c>
      <c r="F1117" s="2" t="n">
        <f aca="false">IFERROR(__xludf.dummyfunction("""COMPUTED_VALUE"""),20410901)</f>
        <v>20410901</v>
      </c>
    </row>
    <row r="1118" customFormat="false" ht="15.75" hidden="false" customHeight="false" outlineLevel="0" collapsed="false">
      <c r="A1118" s="3" t="n">
        <f aca="false">IFERROR(__xludf.dummyfunction("""COMPUTED_VALUE"""),45821.6666666667)</f>
        <v>45821.6666666667</v>
      </c>
      <c r="B1118" s="2" t="n">
        <f aca="false">IFERROR(__xludf.dummyfunction("""COMPUTED_VALUE"""),250.66)</f>
        <v>250.66</v>
      </c>
      <c r="C1118" s="2" t="n">
        <f aca="false">IFERROR(__xludf.dummyfunction("""COMPUTED_VALUE"""),254)</f>
        <v>254</v>
      </c>
      <c r="D1118" s="2" t="n">
        <f aca="false">IFERROR(__xludf.dummyfunction("""COMPUTED_VALUE"""),248.35)</f>
        <v>248.35</v>
      </c>
      <c r="E1118" s="2" t="n">
        <f aca="false">IFERROR(__xludf.dummyfunction("""COMPUTED_VALUE"""),248.7)</f>
        <v>248.7</v>
      </c>
      <c r="F1118" s="2" t="n">
        <f aca="false">IFERROR(__xludf.dummyfunction("""COMPUTED_VALUE"""),19028440)</f>
        <v>19028440</v>
      </c>
    </row>
    <row r="1119" customFormat="false" ht="15.75" hidden="false" customHeight="false" outlineLevel="0" collapsed="false">
      <c r="A1119" s="3" t="n">
        <f aca="false">IFERROR(__xludf.dummyfunction("""COMPUTED_VALUE"""),45824.6666666667)</f>
        <v>45824.6666666667</v>
      </c>
      <c r="B1119" s="2" t="n">
        <f aca="false">IFERROR(__xludf.dummyfunction("""COMPUTED_VALUE"""),250.35)</f>
        <v>250.35</v>
      </c>
      <c r="C1119" s="2" t="n">
        <f aca="false">IFERROR(__xludf.dummyfunction("""COMPUTED_VALUE"""),255.19)</f>
        <v>255.19</v>
      </c>
      <c r="D1119" s="2" t="n">
        <f aca="false">IFERROR(__xludf.dummyfunction("""COMPUTED_VALUE"""),249.57)</f>
        <v>249.57</v>
      </c>
      <c r="E1119" s="2" t="n">
        <f aca="false">IFERROR(__xludf.dummyfunction("""COMPUTED_VALUE"""),252.1)</f>
        <v>252.1</v>
      </c>
      <c r="F1119" s="2" t="n">
        <f aca="false">IFERROR(__xludf.dummyfunction("""COMPUTED_VALUE"""),20363010)</f>
        <v>20363010</v>
      </c>
    </row>
    <row r="1120" customFormat="false" ht="15.75" hidden="false" customHeight="false" outlineLevel="0" collapsed="false">
      <c r="A1120" s="3" t="n">
        <f aca="false">IFERROR(__xludf.dummyfunction("""COMPUTED_VALUE"""),45825.6666666667)</f>
        <v>45825.6666666667</v>
      </c>
      <c r="B1120" s="2" t="n">
        <f aca="false">IFERROR(__xludf.dummyfunction("""COMPUTED_VALUE"""),250.95)</f>
        <v>250.95</v>
      </c>
      <c r="C1120" s="2" t="n">
        <f aca="false">IFERROR(__xludf.dummyfunction("""COMPUTED_VALUE"""),253.96)</f>
        <v>253.96</v>
      </c>
      <c r="D1120" s="2" t="n">
        <f aca="false">IFERROR(__xludf.dummyfunction("""COMPUTED_VALUE"""),247.92)</f>
        <v>247.92</v>
      </c>
      <c r="E1120" s="2" t="n">
        <f aca="false">IFERROR(__xludf.dummyfunction("""COMPUTED_VALUE"""),249.37)</f>
        <v>249.37</v>
      </c>
      <c r="F1120" s="2" t="n">
        <f aca="false">IFERROR(__xludf.dummyfunction("""COMPUTED_VALUE"""),22014312)</f>
        <v>22014312</v>
      </c>
    </row>
    <row r="1121" customFormat="false" ht="15.75" hidden="false" customHeight="false" outlineLevel="0" collapsed="false">
      <c r="A1121" s="3" t="n">
        <f aca="false">IFERROR(__xludf.dummyfunction("""COMPUTED_VALUE"""),45826.6666666667)</f>
        <v>45826.6666666667</v>
      </c>
      <c r="B1121" s="2" t="n">
        <f aca="false">IFERROR(__xludf.dummyfunction("""COMPUTED_VALUE"""),250.89)</f>
        <v>250.89</v>
      </c>
      <c r="C1121" s="2" t="n">
        <f aca="false">IFERROR(__xludf.dummyfunction("""COMPUTED_VALUE"""),255.64)</f>
        <v>255.64</v>
      </c>
      <c r="D1121" s="2" t="n">
        <f aca="false">IFERROR(__xludf.dummyfunction("""COMPUTED_VALUE"""),249.41)</f>
        <v>249.41</v>
      </c>
      <c r="E1121" s="2" t="n">
        <f aca="false">IFERROR(__xludf.dummyfunction("""COMPUTED_VALUE"""),251.26)</f>
        <v>251.26</v>
      </c>
      <c r="F1121" s="2" t="n">
        <f aca="false">IFERROR(__xludf.dummyfunction("""COMPUTED_VALUE"""),30435494)</f>
        <v>30435494</v>
      </c>
    </row>
    <row r="1122" customFormat="false" ht="15.75" hidden="false" customHeight="false" outlineLevel="0" collapsed="false">
      <c r="A1122" s="3" t="n">
        <f aca="false">IFERROR(__xludf.dummyfunction("""COMPUTED_VALUE"""),45828.6666666667)</f>
        <v>45828.6666666667</v>
      </c>
      <c r="B1122" s="2" t="n">
        <f aca="false">IFERROR(__xludf.dummyfunction("""COMPUTED_VALUE"""),253.21)</f>
        <v>253.21</v>
      </c>
      <c r="C1122" s="2" t="n">
        <f aca="false">IFERROR(__xludf.dummyfunction("""COMPUTED_VALUE"""),253.52)</f>
        <v>253.52</v>
      </c>
      <c r="D1122" s="2" t="n">
        <f aca="false">IFERROR(__xludf.dummyfunction("""COMPUTED_VALUE"""),244.17)</f>
        <v>244.17</v>
      </c>
      <c r="E1122" s="2" t="n">
        <f aca="false">IFERROR(__xludf.dummyfunction("""COMPUTED_VALUE"""),249.99)</f>
        <v>249.99</v>
      </c>
      <c r="F1122" s="2" t="n">
        <f aca="false">IFERROR(__xludf.dummyfunction("""COMPUTED_VALUE"""),42134900)</f>
        <v>42134900</v>
      </c>
    </row>
    <row r="1123" customFormat="false" ht="15.75" hidden="false" customHeight="false" outlineLevel="0" collapsed="false">
      <c r="A1123" s="3" t="n">
        <f aca="false">IFERROR(__xludf.dummyfunction("""COMPUTED_VALUE"""),45831.6666666667)</f>
        <v>45831.6666666667</v>
      </c>
      <c r="B1123" s="2" t="n">
        <f aca="false">IFERROR(__xludf.dummyfunction("""COMPUTED_VALUE"""),249.11)</f>
        <v>249.11</v>
      </c>
      <c r="C1123" s="2" t="n">
        <f aca="false">IFERROR(__xludf.dummyfunction("""COMPUTED_VALUE"""),254.21)</f>
        <v>254.21</v>
      </c>
      <c r="D1123" s="2" t="n">
        <f aca="false">IFERROR(__xludf.dummyfunction("""COMPUTED_VALUE"""),246.46)</f>
        <v>246.46</v>
      </c>
      <c r="E1123" s="2" t="n">
        <f aca="false">IFERROR(__xludf.dummyfunction("""COMPUTED_VALUE"""),253.77)</f>
        <v>253.77</v>
      </c>
      <c r="F1123" s="2" t="n">
        <f aca="false">IFERROR(__xludf.dummyfunction("""COMPUTED_VALUE"""),19747034)</f>
        <v>19747034</v>
      </c>
    </row>
    <row r="1124" customFormat="false" ht="15.75" hidden="false" customHeight="false" outlineLevel="0" collapsed="false">
      <c r="A1124" s="3" t="n">
        <f aca="false">IFERROR(__xludf.dummyfunction("""COMPUTED_VALUE"""),45832.6666666667)</f>
        <v>45832.6666666667</v>
      </c>
      <c r="B1124" s="2" t="n">
        <f aca="false">IFERROR(__xludf.dummyfunction("""COMPUTED_VALUE"""),258.77)</f>
        <v>258.77</v>
      </c>
      <c r="C1124" s="2" t="n">
        <f aca="false">IFERROR(__xludf.dummyfunction("""COMPUTED_VALUE"""),265.87)</f>
        <v>265.87</v>
      </c>
      <c r="D1124" s="2" t="n">
        <f aca="false">IFERROR(__xludf.dummyfunction("""COMPUTED_VALUE"""),258.77)</f>
        <v>258.77</v>
      </c>
      <c r="E1124" s="2" t="n">
        <f aca="false">IFERROR(__xludf.dummyfunction("""COMPUTED_VALUE"""),263.77)</f>
        <v>263.77</v>
      </c>
      <c r="F1124" s="2" t="n">
        <f aca="false">IFERROR(__xludf.dummyfunction("""COMPUTED_VALUE"""),32764864)</f>
        <v>32764864</v>
      </c>
    </row>
    <row r="1125" customFormat="false" ht="15.75" hidden="false" customHeight="false" outlineLevel="0" collapsed="false">
      <c r="A1125" s="3" t="n">
        <f aca="false">IFERROR(__xludf.dummyfunction("""COMPUTED_VALUE"""),45833.6666666667)</f>
        <v>45833.6666666667</v>
      </c>
      <c r="B1125" s="2" t="n">
        <f aca="false">IFERROR(__xludf.dummyfunction("""COMPUTED_VALUE"""),266)</f>
        <v>266</v>
      </c>
      <c r="C1125" s="2" t="n">
        <f aca="false">IFERROR(__xludf.dummyfunction("""COMPUTED_VALUE"""),269.87)</f>
        <v>269.87</v>
      </c>
      <c r="D1125" s="2" t="n">
        <f aca="false">IFERROR(__xludf.dummyfunction("""COMPUTED_VALUE"""),263.43)</f>
        <v>263.43</v>
      </c>
      <c r="E1125" s="2" t="n">
        <f aca="false">IFERROR(__xludf.dummyfunction("""COMPUTED_VALUE"""),264.65)</f>
        <v>264.65</v>
      </c>
      <c r="F1125" s="2" t="n">
        <f aca="false">IFERROR(__xludf.dummyfunction("""COMPUTED_VALUE"""),18894163)</f>
        <v>18894163</v>
      </c>
    </row>
    <row r="1126" customFormat="false" ht="15.75" hidden="false" customHeight="false" outlineLevel="0" collapsed="false">
      <c r="A1126" s="3" t="n">
        <f aca="false">IFERROR(__xludf.dummyfunction("""COMPUTED_VALUE"""),45834.6666666667)</f>
        <v>45834.6666666667</v>
      </c>
      <c r="B1126" s="2" t="n">
        <f aca="false">IFERROR(__xludf.dummyfunction("""COMPUTED_VALUE"""),265.08)</f>
        <v>265.08</v>
      </c>
      <c r="C1126" s="2" t="n">
        <f aca="false">IFERROR(__xludf.dummyfunction("""COMPUTED_VALUE"""),271.67)</f>
        <v>271.67</v>
      </c>
      <c r="D1126" s="2" t="n">
        <f aca="false">IFERROR(__xludf.dummyfunction("""COMPUTED_VALUE"""),264.13)</f>
        <v>264.13</v>
      </c>
      <c r="E1126" s="2" t="n">
        <f aca="false">IFERROR(__xludf.dummyfunction("""COMPUTED_VALUE"""),270.17)</f>
        <v>270.17</v>
      </c>
      <c r="F1126" s="2" t="n">
        <f aca="false">IFERROR(__xludf.dummyfunction("""COMPUTED_VALUE"""),23569585)</f>
        <v>23569585</v>
      </c>
    </row>
    <row r="1127" customFormat="false" ht="15.75" hidden="false" customHeight="false" outlineLevel="0" collapsed="false">
      <c r="A1127" s="3" t="n">
        <f aca="false">IFERROR(__xludf.dummyfunction("""COMPUTED_VALUE"""),45835.6666666667)</f>
        <v>45835.6666666667</v>
      </c>
      <c r="B1127" s="2" t="n">
        <f aca="false">IFERROR(__xludf.dummyfunction("""COMPUTED_VALUE"""),270.3)</f>
        <v>270.3</v>
      </c>
      <c r="C1127" s="2" t="n">
        <f aca="false">IFERROR(__xludf.dummyfunction("""COMPUTED_VALUE"""),271.85)</f>
        <v>271.85</v>
      </c>
      <c r="D1127" s="2" t="n">
        <f aca="false">IFERROR(__xludf.dummyfunction("""COMPUTED_VALUE"""),266.88)</f>
        <v>266.88</v>
      </c>
      <c r="E1127" s="2" t="n">
        <f aca="false">IFERROR(__xludf.dummyfunction("""COMPUTED_VALUE"""),269.35)</f>
        <v>269.35</v>
      </c>
      <c r="F1127" s="2" t="n">
        <f aca="false">IFERROR(__xludf.dummyfunction("""COMPUTED_VALUE"""),27477575)</f>
        <v>27477575</v>
      </c>
    </row>
    <row r="1128" customFormat="false" ht="15.75" hidden="false" customHeight="false" outlineLevel="0" collapsed="false">
      <c r="A1128" s="3" t="n">
        <f aca="false">IFERROR(__xludf.dummyfunction("""COMPUTED_VALUE"""),45838.6666666667)</f>
        <v>45838.6666666667</v>
      </c>
      <c r="B1128" s="2" t="n">
        <f aca="false">IFERROR(__xludf.dummyfunction("""COMPUTED_VALUE"""),274.73)</f>
        <v>274.73</v>
      </c>
      <c r="C1128" s="2" t="n">
        <f aca="false">IFERROR(__xludf.dummyfunction("""COMPUTED_VALUE"""),277.71)</f>
        <v>277.71</v>
      </c>
      <c r="D1128" s="2" t="n">
        <f aca="false">IFERROR(__xludf.dummyfunction("""COMPUTED_VALUE"""),272.13)</f>
        <v>272.13</v>
      </c>
      <c r="E1128" s="2" t="n">
        <f aca="false">IFERROR(__xludf.dummyfunction("""COMPUTED_VALUE"""),275.65)</f>
        <v>275.65</v>
      </c>
      <c r="F1128" s="2" t="n">
        <f aca="false">IFERROR(__xludf.dummyfunction("""COMPUTED_VALUE"""),24708432)</f>
        <v>24708432</v>
      </c>
    </row>
    <row r="1129" customFormat="false" ht="15.75" hidden="false" customHeight="false" outlineLevel="0" collapsed="false">
      <c r="A1129" s="3" t="n">
        <f aca="false">IFERROR(__xludf.dummyfunction("""COMPUTED_VALUE"""),45839.6666666667)</f>
        <v>45839.6666666667</v>
      </c>
      <c r="B1129" s="2" t="n">
        <f aca="false">IFERROR(__xludf.dummyfunction("""COMPUTED_VALUE"""),274.4)</f>
        <v>274.4</v>
      </c>
      <c r="C1129" s="2" t="n">
        <f aca="false">IFERROR(__xludf.dummyfunction("""COMPUTED_VALUE"""),274.5)</f>
        <v>274.5</v>
      </c>
      <c r="D1129" s="2" t="n">
        <f aca="false">IFERROR(__xludf.dummyfunction("""COMPUTED_VALUE"""),262.66)</f>
        <v>262.66</v>
      </c>
      <c r="E1129" s="2" t="n">
        <f aca="false">IFERROR(__xludf.dummyfunction("""COMPUTED_VALUE"""),264.74)</f>
        <v>264.74</v>
      </c>
      <c r="F1129" s="2" t="n">
        <f aca="false">IFERROR(__xludf.dummyfunction("""COMPUTED_VALUE"""),28847626)</f>
        <v>28847626</v>
      </c>
    </row>
    <row r="1130" customFormat="false" ht="15.75" hidden="false" customHeight="false" outlineLevel="0" collapsed="false">
      <c r="A1130" s="3" t="n">
        <f aca="false">IFERROR(__xludf.dummyfunction("""COMPUTED_VALUE"""),45840.6666666667)</f>
        <v>45840.6666666667</v>
      </c>
      <c r="B1130" s="2" t="n">
        <f aca="false">IFERROR(__xludf.dummyfunction("""COMPUTED_VALUE"""),263.99)</f>
        <v>263.99</v>
      </c>
      <c r="C1130" s="2" t="n">
        <f aca="false">IFERROR(__xludf.dummyfunction("""COMPUTED_VALUE"""),272)</f>
        <v>272</v>
      </c>
      <c r="D1130" s="2" t="n">
        <f aca="false">IFERROR(__xludf.dummyfunction("""COMPUTED_VALUE"""),262.73)</f>
        <v>262.73</v>
      </c>
      <c r="E1130" s="2" t="n">
        <f aca="false">IFERROR(__xludf.dummyfunction("""COMPUTED_VALUE"""),269.9)</f>
        <v>269.9</v>
      </c>
      <c r="F1130" s="2" t="n">
        <f aca="false">IFERROR(__xludf.dummyfunction("""COMPUTED_VALUE"""),17582090)</f>
        <v>17582090</v>
      </c>
    </row>
    <row r="1131" customFormat="false" ht="15.75" hidden="false" customHeight="false" outlineLevel="0" collapsed="false">
      <c r="A1131" s="3" t="n">
        <f aca="false">IFERROR(__xludf.dummyfunction("""COMPUTED_VALUE"""),45841.5451388889)</f>
        <v>45841.5451388889</v>
      </c>
      <c r="B1131" s="2" t="n">
        <f aca="false">IFERROR(__xludf.dummyfunction("""COMPUTED_VALUE"""),270.73)</f>
        <v>270.73</v>
      </c>
      <c r="C1131" s="2" t="n">
        <f aca="false">IFERROR(__xludf.dummyfunction("""COMPUTED_VALUE"""),275.8)</f>
        <v>275.8</v>
      </c>
      <c r="D1131" s="2" t="n">
        <f aca="false">IFERROR(__xludf.dummyfunction("""COMPUTED_VALUE"""),270.12)</f>
        <v>270.12</v>
      </c>
      <c r="E1131" s="2" t="n">
        <f aca="false">IFERROR(__xludf.dummyfunction("""COMPUTED_VALUE"""),275.18)</f>
        <v>275.18</v>
      </c>
      <c r="F1131" s="2" t="n">
        <f aca="false">IFERROR(__xludf.dummyfunction("""COMPUTED_VALUE"""),10592655)</f>
        <v>10592655</v>
      </c>
    </row>
    <row r="1132" customFormat="false" ht="15.75" hidden="false" customHeight="false" outlineLevel="0" collapsed="false">
      <c r="A1132" s="3" t="n">
        <f aca="false">IFERROR(__xludf.dummyfunction("""COMPUTED_VALUE"""),45845.6666666667)</f>
        <v>45845.6666666667</v>
      </c>
      <c r="B1132" s="2" t="n">
        <f aca="false">IFERROR(__xludf.dummyfunction("""COMPUTED_VALUE"""),275.13)</f>
        <v>275.13</v>
      </c>
      <c r="C1132" s="2" t="n">
        <f aca="false">IFERROR(__xludf.dummyfunction("""COMPUTED_VALUE"""),277.56)</f>
        <v>277.56</v>
      </c>
      <c r="D1132" s="2" t="n">
        <f aca="false">IFERROR(__xludf.dummyfunction("""COMPUTED_VALUE"""),272.66)</f>
        <v>272.66</v>
      </c>
      <c r="E1132" s="2" t="n">
        <f aca="false">IFERROR(__xludf.dummyfunction("""COMPUTED_VALUE"""),274.18)</f>
        <v>274.18</v>
      </c>
      <c r="F1132" s="2" t="n">
        <f aca="false">IFERROR(__xludf.dummyfunction("""COMPUTED_VALUE"""),16760617)</f>
        <v>16760617</v>
      </c>
    </row>
    <row r="1133" customFormat="false" ht="15.75" hidden="false" customHeight="false" outlineLevel="0" collapsed="false">
      <c r="A1133" s="3" t="n">
        <f aca="false">IFERROR(__xludf.dummyfunction("""COMPUTED_VALUE"""),45846.6666666667)</f>
        <v>45846.6666666667</v>
      </c>
      <c r="B1133" s="2" t="n">
        <f aca="false">IFERROR(__xludf.dummyfunction("""COMPUTED_VALUE"""),276.35)</f>
        <v>276.35</v>
      </c>
      <c r="C1133" s="2" t="n">
        <f aca="false">IFERROR(__xludf.dummyfunction("""COMPUTED_VALUE"""),276.35)</f>
        <v>276.35</v>
      </c>
      <c r="D1133" s="2" t="n">
        <f aca="false">IFERROR(__xludf.dummyfunction("""COMPUTED_VALUE"""),271.15)</f>
        <v>271.15</v>
      </c>
      <c r="E1133" s="2" t="n">
        <f aca="false">IFERROR(__xludf.dummyfunction("""COMPUTED_VALUE"""),271.8)</f>
        <v>271.8</v>
      </c>
      <c r="F1133" s="2" t="n">
        <f aca="false">IFERROR(__xludf.dummyfunction("""COMPUTED_VALUE"""),14869407)</f>
        <v>14869407</v>
      </c>
    </row>
    <row r="1134" customFormat="false" ht="15.75" hidden="false" customHeight="false" outlineLevel="0" collapsed="false">
      <c r="A1134" s="3" t="n">
        <f aca="false">IFERROR(__xludf.dummyfunction("""COMPUTED_VALUE"""),45847.6666666667)</f>
        <v>45847.6666666667</v>
      </c>
      <c r="B1134" s="2" t="n">
        <f aca="false">IFERROR(__xludf.dummyfunction("""COMPUTED_VALUE"""),272.96)</f>
        <v>272.96</v>
      </c>
      <c r="C1134" s="2" t="n">
        <f aca="false">IFERROR(__xludf.dummyfunction("""COMPUTED_VALUE"""),279.45)</f>
        <v>279.45</v>
      </c>
      <c r="D1134" s="2" t="n">
        <f aca="false">IFERROR(__xludf.dummyfunction("""COMPUTED_VALUE"""),272.72)</f>
        <v>272.72</v>
      </c>
      <c r="E1134" s="2" t="n">
        <f aca="false">IFERROR(__xludf.dummyfunction("""COMPUTED_VALUE"""),277.9)</f>
        <v>277.9</v>
      </c>
      <c r="F1134" s="2" t="n">
        <f aca="false">IFERROR(__xludf.dummyfunction("""COMPUTED_VALUE"""),20133002)</f>
        <v>20133002</v>
      </c>
    </row>
    <row r="1135" customFormat="false" ht="15.75" hidden="false" customHeight="false" outlineLevel="0" collapsed="false">
      <c r="A1135" s="3" t="n">
        <f aca="false">IFERROR(__xludf.dummyfunction("""COMPUTED_VALUE"""),45848.6666666667)</f>
        <v>45848.6666666667</v>
      </c>
      <c r="B1135" s="2" t="n">
        <f aca="false">IFERROR(__xludf.dummyfunction("""COMPUTED_VALUE"""),279.79)</f>
        <v>279.79</v>
      </c>
      <c r="C1135" s="2" t="n">
        <f aca="false">IFERROR(__xludf.dummyfunction("""COMPUTED_VALUE"""),281.18)</f>
        <v>281.18</v>
      </c>
      <c r="D1135" s="2" t="n">
        <f aca="false">IFERROR(__xludf.dummyfunction("""COMPUTED_VALUE"""),272.7)</f>
        <v>272.7</v>
      </c>
      <c r="E1135" s="2" t="n">
        <f aca="false">IFERROR(__xludf.dummyfunction("""COMPUTED_VALUE"""),275.4)</f>
        <v>275.4</v>
      </c>
      <c r="F1135" s="2" t="n">
        <f aca="false">IFERROR(__xludf.dummyfunction("""COMPUTED_VALUE"""),17891599)</f>
        <v>17891599</v>
      </c>
    </row>
    <row r="1136" customFormat="false" ht="15.75" hidden="false" customHeight="false" outlineLevel="0" collapsed="false">
      <c r="A1136" s="3" t="n">
        <f aca="false">IFERROR(__xludf.dummyfunction("""COMPUTED_VALUE"""),45849.6666666667)</f>
        <v>45849.6666666667</v>
      </c>
      <c r="B1136" s="2" t="n">
        <f aca="false">IFERROR(__xludf.dummyfunction("""COMPUTED_VALUE"""),274.14)</f>
        <v>274.14</v>
      </c>
      <c r="C1136" s="2" t="n">
        <f aca="false">IFERROR(__xludf.dummyfunction("""COMPUTED_VALUE"""),276.47)</f>
        <v>276.47</v>
      </c>
      <c r="D1136" s="2" t="n">
        <f aca="false">IFERROR(__xludf.dummyfunction("""COMPUTED_VALUE"""),271.89)</f>
        <v>271.89</v>
      </c>
      <c r="E1136" s="2" t="n">
        <f aca="false">IFERROR(__xludf.dummyfunction("""COMPUTED_VALUE"""),274.38)</f>
        <v>274.38</v>
      </c>
      <c r="F1136" s="2" t="n">
        <f aca="false">IFERROR(__xludf.dummyfunction("""COMPUTED_VALUE"""),14274674)</f>
        <v>14274674</v>
      </c>
    </row>
    <row r="1137" customFormat="false" ht="15.75" hidden="false" customHeight="false" outlineLevel="0" collapsed="false">
      <c r="A1137" s="3" t="n">
        <f aca="false">IFERROR(__xludf.dummyfunction("""COMPUTED_VALUE"""),45852.6666666667)</f>
        <v>45852.6666666667</v>
      </c>
      <c r="B1137" s="2" t="n">
        <f aca="false">IFERROR(__xludf.dummyfunction("""COMPUTED_VALUE"""),274.13)</f>
        <v>274.13</v>
      </c>
      <c r="C1137" s="2" t="n">
        <f aca="false">IFERROR(__xludf.dummyfunction("""COMPUTED_VALUE"""),278.36)</f>
        <v>278.36</v>
      </c>
      <c r="D1137" s="2" t="n">
        <f aca="false">IFERROR(__xludf.dummyfunction("""COMPUTED_VALUE"""),269.58)</f>
        <v>269.58</v>
      </c>
      <c r="E1137" s="2" t="n">
        <f aca="false">IFERROR(__xludf.dummyfunction("""COMPUTED_VALUE"""),275.6)</f>
        <v>275.6</v>
      </c>
      <c r="F1137" s="2" t="n">
        <f aca="false">IFERROR(__xludf.dummyfunction("""COMPUTED_VALUE"""),11934236)</f>
        <v>11934236</v>
      </c>
    </row>
    <row r="1138" customFormat="false" ht="15.75" hidden="false" customHeight="false" outlineLevel="0" collapsed="false">
      <c r="A1138" s="3" t="n">
        <f aca="false">IFERROR(__xludf.dummyfunction("""COMPUTED_VALUE"""),45853.6666666667)</f>
        <v>45853.6666666667</v>
      </c>
      <c r="B1138" s="2" t="n">
        <f aca="false">IFERROR(__xludf.dummyfunction("""COMPUTED_VALUE"""),279.81)</f>
        <v>279.81</v>
      </c>
      <c r="C1138" s="2" t="n">
        <f aca="false">IFERROR(__xludf.dummyfunction("""COMPUTED_VALUE"""),283.36)</f>
        <v>283.36</v>
      </c>
      <c r="D1138" s="2" t="n">
        <f aca="false">IFERROR(__xludf.dummyfunction("""COMPUTED_VALUE"""),277.85)</f>
        <v>277.85</v>
      </c>
      <c r="E1138" s="2" t="n">
        <f aca="false">IFERROR(__xludf.dummyfunction("""COMPUTED_VALUE"""),280.94)</f>
        <v>280.94</v>
      </c>
      <c r="F1138" s="2" t="n">
        <f aca="false">IFERROR(__xludf.dummyfunction("""COMPUTED_VALUE"""),17918352)</f>
        <v>17918352</v>
      </c>
    </row>
    <row r="1139" customFormat="false" ht="15.75" hidden="false" customHeight="false" outlineLevel="0" collapsed="false">
      <c r="A1139" s="3" t="n">
        <f aca="false">IFERROR(__xludf.dummyfunction("""COMPUTED_VALUE"""),45854.6666666667)</f>
        <v>45854.6666666667</v>
      </c>
      <c r="B1139" s="2" t="n">
        <f aca="false">IFERROR(__xludf.dummyfunction("""COMPUTED_VALUE"""),280.11)</f>
        <v>280.11</v>
      </c>
      <c r="C1139" s="2" t="n">
        <f aca="false">IFERROR(__xludf.dummyfunction("""COMPUTED_VALUE"""),281.51)</f>
        <v>281.51</v>
      </c>
      <c r="D1139" s="2" t="n">
        <f aca="false">IFERROR(__xludf.dummyfunction("""COMPUTED_VALUE"""),275.67)</f>
        <v>275.67</v>
      </c>
      <c r="E1139" s="2" t="n">
        <f aca="false">IFERROR(__xludf.dummyfunction("""COMPUTED_VALUE"""),280.81)</f>
        <v>280.81</v>
      </c>
      <c r="F1139" s="2" t="n">
        <f aca="false">IFERROR(__xludf.dummyfunction("""COMPUTED_VALUE"""),15031022)</f>
        <v>15031022</v>
      </c>
    </row>
    <row r="1140" customFormat="false" ht="15.75" hidden="false" customHeight="false" outlineLevel="0" collapsed="false">
      <c r="A1140" s="3" t="n">
        <f aca="false">IFERROR(__xludf.dummyfunction("""COMPUTED_VALUE"""),45855.6666666667)</f>
        <v>45855.6666666667</v>
      </c>
      <c r="B1140" s="2" t="n">
        <f aca="false">IFERROR(__xludf.dummyfunction("""COMPUTED_VALUE"""),281.14)</f>
        <v>281.14</v>
      </c>
      <c r="C1140" s="2" t="n">
        <f aca="false">IFERROR(__xludf.dummyfunction("""COMPUTED_VALUE"""),288.28)</f>
        <v>288.28</v>
      </c>
      <c r="D1140" s="2" t="n">
        <f aca="false">IFERROR(__xludf.dummyfunction("""COMPUTED_VALUE"""),279.91)</f>
        <v>279.91</v>
      </c>
      <c r="E1140" s="2" t="n">
        <f aca="false">IFERROR(__xludf.dummyfunction("""COMPUTED_VALUE"""),286.45)</f>
        <v>286.45</v>
      </c>
      <c r="F1140" s="2" t="n">
        <f aca="false">IFERROR(__xludf.dummyfunction("""COMPUTED_VALUE"""),17231099)</f>
        <v>17231099</v>
      </c>
    </row>
    <row r="1141" customFormat="false" ht="15.75" hidden="false" customHeight="false" outlineLevel="0" collapsed="false">
      <c r="A1141" s="3" t="n">
        <f aca="false">IFERROR(__xludf.dummyfunction("""COMPUTED_VALUE"""),45856.6666666667)</f>
        <v>45856.6666666667</v>
      </c>
      <c r="B1141" s="2" t="n">
        <f aca="false">IFERROR(__xludf.dummyfunction("""COMPUTED_VALUE"""),287.11)</f>
        <v>287.11</v>
      </c>
      <c r="C1141" s="2" t="n">
        <f aca="false">IFERROR(__xludf.dummyfunction("""COMPUTED_VALUE"""),287.53)</f>
        <v>287.53</v>
      </c>
      <c r="D1141" s="2" t="n">
        <f aca="false">IFERROR(__xludf.dummyfunction("""COMPUTED_VALUE"""),281)</f>
        <v>281</v>
      </c>
      <c r="E1141" s="2" t="n">
        <f aca="false">IFERROR(__xludf.dummyfunction("""COMPUTED_VALUE"""),283.34)</f>
        <v>283.34</v>
      </c>
      <c r="F1141" s="2" t="n">
        <f aca="false">IFERROR(__xludf.dummyfunction("""COMPUTED_VALUE"""),15012409)</f>
        <v>15012409</v>
      </c>
    </row>
    <row r="1142" customFormat="false" ht="15.75" hidden="false" customHeight="false" outlineLevel="0" collapsed="false">
      <c r="A1142" s="3" t="n">
        <f aca="false">IFERROR(__xludf.dummyfunction("""COMPUTED_VALUE"""),45859.6666666667)</f>
        <v>45859.6666666667</v>
      </c>
      <c r="B1142" s="2" t="n">
        <f aca="false">IFERROR(__xludf.dummyfunction("""COMPUTED_VALUE"""),283.96)</f>
        <v>283.96</v>
      </c>
      <c r="C1142" s="2" t="n">
        <f aca="false">IFERROR(__xludf.dummyfunction("""COMPUTED_VALUE"""),290.54)</f>
        <v>290.54</v>
      </c>
      <c r="D1142" s="2" t="n">
        <f aca="false">IFERROR(__xludf.dummyfunction("""COMPUTED_VALUE"""),283.63)</f>
        <v>283.63</v>
      </c>
      <c r="E1142" s="2" t="n">
        <f aca="false">IFERROR(__xludf.dummyfunction("""COMPUTED_VALUE"""),288.21)</f>
        <v>288.21</v>
      </c>
      <c r="F1142" s="2" t="n">
        <f aca="false">IFERROR(__xludf.dummyfunction("""COMPUTED_VALUE"""),17726804)</f>
        <v>17726804</v>
      </c>
    </row>
    <row r="1143" customFormat="false" ht="15.75" hidden="false" customHeight="false" outlineLevel="0" collapsed="false">
      <c r="A1143" s="3" t="n">
        <f aca="false">IFERROR(__xludf.dummyfunction("""COMPUTED_VALUE"""),45860.6666666667)</f>
        <v>45860.6666666667</v>
      </c>
      <c r="B1143" s="2" t="n">
        <f aca="false">IFERROR(__xludf.dummyfunction("""COMPUTED_VALUE"""),287.65)</f>
        <v>287.65</v>
      </c>
      <c r="C1143" s="2" t="n">
        <f aca="false">IFERROR(__xludf.dummyfunction("""COMPUTED_VALUE"""),288)</f>
        <v>288</v>
      </c>
      <c r="D1143" s="2" t="n">
        <f aca="false">IFERROR(__xludf.dummyfunction("""COMPUTED_VALUE"""),276.43)</f>
        <v>276.43</v>
      </c>
      <c r="E1143" s="2" t="n">
        <f aca="false">IFERROR(__xludf.dummyfunction("""COMPUTED_VALUE"""),278.59)</f>
        <v>278.59</v>
      </c>
      <c r="F1143" s="2" t="n">
        <f aca="false">IFERROR(__xludf.dummyfunction("""COMPUTED_VALUE"""),16564831)</f>
        <v>16564831</v>
      </c>
    </row>
    <row r="1144" customFormat="false" ht="15.75" hidden="false" customHeight="false" outlineLevel="0" collapsed="false">
      <c r="A1144" s="3" t="n">
        <f aca="false">IFERROR(__xludf.dummyfunction("""COMPUTED_VALUE"""),45861.6666666667)</f>
        <v>45861.6666666667</v>
      </c>
      <c r="B1144" s="2" t="n">
        <f aca="false">IFERROR(__xludf.dummyfunction("""COMPUTED_VALUE"""),276.78)</f>
        <v>276.78</v>
      </c>
      <c r="C1144" s="2" t="n">
        <f aca="false">IFERROR(__xludf.dummyfunction("""COMPUTED_VALUE"""),284)</f>
        <v>284</v>
      </c>
      <c r="D1144" s="2" t="n">
        <f aca="false">IFERROR(__xludf.dummyfunction("""COMPUTED_VALUE"""),273)</f>
        <v>273</v>
      </c>
      <c r="E1144" s="2" t="n">
        <f aca="false">IFERROR(__xludf.dummyfunction("""COMPUTED_VALUE"""),283.69)</f>
        <v>283.69</v>
      </c>
      <c r="F1144" s="2" t="n">
        <f aca="false">IFERROR(__xludf.dummyfunction("""COMPUTED_VALUE"""),20556237)</f>
        <v>20556237</v>
      </c>
    </row>
    <row r="1145" customFormat="false" ht="15.75" hidden="false" customHeight="false" outlineLevel="0" collapsed="false">
      <c r="A1145" s="3" t="n">
        <f aca="false">IFERROR(__xludf.dummyfunction("""COMPUTED_VALUE"""),45862.6666666667)</f>
        <v>45862.6666666667</v>
      </c>
      <c r="B1145" s="2" t="n">
        <f aca="false">IFERROR(__xludf.dummyfunction("""COMPUTED_VALUE"""),289.79)</f>
        <v>289.79</v>
      </c>
      <c r="C1145" s="2" t="n">
        <f aca="false">IFERROR(__xludf.dummyfunction("""COMPUTED_VALUE"""),291.2)</f>
        <v>291.2</v>
      </c>
      <c r="D1145" s="2" t="n">
        <f aca="false">IFERROR(__xludf.dummyfunction("""COMPUTED_VALUE"""),283.5)</f>
        <v>283.5</v>
      </c>
      <c r="E1145" s="2" t="n">
        <f aca="false">IFERROR(__xludf.dummyfunction("""COMPUTED_VALUE"""),288.71)</f>
        <v>288.71</v>
      </c>
      <c r="F1145" s="2" t="n">
        <f aca="false">IFERROR(__xludf.dummyfunction("""COMPUTED_VALUE"""),16413778)</f>
        <v>16413778</v>
      </c>
    </row>
    <row r="1146" customFormat="false" ht="15.75" hidden="false" customHeight="false" outlineLevel="0" collapsed="false">
      <c r="A1146" s="3" t="n">
        <f aca="false">IFERROR(__xludf.dummyfunction("""COMPUTED_VALUE"""),45863.6666666667)</f>
        <v>45863.6666666667</v>
      </c>
      <c r="B1146" s="2" t="n">
        <f aca="false">IFERROR(__xludf.dummyfunction("""COMPUTED_VALUE"""),288.07)</f>
        <v>288.07</v>
      </c>
      <c r="C1146" s="2" t="n">
        <f aca="false">IFERROR(__xludf.dummyfunction("""COMPUTED_VALUE"""),292.59)</f>
        <v>292.59</v>
      </c>
      <c r="D1146" s="2" t="n">
        <f aca="false">IFERROR(__xludf.dummyfunction("""COMPUTED_VALUE"""),287.27)</f>
        <v>287.27</v>
      </c>
      <c r="E1146" s="2" t="n">
        <f aca="false">IFERROR(__xludf.dummyfunction("""COMPUTED_VALUE"""),290.18)</f>
        <v>290.18</v>
      </c>
      <c r="F1146" s="2" t="n">
        <f aca="false">IFERROR(__xludf.dummyfunction("""COMPUTED_VALUE"""),12476248)</f>
        <v>12476248</v>
      </c>
    </row>
    <row r="1147" customFormat="false" ht="15.75" hidden="false" customHeight="false" outlineLevel="0" collapsed="false">
      <c r="A1147" s="3" t="n">
        <f aca="false">IFERROR(__xludf.dummyfunction("""COMPUTED_VALUE"""),45866.6666666667)</f>
        <v>45866.6666666667</v>
      </c>
      <c r="B1147" s="2" t="n">
        <f aca="false">IFERROR(__xludf.dummyfunction("""COMPUTED_VALUE"""),292.46)</f>
        <v>292.46</v>
      </c>
      <c r="C1147" s="2" t="n">
        <f aca="false">IFERROR(__xludf.dummyfunction("""COMPUTED_VALUE"""),295.45)</f>
        <v>295.45</v>
      </c>
      <c r="D1147" s="2" t="n">
        <f aca="false">IFERROR(__xludf.dummyfunction("""COMPUTED_VALUE"""),290.59)</f>
        <v>290.59</v>
      </c>
      <c r="E1147" s="2" t="n">
        <f aca="false">IFERROR(__xludf.dummyfunction("""COMPUTED_VALUE"""),294.3)</f>
        <v>294.3</v>
      </c>
      <c r="F1147" s="2" t="n">
        <f aca="false">IFERROR(__xludf.dummyfunction("""COMPUTED_VALUE"""),13683375)</f>
        <v>13683375</v>
      </c>
    </row>
    <row r="1148" customFormat="false" ht="15.75" hidden="false" customHeight="false" outlineLevel="0" collapsed="false">
      <c r="A1148" s="3" t="n">
        <f aca="false">IFERROR(__xludf.dummyfunction("""COMPUTED_VALUE"""),45867.6666666667)</f>
        <v>45867.6666666667</v>
      </c>
      <c r="B1148" s="2" t="n">
        <f aca="false">IFERROR(__xludf.dummyfunction("""COMPUTED_VALUE"""),297.5)</f>
        <v>297.5</v>
      </c>
      <c r="C1148" s="2" t="n">
        <f aca="false">IFERROR(__xludf.dummyfunction("""COMPUTED_VALUE"""),302.19)</f>
        <v>302.19</v>
      </c>
      <c r="D1148" s="2" t="n">
        <f aca="false">IFERROR(__xludf.dummyfunction("""COMPUTED_VALUE"""),294.87)</f>
        <v>294.87</v>
      </c>
      <c r="E1148" s="2" t="n">
        <f aca="false">IFERROR(__xludf.dummyfunction("""COMPUTED_VALUE"""),297.42)</f>
        <v>297.42</v>
      </c>
      <c r="F1148" s="2" t="n">
        <f aca="false">IFERROR(__xludf.dummyfunction("""COMPUTED_VALUE"""),19210780)</f>
        <v>19210780</v>
      </c>
    </row>
    <row r="1149" customFormat="false" ht="15.75" hidden="false" customHeight="false" outlineLevel="0" collapsed="false">
      <c r="A1149" s="3" t="n">
        <f aca="false">IFERROR(__xludf.dummyfunction("""COMPUTED_VALUE"""),45868.6666666667)</f>
        <v>45868.6666666667</v>
      </c>
      <c r="B1149" s="2" t="n">
        <f aca="false">IFERROR(__xludf.dummyfunction("""COMPUTED_VALUE"""),297.15)</f>
        <v>297.15</v>
      </c>
      <c r="C1149" s="2" t="n">
        <f aca="false">IFERROR(__xludf.dummyfunction("""COMPUTED_VALUE"""),303.26)</f>
        <v>303.26</v>
      </c>
      <c r="D1149" s="2" t="n">
        <f aca="false">IFERROR(__xludf.dummyfunction("""COMPUTED_VALUE"""),295.8)</f>
        <v>295.8</v>
      </c>
      <c r="E1149" s="2" t="n">
        <f aca="false">IFERROR(__xludf.dummyfunction("""COMPUTED_VALUE"""),302.62)</f>
        <v>302.62</v>
      </c>
      <c r="F1149" s="2" t="n">
        <f aca="false">IFERROR(__xludf.dummyfunction("""COMPUTED_VALUE"""),16738929)</f>
        <v>16738929</v>
      </c>
    </row>
    <row r="1150" customFormat="false" ht="15.75" hidden="false" customHeight="false" outlineLevel="0" collapsed="false">
      <c r="A1150" s="3" t="n">
        <f aca="false">IFERROR(__xludf.dummyfunction("""COMPUTED_VALUE"""),45869.6666666667)</f>
        <v>45869.6666666667</v>
      </c>
      <c r="B1150" s="2" t="n">
        <f aca="false">IFERROR(__xludf.dummyfunction("""COMPUTED_VALUE"""),302.8)</f>
        <v>302.8</v>
      </c>
      <c r="C1150" s="2" t="n">
        <f aca="false">IFERROR(__xludf.dummyfunction("""COMPUTED_VALUE"""),306.95)</f>
        <v>306.95</v>
      </c>
      <c r="D1150" s="2" t="n">
        <f aca="false">IFERROR(__xludf.dummyfunction("""COMPUTED_VALUE"""),290.23)</f>
        <v>290.23</v>
      </c>
      <c r="E1150" s="2" t="n">
        <f aca="false">IFERROR(__xludf.dummyfunction("""COMPUTED_VALUE"""),293.7)</f>
        <v>293.7</v>
      </c>
      <c r="F1150" s="2" t="n">
        <f aca="false">IFERROR(__xludf.dummyfunction("""COMPUTED_VALUE"""),25488478)</f>
        <v>25488478</v>
      </c>
    </row>
    <row r="1151" customFormat="false" ht="15.75" hidden="false" customHeight="false" outlineLevel="0" collapsed="false">
      <c r="A1151" s="3" t="n">
        <f aca="false">IFERROR(__xludf.dummyfunction("""COMPUTED_VALUE"""),45870.6666666667)</f>
        <v>45870.6666666667</v>
      </c>
      <c r="B1151" s="2" t="n">
        <f aca="false">IFERROR(__xludf.dummyfunction("""COMPUTED_VALUE"""),286.54)</f>
        <v>286.54</v>
      </c>
      <c r="C1151" s="2" t="n">
        <f aca="false">IFERROR(__xludf.dummyfunction("""COMPUTED_VALUE"""),292.64)</f>
        <v>292.64</v>
      </c>
      <c r="D1151" s="2" t="n">
        <f aca="false">IFERROR(__xludf.dummyfunction("""COMPUTED_VALUE"""),281.61)</f>
        <v>281.61</v>
      </c>
      <c r="E1151" s="2" t="n">
        <f aca="false">IFERROR(__xludf.dummyfunction("""COMPUTED_VALUE"""),288.64)</f>
        <v>288.64</v>
      </c>
      <c r="F1151" s="2" t="n">
        <f aca="false">IFERROR(__xludf.dummyfunction("""COMPUTED_VALUE"""),21428128)</f>
        <v>21428128</v>
      </c>
    </row>
    <row r="1152" customFormat="false" ht="15.75" hidden="false" customHeight="false" outlineLevel="0" collapsed="false">
      <c r="A1152" s="3" t="n">
        <f aca="false">IFERROR(__xludf.dummyfunction("""COMPUTED_VALUE"""),45873.6666666667)</f>
        <v>45873.6666666667</v>
      </c>
      <c r="B1152" s="2" t="n">
        <f aca="false">IFERROR(__xludf.dummyfunction("""COMPUTED_VALUE"""),292.2)</f>
        <v>292.2</v>
      </c>
      <c r="C1152" s="2" t="n">
        <f aca="false">IFERROR(__xludf.dummyfunction("""COMPUTED_VALUE"""),298.48)</f>
        <v>298.48</v>
      </c>
      <c r="D1152" s="2" t="n">
        <f aca="false">IFERROR(__xludf.dummyfunction("""COMPUTED_VALUE"""),291.4)</f>
        <v>291.4</v>
      </c>
      <c r="E1152" s="2" t="n">
        <f aca="false">IFERROR(__xludf.dummyfunction("""COMPUTED_VALUE"""),297.72)</f>
        <v>297.72</v>
      </c>
      <c r="F1152" s="2" t="n">
        <f aca="false">IFERROR(__xludf.dummyfunction("""COMPUTED_VALUE"""),17164629)</f>
        <v>17164629</v>
      </c>
    </row>
    <row r="1153" customFormat="false" ht="15.75" hidden="false" customHeight="false" outlineLevel="0" collapsed="false">
      <c r="A1153" s="3" t="n">
        <f aca="false">IFERROR(__xludf.dummyfunction("""COMPUTED_VALUE"""),45874.6666666667)</f>
        <v>45874.6666666667</v>
      </c>
      <c r="B1153" s="2" t="n">
        <f aca="false">IFERROR(__xludf.dummyfunction("""COMPUTED_VALUE"""),297.81)</f>
        <v>297.81</v>
      </c>
      <c r="C1153" s="2" t="n">
        <f aca="false">IFERROR(__xludf.dummyfunction("""COMPUTED_VALUE"""),301.2)</f>
        <v>301.2</v>
      </c>
      <c r="D1153" s="2" t="n">
        <f aca="false">IFERROR(__xludf.dummyfunction("""COMPUTED_VALUE"""),291.45)</f>
        <v>291.45</v>
      </c>
      <c r="E1153" s="2" t="n">
        <f aca="false">IFERROR(__xludf.dummyfunction("""COMPUTED_VALUE"""),292.93)</f>
        <v>292.93</v>
      </c>
      <c r="F1153" s="2" t="n">
        <f aca="false">IFERROR(__xludf.dummyfunction("""COMPUTED_VALUE"""),18477469)</f>
        <v>18477469</v>
      </c>
    </row>
    <row r="1154" customFormat="false" ht="15.75" hidden="false" customHeight="false" outlineLevel="0" collapsed="false">
      <c r="A1154" s="3" t="n">
        <f aca="false">IFERROR(__xludf.dummyfunction("""COMPUTED_VALUE"""),45875.6666666667)</f>
        <v>45875.6666666667</v>
      </c>
      <c r="B1154" s="2" t="n">
        <f aca="false">IFERROR(__xludf.dummyfunction("""COMPUTED_VALUE"""),292.9)</f>
        <v>292.9</v>
      </c>
      <c r="C1154" s="2" t="n">
        <f aca="false">IFERROR(__xludf.dummyfunction("""COMPUTED_VALUE"""),302.81)</f>
        <v>302.81</v>
      </c>
      <c r="D1154" s="2" t="n">
        <f aca="false">IFERROR(__xludf.dummyfunction("""COMPUTED_VALUE"""),291.9)</f>
        <v>291.9</v>
      </c>
      <c r="E1154" s="2" t="n">
        <f aca="false">IFERROR(__xludf.dummyfunction("""COMPUTED_VALUE"""),301.67)</f>
        <v>301.67</v>
      </c>
      <c r="F1154" s="2" t="n">
        <f aca="false">IFERROR(__xludf.dummyfunction("""COMPUTED_VALUE"""),17392100)</f>
        <v>17392100</v>
      </c>
    </row>
    <row r="1155" customFormat="false" ht="15.75" hidden="false" customHeight="false" outlineLevel="0" collapsed="false">
      <c r="A1155" s="3" t="n">
        <f aca="false">IFERROR(__xludf.dummyfunction("""COMPUTED_VALUE"""),45876.6666666667)</f>
        <v>45876.6666666667</v>
      </c>
      <c r="B1155" s="2" t="n">
        <f aca="false">IFERROR(__xludf.dummyfunction("""COMPUTED_VALUE"""),306.17)</f>
        <v>306.17</v>
      </c>
      <c r="C1155" s="2" t="n">
        <f aca="false">IFERROR(__xludf.dummyfunction("""COMPUTED_VALUE"""),310.34)</f>
        <v>310.34</v>
      </c>
      <c r="D1155" s="2" t="n">
        <f aca="false">IFERROR(__xludf.dummyfunction("""COMPUTED_VALUE"""),299.88)</f>
        <v>299.88</v>
      </c>
      <c r="E1155" s="2" t="n">
        <f aca="false">IFERROR(__xludf.dummyfunction("""COMPUTED_VALUE"""),303.76)</f>
        <v>303.76</v>
      </c>
      <c r="F1155" s="2" t="n">
        <f aca="false">IFERROR(__xludf.dummyfunction("""COMPUTED_VALUE"""),16319444)</f>
        <v>16319444</v>
      </c>
    </row>
    <row r="1156" customFormat="false" ht="15.75" hidden="false" customHeight="false" outlineLevel="0" collapsed="false">
      <c r="A1156" s="3" t="n">
        <f aca="false">IFERROR(__xludf.dummyfunction("""COMPUTED_VALUE"""),45877.6666666667)</f>
        <v>45877.6666666667</v>
      </c>
      <c r="B1156" s="2" t="n">
        <f aca="false">IFERROR(__xludf.dummyfunction("""COMPUTED_VALUE"""),304.05)</f>
        <v>304.05</v>
      </c>
      <c r="C1156" s="2" t="n">
        <f aca="false">IFERROR(__xludf.dummyfunction("""COMPUTED_VALUE"""),307.87)</f>
        <v>307.87</v>
      </c>
      <c r="D1156" s="2" t="n">
        <f aca="false">IFERROR(__xludf.dummyfunction("""COMPUTED_VALUE"""),302.55)</f>
        <v>302.55</v>
      </c>
      <c r="E1156" s="2" t="n">
        <f aca="false">IFERROR(__xludf.dummyfunction("""COMPUTED_VALUE"""),304.97)</f>
        <v>304.97</v>
      </c>
      <c r="F1156" s="2" t="n">
        <f aca="false">IFERROR(__xludf.dummyfunction("""COMPUTED_VALUE"""),12458746)</f>
        <v>12458746</v>
      </c>
    </row>
    <row r="1157" customFormat="false" ht="15.75" hidden="false" customHeight="false" outlineLevel="0" collapsed="false">
      <c r="A1157" s="3" t="n">
        <f aca="false">IFERROR(__xludf.dummyfunction("""COMPUTED_VALUE"""),45880.6666666667)</f>
        <v>45880.6666666667</v>
      </c>
      <c r="B1157" s="2" t="n">
        <f aca="false">IFERROR(__xludf.dummyfunction("""COMPUTED_VALUE"""),305.05)</f>
        <v>305.05</v>
      </c>
      <c r="C1157" s="2" t="n">
        <f aca="false">IFERROR(__xludf.dummyfunction("""COMPUTED_VALUE"""),308.31)</f>
        <v>308.31</v>
      </c>
      <c r="D1157" s="2" t="n">
        <f aca="false">IFERROR(__xludf.dummyfunction("""COMPUTED_VALUE"""),301.29)</f>
        <v>301.29</v>
      </c>
      <c r="E1157" s="2" t="n">
        <f aca="false">IFERROR(__xludf.dummyfunction("""COMPUTED_VALUE"""),303.9)</f>
        <v>303.9</v>
      </c>
      <c r="F1157" s="2" t="n">
        <f aca="false">IFERROR(__xludf.dummyfunction("""COMPUTED_VALUE"""),12396384)</f>
        <v>12396384</v>
      </c>
    </row>
    <row r="1158" customFormat="false" ht="15.75" hidden="false" customHeight="false" outlineLevel="0" collapsed="false">
      <c r="A1158" s="3" t="n">
        <f aca="false">IFERROR(__xludf.dummyfunction("""COMPUTED_VALUE"""),45881.6666666667)</f>
        <v>45881.6666666667</v>
      </c>
      <c r="B1158" s="2" t="n">
        <f aca="false">IFERROR(__xludf.dummyfunction("""COMPUTED_VALUE"""),306.63)</f>
        <v>306.63</v>
      </c>
      <c r="C1158" s="2" t="n">
        <f aca="false">IFERROR(__xludf.dummyfunction("""COMPUTED_VALUE"""),313.44)</f>
        <v>313.44</v>
      </c>
      <c r="D1158" s="2" t="n">
        <f aca="false">IFERROR(__xludf.dummyfunction("""COMPUTED_VALUE"""),304.67)</f>
        <v>304.67</v>
      </c>
      <c r="E1158" s="2" t="n">
        <f aca="false">IFERROR(__xludf.dummyfunction("""COMPUTED_VALUE"""),312.83)</f>
        <v>312.83</v>
      </c>
      <c r="F1158" s="2" t="n">
        <f aca="false">IFERROR(__xludf.dummyfunction("""COMPUTED_VALUE"""),17624009)</f>
        <v>17624009</v>
      </c>
    </row>
    <row r="1159" customFormat="false" ht="15.75" hidden="false" customHeight="false" outlineLevel="0" collapsed="false">
      <c r="A1159" s="3" t="n">
        <f aca="false">IFERROR(__xludf.dummyfunction("""COMPUTED_VALUE"""),45882.6666666667)</f>
        <v>45882.6666666667</v>
      </c>
      <c r="B1159" s="2" t="n">
        <f aca="false">IFERROR(__xludf.dummyfunction("""COMPUTED_VALUE"""),316.75)</f>
        <v>316.75</v>
      </c>
      <c r="C1159" s="2" t="n">
        <f aca="false">IFERROR(__xludf.dummyfunction("""COMPUTED_VALUE"""),317.35)</f>
        <v>317.35</v>
      </c>
      <c r="D1159" s="2" t="n">
        <f aca="false">IFERROR(__xludf.dummyfunction("""COMPUTED_VALUE"""),304.75)</f>
        <v>304.75</v>
      </c>
      <c r="E1159" s="2" t="n">
        <f aca="false">IFERROR(__xludf.dummyfunction("""COMPUTED_VALUE"""),309.09)</f>
        <v>309.09</v>
      </c>
      <c r="F1159" s="2" t="n">
        <f aca="false">IFERROR(__xludf.dummyfunction("""COMPUTED_VALUE"""),17371167)</f>
        <v>17371167</v>
      </c>
    </row>
    <row r="1160" customFormat="false" ht="15.75" hidden="false" customHeight="false" outlineLevel="0" collapsed="false">
      <c r="A1160" s="3" t="n">
        <f aca="false">IFERROR(__xludf.dummyfunction("""COMPUTED_VALUE"""),45883.6666666667)</f>
        <v>45883.6666666667</v>
      </c>
      <c r="B1160" s="2" t="n">
        <f aca="false">IFERROR(__xludf.dummyfunction("""COMPUTED_VALUE"""),307.01)</f>
        <v>307.01</v>
      </c>
      <c r="C1160" s="2" t="n">
        <f aca="false">IFERROR(__xludf.dummyfunction("""COMPUTED_VALUE"""),314.17)</f>
        <v>314.17</v>
      </c>
      <c r="D1160" s="2" t="n">
        <f aca="false">IFERROR(__xludf.dummyfunction("""COMPUTED_VALUE"""),307)</f>
        <v>307</v>
      </c>
      <c r="E1160" s="2" t="n">
        <f aca="false">IFERROR(__xludf.dummyfunction("""COMPUTED_VALUE"""),311.23)</f>
        <v>311.23</v>
      </c>
      <c r="F1160" s="2" t="n">
        <f aca="false">IFERROR(__xludf.dummyfunction("""COMPUTED_VALUE"""),15717631)</f>
        <v>15717631</v>
      </c>
    </row>
    <row r="1161" customFormat="false" ht="15.75" hidden="false" customHeight="false" outlineLevel="0" collapsed="false">
      <c r="A1161" s="3" t="n">
        <f aca="false">IFERROR(__xludf.dummyfunction("""COMPUTED_VALUE"""),45884.6666666667)</f>
        <v>45884.6666666667</v>
      </c>
      <c r="B1161" s="2" t="n">
        <f aca="false">IFERROR(__xludf.dummyfunction("""COMPUTED_VALUE"""),311.03)</f>
        <v>311.03</v>
      </c>
      <c r="C1161" s="2" t="n">
        <f aca="false">IFERROR(__xludf.dummyfunction("""COMPUTED_VALUE"""),311.5)</f>
        <v>311.5</v>
      </c>
      <c r="D1161" s="2" t="n">
        <f aca="false">IFERROR(__xludf.dummyfunction("""COMPUTED_VALUE"""),299.76)</f>
        <v>299.76</v>
      </c>
      <c r="E1161" s="2" t="n">
        <f aca="false">IFERROR(__xludf.dummyfunction("""COMPUTED_VALUE"""),306.34)</f>
        <v>306.34</v>
      </c>
      <c r="F1161" s="2" t="n">
        <f aca="false">IFERROR(__xludf.dummyfunction("""COMPUTED_VALUE"""),22806938)</f>
        <v>22806938</v>
      </c>
    </row>
    <row r="1162" customFormat="false" ht="15.75" hidden="false" customHeight="false" outlineLevel="0" collapsed="false">
      <c r="A1162" s="3" t="n">
        <f aca="false">IFERROR(__xludf.dummyfunction("""COMPUTED_VALUE"""),45887.6666666667)</f>
        <v>45887.6666666667</v>
      </c>
      <c r="B1162" s="2" t="n">
        <f aca="false">IFERROR(__xludf.dummyfunction("""COMPUTED_VALUE"""),302.7)</f>
        <v>302.7</v>
      </c>
      <c r="C1162" s="2" t="n">
        <f aca="false">IFERROR(__xludf.dummyfunction("""COMPUTED_VALUE"""),306.17)</f>
        <v>306.17</v>
      </c>
      <c r="D1162" s="2" t="n">
        <f aca="false">IFERROR(__xludf.dummyfunction("""COMPUTED_VALUE"""),299)</f>
        <v>299</v>
      </c>
      <c r="E1162" s="2" t="n">
        <f aca="false">IFERROR(__xludf.dummyfunction("""COMPUTED_VALUE"""),305.76)</f>
        <v>305.76</v>
      </c>
      <c r="F1162" s="2" t="n">
        <f aca="false">IFERROR(__xludf.dummyfunction("""COMPUTED_VALUE"""),14724667)</f>
        <v>14724667</v>
      </c>
    </row>
    <row r="1163" customFormat="false" ht="15.75" hidden="false" customHeight="false" outlineLevel="0" collapsed="false">
      <c r="A1163" s="3" t="n">
        <f aca="false">IFERROR(__xludf.dummyfunction("""COMPUTED_VALUE"""),45888.6666666667)</f>
        <v>45888.6666666667</v>
      </c>
      <c r="B1163" s="2" t="n">
        <f aca="false">IFERROR(__xludf.dummyfunction("""COMPUTED_VALUE"""),302.42)</f>
        <v>302.42</v>
      </c>
      <c r="C1163" s="2" t="n">
        <f aca="false">IFERROR(__xludf.dummyfunction("""COMPUTED_VALUE"""),302.9)</f>
        <v>302.9</v>
      </c>
      <c r="D1163" s="2" t="n">
        <f aca="false">IFERROR(__xludf.dummyfunction("""COMPUTED_VALUE"""),292.39)</f>
        <v>292.39</v>
      </c>
      <c r="E1163" s="2" t="n">
        <f aca="false">IFERROR(__xludf.dummyfunction("""COMPUTED_VALUE"""),294.91)</f>
        <v>294.91</v>
      </c>
      <c r="F1163" s="2" t="n">
        <f aca="false">IFERROR(__xludf.dummyfunction("""COMPUTED_VALUE"""),20149581)</f>
        <v>20149581</v>
      </c>
    </row>
    <row r="1164" customFormat="false" ht="15.75" hidden="false" customHeight="false" outlineLevel="0" collapsed="false">
      <c r="A1164" s="3" t="n">
        <f aca="false">IFERROR(__xludf.dummyfunction("""COMPUTED_VALUE"""),45889.6666666667)</f>
        <v>45889.6666666667</v>
      </c>
      <c r="B1164" s="2" t="n">
        <f aca="false">IFERROR(__xludf.dummyfunction("""COMPUTED_VALUE"""),295.46)</f>
        <v>295.46</v>
      </c>
      <c r="C1164" s="2" t="n">
        <f aca="false">IFERROR(__xludf.dummyfunction("""COMPUTED_VALUE"""),295.49)</f>
        <v>295.49</v>
      </c>
      <c r="D1164" s="2" t="n">
        <f aca="false">IFERROR(__xludf.dummyfunction("""COMPUTED_VALUE"""),281.87)</f>
        <v>281.87</v>
      </c>
      <c r="E1164" s="2" t="n">
        <f aca="false">IFERROR(__xludf.dummyfunction("""COMPUTED_VALUE"""),291.17)</f>
        <v>291.17</v>
      </c>
      <c r="F1164" s="2" t="n">
        <f aca="false">IFERROR(__xludf.dummyfunction("""COMPUTED_VALUE"""),23600512)</f>
        <v>23600512</v>
      </c>
    </row>
    <row r="1165" customFormat="false" ht="15.75" hidden="false" customHeight="false" outlineLevel="0" collapsed="false">
      <c r="A1165" s="3" t="n">
        <f aca="false">IFERROR(__xludf.dummyfunction("""COMPUTED_VALUE"""),45890.6666666667)</f>
        <v>45890.6666666667</v>
      </c>
      <c r="B1165" s="2" t="n">
        <f aca="false">IFERROR(__xludf.dummyfunction("""COMPUTED_VALUE"""),290.06)</f>
        <v>290.06</v>
      </c>
      <c r="C1165" s="2" t="n">
        <f aca="false">IFERROR(__xludf.dummyfunction("""COMPUTED_VALUE"""),292.39)</f>
        <v>292.39</v>
      </c>
      <c r="D1165" s="2" t="n">
        <f aca="false">IFERROR(__xludf.dummyfunction("""COMPUTED_VALUE"""),286.17)</f>
        <v>286.17</v>
      </c>
      <c r="E1165" s="2" t="n">
        <f aca="false">IFERROR(__xludf.dummyfunction("""COMPUTED_VALUE"""),289.6)</f>
        <v>289.6</v>
      </c>
      <c r="F1165" s="2" t="n">
        <f aca="false">IFERROR(__xludf.dummyfunction("""COMPUTED_VALUE"""),14946309)</f>
        <v>14946309</v>
      </c>
    </row>
    <row r="1166" customFormat="false" ht="15.75" hidden="false" customHeight="false" outlineLevel="0" collapsed="false">
      <c r="A1166" s="3" t="n">
        <f aca="false">IFERROR(__xludf.dummyfunction("""COMPUTED_VALUE"""),45891.6666666667)</f>
        <v>45891.6666666667</v>
      </c>
      <c r="B1166" s="2" t="n">
        <f aca="false">IFERROR(__xludf.dummyfunction("""COMPUTED_VALUE"""),291.75)</f>
        <v>291.75</v>
      </c>
      <c r="C1166" s="2" t="n">
        <f aca="false">IFERROR(__xludf.dummyfunction("""COMPUTED_VALUE"""),300.09)</f>
        <v>300.09</v>
      </c>
      <c r="D1166" s="2" t="n">
        <f aca="false">IFERROR(__xludf.dummyfunction("""COMPUTED_VALUE"""),289.01)</f>
        <v>289.01</v>
      </c>
      <c r="E1166" s="2" t="n">
        <f aca="false">IFERROR(__xludf.dummyfunction("""COMPUTED_VALUE"""),294)</f>
        <v>294</v>
      </c>
      <c r="F1166" s="2" t="n">
        <f aca="false">IFERROR(__xludf.dummyfunction("""COMPUTED_VALUE"""),16301330)</f>
        <v>16301330</v>
      </c>
    </row>
    <row r="1167" customFormat="false" ht="15.75" hidden="false" customHeight="false" outlineLevel="0" collapsed="false">
      <c r="A1167" s="3" t="n">
        <f aca="false">IFERROR(__xludf.dummyfunction("""COMPUTED_VALUE"""),45894.6666666667)</f>
        <v>45894.6666666667</v>
      </c>
      <c r="B1167" s="2" t="n">
        <f aca="false">IFERROR(__xludf.dummyfunction("""COMPUTED_VALUE"""),292.81)</f>
        <v>292.81</v>
      </c>
      <c r="C1167" s="2" t="n">
        <f aca="false">IFERROR(__xludf.dummyfunction("""COMPUTED_VALUE"""),298.4)</f>
        <v>298.4</v>
      </c>
      <c r="D1167" s="2" t="n">
        <f aca="false">IFERROR(__xludf.dummyfunction("""COMPUTED_VALUE"""),291.71)</f>
        <v>291.71</v>
      </c>
      <c r="E1167" s="2" t="n">
        <f aca="false">IFERROR(__xludf.dummyfunction("""COMPUTED_VALUE"""),294.23)</f>
        <v>294.23</v>
      </c>
      <c r="F1167" s="2" t="n">
        <f aca="false">IFERROR(__xludf.dummyfunction("""COMPUTED_VALUE"""),15124746)</f>
        <v>15124746</v>
      </c>
    </row>
    <row r="1168" customFormat="false" ht="15.75" hidden="false" customHeight="false" outlineLevel="0" collapsed="false">
      <c r="A1168" s="3" t="n">
        <f aca="false">IFERROR(__xludf.dummyfunction("""COMPUTED_VALUE"""),45895.6666666667)</f>
        <v>45895.6666666667</v>
      </c>
      <c r="B1168" s="2" t="n">
        <f aca="false">IFERROR(__xludf.dummyfunction("""COMPUTED_VALUE"""),294.35)</f>
        <v>294.35</v>
      </c>
      <c r="C1168" s="2" t="n">
        <f aca="false">IFERROR(__xludf.dummyfunction("""COMPUTED_VALUE"""),300.25)</f>
        <v>300.25</v>
      </c>
      <c r="D1168" s="2" t="n">
        <f aca="false">IFERROR(__xludf.dummyfunction("""COMPUTED_VALUE"""),293.99)</f>
        <v>293.99</v>
      </c>
      <c r="E1168" s="2" t="n">
        <f aca="false">IFERROR(__xludf.dummyfunction("""COMPUTED_VALUE"""),298.01)</f>
        <v>298.01</v>
      </c>
      <c r="F1168" s="2" t="n">
        <f aca="false">IFERROR(__xludf.dummyfunction("""COMPUTED_VALUE"""),25689111)</f>
        <v>25689111</v>
      </c>
    </row>
    <row r="1169" customFormat="false" ht="15.75" hidden="false" customHeight="false" outlineLevel="0" collapsed="false">
      <c r="A1169" s="3" t="n">
        <f aca="false">IFERROR(__xludf.dummyfunction("""COMPUTED_VALUE"""),45896.6666666667)</f>
        <v>45896.6666666667</v>
      </c>
      <c r="B1169" s="2" t="n">
        <f aca="false">IFERROR(__xludf.dummyfunction("""COMPUTED_VALUE"""),297.53)</f>
        <v>297.53</v>
      </c>
      <c r="C1169" s="2" t="n">
        <f aca="false">IFERROR(__xludf.dummyfunction("""COMPUTED_VALUE"""),301.18)</f>
        <v>301.18</v>
      </c>
      <c r="D1169" s="2" t="n">
        <f aca="false">IFERROR(__xludf.dummyfunction("""COMPUTED_VALUE"""),293.78)</f>
        <v>293.78</v>
      </c>
      <c r="E1169" s="2" t="n">
        <f aca="false">IFERROR(__xludf.dummyfunction("""COMPUTED_VALUE"""),300.25)</f>
        <v>300.25</v>
      </c>
      <c r="F1169" s="2" t="n">
        <f aca="false">IFERROR(__xludf.dummyfunction("""COMPUTED_VALUE"""),13830302)</f>
        <v>13830302</v>
      </c>
    </row>
    <row r="1170" customFormat="false" ht="15.75" hidden="false" customHeight="false" outlineLevel="0" collapsed="false">
      <c r="A1170" s="3" t="n">
        <f aca="false">IFERROR(__xludf.dummyfunction("""COMPUTED_VALUE"""),45897.6666666667)</f>
        <v>45897.6666666667</v>
      </c>
      <c r="B1170" s="2" t="n">
        <f aca="false">IFERROR(__xludf.dummyfunction("""COMPUTED_VALUE"""),302.93)</f>
        <v>302.93</v>
      </c>
      <c r="C1170" s="2" t="n">
        <f aca="false">IFERROR(__xludf.dummyfunction("""COMPUTED_VALUE"""),311)</f>
        <v>311</v>
      </c>
      <c r="D1170" s="2" t="n">
        <f aca="false">IFERROR(__xludf.dummyfunction("""COMPUTED_VALUE"""),302.33)</f>
        <v>302.33</v>
      </c>
      <c r="E1170" s="2" t="n">
        <f aca="false">IFERROR(__xludf.dummyfunction("""COMPUTED_VALUE"""),308.65)</f>
        <v>308.65</v>
      </c>
      <c r="F1170" s="2" t="n">
        <f aca="false">IFERROR(__xludf.dummyfunction("""COMPUTED_VALUE"""),18907053)</f>
        <v>18907053</v>
      </c>
    </row>
    <row r="1171" customFormat="false" ht="15.75" hidden="false" customHeight="false" outlineLevel="0" collapsed="false">
      <c r="A1171" s="3" t="n">
        <f aca="false">IFERROR(__xludf.dummyfunction("""COMPUTED_VALUE"""),45898.6666666667)</f>
        <v>45898.6666666667</v>
      </c>
      <c r="B1171" s="2" t="n">
        <f aca="false">IFERROR(__xludf.dummyfunction("""COMPUTED_VALUE"""),307.01)</f>
        <v>307.01</v>
      </c>
      <c r="C1171" s="2" t="n">
        <f aca="false">IFERROR(__xludf.dummyfunction("""COMPUTED_VALUE"""),307.01)</f>
        <v>307.01</v>
      </c>
      <c r="D1171" s="2" t="n">
        <f aca="false">IFERROR(__xludf.dummyfunction("""COMPUTED_VALUE"""),293.66)</f>
        <v>293.66</v>
      </c>
      <c r="E1171" s="2" t="n">
        <f aca="false">IFERROR(__xludf.dummyfunction("""COMPUTED_VALUE"""),297.39)</f>
        <v>297.39</v>
      </c>
      <c r="F1171" s="2" t="n">
        <f aca="false">IFERROR(__xludf.dummyfunction("""COMPUTED_VALUE"""),21610682)</f>
        <v>21610682</v>
      </c>
    </row>
    <row r="1172" customFormat="false" ht="15.75" hidden="false" customHeight="false" outlineLevel="0" collapsed="false">
      <c r="A1172" s="3" t="n">
        <f aca="false">IFERROR(__xludf.dummyfunction("""COMPUTED_VALUE"""),45902.6666666667)</f>
        <v>45902.6666666667</v>
      </c>
      <c r="B1172" s="2" t="n">
        <f aca="false">IFERROR(__xludf.dummyfunction("""COMPUTED_VALUE"""),289.34)</f>
        <v>289.34</v>
      </c>
      <c r="C1172" s="2" t="n">
        <f aca="false">IFERROR(__xludf.dummyfunction("""COMPUTED_VALUE"""),298.71)</f>
        <v>298.71</v>
      </c>
      <c r="D1172" s="2" t="n">
        <f aca="false">IFERROR(__xludf.dummyfunction("""COMPUTED_VALUE"""),287.17)</f>
        <v>287.17</v>
      </c>
      <c r="E1172" s="2" t="n">
        <f aca="false">IFERROR(__xludf.dummyfunction("""COMPUTED_VALUE"""),298.24)</f>
        <v>298.24</v>
      </c>
      <c r="F1172" s="2" t="n">
        <f aca="false">IFERROR(__xludf.dummyfunction("""COMPUTED_VALUE"""),19693016)</f>
        <v>19693016</v>
      </c>
    </row>
    <row r="1173" customFormat="false" ht="15.75" hidden="false" customHeight="false" outlineLevel="0" collapsed="false">
      <c r="A1173" s="3" t="n">
        <f aca="false">IFERROR(__xludf.dummyfunction("""COMPUTED_VALUE"""),45903.6666666667)</f>
        <v>45903.6666666667</v>
      </c>
      <c r="B1173" s="2" t="n">
        <f aca="false">IFERROR(__xludf.dummyfunction("""COMPUTED_VALUE"""),302.29)</f>
        <v>302.29</v>
      </c>
      <c r="C1173" s="2" t="n">
        <f aca="false">IFERROR(__xludf.dummyfunction("""COMPUTED_VALUE"""),304.45)</f>
        <v>304.45</v>
      </c>
      <c r="D1173" s="2" t="n">
        <f aca="false">IFERROR(__xludf.dummyfunction("""COMPUTED_VALUE"""),296.4)</f>
        <v>296.4</v>
      </c>
      <c r="E1173" s="2" t="n">
        <f aca="false">IFERROR(__xludf.dummyfunction("""COMPUTED_VALUE"""),302.39)</f>
        <v>302.39</v>
      </c>
      <c r="F1173" s="2" t="n">
        <f aca="false">IFERROR(__xludf.dummyfunction("""COMPUTED_VALUE"""),18529390)</f>
        <v>18529390</v>
      </c>
    </row>
    <row r="1174" customFormat="false" ht="15.75" hidden="false" customHeight="false" outlineLevel="0" collapsed="false">
      <c r="A1174" s="3" t="n">
        <f aca="false">IFERROR(__xludf.dummyfunction("""COMPUTED_VALUE"""),45904.6666666667)</f>
        <v>45904.6666666667</v>
      </c>
      <c r="B1174" s="2" t="n">
        <f aca="false">IFERROR(__xludf.dummyfunction("""COMPUTED_VALUE"""),305.06)</f>
        <v>305.06</v>
      </c>
      <c r="C1174" s="2" t="n">
        <f aca="false">IFERROR(__xludf.dummyfunction("""COMPUTED_VALUE"""),308.78)</f>
        <v>308.78</v>
      </c>
      <c r="D1174" s="2" t="n">
        <f aca="false">IFERROR(__xludf.dummyfunction("""COMPUTED_VALUE"""),302.25)</f>
        <v>302.25</v>
      </c>
      <c r="E1174" s="2" t="n">
        <f aca="false">IFERROR(__xludf.dummyfunction("""COMPUTED_VALUE"""),306.1)</f>
        <v>306.1</v>
      </c>
      <c r="F1174" s="2" t="n">
        <f aca="false">IFERROR(__xludf.dummyfunction("""COMPUTED_VALUE"""),31220803)</f>
        <v>31220803</v>
      </c>
    </row>
    <row r="1175" customFormat="false" ht="15.75" hidden="false" customHeight="false" outlineLevel="0" collapsed="false">
      <c r="A1175" s="3" t="n">
        <f aca="false">IFERROR(__xludf.dummyfunction("""COMPUTED_VALUE"""),45905.6666666667)</f>
        <v>45905.6666666667</v>
      </c>
      <c r="B1175" s="2" t="n">
        <f aca="false">IFERROR(__xludf.dummyfunction("""COMPUTED_VALUE"""),355.78)</f>
        <v>355.78</v>
      </c>
      <c r="C1175" s="2" t="n">
        <f aca="false">IFERROR(__xludf.dummyfunction("""COMPUTED_VALUE"""),356.34)</f>
        <v>356.34</v>
      </c>
      <c r="D1175" s="2" t="n">
        <f aca="false">IFERROR(__xludf.dummyfunction("""COMPUTED_VALUE"""),331.42)</f>
        <v>331.42</v>
      </c>
      <c r="E1175" s="2" t="n">
        <f aca="false">IFERROR(__xludf.dummyfunction("""COMPUTED_VALUE"""),334.89)</f>
        <v>334.89</v>
      </c>
      <c r="F1175" s="2" t="n">
        <f aca="false">IFERROR(__xludf.dummyfunction("""COMPUTED_VALUE"""),78401554)</f>
        <v>78401554</v>
      </c>
    </row>
    <row r="1176" customFormat="false" ht="15.75" hidden="false" customHeight="false" outlineLevel="0" collapsed="false">
      <c r="A1176" s="3" t="n">
        <f aca="false">IFERROR(__xludf.dummyfunction("""COMPUTED_VALUE"""),45908.6666666667)</f>
        <v>45908.6666666667</v>
      </c>
      <c r="B1176" s="2" t="n">
        <f aca="false">IFERROR(__xludf.dummyfunction("""COMPUTED_VALUE"""),342.75)</f>
        <v>342.75</v>
      </c>
      <c r="C1176" s="2" t="n">
        <f aca="false">IFERROR(__xludf.dummyfunction("""COMPUTED_VALUE"""),354.17)</f>
        <v>354.17</v>
      </c>
      <c r="D1176" s="2" t="n">
        <f aca="false">IFERROR(__xludf.dummyfunction("""COMPUTED_VALUE"""),341.25)</f>
        <v>341.25</v>
      </c>
      <c r="E1176" s="2" t="n">
        <f aca="false">IFERROR(__xludf.dummyfunction("""COMPUTED_VALUE"""),345.65)</f>
        <v>345.65</v>
      </c>
      <c r="F1176" s="2" t="n">
        <f aca="false">IFERROR(__xludf.dummyfunction("""COMPUTED_VALUE"""),43535639)</f>
        <v>43535639</v>
      </c>
    </row>
    <row r="1177" customFormat="false" ht="15.75" hidden="false" customHeight="false" outlineLevel="0" collapsed="false">
      <c r="A1177" s="3" t="n">
        <f aca="false">IFERROR(__xludf.dummyfunction("""COMPUTED_VALUE"""),45909.6666666667)</f>
        <v>45909.6666666667</v>
      </c>
      <c r="B1177" s="2" t="n">
        <f aca="false">IFERROR(__xludf.dummyfunction("""COMPUTED_VALUE"""),349.55)</f>
        <v>349.55</v>
      </c>
      <c r="C1177" s="2" t="n">
        <f aca="false">IFERROR(__xludf.dummyfunction("""COMPUTED_VALUE"""),350.98)</f>
        <v>350.98</v>
      </c>
      <c r="D1177" s="2" t="n">
        <f aca="false">IFERROR(__xludf.dummyfunction("""COMPUTED_VALUE"""),335.83)</f>
        <v>335.83</v>
      </c>
      <c r="E1177" s="2" t="n">
        <f aca="false">IFERROR(__xludf.dummyfunction("""COMPUTED_VALUE"""),336.67)</f>
        <v>336.67</v>
      </c>
      <c r="F1177" s="2" t="n">
        <f aca="false">IFERROR(__xludf.dummyfunction("""COMPUTED_VALUE"""),26972315)</f>
        <v>26972315</v>
      </c>
    </row>
    <row r="1178" customFormat="false" ht="15.75" hidden="false" customHeight="false" outlineLevel="0" collapsed="false">
      <c r="A1178" s="3" t="n">
        <f aca="false">IFERROR(__xludf.dummyfunction("""COMPUTED_VALUE"""),45910.6666666667)</f>
        <v>45910.6666666667</v>
      </c>
      <c r="B1178" s="2" t="n">
        <f aca="false">IFERROR(__xludf.dummyfunction("""COMPUTED_VALUE"""),351.52)</f>
        <v>351.52</v>
      </c>
      <c r="C1178" s="2" t="n">
        <f aca="false">IFERROR(__xludf.dummyfunction("""COMPUTED_VALUE"""),372.97)</f>
        <v>372.97</v>
      </c>
      <c r="D1178" s="2" t="n">
        <f aca="false">IFERROR(__xludf.dummyfunction("""COMPUTED_VALUE"""),350.55)</f>
        <v>350.55</v>
      </c>
      <c r="E1178" s="2" t="n">
        <f aca="false">IFERROR(__xludf.dummyfunction("""COMPUTED_VALUE"""),369.57)</f>
        <v>369.57</v>
      </c>
      <c r="F1178" s="2" t="n">
        <f aca="false">IFERROR(__xludf.dummyfunction("""COMPUTED_VALUE"""),51086826)</f>
        <v>51086826</v>
      </c>
    </row>
    <row r="1179" customFormat="false" ht="15.75" hidden="false" customHeight="false" outlineLevel="0" collapsed="false">
      <c r="A1179" s="3" t="n">
        <f aca="false">IFERROR(__xludf.dummyfunction("""COMPUTED_VALUE"""),45911.6666666667)</f>
        <v>45911.6666666667</v>
      </c>
      <c r="B1179" s="2" t="n">
        <f aca="false">IFERROR(__xludf.dummyfunction("""COMPUTED_VALUE"""),371.18)</f>
        <v>371.18</v>
      </c>
      <c r="C1179" s="2" t="n">
        <f aca="false">IFERROR(__xludf.dummyfunction("""COMPUTED_VALUE"""),374.23)</f>
        <v>374.23</v>
      </c>
      <c r="D1179" s="2" t="n">
        <f aca="false">IFERROR(__xludf.dummyfunction("""COMPUTED_VALUE"""),358.76)</f>
        <v>358.76</v>
      </c>
      <c r="E1179" s="2" t="n">
        <f aca="false">IFERROR(__xludf.dummyfunction("""COMPUTED_VALUE"""),359.63)</f>
        <v>359.63</v>
      </c>
      <c r="F1179" s="2" t="n">
        <f aca="false">IFERROR(__xludf.dummyfunction("""COMPUTED_VALUE"""),29430947)</f>
        <v>29430947</v>
      </c>
    </row>
    <row r="1180" customFormat="false" ht="15.75" hidden="false" customHeight="false" outlineLevel="0" collapsed="false">
      <c r="A1180" s="3" t="n">
        <f aca="false">IFERROR(__xludf.dummyfunction("""COMPUTED_VALUE"""),45912.6666666667)</f>
        <v>45912.6666666667</v>
      </c>
      <c r="B1180" s="2" t="n">
        <f aca="false">IFERROR(__xludf.dummyfunction("""COMPUTED_VALUE"""),362.91)</f>
        <v>362.91</v>
      </c>
      <c r="C1180" s="2" t="n">
        <f aca="false">IFERROR(__xludf.dummyfunction("""COMPUTED_VALUE"""),364.39)</f>
        <v>364.39</v>
      </c>
      <c r="D1180" s="2" t="n">
        <f aca="false">IFERROR(__xludf.dummyfunction("""COMPUTED_VALUE"""),357.16)</f>
        <v>357.16</v>
      </c>
      <c r="E1180" s="2" t="n">
        <f aca="false">IFERROR(__xludf.dummyfunction("""COMPUTED_VALUE"""),359.87)</f>
        <v>359.87</v>
      </c>
      <c r="F1180" s="2" t="n">
        <f aca="false">IFERROR(__xludf.dummyfunction("""COMPUTED_VALUE"""),31949795)</f>
        <v>31949795</v>
      </c>
    </row>
    <row r="1181" customFormat="false" ht="15.75" hidden="false" customHeight="false" outlineLevel="0" collapsed="false">
      <c r="A1181" s="3" t="n">
        <f aca="false">IFERROR(__xludf.dummyfunction("""COMPUTED_VALUE"""),45915.6666666667)</f>
        <v>45915.6666666667</v>
      </c>
      <c r="B1181" s="2" t="n">
        <f aca="false">IFERROR(__xludf.dummyfunction("""COMPUTED_VALUE"""),359.87)</f>
        <v>359.87</v>
      </c>
      <c r="C1181" s="2" t="n">
        <f aca="false">IFERROR(__xludf.dummyfunction("""COMPUTED_VALUE"""),365.5)</f>
        <v>365.5</v>
      </c>
      <c r="D1181" s="2" t="n">
        <f aca="false">IFERROR(__xludf.dummyfunction("""COMPUTED_VALUE"""),356.34)</f>
        <v>356.34</v>
      </c>
      <c r="E1181" s="2" t="n">
        <f aca="false">IFERROR(__xludf.dummyfunction("""COMPUTED_VALUE"""),364.09)</f>
        <v>364.09</v>
      </c>
      <c r="F1181" s="2" t="n">
        <f aca="false">IFERROR(__xludf.dummyfunction("""COMPUTED_VALUE"""),21792185)</f>
        <v>21792185</v>
      </c>
    </row>
    <row r="1182" customFormat="false" ht="15.75" hidden="false" customHeight="false" outlineLevel="0" collapsed="false">
      <c r="A1182" s="3" t="n">
        <f aca="false">IFERROR(__xludf.dummyfunction("""COMPUTED_VALUE"""),45916.6666666667)</f>
        <v>45916.6666666667</v>
      </c>
      <c r="B1182" s="2" t="n">
        <f aca="false">IFERROR(__xludf.dummyfunction("""COMPUTED_VALUE"""),365.43)</f>
        <v>365.43</v>
      </c>
      <c r="C1182" s="2" t="n">
        <f aca="false">IFERROR(__xludf.dummyfunction("""COMPUTED_VALUE"""),365.69)</f>
        <v>365.69</v>
      </c>
      <c r="D1182" s="2" t="n">
        <f aca="false">IFERROR(__xludf.dummyfunction("""COMPUTED_VALUE"""),356.99)</f>
        <v>356.99</v>
      </c>
      <c r="E1182" s="2" t="n">
        <f aca="false">IFERROR(__xludf.dummyfunction("""COMPUTED_VALUE"""),360)</f>
        <v>360</v>
      </c>
      <c r="F1182" s="2" t="n">
        <f aca="false">IFERROR(__xludf.dummyfunction("""COMPUTED_VALUE"""),21306508)</f>
        <v>21306508</v>
      </c>
    </row>
    <row r="1183" customFormat="false" ht="15.75" hidden="false" customHeight="false" outlineLevel="0" collapsed="false">
      <c r="A1183" s="3" t="n">
        <f aca="false">IFERROR(__xludf.dummyfunction("""COMPUTED_VALUE"""),45917.6666666667)</f>
        <v>45917.6666666667</v>
      </c>
      <c r="B1183" s="2" t="n">
        <f aca="false">IFERROR(__xludf.dummyfunction("""COMPUTED_VALUE"""),358.85)</f>
        <v>358.85</v>
      </c>
      <c r="C1183" s="2" t="n">
        <f aca="false">IFERROR(__xludf.dummyfunction("""COMPUTED_VALUE"""),359.93)</f>
        <v>359.93</v>
      </c>
      <c r="D1183" s="2" t="n">
        <f aca="false">IFERROR(__xludf.dummyfunction("""COMPUTED_VALUE"""),341.5)</f>
        <v>341.5</v>
      </c>
      <c r="E1183" s="2" t="n">
        <f aca="false">IFERROR(__xludf.dummyfunction("""COMPUTED_VALUE"""),346.17)</f>
        <v>346.17</v>
      </c>
      <c r="F1183" s="2" t="n">
        <f aca="false">IFERROR(__xludf.dummyfunction("""COMPUTED_VALUE"""),45197133)</f>
        <v>45197133</v>
      </c>
    </row>
    <row r="1184" customFormat="false" ht="15.75" hidden="false" customHeight="false" outlineLevel="0" collapsed="false">
      <c r="A1184" s="3" t="n">
        <f aca="false">IFERROR(__xludf.dummyfunction("""COMPUTED_VALUE"""),45918.6666666667)</f>
        <v>45918.6666666667</v>
      </c>
      <c r="B1184" s="2" t="n">
        <f aca="false">IFERROR(__xludf.dummyfunction("""COMPUTED_VALUE"""),350)</f>
        <v>350</v>
      </c>
      <c r="C1184" s="2" t="n">
        <f aca="false">IFERROR(__xludf.dummyfunction("""COMPUTED_VALUE"""),350.7)</f>
        <v>350.7</v>
      </c>
      <c r="D1184" s="2" t="n">
        <f aca="false">IFERROR(__xludf.dummyfunction("""COMPUTED_VALUE"""),343.79)</f>
        <v>343.79</v>
      </c>
      <c r="E1184" s="2" t="n">
        <f aca="false">IFERROR(__xludf.dummyfunction("""COMPUTED_VALUE"""),345.35)</f>
        <v>345.35</v>
      </c>
      <c r="F1184" s="2" t="n">
        <f aca="false">IFERROR(__xludf.dummyfunction("""COMPUTED_VALUE"""),24663891)</f>
        <v>24663891</v>
      </c>
    </row>
    <row r="1185" customFormat="false" ht="15.75" hidden="false" customHeight="false" outlineLevel="0" collapsed="false">
      <c r="A1185" s="3" t="n">
        <f aca="false">IFERROR(__xludf.dummyfunction("""COMPUTED_VALUE"""),45919.6666666667)</f>
        <v>45919.6666666667</v>
      </c>
      <c r="B1185" s="2" t="n">
        <f aca="false">IFERROR(__xludf.dummyfunction("""COMPUTED_VALUE"""),344.65)</f>
        <v>344.65</v>
      </c>
      <c r="C1185" s="2" t="n">
        <f aca="false">IFERROR(__xludf.dummyfunction("""COMPUTED_VALUE"""),346.27)</f>
        <v>346.27</v>
      </c>
      <c r="D1185" s="2" t="n">
        <f aca="false">IFERROR(__xludf.dummyfunction("""COMPUTED_VALUE"""),336.43)</f>
        <v>336.43</v>
      </c>
      <c r="E1185" s="2" t="n">
        <f aca="false">IFERROR(__xludf.dummyfunction("""COMPUTED_VALUE"""),344.94)</f>
        <v>344.94</v>
      </c>
      <c r="F1185" s="2" t="n">
        <f aca="false">IFERROR(__xludf.dummyfunction("""COMPUTED_VALUE"""),41240071)</f>
        <v>41240071</v>
      </c>
    </row>
    <row r="1186" customFormat="false" ht="15.75" hidden="false" customHeight="false" outlineLevel="0" collapsed="false">
      <c r="A1186" s="3" t="n">
        <f aca="false">IFERROR(__xludf.dummyfunction("""COMPUTED_VALUE"""),45922.6666666667)</f>
        <v>45922.6666666667</v>
      </c>
      <c r="B1186" s="2" t="n">
        <f aca="false">IFERROR(__xludf.dummyfunction("""COMPUTED_VALUE"""),342.43)</f>
        <v>342.43</v>
      </c>
      <c r="C1186" s="2" t="n">
        <f aca="false">IFERROR(__xludf.dummyfunction("""COMPUTED_VALUE"""),346.67)</f>
        <v>346.67</v>
      </c>
      <c r="D1186" s="2" t="n">
        <f aca="false">IFERROR(__xludf.dummyfunction("""COMPUTED_VALUE"""),337.94)</f>
        <v>337.94</v>
      </c>
      <c r="E1186" s="2" t="n">
        <f aca="false">IFERROR(__xludf.dummyfunction("""COMPUTED_VALUE"""),338.79)</f>
        <v>338.79</v>
      </c>
      <c r="F1186" s="2" t="n">
        <f aca="false">IFERROR(__xludf.dummyfunction("""COMPUTED_VALUE"""),28660030)</f>
        <v>28660030</v>
      </c>
    </row>
    <row r="1187" customFormat="false" ht="15.75" hidden="false" customHeight="false" outlineLevel="0" collapsed="false">
      <c r="A1187" s="3" t="n">
        <f aca="false">IFERROR(__xludf.dummyfunction("""COMPUTED_VALUE"""),45923.6666666667)</f>
        <v>45923.6666666667</v>
      </c>
      <c r="B1187" s="2" t="n">
        <f aca="false">IFERROR(__xludf.dummyfunction("""COMPUTED_VALUE"""),340.24)</f>
        <v>340.24</v>
      </c>
      <c r="C1187" s="2" t="n">
        <f aca="false">IFERROR(__xludf.dummyfunction("""COMPUTED_VALUE"""),345.22)</f>
        <v>345.22</v>
      </c>
      <c r="D1187" s="2" t="n">
        <f aca="false">IFERROR(__xludf.dummyfunction("""COMPUTED_VALUE"""),337.02)</f>
        <v>337.02</v>
      </c>
      <c r="E1187" s="2" t="n">
        <f aca="false">IFERROR(__xludf.dummyfunction("""COMPUTED_VALUE"""),338.94)</f>
        <v>338.94</v>
      </c>
      <c r="F1187" s="2" t="n">
        <f aca="false">IFERROR(__xludf.dummyfunction("""COMPUTED_VALUE"""),21944079)</f>
        <v>21944079</v>
      </c>
    </row>
    <row r="1188" customFormat="false" ht="15.75" hidden="false" customHeight="false" outlineLevel="0" collapsed="false">
      <c r="A1188" s="3" t="n">
        <f aca="false">IFERROR(__xludf.dummyfunction("""COMPUTED_VALUE"""),45924.6666666667)</f>
        <v>45924.6666666667</v>
      </c>
      <c r="B1188" s="2" t="n">
        <f aca="false">IFERROR(__xludf.dummyfunction("""COMPUTED_VALUE"""),340.24)</f>
        <v>340.24</v>
      </c>
      <c r="C1188" s="2" t="n">
        <f aca="false">IFERROR(__xludf.dummyfunction("""COMPUTED_VALUE"""),345.22)</f>
        <v>345.22</v>
      </c>
      <c r="D1188" s="2" t="n">
        <f aca="false">IFERROR(__xludf.dummyfunction("""COMPUTED_VALUE"""),337.02)</f>
        <v>337.02</v>
      </c>
      <c r="E1188" s="2" t="n">
        <f aca="false">IFERROR(__xludf.dummyfunction("""COMPUTED_VALUE"""),338.94)</f>
        <v>338.94</v>
      </c>
      <c r="F1188" s="2" t="n">
        <f aca="false">IFERROR(__xludf.dummyfunction("""COMPUTED_VALUE"""),1162336)</f>
        <v>1162336</v>
      </c>
    </row>
    <row r="1189" customFormat="false" ht="15.75" hidden="false" customHeight="false" outlineLevel="0" collapsed="false">
      <c r="A1189" s="3" t="n">
        <f aca="false">IFERROR(__xludf.dummyfunction("""COMPUTED_VALUE"""),45925.6666666667)</f>
        <v>45925.6666666667</v>
      </c>
      <c r="B1189" s="2" t="n">
        <f aca="false">IFERROR(__xludf.dummyfunction("""COMPUTED_VALUE"""),332.99)</f>
        <v>332.99</v>
      </c>
      <c r="C1189" s="2" t="n">
        <f aca="false">IFERROR(__xludf.dummyfunction("""COMPUTED_VALUE"""),338.06)</f>
        <v>338.06</v>
      </c>
      <c r="D1189" s="2" t="n">
        <f aca="false">IFERROR(__xludf.dummyfunction("""COMPUTED_VALUE"""),327.3)</f>
        <v>327.3</v>
      </c>
      <c r="E1189" s="2" t="n">
        <f aca="false">IFERROR(__xludf.dummyfunction("""COMPUTED_VALUE"""),336.1)</f>
        <v>336.1</v>
      </c>
      <c r="F1189" s="2" t="n">
        <f aca="false">IFERROR(__xludf.dummyfunction("""COMPUTED_VALUE"""),21678187)</f>
        <v>21678187</v>
      </c>
    </row>
    <row r="1190" customFormat="false" ht="15.75" hidden="false" customHeight="false" outlineLevel="0" collapsed="false">
      <c r="A1190" s="3" t="n">
        <f aca="false">IFERROR(__xludf.dummyfunction("""COMPUTED_VALUE"""),45926.6666666667)</f>
        <v>45926.6666666667</v>
      </c>
      <c r="B1190" s="2" t="n">
        <f aca="false">IFERROR(__xludf.dummyfunction("""COMPUTED_VALUE"""),337.43)</f>
        <v>337.43</v>
      </c>
      <c r="C1190" s="2" t="n">
        <f aca="false">IFERROR(__xludf.dummyfunction("""COMPUTED_VALUE"""),339.08)</f>
        <v>339.08</v>
      </c>
      <c r="D1190" s="2" t="n">
        <f aca="false">IFERROR(__xludf.dummyfunction("""COMPUTED_VALUE"""),330.58)</f>
        <v>330.58</v>
      </c>
      <c r="E1190" s="2" t="n">
        <f aca="false">IFERROR(__xludf.dummyfunction("""COMPUTED_VALUE"""),334.53)</f>
        <v>334.53</v>
      </c>
      <c r="F1190" s="2" t="n">
        <f aca="false">IFERROR(__xludf.dummyfunction("""COMPUTED_VALUE"""),15464697)</f>
        <v>15464697</v>
      </c>
    </row>
    <row r="1191" customFormat="false" ht="15.75" hidden="false" customHeight="false" outlineLevel="0" collapsed="false">
      <c r="A1191" s="3" t="n">
        <f aca="false">IFERROR(__xludf.dummyfunction("""COMPUTED_VALUE"""),45929.6666666667)</f>
        <v>45929.6666666667</v>
      </c>
      <c r="B1191" s="2" t="n">
        <f aca="false">IFERROR(__xludf.dummyfunction("""COMPUTED_VALUE"""),336)</f>
        <v>336</v>
      </c>
      <c r="C1191" s="2" t="n">
        <f aca="false">IFERROR(__xludf.dummyfunction("""COMPUTED_VALUE"""),341.05)</f>
        <v>341.05</v>
      </c>
      <c r="D1191" s="2" t="n">
        <f aca="false">IFERROR(__xludf.dummyfunction("""COMPUTED_VALUE"""),327.55)</f>
        <v>327.55</v>
      </c>
      <c r="E1191" s="2" t="n">
        <f aca="false">IFERROR(__xludf.dummyfunction("""COMPUTED_VALUE"""),327.9)</f>
        <v>327.9</v>
      </c>
      <c r="F1191" s="2" t="n">
        <f aca="false">IFERROR(__xludf.dummyfunction("""COMPUTED_VALUE"""),21336001)</f>
        <v>21336001</v>
      </c>
    </row>
    <row r="1192" customFormat="false" ht="15.75" hidden="false" customHeight="false" outlineLevel="0" collapsed="false">
      <c r="A1192" s="3" t="n">
        <f aca="false">IFERROR(__xludf.dummyfunction("""COMPUTED_VALUE"""),45930.6666666667)</f>
        <v>45930.6666666667</v>
      </c>
      <c r="B1192" s="2" t="n">
        <f aca="false">IFERROR(__xludf.dummyfunction("""COMPUTED_VALUE"""),330.12)</f>
        <v>330.12</v>
      </c>
      <c r="C1192" s="2" t="n">
        <f aca="false">IFERROR(__xludf.dummyfunction("""COMPUTED_VALUE"""),331.05)</f>
        <v>331.05</v>
      </c>
      <c r="D1192" s="2" t="n">
        <f aca="false">IFERROR(__xludf.dummyfunction("""COMPUTED_VALUE"""),324.61)</f>
        <v>324.61</v>
      </c>
      <c r="E1192" s="2" t="n">
        <f aca="false">IFERROR(__xludf.dummyfunction("""COMPUTED_VALUE"""),329.91)</f>
        <v>329.91</v>
      </c>
      <c r="F1192" s="2" t="n">
        <f aca="false">IFERROR(__xludf.dummyfunction("""COMPUTED_VALUE"""),20109459)</f>
        <v>20109459</v>
      </c>
    </row>
    <row r="1193" customFormat="false" ht="15.75" hidden="false" customHeight="false" outlineLevel="0" collapsed="false">
      <c r="A1193" s="3" t="n">
        <f aca="false">IFERROR(__xludf.dummyfunction("""COMPUTED_VALUE"""),45931.6666666667)</f>
        <v>45931.6666666667</v>
      </c>
      <c r="B1193" s="2" t="n">
        <f aca="false">IFERROR(__xludf.dummyfunction("""COMPUTED_VALUE"""),328.15)</f>
        <v>328.15</v>
      </c>
      <c r="C1193" s="2" t="n">
        <f aca="false">IFERROR(__xludf.dummyfunction("""COMPUTED_VALUE"""),337.95)</f>
        <v>337.95</v>
      </c>
      <c r="D1193" s="2" t="n">
        <f aca="false">IFERROR(__xludf.dummyfunction("""COMPUTED_VALUE"""),324.5)</f>
        <v>324.5</v>
      </c>
      <c r="E1193" s="2" t="n">
        <f aca="false">IFERROR(__xludf.dummyfunction("""COMPUTED_VALUE"""),333.39)</f>
        <v>333.39</v>
      </c>
      <c r="F1193" s="2" t="n">
        <f aca="false">IFERROR(__xludf.dummyfunction("""COMPUTED_VALUE"""),21122687)</f>
        <v>21122687</v>
      </c>
    </row>
    <row r="1194" customFormat="false" ht="15.75" hidden="false" customHeight="false" outlineLevel="0" collapsed="false">
      <c r="A1194" s="3" t="n">
        <f aca="false">IFERROR(__xludf.dummyfunction("""COMPUTED_VALUE"""),45932.6666666667)</f>
        <v>45932.6666666667</v>
      </c>
      <c r="B1194" s="2" t="n">
        <f aca="false">IFERROR(__xludf.dummyfunction("""COMPUTED_VALUE"""),347.61)</f>
        <v>347.61</v>
      </c>
      <c r="C1194" s="2" t="n">
        <f aca="false">IFERROR(__xludf.dummyfunction("""COMPUTED_VALUE"""),347.61)</f>
        <v>347.61</v>
      </c>
      <c r="D1194" s="2" t="n">
        <f aca="false">IFERROR(__xludf.dummyfunction("""COMPUTED_VALUE"""),335.25)</f>
        <v>335.25</v>
      </c>
      <c r="E1194" s="2" t="n">
        <f aca="false">IFERROR(__xludf.dummyfunction("""COMPUTED_VALUE"""),338.18)</f>
        <v>338.18</v>
      </c>
      <c r="F1194" s="2" t="n">
        <f aca="false">IFERROR(__xludf.dummyfunction("""COMPUTED_VALUE"""),19917622)</f>
        <v>19917622</v>
      </c>
    </row>
    <row r="1195" customFormat="false" ht="15.75" hidden="false" customHeight="false" outlineLevel="0" collapsed="false">
      <c r="A1195" s="3" t="n">
        <f aca="false">IFERROR(__xludf.dummyfunction("""COMPUTED_VALUE"""),45933.6666666667)</f>
        <v>45933.6666666667</v>
      </c>
      <c r="B1195" s="2" t="n">
        <f aca="false">IFERROR(__xludf.dummyfunction("""COMPUTED_VALUE"""),341.5)</f>
        <v>341.5</v>
      </c>
      <c r="C1195" s="2" t="n">
        <f aca="false">IFERROR(__xludf.dummyfunction("""COMPUTED_VALUE"""),344.4)</f>
        <v>344.4</v>
      </c>
      <c r="D1195" s="2" t="n">
        <f aca="false">IFERROR(__xludf.dummyfunction("""COMPUTED_VALUE"""),335.74)</f>
        <v>335.74</v>
      </c>
      <c r="E1195" s="2" t="n">
        <f aca="false">IFERROR(__xludf.dummyfunction("""COMPUTED_VALUE"""),338.37)</f>
        <v>338.37</v>
      </c>
      <c r="F1195" s="2" t="n">
        <f aca="false">IFERROR(__xludf.dummyfunction("""COMPUTED_VALUE"""),14749068)</f>
        <v>14749068</v>
      </c>
    </row>
    <row r="1196" customFormat="false" ht="15.75" hidden="false" customHeight="false" outlineLevel="0" collapsed="false">
      <c r="A1196" s="3" t="n">
        <f aca="false">IFERROR(__xludf.dummyfunction("""COMPUTED_VALUE"""),45936.6666666667)</f>
        <v>45936.6666666667</v>
      </c>
      <c r="B1196" s="2" t="n">
        <f aca="false">IFERROR(__xludf.dummyfunction("""COMPUTED_VALUE"""),335.92)</f>
        <v>335.92</v>
      </c>
      <c r="C1196" s="2" t="n">
        <f aca="false">IFERROR(__xludf.dummyfunction("""COMPUTED_VALUE"""),344.13)</f>
        <v>344.13</v>
      </c>
      <c r="D1196" s="2" t="n">
        <f aca="false">IFERROR(__xludf.dummyfunction("""COMPUTED_VALUE"""),334.56)</f>
        <v>334.56</v>
      </c>
      <c r="E1196" s="2" t="n">
        <f aca="false">IFERROR(__xludf.dummyfunction("""COMPUTED_VALUE"""),335.49)</f>
        <v>335.49</v>
      </c>
      <c r="F1196" s="2" t="n">
        <f aca="false">IFERROR(__xludf.dummyfunction("""COMPUTED_VALUE"""),18465729)</f>
        <v>18465729</v>
      </c>
    </row>
    <row r="1197" customFormat="false" ht="15.75" hidden="false" customHeight="false" outlineLevel="0" collapsed="false">
      <c r="A1197" s="3" t="n">
        <f aca="false">IFERROR(__xludf.dummyfunction("""COMPUTED_VALUE"""),45937.6666666667)</f>
        <v>45937.6666666667</v>
      </c>
      <c r="B1197" s="2" t="n">
        <f aca="false">IFERROR(__xludf.dummyfunction("""COMPUTED_VALUE"""),337.03)</f>
        <v>337.03</v>
      </c>
      <c r="C1197" s="2" t="n">
        <f aca="false">IFERROR(__xludf.dummyfunction("""COMPUTED_VALUE"""),338.11)</f>
        <v>338.11</v>
      </c>
      <c r="D1197" s="2" t="n">
        <f aca="false">IFERROR(__xludf.dummyfunction("""COMPUTED_VALUE"""),326.58)</f>
        <v>326.58</v>
      </c>
      <c r="E1197" s="2" t="n">
        <f aca="false">IFERROR(__xludf.dummyfunction("""COMPUTED_VALUE"""),336.41)</f>
        <v>336.41</v>
      </c>
      <c r="F1197" s="2" t="n">
        <f aca="false">IFERROR(__xludf.dummyfunction("""COMPUTED_VALUE"""),18086705)</f>
        <v>18086705</v>
      </c>
    </row>
    <row r="1198" customFormat="false" ht="15.75" hidden="false" customHeight="false" outlineLevel="0" collapsed="false">
      <c r="A1198" s="3" t="n">
        <f aca="false">IFERROR(__xludf.dummyfunction("""COMPUTED_VALUE"""),45938.6666666667)</f>
        <v>45938.6666666667</v>
      </c>
      <c r="B1198" s="2" t="n">
        <f aca="false">IFERROR(__xludf.dummyfunction("""COMPUTED_VALUE"""),333.82)</f>
        <v>333.82</v>
      </c>
      <c r="C1198" s="2" t="n">
        <f aca="false">IFERROR(__xludf.dummyfunction("""COMPUTED_VALUE"""),346.54)</f>
        <v>346.54</v>
      </c>
      <c r="D1198" s="2" t="n">
        <f aca="false">IFERROR(__xludf.dummyfunction("""COMPUTED_VALUE"""),332.62)</f>
        <v>332.62</v>
      </c>
      <c r="E1198" s="2" t="n">
        <f aca="false">IFERROR(__xludf.dummyfunction("""COMPUTED_VALUE"""),345.5)</f>
        <v>345.5</v>
      </c>
      <c r="F1198" s="2" t="n">
        <f aca="false">IFERROR(__xludf.dummyfunction("""COMPUTED_VALUE"""),21478344)</f>
        <v>21478344</v>
      </c>
    </row>
    <row r="1199" customFormat="false" ht="15.75" hidden="false" customHeight="false" outlineLevel="0" collapsed="false">
      <c r="A1199" s="3" t="n">
        <f aca="false">IFERROR(__xludf.dummyfunction("""COMPUTED_VALUE"""),45939.6666666667)</f>
        <v>45939.6666666667</v>
      </c>
      <c r="B1199" s="2" t="n">
        <f aca="false">IFERROR(__xludf.dummyfunction("""COMPUTED_VALUE"""),345.75)</f>
        <v>345.75</v>
      </c>
      <c r="C1199" s="2" t="n">
        <f aca="false">IFERROR(__xludf.dummyfunction("""COMPUTED_VALUE"""),347.31)</f>
        <v>347.31</v>
      </c>
      <c r="D1199" s="2" t="n">
        <f aca="false">IFERROR(__xludf.dummyfunction("""COMPUTED_VALUE"""),340.4)</f>
        <v>340.4</v>
      </c>
      <c r="E1199" s="2" t="n">
        <f aca="false">IFERROR(__xludf.dummyfunction("""COMPUTED_VALUE"""),345.02)</f>
        <v>345.02</v>
      </c>
      <c r="F1199" s="2" t="n">
        <f aca="false">IFERROR(__xludf.dummyfunction("""COMPUTED_VALUE"""),17643744)</f>
        <v>17643744</v>
      </c>
    </row>
    <row r="1200" customFormat="false" ht="15.75" hidden="false" customHeight="false" outlineLevel="0" collapsed="false">
      <c r="A1200" s="3" t="n">
        <f aca="false">IFERROR(__xludf.dummyfunction("""COMPUTED_VALUE"""),45940.6666666667)</f>
        <v>45940.6666666667</v>
      </c>
      <c r="B1200" s="2" t="n">
        <f aca="false">IFERROR(__xludf.dummyfunction("""COMPUTED_VALUE"""),345.39)</f>
        <v>345.39</v>
      </c>
      <c r="C1200" s="2" t="n">
        <f aca="false">IFERROR(__xludf.dummyfunction("""COMPUTED_VALUE"""),350.6)</f>
        <v>350.6</v>
      </c>
      <c r="D1200" s="2" t="n">
        <f aca="false">IFERROR(__xludf.dummyfunction("""COMPUTED_VALUE"""),324.05)</f>
        <v>324.05</v>
      </c>
      <c r="E1200" s="2" t="n">
        <f aca="false">IFERROR(__xludf.dummyfunction("""COMPUTED_VALUE"""),324.63)</f>
        <v>324.63</v>
      </c>
      <c r="F1200" s="2" t="n">
        <f aca="false">IFERROR(__xludf.dummyfunction("""COMPUTED_VALUE"""),28941011)</f>
        <v>28941011</v>
      </c>
    </row>
    <row r="1201" customFormat="false" ht="15.75" hidden="false" customHeight="false" outlineLevel="0" collapsed="false">
      <c r="A1201" s="3" t="n">
        <f aca="false">IFERROR(__xludf.dummyfunction("""COMPUTED_VALUE"""),45943.6666666667)</f>
        <v>45943.6666666667</v>
      </c>
      <c r="B1201" s="2" t="n">
        <f aca="false">IFERROR(__xludf.dummyfunction("""COMPUTED_VALUE"""),352.77)</f>
        <v>352.77</v>
      </c>
      <c r="C1201" s="2" t="n">
        <f aca="false">IFERROR(__xludf.dummyfunction("""COMPUTED_VALUE"""),359.38)</f>
        <v>359.38</v>
      </c>
      <c r="D1201" s="2" t="n">
        <f aca="false">IFERROR(__xludf.dummyfunction("""COMPUTED_VALUE"""),343.52)</f>
        <v>343.52</v>
      </c>
      <c r="E1201" s="2" t="n">
        <f aca="false">IFERROR(__xludf.dummyfunction("""COMPUTED_VALUE"""),356.7)</f>
        <v>356.7</v>
      </c>
      <c r="F1201" s="2" t="n">
        <f aca="false">IFERROR(__xludf.dummyfunction("""COMPUTED_VALUE"""),45984259)</f>
        <v>45984259</v>
      </c>
    </row>
    <row r="1202" customFormat="false" ht="15.75" hidden="false" customHeight="false" outlineLevel="0" collapsed="false">
      <c r="A1202" s="3" t="n">
        <f aca="false">IFERROR(__xludf.dummyfunction("""COMPUTED_VALUE"""),45944.6666666667)</f>
        <v>45944.6666666667</v>
      </c>
      <c r="B1202" s="2" t="n">
        <f aca="false">IFERROR(__xludf.dummyfunction("""COMPUTED_VALUE"""),350.13)</f>
        <v>350.13</v>
      </c>
      <c r="C1202" s="2" t="n">
        <f aca="false">IFERROR(__xludf.dummyfunction("""COMPUTED_VALUE"""),350.67)</f>
        <v>350.67</v>
      </c>
      <c r="D1202" s="2" t="n">
        <f aca="false">IFERROR(__xludf.dummyfunction("""COMPUTED_VALUE"""),339.65)</f>
        <v>339.65</v>
      </c>
      <c r="E1202" s="2" t="n">
        <f aca="false">IFERROR(__xludf.dummyfunction("""COMPUTED_VALUE"""),344.13)</f>
        <v>344.13</v>
      </c>
      <c r="F1202" s="2" t="n">
        <f aca="false">IFERROR(__xludf.dummyfunction("""COMPUTED_VALUE"""),22078000)</f>
        <v>22078000</v>
      </c>
    </row>
    <row r="1203" customFormat="false" ht="15.75" hidden="false" customHeight="false" outlineLevel="0" collapsed="false">
      <c r="A1203" s="3" t="n">
        <f aca="false">IFERROR(__xludf.dummyfunction("""COMPUTED_VALUE"""),45945.6666666667)</f>
        <v>45945.6666666667</v>
      </c>
      <c r="B1203" s="2" t="n">
        <f aca="false">IFERROR(__xludf.dummyfunction("""COMPUTED_VALUE"""),354.47)</f>
        <v>354.47</v>
      </c>
      <c r="C1203" s="2" t="n">
        <f aca="false">IFERROR(__xludf.dummyfunction("""COMPUTED_VALUE"""),359.4)</f>
        <v>359.4</v>
      </c>
      <c r="D1203" s="2" t="n">
        <f aca="false">IFERROR(__xludf.dummyfunction("""COMPUTED_VALUE"""),347.5)</f>
        <v>347.5</v>
      </c>
      <c r="E1203" s="2" t="n">
        <f aca="false">IFERROR(__xludf.dummyfunction("""COMPUTED_VALUE"""),351.33)</f>
        <v>351.33</v>
      </c>
      <c r="F1203" s="2" t="n">
        <f aca="false">IFERROR(__xludf.dummyfunction("""COMPUTED_VALUE"""),23918539)</f>
        <v>23918539</v>
      </c>
    </row>
    <row r="1204" customFormat="false" ht="15.75" hidden="false" customHeight="false" outlineLevel="0" collapsed="false">
      <c r="A1204" s="3" t="n">
        <f aca="false">IFERROR(__xludf.dummyfunction("""COMPUTED_VALUE"""),45946.6666666667)</f>
        <v>45946.6666666667</v>
      </c>
      <c r="B1204" s="2" t="n">
        <f aca="false">IFERROR(__xludf.dummyfunction("""COMPUTED_VALUE"""),356.8)</f>
        <v>356.8</v>
      </c>
      <c r="C1204" s="2" t="n">
        <f aca="false">IFERROR(__xludf.dummyfunction("""COMPUTED_VALUE"""),363.24)</f>
        <v>363.24</v>
      </c>
      <c r="D1204" s="2" t="n">
        <f aca="false">IFERROR(__xludf.dummyfunction("""COMPUTED_VALUE"""),349.49)</f>
        <v>349.49</v>
      </c>
      <c r="E1204" s="2" t="n">
        <f aca="false">IFERROR(__xludf.dummyfunction("""COMPUTED_VALUE"""),354.15)</f>
        <v>354.15</v>
      </c>
      <c r="F1204" s="2" t="n">
        <f aca="false">IFERROR(__xludf.dummyfunction("""COMPUTED_VALUE"""),20317222)</f>
        <v>20317222</v>
      </c>
    </row>
    <row r="1205" customFormat="false" ht="15.75" hidden="false" customHeight="false" outlineLevel="0" collapsed="false">
      <c r="A1205" s="3" t="n">
        <f aca="false">IFERROR(__xludf.dummyfunction("""COMPUTED_VALUE"""),45947.6666666667)</f>
        <v>45947.6666666667</v>
      </c>
      <c r="B1205" s="2" t="n">
        <f aca="false">IFERROR(__xludf.dummyfunction("""COMPUTED_VALUE"""),349.61)</f>
        <v>349.61</v>
      </c>
      <c r="C1205" s="2" t="n">
        <f aca="false">IFERROR(__xludf.dummyfunction("""COMPUTED_VALUE"""),350.97)</f>
        <v>350.97</v>
      </c>
      <c r="D1205" s="2" t="n">
        <f aca="false">IFERROR(__xludf.dummyfunction("""COMPUTED_VALUE"""),340.78)</f>
        <v>340.78</v>
      </c>
      <c r="E1205" s="2" t="n">
        <f aca="false">IFERROR(__xludf.dummyfunction("""COMPUTED_VALUE"""),349.33)</f>
        <v>349.33</v>
      </c>
      <c r="F1205" s="2" t="n">
        <f aca="false">IFERROR(__xludf.dummyfunction("""COMPUTED_VALUE"""),20937936)</f>
        <v>20937936</v>
      </c>
    </row>
    <row r="1206" customFormat="false" ht="15.75" hidden="false" customHeight="false" outlineLevel="0" collapsed="false">
      <c r="A1206" s="3" t="n">
        <f aca="false">IFERROR(__xludf.dummyfunction("""COMPUTED_VALUE"""),45950.6666666667)</f>
        <v>45950.6666666667</v>
      </c>
      <c r="B1206" s="2" t="n">
        <f aca="false">IFERROR(__xludf.dummyfunction("""COMPUTED_VALUE"""),353.8)</f>
        <v>353.8</v>
      </c>
      <c r="C1206" s="2" t="n">
        <f aca="false">IFERROR(__xludf.dummyfunction("""COMPUTED_VALUE"""),356.59)</f>
        <v>356.59</v>
      </c>
      <c r="D1206" s="2" t="n">
        <f aca="false">IFERROR(__xludf.dummyfunction("""COMPUTED_VALUE"""),347.84)</f>
        <v>347.84</v>
      </c>
      <c r="E1206" s="2" t="n">
        <f aca="false">IFERROR(__xludf.dummyfunction("""COMPUTED_VALUE"""),349.24)</f>
        <v>349.24</v>
      </c>
      <c r="F1206" s="2" t="n">
        <f aca="false">IFERROR(__xludf.dummyfunction("""COMPUTED_VALUE"""),15640229)</f>
        <v>15640229</v>
      </c>
    </row>
    <row r="1207" customFormat="false" ht="15.75" hidden="false" customHeight="false" outlineLevel="0" collapsed="false">
      <c r="A1207" s="3" t="n">
        <f aca="false">IFERROR(__xludf.dummyfunction("""COMPUTED_VALUE"""),45951.6666666667)</f>
        <v>45951.6666666667</v>
      </c>
      <c r="B1207" s="2" t="n">
        <f aca="false">IFERROR(__xludf.dummyfunction("""COMPUTED_VALUE"""),350)</f>
        <v>350</v>
      </c>
      <c r="C1207" s="2" t="n">
        <f aca="false">IFERROR(__xludf.dummyfunction("""COMPUTED_VALUE"""),351.1)</f>
        <v>351.1</v>
      </c>
      <c r="D1207" s="2" t="n">
        <f aca="false">IFERROR(__xludf.dummyfunction("""COMPUTED_VALUE"""),341.31)</f>
        <v>341.31</v>
      </c>
      <c r="E1207" s="2" t="n">
        <f aca="false">IFERROR(__xludf.dummyfunction("""COMPUTED_VALUE"""),342.66)</f>
        <v>342.66</v>
      </c>
      <c r="F1207" s="2" t="n">
        <f aca="false">IFERROR(__xludf.dummyfunction("""COMPUTED_VALUE"""),16092578)</f>
        <v>16092578</v>
      </c>
    </row>
    <row r="1208" customFormat="false" ht="15.75" hidden="false" customHeight="false" outlineLevel="0" collapsed="false">
      <c r="A1208" s="3" t="n">
        <f aca="false">IFERROR(__xludf.dummyfunction("""COMPUTED_VALUE"""),45952.6666666667)</f>
        <v>45952.6666666667</v>
      </c>
      <c r="B1208" s="2" t="n">
        <f aca="false">IFERROR(__xludf.dummyfunction("""COMPUTED_VALUE"""),347.3)</f>
        <v>347.3</v>
      </c>
      <c r="C1208" s="2" t="n">
        <f aca="false">IFERROR(__xludf.dummyfunction("""COMPUTED_VALUE"""),348.01)</f>
        <v>348.01</v>
      </c>
      <c r="D1208" s="2" t="n">
        <f aca="false">IFERROR(__xludf.dummyfunction("""COMPUTED_VALUE"""),335.51)</f>
        <v>335.51</v>
      </c>
      <c r="E1208" s="2" t="n">
        <f aca="false">IFERROR(__xludf.dummyfunction("""COMPUTED_VALUE"""),340.3)</f>
        <v>340.3</v>
      </c>
      <c r="F1208" s="2" t="n">
        <f aca="false">IFERROR(__xludf.dummyfunction("""COMPUTED_VALUE"""),19268825)</f>
        <v>19268825</v>
      </c>
    </row>
    <row r="1209" customFormat="false" ht="15.75" hidden="false" customHeight="false" outlineLevel="0" collapsed="false">
      <c r="A1209" s="3" t="n">
        <f aca="false">IFERROR(__xludf.dummyfunction("""COMPUTED_VALUE"""),45953.6666666667)</f>
        <v>45953.6666666667</v>
      </c>
      <c r="B1209" s="2" t="n">
        <f aca="false">IFERROR(__xludf.dummyfunction("""COMPUTED_VALUE"""),340.4)</f>
        <v>340.4</v>
      </c>
      <c r="C1209" s="2" t="n">
        <f aca="false">IFERROR(__xludf.dummyfunction("""COMPUTED_VALUE"""),346.57)</f>
        <v>346.57</v>
      </c>
      <c r="D1209" s="2" t="n">
        <f aca="false">IFERROR(__xludf.dummyfunction("""COMPUTED_VALUE"""),340.4)</f>
        <v>340.4</v>
      </c>
      <c r="E1209" s="2" t="n">
        <f aca="false">IFERROR(__xludf.dummyfunction("""COMPUTED_VALUE"""),344.29)</f>
        <v>344.29</v>
      </c>
      <c r="F1209" s="2" t="n">
        <f aca="false">IFERROR(__xludf.dummyfunction("""COMPUTED_VALUE"""),12859162)</f>
        <v>12859162</v>
      </c>
    </row>
    <row r="1210" customFormat="false" ht="15.75" hidden="false" customHeight="false" outlineLevel="0" collapsed="false">
      <c r="A1210" s="3" t="n">
        <f aca="false">IFERROR(__xludf.dummyfunction("""COMPUTED_VALUE"""),45954.6666666667)</f>
        <v>45954.6666666667</v>
      </c>
      <c r="B1210" s="2" t="n">
        <f aca="false">IFERROR(__xludf.dummyfunction("""COMPUTED_VALUE"""),352.51)</f>
        <v>352.51</v>
      </c>
      <c r="C1210" s="2" t="n">
        <f aca="false">IFERROR(__xludf.dummyfunction("""COMPUTED_VALUE"""),358.3)</f>
        <v>358.3</v>
      </c>
      <c r="D1210" s="2" t="n">
        <f aca="false">IFERROR(__xludf.dummyfunction("""COMPUTED_VALUE"""),350.88)</f>
        <v>350.88</v>
      </c>
      <c r="E1210" s="2" t="n">
        <f aca="false">IFERROR(__xludf.dummyfunction("""COMPUTED_VALUE"""),354.13)</f>
        <v>354.13</v>
      </c>
      <c r="F1210" s="2" t="n">
        <f aca="false">IFERROR(__xludf.dummyfunction("""COMPUTED_VALUE"""),16143739)</f>
        <v>16143739</v>
      </c>
    </row>
    <row r="1211" customFormat="false" ht="15.75" hidden="false" customHeight="false" outlineLevel="0" collapsed="false">
      <c r="A1211" s="3" t="n">
        <f aca="false">IFERROR(__xludf.dummyfunction("""COMPUTED_VALUE"""),45957.6666666667)</f>
        <v>45957.6666666667</v>
      </c>
      <c r="B1211" s="2" t="n">
        <f aca="false">IFERROR(__xludf.dummyfunction("""COMPUTED_VALUE"""),361.54)</f>
        <v>361.54</v>
      </c>
      <c r="C1211" s="2" t="n">
        <f aca="false">IFERROR(__xludf.dummyfunction("""COMPUTED_VALUE"""),362.75)</f>
        <v>362.75</v>
      </c>
      <c r="D1211" s="2" t="n">
        <f aca="false">IFERROR(__xludf.dummyfunction("""COMPUTED_VALUE"""),355.08)</f>
        <v>355.08</v>
      </c>
      <c r="E1211" s="2" t="n">
        <f aca="false">IFERROR(__xludf.dummyfunction("""COMPUTED_VALUE"""),362.05)</f>
        <v>362.05</v>
      </c>
      <c r="F1211" s="2" t="n">
        <f aca="false">IFERROR(__xludf.dummyfunction("""COMPUTED_VALUE"""),20065771)</f>
        <v>20065771</v>
      </c>
    </row>
    <row r="1212" customFormat="false" ht="15.75" hidden="false" customHeight="false" outlineLevel="0" collapsed="false">
      <c r="A1212" s="3" t="n">
        <f aca="false">IFERROR(__xludf.dummyfunction("""COMPUTED_VALUE"""),45958.6666666667)</f>
        <v>45958.6666666667</v>
      </c>
      <c r="B1212" s="2" t="n">
        <f aca="false">IFERROR(__xludf.dummyfunction("""COMPUTED_VALUE"""),362.62)</f>
        <v>362.62</v>
      </c>
      <c r="C1212" s="2" t="n">
        <f aca="false">IFERROR(__xludf.dummyfunction("""COMPUTED_VALUE"""),374.06)</f>
        <v>374.06</v>
      </c>
      <c r="D1212" s="2" t="n">
        <f aca="false">IFERROR(__xludf.dummyfunction("""COMPUTED_VALUE"""),362.53)</f>
        <v>362.53</v>
      </c>
      <c r="E1212" s="2" t="n">
        <f aca="false">IFERROR(__xludf.dummyfunction("""COMPUTED_VALUE"""),372.97)</f>
        <v>372.97</v>
      </c>
      <c r="F1212" s="2" t="n">
        <f aca="false">IFERROR(__xludf.dummyfunction("""COMPUTED_VALUE"""),21056048)</f>
        <v>21056048</v>
      </c>
    </row>
    <row r="1213" customFormat="false" ht="15.75" hidden="false" customHeight="false" outlineLevel="0" collapsed="false">
      <c r="A1213" s="3" t="n">
        <f aca="false">IFERROR(__xludf.dummyfunction("""COMPUTED_VALUE"""),45959.6666666667)</f>
        <v>45959.6666666667</v>
      </c>
      <c r="B1213" s="2" t="n">
        <f aca="false">IFERROR(__xludf.dummyfunction("""COMPUTED_VALUE"""),373.19)</f>
        <v>373.19</v>
      </c>
      <c r="C1213" s="2" t="n">
        <f aca="false">IFERROR(__xludf.dummyfunction("""COMPUTED_VALUE"""),386.48)</f>
        <v>386.48</v>
      </c>
      <c r="D1213" s="2" t="n">
        <f aca="false">IFERROR(__xludf.dummyfunction("""COMPUTED_VALUE"""),373.19)</f>
        <v>373.19</v>
      </c>
      <c r="E1213" s="2" t="n">
        <f aca="false">IFERROR(__xludf.dummyfunction("""COMPUTED_VALUE"""),385.98)</f>
        <v>385.98</v>
      </c>
      <c r="F1213" s="2" t="n">
        <f aca="false">IFERROR(__xludf.dummyfunction("""COMPUTED_VALUE"""),24975209)</f>
        <v>24975209</v>
      </c>
    </row>
    <row r="1214" customFormat="false" ht="15.75" hidden="false" customHeight="false" outlineLevel="0" collapsed="false">
      <c r="A1214" s="3" t="n">
        <f aca="false">IFERROR(__xludf.dummyfunction("""COMPUTED_VALUE"""),45960.6666666667)</f>
        <v>45960.6666666667</v>
      </c>
      <c r="B1214" s="2" t="n">
        <f aca="false">IFERROR(__xludf.dummyfunction("""COMPUTED_VALUE"""),386.4)</f>
        <v>386.4</v>
      </c>
      <c r="C1214" s="2" t="n">
        <f aca="false">IFERROR(__xludf.dummyfunction("""COMPUTED_VALUE"""),386.4)</f>
        <v>386.4</v>
      </c>
      <c r="D1214" s="2" t="n">
        <f aca="false">IFERROR(__xludf.dummyfunction("""COMPUTED_VALUE"""),370.06)</f>
        <v>370.06</v>
      </c>
      <c r="E1214" s="2" t="n">
        <f aca="false">IFERROR(__xludf.dummyfunction("""COMPUTED_VALUE"""),376.47)</f>
        <v>376.47</v>
      </c>
      <c r="F1214" s="2" t="n">
        <f aca="false">IFERROR(__xludf.dummyfunction("""COMPUTED_VALUE"""),24295268)</f>
        <v>24295268</v>
      </c>
    </row>
    <row r="1215" customFormat="false" ht="15.75" hidden="false" customHeight="false" outlineLevel="0" collapsed="false">
      <c r="A1215" s="3" t="n">
        <f aca="false">IFERROR(__xludf.dummyfunction("""COMPUTED_VALUE"""),45961.6666666667)</f>
        <v>45961.6666666667</v>
      </c>
      <c r="B1215" s="2" t="n">
        <f aca="false">IFERROR(__xludf.dummyfunction("""COMPUTED_VALUE"""),378.27)</f>
        <v>378.27</v>
      </c>
      <c r="C1215" s="2" t="n">
        <f aca="false">IFERROR(__xludf.dummyfunction("""COMPUTED_VALUE"""),378.82)</f>
        <v>378.82</v>
      </c>
      <c r="D1215" s="2" t="n">
        <f aca="false">IFERROR(__xludf.dummyfunction("""COMPUTED_VALUE"""),365.1)</f>
        <v>365.1</v>
      </c>
      <c r="E1215" s="2" t="n">
        <f aca="false">IFERROR(__xludf.dummyfunction("""COMPUTED_VALUE"""),369.63)</f>
        <v>369.63</v>
      </c>
      <c r="F1215" s="2" t="n">
        <f aca="false">IFERROR(__xludf.dummyfunction("""COMPUTED_VALUE"""),21598441)</f>
        <v>21598441</v>
      </c>
    </row>
    <row r="1216" customFormat="false" ht="15.75" hidden="false" customHeight="false" outlineLevel="0" collapsed="false">
      <c r="A1216" s="3" t="n">
        <f aca="false">IFERROR(__xludf.dummyfunction("""COMPUTED_VALUE"""),45964.6666666667)</f>
        <v>45964.6666666667</v>
      </c>
      <c r="B1216" s="2" t="n">
        <f aca="false">IFERROR(__xludf.dummyfunction("""COMPUTED_VALUE"""),372)</f>
        <v>372</v>
      </c>
      <c r="C1216" s="2" t="n">
        <f aca="false">IFERROR(__xludf.dummyfunction("""COMPUTED_VALUE"""),374.85)</f>
        <v>374.85</v>
      </c>
      <c r="D1216" s="2" t="n">
        <f aca="false">IFERROR(__xludf.dummyfunction("""COMPUTED_VALUE"""),361.98)</f>
        <v>361.98</v>
      </c>
      <c r="E1216" s="2" t="n">
        <f aca="false">IFERROR(__xludf.dummyfunction("""COMPUTED_VALUE"""),362.55)</f>
        <v>362.55</v>
      </c>
      <c r="F1216" s="2" t="n">
        <f aca="false">IFERROR(__xludf.dummyfunction("""COMPUTED_VALUE"""),17198917)</f>
        <v>17198917</v>
      </c>
    </row>
    <row r="1217" customFormat="false" ht="15.75" hidden="false" customHeight="false" outlineLevel="0" collapsed="false">
      <c r="A1217" s="3" t="n">
        <f aca="false">IFERROR(__xludf.dummyfunction("""COMPUTED_VALUE"""),45965.6666666667)</f>
        <v>45965.6666666667</v>
      </c>
      <c r="B1217" s="2" t="n">
        <f aca="false">IFERROR(__xludf.dummyfunction("""COMPUTED_VALUE"""),358.52)</f>
        <v>358.52</v>
      </c>
      <c r="C1217" s="2" t="n">
        <f aca="false">IFERROR(__xludf.dummyfunction("""COMPUTED_VALUE"""),368.95)</f>
        <v>368.95</v>
      </c>
      <c r="D1217" s="2" t="n">
        <f aca="false">IFERROR(__xludf.dummyfunction("""COMPUTED_VALUE"""),351)</f>
        <v>351</v>
      </c>
      <c r="E1217" s="2" t="n">
        <f aca="false">IFERROR(__xludf.dummyfunction("""COMPUTED_VALUE"""),351.94)</f>
        <v>351.94</v>
      </c>
      <c r="F1217" s="2" t="n">
        <f aca="false">IFERROR(__xludf.dummyfunction("""COMPUTED_VALUE"""),24047461)</f>
        <v>24047461</v>
      </c>
    </row>
    <row r="1218" customFormat="false" ht="15.75" hidden="false" customHeight="false" outlineLevel="0" collapsed="false">
      <c r="A1218" s="3" t="n">
        <f aca="false">IFERROR(__xludf.dummyfunction("""COMPUTED_VALUE"""),45966.6666666667)</f>
        <v>45966.6666666667</v>
      </c>
      <c r="B1218" s="2" t="n">
        <f aca="false">IFERROR(__xludf.dummyfunction("""COMPUTED_VALUE"""),350.89)</f>
        <v>350.89</v>
      </c>
      <c r="C1218" s="2" t="n">
        <f aca="false">IFERROR(__xludf.dummyfunction("""COMPUTED_VALUE"""),364.87)</f>
        <v>364.87</v>
      </c>
      <c r="D1218" s="2" t="n">
        <f aca="false">IFERROR(__xludf.dummyfunction("""COMPUTED_VALUE"""),350.09)</f>
        <v>350.09</v>
      </c>
      <c r="E1218" s="2" t="n">
        <f aca="false">IFERROR(__xludf.dummyfunction("""COMPUTED_VALUE"""),358.98)</f>
        <v>358.98</v>
      </c>
      <c r="F1218" s="2" t="n">
        <f aca="false">IFERROR(__xludf.dummyfunction("""COMPUTED_VALUE"""),17087644)</f>
        <v>17087644</v>
      </c>
    </row>
    <row r="1219" customFormat="false" ht="15.75" hidden="false" customHeight="false" outlineLevel="0" collapsed="false">
      <c r="A1219" s="3" t="n">
        <f aca="false">IFERROR(__xludf.dummyfunction("""COMPUTED_VALUE"""),45967.6666666667)</f>
        <v>45967.6666666667</v>
      </c>
      <c r="B1219" s="2" t="n">
        <f aca="false">IFERROR(__xludf.dummyfunction("""COMPUTED_VALUE"""),360.11)</f>
        <v>360.11</v>
      </c>
      <c r="C1219" s="2" t="n">
        <f aca="false">IFERROR(__xludf.dummyfunction("""COMPUTED_VALUE"""),363.5)</f>
        <v>363.5</v>
      </c>
      <c r="D1219" s="2" t="n">
        <f aca="false">IFERROR(__xludf.dummyfunction("""COMPUTED_VALUE"""),352.71)</f>
        <v>352.71</v>
      </c>
      <c r="E1219" s="2" t="n">
        <f aca="false">IFERROR(__xludf.dummyfunction("""COMPUTED_VALUE"""),355.59)</f>
        <v>355.59</v>
      </c>
      <c r="F1219" s="2" t="n">
        <f aca="false">IFERROR(__xludf.dummyfunction("""COMPUTED_VALUE"""),19896860)</f>
        <v>19896860</v>
      </c>
    </row>
    <row r="1220" customFormat="false" ht="15.75" hidden="false" customHeight="false" outlineLevel="0" collapsed="false">
      <c r="A1220" s="3" t="n">
        <f aca="false">IFERROR(__xludf.dummyfunction("""COMPUTED_VALUE"""),45968.6666666667)</f>
        <v>45968.6666666667</v>
      </c>
      <c r="B1220" s="2" t="n">
        <f aca="false">IFERROR(__xludf.dummyfunction("""COMPUTED_VALUE"""),354.19)</f>
        <v>354.19</v>
      </c>
      <c r="C1220" s="2" t="n">
        <f aca="false">IFERROR(__xludf.dummyfunction("""COMPUTED_VALUE"""),354.5)</f>
        <v>354.5</v>
      </c>
      <c r="D1220" s="2" t="n">
        <f aca="false">IFERROR(__xludf.dummyfunction("""COMPUTED_VALUE"""),337.27)</f>
        <v>337.27</v>
      </c>
      <c r="E1220" s="2" t="n">
        <f aca="false">IFERROR(__xludf.dummyfunction("""COMPUTED_VALUE"""),349.43)</f>
        <v>349.43</v>
      </c>
      <c r="F1220" s="2" t="n">
        <f aca="false">IFERROR(__xludf.dummyfunction("""COMPUTED_VALUE"""),21903223)</f>
        <v>21903223</v>
      </c>
    </row>
    <row r="1221" customFormat="false" ht="15.75" hidden="false" customHeight="false" outlineLevel="0" collapsed="false">
      <c r="A1221" s="3" t="n">
        <f aca="false">IFERROR(__xludf.dummyfunction("""COMPUTED_VALUE"""),45971.6666666667)</f>
        <v>45971.6666666667</v>
      </c>
      <c r="B1221" s="2" t="n">
        <f aca="false">IFERROR(__xludf.dummyfunction("""COMPUTED_VALUE"""),357.9)</f>
        <v>357.9</v>
      </c>
      <c r="C1221" s="2" t="n">
        <f aca="false">IFERROR(__xludf.dummyfunction("""COMPUTED_VALUE"""),360)</f>
        <v>360</v>
      </c>
      <c r="D1221" s="2" t="n">
        <f aca="false">IFERROR(__xludf.dummyfunction("""COMPUTED_VALUE"""),354.61)</f>
        <v>354.61</v>
      </c>
      <c r="E1221" s="2" t="n">
        <f aca="false">IFERROR(__xludf.dummyfunction("""COMPUTED_VALUE"""),358.39)</f>
        <v>358.39</v>
      </c>
      <c r="F1221" s="2" t="n">
        <f aca="false">IFERROR(__xludf.dummyfunction("""COMPUTED_VALUE"""),16408963)</f>
        <v>16408963</v>
      </c>
    </row>
    <row r="1222" customFormat="false" ht="15.75" hidden="false" customHeight="false" outlineLevel="0" collapsed="false">
      <c r="A1222" s="3" t="n">
        <f aca="false">IFERROR(__xludf.dummyfunction("""COMPUTED_VALUE"""),45972.6666666667)</f>
        <v>45972.6666666667</v>
      </c>
      <c r="B1222" s="2" t="n">
        <f aca="false">IFERROR(__xludf.dummyfunction("""COMPUTED_VALUE"""),358.97)</f>
        <v>358.97</v>
      </c>
      <c r="C1222" s="2" t="n">
        <f aca="false">IFERROR(__xludf.dummyfunction("""COMPUTED_VALUE"""),361.89)</f>
        <v>361.89</v>
      </c>
      <c r="D1222" s="2" t="n">
        <f aca="false">IFERROR(__xludf.dummyfunction("""COMPUTED_VALUE"""),349.67)</f>
        <v>349.67</v>
      </c>
      <c r="E1222" s="2" t="n">
        <f aca="false">IFERROR(__xludf.dummyfunction("""COMPUTED_VALUE"""),351.96)</f>
        <v>351.96</v>
      </c>
      <c r="F1222" s="2" t="n">
        <f aca="false">IFERROR(__xludf.dummyfunction("""COMPUTED_VALUE"""),16446800)</f>
        <v>16446800</v>
      </c>
    </row>
    <row r="1223" customFormat="false" ht="15.75" hidden="false" customHeight="false" outlineLevel="0" collapsed="false">
      <c r="A1223" s="3" t="n">
        <f aca="false">IFERROR(__xludf.dummyfunction("""COMPUTED_VALUE"""),45973.6666666667)</f>
        <v>45973.6666666667</v>
      </c>
      <c r="B1223" s="2" t="n">
        <f aca="false">IFERROR(__xludf.dummyfunction("""COMPUTED_VALUE"""),358.04)</f>
        <v>358.04</v>
      </c>
      <c r="C1223" s="2" t="n">
        <f aca="false">IFERROR(__xludf.dummyfunction("""COMPUTED_VALUE"""),358.87)</f>
        <v>358.87</v>
      </c>
      <c r="D1223" s="2" t="n">
        <f aca="false">IFERROR(__xludf.dummyfunction("""COMPUTED_VALUE"""),351.68)</f>
        <v>351.68</v>
      </c>
      <c r="E1223" s="2" t="n">
        <f aca="false">IFERROR(__xludf.dummyfunction("""COMPUTED_VALUE"""),355.22)</f>
        <v>355.22</v>
      </c>
      <c r="F1223" s="2" t="n">
        <f aca="false">IFERROR(__xludf.dummyfunction("""COMPUTED_VALUE"""),12190452)</f>
        <v>12190452</v>
      </c>
    </row>
    <row r="1224" customFormat="false" ht="15.75" hidden="false" customHeight="false" outlineLevel="0" collapsed="false">
      <c r="A1224" s="3" t="n">
        <f aca="false">IFERROR(__xludf.dummyfunction("""COMPUTED_VALUE"""),45974.6666666667)</f>
        <v>45974.6666666667</v>
      </c>
      <c r="B1224" s="2" t="n">
        <f aca="false">IFERROR(__xludf.dummyfunction("""COMPUTED_VALUE"""),351.58)</f>
        <v>351.58</v>
      </c>
      <c r="C1224" s="2" t="n">
        <f aca="false">IFERROR(__xludf.dummyfunction("""COMPUTED_VALUE"""),353.55)</f>
        <v>353.55</v>
      </c>
      <c r="D1224" s="2" t="n">
        <f aca="false">IFERROR(__xludf.dummyfunction("""COMPUTED_VALUE"""),334.16)</f>
        <v>334.16</v>
      </c>
      <c r="E1224" s="2" t="n">
        <f aca="false">IFERROR(__xludf.dummyfunction("""COMPUTED_VALUE"""),339.98)</f>
        <v>339.98</v>
      </c>
      <c r="F1224" s="2" t="n">
        <f aca="false">IFERROR(__xludf.dummyfunction("""COMPUTED_VALUE"""),22616621)</f>
        <v>22616621</v>
      </c>
    </row>
    <row r="1225" customFormat="false" ht="15.75" hidden="false" customHeight="false" outlineLevel="0" collapsed="false">
      <c r="A1225" s="3" t="n">
        <f aca="false">IFERROR(__xludf.dummyfunction("""COMPUTED_VALUE"""),45975.6666666667)</f>
        <v>45975.6666666667</v>
      </c>
      <c r="B1225" s="2" t="n">
        <f aca="false">IFERROR(__xludf.dummyfunction("""COMPUTED_VALUE"""),331.47)</f>
        <v>331.47</v>
      </c>
      <c r="C1225" s="2" t="n">
        <f aca="false">IFERROR(__xludf.dummyfunction("""COMPUTED_VALUE"""),344.74)</f>
        <v>344.74</v>
      </c>
      <c r="D1225" s="2" t="n">
        <f aca="false">IFERROR(__xludf.dummyfunction("""COMPUTED_VALUE"""),329.06)</f>
        <v>329.06</v>
      </c>
      <c r="E1225" s="2" t="n">
        <f aca="false">IFERROR(__xludf.dummyfunction("""COMPUTED_VALUE"""),342.46)</f>
        <v>342.46</v>
      </c>
      <c r="F1225" s="2" t="n">
        <f aca="false">IFERROR(__xludf.dummyfunction("""COMPUTED_VALUE"""),18500849)</f>
        <v>18500849</v>
      </c>
    </row>
    <row r="1226" customFormat="false" ht="15.75" hidden="false" customHeight="false" outlineLevel="0" collapsed="false">
      <c r="A1226" s="3" t="n">
        <f aca="false">IFERROR(__xludf.dummyfunction("""COMPUTED_VALUE"""),45978.6666666667)</f>
        <v>45978.6666666667</v>
      </c>
      <c r="B1226" s="2" t="n">
        <f aca="false">IFERROR(__xludf.dummyfunction("""COMPUTED_VALUE"""),339.82)</f>
        <v>339.82</v>
      </c>
      <c r="C1226" s="2" t="n">
        <f aca="false">IFERROR(__xludf.dummyfunction("""COMPUTED_VALUE"""),352.2)</f>
        <v>352.2</v>
      </c>
      <c r="D1226" s="2" t="n">
        <f aca="false">IFERROR(__xludf.dummyfunction("""COMPUTED_VALUE"""),337.52)</f>
        <v>337.52</v>
      </c>
      <c r="E1226" s="2" t="n">
        <f aca="false">IFERROR(__xludf.dummyfunction("""COMPUTED_VALUE"""),342.65)</f>
        <v>342.65</v>
      </c>
      <c r="F1226" s="2" t="n">
        <f aca="false">IFERROR(__xludf.dummyfunction("""COMPUTED_VALUE"""),14799565)</f>
        <v>14799565</v>
      </c>
    </row>
    <row r="1227" customFormat="false" ht="15.75" hidden="false" customHeight="false" outlineLevel="0" collapsed="false">
      <c r="A1227" s="3" t="n">
        <f aca="false">IFERROR(__xludf.dummyfunction("""COMPUTED_VALUE"""),45979.6666666667)</f>
        <v>45979.6666666667</v>
      </c>
      <c r="B1227" s="2" t="n">
        <f aca="false">IFERROR(__xludf.dummyfunction("""COMPUTED_VALUE"""),343.2)</f>
        <v>343.2</v>
      </c>
      <c r="C1227" s="2" t="n">
        <f aca="false">IFERROR(__xludf.dummyfunction("""COMPUTED_VALUE"""),347.97)</f>
        <v>347.97</v>
      </c>
      <c r="D1227" s="2" t="n">
        <f aca="false">IFERROR(__xludf.dummyfunction("""COMPUTED_VALUE"""),335.51)</f>
        <v>335.51</v>
      </c>
      <c r="E1227" s="2" t="n">
        <f aca="false">IFERROR(__xludf.dummyfunction("""COMPUTED_VALUE"""),340.5)</f>
        <v>340.5</v>
      </c>
      <c r="F1227" s="2" t="n">
        <f aca="false">IFERROR(__xludf.dummyfunction("""COMPUTED_VALUE"""),21726806)</f>
        <v>21726806</v>
      </c>
    </row>
    <row r="1228" customFormat="false" ht="15.75" hidden="false" customHeight="false" outlineLevel="0" collapsed="false">
      <c r="A1228" s="3" t="n">
        <f aca="false">IFERROR(__xludf.dummyfunction("""COMPUTED_VALUE"""),45980.6666666667)</f>
        <v>45980.6666666667</v>
      </c>
      <c r="B1228" s="2" t="n">
        <f aca="false">IFERROR(__xludf.dummyfunction("""COMPUTED_VALUE"""),340.71)</f>
        <v>340.71</v>
      </c>
      <c r="C1228" s="2" t="n">
        <f aca="false">IFERROR(__xludf.dummyfunction("""COMPUTED_VALUE"""),359.69)</f>
        <v>359.69</v>
      </c>
      <c r="D1228" s="2" t="n">
        <f aca="false">IFERROR(__xludf.dummyfunction("""COMPUTED_VALUE"""),337.8)</f>
        <v>337.8</v>
      </c>
      <c r="E1228" s="2" t="n">
        <f aca="false">IFERROR(__xludf.dummyfunction("""COMPUTED_VALUE"""),354.42)</f>
        <v>354.42</v>
      </c>
      <c r="F1228" s="2" t="n">
        <f aca="false">IFERROR(__xludf.dummyfunction("""COMPUTED_VALUE"""),21851875)</f>
        <v>21851875</v>
      </c>
    </row>
    <row r="1229" customFormat="false" ht="15.75" hidden="false" customHeight="false" outlineLevel="0" collapsed="false">
      <c r="A1229" s="3" t="n">
        <f aca="false">IFERROR(__xludf.dummyfunction("""COMPUTED_VALUE"""),45981.6666666667)</f>
        <v>45981.6666666667</v>
      </c>
      <c r="B1229" s="2" t="n">
        <f aca="false">IFERROR(__xludf.dummyfunction("""COMPUTED_VALUE"""),366)</f>
        <v>366</v>
      </c>
      <c r="C1229" s="2" t="n">
        <f aca="false">IFERROR(__xludf.dummyfunction("""COMPUTED_VALUE"""),376.08)</f>
        <v>376.08</v>
      </c>
      <c r="D1229" s="2" t="n">
        <f aca="false">IFERROR(__xludf.dummyfunction("""COMPUTED_VALUE"""),345.18)</f>
        <v>345.18</v>
      </c>
      <c r="E1229" s="2" t="n">
        <f aca="false">IFERROR(__xludf.dummyfunction("""COMPUTED_VALUE"""),346.82)</f>
        <v>346.82</v>
      </c>
      <c r="F1229" s="2" t="n">
        <f aca="false">IFERROR(__xludf.dummyfunction("""COMPUTED_VALUE"""),28866958)</f>
        <v>28866958</v>
      </c>
    </row>
    <row r="1230" customFormat="false" ht="15.75" hidden="false" customHeight="false" outlineLevel="0" collapsed="false">
      <c r="A1230" s="3" t="n">
        <f aca="false">IFERROR(__xludf.dummyfunction("""COMPUTED_VALUE"""),45982.6666666667)</f>
        <v>45982.6666666667</v>
      </c>
      <c r="B1230" s="2" t="n">
        <f aca="false">IFERROR(__xludf.dummyfunction("""COMPUTED_VALUE"""),345.16)</f>
        <v>345.16</v>
      </c>
      <c r="C1230" s="2" t="n">
        <f aca="false">IFERROR(__xludf.dummyfunction("""COMPUTED_VALUE"""),348.6)</f>
        <v>348.6</v>
      </c>
      <c r="D1230" s="2" t="n">
        <f aca="false">IFERROR(__xludf.dummyfunction("""COMPUTED_VALUE"""),331.8)</f>
        <v>331.8</v>
      </c>
      <c r="E1230" s="2" t="n">
        <f aca="false">IFERROR(__xludf.dummyfunction("""COMPUTED_VALUE"""),340.2)</f>
        <v>340.2</v>
      </c>
      <c r="F1230" s="2" t="n">
        <f aca="false">IFERROR(__xludf.dummyfunction("""COMPUTED_VALUE"""),30280339)</f>
        <v>30280339</v>
      </c>
    </row>
    <row r="1231" customFormat="false" ht="15.75" hidden="false" customHeight="false" outlineLevel="0" collapsed="false">
      <c r="A1231" s="3" t="n">
        <f aca="false">IFERROR(__xludf.dummyfunction("""COMPUTED_VALUE"""),45985.6666666667)</f>
        <v>45985.6666666667</v>
      </c>
      <c r="B1231" s="2" t="n">
        <f aca="false">IFERROR(__xludf.dummyfunction("""COMPUTED_VALUE"""),347.73)</f>
        <v>347.73</v>
      </c>
      <c r="C1231" s="2" t="n">
        <f aca="false">IFERROR(__xludf.dummyfunction("""COMPUTED_VALUE"""),382)</f>
        <v>382</v>
      </c>
      <c r="D1231" s="2" t="n">
        <f aca="false">IFERROR(__xludf.dummyfunction("""COMPUTED_VALUE"""),347.66)</f>
        <v>347.66</v>
      </c>
      <c r="E1231" s="2" t="n">
        <f aca="false">IFERROR(__xludf.dummyfunction("""COMPUTED_VALUE"""),377.96)</f>
        <v>377.96</v>
      </c>
      <c r="F1231" s="2" t="n">
        <f aca="false">IFERROR(__xludf.dummyfunction("""COMPUTED_VALUE"""),47262426)</f>
        <v>47262426</v>
      </c>
    </row>
    <row r="1232" customFormat="false" ht="15.75" hidden="false" customHeight="false" outlineLevel="0" collapsed="false">
      <c r="A1232" s="3" t="n">
        <f aca="false">IFERROR(__xludf.dummyfunction("""COMPUTED_VALUE"""),45986.6666666667)</f>
        <v>45986.6666666667</v>
      </c>
      <c r="B1232" s="2" t="n">
        <f aca="false">IFERROR(__xludf.dummyfunction("""COMPUTED_VALUE"""),384.93)</f>
        <v>384.93</v>
      </c>
      <c r="C1232" s="2" t="n">
        <f aca="false">IFERROR(__xludf.dummyfunction("""COMPUTED_VALUE"""),388.13)</f>
        <v>388.13</v>
      </c>
      <c r="D1232" s="2" t="n">
        <f aca="false">IFERROR(__xludf.dummyfunction("""COMPUTED_VALUE"""),371.75)</f>
        <v>371.75</v>
      </c>
      <c r="E1232" s="2" t="n">
        <f aca="false">IFERROR(__xludf.dummyfunction("""COMPUTED_VALUE"""),385.03)</f>
        <v>385.03</v>
      </c>
      <c r="F1232" s="2" t="n">
        <f aca="false">IFERROR(__xludf.dummyfunction("""COMPUTED_VALUE"""),33507573)</f>
        <v>33507573</v>
      </c>
    </row>
    <row r="1233" customFormat="false" ht="15.75" hidden="false" customHeight="false" outlineLevel="0" collapsed="false">
      <c r="A1233" s="3" t="n">
        <f aca="false">IFERROR(__xludf.dummyfunction("""COMPUTED_VALUE"""),45987.6666666667)</f>
        <v>45987.6666666667</v>
      </c>
      <c r="B1233" s="2" t="n">
        <f aca="false">IFERROR(__xludf.dummyfunction("""COMPUTED_VALUE"""),385.55)</f>
        <v>385.55</v>
      </c>
      <c r="C1233" s="2" t="n">
        <f aca="false">IFERROR(__xludf.dummyfunction("""COMPUTED_VALUE"""),399.87)</f>
        <v>399.87</v>
      </c>
      <c r="D1233" s="2" t="n">
        <f aca="false">IFERROR(__xludf.dummyfunction("""COMPUTED_VALUE"""),383.26)</f>
        <v>383.26</v>
      </c>
      <c r="E1233" s="2" t="n">
        <f aca="false">IFERROR(__xludf.dummyfunction("""COMPUTED_VALUE"""),397.57)</f>
        <v>397.57</v>
      </c>
      <c r="F1233" s="2" t="n">
        <f aca="false">IFERROR(__xludf.dummyfunction("""COMPUTED_VALUE"""),28693013)</f>
        <v>28693013</v>
      </c>
    </row>
    <row r="1234" customFormat="false" ht="15.75" hidden="false" customHeight="false" outlineLevel="0" collapsed="false">
      <c r="A1234" s="3" t="n">
        <f aca="false">IFERROR(__xludf.dummyfunction("""COMPUTED_VALUE"""),45989.5451388889)</f>
        <v>45989.5451388889</v>
      </c>
      <c r="B1234" s="2" t="n">
        <f aca="false">IFERROR(__xludf.dummyfunction("""COMPUTED_VALUE"""),399.35)</f>
        <v>399.35</v>
      </c>
      <c r="C1234" s="2" t="n">
        <f aca="false">IFERROR(__xludf.dummyfunction("""COMPUTED_VALUE"""),403)</f>
        <v>403</v>
      </c>
      <c r="D1234" s="2" t="n">
        <f aca="false">IFERROR(__xludf.dummyfunction("""COMPUTED_VALUE"""),397.16)</f>
        <v>397.16</v>
      </c>
      <c r="E1234" s="2" t="n">
        <f aca="false">IFERROR(__xludf.dummyfunction("""COMPUTED_VALUE"""),402.96)</f>
        <v>402.96</v>
      </c>
      <c r="F1234" s="2" t="n">
        <f aca="false">IFERROR(__xludf.dummyfunction("""COMPUTED_VALUE"""),13365500)</f>
        <v>13365500</v>
      </c>
    </row>
    <row r="1235" customFormat="false" ht="15.75" hidden="false" customHeight="false" outlineLevel="0" collapsed="false">
      <c r="A1235" s="3" t="n">
        <f aca="false">IFERROR(__xludf.dummyfunction("""COMPUTED_VALUE"""),45992.6666666667)</f>
        <v>45992.6666666667</v>
      </c>
      <c r="B1235" s="2" t="n">
        <f aca="false">IFERROR(__xludf.dummyfunction("""COMPUTED_VALUE"""),394.85)</f>
        <v>394.85</v>
      </c>
      <c r="C1235" s="2" t="n">
        <f aca="false">IFERROR(__xludf.dummyfunction("""COMPUTED_VALUE"""),395.42)</f>
        <v>395.42</v>
      </c>
      <c r="D1235" s="2" t="n">
        <f aca="false">IFERROR(__xludf.dummyfunction("""COMPUTED_VALUE"""),385.1)</f>
        <v>385.1</v>
      </c>
      <c r="E1235" s="2" t="n">
        <f aca="false">IFERROR(__xludf.dummyfunction("""COMPUTED_VALUE"""),386.08)</f>
        <v>386.08</v>
      </c>
      <c r="F1235" s="2" t="n">
        <f aca="false">IFERROR(__xludf.dummyfunction("""COMPUTED_VALUE"""),23251969)</f>
        <v>23251969</v>
      </c>
    </row>
    <row r="1236" customFormat="false" ht="15.75" hidden="false" customHeight="false" outlineLevel="0" collapsed="false">
      <c r="A1236" s="3" t="n">
        <f aca="false">IFERROR(__xludf.dummyfunction("""COMPUTED_VALUE"""),45993.6666666667)</f>
        <v>45993.6666666667</v>
      </c>
      <c r="B1236" s="2" t="n">
        <f aca="false">IFERROR(__xludf.dummyfunction("""COMPUTED_VALUE"""),388.31)</f>
        <v>388.31</v>
      </c>
      <c r="C1236" s="2" t="n">
        <f aca="false">IFERROR(__xludf.dummyfunction("""COMPUTED_VALUE"""),393.5)</f>
        <v>393.5</v>
      </c>
      <c r="D1236" s="2" t="n">
        <f aca="false">IFERROR(__xludf.dummyfunction("""COMPUTED_VALUE"""),379.79)</f>
        <v>379.79</v>
      </c>
      <c r="E1236" s="2" t="n">
        <f aca="false">IFERROR(__xludf.dummyfunction("""COMPUTED_VALUE"""),381.57)</f>
        <v>381.57</v>
      </c>
      <c r="F1236" s="2" t="n">
        <f aca="false">IFERROR(__xludf.dummyfunction("""COMPUTED_VALUE"""),22206951)</f>
        <v>22206951</v>
      </c>
    </row>
    <row r="1237" customFormat="false" ht="15.75" hidden="false" customHeight="false" outlineLevel="0" collapsed="false">
      <c r="A1237" s="3" t="n">
        <f aca="false">IFERROR(__xludf.dummyfunction("""COMPUTED_VALUE"""),45994.6666666667)</f>
        <v>45994.6666666667</v>
      </c>
      <c r="B1237" s="2" t="n">
        <f aca="false">IFERROR(__xludf.dummyfunction("""COMPUTED_VALUE"""),380)</f>
        <v>380</v>
      </c>
      <c r="C1237" s="2" t="n">
        <f aca="false">IFERROR(__xludf.dummyfunction("""COMPUTED_VALUE"""),382.3)</f>
        <v>382.3</v>
      </c>
      <c r="D1237" s="2" t="n">
        <f aca="false">IFERROR(__xludf.dummyfunction("""COMPUTED_VALUE"""),370.65)</f>
        <v>370.65</v>
      </c>
      <c r="E1237" s="2" t="n">
        <f aca="false">IFERROR(__xludf.dummyfunction("""COMPUTED_VALUE"""),380.61)</f>
        <v>380.61</v>
      </c>
      <c r="F1237" s="2" t="n">
        <f aca="false">IFERROR(__xludf.dummyfunction("""COMPUTED_VALUE"""),21336367)</f>
        <v>21336367</v>
      </c>
    </row>
    <row r="1238" customFormat="false" ht="15.75" hidden="false" customHeight="false" outlineLevel="0" collapsed="false">
      <c r="A1238" s="3" t="n">
        <f aca="false">IFERROR(__xludf.dummyfunction("""COMPUTED_VALUE"""),45995.6666666667)</f>
        <v>45995.6666666667</v>
      </c>
      <c r="B1238" s="2" t="n">
        <f aca="false">IFERROR(__xludf.dummyfunction("""COMPUTED_VALUE"""),380.68)</f>
        <v>380.68</v>
      </c>
      <c r="C1238" s="2" t="n">
        <f aca="false">IFERROR(__xludf.dummyfunction("""COMPUTED_VALUE"""),383.89)</f>
        <v>383.89</v>
      </c>
      <c r="D1238" s="2" t="n">
        <f aca="false">IFERROR(__xludf.dummyfunction("""COMPUTED_VALUE"""),376.53)</f>
        <v>376.53</v>
      </c>
      <c r="E1238" s="2" t="n">
        <f aca="false">IFERROR(__xludf.dummyfunction("""COMPUTED_VALUE"""),381.03)</f>
        <v>381.03</v>
      </c>
      <c r="F1238" s="2" t="n">
        <f aca="false">IFERROR(__xludf.dummyfunction("""COMPUTED_VALUE"""),15845862)</f>
        <v>15845862</v>
      </c>
    </row>
    <row r="1239" customFormat="false" ht="15.75" hidden="false" customHeight="false" outlineLevel="0" collapsed="false">
      <c r="A1239" s="3" t="n">
        <f aca="false">IFERROR(__xludf.dummyfunction("""COMPUTED_VALUE"""),45996.6666666667)</f>
        <v>45996.6666666667</v>
      </c>
      <c r="B1239" s="2" t="n">
        <f aca="false">IFERROR(__xludf.dummyfunction("""COMPUTED_VALUE"""),386.17)</f>
        <v>386.17</v>
      </c>
      <c r="C1239" s="2" t="n">
        <f aca="false">IFERROR(__xludf.dummyfunction("""COMPUTED_VALUE"""),393.53)</f>
        <v>393.53</v>
      </c>
      <c r="D1239" s="2" t="n">
        <f aca="false">IFERROR(__xludf.dummyfunction("""COMPUTED_VALUE"""),385.15)</f>
        <v>385.15</v>
      </c>
      <c r="E1239" s="2" t="n">
        <f aca="false">IFERROR(__xludf.dummyfunction("""COMPUTED_VALUE"""),390.24)</f>
        <v>390.24</v>
      </c>
      <c r="F1239" s="2" t="n">
        <f aca="false">IFERROR(__xludf.dummyfunction("""COMPUTED_VALUE"""),24779924)</f>
        <v>24779924</v>
      </c>
    </row>
    <row r="1240" customFormat="false" ht="15.75" hidden="false" customHeight="false" outlineLevel="0" collapsed="false">
      <c r="A1240" s="3" t="n">
        <f aca="false">IFERROR(__xludf.dummyfunction("""COMPUTED_VALUE"""),45999.6666666667)</f>
        <v>45999.6666666667</v>
      </c>
      <c r="B1240" s="2" t="n">
        <f aca="false">IFERROR(__xludf.dummyfunction("""COMPUTED_VALUE"""),402.48)</f>
        <v>402.48</v>
      </c>
      <c r="C1240" s="2" t="n">
        <f aca="false">IFERROR(__xludf.dummyfunction("""COMPUTED_VALUE"""),407.29)</f>
        <v>407.29</v>
      </c>
      <c r="D1240" s="2" t="n">
        <f aca="false">IFERROR(__xludf.dummyfunction("""COMPUTED_VALUE"""),397.4)</f>
        <v>397.4</v>
      </c>
      <c r="E1240" s="2" t="n">
        <f aca="false">IFERROR(__xludf.dummyfunction("""COMPUTED_VALUE"""),401.1)</f>
        <v>401.1</v>
      </c>
      <c r="F1240" s="2" t="n">
        <f aca="false">IFERROR(__xludf.dummyfunction("""COMPUTED_VALUE"""),30410550)</f>
        <v>30410550</v>
      </c>
    </row>
    <row r="1241" customFormat="false" ht="15.75" hidden="false" customHeight="false" outlineLevel="0" collapsed="false">
      <c r="A1241" s="3" t="n">
        <f aca="false">IFERROR(__xludf.dummyfunction("""COMPUTED_VALUE"""),46000.6666666667)</f>
        <v>46000.6666666667</v>
      </c>
      <c r="B1241" s="2" t="n">
        <f aca="false">IFERROR(__xludf.dummyfunction("""COMPUTED_VALUE"""),398.75)</f>
        <v>398.75</v>
      </c>
      <c r="C1241" s="2" t="n">
        <f aca="false">IFERROR(__xludf.dummyfunction("""COMPUTED_VALUE"""),406.93)</f>
        <v>406.93</v>
      </c>
      <c r="D1241" s="2" t="n">
        <f aca="false">IFERROR(__xludf.dummyfunction("""COMPUTED_VALUE"""),395.51)</f>
        <v>395.51</v>
      </c>
      <c r="E1241" s="2" t="n">
        <f aca="false">IFERROR(__xludf.dummyfunction("""COMPUTED_VALUE"""),406.29)</f>
        <v>406.29</v>
      </c>
      <c r="F1241" s="2" t="n">
        <f aca="false">IFERROR(__xludf.dummyfunction("""COMPUTED_VALUE"""),24545964)</f>
        <v>24545964</v>
      </c>
    </row>
    <row r="1242" customFormat="false" ht="15.75" hidden="false" customHeight="false" outlineLevel="0" collapsed="false">
      <c r="A1242" s="3" t="n">
        <f aca="false">IFERROR(__xludf.dummyfunction("""COMPUTED_VALUE"""),46001.6666666667)</f>
        <v>46001.6666666667</v>
      </c>
      <c r="B1242" s="2" t="n">
        <f aca="false">IFERROR(__xludf.dummyfunction("""COMPUTED_VALUE"""),402.2)</f>
        <v>402.2</v>
      </c>
      <c r="C1242" s="2" t="n">
        <f aca="false">IFERROR(__xludf.dummyfunction("""COMPUTED_VALUE"""),414.61)</f>
        <v>414.61</v>
      </c>
      <c r="D1242" s="2" t="n">
        <f aca="false">IFERROR(__xludf.dummyfunction("""COMPUTED_VALUE"""),399.56)</f>
        <v>399.56</v>
      </c>
      <c r="E1242" s="2" t="n">
        <f aca="false">IFERROR(__xludf.dummyfunction("""COMPUTED_VALUE"""),412.97)</f>
        <v>412.97</v>
      </c>
      <c r="F1242" s="2" t="n">
        <f aca="false">IFERROR(__xludf.dummyfunction("""COMPUTED_VALUE"""),31530976)</f>
        <v>31530976</v>
      </c>
    </row>
    <row r="1243" customFormat="false" ht="15.75" hidden="false" customHeight="false" outlineLevel="0" collapsed="false">
      <c r="A1243" s="3" t="n">
        <f aca="false">IFERROR(__xludf.dummyfunction("""COMPUTED_VALUE"""),46002.6666666667)</f>
        <v>46002.6666666667</v>
      </c>
      <c r="B1243" s="2" t="n">
        <f aca="false">IFERROR(__xludf.dummyfunction("""COMPUTED_VALUE"""),404.83)</f>
        <v>404.83</v>
      </c>
      <c r="C1243" s="2" t="n">
        <f aca="false">IFERROR(__xludf.dummyfunction("""COMPUTED_VALUE"""),409.3)</f>
        <v>409.3</v>
      </c>
      <c r="D1243" s="2" t="n">
        <f aca="false">IFERROR(__xludf.dummyfunction("""COMPUTED_VALUE"""),394.19)</f>
        <v>394.19</v>
      </c>
      <c r="E1243" s="2" t="n">
        <f aca="false">IFERROR(__xludf.dummyfunction("""COMPUTED_VALUE"""),406.37)</f>
        <v>406.37</v>
      </c>
      <c r="F1243" s="2" t="n">
        <f aca="false">IFERROR(__xludf.dummyfunction("""COMPUTED_VALUE"""),45681617)</f>
        <v>45681617</v>
      </c>
    </row>
    <row r="1244" customFormat="false" ht="15.75" hidden="false" customHeight="false" outlineLevel="0" collapsed="false">
      <c r="A1244" s="3" t="n">
        <f aca="false">IFERROR(__xludf.dummyfunction("""COMPUTED_VALUE"""),46003.6666666667)</f>
        <v>46003.6666666667</v>
      </c>
      <c r="B1244" s="2" t="n">
        <f aca="false">IFERROR(__xludf.dummyfunction("""COMPUTED_VALUE"""),379.96)</f>
        <v>379.96</v>
      </c>
      <c r="C1244" s="2" t="n">
        <f aca="false">IFERROR(__xludf.dummyfunction("""COMPUTED_VALUE"""),382)</f>
        <v>382</v>
      </c>
      <c r="D1244" s="2" t="n">
        <f aca="false">IFERROR(__xludf.dummyfunction("""COMPUTED_VALUE"""),355.15)</f>
        <v>355.15</v>
      </c>
      <c r="E1244" s="2" t="n">
        <f aca="false">IFERROR(__xludf.dummyfunction("""COMPUTED_VALUE"""),359.93)</f>
        <v>359.93</v>
      </c>
      <c r="F1244" s="2" t="n">
        <f aca="false">IFERROR(__xludf.dummyfunction("""COMPUTED_VALUE"""),95588458)</f>
        <v>95588458</v>
      </c>
    </row>
    <row r="1245" customFormat="false" ht="15.75" hidden="false" customHeight="false" outlineLevel="0" collapsed="false">
      <c r="A1245" s="3" t="n">
        <f aca="false">IFERROR(__xludf.dummyfunction("""COMPUTED_VALUE"""),46006.6666666667)</f>
        <v>46006.6666666667</v>
      </c>
      <c r="B1245" s="2" t="n">
        <f aca="false">IFERROR(__xludf.dummyfunction("""COMPUTED_VALUE"""),361.89)</f>
        <v>361.89</v>
      </c>
      <c r="C1245" s="2" t="n">
        <f aca="false">IFERROR(__xludf.dummyfunction("""COMPUTED_VALUE"""),362)</f>
        <v>362</v>
      </c>
      <c r="D1245" s="2" t="n">
        <f aca="false">IFERROR(__xludf.dummyfunction("""COMPUTED_VALUE"""),337.51)</f>
        <v>337.51</v>
      </c>
      <c r="E1245" s="2" t="n">
        <f aca="false">IFERROR(__xludf.dummyfunction("""COMPUTED_VALUE"""),339.81)</f>
        <v>339.81</v>
      </c>
      <c r="F1245" s="2" t="n">
        <f aca="false">IFERROR(__xludf.dummyfunction("""COMPUTED_VALUE"""),65894902)</f>
        <v>65894902</v>
      </c>
    </row>
    <row r="1246" customFormat="false" ht="15.75" hidden="false" customHeight="false" outlineLevel="0" collapsed="false">
      <c r="A1246" s="3" t="n">
        <f aca="false">IFERROR(__xludf.dummyfunction("""COMPUTED_VALUE"""),46007.6666666667)</f>
        <v>46007.6666666667</v>
      </c>
      <c r="B1246" s="2" t="n">
        <f aca="false">IFERROR(__xludf.dummyfunction("""COMPUTED_VALUE"""),336.02)</f>
        <v>336.02</v>
      </c>
      <c r="C1246" s="2" t="n">
        <f aca="false">IFERROR(__xludf.dummyfunction("""COMPUTED_VALUE"""),347.5)</f>
        <v>347.5</v>
      </c>
      <c r="D1246" s="2" t="n">
        <f aca="false">IFERROR(__xludf.dummyfunction("""COMPUTED_VALUE"""),335.06)</f>
        <v>335.06</v>
      </c>
      <c r="E1246" s="2" t="n">
        <f aca="false">IFERROR(__xludf.dummyfunction("""COMPUTED_VALUE"""),341.3)</f>
        <v>341.3</v>
      </c>
      <c r="F1246" s="2" t="n">
        <f aca="false">IFERROR(__xludf.dummyfunction("""COMPUTED_VALUE"""),58061051)</f>
        <v>58061051</v>
      </c>
    </row>
    <row r="1247" customFormat="false" ht="15.75" hidden="false" customHeight="false" outlineLevel="0" collapsed="false">
      <c r="A1247" s="3" t="n">
        <f aca="false">IFERROR(__xludf.dummyfunction("""COMPUTED_VALUE"""),46008.6666666667)</f>
        <v>46008.6666666667</v>
      </c>
      <c r="B1247" s="2" t="n">
        <f aca="false">IFERROR(__xludf.dummyfunction("""COMPUTED_VALUE"""),346.61)</f>
        <v>346.61</v>
      </c>
      <c r="C1247" s="2" t="n">
        <f aca="false">IFERROR(__xludf.dummyfunction("""COMPUTED_VALUE"""),346.61)</f>
        <v>346.61</v>
      </c>
      <c r="D1247" s="2" t="n">
        <f aca="false">IFERROR(__xludf.dummyfunction("""COMPUTED_VALUE"""),321.42)</f>
        <v>321.42</v>
      </c>
      <c r="E1247" s="2" t="n">
        <f aca="false">IFERROR(__xludf.dummyfunction("""COMPUTED_VALUE"""),326.02)</f>
        <v>326.02</v>
      </c>
      <c r="F1247" s="2" t="n">
        <f aca="false">IFERROR(__xludf.dummyfunction("""COMPUTED_VALUE"""),73300901)</f>
        <v>73300901</v>
      </c>
    </row>
    <row r="1248" customFormat="false" ht="15.75" hidden="false" customHeight="false" outlineLevel="0" collapsed="false">
      <c r="A1248" s="3" t="n">
        <f aca="false">IFERROR(__xludf.dummyfunction("""COMPUTED_VALUE"""),46009.6666666667)</f>
        <v>46009.6666666667</v>
      </c>
      <c r="B1248" s="2" t="n">
        <f aca="false">IFERROR(__xludf.dummyfunction("""COMPUTED_VALUE"""),336)</f>
        <v>336</v>
      </c>
      <c r="C1248" s="2" t="n">
        <f aca="false">IFERROR(__xludf.dummyfunction("""COMPUTED_VALUE"""),336.03)</f>
        <v>336.03</v>
      </c>
      <c r="D1248" s="2" t="n">
        <f aca="false">IFERROR(__xludf.dummyfunction("""COMPUTED_VALUE"""),323.63)</f>
        <v>323.63</v>
      </c>
      <c r="E1248" s="2" t="n">
        <f aca="false">IFERROR(__xludf.dummyfunction("""COMPUTED_VALUE"""),329.88)</f>
        <v>329.88</v>
      </c>
      <c r="F1248" s="2" t="n">
        <f aca="false">IFERROR(__xludf.dummyfunction("""COMPUTED_VALUE"""),54501918)</f>
        <v>54501918</v>
      </c>
    </row>
    <row r="1249" customFormat="false" ht="15.75" hidden="false" customHeight="false" outlineLevel="0" collapsed="false">
      <c r="A1249" s="3" t="n">
        <f aca="false">IFERROR(__xludf.dummyfunction("""COMPUTED_VALUE"""),46010.6666666667)</f>
        <v>46010.6666666667</v>
      </c>
      <c r="B1249" s="2" t="n">
        <f aca="false">IFERROR(__xludf.dummyfunction("""COMPUTED_VALUE"""),333.34)</f>
        <v>333.34</v>
      </c>
      <c r="C1249" s="2" t="n">
        <f aca="false">IFERROR(__xludf.dummyfunction("""COMPUTED_VALUE"""),343.45)</f>
        <v>343.45</v>
      </c>
      <c r="D1249" s="2" t="n">
        <f aca="false">IFERROR(__xludf.dummyfunction("""COMPUTED_VALUE"""),332.58)</f>
        <v>332.58</v>
      </c>
      <c r="E1249" s="2" t="n">
        <f aca="false">IFERROR(__xludf.dummyfunction("""COMPUTED_VALUE"""),340.36)</f>
        <v>340.36</v>
      </c>
      <c r="F1249" s="2" t="n">
        <f aca="false">IFERROR(__xludf.dummyfunction("""COMPUTED_VALUE"""),159095200)</f>
        <v>159095200</v>
      </c>
    </row>
    <row r="1250" customFormat="false" ht="15.75" hidden="false" customHeight="false" outlineLevel="0" collapsed="false">
      <c r="A1250" s="3" t="n">
        <f aca="false">IFERROR(__xludf.dummyfunction("""COMPUTED_VALUE"""),46013.6666666667)</f>
        <v>46013.6666666667</v>
      </c>
      <c r="B1250" s="2" t="n">
        <f aca="false">IFERROR(__xludf.dummyfunction("""COMPUTED_VALUE"""),346.03)</f>
        <v>346.03</v>
      </c>
      <c r="C1250" s="2" t="n">
        <f aca="false">IFERROR(__xludf.dummyfunction("""COMPUTED_VALUE"""),346.24)</f>
        <v>346.24</v>
      </c>
      <c r="D1250" s="2" t="n">
        <f aca="false">IFERROR(__xludf.dummyfunction("""COMPUTED_VALUE"""),337.22)</f>
        <v>337.22</v>
      </c>
      <c r="E1250" s="2" t="n">
        <f aca="false">IFERROR(__xludf.dummyfunction("""COMPUTED_VALUE"""),341.45)</f>
        <v>341.45</v>
      </c>
      <c r="F1250" s="2" t="n">
        <f aca="false">IFERROR(__xludf.dummyfunction("""COMPUTED_VALUE"""),28739578)</f>
        <v>28739578</v>
      </c>
    </row>
    <row r="1251" customFormat="false" ht="15.75" hidden="false" customHeight="false" outlineLevel="0" collapsed="false">
      <c r="A1251" s="3" t="n">
        <f aca="false">IFERROR(__xludf.dummyfunction("""COMPUTED_VALUE"""),46014.6666666667)</f>
        <v>46014.6666666667</v>
      </c>
      <c r="B1251" s="2" t="n">
        <f aca="false">IFERROR(__xludf.dummyfunction("""COMPUTED_VALUE"""),340.81)</f>
        <v>340.81</v>
      </c>
      <c r="C1251" s="2" t="n">
        <f aca="false">IFERROR(__xludf.dummyfunction("""COMPUTED_VALUE"""),350.11)</f>
        <v>350.11</v>
      </c>
      <c r="D1251" s="2" t="n">
        <f aca="false">IFERROR(__xludf.dummyfunction("""COMPUTED_VALUE"""),338.54)</f>
        <v>338.54</v>
      </c>
      <c r="E1251" s="2" t="n">
        <f aca="false">IFERROR(__xludf.dummyfunction("""COMPUTED_VALUE"""),349.32)</f>
        <v>349.32</v>
      </c>
      <c r="F1251" s="2" t="n">
        <f aca="false">IFERROR(__xludf.dummyfunction("""COMPUTED_VALUE"""),28232577)</f>
        <v>28232577</v>
      </c>
    </row>
    <row r="1252" customFormat="false" ht="15.75" hidden="false" customHeight="false" outlineLevel="0" collapsed="false">
      <c r="A1252" s="3" t="n">
        <f aca="false">IFERROR(__xludf.dummyfunction("""COMPUTED_VALUE"""),46015.5451388889)</f>
        <v>46015.5451388889</v>
      </c>
      <c r="B1252" s="2" t="n">
        <f aca="false">IFERROR(__xludf.dummyfunction("""COMPUTED_VALUE"""),350.69)</f>
        <v>350.69</v>
      </c>
      <c r="C1252" s="2" t="n">
        <f aca="false">IFERROR(__xludf.dummyfunction("""COMPUTED_VALUE"""),352.86)</f>
        <v>352.86</v>
      </c>
      <c r="D1252" s="2" t="n">
        <f aca="false">IFERROR(__xludf.dummyfunction("""COMPUTED_VALUE"""),347.14)</f>
        <v>347.14</v>
      </c>
      <c r="E1252" s="2" t="n">
        <f aca="false">IFERROR(__xludf.dummyfunction("""COMPUTED_VALUE"""),350.22)</f>
        <v>350.22</v>
      </c>
      <c r="F1252" s="2" t="n">
        <f aca="false">IFERROR(__xludf.dummyfunction("""COMPUTED_VALUE"""),11424403)</f>
        <v>11424403</v>
      </c>
    </row>
    <row r="1253" customFormat="false" ht="15.75" hidden="false" customHeight="false" outlineLevel="0" collapsed="false">
      <c r="A1253" s="3" t="n">
        <f aca="false">IFERROR(__xludf.dummyfunction("""COMPUTED_VALUE"""),46017.6666666667)</f>
        <v>46017.6666666667</v>
      </c>
      <c r="B1253" s="2" t="n">
        <f aca="false">IFERROR(__xludf.dummyfunction("""COMPUTED_VALUE"""),351.06)</f>
        <v>351.06</v>
      </c>
      <c r="C1253" s="2" t="n">
        <f aca="false">IFERROR(__xludf.dummyfunction("""COMPUTED_VALUE"""),353.25)</f>
        <v>353.25</v>
      </c>
      <c r="D1253" s="2" t="n">
        <f aca="false">IFERROR(__xludf.dummyfunction("""COMPUTED_VALUE"""),347.75)</f>
        <v>347.75</v>
      </c>
      <c r="E1253" s="2" t="n">
        <f aca="false">IFERROR(__xludf.dummyfunction("""COMPUTED_VALUE"""),352.13)</f>
        <v>352.13</v>
      </c>
      <c r="F1253" s="2" t="n">
        <f aca="false">IFERROR(__xludf.dummyfunction("""COMPUTED_VALUE"""),15028133)</f>
        <v>15028133</v>
      </c>
    </row>
    <row r="1254" customFormat="false" ht="15.75" hidden="false" customHeight="false" outlineLevel="0" collapsed="false">
      <c r="A1254" s="3" t="n">
        <f aca="false">IFERROR(__xludf.dummyfunction("""COMPUTED_VALUE"""),46020.6666666667)</f>
        <v>46020.6666666667</v>
      </c>
      <c r="B1254" s="2" t="n">
        <f aca="false">IFERROR(__xludf.dummyfunction("""COMPUTED_VALUE"""),348.72)</f>
        <v>348.72</v>
      </c>
      <c r="C1254" s="2" t="n">
        <f aca="false">IFERROR(__xludf.dummyfunction("""COMPUTED_VALUE"""),350.33)</f>
        <v>350.33</v>
      </c>
      <c r="D1254" s="2" t="n">
        <f aca="false">IFERROR(__xludf.dummyfunction("""COMPUTED_VALUE"""),344.69)</f>
        <v>344.69</v>
      </c>
      <c r="E1254" s="2" t="n">
        <f aca="false">IFERROR(__xludf.dummyfunction("""COMPUTED_VALUE"""),349.39)</f>
        <v>349.39</v>
      </c>
      <c r="F1254" s="2" t="n">
        <f aca="false">IFERROR(__xludf.dummyfunction("""COMPUTED_VALUE"""),21946856)</f>
        <v>21946856</v>
      </c>
    </row>
    <row r="1255" customFormat="false" ht="15.75" hidden="false" customHeight="false" outlineLevel="0" collapsed="false">
      <c r="A1255" s="3" t="n">
        <f aca="false">IFERROR(__xludf.dummyfunction("""COMPUTED_VALUE"""),46021.6666666667)</f>
        <v>46021.6666666667</v>
      </c>
      <c r="B1255" s="2" t="n">
        <f aca="false">IFERROR(__xludf.dummyfunction("""COMPUTED_VALUE"""),349.97)</f>
        <v>349.97</v>
      </c>
      <c r="C1255" s="2" t="n">
        <f aca="false">IFERROR(__xludf.dummyfunction("""COMPUTED_VALUE"""),352.68)</f>
        <v>352.68</v>
      </c>
      <c r="D1255" s="2" t="n">
        <f aca="false">IFERROR(__xludf.dummyfunction("""COMPUTED_VALUE"""),349.3)</f>
        <v>349.3</v>
      </c>
      <c r="E1255" s="2" t="n">
        <f aca="false">IFERROR(__xludf.dummyfunction("""COMPUTED_VALUE"""),349.85)</f>
        <v>349.85</v>
      </c>
      <c r="F1255" s="2" t="n">
        <f aca="false">IFERROR(__xludf.dummyfunction("""COMPUTED_VALUE"""),16633607)</f>
        <v>16633607</v>
      </c>
    </row>
    <row r="1256" customFormat="false" ht="15.75" hidden="false" customHeight="false" outlineLevel="0" collapsed="false">
      <c r="A1256" s="3" t="n">
        <f aca="false">IFERROR(__xludf.dummyfunction("""COMPUTED_VALUE"""),46022.6666666667)</f>
        <v>46022.6666666667</v>
      </c>
      <c r="B1256" s="2" t="n">
        <f aca="false">IFERROR(__xludf.dummyfunction("""COMPUTED_VALUE"""),349.73)</f>
        <v>349.73</v>
      </c>
      <c r="C1256" s="2" t="n">
        <f aca="false">IFERROR(__xludf.dummyfunction("""COMPUTED_VALUE"""),349.88)</f>
        <v>349.88</v>
      </c>
      <c r="D1256" s="2" t="n">
        <f aca="false">IFERROR(__xludf.dummyfunction("""COMPUTED_VALUE"""),345.42)</f>
        <v>345.42</v>
      </c>
      <c r="E1256" s="2" t="n">
        <f aca="false">IFERROR(__xludf.dummyfunction("""COMPUTED_VALUE"""),346.1)</f>
        <v>346.1</v>
      </c>
      <c r="F1256" s="2" t="n">
        <f aca="false">IFERROR(__xludf.dummyfunction("""COMPUTED_VALUE"""),15346052)</f>
        <v>15346052</v>
      </c>
    </row>
    <row r="1257" customFormat="false" ht="15.75" hidden="false" customHeight="false" outlineLevel="0" collapsed="false">
      <c r="A1257" s="3" t="n">
        <f aca="false">IFERROR(__xludf.dummyfunction("""COMPUTED_VALUE"""),46024.6666666667)</f>
        <v>46024.6666666667</v>
      </c>
      <c r="B1257" s="2" t="n">
        <f aca="false">IFERROR(__xludf.dummyfunction("""COMPUTED_VALUE"""),352.78)</f>
        <v>352.78</v>
      </c>
      <c r="C1257" s="2" t="n">
        <f aca="false">IFERROR(__xludf.dummyfunction("""COMPUTED_VALUE"""),360.66)</f>
        <v>360.66</v>
      </c>
      <c r="D1257" s="2" t="n">
        <f aca="false">IFERROR(__xludf.dummyfunction("""COMPUTED_VALUE"""),345.56)</f>
        <v>345.56</v>
      </c>
      <c r="E1257" s="2" t="n">
        <f aca="false">IFERROR(__xludf.dummyfunction("""COMPUTED_VALUE"""),347.62)</f>
        <v>347.62</v>
      </c>
      <c r="F1257" s="2" t="n">
        <f aca="false">IFERROR(__xludf.dummyfunction("""COMPUTED_VALUE"""),25398633)</f>
        <v>25398633</v>
      </c>
    </row>
    <row r="1258" customFormat="false" ht="15.75" hidden="false" customHeight="false" outlineLevel="0" collapsed="false">
      <c r="A1258" s="3" t="n">
        <f aca="false">IFERROR(__xludf.dummyfunction("""COMPUTED_VALUE"""),46027.6666666667)</f>
        <v>46027.6666666667</v>
      </c>
      <c r="B1258" s="2" t="n">
        <f aca="false">IFERROR(__xludf.dummyfunction("""COMPUTED_VALUE"""),354.74)</f>
        <v>354.74</v>
      </c>
      <c r="C1258" s="2" t="n">
        <f aca="false">IFERROR(__xludf.dummyfunction("""COMPUTED_VALUE"""),355.03)</f>
        <v>355.03</v>
      </c>
      <c r="D1258" s="2" t="n">
        <f aca="false">IFERROR(__xludf.dummyfunction("""COMPUTED_VALUE"""),336.5)</f>
        <v>336.5</v>
      </c>
      <c r="E1258" s="2" t="n">
        <f aca="false">IFERROR(__xludf.dummyfunction("""COMPUTED_VALUE"""),343.42)</f>
        <v>343.42</v>
      </c>
      <c r="F1258" s="2" t="n">
        <f aca="false">IFERROR(__xludf.dummyfunction("""COMPUTED_VALUE"""),31136049)</f>
        <v>31136049</v>
      </c>
    </row>
    <row r="1259" customFormat="false" ht="15.75" hidden="false" customHeight="false" outlineLevel="0" collapsed="false">
      <c r="A1259" s="3" t="n">
        <f aca="false">IFERROR(__xludf.dummyfunction("""COMPUTED_VALUE"""),46028.6666666667)</f>
        <v>46028.6666666667</v>
      </c>
      <c r="B1259" s="2" t="n">
        <f aca="false">IFERROR(__xludf.dummyfunction("""COMPUTED_VALUE"""),343.6)</f>
        <v>343.6</v>
      </c>
      <c r="C1259" s="2" t="n">
        <f aca="false">IFERROR(__xludf.dummyfunction("""COMPUTED_VALUE"""),349.05)</f>
        <v>349.05</v>
      </c>
      <c r="D1259" s="2" t="n">
        <f aca="false">IFERROR(__xludf.dummyfunction("""COMPUTED_VALUE"""),338)</f>
        <v>338</v>
      </c>
      <c r="E1259" s="2" t="n">
        <f aca="false">IFERROR(__xludf.dummyfunction("""COMPUTED_VALUE"""),343.77)</f>
        <v>343.77</v>
      </c>
      <c r="F1259" s="2" t="n">
        <f aca="false">IFERROR(__xludf.dummyfunction("""COMPUTED_VALUE"""),27135526)</f>
        <v>27135526</v>
      </c>
    </row>
    <row r="1260" customFormat="false" ht="15.75" hidden="false" customHeight="false" outlineLevel="0" collapsed="false">
      <c r="A1260" s="3" t="n">
        <f aca="false">IFERROR(__xludf.dummyfunction("""COMPUTED_VALUE"""),46029.6666666667)</f>
        <v>46029.6666666667</v>
      </c>
      <c r="B1260" s="2" t="n">
        <f aca="false">IFERROR(__xludf.dummyfunction("""COMPUTED_VALUE"""),341.7)</f>
        <v>341.7</v>
      </c>
      <c r="C1260" s="2" t="n">
        <f aca="false">IFERROR(__xludf.dummyfunction("""COMPUTED_VALUE"""),349.7)</f>
        <v>349.7</v>
      </c>
      <c r="D1260" s="2" t="n">
        <f aca="false">IFERROR(__xludf.dummyfunction("""COMPUTED_VALUE"""),335.88)</f>
        <v>335.88</v>
      </c>
      <c r="E1260" s="2" t="n">
        <f aca="false">IFERROR(__xludf.dummyfunction("""COMPUTED_VALUE"""),343.5)</f>
        <v>343.5</v>
      </c>
      <c r="F1260" s="2" t="n">
        <f aca="false">IFERROR(__xludf.dummyfunction("""COMPUTED_VALUE"""),20249259)</f>
        <v>20249259</v>
      </c>
    </row>
    <row r="1261" customFormat="false" ht="15.75" hidden="false" customHeight="false" outlineLevel="0" collapsed="false">
      <c r="A1261" s="3" t="n">
        <f aca="false">IFERROR(__xludf.dummyfunction("""COMPUTED_VALUE"""),46030.6666666667)</f>
        <v>46030.6666666667</v>
      </c>
      <c r="B1261" s="2" t="n">
        <f aca="false">IFERROR(__xludf.dummyfunction("""COMPUTED_VALUE"""),342.78)</f>
        <v>342.78</v>
      </c>
      <c r="C1261" s="2" t="n">
        <f aca="false">IFERROR(__xludf.dummyfunction("""COMPUTED_VALUE"""),343.68)</f>
        <v>343.68</v>
      </c>
      <c r="D1261" s="2" t="n">
        <f aca="false">IFERROR(__xludf.dummyfunction("""COMPUTED_VALUE"""),330.5)</f>
        <v>330.5</v>
      </c>
      <c r="E1261" s="2" t="n">
        <f aca="false">IFERROR(__xludf.dummyfunction("""COMPUTED_VALUE"""),332.48)</f>
        <v>332.48</v>
      </c>
      <c r="F1261" s="2" t="n">
        <f aca="false">IFERROR(__xludf.dummyfunction("""COMPUTED_VALUE"""),24385175)</f>
        <v>24385175</v>
      </c>
    </row>
    <row r="1262" customFormat="false" ht="15.75" hidden="false" customHeight="false" outlineLevel="0" collapsed="false">
      <c r="A1262" s="3" t="n">
        <f aca="false">IFERROR(__xludf.dummyfunction("""COMPUTED_VALUE"""),46031.6666666667)</f>
        <v>46031.6666666667</v>
      </c>
      <c r="B1262" s="2" t="n">
        <f aca="false">IFERROR(__xludf.dummyfunction("""COMPUTED_VALUE"""),337.92)</f>
        <v>337.92</v>
      </c>
      <c r="C1262" s="2" t="n">
        <f aca="false">IFERROR(__xludf.dummyfunction("""COMPUTED_VALUE"""),347.39)</f>
        <v>347.39</v>
      </c>
      <c r="D1262" s="2" t="n">
        <f aca="false">IFERROR(__xludf.dummyfunction("""COMPUTED_VALUE"""),333.5)</f>
        <v>333.5</v>
      </c>
      <c r="E1262" s="2" t="n">
        <f aca="false">IFERROR(__xludf.dummyfunction("""COMPUTED_VALUE"""),344.97)</f>
        <v>344.97</v>
      </c>
      <c r="F1262" s="2" t="n">
        <f aca="false">IFERROR(__xludf.dummyfunction("""COMPUTED_VALUE"""),22482508)</f>
        <v>22482508</v>
      </c>
    </row>
    <row r="1263" customFormat="false" ht="15.75" hidden="false" customHeight="false" outlineLevel="0" collapsed="false">
      <c r="A1263" s="3" t="n">
        <f aca="false">IFERROR(__xludf.dummyfunction("""COMPUTED_VALUE"""),46034.6666666667)</f>
        <v>46034.6666666667</v>
      </c>
      <c r="B1263" s="2" t="n">
        <f aca="false">IFERROR(__xludf.dummyfunction("""COMPUTED_VALUE"""),340.95)</f>
        <v>340.95</v>
      </c>
      <c r="C1263" s="2" t="n">
        <f aca="false">IFERROR(__xludf.dummyfunction("""COMPUTED_VALUE"""),353.9)</f>
        <v>353.9</v>
      </c>
      <c r="D1263" s="2" t="n">
        <f aca="false">IFERROR(__xludf.dummyfunction("""COMPUTED_VALUE"""),340.95)</f>
        <v>340.95</v>
      </c>
      <c r="E1263" s="2" t="n">
        <f aca="false">IFERROR(__xludf.dummyfunction("""COMPUTED_VALUE"""),352.21)</f>
        <v>352.21</v>
      </c>
      <c r="F1263" s="2" t="n">
        <f aca="false">IFERROR(__xludf.dummyfunction("""COMPUTED_VALUE"""),20949634)</f>
        <v>20949634</v>
      </c>
    </row>
    <row r="1264" customFormat="false" ht="15.75" hidden="false" customHeight="false" outlineLevel="0" collapsed="false">
      <c r="A1264" s="3" t="n">
        <f aca="false">IFERROR(__xludf.dummyfunction("""COMPUTED_VALUE"""),46035.6666666667)</f>
        <v>46035.6666666667</v>
      </c>
      <c r="B1264" s="2" t="n">
        <f aca="false">IFERROR(__xludf.dummyfunction("""COMPUTED_VALUE"""),352.88)</f>
        <v>352.88</v>
      </c>
      <c r="C1264" s="2" t="n">
        <f aca="false">IFERROR(__xludf.dummyfunction("""COMPUTED_VALUE"""),359.49)</f>
        <v>359.49</v>
      </c>
      <c r="D1264" s="2" t="n">
        <f aca="false">IFERROR(__xludf.dummyfunction("""COMPUTED_VALUE"""),350.91)</f>
        <v>350.91</v>
      </c>
      <c r="E1264" s="2" t="n">
        <f aca="false">IFERROR(__xludf.dummyfunction("""COMPUTED_VALUE"""),354.61)</f>
        <v>354.61</v>
      </c>
      <c r="F1264" s="2" t="n">
        <f aca="false">IFERROR(__xludf.dummyfunction("""COMPUTED_VALUE"""),18307969)</f>
        <v>18307969</v>
      </c>
    </row>
    <row r="1265" customFormat="false" ht="15.75" hidden="false" customHeight="false" outlineLevel="0" collapsed="false">
      <c r="A1265" s="3" t="n">
        <f aca="false">IFERROR(__xludf.dummyfunction("""COMPUTED_VALUE"""),46036.6666666667)</f>
        <v>46036.6666666667</v>
      </c>
      <c r="B1265" s="2" t="n">
        <f aca="false">IFERROR(__xludf.dummyfunction("""COMPUTED_VALUE"""),348.97)</f>
        <v>348.97</v>
      </c>
      <c r="C1265" s="2" t="n">
        <f aca="false">IFERROR(__xludf.dummyfunction("""COMPUTED_VALUE"""),350.69)</f>
        <v>350.69</v>
      </c>
      <c r="D1265" s="2" t="n">
        <f aca="false">IFERROR(__xludf.dummyfunction("""COMPUTED_VALUE"""),334.42)</f>
        <v>334.42</v>
      </c>
      <c r="E1265" s="2" t="n">
        <f aca="false">IFERROR(__xludf.dummyfunction("""COMPUTED_VALUE"""),339.89)</f>
        <v>339.89</v>
      </c>
      <c r="F1265" s="2" t="n">
        <f aca="false">IFERROR(__xludf.dummyfunction("""COMPUTED_VALUE"""),30094734)</f>
        <v>30094734</v>
      </c>
    </row>
    <row r="1266" customFormat="false" ht="15.75" hidden="false" customHeight="false" outlineLevel="0" collapsed="false">
      <c r="A1266" s="3" t="n">
        <f aca="false">IFERROR(__xludf.dummyfunction("""COMPUTED_VALUE"""),46037.6666666667)</f>
        <v>46037.6666666667</v>
      </c>
      <c r="B1266" s="2" t="n">
        <f aca="false">IFERROR(__xludf.dummyfunction("""COMPUTED_VALUE"""),349.12)</f>
        <v>349.12</v>
      </c>
      <c r="C1266" s="2" t="n">
        <f aca="false">IFERROR(__xludf.dummyfunction("""COMPUTED_VALUE"""),349.68)</f>
        <v>349.68</v>
      </c>
      <c r="D1266" s="2" t="n">
        <f aca="false">IFERROR(__xludf.dummyfunction("""COMPUTED_VALUE"""),341.67)</f>
        <v>341.67</v>
      </c>
      <c r="E1266" s="2" t="n">
        <f aca="false">IFERROR(__xludf.dummyfunction("""COMPUTED_VALUE"""),343.02)</f>
        <v>343.02</v>
      </c>
      <c r="F1266" s="2" t="n">
        <f aca="false">IFERROR(__xludf.dummyfunction("""COMPUTED_VALUE"""),22218787)</f>
        <v>22218787</v>
      </c>
    </row>
    <row r="1267" customFormat="false" ht="15.75" hidden="false" customHeight="false" outlineLevel="0" collapsed="false">
      <c r="A1267" s="3" t="n">
        <f aca="false">IFERROR(__xludf.dummyfunction("""COMPUTED_VALUE"""),46038.6666666667)</f>
        <v>46038.6666666667</v>
      </c>
      <c r="B1267" s="2" t="n">
        <f aca="false">IFERROR(__xludf.dummyfunction("""COMPUTED_VALUE"""),346.27)</f>
        <v>346.27</v>
      </c>
      <c r="C1267" s="2" t="n">
        <f aca="false">IFERROR(__xludf.dummyfunction("""COMPUTED_VALUE"""),354.51)</f>
        <v>354.51</v>
      </c>
      <c r="D1267" s="2" t="n">
        <f aca="false">IFERROR(__xludf.dummyfunction("""COMPUTED_VALUE"""),344.05)</f>
        <v>344.05</v>
      </c>
      <c r="E1267" s="2" t="n">
        <f aca="false">IFERROR(__xludf.dummyfunction("""COMPUTED_VALUE"""),351.71)</f>
        <v>351.71</v>
      </c>
      <c r="F1267" s="2" t="n">
        <f aca="false">IFERROR(__xludf.dummyfunction("""COMPUTED_VALUE"""),31291206)</f>
        <v>31291206</v>
      </c>
    </row>
    <row r="1268" customFormat="false" ht="15.75" hidden="false" customHeight="false" outlineLevel="0" collapsed="false">
      <c r="A1268" s="3" t="n">
        <f aca="false">IFERROR(__xludf.dummyfunction("""COMPUTED_VALUE"""),46042.6666666667)</f>
        <v>46042.6666666667</v>
      </c>
      <c r="B1268" s="2" t="n">
        <f aca="false">IFERROR(__xludf.dummyfunction("""COMPUTED_VALUE"""),344.1)</f>
        <v>344.1</v>
      </c>
      <c r="C1268" s="2" t="n">
        <f aca="false">IFERROR(__xludf.dummyfunction("""COMPUTED_VALUE"""),345.4)</f>
        <v>345.4</v>
      </c>
      <c r="D1268" s="2" t="n">
        <f aca="false">IFERROR(__xludf.dummyfunction("""COMPUTED_VALUE"""),331.8)</f>
        <v>331.8</v>
      </c>
      <c r="E1268" s="2" t="n">
        <f aca="false">IFERROR(__xludf.dummyfunction("""COMPUTED_VALUE"""),332.6)</f>
        <v>332.6</v>
      </c>
      <c r="F1268" s="2" t="n">
        <f aca="false">IFERROR(__xludf.dummyfunction("""COMPUTED_VALUE"""),32293872)</f>
        <v>32293872</v>
      </c>
    </row>
    <row r="1269" customFormat="false" ht="15.75" hidden="false" customHeight="false" outlineLevel="0" collapsed="false">
      <c r="A1269" s="3" t="n">
        <f aca="false">IFERROR(__xludf.dummyfunction("""COMPUTED_VALUE"""),46043.6666666667)</f>
        <v>46043.6666666667</v>
      </c>
      <c r="B1269" s="2" t="n">
        <f aca="false">IFERROR(__xludf.dummyfunction("""COMPUTED_VALUE"""),335.51)</f>
        <v>335.51</v>
      </c>
      <c r="C1269" s="2" t="n">
        <f aca="false">IFERROR(__xludf.dummyfunction("""COMPUTED_VALUE"""),335.8)</f>
        <v>335.8</v>
      </c>
      <c r="D1269" s="2" t="n">
        <f aca="false">IFERROR(__xludf.dummyfunction("""COMPUTED_VALUE"""),324.2)</f>
        <v>324.2</v>
      </c>
      <c r="E1269" s="2" t="n">
        <f aca="false">IFERROR(__xludf.dummyfunction("""COMPUTED_VALUE"""),328.8)</f>
        <v>328.8</v>
      </c>
      <c r="F1269" s="2" t="n">
        <f aca="false">IFERROR(__xludf.dummyfunction("""COMPUTED_VALUE"""),32006555)</f>
        <v>32006555</v>
      </c>
    </row>
    <row r="1270" customFormat="false" ht="15.75" hidden="false" customHeight="false" outlineLevel="0" collapsed="false">
      <c r="A1270" s="3" t="n">
        <f aca="false">IFERROR(__xludf.dummyfunction("""COMPUTED_VALUE"""),46044.6666666667)</f>
        <v>46044.6666666667</v>
      </c>
      <c r="B1270" s="2" t="n">
        <f aca="false">IFERROR(__xludf.dummyfunction("""COMPUTED_VALUE"""),335.35)</f>
        <v>335.35</v>
      </c>
      <c r="C1270" s="2" t="n">
        <f aca="false">IFERROR(__xludf.dummyfunction("""COMPUTED_VALUE"""),336.99)</f>
        <v>336.99</v>
      </c>
      <c r="D1270" s="2" t="n">
        <f aca="false">IFERROR(__xludf.dummyfunction("""COMPUTED_VALUE"""),324.89)</f>
        <v>324.89</v>
      </c>
      <c r="E1270" s="2" t="n">
        <f aca="false">IFERROR(__xludf.dummyfunction("""COMPUTED_VALUE"""),325.49)</f>
        <v>325.49</v>
      </c>
      <c r="F1270" s="2" t="n">
        <f aca="false">IFERROR(__xludf.dummyfunction("""COMPUTED_VALUE"""),24275398)</f>
        <v>24275398</v>
      </c>
    </row>
    <row r="1271" customFormat="false" ht="15.75" hidden="false" customHeight="false" outlineLevel="0" collapsed="false">
      <c r="A1271" s="3" t="n">
        <f aca="false">IFERROR(__xludf.dummyfunction("""COMPUTED_VALUE"""),46045.6666666667)</f>
        <v>46045.6666666667</v>
      </c>
      <c r="B1271" s="2" t="n">
        <f aca="false">IFERROR(__xludf.dummyfunction("""COMPUTED_VALUE"""),319.3)</f>
        <v>319.3</v>
      </c>
      <c r="C1271" s="2" t="n">
        <f aca="false">IFERROR(__xludf.dummyfunction("""COMPUTED_VALUE"""),321.99)</f>
        <v>321.99</v>
      </c>
      <c r="D1271" s="2" t="n">
        <f aca="false">IFERROR(__xludf.dummyfunction("""COMPUTED_VALUE"""),314.11)</f>
        <v>314.11</v>
      </c>
      <c r="E1271" s="2" t="n">
        <f aca="false">IFERROR(__xludf.dummyfunction("""COMPUTED_VALUE"""),320.05)</f>
        <v>320.05</v>
      </c>
      <c r="F1271" s="2" t="n">
        <f aca="false">IFERROR(__xludf.dummyfunction("""COMPUTED_VALUE"""),30259482)</f>
        <v>30259482</v>
      </c>
    </row>
    <row r="1272" customFormat="false" ht="15.75" hidden="false" customHeight="false" outlineLevel="0" collapsed="false">
      <c r="A1272" s="3" t="n">
        <f aca="false">IFERROR(__xludf.dummyfunction("""COMPUTED_VALUE"""),46048.6666666667)</f>
        <v>46048.6666666667</v>
      </c>
      <c r="B1272" s="2" t="n">
        <f aca="false">IFERROR(__xludf.dummyfunction("""COMPUTED_VALUE"""),319.8)</f>
        <v>319.8</v>
      </c>
      <c r="C1272" s="2" t="n">
        <f aca="false">IFERROR(__xludf.dummyfunction("""COMPUTED_VALUE"""),328.68)</f>
        <v>328.68</v>
      </c>
      <c r="D1272" s="2" t="n">
        <f aca="false">IFERROR(__xludf.dummyfunction("""COMPUTED_VALUE"""),317.6)</f>
        <v>317.6</v>
      </c>
      <c r="E1272" s="2" t="n">
        <f aca="false">IFERROR(__xludf.dummyfunction("""COMPUTED_VALUE"""),324.85)</f>
        <v>324.85</v>
      </c>
      <c r="F1272" s="2" t="n">
        <f aca="false">IFERROR(__xludf.dummyfunction("""COMPUTED_VALUE"""),25006396)</f>
        <v>25006396</v>
      </c>
    </row>
    <row r="1273" customFormat="false" ht="15.75" hidden="false" customHeight="false" outlineLevel="0" collapsed="false">
      <c r="A1273" s="3" t="n">
        <f aca="false">IFERROR(__xludf.dummyfunction("""COMPUTED_VALUE"""),46049.6666666667)</f>
        <v>46049.6666666667</v>
      </c>
      <c r="B1273" s="2" t="n">
        <f aca="false">IFERROR(__xludf.dummyfunction("""COMPUTED_VALUE"""),329.76)</f>
        <v>329.76</v>
      </c>
      <c r="C1273" s="2" t="n">
        <f aca="false">IFERROR(__xludf.dummyfunction("""COMPUTED_VALUE"""),334.76)</f>
        <v>334.76</v>
      </c>
      <c r="D1273" s="2" t="n">
        <f aca="false">IFERROR(__xludf.dummyfunction("""COMPUTED_VALUE"""),327.02)</f>
        <v>327.02</v>
      </c>
      <c r="E1273" s="2" t="n">
        <f aca="false">IFERROR(__xludf.dummyfunction("""COMPUTED_VALUE"""),332.79)</f>
        <v>332.79</v>
      </c>
      <c r="F1273" s="2" t="n">
        <f aca="false">IFERROR(__xludf.dummyfunction("""COMPUTED_VALUE"""),25537634)</f>
        <v>25537634</v>
      </c>
    </row>
    <row r="1274" customFormat="false" ht="15.75" hidden="false" customHeight="false" outlineLevel="0" collapsed="false">
      <c r="A1274" s="3" t="n">
        <f aca="false">IFERROR(__xludf.dummyfunction("""COMPUTED_VALUE"""),46050.6666666667)</f>
        <v>46050.6666666667</v>
      </c>
      <c r="B1274" s="2" t="n">
        <f aca="false">IFERROR(__xludf.dummyfunction("""COMPUTED_VALUE"""),338.85)</f>
        <v>338.85</v>
      </c>
      <c r="C1274" s="2" t="n">
        <f aca="false">IFERROR(__xludf.dummyfunction("""COMPUTED_VALUE"""),339.99)</f>
        <v>339.99</v>
      </c>
      <c r="D1274" s="2" t="n">
        <f aca="false">IFERROR(__xludf.dummyfunction("""COMPUTED_VALUE"""),326.7)</f>
        <v>326.7</v>
      </c>
      <c r="E1274" s="2" t="n">
        <f aca="false">IFERROR(__xludf.dummyfunction("""COMPUTED_VALUE"""),333.24)</f>
        <v>333.24</v>
      </c>
      <c r="F1274" s="2" t="n">
        <f aca="false">IFERROR(__xludf.dummyfunction("""COMPUTED_VALUE"""),23001670)</f>
        <v>23001670</v>
      </c>
    </row>
    <row r="1275" customFormat="false" ht="15.75" hidden="false" customHeight="false" outlineLevel="0" collapsed="false">
      <c r="A1275" s="3" t="n">
        <f aca="false">IFERROR(__xludf.dummyfunction("""COMPUTED_VALUE"""),46051.6666666667)</f>
        <v>46051.6666666667</v>
      </c>
      <c r="B1275" s="2" t="n">
        <f aca="false">IFERROR(__xludf.dummyfunction("""COMPUTED_VALUE"""),332.56)</f>
        <v>332.56</v>
      </c>
      <c r="C1275" s="2" t="n">
        <f aca="false">IFERROR(__xludf.dummyfunction("""COMPUTED_VALUE"""),335.95)</f>
        <v>335.95</v>
      </c>
      <c r="D1275" s="2" t="n">
        <f aca="false">IFERROR(__xludf.dummyfunction("""COMPUTED_VALUE"""),320.28)</f>
        <v>320.28</v>
      </c>
      <c r="E1275" s="2" t="n">
        <f aca="false">IFERROR(__xludf.dummyfunction("""COMPUTED_VALUE"""),330.73)</f>
        <v>330.73</v>
      </c>
      <c r="F1275" s="2" t="n">
        <f aca="false">IFERROR(__xludf.dummyfunction("""COMPUTED_VALUE"""),20447467)</f>
        <v>20447467</v>
      </c>
    </row>
    <row r="1276" customFormat="false" ht="15.75" hidden="false" customHeight="false" outlineLevel="0" collapsed="false">
      <c r="A1276" s="3" t="n">
        <f aca="false">IFERROR(__xludf.dummyfunction("""COMPUTED_VALUE"""),46052.6666666667)</f>
        <v>46052.6666666667</v>
      </c>
      <c r="B1276" s="2" t="n">
        <f aca="false">IFERROR(__xludf.dummyfunction("""COMPUTED_VALUE"""),332.44)</f>
        <v>332.44</v>
      </c>
      <c r="C1276" s="2" t="n">
        <f aca="false">IFERROR(__xludf.dummyfunction("""COMPUTED_VALUE"""),338.2)</f>
        <v>338.2</v>
      </c>
      <c r="D1276" s="2" t="n">
        <f aca="false">IFERROR(__xludf.dummyfunction("""COMPUTED_VALUE"""),328.33)</f>
        <v>328.33</v>
      </c>
      <c r="E1276" s="2" t="n">
        <f aca="false">IFERROR(__xludf.dummyfunction("""COMPUTED_VALUE"""),331.3)</f>
        <v>331.3</v>
      </c>
      <c r="F1276" s="2" t="n">
        <f aca="false">IFERROR(__xludf.dummyfunction("""COMPUTED_VALUE"""),28313039)</f>
        <v>28313039</v>
      </c>
    </row>
    <row r="1277" customFormat="false" ht="15.75" hidden="false" customHeight="false" outlineLevel="0" collapsed="false">
      <c r="A1277" s="3" t="n">
        <f aca="false">IFERROR(__xludf.dummyfunction("""COMPUTED_VALUE"""),46055.6666666667)</f>
        <v>46055.6666666667</v>
      </c>
      <c r="B1277" s="2" t="n">
        <f aca="false">IFERROR(__xludf.dummyfunction("""COMPUTED_VALUE"""),326.11)</f>
        <v>326.11</v>
      </c>
      <c r="C1277" s="2" t="n">
        <f aca="false">IFERROR(__xludf.dummyfunction("""COMPUTED_VALUE"""),336.06)</f>
        <v>336.06</v>
      </c>
      <c r="D1277" s="2" t="n">
        <f aca="false">IFERROR(__xludf.dummyfunction("""COMPUTED_VALUE"""),325.75)</f>
        <v>325.75</v>
      </c>
      <c r="E1277" s="2" t="n">
        <f aca="false">IFERROR(__xludf.dummyfunction("""COMPUTED_VALUE"""),331.11)</f>
        <v>331.11</v>
      </c>
      <c r="F1277" s="2" t="n">
        <f aca="false">IFERROR(__xludf.dummyfunction("""COMPUTED_VALUE"""),17278166)</f>
        <v>17278166</v>
      </c>
    </row>
    <row r="1278" customFormat="false" ht="15.75" hidden="false" customHeight="false" outlineLevel="0" collapsed="false">
      <c r="A1278" s="3" t="n">
        <f aca="false">IFERROR(__xludf.dummyfunction("""COMPUTED_VALUE"""),46056.6666666667)</f>
        <v>46056.6666666667</v>
      </c>
      <c r="B1278" s="2" t="n">
        <f aca="false">IFERROR(__xludf.dummyfunction("""COMPUTED_VALUE"""),336.74)</f>
        <v>336.74</v>
      </c>
      <c r="C1278" s="2" t="n">
        <f aca="false">IFERROR(__xludf.dummyfunction("""COMPUTED_VALUE"""),338.9)</f>
        <v>338.9</v>
      </c>
      <c r="D1278" s="2" t="n">
        <f aca="false">IFERROR(__xludf.dummyfunction("""COMPUTED_VALUE"""),308.65)</f>
        <v>308.65</v>
      </c>
      <c r="E1278" s="2" t="n">
        <f aca="false">IFERROR(__xludf.dummyfunction("""COMPUTED_VALUE"""),320.33)</f>
        <v>320.33</v>
      </c>
      <c r="F1278" s="2" t="n">
        <f aca="false">IFERROR(__xludf.dummyfunction("""COMPUTED_VALUE"""),36914779)</f>
        <v>36914779</v>
      </c>
    </row>
    <row r="1279" customFormat="false" ht="15.75" hidden="false" customHeight="false" outlineLevel="0" collapsed="false">
      <c r="A1279" s="3" t="n">
        <f aca="false">IFERROR(__xludf.dummyfunction("""COMPUTED_VALUE"""),46057.6666666667)</f>
        <v>46057.6666666667</v>
      </c>
      <c r="B1279" s="2" t="n">
        <f aca="false">IFERROR(__xludf.dummyfunction("""COMPUTED_VALUE"""),319.51)</f>
        <v>319.51</v>
      </c>
      <c r="C1279" s="2" t="n">
        <f aca="false">IFERROR(__xludf.dummyfunction("""COMPUTED_VALUE"""),319.51)</f>
        <v>319.51</v>
      </c>
      <c r="D1279" s="2" t="n">
        <f aca="false">IFERROR(__xludf.dummyfunction("""COMPUTED_VALUE"""),295.3)</f>
        <v>295.3</v>
      </c>
      <c r="E1279" s="2" t="n">
        <f aca="false">IFERROR(__xludf.dummyfunction("""COMPUTED_VALUE"""),308.05)</f>
        <v>308.05</v>
      </c>
      <c r="F1279" s="2" t="n">
        <f aca="false">IFERROR(__xludf.dummyfunction("""COMPUTED_VALUE"""),43330322)</f>
        <v>43330322</v>
      </c>
    </row>
    <row r="1280" customFormat="false" ht="15.75" hidden="false" customHeight="false" outlineLevel="0" collapsed="false">
      <c r="A1280" s="3" t="n">
        <f aca="false">IFERROR(__xludf.dummyfunction("""COMPUTED_VALUE"""),46058.6666666667)</f>
        <v>46058.6666666667</v>
      </c>
      <c r="B1280" s="2" t="n">
        <f aca="false">IFERROR(__xludf.dummyfunction("""COMPUTED_VALUE"""),314.33)</f>
        <v>314.33</v>
      </c>
      <c r="C1280" s="2" t="n">
        <f aca="false">IFERROR(__xludf.dummyfunction("""COMPUTED_VALUE"""),326.53)</f>
        <v>326.53</v>
      </c>
      <c r="D1280" s="2" t="n">
        <f aca="false">IFERROR(__xludf.dummyfunction("""COMPUTED_VALUE"""),306.7)</f>
        <v>306.7</v>
      </c>
      <c r="E1280" s="2" t="n">
        <f aca="false">IFERROR(__xludf.dummyfunction("""COMPUTED_VALUE"""),310.51)</f>
        <v>310.51</v>
      </c>
      <c r="F1280" s="2" t="n">
        <f aca="false">IFERROR(__xludf.dummyfunction("""COMPUTED_VALUE"""),42775810)</f>
        <v>42775810</v>
      </c>
    </row>
    <row r="1281" customFormat="false" ht="15.75" hidden="false" customHeight="false" outlineLevel="0" collapsed="false">
      <c r="A1281" s="3" t="n">
        <f aca="false">IFERROR(__xludf.dummyfunction("""COMPUTED_VALUE"""),46059.6666666667)</f>
        <v>46059.6666666667</v>
      </c>
      <c r="B1281" s="2" t="n">
        <f aca="false">IFERROR(__xludf.dummyfunction("""COMPUTED_VALUE"""),320.1)</f>
        <v>320.1</v>
      </c>
      <c r="C1281" s="2" t="n">
        <f aca="false">IFERROR(__xludf.dummyfunction("""COMPUTED_VALUE"""),335)</f>
        <v>335</v>
      </c>
      <c r="D1281" s="2" t="n">
        <f aca="false">IFERROR(__xludf.dummyfunction("""COMPUTED_VALUE"""),316.3)</f>
        <v>316.3</v>
      </c>
      <c r="E1281" s="2" t="n">
        <f aca="false">IFERROR(__xludf.dummyfunction("""COMPUTED_VALUE"""),332.92)</f>
        <v>332.92</v>
      </c>
      <c r="F1281" s="2" t="n">
        <f aca="false">IFERROR(__xludf.dummyfunction("""COMPUTED_VALUE"""),33003432)</f>
        <v>33003432</v>
      </c>
    </row>
    <row r="1282" customFormat="false" ht="15.75" hidden="false" customHeight="false" outlineLevel="0" collapsed="false">
      <c r="A1282" s="3" t="n">
        <f aca="false">IFERROR(__xludf.dummyfunction("""COMPUTED_VALUE"""),46062.6666666667)</f>
        <v>46062.6666666667</v>
      </c>
      <c r="B1282" s="2" t="n">
        <f aca="false">IFERROR(__xludf.dummyfunction("""COMPUTED_VALUE"""),330.77)</f>
        <v>330.77</v>
      </c>
      <c r="C1282" s="2" t="n">
        <f aca="false">IFERROR(__xludf.dummyfunction("""COMPUTED_VALUE"""),352.34)</f>
        <v>352.34</v>
      </c>
      <c r="D1282" s="2" t="n">
        <f aca="false">IFERROR(__xludf.dummyfunction("""COMPUTED_VALUE"""),330.65)</f>
        <v>330.65</v>
      </c>
      <c r="E1282" s="2" t="n">
        <f aca="false">IFERROR(__xludf.dummyfunction("""COMPUTED_VALUE"""),343.94)</f>
        <v>343.94</v>
      </c>
      <c r="F1282" s="2" t="n">
        <f aca="false">IFERROR(__xludf.dummyfunction("""COMPUTED_VALUE"""),30091014)</f>
        <v>30091014</v>
      </c>
    </row>
    <row r="1283" customFormat="false" ht="15.75" hidden="false" customHeight="false" outlineLevel="0" collapsed="false">
      <c r="A1283" s="3" t="n">
        <f aca="false">IFERROR(__xludf.dummyfunction("""COMPUTED_VALUE"""),46063.6666666667)</f>
        <v>46063.6666666667</v>
      </c>
      <c r="B1283" s="2" t="n">
        <f aca="false">IFERROR(__xludf.dummyfunction("""COMPUTED_VALUE"""),347.47)</f>
        <v>347.47</v>
      </c>
      <c r="C1283" s="2" t="n">
        <f aca="false">IFERROR(__xludf.dummyfunction("""COMPUTED_VALUE"""),348.01)</f>
        <v>348.01</v>
      </c>
      <c r="D1283" s="2" t="n">
        <f aca="false">IFERROR(__xludf.dummyfunction("""COMPUTED_VALUE"""),339.84)</f>
        <v>339.84</v>
      </c>
      <c r="E1283" s="2" t="n">
        <f aca="false">IFERROR(__xludf.dummyfunction("""COMPUTED_VALUE"""),340.44)</f>
        <v>340.44</v>
      </c>
      <c r="F1283" s="2" t="n">
        <f aca="false">IFERROR(__xludf.dummyfunction("""COMPUTED_VALUE"""),19542682)</f>
        <v>19542682</v>
      </c>
    </row>
    <row r="1284" customFormat="false" ht="15.75" hidden="false" customHeight="false" outlineLevel="0" collapsed="false">
      <c r="A1284" s="3" t="n">
        <f aca="false">IFERROR(__xludf.dummyfunction("""COMPUTED_VALUE"""),46064.6666666667)</f>
        <v>46064.6666666667</v>
      </c>
      <c r="B1284" s="2" t="n">
        <f aca="false">IFERROR(__xludf.dummyfunction("""COMPUTED_VALUE"""),346.8)</f>
        <v>346.8</v>
      </c>
      <c r="C1284" s="2" t="n">
        <f aca="false">IFERROR(__xludf.dummyfunction("""COMPUTED_VALUE"""),347.2)</f>
        <v>347.2</v>
      </c>
      <c r="D1284" s="2" t="n">
        <f aca="false">IFERROR(__xludf.dummyfunction("""COMPUTED_VALUE"""),333.74)</f>
        <v>333.74</v>
      </c>
      <c r="E1284" s="2" t="n">
        <f aca="false">IFERROR(__xludf.dummyfunction("""COMPUTED_VALUE"""),342.76)</f>
        <v>342.76</v>
      </c>
      <c r="F1284" s="2" t="n">
        <f aca="false">IFERROR(__xludf.dummyfunction("""COMPUTED_VALUE"""),17004712)</f>
        <v>17004712</v>
      </c>
    </row>
    <row r="1285" customFormat="false" ht="15.75" hidden="false" customHeight="false" outlineLevel="0" collapsed="false">
      <c r="A1285" s="3" t="n">
        <f aca="false">IFERROR(__xludf.dummyfunction("""COMPUTED_VALUE"""),46065.6666666667)</f>
        <v>46065.6666666667</v>
      </c>
      <c r="B1285" s="2" t="n">
        <f aca="false">IFERROR(__xludf.dummyfunction("""COMPUTED_VALUE"""),343.83)</f>
        <v>343.83</v>
      </c>
      <c r="C1285" s="2" t="n">
        <f aca="false">IFERROR(__xludf.dummyfunction("""COMPUTED_VALUE"""),346.29)</f>
        <v>346.29</v>
      </c>
      <c r="D1285" s="2" t="n">
        <f aca="false">IFERROR(__xludf.dummyfunction("""COMPUTED_VALUE"""),329.56)</f>
        <v>329.56</v>
      </c>
      <c r="E1285" s="2" t="n">
        <f aca="false">IFERROR(__xludf.dummyfunction("""COMPUTED_VALUE"""),331.17)</f>
        <v>331.17</v>
      </c>
      <c r="F1285" s="2" t="n">
        <f aca="false">IFERROR(__xludf.dummyfunction("""COMPUTED_VALUE"""),22007269)</f>
        <v>22007269</v>
      </c>
    </row>
    <row r="1286" customFormat="false" ht="15.75" hidden="false" customHeight="false" outlineLevel="0" collapsed="false">
      <c r="A1286" s="3" t="n">
        <f aca="false">IFERROR(__xludf.dummyfunction("""COMPUTED_VALUE"""),46066.6666666667)</f>
        <v>46066.6666666667</v>
      </c>
      <c r="B1286" s="2" t="n">
        <f aca="false">IFERROR(__xludf.dummyfunction("""COMPUTED_VALUE"""),329.85)</f>
        <v>329.85</v>
      </c>
      <c r="C1286" s="2" t="n">
        <f aca="false">IFERROR(__xludf.dummyfunction("""COMPUTED_VALUE"""),334.32)</f>
        <v>334.32</v>
      </c>
      <c r="D1286" s="2" t="n">
        <f aca="false">IFERROR(__xludf.dummyfunction("""COMPUTED_VALUE"""),324.69)</f>
        <v>324.69</v>
      </c>
      <c r="E1286" s="2" t="n">
        <f aca="false">IFERROR(__xludf.dummyfunction("""COMPUTED_VALUE"""),325.17)</f>
        <v>325.17</v>
      </c>
      <c r="F1286" s="2" t="n">
        <f aca="false">IFERROR(__xludf.dummyfunction("""COMPUTED_VALUE"""),18397161)</f>
        <v>18397161</v>
      </c>
    </row>
    <row r="1287" customFormat="false" ht="15.75" hidden="false" customHeight="false" outlineLevel="0" collapsed="false">
      <c r="A1287" s="3" t="n">
        <f aca="false">IFERROR(__xludf.dummyfunction("""COMPUTED_VALUE"""),46070.6666666667)</f>
        <v>46070.6666666667</v>
      </c>
      <c r="B1287" s="2" t="n">
        <f aca="false">IFERROR(__xludf.dummyfunction("""COMPUTED_VALUE"""),319.68)</f>
        <v>319.68</v>
      </c>
      <c r="C1287" s="2" t="n">
        <f aca="false">IFERROR(__xludf.dummyfunction("""COMPUTED_VALUE"""),335.75)</f>
        <v>335.75</v>
      </c>
      <c r="D1287" s="2" t="n">
        <f aca="false">IFERROR(__xludf.dummyfunction("""COMPUTED_VALUE"""),316.31)</f>
        <v>316.31</v>
      </c>
      <c r="E1287" s="2" t="n">
        <f aca="false">IFERROR(__xludf.dummyfunction("""COMPUTED_VALUE"""),332.54)</f>
        <v>332.54</v>
      </c>
      <c r="F1287" s="2" t="n">
        <f aca="false">IFERROR(__xludf.dummyfunction("""COMPUTED_VALUE"""),23469727)</f>
        <v>23469727</v>
      </c>
    </row>
    <row r="1288" customFormat="false" ht="15.75" hidden="false" customHeight="false" outlineLevel="0" collapsed="false">
      <c r="A1288" s="3" t="n">
        <f aca="false">IFERROR(__xludf.dummyfunction("""COMPUTED_VALUE"""),46071.6666666667)</f>
        <v>46071.6666666667</v>
      </c>
      <c r="B1288" s="2" t="n">
        <f aca="false">IFERROR(__xludf.dummyfunction("""COMPUTED_VALUE"""),329.52)</f>
        <v>329.52</v>
      </c>
      <c r="C1288" s="2" t="n">
        <f aca="false">IFERROR(__xludf.dummyfunction("""COMPUTED_VALUE"""),337.88)</f>
        <v>337.88</v>
      </c>
      <c r="D1288" s="2" t="n">
        <f aca="false">IFERROR(__xludf.dummyfunction("""COMPUTED_VALUE"""),327.23)</f>
        <v>327.23</v>
      </c>
      <c r="E1288" s="2" t="n">
        <f aca="false">IFERROR(__xludf.dummyfunction("""COMPUTED_VALUE"""),333.51)</f>
        <v>333.51</v>
      </c>
      <c r="F1288" s="2" t="n">
        <f aca="false">IFERROR(__xludf.dummyfunction("""COMPUTED_VALUE"""),13565299)</f>
        <v>13565299</v>
      </c>
    </row>
    <row r="1289" customFormat="false" ht="15.75" hidden="false" customHeight="false" outlineLevel="0" collapsed="false">
      <c r="A1289" s="3" t="n">
        <f aca="false">IFERROR(__xludf.dummyfunction("""COMPUTED_VALUE"""),46072.6666666667)</f>
        <v>46072.6666666667</v>
      </c>
      <c r="B1289" s="2" t="n">
        <f aca="false">IFERROR(__xludf.dummyfunction("""COMPUTED_VALUE"""),333.01)</f>
        <v>333.01</v>
      </c>
      <c r="C1289" s="2" t="n">
        <f aca="false">IFERROR(__xludf.dummyfunction("""COMPUTED_VALUE"""),338.44)</f>
        <v>338.44</v>
      </c>
      <c r="D1289" s="2" t="n">
        <f aca="false">IFERROR(__xludf.dummyfunction("""COMPUTED_VALUE"""),329.68)</f>
        <v>329.68</v>
      </c>
      <c r="E1289" s="2" t="n">
        <f aca="false">IFERROR(__xludf.dummyfunction("""COMPUTED_VALUE"""),333.99)</f>
        <v>333.99</v>
      </c>
      <c r="F1289" s="2" t="n">
        <f aca="false">IFERROR(__xludf.dummyfunction("""COMPUTED_VALUE"""),15180877)</f>
        <v>15180877</v>
      </c>
    </row>
    <row r="1290" customFormat="false" ht="15.75" hidden="false" customHeight="false" outlineLevel="0" collapsed="false">
      <c r="A1290" s="3" t="n">
        <f aca="false">IFERROR(__xludf.dummyfunction("""COMPUTED_VALUE"""),46073.6666666667)</f>
        <v>46073.6666666667</v>
      </c>
      <c r="B1290" s="2" t="n">
        <f aca="false">IFERROR(__xludf.dummyfunction("""COMPUTED_VALUE"""),332.36)</f>
        <v>332.36</v>
      </c>
      <c r="C1290" s="2" t="n">
        <f aca="false">IFERROR(__xludf.dummyfunction("""COMPUTED_VALUE"""),340.11)</f>
        <v>340.11</v>
      </c>
      <c r="D1290" s="2" t="n">
        <f aca="false">IFERROR(__xludf.dummyfunction("""COMPUTED_VALUE"""),329.58)</f>
        <v>329.58</v>
      </c>
      <c r="E1290" s="2" t="n">
        <f aca="false">IFERROR(__xludf.dummyfunction("""COMPUTED_VALUE"""),332.65)</f>
        <v>332.65</v>
      </c>
      <c r="F1290" s="2" t="n">
        <f aca="false">IFERROR(__xludf.dummyfunction("""COMPUTED_VALUE"""),17658930)</f>
        <v>17658930</v>
      </c>
    </row>
    <row r="1291" customFormat="false" ht="15.75" hidden="false" customHeight="false" outlineLevel="0" collapsed="false">
      <c r="A1291" s="3" t="n">
        <f aca="false">IFERROR(__xludf.dummyfunction("""COMPUTED_VALUE"""),46076.6666666667)</f>
        <v>46076.6666666667</v>
      </c>
      <c r="B1291" s="2" t="n">
        <f aca="false">IFERROR(__xludf.dummyfunction("""COMPUTED_VALUE"""),332.25)</f>
        <v>332.25</v>
      </c>
      <c r="C1291" s="2" t="n">
        <f aca="false">IFERROR(__xludf.dummyfunction("""COMPUTED_VALUE"""),338.5)</f>
        <v>338.5</v>
      </c>
      <c r="D1291" s="2" t="n">
        <f aca="false">IFERROR(__xludf.dummyfunction("""COMPUTED_VALUE"""),325.32)</f>
        <v>325.32</v>
      </c>
      <c r="E1291" s="2" t="n">
        <f aca="false">IFERROR(__xludf.dummyfunction("""COMPUTED_VALUE"""),330.34)</f>
        <v>330.34</v>
      </c>
      <c r="F1291" s="2" t="n">
        <f aca="false">IFERROR(__xludf.dummyfunction("""COMPUTED_VALUE"""),16176354)</f>
        <v>16176354</v>
      </c>
    </row>
    <row r="1292" customFormat="false" ht="15.75" hidden="false" customHeight="false" outlineLevel="0" collapsed="false">
      <c r="A1292" s="3" t="n">
        <f aca="false">IFERROR(__xludf.dummyfunction("""COMPUTED_VALUE"""),46077.6666666667)</f>
        <v>46077.6666666667</v>
      </c>
      <c r="B1292" s="2" t="n">
        <f aca="false">IFERROR(__xludf.dummyfunction("""COMPUTED_VALUE"""),322.54)</f>
        <v>322.54</v>
      </c>
      <c r="C1292" s="2" t="n">
        <f aca="false">IFERROR(__xludf.dummyfunction("""COMPUTED_VALUE"""),328.31)</f>
        <v>328.31</v>
      </c>
      <c r="D1292" s="2" t="n">
        <f aca="false">IFERROR(__xludf.dummyfunction("""COMPUTED_VALUE"""),314.45)</f>
        <v>314.45</v>
      </c>
      <c r="E1292" s="2" t="n">
        <f aca="false">IFERROR(__xludf.dummyfunction("""COMPUTED_VALUE"""),325.49)</f>
        <v>325.49</v>
      </c>
      <c r="F1292" s="2" t="n">
        <f aca="false">IFERROR(__xludf.dummyfunction("""COMPUTED_VALUE"""),21321007)</f>
        <v>21321007</v>
      </c>
    </row>
    <row r="1293" customFormat="false" ht="15.75" hidden="false" customHeight="false" outlineLevel="0" collapsed="false">
      <c r="A1293" s="3" t="n">
        <f aca="false">IFERROR(__xludf.dummyfunction("""COMPUTED_VALUE"""),46078.6666666667)</f>
        <v>46078.6666666667</v>
      </c>
      <c r="B1293" s="2" t="n">
        <f aca="false">IFERROR(__xludf.dummyfunction("""COMPUTED_VALUE"""),330.74)</f>
        <v>330.74</v>
      </c>
      <c r="C1293" s="2" t="n">
        <f aca="false">IFERROR(__xludf.dummyfunction("""COMPUTED_VALUE"""),335.91)</f>
        <v>335.91</v>
      </c>
      <c r="D1293" s="2" t="n">
        <f aca="false">IFERROR(__xludf.dummyfunction("""COMPUTED_VALUE"""),329.28)</f>
        <v>329.28</v>
      </c>
      <c r="E1293" s="2" t="n">
        <f aca="false">IFERROR(__xludf.dummyfunction("""COMPUTED_VALUE"""),332.31)</f>
        <v>332.31</v>
      </c>
      <c r="F1293" s="2" t="n">
        <f aca="false">IFERROR(__xludf.dummyfunction("""COMPUTED_VALUE"""),19722930)</f>
        <v>19722930</v>
      </c>
    </row>
    <row r="1294" customFormat="false" ht="15.75" hidden="false" customHeight="false" outlineLevel="0" collapsed="false">
      <c r="A1294" s="3" t="n">
        <f aca="false">IFERROR(__xludf.dummyfunction("""COMPUTED_VALUE"""),46079.6666666667)</f>
        <v>46079.6666666667</v>
      </c>
      <c r="B1294" s="2" t="n">
        <f aca="false">IFERROR(__xludf.dummyfunction("""COMPUTED_VALUE"""),326.5)</f>
        <v>326.5</v>
      </c>
      <c r="C1294" s="2" t="n">
        <f aca="false">IFERROR(__xludf.dummyfunction("""COMPUTED_VALUE"""),326.58)</f>
        <v>326.58</v>
      </c>
      <c r="D1294" s="2" t="n">
        <f aca="false">IFERROR(__xludf.dummyfunction("""COMPUTED_VALUE"""),307.93)</f>
        <v>307.93</v>
      </c>
      <c r="E1294" s="2" t="n">
        <f aca="false">IFERROR(__xludf.dummyfunction("""COMPUTED_VALUE"""),321.7)</f>
        <v>321.7</v>
      </c>
      <c r="F1294" s="2" t="n">
        <f aca="false">IFERROR(__xludf.dummyfunction("""COMPUTED_VALUE"""),32589333)</f>
        <v>32589333</v>
      </c>
    </row>
    <row r="1295" customFormat="false" ht="15.75" hidden="false" customHeight="false" outlineLevel="0" collapsed="false">
      <c r="A1295" s="3" t="n">
        <f aca="false">IFERROR(__xludf.dummyfunction("""COMPUTED_VALUE"""),46080.6666666667)</f>
        <v>46080.6666666667</v>
      </c>
      <c r="B1295" s="2" t="n">
        <f aca="false">IFERROR(__xludf.dummyfunction("""COMPUTED_VALUE"""),310.7)</f>
        <v>310.7</v>
      </c>
      <c r="C1295" s="2" t="n">
        <f aca="false">IFERROR(__xludf.dummyfunction("""COMPUTED_VALUE"""),320)</f>
        <v>320</v>
      </c>
      <c r="D1295" s="2" t="n">
        <f aca="false">IFERROR(__xludf.dummyfunction("""COMPUTED_VALUE"""),310)</f>
        <v>310</v>
      </c>
      <c r="E1295" s="2" t="n">
        <f aca="false">IFERROR(__xludf.dummyfunction("""COMPUTED_VALUE"""),319.55)</f>
        <v>319.55</v>
      </c>
      <c r="F1295" s="2" t="n">
        <f aca="false">IFERROR(__xludf.dummyfunction("""COMPUTED_VALUE"""),27654756)</f>
        <v>27654756</v>
      </c>
    </row>
    <row r="1296" customFormat="false" ht="15.75" hidden="false" customHeight="false" outlineLevel="0" collapsed="false">
      <c r="A1296" s="3" t="n">
        <f aca="false">IFERROR(__xludf.dummyfunction("""COMPUTED_VALUE"""),46083.6666666667)</f>
        <v>46083.6666666667</v>
      </c>
      <c r="B1296" s="2" t="n">
        <f aca="false">IFERROR(__xludf.dummyfunction("""COMPUTED_VALUE"""),309.36)</f>
        <v>309.36</v>
      </c>
      <c r="C1296" s="2" t="n">
        <f aca="false">IFERROR(__xludf.dummyfunction("""COMPUTED_VALUE"""),320.04)</f>
        <v>320.04</v>
      </c>
      <c r="D1296" s="2" t="n">
        <f aca="false">IFERROR(__xludf.dummyfunction("""COMPUTED_VALUE"""),307.2)</f>
        <v>307.2</v>
      </c>
      <c r="E1296" s="2" t="n">
        <f aca="false">IFERROR(__xludf.dummyfunction("""COMPUTED_VALUE"""),318.82)</f>
        <v>318.82</v>
      </c>
      <c r="F1296" s="2" t="n">
        <f aca="false">IFERROR(__xludf.dummyfunction("""COMPUTED_VALUE"""),194642)</f>
        <v>194642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F129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5.7421875" defaultRowHeight="15.75" customHeight="true" zeroHeight="false" outlineLevelRow="0" outlineLevelCol="0"/>
  <cols>
    <col collapsed="false" customWidth="false" hidden="false" outlineLevel="0" max="16384" min="1" style="1" width="25.74"/>
  </cols>
  <sheetData>
    <row r="1" customFormat="false" ht="15.75" hidden="false" customHeight="false" outlineLevel="0" collapsed="false">
      <c r="A1" s="2" t="str">
        <f aca="false">IFERROR(__xludf.dummyfunction("GOOGLEFINANCE(""TSLA"" , ""ALL"" , DATE(2021,1,1) , TODAY())"),"Date")</f>
        <v>Date</v>
      </c>
      <c r="B1" s="2" t="str">
        <f aca="false">IFERROR(__xludf.dummyfunction("""COMPUTED_VALUE"""),"Open")</f>
        <v>Open</v>
      </c>
      <c r="C1" s="2" t="str">
        <f aca="false">IFERROR(__xludf.dummyfunction("""COMPUTED_VALUE"""),"High")</f>
        <v>High</v>
      </c>
      <c r="D1" s="2" t="str">
        <f aca="false">IFERROR(__xludf.dummyfunction("""COMPUTED_VALUE"""),"Low")</f>
        <v>Low</v>
      </c>
      <c r="E1" s="2" t="str">
        <f aca="false">IFERROR(__xludf.dummyfunction("""COMPUTED_VALUE"""),"Close")</f>
        <v>Close</v>
      </c>
      <c r="F1" s="2" t="str">
        <f aca="false">IFERROR(__xludf.dummyfunction("""COMPUTED_VALUE"""),"Volume")</f>
        <v>Volume</v>
      </c>
    </row>
    <row r="2" customFormat="false" ht="15.75" hidden="false" customHeight="false" outlineLevel="0" collapsed="false">
      <c r="A2" s="3" t="n">
        <f aca="false">IFERROR(__xludf.dummyfunction("""COMPUTED_VALUE"""),44200.6666666667)</f>
        <v>44200.6666666667</v>
      </c>
      <c r="B2" s="2" t="n">
        <f aca="false">IFERROR(__xludf.dummyfunction("""COMPUTED_VALUE"""),239.82)</f>
        <v>239.82</v>
      </c>
      <c r="C2" s="2" t="n">
        <f aca="false">IFERROR(__xludf.dummyfunction("""COMPUTED_VALUE"""),248.16)</f>
        <v>248.16</v>
      </c>
      <c r="D2" s="2" t="n">
        <f aca="false">IFERROR(__xludf.dummyfunction("""COMPUTED_VALUE"""),239.06)</f>
        <v>239.06</v>
      </c>
      <c r="E2" s="2" t="n">
        <f aca="false">IFERROR(__xludf.dummyfunction("""COMPUTED_VALUE"""),243.26)</f>
        <v>243.26</v>
      </c>
      <c r="F2" s="2" t="n">
        <f aca="false">IFERROR(__xludf.dummyfunction("""COMPUTED_VALUE"""),48638189)</f>
        <v>48638189</v>
      </c>
    </row>
    <row r="3" customFormat="false" ht="15.75" hidden="false" customHeight="false" outlineLevel="0" collapsed="false">
      <c r="A3" s="3" t="n">
        <f aca="false">IFERROR(__xludf.dummyfunction("""COMPUTED_VALUE"""),44201.6666666667)</f>
        <v>44201.6666666667</v>
      </c>
      <c r="B3" s="2" t="n">
        <f aca="false">IFERROR(__xludf.dummyfunction("""COMPUTED_VALUE"""),241.22)</f>
        <v>241.22</v>
      </c>
      <c r="C3" s="2" t="n">
        <f aca="false">IFERROR(__xludf.dummyfunction("""COMPUTED_VALUE"""),246.95)</f>
        <v>246.95</v>
      </c>
      <c r="D3" s="2" t="n">
        <f aca="false">IFERROR(__xludf.dummyfunction("""COMPUTED_VALUE"""),239.73)</f>
        <v>239.73</v>
      </c>
      <c r="E3" s="2" t="n">
        <f aca="false">IFERROR(__xludf.dummyfunction("""COMPUTED_VALUE"""),245.04)</f>
        <v>245.04</v>
      </c>
      <c r="F3" s="2" t="n">
        <f aca="false">IFERROR(__xludf.dummyfunction("""COMPUTED_VALUE"""),32245165)</f>
        <v>32245165</v>
      </c>
    </row>
    <row r="4" customFormat="false" ht="15.75" hidden="false" customHeight="false" outlineLevel="0" collapsed="false">
      <c r="A4" s="3" t="n">
        <f aca="false">IFERROR(__xludf.dummyfunction("""COMPUTED_VALUE"""),44202.6666666667)</f>
        <v>44202.6666666667</v>
      </c>
      <c r="B4" s="2" t="n">
        <f aca="false">IFERROR(__xludf.dummyfunction("""COMPUTED_VALUE"""),252.83)</f>
        <v>252.83</v>
      </c>
      <c r="C4" s="2" t="n">
        <f aca="false">IFERROR(__xludf.dummyfunction("""COMPUTED_VALUE"""),258)</f>
        <v>258</v>
      </c>
      <c r="D4" s="2" t="n">
        <f aca="false">IFERROR(__xludf.dummyfunction("""COMPUTED_VALUE"""),249.7)</f>
        <v>249.7</v>
      </c>
      <c r="E4" s="2" t="n">
        <f aca="false">IFERROR(__xludf.dummyfunction("""COMPUTED_VALUE"""),251.99)</f>
        <v>251.99</v>
      </c>
      <c r="F4" s="2" t="n">
        <f aca="false">IFERROR(__xludf.dummyfunction("""COMPUTED_VALUE"""),44699965)</f>
        <v>44699965</v>
      </c>
    </row>
    <row r="5" customFormat="false" ht="15.75" hidden="false" customHeight="false" outlineLevel="0" collapsed="false">
      <c r="A5" s="3" t="n">
        <f aca="false">IFERROR(__xludf.dummyfunction("""COMPUTED_VALUE"""),44203.6666666667)</f>
        <v>44203.6666666667</v>
      </c>
      <c r="B5" s="2" t="n">
        <f aca="false">IFERROR(__xludf.dummyfunction("""COMPUTED_VALUE"""),259.21)</f>
        <v>259.21</v>
      </c>
      <c r="C5" s="2" t="n">
        <f aca="false">IFERROR(__xludf.dummyfunction("""COMPUTED_VALUE"""),272.33)</f>
        <v>272.33</v>
      </c>
      <c r="D5" s="2" t="n">
        <f aca="false">IFERROR(__xludf.dummyfunction("""COMPUTED_VALUE"""),258.4)</f>
        <v>258.4</v>
      </c>
      <c r="E5" s="2" t="n">
        <f aca="false">IFERROR(__xludf.dummyfunction("""COMPUTED_VALUE"""),272.01)</f>
        <v>272.01</v>
      </c>
      <c r="F5" s="2" t="n">
        <f aca="false">IFERROR(__xludf.dummyfunction("""COMPUTED_VALUE"""),51498948)</f>
        <v>51498948</v>
      </c>
    </row>
    <row r="6" customFormat="false" ht="15.75" hidden="false" customHeight="false" outlineLevel="0" collapsed="false">
      <c r="A6" s="3" t="n">
        <f aca="false">IFERROR(__xludf.dummyfunction("""COMPUTED_VALUE"""),44204.6666666667)</f>
        <v>44204.6666666667</v>
      </c>
      <c r="B6" s="2" t="n">
        <f aca="false">IFERROR(__xludf.dummyfunction("""COMPUTED_VALUE"""),285.33)</f>
        <v>285.33</v>
      </c>
      <c r="C6" s="2" t="n">
        <f aca="false">IFERROR(__xludf.dummyfunction("""COMPUTED_VALUE"""),294.83)</f>
        <v>294.83</v>
      </c>
      <c r="D6" s="2" t="n">
        <f aca="false">IFERROR(__xludf.dummyfunction("""COMPUTED_VALUE"""),279.46)</f>
        <v>279.46</v>
      </c>
      <c r="E6" s="2" t="n">
        <f aca="false">IFERROR(__xludf.dummyfunction("""COMPUTED_VALUE"""),293.34)</f>
        <v>293.34</v>
      </c>
      <c r="F6" s="2" t="n">
        <f aca="false">IFERROR(__xludf.dummyfunction("""COMPUTED_VALUE"""),75055528)</f>
        <v>75055528</v>
      </c>
    </row>
    <row r="7" customFormat="false" ht="15.75" hidden="false" customHeight="false" outlineLevel="0" collapsed="false">
      <c r="A7" s="3" t="n">
        <f aca="false">IFERROR(__xludf.dummyfunction("""COMPUTED_VALUE"""),44207.6666666667)</f>
        <v>44207.6666666667</v>
      </c>
      <c r="B7" s="2" t="n">
        <f aca="false">IFERROR(__xludf.dummyfunction("""COMPUTED_VALUE"""),283.13)</f>
        <v>283.13</v>
      </c>
      <c r="C7" s="2" t="n">
        <f aca="false">IFERROR(__xludf.dummyfunction("""COMPUTED_VALUE"""),284.81)</f>
        <v>284.81</v>
      </c>
      <c r="D7" s="2" t="n">
        <f aca="false">IFERROR(__xludf.dummyfunction("""COMPUTED_VALUE"""),267.87)</f>
        <v>267.87</v>
      </c>
      <c r="E7" s="2" t="n">
        <f aca="false">IFERROR(__xludf.dummyfunction("""COMPUTED_VALUE"""),270.4)</f>
        <v>270.4</v>
      </c>
      <c r="F7" s="2" t="n">
        <f aca="false">IFERROR(__xludf.dummyfunction("""COMPUTED_VALUE"""),59554146)</f>
        <v>59554146</v>
      </c>
    </row>
    <row r="8" customFormat="false" ht="15.75" hidden="false" customHeight="false" outlineLevel="0" collapsed="false">
      <c r="A8" s="3" t="n">
        <f aca="false">IFERROR(__xludf.dummyfunction("""COMPUTED_VALUE"""),44208.6666666667)</f>
        <v>44208.6666666667</v>
      </c>
      <c r="B8" s="2" t="n">
        <f aca="false">IFERROR(__xludf.dummyfunction("""COMPUTED_VALUE"""),277)</f>
        <v>277</v>
      </c>
      <c r="C8" s="2" t="n">
        <f aca="false">IFERROR(__xludf.dummyfunction("""COMPUTED_VALUE"""),289.33)</f>
        <v>289.33</v>
      </c>
      <c r="D8" s="2" t="n">
        <f aca="false">IFERROR(__xludf.dummyfunction("""COMPUTED_VALUE"""),275.78)</f>
        <v>275.78</v>
      </c>
      <c r="E8" s="2" t="n">
        <f aca="false">IFERROR(__xludf.dummyfunction("""COMPUTED_VALUE"""),283.15)</f>
        <v>283.15</v>
      </c>
      <c r="F8" s="2" t="n">
        <f aca="false">IFERROR(__xludf.dummyfunction("""COMPUTED_VALUE"""),46270720)</f>
        <v>46270720</v>
      </c>
    </row>
    <row r="9" customFormat="false" ht="15.75" hidden="false" customHeight="false" outlineLevel="0" collapsed="false">
      <c r="A9" s="3" t="n">
        <f aca="false">IFERROR(__xludf.dummyfunction("""COMPUTED_VALUE"""),44209.6666666667)</f>
        <v>44209.6666666667</v>
      </c>
      <c r="B9" s="2" t="n">
        <f aca="false">IFERROR(__xludf.dummyfunction("""COMPUTED_VALUE"""),284.25)</f>
        <v>284.25</v>
      </c>
      <c r="C9" s="2" t="n">
        <f aca="false">IFERROR(__xludf.dummyfunction("""COMPUTED_VALUE"""),286.82)</f>
        <v>286.82</v>
      </c>
      <c r="D9" s="2" t="n">
        <f aca="false">IFERROR(__xludf.dummyfunction("""COMPUTED_VALUE"""),277.33)</f>
        <v>277.33</v>
      </c>
      <c r="E9" s="2" t="n">
        <f aca="false">IFERROR(__xludf.dummyfunction("""COMPUTED_VALUE"""),284.8)</f>
        <v>284.8</v>
      </c>
      <c r="F9" s="2" t="n">
        <f aca="false">IFERROR(__xludf.dummyfunction("""COMPUTED_VALUE"""),33312496)</f>
        <v>33312496</v>
      </c>
    </row>
    <row r="10" customFormat="false" ht="15.75" hidden="false" customHeight="false" outlineLevel="0" collapsed="false">
      <c r="A10" s="3" t="n">
        <f aca="false">IFERROR(__xludf.dummyfunction("""COMPUTED_VALUE"""),44210.6666666667)</f>
        <v>44210.6666666667</v>
      </c>
      <c r="B10" s="2" t="n">
        <f aca="false">IFERROR(__xludf.dummyfunction("""COMPUTED_VALUE"""),281.13)</f>
        <v>281.13</v>
      </c>
      <c r="C10" s="2" t="n">
        <f aca="false">IFERROR(__xludf.dummyfunction("""COMPUTED_VALUE"""),287.67)</f>
        <v>287.67</v>
      </c>
      <c r="D10" s="2" t="n">
        <f aca="false">IFERROR(__xludf.dummyfunction("""COMPUTED_VALUE"""),279.58)</f>
        <v>279.58</v>
      </c>
      <c r="E10" s="2" t="n">
        <f aca="false">IFERROR(__xludf.dummyfunction("""COMPUTED_VALUE"""),281.67)</f>
        <v>281.67</v>
      </c>
      <c r="F10" s="2" t="n">
        <f aca="false">IFERROR(__xludf.dummyfunction("""COMPUTED_VALUE"""),31266327)</f>
        <v>31266327</v>
      </c>
    </row>
    <row r="11" customFormat="false" ht="15.75" hidden="false" customHeight="false" outlineLevel="0" collapsed="false">
      <c r="A11" s="3" t="n">
        <f aca="false">IFERROR(__xludf.dummyfunction("""COMPUTED_VALUE"""),44211.6666666667)</f>
        <v>44211.6666666667</v>
      </c>
      <c r="B11" s="2" t="n">
        <f aca="false">IFERROR(__xludf.dummyfunction("""COMPUTED_VALUE"""),284)</f>
        <v>284</v>
      </c>
      <c r="C11" s="2" t="n">
        <f aca="false">IFERROR(__xludf.dummyfunction("""COMPUTED_VALUE"""),286.63)</f>
        <v>286.63</v>
      </c>
      <c r="D11" s="2" t="n">
        <f aca="false">IFERROR(__xludf.dummyfunction("""COMPUTED_VALUE"""),273.03)</f>
        <v>273.03</v>
      </c>
      <c r="E11" s="2" t="n">
        <f aca="false">IFERROR(__xludf.dummyfunction("""COMPUTED_VALUE"""),275.39)</f>
        <v>275.39</v>
      </c>
      <c r="F11" s="2" t="n">
        <f aca="false">IFERROR(__xludf.dummyfunction("""COMPUTED_VALUE"""),38777596)</f>
        <v>38777596</v>
      </c>
    </row>
    <row r="12" customFormat="false" ht="15.75" hidden="false" customHeight="false" outlineLevel="0" collapsed="false">
      <c r="A12" s="3" t="n">
        <f aca="false">IFERROR(__xludf.dummyfunction("""COMPUTED_VALUE"""),44215.6666666667)</f>
        <v>44215.6666666667</v>
      </c>
      <c r="B12" s="2" t="n">
        <f aca="false">IFERROR(__xludf.dummyfunction("""COMPUTED_VALUE"""),279.27)</f>
        <v>279.27</v>
      </c>
      <c r="C12" s="2" t="n">
        <f aca="false">IFERROR(__xludf.dummyfunction("""COMPUTED_VALUE"""),283.33)</f>
        <v>283.33</v>
      </c>
      <c r="D12" s="2" t="n">
        <f aca="false">IFERROR(__xludf.dummyfunction("""COMPUTED_VALUE"""),277.67)</f>
        <v>277.67</v>
      </c>
      <c r="E12" s="2" t="n">
        <f aca="false">IFERROR(__xludf.dummyfunction("""COMPUTED_VALUE"""),281.52)</f>
        <v>281.52</v>
      </c>
      <c r="F12" s="2" t="n">
        <f aca="false">IFERROR(__xludf.dummyfunction("""COMPUTED_VALUE"""),25366980)</f>
        <v>25366980</v>
      </c>
    </row>
    <row r="13" customFormat="false" ht="15.75" hidden="false" customHeight="false" outlineLevel="0" collapsed="false">
      <c r="A13" s="3" t="n">
        <f aca="false">IFERROR(__xludf.dummyfunction("""COMPUTED_VALUE"""),44216.6666666667)</f>
        <v>44216.6666666667</v>
      </c>
      <c r="B13" s="2" t="n">
        <f aca="false">IFERROR(__xludf.dummyfunction("""COMPUTED_VALUE"""),286.25)</f>
        <v>286.25</v>
      </c>
      <c r="C13" s="2" t="n">
        <f aca="false">IFERROR(__xludf.dummyfunction("""COMPUTED_VALUE"""),286.5)</f>
        <v>286.5</v>
      </c>
      <c r="D13" s="2" t="n">
        <f aca="false">IFERROR(__xludf.dummyfunction("""COMPUTED_VALUE"""),279.09)</f>
        <v>279.09</v>
      </c>
      <c r="E13" s="2" t="n">
        <f aca="false">IFERROR(__xludf.dummyfunction("""COMPUTED_VALUE"""),283.48)</f>
        <v>283.48</v>
      </c>
      <c r="F13" s="2" t="n">
        <f aca="false">IFERROR(__xludf.dummyfunction("""COMPUTED_VALUE"""),25665883)</f>
        <v>25665883</v>
      </c>
    </row>
    <row r="14" customFormat="false" ht="15.75" hidden="false" customHeight="false" outlineLevel="0" collapsed="false">
      <c r="A14" s="3" t="n">
        <f aca="false">IFERROR(__xludf.dummyfunction("""COMPUTED_VALUE"""),44217.6666666667)</f>
        <v>44217.6666666667</v>
      </c>
      <c r="B14" s="2" t="n">
        <f aca="false">IFERROR(__xludf.dummyfunction("""COMPUTED_VALUE"""),285)</f>
        <v>285</v>
      </c>
      <c r="C14" s="2" t="n">
        <f aca="false">IFERROR(__xludf.dummyfunction("""COMPUTED_VALUE"""),285.24)</f>
        <v>285.24</v>
      </c>
      <c r="D14" s="2" t="n">
        <f aca="false">IFERROR(__xludf.dummyfunction("""COMPUTED_VALUE"""),280.47)</f>
        <v>280.47</v>
      </c>
      <c r="E14" s="2" t="n">
        <f aca="false">IFERROR(__xludf.dummyfunction("""COMPUTED_VALUE"""),281.66)</f>
        <v>281.66</v>
      </c>
      <c r="F14" s="2" t="n">
        <f aca="false">IFERROR(__xludf.dummyfunction("""COMPUTED_VALUE"""),20598133)</f>
        <v>20598133</v>
      </c>
    </row>
    <row r="15" customFormat="false" ht="15.75" hidden="false" customHeight="false" outlineLevel="0" collapsed="false">
      <c r="A15" s="3" t="n">
        <f aca="false">IFERROR(__xludf.dummyfunction("""COMPUTED_VALUE"""),44218.6666666667)</f>
        <v>44218.6666666667</v>
      </c>
      <c r="B15" s="2" t="n">
        <f aca="false">IFERROR(__xludf.dummyfunction("""COMPUTED_VALUE"""),278.1)</f>
        <v>278.1</v>
      </c>
      <c r="C15" s="2" t="n">
        <f aca="false">IFERROR(__xludf.dummyfunction("""COMPUTED_VALUE"""),282.67)</f>
        <v>282.67</v>
      </c>
      <c r="D15" s="2" t="n">
        <f aca="false">IFERROR(__xludf.dummyfunction("""COMPUTED_VALUE"""),276.21)</f>
        <v>276.21</v>
      </c>
      <c r="E15" s="2" t="n">
        <f aca="false">IFERROR(__xludf.dummyfunction("""COMPUTED_VALUE"""),282.21)</f>
        <v>282.21</v>
      </c>
      <c r="F15" s="2" t="n">
        <f aca="false">IFERROR(__xludf.dummyfunction("""COMPUTED_VALUE"""),20066497)</f>
        <v>20066497</v>
      </c>
    </row>
    <row r="16" customFormat="false" ht="15.75" hidden="false" customHeight="false" outlineLevel="0" collapsed="false">
      <c r="A16" s="3" t="n">
        <f aca="false">IFERROR(__xludf.dummyfunction("""COMPUTED_VALUE"""),44221.6666666667)</f>
        <v>44221.6666666667</v>
      </c>
      <c r="B16" s="2" t="n">
        <f aca="false">IFERROR(__xludf.dummyfunction("""COMPUTED_VALUE"""),285)</f>
        <v>285</v>
      </c>
      <c r="C16" s="2" t="n">
        <f aca="false">IFERROR(__xludf.dummyfunction("""COMPUTED_VALUE"""),300.13)</f>
        <v>300.13</v>
      </c>
      <c r="D16" s="2" t="n">
        <f aca="false">IFERROR(__xludf.dummyfunction("""COMPUTED_VALUE"""),279.61)</f>
        <v>279.61</v>
      </c>
      <c r="E16" s="2" t="n">
        <f aca="false">IFERROR(__xludf.dummyfunction("""COMPUTED_VALUE"""),293.6)</f>
        <v>293.6</v>
      </c>
      <c r="F16" s="2" t="n">
        <f aca="false">IFERROR(__xludf.dummyfunction("""COMPUTED_VALUE"""),41173397)</f>
        <v>41173397</v>
      </c>
    </row>
    <row r="17" customFormat="false" ht="15.75" hidden="false" customHeight="false" outlineLevel="0" collapsed="false">
      <c r="A17" s="3" t="n">
        <f aca="false">IFERROR(__xludf.dummyfunction("""COMPUTED_VALUE"""),44222.6666666667)</f>
        <v>44222.6666666667</v>
      </c>
      <c r="B17" s="2" t="n">
        <f aca="false">IFERROR(__xludf.dummyfunction("""COMPUTED_VALUE"""),297.13)</f>
        <v>297.13</v>
      </c>
      <c r="C17" s="2" t="n">
        <f aca="false">IFERROR(__xludf.dummyfunction("""COMPUTED_VALUE"""),298.63)</f>
        <v>298.63</v>
      </c>
      <c r="D17" s="2" t="n">
        <f aca="false">IFERROR(__xludf.dummyfunction("""COMPUTED_VALUE"""),290.53)</f>
        <v>290.53</v>
      </c>
      <c r="E17" s="2" t="n">
        <f aca="false">IFERROR(__xludf.dummyfunction("""COMPUTED_VALUE"""),294.36)</f>
        <v>294.36</v>
      </c>
      <c r="F17" s="2" t="n">
        <f aca="false">IFERROR(__xludf.dummyfunction("""COMPUTED_VALUE"""),23131603)</f>
        <v>23131603</v>
      </c>
    </row>
    <row r="18" customFormat="false" ht="15.75" hidden="false" customHeight="false" outlineLevel="0" collapsed="false">
      <c r="A18" s="3" t="n">
        <f aca="false">IFERROR(__xludf.dummyfunction("""COMPUTED_VALUE"""),44223.6666666667)</f>
        <v>44223.6666666667</v>
      </c>
      <c r="B18" s="2" t="n">
        <f aca="false">IFERROR(__xludf.dummyfunction("""COMPUTED_VALUE"""),290.12)</f>
        <v>290.12</v>
      </c>
      <c r="C18" s="2" t="n">
        <f aca="false">IFERROR(__xludf.dummyfunction("""COMPUTED_VALUE"""),297.17)</f>
        <v>297.17</v>
      </c>
      <c r="D18" s="2" t="n">
        <f aca="false">IFERROR(__xludf.dummyfunction("""COMPUTED_VALUE"""),286.22)</f>
        <v>286.22</v>
      </c>
      <c r="E18" s="2" t="n">
        <f aca="false">IFERROR(__xludf.dummyfunction("""COMPUTED_VALUE"""),288.05)</f>
        <v>288.05</v>
      </c>
      <c r="F18" s="2" t="n">
        <f aca="false">IFERROR(__xludf.dummyfunction("""COMPUTED_VALUE"""),27333955)</f>
        <v>27333955</v>
      </c>
    </row>
    <row r="19" customFormat="false" ht="15.75" hidden="false" customHeight="false" outlineLevel="0" collapsed="false">
      <c r="A19" s="3" t="n">
        <f aca="false">IFERROR(__xludf.dummyfunction("""COMPUTED_VALUE"""),44224.6666666667)</f>
        <v>44224.6666666667</v>
      </c>
      <c r="B19" s="2" t="n">
        <f aca="false">IFERROR(__xludf.dummyfunction("""COMPUTED_VALUE"""),273.33)</f>
        <v>273.33</v>
      </c>
      <c r="C19" s="2" t="n">
        <f aca="false">IFERROR(__xludf.dummyfunction("""COMPUTED_VALUE"""),282.67)</f>
        <v>282.67</v>
      </c>
      <c r="D19" s="2" t="n">
        <f aca="false">IFERROR(__xludf.dummyfunction("""COMPUTED_VALUE"""),267)</f>
        <v>267</v>
      </c>
      <c r="E19" s="2" t="n">
        <f aca="false">IFERROR(__xludf.dummyfunction("""COMPUTED_VALUE"""),278.48)</f>
        <v>278.48</v>
      </c>
      <c r="F19" s="2" t="n">
        <f aca="false">IFERROR(__xludf.dummyfunction("""COMPUTED_VALUE"""),26378048)</f>
        <v>26378048</v>
      </c>
    </row>
    <row r="20" customFormat="false" ht="15.75" hidden="false" customHeight="false" outlineLevel="0" collapsed="false">
      <c r="A20" s="3" t="n">
        <f aca="false">IFERROR(__xludf.dummyfunction("""COMPUTED_VALUE"""),44225.6666666667)</f>
        <v>44225.6666666667</v>
      </c>
      <c r="B20" s="2" t="n">
        <f aca="false">IFERROR(__xludf.dummyfunction("""COMPUTED_VALUE"""),276.67)</f>
        <v>276.67</v>
      </c>
      <c r="C20" s="2" t="n">
        <f aca="false">IFERROR(__xludf.dummyfunction("""COMPUTED_VALUE"""),280.8)</f>
        <v>280.8</v>
      </c>
      <c r="D20" s="2" t="n">
        <f aca="false">IFERROR(__xludf.dummyfunction("""COMPUTED_VALUE"""),260.03)</f>
        <v>260.03</v>
      </c>
      <c r="E20" s="2" t="n">
        <f aca="false">IFERROR(__xludf.dummyfunction("""COMPUTED_VALUE"""),264.51)</f>
        <v>264.51</v>
      </c>
      <c r="F20" s="2" t="n">
        <f aca="false">IFERROR(__xludf.dummyfunction("""COMPUTED_VALUE"""),34990754)</f>
        <v>34990754</v>
      </c>
    </row>
    <row r="21" customFormat="false" ht="15.75" hidden="false" customHeight="false" outlineLevel="0" collapsed="false">
      <c r="A21" s="3" t="n">
        <f aca="false">IFERROR(__xludf.dummyfunction("""COMPUTED_VALUE"""),44228.6666666667)</f>
        <v>44228.6666666667</v>
      </c>
      <c r="B21" s="2" t="n">
        <f aca="false">IFERROR(__xludf.dummyfunction("""COMPUTED_VALUE"""),271.43)</f>
        <v>271.43</v>
      </c>
      <c r="C21" s="2" t="n">
        <f aca="false">IFERROR(__xludf.dummyfunction("""COMPUTED_VALUE"""),280.67)</f>
        <v>280.67</v>
      </c>
      <c r="D21" s="2" t="n">
        <f aca="false">IFERROR(__xludf.dummyfunction("""COMPUTED_VALUE"""),265.19)</f>
        <v>265.19</v>
      </c>
      <c r="E21" s="2" t="n">
        <f aca="false">IFERROR(__xludf.dummyfunction("""COMPUTED_VALUE"""),279.94)</f>
        <v>279.94</v>
      </c>
      <c r="F21" s="2" t="n">
        <f aca="false">IFERROR(__xludf.dummyfunction("""COMPUTED_VALUE"""),25391385)</f>
        <v>25391385</v>
      </c>
    </row>
    <row r="22" customFormat="false" ht="15.75" hidden="false" customHeight="false" outlineLevel="0" collapsed="false">
      <c r="A22" s="3" t="n">
        <f aca="false">IFERROR(__xludf.dummyfunction("""COMPUTED_VALUE"""),44229.6666666667)</f>
        <v>44229.6666666667</v>
      </c>
      <c r="B22" s="2" t="n">
        <f aca="false">IFERROR(__xludf.dummyfunction("""COMPUTED_VALUE"""),281.56)</f>
        <v>281.56</v>
      </c>
      <c r="C22" s="2" t="n">
        <f aca="false">IFERROR(__xludf.dummyfunction("""COMPUTED_VALUE"""),293.5)</f>
        <v>293.5</v>
      </c>
      <c r="D22" s="2" t="n">
        <f aca="false">IFERROR(__xludf.dummyfunction("""COMPUTED_VALUE"""),280.73)</f>
        <v>280.73</v>
      </c>
      <c r="E22" s="2" t="n">
        <f aca="false">IFERROR(__xludf.dummyfunction("""COMPUTED_VALUE"""),290.93)</f>
        <v>290.93</v>
      </c>
      <c r="F22" s="2" t="n">
        <f aca="false">IFERROR(__xludf.dummyfunction("""COMPUTED_VALUE"""),24346213)</f>
        <v>24346213</v>
      </c>
    </row>
    <row r="23" customFormat="false" ht="15.75" hidden="false" customHeight="false" outlineLevel="0" collapsed="false">
      <c r="A23" s="3" t="n">
        <f aca="false">IFERROR(__xludf.dummyfunction("""COMPUTED_VALUE"""),44230.6666666667)</f>
        <v>44230.6666666667</v>
      </c>
      <c r="B23" s="2" t="n">
        <f aca="false">IFERROR(__xludf.dummyfunction("""COMPUTED_VALUE"""),292.34)</f>
        <v>292.34</v>
      </c>
      <c r="C23" s="2" t="n">
        <f aca="false">IFERROR(__xludf.dummyfunction("""COMPUTED_VALUE"""),292.69)</f>
        <v>292.69</v>
      </c>
      <c r="D23" s="2" t="n">
        <f aca="false">IFERROR(__xludf.dummyfunction("""COMPUTED_VALUE"""),284.35)</f>
        <v>284.35</v>
      </c>
      <c r="E23" s="2" t="n">
        <f aca="false">IFERROR(__xludf.dummyfunction("""COMPUTED_VALUE"""),284.9)</f>
        <v>284.9</v>
      </c>
      <c r="F23" s="2" t="n">
        <f aca="false">IFERROR(__xludf.dummyfunction("""COMPUTED_VALUE"""),18343510)</f>
        <v>18343510</v>
      </c>
    </row>
    <row r="24" customFormat="false" ht="15.75" hidden="false" customHeight="false" outlineLevel="0" collapsed="false">
      <c r="A24" s="3" t="n">
        <f aca="false">IFERROR(__xludf.dummyfunction("""COMPUTED_VALUE"""),44231.6666666667)</f>
        <v>44231.6666666667</v>
      </c>
      <c r="B24" s="2" t="n">
        <f aca="false">IFERROR(__xludf.dummyfunction("""COMPUTED_VALUE"""),285)</f>
        <v>285</v>
      </c>
      <c r="C24" s="2" t="n">
        <f aca="false">IFERROR(__xludf.dummyfunction("""COMPUTED_VALUE"""),285.5)</f>
        <v>285.5</v>
      </c>
      <c r="D24" s="2" t="n">
        <f aca="false">IFERROR(__xludf.dummyfunction("""COMPUTED_VALUE"""),277.81)</f>
        <v>277.81</v>
      </c>
      <c r="E24" s="2" t="n">
        <f aca="false">IFERROR(__xludf.dummyfunction("""COMPUTED_VALUE"""),283.33)</f>
        <v>283.33</v>
      </c>
      <c r="F24" s="2" t="n">
        <f aca="false">IFERROR(__xludf.dummyfunction("""COMPUTED_VALUE"""),15812661)</f>
        <v>15812661</v>
      </c>
    </row>
    <row r="25" customFormat="false" ht="15.75" hidden="false" customHeight="false" outlineLevel="0" collapsed="false">
      <c r="A25" s="3" t="n">
        <f aca="false">IFERROR(__xludf.dummyfunction("""COMPUTED_VALUE"""),44232.6666666667)</f>
        <v>44232.6666666667</v>
      </c>
      <c r="B25" s="2" t="n">
        <f aca="false">IFERROR(__xludf.dummyfunction("""COMPUTED_VALUE"""),281.67)</f>
        <v>281.67</v>
      </c>
      <c r="C25" s="2" t="n">
        <f aca="false">IFERROR(__xludf.dummyfunction("""COMPUTED_VALUE"""),288.26)</f>
        <v>288.26</v>
      </c>
      <c r="D25" s="2" t="n">
        <f aca="false">IFERROR(__xludf.dummyfunction("""COMPUTED_VALUE"""),279.66)</f>
        <v>279.66</v>
      </c>
      <c r="E25" s="2" t="n">
        <f aca="false">IFERROR(__xludf.dummyfunction("""COMPUTED_VALUE"""),284.08)</f>
        <v>284.08</v>
      </c>
      <c r="F25" s="2" t="n">
        <f aca="false">IFERROR(__xludf.dummyfunction("""COMPUTED_VALUE"""),18566637)</f>
        <v>18566637</v>
      </c>
    </row>
    <row r="26" customFormat="false" ht="15.75" hidden="false" customHeight="false" outlineLevel="0" collapsed="false">
      <c r="A26" s="3" t="n">
        <f aca="false">IFERROR(__xludf.dummyfunction("""COMPUTED_VALUE"""),44235.6666666667)</f>
        <v>44235.6666666667</v>
      </c>
      <c r="B26" s="2" t="n">
        <f aca="false">IFERROR(__xludf.dummyfunction("""COMPUTED_VALUE"""),289.89)</f>
        <v>289.89</v>
      </c>
      <c r="C26" s="2" t="n">
        <f aca="false">IFERROR(__xludf.dummyfunction("""COMPUTED_VALUE"""),292.59)</f>
        <v>292.59</v>
      </c>
      <c r="D26" s="2" t="n">
        <f aca="false">IFERROR(__xludf.dummyfunction("""COMPUTED_VALUE"""),284.92)</f>
        <v>284.92</v>
      </c>
      <c r="E26" s="2" t="n">
        <f aca="false">IFERROR(__xludf.dummyfunction("""COMPUTED_VALUE"""),287.81)</f>
        <v>287.81</v>
      </c>
      <c r="F26" s="2" t="n">
        <f aca="false">IFERROR(__xludf.dummyfunction("""COMPUTED_VALUE"""),20161719)</f>
        <v>20161719</v>
      </c>
    </row>
    <row r="27" customFormat="false" ht="15.75" hidden="false" customHeight="false" outlineLevel="0" collapsed="false">
      <c r="A27" s="3" t="n">
        <f aca="false">IFERROR(__xludf.dummyfunction("""COMPUTED_VALUE"""),44236.6666666667)</f>
        <v>44236.6666666667</v>
      </c>
      <c r="B27" s="2" t="n">
        <f aca="false">IFERROR(__xludf.dummyfunction("""COMPUTED_VALUE"""),285.04)</f>
        <v>285.04</v>
      </c>
      <c r="C27" s="2" t="n">
        <f aca="false">IFERROR(__xludf.dummyfunction("""COMPUTED_VALUE"""),286.6)</f>
        <v>286.6</v>
      </c>
      <c r="D27" s="2" t="n">
        <f aca="false">IFERROR(__xludf.dummyfunction("""COMPUTED_VALUE"""),280.58)</f>
        <v>280.58</v>
      </c>
      <c r="E27" s="2" t="n">
        <f aca="false">IFERROR(__xludf.dummyfunction("""COMPUTED_VALUE"""),283.15)</f>
        <v>283.15</v>
      </c>
      <c r="F27" s="2" t="n">
        <f aca="false">IFERROR(__xludf.dummyfunction("""COMPUTED_VALUE"""),15157651)</f>
        <v>15157651</v>
      </c>
    </row>
    <row r="28" customFormat="false" ht="15.75" hidden="false" customHeight="false" outlineLevel="0" collapsed="false">
      <c r="A28" s="3" t="n">
        <f aca="false">IFERROR(__xludf.dummyfunction("""COMPUTED_VALUE"""),44237.6666666667)</f>
        <v>44237.6666666667</v>
      </c>
      <c r="B28" s="2" t="n">
        <f aca="false">IFERROR(__xludf.dummyfunction("""COMPUTED_VALUE"""),281.21)</f>
        <v>281.21</v>
      </c>
      <c r="C28" s="2" t="n">
        <f aca="false">IFERROR(__xludf.dummyfunction("""COMPUTED_VALUE"""),281.61)</f>
        <v>281.61</v>
      </c>
      <c r="D28" s="2" t="n">
        <f aca="false">IFERROR(__xludf.dummyfunction("""COMPUTED_VALUE"""),266.67)</f>
        <v>266.67</v>
      </c>
      <c r="E28" s="2" t="n">
        <f aca="false">IFERROR(__xludf.dummyfunction("""COMPUTED_VALUE"""),268.27)</f>
        <v>268.27</v>
      </c>
      <c r="F28" s="2" t="n">
        <f aca="false">IFERROR(__xludf.dummyfunction("""COMPUTED_VALUE"""),36216090)</f>
        <v>36216090</v>
      </c>
    </row>
    <row r="29" customFormat="false" ht="15.75" hidden="false" customHeight="false" outlineLevel="0" collapsed="false">
      <c r="A29" s="3" t="n">
        <f aca="false">IFERROR(__xludf.dummyfunction("""COMPUTED_VALUE"""),44238.6666666667)</f>
        <v>44238.6666666667</v>
      </c>
      <c r="B29" s="2" t="n">
        <f aca="false">IFERROR(__xludf.dummyfunction("""COMPUTED_VALUE"""),270.81)</f>
        <v>270.81</v>
      </c>
      <c r="C29" s="2" t="n">
        <f aca="false">IFERROR(__xludf.dummyfunction("""COMPUTED_VALUE"""),276.63)</f>
        <v>276.63</v>
      </c>
      <c r="D29" s="2" t="n">
        <f aca="false">IFERROR(__xludf.dummyfunction("""COMPUTED_VALUE"""),267.24)</f>
        <v>267.24</v>
      </c>
      <c r="E29" s="2" t="n">
        <f aca="false">IFERROR(__xludf.dummyfunction("""COMPUTED_VALUE"""),270.55)</f>
        <v>270.55</v>
      </c>
      <c r="F29" s="2" t="n">
        <f aca="false">IFERROR(__xludf.dummyfunction("""COMPUTED_VALUE"""),21622753)</f>
        <v>21622753</v>
      </c>
    </row>
    <row r="30" customFormat="false" ht="15.75" hidden="false" customHeight="false" outlineLevel="0" collapsed="false">
      <c r="A30" s="3" t="n">
        <f aca="false">IFERROR(__xludf.dummyfunction("""COMPUTED_VALUE"""),44239.6666666667)</f>
        <v>44239.6666666667</v>
      </c>
      <c r="B30" s="2" t="n">
        <f aca="false">IFERROR(__xludf.dummyfunction("""COMPUTED_VALUE"""),267.09)</f>
        <v>267.09</v>
      </c>
      <c r="C30" s="2" t="n">
        <f aca="false">IFERROR(__xludf.dummyfunction("""COMPUTED_VALUE"""),272.44)</f>
        <v>272.44</v>
      </c>
      <c r="D30" s="2" t="n">
        <f aca="false">IFERROR(__xludf.dummyfunction("""COMPUTED_VALUE"""),261.78)</f>
        <v>261.78</v>
      </c>
      <c r="E30" s="2" t="n">
        <f aca="false">IFERROR(__xludf.dummyfunction("""COMPUTED_VALUE"""),272.04)</f>
        <v>272.04</v>
      </c>
      <c r="F30" s="2" t="n">
        <f aca="false">IFERROR(__xludf.dummyfunction("""COMPUTED_VALUE"""),23768313)</f>
        <v>23768313</v>
      </c>
    </row>
    <row r="31" customFormat="false" ht="15.75" hidden="false" customHeight="false" outlineLevel="0" collapsed="false">
      <c r="A31" s="3" t="n">
        <f aca="false">IFERROR(__xludf.dummyfunction("""COMPUTED_VALUE"""),44243.6666666667)</f>
        <v>44243.6666666667</v>
      </c>
      <c r="B31" s="2" t="n">
        <f aca="false">IFERROR(__xludf.dummyfunction("""COMPUTED_VALUE"""),272.67)</f>
        <v>272.67</v>
      </c>
      <c r="C31" s="2" t="n">
        <f aca="false">IFERROR(__xludf.dummyfunction("""COMPUTED_VALUE"""),273.67)</f>
        <v>273.67</v>
      </c>
      <c r="D31" s="2" t="n">
        <f aca="false">IFERROR(__xludf.dummyfunction("""COMPUTED_VALUE"""),264.15)</f>
        <v>264.15</v>
      </c>
      <c r="E31" s="2" t="n">
        <f aca="false">IFERROR(__xludf.dummyfunction("""COMPUTED_VALUE"""),265.41)</f>
        <v>265.41</v>
      </c>
      <c r="F31" s="2" t="n">
        <f aca="false">IFERROR(__xludf.dummyfunction("""COMPUTED_VALUE"""),19802324)</f>
        <v>19802324</v>
      </c>
    </row>
    <row r="32" customFormat="false" ht="15.75" hidden="false" customHeight="false" outlineLevel="0" collapsed="false">
      <c r="A32" s="3" t="n">
        <f aca="false">IFERROR(__xludf.dummyfunction("""COMPUTED_VALUE"""),44244.6666666667)</f>
        <v>44244.6666666667</v>
      </c>
      <c r="B32" s="2" t="n">
        <f aca="false">IFERROR(__xludf.dummyfunction("""COMPUTED_VALUE"""),259.7)</f>
        <v>259.7</v>
      </c>
      <c r="C32" s="2" t="n">
        <f aca="false">IFERROR(__xludf.dummyfunction("""COMPUTED_VALUE"""),266.61)</f>
        <v>266.61</v>
      </c>
      <c r="D32" s="2" t="n">
        <f aca="false">IFERROR(__xludf.dummyfunction("""COMPUTED_VALUE"""),254)</f>
        <v>254</v>
      </c>
      <c r="E32" s="2" t="n">
        <f aca="false">IFERROR(__xludf.dummyfunction("""COMPUTED_VALUE"""),266.05)</f>
        <v>266.05</v>
      </c>
      <c r="F32" s="2" t="n">
        <f aca="false">IFERROR(__xludf.dummyfunction("""COMPUTED_VALUE"""),26078898)</f>
        <v>26078898</v>
      </c>
    </row>
    <row r="33" customFormat="false" ht="15.75" hidden="false" customHeight="false" outlineLevel="0" collapsed="false">
      <c r="A33" s="3" t="n">
        <f aca="false">IFERROR(__xludf.dummyfunction("""COMPUTED_VALUE"""),44245.6666666667)</f>
        <v>44245.6666666667</v>
      </c>
      <c r="B33" s="2" t="n">
        <f aca="false">IFERROR(__xludf.dummyfunction("""COMPUTED_VALUE"""),260.3)</f>
        <v>260.3</v>
      </c>
      <c r="C33" s="2" t="n">
        <f aca="false">IFERROR(__xludf.dummyfunction("""COMPUTED_VALUE"""),264.9)</f>
        <v>264.9</v>
      </c>
      <c r="D33" s="2" t="n">
        <f aca="false">IFERROR(__xludf.dummyfunction("""COMPUTED_VALUE"""),258.76)</f>
        <v>258.76</v>
      </c>
      <c r="E33" s="2" t="n">
        <f aca="false">IFERROR(__xludf.dummyfunction("""COMPUTED_VALUE"""),262.46)</f>
        <v>262.46</v>
      </c>
      <c r="F33" s="2" t="n">
        <f aca="false">IFERROR(__xludf.dummyfunction("""COMPUTED_VALUE"""),17957058)</f>
        <v>17957058</v>
      </c>
    </row>
    <row r="34" customFormat="false" ht="15.75" hidden="false" customHeight="false" outlineLevel="0" collapsed="false">
      <c r="A34" s="3" t="n">
        <f aca="false">IFERROR(__xludf.dummyfunction("""COMPUTED_VALUE"""),44246.6666666667)</f>
        <v>44246.6666666667</v>
      </c>
      <c r="B34" s="2" t="n">
        <f aca="false">IFERROR(__xludf.dummyfunction("""COMPUTED_VALUE"""),265)</f>
        <v>265</v>
      </c>
      <c r="C34" s="2" t="n">
        <f aca="false">IFERROR(__xludf.dummyfunction("""COMPUTED_VALUE"""),265.6)</f>
        <v>265.6</v>
      </c>
      <c r="D34" s="2" t="n">
        <f aca="false">IFERROR(__xludf.dummyfunction("""COMPUTED_VALUE"""),259.12)</f>
        <v>259.12</v>
      </c>
      <c r="E34" s="2" t="n">
        <f aca="false">IFERROR(__xludf.dummyfunction("""COMPUTED_VALUE"""),260.43)</f>
        <v>260.43</v>
      </c>
      <c r="F34" s="2" t="n">
        <f aca="false">IFERROR(__xludf.dummyfunction("""COMPUTED_VALUE"""),18958255)</f>
        <v>18958255</v>
      </c>
    </row>
    <row r="35" customFormat="false" ht="15.75" hidden="false" customHeight="false" outlineLevel="0" collapsed="false">
      <c r="A35" s="3" t="n">
        <f aca="false">IFERROR(__xludf.dummyfunction("""COMPUTED_VALUE"""),44249.6666666667)</f>
        <v>44249.6666666667</v>
      </c>
      <c r="B35" s="2" t="n">
        <f aca="false">IFERROR(__xludf.dummyfunction("""COMPUTED_VALUE"""),254.21)</f>
        <v>254.21</v>
      </c>
      <c r="C35" s="2" t="n">
        <f aca="false">IFERROR(__xludf.dummyfunction("""COMPUTED_VALUE"""),256.17)</f>
        <v>256.17</v>
      </c>
      <c r="D35" s="2" t="n">
        <f aca="false">IFERROR(__xludf.dummyfunction("""COMPUTED_VALUE"""),236.73)</f>
        <v>236.73</v>
      </c>
      <c r="E35" s="2" t="n">
        <f aca="false">IFERROR(__xludf.dummyfunction("""COMPUTED_VALUE"""),238.17)</f>
        <v>238.17</v>
      </c>
      <c r="F35" s="2" t="n">
        <f aca="false">IFERROR(__xludf.dummyfunction("""COMPUTED_VALUE"""),37269716)</f>
        <v>37269716</v>
      </c>
    </row>
    <row r="36" customFormat="false" ht="15.75" hidden="false" customHeight="false" outlineLevel="0" collapsed="false">
      <c r="A36" s="3" t="n">
        <f aca="false">IFERROR(__xludf.dummyfunction("""COMPUTED_VALUE"""),44250.6666666667)</f>
        <v>44250.6666666667</v>
      </c>
      <c r="B36" s="2" t="n">
        <f aca="false">IFERROR(__xludf.dummyfunction("""COMPUTED_VALUE"""),220.71)</f>
        <v>220.71</v>
      </c>
      <c r="C36" s="2" t="n">
        <f aca="false">IFERROR(__xludf.dummyfunction("""COMPUTED_VALUE"""),237.87)</f>
        <v>237.87</v>
      </c>
      <c r="D36" s="2" t="n">
        <f aca="false">IFERROR(__xludf.dummyfunction("""COMPUTED_VALUE"""),206.33)</f>
        <v>206.33</v>
      </c>
      <c r="E36" s="2" t="n">
        <f aca="false">IFERROR(__xludf.dummyfunction("""COMPUTED_VALUE"""),232.95)</f>
        <v>232.95</v>
      </c>
      <c r="F36" s="2" t="n">
        <f aca="false">IFERROR(__xludf.dummyfunction("""COMPUTED_VALUE"""),66606882)</f>
        <v>66606882</v>
      </c>
    </row>
    <row r="37" customFormat="false" ht="15.75" hidden="false" customHeight="false" outlineLevel="0" collapsed="false">
      <c r="A37" s="3" t="n">
        <f aca="false">IFERROR(__xludf.dummyfunction("""COMPUTED_VALUE"""),44251.6666666667)</f>
        <v>44251.6666666667</v>
      </c>
      <c r="B37" s="2" t="n">
        <f aca="false">IFERROR(__xludf.dummyfunction("""COMPUTED_VALUE"""),237.28)</f>
        <v>237.28</v>
      </c>
      <c r="C37" s="2" t="n">
        <f aca="false">IFERROR(__xludf.dummyfunction("""COMPUTED_VALUE"""),248.33)</f>
        <v>248.33</v>
      </c>
      <c r="D37" s="2" t="n">
        <f aca="false">IFERROR(__xludf.dummyfunction("""COMPUTED_VALUE"""),231.39)</f>
        <v>231.39</v>
      </c>
      <c r="E37" s="2" t="n">
        <f aca="false">IFERROR(__xludf.dummyfunction("""COMPUTED_VALUE"""),247.34)</f>
        <v>247.34</v>
      </c>
      <c r="F37" s="2" t="n">
        <f aca="false">IFERROR(__xludf.dummyfunction("""COMPUTED_VALUE"""),36766950)</f>
        <v>36766950</v>
      </c>
    </row>
    <row r="38" customFormat="false" ht="15.75" hidden="false" customHeight="false" outlineLevel="0" collapsed="false">
      <c r="A38" s="3" t="n">
        <f aca="false">IFERROR(__xludf.dummyfunction("""COMPUTED_VALUE"""),44252.6666666667)</f>
        <v>44252.6666666667</v>
      </c>
      <c r="B38" s="2" t="n">
        <f aca="false">IFERROR(__xludf.dummyfunction("""COMPUTED_VALUE"""),242.05)</f>
        <v>242.05</v>
      </c>
      <c r="C38" s="2" t="n">
        <f aca="false">IFERROR(__xludf.dummyfunction("""COMPUTED_VALUE"""),245.74)</f>
        <v>245.74</v>
      </c>
      <c r="D38" s="2" t="n">
        <f aca="false">IFERROR(__xludf.dummyfunction("""COMPUTED_VALUE"""),223.53)</f>
        <v>223.53</v>
      </c>
      <c r="E38" s="2" t="n">
        <f aca="false">IFERROR(__xludf.dummyfunction("""COMPUTED_VALUE"""),227.41)</f>
        <v>227.41</v>
      </c>
      <c r="F38" s="2" t="n">
        <f aca="false">IFERROR(__xludf.dummyfunction("""COMPUTED_VALUE"""),39023855)</f>
        <v>39023855</v>
      </c>
    </row>
    <row r="39" customFormat="false" ht="15.75" hidden="false" customHeight="false" outlineLevel="0" collapsed="false">
      <c r="A39" s="3" t="n">
        <f aca="false">IFERROR(__xludf.dummyfunction("""COMPUTED_VALUE"""),44253.6666666667)</f>
        <v>44253.6666666667</v>
      </c>
      <c r="B39" s="2" t="n">
        <f aca="false">IFERROR(__xludf.dummyfunction("""COMPUTED_VALUE"""),233.33)</f>
        <v>233.33</v>
      </c>
      <c r="C39" s="2" t="n">
        <f aca="false">IFERROR(__xludf.dummyfunction("""COMPUTED_VALUE"""),235.57)</f>
        <v>235.57</v>
      </c>
      <c r="D39" s="2" t="n">
        <f aca="false">IFERROR(__xludf.dummyfunction("""COMPUTED_VALUE"""),219.84)</f>
        <v>219.84</v>
      </c>
      <c r="E39" s="2" t="n">
        <f aca="false">IFERROR(__xludf.dummyfunction("""COMPUTED_VALUE"""),225.17)</f>
        <v>225.17</v>
      </c>
      <c r="F39" s="2" t="n">
        <f aca="false">IFERROR(__xludf.dummyfunction("""COMPUTED_VALUE"""),41089173)</f>
        <v>41089173</v>
      </c>
    </row>
    <row r="40" customFormat="false" ht="15.75" hidden="false" customHeight="false" outlineLevel="0" collapsed="false">
      <c r="A40" s="3" t="n">
        <f aca="false">IFERROR(__xludf.dummyfunction("""COMPUTED_VALUE"""),44256.6666666667)</f>
        <v>44256.6666666667</v>
      </c>
      <c r="B40" s="2" t="n">
        <f aca="false">IFERROR(__xludf.dummyfunction("""COMPUTED_VALUE"""),230.04)</f>
        <v>230.04</v>
      </c>
      <c r="C40" s="2" t="n">
        <f aca="false">IFERROR(__xludf.dummyfunction("""COMPUTED_VALUE"""),290.67)</f>
        <v>290.67</v>
      </c>
      <c r="D40" s="2" t="n">
        <f aca="false">IFERROR(__xludf.dummyfunction("""COMPUTED_VALUE"""),228.35)</f>
        <v>228.35</v>
      </c>
      <c r="E40" s="2" t="n">
        <f aca="false">IFERROR(__xludf.dummyfunction("""COMPUTED_VALUE"""),239.48)</f>
        <v>239.48</v>
      </c>
      <c r="F40" s="2" t="n">
        <f aca="false">IFERROR(__xludf.dummyfunction("""COMPUTED_VALUE"""),27136239)</f>
        <v>27136239</v>
      </c>
    </row>
    <row r="41" customFormat="false" ht="15.75" hidden="false" customHeight="false" outlineLevel="0" collapsed="false">
      <c r="A41" s="3" t="n">
        <f aca="false">IFERROR(__xludf.dummyfunction("""COMPUTED_VALUE"""),44257.6666666667)</f>
        <v>44257.6666666667</v>
      </c>
      <c r="B41" s="2" t="n">
        <f aca="false">IFERROR(__xludf.dummyfunction("""COMPUTED_VALUE"""),239.43)</f>
        <v>239.43</v>
      </c>
      <c r="C41" s="2" t="n">
        <f aca="false">IFERROR(__xludf.dummyfunction("""COMPUTED_VALUE"""),240.37)</f>
        <v>240.37</v>
      </c>
      <c r="D41" s="2" t="n">
        <f aca="false">IFERROR(__xludf.dummyfunction("""COMPUTED_VALUE"""),228.33)</f>
        <v>228.33</v>
      </c>
      <c r="E41" s="2" t="n">
        <f aca="false">IFERROR(__xludf.dummyfunction("""COMPUTED_VALUE"""),228.81)</f>
        <v>228.81</v>
      </c>
      <c r="F41" s="2" t="n">
        <f aca="false">IFERROR(__xludf.dummyfunction("""COMPUTED_VALUE"""),23732158)</f>
        <v>23732158</v>
      </c>
    </row>
    <row r="42" customFormat="false" ht="15.75" hidden="false" customHeight="false" outlineLevel="0" collapsed="false">
      <c r="A42" s="3" t="n">
        <f aca="false">IFERROR(__xludf.dummyfunction("""COMPUTED_VALUE"""),44258.6666666667)</f>
        <v>44258.6666666667</v>
      </c>
      <c r="B42" s="2" t="n">
        <f aca="false">IFERROR(__xludf.dummyfunction("""COMPUTED_VALUE"""),229.33)</f>
        <v>229.33</v>
      </c>
      <c r="C42" s="2" t="n">
        <f aca="false">IFERROR(__xludf.dummyfunction("""COMPUTED_VALUE"""),233.57)</f>
        <v>233.57</v>
      </c>
      <c r="D42" s="2" t="n">
        <f aca="false">IFERROR(__xludf.dummyfunction("""COMPUTED_VALUE"""),217.24)</f>
        <v>217.24</v>
      </c>
      <c r="E42" s="2" t="n">
        <f aca="false">IFERROR(__xludf.dummyfunction("""COMPUTED_VALUE"""),217.73)</f>
        <v>217.73</v>
      </c>
      <c r="F42" s="2" t="n">
        <f aca="false">IFERROR(__xludf.dummyfunction("""COMPUTED_VALUE"""),30207960)</f>
        <v>30207960</v>
      </c>
    </row>
    <row r="43" customFormat="false" ht="15.75" hidden="false" customHeight="false" outlineLevel="0" collapsed="false">
      <c r="A43" s="3" t="n">
        <f aca="false">IFERROR(__xludf.dummyfunction("""COMPUTED_VALUE"""),44259.6666666667)</f>
        <v>44259.6666666667</v>
      </c>
      <c r="B43" s="2" t="n">
        <f aca="false">IFERROR(__xludf.dummyfunction("""COMPUTED_VALUE"""),218.6)</f>
        <v>218.6</v>
      </c>
      <c r="C43" s="2" t="n">
        <f aca="false">IFERROR(__xludf.dummyfunction("""COMPUTED_VALUE"""),291.31)</f>
        <v>291.31</v>
      </c>
      <c r="D43" s="2" t="n">
        <f aca="false">IFERROR(__xludf.dummyfunction("""COMPUTED_VALUE"""),200)</f>
        <v>200</v>
      </c>
      <c r="E43" s="2" t="n">
        <f aca="false">IFERROR(__xludf.dummyfunction("""COMPUTED_VALUE"""),207.15)</f>
        <v>207.15</v>
      </c>
      <c r="F43" s="2" t="n">
        <f aca="false">IFERROR(__xludf.dummyfunction("""COMPUTED_VALUE"""),65919530)</f>
        <v>65919530</v>
      </c>
    </row>
    <row r="44" customFormat="false" ht="15.75" hidden="false" customHeight="false" outlineLevel="0" collapsed="false">
      <c r="A44" s="3" t="n">
        <f aca="false">IFERROR(__xludf.dummyfunction("""COMPUTED_VALUE"""),44260.6666666667)</f>
        <v>44260.6666666667</v>
      </c>
      <c r="B44" s="2" t="n">
        <f aca="false">IFERROR(__xludf.dummyfunction("""COMPUTED_VALUE"""),208.69)</f>
        <v>208.69</v>
      </c>
      <c r="C44" s="2" t="n">
        <f aca="false">IFERROR(__xludf.dummyfunction("""COMPUTED_VALUE"""),209.28)</f>
        <v>209.28</v>
      </c>
      <c r="D44" s="2" t="n">
        <f aca="false">IFERROR(__xludf.dummyfunction("""COMPUTED_VALUE"""),179.83)</f>
        <v>179.83</v>
      </c>
      <c r="E44" s="2" t="n">
        <f aca="false">IFERROR(__xludf.dummyfunction("""COMPUTED_VALUE"""),199.32)</f>
        <v>199.32</v>
      </c>
      <c r="F44" s="2" t="n">
        <f aca="false">IFERROR(__xludf.dummyfunction("""COMPUTED_VALUE"""),89396459)</f>
        <v>89396459</v>
      </c>
    </row>
    <row r="45" customFormat="false" ht="15.75" hidden="false" customHeight="false" outlineLevel="0" collapsed="false">
      <c r="A45" s="3" t="n">
        <f aca="false">IFERROR(__xludf.dummyfunction("""COMPUTED_VALUE"""),44263.6666666667)</f>
        <v>44263.6666666667</v>
      </c>
      <c r="B45" s="2" t="n">
        <f aca="false">IFERROR(__xludf.dummyfunction("""COMPUTED_VALUE"""),200.18)</f>
        <v>200.18</v>
      </c>
      <c r="C45" s="2" t="n">
        <f aca="false">IFERROR(__xludf.dummyfunction("""COMPUTED_VALUE"""),206.71)</f>
        <v>206.71</v>
      </c>
      <c r="D45" s="2" t="n">
        <f aca="false">IFERROR(__xludf.dummyfunction("""COMPUTED_VALUE"""),186.26)</f>
        <v>186.26</v>
      </c>
      <c r="E45" s="2" t="n">
        <f aca="false">IFERROR(__xludf.dummyfunction("""COMPUTED_VALUE"""),187.67)</f>
        <v>187.67</v>
      </c>
      <c r="F45" s="2" t="n">
        <f aca="false">IFERROR(__xludf.dummyfunction("""COMPUTED_VALUE"""),51786958)</f>
        <v>51786958</v>
      </c>
    </row>
    <row r="46" customFormat="false" ht="15.75" hidden="false" customHeight="false" outlineLevel="0" collapsed="false">
      <c r="A46" s="3" t="n">
        <f aca="false">IFERROR(__xludf.dummyfunction("""COMPUTED_VALUE"""),44264.6666666667)</f>
        <v>44264.6666666667</v>
      </c>
      <c r="B46" s="2" t="n">
        <f aca="false">IFERROR(__xludf.dummyfunction("""COMPUTED_VALUE"""),202.73)</f>
        <v>202.73</v>
      </c>
      <c r="C46" s="2" t="n">
        <f aca="false">IFERROR(__xludf.dummyfunction("""COMPUTED_VALUE"""),226.03)</f>
        <v>226.03</v>
      </c>
      <c r="D46" s="2" t="n">
        <f aca="false">IFERROR(__xludf.dummyfunction("""COMPUTED_VALUE"""),198.4)</f>
        <v>198.4</v>
      </c>
      <c r="E46" s="2" t="n">
        <f aca="false">IFERROR(__xludf.dummyfunction("""COMPUTED_VALUE"""),224.53)</f>
        <v>224.53</v>
      </c>
      <c r="F46" s="2" t="n">
        <f aca="false">IFERROR(__xludf.dummyfunction("""COMPUTED_VALUE"""),67523328)</f>
        <v>67523328</v>
      </c>
    </row>
    <row r="47" customFormat="false" ht="15.75" hidden="false" customHeight="false" outlineLevel="0" collapsed="false">
      <c r="A47" s="3" t="n">
        <f aca="false">IFERROR(__xludf.dummyfunction("""COMPUTED_VALUE"""),44265.6666666667)</f>
        <v>44265.6666666667</v>
      </c>
      <c r="B47" s="2" t="n">
        <f aca="false">IFERROR(__xludf.dummyfunction("""COMPUTED_VALUE"""),233.43)</f>
        <v>233.43</v>
      </c>
      <c r="C47" s="2" t="n">
        <f aca="false">IFERROR(__xludf.dummyfunction("""COMPUTED_VALUE"""),239.28)</f>
        <v>239.28</v>
      </c>
      <c r="D47" s="2" t="n">
        <f aca="false">IFERROR(__xludf.dummyfunction("""COMPUTED_VALUE"""),218.35)</f>
        <v>218.35</v>
      </c>
      <c r="E47" s="2" t="n">
        <f aca="false">IFERROR(__xludf.dummyfunction("""COMPUTED_VALUE"""),222.69)</f>
        <v>222.69</v>
      </c>
      <c r="F47" s="2" t="n">
        <f aca="false">IFERROR(__xludf.dummyfunction("""COMPUTED_VALUE"""),60605672)</f>
        <v>60605672</v>
      </c>
    </row>
    <row r="48" customFormat="false" ht="15.75" hidden="false" customHeight="false" outlineLevel="0" collapsed="false">
      <c r="A48" s="3" t="n">
        <f aca="false">IFERROR(__xludf.dummyfunction("""COMPUTED_VALUE"""),44266.6666666667)</f>
        <v>44266.6666666667</v>
      </c>
      <c r="B48" s="2" t="n">
        <f aca="false">IFERROR(__xludf.dummyfunction("""COMPUTED_VALUE"""),233.13)</f>
        <v>233.13</v>
      </c>
      <c r="C48" s="2" t="n">
        <f aca="false">IFERROR(__xludf.dummyfunction("""COMPUTED_VALUE"""),234.17)</f>
        <v>234.17</v>
      </c>
      <c r="D48" s="2" t="n">
        <f aca="false">IFERROR(__xludf.dummyfunction("""COMPUTED_VALUE"""),225.73)</f>
        <v>225.73</v>
      </c>
      <c r="E48" s="2" t="n">
        <f aca="false">IFERROR(__xludf.dummyfunction("""COMPUTED_VALUE"""),233.2)</f>
        <v>233.2</v>
      </c>
      <c r="F48" s="2" t="n">
        <f aca="false">IFERROR(__xludf.dummyfunction("""COMPUTED_VALUE"""),36253892)</f>
        <v>36253892</v>
      </c>
    </row>
    <row r="49" customFormat="false" ht="15.75" hidden="false" customHeight="false" outlineLevel="0" collapsed="false">
      <c r="A49" s="3" t="n">
        <f aca="false">IFERROR(__xludf.dummyfunction("""COMPUTED_VALUE"""),44267.6666666667)</f>
        <v>44267.6666666667</v>
      </c>
      <c r="B49" s="2" t="n">
        <f aca="false">IFERROR(__xludf.dummyfunction("""COMPUTED_VALUE"""),223.33)</f>
        <v>223.33</v>
      </c>
      <c r="C49" s="2" t="n">
        <f aca="false">IFERROR(__xludf.dummyfunction("""COMPUTED_VALUE"""),231.63)</f>
        <v>231.63</v>
      </c>
      <c r="D49" s="2" t="n">
        <f aca="false">IFERROR(__xludf.dummyfunction("""COMPUTED_VALUE"""),222.05)</f>
        <v>222.05</v>
      </c>
      <c r="E49" s="2" t="n">
        <f aca="false">IFERROR(__xludf.dummyfunction("""COMPUTED_VALUE"""),231.24)</f>
        <v>231.24</v>
      </c>
      <c r="F49" s="2" t="n">
        <f aca="false">IFERROR(__xludf.dummyfunction("""COMPUTED_VALUE"""),33583840)</f>
        <v>33583840</v>
      </c>
    </row>
    <row r="50" customFormat="false" ht="15.75" hidden="false" customHeight="false" outlineLevel="0" collapsed="false">
      <c r="A50" s="3" t="n">
        <f aca="false">IFERROR(__xludf.dummyfunction("""COMPUTED_VALUE"""),44270.6666666667)</f>
        <v>44270.6666666667</v>
      </c>
      <c r="B50" s="2" t="n">
        <f aca="false">IFERROR(__xludf.dummyfunction("""COMPUTED_VALUE"""),231.36)</f>
        <v>231.36</v>
      </c>
      <c r="C50" s="2" t="n">
        <f aca="false">IFERROR(__xludf.dummyfunction("""COMPUTED_VALUE"""),237.73)</f>
        <v>237.73</v>
      </c>
      <c r="D50" s="2" t="n">
        <f aca="false">IFERROR(__xludf.dummyfunction("""COMPUTED_VALUE"""),228.01)</f>
        <v>228.01</v>
      </c>
      <c r="E50" s="2" t="n">
        <f aca="false">IFERROR(__xludf.dummyfunction("""COMPUTED_VALUE"""),235.98)</f>
        <v>235.98</v>
      </c>
      <c r="F50" s="2" t="n">
        <f aca="false">IFERROR(__xludf.dummyfunction("""COMPUTED_VALUE"""),29423479)</f>
        <v>29423479</v>
      </c>
    </row>
    <row r="51" customFormat="false" ht="15.75" hidden="false" customHeight="false" outlineLevel="0" collapsed="false">
      <c r="A51" s="3" t="n">
        <f aca="false">IFERROR(__xludf.dummyfunction("""COMPUTED_VALUE"""),44271.6666666667)</f>
        <v>44271.6666666667</v>
      </c>
      <c r="B51" s="2" t="n">
        <f aca="false">IFERROR(__xludf.dummyfunction("""COMPUTED_VALUE"""),234.45)</f>
        <v>234.45</v>
      </c>
      <c r="C51" s="2" t="n">
        <f aca="false">IFERROR(__xludf.dummyfunction("""COMPUTED_VALUE"""),235.97)</f>
        <v>235.97</v>
      </c>
      <c r="D51" s="2" t="n">
        <f aca="false">IFERROR(__xludf.dummyfunction("""COMPUTED_VALUE"""),223.67)</f>
        <v>223.67</v>
      </c>
      <c r="E51" s="2" t="n">
        <f aca="false">IFERROR(__xludf.dummyfunction("""COMPUTED_VALUE"""),225.63)</f>
        <v>225.63</v>
      </c>
      <c r="F51" s="2" t="n">
        <f aca="false">IFERROR(__xludf.dummyfunction("""COMPUTED_VALUE"""),32195672)</f>
        <v>32195672</v>
      </c>
    </row>
    <row r="52" customFormat="false" ht="15.75" hidden="false" customHeight="false" outlineLevel="0" collapsed="false">
      <c r="A52" s="3" t="n">
        <f aca="false">IFERROR(__xludf.dummyfunction("""COMPUTED_VALUE"""),44272.6666666667)</f>
        <v>44272.6666666667</v>
      </c>
      <c r="B52" s="2" t="n">
        <f aca="false">IFERROR(__xludf.dummyfunction("""COMPUTED_VALUE"""),218.96)</f>
        <v>218.96</v>
      </c>
      <c r="C52" s="2" t="n">
        <f aca="false">IFERROR(__xludf.dummyfunction("""COMPUTED_VALUE"""),234.58)</f>
        <v>234.58</v>
      </c>
      <c r="D52" s="2" t="n">
        <f aca="false">IFERROR(__xludf.dummyfunction("""COMPUTED_VALUE"""),217)</f>
        <v>217</v>
      </c>
      <c r="E52" s="2" t="n">
        <f aca="false">IFERROR(__xludf.dummyfunction("""COMPUTED_VALUE"""),233.94)</f>
        <v>233.94</v>
      </c>
      <c r="F52" s="2" t="n">
        <f aca="false">IFERROR(__xludf.dummyfunction("""COMPUTED_VALUE"""),40372453)</f>
        <v>40372453</v>
      </c>
    </row>
    <row r="53" customFormat="false" ht="15.75" hidden="false" customHeight="false" outlineLevel="0" collapsed="false">
      <c r="A53" s="3" t="n">
        <f aca="false">IFERROR(__xludf.dummyfunction("""COMPUTED_VALUE"""),44273.6666666667)</f>
        <v>44273.6666666667</v>
      </c>
      <c r="B53" s="2" t="n">
        <f aca="false">IFERROR(__xludf.dummyfunction("""COMPUTED_VALUE"""),228.1)</f>
        <v>228.1</v>
      </c>
      <c r="C53" s="2" t="n">
        <f aca="false">IFERROR(__xludf.dummyfunction("""COMPUTED_VALUE"""),229.74)</f>
        <v>229.74</v>
      </c>
      <c r="D53" s="2" t="n">
        <f aca="false">IFERROR(__xludf.dummyfunction("""COMPUTED_VALUE"""),217.33)</f>
        <v>217.33</v>
      </c>
      <c r="E53" s="2" t="n">
        <f aca="false">IFERROR(__xludf.dummyfunction("""COMPUTED_VALUE"""),217.72)</f>
        <v>217.72</v>
      </c>
      <c r="F53" s="2" t="n">
        <f aca="false">IFERROR(__xludf.dummyfunction("""COMPUTED_VALUE"""),33369022)</f>
        <v>33369022</v>
      </c>
    </row>
    <row r="54" customFormat="false" ht="15.75" hidden="false" customHeight="false" outlineLevel="0" collapsed="false">
      <c r="A54" s="3" t="n">
        <f aca="false">IFERROR(__xludf.dummyfunction("""COMPUTED_VALUE"""),44274.6666666667)</f>
        <v>44274.6666666667</v>
      </c>
      <c r="B54" s="2" t="n">
        <f aca="false">IFERROR(__xludf.dummyfunction("""COMPUTED_VALUE"""),215.53)</f>
        <v>215.53</v>
      </c>
      <c r="C54" s="2" t="n">
        <f aca="false">IFERROR(__xludf.dummyfunction("""COMPUTED_VALUE"""),219.08)</f>
        <v>219.08</v>
      </c>
      <c r="D54" s="2" t="n">
        <f aca="false">IFERROR(__xludf.dummyfunction("""COMPUTED_VALUE"""),208.21)</f>
        <v>208.21</v>
      </c>
      <c r="E54" s="2" t="n">
        <f aca="false">IFERROR(__xludf.dummyfunction("""COMPUTED_VALUE"""),218.29)</f>
        <v>218.29</v>
      </c>
      <c r="F54" s="2" t="n">
        <f aca="false">IFERROR(__xludf.dummyfunction("""COMPUTED_VALUE"""),42893978)</f>
        <v>42893978</v>
      </c>
    </row>
    <row r="55" customFormat="false" ht="15.75" hidden="false" customHeight="false" outlineLevel="0" collapsed="false">
      <c r="A55" s="3" t="n">
        <f aca="false">IFERROR(__xludf.dummyfunction("""COMPUTED_VALUE"""),44277.6666666667)</f>
        <v>44277.6666666667</v>
      </c>
      <c r="B55" s="2" t="n">
        <f aca="false">IFERROR(__xludf.dummyfunction("""COMPUTED_VALUE"""),228.2)</f>
        <v>228.2</v>
      </c>
      <c r="C55" s="2" t="n">
        <f aca="false">IFERROR(__xludf.dummyfunction("""COMPUTED_VALUE"""),233.21)</f>
        <v>233.21</v>
      </c>
      <c r="D55" s="2" t="n">
        <f aca="false">IFERROR(__xludf.dummyfunction("""COMPUTED_VALUE"""),222.92)</f>
        <v>222.92</v>
      </c>
      <c r="E55" s="2" t="n">
        <f aca="false">IFERROR(__xludf.dummyfunction("""COMPUTED_VALUE"""),223.33)</f>
        <v>223.33</v>
      </c>
      <c r="F55" s="2" t="n">
        <f aca="false">IFERROR(__xludf.dummyfunction("""COMPUTED_VALUE"""),39512221)</f>
        <v>39512221</v>
      </c>
    </row>
    <row r="56" customFormat="false" ht="15.75" hidden="false" customHeight="false" outlineLevel="0" collapsed="false">
      <c r="A56" s="3" t="n">
        <f aca="false">IFERROR(__xludf.dummyfunction("""COMPUTED_VALUE"""),44278.6666666667)</f>
        <v>44278.6666666667</v>
      </c>
      <c r="B56" s="2" t="n">
        <f aca="false">IFERROR(__xludf.dummyfunction("""COMPUTED_VALUE"""),225.26)</f>
        <v>225.26</v>
      </c>
      <c r="C56" s="2" t="n">
        <f aca="false">IFERROR(__xludf.dummyfunction("""COMPUTED_VALUE"""),225.93)</f>
        <v>225.93</v>
      </c>
      <c r="D56" s="2" t="n">
        <f aca="false">IFERROR(__xludf.dummyfunction("""COMPUTED_VALUE"""),219.17)</f>
        <v>219.17</v>
      </c>
      <c r="E56" s="2" t="n">
        <f aca="false">IFERROR(__xludf.dummyfunction("""COMPUTED_VALUE"""),220.72)</f>
        <v>220.72</v>
      </c>
      <c r="F56" s="2" t="n">
        <f aca="false">IFERROR(__xludf.dummyfunction("""COMPUTED_VALUE"""),30491870)</f>
        <v>30491870</v>
      </c>
    </row>
    <row r="57" customFormat="false" ht="15.75" hidden="false" customHeight="false" outlineLevel="0" collapsed="false">
      <c r="A57" s="3" t="n">
        <f aca="false">IFERROR(__xludf.dummyfunction("""COMPUTED_VALUE"""),44279.6666666667)</f>
        <v>44279.6666666667</v>
      </c>
      <c r="B57" s="2" t="n">
        <f aca="false">IFERROR(__xludf.dummyfunction("""COMPUTED_VALUE"""),222.64)</f>
        <v>222.64</v>
      </c>
      <c r="C57" s="2" t="n">
        <f aca="false">IFERROR(__xludf.dummyfunction("""COMPUTED_VALUE"""),222.67)</f>
        <v>222.67</v>
      </c>
      <c r="D57" s="2" t="n">
        <f aca="false">IFERROR(__xludf.dummyfunction("""COMPUTED_VALUE"""),210.04)</f>
        <v>210.04</v>
      </c>
      <c r="E57" s="2" t="n">
        <f aca="false">IFERROR(__xludf.dummyfunction("""COMPUTED_VALUE"""),210.09)</f>
        <v>210.09</v>
      </c>
      <c r="F57" s="2" t="n">
        <f aca="false">IFERROR(__xludf.dummyfunction("""COMPUTED_VALUE"""),33795174)</f>
        <v>33795174</v>
      </c>
    </row>
    <row r="58" customFormat="false" ht="15.75" hidden="false" customHeight="false" outlineLevel="0" collapsed="false">
      <c r="A58" s="3" t="n">
        <f aca="false">IFERROR(__xludf.dummyfunction("""COMPUTED_VALUE"""),44280.6666666667)</f>
        <v>44280.6666666667</v>
      </c>
      <c r="B58" s="2" t="n">
        <f aca="false">IFERROR(__xludf.dummyfunction("""COMPUTED_VALUE"""),204.33)</f>
        <v>204.33</v>
      </c>
      <c r="C58" s="2" t="n">
        <f aca="false">IFERROR(__xludf.dummyfunction("""COMPUTED_VALUE"""),215.17)</f>
        <v>215.17</v>
      </c>
      <c r="D58" s="2" t="n">
        <f aca="false">IFERROR(__xludf.dummyfunction("""COMPUTED_VALUE"""),203.17)</f>
        <v>203.17</v>
      </c>
      <c r="E58" s="2" t="n">
        <f aca="false">IFERROR(__xludf.dummyfunction("""COMPUTED_VALUE"""),213.46)</f>
        <v>213.46</v>
      </c>
      <c r="F58" s="2" t="n">
        <f aca="false">IFERROR(__xludf.dummyfunction("""COMPUTED_VALUE"""),39224850)</f>
        <v>39224850</v>
      </c>
    </row>
    <row r="59" customFormat="false" ht="15.75" hidden="false" customHeight="false" outlineLevel="0" collapsed="false">
      <c r="A59" s="3" t="n">
        <f aca="false">IFERROR(__xludf.dummyfunction("""COMPUTED_VALUE"""),44281.6666666667)</f>
        <v>44281.6666666667</v>
      </c>
      <c r="B59" s="2" t="n">
        <f aca="false">IFERROR(__xludf.dummyfunction("""COMPUTED_VALUE"""),213.96)</f>
        <v>213.96</v>
      </c>
      <c r="C59" s="2" t="n">
        <f aca="false">IFERROR(__xludf.dummyfunction("""COMPUTED_VALUE"""),214.61)</f>
        <v>214.61</v>
      </c>
      <c r="D59" s="2" t="n">
        <f aca="false">IFERROR(__xludf.dummyfunction("""COMPUTED_VALUE"""),199.96)</f>
        <v>199.96</v>
      </c>
      <c r="E59" s="2" t="n">
        <f aca="false">IFERROR(__xludf.dummyfunction("""COMPUTED_VALUE"""),206.24)</f>
        <v>206.24</v>
      </c>
      <c r="F59" s="2" t="n">
        <f aca="false">IFERROR(__xludf.dummyfunction("""COMPUTED_VALUE"""),33852827)</f>
        <v>33852827</v>
      </c>
    </row>
    <row r="60" customFormat="false" ht="15.75" hidden="false" customHeight="false" outlineLevel="0" collapsed="false">
      <c r="A60" s="3" t="n">
        <f aca="false">IFERROR(__xludf.dummyfunction("""COMPUTED_VALUE"""),44284.6666666667)</f>
        <v>44284.6666666667</v>
      </c>
      <c r="B60" s="2" t="n">
        <f aca="false">IFERROR(__xludf.dummyfunction("""COMPUTED_VALUE"""),205.21)</f>
        <v>205.21</v>
      </c>
      <c r="C60" s="2" t="n">
        <f aca="false">IFERROR(__xludf.dummyfunction("""COMPUTED_VALUE"""),205.49)</f>
        <v>205.49</v>
      </c>
      <c r="D60" s="2" t="n">
        <f aca="false">IFERROR(__xludf.dummyfunction("""COMPUTED_VALUE"""),198.67)</f>
        <v>198.67</v>
      </c>
      <c r="E60" s="2" t="n">
        <f aca="false">IFERROR(__xludf.dummyfunction("""COMPUTED_VALUE"""),203.76)</f>
        <v>203.76</v>
      </c>
      <c r="F60" s="2" t="n">
        <f aca="false">IFERROR(__xludf.dummyfunction("""COMPUTED_VALUE"""),28636985)</f>
        <v>28636985</v>
      </c>
    </row>
    <row r="61" customFormat="false" ht="15.75" hidden="false" customHeight="false" outlineLevel="0" collapsed="false">
      <c r="A61" s="3" t="n">
        <f aca="false">IFERROR(__xludf.dummyfunction("""COMPUTED_VALUE"""),44285.6666666667)</f>
        <v>44285.6666666667</v>
      </c>
      <c r="B61" s="2" t="n">
        <f aca="false">IFERROR(__xludf.dummyfunction("""COMPUTED_VALUE"""),200.58)</f>
        <v>200.58</v>
      </c>
      <c r="C61" s="2" t="n">
        <f aca="false">IFERROR(__xludf.dummyfunction("""COMPUTED_VALUE"""),212.55)</f>
        <v>212.55</v>
      </c>
      <c r="D61" s="2" t="n">
        <f aca="false">IFERROR(__xludf.dummyfunction("""COMPUTED_VALUE"""),197)</f>
        <v>197</v>
      </c>
      <c r="E61" s="2" t="n">
        <f aca="false">IFERROR(__xludf.dummyfunction("""COMPUTED_VALUE"""),211.87)</f>
        <v>211.87</v>
      </c>
      <c r="F61" s="2" t="n">
        <f aca="false">IFERROR(__xludf.dummyfunction("""COMPUTED_VALUE"""),39432359)</f>
        <v>39432359</v>
      </c>
    </row>
    <row r="62" customFormat="false" ht="15.75" hidden="false" customHeight="false" outlineLevel="0" collapsed="false">
      <c r="A62" s="3" t="n">
        <f aca="false">IFERROR(__xludf.dummyfunction("""COMPUTED_VALUE"""),44286.6666666667)</f>
        <v>44286.6666666667</v>
      </c>
      <c r="B62" s="2" t="n">
        <f aca="false">IFERROR(__xludf.dummyfunction("""COMPUTED_VALUE"""),215.54)</f>
        <v>215.54</v>
      </c>
      <c r="C62" s="2" t="n">
        <f aca="false">IFERROR(__xludf.dummyfunction("""COMPUTED_VALUE"""),224)</f>
        <v>224</v>
      </c>
      <c r="D62" s="2" t="n">
        <f aca="false">IFERROR(__xludf.dummyfunction("""COMPUTED_VALUE"""),213.7)</f>
        <v>213.7</v>
      </c>
      <c r="E62" s="2" t="n">
        <f aca="false">IFERROR(__xludf.dummyfunction("""COMPUTED_VALUE"""),222.64)</f>
        <v>222.64</v>
      </c>
      <c r="F62" s="2" t="n">
        <f aca="false">IFERROR(__xludf.dummyfunction("""COMPUTED_VALUE"""),33337288)</f>
        <v>33337288</v>
      </c>
    </row>
    <row r="63" customFormat="false" ht="15.75" hidden="false" customHeight="false" outlineLevel="0" collapsed="false">
      <c r="A63" s="3" t="n">
        <f aca="false">IFERROR(__xludf.dummyfunction("""COMPUTED_VALUE"""),44287.6666666667)</f>
        <v>44287.6666666667</v>
      </c>
      <c r="B63" s="2" t="n">
        <f aca="false">IFERROR(__xludf.dummyfunction("""COMPUTED_VALUE"""),229.46)</f>
        <v>229.46</v>
      </c>
      <c r="C63" s="2" t="n">
        <f aca="false">IFERROR(__xludf.dummyfunction("""COMPUTED_VALUE"""),230.81)</f>
        <v>230.81</v>
      </c>
      <c r="D63" s="2" t="n">
        <f aca="false">IFERROR(__xludf.dummyfunction("""COMPUTED_VALUE"""),219.81)</f>
        <v>219.81</v>
      </c>
      <c r="E63" s="2" t="n">
        <f aca="false">IFERROR(__xludf.dummyfunction("""COMPUTED_VALUE"""),220.58)</f>
        <v>220.58</v>
      </c>
      <c r="F63" s="2" t="n">
        <f aca="false">IFERROR(__xludf.dummyfunction("""COMPUTED_VALUE"""),35298378)</f>
        <v>35298378</v>
      </c>
    </row>
    <row r="64" customFormat="false" ht="15.75" hidden="false" customHeight="false" outlineLevel="0" collapsed="false">
      <c r="A64" s="3" t="n">
        <f aca="false">IFERROR(__xludf.dummyfunction("""COMPUTED_VALUE"""),44291.6666666667)</f>
        <v>44291.6666666667</v>
      </c>
      <c r="B64" s="2" t="n">
        <f aca="false">IFERROR(__xludf.dummyfunction("""COMPUTED_VALUE"""),235.9)</f>
        <v>235.9</v>
      </c>
      <c r="C64" s="2" t="n">
        <f aca="false">IFERROR(__xludf.dummyfunction("""COMPUTED_VALUE"""),236.05)</f>
        <v>236.05</v>
      </c>
      <c r="D64" s="2" t="n">
        <f aca="false">IFERROR(__xludf.dummyfunction("""COMPUTED_VALUE"""),228.23)</f>
        <v>228.23</v>
      </c>
      <c r="E64" s="2" t="n">
        <f aca="false">IFERROR(__xludf.dummyfunction("""COMPUTED_VALUE"""),230.35)</f>
        <v>230.35</v>
      </c>
      <c r="F64" s="2" t="n">
        <f aca="false">IFERROR(__xludf.dummyfunction("""COMPUTED_VALUE"""),41842767)</f>
        <v>41842767</v>
      </c>
    </row>
    <row r="65" customFormat="false" ht="15.75" hidden="false" customHeight="false" outlineLevel="0" collapsed="false">
      <c r="A65" s="3" t="n">
        <f aca="false">IFERROR(__xludf.dummyfunction("""COMPUTED_VALUE"""),44292.6666666667)</f>
        <v>44292.6666666667</v>
      </c>
      <c r="B65" s="2" t="n">
        <f aca="false">IFERROR(__xludf.dummyfunction("""COMPUTED_VALUE"""),230.1)</f>
        <v>230.1</v>
      </c>
      <c r="C65" s="2" t="n">
        <f aca="false">IFERROR(__xludf.dummyfunction("""COMPUTED_VALUE"""),232.18)</f>
        <v>232.18</v>
      </c>
      <c r="D65" s="2" t="n">
        <f aca="false">IFERROR(__xludf.dummyfunction("""COMPUTED_VALUE"""),227.12)</f>
        <v>227.12</v>
      </c>
      <c r="E65" s="2" t="n">
        <f aca="false">IFERROR(__xludf.dummyfunction("""COMPUTED_VALUE"""),230.54)</f>
        <v>230.54</v>
      </c>
      <c r="F65" s="2" t="n">
        <f aca="false">IFERROR(__xludf.dummyfunction("""COMPUTED_VALUE"""),28271839)</f>
        <v>28271839</v>
      </c>
    </row>
    <row r="66" customFormat="false" ht="15.75" hidden="false" customHeight="false" outlineLevel="0" collapsed="false">
      <c r="A66" s="3" t="n">
        <f aca="false">IFERROR(__xludf.dummyfunction("""COMPUTED_VALUE"""),44293.6666666667)</f>
        <v>44293.6666666667</v>
      </c>
      <c r="B66" s="2" t="n">
        <f aca="false">IFERROR(__xludf.dummyfunction("""COMPUTED_VALUE"""),229)</f>
        <v>229</v>
      </c>
      <c r="C66" s="2" t="n">
        <f aca="false">IFERROR(__xludf.dummyfunction("""COMPUTED_VALUE"""),230.46)</f>
        <v>230.46</v>
      </c>
      <c r="D66" s="2" t="n">
        <f aca="false">IFERROR(__xludf.dummyfunction("""COMPUTED_VALUE"""),222.61)</f>
        <v>222.61</v>
      </c>
      <c r="E66" s="2" t="n">
        <f aca="false">IFERROR(__xludf.dummyfunction("""COMPUTED_VALUE"""),223.66)</f>
        <v>223.66</v>
      </c>
      <c r="F66" s="2" t="n">
        <f aca="false">IFERROR(__xludf.dummyfunction("""COMPUTED_VALUE"""),26309433)</f>
        <v>26309433</v>
      </c>
    </row>
    <row r="67" customFormat="false" ht="15.75" hidden="false" customHeight="false" outlineLevel="0" collapsed="false">
      <c r="A67" s="3" t="n">
        <f aca="false">IFERROR(__xludf.dummyfunction("""COMPUTED_VALUE"""),44294.6666666667)</f>
        <v>44294.6666666667</v>
      </c>
      <c r="B67" s="2" t="n">
        <f aca="false">IFERROR(__xludf.dummyfunction("""COMPUTED_VALUE"""),225.79)</f>
        <v>225.79</v>
      </c>
      <c r="C67" s="2" t="n">
        <f aca="false">IFERROR(__xludf.dummyfunction("""COMPUTED_VALUE"""),229.85)</f>
        <v>229.85</v>
      </c>
      <c r="D67" s="2" t="n">
        <f aca="false">IFERROR(__xludf.dummyfunction("""COMPUTED_VALUE"""),223.88)</f>
        <v>223.88</v>
      </c>
      <c r="E67" s="2" t="n">
        <f aca="false">IFERROR(__xludf.dummyfunction("""COMPUTED_VALUE"""),227.93)</f>
        <v>227.93</v>
      </c>
      <c r="F67" s="2" t="n">
        <f aca="false">IFERROR(__xludf.dummyfunction("""COMPUTED_VALUE"""),23924329)</f>
        <v>23924329</v>
      </c>
    </row>
    <row r="68" customFormat="false" ht="15.75" hidden="false" customHeight="false" outlineLevel="0" collapsed="false">
      <c r="A68" s="3" t="n">
        <f aca="false">IFERROR(__xludf.dummyfunction("""COMPUTED_VALUE"""),44295.6666666667)</f>
        <v>44295.6666666667</v>
      </c>
      <c r="B68" s="2" t="n">
        <f aca="false">IFERROR(__xludf.dummyfunction("""COMPUTED_VALUE"""),225.92)</f>
        <v>225.92</v>
      </c>
      <c r="C68" s="2" t="n">
        <f aca="false">IFERROR(__xludf.dummyfunction("""COMPUTED_VALUE"""),226.99)</f>
        <v>226.99</v>
      </c>
      <c r="D68" s="2" t="n">
        <f aca="false">IFERROR(__xludf.dummyfunction("""COMPUTED_VALUE"""),223.14)</f>
        <v>223.14</v>
      </c>
      <c r="E68" s="2" t="n">
        <f aca="false">IFERROR(__xludf.dummyfunction("""COMPUTED_VALUE"""),225.67)</f>
        <v>225.67</v>
      </c>
      <c r="F68" s="2" t="n">
        <f aca="false">IFERROR(__xludf.dummyfunction("""COMPUTED_VALUE"""),21437087)</f>
        <v>21437087</v>
      </c>
    </row>
    <row r="69" customFormat="false" ht="15.75" hidden="false" customHeight="false" outlineLevel="0" collapsed="false">
      <c r="A69" s="3" t="n">
        <f aca="false">IFERROR(__xludf.dummyfunction("""COMPUTED_VALUE"""),44298.6666666667)</f>
        <v>44298.6666666667</v>
      </c>
      <c r="B69" s="2" t="n">
        <f aca="false">IFERROR(__xludf.dummyfunction("""COMPUTED_VALUE"""),228.57)</f>
        <v>228.57</v>
      </c>
      <c r="C69" s="2" t="n">
        <f aca="false">IFERROR(__xludf.dummyfunction("""COMPUTED_VALUE"""),234.93)</f>
        <v>234.93</v>
      </c>
      <c r="D69" s="2" t="n">
        <f aca="false">IFERROR(__xludf.dummyfunction("""COMPUTED_VALUE"""),227.36)</f>
        <v>227.36</v>
      </c>
      <c r="E69" s="2" t="n">
        <f aca="false">IFERROR(__xludf.dummyfunction("""COMPUTED_VALUE"""),233.99)</f>
        <v>233.99</v>
      </c>
      <c r="F69" s="2" t="n">
        <f aca="false">IFERROR(__xludf.dummyfunction("""COMPUTED_VALUE"""),29135670)</f>
        <v>29135670</v>
      </c>
    </row>
    <row r="70" customFormat="false" ht="15.75" hidden="false" customHeight="false" outlineLevel="0" collapsed="false">
      <c r="A70" s="3" t="n">
        <f aca="false">IFERROR(__xludf.dummyfunction("""COMPUTED_VALUE"""),44299.6666666667)</f>
        <v>44299.6666666667</v>
      </c>
      <c r="B70" s="2" t="n">
        <f aca="false">IFERROR(__xludf.dummyfunction("""COMPUTED_VALUE"""),237.57)</f>
        <v>237.57</v>
      </c>
      <c r="C70" s="2" t="n">
        <f aca="false">IFERROR(__xludf.dummyfunction("""COMPUTED_VALUE"""),254.33)</f>
        <v>254.33</v>
      </c>
      <c r="D70" s="2" t="n">
        <f aca="false">IFERROR(__xludf.dummyfunction("""COMPUTED_VALUE"""),236.89)</f>
        <v>236.89</v>
      </c>
      <c r="E70" s="2" t="n">
        <f aca="false">IFERROR(__xludf.dummyfunction("""COMPUTED_VALUE"""),254.11)</f>
        <v>254.11</v>
      </c>
      <c r="F70" s="2" t="n">
        <f aca="false">IFERROR(__xludf.dummyfunction("""COMPUTED_VALUE"""),44652808)</f>
        <v>44652808</v>
      </c>
    </row>
    <row r="71" customFormat="false" ht="15.75" hidden="false" customHeight="false" outlineLevel="0" collapsed="false">
      <c r="A71" s="3" t="n">
        <f aca="false">IFERROR(__xludf.dummyfunction("""COMPUTED_VALUE"""),44300.6666666667)</f>
        <v>44300.6666666667</v>
      </c>
      <c r="B71" s="2" t="n">
        <f aca="false">IFERROR(__xludf.dummyfunction("""COMPUTED_VALUE"""),256.9)</f>
        <v>256.9</v>
      </c>
      <c r="C71" s="2" t="n">
        <f aca="false">IFERROR(__xludf.dummyfunction("""COMPUTED_VALUE"""),260.26)</f>
        <v>260.26</v>
      </c>
      <c r="D71" s="2" t="n">
        <f aca="false">IFERROR(__xludf.dummyfunction("""COMPUTED_VALUE"""),242.68)</f>
        <v>242.68</v>
      </c>
      <c r="E71" s="2" t="n">
        <f aca="false">IFERROR(__xludf.dummyfunction("""COMPUTED_VALUE"""),244.08)</f>
        <v>244.08</v>
      </c>
      <c r="F71" s="2" t="n">
        <f aca="false">IFERROR(__xludf.dummyfunction("""COMPUTED_VALUE"""),49017434)</f>
        <v>49017434</v>
      </c>
    </row>
    <row r="72" customFormat="false" ht="15.75" hidden="false" customHeight="false" outlineLevel="0" collapsed="false">
      <c r="A72" s="3" t="n">
        <f aca="false">IFERROR(__xludf.dummyfunction("""COMPUTED_VALUE"""),44301.6666666667)</f>
        <v>44301.6666666667</v>
      </c>
      <c r="B72" s="2" t="n">
        <f aca="false">IFERROR(__xludf.dummyfunction("""COMPUTED_VALUE"""),247.7)</f>
        <v>247.7</v>
      </c>
      <c r="C72" s="2" t="n">
        <f aca="false">IFERROR(__xludf.dummyfunction("""COMPUTED_VALUE"""),247.9)</f>
        <v>247.9</v>
      </c>
      <c r="D72" s="2" t="n">
        <f aca="false">IFERROR(__xludf.dummyfunction("""COMPUTED_VALUE"""),240.44)</f>
        <v>240.44</v>
      </c>
      <c r="E72" s="2" t="n">
        <f aca="false">IFERROR(__xludf.dummyfunction("""COMPUTED_VALUE"""),246.28)</f>
        <v>246.28</v>
      </c>
      <c r="F72" s="2" t="n">
        <f aca="false">IFERROR(__xludf.dummyfunction("""COMPUTED_VALUE"""),27848900)</f>
        <v>27848900</v>
      </c>
    </row>
    <row r="73" customFormat="false" ht="15.75" hidden="false" customHeight="false" outlineLevel="0" collapsed="false">
      <c r="A73" s="3" t="n">
        <f aca="false">IFERROR(__xludf.dummyfunction("""COMPUTED_VALUE"""),44302.6666666667)</f>
        <v>44302.6666666667</v>
      </c>
      <c r="B73" s="2" t="n">
        <f aca="false">IFERROR(__xludf.dummyfunction("""COMPUTED_VALUE"""),242.88)</f>
        <v>242.88</v>
      </c>
      <c r="C73" s="2" t="n">
        <f aca="false">IFERROR(__xludf.dummyfunction("""COMPUTED_VALUE"""),249.8)</f>
        <v>249.8</v>
      </c>
      <c r="D73" s="2" t="n">
        <f aca="false">IFERROR(__xludf.dummyfunction("""COMPUTED_VALUE"""),241.53)</f>
        <v>241.53</v>
      </c>
      <c r="E73" s="2" t="n">
        <f aca="false">IFERROR(__xludf.dummyfunction("""COMPUTED_VALUE"""),246.59)</f>
        <v>246.59</v>
      </c>
      <c r="F73" s="2" t="n">
        <f aca="false">IFERROR(__xludf.dummyfunction("""COMPUTED_VALUE"""),27979526)</f>
        <v>27979526</v>
      </c>
    </row>
    <row r="74" customFormat="false" ht="15.75" hidden="false" customHeight="false" outlineLevel="0" collapsed="false">
      <c r="A74" s="3" t="n">
        <f aca="false">IFERROR(__xludf.dummyfunction("""COMPUTED_VALUE"""),44305.6666666667)</f>
        <v>44305.6666666667</v>
      </c>
      <c r="B74" s="2" t="n">
        <f aca="false">IFERROR(__xludf.dummyfunction("""COMPUTED_VALUE"""),239.87)</f>
        <v>239.87</v>
      </c>
      <c r="C74" s="2" t="n">
        <f aca="false">IFERROR(__xludf.dummyfunction("""COMPUTED_VALUE"""),241.8)</f>
        <v>241.8</v>
      </c>
      <c r="D74" s="2" t="n">
        <f aca="false">IFERROR(__xludf.dummyfunction("""COMPUTED_VALUE"""),230.6)</f>
        <v>230.6</v>
      </c>
      <c r="E74" s="2" t="n">
        <f aca="false">IFERROR(__xludf.dummyfunction("""COMPUTED_VALUE"""),238.21)</f>
        <v>238.21</v>
      </c>
      <c r="F74" s="2" t="n">
        <f aca="false">IFERROR(__xludf.dummyfunction("""COMPUTED_VALUE"""),39686226)</f>
        <v>39686226</v>
      </c>
    </row>
    <row r="75" customFormat="false" ht="15.75" hidden="false" customHeight="false" outlineLevel="0" collapsed="false">
      <c r="A75" s="3" t="n">
        <f aca="false">IFERROR(__xludf.dummyfunction("""COMPUTED_VALUE"""),44306.6666666667)</f>
        <v>44306.6666666667</v>
      </c>
      <c r="B75" s="2" t="n">
        <f aca="false">IFERROR(__xludf.dummyfunction("""COMPUTED_VALUE"""),239.14)</f>
        <v>239.14</v>
      </c>
      <c r="C75" s="2" t="n">
        <f aca="false">IFERROR(__xludf.dummyfunction("""COMPUTED_VALUE"""),245.75)</f>
        <v>245.75</v>
      </c>
      <c r="D75" s="2" t="n">
        <f aca="false">IFERROR(__xludf.dummyfunction("""COMPUTED_VALUE"""),236.9)</f>
        <v>236.9</v>
      </c>
      <c r="E75" s="2" t="n">
        <f aca="false">IFERROR(__xludf.dummyfunction("""COMPUTED_VALUE"""),239.66)</f>
        <v>239.66</v>
      </c>
      <c r="F75" s="2" t="n">
        <f aca="false">IFERROR(__xludf.dummyfunction("""COMPUTED_VALUE"""),35609038)</f>
        <v>35609038</v>
      </c>
    </row>
    <row r="76" customFormat="false" ht="15.75" hidden="false" customHeight="false" outlineLevel="0" collapsed="false">
      <c r="A76" s="3" t="n">
        <f aca="false">IFERROR(__xludf.dummyfunction("""COMPUTED_VALUE"""),44307.6666666667)</f>
        <v>44307.6666666667</v>
      </c>
      <c r="B76" s="2" t="n">
        <f aca="false">IFERROR(__xludf.dummyfunction("""COMPUTED_VALUE"""),234.92)</f>
        <v>234.92</v>
      </c>
      <c r="C76" s="2" t="n">
        <f aca="false">IFERROR(__xludf.dummyfunction("""COMPUTED_VALUE"""),248.28)</f>
        <v>248.28</v>
      </c>
      <c r="D76" s="2" t="n">
        <f aca="false">IFERROR(__xludf.dummyfunction("""COMPUTED_VALUE"""),232.67)</f>
        <v>232.67</v>
      </c>
      <c r="E76" s="2" t="n">
        <f aca="false">IFERROR(__xludf.dummyfunction("""COMPUTED_VALUE"""),248.04)</f>
        <v>248.04</v>
      </c>
      <c r="F76" s="2" t="n">
        <f aca="false">IFERROR(__xludf.dummyfunction("""COMPUTED_VALUE"""),31215514)</f>
        <v>31215514</v>
      </c>
    </row>
    <row r="77" customFormat="false" ht="15.75" hidden="false" customHeight="false" outlineLevel="0" collapsed="false">
      <c r="A77" s="3" t="n">
        <f aca="false">IFERROR(__xludf.dummyfunction("""COMPUTED_VALUE"""),44308.6666666667)</f>
        <v>44308.6666666667</v>
      </c>
      <c r="B77" s="2" t="n">
        <f aca="false">IFERROR(__xludf.dummyfunction("""COMPUTED_VALUE"""),247.17)</f>
        <v>247.17</v>
      </c>
      <c r="C77" s="2" t="n">
        <f aca="false">IFERROR(__xludf.dummyfunction("""COMPUTED_VALUE"""),251.26)</f>
        <v>251.26</v>
      </c>
      <c r="D77" s="2" t="n">
        <f aca="false">IFERROR(__xludf.dummyfunction("""COMPUTED_VALUE"""),239.35)</f>
        <v>239.35</v>
      </c>
      <c r="E77" s="2" t="n">
        <f aca="false">IFERROR(__xludf.dummyfunction("""COMPUTED_VALUE"""),239.9)</f>
        <v>239.9</v>
      </c>
      <c r="F77" s="2" t="n">
        <f aca="false">IFERROR(__xludf.dummyfunction("""COMPUTED_VALUE"""),35590255)</f>
        <v>35590255</v>
      </c>
    </row>
    <row r="78" customFormat="false" ht="15.75" hidden="false" customHeight="false" outlineLevel="0" collapsed="false">
      <c r="A78" s="3" t="n">
        <f aca="false">IFERROR(__xludf.dummyfunction("""COMPUTED_VALUE"""),44309.6666666667)</f>
        <v>44309.6666666667</v>
      </c>
      <c r="B78" s="2" t="n">
        <f aca="false">IFERROR(__xludf.dummyfunction("""COMPUTED_VALUE"""),239.93)</f>
        <v>239.93</v>
      </c>
      <c r="C78" s="2" t="n">
        <f aca="false">IFERROR(__xludf.dummyfunction("""COMPUTED_VALUE"""),245.79)</f>
        <v>245.79</v>
      </c>
      <c r="D78" s="2" t="n">
        <f aca="false">IFERROR(__xludf.dummyfunction("""COMPUTED_VALUE"""),238.49)</f>
        <v>238.49</v>
      </c>
      <c r="E78" s="2" t="n">
        <f aca="false">IFERROR(__xludf.dummyfunction("""COMPUTED_VALUE"""),243.13)</f>
        <v>243.13</v>
      </c>
      <c r="F78" s="2" t="n">
        <f aca="false">IFERROR(__xludf.dummyfunction("""COMPUTED_VALUE"""),28413889)</f>
        <v>28413889</v>
      </c>
    </row>
    <row r="79" customFormat="false" ht="15.75" hidden="false" customHeight="false" outlineLevel="0" collapsed="false">
      <c r="A79" s="3" t="n">
        <f aca="false">IFERROR(__xludf.dummyfunction("""COMPUTED_VALUE"""),44312.6666666667)</f>
        <v>44312.6666666667</v>
      </c>
      <c r="B79" s="2" t="n">
        <f aca="false">IFERROR(__xludf.dummyfunction("""COMPUTED_VALUE"""),247)</f>
        <v>247</v>
      </c>
      <c r="C79" s="2" t="n">
        <f aca="false">IFERROR(__xludf.dummyfunction("""COMPUTED_VALUE"""),249.77)</f>
        <v>249.77</v>
      </c>
      <c r="D79" s="2" t="n">
        <f aca="false">IFERROR(__xludf.dummyfunction("""COMPUTED_VALUE"""),244.2)</f>
        <v>244.2</v>
      </c>
      <c r="E79" s="2" t="n">
        <f aca="false">IFERROR(__xludf.dummyfunction("""COMPUTED_VALUE"""),246.07)</f>
        <v>246.07</v>
      </c>
      <c r="F79" s="2" t="n">
        <f aca="false">IFERROR(__xludf.dummyfunction("""COMPUTED_VALUE"""),31038502)</f>
        <v>31038502</v>
      </c>
    </row>
    <row r="80" customFormat="false" ht="15.75" hidden="false" customHeight="false" outlineLevel="0" collapsed="false">
      <c r="A80" s="3" t="n">
        <f aca="false">IFERROR(__xludf.dummyfunction("""COMPUTED_VALUE"""),44313.6666666667)</f>
        <v>44313.6666666667</v>
      </c>
      <c r="B80" s="2" t="n">
        <f aca="false">IFERROR(__xludf.dummyfunction("""COMPUTED_VALUE"""),239.32)</f>
        <v>239.32</v>
      </c>
      <c r="C80" s="2" t="n">
        <f aca="false">IFERROR(__xludf.dummyfunction("""COMPUTED_VALUE"""),241.33)</f>
        <v>241.33</v>
      </c>
      <c r="D80" s="2" t="n">
        <f aca="false">IFERROR(__xludf.dummyfunction("""COMPUTED_VALUE"""),234.45)</f>
        <v>234.45</v>
      </c>
      <c r="E80" s="2" t="n">
        <f aca="false">IFERROR(__xludf.dummyfunction("""COMPUTED_VALUE"""),234.91)</f>
        <v>234.91</v>
      </c>
      <c r="F80" s="2" t="n">
        <f aca="false">IFERROR(__xludf.dummyfunction("""COMPUTED_VALUE"""),29436995)</f>
        <v>29436995</v>
      </c>
    </row>
    <row r="81" customFormat="false" ht="15.75" hidden="false" customHeight="false" outlineLevel="0" collapsed="false">
      <c r="A81" s="3" t="n">
        <f aca="false">IFERROR(__xludf.dummyfunction("""COMPUTED_VALUE"""),44314.6666666667)</f>
        <v>44314.6666666667</v>
      </c>
      <c r="B81" s="2" t="n">
        <f aca="false">IFERROR(__xludf.dummyfunction("""COMPUTED_VALUE"""),232.14)</f>
        <v>232.14</v>
      </c>
      <c r="C81" s="2" t="n">
        <f aca="false">IFERROR(__xludf.dummyfunction("""COMPUTED_VALUE"""),236.17)</f>
        <v>236.17</v>
      </c>
      <c r="D81" s="2" t="n">
        <f aca="false">IFERROR(__xludf.dummyfunction("""COMPUTED_VALUE"""),231.2)</f>
        <v>231.2</v>
      </c>
      <c r="E81" s="2" t="n">
        <f aca="false">IFERROR(__xludf.dummyfunction("""COMPUTED_VALUE"""),231.47)</f>
        <v>231.47</v>
      </c>
      <c r="F81" s="2" t="n">
        <f aca="false">IFERROR(__xludf.dummyfunction("""COMPUTED_VALUE"""),22271047)</f>
        <v>22271047</v>
      </c>
    </row>
    <row r="82" customFormat="false" ht="15.75" hidden="false" customHeight="false" outlineLevel="0" collapsed="false">
      <c r="A82" s="3" t="n">
        <f aca="false">IFERROR(__xludf.dummyfunction("""COMPUTED_VALUE"""),44315.6666666667)</f>
        <v>44315.6666666667</v>
      </c>
      <c r="B82" s="2" t="n">
        <f aca="false">IFERROR(__xludf.dummyfunction("""COMPUTED_VALUE"""),233.17)</f>
        <v>233.17</v>
      </c>
      <c r="C82" s="2" t="n">
        <f aca="false">IFERROR(__xludf.dummyfunction("""COMPUTED_VALUE"""),234.08)</f>
        <v>234.08</v>
      </c>
      <c r="D82" s="2" t="n">
        <f aca="false">IFERROR(__xludf.dummyfunction("""COMPUTED_VALUE"""),222.83)</f>
        <v>222.83</v>
      </c>
      <c r="E82" s="2" t="n">
        <f aca="false">IFERROR(__xludf.dummyfunction("""COMPUTED_VALUE"""),225.67)</f>
        <v>225.67</v>
      </c>
      <c r="F82" s="2" t="n">
        <f aca="false">IFERROR(__xludf.dummyfunction("""COMPUTED_VALUE"""),28845449)</f>
        <v>28845449</v>
      </c>
    </row>
    <row r="83" customFormat="false" ht="15.75" hidden="false" customHeight="false" outlineLevel="0" collapsed="false">
      <c r="A83" s="3" t="n">
        <f aca="false">IFERROR(__xludf.dummyfunction("""COMPUTED_VALUE"""),44316.6666666667)</f>
        <v>44316.6666666667</v>
      </c>
      <c r="B83" s="2" t="n">
        <f aca="false">IFERROR(__xludf.dummyfunction("""COMPUTED_VALUE"""),222.53)</f>
        <v>222.53</v>
      </c>
      <c r="C83" s="2" t="n">
        <f aca="false">IFERROR(__xludf.dummyfunction("""COMPUTED_VALUE"""),238.49)</f>
        <v>238.49</v>
      </c>
      <c r="D83" s="2" t="n">
        <f aca="false">IFERROR(__xludf.dummyfunction("""COMPUTED_VALUE"""),222.05)</f>
        <v>222.05</v>
      </c>
      <c r="E83" s="2" t="n">
        <f aca="false">IFERROR(__xludf.dummyfunction("""COMPUTED_VALUE"""),236.48)</f>
        <v>236.48</v>
      </c>
      <c r="F83" s="2" t="n">
        <f aca="false">IFERROR(__xludf.dummyfunction("""COMPUTED_VALUE"""),40758722)</f>
        <v>40758722</v>
      </c>
    </row>
    <row r="84" customFormat="false" ht="15.75" hidden="false" customHeight="false" outlineLevel="0" collapsed="false">
      <c r="A84" s="3" t="n">
        <f aca="false">IFERROR(__xludf.dummyfunction("""COMPUTED_VALUE"""),44319.6666666667)</f>
        <v>44319.6666666667</v>
      </c>
      <c r="B84" s="2" t="n">
        <f aca="false">IFERROR(__xludf.dummyfunction("""COMPUTED_VALUE"""),234.6)</f>
        <v>234.6</v>
      </c>
      <c r="C84" s="2" t="n">
        <f aca="false">IFERROR(__xludf.dummyfunction("""COMPUTED_VALUE"""),235.33)</f>
        <v>235.33</v>
      </c>
      <c r="D84" s="2" t="n">
        <f aca="false">IFERROR(__xludf.dummyfunction("""COMPUTED_VALUE"""),226.83)</f>
        <v>226.83</v>
      </c>
      <c r="E84" s="2" t="n">
        <f aca="false">IFERROR(__xludf.dummyfunction("""COMPUTED_VALUE"""),228.3)</f>
        <v>228.3</v>
      </c>
      <c r="F84" s="2" t="n">
        <f aca="false">IFERROR(__xludf.dummyfunction("""COMPUTED_VALUE"""),27043143)</f>
        <v>27043143</v>
      </c>
    </row>
    <row r="85" customFormat="false" ht="15.75" hidden="false" customHeight="false" outlineLevel="0" collapsed="false">
      <c r="A85" s="3" t="n">
        <f aca="false">IFERROR(__xludf.dummyfunction("""COMPUTED_VALUE"""),44320.6666666667)</f>
        <v>44320.6666666667</v>
      </c>
      <c r="B85" s="2" t="n">
        <f aca="false">IFERROR(__xludf.dummyfunction("""COMPUTED_VALUE"""),226.31)</f>
        <v>226.31</v>
      </c>
      <c r="C85" s="2" t="n">
        <f aca="false">IFERROR(__xludf.dummyfunction("""COMPUTED_VALUE"""),227.82)</f>
        <v>227.82</v>
      </c>
      <c r="D85" s="2" t="n">
        <f aca="false">IFERROR(__xludf.dummyfunction("""COMPUTED_VALUE"""),219.23)</f>
        <v>219.23</v>
      </c>
      <c r="E85" s="2" t="n">
        <f aca="false">IFERROR(__xludf.dummyfunction("""COMPUTED_VALUE"""),224.53)</f>
        <v>224.53</v>
      </c>
      <c r="F85" s="2" t="n">
        <f aca="false">IFERROR(__xludf.dummyfunction("""COMPUTED_VALUE"""),29739319)</f>
        <v>29739319</v>
      </c>
    </row>
    <row r="86" customFormat="false" ht="15.75" hidden="false" customHeight="false" outlineLevel="0" collapsed="false">
      <c r="A86" s="3" t="n">
        <f aca="false">IFERROR(__xludf.dummyfunction("""COMPUTED_VALUE"""),44321.6666666667)</f>
        <v>44321.6666666667</v>
      </c>
      <c r="B86" s="2" t="n">
        <f aca="false">IFERROR(__xludf.dummyfunction("""COMPUTED_VALUE"""),227.02)</f>
        <v>227.02</v>
      </c>
      <c r="C86" s="2" t="n">
        <f aca="false">IFERROR(__xludf.dummyfunction("""COMPUTED_VALUE"""),228.43)</f>
        <v>228.43</v>
      </c>
      <c r="D86" s="2" t="n">
        <f aca="false">IFERROR(__xludf.dummyfunction("""COMPUTED_VALUE"""),222.45)</f>
        <v>222.45</v>
      </c>
      <c r="E86" s="2" t="n">
        <f aca="false">IFERROR(__xludf.dummyfunction("""COMPUTED_VALUE"""),223.65)</f>
        <v>223.65</v>
      </c>
      <c r="F86" s="2" t="n">
        <f aca="false">IFERROR(__xludf.dummyfunction("""COMPUTED_VALUE"""),21901894)</f>
        <v>21901894</v>
      </c>
    </row>
    <row r="87" customFormat="false" ht="15.75" hidden="false" customHeight="false" outlineLevel="0" collapsed="false">
      <c r="A87" s="3" t="n">
        <f aca="false">IFERROR(__xludf.dummyfunction("""COMPUTED_VALUE"""),44322.6666666667)</f>
        <v>44322.6666666667</v>
      </c>
      <c r="B87" s="2" t="n">
        <f aca="false">IFERROR(__xludf.dummyfunction("""COMPUTED_VALUE"""),226.92)</f>
        <v>226.92</v>
      </c>
      <c r="C87" s="2" t="n">
        <f aca="false">IFERROR(__xludf.dummyfunction("""COMPUTED_VALUE"""),227.01)</f>
        <v>227.01</v>
      </c>
      <c r="D87" s="2" t="n">
        <f aca="false">IFERROR(__xludf.dummyfunction("""COMPUTED_VALUE"""),216.67)</f>
        <v>216.67</v>
      </c>
      <c r="E87" s="2" t="n">
        <f aca="false">IFERROR(__xludf.dummyfunction("""COMPUTED_VALUE"""),221.18)</f>
        <v>221.18</v>
      </c>
      <c r="F87" s="2" t="n">
        <f aca="false">IFERROR(__xludf.dummyfunction("""COMPUTED_VALUE"""),27784619)</f>
        <v>27784619</v>
      </c>
    </row>
    <row r="88" customFormat="false" ht="15.75" hidden="false" customHeight="false" outlineLevel="0" collapsed="false">
      <c r="A88" s="3" t="n">
        <f aca="false">IFERROR(__xludf.dummyfunction("""COMPUTED_VALUE"""),44323.6666666667)</f>
        <v>44323.6666666667</v>
      </c>
      <c r="B88" s="2" t="n">
        <f aca="false">IFERROR(__xludf.dummyfunction("""COMPUTED_VALUE"""),221.93)</f>
        <v>221.93</v>
      </c>
      <c r="C88" s="2" t="n">
        <f aca="false">IFERROR(__xludf.dummyfunction("""COMPUTED_VALUE"""),230)</f>
        <v>230</v>
      </c>
      <c r="D88" s="2" t="n">
        <f aca="false">IFERROR(__xludf.dummyfunction("""COMPUTED_VALUE"""),220.07)</f>
        <v>220.07</v>
      </c>
      <c r="E88" s="2" t="n">
        <f aca="false">IFERROR(__xludf.dummyfunction("""COMPUTED_VALUE"""),224.12)</f>
        <v>224.12</v>
      </c>
      <c r="F88" s="2" t="n">
        <f aca="false">IFERROR(__xludf.dummyfunction("""COMPUTED_VALUE"""),23469172)</f>
        <v>23469172</v>
      </c>
    </row>
    <row r="89" customFormat="false" ht="15.75" hidden="false" customHeight="false" outlineLevel="0" collapsed="false">
      <c r="A89" s="3" t="n">
        <f aca="false">IFERROR(__xludf.dummyfunction("""COMPUTED_VALUE"""),44326.6666666667)</f>
        <v>44326.6666666667</v>
      </c>
      <c r="B89" s="2" t="n">
        <f aca="false">IFERROR(__xludf.dummyfunction("""COMPUTED_VALUE"""),221.63)</f>
        <v>221.63</v>
      </c>
      <c r="C89" s="2" t="n">
        <f aca="false">IFERROR(__xludf.dummyfunction("""COMPUTED_VALUE"""),221.68)</f>
        <v>221.68</v>
      </c>
      <c r="D89" s="2" t="n">
        <f aca="false">IFERROR(__xludf.dummyfunction("""COMPUTED_VALUE"""),209.2)</f>
        <v>209.2</v>
      </c>
      <c r="E89" s="2" t="n">
        <f aca="false">IFERROR(__xludf.dummyfunction("""COMPUTED_VALUE"""),209.68)</f>
        <v>209.68</v>
      </c>
      <c r="F89" s="2" t="n">
        <f aca="false">IFERROR(__xludf.dummyfunction("""COMPUTED_VALUE"""),31392417)</f>
        <v>31392417</v>
      </c>
    </row>
    <row r="90" customFormat="false" ht="15.75" hidden="false" customHeight="false" outlineLevel="0" collapsed="false">
      <c r="A90" s="3" t="n">
        <f aca="false">IFERROR(__xludf.dummyfunction("""COMPUTED_VALUE"""),44327.6666666667)</f>
        <v>44327.6666666667</v>
      </c>
      <c r="B90" s="2" t="n">
        <f aca="false">IFERROR(__xludf.dummyfunction("""COMPUTED_VALUE"""),199.75)</f>
        <v>199.75</v>
      </c>
      <c r="C90" s="2" t="n">
        <f aca="false">IFERROR(__xludf.dummyfunction("""COMPUTED_VALUE"""),209.03)</f>
        <v>209.03</v>
      </c>
      <c r="D90" s="2" t="n">
        <f aca="false">IFERROR(__xludf.dummyfunction("""COMPUTED_VALUE"""),198.53)</f>
        <v>198.53</v>
      </c>
      <c r="E90" s="2" t="n">
        <f aca="false">IFERROR(__xludf.dummyfunction("""COMPUTED_VALUE"""),205.73)</f>
        <v>205.73</v>
      </c>
      <c r="F90" s="2" t="n">
        <f aca="false">IFERROR(__xludf.dummyfunction("""COMPUTED_VALUE"""),46503896)</f>
        <v>46503896</v>
      </c>
    </row>
    <row r="91" customFormat="false" ht="15.75" hidden="false" customHeight="false" outlineLevel="0" collapsed="false">
      <c r="A91" s="3" t="n">
        <f aca="false">IFERROR(__xludf.dummyfunction("""COMPUTED_VALUE"""),44328.6666666667)</f>
        <v>44328.6666666667</v>
      </c>
      <c r="B91" s="2" t="n">
        <f aca="false">IFERROR(__xludf.dummyfunction("""COMPUTED_VALUE"""),200.83)</f>
        <v>200.83</v>
      </c>
      <c r="C91" s="2" t="n">
        <f aca="false">IFERROR(__xludf.dummyfunction("""COMPUTED_VALUE"""),206.8)</f>
        <v>206.8</v>
      </c>
      <c r="D91" s="2" t="n">
        <f aca="false">IFERROR(__xludf.dummyfunction("""COMPUTED_VALUE"""),195.59)</f>
        <v>195.59</v>
      </c>
      <c r="E91" s="2" t="n">
        <f aca="false">IFERROR(__xludf.dummyfunction("""COMPUTED_VALUE"""),196.63)</f>
        <v>196.63</v>
      </c>
      <c r="F91" s="2" t="n">
        <f aca="false">IFERROR(__xludf.dummyfunction("""COMPUTED_VALUE"""),33823646)</f>
        <v>33823646</v>
      </c>
    </row>
    <row r="92" customFormat="false" ht="15.75" hidden="false" customHeight="false" outlineLevel="0" collapsed="false">
      <c r="A92" s="3" t="n">
        <f aca="false">IFERROR(__xludf.dummyfunction("""COMPUTED_VALUE"""),44329.6666666667)</f>
        <v>44329.6666666667</v>
      </c>
      <c r="B92" s="2" t="n">
        <f aca="false">IFERROR(__xludf.dummyfunction("""COMPUTED_VALUE"""),200.52)</f>
        <v>200.52</v>
      </c>
      <c r="C92" s="2" t="n">
        <f aca="false">IFERROR(__xludf.dummyfunction("""COMPUTED_VALUE"""),202.15)</f>
        <v>202.15</v>
      </c>
      <c r="D92" s="2" t="n">
        <f aca="false">IFERROR(__xludf.dummyfunction("""COMPUTED_VALUE"""),186.55)</f>
        <v>186.55</v>
      </c>
      <c r="E92" s="2" t="n">
        <f aca="false">IFERROR(__xludf.dummyfunction("""COMPUTED_VALUE"""),190.56)</f>
        <v>190.56</v>
      </c>
      <c r="F92" s="2" t="n">
        <f aca="false">IFERROR(__xludf.dummyfunction("""COMPUTED_VALUE"""),44184916)</f>
        <v>44184916</v>
      </c>
    </row>
    <row r="93" customFormat="false" ht="15.75" hidden="false" customHeight="false" outlineLevel="0" collapsed="false">
      <c r="A93" s="3" t="n">
        <f aca="false">IFERROR(__xludf.dummyfunction("""COMPUTED_VALUE"""),44330.6666666667)</f>
        <v>44330.6666666667</v>
      </c>
      <c r="B93" s="2" t="n">
        <f aca="false">IFERROR(__xludf.dummyfunction("""COMPUTED_VALUE"""),194.47)</f>
        <v>194.47</v>
      </c>
      <c r="C93" s="2" t="n">
        <f aca="false">IFERROR(__xludf.dummyfunction("""COMPUTED_VALUE"""),197.62)</f>
        <v>197.62</v>
      </c>
      <c r="D93" s="2" t="n">
        <f aca="false">IFERROR(__xludf.dummyfunction("""COMPUTED_VALUE"""),190.15)</f>
        <v>190.15</v>
      </c>
      <c r="E93" s="2" t="n">
        <f aca="false">IFERROR(__xludf.dummyfunction("""COMPUTED_VALUE"""),196.58)</f>
        <v>196.58</v>
      </c>
      <c r="F93" s="2" t="n">
        <f aca="false">IFERROR(__xludf.dummyfunction("""COMPUTED_VALUE"""),33370856)</f>
        <v>33370856</v>
      </c>
    </row>
    <row r="94" customFormat="false" ht="15.75" hidden="false" customHeight="false" outlineLevel="0" collapsed="false">
      <c r="A94" s="3" t="n">
        <f aca="false">IFERROR(__xludf.dummyfunction("""COMPUTED_VALUE"""),44333.6666666667)</f>
        <v>44333.6666666667</v>
      </c>
      <c r="B94" s="2" t="n">
        <f aca="false">IFERROR(__xludf.dummyfunction("""COMPUTED_VALUE"""),191.85)</f>
        <v>191.85</v>
      </c>
      <c r="C94" s="2" t="n">
        <f aca="false">IFERROR(__xludf.dummyfunction("""COMPUTED_VALUE"""),196.58)</f>
        <v>196.58</v>
      </c>
      <c r="D94" s="2" t="n">
        <f aca="false">IFERROR(__xludf.dummyfunction("""COMPUTED_VALUE"""),187.07)</f>
        <v>187.07</v>
      </c>
      <c r="E94" s="2" t="n">
        <f aca="false">IFERROR(__xludf.dummyfunction("""COMPUTED_VALUE"""),192.28)</f>
        <v>192.28</v>
      </c>
      <c r="F94" s="2" t="n">
        <f aca="false">IFERROR(__xludf.dummyfunction("""COMPUTED_VALUE"""),32390360)</f>
        <v>32390360</v>
      </c>
    </row>
    <row r="95" customFormat="false" ht="15.75" hidden="false" customHeight="false" outlineLevel="0" collapsed="false">
      <c r="A95" s="3" t="n">
        <f aca="false">IFERROR(__xludf.dummyfunction("""COMPUTED_VALUE"""),44334.6666666667)</f>
        <v>44334.6666666667</v>
      </c>
      <c r="B95" s="2" t="n">
        <f aca="false">IFERROR(__xludf.dummyfunction("""COMPUTED_VALUE"""),189.33)</f>
        <v>189.33</v>
      </c>
      <c r="C95" s="2" t="n">
        <f aca="false">IFERROR(__xludf.dummyfunction("""COMPUTED_VALUE"""),198.75)</f>
        <v>198.75</v>
      </c>
      <c r="D95" s="2" t="n">
        <f aca="false">IFERROR(__xludf.dummyfunction("""COMPUTED_VALUE"""),187.79)</f>
        <v>187.79</v>
      </c>
      <c r="E95" s="2" t="n">
        <f aca="false">IFERROR(__xludf.dummyfunction("""COMPUTED_VALUE"""),192.62)</f>
        <v>192.62</v>
      </c>
      <c r="F95" s="2" t="n">
        <f aca="false">IFERROR(__xludf.dummyfunction("""COMPUTED_VALUE"""),36830567)</f>
        <v>36830567</v>
      </c>
    </row>
    <row r="96" customFormat="false" ht="15.75" hidden="false" customHeight="false" outlineLevel="0" collapsed="false">
      <c r="A96" s="3" t="n">
        <f aca="false">IFERROR(__xludf.dummyfunction("""COMPUTED_VALUE"""),44335.6666666667)</f>
        <v>44335.6666666667</v>
      </c>
      <c r="B96" s="2" t="n">
        <f aca="false">IFERROR(__xludf.dummyfunction("""COMPUTED_VALUE"""),184.18)</f>
        <v>184.18</v>
      </c>
      <c r="C96" s="2" t="n">
        <f aca="false">IFERROR(__xludf.dummyfunction("""COMPUTED_VALUE"""),188.74)</f>
        <v>188.74</v>
      </c>
      <c r="D96" s="2" t="n">
        <f aca="false">IFERROR(__xludf.dummyfunction("""COMPUTED_VALUE"""),182.33)</f>
        <v>182.33</v>
      </c>
      <c r="E96" s="2" t="n">
        <f aca="false">IFERROR(__xludf.dummyfunction("""COMPUTED_VALUE"""),187.82)</f>
        <v>187.82</v>
      </c>
      <c r="F96" s="2" t="n">
        <f aca="false">IFERROR(__xludf.dummyfunction("""COMPUTED_VALUE"""),39578395)</f>
        <v>39578395</v>
      </c>
    </row>
    <row r="97" customFormat="false" ht="15.75" hidden="false" customHeight="false" outlineLevel="0" collapsed="false">
      <c r="A97" s="3" t="n">
        <f aca="false">IFERROR(__xludf.dummyfunction("""COMPUTED_VALUE"""),44336.6666666667)</f>
        <v>44336.6666666667</v>
      </c>
      <c r="B97" s="2" t="n">
        <f aca="false">IFERROR(__xludf.dummyfunction("""COMPUTED_VALUE"""),191.67)</f>
        <v>191.67</v>
      </c>
      <c r="C97" s="2" t="n">
        <f aca="false">IFERROR(__xludf.dummyfunction("""COMPUTED_VALUE"""),196.28)</f>
        <v>196.28</v>
      </c>
      <c r="D97" s="2" t="n">
        <f aca="false">IFERROR(__xludf.dummyfunction("""COMPUTED_VALUE"""),190.36)</f>
        <v>190.36</v>
      </c>
      <c r="E97" s="2" t="n">
        <f aca="false">IFERROR(__xludf.dummyfunction("""COMPUTED_VALUE"""),195.59)</f>
        <v>195.59</v>
      </c>
      <c r="F97" s="2" t="n">
        <f aca="false">IFERROR(__xludf.dummyfunction("""COMPUTED_VALUE"""),30821119)</f>
        <v>30821119</v>
      </c>
    </row>
    <row r="98" customFormat="false" ht="15.75" hidden="false" customHeight="false" outlineLevel="0" collapsed="false">
      <c r="A98" s="3" t="n">
        <f aca="false">IFERROR(__xludf.dummyfunction("""COMPUTED_VALUE"""),44337.6666666667)</f>
        <v>44337.6666666667</v>
      </c>
      <c r="B98" s="2" t="n">
        <f aca="false">IFERROR(__xludf.dummyfunction("""COMPUTED_VALUE"""),198.7)</f>
        <v>198.7</v>
      </c>
      <c r="C98" s="2" t="n">
        <f aca="false">IFERROR(__xludf.dummyfunction("""COMPUTED_VALUE"""),198.89)</f>
        <v>198.89</v>
      </c>
      <c r="D98" s="2" t="n">
        <f aca="false">IFERROR(__xludf.dummyfunction("""COMPUTED_VALUE"""),193.33)</f>
        <v>193.33</v>
      </c>
      <c r="E98" s="2" t="n">
        <f aca="false">IFERROR(__xludf.dummyfunction("""COMPUTED_VALUE"""),193.63)</f>
        <v>193.63</v>
      </c>
      <c r="F98" s="2" t="n">
        <f aca="false">IFERROR(__xludf.dummyfunction("""COMPUTED_VALUE"""),26030595)</f>
        <v>26030595</v>
      </c>
    </row>
    <row r="99" customFormat="false" ht="15.75" hidden="false" customHeight="false" outlineLevel="0" collapsed="false">
      <c r="A99" s="3" t="n">
        <f aca="false">IFERROR(__xludf.dummyfunction("""COMPUTED_VALUE"""),44340.6666666667)</f>
        <v>44340.6666666667</v>
      </c>
      <c r="B99" s="2" t="n">
        <f aca="false">IFERROR(__xludf.dummyfunction("""COMPUTED_VALUE"""),193.87)</f>
        <v>193.87</v>
      </c>
      <c r="C99" s="2" t="n">
        <f aca="false">IFERROR(__xludf.dummyfunction("""COMPUTED_VALUE"""),204.83)</f>
        <v>204.83</v>
      </c>
      <c r="D99" s="2" t="n">
        <f aca="false">IFERROR(__xludf.dummyfunction("""COMPUTED_VALUE"""),191.22)</f>
        <v>191.22</v>
      </c>
      <c r="E99" s="2" t="n">
        <f aca="false">IFERROR(__xludf.dummyfunction("""COMPUTED_VALUE"""),202.15)</f>
        <v>202.15</v>
      </c>
      <c r="F99" s="2" t="n">
        <f aca="false">IFERROR(__xludf.dummyfunction("""COMPUTED_VALUE"""),34558089)</f>
        <v>34558089</v>
      </c>
    </row>
    <row r="100" customFormat="false" ht="15.75" hidden="false" customHeight="false" outlineLevel="0" collapsed="false">
      <c r="A100" s="3" t="n">
        <f aca="false">IFERROR(__xludf.dummyfunction("""COMPUTED_VALUE"""),44341.6666666667)</f>
        <v>44341.6666666667</v>
      </c>
      <c r="B100" s="2" t="n">
        <f aca="false">IFERROR(__xludf.dummyfunction("""COMPUTED_VALUE"""),202.44)</f>
        <v>202.44</v>
      </c>
      <c r="C100" s="2" t="n">
        <f aca="false">IFERROR(__xludf.dummyfunction("""COMPUTED_VALUE"""),204.66)</f>
        <v>204.66</v>
      </c>
      <c r="D100" s="2" t="n">
        <f aca="false">IFERROR(__xludf.dummyfunction("""COMPUTED_VALUE"""),198.57)</f>
        <v>198.57</v>
      </c>
      <c r="E100" s="2" t="n">
        <f aca="false">IFERROR(__xludf.dummyfunction("""COMPUTED_VALUE"""),201.56)</f>
        <v>201.56</v>
      </c>
      <c r="F100" s="2" t="n">
        <f aca="false">IFERROR(__xludf.dummyfunction("""COMPUTED_VALUE"""),28005933)</f>
        <v>28005933</v>
      </c>
    </row>
    <row r="101" customFormat="false" ht="15.75" hidden="false" customHeight="false" outlineLevel="0" collapsed="false">
      <c r="A101" s="3" t="n">
        <f aca="false">IFERROR(__xludf.dummyfunction("""COMPUTED_VALUE"""),44342.6666666667)</f>
        <v>44342.6666666667</v>
      </c>
      <c r="B101" s="2" t="n">
        <f aca="false">IFERROR(__xludf.dummyfunction("""COMPUTED_VALUE"""),202.52)</f>
        <v>202.52</v>
      </c>
      <c r="C101" s="2" t="n">
        <f aca="false">IFERROR(__xludf.dummyfunction("""COMPUTED_VALUE"""),208.72)</f>
        <v>208.72</v>
      </c>
      <c r="D101" s="2" t="n">
        <f aca="false">IFERROR(__xludf.dummyfunction("""COMPUTED_VALUE"""),200.5)</f>
        <v>200.5</v>
      </c>
      <c r="E101" s="2" t="n">
        <f aca="false">IFERROR(__xludf.dummyfunction("""COMPUTED_VALUE"""),206.38)</f>
        <v>206.38</v>
      </c>
      <c r="F101" s="2" t="n">
        <f aca="false">IFERROR(__xludf.dummyfunction("""COMPUTED_VALUE"""),28639305)</f>
        <v>28639305</v>
      </c>
    </row>
    <row r="102" customFormat="false" ht="15.75" hidden="false" customHeight="false" outlineLevel="0" collapsed="false">
      <c r="A102" s="3" t="n">
        <f aca="false">IFERROR(__xludf.dummyfunction("""COMPUTED_VALUE"""),44343.6666666667)</f>
        <v>44343.6666666667</v>
      </c>
      <c r="B102" s="2" t="n">
        <f aca="false">IFERROR(__xludf.dummyfunction("""COMPUTED_VALUE"""),206.75)</f>
        <v>206.75</v>
      </c>
      <c r="C102" s="2" t="n">
        <f aca="false">IFERROR(__xludf.dummyfunction("""COMPUTED_VALUE"""),210.38)</f>
        <v>210.38</v>
      </c>
      <c r="D102" s="2" t="n">
        <f aca="false">IFERROR(__xludf.dummyfunction("""COMPUTED_VALUE"""),205.4)</f>
        <v>205.4</v>
      </c>
      <c r="E102" s="2" t="n">
        <f aca="false">IFERROR(__xludf.dummyfunction("""COMPUTED_VALUE"""),210.28)</f>
        <v>210.28</v>
      </c>
      <c r="F102" s="2" t="n">
        <f aca="false">IFERROR(__xludf.dummyfunction("""COMPUTED_VALUE"""),26370593)</f>
        <v>26370593</v>
      </c>
    </row>
    <row r="103" customFormat="false" ht="15.75" hidden="false" customHeight="false" outlineLevel="0" collapsed="false">
      <c r="A103" s="3" t="n">
        <f aca="false">IFERROR(__xludf.dummyfunction("""COMPUTED_VALUE"""),44344.6666666667)</f>
        <v>44344.6666666667</v>
      </c>
      <c r="B103" s="2" t="n">
        <f aca="false">IFERROR(__xludf.dummyfunction("""COMPUTED_VALUE"""),209.5)</f>
        <v>209.5</v>
      </c>
      <c r="C103" s="2" t="n">
        <f aca="false">IFERROR(__xludf.dummyfunction("""COMPUTED_VALUE"""),211.86)</f>
        <v>211.86</v>
      </c>
      <c r="D103" s="2" t="n">
        <f aca="false">IFERROR(__xludf.dummyfunction("""COMPUTED_VALUE"""),207.46)</f>
        <v>207.46</v>
      </c>
      <c r="E103" s="2" t="n">
        <f aca="false">IFERROR(__xludf.dummyfunction("""COMPUTED_VALUE"""),208.41)</f>
        <v>208.41</v>
      </c>
      <c r="F103" s="2" t="n">
        <f aca="false">IFERROR(__xludf.dummyfunction("""COMPUTED_VALUE"""),22737038)</f>
        <v>22737038</v>
      </c>
    </row>
    <row r="104" customFormat="false" ht="15.75" hidden="false" customHeight="false" outlineLevel="0" collapsed="false">
      <c r="A104" s="3" t="n">
        <f aca="false">IFERROR(__xludf.dummyfunction("""COMPUTED_VALUE"""),44348.6666666667)</f>
        <v>44348.6666666667</v>
      </c>
      <c r="B104" s="2" t="n">
        <f aca="false">IFERROR(__xludf.dummyfunction("""COMPUTED_VALUE"""),209.27)</f>
        <v>209.27</v>
      </c>
      <c r="C104" s="2" t="n">
        <f aca="false">IFERROR(__xludf.dummyfunction("""COMPUTED_VALUE"""),211.27)</f>
        <v>211.27</v>
      </c>
      <c r="D104" s="2" t="n">
        <f aca="false">IFERROR(__xludf.dummyfunction("""COMPUTED_VALUE"""),206.85)</f>
        <v>206.85</v>
      </c>
      <c r="E104" s="2" t="n">
        <f aca="false">IFERROR(__xludf.dummyfunction("""COMPUTED_VALUE"""),207.97)</f>
        <v>207.97</v>
      </c>
      <c r="F104" s="2" t="n">
        <f aca="false">IFERROR(__xludf.dummyfunction("""COMPUTED_VALUE"""),18084890)</f>
        <v>18084890</v>
      </c>
    </row>
    <row r="105" customFormat="false" ht="15.75" hidden="false" customHeight="false" outlineLevel="0" collapsed="false">
      <c r="A105" s="3" t="n">
        <f aca="false">IFERROR(__xludf.dummyfunction("""COMPUTED_VALUE"""),44349.6666666667)</f>
        <v>44349.6666666667</v>
      </c>
      <c r="B105" s="2" t="n">
        <f aca="false">IFERROR(__xludf.dummyfunction("""COMPUTED_VALUE"""),206.71)</f>
        <v>206.71</v>
      </c>
      <c r="C105" s="2" t="n">
        <f aca="false">IFERROR(__xludf.dummyfunction("""COMPUTED_VALUE"""),207.79)</f>
        <v>207.79</v>
      </c>
      <c r="D105" s="2" t="n">
        <f aca="false">IFERROR(__xludf.dummyfunction("""COMPUTED_VALUE"""),199.71)</f>
        <v>199.71</v>
      </c>
      <c r="E105" s="2" t="n">
        <f aca="false">IFERROR(__xludf.dummyfunction("""COMPUTED_VALUE"""),201.71)</f>
        <v>201.71</v>
      </c>
      <c r="F105" s="2" t="n">
        <f aca="false">IFERROR(__xludf.dummyfunction("""COMPUTED_VALUE"""),23302779)</f>
        <v>23302779</v>
      </c>
    </row>
    <row r="106" customFormat="false" ht="15.75" hidden="false" customHeight="false" outlineLevel="0" collapsed="false">
      <c r="A106" s="3" t="n">
        <f aca="false">IFERROR(__xludf.dummyfunction("""COMPUTED_VALUE"""),44350.6666666667)</f>
        <v>44350.6666666667</v>
      </c>
      <c r="B106" s="2" t="n">
        <f aca="false">IFERROR(__xludf.dummyfunction("""COMPUTED_VALUE"""),200.6)</f>
        <v>200.6</v>
      </c>
      <c r="C106" s="2" t="n">
        <f aca="false">IFERROR(__xludf.dummyfunction("""COMPUTED_VALUE"""),201.52)</f>
        <v>201.52</v>
      </c>
      <c r="D106" s="2" t="n">
        <f aca="false">IFERROR(__xludf.dummyfunction("""COMPUTED_VALUE"""),190.41)</f>
        <v>190.41</v>
      </c>
      <c r="E106" s="2" t="n">
        <f aca="false">IFERROR(__xludf.dummyfunction("""COMPUTED_VALUE"""),190.95)</f>
        <v>190.95</v>
      </c>
      <c r="F106" s="2" t="n">
        <f aca="false">IFERROR(__xludf.dummyfunction("""COMPUTED_VALUE"""),30111893)</f>
        <v>30111893</v>
      </c>
    </row>
    <row r="107" customFormat="false" ht="15.75" hidden="false" customHeight="false" outlineLevel="0" collapsed="false">
      <c r="A107" s="3" t="n">
        <f aca="false">IFERROR(__xludf.dummyfunction("""COMPUTED_VALUE"""),44351.6666666667)</f>
        <v>44351.6666666667</v>
      </c>
      <c r="B107" s="2" t="n">
        <f aca="false">IFERROR(__xludf.dummyfunction("""COMPUTED_VALUE"""),193.24)</f>
        <v>193.24</v>
      </c>
      <c r="C107" s="2" t="n">
        <f aca="false">IFERROR(__xludf.dummyfunction("""COMPUTED_VALUE"""),200.2)</f>
        <v>200.2</v>
      </c>
      <c r="D107" s="2" t="n">
        <f aca="false">IFERROR(__xludf.dummyfunction("""COMPUTED_VALUE"""),192.4)</f>
        <v>192.4</v>
      </c>
      <c r="E107" s="2" t="n">
        <f aca="false">IFERROR(__xludf.dummyfunction("""COMPUTED_VALUE"""),199.68)</f>
        <v>199.68</v>
      </c>
      <c r="F107" s="2" t="n">
        <f aca="false">IFERROR(__xludf.dummyfunction("""COMPUTED_VALUE"""),24036896)</f>
        <v>24036896</v>
      </c>
    </row>
    <row r="108" customFormat="false" ht="15.75" hidden="false" customHeight="false" outlineLevel="0" collapsed="false">
      <c r="A108" s="3" t="n">
        <f aca="false">IFERROR(__xludf.dummyfunction("""COMPUTED_VALUE"""),44354.6666666667)</f>
        <v>44354.6666666667</v>
      </c>
      <c r="B108" s="2" t="n">
        <f aca="false">IFERROR(__xludf.dummyfunction("""COMPUTED_VALUE"""),197.28)</f>
        <v>197.28</v>
      </c>
      <c r="C108" s="2" t="n">
        <f aca="false">IFERROR(__xludf.dummyfunction("""COMPUTED_VALUE"""),203.33)</f>
        <v>203.33</v>
      </c>
      <c r="D108" s="2" t="n">
        <f aca="false">IFERROR(__xludf.dummyfunction("""COMPUTED_VALUE"""),194.29)</f>
        <v>194.29</v>
      </c>
      <c r="E108" s="2" t="n">
        <f aca="false">IFERROR(__xludf.dummyfunction("""COMPUTED_VALUE"""),201.71)</f>
        <v>201.71</v>
      </c>
      <c r="F108" s="2" t="n">
        <f aca="false">IFERROR(__xludf.dummyfunction("""COMPUTED_VALUE"""),22543682)</f>
        <v>22543682</v>
      </c>
    </row>
    <row r="109" customFormat="false" ht="15.75" hidden="false" customHeight="false" outlineLevel="0" collapsed="false">
      <c r="A109" s="3" t="n">
        <f aca="false">IFERROR(__xludf.dummyfunction("""COMPUTED_VALUE"""),44355.6666666667)</f>
        <v>44355.6666666667</v>
      </c>
      <c r="B109" s="2" t="n">
        <f aca="false">IFERROR(__xludf.dummyfunction("""COMPUTED_VALUE"""),207.67)</f>
        <v>207.67</v>
      </c>
      <c r="C109" s="2" t="n">
        <f aca="false">IFERROR(__xludf.dummyfunction("""COMPUTED_VALUE"""),207.7)</f>
        <v>207.7</v>
      </c>
      <c r="D109" s="2" t="n">
        <f aca="false">IFERROR(__xludf.dummyfunction("""COMPUTED_VALUE"""),198.5)</f>
        <v>198.5</v>
      </c>
      <c r="E109" s="2" t="n">
        <f aca="false">IFERROR(__xludf.dummyfunction("""COMPUTED_VALUE"""),201.2)</f>
        <v>201.2</v>
      </c>
      <c r="F109" s="2" t="n">
        <f aca="false">IFERROR(__xludf.dummyfunction("""COMPUTED_VALUE"""),26053405)</f>
        <v>26053405</v>
      </c>
    </row>
    <row r="110" customFormat="false" ht="15.75" hidden="false" customHeight="false" outlineLevel="0" collapsed="false">
      <c r="A110" s="3" t="n">
        <f aca="false">IFERROR(__xludf.dummyfunction("""COMPUTED_VALUE"""),44356.6666666667)</f>
        <v>44356.6666666667</v>
      </c>
      <c r="B110" s="2" t="n">
        <f aca="false">IFERROR(__xludf.dummyfunction("""COMPUTED_VALUE"""),200.72)</f>
        <v>200.72</v>
      </c>
      <c r="C110" s="2" t="n">
        <f aca="false">IFERROR(__xludf.dummyfunction("""COMPUTED_VALUE"""),203.93)</f>
        <v>203.93</v>
      </c>
      <c r="D110" s="2" t="n">
        <f aca="false">IFERROR(__xludf.dummyfunction("""COMPUTED_VALUE"""),199.21)</f>
        <v>199.21</v>
      </c>
      <c r="E110" s="2" t="n">
        <f aca="false">IFERROR(__xludf.dummyfunction("""COMPUTED_VALUE"""),199.59)</f>
        <v>199.59</v>
      </c>
      <c r="F110" s="2" t="n">
        <f aca="false">IFERROR(__xludf.dummyfunction("""COMPUTED_VALUE"""),16584566)</f>
        <v>16584566</v>
      </c>
    </row>
    <row r="111" customFormat="false" ht="15.75" hidden="false" customHeight="false" outlineLevel="0" collapsed="false">
      <c r="A111" s="3" t="n">
        <f aca="false">IFERROR(__xludf.dummyfunction("""COMPUTED_VALUE"""),44357.6666666667)</f>
        <v>44357.6666666667</v>
      </c>
      <c r="B111" s="2" t="n">
        <f aca="false">IFERROR(__xludf.dummyfunction("""COMPUTED_VALUE"""),201.29)</f>
        <v>201.29</v>
      </c>
      <c r="C111" s="2" t="n">
        <f aca="false">IFERROR(__xludf.dummyfunction("""COMPUTED_VALUE"""),205.53)</f>
        <v>205.53</v>
      </c>
      <c r="D111" s="2" t="n">
        <f aca="false">IFERROR(__xludf.dummyfunction("""COMPUTED_VALUE"""),200.17)</f>
        <v>200.17</v>
      </c>
      <c r="E111" s="2" t="n">
        <f aca="false">IFERROR(__xludf.dummyfunction("""COMPUTED_VALUE"""),203.37)</f>
        <v>203.37</v>
      </c>
      <c r="F111" s="2" t="n">
        <f aca="false">IFERROR(__xludf.dummyfunction("""COMPUTED_VALUE"""),23919606)</f>
        <v>23919606</v>
      </c>
    </row>
    <row r="112" customFormat="false" ht="15.75" hidden="false" customHeight="false" outlineLevel="0" collapsed="false">
      <c r="A112" s="3" t="n">
        <f aca="false">IFERROR(__xludf.dummyfunction("""COMPUTED_VALUE"""),44358.6666666667)</f>
        <v>44358.6666666667</v>
      </c>
      <c r="B112" s="2" t="n">
        <f aca="false">IFERROR(__xludf.dummyfunction("""COMPUTED_VALUE"""),203.41)</f>
        <v>203.41</v>
      </c>
      <c r="C112" s="2" t="n">
        <f aca="false">IFERROR(__xludf.dummyfunction("""COMPUTED_VALUE"""),204.19)</f>
        <v>204.19</v>
      </c>
      <c r="D112" s="2" t="n">
        <f aca="false">IFERROR(__xludf.dummyfunction("""COMPUTED_VALUE"""),200.51)</f>
        <v>200.51</v>
      </c>
      <c r="E112" s="2" t="n">
        <f aca="false">IFERROR(__xludf.dummyfunction("""COMPUTED_VALUE"""),203.3)</f>
        <v>203.3</v>
      </c>
      <c r="F112" s="2" t="n">
        <f aca="false">IFERROR(__xludf.dummyfunction("""COMPUTED_VALUE"""),16205303)</f>
        <v>16205303</v>
      </c>
    </row>
    <row r="113" customFormat="false" ht="15.75" hidden="false" customHeight="false" outlineLevel="0" collapsed="false">
      <c r="A113" s="3" t="n">
        <f aca="false">IFERROR(__xludf.dummyfunction("""COMPUTED_VALUE"""),44361.6666666667)</f>
        <v>44361.6666666667</v>
      </c>
      <c r="B113" s="2" t="n">
        <f aca="false">IFERROR(__xludf.dummyfunction("""COMPUTED_VALUE"""),204.08)</f>
        <v>204.08</v>
      </c>
      <c r="C113" s="2" t="n">
        <f aca="false">IFERROR(__xludf.dummyfunction("""COMPUTED_VALUE"""),208.5)</f>
        <v>208.5</v>
      </c>
      <c r="D113" s="2" t="n">
        <f aca="false">IFERROR(__xludf.dummyfunction("""COMPUTED_VALUE"""),203.06)</f>
        <v>203.06</v>
      </c>
      <c r="E113" s="2" t="n">
        <f aca="false">IFERROR(__xludf.dummyfunction("""COMPUTED_VALUE"""),205.9)</f>
        <v>205.9</v>
      </c>
      <c r="F113" s="2" t="n">
        <f aca="false">IFERROR(__xludf.dummyfunction("""COMPUTED_VALUE"""),20423983)</f>
        <v>20423983</v>
      </c>
    </row>
    <row r="114" customFormat="false" ht="15.75" hidden="false" customHeight="false" outlineLevel="0" collapsed="false">
      <c r="A114" s="3" t="n">
        <f aca="false">IFERROR(__xludf.dummyfunction("""COMPUTED_VALUE"""),44362.6666666667)</f>
        <v>44362.6666666667</v>
      </c>
      <c r="B114" s="2" t="n">
        <f aca="false">IFERROR(__xludf.dummyfunction("""COMPUTED_VALUE"""),205.56)</f>
        <v>205.56</v>
      </c>
      <c r="C114" s="2" t="n">
        <f aca="false">IFERROR(__xludf.dummyfunction("""COMPUTED_VALUE"""),205.6)</f>
        <v>205.6</v>
      </c>
      <c r="D114" s="2" t="n">
        <f aca="false">IFERROR(__xludf.dummyfunction("""COMPUTED_VALUE"""),199.41)</f>
        <v>199.41</v>
      </c>
      <c r="E114" s="2" t="n">
        <f aca="false">IFERROR(__xludf.dummyfunction("""COMPUTED_VALUE"""),199.79)</f>
        <v>199.79</v>
      </c>
      <c r="F114" s="2" t="n">
        <f aca="false">IFERROR(__xludf.dummyfunction("""COMPUTED_VALUE"""),17764145)</f>
        <v>17764145</v>
      </c>
    </row>
    <row r="115" customFormat="false" ht="15.75" hidden="false" customHeight="false" outlineLevel="0" collapsed="false">
      <c r="A115" s="3" t="n">
        <f aca="false">IFERROR(__xludf.dummyfunction("""COMPUTED_VALUE"""),44363.6666666667)</f>
        <v>44363.6666666667</v>
      </c>
      <c r="B115" s="2" t="n">
        <f aca="false">IFERROR(__xludf.dummyfunction("""COMPUTED_VALUE"""),199.18)</f>
        <v>199.18</v>
      </c>
      <c r="C115" s="2" t="n">
        <f aca="false">IFERROR(__xludf.dummyfunction("""COMPUTED_VALUE"""),202.83)</f>
        <v>202.83</v>
      </c>
      <c r="D115" s="2" t="n">
        <f aca="false">IFERROR(__xludf.dummyfunction("""COMPUTED_VALUE"""),197.83)</f>
        <v>197.83</v>
      </c>
      <c r="E115" s="2" t="n">
        <f aca="false">IFERROR(__xludf.dummyfunction("""COMPUTED_VALUE"""),201.62)</f>
        <v>201.62</v>
      </c>
      <c r="F115" s="2" t="n">
        <f aca="false">IFERROR(__xludf.dummyfunction("""COMPUTED_VALUE"""),22144127)</f>
        <v>22144127</v>
      </c>
    </row>
    <row r="116" customFormat="false" ht="15.75" hidden="false" customHeight="false" outlineLevel="0" collapsed="false">
      <c r="A116" s="3" t="n">
        <f aca="false">IFERROR(__xludf.dummyfunction("""COMPUTED_VALUE"""),44364.6666666667)</f>
        <v>44364.6666666667</v>
      </c>
      <c r="B116" s="2" t="n">
        <f aca="false">IFERROR(__xludf.dummyfunction("""COMPUTED_VALUE"""),200.63)</f>
        <v>200.63</v>
      </c>
      <c r="C116" s="2" t="n">
        <f aca="false">IFERROR(__xludf.dummyfunction("""COMPUTED_VALUE"""),207.16)</f>
        <v>207.16</v>
      </c>
      <c r="D116" s="2" t="n">
        <f aca="false">IFERROR(__xludf.dummyfunction("""COMPUTED_VALUE"""),200.45)</f>
        <v>200.45</v>
      </c>
      <c r="E116" s="2" t="n">
        <f aca="false">IFERROR(__xludf.dummyfunction("""COMPUTED_VALUE"""),205.53)</f>
        <v>205.53</v>
      </c>
      <c r="F116" s="2" t="n">
        <f aca="false">IFERROR(__xludf.dummyfunction("""COMPUTED_VALUE"""),22701350)</f>
        <v>22701350</v>
      </c>
    </row>
    <row r="117" customFormat="false" ht="15.75" hidden="false" customHeight="false" outlineLevel="0" collapsed="false">
      <c r="A117" s="3" t="n">
        <f aca="false">IFERROR(__xludf.dummyfunction("""COMPUTED_VALUE"""),44365.6666666667)</f>
        <v>44365.6666666667</v>
      </c>
      <c r="B117" s="2" t="n">
        <f aca="false">IFERROR(__xludf.dummyfunction("""COMPUTED_VALUE"""),204.46)</f>
        <v>204.46</v>
      </c>
      <c r="C117" s="2" t="n">
        <f aca="false">IFERROR(__xludf.dummyfunction("""COMPUTED_VALUE"""),209.45)</f>
        <v>209.45</v>
      </c>
      <c r="D117" s="2" t="n">
        <f aca="false">IFERROR(__xludf.dummyfunction("""COMPUTED_VALUE"""),203.93)</f>
        <v>203.93</v>
      </c>
      <c r="E117" s="2" t="n">
        <f aca="false">IFERROR(__xludf.dummyfunction("""COMPUTED_VALUE"""),207.77)</f>
        <v>207.77</v>
      </c>
      <c r="F117" s="2" t="n">
        <f aca="false">IFERROR(__xludf.dummyfunction("""COMPUTED_VALUE"""),24560905)</f>
        <v>24560905</v>
      </c>
    </row>
    <row r="118" customFormat="false" ht="15.75" hidden="false" customHeight="false" outlineLevel="0" collapsed="false">
      <c r="A118" s="3" t="n">
        <f aca="false">IFERROR(__xludf.dummyfunction("""COMPUTED_VALUE"""),44368.6666666667)</f>
        <v>44368.6666666667</v>
      </c>
      <c r="B118" s="2" t="n">
        <f aca="false">IFERROR(__xludf.dummyfunction("""COMPUTED_VALUE"""),208.16)</f>
        <v>208.16</v>
      </c>
      <c r="C118" s="2" t="n">
        <f aca="false">IFERROR(__xludf.dummyfunction("""COMPUTED_VALUE"""),210.46)</f>
        <v>210.46</v>
      </c>
      <c r="D118" s="2" t="n">
        <f aca="false">IFERROR(__xludf.dummyfunction("""COMPUTED_VALUE"""),202.96)</f>
        <v>202.96</v>
      </c>
      <c r="E118" s="2" t="n">
        <f aca="false">IFERROR(__xludf.dummyfunction("""COMPUTED_VALUE"""),206.94)</f>
        <v>206.94</v>
      </c>
      <c r="F118" s="2" t="n">
        <f aca="false">IFERROR(__xludf.dummyfunction("""COMPUTED_VALUE"""),24812741)</f>
        <v>24812741</v>
      </c>
    </row>
    <row r="119" customFormat="false" ht="15.75" hidden="false" customHeight="false" outlineLevel="0" collapsed="false">
      <c r="A119" s="3" t="n">
        <f aca="false">IFERROR(__xludf.dummyfunction("""COMPUTED_VALUE"""),44369.6666666667)</f>
        <v>44369.6666666667</v>
      </c>
      <c r="B119" s="2" t="n">
        <f aca="false">IFERROR(__xludf.dummyfunction("""COMPUTED_VALUE"""),206.08)</f>
        <v>206.08</v>
      </c>
      <c r="C119" s="2" t="n">
        <f aca="false">IFERROR(__xludf.dummyfunction("""COMPUTED_VALUE"""),209.52)</f>
        <v>209.52</v>
      </c>
      <c r="D119" s="2" t="n">
        <f aca="false">IFERROR(__xludf.dummyfunction("""COMPUTED_VALUE"""),205.17)</f>
        <v>205.17</v>
      </c>
      <c r="E119" s="2" t="n">
        <f aca="false">IFERROR(__xludf.dummyfunction("""COMPUTED_VALUE"""),207.9)</f>
        <v>207.9</v>
      </c>
      <c r="F119" s="2" t="n">
        <f aca="false">IFERROR(__xludf.dummyfunction("""COMPUTED_VALUE"""),19158892)</f>
        <v>19158892</v>
      </c>
    </row>
    <row r="120" customFormat="false" ht="15.75" hidden="false" customHeight="false" outlineLevel="0" collapsed="false">
      <c r="A120" s="3" t="n">
        <f aca="false">IFERROR(__xludf.dummyfunction("""COMPUTED_VALUE"""),44370.6666666667)</f>
        <v>44370.6666666667</v>
      </c>
      <c r="B120" s="2" t="n">
        <f aca="false">IFERROR(__xludf.dummyfunction("""COMPUTED_VALUE"""),210.67)</f>
        <v>210.67</v>
      </c>
      <c r="C120" s="2" t="n">
        <f aca="false">IFERROR(__xludf.dummyfunction("""COMPUTED_VALUE"""),219.07)</f>
        <v>219.07</v>
      </c>
      <c r="D120" s="2" t="n">
        <f aca="false">IFERROR(__xludf.dummyfunction("""COMPUTED_VALUE"""),210.01)</f>
        <v>210.01</v>
      </c>
      <c r="E120" s="2" t="n">
        <f aca="false">IFERROR(__xludf.dummyfunction("""COMPUTED_VALUE"""),218.86)</f>
        <v>218.86</v>
      </c>
      <c r="F120" s="2" t="n">
        <f aca="false">IFERROR(__xludf.dummyfunction("""COMPUTED_VALUE"""),31099228)</f>
        <v>31099228</v>
      </c>
    </row>
    <row r="121" customFormat="false" ht="15.75" hidden="false" customHeight="false" outlineLevel="0" collapsed="false">
      <c r="A121" s="3" t="n">
        <f aca="false">IFERROR(__xludf.dummyfunction("""COMPUTED_VALUE"""),44371.6666666667)</f>
        <v>44371.6666666667</v>
      </c>
      <c r="B121" s="2" t="n">
        <f aca="false">IFERROR(__xludf.dummyfunction("""COMPUTED_VALUE"""),225)</f>
        <v>225</v>
      </c>
      <c r="C121" s="2" t="n">
        <f aca="false">IFERROR(__xludf.dummyfunction("""COMPUTED_VALUE"""),232.54)</f>
        <v>232.54</v>
      </c>
      <c r="D121" s="2" t="n">
        <f aca="false">IFERROR(__xludf.dummyfunction("""COMPUTED_VALUE"""),222.54)</f>
        <v>222.54</v>
      </c>
      <c r="E121" s="2" t="n">
        <f aca="false">IFERROR(__xludf.dummyfunction("""COMPUTED_VALUE"""),226.61)</f>
        <v>226.61</v>
      </c>
      <c r="F121" s="2" t="n">
        <f aca="false">IFERROR(__xludf.dummyfunction("""COMPUTED_VALUE"""),45982386)</f>
        <v>45982386</v>
      </c>
    </row>
    <row r="122" customFormat="false" ht="15.75" hidden="false" customHeight="false" outlineLevel="0" collapsed="false">
      <c r="A122" s="3" t="n">
        <f aca="false">IFERROR(__xludf.dummyfunction("""COMPUTED_VALUE"""),44372.6666666667)</f>
        <v>44372.6666666667</v>
      </c>
      <c r="B122" s="2" t="n">
        <f aca="false">IFERROR(__xludf.dummyfunction("""COMPUTED_VALUE"""),229.86)</f>
        <v>229.86</v>
      </c>
      <c r="C122" s="2" t="n">
        <f aca="false">IFERROR(__xludf.dummyfunction("""COMPUTED_VALUE"""),231.27)</f>
        <v>231.27</v>
      </c>
      <c r="D122" s="2" t="n">
        <f aca="false">IFERROR(__xludf.dummyfunction("""COMPUTED_VALUE"""),222.9)</f>
        <v>222.9</v>
      </c>
      <c r="E122" s="2" t="n">
        <f aca="false">IFERROR(__xludf.dummyfunction("""COMPUTED_VALUE"""),223.96)</f>
        <v>223.96</v>
      </c>
      <c r="F122" s="2" t="n">
        <f aca="false">IFERROR(__xludf.dummyfunction("""COMPUTED_VALUE"""),32496707)</f>
        <v>32496707</v>
      </c>
    </row>
    <row r="123" customFormat="false" ht="15.75" hidden="false" customHeight="false" outlineLevel="0" collapsed="false">
      <c r="A123" s="3" t="n">
        <f aca="false">IFERROR(__xludf.dummyfunction("""COMPUTED_VALUE"""),44375.6666666667)</f>
        <v>44375.6666666667</v>
      </c>
      <c r="B123" s="2" t="n">
        <f aca="false">IFERROR(__xludf.dummyfunction("""COMPUTED_VALUE"""),223.88)</f>
        <v>223.88</v>
      </c>
      <c r="C123" s="2" t="n">
        <f aca="false">IFERROR(__xludf.dummyfunction("""COMPUTED_VALUE"""),231.57)</f>
        <v>231.57</v>
      </c>
      <c r="D123" s="2" t="n">
        <f aca="false">IFERROR(__xludf.dummyfunction("""COMPUTED_VALUE"""),223.44)</f>
        <v>223.44</v>
      </c>
      <c r="E123" s="2" t="n">
        <f aca="false">IFERROR(__xludf.dummyfunction("""COMPUTED_VALUE"""),229.57)</f>
        <v>229.57</v>
      </c>
      <c r="F123" s="2" t="n">
        <f aca="false">IFERROR(__xludf.dummyfunction("""COMPUTED_VALUE"""),21628159)</f>
        <v>21628159</v>
      </c>
    </row>
    <row r="124" customFormat="false" ht="15.75" hidden="false" customHeight="false" outlineLevel="0" collapsed="false">
      <c r="A124" s="3" t="n">
        <f aca="false">IFERROR(__xludf.dummyfunction("""COMPUTED_VALUE"""),44376.6666666667)</f>
        <v>44376.6666666667</v>
      </c>
      <c r="B124" s="2" t="n">
        <f aca="false">IFERROR(__xludf.dummyfunction("""COMPUTED_VALUE"""),228.22)</f>
        <v>228.22</v>
      </c>
      <c r="C124" s="2" t="n">
        <f aca="false">IFERROR(__xludf.dummyfunction("""COMPUTED_VALUE"""),229.17)</f>
        <v>229.17</v>
      </c>
      <c r="D124" s="2" t="n">
        <f aca="false">IFERROR(__xludf.dummyfunction("""COMPUTED_VALUE"""),225.3)</f>
        <v>225.3</v>
      </c>
      <c r="E124" s="2" t="n">
        <f aca="false">IFERROR(__xludf.dummyfunction("""COMPUTED_VALUE"""),226.92)</f>
        <v>226.92</v>
      </c>
      <c r="F124" s="2" t="n">
        <f aca="false">IFERROR(__xludf.dummyfunction("""COMPUTED_VALUE"""),17381313)</f>
        <v>17381313</v>
      </c>
    </row>
    <row r="125" customFormat="false" ht="15.75" hidden="false" customHeight="false" outlineLevel="0" collapsed="false">
      <c r="A125" s="3" t="n">
        <f aca="false">IFERROR(__xludf.dummyfunction("""COMPUTED_VALUE"""),44377.6666666667)</f>
        <v>44377.6666666667</v>
      </c>
      <c r="B125" s="2" t="n">
        <f aca="false">IFERROR(__xludf.dummyfunction("""COMPUTED_VALUE"""),226.59)</f>
        <v>226.59</v>
      </c>
      <c r="C125" s="2" t="n">
        <f aca="false">IFERROR(__xludf.dummyfunction("""COMPUTED_VALUE"""),230.94)</f>
        <v>230.94</v>
      </c>
      <c r="D125" s="2" t="n">
        <f aca="false">IFERROR(__xludf.dummyfunction("""COMPUTED_VALUE"""),226.05)</f>
        <v>226.05</v>
      </c>
      <c r="E125" s="2" t="n">
        <f aca="false">IFERROR(__xludf.dummyfunction("""COMPUTED_VALUE"""),226.57)</f>
        <v>226.57</v>
      </c>
      <c r="F125" s="2" t="n">
        <f aca="false">IFERROR(__xludf.dummyfunction("""COMPUTED_VALUE"""),18924862)</f>
        <v>18924862</v>
      </c>
    </row>
    <row r="126" customFormat="false" ht="15.75" hidden="false" customHeight="false" outlineLevel="0" collapsed="false">
      <c r="A126" s="3" t="n">
        <f aca="false">IFERROR(__xludf.dummyfunction("""COMPUTED_VALUE"""),44378.6666666667)</f>
        <v>44378.6666666667</v>
      </c>
      <c r="B126" s="2" t="n">
        <f aca="false">IFERROR(__xludf.dummyfunction("""COMPUTED_VALUE"""),227.97)</f>
        <v>227.97</v>
      </c>
      <c r="C126" s="2" t="n">
        <f aca="false">IFERROR(__xludf.dummyfunction("""COMPUTED_VALUE"""),229.33)</f>
        <v>229.33</v>
      </c>
      <c r="D126" s="2" t="n">
        <f aca="false">IFERROR(__xludf.dummyfunction("""COMPUTED_VALUE"""),224.27)</f>
        <v>224.27</v>
      </c>
      <c r="E126" s="2" t="n">
        <f aca="false">IFERROR(__xludf.dummyfunction("""COMPUTED_VALUE"""),225.97)</f>
        <v>225.97</v>
      </c>
      <c r="F126" s="2" t="n">
        <f aca="false">IFERROR(__xludf.dummyfunction("""COMPUTED_VALUE"""),18634522)</f>
        <v>18634522</v>
      </c>
    </row>
    <row r="127" customFormat="false" ht="15.75" hidden="false" customHeight="false" outlineLevel="0" collapsed="false">
      <c r="A127" s="3" t="n">
        <f aca="false">IFERROR(__xludf.dummyfunction("""COMPUTED_VALUE"""),44379.6666666667)</f>
        <v>44379.6666666667</v>
      </c>
      <c r="B127" s="2" t="n">
        <f aca="false">IFERROR(__xludf.dummyfunction("""COMPUTED_VALUE"""),226.33)</f>
        <v>226.33</v>
      </c>
      <c r="C127" s="2" t="n">
        <f aca="false">IFERROR(__xludf.dummyfunction("""COMPUTED_VALUE"""),233.33)</f>
        <v>233.33</v>
      </c>
      <c r="D127" s="2" t="n">
        <f aca="false">IFERROR(__xludf.dummyfunction("""COMPUTED_VALUE"""),224.42)</f>
        <v>224.42</v>
      </c>
      <c r="E127" s="2" t="n">
        <f aca="false">IFERROR(__xludf.dummyfunction("""COMPUTED_VALUE"""),226.3)</f>
        <v>226.3</v>
      </c>
      <c r="F127" s="2" t="n">
        <f aca="false">IFERROR(__xludf.dummyfunction("""COMPUTED_VALUE"""),27097374)</f>
        <v>27097374</v>
      </c>
    </row>
    <row r="128" customFormat="false" ht="15.75" hidden="false" customHeight="false" outlineLevel="0" collapsed="false">
      <c r="A128" s="3" t="n">
        <f aca="false">IFERROR(__xludf.dummyfunction("""COMPUTED_VALUE"""),44383.6666666667)</f>
        <v>44383.6666666667</v>
      </c>
      <c r="B128" s="2" t="n">
        <f aca="false">IFERROR(__xludf.dummyfunction("""COMPUTED_VALUE"""),227.24)</f>
        <v>227.24</v>
      </c>
      <c r="C128" s="2" t="n">
        <f aca="false">IFERROR(__xludf.dummyfunction("""COMPUTED_VALUE"""),228)</f>
        <v>228</v>
      </c>
      <c r="D128" s="2" t="n">
        <f aca="false">IFERROR(__xludf.dummyfunction("""COMPUTED_VALUE"""),217.13)</f>
        <v>217.13</v>
      </c>
      <c r="E128" s="2" t="n">
        <f aca="false">IFERROR(__xludf.dummyfunction("""COMPUTED_VALUE"""),219.86)</f>
        <v>219.86</v>
      </c>
      <c r="F128" s="2" t="n">
        <f aca="false">IFERROR(__xludf.dummyfunction("""COMPUTED_VALUE"""),23284450)</f>
        <v>23284450</v>
      </c>
    </row>
    <row r="129" customFormat="false" ht="15.75" hidden="false" customHeight="false" outlineLevel="0" collapsed="false">
      <c r="A129" s="3" t="n">
        <f aca="false">IFERROR(__xludf.dummyfunction("""COMPUTED_VALUE"""),44384.6666666667)</f>
        <v>44384.6666666667</v>
      </c>
      <c r="B129" s="2" t="n">
        <f aca="false">IFERROR(__xludf.dummyfunction("""COMPUTED_VALUE"""),221.42)</f>
        <v>221.42</v>
      </c>
      <c r="C129" s="2" t="n">
        <f aca="false">IFERROR(__xludf.dummyfunction("""COMPUTED_VALUE"""),221.9)</f>
        <v>221.9</v>
      </c>
      <c r="D129" s="2" t="n">
        <f aca="false">IFERROR(__xludf.dummyfunction("""COMPUTED_VALUE"""),212.77)</f>
        <v>212.77</v>
      </c>
      <c r="E129" s="2" t="n">
        <f aca="false">IFERROR(__xludf.dummyfunction("""COMPUTED_VALUE"""),214.88)</f>
        <v>214.88</v>
      </c>
      <c r="F129" s="2" t="n">
        <f aca="false">IFERROR(__xludf.dummyfunction("""COMPUTED_VALUE"""),18791960)</f>
        <v>18791960</v>
      </c>
    </row>
    <row r="130" customFormat="false" ht="15.75" hidden="false" customHeight="false" outlineLevel="0" collapsed="false">
      <c r="A130" s="3" t="n">
        <f aca="false">IFERROR(__xludf.dummyfunction("""COMPUTED_VALUE"""),44385.6666666667)</f>
        <v>44385.6666666667</v>
      </c>
      <c r="B130" s="2" t="n">
        <f aca="false">IFERROR(__xludf.dummyfunction("""COMPUTED_VALUE"""),209.46)</f>
        <v>209.46</v>
      </c>
      <c r="C130" s="2" t="n">
        <f aca="false">IFERROR(__xludf.dummyfunction("""COMPUTED_VALUE"""),218.14)</f>
        <v>218.14</v>
      </c>
      <c r="D130" s="2" t="n">
        <f aca="false">IFERROR(__xludf.dummyfunction("""COMPUTED_VALUE"""),206.82)</f>
        <v>206.82</v>
      </c>
      <c r="E130" s="2" t="n">
        <f aca="false">IFERROR(__xludf.dummyfunction("""COMPUTED_VALUE"""),217.6)</f>
        <v>217.6</v>
      </c>
      <c r="F130" s="2" t="n">
        <f aca="false">IFERROR(__xludf.dummyfunction("""COMPUTED_VALUE"""),22773316)</f>
        <v>22773316</v>
      </c>
    </row>
    <row r="131" customFormat="false" ht="15.75" hidden="false" customHeight="false" outlineLevel="0" collapsed="false">
      <c r="A131" s="3" t="n">
        <f aca="false">IFERROR(__xludf.dummyfunction("""COMPUTED_VALUE"""),44386.6666666667)</f>
        <v>44386.6666666667</v>
      </c>
      <c r="B131" s="2" t="n">
        <f aca="false">IFERROR(__xludf.dummyfunction("""COMPUTED_VALUE"""),217.73)</f>
        <v>217.73</v>
      </c>
      <c r="C131" s="2" t="n">
        <f aca="false">IFERROR(__xludf.dummyfunction("""COMPUTED_VALUE"""),219.64)</f>
        <v>219.64</v>
      </c>
      <c r="D131" s="2" t="n">
        <f aca="false">IFERROR(__xludf.dummyfunction("""COMPUTED_VALUE"""),214.9)</f>
        <v>214.9</v>
      </c>
      <c r="E131" s="2" t="n">
        <f aca="false">IFERROR(__xludf.dummyfunction("""COMPUTED_VALUE"""),218.98)</f>
        <v>218.98</v>
      </c>
      <c r="F131" s="2" t="n">
        <f aca="false">IFERROR(__xludf.dummyfunction("""COMPUTED_VALUE"""),18140548)</f>
        <v>18140548</v>
      </c>
    </row>
    <row r="132" customFormat="false" ht="15.75" hidden="false" customHeight="false" outlineLevel="0" collapsed="false">
      <c r="A132" s="3" t="n">
        <f aca="false">IFERROR(__xludf.dummyfunction("""COMPUTED_VALUE"""),44389.6666666667)</f>
        <v>44389.6666666667</v>
      </c>
      <c r="B132" s="2" t="n">
        <f aca="false">IFERROR(__xludf.dummyfunction("""COMPUTED_VALUE"""),220.73)</f>
        <v>220.73</v>
      </c>
      <c r="C132" s="2" t="n">
        <f aca="false">IFERROR(__xludf.dummyfunction("""COMPUTED_VALUE"""),229.08)</f>
        <v>229.08</v>
      </c>
      <c r="D132" s="2" t="n">
        <f aca="false">IFERROR(__xludf.dummyfunction("""COMPUTED_VALUE"""),220.72)</f>
        <v>220.72</v>
      </c>
      <c r="E132" s="2" t="n">
        <f aca="false">IFERROR(__xludf.dummyfunction("""COMPUTED_VALUE"""),228.57)</f>
        <v>228.57</v>
      </c>
      <c r="F132" s="2" t="n">
        <f aca="false">IFERROR(__xludf.dummyfunction("""COMPUTED_VALUE"""),25927042)</f>
        <v>25927042</v>
      </c>
    </row>
    <row r="133" customFormat="false" ht="15.75" hidden="false" customHeight="false" outlineLevel="0" collapsed="false">
      <c r="A133" s="3" t="n">
        <f aca="false">IFERROR(__xludf.dummyfunction("""COMPUTED_VALUE"""),44390.6666666667)</f>
        <v>44390.6666666667</v>
      </c>
      <c r="B133" s="2" t="n">
        <f aca="false">IFERROR(__xludf.dummyfunction("""COMPUTED_VALUE"""),228.77)</f>
        <v>228.77</v>
      </c>
      <c r="C133" s="2" t="n">
        <f aca="false">IFERROR(__xludf.dummyfunction("""COMPUTED_VALUE"""),231.09)</f>
        <v>231.09</v>
      </c>
      <c r="D133" s="2" t="n">
        <f aca="false">IFERROR(__xludf.dummyfunction("""COMPUTED_VALUE"""),222.1)</f>
        <v>222.1</v>
      </c>
      <c r="E133" s="2" t="n">
        <f aca="false">IFERROR(__xludf.dummyfunction("""COMPUTED_VALUE"""),222.85)</f>
        <v>222.85</v>
      </c>
      <c r="F133" s="2" t="n">
        <f aca="false">IFERROR(__xludf.dummyfunction("""COMPUTED_VALUE"""),20966092)</f>
        <v>20966092</v>
      </c>
    </row>
    <row r="134" customFormat="false" ht="15.75" hidden="false" customHeight="false" outlineLevel="0" collapsed="false">
      <c r="A134" s="3" t="n">
        <f aca="false">IFERROR(__xludf.dummyfunction("""COMPUTED_VALUE"""),44391.6666666667)</f>
        <v>44391.6666666667</v>
      </c>
      <c r="B134" s="2" t="n">
        <f aca="false">IFERROR(__xludf.dummyfunction("""COMPUTED_VALUE"""),223.58)</f>
        <v>223.58</v>
      </c>
      <c r="C134" s="2" t="n">
        <f aca="false">IFERROR(__xludf.dummyfunction("""COMPUTED_VALUE"""),226.2)</f>
        <v>226.2</v>
      </c>
      <c r="D134" s="2" t="n">
        <f aca="false">IFERROR(__xludf.dummyfunction("""COMPUTED_VALUE"""),217.61)</f>
        <v>217.61</v>
      </c>
      <c r="E134" s="2" t="n">
        <f aca="false">IFERROR(__xludf.dummyfunction("""COMPUTED_VALUE"""),217.79)</f>
        <v>217.79</v>
      </c>
      <c r="F134" s="2" t="n">
        <f aca="false">IFERROR(__xludf.dummyfunction("""COMPUTED_VALUE"""),21641190)</f>
        <v>21641190</v>
      </c>
    </row>
    <row r="135" customFormat="false" ht="15.75" hidden="false" customHeight="false" outlineLevel="0" collapsed="false">
      <c r="A135" s="3" t="n">
        <f aca="false">IFERROR(__xludf.dummyfunction("""COMPUTED_VALUE"""),44392.6666666667)</f>
        <v>44392.6666666667</v>
      </c>
      <c r="B135" s="2" t="n">
        <f aca="false">IFERROR(__xludf.dummyfunction("""COMPUTED_VALUE"""),219.46)</f>
        <v>219.46</v>
      </c>
      <c r="C135" s="2" t="n">
        <f aca="false">IFERROR(__xludf.dummyfunction("""COMPUTED_VALUE"""),222.05)</f>
        <v>222.05</v>
      </c>
      <c r="D135" s="2" t="n">
        <f aca="false">IFERROR(__xludf.dummyfunction("""COMPUTED_VALUE"""),212.63)</f>
        <v>212.63</v>
      </c>
      <c r="E135" s="2" t="n">
        <f aca="false">IFERROR(__xludf.dummyfunction("""COMPUTED_VALUE"""),216.87)</f>
        <v>216.87</v>
      </c>
      <c r="F135" s="2" t="n">
        <f aca="false">IFERROR(__xludf.dummyfunction("""COMPUTED_VALUE"""),20209571)</f>
        <v>20209571</v>
      </c>
    </row>
    <row r="136" customFormat="false" ht="15.75" hidden="false" customHeight="false" outlineLevel="0" collapsed="false">
      <c r="A136" s="3" t="n">
        <f aca="false">IFERROR(__xludf.dummyfunction("""COMPUTED_VALUE"""),44393.6666666667)</f>
        <v>44393.6666666667</v>
      </c>
      <c r="B136" s="2" t="n">
        <f aca="false">IFERROR(__xludf.dummyfunction("""COMPUTED_VALUE"""),218.23)</f>
        <v>218.23</v>
      </c>
      <c r="C136" s="2" t="n">
        <f aca="false">IFERROR(__xludf.dummyfunction("""COMPUTED_VALUE"""),218.9)</f>
        <v>218.9</v>
      </c>
      <c r="D136" s="2" t="n">
        <f aca="false">IFERROR(__xludf.dummyfunction("""COMPUTED_VALUE"""),214.07)</f>
        <v>214.07</v>
      </c>
      <c r="E136" s="2" t="n">
        <f aca="false">IFERROR(__xludf.dummyfunction("""COMPUTED_VALUE"""),214.74)</f>
        <v>214.74</v>
      </c>
      <c r="F136" s="2" t="n">
        <f aca="false">IFERROR(__xludf.dummyfunction("""COMPUTED_VALUE"""),16370970)</f>
        <v>16370970</v>
      </c>
    </row>
    <row r="137" customFormat="false" ht="15.75" hidden="false" customHeight="false" outlineLevel="0" collapsed="false">
      <c r="A137" s="3" t="n">
        <f aca="false">IFERROR(__xludf.dummyfunction("""COMPUTED_VALUE"""),44396.6666666667)</f>
        <v>44396.6666666667</v>
      </c>
      <c r="B137" s="2" t="n">
        <f aca="false">IFERROR(__xludf.dummyfunction("""COMPUTED_VALUE"""),209.96)</f>
        <v>209.96</v>
      </c>
      <c r="C137" s="2" t="n">
        <f aca="false">IFERROR(__xludf.dummyfunction("""COMPUTED_VALUE"""),215.73)</f>
        <v>215.73</v>
      </c>
      <c r="D137" s="2" t="n">
        <f aca="false">IFERROR(__xludf.dummyfunction("""COMPUTED_VALUE"""),207.1)</f>
        <v>207.1</v>
      </c>
      <c r="E137" s="2" t="n">
        <f aca="false">IFERROR(__xludf.dummyfunction("""COMPUTED_VALUE"""),215.41)</f>
        <v>215.41</v>
      </c>
      <c r="F137" s="2" t="n">
        <f aca="false">IFERROR(__xludf.dummyfunction("""COMPUTED_VALUE"""),21297090)</f>
        <v>21297090</v>
      </c>
    </row>
    <row r="138" customFormat="false" ht="15.75" hidden="false" customHeight="false" outlineLevel="0" collapsed="false">
      <c r="A138" s="3" t="n">
        <f aca="false">IFERROR(__xludf.dummyfunction("""COMPUTED_VALUE"""),44397.6666666667)</f>
        <v>44397.6666666667</v>
      </c>
      <c r="B138" s="2" t="n">
        <f aca="false">IFERROR(__xludf.dummyfunction("""COMPUTED_VALUE"""),217.33)</f>
        <v>217.33</v>
      </c>
      <c r="C138" s="2" t="n">
        <f aca="false">IFERROR(__xludf.dummyfunction("""COMPUTED_VALUE"""),220.8)</f>
        <v>220.8</v>
      </c>
      <c r="D138" s="2" t="n">
        <f aca="false">IFERROR(__xludf.dummyfunction("""COMPUTED_VALUE"""),213.5)</f>
        <v>213.5</v>
      </c>
      <c r="E138" s="2" t="n">
        <f aca="false">IFERROR(__xludf.dummyfunction("""COMPUTED_VALUE"""),220.17)</f>
        <v>220.17</v>
      </c>
      <c r="F138" s="2" t="n">
        <f aca="false">IFERROR(__xludf.dummyfunction("""COMPUTED_VALUE"""),15487127)</f>
        <v>15487127</v>
      </c>
    </row>
    <row r="139" customFormat="false" ht="15.75" hidden="false" customHeight="false" outlineLevel="0" collapsed="false">
      <c r="A139" s="3" t="n">
        <f aca="false">IFERROR(__xludf.dummyfunction("""COMPUTED_VALUE"""),44398.6666666667)</f>
        <v>44398.6666666667</v>
      </c>
      <c r="B139" s="2" t="n">
        <f aca="false">IFERROR(__xludf.dummyfunction("""COMPUTED_VALUE"""),219.87)</f>
        <v>219.87</v>
      </c>
      <c r="C139" s="2" t="n">
        <f aca="false">IFERROR(__xludf.dummyfunction("""COMPUTED_VALUE"""),221.62)</f>
        <v>221.62</v>
      </c>
      <c r="D139" s="2" t="n">
        <f aca="false">IFERROR(__xludf.dummyfunction("""COMPUTED_VALUE"""),216.76)</f>
        <v>216.76</v>
      </c>
      <c r="E139" s="2" t="n">
        <f aca="false">IFERROR(__xludf.dummyfunction("""COMPUTED_VALUE"""),218.43)</f>
        <v>218.43</v>
      </c>
      <c r="F139" s="2" t="n">
        <f aca="false">IFERROR(__xludf.dummyfunction("""COMPUTED_VALUE"""),13953338)</f>
        <v>13953338</v>
      </c>
    </row>
    <row r="140" customFormat="false" ht="15.75" hidden="false" customHeight="false" outlineLevel="0" collapsed="false">
      <c r="A140" s="3" t="n">
        <f aca="false">IFERROR(__xludf.dummyfunction("""COMPUTED_VALUE"""),44399.6666666667)</f>
        <v>44399.6666666667</v>
      </c>
      <c r="B140" s="2" t="n">
        <f aca="false">IFERROR(__xludf.dummyfunction("""COMPUTED_VALUE"""),218.81)</f>
        <v>218.81</v>
      </c>
      <c r="C140" s="2" t="n">
        <f aca="false">IFERROR(__xludf.dummyfunction("""COMPUTED_VALUE"""),220.72)</f>
        <v>220.72</v>
      </c>
      <c r="D140" s="2" t="n">
        <f aca="false">IFERROR(__xludf.dummyfunction("""COMPUTED_VALUE"""),214.87)</f>
        <v>214.87</v>
      </c>
      <c r="E140" s="2" t="n">
        <f aca="false">IFERROR(__xludf.dummyfunction("""COMPUTED_VALUE"""),216.42)</f>
        <v>216.42</v>
      </c>
      <c r="F140" s="2" t="n">
        <f aca="false">IFERROR(__xludf.dummyfunction("""COMPUTED_VALUE"""),15105727)</f>
        <v>15105727</v>
      </c>
    </row>
    <row r="141" customFormat="false" ht="15.75" hidden="false" customHeight="false" outlineLevel="0" collapsed="false">
      <c r="A141" s="3" t="n">
        <f aca="false">IFERROR(__xludf.dummyfunction("""COMPUTED_VALUE"""),44400.6666666667)</f>
        <v>44400.6666666667</v>
      </c>
      <c r="B141" s="2" t="n">
        <f aca="false">IFERROR(__xludf.dummyfunction("""COMPUTED_VALUE"""),215.45)</f>
        <v>215.45</v>
      </c>
      <c r="C141" s="2" t="n">
        <f aca="false">IFERROR(__xludf.dummyfunction("""COMPUTED_VALUE"""),216.27)</f>
        <v>216.27</v>
      </c>
      <c r="D141" s="2" t="n">
        <f aca="false">IFERROR(__xludf.dummyfunction("""COMPUTED_VALUE"""),212.43)</f>
        <v>212.43</v>
      </c>
      <c r="E141" s="2" t="n">
        <f aca="false">IFERROR(__xludf.dummyfunction("""COMPUTED_VALUE"""),214.46)</f>
        <v>214.46</v>
      </c>
      <c r="F141" s="2" t="n">
        <f aca="false">IFERROR(__xludf.dummyfunction("""COMPUTED_VALUE"""),14604944)</f>
        <v>14604944</v>
      </c>
    </row>
    <row r="142" customFormat="false" ht="15.75" hidden="false" customHeight="false" outlineLevel="0" collapsed="false">
      <c r="A142" s="3" t="n">
        <f aca="false">IFERROR(__xludf.dummyfunction("""COMPUTED_VALUE"""),44403.6666666667)</f>
        <v>44403.6666666667</v>
      </c>
      <c r="B142" s="2" t="n">
        <f aca="false">IFERROR(__xludf.dummyfunction("""COMPUTED_VALUE"""),216.99)</f>
        <v>216.99</v>
      </c>
      <c r="C142" s="2" t="n">
        <f aca="false">IFERROR(__xludf.dummyfunction("""COMPUTED_VALUE"""),222.73)</f>
        <v>222.73</v>
      </c>
      <c r="D142" s="2" t="n">
        <f aca="false">IFERROR(__xludf.dummyfunction("""COMPUTED_VALUE"""),215.7)</f>
        <v>215.7</v>
      </c>
      <c r="E142" s="2" t="n">
        <f aca="false">IFERROR(__xludf.dummyfunction("""COMPUTED_VALUE"""),219.21)</f>
        <v>219.21</v>
      </c>
      <c r="F142" s="2" t="n">
        <f aca="false">IFERROR(__xludf.dummyfunction("""COMPUTED_VALUE"""),25336556)</f>
        <v>25336556</v>
      </c>
    </row>
    <row r="143" customFormat="false" ht="15.75" hidden="false" customHeight="false" outlineLevel="0" collapsed="false">
      <c r="A143" s="3" t="n">
        <f aca="false">IFERROR(__xludf.dummyfunction("""COMPUTED_VALUE"""),44404.6666666667)</f>
        <v>44404.6666666667</v>
      </c>
      <c r="B143" s="2" t="n">
        <f aca="false">IFERROR(__xludf.dummyfunction("""COMPUTED_VALUE"""),221.13)</f>
        <v>221.13</v>
      </c>
      <c r="C143" s="2" t="n">
        <f aca="false">IFERROR(__xludf.dummyfunction("""COMPUTED_VALUE"""),222.17)</f>
        <v>222.17</v>
      </c>
      <c r="D143" s="2" t="n">
        <f aca="false">IFERROR(__xludf.dummyfunction("""COMPUTED_VALUE"""),209.08)</f>
        <v>209.08</v>
      </c>
      <c r="E143" s="2" t="n">
        <f aca="false">IFERROR(__xludf.dummyfunction("""COMPUTED_VALUE"""),214.93)</f>
        <v>214.93</v>
      </c>
      <c r="F143" s="2" t="n">
        <f aca="false">IFERROR(__xludf.dummyfunction("""COMPUTED_VALUE"""),32813290)</f>
        <v>32813290</v>
      </c>
    </row>
    <row r="144" customFormat="false" ht="15.75" hidden="false" customHeight="false" outlineLevel="0" collapsed="false">
      <c r="A144" s="3" t="n">
        <f aca="false">IFERROR(__xludf.dummyfunction("""COMPUTED_VALUE"""),44405.6666666667)</f>
        <v>44405.6666666667</v>
      </c>
      <c r="B144" s="2" t="n">
        <f aca="false">IFERROR(__xludf.dummyfunction("""COMPUTED_VALUE"""),215.67)</f>
        <v>215.67</v>
      </c>
      <c r="C144" s="2" t="n">
        <f aca="false">IFERROR(__xludf.dummyfunction("""COMPUTED_VALUE"""),218.32)</f>
        <v>218.32</v>
      </c>
      <c r="D144" s="2" t="n">
        <f aca="false">IFERROR(__xludf.dummyfunction("""COMPUTED_VALUE"""),213.13)</f>
        <v>213.13</v>
      </c>
      <c r="E144" s="2" t="n">
        <f aca="false">IFERROR(__xludf.dummyfunction("""COMPUTED_VALUE"""),215.66)</f>
        <v>215.66</v>
      </c>
      <c r="F144" s="2" t="n">
        <f aca="false">IFERROR(__xludf.dummyfunction("""COMPUTED_VALUE"""),16006596)</f>
        <v>16006596</v>
      </c>
    </row>
    <row r="145" customFormat="false" ht="15.75" hidden="false" customHeight="false" outlineLevel="0" collapsed="false">
      <c r="A145" s="3" t="n">
        <f aca="false">IFERROR(__xludf.dummyfunction("""COMPUTED_VALUE"""),44406.6666666667)</f>
        <v>44406.6666666667</v>
      </c>
      <c r="B145" s="2" t="n">
        <f aca="false">IFERROR(__xludf.dummyfunction("""COMPUTED_VALUE"""),216.6)</f>
        <v>216.6</v>
      </c>
      <c r="C145" s="2" t="n">
        <f aca="false">IFERROR(__xludf.dummyfunction("""COMPUTED_VALUE"""),227.9)</f>
        <v>227.9</v>
      </c>
      <c r="D145" s="2" t="n">
        <f aca="false">IFERROR(__xludf.dummyfunction("""COMPUTED_VALUE"""),216.27)</f>
        <v>216.27</v>
      </c>
      <c r="E145" s="2" t="n">
        <f aca="false">IFERROR(__xludf.dummyfunction("""COMPUTED_VALUE"""),225.78)</f>
        <v>225.78</v>
      </c>
      <c r="F145" s="2" t="n">
        <f aca="false">IFERROR(__xludf.dummyfunction("""COMPUTED_VALUE"""),30394637)</f>
        <v>30394637</v>
      </c>
    </row>
    <row r="146" customFormat="false" ht="15.75" hidden="false" customHeight="false" outlineLevel="0" collapsed="false">
      <c r="A146" s="3" t="n">
        <f aca="false">IFERROR(__xludf.dummyfunction("""COMPUTED_VALUE"""),44407.6666666667)</f>
        <v>44407.6666666667</v>
      </c>
      <c r="B146" s="2" t="n">
        <f aca="false">IFERROR(__xludf.dummyfunction("""COMPUTED_VALUE"""),223.92)</f>
        <v>223.92</v>
      </c>
      <c r="C146" s="2" t="n">
        <f aca="false">IFERROR(__xludf.dummyfunction("""COMPUTED_VALUE"""),232.51)</f>
        <v>232.51</v>
      </c>
      <c r="D146" s="2" t="n">
        <f aca="false">IFERROR(__xludf.dummyfunction("""COMPUTED_VALUE"""),223)</f>
        <v>223</v>
      </c>
      <c r="E146" s="2" t="n">
        <f aca="false">IFERROR(__xludf.dummyfunction("""COMPUTED_VALUE"""),229.07)</f>
        <v>229.07</v>
      </c>
      <c r="F146" s="2" t="n">
        <f aca="false">IFERROR(__xludf.dummyfunction("""COMPUTED_VALUE"""),29656411)</f>
        <v>29656411</v>
      </c>
    </row>
    <row r="147" customFormat="false" ht="15.75" hidden="false" customHeight="false" outlineLevel="0" collapsed="false">
      <c r="A147" s="3" t="n">
        <f aca="false">IFERROR(__xludf.dummyfunction("""COMPUTED_VALUE"""),44410.6666666667)</f>
        <v>44410.6666666667</v>
      </c>
      <c r="B147" s="2" t="n">
        <f aca="false">IFERROR(__xludf.dummyfunction("""COMPUTED_VALUE"""),233.33)</f>
        <v>233.33</v>
      </c>
      <c r="C147" s="2" t="n">
        <f aca="false">IFERROR(__xludf.dummyfunction("""COMPUTED_VALUE"""),242.31)</f>
        <v>242.31</v>
      </c>
      <c r="D147" s="2" t="n">
        <f aca="false">IFERROR(__xludf.dummyfunction("""COMPUTED_VALUE"""),232.8)</f>
        <v>232.8</v>
      </c>
      <c r="E147" s="2" t="n">
        <f aca="false">IFERROR(__xludf.dummyfunction("""COMPUTED_VALUE"""),236.56)</f>
        <v>236.56</v>
      </c>
      <c r="F147" s="2" t="n">
        <f aca="false">IFERROR(__xludf.dummyfunction("""COMPUTED_VALUE"""),33615765)</f>
        <v>33615765</v>
      </c>
    </row>
    <row r="148" customFormat="false" ht="15.75" hidden="false" customHeight="false" outlineLevel="0" collapsed="false">
      <c r="A148" s="3" t="n">
        <f aca="false">IFERROR(__xludf.dummyfunction("""COMPUTED_VALUE"""),44411.6666666667)</f>
        <v>44411.6666666667</v>
      </c>
      <c r="B148" s="2" t="n">
        <f aca="false">IFERROR(__xludf.dummyfunction("""COMPUTED_VALUE"""),239.67)</f>
        <v>239.67</v>
      </c>
      <c r="C148" s="2" t="n">
        <f aca="false">IFERROR(__xludf.dummyfunction("""COMPUTED_VALUE"""),240.88)</f>
        <v>240.88</v>
      </c>
      <c r="D148" s="2" t="n">
        <f aca="false">IFERROR(__xludf.dummyfunction("""COMPUTED_VALUE"""),233.67)</f>
        <v>233.67</v>
      </c>
      <c r="E148" s="2" t="n">
        <f aca="false">IFERROR(__xludf.dummyfunction("""COMPUTED_VALUE"""),236.58)</f>
        <v>236.58</v>
      </c>
      <c r="F148" s="2" t="n">
        <f aca="false">IFERROR(__xludf.dummyfunction("""COMPUTED_VALUE"""),21620253)</f>
        <v>21620253</v>
      </c>
    </row>
    <row r="149" customFormat="false" ht="15.75" hidden="false" customHeight="false" outlineLevel="0" collapsed="false">
      <c r="A149" s="3" t="n">
        <f aca="false">IFERROR(__xludf.dummyfunction("""COMPUTED_VALUE"""),44412.6666666667)</f>
        <v>44412.6666666667</v>
      </c>
      <c r="B149" s="2" t="n">
        <f aca="false">IFERROR(__xludf.dummyfunction("""COMPUTED_VALUE"""),237)</f>
        <v>237</v>
      </c>
      <c r="C149" s="2" t="n">
        <f aca="false">IFERROR(__xludf.dummyfunction("""COMPUTED_VALUE"""),241.63)</f>
        <v>241.63</v>
      </c>
      <c r="D149" s="2" t="n">
        <f aca="false">IFERROR(__xludf.dummyfunction("""COMPUTED_VALUE"""),236.31)</f>
        <v>236.31</v>
      </c>
      <c r="E149" s="2" t="n">
        <f aca="false">IFERROR(__xludf.dummyfunction("""COMPUTED_VALUE"""),236.97)</f>
        <v>236.97</v>
      </c>
      <c r="F149" s="2" t="n">
        <f aca="false">IFERROR(__xludf.dummyfunction("""COMPUTED_VALUE"""),17002647)</f>
        <v>17002647</v>
      </c>
    </row>
    <row r="150" customFormat="false" ht="15.75" hidden="false" customHeight="false" outlineLevel="0" collapsed="false">
      <c r="A150" s="3" t="n">
        <f aca="false">IFERROR(__xludf.dummyfunction("""COMPUTED_VALUE"""),44413.6666666667)</f>
        <v>44413.6666666667</v>
      </c>
      <c r="B150" s="2" t="n">
        <f aca="false">IFERROR(__xludf.dummyfunction("""COMPUTED_VALUE"""),238.67)</f>
        <v>238.67</v>
      </c>
      <c r="C150" s="2" t="n">
        <f aca="false">IFERROR(__xludf.dummyfunction("""COMPUTED_VALUE"""),240.32)</f>
        <v>240.32</v>
      </c>
      <c r="D150" s="2" t="n">
        <f aca="false">IFERROR(__xludf.dummyfunction("""COMPUTED_VALUE"""),237.14)</f>
        <v>237.14</v>
      </c>
      <c r="E150" s="2" t="n">
        <f aca="false">IFERROR(__xludf.dummyfunction("""COMPUTED_VALUE"""),238.21)</f>
        <v>238.21</v>
      </c>
      <c r="F150" s="2" t="n">
        <f aca="false">IFERROR(__xludf.dummyfunction("""COMPUTED_VALUE"""),12919637)</f>
        <v>12919637</v>
      </c>
    </row>
    <row r="151" customFormat="false" ht="15.75" hidden="false" customHeight="false" outlineLevel="0" collapsed="false">
      <c r="A151" s="3" t="n">
        <f aca="false">IFERROR(__xludf.dummyfunction("""COMPUTED_VALUE"""),44414.6666666667)</f>
        <v>44414.6666666667</v>
      </c>
      <c r="B151" s="2" t="n">
        <f aca="false">IFERROR(__xludf.dummyfunction("""COMPUTED_VALUE"""),237.3)</f>
        <v>237.3</v>
      </c>
      <c r="C151" s="2" t="n">
        <f aca="false">IFERROR(__xludf.dummyfunction("""COMPUTED_VALUE"""),238.78)</f>
        <v>238.78</v>
      </c>
      <c r="D151" s="2" t="n">
        <f aca="false">IFERROR(__xludf.dummyfunction("""COMPUTED_VALUE"""),232.54)</f>
        <v>232.54</v>
      </c>
      <c r="E151" s="2" t="n">
        <f aca="false">IFERROR(__xludf.dummyfunction("""COMPUTED_VALUE"""),233.03)</f>
        <v>233.03</v>
      </c>
      <c r="F151" s="2" t="n">
        <f aca="false">IFERROR(__xludf.dummyfunction("""COMPUTED_VALUE"""),15623049)</f>
        <v>15623049</v>
      </c>
    </row>
    <row r="152" customFormat="false" ht="15.75" hidden="false" customHeight="false" outlineLevel="0" collapsed="false">
      <c r="A152" s="3" t="n">
        <f aca="false">IFERROR(__xludf.dummyfunction("""COMPUTED_VALUE"""),44417.6666666667)</f>
        <v>44417.6666666667</v>
      </c>
      <c r="B152" s="2" t="n">
        <f aca="false">IFERROR(__xludf.dummyfunction("""COMPUTED_VALUE"""),236.72)</f>
        <v>236.72</v>
      </c>
      <c r="C152" s="2" t="n">
        <f aca="false">IFERROR(__xludf.dummyfunction("""COMPUTED_VALUE"""),239.68)</f>
        <v>239.68</v>
      </c>
      <c r="D152" s="2" t="n">
        <f aca="false">IFERROR(__xludf.dummyfunction("""COMPUTED_VALUE"""),235.04)</f>
        <v>235.04</v>
      </c>
      <c r="E152" s="2" t="n">
        <f aca="false">IFERROR(__xludf.dummyfunction("""COMPUTED_VALUE"""),237.92)</f>
        <v>237.92</v>
      </c>
      <c r="F152" s="2" t="n">
        <f aca="false">IFERROR(__xludf.dummyfunction("""COMPUTED_VALUE"""),14715349)</f>
        <v>14715349</v>
      </c>
    </row>
    <row r="153" customFormat="false" ht="15.75" hidden="false" customHeight="false" outlineLevel="0" collapsed="false">
      <c r="A153" s="3" t="n">
        <f aca="false">IFERROR(__xludf.dummyfunction("""COMPUTED_VALUE"""),44418.6666666667)</f>
        <v>44418.6666666667</v>
      </c>
      <c r="B153" s="2" t="n">
        <f aca="false">IFERROR(__xludf.dummyfunction("""COMPUTED_VALUE"""),238)</f>
        <v>238</v>
      </c>
      <c r="C153" s="2" t="n">
        <f aca="false">IFERROR(__xludf.dummyfunction("""COMPUTED_VALUE"""),238.86)</f>
        <v>238.86</v>
      </c>
      <c r="D153" s="2" t="n">
        <f aca="false">IFERROR(__xludf.dummyfunction("""COMPUTED_VALUE"""),233.96)</f>
        <v>233.96</v>
      </c>
      <c r="E153" s="2" t="n">
        <f aca="false">IFERROR(__xludf.dummyfunction("""COMPUTED_VALUE"""),236.66)</f>
        <v>236.66</v>
      </c>
      <c r="F153" s="2" t="n">
        <f aca="false">IFERROR(__xludf.dummyfunction("""COMPUTED_VALUE"""),13432305)</f>
        <v>13432305</v>
      </c>
    </row>
    <row r="154" customFormat="false" ht="15.75" hidden="false" customHeight="false" outlineLevel="0" collapsed="false">
      <c r="A154" s="3" t="n">
        <f aca="false">IFERROR(__xludf.dummyfunction("""COMPUTED_VALUE"""),44419.6666666667)</f>
        <v>44419.6666666667</v>
      </c>
      <c r="B154" s="2" t="n">
        <f aca="false">IFERROR(__xludf.dummyfunction("""COMPUTED_VALUE"""),237.57)</f>
        <v>237.57</v>
      </c>
      <c r="C154" s="2" t="n">
        <f aca="false">IFERROR(__xludf.dummyfunction("""COMPUTED_VALUE"""),238.39)</f>
        <v>238.39</v>
      </c>
      <c r="D154" s="2" t="n">
        <f aca="false">IFERROR(__xludf.dummyfunction("""COMPUTED_VALUE"""),234.74)</f>
        <v>234.74</v>
      </c>
      <c r="E154" s="2" t="n">
        <f aca="false">IFERROR(__xludf.dummyfunction("""COMPUTED_VALUE"""),235.94)</f>
        <v>235.94</v>
      </c>
      <c r="F154" s="2" t="n">
        <f aca="false">IFERROR(__xludf.dummyfunction("""COMPUTED_VALUE"""),9800558)</f>
        <v>9800558</v>
      </c>
    </row>
    <row r="155" customFormat="false" ht="15.75" hidden="false" customHeight="false" outlineLevel="0" collapsed="false">
      <c r="A155" s="3" t="n">
        <f aca="false">IFERROR(__xludf.dummyfunction("""COMPUTED_VALUE"""),44420.6666666667)</f>
        <v>44420.6666666667</v>
      </c>
      <c r="B155" s="2" t="n">
        <f aca="false">IFERROR(__xludf.dummyfunction("""COMPUTED_VALUE"""),235.45)</f>
        <v>235.45</v>
      </c>
      <c r="C155" s="2" t="n">
        <f aca="false">IFERROR(__xludf.dummyfunction("""COMPUTED_VALUE"""),240.93)</f>
        <v>240.93</v>
      </c>
      <c r="D155" s="2" t="n">
        <f aca="false">IFERROR(__xludf.dummyfunction("""COMPUTED_VALUE"""),233.13)</f>
        <v>233.13</v>
      </c>
      <c r="E155" s="2" t="n">
        <f aca="false">IFERROR(__xludf.dummyfunction("""COMPUTED_VALUE"""),240.75)</f>
        <v>240.75</v>
      </c>
      <c r="F155" s="2" t="n">
        <f aca="false">IFERROR(__xludf.dummyfunction("""COMPUTED_VALUE"""),17681686)</f>
        <v>17681686</v>
      </c>
    </row>
    <row r="156" customFormat="false" ht="15.75" hidden="false" customHeight="false" outlineLevel="0" collapsed="false">
      <c r="A156" s="3" t="n">
        <f aca="false">IFERROR(__xludf.dummyfunction("""COMPUTED_VALUE"""),44421.6666666667)</f>
        <v>44421.6666666667</v>
      </c>
      <c r="B156" s="2" t="n">
        <f aca="false">IFERROR(__xludf.dummyfunction("""COMPUTED_VALUE"""),241.24)</f>
        <v>241.24</v>
      </c>
      <c r="C156" s="2" t="n">
        <f aca="false">IFERROR(__xludf.dummyfunction("""COMPUTED_VALUE"""),243.3)</f>
        <v>243.3</v>
      </c>
      <c r="D156" s="2" t="n">
        <f aca="false">IFERROR(__xludf.dummyfunction("""COMPUTED_VALUE"""),238.11)</f>
        <v>238.11</v>
      </c>
      <c r="E156" s="2" t="n">
        <f aca="false">IFERROR(__xludf.dummyfunction("""COMPUTED_VALUE"""),239.06)</f>
        <v>239.06</v>
      </c>
      <c r="F156" s="2" t="n">
        <f aca="false">IFERROR(__xludf.dummyfunction("""COMPUTED_VALUE"""),16731467)</f>
        <v>16731467</v>
      </c>
    </row>
    <row r="157" customFormat="false" ht="15.75" hidden="false" customHeight="false" outlineLevel="0" collapsed="false">
      <c r="A157" s="3" t="n">
        <f aca="false">IFERROR(__xludf.dummyfunction("""COMPUTED_VALUE"""),44424.6666666667)</f>
        <v>44424.6666666667</v>
      </c>
      <c r="B157" s="2" t="n">
        <f aca="false">IFERROR(__xludf.dummyfunction("""COMPUTED_VALUE"""),235.02)</f>
        <v>235.02</v>
      </c>
      <c r="C157" s="2" t="n">
        <f aca="false">IFERROR(__xludf.dummyfunction("""COMPUTED_VALUE"""),236.5)</f>
        <v>236.5</v>
      </c>
      <c r="D157" s="2" t="n">
        <f aca="false">IFERROR(__xludf.dummyfunction("""COMPUTED_VALUE"""),225.47)</f>
        <v>225.47</v>
      </c>
      <c r="E157" s="2" t="n">
        <f aca="false">IFERROR(__xludf.dummyfunction("""COMPUTED_VALUE"""),228.72)</f>
        <v>228.72</v>
      </c>
      <c r="F157" s="2" t="n">
        <f aca="false">IFERROR(__xludf.dummyfunction("""COMPUTED_VALUE"""),23103303)</f>
        <v>23103303</v>
      </c>
    </row>
    <row r="158" customFormat="false" ht="15.75" hidden="false" customHeight="false" outlineLevel="0" collapsed="false">
      <c r="A158" s="3" t="n">
        <f aca="false">IFERROR(__xludf.dummyfunction("""COMPUTED_VALUE"""),44425.6666666667)</f>
        <v>44425.6666666667</v>
      </c>
      <c r="B158" s="2" t="n">
        <f aca="false">IFERROR(__xludf.dummyfunction("""COMPUTED_VALUE"""),224.22)</f>
        <v>224.22</v>
      </c>
      <c r="C158" s="2" t="n">
        <f aca="false">IFERROR(__xludf.dummyfunction("""COMPUTED_VALUE"""),224.86)</f>
        <v>224.86</v>
      </c>
      <c r="D158" s="2" t="n">
        <f aca="false">IFERROR(__xludf.dummyfunction("""COMPUTED_VALUE"""),216.28)</f>
        <v>216.28</v>
      </c>
      <c r="E158" s="2" t="n">
        <f aca="false">IFERROR(__xludf.dummyfunction("""COMPUTED_VALUE"""),221.9)</f>
        <v>221.9</v>
      </c>
      <c r="F158" s="2" t="n">
        <f aca="false">IFERROR(__xludf.dummyfunction("""COMPUTED_VALUE"""),23721279)</f>
        <v>23721279</v>
      </c>
    </row>
    <row r="159" customFormat="false" ht="15.75" hidden="false" customHeight="false" outlineLevel="0" collapsed="false">
      <c r="A159" s="3" t="n">
        <f aca="false">IFERROR(__xludf.dummyfunction("""COMPUTED_VALUE"""),44426.6666666667)</f>
        <v>44426.6666666667</v>
      </c>
      <c r="B159" s="2" t="n">
        <f aca="false">IFERROR(__xludf.dummyfunction("""COMPUTED_VALUE"""),223.25)</f>
        <v>223.25</v>
      </c>
      <c r="C159" s="2" t="n">
        <f aca="false">IFERROR(__xludf.dummyfunction("""COMPUTED_VALUE"""),231.92)</f>
        <v>231.92</v>
      </c>
      <c r="D159" s="2" t="n">
        <f aca="false">IFERROR(__xludf.dummyfunction("""COMPUTED_VALUE"""),223.12)</f>
        <v>223.12</v>
      </c>
      <c r="E159" s="2" t="n">
        <f aca="false">IFERROR(__xludf.dummyfunction("""COMPUTED_VALUE"""),229.66)</f>
        <v>229.66</v>
      </c>
      <c r="F159" s="2" t="n">
        <f aca="false">IFERROR(__xludf.dummyfunction("""COMPUTED_VALUE"""),20349375)</f>
        <v>20349375</v>
      </c>
    </row>
    <row r="160" customFormat="false" ht="15.75" hidden="false" customHeight="false" outlineLevel="0" collapsed="false">
      <c r="A160" s="3" t="n">
        <f aca="false">IFERROR(__xludf.dummyfunction("""COMPUTED_VALUE"""),44427.6666666667)</f>
        <v>44427.6666666667</v>
      </c>
      <c r="B160" s="2" t="n">
        <f aca="false">IFERROR(__xludf.dummyfunction("""COMPUTED_VALUE"""),226.07)</f>
        <v>226.07</v>
      </c>
      <c r="C160" s="2" t="n">
        <f aca="false">IFERROR(__xludf.dummyfunction("""COMPUTED_VALUE"""),228.85)</f>
        <v>228.85</v>
      </c>
      <c r="D160" s="2" t="n">
        <f aca="false">IFERROR(__xludf.dummyfunction("""COMPUTED_VALUE"""),222.53)</f>
        <v>222.53</v>
      </c>
      <c r="E160" s="2" t="n">
        <f aca="false">IFERROR(__xludf.dummyfunction("""COMPUTED_VALUE"""),224.49)</f>
        <v>224.49</v>
      </c>
      <c r="F160" s="2" t="n">
        <f aca="false">IFERROR(__xludf.dummyfunction("""COMPUTED_VALUE"""),14313486)</f>
        <v>14313486</v>
      </c>
    </row>
    <row r="161" customFormat="false" ht="15.75" hidden="false" customHeight="false" outlineLevel="0" collapsed="false">
      <c r="A161" s="3" t="n">
        <f aca="false">IFERROR(__xludf.dummyfunction("""COMPUTED_VALUE"""),44428.6666666667)</f>
        <v>44428.6666666667</v>
      </c>
      <c r="B161" s="2" t="n">
        <f aca="false">IFERROR(__xludf.dummyfunction("""COMPUTED_VALUE"""),227.62)</f>
        <v>227.62</v>
      </c>
      <c r="C161" s="2" t="n">
        <f aca="false">IFERROR(__xludf.dummyfunction("""COMPUTED_VALUE"""),230.71)</f>
        <v>230.71</v>
      </c>
      <c r="D161" s="2" t="n">
        <f aca="false">IFERROR(__xludf.dummyfunction("""COMPUTED_VALUE"""),224.57)</f>
        <v>224.57</v>
      </c>
      <c r="E161" s="2" t="n">
        <f aca="false">IFERROR(__xludf.dummyfunction("""COMPUTED_VALUE"""),226.75)</f>
        <v>226.75</v>
      </c>
      <c r="F161" s="2" t="n">
        <f aca="false">IFERROR(__xludf.dummyfunction("""COMPUTED_VALUE"""),14841865)</f>
        <v>14841865</v>
      </c>
    </row>
    <row r="162" customFormat="false" ht="15.75" hidden="false" customHeight="false" outlineLevel="0" collapsed="false">
      <c r="A162" s="3" t="n">
        <f aca="false">IFERROR(__xludf.dummyfunction("""COMPUTED_VALUE"""),44431.6666666667)</f>
        <v>44431.6666666667</v>
      </c>
      <c r="B162" s="2" t="n">
        <f aca="false">IFERROR(__xludf.dummyfunction("""COMPUTED_VALUE"""),228.48)</f>
        <v>228.48</v>
      </c>
      <c r="C162" s="2" t="n">
        <f aca="false">IFERROR(__xludf.dummyfunction("""COMPUTED_VALUE"""),237.38)</f>
        <v>237.38</v>
      </c>
      <c r="D162" s="2" t="n">
        <f aca="false">IFERROR(__xludf.dummyfunction("""COMPUTED_VALUE"""),226.92)</f>
        <v>226.92</v>
      </c>
      <c r="E162" s="2" t="n">
        <f aca="false">IFERROR(__xludf.dummyfunction("""COMPUTED_VALUE"""),235.43)</f>
        <v>235.43</v>
      </c>
      <c r="F162" s="2" t="n">
        <f aca="false">IFERROR(__xludf.dummyfunction("""COMPUTED_VALUE"""),20264859)</f>
        <v>20264859</v>
      </c>
    </row>
    <row r="163" customFormat="false" ht="15.75" hidden="false" customHeight="false" outlineLevel="0" collapsed="false">
      <c r="A163" s="3" t="n">
        <f aca="false">IFERROR(__xludf.dummyfunction("""COMPUTED_VALUE"""),44432.6666666667)</f>
        <v>44432.6666666667</v>
      </c>
      <c r="B163" s="2" t="n">
        <f aca="false">IFERROR(__xludf.dummyfunction("""COMPUTED_VALUE"""),236.89)</f>
        <v>236.89</v>
      </c>
      <c r="C163" s="2" t="n">
        <f aca="false">IFERROR(__xludf.dummyfunction("""COMPUTED_VALUE"""),238.41)</f>
        <v>238.41</v>
      </c>
      <c r="D163" s="2" t="n">
        <f aca="false">IFERROR(__xludf.dummyfunction("""COMPUTED_VALUE"""),234.21)</f>
        <v>234.21</v>
      </c>
      <c r="E163" s="2" t="n">
        <f aca="false">IFERROR(__xludf.dummyfunction("""COMPUTED_VALUE"""),236.16)</f>
        <v>236.16</v>
      </c>
      <c r="F163" s="2" t="n">
        <f aca="false">IFERROR(__xludf.dummyfunction("""COMPUTED_VALUE"""),13083071)</f>
        <v>13083071</v>
      </c>
    </row>
    <row r="164" customFormat="false" ht="15.75" hidden="false" customHeight="false" outlineLevel="0" collapsed="false">
      <c r="A164" s="3" t="n">
        <f aca="false">IFERROR(__xludf.dummyfunction("""COMPUTED_VALUE"""),44433.6666666667)</f>
        <v>44433.6666666667</v>
      </c>
      <c r="B164" s="2" t="n">
        <f aca="false">IFERROR(__xludf.dummyfunction("""COMPUTED_VALUE"""),235.68)</f>
        <v>235.68</v>
      </c>
      <c r="C164" s="2" t="n">
        <f aca="false">IFERROR(__xludf.dummyfunction("""COMPUTED_VALUE"""),238.99)</f>
        <v>238.99</v>
      </c>
      <c r="D164" s="2" t="n">
        <f aca="false">IFERROR(__xludf.dummyfunction("""COMPUTED_VALUE"""),234.67)</f>
        <v>234.67</v>
      </c>
      <c r="E164" s="2" t="n">
        <f aca="false">IFERROR(__xludf.dummyfunction("""COMPUTED_VALUE"""),237.07)</f>
        <v>237.07</v>
      </c>
      <c r="F164" s="2" t="n">
        <f aca="false">IFERROR(__xludf.dummyfunction("""COMPUTED_VALUE"""),12645562)</f>
        <v>12645562</v>
      </c>
    </row>
    <row r="165" customFormat="false" ht="15.75" hidden="false" customHeight="false" outlineLevel="0" collapsed="false">
      <c r="A165" s="3" t="n">
        <f aca="false">IFERROR(__xludf.dummyfunction("""COMPUTED_VALUE"""),44434.6666666667)</f>
        <v>44434.6666666667</v>
      </c>
      <c r="B165" s="2" t="n">
        <f aca="false">IFERROR(__xludf.dummyfunction("""COMPUTED_VALUE"""),236.1)</f>
        <v>236.1</v>
      </c>
      <c r="C165" s="2" t="n">
        <f aca="false">IFERROR(__xludf.dummyfunction("""COMPUTED_VALUE"""),238.47)</f>
        <v>238.47</v>
      </c>
      <c r="D165" s="2" t="n">
        <f aca="false">IFERROR(__xludf.dummyfunction("""COMPUTED_VALUE"""),232.54)</f>
        <v>232.54</v>
      </c>
      <c r="E165" s="2" t="n">
        <f aca="false">IFERROR(__xludf.dummyfunction("""COMPUTED_VALUE"""),233.72)</f>
        <v>233.72</v>
      </c>
      <c r="F165" s="2" t="n">
        <f aca="false">IFERROR(__xludf.dummyfunction("""COMPUTED_VALUE"""),13214292)</f>
        <v>13214292</v>
      </c>
    </row>
    <row r="166" customFormat="false" ht="15.75" hidden="false" customHeight="false" outlineLevel="0" collapsed="false">
      <c r="A166" s="3" t="n">
        <f aca="false">IFERROR(__xludf.dummyfunction("""COMPUTED_VALUE"""),44435.6666666667)</f>
        <v>44435.6666666667</v>
      </c>
      <c r="B166" s="2" t="n">
        <f aca="false">IFERROR(__xludf.dummyfunction("""COMPUTED_VALUE"""),235)</f>
        <v>235</v>
      </c>
      <c r="C166" s="2" t="n">
        <f aca="false">IFERROR(__xludf.dummyfunction("""COMPUTED_VALUE"""),238.33)</f>
        <v>238.33</v>
      </c>
      <c r="D166" s="2" t="n">
        <f aca="false">IFERROR(__xludf.dummyfunction("""COMPUTED_VALUE"""),234.03)</f>
        <v>234.03</v>
      </c>
      <c r="E166" s="2" t="n">
        <f aca="false">IFERROR(__xludf.dummyfunction("""COMPUTED_VALUE"""),237.31)</f>
        <v>237.31</v>
      </c>
      <c r="F166" s="2" t="n">
        <f aca="false">IFERROR(__xludf.dummyfunction("""COMPUTED_VALUE"""),13833763)</f>
        <v>13833763</v>
      </c>
    </row>
    <row r="167" customFormat="false" ht="15.75" hidden="false" customHeight="false" outlineLevel="0" collapsed="false">
      <c r="A167" s="3" t="n">
        <f aca="false">IFERROR(__xludf.dummyfunction("""COMPUTED_VALUE"""),44438.6666666667)</f>
        <v>44438.6666666667</v>
      </c>
      <c r="B167" s="2" t="n">
        <f aca="false">IFERROR(__xludf.dummyfunction("""COMPUTED_VALUE"""),238.24)</f>
        <v>238.24</v>
      </c>
      <c r="C167" s="2" t="n">
        <f aca="false">IFERROR(__xludf.dummyfunction("""COMPUTED_VALUE"""),243.67)</f>
        <v>243.67</v>
      </c>
      <c r="D167" s="2" t="n">
        <f aca="false">IFERROR(__xludf.dummyfunction("""COMPUTED_VALUE"""),237.58)</f>
        <v>237.58</v>
      </c>
      <c r="E167" s="2" t="n">
        <f aca="false">IFERROR(__xludf.dummyfunction("""COMPUTED_VALUE"""),243.64)</f>
        <v>243.64</v>
      </c>
      <c r="F167" s="2" t="n">
        <f aca="false">IFERROR(__xludf.dummyfunction("""COMPUTED_VALUE"""),18604220)</f>
        <v>18604220</v>
      </c>
    </row>
    <row r="168" customFormat="false" ht="15.75" hidden="false" customHeight="false" outlineLevel="0" collapsed="false">
      <c r="A168" s="3" t="n">
        <f aca="false">IFERROR(__xludf.dummyfunction("""COMPUTED_VALUE"""),44439.6666666667)</f>
        <v>44439.6666666667</v>
      </c>
      <c r="B168" s="2" t="n">
        <f aca="false">IFERROR(__xludf.dummyfunction("""COMPUTED_VALUE"""),244.33)</f>
        <v>244.33</v>
      </c>
      <c r="C168" s="2" t="n">
        <f aca="false">IFERROR(__xludf.dummyfunction("""COMPUTED_VALUE"""),246.8)</f>
        <v>246.8</v>
      </c>
      <c r="D168" s="2" t="n">
        <f aca="false">IFERROR(__xludf.dummyfunction("""COMPUTED_VALUE"""),242.15)</f>
        <v>242.15</v>
      </c>
      <c r="E168" s="2" t="n">
        <f aca="false">IFERROR(__xludf.dummyfunction("""COMPUTED_VALUE"""),245.24)</f>
        <v>245.24</v>
      </c>
      <c r="F168" s="2" t="n">
        <f aca="false">IFERROR(__xludf.dummyfunction("""COMPUTED_VALUE"""),20855436)</f>
        <v>20855436</v>
      </c>
    </row>
    <row r="169" customFormat="false" ht="15.75" hidden="false" customHeight="false" outlineLevel="0" collapsed="false">
      <c r="A169" s="3" t="n">
        <f aca="false">IFERROR(__xludf.dummyfunction("""COMPUTED_VALUE"""),44440.6666666667)</f>
        <v>44440.6666666667</v>
      </c>
      <c r="B169" s="2" t="n">
        <f aca="false">IFERROR(__xludf.dummyfunction("""COMPUTED_VALUE"""),244.69)</f>
        <v>244.69</v>
      </c>
      <c r="C169" s="2" t="n">
        <f aca="false">IFERROR(__xludf.dummyfunction("""COMPUTED_VALUE"""),247.33)</f>
        <v>247.33</v>
      </c>
      <c r="D169" s="2" t="n">
        <f aca="false">IFERROR(__xludf.dummyfunction("""COMPUTED_VALUE"""),243.76)</f>
        <v>243.76</v>
      </c>
      <c r="E169" s="2" t="n">
        <f aca="false">IFERROR(__xludf.dummyfunction("""COMPUTED_VALUE"""),244.7)</f>
        <v>244.7</v>
      </c>
      <c r="F169" s="2" t="n">
        <f aca="false">IFERROR(__xludf.dummyfunction("""COMPUTED_VALUE"""),13204335)</f>
        <v>13204335</v>
      </c>
    </row>
    <row r="170" customFormat="false" ht="15.75" hidden="false" customHeight="false" outlineLevel="0" collapsed="false">
      <c r="A170" s="3" t="n">
        <f aca="false">IFERROR(__xludf.dummyfunction("""COMPUTED_VALUE"""),44441.6666666667)</f>
        <v>44441.6666666667</v>
      </c>
      <c r="B170" s="2" t="n">
        <f aca="false">IFERROR(__xludf.dummyfunction("""COMPUTED_VALUE"""),244.83)</f>
        <v>244.83</v>
      </c>
      <c r="C170" s="2" t="n">
        <f aca="false">IFERROR(__xludf.dummyfunction("""COMPUTED_VALUE"""),246.99)</f>
        <v>246.99</v>
      </c>
      <c r="D170" s="2" t="n">
        <f aca="false">IFERROR(__xludf.dummyfunction("""COMPUTED_VALUE"""),243.51)</f>
        <v>243.51</v>
      </c>
      <c r="E170" s="2" t="n">
        <f aca="false">IFERROR(__xludf.dummyfunction("""COMPUTED_VALUE"""),244.13)</f>
        <v>244.13</v>
      </c>
      <c r="F170" s="2" t="n">
        <f aca="false">IFERROR(__xludf.dummyfunction("""COMPUTED_VALUE"""),12796739)</f>
        <v>12796739</v>
      </c>
    </row>
    <row r="171" customFormat="false" ht="15.75" hidden="false" customHeight="false" outlineLevel="0" collapsed="false">
      <c r="A171" s="3" t="n">
        <f aca="false">IFERROR(__xludf.dummyfunction("""COMPUTED_VALUE"""),44442.6666666667)</f>
        <v>44442.6666666667</v>
      </c>
      <c r="B171" s="2" t="n">
        <f aca="false">IFERROR(__xludf.dummyfunction("""COMPUTED_VALUE"""),244.08)</f>
        <v>244.08</v>
      </c>
      <c r="C171" s="2" t="n">
        <f aca="false">IFERROR(__xludf.dummyfunction("""COMPUTED_VALUE"""),244.67)</f>
        <v>244.67</v>
      </c>
      <c r="D171" s="2" t="n">
        <f aca="false">IFERROR(__xludf.dummyfunction("""COMPUTED_VALUE"""),241.4)</f>
        <v>241.4</v>
      </c>
      <c r="E171" s="2" t="n">
        <f aca="false">IFERROR(__xludf.dummyfunction("""COMPUTED_VALUE"""),244.52)</f>
        <v>244.52</v>
      </c>
      <c r="F171" s="2" t="n">
        <f aca="false">IFERROR(__xludf.dummyfunction("""COMPUTED_VALUE"""),15271045)</f>
        <v>15271045</v>
      </c>
    </row>
    <row r="172" customFormat="false" ht="15.75" hidden="false" customHeight="false" outlineLevel="0" collapsed="false">
      <c r="A172" s="3" t="n">
        <f aca="false">IFERROR(__xludf.dummyfunction("""COMPUTED_VALUE"""),44446.6666666667)</f>
        <v>44446.6666666667</v>
      </c>
      <c r="B172" s="2" t="n">
        <f aca="false">IFERROR(__xludf.dummyfunction("""COMPUTED_VALUE"""),246.67)</f>
        <v>246.67</v>
      </c>
      <c r="C172" s="2" t="n">
        <f aca="false">IFERROR(__xludf.dummyfunction("""COMPUTED_VALUE"""),253.4)</f>
        <v>253.4</v>
      </c>
      <c r="D172" s="2" t="n">
        <f aca="false">IFERROR(__xludf.dummyfunction("""COMPUTED_VALUE"""),246.42)</f>
        <v>246.42</v>
      </c>
      <c r="E172" s="2" t="n">
        <f aca="false">IFERROR(__xludf.dummyfunction("""COMPUTED_VALUE"""),250.97)</f>
        <v>250.97</v>
      </c>
      <c r="F172" s="2" t="n">
        <f aca="false">IFERROR(__xludf.dummyfunction("""COMPUTED_VALUE"""),20039825)</f>
        <v>20039825</v>
      </c>
    </row>
    <row r="173" customFormat="false" ht="15.75" hidden="false" customHeight="false" outlineLevel="0" collapsed="false">
      <c r="A173" s="3" t="n">
        <f aca="false">IFERROR(__xludf.dummyfunction("""COMPUTED_VALUE"""),44447.6666666667)</f>
        <v>44447.6666666667</v>
      </c>
      <c r="B173" s="2" t="n">
        <f aca="false">IFERROR(__xludf.dummyfunction("""COMPUTED_VALUE"""),253.86)</f>
        <v>253.86</v>
      </c>
      <c r="C173" s="2" t="n">
        <f aca="false">IFERROR(__xludf.dummyfunction("""COMPUTED_VALUE"""),254.82)</f>
        <v>254.82</v>
      </c>
      <c r="D173" s="2" t="n">
        <f aca="false">IFERROR(__xludf.dummyfunction("""COMPUTED_VALUE"""),246.92)</f>
        <v>246.92</v>
      </c>
      <c r="E173" s="2" t="n">
        <f aca="false">IFERROR(__xludf.dummyfunction("""COMPUTED_VALUE"""),251.29)</f>
        <v>251.29</v>
      </c>
      <c r="F173" s="2" t="n">
        <f aca="false">IFERROR(__xludf.dummyfunction("""COMPUTED_VALUE"""),18793036)</f>
        <v>18793036</v>
      </c>
    </row>
    <row r="174" customFormat="false" ht="15.75" hidden="false" customHeight="false" outlineLevel="0" collapsed="false">
      <c r="A174" s="3" t="n">
        <f aca="false">IFERROR(__xludf.dummyfunction("""COMPUTED_VALUE"""),44448.6666666667)</f>
        <v>44448.6666666667</v>
      </c>
      <c r="B174" s="2" t="n">
        <f aca="false">IFERROR(__xludf.dummyfunction("""COMPUTED_VALUE"""),251.14)</f>
        <v>251.14</v>
      </c>
      <c r="C174" s="2" t="n">
        <f aca="false">IFERROR(__xludf.dummyfunction("""COMPUTED_VALUE"""),254.03)</f>
        <v>254.03</v>
      </c>
      <c r="D174" s="2" t="n">
        <f aca="false">IFERROR(__xludf.dummyfunction("""COMPUTED_VALUE"""),250.54)</f>
        <v>250.54</v>
      </c>
      <c r="E174" s="2" t="n">
        <f aca="false">IFERROR(__xludf.dummyfunction("""COMPUTED_VALUE"""),251.62)</f>
        <v>251.62</v>
      </c>
      <c r="F174" s="2" t="n">
        <f aca="false">IFERROR(__xludf.dummyfunction("""COMPUTED_VALUE"""),14077731)</f>
        <v>14077731</v>
      </c>
    </row>
    <row r="175" customFormat="false" ht="15.75" hidden="false" customHeight="false" outlineLevel="0" collapsed="false">
      <c r="A175" s="3" t="n">
        <f aca="false">IFERROR(__xludf.dummyfunction("""COMPUTED_VALUE"""),44449.6666666667)</f>
        <v>44449.6666666667</v>
      </c>
      <c r="B175" s="2" t="n">
        <f aca="false">IFERROR(__xludf.dummyfunction("""COMPUTED_VALUE"""),253.2)</f>
        <v>253.2</v>
      </c>
      <c r="C175" s="2" t="n">
        <f aca="false">IFERROR(__xludf.dummyfunction("""COMPUTED_VALUE"""),254.2)</f>
        <v>254.2</v>
      </c>
      <c r="D175" s="2" t="n">
        <f aca="false">IFERROR(__xludf.dummyfunction("""COMPUTED_VALUE"""),244.84)</f>
        <v>244.84</v>
      </c>
      <c r="E175" s="2" t="n">
        <f aca="false">IFERROR(__xludf.dummyfunction("""COMPUTED_VALUE"""),245.42)</f>
        <v>245.42</v>
      </c>
      <c r="F175" s="2" t="n">
        <f aca="false">IFERROR(__xludf.dummyfunction("""COMPUTED_VALUE"""),15184170)</f>
        <v>15184170</v>
      </c>
    </row>
    <row r="176" customFormat="false" ht="15.75" hidden="false" customHeight="false" outlineLevel="0" collapsed="false">
      <c r="A176" s="3" t="n">
        <f aca="false">IFERROR(__xludf.dummyfunction("""COMPUTED_VALUE"""),44452.6666666667)</f>
        <v>44452.6666666667</v>
      </c>
      <c r="B176" s="2" t="n">
        <f aca="false">IFERROR(__xludf.dummyfunction("""COMPUTED_VALUE"""),246.74)</f>
        <v>246.74</v>
      </c>
      <c r="C176" s="2" t="n">
        <f aca="false">IFERROR(__xludf.dummyfunction("""COMPUTED_VALUE"""),248.26)</f>
        <v>248.26</v>
      </c>
      <c r="D176" s="2" t="n">
        <f aca="false">IFERROR(__xludf.dummyfunction("""COMPUTED_VALUE"""),236.28)</f>
        <v>236.28</v>
      </c>
      <c r="E176" s="2" t="n">
        <f aca="false">IFERROR(__xludf.dummyfunction("""COMPUTED_VALUE"""),247.67)</f>
        <v>247.67</v>
      </c>
      <c r="F176" s="2" t="n">
        <f aca="false">IFERROR(__xludf.dummyfunction("""COMPUTED_VALUE"""),22952482)</f>
        <v>22952482</v>
      </c>
    </row>
    <row r="177" customFormat="false" ht="15.75" hidden="false" customHeight="false" outlineLevel="0" collapsed="false">
      <c r="A177" s="3" t="n">
        <f aca="false">IFERROR(__xludf.dummyfunction("""COMPUTED_VALUE"""),44453.6666666667)</f>
        <v>44453.6666666667</v>
      </c>
      <c r="B177" s="2" t="n">
        <f aca="false">IFERROR(__xludf.dummyfunction("""COMPUTED_VALUE"""),247.52)</f>
        <v>247.52</v>
      </c>
      <c r="C177" s="2" t="n">
        <f aca="false">IFERROR(__xludf.dummyfunction("""COMPUTED_VALUE"""),251.49)</f>
        <v>251.49</v>
      </c>
      <c r="D177" s="2" t="n">
        <f aca="false">IFERROR(__xludf.dummyfunction("""COMPUTED_VALUE"""),245.47)</f>
        <v>245.47</v>
      </c>
      <c r="E177" s="2" t="n">
        <f aca="false">IFERROR(__xludf.dummyfunction("""COMPUTED_VALUE"""),248.16)</f>
        <v>248.16</v>
      </c>
      <c r="F177" s="2" t="n">
        <f aca="false">IFERROR(__xludf.dummyfunction("""COMPUTED_VALUE"""),18524881)</f>
        <v>18524881</v>
      </c>
    </row>
    <row r="178" customFormat="false" ht="15.75" hidden="false" customHeight="false" outlineLevel="0" collapsed="false">
      <c r="A178" s="3" t="n">
        <f aca="false">IFERROR(__xludf.dummyfunction("""COMPUTED_VALUE"""),44454.6666666667)</f>
        <v>44454.6666666667</v>
      </c>
      <c r="B178" s="2" t="n">
        <f aca="false">IFERROR(__xludf.dummyfunction("""COMPUTED_VALUE"""),248.33)</f>
        <v>248.33</v>
      </c>
      <c r="C178" s="2" t="n">
        <f aca="false">IFERROR(__xludf.dummyfunction("""COMPUTED_VALUE"""),252.29)</f>
        <v>252.29</v>
      </c>
      <c r="D178" s="2" t="n">
        <f aca="false">IFERROR(__xludf.dummyfunction("""COMPUTED_VALUE"""),246.12)</f>
        <v>246.12</v>
      </c>
      <c r="E178" s="2" t="n">
        <f aca="false">IFERROR(__xludf.dummyfunction("""COMPUTED_VALUE"""),251.94)</f>
        <v>251.94</v>
      </c>
      <c r="F178" s="2" t="n">
        <f aca="false">IFERROR(__xludf.dummyfunction("""COMPUTED_VALUE"""),15357685)</f>
        <v>15357685</v>
      </c>
    </row>
    <row r="179" customFormat="false" ht="15.75" hidden="false" customHeight="false" outlineLevel="0" collapsed="false">
      <c r="A179" s="3" t="n">
        <f aca="false">IFERROR(__xludf.dummyfunction("""COMPUTED_VALUE"""),44455.6666666667)</f>
        <v>44455.6666666667</v>
      </c>
      <c r="B179" s="2" t="n">
        <f aca="false">IFERROR(__xludf.dummyfunction("""COMPUTED_VALUE"""),250.94)</f>
        <v>250.94</v>
      </c>
      <c r="C179" s="2" t="n">
        <f aca="false">IFERROR(__xludf.dummyfunction("""COMPUTED_VALUE"""),252.97)</f>
        <v>252.97</v>
      </c>
      <c r="D179" s="2" t="n">
        <f aca="false">IFERROR(__xludf.dummyfunction("""COMPUTED_VALUE"""),249.2)</f>
        <v>249.2</v>
      </c>
      <c r="E179" s="2" t="n">
        <f aca="false">IFERROR(__xludf.dummyfunction("""COMPUTED_VALUE"""),252.33)</f>
        <v>252.33</v>
      </c>
      <c r="F179" s="2" t="n">
        <f aca="false">IFERROR(__xludf.dummyfunction("""COMPUTED_VALUE"""),13923393)</f>
        <v>13923393</v>
      </c>
    </row>
    <row r="180" customFormat="false" ht="15.75" hidden="false" customHeight="false" outlineLevel="0" collapsed="false">
      <c r="A180" s="3" t="n">
        <f aca="false">IFERROR(__xludf.dummyfunction("""COMPUTED_VALUE"""),44456.6666666667)</f>
        <v>44456.6666666667</v>
      </c>
      <c r="B180" s="2" t="n">
        <f aca="false">IFERROR(__xludf.dummyfunction("""COMPUTED_VALUE"""),252.38)</f>
        <v>252.38</v>
      </c>
      <c r="C180" s="2" t="n">
        <f aca="false">IFERROR(__xludf.dummyfunction("""COMPUTED_VALUE"""),253.68)</f>
        <v>253.68</v>
      </c>
      <c r="D180" s="2" t="n">
        <f aca="false">IFERROR(__xludf.dummyfunction("""COMPUTED_VALUE"""),250)</f>
        <v>250</v>
      </c>
      <c r="E180" s="2" t="n">
        <f aca="false">IFERROR(__xludf.dummyfunction("""COMPUTED_VALUE"""),253.16)</f>
        <v>253.16</v>
      </c>
      <c r="F180" s="2" t="n">
        <f aca="false">IFERROR(__xludf.dummyfunction("""COMPUTED_VALUE"""),28204176)</f>
        <v>28204176</v>
      </c>
    </row>
    <row r="181" customFormat="false" ht="15.75" hidden="false" customHeight="false" outlineLevel="0" collapsed="false">
      <c r="A181" s="3" t="n">
        <f aca="false">IFERROR(__xludf.dummyfunction("""COMPUTED_VALUE"""),44459.6666666667)</f>
        <v>44459.6666666667</v>
      </c>
      <c r="B181" s="2" t="n">
        <f aca="false">IFERROR(__xludf.dummyfunction("""COMPUTED_VALUE"""),244.85)</f>
        <v>244.85</v>
      </c>
      <c r="C181" s="2" t="n">
        <f aca="false">IFERROR(__xludf.dummyfunction("""COMPUTED_VALUE"""),247.33)</f>
        <v>247.33</v>
      </c>
      <c r="D181" s="2" t="n">
        <f aca="false">IFERROR(__xludf.dummyfunction("""COMPUTED_VALUE"""),239.54)</f>
        <v>239.54</v>
      </c>
      <c r="E181" s="2" t="n">
        <f aca="false">IFERROR(__xludf.dummyfunction("""COMPUTED_VALUE"""),243.39)</f>
        <v>243.39</v>
      </c>
      <c r="F181" s="2" t="n">
        <f aca="false">IFERROR(__xludf.dummyfunction("""COMPUTED_VALUE"""),24757652)</f>
        <v>24757652</v>
      </c>
    </row>
    <row r="182" customFormat="false" ht="15.75" hidden="false" customHeight="false" outlineLevel="0" collapsed="false">
      <c r="A182" s="3" t="n">
        <f aca="false">IFERROR(__xludf.dummyfunction("""COMPUTED_VALUE"""),44460.6666666667)</f>
        <v>44460.6666666667</v>
      </c>
      <c r="B182" s="2" t="n">
        <f aca="false">IFERROR(__xludf.dummyfunction("""COMPUTED_VALUE"""),244.93)</f>
        <v>244.93</v>
      </c>
      <c r="C182" s="2" t="n">
        <f aca="false">IFERROR(__xludf.dummyfunction("""COMPUTED_VALUE"""),248.25)</f>
        <v>248.25</v>
      </c>
      <c r="D182" s="2" t="n">
        <f aca="false">IFERROR(__xludf.dummyfunction("""COMPUTED_VALUE"""),243.48)</f>
        <v>243.48</v>
      </c>
      <c r="E182" s="2" t="n">
        <f aca="false">IFERROR(__xludf.dummyfunction("""COMPUTED_VALUE"""),246.46)</f>
        <v>246.46</v>
      </c>
      <c r="F182" s="2" t="n">
        <f aca="false">IFERROR(__xludf.dummyfunction("""COMPUTED_VALUE"""),16330723)</f>
        <v>16330723</v>
      </c>
    </row>
    <row r="183" customFormat="false" ht="15.75" hidden="false" customHeight="false" outlineLevel="0" collapsed="false">
      <c r="A183" s="3" t="n">
        <f aca="false">IFERROR(__xludf.dummyfunction("""COMPUTED_VALUE"""),44461.6666666667)</f>
        <v>44461.6666666667</v>
      </c>
      <c r="B183" s="2" t="n">
        <f aca="false">IFERROR(__xludf.dummyfunction("""COMPUTED_VALUE"""),247.84)</f>
        <v>247.84</v>
      </c>
      <c r="C183" s="2" t="n">
        <f aca="false">IFERROR(__xludf.dummyfunction("""COMPUTED_VALUE"""),251.22)</f>
        <v>251.22</v>
      </c>
      <c r="D183" s="2" t="n">
        <f aca="false">IFERROR(__xludf.dummyfunction("""COMPUTED_VALUE"""),246.37)</f>
        <v>246.37</v>
      </c>
      <c r="E183" s="2" t="n">
        <f aca="false">IFERROR(__xludf.dummyfunction("""COMPUTED_VALUE"""),250.65)</f>
        <v>250.65</v>
      </c>
      <c r="F183" s="2" t="n">
        <f aca="false">IFERROR(__xludf.dummyfunction("""COMPUTED_VALUE"""),15126272)</f>
        <v>15126272</v>
      </c>
    </row>
    <row r="184" customFormat="false" ht="15.75" hidden="false" customHeight="false" outlineLevel="0" collapsed="false">
      <c r="A184" s="3" t="n">
        <f aca="false">IFERROR(__xludf.dummyfunction("""COMPUTED_VALUE"""),44462.6666666667)</f>
        <v>44462.6666666667</v>
      </c>
      <c r="B184" s="2" t="n">
        <f aca="false">IFERROR(__xludf.dummyfunction("""COMPUTED_VALUE"""),251.67)</f>
        <v>251.67</v>
      </c>
      <c r="C184" s="2" t="n">
        <f aca="false">IFERROR(__xludf.dummyfunction("""COMPUTED_VALUE"""),252.73)</f>
        <v>252.73</v>
      </c>
      <c r="D184" s="2" t="n">
        <f aca="false">IFERROR(__xludf.dummyfunction("""COMPUTED_VALUE"""),249.31)</f>
        <v>249.31</v>
      </c>
      <c r="E184" s="2" t="n">
        <f aca="false">IFERROR(__xludf.dummyfunction("""COMPUTED_VALUE"""),251.21)</f>
        <v>251.21</v>
      </c>
      <c r="F184" s="2" t="n">
        <f aca="false">IFERROR(__xludf.dummyfunction("""COMPUTED_VALUE"""),11947527)</f>
        <v>11947527</v>
      </c>
    </row>
    <row r="185" customFormat="false" ht="15.75" hidden="false" customHeight="false" outlineLevel="0" collapsed="false">
      <c r="A185" s="3" t="n">
        <f aca="false">IFERROR(__xludf.dummyfunction("""COMPUTED_VALUE"""),44463.6666666667)</f>
        <v>44463.6666666667</v>
      </c>
      <c r="B185" s="2" t="n">
        <f aca="false">IFERROR(__xludf.dummyfunction("""COMPUTED_VALUE"""),248.63)</f>
        <v>248.63</v>
      </c>
      <c r="C185" s="2" t="n">
        <f aca="false">IFERROR(__xludf.dummyfunction("""COMPUTED_VALUE"""),258.27)</f>
        <v>258.27</v>
      </c>
      <c r="D185" s="2" t="n">
        <f aca="false">IFERROR(__xludf.dummyfunction("""COMPUTED_VALUE"""),248.19)</f>
        <v>248.19</v>
      </c>
      <c r="E185" s="2" t="n">
        <f aca="false">IFERROR(__xludf.dummyfunction("""COMPUTED_VALUE"""),258.13)</f>
        <v>258.13</v>
      </c>
      <c r="F185" s="2" t="n">
        <f aca="false">IFERROR(__xludf.dummyfunction("""COMPUTED_VALUE"""),21373022)</f>
        <v>21373022</v>
      </c>
    </row>
    <row r="186" customFormat="false" ht="15.75" hidden="false" customHeight="false" outlineLevel="0" collapsed="false">
      <c r="A186" s="3" t="n">
        <f aca="false">IFERROR(__xludf.dummyfunction("""COMPUTED_VALUE"""),44466.6666666667)</f>
        <v>44466.6666666667</v>
      </c>
      <c r="B186" s="2" t="n">
        <f aca="false">IFERROR(__xludf.dummyfunction("""COMPUTED_VALUE"""),257.71)</f>
        <v>257.71</v>
      </c>
      <c r="C186" s="2" t="n">
        <f aca="false">IFERROR(__xludf.dummyfunction("""COMPUTED_VALUE"""),266.33)</f>
        <v>266.33</v>
      </c>
      <c r="D186" s="2" t="n">
        <f aca="false">IFERROR(__xludf.dummyfunction("""COMPUTED_VALUE"""),256.44)</f>
        <v>256.44</v>
      </c>
      <c r="E186" s="2" t="n">
        <f aca="false">IFERROR(__xludf.dummyfunction("""COMPUTED_VALUE"""),263.79)</f>
        <v>263.79</v>
      </c>
      <c r="F186" s="2" t="n">
        <f aca="false">IFERROR(__xludf.dummyfunction("""COMPUTED_VALUE"""),28070657)</f>
        <v>28070657</v>
      </c>
    </row>
    <row r="187" customFormat="false" ht="15.75" hidden="false" customHeight="false" outlineLevel="0" collapsed="false">
      <c r="A187" s="3" t="n">
        <f aca="false">IFERROR(__xludf.dummyfunction("""COMPUTED_VALUE"""),44467.6666666667)</f>
        <v>44467.6666666667</v>
      </c>
      <c r="B187" s="2" t="n">
        <f aca="false">IFERROR(__xludf.dummyfunction("""COMPUTED_VALUE"""),262.4)</f>
        <v>262.4</v>
      </c>
      <c r="C187" s="2" t="n">
        <f aca="false">IFERROR(__xludf.dummyfunction("""COMPUTED_VALUE"""),265.21)</f>
        <v>265.21</v>
      </c>
      <c r="D187" s="2" t="n">
        <f aca="false">IFERROR(__xludf.dummyfunction("""COMPUTED_VALUE"""),255.39)</f>
        <v>255.39</v>
      </c>
      <c r="E187" s="2" t="n">
        <f aca="false">IFERROR(__xludf.dummyfunction("""COMPUTED_VALUE"""),259.19)</f>
        <v>259.19</v>
      </c>
      <c r="F187" s="2" t="n">
        <f aca="false">IFERROR(__xludf.dummyfunction("""COMPUTED_VALUE"""),25381422)</f>
        <v>25381422</v>
      </c>
    </row>
    <row r="188" customFormat="false" ht="15.75" hidden="false" customHeight="false" outlineLevel="0" collapsed="false">
      <c r="A188" s="3" t="n">
        <f aca="false">IFERROR(__xludf.dummyfunction("""COMPUTED_VALUE"""),44468.6666666667)</f>
        <v>44468.6666666667</v>
      </c>
      <c r="B188" s="2" t="n">
        <f aca="false">IFERROR(__xludf.dummyfunction("""COMPUTED_VALUE"""),259.93)</f>
        <v>259.93</v>
      </c>
      <c r="C188" s="2" t="n">
        <f aca="false">IFERROR(__xludf.dummyfunction("""COMPUTED_VALUE"""),264.5)</f>
        <v>264.5</v>
      </c>
      <c r="D188" s="2" t="n">
        <f aca="false">IFERROR(__xludf.dummyfunction("""COMPUTED_VALUE"""),256.89)</f>
        <v>256.89</v>
      </c>
      <c r="E188" s="2" t="n">
        <f aca="false">IFERROR(__xludf.dummyfunction("""COMPUTED_VALUE"""),260.44)</f>
        <v>260.44</v>
      </c>
      <c r="F188" s="2" t="n">
        <f aca="false">IFERROR(__xludf.dummyfunction("""COMPUTED_VALUE"""),20942877)</f>
        <v>20942877</v>
      </c>
    </row>
    <row r="189" customFormat="false" ht="15.75" hidden="false" customHeight="false" outlineLevel="0" collapsed="false">
      <c r="A189" s="3" t="n">
        <f aca="false">IFERROR(__xludf.dummyfunction("""COMPUTED_VALUE"""),44469.6666666667)</f>
        <v>44469.6666666667</v>
      </c>
      <c r="B189" s="2" t="n">
        <f aca="false">IFERROR(__xludf.dummyfunction("""COMPUTED_VALUE"""),260.33)</f>
        <v>260.33</v>
      </c>
      <c r="C189" s="2" t="n">
        <f aca="false">IFERROR(__xludf.dummyfunction("""COMPUTED_VALUE"""),263.04)</f>
        <v>263.04</v>
      </c>
      <c r="D189" s="2" t="n">
        <f aca="false">IFERROR(__xludf.dummyfunction("""COMPUTED_VALUE"""),258.33)</f>
        <v>258.33</v>
      </c>
      <c r="E189" s="2" t="n">
        <f aca="false">IFERROR(__xludf.dummyfunction("""COMPUTED_VALUE"""),258.49)</f>
        <v>258.49</v>
      </c>
      <c r="F189" s="2" t="n">
        <f aca="false">IFERROR(__xludf.dummyfunction("""COMPUTED_VALUE"""),17955961)</f>
        <v>17955961</v>
      </c>
    </row>
    <row r="190" customFormat="false" ht="15.75" hidden="false" customHeight="false" outlineLevel="0" collapsed="false">
      <c r="A190" s="3" t="n">
        <f aca="false">IFERROR(__xludf.dummyfunction("""COMPUTED_VALUE"""),44470.6666666667)</f>
        <v>44470.6666666667</v>
      </c>
      <c r="B190" s="2" t="n">
        <f aca="false">IFERROR(__xludf.dummyfunction("""COMPUTED_VALUE"""),259.47)</f>
        <v>259.47</v>
      </c>
      <c r="C190" s="2" t="n">
        <f aca="false">IFERROR(__xludf.dummyfunction("""COMPUTED_VALUE"""),260.26)</f>
        <v>260.26</v>
      </c>
      <c r="D190" s="2" t="n">
        <f aca="false">IFERROR(__xludf.dummyfunction("""COMPUTED_VALUE"""),254.53)</f>
        <v>254.53</v>
      </c>
      <c r="E190" s="2" t="n">
        <f aca="false">IFERROR(__xludf.dummyfunction("""COMPUTED_VALUE"""),258.41)</f>
        <v>258.41</v>
      </c>
      <c r="F190" s="2" t="n">
        <f aca="false">IFERROR(__xludf.dummyfunction("""COMPUTED_VALUE"""),17031414)</f>
        <v>17031414</v>
      </c>
    </row>
    <row r="191" customFormat="false" ht="15.75" hidden="false" customHeight="false" outlineLevel="0" collapsed="false">
      <c r="A191" s="3" t="n">
        <f aca="false">IFERROR(__xludf.dummyfunction("""COMPUTED_VALUE"""),44473.6666666667)</f>
        <v>44473.6666666667</v>
      </c>
      <c r="B191" s="2" t="n">
        <f aca="false">IFERROR(__xludf.dummyfunction("""COMPUTED_VALUE"""),265.5)</f>
        <v>265.5</v>
      </c>
      <c r="C191" s="2" t="n">
        <f aca="false">IFERROR(__xludf.dummyfunction("""COMPUTED_VALUE"""),268.99)</f>
        <v>268.99</v>
      </c>
      <c r="D191" s="2" t="n">
        <f aca="false">IFERROR(__xludf.dummyfunction("""COMPUTED_VALUE"""),258.71)</f>
        <v>258.71</v>
      </c>
      <c r="E191" s="2" t="n">
        <f aca="false">IFERROR(__xludf.dummyfunction("""COMPUTED_VALUE"""),260.51)</f>
        <v>260.51</v>
      </c>
      <c r="F191" s="2" t="n">
        <f aca="false">IFERROR(__xludf.dummyfunction("""COMPUTED_VALUE"""),30483341)</f>
        <v>30483341</v>
      </c>
    </row>
    <row r="192" customFormat="false" ht="15.75" hidden="false" customHeight="false" outlineLevel="0" collapsed="false">
      <c r="A192" s="3" t="n">
        <f aca="false">IFERROR(__xludf.dummyfunction("""COMPUTED_VALUE"""),44474.6666666667)</f>
        <v>44474.6666666667</v>
      </c>
      <c r="B192" s="2" t="n">
        <f aca="false">IFERROR(__xludf.dummyfunction("""COMPUTED_VALUE"""),261.6)</f>
        <v>261.6</v>
      </c>
      <c r="C192" s="2" t="n">
        <f aca="false">IFERROR(__xludf.dummyfunction("""COMPUTED_VALUE"""),265.77)</f>
        <v>265.77</v>
      </c>
      <c r="D192" s="2" t="n">
        <f aca="false">IFERROR(__xludf.dummyfunction("""COMPUTED_VALUE"""),258.07)</f>
        <v>258.07</v>
      </c>
      <c r="E192" s="2" t="n">
        <f aca="false">IFERROR(__xludf.dummyfunction("""COMPUTED_VALUE"""),260.2)</f>
        <v>260.2</v>
      </c>
      <c r="F192" s="2" t="n">
        <f aca="false">IFERROR(__xludf.dummyfunction("""COMPUTED_VALUE"""),18432625)</f>
        <v>18432625</v>
      </c>
    </row>
    <row r="193" customFormat="false" ht="15.75" hidden="false" customHeight="false" outlineLevel="0" collapsed="false">
      <c r="A193" s="3" t="n">
        <f aca="false">IFERROR(__xludf.dummyfunction("""COMPUTED_VALUE"""),44475.6666666667)</f>
        <v>44475.6666666667</v>
      </c>
      <c r="B193" s="2" t="n">
        <f aca="false">IFERROR(__xludf.dummyfunction("""COMPUTED_VALUE"""),258.73)</f>
        <v>258.73</v>
      </c>
      <c r="C193" s="2" t="n">
        <f aca="false">IFERROR(__xludf.dummyfunction("""COMPUTED_VALUE"""),262.22)</f>
        <v>262.22</v>
      </c>
      <c r="D193" s="2" t="n">
        <f aca="false">IFERROR(__xludf.dummyfunction("""COMPUTED_VALUE"""),257.74)</f>
        <v>257.74</v>
      </c>
      <c r="E193" s="2" t="n">
        <f aca="false">IFERROR(__xludf.dummyfunction("""COMPUTED_VALUE"""),260.92)</f>
        <v>260.92</v>
      </c>
      <c r="F193" s="2" t="n">
        <f aca="false">IFERROR(__xludf.dummyfunction("""COMPUTED_VALUE"""),14632768)</f>
        <v>14632768</v>
      </c>
    </row>
    <row r="194" customFormat="false" ht="15.75" hidden="false" customHeight="false" outlineLevel="0" collapsed="false">
      <c r="A194" s="3" t="n">
        <f aca="false">IFERROR(__xludf.dummyfunction("""COMPUTED_VALUE"""),44476.6666666667)</f>
        <v>44476.6666666667</v>
      </c>
      <c r="B194" s="2" t="n">
        <f aca="false">IFERROR(__xludf.dummyfunction("""COMPUTED_VALUE"""),261.82)</f>
        <v>261.82</v>
      </c>
      <c r="C194" s="2" t="n">
        <f aca="false">IFERROR(__xludf.dummyfunction("""COMPUTED_VALUE"""),268.33)</f>
        <v>268.33</v>
      </c>
      <c r="D194" s="2" t="n">
        <f aca="false">IFERROR(__xludf.dummyfunction("""COMPUTED_VALUE"""),261.13)</f>
        <v>261.13</v>
      </c>
      <c r="E194" s="2" t="n">
        <f aca="false">IFERROR(__xludf.dummyfunction("""COMPUTED_VALUE"""),264.54)</f>
        <v>264.54</v>
      </c>
      <c r="F194" s="2" t="n">
        <f aca="false">IFERROR(__xludf.dummyfunction("""COMPUTED_VALUE"""),19195782)</f>
        <v>19195782</v>
      </c>
    </row>
    <row r="195" customFormat="false" ht="15.75" hidden="false" customHeight="false" outlineLevel="0" collapsed="false">
      <c r="A195" s="3" t="n">
        <f aca="false">IFERROR(__xludf.dummyfunction("""COMPUTED_VALUE"""),44477.6666666667)</f>
        <v>44477.6666666667</v>
      </c>
      <c r="B195" s="2" t="n">
        <f aca="false">IFERROR(__xludf.dummyfunction("""COMPUTED_VALUE"""),265.4)</f>
        <v>265.4</v>
      </c>
      <c r="C195" s="2" t="n">
        <f aca="false">IFERROR(__xludf.dummyfunction("""COMPUTED_VALUE"""),265.46)</f>
        <v>265.46</v>
      </c>
      <c r="D195" s="2" t="n">
        <f aca="false">IFERROR(__xludf.dummyfunction("""COMPUTED_VALUE"""),260.3)</f>
        <v>260.3</v>
      </c>
      <c r="E195" s="2" t="n">
        <f aca="false">IFERROR(__xludf.dummyfunction("""COMPUTED_VALUE"""),261.83)</f>
        <v>261.83</v>
      </c>
      <c r="F195" s="2" t="n">
        <f aca="false">IFERROR(__xludf.dummyfunction("""COMPUTED_VALUE"""),16738604)</f>
        <v>16738604</v>
      </c>
    </row>
    <row r="196" customFormat="false" ht="15.75" hidden="false" customHeight="false" outlineLevel="0" collapsed="false">
      <c r="A196" s="3" t="n">
        <f aca="false">IFERROR(__xludf.dummyfunction("""COMPUTED_VALUE"""),44480.6666666667)</f>
        <v>44480.6666666667</v>
      </c>
      <c r="B196" s="2" t="n">
        <f aca="false">IFERROR(__xludf.dummyfunction("""COMPUTED_VALUE"""),262.55)</f>
        <v>262.55</v>
      </c>
      <c r="C196" s="2" t="n">
        <f aca="false">IFERROR(__xludf.dummyfunction("""COMPUTED_VALUE"""),267.08)</f>
        <v>267.08</v>
      </c>
      <c r="D196" s="2" t="n">
        <f aca="false">IFERROR(__xludf.dummyfunction("""COMPUTED_VALUE"""),261.83)</f>
        <v>261.83</v>
      </c>
      <c r="E196" s="2" t="n">
        <f aca="false">IFERROR(__xludf.dummyfunction("""COMPUTED_VALUE"""),263.98)</f>
        <v>263.98</v>
      </c>
      <c r="F196" s="2" t="n">
        <f aca="false">IFERROR(__xludf.dummyfunction("""COMPUTED_VALUE"""),14200322)</f>
        <v>14200322</v>
      </c>
    </row>
    <row r="197" customFormat="false" ht="15.75" hidden="false" customHeight="false" outlineLevel="0" collapsed="false">
      <c r="A197" s="3" t="n">
        <f aca="false">IFERROR(__xludf.dummyfunction("""COMPUTED_VALUE"""),44481.6666666667)</f>
        <v>44481.6666666667</v>
      </c>
      <c r="B197" s="2" t="n">
        <f aca="false">IFERROR(__xludf.dummyfunction("""COMPUTED_VALUE"""),266.98)</f>
        <v>266.98</v>
      </c>
      <c r="C197" s="2" t="n">
        <f aca="false">IFERROR(__xludf.dummyfunction("""COMPUTED_VALUE"""),270.77)</f>
        <v>270.77</v>
      </c>
      <c r="D197" s="2" t="n">
        <f aca="false">IFERROR(__xludf.dummyfunction("""COMPUTED_VALUE"""),265.52)</f>
        <v>265.52</v>
      </c>
      <c r="E197" s="2" t="n">
        <f aca="false">IFERROR(__xludf.dummyfunction("""COMPUTED_VALUE"""),268.57)</f>
        <v>268.57</v>
      </c>
      <c r="F197" s="2" t="n">
        <f aca="false">IFERROR(__xludf.dummyfunction("""COMPUTED_VALUE"""),22020040)</f>
        <v>22020040</v>
      </c>
    </row>
    <row r="198" customFormat="false" ht="15.75" hidden="false" customHeight="false" outlineLevel="0" collapsed="false">
      <c r="A198" s="3" t="n">
        <f aca="false">IFERROR(__xludf.dummyfunction("""COMPUTED_VALUE"""),44482.6666666667)</f>
        <v>44482.6666666667</v>
      </c>
      <c r="B198" s="2" t="n">
        <f aca="false">IFERROR(__xludf.dummyfunction("""COMPUTED_VALUE"""),270.16)</f>
        <v>270.16</v>
      </c>
      <c r="C198" s="2" t="n">
        <f aca="false">IFERROR(__xludf.dummyfunction("""COMPUTED_VALUE"""),271.8)</f>
        <v>271.8</v>
      </c>
      <c r="D198" s="2" t="n">
        <f aca="false">IFERROR(__xludf.dummyfunction("""COMPUTED_VALUE"""),268.59)</f>
        <v>268.59</v>
      </c>
      <c r="E198" s="2" t="n">
        <f aca="false">IFERROR(__xludf.dummyfunction("""COMPUTED_VALUE"""),270.36)</f>
        <v>270.36</v>
      </c>
      <c r="F198" s="2" t="n">
        <f aca="false">IFERROR(__xludf.dummyfunction("""COMPUTED_VALUE"""),14120075)</f>
        <v>14120075</v>
      </c>
    </row>
    <row r="199" customFormat="false" ht="15.75" hidden="false" customHeight="false" outlineLevel="0" collapsed="false">
      <c r="A199" s="3" t="n">
        <f aca="false">IFERROR(__xludf.dummyfunction("""COMPUTED_VALUE"""),44483.6666666667)</f>
        <v>44483.6666666667</v>
      </c>
      <c r="B199" s="2" t="n">
        <f aca="false">IFERROR(__xludf.dummyfunction("""COMPUTED_VALUE"""),271.83)</f>
        <v>271.83</v>
      </c>
      <c r="C199" s="2" t="n">
        <f aca="false">IFERROR(__xludf.dummyfunction("""COMPUTED_VALUE"""),273.42)</f>
        <v>273.42</v>
      </c>
      <c r="D199" s="2" t="n">
        <f aca="false">IFERROR(__xludf.dummyfunction("""COMPUTED_VALUE"""),271.12)</f>
        <v>271.12</v>
      </c>
      <c r="E199" s="2" t="n">
        <f aca="false">IFERROR(__xludf.dummyfunction("""COMPUTED_VALUE"""),272.77)</f>
        <v>272.77</v>
      </c>
      <c r="F199" s="2" t="n">
        <f aca="false">IFERROR(__xludf.dummyfunction("""COMPUTED_VALUE"""),12247170)</f>
        <v>12247170</v>
      </c>
    </row>
    <row r="200" customFormat="false" ht="15.75" hidden="false" customHeight="false" outlineLevel="0" collapsed="false">
      <c r="A200" s="3" t="n">
        <f aca="false">IFERROR(__xludf.dummyfunction("""COMPUTED_VALUE"""),44484.6666666667)</f>
        <v>44484.6666666667</v>
      </c>
      <c r="B200" s="2" t="n">
        <f aca="false">IFERROR(__xludf.dummyfunction("""COMPUTED_VALUE"""),274.58)</f>
        <v>274.58</v>
      </c>
      <c r="C200" s="2" t="n">
        <f aca="false">IFERROR(__xludf.dummyfunction("""COMPUTED_VALUE"""),281.07)</f>
        <v>281.07</v>
      </c>
      <c r="D200" s="2" t="n">
        <f aca="false">IFERROR(__xludf.dummyfunction("""COMPUTED_VALUE"""),274.12)</f>
        <v>274.12</v>
      </c>
      <c r="E200" s="2" t="n">
        <f aca="false">IFERROR(__xludf.dummyfunction("""COMPUTED_VALUE"""),281.01)</f>
        <v>281.01</v>
      </c>
      <c r="F200" s="2" t="n">
        <f aca="false">IFERROR(__xludf.dummyfunction("""COMPUTED_VALUE"""),18924567)</f>
        <v>18924567</v>
      </c>
    </row>
    <row r="201" customFormat="false" ht="15.75" hidden="false" customHeight="false" outlineLevel="0" collapsed="false">
      <c r="A201" s="3" t="n">
        <f aca="false">IFERROR(__xludf.dummyfunction("""COMPUTED_VALUE"""),44487.6666666667)</f>
        <v>44487.6666666667</v>
      </c>
      <c r="B201" s="2" t="n">
        <f aca="false">IFERROR(__xludf.dummyfunction("""COMPUTED_VALUE"""),283.93)</f>
        <v>283.93</v>
      </c>
      <c r="C201" s="2" t="n">
        <f aca="false">IFERROR(__xludf.dummyfunction("""COMPUTED_VALUE"""),291.75)</f>
        <v>291.75</v>
      </c>
      <c r="D201" s="2" t="n">
        <f aca="false">IFERROR(__xludf.dummyfunction("""COMPUTED_VALUE"""),283.82)</f>
        <v>283.82</v>
      </c>
      <c r="E201" s="2" t="n">
        <f aca="false">IFERROR(__xludf.dummyfunction("""COMPUTED_VALUE"""),290.04)</f>
        <v>290.04</v>
      </c>
      <c r="F201" s="2" t="n">
        <f aca="false">IFERROR(__xludf.dummyfunction("""COMPUTED_VALUE"""),24207244)</f>
        <v>24207244</v>
      </c>
    </row>
    <row r="202" customFormat="false" ht="15.75" hidden="false" customHeight="false" outlineLevel="0" collapsed="false">
      <c r="A202" s="3" t="n">
        <f aca="false">IFERROR(__xludf.dummyfunction("""COMPUTED_VALUE"""),44488.6666666667)</f>
        <v>44488.6666666667</v>
      </c>
      <c r="B202" s="2" t="n">
        <f aca="false">IFERROR(__xludf.dummyfunction("""COMPUTED_VALUE"""),292.51)</f>
        <v>292.51</v>
      </c>
      <c r="C202" s="2" t="n">
        <f aca="false">IFERROR(__xludf.dummyfunction("""COMPUTED_VALUE"""),292.65)</f>
        <v>292.65</v>
      </c>
      <c r="D202" s="2" t="n">
        <f aca="false">IFERROR(__xludf.dummyfunction("""COMPUTED_VALUE"""),287.5)</f>
        <v>287.5</v>
      </c>
      <c r="E202" s="2" t="n">
        <f aca="false">IFERROR(__xludf.dummyfunction("""COMPUTED_VALUE"""),288.09)</f>
        <v>288.09</v>
      </c>
      <c r="F202" s="2" t="n">
        <f aca="false">IFERROR(__xludf.dummyfunction("""COMPUTED_VALUE"""),17381128)</f>
        <v>17381128</v>
      </c>
    </row>
    <row r="203" customFormat="false" ht="15.75" hidden="false" customHeight="false" outlineLevel="0" collapsed="false">
      <c r="A203" s="3" t="n">
        <f aca="false">IFERROR(__xludf.dummyfunction("""COMPUTED_VALUE"""),44489.6666666667)</f>
        <v>44489.6666666667</v>
      </c>
      <c r="B203" s="2" t="n">
        <f aca="false">IFERROR(__xludf.dummyfunction("""COMPUTED_VALUE"""),288.45)</f>
        <v>288.45</v>
      </c>
      <c r="C203" s="2" t="n">
        <f aca="false">IFERROR(__xludf.dummyfunction("""COMPUTED_VALUE"""),289.83)</f>
        <v>289.83</v>
      </c>
      <c r="D203" s="2" t="n">
        <f aca="false">IFERROR(__xludf.dummyfunction("""COMPUTED_VALUE"""),285.79)</f>
        <v>285.79</v>
      </c>
      <c r="E203" s="2" t="n">
        <f aca="false">IFERROR(__xludf.dummyfunction("""COMPUTED_VALUE"""),288.6)</f>
        <v>288.6</v>
      </c>
      <c r="F203" s="2" t="n">
        <f aca="false">IFERROR(__xludf.dummyfunction("""COMPUTED_VALUE"""),14032052)</f>
        <v>14032052</v>
      </c>
    </row>
    <row r="204" customFormat="false" ht="15.75" hidden="false" customHeight="false" outlineLevel="0" collapsed="false">
      <c r="A204" s="3" t="n">
        <f aca="false">IFERROR(__xludf.dummyfunction("""COMPUTED_VALUE"""),44490.6666666667)</f>
        <v>44490.6666666667</v>
      </c>
      <c r="B204" s="2" t="n">
        <f aca="false">IFERROR(__xludf.dummyfunction("""COMPUTED_VALUE"""),285.33)</f>
        <v>285.33</v>
      </c>
      <c r="C204" s="2" t="n">
        <f aca="false">IFERROR(__xludf.dummyfunction("""COMPUTED_VALUE"""),300)</f>
        <v>300</v>
      </c>
      <c r="D204" s="2" t="n">
        <f aca="false">IFERROR(__xludf.dummyfunction("""COMPUTED_VALUE"""),285.17)</f>
        <v>285.17</v>
      </c>
      <c r="E204" s="2" t="n">
        <f aca="false">IFERROR(__xludf.dummyfunction("""COMPUTED_VALUE"""),298)</f>
        <v>298</v>
      </c>
      <c r="F204" s="2" t="n">
        <f aca="false">IFERROR(__xludf.dummyfunction("""COMPUTED_VALUE"""),31481454)</f>
        <v>31481454</v>
      </c>
    </row>
    <row r="205" customFormat="false" ht="15.75" hidden="false" customHeight="false" outlineLevel="0" collapsed="false">
      <c r="A205" s="3" t="n">
        <f aca="false">IFERROR(__xludf.dummyfunction("""COMPUTED_VALUE"""),44491.6666666667)</f>
        <v>44491.6666666667</v>
      </c>
      <c r="B205" s="2" t="n">
        <f aca="false">IFERROR(__xludf.dummyfunction("""COMPUTED_VALUE"""),298.5)</f>
        <v>298.5</v>
      </c>
      <c r="C205" s="2" t="n">
        <f aca="false">IFERROR(__xludf.dummyfunction("""COMPUTED_VALUE"""),303.33)</f>
        <v>303.33</v>
      </c>
      <c r="D205" s="2" t="n">
        <f aca="false">IFERROR(__xludf.dummyfunction("""COMPUTED_VALUE"""),296.99)</f>
        <v>296.99</v>
      </c>
      <c r="E205" s="2" t="n">
        <f aca="false">IFERROR(__xludf.dummyfunction("""COMPUTED_VALUE"""),303.23)</f>
        <v>303.23</v>
      </c>
      <c r="F205" s="2" t="n">
        <f aca="false">IFERROR(__xludf.dummyfunction("""COMPUTED_VALUE"""),22880835)</f>
        <v>22880835</v>
      </c>
    </row>
    <row r="206" customFormat="false" ht="15.75" hidden="false" customHeight="false" outlineLevel="0" collapsed="false">
      <c r="A206" s="3" t="n">
        <f aca="false">IFERROR(__xludf.dummyfunction("""COMPUTED_VALUE"""),44494.6666666667)</f>
        <v>44494.6666666667</v>
      </c>
      <c r="B206" s="2" t="n">
        <f aca="false">IFERROR(__xludf.dummyfunction("""COMPUTED_VALUE"""),316.84)</f>
        <v>316.84</v>
      </c>
      <c r="C206" s="2" t="n">
        <f aca="false">IFERROR(__xludf.dummyfunction("""COMPUTED_VALUE"""),348.34)</f>
        <v>348.34</v>
      </c>
      <c r="D206" s="2" t="n">
        <f aca="false">IFERROR(__xludf.dummyfunction("""COMPUTED_VALUE"""),314.73)</f>
        <v>314.73</v>
      </c>
      <c r="E206" s="2" t="n">
        <f aca="false">IFERROR(__xludf.dummyfunction("""COMPUTED_VALUE"""),341.62)</f>
        <v>341.62</v>
      </c>
      <c r="F206" s="2" t="n">
        <f aca="false">IFERROR(__xludf.dummyfunction("""COMPUTED_VALUE"""),62852099)</f>
        <v>62852099</v>
      </c>
    </row>
    <row r="207" customFormat="false" ht="15.75" hidden="false" customHeight="false" outlineLevel="0" collapsed="false">
      <c r="A207" s="3" t="n">
        <f aca="false">IFERROR(__xludf.dummyfunction("""COMPUTED_VALUE"""),44495.6666666667)</f>
        <v>44495.6666666667</v>
      </c>
      <c r="B207" s="2" t="n">
        <f aca="false">IFERROR(__xludf.dummyfunction("""COMPUTED_VALUE"""),341.56)</f>
        <v>341.56</v>
      </c>
      <c r="C207" s="2" t="n">
        <f aca="false">IFERROR(__xludf.dummyfunction("""COMPUTED_VALUE"""),364.98)</f>
        <v>364.98</v>
      </c>
      <c r="D207" s="2" t="n">
        <f aca="false">IFERROR(__xludf.dummyfunction("""COMPUTED_VALUE"""),333.81)</f>
        <v>333.81</v>
      </c>
      <c r="E207" s="2" t="n">
        <f aca="false">IFERROR(__xludf.dummyfunction("""COMPUTED_VALUE"""),339.48)</f>
        <v>339.48</v>
      </c>
      <c r="F207" s="2" t="n">
        <f aca="false">IFERROR(__xludf.dummyfunction("""COMPUTED_VALUE"""),62414968)</f>
        <v>62414968</v>
      </c>
    </row>
    <row r="208" customFormat="false" ht="15.75" hidden="false" customHeight="false" outlineLevel="0" collapsed="false">
      <c r="A208" s="3" t="n">
        <f aca="false">IFERROR(__xludf.dummyfunction("""COMPUTED_VALUE"""),44496.6666666667)</f>
        <v>44496.6666666667</v>
      </c>
      <c r="B208" s="2" t="n">
        <f aca="false">IFERROR(__xludf.dummyfunction("""COMPUTED_VALUE"""),346.55)</f>
        <v>346.55</v>
      </c>
      <c r="C208" s="2" t="n">
        <f aca="false">IFERROR(__xludf.dummyfunction("""COMPUTED_VALUE"""),356.96)</f>
        <v>356.96</v>
      </c>
      <c r="D208" s="2" t="n">
        <f aca="false">IFERROR(__xludf.dummyfunction("""COMPUTED_VALUE"""),343.59)</f>
        <v>343.59</v>
      </c>
      <c r="E208" s="2" t="n">
        <f aca="false">IFERROR(__xludf.dummyfunction("""COMPUTED_VALUE"""),345.95)</f>
        <v>345.95</v>
      </c>
      <c r="F208" s="2" t="n">
        <f aca="false">IFERROR(__xludf.dummyfunction("""COMPUTED_VALUE"""),38526459)</f>
        <v>38526459</v>
      </c>
    </row>
    <row r="209" customFormat="false" ht="15.75" hidden="false" customHeight="false" outlineLevel="0" collapsed="false">
      <c r="A209" s="3" t="n">
        <f aca="false">IFERROR(__xludf.dummyfunction("""COMPUTED_VALUE"""),44497.6666666667)</f>
        <v>44497.6666666667</v>
      </c>
      <c r="B209" s="2" t="n">
        <f aca="false">IFERROR(__xludf.dummyfunction("""COMPUTED_VALUE"""),356.1)</f>
        <v>356.1</v>
      </c>
      <c r="C209" s="2" t="n">
        <f aca="false">IFERROR(__xludf.dummyfunction("""COMPUTED_VALUE"""),360.33)</f>
        <v>360.33</v>
      </c>
      <c r="D209" s="2" t="n">
        <f aca="false">IFERROR(__xludf.dummyfunction("""COMPUTED_VALUE"""),351.4)</f>
        <v>351.4</v>
      </c>
      <c r="E209" s="2" t="n">
        <f aca="false">IFERROR(__xludf.dummyfunction("""COMPUTED_VALUE"""),359.01)</f>
        <v>359.01</v>
      </c>
      <c r="F209" s="2" t="n">
        <f aca="false">IFERROR(__xludf.dummyfunction("""COMPUTED_VALUE"""),27213173)</f>
        <v>27213173</v>
      </c>
    </row>
    <row r="210" customFormat="false" ht="15.75" hidden="false" customHeight="false" outlineLevel="0" collapsed="false">
      <c r="A210" s="3" t="n">
        <f aca="false">IFERROR(__xludf.dummyfunction("""COMPUTED_VALUE"""),44498.6666666667)</f>
        <v>44498.6666666667</v>
      </c>
      <c r="B210" s="2" t="n">
        <f aca="false">IFERROR(__xludf.dummyfunction("""COMPUTED_VALUE"""),360.62)</f>
        <v>360.62</v>
      </c>
      <c r="C210" s="2" t="n">
        <f aca="false">IFERROR(__xludf.dummyfunction("""COMPUTED_VALUE"""),371.74)</f>
        <v>371.74</v>
      </c>
      <c r="D210" s="2" t="n">
        <f aca="false">IFERROR(__xludf.dummyfunction("""COMPUTED_VALUE"""),357.74)</f>
        <v>357.74</v>
      </c>
      <c r="E210" s="2" t="n">
        <f aca="false">IFERROR(__xludf.dummyfunction("""COMPUTED_VALUE"""),371.33)</f>
        <v>371.33</v>
      </c>
      <c r="F210" s="2" t="n">
        <f aca="false">IFERROR(__xludf.dummyfunction("""COMPUTED_VALUE"""),29918417)</f>
        <v>29918417</v>
      </c>
    </row>
    <row r="211" customFormat="false" ht="15.75" hidden="false" customHeight="false" outlineLevel="0" collapsed="false">
      <c r="A211" s="3" t="n">
        <f aca="false">IFERROR(__xludf.dummyfunction("""COMPUTED_VALUE"""),44501.6666666667)</f>
        <v>44501.6666666667</v>
      </c>
      <c r="B211" s="2" t="n">
        <f aca="false">IFERROR(__xludf.dummyfunction("""COMPUTED_VALUE"""),381.67)</f>
        <v>381.67</v>
      </c>
      <c r="C211" s="2" t="n">
        <f aca="false">IFERROR(__xludf.dummyfunction("""COMPUTED_VALUE"""),403.25)</f>
        <v>403.25</v>
      </c>
      <c r="D211" s="2" t="n">
        <f aca="false">IFERROR(__xludf.dummyfunction("""COMPUTED_VALUE"""),372.89)</f>
        <v>372.89</v>
      </c>
      <c r="E211" s="2" t="n">
        <f aca="false">IFERROR(__xludf.dummyfunction("""COMPUTED_VALUE"""),402.86)</f>
        <v>402.86</v>
      </c>
      <c r="F211" s="2" t="n">
        <f aca="false">IFERROR(__xludf.dummyfunction("""COMPUTED_VALUE"""),56048716)</f>
        <v>56048716</v>
      </c>
    </row>
    <row r="212" customFormat="false" ht="15.75" hidden="false" customHeight="false" outlineLevel="0" collapsed="false">
      <c r="A212" s="3" t="n">
        <f aca="false">IFERROR(__xludf.dummyfunction("""COMPUTED_VALUE"""),44502.6666666667)</f>
        <v>44502.6666666667</v>
      </c>
      <c r="B212" s="2" t="n">
        <f aca="false">IFERROR(__xludf.dummyfunction("""COMPUTED_VALUE"""),386.45)</f>
        <v>386.45</v>
      </c>
      <c r="C212" s="2" t="n">
        <f aca="false">IFERROR(__xludf.dummyfunction("""COMPUTED_VALUE"""),402.86)</f>
        <v>402.86</v>
      </c>
      <c r="D212" s="2" t="n">
        <f aca="false">IFERROR(__xludf.dummyfunction("""COMPUTED_VALUE"""),382)</f>
        <v>382</v>
      </c>
      <c r="E212" s="2" t="n">
        <f aca="false">IFERROR(__xludf.dummyfunction("""COMPUTED_VALUE"""),390.67)</f>
        <v>390.67</v>
      </c>
      <c r="F212" s="2" t="n">
        <f aca="false">IFERROR(__xludf.dummyfunction("""COMPUTED_VALUE"""),42737797)</f>
        <v>42737797</v>
      </c>
    </row>
    <row r="213" customFormat="false" ht="15.75" hidden="false" customHeight="false" outlineLevel="0" collapsed="false">
      <c r="A213" s="3" t="n">
        <f aca="false">IFERROR(__xludf.dummyfunction("""COMPUTED_VALUE"""),44503.6666666667)</f>
        <v>44503.6666666667</v>
      </c>
      <c r="B213" s="2" t="n">
        <f aca="false">IFERROR(__xludf.dummyfunction("""COMPUTED_VALUE"""),392.44)</f>
        <v>392.44</v>
      </c>
      <c r="C213" s="2" t="n">
        <f aca="false">IFERROR(__xludf.dummyfunction("""COMPUTED_VALUE"""),405.13)</f>
        <v>405.13</v>
      </c>
      <c r="D213" s="2" t="n">
        <f aca="false">IFERROR(__xludf.dummyfunction("""COMPUTED_VALUE"""),384.21)</f>
        <v>384.21</v>
      </c>
      <c r="E213" s="2" t="n">
        <f aca="false">IFERROR(__xludf.dummyfunction("""COMPUTED_VALUE"""),404.62)</f>
        <v>404.62</v>
      </c>
      <c r="F213" s="2" t="n">
        <f aca="false">IFERROR(__xludf.dummyfunction("""COMPUTED_VALUE"""),34628519)</f>
        <v>34628519</v>
      </c>
    </row>
    <row r="214" customFormat="false" ht="15.75" hidden="false" customHeight="false" outlineLevel="0" collapsed="false">
      <c r="A214" s="3" t="n">
        <f aca="false">IFERROR(__xludf.dummyfunction("""COMPUTED_VALUE"""),44504.6666666667)</f>
        <v>44504.6666666667</v>
      </c>
      <c r="B214" s="2" t="n">
        <f aca="false">IFERROR(__xludf.dummyfunction("""COMPUTED_VALUE"""),411.47)</f>
        <v>411.47</v>
      </c>
      <c r="C214" s="2" t="n">
        <f aca="false">IFERROR(__xludf.dummyfunction("""COMPUTED_VALUE"""),414.5)</f>
        <v>414.5</v>
      </c>
      <c r="D214" s="2" t="n">
        <f aca="false">IFERROR(__xludf.dummyfunction("""COMPUTED_VALUE"""),405.67)</f>
        <v>405.67</v>
      </c>
      <c r="E214" s="2" t="n">
        <f aca="false">IFERROR(__xludf.dummyfunction("""COMPUTED_VALUE"""),409.97)</f>
        <v>409.97</v>
      </c>
      <c r="F214" s="2" t="n">
        <f aca="false">IFERROR(__xludf.dummyfunction("""COMPUTED_VALUE"""),25397410)</f>
        <v>25397410</v>
      </c>
    </row>
    <row r="215" customFormat="false" ht="15.75" hidden="false" customHeight="false" outlineLevel="0" collapsed="false">
      <c r="A215" s="3" t="n">
        <f aca="false">IFERROR(__xludf.dummyfunction("""COMPUTED_VALUE"""),44505.6666666667)</f>
        <v>44505.6666666667</v>
      </c>
      <c r="B215" s="2" t="n">
        <f aca="false">IFERROR(__xludf.dummyfunction("""COMPUTED_VALUE"""),409.33)</f>
        <v>409.33</v>
      </c>
      <c r="C215" s="2" t="n">
        <f aca="false">IFERROR(__xludf.dummyfunction("""COMPUTED_VALUE"""),413.29)</f>
        <v>413.29</v>
      </c>
      <c r="D215" s="2" t="n">
        <f aca="false">IFERROR(__xludf.dummyfunction("""COMPUTED_VALUE"""),402.67)</f>
        <v>402.67</v>
      </c>
      <c r="E215" s="2" t="n">
        <f aca="false">IFERROR(__xludf.dummyfunction("""COMPUTED_VALUE"""),407.36)</f>
        <v>407.36</v>
      </c>
      <c r="F215" s="2" t="n">
        <f aca="false">IFERROR(__xludf.dummyfunction("""COMPUTED_VALUE"""),21628812)</f>
        <v>21628812</v>
      </c>
    </row>
    <row r="216" customFormat="false" ht="15.75" hidden="false" customHeight="false" outlineLevel="0" collapsed="false">
      <c r="A216" s="3" t="n">
        <f aca="false">IFERROR(__xludf.dummyfunction("""COMPUTED_VALUE"""),44508.6666666667)</f>
        <v>44508.6666666667</v>
      </c>
      <c r="B216" s="2" t="n">
        <f aca="false">IFERROR(__xludf.dummyfunction("""COMPUTED_VALUE"""),383.26)</f>
        <v>383.26</v>
      </c>
      <c r="C216" s="2" t="n">
        <f aca="false">IFERROR(__xludf.dummyfunction("""COMPUTED_VALUE"""),399)</f>
        <v>399</v>
      </c>
      <c r="D216" s="2" t="n">
        <f aca="false">IFERROR(__xludf.dummyfunction("""COMPUTED_VALUE"""),377.67)</f>
        <v>377.67</v>
      </c>
      <c r="E216" s="2" t="n">
        <f aca="false">IFERROR(__xludf.dummyfunction("""COMPUTED_VALUE"""),387.65)</f>
        <v>387.65</v>
      </c>
      <c r="F216" s="2" t="n">
        <f aca="false">IFERROR(__xludf.dummyfunction("""COMPUTED_VALUE"""),33445715)</f>
        <v>33445715</v>
      </c>
    </row>
    <row r="217" customFormat="false" ht="15.75" hidden="false" customHeight="false" outlineLevel="0" collapsed="false">
      <c r="A217" s="3" t="n">
        <f aca="false">IFERROR(__xludf.dummyfunction("""COMPUTED_VALUE"""),44509.6666666667)</f>
        <v>44509.6666666667</v>
      </c>
      <c r="B217" s="2" t="n">
        <f aca="false">IFERROR(__xludf.dummyfunction("""COMPUTED_VALUE"""),391.2)</f>
        <v>391.2</v>
      </c>
      <c r="C217" s="2" t="n">
        <f aca="false">IFERROR(__xludf.dummyfunction("""COMPUTED_VALUE"""),391.5)</f>
        <v>391.5</v>
      </c>
      <c r="D217" s="2" t="n">
        <f aca="false">IFERROR(__xludf.dummyfunction("""COMPUTED_VALUE"""),337.17)</f>
        <v>337.17</v>
      </c>
      <c r="E217" s="2" t="n">
        <f aca="false">IFERROR(__xludf.dummyfunction("""COMPUTED_VALUE"""),341.17)</f>
        <v>341.17</v>
      </c>
      <c r="F217" s="2" t="n">
        <f aca="false">IFERROR(__xludf.dummyfunction("""COMPUTED_VALUE"""),59105836)</f>
        <v>59105836</v>
      </c>
    </row>
    <row r="218" customFormat="false" ht="15.75" hidden="false" customHeight="false" outlineLevel="0" collapsed="false">
      <c r="A218" s="3" t="n">
        <f aca="false">IFERROR(__xludf.dummyfunction("""COMPUTED_VALUE"""),44510.6666666667)</f>
        <v>44510.6666666667</v>
      </c>
      <c r="B218" s="2" t="n">
        <f aca="false">IFERROR(__xludf.dummyfunction("""COMPUTED_VALUE"""),336.8)</f>
        <v>336.8</v>
      </c>
      <c r="C218" s="2" t="n">
        <f aca="false">IFERROR(__xludf.dummyfunction("""COMPUTED_VALUE"""),359.37)</f>
        <v>359.37</v>
      </c>
      <c r="D218" s="2" t="n">
        <f aca="false">IFERROR(__xludf.dummyfunction("""COMPUTED_VALUE"""),329.1)</f>
        <v>329.1</v>
      </c>
      <c r="E218" s="2" t="n">
        <f aca="false">IFERROR(__xludf.dummyfunction("""COMPUTED_VALUE"""),355.98)</f>
        <v>355.98</v>
      </c>
      <c r="F218" s="2" t="n">
        <f aca="false">IFERROR(__xludf.dummyfunction("""COMPUTED_VALUE"""),42802722)</f>
        <v>42802722</v>
      </c>
    </row>
    <row r="219" customFormat="false" ht="15.75" hidden="false" customHeight="false" outlineLevel="0" collapsed="false">
      <c r="A219" s="3" t="n">
        <f aca="false">IFERROR(__xludf.dummyfunction("""COMPUTED_VALUE"""),44511.6666666667)</f>
        <v>44511.6666666667</v>
      </c>
      <c r="B219" s="2" t="n">
        <f aca="false">IFERROR(__xludf.dummyfunction("""COMPUTED_VALUE"""),367.59)</f>
        <v>367.59</v>
      </c>
      <c r="C219" s="2" t="n">
        <f aca="false">IFERROR(__xludf.dummyfunction("""COMPUTED_VALUE"""),368.32)</f>
        <v>368.32</v>
      </c>
      <c r="D219" s="2" t="n">
        <f aca="false">IFERROR(__xludf.dummyfunction("""COMPUTED_VALUE"""),351.56)</f>
        <v>351.56</v>
      </c>
      <c r="E219" s="2" t="n">
        <f aca="false">IFERROR(__xludf.dummyfunction("""COMPUTED_VALUE"""),354.5)</f>
        <v>354.5</v>
      </c>
      <c r="F219" s="2" t="n">
        <f aca="false">IFERROR(__xludf.dummyfunction("""COMPUTED_VALUE"""),22396568)</f>
        <v>22396568</v>
      </c>
    </row>
    <row r="220" customFormat="false" ht="15.75" hidden="false" customHeight="false" outlineLevel="0" collapsed="false">
      <c r="A220" s="3" t="n">
        <f aca="false">IFERROR(__xludf.dummyfunction("""COMPUTED_VALUE"""),44512.6666666667)</f>
        <v>44512.6666666667</v>
      </c>
      <c r="B220" s="2" t="n">
        <f aca="false">IFERROR(__xludf.dummyfunction("""COMPUTED_VALUE"""),349.17)</f>
        <v>349.17</v>
      </c>
      <c r="C220" s="2" t="n">
        <f aca="false">IFERROR(__xludf.dummyfunction("""COMPUTED_VALUE"""),351.5)</f>
        <v>351.5</v>
      </c>
      <c r="D220" s="2" t="n">
        <f aca="false">IFERROR(__xludf.dummyfunction("""COMPUTED_VALUE"""),339.73)</f>
        <v>339.73</v>
      </c>
      <c r="E220" s="2" t="n">
        <f aca="false">IFERROR(__xludf.dummyfunction("""COMPUTED_VALUE"""),344.47)</f>
        <v>344.47</v>
      </c>
      <c r="F220" s="2" t="n">
        <f aca="false">IFERROR(__xludf.dummyfunction("""COMPUTED_VALUE"""),25573148)</f>
        <v>25573148</v>
      </c>
    </row>
    <row r="221" customFormat="false" ht="15.75" hidden="false" customHeight="false" outlineLevel="0" collapsed="false">
      <c r="A221" s="3" t="n">
        <f aca="false">IFERROR(__xludf.dummyfunction("""COMPUTED_VALUE"""),44515.6666666667)</f>
        <v>44515.6666666667</v>
      </c>
      <c r="B221" s="2" t="n">
        <f aca="false">IFERROR(__xludf.dummyfunction("""COMPUTED_VALUE"""),339.21)</f>
        <v>339.21</v>
      </c>
      <c r="C221" s="2" t="n">
        <f aca="false">IFERROR(__xludf.dummyfunction("""COMPUTED_VALUE"""),343.99)</f>
        <v>343.99</v>
      </c>
      <c r="D221" s="2" t="n">
        <f aca="false">IFERROR(__xludf.dummyfunction("""COMPUTED_VALUE"""),326.2)</f>
        <v>326.2</v>
      </c>
      <c r="E221" s="2" t="n">
        <f aca="false">IFERROR(__xludf.dummyfunction("""COMPUTED_VALUE"""),337.8)</f>
        <v>337.8</v>
      </c>
      <c r="F221" s="2" t="n">
        <f aca="false">IFERROR(__xludf.dummyfunction("""COMPUTED_VALUE"""),34775649)</f>
        <v>34775649</v>
      </c>
    </row>
    <row r="222" customFormat="false" ht="15.75" hidden="false" customHeight="false" outlineLevel="0" collapsed="false">
      <c r="A222" s="3" t="n">
        <f aca="false">IFERROR(__xludf.dummyfunction("""COMPUTED_VALUE"""),44516.6666666667)</f>
        <v>44516.6666666667</v>
      </c>
      <c r="B222" s="2" t="n">
        <f aca="false">IFERROR(__xludf.dummyfunction("""COMPUTED_VALUE"""),334.44)</f>
        <v>334.44</v>
      </c>
      <c r="C222" s="2" t="n">
        <f aca="false">IFERROR(__xludf.dummyfunction("""COMPUTED_VALUE"""),352.4)</f>
        <v>352.4</v>
      </c>
      <c r="D222" s="2" t="n">
        <f aca="false">IFERROR(__xludf.dummyfunction("""COMPUTED_VALUE"""),334.06)</f>
        <v>334.06</v>
      </c>
      <c r="E222" s="2" t="n">
        <f aca="false">IFERROR(__xludf.dummyfunction("""COMPUTED_VALUE"""),351.58)</f>
        <v>351.58</v>
      </c>
      <c r="F222" s="2" t="n">
        <f aca="false">IFERROR(__xludf.dummyfunction("""COMPUTED_VALUE"""),26542359)</f>
        <v>26542359</v>
      </c>
    </row>
    <row r="223" customFormat="false" ht="15.75" hidden="false" customHeight="false" outlineLevel="0" collapsed="false">
      <c r="A223" s="3" t="n">
        <f aca="false">IFERROR(__xludf.dummyfunction("""COMPUTED_VALUE"""),44517.6666666667)</f>
        <v>44517.6666666667</v>
      </c>
      <c r="B223" s="2" t="n">
        <f aca="false">IFERROR(__xludf.dummyfunction("""COMPUTED_VALUE"""),354.5)</f>
        <v>354.5</v>
      </c>
      <c r="C223" s="2" t="n">
        <f aca="false">IFERROR(__xludf.dummyfunction("""COMPUTED_VALUE"""),373.21)</f>
        <v>373.21</v>
      </c>
      <c r="D223" s="2" t="n">
        <f aca="false">IFERROR(__xludf.dummyfunction("""COMPUTED_VALUE"""),351.83)</f>
        <v>351.83</v>
      </c>
      <c r="E223" s="2" t="n">
        <f aca="false">IFERROR(__xludf.dummyfunction("""COMPUTED_VALUE"""),363)</f>
        <v>363</v>
      </c>
      <c r="F223" s="2" t="n">
        <f aca="false">IFERROR(__xludf.dummyfunction("""COMPUTED_VALUE"""),31445365)</f>
        <v>31445365</v>
      </c>
    </row>
    <row r="224" customFormat="false" ht="15.75" hidden="false" customHeight="false" outlineLevel="0" collapsed="false">
      <c r="A224" s="3" t="n">
        <f aca="false">IFERROR(__xludf.dummyfunction("""COMPUTED_VALUE"""),44518.6666666667)</f>
        <v>44518.6666666667</v>
      </c>
      <c r="B224" s="2" t="n">
        <f aca="false">IFERROR(__xludf.dummyfunction("""COMPUTED_VALUE"""),368.85)</f>
        <v>368.85</v>
      </c>
      <c r="C224" s="2" t="n">
        <f aca="false">IFERROR(__xludf.dummyfunction("""COMPUTED_VALUE"""),370.67)</f>
        <v>370.67</v>
      </c>
      <c r="D224" s="2" t="n">
        <f aca="false">IFERROR(__xludf.dummyfunction("""COMPUTED_VALUE"""),358.34)</f>
        <v>358.34</v>
      </c>
      <c r="E224" s="2" t="n">
        <f aca="false">IFERROR(__xludf.dummyfunction("""COMPUTED_VALUE"""),365.46)</f>
        <v>365.46</v>
      </c>
      <c r="F224" s="2" t="n">
        <f aca="false">IFERROR(__xludf.dummyfunction("""COMPUTED_VALUE"""),20898930)</f>
        <v>20898930</v>
      </c>
    </row>
    <row r="225" customFormat="false" ht="15.75" hidden="false" customHeight="false" outlineLevel="0" collapsed="false">
      <c r="A225" s="3" t="n">
        <f aca="false">IFERROR(__xludf.dummyfunction("""COMPUTED_VALUE"""),44519.6666666667)</f>
        <v>44519.6666666667</v>
      </c>
      <c r="B225" s="2" t="n">
        <f aca="false">IFERROR(__xludf.dummyfunction("""COMPUTED_VALUE"""),366.29)</f>
        <v>366.29</v>
      </c>
      <c r="C225" s="2" t="n">
        <f aca="false">IFERROR(__xludf.dummyfunction("""COMPUTED_VALUE"""),379.57)</f>
        <v>379.57</v>
      </c>
      <c r="D225" s="2" t="n">
        <f aca="false">IFERROR(__xludf.dummyfunction("""COMPUTED_VALUE"""),364.23)</f>
        <v>364.23</v>
      </c>
      <c r="E225" s="2" t="n">
        <f aca="false">IFERROR(__xludf.dummyfunction("""COMPUTED_VALUE"""),379.02)</f>
        <v>379.02</v>
      </c>
      <c r="F225" s="2" t="n">
        <f aca="false">IFERROR(__xludf.dummyfunction("""COMPUTED_VALUE"""),21642258)</f>
        <v>21642258</v>
      </c>
    </row>
    <row r="226" customFormat="false" ht="15.75" hidden="false" customHeight="false" outlineLevel="0" collapsed="false">
      <c r="A226" s="3" t="n">
        <f aca="false">IFERROR(__xludf.dummyfunction("""COMPUTED_VALUE"""),44522.6666666667)</f>
        <v>44522.6666666667</v>
      </c>
      <c r="B226" s="2" t="n">
        <f aca="false">IFERROR(__xludf.dummyfunction("""COMPUTED_VALUE"""),387.44)</f>
        <v>387.44</v>
      </c>
      <c r="C226" s="2" t="n">
        <f aca="false">IFERROR(__xludf.dummyfunction("""COMPUTED_VALUE"""),400.65)</f>
        <v>400.65</v>
      </c>
      <c r="D226" s="2" t="n">
        <f aca="false">IFERROR(__xludf.dummyfunction("""COMPUTED_VALUE"""),377.48)</f>
        <v>377.48</v>
      </c>
      <c r="E226" s="2" t="n">
        <f aca="false">IFERROR(__xludf.dummyfunction("""COMPUTED_VALUE"""),385.62)</f>
        <v>385.62</v>
      </c>
      <c r="F226" s="2" t="n">
        <f aca="false">IFERROR(__xludf.dummyfunction("""COMPUTED_VALUE"""),33072509)</f>
        <v>33072509</v>
      </c>
    </row>
    <row r="227" customFormat="false" ht="15.75" hidden="false" customHeight="false" outlineLevel="0" collapsed="false">
      <c r="A227" s="3" t="n">
        <f aca="false">IFERROR(__xludf.dummyfunction("""COMPUTED_VALUE"""),44523.6666666667)</f>
        <v>44523.6666666667</v>
      </c>
      <c r="B227" s="2" t="n">
        <f aca="false">IFERROR(__xludf.dummyfunction("""COMPUTED_VALUE"""),389.17)</f>
        <v>389.17</v>
      </c>
      <c r="C227" s="2" t="n">
        <f aca="false">IFERROR(__xludf.dummyfunction("""COMPUTED_VALUE"""),393.5)</f>
        <v>393.5</v>
      </c>
      <c r="D227" s="2" t="n">
        <f aca="false">IFERROR(__xludf.dummyfunction("""COMPUTED_VALUE"""),354.23)</f>
        <v>354.23</v>
      </c>
      <c r="E227" s="2" t="n">
        <f aca="false">IFERROR(__xludf.dummyfunction("""COMPUTED_VALUE"""),369.68)</f>
        <v>369.68</v>
      </c>
      <c r="F227" s="2" t="n">
        <f aca="false">IFERROR(__xludf.dummyfunction("""COMPUTED_VALUE"""),36171700)</f>
        <v>36171700</v>
      </c>
    </row>
    <row r="228" customFormat="false" ht="15.75" hidden="false" customHeight="false" outlineLevel="0" collapsed="false">
      <c r="A228" s="3" t="n">
        <f aca="false">IFERROR(__xludf.dummyfunction("""COMPUTED_VALUE"""),44524.6666666667)</f>
        <v>44524.6666666667</v>
      </c>
      <c r="B228" s="2" t="n">
        <f aca="false">IFERROR(__xludf.dummyfunction("""COMPUTED_VALUE"""),360.13)</f>
        <v>360.13</v>
      </c>
      <c r="C228" s="2" t="n">
        <f aca="false">IFERROR(__xludf.dummyfunction("""COMPUTED_VALUE"""),377.59)</f>
        <v>377.59</v>
      </c>
      <c r="D228" s="2" t="n">
        <f aca="false">IFERROR(__xludf.dummyfunction("""COMPUTED_VALUE"""),354)</f>
        <v>354</v>
      </c>
      <c r="E228" s="2" t="n">
        <f aca="false">IFERROR(__xludf.dummyfunction("""COMPUTED_VALUE"""),372)</f>
        <v>372</v>
      </c>
      <c r="F228" s="2" t="n">
        <f aca="false">IFERROR(__xludf.dummyfunction("""COMPUTED_VALUE"""),22560238)</f>
        <v>22560238</v>
      </c>
    </row>
    <row r="229" customFormat="false" ht="15.75" hidden="false" customHeight="false" outlineLevel="0" collapsed="false">
      <c r="A229" s="3" t="n">
        <f aca="false">IFERROR(__xludf.dummyfunction("""COMPUTED_VALUE"""),44526.5416666667)</f>
        <v>44526.5416666667</v>
      </c>
      <c r="B229" s="2" t="n">
        <f aca="false">IFERROR(__xludf.dummyfunction("""COMPUTED_VALUE"""),366.49)</f>
        <v>366.49</v>
      </c>
      <c r="C229" s="2" t="n">
        <f aca="false">IFERROR(__xludf.dummyfunction("""COMPUTED_VALUE"""),369.59)</f>
        <v>369.59</v>
      </c>
      <c r="D229" s="2" t="n">
        <f aca="false">IFERROR(__xludf.dummyfunction("""COMPUTED_VALUE"""),360.33)</f>
        <v>360.33</v>
      </c>
      <c r="E229" s="2" t="n">
        <f aca="false">IFERROR(__xludf.dummyfunction("""COMPUTED_VALUE"""),360.64)</f>
        <v>360.64</v>
      </c>
      <c r="F229" s="2" t="n">
        <f aca="false">IFERROR(__xludf.dummyfunction("""COMPUTED_VALUE"""),11680890)</f>
        <v>11680890</v>
      </c>
    </row>
    <row r="230" customFormat="false" ht="15.75" hidden="false" customHeight="false" outlineLevel="0" collapsed="false">
      <c r="A230" s="3" t="n">
        <f aca="false">IFERROR(__xludf.dummyfunction("""COMPUTED_VALUE"""),44529.6666666667)</f>
        <v>44529.6666666667</v>
      </c>
      <c r="B230" s="2" t="n">
        <f aca="false">IFERROR(__xludf.dummyfunction("""COMPUTED_VALUE"""),367)</f>
        <v>367</v>
      </c>
      <c r="C230" s="2" t="n">
        <f aca="false">IFERROR(__xludf.dummyfunction("""COMPUTED_VALUE"""),380.89)</f>
        <v>380.89</v>
      </c>
      <c r="D230" s="2" t="n">
        <f aca="false">IFERROR(__xludf.dummyfunction("""COMPUTED_VALUE"""),366.73)</f>
        <v>366.73</v>
      </c>
      <c r="E230" s="2" t="n">
        <f aca="false">IFERROR(__xludf.dummyfunction("""COMPUTED_VALUE"""),379)</f>
        <v>379</v>
      </c>
      <c r="F230" s="2" t="n">
        <f aca="false">IFERROR(__xludf.dummyfunction("""COMPUTED_VALUE"""),19464467)</f>
        <v>19464467</v>
      </c>
    </row>
    <row r="231" customFormat="false" ht="15.75" hidden="false" customHeight="false" outlineLevel="0" collapsed="false">
      <c r="A231" s="3" t="n">
        <f aca="false">IFERROR(__xludf.dummyfunction("""COMPUTED_VALUE"""),44530.6666666667)</f>
        <v>44530.6666666667</v>
      </c>
      <c r="B231" s="2" t="n">
        <f aca="false">IFERROR(__xludf.dummyfunction("""COMPUTED_VALUE"""),381.46)</f>
        <v>381.46</v>
      </c>
      <c r="C231" s="2" t="n">
        <f aca="false">IFERROR(__xludf.dummyfunction("""COMPUTED_VALUE"""),389.33)</f>
        <v>389.33</v>
      </c>
      <c r="D231" s="2" t="n">
        <f aca="false">IFERROR(__xludf.dummyfunction("""COMPUTED_VALUE"""),372.67)</f>
        <v>372.67</v>
      </c>
      <c r="E231" s="2" t="n">
        <f aca="false">IFERROR(__xludf.dummyfunction("""COMPUTED_VALUE"""),381.59)</f>
        <v>381.59</v>
      </c>
      <c r="F231" s="2" t="n">
        <f aca="false">IFERROR(__xludf.dummyfunction("""COMPUTED_VALUE"""),27092038)</f>
        <v>27092038</v>
      </c>
    </row>
    <row r="232" customFormat="false" ht="15.75" hidden="false" customHeight="false" outlineLevel="0" collapsed="false">
      <c r="A232" s="3" t="n">
        <f aca="false">IFERROR(__xludf.dummyfunction("""COMPUTED_VALUE"""),44531.6666666667)</f>
        <v>44531.6666666667</v>
      </c>
      <c r="B232" s="2" t="n">
        <f aca="false">IFERROR(__xludf.dummyfunction("""COMPUTED_VALUE"""),386.9)</f>
        <v>386.9</v>
      </c>
      <c r="C232" s="2" t="n">
        <f aca="false">IFERROR(__xludf.dummyfunction("""COMPUTED_VALUE"""),390.95)</f>
        <v>390.95</v>
      </c>
      <c r="D232" s="2" t="n">
        <f aca="false">IFERROR(__xludf.dummyfunction("""COMPUTED_VALUE"""),363.59)</f>
        <v>363.59</v>
      </c>
      <c r="E232" s="2" t="n">
        <f aca="false">IFERROR(__xludf.dummyfunction("""COMPUTED_VALUE"""),365)</f>
        <v>365</v>
      </c>
      <c r="F232" s="2" t="n">
        <f aca="false">IFERROR(__xludf.dummyfunction("""COMPUTED_VALUE"""),22934698)</f>
        <v>22934698</v>
      </c>
    </row>
    <row r="233" customFormat="false" ht="15.75" hidden="false" customHeight="false" outlineLevel="0" collapsed="false">
      <c r="A233" s="3" t="n">
        <f aca="false">IFERROR(__xludf.dummyfunction("""COMPUTED_VALUE"""),44532.6666666667)</f>
        <v>44532.6666666667</v>
      </c>
      <c r="B233" s="2" t="n">
        <f aca="false">IFERROR(__xludf.dummyfunction("""COMPUTED_VALUE"""),366.35)</f>
        <v>366.35</v>
      </c>
      <c r="C233" s="2" t="n">
        <f aca="false">IFERROR(__xludf.dummyfunction("""COMPUTED_VALUE"""),371)</f>
        <v>371</v>
      </c>
      <c r="D233" s="2" t="n">
        <f aca="false">IFERROR(__xludf.dummyfunction("""COMPUTED_VALUE"""),352.22)</f>
        <v>352.22</v>
      </c>
      <c r="E233" s="2" t="n">
        <f aca="false">IFERROR(__xludf.dummyfunction("""COMPUTED_VALUE"""),361.53)</f>
        <v>361.53</v>
      </c>
      <c r="F233" s="2" t="n">
        <f aca="false">IFERROR(__xludf.dummyfunction("""COMPUTED_VALUE"""),24371623)</f>
        <v>24371623</v>
      </c>
    </row>
    <row r="234" customFormat="false" ht="15.75" hidden="false" customHeight="false" outlineLevel="0" collapsed="false">
      <c r="A234" s="3" t="n">
        <f aca="false">IFERROR(__xludf.dummyfunction("""COMPUTED_VALUE"""),44533.6666666667)</f>
        <v>44533.6666666667</v>
      </c>
      <c r="B234" s="2" t="n">
        <f aca="false">IFERROR(__xludf.dummyfunction("""COMPUTED_VALUE"""),361.6)</f>
        <v>361.6</v>
      </c>
      <c r="C234" s="2" t="n">
        <f aca="false">IFERROR(__xludf.dummyfunction("""COMPUTED_VALUE"""),363.53)</f>
        <v>363.53</v>
      </c>
      <c r="D234" s="2" t="n">
        <f aca="false">IFERROR(__xludf.dummyfunction("""COMPUTED_VALUE"""),333.4)</f>
        <v>333.4</v>
      </c>
      <c r="E234" s="2" t="n">
        <f aca="false">IFERROR(__xludf.dummyfunction("""COMPUTED_VALUE"""),338.32)</f>
        <v>338.32</v>
      </c>
      <c r="F234" s="2" t="n">
        <f aca="false">IFERROR(__xludf.dummyfunction("""COMPUTED_VALUE"""),30773995)</f>
        <v>30773995</v>
      </c>
    </row>
    <row r="235" customFormat="false" ht="15.75" hidden="false" customHeight="false" outlineLevel="0" collapsed="false">
      <c r="A235" s="3" t="n">
        <f aca="false">IFERROR(__xludf.dummyfunction("""COMPUTED_VALUE"""),44536.6666666667)</f>
        <v>44536.6666666667</v>
      </c>
      <c r="B235" s="2" t="n">
        <f aca="false">IFERROR(__xludf.dummyfunction("""COMPUTED_VALUE"""),333.84)</f>
        <v>333.84</v>
      </c>
      <c r="C235" s="2" t="n">
        <f aca="false">IFERROR(__xludf.dummyfunction("""COMPUTED_VALUE"""),340.55)</f>
        <v>340.55</v>
      </c>
      <c r="D235" s="2" t="n">
        <f aca="false">IFERROR(__xludf.dummyfunction("""COMPUTED_VALUE"""),316.83)</f>
        <v>316.83</v>
      </c>
      <c r="E235" s="2" t="n">
        <f aca="false">IFERROR(__xludf.dummyfunction("""COMPUTED_VALUE"""),336.34)</f>
        <v>336.34</v>
      </c>
      <c r="F235" s="2" t="n">
        <f aca="false">IFERROR(__xludf.dummyfunction("""COMPUTED_VALUE"""),27221037)</f>
        <v>27221037</v>
      </c>
    </row>
    <row r="236" customFormat="false" ht="15.75" hidden="false" customHeight="false" outlineLevel="0" collapsed="false">
      <c r="A236" s="3" t="n">
        <f aca="false">IFERROR(__xludf.dummyfunction("""COMPUTED_VALUE"""),44537.6666666667)</f>
        <v>44537.6666666667</v>
      </c>
      <c r="B236" s="2" t="n">
        <f aca="false">IFERROR(__xludf.dummyfunction("""COMPUTED_VALUE"""),348.07)</f>
        <v>348.07</v>
      </c>
      <c r="C236" s="2" t="n">
        <f aca="false">IFERROR(__xludf.dummyfunction("""COMPUTED_VALUE"""),352.56)</f>
        <v>352.56</v>
      </c>
      <c r="D236" s="2" t="n">
        <f aca="false">IFERROR(__xludf.dummyfunction("""COMPUTED_VALUE"""),342.27)</f>
        <v>342.27</v>
      </c>
      <c r="E236" s="2" t="n">
        <f aca="false">IFERROR(__xludf.dummyfunction("""COMPUTED_VALUE"""),350.58)</f>
        <v>350.58</v>
      </c>
      <c r="F236" s="2" t="n">
        <f aca="false">IFERROR(__xludf.dummyfunction("""COMPUTED_VALUE"""),18694857)</f>
        <v>18694857</v>
      </c>
    </row>
    <row r="237" customFormat="false" ht="15.75" hidden="false" customHeight="false" outlineLevel="0" collapsed="false">
      <c r="A237" s="3" t="n">
        <f aca="false">IFERROR(__xludf.dummyfunction("""COMPUTED_VALUE"""),44538.6666666667)</f>
        <v>44538.6666666667</v>
      </c>
      <c r="B237" s="2" t="n">
        <f aca="false">IFERROR(__xludf.dummyfunction("""COMPUTED_VALUE"""),350.9)</f>
        <v>350.9</v>
      </c>
      <c r="C237" s="2" t="n">
        <f aca="false">IFERROR(__xludf.dummyfunction("""COMPUTED_VALUE"""),357.46)</f>
        <v>357.46</v>
      </c>
      <c r="D237" s="2" t="n">
        <f aca="false">IFERROR(__xludf.dummyfunction("""COMPUTED_VALUE"""),344.33)</f>
        <v>344.33</v>
      </c>
      <c r="E237" s="2" t="n">
        <f aca="false">IFERROR(__xludf.dummyfunction("""COMPUTED_VALUE"""),356.32)</f>
        <v>356.32</v>
      </c>
      <c r="F237" s="2" t="n">
        <f aca="false">IFERROR(__xludf.dummyfunction("""COMPUTED_VALUE"""),13968790)</f>
        <v>13968790</v>
      </c>
    </row>
    <row r="238" customFormat="false" ht="15.75" hidden="false" customHeight="false" outlineLevel="0" collapsed="false">
      <c r="A238" s="3" t="n">
        <f aca="false">IFERROR(__xludf.dummyfunction("""COMPUTED_VALUE"""),44539.6666666667)</f>
        <v>44539.6666666667</v>
      </c>
      <c r="B238" s="2" t="n">
        <f aca="false">IFERROR(__xludf.dummyfunction("""COMPUTED_VALUE"""),353.55)</f>
        <v>353.55</v>
      </c>
      <c r="C238" s="2" t="n">
        <f aca="false">IFERROR(__xludf.dummyfunction("""COMPUTED_VALUE"""),354.16)</f>
        <v>354.16</v>
      </c>
      <c r="D238" s="2" t="n">
        <f aca="false">IFERROR(__xludf.dummyfunction("""COMPUTED_VALUE"""),334.12)</f>
        <v>334.12</v>
      </c>
      <c r="E238" s="2" t="n">
        <f aca="false">IFERROR(__xludf.dummyfunction("""COMPUTED_VALUE"""),334.6)</f>
        <v>334.6</v>
      </c>
      <c r="F238" s="2" t="n">
        <f aca="false">IFERROR(__xludf.dummyfunction("""COMPUTED_VALUE"""),19812832)</f>
        <v>19812832</v>
      </c>
    </row>
    <row r="239" customFormat="false" ht="15.75" hidden="false" customHeight="false" outlineLevel="0" collapsed="false">
      <c r="A239" s="3" t="n">
        <f aca="false">IFERROR(__xludf.dummyfunction("""COMPUTED_VALUE"""),44540.6666666667)</f>
        <v>44540.6666666667</v>
      </c>
      <c r="B239" s="2" t="n">
        <f aca="false">IFERROR(__xludf.dummyfunction("""COMPUTED_VALUE"""),336.25)</f>
        <v>336.25</v>
      </c>
      <c r="C239" s="2" t="n">
        <f aca="false">IFERROR(__xludf.dummyfunction("""COMPUTED_VALUE"""),340.33)</f>
        <v>340.33</v>
      </c>
      <c r="D239" s="2" t="n">
        <f aca="false">IFERROR(__xludf.dummyfunction("""COMPUTED_VALUE"""),327.51)</f>
        <v>327.51</v>
      </c>
      <c r="E239" s="2" t="n">
        <f aca="false">IFERROR(__xludf.dummyfunction("""COMPUTED_VALUE"""),339.01)</f>
        <v>339.01</v>
      </c>
      <c r="F239" s="2" t="n">
        <f aca="false">IFERROR(__xludf.dummyfunction("""COMPUTED_VALUE"""),19888122)</f>
        <v>19888122</v>
      </c>
    </row>
    <row r="240" customFormat="false" ht="15.75" hidden="false" customHeight="false" outlineLevel="0" collapsed="false">
      <c r="A240" s="3" t="n">
        <f aca="false">IFERROR(__xludf.dummyfunction("""COMPUTED_VALUE"""),44543.6666666667)</f>
        <v>44543.6666666667</v>
      </c>
      <c r="B240" s="2" t="n">
        <f aca="false">IFERROR(__xludf.dummyfunction("""COMPUTED_VALUE"""),333.7)</f>
        <v>333.7</v>
      </c>
      <c r="C240" s="2" t="n">
        <f aca="false">IFERROR(__xludf.dummyfunction("""COMPUTED_VALUE"""),335)</f>
        <v>335</v>
      </c>
      <c r="D240" s="2" t="n">
        <f aca="false">IFERROR(__xludf.dummyfunction("""COMPUTED_VALUE"""),317.14)</f>
        <v>317.14</v>
      </c>
      <c r="E240" s="2" t="n">
        <f aca="false">IFERROR(__xludf.dummyfunction("""COMPUTED_VALUE"""),322.14)</f>
        <v>322.14</v>
      </c>
      <c r="F240" s="2" t="n">
        <f aca="false">IFERROR(__xludf.dummyfunction("""COMPUTED_VALUE"""),26198502)</f>
        <v>26198502</v>
      </c>
    </row>
    <row r="241" customFormat="false" ht="15.75" hidden="false" customHeight="false" outlineLevel="0" collapsed="false">
      <c r="A241" s="3" t="n">
        <f aca="false">IFERROR(__xludf.dummyfunction("""COMPUTED_VALUE"""),44544.6666666667)</f>
        <v>44544.6666666667</v>
      </c>
      <c r="B241" s="2" t="n">
        <f aca="false">IFERROR(__xludf.dummyfunction("""COMPUTED_VALUE"""),315)</f>
        <v>315</v>
      </c>
      <c r="C241" s="2" t="n">
        <f aca="false">IFERROR(__xludf.dummyfunction("""COMPUTED_VALUE"""),322.14)</f>
        <v>322.14</v>
      </c>
      <c r="D241" s="2" t="n">
        <f aca="false">IFERROR(__xludf.dummyfunction("""COMPUTED_VALUE"""),310)</f>
        <v>310</v>
      </c>
      <c r="E241" s="2" t="n">
        <f aca="false">IFERROR(__xludf.dummyfunction("""COMPUTED_VALUE"""),319.5)</f>
        <v>319.5</v>
      </c>
      <c r="F241" s="2" t="n">
        <f aca="false">IFERROR(__xludf.dummyfunction("""COMPUTED_VALUE"""),23602090)</f>
        <v>23602090</v>
      </c>
    </row>
    <row r="242" customFormat="false" ht="15.75" hidden="false" customHeight="false" outlineLevel="0" collapsed="false">
      <c r="A242" s="3" t="n">
        <f aca="false">IFERROR(__xludf.dummyfunction("""COMPUTED_VALUE"""),44545.6666666667)</f>
        <v>44545.6666666667</v>
      </c>
      <c r="B242" s="2" t="n">
        <f aca="false">IFERROR(__xludf.dummyfunction("""COMPUTED_VALUE"""),317.74)</f>
        <v>317.74</v>
      </c>
      <c r="C242" s="2" t="n">
        <f aca="false">IFERROR(__xludf.dummyfunction("""COMPUTED_VALUE"""),326.25)</f>
        <v>326.25</v>
      </c>
      <c r="D242" s="2" t="n">
        <f aca="false">IFERROR(__xludf.dummyfunction("""COMPUTED_VALUE"""),309.42)</f>
        <v>309.42</v>
      </c>
      <c r="E242" s="2" t="n">
        <f aca="false">IFERROR(__xludf.dummyfunction("""COMPUTED_VALUE"""),325.33)</f>
        <v>325.33</v>
      </c>
      <c r="F242" s="2" t="n">
        <f aca="false">IFERROR(__xludf.dummyfunction("""COMPUTED_VALUE"""),25056410)</f>
        <v>25056410</v>
      </c>
    </row>
    <row r="243" customFormat="false" ht="15.75" hidden="false" customHeight="false" outlineLevel="0" collapsed="false">
      <c r="A243" s="3" t="n">
        <f aca="false">IFERROR(__xludf.dummyfunction("""COMPUTED_VALUE"""),44546.6666666667)</f>
        <v>44546.6666666667</v>
      </c>
      <c r="B243" s="2" t="n">
        <f aca="false">IFERROR(__xludf.dummyfunction("""COMPUTED_VALUE"""),331.5)</f>
        <v>331.5</v>
      </c>
      <c r="C243" s="2" t="n">
        <f aca="false">IFERROR(__xludf.dummyfunction("""COMPUTED_VALUE"""),331.66)</f>
        <v>331.66</v>
      </c>
      <c r="D243" s="2" t="n">
        <f aca="false">IFERROR(__xludf.dummyfunction("""COMPUTED_VALUE"""),307.28)</f>
        <v>307.28</v>
      </c>
      <c r="E243" s="2" t="n">
        <f aca="false">IFERROR(__xludf.dummyfunction("""COMPUTED_VALUE"""),308.97)</f>
        <v>308.97</v>
      </c>
      <c r="F243" s="2" t="n">
        <f aca="false">IFERROR(__xludf.dummyfunction("""COMPUTED_VALUE"""),27590483)</f>
        <v>27590483</v>
      </c>
    </row>
    <row r="244" customFormat="false" ht="15.75" hidden="false" customHeight="false" outlineLevel="0" collapsed="false">
      <c r="A244" s="3" t="n">
        <f aca="false">IFERROR(__xludf.dummyfunction("""COMPUTED_VALUE"""),44547.6666666667)</f>
        <v>44547.6666666667</v>
      </c>
      <c r="B244" s="2" t="n">
        <f aca="false">IFERROR(__xludf.dummyfunction("""COMPUTED_VALUE"""),304.92)</f>
        <v>304.92</v>
      </c>
      <c r="C244" s="2" t="n">
        <f aca="false">IFERROR(__xludf.dummyfunction("""COMPUTED_VALUE"""),320.22)</f>
        <v>320.22</v>
      </c>
      <c r="D244" s="2" t="n">
        <f aca="false">IFERROR(__xludf.dummyfunction("""COMPUTED_VALUE"""),303.01)</f>
        <v>303.01</v>
      </c>
      <c r="E244" s="2" t="n">
        <f aca="false">IFERROR(__xludf.dummyfunction("""COMPUTED_VALUE"""),310.86)</f>
        <v>310.86</v>
      </c>
      <c r="F244" s="2" t="n">
        <f aca="false">IFERROR(__xludf.dummyfunction("""COMPUTED_VALUE"""),33626754)</f>
        <v>33626754</v>
      </c>
    </row>
    <row r="245" customFormat="false" ht="15.75" hidden="false" customHeight="false" outlineLevel="0" collapsed="false">
      <c r="A245" s="3" t="n">
        <f aca="false">IFERROR(__xludf.dummyfunction("""COMPUTED_VALUE"""),44550.6666666667)</f>
        <v>44550.6666666667</v>
      </c>
      <c r="B245" s="2" t="n">
        <f aca="false">IFERROR(__xludf.dummyfunction("""COMPUTED_VALUE"""),303.57)</f>
        <v>303.57</v>
      </c>
      <c r="C245" s="2" t="n">
        <f aca="false">IFERROR(__xludf.dummyfunction("""COMPUTED_VALUE"""),307.23)</f>
        <v>307.23</v>
      </c>
      <c r="D245" s="2" t="n">
        <f aca="false">IFERROR(__xludf.dummyfunction("""COMPUTED_VALUE"""),297.8)</f>
        <v>297.8</v>
      </c>
      <c r="E245" s="2" t="n">
        <f aca="false">IFERROR(__xludf.dummyfunction("""COMPUTED_VALUE"""),299.98)</f>
        <v>299.98</v>
      </c>
      <c r="F245" s="2" t="n">
        <f aca="false">IFERROR(__xludf.dummyfunction("""COMPUTED_VALUE"""),18826671)</f>
        <v>18826671</v>
      </c>
    </row>
    <row r="246" customFormat="false" ht="15.75" hidden="false" customHeight="false" outlineLevel="0" collapsed="false">
      <c r="A246" s="3" t="n">
        <f aca="false">IFERROR(__xludf.dummyfunction("""COMPUTED_VALUE"""),44551.6666666667)</f>
        <v>44551.6666666667</v>
      </c>
      <c r="B246" s="2" t="n">
        <f aca="false">IFERROR(__xludf.dummyfunction("""COMPUTED_VALUE"""),305.62)</f>
        <v>305.62</v>
      </c>
      <c r="C246" s="2" t="n">
        <f aca="false">IFERROR(__xludf.dummyfunction("""COMPUTED_VALUE"""),313.17)</f>
        <v>313.17</v>
      </c>
      <c r="D246" s="2" t="n">
        <f aca="false">IFERROR(__xludf.dummyfunction("""COMPUTED_VALUE"""),295.37)</f>
        <v>295.37</v>
      </c>
      <c r="E246" s="2" t="n">
        <f aca="false">IFERROR(__xludf.dummyfunction("""COMPUTED_VALUE"""),312.84)</f>
        <v>312.84</v>
      </c>
      <c r="F246" s="2" t="n">
        <f aca="false">IFERROR(__xludf.dummyfunction("""COMPUTED_VALUE"""),23839305)</f>
        <v>23839305</v>
      </c>
    </row>
    <row r="247" customFormat="false" ht="15.75" hidden="false" customHeight="false" outlineLevel="0" collapsed="false">
      <c r="A247" s="3" t="n">
        <f aca="false">IFERROR(__xludf.dummyfunction("""COMPUTED_VALUE"""),44552.6666666667)</f>
        <v>44552.6666666667</v>
      </c>
      <c r="B247" s="2" t="n">
        <f aca="false">IFERROR(__xludf.dummyfunction("""COMPUTED_VALUE"""),321.89)</f>
        <v>321.89</v>
      </c>
      <c r="C247" s="2" t="n">
        <f aca="false">IFERROR(__xludf.dummyfunction("""COMPUTED_VALUE"""),338.55)</f>
        <v>338.55</v>
      </c>
      <c r="D247" s="2" t="n">
        <f aca="false">IFERROR(__xludf.dummyfunction("""COMPUTED_VALUE"""),319.02)</f>
        <v>319.02</v>
      </c>
      <c r="E247" s="2" t="n">
        <f aca="false">IFERROR(__xludf.dummyfunction("""COMPUTED_VALUE"""),336.29)</f>
        <v>336.29</v>
      </c>
      <c r="F247" s="2" t="n">
        <f aca="false">IFERROR(__xludf.dummyfunction("""COMPUTED_VALUE"""),31211362)</f>
        <v>31211362</v>
      </c>
    </row>
    <row r="248" customFormat="false" ht="15.75" hidden="false" customHeight="false" outlineLevel="0" collapsed="false">
      <c r="A248" s="3" t="n">
        <f aca="false">IFERROR(__xludf.dummyfunction("""COMPUTED_VALUE"""),44553.6666666667)</f>
        <v>44553.6666666667</v>
      </c>
      <c r="B248" s="2" t="n">
        <f aca="false">IFERROR(__xludf.dummyfunction("""COMPUTED_VALUE"""),335.6)</f>
        <v>335.6</v>
      </c>
      <c r="C248" s="2" t="n">
        <f aca="false">IFERROR(__xludf.dummyfunction("""COMPUTED_VALUE"""),357.66)</f>
        <v>357.66</v>
      </c>
      <c r="D248" s="2" t="n">
        <f aca="false">IFERROR(__xludf.dummyfunction("""COMPUTED_VALUE"""),332.52)</f>
        <v>332.52</v>
      </c>
      <c r="E248" s="2" t="n">
        <f aca="false">IFERROR(__xludf.dummyfunction("""COMPUTED_VALUE"""),355.67)</f>
        <v>355.67</v>
      </c>
      <c r="F248" s="2" t="n">
        <f aca="false">IFERROR(__xludf.dummyfunction("""COMPUTED_VALUE"""),30904429)</f>
        <v>30904429</v>
      </c>
    </row>
    <row r="249" customFormat="false" ht="15.75" hidden="false" customHeight="false" outlineLevel="0" collapsed="false">
      <c r="A249" s="3" t="n">
        <f aca="false">IFERROR(__xludf.dummyfunction("""COMPUTED_VALUE"""),44557.6666666667)</f>
        <v>44557.6666666667</v>
      </c>
      <c r="B249" s="2" t="n">
        <f aca="false">IFERROR(__xludf.dummyfunction("""COMPUTED_VALUE"""),357.89)</f>
        <v>357.89</v>
      </c>
      <c r="C249" s="2" t="n">
        <f aca="false">IFERROR(__xludf.dummyfunction("""COMPUTED_VALUE"""),372.33)</f>
        <v>372.33</v>
      </c>
      <c r="D249" s="2" t="n">
        <f aca="false">IFERROR(__xludf.dummyfunction("""COMPUTED_VALUE"""),356.91)</f>
        <v>356.91</v>
      </c>
      <c r="E249" s="2" t="n">
        <f aca="false">IFERROR(__xludf.dummyfunction("""COMPUTED_VALUE"""),364.65)</f>
        <v>364.65</v>
      </c>
      <c r="F249" s="2" t="n">
        <f aca="false">IFERROR(__xludf.dummyfunction("""COMPUTED_VALUE"""),23715273)</f>
        <v>23715273</v>
      </c>
    </row>
    <row r="250" customFormat="false" ht="15.75" hidden="false" customHeight="false" outlineLevel="0" collapsed="false">
      <c r="A250" s="3" t="n">
        <f aca="false">IFERROR(__xludf.dummyfunction("""COMPUTED_VALUE"""),44558.6666666667)</f>
        <v>44558.6666666667</v>
      </c>
      <c r="B250" s="2" t="n">
        <f aca="false">IFERROR(__xludf.dummyfunction("""COMPUTED_VALUE"""),369.83)</f>
        <v>369.83</v>
      </c>
      <c r="C250" s="2" t="n">
        <f aca="false">IFERROR(__xludf.dummyfunction("""COMPUTED_VALUE"""),373)</f>
        <v>373</v>
      </c>
      <c r="D250" s="2" t="n">
        <f aca="false">IFERROR(__xludf.dummyfunction("""COMPUTED_VALUE"""),359.47)</f>
        <v>359.47</v>
      </c>
      <c r="E250" s="2" t="n">
        <f aca="false">IFERROR(__xludf.dummyfunction("""COMPUTED_VALUE"""),362.82)</f>
        <v>362.82</v>
      </c>
      <c r="F250" s="2" t="n">
        <f aca="false">IFERROR(__xludf.dummyfunction("""COMPUTED_VALUE"""),20107969)</f>
        <v>20107969</v>
      </c>
    </row>
    <row r="251" customFormat="false" ht="15.75" hidden="false" customHeight="false" outlineLevel="0" collapsed="false">
      <c r="A251" s="3" t="n">
        <f aca="false">IFERROR(__xludf.dummyfunction("""COMPUTED_VALUE"""),44559.6666666667)</f>
        <v>44559.6666666667</v>
      </c>
      <c r="B251" s="2" t="n">
        <f aca="false">IFERROR(__xludf.dummyfunction("""COMPUTED_VALUE"""),366.21)</f>
        <v>366.21</v>
      </c>
      <c r="C251" s="2" t="n">
        <f aca="false">IFERROR(__xludf.dummyfunction("""COMPUTED_VALUE"""),368)</f>
        <v>368</v>
      </c>
      <c r="D251" s="2" t="n">
        <f aca="false">IFERROR(__xludf.dummyfunction("""COMPUTED_VALUE"""),354.71)</f>
        <v>354.71</v>
      </c>
      <c r="E251" s="2" t="n">
        <f aca="false">IFERROR(__xludf.dummyfunction("""COMPUTED_VALUE"""),362.06)</f>
        <v>362.06</v>
      </c>
      <c r="F251" s="2" t="n">
        <f aca="false">IFERROR(__xludf.dummyfunction("""COMPUTED_VALUE"""),18718015)</f>
        <v>18718015</v>
      </c>
    </row>
    <row r="252" customFormat="false" ht="15.75" hidden="false" customHeight="false" outlineLevel="0" collapsed="false">
      <c r="A252" s="3" t="n">
        <f aca="false">IFERROR(__xludf.dummyfunction("""COMPUTED_VALUE"""),44560.6666666667)</f>
        <v>44560.6666666667</v>
      </c>
      <c r="B252" s="2" t="n">
        <f aca="false">IFERROR(__xludf.dummyfunction("""COMPUTED_VALUE"""),353.78)</f>
        <v>353.78</v>
      </c>
      <c r="C252" s="2" t="n">
        <f aca="false">IFERROR(__xludf.dummyfunction("""COMPUTED_VALUE"""),365.18)</f>
        <v>365.18</v>
      </c>
      <c r="D252" s="2" t="n">
        <f aca="false">IFERROR(__xludf.dummyfunction("""COMPUTED_VALUE"""),351.05)</f>
        <v>351.05</v>
      </c>
      <c r="E252" s="2" t="n">
        <f aca="false">IFERROR(__xludf.dummyfunction("""COMPUTED_VALUE"""),356.78)</f>
        <v>356.78</v>
      </c>
      <c r="F252" s="2" t="n">
        <f aca="false">IFERROR(__xludf.dummyfunction("""COMPUTED_VALUE"""),15680313)</f>
        <v>15680313</v>
      </c>
    </row>
    <row r="253" customFormat="false" ht="15.75" hidden="false" customHeight="false" outlineLevel="0" collapsed="false">
      <c r="A253" s="3" t="n">
        <f aca="false">IFERROR(__xludf.dummyfunction("""COMPUTED_VALUE"""),44561.6666666667)</f>
        <v>44561.6666666667</v>
      </c>
      <c r="B253" s="2" t="n">
        <f aca="false">IFERROR(__xludf.dummyfunction("""COMPUTED_VALUE"""),357.81)</f>
        <v>357.81</v>
      </c>
      <c r="C253" s="2" t="n">
        <f aca="false">IFERROR(__xludf.dummyfunction("""COMPUTED_VALUE"""),360.67)</f>
        <v>360.67</v>
      </c>
      <c r="D253" s="2" t="n">
        <f aca="false">IFERROR(__xludf.dummyfunction("""COMPUTED_VALUE"""),351.53)</f>
        <v>351.53</v>
      </c>
      <c r="E253" s="2" t="n">
        <f aca="false">IFERROR(__xludf.dummyfunction("""COMPUTED_VALUE"""),352.26)</f>
        <v>352.26</v>
      </c>
      <c r="F253" s="2" t="n">
        <f aca="false">IFERROR(__xludf.dummyfunction("""COMPUTED_VALUE"""),13577875)</f>
        <v>13577875</v>
      </c>
    </row>
    <row r="254" customFormat="false" ht="15.75" hidden="false" customHeight="false" outlineLevel="0" collapsed="false">
      <c r="A254" s="3" t="n">
        <f aca="false">IFERROR(__xludf.dummyfunction("""COMPUTED_VALUE"""),44564.6666666667)</f>
        <v>44564.6666666667</v>
      </c>
      <c r="B254" s="2" t="n">
        <f aca="false">IFERROR(__xludf.dummyfunction("""COMPUTED_VALUE"""),382.58)</f>
        <v>382.58</v>
      </c>
      <c r="C254" s="2" t="n">
        <f aca="false">IFERROR(__xludf.dummyfunction("""COMPUTED_VALUE"""),400.36)</f>
        <v>400.36</v>
      </c>
      <c r="D254" s="2" t="n">
        <f aca="false">IFERROR(__xludf.dummyfunction("""COMPUTED_VALUE"""),378.68)</f>
        <v>378.68</v>
      </c>
      <c r="E254" s="2" t="n">
        <f aca="false">IFERROR(__xludf.dummyfunction("""COMPUTED_VALUE"""),399.93)</f>
        <v>399.93</v>
      </c>
      <c r="F254" s="2" t="n">
        <f aca="false">IFERROR(__xludf.dummyfunction("""COMPUTED_VALUE"""),34895349)</f>
        <v>34895349</v>
      </c>
    </row>
    <row r="255" customFormat="false" ht="15.75" hidden="false" customHeight="false" outlineLevel="0" collapsed="false">
      <c r="A255" s="3" t="n">
        <f aca="false">IFERROR(__xludf.dummyfunction("""COMPUTED_VALUE"""),44565.6666666667)</f>
        <v>44565.6666666667</v>
      </c>
      <c r="B255" s="2" t="n">
        <f aca="false">IFERROR(__xludf.dummyfunction("""COMPUTED_VALUE"""),396.52)</f>
        <v>396.52</v>
      </c>
      <c r="C255" s="2" t="n">
        <f aca="false">IFERROR(__xludf.dummyfunction("""COMPUTED_VALUE"""),402.67)</f>
        <v>402.67</v>
      </c>
      <c r="D255" s="2" t="n">
        <f aca="false">IFERROR(__xludf.dummyfunction("""COMPUTED_VALUE"""),374.35)</f>
        <v>374.35</v>
      </c>
      <c r="E255" s="2" t="n">
        <f aca="false">IFERROR(__xludf.dummyfunction("""COMPUTED_VALUE"""),383.2)</f>
        <v>383.2</v>
      </c>
      <c r="F255" s="2" t="n">
        <f aca="false">IFERROR(__xludf.dummyfunction("""COMPUTED_VALUE"""),33416086)</f>
        <v>33416086</v>
      </c>
    </row>
    <row r="256" customFormat="false" ht="15.75" hidden="false" customHeight="false" outlineLevel="0" collapsed="false">
      <c r="A256" s="3" t="n">
        <f aca="false">IFERROR(__xludf.dummyfunction("""COMPUTED_VALUE"""),44566.6666666667)</f>
        <v>44566.6666666667</v>
      </c>
      <c r="B256" s="2" t="n">
        <f aca="false">IFERROR(__xludf.dummyfunction("""COMPUTED_VALUE"""),382.22)</f>
        <v>382.22</v>
      </c>
      <c r="C256" s="2" t="n">
        <f aca="false">IFERROR(__xludf.dummyfunction("""COMPUTED_VALUE"""),390.11)</f>
        <v>390.11</v>
      </c>
      <c r="D256" s="2" t="n">
        <f aca="false">IFERROR(__xludf.dummyfunction("""COMPUTED_VALUE"""),360.34)</f>
        <v>360.34</v>
      </c>
      <c r="E256" s="2" t="n">
        <f aca="false">IFERROR(__xludf.dummyfunction("""COMPUTED_VALUE"""),362.71)</f>
        <v>362.71</v>
      </c>
      <c r="F256" s="2" t="n">
        <f aca="false">IFERROR(__xludf.dummyfunction("""COMPUTED_VALUE"""),26706599)</f>
        <v>26706599</v>
      </c>
    </row>
    <row r="257" customFormat="false" ht="15.75" hidden="false" customHeight="false" outlineLevel="0" collapsed="false">
      <c r="A257" s="3" t="n">
        <f aca="false">IFERROR(__xludf.dummyfunction("""COMPUTED_VALUE"""),44567.6666666667)</f>
        <v>44567.6666666667</v>
      </c>
      <c r="B257" s="2" t="n">
        <f aca="false">IFERROR(__xludf.dummyfunction("""COMPUTED_VALUE"""),359)</f>
        <v>359</v>
      </c>
      <c r="C257" s="2" t="n">
        <f aca="false">IFERROR(__xludf.dummyfunction("""COMPUTED_VALUE"""),362.67)</f>
        <v>362.67</v>
      </c>
      <c r="D257" s="2" t="n">
        <f aca="false">IFERROR(__xludf.dummyfunction("""COMPUTED_VALUE"""),340.17)</f>
        <v>340.17</v>
      </c>
      <c r="E257" s="2" t="n">
        <f aca="false">IFERROR(__xludf.dummyfunction("""COMPUTED_VALUE"""),354.9)</f>
        <v>354.9</v>
      </c>
      <c r="F257" s="2" t="n">
        <f aca="false">IFERROR(__xludf.dummyfunction("""COMPUTED_VALUE"""),30112158)</f>
        <v>30112158</v>
      </c>
    </row>
    <row r="258" customFormat="false" ht="15.75" hidden="false" customHeight="false" outlineLevel="0" collapsed="false">
      <c r="A258" s="3" t="n">
        <f aca="false">IFERROR(__xludf.dummyfunction("""COMPUTED_VALUE"""),44568.6666666667)</f>
        <v>44568.6666666667</v>
      </c>
      <c r="B258" s="2" t="n">
        <f aca="false">IFERROR(__xludf.dummyfunction("""COMPUTED_VALUE"""),360.12)</f>
        <v>360.12</v>
      </c>
      <c r="C258" s="2" t="n">
        <f aca="false">IFERROR(__xludf.dummyfunction("""COMPUTED_VALUE"""),360.31)</f>
        <v>360.31</v>
      </c>
      <c r="D258" s="2" t="n">
        <f aca="false">IFERROR(__xludf.dummyfunction("""COMPUTED_VALUE"""),336.67)</f>
        <v>336.67</v>
      </c>
      <c r="E258" s="2" t="n">
        <f aca="false">IFERROR(__xludf.dummyfunction("""COMPUTED_VALUE"""),342.32)</f>
        <v>342.32</v>
      </c>
      <c r="F258" s="2" t="n">
        <f aca="false">IFERROR(__xludf.dummyfunction("""COMPUTED_VALUE"""),28054916)</f>
        <v>28054916</v>
      </c>
    </row>
    <row r="259" customFormat="false" ht="15.75" hidden="false" customHeight="false" outlineLevel="0" collapsed="false">
      <c r="A259" s="3" t="n">
        <f aca="false">IFERROR(__xludf.dummyfunction("""COMPUTED_VALUE"""),44571.6666666667)</f>
        <v>44571.6666666667</v>
      </c>
      <c r="B259" s="2" t="n">
        <f aca="false">IFERROR(__xludf.dummyfunction("""COMPUTED_VALUE"""),333.33)</f>
        <v>333.33</v>
      </c>
      <c r="C259" s="2" t="n">
        <f aca="false">IFERROR(__xludf.dummyfunction("""COMPUTED_VALUE"""),353.03)</f>
        <v>353.03</v>
      </c>
      <c r="D259" s="2" t="n">
        <f aca="false">IFERROR(__xludf.dummyfunction("""COMPUTED_VALUE"""),326.67)</f>
        <v>326.67</v>
      </c>
      <c r="E259" s="2" t="n">
        <f aca="false">IFERROR(__xludf.dummyfunction("""COMPUTED_VALUE"""),352.71)</f>
        <v>352.71</v>
      </c>
      <c r="F259" s="2" t="n">
        <f aca="false">IFERROR(__xludf.dummyfunction("""COMPUTED_VALUE"""),30604959)</f>
        <v>30604959</v>
      </c>
    </row>
    <row r="260" customFormat="false" ht="15.75" hidden="false" customHeight="false" outlineLevel="0" collapsed="false">
      <c r="A260" s="3" t="n">
        <f aca="false">IFERROR(__xludf.dummyfunction("""COMPUTED_VALUE"""),44572.6666666667)</f>
        <v>44572.6666666667</v>
      </c>
      <c r="B260" s="2" t="n">
        <f aca="false">IFERROR(__xludf.dummyfunction("""COMPUTED_VALUE"""),351.22)</f>
        <v>351.22</v>
      </c>
      <c r="C260" s="2" t="n">
        <f aca="false">IFERROR(__xludf.dummyfunction("""COMPUTED_VALUE"""),358.62)</f>
        <v>358.62</v>
      </c>
      <c r="D260" s="2" t="n">
        <f aca="false">IFERROR(__xludf.dummyfunction("""COMPUTED_VALUE"""),346.27)</f>
        <v>346.27</v>
      </c>
      <c r="E260" s="2" t="n">
        <f aca="false">IFERROR(__xludf.dummyfunction("""COMPUTED_VALUE"""),354.8)</f>
        <v>354.8</v>
      </c>
      <c r="F260" s="2" t="n">
        <f aca="false">IFERROR(__xludf.dummyfunction("""COMPUTED_VALUE"""),22021070)</f>
        <v>22021070</v>
      </c>
    </row>
    <row r="261" customFormat="false" ht="15.75" hidden="false" customHeight="false" outlineLevel="0" collapsed="false">
      <c r="A261" s="3" t="n">
        <f aca="false">IFERROR(__xludf.dummyfunction("""COMPUTED_VALUE"""),44573.6666666667)</f>
        <v>44573.6666666667</v>
      </c>
      <c r="B261" s="2" t="n">
        <f aca="false">IFERROR(__xludf.dummyfunction("""COMPUTED_VALUE"""),359.62)</f>
        <v>359.62</v>
      </c>
      <c r="C261" s="2" t="n">
        <f aca="false">IFERROR(__xludf.dummyfunction("""COMPUTED_VALUE"""),371.61)</f>
        <v>371.61</v>
      </c>
      <c r="D261" s="2" t="n">
        <f aca="false">IFERROR(__xludf.dummyfunction("""COMPUTED_VALUE"""),357.53)</f>
        <v>357.53</v>
      </c>
      <c r="E261" s="2" t="n">
        <f aca="false">IFERROR(__xludf.dummyfunction("""COMPUTED_VALUE"""),368.74)</f>
        <v>368.74</v>
      </c>
      <c r="F261" s="2" t="n">
        <f aca="false">IFERROR(__xludf.dummyfunction("""COMPUTED_VALUE"""),27913005)</f>
        <v>27913005</v>
      </c>
    </row>
    <row r="262" customFormat="false" ht="15.75" hidden="false" customHeight="false" outlineLevel="0" collapsed="false">
      <c r="A262" s="3" t="n">
        <f aca="false">IFERROR(__xludf.dummyfunction("""COMPUTED_VALUE"""),44574.6666666667)</f>
        <v>44574.6666666667</v>
      </c>
      <c r="B262" s="2" t="n">
        <f aca="false">IFERROR(__xludf.dummyfunction("""COMPUTED_VALUE"""),369.69)</f>
        <v>369.69</v>
      </c>
      <c r="C262" s="2" t="n">
        <f aca="false">IFERROR(__xludf.dummyfunction("""COMPUTED_VALUE"""),371.87)</f>
        <v>371.87</v>
      </c>
      <c r="D262" s="2" t="n">
        <f aca="false">IFERROR(__xludf.dummyfunction("""COMPUTED_VALUE"""),342.18)</f>
        <v>342.18</v>
      </c>
      <c r="E262" s="2" t="n">
        <f aca="false">IFERROR(__xludf.dummyfunction("""COMPUTED_VALUE"""),343.85)</f>
        <v>343.85</v>
      </c>
      <c r="F262" s="2" t="n">
        <f aca="false">IFERROR(__xludf.dummyfunction("""COMPUTED_VALUE"""),32403264)</f>
        <v>32403264</v>
      </c>
    </row>
    <row r="263" customFormat="false" ht="15.75" hidden="false" customHeight="false" outlineLevel="0" collapsed="false">
      <c r="A263" s="3" t="n">
        <f aca="false">IFERROR(__xludf.dummyfunction("""COMPUTED_VALUE"""),44575.6666666667)</f>
        <v>44575.6666666667</v>
      </c>
      <c r="B263" s="2" t="n">
        <f aca="false">IFERROR(__xludf.dummyfunction("""COMPUTED_VALUE"""),339.96)</f>
        <v>339.96</v>
      </c>
      <c r="C263" s="2" t="n">
        <f aca="false">IFERROR(__xludf.dummyfunction("""COMPUTED_VALUE"""),350.67)</f>
        <v>350.67</v>
      </c>
      <c r="D263" s="2" t="n">
        <f aca="false">IFERROR(__xludf.dummyfunction("""COMPUTED_VALUE"""),337.79)</f>
        <v>337.79</v>
      </c>
      <c r="E263" s="2" t="n">
        <f aca="false">IFERROR(__xludf.dummyfunction("""COMPUTED_VALUE"""),349.87)</f>
        <v>349.87</v>
      </c>
      <c r="F263" s="2" t="n">
        <f aca="false">IFERROR(__xludf.dummyfunction("""COMPUTED_VALUE"""),24308137)</f>
        <v>24308137</v>
      </c>
    </row>
    <row r="264" customFormat="false" ht="15.75" hidden="false" customHeight="false" outlineLevel="0" collapsed="false">
      <c r="A264" s="3" t="n">
        <f aca="false">IFERROR(__xludf.dummyfunction("""COMPUTED_VALUE"""),44579.6666666667)</f>
        <v>44579.6666666667</v>
      </c>
      <c r="B264" s="2" t="n">
        <f aca="false">IFERROR(__xludf.dummyfunction("""COMPUTED_VALUE"""),342.2)</f>
        <v>342.2</v>
      </c>
      <c r="C264" s="2" t="n">
        <f aca="false">IFERROR(__xludf.dummyfunction("""COMPUTED_VALUE"""),356.93)</f>
        <v>356.93</v>
      </c>
      <c r="D264" s="2" t="n">
        <f aca="false">IFERROR(__xludf.dummyfunction("""COMPUTED_VALUE"""),338.69)</f>
        <v>338.69</v>
      </c>
      <c r="E264" s="2" t="n">
        <f aca="false">IFERROR(__xludf.dummyfunction("""COMPUTED_VALUE"""),343.5)</f>
        <v>343.5</v>
      </c>
      <c r="F264" s="2" t="n">
        <f aca="false">IFERROR(__xludf.dummyfunction("""COMPUTED_VALUE"""),22329803)</f>
        <v>22329803</v>
      </c>
    </row>
    <row r="265" customFormat="false" ht="15.75" hidden="false" customHeight="false" outlineLevel="0" collapsed="false">
      <c r="A265" s="3" t="n">
        <f aca="false">IFERROR(__xludf.dummyfunction("""COMPUTED_VALUE"""),44580.6666666667)</f>
        <v>44580.6666666667</v>
      </c>
      <c r="B265" s="2" t="n">
        <f aca="false">IFERROR(__xludf.dummyfunction("""COMPUTED_VALUE"""),347.24)</f>
        <v>347.24</v>
      </c>
      <c r="C265" s="2" t="n">
        <f aca="false">IFERROR(__xludf.dummyfunction("""COMPUTED_VALUE"""),351.56)</f>
        <v>351.56</v>
      </c>
      <c r="D265" s="2" t="n">
        <f aca="false">IFERROR(__xludf.dummyfunction("""COMPUTED_VALUE"""),331.67)</f>
        <v>331.67</v>
      </c>
      <c r="E265" s="2" t="n">
        <f aca="false">IFERROR(__xludf.dummyfunction("""COMPUTED_VALUE"""),331.88)</f>
        <v>331.88</v>
      </c>
      <c r="F265" s="2" t="n">
        <f aca="false">IFERROR(__xludf.dummyfunction("""COMPUTED_VALUE"""),25147496)</f>
        <v>25147496</v>
      </c>
    </row>
    <row r="266" customFormat="false" ht="15.75" hidden="false" customHeight="false" outlineLevel="0" collapsed="false">
      <c r="A266" s="3" t="n">
        <f aca="false">IFERROR(__xludf.dummyfunction("""COMPUTED_VALUE"""),44581.6666666667)</f>
        <v>44581.6666666667</v>
      </c>
      <c r="B266" s="2" t="n">
        <f aca="false">IFERROR(__xludf.dummyfunction("""COMPUTED_VALUE"""),336.58)</f>
        <v>336.58</v>
      </c>
      <c r="C266" s="2" t="n">
        <f aca="false">IFERROR(__xludf.dummyfunction("""COMPUTED_VALUE"""),347.22)</f>
        <v>347.22</v>
      </c>
      <c r="D266" s="2" t="n">
        <f aca="false">IFERROR(__xludf.dummyfunction("""COMPUTED_VALUE"""),331.33)</f>
        <v>331.33</v>
      </c>
      <c r="E266" s="2" t="n">
        <f aca="false">IFERROR(__xludf.dummyfunction("""COMPUTED_VALUE"""),332.09)</f>
        <v>332.09</v>
      </c>
      <c r="F266" s="2" t="n">
        <f aca="false">IFERROR(__xludf.dummyfunction("""COMPUTED_VALUE"""),23496248)</f>
        <v>23496248</v>
      </c>
    </row>
    <row r="267" customFormat="false" ht="15.75" hidden="false" customHeight="false" outlineLevel="0" collapsed="false">
      <c r="A267" s="3" t="n">
        <f aca="false">IFERROR(__xludf.dummyfunction("""COMPUTED_VALUE"""),44582.6666666667)</f>
        <v>44582.6666666667</v>
      </c>
      <c r="B267" s="2" t="n">
        <f aca="false">IFERROR(__xludf.dummyfunction("""COMPUTED_VALUE"""),332.11)</f>
        <v>332.11</v>
      </c>
      <c r="C267" s="2" t="n">
        <f aca="false">IFERROR(__xludf.dummyfunction("""COMPUTED_VALUE"""),334.85)</f>
        <v>334.85</v>
      </c>
      <c r="D267" s="2" t="n">
        <f aca="false">IFERROR(__xludf.dummyfunction("""COMPUTED_VALUE"""),313.5)</f>
        <v>313.5</v>
      </c>
      <c r="E267" s="2" t="n">
        <f aca="false">IFERROR(__xludf.dummyfunction("""COMPUTED_VALUE"""),314.63)</f>
        <v>314.63</v>
      </c>
      <c r="F267" s="2" t="n">
        <f aca="false">IFERROR(__xludf.dummyfunction("""COMPUTED_VALUE"""),34472009)</f>
        <v>34472009</v>
      </c>
    </row>
    <row r="268" customFormat="false" ht="15.75" hidden="false" customHeight="false" outlineLevel="0" collapsed="false">
      <c r="A268" s="3" t="n">
        <f aca="false">IFERROR(__xludf.dummyfunction("""COMPUTED_VALUE"""),44585.6666666667)</f>
        <v>44585.6666666667</v>
      </c>
      <c r="B268" s="2" t="n">
        <f aca="false">IFERROR(__xludf.dummyfunction("""COMPUTED_VALUE"""),301.59)</f>
        <v>301.59</v>
      </c>
      <c r="C268" s="2" t="n">
        <f aca="false">IFERROR(__xludf.dummyfunction("""COMPUTED_VALUE"""),311.17)</f>
        <v>311.17</v>
      </c>
      <c r="D268" s="2" t="n">
        <f aca="false">IFERROR(__xludf.dummyfunction("""COMPUTED_VALUE"""),283.82)</f>
        <v>283.82</v>
      </c>
      <c r="E268" s="2" t="n">
        <f aca="false">IFERROR(__xludf.dummyfunction("""COMPUTED_VALUE"""),310)</f>
        <v>310</v>
      </c>
      <c r="F268" s="2" t="n">
        <f aca="false">IFERROR(__xludf.dummyfunction("""COMPUTED_VALUE"""),50791714)</f>
        <v>50791714</v>
      </c>
    </row>
    <row r="269" customFormat="false" ht="15.75" hidden="false" customHeight="false" outlineLevel="0" collapsed="false">
      <c r="A269" s="3" t="n">
        <f aca="false">IFERROR(__xludf.dummyfunction("""COMPUTED_VALUE"""),44586.6666666667)</f>
        <v>44586.6666666667</v>
      </c>
      <c r="B269" s="2" t="n">
        <f aca="false">IFERROR(__xludf.dummyfunction("""COMPUTED_VALUE"""),304.73)</f>
        <v>304.73</v>
      </c>
      <c r="C269" s="2" t="n">
        <f aca="false">IFERROR(__xludf.dummyfunction("""COMPUTED_VALUE"""),317.09)</f>
        <v>317.09</v>
      </c>
      <c r="D269" s="2" t="n">
        <f aca="false">IFERROR(__xludf.dummyfunction("""COMPUTED_VALUE"""),301.07)</f>
        <v>301.07</v>
      </c>
      <c r="E269" s="2" t="n">
        <f aca="false">IFERROR(__xludf.dummyfunction("""COMPUTED_VALUE"""),306.13)</f>
        <v>306.13</v>
      </c>
      <c r="F269" s="2" t="n">
        <f aca="false">IFERROR(__xludf.dummyfunction("""COMPUTED_VALUE"""),28865302)</f>
        <v>28865302</v>
      </c>
    </row>
    <row r="270" customFormat="false" ht="15.75" hidden="false" customHeight="false" outlineLevel="0" collapsed="false">
      <c r="A270" s="3" t="n">
        <f aca="false">IFERROR(__xludf.dummyfunction("""COMPUTED_VALUE"""),44587.6666666667)</f>
        <v>44587.6666666667</v>
      </c>
      <c r="B270" s="2" t="n">
        <f aca="false">IFERROR(__xludf.dummyfunction("""COMPUTED_VALUE"""),317.48)</f>
        <v>317.48</v>
      </c>
      <c r="C270" s="2" t="n">
        <f aca="false">IFERROR(__xludf.dummyfunction("""COMPUTED_VALUE"""),329.23)</f>
        <v>329.23</v>
      </c>
      <c r="D270" s="2" t="n">
        <f aca="false">IFERROR(__xludf.dummyfunction("""COMPUTED_VALUE"""),302)</f>
        <v>302</v>
      </c>
      <c r="E270" s="2" t="n">
        <f aca="false">IFERROR(__xludf.dummyfunction("""COMPUTED_VALUE"""),312.47)</f>
        <v>312.47</v>
      </c>
      <c r="F270" s="2" t="n">
        <f aca="false">IFERROR(__xludf.dummyfunction("""COMPUTED_VALUE"""),34955761)</f>
        <v>34955761</v>
      </c>
    </row>
    <row r="271" customFormat="false" ht="15.75" hidden="false" customHeight="false" outlineLevel="0" collapsed="false">
      <c r="A271" s="3" t="n">
        <f aca="false">IFERROR(__xludf.dummyfunction("""COMPUTED_VALUE"""),44588.6666666667)</f>
        <v>44588.6666666667</v>
      </c>
      <c r="B271" s="2" t="n">
        <f aca="false">IFERROR(__xludf.dummyfunction("""COMPUTED_VALUE"""),311.12)</f>
        <v>311.12</v>
      </c>
      <c r="C271" s="2" t="n">
        <f aca="false">IFERROR(__xludf.dummyfunction("""COMPUTED_VALUE"""),311.8)</f>
        <v>311.8</v>
      </c>
      <c r="D271" s="2" t="n">
        <f aca="false">IFERROR(__xludf.dummyfunction("""COMPUTED_VALUE"""),276.33)</f>
        <v>276.33</v>
      </c>
      <c r="E271" s="2" t="n">
        <f aca="false">IFERROR(__xludf.dummyfunction("""COMPUTED_VALUE"""),276.37)</f>
        <v>276.37</v>
      </c>
      <c r="F271" s="2" t="n">
        <f aca="false">IFERROR(__xludf.dummyfunction("""COMPUTED_VALUE"""),49036523)</f>
        <v>49036523</v>
      </c>
    </row>
    <row r="272" customFormat="false" ht="15.75" hidden="false" customHeight="false" outlineLevel="0" collapsed="false">
      <c r="A272" s="3" t="n">
        <f aca="false">IFERROR(__xludf.dummyfunction("""COMPUTED_VALUE"""),44589.6666666667)</f>
        <v>44589.6666666667</v>
      </c>
      <c r="B272" s="2" t="n">
        <f aca="false">IFERROR(__xludf.dummyfunction("""COMPUTED_VALUE"""),277.19)</f>
        <v>277.19</v>
      </c>
      <c r="C272" s="2" t="n">
        <f aca="false">IFERROR(__xludf.dummyfunction("""COMPUTED_VALUE"""),285.83)</f>
        <v>285.83</v>
      </c>
      <c r="D272" s="2" t="n">
        <f aca="false">IFERROR(__xludf.dummyfunction("""COMPUTED_VALUE"""),264)</f>
        <v>264</v>
      </c>
      <c r="E272" s="2" t="n">
        <f aca="false">IFERROR(__xludf.dummyfunction("""COMPUTED_VALUE"""),282.12)</f>
        <v>282.12</v>
      </c>
      <c r="F272" s="2" t="n">
        <f aca="false">IFERROR(__xludf.dummyfunction("""COMPUTED_VALUE"""),44929650)</f>
        <v>44929650</v>
      </c>
    </row>
    <row r="273" customFormat="false" ht="15.75" hidden="false" customHeight="false" outlineLevel="0" collapsed="false">
      <c r="A273" s="3" t="n">
        <f aca="false">IFERROR(__xludf.dummyfunction("""COMPUTED_VALUE"""),44592.6666666667)</f>
        <v>44592.6666666667</v>
      </c>
      <c r="B273" s="2" t="n">
        <f aca="false">IFERROR(__xludf.dummyfunction("""COMPUTED_VALUE"""),290.9)</f>
        <v>290.9</v>
      </c>
      <c r="C273" s="2" t="n">
        <f aca="false">IFERROR(__xludf.dummyfunction("""COMPUTED_VALUE"""),312.66)</f>
        <v>312.66</v>
      </c>
      <c r="D273" s="2" t="n">
        <f aca="false">IFERROR(__xludf.dummyfunction("""COMPUTED_VALUE"""),287.35)</f>
        <v>287.35</v>
      </c>
      <c r="E273" s="2" t="n">
        <f aca="false">IFERROR(__xludf.dummyfunction("""COMPUTED_VALUE"""),312.24)</f>
        <v>312.24</v>
      </c>
      <c r="F273" s="2" t="n">
        <f aca="false">IFERROR(__xludf.dummyfunction("""COMPUTED_VALUE"""),34812032)</f>
        <v>34812032</v>
      </c>
    </row>
    <row r="274" customFormat="false" ht="15.75" hidden="false" customHeight="false" outlineLevel="0" collapsed="false">
      <c r="A274" s="3" t="n">
        <f aca="false">IFERROR(__xludf.dummyfunction("""COMPUTED_VALUE"""),44593.6666666667)</f>
        <v>44593.6666666667</v>
      </c>
      <c r="B274" s="2" t="n">
        <f aca="false">IFERROR(__xludf.dummyfunction("""COMPUTED_VALUE"""),311.74)</f>
        <v>311.74</v>
      </c>
      <c r="C274" s="2" t="n">
        <f aca="false">IFERROR(__xludf.dummyfunction("""COMPUTED_VALUE"""),314.57)</f>
        <v>314.57</v>
      </c>
      <c r="D274" s="2" t="n">
        <f aca="false">IFERROR(__xludf.dummyfunction("""COMPUTED_VALUE"""),301.67)</f>
        <v>301.67</v>
      </c>
      <c r="E274" s="2" t="n">
        <f aca="false">IFERROR(__xludf.dummyfunction("""COMPUTED_VALUE"""),310.42)</f>
        <v>310.42</v>
      </c>
      <c r="F274" s="2" t="n">
        <f aca="false">IFERROR(__xludf.dummyfunction("""COMPUTED_VALUE"""),24379446)</f>
        <v>24379446</v>
      </c>
    </row>
    <row r="275" customFormat="false" ht="15.75" hidden="false" customHeight="false" outlineLevel="0" collapsed="false">
      <c r="A275" s="3" t="n">
        <f aca="false">IFERROR(__xludf.dummyfunction("""COMPUTED_VALUE"""),44594.6666666667)</f>
        <v>44594.6666666667</v>
      </c>
      <c r="B275" s="2" t="n">
        <f aca="false">IFERROR(__xludf.dummyfunction("""COMPUTED_VALUE"""),309.39)</f>
        <v>309.39</v>
      </c>
      <c r="C275" s="2" t="n">
        <f aca="false">IFERROR(__xludf.dummyfunction("""COMPUTED_VALUE"""),310.5)</f>
        <v>310.5</v>
      </c>
      <c r="D275" s="2" t="n">
        <f aca="false">IFERROR(__xludf.dummyfunction("""COMPUTED_VALUE"""),296.47)</f>
        <v>296.47</v>
      </c>
      <c r="E275" s="2" t="n">
        <f aca="false">IFERROR(__xludf.dummyfunction("""COMPUTED_VALUE"""),301.89)</f>
        <v>301.89</v>
      </c>
      <c r="F275" s="2" t="n">
        <f aca="false">IFERROR(__xludf.dummyfunction("""COMPUTED_VALUE"""),22264345)</f>
        <v>22264345</v>
      </c>
    </row>
    <row r="276" customFormat="false" ht="15.75" hidden="false" customHeight="false" outlineLevel="0" collapsed="false">
      <c r="A276" s="3" t="n">
        <f aca="false">IFERROR(__xludf.dummyfunction("""COMPUTED_VALUE"""),44595.6666666667)</f>
        <v>44595.6666666667</v>
      </c>
      <c r="B276" s="2" t="n">
        <f aca="false">IFERROR(__xludf.dummyfunction("""COMPUTED_VALUE"""),294)</f>
        <v>294</v>
      </c>
      <c r="C276" s="2" t="n">
        <f aca="false">IFERROR(__xludf.dummyfunction("""COMPUTED_VALUE"""),312.33)</f>
        <v>312.33</v>
      </c>
      <c r="D276" s="2" t="n">
        <f aca="false">IFERROR(__xludf.dummyfunction("""COMPUTED_VALUE"""),293.51)</f>
        <v>293.51</v>
      </c>
      <c r="E276" s="2" t="n">
        <f aca="false">IFERROR(__xludf.dummyfunction("""COMPUTED_VALUE"""),297.05)</f>
        <v>297.05</v>
      </c>
      <c r="F276" s="2" t="n">
        <f aca="false">IFERROR(__xludf.dummyfunction("""COMPUTED_VALUE"""),26285186)</f>
        <v>26285186</v>
      </c>
    </row>
    <row r="277" customFormat="false" ht="15.75" hidden="false" customHeight="false" outlineLevel="0" collapsed="false">
      <c r="A277" s="3" t="n">
        <f aca="false">IFERROR(__xludf.dummyfunction("""COMPUTED_VALUE"""),44596.6666666667)</f>
        <v>44596.6666666667</v>
      </c>
      <c r="B277" s="2" t="n">
        <f aca="false">IFERROR(__xludf.dummyfunction("""COMPUTED_VALUE"""),299.07)</f>
        <v>299.07</v>
      </c>
      <c r="C277" s="2" t="n">
        <f aca="false">IFERROR(__xludf.dummyfunction("""COMPUTED_VALUE"""),312.17)</f>
        <v>312.17</v>
      </c>
      <c r="D277" s="2" t="n">
        <f aca="false">IFERROR(__xludf.dummyfunction("""COMPUTED_VALUE"""),293.72)</f>
        <v>293.72</v>
      </c>
      <c r="E277" s="2" t="n">
        <f aca="false">IFERROR(__xludf.dummyfunction("""COMPUTED_VALUE"""),307.77)</f>
        <v>307.77</v>
      </c>
      <c r="F277" s="2" t="n">
        <f aca="false">IFERROR(__xludf.dummyfunction("""COMPUTED_VALUE"""),24541822)</f>
        <v>24541822</v>
      </c>
    </row>
    <row r="278" customFormat="false" ht="15.75" hidden="false" customHeight="false" outlineLevel="0" collapsed="false">
      <c r="A278" s="3" t="n">
        <f aca="false">IFERROR(__xludf.dummyfunction("""COMPUTED_VALUE"""),44599.6666666667)</f>
        <v>44599.6666666667</v>
      </c>
      <c r="B278" s="2" t="n">
        <f aca="false">IFERROR(__xludf.dummyfunction("""COMPUTED_VALUE"""),307.93)</f>
        <v>307.93</v>
      </c>
      <c r="C278" s="2" t="n">
        <f aca="false">IFERROR(__xludf.dummyfunction("""COMPUTED_VALUE"""),315.92)</f>
        <v>315.92</v>
      </c>
      <c r="D278" s="2" t="n">
        <f aca="false">IFERROR(__xludf.dummyfunction("""COMPUTED_VALUE"""),300.9)</f>
        <v>300.9</v>
      </c>
      <c r="E278" s="2" t="n">
        <f aca="false">IFERROR(__xludf.dummyfunction("""COMPUTED_VALUE"""),302.45)</f>
        <v>302.45</v>
      </c>
      <c r="F278" s="2" t="n">
        <f aca="false">IFERROR(__xludf.dummyfunction("""COMPUTED_VALUE"""),20331488)</f>
        <v>20331488</v>
      </c>
    </row>
    <row r="279" customFormat="false" ht="15.75" hidden="false" customHeight="false" outlineLevel="0" collapsed="false">
      <c r="A279" s="3" t="n">
        <f aca="false">IFERROR(__xludf.dummyfunction("""COMPUTED_VALUE"""),44600.6666666667)</f>
        <v>44600.6666666667</v>
      </c>
      <c r="B279" s="2" t="n">
        <f aca="false">IFERROR(__xludf.dummyfunction("""COMPUTED_VALUE"""),301.84)</f>
        <v>301.84</v>
      </c>
      <c r="C279" s="2" t="n">
        <f aca="false">IFERROR(__xludf.dummyfunction("""COMPUTED_VALUE"""),308.76)</f>
        <v>308.76</v>
      </c>
      <c r="D279" s="2" t="n">
        <f aca="false">IFERROR(__xludf.dummyfunction("""COMPUTED_VALUE"""),298.27)</f>
        <v>298.27</v>
      </c>
      <c r="E279" s="2" t="n">
        <f aca="false">IFERROR(__xludf.dummyfunction("""COMPUTED_VALUE"""),307.33)</f>
        <v>307.33</v>
      </c>
      <c r="F279" s="2" t="n">
        <f aca="false">IFERROR(__xludf.dummyfunction("""COMPUTED_VALUE"""),16909671)</f>
        <v>16909671</v>
      </c>
    </row>
    <row r="280" customFormat="false" ht="15.75" hidden="false" customHeight="false" outlineLevel="0" collapsed="false">
      <c r="A280" s="3" t="n">
        <f aca="false">IFERROR(__xludf.dummyfunction("""COMPUTED_VALUE"""),44601.6666666667)</f>
        <v>44601.6666666667</v>
      </c>
      <c r="B280" s="2" t="n">
        <f aca="false">IFERROR(__xludf.dummyfunction("""COMPUTED_VALUE"""),311.67)</f>
        <v>311.67</v>
      </c>
      <c r="C280" s="2" t="n">
        <f aca="false">IFERROR(__xludf.dummyfunction("""COMPUTED_VALUE"""),315.42)</f>
        <v>315.42</v>
      </c>
      <c r="D280" s="2" t="n">
        <f aca="false">IFERROR(__xludf.dummyfunction("""COMPUTED_VALUE"""),306.67)</f>
        <v>306.67</v>
      </c>
      <c r="E280" s="2" t="n">
        <f aca="false">IFERROR(__xludf.dummyfunction("""COMPUTED_VALUE"""),310.67)</f>
        <v>310.67</v>
      </c>
      <c r="F280" s="2" t="n">
        <f aca="false">IFERROR(__xludf.dummyfunction("""COMPUTED_VALUE"""),17419848)</f>
        <v>17419848</v>
      </c>
    </row>
    <row r="281" customFormat="false" ht="15.75" hidden="false" customHeight="false" outlineLevel="0" collapsed="false">
      <c r="A281" s="3" t="n">
        <f aca="false">IFERROR(__xludf.dummyfunction("""COMPUTED_VALUE"""),44602.6666666667)</f>
        <v>44602.6666666667</v>
      </c>
      <c r="B281" s="2" t="n">
        <f aca="false">IFERROR(__xludf.dummyfunction("""COMPUTED_VALUE"""),302.79)</f>
        <v>302.79</v>
      </c>
      <c r="C281" s="2" t="n">
        <f aca="false">IFERROR(__xludf.dummyfunction("""COMPUTED_VALUE"""),314.6)</f>
        <v>314.6</v>
      </c>
      <c r="D281" s="2" t="n">
        <f aca="false">IFERROR(__xludf.dummyfunction("""COMPUTED_VALUE"""),298.9)</f>
        <v>298.9</v>
      </c>
      <c r="E281" s="2" t="n">
        <f aca="false">IFERROR(__xludf.dummyfunction("""COMPUTED_VALUE"""),301.52)</f>
        <v>301.52</v>
      </c>
      <c r="F281" s="2" t="n">
        <f aca="false">IFERROR(__xludf.dummyfunction("""COMPUTED_VALUE"""),22042277)</f>
        <v>22042277</v>
      </c>
    </row>
    <row r="282" customFormat="false" ht="15.75" hidden="false" customHeight="false" outlineLevel="0" collapsed="false">
      <c r="A282" s="3" t="n">
        <f aca="false">IFERROR(__xludf.dummyfunction("""COMPUTED_VALUE"""),44603.6666666667)</f>
        <v>44603.6666666667</v>
      </c>
      <c r="B282" s="2" t="n">
        <f aca="false">IFERROR(__xludf.dummyfunction("""COMPUTED_VALUE"""),303.21)</f>
        <v>303.21</v>
      </c>
      <c r="C282" s="2" t="n">
        <f aca="false">IFERROR(__xludf.dummyfunction("""COMPUTED_VALUE"""),305.32)</f>
        <v>305.32</v>
      </c>
      <c r="D282" s="2" t="n">
        <f aca="false">IFERROR(__xludf.dummyfunction("""COMPUTED_VALUE"""),283.57)</f>
        <v>283.57</v>
      </c>
      <c r="E282" s="2" t="n">
        <f aca="false">IFERROR(__xludf.dummyfunction("""COMPUTED_VALUE"""),286.67)</f>
        <v>286.67</v>
      </c>
      <c r="F282" s="2" t="n">
        <f aca="false">IFERROR(__xludf.dummyfunction("""COMPUTED_VALUE"""),26548623)</f>
        <v>26548623</v>
      </c>
    </row>
    <row r="283" customFormat="false" ht="15.75" hidden="false" customHeight="false" outlineLevel="0" collapsed="false">
      <c r="A283" s="3" t="n">
        <f aca="false">IFERROR(__xludf.dummyfunction("""COMPUTED_VALUE"""),44606.6666666667)</f>
        <v>44606.6666666667</v>
      </c>
      <c r="B283" s="2" t="n">
        <f aca="false">IFERROR(__xludf.dummyfunction("""COMPUTED_VALUE"""),287.19)</f>
        <v>287.19</v>
      </c>
      <c r="C283" s="2" t="n">
        <f aca="false">IFERROR(__xludf.dummyfunction("""COMPUTED_VALUE"""),299.63)</f>
        <v>299.63</v>
      </c>
      <c r="D283" s="2" t="n">
        <f aca="false">IFERROR(__xludf.dummyfunction("""COMPUTED_VALUE"""),284.38)</f>
        <v>284.38</v>
      </c>
      <c r="E283" s="2" t="n">
        <f aca="false">IFERROR(__xludf.dummyfunction("""COMPUTED_VALUE"""),291.92)</f>
        <v>291.92</v>
      </c>
      <c r="F283" s="2" t="n">
        <f aca="false">IFERROR(__xludf.dummyfunction("""COMPUTED_VALUE"""),22585472)</f>
        <v>22585472</v>
      </c>
    </row>
    <row r="284" customFormat="false" ht="15.75" hidden="false" customHeight="false" outlineLevel="0" collapsed="false">
      <c r="A284" s="3" t="n">
        <f aca="false">IFERROR(__xludf.dummyfunction("""COMPUTED_VALUE"""),44607.6666666667)</f>
        <v>44607.6666666667</v>
      </c>
      <c r="B284" s="2" t="n">
        <f aca="false">IFERROR(__xludf.dummyfunction("""COMPUTED_VALUE"""),300)</f>
        <v>300</v>
      </c>
      <c r="C284" s="2" t="n">
        <f aca="false">IFERROR(__xludf.dummyfunction("""COMPUTED_VALUE"""),307.67)</f>
        <v>307.67</v>
      </c>
      <c r="D284" s="2" t="n">
        <f aca="false">IFERROR(__xludf.dummyfunction("""COMPUTED_VALUE"""),297.79)</f>
        <v>297.79</v>
      </c>
      <c r="E284" s="2" t="n">
        <f aca="false">IFERROR(__xludf.dummyfunction("""COMPUTED_VALUE"""),307.48)</f>
        <v>307.48</v>
      </c>
      <c r="F284" s="2" t="n">
        <f aca="false">IFERROR(__xludf.dummyfunction("""COMPUTED_VALUE"""),19216514)</f>
        <v>19216514</v>
      </c>
    </row>
    <row r="285" customFormat="false" ht="15.75" hidden="false" customHeight="false" outlineLevel="0" collapsed="false">
      <c r="A285" s="3" t="n">
        <f aca="false">IFERROR(__xludf.dummyfunction("""COMPUTED_VALUE"""),44608.6666666667)</f>
        <v>44608.6666666667</v>
      </c>
      <c r="B285" s="2" t="n">
        <f aca="false">IFERROR(__xludf.dummyfunction("""COMPUTED_VALUE"""),304.68)</f>
        <v>304.68</v>
      </c>
      <c r="C285" s="2" t="n">
        <f aca="false">IFERROR(__xludf.dummyfunction("""COMPUTED_VALUE"""),308.81)</f>
        <v>308.81</v>
      </c>
      <c r="D285" s="2" t="n">
        <f aca="false">IFERROR(__xludf.dummyfunction("""COMPUTED_VALUE"""),300.4)</f>
        <v>300.4</v>
      </c>
      <c r="E285" s="2" t="n">
        <f aca="false">IFERROR(__xludf.dummyfunction("""COMPUTED_VALUE"""),307.8)</f>
        <v>307.8</v>
      </c>
      <c r="F285" s="2" t="n">
        <f aca="false">IFERROR(__xludf.dummyfunction("""COMPUTED_VALUE"""),17098132)</f>
        <v>17098132</v>
      </c>
    </row>
    <row r="286" customFormat="false" ht="15.75" hidden="false" customHeight="false" outlineLevel="0" collapsed="false">
      <c r="A286" s="3" t="n">
        <f aca="false">IFERROR(__xludf.dummyfunction("""COMPUTED_VALUE"""),44609.6666666667)</f>
        <v>44609.6666666667</v>
      </c>
      <c r="B286" s="2" t="n">
        <f aca="false">IFERROR(__xludf.dummyfunction("""COMPUTED_VALUE"""),304.42)</f>
        <v>304.42</v>
      </c>
      <c r="C286" s="2" t="n">
        <f aca="false">IFERROR(__xludf.dummyfunction("""COMPUTED_VALUE"""),306.17)</f>
        <v>306.17</v>
      </c>
      <c r="D286" s="2" t="n">
        <f aca="false">IFERROR(__xludf.dummyfunction("""COMPUTED_VALUE"""),291.37)</f>
        <v>291.37</v>
      </c>
      <c r="E286" s="2" t="n">
        <f aca="false">IFERROR(__xludf.dummyfunction("""COMPUTED_VALUE"""),292.12)</f>
        <v>292.12</v>
      </c>
      <c r="F286" s="2" t="n">
        <f aca="false">IFERROR(__xludf.dummyfunction("""COMPUTED_VALUE"""),18392806)</f>
        <v>18392806</v>
      </c>
    </row>
    <row r="287" customFormat="false" ht="15.75" hidden="false" customHeight="false" outlineLevel="0" collapsed="false">
      <c r="A287" s="3" t="n">
        <f aca="false">IFERROR(__xludf.dummyfunction("""COMPUTED_VALUE"""),44610.6666666667)</f>
        <v>44610.6666666667</v>
      </c>
      <c r="B287" s="2" t="n">
        <f aca="false">IFERROR(__xludf.dummyfunction("""COMPUTED_VALUE"""),295.33)</f>
        <v>295.33</v>
      </c>
      <c r="C287" s="2" t="n">
        <f aca="false">IFERROR(__xludf.dummyfunction("""COMPUTED_VALUE"""),295.62)</f>
        <v>295.62</v>
      </c>
      <c r="D287" s="2" t="n">
        <f aca="false">IFERROR(__xludf.dummyfunction("""COMPUTED_VALUE"""),279.2)</f>
        <v>279.2</v>
      </c>
      <c r="E287" s="2" t="n">
        <f aca="false">IFERROR(__xludf.dummyfunction("""COMPUTED_VALUE"""),285.66)</f>
        <v>285.66</v>
      </c>
      <c r="F287" s="2" t="n">
        <f aca="false">IFERROR(__xludf.dummyfunction("""COMPUTED_VALUE"""),22833947)</f>
        <v>22833947</v>
      </c>
    </row>
    <row r="288" customFormat="false" ht="15.75" hidden="false" customHeight="false" outlineLevel="0" collapsed="false">
      <c r="A288" s="3" t="n">
        <f aca="false">IFERROR(__xludf.dummyfunction("""COMPUTED_VALUE"""),44614.6666666667)</f>
        <v>44614.6666666667</v>
      </c>
      <c r="B288" s="2" t="n">
        <f aca="false">IFERROR(__xludf.dummyfunction("""COMPUTED_VALUE"""),278.04)</f>
        <v>278.04</v>
      </c>
      <c r="C288" s="2" t="n">
        <f aca="false">IFERROR(__xludf.dummyfunction("""COMPUTED_VALUE"""),285.58)</f>
        <v>285.58</v>
      </c>
      <c r="D288" s="2" t="n">
        <f aca="false">IFERROR(__xludf.dummyfunction("""COMPUTED_VALUE"""),267.03)</f>
        <v>267.03</v>
      </c>
      <c r="E288" s="2" t="n">
        <f aca="false">IFERROR(__xludf.dummyfunction("""COMPUTED_VALUE"""),273.84)</f>
        <v>273.84</v>
      </c>
      <c r="F288" s="2" t="n">
        <f aca="false">IFERROR(__xludf.dummyfunction("""COMPUTED_VALUE"""),27762734)</f>
        <v>27762734</v>
      </c>
    </row>
    <row r="289" customFormat="false" ht="15.75" hidden="false" customHeight="false" outlineLevel="0" collapsed="false">
      <c r="A289" s="3" t="n">
        <f aca="false">IFERROR(__xludf.dummyfunction("""COMPUTED_VALUE"""),44615.6666666667)</f>
        <v>44615.6666666667</v>
      </c>
      <c r="B289" s="2" t="n">
        <f aca="false">IFERROR(__xludf.dummyfunction("""COMPUTED_VALUE"""),276.81)</f>
        <v>276.81</v>
      </c>
      <c r="C289" s="2" t="n">
        <f aca="false">IFERROR(__xludf.dummyfunction("""COMPUTED_VALUE"""),278.43)</f>
        <v>278.43</v>
      </c>
      <c r="D289" s="2" t="n">
        <f aca="false">IFERROR(__xludf.dummyfunction("""COMPUTED_VALUE"""),253.52)</f>
        <v>253.52</v>
      </c>
      <c r="E289" s="2" t="n">
        <f aca="false">IFERROR(__xludf.dummyfunction("""COMPUTED_VALUE"""),254.68)</f>
        <v>254.68</v>
      </c>
      <c r="F289" s="2" t="n">
        <f aca="false">IFERROR(__xludf.dummyfunction("""COMPUTED_VALUE"""),31752336)</f>
        <v>31752336</v>
      </c>
    </row>
    <row r="290" customFormat="false" ht="15.75" hidden="false" customHeight="false" outlineLevel="0" collapsed="false">
      <c r="A290" s="3" t="n">
        <f aca="false">IFERROR(__xludf.dummyfunction("""COMPUTED_VALUE"""),44616.6666666667)</f>
        <v>44616.6666666667</v>
      </c>
      <c r="B290" s="2" t="n">
        <f aca="false">IFERROR(__xludf.dummyfunction("""COMPUTED_VALUE"""),233.46)</f>
        <v>233.46</v>
      </c>
      <c r="C290" s="2" t="n">
        <f aca="false">IFERROR(__xludf.dummyfunction("""COMPUTED_VALUE"""),267.49)</f>
        <v>267.49</v>
      </c>
      <c r="D290" s="2" t="n">
        <f aca="false">IFERROR(__xludf.dummyfunction("""COMPUTED_VALUE"""),233.33)</f>
        <v>233.33</v>
      </c>
      <c r="E290" s="2" t="n">
        <f aca="false">IFERROR(__xludf.dummyfunction("""COMPUTED_VALUE"""),266.92)</f>
        <v>266.92</v>
      </c>
      <c r="F290" s="2" t="n">
        <f aca="false">IFERROR(__xludf.dummyfunction("""COMPUTED_VALUE"""),45107425)</f>
        <v>45107425</v>
      </c>
    </row>
    <row r="291" customFormat="false" ht="15.75" hidden="false" customHeight="false" outlineLevel="0" collapsed="false">
      <c r="A291" s="3" t="n">
        <f aca="false">IFERROR(__xludf.dummyfunction("""COMPUTED_VALUE"""),44617.6666666667)</f>
        <v>44617.6666666667</v>
      </c>
      <c r="B291" s="2" t="n">
        <f aca="false">IFERROR(__xludf.dummyfunction("""COMPUTED_VALUE"""),269.74)</f>
        <v>269.74</v>
      </c>
      <c r="C291" s="2" t="n">
        <f aca="false">IFERROR(__xludf.dummyfunction("""COMPUTED_VALUE"""),273.17)</f>
        <v>273.17</v>
      </c>
      <c r="D291" s="2" t="n">
        <f aca="false">IFERROR(__xludf.dummyfunction("""COMPUTED_VALUE"""),260.8)</f>
        <v>260.8</v>
      </c>
      <c r="E291" s="2" t="n">
        <f aca="false">IFERROR(__xludf.dummyfunction("""COMPUTED_VALUE"""),269.96)</f>
        <v>269.96</v>
      </c>
      <c r="F291" s="2" t="n">
        <f aca="false">IFERROR(__xludf.dummyfunction("""COMPUTED_VALUE"""),25355921)</f>
        <v>25355921</v>
      </c>
    </row>
    <row r="292" customFormat="false" ht="15.75" hidden="false" customHeight="false" outlineLevel="0" collapsed="false">
      <c r="A292" s="3" t="n">
        <f aca="false">IFERROR(__xludf.dummyfunction("""COMPUTED_VALUE"""),44620.6666666667)</f>
        <v>44620.6666666667</v>
      </c>
      <c r="B292" s="2" t="n">
        <f aca="false">IFERROR(__xludf.dummyfunction("""COMPUTED_VALUE"""),271.67)</f>
        <v>271.67</v>
      </c>
      <c r="C292" s="2" t="n">
        <f aca="false">IFERROR(__xludf.dummyfunction("""COMPUTED_VALUE"""),292.29)</f>
        <v>292.29</v>
      </c>
      <c r="D292" s="2" t="n">
        <f aca="false">IFERROR(__xludf.dummyfunction("""COMPUTED_VALUE"""),271.57)</f>
        <v>271.57</v>
      </c>
      <c r="E292" s="2" t="n">
        <f aca="false">IFERROR(__xludf.dummyfunction("""COMPUTED_VALUE"""),290.14)</f>
        <v>290.14</v>
      </c>
      <c r="F292" s="2" t="n">
        <f aca="false">IFERROR(__xludf.dummyfunction("""COMPUTED_VALUE"""),33002289)</f>
        <v>33002289</v>
      </c>
    </row>
    <row r="293" customFormat="false" ht="15.75" hidden="false" customHeight="false" outlineLevel="0" collapsed="false">
      <c r="A293" s="3" t="n">
        <f aca="false">IFERROR(__xludf.dummyfunction("""COMPUTED_VALUE"""),44621.6666666667)</f>
        <v>44621.6666666667</v>
      </c>
      <c r="B293" s="2" t="n">
        <f aca="false">IFERROR(__xludf.dummyfunction("""COMPUTED_VALUE"""),289.89)</f>
        <v>289.89</v>
      </c>
      <c r="C293" s="2" t="n">
        <f aca="false">IFERROR(__xludf.dummyfunction("""COMPUTED_VALUE"""),296.63)</f>
        <v>296.63</v>
      </c>
      <c r="D293" s="2" t="n">
        <f aca="false">IFERROR(__xludf.dummyfunction("""COMPUTED_VALUE"""),284.59)</f>
        <v>284.59</v>
      </c>
      <c r="E293" s="2" t="n">
        <f aca="false">IFERROR(__xludf.dummyfunction("""COMPUTED_VALUE"""),288.12)</f>
        <v>288.12</v>
      </c>
      <c r="F293" s="2" t="n">
        <f aca="false">IFERROR(__xludf.dummyfunction("""COMPUTED_VALUE"""),24922287)</f>
        <v>24922287</v>
      </c>
    </row>
    <row r="294" customFormat="false" ht="15.75" hidden="false" customHeight="false" outlineLevel="0" collapsed="false">
      <c r="A294" s="3" t="n">
        <f aca="false">IFERROR(__xludf.dummyfunction("""COMPUTED_VALUE"""),44622.6666666667)</f>
        <v>44622.6666666667</v>
      </c>
      <c r="B294" s="2" t="n">
        <f aca="false">IFERROR(__xludf.dummyfunction("""COMPUTED_VALUE"""),290.71)</f>
        <v>290.71</v>
      </c>
      <c r="C294" s="2" t="n">
        <f aca="false">IFERROR(__xludf.dummyfunction("""COMPUTED_VALUE"""),295.49)</f>
        <v>295.49</v>
      </c>
      <c r="D294" s="2" t="n">
        <f aca="false">IFERROR(__xludf.dummyfunction("""COMPUTED_VALUE"""),281.42)</f>
        <v>281.42</v>
      </c>
      <c r="E294" s="2" t="n">
        <f aca="false">IFERROR(__xludf.dummyfunction("""COMPUTED_VALUE"""),293.3)</f>
        <v>293.3</v>
      </c>
      <c r="F294" s="2" t="n">
        <f aca="false">IFERROR(__xludf.dummyfunction("""COMPUTED_VALUE"""),24881146)</f>
        <v>24881146</v>
      </c>
    </row>
    <row r="295" customFormat="false" ht="15.75" hidden="false" customHeight="false" outlineLevel="0" collapsed="false">
      <c r="A295" s="3" t="n">
        <f aca="false">IFERROR(__xludf.dummyfunction("""COMPUTED_VALUE"""),44623.6666666667)</f>
        <v>44623.6666666667</v>
      </c>
      <c r="B295" s="2" t="n">
        <f aca="false">IFERROR(__xludf.dummyfunction("""COMPUTED_VALUE"""),292.92)</f>
        <v>292.92</v>
      </c>
      <c r="C295" s="2" t="n">
        <f aca="false">IFERROR(__xludf.dummyfunction("""COMPUTED_VALUE"""),295.48)</f>
        <v>295.48</v>
      </c>
      <c r="D295" s="2" t="n">
        <f aca="false">IFERROR(__xludf.dummyfunction("""COMPUTED_VALUE"""),277.53)</f>
        <v>277.53</v>
      </c>
      <c r="E295" s="2" t="n">
        <f aca="false">IFERROR(__xludf.dummyfunction("""COMPUTED_VALUE"""),279.76)</f>
        <v>279.76</v>
      </c>
      <c r="F295" s="2" t="n">
        <f aca="false">IFERROR(__xludf.dummyfunction("""COMPUTED_VALUE"""),20541169)</f>
        <v>20541169</v>
      </c>
    </row>
    <row r="296" customFormat="false" ht="15.75" hidden="false" customHeight="false" outlineLevel="0" collapsed="false">
      <c r="A296" s="3" t="n">
        <f aca="false">IFERROR(__xludf.dummyfunction("""COMPUTED_VALUE"""),44624.6666666667)</f>
        <v>44624.6666666667</v>
      </c>
      <c r="B296" s="2" t="n">
        <f aca="false">IFERROR(__xludf.dummyfunction("""COMPUTED_VALUE"""),283.03)</f>
        <v>283.03</v>
      </c>
      <c r="C296" s="2" t="n">
        <f aca="false">IFERROR(__xludf.dummyfunction("""COMPUTED_VALUE"""),285.22)</f>
        <v>285.22</v>
      </c>
      <c r="D296" s="2" t="n">
        <f aca="false">IFERROR(__xludf.dummyfunction("""COMPUTED_VALUE"""),275.05)</f>
        <v>275.05</v>
      </c>
      <c r="E296" s="2" t="n">
        <f aca="false">IFERROR(__xludf.dummyfunction("""COMPUTED_VALUE"""),279.43)</f>
        <v>279.43</v>
      </c>
      <c r="F296" s="2" t="n">
        <f aca="false">IFERROR(__xludf.dummyfunction("""COMPUTED_VALUE"""),22393287)</f>
        <v>22393287</v>
      </c>
    </row>
    <row r="297" customFormat="false" ht="15.75" hidden="false" customHeight="false" outlineLevel="0" collapsed="false">
      <c r="A297" s="3" t="n">
        <f aca="false">IFERROR(__xludf.dummyfunction("""COMPUTED_VALUE"""),44627.6666666667)</f>
        <v>44627.6666666667</v>
      </c>
      <c r="B297" s="2" t="n">
        <f aca="false">IFERROR(__xludf.dummyfunction("""COMPUTED_VALUE"""),285.43)</f>
        <v>285.43</v>
      </c>
      <c r="C297" s="2" t="n">
        <f aca="false">IFERROR(__xludf.dummyfunction("""COMPUTED_VALUE"""),288.71)</f>
        <v>288.71</v>
      </c>
      <c r="D297" s="2" t="n">
        <f aca="false">IFERROR(__xludf.dummyfunction("""COMPUTED_VALUE"""),268.19)</f>
        <v>268.19</v>
      </c>
      <c r="E297" s="2" t="n">
        <f aca="false">IFERROR(__xludf.dummyfunction("""COMPUTED_VALUE"""),268.19)</f>
        <v>268.19</v>
      </c>
      <c r="F297" s="2" t="n">
        <f aca="false">IFERROR(__xludf.dummyfunction("""COMPUTED_VALUE"""),24164724)</f>
        <v>24164724</v>
      </c>
    </row>
    <row r="298" customFormat="false" ht="15.75" hidden="false" customHeight="false" outlineLevel="0" collapsed="false">
      <c r="A298" s="3" t="n">
        <f aca="false">IFERROR(__xludf.dummyfunction("""COMPUTED_VALUE"""),44628.6666666667)</f>
        <v>44628.6666666667</v>
      </c>
      <c r="B298" s="2" t="n">
        <f aca="false">IFERROR(__xludf.dummyfunction("""COMPUTED_VALUE"""),265.18)</f>
        <v>265.18</v>
      </c>
      <c r="C298" s="2" t="n">
        <f aca="false">IFERROR(__xludf.dummyfunction("""COMPUTED_VALUE"""),283.33)</f>
        <v>283.33</v>
      </c>
      <c r="D298" s="2" t="n">
        <f aca="false">IFERROR(__xludf.dummyfunction("""COMPUTED_VALUE"""),260.72)</f>
        <v>260.72</v>
      </c>
      <c r="E298" s="2" t="n">
        <f aca="false">IFERROR(__xludf.dummyfunction("""COMPUTED_VALUE"""),274.8)</f>
        <v>274.8</v>
      </c>
      <c r="F298" s="2" t="n">
        <f aca="false">IFERROR(__xludf.dummyfunction("""COMPUTED_VALUE"""),26799702)</f>
        <v>26799702</v>
      </c>
    </row>
    <row r="299" customFormat="false" ht="15.75" hidden="false" customHeight="false" outlineLevel="0" collapsed="false">
      <c r="A299" s="3" t="n">
        <f aca="false">IFERROR(__xludf.dummyfunction("""COMPUTED_VALUE"""),44629.6666666667)</f>
        <v>44629.6666666667</v>
      </c>
      <c r="B299" s="2" t="n">
        <f aca="false">IFERROR(__xludf.dummyfunction("""COMPUTED_VALUE"""),279.83)</f>
        <v>279.83</v>
      </c>
      <c r="C299" s="2" t="n">
        <f aca="false">IFERROR(__xludf.dummyfunction("""COMPUTED_VALUE"""),286.85)</f>
        <v>286.85</v>
      </c>
      <c r="D299" s="2" t="n">
        <f aca="false">IFERROR(__xludf.dummyfunction("""COMPUTED_VALUE"""),277.34)</f>
        <v>277.34</v>
      </c>
      <c r="E299" s="2" t="n">
        <f aca="false">IFERROR(__xludf.dummyfunction("""COMPUTED_VALUE"""),286.32)</f>
        <v>286.32</v>
      </c>
      <c r="F299" s="2" t="n">
        <f aca="false">IFERROR(__xludf.dummyfunction("""COMPUTED_VALUE"""),19727993)</f>
        <v>19727993</v>
      </c>
    </row>
    <row r="300" customFormat="false" ht="15.75" hidden="false" customHeight="false" outlineLevel="0" collapsed="false">
      <c r="A300" s="3" t="n">
        <f aca="false">IFERROR(__xludf.dummyfunction("""COMPUTED_VALUE"""),44630.6666666667)</f>
        <v>44630.6666666667</v>
      </c>
      <c r="B300" s="2" t="n">
        <f aca="false">IFERROR(__xludf.dummyfunction("""COMPUTED_VALUE"""),283.82)</f>
        <v>283.82</v>
      </c>
      <c r="C300" s="2" t="n">
        <f aca="false">IFERROR(__xludf.dummyfunction("""COMPUTED_VALUE"""),284.82)</f>
        <v>284.82</v>
      </c>
      <c r="D300" s="2" t="n">
        <f aca="false">IFERROR(__xludf.dummyfunction("""COMPUTED_VALUE"""),270.12)</f>
        <v>270.12</v>
      </c>
      <c r="E300" s="2" t="n">
        <f aca="false">IFERROR(__xludf.dummyfunction("""COMPUTED_VALUE"""),279.43)</f>
        <v>279.43</v>
      </c>
      <c r="F300" s="2" t="n">
        <f aca="false">IFERROR(__xludf.dummyfunction("""COMPUTED_VALUE"""),19549548)</f>
        <v>19549548</v>
      </c>
    </row>
    <row r="301" customFormat="false" ht="15.75" hidden="false" customHeight="false" outlineLevel="0" collapsed="false">
      <c r="A301" s="3" t="n">
        <f aca="false">IFERROR(__xludf.dummyfunction("""COMPUTED_VALUE"""),44631.6666666667)</f>
        <v>44631.6666666667</v>
      </c>
      <c r="B301" s="2" t="n">
        <f aca="false">IFERROR(__xludf.dummyfunction("""COMPUTED_VALUE"""),280.07)</f>
        <v>280.07</v>
      </c>
      <c r="C301" s="2" t="n">
        <f aca="false">IFERROR(__xludf.dummyfunction("""COMPUTED_VALUE"""),281.27)</f>
        <v>281.27</v>
      </c>
      <c r="D301" s="2" t="n">
        <f aca="false">IFERROR(__xludf.dummyfunction("""COMPUTED_VALUE"""),264.59)</f>
        <v>264.59</v>
      </c>
      <c r="E301" s="2" t="n">
        <f aca="false">IFERROR(__xludf.dummyfunction("""COMPUTED_VALUE"""),265.12)</f>
        <v>265.12</v>
      </c>
      <c r="F301" s="2" t="n">
        <f aca="false">IFERROR(__xludf.dummyfunction("""COMPUTED_VALUE"""),22345722)</f>
        <v>22345722</v>
      </c>
    </row>
    <row r="302" customFormat="false" ht="15.75" hidden="false" customHeight="false" outlineLevel="0" collapsed="false">
      <c r="A302" s="3" t="n">
        <f aca="false">IFERROR(__xludf.dummyfunction("""COMPUTED_VALUE"""),44634.6666666667)</f>
        <v>44634.6666666667</v>
      </c>
      <c r="B302" s="2" t="n">
        <f aca="false">IFERROR(__xludf.dummyfunction("""COMPUTED_VALUE"""),260.2)</f>
        <v>260.2</v>
      </c>
      <c r="C302" s="2" t="n">
        <f aca="false">IFERROR(__xludf.dummyfunction("""COMPUTED_VALUE"""),266.9)</f>
        <v>266.9</v>
      </c>
      <c r="D302" s="2" t="n">
        <f aca="false">IFERROR(__xludf.dummyfunction("""COMPUTED_VALUE"""),252.01)</f>
        <v>252.01</v>
      </c>
      <c r="E302" s="2" t="n">
        <f aca="false">IFERROR(__xludf.dummyfunction("""COMPUTED_VALUE"""),255.46)</f>
        <v>255.46</v>
      </c>
      <c r="F302" s="2" t="n">
        <f aca="false">IFERROR(__xludf.dummyfunction("""COMPUTED_VALUE"""),23717421)</f>
        <v>23717421</v>
      </c>
    </row>
    <row r="303" customFormat="false" ht="15.75" hidden="false" customHeight="false" outlineLevel="0" collapsed="false">
      <c r="A303" s="3" t="n">
        <f aca="false">IFERROR(__xludf.dummyfunction("""COMPUTED_VALUE"""),44635.6666666667)</f>
        <v>44635.6666666667</v>
      </c>
      <c r="B303" s="2" t="n">
        <f aca="false">IFERROR(__xludf.dummyfunction("""COMPUTED_VALUE"""),258.42)</f>
        <v>258.42</v>
      </c>
      <c r="C303" s="2" t="n">
        <f aca="false">IFERROR(__xludf.dummyfunction("""COMPUTED_VALUE"""),268.52)</f>
        <v>268.52</v>
      </c>
      <c r="D303" s="2" t="n">
        <f aca="false">IFERROR(__xludf.dummyfunction("""COMPUTED_VALUE"""),252.19)</f>
        <v>252.19</v>
      </c>
      <c r="E303" s="2" t="n">
        <f aca="false">IFERROR(__xludf.dummyfunction("""COMPUTED_VALUE"""),267.3)</f>
        <v>267.3</v>
      </c>
      <c r="F303" s="2" t="n">
        <f aca="false">IFERROR(__xludf.dummyfunction("""COMPUTED_VALUE"""),22280381)</f>
        <v>22280381</v>
      </c>
    </row>
    <row r="304" customFormat="false" ht="15.75" hidden="false" customHeight="false" outlineLevel="0" collapsed="false">
      <c r="A304" s="3" t="n">
        <f aca="false">IFERROR(__xludf.dummyfunction("""COMPUTED_VALUE"""),44636.6666666667)</f>
        <v>44636.6666666667</v>
      </c>
      <c r="B304" s="2" t="n">
        <f aca="false">IFERROR(__xludf.dummyfunction("""COMPUTED_VALUE"""),269.67)</f>
        <v>269.67</v>
      </c>
      <c r="C304" s="2" t="n">
        <f aca="false">IFERROR(__xludf.dummyfunction("""COMPUTED_VALUE"""),280.67)</f>
        <v>280.67</v>
      </c>
      <c r="D304" s="2" t="n">
        <f aca="false">IFERROR(__xludf.dummyfunction("""COMPUTED_VALUE"""),267.42)</f>
        <v>267.42</v>
      </c>
      <c r="E304" s="2" t="n">
        <f aca="false">IFERROR(__xludf.dummyfunction("""COMPUTED_VALUE"""),280.08)</f>
        <v>280.08</v>
      </c>
      <c r="F304" s="2" t="n">
        <f aca="false">IFERROR(__xludf.dummyfunction("""COMPUTED_VALUE"""),28009607)</f>
        <v>28009607</v>
      </c>
    </row>
    <row r="305" customFormat="false" ht="15.75" hidden="false" customHeight="false" outlineLevel="0" collapsed="false">
      <c r="A305" s="3" t="n">
        <f aca="false">IFERROR(__xludf.dummyfunction("""COMPUTED_VALUE"""),44637.6666666667)</f>
        <v>44637.6666666667</v>
      </c>
      <c r="B305" s="2" t="n">
        <f aca="false">IFERROR(__xludf.dummyfunction("""COMPUTED_VALUE"""),277)</f>
        <v>277</v>
      </c>
      <c r="C305" s="2" t="n">
        <f aca="false">IFERROR(__xludf.dummyfunction("""COMPUTED_VALUE"""),291.67)</f>
        <v>291.67</v>
      </c>
      <c r="D305" s="2" t="n">
        <f aca="false">IFERROR(__xludf.dummyfunction("""COMPUTED_VALUE"""),275.24)</f>
        <v>275.24</v>
      </c>
      <c r="E305" s="2" t="n">
        <f aca="false">IFERROR(__xludf.dummyfunction("""COMPUTED_VALUE"""),290.53)</f>
        <v>290.53</v>
      </c>
      <c r="F305" s="2" t="n">
        <f aca="false">IFERROR(__xludf.dummyfunction("""COMPUTED_VALUE"""),22194324)</f>
        <v>22194324</v>
      </c>
    </row>
    <row r="306" customFormat="false" ht="15.75" hidden="false" customHeight="false" outlineLevel="0" collapsed="false">
      <c r="A306" s="3" t="n">
        <f aca="false">IFERROR(__xludf.dummyfunction("""COMPUTED_VALUE"""),44638.6666666667)</f>
        <v>44638.6666666667</v>
      </c>
      <c r="B306" s="2" t="n">
        <f aca="false">IFERROR(__xludf.dummyfunction("""COMPUTED_VALUE"""),291.5)</f>
        <v>291.5</v>
      </c>
      <c r="C306" s="2" t="n">
        <f aca="false">IFERROR(__xludf.dummyfunction("""COMPUTED_VALUE"""),302.62)</f>
        <v>302.62</v>
      </c>
      <c r="D306" s="2" t="n">
        <f aca="false">IFERROR(__xludf.dummyfunction("""COMPUTED_VALUE"""),289.13)</f>
        <v>289.13</v>
      </c>
      <c r="E306" s="2" t="n">
        <f aca="false">IFERROR(__xludf.dummyfunction("""COMPUTED_VALUE"""),301.8)</f>
        <v>301.8</v>
      </c>
      <c r="F306" s="2" t="n">
        <f aca="false">IFERROR(__xludf.dummyfunction("""COMPUTED_VALUE"""),33471397)</f>
        <v>33471397</v>
      </c>
    </row>
    <row r="307" customFormat="false" ht="15.75" hidden="false" customHeight="false" outlineLevel="0" collapsed="false">
      <c r="A307" s="3" t="n">
        <f aca="false">IFERROR(__xludf.dummyfunction("""COMPUTED_VALUE"""),44641.6666666667)</f>
        <v>44641.6666666667</v>
      </c>
      <c r="B307" s="2" t="n">
        <f aca="false">IFERROR(__xludf.dummyfunction("""COMPUTED_VALUE"""),304.99)</f>
        <v>304.99</v>
      </c>
      <c r="C307" s="2" t="n">
        <f aca="false">IFERROR(__xludf.dummyfunction("""COMPUTED_VALUE"""),314.28)</f>
        <v>314.28</v>
      </c>
      <c r="D307" s="2" t="n">
        <f aca="false">IFERROR(__xludf.dummyfunction("""COMPUTED_VALUE"""),302.36)</f>
        <v>302.36</v>
      </c>
      <c r="E307" s="2" t="n">
        <f aca="false">IFERROR(__xludf.dummyfunction("""COMPUTED_VALUE"""),307.05)</f>
        <v>307.05</v>
      </c>
      <c r="F307" s="2" t="n">
        <f aca="false">IFERROR(__xludf.dummyfunction("""COMPUTED_VALUE"""),27327216)</f>
        <v>27327216</v>
      </c>
    </row>
    <row r="308" customFormat="false" ht="15.75" hidden="false" customHeight="false" outlineLevel="0" collapsed="false">
      <c r="A308" s="3" t="n">
        <f aca="false">IFERROR(__xludf.dummyfunction("""COMPUTED_VALUE"""),44642.6666666667)</f>
        <v>44642.6666666667</v>
      </c>
      <c r="B308" s="2" t="n">
        <f aca="false">IFERROR(__xludf.dummyfunction("""COMPUTED_VALUE"""),310)</f>
        <v>310</v>
      </c>
      <c r="C308" s="2" t="n">
        <f aca="false">IFERROR(__xludf.dummyfunction("""COMPUTED_VALUE"""),332.62)</f>
        <v>332.62</v>
      </c>
      <c r="D308" s="2" t="n">
        <f aca="false">IFERROR(__xludf.dummyfunction("""COMPUTED_VALUE"""),307.25)</f>
        <v>307.25</v>
      </c>
      <c r="E308" s="2" t="n">
        <f aca="false">IFERROR(__xludf.dummyfunction("""COMPUTED_VALUE"""),331.33)</f>
        <v>331.33</v>
      </c>
      <c r="F308" s="2" t="n">
        <f aca="false">IFERROR(__xludf.dummyfunction("""COMPUTED_VALUE"""),35289519)</f>
        <v>35289519</v>
      </c>
    </row>
    <row r="309" customFormat="false" ht="15.75" hidden="false" customHeight="false" outlineLevel="0" collapsed="false">
      <c r="A309" s="3" t="n">
        <f aca="false">IFERROR(__xludf.dummyfunction("""COMPUTED_VALUE"""),44643.6666666667)</f>
        <v>44643.6666666667</v>
      </c>
      <c r="B309" s="2" t="n">
        <f aca="false">IFERROR(__xludf.dummyfunction("""COMPUTED_VALUE"""),326.65)</f>
        <v>326.65</v>
      </c>
      <c r="C309" s="2" t="n">
        <f aca="false">IFERROR(__xludf.dummyfunction("""COMPUTED_VALUE"""),346.9)</f>
        <v>346.9</v>
      </c>
      <c r="D309" s="2" t="n">
        <f aca="false">IFERROR(__xludf.dummyfunction("""COMPUTED_VALUE"""),325.47)</f>
        <v>325.47</v>
      </c>
      <c r="E309" s="2" t="n">
        <f aca="false">IFERROR(__xludf.dummyfunction("""COMPUTED_VALUE"""),333.04)</f>
        <v>333.04</v>
      </c>
      <c r="F309" s="2" t="n">
        <f aca="false">IFERROR(__xludf.dummyfunction("""COMPUTED_VALUE"""),40225383)</f>
        <v>40225383</v>
      </c>
    </row>
    <row r="310" customFormat="false" ht="15.75" hidden="false" customHeight="false" outlineLevel="0" collapsed="false">
      <c r="A310" s="3" t="n">
        <f aca="false">IFERROR(__xludf.dummyfunction("""COMPUTED_VALUE"""),44644.6666666667)</f>
        <v>44644.6666666667</v>
      </c>
      <c r="B310" s="2" t="n">
        <f aca="false">IFERROR(__xludf.dummyfunction("""COMPUTED_VALUE"""),336.58)</f>
        <v>336.58</v>
      </c>
      <c r="C310" s="2" t="n">
        <f aca="false">IFERROR(__xludf.dummyfunction("""COMPUTED_VALUE"""),341.5)</f>
        <v>341.5</v>
      </c>
      <c r="D310" s="2" t="n">
        <f aca="false">IFERROR(__xludf.dummyfunction("""COMPUTED_VALUE"""),329.6)</f>
        <v>329.6</v>
      </c>
      <c r="E310" s="2" t="n">
        <f aca="false">IFERROR(__xludf.dummyfunction("""COMPUTED_VALUE"""),337.97)</f>
        <v>337.97</v>
      </c>
      <c r="F310" s="2" t="n">
        <f aca="false">IFERROR(__xludf.dummyfunction("""COMPUTED_VALUE"""),22973626)</f>
        <v>22973626</v>
      </c>
    </row>
    <row r="311" customFormat="false" ht="15.75" hidden="false" customHeight="false" outlineLevel="0" collapsed="false">
      <c r="A311" s="3" t="n">
        <f aca="false">IFERROR(__xludf.dummyfunction("""COMPUTED_VALUE"""),44645.6666666667)</f>
        <v>44645.6666666667</v>
      </c>
      <c r="B311" s="2" t="n">
        <f aca="false">IFERROR(__xludf.dummyfunction("""COMPUTED_VALUE"""),336)</f>
        <v>336</v>
      </c>
      <c r="C311" s="2" t="n">
        <f aca="false">IFERROR(__xludf.dummyfunction("""COMPUTED_VALUE"""),340.6)</f>
        <v>340.6</v>
      </c>
      <c r="D311" s="2" t="n">
        <f aca="false">IFERROR(__xludf.dummyfunction("""COMPUTED_VALUE"""),332.44)</f>
        <v>332.44</v>
      </c>
      <c r="E311" s="2" t="n">
        <f aca="false">IFERROR(__xludf.dummyfunction("""COMPUTED_VALUE"""),336.88)</f>
        <v>336.88</v>
      </c>
      <c r="F311" s="2" t="n">
        <f aca="false">IFERROR(__xludf.dummyfunction("""COMPUTED_VALUE"""),20677182)</f>
        <v>20677182</v>
      </c>
    </row>
    <row r="312" customFormat="false" ht="15.75" hidden="false" customHeight="false" outlineLevel="0" collapsed="false">
      <c r="A312" s="3" t="n">
        <f aca="false">IFERROR(__xludf.dummyfunction("""COMPUTED_VALUE"""),44648.6666666667)</f>
        <v>44648.6666666667</v>
      </c>
      <c r="B312" s="2" t="n">
        <f aca="false">IFERROR(__xludf.dummyfunction("""COMPUTED_VALUE"""),355.03)</f>
        <v>355.03</v>
      </c>
      <c r="C312" s="2" t="n">
        <f aca="false">IFERROR(__xludf.dummyfunction("""COMPUTED_VALUE"""),365.96)</f>
        <v>365.96</v>
      </c>
      <c r="D312" s="2" t="n">
        <f aca="false">IFERROR(__xludf.dummyfunction("""COMPUTED_VALUE"""),351.2)</f>
        <v>351.2</v>
      </c>
      <c r="E312" s="2" t="n">
        <f aca="false">IFERROR(__xludf.dummyfunction("""COMPUTED_VALUE"""),363.95)</f>
        <v>363.95</v>
      </c>
      <c r="F312" s="2" t="n">
        <f aca="false">IFERROR(__xludf.dummyfunction("""COMPUTED_VALUE"""),34168693)</f>
        <v>34168693</v>
      </c>
    </row>
    <row r="313" customFormat="false" ht="15.75" hidden="false" customHeight="false" outlineLevel="0" collapsed="false">
      <c r="A313" s="3" t="n">
        <f aca="false">IFERROR(__xludf.dummyfunction("""COMPUTED_VALUE"""),44649.6666666667)</f>
        <v>44649.6666666667</v>
      </c>
      <c r="B313" s="2" t="n">
        <f aca="false">IFERROR(__xludf.dummyfunction("""COMPUTED_VALUE"""),369.33)</f>
        <v>369.33</v>
      </c>
      <c r="C313" s="2" t="n">
        <f aca="false">IFERROR(__xludf.dummyfunction("""COMPUTED_VALUE"""),371.59)</f>
        <v>371.59</v>
      </c>
      <c r="D313" s="2" t="n">
        <f aca="false">IFERROR(__xludf.dummyfunction("""COMPUTED_VALUE"""),357.7)</f>
        <v>357.7</v>
      </c>
      <c r="E313" s="2" t="n">
        <f aca="false">IFERROR(__xludf.dummyfunction("""COMPUTED_VALUE"""),366.52)</f>
        <v>366.52</v>
      </c>
      <c r="F313" s="2" t="n">
        <f aca="false">IFERROR(__xludf.dummyfunction("""COMPUTED_VALUE"""),24538273)</f>
        <v>24538273</v>
      </c>
    </row>
    <row r="314" customFormat="false" ht="15.75" hidden="false" customHeight="false" outlineLevel="0" collapsed="false">
      <c r="A314" s="3" t="n">
        <f aca="false">IFERROR(__xludf.dummyfunction("""COMPUTED_VALUE"""),44650.6666666667)</f>
        <v>44650.6666666667</v>
      </c>
      <c r="B314" s="2" t="n">
        <f aca="false">IFERROR(__xludf.dummyfunction("""COMPUTED_VALUE"""),363.72)</f>
        <v>363.72</v>
      </c>
      <c r="C314" s="2" t="n">
        <f aca="false">IFERROR(__xludf.dummyfunction("""COMPUTED_VALUE"""),371.32)</f>
        <v>371.32</v>
      </c>
      <c r="D314" s="2" t="n">
        <f aca="false">IFERROR(__xludf.dummyfunction("""COMPUTED_VALUE"""),361.33)</f>
        <v>361.33</v>
      </c>
      <c r="E314" s="2" t="n">
        <f aca="false">IFERROR(__xludf.dummyfunction("""COMPUTED_VALUE"""),364.66)</f>
        <v>364.66</v>
      </c>
      <c r="F314" s="2" t="n">
        <f aca="false">IFERROR(__xludf.dummyfunction("""COMPUTED_VALUE"""),19955002)</f>
        <v>19955002</v>
      </c>
    </row>
    <row r="315" customFormat="false" ht="15.75" hidden="false" customHeight="false" outlineLevel="0" collapsed="false">
      <c r="A315" s="3" t="n">
        <f aca="false">IFERROR(__xludf.dummyfunction("""COMPUTED_VALUE"""),44651.6666666667)</f>
        <v>44651.6666666667</v>
      </c>
      <c r="B315" s="2" t="n">
        <f aca="false">IFERROR(__xludf.dummyfunction("""COMPUTED_VALUE"""),364.86)</f>
        <v>364.86</v>
      </c>
      <c r="C315" s="2" t="n">
        <f aca="false">IFERROR(__xludf.dummyfunction("""COMPUTED_VALUE"""),367.71)</f>
        <v>367.71</v>
      </c>
      <c r="D315" s="2" t="n">
        <f aca="false">IFERROR(__xludf.dummyfunction("""COMPUTED_VALUE"""),358.88)</f>
        <v>358.88</v>
      </c>
      <c r="E315" s="2" t="n">
        <f aca="false">IFERROR(__xludf.dummyfunction("""COMPUTED_VALUE"""),359.2)</f>
        <v>359.2</v>
      </c>
      <c r="F315" s="2" t="n">
        <f aca="false">IFERROR(__xludf.dummyfunction("""COMPUTED_VALUE"""),16330919)</f>
        <v>16330919</v>
      </c>
    </row>
    <row r="316" customFormat="false" ht="15.75" hidden="false" customHeight="false" outlineLevel="0" collapsed="false">
      <c r="A316" s="3" t="n">
        <f aca="false">IFERROR(__xludf.dummyfunction("""COMPUTED_VALUE"""),44652.6666666667)</f>
        <v>44652.6666666667</v>
      </c>
      <c r="B316" s="2" t="n">
        <f aca="false">IFERROR(__xludf.dummyfunction("""COMPUTED_VALUE"""),360.38)</f>
        <v>360.38</v>
      </c>
      <c r="C316" s="2" t="n">
        <f aca="false">IFERROR(__xludf.dummyfunction("""COMPUTED_VALUE"""),364.92)</f>
        <v>364.92</v>
      </c>
      <c r="D316" s="2" t="n">
        <f aca="false">IFERROR(__xludf.dummyfunction("""COMPUTED_VALUE"""),355.55)</f>
        <v>355.55</v>
      </c>
      <c r="E316" s="2" t="n">
        <f aca="false">IFERROR(__xludf.dummyfunction("""COMPUTED_VALUE"""),361.53)</f>
        <v>361.53</v>
      </c>
      <c r="F316" s="2" t="n">
        <f aca="false">IFERROR(__xludf.dummyfunction("""COMPUTED_VALUE"""),18087741)</f>
        <v>18087741</v>
      </c>
    </row>
    <row r="317" customFormat="false" ht="15.75" hidden="false" customHeight="false" outlineLevel="0" collapsed="false">
      <c r="A317" s="3" t="n">
        <f aca="false">IFERROR(__xludf.dummyfunction("""COMPUTED_VALUE"""),44655.6666666667)</f>
        <v>44655.6666666667</v>
      </c>
      <c r="B317" s="2" t="n">
        <f aca="false">IFERROR(__xludf.dummyfunction("""COMPUTED_VALUE"""),363.13)</f>
        <v>363.13</v>
      </c>
      <c r="C317" s="2" t="n">
        <f aca="false">IFERROR(__xludf.dummyfunction("""COMPUTED_VALUE"""),383.3)</f>
        <v>383.3</v>
      </c>
      <c r="D317" s="2" t="n">
        <f aca="false">IFERROR(__xludf.dummyfunction("""COMPUTED_VALUE"""),357.51)</f>
        <v>357.51</v>
      </c>
      <c r="E317" s="2" t="n">
        <f aca="false">IFERROR(__xludf.dummyfunction("""COMPUTED_VALUE"""),381.82)</f>
        <v>381.82</v>
      </c>
      <c r="F317" s="2" t="n">
        <f aca="false">IFERROR(__xludf.dummyfunction("""COMPUTED_VALUE"""),27392567)</f>
        <v>27392567</v>
      </c>
    </row>
    <row r="318" customFormat="false" ht="15.75" hidden="false" customHeight="false" outlineLevel="0" collapsed="false">
      <c r="A318" s="3" t="n">
        <f aca="false">IFERROR(__xludf.dummyfunction("""COMPUTED_VALUE"""),44656.6666666667)</f>
        <v>44656.6666666667</v>
      </c>
      <c r="B318" s="2" t="n">
        <f aca="false">IFERROR(__xludf.dummyfunction("""COMPUTED_VALUE"""),378.77)</f>
        <v>378.77</v>
      </c>
      <c r="C318" s="2" t="n">
        <f aca="false">IFERROR(__xludf.dummyfunction("""COMPUTED_VALUE"""),384.29)</f>
        <v>384.29</v>
      </c>
      <c r="D318" s="2" t="n">
        <f aca="false">IFERROR(__xludf.dummyfunction("""COMPUTED_VALUE"""),362.43)</f>
        <v>362.43</v>
      </c>
      <c r="E318" s="2" t="n">
        <f aca="false">IFERROR(__xludf.dummyfunction("""COMPUTED_VALUE"""),363.75)</f>
        <v>363.75</v>
      </c>
      <c r="F318" s="2" t="n">
        <f aca="false">IFERROR(__xludf.dummyfunction("""COMPUTED_VALUE"""),26691673)</f>
        <v>26691673</v>
      </c>
    </row>
    <row r="319" customFormat="false" ht="15.75" hidden="false" customHeight="false" outlineLevel="0" collapsed="false">
      <c r="A319" s="3" t="n">
        <f aca="false">IFERROR(__xludf.dummyfunction("""COMPUTED_VALUE"""),44657.6666666667)</f>
        <v>44657.6666666667</v>
      </c>
      <c r="B319" s="2" t="n">
        <f aca="false">IFERROR(__xludf.dummyfunction("""COMPUTED_VALUE"""),357.82)</f>
        <v>357.82</v>
      </c>
      <c r="C319" s="2" t="n">
        <f aca="false">IFERROR(__xludf.dummyfunction("""COMPUTED_VALUE"""),359.67)</f>
        <v>359.67</v>
      </c>
      <c r="D319" s="2" t="n">
        <f aca="false">IFERROR(__xludf.dummyfunction("""COMPUTED_VALUE"""),342.57)</f>
        <v>342.57</v>
      </c>
      <c r="E319" s="2" t="n">
        <f aca="false">IFERROR(__xludf.dummyfunction("""COMPUTED_VALUE"""),348.59)</f>
        <v>348.59</v>
      </c>
      <c r="F319" s="2" t="n">
        <f aca="false">IFERROR(__xludf.dummyfunction("""COMPUTED_VALUE"""),29782845)</f>
        <v>29782845</v>
      </c>
    </row>
    <row r="320" customFormat="false" ht="15.75" hidden="false" customHeight="false" outlineLevel="0" collapsed="false">
      <c r="A320" s="3" t="n">
        <f aca="false">IFERROR(__xludf.dummyfunction("""COMPUTED_VALUE"""),44658.6666666667)</f>
        <v>44658.6666666667</v>
      </c>
      <c r="B320" s="2" t="n">
        <f aca="false">IFERROR(__xludf.dummyfunction("""COMPUTED_VALUE"""),350.8)</f>
        <v>350.8</v>
      </c>
      <c r="C320" s="2" t="n">
        <f aca="false">IFERROR(__xludf.dummyfunction("""COMPUTED_VALUE"""),358.86)</f>
        <v>358.86</v>
      </c>
      <c r="D320" s="2" t="n">
        <f aca="false">IFERROR(__xludf.dummyfunction("""COMPUTED_VALUE"""),340.51)</f>
        <v>340.51</v>
      </c>
      <c r="E320" s="2" t="n">
        <f aca="false">IFERROR(__xludf.dummyfunction("""COMPUTED_VALUE"""),352.42)</f>
        <v>352.42</v>
      </c>
      <c r="F320" s="2" t="n">
        <f aca="false">IFERROR(__xludf.dummyfunction("""COMPUTED_VALUE"""),26482353)</f>
        <v>26482353</v>
      </c>
    </row>
    <row r="321" customFormat="false" ht="15.75" hidden="false" customHeight="false" outlineLevel="0" collapsed="false">
      <c r="A321" s="3" t="n">
        <f aca="false">IFERROR(__xludf.dummyfunction("""COMPUTED_VALUE"""),44659.6666666667)</f>
        <v>44659.6666666667</v>
      </c>
      <c r="B321" s="2" t="n">
        <f aca="false">IFERROR(__xludf.dummyfunction("""COMPUTED_VALUE"""),347.74)</f>
        <v>347.74</v>
      </c>
      <c r="C321" s="2" t="n">
        <f aca="false">IFERROR(__xludf.dummyfunction("""COMPUTED_VALUE"""),349.48)</f>
        <v>349.48</v>
      </c>
      <c r="D321" s="2" t="n">
        <f aca="false">IFERROR(__xludf.dummyfunction("""COMPUTED_VALUE"""),340.81)</f>
        <v>340.81</v>
      </c>
      <c r="E321" s="2" t="n">
        <f aca="false">IFERROR(__xludf.dummyfunction("""COMPUTED_VALUE"""),341.83)</f>
        <v>341.83</v>
      </c>
      <c r="F321" s="2" t="n">
        <f aca="false">IFERROR(__xludf.dummyfunction("""COMPUTED_VALUE"""),18337896)</f>
        <v>18337896</v>
      </c>
    </row>
    <row r="322" customFormat="false" ht="15.75" hidden="false" customHeight="false" outlineLevel="0" collapsed="false">
      <c r="A322" s="3" t="n">
        <f aca="false">IFERROR(__xludf.dummyfunction("""COMPUTED_VALUE"""),44662.6666666667)</f>
        <v>44662.6666666667</v>
      </c>
      <c r="B322" s="2" t="n">
        <f aca="false">IFERROR(__xludf.dummyfunction("""COMPUTED_VALUE"""),326.8)</f>
        <v>326.8</v>
      </c>
      <c r="C322" s="2" t="n">
        <f aca="false">IFERROR(__xludf.dummyfunction("""COMPUTED_VALUE"""),336.16)</f>
        <v>336.16</v>
      </c>
      <c r="D322" s="2" t="n">
        <f aca="false">IFERROR(__xludf.dummyfunction("""COMPUTED_VALUE"""),324.88)</f>
        <v>324.88</v>
      </c>
      <c r="E322" s="2" t="n">
        <f aca="false">IFERROR(__xludf.dummyfunction("""COMPUTED_VALUE"""),325.31)</f>
        <v>325.31</v>
      </c>
      <c r="F322" s="2" t="n">
        <f aca="false">IFERROR(__xludf.dummyfunction("""COMPUTED_VALUE"""),19785735)</f>
        <v>19785735</v>
      </c>
    </row>
    <row r="323" customFormat="false" ht="15.75" hidden="false" customHeight="false" outlineLevel="0" collapsed="false">
      <c r="A323" s="3" t="n">
        <f aca="false">IFERROR(__xludf.dummyfunction("""COMPUTED_VALUE"""),44663.6666666667)</f>
        <v>44663.6666666667</v>
      </c>
      <c r="B323" s="2" t="n">
        <f aca="false">IFERROR(__xludf.dummyfunction("""COMPUTED_VALUE"""),332.55)</f>
        <v>332.55</v>
      </c>
      <c r="C323" s="2" t="n">
        <f aca="false">IFERROR(__xludf.dummyfunction("""COMPUTED_VALUE"""),340.4)</f>
        <v>340.4</v>
      </c>
      <c r="D323" s="2" t="n">
        <f aca="false">IFERROR(__xludf.dummyfunction("""COMPUTED_VALUE"""),325.53)</f>
        <v>325.53</v>
      </c>
      <c r="E323" s="2" t="n">
        <f aca="false">IFERROR(__xludf.dummyfunction("""COMPUTED_VALUE"""),328.98)</f>
        <v>328.98</v>
      </c>
      <c r="F323" s="2" t="n">
        <f aca="false">IFERROR(__xludf.dummyfunction("""COMPUTED_VALUE"""),21992032)</f>
        <v>21992032</v>
      </c>
    </row>
    <row r="324" customFormat="false" ht="15.75" hidden="false" customHeight="false" outlineLevel="0" collapsed="false">
      <c r="A324" s="3" t="n">
        <f aca="false">IFERROR(__xludf.dummyfunction("""COMPUTED_VALUE"""),44664.6666666667)</f>
        <v>44664.6666666667</v>
      </c>
      <c r="B324" s="2" t="n">
        <f aca="false">IFERROR(__xludf.dummyfunction("""COMPUTED_VALUE"""),327.02)</f>
        <v>327.02</v>
      </c>
      <c r="C324" s="2" t="n">
        <f aca="false">IFERROR(__xludf.dummyfunction("""COMPUTED_VALUE"""),342.08)</f>
        <v>342.08</v>
      </c>
      <c r="D324" s="2" t="n">
        <f aca="false">IFERROR(__xludf.dummyfunction("""COMPUTED_VALUE"""),324.37)</f>
        <v>324.37</v>
      </c>
      <c r="E324" s="2" t="n">
        <f aca="false">IFERROR(__xludf.dummyfunction("""COMPUTED_VALUE"""),340.79)</f>
        <v>340.79</v>
      </c>
      <c r="F324" s="2" t="n">
        <f aca="false">IFERROR(__xludf.dummyfunction("""COMPUTED_VALUE"""),18373737)</f>
        <v>18373737</v>
      </c>
    </row>
    <row r="325" customFormat="false" ht="15.75" hidden="false" customHeight="false" outlineLevel="0" collapsed="false">
      <c r="A325" s="3" t="n">
        <f aca="false">IFERROR(__xludf.dummyfunction("""COMPUTED_VALUE"""),44665.6666666667)</f>
        <v>44665.6666666667</v>
      </c>
      <c r="B325" s="2" t="n">
        <f aca="false">IFERROR(__xludf.dummyfunction("""COMPUTED_VALUE"""),333.1)</f>
        <v>333.1</v>
      </c>
      <c r="C325" s="2" t="n">
        <f aca="false">IFERROR(__xludf.dummyfunction("""COMPUTED_VALUE"""),337.57)</f>
        <v>337.57</v>
      </c>
      <c r="D325" s="2" t="n">
        <f aca="false">IFERROR(__xludf.dummyfunction("""COMPUTED_VALUE"""),327.4)</f>
        <v>327.4</v>
      </c>
      <c r="E325" s="2" t="n">
        <f aca="false">IFERROR(__xludf.dummyfunction("""COMPUTED_VALUE"""),328.33)</f>
        <v>328.33</v>
      </c>
      <c r="F325" s="2" t="n">
        <f aca="false">IFERROR(__xludf.dummyfunction("""COMPUTED_VALUE"""),19474135)</f>
        <v>19474135</v>
      </c>
    </row>
    <row r="326" customFormat="false" ht="15.75" hidden="false" customHeight="false" outlineLevel="0" collapsed="false">
      <c r="A326" s="3" t="n">
        <f aca="false">IFERROR(__xludf.dummyfunction("""COMPUTED_VALUE"""),44669.6666666667)</f>
        <v>44669.6666666667</v>
      </c>
      <c r="B326" s="2" t="n">
        <f aca="false">IFERROR(__xludf.dummyfunction("""COMPUTED_VALUE"""),329.68)</f>
        <v>329.68</v>
      </c>
      <c r="C326" s="2" t="n">
        <f aca="false">IFERROR(__xludf.dummyfunction("""COMPUTED_VALUE"""),338.31)</f>
        <v>338.31</v>
      </c>
      <c r="D326" s="2" t="n">
        <f aca="false">IFERROR(__xludf.dummyfunction("""COMPUTED_VALUE"""),324.47)</f>
        <v>324.47</v>
      </c>
      <c r="E326" s="2" t="n">
        <f aca="false">IFERROR(__xludf.dummyfunction("""COMPUTED_VALUE"""),334.76)</f>
        <v>334.76</v>
      </c>
      <c r="F326" s="2" t="n">
        <f aca="false">IFERROR(__xludf.dummyfunction("""COMPUTED_VALUE"""),17238407)</f>
        <v>17238407</v>
      </c>
    </row>
    <row r="327" customFormat="false" ht="15.75" hidden="false" customHeight="false" outlineLevel="0" collapsed="false">
      <c r="A327" s="3" t="n">
        <f aca="false">IFERROR(__xludf.dummyfunction("""COMPUTED_VALUE"""),44670.6666666667)</f>
        <v>44670.6666666667</v>
      </c>
      <c r="B327" s="2" t="n">
        <f aca="false">IFERROR(__xludf.dummyfunction("""COMPUTED_VALUE"""),335.02)</f>
        <v>335.02</v>
      </c>
      <c r="C327" s="2" t="n">
        <f aca="false">IFERROR(__xludf.dummyfunction("""COMPUTED_VALUE"""),344.98)</f>
        <v>344.98</v>
      </c>
      <c r="D327" s="2" t="n">
        <f aca="false">IFERROR(__xludf.dummyfunction("""COMPUTED_VALUE"""),331.78)</f>
        <v>331.78</v>
      </c>
      <c r="E327" s="2" t="n">
        <f aca="false">IFERROR(__xludf.dummyfunction("""COMPUTED_VALUE"""),342.72)</f>
        <v>342.72</v>
      </c>
      <c r="F327" s="2" t="n">
        <f aca="false">IFERROR(__xludf.dummyfunction("""COMPUTED_VALUE"""),16615944)</f>
        <v>16615944</v>
      </c>
    </row>
    <row r="328" customFormat="false" ht="15.75" hidden="false" customHeight="false" outlineLevel="0" collapsed="false">
      <c r="A328" s="3" t="n">
        <f aca="false">IFERROR(__xludf.dummyfunction("""COMPUTED_VALUE"""),44671.6666666667)</f>
        <v>44671.6666666667</v>
      </c>
      <c r="B328" s="2" t="n">
        <f aca="false">IFERROR(__xludf.dummyfunction("""COMPUTED_VALUE"""),343.33)</f>
        <v>343.33</v>
      </c>
      <c r="C328" s="2" t="n">
        <f aca="false">IFERROR(__xludf.dummyfunction("""COMPUTED_VALUE"""),344.67)</f>
        <v>344.67</v>
      </c>
      <c r="D328" s="2" t="n">
        <f aca="false">IFERROR(__xludf.dummyfunction("""COMPUTED_VALUE"""),325.08)</f>
        <v>325.08</v>
      </c>
      <c r="E328" s="2" t="n">
        <f aca="false">IFERROR(__xludf.dummyfunction("""COMPUTED_VALUE"""),325.73)</f>
        <v>325.73</v>
      </c>
      <c r="F328" s="2" t="n">
        <f aca="false">IFERROR(__xludf.dummyfunction("""COMPUTED_VALUE"""),23570442)</f>
        <v>23570442</v>
      </c>
    </row>
    <row r="329" customFormat="false" ht="15.75" hidden="false" customHeight="false" outlineLevel="0" collapsed="false">
      <c r="A329" s="3" t="n">
        <f aca="false">IFERROR(__xludf.dummyfunction("""COMPUTED_VALUE"""),44672.6666666667)</f>
        <v>44672.6666666667</v>
      </c>
      <c r="B329" s="2" t="n">
        <f aca="false">IFERROR(__xludf.dummyfunction("""COMPUTED_VALUE"""),358.24)</f>
        <v>358.24</v>
      </c>
      <c r="C329" s="2" t="n">
        <f aca="false">IFERROR(__xludf.dummyfunction("""COMPUTED_VALUE"""),364.07)</f>
        <v>364.07</v>
      </c>
      <c r="D329" s="2" t="n">
        <f aca="false">IFERROR(__xludf.dummyfunction("""COMPUTED_VALUE"""),332.14)</f>
        <v>332.14</v>
      </c>
      <c r="E329" s="2" t="n">
        <f aca="false">IFERROR(__xludf.dummyfunction("""COMPUTED_VALUE"""),336.26)</f>
        <v>336.26</v>
      </c>
      <c r="F329" s="2" t="n">
        <f aca="false">IFERROR(__xludf.dummyfunction("""COMPUTED_VALUE"""),35138779)</f>
        <v>35138779</v>
      </c>
    </row>
    <row r="330" customFormat="false" ht="15.75" hidden="false" customHeight="false" outlineLevel="0" collapsed="false">
      <c r="A330" s="3" t="n">
        <f aca="false">IFERROR(__xludf.dummyfunction("""COMPUTED_VALUE"""),44673.6666666667)</f>
        <v>44673.6666666667</v>
      </c>
      <c r="B330" s="2" t="n">
        <f aca="false">IFERROR(__xludf.dummyfunction("""COMPUTED_VALUE"""),338.3)</f>
        <v>338.3</v>
      </c>
      <c r="C330" s="2" t="n">
        <f aca="false">IFERROR(__xludf.dummyfunction("""COMPUTED_VALUE"""),344.95)</f>
        <v>344.95</v>
      </c>
      <c r="D330" s="2" t="n">
        <f aca="false">IFERROR(__xludf.dummyfunction("""COMPUTED_VALUE"""),331.33)</f>
        <v>331.33</v>
      </c>
      <c r="E330" s="2" t="n">
        <f aca="false">IFERROR(__xludf.dummyfunction("""COMPUTED_VALUE"""),335.02)</f>
        <v>335.02</v>
      </c>
      <c r="F330" s="2" t="n">
        <f aca="false">IFERROR(__xludf.dummyfunction("""COMPUTED_VALUE"""),23232186)</f>
        <v>23232186</v>
      </c>
    </row>
    <row r="331" customFormat="false" ht="15.75" hidden="false" customHeight="false" outlineLevel="0" collapsed="false">
      <c r="A331" s="3" t="n">
        <f aca="false">IFERROR(__xludf.dummyfunction("""COMPUTED_VALUE"""),44676.6666666667)</f>
        <v>44676.6666666667</v>
      </c>
      <c r="B331" s="2" t="n">
        <f aca="false">IFERROR(__xludf.dummyfunction("""COMPUTED_VALUE"""),326.32)</f>
        <v>326.32</v>
      </c>
      <c r="C331" s="2" t="n">
        <f aca="false">IFERROR(__xludf.dummyfunction("""COMPUTED_VALUE"""),336.21)</f>
        <v>336.21</v>
      </c>
      <c r="D331" s="2" t="n">
        <f aca="false">IFERROR(__xludf.dummyfunction("""COMPUTED_VALUE"""),325.1)</f>
        <v>325.1</v>
      </c>
      <c r="E331" s="2" t="n">
        <f aca="false">IFERROR(__xludf.dummyfunction("""COMPUTED_VALUE"""),332.67)</f>
        <v>332.67</v>
      </c>
      <c r="F331" s="2" t="n">
        <f aca="false">IFERROR(__xludf.dummyfunction("""COMPUTED_VALUE"""),22780445)</f>
        <v>22780445</v>
      </c>
    </row>
    <row r="332" customFormat="false" ht="15.75" hidden="false" customHeight="false" outlineLevel="0" collapsed="false">
      <c r="A332" s="3" t="n">
        <f aca="false">IFERROR(__xludf.dummyfunction("""COMPUTED_VALUE"""),44677.6666666667)</f>
        <v>44677.6666666667</v>
      </c>
      <c r="B332" s="2" t="n">
        <f aca="false">IFERROR(__xludf.dummyfunction("""COMPUTED_VALUE"""),331.81)</f>
        <v>331.81</v>
      </c>
      <c r="C332" s="2" t="n">
        <f aca="false">IFERROR(__xludf.dummyfunction("""COMPUTED_VALUE"""),333.33)</f>
        <v>333.33</v>
      </c>
      <c r="D332" s="2" t="n">
        <f aca="false">IFERROR(__xludf.dummyfunction("""COMPUTED_VALUE"""),291.67)</f>
        <v>291.67</v>
      </c>
      <c r="E332" s="2" t="n">
        <f aca="false">IFERROR(__xludf.dummyfunction("""COMPUTED_VALUE"""),292.14)</f>
        <v>292.14</v>
      </c>
      <c r="F332" s="2" t="n">
        <f aca="false">IFERROR(__xludf.dummyfunction("""COMPUTED_VALUE"""),45377889)</f>
        <v>45377889</v>
      </c>
    </row>
    <row r="333" customFormat="false" ht="15.75" hidden="false" customHeight="false" outlineLevel="0" collapsed="false">
      <c r="A333" s="3" t="n">
        <f aca="false">IFERROR(__xludf.dummyfunction("""COMPUTED_VALUE"""),44678.6666666667)</f>
        <v>44678.6666666667</v>
      </c>
      <c r="B333" s="2" t="n">
        <f aca="false">IFERROR(__xludf.dummyfunction("""COMPUTED_VALUE"""),299.53)</f>
        <v>299.53</v>
      </c>
      <c r="C333" s="2" t="n">
        <f aca="false">IFERROR(__xludf.dummyfunction("""COMPUTED_VALUE"""),306)</f>
        <v>306</v>
      </c>
      <c r="D333" s="2" t="n">
        <f aca="false">IFERROR(__xludf.dummyfunction("""COMPUTED_VALUE"""),292.45)</f>
        <v>292.45</v>
      </c>
      <c r="E333" s="2" t="n">
        <f aca="false">IFERROR(__xludf.dummyfunction("""COMPUTED_VALUE"""),293.84)</f>
        <v>293.84</v>
      </c>
      <c r="F333" s="2" t="n">
        <f aca="false">IFERROR(__xludf.dummyfunction("""COMPUTED_VALUE"""),25652132)</f>
        <v>25652132</v>
      </c>
    </row>
    <row r="334" customFormat="false" ht="15.75" hidden="false" customHeight="false" outlineLevel="0" collapsed="false">
      <c r="A334" s="3" t="n">
        <f aca="false">IFERROR(__xludf.dummyfunction("""COMPUTED_VALUE"""),44679.6666666667)</f>
        <v>44679.6666666667</v>
      </c>
      <c r="B334" s="2" t="n">
        <f aca="false">IFERROR(__xludf.dummyfunction("""COMPUTED_VALUE"""),299.99)</f>
        <v>299.99</v>
      </c>
      <c r="C334" s="2" t="n">
        <f aca="false">IFERROR(__xludf.dummyfunction("""COMPUTED_VALUE"""),300)</f>
        <v>300</v>
      </c>
      <c r="D334" s="2" t="n">
        <f aca="false">IFERROR(__xludf.dummyfunction("""COMPUTED_VALUE"""),273.9)</f>
        <v>273.9</v>
      </c>
      <c r="E334" s="2" t="n">
        <f aca="false">IFERROR(__xludf.dummyfunction("""COMPUTED_VALUE"""),292.5)</f>
        <v>292.5</v>
      </c>
      <c r="F334" s="2" t="n">
        <f aca="false">IFERROR(__xludf.dummyfunction("""COMPUTED_VALUE"""),41649509)</f>
        <v>41649509</v>
      </c>
    </row>
    <row r="335" customFormat="false" ht="15.75" hidden="false" customHeight="false" outlineLevel="0" collapsed="false">
      <c r="A335" s="3" t="n">
        <f aca="false">IFERROR(__xludf.dummyfunction("""COMPUTED_VALUE"""),44680.6666666667)</f>
        <v>44680.6666666667</v>
      </c>
      <c r="B335" s="2" t="n">
        <f aca="false">IFERROR(__xludf.dummyfunction("""COMPUTED_VALUE"""),300.75)</f>
        <v>300.75</v>
      </c>
      <c r="C335" s="2" t="n">
        <f aca="false">IFERROR(__xludf.dummyfunction("""COMPUTED_VALUE"""),311.47)</f>
        <v>311.47</v>
      </c>
      <c r="D335" s="2" t="n">
        <f aca="false">IFERROR(__xludf.dummyfunction("""COMPUTED_VALUE"""),290)</f>
        <v>290</v>
      </c>
      <c r="E335" s="2" t="n">
        <f aca="false">IFERROR(__xludf.dummyfunction("""COMPUTED_VALUE"""),290.25)</f>
        <v>290.25</v>
      </c>
      <c r="F335" s="2" t="n">
        <f aca="false">IFERROR(__xludf.dummyfunction("""COMPUTED_VALUE"""),29377665)</f>
        <v>29377665</v>
      </c>
    </row>
    <row r="336" customFormat="false" ht="15.75" hidden="false" customHeight="false" outlineLevel="0" collapsed="false">
      <c r="A336" s="3" t="n">
        <f aca="false">IFERROR(__xludf.dummyfunction("""COMPUTED_VALUE"""),44683.6666666667)</f>
        <v>44683.6666666667</v>
      </c>
      <c r="B336" s="2" t="n">
        <f aca="false">IFERROR(__xludf.dummyfunction("""COMPUTED_VALUE"""),286.92)</f>
        <v>286.92</v>
      </c>
      <c r="C336" s="2" t="n">
        <f aca="false">IFERROR(__xludf.dummyfunction("""COMPUTED_VALUE"""),302.12)</f>
        <v>302.12</v>
      </c>
      <c r="D336" s="2" t="n">
        <f aca="false">IFERROR(__xludf.dummyfunction("""COMPUTED_VALUE"""),282.68)</f>
        <v>282.68</v>
      </c>
      <c r="E336" s="2" t="n">
        <f aca="false">IFERROR(__xludf.dummyfunction("""COMPUTED_VALUE"""),300.98)</f>
        <v>300.98</v>
      </c>
      <c r="F336" s="2" t="n">
        <f aca="false">IFERROR(__xludf.dummyfunction("""COMPUTED_VALUE"""),25260457)</f>
        <v>25260457</v>
      </c>
    </row>
    <row r="337" customFormat="false" ht="15.75" hidden="false" customHeight="false" outlineLevel="0" collapsed="false">
      <c r="A337" s="3" t="n">
        <f aca="false">IFERROR(__xludf.dummyfunction("""COMPUTED_VALUE"""),44684.6666666667)</f>
        <v>44684.6666666667</v>
      </c>
      <c r="B337" s="2" t="n">
        <f aca="false">IFERROR(__xludf.dummyfunction("""COMPUTED_VALUE"""),301.06)</f>
        <v>301.06</v>
      </c>
      <c r="C337" s="2" t="n">
        <f aca="false">IFERROR(__xludf.dummyfunction("""COMPUTED_VALUE"""),308.03)</f>
        <v>308.03</v>
      </c>
      <c r="D337" s="2" t="n">
        <f aca="false">IFERROR(__xludf.dummyfunction("""COMPUTED_VALUE"""),296.2)</f>
        <v>296.2</v>
      </c>
      <c r="E337" s="2" t="n">
        <f aca="false">IFERROR(__xludf.dummyfunction("""COMPUTED_VALUE"""),303.08)</f>
        <v>303.08</v>
      </c>
      <c r="F337" s="2" t="n">
        <f aca="false">IFERROR(__xludf.dummyfunction("""COMPUTED_VALUE"""),21236525)</f>
        <v>21236525</v>
      </c>
    </row>
    <row r="338" customFormat="false" ht="15.75" hidden="false" customHeight="false" outlineLevel="0" collapsed="false">
      <c r="A338" s="3" t="n">
        <f aca="false">IFERROR(__xludf.dummyfunction("""COMPUTED_VALUE"""),44685.6666666667)</f>
        <v>44685.6666666667</v>
      </c>
      <c r="B338" s="2" t="n">
        <f aca="false">IFERROR(__xludf.dummyfunction("""COMPUTED_VALUE"""),301.31)</f>
        <v>301.31</v>
      </c>
      <c r="C338" s="2" t="n">
        <f aca="false">IFERROR(__xludf.dummyfunction("""COMPUTED_VALUE"""),318.5)</f>
        <v>318.5</v>
      </c>
      <c r="D338" s="2" t="n">
        <f aca="false">IFERROR(__xludf.dummyfunction("""COMPUTED_VALUE"""),295.09)</f>
        <v>295.09</v>
      </c>
      <c r="E338" s="2" t="n">
        <f aca="false">IFERROR(__xludf.dummyfunction("""COMPUTED_VALUE"""),317.54)</f>
        <v>317.54</v>
      </c>
      <c r="F338" s="2" t="n">
        <f aca="false">IFERROR(__xludf.dummyfunction("""COMPUTED_VALUE"""),27214568)</f>
        <v>27214568</v>
      </c>
    </row>
    <row r="339" customFormat="false" ht="15.75" hidden="false" customHeight="false" outlineLevel="0" collapsed="false">
      <c r="A339" s="3" t="n">
        <f aca="false">IFERROR(__xludf.dummyfunction("""COMPUTED_VALUE"""),44686.6666666667)</f>
        <v>44686.6666666667</v>
      </c>
      <c r="B339" s="2" t="n">
        <f aca="false">IFERROR(__xludf.dummyfunction("""COMPUTED_VALUE"""),313.07)</f>
        <v>313.07</v>
      </c>
      <c r="C339" s="2" t="n">
        <f aca="false">IFERROR(__xludf.dummyfunction("""COMPUTED_VALUE"""),315.2)</f>
        <v>315.2</v>
      </c>
      <c r="D339" s="2" t="n">
        <f aca="false">IFERROR(__xludf.dummyfunction("""COMPUTED_VALUE"""),285.9)</f>
        <v>285.9</v>
      </c>
      <c r="E339" s="2" t="n">
        <f aca="false">IFERROR(__xludf.dummyfunction("""COMPUTED_VALUE"""),291.09)</f>
        <v>291.09</v>
      </c>
      <c r="F339" s="2" t="n">
        <f aca="false">IFERROR(__xludf.dummyfunction("""COMPUTED_VALUE"""),30839731)</f>
        <v>30839731</v>
      </c>
    </row>
    <row r="340" customFormat="false" ht="15.75" hidden="false" customHeight="false" outlineLevel="0" collapsed="false">
      <c r="A340" s="3" t="n">
        <f aca="false">IFERROR(__xludf.dummyfunction("""COMPUTED_VALUE"""),44687.6666666667)</f>
        <v>44687.6666666667</v>
      </c>
      <c r="B340" s="2" t="n">
        <f aca="false">IFERROR(__xludf.dummyfunction("""COMPUTED_VALUE"""),295.67)</f>
        <v>295.67</v>
      </c>
      <c r="C340" s="2" t="n">
        <f aca="false">IFERROR(__xludf.dummyfunction("""COMPUTED_VALUE"""),296)</f>
        <v>296</v>
      </c>
      <c r="D340" s="2" t="n">
        <f aca="false">IFERROR(__xludf.dummyfunction("""COMPUTED_VALUE"""),281.04)</f>
        <v>281.04</v>
      </c>
      <c r="E340" s="2" t="n">
        <f aca="false">IFERROR(__xludf.dummyfunction("""COMPUTED_VALUE"""),288.55)</f>
        <v>288.55</v>
      </c>
      <c r="F340" s="2" t="n">
        <f aca="false">IFERROR(__xludf.dummyfunction("""COMPUTED_VALUE"""),24301037)</f>
        <v>24301037</v>
      </c>
    </row>
    <row r="341" customFormat="false" ht="15.75" hidden="false" customHeight="false" outlineLevel="0" collapsed="false">
      <c r="A341" s="3" t="n">
        <f aca="false">IFERROR(__xludf.dummyfunction("""COMPUTED_VALUE"""),44690.6666666667)</f>
        <v>44690.6666666667</v>
      </c>
      <c r="B341" s="2" t="n">
        <f aca="false">IFERROR(__xludf.dummyfunction("""COMPUTED_VALUE"""),278.82)</f>
        <v>278.82</v>
      </c>
      <c r="C341" s="2" t="n">
        <f aca="false">IFERROR(__xludf.dummyfunction("""COMPUTED_VALUE"""),281.88)</f>
        <v>281.88</v>
      </c>
      <c r="D341" s="2" t="n">
        <f aca="false">IFERROR(__xludf.dummyfunction("""COMPUTED_VALUE"""),260.38)</f>
        <v>260.38</v>
      </c>
      <c r="E341" s="2" t="n">
        <f aca="false">IFERROR(__xludf.dummyfunction("""COMPUTED_VALUE"""),262.37)</f>
        <v>262.37</v>
      </c>
      <c r="F341" s="2" t="n">
        <f aca="false">IFERROR(__xludf.dummyfunction("""COMPUTED_VALUE"""),30270074)</f>
        <v>30270074</v>
      </c>
    </row>
    <row r="342" customFormat="false" ht="15.75" hidden="false" customHeight="false" outlineLevel="0" collapsed="false">
      <c r="A342" s="3" t="n">
        <f aca="false">IFERROR(__xludf.dummyfunction("""COMPUTED_VALUE"""),44691.6666666667)</f>
        <v>44691.6666666667</v>
      </c>
      <c r="B342" s="2" t="n">
        <f aca="false">IFERROR(__xludf.dummyfunction("""COMPUTED_VALUE"""),273.1)</f>
        <v>273.1</v>
      </c>
      <c r="C342" s="2" t="n">
        <f aca="false">IFERROR(__xludf.dummyfunction("""COMPUTED_VALUE"""),275.12)</f>
        <v>275.12</v>
      </c>
      <c r="D342" s="2" t="n">
        <f aca="false">IFERROR(__xludf.dummyfunction("""COMPUTED_VALUE"""),258.08)</f>
        <v>258.08</v>
      </c>
      <c r="E342" s="2" t="n">
        <f aca="false">IFERROR(__xludf.dummyfunction("""COMPUTED_VALUE"""),266.68)</f>
        <v>266.68</v>
      </c>
      <c r="F342" s="2" t="n">
        <f aca="false">IFERROR(__xludf.dummyfunction("""COMPUTED_VALUE"""),28133877)</f>
        <v>28133877</v>
      </c>
    </row>
    <row r="343" customFormat="false" ht="15.75" hidden="false" customHeight="false" outlineLevel="0" collapsed="false">
      <c r="A343" s="3" t="n">
        <f aca="false">IFERROR(__xludf.dummyfunction("""COMPUTED_VALUE"""),44692.6666666667)</f>
        <v>44692.6666666667</v>
      </c>
      <c r="B343" s="2" t="n">
        <f aca="false">IFERROR(__xludf.dummyfunction("""COMPUTED_VALUE"""),265)</f>
        <v>265</v>
      </c>
      <c r="C343" s="2" t="n">
        <f aca="false">IFERROR(__xludf.dummyfunction("""COMPUTED_VALUE"""),269.92)</f>
        <v>269.92</v>
      </c>
      <c r="D343" s="2" t="n">
        <f aca="false">IFERROR(__xludf.dummyfunction("""COMPUTED_VALUE"""),242.4)</f>
        <v>242.4</v>
      </c>
      <c r="E343" s="2" t="n">
        <f aca="false">IFERROR(__xludf.dummyfunction("""COMPUTED_VALUE"""),244.67)</f>
        <v>244.67</v>
      </c>
      <c r="F343" s="2" t="n">
        <f aca="false">IFERROR(__xludf.dummyfunction("""COMPUTED_VALUE"""),32408153)</f>
        <v>32408153</v>
      </c>
    </row>
    <row r="344" customFormat="false" ht="15.75" hidden="false" customHeight="false" outlineLevel="0" collapsed="false">
      <c r="A344" s="3" t="n">
        <f aca="false">IFERROR(__xludf.dummyfunction("""COMPUTED_VALUE"""),44693.6666666667)</f>
        <v>44693.6666666667</v>
      </c>
      <c r="B344" s="2" t="n">
        <f aca="false">IFERROR(__xludf.dummyfunction("""COMPUTED_VALUE"""),233.67)</f>
        <v>233.67</v>
      </c>
      <c r="C344" s="2" t="n">
        <f aca="false">IFERROR(__xludf.dummyfunction("""COMPUTED_VALUE"""),253.22)</f>
        <v>253.22</v>
      </c>
      <c r="D344" s="2" t="n">
        <f aca="false">IFERROR(__xludf.dummyfunction("""COMPUTED_VALUE"""),226.67)</f>
        <v>226.67</v>
      </c>
      <c r="E344" s="2" t="n">
        <f aca="false">IFERROR(__xludf.dummyfunction("""COMPUTED_VALUE"""),242.67)</f>
        <v>242.67</v>
      </c>
      <c r="F344" s="2" t="n">
        <f aca="false">IFERROR(__xludf.dummyfunction("""COMPUTED_VALUE"""),46770954)</f>
        <v>46770954</v>
      </c>
    </row>
    <row r="345" customFormat="false" ht="15.75" hidden="false" customHeight="false" outlineLevel="0" collapsed="false">
      <c r="A345" s="3" t="n">
        <f aca="false">IFERROR(__xludf.dummyfunction("""COMPUTED_VALUE"""),44694.6666666667)</f>
        <v>44694.6666666667</v>
      </c>
      <c r="B345" s="2" t="n">
        <f aca="false">IFERROR(__xludf.dummyfunction("""COMPUTED_VALUE"""),257.83)</f>
        <v>257.83</v>
      </c>
      <c r="C345" s="2" t="n">
        <f aca="false">IFERROR(__xludf.dummyfunction("""COMPUTED_VALUE"""),262.45)</f>
        <v>262.45</v>
      </c>
      <c r="D345" s="2" t="n">
        <f aca="false">IFERROR(__xludf.dummyfunction("""COMPUTED_VALUE"""),250.52)</f>
        <v>250.52</v>
      </c>
      <c r="E345" s="2" t="n">
        <f aca="false">IFERROR(__xludf.dummyfunction("""COMPUTED_VALUE"""),256.53)</f>
        <v>256.53</v>
      </c>
      <c r="F345" s="2" t="n">
        <f aca="false">IFERROR(__xludf.dummyfunction("""COMPUTED_VALUE"""),30716908)</f>
        <v>30716908</v>
      </c>
    </row>
    <row r="346" customFormat="false" ht="15.75" hidden="false" customHeight="false" outlineLevel="0" collapsed="false">
      <c r="A346" s="3" t="n">
        <f aca="false">IFERROR(__xludf.dummyfunction("""COMPUTED_VALUE"""),44697.6666666667)</f>
        <v>44697.6666666667</v>
      </c>
      <c r="B346" s="2" t="n">
        <f aca="false">IFERROR(__xludf.dummyfunction("""COMPUTED_VALUE"""),255.72)</f>
        <v>255.72</v>
      </c>
      <c r="C346" s="2" t="n">
        <f aca="false">IFERROR(__xludf.dummyfunction("""COMPUTED_VALUE"""),256.59)</f>
        <v>256.59</v>
      </c>
      <c r="D346" s="2" t="n">
        <f aca="false">IFERROR(__xludf.dummyfunction("""COMPUTED_VALUE"""),239.7)</f>
        <v>239.7</v>
      </c>
      <c r="E346" s="2" t="n">
        <f aca="false">IFERROR(__xludf.dummyfunction("""COMPUTED_VALUE"""),241.46)</f>
        <v>241.46</v>
      </c>
      <c r="F346" s="2" t="n">
        <f aca="false">IFERROR(__xludf.dummyfunction("""COMPUTED_VALUE"""),28699513)</f>
        <v>28699513</v>
      </c>
    </row>
    <row r="347" customFormat="false" ht="15.75" hidden="false" customHeight="false" outlineLevel="0" collapsed="false">
      <c r="A347" s="3" t="n">
        <f aca="false">IFERROR(__xludf.dummyfunction("""COMPUTED_VALUE"""),44698.6666666667)</f>
        <v>44698.6666666667</v>
      </c>
      <c r="B347" s="2" t="n">
        <f aca="false">IFERROR(__xludf.dummyfunction("""COMPUTED_VALUE"""),249.12)</f>
        <v>249.12</v>
      </c>
      <c r="C347" s="2" t="n">
        <f aca="false">IFERROR(__xludf.dummyfunction("""COMPUTED_VALUE"""),254.83)</f>
        <v>254.83</v>
      </c>
      <c r="D347" s="2" t="n">
        <f aca="false">IFERROR(__xludf.dummyfunction("""COMPUTED_VALUE"""),242.95)</f>
        <v>242.95</v>
      </c>
      <c r="E347" s="2" t="n">
        <f aca="false">IFERROR(__xludf.dummyfunction("""COMPUTED_VALUE"""),253.87)</f>
        <v>253.87</v>
      </c>
      <c r="F347" s="2" t="n">
        <f aca="false">IFERROR(__xludf.dummyfunction("""COMPUTED_VALUE"""),26745370)</f>
        <v>26745370</v>
      </c>
    </row>
    <row r="348" customFormat="false" ht="15.75" hidden="false" customHeight="false" outlineLevel="0" collapsed="false">
      <c r="A348" s="3" t="n">
        <f aca="false">IFERROR(__xludf.dummyfunction("""COMPUTED_VALUE"""),44699.6666666667)</f>
        <v>44699.6666666667</v>
      </c>
      <c r="B348" s="2" t="n">
        <f aca="false">IFERROR(__xludf.dummyfunction("""COMPUTED_VALUE"""),248.17)</f>
        <v>248.17</v>
      </c>
      <c r="C348" s="2" t="n">
        <f aca="false">IFERROR(__xludf.dummyfunction("""COMPUTED_VALUE"""),253.5)</f>
        <v>253.5</v>
      </c>
      <c r="D348" s="2" t="n">
        <f aca="false">IFERROR(__xludf.dummyfunction("""COMPUTED_VALUE"""),233.6)</f>
        <v>233.6</v>
      </c>
      <c r="E348" s="2" t="n">
        <f aca="false">IFERROR(__xludf.dummyfunction("""COMPUTED_VALUE"""),236.6)</f>
        <v>236.6</v>
      </c>
      <c r="F348" s="2" t="n">
        <f aca="false">IFERROR(__xludf.dummyfunction("""COMPUTED_VALUE"""),29270604)</f>
        <v>29270604</v>
      </c>
    </row>
    <row r="349" customFormat="false" ht="15.75" hidden="false" customHeight="false" outlineLevel="0" collapsed="false">
      <c r="A349" s="3" t="n">
        <f aca="false">IFERROR(__xludf.dummyfunction("""COMPUTED_VALUE"""),44700.6666666667)</f>
        <v>44700.6666666667</v>
      </c>
      <c r="B349" s="2" t="n">
        <f aca="false">IFERROR(__xludf.dummyfunction("""COMPUTED_VALUE"""),235.67)</f>
        <v>235.67</v>
      </c>
      <c r="C349" s="2" t="n">
        <f aca="false">IFERROR(__xludf.dummyfunction("""COMPUTED_VALUE"""),244.67)</f>
        <v>244.67</v>
      </c>
      <c r="D349" s="2" t="n">
        <f aca="false">IFERROR(__xludf.dummyfunction("""COMPUTED_VALUE"""),231.37)</f>
        <v>231.37</v>
      </c>
      <c r="E349" s="2" t="n">
        <f aca="false">IFERROR(__xludf.dummyfunction("""COMPUTED_VALUE"""),236.47)</f>
        <v>236.47</v>
      </c>
      <c r="F349" s="2" t="n">
        <f aca="false">IFERROR(__xludf.dummyfunction("""COMPUTED_VALUE"""),30098891)</f>
        <v>30098891</v>
      </c>
    </row>
    <row r="350" customFormat="false" ht="15.75" hidden="false" customHeight="false" outlineLevel="0" collapsed="false">
      <c r="A350" s="3" t="n">
        <f aca="false">IFERROR(__xludf.dummyfunction("""COMPUTED_VALUE"""),44701.6666666667)</f>
        <v>44701.6666666667</v>
      </c>
      <c r="B350" s="2" t="n">
        <f aca="false">IFERROR(__xludf.dummyfunction("""COMPUTED_VALUE"""),238)</f>
        <v>238</v>
      </c>
      <c r="C350" s="2" t="n">
        <f aca="false">IFERROR(__xludf.dummyfunction("""COMPUTED_VALUE"""),240.53)</f>
        <v>240.53</v>
      </c>
      <c r="D350" s="2" t="n">
        <f aca="false">IFERROR(__xludf.dummyfunction("""COMPUTED_VALUE"""),211)</f>
        <v>211</v>
      </c>
      <c r="E350" s="2" t="n">
        <f aca="false">IFERROR(__xludf.dummyfunction("""COMPUTED_VALUE"""),221.3)</f>
        <v>221.3</v>
      </c>
      <c r="F350" s="2" t="n">
        <f aca="false">IFERROR(__xludf.dummyfunction("""COMPUTED_VALUE"""),48324435)</f>
        <v>48324435</v>
      </c>
    </row>
    <row r="351" customFormat="false" ht="15.75" hidden="false" customHeight="false" outlineLevel="0" collapsed="false">
      <c r="A351" s="3" t="n">
        <f aca="false">IFERROR(__xludf.dummyfunction("""COMPUTED_VALUE"""),44704.6666666667)</f>
        <v>44704.6666666667</v>
      </c>
      <c r="B351" s="2" t="n">
        <f aca="false">IFERROR(__xludf.dummyfunction("""COMPUTED_VALUE"""),218.34)</f>
        <v>218.34</v>
      </c>
      <c r="C351" s="2" t="n">
        <f aca="false">IFERROR(__xludf.dummyfunction("""COMPUTED_VALUE"""),226.65)</f>
        <v>226.65</v>
      </c>
      <c r="D351" s="2" t="n">
        <f aca="false">IFERROR(__xludf.dummyfunction("""COMPUTED_VALUE"""),212.69)</f>
        <v>212.69</v>
      </c>
      <c r="E351" s="2" t="n">
        <f aca="false">IFERROR(__xludf.dummyfunction("""COMPUTED_VALUE"""),224.97)</f>
        <v>224.97</v>
      </c>
      <c r="F351" s="2" t="n">
        <f aca="false">IFERROR(__xludf.dummyfunction("""COMPUTED_VALUE"""),29634546)</f>
        <v>29634546</v>
      </c>
    </row>
    <row r="352" customFormat="false" ht="15.75" hidden="false" customHeight="false" outlineLevel="0" collapsed="false">
      <c r="A352" s="3" t="n">
        <f aca="false">IFERROR(__xludf.dummyfunction("""COMPUTED_VALUE"""),44705.6666666667)</f>
        <v>44705.6666666667</v>
      </c>
      <c r="B352" s="2" t="n">
        <f aca="false">IFERROR(__xludf.dummyfunction("""COMPUTED_VALUE"""),217.84)</f>
        <v>217.84</v>
      </c>
      <c r="C352" s="2" t="n">
        <f aca="false">IFERROR(__xludf.dummyfunction("""COMPUTED_VALUE"""),217.97)</f>
        <v>217.97</v>
      </c>
      <c r="D352" s="2" t="n">
        <f aca="false">IFERROR(__xludf.dummyfunction("""COMPUTED_VALUE"""),206.86)</f>
        <v>206.86</v>
      </c>
      <c r="E352" s="2" t="n">
        <f aca="false">IFERROR(__xludf.dummyfunction("""COMPUTED_VALUE"""),209.39)</f>
        <v>209.39</v>
      </c>
      <c r="F352" s="2" t="n">
        <f aca="false">IFERROR(__xludf.dummyfunction("""COMPUTED_VALUE"""),29697505)</f>
        <v>29697505</v>
      </c>
    </row>
    <row r="353" customFormat="false" ht="15.75" hidden="false" customHeight="false" outlineLevel="0" collapsed="false">
      <c r="A353" s="3" t="n">
        <f aca="false">IFERROR(__xludf.dummyfunction("""COMPUTED_VALUE"""),44706.6666666667)</f>
        <v>44706.6666666667</v>
      </c>
      <c r="B353" s="2" t="n">
        <f aca="false">IFERROR(__xludf.dummyfunction("""COMPUTED_VALUE"""),207.95)</f>
        <v>207.95</v>
      </c>
      <c r="C353" s="2" t="n">
        <f aca="false">IFERROR(__xludf.dummyfunction("""COMPUTED_VALUE"""),223.11)</f>
        <v>223.11</v>
      </c>
      <c r="D353" s="2" t="n">
        <f aca="false">IFERROR(__xludf.dummyfunction("""COMPUTED_VALUE"""),207.67)</f>
        <v>207.67</v>
      </c>
      <c r="E353" s="2" t="n">
        <f aca="false">IFERROR(__xludf.dummyfunction("""COMPUTED_VALUE"""),219.6)</f>
        <v>219.6</v>
      </c>
      <c r="F353" s="2" t="n">
        <f aca="false">IFERROR(__xludf.dummyfunction("""COMPUTED_VALUE"""),30713108)</f>
        <v>30713108</v>
      </c>
    </row>
    <row r="354" customFormat="false" ht="15.75" hidden="false" customHeight="false" outlineLevel="0" collapsed="false">
      <c r="A354" s="3" t="n">
        <f aca="false">IFERROR(__xludf.dummyfunction("""COMPUTED_VALUE"""),44707.6666666667)</f>
        <v>44707.6666666667</v>
      </c>
      <c r="B354" s="2" t="n">
        <f aca="false">IFERROR(__xludf.dummyfunction("""COMPUTED_VALUE"""),220.47)</f>
        <v>220.47</v>
      </c>
      <c r="C354" s="2" t="n">
        <f aca="false">IFERROR(__xludf.dummyfunction("""COMPUTED_VALUE"""),239.56)</f>
        <v>239.56</v>
      </c>
      <c r="D354" s="2" t="n">
        <f aca="false">IFERROR(__xludf.dummyfunction("""COMPUTED_VALUE"""),217.89)</f>
        <v>217.89</v>
      </c>
      <c r="E354" s="2" t="n">
        <f aca="false">IFERROR(__xludf.dummyfunction("""COMPUTED_VALUE"""),235.91)</f>
        <v>235.91</v>
      </c>
      <c r="F354" s="2" t="n">
        <f aca="false">IFERROR(__xludf.dummyfunction("""COMPUTED_VALUE"""),35334448)</f>
        <v>35334448</v>
      </c>
    </row>
    <row r="355" customFormat="false" ht="15.75" hidden="false" customHeight="false" outlineLevel="0" collapsed="false">
      <c r="A355" s="3" t="n">
        <f aca="false">IFERROR(__xludf.dummyfunction("""COMPUTED_VALUE"""),44708.6666666667)</f>
        <v>44708.6666666667</v>
      </c>
      <c r="B355" s="2" t="n">
        <f aca="false">IFERROR(__xludf.dummyfunction("""COMPUTED_VALUE"""),241.08)</f>
        <v>241.08</v>
      </c>
      <c r="C355" s="2" t="n">
        <f aca="false">IFERROR(__xludf.dummyfunction("""COMPUTED_VALUE"""),253.27)</f>
        <v>253.27</v>
      </c>
      <c r="D355" s="2" t="n">
        <f aca="false">IFERROR(__xludf.dummyfunction("""COMPUTED_VALUE"""),240.18)</f>
        <v>240.18</v>
      </c>
      <c r="E355" s="2" t="n">
        <f aca="false">IFERROR(__xludf.dummyfunction("""COMPUTED_VALUE"""),253.21)</f>
        <v>253.21</v>
      </c>
      <c r="F355" s="2" t="n">
        <f aca="false">IFERROR(__xludf.dummyfunction("""COMPUTED_VALUE"""),29764994)</f>
        <v>29764994</v>
      </c>
    </row>
    <row r="356" customFormat="false" ht="15.75" hidden="false" customHeight="false" outlineLevel="0" collapsed="false">
      <c r="A356" s="3" t="n">
        <f aca="false">IFERROR(__xludf.dummyfunction("""COMPUTED_VALUE"""),44712.6666666667)</f>
        <v>44712.6666666667</v>
      </c>
      <c r="B356" s="2" t="n">
        <f aca="false">IFERROR(__xludf.dummyfunction("""COMPUTED_VALUE"""),257.95)</f>
        <v>257.95</v>
      </c>
      <c r="C356" s="2" t="n">
        <f aca="false">IFERROR(__xludf.dummyfunction("""COMPUTED_VALUE"""),259.6)</f>
        <v>259.6</v>
      </c>
      <c r="D356" s="2" t="n">
        <f aca="false">IFERROR(__xludf.dummyfunction("""COMPUTED_VALUE"""),244.74)</f>
        <v>244.74</v>
      </c>
      <c r="E356" s="2" t="n">
        <f aca="false">IFERROR(__xludf.dummyfunction("""COMPUTED_VALUE"""),252.75)</f>
        <v>252.75</v>
      </c>
      <c r="F356" s="2" t="n">
        <f aca="false">IFERROR(__xludf.dummyfunction("""COMPUTED_VALUE"""),33971457)</f>
        <v>33971457</v>
      </c>
    </row>
    <row r="357" customFormat="false" ht="15.75" hidden="false" customHeight="false" outlineLevel="0" collapsed="false">
      <c r="A357" s="3" t="n">
        <f aca="false">IFERROR(__xludf.dummyfunction("""COMPUTED_VALUE"""),44713.6666666667)</f>
        <v>44713.6666666667</v>
      </c>
      <c r="B357" s="2" t="n">
        <f aca="false">IFERROR(__xludf.dummyfunction("""COMPUTED_VALUE"""),251.72)</f>
        <v>251.72</v>
      </c>
      <c r="C357" s="2" t="n">
        <f aca="false">IFERROR(__xludf.dummyfunction("""COMPUTED_VALUE"""),257.33)</f>
        <v>257.33</v>
      </c>
      <c r="D357" s="2" t="n">
        <f aca="false">IFERROR(__xludf.dummyfunction("""COMPUTED_VALUE"""),243.64)</f>
        <v>243.64</v>
      </c>
      <c r="E357" s="2" t="n">
        <f aca="false">IFERROR(__xludf.dummyfunction("""COMPUTED_VALUE"""),246.79)</f>
        <v>246.79</v>
      </c>
      <c r="F357" s="2" t="n">
        <f aca="false">IFERROR(__xludf.dummyfunction("""COMPUTED_VALUE"""),25749321)</f>
        <v>25749321</v>
      </c>
    </row>
    <row r="358" customFormat="false" ht="15.75" hidden="false" customHeight="false" outlineLevel="0" collapsed="false">
      <c r="A358" s="3" t="n">
        <f aca="false">IFERROR(__xludf.dummyfunction("""COMPUTED_VALUE"""),44714.6666666667)</f>
        <v>44714.6666666667</v>
      </c>
      <c r="B358" s="2" t="n">
        <f aca="false">IFERROR(__xludf.dummyfunction("""COMPUTED_VALUE"""),244.16)</f>
        <v>244.16</v>
      </c>
      <c r="C358" s="2" t="n">
        <f aca="false">IFERROR(__xludf.dummyfunction("""COMPUTED_VALUE"""),264.21)</f>
        <v>264.21</v>
      </c>
      <c r="D358" s="2" t="n">
        <f aca="false">IFERROR(__xludf.dummyfunction("""COMPUTED_VALUE"""),242.07)</f>
        <v>242.07</v>
      </c>
      <c r="E358" s="2" t="n">
        <f aca="false">IFERROR(__xludf.dummyfunction("""COMPUTED_VALUE"""),258.33)</f>
        <v>258.33</v>
      </c>
      <c r="F358" s="2" t="n">
        <f aca="false">IFERROR(__xludf.dummyfunction("""COMPUTED_VALUE"""),31157706)</f>
        <v>31157706</v>
      </c>
    </row>
    <row r="359" customFormat="false" ht="15.75" hidden="false" customHeight="false" outlineLevel="0" collapsed="false">
      <c r="A359" s="3" t="n">
        <f aca="false">IFERROR(__xludf.dummyfunction("""COMPUTED_VALUE"""),44715.6666666667)</f>
        <v>44715.6666666667</v>
      </c>
      <c r="B359" s="2" t="n">
        <f aca="false">IFERROR(__xludf.dummyfunction("""COMPUTED_VALUE"""),243.23)</f>
        <v>243.23</v>
      </c>
      <c r="C359" s="2" t="n">
        <f aca="false">IFERROR(__xludf.dummyfunction("""COMPUTED_VALUE"""),247.8)</f>
        <v>247.8</v>
      </c>
      <c r="D359" s="2" t="n">
        <f aca="false">IFERROR(__xludf.dummyfunction("""COMPUTED_VALUE"""),233.42)</f>
        <v>233.42</v>
      </c>
      <c r="E359" s="2" t="n">
        <f aca="false">IFERROR(__xludf.dummyfunction("""COMPUTED_VALUE"""),234.52)</f>
        <v>234.52</v>
      </c>
      <c r="F359" s="2" t="n">
        <f aca="false">IFERROR(__xludf.dummyfunction("""COMPUTED_VALUE"""),37464579)</f>
        <v>37464579</v>
      </c>
    </row>
    <row r="360" customFormat="false" ht="15.75" hidden="false" customHeight="false" outlineLevel="0" collapsed="false">
      <c r="A360" s="3" t="n">
        <f aca="false">IFERROR(__xludf.dummyfunction("""COMPUTED_VALUE"""),44718.6666666667)</f>
        <v>44718.6666666667</v>
      </c>
      <c r="B360" s="2" t="n">
        <f aca="false">IFERROR(__xludf.dummyfunction("""COMPUTED_VALUE"""),244.35)</f>
        <v>244.35</v>
      </c>
      <c r="C360" s="2" t="n">
        <f aca="false">IFERROR(__xludf.dummyfunction("""COMPUTED_VALUE"""),244.87)</f>
        <v>244.87</v>
      </c>
      <c r="D360" s="2" t="n">
        <f aca="false">IFERROR(__xludf.dummyfunction("""COMPUTED_VALUE"""),234.35)</f>
        <v>234.35</v>
      </c>
      <c r="E360" s="2" t="n">
        <f aca="false">IFERROR(__xludf.dummyfunction("""COMPUTED_VALUE"""),238.28)</f>
        <v>238.28</v>
      </c>
      <c r="F360" s="2" t="n">
        <f aca="false">IFERROR(__xludf.dummyfunction("""COMPUTED_VALUE"""),28068174)</f>
        <v>28068174</v>
      </c>
    </row>
    <row r="361" customFormat="false" ht="15.75" hidden="false" customHeight="false" outlineLevel="0" collapsed="false">
      <c r="A361" s="3" t="n">
        <f aca="false">IFERROR(__xludf.dummyfunction("""COMPUTED_VALUE"""),44719.6666666667)</f>
        <v>44719.6666666667</v>
      </c>
      <c r="B361" s="2" t="n">
        <f aca="false">IFERROR(__xludf.dummyfunction("""COMPUTED_VALUE"""),234)</f>
        <v>234</v>
      </c>
      <c r="C361" s="2" t="n">
        <f aca="false">IFERROR(__xludf.dummyfunction("""COMPUTED_VALUE"""),240)</f>
        <v>240</v>
      </c>
      <c r="D361" s="2" t="n">
        <f aca="false">IFERROR(__xludf.dummyfunction("""COMPUTED_VALUE"""),230.09)</f>
        <v>230.09</v>
      </c>
      <c r="E361" s="2" t="n">
        <f aca="false">IFERROR(__xludf.dummyfunction("""COMPUTED_VALUE"""),238.89)</f>
        <v>238.89</v>
      </c>
      <c r="F361" s="2" t="n">
        <f aca="false">IFERROR(__xludf.dummyfunction("""COMPUTED_VALUE"""),24269534)</f>
        <v>24269534</v>
      </c>
    </row>
    <row r="362" customFormat="false" ht="15.75" hidden="false" customHeight="false" outlineLevel="0" collapsed="false">
      <c r="A362" s="3" t="n">
        <f aca="false">IFERROR(__xludf.dummyfunction("""COMPUTED_VALUE"""),44720.6666666667)</f>
        <v>44720.6666666667</v>
      </c>
      <c r="B362" s="2" t="n">
        <f aca="false">IFERROR(__xludf.dummyfunction("""COMPUTED_VALUE"""),240.09)</f>
        <v>240.09</v>
      </c>
      <c r="C362" s="2" t="n">
        <f aca="false">IFERROR(__xludf.dummyfunction("""COMPUTED_VALUE"""),249.96)</f>
        <v>249.96</v>
      </c>
      <c r="D362" s="2" t="n">
        <f aca="false">IFERROR(__xludf.dummyfunction("""COMPUTED_VALUE"""),239.18)</f>
        <v>239.18</v>
      </c>
      <c r="E362" s="2" t="n">
        <f aca="false">IFERROR(__xludf.dummyfunction("""COMPUTED_VALUE"""),241.87)</f>
        <v>241.87</v>
      </c>
      <c r="F362" s="2" t="n">
        <f aca="false">IFERROR(__xludf.dummyfunction("""COMPUTED_VALUE"""),25403540)</f>
        <v>25403540</v>
      </c>
    </row>
    <row r="363" customFormat="false" ht="15.75" hidden="false" customHeight="false" outlineLevel="0" collapsed="false">
      <c r="A363" s="3" t="n">
        <f aca="false">IFERROR(__xludf.dummyfunction("""COMPUTED_VALUE"""),44721.6666666667)</f>
        <v>44721.6666666667</v>
      </c>
      <c r="B363" s="2" t="n">
        <f aca="false">IFERROR(__xludf.dummyfunction("""COMPUTED_VALUE"""),249.34)</f>
        <v>249.34</v>
      </c>
      <c r="C363" s="2" t="n">
        <f aca="false">IFERROR(__xludf.dummyfunction("""COMPUTED_VALUE"""),255.55)</f>
        <v>255.55</v>
      </c>
      <c r="D363" s="2" t="n">
        <f aca="false">IFERROR(__xludf.dummyfunction("""COMPUTED_VALUE"""),239.33)</f>
        <v>239.33</v>
      </c>
      <c r="E363" s="2" t="n">
        <f aca="false">IFERROR(__xludf.dummyfunction("""COMPUTED_VALUE"""),239.71)</f>
        <v>239.71</v>
      </c>
      <c r="F363" s="2" t="n">
        <f aca="false">IFERROR(__xludf.dummyfunction("""COMPUTED_VALUE"""),32163769)</f>
        <v>32163769</v>
      </c>
    </row>
    <row r="364" customFormat="false" ht="15.75" hidden="false" customHeight="false" outlineLevel="0" collapsed="false">
      <c r="A364" s="3" t="n">
        <f aca="false">IFERROR(__xludf.dummyfunction("""COMPUTED_VALUE"""),44722.6666666667)</f>
        <v>44722.6666666667</v>
      </c>
      <c r="B364" s="2" t="n">
        <f aca="false">IFERROR(__xludf.dummyfunction("""COMPUTED_VALUE"""),235.16)</f>
        <v>235.16</v>
      </c>
      <c r="C364" s="2" t="n">
        <f aca="false">IFERROR(__xludf.dummyfunction("""COMPUTED_VALUE"""),239.5)</f>
        <v>239.5</v>
      </c>
      <c r="D364" s="2" t="n">
        <f aca="false">IFERROR(__xludf.dummyfunction("""COMPUTED_VALUE"""),227.91)</f>
        <v>227.91</v>
      </c>
      <c r="E364" s="2" t="n">
        <f aca="false">IFERROR(__xludf.dummyfunction("""COMPUTED_VALUE"""),232.23)</f>
        <v>232.23</v>
      </c>
      <c r="F364" s="2" t="n">
        <f aca="false">IFERROR(__xludf.dummyfunction("""COMPUTED_VALUE"""),32696966)</f>
        <v>32696966</v>
      </c>
    </row>
    <row r="365" customFormat="false" ht="15.75" hidden="false" customHeight="false" outlineLevel="0" collapsed="false">
      <c r="A365" s="3" t="n">
        <f aca="false">IFERROR(__xludf.dummyfunction("""COMPUTED_VALUE"""),44725.6666666667)</f>
        <v>44725.6666666667</v>
      </c>
      <c r="B365" s="2" t="n">
        <f aca="false">IFERROR(__xludf.dummyfunction("""COMPUTED_VALUE"""),223.17)</f>
        <v>223.17</v>
      </c>
      <c r="C365" s="2" t="n">
        <f aca="false">IFERROR(__xludf.dummyfunction("""COMPUTED_VALUE"""),226.63)</f>
        <v>226.63</v>
      </c>
      <c r="D365" s="2" t="n">
        <f aca="false">IFERROR(__xludf.dummyfunction("""COMPUTED_VALUE"""),214.68)</f>
        <v>214.68</v>
      </c>
      <c r="E365" s="2" t="n">
        <f aca="false">IFERROR(__xludf.dummyfunction("""COMPUTED_VALUE"""),215.74)</f>
        <v>215.74</v>
      </c>
      <c r="F365" s="2" t="n">
        <f aca="false">IFERROR(__xludf.dummyfunction("""COMPUTED_VALUE"""),34255754)</f>
        <v>34255754</v>
      </c>
    </row>
    <row r="366" customFormat="false" ht="15.75" hidden="false" customHeight="false" outlineLevel="0" collapsed="false">
      <c r="A366" s="3" t="n">
        <f aca="false">IFERROR(__xludf.dummyfunction("""COMPUTED_VALUE"""),44726.6666666667)</f>
        <v>44726.6666666667</v>
      </c>
      <c r="B366" s="2" t="n">
        <f aca="false">IFERROR(__xludf.dummyfunction("""COMPUTED_VALUE"""),218.29)</f>
        <v>218.29</v>
      </c>
      <c r="C366" s="2" t="n">
        <f aca="false">IFERROR(__xludf.dummyfunction("""COMPUTED_VALUE"""),226.33)</f>
        <v>226.33</v>
      </c>
      <c r="D366" s="2" t="n">
        <f aca="false">IFERROR(__xludf.dummyfunction("""COMPUTED_VALUE"""),211.74)</f>
        <v>211.74</v>
      </c>
      <c r="E366" s="2" t="n">
        <f aca="false">IFERROR(__xludf.dummyfunction("""COMPUTED_VALUE"""),220.89)</f>
        <v>220.89</v>
      </c>
      <c r="F366" s="2" t="n">
        <f aca="false">IFERROR(__xludf.dummyfunction("""COMPUTED_VALUE"""),32662932)</f>
        <v>32662932</v>
      </c>
    </row>
    <row r="367" customFormat="false" ht="15.75" hidden="false" customHeight="false" outlineLevel="0" collapsed="false">
      <c r="A367" s="3" t="n">
        <f aca="false">IFERROR(__xludf.dummyfunction("""COMPUTED_VALUE"""),44727.6666666667)</f>
        <v>44727.6666666667</v>
      </c>
      <c r="B367" s="2" t="n">
        <f aca="false">IFERROR(__xludf.dummyfunction("""COMPUTED_VALUE"""),220.92)</f>
        <v>220.92</v>
      </c>
      <c r="C367" s="2" t="n">
        <f aca="false">IFERROR(__xludf.dummyfunction("""COMPUTED_VALUE"""),235.66)</f>
        <v>235.66</v>
      </c>
      <c r="D367" s="2" t="n">
        <f aca="false">IFERROR(__xludf.dummyfunction("""COMPUTED_VALUE"""),218.15)</f>
        <v>218.15</v>
      </c>
      <c r="E367" s="2" t="n">
        <f aca="false">IFERROR(__xludf.dummyfunction("""COMPUTED_VALUE"""),233)</f>
        <v>233</v>
      </c>
      <c r="F367" s="2" t="n">
        <f aca="false">IFERROR(__xludf.dummyfunction("""COMPUTED_VALUE"""),39710645)</f>
        <v>39710645</v>
      </c>
    </row>
    <row r="368" customFormat="false" ht="15.75" hidden="false" customHeight="false" outlineLevel="0" collapsed="false">
      <c r="A368" s="3" t="n">
        <f aca="false">IFERROR(__xludf.dummyfunction("""COMPUTED_VALUE"""),44728.6666666667)</f>
        <v>44728.6666666667</v>
      </c>
      <c r="B368" s="2" t="n">
        <f aca="false">IFERROR(__xludf.dummyfunction("""COMPUTED_VALUE"""),222.74)</f>
        <v>222.74</v>
      </c>
      <c r="C368" s="2" t="n">
        <f aca="false">IFERROR(__xludf.dummyfunction("""COMPUTED_VALUE"""),225.17)</f>
        <v>225.17</v>
      </c>
      <c r="D368" s="2" t="n">
        <f aca="false">IFERROR(__xludf.dummyfunction("""COMPUTED_VALUE"""),208.69)</f>
        <v>208.69</v>
      </c>
      <c r="E368" s="2" t="n">
        <f aca="false">IFERROR(__xludf.dummyfunction("""COMPUTED_VALUE"""),213.1)</f>
        <v>213.1</v>
      </c>
      <c r="F368" s="2" t="n">
        <f aca="false">IFERROR(__xludf.dummyfunction("""COMPUTED_VALUE"""),35796900)</f>
        <v>35796900</v>
      </c>
    </row>
    <row r="369" customFormat="false" ht="15.75" hidden="false" customHeight="false" outlineLevel="0" collapsed="false">
      <c r="A369" s="3" t="n">
        <f aca="false">IFERROR(__xludf.dummyfunction("""COMPUTED_VALUE"""),44729.6666666667)</f>
        <v>44729.6666666667</v>
      </c>
      <c r="B369" s="2" t="n">
        <f aca="false">IFERROR(__xludf.dummyfunction("""COMPUTED_VALUE"""),213.43)</f>
        <v>213.43</v>
      </c>
      <c r="C369" s="2" t="n">
        <f aca="false">IFERROR(__xludf.dummyfunction("""COMPUTED_VALUE"""),220.97)</f>
        <v>220.97</v>
      </c>
      <c r="D369" s="2" t="n">
        <f aca="false">IFERROR(__xludf.dummyfunction("""COMPUTED_VALUE"""),213.2)</f>
        <v>213.2</v>
      </c>
      <c r="E369" s="2" t="n">
        <f aca="false">IFERROR(__xludf.dummyfunction("""COMPUTED_VALUE"""),216.76)</f>
        <v>216.76</v>
      </c>
      <c r="F369" s="2" t="n">
        <f aca="false">IFERROR(__xludf.dummyfunction("""COMPUTED_VALUE"""),30880590)</f>
        <v>30880590</v>
      </c>
    </row>
    <row r="370" customFormat="false" ht="15.75" hidden="false" customHeight="false" outlineLevel="0" collapsed="false">
      <c r="A370" s="3" t="n">
        <f aca="false">IFERROR(__xludf.dummyfunction("""COMPUTED_VALUE"""),44733.6666666667)</f>
        <v>44733.6666666667</v>
      </c>
      <c r="B370" s="2" t="n">
        <f aca="false">IFERROR(__xludf.dummyfunction("""COMPUTED_VALUE"""),224.6)</f>
        <v>224.6</v>
      </c>
      <c r="C370" s="2" t="n">
        <f aca="false">IFERROR(__xludf.dummyfunction("""COMPUTED_VALUE"""),243.58)</f>
        <v>243.58</v>
      </c>
      <c r="D370" s="2" t="n">
        <f aca="false">IFERROR(__xludf.dummyfunction("""COMPUTED_VALUE"""),224.33)</f>
        <v>224.33</v>
      </c>
      <c r="E370" s="2" t="n">
        <f aca="false">IFERROR(__xludf.dummyfunction("""COMPUTED_VALUE"""),237.04)</f>
        <v>237.04</v>
      </c>
      <c r="F370" s="2" t="n">
        <f aca="false">IFERROR(__xludf.dummyfunction("""COMPUTED_VALUE"""),40930985)</f>
        <v>40930985</v>
      </c>
    </row>
    <row r="371" customFormat="false" ht="15.75" hidden="false" customHeight="false" outlineLevel="0" collapsed="false">
      <c r="A371" s="3" t="n">
        <f aca="false">IFERROR(__xludf.dummyfunction("""COMPUTED_VALUE"""),44734.6666666667)</f>
        <v>44734.6666666667</v>
      </c>
      <c r="B371" s="2" t="n">
        <f aca="false">IFERROR(__xludf.dummyfunction("""COMPUTED_VALUE"""),234.5)</f>
        <v>234.5</v>
      </c>
      <c r="C371" s="2" t="n">
        <f aca="false">IFERROR(__xludf.dummyfunction("""COMPUTED_VALUE"""),246.83)</f>
        <v>246.83</v>
      </c>
      <c r="D371" s="2" t="n">
        <f aca="false">IFERROR(__xludf.dummyfunction("""COMPUTED_VALUE"""),233.83)</f>
        <v>233.83</v>
      </c>
      <c r="E371" s="2" t="n">
        <f aca="false">IFERROR(__xludf.dummyfunction("""COMPUTED_VALUE"""),236.09)</f>
        <v>236.09</v>
      </c>
      <c r="F371" s="2" t="n">
        <f aca="false">IFERROR(__xludf.dummyfunction("""COMPUTED_VALUE"""),33842420)</f>
        <v>33842420</v>
      </c>
    </row>
    <row r="372" customFormat="false" ht="15.75" hidden="false" customHeight="false" outlineLevel="0" collapsed="false">
      <c r="A372" s="3" t="n">
        <f aca="false">IFERROR(__xludf.dummyfunction("""COMPUTED_VALUE"""),44735.6666666667)</f>
        <v>44735.6666666667</v>
      </c>
      <c r="B372" s="2" t="n">
        <f aca="false">IFERROR(__xludf.dummyfunction("""COMPUTED_VALUE"""),237.91)</f>
        <v>237.91</v>
      </c>
      <c r="C372" s="2" t="n">
        <f aca="false">IFERROR(__xludf.dummyfunction("""COMPUTED_VALUE"""),239.32)</f>
        <v>239.32</v>
      </c>
      <c r="D372" s="2" t="n">
        <f aca="false">IFERROR(__xludf.dummyfunction("""COMPUTED_VALUE"""),228.64)</f>
        <v>228.64</v>
      </c>
      <c r="E372" s="2" t="n">
        <f aca="false">IFERROR(__xludf.dummyfunction("""COMPUTED_VALUE"""),235.07)</f>
        <v>235.07</v>
      </c>
      <c r="F372" s="2" t="n">
        <f aca="false">IFERROR(__xludf.dummyfunction("""COMPUTED_VALUE"""),34734226)</f>
        <v>34734226</v>
      </c>
    </row>
    <row r="373" customFormat="false" ht="15.75" hidden="false" customHeight="false" outlineLevel="0" collapsed="false">
      <c r="A373" s="3" t="n">
        <f aca="false">IFERROR(__xludf.dummyfunction("""COMPUTED_VALUE"""),44736.6666666667)</f>
        <v>44736.6666666667</v>
      </c>
      <c r="B373" s="2" t="n">
        <f aca="false">IFERROR(__xludf.dummyfunction("""COMPUTED_VALUE"""),237.47)</f>
        <v>237.47</v>
      </c>
      <c r="C373" s="2" t="n">
        <f aca="false">IFERROR(__xludf.dummyfunction("""COMPUTED_VALUE"""),246.07)</f>
        <v>246.07</v>
      </c>
      <c r="D373" s="2" t="n">
        <f aca="false">IFERROR(__xludf.dummyfunction("""COMPUTED_VALUE"""),236.09)</f>
        <v>236.09</v>
      </c>
      <c r="E373" s="2" t="n">
        <f aca="false">IFERROR(__xludf.dummyfunction("""COMPUTED_VALUE"""),245.71)</f>
        <v>245.71</v>
      </c>
      <c r="F373" s="2" t="n">
        <f aca="false">IFERROR(__xludf.dummyfunction("""COMPUTED_VALUE"""),31923565)</f>
        <v>31923565</v>
      </c>
    </row>
    <row r="374" customFormat="false" ht="15.75" hidden="false" customHeight="false" outlineLevel="0" collapsed="false">
      <c r="A374" s="3" t="n">
        <f aca="false">IFERROR(__xludf.dummyfunction("""COMPUTED_VALUE"""),44739.6666666667)</f>
        <v>44739.6666666667</v>
      </c>
      <c r="B374" s="2" t="n">
        <f aca="false">IFERROR(__xludf.dummyfunction("""COMPUTED_VALUE"""),249.37)</f>
        <v>249.37</v>
      </c>
      <c r="C374" s="2" t="n">
        <f aca="false">IFERROR(__xludf.dummyfunction("""COMPUTED_VALUE"""),252.07)</f>
        <v>252.07</v>
      </c>
      <c r="D374" s="2" t="n">
        <f aca="false">IFERROR(__xludf.dummyfunction("""COMPUTED_VALUE"""),242.57)</f>
        <v>242.57</v>
      </c>
      <c r="E374" s="2" t="n">
        <f aca="false">IFERROR(__xludf.dummyfunction("""COMPUTED_VALUE"""),244.92)</f>
        <v>244.92</v>
      </c>
      <c r="F374" s="2" t="n">
        <f aca="false">IFERROR(__xludf.dummyfunction("""COMPUTED_VALUE"""),29726104)</f>
        <v>29726104</v>
      </c>
    </row>
    <row r="375" customFormat="false" ht="15.75" hidden="false" customHeight="false" outlineLevel="0" collapsed="false">
      <c r="A375" s="3" t="n">
        <f aca="false">IFERROR(__xludf.dummyfunction("""COMPUTED_VALUE"""),44740.6666666667)</f>
        <v>44740.6666666667</v>
      </c>
      <c r="B375" s="2" t="n">
        <f aca="false">IFERROR(__xludf.dummyfunction("""COMPUTED_VALUE"""),244.48)</f>
        <v>244.48</v>
      </c>
      <c r="C375" s="2" t="n">
        <f aca="false">IFERROR(__xludf.dummyfunction("""COMPUTED_VALUE"""),249.97)</f>
        <v>249.97</v>
      </c>
      <c r="D375" s="2" t="n">
        <f aca="false">IFERROR(__xludf.dummyfunction("""COMPUTED_VALUE"""),232.34)</f>
        <v>232.34</v>
      </c>
      <c r="E375" s="2" t="n">
        <f aca="false">IFERROR(__xludf.dummyfunction("""COMPUTED_VALUE"""),232.66)</f>
        <v>232.66</v>
      </c>
      <c r="F375" s="2" t="n">
        <f aca="false">IFERROR(__xludf.dummyfunction("""COMPUTED_VALUE"""),30222167)</f>
        <v>30222167</v>
      </c>
    </row>
    <row r="376" customFormat="false" ht="15.75" hidden="false" customHeight="false" outlineLevel="0" collapsed="false">
      <c r="A376" s="3" t="n">
        <f aca="false">IFERROR(__xludf.dummyfunction("""COMPUTED_VALUE"""),44741.6666666667)</f>
        <v>44741.6666666667</v>
      </c>
      <c r="B376" s="2" t="n">
        <f aca="false">IFERROR(__xludf.dummyfunction("""COMPUTED_VALUE"""),230.5)</f>
        <v>230.5</v>
      </c>
      <c r="C376" s="2" t="n">
        <f aca="false">IFERROR(__xludf.dummyfunction("""COMPUTED_VALUE"""),231.17)</f>
        <v>231.17</v>
      </c>
      <c r="D376" s="2" t="n">
        <f aca="false">IFERROR(__xludf.dummyfunction("""COMPUTED_VALUE"""),222.27)</f>
        <v>222.27</v>
      </c>
      <c r="E376" s="2" t="n">
        <f aca="false">IFERROR(__xludf.dummyfunction("""COMPUTED_VALUE"""),228.49)</f>
        <v>228.49</v>
      </c>
      <c r="F376" s="2" t="n">
        <f aca="false">IFERROR(__xludf.dummyfunction("""COMPUTED_VALUE"""),27632418)</f>
        <v>27632418</v>
      </c>
    </row>
    <row r="377" customFormat="false" ht="15.75" hidden="false" customHeight="false" outlineLevel="0" collapsed="false">
      <c r="A377" s="3" t="n">
        <f aca="false">IFERROR(__xludf.dummyfunction("""COMPUTED_VALUE"""),44742.6666666667)</f>
        <v>44742.6666666667</v>
      </c>
      <c r="B377" s="2" t="n">
        <f aca="false">IFERROR(__xludf.dummyfunction("""COMPUTED_VALUE"""),224.51)</f>
        <v>224.51</v>
      </c>
      <c r="C377" s="2" t="n">
        <f aca="false">IFERROR(__xludf.dummyfunction("""COMPUTED_VALUE"""),229.46)</f>
        <v>229.46</v>
      </c>
      <c r="D377" s="2" t="n">
        <f aca="false">IFERROR(__xludf.dummyfunction("""COMPUTED_VALUE"""),218.86)</f>
        <v>218.86</v>
      </c>
      <c r="E377" s="2" t="n">
        <f aca="false">IFERROR(__xludf.dummyfunction("""COMPUTED_VALUE"""),224.47)</f>
        <v>224.47</v>
      </c>
      <c r="F377" s="2" t="n">
        <f aca="false">IFERROR(__xludf.dummyfunction("""COMPUTED_VALUE"""),31533484)</f>
        <v>31533484</v>
      </c>
    </row>
    <row r="378" customFormat="false" ht="15.75" hidden="false" customHeight="false" outlineLevel="0" collapsed="false">
      <c r="A378" s="3" t="n">
        <f aca="false">IFERROR(__xludf.dummyfunction("""COMPUTED_VALUE"""),44743.6666666667)</f>
        <v>44743.6666666667</v>
      </c>
      <c r="B378" s="2" t="n">
        <f aca="false">IFERROR(__xludf.dummyfunction("""COMPUTED_VALUE"""),227)</f>
        <v>227</v>
      </c>
      <c r="C378" s="2" t="n">
        <f aca="false">IFERROR(__xludf.dummyfunction("""COMPUTED_VALUE"""),230.23)</f>
        <v>230.23</v>
      </c>
      <c r="D378" s="2" t="n">
        <f aca="false">IFERROR(__xludf.dummyfunction("""COMPUTED_VALUE"""),222.12)</f>
        <v>222.12</v>
      </c>
      <c r="E378" s="2" t="n">
        <f aca="false">IFERROR(__xludf.dummyfunction("""COMPUTED_VALUE"""),227.26)</f>
        <v>227.26</v>
      </c>
      <c r="F378" s="2" t="n">
        <f aca="false">IFERROR(__xludf.dummyfunction("""COMPUTED_VALUE"""),24820148)</f>
        <v>24820148</v>
      </c>
    </row>
    <row r="379" customFormat="false" ht="15.75" hidden="false" customHeight="false" outlineLevel="0" collapsed="false">
      <c r="A379" s="3" t="n">
        <f aca="false">IFERROR(__xludf.dummyfunction("""COMPUTED_VALUE"""),44747.6666666667)</f>
        <v>44747.6666666667</v>
      </c>
      <c r="B379" s="2" t="n">
        <f aca="false">IFERROR(__xludf.dummyfunction("""COMPUTED_VALUE"""),223)</f>
        <v>223</v>
      </c>
      <c r="C379" s="2" t="n">
        <f aca="false">IFERROR(__xludf.dummyfunction("""COMPUTED_VALUE"""),233.15)</f>
        <v>233.15</v>
      </c>
      <c r="D379" s="2" t="n">
        <f aca="false">IFERROR(__xludf.dummyfunction("""COMPUTED_VALUE"""),216.17)</f>
        <v>216.17</v>
      </c>
      <c r="E379" s="2" t="n">
        <f aca="false">IFERROR(__xludf.dummyfunction("""COMPUTED_VALUE"""),233.07)</f>
        <v>233.07</v>
      </c>
      <c r="F379" s="2" t="n">
        <f aca="false">IFERROR(__xludf.dummyfunction("""COMPUTED_VALUE"""),28259704)</f>
        <v>28259704</v>
      </c>
    </row>
    <row r="380" customFormat="false" ht="15.75" hidden="false" customHeight="false" outlineLevel="0" collapsed="false">
      <c r="A380" s="3" t="n">
        <f aca="false">IFERROR(__xludf.dummyfunction("""COMPUTED_VALUE"""),44748.6666666667)</f>
        <v>44748.6666666667</v>
      </c>
      <c r="B380" s="2" t="n">
        <f aca="false">IFERROR(__xludf.dummyfunction("""COMPUTED_VALUE"""),230.78)</f>
        <v>230.78</v>
      </c>
      <c r="C380" s="2" t="n">
        <f aca="false">IFERROR(__xludf.dummyfunction("""COMPUTED_VALUE"""),234.56)</f>
        <v>234.56</v>
      </c>
      <c r="D380" s="2" t="n">
        <f aca="false">IFERROR(__xludf.dummyfunction("""COMPUTED_VALUE"""),227.19)</f>
        <v>227.19</v>
      </c>
      <c r="E380" s="2" t="n">
        <f aca="false">IFERROR(__xludf.dummyfunction("""COMPUTED_VALUE"""),231.73)</f>
        <v>231.73</v>
      </c>
      <c r="F380" s="2" t="n">
        <f aca="false">IFERROR(__xludf.dummyfunction("""COMPUTED_VALUE"""),23951210)</f>
        <v>23951210</v>
      </c>
    </row>
    <row r="381" customFormat="false" ht="15.75" hidden="false" customHeight="false" outlineLevel="0" collapsed="false">
      <c r="A381" s="3" t="n">
        <f aca="false">IFERROR(__xludf.dummyfunction("""COMPUTED_VALUE"""),44749.6666666667)</f>
        <v>44749.6666666667</v>
      </c>
      <c r="B381" s="2" t="n">
        <f aca="false">IFERROR(__xludf.dummyfunction("""COMPUTED_VALUE"""),233.92)</f>
        <v>233.92</v>
      </c>
      <c r="C381" s="2" t="n">
        <f aca="false">IFERROR(__xludf.dummyfunction("""COMPUTED_VALUE"""),245.36)</f>
        <v>245.36</v>
      </c>
      <c r="D381" s="2" t="n">
        <f aca="false">IFERROR(__xludf.dummyfunction("""COMPUTED_VALUE"""),232.21)</f>
        <v>232.21</v>
      </c>
      <c r="E381" s="2" t="n">
        <f aca="false">IFERROR(__xludf.dummyfunction("""COMPUTED_VALUE"""),244.54)</f>
        <v>244.54</v>
      </c>
      <c r="F381" s="2" t="n">
        <f aca="false">IFERROR(__xludf.dummyfunction("""COMPUTED_VALUE"""),27310230)</f>
        <v>27310230</v>
      </c>
    </row>
    <row r="382" customFormat="false" ht="15.75" hidden="false" customHeight="false" outlineLevel="0" collapsed="false">
      <c r="A382" s="3" t="n">
        <f aca="false">IFERROR(__xludf.dummyfunction("""COMPUTED_VALUE"""),44750.6666666667)</f>
        <v>44750.6666666667</v>
      </c>
      <c r="B382" s="2" t="n">
        <f aca="false">IFERROR(__xludf.dummyfunction("""COMPUTED_VALUE"""),242.33)</f>
        <v>242.33</v>
      </c>
      <c r="C382" s="2" t="n">
        <f aca="false">IFERROR(__xludf.dummyfunction("""COMPUTED_VALUE"""),254.98)</f>
        <v>254.98</v>
      </c>
      <c r="D382" s="2" t="n">
        <f aca="false">IFERROR(__xludf.dummyfunction("""COMPUTED_VALUE"""),241.16)</f>
        <v>241.16</v>
      </c>
      <c r="E382" s="2" t="n">
        <f aca="false">IFERROR(__xludf.dummyfunction("""COMPUTED_VALUE"""),250.76)</f>
        <v>250.76</v>
      </c>
      <c r="F382" s="2" t="n">
        <f aca="false">IFERROR(__xludf.dummyfunction("""COMPUTED_VALUE"""),33951362)</f>
        <v>33951362</v>
      </c>
    </row>
    <row r="383" customFormat="false" ht="15.75" hidden="false" customHeight="false" outlineLevel="0" collapsed="false">
      <c r="A383" s="3" t="n">
        <f aca="false">IFERROR(__xludf.dummyfunction("""COMPUTED_VALUE"""),44753.6666666667)</f>
        <v>44753.6666666667</v>
      </c>
      <c r="B383" s="2" t="n">
        <f aca="false">IFERROR(__xludf.dummyfunction("""COMPUTED_VALUE"""),252.1)</f>
        <v>252.1</v>
      </c>
      <c r="C383" s="2" t="n">
        <f aca="false">IFERROR(__xludf.dummyfunction("""COMPUTED_VALUE"""),253.06)</f>
        <v>253.06</v>
      </c>
      <c r="D383" s="2" t="n">
        <f aca="false">IFERROR(__xludf.dummyfunction("""COMPUTED_VALUE"""),233.63)</f>
        <v>233.63</v>
      </c>
      <c r="E383" s="2" t="n">
        <f aca="false">IFERROR(__xludf.dummyfunction("""COMPUTED_VALUE"""),234.34)</f>
        <v>234.34</v>
      </c>
      <c r="F383" s="2" t="n">
        <f aca="false">IFERROR(__xludf.dummyfunction("""COMPUTED_VALUE"""),33169740)</f>
        <v>33169740</v>
      </c>
    </row>
    <row r="384" customFormat="false" ht="15.75" hidden="false" customHeight="false" outlineLevel="0" collapsed="false">
      <c r="A384" s="3" t="n">
        <f aca="false">IFERROR(__xludf.dummyfunction("""COMPUTED_VALUE"""),44754.6666666667)</f>
        <v>44754.6666666667</v>
      </c>
      <c r="B384" s="2" t="n">
        <f aca="false">IFERROR(__xludf.dummyfunction("""COMPUTED_VALUE"""),236.85)</f>
        <v>236.85</v>
      </c>
      <c r="C384" s="2" t="n">
        <f aca="false">IFERROR(__xludf.dummyfunction("""COMPUTED_VALUE"""),239.77)</f>
        <v>239.77</v>
      </c>
      <c r="D384" s="2" t="n">
        <f aca="false">IFERROR(__xludf.dummyfunction("""COMPUTED_VALUE"""),228.37)</f>
        <v>228.37</v>
      </c>
      <c r="E384" s="2" t="n">
        <f aca="false">IFERROR(__xludf.dummyfunction("""COMPUTED_VALUE"""),233.07)</f>
        <v>233.07</v>
      </c>
      <c r="F384" s="2" t="n">
        <f aca="false">IFERROR(__xludf.dummyfunction("""COMPUTED_VALUE"""),29310320)</f>
        <v>29310320</v>
      </c>
    </row>
    <row r="385" customFormat="false" ht="15.75" hidden="false" customHeight="false" outlineLevel="0" collapsed="false">
      <c r="A385" s="3" t="n">
        <f aca="false">IFERROR(__xludf.dummyfunction("""COMPUTED_VALUE"""),44755.6666666667)</f>
        <v>44755.6666666667</v>
      </c>
      <c r="B385" s="2" t="n">
        <f aca="false">IFERROR(__xludf.dummyfunction("""COMPUTED_VALUE"""),225.5)</f>
        <v>225.5</v>
      </c>
      <c r="C385" s="2" t="n">
        <f aca="false">IFERROR(__xludf.dummyfunction("""COMPUTED_VALUE"""),242.06)</f>
        <v>242.06</v>
      </c>
      <c r="D385" s="2" t="n">
        <f aca="false">IFERROR(__xludf.dummyfunction("""COMPUTED_VALUE"""),225.03)</f>
        <v>225.03</v>
      </c>
      <c r="E385" s="2" t="n">
        <f aca="false">IFERROR(__xludf.dummyfunction("""COMPUTED_VALUE"""),237.04)</f>
        <v>237.04</v>
      </c>
      <c r="F385" s="2" t="n">
        <f aca="false">IFERROR(__xludf.dummyfunction("""COMPUTED_VALUE"""),32651499)</f>
        <v>32651499</v>
      </c>
    </row>
    <row r="386" customFormat="false" ht="15.75" hidden="false" customHeight="false" outlineLevel="0" collapsed="false">
      <c r="A386" s="3" t="n">
        <f aca="false">IFERROR(__xludf.dummyfunction("""COMPUTED_VALUE"""),44756.6666666667)</f>
        <v>44756.6666666667</v>
      </c>
      <c r="B386" s="2" t="n">
        <f aca="false">IFERROR(__xludf.dummyfunction("""COMPUTED_VALUE"""),234.9)</f>
        <v>234.9</v>
      </c>
      <c r="C386" s="2" t="n">
        <f aca="false">IFERROR(__xludf.dummyfunction("""COMPUTED_VALUE"""),238.65)</f>
        <v>238.65</v>
      </c>
      <c r="D386" s="2" t="n">
        <f aca="false">IFERROR(__xludf.dummyfunction("""COMPUTED_VALUE"""),229.33)</f>
        <v>229.33</v>
      </c>
      <c r="E386" s="2" t="n">
        <f aca="false">IFERROR(__xludf.dummyfunction("""COMPUTED_VALUE"""),238.31)</f>
        <v>238.31</v>
      </c>
      <c r="F386" s="2" t="n">
        <f aca="false">IFERROR(__xludf.dummyfunction("""COMPUTED_VALUE"""),26185833)</f>
        <v>26185833</v>
      </c>
    </row>
    <row r="387" customFormat="false" ht="15.75" hidden="false" customHeight="false" outlineLevel="0" collapsed="false">
      <c r="A387" s="3" t="n">
        <f aca="false">IFERROR(__xludf.dummyfunction("""COMPUTED_VALUE"""),44757.6666666667)</f>
        <v>44757.6666666667</v>
      </c>
      <c r="B387" s="2" t="n">
        <f aca="false">IFERROR(__xludf.dummyfunction("""COMPUTED_VALUE"""),240)</f>
        <v>240</v>
      </c>
      <c r="C387" s="2" t="n">
        <f aca="false">IFERROR(__xludf.dummyfunction("""COMPUTED_VALUE"""),243.62)</f>
        <v>243.62</v>
      </c>
      <c r="D387" s="2" t="n">
        <f aca="false">IFERROR(__xludf.dummyfunction("""COMPUTED_VALUE"""),236.89)</f>
        <v>236.89</v>
      </c>
      <c r="E387" s="2" t="n">
        <f aca="false">IFERROR(__xludf.dummyfunction("""COMPUTED_VALUE"""),240.07)</f>
        <v>240.07</v>
      </c>
      <c r="F387" s="2" t="n">
        <f aca="false">IFERROR(__xludf.dummyfunction("""COMPUTED_VALUE"""),23227673)</f>
        <v>23227673</v>
      </c>
    </row>
    <row r="388" customFormat="false" ht="15.75" hidden="false" customHeight="false" outlineLevel="0" collapsed="false">
      <c r="A388" s="3" t="n">
        <f aca="false">IFERROR(__xludf.dummyfunction("""COMPUTED_VALUE"""),44760.6666666667)</f>
        <v>44760.6666666667</v>
      </c>
      <c r="B388" s="2" t="n">
        <f aca="false">IFERROR(__xludf.dummyfunction("""COMPUTED_VALUE"""),244.94)</f>
        <v>244.94</v>
      </c>
      <c r="C388" s="2" t="n">
        <f aca="false">IFERROR(__xludf.dummyfunction("""COMPUTED_VALUE"""),250.52)</f>
        <v>250.52</v>
      </c>
      <c r="D388" s="2" t="n">
        <f aca="false">IFERROR(__xludf.dummyfunction("""COMPUTED_VALUE"""),239.6)</f>
        <v>239.6</v>
      </c>
      <c r="E388" s="2" t="n">
        <f aca="false">IFERROR(__xludf.dummyfunction("""COMPUTED_VALUE"""),240.55)</f>
        <v>240.55</v>
      </c>
      <c r="F388" s="2" t="n">
        <f aca="false">IFERROR(__xludf.dummyfunction("""COMPUTED_VALUE"""),27512476)</f>
        <v>27512476</v>
      </c>
    </row>
    <row r="389" customFormat="false" ht="15.75" hidden="false" customHeight="false" outlineLevel="0" collapsed="false">
      <c r="A389" s="3" t="n">
        <f aca="false">IFERROR(__xludf.dummyfunction("""COMPUTED_VALUE"""),44761.6666666667)</f>
        <v>44761.6666666667</v>
      </c>
      <c r="B389" s="2" t="n">
        <f aca="false">IFERROR(__xludf.dummyfunction("""COMPUTED_VALUE"""),245)</f>
        <v>245</v>
      </c>
      <c r="C389" s="2" t="n">
        <f aca="false">IFERROR(__xludf.dummyfunction("""COMPUTED_VALUE"""),247.14)</f>
        <v>247.14</v>
      </c>
      <c r="D389" s="2" t="n">
        <f aca="false">IFERROR(__xludf.dummyfunction("""COMPUTED_VALUE"""),236.98)</f>
        <v>236.98</v>
      </c>
      <c r="E389" s="2" t="n">
        <f aca="false">IFERROR(__xludf.dummyfunction("""COMPUTED_VALUE"""),245.53)</f>
        <v>245.53</v>
      </c>
      <c r="F389" s="2" t="n">
        <f aca="false">IFERROR(__xludf.dummyfunction("""COMPUTED_VALUE"""),26963370)</f>
        <v>26963370</v>
      </c>
    </row>
    <row r="390" customFormat="false" ht="15.75" hidden="false" customHeight="false" outlineLevel="0" collapsed="false">
      <c r="A390" s="3" t="n">
        <f aca="false">IFERROR(__xludf.dummyfunction("""COMPUTED_VALUE"""),44762.6666666667)</f>
        <v>44762.6666666667</v>
      </c>
      <c r="B390" s="2" t="n">
        <f aca="false">IFERROR(__xludf.dummyfunction("""COMPUTED_VALUE"""),246.78)</f>
        <v>246.78</v>
      </c>
      <c r="C390" s="2" t="n">
        <f aca="false">IFERROR(__xludf.dummyfunction("""COMPUTED_VALUE"""),250.66)</f>
        <v>250.66</v>
      </c>
      <c r="D390" s="2" t="n">
        <f aca="false">IFERROR(__xludf.dummyfunction("""COMPUTED_VALUE"""),243.48)</f>
        <v>243.48</v>
      </c>
      <c r="E390" s="2" t="n">
        <f aca="false">IFERROR(__xludf.dummyfunction("""COMPUTED_VALUE"""),247.5)</f>
        <v>247.5</v>
      </c>
      <c r="F390" s="2" t="n">
        <f aca="false">IFERROR(__xludf.dummyfunction("""COMPUTED_VALUE"""),29621363)</f>
        <v>29621363</v>
      </c>
    </row>
    <row r="391" customFormat="false" ht="15.75" hidden="false" customHeight="false" outlineLevel="0" collapsed="false">
      <c r="A391" s="3" t="n">
        <f aca="false">IFERROR(__xludf.dummyfunction("""COMPUTED_VALUE"""),44763.6666666667)</f>
        <v>44763.6666666667</v>
      </c>
      <c r="B391" s="2" t="n">
        <f aca="false">IFERROR(__xludf.dummyfunction("""COMPUTED_VALUE"""),255.11)</f>
        <v>255.11</v>
      </c>
      <c r="C391" s="2" t="n">
        <f aca="false">IFERROR(__xludf.dummyfunction("""COMPUTED_VALUE"""),273.27)</f>
        <v>273.27</v>
      </c>
      <c r="D391" s="2" t="n">
        <f aca="false">IFERROR(__xludf.dummyfunction("""COMPUTED_VALUE"""),254.87)</f>
        <v>254.87</v>
      </c>
      <c r="E391" s="2" t="n">
        <f aca="false">IFERROR(__xludf.dummyfunction("""COMPUTED_VALUE"""),271.71)</f>
        <v>271.71</v>
      </c>
      <c r="F391" s="2" t="n">
        <f aca="false">IFERROR(__xludf.dummyfunction("""COMPUTED_VALUE"""),47344059)</f>
        <v>47344059</v>
      </c>
    </row>
    <row r="392" customFormat="false" ht="15.75" hidden="false" customHeight="false" outlineLevel="0" collapsed="false">
      <c r="A392" s="3" t="n">
        <f aca="false">IFERROR(__xludf.dummyfunction("""COMPUTED_VALUE"""),44764.6666666667)</f>
        <v>44764.6666666667</v>
      </c>
      <c r="B392" s="2" t="n">
        <f aca="false">IFERROR(__xludf.dummyfunction("""COMPUTED_VALUE"""),276.22)</f>
        <v>276.22</v>
      </c>
      <c r="C392" s="2" t="n">
        <f aca="false">IFERROR(__xludf.dummyfunction("""COMPUTED_VALUE"""),280.79)</f>
        <v>280.79</v>
      </c>
      <c r="D392" s="2" t="n">
        <f aca="false">IFERROR(__xludf.dummyfunction("""COMPUTED_VALUE"""),270.71)</f>
        <v>270.71</v>
      </c>
      <c r="E392" s="2" t="n">
        <f aca="false">IFERROR(__xludf.dummyfunction("""COMPUTED_VALUE"""),272.24)</f>
        <v>272.24</v>
      </c>
      <c r="F392" s="2" t="n">
        <f aca="false">IFERROR(__xludf.dummyfunction("""COMPUTED_VALUE"""),34490949)</f>
        <v>34490949</v>
      </c>
    </row>
    <row r="393" customFormat="false" ht="15.75" hidden="false" customHeight="false" outlineLevel="0" collapsed="false">
      <c r="A393" s="3" t="n">
        <f aca="false">IFERROR(__xludf.dummyfunction("""COMPUTED_VALUE"""),44767.6666666667)</f>
        <v>44767.6666666667</v>
      </c>
      <c r="B393" s="2" t="n">
        <f aca="false">IFERROR(__xludf.dummyfunction("""COMPUTED_VALUE"""),272.22)</f>
        <v>272.22</v>
      </c>
      <c r="C393" s="2" t="n">
        <f aca="false">IFERROR(__xludf.dummyfunction("""COMPUTED_VALUE"""),274.15)</f>
        <v>274.15</v>
      </c>
      <c r="D393" s="2" t="n">
        <f aca="false">IFERROR(__xludf.dummyfunction("""COMPUTED_VALUE"""),267.4)</f>
        <v>267.4</v>
      </c>
      <c r="E393" s="2" t="n">
        <f aca="false">IFERROR(__xludf.dummyfunction("""COMPUTED_VALUE"""),268.43)</f>
        <v>268.43</v>
      </c>
      <c r="F393" s="2" t="n">
        <f aca="false">IFERROR(__xludf.dummyfunction("""COMPUTED_VALUE"""),21357835)</f>
        <v>21357835</v>
      </c>
    </row>
    <row r="394" customFormat="false" ht="15.75" hidden="false" customHeight="false" outlineLevel="0" collapsed="false">
      <c r="A394" s="3" t="n">
        <f aca="false">IFERROR(__xludf.dummyfunction("""COMPUTED_VALUE"""),44768.6666666667)</f>
        <v>44768.6666666667</v>
      </c>
      <c r="B394" s="2" t="n">
        <f aca="false">IFERROR(__xludf.dummyfunction("""COMPUTED_VALUE"""),266.51)</f>
        <v>266.51</v>
      </c>
      <c r="C394" s="2" t="n">
        <f aca="false">IFERROR(__xludf.dummyfunction("""COMPUTED_VALUE"""),267.31)</f>
        <v>267.31</v>
      </c>
      <c r="D394" s="2" t="n">
        <f aca="false">IFERROR(__xludf.dummyfunction("""COMPUTED_VALUE"""),256.26)</f>
        <v>256.26</v>
      </c>
      <c r="E394" s="2" t="n">
        <f aca="false">IFERROR(__xludf.dummyfunction("""COMPUTED_VALUE"""),258.86)</f>
        <v>258.86</v>
      </c>
      <c r="F394" s="2" t="n">
        <f aca="false">IFERROR(__xludf.dummyfunction("""COMPUTED_VALUE"""),22273586)</f>
        <v>22273586</v>
      </c>
    </row>
    <row r="395" customFormat="false" ht="15.75" hidden="false" customHeight="false" outlineLevel="0" collapsed="false">
      <c r="A395" s="3" t="n">
        <f aca="false">IFERROR(__xludf.dummyfunction("""COMPUTED_VALUE"""),44769.6666666667)</f>
        <v>44769.6666666667</v>
      </c>
      <c r="B395" s="2" t="n">
        <f aca="false">IFERROR(__xludf.dummyfunction("""COMPUTED_VALUE"""),263.81)</f>
        <v>263.81</v>
      </c>
      <c r="C395" s="2" t="n">
        <f aca="false">IFERROR(__xludf.dummyfunction("""COMPUTED_VALUE"""),275.93)</f>
        <v>275.93</v>
      </c>
      <c r="D395" s="2" t="n">
        <f aca="false">IFERROR(__xludf.dummyfunction("""COMPUTED_VALUE"""),261.79)</f>
        <v>261.79</v>
      </c>
      <c r="E395" s="2" t="n">
        <f aca="false">IFERROR(__xludf.dummyfunction("""COMPUTED_VALUE"""),274.82)</f>
        <v>274.82</v>
      </c>
      <c r="F395" s="2" t="n">
        <f aca="false">IFERROR(__xludf.dummyfunction("""COMPUTED_VALUE"""),29369996)</f>
        <v>29369996</v>
      </c>
    </row>
    <row r="396" customFormat="false" ht="15.75" hidden="false" customHeight="false" outlineLevel="0" collapsed="false">
      <c r="A396" s="3" t="n">
        <f aca="false">IFERROR(__xludf.dummyfunction("""COMPUTED_VALUE"""),44770.6666666667)</f>
        <v>44770.6666666667</v>
      </c>
      <c r="B396" s="2" t="n">
        <f aca="false">IFERROR(__xludf.dummyfunction("""COMPUTED_VALUE"""),280.07)</f>
        <v>280.07</v>
      </c>
      <c r="C396" s="2" t="n">
        <f aca="false">IFERROR(__xludf.dummyfunction("""COMPUTED_VALUE"""),283.3)</f>
        <v>283.3</v>
      </c>
      <c r="D396" s="2" t="n">
        <f aca="false">IFERROR(__xludf.dummyfunction("""COMPUTED_VALUE"""),272.8)</f>
        <v>272.8</v>
      </c>
      <c r="E396" s="2" t="n">
        <f aca="false">IFERROR(__xludf.dummyfunction("""COMPUTED_VALUE"""),280.9)</f>
        <v>280.9</v>
      </c>
      <c r="F396" s="2" t="n">
        <f aca="false">IFERROR(__xludf.dummyfunction("""COMPUTED_VALUE"""),28240997)</f>
        <v>28240997</v>
      </c>
    </row>
    <row r="397" customFormat="false" ht="15.75" hidden="false" customHeight="false" outlineLevel="0" collapsed="false">
      <c r="A397" s="3" t="n">
        <f aca="false">IFERROR(__xludf.dummyfunction("""COMPUTED_VALUE"""),44771.6666666667)</f>
        <v>44771.6666666667</v>
      </c>
      <c r="B397" s="2" t="n">
        <f aca="false">IFERROR(__xludf.dummyfunction("""COMPUTED_VALUE"""),280.7)</f>
        <v>280.7</v>
      </c>
      <c r="C397" s="2" t="n">
        <f aca="false">IFERROR(__xludf.dummyfunction("""COMPUTED_VALUE"""),298.32)</f>
        <v>298.32</v>
      </c>
      <c r="D397" s="2" t="n">
        <f aca="false">IFERROR(__xludf.dummyfunction("""COMPUTED_VALUE"""),279.1)</f>
        <v>279.1</v>
      </c>
      <c r="E397" s="2" t="n">
        <f aca="false">IFERROR(__xludf.dummyfunction("""COMPUTED_VALUE"""),297.15)</f>
        <v>297.15</v>
      </c>
      <c r="F397" s="2" t="n">
        <f aca="false">IFERROR(__xludf.dummyfunction("""COMPUTED_VALUE"""),31770961)</f>
        <v>31770961</v>
      </c>
    </row>
    <row r="398" customFormat="false" ht="15.75" hidden="false" customHeight="false" outlineLevel="0" collapsed="false">
      <c r="A398" s="3" t="n">
        <f aca="false">IFERROR(__xludf.dummyfunction("""COMPUTED_VALUE"""),44774.6666666667)</f>
        <v>44774.6666666667</v>
      </c>
      <c r="B398" s="2" t="n">
        <f aca="false">IFERROR(__xludf.dummyfunction("""COMPUTED_VALUE"""),301.27)</f>
        <v>301.27</v>
      </c>
      <c r="C398" s="2" t="n">
        <f aca="false">IFERROR(__xludf.dummyfunction("""COMPUTED_VALUE"""),311.88)</f>
        <v>311.88</v>
      </c>
      <c r="D398" s="2" t="n">
        <f aca="false">IFERROR(__xludf.dummyfunction("""COMPUTED_VALUE"""),295)</f>
        <v>295</v>
      </c>
      <c r="E398" s="2" t="n">
        <f aca="false">IFERROR(__xludf.dummyfunction("""COMPUTED_VALUE"""),297.28)</f>
        <v>297.28</v>
      </c>
      <c r="F398" s="2" t="n">
        <f aca="false">IFERROR(__xludf.dummyfunction("""COMPUTED_VALUE"""),39014296)</f>
        <v>39014296</v>
      </c>
    </row>
    <row r="399" customFormat="false" ht="15.75" hidden="false" customHeight="false" outlineLevel="0" collapsed="false">
      <c r="A399" s="3" t="n">
        <f aca="false">IFERROR(__xludf.dummyfunction("""COMPUTED_VALUE"""),44775.6666666667)</f>
        <v>44775.6666666667</v>
      </c>
      <c r="B399" s="2" t="n">
        <f aca="false">IFERROR(__xludf.dummyfunction("""COMPUTED_VALUE"""),294)</f>
        <v>294</v>
      </c>
      <c r="C399" s="2" t="n">
        <f aca="false">IFERROR(__xludf.dummyfunction("""COMPUTED_VALUE"""),307.83)</f>
        <v>307.83</v>
      </c>
      <c r="D399" s="2" t="n">
        <f aca="false">IFERROR(__xludf.dummyfunction("""COMPUTED_VALUE"""),292.67)</f>
        <v>292.67</v>
      </c>
      <c r="E399" s="2" t="n">
        <f aca="false">IFERROR(__xludf.dummyfunction("""COMPUTED_VALUE"""),300.59)</f>
        <v>300.59</v>
      </c>
      <c r="F399" s="2" t="n">
        <f aca="false">IFERROR(__xludf.dummyfunction("""COMPUTED_VALUE"""),31859156)</f>
        <v>31859156</v>
      </c>
    </row>
    <row r="400" customFormat="false" ht="15.75" hidden="false" customHeight="false" outlineLevel="0" collapsed="false">
      <c r="A400" s="3" t="n">
        <f aca="false">IFERROR(__xludf.dummyfunction("""COMPUTED_VALUE"""),44776.6666666667)</f>
        <v>44776.6666666667</v>
      </c>
      <c r="B400" s="2" t="n">
        <f aca="false">IFERROR(__xludf.dummyfunction("""COMPUTED_VALUE"""),305)</f>
        <v>305</v>
      </c>
      <c r="C400" s="2" t="n">
        <f aca="false">IFERROR(__xludf.dummyfunction("""COMPUTED_VALUE"""),309.55)</f>
        <v>309.55</v>
      </c>
      <c r="D400" s="2" t="n">
        <f aca="false">IFERROR(__xludf.dummyfunction("""COMPUTED_VALUE"""),301.15)</f>
        <v>301.15</v>
      </c>
      <c r="E400" s="2" t="n">
        <f aca="false">IFERROR(__xludf.dummyfunction("""COMPUTED_VALUE"""),307.4)</f>
        <v>307.4</v>
      </c>
      <c r="F400" s="2" t="n">
        <f aca="false">IFERROR(__xludf.dummyfunction("""COMPUTED_VALUE"""),26697035)</f>
        <v>26697035</v>
      </c>
    </row>
    <row r="401" customFormat="false" ht="15.75" hidden="false" customHeight="false" outlineLevel="0" collapsed="false">
      <c r="A401" s="3" t="n">
        <f aca="false">IFERROR(__xludf.dummyfunction("""COMPUTED_VALUE"""),44777.6666666667)</f>
        <v>44777.6666666667</v>
      </c>
      <c r="B401" s="2" t="n">
        <f aca="false">IFERROR(__xludf.dummyfunction("""COMPUTED_VALUE"""),311)</f>
        <v>311</v>
      </c>
      <c r="C401" s="2" t="n">
        <f aca="false">IFERROR(__xludf.dummyfunction("""COMPUTED_VALUE"""),313.61)</f>
        <v>313.61</v>
      </c>
      <c r="D401" s="2" t="n">
        <f aca="false">IFERROR(__xludf.dummyfunction("""COMPUTED_VALUE"""),305)</f>
        <v>305</v>
      </c>
      <c r="E401" s="2" t="n">
        <f aca="false">IFERROR(__xludf.dummyfunction("""COMPUTED_VALUE"""),308.63)</f>
        <v>308.63</v>
      </c>
      <c r="F401" s="2" t="n">
        <f aca="false">IFERROR(__xludf.dummyfunction("""COMPUTED_VALUE"""),24085439)</f>
        <v>24085439</v>
      </c>
    </row>
    <row r="402" customFormat="false" ht="15.75" hidden="false" customHeight="false" outlineLevel="0" collapsed="false">
      <c r="A402" s="3" t="n">
        <f aca="false">IFERROR(__xludf.dummyfunction("""COMPUTED_VALUE"""),44778.6666666667)</f>
        <v>44778.6666666667</v>
      </c>
      <c r="B402" s="2" t="n">
        <f aca="false">IFERROR(__xludf.dummyfunction("""COMPUTED_VALUE"""),302.67)</f>
        <v>302.67</v>
      </c>
      <c r="C402" s="2" t="n">
        <f aca="false">IFERROR(__xludf.dummyfunction("""COMPUTED_VALUE"""),304.61)</f>
        <v>304.61</v>
      </c>
      <c r="D402" s="2" t="n">
        <f aca="false">IFERROR(__xludf.dummyfunction("""COMPUTED_VALUE"""),285.54)</f>
        <v>285.54</v>
      </c>
      <c r="E402" s="2" t="n">
        <f aca="false">IFERROR(__xludf.dummyfunction("""COMPUTED_VALUE"""),288.17)</f>
        <v>288.17</v>
      </c>
      <c r="F402" s="2" t="n">
        <f aca="false">IFERROR(__xludf.dummyfunction("""COMPUTED_VALUE"""),37724299)</f>
        <v>37724299</v>
      </c>
    </row>
    <row r="403" customFormat="false" ht="15.75" hidden="false" customHeight="false" outlineLevel="0" collapsed="false">
      <c r="A403" s="3" t="n">
        <f aca="false">IFERROR(__xludf.dummyfunction("""COMPUTED_VALUE"""),44781.6666666667)</f>
        <v>44781.6666666667</v>
      </c>
      <c r="B403" s="2" t="n">
        <f aca="false">IFERROR(__xludf.dummyfunction("""COMPUTED_VALUE"""),295)</f>
        <v>295</v>
      </c>
      <c r="C403" s="2" t="n">
        <f aca="false">IFERROR(__xludf.dummyfunction("""COMPUTED_VALUE"""),305.2)</f>
        <v>305.2</v>
      </c>
      <c r="D403" s="2" t="n">
        <f aca="false">IFERROR(__xludf.dummyfunction("""COMPUTED_VALUE"""),289.09)</f>
        <v>289.09</v>
      </c>
      <c r="E403" s="2" t="n">
        <f aca="false">IFERROR(__xludf.dummyfunction("""COMPUTED_VALUE"""),290.42)</f>
        <v>290.42</v>
      </c>
      <c r="F403" s="2" t="n">
        <f aca="false">IFERROR(__xludf.dummyfunction("""COMPUTED_VALUE"""),33121758)</f>
        <v>33121758</v>
      </c>
    </row>
    <row r="404" customFormat="false" ht="15.75" hidden="false" customHeight="false" outlineLevel="0" collapsed="false">
      <c r="A404" s="3" t="n">
        <f aca="false">IFERROR(__xludf.dummyfunction("""COMPUTED_VALUE"""),44782.6666666667)</f>
        <v>44782.6666666667</v>
      </c>
      <c r="B404" s="2" t="n">
        <f aca="false">IFERROR(__xludf.dummyfunction("""COMPUTED_VALUE"""),290.29)</f>
        <v>290.29</v>
      </c>
      <c r="C404" s="2" t="n">
        <f aca="false">IFERROR(__xludf.dummyfunction("""COMPUTED_VALUE"""),292.4)</f>
        <v>292.4</v>
      </c>
      <c r="D404" s="2" t="n">
        <f aca="false">IFERROR(__xludf.dummyfunction("""COMPUTED_VALUE"""),279.35)</f>
        <v>279.35</v>
      </c>
      <c r="E404" s="2" t="n">
        <f aca="false">IFERROR(__xludf.dummyfunction("""COMPUTED_VALUE"""),283.33)</f>
        <v>283.33</v>
      </c>
      <c r="F404" s="2" t="n">
        <f aca="false">IFERROR(__xludf.dummyfunction("""COMPUTED_VALUE"""),28748227)</f>
        <v>28748227</v>
      </c>
    </row>
    <row r="405" customFormat="false" ht="15.75" hidden="false" customHeight="false" outlineLevel="0" collapsed="false">
      <c r="A405" s="3" t="n">
        <f aca="false">IFERROR(__xludf.dummyfunction("""COMPUTED_VALUE"""),44783.6666666667)</f>
        <v>44783.6666666667</v>
      </c>
      <c r="B405" s="2" t="n">
        <f aca="false">IFERROR(__xludf.dummyfunction("""COMPUTED_VALUE"""),297.07)</f>
        <v>297.07</v>
      </c>
      <c r="C405" s="2" t="n">
        <f aca="false">IFERROR(__xludf.dummyfunction("""COMPUTED_VALUE"""),297.51)</f>
        <v>297.51</v>
      </c>
      <c r="D405" s="2" t="n">
        <f aca="false">IFERROR(__xludf.dummyfunction("""COMPUTED_VALUE"""),283.37)</f>
        <v>283.37</v>
      </c>
      <c r="E405" s="2" t="n">
        <f aca="false">IFERROR(__xludf.dummyfunction("""COMPUTED_VALUE"""),294.36)</f>
        <v>294.36</v>
      </c>
      <c r="F405" s="2" t="n">
        <f aca="false">IFERROR(__xludf.dummyfunction("""COMPUTED_VALUE"""),31639624)</f>
        <v>31639624</v>
      </c>
    </row>
    <row r="406" customFormat="false" ht="15.75" hidden="false" customHeight="false" outlineLevel="0" collapsed="false">
      <c r="A406" s="3" t="n">
        <f aca="false">IFERROR(__xludf.dummyfunction("""COMPUTED_VALUE"""),44784.6666666667)</f>
        <v>44784.6666666667</v>
      </c>
      <c r="B406" s="2" t="n">
        <f aca="false">IFERROR(__xludf.dummyfunction("""COMPUTED_VALUE"""),296.51)</f>
        <v>296.51</v>
      </c>
      <c r="C406" s="2" t="n">
        <f aca="false">IFERROR(__xludf.dummyfunction("""COMPUTED_VALUE"""),298.24)</f>
        <v>298.24</v>
      </c>
      <c r="D406" s="2" t="n">
        <f aca="false">IFERROR(__xludf.dummyfunction("""COMPUTED_VALUE"""),285.83)</f>
        <v>285.83</v>
      </c>
      <c r="E406" s="2" t="n">
        <f aca="false">IFERROR(__xludf.dummyfunction("""COMPUTED_VALUE"""),286.63)</f>
        <v>286.63</v>
      </c>
      <c r="F406" s="2" t="n">
        <f aca="false">IFERROR(__xludf.dummyfunction("""COMPUTED_VALUE"""),23385015)</f>
        <v>23385015</v>
      </c>
    </row>
    <row r="407" customFormat="false" ht="15.75" hidden="false" customHeight="false" outlineLevel="0" collapsed="false">
      <c r="A407" s="3" t="n">
        <f aca="false">IFERROR(__xludf.dummyfunction("""COMPUTED_VALUE"""),44785.6666666667)</f>
        <v>44785.6666666667</v>
      </c>
      <c r="B407" s="2" t="n">
        <f aca="false">IFERROR(__xludf.dummyfunction("""COMPUTED_VALUE"""),289.42)</f>
        <v>289.42</v>
      </c>
      <c r="C407" s="2" t="n">
        <f aca="false">IFERROR(__xludf.dummyfunction("""COMPUTED_VALUE"""),300.16)</f>
        <v>300.16</v>
      </c>
      <c r="D407" s="2" t="n">
        <f aca="false">IFERROR(__xludf.dummyfunction("""COMPUTED_VALUE"""),285.03)</f>
        <v>285.03</v>
      </c>
      <c r="E407" s="2" t="n">
        <f aca="false">IFERROR(__xludf.dummyfunction("""COMPUTED_VALUE"""),300.03)</f>
        <v>300.03</v>
      </c>
      <c r="F407" s="2" t="n">
        <f aca="false">IFERROR(__xludf.dummyfunction("""COMPUTED_VALUE"""),26552429)</f>
        <v>26552429</v>
      </c>
    </row>
    <row r="408" customFormat="false" ht="15.75" hidden="false" customHeight="false" outlineLevel="0" collapsed="false">
      <c r="A408" s="3" t="n">
        <f aca="false">IFERROR(__xludf.dummyfunction("""COMPUTED_VALUE"""),44788.6666666667)</f>
        <v>44788.6666666667</v>
      </c>
      <c r="B408" s="2" t="n">
        <f aca="false">IFERROR(__xludf.dummyfunction("""COMPUTED_VALUE"""),301.79)</f>
        <v>301.79</v>
      </c>
      <c r="C408" s="2" t="n">
        <f aca="false">IFERROR(__xludf.dummyfunction("""COMPUTED_VALUE"""),313.13)</f>
        <v>313.13</v>
      </c>
      <c r="D408" s="2" t="n">
        <f aca="false">IFERROR(__xludf.dummyfunction("""COMPUTED_VALUE"""),301.23)</f>
        <v>301.23</v>
      </c>
      <c r="E408" s="2" t="n">
        <f aca="false">IFERROR(__xludf.dummyfunction("""COMPUTED_VALUE"""),309.32)</f>
        <v>309.32</v>
      </c>
      <c r="F408" s="2" t="n">
        <f aca="false">IFERROR(__xludf.dummyfunction("""COMPUTED_VALUE"""),29786389)</f>
        <v>29786389</v>
      </c>
    </row>
    <row r="409" customFormat="false" ht="15.75" hidden="false" customHeight="false" outlineLevel="0" collapsed="false">
      <c r="A409" s="3" t="n">
        <f aca="false">IFERROR(__xludf.dummyfunction("""COMPUTED_VALUE"""),44789.6666666667)</f>
        <v>44789.6666666667</v>
      </c>
      <c r="B409" s="2" t="n">
        <f aca="false">IFERROR(__xludf.dummyfunction("""COMPUTED_VALUE"""),311.67)</f>
        <v>311.67</v>
      </c>
      <c r="C409" s="2" t="n">
        <f aca="false">IFERROR(__xludf.dummyfunction("""COMPUTED_VALUE"""),314.67)</f>
        <v>314.67</v>
      </c>
      <c r="D409" s="2" t="n">
        <f aca="false">IFERROR(__xludf.dummyfunction("""COMPUTED_VALUE"""),302.88)</f>
        <v>302.88</v>
      </c>
      <c r="E409" s="2" t="n">
        <f aca="false">IFERROR(__xludf.dummyfunction("""COMPUTED_VALUE"""),306.56)</f>
        <v>306.56</v>
      </c>
      <c r="F409" s="2" t="n">
        <f aca="false">IFERROR(__xludf.dummyfunction("""COMPUTED_VALUE"""),29378774)</f>
        <v>29378774</v>
      </c>
    </row>
    <row r="410" customFormat="false" ht="15.75" hidden="false" customHeight="false" outlineLevel="0" collapsed="false">
      <c r="A410" s="3" t="n">
        <f aca="false">IFERROR(__xludf.dummyfunction("""COMPUTED_VALUE"""),44790.6666666667)</f>
        <v>44790.6666666667</v>
      </c>
      <c r="B410" s="2" t="n">
        <f aca="false">IFERROR(__xludf.dummyfunction("""COMPUTED_VALUE"""),303.4)</f>
        <v>303.4</v>
      </c>
      <c r="C410" s="2" t="n">
        <f aca="false">IFERROR(__xludf.dummyfunction("""COMPUTED_VALUE"""),309.66)</f>
        <v>309.66</v>
      </c>
      <c r="D410" s="2" t="n">
        <f aca="false">IFERROR(__xludf.dummyfunction("""COMPUTED_VALUE"""),300.03)</f>
        <v>300.03</v>
      </c>
      <c r="E410" s="2" t="n">
        <f aca="false">IFERROR(__xludf.dummyfunction("""COMPUTED_VALUE"""),304)</f>
        <v>304</v>
      </c>
      <c r="F410" s="2" t="n">
        <f aca="false">IFERROR(__xludf.dummyfunction("""COMPUTED_VALUE"""),22921990)</f>
        <v>22921990</v>
      </c>
    </row>
    <row r="411" customFormat="false" ht="15.75" hidden="false" customHeight="false" outlineLevel="0" collapsed="false">
      <c r="A411" s="3" t="n">
        <f aca="false">IFERROR(__xludf.dummyfunction("""COMPUTED_VALUE"""),44791.6666666667)</f>
        <v>44791.6666666667</v>
      </c>
      <c r="B411" s="2" t="n">
        <f aca="false">IFERROR(__xludf.dummyfunction("""COMPUTED_VALUE"""),306)</f>
        <v>306</v>
      </c>
      <c r="C411" s="2" t="n">
        <f aca="false">IFERROR(__xludf.dummyfunction("""COMPUTED_VALUE"""),306.5)</f>
        <v>306.5</v>
      </c>
      <c r="D411" s="2" t="n">
        <f aca="false">IFERROR(__xludf.dummyfunction("""COMPUTED_VALUE"""),301.85)</f>
        <v>301.85</v>
      </c>
      <c r="E411" s="2" t="n">
        <f aca="false">IFERROR(__xludf.dummyfunction("""COMPUTED_VALUE"""),302.87)</f>
        <v>302.87</v>
      </c>
      <c r="F411" s="2" t="n">
        <f aca="false">IFERROR(__xludf.dummyfunction("""COMPUTED_VALUE"""),15833512)</f>
        <v>15833512</v>
      </c>
    </row>
    <row r="412" customFormat="false" ht="15.75" hidden="false" customHeight="false" outlineLevel="0" collapsed="false">
      <c r="A412" s="3" t="n">
        <f aca="false">IFERROR(__xludf.dummyfunction("""COMPUTED_VALUE"""),44792.6666666667)</f>
        <v>44792.6666666667</v>
      </c>
      <c r="B412" s="2" t="n">
        <f aca="false">IFERROR(__xludf.dummyfunction("""COMPUTED_VALUE"""),299)</f>
        <v>299</v>
      </c>
      <c r="C412" s="2" t="n">
        <f aca="false">IFERROR(__xludf.dummyfunction("""COMPUTED_VALUE"""),300.36)</f>
        <v>300.36</v>
      </c>
      <c r="D412" s="2" t="n">
        <f aca="false">IFERROR(__xludf.dummyfunction("""COMPUTED_VALUE"""),292.5)</f>
        <v>292.5</v>
      </c>
      <c r="E412" s="2" t="n">
        <f aca="false">IFERROR(__xludf.dummyfunction("""COMPUTED_VALUE"""),296.67)</f>
        <v>296.67</v>
      </c>
      <c r="F412" s="2" t="n">
        <f aca="false">IFERROR(__xludf.dummyfunction("""COMPUTED_VALUE"""),20465129)</f>
        <v>20465129</v>
      </c>
    </row>
    <row r="413" customFormat="false" ht="15.75" hidden="false" customHeight="false" outlineLevel="0" collapsed="false">
      <c r="A413" s="3" t="n">
        <f aca="false">IFERROR(__xludf.dummyfunction("""COMPUTED_VALUE"""),44795.6666666667)</f>
        <v>44795.6666666667</v>
      </c>
      <c r="B413" s="2" t="n">
        <f aca="false">IFERROR(__xludf.dummyfunction("""COMPUTED_VALUE"""),291.91)</f>
        <v>291.91</v>
      </c>
      <c r="C413" s="2" t="n">
        <f aca="false">IFERROR(__xludf.dummyfunction("""COMPUTED_VALUE"""),292.4)</f>
        <v>292.4</v>
      </c>
      <c r="D413" s="2" t="n">
        <f aca="false">IFERROR(__xludf.dummyfunction("""COMPUTED_VALUE"""),286.3)</f>
        <v>286.3</v>
      </c>
      <c r="E413" s="2" t="n">
        <f aca="false">IFERROR(__xludf.dummyfunction("""COMPUTED_VALUE"""),289.91)</f>
        <v>289.91</v>
      </c>
      <c r="F413" s="2" t="n">
        <f aca="false">IFERROR(__xludf.dummyfunction("""COMPUTED_VALUE"""),18614449)</f>
        <v>18614449</v>
      </c>
    </row>
    <row r="414" customFormat="false" ht="15.75" hidden="false" customHeight="false" outlineLevel="0" collapsed="false">
      <c r="A414" s="3" t="n">
        <f aca="false">IFERROR(__xludf.dummyfunction("""COMPUTED_VALUE"""),44796.6666666667)</f>
        <v>44796.6666666667</v>
      </c>
      <c r="B414" s="2" t="n">
        <f aca="false">IFERROR(__xludf.dummyfunction("""COMPUTED_VALUE"""),291.45)</f>
        <v>291.45</v>
      </c>
      <c r="C414" s="2" t="n">
        <f aca="false">IFERROR(__xludf.dummyfunction("""COMPUTED_VALUE"""),298.83)</f>
        <v>298.83</v>
      </c>
      <c r="D414" s="2" t="n">
        <f aca="false">IFERROR(__xludf.dummyfunction("""COMPUTED_VALUE"""),287.92)</f>
        <v>287.92</v>
      </c>
      <c r="E414" s="2" t="n">
        <f aca="false">IFERROR(__xludf.dummyfunction("""COMPUTED_VALUE"""),296.45)</f>
        <v>296.45</v>
      </c>
      <c r="F414" s="2" t="n">
        <f aca="false">IFERROR(__xludf.dummyfunction("""COMPUTED_VALUE"""),21328348)</f>
        <v>21328348</v>
      </c>
    </row>
    <row r="415" customFormat="false" ht="15.75" hidden="false" customHeight="false" outlineLevel="0" collapsed="false">
      <c r="A415" s="3" t="n">
        <f aca="false">IFERROR(__xludf.dummyfunction("""COMPUTED_VALUE"""),44797.6666666667)</f>
        <v>44797.6666666667</v>
      </c>
      <c r="B415" s="2" t="n">
        <f aca="false">IFERROR(__xludf.dummyfunction("""COMPUTED_VALUE"""),297.56)</f>
        <v>297.56</v>
      </c>
      <c r="C415" s="2" t="n">
        <f aca="false">IFERROR(__xludf.dummyfunction("""COMPUTED_VALUE"""),303.65)</f>
        <v>303.65</v>
      </c>
      <c r="D415" s="2" t="n">
        <f aca="false">IFERROR(__xludf.dummyfunction("""COMPUTED_VALUE"""),296.5)</f>
        <v>296.5</v>
      </c>
      <c r="E415" s="2" t="n">
        <f aca="false">IFERROR(__xludf.dummyfunction("""COMPUTED_VALUE"""),297.1)</f>
        <v>297.1</v>
      </c>
      <c r="F415" s="2" t="n">
        <f aca="false">IFERROR(__xludf.dummyfunction("""COMPUTED_VALUE"""),19086572)</f>
        <v>19086572</v>
      </c>
    </row>
    <row r="416" customFormat="false" ht="15.75" hidden="false" customHeight="false" outlineLevel="0" collapsed="false">
      <c r="A416" s="3" t="n">
        <f aca="false">IFERROR(__xludf.dummyfunction("""COMPUTED_VALUE"""),44798.6666666667)</f>
        <v>44798.6666666667</v>
      </c>
      <c r="B416" s="2" t="n">
        <f aca="false">IFERROR(__xludf.dummyfunction("""COMPUTED_VALUE"""),302.36)</f>
        <v>302.36</v>
      </c>
      <c r="C416" s="2" t="n">
        <f aca="false">IFERROR(__xludf.dummyfunction("""COMPUTED_VALUE"""),302.96)</f>
        <v>302.96</v>
      </c>
      <c r="D416" s="2" t="n">
        <f aca="false">IFERROR(__xludf.dummyfunction("""COMPUTED_VALUE"""),291.6)</f>
        <v>291.6</v>
      </c>
      <c r="E416" s="2" t="n">
        <f aca="false">IFERROR(__xludf.dummyfunction("""COMPUTED_VALUE"""),296.07)</f>
        <v>296.07</v>
      </c>
      <c r="F416" s="2" t="n">
        <f aca="false">IFERROR(__xludf.dummyfunction("""COMPUTED_VALUE"""),53230013)</f>
        <v>53230013</v>
      </c>
    </row>
    <row r="417" customFormat="false" ht="15.75" hidden="false" customHeight="false" outlineLevel="0" collapsed="false">
      <c r="A417" s="3" t="n">
        <f aca="false">IFERROR(__xludf.dummyfunction("""COMPUTED_VALUE"""),44799.6666666667)</f>
        <v>44799.6666666667</v>
      </c>
      <c r="B417" s="2" t="n">
        <f aca="false">IFERROR(__xludf.dummyfunction("""COMPUTED_VALUE"""),297.43)</f>
        <v>297.43</v>
      </c>
      <c r="C417" s="2" t="n">
        <f aca="false">IFERROR(__xludf.dummyfunction("""COMPUTED_VALUE"""),302)</f>
        <v>302</v>
      </c>
      <c r="D417" s="2" t="n">
        <f aca="false">IFERROR(__xludf.dummyfunction("""COMPUTED_VALUE"""),287.47)</f>
        <v>287.47</v>
      </c>
      <c r="E417" s="2" t="n">
        <f aca="false">IFERROR(__xludf.dummyfunction("""COMPUTED_VALUE"""),288.09)</f>
        <v>288.09</v>
      </c>
      <c r="F417" s="2" t="n">
        <f aca="false">IFERROR(__xludf.dummyfunction("""COMPUTED_VALUE"""),57163947)</f>
        <v>57163947</v>
      </c>
    </row>
    <row r="418" customFormat="false" ht="15.75" hidden="false" customHeight="false" outlineLevel="0" collapsed="false">
      <c r="A418" s="3" t="n">
        <f aca="false">IFERROR(__xludf.dummyfunction("""COMPUTED_VALUE"""),44802.6666666667)</f>
        <v>44802.6666666667</v>
      </c>
      <c r="B418" s="2" t="n">
        <f aca="false">IFERROR(__xludf.dummyfunction("""COMPUTED_VALUE"""),282.83)</f>
        <v>282.83</v>
      </c>
      <c r="C418" s="2" t="n">
        <f aca="false">IFERROR(__xludf.dummyfunction("""COMPUTED_VALUE"""),287.74)</f>
        <v>287.74</v>
      </c>
      <c r="D418" s="2" t="n">
        <f aca="false">IFERROR(__xludf.dummyfunction("""COMPUTED_VALUE"""),280.7)</f>
        <v>280.7</v>
      </c>
      <c r="E418" s="2" t="n">
        <f aca="false">IFERROR(__xludf.dummyfunction("""COMPUTED_VALUE"""),284.82)</f>
        <v>284.82</v>
      </c>
      <c r="F418" s="2" t="n">
        <f aca="false">IFERROR(__xludf.dummyfunction("""COMPUTED_VALUE"""),41864742)</f>
        <v>41864742</v>
      </c>
    </row>
    <row r="419" customFormat="false" ht="15.75" hidden="false" customHeight="false" outlineLevel="0" collapsed="false">
      <c r="A419" s="3" t="n">
        <f aca="false">IFERROR(__xludf.dummyfunction("""COMPUTED_VALUE"""),44803.6666666667)</f>
        <v>44803.6666666667</v>
      </c>
      <c r="B419" s="2" t="n">
        <f aca="false">IFERROR(__xludf.dummyfunction("""COMPUTED_VALUE"""),287.87)</f>
        <v>287.87</v>
      </c>
      <c r="C419" s="2" t="n">
        <f aca="false">IFERROR(__xludf.dummyfunction("""COMPUTED_VALUE"""),288.48)</f>
        <v>288.48</v>
      </c>
      <c r="D419" s="2" t="n">
        <f aca="false">IFERROR(__xludf.dummyfunction("""COMPUTED_VALUE"""),272.65)</f>
        <v>272.65</v>
      </c>
      <c r="E419" s="2" t="n">
        <f aca="false">IFERROR(__xludf.dummyfunction("""COMPUTED_VALUE"""),277.7)</f>
        <v>277.7</v>
      </c>
      <c r="F419" s="2" t="n">
        <f aca="false">IFERROR(__xludf.dummyfunction("""COMPUTED_VALUE"""),50541759)</f>
        <v>50541759</v>
      </c>
    </row>
    <row r="420" customFormat="false" ht="15.75" hidden="false" customHeight="false" outlineLevel="0" collapsed="false">
      <c r="A420" s="3" t="n">
        <f aca="false">IFERROR(__xludf.dummyfunction("""COMPUTED_VALUE"""),44804.6666666667)</f>
        <v>44804.6666666667</v>
      </c>
      <c r="B420" s="2" t="n">
        <f aca="false">IFERROR(__xludf.dummyfunction("""COMPUTED_VALUE"""),280.62)</f>
        <v>280.62</v>
      </c>
      <c r="C420" s="2" t="n">
        <f aca="false">IFERROR(__xludf.dummyfunction("""COMPUTED_VALUE"""),281.25)</f>
        <v>281.25</v>
      </c>
      <c r="D420" s="2" t="n">
        <f aca="false">IFERROR(__xludf.dummyfunction("""COMPUTED_VALUE"""),271.81)</f>
        <v>271.81</v>
      </c>
      <c r="E420" s="2" t="n">
        <f aca="false">IFERROR(__xludf.dummyfunction("""COMPUTED_VALUE"""),275.61)</f>
        <v>275.61</v>
      </c>
      <c r="F420" s="2" t="n">
        <f aca="false">IFERROR(__xludf.dummyfunction("""COMPUTED_VALUE"""),52107337)</f>
        <v>52107337</v>
      </c>
    </row>
    <row r="421" customFormat="false" ht="15.75" hidden="false" customHeight="false" outlineLevel="0" collapsed="false">
      <c r="A421" s="3" t="n">
        <f aca="false">IFERROR(__xludf.dummyfunction("""COMPUTED_VALUE"""),44805.6666666667)</f>
        <v>44805.6666666667</v>
      </c>
      <c r="B421" s="2" t="n">
        <f aca="false">IFERROR(__xludf.dummyfunction("""COMPUTED_VALUE"""),272.58)</f>
        <v>272.58</v>
      </c>
      <c r="C421" s="2" t="n">
        <f aca="false">IFERROR(__xludf.dummyfunction("""COMPUTED_VALUE"""),277.58)</f>
        <v>277.58</v>
      </c>
      <c r="D421" s="2" t="n">
        <f aca="false">IFERROR(__xludf.dummyfunction("""COMPUTED_VALUE"""),266.15)</f>
        <v>266.15</v>
      </c>
      <c r="E421" s="2" t="n">
        <f aca="false">IFERROR(__xludf.dummyfunction("""COMPUTED_VALUE"""),277.16)</f>
        <v>277.16</v>
      </c>
      <c r="F421" s="2" t="n">
        <f aca="false">IFERROR(__xludf.dummyfunction("""COMPUTED_VALUE"""),54287024)</f>
        <v>54287024</v>
      </c>
    </row>
    <row r="422" customFormat="false" ht="15.75" hidden="false" customHeight="false" outlineLevel="0" collapsed="false">
      <c r="A422" s="3" t="n">
        <f aca="false">IFERROR(__xludf.dummyfunction("""COMPUTED_VALUE"""),44806.6666666667)</f>
        <v>44806.6666666667</v>
      </c>
      <c r="B422" s="2" t="n">
        <f aca="false">IFERROR(__xludf.dummyfunction("""COMPUTED_VALUE"""),281.07)</f>
        <v>281.07</v>
      </c>
      <c r="C422" s="2" t="n">
        <f aca="false">IFERROR(__xludf.dummyfunction("""COMPUTED_VALUE"""),282.35)</f>
        <v>282.35</v>
      </c>
      <c r="D422" s="2" t="n">
        <f aca="false">IFERROR(__xludf.dummyfunction("""COMPUTED_VALUE"""),269.08)</f>
        <v>269.08</v>
      </c>
      <c r="E422" s="2" t="n">
        <f aca="false">IFERROR(__xludf.dummyfunction("""COMPUTED_VALUE"""),270.21)</f>
        <v>270.21</v>
      </c>
      <c r="F422" s="2" t="n">
        <f aca="false">IFERROR(__xludf.dummyfunction("""COMPUTED_VALUE"""),50890090)</f>
        <v>50890090</v>
      </c>
    </row>
    <row r="423" customFormat="false" ht="15.75" hidden="false" customHeight="false" outlineLevel="0" collapsed="false">
      <c r="A423" s="3" t="n">
        <f aca="false">IFERROR(__xludf.dummyfunction("""COMPUTED_VALUE"""),44810.6666666667)</f>
        <v>44810.6666666667</v>
      </c>
      <c r="B423" s="2" t="n">
        <f aca="false">IFERROR(__xludf.dummyfunction("""COMPUTED_VALUE"""),272.68)</f>
        <v>272.68</v>
      </c>
      <c r="C423" s="2" t="n">
        <f aca="false">IFERROR(__xludf.dummyfunction("""COMPUTED_VALUE"""),275.99)</f>
        <v>275.99</v>
      </c>
      <c r="D423" s="2" t="n">
        <f aca="false">IFERROR(__xludf.dummyfunction("""COMPUTED_VALUE"""),265.74)</f>
        <v>265.74</v>
      </c>
      <c r="E423" s="2" t="n">
        <f aca="false">IFERROR(__xludf.dummyfunction("""COMPUTED_VALUE"""),274.42)</f>
        <v>274.42</v>
      </c>
      <c r="F423" s="2" t="n">
        <f aca="false">IFERROR(__xludf.dummyfunction("""COMPUTED_VALUE"""),55859984)</f>
        <v>55859984</v>
      </c>
    </row>
    <row r="424" customFormat="false" ht="15.75" hidden="false" customHeight="false" outlineLevel="0" collapsed="false">
      <c r="A424" s="3" t="n">
        <f aca="false">IFERROR(__xludf.dummyfunction("""COMPUTED_VALUE"""),44811.6666666667)</f>
        <v>44811.6666666667</v>
      </c>
      <c r="B424" s="2" t="n">
        <f aca="false">IFERROR(__xludf.dummyfunction("""COMPUTED_VALUE"""),273.1)</f>
        <v>273.1</v>
      </c>
      <c r="C424" s="2" t="n">
        <f aca="false">IFERROR(__xludf.dummyfunction("""COMPUTED_VALUE"""),283.84)</f>
        <v>283.84</v>
      </c>
      <c r="D424" s="2" t="n">
        <f aca="false">IFERROR(__xludf.dummyfunction("""COMPUTED_VALUE"""),272.27)</f>
        <v>272.27</v>
      </c>
      <c r="E424" s="2" t="n">
        <f aca="false">IFERROR(__xludf.dummyfunction("""COMPUTED_VALUE"""),283.7)</f>
        <v>283.7</v>
      </c>
      <c r="F424" s="2" t="n">
        <f aca="false">IFERROR(__xludf.dummyfunction("""COMPUTED_VALUE"""),50028916)</f>
        <v>50028916</v>
      </c>
    </row>
    <row r="425" customFormat="false" ht="15.75" hidden="false" customHeight="false" outlineLevel="0" collapsed="false">
      <c r="A425" s="3" t="n">
        <f aca="false">IFERROR(__xludf.dummyfunction("""COMPUTED_VALUE"""),44812.6666666667)</f>
        <v>44812.6666666667</v>
      </c>
      <c r="B425" s="2" t="n">
        <f aca="false">IFERROR(__xludf.dummyfunction("""COMPUTED_VALUE"""),281.3)</f>
        <v>281.3</v>
      </c>
      <c r="C425" s="2" t="n">
        <f aca="false">IFERROR(__xludf.dummyfunction("""COMPUTED_VALUE"""),289.5)</f>
        <v>289.5</v>
      </c>
      <c r="D425" s="2" t="n">
        <f aca="false">IFERROR(__xludf.dummyfunction("""COMPUTED_VALUE"""),279.76)</f>
        <v>279.76</v>
      </c>
      <c r="E425" s="2" t="n">
        <f aca="false">IFERROR(__xludf.dummyfunction("""COMPUTED_VALUE"""),289.26)</f>
        <v>289.26</v>
      </c>
      <c r="F425" s="2" t="n">
        <f aca="false">IFERROR(__xludf.dummyfunction("""COMPUTED_VALUE"""),53713124)</f>
        <v>53713124</v>
      </c>
    </row>
    <row r="426" customFormat="false" ht="15.75" hidden="false" customHeight="false" outlineLevel="0" collapsed="false">
      <c r="A426" s="3" t="n">
        <f aca="false">IFERROR(__xludf.dummyfunction("""COMPUTED_VALUE"""),44813.6666666667)</f>
        <v>44813.6666666667</v>
      </c>
      <c r="B426" s="2" t="n">
        <f aca="false">IFERROR(__xludf.dummyfunction("""COMPUTED_VALUE"""),291.67)</f>
        <v>291.67</v>
      </c>
      <c r="C426" s="2" t="n">
        <f aca="false">IFERROR(__xludf.dummyfunction("""COMPUTED_VALUE"""),299.85)</f>
        <v>299.85</v>
      </c>
      <c r="D426" s="2" t="n">
        <f aca="false">IFERROR(__xludf.dummyfunction("""COMPUTED_VALUE"""),291.25)</f>
        <v>291.25</v>
      </c>
      <c r="E426" s="2" t="n">
        <f aca="false">IFERROR(__xludf.dummyfunction("""COMPUTED_VALUE"""),299.68)</f>
        <v>299.68</v>
      </c>
      <c r="F426" s="2" t="n">
        <f aca="false">IFERROR(__xludf.dummyfunction("""COMPUTED_VALUE"""),54470854)</f>
        <v>54470854</v>
      </c>
    </row>
    <row r="427" customFormat="false" ht="15.75" hidden="false" customHeight="false" outlineLevel="0" collapsed="false">
      <c r="A427" s="3" t="n">
        <f aca="false">IFERROR(__xludf.dummyfunction("""COMPUTED_VALUE"""),44816.6666666667)</f>
        <v>44816.6666666667</v>
      </c>
      <c r="B427" s="2" t="n">
        <f aca="false">IFERROR(__xludf.dummyfunction("""COMPUTED_VALUE"""),300.72)</f>
        <v>300.72</v>
      </c>
      <c r="C427" s="2" t="n">
        <f aca="false">IFERROR(__xludf.dummyfunction("""COMPUTED_VALUE"""),305.49)</f>
        <v>305.49</v>
      </c>
      <c r="D427" s="2" t="n">
        <f aca="false">IFERROR(__xludf.dummyfunction("""COMPUTED_VALUE"""),300.4)</f>
        <v>300.4</v>
      </c>
      <c r="E427" s="2" t="n">
        <f aca="false">IFERROR(__xludf.dummyfunction("""COMPUTED_VALUE"""),304.42)</f>
        <v>304.42</v>
      </c>
      <c r="F427" s="2" t="n">
        <f aca="false">IFERROR(__xludf.dummyfunction("""COMPUTED_VALUE"""),48674604)</f>
        <v>48674604</v>
      </c>
    </row>
    <row r="428" customFormat="false" ht="15.75" hidden="false" customHeight="false" outlineLevel="0" collapsed="false">
      <c r="A428" s="3" t="n">
        <f aca="false">IFERROR(__xludf.dummyfunction("""COMPUTED_VALUE"""),44817.6666666667)</f>
        <v>44817.6666666667</v>
      </c>
      <c r="B428" s="2" t="n">
        <f aca="false">IFERROR(__xludf.dummyfunction("""COMPUTED_VALUE"""),292.9)</f>
        <v>292.9</v>
      </c>
      <c r="C428" s="2" t="n">
        <f aca="false">IFERROR(__xludf.dummyfunction("""COMPUTED_VALUE"""),297.4)</f>
        <v>297.4</v>
      </c>
      <c r="D428" s="2" t="n">
        <f aca="false">IFERROR(__xludf.dummyfunction("""COMPUTED_VALUE"""),290.4)</f>
        <v>290.4</v>
      </c>
      <c r="E428" s="2" t="n">
        <f aca="false">IFERROR(__xludf.dummyfunction("""COMPUTED_VALUE"""),292.13)</f>
        <v>292.13</v>
      </c>
      <c r="F428" s="2" t="n">
        <f aca="false">IFERROR(__xludf.dummyfunction("""COMPUTED_VALUE"""),68229619)</f>
        <v>68229619</v>
      </c>
    </row>
    <row r="429" customFormat="false" ht="15.75" hidden="false" customHeight="false" outlineLevel="0" collapsed="false">
      <c r="A429" s="3" t="n">
        <f aca="false">IFERROR(__xludf.dummyfunction("""COMPUTED_VALUE"""),44818.6666666667)</f>
        <v>44818.6666666667</v>
      </c>
      <c r="B429" s="2" t="n">
        <f aca="false">IFERROR(__xludf.dummyfunction("""COMPUTED_VALUE"""),292.24)</f>
        <v>292.24</v>
      </c>
      <c r="C429" s="2" t="n">
        <f aca="false">IFERROR(__xludf.dummyfunction("""COMPUTED_VALUE"""),306)</f>
        <v>306</v>
      </c>
      <c r="D429" s="2" t="n">
        <f aca="false">IFERROR(__xludf.dummyfunction("""COMPUTED_VALUE"""),291.64)</f>
        <v>291.64</v>
      </c>
      <c r="E429" s="2" t="n">
        <f aca="false">IFERROR(__xludf.dummyfunction("""COMPUTED_VALUE"""),302.61)</f>
        <v>302.61</v>
      </c>
      <c r="F429" s="2" t="n">
        <f aca="false">IFERROR(__xludf.dummyfunction("""COMPUTED_VALUE"""),72628653)</f>
        <v>72628653</v>
      </c>
    </row>
    <row r="430" customFormat="false" ht="15.75" hidden="false" customHeight="false" outlineLevel="0" collapsed="false">
      <c r="A430" s="3" t="n">
        <f aca="false">IFERROR(__xludf.dummyfunction("""COMPUTED_VALUE"""),44819.6666666667)</f>
        <v>44819.6666666667</v>
      </c>
      <c r="B430" s="2" t="n">
        <f aca="false">IFERROR(__xludf.dummyfunction("""COMPUTED_VALUE"""),301.83)</f>
        <v>301.83</v>
      </c>
      <c r="C430" s="2" t="n">
        <f aca="false">IFERROR(__xludf.dummyfunction("""COMPUTED_VALUE"""),309.12)</f>
        <v>309.12</v>
      </c>
      <c r="D430" s="2" t="n">
        <f aca="false">IFERROR(__xludf.dummyfunction("""COMPUTED_VALUE"""),300.72)</f>
        <v>300.72</v>
      </c>
      <c r="E430" s="2" t="n">
        <f aca="false">IFERROR(__xludf.dummyfunction("""COMPUTED_VALUE"""),303.75)</f>
        <v>303.75</v>
      </c>
      <c r="F430" s="2" t="n">
        <f aca="false">IFERROR(__xludf.dummyfunction("""COMPUTED_VALUE"""),64795523)</f>
        <v>64795523</v>
      </c>
    </row>
    <row r="431" customFormat="false" ht="15.75" hidden="false" customHeight="false" outlineLevel="0" collapsed="false">
      <c r="A431" s="3" t="n">
        <f aca="false">IFERROR(__xludf.dummyfunction("""COMPUTED_VALUE"""),44820.6666666667)</f>
        <v>44820.6666666667</v>
      </c>
      <c r="B431" s="2" t="n">
        <f aca="false">IFERROR(__xludf.dummyfunction("""COMPUTED_VALUE"""),299.61)</f>
        <v>299.61</v>
      </c>
      <c r="C431" s="2" t="n">
        <f aca="false">IFERROR(__xludf.dummyfunction("""COMPUTED_VALUE"""),303.71)</f>
        <v>303.71</v>
      </c>
      <c r="D431" s="2" t="n">
        <f aca="false">IFERROR(__xludf.dummyfunction("""COMPUTED_VALUE"""),295.6)</f>
        <v>295.6</v>
      </c>
      <c r="E431" s="2" t="n">
        <f aca="false">IFERROR(__xludf.dummyfunction("""COMPUTED_VALUE"""),303.35)</f>
        <v>303.35</v>
      </c>
      <c r="F431" s="2" t="n">
        <f aca="false">IFERROR(__xludf.dummyfunction("""COMPUTED_VALUE"""),87087786)</f>
        <v>87087786</v>
      </c>
    </row>
    <row r="432" customFormat="false" ht="15.75" hidden="false" customHeight="false" outlineLevel="0" collapsed="false">
      <c r="A432" s="3" t="n">
        <f aca="false">IFERROR(__xludf.dummyfunction("""COMPUTED_VALUE"""),44823.6666666667)</f>
        <v>44823.6666666667</v>
      </c>
      <c r="B432" s="2" t="n">
        <f aca="false">IFERROR(__xludf.dummyfunction("""COMPUTED_VALUE"""),300.09)</f>
        <v>300.09</v>
      </c>
      <c r="C432" s="2" t="n">
        <f aca="false">IFERROR(__xludf.dummyfunction("""COMPUTED_VALUE"""),309.84)</f>
        <v>309.84</v>
      </c>
      <c r="D432" s="2" t="n">
        <f aca="false">IFERROR(__xludf.dummyfunction("""COMPUTED_VALUE"""),297.8)</f>
        <v>297.8</v>
      </c>
      <c r="E432" s="2" t="n">
        <f aca="false">IFERROR(__xludf.dummyfunction("""COMPUTED_VALUE"""),309.07)</f>
        <v>309.07</v>
      </c>
      <c r="F432" s="2" t="n">
        <f aca="false">IFERROR(__xludf.dummyfunction("""COMPUTED_VALUE"""),60231156)</f>
        <v>60231156</v>
      </c>
    </row>
    <row r="433" customFormat="false" ht="15.75" hidden="false" customHeight="false" outlineLevel="0" collapsed="false">
      <c r="A433" s="3" t="n">
        <f aca="false">IFERROR(__xludf.dummyfunction("""COMPUTED_VALUE"""),44824.6666666667)</f>
        <v>44824.6666666667</v>
      </c>
      <c r="B433" s="2" t="n">
        <f aca="false">IFERROR(__xludf.dummyfunction("""COMPUTED_VALUE"""),306.91)</f>
        <v>306.91</v>
      </c>
      <c r="C433" s="2" t="n">
        <f aca="false">IFERROR(__xludf.dummyfunction("""COMPUTED_VALUE"""),313.33)</f>
        <v>313.33</v>
      </c>
      <c r="D433" s="2" t="n">
        <f aca="false">IFERROR(__xludf.dummyfunction("""COMPUTED_VALUE"""),305.58)</f>
        <v>305.58</v>
      </c>
      <c r="E433" s="2" t="n">
        <f aca="false">IFERROR(__xludf.dummyfunction("""COMPUTED_VALUE"""),308.73)</f>
        <v>308.73</v>
      </c>
      <c r="F433" s="2" t="n">
        <f aca="false">IFERROR(__xludf.dummyfunction("""COMPUTED_VALUE"""),61642783)</f>
        <v>61642783</v>
      </c>
    </row>
    <row r="434" customFormat="false" ht="15.75" hidden="false" customHeight="false" outlineLevel="0" collapsed="false">
      <c r="A434" s="3" t="n">
        <f aca="false">IFERROR(__xludf.dummyfunction("""COMPUTED_VALUE"""),44825.6666666667)</f>
        <v>44825.6666666667</v>
      </c>
      <c r="B434" s="2" t="n">
        <f aca="false">IFERROR(__xludf.dummyfunction("""COMPUTED_VALUE"""),308.29)</f>
        <v>308.29</v>
      </c>
      <c r="C434" s="2" t="n">
        <f aca="false">IFERROR(__xludf.dummyfunction("""COMPUTED_VALUE"""),313.8)</f>
        <v>313.8</v>
      </c>
      <c r="D434" s="2" t="n">
        <f aca="false">IFERROR(__xludf.dummyfunction("""COMPUTED_VALUE"""),300.63)</f>
        <v>300.63</v>
      </c>
      <c r="E434" s="2" t="n">
        <f aca="false">IFERROR(__xludf.dummyfunction("""COMPUTED_VALUE"""),300.8)</f>
        <v>300.8</v>
      </c>
      <c r="F434" s="2" t="n">
        <f aca="false">IFERROR(__xludf.dummyfunction("""COMPUTED_VALUE"""),62555656)</f>
        <v>62555656</v>
      </c>
    </row>
    <row r="435" customFormat="false" ht="15.75" hidden="false" customHeight="false" outlineLevel="0" collapsed="false">
      <c r="A435" s="3" t="n">
        <f aca="false">IFERROR(__xludf.dummyfunction("""COMPUTED_VALUE"""),44826.6666666667)</f>
        <v>44826.6666666667</v>
      </c>
      <c r="B435" s="2" t="n">
        <f aca="false">IFERROR(__xludf.dummyfunction("""COMPUTED_VALUE"""),299.86)</f>
        <v>299.86</v>
      </c>
      <c r="C435" s="2" t="n">
        <f aca="false">IFERROR(__xludf.dummyfunction("""COMPUTED_VALUE"""),301.29)</f>
        <v>301.29</v>
      </c>
      <c r="D435" s="2" t="n">
        <f aca="false">IFERROR(__xludf.dummyfunction("""COMPUTED_VALUE"""),285.82)</f>
        <v>285.82</v>
      </c>
      <c r="E435" s="2" t="n">
        <f aca="false">IFERROR(__xludf.dummyfunction("""COMPUTED_VALUE"""),288.59)</f>
        <v>288.59</v>
      </c>
      <c r="F435" s="2" t="n">
        <f aca="false">IFERROR(__xludf.dummyfunction("""COMPUTED_VALUE"""),70545413)</f>
        <v>70545413</v>
      </c>
    </row>
    <row r="436" customFormat="false" ht="15.75" hidden="false" customHeight="false" outlineLevel="0" collapsed="false">
      <c r="A436" s="3" t="n">
        <f aca="false">IFERROR(__xludf.dummyfunction("""COMPUTED_VALUE"""),44827.6666666667)</f>
        <v>44827.6666666667</v>
      </c>
      <c r="B436" s="2" t="n">
        <f aca="false">IFERROR(__xludf.dummyfunction("""COMPUTED_VALUE"""),283.09)</f>
        <v>283.09</v>
      </c>
      <c r="C436" s="2" t="n">
        <f aca="false">IFERROR(__xludf.dummyfunction("""COMPUTED_VALUE"""),284.5)</f>
        <v>284.5</v>
      </c>
      <c r="D436" s="2" t="n">
        <f aca="false">IFERROR(__xludf.dummyfunction("""COMPUTED_VALUE"""),272.82)</f>
        <v>272.82</v>
      </c>
      <c r="E436" s="2" t="n">
        <f aca="false">IFERROR(__xludf.dummyfunction("""COMPUTED_VALUE"""),275.33)</f>
        <v>275.33</v>
      </c>
      <c r="F436" s="2" t="n">
        <f aca="false">IFERROR(__xludf.dummyfunction("""COMPUTED_VALUE"""),63748362)</f>
        <v>63748362</v>
      </c>
    </row>
    <row r="437" customFormat="false" ht="15.75" hidden="false" customHeight="false" outlineLevel="0" collapsed="false">
      <c r="A437" s="3" t="n">
        <f aca="false">IFERROR(__xludf.dummyfunction("""COMPUTED_VALUE"""),44830.6666666667)</f>
        <v>44830.6666666667</v>
      </c>
      <c r="B437" s="2" t="n">
        <f aca="false">IFERROR(__xludf.dummyfunction("""COMPUTED_VALUE"""),271.83)</f>
        <v>271.83</v>
      </c>
      <c r="C437" s="2" t="n">
        <f aca="false">IFERROR(__xludf.dummyfunction("""COMPUTED_VALUE"""),284.09)</f>
        <v>284.09</v>
      </c>
      <c r="D437" s="2" t="n">
        <f aca="false">IFERROR(__xludf.dummyfunction("""COMPUTED_VALUE"""),270.31)</f>
        <v>270.31</v>
      </c>
      <c r="E437" s="2" t="n">
        <f aca="false">IFERROR(__xludf.dummyfunction("""COMPUTED_VALUE"""),276.01)</f>
        <v>276.01</v>
      </c>
      <c r="F437" s="2" t="n">
        <f aca="false">IFERROR(__xludf.dummyfunction("""COMPUTED_VALUE"""),58076913)</f>
        <v>58076913</v>
      </c>
    </row>
    <row r="438" customFormat="false" ht="15.75" hidden="false" customHeight="false" outlineLevel="0" collapsed="false">
      <c r="A438" s="3" t="n">
        <f aca="false">IFERROR(__xludf.dummyfunction("""COMPUTED_VALUE"""),44831.6666666667)</f>
        <v>44831.6666666667</v>
      </c>
      <c r="B438" s="2" t="n">
        <f aca="false">IFERROR(__xludf.dummyfunction("""COMPUTED_VALUE"""),283.84)</f>
        <v>283.84</v>
      </c>
      <c r="C438" s="2" t="n">
        <f aca="false">IFERROR(__xludf.dummyfunction("""COMPUTED_VALUE"""),288.67)</f>
        <v>288.67</v>
      </c>
      <c r="D438" s="2" t="n">
        <f aca="false">IFERROR(__xludf.dummyfunction("""COMPUTED_VALUE"""),277.51)</f>
        <v>277.51</v>
      </c>
      <c r="E438" s="2" t="n">
        <f aca="false">IFERROR(__xludf.dummyfunction("""COMPUTED_VALUE"""),282.94)</f>
        <v>282.94</v>
      </c>
      <c r="F438" s="2" t="n">
        <f aca="false">IFERROR(__xludf.dummyfunction("""COMPUTED_VALUE"""),61925185)</f>
        <v>61925185</v>
      </c>
    </row>
    <row r="439" customFormat="false" ht="15.75" hidden="false" customHeight="false" outlineLevel="0" collapsed="false">
      <c r="A439" s="3" t="n">
        <f aca="false">IFERROR(__xludf.dummyfunction("""COMPUTED_VALUE"""),44832.6666666667)</f>
        <v>44832.6666666667</v>
      </c>
      <c r="B439" s="2" t="n">
        <f aca="false">IFERROR(__xludf.dummyfunction("""COMPUTED_VALUE"""),283.08)</f>
        <v>283.08</v>
      </c>
      <c r="C439" s="2" t="n">
        <f aca="false">IFERROR(__xludf.dummyfunction("""COMPUTED_VALUE"""),289)</f>
        <v>289</v>
      </c>
      <c r="D439" s="2" t="n">
        <f aca="false">IFERROR(__xludf.dummyfunction("""COMPUTED_VALUE"""),277.57)</f>
        <v>277.57</v>
      </c>
      <c r="E439" s="2" t="n">
        <f aca="false">IFERROR(__xludf.dummyfunction("""COMPUTED_VALUE"""),287.81)</f>
        <v>287.81</v>
      </c>
      <c r="F439" s="2" t="n">
        <f aca="false">IFERROR(__xludf.dummyfunction("""COMPUTED_VALUE"""),54664809)</f>
        <v>54664809</v>
      </c>
    </row>
    <row r="440" customFormat="false" ht="15.75" hidden="false" customHeight="false" outlineLevel="0" collapsed="false">
      <c r="A440" s="3" t="n">
        <f aca="false">IFERROR(__xludf.dummyfunction("""COMPUTED_VALUE"""),44833.6666666667)</f>
        <v>44833.6666666667</v>
      </c>
      <c r="B440" s="2" t="n">
        <f aca="false">IFERROR(__xludf.dummyfunction("""COMPUTED_VALUE"""),282.76)</f>
        <v>282.76</v>
      </c>
      <c r="C440" s="2" t="n">
        <f aca="false">IFERROR(__xludf.dummyfunction("""COMPUTED_VALUE"""),283.65)</f>
        <v>283.65</v>
      </c>
      <c r="D440" s="2" t="n">
        <f aca="false">IFERROR(__xludf.dummyfunction("""COMPUTED_VALUE"""),265.78)</f>
        <v>265.78</v>
      </c>
      <c r="E440" s="2" t="n">
        <f aca="false">IFERROR(__xludf.dummyfunction("""COMPUTED_VALUE"""),268.21)</f>
        <v>268.21</v>
      </c>
      <c r="F440" s="2" t="n">
        <f aca="false">IFERROR(__xludf.dummyfunction("""COMPUTED_VALUE"""),77620642)</f>
        <v>77620642</v>
      </c>
    </row>
    <row r="441" customFormat="false" ht="15.75" hidden="false" customHeight="false" outlineLevel="0" collapsed="false">
      <c r="A441" s="3" t="n">
        <f aca="false">IFERROR(__xludf.dummyfunction("""COMPUTED_VALUE"""),44834.6666666667)</f>
        <v>44834.6666666667</v>
      </c>
      <c r="B441" s="2" t="n">
        <f aca="false">IFERROR(__xludf.dummyfunction("""COMPUTED_VALUE"""),266.15)</f>
        <v>266.15</v>
      </c>
      <c r="C441" s="2" t="n">
        <f aca="false">IFERROR(__xludf.dummyfunction("""COMPUTED_VALUE"""),275.57)</f>
        <v>275.57</v>
      </c>
      <c r="D441" s="2" t="n">
        <f aca="false">IFERROR(__xludf.dummyfunction("""COMPUTED_VALUE"""),262.47)</f>
        <v>262.47</v>
      </c>
      <c r="E441" s="2" t="n">
        <f aca="false">IFERROR(__xludf.dummyfunction("""COMPUTED_VALUE"""),265.25)</f>
        <v>265.25</v>
      </c>
      <c r="F441" s="2" t="n">
        <f aca="false">IFERROR(__xludf.dummyfunction("""COMPUTED_VALUE"""),67726598)</f>
        <v>67726598</v>
      </c>
    </row>
    <row r="442" customFormat="false" ht="15.75" hidden="false" customHeight="false" outlineLevel="0" collapsed="false">
      <c r="A442" s="3" t="n">
        <f aca="false">IFERROR(__xludf.dummyfunction("""COMPUTED_VALUE"""),44837.6666666667)</f>
        <v>44837.6666666667</v>
      </c>
      <c r="B442" s="2" t="n">
        <f aca="false">IFERROR(__xludf.dummyfunction("""COMPUTED_VALUE"""),254.5)</f>
        <v>254.5</v>
      </c>
      <c r="C442" s="2" t="n">
        <f aca="false">IFERROR(__xludf.dummyfunction("""COMPUTED_VALUE"""),255.16)</f>
        <v>255.16</v>
      </c>
      <c r="D442" s="2" t="n">
        <f aca="false">IFERROR(__xludf.dummyfunction("""COMPUTED_VALUE"""),241.01)</f>
        <v>241.01</v>
      </c>
      <c r="E442" s="2" t="n">
        <f aca="false">IFERROR(__xludf.dummyfunction("""COMPUTED_VALUE"""),242.4)</f>
        <v>242.4</v>
      </c>
      <c r="F442" s="2" t="n">
        <f aca="false">IFERROR(__xludf.dummyfunction("""COMPUTED_VALUE"""),98363541)</f>
        <v>98363541</v>
      </c>
    </row>
    <row r="443" customFormat="false" ht="15.75" hidden="false" customHeight="false" outlineLevel="0" collapsed="false">
      <c r="A443" s="3" t="n">
        <f aca="false">IFERROR(__xludf.dummyfunction("""COMPUTED_VALUE"""),44838.6666666667)</f>
        <v>44838.6666666667</v>
      </c>
      <c r="B443" s="2" t="n">
        <f aca="false">IFERROR(__xludf.dummyfunction("""COMPUTED_VALUE"""),250.52)</f>
        <v>250.52</v>
      </c>
      <c r="C443" s="2" t="n">
        <f aca="false">IFERROR(__xludf.dummyfunction("""COMPUTED_VALUE"""),257.5)</f>
        <v>257.5</v>
      </c>
      <c r="D443" s="2" t="n">
        <f aca="false">IFERROR(__xludf.dummyfunction("""COMPUTED_VALUE"""),242.01)</f>
        <v>242.01</v>
      </c>
      <c r="E443" s="2" t="n">
        <f aca="false">IFERROR(__xludf.dummyfunction("""COMPUTED_VALUE"""),249.44)</f>
        <v>249.44</v>
      </c>
      <c r="F443" s="2" t="n">
        <f aca="false">IFERROR(__xludf.dummyfunction("""COMPUTED_VALUE"""),109578535)</f>
        <v>109578535</v>
      </c>
    </row>
    <row r="444" customFormat="false" ht="15.75" hidden="false" customHeight="false" outlineLevel="0" collapsed="false">
      <c r="A444" s="3" t="n">
        <f aca="false">IFERROR(__xludf.dummyfunction("""COMPUTED_VALUE"""),44839.6666666667)</f>
        <v>44839.6666666667</v>
      </c>
      <c r="B444" s="2" t="n">
        <f aca="false">IFERROR(__xludf.dummyfunction("""COMPUTED_VALUE"""),245.01)</f>
        <v>245.01</v>
      </c>
      <c r="C444" s="2" t="n">
        <f aca="false">IFERROR(__xludf.dummyfunction("""COMPUTED_VALUE"""),246.67)</f>
        <v>246.67</v>
      </c>
      <c r="D444" s="2" t="n">
        <f aca="false">IFERROR(__xludf.dummyfunction("""COMPUTED_VALUE"""),233.27)</f>
        <v>233.27</v>
      </c>
      <c r="E444" s="2" t="n">
        <f aca="false">IFERROR(__xludf.dummyfunction("""COMPUTED_VALUE"""),240.81)</f>
        <v>240.81</v>
      </c>
      <c r="F444" s="2" t="n">
        <f aca="false">IFERROR(__xludf.dummyfunction("""COMPUTED_VALUE"""),86982673)</f>
        <v>86982673</v>
      </c>
    </row>
    <row r="445" customFormat="false" ht="15.75" hidden="false" customHeight="false" outlineLevel="0" collapsed="false">
      <c r="A445" s="3" t="n">
        <f aca="false">IFERROR(__xludf.dummyfunction("""COMPUTED_VALUE"""),44840.6666666667)</f>
        <v>44840.6666666667</v>
      </c>
      <c r="B445" s="2" t="n">
        <f aca="false">IFERROR(__xludf.dummyfunction("""COMPUTED_VALUE"""),239.44)</f>
        <v>239.44</v>
      </c>
      <c r="C445" s="2" t="n">
        <f aca="false">IFERROR(__xludf.dummyfunction("""COMPUTED_VALUE"""),244.58)</f>
        <v>244.58</v>
      </c>
      <c r="D445" s="2" t="n">
        <f aca="false">IFERROR(__xludf.dummyfunction("""COMPUTED_VALUE"""),235.35)</f>
        <v>235.35</v>
      </c>
      <c r="E445" s="2" t="n">
        <f aca="false">IFERROR(__xludf.dummyfunction("""COMPUTED_VALUE"""),238.13)</f>
        <v>238.13</v>
      </c>
      <c r="F445" s="2" t="n">
        <f aca="false">IFERROR(__xludf.dummyfunction("""COMPUTED_VALUE"""),69298437)</f>
        <v>69298437</v>
      </c>
    </row>
    <row r="446" customFormat="false" ht="15.75" hidden="false" customHeight="false" outlineLevel="0" collapsed="false">
      <c r="A446" s="3" t="n">
        <f aca="false">IFERROR(__xludf.dummyfunction("""COMPUTED_VALUE"""),44841.6666666667)</f>
        <v>44841.6666666667</v>
      </c>
      <c r="B446" s="2" t="n">
        <f aca="false">IFERROR(__xludf.dummyfunction("""COMPUTED_VALUE"""),233.94)</f>
        <v>233.94</v>
      </c>
      <c r="C446" s="2" t="n">
        <f aca="false">IFERROR(__xludf.dummyfunction("""COMPUTED_VALUE"""),234.57)</f>
        <v>234.57</v>
      </c>
      <c r="D446" s="2" t="n">
        <f aca="false">IFERROR(__xludf.dummyfunction("""COMPUTED_VALUE"""),222.02)</f>
        <v>222.02</v>
      </c>
      <c r="E446" s="2" t="n">
        <f aca="false">IFERROR(__xludf.dummyfunction("""COMPUTED_VALUE"""),223.07)</f>
        <v>223.07</v>
      </c>
      <c r="F446" s="2" t="n">
        <f aca="false">IFERROR(__xludf.dummyfunction("""COMPUTED_VALUE"""),83916800)</f>
        <v>83916800</v>
      </c>
    </row>
    <row r="447" customFormat="false" ht="15.75" hidden="false" customHeight="false" outlineLevel="0" collapsed="false">
      <c r="A447" s="3" t="n">
        <f aca="false">IFERROR(__xludf.dummyfunction("""COMPUTED_VALUE"""),44844.6666666667)</f>
        <v>44844.6666666667</v>
      </c>
      <c r="B447" s="2" t="n">
        <f aca="false">IFERROR(__xludf.dummyfunction("""COMPUTED_VALUE"""),223.93)</f>
        <v>223.93</v>
      </c>
      <c r="C447" s="2" t="n">
        <f aca="false">IFERROR(__xludf.dummyfunction("""COMPUTED_VALUE"""),226.99)</f>
        <v>226.99</v>
      </c>
      <c r="D447" s="2" t="n">
        <f aca="false">IFERROR(__xludf.dummyfunction("""COMPUTED_VALUE"""),218.36)</f>
        <v>218.36</v>
      </c>
      <c r="E447" s="2" t="n">
        <f aca="false">IFERROR(__xludf.dummyfunction("""COMPUTED_VALUE"""),222.96)</f>
        <v>222.96</v>
      </c>
      <c r="F447" s="2" t="n">
        <f aca="false">IFERROR(__xludf.dummyfunction("""COMPUTED_VALUE"""),67925018)</f>
        <v>67925018</v>
      </c>
    </row>
    <row r="448" customFormat="false" ht="15.75" hidden="false" customHeight="false" outlineLevel="0" collapsed="false">
      <c r="A448" s="3" t="n">
        <f aca="false">IFERROR(__xludf.dummyfunction("""COMPUTED_VALUE"""),44845.6666666667)</f>
        <v>44845.6666666667</v>
      </c>
      <c r="B448" s="2" t="n">
        <f aca="false">IFERROR(__xludf.dummyfunction("""COMPUTED_VALUE"""),220.95)</f>
        <v>220.95</v>
      </c>
      <c r="C448" s="2" t="n">
        <f aca="false">IFERROR(__xludf.dummyfunction("""COMPUTED_VALUE"""),225.75)</f>
        <v>225.75</v>
      </c>
      <c r="D448" s="2" t="n">
        <f aca="false">IFERROR(__xludf.dummyfunction("""COMPUTED_VALUE"""),215)</f>
        <v>215</v>
      </c>
      <c r="E448" s="2" t="n">
        <f aca="false">IFERROR(__xludf.dummyfunction("""COMPUTED_VALUE"""),216.5)</f>
        <v>216.5</v>
      </c>
      <c r="F448" s="2" t="n">
        <f aca="false">IFERROR(__xludf.dummyfunction("""COMPUTED_VALUE"""),77013202)</f>
        <v>77013202</v>
      </c>
    </row>
    <row r="449" customFormat="false" ht="15.75" hidden="false" customHeight="false" outlineLevel="0" collapsed="false">
      <c r="A449" s="3" t="n">
        <f aca="false">IFERROR(__xludf.dummyfunction("""COMPUTED_VALUE"""),44846.6666666667)</f>
        <v>44846.6666666667</v>
      </c>
      <c r="B449" s="2" t="n">
        <f aca="false">IFERROR(__xludf.dummyfunction("""COMPUTED_VALUE"""),215.33)</f>
        <v>215.33</v>
      </c>
      <c r="C449" s="2" t="n">
        <f aca="false">IFERROR(__xludf.dummyfunction("""COMPUTED_VALUE"""),219.3)</f>
        <v>219.3</v>
      </c>
      <c r="D449" s="2" t="n">
        <f aca="false">IFERROR(__xludf.dummyfunction("""COMPUTED_VALUE"""),211.51)</f>
        <v>211.51</v>
      </c>
      <c r="E449" s="2" t="n">
        <f aca="false">IFERROR(__xludf.dummyfunction("""COMPUTED_VALUE"""),217.24)</f>
        <v>217.24</v>
      </c>
      <c r="F449" s="2" t="n">
        <f aca="false">IFERROR(__xludf.dummyfunction("""COMPUTED_VALUE"""),66860699)</f>
        <v>66860699</v>
      </c>
    </row>
    <row r="450" customFormat="false" ht="15.75" hidden="false" customHeight="false" outlineLevel="0" collapsed="false">
      <c r="A450" s="3" t="n">
        <f aca="false">IFERROR(__xludf.dummyfunction("""COMPUTED_VALUE"""),44847.6666666667)</f>
        <v>44847.6666666667</v>
      </c>
      <c r="B450" s="2" t="n">
        <f aca="false">IFERROR(__xludf.dummyfunction("""COMPUTED_VALUE"""),208.3)</f>
        <v>208.3</v>
      </c>
      <c r="C450" s="2" t="n">
        <f aca="false">IFERROR(__xludf.dummyfunction("""COMPUTED_VALUE"""),222.99)</f>
        <v>222.99</v>
      </c>
      <c r="D450" s="2" t="n">
        <f aca="false">IFERROR(__xludf.dummyfunction("""COMPUTED_VALUE"""),206.22)</f>
        <v>206.22</v>
      </c>
      <c r="E450" s="2" t="n">
        <f aca="false">IFERROR(__xludf.dummyfunction("""COMPUTED_VALUE"""),221.72)</f>
        <v>221.72</v>
      </c>
      <c r="F450" s="2" t="n">
        <f aca="false">IFERROR(__xludf.dummyfunction("""COMPUTED_VALUE"""),91483045)</f>
        <v>91483045</v>
      </c>
    </row>
    <row r="451" customFormat="false" ht="15.75" hidden="false" customHeight="false" outlineLevel="0" collapsed="false">
      <c r="A451" s="3" t="n">
        <f aca="false">IFERROR(__xludf.dummyfunction("""COMPUTED_VALUE"""),44848.6666666667)</f>
        <v>44848.6666666667</v>
      </c>
      <c r="B451" s="2" t="n">
        <f aca="false">IFERROR(__xludf.dummyfunction("""COMPUTED_VALUE"""),224.01)</f>
        <v>224.01</v>
      </c>
      <c r="C451" s="2" t="n">
        <f aca="false">IFERROR(__xludf.dummyfunction("""COMPUTED_VALUE"""),226.26)</f>
        <v>226.26</v>
      </c>
      <c r="D451" s="2" t="n">
        <f aca="false">IFERROR(__xludf.dummyfunction("""COMPUTED_VALUE"""),204.16)</f>
        <v>204.16</v>
      </c>
      <c r="E451" s="2" t="n">
        <f aca="false">IFERROR(__xludf.dummyfunction("""COMPUTED_VALUE"""),204.99)</f>
        <v>204.99</v>
      </c>
      <c r="F451" s="2" t="n">
        <f aca="false">IFERROR(__xludf.dummyfunction("""COMPUTED_VALUE"""),94124511)</f>
        <v>94124511</v>
      </c>
    </row>
    <row r="452" customFormat="false" ht="15.75" hidden="false" customHeight="false" outlineLevel="0" collapsed="false">
      <c r="A452" s="3" t="n">
        <f aca="false">IFERROR(__xludf.dummyfunction("""COMPUTED_VALUE"""),44851.6666666667)</f>
        <v>44851.6666666667</v>
      </c>
      <c r="B452" s="2" t="n">
        <f aca="false">IFERROR(__xludf.dummyfunction("""COMPUTED_VALUE"""),210.04)</f>
        <v>210.04</v>
      </c>
      <c r="C452" s="2" t="n">
        <f aca="false">IFERROR(__xludf.dummyfunction("""COMPUTED_VALUE"""),221.86)</f>
        <v>221.86</v>
      </c>
      <c r="D452" s="2" t="n">
        <f aca="false">IFERROR(__xludf.dummyfunction("""COMPUTED_VALUE"""),209.45)</f>
        <v>209.45</v>
      </c>
      <c r="E452" s="2" t="n">
        <f aca="false">IFERROR(__xludf.dummyfunction("""COMPUTED_VALUE"""),219.35)</f>
        <v>219.35</v>
      </c>
      <c r="F452" s="2" t="n">
        <f aca="false">IFERROR(__xludf.dummyfunction("""COMPUTED_VALUE"""),79428810)</f>
        <v>79428810</v>
      </c>
    </row>
    <row r="453" customFormat="false" ht="15.75" hidden="false" customHeight="false" outlineLevel="0" collapsed="false">
      <c r="A453" s="3" t="n">
        <f aca="false">IFERROR(__xludf.dummyfunction("""COMPUTED_VALUE"""),44852.6666666667)</f>
        <v>44852.6666666667</v>
      </c>
      <c r="B453" s="2" t="n">
        <f aca="false">IFERROR(__xludf.dummyfunction("""COMPUTED_VALUE"""),229.5)</f>
        <v>229.5</v>
      </c>
      <c r="C453" s="2" t="n">
        <f aca="false">IFERROR(__xludf.dummyfunction("""COMPUTED_VALUE"""),229.82)</f>
        <v>229.82</v>
      </c>
      <c r="D453" s="2" t="n">
        <f aca="false">IFERROR(__xludf.dummyfunction("""COMPUTED_VALUE"""),217.25)</f>
        <v>217.25</v>
      </c>
      <c r="E453" s="2" t="n">
        <f aca="false">IFERROR(__xludf.dummyfunction("""COMPUTED_VALUE"""),220.19)</f>
        <v>220.19</v>
      </c>
      <c r="F453" s="2" t="n">
        <f aca="false">IFERROR(__xludf.dummyfunction("""COMPUTED_VALUE"""),75891905)</f>
        <v>75891905</v>
      </c>
    </row>
    <row r="454" customFormat="false" ht="15.75" hidden="false" customHeight="false" outlineLevel="0" collapsed="false">
      <c r="A454" s="3" t="n">
        <f aca="false">IFERROR(__xludf.dummyfunction("""COMPUTED_VALUE"""),44853.6666666667)</f>
        <v>44853.6666666667</v>
      </c>
      <c r="B454" s="2" t="n">
        <f aca="false">IFERROR(__xludf.dummyfunction("""COMPUTED_VALUE"""),219.8)</f>
        <v>219.8</v>
      </c>
      <c r="C454" s="2" t="n">
        <f aca="false">IFERROR(__xludf.dummyfunction("""COMPUTED_VALUE"""),222.93)</f>
        <v>222.93</v>
      </c>
      <c r="D454" s="2" t="n">
        <f aca="false">IFERROR(__xludf.dummyfunction("""COMPUTED_VALUE"""),217.78)</f>
        <v>217.78</v>
      </c>
      <c r="E454" s="2" t="n">
        <f aca="false">IFERROR(__xludf.dummyfunction("""COMPUTED_VALUE"""),222.04)</f>
        <v>222.04</v>
      </c>
      <c r="F454" s="2" t="n">
        <f aca="false">IFERROR(__xludf.dummyfunction("""COMPUTED_VALUE"""),66571479)</f>
        <v>66571479</v>
      </c>
    </row>
    <row r="455" customFormat="false" ht="15.75" hidden="false" customHeight="false" outlineLevel="0" collapsed="false">
      <c r="A455" s="3" t="n">
        <f aca="false">IFERROR(__xludf.dummyfunction("""COMPUTED_VALUE"""),44854.6666666667)</f>
        <v>44854.6666666667</v>
      </c>
      <c r="B455" s="2" t="n">
        <f aca="false">IFERROR(__xludf.dummyfunction("""COMPUTED_VALUE"""),208.28)</f>
        <v>208.28</v>
      </c>
      <c r="C455" s="2" t="n">
        <f aca="false">IFERROR(__xludf.dummyfunction("""COMPUTED_VALUE"""),215.55)</f>
        <v>215.55</v>
      </c>
      <c r="D455" s="2" t="n">
        <f aca="false">IFERROR(__xludf.dummyfunction("""COMPUTED_VALUE"""),202)</f>
        <v>202</v>
      </c>
      <c r="E455" s="2" t="n">
        <f aca="false">IFERROR(__xludf.dummyfunction("""COMPUTED_VALUE"""),207.28)</f>
        <v>207.28</v>
      </c>
      <c r="F455" s="2" t="n">
        <f aca="false">IFERROR(__xludf.dummyfunction("""COMPUTED_VALUE"""),117798062)</f>
        <v>117798062</v>
      </c>
    </row>
    <row r="456" customFormat="false" ht="15.75" hidden="false" customHeight="false" outlineLevel="0" collapsed="false">
      <c r="A456" s="3" t="n">
        <f aca="false">IFERROR(__xludf.dummyfunction("""COMPUTED_VALUE"""),44855.6666666667)</f>
        <v>44855.6666666667</v>
      </c>
      <c r="B456" s="2" t="n">
        <f aca="false">IFERROR(__xludf.dummyfunction("""COMPUTED_VALUE"""),206.42)</f>
        <v>206.42</v>
      </c>
      <c r="C456" s="2" t="n">
        <f aca="false">IFERROR(__xludf.dummyfunction("""COMPUTED_VALUE"""),214.66)</f>
        <v>214.66</v>
      </c>
      <c r="D456" s="2" t="n">
        <f aca="false">IFERROR(__xludf.dummyfunction("""COMPUTED_VALUE"""),203.8)</f>
        <v>203.8</v>
      </c>
      <c r="E456" s="2" t="n">
        <f aca="false">IFERROR(__xludf.dummyfunction("""COMPUTED_VALUE"""),214.44)</f>
        <v>214.44</v>
      </c>
      <c r="F456" s="2" t="n">
        <f aca="false">IFERROR(__xludf.dummyfunction("""COMPUTED_VALUE"""),75713754)</f>
        <v>75713754</v>
      </c>
    </row>
    <row r="457" customFormat="false" ht="15.75" hidden="false" customHeight="false" outlineLevel="0" collapsed="false">
      <c r="A457" s="3" t="n">
        <f aca="false">IFERROR(__xludf.dummyfunction("""COMPUTED_VALUE"""),44858.6666666667)</f>
        <v>44858.6666666667</v>
      </c>
      <c r="B457" s="2" t="n">
        <f aca="false">IFERROR(__xludf.dummyfunction("""COMPUTED_VALUE"""),205.82)</f>
        <v>205.82</v>
      </c>
      <c r="C457" s="2" t="n">
        <f aca="false">IFERROR(__xludf.dummyfunction("""COMPUTED_VALUE"""),213.5)</f>
        <v>213.5</v>
      </c>
      <c r="D457" s="2" t="n">
        <f aca="false">IFERROR(__xludf.dummyfunction("""COMPUTED_VALUE"""),198.59)</f>
        <v>198.59</v>
      </c>
      <c r="E457" s="2" t="n">
        <f aca="false">IFERROR(__xludf.dummyfunction("""COMPUTED_VALUE"""),211.25)</f>
        <v>211.25</v>
      </c>
      <c r="F457" s="2" t="n">
        <f aca="false">IFERROR(__xludf.dummyfunction("""COMPUTED_VALUE"""),100446765)</f>
        <v>100446765</v>
      </c>
    </row>
    <row r="458" customFormat="false" ht="15.75" hidden="false" customHeight="false" outlineLevel="0" collapsed="false">
      <c r="A458" s="3" t="n">
        <f aca="false">IFERROR(__xludf.dummyfunction("""COMPUTED_VALUE"""),44859.6666666667)</f>
        <v>44859.6666666667</v>
      </c>
      <c r="B458" s="2" t="n">
        <f aca="false">IFERROR(__xludf.dummyfunction("""COMPUTED_VALUE"""),210.1)</f>
        <v>210.1</v>
      </c>
      <c r="C458" s="2" t="n">
        <f aca="false">IFERROR(__xludf.dummyfunction("""COMPUTED_VALUE"""),224.35)</f>
        <v>224.35</v>
      </c>
      <c r="D458" s="2" t="n">
        <f aca="false">IFERROR(__xludf.dummyfunction("""COMPUTED_VALUE"""),210)</f>
        <v>210</v>
      </c>
      <c r="E458" s="2" t="n">
        <f aca="false">IFERROR(__xludf.dummyfunction("""COMPUTED_VALUE"""),222.42)</f>
        <v>222.42</v>
      </c>
      <c r="F458" s="2" t="n">
        <f aca="false">IFERROR(__xludf.dummyfunction("""COMPUTED_VALUE"""),96507870)</f>
        <v>96507870</v>
      </c>
    </row>
    <row r="459" customFormat="false" ht="15.75" hidden="false" customHeight="false" outlineLevel="0" collapsed="false">
      <c r="A459" s="3" t="n">
        <f aca="false">IFERROR(__xludf.dummyfunction("""COMPUTED_VALUE"""),44860.6666666667)</f>
        <v>44860.6666666667</v>
      </c>
      <c r="B459" s="2" t="n">
        <f aca="false">IFERROR(__xludf.dummyfunction("""COMPUTED_VALUE"""),219.4)</f>
        <v>219.4</v>
      </c>
      <c r="C459" s="2" t="n">
        <f aca="false">IFERROR(__xludf.dummyfunction("""COMPUTED_VALUE"""),230.6)</f>
        <v>230.6</v>
      </c>
      <c r="D459" s="2" t="n">
        <f aca="false">IFERROR(__xludf.dummyfunction("""COMPUTED_VALUE"""),218.2)</f>
        <v>218.2</v>
      </c>
      <c r="E459" s="2" t="n">
        <f aca="false">IFERROR(__xludf.dummyfunction("""COMPUTED_VALUE"""),224.64)</f>
        <v>224.64</v>
      </c>
      <c r="F459" s="2" t="n">
        <f aca="false">IFERROR(__xludf.dummyfunction("""COMPUTED_VALUE"""),85327078)</f>
        <v>85327078</v>
      </c>
    </row>
    <row r="460" customFormat="false" ht="15.75" hidden="false" customHeight="false" outlineLevel="0" collapsed="false">
      <c r="A460" s="3" t="n">
        <f aca="false">IFERROR(__xludf.dummyfunction("""COMPUTED_VALUE"""),44861.6666666667)</f>
        <v>44861.6666666667</v>
      </c>
      <c r="B460" s="2" t="n">
        <f aca="false">IFERROR(__xludf.dummyfunction("""COMPUTED_VALUE"""),229.77)</f>
        <v>229.77</v>
      </c>
      <c r="C460" s="2" t="n">
        <f aca="false">IFERROR(__xludf.dummyfunction("""COMPUTED_VALUE"""),233.81)</f>
        <v>233.81</v>
      </c>
      <c r="D460" s="2" t="n">
        <f aca="false">IFERROR(__xludf.dummyfunction("""COMPUTED_VALUE"""),222.85)</f>
        <v>222.85</v>
      </c>
      <c r="E460" s="2" t="n">
        <f aca="false">IFERROR(__xludf.dummyfunction("""COMPUTED_VALUE"""),225.09)</f>
        <v>225.09</v>
      </c>
      <c r="F460" s="2" t="n">
        <f aca="false">IFERROR(__xludf.dummyfunction("""COMPUTED_VALUE"""),61638824)</f>
        <v>61638824</v>
      </c>
    </row>
    <row r="461" customFormat="false" ht="15.75" hidden="false" customHeight="false" outlineLevel="0" collapsed="false">
      <c r="A461" s="3" t="n">
        <f aca="false">IFERROR(__xludf.dummyfunction("""COMPUTED_VALUE"""),44862.6666666667)</f>
        <v>44862.6666666667</v>
      </c>
      <c r="B461" s="2" t="n">
        <f aca="false">IFERROR(__xludf.dummyfunction("""COMPUTED_VALUE"""),225.4)</f>
        <v>225.4</v>
      </c>
      <c r="C461" s="2" t="n">
        <f aca="false">IFERROR(__xludf.dummyfunction("""COMPUTED_VALUE"""),228.86)</f>
        <v>228.86</v>
      </c>
      <c r="D461" s="2" t="n">
        <f aca="false">IFERROR(__xludf.dummyfunction("""COMPUTED_VALUE"""),216.35)</f>
        <v>216.35</v>
      </c>
      <c r="E461" s="2" t="n">
        <f aca="false">IFERROR(__xludf.dummyfunction("""COMPUTED_VALUE"""),228.52)</f>
        <v>228.52</v>
      </c>
      <c r="F461" s="2" t="n">
        <f aca="false">IFERROR(__xludf.dummyfunction("""COMPUTED_VALUE"""),69152386)</f>
        <v>69152386</v>
      </c>
    </row>
    <row r="462" customFormat="false" ht="15.75" hidden="false" customHeight="false" outlineLevel="0" collapsed="false">
      <c r="A462" s="3" t="n">
        <f aca="false">IFERROR(__xludf.dummyfunction("""COMPUTED_VALUE"""),44865.6666666667)</f>
        <v>44865.6666666667</v>
      </c>
      <c r="B462" s="2" t="n">
        <f aca="false">IFERROR(__xludf.dummyfunction("""COMPUTED_VALUE"""),226.19)</f>
        <v>226.19</v>
      </c>
      <c r="C462" s="2" t="n">
        <f aca="false">IFERROR(__xludf.dummyfunction("""COMPUTED_VALUE"""),229.85)</f>
        <v>229.85</v>
      </c>
      <c r="D462" s="2" t="n">
        <f aca="false">IFERROR(__xludf.dummyfunction("""COMPUTED_VALUE"""),221.94)</f>
        <v>221.94</v>
      </c>
      <c r="E462" s="2" t="n">
        <f aca="false">IFERROR(__xludf.dummyfunction("""COMPUTED_VALUE"""),227.54)</f>
        <v>227.54</v>
      </c>
      <c r="F462" s="2" t="n">
        <f aca="false">IFERROR(__xludf.dummyfunction("""COMPUTED_VALUE"""),61554341)</f>
        <v>61554341</v>
      </c>
    </row>
    <row r="463" customFormat="false" ht="15.75" hidden="false" customHeight="false" outlineLevel="0" collapsed="false">
      <c r="A463" s="3" t="n">
        <f aca="false">IFERROR(__xludf.dummyfunction("""COMPUTED_VALUE"""),44866.6666666667)</f>
        <v>44866.6666666667</v>
      </c>
      <c r="B463" s="2" t="n">
        <f aca="false">IFERROR(__xludf.dummyfunction("""COMPUTED_VALUE"""),234.05)</f>
        <v>234.05</v>
      </c>
      <c r="C463" s="2" t="n">
        <f aca="false">IFERROR(__xludf.dummyfunction("""COMPUTED_VALUE"""),237.4)</f>
        <v>237.4</v>
      </c>
      <c r="D463" s="2" t="n">
        <f aca="false">IFERROR(__xludf.dummyfunction("""COMPUTED_VALUE"""),227.28)</f>
        <v>227.28</v>
      </c>
      <c r="E463" s="2" t="n">
        <f aca="false">IFERROR(__xludf.dummyfunction("""COMPUTED_VALUE"""),227.82)</f>
        <v>227.82</v>
      </c>
      <c r="F463" s="2" t="n">
        <f aca="false">IFERROR(__xludf.dummyfunction("""COMPUTED_VALUE"""),62688822)</f>
        <v>62688822</v>
      </c>
    </row>
    <row r="464" customFormat="false" ht="15.75" hidden="false" customHeight="false" outlineLevel="0" collapsed="false">
      <c r="A464" s="3" t="n">
        <f aca="false">IFERROR(__xludf.dummyfunction("""COMPUTED_VALUE"""),44867.6666666667)</f>
        <v>44867.6666666667</v>
      </c>
      <c r="B464" s="2" t="n">
        <f aca="false">IFERROR(__xludf.dummyfunction("""COMPUTED_VALUE"""),226.04)</f>
        <v>226.04</v>
      </c>
      <c r="C464" s="2" t="n">
        <f aca="false">IFERROR(__xludf.dummyfunction("""COMPUTED_VALUE"""),227.87)</f>
        <v>227.87</v>
      </c>
      <c r="D464" s="2" t="n">
        <f aca="false">IFERROR(__xludf.dummyfunction("""COMPUTED_VALUE"""),214.82)</f>
        <v>214.82</v>
      </c>
      <c r="E464" s="2" t="n">
        <f aca="false">IFERROR(__xludf.dummyfunction("""COMPUTED_VALUE"""),214.98)</f>
        <v>214.98</v>
      </c>
      <c r="F464" s="2" t="n">
        <f aca="false">IFERROR(__xludf.dummyfunction("""COMPUTED_VALUE"""),63070293)</f>
        <v>63070293</v>
      </c>
    </row>
    <row r="465" customFormat="false" ht="15.75" hidden="false" customHeight="false" outlineLevel="0" collapsed="false">
      <c r="A465" s="3" t="n">
        <f aca="false">IFERROR(__xludf.dummyfunction("""COMPUTED_VALUE"""),44868.6666666667)</f>
        <v>44868.6666666667</v>
      </c>
      <c r="B465" s="2" t="n">
        <f aca="false">IFERROR(__xludf.dummyfunction("""COMPUTED_VALUE"""),211.36)</f>
        <v>211.36</v>
      </c>
      <c r="C465" s="2" t="n">
        <f aca="false">IFERROR(__xludf.dummyfunction("""COMPUTED_VALUE"""),221.2)</f>
        <v>221.2</v>
      </c>
      <c r="D465" s="2" t="n">
        <f aca="false">IFERROR(__xludf.dummyfunction("""COMPUTED_VALUE"""),210.14)</f>
        <v>210.14</v>
      </c>
      <c r="E465" s="2" t="n">
        <f aca="false">IFERROR(__xludf.dummyfunction("""COMPUTED_VALUE"""),215.31)</f>
        <v>215.31</v>
      </c>
      <c r="F465" s="2" t="n">
        <f aca="false">IFERROR(__xludf.dummyfunction("""COMPUTED_VALUE"""),56538848)</f>
        <v>56538848</v>
      </c>
    </row>
    <row r="466" customFormat="false" ht="15.75" hidden="false" customHeight="false" outlineLevel="0" collapsed="false">
      <c r="A466" s="3" t="n">
        <f aca="false">IFERROR(__xludf.dummyfunction("""COMPUTED_VALUE"""),44869.6666666667)</f>
        <v>44869.6666666667</v>
      </c>
      <c r="B466" s="2" t="n">
        <f aca="false">IFERROR(__xludf.dummyfunction("""COMPUTED_VALUE"""),222.6)</f>
        <v>222.6</v>
      </c>
      <c r="C466" s="2" t="n">
        <f aca="false">IFERROR(__xludf.dummyfunction("""COMPUTED_VALUE"""),223.8)</f>
        <v>223.8</v>
      </c>
      <c r="D466" s="2" t="n">
        <f aca="false">IFERROR(__xludf.dummyfunction("""COMPUTED_VALUE"""),203.08)</f>
        <v>203.08</v>
      </c>
      <c r="E466" s="2" t="n">
        <f aca="false">IFERROR(__xludf.dummyfunction("""COMPUTED_VALUE"""),207.47)</f>
        <v>207.47</v>
      </c>
      <c r="F466" s="2" t="n">
        <f aca="false">IFERROR(__xludf.dummyfunction("""COMPUTED_VALUE"""),98622212)</f>
        <v>98622212</v>
      </c>
    </row>
    <row r="467" customFormat="false" ht="15.75" hidden="false" customHeight="false" outlineLevel="0" collapsed="false">
      <c r="A467" s="3" t="n">
        <f aca="false">IFERROR(__xludf.dummyfunction("""COMPUTED_VALUE"""),44872.6666666667)</f>
        <v>44872.6666666667</v>
      </c>
      <c r="B467" s="2" t="n">
        <f aca="false">IFERROR(__xludf.dummyfunction("""COMPUTED_VALUE"""),208.65)</f>
        <v>208.65</v>
      </c>
      <c r="C467" s="2" t="n">
        <f aca="false">IFERROR(__xludf.dummyfunction("""COMPUTED_VALUE"""),208.9)</f>
        <v>208.9</v>
      </c>
      <c r="D467" s="2" t="n">
        <f aca="false">IFERROR(__xludf.dummyfunction("""COMPUTED_VALUE"""),196.66)</f>
        <v>196.66</v>
      </c>
      <c r="E467" s="2" t="n">
        <f aca="false">IFERROR(__xludf.dummyfunction("""COMPUTED_VALUE"""),197.08)</f>
        <v>197.08</v>
      </c>
      <c r="F467" s="2" t="n">
        <f aca="false">IFERROR(__xludf.dummyfunction("""COMPUTED_VALUE"""),93916520)</f>
        <v>93916520</v>
      </c>
    </row>
    <row r="468" customFormat="false" ht="15.75" hidden="false" customHeight="false" outlineLevel="0" collapsed="false">
      <c r="A468" s="3" t="n">
        <f aca="false">IFERROR(__xludf.dummyfunction("""COMPUTED_VALUE"""),44873.6666666667)</f>
        <v>44873.6666666667</v>
      </c>
      <c r="B468" s="2" t="n">
        <f aca="false">IFERROR(__xludf.dummyfunction("""COMPUTED_VALUE"""),194.02)</f>
        <v>194.02</v>
      </c>
      <c r="C468" s="2" t="n">
        <f aca="false">IFERROR(__xludf.dummyfunction("""COMPUTED_VALUE"""),195.2)</f>
        <v>195.2</v>
      </c>
      <c r="D468" s="2" t="n">
        <f aca="false">IFERROR(__xludf.dummyfunction("""COMPUTED_VALUE"""),186.75)</f>
        <v>186.75</v>
      </c>
      <c r="E468" s="2" t="n">
        <f aca="false">IFERROR(__xludf.dummyfunction("""COMPUTED_VALUE"""),191.3)</f>
        <v>191.3</v>
      </c>
      <c r="F468" s="2" t="n">
        <f aca="false">IFERROR(__xludf.dummyfunction("""COMPUTED_VALUE"""),128803404)</f>
        <v>128803404</v>
      </c>
    </row>
    <row r="469" customFormat="false" ht="15.75" hidden="false" customHeight="false" outlineLevel="0" collapsed="false">
      <c r="A469" s="3" t="n">
        <f aca="false">IFERROR(__xludf.dummyfunction("""COMPUTED_VALUE"""),44874.6666666667)</f>
        <v>44874.6666666667</v>
      </c>
      <c r="B469" s="2" t="n">
        <f aca="false">IFERROR(__xludf.dummyfunction("""COMPUTED_VALUE"""),190.78)</f>
        <v>190.78</v>
      </c>
      <c r="C469" s="2" t="n">
        <f aca="false">IFERROR(__xludf.dummyfunction("""COMPUTED_VALUE"""),195.89)</f>
        <v>195.89</v>
      </c>
      <c r="D469" s="2" t="n">
        <f aca="false">IFERROR(__xludf.dummyfunction("""COMPUTED_VALUE"""),177.12)</f>
        <v>177.12</v>
      </c>
      <c r="E469" s="2" t="n">
        <f aca="false">IFERROR(__xludf.dummyfunction("""COMPUTED_VALUE"""),177.59)</f>
        <v>177.59</v>
      </c>
      <c r="F469" s="2" t="n">
        <f aca="false">IFERROR(__xludf.dummyfunction("""COMPUTED_VALUE"""),127062659)</f>
        <v>127062659</v>
      </c>
    </row>
    <row r="470" customFormat="false" ht="15.75" hidden="false" customHeight="false" outlineLevel="0" collapsed="false">
      <c r="A470" s="3" t="n">
        <f aca="false">IFERROR(__xludf.dummyfunction("""COMPUTED_VALUE"""),44875.6666666667)</f>
        <v>44875.6666666667</v>
      </c>
      <c r="B470" s="2" t="n">
        <f aca="false">IFERROR(__xludf.dummyfunction("""COMPUTED_VALUE"""),189.9)</f>
        <v>189.9</v>
      </c>
      <c r="C470" s="2" t="n">
        <f aca="false">IFERROR(__xludf.dummyfunction("""COMPUTED_VALUE"""),191)</f>
        <v>191</v>
      </c>
      <c r="D470" s="2" t="n">
        <f aca="false">IFERROR(__xludf.dummyfunction("""COMPUTED_VALUE"""),180.03)</f>
        <v>180.03</v>
      </c>
      <c r="E470" s="2" t="n">
        <f aca="false">IFERROR(__xludf.dummyfunction("""COMPUTED_VALUE"""),190.72)</f>
        <v>190.72</v>
      </c>
      <c r="F470" s="2" t="n">
        <f aca="false">IFERROR(__xludf.dummyfunction("""COMPUTED_VALUE"""),132703015)</f>
        <v>132703015</v>
      </c>
    </row>
    <row r="471" customFormat="false" ht="15.75" hidden="false" customHeight="false" outlineLevel="0" collapsed="false">
      <c r="A471" s="3" t="n">
        <f aca="false">IFERROR(__xludf.dummyfunction("""COMPUTED_VALUE"""),44876.6666666667)</f>
        <v>44876.6666666667</v>
      </c>
      <c r="B471" s="2" t="n">
        <f aca="false">IFERROR(__xludf.dummyfunction("""COMPUTED_VALUE"""),186)</f>
        <v>186</v>
      </c>
      <c r="C471" s="2" t="n">
        <f aca="false">IFERROR(__xludf.dummyfunction("""COMPUTED_VALUE"""),196.52)</f>
        <v>196.52</v>
      </c>
      <c r="D471" s="2" t="n">
        <f aca="false">IFERROR(__xludf.dummyfunction("""COMPUTED_VALUE"""),182.59)</f>
        <v>182.59</v>
      </c>
      <c r="E471" s="2" t="n">
        <f aca="false">IFERROR(__xludf.dummyfunction("""COMPUTED_VALUE"""),195.97)</f>
        <v>195.97</v>
      </c>
      <c r="F471" s="2" t="n">
        <f aca="false">IFERROR(__xludf.dummyfunction("""COMPUTED_VALUE"""),114403575)</f>
        <v>114403575</v>
      </c>
    </row>
    <row r="472" customFormat="false" ht="15.75" hidden="false" customHeight="false" outlineLevel="0" collapsed="false">
      <c r="A472" s="3" t="n">
        <f aca="false">IFERROR(__xludf.dummyfunction("""COMPUTED_VALUE"""),44879.6666666667)</f>
        <v>44879.6666666667</v>
      </c>
      <c r="B472" s="2" t="n">
        <f aca="false">IFERROR(__xludf.dummyfunction("""COMPUTED_VALUE"""),192.77)</f>
        <v>192.77</v>
      </c>
      <c r="C472" s="2" t="n">
        <f aca="false">IFERROR(__xludf.dummyfunction("""COMPUTED_VALUE"""),195.73)</f>
        <v>195.73</v>
      </c>
      <c r="D472" s="2" t="n">
        <f aca="false">IFERROR(__xludf.dummyfunction("""COMPUTED_VALUE"""),186.34)</f>
        <v>186.34</v>
      </c>
      <c r="E472" s="2" t="n">
        <f aca="false">IFERROR(__xludf.dummyfunction("""COMPUTED_VALUE"""),190.95)</f>
        <v>190.95</v>
      </c>
      <c r="F472" s="2" t="n">
        <f aca="false">IFERROR(__xludf.dummyfunction("""COMPUTED_VALUE"""),92226649)</f>
        <v>92226649</v>
      </c>
    </row>
    <row r="473" customFormat="false" ht="15.75" hidden="false" customHeight="false" outlineLevel="0" collapsed="false">
      <c r="A473" s="3" t="n">
        <f aca="false">IFERROR(__xludf.dummyfunction("""COMPUTED_VALUE"""),44880.6666666667)</f>
        <v>44880.6666666667</v>
      </c>
      <c r="B473" s="2" t="n">
        <f aca="false">IFERROR(__xludf.dummyfunction("""COMPUTED_VALUE"""),195.88)</f>
        <v>195.88</v>
      </c>
      <c r="C473" s="2" t="n">
        <f aca="false">IFERROR(__xludf.dummyfunction("""COMPUTED_VALUE"""),200.82)</f>
        <v>200.82</v>
      </c>
      <c r="D473" s="2" t="n">
        <f aca="false">IFERROR(__xludf.dummyfunction("""COMPUTED_VALUE"""),192.06)</f>
        <v>192.06</v>
      </c>
      <c r="E473" s="2" t="n">
        <f aca="false">IFERROR(__xludf.dummyfunction("""COMPUTED_VALUE"""),194.42)</f>
        <v>194.42</v>
      </c>
      <c r="F473" s="2" t="n">
        <f aca="false">IFERROR(__xludf.dummyfunction("""COMPUTED_VALUE"""),91293785)</f>
        <v>91293785</v>
      </c>
    </row>
    <row r="474" customFormat="false" ht="15.75" hidden="false" customHeight="false" outlineLevel="0" collapsed="false">
      <c r="A474" s="3" t="n">
        <f aca="false">IFERROR(__xludf.dummyfunction("""COMPUTED_VALUE"""),44881.6666666667)</f>
        <v>44881.6666666667</v>
      </c>
      <c r="B474" s="2" t="n">
        <f aca="false">IFERROR(__xludf.dummyfunction("""COMPUTED_VALUE"""),191.51)</f>
        <v>191.51</v>
      </c>
      <c r="C474" s="2" t="n">
        <f aca="false">IFERROR(__xludf.dummyfunction("""COMPUTED_VALUE"""),192.57)</f>
        <v>192.57</v>
      </c>
      <c r="D474" s="2" t="n">
        <f aca="false">IFERROR(__xludf.dummyfunction("""COMPUTED_VALUE"""),185.66)</f>
        <v>185.66</v>
      </c>
      <c r="E474" s="2" t="n">
        <f aca="false">IFERROR(__xludf.dummyfunction("""COMPUTED_VALUE"""),186.92)</f>
        <v>186.92</v>
      </c>
      <c r="F474" s="2" t="n">
        <f aca="false">IFERROR(__xludf.dummyfunction("""COMPUTED_VALUE"""),66567599)</f>
        <v>66567599</v>
      </c>
    </row>
    <row r="475" customFormat="false" ht="15.75" hidden="false" customHeight="false" outlineLevel="0" collapsed="false">
      <c r="A475" s="3" t="n">
        <f aca="false">IFERROR(__xludf.dummyfunction("""COMPUTED_VALUE"""),44882.6666666667)</f>
        <v>44882.6666666667</v>
      </c>
      <c r="B475" s="2" t="n">
        <f aca="false">IFERROR(__xludf.dummyfunction("""COMPUTED_VALUE"""),183.96)</f>
        <v>183.96</v>
      </c>
      <c r="C475" s="2" t="n">
        <f aca="false">IFERROR(__xludf.dummyfunction("""COMPUTED_VALUE"""),186.16)</f>
        <v>186.16</v>
      </c>
      <c r="D475" s="2" t="n">
        <f aca="false">IFERROR(__xludf.dummyfunction("""COMPUTED_VALUE"""),180.9)</f>
        <v>180.9</v>
      </c>
      <c r="E475" s="2" t="n">
        <f aca="false">IFERROR(__xludf.dummyfunction("""COMPUTED_VALUE"""),183.17)</f>
        <v>183.17</v>
      </c>
      <c r="F475" s="2" t="n">
        <f aca="false">IFERROR(__xludf.dummyfunction("""COMPUTED_VALUE"""),64335970)</f>
        <v>64335970</v>
      </c>
    </row>
    <row r="476" customFormat="false" ht="15.75" hidden="false" customHeight="false" outlineLevel="0" collapsed="false">
      <c r="A476" s="3" t="n">
        <f aca="false">IFERROR(__xludf.dummyfunction("""COMPUTED_VALUE"""),44883.6666666667)</f>
        <v>44883.6666666667</v>
      </c>
      <c r="B476" s="2" t="n">
        <f aca="false">IFERROR(__xludf.dummyfunction("""COMPUTED_VALUE"""),185.05)</f>
        <v>185.05</v>
      </c>
      <c r="C476" s="2" t="n">
        <f aca="false">IFERROR(__xludf.dummyfunction("""COMPUTED_VALUE"""),185.19)</f>
        <v>185.19</v>
      </c>
      <c r="D476" s="2" t="n">
        <f aca="false">IFERROR(__xludf.dummyfunction("""COMPUTED_VALUE"""),176.55)</f>
        <v>176.55</v>
      </c>
      <c r="E476" s="2" t="n">
        <f aca="false">IFERROR(__xludf.dummyfunction("""COMPUTED_VALUE"""),180.19)</f>
        <v>180.19</v>
      </c>
      <c r="F476" s="2" t="n">
        <f aca="false">IFERROR(__xludf.dummyfunction("""COMPUTED_VALUE"""),76048866)</f>
        <v>76048866</v>
      </c>
    </row>
    <row r="477" customFormat="false" ht="15.75" hidden="false" customHeight="false" outlineLevel="0" collapsed="false">
      <c r="A477" s="3" t="n">
        <f aca="false">IFERROR(__xludf.dummyfunction("""COMPUTED_VALUE"""),44886.6666666667)</f>
        <v>44886.6666666667</v>
      </c>
      <c r="B477" s="2" t="n">
        <f aca="false">IFERROR(__xludf.dummyfunction("""COMPUTED_VALUE"""),175.85)</f>
        <v>175.85</v>
      </c>
      <c r="C477" s="2" t="n">
        <f aca="false">IFERROR(__xludf.dummyfunction("""COMPUTED_VALUE"""),176.77)</f>
        <v>176.77</v>
      </c>
      <c r="D477" s="2" t="n">
        <f aca="false">IFERROR(__xludf.dummyfunction("""COMPUTED_VALUE"""),167.54)</f>
        <v>167.54</v>
      </c>
      <c r="E477" s="2" t="n">
        <f aca="false">IFERROR(__xludf.dummyfunction("""COMPUTED_VALUE"""),167.87)</f>
        <v>167.87</v>
      </c>
      <c r="F477" s="2" t="n">
        <f aca="false">IFERROR(__xludf.dummyfunction("""COMPUTED_VALUE"""),92882712)</f>
        <v>92882712</v>
      </c>
    </row>
    <row r="478" customFormat="false" ht="15.75" hidden="false" customHeight="false" outlineLevel="0" collapsed="false">
      <c r="A478" s="3" t="n">
        <f aca="false">IFERROR(__xludf.dummyfunction("""COMPUTED_VALUE"""),44887.6666666667)</f>
        <v>44887.6666666667</v>
      </c>
      <c r="B478" s="2" t="n">
        <f aca="false">IFERROR(__xludf.dummyfunction("""COMPUTED_VALUE"""),168.63)</f>
        <v>168.63</v>
      </c>
      <c r="C478" s="2" t="n">
        <f aca="false">IFERROR(__xludf.dummyfunction("""COMPUTED_VALUE"""),170.92)</f>
        <v>170.92</v>
      </c>
      <c r="D478" s="2" t="n">
        <f aca="false">IFERROR(__xludf.dummyfunction("""COMPUTED_VALUE"""),166.19)</f>
        <v>166.19</v>
      </c>
      <c r="E478" s="2" t="n">
        <f aca="false">IFERROR(__xludf.dummyfunction("""COMPUTED_VALUE"""),169.91)</f>
        <v>169.91</v>
      </c>
      <c r="F478" s="2" t="n">
        <f aca="false">IFERROR(__xludf.dummyfunction("""COMPUTED_VALUE"""),78452327)</f>
        <v>78452327</v>
      </c>
    </row>
    <row r="479" customFormat="false" ht="15.75" hidden="false" customHeight="false" outlineLevel="0" collapsed="false">
      <c r="A479" s="3" t="n">
        <f aca="false">IFERROR(__xludf.dummyfunction("""COMPUTED_VALUE"""),44888.6666666667)</f>
        <v>44888.6666666667</v>
      </c>
      <c r="B479" s="2" t="n">
        <f aca="false">IFERROR(__xludf.dummyfunction("""COMPUTED_VALUE"""),173.57)</f>
        <v>173.57</v>
      </c>
      <c r="C479" s="2" t="n">
        <f aca="false">IFERROR(__xludf.dummyfunction("""COMPUTED_VALUE"""),183.62)</f>
        <v>183.62</v>
      </c>
      <c r="D479" s="2" t="n">
        <f aca="false">IFERROR(__xludf.dummyfunction("""COMPUTED_VALUE"""),172.5)</f>
        <v>172.5</v>
      </c>
      <c r="E479" s="2" t="n">
        <f aca="false">IFERROR(__xludf.dummyfunction("""COMPUTED_VALUE"""),183.2)</f>
        <v>183.2</v>
      </c>
      <c r="F479" s="2" t="n">
        <f aca="false">IFERROR(__xludf.dummyfunction("""COMPUTED_VALUE"""),109536709)</f>
        <v>109536709</v>
      </c>
    </row>
    <row r="480" customFormat="false" ht="15.75" hidden="false" customHeight="false" outlineLevel="0" collapsed="false">
      <c r="A480" s="3" t="n">
        <f aca="false">IFERROR(__xludf.dummyfunction("""COMPUTED_VALUE"""),44890.5451388889)</f>
        <v>44890.5451388889</v>
      </c>
      <c r="B480" s="2" t="n">
        <f aca="false">IFERROR(__xludf.dummyfunction("""COMPUTED_VALUE"""),185.06)</f>
        <v>185.06</v>
      </c>
      <c r="C480" s="2" t="n">
        <f aca="false">IFERROR(__xludf.dummyfunction("""COMPUTED_VALUE"""),185.2)</f>
        <v>185.2</v>
      </c>
      <c r="D480" s="2" t="n">
        <f aca="false">IFERROR(__xludf.dummyfunction("""COMPUTED_VALUE"""),180.63)</f>
        <v>180.63</v>
      </c>
      <c r="E480" s="2" t="n">
        <f aca="false">IFERROR(__xludf.dummyfunction("""COMPUTED_VALUE"""),182.86)</f>
        <v>182.86</v>
      </c>
      <c r="F480" s="2" t="n">
        <f aca="false">IFERROR(__xludf.dummyfunction("""COMPUTED_VALUE"""),50672739)</f>
        <v>50672739</v>
      </c>
    </row>
    <row r="481" customFormat="false" ht="15.75" hidden="false" customHeight="false" outlineLevel="0" collapsed="false">
      <c r="A481" s="3" t="n">
        <f aca="false">IFERROR(__xludf.dummyfunction("""COMPUTED_VALUE"""),44893.6666666667)</f>
        <v>44893.6666666667</v>
      </c>
      <c r="B481" s="2" t="n">
        <f aca="false">IFERROR(__xludf.dummyfunction("""COMPUTED_VALUE"""),179.96)</f>
        <v>179.96</v>
      </c>
      <c r="C481" s="2" t="n">
        <f aca="false">IFERROR(__xludf.dummyfunction("""COMPUTED_VALUE"""),188.5)</f>
        <v>188.5</v>
      </c>
      <c r="D481" s="2" t="n">
        <f aca="false">IFERROR(__xludf.dummyfunction("""COMPUTED_VALUE"""),179)</f>
        <v>179</v>
      </c>
      <c r="E481" s="2" t="n">
        <f aca="false">IFERROR(__xludf.dummyfunction("""COMPUTED_VALUE"""),182.92)</f>
        <v>182.92</v>
      </c>
      <c r="F481" s="2" t="n">
        <f aca="false">IFERROR(__xludf.dummyfunction("""COMPUTED_VALUE"""),93038148)</f>
        <v>93038148</v>
      </c>
    </row>
    <row r="482" customFormat="false" ht="15.75" hidden="false" customHeight="false" outlineLevel="0" collapsed="false">
      <c r="A482" s="3" t="n">
        <f aca="false">IFERROR(__xludf.dummyfunction("""COMPUTED_VALUE"""),44894.6666666667)</f>
        <v>44894.6666666667</v>
      </c>
      <c r="B482" s="2" t="n">
        <f aca="false">IFERROR(__xludf.dummyfunction("""COMPUTED_VALUE"""),184.99)</f>
        <v>184.99</v>
      </c>
      <c r="C482" s="2" t="n">
        <f aca="false">IFERROR(__xludf.dummyfunction("""COMPUTED_VALUE"""),186.38)</f>
        <v>186.38</v>
      </c>
      <c r="D482" s="2" t="n">
        <f aca="false">IFERROR(__xludf.dummyfunction("""COMPUTED_VALUE"""),178.75)</f>
        <v>178.75</v>
      </c>
      <c r="E482" s="2" t="n">
        <f aca="false">IFERROR(__xludf.dummyfunction("""COMPUTED_VALUE"""),180.83)</f>
        <v>180.83</v>
      </c>
      <c r="F482" s="2" t="n">
        <f aca="false">IFERROR(__xludf.dummyfunction("""COMPUTED_VALUE"""),83357111)</f>
        <v>83357111</v>
      </c>
    </row>
    <row r="483" customFormat="false" ht="15.75" hidden="false" customHeight="false" outlineLevel="0" collapsed="false">
      <c r="A483" s="3" t="n">
        <f aca="false">IFERROR(__xludf.dummyfunction("""COMPUTED_VALUE"""),44895.6666666667)</f>
        <v>44895.6666666667</v>
      </c>
      <c r="B483" s="2" t="n">
        <f aca="false">IFERROR(__xludf.dummyfunction("""COMPUTED_VALUE"""),182.43)</f>
        <v>182.43</v>
      </c>
      <c r="C483" s="2" t="n">
        <f aca="false">IFERROR(__xludf.dummyfunction("""COMPUTED_VALUE"""),194.76)</f>
        <v>194.76</v>
      </c>
      <c r="D483" s="2" t="n">
        <f aca="false">IFERROR(__xludf.dummyfunction("""COMPUTED_VALUE"""),180.63)</f>
        <v>180.63</v>
      </c>
      <c r="E483" s="2" t="n">
        <f aca="false">IFERROR(__xludf.dummyfunction("""COMPUTED_VALUE"""),194.7)</f>
        <v>194.7</v>
      </c>
      <c r="F483" s="2" t="n">
        <f aca="false">IFERROR(__xludf.dummyfunction("""COMPUTED_VALUE"""),109186404)</f>
        <v>109186404</v>
      </c>
    </row>
    <row r="484" customFormat="false" ht="15.75" hidden="false" customHeight="false" outlineLevel="0" collapsed="false">
      <c r="A484" s="3" t="n">
        <f aca="false">IFERROR(__xludf.dummyfunction("""COMPUTED_VALUE"""),44896.6666666667)</f>
        <v>44896.6666666667</v>
      </c>
      <c r="B484" s="2" t="n">
        <f aca="false">IFERROR(__xludf.dummyfunction("""COMPUTED_VALUE"""),197.08)</f>
        <v>197.08</v>
      </c>
      <c r="C484" s="2" t="n">
        <f aca="false">IFERROR(__xludf.dummyfunction("""COMPUTED_VALUE"""),198.92)</f>
        <v>198.92</v>
      </c>
      <c r="D484" s="2" t="n">
        <f aca="false">IFERROR(__xludf.dummyfunction("""COMPUTED_VALUE"""),191.8)</f>
        <v>191.8</v>
      </c>
      <c r="E484" s="2" t="n">
        <f aca="false">IFERROR(__xludf.dummyfunction("""COMPUTED_VALUE"""),194.7)</f>
        <v>194.7</v>
      </c>
      <c r="F484" s="2" t="n">
        <f aca="false">IFERROR(__xludf.dummyfunction("""COMPUTED_VALUE"""),80046213)</f>
        <v>80046213</v>
      </c>
    </row>
    <row r="485" customFormat="false" ht="15.75" hidden="false" customHeight="false" outlineLevel="0" collapsed="false">
      <c r="A485" s="3" t="n">
        <f aca="false">IFERROR(__xludf.dummyfunction("""COMPUTED_VALUE"""),44897.6666666667)</f>
        <v>44897.6666666667</v>
      </c>
      <c r="B485" s="2" t="n">
        <f aca="false">IFERROR(__xludf.dummyfunction("""COMPUTED_VALUE"""),191.78)</f>
        <v>191.78</v>
      </c>
      <c r="C485" s="2" t="n">
        <f aca="false">IFERROR(__xludf.dummyfunction("""COMPUTED_VALUE"""),196.25)</f>
        <v>196.25</v>
      </c>
      <c r="D485" s="2" t="n">
        <f aca="false">IFERROR(__xludf.dummyfunction("""COMPUTED_VALUE"""),191.11)</f>
        <v>191.11</v>
      </c>
      <c r="E485" s="2" t="n">
        <f aca="false">IFERROR(__xludf.dummyfunction("""COMPUTED_VALUE"""),194.86)</f>
        <v>194.86</v>
      </c>
      <c r="F485" s="2" t="n">
        <f aca="false">IFERROR(__xludf.dummyfunction("""COMPUTED_VALUE"""),73645922)</f>
        <v>73645922</v>
      </c>
    </row>
    <row r="486" customFormat="false" ht="15.75" hidden="false" customHeight="false" outlineLevel="0" collapsed="false">
      <c r="A486" s="3" t="n">
        <f aca="false">IFERROR(__xludf.dummyfunction("""COMPUTED_VALUE"""),44900.6666666667)</f>
        <v>44900.6666666667</v>
      </c>
      <c r="B486" s="2" t="n">
        <f aca="false">IFERROR(__xludf.dummyfunction("""COMPUTED_VALUE"""),189.44)</f>
        <v>189.44</v>
      </c>
      <c r="C486" s="2" t="n">
        <f aca="false">IFERROR(__xludf.dummyfunction("""COMPUTED_VALUE"""),191.27)</f>
        <v>191.27</v>
      </c>
      <c r="D486" s="2" t="n">
        <f aca="false">IFERROR(__xludf.dummyfunction("""COMPUTED_VALUE"""),180.55)</f>
        <v>180.55</v>
      </c>
      <c r="E486" s="2" t="n">
        <f aca="false">IFERROR(__xludf.dummyfunction("""COMPUTED_VALUE"""),182.45)</f>
        <v>182.45</v>
      </c>
      <c r="F486" s="2" t="n">
        <f aca="false">IFERROR(__xludf.dummyfunction("""COMPUTED_VALUE"""),93122667)</f>
        <v>93122667</v>
      </c>
    </row>
    <row r="487" customFormat="false" ht="15.75" hidden="false" customHeight="false" outlineLevel="0" collapsed="false">
      <c r="A487" s="3" t="n">
        <f aca="false">IFERROR(__xludf.dummyfunction("""COMPUTED_VALUE"""),44901.6666666667)</f>
        <v>44901.6666666667</v>
      </c>
      <c r="B487" s="2" t="n">
        <f aca="false">IFERROR(__xludf.dummyfunction("""COMPUTED_VALUE"""),181.22)</f>
        <v>181.22</v>
      </c>
      <c r="C487" s="2" t="n">
        <f aca="false">IFERROR(__xludf.dummyfunction("""COMPUTED_VALUE"""),183.65)</f>
        <v>183.65</v>
      </c>
      <c r="D487" s="2" t="n">
        <f aca="false">IFERROR(__xludf.dummyfunction("""COMPUTED_VALUE"""),175.33)</f>
        <v>175.33</v>
      </c>
      <c r="E487" s="2" t="n">
        <f aca="false">IFERROR(__xludf.dummyfunction("""COMPUTED_VALUE"""),179.82)</f>
        <v>179.82</v>
      </c>
      <c r="F487" s="2" t="n">
        <f aca="false">IFERROR(__xludf.dummyfunction("""COMPUTED_VALUE"""),92150823)</f>
        <v>92150823</v>
      </c>
    </row>
    <row r="488" customFormat="false" ht="15.75" hidden="false" customHeight="false" outlineLevel="0" collapsed="false">
      <c r="A488" s="3" t="n">
        <f aca="false">IFERROR(__xludf.dummyfunction("""COMPUTED_VALUE"""),44902.6666666667)</f>
        <v>44902.6666666667</v>
      </c>
      <c r="B488" s="2" t="n">
        <f aca="false">IFERROR(__xludf.dummyfunction("""COMPUTED_VALUE"""),175.03)</f>
        <v>175.03</v>
      </c>
      <c r="C488" s="2" t="n">
        <f aca="false">IFERROR(__xludf.dummyfunction("""COMPUTED_VALUE"""),179.38)</f>
        <v>179.38</v>
      </c>
      <c r="D488" s="2" t="n">
        <f aca="false">IFERROR(__xludf.dummyfunction("""COMPUTED_VALUE"""),172.22)</f>
        <v>172.22</v>
      </c>
      <c r="E488" s="2" t="n">
        <f aca="false">IFERROR(__xludf.dummyfunction("""COMPUTED_VALUE"""),174.04)</f>
        <v>174.04</v>
      </c>
      <c r="F488" s="2" t="n">
        <f aca="false">IFERROR(__xludf.dummyfunction("""COMPUTED_VALUE"""),84213284)</f>
        <v>84213284</v>
      </c>
    </row>
    <row r="489" customFormat="false" ht="15.75" hidden="false" customHeight="false" outlineLevel="0" collapsed="false">
      <c r="A489" s="3" t="n">
        <f aca="false">IFERROR(__xludf.dummyfunction("""COMPUTED_VALUE"""),44903.6666666667)</f>
        <v>44903.6666666667</v>
      </c>
      <c r="B489" s="2" t="n">
        <f aca="false">IFERROR(__xludf.dummyfunction("""COMPUTED_VALUE"""),172.2)</f>
        <v>172.2</v>
      </c>
      <c r="C489" s="2" t="n">
        <f aca="false">IFERROR(__xludf.dummyfunction("""COMPUTED_VALUE"""),175.2)</f>
        <v>175.2</v>
      </c>
      <c r="D489" s="2" t="n">
        <f aca="false">IFERROR(__xludf.dummyfunction("""COMPUTED_VALUE"""),169.06)</f>
        <v>169.06</v>
      </c>
      <c r="E489" s="2" t="n">
        <f aca="false">IFERROR(__xludf.dummyfunction("""COMPUTED_VALUE"""),173.44)</f>
        <v>173.44</v>
      </c>
      <c r="F489" s="2" t="n">
        <f aca="false">IFERROR(__xludf.dummyfunction("""COMPUTED_VALUE"""),97624491)</f>
        <v>97624491</v>
      </c>
    </row>
    <row r="490" customFormat="false" ht="15.75" hidden="false" customHeight="false" outlineLevel="0" collapsed="false">
      <c r="A490" s="3" t="n">
        <f aca="false">IFERROR(__xludf.dummyfunction("""COMPUTED_VALUE"""),44904.6666666667)</f>
        <v>44904.6666666667</v>
      </c>
      <c r="B490" s="2" t="n">
        <f aca="false">IFERROR(__xludf.dummyfunction("""COMPUTED_VALUE"""),173.84)</f>
        <v>173.84</v>
      </c>
      <c r="C490" s="2" t="n">
        <f aca="false">IFERROR(__xludf.dummyfunction("""COMPUTED_VALUE"""),182.5)</f>
        <v>182.5</v>
      </c>
      <c r="D490" s="2" t="n">
        <f aca="false">IFERROR(__xludf.dummyfunction("""COMPUTED_VALUE"""),173.36)</f>
        <v>173.36</v>
      </c>
      <c r="E490" s="2" t="n">
        <f aca="false">IFERROR(__xludf.dummyfunction("""COMPUTED_VALUE"""),179.05)</f>
        <v>179.05</v>
      </c>
      <c r="F490" s="2" t="n">
        <f aca="false">IFERROR(__xludf.dummyfunction("""COMPUTED_VALUE"""),104872336)</f>
        <v>104872336</v>
      </c>
    </row>
    <row r="491" customFormat="false" ht="15.75" hidden="false" customHeight="false" outlineLevel="0" collapsed="false">
      <c r="A491" s="3" t="n">
        <f aca="false">IFERROR(__xludf.dummyfunction("""COMPUTED_VALUE"""),44907.6666666667)</f>
        <v>44907.6666666667</v>
      </c>
      <c r="B491" s="2" t="n">
        <f aca="false">IFERROR(__xludf.dummyfunction("""COMPUTED_VALUE"""),176.1)</f>
        <v>176.1</v>
      </c>
      <c r="C491" s="2" t="n">
        <f aca="false">IFERROR(__xludf.dummyfunction("""COMPUTED_VALUE"""),177.37)</f>
        <v>177.37</v>
      </c>
      <c r="D491" s="2" t="n">
        <f aca="false">IFERROR(__xludf.dummyfunction("""COMPUTED_VALUE"""),167.52)</f>
        <v>167.52</v>
      </c>
      <c r="E491" s="2" t="n">
        <f aca="false">IFERROR(__xludf.dummyfunction("""COMPUTED_VALUE"""),167.82)</f>
        <v>167.82</v>
      </c>
      <c r="F491" s="2" t="n">
        <f aca="false">IFERROR(__xludf.dummyfunction("""COMPUTED_VALUE"""),109794471)</f>
        <v>109794471</v>
      </c>
    </row>
    <row r="492" customFormat="false" ht="15.75" hidden="false" customHeight="false" outlineLevel="0" collapsed="false">
      <c r="A492" s="3" t="n">
        <f aca="false">IFERROR(__xludf.dummyfunction("""COMPUTED_VALUE"""),44908.6666666667)</f>
        <v>44908.6666666667</v>
      </c>
      <c r="B492" s="2" t="n">
        <f aca="false">IFERROR(__xludf.dummyfunction("""COMPUTED_VALUE"""),174.87)</f>
        <v>174.87</v>
      </c>
      <c r="C492" s="2" t="n">
        <f aca="false">IFERROR(__xludf.dummyfunction("""COMPUTED_VALUE"""),175.05)</f>
        <v>175.05</v>
      </c>
      <c r="D492" s="2" t="n">
        <f aca="false">IFERROR(__xludf.dummyfunction("""COMPUTED_VALUE"""),156.91)</f>
        <v>156.91</v>
      </c>
      <c r="E492" s="2" t="n">
        <f aca="false">IFERROR(__xludf.dummyfunction("""COMPUTED_VALUE"""),160.95)</f>
        <v>160.95</v>
      </c>
      <c r="F492" s="2" t="n">
        <f aca="false">IFERROR(__xludf.dummyfunction("""COMPUTED_VALUE"""),175862722)</f>
        <v>175862722</v>
      </c>
    </row>
    <row r="493" customFormat="false" ht="15.75" hidden="false" customHeight="false" outlineLevel="0" collapsed="false">
      <c r="A493" s="3" t="n">
        <f aca="false">IFERROR(__xludf.dummyfunction("""COMPUTED_VALUE"""),44909.6666666667)</f>
        <v>44909.6666666667</v>
      </c>
      <c r="B493" s="2" t="n">
        <f aca="false">IFERROR(__xludf.dummyfunction("""COMPUTED_VALUE"""),159.25)</f>
        <v>159.25</v>
      </c>
      <c r="C493" s="2" t="n">
        <f aca="false">IFERROR(__xludf.dummyfunction("""COMPUTED_VALUE"""),161.62)</f>
        <v>161.62</v>
      </c>
      <c r="D493" s="2" t="n">
        <f aca="false">IFERROR(__xludf.dummyfunction("""COMPUTED_VALUE"""),155.31)</f>
        <v>155.31</v>
      </c>
      <c r="E493" s="2" t="n">
        <f aca="false">IFERROR(__xludf.dummyfunction("""COMPUTED_VALUE"""),156.8)</f>
        <v>156.8</v>
      </c>
      <c r="F493" s="2" t="n">
        <f aca="false">IFERROR(__xludf.dummyfunction("""COMPUTED_VALUE"""),140682338)</f>
        <v>140682338</v>
      </c>
    </row>
    <row r="494" customFormat="false" ht="15.75" hidden="false" customHeight="false" outlineLevel="0" collapsed="false">
      <c r="A494" s="3" t="n">
        <f aca="false">IFERROR(__xludf.dummyfunction("""COMPUTED_VALUE"""),44910.6666666667)</f>
        <v>44910.6666666667</v>
      </c>
      <c r="B494" s="2" t="n">
        <f aca="false">IFERROR(__xludf.dummyfunction("""COMPUTED_VALUE"""),153.44)</f>
        <v>153.44</v>
      </c>
      <c r="C494" s="2" t="n">
        <f aca="false">IFERROR(__xludf.dummyfunction("""COMPUTED_VALUE"""),160.93)</f>
        <v>160.93</v>
      </c>
      <c r="D494" s="2" t="n">
        <f aca="false">IFERROR(__xludf.dummyfunction("""COMPUTED_VALUE"""),153.28)</f>
        <v>153.28</v>
      </c>
      <c r="E494" s="2" t="n">
        <f aca="false">IFERROR(__xludf.dummyfunction("""COMPUTED_VALUE"""),157.67)</f>
        <v>157.67</v>
      </c>
      <c r="F494" s="2" t="n">
        <f aca="false">IFERROR(__xludf.dummyfunction("""COMPUTED_VALUE"""),122334459)</f>
        <v>122334459</v>
      </c>
    </row>
    <row r="495" customFormat="false" ht="15.75" hidden="false" customHeight="false" outlineLevel="0" collapsed="false">
      <c r="A495" s="3" t="n">
        <f aca="false">IFERROR(__xludf.dummyfunction("""COMPUTED_VALUE"""),44911.6666666667)</f>
        <v>44911.6666666667</v>
      </c>
      <c r="B495" s="2" t="n">
        <f aca="false">IFERROR(__xludf.dummyfunction("""COMPUTED_VALUE"""),159.64)</f>
        <v>159.64</v>
      </c>
      <c r="C495" s="2" t="n">
        <f aca="false">IFERROR(__xludf.dummyfunction("""COMPUTED_VALUE"""),160.99)</f>
        <v>160.99</v>
      </c>
      <c r="D495" s="2" t="n">
        <f aca="false">IFERROR(__xludf.dummyfunction("""COMPUTED_VALUE"""),150.04)</f>
        <v>150.04</v>
      </c>
      <c r="E495" s="2" t="n">
        <f aca="false">IFERROR(__xludf.dummyfunction("""COMPUTED_VALUE"""),150.23)</f>
        <v>150.23</v>
      </c>
      <c r="F495" s="2" t="n">
        <f aca="false">IFERROR(__xludf.dummyfunction("""COMPUTED_VALUE"""),139032175)</f>
        <v>139032175</v>
      </c>
    </row>
    <row r="496" customFormat="false" ht="15.75" hidden="false" customHeight="false" outlineLevel="0" collapsed="false">
      <c r="A496" s="3" t="n">
        <f aca="false">IFERROR(__xludf.dummyfunction("""COMPUTED_VALUE"""),44914.6666666667)</f>
        <v>44914.6666666667</v>
      </c>
      <c r="B496" s="2" t="n">
        <f aca="false">IFERROR(__xludf.dummyfunction("""COMPUTED_VALUE"""),154)</f>
        <v>154</v>
      </c>
      <c r="C496" s="2" t="n">
        <f aca="false">IFERROR(__xludf.dummyfunction("""COMPUTED_VALUE"""),155.25)</f>
        <v>155.25</v>
      </c>
      <c r="D496" s="2" t="n">
        <f aca="false">IFERROR(__xludf.dummyfunction("""COMPUTED_VALUE"""),145.82)</f>
        <v>145.82</v>
      </c>
      <c r="E496" s="2" t="n">
        <f aca="false">IFERROR(__xludf.dummyfunction("""COMPUTED_VALUE"""),149.87)</f>
        <v>149.87</v>
      </c>
      <c r="F496" s="2" t="n">
        <f aca="false">IFERROR(__xludf.dummyfunction("""COMPUTED_VALUE"""),139390634)</f>
        <v>139390634</v>
      </c>
    </row>
    <row r="497" customFormat="false" ht="15.75" hidden="false" customHeight="false" outlineLevel="0" collapsed="false">
      <c r="A497" s="3" t="n">
        <f aca="false">IFERROR(__xludf.dummyfunction("""COMPUTED_VALUE"""),44915.6666666667)</f>
        <v>44915.6666666667</v>
      </c>
      <c r="B497" s="2" t="n">
        <f aca="false">IFERROR(__xludf.dummyfunction("""COMPUTED_VALUE"""),146.05)</f>
        <v>146.05</v>
      </c>
      <c r="C497" s="2" t="n">
        <f aca="false">IFERROR(__xludf.dummyfunction("""COMPUTED_VALUE"""),148.47)</f>
        <v>148.47</v>
      </c>
      <c r="D497" s="2" t="n">
        <f aca="false">IFERROR(__xludf.dummyfunction("""COMPUTED_VALUE"""),137.66)</f>
        <v>137.66</v>
      </c>
      <c r="E497" s="2" t="n">
        <f aca="false">IFERROR(__xludf.dummyfunction("""COMPUTED_VALUE"""),137.8)</f>
        <v>137.8</v>
      </c>
      <c r="F497" s="2" t="n">
        <f aca="false">IFERROR(__xludf.dummyfunction("""COMPUTED_VALUE"""),159563267)</f>
        <v>159563267</v>
      </c>
    </row>
    <row r="498" customFormat="false" ht="15.75" hidden="false" customHeight="false" outlineLevel="0" collapsed="false">
      <c r="A498" s="3" t="n">
        <f aca="false">IFERROR(__xludf.dummyfunction("""COMPUTED_VALUE"""),44916.6666666667)</f>
        <v>44916.6666666667</v>
      </c>
      <c r="B498" s="2" t="n">
        <f aca="false">IFERROR(__xludf.dummyfunction("""COMPUTED_VALUE"""),139.34)</f>
        <v>139.34</v>
      </c>
      <c r="C498" s="2" t="n">
        <f aca="false">IFERROR(__xludf.dummyfunction("""COMPUTED_VALUE"""),141.26)</f>
        <v>141.26</v>
      </c>
      <c r="D498" s="2" t="n">
        <f aca="false">IFERROR(__xludf.dummyfunction("""COMPUTED_VALUE"""),135.89)</f>
        <v>135.89</v>
      </c>
      <c r="E498" s="2" t="n">
        <f aca="false">IFERROR(__xludf.dummyfunction("""COMPUTED_VALUE"""),137.57)</f>
        <v>137.57</v>
      </c>
      <c r="F498" s="2" t="n">
        <f aca="false">IFERROR(__xludf.dummyfunction("""COMPUTED_VALUE"""),145417412)</f>
        <v>145417412</v>
      </c>
    </row>
    <row r="499" customFormat="false" ht="15.75" hidden="false" customHeight="false" outlineLevel="0" collapsed="false">
      <c r="A499" s="3" t="n">
        <f aca="false">IFERROR(__xludf.dummyfunction("""COMPUTED_VALUE"""),44917.6666666667)</f>
        <v>44917.6666666667</v>
      </c>
      <c r="B499" s="2" t="n">
        <f aca="false">IFERROR(__xludf.dummyfunction("""COMPUTED_VALUE"""),136)</f>
        <v>136</v>
      </c>
      <c r="C499" s="2" t="n">
        <f aca="false">IFERROR(__xludf.dummyfunction("""COMPUTED_VALUE"""),136.63)</f>
        <v>136.63</v>
      </c>
      <c r="D499" s="2" t="n">
        <f aca="false">IFERROR(__xludf.dummyfunction("""COMPUTED_VALUE"""),122.26)</f>
        <v>122.26</v>
      </c>
      <c r="E499" s="2" t="n">
        <f aca="false">IFERROR(__xludf.dummyfunction("""COMPUTED_VALUE"""),125.35)</f>
        <v>125.35</v>
      </c>
      <c r="F499" s="2" t="n">
        <f aca="false">IFERROR(__xludf.dummyfunction("""COMPUTED_VALUE"""),210090250)</f>
        <v>210090250</v>
      </c>
    </row>
    <row r="500" customFormat="false" ht="15.75" hidden="false" customHeight="false" outlineLevel="0" collapsed="false">
      <c r="A500" s="3" t="n">
        <f aca="false">IFERROR(__xludf.dummyfunction("""COMPUTED_VALUE"""),44918.6666666667)</f>
        <v>44918.6666666667</v>
      </c>
      <c r="B500" s="2" t="n">
        <f aca="false">IFERROR(__xludf.dummyfunction("""COMPUTED_VALUE"""),126.37)</f>
        <v>126.37</v>
      </c>
      <c r="C500" s="2" t="n">
        <f aca="false">IFERROR(__xludf.dummyfunction("""COMPUTED_VALUE"""),128.62)</f>
        <v>128.62</v>
      </c>
      <c r="D500" s="2" t="n">
        <f aca="false">IFERROR(__xludf.dummyfunction("""COMPUTED_VALUE"""),121.02)</f>
        <v>121.02</v>
      </c>
      <c r="E500" s="2" t="n">
        <f aca="false">IFERROR(__xludf.dummyfunction("""COMPUTED_VALUE"""),123.15)</f>
        <v>123.15</v>
      </c>
      <c r="F500" s="2" t="n">
        <f aca="false">IFERROR(__xludf.dummyfunction("""COMPUTED_VALUE"""),166989688)</f>
        <v>166989688</v>
      </c>
    </row>
    <row r="501" customFormat="false" ht="15.75" hidden="false" customHeight="false" outlineLevel="0" collapsed="false">
      <c r="A501" s="3" t="n">
        <f aca="false">IFERROR(__xludf.dummyfunction("""COMPUTED_VALUE"""),44922.6666666667)</f>
        <v>44922.6666666667</v>
      </c>
      <c r="B501" s="2" t="n">
        <f aca="false">IFERROR(__xludf.dummyfunction("""COMPUTED_VALUE"""),117.5)</f>
        <v>117.5</v>
      </c>
      <c r="C501" s="2" t="n">
        <f aca="false">IFERROR(__xludf.dummyfunction("""COMPUTED_VALUE"""),119.67)</f>
        <v>119.67</v>
      </c>
      <c r="D501" s="2" t="n">
        <f aca="false">IFERROR(__xludf.dummyfunction("""COMPUTED_VALUE"""),108.76)</f>
        <v>108.76</v>
      </c>
      <c r="E501" s="2" t="n">
        <f aca="false">IFERROR(__xludf.dummyfunction("""COMPUTED_VALUE"""),109.1)</f>
        <v>109.1</v>
      </c>
      <c r="F501" s="2" t="n">
        <f aca="false">IFERROR(__xludf.dummyfunction("""COMPUTED_VALUE"""),208643444)</f>
        <v>208643444</v>
      </c>
    </row>
    <row r="502" customFormat="false" ht="15.75" hidden="false" customHeight="false" outlineLevel="0" collapsed="false">
      <c r="A502" s="3" t="n">
        <f aca="false">IFERROR(__xludf.dummyfunction("""COMPUTED_VALUE"""),44923.6666666667)</f>
        <v>44923.6666666667</v>
      </c>
      <c r="B502" s="2" t="n">
        <f aca="false">IFERROR(__xludf.dummyfunction("""COMPUTED_VALUE"""),110.35)</f>
        <v>110.35</v>
      </c>
      <c r="C502" s="2" t="n">
        <f aca="false">IFERROR(__xludf.dummyfunction("""COMPUTED_VALUE"""),116.27)</f>
        <v>116.27</v>
      </c>
      <c r="D502" s="2" t="n">
        <f aca="false">IFERROR(__xludf.dummyfunction("""COMPUTED_VALUE"""),108.24)</f>
        <v>108.24</v>
      </c>
      <c r="E502" s="2" t="n">
        <f aca="false">IFERROR(__xludf.dummyfunction("""COMPUTED_VALUE"""),112.71)</f>
        <v>112.71</v>
      </c>
      <c r="F502" s="2" t="n">
        <f aca="false">IFERROR(__xludf.dummyfunction("""COMPUTED_VALUE"""),221070537)</f>
        <v>221070537</v>
      </c>
    </row>
    <row r="503" customFormat="false" ht="15.75" hidden="false" customHeight="false" outlineLevel="0" collapsed="false">
      <c r="A503" s="3" t="n">
        <f aca="false">IFERROR(__xludf.dummyfunction("""COMPUTED_VALUE"""),44924.6666666667)</f>
        <v>44924.6666666667</v>
      </c>
      <c r="B503" s="2" t="n">
        <f aca="false">IFERROR(__xludf.dummyfunction("""COMPUTED_VALUE"""),120.39)</f>
        <v>120.39</v>
      </c>
      <c r="C503" s="2" t="n">
        <f aca="false">IFERROR(__xludf.dummyfunction("""COMPUTED_VALUE"""),123.57)</f>
        <v>123.57</v>
      </c>
      <c r="D503" s="2" t="n">
        <f aca="false">IFERROR(__xludf.dummyfunction("""COMPUTED_VALUE"""),117.5)</f>
        <v>117.5</v>
      </c>
      <c r="E503" s="2" t="n">
        <f aca="false">IFERROR(__xludf.dummyfunction("""COMPUTED_VALUE"""),121.82)</f>
        <v>121.82</v>
      </c>
      <c r="F503" s="2" t="n">
        <f aca="false">IFERROR(__xludf.dummyfunction("""COMPUTED_VALUE"""),221923313)</f>
        <v>221923313</v>
      </c>
    </row>
    <row r="504" customFormat="false" ht="15.75" hidden="false" customHeight="false" outlineLevel="0" collapsed="false">
      <c r="A504" s="3" t="n">
        <f aca="false">IFERROR(__xludf.dummyfunction("""COMPUTED_VALUE"""),44925.6666666667)</f>
        <v>44925.6666666667</v>
      </c>
      <c r="B504" s="2" t="n">
        <f aca="false">IFERROR(__xludf.dummyfunction("""COMPUTED_VALUE"""),119.95)</f>
        <v>119.95</v>
      </c>
      <c r="C504" s="2" t="n">
        <f aca="false">IFERROR(__xludf.dummyfunction("""COMPUTED_VALUE"""),124.48)</f>
        <v>124.48</v>
      </c>
      <c r="D504" s="2" t="n">
        <f aca="false">IFERROR(__xludf.dummyfunction("""COMPUTED_VALUE"""),119.75)</f>
        <v>119.75</v>
      </c>
      <c r="E504" s="2" t="n">
        <f aca="false">IFERROR(__xludf.dummyfunction("""COMPUTED_VALUE"""),123.18)</f>
        <v>123.18</v>
      </c>
      <c r="F504" s="2" t="n">
        <f aca="false">IFERROR(__xludf.dummyfunction("""COMPUTED_VALUE"""),157777339)</f>
        <v>157777339</v>
      </c>
    </row>
    <row r="505" customFormat="false" ht="15.75" hidden="false" customHeight="false" outlineLevel="0" collapsed="false">
      <c r="A505" s="3" t="n">
        <f aca="false">IFERROR(__xludf.dummyfunction("""COMPUTED_VALUE"""),44929.6666666667)</f>
        <v>44929.6666666667</v>
      </c>
      <c r="B505" s="2" t="n">
        <f aca="false">IFERROR(__xludf.dummyfunction("""COMPUTED_VALUE"""),118.47)</f>
        <v>118.47</v>
      </c>
      <c r="C505" s="2" t="n">
        <f aca="false">IFERROR(__xludf.dummyfunction("""COMPUTED_VALUE"""),118.8)</f>
        <v>118.8</v>
      </c>
      <c r="D505" s="2" t="n">
        <f aca="false">IFERROR(__xludf.dummyfunction("""COMPUTED_VALUE"""),104.64)</f>
        <v>104.64</v>
      </c>
      <c r="E505" s="2" t="n">
        <f aca="false">IFERROR(__xludf.dummyfunction("""COMPUTED_VALUE"""),108.1)</f>
        <v>108.1</v>
      </c>
      <c r="F505" s="2" t="n">
        <f aca="false">IFERROR(__xludf.dummyfunction("""COMPUTED_VALUE"""),231402818)</f>
        <v>231402818</v>
      </c>
    </row>
    <row r="506" customFormat="false" ht="15.75" hidden="false" customHeight="false" outlineLevel="0" collapsed="false">
      <c r="A506" s="3" t="n">
        <f aca="false">IFERROR(__xludf.dummyfunction("""COMPUTED_VALUE"""),44930.6666666667)</f>
        <v>44930.6666666667</v>
      </c>
      <c r="B506" s="2" t="n">
        <f aca="false">IFERROR(__xludf.dummyfunction("""COMPUTED_VALUE"""),109.11)</f>
        <v>109.11</v>
      </c>
      <c r="C506" s="2" t="n">
        <f aca="false">IFERROR(__xludf.dummyfunction("""COMPUTED_VALUE"""),114.59)</f>
        <v>114.59</v>
      </c>
      <c r="D506" s="2" t="n">
        <f aca="false">IFERROR(__xludf.dummyfunction("""COMPUTED_VALUE"""),107.52)</f>
        <v>107.52</v>
      </c>
      <c r="E506" s="2" t="n">
        <f aca="false">IFERROR(__xludf.dummyfunction("""COMPUTED_VALUE"""),113.64)</f>
        <v>113.64</v>
      </c>
      <c r="F506" s="2" t="n">
        <f aca="false">IFERROR(__xludf.dummyfunction("""COMPUTED_VALUE"""),180388976)</f>
        <v>180388976</v>
      </c>
    </row>
    <row r="507" customFormat="false" ht="15.75" hidden="false" customHeight="false" outlineLevel="0" collapsed="false">
      <c r="A507" s="3" t="n">
        <f aca="false">IFERROR(__xludf.dummyfunction("""COMPUTED_VALUE"""),44931.6666666667)</f>
        <v>44931.6666666667</v>
      </c>
      <c r="B507" s="2" t="n">
        <f aca="false">IFERROR(__xludf.dummyfunction("""COMPUTED_VALUE"""),110.51)</f>
        <v>110.51</v>
      </c>
      <c r="C507" s="2" t="n">
        <f aca="false">IFERROR(__xludf.dummyfunction("""COMPUTED_VALUE"""),111.75)</f>
        <v>111.75</v>
      </c>
      <c r="D507" s="2" t="n">
        <f aca="false">IFERROR(__xludf.dummyfunction("""COMPUTED_VALUE"""),107.16)</f>
        <v>107.16</v>
      </c>
      <c r="E507" s="2" t="n">
        <f aca="false">IFERROR(__xludf.dummyfunction("""COMPUTED_VALUE"""),110.34)</f>
        <v>110.34</v>
      </c>
      <c r="F507" s="2" t="n">
        <f aca="false">IFERROR(__xludf.dummyfunction("""COMPUTED_VALUE"""),157986324)</f>
        <v>157986324</v>
      </c>
    </row>
    <row r="508" customFormat="false" ht="15.75" hidden="false" customHeight="false" outlineLevel="0" collapsed="false">
      <c r="A508" s="3" t="n">
        <f aca="false">IFERROR(__xludf.dummyfunction("""COMPUTED_VALUE"""),44932.6666666667)</f>
        <v>44932.6666666667</v>
      </c>
      <c r="B508" s="2" t="n">
        <f aca="false">IFERROR(__xludf.dummyfunction("""COMPUTED_VALUE"""),103)</f>
        <v>103</v>
      </c>
      <c r="C508" s="2" t="n">
        <f aca="false">IFERROR(__xludf.dummyfunction("""COMPUTED_VALUE"""),114.39)</f>
        <v>114.39</v>
      </c>
      <c r="D508" s="2" t="n">
        <f aca="false">IFERROR(__xludf.dummyfunction("""COMPUTED_VALUE"""),101.81)</f>
        <v>101.81</v>
      </c>
      <c r="E508" s="2" t="n">
        <f aca="false">IFERROR(__xludf.dummyfunction("""COMPUTED_VALUE"""),113.06)</f>
        <v>113.06</v>
      </c>
      <c r="F508" s="2" t="n">
        <f aca="false">IFERROR(__xludf.dummyfunction("""COMPUTED_VALUE"""),220911051)</f>
        <v>220911051</v>
      </c>
    </row>
    <row r="509" customFormat="false" ht="15.75" hidden="false" customHeight="false" outlineLevel="0" collapsed="false">
      <c r="A509" s="3" t="n">
        <f aca="false">IFERROR(__xludf.dummyfunction("""COMPUTED_VALUE"""),44935.6666666667)</f>
        <v>44935.6666666667</v>
      </c>
      <c r="B509" s="2" t="n">
        <f aca="false">IFERROR(__xludf.dummyfunction("""COMPUTED_VALUE"""),118.96)</f>
        <v>118.96</v>
      </c>
      <c r="C509" s="2" t="n">
        <f aca="false">IFERROR(__xludf.dummyfunction("""COMPUTED_VALUE"""),123.52)</f>
        <v>123.52</v>
      </c>
      <c r="D509" s="2" t="n">
        <f aca="false">IFERROR(__xludf.dummyfunction("""COMPUTED_VALUE"""),117.11)</f>
        <v>117.11</v>
      </c>
      <c r="E509" s="2" t="n">
        <f aca="false">IFERROR(__xludf.dummyfunction("""COMPUTED_VALUE"""),119.77)</f>
        <v>119.77</v>
      </c>
      <c r="F509" s="2" t="n">
        <f aca="false">IFERROR(__xludf.dummyfunction("""COMPUTED_VALUE"""),190283951)</f>
        <v>190283951</v>
      </c>
    </row>
    <row r="510" customFormat="false" ht="15.75" hidden="false" customHeight="false" outlineLevel="0" collapsed="false">
      <c r="A510" s="3" t="n">
        <f aca="false">IFERROR(__xludf.dummyfunction("""COMPUTED_VALUE"""),44936.6666666667)</f>
        <v>44936.6666666667</v>
      </c>
      <c r="B510" s="2" t="n">
        <f aca="false">IFERROR(__xludf.dummyfunction("""COMPUTED_VALUE"""),121.07)</f>
        <v>121.07</v>
      </c>
      <c r="C510" s="2" t="n">
        <f aca="false">IFERROR(__xludf.dummyfunction("""COMPUTED_VALUE"""),122.76)</f>
        <v>122.76</v>
      </c>
      <c r="D510" s="2" t="n">
        <f aca="false">IFERROR(__xludf.dummyfunction("""COMPUTED_VALUE"""),114.92)</f>
        <v>114.92</v>
      </c>
      <c r="E510" s="2" t="n">
        <f aca="false">IFERROR(__xludf.dummyfunction("""COMPUTED_VALUE"""),118.85)</f>
        <v>118.85</v>
      </c>
      <c r="F510" s="2" t="n">
        <f aca="false">IFERROR(__xludf.dummyfunction("""COMPUTED_VALUE"""),167642485)</f>
        <v>167642485</v>
      </c>
    </row>
    <row r="511" customFormat="false" ht="15.75" hidden="false" customHeight="false" outlineLevel="0" collapsed="false">
      <c r="A511" s="3" t="n">
        <f aca="false">IFERROR(__xludf.dummyfunction("""COMPUTED_VALUE"""),44937.6666666667)</f>
        <v>44937.6666666667</v>
      </c>
      <c r="B511" s="2" t="n">
        <f aca="false">IFERROR(__xludf.dummyfunction("""COMPUTED_VALUE"""),122.09)</f>
        <v>122.09</v>
      </c>
      <c r="C511" s="2" t="n">
        <f aca="false">IFERROR(__xludf.dummyfunction("""COMPUTED_VALUE"""),125.95)</f>
        <v>125.95</v>
      </c>
      <c r="D511" s="2" t="n">
        <f aca="false">IFERROR(__xludf.dummyfunction("""COMPUTED_VALUE"""),120.51)</f>
        <v>120.51</v>
      </c>
      <c r="E511" s="2" t="n">
        <f aca="false">IFERROR(__xludf.dummyfunction("""COMPUTED_VALUE"""),123.22)</f>
        <v>123.22</v>
      </c>
      <c r="F511" s="2" t="n">
        <f aca="false">IFERROR(__xludf.dummyfunction("""COMPUTED_VALUE"""),183810771)</f>
        <v>183810771</v>
      </c>
    </row>
    <row r="512" customFormat="false" ht="15.75" hidden="false" customHeight="false" outlineLevel="0" collapsed="false">
      <c r="A512" s="3" t="n">
        <f aca="false">IFERROR(__xludf.dummyfunction("""COMPUTED_VALUE"""),44938.6666666667)</f>
        <v>44938.6666666667</v>
      </c>
      <c r="B512" s="2" t="n">
        <f aca="false">IFERROR(__xludf.dummyfunction("""COMPUTED_VALUE"""),122.56)</f>
        <v>122.56</v>
      </c>
      <c r="C512" s="2" t="n">
        <f aca="false">IFERROR(__xludf.dummyfunction("""COMPUTED_VALUE"""),124.13)</f>
        <v>124.13</v>
      </c>
      <c r="D512" s="2" t="n">
        <f aca="false">IFERROR(__xludf.dummyfunction("""COMPUTED_VALUE"""),117)</f>
        <v>117</v>
      </c>
      <c r="E512" s="2" t="n">
        <f aca="false">IFERROR(__xludf.dummyfunction("""COMPUTED_VALUE"""),123.56)</f>
        <v>123.56</v>
      </c>
      <c r="F512" s="2" t="n">
        <f aca="false">IFERROR(__xludf.dummyfunction("""COMPUTED_VALUE"""),169400913)</f>
        <v>169400913</v>
      </c>
    </row>
    <row r="513" customFormat="false" ht="15.75" hidden="false" customHeight="false" outlineLevel="0" collapsed="false">
      <c r="A513" s="3" t="n">
        <f aca="false">IFERROR(__xludf.dummyfunction("""COMPUTED_VALUE"""),44939.6666666667)</f>
        <v>44939.6666666667</v>
      </c>
      <c r="B513" s="2" t="n">
        <f aca="false">IFERROR(__xludf.dummyfunction("""COMPUTED_VALUE"""),116.55)</f>
        <v>116.55</v>
      </c>
      <c r="C513" s="2" t="n">
        <f aca="false">IFERROR(__xludf.dummyfunction("""COMPUTED_VALUE"""),122.63)</f>
        <v>122.63</v>
      </c>
      <c r="D513" s="2" t="n">
        <f aca="false">IFERROR(__xludf.dummyfunction("""COMPUTED_VALUE"""),115.6)</f>
        <v>115.6</v>
      </c>
      <c r="E513" s="2" t="n">
        <f aca="false">IFERROR(__xludf.dummyfunction("""COMPUTED_VALUE"""),122.4)</f>
        <v>122.4</v>
      </c>
      <c r="F513" s="2" t="n">
        <f aca="false">IFERROR(__xludf.dummyfunction("""COMPUTED_VALUE"""),180714119)</f>
        <v>180714119</v>
      </c>
    </row>
    <row r="514" customFormat="false" ht="15.75" hidden="false" customHeight="false" outlineLevel="0" collapsed="false">
      <c r="A514" s="3" t="n">
        <f aca="false">IFERROR(__xludf.dummyfunction("""COMPUTED_VALUE"""),44943.6666666667)</f>
        <v>44943.6666666667</v>
      </c>
      <c r="B514" s="2" t="n">
        <f aca="false">IFERROR(__xludf.dummyfunction("""COMPUTED_VALUE"""),125.7)</f>
        <v>125.7</v>
      </c>
      <c r="C514" s="2" t="n">
        <f aca="false">IFERROR(__xludf.dummyfunction("""COMPUTED_VALUE"""),131.7)</f>
        <v>131.7</v>
      </c>
      <c r="D514" s="2" t="n">
        <f aca="false">IFERROR(__xludf.dummyfunction("""COMPUTED_VALUE"""),125.02)</f>
        <v>125.02</v>
      </c>
      <c r="E514" s="2" t="n">
        <f aca="false">IFERROR(__xludf.dummyfunction("""COMPUTED_VALUE"""),131.49)</f>
        <v>131.49</v>
      </c>
      <c r="F514" s="2" t="n">
        <f aca="false">IFERROR(__xludf.dummyfunction("""COMPUTED_VALUE"""),186476985)</f>
        <v>186476985</v>
      </c>
    </row>
    <row r="515" customFormat="false" ht="15.75" hidden="false" customHeight="false" outlineLevel="0" collapsed="false">
      <c r="A515" s="3" t="n">
        <f aca="false">IFERROR(__xludf.dummyfunction("""COMPUTED_VALUE"""),44944.6666666667)</f>
        <v>44944.6666666667</v>
      </c>
      <c r="B515" s="2" t="n">
        <f aca="false">IFERROR(__xludf.dummyfunction("""COMPUTED_VALUE"""),136.56)</f>
        <v>136.56</v>
      </c>
      <c r="C515" s="2" t="n">
        <f aca="false">IFERROR(__xludf.dummyfunction("""COMPUTED_VALUE"""),136.68)</f>
        <v>136.68</v>
      </c>
      <c r="D515" s="2" t="n">
        <f aca="false">IFERROR(__xludf.dummyfunction("""COMPUTED_VALUE"""),127.01)</f>
        <v>127.01</v>
      </c>
      <c r="E515" s="2" t="n">
        <f aca="false">IFERROR(__xludf.dummyfunction("""COMPUTED_VALUE"""),128.78)</f>
        <v>128.78</v>
      </c>
      <c r="F515" s="2" t="n">
        <f aca="false">IFERROR(__xludf.dummyfunction("""COMPUTED_VALUE"""),195680318)</f>
        <v>195680318</v>
      </c>
    </row>
    <row r="516" customFormat="false" ht="15.75" hidden="false" customHeight="false" outlineLevel="0" collapsed="false">
      <c r="A516" s="3" t="n">
        <f aca="false">IFERROR(__xludf.dummyfunction("""COMPUTED_VALUE"""),44945.6666666667)</f>
        <v>44945.6666666667</v>
      </c>
      <c r="B516" s="2" t="n">
        <f aca="false">IFERROR(__xludf.dummyfunction("""COMPUTED_VALUE"""),127.26)</f>
        <v>127.26</v>
      </c>
      <c r="C516" s="2" t="n">
        <f aca="false">IFERROR(__xludf.dummyfunction("""COMPUTED_VALUE"""),129.99)</f>
        <v>129.99</v>
      </c>
      <c r="D516" s="2" t="n">
        <f aca="false">IFERROR(__xludf.dummyfunction("""COMPUTED_VALUE"""),124.31)</f>
        <v>124.31</v>
      </c>
      <c r="E516" s="2" t="n">
        <f aca="false">IFERROR(__xludf.dummyfunction("""COMPUTED_VALUE"""),127.17)</f>
        <v>127.17</v>
      </c>
      <c r="F516" s="2" t="n">
        <f aca="false">IFERROR(__xludf.dummyfunction("""COMPUTED_VALUE"""),170291880)</f>
        <v>170291880</v>
      </c>
    </row>
    <row r="517" customFormat="false" ht="15.75" hidden="false" customHeight="false" outlineLevel="0" collapsed="false">
      <c r="A517" s="3" t="n">
        <f aca="false">IFERROR(__xludf.dummyfunction("""COMPUTED_VALUE"""),44946.6666666667)</f>
        <v>44946.6666666667</v>
      </c>
      <c r="B517" s="2" t="n">
        <f aca="false">IFERROR(__xludf.dummyfunction("""COMPUTED_VALUE"""),128.68)</f>
        <v>128.68</v>
      </c>
      <c r="C517" s="2" t="n">
        <f aca="false">IFERROR(__xludf.dummyfunction("""COMPUTED_VALUE"""),133.51)</f>
        <v>133.51</v>
      </c>
      <c r="D517" s="2" t="n">
        <f aca="false">IFERROR(__xludf.dummyfunction("""COMPUTED_VALUE"""),127.35)</f>
        <v>127.35</v>
      </c>
      <c r="E517" s="2" t="n">
        <f aca="false">IFERROR(__xludf.dummyfunction("""COMPUTED_VALUE"""),133.42)</f>
        <v>133.42</v>
      </c>
      <c r="F517" s="2" t="n">
        <f aca="false">IFERROR(__xludf.dummyfunction("""COMPUTED_VALUE"""),138858136)</f>
        <v>138858136</v>
      </c>
    </row>
    <row r="518" customFormat="false" ht="15.75" hidden="false" customHeight="false" outlineLevel="0" collapsed="false">
      <c r="A518" s="3" t="n">
        <f aca="false">IFERROR(__xludf.dummyfunction("""COMPUTED_VALUE"""),44949.6666666667)</f>
        <v>44949.6666666667</v>
      </c>
      <c r="B518" s="2" t="n">
        <f aca="false">IFERROR(__xludf.dummyfunction("""COMPUTED_VALUE"""),135.87)</f>
        <v>135.87</v>
      </c>
      <c r="C518" s="2" t="n">
        <f aca="false">IFERROR(__xludf.dummyfunction("""COMPUTED_VALUE"""),145.38)</f>
        <v>145.38</v>
      </c>
      <c r="D518" s="2" t="n">
        <f aca="false">IFERROR(__xludf.dummyfunction("""COMPUTED_VALUE"""),134.27)</f>
        <v>134.27</v>
      </c>
      <c r="E518" s="2" t="n">
        <f aca="false">IFERROR(__xludf.dummyfunction("""COMPUTED_VALUE"""),143.75)</f>
        <v>143.75</v>
      </c>
      <c r="F518" s="2" t="n">
        <f aca="false">IFERROR(__xludf.dummyfunction("""COMPUTED_VALUE"""),203119211)</f>
        <v>203119211</v>
      </c>
    </row>
    <row r="519" customFormat="false" ht="15.75" hidden="false" customHeight="false" outlineLevel="0" collapsed="false">
      <c r="A519" s="3" t="n">
        <f aca="false">IFERROR(__xludf.dummyfunction("""COMPUTED_VALUE"""),44950.6666666667)</f>
        <v>44950.6666666667</v>
      </c>
      <c r="B519" s="2" t="n">
        <f aca="false">IFERROR(__xludf.dummyfunction("""COMPUTED_VALUE"""),143)</f>
        <v>143</v>
      </c>
      <c r="C519" s="2" t="n">
        <f aca="false">IFERROR(__xludf.dummyfunction("""COMPUTED_VALUE"""),146.5)</f>
        <v>146.5</v>
      </c>
      <c r="D519" s="2" t="n">
        <f aca="false">IFERROR(__xludf.dummyfunction("""COMPUTED_VALUE"""),141.1)</f>
        <v>141.1</v>
      </c>
      <c r="E519" s="2" t="n">
        <f aca="false">IFERROR(__xludf.dummyfunction("""COMPUTED_VALUE"""),143.89)</f>
        <v>143.89</v>
      </c>
      <c r="F519" s="2" t="n">
        <f aca="false">IFERROR(__xludf.dummyfunction("""COMPUTED_VALUE"""),158699056)</f>
        <v>158699056</v>
      </c>
    </row>
    <row r="520" customFormat="false" ht="15.75" hidden="false" customHeight="false" outlineLevel="0" collapsed="false">
      <c r="A520" s="3" t="n">
        <f aca="false">IFERROR(__xludf.dummyfunction("""COMPUTED_VALUE"""),44951.6666666667)</f>
        <v>44951.6666666667</v>
      </c>
      <c r="B520" s="2" t="n">
        <f aca="false">IFERROR(__xludf.dummyfunction("""COMPUTED_VALUE"""),141.91)</f>
        <v>141.91</v>
      </c>
      <c r="C520" s="2" t="n">
        <f aca="false">IFERROR(__xludf.dummyfunction("""COMPUTED_VALUE"""),146.41)</f>
        <v>146.41</v>
      </c>
      <c r="D520" s="2" t="n">
        <f aca="false">IFERROR(__xludf.dummyfunction("""COMPUTED_VALUE"""),138.07)</f>
        <v>138.07</v>
      </c>
      <c r="E520" s="2" t="n">
        <f aca="false">IFERROR(__xludf.dummyfunction("""COMPUTED_VALUE"""),144.43)</f>
        <v>144.43</v>
      </c>
      <c r="F520" s="2" t="n">
        <f aca="false">IFERROR(__xludf.dummyfunction("""COMPUTED_VALUE"""),192734347)</f>
        <v>192734347</v>
      </c>
    </row>
    <row r="521" customFormat="false" ht="15.75" hidden="false" customHeight="false" outlineLevel="0" collapsed="false">
      <c r="A521" s="3" t="n">
        <f aca="false">IFERROR(__xludf.dummyfunction("""COMPUTED_VALUE"""),44952.6666666667)</f>
        <v>44952.6666666667</v>
      </c>
      <c r="B521" s="2" t="n">
        <f aca="false">IFERROR(__xludf.dummyfunction("""COMPUTED_VALUE"""),159.97)</f>
        <v>159.97</v>
      </c>
      <c r="C521" s="2" t="n">
        <f aca="false">IFERROR(__xludf.dummyfunction("""COMPUTED_VALUE"""),161.42)</f>
        <v>161.42</v>
      </c>
      <c r="D521" s="2" t="n">
        <f aca="false">IFERROR(__xludf.dummyfunction("""COMPUTED_VALUE"""),154.76)</f>
        <v>154.76</v>
      </c>
      <c r="E521" s="2" t="n">
        <f aca="false">IFERROR(__xludf.dummyfunction("""COMPUTED_VALUE"""),160.27)</f>
        <v>160.27</v>
      </c>
      <c r="F521" s="2" t="n">
        <f aca="false">IFERROR(__xludf.dummyfunction("""COMPUTED_VALUE"""),234815090)</f>
        <v>234815090</v>
      </c>
    </row>
    <row r="522" customFormat="false" ht="15.75" hidden="false" customHeight="false" outlineLevel="0" collapsed="false">
      <c r="A522" s="3" t="n">
        <f aca="false">IFERROR(__xludf.dummyfunction("""COMPUTED_VALUE"""),44953.6666666667)</f>
        <v>44953.6666666667</v>
      </c>
      <c r="B522" s="2" t="n">
        <f aca="false">IFERROR(__xludf.dummyfunction("""COMPUTED_VALUE"""),162.43)</f>
        <v>162.43</v>
      </c>
      <c r="C522" s="2" t="n">
        <f aca="false">IFERROR(__xludf.dummyfunction("""COMPUTED_VALUE"""),180.68)</f>
        <v>180.68</v>
      </c>
      <c r="D522" s="2" t="n">
        <f aca="false">IFERROR(__xludf.dummyfunction("""COMPUTED_VALUE"""),161.17)</f>
        <v>161.17</v>
      </c>
      <c r="E522" s="2" t="n">
        <f aca="false">IFERROR(__xludf.dummyfunction("""COMPUTED_VALUE"""),177.9)</f>
        <v>177.9</v>
      </c>
      <c r="F522" s="2" t="n">
        <f aca="false">IFERROR(__xludf.dummyfunction("""COMPUTED_VALUE"""),306590613)</f>
        <v>306590613</v>
      </c>
    </row>
    <row r="523" customFormat="false" ht="15.75" hidden="false" customHeight="false" outlineLevel="0" collapsed="false">
      <c r="A523" s="3" t="n">
        <f aca="false">IFERROR(__xludf.dummyfunction("""COMPUTED_VALUE"""),44956.6666666667)</f>
        <v>44956.6666666667</v>
      </c>
      <c r="B523" s="2" t="n">
        <f aca="false">IFERROR(__xludf.dummyfunction("""COMPUTED_VALUE"""),178.05)</f>
        <v>178.05</v>
      </c>
      <c r="C523" s="2" t="n">
        <f aca="false">IFERROR(__xludf.dummyfunction("""COMPUTED_VALUE"""),179.77)</f>
        <v>179.77</v>
      </c>
      <c r="D523" s="2" t="n">
        <f aca="false">IFERROR(__xludf.dummyfunction("""COMPUTED_VALUE"""),166.5)</f>
        <v>166.5</v>
      </c>
      <c r="E523" s="2" t="n">
        <f aca="false">IFERROR(__xludf.dummyfunction("""COMPUTED_VALUE"""),166.66)</f>
        <v>166.66</v>
      </c>
      <c r="F523" s="2" t="n">
        <f aca="false">IFERROR(__xludf.dummyfunction("""COMPUTED_VALUE"""),230878807)</f>
        <v>230878807</v>
      </c>
    </row>
    <row r="524" customFormat="false" ht="15.75" hidden="false" customHeight="false" outlineLevel="0" collapsed="false">
      <c r="A524" s="3" t="n">
        <f aca="false">IFERROR(__xludf.dummyfunction("""COMPUTED_VALUE"""),44957.6666666667)</f>
        <v>44957.6666666667</v>
      </c>
      <c r="B524" s="2" t="n">
        <f aca="false">IFERROR(__xludf.dummyfunction("""COMPUTED_VALUE"""),164.57)</f>
        <v>164.57</v>
      </c>
      <c r="C524" s="2" t="n">
        <f aca="false">IFERROR(__xludf.dummyfunction("""COMPUTED_VALUE"""),174.3)</f>
        <v>174.3</v>
      </c>
      <c r="D524" s="2" t="n">
        <f aca="false">IFERROR(__xludf.dummyfunction("""COMPUTED_VALUE"""),162.78)</f>
        <v>162.78</v>
      </c>
      <c r="E524" s="2" t="n">
        <f aca="false">IFERROR(__xludf.dummyfunction("""COMPUTED_VALUE"""),173.22)</f>
        <v>173.22</v>
      </c>
      <c r="F524" s="2" t="n">
        <f aca="false">IFERROR(__xludf.dummyfunction("""COMPUTED_VALUE"""),196813541)</f>
        <v>196813541</v>
      </c>
    </row>
    <row r="525" customFormat="false" ht="15.75" hidden="false" customHeight="false" outlineLevel="0" collapsed="false">
      <c r="A525" s="3" t="n">
        <f aca="false">IFERROR(__xludf.dummyfunction("""COMPUTED_VALUE"""),44958.6666666667)</f>
        <v>44958.6666666667</v>
      </c>
      <c r="B525" s="2" t="n">
        <f aca="false">IFERROR(__xludf.dummyfunction("""COMPUTED_VALUE"""),173.89)</f>
        <v>173.89</v>
      </c>
      <c r="C525" s="2" t="n">
        <f aca="false">IFERROR(__xludf.dummyfunction("""COMPUTED_VALUE"""),183.81)</f>
        <v>183.81</v>
      </c>
      <c r="D525" s="2" t="n">
        <f aca="false">IFERROR(__xludf.dummyfunction("""COMPUTED_VALUE"""),169.93)</f>
        <v>169.93</v>
      </c>
      <c r="E525" s="2" t="n">
        <f aca="false">IFERROR(__xludf.dummyfunction("""COMPUTED_VALUE"""),181.41)</f>
        <v>181.41</v>
      </c>
      <c r="F525" s="2" t="n">
        <f aca="false">IFERROR(__xludf.dummyfunction("""COMPUTED_VALUE"""),213806323)</f>
        <v>213806323</v>
      </c>
    </row>
    <row r="526" customFormat="false" ht="15.75" hidden="false" customHeight="false" outlineLevel="0" collapsed="false">
      <c r="A526" s="3" t="n">
        <f aca="false">IFERROR(__xludf.dummyfunction("""COMPUTED_VALUE"""),44959.6666666667)</f>
        <v>44959.6666666667</v>
      </c>
      <c r="B526" s="2" t="n">
        <f aca="false">IFERROR(__xludf.dummyfunction("""COMPUTED_VALUE"""),187.33)</f>
        <v>187.33</v>
      </c>
      <c r="C526" s="2" t="n">
        <f aca="false">IFERROR(__xludf.dummyfunction("""COMPUTED_VALUE"""),196.75)</f>
        <v>196.75</v>
      </c>
      <c r="D526" s="2" t="n">
        <f aca="false">IFERROR(__xludf.dummyfunction("""COMPUTED_VALUE"""),182.61)</f>
        <v>182.61</v>
      </c>
      <c r="E526" s="2" t="n">
        <f aca="false">IFERROR(__xludf.dummyfunction("""COMPUTED_VALUE"""),188.27)</f>
        <v>188.27</v>
      </c>
      <c r="F526" s="2" t="n">
        <f aca="false">IFERROR(__xludf.dummyfunction("""COMPUTED_VALUE"""),217448287)</f>
        <v>217448287</v>
      </c>
    </row>
    <row r="527" customFormat="false" ht="15.75" hidden="false" customHeight="false" outlineLevel="0" collapsed="false">
      <c r="A527" s="3" t="n">
        <f aca="false">IFERROR(__xludf.dummyfunction("""COMPUTED_VALUE"""),44960.6666666667)</f>
        <v>44960.6666666667</v>
      </c>
      <c r="B527" s="2" t="n">
        <f aca="false">IFERROR(__xludf.dummyfunction("""COMPUTED_VALUE"""),183.95)</f>
        <v>183.95</v>
      </c>
      <c r="C527" s="2" t="n">
        <f aca="false">IFERROR(__xludf.dummyfunction("""COMPUTED_VALUE"""),199)</f>
        <v>199</v>
      </c>
      <c r="D527" s="2" t="n">
        <f aca="false">IFERROR(__xludf.dummyfunction("""COMPUTED_VALUE"""),183.69)</f>
        <v>183.69</v>
      </c>
      <c r="E527" s="2" t="n">
        <f aca="false">IFERROR(__xludf.dummyfunction("""COMPUTED_VALUE"""),189.98)</f>
        <v>189.98</v>
      </c>
      <c r="F527" s="2" t="n">
        <f aca="false">IFERROR(__xludf.dummyfunction("""COMPUTED_VALUE"""),232662023)</f>
        <v>232662023</v>
      </c>
    </row>
    <row r="528" customFormat="false" ht="15.75" hidden="false" customHeight="false" outlineLevel="0" collapsed="false">
      <c r="A528" s="3" t="n">
        <f aca="false">IFERROR(__xludf.dummyfunction("""COMPUTED_VALUE"""),44963.6666666667)</f>
        <v>44963.6666666667</v>
      </c>
      <c r="B528" s="2" t="n">
        <f aca="false">IFERROR(__xludf.dummyfunction("""COMPUTED_VALUE"""),193.01)</f>
        <v>193.01</v>
      </c>
      <c r="C528" s="2" t="n">
        <f aca="false">IFERROR(__xludf.dummyfunction("""COMPUTED_VALUE"""),198.17)</f>
        <v>198.17</v>
      </c>
      <c r="D528" s="2" t="n">
        <f aca="false">IFERROR(__xludf.dummyfunction("""COMPUTED_VALUE"""),189.92)</f>
        <v>189.92</v>
      </c>
      <c r="E528" s="2" t="n">
        <f aca="false">IFERROR(__xludf.dummyfunction("""COMPUTED_VALUE"""),194.76)</f>
        <v>194.76</v>
      </c>
      <c r="F528" s="2" t="n">
        <f aca="false">IFERROR(__xludf.dummyfunction("""COMPUTED_VALUE"""),186188131)</f>
        <v>186188131</v>
      </c>
    </row>
    <row r="529" customFormat="false" ht="15.75" hidden="false" customHeight="false" outlineLevel="0" collapsed="false">
      <c r="A529" s="3" t="n">
        <f aca="false">IFERROR(__xludf.dummyfunction("""COMPUTED_VALUE"""),44964.6666666667)</f>
        <v>44964.6666666667</v>
      </c>
      <c r="B529" s="2" t="n">
        <f aca="false">IFERROR(__xludf.dummyfunction("""COMPUTED_VALUE"""),196.43)</f>
        <v>196.43</v>
      </c>
      <c r="C529" s="2" t="n">
        <f aca="false">IFERROR(__xludf.dummyfunction("""COMPUTED_VALUE"""),197.5)</f>
        <v>197.5</v>
      </c>
      <c r="D529" s="2" t="n">
        <f aca="false">IFERROR(__xludf.dummyfunction("""COMPUTED_VALUE"""),189.55)</f>
        <v>189.55</v>
      </c>
      <c r="E529" s="2" t="n">
        <f aca="false">IFERROR(__xludf.dummyfunction("""COMPUTED_VALUE"""),196.81)</f>
        <v>196.81</v>
      </c>
      <c r="F529" s="2" t="n">
        <f aca="false">IFERROR(__xludf.dummyfunction("""COMPUTED_VALUE"""),186010325)</f>
        <v>186010325</v>
      </c>
    </row>
    <row r="530" customFormat="false" ht="15.75" hidden="false" customHeight="false" outlineLevel="0" collapsed="false">
      <c r="A530" s="3" t="n">
        <f aca="false">IFERROR(__xludf.dummyfunction("""COMPUTED_VALUE"""),44965.6666666667)</f>
        <v>44965.6666666667</v>
      </c>
      <c r="B530" s="2" t="n">
        <f aca="false">IFERROR(__xludf.dummyfunction("""COMPUTED_VALUE"""),196.1)</f>
        <v>196.1</v>
      </c>
      <c r="C530" s="2" t="n">
        <f aca="false">IFERROR(__xludf.dummyfunction("""COMPUTED_VALUE"""),203)</f>
        <v>203</v>
      </c>
      <c r="D530" s="2" t="n">
        <f aca="false">IFERROR(__xludf.dummyfunction("""COMPUTED_VALUE"""),194.31)</f>
        <v>194.31</v>
      </c>
      <c r="E530" s="2" t="n">
        <f aca="false">IFERROR(__xludf.dummyfunction("""COMPUTED_VALUE"""),201.29)</f>
        <v>201.29</v>
      </c>
      <c r="F530" s="2" t="n">
        <f aca="false">IFERROR(__xludf.dummyfunction("""COMPUTED_VALUE"""),180673644)</f>
        <v>180673644</v>
      </c>
    </row>
    <row r="531" customFormat="false" ht="15.75" hidden="false" customHeight="false" outlineLevel="0" collapsed="false">
      <c r="A531" s="3" t="n">
        <f aca="false">IFERROR(__xludf.dummyfunction("""COMPUTED_VALUE"""),44966.6666666667)</f>
        <v>44966.6666666667</v>
      </c>
      <c r="B531" s="2" t="n">
        <f aca="false">IFERROR(__xludf.dummyfunction("""COMPUTED_VALUE"""),207.78)</f>
        <v>207.78</v>
      </c>
      <c r="C531" s="2" t="n">
        <f aca="false">IFERROR(__xludf.dummyfunction("""COMPUTED_VALUE"""),214)</f>
        <v>214</v>
      </c>
      <c r="D531" s="2" t="n">
        <f aca="false">IFERROR(__xludf.dummyfunction("""COMPUTED_VALUE"""),204.77)</f>
        <v>204.77</v>
      </c>
      <c r="E531" s="2" t="n">
        <f aca="false">IFERROR(__xludf.dummyfunction("""COMPUTED_VALUE"""),207.32)</f>
        <v>207.32</v>
      </c>
      <c r="F531" s="2" t="n">
        <f aca="false">IFERROR(__xludf.dummyfunction("""COMPUTED_VALUE"""),215431442)</f>
        <v>215431442</v>
      </c>
    </row>
    <row r="532" customFormat="false" ht="15.75" hidden="false" customHeight="false" outlineLevel="0" collapsed="false">
      <c r="A532" s="3" t="n">
        <f aca="false">IFERROR(__xludf.dummyfunction("""COMPUTED_VALUE"""),44967.6666666667)</f>
        <v>44967.6666666667</v>
      </c>
      <c r="B532" s="2" t="n">
        <f aca="false">IFERROR(__xludf.dummyfunction("""COMPUTED_VALUE"""),202.23)</f>
        <v>202.23</v>
      </c>
      <c r="C532" s="2" t="n">
        <f aca="false">IFERROR(__xludf.dummyfunction("""COMPUTED_VALUE"""),206.2)</f>
        <v>206.2</v>
      </c>
      <c r="D532" s="2" t="n">
        <f aca="false">IFERROR(__xludf.dummyfunction("""COMPUTED_VALUE"""),192.89)</f>
        <v>192.89</v>
      </c>
      <c r="E532" s="2" t="n">
        <f aca="false">IFERROR(__xludf.dummyfunction("""COMPUTED_VALUE"""),196.89)</f>
        <v>196.89</v>
      </c>
      <c r="F532" s="2" t="n">
        <f aca="false">IFERROR(__xludf.dummyfunction("""COMPUTED_VALUE"""),204754129)</f>
        <v>204754129</v>
      </c>
    </row>
    <row r="533" customFormat="false" ht="15.75" hidden="false" customHeight="false" outlineLevel="0" collapsed="false">
      <c r="A533" s="3" t="n">
        <f aca="false">IFERROR(__xludf.dummyfunction("""COMPUTED_VALUE"""),44970.6666666667)</f>
        <v>44970.6666666667</v>
      </c>
      <c r="B533" s="2" t="n">
        <f aca="false">IFERROR(__xludf.dummyfunction("""COMPUTED_VALUE"""),194.42)</f>
        <v>194.42</v>
      </c>
      <c r="C533" s="2" t="n">
        <f aca="false">IFERROR(__xludf.dummyfunction("""COMPUTED_VALUE"""),196.3)</f>
        <v>196.3</v>
      </c>
      <c r="D533" s="2" t="n">
        <f aca="false">IFERROR(__xludf.dummyfunction("""COMPUTED_VALUE"""),187.61)</f>
        <v>187.61</v>
      </c>
      <c r="E533" s="2" t="n">
        <f aca="false">IFERROR(__xludf.dummyfunction("""COMPUTED_VALUE"""),194.64)</f>
        <v>194.64</v>
      </c>
      <c r="F533" s="2" t="n">
        <f aca="false">IFERROR(__xludf.dummyfunction("""COMPUTED_VALUE"""),172475452)</f>
        <v>172475452</v>
      </c>
    </row>
    <row r="534" customFormat="false" ht="15.75" hidden="false" customHeight="false" outlineLevel="0" collapsed="false">
      <c r="A534" s="3" t="n">
        <f aca="false">IFERROR(__xludf.dummyfunction("""COMPUTED_VALUE"""),44971.6666666667)</f>
        <v>44971.6666666667</v>
      </c>
      <c r="B534" s="2" t="n">
        <f aca="false">IFERROR(__xludf.dummyfunction("""COMPUTED_VALUE"""),191.94)</f>
        <v>191.94</v>
      </c>
      <c r="C534" s="2" t="n">
        <f aca="false">IFERROR(__xludf.dummyfunction("""COMPUTED_VALUE"""),209.82)</f>
        <v>209.82</v>
      </c>
      <c r="D534" s="2" t="n">
        <f aca="false">IFERROR(__xludf.dummyfunction("""COMPUTED_VALUE"""),189.44)</f>
        <v>189.44</v>
      </c>
      <c r="E534" s="2" t="n">
        <f aca="false">IFERROR(__xludf.dummyfunction("""COMPUTED_VALUE"""),209.25)</f>
        <v>209.25</v>
      </c>
      <c r="F534" s="2" t="n">
        <f aca="false">IFERROR(__xludf.dummyfunction("""COMPUTED_VALUE"""),216455708)</f>
        <v>216455708</v>
      </c>
    </row>
    <row r="535" customFormat="false" ht="15.75" hidden="false" customHeight="false" outlineLevel="0" collapsed="false">
      <c r="A535" s="3" t="n">
        <f aca="false">IFERROR(__xludf.dummyfunction("""COMPUTED_VALUE"""),44972.6666666667)</f>
        <v>44972.6666666667</v>
      </c>
      <c r="B535" s="2" t="n">
        <f aca="false">IFERROR(__xludf.dummyfunction("""COMPUTED_VALUE"""),211.76)</f>
        <v>211.76</v>
      </c>
      <c r="C535" s="2" t="n">
        <f aca="false">IFERROR(__xludf.dummyfunction("""COMPUTED_VALUE"""),214.66)</f>
        <v>214.66</v>
      </c>
      <c r="D535" s="2" t="n">
        <f aca="false">IFERROR(__xludf.dummyfunction("""COMPUTED_VALUE"""),206.11)</f>
        <v>206.11</v>
      </c>
      <c r="E535" s="2" t="n">
        <f aca="false">IFERROR(__xludf.dummyfunction("""COMPUTED_VALUE"""),214.24)</f>
        <v>214.24</v>
      </c>
      <c r="F535" s="2" t="n">
        <f aca="false">IFERROR(__xludf.dummyfunction("""COMPUTED_VALUE"""),182108581)</f>
        <v>182108581</v>
      </c>
    </row>
    <row r="536" customFormat="false" ht="15.75" hidden="false" customHeight="false" outlineLevel="0" collapsed="false">
      <c r="A536" s="3" t="n">
        <f aca="false">IFERROR(__xludf.dummyfunction("""COMPUTED_VALUE"""),44973.6666666667)</f>
        <v>44973.6666666667</v>
      </c>
      <c r="B536" s="2" t="n">
        <f aca="false">IFERROR(__xludf.dummyfunction("""COMPUTED_VALUE"""),210.78)</f>
        <v>210.78</v>
      </c>
      <c r="C536" s="2" t="n">
        <f aca="false">IFERROR(__xludf.dummyfunction("""COMPUTED_VALUE"""),217.65)</f>
        <v>217.65</v>
      </c>
      <c r="D536" s="2" t="n">
        <f aca="false">IFERROR(__xludf.dummyfunction("""COMPUTED_VALUE"""),201.84)</f>
        <v>201.84</v>
      </c>
      <c r="E536" s="2" t="n">
        <f aca="false">IFERROR(__xludf.dummyfunction("""COMPUTED_VALUE"""),202.04)</f>
        <v>202.04</v>
      </c>
      <c r="F536" s="2" t="n">
        <f aca="false">IFERROR(__xludf.dummyfunction("""COMPUTED_VALUE"""),229586538)</f>
        <v>229586538</v>
      </c>
    </row>
    <row r="537" customFormat="false" ht="15.75" hidden="false" customHeight="false" outlineLevel="0" collapsed="false">
      <c r="A537" s="3" t="n">
        <f aca="false">IFERROR(__xludf.dummyfunction("""COMPUTED_VALUE"""),44974.6666666667)</f>
        <v>44974.6666666667</v>
      </c>
      <c r="B537" s="2" t="n">
        <f aca="false">IFERROR(__xludf.dummyfunction("""COMPUTED_VALUE"""),199.99)</f>
        <v>199.99</v>
      </c>
      <c r="C537" s="2" t="n">
        <f aca="false">IFERROR(__xludf.dummyfunction("""COMPUTED_VALUE"""),208.44)</f>
        <v>208.44</v>
      </c>
      <c r="D537" s="2" t="n">
        <f aca="false">IFERROR(__xludf.dummyfunction("""COMPUTED_VALUE"""),197.5)</f>
        <v>197.5</v>
      </c>
      <c r="E537" s="2" t="n">
        <f aca="false">IFERROR(__xludf.dummyfunction("""COMPUTED_VALUE"""),208.31)</f>
        <v>208.31</v>
      </c>
      <c r="F537" s="2" t="n">
        <f aca="false">IFERROR(__xludf.dummyfunction("""COMPUTED_VALUE"""),213738549)</f>
        <v>213738549</v>
      </c>
    </row>
    <row r="538" customFormat="false" ht="15.75" hidden="false" customHeight="false" outlineLevel="0" collapsed="false">
      <c r="A538" s="3" t="n">
        <f aca="false">IFERROR(__xludf.dummyfunction("""COMPUTED_VALUE"""),44978.6666666667)</f>
        <v>44978.6666666667</v>
      </c>
      <c r="B538" s="2" t="n">
        <f aca="false">IFERROR(__xludf.dummyfunction("""COMPUTED_VALUE"""),204.99)</f>
        <v>204.99</v>
      </c>
      <c r="C538" s="2" t="n">
        <f aca="false">IFERROR(__xludf.dummyfunction("""COMPUTED_VALUE"""),209.71)</f>
        <v>209.71</v>
      </c>
      <c r="D538" s="2" t="n">
        <f aca="false">IFERROR(__xludf.dummyfunction("""COMPUTED_VALUE"""),197.22)</f>
        <v>197.22</v>
      </c>
      <c r="E538" s="2" t="n">
        <f aca="false">IFERROR(__xludf.dummyfunction("""COMPUTED_VALUE"""),197.37)</f>
        <v>197.37</v>
      </c>
      <c r="F538" s="2" t="n">
        <f aca="false">IFERROR(__xludf.dummyfunction("""COMPUTED_VALUE"""),180018588)</f>
        <v>180018588</v>
      </c>
    </row>
    <row r="539" customFormat="false" ht="15.75" hidden="false" customHeight="false" outlineLevel="0" collapsed="false">
      <c r="A539" s="3" t="n">
        <f aca="false">IFERROR(__xludf.dummyfunction("""COMPUTED_VALUE"""),44979.6666666667)</f>
        <v>44979.6666666667</v>
      </c>
      <c r="B539" s="2" t="n">
        <f aca="false">IFERROR(__xludf.dummyfunction("""COMPUTED_VALUE"""),197.93)</f>
        <v>197.93</v>
      </c>
      <c r="C539" s="2" t="n">
        <f aca="false">IFERROR(__xludf.dummyfunction("""COMPUTED_VALUE"""),201.99)</f>
        <v>201.99</v>
      </c>
      <c r="D539" s="2" t="n">
        <f aca="false">IFERROR(__xludf.dummyfunction("""COMPUTED_VALUE"""),191.78)</f>
        <v>191.78</v>
      </c>
      <c r="E539" s="2" t="n">
        <f aca="false">IFERROR(__xludf.dummyfunction("""COMPUTED_VALUE"""),200.86)</f>
        <v>200.86</v>
      </c>
      <c r="F539" s="2" t="n">
        <f aca="false">IFERROR(__xludf.dummyfunction("""COMPUTED_VALUE"""),191828457)</f>
        <v>191828457</v>
      </c>
    </row>
    <row r="540" customFormat="false" ht="15.75" hidden="false" customHeight="false" outlineLevel="0" collapsed="false">
      <c r="A540" s="3" t="n">
        <f aca="false">IFERROR(__xludf.dummyfunction("""COMPUTED_VALUE"""),44980.6666666667)</f>
        <v>44980.6666666667</v>
      </c>
      <c r="B540" s="2" t="n">
        <f aca="false">IFERROR(__xludf.dummyfunction("""COMPUTED_VALUE"""),203.91)</f>
        <v>203.91</v>
      </c>
      <c r="C540" s="2" t="n">
        <f aca="false">IFERROR(__xludf.dummyfunction("""COMPUTED_VALUE"""),205.14)</f>
        <v>205.14</v>
      </c>
      <c r="D540" s="2" t="n">
        <f aca="false">IFERROR(__xludf.dummyfunction("""COMPUTED_VALUE"""),196.33)</f>
        <v>196.33</v>
      </c>
      <c r="E540" s="2" t="n">
        <f aca="false">IFERROR(__xludf.dummyfunction("""COMPUTED_VALUE"""),202.07)</f>
        <v>202.07</v>
      </c>
      <c r="F540" s="2" t="n">
        <f aca="false">IFERROR(__xludf.dummyfunction("""COMPUTED_VALUE"""),146359950)</f>
        <v>146359950</v>
      </c>
    </row>
    <row r="541" customFormat="false" ht="15.75" hidden="false" customHeight="false" outlineLevel="0" collapsed="false">
      <c r="A541" s="3" t="n">
        <f aca="false">IFERROR(__xludf.dummyfunction("""COMPUTED_VALUE"""),44981.6666666667)</f>
        <v>44981.6666666667</v>
      </c>
      <c r="B541" s="2" t="n">
        <f aca="false">IFERROR(__xludf.dummyfunction("""COMPUTED_VALUE"""),196.33)</f>
        <v>196.33</v>
      </c>
      <c r="C541" s="2" t="n">
        <f aca="false">IFERROR(__xludf.dummyfunction("""COMPUTED_VALUE"""),197.67)</f>
        <v>197.67</v>
      </c>
      <c r="D541" s="2" t="n">
        <f aca="false">IFERROR(__xludf.dummyfunction("""COMPUTED_VALUE"""),192.8)</f>
        <v>192.8</v>
      </c>
      <c r="E541" s="2" t="n">
        <f aca="false">IFERROR(__xludf.dummyfunction("""COMPUTED_VALUE"""),196.88)</f>
        <v>196.88</v>
      </c>
      <c r="F541" s="2" t="n">
        <f aca="false">IFERROR(__xludf.dummyfunction("""COMPUTED_VALUE"""),142228105)</f>
        <v>142228105</v>
      </c>
    </row>
    <row r="542" customFormat="false" ht="15.75" hidden="false" customHeight="false" outlineLevel="0" collapsed="false">
      <c r="A542" s="3" t="n">
        <f aca="false">IFERROR(__xludf.dummyfunction("""COMPUTED_VALUE"""),44984.6666666667)</f>
        <v>44984.6666666667</v>
      </c>
      <c r="B542" s="2" t="n">
        <f aca="false">IFERROR(__xludf.dummyfunction("""COMPUTED_VALUE"""),202.03)</f>
        <v>202.03</v>
      </c>
      <c r="C542" s="2" t="n">
        <f aca="false">IFERROR(__xludf.dummyfunction("""COMPUTED_VALUE"""),209.42)</f>
        <v>209.42</v>
      </c>
      <c r="D542" s="2" t="n">
        <f aca="false">IFERROR(__xludf.dummyfunction("""COMPUTED_VALUE"""),201.26)</f>
        <v>201.26</v>
      </c>
      <c r="E542" s="2" t="n">
        <f aca="false">IFERROR(__xludf.dummyfunction("""COMPUTED_VALUE"""),207.63)</f>
        <v>207.63</v>
      </c>
      <c r="F542" s="2" t="n">
        <f aca="false">IFERROR(__xludf.dummyfunction("""COMPUTED_VALUE"""),161028315)</f>
        <v>161028315</v>
      </c>
    </row>
    <row r="543" customFormat="false" ht="15.75" hidden="false" customHeight="false" outlineLevel="0" collapsed="false">
      <c r="A543" s="3" t="n">
        <f aca="false">IFERROR(__xludf.dummyfunction("""COMPUTED_VALUE"""),44985.6666666667)</f>
        <v>44985.6666666667</v>
      </c>
      <c r="B543" s="2" t="n">
        <f aca="false">IFERROR(__xludf.dummyfunction("""COMPUTED_VALUE"""),210.59)</f>
        <v>210.59</v>
      </c>
      <c r="C543" s="2" t="n">
        <f aca="false">IFERROR(__xludf.dummyfunction("""COMPUTED_VALUE"""),211.23)</f>
        <v>211.23</v>
      </c>
      <c r="D543" s="2" t="n">
        <f aca="false">IFERROR(__xludf.dummyfunction("""COMPUTED_VALUE"""),203.75)</f>
        <v>203.75</v>
      </c>
      <c r="E543" s="2" t="n">
        <f aca="false">IFERROR(__xludf.dummyfunction("""COMPUTED_VALUE"""),205.71)</f>
        <v>205.71</v>
      </c>
      <c r="F543" s="2" t="n">
        <f aca="false">IFERROR(__xludf.dummyfunction("""COMPUTED_VALUE"""),153144912)</f>
        <v>153144912</v>
      </c>
    </row>
    <row r="544" customFormat="false" ht="15.75" hidden="false" customHeight="false" outlineLevel="0" collapsed="false">
      <c r="A544" s="3" t="n">
        <f aca="false">IFERROR(__xludf.dummyfunction("""COMPUTED_VALUE"""),44986.6666666667)</f>
        <v>44986.6666666667</v>
      </c>
      <c r="B544" s="2" t="n">
        <f aca="false">IFERROR(__xludf.dummyfunction("""COMPUTED_VALUE"""),206.21)</f>
        <v>206.21</v>
      </c>
      <c r="C544" s="2" t="n">
        <f aca="false">IFERROR(__xludf.dummyfunction("""COMPUTED_VALUE"""),207.2)</f>
        <v>207.2</v>
      </c>
      <c r="D544" s="2" t="n">
        <f aca="false">IFERROR(__xludf.dummyfunction("""COMPUTED_VALUE"""),198.52)</f>
        <v>198.52</v>
      </c>
      <c r="E544" s="2" t="n">
        <f aca="false">IFERROR(__xludf.dummyfunction("""COMPUTED_VALUE"""),202.77)</f>
        <v>202.77</v>
      </c>
      <c r="F544" s="2" t="n">
        <f aca="false">IFERROR(__xludf.dummyfunction("""COMPUTED_VALUE"""),156852790)</f>
        <v>156852790</v>
      </c>
    </row>
    <row r="545" customFormat="false" ht="15.75" hidden="false" customHeight="false" outlineLevel="0" collapsed="false">
      <c r="A545" s="3" t="n">
        <f aca="false">IFERROR(__xludf.dummyfunction("""COMPUTED_VALUE"""),44987.6666666667)</f>
        <v>44987.6666666667</v>
      </c>
      <c r="B545" s="2" t="n">
        <f aca="false">IFERROR(__xludf.dummyfunction("""COMPUTED_VALUE"""),186.74)</f>
        <v>186.74</v>
      </c>
      <c r="C545" s="2" t="n">
        <f aca="false">IFERROR(__xludf.dummyfunction("""COMPUTED_VALUE"""),193.75)</f>
        <v>193.75</v>
      </c>
      <c r="D545" s="2" t="n">
        <f aca="false">IFERROR(__xludf.dummyfunction("""COMPUTED_VALUE"""),186.01)</f>
        <v>186.01</v>
      </c>
      <c r="E545" s="2" t="n">
        <f aca="false">IFERROR(__xludf.dummyfunction("""COMPUTED_VALUE"""),190.9)</f>
        <v>190.9</v>
      </c>
      <c r="F545" s="2" t="n">
        <f aca="false">IFERROR(__xludf.dummyfunction("""COMPUTED_VALUE"""),181979154)</f>
        <v>181979154</v>
      </c>
    </row>
    <row r="546" customFormat="false" ht="15.75" hidden="false" customHeight="false" outlineLevel="0" collapsed="false">
      <c r="A546" s="3" t="n">
        <f aca="false">IFERROR(__xludf.dummyfunction("""COMPUTED_VALUE"""),44988.6666666667)</f>
        <v>44988.6666666667</v>
      </c>
      <c r="B546" s="2" t="n">
        <f aca="false">IFERROR(__xludf.dummyfunction("""COMPUTED_VALUE"""),194.8)</f>
        <v>194.8</v>
      </c>
      <c r="C546" s="2" t="n">
        <f aca="false">IFERROR(__xludf.dummyfunction("""COMPUTED_VALUE"""),200.48)</f>
        <v>200.48</v>
      </c>
      <c r="D546" s="2" t="n">
        <f aca="false">IFERROR(__xludf.dummyfunction("""COMPUTED_VALUE"""),192.88)</f>
        <v>192.88</v>
      </c>
      <c r="E546" s="2" t="n">
        <f aca="false">IFERROR(__xludf.dummyfunction("""COMPUTED_VALUE"""),197.79)</f>
        <v>197.79</v>
      </c>
      <c r="F546" s="2" t="n">
        <f aca="false">IFERROR(__xludf.dummyfunction("""COMPUTED_VALUE"""),154193277)</f>
        <v>154193277</v>
      </c>
    </row>
    <row r="547" customFormat="false" ht="15.75" hidden="false" customHeight="false" outlineLevel="0" collapsed="false">
      <c r="A547" s="3" t="n">
        <f aca="false">IFERROR(__xludf.dummyfunction("""COMPUTED_VALUE"""),44991.6666666667)</f>
        <v>44991.6666666667</v>
      </c>
      <c r="B547" s="2" t="n">
        <f aca="false">IFERROR(__xludf.dummyfunction("""COMPUTED_VALUE"""),198.54)</f>
        <v>198.54</v>
      </c>
      <c r="C547" s="2" t="n">
        <f aca="false">IFERROR(__xludf.dummyfunction("""COMPUTED_VALUE"""),198.6)</f>
        <v>198.6</v>
      </c>
      <c r="D547" s="2" t="n">
        <f aca="false">IFERROR(__xludf.dummyfunction("""COMPUTED_VALUE"""),192.3)</f>
        <v>192.3</v>
      </c>
      <c r="E547" s="2" t="n">
        <f aca="false">IFERROR(__xludf.dummyfunction("""COMPUTED_VALUE"""),193.81)</f>
        <v>193.81</v>
      </c>
      <c r="F547" s="2" t="n">
        <f aca="false">IFERROR(__xludf.dummyfunction("""COMPUTED_VALUE"""),128100106)</f>
        <v>128100106</v>
      </c>
    </row>
    <row r="548" customFormat="false" ht="15.75" hidden="false" customHeight="false" outlineLevel="0" collapsed="false">
      <c r="A548" s="3" t="n">
        <f aca="false">IFERROR(__xludf.dummyfunction("""COMPUTED_VALUE"""),44992.6666666667)</f>
        <v>44992.6666666667</v>
      </c>
      <c r="B548" s="2" t="n">
        <f aca="false">IFERROR(__xludf.dummyfunction("""COMPUTED_VALUE"""),191.38)</f>
        <v>191.38</v>
      </c>
      <c r="C548" s="2" t="n">
        <f aca="false">IFERROR(__xludf.dummyfunction("""COMPUTED_VALUE"""),194.2)</f>
        <v>194.2</v>
      </c>
      <c r="D548" s="2" t="n">
        <f aca="false">IFERROR(__xludf.dummyfunction("""COMPUTED_VALUE"""),186.1)</f>
        <v>186.1</v>
      </c>
      <c r="E548" s="2" t="n">
        <f aca="false">IFERROR(__xludf.dummyfunction("""COMPUTED_VALUE"""),187.71)</f>
        <v>187.71</v>
      </c>
      <c r="F548" s="2" t="n">
        <f aca="false">IFERROR(__xludf.dummyfunction("""COMPUTED_VALUE"""),148125790)</f>
        <v>148125790</v>
      </c>
    </row>
    <row r="549" customFormat="false" ht="15.75" hidden="false" customHeight="false" outlineLevel="0" collapsed="false">
      <c r="A549" s="3" t="n">
        <f aca="false">IFERROR(__xludf.dummyfunction("""COMPUTED_VALUE"""),44993.6666666667)</f>
        <v>44993.6666666667</v>
      </c>
      <c r="B549" s="2" t="n">
        <f aca="false">IFERROR(__xludf.dummyfunction("""COMPUTED_VALUE"""),185.04)</f>
        <v>185.04</v>
      </c>
      <c r="C549" s="2" t="n">
        <f aca="false">IFERROR(__xludf.dummyfunction("""COMPUTED_VALUE"""),186.5)</f>
        <v>186.5</v>
      </c>
      <c r="D549" s="2" t="n">
        <f aca="false">IFERROR(__xludf.dummyfunction("""COMPUTED_VALUE"""),180)</f>
        <v>180</v>
      </c>
      <c r="E549" s="2" t="n">
        <f aca="false">IFERROR(__xludf.dummyfunction("""COMPUTED_VALUE"""),182)</f>
        <v>182</v>
      </c>
      <c r="F549" s="2" t="n">
        <f aca="false">IFERROR(__xludf.dummyfunction("""COMPUTED_VALUE"""),151897763)</f>
        <v>151897763</v>
      </c>
    </row>
    <row r="550" customFormat="false" ht="15.75" hidden="false" customHeight="false" outlineLevel="0" collapsed="false">
      <c r="A550" s="3" t="n">
        <f aca="false">IFERROR(__xludf.dummyfunction("""COMPUTED_VALUE"""),44994.6666666667)</f>
        <v>44994.6666666667</v>
      </c>
      <c r="B550" s="2" t="n">
        <f aca="false">IFERROR(__xludf.dummyfunction("""COMPUTED_VALUE"""),180.25)</f>
        <v>180.25</v>
      </c>
      <c r="C550" s="2" t="n">
        <f aca="false">IFERROR(__xludf.dummyfunction("""COMPUTED_VALUE"""),185.18)</f>
        <v>185.18</v>
      </c>
      <c r="D550" s="2" t="n">
        <f aca="false">IFERROR(__xludf.dummyfunction("""COMPUTED_VALUE"""),172.51)</f>
        <v>172.51</v>
      </c>
      <c r="E550" s="2" t="n">
        <f aca="false">IFERROR(__xludf.dummyfunction("""COMPUTED_VALUE"""),172.92)</f>
        <v>172.92</v>
      </c>
      <c r="F550" s="2" t="n">
        <f aca="false">IFERROR(__xludf.dummyfunction("""COMPUTED_VALUE"""),170023794)</f>
        <v>170023794</v>
      </c>
    </row>
    <row r="551" customFormat="false" ht="15.75" hidden="false" customHeight="false" outlineLevel="0" collapsed="false">
      <c r="A551" s="3" t="n">
        <f aca="false">IFERROR(__xludf.dummyfunction("""COMPUTED_VALUE"""),44995.6666666667)</f>
        <v>44995.6666666667</v>
      </c>
      <c r="B551" s="2" t="n">
        <f aca="false">IFERROR(__xludf.dummyfunction("""COMPUTED_VALUE"""),175.13)</f>
        <v>175.13</v>
      </c>
      <c r="C551" s="2" t="n">
        <f aca="false">IFERROR(__xludf.dummyfunction("""COMPUTED_VALUE"""),178.29)</f>
        <v>178.29</v>
      </c>
      <c r="D551" s="2" t="n">
        <f aca="false">IFERROR(__xludf.dummyfunction("""COMPUTED_VALUE"""),168.44)</f>
        <v>168.44</v>
      </c>
      <c r="E551" s="2" t="n">
        <f aca="false">IFERROR(__xludf.dummyfunction("""COMPUTED_VALUE"""),173.44)</f>
        <v>173.44</v>
      </c>
      <c r="F551" s="2" t="n">
        <f aca="false">IFERROR(__xludf.dummyfunction("""COMPUTED_VALUE"""),191488872)</f>
        <v>191488872</v>
      </c>
    </row>
    <row r="552" customFormat="false" ht="15.75" hidden="false" customHeight="false" outlineLevel="0" collapsed="false">
      <c r="A552" s="3" t="n">
        <f aca="false">IFERROR(__xludf.dummyfunction("""COMPUTED_VALUE"""),44998.6666666667)</f>
        <v>44998.6666666667</v>
      </c>
      <c r="B552" s="2" t="n">
        <f aca="false">IFERROR(__xludf.dummyfunction("""COMPUTED_VALUE"""),167.46)</f>
        <v>167.46</v>
      </c>
      <c r="C552" s="2" t="n">
        <f aca="false">IFERROR(__xludf.dummyfunction("""COMPUTED_VALUE"""),177.35)</f>
        <v>177.35</v>
      </c>
      <c r="D552" s="2" t="n">
        <f aca="false">IFERROR(__xludf.dummyfunction("""COMPUTED_VALUE"""),163.91)</f>
        <v>163.91</v>
      </c>
      <c r="E552" s="2" t="n">
        <f aca="false">IFERROR(__xludf.dummyfunction("""COMPUTED_VALUE"""),174.48)</f>
        <v>174.48</v>
      </c>
      <c r="F552" s="2" t="n">
        <f aca="false">IFERROR(__xludf.dummyfunction("""COMPUTED_VALUE"""),167790256)</f>
        <v>167790256</v>
      </c>
    </row>
    <row r="553" customFormat="false" ht="15.75" hidden="false" customHeight="false" outlineLevel="0" collapsed="false">
      <c r="A553" s="3" t="n">
        <f aca="false">IFERROR(__xludf.dummyfunction("""COMPUTED_VALUE"""),44999.6666666667)</f>
        <v>44999.6666666667</v>
      </c>
      <c r="B553" s="2" t="n">
        <f aca="false">IFERROR(__xludf.dummyfunction("""COMPUTED_VALUE"""),177.31)</f>
        <v>177.31</v>
      </c>
      <c r="C553" s="2" t="n">
        <f aca="false">IFERROR(__xludf.dummyfunction("""COMPUTED_VALUE"""),183.8)</f>
        <v>183.8</v>
      </c>
      <c r="D553" s="2" t="n">
        <f aca="false">IFERROR(__xludf.dummyfunction("""COMPUTED_VALUE"""),177.14)</f>
        <v>177.14</v>
      </c>
      <c r="E553" s="2" t="n">
        <f aca="false">IFERROR(__xludf.dummyfunction("""COMPUTED_VALUE"""),183.26)</f>
        <v>183.26</v>
      </c>
      <c r="F553" s="2" t="n">
        <f aca="false">IFERROR(__xludf.dummyfunction("""COMPUTED_VALUE"""),143717897)</f>
        <v>143717897</v>
      </c>
    </row>
    <row r="554" customFormat="false" ht="15.75" hidden="false" customHeight="false" outlineLevel="0" collapsed="false">
      <c r="A554" s="3" t="n">
        <f aca="false">IFERROR(__xludf.dummyfunction("""COMPUTED_VALUE"""),45000.6666666667)</f>
        <v>45000.6666666667</v>
      </c>
      <c r="B554" s="2" t="n">
        <f aca="false">IFERROR(__xludf.dummyfunction("""COMPUTED_VALUE"""),180.8)</f>
        <v>180.8</v>
      </c>
      <c r="C554" s="2" t="n">
        <f aca="false">IFERROR(__xludf.dummyfunction("""COMPUTED_VALUE"""),182.34)</f>
        <v>182.34</v>
      </c>
      <c r="D554" s="2" t="n">
        <f aca="false">IFERROR(__xludf.dummyfunction("""COMPUTED_VALUE"""),176.03)</f>
        <v>176.03</v>
      </c>
      <c r="E554" s="2" t="n">
        <f aca="false">IFERROR(__xludf.dummyfunction("""COMPUTED_VALUE"""),180.45)</f>
        <v>180.45</v>
      </c>
      <c r="F554" s="2" t="n">
        <f aca="false">IFERROR(__xludf.dummyfunction("""COMPUTED_VALUE"""),145995583)</f>
        <v>145995583</v>
      </c>
    </row>
    <row r="555" customFormat="false" ht="15.75" hidden="false" customHeight="false" outlineLevel="0" collapsed="false">
      <c r="A555" s="3" t="n">
        <f aca="false">IFERROR(__xludf.dummyfunction("""COMPUTED_VALUE"""),45001.6666666667)</f>
        <v>45001.6666666667</v>
      </c>
      <c r="B555" s="2" t="n">
        <f aca="false">IFERROR(__xludf.dummyfunction("""COMPUTED_VALUE"""),180.37)</f>
        <v>180.37</v>
      </c>
      <c r="C555" s="2" t="n">
        <f aca="false">IFERROR(__xludf.dummyfunction("""COMPUTED_VALUE"""),185.81)</f>
        <v>185.81</v>
      </c>
      <c r="D555" s="2" t="n">
        <f aca="false">IFERROR(__xludf.dummyfunction("""COMPUTED_VALUE"""),178.84)</f>
        <v>178.84</v>
      </c>
      <c r="E555" s="2" t="n">
        <f aca="false">IFERROR(__xludf.dummyfunction("""COMPUTED_VALUE"""),184.13)</f>
        <v>184.13</v>
      </c>
      <c r="F555" s="2" t="n">
        <f aca="false">IFERROR(__xludf.dummyfunction("""COMPUTED_VALUE"""),121374453)</f>
        <v>121374453</v>
      </c>
    </row>
    <row r="556" customFormat="false" ht="15.75" hidden="false" customHeight="false" outlineLevel="0" collapsed="false">
      <c r="A556" s="3" t="n">
        <f aca="false">IFERROR(__xludf.dummyfunction("""COMPUTED_VALUE"""),45002.6666666667)</f>
        <v>45002.6666666667</v>
      </c>
      <c r="B556" s="2" t="n">
        <f aca="false">IFERROR(__xludf.dummyfunction("""COMPUTED_VALUE"""),184.52)</f>
        <v>184.52</v>
      </c>
      <c r="C556" s="2" t="n">
        <f aca="false">IFERROR(__xludf.dummyfunction("""COMPUTED_VALUE"""),186.22)</f>
        <v>186.22</v>
      </c>
      <c r="D556" s="2" t="n">
        <f aca="false">IFERROR(__xludf.dummyfunction("""COMPUTED_VALUE"""),177.33)</f>
        <v>177.33</v>
      </c>
      <c r="E556" s="2" t="n">
        <f aca="false">IFERROR(__xludf.dummyfunction("""COMPUTED_VALUE"""),180.13)</f>
        <v>180.13</v>
      </c>
      <c r="F556" s="2" t="n">
        <f aca="false">IFERROR(__xludf.dummyfunction("""COMPUTED_VALUE"""),133197140)</f>
        <v>133197140</v>
      </c>
    </row>
    <row r="557" customFormat="false" ht="15.75" hidden="false" customHeight="false" outlineLevel="0" collapsed="false">
      <c r="A557" s="3" t="n">
        <f aca="false">IFERROR(__xludf.dummyfunction("""COMPUTED_VALUE"""),45005.6666666667)</f>
        <v>45005.6666666667</v>
      </c>
      <c r="B557" s="2" t="n">
        <f aca="false">IFERROR(__xludf.dummyfunction("""COMPUTED_VALUE"""),178.08)</f>
        <v>178.08</v>
      </c>
      <c r="C557" s="2" t="n">
        <f aca="false">IFERROR(__xludf.dummyfunction("""COMPUTED_VALUE"""),186.44)</f>
        <v>186.44</v>
      </c>
      <c r="D557" s="2" t="n">
        <f aca="false">IFERROR(__xludf.dummyfunction("""COMPUTED_VALUE"""),176.35)</f>
        <v>176.35</v>
      </c>
      <c r="E557" s="2" t="n">
        <f aca="false">IFERROR(__xludf.dummyfunction("""COMPUTED_VALUE"""),183.25)</f>
        <v>183.25</v>
      </c>
      <c r="F557" s="2" t="n">
        <f aca="false">IFERROR(__xludf.dummyfunction("""COMPUTED_VALUE"""),129684359)</f>
        <v>129684359</v>
      </c>
    </row>
    <row r="558" customFormat="false" ht="15.75" hidden="false" customHeight="false" outlineLevel="0" collapsed="false">
      <c r="A558" s="3" t="n">
        <f aca="false">IFERROR(__xludf.dummyfunction("""COMPUTED_VALUE"""),45006.6666666667)</f>
        <v>45006.6666666667</v>
      </c>
      <c r="B558" s="2" t="n">
        <f aca="false">IFERROR(__xludf.dummyfunction("""COMPUTED_VALUE"""),188.28)</f>
        <v>188.28</v>
      </c>
      <c r="C558" s="2" t="n">
        <f aca="false">IFERROR(__xludf.dummyfunction("""COMPUTED_VALUE"""),198)</f>
        <v>198</v>
      </c>
      <c r="D558" s="2" t="n">
        <f aca="false">IFERROR(__xludf.dummyfunction("""COMPUTED_VALUE"""),188.04)</f>
        <v>188.04</v>
      </c>
      <c r="E558" s="2" t="n">
        <f aca="false">IFERROR(__xludf.dummyfunction("""COMPUTED_VALUE"""),197.58)</f>
        <v>197.58</v>
      </c>
      <c r="F558" s="2" t="n">
        <f aca="false">IFERROR(__xludf.dummyfunction("""COMPUTED_VALUE"""),153391444)</f>
        <v>153391444</v>
      </c>
    </row>
    <row r="559" customFormat="false" ht="15.75" hidden="false" customHeight="false" outlineLevel="0" collapsed="false">
      <c r="A559" s="3" t="n">
        <f aca="false">IFERROR(__xludf.dummyfunction("""COMPUTED_VALUE"""),45007.6666666667)</f>
        <v>45007.6666666667</v>
      </c>
      <c r="B559" s="2" t="n">
        <f aca="false">IFERROR(__xludf.dummyfunction("""COMPUTED_VALUE"""),199.3)</f>
        <v>199.3</v>
      </c>
      <c r="C559" s="2" t="n">
        <f aca="false">IFERROR(__xludf.dummyfunction("""COMPUTED_VALUE"""),200.66)</f>
        <v>200.66</v>
      </c>
      <c r="D559" s="2" t="n">
        <f aca="false">IFERROR(__xludf.dummyfunction("""COMPUTED_VALUE"""),190.95)</f>
        <v>190.95</v>
      </c>
      <c r="E559" s="2" t="n">
        <f aca="false">IFERROR(__xludf.dummyfunction("""COMPUTED_VALUE"""),191.15)</f>
        <v>191.15</v>
      </c>
      <c r="F559" s="2" t="n">
        <f aca="false">IFERROR(__xludf.dummyfunction("""COMPUTED_VALUE"""),150376373)</f>
        <v>150376373</v>
      </c>
    </row>
    <row r="560" customFormat="false" ht="15.75" hidden="false" customHeight="false" outlineLevel="0" collapsed="false">
      <c r="A560" s="3" t="n">
        <f aca="false">IFERROR(__xludf.dummyfunction("""COMPUTED_VALUE"""),45008.6666666667)</f>
        <v>45008.6666666667</v>
      </c>
      <c r="B560" s="2" t="n">
        <f aca="false">IFERROR(__xludf.dummyfunction("""COMPUTED_VALUE"""),195.26)</f>
        <v>195.26</v>
      </c>
      <c r="C560" s="2" t="n">
        <f aca="false">IFERROR(__xludf.dummyfunction("""COMPUTED_VALUE"""),199.31)</f>
        <v>199.31</v>
      </c>
      <c r="D560" s="2" t="n">
        <f aca="false">IFERROR(__xludf.dummyfunction("""COMPUTED_VALUE"""),188.65)</f>
        <v>188.65</v>
      </c>
      <c r="E560" s="2" t="n">
        <f aca="false">IFERROR(__xludf.dummyfunction("""COMPUTED_VALUE"""),192.22)</f>
        <v>192.22</v>
      </c>
      <c r="F560" s="2" t="n">
        <f aca="false">IFERROR(__xludf.dummyfunction("""COMPUTED_VALUE"""),144193876)</f>
        <v>144193876</v>
      </c>
    </row>
    <row r="561" customFormat="false" ht="15.75" hidden="false" customHeight="false" outlineLevel="0" collapsed="false">
      <c r="A561" s="3" t="n">
        <f aca="false">IFERROR(__xludf.dummyfunction("""COMPUTED_VALUE"""),45009.6666666667)</f>
        <v>45009.6666666667</v>
      </c>
      <c r="B561" s="2" t="n">
        <f aca="false">IFERROR(__xludf.dummyfunction("""COMPUTED_VALUE"""),191.65)</f>
        <v>191.65</v>
      </c>
      <c r="C561" s="2" t="n">
        <f aca="false">IFERROR(__xludf.dummyfunction("""COMPUTED_VALUE"""),192.36)</f>
        <v>192.36</v>
      </c>
      <c r="D561" s="2" t="n">
        <f aca="false">IFERROR(__xludf.dummyfunction("""COMPUTED_VALUE"""),187.15)</f>
        <v>187.15</v>
      </c>
      <c r="E561" s="2" t="n">
        <f aca="false">IFERROR(__xludf.dummyfunction("""COMPUTED_VALUE"""),190.41)</f>
        <v>190.41</v>
      </c>
      <c r="F561" s="2" t="n">
        <f aca="false">IFERROR(__xludf.dummyfunction("""COMPUTED_VALUE"""),116531584)</f>
        <v>116531584</v>
      </c>
    </row>
    <row r="562" customFormat="false" ht="15.75" hidden="false" customHeight="false" outlineLevel="0" collapsed="false">
      <c r="A562" s="3" t="n">
        <f aca="false">IFERROR(__xludf.dummyfunction("""COMPUTED_VALUE"""),45012.6666666667)</f>
        <v>45012.6666666667</v>
      </c>
      <c r="B562" s="2" t="n">
        <f aca="false">IFERROR(__xludf.dummyfunction("""COMPUTED_VALUE"""),194.42)</f>
        <v>194.42</v>
      </c>
      <c r="C562" s="2" t="n">
        <f aca="false">IFERROR(__xludf.dummyfunction("""COMPUTED_VALUE"""),197.39)</f>
        <v>197.39</v>
      </c>
      <c r="D562" s="2" t="n">
        <f aca="false">IFERROR(__xludf.dummyfunction("""COMPUTED_VALUE"""),189.94)</f>
        <v>189.94</v>
      </c>
      <c r="E562" s="2" t="n">
        <f aca="false">IFERROR(__xludf.dummyfunction("""COMPUTED_VALUE"""),191.81)</f>
        <v>191.81</v>
      </c>
      <c r="F562" s="2" t="n">
        <f aca="false">IFERROR(__xludf.dummyfunction("""COMPUTED_VALUE"""),120851587)</f>
        <v>120851587</v>
      </c>
    </row>
    <row r="563" customFormat="false" ht="15.75" hidden="false" customHeight="false" outlineLevel="0" collapsed="false">
      <c r="A563" s="3" t="n">
        <f aca="false">IFERROR(__xludf.dummyfunction("""COMPUTED_VALUE"""),45013.6666666667)</f>
        <v>45013.6666666667</v>
      </c>
      <c r="B563" s="2" t="n">
        <f aca="false">IFERROR(__xludf.dummyfunction("""COMPUTED_VALUE"""),192)</f>
        <v>192</v>
      </c>
      <c r="C563" s="2" t="n">
        <f aca="false">IFERROR(__xludf.dummyfunction("""COMPUTED_VALUE"""),192.35)</f>
        <v>192.35</v>
      </c>
      <c r="D563" s="2" t="n">
        <f aca="false">IFERROR(__xludf.dummyfunction("""COMPUTED_VALUE"""),185.43)</f>
        <v>185.43</v>
      </c>
      <c r="E563" s="2" t="n">
        <f aca="false">IFERROR(__xludf.dummyfunction("""COMPUTED_VALUE"""),189.19)</f>
        <v>189.19</v>
      </c>
      <c r="F563" s="2" t="n">
        <f aca="false">IFERROR(__xludf.dummyfunction("""COMPUTED_VALUE"""),98654635)</f>
        <v>98654635</v>
      </c>
    </row>
    <row r="564" customFormat="false" ht="15.75" hidden="false" customHeight="false" outlineLevel="0" collapsed="false">
      <c r="A564" s="3" t="n">
        <f aca="false">IFERROR(__xludf.dummyfunction("""COMPUTED_VALUE"""),45014.6666666667)</f>
        <v>45014.6666666667</v>
      </c>
      <c r="B564" s="2" t="n">
        <f aca="false">IFERROR(__xludf.dummyfunction("""COMPUTED_VALUE"""),193.13)</f>
        <v>193.13</v>
      </c>
      <c r="C564" s="2" t="n">
        <f aca="false">IFERROR(__xludf.dummyfunction("""COMPUTED_VALUE"""),195.29)</f>
        <v>195.29</v>
      </c>
      <c r="D564" s="2" t="n">
        <f aca="false">IFERROR(__xludf.dummyfunction("""COMPUTED_VALUE"""),189.44)</f>
        <v>189.44</v>
      </c>
      <c r="E564" s="2" t="n">
        <f aca="false">IFERROR(__xludf.dummyfunction("""COMPUTED_VALUE"""),193.88)</f>
        <v>193.88</v>
      </c>
      <c r="F564" s="2" t="n">
        <f aca="false">IFERROR(__xludf.dummyfunction("""COMPUTED_VALUE"""),123660026)</f>
        <v>123660026</v>
      </c>
    </row>
    <row r="565" customFormat="false" ht="15.75" hidden="false" customHeight="false" outlineLevel="0" collapsed="false">
      <c r="A565" s="3" t="n">
        <f aca="false">IFERROR(__xludf.dummyfunction("""COMPUTED_VALUE"""),45015.6666666667)</f>
        <v>45015.6666666667</v>
      </c>
      <c r="B565" s="2" t="n">
        <f aca="false">IFERROR(__xludf.dummyfunction("""COMPUTED_VALUE"""),195.58)</f>
        <v>195.58</v>
      </c>
      <c r="C565" s="2" t="n">
        <f aca="false">IFERROR(__xludf.dummyfunction("""COMPUTED_VALUE"""),197.33)</f>
        <v>197.33</v>
      </c>
      <c r="D565" s="2" t="n">
        <f aca="false">IFERROR(__xludf.dummyfunction("""COMPUTED_VALUE"""),194.42)</f>
        <v>194.42</v>
      </c>
      <c r="E565" s="2" t="n">
        <f aca="false">IFERROR(__xludf.dummyfunction("""COMPUTED_VALUE"""),195.28)</f>
        <v>195.28</v>
      </c>
      <c r="F565" s="2" t="n">
        <f aca="false">IFERROR(__xludf.dummyfunction("""COMPUTED_VALUE"""),110252238)</f>
        <v>110252238</v>
      </c>
    </row>
    <row r="566" customFormat="false" ht="15.75" hidden="false" customHeight="false" outlineLevel="0" collapsed="false">
      <c r="A566" s="3" t="n">
        <f aca="false">IFERROR(__xludf.dummyfunction("""COMPUTED_VALUE"""),45016.6666666667)</f>
        <v>45016.6666666667</v>
      </c>
      <c r="B566" s="2" t="n">
        <f aca="false">IFERROR(__xludf.dummyfunction("""COMPUTED_VALUE"""),197.53)</f>
        <v>197.53</v>
      </c>
      <c r="C566" s="2" t="n">
        <f aca="false">IFERROR(__xludf.dummyfunction("""COMPUTED_VALUE"""),207.79)</f>
        <v>207.79</v>
      </c>
      <c r="D566" s="2" t="n">
        <f aca="false">IFERROR(__xludf.dummyfunction("""COMPUTED_VALUE"""),197.2)</f>
        <v>197.2</v>
      </c>
      <c r="E566" s="2" t="n">
        <f aca="false">IFERROR(__xludf.dummyfunction("""COMPUTED_VALUE"""),207.46)</f>
        <v>207.46</v>
      </c>
      <c r="F566" s="2" t="n">
        <f aca="false">IFERROR(__xludf.dummyfunction("""COMPUTED_VALUE"""),170222118)</f>
        <v>170222118</v>
      </c>
    </row>
    <row r="567" customFormat="false" ht="15.75" hidden="false" customHeight="false" outlineLevel="0" collapsed="false">
      <c r="A567" s="3" t="n">
        <f aca="false">IFERROR(__xludf.dummyfunction("""COMPUTED_VALUE"""),45019.6666666667)</f>
        <v>45019.6666666667</v>
      </c>
      <c r="B567" s="2" t="n">
        <f aca="false">IFERROR(__xludf.dummyfunction("""COMPUTED_VALUE"""),199.91)</f>
        <v>199.91</v>
      </c>
      <c r="C567" s="2" t="n">
        <f aca="false">IFERROR(__xludf.dummyfunction("""COMPUTED_VALUE"""),202.69)</f>
        <v>202.69</v>
      </c>
      <c r="D567" s="2" t="n">
        <f aca="false">IFERROR(__xludf.dummyfunction("""COMPUTED_VALUE"""),192.2)</f>
        <v>192.2</v>
      </c>
      <c r="E567" s="2" t="n">
        <f aca="false">IFERROR(__xludf.dummyfunction("""COMPUTED_VALUE"""),194.77)</f>
        <v>194.77</v>
      </c>
      <c r="F567" s="2" t="n">
        <f aca="false">IFERROR(__xludf.dummyfunction("""COMPUTED_VALUE"""),169545900)</f>
        <v>169545900</v>
      </c>
    </row>
    <row r="568" customFormat="false" ht="15.75" hidden="false" customHeight="false" outlineLevel="0" collapsed="false">
      <c r="A568" s="3" t="n">
        <f aca="false">IFERROR(__xludf.dummyfunction("""COMPUTED_VALUE"""),45020.6666666667)</f>
        <v>45020.6666666667</v>
      </c>
      <c r="B568" s="2" t="n">
        <f aca="false">IFERROR(__xludf.dummyfunction("""COMPUTED_VALUE"""),197.32)</f>
        <v>197.32</v>
      </c>
      <c r="C568" s="2" t="n">
        <f aca="false">IFERROR(__xludf.dummyfunction("""COMPUTED_VALUE"""),198.74)</f>
        <v>198.74</v>
      </c>
      <c r="D568" s="2" t="n">
        <f aca="false">IFERROR(__xludf.dummyfunction("""COMPUTED_VALUE"""),190.32)</f>
        <v>190.32</v>
      </c>
      <c r="E568" s="2" t="n">
        <f aca="false">IFERROR(__xludf.dummyfunction("""COMPUTED_VALUE"""),192.58)</f>
        <v>192.58</v>
      </c>
      <c r="F568" s="2" t="n">
        <f aca="false">IFERROR(__xludf.dummyfunction("""COMPUTED_VALUE"""),126463845)</f>
        <v>126463845</v>
      </c>
    </row>
    <row r="569" customFormat="false" ht="15.75" hidden="false" customHeight="false" outlineLevel="0" collapsed="false">
      <c r="A569" s="3" t="n">
        <f aca="false">IFERROR(__xludf.dummyfunction("""COMPUTED_VALUE"""),45021.6666666667)</f>
        <v>45021.6666666667</v>
      </c>
      <c r="B569" s="2" t="n">
        <f aca="false">IFERROR(__xludf.dummyfunction("""COMPUTED_VALUE"""),190.52)</f>
        <v>190.52</v>
      </c>
      <c r="C569" s="2" t="n">
        <f aca="false">IFERROR(__xludf.dummyfunction("""COMPUTED_VALUE"""),190.68)</f>
        <v>190.68</v>
      </c>
      <c r="D569" s="2" t="n">
        <f aca="false">IFERROR(__xludf.dummyfunction("""COMPUTED_VALUE"""),183.76)</f>
        <v>183.76</v>
      </c>
      <c r="E569" s="2" t="n">
        <f aca="false">IFERROR(__xludf.dummyfunction("""COMPUTED_VALUE"""),185.52)</f>
        <v>185.52</v>
      </c>
      <c r="F569" s="2" t="n">
        <f aca="false">IFERROR(__xludf.dummyfunction("""COMPUTED_VALUE"""),133882493)</f>
        <v>133882493</v>
      </c>
    </row>
    <row r="570" customFormat="false" ht="15.75" hidden="false" customHeight="false" outlineLevel="0" collapsed="false">
      <c r="A570" s="3" t="n">
        <f aca="false">IFERROR(__xludf.dummyfunction("""COMPUTED_VALUE"""),45022.6666666667)</f>
        <v>45022.6666666667</v>
      </c>
      <c r="B570" s="2" t="n">
        <f aca="false">IFERROR(__xludf.dummyfunction("""COMPUTED_VALUE"""),183.08)</f>
        <v>183.08</v>
      </c>
      <c r="C570" s="2" t="n">
        <f aca="false">IFERROR(__xludf.dummyfunction("""COMPUTED_VALUE"""),186.39)</f>
        <v>186.39</v>
      </c>
      <c r="D570" s="2" t="n">
        <f aca="false">IFERROR(__xludf.dummyfunction("""COMPUTED_VALUE"""),179.74)</f>
        <v>179.74</v>
      </c>
      <c r="E570" s="2" t="n">
        <f aca="false">IFERROR(__xludf.dummyfunction("""COMPUTED_VALUE"""),185.06)</f>
        <v>185.06</v>
      </c>
      <c r="F570" s="2" t="n">
        <f aca="false">IFERROR(__xludf.dummyfunction("""COMPUTED_VALUE"""),123857932)</f>
        <v>123857932</v>
      </c>
    </row>
    <row r="571" customFormat="false" ht="15.75" hidden="false" customHeight="false" outlineLevel="0" collapsed="false">
      <c r="A571" s="3" t="n">
        <f aca="false">IFERROR(__xludf.dummyfunction("""COMPUTED_VALUE"""),45026.6666666667)</f>
        <v>45026.6666666667</v>
      </c>
      <c r="B571" s="2" t="n">
        <f aca="false">IFERROR(__xludf.dummyfunction("""COMPUTED_VALUE"""),179.94)</f>
        <v>179.94</v>
      </c>
      <c r="C571" s="2" t="n">
        <f aca="false">IFERROR(__xludf.dummyfunction("""COMPUTED_VALUE"""),185.1)</f>
        <v>185.1</v>
      </c>
      <c r="D571" s="2" t="n">
        <f aca="false">IFERROR(__xludf.dummyfunction("""COMPUTED_VALUE"""),176.11)</f>
        <v>176.11</v>
      </c>
      <c r="E571" s="2" t="n">
        <f aca="false">IFERROR(__xludf.dummyfunction("""COMPUTED_VALUE"""),184.51)</f>
        <v>184.51</v>
      </c>
      <c r="F571" s="2" t="n">
        <f aca="false">IFERROR(__xludf.dummyfunction("""COMPUTED_VALUE"""),142154637)</f>
        <v>142154637</v>
      </c>
    </row>
    <row r="572" customFormat="false" ht="15.75" hidden="false" customHeight="false" outlineLevel="0" collapsed="false">
      <c r="A572" s="3" t="n">
        <f aca="false">IFERROR(__xludf.dummyfunction("""COMPUTED_VALUE"""),45027.6666666667)</f>
        <v>45027.6666666667</v>
      </c>
      <c r="B572" s="2" t="n">
        <f aca="false">IFERROR(__xludf.dummyfunction("""COMPUTED_VALUE"""),186.69)</f>
        <v>186.69</v>
      </c>
      <c r="C572" s="2" t="n">
        <f aca="false">IFERROR(__xludf.dummyfunction("""COMPUTED_VALUE"""),189.19)</f>
        <v>189.19</v>
      </c>
      <c r="D572" s="2" t="n">
        <f aca="false">IFERROR(__xludf.dummyfunction("""COMPUTED_VALUE"""),185.65)</f>
        <v>185.65</v>
      </c>
      <c r="E572" s="2" t="n">
        <f aca="false">IFERROR(__xludf.dummyfunction("""COMPUTED_VALUE"""),186.79)</f>
        <v>186.79</v>
      </c>
      <c r="F572" s="2" t="n">
        <f aca="false">IFERROR(__xludf.dummyfunction("""COMPUTED_VALUE"""),115770892)</f>
        <v>115770892</v>
      </c>
    </row>
    <row r="573" customFormat="false" ht="15.75" hidden="false" customHeight="false" outlineLevel="0" collapsed="false">
      <c r="A573" s="3" t="n">
        <f aca="false">IFERROR(__xludf.dummyfunction("""COMPUTED_VALUE"""),45028.6666666667)</f>
        <v>45028.6666666667</v>
      </c>
      <c r="B573" s="2" t="n">
        <f aca="false">IFERROR(__xludf.dummyfunction("""COMPUTED_VALUE"""),190.74)</f>
        <v>190.74</v>
      </c>
      <c r="C573" s="2" t="n">
        <f aca="false">IFERROR(__xludf.dummyfunction("""COMPUTED_VALUE"""),191.58)</f>
        <v>191.58</v>
      </c>
      <c r="D573" s="2" t="n">
        <f aca="false">IFERROR(__xludf.dummyfunction("""COMPUTED_VALUE"""),180.31)</f>
        <v>180.31</v>
      </c>
      <c r="E573" s="2" t="n">
        <f aca="false">IFERROR(__xludf.dummyfunction("""COMPUTED_VALUE"""),180.54)</f>
        <v>180.54</v>
      </c>
      <c r="F573" s="2" t="n">
        <f aca="false">IFERROR(__xludf.dummyfunction("""COMPUTED_VALUE"""),150256278)</f>
        <v>150256278</v>
      </c>
    </row>
    <row r="574" customFormat="false" ht="15.75" hidden="false" customHeight="false" outlineLevel="0" collapsed="false">
      <c r="A574" s="3" t="n">
        <f aca="false">IFERROR(__xludf.dummyfunction("""COMPUTED_VALUE"""),45029.6666666667)</f>
        <v>45029.6666666667</v>
      </c>
      <c r="B574" s="2" t="n">
        <f aca="false">IFERROR(__xludf.dummyfunction("""COMPUTED_VALUE"""),182.96)</f>
        <v>182.96</v>
      </c>
      <c r="C574" s="2" t="n">
        <f aca="false">IFERROR(__xludf.dummyfunction("""COMPUTED_VALUE"""),186.5)</f>
        <v>186.5</v>
      </c>
      <c r="D574" s="2" t="n">
        <f aca="false">IFERROR(__xludf.dummyfunction("""COMPUTED_VALUE"""),180.94)</f>
        <v>180.94</v>
      </c>
      <c r="E574" s="2" t="n">
        <f aca="false">IFERROR(__xludf.dummyfunction("""COMPUTED_VALUE"""),185.9)</f>
        <v>185.9</v>
      </c>
      <c r="F574" s="2" t="n">
        <f aca="false">IFERROR(__xludf.dummyfunction("""COMPUTED_VALUE"""),112932985)</f>
        <v>112932985</v>
      </c>
    </row>
    <row r="575" customFormat="false" ht="15.75" hidden="false" customHeight="false" outlineLevel="0" collapsed="false">
      <c r="A575" s="3" t="n">
        <f aca="false">IFERROR(__xludf.dummyfunction("""COMPUTED_VALUE"""),45030.6666666667)</f>
        <v>45030.6666666667</v>
      </c>
      <c r="B575" s="2" t="n">
        <f aca="false">IFERROR(__xludf.dummyfunction("""COMPUTED_VALUE"""),183.95)</f>
        <v>183.95</v>
      </c>
      <c r="C575" s="2" t="n">
        <f aca="false">IFERROR(__xludf.dummyfunction("""COMPUTED_VALUE"""),186.28)</f>
        <v>186.28</v>
      </c>
      <c r="D575" s="2" t="n">
        <f aca="false">IFERROR(__xludf.dummyfunction("""COMPUTED_VALUE"""),182.01)</f>
        <v>182.01</v>
      </c>
      <c r="E575" s="2" t="n">
        <f aca="false">IFERROR(__xludf.dummyfunction("""COMPUTED_VALUE"""),185)</f>
        <v>185</v>
      </c>
      <c r="F575" s="2" t="n">
        <f aca="false">IFERROR(__xludf.dummyfunction("""COMPUTED_VALUE"""),96438664)</f>
        <v>96438664</v>
      </c>
    </row>
    <row r="576" customFormat="false" ht="15.75" hidden="false" customHeight="false" outlineLevel="0" collapsed="false">
      <c r="A576" s="3" t="n">
        <f aca="false">IFERROR(__xludf.dummyfunction("""COMPUTED_VALUE"""),45033.6666666667)</f>
        <v>45033.6666666667</v>
      </c>
      <c r="B576" s="2" t="n">
        <f aca="false">IFERROR(__xludf.dummyfunction("""COMPUTED_VALUE"""),186.32)</f>
        <v>186.32</v>
      </c>
      <c r="C576" s="2" t="n">
        <f aca="false">IFERROR(__xludf.dummyfunction("""COMPUTED_VALUE"""),189.69)</f>
        <v>189.69</v>
      </c>
      <c r="D576" s="2" t="n">
        <f aca="false">IFERROR(__xludf.dummyfunction("""COMPUTED_VALUE"""),182.69)</f>
        <v>182.69</v>
      </c>
      <c r="E576" s="2" t="n">
        <f aca="false">IFERROR(__xludf.dummyfunction("""COMPUTED_VALUE"""),187.04)</f>
        <v>187.04</v>
      </c>
      <c r="F576" s="2" t="n">
        <f aca="false">IFERROR(__xludf.dummyfunction("""COMPUTED_VALUE"""),116662189)</f>
        <v>116662189</v>
      </c>
    </row>
    <row r="577" customFormat="false" ht="15.75" hidden="false" customHeight="false" outlineLevel="0" collapsed="false">
      <c r="A577" s="3" t="n">
        <f aca="false">IFERROR(__xludf.dummyfunction("""COMPUTED_VALUE"""),45034.6666666667)</f>
        <v>45034.6666666667</v>
      </c>
      <c r="B577" s="2" t="n">
        <f aca="false">IFERROR(__xludf.dummyfunction("""COMPUTED_VALUE"""),187.15)</f>
        <v>187.15</v>
      </c>
      <c r="C577" s="2" t="n">
        <f aca="false">IFERROR(__xludf.dummyfunction("""COMPUTED_VALUE"""),187.69)</f>
        <v>187.69</v>
      </c>
      <c r="D577" s="2" t="n">
        <f aca="false">IFERROR(__xludf.dummyfunction("""COMPUTED_VALUE"""),183.58)</f>
        <v>183.58</v>
      </c>
      <c r="E577" s="2" t="n">
        <f aca="false">IFERROR(__xludf.dummyfunction("""COMPUTED_VALUE"""),184.31)</f>
        <v>184.31</v>
      </c>
      <c r="F577" s="2" t="n">
        <f aca="false">IFERROR(__xludf.dummyfunction("""COMPUTED_VALUE"""),92067016)</f>
        <v>92067016</v>
      </c>
    </row>
    <row r="578" customFormat="false" ht="15.75" hidden="false" customHeight="false" outlineLevel="0" collapsed="false">
      <c r="A578" s="3" t="n">
        <f aca="false">IFERROR(__xludf.dummyfunction("""COMPUTED_VALUE"""),45035.6666666667)</f>
        <v>45035.6666666667</v>
      </c>
      <c r="B578" s="2" t="n">
        <f aca="false">IFERROR(__xludf.dummyfunction("""COMPUTED_VALUE"""),179.1)</f>
        <v>179.1</v>
      </c>
      <c r="C578" s="2" t="n">
        <f aca="false">IFERROR(__xludf.dummyfunction("""COMPUTED_VALUE"""),183.5)</f>
        <v>183.5</v>
      </c>
      <c r="D578" s="2" t="n">
        <f aca="false">IFERROR(__xludf.dummyfunction("""COMPUTED_VALUE"""),177.65)</f>
        <v>177.65</v>
      </c>
      <c r="E578" s="2" t="n">
        <f aca="false">IFERROR(__xludf.dummyfunction("""COMPUTED_VALUE"""),180.59)</f>
        <v>180.59</v>
      </c>
      <c r="F578" s="2" t="n">
        <f aca="false">IFERROR(__xludf.dummyfunction("""COMPUTED_VALUE"""),125732687)</f>
        <v>125732687</v>
      </c>
    </row>
    <row r="579" customFormat="false" ht="15.75" hidden="false" customHeight="false" outlineLevel="0" collapsed="false">
      <c r="A579" s="3" t="n">
        <f aca="false">IFERROR(__xludf.dummyfunction("""COMPUTED_VALUE"""),45036.6666666667)</f>
        <v>45036.6666666667</v>
      </c>
      <c r="B579" s="2" t="n">
        <f aca="false">IFERROR(__xludf.dummyfunction("""COMPUTED_VALUE"""),166.17)</f>
        <v>166.17</v>
      </c>
      <c r="C579" s="2" t="n">
        <f aca="false">IFERROR(__xludf.dummyfunction("""COMPUTED_VALUE"""),169.7)</f>
        <v>169.7</v>
      </c>
      <c r="D579" s="2" t="n">
        <f aca="false">IFERROR(__xludf.dummyfunction("""COMPUTED_VALUE"""),160.56)</f>
        <v>160.56</v>
      </c>
      <c r="E579" s="2" t="n">
        <f aca="false">IFERROR(__xludf.dummyfunction("""COMPUTED_VALUE"""),162.99)</f>
        <v>162.99</v>
      </c>
      <c r="F579" s="2" t="n">
        <f aca="false">IFERROR(__xludf.dummyfunction("""COMPUTED_VALUE"""),210970819)</f>
        <v>210970819</v>
      </c>
    </row>
    <row r="580" customFormat="false" ht="15.75" hidden="false" customHeight="false" outlineLevel="0" collapsed="false">
      <c r="A580" s="3" t="n">
        <f aca="false">IFERROR(__xludf.dummyfunction("""COMPUTED_VALUE"""),45037.6666666667)</f>
        <v>45037.6666666667</v>
      </c>
      <c r="B580" s="2" t="n">
        <f aca="false">IFERROR(__xludf.dummyfunction("""COMPUTED_VALUE"""),164.8)</f>
        <v>164.8</v>
      </c>
      <c r="C580" s="2" t="n">
        <f aca="false">IFERROR(__xludf.dummyfunction("""COMPUTED_VALUE"""),166)</f>
        <v>166</v>
      </c>
      <c r="D580" s="2" t="n">
        <f aca="false">IFERROR(__xludf.dummyfunction("""COMPUTED_VALUE"""),161.32)</f>
        <v>161.32</v>
      </c>
      <c r="E580" s="2" t="n">
        <f aca="false">IFERROR(__xludf.dummyfunction("""COMPUTED_VALUE"""),165.08)</f>
        <v>165.08</v>
      </c>
      <c r="F580" s="2" t="n">
        <f aca="false">IFERROR(__xludf.dummyfunction("""COMPUTED_VALUE"""),123538954)</f>
        <v>123538954</v>
      </c>
    </row>
    <row r="581" customFormat="false" ht="15.75" hidden="false" customHeight="false" outlineLevel="0" collapsed="false">
      <c r="A581" s="3" t="n">
        <f aca="false">IFERROR(__xludf.dummyfunction("""COMPUTED_VALUE"""),45040.6666666667)</f>
        <v>45040.6666666667</v>
      </c>
      <c r="B581" s="2" t="n">
        <f aca="false">IFERROR(__xludf.dummyfunction("""COMPUTED_VALUE"""),164.65)</f>
        <v>164.65</v>
      </c>
      <c r="C581" s="2" t="n">
        <f aca="false">IFERROR(__xludf.dummyfunction("""COMPUTED_VALUE"""),165.65)</f>
        <v>165.65</v>
      </c>
      <c r="D581" s="2" t="n">
        <f aca="false">IFERROR(__xludf.dummyfunction("""COMPUTED_VALUE"""),158.61)</f>
        <v>158.61</v>
      </c>
      <c r="E581" s="2" t="n">
        <f aca="false">IFERROR(__xludf.dummyfunction("""COMPUTED_VALUE"""),162.55)</f>
        <v>162.55</v>
      </c>
      <c r="F581" s="2" t="n">
        <f aca="false">IFERROR(__xludf.dummyfunction("""COMPUTED_VALUE"""),140006559)</f>
        <v>140006559</v>
      </c>
    </row>
    <row r="582" customFormat="false" ht="15.75" hidden="false" customHeight="false" outlineLevel="0" collapsed="false">
      <c r="A582" s="3" t="n">
        <f aca="false">IFERROR(__xludf.dummyfunction("""COMPUTED_VALUE"""),45041.6666666667)</f>
        <v>45041.6666666667</v>
      </c>
      <c r="B582" s="2" t="n">
        <f aca="false">IFERROR(__xludf.dummyfunction("""COMPUTED_VALUE"""),159.82)</f>
        <v>159.82</v>
      </c>
      <c r="C582" s="2" t="n">
        <f aca="false">IFERROR(__xludf.dummyfunction("""COMPUTED_VALUE"""),163.47)</f>
        <v>163.47</v>
      </c>
      <c r="D582" s="2" t="n">
        <f aca="false">IFERROR(__xludf.dummyfunction("""COMPUTED_VALUE"""),158.75)</f>
        <v>158.75</v>
      </c>
      <c r="E582" s="2" t="n">
        <f aca="false">IFERROR(__xludf.dummyfunction("""COMPUTED_VALUE"""),160.67)</f>
        <v>160.67</v>
      </c>
      <c r="F582" s="2" t="n">
        <f aca="false">IFERROR(__xludf.dummyfunction("""COMPUTED_VALUE"""),121999312)</f>
        <v>121999312</v>
      </c>
    </row>
    <row r="583" customFormat="false" ht="15.75" hidden="false" customHeight="false" outlineLevel="0" collapsed="false">
      <c r="A583" s="3" t="n">
        <f aca="false">IFERROR(__xludf.dummyfunction("""COMPUTED_VALUE"""),45042.6666666667)</f>
        <v>45042.6666666667</v>
      </c>
      <c r="B583" s="2" t="n">
        <f aca="false">IFERROR(__xludf.dummyfunction("""COMPUTED_VALUE"""),160.29)</f>
        <v>160.29</v>
      </c>
      <c r="C583" s="2" t="n">
        <f aca="false">IFERROR(__xludf.dummyfunction("""COMPUTED_VALUE"""),160.67)</f>
        <v>160.67</v>
      </c>
      <c r="D583" s="2" t="n">
        <f aca="false">IFERROR(__xludf.dummyfunction("""COMPUTED_VALUE"""),153.14)</f>
        <v>153.14</v>
      </c>
      <c r="E583" s="2" t="n">
        <f aca="false">IFERROR(__xludf.dummyfunction("""COMPUTED_VALUE"""),153.75)</f>
        <v>153.75</v>
      </c>
      <c r="F583" s="2" t="n">
        <f aca="false">IFERROR(__xludf.dummyfunction("""COMPUTED_VALUE"""),153364142)</f>
        <v>153364142</v>
      </c>
    </row>
    <row r="584" customFormat="false" ht="15.75" hidden="false" customHeight="false" outlineLevel="0" collapsed="false">
      <c r="A584" s="3" t="n">
        <f aca="false">IFERROR(__xludf.dummyfunction("""COMPUTED_VALUE"""),45043.6666666667)</f>
        <v>45043.6666666667</v>
      </c>
      <c r="B584" s="2" t="n">
        <f aca="false">IFERROR(__xludf.dummyfunction("""COMPUTED_VALUE"""),152.64)</f>
        <v>152.64</v>
      </c>
      <c r="C584" s="2" t="n">
        <f aca="false">IFERROR(__xludf.dummyfunction("""COMPUTED_VALUE"""),160.48)</f>
        <v>160.48</v>
      </c>
      <c r="D584" s="2" t="n">
        <f aca="false">IFERROR(__xludf.dummyfunction("""COMPUTED_VALUE"""),152.37)</f>
        <v>152.37</v>
      </c>
      <c r="E584" s="2" t="n">
        <f aca="false">IFERROR(__xludf.dummyfunction("""COMPUTED_VALUE"""),160.19)</f>
        <v>160.19</v>
      </c>
      <c r="F584" s="2" t="n">
        <f aca="false">IFERROR(__xludf.dummyfunction("""COMPUTED_VALUE"""),127015177)</f>
        <v>127015177</v>
      </c>
    </row>
    <row r="585" customFormat="false" ht="15.75" hidden="false" customHeight="false" outlineLevel="0" collapsed="false">
      <c r="A585" s="3" t="n">
        <f aca="false">IFERROR(__xludf.dummyfunction("""COMPUTED_VALUE"""),45044.6666666667)</f>
        <v>45044.6666666667</v>
      </c>
      <c r="B585" s="2" t="n">
        <f aca="false">IFERROR(__xludf.dummyfunction("""COMPUTED_VALUE"""),160.9)</f>
        <v>160.9</v>
      </c>
      <c r="C585" s="2" t="n">
        <f aca="false">IFERROR(__xludf.dummyfunction("""COMPUTED_VALUE"""),165)</f>
        <v>165</v>
      </c>
      <c r="D585" s="2" t="n">
        <f aca="false">IFERROR(__xludf.dummyfunction("""COMPUTED_VALUE"""),157.32)</f>
        <v>157.32</v>
      </c>
      <c r="E585" s="2" t="n">
        <f aca="false">IFERROR(__xludf.dummyfunction("""COMPUTED_VALUE"""),164.31)</f>
        <v>164.31</v>
      </c>
      <c r="F585" s="2" t="n">
        <f aca="false">IFERROR(__xludf.dummyfunction("""COMPUTED_VALUE"""),122515812)</f>
        <v>122515812</v>
      </c>
    </row>
    <row r="586" customFormat="false" ht="15.75" hidden="false" customHeight="false" outlineLevel="0" collapsed="false">
      <c r="A586" s="3" t="n">
        <f aca="false">IFERROR(__xludf.dummyfunction("""COMPUTED_VALUE"""),45047.6666666667)</f>
        <v>45047.6666666667</v>
      </c>
      <c r="B586" s="2" t="n">
        <f aca="false">IFERROR(__xludf.dummyfunction("""COMPUTED_VALUE"""),163.17)</f>
        <v>163.17</v>
      </c>
      <c r="C586" s="2" t="n">
        <f aca="false">IFERROR(__xludf.dummyfunction("""COMPUTED_VALUE"""),163.28)</f>
        <v>163.28</v>
      </c>
      <c r="D586" s="2" t="n">
        <f aca="false">IFERROR(__xludf.dummyfunction("""COMPUTED_VALUE"""),158.83)</f>
        <v>158.83</v>
      </c>
      <c r="E586" s="2" t="n">
        <f aca="false">IFERROR(__xludf.dummyfunction("""COMPUTED_VALUE"""),161.83)</f>
        <v>161.83</v>
      </c>
      <c r="F586" s="2" t="n">
        <f aca="false">IFERROR(__xludf.dummyfunction("""COMPUTED_VALUE"""),109015048)</f>
        <v>109015048</v>
      </c>
    </row>
    <row r="587" customFormat="false" ht="15.75" hidden="false" customHeight="false" outlineLevel="0" collapsed="false">
      <c r="A587" s="3" t="n">
        <f aca="false">IFERROR(__xludf.dummyfunction("""COMPUTED_VALUE"""),45048.6666666667)</f>
        <v>45048.6666666667</v>
      </c>
      <c r="B587" s="2" t="n">
        <f aca="false">IFERROR(__xludf.dummyfunction("""COMPUTED_VALUE"""),161.88)</f>
        <v>161.88</v>
      </c>
      <c r="C587" s="2" t="n">
        <f aca="false">IFERROR(__xludf.dummyfunction("""COMPUTED_VALUE"""),165.49)</f>
        <v>165.49</v>
      </c>
      <c r="D587" s="2" t="n">
        <f aca="false">IFERROR(__xludf.dummyfunction("""COMPUTED_VALUE"""),158.93)</f>
        <v>158.93</v>
      </c>
      <c r="E587" s="2" t="n">
        <f aca="false">IFERROR(__xludf.dummyfunction("""COMPUTED_VALUE"""),160.31)</f>
        <v>160.31</v>
      </c>
      <c r="F587" s="2" t="n">
        <f aca="false">IFERROR(__xludf.dummyfunction("""COMPUTED_VALUE"""),128259744)</f>
        <v>128259744</v>
      </c>
    </row>
    <row r="588" customFormat="false" ht="15.75" hidden="false" customHeight="false" outlineLevel="0" collapsed="false">
      <c r="A588" s="3" t="n">
        <f aca="false">IFERROR(__xludf.dummyfunction("""COMPUTED_VALUE"""),45049.6666666667)</f>
        <v>45049.6666666667</v>
      </c>
      <c r="B588" s="2" t="n">
        <f aca="false">IFERROR(__xludf.dummyfunction("""COMPUTED_VALUE"""),160.01)</f>
        <v>160.01</v>
      </c>
      <c r="C588" s="2" t="n">
        <f aca="false">IFERROR(__xludf.dummyfunction("""COMPUTED_VALUE"""),165)</f>
        <v>165</v>
      </c>
      <c r="D588" s="2" t="n">
        <f aca="false">IFERROR(__xludf.dummyfunction("""COMPUTED_VALUE"""),159.91)</f>
        <v>159.91</v>
      </c>
      <c r="E588" s="2" t="n">
        <f aca="false">IFERROR(__xludf.dummyfunction("""COMPUTED_VALUE"""),160.61)</f>
        <v>160.61</v>
      </c>
      <c r="F588" s="2" t="n">
        <f aca="false">IFERROR(__xludf.dummyfunction("""COMPUTED_VALUE"""),119727972)</f>
        <v>119727972</v>
      </c>
    </row>
    <row r="589" customFormat="false" ht="15.75" hidden="false" customHeight="false" outlineLevel="0" collapsed="false">
      <c r="A589" s="3" t="n">
        <f aca="false">IFERROR(__xludf.dummyfunction("""COMPUTED_VALUE"""),45050.6666666667)</f>
        <v>45050.6666666667</v>
      </c>
      <c r="B589" s="2" t="n">
        <f aca="false">IFERROR(__xludf.dummyfunction("""COMPUTED_VALUE"""),162.71)</f>
        <v>162.71</v>
      </c>
      <c r="C589" s="2" t="n">
        <f aca="false">IFERROR(__xludf.dummyfunction("""COMPUTED_VALUE"""),162.95)</f>
        <v>162.95</v>
      </c>
      <c r="D589" s="2" t="n">
        <f aca="false">IFERROR(__xludf.dummyfunction("""COMPUTED_VALUE"""),159.65)</f>
        <v>159.65</v>
      </c>
      <c r="E589" s="2" t="n">
        <f aca="false">IFERROR(__xludf.dummyfunction("""COMPUTED_VALUE"""),161.2)</f>
        <v>161.2</v>
      </c>
      <c r="F589" s="2" t="n">
        <f aca="false">IFERROR(__xludf.dummyfunction("""COMPUTED_VALUE"""),95108492)</f>
        <v>95108492</v>
      </c>
    </row>
    <row r="590" customFormat="false" ht="15.75" hidden="false" customHeight="false" outlineLevel="0" collapsed="false">
      <c r="A590" s="3" t="n">
        <f aca="false">IFERROR(__xludf.dummyfunction("""COMPUTED_VALUE"""),45051.6666666667)</f>
        <v>45051.6666666667</v>
      </c>
      <c r="B590" s="2" t="n">
        <f aca="false">IFERROR(__xludf.dummyfunction("""COMPUTED_VALUE"""),163.97)</f>
        <v>163.97</v>
      </c>
      <c r="C590" s="2" t="n">
        <f aca="false">IFERROR(__xludf.dummyfunction("""COMPUTED_VALUE"""),170.79)</f>
        <v>170.79</v>
      </c>
      <c r="D590" s="2" t="n">
        <f aca="false">IFERROR(__xludf.dummyfunction("""COMPUTED_VALUE"""),163.51)</f>
        <v>163.51</v>
      </c>
      <c r="E590" s="2" t="n">
        <f aca="false">IFERROR(__xludf.dummyfunction("""COMPUTED_VALUE"""),170.06)</f>
        <v>170.06</v>
      </c>
      <c r="F590" s="2" t="n">
        <f aca="false">IFERROR(__xludf.dummyfunction("""COMPUTED_VALUE"""),107607259)</f>
        <v>107607259</v>
      </c>
    </row>
    <row r="591" customFormat="false" ht="15.75" hidden="false" customHeight="false" outlineLevel="0" collapsed="false">
      <c r="A591" s="3" t="n">
        <f aca="false">IFERROR(__xludf.dummyfunction("""COMPUTED_VALUE"""),45054.6666666667)</f>
        <v>45054.6666666667</v>
      </c>
      <c r="B591" s="2" t="n">
        <f aca="false">IFERROR(__xludf.dummyfunction("""COMPUTED_VALUE"""),173.72)</f>
        <v>173.72</v>
      </c>
      <c r="C591" s="2" t="n">
        <f aca="false">IFERROR(__xludf.dummyfunction("""COMPUTED_VALUE"""),173.8)</f>
        <v>173.8</v>
      </c>
      <c r="D591" s="2" t="n">
        <f aca="false">IFERROR(__xludf.dummyfunction("""COMPUTED_VALUE"""),169.19)</f>
        <v>169.19</v>
      </c>
      <c r="E591" s="2" t="n">
        <f aca="false">IFERROR(__xludf.dummyfunction("""COMPUTED_VALUE"""),171.79)</f>
        <v>171.79</v>
      </c>
      <c r="F591" s="2" t="n">
        <f aca="false">IFERROR(__xludf.dummyfunction("""COMPUTED_VALUE"""),112249449)</f>
        <v>112249449</v>
      </c>
    </row>
    <row r="592" customFormat="false" ht="15.75" hidden="false" customHeight="false" outlineLevel="0" collapsed="false">
      <c r="A592" s="3" t="n">
        <f aca="false">IFERROR(__xludf.dummyfunction("""COMPUTED_VALUE"""),45055.6666666667)</f>
        <v>45055.6666666667</v>
      </c>
      <c r="B592" s="2" t="n">
        <f aca="false">IFERROR(__xludf.dummyfunction("""COMPUTED_VALUE"""),168.95)</f>
        <v>168.95</v>
      </c>
      <c r="C592" s="2" t="n">
        <f aca="false">IFERROR(__xludf.dummyfunction("""COMPUTED_VALUE"""),169.82)</f>
        <v>169.82</v>
      </c>
      <c r="D592" s="2" t="n">
        <f aca="false">IFERROR(__xludf.dummyfunction("""COMPUTED_VALUE"""),166.56)</f>
        <v>166.56</v>
      </c>
      <c r="E592" s="2" t="n">
        <f aca="false">IFERROR(__xludf.dummyfunction("""COMPUTED_VALUE"""),169.15)</f>
        <v>169.15</v>
      </c>
      <c r="F592" s="2" t="n">
        <f aca="false">IFERROR(__xludf.dummyfunction("""COMPUTED_VALUE"""),88965043)</f>
        <v>88965043</v>
      </c>
    </row>
    <row r="593" customFormat="false" ht="15.75" hidden="false" customHeight="false" outlineLevel="0" collapsed="false">
      <c r="A593" s="3" t="n">
        <f aca="false">IFERROR(__xludf.dummyfunction("""COMPUTED_VALUE"""),45056.6666666667)</f>
        <v>45056.6666666667</v>
      </c>
      <c r="B593" s="2" t="n">
        <f aca="false">IFERROR(__xludf.dummyfunction("""COMPUTED_VALUE"""),172.55)</f>
        <v>172.55</v>
      </c>
      <c r="C593" s="2" t="n">
        <f aca="false">IFERROR(__xludf.dummyfunction("""COMPUTED_VALUE"""),174.43)</f>
        <v>174.43</v>
      </c>
      <c r="D593" s="2" t="n">
        <f aca="false">IFERROR(__xludf.dummyfunction("""COMPUTED_VALUE"""),166.68)</f>
        <v>166.68</v>
      </c>
      <c r="E593" s="2" t="n">
        <f aca="false">IFERROR(__xludf.dummyfunction("""COMPUTED_VALUE"""),168.54)</f>
        <v>168.54</v>
      </c>
      <c r="F593" s="2" t="n">
        <f aca="false">IFERROR(__xludf.dummyfunction("""COMPUTED_VALUE"""),119840693)</f>
        <v>119840693</v>
      </c>
    </row>
    <row r="594" customFormat="false" ht="15.75" hidden="false" customHeight="false" outlineLevel="0" collapsed="false">
      <c r="A594" s="3" t="n">
        <f aca="false">IFERROR(__xludf.dummyfunction("""COMPUTED_VALUE"""),45057.6666666667)</f>
        <v>45057.6666666667</v>
      </c>
      <c r="B594" s="2" t="n">
        <f aca="false">IFERROR(__xludf.dummyfunction("""COMPUTED_VALUE"""),168.7)</f>
        <v>168.7</v>
      </c>
      <c r="C594" s="2" t="n">
        <f aca="false">IFERROR(__xludf.dummyfunction("""COMPUTED_VALUE"""),173.57)</f>
        <v>173.57</v>
      </c>
      <c r="D594" s="2" t="n">
        <f aca="false">IFERROR(__xludf.dummyfunction("""COMPUTED_VALUE"""),166.79)</f>
        <v>166.79</v>
      </c>
      <c r="E594" s="2" t="n">
        <f aca="false">IFERROR(__xludf.dummyfunction("""COMPUTED_VALUE"""),172.08)</f>
        <v>172.08</v>
      </c>
      <c r="F594" s="2" t="n">
        <f aca="false">IFERROR(__xludf.dummyfunction("""COMPUTED_VALUE"""),103889930)</f>
        <v>103889930</v>
      </c>
    </row>
    <row r="595" customFormat="false" ht="15.75" hidden="false" customHeight="false" outlineLevel="0" collapsed="false">
      <c r="A595" s="3" t="n">
        <f aca="false">IFERROR(__xludf.dummyfunction("""COMPUTED_VALUE"""),45058.6666666667)</f>
        <v>45058.6666666667</v>
      </c>
      <c r="B595" s="2" t="n">
        <f aca="false">IFERROR(__xludf.dummyfunction("""COMPUTED_VALUE"""),176.07)</f>
        <v>176.07</v>
      </c>
      <c r="C595" s="2" t="n">
        <f aca="false">IFERROR(__xludf.dummyfunction("""COMPUTED_VALUE"""),177.38)</f>
        <v>177.38</v>
      </c>
      <c r="D595" s="2" t="n">
        <f aca="false">IFERROR(__xludf.dummyfunction("""COMPUTED_VALUE"""),167.23)</f>
        <v>167.23</v>
      </c>
      <c r="E595" s="2" t="n">
        <f aca="false">IFERROR(__xludf.dummyfunction("""COMPUTED_VALUE"""),167.98)</f>
        <v>167.98</v>
      </c>
      <c r="F595" s="2" t="n">
        <f aca="false">IFERROR(__xludf.dummyfunction("""COMPUTED_VALUE"""),157849625)</f>
        <v>157849625</v>
      </c>
    </row>
    <row r="596" customFormat="false" ht="15.75" hidden="false" customHeight="false" outlineLevel="0" collapsed="false">
      <c r="A596" s="3" t="n">
        <f aca="false">IFERROR(__xludf.dummyfunction("""COMPUTED_VALUE"""),45061.6666666667)</f>
        <v>45061.6666666667</v>
      </c>
      <c r="B596" s="2" t="n">
        <f aca="false">IFERROR(__xludf.dummyfunction("""COMPUTED_VALUE"""),167.66)</f>
        <v>167.66</v>
      </c>
      <c r="C596" s="2" t="n">
        <f aca="false">IFERROR(__xludf.dummyfunction("""COMPUTED_VALUE"""),169.76)</f>
        <v>169.76</v>
      </c>
      <c r="D596" s="2" t="n">
        <f aca="false">IFERROR(__xludf.dummyfunction("""COMPUTED_VALUE"""),164.55)</f>
        <v>164.55</v>
      </c>
      <c r="E596" s="2" t="n">
        <f aca="false">IFERROR(__xludf.dummyfunction("""COMPUTED_VALUE"""),166.35)</f>
        <v>166.35</v>
      </c>
      <c r="F596" s="2" t="n">
        <f aca="false">IFERROR(__xludf.dummyfunction("""COMPUTED_VALUE"""),105592510)</f>
        <v>105592510</v>
      </c>
    </row>
    <row r="597" customFormat="false" ht="15.75" hidden="false" customHeight="false" outlineLevel="0" collapsed="false">
      <c r="A597" s="3" t="n">
        <f aca="false">IFERROR(__xludf.dummyfunction("""COMPUTED_VALUE"""),45062.6666666667)</f>
        <v>45062.6666666667</v>
      </c>
      <c r="B597" s="2" t="n">
        <f aca="false">IFERROR(__xludf.dummyfunction("""COMPUTED_VALUE"""),165.65)</f>
        <v>165.65</v>
      </c>
      <c r="C597" s="2" t="n">
        <f aca="false">IFERROR(__xludf.dummyfunction("""COMPUTED_VALUE"""),169.52)</f>
        <v>169.52</v>
      </c>
      <c r="D597" s="2" t="n">
        <f aca="false">IFERROR(__xludf.dummyfunction("""COMPUTED_VALUE"""),164.35)</f>
        <v>164.35</v>
      </c>
      <c r="E597" s="2" t="n">
        <f aca="false">IFERROR(__xludf.dummyfunction("""COMPUTED_VALUE"""),166.52)</f>
        <v>166.52</v>
      </c>
      <c r="F597" s="2" t="n">
        <f aca="false">IFERROR(__xludf.dummyfunction("""COMPUTED_VALUE"""),98288792)</f>
        <v>98288792</v>
      </c>
    </row>
    <row r="598" customFormat="false" ht="15.75" hidden="false" customHeight="false" outlineLevel="0" collapsed="false">
      <c r="A598" s="3" t="n">
        <f aca="false">IFERROR(__xludf.dummyfunction("""COMPUTED_VALUE"""),45063.6666666667)</f>
        <v>45063.6666666667</v>
      </c>
      <c r="B598" s="2" t="n">
        <f aca="false">IFERROR(__xludf.dummyfunction("""COMPUTED_VALUE"""),168.41)</f>
        <v>168.41</v>
      </c>
      <c r="C598" s="2" t="n">
        <f aca="false">IFERROR(__xludf.dummyfunction("""COMPUTED_VALUE"""),174.5)</f>
        <v>174.5</v>
      </c>
      <c r="D598" s="2" t="n">
        <f aca="false">IFERROR(__xludf.dummyfunction("""COMPUTED_VALUE"""),167.19)</f>
        <v>167.19</v>
      </c>
      <c r="E598" s="2" t="n">
        <f aca="false">IFERROR(__xludf.dummyfunction("""COMPUTED_VALUE"""),173.86)</f>
        <v>173.86</v>
      </c>
      <c r="F598" s="2" t="n">
        <f aca="false">IFERROR(__xludf.dummyfunction("""COMPUTED_VALUE"""),125473558)</f>
        <v>125473558</v>
      </c>
    </row>
    <row r="599" customFormat="false" ht="15.75" hidden="false" customHeight="false" outlineLevel="0" collapsed="false">
      <c r="A599" s="3" t="n">
        <f aca="false">IFERROR(__xludf.dummyfunction("""COMPUTED_VALUE"""),45064.6666666667)</f>
        <v>45064.6666666667</v>
      </c>
      <c r="B599" s="2" t="n">
        <f aca="false">IFERROR(__xludf.dummyfunction("""COMPUTED_VALUE"""),174.22)</f>
        <v>174.22</v>
      </c>
      <c r="C599" s="2" t="n">
        <f aca="false">IFERROR(__xludf.dummyfunction("""COMPUTED_VALUE"""),177.06)</f>
        <v>177.06</v>
      </c>
      <c r="D599" s="2" t="n">
        <f aca="false">IFERROR(__xludf.dummyfunction("""COMPUTED_VALUE"""),172.45)</f>
        <v>172.45</v>
      </c>
      <c r="E599" s="2" t="n">
        <f aca="false">IFERROR(__xludf.dummyfunction("""COMPUTED_VALUE"""),176.89)</f>
        <v>176.89</v>
      </c>
      <c r="F599" s="2" t="n">
        <f aca="false">IFERROR(__xludf.dummyfunction("""COMPUTED_VALUE"""),109520332)</f>
        <v>109520332</v>
      </c>
    </row>
    <row r="600" customFormat="false" ht="15.75" hidden="false" customHeight="false" outlineLevel="0" collapsed="false">
      <c r="A600" s="3" t="n">
        <f aca="false">IFERROR(__xludf.dummyfunction("""COMPUTED_VALUE"""),45065.6666666667)</f>
        <v>45065.6666666667</v>
      </c>
      <c r="B600" s="2" t="n">
        <f aca="false">IFERROR(__xludf.dummyfunction("""COMPUTED_VALUE"""),177.17)</f>
        <v>177.17</v>
      </c>
      <c r="C600" s="2" t="n">
        <f aca="false">IFERROR(__xludf.dummyfunction("""COMPUTED_VALUE"""),181.95)</f>
        <v>181.95</v>
      </c>
      <c r="D600" s="2" t="n">
        <f aca="false">IFERROR(__xludf.dummyfunction("""COMPUTED_VALUE"""),176.31)</f>
        <v>176.31</v>
      </c>
      <c r="E600" s="2" t="n">
        <f aca="false">IFERROR(__xludf.dummyfunction("""COMPUTED_VALUE"""),180.14)</f>
        <v>180.14</v>
      </c>
      <c r="F600" s="2" t="n">
        <f aca="false">IFERROR(__xludf.dummyfunction("""COMPUTED_VALUE"""),136196668)</f>
        <v>136196668</v>
      </c>
    </row>
    <row r="601" customFormat="false" ht="15.75" hidden="false" customHeight="false" outlineLevel="0" collapsed="false">
      <c r="A601" s="3" t="n">
        <f aca="false">IFERROR(__xludf.dummyfunction("""COMPUTED_VALUE"""),45068.6666666667)</f>
        <v>45068.6666666667</v>
      </c>
      <c r="B601" s="2" t="n">
        <f aca="false">IFERROR(__xludf.dummyfunction("""COMPUTED_VALUE"""),180.7)</f>
        <v>180.7</v>
      </c>
      <c r="C601" s="2" t="n">
        <f aca="false">IFERROR(__xludf.dummyfunction("""COMPUTED_VALUE"""),189.32)</f>
        <v>189.32</v>
      </c>
      <c r="D601" s="2" t="n">
        <f aca="false">IFERROR(__xludf.dummyfunction("""COMPUTED_VALUE"""),180.11)</f>
        <v>180.11</v>
      </c>
      <c r="E601" s="2" t="n">
        <f aca="false">IFERROR(__xludf.dummyfunction("""COMPUTED_VALUE"""),188.87)</f>
        <v>188.87</v>
      </c>
      <c r="F601" s="2" t="n">
        <f aca="false">IFERROR(__xludf.dummyfunction("""COMPUTED_VALUE"""),132001430)</f>
        <v>132001430</v>
      </c>
    </row>
    <row r="602" customFormat="false" ht="15.75" hidden="false" customHeight="false" outlineLevel="0" collapsed="false">
      <c r="A602" s="3" t="n">
        <f aca="false">IFERROR(__xludf.dummyfunction("""COMPUTED_VALUE"""),45069.6666666667)</f>
        <v>45069.6666666667</v>
      </c>
      <c r="B602" s="2" t="n">
        <f aca="false">IFERROR(__xludf.dummyfunction("""COMPUTED_VALUE"""),186.2)</f>
        <v>186.2</v>
      </c>
      <c r="C602" s="2" t="n">
        <f aca="false">IFERROR(__xludf.dummyfunction("""COMPUTED_VALUE"""),192.96)</f>
        <v>192.96</v>
      </c>
      <c r="D602" s="2" t="n">
        <f aca="false">IFERROR(__xludf.dummyfunction("""COMPUTED_VALUE"""),185.26)</f>
        <v>185.26</v>
      </c>
      <c r="E602" s="2" t="n">
        <f aca="false">IFERROR(__xludf.dummyfunction("""COMPUTED_VALUE"""),185.77)</f>
        <v>185.77</v>
      </c>
      <c r="F602" s="2" t="n">
        <f aca="false">IFERROR(__xludf.dummyfunction("""COMPUTED_VALUE"""),156952130)</f>
        <v>156952130</v>
      </c>
    </row>
    <row r="603" customFormat="false" ht="15.75" hidden="false" customHeight="false" outlineLevel="0" collapsed="false">
      <c r="A603" s="3" t="n">
        <f aca="false">IFERROR(__xludf.dummyfunction("""COMPUTED_VALUE"""),45070.6666666667)</f>
        <v>45070.6666666667</v>
      </c>
      <c r="B603" s="2" t="n">
        <f aca="false">IFERROR(__xludf.dummyfunction("""COMPUTED_VALUE"""),182.23)</f>
        <v>182.23</v>
      </c>
      <c r="C603" s="2" t="n">
        <f aca="false">IFERROR(__xludf.dummyfunction("""COMPUTED_VALUE"""),184.22)</f>
        <v>184.22</v>
      </c>
      <c r="D603" s="2" t="n">
        <f aca="false">IFERROR(__xludf.dummyfunction("""COMPUTED_VALUE"""),178.22)</f>
        <v>178.22</v>
      </c>
      <c r="E603" s="2" t="n">
        <f aca="false">IFERROR(__xludf.dummyfunction("""COMPUTED_VALUE"""),182.9)</f>
        <v>182.9</v>
      </c>
      <c r="F603" s="2" t="n">
        <f aca="false">IFERROR(__xludf.dummyfunction("""COMPUTED_VALUE"""),137605054)</f>
        <v>137605054</v>
      </c>
    </row>
    <row r="604" customFormat="false" ht="15.75" hidden="false" customHeight="false" outlineLevel="0" collapsed="false">
      <c r="A604" s="3" t="n">
        <f aca="false">IFERROR(__xludf.dummyfunction("""COMPUTED_VALUE"""),45071.6666666667)</f>
        <v>45071.6666666667</v>
      </c>
      <c r="B604" s="2" t="n">
        <f aca="false">IFERROR(__xludf.dummyfunction("""COMPUTED_VALUE"""),186.54)</f>
        <v>186.54</v>
      </c>
      <c r="C604" s="2" t="n">
        <f aca="false">IFERROR(__xludf.dummyfunction("""COMPUTED_VALUE"""),186.78)</f>
        <v>186.78</v>
      </c>
      <c r="D604" s="2" t="n">
        <f aca="false">IFERROR(__xludf.dummyfunction("""COMPUTED_VALUE"""),180.58)</f>
        <v>180.58</v>
      </c>
      <c r="E604" s="2" t="n">
        <f aca="false">IFERROR(__xludf.dummyfunction("""COMPUTED_VALUE"""),184.47)</f>
        <v>184.47</v>
      </c>
      <c r="F604" s="2" t="n">
        <f aca="false">IFERROR(__xludf.dummyfunction("""COMPUTED_VALUE"""),96870719)</f>
        <v>96870719</v>
      </c>
    </row>
    <row r="605" customFormat="false" ht="15.75" hidden="false" customHeight="false" outlineLevel="0" collapsed="false">
      <c r="A605" s="3" t="n">
        <f aca="false">IFERROR(__xludf.dummyfunction("""COMPUTED_VALUE"""),45072.6666666667)</f>
        <v>45072.6666666667</v>
      </c>
      <c r="B605" s="2" t="n">
        <f aca="false">IFERROR(__xludf.dummyfunction("""COMPUTED_VALUE"""),184.62)</f>
        <v>184.62</v>
      </c>
      <c r="C605" s="2" t="n">
        <f aca="false">IFERROR(__xludf.dummyfunction("""COMPUTED_VALUE"""),198.6)</f>
        <v>198.6</v>
      </c>
      <c r="D605" s="2" t="n">
        <f aca="false">IFERROR(__xludf.dummyfunction("""COMPUTED_VALUE"""),184.53)</f>
        <v>184.53</v>
      </c>
      <c r="E605" s="2" t="n">
        <f aca="false">IFERROR(__xludf.dummyfunction("""COMPUTED_VALUE"""),193.17)</f>
        <v>193.17</v>
      </c>
      <c r="F605" s="2" t="n">
        <f aca="false">IFERROR(__xludf.dummyfunction("""COMPUTED_VALUE"""),162061496)</f>
        <v>162061496</v>
      </c>
    </row>
    <row r="606" customFormat="false" ht="15.75" hidden="false" customHeight="false" outlineLevel="0" collapsed="false">
      <c r="A606" s="3" t="n">
        <f aca="false">IFERROR(__xludf.dummyfunction("""COMPUTED_VALUE"""),45076.6666666667)</f>
        <v>45076.6666666667</v>
      </c>
      <c r="B606" s="2" t="n">
        <f aca="false">IFERROR(__xludf.dummyfunction("""COMPUTED_VALUE"""),200.1)</f>
        <v>200.1</v>
      </c>
      <c r="C606" s="2" t="n">
        <f aca="false">IFERROR(__xludf.dummyfunction("""COMPUTED_VALUE"""),204.48)</f>
        <v>204.48</v>
      </c>
      <c r="D606" s="2" t="n">
        <f aca="false">IFERROR(__xludf.dummyfunction("""COMPUTED_VALUE"""),197.53)</f>
        <v>197.53</v>
      </c>
      <c r="E606" s="2" t="n">
        <f aca="false">IFERROR(__xludf.dummyfunction("""COMPUTED_VALUE"""),201.16)</f>
        <v>201.16</v>
      </c>
      <c r="F606" s="2" t="n">
        <f aca="false">IFERROR(__xludf.dummyfunction("""COMPUTED_VALUE"""),128818746)</f>
        <v>128818746</v>
      </c>
    </row>
    <row r="607" customFormat="false" ht="15.75" hidden="false" customHeight="false" outlineLevel="0" collapsed="false">
      <c r="A607" s="3" t="n">
        <f aca="false">IFERROR(__xludf.dummyfunction("""COMPUTED_VALUE"""),45077.6666666667)</f>
        <v>45077.6666666667</v>
      </c>
      <c r="B607" s="2" t="n">
        <f aca="false">IFERROR(__xludf.dummyfunction("""COMPUTED_VALUE"""),199.78)</f>
        <v>199.78</v>
      </c>
      <c r="C607" s="2" t="n">
        <f aca="false">IFERROR(__xludf.dummyfunction("""COMPUTED_VALUE"""),203.95)</f>
        <v>203.95</v>
      </c>
      <c r="D607" s="2" t="n">
        <f aca="false">IFERROR(__xludf.dummyfunction("""COMPUTED_VALUE"""),195.12)</f>
        <v>195.12</v>
      </c>
      <c r="E607" s="2" t="n">
        <f aca="false">IFERROR(__xludf.dummyfunction("""COMPUTED_VALUE"""),203.93)</f>
        <v>203.93</v>
      </c>
      <c r="F607" s="2" t="n">
        <f aca="false">IFERROR(__xludf.dummyfunction("""COMPUTED_VALUE"""),150711736)</f>
        <v>150711736</v>
      </c>
    </row>
    <row r="608" customFormat="false" ht="15.75" hidden="false" customHeight="false" outlineLevel="0" collapsed="false">
      <c r="A608" s="3" t="n">
        <f aca="false">IFERROR(__xludf.dummyfunction("""COMPUTED_VALUE"""),45078.6666666667)</f>
        <v>45078.6666666667</v>
      </c>
      <c r="B608" s="2" t="n">
        <f aca="false">IFERROR(__xludf.dummyfunction("""COMPUTED_VALUE"""),202.59)</f>
        <v>202.59</v>
      </c>
      <c r="C608" s="2" t="n">
        <f aca="false">IFERROR(__xludf.dummyfunction("""COMPUTED_VALUE"""),209.8)</f>
        <v>209.8</v>
      </c>
      <c r="D608" s="2" t="n">
        <f aca="false">IFERROR(__xludf.dummyfunction("""COMPUTED_VALUE"""),199.37)</f>
        <v>199.37</v>
      </c>
      <c r="E608" s="2" t="n">
        <f aca="false">IFERROR(__xludf.dummyfunction("""COMPUTED_VALUE"""),207.52)</f>
        <v>207.52</v>
      </c>
      <c r="F608" s="2" t="n">
        <f aca="false">IFERROR(__xludf.dummyfunction("""COMPUTED_VALUE"""),148029931)</f>
        <v>148029931</v>
      </c>
    </row>
    <row r="609" customFormat="false" ht="15.75" hidden="false" customHeight="false" outlineLevel="0" collapsed="false">
      <c r="A609" s="3" t="n">
        <f aca="false">IFERROR(__xludf.dummyfunction("""COMPUTED_VALUE"""),45079.6666666667)</f>
        <v>45079.6666666667</v>
      </c>
      <c r="B609" s="2" t="n">
        <f aca="false">IFERROR(__xludf.dummyfunction("""COMPUTED_VALUE"""),210.15)</f>
        <v>210.15</v>
      </c>
      <c r="C609" s="2" t="n">
        <f aca="false">IFERROR(__xludf.dummyfunction("""COMPUTED_VALUE"""),217.25)</f>
        <v>217.25</v>
      </c>
      <c r="D609" s="2" t="n">
        <f aca="false">IFERROR(__xludf.dummyfunction("""COMPUTED_VALUE"""),209.75)</f>
        <v>209.75</v>
      </c>
      <c r="E609" s="2" t="n">
        <f aca="false">IFERROR(__xludf.dummyfunction("""COMPUTED_VALUE"""),213.97)</f>
        <v>213.97</v>
      </c>
      <c r="F609" s="2" t="n">
        <f aca="false">IFERROR(__xludf.dummyfunction("""COMPUTED_VALUE"""),164398372)</f>
        <v>164398372</v>
      </c>
    </row>
    <row r="610" customFormat="false" ht="15.75" hidden="false" customHeight="false" outlineLevel="0" collapsed="false">
      <c r="A610" s="3" t="n">
        <f aca="false">IFERROR(__xludf.dummyfunction("""COMPUTED_VALUE"""),45082.6666666667)</f>
        <v>45082.6666666667</v>
      </c>
      <c r="B610" s="2" t="n">
        <f aca="false">IFERROR(__xludf.dummyfunction("""COMPUTED_VALUE"""),217.8)</f>
        <v>217.8</v>
      </c>
      <c r="C610" s="2" t="n">
        <f aca="false">IFERROR(__xludf.dummyfunction("""COMPUTED_VALUE"""),221.29)</f>
        <v>221.29</v>
      </c>
      <c r="D610" s="2" t="n">
        <f aca="false">IFERROR(__xludf.dummyfunction("""COMPUTED_VALUE"""),214.52)</f>
        <v>214.52</v>
      </c>
      <c r="E610" s="2" t="n">
        <f aca="false">IFERROR(__xludf.dummyfunction("""COMPUTED_VALUE"""),217.61)</f>
        <v>217.61</v>
      </c>
      <c r="F610" s="2" t="n">
        <f aca="false">IFERROR(__xludf.dummyfunction("""COMPUTED_VALUE"""),151143052)</f>
        <v>151143052</v>
      </c>
    </row>
    <row r="611" customFormat="false" ht="15.75" hidden="false" customHeight="false" outlineLevel="0" collapsed="false">
      <c r="A611" s="3" t="n">
        <f aca="false">IFERROR(__xludf.dummyfunction("""COMPUTED_VALUE"""),45083.6666666667)</f>
        <v>45083.6666666667</v>
      </c>
      <c r="B611" s="2" t="n">
        <f aca="false">IFERROR(__xludf.dummyfunction("""COMPUTED_VALUE"""),216.14)</f>
        <v>216.14</v>
      </c>
      <c r="C611" s="2" t="n">
        <f aca="false">IFERROR(__xludf.dummyfunction("""COMPUTED_VALUE"""),221.91)</f>
        <v>221.91</v>
      </c>
      <c r="D611" s="2" t="n">
        <f aca="false">IFERROR(__xludf.dummyfunction("""COMPUTED_VALUE"""),212.53)</f>
        <v>212.53</v>
      </c>
      <c r="E611" s="2" t="n">
        <f aca="false">IFERROR(__xludf.dummyfunction("""COMPUTED_VALUE"""),221.31)</f>
        <v>221.31</v>
      </c>
      <c r="F611" s="2" t="n">
        <f aca="false">IFERROR(__xludf.dummyfunction("""COMPUTED_VALUE"""),146911576)</f>
        <v>146911576</v>
      </c>
    </row>
    <row r="612" customFormat="false" ht="15.75" hidden="false" customHeight="false" outlineLevel="0" collapsed="false">
      <c r="A612" s="3" t="n">
        <f aca="false">IFERROR(__xludf.dummyfunction("""COMPUTED_VALUE"""),45084.6666666667)</f>
        <v>45084.6666666667</v>
      </c>
      <c r="B612" s="2" t="n">
        <f aca="false">IFERROR(__xludf.dummyfunction("""COMPUTED_VALUE"""),228)</f>
        <v>228</v>
      </c>
      <c r="C612" s="2" t="n">
        <f aca="false">IFERROR(__xludf.dummyfunction("""COMPUTED_VALUE"""),230.83)</f>
        <v>230.83</v>
      </c>
      <c r="D612" s="2" t="n">
        <f aca="false">IFERROR(__xludf.dummyfunction("""COMPUTED_VALUE"""),223.2)</f>
        <v>223.2</v>
      </c>
      <c r="E612" s="2" t="n">
        <f aca="false">IFERROR(__xludf.dummyfunction("""COMPUTED_VALUE"""),224.57)</f>
        <v>224.57</v>
      </c>
      <c r="F612" s="2" t="n">
        <f aca="false">IFERROR(__xludf.dummyfunction("""COMPUTED_VALUE"""),185710777)</f>
        <v>185710777</v>
      </c>
    </row>
    <row r="613" customFormat="false" ht="15.75" hidden="false" customHeight="false" outlineLevel="0" collapsed="false">
      <c r="A613" s="3" t="n">
        <f aca="false">IFERROR(__xludf.dummyfunction("""COMPUTED_VALUE"""),45085.6666666667)</f>
        <v>45085.6666666667</v>
      </c>
      <c r="B613" s="2" t="n">
        <f aca="false">IFERROR(__xludf.dummyfunction("""COMPUTED_VALUE"""),224.22)</f>
        <v>224.22</v>
      </c>
      <c r="C613" s="2" t="n">
        <f aca="false">IFERROR(__xludf.dummyfunction("""COMPUTED_VALUE"""),235.23)</f>
        <v>235.23</v>
      </c>
      <c r="D613" s="2" t="n">
        <f aca="false">IFERROR(__xludf.dummyfunction("""COMPUTED_VALUE"""),223.01)</f>
        <v>223.01</v>
      </c>
      <c r="E613" s="2" t="n">
        <f aca="false">IFERROR(__xludf.dummyfunction("""COMPUTED_VALUE"""),234.86)</f>
        <v>234.86</v>
      </c>
      <c r="F613" s="2" t="n">
        <f aca="false">IFERROR(__xludf.dummyfunction("""COMPUTED_VALUE"""),164489739)</f>
        <v>164489739</v>
      </c>
    </row>
    <row r="614" customFormat="false" ht="15.75" hidden="false" customHeight="false" outlineLevel="0" collapsed="false">
      <c r="A614" s="3" t="n">
        <f aca="false">IFERROR(__xludf.dummyfunction("""COMPUTED_VALUE"""),45086.6666666667)</f>
        <v>45086.6666666667</v>
      </c>
      <c r="B614" s="2" t="n">
        <f aca="false">IFERROR(__xludf.dummyfunction("""COMPUTED_VALUE"""),249.07)</f>
        <v>249.07</v>
      </c>
      <c r="C614" s="2" t="n">
        <f aca="false">IFERROR(__xludf.dummyfunction("""COMPUTED_VALUE"""),252.42)</f>
        <v>252.42</v>
      </c>
      <c r="D614" s="2" t="n">
        <f aca="false">IFERROR(__xludf.dummyfunction("""COMPUTED_VALUE"""),242.02)</f>
        <v>242.02</v>
      </c>
      <c r="E614" s="2" t="n">
        <f aca="false">IFERROR(__xludf.dummyfunction("""COMPUTED_VALUE"""),244.4)</f>
        <v>244.4</v>
      </c>
      <c r="F614" s="2" t="n">
        <f aca="false">IFERROR(__xludf.dummyfunction("""COMPUTED_VALUE"""),200242371)</f>
        <v>200242371</v>
      </c>
    </row>
    <row r="615" customFormat="false" ht="15.75" hidden="false" customHeight="false" outlineLevel="0" collapsed="false">
      <c r="A615" s="3" t="n">
        <f aca="false">IFERROR(__xludf.dummyfunction("""COMPUTED_VALUE"""),45089.6666666667)</f>
        <v>45089.6666666667</v>
      </c>
      <c r="B615" s="2" t="n">
        <f aca="false">IFERROR(__xludf.dummyfunction("""COMPUTED_VALUE"""),247.94)</f>
        <v>247.94</v>
      </c>
      <c r="C615" s="2" t="n">
        <f aca="false">IFERROR(__xludf.dummyfunction("""COMPUTED_VALUE"""),250.97)</f>
        <v>250.97</v>
      </c>
      <c r="D615" s="2" t="n">
        <f aca="false">IFERROR(__xludf.dummyfunction("""COMPUTED_VALUE"""),244.59)</f>
        <v>244.59</v>
      </c>
      <c r="E615" s="2" t="n">
        <f aca="false">IFERROR(__xludf.dummyfunction("""COMPUTED_VALUE"""),249.83)</f>
        <v>249.83</v>
      </c>
      <c r="F615" s="2" t="n">
        <f aca="false">IFERROR(__xludf.dummyfunction("""COMPUTED_VALUE"""),150740523)</f>
        <v>150740523</v>
      </c>
    </row>
    <row r="616" customFormat="false" ht="15.75" hidden="false" customHeight="false" outlineLevel="0" collapsed="false">
      <c r="A616" s="3" t="n">
        <f aca="false">IFERROR(__xludf.dummyfunction("""COMPUTED_VALUE"""),45090.6666666667)</f>
        <v>45090.6666666667</v>
      </c>
      <c r="B616" s="2" t="n">
        <f aca="false">IFERROR(__xludf.dummyfunction("""COMPUTED_VALUE"""),253.51)</f>
        <v>253.51</v>
      </c>
      <c r="C616" s="2" t="n">
        <f aca="false">IFERROR(__xludf.dummyfunction("""COMPUTED_VALUE"""),259.68)</f>
        <v>259.68</v>
      </c>
      <c r="D616" s="2" t="n">
        <f aca="false">IFERROR(__xludf.dummyfunction("""COMPUTED_VALUE"""),251.34)</f>
        <v>251.34</v>
      </c>
      <c r="E616" s="2" t="n">
        <f aca="false">IFERROR(__xludf.dummyfunction("""COMPUTED_VALUE"""),258.71)</f>
        <v>258.71</v>
      </c>
      <c r="F616" s="2" t="n">
        <f aca="false">IFERROR(__xludf.dummyfunction("""COMPUTED_VALUE"""),162384343)</f>
        <v>162384343</v>
      </c>
    </row>
    <row r="617" customFormat="false" ht="15.75" hidden="false" customHeight="false" outlineLevel="0" collapsed="false">
      <c r="A617" s="3" t="n">
        <f aca="false">IFERROR(__xludf.dummyfunction("""COMPUTED_VALUE"""),45091.6666666667)</f>
        <v>45091.6666666667</v>
      </c>
      <c r="B617" s="2" t="n">
        <f aca="false">IFERROR(__xludf.dummyfunction("""COMPUTED_VALUE"""),260.17)</f>
        <v>260.17</v>
      </c>
      <c r="C617" s="2" t="n">
        <f aca="false">IFERROR(__xludf.dummyfunction("""COMPUTED_VALUE"""),261.57)</f>
        <v>261.57</v>
      </c>
      <c r="D617" s="2" t="n">
        <f aca="false">IFERROR(__xludf.dummyfunction("""COMPUTED_VALUE"""),250.5)</f>
        <v>250.5</v>
      </c>
      <c r="E617" s="2" t="n">
        <f aca="false">IFERROR(__xludf.dummyfunction("""COMPUTED_VALUE"""),256.79)</f>
        <v>256.79</v>
      </c>
      <c r="F617" s="2" t="n">
        <f aca="false">IFERROR(__xludf.dummyfunction("""COMPUTED_VALUE"""),170575536)</f>
        <v>170575536</v>
      </c>
    </row>
    <row r="618" customFormat="false" ht="15.75" hidden="false" customHeight="false" outlineLevel="0" collapsed="false">
      <c r="A618" s="3" t="n">
        <f aca="false">IFERROR(__xludf.dummyfunction("""COMPUTED_VALUE"""),45092.6666666667)</f>
        <v>45092.6666666667</v>
      </c>
      <c r="B618" s="2" t="n">
        <f aca="false">IFERROR(__xludf.dummyfunction("""COMPUTED_VALUE"""),248.4)</f>
        <v>248.4</v>
      </c>
      <c r="C618" s="2" t="n">
        <f aca="false">IFERROR(__xludf.dummyfunction("""COMPUTED_VALUE"""),258.95)</f>
        <v>258.95</v>
      </c>
      <c r="D618" s="2" t="n">
        <f aca="false">IFERROR(__xludf.dummyfunction("""COMPUTED_VALUE"""),247.29)</f>
        <v>247.29</v>
      </c>
      <c r="E618" s="2" t="n">
        <f aca="false">IFERROR(__xludf.dummyfunction("""COMPUTED_VALUE"""),255.9)</f>
        <v>255.9</v>
      </c>
      <c r="F618" s="2" t="n">
        <f aca="false">IFERROR(__xludf.dummyfunction("""COMPUTED_VALUE"""),160171238)</f>
        <v>160171238</v>
      </c>
    </row>
    <row r="619" customFormat="false" ht="15.75" hidden="false" customHeight="false" outlineLevel="0" collapsed="false">
      <c r="A619" s="3" t="n">
        <f aca="false">IFERROR(__xludf.dummyfunction("""COMPUTED_VALUE"""),45093.6666666667)</f>
        <v>45093.6666666667</v>
      </c>
      <c r="B619" s="2" t="n">
        <f aca="false">IFERROR(__xludf.dummyfunction("""COMPUTED_VALUE"""),258.92)</f>
        <v>258.92</v>
      </c>
      <c r="C619" s="2" t="n">
        <f aca="false">IFERROR(__xludf.dummyfunction("""COMPUTED_VALUE"""),263.6)</f>
        <v>263.6</v>
      </c>
      <c r="D619" s="2" t="n">
        <f aca="false">IFERROR(__xludf.dummyfunction("""COMPUTED_VALUE"""),257.21)</f>
        <v>257.21</v>
      </c>
      <c r="E619" s="2" t="n">
        <f aca="false">IFERROR(__xludf.dummyfunction("""COMPUTED_VALUE"""),260.54)</f>
        <v>260.54</v>
      </c>
      <c r="F619" s="2" t="n">
        <f aca="false">IFERROR(__xludf.dummyfunction("""COMPUTED_VALUE"""),167915649)</f>
        <v>167915649</v>
      </c>
    </row>
    <row r="620" customFormat="false" ht="15.75" hidden="false" customHeight="false" outlineLevel="0" collapsed="false">
      <c r="A620" s="3" t="n">
        <f aca="false">IFERROR(__xludf.dummyfunction("""COMPUTED_VALUE"""),45097.6666666667)</f>
        <v>45097.6666666667</v>
      </c>
      <c r="B620" s="2" t="n">
        <f aca="false">IFERROR(__xludf.dummyfunction("""COMPUTED_VALUE"""),261.5)</f>
        <v>261.5</v>
      </c>
      <c r="C620" s="2" t="n">
        <f aca="false">IFERROR(__xludf.dummyfunction("""COMPUTED_VALUE"""),274.75)</f>
        <v>274.75</v>
      </c>
      <c r="D620" s="2" t="n">
        <f aca="false">IFERROR(__xludf.dummyfunction("""COMPUTED_VALUE"""),261.12)</f>
        <v>261.12</v>
      </c>
      <c r="E620" s="2" t="n">
        <f aca="false">IFERROR(__xludf.dummyfunction("""COMPUTED_VALUE"""),274.45)</f>
        <v>274.45</v>
      </c>
      <c r="F620" s="2" t="n">
        <f aca="false">IFERROR(__xludf.dummyfunction("""COMPUTED_VALUE"""),165611217)</f>
        <v>165611217</v>
      </c>
    </row>
    <row r="621" customFormat="false" ht="15.75" hidden="false" customHeight="false" outlineLevel="0" collapsed="false">
      <c r="A621" s="3" t="n">
        <f aca="false">IFERROR(__xludf.dummyfunction("""COMPUTED_VALUE"""),45098.6666666667)</f>
        <v>45098.6666666667</v>
      </c>
      <c r="B621" s="2" t="n">
        <f aca="false">IFERROR(__xludf.dummyfunction("""COMPUTED_VALUE"""),275.13)</f>
        <v>275.13</v>
      </c>
      <c r="C621" s="2" t="n">
        <f aca="false">IFERROR(__xludf.dummyfunction("""COMPUTED_VALUE"""),276.99)</f>
        <v>276.99</v>
      </c>
      <c r="D621" s="2" t="n">
        <f aca="false">IFERROR(__xludf.dummyfunction("""COMPUTED_VALUE"""),257.78)</f>
        <v>257.78</v>
      </c>
      <c r="E621" s="2" t="n">
        <f aca="false">IFERROR(__xludf.dummyfunction("""COMPUTED_VALUE"""),259.46)</f>
        <v>259.46</v>
      </c>
      <c r="F621" s="2" t="n">
        <f aca="false">IFERROR(__xludf.dummyfunction("""COMPUTED_VALUE"""),211797109)</f>
        <v>211797109</v>
      </c>
    </row>
    <row r="622" customFormat="false" ht="15.75" hidden="false" customHeight="false" outlineLevel="0" collapsed="false">
      <c r="A622" s="3" t="n">
        <f aca="false">IFERROR(__xludf.dummyfunction("""COMPUTED_VALUE"""),45099.6666666667)</f>
        <v>45099.6666666667</v>
      </c>
      <c r="B622" s="2" t="n">
        <f aca="false">IFERROR(__xludf.dummyfunction("""COMPUTED_VALUE"""),250.77)</f>
        <v>250.77</v>
      </c>
      <c r="C622" s="2" t="n">
        <f aca="false">IFERROR(__xludf.dummyfunction("""COMPUTED_VALUE"""),265)</f>
        <v>265</v>
      </c>
      <c r="D622" s="2" t="n">
        <f aca="false">IFERROR(__xludf.dummyfunction("""COMPUTED_VALUE"""),248.25)</f>
        <v>248.25</v>
      </c>
      <c r="E622" s="2" t="n">
        <f aca="false">IFERROR(__xludf.dummyfunction("""COMPUTED_VALUE"""),264.61)</f>
        <v>264.61</v>
      </c>
      <c r="F622" s="2" t="n">
        <f aca="false">IFERROR(__xludf.dummyfunction("""COMPUTED_VALUE"""),166875944)</f>
        <v>166875944</v>
      </c>
    </row>
    <row r="623" customFormat="false" ht="15.75" hidden="false" customHeight="false" outlineLevel="0" collapsed="false">
      <c r="A623" s="3" t="n">
        <f aca="false">IFERROR(__xludf.dummyfunction("""COMPUTED_VALUE"""),45100.6666666667)</f>
        <v>45100.6666666667</v>
      </c>
      <c r="B623" s="2" t="n">
        <f aca="false">IFERROR(__xludf.dummyfunction("""COMPUTED_VALUE"""),259.29)</f>
        <v>259.29</v>
      </c>
      <c r="C623" s="2" t="n">
        <f aca="false">IFERROR(__xludf.dummyfunction("""COMPUTED_VALUE"""),262.45)</f>
        <v>262.45</v>
      </c>
      <c r="D623" s="2" t="n">
        <f aca="false">IFERROR(__xludf.dummyfunction("""COMPUTED_VALUE"""),252.8)</f>
        <v>252.8</v>
      </c>
      <c r="E623" s="2" t="n">
        <f aca="false">IFERROR(__xludf.dummyfunction("""COMPUTED_VALUE"""),256.6)</f>
        <v>256.6</v>
      </c>
      <c r="F623" s="2" t="n">
        <f aca="false">IFERROR(__xludf.dummyfunction("""COMPUTED_VALUE"""),177460803)</f>
        <v>177460803</v>
      </c>
    </row>
    <row r="624" customFormat="false" ht="15.75" hidden="false" customHeight="false" outlineLevel="0" collapsed="false">
      <c r="A624" s="3" t="n">
        <f aca="false">IFERROR(__xludf.dummyfunction("""COMPUTED_VALUE"""),45103.6666666667)</f>
        <v>45103.6666666667</v>
      </c>
      <c r="B624" s="2" t="n">
        <f aca="false">IFERROR(__xludf.dummyfunction("""COMPUTED_VALUE"""),250.07)</f>
        <v>250.07</v>
      </c>
      <c r="C624" s="2" t="n">
        <f aca="false">IFERROR(__xludf.dummyfunction("""COMPUTED_VALUE"""),258.37)</f>
        <v>258.37</v>
      </c>
      <c r="D624" s="2" t="n">
        <f aca="false">IFERROR(__xludf.dummyfunction("""COMPUTED_VALUE"""),240.7)</f>
        <v>240.7</v>
      </c>
      <c r="E624" s="2" t="n">
        <f aca="false">IFERROR(__xludf.dummyfunction("""COMPUTED_VALUE"""),241.05)</f>
        <v>241.05</v>
      </c>
      <c r="F624" s="2" t="n">
        <f aca="false">IFERROR(__xludf.dummyfunction("""COMPUTED_VALUE"""),179990552)</f>
        <v>179990552</v>
      </c>
    </row>
    <row r="625" customFormat="false" ht="15.75" hidden="false" customHeight="false" outlineLevel="0" collapsed="false">
      <c r="A625" s="3" t="n">
        <f aca="false">IFERROR(__xludf.dummyfunction("""COMPUTED_VALUE"""),45104.6666666667)</f>
        <v>45104.6666666667</v>
      </c>
      <c r="B625" s="2" t="n">
        <f aca="false">IFERROR(__xludf.dummyfunction("""COMPUTED_VALUE"""),243.24)</f>
        <v>243.24</v>
      </c>
      <c r="C625" s="2" t="n">
        <f aca="false">IFERROR(__xludf.dummyfunction("""COMPUTED_VALUE"""),250.39)</f>
        <v>250.39</v>
      </c>
      <c r="D625" s="2" t="n">
        <f aca="false">IFERROR(__xludf.dummyfunction("""COMPUTED_VALUE"""),240.85)</f>
        <v>240.85</v>
      </c>
      <c r="E625" s="2" t="n">
        <f aca="false">IFERROR(__xludf.dummyfunction("""COMPUTED_VALUE"""),250.21)</f>
        <v>250.21</v>
      </c>
      <c r="F625" s="2" t="n">
        <f aca="false">IFERROR(__xludf.dummyfunction("""COMPUTED_VALUE"""),164968214)</f>
        <v>164968214</v>
      </c>
    </row>
    <row r="626" customFormat="false" ht="15.75" hidden="false" customHeight="false" outlineLevel="0" collapsed="false">
      <c r="A626" s="3" t="n">
        <f aca="false">IFERROR(__xludf.dummyfunction("""COMPUTED_VALUE"""),45105.6666666667)</f>
        <v>45105.6666666667</v>
      </c>
      <c r="B626" s="2" t="n">
        <f aca="false">IFERROR(__xludf.dummyfunction("""COMPUTED_VALUE"""),249.7)</f>
        <v>249.7</v>
      </c>
      <c r="C626" s="2" t="n">
        <f aca="false">IFERROR(__xludf.dummyfunction("""COMPUTED_VALUE"""),259.88)</f>
        <v>259.88</v>
      </c>
      <c r="D626" s="2" t="n">
        <f aca="false">IFERROR(__xludf.dummyfunction("""COMPUTED_VALUE"""),248.89)</f>
        <v>248.89</v>
      </c>
      <c r="E626" s="2" t="n">
        <f aca="false">IFERROR(__xludf.dummyfunction("""COMPUTED_VALUE"""),256.24)</f>
        <v>256.24</v>
      </c>
      <c r="F626" s="2" t="n">
        <f aca="false">IFERROR(__xludf.dummyfunction("""COMPUTED_VALUE"""),159770797)</f>
        <v>159770797</v>
      </c>
    </row>
    <row r="627" customFormat="false" ht="15.75" hidden="false" customHeight="false" outlineLevel="0" collapsed="false">
      <c r="A627" s="3" t="n">
        <f aca="false">IFERROR(__xludf.dummyfunction("""COMPUTED_VALUE"""),45106.6666666667)</f>
        <v>45106.6666666667</v>
      </c>
      <c r="B627" s="2" t="n">
        <f aca="false">IFERROR(__xludf.dummyfunction("""COMPUTED_VALUE"""),258.03)</f>
        <v>258.03</v>
      </c>
      <c r="C627" s="2" t="n">
        <f aca="false">IFERROR(__xludf.dummyfunction("""COMPUTED_VALUE"""),260.74)</f>
        <v>260.74</v>
      </c>
      <c r="D627" s="2" t="n">
        <f aca="false">IFERROR(__xludf.dummyfunction("""COMPUTED_VALUE"""),253.61)</f>
        <v>253.61</v>
      </c>
      <c r="E627" s="2" t="n">
        <f aca="false">IFERROR(__xludf.dummyfunction("""COMPUTED_VALUE"""),257.5)</f>
        <v>257.5</v>
      </c>
      <c r="F627" s="2" t="n">
        <f aca="false">IFERROR(__xludf.dummyfunction("""COMPUTED_VALUE"""),131283360)</f>
        <v>131283360</v>
      </c>
    </row>
    <row r="628" customFormat="false" ht="15.75" hidden="false" customHeight="false" outlineLevel="0" collapsed="false">
      <c r="A628" s="3" t="n">
        <f aca="false">IFERROR(__xludf.dummyfunction("""COMPUTED_VALUE"""),45107.6666666667)</f>
        <v>45107.6666666667</v>
      </c>
      <c r="B628" s="2" t="n">
        <f aca="false">IFERROR(__xludf.dummyfunction("""COMPUTED_VALUE"""),260.6)</f>
        <v>260.6</v>
      </c>
      <c r="C628" s="2" t="n">
        <f aca="false">IFERROR(__xludf.dummyfunction("""COMPUTED_VALUE"""),264.45)</f>
        <v>264.45</v>
      </c>
      <c r="D628" s="2" t="n">
        <f aca="false">IFERROR(__xludf.dummyfunction("""COMPUTED_VALUE"""),259.89)</f>
        <v>259.89</v>
      </c>
      <c r="E628" s="2" t="n">
        <f aca="false">IFERROR(__xludf.dummyfunction("""COMPUTED_VALUE"""),261.77)</f>
        <v>261.77</v>
      </c>
      <c r="F628" s="2" t="n">
        <f aca="false">IFERROR(__xludf.dummyfunction("""COMPUTED_VALUE"""),112620784)</f>
        <v>112620784</v>
      </c>
    </row>
    <row r="629" customFormat="false" ht="15.75" hidden="false" customHeight="false" outlineLevel="0" collapsed="false">
      <c r="A629" s="3" t="n">
        <f aca="false">IFERROR(__xludf.dummyfunction("""COMPUTED_VALUE"""),45110.5451388889)</f>
        <v>45110.5451388889</v>
      </c>
      <c r="B629" s="2" t="n">
        <f aca="false">IFERROR(__xludf.dummyfunction("""COMPUTED_VALUE"""),276.49)</f>
        <v>276.49</v>
      </c>
      <c r="C629" s="2" t="n">
        <f aca="false">IFERROR(__xludf.dummyfunction("""COMPUTED_VALUE"""),284.25)</f>
        <v>284.25</v>
      </c>
      <c r="D629" s="2" t="n">
        <f aca="false">IFERROR(__xludf.dummyfunction("""COMPUTED_VALUE"""),275.11)</f>
        <v>275.11</v>
      </c>
      <c r="E629" s="2" t="n">
        <f aca="false">IFERROR(__xludf.dummyfunction("""COMPUTED_VALUE"""),279.82)</f>
        <v>279.82</v>
      </c>
      <c r="F629" s="2" t="n">
        <f aca="false">IFERROR(__xludf.dummyfunction("""COMPUTED_VALUE"""),119685891)</f>
        <v>119685891</v>
      </c>
    </row>
    <row r="630" customFormat="false" ht="15.75" hidden="false" customHeight="false" outlineLevel="0" collapsed="false">
      <c r="A630" s="3" t="n">
        <f aca="false">IFERROR(__xludf.dummyfunction("""COMPUTED_VALUE"""),45112.6666666667)</f>
        <v>45112.6666666667</v>
      </c>
      <c r="B630" s="2" t="n">
        <f aca="false">IFERROR(__xludf.dummyfunction("""COMPUTED_VALUE"""),278.82)</f>
        <v>278.82</v>
      </c>
      <c r="C630" s="2" t="n">
        <f aca="false">IFERROR(__xludf.dummyfunction("""COMPUTED_VALUE"""),283.85)</f>
        <v>283.85</v>
      </c>
      <c r="D630" s="2" t="n">
        <f aca="false">IFERROR(__xludf.dummyfunction("""COMPUTED_VALUE"""),277.6)</f>
        <v>277.6</v>
      </c>
      <c r="E630" s="2" t="n">
        <f aca="false">IFERROR(__xludf.dummyfunction("""COMPUTED_VALUE"""),282.48)</f>
        <v>282.48</v>
      </c>
      <c r="F630" s="2" t="n">
        <f aca="false">IFERROR(__xludf.dummyfunction("""COMPUTED_VALUE"""),131530862)</f>
        <v>131530862</v>
      </c>
    </row>
    <row r="631" customFormat="false" ht="15.75" hidden="false" customHeight="false" outlineLevel="0" collapsed="false">
      <c r="A631" s="3" t="n">
        <f aca="false">IFERROR(__xludf.dummyfunction("""COMPUTED_VALUE"""),45113.6666666667)</f>
        <v>45113.6666666667</v>
      </c>
      <c r="B631" s="2" t="n">
        <f aca="false">IFERROR(__xludf.dummyfunction("""COMPUTED_VALUE"""),278.09)</f>
        <v>278.09</v>
      </c>
      <c r="C631" s="2" t="n">
        <f aca="false">IFERROR(__xludf.dummyfunction("""COMPUTED_VALUE"""),279.97)</f>
        <v>279.97</v>
      </c>
      <c r="D631" s="2" t="n">
        <f aca="false">IFERROR(__xludf.dummyfunction("""COMPUTED_VALUE"""),272.88)</f>
        <v>272.88</v>
      </c>
      <c r="E631" s="2" t="n">
        <f aca="false">IFERROR(__xludf.dummyfunction("""COMPUTED_VALUE"""),276.54)</f>
        <v>276.54</v>
      </c>
      <c r="F631" s="2" t="n">
        <f aca="false">IFERROR(__xludf.dummyfunction("""COMPUTED_VALUE"""),120707419)</f>
        <v>120707419</v>
      </c>
    </row>
    <row r="632" customFormat="false" ht="15.75" hidden="false" customHeight="false" outlineLevel="0" collapsed="false">
      <c r="A632" s="3" t="n">
        <f aca="false">IFERROR(__xludf.dummyfunction("""COMPUTED_VALUE"""),45114.6666666667)</f>
        <v>45114.6666666667</v>
      </c>
      <c r="B632" s="2" t="n">
        <f aca="false">IFERROR(__xludf.dummyfunction("""COMPUTED_VALUE"""),278.43)</f>
        <v>278.43</v>
      </c>
      <c r="C632" s="2" t="n">
        <f aca="false">IFERROR(__xludf.dummyfunction("""COMPUTED_VALUE"""),280.78)</f>
        <v>280.78</v>
      </c>
      <c r="D632" s="2" t="n">
        <f aca="false">IFERROR(__xludf.dummyfunction("""COMPUTED_VALUE"""),273.77)</f>
        <v>273.77</v>
      </c>
      <c r="E632" s="2" t="n">
        <f aca="false">IFERROR(__xludf.dummyfunction("""COMPUTED_VALUE"""),274.43)</f>
        <v>274.43</v>
      </c>
      <c r="F632" s="2" t="n">
        <f aca="false">IFERROR(__xludf.dummyfunction("""COMPUTED_VALUE"""),113879174)</f>
        <v>113879174</v>
      </c>
    </row>
    <row r="633" customFormat="false" ht="15.75" hidden="false" customHeight="false" outlineLevel="0" collapsed="false">
      <c r="A633" s="3" t="n">
        <f aca="false">IFERROR(__xludf.dummyfunction("""COMPUTED_VALUE"""),45117.6666666667)</f>
        <v>45117.6666666667</v>
      </c>
      <c r="B633" s="2" t="n">
        <f aca="false">IFERROR(__xludf.dummyfunction("""COMPUTED_VALUE"""),276.47)</f>
        <v>276.47</v>
      </c>
      <c r="C633" s="2" t="n">
        <f aca="false">IFERROR(__xludf.dummyfunction("""COMPUTED_VALUE"""),277.52)</f>
        <v>277.52</v>
      </c>
      <c r="D633" s="2" t="n">
        <f aca="false">IFERROR(__xludf.dummyfunction("""COMPUTED_VALUE"""),265.1)</f>
        <v>265.1</v>
      </c>
      <c r="E633" s="2" t="n">
        <f aca="false">IFERROR(__xludf.dummyfunction("""COMPUTED_VALUE"""),269.61)</f>
        <v>269.61</v>
      </c>
      <c r="F633" s="2" t="n">
        <f aca="false">IFERROR(__xludf.dummyfunction("""COMPUTED_VALUE"""),119425405)</f>
        <v>119425405</v>
      </c>
    </row>
    <row r="634" customFormat="false" ht="15.75" hidden="false" customHeight="false" outlineLevel="0" collapsed="false">
      <c r="A634" s="3" t="n">
        <f aca="false">IFERROR(__xludf.dummyfunction("""COMPUTED_VALUE"""),45118.6666666667)</f>
        <v>45118.6666666667</v>
      </c>
      <c r="B634" s="2" t="n">
        <f aca="false">IFERROR(__xludf.dummyfunction("""COMPUTED_VALUE"""),268.65)</f>
        <v>268.65</v>
      </c>
      <c r="C634" s="2" t="n">
        <f aca="false">IFERROR(__xludf.dummyfunction("""COMPUTED_VALUE"""),270.9)</f>
        <v>270.9</v>
      </c>
      <c r="D634" s="2" t="n">
        <f aca="false">IFERROR(__xludf.dummyfunction("""COMPUTED_VALUE"""),266.37)</f>
        <v>266.37</v>
      </c>
      <c r="E634" s="2" t="n">
        <f aca="false">IFERROR(__xludf.dummyfunction("""COMPUTED_VALUE"""),269.79)</f>
        <v>269.79</v>
      </c>
      <c r="F634" s="2" t="n">
        <f aca="false">IFERROR(__xludf.dummyfunction("""COMPUTED_VALUE"""),91972358)</f>
        <v>91972358</v>
      </c>
    </row>
    <row r="635" customFormat="false" ht="15.75" hidden="false" customHeight="false" outlineLevel="0" collapsed="false">
      <c r="A635" s="3" t="n">
        <f aca="false">IFERROR(__xludf.dummyfunction("""COMPUTED_VALUE"""),45119.6666666667)</f>
        <v>45119.6666666667</v>
      </c>
      <c r="B635" s="2" t="n">
        <f aca="false">IFERROR(__xludf.dummyfunction("""COMPUTED_VALUE"""),276.33)</f>
        <v>276.33</v>
      </c>
      <c r="C635" s="2" t="n">
        <f aca="false">IFERROR(__xludf.dummyfunction("""COMPUTED_VALUE"""),276.52)</f>
        <v>276.52</v>
      </c>
      <c r="D635" s="2" t="n">
        <f aca="false">IFERROR(__xludf.dummyfunction("""COMPUTED_VALUE"""),271.46)</f>
        <v>271.46</v>
      </c>
      <c r="E635" s="2" t="n">
        <f aca="false">IFERROR(__xludf.dummyfunction("""COMPUTED_VALUE"""),271.99)</f>
        <v>271.99</v>
      </c>
      <c r="F635" s="2" t="n">
        <f aca="false">IFERROR(__xludf.dummyfunction("""COMPUTED_VALUE"""),95672139)</f>
        <v>95672139</v>
      </c>
    </row>
    <row r="636" customFormat="false" ht="15.75" hidden="false" customHeight="false" outlineLevel="0" collapsed="false">
      <c r="A636" s="3" t="n">
        <f aca="false">IFERROR(__xludf.dummyfunction("""COMPUTED_VALUE"""),45120.6666666667)</f>
        <v>45120.6666666667</v>
      </c>
      <c r="B636" s="2" t="n">
        <f aca="false">IFERROR(__xludf.dummyfunction("""COMPUTED_VALUE"""),274.59)</f>
        <v>274.59</v>
      </c>
      <c r="C636" s="2" t="n">
        <f aca="false">IFERROR(__xludf.dummyfunction("""COMPUTED_VALUE"""),279.45)</f>
        <v>279.45</v>
      </c>
      <c r="D636" s="2" t="n">
        <f aca="false">IFERROR(__xludf.dummyfunction("""COMPUTED_VALUE"""),270.6)</f>
        <v>270.6</v>
      </c>
      <c r="E636" s="2" t="n">
        <f aca="false">IFERROR(__xludf.dummyfunction("""COMPUTED_VALUE"""),277.9)</f>
        <v>277.9</v>
      </c>
      <c r="F636" s="2" t="n">
        <f aca="false">IFERROR(__xludf.dummyfunction("""COMPUTED_VALUE"""),112681458)</f>
        <v>112681458</v>
      </c>
    </row>
    <row r="637" customFormat="false" ht="15.75" hidden="false" customHeight="false" outlineLevel="0" collapsed="false">
      <c r="A637" s="3" t="n">
        <f aca="false">IFERROR(__xludf.dummyfunction("""COMPUTED_VALUE"""),45121.6666666667)</f>
        <v>45121.6666666667</v>
      </c>
      <c r="B637" s="2" t="n">
        <f aca="false">IFERROR(__xludf.dummyfunction("""COMPUTED_VALUE"""),277.01)</f>
        <v>277.01</v>
      </c>
      <c r="C637" s="2" t="n">
        <f aca="false">IFERROR(__xludf.dummyfunction("""COMPUTED_VALUE"""),285.3)</f>
        <v>285.3</v>
      </c>
      <c r="D637" s="2" t="n">
        <f aca="false">IFERROR(__xludf.dummyfunction("""COMPUTED_VALUE"""),276.31)</f>
        <v>276.31</v>
      </c>
      <c r="E637" s="2" t="n">
        <f aca="false">IFERROR(__xludf.dummyfunction("""COMPUTED_VALUE"""),281.38)</f>
        <v>281.38</v>
      </c>
      <c r="F637" s="2" t="n">
        <f aca="false">IFERROR(__xludf.dummyfunction("""COMPUTED_VALUE"""),120062369)</f>
        <v>120062369</v>
      </c>
    </row>
    <row r="638" customFormat="false" ht="15.75" hidden="false" customHeight="false" outlineLevel="0" collapsed="false">
      <c r="A638" s="3" t="n">
        <f aca="false">IFERROR(__xludf.dummyfunction("""COMPUTED_VALUE"""),45124.6666666667)</f>
        <v>45124.6666666667</v>
      </c>
      <c r="B638" s="2" t="n">
        <f aca="false">IFERROR(__xludf.dummyfunction("""COMPUTED_VALUE"""),286.63)</f>
        <v>286.63</v>
      </c>
      <c r="C638" s="2" t="n">
        <f aca="false">IFERROR(__xludf.dummyfunction("""COMPUTED_VALUE"""),292.23)</f>
        <v>292.23</v>
      </c>
      <c r="D638" s="2" t="n">
        <f aca="false">IFERROR(__xludf.dummyfunction("""COMPUTED_VALUE"""),283.57)</f>
        <v>283.57</v>
      </c>
      <c r="E638" s="2" t="n">
        <f aca="false">IFERROR(__xludf.dummyfunction("""COMPUTED_VALUE"""),290.38)</f>
        <v>290.38</v>
      </c>
      <c r="F638" s="2" t="n">
        <f aca="false">IFERROR(__xludf.dummyfunction("""COMPUTED_VALUE"""),131569593)</f>
        <v>131569593</v>
      </c>
    </row>
    <row r="639" customFormat="false" ht="15.75" hidden="false" customHeight="false" outlineLevel="0" collapsed="false">
      <c r="A639" s="3" t="n">
        <f aca="false">IFERROR(__xludf.dummyfunction("""COMPUTED_VALUE"""),45125.6666666667)</f>
        <v>45125.6666666667</v>
      </c>
      <c r="B639" s="2" t="n">
        <f aca="false">IFERROR(__xludf.dummyfunction("""COMPUTED_VALUE"""),290.15)</f>
        <v>290.15</v>
      </c>
      <c r="C639" s="2" t="n">
        <f aca="false">IFERROR(__xludf.dummyfunction("""COMPUTED_VALUE"""),295.26)</f>
        <v>295.26</v>
      </c>
      <c r="D639" s="2" t="n">
        <f aca="false">IFERROR(__xludf.dummyfunction("""COMPUTED_VALUE"""),286.01)</f>
        <v>286.01</v>
      </c>
      <c r="E639" s="2" t="n">
        <f aca="false">IFERROR(__xludf.dummyfunction("""COMPUTED_VALUE"""),293.34)</f>
        <v>293.34</v>
      </c>
      <c r="F639" s="2" t="n">
        <f aca="false">IFERROR(__xludf.dummyfunction("""COMPUTED_VALUE"""),112434713)</f>
        <v>112434713</v>
      </c>
    </row>
    <row r="640" customFormat="false" ht="15.75" hidden="false" customHeight="false" outlineLevel="0" collapsed="false">
      <c r="A640" s="3" t="n">
        <f aca="false">IFERROR(__xludf.dummyfunction("""COMPUTED_VALUE"""),45126.6666666667)</f>
        <v>45126.6666666667</v>
      </c>
      <c r="B640" s="2" t="n">
        <f aca="false">IFERROR(__xludf.dummyfunction("""COMPUTED_VALUE"""),296.04)</f>
        <v>296.04</v>
      </c>
      <c r="C640" s="2" t="n">
        <f aca="false">IFERROR(__xludf.dummyfunction("""COMPUTED_VALUE"""),299.29)</f>
        <v>299.29</v>
      </c>
      <c r="D640" s="2" t="n">
        <f aca="false">IFERROR(__xludf.dummyfunction("""COMPUTED_VALUE"""),289.52)</f>
        <v>289.52</v>
      </c>
      <c r="E640" s="2" t="n">
        <f aca="false">IFERROR(__xludf.dummyfunction("""COMPUTED_VALUE"""),291.26)</f>
        <v>291.26</v>
      </c>
      <c r="F640" s="2" t="n">
        <f aca="false">IFERROR(__xludf.dummyfunction("""COMPUTED_VALUE"""),142355353)</f>
        <v>142355353</v>
      </c>
    </row>
    <row r="641" customFormat="false" ht="15.75" hidden="false" customHeight="false" outlineLevel="0" collapsed="false">
      <c r="A641" s="3" t="n">
        <f aca="false">IFERROR(__xludf.dummyfunction("""COMPUTED_VALUE"""),45127.6666666667)</f>
        <v>45127.6666666667</v>
      </c>
      <c r="B641" s="2" t="n">
        <f aca="false">IFERROR(__xludf.dummyfunction("""COMPUTED_VALUE"""),279.56)</f>
        <v>279.56</v>
      </c>
      <c r="C641" s="2" t="n">
        <f aca="false">IFERROR(__xludf.dummyfunction("""COMPUTED_VALUE"""),280.93)</f>
        <v>280.93</v>
      </c>
      <c r="D641" s="2" t="n">
        <f aca="false">IFERROR(__xludf.dummyfunction("""COMPUTED_VALUE"""),261.2)</f>
        <v>261.2</v>
      </c>
      <c r="E641" s="2" t="n">
        <f aca="false">IFERROR(__xludf.dummyfunction("""COMPUTED_VALUE"""),262.9)</f>
        <v>262.9</v>
      </c>
      <c r="F641" s="2" t="n">
        <f aca="false">IFERROR(__xludf.dummyfunction("""COMPUTED_VALUE"""),175158273)</f>
        <v>175158273</v>
      </c>
    </row>
    <row r="642" customFormat="false" ht="15.75" hidden="false" customHeight="false" outlineLevel="0" collapsed="false">
      <c r="A642" s="3" t="n">
        <f aca="false">IFERROR(__xludf.dummyfunction("""COMPUTED_VALUE"""),45128.6666666667)</f>
        <v>45128.6666666667</v>
      </c>
      <c r="B642" s="2" t="n">
        <f aca="false">IFERROR(__xludf.dummyfunction("""COMPUTED_VALUE"""),268)</f>
        <v>268</v>
      </c>
      <c r="C642" s="2" t="n">
        <f aca="false">IFERROR(__xludf.dummyfunction("""COMPUTED_VALUE"""),268)</f>
        <v>268</v>
      </c>
      <c r="D642" s="2" t="n">
        <f aca="false">IFERROR(__xludf.dummyfunction("""COMPUTED_VALUE"""),255.8)</f>
        <v>255.8</v>
      </c>
      <c r="E642" s="2" t="n">
        <f aca="false">IFERROR(__xludf.dummyfunction("""COMPUTED_VALUE"""),260.02)</f>
        <v>260.02</v>
      </c>
      <c r="F642" s="2" t="n">
        <f aca="false">IFERROR(__xludf.dummyfunction("""COMPUTED_VALUE"""),161796073)</f>
        <v>161796073</v>
      </c>
    </row>
    <row r="643" customFormat="false" ht="15.75" hidden="false" customHeight="false" outlineLevel="0" collapsed="false">
      <c r="A643" s="3" t="n">
        <f aca="false">IFERROR(__xludf.dummyfunction("""COMPUTED_VALUE"""),45131.6666666667)</f>
        <v>45131.6666666667</v>
      </c>
      <c r="B643" s="2" t="n">
        <f aca="false">IFERROR(__xludf.dummyfunction("""COMPUTED_VALUE"""),255.85)</f>
        <v>255.85</v>
      </c>
      <c r="C643" s="2" t="n">
        <f aca="false">IFERROR(__xludf.dummyfunction("""COMPUTED_VALUE"""),269.85)</f>
        <v>269.85</v>
      </c>
      <c r="D643" s="2" t="n">
        <f aca="false">IFERROR(__xludf.dummyfunction("""COMPUTED_VALUE"""),254.12)</f>
        <v>254.12</v>
      </c>
      <c r="E643" s="2" t="n">
        <f aca="false">IFERROR(__xludf.dummyfunction("""COMPUTED_VALUE"""),269.06)</f>
        <v>269.06</v>
      </c>
      <c r="F643" s="2" t="n">
        <f aca="false">IFERROR(__xludf.dummyfunction("""COMPUTED_VALUE"""),137005037)</f>
        <v>137005037</v>
      </c>
    </row>
    <row r="644" customFormat="false" ht="15.75" hidden="false" customHeight="false" outlineLevel="0" collapsed="false">
      <c r="A644" s="3" t="n">
        <f aca="false">IFERROR(__xludf.dummyfunction("""COMPUTED_VALUE"""),45132.6666666667)</f>
        <v>45132.6666666667</v>
      </c>
      <c r="B644" s="2" t="n">
        <f aca="false">IFERROR(__xludf.dummyfunction("""COMPUTED_VALUE"""),272.38)</f>
        <v>272.38</v>
      </c>
      <c r="C644" s="2" t="n">
        <f aca="false">IFERROR(__xludf.dummyfunction("""COMPUTED_VALUE"""),272.9)</f>
        <v>272.9</v>
      </c>
      <c r="D644" s="2" t="n">
        <f aca="false">IFERROR(__xludf.dummyfunction("""COMPUTED_VALUE"""),265)</f>
        <v>265</v>
      </c>
      <c r="E644" s="2" t="n">
        <f aca="false">IFERROR(__xludf.dummyfunction("""COMPUTED_VALUE"""),265.28)</f>
        <v>265.28</v>
      </c>
      <c r="F644" s="2" t="n">
        <f aca="false">IFERROR(__xludf.dummyfunction("""COMPUTED_VALUE"""),112757327)</f>
        <v>112757327</v>
      </c>
    </row>
    <row r="645" customFormat="false" ht="15.75" hidden="false" customHeight="false" outlineLevel="0" collapsed="false">
      <c r="A645" s="3" t="n">
        <f aca="false">IFERROR(__xludf.dummyfunction("""COMPUTED_VALUE"""),45133.6666666667)</f>
        <v>45133.6666666667</v>
      </c>
      <c r="B645" s="2" t="n">
        <f aca="false">IFERROR(__xludf.dummyfunction("""COMPUTED_VALUE"""),263.25)</f>
        <v>263.25</v>
      </c>
      <c r="C645" s="2" t="n">
        <f aca="false">IFERROR(__xludf.dummyfunction("""COMPUTED_VALUE"""),268.04)</f>
        <v>268.04</v>
      </c>
      <c r="D645" s="2" t="n">
        <f aca="false">IFERROR(__xludf.dummyfunction("""COMPUTED_VALUE"""),261.75)</f>
        <v>261.75</v>
      </c>
      <c r="E645" s="2" t="n">
        <f aca="false">IFERROR(__xludf.dummyfunction("""COMPUTED_VALUE"""),264.35)</f>
        <v>264.35</v>
      </c>
      <c r="F645" s="2" t="n">
        <f aca="false">IFERROR(__xludf.dummyfunction("""COMPUTED_VALUE"""),95856177)</f>
        <v>95856177</v>
      </c>
    </row>
    <row r="646" customFormat="false" ht="15.75" hidden="false" customHeight="false" outlineLevel="0" collapsed="false">
      <c r="A646" s="3" t="n">
        <f aca="false">IFERROR(__xludf.dummyfunction("""COMPUTED_VALUE"""),45134.6666666667)</f>
        <v>45134.6666666667</v>
      </c>
      <c r="B646" s="2" t="n">
        <f aca="false">IFERROR(__xludf.dummyfunction("""COMPUTED_VALUE"""),268.31)</f>
        <v>268.31</v>
      </c>
      <c r="C646" s="2" t="n">
        <f aca="false">IFERROR(__xludf.dummyfunction("""COMPUTED_VALUE"""),269.13)</f>
        <v>269.13</v>
      </c>
      <c r="D646" s="2" t="n">
        <f aca="false">IFERROR(__xludf.dummyfunction("""COMPUTED_VALUE"""),255.3)</f>
        <v>255.3</v>
      </c>
      <c r="E646" s="2" t="n">
        <f aca="false">IFERROR(__xludf.dummyfunction("""COMPUTED_VALUE"""),255.71)</f>
        <v>255.71</v>
      </c>
      <c r="F646" s="2" t="n">
        <f aca="false">IFERROR(__xludf.dummyfunction("""COMPUTED_VALUE"""),103697263)</f>
        <v>103697263</v>
      </c>
    </row>
    <row r="647" customFormat="false" ht="15.75" hidden="false" customHeight="false" outlineLevel="0" collapsed="false">
      <c r="A647" s="3" t="n">
        <f aca="false">IFERROR(__xludf.dummyfunction("""COMPUTED_VALUE"""),45135.6666666667)</f>
        <v>45135.6666666667</v>
      </c>
      <c r="B647" s="2" t="n">
        <f aca="false">IFERROR(__xludf.dummyfunction("""COMPUTED_VALUE"""),259.86)</f>
        <v>259.86</v>
      </c>
      <c r="C647" s="2" t="n">
        <f aca="false">IFERROR(__xludf.dummyfunction("""COMPUTED_VALUE"""),267.25)</f>
        <v>267.25</v>
      </c>
      <c r="D647" s="2" t="n">
        <f aca="false">IFERROR(__xludf.dummyfunction("""COMPUTED_VALUE"""),258.23)</f>
        <v>258.23</v>
      </c>
      <c r="E647" s="2" t="n">
        <f aca="false">IFERROR(__xludf.dummyfunction("""COMPUTED_VALUE"""),266.44)</f>
        <v>266.44</v>
      </c>
      <c r="F647" s="2" t="n">
        <f aca="false">IFERROR(__xludf.dummyfunction("""COMPUTED_VALUE"""),111446026)</f>
        <v>111446026</v>
      </c>
    </row>
    <row r="648" customFormat="false" ht="15.75" hidden="false" customHeight="false" outlineLevel="0" collapsed="false">
      <c r="A648" s="3" t="n">
        <f aca="false">IFERROR(__xludf.dummyfunction("""COMPUTED_VALUE"""),45138.6666666667)</f>
        <v>45138.6666666667</v>
      </c>
      <c r="B648" s="2" t="n">
        <f aca="false">IFERROR(__xludf.dummyfunction("""COMPUTED_VALUE"""),267.48)</f>
        <v>267.48</v>
      </c>
      <c r="C648" s="2" t="n">
        <f aca="false">IFERROR(__xludf.dummyfunction("""COMPUTED_VALUE"""),269.08)</f>
        <v>269.08</v>
      </c>
      <c r="D648" s="2" t="n">
        <f aca="false">IFERROR(__xludf.dummyfunction("""COMPUTED_VALUE"""),263.78)</f>
        <v>263.78</v>
      </c>
      <c r="E648" s="2" t="n">
        <f aca="false">IFERROR(__xludf.dummyfunction("""COMPUTED_VALUE"""),267.43)</f>
        <v>267.43</v>
      </c>
      <c r="F648" s="2" t="n">
        <f aca="false">IFERROR(__xludf.dummyfunction("""COMPUTED_VALUE"""),84582172)</f>
        <v>84582172</v>
      </c>
    </row>
    <row r="649" customFormat="false" ht="15.75" hidden="false" customHeight="false" outlineLevel="0" collapsed="false">
      <c r="A649" s="3" t="n">
        <f aca="false">IFERROR(__xludf.dummyfunction("""COMPUTED_VALUE"""),45139.6666666667)</f>
        <v>45139.6666666667</v>
      </c>
      <c r="B649" s="2" t="n">
        <f aca="false">IFERROR(__xludf.dummyfunction("""COMPUTED_VALUE"""),266.26)</f>
        <v>266.26</v>
      </c>
      <c r="C649" s="2" t="n">
        <f aca="false">IFERROR(__xludf.dummyfunction("""COMPUTED_VALUE"""),266.47)</f>
        <v>266.47</v>
      </c>
      <c r="D649" s="2" t="n">
        <f aca="false">IFERROR(__xludf.dummyfunction("""COMPUTED_VALUE"""),260.25)</f>
        <v>260.25</v>
      </c>
      <c r="E649" s="2" t="n">
        <f aca="false">IFERROR(__xludf.dummyfunction("""COMPUTED_VALUE"""),261.07)</f>
        <v>261.07</v>
      </c>
      <c r="F649" s="2" t="n">
        <f aca="false">IFERROR(__xludf.dummyfunction("""COMPUTED_VALUE"""),83645720)</f>
        <v>83645720</v>
      </c>
    </row>
    <row r="650" customFormat="false" ht="15.75" hidden="false" customHeight="false" outlineLevel="0" collapsed="false">
      <c r="A650" s="3" t="n">
        <f aca="false">IFERROR(__xludf.dummyfunction("""COMPUTED_VALUE"""),45140.6666666667)</f>
        <v>45140.6666666667</v>
      </c>
      <c r="B650" s="2" t="n">
        <f aca="false">IFERROR(__xludf.dummyfunction("""COMPUTED_VALUE"""),255.57)</f>
        <v>255.57</v>
      </c>
      <c r="C650" s="2" t="n">
        <f aca="false">IFERROR(__xludf.dummyfunction("""COMPUTED_VALUE"""),259.52)</f>
        <v>259.52</v>
      </c>
      <c r="D650" s="2" t="n">
        <f aca="false">IFERROR(__xludf.dummyfunction("""COMPUTED_VALUE"""),250.49)</f>
        <v>250.49</v>
      </c>
      <c r="E650" s="2" t="n">
        <f aca="false">IFERROR(__xludf.dummyfunction("""COMPUTED_VALUE"""),254.11)</f>
        <v>254.11</v>
      </c>
      <c r="F650" s="2" t="n">
        <f aca="false">IFERROR(__xludf.dummyfunction("""COMPUTED_VALUE"""),101752865)</f>
        <v>101752865</v>
      </c>
    </row>
    <row r="651" customFormat="false" ht="15.75" hidden="false" customHeight="false" outlineLevel="0" collapsed="false">
      <c r="A651" s="3" t="n">
        <f aca="false">IFERROR(__xludf.dummyfunction("""COMPUTED_VALUE"""),45141.6666666667)</f>
        <v>45141.6666666667</v>
      </c>
      <c r="B651" s="2" t="n">
        <f aca="false">IFERROR(__xludf.dummyfunction("""COMPUTED_VALUE"""),252.04)</f>
        <v>252.04</v>
      </c>
      <c r="C651" s="2" t="n">
        <f aca="false">IFERROR(__xludf.dummyfunction("""COMPUTED_VALUE"""),260.49)</f>
        <v>260.49</v>
      </c>
      <c r="D651" s="2" t="n">
        <f aca="false">IFERROR(__xludf.dummyfunction("""COMPUTED_VALUE"""),252)</f>
        <v>252</v>
      </c>
      <c r="E651" s="2" t="n">
        <f aca="false">IFERROR(__xludf.dummyfunction("""COMPUTED_VALUE"""),259.32)</f>
        <v>259.32</v>
      </c>
      <c r="F651" s="2" t="n">
        <f aca="false">IFERROR(__xludf.dummyfunction("""COMPUTED_VALUE"""),97829545)</f>
        <v>97829545</v>
      </c>
    </row>
    <row r="652" customFormat="false" ht="15.75" hidden="false" customHeight="false" outlineLevel="0" collapsed="false">
      <c r="A652" s="3" t="n">
        <f aca="false">IFERROR(__xludf.dummyfunction("""COMPUTED_VALUE"""),45142.6666666667)</f>
        <v>45142.6666666667</v>
      </c>
      <c r="B652" s="2" t="n">
        <f aca="false">IFERROR(__xludf.dummyfunction("""COMPUTED_VALUE"""),260.97)</f>
        <v>260.97</v>
      </c>
      <c r="C652" s="2" t="n">
        <f aca="false">IFERROR(__xludf.dummyfunction("""COMPUTED_VALUE"""),264.77)</f>
        <v>264.77</v>
      </c>
      <c r="D652" s="2" t="n">
        <f aca="false">IFERROR(__xludf.dummyfunction("""COMPUTED_VALUE"""),253.11)</f>
        <v>253.11</v>
      </c>
      <c r="E652" s="2" t="n">
        <f aca="false">IFERROR(__xludf.dummyfunction("""COMPUTED_VALUE"""),253.86)</f>
        <v>253.86</v>
      </c>
      <c r="F652" s="2" t="n">
        <f aca="false">IFERROR(__xludf.dummyfunction("""COMPUTED_VALUE"""),99539907)</f>
        <v>99539907</v>
      </c>
    </row>
    <row r="653" customFormat="false" ht="15.75" hidden="false" customHeight="false" outlineLevel="0" collapsed="false">
      <c r="A653" s="3" t="n">
        <f aca="false">IFERROR(__xludf.dummyfunction("""COMPUTED_VALUE"""),45145.6666666667)</f>
        <v>45145.6666666667</v>
      </c>
      <c r="B653" s="2" t="n">
        <f aca="false">IFERROR(__xludf.dummyfunction("""COMPUTED_VALUE"""),251.45)</f>
        <v>251.45</v>
      </c>
      <c r="C653" s="2" t="n">
        <f aca="false">IFERROR(__xludf.dummyfunction("""COMPUTED_VALUE"""),253.65)</f>
        <v>253.65</v>
      </c>
      <c r="D653" s="2" t="n">
        <f aca="false">IFERROR(__xludf.dummyfunction("""COMPUTED_VALUE"""),242.76)</f>
        <v>242.76</v>
      </c>
      <c r="E653" s="2" t="n">
        <f aca="false">IFERROR(__xludf.dummyfunction("""COMPUTED_VALUE"""),251.45)</f>
        <v>251.45</v>
      </c>
      <c r="F653" s="2" t="n">
        <f aca="false">IFERROR(__xludf.dummyfunction("""COMPUTED_VALUE"""),111097943)</f>
        <v>111097943</v>
      </c>
    </row>
    <row r="654" customFormat="false" ht="15.75" hidden="false" customHeight="false" outlineLevel="0" collapsed="false">
      <c r="A654" s="3" t="n">
        <f aca="false">IFERROR(__xludf.dummyfunction("""COMPUTED_VALUE"""),45146.6666666667)</f>
        <v>45146.6666666667</v>
      </c>
      <c r="B654" s="2" t="n">
        <f aca="false">IFERROR(__xludf.dummyfunction("""COMPUTED_VALUE"""),247.45)</f>
        <v>247.45</v>
      </c>
      <c r="C654" s="2" t="n">
        <f aca="false">IFERROR(__xludf.dummyfunction("""COMPUTED_VALUE"""),250.92)</f>
        <v>250.92</v>
      </c>
      <c r="D654" s="2" t="n">
        <f aca="false">IFERROR(__xludf.dummyfunction("""COMPUTED_VALUE"""),245.01)</f>
        <v>245.01</v>
      </c>
      <c r="E654" s="2" t="n">
        <f aca="false">IFERROR(__xludf.dummyfunction("""COMPUTED_VALUE"""),249.7)</f>
        <v>249.7</v>
      </c>
      <c r="F654" s="2" t="n">
        <f aca="false">IFERROR(__xludf.dummyfunction("""COMPUTED_VALUE"""),96642183)</f>
        <v>96642183</v>
      </c>
    </row>
    <row r="655" customFormat="false" ht="15.75" hidden="false" customHeight="false" outlineLevel="0" collapsed="false">
      <c r="A655" s="3" t="n">
        <f aca="false">IFERROR(__xludf.dummyfunction("""COMPUTED_VALUE"""),45147.6666666667)</f>
        <v>45147.6666666667</v>
      </c>
      <c r="B655" s="2" t="n">
        <f aca="false">IFERROR(__xludf.dummyfunction("""COMPUTED_VALUE"""),250.87)</f>
        <v>250.87</v>
      </c>
      <c r="C655" s="2" t="n">
        <f aca="false">IFERROR(__xludf.dummyfunction("""COMPUTED_VALUE"""),251.1)</f>
        <v>251.1</v>
      </c>
      <c r="D655" s="2" t="n">
        <f aca="false">IFERROR(__xludf.dummyfunction("""COMPUTED_VALUE"""),241.9)</f>
        <v>241.9</v>
      </c>
      <c r="E655" s="2" t="n">
        <f aca="false">IFERROR(__xludf.dummyfunction("""COMPUTED_VALUE"""),242.19)</f>
        <v>242.19</v>
      </c>
      <c r="F655" s="2" t="n">
        <f aca="false">IFERROR(__xludf.dummyfunction("""COMPUTED_VALUE"""),101596324)</f>
        <v>101596324</v>
      </c>
    </row>
    <row r="656" customFormat="false" ht="15.75" hidden="false" customHeight="false" outlineLevel="0" collapsed="false">
      <c r="A656" s="3" t="n">
        <f aca="false">IFERROR(__xludf.dummyfunction("""COMPUTED_VALUE"""),45148.6666666667)</f>
        <v>45148.6666666667</v>
      </c>
      <c r="B656" s="2" t="n">
        <f aca="false">IFERROR(__xludf.dummyfunction("""COMPUTED_VALUE"""),245.4)</f>
        <v>245.4</v>
      </c>
      <c r="C656" s="2" t="n">
        <f aca="false">IFERROR(__xludf.dummyfunction("""COMPUTED_VALUE"""),251.8)</f>
        <v>251.8</v>
      </c>
      <c r="D656" s="2" t="n">
        <f aca="false">IFERROR(__xludf.dummyfunction("""COMPUTED_VALUE"""),243)</f>
        <v>243</v>
      </c>
      <c r="E656" s="2" t="n">
        <f aca="false">IFERROR(__xludf.dummyfunction("""COMPUTED_VALUE"""),245.34)</f>
        <v>245.34</v>
      </c>
      <c r="F656" s="2" t="n">
        <f aca="false">IFERROR(__xludf.dummyfunction("""COMPUTED_VALUE"""),109498608)</f>
        <v>109498608</v>
      </c>
    </row>
    <row r="657" customFormat="false" ht="15.75" hidden="false" customHeight="false" outlineLevel="0" collapsed="false">
      <c r="A657" s="3" t="n">
        <f aca="false">IFERROR(__xludf.dummyfunction("""COMPUTED_VALUE"""),45149.6666666667)</f>
        <v>45149.6666666667</v>
      </c>
      <c r="B657" s="2" t="n">
        <f aca="false">IFERROR(__xludf.dummyfunction("""COMPUTED_VALUE"""),241.77)</f>
        <v>241.77</v>
      </c>
      <c r="C657" s="2" t="n">
        <f aca="false">IFERROR(__xludf.dummyfunction("""COMPUTED_VALUE"""),243.79)</f>
        <v>243.79</v>
      </c>
      <c r="D657" s="2" t="n">
        <f aca="false">IFERROR(__xludf.dummyfunction("""COMPUTED_VALUE"""),238.02)</f>
        <v>238.02</v>
      </c>
      <c r="E657" s="2" t="n">
        <f aca="false">IFERROR(__xludf.dummyfunction("""COMPUTED_VALUE"""),242.65)</f>
        <v>242.65</v>
      </c>
      <c r="F657" s="2" t="n">
        <f aca="false">IFERROR(__xludf.dummyfunction("""COMPUTED_VALUE"""),99038642)</f>
        <v>99038642</v>
      </c>
    </row>
    <row r="658" customFormat="false" ht="15.75" hidden="false" customHeight="false" outlineLevel="0" collapsed="false">
      <c r="A658" s="3" t="n">
        <f aca="false">IFERROR(__xludf.dummyfunction("""COMPUTED_VALUE"""),45152.6666666667)</f>
        <v>45152.6666666667</v>
      </c>
      <c r="B658" s="2" t="n">
        <f aca="false">IFERROR(__xludf.dummyfunction("""COMPUTED_VALUE"""),235.7)</f>
        <v>235.7</v>
      </c>
      <c r="C658" s="2" t="n">
        <f aca="false">IFERROR(__xludf.dummyfunction("""COMPUTED_VALUE"""),240.66)</f>
        <v>240.66</v>
      </c>
      <c r="D658" s="2" t="n">
        <f aca="false">IFERROR(__xludf.dummyfunction("""COMPUTED_VALUE"""),233.75)</f>
        <v>233.75</v>
      </c>
      <c r="E658" s="2" t="n">
        <f aca="false">IFERROR(__xludf.dummyfunction("""COMPUTED_VALUE"""),239.76)</f>
        <v>239.76</v>
      </c>
      <c r="F658" s="2" t="n">
        <f aca="false">IFERROR(__xludf.dummyfunction("""COMPUTED_VALUE"""),98595331)</f>
        <v>98595331</v>
      </c>
    </row>
    <row r="659" customFormat="false" ht="15.75" hidden="false" customHeight="false" outlineLevel="0" collapsed="false">
      <c r="A659" s="3" t="n">
        <f aca="false">IFERROR(__xludf.dummyfunction("""COMPUTED_VALUE"""),45153.6666666667)</f>
        <v>45153.6666666667</v>
      </c>
      <c r="B659" s="2" t="n">
        <f aca="false">IFERROR(__xludf.dummyfunction("""COMPUTED_VALUE"""),238.73)</f>
        <v>238.73</v>
      </c>
      <c r="C659" s="2" t="n">
        <f aca="false">IFERROR(__xludf.dummyfunction("""COMPUTED_VALUE"""),240.5)</f>
        <v>240.5</v>
      </c>
      <c r="D659" s="2" t="n">
        <f aca="false">IFERROR(__xludf.dummyfunction("""COMPUTED_VALUE"""),232.61)</f>
        <v>232.61</v>
      </c>
      <c r="E659" s="2" t="n">
        <f aca="false">IFERROR(__xludf.dummyfunction("""COMPUTED_VALUE"""),232.96)</f>
        <v>232.96</v>
      </c>
      <c r="F659" s="2" t="n">
        <f aca="false">IFERROR(__xludf.dummyfunction("""COMPUTED_VALUE"""),88197599)</f>
        <v>88197599</v>
      </c>
    </row>
    <row r="660" customFormat="false" ht="15.75" hidden="false" customHeight="false" outlineLevel="0" collapsed="false">
      <c r="A660" s="3" t="n">
        <f aca="false">IFERROR(__xludf.dummyfunction("""COMPUTED_VALUE"""),45154.6666666667)</f>
        <v>45154.6666666667</v>
      </c>
      <c r="B660" s="2" t="n">
        <f aca="false">IFERROR(__xludf.dummyfunction("""COMPUTED_VALUE"""),228.02)</f>
        <v>228.02</v>
      </c>
      <c r="C660" s="2" t="n">
        <f aca="false">IFERROR(__xludf.dummyfunction("""COMPUTED_VALUE"""),233.97)</f>
        <v>233.97</v>
      </c>
      <c r="D660" s="2" t="n">
        <f aca="false">IFERROR(__xludf.dummyfunction("""COMPUTED_VALUE"""),225.38)</f>
        <v>225.38</v>
      </c>
      <c r="E660" s="2" t="n">
        <f aca="false">IFERROR(__xludf.dummyfunction("""COMPUTED_VALUE"""),225.6)</f>
        <v>225.6</v>
      </c>
      <c r="F660" s="2" t="n">
        <f aca="false">IFERROR(__xludf.dummyfunction("""COMPUTED_VALUE"""),112484520)</f>
        <v>112484520</v>
      </c>
    </row>
    <row r="661" customFormat="false" ht="15.75" hidden="false" customHeight="false" outlineLevel="0" collapsed="false">
      <c r="A661" s="3" t="n">
        <f aca="false">IFERROR(__xludf.dummyfunction("""COMPUTED_VALUE"""),45155.6666666667)</f>
        <v>45155.6666666667</v>
      </c>
      <c r="B661" s="2" t="n">
        <f aca="false">IFERROR(__xludf.dummyfunction("""COMPUTED_VALUE"""),226.06)</f>
        <v>226.06</v>
      </c>
      <c r="C661" s="2" t="n">
        <f aca="false">IFERROR(__xludf.dummyfunction("""COMPUTED_VALUE"""),226.74)</f>
        <v>226.74</v>
      </c>
      <c r="D661" s="2" t="n">
        <f aca="false">IFERROR(__xludf.dummyfunction("""COMPUTED_VALUE"""),218.83)</f>
        <v>218.83</v>
      </c>
      <c r="E661" s="2" t="n">
        <f aca="false">IFERROR(__xludf.dummyfunction("""COMPUTED_VALUE"""),219.22)</f>
        <v>219.22</v>
      </c>
      <c r="F661" s="2" t="n">
        <f aca="false">IFERROR(__xludf.dummyfunction("""COMPUTED_VALUE"""),120718417)</f>
        <v>120718417</v>
      </c>
    </row>
    <row r="662" customFormat="false" ht="15.75" hidden="false" customHeight="false" outlineLevel="0" collapsed="false">
      <c r="A662" s="3" t="n">
        <f aca="false">IFERROR(__xludf.dummyfunction("""COMPUTED_VALUE"""),45156.6666666667)</f>
        <v>45156.6666666667</v>
      </c>
      <c r="B662" s="2" t="n">
        <f aca="false">IFERROR(__xludf.dummyfunction("""COMPUTED_VALUE"""),214.12)</f>
        <v>214.12</v>
      </c>
      <c r="C662" s="2" t="n">
        <f aca="false">IFERROR(__xludf.dummyfunction("""COMPUTED_VALUE"""),217.58)</f>
        <v>217.58</v>
      </c>
      <c r="D662" s="2" t="n">
        <f aca="false">IFERROR(__xludf.dummyfunction("""COMPUTED_VALUE"""),212.36)</f>
        <v>212.36</v>
      </c>
      <c r="E662" s="2" t="n">
        <f aca="false">IFERROR(__xludf.dummyfunction("""COMPUTED_VALUE"""),215.49)</f>
        <v>215.49</v>
      </c>
      <c r="F662" s="2" t="n">
        <f aca="false">IFERROR(__xludf.dummyfunction("""COMPUTED_VALUE"""),136276584)</f>
        <v>136276584</v>
      </c>
    </row>
    <row r="663" customFormat="false" ht="15.75" hidden="false" customHeight="false" outlineLevel="0" collapsed="false">
      <c r="A663" s="3" t="n">
        <f aca="false">IFERROR(__xludf.dummyfunction("""COMPUTED_VALUE"""),45159.6666666667)</f>
        <v>45159.6666666667</v>
      </c>
      <c r="B663" s="2" t="n">
        <f aca="false">IFERROR(__xludf.dummyfunction("""COMPUTED_VALUE"""),221.55)</f>
        <v>221.55</v>
      </c>
      <c r="C663" s="2" t="n">
        <f aca="false">IFERROR(__xludf.dummyfunction("""COMPUTED_VALUE"""),232.13)</f>
        <v>232.13</v>
      </c>
      <c r="D663" s="2" t="n">
        <f aca="false">IFERROR(__xludf.dummyfunction("""COMPUTED_VALUE"""),220.58)</f>
        <v>220.58</v>
      </c>
      <c r="E663" s="2" t="n">
        <f aca="false">IFERROR(__xludf.dummyfunction("""COMPUTED_VALUE"""),231.28)</f>
        <v>231.28</v>
      </c>
      <c r="F663" s="2" t="n">
        <f aca="false">IFERROR(__xludf.dummyfunction("""COMPUTED_VALUE"""),135702671)</f>
        <v>135702671</v>
      </c>
    </row>
    <row r="664" customFormat="false" ht="15.75" hidden="false" customHeight="false" outlineLevel="0" collapsed="false">
      <c r="A664" s="3" t="n">
        <f aca="false">IFERROR(__xludf.dummyfunction("""COMPUTED_VALUE"""),45160.6666666667)</f>
        <v>45160.6666666667</v>
      </c>
      <c r="B664" s="2" t="n">
        <f aca="false">IFERROR(__xludf.dummyfunction("""COMPUTED_VALUE"""),240.25)</f>
        <v>240.25</v>
      </c>
      <c r="C664" s="2" t="n">
        <f aca="false">IFERROR(__xludf.dummyfunction("""COMPUTED_VALUE"""),240.82)</f>
        <v>240.82</v>
      </c>
      <c r="D664" s="2" t="n">
        <f aca="false">IFERROR(__xludf.dummyfunction("""COMPUTED_VALUE"""),229.55)</f>
        <v>229.55</v>
      </c>
      <c r="E664" s="2" t="n">
        <f aca="false">IFERROR(__xludf.dummyfunction("""COMPUTED_VALUE"""),233.19)</f>
        <v>233.19</v>
      </c>
      <c r="F664" s="2" t="n">
        <f aca="false">IFERROR(__xludf.dummyfunction("""COMPUTED_VALUE"""),130597886)</f>
        <v>130597886</v>
      </c>
    </row>
    <row r="665" customFormat="false" ht="15.75" hidden="false" customHeight="false" outlineLevel="0" collapsed="false">
      <c r="A665" s="3" t="n">
        <f aca="false">IFERROR(__xludf.dummyfunction("""COMPUTED_VALUE"""),45161.6666666667)</f>
        <v>45161.6666666667</v>
      </c>
      <c r="B665" s="2" t="n">
        <f aca="false">IFERROR(__xludf.dummyfunction("""COMPUTED_VALUE"""),229.34)</f>
        <v>229.34</v>
      </c>
      <c r="C665" s="2" t="n">
        <f aca="false">IFERROR(__xludf.dummyfunction("""COMPUTED_VALUE"""),238.98)</f>
        <v>238.98</v>
      </c>
      <c r="D665" s="2" t="n">
        <f aca="false">IFERROR(__xludf.dummyfunction("""COMPUTED_VALUE"""),229.29)</f>
        <v>229.29</v>
      </c>
      <c r="E665" s="2" t="n">
        <f aca="false">IFERROR(__xludf.dummyfunction("""COMPUTED_VALUE"""),236.86)</f>
        <v>236.86</v>
      </c>
      <c r="F665" s="2" t="n">
        <f aca="false">IFERROR(__xludf.dummyfunction("""COMPUTED_VALUE"""),101077635)</f>
        <v>101077635</v>
      </c>
    </row>
    <row r="666" customFormat="false" ht="15.75" hidden="false" customHeight="false" outlineLevel="0" collapsed="false">
      <c r="A666" s="3" t="n">
        <f aca="false">IFERROR(__xludf.dummyfunction("""COMPUTED_VALUE"""),45162.6666666667)</f>
        <v>45162.6666666667</v>
      </c>
      <c r="B666" s="2" t="n">
        <f aca="false">IFERROR(__xludf.dummyfunction("""COMPUTED_VALUE"""),238.66)</f>
        <v>238.66</v>
      </c>
      <c r="C666" s="2" t="n">
        <f aca="false">IFERROR(__xludf.dummyfunction("""COMPUTED_VALUE"""),238.92)</f>
        <v>238.92</v>
      </c>
      <c r="D666" s="2" t="n">
        <f aca="false">IFERROR(__xludf.dummyfunction("""COMPUTED_VALUE"""),228.18)</f>
        <v>228.18</v>
      </c>
      <c r="E666" s="2" t="n">
        <f aca="false">IFERROR(__xludf.dummyfunction("""COMPUTED_VALUE"""),230.04)</f>
        <v>230.04</v>
      </c>
      <c r="F666" s="2" t="n">
        <f aca="false">IFERROR(__xludf.dummyfunction("""COMPUTED_VALUE"""),99777432)</f>
        <v>99777432</v>
      </c>
    </row>
    <row r="667" customFormat="false" ht="15.75" hidden="false" customHeight="false" outlineLevel="0" collapsed="false">
      <c r="A667" s="3" t="n">
        <f aca="false">IFERROR(__xludf.dummyfunction("""COMPUTED_VALUE"""),45163.6666666667)</f>
        <v>45163.6666666667</v>
      </c>
      <c r="B667" s="2" t="n">
        <f aca="false">IFERROR(__xludf.dummyfunction("""COMPUTED_VALUE"""),231.31)</f>
        <v>231.31</v>
      </c>
      <c r="C667" s="2" t="n">
        <f aca="false">IFERROR(__xludf.dummyfunction("""COMPUTED_VALUE"""),239)</f>
        <v>239</v>
      </c>
      <c r="D667" s="2" t="n">
        <f aca="false">IFERROR(__xludf.dummyfunction("""COMPUTED_VALUE"""),230.35)</f>
        <v>230.35</v>
      </c>
      <c r="E667" s="2" t="n">
        <f aca="false">IFERROR(__xludf.dummyfunction("""COMPUTED_VALUE"""),238.59)</f>
        <v>238.59</v>
      </c>
      <c r="F667" s="2" t="n">
        <f aca="false">IFERROR(__xludf.dummyfunction("""COMPUTED_VALUE"""),106612231)</f>
        <v>106612231</v>
      </c>
    </row>
    <row r="668" customFormat="false" ht="15.75" hidden="false" customHeight="false" outlineLevel="0" collapsed="false">
      <c r="A668" s="3" t="n">
        <f aca="false">IFERROR(__xludf.dummyfunction("""COMPUTED_VALUE"""),45166.6666666667)</f>
        <v>45166.6666666667</v>
      </c>
      <c r="B668" s="2" t="n">
        <f aca="false">IFERROR(__xludf.dummyfunction("""COMPUTED_VALUE"""),242.58)</f>
        <v>242.58</v>
      </c>
      <c r="C668" s="2" t="n">
        <f aca="false">IFERROR(__xludf.dummyfunction("""COMPUTED_VALUE"""),244.38)</f>
        <v>244.38</v>
      </c>
      <c r="D668" s="2" t="n">
        <f aca="false">IFERROR(__xludf.dummyfunction("""COMPUTED_VALUE"""),235.35)</f>
        <v>235.35</v>
      </c>
      <c r="E668" s="2" t="n">
        <f aca="false">IFERROR(__xludf.dummyfunction("""COMPUTED_VALUE"""),238.82)</f>
        <v>238.82</v>
      </c>
      <c r="F668" s="2" t="n">
        <f aca="false">IFERROR(__xludf.dummyfunction("""COMPUTED_VALUE"""),107673727)</f>
        <v>107673727</v>
      </c>
    </row>
    <row r="669" customFormat="false" ht="15.75" hidden="false" customHeight="false" outlineLevel="0" collapsed="false">
      <c r="A669" s="3" t="n">
        <f aca="false">IFERROR(__xludf.dummyfunction("""COMPUTED_VALUE"""),45167.6666666667)</f>
        <v>45167.6666666667</v>
      </c>
      <c r="B669" s="2" t="n">
        <f aca="false">IFERROR(__xludf.dummyfunction("""COMPUTED_VALUE"""),238.58)</f>
        <v>238.58</v>
      </c>
      <c r="C669" s="2" t="n">
        <f aca="false">IFERROR(__xludf.dummyfunction("""COMPUTED_VALUE"""),257.48)</f>
        <v>257.48</v>
      </c>
      <c r="D669" s="2" t="n">
        <f aca="false">IFERROR(__xludf.dummyfunction("""COMPUTED_VALUE"""),237.77)</f>
        <v>237.77</v>
      </c>
      <c r="E669" s="2" t="n">
        <f aca="false">IFERROR(__xludf.dummyfunction("""COMPUTED_VALUE"""),257.18)</f>
        <v>257.18</v>
      </c>
      <c r="F669" s="2" t="n">
        <f aca="false">IFERROR(__xludf.dummyfunction("""COMPUTED_VALUE"""),134047603)</f>
        <v>134047603</v>
      </c>
    </row>
    <row r="670" customFormat="false" ht="15.75" hidden="false" customHeight="false" outlineLevel="0" collapsed="false">
      <c r="A670" s="3" t="n">
        <f aca="false">IFERROR(__xludf.dummyfunction("""COMPUTED_VALUE"""),45168.6666666667)</f>
        <v>45168.6666666667</v>
      </c>
      <c r="B670" s="2" t="n">
        <f aca="false">IFERROR(__xludf.dummyfunction("""COMPUTED_VALUE"""),254.2)</f>
        <v>254.2</v>
      </c>
      <c r="C670" s="2" t="n">
        <f aca="false">IFERROR(__xludf.dummyfunction("""COMPUTED_VALUE"""),260.51)</f>
        <v>260.51</v>
      </c>
      <c r="D670" s="2" t="n">
        <f aca="false">IFERROR(__xludf.dummyfunction("""COMPUTED_VALUE"""),250.59)</f>
        <v>250.59</v>
      </c>
      <c r="E670" s="2" t="n">
        <f aca="false">IFERROR(__xludf.dummyfunction("""COMPUTED_VALUE"""),256.9)</f>
        <v>256.9</v>
      </c>
      <c r="F670" s="2" t="n">
        <f aca="false">IFERROR(__xludf.dummyfunction("""COMPUTED_VALUE"""),121988437)</f>
        <v>121988437</v>
      </c>
    </row>
    <row r="671" customFormat="false" ht="15.75" hidden="false" customHeight="false" outlineLevel="0" collapsed="false">
      <c r="A671" s="3" t="n">
        <f aca="false">IFERROR(__xludf.dummyfunction("""COMPUTED_VALUE"""),45169.6666666667)</f>
        <v>45169.6666666667</v>
      </c>
      <c r="B671" s="2" t="n">
        <f aca="false">IFERROR(__xludf.dummyfunction("""COMPUTED_VALUE"""),255.98)</f>
        <v>255.98</v>
      </c>
      <c r="C671" s="2" t="n">
        <f aca="false">IFERROR(__xludf.dummyfunction("""COMPUTED_VALUE"""),261.18)</f>
        <v>261.18</v>
      </c>
      <c r="D671" s="2" t="n">
        <f aca="false">IFERROR(__xludf.dummyfunction("""COMPUTED_VALUE"""),255.05)</f>
        <v>255.05</v>
      </c>
      <c r="E671" s="2" t="n">
        <f aca="false">IFERROR(__xludf.dummyfunction("""COMPUTED_VALUE"""),258.08)</f>
        <v>258.08</v>
      </c>
      <c r="F671" s="2" t="n">
        <f aca="false">IFERROR(__xludf.dummyfunction("""COMPUTED_VALUE"""),108861698)</f>
        <v>108861698</v>
      </c>
    </row>
    <row r="672" customFormat="false" ht="15.75" hidden="false" customHeight="false" outlineLevel="0" collapsed="false">
      <c r="A672" s="3" t="n">
        <f aca="false">IFERROR(__xludf.dummyfunction("""COMPUTED_VALUE"""),45170.6666666667)</f>
        <v>45170.6666666667</v>
      </c>
      <c r="B672" s="2" t="n">
        <f aca="false">IFERROR(__xludf.dummyfunction("""COMPUTED_VALUE"""),257.26)</f>
        <v>257.26</v>
      </c>
      <c r="C672" s="2" t="n">
        <f aca="false">IFERROR(__xludf.dummyfunction("""COMPUTED_VALUE"""),259.08)</f>
        <v>259.08</v>
      </c>
      <c r="D672" s="2" t="n">
        <f aca="false">IFERROR(__xludf.dummyfunction("""COMPUTED_VALUE"""),242.01)</f>
        <v>242.01</v>
      </c>
      <c r="E672" s="2" t="n">
        <f aca="false">IFERROR(__xludf.dummyfunction("""COMPUTED_VALUE"""),245.01)</f>
        <v>245.01</v>
      </c>
      <c r="F672" s="2" t="n">
        <f aca="false">IFERROR(__xludf.dummyfunction("""COMPUTED_VALUE"""),132541640)</f>
        <v>132541640</v>
      </c>
    </row>
    <row r="673" customFormat="false" ht="15.75" hidden="false" customHeight="false" outlineLevel="0" collapsed="false">
      <c r="A673" s="3" t="n">
        <f aca="false">IFERROR(__xludf.dummyfunction("""COMPUTED_VALUE"""),45174.6666666667)</f>
        <v>45174.6666666667</v>
      </c>
      <c r="B673" s="2" t="n">
        <f aca="false">IFERROR(__xludf.dummyfunction("""COMPUTED_VALUE"""),245)</f>
        <v>245</v>
      </c>
      <c r="C673" s="2" t="n">
        <f aca="false">IFERROR(__xludf.dummyfunction("""COMPUTED_VALUE"""),258)</f>
        <v>258</v>
      </c>
      <c r="D673" s="2" t="n">
        <f aca="false">IFERROR(__xludf.dummyfunction("""COMPUTED_VALUE"""),244.86)</f>
        <v>244.86</v>
      </c>
      <c r="E673" s="2" t="n">
        <f aca="false">IFERROR(__xludf.dummyfunction("""COMPUTED_VALUE"""),256.49)</f>
        <v>256.49</v>
      </c>
      <c r="F673" s="2" t="n">
        <f aca="false">IFERROR(__xludf.dummyfunction("""COMPUTED_VALUE"""),129469565)</f>
        <v>129469565</v>
      </c>
    </row>
    <row r="674" customFormat="false" ht="15.75" hidden="false" customHeight="false" outlineLevel="0" collapsed="false">
      <c r="A674" s="3" t="n">
        <f aca="false">IFERROR(__xludf.dummyfunction("""COMPUTED_VALUE"""),45175.6666666667)</f>
        <v>45175.6666666667</v>
      </c>
      <c r="B674" s="2" t="n">
        <f aca="false">IFERROR(__xludf.dummyfunction("""COMPUTED_VALUE"""),255.14)</f>
        <v>255.14</v>
      </c>
      <c r="C674" s="2" t="n">
        <f aca="false">IFERROR(__xludf.dummyfunction("""COMPUTED_VALUE"""),255.39)</f>
        <v>255.39</v>
      </c>
      <c r="D674" s="2" t="n">
        <f aca="false">IFERROR(__xludf.dummyfunction("""COMPUTED_VALUE"""),245.06)</f>
        <v>245.06</v>
      </c>
      <c r="E674" s="2" t="n">
        <f aca="false">IFERROR(__xludf.dummyfunction("""COMPUTED_VALUE"""),251.92)</f>
        <v>251.92</v>
      </c>
      <c r="F674" s="2" t="n">
        <f aca="false">IFERROR(__xludf.dummyfunction("""COMPUTED_VALUE"""),116959759)</f>
        <v>116959759</v>
      </c>
    </row>
    <row r="675" customFormat="false" ht="15.75" hidden="false" customHeight="false" outlineLevel="0" collapsed="false">
      <c r="A675" s="3" t="n">
        <f aca="false">IFERROR(__xludf.dummyfunction("""COMPUTED_VALUE"""),45176.6666666667)</f>
        <v>45176.6666666667</v>
      </c>
      <c r="B675" s="2" t="n">
        <f aca="false">IFERROR(__xludf.dummyfunction("""COMPUTED_VALUE"""),245.07)</f>
        <v>245.07</v>
      </c>
      <c r="C675" s="2" t="n">
        <f aca="false">IFERROR(__xludf.dummyfunction("""COMPUTED_VALUE"""),252.81)</f>
        <v>252.81</v>
      </c>
      <c r="D675" s="2" t="n">
        <f aca="false">IFERROR(__xludf.dummyfunction("""COMPUTED_VALUE"""),243.27)</f>
        <v>243.27</v>
      </c>
      <c r="E675" s="2" t="n">
        <f aca="false">IFERROR(__xludf.dummyfunction("""COMPUTED_VALUE"""),251.49)</f>
        <v>251.49</v>
      </c>
      <c r="F675" s="2" t="n">
        <f aca="false">IFERROR(__xludf.dummyfunction("""COMPUTED_VALUE"""),115312886)</f>
        <v>115312886</v>
      </c>
    </row>
    <row r="676" customFormat="false" ht="15.75" hidden="false" customHeight="false" outlineLevel="0" collapsed="false">
      <c r="A676" s="3" t="n">
        <f aca="false">IFERROR(__xludf.dummyfunction("""COMPUTED_VALUE"""),45177.6666666667)</f>
        <v>45177.6666666667</v>
      </c>
      <c r="B676" s="2" t="n">
        <f aca="false">IFERROR(__xludf.dummyfunction("""COMPUTED_VALUE"""),251.22)</f>
        <v>251.22</v>
      </c>
      <c r="C676" s="2" t="n">
        <f aca="false">IFERROR(__xludf.dummyfunction("""COMPUTED_VALUE"""),256.52)</f>
        <v>256.52</v>
      </c>
      <c r="D676" s="2" t="n">
        <f aca="false">IFERROR(__xludf.dummyfunction("""COMPUTED_VALUE"""),246.67)</f>
        <v>246.67</v>
      </c>
      <c r="E676" s="2" t="n">
        <f aca="false">IFERROR(__xludf.dummyfunction("""COMPUTED_VALUE"""),248.5)</f>
        <v>248.5</v>
      </c>
      <c r="F676" s="2" t="n">
        <f aca="false">IFERROR(__xludf.dummyfunction("""COMPUTED_VALUE"""),118559635)</f>
        <v>118559635</v>
      </c>
    </row>
    <row r="677" customFormat="false" ht="15.75" hidden="false" customHeight="false" outlineLevel="0" collapsed="false">
      <c r="A677" s="3" t="n">
        <f aca="false">IFERROR(__xludf.dummyfunction("""COMPUTED_VALUE"""),45180.6666666667)</f>
        <v>45180.6666666667</v>
      </c>
      <c r="B677" s="2" t="n">
        <f aca="false">IFERROR(__xludf.dummyfunction("""COMPUTED_VALUE"""),264.27)</f>
        <v>264.27</v>
      </c>
      <c r="C677" s="2" t="n">
        <f aca="false">IFERROR(__xludf.dummyfunction("""COMPUTED_VALUE"""),274.85)</f>
        <v>274.85</v>
      </c>
      <c r="D677" s="2" t="n">
        <f aca="false">IFERROR(__xludf.dummyfunction("""COMPUTED_VALUE"""),260.61)</f>
        <v>260.61</v>
      </c>
      <c r="E677" s="2" t="n">
        <f aca="false">IFERROR(__xludf.dummyfunction("""COMPUTED_VALUE"""),273.58)</f>
        <v>273.58</v>
      </c>
      <c r="F677" s="2" t="n">
        <f aca="false">IFERROR(__xludf.dummyfunction("""COMPUTED_VALUE"""),174667852)</f>
        <v>174667852</v>
      </c>
    </row>
    <row r="678" customFormat="false" ht="15.75" hidden="false" customHeight="false" outlineLevel="0" collapsed="false">
      <c r="A678" s="3" t="n">
        <f aca="false">IFERROR(__xludf.dummyfunction("""COMPUTED_VALUE"""),45181.6666666667)</f>
        <v>45181.6666666667</v>
      </c>
      <c r="B678" s="2" t="n">
        <f aca="false">IFERROR(__xludf.dummyfunction("""COMPUTED_VALUE"""),270.76)</f>
        <v>270.76</v>
      </c>
      <c r="C678" s="2" t="n">
        <f aca="false">IFERROR(__xludf.dummyfunction("""COMPUTED_VALUE"""),278.39)</f>
        <v>278.39</v>
      </c>
      <c r="D678" s="2" t="n">
        <f aca="false">IFERROR(__xludf.dummyfunction("""COMPUTED_VALUE"""),266.6)</f>
        <v>266.6</v>
      </c>
      <c r="E678" s="2" t="n">
        <f aca="false">IFERROR(__xludf.dummyfunction("""COMPUTED_VALUE"""),267.48)</f>
        <v>267.48</v>
      </c>
      <c r="F678" s="2" t="n">
        <f aca="false">IFERROR(__xludf.dummyfunction("""COMPUTED_VALUE"""),135999866)</f>
        <v>135999866</v>
      </c>
    </row>
    <row r="679" customFormat="false" ht="15.75" hidden="false" customHeight="false" outlineLevel="0" collapsed="false">
      <c r="A679" s="3" t="n">
        <f aca="false">IFERROR(__xludf.dummyfunction("""COMPUTED_VALUE"""),45182.6666666667)</f>
        <v>45182.6666666667</v>
      </c>
      <c r="B679" s="2" t="n">
        <f aca="false">IFERROR(__xludf.dummyfunction("""COMPUTED_VALUE"""),270.07)</f>
        <v>270.07</v>
      </c>
      <c r="C679" s="2" t="n">
        <f aca="false">IFERROR(__xludf.dummyfunction("""COMPUTED_VALUE"""),274.98)</f>
        <v>274.98</v>
      </c>
      <c r="D679" s="2" t="n">
        <f aca="false">IFERROR(__xludf.dummyfunction("""COMPUTED_VALUE"""),268.1)</f>
        <v>268.1</v>
      </c>
      <c r="E679" s="2" t="n">
        <f aca="false">IFERROR(__xludf.dummyfunction("""COMPUTED_VALUE"""),271.3)</f>
        <v>271.3</v>
      </c>
      <c r="F679" s="2" t="n">
        <f aca="false">IFERROR(__xludf.dummyfunction("""COMPUTED_VALUE"""),111673737)</f>
        <v>111673737</v>
      </c>
    </row>
    <row r="680" customFormat="false" ht="15.75" hidden="false" customHeight="false" outlineLevel="0" collapsed="false">
      <c r="A680" s="3" t="n">
        <f aca="false">IFERROR(__xludf.dummyfunction("""COMPUTED_VALUE"""),45183.6666666667)</f>
        <v>45183.6666666667</v>
      </c>
      <c r="B680" s="2" t="n">
        <f aca="false">IFERROR(__xludf.dummyfunction("""COMPUTED_VALUE"""),271.32)</f>
        <v>271.32</v>
      </c>
      <c r="C680" s="2" t="n">
        <f aca="false">IFERROR(__xludf.dummyfunction("""COMPUTED_VALUE"""),276.71)</f>
        <v>276.71</v>
      </c>
      <c r="D680" s="2" t="n">
        <f aca="false">IFERROR(__xludf.dummyfunction("""COMPUTED_VALUE"""),270.42)</f>
        <v>270.42</v>
      </c>
      <c r="E680" s="2" t="n">
        <f aca="false">IFERROR(__xludf.dummyfunction("""COMPUTED_VALUE"""),276.04)</f>
        <v>276.04</v>
      </c>
      <c r="F680" s="2" t="n">
        <f aca="false">IFERROR(__xludf.dummyfunction("""COMPUTED_VALUE"""),107709842)</f>
        <v>107709842</v>
      </c>
    </row>
    <row r="681" customFormat="false" ht="15.75" hidden="false" customHeight="false" outlineLevel="0" collapsed="false">
      <c r="A681" s="3" t="n">
        <f aca="false">IFERROR(__xludf.dummyfunction("""COMPUTED_VALUE"""),45184.6666666667)</f>
        <v>45184.6666666667</v>
      </c>
      <c r="B681" s="2" t="n">
        <f aca="false">IFERROR(__xludf.dummyfunction("""COMPUTED_VALUE"""),277.55)</f>
        <v>277.55</v>
      </c>
      <c r="C681" s="2" t="n">
        <f aca="false">IFERROR(__xludf.dummyfunction("""COMPUTED_VALUE"""),278.98)</f>
        <v>278.98</v>
      </c>
      <c r="D681" s="2" t="n">
        <f aca="false">IFERROR(__xludf.dummyfunction("""COMPUTED_VALUE"""),271)</f>
        <v>271</v>
      </c>
      <c r="E681" s="2" t="n">
        <f aca="false">IFERROR(__xludf.dummyfunction("""COMPUTED_VALUE"""),274.39)</f>
        <v>274.39</v>
      </c>
      <c r="F681" s="2" t="n">
        <f aca="false">IFERROR(__xludf.dummyfunction("""COMPUTED_VALUE"""),133692313)</f>
        <v>133692313</v>
      </c>
    </row>
    <row r="682" customFormat="false" ht="15.75" hidden="false" customHeight="false" outlineLevel="0" collapsed="false">
      <c r="A682" s="3" t="n">
        <f aca="false">IFERROR(__xludf.dummyfunction("""COMPUTED_VALUE"""),45187.6666666667)</f>
        <v>45187.6666666667</v>
      </c>
      <c r="B682" s="2" t="n">
        <f aca="false">IFERROR(__xludf.dummyfunction("""COMPUTED_VALUE"""),271.16)</f>
        <v>271.16</v>
      </c>
      <c r="C682" s="2" t="n">
        <f aca="false">IFERROR(__xludf.dummyfunction("""COMPUTED_VALUE"""),271.44)</f>
        <v>271.44</v>
      </c>
      <c r="D682" s="2" t="n">
        <f aca="false">IFERROR(__xludf.dummyfunction("""COMPUTED_VALUE"""),263.76)</f>
        <v>263.76</v>
      </c>
      <c r="E682" s="2" t="n">
        <f aca="false">IFERROR(__xludf.dummyfunction("""COMPUTED_VALUE"""),265.28)</f>
        <v>265.28</v>
      </c>
      <c r="F682" s="2" t="n">
        <f aca="false">IFERROR(__xludf.dummyfunction("""COMPUTED_VALUE"""),101543305)</f>
        <v>101543305</v>
      </c>
    </row>
    <row r="683" customFormat="false" ht="15.75" hidden="false" customHeight="false" outlineLevel="0" collapsed="false">
      <c r="A683" s="3" t="n">
        <f aca="false">IFERROR(__xludf.dummyfunction("""COMPUTED_VALUE"""),45188.6666666667)</f>
        <v>45188.6666666667</v>
      </c>
      <c r="B683" s="2" t="n">
        <f aca="false">IFERROR(__xludf.dummyfunction("""COMPUTED_VALUE"""),264.35)</f>
        <v>264.35</v>
      </c>
      <c r="C683" s="2" t="n">
        <f aca="false">IFERROR(__xludf.dummyfunction("""COMPUTED_VALUE"""),267.85)</f>
        <v>267.85</v>
      </c>
      <c r="D683" s="2" t="n">
        <f aca="false">IFERROR(__xludf.dummyfunction("""COMPUTED_VALUE"""),261.2)</f>
        <v>261.2</v>
      </c>
      <c r="E683" s="2" t="n">
        <f aca="false">IFERROR(__xludf.dummyfunction("""COMPUTED_VALUE"""),266.5)</f>
        <v>266.5</v>
      </c>
      <c r="F683" s="2" t="n">
        <f aca="false">IFERROR(__xludf.dummyfunction("""COMPUTED_VALUE"""),103704040)</f>
        <v>103704040</v>
      </c>
    </row>
    <row r="684" customFormat="false" ht="15.75" hidden="false" customHeight="false" outlineLevel="0" collapsed="false">
      <c r="A684" s="3" t="n">
        <f aca="false">IFERROR(__xludf.dummyfunction("""COMPUTED_VALUE"""),45189.6666666667)</f>
        <v>45189.6666666667</v>
      </c>
      <c r="B684" s="2" t="n">
        <f aca="false">IFERROR(__xludf.dummyfunction("""COMPUTED_VALUE"""),267.04)</f>
        <v>267.04</v>
      </c>
      <c r="C684" s="2" t="n">
        <f aca="false">IFERROR(__xludf.dummyfunction("""COMPUTED_VALUE"""),273.93)</f>
        <v>273.93</v>
      </c>
      <c r="D684" s="2" t="n">
        <f aca="false">IFERROR(__xludf.dummyfunction("""COMPUTED_VALUE"""),262.46)</f>
        <v>262.46</v>
      </c>
      <c r="E684" s="2" t="n">
        <f aca="false">IFERROR(__xludf.dummyfunction("""COMPUTED_VALUE"""),262.59)</f>
        <v>262.59</v>
      </c>
      <c r="F684" s="2" t="n">
        <f aca="false">IFERROR(__xludf.dummyfunction("""COMPUTED_VALUE"""),122514643)</f>
        <v>122514643</v>
      </c>
    </row>
    <row r="685" customFormat="false" ht="15.75" hidden="false" customHeight="false" outlineLevel="0" collapsed="false">
      <c r="A685" s="3" t="n">
        <f aca="false">IFERROR(__xludf.dummyfunction("""COMPUTED_VALUE"""),45190.6666666667)</f>
        <v>45190.6666666667</v>
      </c>
      <c r="B685" s="2" t="n">
        <f aca="false">IFERROR(__xludf.dummyfunction("""COMPUTED_VALUE"""),257.85)</f>
        <v>257.85</v>
      </c>
      <c r="C685" s="2" t="n">
        <f aca="false">IFERROR(__xludf.dummyfunction("""COMPUTED_VALUE"""),260.86)</f>
        <v>260.86</v>
      </c>
      <c r="D685" s="2" t="n">
        <f aca="false">IFERROR(__xludf.dummyfunction("""COMPUTED_VALUE"""),254.21)</f>
        <v>254.21</v>
      </c>
      <c r="E685" s="2" t="n">
        <f aca="false">IFERROR(__xludf.dummyfunction("""COMPUTED_VALUE"""),255.7)</f>
        <v>255.7</v>
      </c>
      <c r="F685" s="2" t="n">
        <f aca="false">IFERROR(__xludf.dummyfunction("""COMPUTED_VALUE"""),119951516)</f>
        <v>119951516</v>
      </c>
    </row>
    <row r="686" customFormat="false" ht="15.75" hidden="false" customHeight="false" outlineLevel="0" collapsed="false">
      <c r="A686" s="3" t="n">
        <f aca="false">IFERROR(__xludf.dummyfunction("""COMPUTED_VALUE"""),45191.6666666667)</f>
        <v>45191.6666666667</v>
      </c>
      <c r="B686" s="2" t="n">
        <f aca="false">IFERROR(__xludf.dummyfunction("""COMPUTED_VALUE"""),257.4)</f>
        <v>257.4</v>
      </c>
      <c r="C686" s="2" t="n">
        <f aca="false">IFERROR(__xludf.dummyfunction("""COMPUTED_VALUE"""),257.79)</f>
        <v>257.79</v>
      </c>
      <c r="D686" s="2" t="n">
        <f aca="false">IFERROR(__xludf.dummyfunction("""COMPUTED_VALUE"""),244.48)</f>
        <v>244.48</v>
      </c>
      <c r="E686" s="2" t="n">
        <f aca="false">IFERROR(__xludf.dummyfunction("""COMPUTED_VALUE"""),244.88)</f>
        <v>244.88</v>
      </c>
      <c r="F686" s="2" t="n">
        <f aca="false">IFERROR(__xludf.dummyfunction("""COMPUTED_VALUE"""),127524083)</f>
        <v>127524083</v>
      </c>
    </row>
    <row r="687" customFormat="false" ht="15.75" hidden="false" customHeight="false" outlineLevel="0" collapsed="false">
      <c r="A687" s="3" t="n">
        <f aca="false">IFERROR(__xludf.dummyfunction("""COMPUTED_VALUE"""),45194.6666666667)</f>
        <v>45194.6666666667</v>
      </c>
      <c r="B687" s="2" t="n">
        <f aca="false">IFERROR(__xludf.dummyfunction("""COMPUTED_VALUE"""),243.38)</f>
        <v>243.38</v>
      </c>
      <c r="C687" s="2" t="n">
        <f aca="false">IFERROR(__xludf.dummyfunction("""COMPUTED_VALUE"""),247.1)</f>
        <v>247.1</v>
      </c>
      <c r="D687" s="2" t="n">
        <f aca="false">IFERROR(__xludf.dummyfunction("""COMPUTED_VALUE"""),238.31)</f>
        <v>238.31</v>
      </c>
      <c r="E687" s="2" t="n">
        <f aca="false">IFERROR(__xludf.dummyfunction("""COMPUTED_VALUE"""),246.99)</f>
        <v>246.99</v>
      </c>
      <c r="F687" s="2" t="n">
        <f aca="false">IFERROR(__xludf.dummyfunction("""COMPUTED_VALUE"""),104636557)</f>
        <v>104636557</v>
      </c>
    </row>
    <row r="688" customFormat="false" ht="15.75" hidden="false" customHeight="false" outlineLevel="0" collapsed="false">
      <c r="A688" s="3" t="n">
        <f aca="false">IFERROR(__xludf.dummyfunction("""COMPUTED_VALUE"""),45195.6666666667)</f>
        <v>45195.6666666667</v>
      </c>
      <c r="B688" s="2" t="n">
        <f aca="false">IFERROR(__xludf.dummyfunction("""COMPUTED_VALUE"""),242.98)</f>
        <v>242.98</v>
      </c>
      <c r="C688" s="2" t="n">
        <f aca="false">IFERROR(__xludf.dummyfunction("""COMPUTED_VALUE"""),249.55)</f>
        <v>249.55</v>
      </c>
      <c r="D688" s="2" t="n">
        <f aca="false">IFERROR(__xludf.dummyfunction("""COMPUTED_VALUE"""),241.66)</f>
        <v>241.66</v>
      </c>
      <c r="E688" s="2" t="n">
        <f aca="false">IFERROR(__xludf.dummyfunction("""COMPUTED_VALUE"""),244.12)</f>
        <v>244.12</v>
      </c>
      <c r="F688" s="2" t="n">
        <f aca="false">IFERROR(__xludf.dummyfunction("""COMPUTED_VALUE"""),101993631)</f>
        <v>101993631</v>
      </c>
    </row>
    <row r="689" customFormat="false" ht="15.75" hidden="false" customHeight="false" outlineLevel="0" collapsed="false">
      <c r="A689" s="3" t="n">
        <f aca="false">IFERROR(__xludf.dummyfunction("""COMPUTED_VALUE"""),45196.6666666667)</f>
        <v>45196.6666666667</v>
      </c>
      <c r="B689" s="2" t="n">
        <f aca="false">IFERROR(__xludf.dummyfunction("""COMPUTED_VALUE"""),244.26)</f>
        <v>244.26</v>
      </c>
      <c r="C689" s="2" t="n">
        <f aca="false">IFERROR(__xludf.dummyfunction("""COMPUTED_VALUE"""),245.33)</f>
        <v>245.33</v>
      </c>
      <c r="D689" s="2" t="n">
        <f aca="false">IFERROR(__xludf.dummyfunction("""COMPUTED_VALUE"""),234.58)</f>
        <v>234.58</v>
      </c>
      <c r="E689" s="2" t="n">
        <f aca="false">IFERROR(__xludf.dummyfunction("""COMPUTED_VALUE"""),240.5)</f>
        <v>240.5</v>
      </c>
      <c r="F689" s="2" t="n">
        <f aca="false">IFERROR(__xludf.dummyfunction("""COMPUTED_VALUE"""),136597184)</f>
        <v>136597184</v>
      </c>
    </row>
    <row r="690" customFormat="false" ht="15.75" hidden="false" customHeight="false" outlineLevel="0" collapsed="false">
      <c r="A690" s="3" t="n">
        <f aca="false">IFERROR(__xludf.dummyfunction("""COMPUTED_VALUE"""),45197.6666666667)</f>
        <v>45197.6666666667</v>
      </c>
      <c r="B690" s="2" t="n">
        <f aca="false">IFERROR(__xludf.dummyfunction("""COMPUTED_VALUE"""),240.02)</f>
        <v>240.02</v>
      </c>
      <c r="C690" s="2" t="n">
        <f aca="false">IFERROR(__xludf.dummyfunction("""COMPUTED_VALUE"""),247.55)</f>
        <v>247.55</v>
      </c>
      <c r="D690" s="2" t="n">
        <f aca="false">IFERROR(__xludf.dummyfunction("""COMPUTED_VALUE"""),238.65)</f>
        <v>238.65</v>
      </c>
      <c r="E690" s="2" t="n">
        <f aca="false">IFERROR(__xludf.dummyfunction("""COMPUTED_VALUE"""),246.38)</f>
        <v>246.38</v>
      </c>
      <c r="F690" s="2" t="n">
        <f aca="false">IFERROR(__xludf.dummyfunction("""COMPUTED_VALUE"""),117058870)</f>
        <v>117058870</v>
      </c>
    </row>
    <row r="691" customFormat="false" ht="15.75" hidden="false" customHeight="false" outlineLevel="0" collapsed="false">
      <c r="A691" s="3" t="n">
        <f aca="false">IFERROR(__xludf.dummyfunction("""COMPUTED_VALUE"""),45198.6666666667)</f>
        <v>45198.6666666667</v>
      </c>
      <c r="B691" s="2" t="n">
        <f aca="false">IFERROR(__xludf.dummyfunction("""COMPUTED_VALUE"""),250)</f>
        <v>250</v>
      </c>
      <c r="C691" s="2" t="n">
        <f aca="false">IFERROR(__xludf.dummyfunction("""COMPUTED_VALUE"""),254.77)</f>
        <v>254.77</v>
      </c>
      <c r="D691" s="2" t="n">
        <f aca="false">IFERROR(__xludf.dummyfunction("""COMPUTED_VALUE"""),246.35)</f>
        <v>246.35</v>
      </c>
      <c r="E691" s="2" t="n">
        <f aca="false">IFERROR(__xludf.dummyfunction("""COMPUTED_VALUE"""),250.22)</f>
        <v>250.22</v>
      </c>
      <c r="F691" s="2" t="n">
        <f aca="false">IFERROR(__xludf.dummyfunction("""COMPUTED_VALUE"""),128522729)</f>
        <v>128522729</v>
      </c>
    </row>
    <row r="692" customFormat="false" ht="15.75" hidden="false" customHeight="false" outlineLevel="0" collapsed="false">
      <c r="A692" s="3" t="n">
        <f aca="false">IFERROR(__xludf.dummyfunction("""COMPUTED_VALUE"""),45201.6666666667)</f>
        <v>45201.6666666667</v>
      </c>
      <c r="B692" s="2" t="n">
        <f aca="false">IFERROR(__xludf.dummyfunction("""COMPUTED_VALUE"""),244.81)</f>
        <v>244.81</v>
      </c>
      <c r="C692" s="2" t="n">
        <f aca="false">IFERROR(__xludf.dummyfunction("""COMPUTED_VALUE"""),254.28)</f>
        <v>254.28</v>
      </c>
      <c r="D692" s="2" t="n">
        <f aca="false">IFERROR(__xludf.dummyfunction("""COMPUTED_VALUE"""),242.62)</f>
        <v>242.62</v>
      </c>
      <c r="E692" s="2" t="n">
        <f aca="false">IFERROR(__xludf.dummyfunction("""COMPUTED_VALUE"""),251.6)</f>
        <v>251.6</v>
      </c>
      <c r="F692" s="2" t="n">
        <f aca="false">IFERROR(__xludf.dummyfunction("""COMPUTED_VALUE"""),123810402)</f>
        <v>123810402</v>
      </c>
    </row>
    <row r="693" customFormat="false" ht="15.75" hidden="false" customHeight="false" outlineLevel="0" collapsed="false">
      <c r="A693" s="3" t="n">
        <f aca="false">IFERROR(__xludf.dummyfunction("""COMPUTED_VALUE"""),45202.6666666667)</f>
        <v>45202.6666666667</v>
      </c>
      <c r="B693" s="2" t="n">
        <f aca="false">IFERROR(__xludf.dummyfunction("""COMPUTED_VALUE"""),248.61)</f>
        <v>248.61</v>
      </c>
      <c r="C693" s="2" t="n">
        <f aca="false">IFERROR(__xludf.dummyfunction("""COMPUTED_VALUE"""),250.02)</f>
        <v>250.02</v>
      </c>
      <c r="D693" s="2" t="n">
        <f aca="false">IFERROR(__xludf.dummyfunction("""COMPUTED_VALUE"""),244.45)</f>
        <v>244.45</v>
      </c>
      <c r="E693" s="2" t="n">
        <f aca="false">IFERROR(__xludf.dummyfunction("""COMPUTED_VALUE"""),246.53)</f>
        <v>246.53</v>
      </c>
      <c r="F693" s="2" t="n">
        <f aca="false">IFERROR(__xludf.dummyfunction("""COMPUTED_VALUE"""),101985305)</f>
        <v>101985305</v>
      </c>
    </row>
    <row r="694" customFormat="false" ht="15.75" hidden="false" customHeight="false" outlineLevel="0" collapsed="false">
      <c r="A694" s="3" t="n">
        <f aca="false">IFERROR(__xludf.dummyfunction("""COMPUTED_VALUE"""),45203.6666666667)</f>
        <v>45203.6666666667</v>
      </c>
      <c r="B694" s="2" t="n">
        <f aca="false">IFERROR(__xludf.dummyfunction("""COMPUTED_VALUE"""),248.14)</f>
        <v>248.14</v>
      </c>
      <c r="C694" s="2" t="n">
        <f aca="false">IFERROR(__xludf.dummyfunction("""COMPUTED_VALUE"""),261.86)</f>
        <v>261.86</v>
      </c>
      <c r="D694" s="2" t="n">
        <f aca="false">IFERROR(__xludf.dummyfunction("""COMPUTED_VALUE"""),247.6)</f>
        <v>247.6</v>
      </c>
      <c r="E694" s="2" t="n">
        <f aca="false">IFERROR(__xludf.dummyfunction("""COMPUTED_VALUE"""),261.16)</f>
        <v>261.16</v>
      </c>
      <c r="F694" s="2" t="n">
        <f aca="false">IFERROR(__xludf.dummyfunction("""COMPUTED_VALUE"""),129721567)</f>
        <v>129721567</v>
      </c>
    </row>
    <row r="695" customFormat="false" ht="15.75" hidden="false" customHeight="false" outlineLevel="0" collapsed="false">
      <c r="A695" s="3" t="n">
        <f aca="false">IFERROR(__xludf.dummyfunction("""COMPUTED_VALUE"""),45204.6666666667)</f>
        <v>45204.6666666667</v>
      </c>
      <c r="B695" s="2" t="n">
        <f aca="false">IFERROR(__xludf.dummyfunction("""COMPUTED_VALUE"""),260)</f>
        <v>260</v>
      </c>
      <c r="C695" s="2" t="n">
        <f aca="false">IFERROR(__xludf.dummyfunction("""COMPUTED_VALUE"""),263.6)</f>
        <v>263.6</v>
      </c>
      <c r="D695" s="2" t="n">
        <f aca="false">IFERROR(__xludf.dummyfunction("""COMPUTED_VALUE"""),256.25)</f>
        <v>256.25</v>
      </c>
      <c r="E695" s="2" t="n">
        <f aca="false">IFERROR(__xludf.dummyfunction("""COMPUTED_VALUE"""),260.05)</f>
        <v>260.05</v>
      </c>
      <c r="F695" s="2" t="n">
        <f aca="false">IFERROR(__xludf.dummyfunction("""COMPUTED_VALUE"""),119159214)</f>
        <v>119159214</v>
      </c>
    </row>
    <row r="696" customFormat="false" ht="15.75" hidden="false" customHeight="false" outlineLevel="0" collapsed="false">
      <c r="A696" s="3" t="n">
        <f aca="false">IFERROR(__xludf.dummyfunction("""COMPUTED_VALUE"""),45205.6666666667)</f>
        <v>45205.6666666667</v>
      </c>
      <c r="B696" s="2" t="n">
        <f aca="false">IFERROR(__xludf.dummyfunction("""COMPUTED_VALUE"""),253.98)</f>
        <v>253.98</v>
      </c>
      <c r="C696" s="2" t="n">
        <f aca="false">IFERROR(__xludf.dummyfunction("""COMPUTED_VALUE"""),261.65)</f>
        <v>261.65</v>
      </c>
      <c r="D696" s="2" t="n">
        <f aca="false">IFERROR(__xludf.dummyfunction("""COMPUTED_VALUE"""),250.65)</f>
        <v>250.65</v>
      </c>
      <c r="E696" s="2" t="n">
        <f aca="false">IFERROR(__xludf.dummyfunction("""COMPUTED_VALUE"""),260.53)</f>
        <v>260.53</v>
      </c>
      <c r="F696" s="2" t="n">
        <f aca="false">IFERROR(__xludf.dummyfunction("""COMPUTED_VALUE"""),118121812)</f>
        <v>118121812</v>
      </c>
    </row>
    <row r="697" customFormat="false" ht="15.75" hidden="false" customHeight="false" outlineLevel="0" collapsed="false">
      <c r="A697" s="3" t="n">
        <f aca="false">IFERROR(__xludf.dummyfunction("""COMPUTED_VALUE"""),45208.6666666667)</f>
        <v>45208.6666666667</v>
      </c>
      <c r="B697" s="2" t="n">
        <f aca="false">IFERROR(__xludf.dummyfunction("""COMPUTED_VALUE"""),255.31)</f>
        <v>255.31</v>
      </c>
      <c r="C697" s="2" t="n">
        <f aca="false">IFERROR(__xludf.dummyfunction("""COMPUTED_VALUE"""),261.36)</f>
        <v>261.36</v>
      </c>
      <c r="D697" s="2" t="n">
        <f aca="false">IFERROR(__xludf.dummyfunction("""COMPUTED_VALUE"""),252.05)</f>
        <v>252.05</v>
      </c>
      <c r="E697" s="2" t="n">
        <f aca="false">IFERROR(__xludf.dummyfunction("""COMPUTED_VALUE"""),259.67)</f>
        <v>259.67</v>
      </c>
      <c r="F697" s="2" t="n">
        <f aca="false">IFERROR(__xludf.dummyfunction("""COMPUTED_VALUE"""),101377947)</f>
        <v>101377947</v>
      </c>
    </row>
    <row r="698" customFormat="false" ht="15.75" hidden="false" customHeight="false" outlineLevel="0" collapsed="false">
      <c r="A698" s="3" t="n">
        <f aca="false">IFERROR(__xludf.dummyfunction("""COMPUTED_VALUE"""),45209.6666666667)</f>
        <v>45209.6666666667</v>
      </c>
      <c r="B698" s="2" t="n">
        <f aca="false">IFERROR(__xludf.dummyfunction("""COMPUTED_VALUE"""),257.75)</f>
        <v>257.75</v>
      </c>
      <c r="C698" s="2" t="n">
        <f aca="false">IFERROR(__xludf.dummyfunction("""COMPUTED_VALUE"""),268.94)</f>
        <v>268.94</v>
      </c>
      <c r="D698" s="2" t="n">
        <f aca="false">IFERROR(__xludf.dummyfunction("""COMPUTED_VALUE"""),257.65)</f>
        <v>257.65</v>
      </c>
      <c r="E698" s="2" t="n">
        <f aca="false">IFERROR(__xludf.dummyfunction("""COMPUTED_VALUE"""),263.62)</f>
        <v>263.62</v>
      </c>
      <c r="F698" s="2" t="n">
        <f aca="false">IFERROR(__xludf.dummyfunction("""COMPUTED_VALUE"""),122656030)</f>
        <v>122656030</v>
      </c>
    </row>
    <row r="699" customFormat="false" ht="15.75" hidden="false" customHeight="false" outlineLevel="0" collapsed="false">
      <c r="A699" s="3" t="n">
        <f aca="false">IFERROR(__xludf.dummyfunction("""COMPUTED_VALUE"""),45210.6666666667)</f>
        <v>45210.6666666667</v>
      </c>
      <c r="B699" s="2" t="n">
        <f aca="false">IFERROR(__xludf.dummyfunction("""COMPUTED_VALUE"""),266.2)</f>
        <v>266.2</v>
      </c>
      <c r="C699" s="2" t="n">
        <f aca="false">IFERROR(__xludf.dummyfunction("""COMPUTED_VALUE"""),268.6)</f>
        <v>268.6</v>
      </c>
      <c r="D699" s="2" t="n">
        <f aca="false">IFERROR(__xludf.dummyfunction("""COMPUTED_VALUE"""),260.9)</f>
        <v>260.9</v>
      </c>
      <c r="E699" s="2" t="n">
        <f aca="false">IFERROR(__xludf.dummyfunction("""COMPUTED_VALUE"""),262.99)</f>
        <v>262.99</v>
      </c>
      <c r="F699" s="2" t="n">
        <f aca="false">IFERROR(__xludf.dummyfunction("""COMPUTED_VALUE"""),103706266)</f>
        <v>103706266</v>
      </c>
    </row>
    <row r="700" customFormat="false" ht="15.75" hidden="false" customHeight="false" outlineLevel="0" collapsed="false">
      <c r="A700" s="3" t="n">
        <f aca="false">IFERROR(__xludf.dummyfunction("""COMPUTED_VALUE"""),45211.6666666667)</f>
        <v>45211.6666666667</v>
      </c>
      <c r="B700" s="2" t="n">
        <f aca="false">IFERROR(__xludf.dummyfunction("""COMPUTED_VALUE"""),262.92)</f>
        <v>262.92</v>
      </c>
      <c r="C700" s="2" t="n">
        <f aca="false">IFERROR(__xludf.dummyfunction("""COMPUTED_VALUE"""),265.41)</f>
        <v>265.41</v>
      </c>
      <c r="D700" s="2" t="n">
        <f aca="false">IFERROR(__xludf.dummyfunction("""COMPUTED_VALUE"""),256.63)</f>
        <v>256.63</v>
      </c>
      <c r="E700" s="2" t="n">
        <f aca="false">IFERROR(__xludf.dummyfunction("""COMPUTED_VALUE"""),258.87)</f>
        <v>258.87</v>
      </c>
      <c r="F700" s="2" t="n">
        <f aca="false">IFERROR(__xludf.dummyfunction("""COMPUTED_VALUE"""),111508114)</f>
        <v>111508114</v>
      </c>
    </row>
    <row r="701" customFormat="false" ht="15.75" hidden="false" customHeight="false" outlineLevel="0" collapsed="false">
      <c r="A701" s="3" t="n">
        <f aca="false">IFERROR(__xludf.dummyfunction("""COMPUTED_VALUE"""),45212.6666666667)</f>
        <v>45212.6666666667</v>
      </c>
      <c r="B701" s="2" t="n">
        <f aca="false">IFERROR(__xludf.dummyfunction("""COMPUTED_VALUE"""),258.9)</f>
        <v>258.9</v>
      </c>
      <c r="C701" s="2" t="n">
        <f aca="false">IFERROR(__xludf.dummyfunction("""COMPUTED_VALUE"""),259.6)</f>
        <v>259.6</v>
      </c>
      <c r="D701" s="2" t="n">
        <f aca="false">IFERROR(__xludf.dummyfunction("""COMPUTED_VALUE"""),250.22)</f>
        <v>250.22</v>
      </c>
      <c r="E701" s="2" t="n">
        <f aca="false">IFERROR(__xludf.dummyfunction("""COMPUTED_VALUE"""),251.12)</f>
        <v>251.12</v>
      </c>
      <c r="F701" s="2" t="n">
        <f aca="false">IFERROR(__xludf.dummyfunction("""COMPUTED_VALUE"""),102296786)</f>
        <v>102296786</v>
      </c>
    </row>
    <row r="702" customFormat="false" ht="15.75" hidden="false" customHeight="false" outlineLevel="0" collapsed="false">
      <c r="A702" s="3" t="n">
        <f aca="false">IFERROR(__xludf.dummyfunction("""COMPUTED_VALUE"""),45215.6666666667)</f>
        <v>45215.6666666667</v>
      </c>
      <c r="B702" s="2" t="n">
        <f aca="false">IFERROR(__xludf.dummyfunction("""COMPUTED_VALUE"""),250.05)</f>
        <v>250.05</v>
      </c>
      <c r="C702" s="2" t="n">
        <f aca="false">IFERROR(__xludf.dummyfunction("""COMPUTED_VALUE"""),255.4)</f>
        <v>255.4</v>
      </c>
      <c r="D702" s="2" t="n">
        <f aca="false">IFERROR(__xludf.dummyfunction("""COMPUTED_VALUE"""),248.48)</f>
        <v>248.48</v>
      </c>
      <c r="E702" s="2" t="n">
        <f aca="false">IFERROR(__xludf.dummyfunction("""COMPUTED_VALUE"""),253.92)</f>
        <v>253.92</v>
      </c>
      <c r="F702" s="2" t="n">
        <f aca="false">IFERROR(__xludf.dummyfunction("""COMPUTED_VALUE"""),88917176)</f>
        <v>88917176</v>
      </c>
    </row>
    <row r="703" customFormat="false" ht="15.75" hidden="false" customHeight="false" outlineLevel="0" collapsed="false">
      <c r="A703" s="3" t="n">
        <f aca="false">IFERROR(__xludf.dummyfunction("""COMPUTED_VALUE"""),45216.6666666667)</f>
        <v>45216.6666666667</v>
      </c>
      <c r="B703" s="2" t="n">
        <f aca="false">IFERROR(__xludf.dummyfunction("""COMPUTED_VALUE"""),250.1)</f>
        <v>250.1</v>
      </c>
      <c r="C703" s="2" t="n">
        <f aca="false">IFERROR(__xludf.dummyfunction("""COMPUTED_VALUE"""),257.18)</f>
        <v>257.18</v>
      </c>
      <c r="D703" s="2" t="n">
        <f aca="false">IFERROR(__xludf.dummyfunction("""COMPUTED_VALUE"""),247.08)</f>
        <v>247.08</v>
      </c>
      <c r="E703" s="2" t="n">
        <f aca="false">IFERROR(__xludf.dummyfunction("""COMPUTED_VALUE"""),254.85)</f>
        <v>254.85</v>
      </c>
      <c r="F703" s="2" t="n">
        <f aca="false">IFERROR(__xludf.dummyfunction("""COMPUTED_VALUE"""),93562909)</f>
        <v>93562909</v>
      </c>
    </row>
    <row r="704" customFormat="false" ht="15.75" hidden="false" customHeight="false" outlineLevel="0" collapsed="false">
      <c r="A704" s="3" t="n">
        <f aca="false">IFERROR(__xludf.dummyfunction("""COMPUTED_VALUE"""),45217.6666666667)</f>
        <v>45217.6666666667</v>
      </c>
      <c r="B704" s="2" t="n">
        <f aca="false">IFERROR(__xludf.dummyfunction("""COMPUTED_VALUE"""),252.7)</f>
        <v>252.7</v>
      </c>
      <c r="C704" s="2" t="n">
        <f aca="false">IFERROR(__xludf.dummyfunction("""COMPUTED_VALUE"""),254.63)</f>
        <v>254.63</v>
      </c>
      <c r="D704" s="2" t="n">
        <f aca="false">IFERROR(__xludf.dummyfunction("""COMPUTED_VALUE"""),242.08)</f>
        <v>242.08</v>
      </c>
      <c r="E704" s="2" t="n">
        <f aca="false">IFERROR(__xludf.dummyfunction("""COMPUTED_VALUE"""),242.68)</f>
        <v>242.68</v>
      </c>
      <c r="F704" s="2" t="n">
        <f aca="false">IFERROR(__xludf.dummyfunction("""COMPUTED_VALUE"""),125147846)</f>
        <v>125147846</v>
      </c>
    </row>
    <row r="705" customFormat="false" ht="15.75" hidden="false" customHeight="false" outlineLevel="0" collapsed="false">
      <c r="A705" s="3" t="n">
        <f aca="false">IFERROR(__xludf.dummyfunction("""COMPUTED_VALUE"""),45218.6666666667)</f>
        <v>45218.6666666667</v>
      </c>
      <c r="B705" s="2" t="n">
        <f aca="false">IFERROR(__xludf.dummyfunction("""COMPUTED_VALUE"""),225.95)</f>
        <v>225.95</v>
      </c>
      <c r="C705" s="2" t="n">
        <f aca="false">IFERROR(__xludf.dummyfunction("""COMPUTED_VALUE"""),230.61)</f>
        <v>230.61</v>
      </c>
      <c r="D705" s="2" t="n">
        <f aca="false">IFERROR(__xludf.dummyfunction("""COMPUTED_VALUE"""),216.78)</f>
        <v>216.78</v>
      </c>
      <c r="E705" s="2" t="n">
        <f aca="false">IFERROR(__xludf.dummyfunction("""COMPUTED_VALUE"""),220.11)</f>
        <v>220.11</v>
      </c>
      <c r="F705" s="2" t="n">
        <f aca="false">IFERROR(__xludf.dummyfunction("""COMPUTED_VALUE"""),170772713)</f>
        <v>170772713</v>
      </c>
    </row>
    <row r="706" customFormat="false" ht="15.75" hidden="false" customHeight="false" outlineLevel="0" collapsed="false">
      <c r="A706" s="3" t="n">
        <f aca="false">IFERROR(__xludf.dummyfunction("""COMPUTED_VALUE"""),45219.6666666667)</f>
        <v>45219.6666666667</v>
      </c>
      <c r="B706" s="2" t="n">
        <f aca="false">IFERROR(__xludf.dummyfunction("""COMPUTED_VALUE"""),217.01)</f>
        <v>217.01</v>
      </c>
      <c r="C706" s="2" t="n">
        <f aca="false">IFERROR(__xludf.dummyfunction("""COMPUTED_VALUE"""),218.86)</f>
        <v>218.86</v>
      </c>
      <c r="D706" s="2" t="n">
        <f aca="false">IFERROR(__xludf.dummyfunction("""COMPUTED_VALUE"""),210.42)</f>
        <v>210.42</v>
      </c>
      <c r="E706" s="2" t="n">
        <f aca="false">IFERROR(__xludf.dummyfunction("""COMPUTED_VALUE"""),211.99)</f>
        <v>211.99</v>
      </c>
      <c r="F706" s="2" t="n">
        <f aca="false">IFERROR(__xludf.dummyfunction("""COMPUTED_VALUE"""),138010095)</f>
        <v>138010095</v>
      </c>
    </row>
    <row r="707" customFormat="false" ht="15.75" hidden="false" customHeight="false" outlineLevel="0" collapsed="false">
      <c r="A707" s="3" t="n">
        <f aca="false">IFERROR(__xludf.dummyfunction("""COMPUTED_VALUE"""),45222.6666666667)</f>
        <v>45222.6666666667</v>
      </c>
      <c r="B707" s="2" t="n">
        <f aca="false">IFERROR(__xludf.dummyfunction("""COMPUTED_VALUE"""),210)</f>
        <v>210</v>
      </c>
      <c r="C707" s="2" t="n">
        <f aca="false">IFERROR(__xludf.dummyfunction("""COMPUTED_VALUE"""),216.98)</f>
        <v>216.98</v>
      </c>
      <c r="D707" s="2" t="n">
        <f aca="false">IFERROR(__xludf.dummyfunction("""COMPUTED_VALUE"""),202.51)</f>
        <v>202.51</v>
      </c>
      <c r="E707" s="2" t="n">
        <f aca="false">IFERROR(__xludf.dummyfunction("""COMPUTED_VALUE"""),212.08)</f>
        <v>212.08</v>
      </c>
      <c r="F707" s="2" t="n">
        <f aca="false">IFERROR(__xludf.dummyfunction("""COMPUTED_VALUE"""),150683368)</f>
        <v>150683368</v>
      </c>
    </row>
    <row r="708" customFormat="false" ht="15.75" hidden="false" customHeight="false" outlineLevel="0" collapsed="false">
      <c r="A708" s="3" t="n">
        <f aca="false">IFERROR(__xludf.dummyfunction("""COMPUTED_VALUE"""),45223.6666666667)</f>
        <v>45223.6666666667</v>
      </c>
      <c r="B708" s="2" t="n">
        <f aca="false">IFERROR(__xludf.dummyfunction("""COMPUTED_VALUE"""),216.5)</f>
        <v>216.5</v>
      </c>
      <c r="C708" s="2" t="n">
        <f aca="false">IFERROR(__xludf.dummyfunction("""COMPUTED_VALUE"""),222.05)</f>
        <v>222.05</v>
      </c>
      <c r="D708" s="2" t="n">
        <f aca="false">IFERROR(__xludf.dummyfunction("""COMPUTED_VALUE"""),214.11)</f>
        <v>214.11</v>
      </c>
      <c r="E708" s="2" t="n">
        <f aca="false">IFERROR(__xludf.dummyfunction("""COMPUTED_VALUE"""),216.52)</f>
        <v>216.52</v>
      </c>
      <c r="F708" s="2" t="n">
        <f aca="false">IFERROR(__xludf.dummyfunction("""COMPUTED_VALUE"""),118231113)</f>
        <v>118231113</v>
      </c>
    </row>
    <row r="709" customFormat="false" ht="15.75" hidden="false" customHeight="false" outlineLevel="0" collapsed="false">
      <c r="A709" s="3" t="n">
        <f aca="false">IFERROR(__xludf.dummyfunction("""COMPUTED_VALUE"""),45224.6666666667)</f>
        <v>45224.6666666667</v>
      </c>
      <c r="B709" s="2" t="n">
        <f aca="false">IFERROR(__xludf.dummyfunction("""COMPUTED_VALUE"""),215.88)</f>
        <v>215.88</v>
      </c>
      <c r="C709" s="2" t="n">
        <f aca="false">IFERROR(__xludf.dummyfunction("""COMPUTED_VALUE"""),220.1)</f>
        <v>220.1</v>
      </c>
      <c r="D709" s="2" t="n">
        <f aca="false">IFERROR(__xludf.dummyfunction("""COMPUTED_VALUE"""),212.2)</f>
        <v>212.2</v>
      </c>
      <c r="E709" s="2" t="n">
        <f aca="false">IFERROR(__xludf.dummyfunction("""COMPUTED_VALUE"""),212.42)</f>
        <v>212.42</v>
      </c>
      <c r="F709" s="2" t="n">
        <f aca="false">IFERROR(__xludf.dummyfunction("""COMPUTED_VALUE"""),107065087)</f>
        <v>107065087</v>
      </c>
    </row>
    <row r="710" customFormat="false" ht="15.75" hidden="false" customHeight="false" outlineLevel="0" collapsed="false">
      <c r="A710" s="3" t="n">
        <f aca="false">IFERROR(__xludf.dummyfunction("""COMPUTED_VALUE"""),45225.6666666667)</f>
        <v>45225.6666666667</v>
      </c>
      <c r="B710" s="2" t="n">
        <f aca="false">IFERROR(__xludf.dummyfunction("""COMPUTED_VALUE"""),211.32)</f>
        <v>211.32</v>
      </c>
      <c r="C710" s="2" t="n">
        <f aca="false">IFERROR(__xludf.dummyfunction("""COMPUTED_VALUE"""),214.8)</f>
        <v>214.8</v>
      </c>
      <c r="D710" s="2" t="n">
        <f aca="false">IFERROR(__xludf.dummyfunction("""COMPUTED_VALUE"""),204.88)</f>
        <v>204.88</v>
      </c>
      <c r="E710" s="2" t="n">
        <f aca="false">IFERROR(__xludf.dummyfunction("""COMPUTED_VALUE"""),205.76)</f>
        <v>205.76</v>
      </c>
      <c r="F710" s="2" t="n">
        <f aca="false">IFERROR(__xludf.dummyfunction("""COMPUTED_VALUE"""),115112635)</f>
        <v>115112635</v>
      </c>
    </row>
    <row r="711" customFormat="false" ht="15.75" hidden="false" customHeight="false" outlineLevel="0" collapsed="false">
      <c r="A711" s="3" t="n">
        <f aca="false">IFERROR(__xludf.dummyfunction("""COMPUTED_VALUE"""),45226.6666666667)</f>
        <v>45226.6666666667</v>
      </c>
      <c r="B711" s="2" t="n">
        <f aca="false">IFERROR(__xludf.dummyfunction("""COMPUTED_VALUE"""),210.6)</f>
        <v>210.6</v>
      </c>
      <c r="C711" s="2" t="n">
        <f aca="false">IFERROR(__xludf.dummyfunction("""COMPUTED_VALUE"""),212.41)</f>
        <v>212.41</v>
      </c>
      <c r="D711" s="2" t="n">
        <f aca="false">IFERROR(__xludf.dummyfunction("""COMPUTED_VALUE"""),205.77)</f>
        <v>205.77</v>
      </c>
      <c r="E711" s="2" t="n">
        <f aca="false">IFERROR(__xludf.dummyfunction("""COMPUTED_VALUE"""),207.3)</f>
        <v>207.3</v>
      </c>
      <c r="F711" s="2" t="n">
        <f aca="false">IFERROR(__xludf.dummyfunction("""COMPUTED_VALUE"""),94881173)</f>
        <v>94881173</v>
      </c>
    </row>
    <row r="712" customFormat="false" ht="15.75" hidden="false" customHeight="false" outlineLevel="0" collapsed="false">
      <c r="A712" s="3" t="n">
        <f aca="false">IFERROR(__xludf.dummyfunction("""COMPUTED_VALUE"""),45229.6666666667)</f>
        <v>45229.6666666667</v>
      </c>
      <c r="B712" s="2" t="n">
        <f aca="false">IFERROR(__xludf.dummyfunction("""COMPUTED_VALUE"""),209.28)</f>
        <v>209.28</v>
      </c>
      <c r="C712" s="2" t="n">
        <f aca="false">IFERROR(__xludf.dummyfunction("""COMPUTED_VALUE"""),210.88)</f>
        <v>210.88</v>
      </c>
      <c r="D712" s="2" t="n">
        <f aca="false">IFERROR(__xludf.dummyfunction("""COMPUTED_VALUE"""),194.67)</f>
        <v>194.67</v>
      </c>
      <c r="E712" s="2" t="n">
        <f aca="false">IFERROR(__xludf.dummyfunction("""COMPUTED_VALUE"""),197.36)</f>
        <v>197.36</v>
      </c>
      <c r="F712" s="2" t="n">
        <f aca="false">IFERROR(__xludf.dummyfunction("""COMPUTED_VALUE"""),136448167)</f>
        <v>136448167</v>
      </c>
    </row>
    <row r="713" customFormat="false" ht="15.75" hidden="false" customHeight="false" outlineLevel="0" collapsed="false">
      <c r="A713" s="3" t="n">
        <f aca="false">IFERROR(__xludf.dummyfunction("""COMPUTED_VALUE"""),45230.6666666667)</f>
        <v>45230.6666666667</v>
      </c>
      <c r="B713" s="2" t="n">
        <f aca="false">IFERROR(__xludf.dummyfunction("""COMPUTED_VALUE"""),196.12)</f>
        <v>196.12</v>
      </c>
      <c r="C713" s="2" t="n">
        <f aca="false">IFERROR(__xludf.dummyfunction("""COMPUTED_VALUE"""),202.8)</f>
        <v>202.8</v>
      </c>
      <c r="D713" s="2" t="n">
        <f aca="false">IFERROR(__xludf.dummyfunction("""COMPUTED_VALUE"""),194.07)</f>
        <v>194.07</v>
      </c>
      <c r="E713" s="2" t="n">
        <f aca="false">IFERROR(__xludf.dummyfunction("""COMPUTED_VALUE"""),200.84)</f>
        <v>200.84</v>
      </c>
      <c r="F713" s="2" t="n">
        <f aca="false">IFERROR(__xludf.dummyfunction("""COMPUTED_VALUE"""),118068273)</f>
        <v>118068273</v>
      </c>
    </row>
    <row r="714" customFormat="false" ht="15.75" hidden="false" customHeight="false" outlineLevel="0" collapsed="false">
      <c r="A714" s="3" t="n">
        <f aca="false">IFERROR(__xludf.dummyfunction("""COMPUTED_VALUE"""),45231.6666666667)</f>
        <v>45231.6666666667</v>
      </c>
      <c r="B714" s="2" t="n">
        <f aca="false">IFERROR(__xludf.dummyfunction("""COMPUTED_VALUE"""),204.04)</f>
        <v>204.04</v>
      </c>
      <c r="C714" s="2" t="n">
        <f aca="false">IFERROR(__xludf.dummyfunction("""COMPUTED_VALUE"""),205.99)</f>
        <v>205.99</v>
      </c>
      <c r="D714" s="2" t="n">
        <f aca="false">IFERROR(__xludf.dummyfunction("""COMPUTED_VALUE"""),197.85)</f>
        <v>197.85</v>
      </c>
      <c r="E714" s="2" t="n">
        <f aca="false">IFERROR(__xludf.dummyfunction("""COMPUTED_VALUE"""),205.66)</f>
        <v>205.66</v>
      </c>
      <c r="F714" s="2" t="n">
        <f aca="false">IFERROR(__xludf.dummyfunction("""COMPUTED_VALUE"""),121661656)</f>
        <v>121661656</v>
      </c>
    </row>
    <row r="715" customFormat="false" ht="15.75" hidden="false" customHeight="false" outlineLevel="0" collapsed="false">
      <c r="A715" s="3" t="n">
        <f aca="false">IFERROR(__xludf.dummyfunction("""COMPUTED_VALUE"""),45232.6666666667)</f>
        <v>45232.6666666667</v>
      </c>
      <c r="B715" s="2" t="n">
        <f aca="false">IFERROR(__xludf.dummyfunction("""COMPUTED_VALUE"""),212.97)</f>
        <v>212.97</v>
      </c>
      <c r="C715" s="2" t="n">
        <f aca="false">IFERROR(__xludf.dummyfunction("""COMPUTED_VALUE"""),219.2)</f>
        <v>219.2</v>
      </c>
      <c r="D715" s="2" t="n">
        <f aca="false">IFERROR(__xludf.dummyfunction("""COMPUTED_VALUE"""),211.45)</f>
        <v>211.45</v>
      </c>
      <c r="E715" s="2" t="n">
        <f aca="false">IFERROR(__xludf.dummyfunction("""COMPUTED_VALUE"""),218.51)</f>
        <v>218.51</v>
      </c>
      <c r="F715" s="2" t="n">
        <f aca="false">IFERROR(__xludf.dummyfunction("""COMPUTED_VALUE"""),125987621)</f>
        <v>125987621</v>
      </c>
    </row>
    <row r="716" customFormat="false" ht="15.75" hidden="false" customHeight="false" outlineLevel="0" collapsed="false">
      <c r="A716" s="3" t="n">
        <f aca="false">IFERROR(__xludf.dummyfunction("""COMPUTED_VALUE"""),45233.6666666667)</f>
        <v>45233.6666666667</v>
      </c>
      <c r="B716" s="2" t="n">
        <f aca="false">IFERROR(__xludf.dummyfunction("""COMPUTED_VALUE"""),221.15)</f>
        <v>221.15</v>
      </c>
      <c r="C716" s="2" t="n">
        <f aca="false">IFERROR(__xludf.dummyfunction("""COMPUTED_VALUE"""),226.37)</f>
        <v>226.37</v>
      </c>
      <c r="D716" s="2" t="n">
        <f aca="false">IFERROR(__xludf.dummyfunction("""COMPUTED_VALUE"""),218.4)</f>
        <v>218.4</v>
      </c>
      <c r="E716" s="2" t="n">
        <f aca="false">IFERROR(__xludf.dummyfunction("""COMPUTED_VALUE"""),219.96)</f>
        <v>219.96</v>
      </c>
      <c r="F716" s="2" t="n">
        <f aca="false">IFERROR(__xludf.dummyfunction("""COMPUTED_VALUE"""),119534790)</f>
        <v>119534790</v>
      </c>
    </row>
    <row r="717" customFormat="false" ht="15.75" hidden="false" customHeight="false" outlineLevel="0" collapsed="false">
      <c r="A717" s="3" t="n">
        <f aca="false">IFERROR(__xludf.dummyfunction("""COMPUTED_VALUE"""),45236.6666666667)</f>
        <v>45236.6666666667</v>
      </c>
      <c r="B717" s="2" t="n">
        <f aca="false">IFERROR(__xludf.dummyfunction("""COMPUTED_VALUE"""),223.98)</f>
        <v>223.98</v>
      </c>
      <c r="C717" s="2" t="n">
        <f aca="false">IFERROR(__xludf.dummyfunction("""COMPUTED_VALUE"""),226.32)</f>
        <v>226.32</v>
      </c>
      <c r="D717" s="2" t="n">
        <f aca="false">IFERROR(__xludf.dummyfunction("""COMPUTED_VALUE"""),215)</f>
        <v>215</v>
      </c>
      <c r="E717" s="2" t="n">
        <f aca="false">IFERROR(__xludf.dummyfunction("""COMPUTED_VALUE"""),219.27)</f>
        <v>219.27</v>
      </c>
      <c r="F717" s="2" t="n">
        <f aca="false">IFERROR(__xludf.dummyfunction("""COMPUTED_VALUE"""),117335820)</f>
        <v>117335820</v>
      </c>
    </row>
    <row r="718" customFormat="false" ht="15.75" hidden="false" customHeight="false" outlineLevel="0" collapsed="false">
      <c r="A718" s="3" t="n">
        <f aca="false">IFERROR(__xludf.dummyfunction("""COMPUTED_VALUE"""),45237.6666666667)</f>
        <v>45237.6666666667</v>
      </c>
      <c r="B718" s="2" t="n">
        <f aca="false">IFERROR(__xludf.dummyfunction("""COMPUTED_VALUE"""),219.98)</f>
        <v>219.98</v>
      </c>
      <c r="C718" s="2" t="n">
        <f aca="false">IFERROR(__xludf.dummyfunction("""COMPUTED_VALUE"""),223.12)</f>
        <v>223.12</v>
      </c>
      <c r="D718" s="2" t="n">
        <f aca="false">IFERROR(__xludf.dummyfunction("""COMPUTED_VALUE"""),215.72)</f>
        <v>215.72</v>
      </c>
      <c r="E718" s="2" t="n">
        <f aca="false">IFERROR(__xludf.dummyfunction("""COMPUTED_VALUE"""),222.18)</f>
        <v>222.18</v>
      </c>
      <c r="F718" s="2" t="n">
        <f aca="false">IFERROR(__xludf.dummyfunction("""COMPUTED_VALUE"""),116900130)</f>
        <v>116900130</v>
      </c>
    </row>
    <row r="719" customFormat="false" ht="15.75" hidden="false" customHeight="false" outlineLevel="0" collapsed="false">
      <c r="A719" s="3" t="n">
        <f aca="false">IFERROR(__xludf.dummyfunction("""COMPUTED_VALUE"""),45238.6666666667)</f>
        <v>45238.6666666667</v>
      </c>
      <c r="B719" s="2" t="n">
        <f aca="false">IFERROR(__xludf.dummyfunction("""COMPUTED_VALUE"""),223.15)</f>
        <v>223.15</v>
      </c>
      <c r="C719" s="2" t="n">
        <f aca="false">IFERROR(__xludf.dummyfunction("""COMPUTED_VALUE"""),224.15)</f>
        <v>224.15</v>
      </c>
      <c r="D719" s="2" t="n">
        <f aca="false">IFERROR(__xludf.dummyfunction("""COMPUTED_VALUE"""),217.64)</f>
        <v>217.64</v>
      </c>
      <c r="E719" s="2" t="n">
        <f aca="false">IFERROR(__xludf.dummyfunction("""COMPUTED_VALUE"""),222.11)</f>
        <v>222.11</v>
      </c>
      <c r="F719" s="2" t="n">
        <f aca="false">IFERROR(__xludf.dummyfunction("""COMPUTED_VALUE"""),106584841)</f>
        <v>106584841</v>
      </c>
    </row>
    <row r="720" customFormat="false" ht="15.75" hidden="false" customHeight="false" outlineLevel="0" collapsed="false">
      <c r="A720" s="3" t="n">
        <f aca="false">IFERROR(__xludf.dummyfunction("""COMPUTED_VALUE"""),45239.6666666667)</f>
        <v>45239.6666666667</v>
      </c>
      <c r="B720" s="2" t="n">
        <f aca="false">IFERROR(__xludf.dummyfunction("""COMPUTED_VALUE"""),219.75)</f>
        <v>219.75</v>
      </c>
      <c r="C720" s="2" t="n">
        <f aca="false">IFERROR(__xludf.dummyfunction("""COMPUTED_VALUE"""),220.8)</f>
        <v>220.8</v>
      </c>
      <c r="D720" s="2" t="n">
        <f aca="false">IFERROR(__xludf.dummyfunction("""COMPUTED_VALUE"""),206.68)</f>
        <v>206.68</v>
      </c>
      <c r="E720" s="2" t="n">
        <f aca="false">IFERROR(__xludf.dummyfunction("""COMPUTED_VALUE"""),209.98)</f>
        <v>209.98</v>
      </c>
      <c r="F720" s="2" t="n">
        <f aca="false">IFERROR(__xludf.dummyfunction("""COMPUTED_VALUE"""),142110454)</f>
        <v>142110454</v>
      </c>
    </row>
    <row r="721" customFormat="false" ht="15.75" hidden="false" customHeight="false" outlineLevel="0" collapsed="false">
      <c r="A721" s="3" t="n">
        <f aca="false">IFERROR(__xludf.dummyfunction("""COMPUTED_VALUE"""),45240.6666666667)</f>
        <v>45240.6666666667</v>
      </c>
      <c r="B721" s="2" t="n">
        <f aca="false">IFERROR(__xludf.dummyfunction("""COMPUTED_VALUE"""),210.03)</f>
        <v>210.03</v>
      </c>
      <c r="C721" s="2" t="n">
        <f aca="false">IFERROR(__xludf.dummyfunction("""COMPUTED_VALUE"""),215.38)</f>
        <v>215.38</v>
      </c>
      <c r="D721" s="2" t="n">
        <f aca="false">IFERROR(__xludf.dummyfunction("""COMPUTED_VALUE"""),205.69)</f>
        <v>205.69</v>
      </c>
      <c r="E721" s="2" t="n">
        <f aca="false">IFERROR(__xludf.dummyfunction("""COMPUTED_VALUE"""),214.65)</f>
        <v>214.65</v>
      </c>
      <c r="F721" s="2" t="n">
        <f aca="false">IFERROR(__xludf.dummyfunction("""COMPUTED_VALUE"""),131310128)</f>
        <v>131310128</v>
      </c>
    </row>
    <row r="722" customFormat="false" ht="15.75" hidden="false" customHeight="false" outlineLevel="0" collapsed="false">
      <c r="A722" s="3" t="n">
        <f aca="false">IFERROR(__xludf.dummyfunction("""COMPUTED_VALUE"""),45243.6666666667)</f>
        <v>45243.6666666667</v>
      </c>
      <c r="B722" s="2" t="n">
        <f aca="false">IFERROR(__xludf.dummyfunction("""COMPUTED_VALUE"""),215.6)</f>
        <v>215.6</v>
      </c>
      <c r="C722" s="2" t="n">
        <f aca="false">IFERROR(__xludf.dummyfunction("""COMPUTED_VALUE"""),225.4)</f>
        <v>225.4</v>
      </c>
      <c r="D722" s="2" t="n">
        <f aca="false">IFERROR(__xludf.dummyfunction("""COMPUTED_VALUE"""),211.61)</f>
        <v>211.61</v>
      </c>
      <c r="E722" s="2" t="n">
        <f aca="false">IFERROR(__xludf.dummyfunction("""COMPUTED_VALUE"""),223.71)</f>
        <v>223.71</v>
      </c>
      <c r="F722" s="2" t="n">
        <f aca="false">IFERROR(__xludf.dummyfunction("""COMPUTED_VALUE"""),140447569)</f>
        <v>140447569</v>
      </c>
    </row>
    <row r="723" customFormat="false" ht="15.75" hidden="false" customHeight="false" outlineLevel="0" collapsed="false">
      <c r="A723" s="3" t="n">
        <f aca="false">IFERROR(__xludf.dummyfunction("""COMPUTED_VALUE"""),45244.6666666667)</f>
        <v>45244.6666666667</v>
      </c>
      <c r="B723" s="2" t="n">
        <f aca="false">IFERROR(__xludf.dummyfunction("""COMPUTED_VALUE"""),235.03)</f>
        <v>235.03</v>
      </c>
      <c r="C723" s="2" t="n">
        <f aca="false">IFERROR(__xludf.dummyfunction("""COMPUTED_VALUE"""),238.14)</f>
        <v>238.14</v>
      </c>
      <c r="D723" s="2" t="n">
        <f aca="false">IFERROR(__xludf.dummyfunction("""COMPUTED_VALUE"""),230.72)</f>
        <v>230.72</v>
      </c>
      <c r="E723" s="2" t="n">
        <f aca="false">IFERROR(__xludf.dummyfunction("""COMPUTED_VALUE"""),237.41)</f>
        <v>237.41</v>
      </c>
      <c r="F723" s="2" t="n">
        <f aca="false">IFERROR(__xludf.dummyfunction("""COMPUTED_VALUE"""),149771642)</f>
        <v>149771642</v>
      </c>
    </row>
    <row r="724" customFormat="false" ht="15.75" hidden="false" customHeight="false" outlineLevel="0" collapsed="false">
      <c r="A724" s="3" t="n">
        <f aca="false">IFERROR(__xludf.dummyfunction("""COMPUTED_VALUE"""),45245.6666666667)</f>
        <v>45245.6666666667</v>
      </c>
      <c r="B724" s="2" t="n">
        <f aca="false">IFERROR(__xludf.dummyfunction("""COMPUTED_VALUE"""),239.29)</f>
        <v>239.29</v>
      </c>
      <c r="C724" s="2" t="n">
        <f aca="false">IFERROR(__xludf.dummyfunction("""COMPUTED_VALUE"""),246.7)</f>
        <v>246.7</v>
      </c>
      <c r="D724" s="2" t="n">
        <f aca="false">IFERROR(__xludf.dummyfunction("""COMPUTED_VALUE"""),236.45)</f>
        <v>236.45</v>
      </c>
      <c r="E724" s="2" t="n">
        <f aca="false">IFERROR(__xludf.dummyfunction("""COMPUTED_VALUE"""),242.84)</f>
        <v>242.84</v>
      </c>
      <c r="F724" s="2" t="n">
        <f aca="false">IFERROR(__xludf.dummyfunction("""COMPUTED_VALUE"""),150353975)</f>
        <v>150353975</v>
      </c>
    </row>
    <row r="725" customFormat="false" ht="15.75" hidden="false" customHeight="false" outlineLevel="0" collapsed="false">
      <c r="A725" s="3" t="n">
        <f aca="false">IFERROR(__xludf.dummyfunction("""COMPUTED_VALUE"""),45246.6666666667)</f>
        <v>45246.6666666667</v>
      </c>
      <c r="B725" s="2" t="n">
        <f aca="false">IFERROR(__xludf.dummyfunction("""COMPUTED_VALUE"""),239.49)</f>
        <v>239.49</v>
      </c>
      <c r="C725" s="2" t="n">
        <f aca="false">IFERROR(__xludf.dummyfunction("""COMPUTED_VALUE"""),240.88)</f>
        <v>240.88</v>
      </c>
      <c r="D725" s="2" t="n">
        <f aca="false">IFERROR(__xludf.dummyfunction("""COMPUTED_VALUE"""),230.96)</f>
        <v>230.96</v>
      </c>
      <c r="E725" s="2" t="n">
        <f aca="false">IFERROR(__xludf.dummyfunction("""COMPUTED_VALUE"""),233.59)</f>
        <v>233.59</v>
      </c>
      <c r="F725" s="2" t="n">
        <f aca="false">IFERROR(__xludf.dummyfunction("""COMPUTED_VALUE"""),136816819)</f>
        <v>136816819</v>
      </c>
    </row>
    <row r="726" customFormat="false" ht="15.75" hidden="false" customHeight="false" outlineLevel="0" collapsed="false">
      <c r="A726" s="3" t="n">
        <f aca="false">IFERROR(__xludf.dummyfunction("""COMPUTED_VALUE"""),45247.6666666667)</f>
        <v>45247.6666666667</v>
      </c>
      <c r="B726" s="2" t="n">
        <f aca="false">IFERROR(__xludf.dummyfunction("""COMPUTED_VALUE"""),232)</f>
        <v>232</v>
      </c>
      <c r="C726" s="2" t="n">
        <f aca="false">IFERROR(__xludf.dummyfunction("""COMPUTED_VALUE"""),237.39)</f>
        <v>237.39</v>
      </c>
      <c r="D726" s="2" t="n">
        <f aca="false">IFERROR(__xludf.dummyfunction("""COMPUTED_VALUE"""),226.54)</f>
        <v>226.54</v>
      </c>
      <c r="E726" s="2" t="n">
        <f aca="false">IFERROR(__xludf.dummyfunction("""COMPUTED_VALUE"""),234.3)</f>
        <v>234.3</v>
      </c>
      <c r="F726" s="2" t="n">
        <f aca="false">IFERROR(__xludf.dummyfunction("""COMPUTED_VALUE"""),142766234)</f>
        <v>142766234</v>
      </c>
    </row>
    <row r="727" customFormat="false" ht="15.75" hidden="false" customHeight="false" outlineLevel="0" collapsed="false">
      <c r="A727" s="3" t="n">
        <f aca="false">IFERROR(__xludf.dummyfunction("""COMPUTED_VALUE"""),45250.6666666667)</f>
        <v>45250.6666666667</v>
      </c>
      <c r="B727" s="2" t="n">
        <f aca="false">IFERROR(__xludf.dummyfunction("""COMPUTED_VALUE"""),234.04)</f>
        <v>234.04</v>
      </c>
      <c r="C727" s="2" t="n">
        <f aca="false">IFERROR(__xludf.dummyfunction("""COMPUTED_VALUE"""),237.1)</f>
        <v>237.1</v>
      </c>
      <c r="D727" s="2" t="n">
        <f aca="false">IFERROR(__xludf.dummyfunction("""COMPUTED_VALUE"""),231.02)</f>
        <v>231.02</v>
      </c>
      <c r="E727" s="2" t="n">
        <f aca="false">IFERROR(__xludf.dummyfunction("""COMPUTED_VALUE"""),235.6)</f>
        <v>235.6</v>
      </c>
      <c r="F727" s="2" t="n">
        <f aca="false">IFERROR(__xludf.dummyfunction("""COMPUTED_VALUE"""),116562402)</f>
        <v>116562402</v>
      </c>
    </row>
    <row r="728" customFormat="false" ht="15.75" hidden="false" customHeight="false" outlineLevel="0" collapsed="false">
      <c r="A728" s="3" t="n">
        <f aca="false">IFERROR(__xludf.dummyfunction("""COMPUTED_VALUE"""),45251.6666666667)</f>
        <v>45251.6666666667</v>
      </c>
      <c r="B728" s="2" t="n">
        <f aca="false">IFERROR(__xludf.dummyfunction("""COMPUTED_VALUE"""),235.04)</f>
        <v>235.04</v>
      </c>
      <c r="C728" s="2" t="n">
        <f aca="false">IFERROR(__xludf.dummyfunction("""COMPUTED_VALUE"""),243.62)</f>
        <v>243.62</v>
      </c>
      <c r="D728" s="2" t="n">
        <f aca="false">IFERROR(__xludf.dummyfunction("""COMPUTED_VALUE"""),233.34)</f>
        <v>233.34</v>
      </c>
      <c r="E728" s="2" t="n">
        <f aca="false">IFERROR(__xludf.dummyfunction("""COMPUTED_VALUE"""),241.2)</f>
        <v>241.2</v>
      </c>
      <c r="F728" s="2" t="n">
        <f aca="false">IFERROR(__xludf.dummyfunction("""COMPUTED_VALUE"""),122288000)</f>
        <v>122288000</v>
      </c>
    </row>
    <row r="729" customFormat="false" ht="15.75" hidden="false" customHeight="false" outlineLevel="0" collapsed="false">
      <c r="A729" s="3" t="n">
        <f aca="false">IFERROR(__xludf.dummyfunction("""COMPUTED_VALUE"""),45252.6666666667)</f>
        <v>45252.6666666667</v>
      </c>
      <c r="B729" s="2" t="n">
        <f aca="false">IFERROR(__xludf.dummyfunction("""COMPUTED_VALUE"""),242.04)</f>
        <v>242.04</v>
      </c>
      <c r="C729" s="2" t="n">
        <f aca="false">IFERROR(__xludf.dummyfunction("""COMPUTED_VALUE"""),244.01)</f>
        <v>244.01</v>
      </c>
      <c r="D729" s="2" t="n">
        <f aca="false">IFERROR(__xludf.dummyfunction("""COMPUTED_VALUE"""),231.4)</f>
        <v>231.4</v>
      </c>
      <c r="E729" s="2" t="n">
        <f aca="false">IFERROR(__xludf.dummyfunction("""COMPUTED_VALUE"""),234.21)</f>
        <v>234.21</v>
      </c>
      <c r="F729" s="2" t="n">
        <f aca="false">IFERROR(__xludf.dummyfunction("""COMPUTED_VALUE"""),118117078)</f>
        <v>118117078</v>
      </c>
    </row>
    <row r="730" customFormat="false" ht="15.75" hidden="false" customHeight="false" outlineLevel="0" collapsed="false">
      <c r="A730" s="3" t="n">
        <f aca="false">IFERROR(__xludf.dummyfunction("""COMPUTED_VALUE"""),45254.5451388889)</f>
        <v>45254.5451388889</v>
      </c>
      <c r="B730" s="2" t="n">
        <f aca="false">IFERROR(__xludf.dummyfunction("""COMPUTED_VALUE"""),233.75)</f>
        <v>233.75</v>
      </c>
      <c r="C730" s="2" t="n">
        <f aca="false">IFERROR(__xludf.dummyfunction("""COMPUTED_VALUE"""),238.75)</f>
        <v>238.75</v>
      </c>
      <c r="D730" s="2" t="n">
        <f aca="false">IFERROR(__xludf.dummyfunction("""COMPUTED_VALUE"""),232.33)</f>
        <v>232.33</v>
      </c>
      <c r="E730" s="2" t="n">
        <f aca="false">IFERROR(__xludf.dummyfunction("""COMPUTED_VALUE"""),235.45)</f>
        <v>235.45</v>
      </c>
      <c r="F730" s="2" t="n">
        <f aca="false">IFERROR(__xludf.dummyfunction("""COMPUTED_VALUE"""),65125203)</f>
        <v>65125203</v>
      </c>
    </row>
    <row r="731" customFormat="false" ht="15.75" hidden="false" customHeight="false" outlineLevel="0" collapsed="false">
      <c r="A731" s="3" t="n">
        <f aca="false">IFERROR(__xludf.dummyfunction("""COMPUTED_VALUE"""),45257.6666666667)</f>
        <v>45257.6666666667</v>
      </c>
      <c r="B731" s="2" t="n">
        <f aca="false">IFERROR(__xludf.dummyfunction("""COMPUTED_VALUE"""),236.89)</f>
        <v>236.89</v>
      </c>
      <c r="C731" s="2" t="n">
        <f aca="false">IFERROR(__xludf.dummyfunction("""COMPUTED_VALUE"""),238.33)</f>
        <v>238.33</v>
      </c>
      <c r="D731" s="2" t="n">
        <f aca="false">IFERROR(__xludf.dummyfunction("""COMPUTED_VALUE"""),232.1)</f>
        <v>232.1</v>
      </c>
      <c r="E731" s="2" t="n">
        <f aca="false">IFERROR(__xludf.dummyfunction("""COMPUTED_VALUE"""),236.08)</f>
        <v>236.08</v>
      </c>
      <c r="F731" s="2" t="n">
        <f aca="false">IFERROR(__xludf.dummyfunction("""COMPUTED_VALUE"""),112031763)</f>
        <v>112031763</v>
      </c>
    </row>
    <row r="732" customFormat="false" ht="15.75" hidden="false" customHeight="false" outlineLevel="0" collapsed="false">
      <c r="A732" s="3" t="n">
        <f aca="false">IFERROR(__xludf.dummyfunction("""COMPUTED_VALUE"""),45258.6666666667)</f>
        <v>45258.6666666667</v>
      </c>
      <c r="B732" s="2" t="n">
        <f aca="false">IFERROR(__xludf.dummyfunction("""COMPUTED_VALUE"""),236.68)</f>
        <v>236.68</v>
      </c>
      <c r="C732" s="2" t="n">
        <f aca="false">IFERROR(__xludf.dummyfunction("""COMPUTED_VALUE"""),247)</f>
        <v>247</v>
      </c>
      <c r="D732" s="2" t="n">
        <f aca="false">IFERROR(__xludf.dummyfunction("""COMPUTED_VALUE"""),234.01)</f>
        <v>234.01</v>
      </c>
      <c r="E732" s="2" t="n">
        <f aca="false">IFERROR(__xludf.dummyfunction("""COMPUTED_VALUE"""),246.72)</f>
        <v>246.72</v>
      </c>
      <c r="F732" s="2" t="n">
        <f aca="false">IFERROR(__xludf.dummyfunction("""COMPUTED_VALUE"""),148549913)</f>
        <v>148549913</v>
      </c>
    </row>
    <row r="733" customFormat="false" ht="15.75" hidden="false" customHeight="false" outlineLevel="0" collapsed="false">
      <c r="A733" s="3" t="n">
        <f aca="false">IFERROR(__xludf.dummyfunction("""COMPUTED_VALUE"""),45259.6666666667)</f>
        <v>45259.6666666667</v>
      </c>
      <c r="B733" s="2" t="n">
        <f aca="false">IFERROR(__xludf.dummyfunction("""COMPUTED_VALUE"""),249.21)</f>
        <v>249.21</v>
      </c>
      <c r="C733" s="2" t="n">
        <f aca="false">IFERROR(__xludf.dummyfunction("""COMPUTED_VALUE"""),252.75)</f>
        <v>252.75</v>
      </c>
      <c r="D733" s="2" t="n">
        <f aca="false">IFERROR(__xludf.dummyfunction("""COMPUTED_VALUE"""),242.76)</f>
        <v>242.76</v>
      </c>
      <c r="E733" s="2" t="n">
        <f aca="false">IFERROR(__xludf.dummyfunction("""COMPUTED_VALUE"""),244.14)</f>
        <v>244.14</v>
      </c>
      <c r="F733" s="2" t="n">
        <f aca="false">IFERROR(__xludf.dummyfunction("""COMPUTED_VALUE"""),135401335)</f>
        <v>135401335</v>
      </c>
    </row>
    <row r="734" customFormat="false" ht="15.75" hidden="false" customHeight="false" outlineLevel="0" collapsed="false">
      <c r="A734" s="3" t="n">
        <f aca="false">IFERROR(__xludf.dummyfunction("""COMPUTED_VALUE"""),45260.6666666667)</f>
        <v>45260.6666666667</v>
      </c>
      <c r="B734" s="2" t="n">
        <f aca="false">IFERROR(__xludf.dummyfunction("""COMPUTED_VALUE"""),245.14)</f>
        <v>245.14</v>
      </c>
      <c r="C734" s="2" t="n">
        <f aca="false">IFERROR(__xludf.dummyfunction("""COMPUTED_VALUE"""),245.22)</f>
        <v>245.22</v>
      </c>
      <c r="D734" s="2" t="n">
        <f aca="false">IFERROR(__xludf.dummyfunction("""COMPUTED_VALUE"""),236.91)</f>
        <v>236.91</v>
      </c>
      <c r="E734" s="2" t="n">
        <f aca="false">IFERROR(__xludf.dummyfunction("""COMPUTED_VALUE"""),240.08)</f>
        <v>240.08</v>
      </c>
      <c r="F734" s="2" t="n">
        <f aca="false">IFERROR(__xludf.dummyfunction("""COMPUTED_VALUE"""),132353196)</f>
        <v>132353196</v>
      </c>
    </row>
    <row r="735" customFormat="false" ht="15.75" hidden="false" customHeight="false" outlineLevel="0" collapsed="false">
      <c r="A735" s="3" t="n">
        <f aca="false">IFERROR(__xludf.dummyfunction("""COMPUTED_VALUE"""),45261.6666666667)</f>
        <v>45261.6666666667</v>
      </c>
      <c r="B735" s="2" t="n">
        <f aca="false">IFERROR(__xludf.dummyfunction("""COMPUTED_VALUE"""),233.14)</f>
        <v>233.14</v>
      </c>
      <c r="C735" s="2" t="n">
        <f aca="false">IFERROR(__xludf.dummyfunction("""COMPUTED_VALUE"""),240.19)</f>
        <v>240.19</v>
      </c>
      <c r="D735" s="2" t="n">
        <f aca="false">IFERROR(__xludf.dummyfunction("""COMPUTED_VALUE"""),231.9)</f>
        <v>231.9</v>
      </c>
      <c r="E735" s="2" t="n">
        <f aca="false">IFERROR(__xludf.dummyfunction("""COMPUTED_VALUE"""),238.83)</f>
        <v>238.83</v>
      </c>
      <c r="F735" s="2" t="n">
        <f aca="false">IFERROR(__xludf.dummyfunction("""COMPUTED_VALUE"""),121331709)</f>
        <v>121331709</v>
      </c>
    </row>
    <row r="736" customFormat="false" ht="15.75" hidden="false" customHeight="false" outlineLevel="0" collapsed="false">
      <c r="A736" s="3" t="n">
        <f aca="false">IFERROR(__xludf.dummyfunction("""COMPUTED_VALUE"""),45264.6666666667)</f>
        <v>45264.6666666667</v>
      </c>
      <c r="B736" s="2" t="n">
        <f aca="false">IFERROR(__xludf.dummyfunction("""COMPUTED_VALUE"""),235.75)</f>
        <v>235.75</v>
      </c>
      <c r="C736" s="2" t="n">
        <f aca="false">IFERROR(__xludf.dummyfunction("""COMPUTED_VALUE"""),239.37)</f>
        <v>239.37</v>
      </c>
      <c r="D736" s="2" t="n">
        <f aca="false">IFERROR(__xludf.dummyfunction("""COMPUTED_VALUE"""),233.29)</f>
        <v>233.29</v>
      </c>
      <c r="E736" s="2" t="n">
        <f aca="false">IFERROR(__xludf.dummyfunction("""COMPUTED_VALUE"""),235.58)</f>
        <v>235.58</v>
      </c>
      <c r="F736" s="2" t="n">
        <f aca="false">IFERROR(__xludf.dummyfunction("""COMPUTED_VALUE"""),104099817)</f>
        <v>104099817</v>
      </c>
    </row>
    <row r="737" customFormat="false" ht="15.75" hidden="false" customHeight="false" outlineLevel="0" collapsed="false">
      <c r="A737" s="3" t="n">
        <f aca="false">IFERROR(__xludf.dummyfunction("""COMPUTED_VALUE"""),45265.6666666667)</f>
        <v>45265.6666666667</v>
      </c>
      <c r="B737" s="2" t="n">
        <f aca="false">IFERROR(__xludf.dummyfunction("""COMPUTED_VALUE"""),233.87)</f>
        <v>233.87</v>
      </c>
      <c r="C737" s="2" t="n">
        <f aca="false">IFERROR(__xludf.dummyfunction("""COMPUTED_VALUE"""),246.66)</f>
        <v>246.66</v>
      </c>
      <c r="D737" s="2" t="n">
        <f aca="false">IFERROR(__xludf.dummyfunction("""COMPUTED_VALUE"""),233.7)</f>
        <v>233.7</v>
      </c>
      <c r="E737" s="2" t="n">
        <f aca="false">IFERROR(__xludf.dummyfunction("""COMPUTED_VALUE"""),238.72)</f>
        <v>238.72</v>
      </c>
      <c r="F737" s="2" t="n">
        <f aca="false">IFERROR(__xludf.dummyfunction("""COMPUTED_VALUE"""),137971115)</f>
        <v>137971115</v>
      </c>
    </row>
    <row r="738" customFormat="false" ht="15.75" hidden="false" customHeight="false" outlineLevel="0" collapsed="false">
      <c r="A738" s="3" t="n">
        <f aca="false">IFERROR(__xludf.dummyfunction("""COMPUTED_VALUE"""),45266.6666666667)</f>
        <v>45266.6666666667</v>
      </c>
      <c r="B738" s="2" t="n">
        <f aca="false">IFERROR(__xludf.dummyfunction("""COMPUTED_VALUE"""),242.92)</f>
        <v>242.92</v>
      </c>
      <c r="C738" s="2" t="n">
        <f aca="false">IFERROR(__xludf.dummyfunction("""COMPUTED_VALUE"""),246.57)</f>
        <v>246.57</v>
      </c>
      <c r="D738" s="2" t="n">
        <f aca="false">IFERROR(__xludf.dummyfunction("""COMPUTED_VALUE"""),239.17)</f>
        <v>239.17</v>
      </c>
      <c r="E738" s="2" t="n">
        <f aca="false">IFERROR(__xludf.dummyfunction("""COMPUTED_VALUE"""),239.37)</f>
        <v>239.37</v>
      </c>
      <c r="F738" s="2" t="n">
        <f aca="false">IFERROR(__xludf.dummyfunction("""COMPUTED_VALUE"""),126436179)</f>
        <v>126436179</v>
      </c>
    </row>
    <row r="739" customFormat="false" ht="15.75" hidden="false" customHeight="false" outlineLevel="0" collapsed="false">
      <c r="A739" s="3" t="n">
        <f aca="false">IFERROR(__xludf.dummyfunction("""COMPUTED_VALUE"""),45267.6666666667)</f>
        <v>45267.6666666667</v>
      </c>
      <c r="B739" s="2" t="n">
        <f aca="false">IFERROR(__xludf.dummyfunction("""COMPUTED_VALUE"""),241.55)</f>
        <v>241.55</v>
      </c>
      <c r="C739" s="2" t="n">
        <f aca="false">IFERROR(__xludf.dummyfunction("""COMPUTED_VALUE"""),244.08)</f>
        <v>244.08</v>
      </c>
      <c r="D739" s="2" t="n">
        <f aca="false">IFERROR(__xludf.dummyfunction("""COMPUTED_VALUE"""),236.98)</f>
        <v>236.98</v>
      </c>
      <c r="E739" s="2" t="n">
        <f aca="false">IFERROR(__xludf.dummyfunction("""COMPUTED_VALUE"""),242.64)</f>
        <v>242.64</v>
      </c>
      <c r="F739" s="2" t="n">
        <f aca="false">IFERROR(__xludf.dummyfunction("""COMPUTED_VALUE"""),107142262)</f>
        <v>107142262</v>
      </c>
    </row>
    <row r="740" customFormat="false" ht="15.75" hidden="false" customHeight="false" outlineLevel="0" collapsed="false">
      <c r="A740" s="3" t="n">
        <f aca="false">IFERROR(__xludf.dummyfunction("""COMPUTED_VALUE"""),45268.6666666667)</f>
        <v>45268.6666666667</v>
      </c>
      <c r="B740" s="2" t="n">
        <f aca="false">IFERROR(__xludf.dummyfunction("""COMPUTED_VALUE"""),240.27)</f>
        <v>240.27</v>
      </c>
      <c r="C740" s="2" t="n">
        <f aca="false">IFERROR(__xludf.dummyfunction("""COMPUTED_VALUE"""),245.27)</f>
        <v>245.27</v>
      </c>
      <c r="D740" s="2" t="n">
        <f aca="false">IFERROR(__xludf.dummyfunction("""COMPUTED_VALUE"""),239.27)</f>
        <v>239.27</v>
      </c>
      <c r="E740" s="2" t="n">
        <f aca="false">IFERROR(__xludf.dummyfunction("""COMPUTED_VALUE"""),243.84)</f>
        <v>243.84</v>
      </c>
      <c r="F740" s="2" t="n">
        <f aca="false">IFERROR(__xludf.dummyfunction("""COMPUTED_VALUE"""),103126829)</f>
        <v>103126829</v>
      </c>
    </row>
    <row r="741" customFormat="false" ht="15.75" hidden="false" customHeight="false" outlineLevel="0" collapsed="false">
      <c r="A741" s="3" t="n">
        <f aca="false">IFERROR(__xludf.dummyfunction("""COMPUTED_VALUE"""),45271.6666666667)</f>
        <v>45271.6666666667</v>
      </c>
      <c r="B741" s="2" t="n">
        <f aca="false">IFERROR(__xludf.dummyfunction("""COMPUTED_VALUE"""),242.74)</f>
        <v>242.74</v>
      </c>
      <c r="C741" s="2" t="n">
        <f aca="false">IFERROR(__xludf.dummyfunction("""COMPUTED_VALUE"""),243.44)</f>
        <v>243.44</v>
      </c>
      <c r="D741" s="2" t="n">
        <f aca="false">IFERROR(__xludf.dummyfunction("""COMPUTED_VALUE"""),237.45)</f>
        <v>237.45</v>
      </c>
      <c r="E741" s="2" t="n">
        <f aca="false">IFERROR(__xludf.dummyfunction("""COMPUTED_VALUE"""),239.74)</f>
        <v>239.74</v>
      </c>
      <c r="F741" s="2" t="n">
        <f aca="false">IFERROR(__xludf.dummyfunction("""COMPUTED_VALUE"""),97913888)</f>
        <v>97913888</v>
      </c>
    </row>
    <row r="742" customFormat="false" ht="15.75" hidden="false" customHeight="false" outlineLevel="0" collapsed="false">
      <c r="A742" s="3" t="n">
        <f aca="false">IFERROR(__xludf.dummyfunction("""COMPUTED_VALUE"""),45272.6666666667)</f>
        <v>45272.6666666667</v>
      </c>
      <c r="B742" s="2" t="n">
        <f aca="false">IFERROR(__xludf.dummyfunction("""COMPUTED_VALUE"""),238.55)</f>
        <v>238.55</v>
      </c>
      <c r="C742" s="2" t="n">
        <f aca="false">IFERROR(__xludf.dummyfunction("""COMPUTED_VALUE"""),238.99)</f>
        <v>238.99</v>
      </c>
      <c r="D742" s="2" t="n">
        <f aca="false">IFERROR(__xludf.dummyfunction("""COMPUTED_VALUE"""),233.87)</f>
        <v>233.87</v>
      </c>
      <c r="E742" s="2" t="n">
        <f aca="false">IFERROR(__xludf.dummyfunction("""COMPUTED_VALUE"""),237.01)</f>
        <v>237.01</v>
      </c>
      <c r="F742" s="2" t="n">
        <f aca="false">IFERROR(__xludf.dummyfunction("""COMPUTED_VALUE"""),95328313)</f>
        <v>95328313</v>
      </c>
    </row>
    <row r="743" customFormat="false" ht="15.75" hidden="false" customHeight="false" outlineLevel="0" collapsed="false">
      <c r="A743" s="3" t="n">
        <f aca="false">IFERROR(__xludf.dummyfunction("""COMPUTED_VALUE"""),45273.6666666667)</f>
        <v>45273.6666666667</v>
      </c>
      <c r="B743" s="2" t="n">
        <f aca="false">IFERROR(__xludf.dummyfunction("""COMPUTED_VALUE"""),234.19)</f>
        <v>234.19</v>
      </c>
      <c r="C743" s="2" t="n">
        <f aca="false">IFERROR(__xludf.dummyfunction("""COMPUTED_VALUE"""),240.3)</f>
        <v>240.3</v>
      </c>
      <c r="D743" s="2" t="n">
        <f aca="false">IFERROR(__xludf.dummyfunction("""COMPUTED_VALUE"""),228.2)</f>
        <v>228.2</v>
      </c>
      <c r="E743" s="2" t="n">
        <f aca="false">IFERROR(__xludf.dummyfunction("""COMPUTED_VALUE"""),239.29)</f>
        <v>239.29</v>
      </c>
      <c r="F743" s="2" t="n">
        <f aca="false">IFERROR(__xludf.dummyfunction("""COMPUTED_VALUE"""),146286348)</f>
        <v>146286348</v>
      </c>
    </row>
    <row r="744" customFormat="false" ht="15.75" hidden="false" customHeight="false" outlineLevel="0" collapsed="false">
      <c r="A744" s="3" t="n">
        <f aca="false">IFERROR(__xludf.dummyfunction("""COMPUTED_VALUE"""),45274.6666666667)</f>
        <v>45274.6666666667</v>
      </c>
      <c r="B744" s="2" t="n">
        <f aca="false">IFERROR(__xludf.dummyfunction("""COMPUTED_VALUE"""),241.22)</f>
        <v>241.22</v>
      </c>
      <c r="C744" s="2" t="n">
        <f aca="false">IFERROR(__xludf.dummyfunction("""COMPUTED_VALUE"""),253.88)</f>
        <v>253.88</v>
      </c>
      <c r="D744" s="2" t="n">
        <f aca="false">IFERROR(__xludf.dummyfunction("""COMPUTED_VALUE"""),240.79)</f>
        <v>240.79</v>
      </c>
      <c r="E744" s="2" t="n">
        <f aca="false">IFERROR(__xludf.dummyfunction("""COMPUTED_VALUE"""),251.05)</f>
        <v>251.05</v>
      </c>
      <c r="F744" s="2" t="n">
        <f aca="false">IFERROR(__xludf.dummyfunction("""COMPUTED_VALUE"""),160829239)</f>
        <v>160829239</v>
      </c>
    </row>
    <row r="745" customFormat="false" ht="15.75" hidden="false" customHeight="false" outlineLevel="0" collapsed="false">
      <c r="A745" s="3" t="n">
        <f aca="false">IFERROR(__xludf.dummyfunction("""COMPUTED_VALUE"""),45275.6666666667)</f>
        <v>45275.6666666667</v>
      </c>
      <c r="B745" s="2" t="n">
        <f aca="false">IFERROR(__xludf.dummyfunction("""COMPUTED_VALUE"""),251.21)</f>
        <v>251.21</v>
      </c>
      <c r="C745" s="2" t="n">
        <f aca="false">IFERROR(__xludf.dummyfunction("""COMPUTED_VALUE"""),254.13)</f>
        <v>254.13</v>
      </c>
      <c r="D745" s="2" t="n">
        <f aca="false">IFERROR(__xludf.dummyfunction("""COMPUTED_VALUE"""),248.3)</f>
        <v>248.3</v>
      </c>
      <c r="E745" s="2" t="n">
        <f aca="false">IFERROR(__xludf.dummyfunction("""COMPUTED_VALUE"""),253.5)</f>
        <v>253.5</v>
      </c>
      <c r="F745" s="2" t="n">
        <f aca="false">IFERROR(__xludf.dummyfunction("""COMPUTED_VALUE"""),135932762)</f>
        <v>135932762</v>
      </c>
    </row>
    <row r="746" customFormat="false" ht="15.75" hidden="false" customHeight="false" outlineLevel="0" collapsed="false">
      <c r="A746" s="3" t="n">
        <f aca="false">IFERROR(__xludf.dummyfunction("""COMPUTED_VALUE"""),45278.6666666667)</f>
        <v>45278.6666666667</v>
      </c>
      <c r="B746" s="2" t="n">
        <f aca="false">IFERROR(__xludf.dummyfunction("""COMPUTED_VALUE"""),253.78)</f>
        <v>253.78</v>
      </c>
      <c r="C746" s="2" t="n">
        <f aca="false">IFERROR(__xludf.dummyfunction("""COMPUTED_VALUE"""),258.74)</f>
        <v>258.74</v>
      </c>
      <c r="D746" s="2" t="n">
        <f aca="false">IFERROR(__xludf.dummyfunction("""COMPUTED_VALUE"""),251.36)</f>
        <v>251.36</v>
      </c>
      <c r="E746" s="2" t="n">
        <f aca="false">IFERROR(__xludf.dummyfunction("""COMPUTED_VALUE"""),252.08)</f>
        <v>252.08</v>
      </c>
      <c r="F746" s="2" t="n">
        <f aca="false">IFERROR(__xludf.dummyfunction("""COMPUTED_VALUE"""),116416490)</f>
        <v>116416490</v>
      </c>
    </row>
    <row r="747" customFormat="false" ht="15.75" hidden="false" customHeight="false" outlineLevel="0" collapsed="false">
      <c r="A747" s="3" t="n">
        <f aca="false">IFERROR(__xludf.dummyfunction("""COMPUTED_VALUE"""),45279.6666666667)</f>
        <v>45279.6666666667</v>
      </c>
      <c r="B747" s="2" t="n">
        <f aca="false">IFERROR(__xludf.dummyfunction("""COMPUTED_VALUE"""),253.48)</f>
        <v>253.48</v>
      </c>
      <c r="C747" s="2" t="n">
        <f aca="false">IFERROR(__xludf.dummyfunction("""COMPUTED_VALUE"""),258.34)</f>
        <v>258.34</v>
      </c>
      <c r="D747" s="2" t="n">
        <f aca="false">IFERROR(__xludf.dummyfunction("""COMPUTED_VALUE"""),253.01)</f>
        <v>253.01</v>
      </c>
      <c r="E747" s="2" t="n">
        <f aca="false">IFERROR(__xludf.dummyfunction("""COMPUTED_VALUE"""),257.22)</f>
        <v>257.22</v>
      </c>
      <c r="F747" s="2" t="n">
        <f aca="false">IFERROR(__xludf.dummyfunction("""COMPUTED_VALUE"""),106737369)</f>
        <v>106737369</v>
      </c>
    </row>
    <row r="748" customFormat="false" ht="15.75" hidden="false" customHeight="false" outlineLevel="0" collapsed="false">
      <c r="A748" s="3" t="n">
        <f aca="false">IFERROR(__xludf.dummyfunction("""COMPUTED_VALUE"""),45280.6666666667)</f>
        <v>45280.6666666667</v>
      </c>
      <c r="B748" s="2" t="n">
        <f aca="false">IFERROR(__xludf.dummyfunction("""COMPUTED_VALUE"""),256.41)</f>
        <v>256.41</v>
      </c>
      <c r="C748" s="2" t="n">
        <f aca="false">IFERROR(__xludf.dummyfunction("""COMPUTED_VALUE"""),259.84)</f>
        <v>259.84</v>
      </c>
      <c r="D748" s="2" t="n">
        <f aca="false">IFERROR(__xludf.dummyfunction("""COMPUTED_VALUE"""),247)</f>
        <v>247</v>
      </c>
      <c r="E748" s="2" t="n">
        <f aca="false">IFERROR(__xludf.dummyfunction("""COMPUTED_VALUE"""),247.14)</f>
        <v>247.14</v>
      </c>
      <c r="F748" s="2" t="n">
        <f aca="false">IFERROR(__xludf.dummyfunction("""COMPUTED_VALUE"""),125096987)</f>
        <v>125096987</v>
      </c>
    </row>
    <row r="749" customFormat="false" ht="15.75" hidden="false" customHeight="false" outlineLevel="0" collapsed="false">
      <c r="A749" s="3" t="n">
        <f aca="false">IFERROR(__xludf.dummyfunction("""COMPUTED_VALUE"""),45281.6666666667)</f>
        <v>45281.6666666667</v>
      </c>
      <c r="B749" s="2" t="n">
        <f aca="false">IFERROR(__xludf.dummyfunction("""COMPUTED_VALUE"""),251.9)</f>
        <v>251.9</v>
      </c>
      <c r="C749" s="2" t="n">
        <f aca="false">IFERROR(__xludf.dummyfunction("""COMPUTED_VALUE"""),254.8)</f>
        <v>254.8</v>
      </c>
      <c r="D749" s="2" t="n">
        <f aca="false">IFERROR(__xludf.dummyfunction("""COMPUTED_VALUE"""),248.55)</f>
        <v>248.55</v>
      </c>
      <c r="E749" s="2" t="n">
        <f aca="false">IFERROR(__xludf.dummyfunction("""COMPUTED_VALUE"""),254.5)</f>
        <v>254.5</v>
      </c>
      <c r="F749" s="2" t="n">
        <f aca="false">IFERROR(__xludf.dummyfunction("""COMPUTED_VALUE"""),109594227)</f>
        <v>109594227</v>
      </c>
    </row>
    <row r="750" customFormat="false" ht="15.75" hidden="false" customHeight="false" outlineLevel="0" collapsed="false">
      <c r="A750" s="3" t="n">
        <f aca="false">IFERROR(__xludf.dummyfunction("""COMPUTED_VALUE"""),45282.6666666667)</f>
        <v>45282.6666666667</v>
      </c>
      <c r="B750" s="2" t="n">
        <f aca="false">IFERROR(__xludf.dummyfunction("""COMPUTED_VALUE"""),256.76)</f>
        <v>256.76</v>
      </c>
      <c r="C750" s="2" t="n">
        <f aca="false">IFERROR(__xludf.dummyfunction("""COMPUTED_VALUE"""),258.22)</f>
        <v>258.22</v>
      </c>
      <c r="D750" s="2" t="n">
        <f aca="false">IFERROR(__xludf.dummyfunction("""COMPUTED_VALUE"""),251.37)</f>
        <v>251.37</v>
      </c>
      <c r="E750" s="2" t="n">
        <f aca="false">IFERROR(__xludf.dummyfunction("""COMPUTED_VALUE"""),252.54)</f>
        <v>252.54</v>
      </c>
      <c r="F750" s="2" t="n">
        <f aca="false">IFERROR(__xludf.dummyfunction("""COMPUTED_VALUE"""),93370094)</f>
        <v>93370094</v>
      </c>
    </row>
    <row r="751" customFormat="false" ht="15.75" hidden="false" customHeight="false" outlineLevel="0" collapsed="false">
      <c r="A751" s="3" t="n">
        <f aca="false">IFERROR(__xludf.dummyfunction("""COMPUTED_VALUE"""),45286.6666666667)</f>
        <v>45286.6666666667</v>
      </c>
      <c r="B751" s="2" t="n">
        <f aca="false">IFERROR(__xludf.dummyfunction("""COMPUTED_VALUE"""),254.49)</f>
        <v>254.49</v>
      </c>
      <c r="C751" s="2" t="n">
        <f aca="false">IFERROR(__xludf.dummyfunction("""COMPUTED_VALUE"""),257.97)</f>
        <v>257.97</v>
      </c>
      <c r="D751" s="2" t="n">
        <f aca="false">IFERROR(__xludf.dummyfunction("""COMPUTED_VALUE"""),252.91)</f>
        <v>252.91</v>
      </c>
      <c r="E751" s="2" t="n">
        <f aca="false">IFERROR(__xludf.dummyfunction("""COMPUTED_VALUE"""),256.61)</f>
        <v>256.61</v>
      </c>
      <c r="F751" s="2" t="n">
        <f aca="false">IFERROR(__xludf.dummyfunction("""COMPUTED_VALUE"""),86892382)</f>
        <v>86892382</v>
      </c>
    </row>
    <row r="752" customFormat="false" ht="15.75" hidden="false" customHeight="false" outlineLevel="0" collapsed="false">
      <c r="A752" s="3" t="n">
        <f aca="false">IFERROR(__xludf.dummyfunction("""COMPUTED_VALUE"""),45287.6666666667)</f>
        <v>45287.6666666667</v>
      </c>
      <c r="B752" s="2" t="n">
        <f aca="false">IFERROR(__xludf.dummyfunction("""COMPUTED_VALUE"""),258.35)</f>
        <v>258.35</v>
      </c>
      <c r="C752" s="2" t="n">
        <f aca="false">IFERROR(__xludf.dummyfunction("""COMPUTED_VALUE"""),263.34)</f>
        <v>263.34</v>
      </c>
      <c r="D752" s="2" t="n">
        <f aca="false">IFERROR(__xludf.dummyfunction("""COMPUTED_VALUE"""),257.52)</f>
        <v>257.52</v>
      </c>
      <c r="E752" s="2" t="n">
        <f aca="false">IFERROR(__xludf.dummyfunction("""COMPUTED_VALUE"""),261.44)</f>
        <v>261.44</v>
      </c>
      <c r="F752" s="2" t="n">
        <f aca="false">IFERROR(__xludf.dummyfunction("""COMPUTED_VALUE"""),106494359)</f>
        <v>106494359</v>
      </c>
    </row>
    <row r="753" customFormat="false" ht="15.75" hidden="false" customHeight="false" outlineLevel="0" collapsed="false">
      <c r="A753" s="3" t="n">
        <f aca="false">IFERROR(__xludf.dummyfunction("""COMPUTED_VALUE"""),45288.6666666667)</f>
        <v>45288.6666666667</v>
      </c>
      <c r="B753" s="2" t="n">
        <f aca="false">IFERROR(__xludf.dummyfunction("""COMPUTED_VALUE"""),263.66)</f>
        <v>263.66</v>
      </c>
      <c r="C753" s="2" t="n">
        <f aca="false">IFERROR(__xludf.dummyfunction("""COMPUTED_VALUE"""),265.13)</f>
        <v>265.13</v>
      </c>
      <c r="D753" s="2" t="n">
        <f aca="false">IFERROR(__xludf.dummyfunction("""COMPUTED_VALUE"""),252.71)</f>
        <v>252.71</v>
      </c>
      <c r="E753" s="2" t="n">
        <f aca="false">IFERROR(__xludf.dummyfunction("""COMPUTED_VALUE"""),253.18)</f>
        <v>253.18</v>
      </c>
      <c r="F753" s="2" t="n">
        <f aca="false">IFERROR(__xludf.dummyfunction("""COMPUTED_VALUE"""),113619943)</f>
        <v>113619943</v>
      </c>
    </row>
    <row r="754" customFormat="false" ht="15.75" hidden="false" customHeight="false" outlineLevel="0" collapsed="false">
      <c r="A754" s="3" t="n">
        <f aca="false">IFERROR(__xludf.dummyfunction("""COMPUTED_VALUE"""),45289.6666666667)</f>
        <v>45289.6666666667</v>
      </c>
      <c r="B754" s="2" t="n">
        <f aca="false">IFERROR(__xludf.dummyfunction("""COMPUTED_VALUE"""),255.1)</f>
        <v>255.1</v>
      </c>
      <c r="C754" s="2" t="n">
        <f aca="false">IFERROR(__xludf.dummyfunction("""COMPUTED_VALUE"""),255.19)</f>
        <v>255.19</v>
      </c>
      <c r="D754" s="2" t="n">
        <f aca="false">IFERROR(__xludf.dummyfunction("""COMPUTED_VALUE"""),247.43)</f>
        <v>247.43</v>
      </c>
      <c r="E754" s="2" t="n">
        <f aca="false">IFERROR(__xludf.dummyfunction("""COMPUTED_VALUE"""),248.48)</f>
        <v>248.48</v>
      </c>
      <c r="F754" s="2" t="n">
        <f aca="false">IFERROR(__xludf.dummyfunction("""COMPUTED_VALUE"""),100891578)</f>
        <v>100891578</v>
      </c>
    </row>
    <row r="755" customFormat="false" ht="15.75" hidden="false" customHeight="false" outlineLevel="0" collapsed="false">
      <c r="A755" s="3" t="n">
        <f aca="false">IFERROR(__xludf.dummyfunction("""COMPUTED_VALUE"""),45293.6666666667)</f>
        <v>45293.6666666667</v>
      </c>
      <c r="B755" s="2" t="n">
        <f aca="false">IFERROR(__xludf.dummyfunction("""COMPUTED_VALUE"""),250.08)</f>
        <v>250.08</v>
      </c>
      <c r="C755" s="2" t="n">
        <f aca="false">IFERROR(__xludf.dummyfunction("""COMPUTED_VALUE"""),251.25)</f>
        <v>251.25</v>
      </c>
      <c r="D755" s="2" t="n">
        <f aca="false">IFERROR(__xludf.dummyfunction("""COMPUTED_VALUE"""),244.41)</f>
        <v>244.41</v>
      </c>
      <c r="E755" s="2" t="n">
        <f aca="false">IFERROR(__xludf.dummyfunction("""COMPUTED_VALUE"""),248.42)</f>
        <v>248.42</v>
      </c>
      <c r="F755" s="2" t="n">
        <f aca="false">IFERROR(__xludf.dummyfunction("""COMPUTED_VALUE"""),104654163)</f>
        <v>104654163</v>
      </c>
    </row>
    <row r="756" customFormat="false" ht="15.75" hidden="false" customHeight="false" outlineLevel="0" collapsed="false">
      <c r="A756" s="3" t="n">
        <f aca="false">IFERROR(__xludf.dummyfunction("""COMPUTED_VALUE"""),45294.6666666667)</f>
        <v>45294.6666666667</v>
      </c>
      <c r="B756" s="2" t="n">
        <f aca="false">IFERROR(__xludf.dummyfunction("""COMPUTED_VALUE"""),244.98)</f>
        <v>244.98</v>
      </c>
      <c r="C756" s="2" t="n">
        <f aca="false">IFERROR(__xludf.dummyfunction("""COMPUTED_VALUE"""),245.68)</f>
        <v>245.68</v>
      </c>
      <c r="D756" s="2" t="n">
        <f aca="false">IFERROR(__xludf.dummyfunction("""COMPUTED_VALUE"""),236.32)</f>
        <v>236.32</v>
      </c>
      <c r="E756" s="2" t="n">
        <f aca="false">IFERROR(__xludf.dummyfunction("""COMPUTED_VALUE"""),238.45)</f>
        <v>238.45</v>
      </c>
      <c r="F756" s="2" t="n">
        <f aca="false">IFERROR(__xludf.dummyfunction("""COMPUTED_VALUE"""),121082599)</f>
        <v>121082599</v>
      </c>
    </row>
    <row r="757" customFormat="false" ht="15.75" hidden="false" customHeight="false" outlineLevel="0" collapsed="false">
      <c r="A757" s="3" t="n">
        <f aca="false">IFERROR(__xludf.dummyfunction("""COMPUTED_VALUE"""),45295.6666666667)</f>
        <v>45295.6666666667</v>
      </c>
      <c r="B757" s="2" t="n">
        <f aca="false">IFERROR(__xludf.dummyfunction("""COMPUTED_VALUE"""),239.25)</f>
        <v>239.25</v>
      </c>
      <c r="C757" s="2" t="n">
        <f aca="false">IFERROR(__xludf.dummyfunction("""COMPUTED_VALUE"""),242.7)</f>
        <v>242.7</v>
      </c>
      <c r="D757" s="2" t="n">
        <f aca="false">IFERROR(__xludf.dummyfunction("""COMPUTED_VALUE"""),237.73)</f>
        <v>237.73</v>
      </c>
      <c r="E757" s="2" t="n">
        <f aca="false">IFERROR(__xludf.dummyfunction("""COMPUTED_VALUE"""),237.93)</f>
        <v>237.93</v>
      </c>
      <c r="F757" s="2" t="n">
        <f aca="false">IFERROR(__xludf.dummyfunction("""COMPUTED_VALUE"""),102629283)</f>
        <v>102629283</v>
      </c>
    </row>
    <row r="758" customFormat="false" ht="15.75" hidden="false" customHeight="false" outlineLevel="0" collapsed="false">
      <c r="A758" s="3" t="n">
        <f aca="false">IFERROR(__xludf.dummyfunction("""COMPUTED_VALUE"""),45296.6666666667)</f>
        <v>45296.6666666667</v>
      </c>
      <c r="B758" s="2" t="n">
        <f aca="false">IFERROR(__xludf.dummyfunction("""COMPUTED_VALUE"""),236.86)</f>
        <v>236.86</v>
      </c>
      <c r="C758" s="2" t="n">
        <f aca="false">IFERROR(__xludf.dummyfunction("""COMPUTED_VALUE"""),240.12)</f>
        <v>240.12</v>
      </c>
      <c r="D758" s="2" t="n">
        <f aca="false">IFERROR(__xludf.dummyfunction("""COMPUTED_VALUE"""),234.9)</f>
        <v>234.9</v>
      </c>
      <c r="E758" s="2" t="n">
        <f aca="false">IFERROR(__xludf.dummyfunction("""COMPUTED_VALUE"""),237.49)</f>
        <v>237.49</v>
      </c>
      <c r="F758" s="2" t="n">
        <f aca="false">IFERROR(__xludf.dummyfunction("""COMPUTED_VALUE"""),92488939)</f>
        <v>92488939</v>
      </c>
    </row>
    <row r="759" customFormat="false" ht="15.75" hidden="false" customHeight="false" outlineLevel="0" collapsed="false">
      <c r="A759" s="3" t="n">
        <f aca="false">IFERROR(__xludf.dummyfunction("""COMPUTED_VALUE"""),45299.6666666667)</f>
        <v>45299.6666666667</v>
      </c>
      <c r="B759" s="2" t="n">
        <f aca="false">IFERROR(__xludf.dummyfunction("""COMPUTED_VALUE"""),236.14)</f>
        <v>236.14</v>
      </c>
      <c r="C759" s="2" t="n">
        <f aca="false">IFERROR(__xludf.dummyfunction("""COMPUTED_VALUE"""),241.25)</f>
        <v>241.25</v>
      </c>
      <c r="D759" s="2" t="n">
        <f aca="false">IFERROR(__xludf.dummyfunction("""COMPUTED_VALUE"""),235.3)</f>
        <v>235.3</v>
      </c>
      <c r="E759" s="2" t="n">
        <f aca="false">IFERROR(__xludf.dummyfunction("""COMPUTED_VALUE"""),240.45)</f>
        <v>240.45</v>
      </c>
      <c r="F759" s="2" t="n">
        <f aca="false">IFERROR(__xludf.dummyfunction("""COMPUTED_VALUE"""),85166580)</f>
        <v>85166580</v>
      </c>
    </row>
    <row r="760" customFormat="false" ht="15.75" hidden="false" customHeight="false" outlineLevel="0" collapsed="false">
      <c r="A760" s="3" t="n">
        <f aca="false">IFERROR(__xludf.dummyfunction("""COMPUTED_VALUE"""),45300.6666666667)</f>
        <v>45300.6666666667</v>
      </c>
      <c r="B760" s="2" t="n">
        <f aca="false">IFERROR(__xludf.dummyfunction("""COMPUTED_VALUE"""),238.11)</f>
        <v>238.11</v>
      </c>
      <c r="C760" s="2" t="n">
        <f aca="false">IFERROR(__xludf.dummyfunction("""COMPUTED_VALUE"""),238.96)</f>
        <v>238.96</v>
      </c>
      <c r="D760" s="2" t="n">
        <f aca="false">IFERROR(__xludf.dummyfunction("""COMPUTED_VALUE"""),232.04)</f>
        <v>232.04</v>
      </c>
      <c r="E760" s="2" t="n">
        <f aca="false">IFERROR(__xludf.dummyfunction("""COMPUTED_VALUE"""),234.96)</f>
        <v>234.96</v>
      </c>
      <c r="F760" s="2" t="n">
        <f aca="false">IFERROR(__xludf.dummyfunction("""COMPUTED_VALUE"""),96705664)</f>
        <v>96705664</v>
      </c>
    </row>
    <row r="761" customFormat="false" ht="15.75" hidden="false" customHeight="false" outlineLevel="0" collapsed="false">
      <c r="A761" s="3" t="n">
        <f aca="false">IFERROR(__xludf.dummyfunction("""COMPUTED_VALUE"""),45301.6666666667)</f>
        <v>45301.6666666667</v>
      </c>
      <c r="B761" s="2" t="n">
        <f aca="false">IFERROR(__xludf.dummyfunction("""COMPUTED_VALUE"""),235.1)</f>
        <v>235.1</v>
      </c>
      <c r="C761" s="2" t="n">
        <f aca="false">IFERROR(__xludf.dummyfunction("""COMPUTED_VALUE"""),235.5)</f>
        <v>235.5</v>
      </c>
      <c r="D761" s="2" t="n">
        <f aca="false">IFERROR(__xludf.dummyfunction("""COMPUTED_VALUE"""),231.29)</f>
        <v>231.29</v>
      </c>
      <c r="E761" s="2" t="n">
        <f aca="false">IFERROR(__xludf.dummyfunction("""COMPUTED_VALUE"""),233.94)</f>
        <v>233.94</v>
      </c>
      <c r="F761" s="2" t="n">
        <f aca="false">IFERROR(__xludf.dummyfunction("""COMPUTED_VALUE"""),91628502)</f>
        <v>91628502</v>
      </c>
    </row>
    <row r="762" customFormat="false" ht="15.75" hidden="false" customHeight="false" outlineLevel="0" collapsed="false">
      <c r="A762" s="3" t="n">
        <f aca="false">IFERROR(__xludf.dummyfunction("""COMPUTED_VALUE"""),45302.6666666667)</f>
        <v>45302.6666666667</v>
      </c>
      <c r="B762" s="2" t="n">
        <f aca="false">IFERROR(__xludf.dummyfunction("""COMPUTED_VALUE"""),230.57)</f>
        <v>230.57</v>
      </c>
      <c r="C762" s="2" t="n">
        <f aca="false">IFERROR(__xludf.dummyfunction("""COMPUTED_VALUE"""),230.93)</f>
        <v>230.93</v>
      </c>
      <c r="D762" s="2" t="n">
        <f aca="false">IFERROR(__xludf.dummyfunction("""COMPUTED_VALUE"""),225.37)</f>
        <v>225.37</v>
      </c>
      <c r="E762" s="2" t="n">
        <f aca="false">IFERROR(__xludf.dummyfunction("""COMPUTED_VALUE"""),227.22)</f>
        <v>227.22</v>
      </c>
      <c r="F762" s="2" t="n">
        <f aca="false">IFERROR(__xludf.dummyfunction("""COMPUTED_VALUE"""),105873612)</f>
        <v>105873612</v>
      </c>
    </row>
    <row r="763" customFormat="false" ht="15.75" hidden="false" customHeight="false" outlineLevel="0" collapsed="false">
      <c r="A763" s="3" t="n">
        <f aca="false">IFERROR(__xludf.dummyfunction("""COMPUTED_VALUE"""),45303.6666666667)</f>
        <v>45303.6666666667</v>
      </c>
      <c r="B763" s="2" t="n">
        <f aca="false">IFERROR(__xludf.dummyfunction("""COMPUTED_VALUE"""),220.08)</f>
        <v>220.08</v>
      </c>
      <c r="C763" s="2" t="n">
        <f aca="false">IFERROR(__xludf.dummyfunction("""COMPUTED_VALUE"""),225.34)</f>
        <v>225.34</v>
      </c>
      <c r="D763" s="2" t="n">
        <f aca="false">IFERROR(__xludf.dummyfunction("""COMPUTED_VALUE"""),217.15)</f>
        <v>217.15</v>
      </c>
      <c r="E763" s="2" t="n">
        <f aca="false">IFERROR(__xludf.dummyfunction("""COMPUTED_VALUE"""),218.89)</f>
        <v>218.89</v>
      </c>
      <c r="F763" s="2" t="n">
        <f aca="false">IFERROR(__xludf.dummyfunction("""COMPUTED_VALUE"""),123043812)</f>
        <v>123043812</v>
      </c>
    </row>
    <row r="764" customFormat="false" ht="15.75" hidden="false" customHeight="false" outlineLevel="0" collapsed="false">
      <c r="A764" s="3" t="n">
        <f aca="false">IFERROR(__xludf.dummyfunction("""COMPUTED_VALUE"""),45307.6666666667)</f>
        <v>45307.6666666667</v>
      </c>
      <c r="B764" s="2" t="n">
        <f aca="false">IFERROR(__xludf.dummyfunction("""COMPUTED_VALUE"""),215.1)</f>
        <v>215.1</v>
      </c>
      <c r="C764" s="2" t="n">
        <f aca="false">IFERROR(__xludf.dummyfunction("""COMPUTED_VALUE"""),223.49)</f>
        <v>223.49</v>
      </c>
      <c r="D764" s="2" t="n">
        <f aca="false">IFERROR(__xludf.dummyfunction("""COMPUTED_VALUE"""),212.18)</f>
        <v>212.18</v>
      </c>
      <c r="E764" s="2" t="n">
        <f aca="false">IFERROR(__xludf.dummyfunction("""COMPUTED_VALUE"""),219.91)</f>
        <v>219.91</v>
      </c>
      <c r="F764" s="2" t="n">
        <f aca="false">IFERROR(__xludf.dummyfunction("""COMPUTED_VALUE"""),115355046)</f>
        <v>115355046</v>
      </c>
    </row>
    <row r="765" customFormat="false" ht="15.75" hidden="false" customHeight="false" outlineLevel="0" collapsed="false">
      <c r="A765" s="3" t="n">
        <f aca="false">IFERROR(__xludf.dummyfunction("""COMPUTED_VALUE"""),45308.6666666667)</f>
        <v>45308.6666666667</v>
      </c>
      <c r="B765" s="2" t="n">
        <f aca="false">IFERROR(__xludf.dummyfunction("""COMPUTED_VALUE"""),214.86)</f>
        <v>214.86</v>
      </c>
      <c r="C765" s="2" t="n">
        <f aca="false">IFERROR(__xludf.dummyfunction("""COMPUTED_VALUE"""),215.67)</f>
        <v>215.67</v>
      </c>
      <c r="D765" s="2" t="n">
        <f aca="false">IFERROR(__xludf.dummyfunction("""COMPUTED_VALUE"""),212.01)</f>
        <v>212.01</v>
      </c>
      <c r="E765" s="2" t="n">
        <f aca="false">IFERROR(__xludf.dummyfunction("""COMPUTED_VALUE"""),215.55)</f>
        <v>215.55</v>
      </c>
      <c r="F765" s="2" t="n">
        <f aca="false">IFERROR(__xludf.dummyfunction("""COMPUTED_VALUE"""),103164400)</f>
        <v>103164400</v>
      </c>
    </row>
    <row r="766" customFormat="false" ht="15.75" hidden="false" customHeight="false" outlineLevel="0" collapsed="false">
      <c r="A766" s="3" t="n">
        <f aca="false">IFERROR(__xludf.dummyfunction("""COMPUTED_VALUE"""),45309.6666666667)</f>
        <v>45309.6666666667</v>
      </c>
      <c r="B766" s="2" t="n">
        <f aca="false">IFERROR(__xludf.dummyfunction("""COMPUTED_VALUE"""),216.88)</f>
        <v>216.88</v>
      </c>
      <c r="C766" s="2" t="n">
        <f aca="false">IFERROR(__xludf.dummyfunction("""COMPUTED_VALUE"""),217.45)</f>
        <v>217.45</v>
      </c>
      <c r="D766" s="2" t="n">
        <f aca="false">IFERROR(__xludf.dummyfunction("""COMPUTED_VALUE"""),208.74)</f>
        <v>208.74</v>
      </c>
      <c r="E766" s="2" t="n">
        <f aca="false">IFERROR(__xludf.dummyfunction("""COMPUTED_VALUE"""),211.88)</f>
        <v>211.88</v>
      </c>
      <c r="F766" s="2" t="n">
        <f aca="false">IFERROR(__xludf.dummyfunction("""COMPUTED_VALUE"""),108595431)</f>
        <v>108595431</v>
      </c>
    </row>
    <row r="767" customFormat="false" ht="15.75" hidden="false" customHeight="false" outlineLevel="0" collapsed="false">
      <c r="A767" s="3" t="n">
        <f aca="false">IFERROR(__xludf.dummyfunction("""COMPUTED_VALUE"""),45310.6666666667)</f>
        <v>45310.6666666667</v>
      </c>
      <c r="B767" s="2" t="n">
        <f aca="false">IFERROR(__xludf.dummyfunction("""COMPUTED_VALUE"""),209.99)</f>
        <v>209.99</v>
      </c>
      <c r="C767" s="2" t="n">
        <f aca="false">IFERROR(__xludf.dummyfunction("""COMPUTED_VALUE"""),213.19)</f>
        <v>213.19</v>
      </c>
      <c r="D767" s="2" t="n">
        <f aca="false">IFERROR(__xludf.dummyfunction("""COMPUTED_VALUE"""),207.56)</f>
        <v>207.56</v>
      </c>
      <c r="E767" s="2" t="n">
        <f aca="false">IFERROR(__xludf.dummyfunction("""COMPUTED_VALUE"""),212.19)</f>
        <v>212.19</v>
      </c>
      <c r="F767" s="2" t="n">
        <f aca="false">IFERROR(__xludf.dummyfunction("""COMPUTED_VALUE"""),102260343)</f>
        <v>102260343</v>
      </c>
    </row>
    <row r="768" customFormat="false" ht="15.75" hidden="false" customHeight="false" outlineLevel="0" collapsed="false">
      <c r="A768" s="3" t="n">
        <f aca="false">IFERROR(__xludf.dummyfunction("""COMPUTED_VALUE"""),45313.6666666667)</f>
        <v>45313.6666666667</v>
      </c>
      <c r="B768" s="2" t="n">
        <f aca="false">IFERROR(__xludf.dummyfunction("""COMPUTED_VALUE"""),212.26)</f>
        <v>212.26</v>
      </c>
      <c r="C768" s="2" t="n">
        <f aca="false">IFERROR(__xludf.dummyfunction("""COMPUTED_VALUE"""),217.8)</f>
        <v>217.8</v>
      </c>
      <c r="D768" s="2" t="n">
        <f aca="false">IFERROR(__xludf.dummyfunction("""COMPUTED_VALUE"""),206.27)</f>
        <v>206.27</v>
      </c>
      <c r="E768" s="2" t="n">
        <f aca="false">IFERROR(__xludf.dummyfunction("""COMPUTED_VALUE"""),208.8)</f>
        <v>208.8</v>
      </c>
      <c r="F768" s="2" t="n">
        <f aca="false">IFERROR(__xludf.dummyfunction("""COMPUTED_VALUE"""),117952527)</f>
        <v>117952527</v>
      </c>
    </row>
    <row r="769" customFormat="false" ht="15.75" hidden="false" customHeight="false" outlineLevel="0" collapsed="false">
      <c r="A769" s="3" t="n">
        <f aca="false">IFERROR(__xludf.dummyfunction("""COMPUTED_VALUE"""),45314.6666666667)</f>
        <v>45314.6666666667</v>
      </c>
      <c r="B769" s="2" t="n">
        <f aca="false">IFERROR(__xludf.dummyfunction("""COMPUTED_VALUE"""),211.3)</f>
        <v>211.3</v>
      </c>
      <c r="C769" s="2" t="n">
        <f aca="false">IFERROR(__xludf.dummyfunction("""COMPUTED_VALUE"""),215.65)</f>
        <v>215.65</v>
      </c>
      <c r="D769" s="2" t="n">
        <f aca="false">IFERROR(__xludf.dummyfunction("""COMPUTED_VALUE"""),207.75)</f>
        <v>207.75</v>
      </c>
      <c r="E769" s="2" t="n">
        <f aca="false">IFERROR(__xludf.dummyfunction("""COMPUTED_VALUE"""),209.14)</f>
        <v>209.14</v>
      </c>
      <c r="F769" s="2" t="n">
        <f aca="false">IFERROR(__xludf.dummyfunction("""COMPUTED_VALUE"""),106605946)</f>
        <v>106605946</v>
      </c>
    </row>
    <row r="770" customFormat="false" ht="15.75" hidden="false" customHeight="false" outlineLevel="0" collapsed="false">
      <c r="A770" s="3" t="n">
        <f aca="false">IFERROR(__xludf.dummyfunction("""COMPUTED_VALUE"""),45315.6666666667)</f>
        <v>45315.6666666667</v>
      </c>
      <c r="B770" s="2" t="n">
        <f aca="false">IFERROR(__xludf.dummyfunction("""COMPUTED_VALUE"""),211.88)</f>
        <v>211.88</v>
      </c>
      <c r="C770" s="2" t="n">
        <f aca="false">IFERROR(__xludf.dummyfunction("""COMPUTED_VALUE"""),212.73)</f>
        <v>212.73</v>
      </c>
      <c r="D770" s="2" t="n">
        <f aca="false">IFERROR(__xludf.dummyfunction("""COMPUTED_VALUE"""),206.77)</f>
        <v>206.77</v>
      </c>
      <c r="E770" s="2" t="n">
        <f aca="false">IFERROR(__xludf.dummyfunction("""COMPUTED_VALUE"""),207.83)</f>
        <v>207.83</v>
      </c>
      <c r="F770" s="2" t="n">
        <f aca="false">IFERROR(__xludf.dummyfunction("""COMPUTED_VALUE"""),123369932)</f>
        <v>123369932</v>
      </c>
    </row>
    <row r="771" customFormat="false" ht="15.75" hidden="false" customHeight="false" outlineLevel="0" collapsed="false">
      <c r="A771" s="3" t="n">
        <f aca="false">IFERROR(__xludf.dummyfunction("""COMPUTED_VALUE"""),45316.6666666667)</f>
        <v>45316.6666666667</v>
      </c>
      <c r="B771" s="2" t="n">
        <f aca="false">IFERROR(__xludf.dummyfunction("""COMPUTED_VALUE"""),189.7)</f>
        <v>189.7</v>
      </c>
      <c r="C771" s="2" t="n">
        <f aca="false">IFERROR(__xludf.dummyfunction("""COMPUTED_VALUE"""),193)</f>
        <v>193</v>
      </c>
      <c r="D771" s="2" t="n">
        <f aca="false">IFERROR(__xludf.dummyfunction("""COMPUTED_VALUE"""),180.06)</f>
        <v>180.06</v>
      </c>
      <c r="E771" s="2" t="n">
        <f aca="false">IFERROR(__xludf.dummyfunction("""COMPUTED_VALUE"""),182.63)</f>
        <v>182.63</v>
      </c>
      <c r="F771" s="2" t="n">
        <f aca="false">IFERROR(__xludf.dummyfunction("""COMPUTED_VALUE"""),198076787)</f>
        <v>198076787</v>
      </c>
    </row>
    <row r="772" customFormat="false" ht="15.75" hidden="false" customHeight="false" outlineLevel="0" collapsed="false">
      <c r="A772" s="3" t="n">
        <f aca="false">IFERROR(__xludf.dummyfunction("""COMPUTED_VALUE"""),45317.6666666667)</f>
        <v>45317.6666666667</v>
      </c>
      <c r="B772" s="2" t="n">
        <f aca="false">IFERROR(__xludf.dummyfunction("""COMPUTED_VALUE"""),185.5)</f>
        <v>185.5</v>
      </c>
      <c r="C772" s="2" t="n">
        <f aca="false">IFERROR(__xludf.dummyfunction("""COMPUTED_VALUE"""),186.78)</f>
        <v>186.78</v>
      </c>
      <c r="D772" s="2" t="n">
        <f aca="false">IFERROR(__xludf.dummyfunction("""COMPUTED_VALUE"""),182.1)</f>
        <v>182.1</v>
      </c>
      <c r="E772" s="2" t="n">
        <f aca="false">IFERROR(__xludf.dummyfunction("""COMPUTED_VALUE"""),183.25)</f>
        <v>183.25</v>
      </c>
      <c r="F772" s="2" t="n">
        <f aca="false">IFERROR(__xludf.dummyfunction("""COMPUTED_VALUE"""),107343231)</f>
        <v>107343231</v>
      </c>
    </row>
    <row r="773" customFormat="false" ht="15.75" hidden="false" customHeight="false" outlineLevel="0" collapsed="false">
      <c r="A773" s="3" t="n">
        <f aca="false">IFERROR(__xludf.dummyfunction("""COMPUTED_VALUE"""),45320.6666666667)</f>
        <v>45320.6666666667</v>
      </c>
      <c r="B773" s="2" t="n">
        <f aca="false">IFERROR(__xludf.dummyfunction("""COMPUTED_VALUE"""),185.63)</f>
        <v>185.63</v>
      </c>
      <c r="C773" s="2" t="n">
        <f aca="false">IFERROR(__xludf.dummyfunction("""COMPUTED_VALUE"""),191.48)</f>
        <v>191.48</v>
      </c>
      <c r="D773" s="2" t="n">
        <f aca="false">IFERROR(__xludf.dummyfunction("""COMPUTED_VALUE"""),183.67)</f>
        <v>183.67</v>
      </c>
      <c r="E773" s="2" t="n">
        <f aca="false">IFERROR(__xludf.dummyfunction("""COMPUTED_VALUE"""),190.93)</f>
        <v>190.93</v>
      </c>
      <c r="F773" s="2" t="n">
        <f aca="false">IFERROR(__xludf.dummyfunction("""COMPUTED_VALUE"""),125013148)</f>
        <v>125013148</v>
      </c>
    </row>
    <row r="774" customFormat="false" ht="15.75" hidden="false" customHeight="false" outlineLevel="0" collapsed="false">
      <c r="A774" s="3" t="n">
        <f aca="false">IFERROR(__xludf.dummyfunction("""COMPUTED_VALUE"""),45321.6666666667)</f>
        <v>45321.6666666667</v>
      </c>
      <c r="B774" s="2" t="n">
        <f aca="false">IFERROR(__xludf.dummyfunction("""COMPUTED_VALUE"""),195.33)</f>
        <v>195.33</v>
      </c>
      <c r="C774" s="2" t="n">
        <f aca="false">IFERROR(__xludf.dummyfunction("""COMPUTED_VALUE"""),196.36)</f>
        <v>196.36</v>
      </c>
      <c r="D774" s="2" t="n">
        <f aca="false">IFERROR(__xludf.dummyfunction("""COMPUTED_VALUE"""),190.61)</f>
        <v>190.61</v>
      </c>
      <c r="E774" s="2" t="n">
        <f aca="false">IFERROR(__xludf.dummyfunction("""COMPUTED_VALUE"""),191.59)</f>
        <v>191.59</v>
      </c>
      <c r="F774" s="2" t="n">
        <f aca="false">IFERROR(__xludf.dummyfunction("""COMPUTED_VALUE"""),109982327)</f>
        <v>109982327</v>
      </c>
    </row>
    <row r="775" customFormat="false" ht="15.75" hidden="false" customHeight="false" outlineLevel="0" collapsed="false">
      <c r="A775" s="3" t="n">
        <f aca="false">IFERROR(__xludf.dummyfunction("""COMPUTED_VALUE"""),45322.6666666667)</f>
        <v>45322.6666666667</v>
      </c>
      <c r="B775" s="2" t="n">
        <f aca="false">IFERROR(__xludf.dummyfunction("""COMPUTED_VALUE"""),187)</f>
        <v>187</v>
      </c>
      <c r="C775" s="2" t="n">
        <f aca="false">IFERROR(__xludf.dummyfunction("""COMPUTED_VALUE"""),193.97)</f>
        <v>193.97</v>
      </c>
      <c r="D775" s="2" t="n">
        <f aca="false">IFERROR(__xludf.dummyfunction("""COMPUTED_VALUE"""),185.85)</f>
        <v>185.85</v>
      </c>
      <c r="E775" s="2" t="n">
        <f aca="false">IFERROR(__xludf.dummyfunction("""COMPUTED_VALUE"""),187.29)</f>
        <v>187.29</v>
      </c>
      <c r="F775" s="2" t="n">
        <f aca="false">IFERROR(__xludf.dummyfunction("""COMPUTED_VALUE"""),103221430)</f>
        <v>103221430</v>
      </c>
    </row>
    <row r="776" customFormat="false" ht="15.75" hidden="false" customHeight="false" outlineLevel="0" collapsed="false">
      <c r="A776" s="3" t="n">
        <f aca="false">IFERROR(__xludf.dummyfunction("""COMPUTED_VALUE"""),45323.6666666667)</f>
        <v>45323.6666666667</v>
      </c>
      <c r="B776" s="2" t="n">
        <f aca="false">IFERROR(__xludf.dummyfunction("""COMPUTED_VALUE"""),188.5)</f>
        <v>188.5</v>
      </c>
      <c r="C776" s="2" t="n">
        <f aca="false">IFERROR(__xludf.dummyfunction("""COMPUTED_VALUE"""),189.88)</f>
        <v>189.88</v>
      </c>
      <c r="D776" s="2" t="n">
        <f aca="false">IFERROR(__xludf.dummyfunction("""COMPUTED_VALUE"""),184.28)</f>
        <v>184.28</v>
      </c>
      <c r="E776" s="2" t="n">
        <f aca="false">IFERROR(__xludf.dummyfunction("""COMPUTED_VALUE"""),188.86)</f>
        <v>188.86</v>
      </c>
      <c r="F776" s="2" t="n">
        <f aca="false">IFERROR(__xludf.dummyfunction("""COMPUTED_VALUE"""),91843275)</f>
        <v>91843275</v>
      </c>
    </row>
    <row r="777" customFormat="false" ht="15.75" hidden="false" customHeight="false" outlineLevel="0" collapsed="false">
      <c r="A777" s="3" t="n">
        <f aca="false">IFERROR(__xludf.dummyfunction("""COMPUTED_VALUE"""),45324.6666666667)</f>
        <v>45324.6666666667</v>
      </c>
      <c r="B777" s="2" t="n">
        <f aca="false">IFERROR(__xludf.dummyfunction("""COMPUTED_VALUE"""),185.04)</f>
        <v>185.04</v>
      </c>
      <c r="C777" s="2" t="n">
        <f aca="false">IFERROR(__xludf.dummyfunction("""COMPUTED_VALUE"""),188.69)</f>
        <v>188.69</v>
      </c>
      <c r="D777" s="2" t="n">
        <f aca="false">IFERROR(__xludf.dummyfunction("""COMPUTED_VALUE"""),182)</f>
        <v>182</v>
      </c>
      <c r="E777" s="2" t="n">
        <f aca="false">IFERROR(__xludf.dummyfunction("""COMPUTED_VALUE"""),187.91)</f>
        <v>187.91</v>
      </c>
      <c r="F777" s="2" t="n">
        <f aca="false">IFERROR(__xludf.dummyfunction("""COMPUTED_VALUE"""),110612672)</f>
        <v>110612672</v>
      </c>
    </row>
    <row r="778" customFormat="false" ht="15.75" hidden="false" customHeight="false" outlineLevel="0" collapsed="false">
      <c r="A778" s="3" t="n">
        <f aca="false">IFERROR(__xludf.dummyfunction("""COMPUTED_VALUE"""),45327.6666666667)</f>
        <v>45327.6666666667</v>
      </c>
      <c r="B778" s="2" t="n">
        <f aca="false">IFERROR(__xludf.dummyfunction("""COMPUTED_VALUE"""),184.26)</f>
        <v>184.26</v>
      </c>
      <c r="C778" s="2" t="n">
        <f aca="false">IFERROR(__xludf.dummyfunction("""COMPUTED_VALUE"""),184.68)</f>
        <v>184.68</v>
      </c>
      <c r="D778" s="2" t="n">
        <f aca="false">IFERROR(__xludf.dummyfunction("""COMPUTED_VALUE"""),175.01)</f>
        <v>175.01</v>
      </c>
      <c r="E778" s="2" t="n">
        <f aca="false">IFERROR(__xludf.dummyfunction("""COMPUTED_VALUE"""),181.06)</f>
        <v>181.06</v>
      </c>
      <c r="F778" s="2" t="n">
        <f aca="false">IFERROR(__xludf.dummyfunction("""COMPUTED_VALUE"""),134294447)</f>
        <v>134294447</v>
      </c>
    </row>
    <row r="779" customFormat="false" ht="15.75" hidden="false" customHeight="false" outlineLevel="0" collapsed="false">
      <c r="A779" s="3" t="n">
        <f aca="false">IFERROR(__xludf.dummyfunction("""COMPUTED_VALUE"""),45328.6666666667)</f>
        <v>45328.6666666667</v>
      </c>
      <c r="B779" s="2" t="n">
        <f aca="false">IFERROR(__xludf.dummyfunction("""COMPUTED_VALUE"""),177.21)</f>
        <v>177.21</v>
      </c>
      <c r="C779" s="2" t="n">
        <f aca="false">IFERROR(__xludf.dummyfunction("""COMPUTED_VALUE"""),186.49)</f>
        <v>186.49</v>
      </c>
      <c r="D779" s="2" t="n">
        <f aca="false">IFERROR(__xludf.dummyfunction("""COMPUTED_VALUE"""),177.11)</f>
        <v>177.11</v>
      </c>
      <c r="E779" s="2" t="n">
        <f aca="false">IFERROR(__xludf.dummyfunction("""COMPUTED_VALUE"""),185.1)</f>
        <v>185.1</v>
      </c>
      <c r="F779" s="2" t="n">
        <f aca="false">IFERROR(__xludf.dummyfunction("""COMPUTED_VALUE"""),122675954)</f>
        <v>122675954</v>
      </c>
    </row>
    <row r="780" customFormat="false" ht="15.75" hidden="false" customHeight="false" outlineLevel="0" collapsed="false">
      <c r="A780" s="3" t="n">
        <f aca="false">IFERROR(__xludf.dummyfunction("""COMPUTED_VALUE"""),45329.6666666667)</f>
        <v>45329.6666666667</v>
      </c>
      <c r="B780" s="2" t="n">
        <f aca="false">IFERROR(__xludf.dummyfunction("""COMPUTED_VALUE"""),188.18)</f>
        <v>188.18</v>
      </c>
      <c r="C780" s="2" t="n">
        <f aca="false">IFERROR(__xludf.dummyfunction("""COMPUTED_VALUE"""),189.79)</f>
        <v>189.79</v>
      </c>
      <c r="D780" s="2" t="n">
        <f aca="false">IFERROR(__xludf.dummyfunction("""COMPUTED_VALUE"""),182.68)</f>
        <v>182.68</v>
      </c>
      <c r="E780" s="2" t="n">
        <f aca="false">IFERROR(__xludf.dummyfunction("""COMPUTED_VALUE"""),187.58)</f>
        <v>187.58</v>
      </c>
      <c r="F780" s="2" t="n">
        <f aca="false">IFERROR(__xludf.dummyfunction("""COMPUTED_VALUE"""),111535217)</f>
        <v>111535217</v>
      </c>
    </row>
    <row r="781" customFormat="false" ht="15.75" hidden="false" customHeight="false" outlineLevel="0" collapsed="false">
      <c r="A781" s="3" t="n">
        <f aca="false">IFERROR(__xludf.dummyfunction("""COMPUTED_VALUE"""),45330.6666666667)</f>
        <v>45330.6666666667</v>
      </c>
      <c r="B781" s="2" t="n">
        <f aca="false">IFERROR(__xludf.dummyfunction("""COMPUTED_VALUE"""),189)</f>
        <v>189</v>
      </c>
      <c r="C781" s="2" t="n">
        <f aca="false">IFERROR(__xludf.dummyfunction("""COMPUTED_VALUE"""),191.62)</f>
        <v>191.62</v>
      </c>
      <c r="D781" s="2" t="n">
        <f aca="false">IFERROR(__xludf.dummyfunction("""COMPUTED_VALUE"""),185.58)</f>
        <v>185.58</v>
      </c>
      <c r="E781" s="2" t="n">
        <f aca="false">IFERROR(__xludf.dummyfunction("""COMPUTED_VALUE"""),189.56)</f>
        <v>189.56</v>
      </c>
      <c r="F781" s="2" t="n">
        <f aca="false">IFERROR(__xludf.dummyfunction("""COMPUTED_VALUE"""),83034043)</f>
        <v>83034043</v>
      </c>
    </row>
    <row r="782" customFormat="false" ht="15.75" hidden="false" customHeight="false" outlineLevel="0" collapsed="false">
      <c r="A782" s="3" t="n">
        <f aca="false">IFERROR(__xludf.dummyfunction("""COMPUTED_VALUE"""),45331.6666666667)</f>
        <v>45331.6666666667</v>
      </c>
      <c r="B782" s="2" t="n">
        <f aca="false">IFERROR(__xludf.dummyfunction("""COMPUTED_VALUE"""),190.18)</f>
        <v>190.18</v>
      </c>
      <c r="C782" s="2" t="n">
        <f aca="false">IFERROR(__xludf.dummyfunction("""COMPUTED_VALUE"""),194.12)</f>
        <v>194.12</v>
      </c>
      <c r="D782" s="2" t="n">
        <f aca="false">IFERROR(__xludf.dummyfunction("""COMPUTED_VALUE"""),189.48)</f>
        <v>189.48</v>
      </c>
      <c r="E782" s="2" t="n">
        <f aca="false">IFERROR(__xludf.dummyfunction("""COMPUTED_VALUE"""),193.57)</f>
        <v>193.57</v>
      </c>
      <c r="F782" s="2" t="n">
        <f aca="false">IFERROR(__xludf.dummyfunction("""COMPUTED_VALUE"""),84476347)</f>
        <v>84476347</v>
      </c>
    </row>
    <row r="783" customFormat="false" ht="15.75" hidden="false" customHeight="false" outlineLevel="0" collapsed="false">
      <c r="A783" s="3" t="n">
        <f aca="false">IFERROR(__xludf.dummyfunction("""COMPUTED_VALUE"""),45334.6666666667)</f>
        <v>45334.6666666667</v>
      </c>
      <c r="B783" s="2" t="n">
        <f aca="false">IFERROR(__xludf.dummyfunction("""COMPUTED_VALUE"""),192.11)</f>
        <v>192.11</v>
      </c>
      <c r="C783" s="2" t="n">
        <f aca="false">IFERROR(__xludf.dummyfunction("""COMPUTED_VALUE"""),194.73)</f>
        <v>194.73</v>
      </c>
      <c r="D783" s="2" t="n">
        <f aca="false">IFERROR(__xludf.dummyfunction("""COMPUTED_VALUE"""),187.28)</f>
        <v>187.28</v>
      </c>
      <c r="E783" s="2" t="n">
        <f aca="false">IFERROR(__xludf.dummyfunction("""COMPUTED_VALUE"""),188.13)</f>
        <v>188.13</v>
      </c>
      <c r="F783" s="2" t="n">
        <f aca="false">IFERROR(__xludf.dummyfunction("""COMPUTED_VALUE"""),95498597)</f>
        <v>95498597</v>
      </c>
    </row>
    <row r="784" customFormat="false" ht="15.75" hidden="false" customHeight="false" outlineLevel="0" collapsed="false">
      <c r="A784" s="3" t="n">
        <f aca="false">IFERROR(__xludf.dummyfunction("""COMPUTED_VALUE"""),45335.6666666667)</f>
        <v>45335.6666666667</v>
      </c>
      <c r="B784" s="2" t="n">
        <f aca="false">IFERROR(__xludf.dummyfunction("""COMPUTED_VALUE"""),183.99)</f>
        <v>183.99</v>
      </c>
      <c r="C784" s="2" t="n">
        <f aca="false">IFERROR(__xludf.dummyfunction("""COMPUTED_VALUE"""),187.26)</f>
        <v>187.26</v>
      </c>
      <c r="D784" s="2" t="n">
        <f aca="false">IFERROR(__xludf.dummyfunction("""COMPUTED_VALUE"""),182.11)</f>
        <v>182.11</v>
      </c>
      <c r="E784" s="2" t="n">
        <f aca="false">IFERROR(__xludf.dummyfunction("""COMPUTED_VALUE"""),184.02)</f>
        <v>184.02</v>
      </c>
      <c r="F784" s="2" t="n">
        <f aca="false">IFERROR(__xludf.dummyfunction("""COMPUTED_VALUE"""),86759478)</f>
        <v>86759478</v>
      </c>
    </row>
    <row r="785" customFormat="false" ht="15.75" hidden="false" customHeight="false" outlineLevel="0" collapsed="false">
      <c r="A785" s="3" t="n">
        <f aca="false">IFERROR(__xludf.dummyfunction("""COMPUTED_VALUE"""),45336.6666666667)</f>
        <v>45336.6666666667</v>
      </c>
      <c r="B785" s="2" t="n">
        <f aca="false">IFERROR(__xludf.dummyfunction("""COMPUTED_VALUE"""),185.3)</f>
        <v>185.3</v>
      </c>
      <c r="C785" s="2" t="n">
        <f aca="false">IFERROR(__xludf.dummyfunction("""COMPUTED_VALUE"""),188.89)</f>
        <v>188.89</v>
      </c>
      <c r="D785" s="2" t="n">
        <f aca="false">IFERROR(__xludf.dummyfunction("""COMPUTED_VALUE"""),183.35)</f>
        <v>183.35</v>
      </c>
      <c r="E785" s="2" t="n">
        <f aca="false">IFERROR(__xludf.dummyfunction("""COMPUTED_VALUE"""),188.71)</f>
        <v>188.71</v>
      </c>
      <c r="F785" s="2" t="n">
        <f aca="false">IFERROR(__xludf.dummyfunction("""COMPUTED_VALUE"""),81202987)</f>
        <v>81202987</v>
      </c>
    </row>
    <row r="786" customFormat="false" ht="15.75" hidden="false" customHeight="false" outlineLevel="0" collapsed="false">
      <c r="A786" s="3" t="n">
        <f aca="false">IFERROR(__xludf.dummyfunction("""COMPUTED_VALUE"""),45337.6666666667)</f>
        <v>45337.6666666667</v>
      </c>
      <c r="B786" s="2" t="n">
        <f aca="false">IFERROR(__xludf.dummyfunction("""COMPUTED_VALUE"""),189.16)</f>
        <v>189.16</v>
      </c>
      <c r="C786" s="2" t="n">
        <f aca="false">IFERROR(__xludf.dummyfunction("""COMPUTED_VALUE"""),200.88)</f>
        <v>200.88</v>
      </c>
      <c r="D786" s="2" t="n">
        <f aca="false">IFERROR(__xludf.dummyfunction("""COMPUTED_VALUE"""),188.86)</f>
        <v>188.86</v>
      </c>
      <c r="E786" s="2" t="n">
        <f aca="false">IFERROR(__xludf.dummyfunction("""COMPUTED_VALUE"""),200.45)</f>
        <v>200.45</v>
      </c>
      <c r="F786" s="2" t="n">
        <f aca="false">IFERROR(__xludf.dummyfunction("""COMPUTED_VALUE"""),120831762)</f>
        <v>120831762</v>
      </c>
    </row>
    <row r="787" customFormat="false" ht="15.75" hidden="false" customHeight="false" outlineLevel="0" collapsed="false">
      <c r="A787" s="3" t="n">
        <f aca="false">IFERROR(__xludf.dummyfunction("""COMPUTED_VALUE"""),45338.6666666667)</f>
        <v>45338.6666666667</v>
      </c>
      <c r="B787" s="2" t="n">
        <f aca="false">IFERROR(__xludf.dummyfunction("""COMPUTED_VALUE"""),202.06)</f>
        <v>202.06</v>
      </c>
      <c r="C787" s="2" t="n">
        <f aca="false">IFERROR(__xludf.dummyfunction("""COMPUTED_VALUE"""),203.17)</f>
        <v>203.17</v>
      </c>
      <c r="D787" s="2" t="n">
        <f aca="false">IFERROR(__xludf.dummyfunction("""COMPUTED_VALUE"""),197.4)</f>
        <v>197.4</v>
      </c>
      <c r="E787" s="2" t="n">
        <f aca="false">IFERROR(__xludf.dummyfunction("""COMPUTED_VALUE"""),199.95)</f>
        <v>199.95</v>
      </c>
      <c r="F787" s="2" t="n">
        <f aca="false">IFERROR(__xludf.dummyfunction("""COMPUTED_VALUE"""),111346705)</f>
        <v>111346705</v>
      </c>
    </row>
    <row r="788" customFormat="false" ht="15.75" hidden="false" customHeight="false" outlineLevel="0" collapsed="false">
      <c r="A788" s="3" t="n">
        <f aca="false">IFERROR(__xludf.dummyfunction("""COMPUTED_VALUE"""),45342.6666666667)</f>
        <v>45342.6666666667</v>
      </c>
      <c r="B788" s="2" t="n">
        <f aca="false">IFERROR(__xludf.dummyfunction("""COMPUTED_VALUE"""),196.13)</f>
        <v>196.13</v>
      </c>
      <c r="C788" s="2" t="n">
        <f aca="false">IFERROR(__xludf.dummyfunction("""COMPUTED_VALUE"""),198.6)</f>
        <v>198.6</v>
      </c>
      <c r="D788" s="2" t="n">
        <f aca="false">IFERROR(__xludf.dummyfunction("""COMPUTED_VALUE"""),189.13)</f>
        <v>189.13</v>
      </c>
      <c r="E788" s="2" t="n">
        <f aca="false">IFERROR(__xludf.dummyfunction("""COMPUTED_VALUE"""),193.76)</f>
        <v>193.76</v>
      </c>
      <c r="F788" s="2" t="n">
        <f aca="false">IFERROR(__xludf.dummyfunction("""COMPUTED_VALUE"""),104545762)</f>
        <v>104545762</v>
      </c>
    </row>
    <row r="789" customFormat="false" ht="15.75" hidden="false" customHeight="false" outlineLevel="0" collapsed="false">
      <c r="A789" s="3" t="n">
        <f aca="false">IFERROR(__xludf.dummyfunction("""COMPUTED_VALUE"""),45343.6666666667)</f>
        <v>45343.6666666667</v>
      </c>
      <c r="B789" s="2" t="n">
        <f aca="false">IFERROR(__xludf.dummyfunction("""COMPUTED_VALUE"""),193.36)</f>
        <v>193.36</v>
      </c>
      <c r="C789" s="2" t="n">
        <f aca="false">IFERROR(__xludf.dummyfunction("""COMPUTED_VALUE"""),199.44)</f>
        <v>199.44</v>
      </c>
      <c r="D789" s="2" t="n">
        <f aca="false">IFERROR(__xludf.dummyfunction("""COMPUTED_VALUE"""),191.95)</f>
        <v>191.95</v>
      </c>
      <c r="E789" s="2" t="n">
        <f aca="false">IFERROR(__xludf.dummyfunction("""COMPUTED_VALUE"""),194.77)</f>
        <v>194.77</v>
      </c>
      <c r="F789" s="2" t="n">
        <f aca="false">IFERROR(__xludf.dummyfunction("""COMPUTED_VALUE"""),103844008)</f>
        <v>103844008</v>
      </c>
    </row>
    <row r="790" customFormat="false" ht="15.75" hidden="false" customHeight="false" outlineLevel="0" collapsed="false">
      <c r="A790" s="3" t="n">
        <f aca="false">IFERROR(__xludf.dummyfunction("""COMPUTED_VALUE"""),45344.6666666667)</f>
        <v>45344.6666666667</v>
      </c>
      <c r="B790" s="2" t="n">
        <f aca="false">IFERROR(__xludf.dummyfunction("""COMPUTED_VALUE"""),194)</f>
        <v>194</v>
      </c>
      <c r="C790" s="2" t="n">
        <f aca="false">IFERROR(__xludf.dummyfunction("""COMPUTED_VALUE"""),198.32)</f>
        <v>198.32</v>
      </c>
      <c r="D790" s="2" t="n">
        <f aca="false">IFERROR(__xludf.dummyfunction("""COMPUTED_VALUE"""),191.36)</f>
        <v>191.36</v>
      </c>
      <c r="E790" s="2" t="n">
        <f aca="false">IFERROR(__xludf.dummyfunction("""COMPUTED_VALUE"""),197.41)</f>
        <v>197.41</v>
      </c>
      <c r="F790" s="2" t="n">
        <f aca="false">IFERROR(__xludf.dummyfunction("""COMPUTED_VALUE"""),92739461)</f>
        <v>92739461</v>
      </c>
    </row>
    <row r="791" customFormat="false" ht="15.75" hidden="false" customHeight="false" outlineLevel="0" collapsed="false">
      <c r="A791" s="3" t="n">
        <f aca="false">IFERROR(__xludf.dummyfunction("""COMPUTED_VALUE"""),45345.6666666667)</f>
        <v>45345.6666666667</v>
      </c>
      <c r="B791" s="2" t="n">
        <f aca="false">IFERROR(__xludf.dummyfunction("""COMPUTED_VALUE"""),195.31)</f>
        <v>195.31</v>
      </c>
      <c r="C791" s="2" t="n">
        <f aca="false">IFERROR(__xludf.dummyfunction("""COMPUTED_VALUE"""),197.57)</f>
        <v>197.57</v>
      </c>
      <c r="D791" s="2" t="n">
        <f aca="false">IFERROR(__xludf.dummyfunction("""COMPUTED_VALUE"""),191.5)</f>
        <v>191.5</v>
      </c>
      <c r="E791" s="2" t="n">
        <f aca="false">IFERROR(__xludf.dummyfunction("""COMPUTED_VALUE"""),191.97)</f>
        <v>191.97</v>
      </c>
      <c r="F791" s="2" t="n">
        <f aca="false">IFERROR(__xludf.dummyfunction("""COMPUTED_VALUE"""),78841917)</f>
        <v>78841917</v>
      </c>
    </row>
    <row r="792" customFormat="false" ht="15.75" hidden="false" customHeight="false" outlineLevel="0" collapsed="false">
      <c r="A792" s="3" t="n">
        <f aca="false">IFERROR(__xludf.dummyfunction("""COMPUTED_VALUE"""),45348.6666666667)</f>
        <v>45348.6666666667</v>
      </c>
      <c r="B792" s="2" t="n">
        <f aca="false">IFERROR(__xludf.dummyfunction("""COMPUTED_VALUE"""),192.29)</f>
        <v>192.29</v>
      </c>
      <c r="C792" s="2" t="n">
        <f aca="false">IFERROR(__xludf.dummyfunction("""COMPUTED_VALUE"""),201.78)</f>
        <v>201.78</v>
      </c>
      <c r="D792" s="2" t="n">
        <f aca="false">IFERROR(__xludf.dummyfunction("""COMPUTED_VALUE"""),192)</f>
        <v>192</v>
      </c>
      <c r="E792" s="2" t="n">
        <f aca="false">IFERROR(__xludf.dummyfunction("""COMPUTED_VALUE"""),199.4)</f>
        <v>199.4</v>
      </c>
      <c r="F792" s="2" t="n">
        <f aca="false">IFERROR(__xludf.dummyfunction("""COMPUTED_VALUE"""),111747116)</f>
        <v>111747116</v>
      </c>
    </row>
    <row r="793" customFormat="false" ht="15.75" hidden="false" customHeight="false" outlineLevel="0" collapsed="false">
      <c r="A793" s="3" t="n">
        <f aca="false">IFERROR(__xludf.dummyfunction("""COMPUTED_VALUE"""),45349.6666666667)</f>
        <v>45349.6666666667</v>
      </c>
      <c r="B793" s="2" t="n">
        <f aca="false">IFERROR(__xludf.dummyfunction("""COMPUTED_VALUE"""),204.04)</f>
        <v>204.04</v>
      </c>
      <c r="C793" s="2" t="n">
        <f aca="false">IFERROR(__xludf.dummyfunction("""COMPUTED_VALUE"""),205.6)</f>
        <v>205.6</v>
      </c>
      <c r="D793" s="2" t="n">
        <f aca="false">IFERROR(__xludf.dummyfunction("""COMPUTED_VALUE"""),198.26)</f>
        <v>198.26</v>
      </c>
      <c r="E793" s="2" t="n">
        <f aca="false">IFERROR(__xludf.dummyfunction("""COMPUTED_VALUE"""),199.73)</f>
        <v>199.73</v>
      </c>
      <c r="F793" s="2" t="n">
        <f aca="false">IFERROR(__xludf.dummyfunction("""COMPUTED_VALUE"""),108645412)</f>
        <v>108645412</v>
      </c>
    </row>
    <row r="794" customFormat="false" ht="15.75" hidden="false" customHeight="false" outlineLevel="0" collapsed="false">
      <c r="A794" s="3" t="n">
        <f aca="false">IFERROR(__xludf.dummyfunction("""COMPUTED_VALUE"""),45350.6666666667)</f>
        <v>45350.6666666667</v>
      </c>
      <c r="B794" s="2" t="n">
        <f aca="false">IFERROR(__xludf.dummyfunction("""COMPUTED_VALUE"""),200.42)</f>
        <v>200.42</v>
      </c>
      <c r="C794" s="2" t="n">
        <f aca="false">IFERROR(__xludf.dummyfunction("""COMPUTED_VALUE"""),205.3)</f>
        <v>205.3</v>
      </c>
      <c r="D794" s="2" t="n">
        <f aca="false">IFERROR(__xludf.dummyfunction("""COMPUTED_VALUE"""),198.44)</f>
        <v>198.44</v>
      </c>
      <c r="E794" s="2" t="n">
        <f aca="false">IFERROR(__xludf.dummyfunction("""COMPUTED_VALUE"""),202.04)</f>
        <v>202.04</v>
      </c>
      <c r="F794" s="2" t="n">
        <f aca="false">IFERROR(__xludf.dummyfunction("""COMPUTED_VALUE"""),99806173)</f>
        <v>99806173</v>
      </c>
    </row>
    <row r="795" customFormat="false" ht="15.75" hidden="false" customHeight="false" outlineLevel="0" collapsed="false">
      <c r="A795" s="3" t="n">
        <f aca="false">IFERROR(__xludf.dummyfunction("""COMPUTED_VALUE"""),45351.6666666667)</f>
        <v>45351.6666666667</v>
      </c>
      <c r="B795" s="2" t="n">
        <f aca="false">IFERROR(__xludf.dummyfunction("""COMPUTED_VALUE"""),204.18)</f>
        <v>204.18</v>
      </c>
      <c r="C795" s="2" t="n">
        <f aca="false">IFERROR(__xludf.dummyfunction("""COMPUTED_VALUE"""),205.28)</f>
        <v>205.28</v>
      </c>
      <c r="D795" s="2" t="n">
        <f aca="false">IFERROR(__xludf.dummyfunction("""COMPUTED_VALUE"""),198.45)</f>
        <v>198.45</v>
      </c>
      <c r="E795" s="2" t="n">
        <f aca="false">IFERROR(__xludf.dummyfunction("""COMPUTED_VALUE"""),201.88)</f>
        <v>201.88</v>
      </c>
      <c r="F795" s="2" t="n">
        <f aca="false">IFERROR(__xludf.dummyfunction("""COMPUTED_VALUE"""),85906974)</f>
        <v>85906974</v>
      </c>
    </row>
    <row r="796" customFormat="false" ht="15.75" hidden="false" customHeight="false" outlineLevel="0" collapsed="false">
      <c r="A796" s="3" t="n">
        <f aca="false">IFERROR(__xludf.dummyfunction("""COMPUTED_VALUE"""),45352.6666666667)</f>
        <v>45352.6666666667</v>
      </c>
      <c r="B796" s="2" t="n">
        <f aca="false">IFERROR(__xludf.dummyfunction("""COMPUTED_VALUE"""),200.52)</f>
        <v>200.52</v>
      </c>
      <c r="C796" s="2" t="n">
        <f aca="false">IFERROR(__xludf.dummyfunction("""COMPUTED_VALUE"""),204.52)</f>
        <v>204.52</v>
      </c>
      <c r="D796" s="2" t="n">
        <f aca="false">IFERROR(__xludf.dummyfunction("""COMPUTED_VALUE"""),198.5)</f>
        <v>198.5</v>
      </c>
      <c r="E796" s="2" t="n">
        <f aca="false">IFERROR(__xludf.dummyfunction("""COMPUTED_VALUE"""),202.64)</f>
        <v>202.64</v>
      </c>
      <c r="F796" s="2" t="n">
        <f aca="false">IFERROR(__xludf.dummyfunction("""COMPUTED_VALUE"""),82243119)</f>
        <v>82243119</v>
      </c>
    </row>
    <row r="797" customFormat="false" ht="15.75" hidden="false" customHeight="false" outlineLevel="0" collapsed="false">
      <c r="A797" s="3" t="n">
        <f aca="false">IFERROR(__xludf.dummyfunction("""COMPUTED_VALUE"""),45355.6666666667)</f>
        <v>45355.6666666667</v>
      </c>
      <c r="B797" s="2" t="n">
        <f aca="false">IFERROR(__xludf.dummyfunction("""COMPUTED_VALUE"""),198.73)</f>
        <v>198.73</v>
      </c>
      <c r="C797" s="2" t="n">
        <f aca="false">IFERROR(__xludf.dummyfunction("""COMPUTED_VALUE"""),199.75)</f>
        <v>199.75</v>
      </c>
      <c r="D797" s="2" t="n">
        <f aca="false">IFERROR(__xludf.dummyfunction("""COMPUTED_VALUE"""),186.72)</f>
        <v>186.72</v>
      </c>
      <c r="E797" s="2" t="n">
        <f aca="false">IFERROR(__xludf.dummyfunction("""COMPUTED_VALUE"""),188.14)</f>
        <v>188.14</v>
      </c>
      <c r="F797" s="2" t="n">
        <f aca="false">IFERROR(__xludf.dummyfunction("""COMPUTED_VALUE"""),134334869)</f>
        <v>134334869</v>
      </c>
    </row>
    <row r="798" customFormat="false" ht="15.75" hidden="false" customHeight="false" outlineLevel="0" collapsed="false">
      <c r="A798" s="3" t="n">
        <f aca="false">IFERROR(__xludf.dummyfunction("""COMPUTED_VALUE"""),45356.6666666667)</f>
        <v>45356.6666666667</v>
      </c>
      <c r="B798" s="2" t="n">
        <f aca="false">IFERROR(__xludf.dummyfunction("""COMPUTED_VALUE"""),183.05)</f>
        <v>183.05</v>
      </c>
      <c r="C798" s="2" t="n">
        <f aca="false">IFERROR(__xludf.dummyfunction("""COMPUTED_VALUE"""),184.59)</f>
        <v>184.59</v>
      </c>
      <c r="D798" s="2" t="n">
        <f aca="false">IFERROR(__xludf.dummyfunction("""COMPUTED_VALUE"""),177.57)</f>
        <v>177.57</v>
      </c>
      <c r="E798" s="2" t="n">
        <f aca="false">IFERROR(__xludf.dummyfunction("""COMPUTED_VALUE"""),180.74)</f>
        <v>180.74</v>
      </c>
      <c r="F798" s="2" t="n">
        <f aca="false">IFERROR(__xludf.dummyfunction("""COMPUTED_VALUE"""),119660758)</f>
        <v>119660758</v>
      </c>
    </row>
    <row r="799" customFormat="false" ht="15.75" hidden="false" customHeight="false" outlineLevel="0" collapsed="false">
      <c r="A799" s="3" t="n">
        <f aca="false">IFERROR(__xludf.dummyfunction("""COMPUTED_VALUE"""),45357.6666666667)</f>
        <v>45357.6666666667</v>
      </c>
      <c r="B799" s="2" t="n">
        <f aca="false">IFERROR(__xludf.dummyfunction("""COMPUTED_VALUE"""),179.99)</f>
        <v>179.99</v>
      </c>
      <c r="C799" s="2" t="n">
        <f aca="false">IFERROR(__xludf.dummyfunction("""COMPUTED_VALUE"""),181.58)</f>
        <v>181.58</v>
      </c>
      <c r="D799" s="2" t="n">
        <f aca="false">IFERROR(__xludf.dummyfunction("""COMPUTED_VALUE"""),173.7)</f>
        <v>173.7</v>
      </c>
      <c r="E799" s="2" t="n">
        <f aca="false">IFERROR(__xludf.dummyfunction("""COMPUTED_VALUE"""),176.54)</f>
        <v>176.54</v>
      </c>
      <c r="F799" s="2" t="n">
        <f aca="false">IFERROR(__xludf.dummyfunction("""COMPUTED_VALUE"""),107920944)</f>
        <v>107920944</v>
      </c>
    </row>
    <row r="800" customFormat="false" ht="15.75" hidden="false" customHeight="false" outlineLevel="0" collapsed="false">
      <c r="A800" s="3" t="n">
        <f aca="false">IFERROR(__xludf.dummyfunction("""COMPUTED_VALUE"""),45358.6666666667)</f>
        <v>45358.6666666667</v>
      </c>
      <c r="B800" s="2" t="n">
        <f aca="false">IFERROR(__xludf.dummyfunction("""COMPUTED_VALUE"""),174.35)</f>
        <v>174.35</v>
      </c>
      <c r="C800" s="2" t="n">
        <f aca="false">IFERROR(__xludf.dummyfunction("""COMPUTED_VALUE"""),180.04)</f>
        <v>180.04</v>
      </c>
      <c r="D800" s="2" t="n">
        <f aca="false">IFERROR(__xludf.dummyfunction("""COMPUTED_VALUE"""),173.7)</f>
        <v>173.7</v>
      </c>
      <c r="E800" s="2" t="n">
        <f aca="false">IFERROR(__xludf.dummyfunction("""COMPUTED_VALUE"""),178.65)</f>
        <v>178.65</v>
      </c>
      <c r="F800" s="2" t="n">
        <f aca="false">IFERROR(__xludf.dummyfunction("""COMPUTED_VALUE"""),102129004)</f>
        <v>102129004</v>
      </c>
    </row>
    <row r="801" customFormat="false" ht="15.75" hidden="false" customHeight="false" outlineLevel="0" collapsed="false">
      <c r="A801" s="3" t="n">
        <f aca="false">IFERROR(__xludf.dummyfunction("""COMPUTED_VALUE"""),45359.6666666667)</f>
        <v>45359.6666666667</v>
      </c>
      <c r="B801" s="2" t="n">
        <f aca="false">IFERROR(__xludf.dummyfunction("""COMPUTED_VALUE"""),181.5)</f>
        <v>181.5</v>
      </c>
      <c r="C801" s="2" t="n">
        <f aca="false">IFERROR(__xludf.dummyfunction("""COMPUTED_VALUE"""),182.73)</f>
        <v>182.73</v>
      </c>
      <c r="D801" s="2" t="n">
        <f aca="false">IFERROR(__xludf.dummyfunction("""COMPUTED_VALUE"""),174.7)</f>
        <v>174.7</v>
      </c>
      <c r="E801" s="2" t="n">
        <f aca="false">IFERROR(__xludf.dummyfunction("""COMPUTED_VALUE"""),175.34)</f>
        <v>175.34</v>
      </c>
      <c r="F801" s="2" t="n">
        <f aca="false">IFERROR(__xludf.dummyfunction("""COMPUTED_VALUE"""),85544644)</f>
        <v>85544644</v>
      </c>
    </row>
    <row r="802" customFormat="false" ht="15.75" hidden="false" customHeight="false" outlineLevel="0" collapsed="false">
      <c r="A802" s="3" t="n">
        <f aca="false">IFERROR(__xludf.dummyfunction("""COMPUTED_VALUE"""),45362.6666666667)</f>
        <v>45362.6666666667</v>
      </c>
      <c r="B802" s="2" t="n">
        <f aca="false">IFERROR(__xludf.dummyfunction("""COMPUTED_VALUE"""),175.45)</f>
        <v>175.45</v>
      </c>
      <c r="C802" s="2" t="n">
        <f aca="false">IFERROR(__xludf.dummyfunction("""COMPUTED_VALUE"""),182.87)</f>
        <v>182.87</v>
      </c>
      <c r="D802" s="2" t="n">
        <f aca="false">IFERROR(__xludf.dummyfunction("""COMPUTED_VALUE"""),174.8)</f>
        <v>174.8</v>
      </c>
      <c r="E802" s="2" t="n">
        <f aca="false">IFERROR(__xludf.dummyfunction("""COMPUTED_VALUE"""),177.77)</f>
        <v>177.77</v>
      </c>
      <c r="F802" s="2" t="n">
        <f aca="false">IFERROR(__xludf.dummyfunction("""COMPUTED_VALUE"""),85391528)</f>
        <v>85391528</v>
      </c>
    </row>
    <row r="803" customFormat="false" ht="15.75" hidden="false" customHeight="false" outlineLevel="0" collapsed="false">
      <c r="A803" s="3" t="n">
        <f aca="false">IFERROR(__xludf.dummyfunction("""COMPUTED_VALUE"""),45363.6666666667)</f>
        <v>45363.6666666667</v>
      </c>
      <c r="B803" s="2" t="n">
        <f aca="false">IFERROR(__xludf.dummyfunction("""COMPUTED_VALUE"""),177.77)</f>
        <v>177.77</v>
      </c>
      <c r="C803" s="2" t="n">
        <f aca="false">IFERROR(__xludf.dummyfunction("""COMPUTED_VALUE"""),179.43)</f>
        <v>179.43</v>
      </c>
      <c r="D803" s="2" t="n">
        <f aca="false">IFERROR(__xludf.dummyfunction("""COMPUTED_VALUE"""),172.41)</f>
        <v>172.41</v>
      </c>
      <c r="E803" s="2" t="n">
        <f aca="false">IFERROR(__xludf.dummyfunction("""COMPUTED_VALUE"""),177.54)</f>
        <v>177.54</v>
      </c>
      <c r="F803" s="2" t="n">
        <f aca="false">IFERROR(__xludf.dummyfunction("""COMPUTED_VALUE"""),87391684)</f>
        <v>87391684</v>
      </c>
    </row>
    <row r="804" customFormat="false" ht="15.75" hidden="false" customHeight="false" outlineLevel="0" collapsed="false">
      <c r="A804" s="3" t="n">
        <f aca="false">IFERROR(__xludf.dummyfunction("""COMPUTED_VALUE"""),45364.6666666667)</f>
        <v>45364.6666666667</v>
      </c>
      <c r="B804" s="2" t="n">
        <f aca="false">IFERROR(__xludf.dummyfunction("""COMPUTED_VALUE"""),173.05)</f>
        <v>173.05</v>
      </c>
      <c r="C804" s="2" t="n">
        <f aca="false">IFERROR(__xludf.dummyfunction("""COMPUTED_VALUE"""),176.05)</f>
        <v>176.05</v>
      </c>
      <c r="D804" s="2" t="n">
        <f aca="false">IFERROR(__xludf.dummyfunction("""COMPUTED_VALUE"""),169.15)</f>
        <v>169.15</v>
      </c>
      <c r="E804" s="2" t="n">
        <f aca="false">IFERROR(__xludf.dummyfunction("""COMPUTED_VALUE"""),169.48)</f>
        <v>169.48</v>
      </c>
      <c r="F804" s="2" t="n">
        <f aca="false">IFERROR(__xludf.dummyfunction("""COMPUTED_VALUE"""),106524518)</f>
        <v>106524518</v>
      </c>
    </row>
    <row r="805" customFormat="false" ht="15.75" hidden="false" customHeight="false" outlineLevel="0" collapsed="false">
      <c r="A805" s="3" t="n">
        <f aca="false">IFERROR(__xludf.dummyfunction("""COMPUTED_VALUE"""),45365.6666666667)</f>
        <v>45365.6666666667</v>
      </c>
      <c r="B805" s="2" t="n">
        <f aca="false">IFERROR(__xludf.dummyfunction("""COMPUTED_VALUE"""),167.77)</f>
        <v>167.77</v>
      </c>
      <c r="C805" s="2" t="n">
        <f aca="false">IFERROR(__xludf.dummyfunction("""COMPUTED_VALUE"""),171.17)</f>
        <v>171.17</v>
      </c>
      <c r="D805" s="2" t="n">
        <f aca="false">IFERROR(__xludf.dummyfunction("""COMPUTED_VALUE"""),160.51)</f>
        <v>160.51</v>
      </c>
      <c r="E805" s="2" t="n">
        <f aca="false">IFERROR(__xludf.dummyfunction("""COMPUTED_VALUE"""),162.5)</f>
        <v>162.5</v>
      </c>
      <c r="F805" s="2" t="n">
        <f aca="false">IFERROR(__xludf.dummyfunction("""COMPUTED_VALUE"""),126325696)</f>
        <v>126325696</v>
      </c>
    </row>
    <row r="806" customFormat="false" ht="15.75" hidden="false" customHeight="false" outlineLevel="0" collapsed="false">
      <c r="A806" s="3" t="n">
        <f aca="false">IFERROR(__xludf.dummyfunction("""COMPUTED_VALUE"""),45366.6666666667)</f>
        <v>45366.6666666667</v>
      </c>
      <c r="B806" s="2" t="n">
        <f aca="false">IFERROR(__xludf.dummyfunction("""COMPUTED_VALUE"""),163.16)</f>
        <v>163.16</v>
      </c>
      <c r="C806" s="2" t="n">
        <f aca="false">IFERROR(__xludf.dummyfunction("""COMPUTED_VALUE"""),165.18)</f>
        <v>165.18</v>
      </c>
      <c r="D806" s="2" t="n">
        <f aca="false">IFERROR(__xludf.dummyfunction("""COMPUTED_VALUE"""),160.76)</f>
        <v>160.76</v>
      </c>
      <c r="E806" s="2" t="n">
        <f aca="false">IFERROR(__xludf.dummyfunction("""COMPUTED_VALUE"""),163.57)</f>
        <v>163.57</v>
      </c>
      <c r="F806" s="2" t="n">
        <f aca="false">IFERROR(__xludf.dummyfunction("""COMPUTED_VALUE"""),97146832)</f>
        <v>97146832</v>
      </c>
    </row>
    <row r="807" customFormat="false" ht="15.75" hidden="false" customHeight="false" outlineLevel="0" collapsed="false">
      <c r="A807" s="3" t="n">
        <f aca="false">IFERROR(__xludf.dummyfunction("""COMPUTED_VALUE"""),45369.6666666667)</f>
        <v>45369.6666666667</v>
      </c>
      <c r="B807" s="2" t="n">
        <f aca="false">IFERROR(__xludf.dummyfunction("""COMPUTED_VALUE"""),170.02)</f>
        <v>170.02</v>
      </c>
      <c r="C807" s="2" t="n">
        <f aca="false">IFERROR(__xludf.dummyfunction("""COMPUTED_VALUE"""),174.72)</f>
        <v>174.72</v>
      </c>
      <c r="D807" s="2" t="n">
        <f aca="false">IFERROR(__xludf.dummyfunction("""COMPUTED_VALUE"""),165.9)</f>
        <v>165.9</v>
      </c>
      <c r="E807" s="2" t="n">
        <f aca="false">IFERROR(__xludf.dummyfunction("""COMPUTED_VALUE"""),173.8)</f>
        <v>173.8</v>
      </c>
      <c r="F807" s="2" t="n">
        <f aca="false">IFERROR(__xludf.dummyfunction("""COMPUTED_VALUE"""),108214358)</f>
        <v>108214358</v>
      </c>
    </row>
    <row r="808" customFormat="false" ht="15.75" hidden="false" customHeight="false" outlineLevel="0" collapsed="false">
      <c r="A808" s="3" t="n">
        <f aca="false">IFERROR(__xludf.dummyfunction("""COMPUTED_VALUE"""),45370.6666666667)</f>
        <v>45370.6666666667</v>
      </c>
      <c r="B808" s="2" t="n">
        <f aca="false">IFERROR(__xludf.dummyfunction("""COMPUTED_VALUE"""),172.36)</f>
        <v>172.36</v>
      </c>
      <c r="C808" s="2" t="n">
        <f aca="false">IFERROR(__xludf.dummyfunction("""COMPUTED_VALUE"""),172.82)</f>
        <v>172.82</v>
      </c>
      <c r="D808" s="2" t="n">
        <f aca="false">IFERROR(__xludf.dummyfunction("""COMPUTED_VALUE"""),167.42)</f>
        <v>167.42</v>
      </c>
      <c r="E808" s="2" t="n">
        <f aca="false">IFERROR(__xludf.dummyfunction("""COMPUTED_VALUE"""),171.32)</f>
        <v>171.32</v>
      </c>
      <c r="F808" s="2" t="n">
        <f aca="false">IFERROR(__xludf.dummyfunction("""COMPUTED_VALUE"""),77271428)</f>
        <v>77271428</v>
      </c>
    </row>
    <row r="809" customFormat="false" ht="15.75" hidden="false" customHeight="false" outlineLevel="0" collapsed="false">
      <c r="A809" s="3" t="n">
        <f aca="false">IFERROR(__xludf.dummyfunction("""COMPUTED_VALUE"""),45371.6666666667)</f>
        <v>45371.6666666667</v>
      </c>
      <c r="B809" s="2" t="n">
        <f aca="false">IFERROR(__xludf.dummyfunction("""COMPUTED_VALUE"""),173)</f>
        <v>173</v>
      </c>
      <c r="C809" s="2" t="n">
        <f aca="false">IFERROR(__xludf.dummyfunction("""COMPUTED_VALUE"""),176.25)</f>
        <v>176.25</v>
      </c>
      <c r="D809" s="2" t="n">
        <f aca="false">IFERROR(__xludf.dummyfunction("""COMPUTED_VALUE"""),170.82)</f>
        <v>170.82</v>
      </c>
      <c r="E809" s="2" t="n">
        <f aca="false">IFERROR(__xludf.dummyfunction("""COMPUTED_VALUE"""),175.66)</f>
        <v>175.66</v>
      </c>
      <c r="F809" s="2" t="n">
        <f aca="false">IFERROR(__xludf.dummyfunction("""COMPUTED_VALUE"""),83846726)</f>
        <v>83846726</v>
      </c>
    </row>
    <row r="810" customFormat="false" ht="15.75" hidden="false" customHeight="false" outlineLevel="0" collapsed="false">
      <c r="A810" s="3" t="n">
        <f aca="false">IFERROR(__xludf.dummyfunction("""COMPUTED_VALUE"""),45372.6666666667)</f>
        <v>45372.6666666667</v>
      </c>
      <c r="B810" s="2" t="n">
        <f aca="false">IFERROR(__xludf.dummyfunction("""COMPUTED_VALUE"""),176.39)</f>
        <v>176.39</v>
      </c>
      <c r="C810" s="2" t="n">
        <f aca="false">IFERROR(__xludf.dummyfunction("""COMPUTED_VALUE"""),178.18)</f>
        <v>178.18</v>
      </c>
      <c r="D810" s="2" t="n">
        <f aca="false">IFERROR(__xludf.dummyfunction("""COMPUTED_VALUE"""),171.8)</f>
        <v>171.8</v>
      </c>
      <c r="E810" s="2" t="n">
        <f aca="false">IFERROR(__xludf.dummyfunction("""COMPUTED_VALUE"""),172.82)</f>
        <v>172.82</v>
      </c>
      <c r="F810" s="2" t="n">
        <f aca="false">IFERROR(__xludf.dummyfunction("""COMPUTED_VALUE"""),73178014)</f>
        <v>73178014</v>
      </c>
    </row>
    <row r="811" customFormat="false" ht="15.75" hidden="false" customHeight="false" outlineLevel="0" collapsed="false">
      <c r="A811" s="3" t="n">
        <f aca="false">IFERROR(__xludf.dummyfunction("""COMPUTED_VALUE"""),45373.6666666667)</f>
        <v>45373.6666666667</v>
      </c>
      <c r="B811" s="2" t="n">
        <f aca="false">IFERROR(__xludf.dummyfunction("""COMPUTED_VALUE"""),166.69)</f>
        <v>166.69</v>
      </c>
      <c r="C811" s="2" t="n">
        <f aca="false">IFERROR(__xludf.dummyfunction("""COMPUTED_VALUE"""),171.2)</f>
        <v>171.2</v>
      </c>
      <c r="D811" s="2" t="n">
        <f aca="false">IFERROR(__xludf.dummyfunction("""COMPUTED_VALUE"""),166.3)</f>
        <v>166.3</v>
      </c>
      <c r="E811" s="2" t="n">
        <f aca="false">IFERROR(__xludf.dummyfunction("""COMPUTED_VALUE"""),170.83)</f>
        <v>170.83</v>
      </c>
      <c r="F811" s="2" t="n">
        <f aca="false">IFERROR(__xludf.dummyfunction("""COMPUTED_VALUE"""),75580637)</f>
        <v>75580637</v>
      </c>
    </row>
    <row r="812" customFormat="false" ht="15.75" hidden="false" customHeight="false" outlineLevel="0" collapsed="false">
      <c r="A812" s="3" t="n">
        <f aca="false">IFERROR(__xludf.dummyfunction("""COMPUTED_VALUE"""),45376.6666666667)</f>
        <v>45376.6666666667</v>
      </c>
      <c r="B812" s="2" t="n">
        <f aca="false">IFERROR(__xludf.dummyfunction("""COMPUTED_VALUE"""),168.76)</f>
        <v>168.76</v>
      </c>
      <c r="C812" s="2" t="n">
        <f aca="false">IFERROR(__xludf.dummyfunction("""COMPUTED_VALUE"""),175.24)</f>
        <v>175.24</v>
      </c>
      <c r="D812" s="2" t="n">
        <f aca="false">IFERROR(__xludf.dummyfunction("""COMPUTED_VALUE"""),168.73)</f>
        <v>168.73</v>
      </c>
      <c r="E812" s="2" t="n">
        <f aca="false">IFERROR(__xludf.dummyfunction("""COMPUTED_VALUE"""),172.63)</f>
        <v>172.63</v>
      </c>
      <c r="F812" s="2" t="n">
        <f aca="false">IFERROR(__xludf.dummyfunction("""COMPUTED_VALUE"""),74228615)</f>
        <v>74228615</v>
      </c>
    </row>
    <row r="813" customFormat="false" ht="15.75" hidden="false" customHeight="false" outlineLevel="0" collapsed="false">
      <c r="A813" s="3" t="n">
        <f aca="false">IFERROR(__xludf.dummyfunction("""COMPUTED_VALUE"""),45377.6666666667)</f>
        <v>45377.6666666667</v>
      </c>
      <c r="B813" s="2" t="n">
        <f aca="false">IFERROR(__xludf.dummyfunction("""COMPUTED_VALUE"""),178.58)</f>
        <v>178.58</v>
      </c>
      <c r="C813" s="2" t="n">
        <f aca="false">IFERROR(__xludf.dummyfunction("""COMPUTED_VALUE"""),184.25)</f>
        <v>184.25</v>
      </c>
      <c r="D813" s="2" t="n">
        <f aca="false">IFERROR(__xludf.dummyfunction("""COMPUTED_VALUE"""),177.38)</f>
        <v>177.38</v>
      </c>
      <c r="E813" s="2" t="n">
        <f aca="false">IFERROR(__xludf.dummyfunction("""COMPUTED_VALUE"""),177.67)</f>
        <v>177.67</v>
      </c>
      <c r="F813" s="2" t="n">
        <f aca="false">IFERROR(__xludf.dummyfunction("""COMPUTED_VALUE"""),113186227)</f>
        <v>113186227</v>
      </c>
    </row>
    <row r="814" customFormat="false" ht="15.75" hidden="false" customHeight="false" outlineLevel="0" collapsed="false">
      <c r="A814" s="3" t="n">
        <f aca="false">IFERROR(__xludf.dummyfunction("""COMPUTED_VALUE"""),45378.6666666667)</f>
        <v>45378.6666666667</v>
      </c>
      <c r="B814" s="2" t="n">
        <f aca="false">IFERROR(__xludf.dummyfunction("""COMPUTED_VALUE"""),181.41)</f>
        <v>181.41</v>
      </c>
      <c r="C814" s="2" t="n">
        <f aca="false">IFERROR(__xludf.dummyfunction("""COMPUTED_VALUE"""),181.91)</f>
        <v>181.91</v>
      </c>
      <c r="D814" s="2" t="n">
        <f aca="false">IFERROR(__xludf.dummyfunction("""COMPUTED_VALUE"""),176)</f>
        <v>176</v>
      </c>
      <c r="E814" s="2" t="n">
        <f aca="false">IFERROR(__xludf.dummyfunction("""COMPUTED_VALUE"""),179.83)</f>
        <v>179.83</v>
      </c>
      <c r="F814" s="2" t="n">
        <f aca="false">IFERROR(__xludf.dummyfunction("""COMPUTED_VALUE"""),81804043)</f>
        <v>81804043</v>
      </c>
    </row>
    <row r="815" customFormat="false" ht="15.75" hidden="false" customHeight="false" outlineLevel="0" collapsed="false">
      <c r="A815" s="3" t="n">
        <f aca="false">IFERROR(__xludf.dummyfunction("""COMPUTED_VALUE"""),45379.6666666667)</f>
        <v>45379.6666666667</v>
      </c>
      <c r="B815" s="2" t="n">
        <f aca="false">IFERROR(__xludf.dummyfunction("""COMPUTED_VALUE"""),177.45)</f>
        <v>177.45</v>
      </c>
      <c r="C815" s="2" t="n">
        <f aca="false">IFERROR(__xludf.dummyfunction("""COMPUTED_VALUE"""),179.57)</f>
        <v>179.57</v>
      </c>
      <c r="D815" s="2" t="n">
        <f aca="false">IFERROR(__xludf.dummyfunction("""COMPUTED_VALUE"""),175.3)</f>
        <v>175.3</v>
      </c>
      <c r="E815" s="2" t="n">
        <f aca="false">IFERROR(__xludf.dummyfunction("""COMPUTED_VALUE"""),175.79)</f>
        <v>175.79</v>
      </c>
      <c r="F815" s="2" t="n">
        <f aca="false">IFERROR(__xludf.dummyfunction("""COMPUTED_VALUE"""),77654838)</f>
        <v>77654838</v>
      </c>
    </row>
    <row r="816" customFormat="false" ht="15.75" hidden="false" customHeight="false" outlineLevel="0" collapsed="false">
      <c r="A816" s="3" t="n">
        <f aca="false">IFERROR(__xludf.dummyfunction("""COMPUTED_VALUE"""),45383.6666666667)</f>
        <v>45383.6666666667</v>
      </c>
      <c r="B816" s="2" t="n">
        <f aca="false">IFERROR(__xludf.dummyfunction("""COMPUTED_VALUE"""),176.17)</f>
        <v>176.17</v>
      </c>
      <c r="C816" s="2" t="n">
        <f aca="false">IFERROR(__xludf.dummyfunction("""COMPUTED_VALUE"""),176.75)</f>
        <v>176.75</v>
      </c>
      <c r="D816" s="2" t="n">
        <f aca="false">IFERROR(__xludf.dummyfunction("""COMPUTED_VALUE"""),170.21)</f>
        <v>170.21</v>
      </c>
      <c r="E816" s="2" t="n">
        <f aca="false">IFERROR(__xludf.dummyfunction("""COMPUTED_VALUE"""),175.22)</f>
        <v>175.22</v>
      </c>
      <c r="F816" s="2" t="n">
        <f aca="false">IFERROR(__xludf.dummyfunction("""COMPUTED_VALUE"""),81562127)</f>
        <v>81562127</v>
      </c>
    </row>
    <row r="817" customFormat="false" ht="15.75" hidden="false" customHeight="false" outlineLevel="0" collapsed="false">
      <c r="A817" s="3" t="n">
        <f aca="false">IFERROR(__xludf.dummyfunction("""COMPUTED_VALUE"""),45384.6666666667)</f>
        <v>45384.6666666667</v>
      </c>
      <c r="B817" s="2" t="n">
        <f aca="false">IFERROR(__xludf.dummyfunction("""COMPUTED_VALUE"""),164.75)</f>
        <v>164.75</v>
      </c>
      <c r="C817" s="2" t="n">
        <f aca="false">IFERROR(__xludf.dummyfunction("""COMPUTED_VALUE"""),167.69)</f>
        <v>167.69</v>
      </c>
      <c r="D817" s="2" t="n">
        <f aca="false">IFERROR(__xludf.dummyfunction("""COMPUTED_VALUE"""),163.43)</f>
        <v>163.43</v>
      </c>
      <c r="E817" s="2" t="n">
        <f aca="false">IFERROR(__xludf.dummyfunction("""COMPUTED_VALUE"""),166.63)</f>
        <v>166.63</v>
      </c>
      <c r="F817" s="2" t="n">
        <f aca="false">IFERROR(__xludf.dummyfunction("""COMPUTED_VALUE"""),116650594)</f>
        <v>116650594</v>
      </c>
    </row>
    <row r="818" customFormat="false" ht="15.75" hidden="false" customHeight="false" outlineLevel="0" collapsed="false">
      <c r="A818" s="3" t="n">
        <f aca="false">IFERROR(__xludf.dummyfunction("""COMPUTED_VALUE"""),45385.6666666667)</f>
        <v>45385.6666666667</v>
      </c>
      <c r="B818" s="2" t="n">
        <f aca="false">IFERROR(__xludf.dummyfunction("""COMPUTED_VALUE"""),164.02)</f>
        <v>164.02</v>
      </c>
      <c r="C818" s="2" t="n">
        <f aca="false">IFERROR(__xludf.dummyfunction("""COMPUTED_VALUE"""),168.82)</f>
        <v>168.82</v>
      </c>
      <c r="D818" s="2" t="n">
        <f aca="false">IFERROR(__xludf.dummyfunction("""COMPUTED_VALUE"""),163.28)</f>
        <v>163.28</v>
      </c>
      <c r="E818" s="2" t="n">
        <f aca="false">IFERROR(__xludf.dummyfunction("""COMPUTED_VALUE"""),168.38)</f>
        <v>168.38</v>
      </c>
      <c r="F818" s="2" t="n">
        <f aca="false">IFERROR(__xludf.dummyfunction("""COMPUTED_VALUE"""),82950141)</f>
        <v>82950141</v>
      </c>
    </row>
    <row r="819" customFormat="false" ht="15.75" hidden="false" customHeight="false" outlineLevel="0" collapsed="false">
      <c r="A819" s="3" t="n">
        <f aca="false">IFERROR(__xludf.dummyfunction("""COMPUTED_VALUE"""),45386.6666666667)</f>
        <v>45386.6666666667</v>
      </c>
      <c r="B819" s="2" t="n">
        <f aca="false">IFERROR(__xludf.dummyfunction("""COMPUTED_VALUE"""),170.07)</f>
        <v>170.07</v>
      </c>
      <c r="C819" s="2" t="n">
        <f aca="false">IFERROR(__xludf.dummyfunction("""COMPUTED_VALUE"""),177.19)</f>
        <v>177.19</v>
      </c>
      <c r="D819" s="2" t="n">
        <f aca="false">IFERROR(__xludf.dummyfunction("""COMPUTED_VALUE"""),168.01)</f>
        <v>168.01</v>
      </c>
      <c r="E819" s="2" t="n">
        <f aca="false">IFERROR(__xludf.dummyfunction("""COMPUTED_VALUE"""),171.11)</f>
        <v>171.11</v>
      </c>
      <c r="F819" s="2" t="n">
        <f aca="false">IFERROR(__xludf.dummyfunction("""COMPUTED_VALUE"""),123161960)</f>
        <v>123161960</v>
      </c>
    </row>
    <row r="820" customFormat="false" ht="15.75" hidden="false" customHeight="false" outlineLevel="0" collapsed="false">
      <c r="A820" s="3" t="n">
        <f aca="false">IFERROR(__xludf.dummyfunction("""COMPUTED_VALUE"""),45387.6666666667)</f>
        <v>45387.6666666667</v>
      </c>
      <c r="B820" s="2" t="n">
        <f aca="false">IFERROR(__xludf.dummyfunction("""COMPUTED_VALUE"""),169.08)</f>
        <v>169.08</v>
      </c>
      <c r="C820" s="2" t="n">
        <f aca="false">IFERROR(__xludf.dummyfunction("""COMPUTED_VALUE"""),170.86)</f>
        <v>170.86</v>
      </c>
      <c r="D820" s="2" t="n">
        <f aca="false">IFERROR(__xludf.dummyfunction("""COMPUTED_VALUE"""),160.51)</f>
        <v>160.51</v>
      </c>
      <c r="E820" s="2" t="n">
        <f aca="false">IFERROR(__xludf.dummyfunction("""COMPUTED_VALUE"""),164.9)</f>
        <v>164.9</v>
      </c>
      <c r="F820" s="2" t="n">
        <f aca="false">IFERROR(__xludf.dummyfunction("""COMPUTED_VALUE"""),143157603)</f>
        <v>143157603</v>
      </c>
    </row>
    <row r="821" customFormat="false" ht="15.75" hidden="false" customHeight="false" outlineLevel="0" collapsed="false">
      <c r="A821" s="3" t="n">
        <f aca="false">IFERROR(__xludf.dummyfunction("""COMPUTED_VALUE"""),45390.6666666667)</f>
        <v>45390.6666666667</v>
      </c>
      <c r="B821" s="2" t="n">
        <f aca="false">IFERROR(__xludf.dummyfunction("""COMPUTED_VALUE"""),169.34)</f>
        <v>169.34</v>
      </c>
      <c r="C821" s="2" t="n">
        <f aca="false">IFERROR(__xludf.dummyfunction("""COMPUTED_VALUE"""),174.5)</f>
        <v>174.5</v>
      </c>
      <c r="D821" s="2" t="n">
        <f aca="false">IFERROR(__xludf.dummyfunction("""COMPUTED_VALUE"""),167.79)</f>
        <v>167.79</v>
      </c>
      <c r="E821" s="2" t="n">
        <f aca="false">IFERROR(__xludf.dummyfunction("""COMPUTED_VALUE"""),172.98)</f>
        <v>172.98</v>
      </c>
      <c r="F821" s="2" t="n">
        <f aca="false">IFERROR(__xludf.dummyfunction("""COMPUTED_VALUE"""),104423320)</f>
        <v>104423320</v>
      </c>
    </row>
    <row r="822" customFormat="false" ht="15.75" hidden="false" customHeight="false" outlineLevel="0" collapsed="false">
      <c r="A822" s="3" t="n">
        <f aca="false">IFERROR(__xludf.dummyfunction("""COMPUTED_VALUE"""),45391.6666666667)</f>
        <v>45391.6666666667</v>
      </c>
      <c r="B822" s="2" t="n">
        <f aca="false">IFERROR(__xludf.dummyfunction("""COMPUTED_VALUE"""),172.91)</f>
        <v>172.91</v>
      </c>
      <c r="C822" s="2" t="n">
        <f aca="false">IFERROR(__xludf.dummyfunction("""COMPUTED_VALUE"""),179.22)</f>
        <v>179.22</v>
      </c>
      <c r="D822" s="2" t="n">
        <f aca="false">IFERROR(__xludf.dummyfunction("""COMPUTED_VALUE"""),171.92)</f>
        <v>171.92</v>
      </c>
      <c r="E822" s="2" t="n">
        <f aca="false">IFERROR(__xludf.dummyfunction("""COMPUTED_VALUE"""),176.88)</f>
        <v>176.88</v>
      </c>
      <c r="F822" s="2" t="n">
        <f aca="false">IFERROR(__xludf.dummyfunction("""COMPUTED_VALUE"""),103232675)</f>
        <v>103232675</v>
      </c>
    </row>
    <row r="823" customFormat="false" ht="15.75" hidden="false" customHeight="false" outlineLevel="0" collapsed="false">
      <c r="A823" s="3" t="n">
        <f aca="false">IFERROR(__xludf.dummyfunction("""COMPUTED_VALUE"""),45392.6666666667)</f>
        <v>45392.6666666667</v>
      </c>
      <c r="B823" s="2" t="n">
        <f aca="false">IFERROR(__xludf.dummyfunction("""COMPUTED_VALUE"""),173.04)</f>
        <v>173.04</v>
      </c>
      <c r="C823" s="2" t="n">
        <f aca="false">IFERROR(__xludf.dummyfunction("""COMPUTED_VALUE"""),174.93)</f>
        <v>174.93</v>
      </c>
      <c r="D823" s="2" t="n">
        <f aca="false">IFERROR(__xludf.dummyfunction("""COMPUTED_VALUE"""),170.01)</f>
        <v>170.01</v>
      </c>
      <c r="E823" s="2" t="n">
        <f aca="false">IFERROR(__xludf.dummyfunction("""COMPUTED_VALUE"""),171.76)</f>
        <v>171.76</v>
      </c>
      <c r="F823" s="2" t="n">
        <f aca="false">IFERROR(__xludf.dummyfunction("""COMPUTED_VALUE"""),84532407)</f>
        <v>84532407</v>
      </c>
    </row>
    <row r="824" customFormat="false" ht="15.75" hidden="false" customHeight="false" outlineLevel="0" collapsed="false">
      <c r="A824" s="3" t="n">
        <f aca="false">IFERROR(__xludf.dummyfunction("""COMPUTED_VALUE"""),45393.6666666667)</f>
        <v>45393.6666666667</v>
      </c>
      <c r="B824" s="2" t="n">
        <f aca="false">IFERROR(__xludf.dummyfunction("""COMPUTED_VALUE"""),172.55)</f>
        <v>172.55</v>
      </c>
      <c r="C824" s="2" t="n">
        <f aca="false">IFERROR(__xludf.dummyfunction("""COMPUTED_VALUE"""),175.88)</f>
        <v>175.88</v>
      </c>
      <c r="D824" s="2" t="n">
        <f aca="false">IFERROR(__xludf.dummyfunction("""COMPUTED_VALUE"""),168.51)</f>
        <v>168.51</v>
      </c>
      <c r="E824" s="2" t="n">
        <f aca="false">IFERROR(__xludf.dummyfunction("""COMPUTED_VALUE"""),174.6)</f>
        <v>174.6</v>
      </c>
      <c r="F824" s="2" t="n">
        <f aca="false">IFERROR(__xludf.dummyfunction("""COMPUTED_VALUE"""),94515987)</f>
        <v>94515987</v>
      </c>
    </row>
    <row r="825" customFormat="false" ht="15.75" hidden="false" customHeight="false" outlineLevel="0" collapsed="false">
      <c r="A825" s="3" t="n">
        <f aca="false">IFERROR(__xludf.dummyfunction("""COMPUTED_VALUE"""),45394.6666666667)</f>
        <v>45394.6666666667</v>
      </c>
      <c r="B825" s="2" t="n">
        <f aca="false">IFERROR(__xludf.dummyfunction("""COMPUTED_VALUE"""),172.34)</f>
        <v>172.34</v>
      </c>
      <c r="C825" s="2" t="n">
        <f aca="false">IFERROR(__xludf.dummyfunction("""COMPUTED_VALUE"""),173.81)</f>
        <v>173.81</v>
      </c>
      <c r="D825" s="2" t="n">
        <f aca="false">IFERROR(__xludf.dummyfunction("""COMPUTED_VALUE"""),170.36)</f>
        <v>170.36</v>
      </c>
      <c r="E825" s="2" t="n">
        <f aca="false">IFERROR(__xludf.dummyfunction("""COMPUTED_VALUE"""),171.05)</f>
        <v>171.05</v>
      </c>
      <c r="F825" s="2" t="n">
        <f aca="false">IFERROR(__xludf.dummyfunction("""COMPUTED_VALUE"""),64722669)</f>
        <v>64722669</v>
      </c>
    </row>
    <row r="826" customFormat="false" ht="15.75" hidden="false" customHeight="false" outlineLevel="0" collapsed="false">
      <c r="A826" s="3" t="n">
        <f aca="false">IFERROR(__xludf.dummyfunction("""COMPUTED_VALUE"""),45397.6666666667)</f>
        <v>45397.6666666667</v>
      </c>
      <c r="B826" s="2" t="n">
        <f aca="false">IFERROR(__xludf.dummyfunction("""COMPUTED_VALUE"""),170.24)</f>
        <v>170.24</v>
      </c>
      <c r="C826" s="2" t="n">
        <f aca="false">IFERROR(__xludf.dummyfunction("""COMPUTED_VALUE"""),170.69)</f>
        <v>170.69</v>
      </c>
      <c r="D826" s="2" t="n">
        <f aca="false">IFERROR(__xludf.dummyfunction("""COMPUTED_VALUE"""),161.38)</f>
        <v>161.38</v>
      </c>
      <c r="E826" s="2" t="n">
        <f aca="false">IFERROR(__xludf.dummyfunction("""COMPUTED_VALUE"""),161.48)</f>
        <v>161.48</v>
      </c>
      <c r="F826" s="2" t="n">
        <f aca="false">IFERROR(__xludf.dummyfunction("""COMPUTED_VALUE"""),100245310)</f>
        <v>100245310</v>
      </c>
    </row>
    <row r="827" customFormat="false" ht="15.75" hidden="false" customHeight="false" outlineLevel="0" collapsed="false">
      <c r="A827" s="3" t="n">
        <f aca="false">IFERROR(__xludf.dummyfunction("""COMPUTED_VALUE"""),45398.6666666667)</f>
        <v>45398.6666666667</v>
      </c>
      <c r="B827" s="2" t="n">
        <f aca="false">IFERROR(__xludf.dummyfunction("""COMPUTED_VALUE"""),156.74)</f>
        <v>156.74</v>
      </c>
      <c r="C827" s="2" t="n">
        <f aca="false">IFERROR(__xludf.dummyfunction("""COMPUTED_VALUE"""),158.19)</f>
        <v>158.19</v>
      </c>
      <c r="D827" s="2" t="n">
        <f aca="false">IFERROR(__xludf.dummyfunction("""COMPUTED_VALUE"""),153.75)</f>
        <v>153.75</v>
      </c>
      <c r="E827" s="2" t="n">
        <f aca="false">IFERROR(__xludf.dummyfunction("""COMPUTED_VALUE"""),157.11)</f>
        <v>157.11</v>
      </c>
      <c r="F827" s="2" t="n">
        <f aca="false">IFERROR(__xludf.dummyfunction("""COMPUTED_VALUE"""),96999956)</f>
        <v>96999956</v>
      </c>
    </row>
    <row r="828" customFormat="false" ht="15.75" hidden="false" customHeight="false" outlineLevel="0" collapsed="false">
      <c r="A828" s="3" t="n">
        <f aca="false">IFERROR(__xludf.dummyfunction("""COMPUTED_VALUE"""),45399.6666666667)</f>
        <v>45399.6666666667</v>
      </c>
      <c r="B828" s="2" t="n">
        <f aca="false">IFERROR(__xludf.dummyfunction("""COMPUTED_VALUE"""),157.64)</f>
        <v>157.64</v>
      </c>
      <c r="C828" s="2" t="n">
        <f aca="false">IFERROR(__xludf.dummyfunction("""COMPUTED_VALUE"""),158.33)</f>
        <v>158.33</v>
      </c>
      <c r="D828" s="2" t="n">
        <f aca="false">IFERROR(__xludf.dummyfunction("""COMPUTED_VALUE"""),153.78)</f>
        <v>153.78</v>
      </c>
      <c r="E828" s="2" t="n">
        <f aca="false">IFERROR(__xludf.dummyfunction("""COMPUTED_VALUE"""),155.45)</f>
        <v>155.45</v>
      </c>
      <c r="F828" s="2" t="n">
        <f aca="false">IFERROR(__xludf.dummyfunction("""COMPUTED_VALUE"""),82439718)</f>
        <v>82439718</v>
      </c>
    </row>
    <row r="829" customFormat="false" ht="15.75" hidden="false" customHeight="false" outlineLevel="0" collapsed="false">
      <c r="A829" s="3" t="n">
        <f aca="false">IFERROR(__xludf.dummyfunction("""COMPUTED_VALUE"""),45400.6666666667)</f>
        <v>45400.6666666667</v>
      </c>
      <c r="B829" s="2" t="n">
        <f aca="false">IFERROR(__xludf.dummyfunction("""COMPUTED_VALUE"""),151.25)</f>
        <v>151.25</v>
      </c>
      <c r="C829" s="2" t="n">
        <f aca="false">IFERROR(__xludf.dummyfunction("""COMPUTED_VALUE"""),152.2)</f>
        <v>152.2</v>
      </c>
      <c r="D829" s="2" t="n">
        <f aca="false">IFERROR(__xludf.dummyfunction("""COMPUTED_VALUE"""),148.7)</f>
        <v>148.7</v>
      </c>
      <c r="E829" s="2" t="n">
        <f aca="false">IFERROR(__xludf.dummyfunction("""COMPUTED_VALUE"""),149.93)</f>
        <v>149.93</v>
      </c>
      <c r="F829" s="2" t="n">
        <f aca="false">IFERROR(__xludf.dummyfunction("""COMPUTED_VALUE"""),96098830)</f>
        <v>96098830</v>
      </c>
    </row>
    <row r="830" customFormat="false" ht="15.75" hidden="false" customHeight="false" outlineLevel="0" collapsed="false">
      <c r="A830" s="3" t="n">
        <f aca="false">IFERROR(__xludf.dummyfunction("""COMPUTED_VALUE"""),45401.6666666667)</f>
        <v>45401.6666666667</v>
      </c>
      <c r="B830" s="2" t="n">
        <f aca="false">IFERROR(__xludf.dummyfunction("""COMPUTED_VALUE"""),148.97)</f>
        <v>148.97</v>
      </c>
      <c r="C830" s="2" t="n">
        <f aca="false">IFERROR(__xludf.dummyfunction("""COMPUTED_VALUE"""),150.94)</f>
        <v>150.94</v>
      </c>
      <c r="D830" s="2" t="n">
        <f aca="false">IFERROR(__xludf.dummyfunction("""COMPUTED_VALUE"""),146.22)</f>
        <v>146.22</v>
      </c>
      <c r="E830" s="2" t="n">
        <f aca="false">IFERROR(__xludf.dummyfunction("""COMPUTED_VALUE"""),147.05)</f>
        <v>147.05</v>
      </c>
      <c r="F830" s="2" t="n">
        <f aca="false">IFERROR(__xludf.dummyfunction("""COMPUTED_VALUE"""),87074500)</f>
        <v>87074500</v>
      </c>
    </row>
    <row r="831" customFormat="false" ht="15.75" hidden="false" customHeight="false" outlineLevel="0" collapsed="false">
      <c r="A831" s="3" t="n">
        <f aca="false">IFERROR(__xludf.dummyfunction("""COMPUTED_VALUE"""),45404.6666666667)</f>
        <v>45404.6666666667</v>
      </c>
      <c r="B831" s="2" t="n">
        <f aca="false">IFERROR(__xludf.dummyfunction("""COMPUTED_VALUE"""),140.56)</f>
        <v>140.56</v>
      </c>
      <c r="C831" s="2" t="n">
        <f aca="false">IFERROR(__xludf.dummyfunction("""COMPUTED_VALUE"""),144.44)</f>
        <v>144.44</v>
      </c>
      <c r="D831" s="2" t="n">
        <f aca="false">IFERROR(__xludf.dummyfunction("""COMPUTED_VALUE"""),138.8)</f>
        <v>138.8</v>
      </c>
      <c r="E831" s="2" t="n">
        <f aca="false">IFERROR(__xludf.dummyfunction("""COMPUTED_VALUE"""),142.05)</f>
        <v>142.05</v>
      </c>
      <c r="F831" s="2" t="n">
        <f aca="false">IFERROR(__xludf.dummyfunction("""COMPUTED_VALUE"""),107097564)</f>
        <v>107097564</v>
      </c>
    </row>
    <row r="832" customFormat="false" ht="15.75" hidden="false" customHeight="false" outlineLevel="0" collapsed="false">
      <c r="A832" s="3" t="n">
        <f aca="false">IFERROR(__xludf.dummyfunction("""COMPUTED_VALUE"""),45405.6666666667)</f>
        <v>45405.6666666667</v>
      </c>
      <c r="B832" s="2" t="n">
        <f aca="false">IFERROR(__xludf.dummyfunction("""COMPUTED_VALUE"""),143.33)</f>
        <v>143.33</v>
      </c>
      <c r="C832" s="2" t="n">
        <f aca="false">IFERROR(__xludf.dummyfunction("""COMPUTED_VALUE"""),147.26)</f>
        <v>147.26</v>
      </c>
      <c r="D832" s="2" t="n">
        <f aca="false">IFERROR(__xludf.dummyfunction("""COMPUTED_VALUE"""),141.11)</f>
        <v>141.11</v>
      </c>
      <c r="E832" s="2" t="n">
        <f aca="false">IFERROR(__xludf.dummyfunction("""COMPUTED_VALUE"""),144.68)</f>
        <v>144.68</v>
      </c>
      <c r="F832" s="2" t="n">
        <f aca="false">IFERROR(__xludf.dummyfunction("""COMPUTED_VALUE"""),124545104)</f>
        <v>124545104</v>
      </c>
    </row>
    <row r="833" customFormat="false" ht="15.75" hidden="false" customHeight="false" outlineLevel="0" collapsed="false">
      <c r="A833" s="3" t="n">
        <f aca="false">IFERROR(__xludf.dummyfunction("""COMPUTED_VALUE"""),45406.6666666667)</f>
        <v>45406.6666666667</v>
      </c>
      <c r="B833" s="2" t="n">
        <f aca="false">IFERROR(__xludf.dummyfunction("""COMPUTED_VALUE"""),162.84)</f>
        <v>162.84</v>
      </c>
      <c r="C833" s="2" t="n">
        <f aca="false">IFERROR(__xludf.dummyfunction("""COMPUTED_VALUE"""),167.97)</f>
        <v>167.97</v>
      </c>
      <c r="D833" s="2" t="n">
        <f aca="false">IFERROR(__xludf.dummyfunction("""COMPUTED_VALUE"""),157.51)</f>
        <v>157.51</v>
      </c>
      <c r="E833" s="2" t="n">
        <f aca="false">IFERROR(__xludf.dummyfunction("""COMPUTED_VALUE"""),162.13)</f>
        <v>162.13</v>
      </c>
      <c r="F833" s="2" t="n">
        <f aca="false">IFERROR(__xludf.dummyfunction("""COMPUTED_VALUE"""),181178020)</f>
        <v>181178020</v>
      </c>
    </row>
    <row r="834" customFormat="false" ht="15.75" hidden="false" customHeight="false" outlineLevel="0" collapsed="false">
      <c r="A834" s="3" t="n">
        <f aca="false">IFERROR(__xludf.dummyfunction("""COMPUTED_VALUE"""),45407.6666666667)</f>
        <v>45407.6666666667</v>
      </c>
      <c r="B834" s="2" t="n">
        <f aca="false">IFERROR(__xludf.dummyfunction("""COMPUTED_VALUE"""),158.96)</f>
        <v>158.96</v>
      </c>
      <c r="C834" s="2" t="n">
        <f aca="false">IFERROR(__xludf.dummyfunction("""COMPUTED_VALUE"""),170.88)</f>
        <v>170.88</v>
      </c>
      <c r="D834" s="2" t="n">
        <f aca="false">IFERROR(__xludf.dummyfunction("""COMPUTED_VALUE"""),158.36)</f>
        <v>158.36</v>
      </c>
      <c r="E834" s="2" t="n">
        <f aca="false">IFERROR(__xludf.dummyfunction("""COMPUTED_VALUE"""),170.18)</f>
        <v>170.18</v>
      </c>
      <c r="F834" s="2" t="n">
        <f aca="false">IFERROR(__xludf.dummyfunction("""COMPUTED_VALUE"""),126427521)</f>
        <v>126427521</v>
      </c>
    </row>
    <row r="835" customFormat="false" ht="15.75" hidden="false" customHeight="false" outlineLevel="0" collapsed="false">
      <c r="A835" s="3" t="n">
        <f aca="false">IFERROR(__xludf.dummyfunction("""COMPUTED_VALUE"""),45408.6666666667)</f>
        <v>45408.6666666667</v>
      </c>
      <c r="B835" s="2" t="n">
        <f aca="false">IFERROR(__xludf.dummyfunction("""COMPUTED_VALUE"""),168.85)</f>
        <v>168.85</v>
      </c>
      <c r="C835" s="2" t="n">
        <f aca="false">IFERROR(__xludf.dummyfunction("""COMPUTED_VALUE"""),172.12)</f>
        <v>172.12</v>
      </c>
      <c r="D835" s="2" t="n">
        <f aca="false">IFERROR(__xludf.dummyfunction("""COMPUTED_VALUE"""),166.37)</f>
        <v>166.37</v>
      </c>
      <c r="E835" s="2" t="n">
        <f aca="false">IFERROR(__xludf.dummyfunction("""COMPUTED_VALUE"""),168.29)</f>
        <v>168.29</v>
      </c>
      <c r="F835" s="2" t="n">
        <f aca="false">IFERROR(__xludf.dummyfunction("""COMPUTED_VALUE"""),109815725)</f>
        <v>109815725</v>
      </c>
    </row>
    <row r="836" customFormat="false" ht="15.75" hidden="false" customHeight="false" outlineLevel="0" collapsed="false">
      <c r="A836" s="3" t="n">
        <f aca="false">IFERROR(__xludf.dummyfunction("""COMPUTED_VALUE"""),45411.6666666667)</f>
        <v>45411.6666666667</v>
      </c>
      <c r="B836" s="2" t="n">
        <f aca="false">IFERROR(__xludf.dummyfunction("""COMPUTED_VALUE"""),188.42)</f>
        <v>188.42</v>
      </c>
      <c r="C836" s="2" t="n">
        <f aca="false">IFERROR(__xludf.dummyfunction("""COMPUTED_VALUE"""),198.87)</f>
        <v>198.87</v>
      </c>
      <c r="D836" s="2" t="n">
        <f aca="false">IFERROR(__xludf.dummyfunction("""COMPUTED_VALUE"""),184.54)</f>
        <v>184.54</v>
      </c>
      <c r="E836" s="2" t="n">
        <f aca="false">IFERROR(__xludf.dummyfunction("""COMPUTED_VALUE"""),194.05)</f>
        <v>194.05</v>
      </c>
      <c r="F836" s="2" t="n">
        <f aca="false">IFERROR(__xludf.dummyfunction("""COMPUTED_VALUE"""),243869678)</f>
        <v>243869678</v>
      </c>
    </row>
    <row r="837" customFormat="false" ht="15.75" hidden="false" customHeight="false" outlineLevel="0" collapsed="false">
      <c r="A837" s="3" t="n">
        <f aca="false">IFERROR(__xludf.dummyfunction("""COMPUTED_VALUE"""),45412.6666666667)</f>
        <v>45412.6666666667</v>
      </c>
      <c r="B837" s="2" t="n">
        <f aca="false">IFERROR(__xludf.dummyfunction("""COMPUTED_VALUE"""),186.98)</f>
        <v>186.98</v>
      </c>
      <c r="C837" s="2" t="n">
        <f aca="false">IFERROR(__xludf.dummyfunction("""COMPUTED_VALUE"""),190.95)</f>
        <v>190.95</v>
      </c>
      <c r="D837" s="2" t="n">
        <f aca="false">IFERROR(__xludf.dummyfunction("""COMPUTED_VALUE"""),182.84)</f>
        <v>182.84</v>
      </c>
      <c r="E837" s="2" t="n">
        <f aca="false">IFERROR(__xludf.dummyfunction("""COMPUTED_VALUE"""),183.28)</f>
        <v>183.28</v>
      </c>
      <c r="F837" s="2" t="n">
        <f aca="false">IFERROR(__xludf.dummyfunction("""COMPUTED_VALUE"""),127031787)</f>
        <v>127031787</v>
      </c>
    </row>
    <row r="838" customFormat="false" ht="15.75" hidden="false" customHeight="false" outlineLevel="0" collapsed="false">
      <c r="A838" s="3" t="n">
        <f aca="false">IFERROR(__xludf.dummyfunction("""COMPUTED_VALUE"""),45413.6666666667)</f>
        <v>45413.6666666667</v>
      </c>
      <c r="B838" s="2" t="n">
        <f aca="false">IFERROR(__xludf.dummyfunction("""COMPUTED_VALUE"""),182)</f>
        <v>182</v>
      </c>
      <c r="C838" s="2" t="n">
        <f aca="false">IFERROR(__xludf.dummyfunction("""COMPUTED_VALUE"""),185.86)</f>
        <v>185.86</v>
      </c>
      <c r="D838" s="2" t="n">
        <f aca="false">IFERROR(__xludf.dummyfunction("""COMPUTED_VALUE"""),179.01)</f>
        <v>179.01</v>
      </c>
      <c r="E838" s="2" t="n">
        <f aca="false">IFERROR(__xludf.dummyfunction("""COMPUTED_VALUE"""),179.99)</f>
        <v>179.99</v>
      </c>
      <c r="F838" s="2" t="n">
        <f aca="false">IFERROR(__xludf.dummyfunction("""COMPUTED_VALUE"""),92829719)</f>
        <v>92829719</v>
      </c>
    </row>
    <row r="839" customFormat="false" ht="15.75" hidden="false" customHeight="false" outlineLevel="0" collapsed="false">
      <c r="A839" s="3" t="n">
        <f aca="false">IFERROR(__xludf.dummyfunction("""COMPUTED_VALUE"""),45414.6666666667)</f>
        <v>45414.6666666667</v>
      </c>
      <c r="B839" s="2" t="n">
        <f aca="false">IFERROR(__xludf.dummyfunction("""COMPUTED_VALUE"""),182.86)</f>
        <v>182.86</v>
      </c>
      <c r="C839" s="2" t="n">
        <f aca="false">IFERROR(__xludf.dummyfunction("""COMPUTED_VALUE"""),184.6)</f>
        <v>184.6</v>
      </c>
      <c r="D839" s="2" t="n">
        <f aca="false">IFERROR(__xludf.dummyfunction("""COMPUTED_VALUE"""),176.02)</f>
        <v>176.02</v>
      </c>
      <c r="E839" s="2" t="n">
        <f aca="false">IFERROR(__xludf.dummyfunction("""COMPUTED_VALUE"""),180.01)</f>
        <v>180.01</v>
      </c>
      <c r="F839" s="2" t="n">
        <f aca="false">IFERROR(__xludf.dummyfunction("""COMPUTED_VALUE"""),89148041)</f>
        <v>89148041</v>
      </c>
    </row>
    <row r="840" customFormat="false" ht="15.75" hidden="false" customHeight="false" outlineLevel="0" collapsed="false">
      <c r="A840" s="3" t="n">
        <f aca="false">IFERROR(__xludf.dummyfunction("""COMPUTED_VALUE"""),45415.6666666667)</f>
        <v>45415.6666666667</v>
      </c>
      <c r="B840" s="2" t="n">
        <f aca="false">IFERROR(__xludf.dummyfunction("""COMPUTED_VALUE"""),182.1)</f>
        <v>182.1</v>
      </c>
      <c r="C840" s="2" t="n">
        <f aca="false">IFERROR(__xludf.dummyfunction("""COMPUTED_VALUE"""),184.78)</f>
        <v>184.78</v>
      </c>
      <c r="D840" s="2" t="n">
        <f aca="false">IFERROR(__xludf.dummyfunction("""COMPUTED_VALUE"""),178.42)</f>
        <v>178.42</v>
      </c>
      <c r="E840" s="2" t="n">
        <f aca="false">IFERROR(__xludf.dummyfunction("""COMPUTED_VALUE"""),181.19)</f>
        <v>181.19</v>
      </c>
      <c r="F840" s="2" t="n">
        <f aca="false">IFERROR(__xludf.dummyfunction("""COMPUTED_VALUE"""),75491539)</f>
        <v>75491539</v>
      </c>
    </row>
    <row r="841" customFormat="false" ht="15.75" hidden="false" customHeight="false" outlineLevel="0" collapsed="false">
      <c r="A841" s="3" t="n">
        <f aca="false">IFERROR(__xludf.dummyfunction("""COMPUTED_VALUE"""),45418.6666666667)</f>
        <v>45418.6666666667</v>
      </c>
      <c r="B841" s="2" t="n">
        <f aca="false">IFERROR(__xludf.dummyfunction("""COMPUTED_VALUE"""),183.8)</f>
        <v>183.8</v>
      </c>
      <c r="C841" s="2" t="n">
        <f aca="false">IFERROR(__xludf.dummyfunction("""COMPUTED_VALUE"""),187.56)</f>
        <v>187.56</v>
      </c>
      <c r="D841" s="2" t="n">
        <f aca="false">IFERROR(__xludf.dummyfunction("""COMPUTED_VALUE"""),182.2)</f>
        <v>182.2</v>
      </c>
      <c r="E841" s="2" t="n">
        <f aca="false">IFERROR(__xludf.dummyfunction("""COMPUTED_VALUE"""),184.76)</f>
        <v>184.76</v>
      </c>
      <c r="F841" s="2" t="n">
        <f aca="false">IFERROR(__xludf.dummyfunction("""COMPUTED_VALUE"""),84390253)</f>
        <v>84390253</v>
      </c>
    </row>
    <row r="842" customFormat="false" ht="15.75" hidden="false" customHeight="false" outlineLevel="0" collapsed="false">
      <c r="A842" s="3" t="n">
        <f aca="false">IFERROR(__xludf.dummyfunction("""COMPUTED_VALUE"""),45419.6666666667)</f>
        <v>45419.6666666667</v>
      </c>
      <c r="B842" s="2" t="n">
        <f aca="false">IFERROR(__xludf.dummyfunction("""COMPUTED_VALUE"""),182.4)</f>
        <v>182.4</v>
      </c>
      <c r="C842" s="2" t="n">
        <f aca="false">IFERROR(__xludf.dummyfunction("""COMPUTED_VALUE"""),183.26)</f>
        <v>183.26</v>
      </c>
      <c r="D842" s="2" t="n">
        <f aca="false">IFERROR(__xludf.dummyfunction("""COMPUTED_VALUE"""),177.4)</f>
        <v>177.4</v>
      </c>
      <c r="E842" s="2" t="n">
        <f aca="false">IFERROR(__xludf.dummyfunction("""COMPUTED_VALUE"""),177.81)</f>
        <v>177.81</v>
      </c>
      <c r="F842" s="2" t="n">
        <f aca="false">IFERROR(__xludf.dummyfunction("""COMPUTED_VALUE"""),75045854)</f>
        <v>75045854</v>
      </c>
    </row>
    <row r="843" customFormat="false" ht="15.75" hidden="false" customHeight="false" outlineLevel="0" collapsed="false">
      <c r="A843" s="3" t="n">
        <f aca="false">IFERROR(__xludf.dummyfunction("""COMPUTED_VALUE"""),45420.6666666667)</f>
        <v>45420.6666666667</v>
      </c>
      <c r="B843" s="2" t="n">
        <f aca="false">IFERROR(__xludf.dummyfunction("""COMPUTED_VALUE"""),171.59)</f>
        <v>171.59</v>
      </c>
      <c r="C843" s="2" t="n">
        <f aca="false">IFERROR(__xludf.dummyfunction("""COMPUTED_VALUE"""),176.06)</f>
        <v>176.06</v>
      </c>
      <c r="D843" s="2" t="n">
        <f aca="false">IFERROR(__xludf.dummyfunction("""COMPUTED_VALUE"""),170.15)</f>
        <v>170.15</v>
      </c>
      <c r="E843" s="2" t="n">
        <f aca="false">IFERROR(__xludf.dummyfunction("""COMPUTED_VALUE"""),174.72)</f>
        <v>174.72</v>
      </c>
      <c r="F843" s="2" t="n">
        <f aca="false">IFERROR(__xludf.dummyfunction("""COMPUTED_VALUE"""),79969488)</f>
        <v>79969488</v>
      </c>
    </row>
    <row r="844" customFormat="false" ht="15.75" hidden="false" customHeight="false" outlineLevel="0" collapsed="false">
      <c r="A844" s="3" t="n">
        <f aca="false">IFERROR(__xludf.dummyfunction("""COMPUTED_VALUE"""),45421.6666666667)</f>
        <v>45421.6666666667</v>
      </c>
      <c r="B844" s="2" t="n">
        <f aca="false">IFERROR(__xludf.dummyfunction("""COMPUTED_VALUE"""),175.01)</f>
        <v>175.01</v>
      </c>
      <c r="C844" s="2" t="n">
        <f aca="false">IFERROR(__xludf.dummyfunction("""COMPUTED_VALUE"""),175.62)</f>
        <v>175.62</v>
      </c>
      <c r="D844" s="2" t="n">
        <f aca="false">IFERROR(__xludf.dummyfunction("""COMPUTED_VALUE"""),171.37)</f>
        <v>171.37</v>
      </c>
      <c r="E844" s="2" t="n">
        <f aca="false">IFERROR(__xludf.dummyfunction("""COMPUTED_VALUE"""),171.97)</f>
        <v>171.97</v>
      </c>
      <c r="F844" s="2" t="n">
        <f aca="false">IFERROR(__xludf.dummyfunction("""COMPUTED_VALUE"""),65950292)</f>
        <v>65950292</v>
      </c>
    </row>
    <row r="845" customFormat="false" ht="15.75" hidden="false" customHeight="false" outlineLevel="0" collapsed="false">
      <c r="A845" s="3" t="n">
        <f aca="false">IFERROR(__xludf.dummyfunction("""COMPUTED_VALUE"""),45422.6666666667)</f>
        <v>45422.6666666667</v>
      </c>
      <c r="B845" s="2" t="n">
        <f aca="false">IFERROR(__xludf.dummyfunction("""COMPUTED_VALUE"""),173.05)</f>
        <v>173.05</v>
      </c>
      <c r="C845" s="2" t="n">
        <f aca="false">IFERROR(__xludf.dummyfunction("""COMPUTED_VALUE"""),173.06)</f>
        <v>173.06</v>
      </c>
      <c r="D845" s="2" t="n">
        <f aca="false">IFERROR(__xludf.dummyfunction("""COMPUTED_VALUE"""),167.75)</f>
        <v>167.75</v>
      </c>
      <c r="E845" s="2" t="n">
        <f aca="false">IFERROR(__xludf.dummyfunction("""COMPUTED_VALUE"""),168.47)</f>
        <v>168.47</v>
      </c>
      <c r="F845" s="2" t="n">
        <f aca="false">IFERROR(__xludf.dummyfunction("""COMPUTED_VALUE"""),72627178)</f>
        <v>72627178</v>
      </c>
    </row>
    <row r="846" customFormat="false" ht="15.75" hidden="false" customHeight="false" outlineLevel="0" collapsed="false">
      <c r="A846" s="3" t="n">
        <f aca="false">IFERROR(__xludf.dummyfunction("""COMPUTED_VALUE"""),45425.6666666667)</f>
        <v>45425.6666666667</v>
      </c>
      <c r="B846" s="2" t="n">
        <f aca="false">IFERROR(__xludf.dummyfunction("""COMPUTED_VALUE"""),170)</f>
        <v>170</v>
      </c>
      <c r="C846" s="2" t="n">
        <f aca="false">IFERROR(__xludf.dummyfunction("""COMPUTED_VALUE"""),175.4)</f>
        <v>175.4</v>
      </c>
      <c r="D846" s="2" t="n">
        <f aca="false">IFERROR(__xludf.dummyfunction("""COMPUTED_VALUE"""),169)</f>
        <v>169</v>
      </c>
      <c r="E846" s="2" t="n">
        <f aca="false">IFERROR(__xludf.dummyfunction("""COMPUTED_VALUE"""),171.89)</f>
        <v>171.89</v>
      </c>
      <c r="F846" s="2" t="n">
        <f aca="false">IFERROR(__xludf.dummyfunction("""COMPUTED_VALUE"""),67018903)</f>
        <v>67018903</v>
      </c>
    </row>
    <row r="847" customFormat="false" ht="15.75" hidden="false" customHeight="false" outlineLevel="0" collapsed="false">
      <c r="A847" s="3" t="n">
        <f aca="false">IFERROR(__xludf.dummyfunction("""COMPUTED_VALUE"""),45426.6666666667)</f>
        <v>45426.6666666667</v>
      </c>
      <c r="B847" s="2" t="n">
        <f aca="false">IFERROR(__xludf.dummyfunction("""COMPUTED_VALUE"""),174.5)</f>
        <v>174.5</v>
      </c>
      <c r="C847" s="2" t="n">
        <f aca="false">IFERROR(__xludf.dummyfunction("""COMPUTED_VALUE"""),179.49)</f>
        <v>179.49</v>
      </c>
      <c r="D847" s="2" t="n">
        <f aca="false">IFERROR(__xludf.dummyfunction("""COMPUTED_VALUE"""),174.07)</f>
        <v>174.07</v>
      </c>
      <c r="E847" s="2" t="n">
        <f aca="false">IFERROR(__xludf.dummyfunction("""COMPUTED_VALUE"""),177.55)</f>
        <v>177.55</v>
      </c>
      <c r="F847" s="2" t="n">
        <f aca="false">IFERROR(__xludf.dummyfunction("""COMPUTED_VALUE"""),86407422)</f>
        <v>86407422</v>
      </c>
    </row>
    <row r="848" customFormat="false" ht="15.75" hidden="false" customHeight="false" outlineLevel="0" collapsed="false">
      <c r="A848" s="3" t="n">
        <f aca="false">IFERROR(__xludf.dummyfunction("""COMPUTED_VALUE"""),45427.6666666667)</f>
        <v>45427.6666666667</v>
      </c>
      <c r="B848" s="2" t="n">
        <f aca="false">IFERROR(__xludf.dummyfunction("""COMPUTED_VALUE"""),179.9)</f>
        <v>179.9</v>
      </c>
      <c r="C848" s="2" t="n">
        <f aca="false">IFERROR(__xludf.dummyfunction("""COMPUTED_VALUE"""),180)</f>
        <v>180</v>
      </c>
      <c r="D848" s="2" t="n">
        <f aca="false">IFERROR(__xludf.dummyfunction("""COMPUTED_VALUE"""),173.11)</f>
        <v>173.11</v>
      </c>
      <c r="E848" s="2" t="n">
        <f aca="false">IFERROR(__xludf.dummyfunction("""COMPUTED_VALUE"""),173.99)</f>
        <v>173.99</v>
      </c>
      <c r="F848" s="2" t="n">
        <f aca="false">IFERROR(__xludf.dummyfunction("""COMPUTED_VALUE"""),79662993)</f>
        <v>79662993</v>
      </c>
    </row>
    <row r="849" customFormat="false" ht="15.75" hidden="false" customHeight="false" outlineLevel="0" collapsed="false">
      <c r="A849" s="3" t="n">
        <f aca="false">IFERROR(__xludf.dummyfunction("""COMPUTED_VALUE"""),45428.6666666667)</f>
        <v>45428.6666666667</v>
      </c>
      <c r="B849" s="2" t="n">
        <f aca="false">IFERROR(__xludf.dummyfunction("""COMPUTED_VALUE"""),174.1)</f>
        <v>174.1</v>
      </c>
      <c r="C849" s="2" t="n">
        <f aca="false">IFERROR(__xludf.dummyfunction("""COMPUTED_VALUE"""),175.79)</f>
        <v>175.79</v>
      </c>
      <c r="D849" s="2" t="n">
        <f aca="false">IFERROR(__xludf.dummyfunction("""COMPUTED_VALUE"""),171.43)</f>
        <v>171.43</v>
      </c>
      <c r="E849" s="2" t="n">
        <f aca="false">IFERROR(__xludf.dummyfunction("""COMPUTED_VALUE"""),174.84)</f>
        <v>174.84</v>
      </c>
      <c r="F849" s="2" t="n">
        <f aca="false">IFERROR(__xludf.dummyfunction("""COMPUTED_VALUE"""),59812220)</f>
        <v>59812220</v>
      </c>
    </row>
    <row r="850" customFormat="false" ht="15.75" hidden="false" customHeight="false" outlineLevel="0" collapsed="false">
      <c r="A850" s="3" t="n">
        <f aca="false">IFERROR(__xludf.dummyfunction("""COMPUTED_VALUE"""),45429.6666666667)</f>
        <v>45429.6666666667</v>
      </c>
      <c r="B850" s="2" t="n">
        <f aca="false">IFERROR(__xludf.dummyfunction("""COMPUTED_VALUE"""),173.55)</f>
        <v>173.55</v>
      </c>
      <c r="C850" s="2" t="n">
        <f aca="false">IFERROR(__xludf.dummyfunction("""COMPUTED_VALUE"""),179.63)</f>
        <v>179.63</v>
      </c>
      <c r="D850" s="2" t="n">
        <f aca="false">IFERROR(__xludf.dummyfunction("""COMPUTED_VALUE"""),172.75)</f>
        <v>172.75</v>
      </c>
      <c r="E850" s="2" t="n">
        <f aca="false">IFERROR(__xludf.dummyfunction("""COMPUTED_VALUE"""),177.46)</f>
        <v>177.46</v>
      </c>
      <c r="F850" s="2" t="n">
        <f aca="false">IFERROR(__xludf.dummyfunction("""COMPUTED_VALUE"""),77445845)</f>
        <v>77445845</v>
      </c>
    </row>
    <row r="851" customFormat="false" ht="15.75" hidden="false" customHeight="false" outlineLevel="0" collapsed="false">
      <c r="A851" s="3" t="n">
        <f aca="false">IFERROR(__xludf.dummyfunction("""COMPUTED_VALUE"""),45432.6666666667)</f>
        <v>45432.6666666667</v>
      </c>
      <c r="B851" s="2" t="n">
        <f aca="false">IFERROR(__xludf.dummyfunction("""COMPUTED_VALUE"""),177.56)</f>
        <v>177.56</v>
      </c>
      <c r="C851" s="2" t="n">
        <f aca="false">IFERROR(__xludf.dummyfunction("""COMPUTED_VALUE"""),177.75)</f>
        <v>177.75</v>
      </c>
      <c r="D851" s="2" t="n">
        <f aca="false">IFERROR(__xludf.dummyfunction("""COMPUTED_VALUE"""),173.52)</f>
        <v>173.52</v>
      </c>
      <c r="E851" s="2" t="n">
        <f aca="false">IFERROR(__xludf.dummyfunction("""COMPUTED_VALUE"""),174.95)</f>
        <v>174.95</v>
      </c>
      <c r="F851" s="2" t="n">
        <f aca="false">IFERROR(__xludf.dummyfunction("""COMPUTED_VALUE"""),61727425)</f>
        <v>61727425</v>
      </c>
    </row>
    <row r="852" customFormat="false" ht="15.75" hidden="false" customHeight="false" outlineLevel="0" collapsed="false">
      <c r="A852" s="3" t="n">
        <f aca="false">IFERROR(__xludf.dummyfunction("""COMPUTED_VALUE"""),45433.6666666667)</f>
        <v>45433.6666666667</v>
      </c>
      <c r="B852" s="2" t="n">
        <f aca="false">IFERROR(__xludf.dummyfunction("""COMPUTED_VALUE"""),175.51)</f>
        <v>175.51</v>
      </c>
      <c r="C852" s="2" t="n">
        <f aca="false">IFERROR(__xludf.dummyfunction("""COMPUTED_VALUE"""),186.88)</f>
        <v>186.88</v>
      </c>
      <c r="D852" s="2" t="n">
        <f aca="false">IFERROR(__xludf.dummyfunction("""COMPUTED_VALUE"""),174.71)</f>
        <v>174.71</v>
      </c>
      <c r="E852" s="2" t="n">
        <f aca="false">IFERROR(__xludf.dummyfunction("""COMPUTED_VALUE"""),186.6)</f>
        <v>186.6</v>
      </c>
      <c r="F852" s="2" t="n">
        <f aca="false">IFERROR(__xludf.dummyfunction("""COMPUTED_VALUE"""),115266512)</f>
        <v>115266512</v>
      </c>
    </row>
    <row r="853" customFormat="false" ht="15.75" hidden="false" customHeight="false" outlineLevel="0" collapsed="false">
      <c r="A853" s="3" t="n">
        <f aca="false">IFERROR(__xludf.dummyfunction("""COMPUTED_VALUE"""),45434.6666666667)</f>
        <v>45434.6666666667</v>
      </c>
      <c r="B853" s="2" t="n">
        <f aca="false">IFERROR(__xludf.dummyfunction("""COMPUTED_VALUE"""),182.85)</f>
        <v>182.85</v>
      </c>
      <c r="C853" s="2" t="n">
        <f aca="false">IFERROR(__xludf.dummyfunction("""COMPUTED_VALUE"""),183.8)</f>
        <v>183.8</v>
      </c>
      <c r="D853" s="2" t="n">
        <f aca="false">IFERROR(__xludf.dummyfunction("""COMPUTED_VALUE"""),178.12)</f>
        <v>178.12</v>
      </c>
      <c r="E853" s="2" t="n">
        <f aca="false">IFERROR(__xludf.dummyfunction("""COMPUTED_VALUE"""),180.11)</f>
        <v>180.11</v>
      </c>
      <c r="F853" s="2" t="n">
        <f aca="false">IFERROR(__xludf.dummyfunction("""COMPUTED_VALUE"""),88313477)</f>
        <v>88313477</v>
      </c>
    </row>
    <row r="854" customFormat="false" ht="15.75" hidden="false" customHeight="false" outlineLevel="0" collapsed="false">
      <c r="A854" s="3" t="n">
        <f aca="false">IFERROR(__xludf.dummyfunction("""COMPUTED_VALUE"""),45435.6666666667)</f>
        <v>45435.6666666667</v>
      </c>
      <c r="B854" s="2" t="n">
        <f aca="false">IFERROR(__xludf.dummyfunction("""COMPUTED_VALUE"""),181.8)</f>
        <v>181.8</v>
      </c>
      <c r="C854" s="2" t="n">
        <f aca="false">IFERROR(__xludf.dummyfunction("""COMPUTED_VALUE"""),181.9)</f>
        <v>181.9</v>
      </c>
      <c r="D854" s="2" t="n">
        <f aca="false">IFERROR(__xludf.dummyfunction("""COMPUTED_VALUE"""),173.26)</f>
        <v>173.26</v>
      </c>
      <c r="E854" s="2" t="n">
        <f aca="false">IFERROR(__xludf.dummyfunction("""COMPUTED_VALUE"""),173.74)</f>
        <v>173.74</v>
      </c>
      <c r="F854" s="2" t="n">
        <f aca="false">IFERROR(__xludf.dummyfunction("""COMPUTED_VALUE"""),71975496)</f>
        <v>71975496</v>
      </c>
    </row>
    <row r="855" customFormat="false" ht="15.75" hidden="false" customHeight="false" outlineLevel="0" collapsed="false">
      <c r="A855" s="3" t="n">
        <f aca="false">IFERROR(__xludf.dummyfunction("""COMPUTED_VALUE"""),45436.6666666667)</f>
        <v>45436.6666666667</v>
      </c>
      <c r="B855" s="2" t="n">
        <f aca="false">IFERROR(__xludf.dummyfunction("""COMPUTED_VALUE"""),174.84)</f>
        <v>174.84</v>
      </c>
      <c r="C855" s="2" t="n">
        <f aca="false">IFERROR(__xludf.dummyfunction("""COMPUTED_VALUE"""),180.08)</f>
        <v>180.08</v>
      </c>
      <c r="D855" s="2" t="n">
        <f aca="false">IFERROR(__xludf.dummyfunction("""COMPUTED_VALUE"""),173.73)</f>
        <v>173.73</v>
      </c>
      <c r="E855" s="2" t="n">
        <f aca="false">IFERROR(__xludf.dummyfunction("""COMPUTED_VALUE"""),179.24)</f>
        <v>179.24</v>
      </c>
      <c r="F855" s="2" t="n">
        <f aca="false">IFERROR(__xludf.dummyfunction("""COMPUTED_VALUE"""),65584478)</f>
        <v>65584478</v>
      </c>
    </row>
    <row r="856" customFormat="false" ht="15.75" hidden="false" customHeight="false" outlineLevel="0" collapsed="false">
      <c r="A856" s="3" t="n">
        <f aca="false">IFERROR(__xludf.dummyfunction("""COMPUTED_VALUE"""),45440.6666666667)</f>
        <v>45440.6666666667</v>
      </c>
      <c r="B856" s="2" t="n">
        <f aca="false">IFERROR(__xludf.dummyfunction("""COMPUTED_VALUE"""),176.4)</f>
        <v>176.4</v>
      </c>
      <c r="C856" s="2" t="n">
        <f aca="false">IFERROR(__xludf.dummyfunction("""COMPUTED_VALUE"""),178.25)</f>
        <v>178.25</v>
      </c>
      <c r="D856" s="2" t="n">
        <f aca="false">IFERROR(__xludf.dummyfunction("""COMPUTED_VALUE"""),173.16)</f>
        <v>173.16</v>
      </c>
      <c r="E856" s="2" t="n">
        <f aca="false">IFERROR(__xludf.dummyfunction("""COMPUTED_VALUE"""),176.75)</f>
        <v>176.75</v>
      </c>
      <c r="F856" s="2" t="n">
        <f aca="false">IFERROR(__xludf.dummyfunction("""COMPUTED_VALUE"""),59736620)</f>
        <v>59736620</v>
      </c>
    </row>
    <row r="857" customFormat="false" ht="15.75" hidden="false" customHeight="false" outlineLevel="0" collapsed="false">
      <c r="A857" s="3" t="n">
        <f aca="false">IFERROR(__xludf.dummyfunction("""COMPUTED_VALUE"""),45441.6666666667)</f>
        <v>45441.6666666667</v>
      </c>
      <c r="B857" s="2" t="n">
        <f aca="false">IFERROR(__xludf.dummyfunction("""COMPUTED_VALUE"""),174.19)</f>
        <v>174.19</v>
      </c>
      <c r="C857" s="2" t="n">
        <f aca="false">IFERROR(__xludf.dummyfunction("""COMPUTED_VALUE"""),178.15)</f>
        <v>178.15</v>
      </c>
      <c r="D857" s="2" t="n">
        <f aca="false">IFERROR(__xludf.dummyfunction("""COMPUTED_VALUE"""),173.93)</f>
        <v>173.93</v>
      </c>
      <c r="E857" s="2" t="n">
        <f aca="false">IFERROR(__xludf.dummyfunction("""COMPUTED_VALUE"""),176.19)</f>
        <v>176.19</v>
      </c>
      <c r="F857" s="2" t="n">
        <f aca="false">IFERROR(__xludf.dummyfunction("""COMPUTED_VALUE"""),54782649)</f>
        <v>54782649</v>
      </c>
    </row>
    <row r="858" customFormat="false" ht="15.75" hidden="false" customHeight="false" outlineLevel="0" collapsed="false">
      <c r="A858" s="3" t="n">
        <f aca="false">IFERROR(__xludf.dummyfunction("""COMPUTED_VALUE"""),45442.6666666667)</f>
        <v>45442.6666666667</v>
      </c>
      <c r="B858" s="2" t="n">
        <f aca="false">IFERROR(__xludf.dummyfunction("""COMPUTED_VALUE"""),178.58)</f>
        <v>178.58</v>
      </c>
      <c r="C858" s="2" t="n">
        <f aca="false">IFERROR(__xludf.dummyfunction("""COMPUTED_VALUE"""),182.67)</f>
        <v>182.67</v>
      </c>
      <c r="D858" s="2" t="n">
        <f aca="false">IFERROR(__xludf.dummyfunction("""COMPUTED_VALUE"""),175.38)</f>
        <v>175.38</v>
      </c>
      <c r="E858" s="2" t="n">
        <f aca="false">IFERROR(__xludf.dummyfunction("""COMPUTED_VALUE"""),178.79)</f>
        <v>178.79</v>
      </c>
      <c r="F858" s="2" t="n">
        <f aca="false">IFERROR(__xludf.dummyfunction("""COMPUTED_VALUE"""),77784755)</f>
        <v>77784755</v>
      </c>
    </row>
    <row r="859" customFormat="false" ht="15.75" hidden="false" customHeight="false" outlineLevel="0" collapsed="false">
      <c r="A859" s="3" t="n">
        <f aca="false">IFERROR(__xludf.dummyfunction("""COMPUTED_VALUE"""),45443.6666666667)</f>
        <v>45443.6666666667</v>
      </c>
      <c r="B859" s="2" t="n">
        <f aca="false">IFERROR(__xludf.dummyfunction("""COMPUTED_VALUE"""),178.5)</f>
        <v>178.5</v>
      </c>
      <c r="C859" s="2" t="n">
        <f aca="false">IFERROR(__xludf.dummyfunction("""COMPUTED_VALUE"""),180.32)</f>
        <v>180.32</v>
      </c>
      <c r="D859" s="2" t="n">
        <f aca="false">IFERROR(__xludf.dummyfunction("""COMPUTED_VALUE"""),173.82)</f>
        <v>173.82</v>
      </c>
      <c r="E859" s="2" t="n">
        <f aca="false">IFERROR(__xludf.dummyfunction("""COMPUTED_VALUE"""),178.08)</f>
        <v>178.08</v>
      </c>
      <c r="F859" s="2" t="n">
        <f aca="false">IFERROR(__xludf.dummyfunction("""COMPUTED_VALUE"""),67314602)</f>
        <v>67314602</v>
      </c>
    </row>
    <row r="860" customFormat="false" ht="15.75" hidden="false" customHeight="false" outlineLevel="0" collapsed="false">
      <c r="A860" s="3" t="n">
        <f aca="false">IFERROR(__xludf.dummyfunction("""COMPUTED_VALUE"""),45446.6666666667)</f>
        <v>45446.6666666667</v>
      </c>
      <c r="B860" s="2" t="n">
        <f aca="false">IFERROR(__xludf.dummyfunction("""COMPUTED_VALUE"""),178.13)</f>
        <v>178.13</v>
      </c>
      <c r="C860" s="2" t="n">
        <f aca="false">IFERROR(__xludf.dummyfunction("""COMPUTED_VALUE"""),182.64)</f>
        <v>182.64</v>
      </c>
      <c r="D860" s="2" t="n">
        <f aca="false">IFERROR(__xludf.dummyfunction("""COMPUTED_VALUE"""),174.49)</f>
        <v>174.49</v>
      </c>
      <c r="E860" s="2" t="n">
        <f aca="false">IFERROR(__xludf.dummyfunction("""COMPUTED_VALUE"""),176.29)</f>
        <v>176.29</v>
      </c>
      <c r="F860" s="2" t="n">
        <f aca="false">IFERROR(__xludf.dummyfunction("""COMPUTED_VALUE"""),68568920)</f>
        <v>68568920</v>
      </c>
    </row>
    <row r="861" customFormat="false" ht="15.75" hidden="false" customHeight="false" outlineLevel="0" collapsed="false">
      <c r="A861" s="3" t="n">
        <f aca="false">IFERROR(__xludf.dummyfunction("""COMPUTED_VALUE"""),45447.6666666667)</f>
        <v>45447.6666666667</v>
      </c>
      <c r="B861" s="2" t="n">
        <f aca="false">IFERROR(__xludf.dummyfunction("""COMPUTED_VALUE"""),174.78)</f>
        <v>174.78</v>
      </c>
      <c r="C861" s="2" t="n">
        <f aca="false">IFERROR(__xludf.dummyfunction("""COMPUTED_VALUE"""),177.76)</f>
        <v>177.76</v>
      </c>
      <c r="D861" s="2" t="n">
        <f aca="false">IFERROR(__xludf.dummyfunction("""COMPUTED_VALUE"""),174)</f>
        <v>174</v>
      </c>
      <c r="E861" s="2" t="n">
        <f aca="false">IFERROR(__xludf.dummyfunction("""COMPUTED_VALUE"""),174.77)</f>
        <v>174.77</v>
      </c>
      <c r="F861" s="2" t="n">
        <f aca="false">IFERROR(__xludf.dummyfunction("""COMPUTED_VALUE"""),60056340)</f>
        <v>60056340</v>
      </c>
    </row>
    <row r="862" customFormat="false" ht="15.75" hidden="false" customHeight="false" outlineLevel="0" collapsed="false">
      <c r="A862" s="3" t="n">
        <f aca="false">IFERROR(__xludf.dummyfunction("""COMPUTED_VALUE"""),45448.6666666667)</f>
        <v>45448.6666666667</v>
      </c>
      <c r="B862" s="2" t="n">
        <f aca="false">IFERROR(__xludf.dummyfunction("""COMPUTED_VALUE"""),175.35)</f>
        <v>175.35</v>
      </c>
      <c r="C862" s="2" t="n">
        <f aca="false">IFERROR(__xludf.dummyfunction("""COMPUTED_VALUE"""),176.15)</f>
        <v>176.15</v>
      </c>
      <c r="D862" s="2" t="n">
        <f aca="false">IFERROR(__xludf.dummyfunction("""COMPUTED_VALUE"""),172.13)</f>
        <v>172.13</v>
      </c>
      <c r="E862" s="2" t="n">
        <f aca="false">IFERROR(__xludf.dummyfunction("""COMPUTED_VALUE"""),175)</f>
        <v>175</v>
      </c>
      <c r="F862" s="2" t="n">
        <f aca="false">IFERROR(__xludf.dummyfunction("""COMPUTED_VALUE"""),57953756)</f>
        <v>57953756</v>
      </c>
    </row>
    <row r="863" customFormat="false" ht="15.75" hidden="false" customHeight="false" outlineLevel="0" collapsed="false">
      <c r="A863" s="3" t="n">
        <f aca="false">IFERROR(__xludf.dummyfunction("""COMPUTED_VALUE"""),45449.6666666667)</f>
        <v>45449.6666666667</v>
      </c>
      <c r="B863" s="2" t="n">
        <f aca="false">IFERROR(__xludf.dummyfunction("""COMPUTED_VALUE"""),174.6)</f>
        <v>174.6</v>
      </c>
      <c r="C863" s="2" t="n">
        <f aca="false">IFERROR(__xludf.dummyfunction("""COMPUTED_VALUE"""),179.73)</f>
        <v>179.73</v>
      </c>
      <c r="D863" s="2" t="n">
        <f aca="false">IFERROR(__xludf.dummyfunction("""COMPUTED_VALUE"""),172.73)</f>
        <v>172.73</v>
      </c>
      <c r="E863" s="2" t="n">
        <f aca="false">IFERROR(__xludf.dummyfunction("""COMPUTED_VALUE"""),177.94)</f>
        <v>177.94</v>
      </c>
      <c r="F863" s="2" t="n">
        <f aca="false">IFERROR(__xludf.dummyfunction("""COMPUTED_VALUE"""),69887024)</f>
        <v>69887024</v>
      </c>
    </row>
    <row r="864" customFormat="false" ht="15.75" hidden="false" customHeight="false" outlineLevel="0" collapsed="false">
      <c r="A864" s="3" t="n">
        <f aca="false">IFERROR(__xludf.dummyfunction("""COMPUTED_VALUE"""),45450.6666666667)</f>
        <v>45450.6666666667</v>
      </c>
      <c r="B864" s="2" t="n">
        <f aca="false">IFERROR(__xludf.dummyfunction("""COMPUTED_VALUE"""),176.13)</f>
        <v>176.13</v>
      </c>
      <c r="C864" s="2" t="n">
        <f aca="false">IFERROR(__xludf.dummyfunction("""COMPUTED_VALUE"""),179.35)</f>
        <v>179.35</v>
      </c>
      <c r="D864" s="2" t="n">
        <f aca="false">IFERROR(__xludf.dummyfunction("""COMPUTED_VALUE"""),175.58)</f>
        <v>175.58</v>
      </c>
      <c r="E864" s="2" t="n">
        <f aca="false">IFERROR(__xludf.dummyfunction("""COMPUTED_VALUE"""),177.48)</f>
        <v>177.48</v>
      </c>
      <c r="F864" s="2" t="n">
        <f aca="false">IFERROR(__xludf.dummyfunction("""COMPUTED_VALUE"""),56244932)</f>
        <v>56244932</v>
      </c>
    </row>
    <row r="865" customFormat="false" ht="15.75" hidden="false" customHeight="false" outlineLevel="0" collapsed="false">
      <c r="A865" s="3" t="n">
        <f aca="false">IFERROR(__xludf.dummyfunction("""COMPUTED_VALUE"""),45453.6666666667)</f>
        <v>45453.6666666667</v>
      </c>
      <c r="B865" s="2" t="n">
        <f aca="false">IFERROR(__xludf.dummyfunction("""COMPUTED_VALUE"""),176.06)</f>
        <v>176.06</v>
      </c>
      <c r="C865" s="2" t="n">
        <f aca="false">IFERROR(__xludf.dummyfunction("""COMPUTED_VALUE"""),178.57)</f>
        <v>178.57</v>
      </c>
      <c r="D865" s="2" t="n">
        <f aca="false">IFERROR(__xludf.dummyfunction("""COMPUTED_VALUE"""),173.17)</f>
        <v>173.17</v>
      </c>
      <c r="E865" s="2" t="n">
        <f aca="false">IFERROR(__xludf.dummyfunction("""COMPUTED_VALUE"""),173.79)</f>
        <v>173.79</v>
      </c>
      <c r="F865" s="2" t="n">
        <f aca="false">IFERROR(__xludf.dummyfunction("""COMPUTED_VALUE"""),50869682)</f>
        <v>50869682</v>
      </c>
    </row>
    <row r="866" customFormat="false" ht="15.75" hidden="false" customHeight="false" outlineLevel="0" collapsed="false">
      <c r="A866" s="3" t="n">
        <f aca="false">IFERROR(__xludf.dummyfunction("""COMPUTED_VALUE"""),45454.6666666667)</f>
        <v>45454.6666666667</v>
      </c>
      <c r="B866" s="2" t="n">
        <f aca="false">IFERROR(__xludf.dummyfunction("""COMPUTED_VALUE"""),173.92)</f>
        <v>173.92</v>
      </c>
      <c r="C866" s="2" t="n">
        <f aca="false">IFERROR(__xludf.dummyfunction("""COMPUTED_VALUE"""),174.75)</f>
        <v>174.75</v>
      </c>
      <c r="D866" s="2" t="n">
        <f aca="false">IFERROR(__xludf.dummyfunction("""COMPUTED_VALUE"""),167.41)</f>
        <v>167.41</v>
      </c>
      <c r="E866" s="2" t="n">
        <f aca="false">IFERROR(__xludf.dummyfunction("""COMPUTED_VALUE"""),170.66)</f>
        <v>170.66</v>
      </c>
      <c r="F866" s="2" t="n">
        <f aca="false">IFERROR(__xludf.dummyfunction("""COMPUTED_VALUE"""),64761928)</f>
        <v>64761928</v>
      </c>
    </row>
    <row r="867" customFormat="false" ht="15.75" hidden="false" customHeight="false" outlineLevel="0" collapsed="false">
      <c r="A867" s="3" t="n">
        <f aca="false">IFERROR(__xludf.dummyfunction("""COMPUTED_VALUE"""),45455.6666666667)</f>
        <v>45455.6666666667</v>
      </c>
      <c r="B867" s="2" t="n">
        <f aca="false">IFERROR(__xludf.dummyfunction("""COMPUTED_VALUE"""),171.12)</f>
        <v>171.12</v>
      </c>
      <c r="C867" s="2" t="n">
        <f aca="false">IFERROR(__xludf.dummyfunction("""COMPUTED_VALUE"""),180.55)</f>
        <v>180.55</v>
      </c>
      <c r="D867" s="2" t="n">
        <f aca="false">IFERROR(__xludf.dummyfunction("""COMPUTED_VALUE"""),169.8)</f>
        <v>169.8</v>
      </c>
      <c r="E867" s="2" t="n">
        <f aca="false">IFERROR(__xludf.dummyfunction("""COMPUTED_VALUE"""),177.29)</f>
        <v>177.29</v>
      </c>
      <c r="F867" s="2" t="n">
        <f aca="false">IFERROR(__xludf.dummyfunction("""COMPUTED_VALUE"""),90389446)</f>
        <v>90389446</v>
      </c>
    </row>
    <row r="868" customFormat="false" ht="15.75" hidden="false" customHeight="false" outlineLevel="0" collapsed="false">
      <c r="A868" s="3" t="n">
        <f aca="false">IFERROR(__xludf.dummyfunction("""COMPUTED_VALUE"""),45456.6666666667)</f>
        <v>45456.6666666667</v>
      </c>
      <c r="B868" s="2" t="n">
        <f aca="false">IFERROR(__xludf.dummyfunction("""COMPUTED_VALUE"""),188.39)</f>
        <v>188.39</v>
      </c>
      <c r="C868" s="2" t="n">
        <f aca="false">IFERROR(__xludf.dummyfunction("""COMPUTED_VALUE"""),191.08)</f>
        <v>191.08</v>
      </c>
      <c r="D868" s="2" t="n">
        <f aca="false">IFERROR(__xludf.dummyfunction("""COMPUTED_VALUE"""),181.23)</f>
        <v>181.23</v>
      </c>
      <c r="E868" s="2" t="n">
        <f aca="false">IFERROR(__xludf.dummyfunction("""COMPUTED_VALUE"""),182.47)</f>
        <v>182.47</v>
      </c>
      <c r="F868" s="2" t="n">
        <f aca="false">IFERROR(__xludf.dummyfunction("""COMPUTED_VALUE"""),118984122)</f>
        <v>118984122</v>
      </c>
    </row>
    <row r="869" customFormat="false" ht="15.75" hidden="false" customHeight="false" outlineLevel="0" collapsed="false">
      <c r="A869" s="3" t="n">
        <f aca="false">IFERROR(__xludf.dummyfunction("""COMPUTED_VALUE"""),45457.6666666667)</f>
        <v>45457.6666666667</v>
      </c>
      <c r="B869" s="2" t="n">
        <f aca="false">IFERROR(__xludf.dummyfunction("""COMPUTED_VALUE"""),185.8)</f>
        <v>185.8</v>
      </c>
      <c r="C869" s="2" t="n">
        <f aca="false">IFERROR(__xludf.dummyfunction("""COMPUTED_VALUE"""),186)</f>
        <v>186</v>
      </c>
      <c r="D869" s="2" t="n">
        <f aca="false">IFERROR(__xludf.dummyfunction("""COMPUTED_VALUE"""),176.92)</f>
        <v>176.92</v>
      </c>
      <c r="E869" s="2" t="n">
        <f aca="false">IFERROR(__xludf.dummyfunction("""COMPUTED_VALUE"""),178.01)</f>
        <v>178.01</v>
      </c>
      <c r="F869" s="2" t="n">
        <f aca="false">IFERROR(__xludf.dummyfunction("""COMPUTED_VALUE"""),82038194)</f>
        <v>82038194</v>
      </c>
    </row>
    <row r="870" customFormat="false" ht="15.75" hidden="false" customHeight="false" outlineLevel="0" collapsed="false">
      <c r="A870" s="3" t="n">
        <f aca="false">IFERROR(__xludf.dummyfunction("""COMPUTED_VALUE"""),45460.6666666667)</f>
        <v>45460.6666666667</v>
      </c>
      <c r="B870" s="2" t="n">
        <f aca="false">IFERROR(__xludf.dummyfunction("""COMPUTED_VALUE"""),177.92)</f>
        <v>177.92</v>
      </c>
      <c r="C870" s="2" t="n">
        <f aca="false">IFERROR(__xludf.dummyfunction("""COMPUTED_VALUE"""),188.81)</f>
        <v>188.81</v>
      </c>
      <c r="D870" s="2" t="n">
        <f aca="false">IFERROR(__xludf.dummyfunction("""COMPUTED_VALUE"""),177)</f>
        <v>177</v>
      </c>
      <c r="E870" s="2" t="n">
        <f aca="false">IFERROR(__xludf.dummyfunction("""COMPUTED_VALUE"""),187.44)</f>
        <v>187.44</v>
      </c>
      <c r="F870" s="2" t="n">
        <f aca="false">IFERROR(__xludf.dummyfunction("""COMPUTED_VALUE"""),109786083)</f>
        <v>109786083</v>
      </c>
    </row>
    <row r="871" customFormat="false" ht="15.75" hidden="false" customHeight="false" outlineLevel="0" collapsed="false">
      <c r="A871" s="3" t="n">
        <f aca="false">IFERROR(__xludf.dummyfunction("""COMPUTED_VALUE"""),45461.6666666667)</f>
        <v>45461.6666666667</v>
      </c>
      <c r="B871" s="2" t="n">
        <f aca="false">IFERROR(__xludf.dummyfunction("""COMPUTED_VALUE"""),186.56)</f>
        <v>186.56</v>
      </c>
      <c r="C871" s="2" t="n">
        <f aca="false">IFERROR(__xludf.dummyfunction("""COMPUTED_VALUE"""),187.2)</f>
        <v>187.2</v>
      </c>
      <c r="D871" s="2" t="n">
        <f aca="false">IFERROR(__xludf.dummyfunction("""COMPUTED_VALUE"""),182.37)</f>
        <v>182.37</v>
      </c>
      <c r="E871" s="2" t="n">
        <f aca="false">IFERROR(__xludf.dummyfunction("""COMPUTED_VALUE"""),184.86)</f>
        <v>184.86</v>
      </c>
      <c r="F871" s="2" t="n">
        <f aca="false">IFERROR(__xludf.dummyfunction("""COMPUTED_VALUE"""),68982265)</f>
        <v>68982265</v>
      </c>
    </row>
    <row r="872" customFormat="false" ht="15.75" hidden="false" customHeight="false" outlineLevel="0" collapsed="false">
      <c r="A872" s="3" t="n">
        <f aca="false">IFERROR(__xludf.dummyfunction("""COMPUTED_VALUE"""),45463.6666666667)</f>
        <v>45463.6666666667</v>
      </c>
      <c r="B872" s="2" t="n">
        <f aca="false">IFERROR(__xludf.dummyfunction("""COMPUTED_VALUE"""),184.68)</f>
        <v>184.68</v>
      </c>
      <c r="C872" s="2" t="n">
        <f aca="false">IFERROR(__xludf.dummyfunction("""COMPUTED_VALUE"""),185.21)</f>
        <v>185.21</v>
      </c>
      <c r="D872" s="2" t="n">
        <f aca="false">IFERROR(__xludf.dummyfunction("""COMPUTED_VALUE"""),179.66)</f>
        <v>179.66</v>
      </c>
      <c r="E872" s="2" t="n">
        <f aca="false">IFERROR(__xludf.dummyfunction("""COMPUTED_VALUE"""),181.57)</f>
        <v>181.57</v>
      </c>
      <c r="F872" s="2" t="n">
        <f aca="false">IFERROR(__xludf.dummyfunction("""COMPUTED_VALUE"""),55893139)</f>
        <v>55893139</v>
      </c>
    </row>
    <row r="873" customFormat="false" ht="15.75" hidden="false" customHeight="false" outlineLevel="0" collapsed="false">
      <c r="A873" s="3" t="n">
        <f aca="false">IFERROR(__xludf.dummyfunction("""COMPUTED_VALUE"""),45464.6666666667)</f>
        <v>45464.6666666667</v>
      </c>
      <c r="B873" s="2" t="n">
        <f aca="false">IFERROR(__xludf.dummyfunction("""COMPUTED_VALUE"""),182.3)</f>
        <v>182.3</v>
      </c>
      <c r="C873" s="2" t="n">
        <f aca="false">IFERROR(__xludf.dummyfunction("""COMPUTED_VALUE"""),183.95)</f>
        <v>183.95</v>
      </c>
      <c r="D873" s="2" t="n">
        <f aca="false">IFERROR(__xludf.dummyfunction("""COMPUTED_VALUE"""),180.69)</f>
        <v>180.69</v>
      </c>
      <c r="E873" s="2" t="n">
        <f aca="false">IFERROR(__xludf.dummyfunction("""COMPUTED_VALUE"""),183.01)</f>
        <v>183.01</v>
      </c>
      <c r="F873" s="2" t="n">
        <f aca="false">IFERROR(__xludf.dummyfunction("""COMPUTED_VALUE"""),63029482)</f>
        <v>63029482</v>
      </c>
    </row>
    <row r="874" customFormat="false" ht="15.75" hidden="false" customHeight="false" outlineLevel="0" collapsed="false">
      <c r="A874" s="3" t="n">
        <f aca="false">IFERROR(__xludf.dummyfunction("""COMPUTED_VALUE"""),45467.6666666667)</f>
        <v>45467.6666666667</v>
      </c>
      <c r="B874" s="2" t="n">
        <f aca="false">IFERROR(__xludf.dummyfunction("""COMPUTED_VALUE"""),184.97)</f>
        <v>184.97</v>
      </c>
      <c r="C874" s="2" t="n">
        <f aca="false">IFERROR(__xludf.dummyfunction("""COMPUTED_VALUE"""),188.8)</f>
        <v>188.8</v>
      </c>
      <c r="D874" s="2" t="n">
        <f aca="false">IFERROR(__xludf.dummyfunction("""COMPUTED_VALUE"""),182.55)</f>
        <v>182.55</v>
      </c>
      <c r="E874" s="2" t="n">
        <f aca="false">IFERROR(__xludf.dummyfunction("""COMPUTED_VALUE"""),182.58)</f>
        <v>182.58</v>
      </c>
      <c r="F874" s="2" t="n">
        <f aca="false">IFERROR(__xludf.dummyfunction("""COMPUTED_VALUE"""),61992070)</f>
        <v>61992070</v>
      </c>
    </row>
    <row r="875" customFormat="false" ht="15.75" hidden="false" customHeight="false" outlineLevel="0" collapsed="false">
      <c r="A875" s="3" t="n">
        <f aca="false">IFERROR(__xludf.dummyfunction("""COMPUTED_VALUE"""),45468.6666666667)</f>
        <v>45468.6666666667</v>
      </c>
      <c r="B875" s="2" t="n">
        <f aca="false">IFERROR(__xludf.dummyfunction("""COMPUTED_VALUE"""),184.4)</f>
        <v>184.4</v>
      </c>
      <c r="C875" s="2" t="n">
        <f aca="false">IFERROR(__xludf.dummyfunction("""COMPUTED_VALUE"""),187.97)</f>
        <v>187.97</v>
      </c>
      <c r="D875" s="2" t="n">
        <f aca="false">IFERROR(__xludf.dummyfunction("""COMPUTED_VALUE"""),182.01)</f>
        <v>182.01</v>
      </c>
      <c r="E875" s="2" t="n">
        <f aca="false">IFERROR(__xludf.dummyfunction("""COMPUTED_VALUE"""),187.35)</f>
        <v>187.35</v>
      </c>
      <c r="F875" s="2" t="n">
        <f aca="false">IFERROR(__xludf.dummyfunction("""COMPUTED_VALUE"""),63678265)</f>
        <v>63678265</v>
      </c>
    </row>
    <row r="876" customFormat="false" ht="15.75" hidden="false" customHeight="false" outlineLevel="0" collapsed="false">
      <c r="A876" s="3" t="n">
        <f aca="false">IFERROR(__xludf.dummyfunction("""COMPUTED_VALUE"""),45469.6666666667)</f>
        <v>45469.6666666667</v>
      </c>
      <c r="B876" s="2" t="n">
        <f aca="false">IFERROR(__xludf.dummyfunction("""COMPUTED_VALUE"""),186.54)</f>
        <v>186.54</v>
      </c>
      <c r="C876" s="2" t="n">
        <f aca="false">IFERROR(__xludf.dummyfunction("""COMPUTED_VALUE"""),197.76)</f>
        <v>197.76</v>
      </c>
      <c r="D876" s="2" t="n">
        <f aca="false">IFERROR(__xludf.dummyfunction("""COMPUTED_VALUE"""),186.36)</f>
        <v>186.36</v>
      </c>
      <c r="E876" s="2" t="n">
        <f aca="false">IFERROR(__xludf.dummyfunction("""COMPUTED_VALUE"""),196.37)</f>
        <v>196.37</v>
      </c>
      <c r="F876" s="2" t="n">
        <f aca="false">IFERROR(__xludf.dummyfunction("""COMPUTED_VALUE"""),95737066)</f>
        <v>95737066</v>
      </c>
    </row>
    <row r="877" customFormat="false" ht="15.75" hidden="false" customHeight="false" outlineLevel="0" collapsed="false">
      <c r="A877" s="3" t="n">
        <f aca="false">IFERROR(__xludf.dummyfunction("""COMPUTED_VALUE"""),45470.6666666667)</f>
        <v>45470.6666666667</v>
      </c>
      <c r="B877" s="2" t="n">
        <f aca="false">IFERROR(__xludf.dummyfunction("""COMPUTED_VALUE"""),195.17)</f>
        <v>195.17</v>
      </c>
      <c r="C877" s="2" t="n">
        <f aca="false">IFERROR(__xludf.dummyfunction("""COMPUTED_VALUE"""),198.72)</f>
        <v>198.72</v>
      </c>
      <c r="D877" s="2" t="n">
        <f aca="false">IFERROR(__xludf.dummyfunction("""COMPUTED_VALUE"""),194.05)</f>
        <v>194.05</v>
      </c>
      <c r="E877" s="2" t="n">
        <f aca="false">IFERROR(__xludf.dummyfunction("""COMPUTED_VALUE"""),197.42)</f>
        <v>197.42</v>
      </c>
      <c r="F877" s="2" t="n">
        <f aca="false">IFERROR(__xludf.dummyfunction("""COMPUTED_VALUE"""),72746521)</f>
        <v>72746521</v>
      </c>
    </row>
    <row r="878" customFormat="false" ht="15.75" hidden="false" customHeight="false" outlineLevel="0" collapsed="false">
      <c r="A878" s="3" t="n">
        <f aca="false">IFERROR(__xludf.dummyfunction("""COMPUTED_VALUE"""),45471.6666666667)</f>
        <v>45471.6666666667</v>
      </c>
      <c r="B878" s="2" t="n">
        <f aca="false">IFERROR(__xludf.dummyfunction("""COMPUTED_VALUE"""),199.55)</f>
        <v>199.55</v>
      </c>
      <c r="C878" s="2" t="n">
        <f aca="false">IFERROR(__xludf.dummyfunction("""COMPUTED_VALUE"""),203.2)</f>
        <v>203.2</v>
      </c>
      <c r="D878" s="2" t="n">
        <f aca="false">IFERROR(__xludf.dummyfunction("""COMPUTED_VALUE"""),195.26)</f>
        <v>195.26</v>
      </c>
      <c r="E878" s="2" t="n">
        <f aca="false">IFERROR(__xludf.dummyfunction("""COMPUTED_VALUE"""),197.88)</f>
        <v>197.88</v>
      </c>
      <c r="F878" s="2" t="n">
        <f aca="false">IFERROR(__xludf.dummyfunction("""COMPUTED_VALUE"""),95438068)</f>
        <v>95438068</v>
      </c>
    </row>
    <row r="879" customFormat="false" ht="15.75" hidden="false" customHeight="false" outlineLevel="0" collapsed="false">
      <c r="A879" s="3" t="n">
        <f aca="false">IFERROR(__xludf.dummyfunction("""COMPUTED_VALUE"""),45474.6666666667)</f>
        <v>45474.6666666667</v>
      </c>
      <c r="B879" s="2" t="n">
        <f aca="false">IFERROR(__xludf.dummyfunction("""COMPUTED_VALUE"""),201.02)</f>
        <v>201.02</v>
      </c>
      <c r="C879" s="2" t="n">
        <f aca="false">IFERROR(__xludf.dummyfunction("""COMPUTED_VALUE"""),213.23)</f>
        <v>213.23</v>
      </c>
      <c r="D879" s="2" t="n">
        <f aca="false">IFERROR(__xludf.dummyfunction("""COMPUTED_VALUE"""),200.85)</f>
        <v>200.85</v>
      </c>
      <c r="E879" s="2" t="n">
        <f aca="false">IFERROR(__xludf.dummyfunction("""COMPUTED_VALUE"""),209.86)</f>
        <v>209.86</v>
      </c>
      <c r="F879" s="2" t="n">
        <f aca="false">IFERROR(__xludf.dummyfunction("""COMPUTED_VALUE"""),135691395)</f>
        <v>135691395</v>
      </c>
    </row>
    <row r="880" customFormat="false" ht="15.75" hidden="false" customHeight="false" outlineLevel="0" collapsed="false">
      <c r="A880" s="3" t="n">
        <f aca="false">IFERROR(__xludf.dummyfunction("""COMPUTED_VALUE"""),45475.6666666667)</f>
        <v>45475.6666666667</v>
      </c>
      <c r="B880" s="2" t="n">
        <f aca="false">IFERROR(__xludf.dummyfunction("""COMPUTED_VALUE"""),218.89)</f>
        <v>218.89</v>
      </c>
      <c r="C880" s="2" t="n">
        <f aca="false">IFERROR(__xludf.dummyfunction("""COMPUTED_VALUE"""),231.3)</f>
        <v>231.3</v>
      </c>
      <c r="D880" s="2" t="n">
        <f aca="false">IFERROR(__xludf.dummyfunction("""COMPUTED_VALUE"""),218.06)</f>
        <v>218.06</v>
      </c>
      <c r="E880" s="2" t="n">
        <f aca="false">IFERROR(__xludf.dummyfunction("""COMPUTED_VALUE"""),231.26)</f>
        <v>231.26</v>
      </c>
      <c r="F880" s="2" t="n">
        <f aca="false">IFERROR(__xludf.dummyfunction("""COMPUTED_VALUE"""),205047920)</f>
        <v>205047920</v>
      </c>
    </row>
    <row r="881" customFormat="false" ht="15.75" hidden="false" customHeight="false" outlineLevel="0" collapsed="false">
      <c r="A881" s="3" t="n">
        <f aca="false">IFERROR(__xludf.dummyfunction("""COMPUTED_VALUE"""),45476.5451388889)</f>
        <v>45476.5451388889</v>
      </c>
      <c r="B881" s="2" t="n">
        <f aca="false">IFERROR(__xludf.dummyfunction("""COMPUTED_VALUE"""),234.56)</f>
        <v>234.56</v>
      </c>
      <c r="C881" s="2" t="n">
        <f aca="false">IFERROR(__xludf.dummyfunction("""COMPUTED_VALUE"""),248.35)</f>
        <v>248.35</v>
      </c>
      <c r="D881" s="2" t="n">
        <f aca="false">IFERROR(__xludf.dummyfunction("""COMPUTED_VALUE"""),234.25)</f>
        <v>234.25</v>
      </c>
      <c r="E881" s="2" t="n">
        <f aca="false">IFERROR(__xludf.dummyfunction("""COMPUTED_VALUE"""),246.39)</f>
        <v>246.39</v>
      </c>
      <c r="F881" s="2" t="n">
        <f aca="false">IFERROR(__xludf.dummyfunction("""COMPUTED_VALUE"""),166561471)</f>
        <v>166561471</v>
      </c>
    </row>
    <row r="882" customFormat="false" ht="15.75" hidden="false" customHeight="false" outlineLevel="0" collapsed="false">
      <c r="A882" s="3" t="n">
        <f aca="false">IFERROR(__xludf.dummyfunction("""COMPUTED_VALUE"""),45478.6666666667)</f>
        <v>45478.6666666667</v>
      </c>
      <c r="B882" s="2" t="n">
        <f aca="false">IFERROR(__xludf.dummyfunction("""COMPUTED_VALUE"""),249.81)</f>
        <v>249.81</v>
      </c>
      <c r="C882" s="2" t="n">
        <f aca="false">IFERROR(__xludf.dummyfunction("""COMPUTED_VALUE"""),252.37)</f>
        <v>252.37</v>
      </c>
      <c r="D882" s="2" t="n">
        <f aca="false">IFERROR(__xludf.dummyfunction("""COMPUTED_VALUE"""),242.46)</f>
        <v>242.46</v>
      </c>
      <c r="E882" s="2" t="n">
        <f aca="false">IFERROR(__xludf.dummyfunction("""COMPUTED_VALUE"""),251.52)</f>
        <v>251.52</v>
      </c>
      <c r="F882" s="2" t="n">
        <f aca="false">IFERROR(__xludf.dummyfunction("""COMPUTED_VALUE"""),154501152)</f>
        <v>154501152</v>
      </c>
    </row>
    <row r="883" customFormat="false" ht="15.75" hidden="false" customHeight="false" outlineLevel="0" collapsed="false">
      <c r="A883" s="3" t="n">
        <f aca="false">IFERROR(__xludf.dummyfunction("""COMPUTED_VALUE"""),45481.6666666667)</f>
        <v>45481.6666666667</v>
      </c>
      <c r="B883" s="2" t="n">
        <f aca="false">IFERROR(__xludf.dummyfunction("""COMPUTED_VALUE"""),247.71)</f>
        <v>247.71</v>
      </c>
      <c r="C883" s="2" t="n">
        <f aca="false">IFERROR(__xludf.dummyfunction("""COMPUTED_VALUE"""),259.44)</f>
        <v>259.44</v>
      </c>
      <c r="D883" s="2" t="n">
        <f aca="false">IFERROR(__xludf.dummyfunction("""COMPUTED_VALUE"""),244.57)</f>
        <v>244.57</v>
      </c>
      <c r="E883" s="2" t="n">
        <f aca="false">IFERROR(__xludf.dummyfunction("""COMPUTED_VALUE"""),252.94)</f>
        <v>252.94</v>
      </c>
      <c r="F883" s="2" t="n">
        <f aca="false">IFERROR(__xludf.dummyfunction("""COMPUTED_VALUE"""),157219580)</f>
        <v>157219580</v>
      </c>
    </row>
    <row r="884" customFormat="false" ht="15.75" hidden="false" customHeight="false" outlineLevel="0" collapsed="false">
      <c r="A884" s="3" t="n">
        <f aca="false">IFERROR(__xludf.dummyfunction("""COMPUTED_VALUE"""),45482.6666666667)</f>
        <v>45482.6666666667</v>
      </c>
      <c r="B884" s="2" t="n">
        <f aca="false">IFERROR(__xludf.dummyfunction("""COMPUTED_VALUE"""),251)</f>
        <v>251</v>
      </c>
      <c r="C884" s="2" t="n">
        <f aca="false">IFERROR(__xludf.dummyfunction("""COMPUTED_VALUE"""),265.61)</f>
        <v>265.61</v>
      </c>
      <c r="D884" s="2" t="n">
        <f aca="false">IFERROR(__xludf.dummyfunction("""COMPUTED_VALUE"""),250.3)</f>
        <v>250.3</v>
      </c>
      <c r="E884" s="2" t="n">
        <f aca="false">IFERROR(__xludf.dummyfunction("""COMPUTED_VALUE"""),262.33)</f>
        <v>262.33</v>
      </c>
      <c r="F884" s="2" t="n">
        <f aca="false">IFERROR(__xludf.dummyfunction("""COMPUTED_VALUE"""),160742516)</f>
        <v>160742516</v>
      </c>
    </row>
    <row r="885" customFormat="false" ht="15.75" hidden="false" customHeight="false" outlineLevel="0" collapsed="false">
      <c r="A885" s="3" t="n">
        <f aca="false">IFERROR(__xludf.dummyfunction("""COMPUTED_VALUE"""),45483.6666666667)</f>
        <v>45483.6666666667</v>
      </c>
      <c r="B885" s="2" t="n">
        <f aca="false">IFERROR(__xludf.dummyfunction("""COMPUTED_VALUE"""),262.8)</f>
        <v>262.8</v>
      </c>
      <c r="C885" s="2" t="n">
        <f aca="false">IFERROR(__xludf.dummyfunction("""COMPUTED_VALUE"""),267.59)</f>
        <v>267.59</v>
      </c>
      <c r="D885" s="2" t="n">
        <f aca="false">IFERROR(__xludf.dummyfunction("""COMPUTED_VALUE"""),257.86)</f>
        <v>257.86</v>
      </c>
      <c r="E885" s="2" t="n">
        <f aca="false">IFERROR(__xludf.dummyfunction("""COMPUTED_VALUE"""),263.26)</f>
        <v>263.26</v>
      </c>
      <c r="F885" s="2" t="n">
        <f aca="false">IFERROR(__xludf.dummyfunction("""COMPUTED_VALUE"""),128519430)</f>
        <v>128519430</v>
      </c>
    </row>
    <row r="886" customFormat="false" ht="15.75" hidden="false" customHeight="false" outlineLevel="0" collapsed="false">
      <c r="A886" s="3" t="n">
        <f aca="false">IFERROR(__xludf.dummyfunction("""COMPUTED_VALUE"""),45484.6666666667)</f>
        <v>45484.6666666667</v>
      </c>
      <c r="B886" s="2" t="n">
        <f aca="false">IFERROR(__xludf.dummyfunction("""COMPUTED_VALUE"""),263.3)</f>
        <v>263.3</v>
      </c>
      <c r="C886" s="2" t="n">
        <f aca="false">IFERROR(__xludf.dummyfunction("""COMPUTED_VALUE"""),271)</f>
        <v>271</v>
      </c>
      <c r="D886" s="2" t="n">
        <f aca="false">IFERROR(__xludf.dummyfunction("""COMPUTED_VALUE"""),239.65)</f>
        <v>239.65</v>
      </c>
      <c r="E886" s="2" t="n">
        <f aca="false">IFERROR(__xludf.dummyfunction("""COMPUTED_VALUE"""),241.03)</f>
        <v>241.03</v>
      </c>
      <c r="F886" s="2" t="n">
        <f aca="false">IFERROR(__xludf.dummyfunction("""COMPUTED_VALUE"""),221707273)</f>
        <v>221707273</v>
      </c>
    </row>
    <row r="887" customFormat="false" ht="15.75" hidden="false" customHeight="false" outlineLevel="0" collapsed="false">
      <c r="A887" s="3" t="n">
        <f aca="false">IFERROR(__xludf.dummyfunction("""COMPUTED_VALUE"""),45485.6666666667)</f>
        <v>45485.6666666667</v>
      </c>
      <c r="B887" s="2" t="n">
        <f aca="false">IFERROR(__xludf.dummyfunction("""COMPUTED_VALUE"""),235.8)</f>
        <v>235.8</v>
      </c>
      <c r="C887" s="2" t="n">
        <f aca="false">IFERROR(__xludf.dummyfunction("""COMPUTED_VALUE"""),251.84)</f>
        <v>251.84</v>
      </c>
      <c r="D887" s="2" t="n">
        <f aca="false">IFERROR(__xludf.dummyfunction("""COMPUTED_VALUE"""),233.09)</f>
        <v>233.09</v>
      </c>
      <c r="E887" s="2" t="n">
        <f aca="false">IFERROR(__xludf.dummyfunction("""COMPUTED_VALUE"""),248.23)</f>
        <v>248.23</v>
      </c>
      <c r="F887" s="2" t="n">
        <f aca="false">IFERROR(__xludf.dummyfunction("""COMPUTED_VALUE"""),155955773)</f>
        <v>155955773</v>
      </c>
    </row>
    <row r="888" customFormat="false" ht="15.75" hidden="false" customHeight="false" outlineLevel="0" collapsed="false">
      <c r="A888" s="3" t="n">
        <f aca="false">IFERROR(__xludf.dummyfunction("""COMPUTED_VALUE"""),45488.6666666667)</f>
        <v>45488.6666666667</v>
      </c>
      <c r="B888" s="2" t="n">
        <f aca="false">IFERROR(__xludf.dummyfunction("""COMPUTED_VALUE"""),255.97)</f>
        <v>255.97</v>
      </c>
      <c r="C888" s="2" t="n">
        <f aca="false">IFERROR(__xludf.dummyfunction("""COMPUTED_VALUE"""),265.6)</f>
        <v>265.6</v>
      </c>
      <c r="D888" s="2" t="n">
        <f aca="false">IFERROR(__xludf.dummyfunction("""COMPUTED_VALUE"""),251.73)</f>
        <v>251.73</v>
      </c>
      <c r="E888" s="2" t="n">
        <f aca="false">IFERROR(__xludf.dummyfunction("""COMPUTED_VALUE"""),252.64)</f>
        <v>252.64</v>
      </c>
      <c r="F888" s="2" t="n">
        <f aca="false">IFERROR(__xludf.dummyfunction("""COMPUTED_VALUE"""),146912920)</f>
        <v>146912920</v>
      </c>
    </row>
    <row r="889" customFormat="false" ht="15.75" hidden="false" customHeight="false" outlineLevel="0" collapsed="false">
      <c r="A889" s="3" t="n">
        <f aca="false">IFERROR(__xludf.dummyfunction("""COMPUTED_VALUE"""),45489.6666666667)</f>
        <v>45489.6666666667</v>
      </c>
      <c r="B889" s="2" t="n">
        <f aca="false">IFERROR(__xludf.dummyfunction("""COMPUTED_VALUE"""),255.31)</f>
        <v>255.31</v>
      </c>
      <c r="C889" s="2" t="n">
        <f aca="false">IFERROR(__xludf.dummyfunction("""COMPUTED_VALUE"""),258.62)</f>
        <v>258.62</v>
      </c>
      <c r="D889" s="2" t="n">
        <f aca="false">IFERROR(__xludf.dummyfunction("""COMPUTED_VALUE"""),245.8)</f>
        <v>245.8</v>
      </c>
      <c r="E889" s="2" t="n">
        <f aca="false">IFERROR(__xludf.dummyfunction("""COMPUTED_VALUE"""),256.56)</f>
        <v>256.56</v>
      </c>
      <c r="F889" s="2" t="n">
        <f aca="false">IFERROR(__xludf.dummyfunction("""COMPUTED_VALUE"""),126332470)</f>
        <v>126332470</v>
      </c>
    </row>
    <row r="890" customFormat="false" ht="15.75" hidden="false" customHeight="false" outlineLevel="0" collapsed="false">
      <c r="A890" s="3" t="n">
        <f aca="false">IFERROR(__xludf.dummyfunction("""COMPUTED_VALUE"""),45490.6666666667)</f>
        <v>45490.6666666667</v>
      </c>
      <c r="B890" s="2" t="n">
        <f aca="false">IFERROR(__xludf.dummyfunction("""COMPUTED_VALUE"""),252.73)</f>
        <v>252.73</v>
      </c>
      <c r="C890" s="2" t="n">
        <f aca="false">IFERROR(__xludf.dummyfunction("""COMPUTED_VALUE"""),258.47)</f>
        <v>258.47</v>
      </c>
      <c r="D890" s="2" t="n">
        <f aca="false">IFERROR(__xludf.dummyfunction("""COMPUTED_VALUE"""),246.18)</f>
        <v>246.18</v>
      </c>
      <c r="E890" s="2" t="n">
        <f aca="false">IFERROR(__xludf.dummyfunction("""COMPUTED_VALUE"""),248.5)</f>
        <v>248.5</v>
      </c>
      <c r="F890" s="2" t="n">
        <f aca="false">IFERROR(__xludf.dummyfunction("""COMPUTED_VALUE"""),115584810)</f>
        <v>115584810</v>
      </c>
    </row>
    <row r="891" customFormat="false" ht="15.75" hidden="false" customHeight="false" outlineLevel="0" collapsed="false">
      <c r="A891" s="3" t="n">
        <f aca="false">IFERROR(__xludf.dummyfunction("""COMPUTED_VALUE"""),45491.6666666667)</f>
        <v>45491.6666666667</v>
      </c>
      <c r="B891" s="2" t="n">
        <f aca="false">IFERROR(__xludf.dummyfunction("""COMPUTED_VALUE"""),251.09)</f>
        <v>251.09</v>
      </c>
      <c r="C891" s="2" t="n">
        <f aca="false">IFERROR(__xludf.dummyfunction("""COMPUTED_VALUE"""),257.14)</f>
        <v>257.14</v>
      </c>
      <c r="D891" s="2" t="n">
        <f aca="false">IFERROR(__xludf.dummyfunction("""COMPUTED_VALUE"""),247.2)</f>
        <v>247.2</v>
      </c>
      <c r="E891" s="2" t="n">
        <f aca="false">IFERROR(__xludf.dummyfunction("""COMPUTED_VALUE"""),249.23)</f>
        <v>249.23</v>
      </c>
      <c r="F891" s="2" t="n">
        <f aca="false">IFERROR(__xludf.dummyfunction("""COMPUTED_VALUE"""),110869037)</f>
        <v>110869037</v>
      </c>
    </row>
    <row r="892" customFormat="false" ht="15.75" hidden="false" customHeight="false" outlineLevel="0" collapsed="false">
      <c r="A892" s="3" t="n">
        <f aca="false">IFERROR(__xludf.dummyfunction("""COMPUTED_VALUE"""),45492.6666666667)</f>
        <v>45492.6666666667</v>
      </c>
      <c r="B892" s="2" t="n">
        <f aca="false">IFERROR(__xludf.dummyfunction("""COMPUTED_VALUE"""),247.79)</f>
        <v>247.79</v>
      </c>
      <c r="C892" s="2" t="n">
        <f aca="false">IFERROR(__xludf.dummyfunction("""COMPUTED_VALUE"""),249.44)</f>
        <v>249.44</v>
      </c>
      <c r="D892" s="2" t="n">
        <f aca="false">IFERROR(__xludf.dummyfunction("""COMPUTED_VALUE"""),236.83)</f>
        <v>236.83</v>
      </c>
      <c r="E892" s="2" t="n">
        <f aca="false">IFERROR(__xludf.dummyfunction("""COMPUTED_VALUE"""),239.2)</f>
        <v>239.2</v>
      </c>
      <c r="F892" s="2" t="n">
        <f aca="false">IFERROR(__xludf.dummyfunction("""COMPUTED_VALUE"""),87403903)</f>
        <v>87403903</v>
      </c>
    </row>
    <row r="893" customFormat="false" ht="15.75" hidden="false" customHeight="false" outlineLevel="0" collapsed="false">
      <c r="A893" s="3" t="n">
        <f aca="false">IFERROR(__xludf.dummyfunction("""COMPUTED_VALUE"""),45495.6666666667)</f>
        <v>45495.6666666667</v>
      </c>
      <c r="B893" s="2" t="n">
        <f aca="false">IFERROR(__xludf.dummyfunction("""COMPUTED_VALUE"""),244.21)</f>
        <v>244.21</v>
      </c>
      <c r="C893" s="2" t="n">
        <f aca="false">IFERROR(__xludf.dummyfunction("""COMPUTED_VALUE"""),253.21)</f>
        <v>253.21</v>
      </c>
      <c r="D893" s="2" t="n">
        <f aca="false">IFERROR(__xludf.dummyfunction("""COMPUTED_VALUE"""),243.75)</f>
        <v>243.75</v>
      </c>
      <c r="E893" s="2" t="n">
        <f aca="false">IFERROR(__xludf.dummyfunction("""COMPUTED_VALUE"""),251.51)</f>
        <v>251.51</v>
      </c>
      <c r="F893" s="2" t="n">
        <f aca="false">IFERROR(__xludf.dummyfunction("""COMPUTED_VALUE"""),101225430)</f>
        <v>101225430</v>
      </c>
    </row>
    <row r="894" customFormat="false" ht="15.75" hidden="false" customHeight="false" outlineLevel="0" collapsed="false">
      <c r="A894" s="3" t="n">
        <f aca="false">IFERROR(__xludf.dummyfunction("""COMPUTED_VALUE"""),45496.6666666667)</f>
        <v>45496.6666666667</v>
      </c>
      <c r="B894" s="2" t="n">
        <f aca="false">IFERROR(__xludf.dummyfunction("""COMPUTED_VALUE"""),253.6)</f>
        <v>253.6</v>
      </c>
      <c r="C894" s="2" t="n">
        <f aca="false">IFERROR(__xludf.dummyfunction("""COMPUTED_VALUE"""),255.76)</f>
        <v>255.76</v>
      </c>
      <c r="D894" s="2" t="n">
        <f aca="false">IFERROR(__xludf.dummyfunction("""COMPUTED_VALUE"""),245.63)</f>
        <v>245.63</v>
      </c>
      <c r="E894" s="2" t="n">
        <f aca="false">IFERROR(__xludf.dummyfunction("""COMPUTED_VALUE"""),246.38)</f>
        <v>246.38</v>
      </c>
      <c r="F894" s="2" t="n">
        <f aca="false">IFERROR(__xludf.dummyfunction("""COMPUTED_VALUE"""),111928192)</f>
        <v>111928192</v>
      </c>
    </row>
    <row r="895" customFormat="false" ht="15.75" hidden="false" customHeight="false" outlineLevel="0" collapsed="false">
      <c r="A895" s="3" t="n">
        <f aca="false">IFERROR(__xludf.dummyfunction("""COMPUTED_VALUE"""),45497.6666666667)</f>
        <v>45497.6666666667</v>
      </c>
      <c r="B895" s="2" t="n">
        <f aca="false">IFERROR(__xludf.dummyfunction("""COMPUTED_VALUE"""),225.42)</f>
        <v>225.42</v>
      </c>
      <c r="C895" s="2" t="n">
        <f aca="false">IFERROR(__xludf.dummyfunction("""COMPUTED_VALUE"""),225.99)</f>
        <v>225.99</v>
      </c>
      <c r="D895" s="2" t="n">
        <f aca="false">IFERROR(__xludf.dummyfunction("""COMPUTED_VALUE"""),214.71)</f>
        <v>214.71</v>
      </c>
      <c r="E895" s="2" t="n">
        <f aca="false">IFERROR(__xludf.dummyfunction("""COMPUTED_VALUE"""),215.99)</f>
        <v>215.99</v>
      </c>
      <c r="F895" s="2" t="n">
        <f aca="false">IFERROR(__xludf.dummyfunction("""COMPUTED_VALUE"""),167942939)</f>
        <v>167942939</v>
      </c>
    </row>
    <row r="896" customFormat="false" ht="15.75" hidden="false" customHeight="false" outlineLevel="0" collapsed="false">
      <c r="A896" s="3" t="n">
        <f aca="false">IFERROR(__xludf.dummyfunction("""COMPUTED_VALUE"""),45498.6666666667)</f>
        <v>45498.6666666667</v>
      </c>
      <c r="B896" s="2" t="n">
        <f aca="false">IFERROR(__xludf.dummyfunction("""COMPUTED_VALUE"""),216.8)</f>
        <v>216.8</v>
      </c>
      <c r="C896" s="2" t="n">
        <f aca="false">IFERROR(__xludf.dummyfunction("""COMPUTED_VALUE"""),226)</f>
        <v>226</v>
      </c>
      <c r="D896" s="2" t="n">
        <f aca="false">IFERROR(__xludf.dummyfunction("""COMPUTED_VALUE"""),216.23)</f>
        <v>216.23</v>
      </c>
      <c r="E896" s="2" t="n">
        <f aca="false">IFERROR(__xludf.dummyfunction("""COMPUTED_VALUE"""),220.25)</f>
        <v>220.25</v>
      </c>
      <c r="F896" s="2" t="n">
        <f aca="false">IFERROR(__xludf.dummyfunction("""COMPUTED_VALUE"""),100636466)</f>
        <v>100636466</v>
      </c>
    </row>
    <row r="897" customFormat="false" ht="15.75" hidden="false" customHeight="false" outlineLevel="0" collapsed="false">
      <c r="A897" s="3" t="n">
        <f aca="false">IFERROR(__xludf.dummyfunction("""COMPUTED_VALUE"""),45499.6666666667)</f>
        <v>45499.6666666667</v>
      </c>
      <c r="B897" s="2" t="n">
        <f aca="false">IFERROR(__xludf.dummyfunction("""COMPUTED_VALUE"""),221.19)</f>
        <v>221.19</v>
      </c>
      <c r="C897" s="2" t="n">
        <f aca="false">IFERROR(__xludf.dummyfunction("""COMPUTED_VALUE"""),222.28)</f>
        <v>222.28</v>
      </c>
      <c r="D897" s="2" t="n">
        <f aca="false">IFERROR(__xludf.dummyfunction("""COMPUTED_VALUE"""),215.33)</f>
        <v>215.33</v>
      </c>
      <c r="E897" s="2" t="n">
        <f aca="false">IFERROR(__xludf.dummyfunction("""COMPUTED_VALUE"""),219.8)</f>
        <v>219.8</v>
      </c>
      <c r="F897" s="2" t="n">
        <f aca="false">IFERROR(__xludf.dummyfunction("""COMPUTED_VALUE"""),94604145)</f>
        <v>94604145</v>
      </c>
    </row>
    <row r="898" customFormat="false" ht="15.75" hidden="false" customHeight="false" outlineLevel="0" collapsed="false">
      <c r="A898" s="3" t="n">
        <f aca="false">IFERROR(__xludf.dummyfunction("""COMPUTED_VALUE"""),45502.6666666667)</f>
        <v>45502.6666666667</v>
      </c>
      <c r="B898" s="2" t="n">
        <f aca="false">IFERROR(__xludf.dummyfunction("""COMPUTED_VALUE"""),224.9)</f>
        <v>224.9</v>
      </c>
      <c r="C898" s="2" t="n">
        <f aca="false">IFERROR(__xludf.dummyfunction("""COMPUTED_VALUE"""),234.27)</f>
        <v>234.27</v>
      </c>
      <c r="D898" s="2" t="n">
        <f aca="false">IFERROR(__xludf.dummyfunction("""COMPUTED_VALUE"""),224.7)</f>
        <v>224.7</v>
      </c>
      <c r="E898" s="2" t="n">
        <f aca="false">IFERROR(__xludf.dummyfunction("""COMPUTED_VALUE"""),232.1)</f>
        <v>232.1</v>
      </c>
      <c r="F898" s="2" t="n">
        <f aca="false">IFERROR(__xludf.dummyfunction("""COMPUTED_VALUE"""),129201789)</f>
        <v>129201789</v>
      </c>
    </row>
    <row r="899" customFormat="false" ht="15.75" hidden="false" customHeight="false" outlineLevel="0" collapsed="false">
      <c r="A899" s="3" t="n">
        <f aca="false">IFERROR(__xludf.dummyfunction("""COMPUTED_VALUE"""),45503.6666666667)</f>
        <v>45503.6666666667</v>
      </c>
      <c r="B899" s="2" t="n">
        <f aca="false">IFERROR(__xludf.dummyfunction("""COMPUTED_VALUE"""),232.25)</f>
        <v>232.25</v>
      </c>
      <c r="C899" s="2" t="n">
        <f aca="false">IFERROR(__xludf.dummyfunction("""COMPUTED_VALUE"""),232.41)</f>
        <v>232.41</v>
      </c>
      <c r="D899" s="2" t="n">
        <f aca="false">IFERROR(__xludf.dummyfunction("""COMPUTED_VALUE"""),220)</f>
        <v>220</v>
      </c>
      <c r="E899" s="2" t="n">
        <f aca="false">IFERROR(__xludf.dummyfunction("""COMPUTED_VALUE"""),222.62)</f>
        <v>222.62</v>
      </c>
      <c r="F899" s="2" t="n">
        <f aca="false">IFERROR(__xludf.dummyfunction("""COMPUTED_VALUE"""),100560334)</f>
        <v>100560334</v>
      </c>
    </row>
    <row r="900" customFormat="false" ht="15.75" hidden="false" customHeight="false" outlineLevel="0" collapsed="false">
      <c r="A900" s="3" t="n">
        <f aca="false">IFERROR(__xludf.dummyfunction("""COMPUTED_VALUE"""),45504.6666666667)</f>
        <v>45504.6666666667</v>
      </c>
      <c r="B900" s="2" t="n">
        <f aca="false">IFERROR(__xludf.dummyfunction("""COMPUTED_VALUE"""),227.9)</f>
        <v>227.9</v>
      </c>
      <c r="C900" s="2" t="n">
        <f aca="false">IFERROR(__xludf.dummyfunction("""COMPUTED_VALUE"""),234.68)</f>
        <v>234.68</v>
      </c>
      <c r="D900" s="2" t="n">
        <f aca="false">IFERROR(__xludf.dummyfunction("""COMPUTED_VALUE"""),226.79)</f>
        <v>226.79</v>
      </c>
      <c r="E900" s="2" t="n">
        <f aca="false">IFERROR(__xludf.dummyfunction("""COMPUTED_VALUE"""),232.07)</f>
        <v>232.07</v>
      </c>
      <c r="F900" s="2" t="n">
        <f aca="false">IFERROR(__xludf.dummyfunction("""COMPUTED_VALUE"""),67497011)</f>
        <v>67497011</v>
      </c>
    </row>
    <row r="901" customFormat="false" ht="15.75" hidden="false" customHeight="false" outlineLevel="0" collapsed="false">
      <c r="A901" s="3" t="n">
        <f aca="false">IFERROR(__xludf.dummyfunction("""COMPUTED_VALUE"""),45505.6666666667)</f>
        <v>45505.6666666667</v>
      </c>
      <c r="B901" s="2" t="n">
        <f aca="false">IFERROR(__xludf.dummyfunction("""COMPUTED_VALUE"""),227.69)</f>
        <v>227.69</v>
      </c>
      <c r="C901" s="2" t="n">
        <f aca="false">IFERROR(__xludf.dummyfunction("""COMPUTED_VALUE"""),231.87)</f>
        <v>231.87</v>
      </c>
      <c r="D901" s="2" t="n">
        <f aca="false">IFERROR(__xludf.dummyfunction("""COMPUTED_VALUE"""),214.33)</f>
        <v>214.33</v>
      </c>
      <c r="E901" s="2" t="n">
        <f aca="false">IFERROR(__xludf.dummyfunction("""COMPUTED_VALUE"""),216.86)</f>
        <v>216.86</v>
      </c>
      <c r="F901" s="2" t="n">
        <f aca="false">IFERROR(__xludf.dummyfunction("""COMPUTED_VALUE"""),83861898)</f>
        <v>83861898</v>
      </c>
    </row>
    <row r="902" customFormat="false" ht="15.75" hidden="false" customHeight="false" outlineLevel="0" collapsed="false">
      <c r="A902" s="3" t="n">
        <f aca="false">IFERROR(__xludf.dummyfunction("""COMPUTED_VALUE"""),45506.6666666667)</f>
        <v>45506.6666666667</v>
      </c>
      <c r="B902" s="2" t="n">
        <f aca="false">IFERROR(__xludf.dummyfunction("""COMPUTED_VALUE"""),214.88)</f>
        <v>214.88</v>
      </c>
      <c r="C902" s="2" t="n">
        <f aca="false">IFERROR(__xludf.dummyfunction("""COMPUTED_VALUE"""),216.13)</f>
        <v>216.13</v>
      </c>
      <c r="D902" s="2" t="n">
        <f aca="false">IFERROR(__xludf.dummyfunction("""COMPUTED_VALUE"""),205.78)</f>
        <v>205.78</v>
      </c>
      <c r="E902" s="2" t="n">
        <f aca="false">IFERROR(__xludf.dummyfunction("""COMPUTED_VALUE"""),207.67)</f>
        <v>207.67</v>
      </c>
      <c r="F902" s="2" t="n">
        <f aca="false">IFERROR(__xludf.dummyfunction("""COMPUTED_VALUE"""),82880120)</f>
        <v>82880120</v>
      </c>
    </row>
    <row r="903" customFormat="false" ht="15.75" hidden="false" customHeight="false" outlineLevel="0" collapsed="false">
      <c r="A903" s="3" t="n">
        <f aca="false">IFERROR(__xludf.dummyfunction("""COMPUTED_VALUE"""),45509.6666666667)</f>
        <v>45509.6666666667</v>
      </c>
      <c r="B903" s="2" t="n">
        <f aca="false">IFERROR(__xludf.dummyfunction("""COMPUTED_VALUE"""),185.22)</f>
        <v>185.22</v>
      </c>
      <c r="C903" s="2" t="n">
        <f aca="false">IFERROR(__xludf.dummyfunction("""COMPUTED_VALUE"""),203.88)</f>
        <v>203.88</v>
      </c>
      <c r="D903" s="2" t="n">
        <f aca="false">IFERROR(__xludf.dummyfunction("""COMPUTED_VALUE"""),182)</f>
        <v>182</v>
      </c>
      <c r="E903" s="2" t="n">
        <f aca="false">IFERROR(__xludf.dummyfunction("""COMPUTED_VALUE"""),198.88)</f>
        <v>198.88</v>
      </c>
      <c r="F903" s="2" t="n">
        <f aca="false">IFERROR(__xludf.dummyfunction("""COMPUTED_VALUE"""),100308836)</f>
        <v>100308836</v>
      </c>
    </row>
    <row r="904" customFormat="false" ht="15.75" hidden="false" customHeight="false" outlineLevel="0" collapsed="false">
      <c r="A904" s="3" t="n">
        <f aca="false">IFERROR(__xludf.dummyfunction("""COMPUTED_VALUE"""),45510.6666666667)</f>
        <v>45510.6666666667</v>
      </c>
      <c r="B904" s="2" t="n">
        <f aca="false">IFERROR(__xludf.dummyfunction("""COMPUTED_VALUE"""),200.75)</f>
        <v>200.75</v>
      </c>
      <c r="C904" s="2" t="n">
        <f aca="false">IFERROR(__xludf.dummyfunction("""COMPUTED_VALUE"""),202.9)</f>
        <v>202.9</v>
      </c>
      <c r="D904" s="2" t="n">
        <f aca="false">IFERROR(__xludf.dummyfunction("""COMPUTED_VALUE"""),192.67)</f>
        <v>192.67</v>
      </c>
      <c r="E904" s="2" t="n">
        <f aca="false">IFERROR(__xludf.dummyfunction("""COMPUTED_VALUE"""),200.64)</f>
        <v>200.64</v>
      </c>
      <c r="F904" s="2" t="n">
        <f aca="false">IFERROR(__xludf.dummyfunction("""COMPUTED_VALUE"""),73783942)</f>
        <v>73783942</v>
      </c>
    </row>
    <row r="905" customFormat="false" ht="15.75" hidden="false" customHeight="false" outlineLevel="0" collapsed="false">
      <c r="A905" s="3" t="n">
        <f aca="false">IFERROR(__xludf.dummyfunction("""COMPUTED_VALUE"""),45511.6666666667)</f>
        <v>45511.6666666667</v>
      </c>
      <c r="B905" s="2" t="n">
        <f aca="false">IFERROR(__xludf.dummyfunction("""COMPUTED_VALUE"""),200.77)</f>
        <v>200.77</v>
      </c>
      <c r="C905" s="2" t="n">
        <f aca="false">IFERROR(__xludf.dummyfunction("""COMPUTED_VALUE"""),203.49)</f>
        <v>203.49</v>
      </c>
      <c r="D905" s="2" t="n">
        <f aca="false">IFERROR(__xludf.dummyfunction("""COMPUTED_VALUE"""),191.48)</f>
        <v>191.48</v>
      </c>
      <c r="E905" s="2" t="n">
        <f aca="false">IFERROR(__xludf.dummyfunction("""COMPUTED_VALUE"""),191.76)</f>
        <v>191.76</v>
      </c>
      <c r="F905" s="2" t="n">
        <f aca="false">IFERROR(__xludf.dummyfunction("""COMPUTED_VALUE"""),71159778)</f>
        <v>71159778</v>
      </c>
    </row>
    <row r="906" customFormat="false" ht="15.75" hidden="false" customHeight="false" outlineLevel="0" collapsed="false">
      <c r="A906" s="3" t="n">
        <f aca="false">IFERROR(__xludf.dummyfunction("""COMPUTED_VALUE"""),45512.6666666667)</f>
        <v>45512.6666666667</v>
      </c>
      <c r="B906" s="2" t="n">
        <f aca="false">IFERROR(__xludf.dummyfunction("""COMPUTED_VALUE"""),195.7)</f>
        <v>195.7</v>
      </c>
      <c r="C906" s="2" t="n">
        <f aca="false">IFERROR(__xludf.dummyfunction("""COMPUTED_VALUE"""),200.7)</f>
        <v>200.7</v>
      </c>
      <c r="D906" s="2" t="n">
        <f aca="false">IFERROR(__xludf.dummyfunction("""COMPUTED_VALUE"""),192.04)</f>
        <v>192.04</v>
      </c>
      <c r="E906" s="2" t="n">
        <f aca="false">IFERROR(__xludf.dummyfunction("""COMPUTED_VALUE"""),198.84)</f>
        <v>198.84</v>
      </c>
      <c r="F906" s="2" t="n">
        <f aca="false">IFERROR(__xludf.dummyfunction("""COMPUTED_VALUE"""),65033874)</f>
        <v>65033874</v>
      </c>
    </row>
    <row r="907" customFormat="false" ht="15.75" hidden="false" customHeight="false" outlineLevel="0" collapsed="false">
      <c r="A907" s="3" t="n">
        <f aca="false">IFERROR(__xludf.dummyfunction("""COMPUTED_VALUE"""),45513.6666666667)</f>
        <v>45513.6666666667</v>
      </c>
      <c r="B907" s="2" t="n">
        <f aca="false">IFERROR(__xludf.dummyfunction("""COMPUTED_VALUE"""),197.05)</f>
        <v>197.05</v>
      </c>
      <c r="C907" s="2" t="n">
        <f aca="false">IFERROR(__xludf.dummyfunction("""COMPUTED_VALUE"""),200.88)</f>
        <v>200.88</v>
      </c>
      <c r="D907" s="2" t="n">
        <f aca="false">IFERROR(__xludf.dummyfunction("""COMPUTED_VALUE"""),195.11)</f>
        <v>195.11</v>
      </c>
      <c r="E907" s="2" t="n">
        <f aca="false">IFERROR(__xludf.dummyfunction("""COMPUTED_VALUE"""),200)</f>
        <v>200</v>
      </c>
      <c r="F907" s="2" t="n">
        <f aca="false">IFERROR(__xludf.dummyfunction("""COMPUTED_VALUE"""),58648274)</f>
        <v>58648274</v>
      </c>
    </row>
    <row r="908" customFormat="false" ht="15.75" hidden="false" customHeight="false" outlineLevel="0" collapsed="false">
      <c r="A908" s="3" t="n">
        <f aca="false">IFERROR(__xludf.dummyfunction("""COMPUTED_VALUE"""),45516.6666666667)</f>
        <v>45516.6666666667</v>
      </c>
      <c r="B908" s="2" t="n">
        <f aca="false">IFERROR(__xludf.dummyfunction("""COMPUTED_VALUE"""),199.02)</f>
        <v>199.02</v>
      </c>
      <c r="C908" s="2" t="n">
        <f aca="false">IFERROR(__xludf.dummyfunction("""COMPUTED_VALUE"""),199.26)</f>
        <v>199.26</v>
      </c>
      <c r="D908" s="2" t="n">
        <f aca="false">IFERROR(__xludf.dummyfunction("""COMPUTED_VALUE"""),194.67)</f>
        <v>194.67</v>
      </c>
      <c r="E908" s="2" t="n">
        <f aca="false">IFERROR(__xludf.dummyfunction("""COMPUTED_VALUE"""),197.49)</f>
        <v>197.49</v>
      </c>
      <c r="F908" s="2" t="n">
        <f aca="false">IFERROR(__xludf.dummyfunction("""COMPUTED_VALUE"""),64044903)</f>
        <v>64044903</v>
      </c>
    </row>
    <row r="909" customFormat="false" ht="15.75" hidden="false" customHeight="false" outlineLevel="0" collapsed="false">
      <c r="A909" s="3" t="n">
        <f aca="false">IFERROR(__xludf.dummyfunction("""COMPUTED_VALUE"""),45517.6666666667)</f>
        <v>45517.6666666667</v>
      </c>
      <c r="B909" s="2" t="n">
        <f aca="false">IFERROR(__xludf.dummyfunction("""COMPUTED_VALUE"""),198.47)</f>
        <v>198.47</v>
      </c>
      <c r="C909" s="2" t="n">
        <f aca="false">IFERROR(__xludf.dummyfunction("""COMPUTED_VALUE"""),208.49)</f>
        <v>208.49</v>
      </c>
      <c r="D909" s="2" t="n">
        <f aca="false">IFERROR(__xludf.dummyfunction("""COMPUTED_VALUE"""),197.06)</f>
        <v>197.06</v>
      </c>
      <c r="E909" s="2" t="n">
        <f aca="false">IFERROR(__xludf.dummyfunction("""COMPUTED_VALUE"""),207.83)</f>
        <v>207.83</v>
      </c>
      <c r="F909" s="2" t="n">
        <f aca="false">IFERROR(__xludf.dummyfunction("""COMPUTED_VALUE"""),76247387)</f>
        <v>76247387</v>
      </c>
    </row>
    <row r="910" customFormat="false" ht="15.75" hidden="false" customHeight="false" outlineLevel="0" collapsed="false">
      <c r="A910" s="3" t="n">
        <f aca="false">IFERROR(__xludf.dummyfunction("""COMPUTED_VALUE"""),45518.6666666667)</f>
        <v>45518.6666666667</v>
      </c>
      <c r="B910" s="2" t="n">
        <f aca="false">IFERROR(__xludf.dummyfunction("""COMPUTED_VALUE"""),207.39)</f>
        <v>207.39</v>
      </c>
      <c r="C910" s="2" t="n">
        <f aca="false">IFERROR(__xludf.dummyfunction("""COMPUTED_VALUE"""),208.44)</f>
        <v>208.44</v>
      </c>
      <c r="D910" s="2" t="n">
        <f aca="false">IFERROR(__xludf.dummyfunction("""COMPUTED_VALUE"""),198.75)</f>
        <v>198.75</v>
      </c>
      <c r="E910" s="2" t="n">
        <f aca="false">IFERROR(__xludf.dummyfunction("""COMPUTED_VALUE"""),201.38)</f>
        <v>201.38</v>
      </c>
      <c r="F910" s="2" t="n">
        <f aca="false">IFERROR(__xludf.dummyfunction("""COMPUTED_VALUE"""),70250014)</f>
        <v>70250014</v>
      </c>
    </row>
    <row r="911" customFormat="false" ht="15.75" hidden="false" customHeight="false" outlineLevel="0" collapsed="false">
      <c r="A911" s="3" t="n">
        <f aca="false">IFERROR(__xludf.dummyfunction("""COMPUTED_VALUE"""),45519.6666666667)</f>
        <v>45519.6666666667</v>
      </c>
      <c r="B911" s="2" t="n">
        <f aca="false">IFERROR(__xludf.dummyfunction("""COMPUTED_VALUE"""),205.02)</f>
        <v>205.02</v>
      </c>
      <c r="C911" s="2" t="n">
        <f aca="false">IFERROR(__xludf.dummyfunction("""COMPUTED_VALUE"""),215.88)</f>
        <v>215.88</v>
      </c>
      <c r="D911" s="2" t="n">
        <f aca="false">IFERROR(__xludf.dummyfunction("""COMPUTED_VALUE"""),204.82)</f>
        <v>204.82</v>
      </c>
      <c r="E911" s="2" t="n">
        <f aca="false">IFERROR(__xludf.dummyfunction("""COMPUTED_VALUE"""),214.14)</f>
        <v>214.14</v>
      </c>
      <c r="F911" s="2" t="n">
        <f aca="false">IFERROR(__xludf.dummyfunction("""COMPUTED_VALUE"""),89848530)</f>
        <v>89848530</v>
      </c>
    </row>
    <row r="912" customFormat="false" ht="15.75" hidden="false" customHeight="false" outlineLevel="0" collapsed="false">
      <c r="A912" s="3" t="n">
        <f aca="false">IFERROR(__xludf.dummyfunction("""COMPUTED_VALUE"""),45520.6666666667)</f>
        <v>45520.6666666667</v>
      </c>
      <c r="B912" s="2" t="n">
        <f aca="false">IFERROR(__xludf.dummyfunction("""COMPUTED_VALUE"""),211.15)</f>
        <v>211.15</v>
      </c>
      <c r="C912" s="2" t="n">
        <f aca="false">IFERROR(__xludf.dummyfunction("""COMPUTED_VALUE"""),219.8)</f>
        <v>219.8</v>
      </c>
      <c r="D912" s="2" t="n">
        <f aca="false">IFERROR(__xludf.dummyfunction("""COMPUTED_VALUE"""),210.8)</f>
        <v>210.8</v>
      </c>
      <c r="E912" s="2" t="n">
        <f aca="false">IFERROR(__xludf.dummyfunction("""COMPUTED_VALUE"""),216.12)</f>
        <v>216.12</v>
      </c>
      <c r="F912" s="2" t="n">
        <f aca="false">IFERROR(__xludf.dummyfunction("""COMPUTED_VALUE"""),88765122)</f>
        <v>88765122</v>
      </c>
    </row>
    <row r="913" customFormat="false" ht="15.75" hidden="false" customHeight="false" outlineLevel="0" collapsed="false">
      <c r="A913" s="3" t="n">
        <f aca="false">IFERROR(__xludf.dummyfunction("""COMPUTED_VALUE"""),45523.6666666667)</f>
        <v>45523.6666666667</v>
      </c>
      <c r="B913" s="2" t="n">
        <f aca="false">IFERROR(__xludf.dummyfunction("""COMPUTED_VALUE"""),217.07)</f>
        <v>217.07</v>
      </c>
      <c r="C913" s="2" t="n">
        <f aca="false">IFERROR(__xludf.dummyfunction("""COMPUTED_VALUE"""),222.98)</f>
        <v>222.98</v>
      </c>
      <c r="D913" s="2" t="n">
        <f aca="false">IFERROR(__xludf.dummyfunction("""COMPUTED_VALUE"""),214.09)</f>
        <v>214.09</v>
      </c>
      <c r="E913" s="2" t="n">
        <f aca="false">IFERROR(__xludf.dummyfunction("""COMPUTED_VALUE"""),222.72)</f>
        <v>222.72</v>
      </c>
      <c r="F913" s="2" t="n">
        <f aca="false">IFERROR(__xludf.dummyfunction("""COMPUTED_VALUE"""),76435222)</f>
        <v>76435222</v>
      </c>
    </row>
    <row r="914" customFormat="false" ht="15.75" hidden="false" customHeight="false" outlineLevel="0" collapsed="false">
      <c r="A914" s="3" t="n">
        <f aca="false">IFERROR(__xludf.dummyfunction("""COMPUTED_VALUE"""),45524.6666666667)</f>
        <v>45524.6666666667</v>
      </c>
      <c r="B914" s="2" t="n">
        <f aca="false">IFERROR(__xludf.dummyfunction("""COMPUTED_VALUE"""),224.88)</f>
        <v>224.88</v>
      </c>
      <c r="C914" s="2" t="n">
        <f aca="false">IFERROR(__xludf.dummyfunction("""COMPUTED_VALUE"""),228.22)</f>
        <v>228.22</v>
      </c>
      <c r="D914" s="2" t="n">
        <f aca="false">IFERROR(__xludf.dummyfunction("""COMPUTED_VALUE"""),219.56)</f>
        <v>219.56</v>
      </c>
      <c r="E914" s="2" t="n">
        <f aca="false">IFERROR(__xludf.dummyfunction("""COMPUTED_VALUE"""),221.1)</f>
        <v>221.1</v>
      </c>
      <c r="F914" s="2" t="n">
        <f aca="false">IFERROR(__xludf.dummyfunction("""COMPUTED_VALUE"""),74001182)</f>
        <v>74001182</v>
      </c>
    </row>
    <row r="915" customFormat="false" ht="15.75" hidden="false" customHeight="false" outlineLevel="0" collapsed="false">
      <c r="A915" s="3" t="n">
        <f aca="false">IFERROR(__xludf.dummyfunction("""COMPUTED_VALUE"""),45525.6666666667)</f>
        <v>45525.6666666667</v>
      </c>
      <c r="B915" s="2" t="n">
        <f aca="false">IFERROR(__xludf.dummyfunction("""COMPUTED_VALUE"""),222.67)</f>
        <v>222.67</v>
      </c>
      <c r="C915" s="2" t="n">
        <f aca="false">IFERROR(__xludf.dummyfunction("""COMPUTED_VALUE"""),224.66)</f>
        <v>224.66</v>
      </c>
      <c r="D915" s="2" t="n">
        <f aca="false">IFERROR(__xludf.dummyfunction("""COMPUTED_VALUE"""),218.86)</f>
        <v>218.86</v>
      </c>
      <c r="E915" s="2" t="n">
        <f aca="false">IFERROR(__xludf.dummyfunction("""COMPUTED_VALUE"""),223.27)</f>
        <v>223.27</v>
      </c>
      <c r="F915" s="2" t="n">
        <f aca="false">IFERROR(__xludf.dummyfunction("""COMPUTED_VALUE"""),70145964)</f>
        <v>70145964</v>
      </c>
    </row>
    <row r="916" customFormat="false" ht="15.75" hidden="false" customHeight="false" outlineLevel="0" collapsed="false">
      <c r="A916" s="3" t="n">
        <f aca="false">IFERROR(__xludf.dummyfunction("""COMPUTED_VALUE"""),45526.6666666667)</f>
        <v>45526.6666666667</v>
      </c>
      <c r="B916" s="2" t="n">
        <f aca="false">IFERROR(__xludf.dummyfunction("""COMPUTED_VALUE"""),223.82)</f>
        <v>223.82</v>
      </c>
      <c r="C916" s="2" t="n">
        <f aca="false">IFERROR(__xludf.dummyfunction("""COMPUTED_VALUE"""),224.8)</f>
        <v>224.8</v>
      </c>
      <c r="D916" s="2" t="n">
        <f aca="false">IFERROR(__xludf.dummyfunction("""COMPUTED_VALUE"""),210.32)</f>
        <v>210.32</v>
      </c>
      <c r="E916" s="2" t="n">
        <f aca="false">IFERROR(__xludf.dummyfunction("""COMPUTED_VALUE"""),210.66)</f>
        <v>210.66</v>
      </c>
      <c r="F916" s="2" t="n">
        <f aca="false">IFERROR(__xludf.dummyfunction("""COMPUTED_VALUE"""),79514482)</f>
        <v>79514482</v>
      </c>
    </row>
    <row r="917" customFormat="false" ht="15.75" hidden="false" customHeight="false" outlineLevel="0" collapsed="false">
      <c r="A917" s="3" t="n">
        <f aca="false">IFERROR(__xludf.dummyfunction("""COMPUTED_VALUE"""),45527.6666666667)</f>
        <v>45527.6666666667</v>
      </c>
      <c r="B917" s="2" t="n">
        <f aca="false">IFERROR(__xludf.dummyfunction("""COMPUTED_VALUE"""),214.46)</f>
        <v>214.46</v>
      </c>
      <c r="C917" s="2" t="n">
        <f aca="false">IFERROR(__xludf.dummyfunction("""COMPUTED_VALUE"""),221.48)</f>
        <v>221.48</v>
      </c>
      <c r="D917" s="2" t="n">
        <f aca="false">IFERROR(__xludf.dummyfunction("""COMPUTED_VALUE"""),214.21)</f>
        <v>214.21</v>
      </c>
      <c r="E917" s="2" t="n">
        <f aca="false">IFERROR(__xludf.dummyfunction("""COMPUTED_VALUE"""),220.32)</f>
        <v>220.32</v>
      </c>
      <c r="F917" s="2" t="n">
        <f aca="false">IFERROR(__xludf.dummyfunction("""COMPUTED_VALUE"""),81525207)</f>
        <v>81525207</v>
      </c>
    </row>
    <row r="918" customFormat="false" ht="15.75" hidden="false" customHeight="false" outlineLevel="0" collapsed="false">
      <c r="A918" s="3" t="n">
        <f aca="false">IFERROR(__xludf.dummyfunction("""COMPUTED_VALUE"""),45530.6666666667)</f>
        <v>45530.6666666667</v>
      </c>
      <c r="B918" s="2" t="n">
        <f aca="false">IFERROR(__xludf.dummyfunction("""COMPUTED_VALUE"""),218.75)</f>
        <v>218.75</v>
      </c>
      <c r="C918" s="2" t="n">
        <f aca="false">IFERROR(__xludf.dummyfunction("""COMPUTED_VALUE"""),219.09)</f>
        <v>219.09</v>
      </c>
      <c r="D918" s="2" t="n">
        <f aca="false">IFERROR(__xludf.dummyfunction("""COMPUTED_VALUE"""),211.01)</f>
        <v>211.01</v>
      </c>
      <c r="E918" s="2" t="n">
        <f aca="false">IFERROR(__xludf.dummyfunction("""COMPUTED_VALUE"""),213.21)</f>
        <v>213.21</v>
      </c>
      <c r="F918" s="2" t="n">
        <f aca="false">IFERROR(__xludf.dummyfunction("""COMPUTED_VALUE"""),59301187)</f>
        <v>59301187</v>
      </c>
    </row>
    <row r="919" customFormat="false" ht="15.75" hidden="false" customHeight="false" outlineLevel="0" collapsed="false">
      <c r="A919" s="3" t="n">
        <f aca="false">IFERROR(__xludf.dummyfunction("""COMPUTED_VALUE"""),45531.6666666667)</f>
        <v>45531.6666666667</v>
      </c>
      <c r="B919" s="2" t="n">
        <f aca="false">IFERROR(__xludf.dummyfunction("""COMPUTED_VALUE"""),213.25)</f>
        <v>213.25</v>
      </c>
      <c r="C919" s="2" t="n">
        <f aca="false">IFERROR(__xludf.dummyfunction("""COMPUTED_VALUE"""),215.66)</f>
        <v>215.66</v>
      </c>
      <c r="D919" s="2" t="n">
        <f aca="false">IFERROR(__xludf.dummyfunction("""COMPUTED_VALUE"""),206.94)</f>
        <v>206.94</v>
      </c>
      <c r="E919" s="2" t="n">
        <f aca="false">IFERROR(__xludf.dummyfunction("""COMPUTED_VALUE"""),209.21)</f>
        <v>209.21</v>
      </c>
      <c r="F919" s="2" t="n">
        <f aca="false">IFERROR(__xludf.dummyfunction("""COMPUTED_VALUE"""),62821390)</f>
        <v>62821390</v>
      </c>
    </row>
    <row r="920" customFormat="false" ht="15.75" hidden="false" customHeight="false" outlineLevel="0" collapsed="false">
      <c r="A920" s="3" t="n">
        <f aca="false">IFERROR(__xludf.dummyfunction("""COMPUTED_VALUE"""),45532.6666666667)</f>
        <v>45532.6666666667</v>
      </c>
      <c r="B920" s="2" t="n">
        <f aca="false">IFERROR(__xludf.dummyfunction("""COMPUTED_VALUE"""),209.72)</f>
        <v>209.72</v>
      </c>
      <c r="C920" s="2" t="n">
        <f aca="false">IFERROR(__xludf.dummyfunction("""COMPUTED_VALUE"""),211.84)</f>
        <v>211.84</v>
      </c>
      <c r="D920" s="2" t="n">
        <f aca="false">IFERROR(__xludf.dummyfunction("""COMPUTED_VALUE"""),202.59)</f>
        <v>202.59</v>
      </c>
      <c r="E920" s="2" t="n">
        <f aca="false">IFERROR(__xludf.dummyfunction("""COMPUTED_VALUE"""),205.75)</f>
        <v>205.75</v>
      </c>
      <c r="F920" s="2" t="n">
        <f aca="false">IFERROR(__xludf.dummyfunction("""COMPUTED_VALUE"""),64116350)</f>
        <v>64116350</v>
      </c>
    </row>
    <row r="921" customFormat="false" ht="15.75" hidden="false" customHeight="false" outlineLevel="0" collapsed="false">
      <c r="A921" s="3" t="n">
        <f aca="false">IFERROR(__xludf.dummyfunction("""COMPUTED_VALUE"""),45533.6666666667)</f>
        <v>45533.6666666667</v>
      </c>
      <c r="B921" s="2" t="n">
        <f aca="false">IFERROR(__xludf.dummyfunction("""COMPUTED_VALUE"""),209.8)</f>
        <v>209.8</v>
      </c>
      <c r="C921" s="2" t="n">
        <f aca="false">IFERROR(__xludf.dummyfunction("""COMPUTED_VALUE"""),214.89)</f>
        <v>214.89</v>
      </c>
      <c r="D921" s="2" t="n">
        <f aca="false">IFERROR(__xludf.dummyfunction("""COMPUTED_VALUE"""),205.97)</f>
        <v>205.97</v>
      </c>
      <c r="E921" s="2" t="n">
        <f aca="false">IFERROR(__xludf.dummyfunction("""COMPUTED_VALUE"""),206.28)</f>
        <v>206.28</v>
      </c>
      <c r="F921" s="2" t="n">
        <f aca="false">IFERROR(__xludf.dummyfunction("""COMPUTED_VALUE"""),62308818)</f>
        <v>62308818</v>
      </c>
    </row>
    <row r="922" customFormat="false" ht="15.75" hidden="false" customHeight="false" outlineLevel="0" collapsed="false">
      <c r="A922" s="3" t="n">
        <f aca="false">IFERROR(__xludf.dummyfunction("""COMPUTED_VALUE"""),45534.6666666667)</f>
        <v>45534.6666666667</v>
      </c>
      <c r="B922" s="2" t="n">
        <f aca="false">IFERROR(__xludf.dummyfunction("""COMPUTED_VALUE"""),208.63)</f>
        <v>208.63</v>
      </c>
      <c r="C922" s="2" t="n">
        <f aca="false">IFERROR(__xludf.dummyfunction("""COMPUTED_VALUE"""),214.57)</f>
        <v>214.57</v>
      </c>
      <c r="D922" s="2" t="n">
        <f aca="false">IFERROR(__xludf.dummyfunction("""COMPUTED_VALUE"""),207.03)</f>
        <v>207.03</v>
      </c>
      <c r="E922" s="2" t="n">
        <f aca="false">IFERROR(__xludf.dummyfunction("""COMPUTED_VALUE"""),214.11)</f>
        <v>214.11</v>
      </c>
      <c r="F922" s="2" t="n">
        <f aca="false">IFERROR(__xludf.dummyfunction("""COMPUTED_VALUE"""),63370608)</f>
        <v>63370608</v>
      </c>
    </row>
    <row r="923" customFormat="false" ht="15.75" hidden="false" customHeight="false" outlineLevel="0" collapsed="false">
      <c r="A923" s="3" t="n">
        <f aca="false">IFERROR(__xludf.dummyfunction("""COMPUTED_VALUE"""),45538.6666666667)</f>
        <v>45538.6666666667</v>
      </c>
      <c r="B923" s="2" t="n">
        <f aca="false">IFERROR(__xludf.dummyfunction("""COMPUTED_VALUE"""),215.26)</f>
        <v>215.26</v>
      </c>
      <c r="C923" s="2" t="n">
        <f aca="false">IFERROR(__xludf.dummyfunction("""COMPUTED_VALUE"""),219.9)</f>
        <v>219.9</v>
      </c>
      <c r="D923" s="2" t="n">
        <f aca="false">IFERROR(__xludf.dummyfunction("""COMPUTED_VALUE"""),209.64)</f>
        <v>209.64</v>
      </c>
      <c r="E923" s="2" t="n">
        <f aca="false">IFERROR(__xludf.dummyfunction("""COMPUTED_VALUE"""),210.6)</f>
        <v>210.6</v>
      </c>
      <c r="F923" s="2" t="n">
        <f aca="false">IFERROR(__xludf.dummyfunction("""COMPUTED_VALUE"""),76714222)</f>
        <v>76714222</v>
      </c>
    </row>
    <row r="924" customFormat="false" ht="15.75" hidden="false" customHeight="false" outlineLevel="0" collapsed="false">
      <c r="A924" s="3" t="n">
        <f aca="false">IFERROR(__xludf.dummyfunction("""COMPUTED_VALUE"""),45539.6666666667)</f>
        <v>45539.6666666667</v>
      </c>
      <c r="B924" s="2" t="n">
        <f aca="false">IFERROR(__xludf.dummyfunction("""COMPUTED_VALUE"""),210.59)</f>
        <v>210.59</v>
      </c>
      <c r="C924" s="2" t="n">
        <f aca="false">IFERROR(__xludf.dummyfunction("""COMPUTED_VALUE"""),222.22)</f>
        <v>222.22</v>
      </c>
      <c r="D924" s="2" t="n">
        <f aca="false">IFERROR(__xludf.dummyfunction("""COMPUTED_VALUE"""),210.57)</f>
        <v>210.57</v>
      </c>
      <c r="E924" s="2" t="n">
        <f aca="false">IFERROR(__xludf.dummyfunction("""COMPUTED_VALUE"""),219.41)</f>
        <v>219.41</v>
      </c>
      <c r="F924" s="2" t="n">
        <f aca="false">IFERROR(__xludf.dummyfunction("""COMPUTED_VALUE"""),80651767)</f>
        <v>80651767</v>
      </c>
    </row>
    <row r="925" customFormat="false" ht="15.75" hidden="false" customHeight="false" outlineLevel="0" collapsed="false">
      <c r="A925" s="3" t="n">
        <f aca="false">IFERROR(__xludf.dummyfunction("""COMPUTED_VALUE"""),45540.6666666667)</f>
        <v>45540.6666666667</v>
      </c>
      <c r="B925" s="2" t="n">
        <f aca="false">IFERROR(__xludf.dummyfunction("""COMPUTED_VALUE"""),223.49)</f>
        <v>223.49</v>
      </c>
      <c r="C925" s="2" t="n">
        <f aca="false">IFERROR(__xludf.dummyfunction("""COMPUTED_VALUE"""),235)</f>
        <v>235</v>
      </c>
      <c r="D925" s="2" t="n">
        <f aca="false">IFERROR(__xludf.dummyfunction("""COMPUTED_VALUE"""),222.25)</f>
        <v>222.25</v>
      </c>
      <c r="E925" s="2" t="n">
        <f aca="false">IFERROR(__xludf.dummyfunction("""COMPUTED_VALUE"""),230.17)</f>
        <v>230.17</v>
      </c>
      <c r="F925" s="2" t="n">
        <f aca="false">IFERROR(__xludf.dummyfunction("""COMPUTED_VALUE"""),119355013)</f>
        <v>119355013</v>
      </c>
    </row>
    <row r="926" customFormat="false" ht="15.75" hidden="false" customHeight="false" outlineLevel="0" collapsed="false">
      <c r="A926" s="3" t="n">
        <f aca="false">IFERROR(__xludf.dummyfunction("""COMPUTED_VALUE"""),45541.6666666667)</f>
        <v>45541.6666666667</v>
      </c>
      <c r="B926" s="2" t="n">
        <f aca="false">IFERROR(__xludf.dummyfunction("""COMPUTED_VALUE"""),232.6)</f>
        <v>232.6</v>
      </c>
      <c r="C926" s="2" t="n">
        <f aca="false">IFERROR(__xludf.dummyfunction("""COMPUTED_VALUE"""),233.6)</f>
        <v>233.6</v>
      </c>
      <c r="D926" s="2" t="n">
        <f aca="false">IFERROR(__xludf.dummyfunction("""COMPUTED_VALUE"""),210.51)</f>
        <v>210.51</v>
      </c>
      <c r="E926" s="2" t="n">
        <f aca="false">IFERROR(__xludf.dummyfunction("""COMPUTED_VALUE"""),210.73)</f>
        <v>210.73</v>
      </c>
      <c r="F926" s="2" t="n">
        <f aca="false">IFERROR(__xludf.dummyfunction("""COMPUTED_VALUE"""),112177004)</f>
        <v>112177004</v>
      </c>
    </row>
    <row r="927" customFormat="false" ht="15.75" hidden="false" customHeight="false" outlineLevel="0" collapsed="false">
      <c r="A927" s="3" t="n">
        <f aca="false">IFERROR(__xludf.dummyfunction("""COMPUTED_VALUE"""),45544.6666666667)</f>
        <v>45544.6666666667</v>
      </c>
      <c r="B927" s="2" t="n">
        <f aca="false">IFERROR(__xludf.dummyfunction("""COMPUTED_VALUE"""),216.2)</f>
        <v>216.2</v>
      </c>
      <c r="C927" s="2" t="n">
        <f aca="false">IFERROR(__xludf.dummyfunction("""COMPUTED_VALUE"""),219.87)</f>
        <v>219.87</v>
      </c>
      <c r="D927" s="2" t="n">
        <f aca="false">IFERROR(__xludf.dummyfunction("""COMPUTED_VALUE"""),213.67)</f>
        <v>213.67</v>
      </c>
      <c r="E927" s="2" t="n">
        <f aca="false">IFERROR(__xludf.dummyfunction("""COMPUTED_VALUE"""),216.27)</f>
        <v>216.27</v>
      </c>
      <c r="F927" s="2" t="n">
        <f aca="false">IFERROR(__xludf.dummyfunction("""COMPUTED_VALUE"""),67443518)</f>
        <v>67443518</v>
      </c>
    </row>
    <row r="928" customFormat="false" ht="15.75" hidden="false" customHeight="false" outlineLevel="0" collapsed="false">
      <c r="A928" s="3" t="n">
        <f aca="false">IFERROR(__xludf.dummyfunction("""COMPUTED_VALUE"""),45545.6666666667)</f>
        <v>45545.6666666667</v>
      </c>
      <c r="B928" s="2" t="n">
        <f aca="false">IFERROR(__xludf.dummyfunction("""COMPUTED_VALUE"""),220.07)</f>
        <v>220.07</v>
      </c>
      <c r="C928" s="2" t="n">
        <f aca="false">IFERROR(__xludf.dummyfunction("""COMPUTED_VALUE"""),226.4)</f>
        <v>226.4</v>
      </c>
      <c r="D928" s="2" t="n">
        <f aca="false">IFERROR(__xludf.dummyfunction("""COMPUTED_VALUE"""),218.64)</f>
        <v>218.64</v>
      </c>
      <c r="E928" s="2" t="n">
        <f aca="false">IFERROR(__xludf.dummyfunction("""COMPUTED_VALUE"""),226.17)</f>
        <v>226.17</v>
      </c>
      <c r="F928" s="2" t="n">
        <f aca="false">IFERROR(__xludf.dummyfunction("""COMPUTED_VALUE"""),78891136)</f>
        <v>78891136</v>
      </c>
    </row>
    <row r="929" customFormat="false" ht="15.75" hidden="false" customHeight="false" outlineLevel="0" collapsed="false">
      <c r="A929" s="3" t="n">
        <f aca="false">IFERROR(__xludf.dummyfunction("""COMPUTED_VALUE"""),45546.6666666667)</f>
        <v>45546.6666666667</v>
      </c>
      <c r="B929" s="2" t="n">
        <f aca="false">IFERROR(__xludf.dummyfunction("""COMPUTED_VALUE"""),224.55)</f>
        <v>224.55</v>
      </c>
      <c r="C929" s="2" t="n">
        <f aca="false">IFERROR(__xludf.dummyfunction("""COMPUTED_VALUE"""),228.47)</f>
        <v>228.47</v>
      </c>
      <c r="D929" s="2" t="n">
        <f aca="false">IFERROR(__xludf.dummyfunction("""COMPUTED_VALUE"""),216.8)</f>
        <v>216.8</v>
      </c>
      <c r="E929" s="2" t="n">
        <f aca="false">IFERROR(__xludf.dummyfunction("""COMPUTED_VALUE"""),228.13)</f>
        <v>228.13</v>
      </c>
      <c r="F929" s="2" t="n">
        <f aca="false">IFERROR(__xludf.dummyfunction("""COMPUTED_VALUE"""),83548633)</f>
        <v>83548633</v>
      </c>
    </row>
    <row r="930" customFormat="false" ht="15.75" hidden="false" customHeight="false" outlineLevel="0" collapsed="false">
      <c r="A930" s="3" t="n">
        <f aca="false">IFERROR(__xludf.dummyfunction("""COMPUTED_VALUE"""),45547.6666666667)</f>
        <v>45547.6666666667</v>
      </c>
      <c r="B930" s="2" t="n">
        <f aca="false">IFERROR(__xludf.dummyfunction("""COMPUTED_VALUE"""),224.66)</f>
        <v>224.66</v>
      </c>
      <c r="C930" s="2" t="n">
        <f aca="false">IFERROR(__xludf.dummyfunction("""COMPUTED_VALUE"""),231.45)</f>
        <v>231.45</v>
      </c>
      <c r="D930" s="2" t="n">
        <f aca="false">IFERROR(__xludf.dummyfunction("""COMPUTED_VALUE"""),223.83)</f>
        <v>223.83</v>
      </c>
      <c r="E930" s="2" t="n">
        <f aca="false">IFERROR(__xludf.dummyfunction("""COMPUTED_VALUE"""),229.81)</f>
        <v>229.81</v>
      </c>
      <c r="F930" s="2" t="n">
        <f aca="false">IFERROR(__xludf.dummyfunction("""COMPUTED_VALUE"""),72020042)</f>
        <v>72020042</v>
      </c>
    </row>
    <row r="931" customFormat="false" ht="15.75" hidden="false" customHeight="false" outlineLevel="0" collapsed="false">
      <c r="A931" s="3" t="n">
        <f aca="false">IFERROR(__xludf.dummyfunction("""COMPUTED_VALUE"""),45548.6666666667)</f>
        <v>45548.6666666667</v>
      </c>
      <c r="B931" s="2" t="n">
        <f aca="false">IFERROR(__xludf.dummyfunction("""COMPUTED_VALUE"""),228)</f>
        <v>228</v>
      </c>
      <c r="C931" s="2" t="n">
        <f aca="false">IFERROR(__xludf.dummyfunction("""COMPUTED_VALUE"""),232.67)</f>
        <v>232.67</v>
      </c>
      <c r="D931" s="2" t="n">
        <f aca="false">IFERROR(__xludf.dummyfunction("""COMPUTED_VALUE"""),226.32)</f>
        <v>226.32</v>
      </c>
      <c r="E931" s="2" t="n">
        <f aca="false">IFERROR(__xludf.dummyfunction("""COMPUTED_VALUE"""),230.29)</f>
        <v>230.29</v>
      </c>
      <c r="F931" s="2" t="n">
        <f aca="false">IFERROR(__xludf.dummyfunction("""COMPUTED_VALUE"""),59515114)</f>
        <v>59515114</v>
      </c>
    </row>
    <row r="932" customFormat="false" ht="15.75" hidden="false" customHeight="false" outlineLevel="0" collapsed="false">
      <c r="A932" s="3" t="n">
        <f aca="false">IFERROR(__xludf.dummyfunction("""COMPUTED_VALUE"""),45551.6666666667)</f>
        <v>45551.6666666667</v>
      </c>
      <c r="B932" s="2" t="n">
        <f aca="false">IFERROR(__xludf.dummyfunction("""COMPUTED_VALUE"""),229.3)</f>
        <v>229.3</v>
      </c>
      <c r="C932" s="2" t="n">
        <f aca="false">IFERROR(__xludf.dummyfunction("""COMPUTED_VALUE"""),229.96)</f>
        <v>229.96</v>
      </c>
      <c r="D932" s="2" t="n">
        <f aca="false">IFERROR(__xludf.dummyfunction("""COMPUTED_VALUE"""),223.53)</f>
        <v>223.53</v>
      </c>
      <c r="E932" s="2" t="n">
        <f aca="false">IFERROR(__xludf.dummyfunction("""COMPUTED_VALUE"""),226.78)</f>
        <v>226.78</v>
      </c>
      <c r="F932" s="2" t="n">
        <f aca="false">IFERROR(__xludf.dummyfunction("""COMPUTED_VALUE"""),54322995)</f>
        <v>54322995</v>
      </c>
    </row>
    <row r="933" customFormat="false" ht="15.75" hidden="false" customHeight="false" outlineLevel="0" collapsed="false">
      <c r="A933" s="3" t="n">
        <f aca="false">IFERROR(__xludf.dummyfunction("""COMPUTED_VALUE"""),45552.6666666667)</f>
        <v>45552.6666666667</v>
      </c>
      <c r="B933" s="2" t="n">
        <f aca="false">IFERROR(__xludf.dummyfunction("""COMPUTED_VALUE"""),229.45)</f>
        <v>229.45</v>
      </c>
      <c r="C933" s="2" t="n">
        <f aca="false">IFERROR(__xludf.dummyfunction("""COMPUTED_VALUE"""),234.57)</f>
        <v>234.57</v>
      </c>
      <c r="D933" s="2" t="n">
        <f aca="false">IFERROR(__xludf.dummyfunction("""COMPUTED_VALUE"""),226.55)</f>
        <v>226.55</v>
      </c>
      <c r="E933" s="2" t="n">
        <f aca="false">IFERROR(__xludf.dummyfunction("""COMPUTED_VALUE"""),227.87)</f>
        <v>227.87</v>
      </c>
      <c r="F933" s="2" t="n">
        <f aca="false">IFERROR(__xludf.dummyfunction("""COMPUTED_VALUE"""),66761636)</f>
        <v>66761636</v>
      </c>
    </row>
    <row r="934" customFormat="false" ht="15.75" hidden="false" customHeight="false" outlineLevel="0" collapsed="false">
      <c r="A934" s="3" t="n">
        <f aca="false">IFERROR(__xludf.dummyfunction("""COMPUTED_VALUE"""),45553.6666666667)</f>
        <v>45553.6666666667</v>
      </c>
      <c r="B934" s="2" t="n">
        <f aca="false">IFERROR(__xludf.dummyfunction("""COMPUTED_VALUE"""),230.09)</f>
        <v>230.09</v>
      </c>
      <c r="C934" s="2" t="n">
        <f aca="false">IFERROR(__xludf.dummyfunction("""COMPUTED_VALUE"""),235.68)</f>
        <v>235.68</v>
      </c>
      <c r="D934" s="2" t="n">
        <f aca="false">IFERROR(__xludf.dummyfunction("""COMPUTED_VALUE"""),226.88)</f>
        <v>226.88</v>
      </c>
      <c r="E934" s="2" t="n">
        <f aca="false">IFERROR(__xludf.dummyfunction("""COMPUTED_VALUE"""),227.2)</f>
        <v>227.2</v>
      </c>
      <c r="F934" s="2" t="n">
        <f aca="false">IFERROR(__xludf.dummyfunction("""COMPUTED_VALUE"""),78010204)</f>
        <v>78010204</v>
      </c>
    </row>
    <row r="935" customFormat="false" ht="15.75" hidden="false" customHeight="false" outlineLevel="0" collapsed="false">
      <c r="A935" s="3" t="n">
        <f aca="false">IFERROR(__xludf.dummyfunction("""COMPUTED_VALUE"""),45554.6666666667)</f>
        <v>45554.6666666667</v>
      </c>
      <c r="B935" s="2" t="n">
        <f aca="false">IFERROR(__xludf.dummyfunction("""COMPUTED_VALUE"""),234)</f>
        <v>234</v>
      </c>
      <c r="C935" s="2" t="n">
        <f aca="false">IFERROR(__xludf.dummyfunction("""COMPUTED_VALUE"""),244.24)</f>
        <v>244.24</v>
      </c>
      <c r="D935" s="2" t="n">
        <f aca="false">IFERROR(__xludf.dummyfunction("""COMPUTED_VALUE"""),232.13)</f>
        <v>232.13</v>
      </c>
      <c r="E935" s="2" t="n">
        <f aca="false">IFERROR(__xludf.dummyfunction("""COMPUTED_VALUE"""),243.92)</f>
        <v>243.92</v>
      </c>
      <c r="F935" s="2" t="n">
        <f aca="false">IFERROR(__xludf.dummyfunction("""COMPUTED_VALUE"""),102694576)</f>
        <v>102694576</v>
      </c>
    </row>
    <row r="936" customFormat="false" ht="15.75" hidden="false" customHeight="false" outlineLevel="0" collapsed="false">
      <c r="A936" s="3" t="n">
        <f aca="false">IFERROR(__xludf.dummyfunction("""COMPUTED_VALUE"""),45555.6666666667)</f>
        <v>45555.6666666667</v>
      </c>
      <c r="B936" s="2" t="n">
        <f aca="false">IFERROR(__xludf.dummyfunction("""COMPUTED_VALUE"""),241.52)</f>
        <v>241.52</v>
      </c>
      <c r="C936" s="2" t="n">
        <f aca="false">IFERROR(__xludf.dummyfunction("""COMPUTED_VALUE"""),243.99)</f>
        <v>243.99</v>
      </c>
      <c r="D936" s="2" t="n">
        <f aca="false">IFERROR(__xludf.dummyfunction("""COMPUTED_VALUE"""),235.92)</f>
        <v>235.92</v>
      </c>
      <c r="E936" s="2" t="n">
        <f aca="false">IFERROR(__xludf.dummyfunction("""COMPUTED_VALUE"""),238.25)</f>
        <v>238.25</v>
      </c>
      <c r="F936" s="2" t="n">
        <f aca="false">IFERROR(__xludf.dummyfunction("""COMPUTED_VALUE"""),99879070)</f>
        <v>99879070</v>
      </c>
    </row>
    <row r="937" customFormat="false" ht="15.75" hidden="false" customHeight="false" outlineLevel="0" collapsed="false">
      <c r="A937" s="3" t="n">
        <f aca="false">IFERROR(__xludf.dummyfunction("""COMPUTED_VALUE"""),45558.6666666667)</f>
        <v>45558.6666666667</v>
      </c>
      <c r="B937" s="2" t="n">
        <f aca="false">IFERROR(__xludf.dummyfunction("""COMPUTED_VALUE"""),242.61)</f>
        <v>242.61</v>
      </c>
      <c r="C937" s="2" t="n">
        <f aca="false">IFERROR(__xludf.dummyfunction("""COMPUTED_VALUE"""),250)</f>
        <v>250</v>
      </c>
      <c r="D937" s="2" t="n">
        <f aca="false">IFERROR(__xludf.dummyfunction("""COMPUTED_VALUE"""),241.92)</f>
        <v>241.92</v>
      </c>
      <c r="E937" s="2" t="n">
        <f aca="false">IFERROR(__xludf.dummyfunction("""COMPUTED_VALUE"""),250)</f>
        <v>250</v>
      </c>
      <c r="F937" s="2" t="n">
        <f aca="false">IFERROR(__xludf.dummyfunction("""COMPUTED_VALUE"""),86927194)</f>
        <v>86927194</v>
      </c>
    </row>
    <row r="938" customFormat="false" ht="15.75" hidden="false" customHeight="false" outlineLevel="0" collapsed="false">
      <c r="A938" s="3" t="n">
        <f aca="false">IFERROR(__xludf.dummyfunction("""COMPUTED_VALUE"""),45559.6666666667)</f>
        <v>45559.6666666667</v>
      </c>
      <c r="B938" s="2" t="n">
        <f aca="false">IFERROR(__xludf.dummyfunction("""COMPUTED_VALUE"""),254.08)</f>
        <v>254.08</v>
      </c>
      <c r="C938" s="2" t="n">
        <f aca="false">IFERROR(__xludf.dummyfunction("""COMPUTED_VALUE"""),257.19)</f>
        <v>257.19</v>
      </c>
      <c r="D938" s="2" t="n">
        <f aca="false">IFERROR(__xludf.dummyfunction("""COMPUTED_VALUE"""),249.05)</f>
        <v>249.05</v>
      </c>
      <c r="E938" s="2" t="n">
        <f aca="false">IFERROR(__xludf.dummyfunction("""COMPUTED_VALUE"""),254.27)</f>
        <v>254.27</v>
      </c>
      <c r="F938" s="2" t="n">
        <f aca="false">IFERROR(__xludf.dummyfunction("""COMPUTED_VALUE"""),88490999)</f>
        <v>88490999</v>
      </c>
    </row>
    <row r="939" customFormat="false" ht="15.75" hidden="false" customHeight="false" outlineLevel="0" collapsed="false">
      <c r="A939" s="3" t="n">
        <f aca="false">IFERROR(__xludf.dummyfunction("""COMPUTED_VALUE"""),45560.6666666667)</f>
        <v>45560.6666666667</v>
      </c>
      <c r="B939" s="2" t="n">
        <f aca="false">IFERROR(__xludf.dummyfunction("""COMPUTED_VALUE"""),252.54)</f>
        <v>252.54</v>
      </c>
      <c r="C939" s="2" t="n">
        <f aca="false">IFERROR(__xludf.dummyfunction("""COMPUTED_VALUE"""),257.05)</f>
        <v>257.05</v>
      </c>
      <c r="D939" s="2" t="n">
        <f aca="false">IFERROR(__xludf.dummyfunction("""COMPUTED_VALUE"""),252.28)</f>
        <v>252.28</v>
      </c>
      <c r="E939" s="2" t="n">
        <f aca="false">IFERROR(__xludf.dummyfunction("""COMPUTED_VALUE"""),257.02)</f>
        <v>257.02</v>
      </c>
      <c r="F939" s="2" t="n">
        <f aca="false">IFERROR(__xludf.dummyfunction("""COMPUTED_VALUE"""),65034318)</f>
        <v>65034318</v>
      </c>
    </row>
    <row r="940" customFormat="false" ht="15.75" hidden="false" customHeight="false" outlineLevel="0" collapsed="false">
      <c r="A940" s="3" t="n">
        <f aca="false">IFERROR(__xludf.dummyfunction("""COMPUTED_VALUE"""),45561.6666666667)</f>
        <v>45561.6666666667</v>
      </c>
      <c r="B940" s="2" t="n">
        <f aca="false">IFERROR(__xludf.dummyfunction("""COMPUTED_VALUE"""),260.6)</f>
        <v>260.6</v>
      </c>
      <c r="C940" s="2" t="n">
        <f aca="false">IFERROR(__xludf.dummyfunction("""COMPUTED_VALUE"""),261.75)</f>
        <v>261.75</v>
      </c>
      <c r="D940" s="2" t="n">
        <f aca="false">IFERROR(__xludf.dummyfunction("""COMPUTED_VALUE"""),251.53)</f>
        <v>251.53</v>
      </c>
      <c r="E940" s="2" t="n">
        <f aca="false">IFERROR(__xludf.dummyfunction("""COMPUTED_VALUE"""),254.22)</f>
        <v>254.22</v>
      </c>
      <c r="F940" s="2" t="n">
        <f aca="false">IFERROR(__xludf.dummyfunction("""COMPUTED_VALUE"""),67142193)</f>
        <v>67142193</v>
      </c>
    </row>
    <row r="941" customFormat="false" ht="15.75" hidden="false" customHeight="false" outlineLevel="0" collapsed="false">
      <c r="A941" s="3" t="n">
        <f aca="false">IFERROR(__xludf.dummyfunction("""COMPUTED_VALUE"""),45562.6666666667)</f>
        <v>45562.6666666667</v>
      </c>
      <c r="B941" s="2" t="n">
        <f aca="false">IFERROR(__xludf.dummyfunction("""COMPUTED_VALUE"""),257.38)</f>
        <v>257.38</v>
      </c>
      <c r="C941" s="2" t="n">
        <f aca="false">IFERROR(__xludf.dummyfunction("""COMPUTED_VALUE"""),260.7)</f>
        <v>260.7</v>
      </c>
      <c r="D941" s="2" t="n">
        <f aca="false">IFERROR(__xludf.dummyfunction("""COMPUTED_VALUE"""),254.12)</f>
        <v>254.12</v>
      </c>
      <c r="E941" s="2" t="n">
        <f aca="false">IFERROR(__xludf.dummyfunction("""COMPUTED_VALUE"""),260.46)</f>
        <v>260.46</v>
      </c>
      <c r="F941" s="2" t="n">
        <f aca="false">IFERROR(__xludf.dummyfunction("""COMPUTED_VALUE"""),70988067)</f>
        <v>70988067</v>
      </c>
    </row>
    <row r="942" customFormat="false" ht="15.75" hidden="false" customHeight="false" outlineLevel="0" collapsed="false">
      <c r="A942" s="3" t="n">
        <f aca="false">IFERROR(__xludf.dummyfunction("""COMPUTED_VALUE"""),45565.6666666667)</f>
        <v>45565.6666666667</v>
      </c>
      <c r="B942" s="2" t="n">
        <f aca="false">IFERROR(__xludf.dummyfunction("""COMPUTED_VALUE"""),259.04)</f>
        <v>259.04</v>
      </c>
      <c r="C942" s="2" t="n">
        <f aca="false">IFERROR(__xludf.dummyfunction("""COMPUTED_VALUE"""),264.86)</f>
        <v>264.86</v>
      </c>
      <c r="D942" s="2" t="n">
        <f aca="false">IFERROR(__xludf.dummyfunction("""COMPUTED_VALUE"""),255.77)</f>
        <v>255.77</v>
      </c>
      <c r="E942" s="2" t="n">
        <f aca="false">IFERROR(__xludf.dummyfunction("""COMPUTED_VALUE"""),261.63)</f>
        <v>261.63</v>
      </c>
      <c r="F942" s="2" t="n">
        <f aca="false">IFERROR(__xludf.dummyfunction("""COMPUTED_VALUE"""),80873381)</f>
        <v>80873381</v>
      </c>
    </row>
    <row r="943" customFormat="false" ht="15.75" hidden="false" customHeight="false" outlineLevel="0" collapsed="false">
      <c r="A943" s="3" t="n">
        <f aca="false">IFERROR(__xludf.dummyfunction("""COMPUTED_VALUE"""),45566.6666666667)</f>
        <v>45566.6666666667</v>
      </c>
      <c r="B943" s="2" t="n">
        <f aca="false">IFERROR(__xludf.dummyfunction("""COMPUTED_VALUE"""),262.67)</f>
        <v>262.67</v>
      </c>
      <c r="C943" s="2" t="n">
        <f aca="false">IFERROR(__xludf.dummyfunction("""COMPUTED_VALUE"""),263.98)</f>
        <v>263.98</v>
      </c>
      <c r="D943" s="2" t="n">
        <f aca="false">IFERROR(__xludf.dummyfunction("""COMPUTED_VALUE"""),248.53)</f>
        <v>248.53</v>
      </c>
      <c r="E943" s="2" t="n">
        <f aca="false">IFERROR(__xludf.dummyfunction("""COMPUTED_VALUE"""),258.02)</f>
        <v>258.02</v>
      </c>
      <c r="F943" s="2" t="n">
        <f aca="false">IFERROR(__xludf.dummyfunction("""COMPUTED_VALUE"""),87397613)</f>
        <v>87397613</v>
      </c>
    </row>
    <row r="944" customFormat="false" ht="15.75" hidden="false" customHeight="false" outlineLevel="0" collapsed="false">
      <c r="A944" s="3" t="n">
        <f aca="false">IFERROR(__xludf.dummyfunction("""COMPUTED_VALUE"""),45567.6666666667)</f>
        <v>45567.6666666667</v>
      </c>
      <c r="B944" s="2" t="n">
        <f aca="false">IFERROR(__xludf.dummyfunction("""COMPUTED_VALUE"""),247.55)</f>
        <v>247.55</v>
      </c>
      <c r="C944" s="2" t="n">
        <f aca="false">IFERROR(__xludf.dummyfunction("""COMPUTED_VALUE"""),251.16)</f>
        <v>251.16</v>
      </c>
      <c r="D944" s="2" t="n">
        <f aca="false">IFERROR(__xludf.dummyfunction("""COMPUTED_VALUE"""),241.5)</f>
        <v>241.5</v>
      </c>
      <c r="E944" s="2" t="n">
        <f aca="false">IFERROR(__xludf.dummyfunction("""COMPUTED_VALUE"""),249.02)</f>
        <v>249.02</v>
      </c>
      <c r="F944" s="2" t="n">
        <f aca="false">IFERROR(__xludf.dummyfunction("""COMPUTED_VALUE"""),93983930)</f>
        <v>93983930</v>
      </c>
    </row>
    <row r="945" customFormat="false" ht="15.75" hidden="false" customHeight="false" outlineLevel="0" collapsed="false">
      <c r="A945" s="3" t="n">
        <f aca="false">IFERROR(__xludf.dummyfunction("""COMPUTED_VALUE"""),45568.6666666667)</f>
        <v>45568.6666666667</v>
      </c>
      <c r="B945" s="2" t="n">
        <f aca="false">IFERROR(__xludf.dummyfunction("""COMPUTED_VALUE"""),244.48)</f>
        <v>244.48</v>
      </c>
      <c r="C945" s="2" t="n">
        <f aca="false">IFERROR(__xludf.dummyfunction("""COMPUTED_VALUE"""),249.79)</f>
        <v>249.79</v>
      </c>
      <c r="D945" s="2" t="n">
        <f aca="false">IFERROR(__xludf.dummyfunction("""COMPUTED_VALUE"""),237.81)</f>
        <v>237.81</v>
      </c>
      <c r="E945" s="2" t="n">
        <f aca="false">IFERROR(__xludf.dummyfunction("""COMPUTED_VALUE"""),240.66)</f>
        <v>240.66</v>
      </c>
      <c r="F945" s="2" t="n">
        <f aca="false">IFERROR(__xludf.dummyfunction("""COMPUTED_VALUE"""),80729240)</f>
        <v>80729240</v>
      </c>
    </row>
    <row r="946" customFormat="false" ht="15.75" hidden="false" customHeight="false" outlineLevel="0" collapsed="false">
      <c r="A946" s="3" t="n">
        <f aca="false">IFERROR(__xludf.dummyfunction("""COMPUTED_VALUE"""),45569.6666666667)</f>
        <v>45569.6666666667</v>
      </c>
      <c r="B946" s="2" t="n">
        <f aca="false">IFERROR(__xludf.dummyfunction("""COMPUTED_VALUE"""),246.69)</f>
        <v>246.69</v>
      </c>
      <c r="C946" s="2" t="n">
        <f aca="false">IFERROR(__xludf.dummyfunction("""COMPUTED_VALUE"""),250.96)</f>
        <v>250.96</v>
      </c>
      <c r="D946" s="2" t="n">
        <f aca="false">IFERROR(__xludf.dummyfunction("""COMPUTED_VALUE"""),244.58)</f>
        <v>244.58</v>
      </c>
      <c r="E946" s="2" t="n">
        <f aca="false">IFERROR(__xludf.dummyfunction("""COMPUTED_VALUE"""),250.08)</f>
        <v>250.08</v>
      </c>
      <c r="F946" s="2" t="n">
        <f aca="false">IFERROR(__xludf.dummyfunction("""COMPUTED_VALUE"""),86726285)</f>
        <v>86726285</v>
      </c>
    </row>
    <row r="947" customFormat="false" ht="15.75" hidden="false" customHeight="false" outlineLevel="0" collapsed="false">
      <c r="A947" s="3" t="n">
        <f aca="false">IFERROR(__xludf.dummyfunction("""COMPUTED_VALUE"""),45572.6666666667)</f>
        <v>45572.6666666667</v>
      </c>
      <c r="B947" s="2" t="n">
        <f aca="false">IFERROR(__xludf.dummyfunction("""COMPUTED_VALUE"""),249)</f>
        <v>249</v>
      </c>
      <c r="C947" s="2" t="n">
        <f aca="false">IFERROR(__xludf.dummyfunction("""COMPUTED_VALUE"""),249.83)</f>
        <v>249.83</v>
      </c>
      <c r="D947" s="2" t="n">
        <f aca="false">IFERROR(__xludf.dummyfunction("""COMPUTED_VALUE"""),240.7)</f>
        <v>240.7</v>
      </c>
      <c r="E947" s="2" t="n">
        <f aca="false">IFERROR(__xludf.dummyfunction("""COMPUTED_VALUE"""),240.83)</f>
        <v>240.83</v>
      </c>
      <c r="F947" s="2" t="n">
        <f aca="false">IFERROR(__xludf.dummyfunction("""COMPUTED_VALUE"""),68113270)</f>
        <v>68113270</v>
      </c>
    </row>
    <row r="948" customFormat="false" ht="15.75" hidden="false" customHeight="false" outlineLevel="0" collapsed="false">
      <c r="A948" s="3" t="n">
        <f aca="false">IFERROR(__xludf.dummyfunction("""COMPUTED_VALUE"""),45573.6666666667)</f>
        <v>45573.6666666667</v>
      </c>
      <c r="B948" s="2" t="n">
        <f aca="false">IFERROR(__xludf.dummyfunction("""COMPUTED_VALUE"""),243.56)</f>
        <v>243.56</v>
      </c>
      <c r="C948" s="2" t="n">
        <f aca="false">IFERROR(__xludf.dummyfunction("""COMPUTED_VALUE"""),246.21)</f>
        <v>246.21</v>
      </c>
      <c r="D948" s="2" t="n">
        <f aca="false">IFERROR(__xludf.dummyfunction("""COMPUTED_VALUE"""),240.56)</f>
        <v>240.56</v>
      </c>
      <c r="E948" s="2" t="n">
        <f aca="false">IFERROR(__xludf.dummyfunction("""COMPUTED_VALUE"""),244.5)</f>
        <v>244.5</v>
      </c>
      <c r="F948" s="2" t="n">
        <f aca="false">IFERROR(__xludf.dummyfunction("""COMPUTED_VALUE"""),56303160)</f>
        <v>56303160</v>
      </c>
    </row>
    <row r="949" customFormat="false" ht="15.75" hidden="false" customHeight="false" outlineLevel="0" collapsed="false">
      <c r="A949" s="3" t="n">
        <f aca="false">IFERROR(__xludf.dummyfunction("""COMPUTED_VALUE"""),45574.6666666667)</f>
        <v>45574.6666666667</v>
      </c>
      <c r="B949" s="2" t="n">
        <f aca="false">IFERROR(__xludf.dummyfunction("""COMPUTED_VALUE"""),243.82)</f>
        <v>243.82</v>
      </c>
      <c r="C949" s="2" t="n">
        <f aca="false">IFERROR(__xludf.dummyfunction("""COMPUTED_VALUE"""),247.43)</f>
        <v>247.43</v>
      </c>
      <c r="D949" s="2" t="n">
        <f aca="false">IFERROR(__xludf.dummyfunction("""COMPUTED_VALUE"""),239.51)</f>
        <v>239.51</v>
      </c>
      <c r="E949" s="2" t="n">
        <f aca="false">IFERROR(__xludf.dummyfunction("""COMPUTED_VALUE"""),241.05)</f>
        <v>241.05</v>
      </c>
      <c r="F949" s="2" t="n">
        <f aca="false">IFERROR(__xludf.dummyfunction("""COMPUTED_VALUE"""),66289529)</f>
        <v>66289529</v>
      </c>
    </row>
    <row r="950" customFormat="false" ht="15.75" hidden="false" customHeight="false" outlineLevel="0" collapsed="false">
      <c r="A950" s="3" t="n">
        <f aca="false">IFERROR(__xludf.dummyfunction("""COMPUTED_VALUE"""),45575.6666666667)</f>
        <v>45575.6666666667</v>
      </c>
      <c r="B950" s="2" t="n">
        <f aca="false">IFERROR(__xludf.dummyfunction("""COMPUTED_VALUE"""),241.81)</f>
        <v>241.81</v>
      </c>
      <c r="C950" s="2" t="n">
        <f aca="false">IFERROR(__xludf.dummyfunction("""COMPUTED_VALUE"""),242.79)</f>
        <v>242.79</v>
      </c>
      <c r="D950" s="2" t="n">
        <f aca="false">IFERROR(__xludf.dummyfunction("""COMPUTED_VALUE"""),232.34)</f>
        <v>232.34</v>
      </c>
      <c r="E950" s="2" t="n">
        <f aca="false">IFERROR(__xludf.dummyfunction("""COMPUTED_VALUE"""),238.77)</f>
        <v>238.77</v>
      </c>
      <c r="F950" s="2" t="n">
        <f aca="false">IFERROR(__xludf.dummyfunction("""COMPUTED_VALUE"""),83087063)</f>
        <v>83087063</v>
      </c>
    </row>
    <row r="951" customFormat="false" ht="15.75" hidden="false" customHeight="false" outlineLevel="0" collapsed="false">
      <c r="A951" s="3" t="n">
        <f aca="false">IFERROR(__xludf.dummyfunction("""COMPUTED_VALUE"""),45576.6666666667)</f>
        <v>45576.6666666667</v>
      </c>
      <c r="B951" s="2" t="n">
        <f aca="false">IFERROR(__xludf.dummyfunction("""COMPUTED_VALUE"""),220.13)</f>
        <v>220.13</v>
      </c>
      <c r="C951" s="2" t="n">
        <f aca="false">IFERROR(__xludf.dummyfunction("""COMPUTED_VALUE"""),223.34)</f>
        <v>223.34</v>
      </c>
      <c r="D951" s="2" t="n">
        <f aca="false">IFERROR(__xludf.dummyfunction("""COMPUTED_VALUE"""),214.38)</f>
        <v>214.38</v>
      </c>
      <c r="E951" s="2" t="n">
        <f aca="false">IFERROR(__xludf.dummyfunction("""COMPUTED_VALUE"""),217.8)</f>
        <v>217.8</v>
      </c>
      <c r="F951" s="2" t="n">
        <f aca="false">IFERROR(__xludf.dummyfunction("""COMPUTED_VALUE"""),142628874)</f>
        <v>142628874</v>
      </c>
    </row>
    <row r="952" customFormat="false" ht="15.75" hidden="false" customHeight="false" outlineLevel="0" collapsed="false">
      <c r="A952" s="3" t="n">
        <f aca="false">IFERROR(__xludf.dummyfunction("""COMPUTED_VALUE"""),45579.6666666667)</f>
        <v>45579.6666666667</v>
      </c>
      <c r="B952" s="2" t="n">
        <f aca="false">IFERROR(__xludf.dummyfunction("""COMPUTED_VALUE"""),220.13)</f>
        <v>220.13</v>
      </c>
      <c r="C952" s="2" t="n">
        <f aca="false">IFERROR(__xludf.dummyfunction("""COMPUTED_VALUE"""),221.91)</f>
        <v>221.91</v>
      </c>
      <c r="D952" s="2" t="n">
        <f aca="false">IFERROR(__xludf.dummyfunction("""COMPUTED_VALUE"""),213.74)</f>
        <v>213.74</v>
      </c>
      <c r="E952" s="2" t="n">
        <f aca="false">IFERROR(__xludf.dummyfunction("""COMPUTED_VALUE"""),219.16)</f>
        <v>219.16</v>
      </c>
      <c r="F952" s="2" t="n">
        <f aca="false">IFERROR(__xludf.dummyfunction("""COMPUTED_VALUE"""),86291923)</f>
        <v>86291923</v>
      </c>
    </row>
    <row r="953" customFormat="false" ht="15.75" hidden="false" customHeight="false" outlineLevel="0" collapsed="false">
      <c r="A953" s="3" t="n">
        <f aca="false">IFERROR(__xludf.dummyfunction("""COMPUTED_VALUE"""),45580.6666666667)</f>
        <v>45580.6666666667</v>
      </c>
      <c r="B953" s="2" t="n">
        <f aca="false">IFERROR(__xludf.dummyfunction("""COMPUTED_VALUE"""),220.01)</f>
        <v>220.01</v>
      </c>
      <c r="C953" s="2" t="n">
        <f aca="false">IFERROR(__xludf.dummyfunction("""COMPUTED_VALUE"""),224.26)</f>
        <v>224.26</v>
      </c>
      <c r="D953" s="2" t="n">
        <f aca="false">IFERROR(__xludf.dummyfunction("""COMPUTED_VALUE"""),217.12)</f>
        <v>217.12</v>
      </c>
      <c r="E953" s="2" t="n">
        <f aca="false">IFERROR(__xludf.dummyfunction("""COMPUTED_VALUE"""),219.57)</f>
        <v>219.57</v>
      </c>
      <c r="F953" s="2" t="n">
        <f aca="false">IFERROR(__xludf.dummyfunction("""COMPUTED_VALUE"""),62988787)</f>
        <v>62988787</v>
      </c>
    </row>
    <row r="954" customFormat="false" ht="15.75" hidden="false" customHeight="false" outlineLevel="0" collapsed="false">
      <c r="A954" s="3" t="n">
        <f aca="false">IFERROR(__xludf.dummyfunction("""COMPUTED_VALUE"""),45581.6666666667)</f>
        <v>45581.6666666667</v>
      </c>
      <c r="B954" s="2" t="n">
        <f aca="false">IFERROR(__xludf.dummyfunction("""COMPUTED_VALUE"""),221.4)</f>
        <v>221.4</v>
      </c>
      <c r="C954" s="2" t="n">
        <f aca="false">IFERROR(__xludf.dummyfunction("""COMPUTED_VALUE"""),222.82)</f>
        <v>222.82</v>
      </c>
      <c r="D954" s="2" t="n">
        <f aca="false">IFERROR(__xludf.dummyfunction("""COMPUTED_VALUE"""),218.93)</f>
        <v>218.93</v>
      </c>
      <c r="E954" s="2" t="n">
        <f aca="false">IFERROR(__xludf.dummyfunction("""COMPUTED_VALUE"""),221.33)</f>
        <v>221.33</v>
      </c>
      <c r="F954" s="2" t="n">
        <f aca="false">IFERROR(__xludf.dummyfunction("""COMPUTED_VALUE"""),49632824)</f>
        <v>49632824</v>
      </c>
    </row>
    <row r="955" customFormat="false" ht="15.75" hidden="false" customHeight="false" outlineLevel="0" collapsed="false">
      <c r="A955" s="3" t="n">
        <f aca="false">IFERROR(__xludf.dummyfunction("""COMPUTED_VALUE"""),45582.6666666667)</f>
        <v>45582.6666666667</v>
      </c>
      <c r="B955" s="2" t="n">
        <f aca="false">IFERROR(__xludf.dummyfunction("""COMPUTED_VALUE"""),221.59)</f>
        <v>221.59</v>
      </c>
      <c r="C955" s="2" t="n">
        <f aca="false">IFERROR(__xludf.dummyfunction("""COMPUTED_VALUE"""),222.08)</f>
        <v>222.08</v>
      </c>
      <c r="D955" s="2" t="n">
        <f aca="false">IFERROR(__xludf.dummyfunction("""COMPUTED_VALUE"""),217.9)</f>
        <v>217.9</v>
      </c>
      <c r="E955" s="2" t="n">
        <f aca="false">IFERROR(__xludf.dummyfunction("""COMPUTED_VALUE"""),220.89)</f>
        <v>220.89</v>
      </c>
      <c r="F955" s="2" t="n">
        <f aca="false">IFERROR(__xludf.dummyfunction("""COMPUTED_VALUE"""),50791784)</f>
        <v>50791784</v>
      </c>
    </row>
    <row r="956" customFormat="false" ht="15.75" hidden="false" customHeight="false" outlineLevel="0" collapsed="false">
      <c r="A956" s="3" t="n">
        <f aca="false">IFERROR(__xludf.dummyfunction("""COMPUTED_VALUE"""),45583.6666666667)</f>
        <v>45583.6666666667</v>
      </c>
      <c r="B956" s="2" t="n">
        <f aca="false">IFERROR(__xludf.dummyfunction("""COMPUTED_VALUE"""),220.71)</f>
        <v>220.71</v>
      </c>
      <c r="C956" s="2" t="n">
        <f aca="false">IFERROR(__xludf.dummyfunction("""COMPUTED_VALUE"""),222.28)</f>
        <v>222.28</v>
      </c>
      <c r="D956" s="2" t="n">
        <f aca="false">IFERROR(__xludf.dummyfunction("""COMPUTED_VALUE"""),219.23)</f>
        <v>219.23</v>
      </c>
      <c r="E956" s="2" t="n">
        <f aca="false">IFERROR(__xludf.dummyfunction("""COMPUTED_VALUE"""),220.7)</f>
        <v>220.7</v>
      </c>
      <c r="F956" s="2" t="n">
        <f aca="false">IFERROR(__xludf.dummyfunction("""COMPUTED_VALUE"""),49611867)</f>
        <v>49611867</v>
      </c>
    </row>
    <row r="957" customFormat="false" ht="15.75" hidden="false" customHeight="false" outlineLevel="0" collapsed="false">
      <c r="A957" s="3" t="n">
        <f aca="false">IFERROR(__xludf.dummyfunction("""COMPUTED_VALUE"""),45586.6666666667)</f>
        <v>45586.6666666667</v>
      </c>
      <c r="B957" s="2" t="n">
        <f aca="false">IFERROR(__xludf.dummyfunction("""COMPUTED_VALUE"""),218.9)</f>
        <v>218.9</v>
      </c>
      <c r="C957" s="2" t="n">
        <f aca="false">IFERROR(__xludf.dummyfunction("""COMPUTED_VALUE"""),220.48)</f>
        <v>220.48</v>
      </c>
      <c r="D957" s="2" t="n">
        <f aca="false">IFERROR(__xludf.dummyfunction("""COMPUTED_VALUE"""),215.73)</f>
        <v>215.73</v>
      </c>
      <c r="E957" s="2" t="n">
        <f aca="false">IFERROR(__xludf.dummyfunction("""COMPUTED_VALUE"""),218.85)</f>
        <v>218.85</v>
      </c>
      <c r="F957" s="2" t="n">
        <f aca="false">IFERROR(__xludf.dummyfunction("""COMPUTED_VALUE"""),47328988)</f>
        <v>47328988</v>
      </c>
    </row>
    <row r="958" customFormat="false" ht="15.75" hidden="false" customHeight="false" outlineLevel="0" collapsed="false">
      <c r="A958" s="3" t="n">
        <f aca="false">IFERROR(__xludf.dummyfunction("""COMPUTED_VALUE"""),45587.6666666667)</f>
        <v>45587.6666666667</v>
      </c>
      <c r="B958" s="2" t="n">
        <f aca="false">IFERROR(__xludf.dummyfunction("""COMPUTED_VALUE"""),217.31)</f>
        <v>217.31</v>
      </c>
      <c r="C958" s="2" t="n">
        <f aca="false">IFERROR(__xludf.dummyfunction("""COMPUTED_VALUE"""),218.22)</f>
        <v>218.22</v>
      </c>
      <c r="D958" s="2" t="n">
        <f aca="false">IFERROR(__xludf.dummyfunction("""COMPUTED_VALUE"""),215.26)</f>
        <v>215.26</v>
      </c>
      <c r="E958" s="2" t="n">
        <f aca="false">IFERROR(__xludf.dummyfunction("""COMPUTED_VALUE"""),217.97)</f>
        <v>217.97</v>
      </c>
      <c r="F958" s="2" t="n">
        <f aca="false">IFERROR(__xludf.dummyfunction("""COMPUTED_VALUE"""),43268741)</f>
        <v>43268741</v>
      </c>
    </row>
    <row r="959" customFormat="false" ht="15.75" hidden="false" customHeight="false" outlineLevel="0" collapsed="false">
      <c r="A959" s="3" t="n">
        <f aca="false">IFERROR(__xludf.dummyfunction("""COMPUTED_VALUE"""),45588.6666666667)</f>
        <v>45588.6666666667</v>
      </c>
      <c r="B959" s="2" t="n">
        <f aca="false">IFERROR(__xludf.dummyfunction("""COMPUTED_VALUE"""),217.13)</f>
        <v>217.13</v>
      </c>
      <c r="C959" s="2" t="n">
        <f aca="false">IFERROR(__xludf.dummyfunction("""COMPUTED_VALUE"""),218.72)</f>
        <v>218.72</v>
      </c>
      <c r="D959" s="2" t="n">
        <f aca="false">IFERROR(__xludf.dummyfunction("""COMPUTED_VALUE"""),212.11)</f>
        <v>212.11</v>
      </c>
      <c r="E959" s="2" t="n">
        <f aca="false">IFERROR(__xludf.dummyfunction("""COMPUTED_VALUE"""),213.65)</f>
        <v>213.65</v>
      </c>
      <c r="F959" s="2" t="n">
        <f aca="false">IFERROR(__xludf.dummyfunction("""COMPUTED_VALUE"""),80938892)</f>
        <v>80938892</v>
      </c>
    </row>
    <row r="960" customFormat="false" ht="15.75" hidden="false" customHeight="false" outlineLevel="0" collapsed="false">
      <c r="A960" s="3" t="n">
        <f aca="false">IFERROR(__xludf.dummyfunction("""COMPUTED_VALUE"""),45589.6666666667)</f>
        <v>45589.6666666667</v>
      </c>
      <c r="B960" s="2" t="n">
        <f aca="false">IFERROR(__xludf.dummyfunction("""COMPUTED_VALUE"""),244.68)</f>
        <v>244.68</v>
      </c>
      <c r="C960" s="2" t="n">
        <f aca="false">IFERROR(__xludf.dummyfunction("""COMPUTED_VALUE"""),262.12)</f>
        <v>262.12</v>
      </c>
      <c r="D960" s="2" t="n">
        <f aca="false">IFERROR(__xludf.dummyfunction("""COMPUTED_VALUE"""),242.65)</f>
        <v>242.65</v>
      </c>
      <c r="E960" s="2" t="n">
        <f aca="false">IFERROR(__xludf.dummyfunction("""COMPUTED_VALUE"""),260.48)</f>
        <v>260.48</v>
      </c>
      <c r="F960" s="2" t="n">
        <f aca="false">IFERROR(__xludf.dummyfunction("""COMPUTED_VALUE"""),204491903)</f>
        <v>204491903</v>
      </c>
    </row>
    <row r="961" customFormat="false" ht="15.75" hidden="false" customHeight="false" outlineLevel="0" collapsed="false">
      <c r="A961" s="3" t="n">
        <f aca="false">IFERROR(__xludf.dummyfunction("""COMPUTED_VALUE"""),45590.6666666667)</f>
        <v>45590.6666666667</v>
      </c>
      <c r="B961" s="2" t="n">
        <f aca="false">IFERROR(__xludf.dummyfunction("""COMPUTED_VALUE"""),256.01)</f>
        <v>256.01</v>
      </c>
      <c r="C961" s="2" t="n">
        <f aca="false">IFERROR(__xludf.dummyfunction("""COMPUTED_VALUE"""),269.49)</f>
        <v>269.49</v>
      </c>
      <c r="D961" s="2" t="n">
        <f aca="false">IFERROR(__xludf.dummyfunction("""COMPUTED_VALUE"""),255.32)</f>
        <v>255.32</v>
      </c>
      <c r="E961" s="2" t="n">
        <f aca="false">IFERROR(__xludf.dummyfunction("""COMPUTED_VALUE"""),269.19)</f>
        <v>269.19</v>
      </c>
      <c r="F961" s="2" t="n">
        <f aca="false">IFERROR(__xludf.dummyfunction("""COMPUTED_VALUE"""),161611931)</f>
        <v>161611931</v>
      </c>
    </row>
    <row r="962" customFormat="false" ht="15.75" hidden="false" customHeight="false" outlineLevel="0" collapsed="false">
      <c r="A962" s="3" t="n">
        <f aca="false">IFERROR(__xludf.dummyfunction("""COMPUTED_VALUE"""),45593.6666666667)</f>
        <v>45593.6666666667</v>
      </c>
      <c r="B962" s="2" t="n">
        <f aca="false">IFERROR(__xludf.dummyfunction("""COMPUTED_VALUE"""),270)</f>
        <v>270</v>
      </c>
      <c r="C962" s="2" t="n">
        <f aca="false">IFERROR(__xludf.dummyfunction("""COMPUTED_VALUE"""),273.54)</f>
        <v>273.54</v>
      </c>
      <c r="D962" s="2" t="n">
        <f aca="false">IFERROR(__xludf.dummyfunction("""COMPUTED_VALUE"""),262.24)</f>
        <v>262.24</v>
      </c>
      <c r="E962" s="2" t="n">
        <f aca="false">IFERROR(__xludf.dummyfunction("""COMPUTED_VALUE"""),262.51)</f>
        <v>262.51</v>
      </c>
      <c r="F962" s="2" t="n">
        <f aca="false">IFERROR(__xludf.dummyfunction("""COMPUTED_VALUE"""),107653603)</f>
        <v>107653603</v>
      </c>
    </row>
    <row r="963" customFormat="false" ht="15.75" hidden="false" customHeight="false" outlineLevel="0" collapsed="false">
      <c r="A963" s="3" t="n">
        <f aca="false">IFERROR(__xludf.dummyfunction("""COMPUTED_VALUE"""),45594.6666666667)</f>
        <v>45594.6666666667</v>
      </c>
      <c r="B963" s="2" t="n">
        <f aca="false">IFERROR(__xludf.dummyfunction("""COMPUTED_VALUE"""),264.51)</f>
        <v>264.51</v>
      </c>
      <c r="C963" s="2" t="n">
        <f aca="false">IFERROR(__xludf.dummyfunction("""COMPUTED_VALUE"""),264.98)</f>
        <v>264.98</v>
      </c>
      <c r="D963" s="2" t="n">
        <f aca="false">IFERROR(__xludf.dummyfunction("""COMPUTED_VALUE"""),255.51)</f>
        <v>255.51</v>
      </c>
      <c r="E963" s="2" t="n">
        <f aca="false">IFERROR(__xludf.dummyfunction("""COMPUTED_VALUE"""),259.52)</f>
        <v>259.52</v>
      </c>
      <c r="F963" s="2" t="n">
        <f aca="false">IFERROR(__xludf.dummyfunction("""COMPUTED_VALUE"""),80521751)</f>
        <v>80521751</v>
      </c>
    </row>
    <row r="964" customFormat="false" ht="15.75" hidden="false" customHeight="false" outlineLevel="0" collapsed="false">
      <c r="A964" s="3" t="n">
        <f aca="false">IFERROR(__xludf.dummyfunction("""COMPUTED_VALUE"""),45595.6666666667)</f>
        <v>45595.6666666667</v>
      </c>
      <c r="B964" s="2" t="n">
        <f aca="false">IFERROR(__xludf.dummyfunction("""COMPUTED_VALUE"""),258.04)</f>
        <v>258.04</v>
      </c>
      <c r="C964" s="2" t="n">
        <f aca="false">IFERROR(__xludf.dummyfunction("""COMPUTED_VALUE"""),263.35)</f>
        <v>263.35</v>
      </c>
      <c r="D964" s="2" t="n">
        <f aca="false">IFERROR(__xludf.dummyfunction("""COMPUTED_VALUE"""),255.82)</f>
        <v>255.82</v>
      </c>
      <c r="E964" s="2" t="n">
        <f aca="false">IFERROR(__xludf.dummyfunction("""COMPUTED_VALUE"""),257.55)</f>
        <v>257.55</v>
      </c>
      <c r="F964" s="2" t="n">
        <f aca="false">IFERROR(__xludf.dummyfunction("""COMPUTED_VALUE"""),53993576)</f>
        <v>53993576</v>
      </c>
    </row>
    <row r="965" customFormat="false" ht="15.75" hidden="false" customHeight="false" outlineLevel="0" collapsed="false">
      <c r="A965" s="3" t="n">
        <f aca="false">IFERROR(__xludf.dummyfunction("""COMPUTED_VALUE"""),45596.6666666667)</f>
        <v>45596.6666666667</v>
      </c>
      <c r="B965" s="2" t="n">
        <f aca="false">IFERROR(__xludf.dummyfunction("""COMPUTED_VALUE"""),257.99)</f>
        <v>257.99</v>
      </c>
      <c r="C965" s="2" t="n">
        <f aca="false">IFERROR(__xludf.dummyfunction("""COMPUTED_VALUE"""),259.75)</f>
        <v>259.75</v>
      </c>
      <c r="D965" s="2" t="n">
        <f aca="false">IFERROR(__xludf.dummyfunction("""COMPUTED_VALUE"""),249.25)</f>
        <v>249.25</v>
      </c>
      <c r="E965" s="2" t="n">
        <f aca="false">IFERROR(__xludf.dummyfunction("""COMPUTED_VALUE"""),249.85)</f>
        <v>249.85</v>
      </c>
      <c r="F965" s="2" t="n">
        <f aca="false">IFERROR(__xludf.dummyfunction("""COMPUTED_VALUE"""),66575292)</f>
        <v>66575292</v>
      </c>
    </row>
    <row r="966" customFormat="false" ht="15.75" hidden="false" customHeight="false" outlineLevel="0" collapsed="false">
      <c r="A966" s="3" t="n">
        <f aca="false">IFERROR(__xludf.dummyfunction("""COMPUTED_VALUE"""),45597.6666666667)</f>
        <v>45597.6666666667</v>
      </c>
      <c r="B966" s="2" t="n">
        <f aca="false">IFERROR(__xludf.dummyfunction("""COMPUTED_VALUE"""),252.04)</f>
        <v>252.04</v>
      </c>
      <c r="C966" s="2" t="n">
        <f aca="false">IFERROR(__xludf.dummyfunction("""COMPUTED_VALUE"""),254)</f>
        <v>254</v>
      </c>
      <c r="D966" s="2" t="n">
        <f aca="false">IFERROR(__xludf.dummyfunction("""COMPUTED_VALUE"""),246.63)</f>
        <v>246.63</v>
      </c>
      <c r="E966" s="2" t="n">
        <f aca="false">IFERROR(__xludf.dummyfunction("""COMPUTED_VALUE"""),248.98)</f>
        <v>248.98</v>
      </c>
      <c r="F966" s="2" t="n">
        <f aca="false">IFERROR(__xludf.dummyfunction("""COMPUTED_VALUE"""),57544757)</f>
        <v>57544757</v>
      </c>
    </row>
    <row r="967" customFormat="false" ht="15.75" hidden="false" customHeight="false" outlineLevel="0" collapsed="false">
      <c r="A967" s="3" t="n">
        <f aca="false">IFERROR(__xludf.dummyfunction("""COMPUTED_VALUE"""),45600.6666666667)</f>
        <v>45600.6666666667</v>
      </c>
      <c r="B967" s="2" t="n">
        <f aca="false">IFERROR(__xludf.dummyfunction("""COMPUTED_VALUE"""),244.56)</f>
        <v>244.56</v>
      </c>
      <c r="C967" s="2" t="n">
        <f aca="false">IFERROR(__xludf.dummyfunction("""COMPUTED_VALUE"""),248.9)</f>
        <v>248.9</v>
      </c>
      <c r="D967" s="2" t="n">
        <f aca="false">IFERROR(__xludf.dummyfunction("""COMPUTED_VALUE"""),238.88)</f>
        <v>238.88</v>
      </c>
      <c r="E967" s="2" t="n">
        <f aca="false">IFERROR(__xludf.dummyfunction("""COMPUTED_VALUE"""),242.84)</f>
        <v>242.84</v>
      </c>
      <c r="F967" s="2" t="n">
        <f aca="false">IFERROR(__xludf.dummyfunction("""COMPUTED_VALUE"""),68802354)</f>
        <v>68802354</v>
      </c>
    </row>
    <row r="968" customFormat="false" ht="15.75" hidden="false" customHeight="false" outlineLevel="0" collapsed="false">
      <c r="A968" s="3" t="n">
        <f aca="false">IFERROR(__xludf.dummyfunction("""COMPUTED_VALUE"""),45601.6666666667)</f>
        <v>45601.6666666667</v>
      </c>
      <c r="B968" s="2" t="n">
        <f aca="false">IFERROR(__xludf.dummyfunction("""COMPUTED_VALUE"""),247.34)</f>
        <v>247.34</v>
      </c>
      <c r="C968" s="2" t="n">
        <f aca="false">IFERROR(__xludf.dummyfunction("""COMPUTED_VALUE"""),255.28)</f>
        <v>255.28</v>
      </c>
      <c r="D968" s="2" t="n">
        <f aca="false">IFERROR(__xludf.dummyfunction("""COMPUTED_VALUE"""),246.21)</f>
        <v>246.21</v>
      </c>
      <c r="E968" s="2" t="n">
        <f aca="false">IFERROR(__xludf.dummyfunction("""COMPUTED_VALUE"""),251.44)</f>
        <v>251.44</v>
      </c>
      <c r="F968" s="2" t="n">
        <f aca="false">IFERROR(__xludf.dummyfunction("""COMPUTED_VALUE"""),69282505)</f>
        <v>69282505</v>
      </c>
    </row>
    <row r="969" customFormat="false" ht="15.75" hidden="false" customHeight="false" outlineLevel="0" collapsed="false">
      <c r="A969" s="3" t="n">
        <f aca="false">IFERROR(__xludf.dummyfunction("""COMPUTED_VALUE"""),45602.6666666667)</f>
        <v>45602.6666666667</v>
      </c>
      <c r="B969" s="2" t="n">
        <f aca="false">IFERROR(__xludf.dummyfunction("""COMPUTED_VALUE"""),284.67)</f>
        <v>284.67</v>
      </c>
      <c r="C969" s="2" t="n">
        <f aca="false">IFERROR(__xludf.dummyfunction("""COMPUTED_VALUE"""),289.59)</f>
        <v>289.59</v>
      </c>
      <c r="D969" s="2" t="n">
        <f aca="false">IFERROR(__xludf.dummyfunction("""COMPUTED_VALUE"""),275.62)</f>
        <v>275.62</v>
      </c>
      <c r="E969" s="2" t="n">
        <f aca="false">IFERROR(__xludf.dummyfunction("""COMPUTED_VALUE"""),288.53)</f>
        <v>288.53</v>
      </c>
      <c r="F969" s="2" t="n">
        <f aca="false">IFERROR(__xludf.dummyfunction("""COMPUTED_VALUE"""),165228710)</f>
        <v>165228710</v>
      </c>
    </row>
    <row r="970" customFormat="false" ht="15.75" hidden="false" customHeight="false" outlineLevel="0" collapsed="false">
      <c r="A970" s="3" t="n">
        <f aca="false">IFERROR(__xludf.dummyfunction("""COMPUTED_VALUE"""),45603.6666666667)</f>
        <v>45603.6666666667</v>
      </c>
      <c r="B970" s="2" t="n">
        <f aca="false">IFERROR(__xludf.dummyfunction("""COMPUTED_VALUE"""),288.89)</f>
        <v>288.89</v>
      </c>
      <c r="C970" s="2" t="n">
        <f aca="false">IFERROR(__xludf.dummyfunction("""COMPUTED_VALUE"""),299.75)</f>
        <v>299.75</v>
      </c>
      <c r="D970" s="2" t="n">
        <f aca="false">IFERROR(__xludf.dummyfunction("""COMPUTED_VALUE"""),285.52)</f>
        <v>285.52</v>
      </c>
      <c r="E970" s="2" t="n">
        <f aca="false">IFERROR(__xludf.dummyfunction("""COMPUTED_VALUE"""),296.91)</f>
        <v>296.91</v>
      </c>
      <c r="F970" s="2" t="n">
        <f aca="false">IFERROR(__xludf.dummyfunction("""COMPUTED_VALUE"""),117309232)</f>
        <v>117309232</v>
      </c>
    </row>
    <row r="971" customFormat="false" ht="15.75" hidden="false" customHeight="false" outlineLevel="0" collapsed="false">
      <c r="A971" s="3" t="n">
        <f aca="false">IFERROR(__xludf.dummyfunction("""COMPUTED_VALUE"""),45604.6666666667)</f>
        <v>45604.6666666667</v>
      </c>
      <c r="B971" s="2" t="n">
        <f aca="false">IFERROR(__xludf.dummyfunction("""COMPUTED_VALUE"""),299.14)</f>
        <v>299.14</v>
      </c>
      <c r="C971" s="2" t="n">
        <f aca="false">IFERROR(__xludf.dummyfunction("""COMPUTED_VALUE"""),328.71)</f>
        <v>328.71</v>
      </c>
      <c r="D971" s="2" t="n">
        <f aca="false">IFERROR(__xludf.dummyfunction("""COMPUTED_VALUE"""),297.66)</f>
        <v>297.66</v>
      </c>
      <c r="E971" s="2" t="n">
        <f aca="false">IFERROR(__xludf.dummyfunction("""COMPUTED_VALUE"""),321.22)</f>
        <v>321.22</v>
      </c>
      <c r="F971" s="2" t="n">
        <f aca="false">IFERROR(__xludf.dummyfunction("""COMPUTED_VALUE"""),204782763)</f>
        <v>204782763</v>
      </c>
    </row>
    <row r="972" customFormat="false" ht="15.75" hidden="false" customHeight="false" outlineLevel="0" collapsed="false">
      <c r="A972" s="3" t="n">
        <f aca="false">IFERROR(__xludf.dummyfunction("""COMPUTED_VALUE"""),45607.6666666667)</f>
        <v>45607.6666666667</v>
      </c>
      <c r="B972" s="2" t="n">
        <f aca="false">IFERROR(__xludf.dummyfunction("""COMPUTED_VALUE"""),346.3)</f>
        <v>346.3</v>
      </c>
      <c r="C972" s="2" t="n">
        <f aca="false">IFERROR(__xludf.dummyfunction("""COMPUTED_VALUE"""),358.64)</f>
        <v>358.64</v>
      </c>
      <c r="D972" s="2" t="n">
        <f aca="false">IFERROR(__xludf.dummyfunction("""COMPUTED_VALUE"""),336)</f>
        <v>336</v>
      </c>
      <c r="E972" s="2" t="n">
        <f aca="false">IFERROR(__xludf.dummyfunction("""COMPUTED_VALUE"""),350)</f>
        <v>350</v>
      </c>
      <c r="F972" s="2" t="n">
        <f aca="false">IFERROR(__xludf.dummyfunction("""COMPUTED_VALUE"""),210521625)</f>
        <v>210521625</v>
      </c>
    </row>
    <row r="973" customFormat="false" ht="15.75" hidden="false" customHeight="false" outlineLevel="0" collapsed="false">
      <c r="A973" s="3" t="n">
        <f aca="false">IFERROR(__xludf.dummyfunction("""COMPUTED_VALUE"""),45608.6666666667)</f>
        <v>45608.6666666667</v>
      </c>
      <c r="B973" s="2" t="n">
        <f aca="false">IFERROR(__xludf.dummyfunction("""COMPUTED_VALUE"""),342.74)</f>
        <v>342.74</v>
      </c>
      <c r="C973" s="2" t="n">
        <f aca="false">IFERROR(__xludf.dummyfunction("""COMPUTED_VALUE"""),345.84)</f>
        <v>345.84</v>
      </c>
      <c r="D973" s="2" t="n">
        <f aca="false">IFERROR(__xludf.dummyfunction("""COMPUTED_VALUE"""),323.31)</f>
        <v>323.31</v>
      </c>
      <c r="E973" s="2" t="n">
        <f aca="false">IFERROR(__xludf.dummyfunction("""COMPUTED_VALUE"""),328.49)</f>
        <v>328.49</v>
      </c>
      <c r="F973" s="2" t="n">
        <f aca="false">IFERROR(__xludf.dummyfunction("""COMPUTED_VALUE"""),155726016)</f>
        <v>155726016</v>
      </c>
    </row>
    <row r="974" customFormat="false" ht="15.75" hidden="false" customHeight="false" outlineLevel="0" collapsed="false">
      <c r="A974" s="3" t="n">
        <f aca="false">IFERROR(__xludf.dummyfunction("""COMPUTED_VALUE"""),45609.6666666667)</f>
        <v>45609.6666666667</v>
      </c>
      <c r="B974" s="2" t="n">
        <f aca="false">IFERROR(__xludf.dummyfunction("""COMPUTED_VALUE"""),335.85)</f>
        <v>335.85</v>
      </c>
      <c r="C974" s="2" t="n">
        <f aca="false">IFERROR(__xludf.dummyfunction("""COMPUTED_VALUE"""),344.6)</f>
        <v>344.6</v>
      </c>
      <c r="D974" s="2" t="n">
        <f aca="false">IFERROR(__xludf.dummyfunction("""COMPUTED_VALUE"""),322.5)</f>
        <v>322.5</v>
      </c>
      <c r="E974" s="2" t="n">
        <f aca="false">IFERROR(__xludf.dummyfunction("""COMPUTED_VALUE"""),330.24)</f>
        <v>330.24</v>
      </c>
      <c r="F974" s="2" t="n">
        <f aca="false">IFERROR(__xludf.dummyfunction("""COMPUTED_VALUE"""),125405599)</f>
        <v>125405599</v>
      </c>
    </row>
    <row r="975" customFormat="false" ht="15.75" hidden="false" customHeight="false" outlineLevel="0" collapsed="false">
      <c r="A975" s="3" t="n">
        <f aca="false">IFERROR(__xludf.dummyfunction("""COMPUTED_VALUE"""),45610.6666666667)</f>
        <v>45610.6666666667</v>
      </c>
      <c r="B975" s="2" t="n">
        <f aca="false">IFERROR(__xludf.dummyfunction("""COMPUTED_VALUE"""),327.69)</f>
        <v>327.69</v>
      </c>
      <c r="C975" s="2" t="n">
        <f aca="false">IFERROR(__xludf.dummyfunction("""COMPUTED_VALUE"""),329.98)</f>
        <v>329.98</v>
      </c>
      <c r="D975" s="2" t="n">
        <f aca="false">IFERROR(__xludf.dummyfunction("""COMPUTED_VALUE"""),310.37)</f>
        <v>310.37</v>
      </c>
      <c r="E975" s="2" t="n">
        <f aca="false">IFERROR(__xludf.dummyfunction("""COMPUTED_VALUE"""),311.18)</f>
        <v>311.18</v>
      </c>
      <c r="F975" s="2" t="n">
        <f aca="false">IFERROR(__xludf.dummyfunction("""COMPUTED_VALUE"""),120726109)</f>
        <v>120726109</v>
      </c>
    </row>
    <row r="976" customFormat="false" ht="15.75" hidden="false" customHeight="false" outlineLevel="0" collapsed="false">
      <c r="A976" s="3" t="n">
        <f aca="false">IFERROR(__xludf.dummyfunction("""COMPUTED_VALUE"""),45611.6666666667)</f>
        <v>45611.6666666667</v>
      </c>
      <c r="B976" s="2" t="n">
        <f aca="false">IFERROR(__xludf.dummyfunction("""COMPUTED_VALUE"""),310.57)</f>
        <v>310.57</v>
      </c>
      <c r="C976" s="2" t="n">
        <f aca="false">IFERROR(__xludf.dummyfunction("""COMPUTED_VALUE"""),324.68)</f>
        <v>324.68</v>
      </c>
      <c r="D976" s="2" t="n">
        <f aca="false">IFERROR(__xludf.dummyfunction("""COMPUTED_VALUE"""),309.22)</f>
        <v>309.22</v>
      </c>
      <c r="E976" s="2" t="n">
        <f aca="false">IFERROR(__xludf.dummyfunction("""COMPUTED_VALUE"""),320.72)</f>
        <v>320.72</v>
      </c>
      <c r="F976" s="2" t="n">
        <f aca="false">IFERROR(__xludf.dummyfunction("""COMPUTED_VALUE"""),114440286)</f>
        <v>114440286</v>
      </c>
    </row>
    <row r="977" customFormat="false" ht="15.75" hidden="false" customHeight="false" outlineLevel="0" collapsed="false">
      <c r="A977" s="3" t="n">
        <f aca="false">IFERROR(__xludf.dummyfunction("""COMPUTED_VALUE"""),45614.6666666667)</f>
        <v>45614.6666666667</v>
      </c>
      <c r="B977" s="2" t="n">
        <f aca="false">IFERROR(__xludf.dummyfunction("""COMPUTED_VALUE"""),340.73)</f>
        <v>340.73</v>
      </c>
      <c r="C977" s="2" t="n">
        <f aca="false">IFERROR(__xludf.dummyfunction("""COMPUTED_VALUE"""),348.55)</f>
        <v>348.55</v>
      </c>
      <c r="D977" s="2" t="n">
        <f aca="false">IFERROR(__xludf.dummyfunction("""COMPUTED_VALUE"""),330.01)</f>
        <v>330.01</v>
      </c>
      <c r="E977" s="2" t="n">
        <f aca="false">IFERROR(__xludf.dummyfunction("""COMPUTED_VALUE"""),338.74)</f>
        <v>338.74</v>
      </c>
      <c r="F977" s="2" t="n">
        <f aca="false">IFERROR(__xludf.dummyfunction("""COMPUTED_VALUE"""),126547455)</f>
        <v>126547455</v>
      </c>
    </row>
    <row r="978" customFormat="false" ht="15.75" hidden="false" customHeight="false" outlineLevel="0" collapsed="false">
      <c r="A978" s="3" t="n">
        <f aca="false">IFERROR(__xludf.dummyfunction("""COMPUTED_VALUE"""),45615.6666666667)</f>
        <v>45615.6666666667</v>
      </c>
      <c r="B978" s="2" t="n">
        <f aca="false">IFERROR(__xludf.dummyfunction("""COMPUTED_VALUE"""),335.76)</f>
        <v>335.76</v>
      </c>
      <c r="C978" s="2" t="n">
        <f aca="false">IFERROR(__xludf.dummyfunction("""COMPUTED_VALUE"""),347.38)</f>
        <v>347.38</v>
      </c>
      <c r="D978" s="2" t="n">
        <f aca="false">IFERROR(__xludf.dummyfunction("""COMPUTED_VALUE"""),332.75)</f>
        <v>332.75</v>
      </c>
      <c r="E978" s="2" t="n">
        <f aca="false">IFERROR(__xludf.dummyfunction("""COMPUTED_VALUE"""),346)</f>
        <v>346</v>
      </c>
      <c r="F978" s="2" t="n">
        <f aca="false">IFERROR(__xludf.dummyfunction("""COMPUTED_VALUE"""),88852452)</f>
        <v>88852452</v>
      </c>
    </row>
    <row r="979" customFormat="false" ht="15.75" hidden="false" customHeight="false" outlineLevel="0" collapsed="false">
      <c r="A979" s="3" t="n">
        <f aca="false">IFERROR(__xludf.dummyfunction("""COMPUTED_VALUE"""),45616.6666666667)</f>
        <v>45616.6666666667</v>
      </c>
      <c r="B979" s="2" t="n">
        <f aca="false">IFERROR(__xludf.dummyfunction("""COMPUTED_VALUE"""),345)</f>
        <v>345</v>
      </c>
      <c r="C979" s="2" t="n">
        <f aca="false">IFERROR(__xludf.dummyfunction("""COMPUTED_VALUE"""),346.6)</f>
        <v>346.6</v>
      </c>
      <c r="D979" s="2" t="n">
        <f aca="false">IFERROR(__xludf.dummyfunction("""COMPUTED_VALUE"""),334.3)</f>
        <v>334.3</v>
      </c>
      <c r="E979" s="2" t="n">
        <f aca="false">IFERROR(__xludf.dummyfunction("""COMPUTED_VALUE"""),342.03)</f>
        <v>342.03</v>
      </c>
      <c r="F979" s="2" t="n">
        <f aca="false">IFERROR(__xludf.dummyfunction("""COMPUTED_VALUE"""),66340650)</f>
        <v>66340650</v>
      </c>
    </row>
    <row r="980" customFormat="false" ht="15.75" hidden="false" customHeight="false" outlineLevel="0" collapsed="false">
      <c r="A980" s="3" t="n">
        <f aca="false">IFERROR(__xludf.dummyfunction("""COMPUTED_VALUE"""),45617.6666666667)</f>
        <v>45617.6666666667</v>
      </c>
      <c r="B980" s="2" t="n">
        <f aca="false">IFERROR(__xludf.dummyfunction("""COMPUTED_VALUE"""),343.81)</f>
        <v>343.81</v>
      </c>
      <c r="C980" s="2" t="n">
        <f aca="false">IFERROR(__xludf.dummyfunction("""COMPUTED_VALUE"""),347.99)</f>
        <v>347.99</v>
      </c>
      <c r="D980" s="2" t="n">
        <f aca="false">IFERROR(__xludf.dummyfunction("""COMPUTED_VALUE"""),335.28)</f>
        <v>335.28</v>
      </c>
      <c r="E980" s="2" t="n">
        <f aca="false">IFERROR(__xludf.dummyfunction("""COMPUTED_VALUE"""),339.64)</f>
        <v>339.64</v>
      </c>
      <c r="F980" s="2" t="n">
        <f aca="false">IFERROR(__xludf.dummyfunction("""COMPUTED_VALUE"""),58011719)</f>
        <v>58011719</v>
      </c>
    </row>
    <row r="981" customFormat="false" ht="15.75" hidden="false" customHeight="false" outlineLevel="0" collapsed="false">
      <c r="A981" s="3" t="n">
        <f aca="false">IFERROR(__xludf.dummyfunction("""COMPUTED_VALUE"""),45618.6666666667)</f>
        <v>45618.6666666667</v>
      </c>
      <c r="B981" s="2" t="n">
        <f aca="false">IFERROR(__xludf.dummyfunction("""COMPUTED_VALUE"""),341.09)</f>
        <v>341.09</v>
      </c>
      <c r="C981" s="2" t="n">
        <f aca="false">IFERROR(__xludf.dummyfunction("""COMPUTED_VALUE"""),361.53)</f>
        <v>361.53</v>
      </c>
      <c r="D981" s="2" t="n">
        <f aca="false">IFERROR(__xludf.dummyfunction("""COMPUTED_VALUE"""),337.7)</f>
        <v>337.7</v>
      </c>
      <c r="E981" s="2" t="n">
        <f aca="false">IFERROR(__xludf.dummyfunction("""COMPUTED_VALUE"""),352.56)</f>
        <v>352.56</v>
      </c>
      <c r="F981" s="2" t="n">
        <f aca="false">IFERROR(__xludf.dummyfunction("""COMPUTED_VALUE"""),89140722)</f>
        <v>89140722</v>
      </c>
    </row>
    <row r="982" customFormat="false" ht="15.75" hidden="false" customHeight="false" outlineLevel="0" collapsed="false">
      <c r="A982" s="3" t="n">
        <f aca="false">IFERROR(__xludf.dummyfunction("""COMPUTED_VALUE"""),45621.6666666667)</f>
        <v>45621.6666666667</v>
      </c>
      <c r="B982" s="2" t="n">
        <f aca="false">IFERROR(__xludf.dummyfunction("""COMPUTED_VALUE"""),360.14)</f>
        <v>360.14</v>
      </c>
      <c r="C982" s="2" t="n">
        <f aca="false">IFERROR(__xludf.dummyfunction("""COMPUTED_VALUE"""),361.93)</f>
        <v>361.93</v>
      </c>
      <c r="D982" s="2" t="n">
        <f aca="false">IFERROR(__xludf.dummyfunction("""COMPUTED_VALUE"""),338.2)</f>
        <v>338.2</v>
      </c>
      <c r="E982" s="2" t="n">
        <f aca="false">IFERROR(__xludf.dummyfunction("""COMPUTED_VALUE"""),338.59)</f>
        <v>338.59</v>
      </c>
      <c r="F982" s="2" t="n">
        <f aca="false">IFERROR(__xludf.dummyfunction("""COMPUTED_VALUE"""),95890899)</f>
        <v>95890899</v>
      </c>
    </row>
    <row r="983" customFormat="false" ht="15.75" hidden="false" customHeight="false" outlineLevel="0" collapsed="false">
      <c r="A983" s="3" t="n">
        <f aca="false">IFERROR(__xludf.dummyfunction("""COMPUTED_VALUE"""),45622.6666666667)</f>
        <v>45622.6666666667</v>
      </c>
      <c r="B983" s="2" t="n">
        <f aca="false">IFERROR(__xludf.dummyfunction("""COMPUTED_VALUE"""),341)</f>
        <v>341</v>
      </c>
      <c r="C983" s="2" t="n">
        <f aca="false">IFERROR(__xludf.dummyfunction("""COMPUTED_VALUE"""),346.96)</f>
        <v>346.96</v>
      </c>
      <c r="D983" s="2" t="n">
        <f aca="false">IFERROR(__xludf.dummyfunction("""COMPUTED_VALUE"""),335.66)</f>
        <v>335.66</v>
      </c>
      <c r="E983" s="2" t="n">
        <f aca="false">IFERROR(__xludf.dummyfunction("""COMPUTED_VALUE"""),338.23)</f>
        <v>338.23</v>
      </c>
      <c r="F983" s="2" t="n">
        <f aca="false">IFERROR(__xludf.dummyfunction("""COMPUTED_VALUE"""),62295857)</f>
        <v>62295857</v>
      </c>
    </row>
    <row r="984" customFormat="false" ht="15.75" hidden="false" customHeight="false" outlineLevel="0" collapsed="false">
      <c r="A984" s="3" t="n">
        <f aca="false">IFERROR(__xludf.dummyfunction("""COMPUTED_VALUE"""),45623.6666666667)</f>
        <v>45623.6666666667</v>
      </c>
      <c r="B984" s="2" t="n">
        <f aca="false">IFERROR(__xludf.dummyfunction("""COMPUTED_VALUE"""),341.8)</f>
        <v>341.8</v>
      </c>
      <c r="C984" s="2" t="n">
        <f aca="false">IFERROR(__xludf.dummyfunction("""COMPUTED_VALUE"""),342.55)</f>
        <v>342.55</v>
      </c>
      <c r="D984" s="2" t="n">
        <f aca="false">IFERROR(__xludf.dummyfunction("""COMPUTED_VALUE"""),326.59)</f>
        <v>326.59</v>
      </c>
      <c r="E984" s="2" t="n">
        <f aca="false">IFERROR(__xludf.dummyfunction("""COMPUTED_VALUE"""),332.89)</f>
        <v>332.89</v>
      </c>
      <c r="F984" s="2" t="n">
        <f aca="false">IFERROR(__xludf.dummyfunction("""COMPUTED_VALUE"""),57896439)</f>
        <v>57896439</v>
      </c>
    </row>
    <row r="985" customFormat="false" ht="15.75" hidden="false" customHeight="false" outlineLevel="0" collapsed="false">
      <c r="A985" s="3" t="n">
        <f aca="false">IFERROR(__xludf.dummyfunction("""COMPUTED_VALUE"""),45625.5451388889)</f>
        <v>45625.5451388889</v>
      </c>
      <c r="B985" s="2" t="n">
        <f aca="false">IFERROR(__xludf.dummyfunction("""COMPUTED_VALUE"""),336.08)</f>
        <v>336.08</v>
      </c>
      <c r="C985" s="2" t="n">
        <f aca="false">IFERROR(__xludf.dummyfunction("""COMPUTED_VALUE"""),345.45)</f>
        <v>345.45</v>
      </c>
      <c r="D985" s="2" t="n">
        <f aca="false">IFERROR(__xludf.dummyfunction("""COMPUTED_VALUE"""),334.65)</f>
        <v>334.65</v>
      </c>
      <c r="E985" s="2" t="n">
        <f aca="false">IFERROR(__xludf.dummyfunction("""COMPUTED_VALUE"""),345.16)</f>
        <v>345.16</v>
      </c>
      <c r="F985" s="2" t="n">
        <f aca="false">IFERROR(__xludf.dummyfunction("""COMPUTED_VALUE"""),37167621)</f>
        <v>37167621</v>
      </c>
    </row>
    <row r="986" customFormat="false" ht="15.75" hidden="false" customHeight="false" outlineLevel="0" collapsed="false">
      <c r="A986" s="3" t="n">
        <f aca="false">IFERROR(__xludf.dummyfunction("""COMPUTED_VALUE"""),45628.6666666667)</f>
        <v>45628.6666666667</v>
      </c>
      <c r="B986" s="2" t="n">
        <f aca="false">IFERROR(__xludf.dummyfunction("""COMPUTED_VALUE"""),352.38)</f>
        <v>352.38</v>
      </c>
      <c r="C986" s="2" t="n">
        <f aca="false">IFERROR(__xludf.dummyfunction("""COMPUTED_VALUE"""),360)</f>
        <v>360</v>
      </c>
      <c r="D986" s="2" t="n">
        <f aca="false">IFERROR(__xludf.dummyfunction("""COMPUTED_VALUE"""),351.15)</f>
        <v>351.15</v>
      </c>
      <c r="E986" s="2" t="n">
        <f aca="false">IFERROR(__xludf.dummyfunction("""COMPUTED_VALUE"""),357.09)</f>
        <v>357.09</v>
      </c>
      <c r="F986" s="2" t="n">
        <f aca="false">IFERROR(__xludf.dummyfunction("""COMPUTED_VALUE"""),77986478)</f>
        <v>77986478</v>
      </c>
    </row>
    <row r="987" customFormat="false" ht="15.75" hidden="false" customHeight="false" outlineLevel="0" collapsed="false">
      <c r="A987" s="3" t="n">
        <f aca="false">IFERROR(__xludf.dummyfunction("""COMPUTED_VALUE"""),45629.6666666667)</f>
        <v>45629.6666666667</v>
      </c>
      <c r="B987" s="2" t="n">
        <f aca="false">IFERROR(__xludf.dummyfunction("""COMPUTED_VALUE"""),351.8)</f>
        <v>351.8</v>
      </c>
      <c r="C987" s="2" t="n">
        <f aca="false">IFERROR(__xludf.dummyfunction("""COMPUTED_VALUE"""),355.69)</f>
        <v>355.69</v>
      </c>
      <c r="D987" s="2" t="n">
        <f aca="false">IFERROR(__xludf.dummyfunction("""COMPUTED_VALUE"""),348.2)</f>
        <v>348.2</v>
      </c>
      <c r="E987" s="2" t="n">
        <f aca="false">IFERROR(__xludf.dummyfunction("""COMPUTED_VALUE"""),351.42)</f>
        <v>351.42</v>
      </c>
      <c r="F987" s="2" t="n">
        <f aca="false">IFERROR(__xludf.dummyfunction("""COMPUTED_VALUE"""),58267196)</f>
        <v>58267196</v>
      </c>
    </row>
    <row r="988" customFormat="false" ht="15.75" hidden="false" customHeight="false" outlineLevel="0" collapsed="false">
      <c r="A988" s="3" t="n">
        <f aca="false">IFERROR(__xludf.dummyfunction("""COMPUTED_VALUE"""),45630.6666666667)</f>
        <v>45630.6666666667</v>
      </c>
      <c r="B988" s="2" t="n">
        <f aca="false">IFERROR(__xludf.dummyfunction("""COMPUTED_VALUE"""),353)</f>
        <v>353</v>
      </c>
      <c r="C988" s="2" t="n">
        <f aca="false">IFERROR(__xludf.dummyfunction("""COMPUTED_VALUE"""),358.1)</f>
        <v>358.1</v>
      </c>
      <c r="D988" s="2" t="n">
        <f aca="false">IFERROR(__xludf.dummyfunction("""COMPUTED_VALUE"""),348.6)</f>
        <v>348.6</v>
      </c>
      <c r="E988" s="2" t="n">
        <f aca="false">IFERROR(__xludf.dummyfunction("""COMPUTED_VALUE"""),357.93)</f>
        <v>357.93</v>
      </c>
      <c r="F988" s="2" t="n">
        <f aca="false">IFERROR(__xludf.dummyfunction("""COMPUTED_VALUE"""),50810874)</f>
        <v>50810874</v>
      </c>
    </row>
    <row r="989" customFormat="false" ht="15.75" hidden="false" customHeight="false" outlineLevel="0" collapsed="false">
      <c r="A989" s="3" t="n">
        <f aca="false">IFERROR(__xludf.dummyfunction("""COMPUTED_VALUE"""),45631.6666666667)</f>
        <v>45631.6666666667</v>
      </c>
      <c r="B989" s="2" t="n">
        <f aca="false">IFERROR(__xludf.dummyfunction("""COMPUTED_VALUE"""),359.87)</f>
        <v>359.87</v>
      </c>
      <c r="C989" s="2" t="n">
        <f aca="false">IFERROR(__xludf.dummyfunction("""COMPUTED_VALUE"""),375.43)</f>
        <v>375.43</v>
      </c>
      <c r="D989" s="2" t="n">
        <f aca="false">IFERROR(__xludf.dummyfunction("""COMPUTED_VALUE"""),359.5)</f>
        <v>359.5</v>
      </c>
      <c r="E989" s="2" t="n">
        <f aca="false">IFERROR(__xludf.dummyfunction("""COMPUTED_VALUE"""),369.49)</f>
        <v>369.49</v>
      </c>
      <c r="F989" s="2" t="n">
        <f aca="false">IFERROR(__xludf.dummyfunction("""COMPUTED_VALUE"""),81403569)</f>
        <v>81403569</v>
      </c>
    </row>
    <row r="990" customFormat="false" ht="15.75" hidden="false" customHeight="false" outlineLevel="0" collapsed="false">
      <c r="A990" s="3" t="n">
        <f aca="false">IFERROR(__xludf.dummyfunction("""COMPUTED_VALUE"""),45632.6666666667)</f>
        <v>45632.6666666667</v>
      </c>
      <c r="B990" s="2" t="n">
        <f aca="false">IFERROR(__xludf.dummyfunction("""COMPUTED_VALUE"""),377.42)</f>
        <v>377.42</v>
      </c>
      <c r="C990" s="2" t="n">
        <f aca="false">IFERROR(__xludf.dummyfunction("""COMPUTED_VALUE"""),389.49)</f>
        <v>389.49</v>
      </c>
      <c r="D990" s="2" t="n">
        <f aca="false">IFERROR(__xludf.dummyfunction("""COMPUTED_VALUE"""),370.8)</f>
        <v>370.8</v>
      </c>
      <c r="E990" s="2" t="n">
        <f aca="false">IFERROR(__xludf.dummyfunction("""COMPUTED_VALUE"""),389.22)</f>
        <v>389.22</v>
      </c>
      <c r="F990" s="2" t="n">
        <f aca="false">IFERROR(__xludf.dummyfunction("""COMPUTED_VALUE"""),81455834)</f>
        <v>81455834</v>
      </c>
    </row>
    <row r="991" customFormat="false" ht="15.75" hidden="false" customHeight="false" outlineLevel="0" collapsed="false">
      <c r="A991" s="3" t="n">
        <f aca="false">IFERROR(__xludf.dummyfunction("""COMPUTED_VALUE"""),45635.6666666667)</f>
        <v>45635.6666666667</v>
      </c>
      <c r="B991" s="2" t="n">
        <f aca="false">IFERROR(__xludf.dummyfunction("""COMPUTED_VALUE"""),397.61)</f>
        <v>397.61</v>
      </c>
      <c r="C991" s="2" t="n">
        <f aca="false">IFERROR(__xludf.dummyfunction("""COMPUTED_VALUE"""),404.8)</f>
        <v>404.8</v>
      </c>
      <c r="D991" s="2" t="n">
        <f aca="false">IFERROR(__xludf.dummyfunction("""COMPUTED_VALUE"""),378.01)</f>
        <v>378.01</v>
      </c>
      <c r="E991" s="2" t="n">
        <f aca="false">IFERROR(__xludf.dummyfunction("""COMPUTED_VALUE"""),389.79)</f>
        <v>389.79</v>
      </c>
      <c r="F991" s="2" t="n">
        <f aca="false">IFERROR(__xludf.dummyfunction("""COMPUTED_VALUE"""),96359173)</f>
        <v>96359173</v>
      </c>
    </row>
    <row r="992" customFormat="false" ht="15.75" hidden="false" customHeight="false" outlineLevel="0" collapsed="false">
      <c r="A992" s="3" t="n">
        <f aca="false">IFERROR(__xludf.dummyfunction("""COMPUTED_VALUE"""),45636.6666666667)</f>
        <v>45636.6666666667</v>
      </c>
      <c r="B992" s="2" t="n">
        <f aca="false">IFERROR(__xludf.dummyfunction("""COMPUTED_VALUE"""),392.68)</f>
        <v>392.68</v>
      </c>
      <c r="C992" s="2" t="n">
        <f aca="false">IFERROR(__xludf.dummyfunction("""COMPUTED_VALUE"""),409.73)</f>
        <v>409.73</v>
      </c>
      <c r="D992" s="2" t="n">
        <f aca="false">IFERROR(__xludf.dummyfunction("""COMPUTED_VALUE"""),390.85)</f>
        <v>390.85</v>
      </c>
      <c r="E992" s="2" t="n">
        <f aca="false">IFERROR(__xludf.dummyfunction("""COMPUTED_VALUE"""),400.99)</f>
        <v>400.99</v>
      </c>
      <c r="F992" s="2" t="n">
        <f aca="false">IFERROR(__xludf.dummyfunction("""COMPUTED_VALUE"""),97563578)</f>
        <v>97563578</v>
      </c>
    </row>
    <row r="993" customFormat="false" ht="15.75" hidden="false" customHeight="false" outlineLevel="0" collapsed="false">
      <c r="A993" s="3" t="n">
        <f aca="false">IFERROR(__xludf.dummyfunction("""COMPUTED_VALUE"""),45637.6666666667)</f>
        <v>45637.6666666667</v>
      </c>
      <c r="B993" s="2" t="n">
        <f aca="false">IFERROR(__xludf.dummyfunction("""COMPUTED_VALUE"""),409.7)</f>
        <v>409.7</v>
      </c>
      <c r="C993" s="2" t="n">
        <f aca="false">IFERROR(__xludf.dummyfunction("""COMPUTED_VALUE"""),424.88)</f>
        <v>424.88</v>
      </c>
      <c r="D993" s="2" t="n">
        <f aca="false">IFERROR(__xludf.dummyfunction("""COMPUTED_VALUE"""),402.38)</f>
        <v>402.38</v>
      </c>
      <c r="E993" s="2" t="n">
        <f aca="false">IFERROR(__xludf.dummyfunction("""COMPUTED_VALUE"""),424.77)</f>
        <v>424.77</v>
      </c>
      <c r="F993" s="2" t="n">
        <f aca="false">IFERROR(__xludf.dummyfunction("""COMPUTED_VALUE"""),104287559)</f>
        <v>104287559</v>
      </c>
    </row>
    <row r="994" customFormat="false" ht="15.75" hidden="false" customHeight="false" outlineLevel="0" collapsed="false">
      <c r="A994" s="3" t="n">
        <f aca="false">IFERROR(__xludf.dummyfunction("""COMPUTED_VALUE"""),45638.6666666667)</f>
        <v>45638.6666666667</v>
      </c>
      <c r="B994" s="2" t="n">
        <f aca="false">IFERROR(__xludf.dummyfunction("""COMPUTED_VALUE"""),424.84)</f>
        <v>424.84</v>
      </c>
      <c r="C994" s="2" t="n">
        <f aca="false">IFERROR(__xludf.dummyfunction("""COMPUTED_VALUE"""),429.3)</f>
        <v>429.3</v>
      </c>
      <c r="D994" s="2" t="n">
        <f aca="false">IFERROR(__xludf.dummyfunction("""COMPUTED_VALUE"""),415)</f>
        <v>415</v>
      </c>
      <c r="E994" s="2" t="n">
        <f aca="false">IFERROR(__xludf.dummyfunction("""COMPUTED_VALUE"""),418.1)</f>
        <v>418.1</v>
      </c>
      <c r="F994" s="2" t="n">
        <f aca="false">IFERROR(__xludf.dummyfunction("""COMPUTED_VALUE"""),87752225)</f>
        <v>87752225</v>
      </c>
    </row>
    <row r="995" customFormat="false" ht="15.75" hidden="false" customHeight="false" outlineLevel="0" collapsed="false">
      <c r="A995" s="3" t="n">
        <f aca="false">IFERROR(__xludf.dummyfunction("""COMPUTED_VALUE"""),45639.6666666667)</f>
        <v>45639.6666666667</v>
      </c>
      <c r="B995" s="2" t="n">
        <f aca="false">IFERROR(__xludf.dummyfunction("""COMPUTED_VALUE"""),420)</f>
        <v>420</v>
      </c>
      <c r="C995" s="2" t="n">
        <f aca="false">IFERROR(__xludf.dummyfunction("""COMPUTED_VALUE"""),436.3)</f>
        <v>436.3</v>
      </c>
      <c r="D995" s="2" t="n">
        <f aca="false">IFERROR(__xludf.dummyfunction("""COMPUTED_VALUE"""),415.71)</f>
        <v>415.71</v>
      </c>
      <c r="E995" s="2" t="n">
        <f aca="false">IFERROR(__xludf.dummyfunction("""COMPUTED_VALUE"""),436.23)</f>
        <v>436.23</v>
      </c>
      <c r="F995" s="2" t="n">
        <f aca="false">IFERROR(__xludf.dummyfunction("""COMPUTED_VALUE"""),89000158)</f>
        <v>89000158</v>
      </c>
    </row>
    <row r="996" customFormat="false" ht="15.75" hidden="false" customHeight="false" outlineLevel="0" collapsed="false">
      <c r="A996" s="3" t="n">
        <f aca="false">IFERROR(__xludf.dummyfunction("""COMPUTED_VALUE"""),45642.6666666667)</f>
        <v>45642.6666666667</v>
      </c>
      <c r="B996" s="2" t="n">
        <f aca="false">IFERROR(__xludf.dummyfunction("""COMPUTED_VALUE"""),441.09)</f>
        <v>441.09</v>
      </c>
      <c r="C996" s="2" t="n">
        <f aca="false">IFERROR(__xludf.dummyfunction("""COMPUTED_VALUE"""),463.19)</f>
        <v>463.19</v>
      </c>
      <c r="D996" s="2" t="n">
        <f aca="false">IFERROR(__xludf.dummyfunction("""COMPUTED_VALUE"""),436.15)</f>
        <v>436.15</v>
      </c>
      <c r="E996" s="2" t="n">
        <f aca="false">IFERROR(__xludf.dummyfunction("""COMPUTED_VALUE"""),463.02)</f>
        <v>463.02</v>
      </c>
      <c r="F996" s="2" t="n">
        <f aca="false">IFERROR(__xludf.dummyfunction("""COMPUTED_VALUE"""),114083811)</f>
        <v>114083811</v>
      </c>
    </row>
    <row r="997" customFormat="false" ht="15.75" hidden="false" customHeight="false" outlineLevel="0" collapsed="false">
      <c r="A997" s="3" t="n">
        <f aca="false">IFERROR(__xludf.dummyfunction("""COMPUTED_VALUE"""),45643.6666666667)</f>
        <v>45643.6666666667</v>
      </c>
      <c r="B997" s="2" t="n">
        <f aca="false">IFERROR(__xludf.dummyfunction("""COMPUTED_VALUE"""),475.9)</f>
        <v>475.9</v>
      </c>
      <c r="C997" s="2" t="n">
        <f aca="false">IFERROR(__xludf.dummyfunction("""COMPUTED_VALUE"""),483.99)</f>
        <v>483.99</v>
      </c>
      <c r="D997" s="2" t="n">
        <f aca="false">IFERROR(__xludf.dummyfunction("""COMPUTED_VALUE"""),457.51)</f>
        <v>457.51</v>
      </c>
      <c r="E997" s="2" t="n">
        <f aca="false">IFERROR(__xludf.dummyfunction("""COMPUTED_VALUE"""),479.86)</f>
        <v>479.86</v>
      </c>
      <c r="F997" s="2" t="n">
        <f aca="false">IFERROR(__xludf.dummyfunction("""COMPUTED_VALUE"""),131222978)</f>
        <v>131222978</v>
      </c>
    </row>
    <row r="998" customFormat="false" ht="15.75" hidden="false" customHeight="false" outlineLevel="0" collapsed="false">
      <c r="A998" s="3" t="n">
        <f aca="false">IFERROR(__xludf.dummyfunction("""COMPUTED_VALUE"""),45644.6666666667)</f>
        <v>45644.6666666667</v>
      </c>
      <c r="B998" s="2" t="n">
        <f aca="false">IFERROR(__xludf.dummyfunction("""COMPUTED_VALUE"""),466.5)</f>
        <v>466.5</v>
      </c>
      <c r="C998" s="2" t="n">
        <f aca="false">IFERROR(__xludf.dummyfunction("""COMPUTED_VALUE"""),488.54)</f>
        <v>488.54</v>
      </c>
      <c r="D998" s="2" t="n">
        <f aca="false">IFERROR(__xludf.dummyfunction("""COMPUTED_VALUE"""),427.01)</f>
        <v>427.01</v>
      </c>
      <c r="E998" s="2" t="n">
        <f aca="false">IFERROR(__xludf.dummyfunction("""COMPUTED_VALUE"""),440.13)</f>
        <v>440.13</v>
      </c>
      <c r="F998" s="2" t="n">
        <f aca="false">IFERROR(__xludf.dummyfunction("""COMPUTED_VALUE"""),149340788)</f>
        <v>149340788</v>
      </c>
    </row>
    <row r="999" customFormat="false" ht="15.75" hidden="false" customHeight="false" outlineLevel="0" collapsed="false">
      <c r="A999" s="3" t="n">
        <f aca="false">IFERROR(__xludf.dummyfunction("""COMPUTED_VALUE"""),45645.6666666667)</f>
        <v>45645.6666666667</v>
      </c>
      <c r="B999" s="2" t="n">
        <f aca="false">IFERROR(__xludf.dummyfunction("""COMPUTED_VALUE"""),451.88)</f>
        <v>451.88</v>
      </c>
      <c r="C999" s="2" t="n">
        <f aca="false">IFERROR(__xludf.dummyfunction("""COMPUTED_VALUE"""),456.36)</f>
        <v>456.36</v>
      </c>
      <c r="D999" s="2" t="n">
        <f aca="false">IFERROR(__xludf.dummyfunction("""COMPUTED_VALUE"""),420.02)</f>
        <v>420.02</v>
      </c>
      <c r="E999" s="2" t="n">
        <f aca="false">IFERROR(__xludf.dummyfunction("""COMPUTED_VALUE"""),436.17)</f>
        <v>436.17</v>
      </c>
      <c r="F999" s="2" t="n">
        <f aca="false">IFERROR(__xludf.dummyfunction("""COMPUTED_VALUE"""),118566146)</f>
        <v>118566146</v>
      </c>
    </row>
    <row r="1000" customFormat="false" ht="15.75" hidden="false" customHeight="false" outlineLevel="0" collapsed="false">
      <c r="A1000" s="3" t="n">
        <f aca="false">IFERROR(__xludf.dummyfunction("""COMPUTED_VALUE"""),45646.6666666667)</f>
        <v>45646.6666666667</v>
      </c>
      <c r="B1000" s="2" t="n">
        <f aca="false">IFERROR(__xludf.dummyfunction("""COMPUTED_VALUE"""),425.51)</f>
        <v>425.51</v>
      </c>
      <c r="C1000" s="2" t="n">
        <f aca="false">IFERROR(__xludf.dummyfunction("""COMPUTED_VALUE"""),447.08)</f>
        <v>447.08</v>
      </c>
      <c r="D1000" s="2" t="n">
        <f aca="false">IFERROR(__xludf.dummyfunction("""COMPUTED_VALUE"""),417.64)</f>
        <v>417.64</v>
      </c>
      <c r="E1000" s="2" t="n">
        <f aca="false">IFERROR(__xludf.dummyfunction("""COMPUTED_VALUE"""),421.06)</f>
        <v>421.06</v>
      </c>
      <c r="F1000" s="2" t="n">
        <f aca="false">IFERROR(__xludf.dummyfunction("""COMPUTED_VALUE"""),132216176)</f>
        <v>132216176</v>
      </c>
    </row>
    <row r="1001" customFormat="false" ht="15.75" hidden="false" customHeight="false" outlineLevel="0" collapsed="false">
      <c r="A1001" s="3" t="n">
        <f aca="false">IFERROR(__xludf.dummyfunction("""COMPUTED_VALUE"""),45649.6666666667)</f>
        <v>45649.6666666667</v>
      </c>
      <c r="B1001" s="2" t="n">
        <f aca="false">IFERROR(__xludf.dummyfunction("""COMPUTED_VALUE"""),431)</f>
        <v>431</v>
      </c>
      <c r="C1001" s="2" t="n">
        <f aca="false">IFERROR(__xludf.dummyfunction("""COMPUTED_VALUE"""),434.51)</f>
        <v>434.51</v>
      </c>
      <c r="D1001" s="2" t="n">
        <f aca="false">IFERROR(__xludf.dummyfunction("""COMPUTED_VALUE"""),415.41)</f>
        <v>415.41</v>
      </c>
      <c r="E1001" s="2" t="n">
        <f aca="false">IFERROR(__xludf.dummyfunction("""COMPUTED_VALUE"""),430.6)</f>
        <v>430.6</v>
      </c>
      <c r="F1001" s="2" t="n">
        <f aca="false">IFERROR(__xludf.dummyfunction("""COMPUTED_VALUE"""),72698055)</f>
        <v>72698055</v>
      </c>
    </row>
    <row r="1002" customFormat="false" ht="15.75" hidden="false" customHeight="false" outlineLevel="0" collapsed="false">
      <c r="A1002" s="3" t="n">
        <f aca="false">IFERROR(__xludf.dummyfunction("""COMPUTED_VALUE"""),45650.5451388889)</f>
        <v>45650.5451388889</v>
      </c>
      <c r="B1002" s="2" t="n">
        <f aca="false">IFERROR(__xludf.dummyfunction("""COMPUTED_VALUE"""),435.9)</f>
        <v>435.9</v>
      </c>
      <c r="C1002" s="2" t="n">
        <f aca="false">IFERROR(__xludf.dummyfunction("""COMPUTED_VALUE"""),462.78)</f>
        <v>462.78</v>
      </c>
      <c r="D1002" s="2" t="n">
        <f aca="false">IFERROR(__xludf.dummyfunction("""COMPUTED_VALUE"""),435.14)</f>
        <v>435.14</v>
      </c>
      <c r="E1002" s="2" t="n">
        <f aca="false">IFERROR(__xludf.dummyfunction("""COMPUTED_VALUE"""),462.28)</f>
        <v>462.28</v>
      </c>
      <c r="F1002" s="2" t="n">
        <f aca="false">IFERROR(__xludf.dummyfunction("""COMPUTED_VALUE"""),59551750)</f>
        <v>59551750</v>
      </c>
    </row>
    <row r="1003" customFormat="false" ht="15.75" hidden="false" customHeight="false" outlineLevel="0" collapsed="false">
      <c r="A1003" s="3" t="n">
        <f aca="false">IFERROR(__xludf.dummyfunction("""COMPUTED_VALUE"""),45652.6666666667)</f>
        <v>45652.6666666667</v>
      </c>
      <c r="B1003" s="2" t="n">
        <f aca="false">IFERROR(__xludf.dummyfunction("""COMPUTED_VALUE"""),465.16)</f>
        <v>465.16</v>
      </c>
      <c r="C1003" s="2" t="n">
        <f aca="false">IFERROR(__xludf.dummyfunction("""COMPUTED_VALUE"""),465.33)</f>
        <v>465.33</v>
      </c>
      <c r="D1003" s="2" t="n">
        <f aca="false">IFERROR(__xludf.dummyfunction("""COMPUTED_VALUE"""),451.02)</f>
        <v>451.02</v>
      </c>
      <c r="E1003" s="2" t="n">
        <f aca="false">IFERROR(__xludf.dummyfunction("""COMPUTED_VALUE"""),454.13)</f>
        <v>454.13</v>
      </c>
      <c r="F1003" s="2" t="n">
        <f aca="false">IFERROR(__xludf.dummyfunction("""COMPUTED_VALUE"""),76651210)</f>
        <v>76651210</v>
      </c>
    </row>
    <row r="1004" customFormat="false" ht="15.75" hidden="false" customHeight="false" outlineLevel="0" collapsed="false">
      <c r="A1004" s="3" t="n">
        <f aca="false">IFERROR(__xludf.dummyfunction("""COMPUTED_VALUE"""),45653.6666666667)</f>
        <v>45653.6666666667</v>
      </c>
      <c r="B1004" s="2" t="n">
        <f aca="false">IFERROR(__xludf.dummyfunction("""COMPUTED_VALUE"""),449.52)</f>
        <v>449.52</v>
      </c>
      <c r="C1004" s="2" t="n">
        <f aca="false">IFERROR(__xludf.dummyfunction("""COMPUTED_VALUE"""),450)</f>
        <v>450</v>
      </c>
      <c r="D1004" s="2" t="n">
        <f aca="false">IFERROR(__xludf.dummyfunction("""COMPUTED_VALUE"""),426.5)</f>
        <v>426.5</v>
      </c>
      <c r="E1004" s="2" t="n">
        <f aca="false">IFERROR(__xludf.dummyfunction("""COMPUTED_VALUE"""),431.66)</f>
        <v>431.66</v>
      </c>
      <c r="F1004" s="2" t="n">
        <f aca="false">IFERROR(__xludf.dummyfunction("""COMPUTED_VALUE"""),82666821)</f>
        <v>82666821</v>
      </c>
    </row>
    <row r="1005" customFormat="false" ht="15.75" hidden="false" customHeight="false" outlineLevel="0" collapsed="false">
      <c r="A1005" s="3" t="n">
        <f aca="false">IFERROR(__xludf.dummyfunction("""COMPUTED_VALUE"""),45656.6666666667)</f>
        <v>45656.6666666667</v>
      </c>
      <c r="B1005" s="2" t="n">
        <f aca="false">IFERROR(__xludf.dummyfunction("""COMPUTED_VALUE"""),419.4)</f>
        <v>419.4</v>
      </c>
      <c r="C1005" s="2" t="n">
        <f aca="false">IFERROR(__xludf.dummyfunction("""COMPUTED_VALUE"""),427)</f>
        <v>427</v>
      </c>
      <c r="D1005" s="2" t="n">
        <f aca="false">IFERROR(__xludf.dummyfunction("""COMPUTED_VALUE"""),415.75)</f>
        <v>415.75</v>
      </c>
      <c r="E1005" s="2" t="n">
        <f aca="false">IFERROR(__xludf.dummyfunction("""COMPUTED_VALUE"""),417.41)</f>
        <v>417.41</v>
      </c>
      <c r="F1005" s="2" t="n">
        <f aca="false">IFERROR(__xludf.dummyfunction("""COMPUTED_VALUE"""),64941012)</f>
        <v>64941012</v>
      </c>
    </row>
    <row r="1006" customFormat="false" ht="15.75" hidden="false" customHeight="false" outlineLevel="0" collapsed="false">
      <c r="A1006" s="3" t="n">
        <f aca="false">IFERROR(__xludf.dummyfunction("""COMPUTED_VALUE"""),45657.6666666667)</f>
        <v>45657.6666666667</v>
      </c>
      <c r="B1006" s="2" t="n">
        <f aca="false">IFERROR(__xludf.dummyfunction("""COMPUTED_VALUE"""),423.79)</f>
        <v>423.79</v>
      </c>
      <c r="C1006" s="2" t="n">
        <f aca="false">IFERROR(__xludf.dummyfunction("""COMPUTED_VALUE"""),427.93)</f>
        <v>427.93</v>
      </c>
      <c r="D1006" s="2" t="n">
        <f aca="false">IFERROR(__xludf.dummyfunction("""COMPUTED_VALUE"""),402.54)</f>
        <v>402.54</v>
      </c>
      <c r="E1006" s="2" t="n">
        <f aca="false">IFERROR(__xludf.dummyfunction("""COMPUTED_VALUE"""),403.84)</f>
        <v>403.84</v>
      </c>
      <c r="F1006" s="2" t="n">
        <f aca="false">IFERROR(__xludf.dummyfunction("""COMPUTED_VALUE"""),76825121)</f>
        <v>76825121</v>
      </c>
    </row>
    <row r="1007" customFormat="false" ht="15.75" hidden="false" customHeight="false" outlineLevel="0" collapsed="false">
      <c r="A1007" s="3" t="n">
        <f aca="false">IFERROR(__xludf.dummyfunction("""COMPUTED_VALUE"""),45659.6666666667)</f>
        <v>45659.6666666667</v>
      </c>
      <c r="B1007" s="2" t="n">
        <f aca="false">IFERROR(__xludf.dummyfunction("""COMPUTED_VALUE"""),390.1)</f>
        <v>390.1</v>
      </c>
      <c r="C1007" s="2" t="n">
        <f aca="false">IFERROR(__xludf.dummyfunction("""COMPUTED_VALUE"""),392.73)</f>
        <v>392.73</v>
      </c>
      <c r="D1007" s="2" t="n">
        <f aca="false">IFERROR(__xludf.dummyfunction("""COMPUTED_VALUE"""),373.04)</f>
        <v>373.04</v>
      </c>
      <c r="E1007" s="2" t="n">
        <f aca="false">IFERROR(__xludf.dummyfunction("""COMPUTED_VALUE"""),379.28)</f>
        <v>379.28</v>
      </c>
      <c r="F1007" s="2" t="n">
        <f aca="false">IFERROR(__xludf.dummyfunction("""COMPUTED_VALUE"""),109710749)</f>
        <v>109710749</v>
      </c>
    </row>
    <row r="1008" customFormat="false" ht="15.75" hidden="false" customHeight="false" outlineLevel="0" collapsed="false">
      <c r="A1008" s="3" t="n">
        <f aca="false">IFERROR(__xludf.dummyfunction("""COMPUTED_VALUE"""),45660.6666666667)</f>
        <v>45660.6666666667</v>
      </c>
      <c r="B1008" s="2" t="n">
        <f aca="false">IFERROR(__xludf.dummyfunction("""COMPUTED_VALUE"""),381.48)</f>
        <v>381.48</v>
      </c>
      <c r="C1008" s="2" t="n">
        <f aca="false">IFERROR(__xludf.dummyfunction("""COMPUTED_VALUE"""),411.88)</f>
        <v>411.88</v>
      </c>
      <c r="D1008" s="2" t="n">
        <f aca="false">IFERROR(__xludf.dummyfunction("""COMPUTED_VALUE"""),379.45)</f>
        <v>379.45</v>
      </c>
      <c r="E1008" s="2" t="n">
        <f aca="false">IFERROR(__xludf.dummyfunction("""COMPUTED_VALUE"""),410.44)</f>
        <v>410.44</v>
      </c>
      <c r="F1008" s="2" t="n">
        <f aca="false">IFERROR(__xludf.dummyfunction("""COMPUTED_VALUE"""),95423329)</f>
        <v>95423329</v>
      </c>
    </row>
    <row r="1009" customFormat="false" ht="15.75" hidden="false" customHeight="false" outlineLevel="0" collapsed="false">
      <c r="A1009" s="3" t="n">
        <f aca="false">IFERROR(__xludf.dummyfunction("""COMPUTED_VALUE"""),45663.6666666667)</f>
        <v>45663.6666666667</v>
      </c>
      <c r="B1009" s="2" t="n">
        <f aca="false">IFERROR(__xludf.dummyfunction("""COMPUTED_VALUE"""),423.2)</f>
        <v>423.2</v>
      </c>
      <c r="C1009" s="2" t="n">
        <f aca="false">IFERROR(__xludf.dummyfunction("""COMPUTED_VALUE"""),426.43)</f>
        <v>426.43</v>
      </c>
      <c r="D1009" s="2" t="n">
        <f aca="false">IFERROR(__xludf.dummyfunction("""COMPUTED_VALUE"""),401.7)</f>
        <v>401.7</v>
      </c>
      <c r="E1009" s="2" t="n">
        <f aca="false">IFERROR(__xludf.dummyfunction("""COMPUTED_VALUE"""),411.05)</f>
        <v>411.05</v>
      </c>
      <c r="F1009" s="2" t="n">
        <f aca="false">IFERROR(__xludf.dummyfunction("""COMPUTED_VALUE"""),85516534)</f>
        <v>85516534</v>
      </c>
    </row>
    <row r="1010" customFormat="false" ht="15.75" hidden="false" customHeight="false" outlineLevel="0" collapsed="false">
      <c r="A1010" s="3" t="n">
        <f aca="false">IFERROR(__xludf.dummyfunction("""COMPUTED_VALUE"""),45664.6666666667)</f>
        <v>45664.6666666667</v>
      </c>
      <c r="B1010" s="2" t="n">
        <f aca="false">IFERROR(__xludf.dummyfunction("""COMPUTED_VALUE"""),405.83)</f>
        <v>405.83</v>
      </c>
      <c r="C1010" s="2" t="n">
        <f aca="false">IFERROR(__xludf.dummyfunction("""COMPUTED_VALUE"""),414.33)</f>
        <v>414.33</v>
      </c>
      <c r="D1010" s="2" t="n">
        <f aca="false">IFERROR(__xludf.dummyfunction("""COMPUTED_VALUE"""),390)</f>
        <v>390</v>
      </c>
      <c r="E1010" s="2" t="n">
        <f aca="false">IFERROR(__xludf.dummyfunction("""COMPUTED_VALUE"""),394.36)</f>
        <v>394.36</v>
      </c>
      <c r="F1010" s="2" t="n">
        <f aca="false">IFERROR(__xludf.dummyfunction("""COMPUTED_VALUE"""),75699525)</f>
        <v>75699525</v>
      </c>
    </row>
    <row r="1011" customFormat="false" ht="15.75" hidden="false" customHeight="false" outlineLevel="0" collapsed="false">
      <c r="A1011" s="3" t="n">
        <f aca="false">IFERROR(__xludf.dummyfunction("""COMPUTED_VALUE"""),45665.6666666667)</f>
        <v>45665.6666666667</v>
      </c>
      <c r="B1011" s="2" t="n">
        <f aca="false">IFERROR(__xludf.dummyfunction("""COMPUTED_VALUE"""),392.95)</f>
        <v>392.95</v>
      </c>
      <c r="C1011" s="2" t="n">
        <f aca="false">IFERROR(__xludf.dummyfunction("""COMPUTED_VALUE"""),402.5)</f>
        <v>402.5</v>
      </c>
      <c r="D1011" s="2" t="n">
        <f aca="false">IFERROR(__xludf.dummyfunction("""COMPUTED_VALUE"""),387.4)</f>
        <v>387.4</v>
      </c>
      <c r="E1011" s="2" t="n">
        <f aca="false">IFERROR(__xludf.dummyfunction("""COMPUTED_VALUE"""),394.94)</f>
        <v>394.94</v>
      </c>
      <c r="F1011" s="2" t="n">
        <f aca="false">IFERROR(__xludf.dummyfunction("""COMPUTED_VALUE"""),73038805)</f>
        <v>73038805</v>
      </c>
    </row>
    <row r="1012" customFormat="false" ht="15.75" hidden="false" customHeight="false" outlineLevel="0" collapsed="false">
      <c r="A1012" s="3" t="n">
        <f aca="false">IFERROR(__xludf.dummyfunction("""COMPUTED_VALUE"""),45667.6666666667)</f>
        <v>45667.6666666667</v>
      </c>
      <c r="B1012" s="2" t="n">
        <f aca="false">IFERROR(__xludf.dummyfunction("""COMPUTED_VALUE"""),391.4)</f>
        <v>391.4</v>
      </c>
      <c r="C1012" s="2" t="n">
        <f aca="false">IFERROR(__xludf.dummyfunction("""COMPUTED_VALUE"""),399.28)</f>
        <v>399.28</v>
      </c>
      <c r="D1012" s="2" t="n">
        <f aca="false">IFERROR(__xludf.dummyfunction("""COMPUTED_VALUE"""),377.29)</f>
        <v>377.29</v>
      </c>
      <c r="E1012" s="2" t="n">
        <f aca="false">IFERROR(__xludf.dummyfunction("""COMPUTED_VALUE"""),394.74)</f>
        <v>394.74</v>
      </c>
      <c r="F1012" s="2" t="n">
        <f aca="false">IFERROR(__xludf.dummyfunction("""COMPUTED_VALUE"""),62287333)</f>
        <v>62287333</v>
      </c>
    </row>
    <row r="1013" customFormat="false" ht="15.75" hidden="false" customHeight="false" outlineLevel="0" collapsed="false">
      <c r="A1013" s="3" t="n">
        <f aca="false">IFERROR(__xludf.dummyfunction("""COMPUTED_VALUE"""),45670.6666666667)</f>
        <v>45670.6666666667</v>
      </c>
      <c r="B1013" s="2" t="n">
        <f aca="false">IFERROR(__xludf.dummyfunction("""COMPUTED_VALUE"""),383.21)</f>
        <v>383.21</v>
      </c>
      <c r="C1013" s="2" t="n">
        <f aca="false">IFERROR(__xludf.dummyfunction("""COMPUTED_VALUE"""),403.79)</f>
        <v>403.79</v>
      </c>
      <c r="D1013" s="2" t="n">
        <f aca="false">IFERROR(__xludf.dummyfunction("""COMPUTED_VALUE"""),380.07)</f>
        <v>380.07</v>
      </c>
      <c r="E1013" s="2" t="n">
        <f aca="false">IFERROR(__xludf.dummyfunction("""COMPUTED_VALUE"""),403.31)</f>
        <v>403.31</v>
      </c>
      <c r="F1013" s="2" t="n">
        <f aca="false">IFERROR(__xludf.dummyfunction("""COMPUTED_VALUE"""),67580494)</f>
        <v>67580494</v>
      </c>
    </row>
    <row r="1014" customFormat="false" ht="15.75" hidden="false" customHeight="false" outlineLevel="0" collapsed="false">
      <c r="A1014" s="3" t="n">
        <f aca="false">IFERROR(__xludf.dummyfunction("""COMPUTED_VALUE"""),45671.6666666667)</f>
        <v>45671.6666666667</v>
      </c>
      <c r="B1014" s="2" t="n">
        <f aca="false">IFERROR(__xludf.dummyfunction("""COMPUTED_VALUE"""),414.34)</f>
        <v>414.34</v>
      </c>
      <c r="C1014" s="2" t="n">
        <f aca="false">IFERROR(__xludf.dummyfunction("""COMPUTED_VALUE"""),422.64)</f>
        <v>422.64</v>
      </c>
      <c r="D1014" s="2" t="n">
        <f aca="false">IFERROR(__xludf.dummyfunction("""COMPUTED_VALUE"""),394.54)</f>
        <v>394.54</v>
      </c>
      <c r="E1014" s="2" t="n">
        <f aca="false">IFERROR(__xludf.dummyfunction("""COMPUTED_VALUE"""),396.36)</f>
        <v>396.36</v>
      </c>
      <c r="F1014" s="2" t="n">
        <f aca="false">IFERROR(__xludf.dummyfunction("""COMPUTED_VALUE"""),84565022)</f>
        <v>84565022</v>
      </c>
    </row>
    <row r="1015" customFormat="false" ht="15.75" hidden="false" customHeight="false" outlineLevel="0" collapsed="false">
      <c r="A1015" s="3" t="n">
        <f aca="false">IFERROR(__xludf.dummyfunction("""COMPUTED_VALUE"""),45672.6666666667)</f>
        <v>45672.6666666667</v>
      </c>
      <c r="B1015" s="2" t="n">
        <f aca="false">IFERROR(__xludf.dummyfunction("""COMPUTED_VALUE"""),409.9)</f>
        <v>409.9</v>
      </c>
      <c r="C1015" s="2" t="n">
        <f aca="false">IFERROR(__xludf.dummyfunction("""COMPUTED_VALUE"""),429.8)</f>
        <v>429.8</v>
      </c>
      <c r="D1015" s="2" t="n">
        <f aca="false">IFERROR(__xludf.dummyfunction("""COMPUTED_VALUE"""),405.66)</f>
        <v>405.66</v>
      </c>
      <c r="E1015" s="2" t="n">
        <f aca="false">IFERROR(__xludf.dummyfunction("""COMPUTED_VALUE"""),428.22)</f>
        <v>428.22</v>
      </c>
      <c r="F1015" s="2" t="n">
        <f aca="false">IFERROR(__xludf.dummyfunction("""COMPUTED_VALUE"""),81375460)</f>
        <v>81375460</v>
      </c>
    </row>
    <row r="1016" customFormat="false" ht="15.75" hidden="false" customHeight="false" outlineLevel="0" collapsed="false">
      <c r="A1016" s="3" t="n">
        <f aca="false">IFERROR(__xludf.dummyfunction("""COMPUTED_VALUE"""),45673.6666666667)</f>
        <v>45673.6666666667</v>
      </c>
      <c r="B1016" s="2" t="n">
        <f aca="false">IFERROR(__xludf.dummyfunction("""COMPUTED_VALUE"""),423.49)</f>
        <v>423.49</v>
      </c>
      <c r="C1016" s="2" t="n">
        <f aca="false">IFERROR(__xludf.dummyfunction("""COMPUTED_VALUE"""),424)</f>
        <v>424</v>
      </c>
      <c r="D1016" s="2" t="n">
        <f aca="false">IFERROR(__xludf.dummyfunction("""COMPUTED_VALUE"""),409.13)</f>
        <v>409.13</v>
      </c>
      <c r="E1016" s="2" t="n">
        <f aca="false">IFERROR(__xludf.dummyfunction("""COMPUTED_VALUE"""),413.82)</f>
        <v>413.82</v>
      </c>
      <c r="F1016" s="2" t="n">
        <f aca="false">IFERROR(__xludf.dummyfunction("""COMPUTED_VALUE"""),68335151)</f>
        <v>68335151</v>
      </c>
    </row>
    <row r="1017" customFormat="false" ht="15.75" hidden="false" customHeight="false" outlineLevel="0" collapsed="false">
      <c r="A1017" s="3" t="n">
        <f aca="false">IFERROR(__xludf.dummyfunction("""COMPUTED_VALUE"""),45674.6666666667)</f>
        <v>45674.6666666667</v>
      </c>
      <c r="B1017" s="2" t="n">
        <f aca="false">IFERROR(__xludf.dummyfunction("""COMPUTED_VALUE"""),421.5)</f>
        <v>421.5</v>
      </c>
      <c r="C1017" s="2" t="n">
        <f aca="false">IFERROR(__xludf.dummyfunction("""COMPUTED_VALUE"""),439.74)</f>
        <v>439.74</v>
      </c>
      <c r="D1017" s="2" t="n">
        <f aca="false">IFERROR(__xludf.dummyfunction("""COMPUTED_VALUE"""),419.75)</f>
        <v>419.75</v>
      </c>
      <c r="E1017" s="2" t="n">
        <f aca="false">IFERROR(__xludf.dummyfunction("""COMPUTED_VALUE"""),426.5)</f>
        <v>426.5</v>
      </c>
      <c r="F1017" s="2" t="n">
        <f aca="false">IFERROR(__xludf.dummyfunction("""COMPUTED_VALUE"""),94991429)</f>
        <v>94991429</v>
      </c>
    </row>
    <row r="1018" customFormat="false" ht="15.75" hidden="false" customHeight="false" outlineLevel="0" collapsed="false">
      <c r="A1018" s="3" t="n">
        <f aca="false">IFERROR(__xludf.dummyfunction("""COMPUTED_VALUE"""),45678.6666666667)</f>
        <v>45678.6666666667</v>
      </c>
      <c r="B1018" s="2" t="n">
        <f aca="false">IFERROR(__xludf.dummyfunction("""COMPUTED_VALUE"""),432.64)</f>
        <v>432.64</v>
      </c>
      <c r="C1018" s="2" t="n">
        <f aca="false">IFERROR(__xludf.dummyfunction("""COMPUTED_VALUE"""),433.2)</f>
        <v>433.2</v>
      </c>
      <c r="D1018" s="2" t="n">
        <f aca="false">IFERROR(__xludf.dummyfunction("""COMPUTED_VALUE"""),406.31)</f>
        <v>406.31</v>
      </c>
      <c r="E1018" s="2" t="n">
        <f aca="false">IFERROR(__xludf.dummyfunction("""COMPUTED_VALUE"""),424.07)</f>
        <v>424.07</v>
      </c>
      <c r="F1018" s="2" t="n">
        <f aca="false">IFERROR(__xludf.dummyfunction("""COMPUTED_VALUE"""),87320894)</f>
        <v>87320894</v>
      </c>
    </row>
    <row r="1019" customFormat="false" ht="15.75" hidden="false" customHeight="false" outlineLevel="0" collapsed="false">
      <c r="A1019" s="3" t="n">
        <f aca="false">IFERROR(__xludf.dummyfunction("""COMPUTED_VALUE"""),45679.6666666667)</f>
        <v>45679.6666666667</v>
      </c>
      <c r="B1019" s="2" t="n">
        <f aca="false">IFERROR(__xludf.dummyfunction("""COMPUTED_VALUE"""),416.81)</f>
        <v>416.81</v>
      </c>
      <c r="C1019" s="2" t="n">
        <f aca="false">IFERROR(__xludf.dummyfunction("""COMPUTED_VALUE"""),428)</f>
        <v>428</v>
      </c>
      <c r="D1019" s="2" t="n">
        <f aca="false">IFERROR(__xludf.dummyfunction("""COMPUTED_VALUE"""),414.59)</f>
        <v>414.59</v>
      </c>
      <c r="E1019" s="2" t="n">
        <f aca="false">IFERROR(__xludf.dummyfunction("""COMPUTED_VALUE"""),415.11)</f>
        <v>415.11</v>
      </c>
      <c r="F1019" s="2" t="n">
        <f aca="false">IFERROR(__xludf.dummyfunction("""COMPUTED_VALUE"""),60963342)</f>
        <v>60963342</v>
      </c>
    </row>
    <row r="1020" customFormat="false" ht="15.75" hidden="false" customHeight="false" outlineLevel="0" collapsed="false">
      <c r="A1020" s="3" t="n">
        <f aca="false">IFERROR(__xludf.dummyfunction("""COMPUTED_VALUE"""),45680.6666666667)</f>
        <v>45680.6666666667</v>
      </c>
      <c r="B1020" s="2" t="n">
        <f aca="false">IFERROR(__xludf.dummyfunction("""COMPUTED_VALUE"""),416.06)</f>
        <v>416.06</v>
      </c>
      <c r="C1020" s="2" t="n">
        <f aca="false">IFERROR(__xludf.dummyfunction("""COMPUTED_VALUE"""),420.73)</f>
        <v>420.73</v>
      </c>
      <c r="D1020" s="2" t="n">
        <f aca="false">IFERROR(__xludf.dummyfunction("""COMPUTED_VALUE"""),408.95)</f>
        <v>408.95</v>
      </c>
      <c r="E1020" s="2" t="n">
        <f aca="false">IFERROR(__xludf.dummyfunction("""COMPUTED_VALUE"""),412.38)</f>
        <v>412.38</v>
      </c>
      <c r="F1020" s="2" t="n">
        <f aca="false">IFERROR(__xludf.dummyfunction("""COMPUTED_VALUE"""),50690592)</f>
        <v>50690592</v>
      </c>
    </row>
    <row r="1021" customFormat="false" ht="15.75" hidden="false" customHeight="false" outlineLevel="0" collapsed="false">
      <c r="A1021" s="3" t="n">
        <f aca="false">IFERROR(__xludf.dummyfunction("""COMPUTED_VALUE"""),45681.6666666667)</f>
        <v>45681.6666666667</v>
      </c>
      <c r="B1021" s="2" t="n">
        <f aca="false">IFERROR(__xludf.dummyfunction("""COMPUTED_VALUE"""),414.45)</f>
        <v>414.45</v>
      </c>
      <c r="C1021" s="2" t="n">
        <f aca="false">IFERROR(__xludf.dummyfunction("""COMPUTED_VALUE"""),418.88)</f>
        <v>418.88</v>
      </c>
      <c r="D1021" s="2" t="n">
        <f aca="false">IFERROR(__xludf.dummyfunction("""COMPUTED_VALUE"""),405.78)</f>
        <v>405.78</v>
      </c>
      <c r="E1021" s="2" t="n">
        <f aca="false">IFERROR(__xludf.dummyfunction("""COMPUTED_VALUE"""),406.58)</f>
        <v>406.58</v>
      </c>
      <c r="F1021" s="2" t="n">
        <f aca="false">IFERROR(__xludf.dummyfunction("""COMPUTED_VALUE"""),56427149)</f>
        <v>56427149</v>
      </c>
    </row>
    <row r="1022" customFormat="false" ht="15.75" hidden="false" customHeight="false" outlineLevel="0" collapsed="false">
      <c r="A1022" s="3" t="n">
        <f aca="false">IFERROR(__xludf.dummyfunction("""COMPUTED_VALUE"""),45684.6666666667)</f>
        <v>45684.6666666667</v>
      </c>
      <c r="B1022" s="2" t="n">
        <f aca="false">IFERROR(__xludf.dummyfunction("""COMPUTED_VALUE"""),394.8)</f>
        <v>394.8</v>
      </c>
      <c r="C1022" s="2" t="n">
        <f aca="false">IFERROR(__xludf.dummyfunction("""COMPUTED_VALUE"""),406.69)</f>
        <v>406.69</v>
      </c>
      <c r="D1022" s="2" t="n">
        <f aca="false">IFERROR(__xludf.dummyfunction("""COMPUTED_VALUE"""),389)</f>
        <v>389</v>
      </c>
      <c r="E1022" s="2" t="n">
        <f aca="false">IFERROR(__xludf.dummyfunction("""COMPUTED_VALUE"""),397.15)</f>
        <v>397.15</v>
      </c>
      <c r="F1022" s="2" t="n">
        <f aca="false">IFERROR(__xludf.dummyfunction("""COMPUTED_VALUE"""),58125510)</f>
        <v>58125510</v>
      </c>
    </row>
    <row r="1023" customFormat="false" ht="15.75" hidden="false" customHeight="false" outlineLevel="0" collapsed="false">
      <c r="A1023" s="3" t="n">
        <f aca="false">IFERROR(__xludf.dummyfunction("""COMPUTED_VALUE"""),45685.6666666667)</f>
        <v>45685.6666666667</v>
      </c>
      <c r="B1023" s="2" t="n">
        <f aca="false">IFERROR(__xludf.dummyfunction("""COMPUTED_VALUE"""),396.91)</f>
        <v>396.91</v>
      </c>
      <c r="C1023" s="2" t="n">
        <f aca="false">IFERROR(__xludf.dummyfunction("""COMPUTED_VALUE"""),400.59)</f>
        <v>400.59</v>
      </c>
      <c r="D1023" s="2" t="n">
        <f aca="false">IFERROR(__xludf.dummyfunction("""COMPUTED_VALUE"""),386.5)</f>
        <v>386.5</v>
      </c>
      <c r="E1023" s="2" t="n">
        <f aca="false">IFERROR(__xludf.dummyfunction("""COMPUTED_VALUE"""),398.09)</f>
        <v>398.09</v>
      </c>
      <c r="F1023" s="2" t="n">
        <f aca="false">IFERROR(__xludf.dummyfunction("""COMPUTED_VALUE"""),48910676)</f>
        <v>48910676</v>
      </c>
    </row>
    <row r="1024" customFormat="false" ht="15.75" hidden="false" customHeight="false" outlineLevel="0" collapsed="false">
      <c r="A1024" s="3" t="n">
        <f aca="false">IFERROR(__xludf.dummyfunction("""COMPUTED_VALUE"""),45686.6666666667)</f>
        <v>45686.6666666667</v>
      </c>
      <c r="B1024" s="2" t="n">
        <f aca="false">IFERROR(__xludf.dummyfunction("""COMPUTED_VALUE"""),395.21)</f>
        <v>395.21</v>
      </c>
      <c r="C1024" s="2" t="n">
        <f aca="false">IFERROR(__xludf.dummyfunction("""COMPUTED_VALUE"""),398.59)</f>
        <v>398.59</v>
      </c>
      <c r="D1024" s="2" t="n">
        <f aca="false">IFERROR(__xludf.dummyfunction("""COMPUTED_VALUE"""),384.48)</f>
        <v>384.48</v>
      </c>
      <c r="E1024" s="2" t="n">
        <f aca="false">IFERROR(__xludf.dummyfunction("""COMPUTED_VALUE"""),389.1)</f>
        <v>389.1</v>
      </c>
      <c r="F1024" s="2" t="n">
        <f aca="false">IFERROR(__xludf.dummyfunction("""COMPUTED_VALUE"""),68033648)</f>
        <v>68033648</v>
      </c>
    </row>
    <row r="1025" customFormat="false" ht="15.75" hidden="false" customHeight="false" outlineLevel="0" collapsed="false">
      <c r="A1025" s="3" t="n">
        <f aca="false">IFERROR(__xludf.dummyfunction("""COMPUTED_VALUE"""),45687.6666666667)</f>
        <v>45687.6666666667</v>
      </c>
      <c r="B1025" s="2" t="n">
        <f aca="false">IFERROR(__xludf.dummyfunction("""COMPUTED_VALUE"""),410.78)</f>
        <v>410.78</v>
      </c>
      <c r="C1025" s="2" t="n">
        <f aca="false">IFERROR(__xludf.dummyfunction("""COMPUTED_VALUE"""),412.5)</f>
        <v>412.5</v>
      </c>
      <c r="D1025" s="2" t="n">
        <f aca="false">IFERROR(__xludf.dummyfunction("""COMPUTED_VALUE"""),384.41)</f>
        <v>384.41</v>
      </c>
      <c r="E1025" s="2" t="n">
        <f aca="false">IFERROR(__xludf.dummyfunction("""COMPUTED_VALUE"""),400.28)</f>
        <v>400.28</v>
      </c>
      <c r="F1025" s="2" t="n">
        <f aca="false">IFERROR(__xludf.dummyfunction("""COMPUTED_VALUE"""),98092879)</f>
        <v>98092879</v>
      </c>
    </row>
    <row r="1026" customFormat="false" ht="15.75" hidden="false" customHeight="false" outlineLevel="0" collapsed="false">
      <c r="A1026" s="3" t="n">
        <f aca="false">IFERROR(__xludf.dummyfunction("""COMPUTED_VALUE"""),45688.6666666667)</f>
        <v>45688.6666666667</v>
      </c>
      <c r="B1026" s="2" t="n">
        <f aca="false">IFERROR(__xludf.dummyfunction("""COMPUTED_VALUE"""),401.53)</f>
        <v>401.53</v>
      </c>
      <c r="C1026" s="2" t="n">
        <f aca="false">IFERROR(__xludf.dummyfunction("""COMPUTED_VALUE"""),419.99)</f>
        <v>419.99</v>
      </c>
      <c r="D1026" s="2" t="n">
        <f aca="false">IFERROR(__xludf.dummyfunction("""COMPUTED_VALUE"""),401.34)</f>
        <v>401.34</v>
      </c>
      <c r="E1026" s="2" t="n">
        <f aca="false">IFERROR(__xludf.dummyfunction("""COMPUTED_VALUE"""),404.6)</f>
        <v>404.6</v>
      </c>
      <c r="F1026" s="2" t="n">
        <f aca="false">IFERROR(__xludf.dummyfunction("""COMPUTED_VALUE"""),83568219)</f>
        <v>83568219</v>
      </c>
    </row>
    <row r="1027" customFormat="false" ht="15.75" hidden="false" customHeight="false" outlineLevel="0" collapsed="false">
      <c r="A1027" s="3" t="n">
        <f aca="false">IFERROR(__xludf.dummyfunction("""COMPUTED_VALUE"""),45691.6666666667)</f>
        <v>45691.6666666667</v>
      </c>
      <c r="B1027" s="2" t="n">
        <f aca="false">IFERROR(__xludf.dummyfunction("""COMPUTED_VALUE"""),386.68)</f>
        <v>386.68</v>
      </c>
      <c r="C1027" s="2" t="n">
        <f aca="false">IFERROR(__xludf.dummyfunction("""COMPUTED_VALUE"""),389.17)</f>
        <v>389.17</v>
      </c>
      <c r="D1027" s="2" t="n">
        <f aca="false">IFERROR(__xludf.dummyfunction("""COMPUTED_VALUE"""),374.36)</f>
        <v>374.36</v>
      </c>
      <c r="E1027" s="2" t="n">
        <f aca="false">IFERROR(__xludf.dummyfunction("""COMPUTED_VALUE"""),383.68)</f>
        <v>383.68</v>
      </c>
      <c r="F1027" s="2" t="n">
        <f aca="false">IFERROR(__xludf.dummyfunction("""COMPUTED_VALUE"""),93732122)</f>
        <v>93732122</v>
      </c>
    </row>
    <row r="1028" customFormat="false" ht="15.75" hidden="false" customHeight="false" outlineLevel="0" collapsed="false">
      <c r="A1028" s="3" t="n">
        <f aca="false">IFERROR(__xludf.dummyfunction("""COMPUTED_VALUE"""),45692.6666666667)</f>
        <v>45692.6666666667</v>
      </c>
      <c r="B1028" s="2" t="n">
        <f aca="false">IFERROR(__xludf.dummyfunction("""COMPUTED_VALUE"""),382.63)</f>
        <v>382.63</v>
      </c>
      <c r="C1028" s="2" t="n">
        <f aca="false">IFERROR(__xludf.dummyfunction("""COMPUTED_VALUE"""),394)</f>
        <v>394</v>
      </c>
      <c r="D1028" s="2" t="n">
        <f aca="false">IFERROR(__xludf.dummyfunction("""COMPUTED_VALUE"""),381.4)</f>
        <v>381.4</v>
      </c>
      <c r="E1028" s="2" t="n">
        <f aca="false">IFERROR(__xludf.dummyfunction("""COMPUTED_VALUE"""),392.21)</f>
        <v>392.21</v>
      </c>
      <c r="F1028" s="2" t="n">
        <f aca="false">IFERROR(__xludf.dummyfunction("""COMPUTED_VALUE"""),57072235)</f>
        <v>57072235</v>
      </c>
    </row>
    <row r="1029" customFormat="false" ht="15.75" hidden="false" customHeight="false" outlineLevel="0" collapsed="false">
      <c r="A1029" s="3" t="n">
        <f aca="false">IFERROR(__xludf.dummyfunction("""COMPUTED_VALUE"""),45693.6666666667)</f>
        <v>45693.6666666667</v>
      </c>
      <c r="B1029" s="2" t="n">
        <f aca="false">IFERROR(__xludf.dummyfunction("""COMPUTED_VALUE"""),387.51)</f>
        <v>387.51</v>
      </c>
      <c r="C1029" s="2" t="n">
        <f aca="false">IFERROR(__xludf.dummyfunction("""COMPUTED_VALUE"""),388.39)</f>
        <v>388.39</v>
      </c>
      <c r="D1029" s="2" t="n">
        <f aca="false">IFERROR(__xludf.dummyfunction("""COMPUTED_VALUE"""),375.53)</f>
        <v>375.53</v>
      </c>
      <c r="E1029" s="2" t="n">
        <f aca="false">IFERROR(__xludf.dummyfunction("""COMPUTED_VALUE"""),378.17)</f>
        <v>378.17</v>
      </c>
      <c r="F1029" s="2" t="n">
        <f aca="false">IFERROR(__xludf.dummyfunction("""COMPUTED_VALUE"""),57614721)</f>
        <v>57614721</v>
      </c>
    </row>
    <row r="1030" customFormat="false" ht="15.75" hidden="false" customHeight="false" outlineLevel="0" collapsed="false">
      <c r="A1030" s="3" t="n">
        <f aca="false">IFERROR(__xludf.dummyfunction("""COMPUTED_VALUE"""),45694.6666666667)</f>
        <v>45694.6666666667</v>
      </c>
      <c r="B1030" s="2" t="n">
        <f aca="false">IFERROR(__xludf.dummyfunction("""COMPUTED_VALUE"""),373.03)</f>
        <v>373.03</v>
      </c>
      <c r="C1030" s="2" t="n">
        <f aca="false">IFERROR(__xludf.dummyfunction("""COMPUTED_VALUE"""),375.4)</f>
        <v>375.4</v>
      </c>
      <c r="D1030" s="2" t="n">
        <f aca="false">IFERROR(__xludf.dummyfunction("""COMPUTED_VALUE"""),363.18)</f>
        <v>363.18</v>
      </c>
      <c r="E1030" s="2" t="n">
        <f aca="false">IFERROR(__xludf.dummyfunction("""COMPUTED_VALUE"""),374.32)</f>
        <v>374.32</v>
      </c>
      <c r="F1030" s="2" t="n">
        <f aca="false">IFERROR(__xludf.dummyfunction("""COMPUTED_VALUE"""),77918230)</f>
        <v>77918230</v>
      </c>
    </row>
    <row r="1031" customFormat="false" ht="15.75" hidden="false" customHeight="false" outlineLevel="0" collapsed="false">
      <c r="A1031" s="3" t="n">
        <f aca="false">IFERROR(__xludf.dummyfunction("""COMPUTED_VALUE"""),45695.6666666667)</f>
        <v>45695.6666666667</v>
      </c>
      <c r="B1031" s="2" t="n">
        <f aca="false">IFERROR(__xludf.dummyfunction("""COMPUTED_VALUE"""),370.19)</f>
        <v>370.19</v>
      </c>
      <c r="C1031" s="2" t="n">
        <f aca="false">IFERROR(__xludf.dummyfunction("""COMPUTED_VALUE"""),380.55)</f>
        <v>380.55</v>
      </c>
      <c r="D1031" s="2" t="n">
        <f aca="false">IFERROR(__xludf.dummyfunction("""COMPUTED_VALUE"""),360.34)</f>
        <v>360.34</v>
      </c>
      <c r="E1031" s="2" t="n">
        <f aca="false">IFERROR(__xludf.dummyfunction("""COMPUTED_VALUE"""),361.62)</f>
        <v>361.62</v>
      </c>
      <c r="F1031" s="2" t="n">
        <f aca="false">IFERROR(__xludf.dummyfunction("""COMPUTED_VALUE"""),70298258)</f>
        <v>70298258</v>
      </c>
    </row>
    <row r="1032" customFormat="false" ht="15.75" hidden="false" customHeight="false" outlineLevel="0" collapsed="false">
      <c r="A1032" s="3" t="n">
        <f aca="false">IFERROR(__xludf.dummyfunction("""COMPUTED_VALUE"""),45698.6666666667)</f>
        <v>45698.6666666667</v>
      </c>
      <c r="B1032" s="2" t="n">
        <f aca="false">IFERROR(__xludf.dummyfunction("""COMPUTED_VALUE"""),356.21)</f>
        <v>356.21</v>
      </c>
      <c r="C1032" s="2" t="n">
        <f aca="false">IFERROR(__xludf.dummyfunction("""COMPUTED_VALUE"""),362.7)</f>
        <v>362.7</v>
      </c>
      <c r="D1032" s="2" t="n">
        <f aca="false">IFERROR(__xludf.dummyfunction("""COMPUTED_VALUE"""),350.51)</f>
        <v>350.51</v>
      </c>
      <c r="E1032" s="2" t="n">
        <f aca="false">IFERROR(__xludf.dummyfunction("""COMPUTED_VALUE"""),350.73)</f>
        <v>350.73</v>
      </c>
      <c r="F1032" s="2" t="n">
        <f aca="false">IFERROR(__xludf.dummyfunction("""COMPUTED_VALUE"""),77514903)</f>
        <v>77514903</v>
      </c>
    </row>
    <row r="1033" customFormat="false" ht="15.75" hidden="false" customHeight="false" outlineLevel="0" collapsed="false">
      <c r="A1033" s="3" t="n">
        <f aca="false">IFERROR(__xludf.dummyfunction("""COMPUTED_VALUE"""),45699.6666666667)</f>
        <v>45699.6666666667</v>
      </c>
      <c r="B1033" s="2" t="n">
        <f aca="false">IFERROR(__xludf.dummyfunction("""COMPUTED_VALUE"""),345.8)</f>
        <v>345.8</v>
      </c>
      <c r="C1033" s="2" t="n">
        <f aca="false">IFERROR(__xludf.dummyfunction("""COMPUTED_VALUE"""),349.37)</f>
        <v>349.37</v>
      </c>
      <c r="D1033" s="2" t="n">
        <f aca="false">IFERROR(__xludf.dummyfunction("""COMPUTED_VALUE"""),325.1)</f>
        <v>325.1</v>
      </c>
      <c r="E1033" s="2" t="n">
        <f aca="false">IFERROR(__xludf.dummyfunction("""COMPUTED_VALUE"""),328.5)</f>
        <v>328.5</v>
      </c>
      <c r="F1033" s="2" t="n">
        <f aca="false">IFERROR(__xludf.dummyfunction("""COMPUTED_VALUE"""),118543400)</f>
        <v>118543400</v>
      </c>
    </row>
    <row r="1034" customFormat="false" ht="15.75" hidden="false" customHeight="false" outlineLevel="0" collapsed="false">
      <c r="A1034" s="3" t="n">
        <f aca="false">IFERROR(__xludf.dummyfunction("""COMPUTED_VALUE"""),45700.6666666667)</f>
        <v>45700.6666666667</v>
      </c>
      <c r="B1034" s="2" t="n">
        <f aca="false">IFERROR(__xludf.dummyfunction("""COMPUTED_VALUE"""),329.94)</f>
        <v>329.94</v>
      </c>
      <c r="C1034" s="2" t="n">
        <f aca="false">IFERROR(__xludf.dummyfunction("""COMPUTED_VALUE"""),346.4)</f>
        <v>346.4</v>
      </c>
      <c r="D1034" s="2" t="n">
        <f aca="false">IFERROR(__xludf.dummyfunction("""COMPUTED_VALUE"""),329.12)</f>
        <v>329.12</v>
      </c>
      <c r="E1034" s="2" t="n">
        <f aca="false">IFERROR(__xludf.dummyfunction("""COMPUTED_VALUE"""),336.51)</f>
        <v>336.51</v>
      </c>
      <c r="F1034" s="2" t="n">
        <f aca="false">IFERROR(__xludf.dummyfunction("""COMPUTED_VALUE"""),105382729)</f>
        <v>105382729</v>
      </c>
    </row>
    <row r="1035" customFormat="false" ht="15.75" hidden="false" customHeight="false" outlineLevel="0" collapsed="false">
      <c r="A1035" s="3" t="n">
        <f aca="false">IFERROR(__xludf.dummyfunction("""COMPUTED_VALUE"""),45701.6666666667)</f>
        <v>45701.6666666667</v>
      </c>
      <c r="B1035" s="2" t="n">
        <f aca="false">IFERROR(__xludf.dummyfunction("""COMPUTED_VALUE"""),345)</f>
        <v>345</v>
      </c>
      <c r="C1035" s="2" t="n">
        <f aca="false">IFERROR(__xludf.dummyfunction("""COMPUTED_VALUE"""),358.69)</f>
        <v>358.69</v>
      </c>
      <c r="D1035" s="2" t="n">
        <f aca="false">IFERROR(__xludf.dummyfunction("""COMPUTED_VALUE"""),342.85)</f>
        <v>342.85</v>
      </c>
      <c r="E1035" s="2" t="n">
        <f aca="false">IFERROR(__xludf.dummyfunction("""COMPUTED_VALUE"""),355.94)</f>
        <v>355.94</v>
      </c>
      <c r="F1035" s="2" t="n">
        <f aca="false">IFERROR(__xludf.dummyfunction("""COMPUTED_VALUE"""),89441519)</f>
        <v>89441519</v>
      </c>
    </row>
    <row r="1036" customFormat="false" ht="15.75" hidden="false" customHeight="false" outlineLevel="0" collapsed="false">
      <c r="A1036" s="3" t="n">
        <f aca="false">IFERROR(__xludf.dummyfunction("""COMPUTED_VALUE"""),45702.6666666667)</f>
        <v>45702.6666666667</v>
      </c>
      <c r="B1036" s="2" t="n">
        <f aca="false">IFERROR(__xludf.dummyfunction("""COMPUTED_VALUE"""),360.62)</f>
        <v>360.62</v>
      </c>
      <c r="C1036" s="2" t="n">
        <f aca="false">IFERROR(__xludf.dummyfunction("""COMPUTED_VALUE"""),362)</f>
        <v>362</v>
      </c>
      <c r="D1036" s="2" t="n">
        <f aca="false">IFERROR(__xludf.dummyfunction("""COMPUTED_VALUE"""),347.5)</f>
        <v>347.5</v>
      </c>
      <c r="E1036" s="2" t="n">
        <f aca="false">IFERROR(__xludf.dummyfunction("""COMPUTED_VALUE"""),355.84)</f>
        <v>355.84</v>
      </c>
      <c r="F1036" s="2" t="n">
        <f aca="false">IFERROR(__xludf.dummyfunction("""COMPUTED_VALUE"""),68277279)</f>
        <v>68277279</v>
      </c>
    </row>
    <row r="1037" customFormat="false" ht="15.75" hidden="false" customHeight="false" outlineLevel="0" collapsed="false">
      <c r="A1037" s="3" t="n">
        <f aca="false">IFERROR(__xludf.dummyfunction("""COMPUTED_VALUE"""),45706.6666666667)</f>
        <v>45706.6666666667</v>
      </c>
      <c r="B1037" s="2" t="n">
        <f aca="false">IFERROR(__xludf.dummyfunction("""COMPUTED_VALUE"""),355.01)</f>
        <v>355.01</v>
      </c>
      <c r="C1037" s="2" t="n">
        <f aca="false">IFERROR(__xludf.dummyfunction("""COMPUTED_VALUE"""),359.1)</f>
        <v>359.1</v>
      </c>
      <c r="D1037" s="2" t="n">
        <f aca="false">IFERROR(__xludf.dummyfunction("""COMPUTED_VALUE"""),350.02)</f>
        <v>350.02</v>
      </c>
      <c r="E1037" s="2" t="n">
        <f aca="false">IFERROR(__xludf.dummyfunction("""COMPUTED_VALUE"""),354.11)</f>
        <v>354.11</v>
      </c>
      <c r="F1037" s="2" t="n">
        <f aca="false">IFERROR(__xludf.dummyfunction("""COMPUTED_VALUE"""),51631702)</f>
        <v>51631702</v>
      </c>
    </row>
    <row r="1038" customFormat="false" ht="15.75" hidden="false" customHeight="false" outlineLevel="0" collapsed="false">
      <c r="A1038" s="3" t="n">
        <f aca="false">IFERROR(__xludf.dummyfunction("""COMPUTED_VALUE"""),45707.6666666667)</f>
        <v>45707.6666666667</v>
      </c>
      <c r="B1038" s="2" t="n">
        <f aca="false">IFERROR(__xludf.dummyfunction("""COMPUTED_VALUE"""),354)</f>
        <v>354</v>
      </c>
      <c r="C1038" s="2" t="n">
        <f aca="false">IFERROR(__xludf.dummyfunction("""COMPUTED_VALUE"""),367.34)</f>
        <v>367.34</v>
      </c>
      <c r="D1038" s="2" t="n">
        <f aca="false">IFERROR(__xludf.dummyfunction("""COMPUTED_VALUE"""),353.67)</f>
        <v>353.67</v>
      </c>
      <c r="E1038" s="2" t="n">
        <f aca="false">IFERROR(__xludf.dummyfunction("""COMPUTED_VALUE"""),360.56)</f>
        <v>360.56</v>
      </c>
      <c r="F1038" s="2" t="n">
        <f aca="false">IFERROR(__xludf.dummyfunction("""COMPUTED_VALUE"""),67094374)</f>
        <v>67094374</v>
      </c>
    </row>
    <row r="1039" customFormat="false" ht="15.75" hidden="false" customHeight="false" outlineLevel="0" collapsed="false">
      <c r="A1039" s="3" t="n">
        <f aca="false">IFERROR(__xludf.dummyfunction("""COMPUTED_VALUE"""),45708.6666666667)</f>
        <v>45708.6666666667</v>
      </c>
      <c r="B1039" s="2" t="n">
        <f aca="false">IFERROR(__xludf.dummyfunction("""COMPUTED_VALUE"""),361.51)</f>
        <v>361.51</v>
      </c>
      <c r="C1039" s="2" t="n">
        <f aca="false">IFERROR(__xludf.dummyfunction("""COMPUTED_VALUE"""),362.3)</f>
        <v>362.3</v>
      </c>
      <c r="D1039" s="2" t="n">
        <f aca="false">IFERROR(__xludf.dummyfunction("""COMPUTED_VALUE"""),348)</f>
        <v>348</v>
      </c>
      <c r="E1039" s="2" t="n">
        <f aca="false">IFERROR(__xludf.dummyfunction("""COMPUTED_VALUE"""),354.4)</f>
        <v>354.4</v>
      </c>
      <c r="F1039" s="2" t="n">
        <f aca="false">IFERROR(__xludf.dummyfunction("""COMPUTED_VALUE"""),45965354)</f>
        <v>45965354</v>
      </c>
    </row>
    <row r="1040" customFormat="false" ht="15.75" hidden="false" customHeight="false" outlineLevel="0" collapsed="false">
      <c r="A1040" s="3" t="n">
        <f aca="false">IFERROR(__xludf.dummyfunction("""COMPUTED_VALUE"""),45709.6666666667)</f>
        <v>45709.6666666667</v>
      </c>
      <c r="B1040" s="2" t="n">
        <f aca="false">IFERROR(__xludf.dummyfunction("""COMPUTED_VALUE"""),353.44)</f>
        <v>353.44</v>
      </c>
      <c r="C1040" s="2" t="n">
        <f aca="false">IFERROR(__xludf.dummyfunction("""COMPUTED_VALUE"""),354.98)</f>
        <v>354.98</v>
      </c>
      <c r="D1040" s="2" t="n">
        <f aca="false">IFERROR(__xludf.dummyfunction("""COMPUTED_VALUE"""),334.42)</f>
        <v>334.42</v>
      </c>
      <c r="E1040" s="2" t="n">
        <f aca="false">IFERROR(__xludf.dummyfunction("""COMPUTED_VALUE"""),337.8)</f>
        <v>337.8</v>
      </c>
      <c r="F1040" s="2" t="n">
        <f aca="false">IFERROR(__xludf.dummyfunction("""COMPUTED_VALUE"""),74058648)</f>
        <v>74058648</v>
      </c>
    </row>
    <row r="1041" customFormat="false" ht="15.75" hidden="false" customHeight="false" outlineLevel="0" collapsed="false">
      <c r="A1041" s="3" t="n">
        <f aca="false">IFERROR(__xludf.dummyfunction("""COMPUTED_VALUE"""),45712.6666666667)</f>
        <v>45712.6666666667</v>
      </c>
      <c r="B1041" s="2" t="n">
        <f aca="false">IFERROR(__xludf.dummyfunction("""COMPUTED_VALUE"""),338.14)</f>
        <v>338.14</v>
      </c>
      <c r="C1041" s="2" t="n">
        <f aca="false">IFERROR(__xludf.dummyfunction("""COMPUTED_VALUE"""),342.4)</f>
        <v>342.4</v>
      </c>
      <c r="D1041" s="2" t="n">
        <f aca="false">IFERROR(__xludf.dummyfunction("""COMPUTED_VALUE"""),324.7)</f>
        <v>324.7</v>
      </c>
      <c r="E1041" s="2" t="n">
        <f aca="false">IFERROR(__xludf.dummyfunction("""COMPUTED_VALUE"""),330.53)</f>
        <v>330.53</v>
      </c>
      <c r="F1041" s="2" t="n">
        <f aca="false">IFERROR(__xludf.dummyfunction("""COMPUTED_VALUE"""),76052321)</f>
        <v>76052321</v>
      </c>
    </row>
    <row r="1042" customFormat="false" ht="15.75" hidden="false" customHeight="false" outlineLevel="0" collapsed="false">
      <c r="A1042" s="3" t="n">
        <f aca="false">IFERROR(__xludf.dummyfunction("""COMPUTED_VALUE"""),45713.6666666667)</f>
        <v>45713.6666666667</v>
      </c>
      <c r="B1042" s="2" t="n">
        <f aca="false">IFERROR(__xludf.dummyfunction("""COMPUTED_VALUE"""),327.02)</f>
        <v>327.02</v>
      </c>
      <c r="C1042" s="2" t="n">
        <f aca="false">IFERROR(__xludf.dummyfunction("""COMPUTED_VALUE"""),328.89)</f>
        <v>328.89</v>
      </c>
      <c r="D1042" s="2" t="n">
        <f aca="false">IFERROR(__xludf.dummyfunction("""COMPUTED_VALUE"""),297.25)</f>
        <v>297.25</v>
      </c>
      <c r="E1042" s="2" t="n">
        <f aca="false">IFERROR(__xludf.dummyfunction("""COMPUTED_VALUE"""),302.8)</f>
        <v>302.8</v>
      </c>
      <c r="F1042" s="2" t="n">
        <f aca="false">IFERROR(__xludf.dummyfunction("""COMPUTED_VALUE"""),134228777)</f>
        <v>134228777</v>
      </c>
    </row>
    <row r="1043" customFormat="false" ht="15.75" hidden="false" customHeight="false" outlineLevel="0" collapsed="false">
      <c r="A1043" s="3" t="n">
        <f aca="false">IFERROR(__xludf.dummyfunction("""COMPUTED_VALUE"""),45714.6666666667)</f>
        <v>45714.6666666667</v>
      </c>
      <c r="B1043" s="2" t="n">
        <f aca="false">IFERROR(__xludf.dummyfunction("""COMPUTED_VALUE"""),303.71)</f>
        <v>303.71</v>
      </c>
      <c r="C1043" s="2" t="n">
        <f aca="false">IFERROR(__xludf.dummyfunction("""COMPUTED_VALUE"""),309)</f>
        <v>309</v>
      </c>
      <c r="D1043" s="2" t="n">
        <f aca="false">IFERROR(__xludf.dummyfunction("""COMPUTED_VALUE"""),288.04)</f>
        <v>288.04</v>
      </c>
      <c r="E1043" s="2" t="n">
        <f aca="false">IFERROR(__xludf.dummyfunction("""COMPUTED_VALUE"""),290.8)</f>
        <v>290.8</v>
      </c>
      <c r="F1043" s="2" t="n">
        <f aca="false">IFERROR(__xludf.dummyfunction("""COMPUTED_VALUE"""),100118276)</f>
        <v>100118276</v>
      </c>
    </row>
    <row r="1044" customFormat="false" ht="15.75" hidden="false" customHeight="false" outlineLevel="0" collapsed="false">
      <c r="A1044" s="3" t="n">
        <f aca="false">IFERROR(__xludf.dummyfunction("""COMPUTED_VALUE"""),45715.6666666667)</f>
        <v>45715.6666666667</v>
      </c>
      <c r="B1044" s="2" t="n">
        <f aca="false">IFERROR(__xludf.dummyfunction("""COMPUTED_VALUE"""),291.16)</f>
        <v>291.16</v>
      </c>
      <c r="C1044" s="2" t="n">
        <f aca="false">IFERROR(__xludf.dummyfunction("""COMPUTED_VALUE"""),297.23)</f>
        <v>297.23</v>
      </c>
      <c r="D1044" s="2" t="n">
        <f aca="false">IFERROR(__xludf.dummyfunction("""COMPUTED_VALUE"""),280.88)</f>
        <v>280.88</v>
      </c>
      <c r="E1044" s="2" t="n">
        <f aca="false">IFERROR(__xludf.dummyfunction("""COMPUTED_VALUE"""),281.95)</f>
        <v>281.95</v>
      </c>
      <c r="F1044" s="2" t="n">
        <f aca="false">IFERROR(__xludf.dummyfunction("""COMPUTED_VALUE"""),101748197)</f>
        <v>101748197</v>
      </c>
    </row>
    <row r="1045" customFormat="false" ht="15.75" hidden="false" customHeight="false" outlineLevel="0" collapsed="false">
      <c r="A1045" s="3" t="n">
        <f aca="false">IFERROR(__xludf.dummyfunction("""COMPUTED_VALUE"""),45716.6666666667)</f>
        <v>45716.6666666667</v>
      </c>
      <c r="B1045" s="2" t="n">
        <f aca="false">IFERROR(__xludf.dummyfunction("""COMPUTED_VALUE"""),279.5)</f>
        <v>279.5</v>
      </c>
      <c r="C1045" s="2" t="n">
        <f aca="false">IFERROR(__xludf.dummyfunction("""COMPUTED_VALUE"""),293.88)</f>
        <v>293.88</v>
      </c>
      <c r="D1045" s="2" t="n">
        <f aca="false">IFERROR(__xludf.dummyfunction("""COMPUTED_VALUE"""),273.6)</f>
        <v>273.6</v>
      </c>
      <c r="E1045" s="2" t="n">
        <f aca="false">IFERROR(__xludf.dummyfunction("""COMPUTED_VALUE"""),292.98)</f>
        <v>292.98</v>
      </c>
      <c r="F1045" s="2" t="n">
        <f aca="false">IFERROR(__xludf.dummyfunction("""COMPUTED_VALUE"""),115696968)</f>
        <v>115696968</v>
      </c>
    </row>
    <row r="1046" customFormat="false" ht="15.75" hidden="false" customHeight="false" outlineLevel="0" collapsed="false">
      <c r="A1046" s="3" t="n">
        <f aca="false">IFERROR(__xludf.dummyfunction("""COMPUTED_VALUE"""),45719.6666666667)</f>
        <v>45719.6666666667</v>
      </c>
      <c r="B1046" s="2" t="n">
        <f aca="false">IFERROR(__xludf.dummyfunction("""COMPUTED_VALUE"""),300.34)</f>
        <v>300.34</v>
      </c>
      <c r="C1046" s="2" t="n">
        <f aca="false">IFERROR(__xludf.dummyfunction("""COMPUTED_VALUE"""),303.94)</f>
        <v>303.94</v>
      </c>
      <c r="D1046" s="2" t="n">
        <f aca="false">IFERROR(__xludf.dummyfunction("""COMPUTED_VALUE"""),277.3)</f>
        <v>277.3</v>
      </c>
      <c r="E1046" s="2" t="n">
        <f aca="false">IFERROR(__xludf.dummyfunction("""COMPUTED_VALUE"""),284.65)</f>
        <v>284.65</v>
      </c>
      <c r="F1046" s="2" t="n">
        <f aca="false">IFERROR(__xludf.dummyfunction("""COMPUTED_VALUE"""),115551414)</f>
        <v>115551414</v>
      </c>
    </row>
    <row r="1047" customFormat="false" ht="15.75" hidden="false" customHeight="false" outlineLevel="0" collapsed="false">
      <c r="A1047" s="3" t="n">
        <f aca="false">IFERROR(__xludf.dummyfunction("""COMPUTED_VALUE"""),45720.6666666667)</f>
        <v>45720.6666666667</v>
      </c>
      <c r="B1047" s="2" t="n">
        <f aca="false">IFERROR(__xludf.dummyfunction("""COMPUTED_VALUE"""),270.93)</f>
        <v>270.93</v>
      </c>
      <c r="C1047" s="2" t="n">
        <f aca="false">IFERROR(__xludf.dummyfunction("""COMPUTED_VALUE"""),284.35)</f>
        <v>284.35</v>
      </c>
      <c r="D1047" s="2" t="n">
        <f aca="false">IFERROR(__xludf.dummyfunction("""COMPUTED_VALUE"""),261.84)</f>
        <v>261.84</v>
      </c>
      <c r="E1047" s="2" t="n">
        <f aca="false">IFERROR(__xludf.dummyfunction("""COMPUTED_VALUE"""),272.04)</f>
        <v>272.04</v>
      </c>
      <c r="F1047" s="2" t="n">
        <f aca="false">IFERROR(__xludf.dummyfunction("""COMPUTED_VALUE"""),126706623)</f>
        <v>126706623</v>
      </c>
    </row>
    <row r="1048" customFormat="false" ht="15.75" hidden="false" customHeight="false" outlineLevel="0" collapsed="false">
      <c r="A1048" s="3" t="n">
        <f aca="false">IFERROR(__xludf.dummyfunction("""COMPUTED_VALUE"""),45721.6666666667)</f>
        <v>45721.6666666667</v>
      </c>
      <c r="B1048" s="2" t="n">
        <f aca="false">IFERROR(__xludf.dummyfunction("""COMPUTED_VALUE"""),272.92)</f>
        <v>272.92</v>
      </c>
      <c r="C1048" s="2" t="n">
        <f aca="false">IFERROR(__xludf.dummyfunction("""COMPUTED_VALUE"""),279.55)</f>
        <v>279.55</v>
      </c>
      <c r="D1048" s="2" t="n">
        <f aca="false">IFERROR(__xludf.dummyfunction("""COMPUTED_VALUE"""),267.71)</f>
        <v>267.71</v>
      </c>
      <c r="E1048" s="2" t="n">
        <f aca="false">IFERROR(__xludf.dummyfunction("""COMPUTED_VALUE"""),279.1)</f>
        <v>279.1</v>
      </c>
      <c r="F1048" s="2" t="n">
        <f aca="false">IFERROR(__xludf.dummyfunction("""COMPUTED_VALUE"""),94042913)</f>
        <v>94042913</v>
      </c>
    </row>
    <row r="1049" customFormat="false" ht="15.75" hidden="false" customHeight="false" outlineLevel="0" collapsed="false">
      <c r="A1049" s="3" t="n">
        <f aca="false">IFERROR(__xludf.dummyfunction("""COMPUTED_VALUE"""),45722.6666666667)</f>
        <v>45722.6666666667</v>
      </c>
      <c r="B1049" s="2" t="n">
        <f aca="false">IFERROR(__xludf.dummyfunction("""COMPUTED_VALUE"""),272.06)</f>
        <v>272.06</v>
      </c>
      <c r="C1049" s="2" t="n">
        <f aca="false">IFERROR(__xludf.dummyfunction("""COMPUTED_VALUE"""),272.65)</f>
        <v>272.65</v>
      </c>
      <c r="D1049" s="2" t="n">
        <f aca="false">IFERROR(__xludf.dummyfunction("""COMPUTED_VALUE"""),260.02)</f>
        <v>260.02</v>
      </c>
      <c r="E1049" s="2" t="n">
        <f aca="false">IFERROR(__xludf.dummyfunction("""COMPUTED_VALUE"""),263.45)</f>
        <v>263.45</v>
      </c>
      <c r="F1049" s="2" t="n">
        <f aca="false">IFERROR(__xludf.dummyfunction("""COMPUTED_VALUE"""),98451566)</f>
        <v>98451566</v>
      </c>
    </row>
    <row r="1050" customFormat="false" ht="15.75" hidden="false" customHeight="false" outlineLevel="0" collapsed="false">
      <c r="A1050" s="3" t="n">
        <f aca="false">IFERROR(__xludf.dummyfunction("""COMPUTED_VALUE"""),45723.6666666667)</f>
        <v>45723.6666666667</v>
      </c>
      <c r="B1050" s="2" t="n">
        <f aca="false">IFERROR(__xludf.dummyfunction("""COMPUTED_VALUE"""),259.32)</f>
        <v>259.32</v>
      </c>
      <c r="C1050" s="2" t="n">
        <f aca="false">IFERROR(__xludf.dummyfunction("""COMPUTED_VALUE"""),266.25)</f>
        <v>266.25</v>
      </c>
      <c r="D1050" s="2" t="n">
        <f aca="false">IFERROR(__xludf.dummyfunction("""COMPUTED_VALUE"""),250.73)</f>
        <v>250.73</v>
      </c>
      <c r="E1050" s="2" t="n">
        <f aca="false">IFERROR(__xludf.dummyfunction("""COMPUTED_VALUE"""),262.67)</f>
        <v>262.67</v>
      </c>
      <c r="F1050" s="2" t="n">
        <f aca="false">IFERROR(__xludf.dummyfunction("""COMPUTED_VALUE"""),102369640)</f>
        <v>102369640</v>
      </c>
    </row>
    <row r="1051" customFormat="false" ht="15.75" hidden="false" customHeight="false" outlineLevel="0" collapsed="false">
      <c r="A1051" s="3" t="n">
        <f aca="false">IFERROR(__xludf.dummyfunction("""COMPUTED_VALUE"""),45726.6666666667)</f>
        <v>45726.6666666667</v>
      </c>
      <c r="B1051" s="2" t="n">
        <f aca="false">IFERROR(__xludf.dummyfunction("""COMPUTED_VALUE"""),252.54)</f>
        <v>252.54</v>
      </c>
      <c r="C1051" s="2" t="n">
        <f aca="false">IFERROR(__xludf.dummyfunction("""COMPUTED_VALUE"""),253.37)</f>
        <v>253.37</v>
      </c>
      <c r="D1051" s="2" t="n">
        <f aca="false">IFERROR(__xludf.dummyfunction("""COMPUTED_VALUE"""),220)</f>
        <v>220</v>
      </c>
      <c r="E1051" s="2" t="n">
        <f aca="false">IFERROR(__xludf.dummyfunction("""COMPUTED_VALUE"""),222.15)</f>
        <v>222.15</v>
      </c>
      <c r="F1051" s="2" t="n">
        <f aca="false">IFERROR(__xludf.dummyfunction("""COMPUTED_VALUE"""),189076948)</f>
        <v>189076948</v>
      </c>
    </row>
    <row r="1052" customFormat="false" ht="15.75" hidden="false" customHeight="false" outlineLevel="0" collapsed="false">
      <c r="A1052" s="3" t="n">
        <f aca="false">IFERROR(__xludf.dummyfunction("""COMPUTED_VALUE"""),45727.6666666667)</f>
        <v>45727.6666666667</v>
      </c>
      <c r="B1052" s="2" t="n">
        <f aca="false">IFERROR(__xludf.dummyfunction("""COMPUTED_VALUE"""),225.31)</f>
        <v>225.31</v>
      </c>
      <c r="C1052" s="2" t="n">
        <f aca="false">IFERROR(__xludf.dummyfunction("""COMPUTED_VALUE"""),237.06)</f>
        <v>237.06</v>
      </c>
      <c r="D1052" s="2" t="n">
        <f aca="false">IFERROR(__xludf.dummyfunction("""COMPUTED_VALUE"""),217.02)</f>
        <v>217.02</v>
      </c>
      <c r="E1052" s="2" t="n">
        <f aca="false">IFERROR(__xludf.dummyfunction("""COMPUTED_VALUE"""),230.58)</f>
        <v>230.58</v>
      </c>
      <c r="F1052" s="2" t="n">
        <f aca="false">IFERROR(__xludf.dummyfunction("""COMPUTED_VALUE"""),174896415)</f>
        <v>174896415</v>
      </c>
    </row>
    <row r="1053" customFormat="false" ht="15.75" hidden="false" customHeight="false" outlineLevel="0" collapsed="false">
      <c r="A1053" s="3" t="n">
        <f aca="false">IFERROR(__xludf.dummyfunction("""COMPUTED_VALUE"""),45728.6666666667)</f>
        <v>45728.6666666667</v>
      </c>
      <c r="B1053" s="2" t="n">
        <f aca="false">IFERROR(__xludf.dummyfunction("""COMPUTED_VALUE"""),247.22)</f>
        <v>247.22</v>
      </c>
      <c r="C1053" s="2" t="n">
        <f aca="false">IFERROR(__xludf.dummyfunction("""COMPUTED_VALUE"""),251.84)</f>
        <v>251.84</v>
      </c>
      <c r="D1053" s="2" t="n">
        <f aca="false">IFERROR(__xludf.dummyfunction("""COMPUTED_VALUE"""),241.1)</f>
        <v>241.1</v>
      </c>
      <c r="E1053" s="2" t="n">
        <f aca="false">IFERROR(__xludf.dummyfunction("""COMPUTED_VALUE"""),248.09)</f>
        <v>248.09</v>
      </c>
      <c r="F1053" s="2" t="n">
        <f aca="false">IFERROR(__xludf.dummyfunction("""COMPUTED_VALUE"""),142215681)</f>
        <v>142215681</v>
      </c>
    </row>
    <row r="1054" customFormat="false" ht="15.75" hidden="false" customHeight="false" outlineLevel="0" collapsed="false">
      <c r="A1054" s="3" t="n">
        <f aca="false">IFERROR(__xludf.dummyfunction("""COMPUTED_VALUE"""),45729.6666666667)</f>
        <v>45729.6666666667</v>
      </c>
      <c r="B1054" s="2" t="n">
        <f aca="false">IFERROR(__xludf.dummyfunction("""COMPUTED_VALUE"""),248.13)</f>
        <v>248.13</v>
      </c>
      <c r="C1054" s="2" t="n">
        <f aca="false">IFERROR(__xludf.dummyfunction("""COMPUTED_VALUE"""),248.29)</f>
        <v>248.29</v>
      </c>
      <c r="D1054" s="2" t="n">
        <f aca="false">IFERROR(__xludf.dummyfunction("""COMPUTED_VALUE"""),232.6)</f>
        <v>232.6</v>
      </c>
      <c r="E1054" s="2" t="n">
        <f aca="false">IFERROR(__xludf.dummyfunction("""COMPUTED_VALUE"""),240.68)</f>
        <v>240.68</v>
      </c>
      <c r="F1054" s="2" t="n">
        <f aca="false">IFERROR(__xludf.dummyfunction("""COMPUTED_VALUE"""),114813525)</f>
        <v>114813525</v>
      </c>
    </row>
    <row r="1055" customFormat="false" ht="15.75" hidden="false" customHeight="false" outlineLevel="0" collapsed="false">
      <c r="A1055" s="3" t="n">
        <f aca="false">IFERROR(__xludf.dummyfunction("""COMPUTED_VALUE"""),45730.6666666667)</f>
        <v>45730.6666666667</v>
      </c>
      <c r="B1055" s="2" t="n">
        <f aca="false">IFERROR(__xludf.dummyfunction("""COMPUTED_VALUE"""),247.31)</f>
        <v>247.31</v>
      </c>
      <c r="C1055" s="2" t="n">
        <f aca="false">IFERROR(__xludf.dummyfunction("""COMPUTED_VALUE"""),251.58)</f>
        <v>251.58</v>
      </c>
      <c r="D1055" s="2" t="n">
        <f aca="false">IFERROR(__xludf.dummyfunction("""COMPUTED_VALUE"""),240.73)</f>
        <v>240.73</v>
      </c>
      <c r="E1055" s="2" t="n">
        <f aca="false">IFERROR(__xludf.dummyfunction("""COMPUTED_VALUE"""),249.98)</f>
        <v>249.98</v>
      </c>
      <c r="F1055" s="2" t="n">
        <f aca="false">IFERROR(__xludf.dummyfunction("""COMPUTED_VALUE"""),100242264)</f>
        <v>100242264</v>
      </c>
    </row>
    <row r="1056" customFormat="false" ht="15.75" hidden="false" customHeight="false" outlineLevel="0" collapsed="false">
      <c r="A1056" s="3" t="n">
        <f aca="false">IFERROR(__xludf.dummyfunction("""COMPUTED_VALUE"""),45733.6666666667)</f>
        <v>45733.6666666667</v>
      </c>
      <c r="B1056" s="2" t="n">
        <f aca="false">IFERROR(__xludf.dummyfunction("""COMPUTED_VALUE"""),245.06)</f>
        <v>245.06</v>
      </c>
      <c r="C1056" s="2" t="n">
        <f aca="false">IFERROR(__xludf.dummyfunction("""COMPUTED_VALUE"""),245.4)</f>
        <v>245.4</v>
      </c>
      <c r="D1056" s="2" t="n">
        <f aca="false">IFERROR(__xludf.dummyfunction("""COMPUTED_VALUE"""),232.8)</f>
        <v>232.8</v>
      </c>
      <c r="E1056" s="2" t="n">
        <f aca="false">IFERROR(__xludf.dummyfunction("""COMPUTED_VALUE"""),238.01)</f>
        <v>238.01</v>
      </c>
      <c r="F1056" s="2" t="n">
        <f aca="false">IFERROR(__xludf.dummyfunction("""COMPUTED_VALUE"""),111900565)</f>
        <v>111900565</v>
      </c>
    </row>
    <row r="1057" customFormat="false" ht="15.75" hidden="false" customHeight="false" outlineLevel="0" collapsed="false">
      <c r="A1057" s="3" t="n">
        <f aca="false">IFERROR(__xludf.dummyfunction("""COMPUTED_VALUE"""),45734.6666666667)</f>
        <v>45734.6666666667</v>
      </c>
      <c r="B1057" s="2" t="n">
        <f aca="false">IFERROR(__xludf.dummyfunction("""COMPUTED_VALUE"""),228.16)</f>
        <v>228.16</v>
      </c>
      <c r="C1057" s="2" t="n">
        <f aca="false">IFERROR(__xludf.dummyfunction("""COMPUTED_VALUE"""),230.1)</f>
        <v>230.1</v>
      </c>
      <c r="D1057" s="2" t="n">
        <f aca="false">IFERROR(__xludf.dummyfunction("""COMPUTED_VALUE"""),222.28)</f>
        <v>222.28</v>
      </c>
      <c r="E1057" s="2" t="n">
        <f aca="false">IFERROR(__xludf.dummyfunction("""COMPUTED_VALUE"""),225.31)</f>
        <v>225.31</v>
      </c>
      <c r="F1057" s="2" t="n">
        <f aca="false">IFERROR(__xludf.dummyfunction("""COMPUTED_VALUE"""),111477636)</f>
        <v>111477636</v>
      </c>
    </row>
    <row r="1058" customFormat="false" ht="15.75" hidden="false" customHeight="false" outlineLevel="0" collapsed="false">
      <c r="A1058" s="3" t="n">
        <f aca="false">IFERROR(__xludf.dummyfunction("""COMPUTED_VALUE"""),45735.6666666667)</f>
        <v>45735.6666666667</v>
      </c>
      <c r="B1058" s="2" t="n">
        <f aca="false">IFERROR(__xludf.dummyfunction("""COMPUTED_VALUE"""),231.61)</f>
        <v>231.61</v>
      </c>
      <c r="C1058" s="2" t="n">
        <f aca="false">IFERROR(__xludf.dummyfunction("""COMPUTED_VALUE"""),241.41)</f>
        <v>241.41</v>
      </c>
      <c r="D1058" s="2" t="n">
        <f aca="false">IFERROR(__xludf.dummyfunction("""COMPUTED_VALUE"""),229.2)</f>
        <v>229.2</v>
      </c>
      <c r="E1058" s="2" t="n">
        <f aca="false">IFERROR(__xludf.dummyfunction("""COMPUTED_VALUE"""),235.86)</f>
        <v>235.86</v>
      </c>
      <c r="F1058" s="2" t="n">
        <f aca="false">IFERROR(__xludf.dummyfunction("""COMPUTED_VALUE"""),111993753)</f>
        <v>111993753</v>
      </c>
    </row>
    <row r="1059" customFormat="false" ht="15.75" hidden="false" customHeight="false" outlineLevel="0" collapsed="false">
      <c r="A1059" s="3" t="n">
        <f aca="false">IFERROR(__xludf.dummyfunction("""COMPUTED_VALUE"""),45736.6666666667)</f>
        <v>45736.6666666667</v>
      </c>
      <c r="B1059" s="2" t="n">
        <f aca="false">IFERROR(__xludf.dummyfunction("""COMPUTED_VALUE"""),233.35)</f>
        <v>233.35</v>
      </c>
      <c r="C1059" s="2" t="n">
        <f aca="false">IFERROR(__xludf.dummyfunction("""COMPUTED_VALUE"""),238)</f>
        <v>238</v>
      </c>
      <c r="D1059" s="2" t="n">
        <f aca="false">IFERROR(__xludf.dummyfunction("""COMPUTED_VALUE"""),230.05)</f>
        <v>230.05</v>
      </c>
      <c r="E1059" s="2" t="n">
        <f aca="false">IFERROR(__xludf.dummyfunction("""COMPUTED_VALUE"""),236.26)</f>
        <v>236.26</v>
      </c>
      <c r="F1059" s="2" t="n">
        <f aca="false">IFERROR(__xludf.dummyfunction("""COMPUTED_VALUE"""),99028270)</f>
        <v>99028270</v>
      </c>
    </row>
    <row r="1060" customFormat="false" ht="15.75" hidden="false" customHeight="false" outlineLevel="0" collapsed="false">
      <c r="A1060" s="3" t="n">
        <f aca="false">IFERROR(__xludf.dummyfunction("""COMPUTED_VALUE"""),45737.6666666667)</f>
        <v>45737.6666666667</v>
      </c>
      <c r="B1060" s="2" t="n">
        <f aca="false">IFERROR(__xludf.dummyfunction("""COMPUTED_VALUE"""),234.99)</f>
        <v>234.99</v>
      </c>
      <c r="C1060" s="2" t="n">
        <f aca="false">IFERROR(__xludf.dummyfunction("""COMPUTED_VALUE"""),249.52)</f>
        <v>249.52</v>
      </c>
      <c r="D1060" s="2" t="n">
        <f aca="false">IFERROR(__xludf.dummyfunction("""COMPUTED_VALUE"""),234.55)</f>
        <v>234.55</v>
      </c>
      <c r="E1060" s="2" t="n">
        <f aca="false">IFERROR(__xludf.dummyfunction("""COMPUTED_VALUE"""),248.71)</f>
        <v>248.71</v>
      </c>
      <c r="F1060" s="2" t="n">
        <f aca="false">IFERROR(__xludf.dummyfunction("""COMPUTED_VALUE"""),132728684)</f>
        <v>132728684</v>
      </c>
    </row>
    <row r="1061" customFormat="false" ht="15.75" hidden="false" customHeight="false" outlineLevel="0" collapsed="false">
      <c r="A1061" s="3" t="n">
        <f aca="false">IFERROR(__xludf.dummyfunction("""COMPUTED_VALUE"""),45740.6666666667)</f>
        <v>45740.6666666667</v>
      </c>
      <c r="B1061" s="2" t="n">
        <f aca="false">IFERROR(__xludf.dummyfunction("""COMPUTED_VALUE"""),258.08)</f>
        <v>258.08</v>
      </c>
      <c r="C1061" s="2" t="n">
        <f aca="false">IFERROR(__xludf.dummyfunction("""COMPUTED_VALUE"""),278.64)</f>
        <v>278.64</v>
      </c>
      <c r="D1061" s="2" t="n">
        <f aca="false">IFERROR(__xludf.dummyfunction("""COMPUTED_VALUE"""),256.33)</f>
        <v>256.33</v>
      </c>
      <c r="E1061" s="2" t="n">
        <f aca="false">IFERROR(__xludf.dummyfunction("""COMPUTED_VALUE"""),278.39)</f>
        <v>278.39</v>
      </c>
      <c r="F1061" s="2" t="n">
        <f aca="false">IFERROR(__xludf.dummyfunction("""COMPUTED_VALUE"""),169079865)</f>
        <v>169079865</v>
      </c>
    </row>
    <row r="1062" customFormat="false" ht="15.75" hidden="false" customHeight="false" outlineLevel="0" collapsed="false">
      <c r="A1062" s="3" t="n">
        <f aca="false">IFERROR(__xludf.dummyfunction("""COMPUTED_VALUE"""),45741.6666666667)</f>
        <v>45741.6666666667</v>
      </c>
      <c r="B1062" s="2" t="n">
        <f aca="false">IFERROR(__xludf.dummyfunction("""COMPUTED_VALUE"""),283.6)</f>
        <v>283.6</v>
      </c>
      <c r="C1062" s="2" t="n">
        <f aca="false">IFERROR(__xludf.dummyfunction("""COMPUTED_VALUE"""),288.2)</f>
        <v>288.2</v>
      </c>
      <c r="D1062" s="2" t="n">
        <f aca="false">IFERROR(__xludf.dummyfunction("""COMPUTED_VALUE"""),271.28)</f>
        <v>271.28</v>
      </c>
      <c r="E1062" s="2" t="n">
        <f aca="false">IFERROR(__xludf.dummyfunction("""COMPUTED_VALUE"""),288.14)</f>
        <v>288.14</v>
      </c>
      <c r="F1062" s="2" t="n">
        <f aca="false">IFERROR(__xludf.dummyfunction("""COMPUTED_VALUE"""),150361538)</f>
        <v>150361538</v>
      </c>
    </row>
    <row r="1063" customFormat="false" ht="15.75" hidden="false" customHeight="false" outlineLevel="0" collapsed="false">
      <c r="A1063" s="3" t="n">
        <f aca="false">IFERROR(__xludf.dummyfunction("""COMPUTED_VALUE"""),45742.6666666667)</f>
        <v>45742.6666666667</v>
      </c>
      <c r="B1063" s="2" t="n">
        <f aca="false">IFERROR(__xludf.dummyfunction("""COMPUTED_VALUE"""),282.66)</f>
        <v>282.66</v>
      </c>
      <c r="C1063" s="2" t="n">
        <f aca="false">IFERROR(__xludf.dummyfunction("""COMPUTED_VALUE"""),284.9)</f>
        <v>284.9</v>
      </c>
      <c r="D1063" s="2" t="n">
        <f aca="false">IFERROR(__xludf.dummyfunction("""COMPUTED_VALUE"""),266.51)</f>
        <v>266.51</v>
      </c>
      <c r="E1063" s="2" t="n">
        <f aca="false">IFERROR(__xludf.dummyfunction("""COMPUTED_VALUE"""),272.06)</f>
        <v>272.06</v>
      </c>
      <c r="F1063" s="2" t="n">
        <f aca="false">IFERROR(__xludf.dummyfunction("""COMPUTED_VALUE"""),156254441)</f>
        <v>156254441</v>
      </c>
    </row>
    <row r="1064" customFormat="false" ht="15.75" hidden="false" customHeight="false" outlineLevel="0" collapsed="false">
      <c r="A1064" s="3" t="n">
        <f aca="false">IFERROR(__xludf.dummyfunction("""COMPUTED_VALUE"""),45743.6666666667)</f>
        <v>45743.6666666667</v>
      </c>
      <c r="B1064" s="2" t="n">
        <f aca="false">IFERROR(__xludf.dummyfunction("""COMPUTED_VALUE"""),272.48)</f>
        <v>272.48</v>
      </c>
      <c r="C1064" s="2" t="n">
        <f aca="false">IFERROR(__xludf.dummyfunction("""COMPUTED_VALUE"""),291.85)</f>
        <v>291.85</v>
      </c>
      <c r="D1064" s="2" t="n">
        <f aca="false">IFERROR(__xludf.dummyfunction("""COMPUTED_VALUE"""),271.82)</f>
        <v>271.82</v>
      </c>
      <c r="E1064" s="2" t="n">
        <f aca="false">IFERROR(__xludf.dummyfunction("""COMPUTED_VALUE"""),273.13)</f>
        <v>273.13</v>
      </c>
      <c r="F1064" s="2" t="n">
        <f aca="false">IFERROR(__xludf.dummyfunction("""COMPUTED_VALUE"""),162572146)</f>
        <v>162572146</v>
      </c>
    </row>
    <row r="1065" customFormat="false" ht="15.75" hidden="false" customHeight="false" outlineLevel="0" collapsed="false">
      <c r="A1065" s="3" t="n">
        <f aca="false">IFERROR(__xludf.dummyfunction("""COMPUTED_VALUE"""),45744.6666666667)</f>
        <v>45744.6666666667</v>
      </c>
      <c r="B1065" s="2" t="n">
        <f aca="false">IFERROR(__xludf.dummyfunction("""COMPUTED_VALUE"""),275.58)</f>
        <v>275.58</v>
      </c>
      <c r="C1065" s="2" t="n">
        <f aca="false">IFERROR(__xludf.dummyfunction("""COMPUTED_VALUE"""),276.1)</f>
        <v>276.1</v>
      </c>
      <c r="D1065" s="2" t="n">
        <f aca="false">IFERROR(__xludf.dummyfunction("""COMPUTED_VALUE"""),260.57)</f>
        <v>260.57</v>
      </c>
      <c r="E1065" s="2" t="n">
        <f aca="false">IFERROR(__xludf.dummyfunction("""COMPUTED_VALUE"""),263.55)</f>
        <v>263.55</v>
      </c>
      <c r="F1065" s="2" t="n">
        <f aca="false">IFERROR(__xludf.dummyfunction("""COMPUTED_VALUE"""),123809389)</f>
        <v>123809389</v>
      </c>
    </row>
    <row r="1066" customFormat="false" ht="15.75" hidden="false" customHeight="false" outlineLevel="0" collapsed="false">
      <c r="A1066" s="3" t="n">
        <f aca="false">IFERROR(__xludf.dummyfunction("""COMPUTED_VALUE"""),45747.6666666667)</f>
        <v>45747.6666666667</v>
      </c>
      <c r="B1066" s="2" t="n">
        <f aca="false">IFERROR(__xludf.dummyfunction("""COMPUTED_VALUE"""),249.31)</f>
        <v>249.31</v>
      </c>
      <c r="C1066" s="2" t="n">
        <f aca="false">IFERROR(__xludf.dummyfunction("""COMPUTED_VALUE"""),260.56)</f>
        <v>260.56</v>
      </c>
      <c r="D1066" s="2" t="n">
        <f aca="false">IFERROR(__xludf.dummyfunction("""COMPUTED_VALUE"""),243.36)</f>
        <v>243.36</v>
      </c>
      <c r="E1066" s="2" t="n">
        <f aca="false">IFERROR(__xludf.dummyfunction("""COMPUTED_VALUE"""),259.16)</f>
        <v>259.16</v>
      </c>
      <c r="F1066" s="2" t="n">
        <f aca="false">IFERROR(__xludf.dummyfunction("""COMPUTED_VALUE"""),134008936)</f>
        <v>134008936</v>
      </c>
    </row>
    <row r="1067" customFormat="false" ht="15.75" hidden="false" customHeight="false" outlineLevel="0" collapsed="false">
      <c r="A1067" s="3" t="n">
        <f aca="false">IFERROR(__xludf.dummyfunction("""COMPUTED_VALUE"""),45748.6666666667)</f>
        <v>45748.6666666667</v>
      </c>
      <c r="B1067" s="2" t="n">
        <f aca="false">IFERROR(__xludf.dummyfunction("""COMPUTED_VALUE"""),263.8)</f>
        <v>263.8</v>
      </c>
      <c r="C1067" s="2" t="n">
        <f aca="false">IFERROR(__xludf.dummyfunction("""COMPUTED_VALUE"""),277.45)</f>
        <v>277.45</v>
      </c>
      <c r="D1067" s="2" t="n">
        <f aca="false">IFERROR(__xludf.dummyfunction("""COMPUTED_VALUE"""),259.25)</f>
        <v>259.25</v>
      </c>
      <c r="E1067" s="2" t="n">
        <f aca="false">IFERROR(__xludf.dummyfunction("""COMPUTED_VALUE"""),268.46)</f>
        <v>268.46</v>
      </c>
      <c r="F1067" s="2" t="n">
        <f aca="false">IFERROR(__xludf.dummyfunction("""COMPUTED_VALUE"""),146486911)</f>
        <v>146486911</v>
      </c>
    </row>
    <row r="1068" customFormat="false" ht="15.75" hidden="false" customHeight="false" outlineLevel="0" collapsed="false">
      <c r="A1068" s="3" t="n">
        <f aca="false">IFERROR(__xludf.dummyfunction("""COMPUTED_VALUE"""),45749.6666666667)</f>
        <v>45749.6666666667</v>
      </c>
      <c r="B1068" s="2" t="n">
        <f aca="false">IFERROR(__xludf.dummyfunction("""COMPUTED_VALUE"""),254.6)</f>
        <v>254.6</v>
      </c>
      <c r="C1068" s="2" t="n">
        <f aca="false">IFERROR(__xludf.dummyfunction("""COMPUTED_VALUE"""),284.99)</f>
        <v>284.99</v>
      </c>
      <c r="D1068" s="2" t="n">
        <f aca="false">IFERROR(__xludf.dummyfunction("""COMPUTED_VALUE"""),251.27)</f>
        <v>251.27</v>
      </c>
      <c r="E1068" s="2" t="n">
        <f aca="false">IFERROR(__xludf.dummyfunction("""COMPUTED_VALUE"""),282.76)</f>
        <v>282.76</v>
      </c>
      <c r="F1068" s="2" t="n">
        <f aca="false">IFERROR(__xludf.dummyfunction("""COMPUTED_VALUE"""),212787817)</f>
        <v>212787817</v>
      </c>
    </row>
    <row r="1069" customFormat="false" ht="15.75" hidden="false" customHeight="false" outlineLevel="0" collapsed="false">
      <c r="A1069" s="3" t="n">
        <f aca="false">IFERROR(__xludf.dummyfunction("""COMPUTED_VALUE"""),45750.6666666667)</f>
        <v>45750.6666666667</v>
      </c>
      <c r="B1069" s="2" t="n">
        <f aca="false">IFERROR(__xludf.dummyfunction("""COMPUTED_VALUE"""),265.29)</f>
        <v>265.29</v>
      </c>
      <c r="C1069" s="2" t="n">
        <f aca="false">IFERROR(__xludf.dummyfunction("""COMPUTED_VALUE"""),276.3)</f>
        <v>276.3</v>
      </c>
      <c r="D1069" s="2" t="n">
        <f aca="false">IFERROR(__xludf.dummyfunction("""COMPUTED_VALUE"""),261.51)</f>
        <v>261.51</v>
      </c>
      <c r="E1069" s="2" t="n">
        <f aca="false">IFERROR(__xludf.dummyfunction("""COMPUTED_VALUE"""),267.28)</f>
        <v>267.28</v>
      </c>
      <c r="F1069" s="2" t="n">
        <f aca="false">IFERROR(__xludf.dummyfunction("""COMPUTED_VALUE"""),136174291)</f>
        <v>136174291</v>
      </c>
    </row>
    <row r="1070" customFormat="false" ht="15.75" hidden="false" customHeight="false" outlineLevel="0" collapsed="false">
      <c r="A1070" s="3" t="n">
        <f aca="false">IFERROR(__xludf.dummyfunction("""COMPUTED_VALUE"""),45751.6666666667)</f>
        <v>45751.6666666667</v>
      </c>
      <c r="B1070" s="2" t="n">
        <f aca="false">IFERROR(__xludf.dummyfunction("""COMPUTED_VALUE"""),255.38)</f>
        <v>255.38</v>
      </c>
      <c r="C1070" s="2" t="n">
        <f aca="false">IFERROR(__xludf.dummyfunction("""COMPUTED_VALUE"""),261)</f>
        <v>261</v>
      </c>
      <c r="D1070" s="2" t="n">
        <f aca="false">IFERROR(__xludf.dummyfunction("""COMPUTED_VALUE"""),236)</f>
        <v>236</v>
      </c>
      <c r="E1070" s="2" t="n">
        <f aca="false">IFERROR(__xludf.dummyfunction("""COMPUTED_VALUE"""),239.43)</f>
        <v>239.43</v>
      </c>
      <c r="F1070" s="2" t="n">
        <f aca="false">IFERROR(__xludf.dummyfunction("""COMPUTED_VALUE"""),181229353)</f>
        <v>181229353</v>
      </c>
    </row>
    <row r="1071" customFormat="false" ht="15.75" hidden="false" customHeight="false" outlineLevel="0" collapsed="false">
      <c r="A1071" s="3" t="n">
        <f aca="false">IFERROR(__xludf.dummyfunction("""COMPUTED_VALUE"""),45754.6666666667)</f>
        <v>45754.6666666667</v>
      </c>
      <c r="B1071" s="2" t="n">
        <f aca="false">IFERROR(__xludf.dummyfunction("""COMPUTED_VALUE"""),223.78)</f>
        <v>223.78</v>
      </c>
      <c r="C1071" s="2" t="n">
        <f aca="false">IFERROR(__xludf.dummyfunction("""COMPUTED_VALUE"""),252)</f>
        <v>252</v>
      </c>
      <c r="D1071" s="2" t="n">
        <f aca="false">IFERROR(__xludf.dummyfunction("""COMPUTED_VALUE"""),214.25)</f>
        <v>214.25</v>
      </c>
      <c r="E1071" s="2" t="n">
        <f aca="false">IFERROR(__xludf.dummyfunction("""COMPUTED_VALUE"""),233.29)</f>
        <v>233.29</v>
      </c>
      <c r="F1071" s="2" t="n">
        <f aca="false">IFERROR(__xludf.dummyfunction("""COMPUTED_VALUE"""),183453776)</f>
        <v>183453776</v>
      </c>
    </row>
    <row r="1072" customFormat="false" ht="15.75" hidden="false" customHeight="false" outlineLevel="0" collapsed="false">
      <c r="A1072" s="3" t="n">
        <f aca="false">IFERROR(__xludf.dummyfunction("""COMPUTED_VALUE"""),45755.6666666667)</f>
        <v>45755.6666666667</v>
      </c>
      <c r="B1072" s="2" t="n">
        <f aca="false">IFERROR(__xludf.dummyfunction("""COMPUTED_VALUE"""),245)</f>
        <v>245</v>
      </c>
      <c r="C1072" s="2" t="n">
        <f aca="false">IFERROR(__xludf.dummyfunction("""COMPUTED_VALUE"""),250.44)</f>
        <v>250.44</v>
      </c>
      <c r="D1072" s="2" t="n">
        <f aca="false">IFERROR(__xludf.dummyfunction("""COMPUTED_VALUE"""),217.8)</f>
        <v>217.8</v>
      </c>
      <c r="E1072" s="2" t="n">
        <f aca="false">IFERROR(__xludf.dummyfunction("""COMPUTED_VALUE"""),221.86)</f>
        <v>221.86</v>
      </c>
      <c r="F1072" s="2" t="n">
        <f aca="false">IFERROR(__xludf.dummyfunction("""COMPUTED_VALUE"""),171603472)</f>
        <v>171603472</v>
      </c>
    </row>
    <row r="1073" customFormat="false" ht="15.75" hidden="false" customHeight="false" outlineLevel="0" collapsed="false">
      <c r="A1073" s="3" t="n">
        <f aca="false">IFERROR(__xludf.dummyfunction("""COMPUTED_VALUE"""),45756.6666666667)</f>
        <v>45756.6666666667</v>
      </c>
      <c r="B1073" s="2" t="n">
        <f aca="false">IFERROR(__xludf.dummyfunction("""COMPUTED_VALUE"""),224.69)</f>
        <v>224.69</v>
      </c>
      <c r="C1073" s="2" t="n">
        <f aca="false">IFERROR(__xludf.dummyfunction("""COMPUTED_VALUE"""),274.69)</f>
        <v>274.69</v>
      </c>
      <c r="D1073" s="2" t="n">
        <f aca="false">IFERROR(__xludf.dummyfunction("""COMPUTED_VALUE"""),223.88)</f>
        <v>223.88</v>
      </c>
      <c r="E1073" s="2" t="n">
        <f aca="false">IFERROR(__xludf.dummyfunction("""COMPUTED_VALUE"""),272.2)</f>
        <v>272.2</v>
      </c>
      <c r="F1073" s="2" t="n">
        <f aca="false">IFERROR(__xludf.dummyfunction("""COMPUTED_VALUE"""),219433373)</f>
        <v>219433373</v>
      </c>
    </row>
    <row r="1074" customFormat="false" ht="15.75" hidden="false" customHeight="false" outlineLevel="0" collapsed="false">
      <c r="A1074" s="3" t="n">
        <f aca="false">IFERROR(__xludf.dummyfunction("""COMPUTED_VALUE"""),45757.6666666667)</f>
        <v>45757.6666666667</v>
      </c>
      <c r="B1074" s="2" t="n">
        <f aca="false">IFERROR(__xludf.dummyfunction("""COMPUTED_VALUE"""),260)</f>
        <v>260</v>
      </c>
      <c r="C1074" s="2" t="n">
        <f aca="false">IFERROR(__xludf.dummyfunction("""COMPUTED_VALUE"""),262.49)</f>
        <v>262.49</v>
      </c>
      <c r="D1074" s="2" t="n">
        <f aca="false">IFERROR(__xludf.dummyfunction("""COMPUTED_VALUE"""),239.33)</f>
        <v>239.33</v>
      </c>
      <c r="E1074" s="2" t="n">
        <f aca="false">IFERROR(__xludf.dummyfunction("""COMPUTED_VALUE"""),252.4)</f>
        <v>252.4</v>
      </c>
      <c r="F1074" s="2" t="n">
        <f aca="false">IFERROR(__xludf.dummyfunction("""COMPUTED_VALUE"""),181722604)</f>
        <v>181722604</v>
      </c>
    </row>
    <row r="1075" customFormat="false" ht="15.75" hidden="false" customHeight="false" outlineLevel="0" collapsed="false">
      <c r="A1075" s="3" t="n">
        <f aca="false">IFERROR(__xludf.dummyfunction("""COMPUTED_VALUE"""),45758.6666666667)</f>
        <v>45758.6666666667</v>
      </c>
      <c r="B1075" s="2" t="n">
        <f aca="false">IFERROR(__xludf.dummyfunction("""COMPUTED_VALUE"""),251.84)</f>
        <v>251.84</v>
      </c>
      <c r="C1075" s="2" t="n">
        <f aca="false">IFERROR(__xludf.dummyfunction("""COMPUTED_VALUE"""),257.74)</f>
        <v>257.74</v>
      </c>
      <c r="D1075" s="2" t="n">
        <f aca="false">IFERROR(__xludf.dummyfunction("""COMPUTED_VALUE"""),241.36)</f>
        <v>241.36</v>
      </c>
      <c r="E1075" s="2" t="n">
        <f aca="false">IFERROR(__xludf.dummyfunction("""COMPUTED_VALUE"""),252.31)</f>
        <v>252.31</v>
      </c>
      <c r="F1075" s="2" t="n">
        <f aca="false">IFERROR(__xludf.dummyfunction("""COMPUTED_VALUE"""),128948085)</f>
        <v>128948085</v>
      </c>
    </row>
    <row r="1076" customFormat="false" ht="15.75" hidden="false" customHeight="false" outlineLevel="0" collapsed="false">
      <c r="A1076" s="3" t="n">
        <f aca="false">IFERROR(__xludf.dummyfunction("""COMPUTED_VALUE"""),45761.6666666667)</f>
        <v>45761.6666666667</v>
      </c>
      <c r="B1076" s="2" t="n">
        <f aca="false">IFERROR(__xludf.dummyfunction("""COMPUTED_VALUE"""),258.36)</f>
        <v>258.36</v>
      </c>
      <c r="C1076" s="2" t="n">
        <f aca="false">IFERROR(__xludf.dummyfunction("""COMPUTED_VALUE"""),261.8)</f>
        <v>261.8</v>
      </c>
      <c r="D1076" s="2" t="n">
        <f aca="false">IFERROR(__xludf.dummyfunction("""COMPUTED_VALUE"""),245.93)</f>
        <v>245.93</v>
      </c>
      <c r="E1076" s="2" t="n">
        <f aca="false">IFERROR(__xludf.dummyfunction("""COMPUTED_VALUE"""),252.35)</f>
        <v>252.35</v>
      </c>
      <c r="F1076" s="2" t="n">
        <f aca="false">IFERROR(__xludf.dummyfunction("""COMPUTED_VALUE"""),100135241)</f>
        <v>100135241</v>
      </c>
    </row>
    <row r="1077" customFormat="false" ht="15.75" hidden="false" customHeight="false" outlineLevel="0" collapsed="false">
      <c r="A1077" s="3" t="n">
        <f aca="false">IFERROR(__xludf.dummyfunction("""COMPUTED_VALUE"""),45762.6666666667)</f>
        <v>45762.6666666667</v>
      </c>
      <c r="B1077" s="2" t="n">
        <f aca="false">IFERROR(__xludf.dummyfunction("""COMPUTED_VALUE"""),249.91)</f>
        <v>249.91</v>
      </c>
      <c r="C1077" s="2" t="n">
        <f aca="false">IFERROR(__xludf.dummyfunction("""COMPUTED_VALUE"""),258.75)</f>
        <v>258.75</v>
      </c>
      <c r="D1077" s="2" t="n">
        <f aca="false">IFERROR(__xludf.dummyfunction("""COMPUTED_VALUE"""),247.54)</f>
        <v>247.54</v>
      </c>
      <c r="E1077" s="2" t="n">
        <f aca="false">IFERROR(__xludf.dummyfunction("""COMPUTED_VALUE"""),254.11)</f>
        <v>254.11</v>
      </c>
      <c r="F1077" s="2" t="n">
        <f aca="false">IFERROR(__xludf.dummyfunction("""COMPUTED_VALUE"""),79594318)</f>
        <v>79594318</v>
      </c>
    </row>
    <row r="1078" customFormat="false" ht="15.75" hidden="false" customHeight="false" outlineLevel="0" collapsed="false">
      <c r="A1078" s="3" t="n">
        <f aca="false">IFERROR(__xludf.dummyfunction("""COMPUTED_VALUE"""),45763.6666666667)</f>
        <v>45763.6666666667</v>
      </c>
      <c r="B1078" s="2" t="n">
        <f aca="false">IFERROR(__xludf.dummyfunction("""COMPUTED_VALUE"""),247.61)</f>
        <v>247.61</v>
      </c>
      <c r="C1078" s="2" t="n">
        <f aca="false">IFERROR(__xludf.dummyfunction("""COMPUTED_VALUE"""),251.97)</f>
        <v>251.97</v>
      </c>
      <c r="D1078" s="2" t="n">
        <f aca="false">IFERROR(__xludf.dummyfunction("""COMPUTED_VALUE"""),233.89)</f>
        <v>233.89</v>
      </c>
      <c r="E1078" s="2" t="n">
        <f aca="false">IFERROR(__xludf.dummyfunction("""COMPUTED_VALUE"""),241.55)</f>
        <v>241.55</v>
      </c>
      <c r="F1078" s="2" t="n">
        <f aca="false">IFERROR(__xludf.dummyfunction("""COMPUTED_VALUE"""),112378737)</f>
        <v>112378737</v>
      </c>
    </row>
    <row r="1079" customFormat="false" ht="15.75" hidden="false" customHeight="false" outlineLevel="0" collapsed="false">
      <c r="A1079" s="3" t="n">
        <f aca="false">IFERROR(__xludf.dummyfunction("""COMPUTED_VALUE"""),45764.6666666667)</f>
        <v>45764.6666666667</v>
      </c>
      <c r="B1079" s="2" t="n">
        <f aca="false">IFERROR(__xludf.dummyfunction("""COMPUTED_VALUE"""),243.47)</f>
        <v>243.47</v>
      </c>
      <c r="C1079" s="2" t="n">
        <f aca="false">IFERROR(__xludf.dummyfunction("""COMPUTED_VALUE"""),244.34)</f>
        <v>244.34</v>
      </c>
      <c r="D1079" s="2" t="n">
        <f aca="false">IFERROR(__xludf.dummyfunction("""COMPUTED_VALUE"""),237.68)</f>
        <v>237.68</v>
      </c>
      <c r="E1079" s="2" t="n">
        <f aca="false">IFERROR(__xludf.dummyfunction("""COMPUTED_VALUE"""),241.37)</f>
        <v>241.37</v>
      </c>
      <c r="F1079" s="2" t="n">
        <f aca="false">IFERROR(__xludf.dummyfunction("""COMPUTED_VALUE"""),83404775)</f>
        <v>83404775</v>
      </c>
    </row>
    <row r="1080" customFormat="false" ht="15.75" hidden="false" customHeight="false" outlineLevel="0" collapsed="false">
      <c r="A1080" s="3" t="n">
        <f aca="false">IFERROR(__xludf.dummyfunction("""COMPUTED_VALUE"""),45768.6666666667)</f>
        <v>45768.6666666667</v>
      </c>
      <c r="B1080" s="2" t="n">
        <f aca="false">IFERROR(__xludf.dummyfunction("""COMPUTED_VALUE"""),230.26)</f>
        <v>230.26</v>
      </c>
      <c r="C1080" s="2" t="n">
        <f aca="false">IFERROR(__xludf.dummyfunction("""COMPUTED_VALUE"""),232.21)</f>
        <v>232.21</v>
      </c>
      <c r="D1080" s="2" t="n">
        <f aca="false">IFERROR(__xludf.dummyfunction("""COMPUTED_VALUE"""),222.79)</f>
        <v>222.79</v>
      </c>
      <c r="E1080" s="2" t="n">
        <f aca="false">IFERROR(__xludf.dummyfunction("""COMPUTED_VALUE"""),227.5)</f>
        <v>227.5</v>
      </c>
      <c r="F1080" s="2" t="n">
        <f aca="false">IFERROR(__xludf.dummyfunction("""COMPUTED_VALUE"""),97768007)</f>
        <v>97768007</v>
      </c>
    </row>
    <row r="1081" customFormat="false" ht="15.75" hidden="false" customHeight="false" outlineLevel="0" collapsed="false">
      <c r="A1081" s="3" t="n">
        <f aca="false">IFERROR(__xludf.dummyfunction("""COMPUTED_VALUE"""),45769.6666666667)</f>
        <v>45769.6666666667</v>
      </c>
      <c r="B1081" s="2" t="n">
        <f aca="false">IFERROR(__xludf.dummyfunction("""COMPUTED_VALUE"""),230.96)</f>
        <v>230.96</v>
      </c>
      <c r="C1081" s="2" t="n">
        <f aca="false">IFERROR(__xludf.dummyfunction("""COMPUTED_VALUE"""),242.79)</f>
        <v>242.79</v>
      </c>
      <c r="D1081" s="2" t="n">
        <f aca="false">IFERROR(__xludf.dummyfunction("""COMPUTED_VALUE"""),229.85)</f>
        <v>229.85</v>
      </c>
      <c r="E1081" s="2" t="n">
        <f aca="false">IFERROR(__xludf.dummyfunction("""COMPUTED_VALUE"""),237.97)</f>
        <v>237.97</v>
      </c>
      <c r="F1081" s="2" t="n">
        <f aca="false">IFERROR(__xludf.dummyfunction("""COMPUTED_VALUE"""),120858452)</f>
        <v>120858452</v>
      </c>
    </row>
    <row r="1082" customFormat="false" ht="15.75" hidden="false" customHeight="false" outlineLevel="0" collapsed="false">
      <c r="A1082" s="3" t="n">
        <f aca="false">IFERROR(__xludf.dummyfunction("""COMPUTED_VALUE"""),45770.6666666667)</f>
        <v>45770.6666666667</v>
      </c>
      <c r="B1082" s="2" t="n">
        <f aca="false">IFERROR(__xludf.dummyfunction("""COMPUTED_VALUE"""),254.86)</f>
        <v>254.86</v>
      </c>
      <c r="C1082" s="2" t="n">
        <f aca="false">IFERROR(__xludf.dummyfunction("""COMPUTED_VALUE"""),259.45)</f>
        <v>259.45</v>
      </c>
      <c r="D1082" s="2" t="n">
        <f aca="false">IFERROR(__xludf.dummyfunction("""COMPUTED_VALUE"""),244.43)</f>
        <v>244.43</v>
      </c>
      <c r="E1082" s="2" t="n">
        <f aca="false">IFERROR(__xludf.dummyfunction("""COMPUTED_VALUE"""),250.74)</f>
        <v>250.74</v>
      </c>
      <c r="F1082" s="2" t="n">
        <f aca="false">IFERROR(__xludf.dummyfunction("""COMPUTED_VALUE"""),150381903)</f>
        <v>150381903</v>
      </c>
    </row>
    <row r="1083" customFormat="false" ht="15.75" hidden="false" customHeight="false" outlineLevel="0" collapsed="false">
      <c r="A1083" s="3" t="n">
        <f aca="false">IFERROR(__xludf.dummyfunction("""COMPUTED_VALUE"""),45771.6666666667)</f>
        <v>45771.6666666667</v>
      </c>
      <c r="B1083" s="2" t="n">
        <f aca="false">IFERROR(__xludf.dummyfunction("""COMPUTED_VALUE"""),250.5)</f>
        <v>250.5</v>
      </c>
      <c r="C1083" s="2" t="n">
        <f aca="false">IFERROR(__xludf.dummyfunction("""COMPUTED_VALUE"""),259.54)</f>
        <v>259.54</v>
      </c>
      <c r="D1083" s="2" t="n">
        <f aca="false">IFERROR(__xludf.dummyfunction("""COMPUTED_VALUE"""),249.2)</f>
        <v>249.2</v>
      </c>
      <c r="E1083" s="2" t="n">
        <f aca="false">IFERROR(__xludf.dummyfunction("""COMPUTED_VALUE"""),259.51)</f>
        <v>259.51</v>
      </c>
      <c r="F1083" s="2" t="n">
        <f aca="false">IFERROR(__xludf.dummyfunction("""COMPUTED_VALUE"""),94464195)</f>
        <v>94464195</v>
      </c>
    </row>
    <row r="1084" customFormat="false" ht="15.75" hidden="false" customHeight="false" outlineLevel="0" collapsed="false">
      <c r="A1084" s="3" t="n">
        <f aca="false">IFERROR(__xludf.dummyfunction("""COMPUTED_VALUE"""),45772.6666666667)</f>
        <v>45772.6666666667</v>
      </c>
      <c r="B1084" s="2" t="n">
        <f aca="false">IFERROR(__xludf.dummyfunction("""COMPUTED_VALUE"""),261.69)</f>
        <v>261.69</v>
      </c>
      <c r="C1084" s="2" t="n">
        <f aca="false">IFERROR(__xludf.dummyfunction("""COMPUTED_VALUE"""),286.85)</f>
        <v>286.85</v>
      </c>
      <c r="D1084" s="2" t="n">
        <f aca="false">IFERROR(__xludf.dummyfunction("""COMPUTED_VALUE"""),259.63)</f>
        <v>259.63</v>
      </c>
      <c r="E1084" s="2" t="n">
        <f aca="false">IFERROR(__xludf.dummyfunction("""COMPUTED_VALUE"""),284.95)</f>
        <v>284.95</v>
      </c>
      <c r="F1084" s="2" t="n">
        <f aca="false">IFERROR(__xludf.dummyfunction("""COMPUTED_VALUE"""),167560688)</f>
        <v>167560688</v>
      </c>
    </row>
    <row r="1085" customFormat="false" ht="15.75" hidden="false" customHeight="false" outlineLevel="0" collapsed="false">
      <c r="A1085" s="3" t="n">
        <f aca="false">IFERROR(__xludf.dummyfunction("""COMPUTED_VALUE"""),45775.6666666667)</f>
        <v>45775.6666666667</v>
      </c>
      <c r="B1085" s="2" t="n">
        <f aca="false">IFERROR(__xludf.dummyfunction("""COMPUTED_VALUE"""),288.98)</f>
        <v>288.98</v>
      </c>
      <c r="C1085" s="2" t="n">
        <f aca="false">IFERROR(__xludf.dummyfunction("""COMPUTED_VALUE"""),294.86)</f>
        <v>294.86</v>
      </c>
      <c r="D1085" s="2" t="n">
        <f aca="false">IFERROR(__xludf.dummyfunction("""COMPUTED_VALUE"""),272.42)</f>
        <v>272.42</v>
      </c>
      <c r="E1085" s="2" t="n">
        <f aca="false">IFERROR(__xludf.dummyfunction("""COMPUTED_VALUE"""),285.88)</f>
        <v>285.88</v>
      </c>
      <c r="F1085" s="2" t="n">
        <f aca="false">IFERROR(__xludf.dummyfunction("""COMPUTED_VALUE"""),151731771)</f>
        <v>151731771</v>
      </c>
    </row>
    <row r="1086" customFormat="false" ht="15.75" hidden="false" customHeight="false" outlineLevel="0" collapsed="false">
      <c r="A1086" s="3" t="n">
        <f aca="false">IFERROR(__xludf.dummyfunction("""COMPUTED_VALUE"""),45776.6666666667)</f>
        <v>45776.6666666667</v>
      </c>
      <c r="B1086" s="2" t="n">
        <f aca="false">IFERROR(__xludf.dummyfunction("""COMPUTED_VALUE"""),285.5)</f>
        <v>285.5</v>
      </c>
      <c r="C1086" s="2" t="n">
        <f aca="false">IFERROR(__xludf.dummyfunction("""COMPUTED_VALUE"""),293.32)</f>
        <v>293.32</v>
      </c>
      <c r="D1086" s="2" t="n">
        <f aca="false">IFERROR(__xludf.dummyfunction("""COMPUTED_VALUE"""),279.47)</f>
        <v>279.47</v>
      </c>
      <c r="E1086" s="2" t="n">
        <f aca="false">IFERROR(__xludf.dummyfunction("""COMPUTED_VALUE"""),292.03)</f>
        <v>292.03</v>
      </c>
      <c r="F1086" s="2" t="n">
        <f aca="false">IFERROR(__xludf.dummyfunction("""COMPUTED_VALUE"""),108906553)</f>
        <v>108906553</v>
      </c>
    </row>
    <row r="1087" customFormat="false" ht="15.75" hidden="false" customHeight="false" outlineLevel="0" collapsed="false">
      <c r="A1087" s="3" t="n">
        <f aca="false">IFERROR(__xludf.dummyfunction("""COMPUTED_VALUE"""),45777.6666666667)</f>
        <v>45777.6666666667</v>
      </c>
      <c r="B1087" s="2" t="n">
        <f aca="false">IFERROR(__xludf.dummyfunction("""COMPUTED_VALUE"""),279.9)</f>
        <v>279.9</v>
      </c>
      <c r="C1087" s="2" t="n">
        <f aca="false">IFERROR(__xludf.dummyfunction("""COMPUTED_VALUE"""),284.45)</f>
        <v>284.45</v>
      </c>
      <c r="D1087" s="2" t="n">
        <f aca="false">IFERROR(__xludf.dummyfunction("""COMPUTED_VALUE"""),270.78)</f>
        <v>270.78</v>
      </c>
      <c r="E1087" s="2" t="n">
        <f aca="false">IFERROR(__xludf.dummyfunction("""COMPUTED_VALUE"""),282.16)</f>
        <v>282.16</v>
      </c>
      <c r="F1087" s="2" t="n">
        <f aca="false">IFERROR(__xludf.dummyfunction("""COMPUTED_VALUE"""),128961057)</f>
        <v>128961057</v>
      </c>
    </row>
    <row r="1088" customFormat="false" ht="15.75" hidden="false" customHeight="false" outlineLevel="0" collapsed="false">
      <c r="A1088" s="3" t="n">
        <f aca="false">IFERROR(__xludf.dummyfunction("""COMPUTED_VALUE"""),45778.6666666667)</f>
        <v>45778.6666666667</v>
      </c>
      <c r="B1088" s="2" t="n">
        <f aca="false">IFERROR(__xludf.dummyfunction("""COMPUTED_VALUE"""),280.01)</f>
        <v>280.01</v>
      </c>
      <c r="C1088" s="2" t="n">
        <f aca="false">IFERROR(__xludf.dummyfunction("""COMPUTED_VALUE"""),290.87)</f>
        <v>290.87</v>
      </c>
      <c r="D1088" s="2" t="n">
        <f aca="false">IFERROR(__xludf.dummyfunction("""COMPUTED_VALUE"""),279.81)</f>
        <v>279.81</v>
      </c>
      <c r="E1088" s="2" t="n">
        <f aca="false">IFERROR(__xludf.dummyfunction("""COMPUTED_VALUE"""),280.52)</f>
        <v>280.52</v>
      </c>
      <c r="F1088" s="2" t="n">
        <f aca="false">IFERROR(__xludf.dummyfunction("""COMPUTED_VALUE"""),99658974)</f>
        <v>99658974</v>
      </c>
    </row>
    <row r="1089" customFormat="false" ht="15.75" hidden="false" customHeight="false" outlineLevel="0" collapsed="false">
      <c r="A1089" s="3" t="n">
        <f aca="false">IFERROR(__xludf.dummyfunction("""COMPUTED_VALUE"""),45779.6666666667)</f>
        <v>45779.6666666667</v>
      </c>
      <c r="B1089" s="2" t="n">
        <f aca="false">IFERROR(__xludf.dummyfunction("""COMPUTED_VALUE"""),284.9)</f>
        <v>284.9</v>
      </c>
      <c r="C1089" s="2" t="n">
        <f aca="false">IFERROR(__xludf.dummyfunction("""COMPUTED_VALUE"""),294.78)</f>
        <v>294.78</v>
      </c>
      <c r="D1089" s="2" t="n">
        <f aca="false">IFERROR(__xludf.dummyfunction("""COMPUTED_VALUE"""),279.81)</f>
        <v>279.81</v>
      </c>
      <c r="E1089" s="2" t="n">
        <f aca="false">IFERROR(__xludf.dummyfunction("""COMPUTED_VALUE"""),287.21)</f>
        <v>287.21</v>
      </c>
      <c r="F1089" s="2" t="n">
        <f aca="false">IFERROR(__xludf.dummyfunction("""COMPUTED_VALUE"""),114454683)</f>
        <v>114454683</v>
      </c>
    </row>
    <row r="1090" customFormat="false" ht="15.75" hidden="false" customHeight="false" outlineLevel="0" collapsed="false">
      <c r="A1090" s="3" t="n">
        <f aca="false">IFERROR(__xludf.dummyfunction("""COMPUTED_VALUE"""),45782.6666666667)</f>
        <v>45782.6666666667</v>
      </c>
      <c r="B1090" s="2" t="n">
        <f aca="false">IFERROR(__xludf.dummyfunction("""COMPUTED_VALUE"""),284.57)</f>
        <v>284.57</v>
      </c>
      <c r="C1090" s="2" t="n">
        <f aca="false">IFERROR(__xludf.dummyfunction("""COMPUTED_VALUE"""),284.85)</f>
        <v>284.85</v>
      </c>
      <c r="D1090" s="2" t="n">
        <f aca="false">IFERROR(__xludf.dummyfunction("""COMPUTED_VALUE"""),274.4)</f>
        <v>274.4</v>
      </c>
      <c r="E1090" s="2" t="n">
        <f aca="false">IFERROR(__xludf.dummyfunction("""COMPUTED_VALUE"""),280.26)</f>
        <v>280.26</v>
      </c>
      <c r="F1090" s="2" t="n">
        <f aca="false">IFERROR(__xludf.dummyfunction("""COMPUTED_VALUE"""),94618882)</f>
        <v>94618882</v>
      </c>
    </row>
    <row r="1091" customFormat="false" ht="15.75" hidden="false" customHeight="false" outlineLevel="0" collapsed="false">
      <c r="A1091" s="3" t="n">
        <f aca="false">IFERROR(__xludf.dummyfunction("""COMPUTED_VALUE"""),45783.6666666667)</f>
        <v>45783.6666666667</v>
      </c>
      <c r="B1091" s="2" t="n">
        <f aca="false">IFERROR(__xludf.dummyfunction("""COMPUTED_VALUE"""),273.11)</f>
        <v>273.11</v>
      </c>
      <c r="C1091" s="2" t="n">
        <f aca="false">IFERROR(__xludf.dummyfunction("""COMPUTED_VALUE"""),277.73)</f>
        <v>277.73</v>
      </c>
      <c r="D1091" s="2" t="n">
        <f aca="false">IFERROR(__xludf.dummyfunction("""COMPUTED_VALUE"""),271.35)</f>
        <v>271.35</v>
      </c>
      <c r="E1091" s="2" t="n">
        <f aca="false">IFERROR(__xludf.dummyfunction("""COMPUTED_VALUE"""),275.35)</f>
        <v>275.35</v>
      </c>
      <c r="F1091" s="2" t="n">
        <f aca="false">IFERROR(__xludf.dummyfunction("""COMPUTED_VALUE"""),76715792)</f>
        <v>76715792</v>
      </c>
    </row>
    <row r="1092" customFormat="false" ht="15.75" hidden="false" customHeight="false" outlineLevel="0" collapsed="false">
      <c r="A1092" s="3" t="n">
        <f aca="false">IFERROR(__xludf.dummyfunction("""COMPUTED_VALUE"""),45784.6666666667)</f>
        <v>45784.6666666667</v>
      </c>
      <c r="B1092" s="2" t="n">
        <f aca="false">IFERROR(__xludf.dummyfunction("""COMPUTED_VALUE"""),276.88)</f>
        <v>276.88</v>
      </c>
      <c r="C1092" s="2" t="n">
        <f aca="false">IFERROR(__xludf.dummyfunction("""COMPUTED_VALUE"""),277.92)</f>
        <v>277.92</v>
      </c>
      <c r="D1092" s="2" t="n">
        <f aca="false">IFERROR(__xludf.dummyfunction("""COMPUTED_VALUE"""),271)</f>
        <v>271</v>
      </c>
      <c r="E1092" s="2" t="n">
        <f aca="false">IFERROR(__xludf.dummyfunction("""COMPUTED_VALUE"""),276.22)</f>
        <v>276.22</v>
      </c>
      <c r="F1092" s="2" t="n">
        <f aca="false">IFERROR(__xludf.dummyfunction("""COMPUTED_VALUE"""),71882408)</f>
        <v>71882408</v>
      </c>
    </row>
    <row r="1093" customFormat="false" ht="15.75" hidden="false" customHeight="false" outlineLevel="0" collapsed="false">
      <c r="A1093" s="3" t="n">
        <f aca="false">IFERROR(__xludf.dummyfunction("""COMPUTED_VALUE"""),45785.6666666667)</f>
        <v>45785.6666666667</v>
      </c>
      <c r="B1093" s="2" t="n">
        <f aca="false">IFERROR(__xludf.dummyfunction("""COMPUTED_VALUE"""),279.63)</f>
        <v>279.63</v>
      </c>
      <c r="C1093" s="2" t="n">
        <f aca="false">IFERROR(__xludf.dummyfunction("""COMPUTED_VALUE"""),289.8)</f>
        <v>289.8</v>
      </c>
      <c r="D1093" s="2" t="n">
        <f aca="false">IFERROR(__xludf.dummyfunction("""COMPUTED_VALUE"""),279.41)</f>
        <v>279.41</v>
      </c>
      <c r="E1093" s="2" t="n">
        <f aca="false">IFERROR(__xludf.dummyfunction("""COMPUTED_VALUE"""),284.82)</f>
        <v>284.82</v>
      </c>
      <c r="F1093" s="2" t="n">
        <f aca="false">IFERROR(__xludf.dummyfunction("""COMPUTED_VALUE"""),97539448)</f>
        <v>97539448</v>
      </c>
    </row>
    <row r="1094" customFormat="false" ht="15.75" hidden="false" customHeight="false" outlineLevel="0" collapsed="false">
      <c r="A1094" s="3" t="n">
        <f aca="false">IFERROR(__xludf.dummyfunction("""COMPUTED_VALUE"""),45786.6666666667)</f>
        <v>45786.6666666667</v>
      </c>
      <c r="B1094" s="2" t="n">
        <f aca="false">IFERROR(__xludf.dummyfunction("""COMPUTED_VALUE"""),290.21)</f>
        <v>290.21</v>
      </c>
      <c r="C1094" s="2" t="n">
        <f aca="false">IFERROR(__xludf.dummyfunction("""COMPUTED_VALUE"""),307.04)</f>
        <v>307.04</v>
      </c>
      <c r="D1094" s="2" t="n">
        <f aca="false">IFERROR(__xludf.dummyfunction("""COMPUTED_VALUE"""),290)</f>
        <v>290</v>
      </c>
      <c r="E1094" s="2" t="n">
        <f aca="false">IFERROR(__xludf.dummyfunction("""COMPUTED_VALUE"""),298.26)</f>
        <v>298.26</v>
      </c>
      <c r="F1094" s="2" t="n">
        <f aca="false">IFERROR(__xludf.dummyfunction("""COMPUTED_VALUE"""),132387835)</f>
        <v>132387835</v>
      </c>
    </row>
    <row r="1095" customFormat="false" ht="15.75" hidden="false" customHeight="false" outlineLevel="0" collapsed="false">
      <c r="A1095" s="3" t="n">
        <f aca="false">IFERROR(__xludf.dummyfunction("""COMPUTED_VALUE"""),45789.6666666667)</f>
        <v>45789.6666666667</v>
      </c>
      <c r="B1095" s="2" t="n">
        <f aca="false">IFERROR(__xludf.dummyfunction("""COMPUTED_VALUE"""),321.99)</f>
        <v>321.99</v>
      </c>
      <c r="C1095" s="2" t="n">
        <f aca="false">IFERROR(__xludf.dummyfunction("""COMPUTED_VALUE"""),322.21)</f>
        <v>322.21</v>
      </c>
      <c r="D1095" s="2" t="n">
        <f aca="false">IFERROR(__xludf.dummyfunction("""COMPUTED_VALUE"""),311.5)</f>
        <v>311.5</v>
      </c>
      <c r="E1095" s="2" t="n">
        <f aca="false">IFERROR(__xludf.dummyfunction("""COMPUTED_VALUE"""),318.38)</f>
        <v>318.38</v>
      </c>
      <c r="F1095" s="2" t="n">
        <f aca="false">IFERROR(__xludf.dummyfunction("""COMPUTED_VALUE"""),112826661)</f>
        <v>112826661</v>
      </c>
    </row>
    <row r="1096" customFormat="false" ht="15.75" hidden="false" customHeight="false" outlineLevel="0" collapsed="false">
      <c r="A1096" s="3" t="n">
        <f aca="false">IFERROR(__xludf.dummyfunction("""COMPUTED_VALUE"""),45790.6666666667)</f>
        <v>45790.6666666667</v>
      </c>
      <c r="B1096" s="2" t="n">
        <f aca="false">IFERROR(__xludf.dummyfunction("""COMPUTED_VALUE"""),320)</f>
        <v>320</v>
      </c>
      <c r="C1096" s="2" t="n">
        <f aca="false">IFERROR(__xludf.dummyfunction("""COMPUTED_VALUE"""),337.59)</f>
        <v>337.59</v>
      </c>
      <c r="D1096" s="2" t="n">
        <f aca="false">IFERROR(__xludf.dummyfunction("""COMPUTED_VALUE"""),316.8)</f>
        <v>316.8</v>
      </c>
      <c r="E1096" s="2" t="n">
        <f aca="false">IFERROR(__xludf.dummyfunction("""COMPUTED_VALUE"""),334.07)</f>
        <v>334.07</v>
      </c>
      <c r="F1096" s="2" t="n">
        <f aca="false">IFERROR(__xludf.dummyfunction("""COMPUTED_VALUE"""),136992574)</f>
        <v>136992574</v>
      </c>
    </row>
    <row r="1097" customFormat="false" ht="15.75" hidden="false" customHeight="false" outlineLevel="0" collapsed="false">
      <c r="A1097" s="3" t="n">
        <f aca="false">IFERROR(__xludf.dummyfunction("""COMPUTED_VALUE"""),45791.6666666667)</f>
        <v>45791.6666666667</v>
      </c>
      <c r="B1097" s="2" t="n">
        <f aca="false">IFERROR(__xludf.dummyfunction("""COMPUTED_VALUE"""),342.5)</f>
        <v>342.5</v>
      </c>
      <c r="C1097" s="2" t="n">
        <f aca="false">IFERROR(__xludf.dummyfunction("""COMPUTED_VALUE"""),350)</f>
        <v>350</v>
      </c>
      <c r="D1097" s="2" t="n">
        <f aca="false">IFERROR(__xludf.dummyfunction("""COMPUTED_VALUE"""),337)</f>
        <v>337</v>
      </c>
      <c r="E1097" s="2" t="n">
        <f aca="false">IFERROR(__xludf.dummyfunction("""COMPUTED_VALUE"""),347.68)</f>
        <v>347.68</v>
      </c>
      <c r="F1097" s="2" t="n">
        <f aca="false">IFERROR(__xludf.dummyfunction("""COMPUTED_VALUE"""),136997264)</f>
        <v>136997264</v>
      </c>
    </row>
    <row r="1098" customFormat="false" ht="15.75" hidden="false" customHeight="false" outlineLevel="0" collapsed="false">
      <c r="A1098" s="3" t="n">
        <f aca="false">IFERROR(__xludf.dummyfunction("""COMPUTED_VALUE"""),45792.6666666667)</f>
        <v>45792.6666666667</v>
      </c>
      <c r="B1098" s="2" t="n">
        <f aca="false">IFERROR(__xludf.dummyfunction("""COMPUTED_VALUE"""),340.34)</f>
        <v>340.34</v>
      </c>
      <c r="C1098" s="2" t="n">
        <f aca="false">IFERROR(__xludf.dummyfunction("""COMPUTED_VALUE"""),346.14)</f>
        <v>346.14</v>
      </c>
      <c r="D1098" s="2" t="n">
        <f aca="false">IFERROR(__xludf.dummyfunction("""COMPUTED_VALUE"""),334.72)</f>
        <v>334.72</v>
      </c>
      <c r="E1098" s="2" t="n">
        <f aca="false">IFERROR(__xludf.dummyfunction("""COMPUTED_VALUE"""),342.82)</f>
        <v>342.82</v>
      </c>
      <c r="F1098" s="2" t="n">
        <f aca="false">IFERROR(__xludf.dummyfunction("""COMPUTED_VALUE"""),97882596)</f>
        <v>97882596</v>
      </c>
    </row>
    <row r="1099" customFormat="false" ht="15.75" hidden="false" customHeight="false" outlineLevel="0" collapsed="false">
      <c r="A1099" s="3" t="n">
        <f aca="false">IFERROR(__xludf.dummyfunction("""COMPUTED_VALUE"""),45793.6666666667)</f>
        <v>45793.6666666667</v>
      </c>
      <c r="B1099" s="2" t="n">
        <f aca="false">IFERROR(__xludf.dummyfunction("""COMPUTED_VALUE"""),346.24)</f>
        <v>346.24</v>
      </c>
      <c r="C1099" s="2" t="n">
        <f aca="false">IFERROR(__xludf.dummyfunction("""COMPUTED_VALUE"""),351.62)</f>
        <v>351.62</v>
      </c>
      <c r="D1099" s="2" t="n">
        <f aca="false">IFERROR(__xludf.dummyfunction("""COMPUTED_VALUE"""),342.33)</f>
        <v>342.33</v>
      </c>
      <c r="E1099" s="2" t="n">
        <f aca="false">IFERROR(__xludf.dummyfunction("""COMPUTED_VALUE"""),349.98)</f>
        <v>349.98</v>
      </c>
      <c r="F1099" s="2" t="n">
        <f aca="false">IFERROR(__xludf.dummyfunction("""COMPUTED_VALUE"""),95895665)</f>
        <v>95895665</v>
      </c>
    </row>
    <row r="1100" customFormat="false" ht="15.75" hidden="false" customHeight="false" outlineLevel="0" collapsed="false">
      <c r="A1100" s="3" t="n">
        <f aca="false">IFERROR(__xludf.dummyfunction("""COMPUTED_VALUE"""),45796.6666666667)</f>
        <v>45796.6666666667</v>
      </c>
      <c r="B1100" s="2" t="n">
        <f aca="false">IFERROR(__xludf.dummyfunction("""COMPUTED_VALUE"""),336.3)</f>
        <v>336.3</v>
      </c>
      <c r="C1100" s="2" t="n">
        <f aca="false">IFERROR(__xludf.dummyfunction("""COMPUTED_VALUE"""),343)</f>
        <v>343</v>
      </c>
      <c r="D1100" s="2" t="n">
        <f aca="false">IFERROR(__xludf.dummyfunction("""COMPUTED_VALUE"""),333.37)</f>
        <v>333.37</v>
      </c>
      <c r="E1100" s="2" t="n">
        <f aca="false">IFERROR(__xludf.dummyfunction("""COMPUTED_VALUE"""),342.09)</f>
        <v>342.09</v>
      </c>
      <c r="F1100" s="2" t="n">
        <f aca="false">IFERROR(__xludf.dummyfunction("""COMPUTED_VALUE"""),88869853)</f>
        <v>88869853</v>
      </c>
    </row>
    <row r="1101" customFormat="false" ht="15.75" hidden="false" customHeight="false" outlineLevel="0" collapsed="false">
      <c r="A1101" s="3" t="n">
        <f aca="false">IFERROR(__xludf.dummyfunction("""COMPUTED_VALUE"""),45797.6666666667)</f>
        <v>45797.6666666667</v>
      </c>
      <c r="B1101" s="2" t="n">
        <f aca="false">IFERROR(__xludf.dummyfunction("""COMPUTED_VALUE"""),347.87)</f>
        <v>347.87</v>
      </c>
      <c r="C1101" s="2" t="n">
        <f aca="false">IFERROR(__xludf.dummyfunction("""COMPUTED_VALUE"""),354.99)</f>
        <v>354.99</v>
      </c>
      <c r="D1101" s="2" t="n">
        <f aca="false">IFERROR(__xludf.dummyfunction("""COMPUTED_VALUE"""),341.63)</f>
        <v>341.63</v>
      </c>
      <c r="E1101" s="2" t="n">
        <f aca="false">IFERROR(__xludf.dummyfunction("""COMPUTED_VALUE"""),343.82)</f>
        <v>343.82</v>
      </c>
      <c r="F1101" s="2" t="n">
        <f aca="false">IFERROR(__xludf.dummyfunction("""COMPUTED_VALUE"""),131715548)</f>
        <v>131715548</v>
      </c>
    </row>
    <row r="1102" customFormat="false" ht="15.75" hidden="false" customHeight="false" outlineLevel="0" collapsed="false">
      <c r="A1102" s="3" t="n">
        <f aca="false">IFERROR(__xludf.dummyfunction("""COMPUTED_VALUE"""),45798.6666666667)</f>
        <v>45798.6666666667</v>
      </c>
      <c r="B1102" s="2" t="n">
        <f aca="false">IFERROR(__xludf.dummyfunction("""COMPUTED_VALUE"""),344.43)</f>
        <v>344.43</v>
      </c>
      <c r="C1102" s="2" t="n">
        <f aca="false">IFERROR(__xludf.dummyfunction("""COMPUTED_VALUE"""),347.35)</f>
        <v>347.35</v>
      </c>
      <c r="D1102" s="2" t="n">
        <f aca="false">IFERROR(__xludf.dummyfunction("""COMPUTED_VALUE"""),332.2)</f>
        <v>332.2</v>
      </c>
      <c r="E1102" s="2" t="n">
        <f aca="false">IFERROR(__xludf.dummyfunction("""COMPUTED_VALUE"""),334.62)</f>
        <v>334.62</v>
      </c>
      <c r="F1102" s="2" t="n">
        <f aca="false">IFERROR(__xludf.dummyfunction("""COMPUTED_VALUE"""),102354844)</f>
        <v>102354844</v>
      </c>
    </row>
    <row r="1103" customFormat="false" ht="15.75" hidden="false" customHeight="false" outlineLevel="0" collapsed="false">
      <c r="A1103" s="3" t="n">
        <f aca="false">IFERROR(__xludf.dummyfunction("""COMPUTED_VALUE"""),45799.6666666667)</f>
        <v>45799.6666666667</v>
      </c>
      <c r="B1103" s="2" t="n">
        <f aca="false">IFERROR(__xludf.dummyfunction("""COMPUTED_VALUE"""),344.43)</f>
        <v>344.43</v>
      </c>
      <c r="C1103" s="2" t="n">
        <f aca="false">IFERROR(__xludf.dummyfunction("""COMPUTED_VALUE"""),347.35)</f>
        <v>347.35</v>
      </c>
      <c r="D1103" s="2" t="n">
        <f aca="false">IFERROR(__xludf.dummyfunction("""COMPUTED_VALUE"""),332.2)</f>
        <v>332.2</v>
      </c>
      <c r="E1103" s="2" t="n">
        <f aca="false">IFERROR(__xludf.dummyfunction("""COMPUTED_VALUE"""),334.62)</f>
        <v>334.62</v>
      </c>
      <c r="F1103" s="2" t="n">
        <f aca="false">IFERROR(__xludf.dummyfunction("""COMPUTED_VALUE"""),5462213)</f>
        <v>5462213</v>
      </c>
    </row>
    <row r="1104" customFormat="false" ht="15.75" hidden="false" customHeight="false" outlineLevel="0" collapsed="false">
      <c r="A1104" s="3" t="n">
        <f aca="false">IFERROR(__xludf.dummyfunction("""COMPUTED_VALUE"""),45800.6666666667)</f>
        <v>45800.6666666667</v>
      </c>
      <c r="B1104" s="2" t="n">
        <f aca="false">IFERROR(__xludf.dummyfunction("""COMPUTED_VALUE"""),337.92)</f>
        <v>337.92</v>
      </c>
      <c r="C1104" s="2" t="n">
        <f aca="false">IFERROR(__xludf.dummyfunction("""COMPUTED_VALUE"""),343.18)</f>
        <v>343.18</v>
      </c>
      <c r="D1104" s="2" t="n">
        <f aca="false">IFERROR(__xludf.dummyfunction("""COMPUTED_VALUE"""),333.21)</f>
        <v>333.21</v>
      </c>
      <c r="E1104" s="2" t="n">
        <f aca="false">IFERROR(__xludf.dummyfunction("""COMPUTED_VALUE"""),339.34)</f>
        <v>339.34</v>
      </c>
      <c r="F1104" s="2" t="n">
        <f aca="false">IFERROR(__xludf.dummyfunction("""COMPUTED_VALUE"""),84654818)</f>
        <v>84654818</v>
      </c>
    </row>
    <row r="1105" customFormat="false" ht="15.75" hidden="false" customHeight="false" outlineLevel="0" collapsed="false">
      <c r="A1105" s="3" t="n">
        <f aca="false">IFERROR(__xludf.dummyfunction("""COMPUTED_VALUE"""),45804.6666666667)</f>
        <v>45804.6666666667</v>
      </c>
      <c r="B1105" s="2" t="n">
        <f aca="false">IFERROR(__xludf.dummyfunction("""COMPUTED_VALUE"""),347.35)</f>
        <v>347.35</v>
      </c>
      <c r="C1105" s="2" t="n">
        <f aca="false">IFERROR(__xludf.dummyfunction("""COMPUTED_VALUE"""),363.79)</f>
        <v>363.79</v>
      </c>
      <c r="D1105" s="2" t="n">
        <f aca="false">IFERROR(__xludf.dummyfunction("""COMPUTED_VALUE"""),347.32)</f>
        <v>347.32</v>
      </c>
      <c r="E1105" s="2" t="n">
        <f aca="false">IFERROR(__xludf.dummyfunction("""COMPUTED_VALUE"""),362.89)</f>
        <v>362.89</v>
      </c>
      <c r="F1105" s="2" t="n">
        <f aca="false">IFERROR(__xludf.dummyfunction("""COMPUTED_VALUE"""),120146414)</f>
        <v>120146414</v>
      </c>
    </row>
    <row r="1106" customFormat="false" ht="15.75" hidden="false" customHeight="false" outlineLevel="0" collapsed="false">
      <c r="A1106" s="3" t="n">
        <f aca="false">IFERROR(__xludf.dummyfunction("""COMPUTED_VALUE"""),45805.6666666667)</f>
        <v>45805.6666666667</v>
      </c>
      <c r="B1106" s="2" t="n">
        <f aca="false">IFERROR(__xludf.dummyfunction("""COMPUTED_VALUE"""),364.84)</f>
        <v>364.84</v>
      </c>
      <c r="C1106" s="2" t="n">
        <f aca="false">IFERROR(__xludf.dummyfunction("""COMPUTED_VALUE"""),365)</f>
        <v>365</v>
      </c>
      <c r="D1106" s="2" t="n">
        <f aca="false">IFERROR(__xludf.dummyfunction("""COMPUTED_VALUE"""),355.91)</f>
        <v>355.91</v>
      </c>
      <c r="E1106" s="2" t="n">
        <f aca="false">IFERROR(__xludf.dummyfunction("""COMPUTED_VALUE"""),356.9)</f>
        <v>356.9</v>
      </c>
      <c r="F1106" s="2" t="n">
        <f aca="false">IFERROR(__xludf.dummyfunction("""COMPUTED_VALUE"""),91404309)</f>
        <v>91404309</v>
      </c>
    </row>
    <row r="1107" customFormat="false" ht="15.75" hidden="false" customHeight="false" outlineLevel="0" collapsed="false">
      <c r="A1107" s="3" t="n">
        <f aca="false">IFERROR(__xludf.dummyfunction("""COMPUTED_VALUE"""),45806.6666666667)</f>
        <v>45806.6666666667</v>
      </c>
      <c r="B1107" s="2" t="n">
        <f aca="false">IFERROR(__xludf.dummyfunction("""COMPUTED_VALUE"""),365.29)</f>
        <v>365.29</v>
      </c>
      <c r="C1107" s="2" t="n">
        <f aca="false">IFERROR(__xludf.dummyfunction("""COMPUTED_VALUE"""),367.71)</f>
        <v>367.71</v>
      </c>
      <c r="D1107" s="2" t="n">
        <f aca="false">IFERROR(__xludf.dummyfunction("""COMPUTED_VALUE"""),356)</f>
        <v>356</v>
      </c>
      <c r="E1107" s="2" t="n">
        <f aca="false">IFERROR(__xludf.dummyfunction("""COMPUTED_VALUE"""),358.43)</f>
        <v>358.43</v>
      </c>
      <c r="F1107" s="2" t="n">
        <f aca="false">IFERROR(__xludf.dummyfunction("""COMPUTED_VALUE"""),88545666)</f>
        <v>88545666</v>
      </c>
    </row>
    <row r="1108" customFormat="false" ht="15.75" hidden="false" customHeight="false" outlineLevel="0" collapsed="false">
      <c r="A1108" s="3" t="n">
        <f aca="false">IFERROR(__xludf.dummyfunction("""COMPUTED_VALUE"""),45807.6666666667)</f>
        <v>45807.6666666667</v>
      </c>
      <c r="B1108" s="2" t="n">
        <f aca="false">IFERROR(__xludf.dummyfunction("""COMPUTED_VALUE"""),355.52)</f>
        <v>355.52</v>
      </c>
      <c r="C1108" s="2" t="n">
        <f aca="false">IFERROR(__xludf.dummyfunction("""COMPUTED_VALUE"""),363.68)</f>
        <v>363.68</v>
      </c>
      <c r="D1108" s="2" t="n">
        <f aca="false">IFERROR(__xludf.dummyfunction("""COMPUTED_VALUE"""),345.29)</f>
        <v>345.29</v>
      </c>
      <c r="E1108" s="2" t="n">
        <f aca="false">IFERROR(__xludf.dummyfunction("""COMPUTED_VALUE"""),346.46)</f>
        <v>346.46</v>
      </c>
      <c r="F1108" s="2" t="n">
        <f aca="false">IFERROR(__xludf.dummyfunction("""COMPUTED_VALUE"""),123474938)</f>
        <v>123474938</v>
      </c>
    </row>
    <row r="1109" customFormat="false" ht="15.75" hidden="false" customHeight="false" outlineLevel="0" collapsed="false">
      <c r="A1109" s="3" t="n">
        <f aca="false">IFERROR(__xludf.dummyfunction("""COMPUTED_VALUE"""),45810.6666666667)</f>
        <v>45810.6666666667</v>
      </c>
      <c r="B1109" s="2" t="n">
        <f aca="false">IFERROR(__xludf.dummyfunction("""COMPUTED_VALUE"""),343.5)</f>
        <v>343.5</v>
      </c>
      <c r="C1109" s="2" t="n">
        <f aca="false">IFERROR(__xludf.dummyfunction("""COMPUTED_VALUE"""),348.02)</f>
        <v>348.02</v>
      </c>
      <c r="D1109" s="2" t="n">
        <f aca="false">IFERROR(__xludf.dummyfunction("""COMPUTED_VALUE"""),333.33)</f>
        <v>333.33</v>
      </c>
      <c r="E1109" s="2" t="n">
        <f aca="false">IFERROR(__xludf.dummyfunction("""COMPUTED_VALUE"""),342.69)</f>
        <v>342.69</v>
      </c>
      <c r="F1109" s="2" t="n">
        <f aca="false">IFERROR(__xludf.dummyfunction("""COMPUTED_VALUE"""),81873829)</f>
        <v>81873829</v>
      </c>
    </row>
    <row r="1110" customFormat="false" ht="15.75" hidden="false" customHeight="false" outlineLevel="0" collapsed="false">
      <c r="A1110" s="3" t="n">
        <f aca="false">IFERROR(__xludf.dummyfunction("""COMPUTED_VALUE"""),45811.6666666667)</f>
        <v>45811.6666666667</v>
      </c>
      <c r="B1110" s="2" t="n">
        <f aca="false">IFERROR(__xludf.dummyfunction("""COMPUTED_VALUE"""),346.6)</f>
        <v>346.6</v>
      </c>
      <c r="C1110" s="2" t="n">
        <f aca="false">IFERROR(__xludf.dummyfunction("""COMPUTED_VALUE"""),355.4)</f>
        <v>355.4</v>
      </c>
      <c r="D1110" s="2" t="n">
        <f aca="false">IFERROR(__xludf.dummyfunction("""COMPUTED_VALUE"""),343.04)</f>
        <v>343.04</v>
      </c>
      <c r="E1110" s="2" t="n">
        <f aca="false">IFERROR(__xludf.dummyfunction("""COMPUTED_VALUE"""),344.27)</f>
        <v>344.27</v>
      </c>
      <c r="F1110" s="2" t="n">
        <f aca="false">IFERROR(__xludf.dummyfunction("""COMPUTED_VALUE"""),99324544)</f>
        <v>99324544</v>
      </c>
    </row>
    <row r="1111" customFormat="false" ht="15.75" hidden="false" customHeight="false" outlineLevel="0" collapsed="false">
      <c r="A1111" s="3" t="n">
        <f aca="false">IFERROR(__xludf.dummyfunction("""COMPUTED_VALUE"""),45812.6666666667)</f>
        <v>45812.6666666667</v>
      </c>
      <c r="B1111" s="2" t="n">
        <f aca="false">IFERROR(__xludf.dummyfunction("""COMPUTED_VALUE"""),345.1)</f>
        <v>345.1</v>
      </c>
      <c r="C1111" s="2" t="n">
        <f aca="false">IFERROR(__xludf.dummyfunction("""COMPUTED_VALUE"""),345.6)</f>
        <v>345.6</v>
      </c>
      <c r="D1111" s="2" t="n">
        <f aca="false">IFERROR(__xludf.dummyfunction("""COMPUTED_VALUE"""),327.33)</f>
        <v>327.33</v>
      </c>
      <c r="E1111" s="2" t="n">
        <f aca="false">IFERROR(__xludf.dummyfunction("""COMPUTED_VALUE"""),332.05)</f>
        <v>332.05</v>
      </c>
      <c r="F1111" s="2" t="n">
        <f aca="false">IFERROR(__xludf.dummyfunction("""COMPUTED_VALUE"""),98912075)</f>
        <v>98912075</v>
      </c>
    </row>
    <row r="1112" customFormat="false" ht="15.75" hidden="false" customHeight="false" outlineLevel="0" collapsed="false">
      <c r="A1112" s="3" t="n">
        <f aca="false">IFERROR(__xludf.dummyfunction("""COMPUTED_VALUE"""),45813.6666666667)</f>
        <v>45813.6666666667</v>
      </c>
      <c r="B1112" s="2" t="n">
        <f aca="false">IFERROR(__xludf.dummyfunction("""COMPUTED_VALUE"""),322.49)</f>
        <v>322.49</v>
      </c>
      <c r="C1112" s="2" t="n">
        <f aca="false">IFERROR(__xludf.dummyfunction("""COMPUTED_VALUE"""),324.55)</f>
        <v>324.55</v>
      </c>
      <c r="D1112" s="2" t="n">
        <f aca="false">IFERROR(__xludf.dummyfunction("""COMPUTED_VALUE"""),273.21)</f>
        <v>273.21</v>
      </c>
      <c r="E1112" s="2" t="n">
        <f aca="false">IFERROR(__xludf.dummyfunction("""COMPUTED_VALUE"""),284.7)</f>
        <v>284.7</v>
      </c>
      <c r="F1112" s="2" t="n">
        <f aca="false">IFERROR(__xludf.dummyfunction("""COMPUTED_VALUE"""),292818655)</f>
        <v>292818655</v>
      </c>
    </row>
    <row r="1113" customFormat="false" ht="15.75" hidden="false" customHeight="false" outlineLevel="0" collapsed="false">
      <c r="A1113" s="3" t="n">
        <f aca="false">IFERROR(__xludf.dummyfunction("""COMPUTED_VALUE"""),45814.6666666667)</f>
        <v>45814.6666666667</v>
      </c>
      <c r="B1113" s="2" t="n">
        <f aca="false">IFERROR(__xludf.dummyfunction("""COMPUTED_VALUE"""),298.83)</f>
        <v>298.83</v>
      </c>
      <c r="C1113" s="2" t="n">
        <f aca="false">IFERROR(__xludf.dummyfunction("""COMPUTED_VALUE"""),305.5)</f>
        <v>305.5</v>
      </c>
      <c r="D1113" s="2" t="n">
        <f aca="false">IFERROR(__xludf.dummyfunction("""COMPUTED_VALUE"""),291.14)</f>
        <v>291.14</v>
      </c>
      <c r="E1113" s="2" t="n">
        <f aca="false">IFERROR(__xludf.dummyfunction("""COMPUTED_VALUE"""),295.14)</f>
        <v>295.14</v>
      </c>
      <c r="F1113" s="2" t="n">
        <f aca="false">IFERROR(__xludf.dummyfunction("""COMPUTED_VALUE"""),164747685)</f>
        <v>164747685</v>
      </c>
    </row>
    <row r="1114" customFormat="false" ht="15.75" hidden="false" customHeight="false" outlineLevel="0" collapsed="false">
      <c r="A1114" s="3" t="n">
        <f aca="false">IFERROR(__xludf.dummyfunction("""COMPUTED_VALUE"""),45817.6666666667)</f>
        <v>45817.6666666667</v>
      </c>
      <c r="B1114" s="2" t="n">
        <f aca="false">IFERROR(__xludf.dummyfunction("""COMPUTED_VALUE"""),285.96)</f>
        <v>285.96</v>
      </c>
      <c r="C1114" s="2" t="n">
        <f aca="false">IFERROR(__xludf.dummyfunction("""COMPUTED_VALUE"""),309.83)</f>
        <v>309.83</v>
      </c>
      <c r="D1114" s="2" t="n">
        <f aca="false">IFERROR(__xludf.dummyfunction("""COMPUTED_VALUE"""),281.85)</f>
        <v>281.85</v>
      </c>
      <c r="E1114" s="2" t="n">
        <f aca="false">IFERROR(__xludf.dummyfunction("""COMPUTED_VALUE"""),308.58)</f>
        <v>308.58</v>
      </c>
      <c r="F1114" s="2" t="n">
        <f aca="false">IFERROR(__xludf.dummyfunction("""COMPUTED_VALUE"""),140908876)</f>
        <v>140908876</v>
      </c>
    </row>
    <row r="1115" customFormat="false" ht="15.75" hidden="false" customHeight="false" outlineLevel="0" collapsed="false">
      <c r="A1115" s="3" t="n">
        <f aca="false">IFERROR(__xludf.dummyfunction("""COMPUTED_VALUE"""),45818.6666666667)</f>
        <v>45818.6666666667</v>
      </c>
      <c r="B1115" s="2" t="n">
        <f aca="false">IFERROR(__xludf.dummyfunction("""COMPUTED_VALUE"""),314.94)</f>
        <v>314.94</v>
      </c>
      <c r="C1115" s="2" t="n">
        <f aca="false">IFERROR(__xludf.dummyfunction("""COMPUTED_VALUE"""),327.83)</f>
        <v>327.83</v>
      </c>
      <c r="D1115" s="2" t="n">
        <f aca="false">IFERROR(__xludf.dummyfunction("""COMPUTED_VALUE"""),310.67)</f>
        <v>310.67</v>
      </c>
      <c r="E1115" s="2" t="n">
        <f aca="false">IFERROR(__xludf.dummyfunction("""COMPUTED_VALUE"""),326.09)</f>
        <v>326.09</v>
      </c>
      <c r="F1115" s="2" t="n">
        <f aca="false">IFERROR(__xludf.dummyfunction("""COMPUTED_VALUE"""),151256520)</f>
        <v>151256520</v>
      </c>
    </row>
    <row r="1116" customFormat="false" ht="15.75" hidden="false" customHeight="false" outlineLevel="0" collapsed="false">
      <c r="A1116" s="3" t="n">
        <f aca="false">IFERROR(__xludf.dummyfunction("""COMPUTED_VALUE"""),45819.6666666667)</f>
        <v>45819.6666666667</v>
      </c>
      <c r="B1116" s="2" t="n">
        <f aca="false">IFERROR(__xludf.dummyfunction("""COMPUTED_VALUE"""),334.4)</f>
        <v>334.4</v>
      </c>
      <c r="C1116" s="2" t="n">
        <f aca="false">IFERROR(__xludf.dummyfunction("""COMPUTED_VALUE"""),335.5)</f>
        <v>335.5</v>
      </c>
      <c r="D1116" s="2" t="n">
        <f aca="false">IFERROR(__xludf.dummyfunction("""COMPUTED_VALUE"""),322.5)</f>
        <v>322.5</v>
      </c>
      <c r="E1116" s="2" t="n">
        <f aca="false">IFERROR(__xludf.dummyfunction("""COMPUTED_VALUE"""),326.43)</f>
        <v>326.43</v>
      </c>
      <c r="F1116" s="2" t="n">
        <f aca="false">IFERROR(__xludf.dummyfunction("""COMPUTED_VALUE"""),122611360)</f>
        <v>122611360</v>
      </c>
    </row>
    <row r="1117" customFormat="false" ht="15.75" hidden="false" customHeight="false" outlineLevel="0" collapsed="false">
      <c r="A1117" s="3" t="n">
        <f aca="false">IFERROR(__xludf.dummyfunction("""COMPUTED_VALUE"""),45820.6666666667)</f>
        <v>45820.6666666667</v>
      </c>
      <c r="B1117" s="2" t="n">
        <f aca="false">IFERROR(__xludf.dummyfunction("""COMPUTED_VALUE"""),323.08)</f>
        <v>323.08</v>
      </c>
      <c r="C1117" s="2" t="n">
        <f aca="false">IFERROR(__xludf.dummyfunction("""COMPUTED_VALUE"""),332.56)</f>
        <v>332.56</v>
      </c>
      <c r="D1117" s="2" t="n">
        <f aca="false">IFERROR(__xludf.dummyfunction("""COMPUTED_VALUE"""),316.86)</f>
        <v>316.86</v>
      </c>
      <c r="E1117" s="2" t="n">
        <f aca="false">IFERROR(__xludf.dummyfunction("""COMPUTED_VALUE"""),319.11)</f>
        <v>319.11</v>
      </c>
      <c r="F1117" s="2" t="n">
        <f aca="false">IFERROR(__xludf.dummyfunction("""COMPUTED_VALUE"""),105127536)</f>
        <v>105127536</v>
      </c>
    </row>
    <row r="1118" customFormat="false" ht="15.75" hidden="false" customHeight="false" outlineLevel="0" collapsed="false">
      <c r="A1118" s="3" t="n">
        <f aca="false">IFERROR(__xludf.dummyfunction("""COMPUTED_VALUE"""),45821.6666666667)</f>
        <v>45821.6666666667</v>
      </c>
      <c r="B1118" s="2" t="n">
        <f aca="false">IFERROR(__xludf.dummyfunction("""COMPUTED_VALUE"""),313.97)</f>
        <v>313.97</v>
      </c>
      <c r="C1118" s="2" t="n">
        <f aca="false">IFERROR(__xludf.dummyfunction("""COMPUTED_VALUE"""),332.99)</f>
        <v>332.99</v>
      </c>
      <c r="D1118" s="2" t="n">
        <f aca="false">IFERROR(__xludf.dummyfunction("""COMPUTED_VALUE"""),313.3)</f>
        <v>313.3</v>
      </c>
      <c r="E1118" s="2" t="n">
        <f aca="false">IFERROR(__xludf.dummyfunction("""COMPUTED_VALUE"""),325.31)</f>
        <v>325.31</v>
      </c>
      <c r="F1118" s="2" t="n">
        <f aca="false">IFERROR(__xludf.dummyfunction("""COMPUTED_VALUE"""),128964279)</f>
        <v>128964279</v>
      </c>
    </row>
    <row r="1119" customFormat="false" ht="15.75" hidden="false" customHeight="false" outlineLevel="0" collapsed="false">
      <c r="A1119" s="3" t="n">
        <f aca="false">IFERROR(__xludf.dummyfunction("""COMPUTED_VALUE"""),45824.6666666667)</f>
        <v>45824.6666666667</v>
      </c>
      <c r="B1119" s="2" t="n">
        <f aca="false">IFERROR(__xludf.dummyfunction("""COMPUTED_VALUE"""),331.29)</f>
        <v>331.29</v>
      </c>
      <c r="C1119" s="2" t="n">
        <f aca="false">IFERROR(__xludf.dummyfunction("""COMPUTED_VALUE"""),332.05)</f>
        <v>332.05</v>
      </c>
      <c r="D1119" s="2" t="n">
        <f aca="false">IFERROR(__xludf.dummyfunction("""COMPUTED_VALUE"""),326.41)</f>
        <v>326.41</v>
      </c>
      <c r="E1119" s="2" t="n">
        <f aca="false">IFERROR(__xludf.dummyfunction("""COMPUTED_VALUE"""),329.13)</f>
        <v>329.13</v>
      </c>
      <c r="F1119" s="2" t="n">
        <f aca="false">IFERROR(__xludf.dummyfunction("""COMPUTED_VALUE"""),83925858)</f>
        <v>83925858</v>
      </c>
    </row>
    <row r="1120" customFormat="false" ht="15.75" hidden="false" customHeight="false" outlineLevel="0" collapsed="false">
      <c r="A1120" s="3" t="n">
        <f aca="false">IFERROR(__xludf.dummyfunction("""COMPUTED_VALUE"""),45825.6666666667)</f>
        <v>45825.6666666667</v>
      </c>
      <c r="B1120" s="2" t="n">
        <f aca="false">IFERROR(__xludf.dummyfunction("""COMPUTED_VALUE"""),326.09)</f>
        <v>326.09</v>
      </c>
      <c r="C1120" s="2" t="n">
        <f aca="false">IFERROR(__xludf.dummyfunction("""COMPUTED_VALUE"""),327.26)</f>
        <v>327.26</v>
      </c>
      <c r="D1120" s="2" t="n">
        <f aca="false">IFERROR(__xludf.dummyfunction("""COMPUTED_VALUE"""),314.74)</f>
        <v>314.74</v>
      </c>
      <c r="E1120" s="2" t="n">
        <f aca="false">IFERROR(__xludf.dummyfunction("""COMPUTED_VALUE"""),316.35)</f>
        <v>316.35</v>
      </c>
      <c r="F1120" s="2" t="n">
        <f aca="false">IFERROR(__xludf.dummyfunction("""COMPUTED_VALUE"""),88282669)</f>
        <v>88282669</v>
      </c>
    </row>
    <row r="1121" customFormat="false" ht="15.75" hidden="false" customHeight="false" outlineLevel="0" collapsed="false">
      <c r="A1121" s="3" t="n">
        <f aca="false">IFERROR(__xludf.dummyfunction("""COMPUTED_VALUE"""),45826.6666666667)</f>
        <v>45826.6666666667</v>
      </c>
      <c r="B1121" s="2" t="n">
        <f aca="false">IFERROR(__xludf.dummyfunction("""COMPUTED_VALUE"""),317.31)</f>
        <v>317.31</v>
      </c>
      <c r="C1121" s="2" t="n">
        <f aca="false">IFERROR(__xludf.dummyfunction("""COMPUTED_VALUE"""),329.32)</f>
        <v>329.32</v>
      </c>
      <c r="D1121" s="2" t="n">
        <f aca="false">IFERROR(__xludf.dummyfunction("""COMPUTED_VALUE"""),315.45)</f>
        <v>315.45</v>
      </c>
      <c r="E1121" s="2" t="n">
        <f aca="false">IFERROR(__xludf.dummyfunction("""COMPUTED_VALUE"""),322.05)</f>
        <v>322.05</v>
      </c>
      <c r="F1121" s="2" t="n">
        <f aca="false">IFERROR(__xludf.dummyfunction("""COMPUTED_VALUE"""),95137686)</f>
        <v>95137686</v>
      </c>
    </row>
    <row r="1122" customFormat="false" ht="15.75" hidden="false" customHeight="false" outlineLevel="0" collapsed="false">
      <c r="A1122" s="3" t="n">
        <f aca="false">IFERROR(__xludf.dummyfunction("""COMPUTED_VALUE"""),45828.6666666667)</f>
        <v>45828.6666666667</v>
      </c>
      <c r="B1122" s="2" t="n">
        <f aca="false">IFERROR(__xludf.dummyfunction("""COMPUTED_VALUE"""),327.95)</f>
        <v>327.95</v>
      </c>
      <c r="C1122" s="2" t="n">
        <f aca="false">IFERROR(__xludf.dummyfunction("""COMPUTED_VALUE"""),332.36)</f>
        <v>332.36</v>
      </c>
      <c r="D1122" s="2" t="n">
        <f aca="false">IFERROR(__xludf.dummyfunction("""COMPUTED_VALUE"""),317.78)</f>
        <v>317.78</v>
      </c>
      <c r="E1122" s="2" t="n">
        <f aca="false">IFERROR(__xludf.dummyfunction("""COMPUTED_VALUE"""),322.16)</f>
        <v>322.16</v>
      </c>
      <c r="F1122" s="2" t="n">
        <f aca="false">IFERROR(__xludf.dummyfunction("""COMPUTED_VALUE"""),108688008)</f>
        <v>108688008</v>
      </c>
    </row>
    <row r="1123" customFormat="false" ht="15.75" hidden="false" customHeight="false" outlineLevel="0" collapsed="false">
      <c r="A1123" s="3" t="n">
        <f aca="false">IFERROR(__xludf.dummyfunction("""COMPUTED_VALUE"""),45831.6666666667)</f>
        <v>45831.6666666667</v>
      </c>
      <c r="B1123" s="2" t="n">
        <f aca="false">IFERROR(__xludf.dummyfunction("""COMPUTED_VALUE"""),327.54)</f>
        <v>327.54</v>
      </c>
      <c r="C1123" s="2" t="n">
        <f aca="false">IFERROR(__xludf.dummyfunction("""COMPUTED_VALUE"""),357.54)</f>
        <v>357.54</v>
      </c>
      <c r="D1123" s="2" t="n">
        <f aca="false">IFERROR(__xludf.dummyfunction("""COMPUTED_VALUE"""),327.48)</f>
        <v>327.48</v>
      </c>
      <c r="E1123" s="2" t="n">
        <f aca="false">IFERROR(__xludf.dummyfunction("""COMPUTED_VALUE"""),348.68)</f>
        <v>348.68</v>
      </c>
      <c r="F1123" s="2" t="n">
        <f aca="false">IFERROR(__xludf.dummyfunction("""COMPUTED_VALUE"""),190716815)</f>
        <v>190716815</v>
      </c>
    </row>
    <row r="1124" customFormat="false" ht="15.75" hidden="false" customHeight="false" outlineLevel="0" collapsed="false">
      <c r="A1124" s="3" t="n">
        <f aca="false">IFERROR(__xludf.dummyfunction("""COMPUTED_VALUE"""),45832.6666666667)</f>
        <v>45832.6666666667</v>
      </c>
      <c r="B1124" s="2" t="n">
        <f aca="false">IFERROR(__xludf.dummyfunction("""COMPUTED_VALUE"""),356.17)</f>
        <v>356.17</v>
      </c>
      <c r="C1124" s="2" t="n">
        <f aca="false">IFERROR(__xludf.dummyfunction("""COMPUTED_VALUE"""),356.26)</f>
        <v>356.26</v>
      </c>
      <c r="D1124" s="2" t="n">
        <f aca="false">IFERROR(__xludf.dummyfunction("""COMPUTED_VALUE"""),340.44)</f>
        <v>340.44</v>
      </c>
      <c r="E1124" s="2" t="n">
        <f aca="false">IFERROR(__xludf.dummyfunction("""COMPUTED_VALUE"""),340.47)</f>
        <v>340.47</v>
      </c>
      <c r="F1124" s="2" t="n">
        <f aca="false">IFERROR(__xludf.dummyfunction("""COMPUTED_VALUE"""),114736245)</f>
        <v>114736245</v>
      </c>
    </row>
    <row r="1125" customFormat="false" ht="15.75" hidden="false" customHeight="false" outlineLevel="0" collapsed="false">
      <c r="A1125" s="3" t="n">
        <f aca="false">IFERROR(__xludf.dummyfunction("""COMPUTED_VALUE"""),45833.6666666667)</f>
        <v>45833.6666666667</v>
      </c>
      <c r="B1125" s="2" t="n">
        <f aca="false">IFERROR(__xludf.dummyfunction("""COMPUTED_VALUE"""),342.7)</f>
        <v>342.7</v>
      </c>
      <c r="C1125" s="2" t="n">
        <f aca="false">IFERROR(__xludf.dummyfunction("""COMPUTED_VALUE"""),343)</f>
        <v>343</v>
      </c>
      <c r="D1125" s="2" t="n">
        <f aca="false">IFERROR(__xludf.dummyfunction("""COMPUTED_VALUE"""),320.4)</f>
        <v>320.4</v>
      </c>
      <c r="E1125" s="2" t="n">
        <f aca="false">IFERROR(__xludf.dummyfunction("""COMPUTED_VALUE"""),327.55)</f>
        <v>327.55</v>
      </c>
      <c r="F1125" s="2" t="n">
        <f aca="false">IFERROR(__xludf.dummyfunction("""COMPUTED_VALUE"""),119845050)</f>
        <v>119845050</v>
      </c>
    </row>
    <row r="1126" customFormat="false" ht="15.75" hidden="false" customHeight="false" outlineLevel="0" collapsed="false">
      <c r="A1126" s="3" t="n">
        <f aca="false">IFERROR(__xludf.dummyfunction("""COMPUTED_VALUE"""),45834.6666666667)</f>
        <v>45834.6666666667</v>
      </c>
      <c r="B1126" s="2" t="n">
        <f aca="false">IFERROR(__xludf.dummyfunction("""COMPUTED_VALUE"""),324.61)</f>
        <v>324.61</v>
      </c>
      <c r="C1126" s="2" t="n">
        <f aca="false">IFERROR(__xludf.dummyfunction("""COMPUTED_VALUE"""),331.05)</f>
        <v>331.05</v>
      </c>
      <c r="D1126" s="2" t="n">
        <f aca="false">IFERROR(__xludf.dummyfunction("""COMPUTED_VALUE"""),323.61)</f>
        <v>323.61</v>
      </c>
      <c r="E1126" s="2" t="n">
        <f aca="false">IFERROR(__xludf.dummyfunction("""COMPUTED_VALUE"""),325.78)</f>
        <v>325.78</v>
      </c>
      <c r="F1126" s="2" t="n">
        <f aca="false">IFERROR(__xludf.dummyfunction("""COMPUTED_VALUE"""),80440907)</f>
        <v>80440907</v>
      </c>
    </row>
    <row r="1127" customFormat="false" ht="15.75" hidden="false" customHeight="false" outlineLevel="0" collapsed="false">
      <c r="A1127" s="3" t="n">
        <f aca="false">IFERROR(__xludf.dummyfunction("""COMPUTED_VALUE"""),45835.6666666667)</f>
        <v>45835.6666666667</v>
      </c>
      <c r="B1127" s="2" t="n">
        <f aca="false">IFERROR(__xludf.dummyfunction("""COMPUTED_VALUE"""),324.51)</f>
        <v>324.51</v>
      </c>
      <c r="C1127" s="2" t="n">
        <f aca="false">IFERROR(__xludf.dummyfunction("""COMPUTED_VALUE"""),329.34)</f>
        <v>329.34</v>
      </c>
      <c r="D1127" s="2" t="n">
        <f aca="false">IFERROR(__xludf.dummyfunction("""COMPUTED_VALUE"""),317.5)</f>
        <v>317.5</v>
      </c>
      <c r="E1127" s="2" t="n">
        <f aca="false">IFERROR(__xludf.dummyfunction("""COMPUTED_VALUE"""),323.63)</f>
        <v>323.63</v>
      </c>
      <c r="F1127" s="2" t="n">
        <f aca="false">IFERROR(__xludf.dummyfunction("""COMPUTED_VALUE"""),89067049)</f>
        <v>89067049</v>
      </c>
    </row>
    <row r="1128" customFormat="false" ht="15.75" hidden="false" customHeight="false" outlineLevel="0" collapsed="false">
      <c r="A1128" s="3" t="n">
        <f aca="false">IFERROR(__xludf.dummyfunction("""COMPUTED_VALUE"""),45838.6666666667)</f>
        <v>45838.6666666667</v>
      </c>
      <c r="B1128" s="2" t="n">
        <f aca="false">IFERROR(__xludf.dummyfunction("""COMPUTED_VALUE"""),319.9)</f>
        <v>319.9</v>
      </c>
      <c r="C1128" s="2" t="n">
        <f aca="false">IFERROR(__xludf.dummyfunction("""COMPUTED_VALUE"""),325.58)</f>
        <v>325.58</v>
      </c>
      <c r="D1128" s="2" t="n">
        <f aca="false">IFERROR(__xludf.dummyfunction("""COMPUTED_VALUE"""),316.6)</f>
        <v>316.6</v>
      </c>
      <c r="E1128" s="2" t="n">
        <f aca="false">IFERROR(__xludf.dummyfunction("""COMPUTED_VALUE"""),317.66)</f>
        <v>317.66</v>
      </c>
      <c r="F1128" s="2" t="n">
        <f aca="false">IFERROR(__xludf.dummyfunction("""COMPUTED_VALUE"""),76695081)</f>
        <v>76695081</v>
      </c>
    </row>
    <row r="1129" customFormat="false" ht="15.75" hidden="false" customHeight="false" outlineLevel="0" collapsed="false">
      <c r="A1129" s="3" t="n">
        <f aca="false">IFERROR(__xludf.dummyfunction("""COMPUTED_VALUE"""),45839.6666666667)</f>
        <v>45839.6666666667</v>
      </c>
      <c r="B1129" s="2" t="n">
        <f aca="false">IFERROR(__xludf.dummyfunction("""COMPUTED_VALUE"""),298.46)</f>
        <v>298.46</v>
      </c>
      <c r="C1129" s="2" t="n">
        <f aca="false">IFERROR(__xludf.dummyfunction("""COMPUTED_VALUE"""),305.89)</f>
        <v>305.89</v>
      </c>
      <c r="D1129" s="2" t="n">
        <f aca="false">IFERROR(__xludf.dummyfunction("""COMPUTED_VALUE"""),293.21)</f>
        <v>293.21</v>
      </c>
      <c r="E1129" s="2" t="n">
        <f aca="false">IFERROR(__xludf.dummyfunction("""COMPUTED_VALUE"""),300.71)</f>
        <v>300.71</v>
      </c>
      <c r="F1129" s="2" t="n">
        <f aca="false">IFERROR(__xludf.dummyfunction("""COMPUTED_VALUE"""),145085665)</f>
        <v>145085665</v>
      </c>
    </row>
    <row r="1130" customFormat="false" ht="15.75" hidden="false" customHeight="false" outlineLevel="0" collapsed="false">
      <c r="A1130" s="3" t="n">
        <f aca="false">IFERROR(__xludf.dummyfunction("""COMPUTED_VALUE"""),45840.6666666667)</f>
        <v>45840.6666666667</v>
      </c>
      <c r="B1130" s="2" t="n">
        <f aca="false">IFERROR(__xludf.dummyfunction("""COMPUTED_VALUE"""),312.63)</f>
        <v>312.63</v>
      </c>
      <c r="C1130" s="2" t="n">
        <f aca="false">IFERROR(__xludf.dummyfunction("""COMPUTED_VALUE"""),316.83)</f>
        <v>316.83</v>
      </c>
      <c r="D1130" s="2" t="n">
        <f aca="false">IFERROR(__xludf.dummyfunction("""COMPUTED_VALUE"""),303.82)</f>
        <v>303.82</v>
      </c>
      <c r="E1130" s="2" t="n">
        <f aca="false">IFERROR(__xludf.dummyfunction("""COMPUTED_VALUE"""),315.65)</f>
        <v>315.65</v>
      </c>
      <c r="F1130" s="2" t="n">
        <f aca="false">IFERROR(__xludf.dummyfunction("""COMPUTED_VALUE"""),119483730)</f>
        <v>119483730</v>
      </c>
    </row>
    <row r="1131" customFormat="false" ht="15.75" hidden="false" customHeight="false" outlineLevel="0" collapsed="false">
      <c r="A1131" s="3" t="n">
        <f aca="false">IFERROR(__xludf.dummyfunction("""COMPUTED_VALUE"""),45841.5451388889)</f>
        <v>45841.5451388889</v>
      </c>
      <c r="B1131" s="2" t="n">
        <f aca="false">IFERROR(__xludf.dummyfunction("""COMPUTED_VALUE"""),317.99)</f>
        <v>317.99</v>
      </c>
      <c r="C1131" s="2" t="n">
        <f aca="false">IFERROR(__xludf.dummyfunction("""COMPUTED_VALUE"""),318.45)</f>
        <v>318.45</v>
      </c>
      <c r="D1131" s="2" t="n">
        <f aca="false">IFERROR(__xludf.dummyfunction("""COMPUTED_VALUE"""),312.76)</f>
        <v>312.76</v>
      </c>
      <c r="E1131" s="2" t="n">
        <f aca="false">IFERROR(__xludf.dummyfunction("""COMPUTED_VALUE"""),315.35)</f>
        <v>315.35</v>
      </c>
      <c r="F1131" s="2" t="n">
        <f aca="false">IFERROR(__xludf.dummyfunction("""COMPUTED_VALUE"""),58042302)</f>
        <v>58042302</v>
      </c>
    </row>
    <row r="1132" customFormat="false" ht="15.75" hidden="false" customHeight="false" outlineLevel="0" collapsed="false">
      <c r="A1132" s="3" t="n">
        <f aca="false">IFERROR(__xludf.dummyfunction("""COMPUTED_VALUE"""),45845.6666666667)</f>
        <v>45845.6666666667</v>
      </c>
      <c r="B1132" s="2" t="n">
        <f aca="false">IFERROR(__xludf.dummyfunction("""COMPUTED_VALUE"""),291.37)</f>
        <v>291.37</v>
      </c>
      <c r="C1132" s="2" t="n">
        <f aca="false">IFERROR(__xludf.dummyfunction("""COMPUTED_VALUE"""),296.15)</f>
        <v>296.15</v>
      </c>
      <c r="D1132" s="2" t="n">
        <f aca="false">IFERROR(__xludf.dummyfunction("""COMPUTED_VALUE"""),288.77)</f>
        <v>288.77</v>
      </c>
      <c r="E1132" s="2" t="n">
        <f aca="false">IFERROR(__xludf.dummyfunction("""COMPUTED_VALUE"""),293.94)</f>
        <v>293.94</v>
      </c>
      <c r="F1132" s="2" t="n">
        <f aca="false">IFERROR(__xludf.dummyfunction("""COMPUTED_VALUE"""),131177949)</f>
        <v>131177949</v>
      </c>
    </row>
    <row r="1133" customFormat="false" ht="15.75" hidden="false" customHeight="false" outlineLevel="0" collapsed="false">
      <c r="A1133" s="3" t="n">
        <f aca="false">IFERROR(__xludf.dummyfunction("""COMPUTED_VALUE"""),45846.6666666667)</f>
        <v>45846.6666666667</v>
      </c>
      <c r="B1133" s="2" t="n">
        <f aca="false">IFERROR(__xludf.dummyfunction("""COMPUTED_VALUE"""),297)</f>
        <v>297</v>
      </c>
      <c r="C1133" s="2" t="n">
        <f aca="false">IFERROR(__xludf.dummyfunction("""COMPUTED_VALUE"""),304.05)</f>
        <v>304.05</v>
      </c>
      <c r="D1133" s="2" t="n">
        <f aca="false">IFERROR(__xludf.dummyfunction("""COMPUTED_VALUE"""),294.35)</f>
        <v>294.35</v>
      </c>
      <c r="E1133" s="2" t="n">
        <f aca="false">IFERROR(__xludf.dummyfunction("""COMPUTED_VALUE"""),297.81)</f>
        <v>297.81</v>
      </c>
      <c r="F1133" s="2" t="n">
        <f aca="false">IFERROR(__xludf.dummyfunction("""COMPUTED_VALUE"""),103246742)</f>
        <v>103246742</v>
      </c>
    </row>
    <row r="1134" customFormat="false" ht="15.75" hidden="false" customHeight="false" outlineLevel="0" collapsed="false">
      <c r="A1134" s="3" t="n">
        <f aca="false">IFERROR(__xludf.dummyfunction("""COMPUTED_VALUE"""),45847.6666666667)</f>
        <v>45847.6666666667</v>
      </c>
      <c r="B1134" s="2" t="n">
        <f aca="false">IFERROR(__xludf.dummyfunction("""COMPUTED_VALUE"""),297.55)</f>
        <v>297.55</v>
      </c>
      <c r="C1134" s="2" t="n">
        <f aca="false">IFERROR(__xludf.dummyfunction("""COMPUTED_VALUE"""),300.15)</f>
        <v>300.15</v>
      </c>
      <c r="D1134" s="2" t="n">
        <f aca="false">IFERROR(__xludf.dummyfunction("""COMPUTED_VALUE"""),293.55)</f>
        <v>293.55</v>
      </c>
      <c r="E1134" s="2" t="n">
        <f aca="false">IFERROR(__xludf.dummyfunction("""COMPUTED_VALUE"""),295.88)</f>
        <v>295.88</v>
      </c>
      <c r="F1134" s="2" t="n">
        <f aca="false">IFERROR(__xludf.dummyfunction("""COMPUTED_VALUE"""),75586771)</f>
        <v>75586771</v>
      </c>
    </row>
    <row r="1135" customFormat="false" ht="15.75" hidden="false" customHeight="false" outlineLevel="0" collapsed="false">
      <c r="A1135" s="3" t="n">
        <f aca="false">IFERROR(__xludf.dummyfunction("""COMPUTED_VALUE"""),45848.6666666667)</f>
        <v>45848.6666666667</v>
      </c>
      <c r="B1135" s="2" t="n">
        <f aca="false">IFERROR(__xludf.dummyfunction("""COMPUTED_VALUE"""),300.05)</f>
        <v>300.05</v>
      </c>
      <c r="C1135" s="2" t="n">
        <f aca="false">IFERROR(__xludf.dummyfunction("""COMPUTED_VALUE"""),310.48)</f>
        <v>310.48</v>
      </c>
      <c r="D1135" s="2" t="n">
        <f aca="false">IFERROR(__xludf.dummyfunction("""COMPUTED_VALUE"""),300)</f>
        <v>300</v>
      </c>
      <c r="E1135" s="2" t="n">
        <f aca="false">IFERROR(__xludf.dummyfunction("""COMPUTED_VALUE"""),309.87)</f>
        <v>309.87</v>
      </c>
      <c r="F1135" s="2" t="n">
        <f aca="false">IFERROR(__xludf.dummyfunction("""COMPUTED_VALUE"""),104365271)</f>
        <v>104365271</v>
      </c>
    </row>
    <row r="1136" customFormat="false" ht="15.75" hidden="false" customHeight="false" outlineLevel="0" collapsed="false">
      <c r="A1136" s="3" t="n">
        <f aca="false">IFERROR(__xludf.dummyfunction("""COMPUTED_VALUE"""),45849.6666666667)</f>
        <v>45849.6666666667</v>
      </c>
      <c r="B1136" s="2" t="n">
        <f aca="false">IFERROR(__xludf.dummyfunction("""COMPUTED_VALUE"""),307.89)</f>
        <v>307.89</v>
      </c>
      <c r="C1136" s="2" t="n">
        <f aca="false">IFERROR(__xludf.dummyfunction("""COMPUTED_VALUE"""),314.09)</f>
        <v>314.09</v>
      </c>
      <c r="D1136" s="2" t="n">
        <f aca="false">IFERROR(__xludf.dummyfunction("""COMPUTED_VALUE"""),305.65)</f>
        <v>305.65</v>
      </c>
      <c r="E1136" s="2" t="n">
        <f aca="false">IFERROR(__xludf.dummyfunction("""COMPUTED_VALUE"""),313.51)</f>
        <v>313.51</v>
      </c>
      <c r="F1136" s="2" t="n">
        <f aca="false">IFERROR(__xludf.dummyfunction("""COMPUTED_VALUE"""),79236442)</f>
        <v>79236442</v>
      </c>
    </row>
    <row r="1137" customFormat="false" ht="15.75" hidden="false" customHeight="false" outlineLevel="0" collapsed="false">
      <c r="A1137" s="3" t="n">
        <f aca="false">IFERROR(__xludf.dummyfunction("""COMPUTED_VALUE"""),45852.6666666667)</f>
        <v>45852.6666666667</v>
      </c>
      <c r="B1137" s="2" t="n">
        <f aca="false">IFERROR(__xludf.dummyfunction("""COMPUTED_VALUE"""),317.73)</f>
        <v>317.73</v>
      </c>
      <c r="C1137" s="2" t="n">
        <f aca="false">IFERROR(__xludf.dummyfunction("""COMPUTED_VALUE"""),322.6)</f>
        <v>322.6</v>
      </c>
      <c r="D1137" s="2" t="n">
        <f aca="false">IFERROR(__xludf.dummyfunction("""COMPUTED_VALUE"""),312.67)</f>
        <v>312.67</v>
      </c>
      <c r="E1137" s="2" t="n">
        <f aca="false">IFERROR(__xludf.dummyfunction("""COMPUTED_VALUE"""),316.9)</f>
        <v>316.9</v>
      </c>
      <c r="F1137" s="2" t="n">
        <f aca="false">IFERROR(__xludf.dummyfunction("""COMPUTED_VALUE"""),78043430)</f>
        <v>78043430</v>
      </c>
    </row>
    <row r="1138" customFormat="false" ht="15.75" hidden="false" customHeight="false" outlineLevel="0" collapsed="false">
      <c r="A1138" s="3" t="n">
        <f aca="false">IFERROR(__xludf.dummyfunction("""COMPUTED_VALUE"""),45853.6666666667)</f>
        <v>45853.6666666667</v>
      </c>
      <c r="B1138" s="2" t="n">
        <f aca="false">IFERROR(__xludf.dummyfunction("""COMPUTED_VALUE"""),319.68)</f>
        <v>319.68</v>
      </c>
      <c r="C1138" s="2" t="n">
        <f aca="false">IFERROR(__xludf.dummyfunction("""COMPUTED_VALUE"""),321.2)</f>
        <v>321.2</v>
      </c>
      <c r="D1138" s="2" t="n">
        <f aca="false">IFERROR(__xludf.dummyfunction("""COMPUTED_VALUE"""),310.5)</f>
        <v>310.5</v>
      </c>
      <c r="E1138" s="2" t="n">
        <f aca="false">IFERROR(__xludf.dummyfunction("""COMPUTED_VALUE"""),310.78)</f>
        <v>310.78</v>
      </c>
      <c r="F1138" s="2" t="n">
        <f aca="false">IFERROR(__xludf.dummyfunction("""COMPUTED_VALUE"""),77556346)</f>
        <v>77556346</v>
      </c>
    </row>
    <row r="1139" customFormat="false" ht="15.75" hidden="false" customHeight="false" outlineLevel="0" collapsed="false">
      <c r="A1139" s="3" t="n">
        <f aca="false">IFERROR(__xludf.dummyfunction("""COMPUTED_VALUE"""),45854.6666666667)</f>
        <v>45854.6666666667</v>
      </c>
      <c r="B1139" s="2" t="n">
        <f aca="false">IFERROR(__xludf.dummyfunction("""COMPUTED_VALUE"""),312.8)</f>
        <v>312.8</v>
      </c>
      <c r="C1139" s="2" t="n">
        <f aca="false">IFERROR(__xludf.dummyfunction("""COMPUTED_VALUE"""),323.5)</f>
        <v>323.5</v>
      </c>
      <c r="D1139" s="2" t="n">
        <f aca="false">IFERROR(__xludf.dummyfunction("""COMPUTED_VALUE"""),312.62)</f>
        <v>312.62</v>
      </c>
      <c r="E1139" s="2" t="n">
        <f aca="false">IFERROR(__xludf.dummyfunction("""COMPUTED_VALUE"""),321.67)</f>
        <v>321.67</v>
      </c>
      <c r="F1139" s="2" t="n">
        <f aca="false">IFERROR(__xludf.dummyfunction("""COMPUTED_VALUE"""),97284786)</f>
        <v>97284786</v>
      </c>
    </row>
    <row r="1140" customFormat="false" ht="15.75" hidden="false" customHeight="false" outlineLevel="0" collapsed="false">
      <c r="A1140" s="3" t="n">
        <f aca="false">IFERROR(__xludf.dummyfunction("""COMPUTED_VALUE"""),45855.6666666667)</f>
        <v>45855.6666666667</v>
      </c>
      <c r="B1140" s="2" t="n">
        <f aca="false">IFERROR(__xludf.dummyfunction("""COMPUTED_VALUE"""),323.15)</f>
        <v>323.15</v>
      </c>
      <c r="C1140" s="2" t="n">
        <f aca="false">IFERROR(__xludf.dummyfunction("""COMPUTED_VALUE"""),324.34)</f>
        <v>324.34</v>
      </c>
      <c r="D1140" s="2" t="n">
        <f aca="false">IFERROR(__xludf.dummyfunction("""COMPUTED_VALUE"""),317.06)</f>
        <v>317.06</v>
      </c>
      <c r="E1140" s="2" t="n">
        <f aca="false">IFERROR(__xludf.dummyfunction("""COMPUTED_VALUE"""),319.41)</f>
        <v>319.41</v>
      </c>
      <c r="F1140" s="2" t="n">
        <f aca="false">IFERROR(__xludf.dummyfunction("""COMPUTED_VALUE"""),73922870)</f>
        <v>73922870</v>
      </c>
    </row>
    <row r="1141" customFormat="false" ht="15.75" hidden="false" customHeight="false" outlineLevel="0" collapsed="false">
      <c r="A1141" s="3" t="n">
        <f aca="false">IFERROR(__xludf.dummyfunction("""COMPUTED_VALUE"""),45856.6666666667)</f>
        <v>45856.6666666667</v>
      </c>
      <c r="B1141" s="2" t="n">
        <f aca="false">IFERROR(__xludf.dummyfunction("""COMPUTED_VALUE"""),321.66)</f>
        <v>321.66</v>
      </c>
      <c r="C1141" s="2" t="n">
        <f aca="false">IFERROR(__xludf.dummyfunction("""COMPUTED_VALUE"""),330.9)</f>
        <v>330.9</v>
      </c>
      <c r="D1141" s="2" t="n">
        <f aca="false">IFERROR(__xludf.dummyfunction("""COMPUTED_VALUE"""),321.42)</f>
        <v>321.42</v>
      </c>
      <c r="E1141" s="2" t="n">
        <f aca="false">IFERROR(__xludf.dummyfunction("""COMPUTED_VALUE"""),329.65)</f>
        <v>329.65</v>
      </c>
      <c r="F1141" s="2" t="n">
        <f aca="false">IFERROR(__xludf.dummyfunction("""COMPUTED_VALUE"""),94254993)</f>
        <v>94254993</v>
      </c>
    </row>
    <row r="1142" customFormat="false" ht="15.75" hidden="false" customHeight="false" outlineLevel="0" collapsed="false">
      <c r="A1142" s="3" t="n">
        <f aca="false">IFERROR(__xludf.dummyfunction("""COMPUTED_VALUE"""),45859.6666666667)</f>
        <v>45859.6666666667</v>
      </c>
      <c r="B1142" s="2" t="n">
        <f aca="false">IFERROR(__xludf.dummyfunction("""COMPUTED_VALUE"""),334.4)</f>
        <v>334.4</v>
      </c>
      <c r="C1142" s="2" t="n">
        <f aca="false">IFERROR(__xludf.dummyfunction("""COMPUTED_VALUE"""),338)</f>
        <v>338</v>
      </c>
      <c r="D1142" s="2" t="n">
        <f aca="false">IFERROR(__xludf.dummyfunction("""COMPUTED_VALUE"""),326.88)</f>
        <v>326.88</v>
      </c>
      <c r="E1142" s="2" t="n">
        <f aca="false">IFERROR(__xludf.dummyfunction("""COMPUTED_VALUE"""),328.49)</f>
        <v>328.49</v>
      </c>
      <c r="F1142" s="2" t="n">
        <f aca="false">IFERROR(__xludf.dummyfunction("""COMPUTED_VALUE"""),75768797)</f>
        <v>75768797</v>
      </c>
    </row>
    <row r="1143" customFormat="false" ht="15.75" hidden="false" customHeight="false" outlineLevel="0" collapsed="false">
      <c r="A1143" s="3" t="n">
        <f aca="false">IFERROR(__xludf.dummyfunction("""COMPUTED_VALUE"""),45860.6666666667)</f>
        <v>45860.6666666667</v>
      </c>
      <c r="B1143" s="2" t="n">
        <f aca="false">IFERROR(__xludf.dummyfunction("""COMPUTED_VALUE"""),329.74)</f>
        <v>329.74</v>
      </c>
      <c r="C1143" s="2" t="n">
        <f aca="false">IFERROR(__xludf.dummyfunction("""COMPUTED_VALUE"""),335.41)</f>
        <v>335.41</v>
      </c>
      <c r="D1143" s="2" t="n">
        <f aca="false">IFERROR(__xludf.dummyfunction("""COMPUTED_VALUE"""),321.55)</f>
        <v>321.55</v>
      </c>
      <c r="E1143" s="2" t="n">
        <f aca="false">IFERROR(__xludf.dummyfunction("""COMPUTED_VALUE"""),332.11)</f>
        <v>332.11</v>
      </c>
      <c r="F1143" s="2" t="n">
        <f aca="false">IFERROR(__xludf.dummyfunction("""COMPUTED_VALUE"""),77370371)</f>
        <v>77370371</v>
      </c>
    </row>
    <row r="1144" customFormat="false" ht="15.75" hidden="false" customHeight="false" outlineLevel="0" collapsed="false">
      <c r="A1144" s="3" t="n">
        <f aca="false">IFERROR(__xludf.dummyfunction("""COMPUTED_VALUE"""),45861.6666666667)</f>
        <v>45861.6666666667</v>
      </c>
      <c r="B1144" s="2" t="n">
        <f aca="false">IFERROR(__xludf.dummyfunction("""COMPUTED_VALUE"""),330.9)</f>
        <v>330.9</v>
      </c>
      <c r="C1144" s="2" t="n">
        <f aca="false">IFERROR(__xludf.dummyfunction("""COMPUTED_VALUE"""),336.2)</f>
        <v>336.2</v>
      </c>
      <c r="D1144" s="2" t="n">
        <f aca="false">IFERROR(__xludf.dummyfunction("""COMPUTED_VALUE"""),328.67)</f>
        <v>328.67</v>
      </c>
      <c r="E1144" s="2" t="n">
        <f aca="false">IFERROR(__xludf.dummyfunction("""COMPUTED_VALUE"""),332.56)</f>
        <v>332.56</v>
      </c>
      <c r="F1144" s="2" t="n">
        <f aca="false">IFERROR(__xludf.dummyfunction("""COMPUTED_VALUE"""),92553756)</f>
        <v>92553756</v>
      </c>
    </row>
    <row r="1145" customFormat="false" ht="15.75" hidden="false" customHeight="false" outlineLevel="0" collapsed="false">
      <c r="A1145" s="3" t="n">
        <f aca="false">IFERROR(__xludf.dummyfunction("""COMPUTED_VALUE"""),45862.6666666667)</f>
        <v>45862.6666666667</v>
      </c>
      <c r="B1145" s="2" t="n">
        <f aca="false">IFERROR(__xludf.dummyfunction("""COMPUTED_VALUE"""),310)</f>
        <v>310</v>
      </c>
      <c r="C1145" s="2" t="n">
        <f aca="false">IFERROR(__xludf.dummyfunction("""COMPUTED_VALUE"""),310.15)</f>
        <v>310.15</v>
      </c>
      <c r="D1145" s="2" t="n">
        <f aca="false">IFERROR(__xludf.dummyfunction("""COMPUTED_VALUE"""),300.41)</f>
        <v>300.41</v>
      </c>
      <c r="E1145" s="2" t="n">
        <f aca="false">IFERROR(__xludf.dummyfunction("""COMPUTED_VALUE"""),305.3)</f>
        <v>305.3</v>
      </c>
      <c r="F1145" s="2" t="n">
        <f aca="false">IFERROR(__xludf.dummyfunction("""COMPUTED_VALUE"""),156966023)</f>
        <v>156966023</v>
      </c>
    </row>
    <row r="1146" customFormat="false" ht="15.75" hidden="false" customHeight="false" outlineLevel="0" collapsed="false">
      <c r="A1146" s="3" t="n">
        <f aca="false">IFERROR(__xludf.dummyfunction("""COMPUTED_VALUE"""),45863.6666666667)</f>
        <v>45863.6666666667</v>
      </c>
      <c r="B1146" s="2" t="n">
        <f aca="false">IFERROR(__xludf.dummyfunction("""COMPUTED_VALUE"""),308.74)</f>
        <v>308.74</v>
      </c>
      <c r="C1146" s="2" t="n">
        <f aca="false">IFERROR(__xludf.dummyfunction("""COMPUTED_VALUE"""),323.63)</f>
        <v>323.63</v>
      </c>
      <c r="D1146" s="2" t="n">
        <f aca="false">IFERROR(__xludf.dummyfunction("""COMPUTED_VALUE"""),308.01)</f>
        <v>308.01</v>
      </c>
      <c r="E1146" s="2" t="n">
        <f aca="false">IFERROR(__xludf.dummyfunction("""COMPUTED_VALUE"""),316.06)</f>
        <v>316.06</v>
      </c>
      <c r="F1146" s="2" t="n">
        <f aca="false">IFERROR(__xludf.dummyfunction("""COMPUTED_VALUE"""),148227027)</f>
        <v>148227027</v>
      </c>
    </row>
    <row r="1147" customFormat="false" ht="15.75" hidden="false" customHeight="false" outlineLevel="0" collapsed="false">
      <c r="A1147" s="3" t="n">
        <f aca="false">IFERROR(__xludf.dummyfunction("""COMPUTED_VALUE"""),45866.6666666667)</f>
        <v>45866.6666666667</v>
      </c>
      <c r="B1147" s="2" t="n">
        <f aca="false">IFERROR(__xludf.dummyfunction("""COMPUTED_VALUE"""),318.45)</f>
        <v>318.45</v>
      </c>
      <c r="C1147" s="2" t="n">
        <f aca="false">IFERROR(__xludf.dummyfunction("""COMPUTED_VALUE"""),330.49)</f>
        <v>330.49</v>
      </c>
      <c r="D1147" s="2" t="n">
        <f aca="false">IFERROR(__xludf.dummyfunction("""COMPUTED_VALUE"""),315.69)</f>
        <v>315.69</v>
      </c>
      <c r="E1147" s="2" t="n">
        <f aca="false">IFERROR(__xludf.dummyfunction("""COMPUTED_VALUE"""),325.59)</f>
        <v>325.59</v>
      </c>
      <c r="F1147" s="2" t="n">
        <f aca="false">IFERROR(__xludf.dummyfunction("""COMPUTED_VALUE"""),112673755)</f>
        <v>112673755</v>
      </c>
    </row>
    <row r="1148" customFormat="false" ht="15.75" hidden="false" customHeight="false" outlineLevel="0" collapsed="false">
      <c r="A1148" s="3" t="n">
        <f aca="false">IFERROR(__xludf.dummyfunction("""COMPUTED_VALUE"""),45867.6666666667)</f>
        <v>45867.6666666667</v>
      </c>
      <c r="B1148" s="2" t="n">
        <f aca="false">IFERROR(__xludf.dummyfunction("""COMPUTED_VALUE"""),325.55)</f>
        <v>325.55</v>
      </c>
      <c r="C1148" s="2" t="n">
        <f aca="false">IFERROR(__xludf.dummyfunction("""COMPUTED_VALUE"""),326.25)</f>
        <v>326.25</v>
      </c>
      <c r="D1148" s="2" t="n">
        <f aca="false">IFERROR(__xludf.dummyfunction("""COMPUTED_VALUE"""),318.25)</f>
        <v>318.25</v>
      </c>
      <c r="E1148" s="2" t="n">
        <f aca="false">IFERROR(__xludf.dummyfunction("""COMPUTED_VALUE"""),321.2)</f>
        <v>321.2</v>
      </c>
      <c r="F1148" s="2" t="n">
        <f aca="false">IFERROR(__xludf.dummyfunction("""COMPUTED_VALUE"""),87358861)</f>
        <v>87358861</v>
      </c>
    </row>
    <row r="1149" customFormat="false" ht="15.75" hidden="false" customHeight="false" outlineLevel="0" collapsed="false">
      <c r="A1149" s="3" t="n">
        <f aca="false">IFERROR(__xludf.dummyfunction("""COMPUTED_VALUE"""),45868.6666666667)</f>
        <v>45868.6666666667</v>
      </c>
      <c r="B1149" s="2" t="n">
        <f aca="false">IFERROR(__xludf.dummyfunction("""COMPUTED_VALUE"""),322.18)</f>
        <v>322.18</v>
      </c>
      <c r="C1149" s="2" t="n">
        <f aca="false">IFERROR(__xludf.dummyfunction("""COMPUTED_VALUE"""),324.45)</f>
        <v>324.45</v>
      </c>
      <c r="D1149" s="2" t="n">
        <f aca="false">IFERROR(__xludf.dummyfunction("""COMPUTED_VALUE"""),311.62)</f>
        <v>311.62</v>
      </c>
      <c r="E1149" s="2" t="n">
        <f aca="false">IFERROR(__xludf.dummyfunction("""COMPUTED_VALUE"""),319.04)</f>
        <v>319.04</v>
      </c>
      <c r="F1149" s="2" t="n">
        <f aca="false">IFERROR(__xludf.dummyfunction("""COMPUTED_VALUE"""),83931942)</f>
        <v>83931942</v>
      </c>
    </row>
    <row r="1150" customFormat="false" ht="15.75" hidden="false" customHeight="false" outlineLevel="0" collapsed="false">
      <c r="A1150" s="3" t="n">
        <f aca="false">IFERROR(__xludf.dummyfunction("""COMPUTED_VALUE"""),45869.6666666667)</f>
        <v>45869.6666666667</v>
      </c>
      <c r="B1150" s="2" t="n">
        <f aca="false">IFERROR(__xludf.dummyfunction("""COMPUTED_VALUE"""),319.61)</f>
        <v>319.61</v>
      </c>
      <c r="C1150" s="2" t="n">
        <f aca="false">IFERROR(__xludf.dummyfunction("""COMPUTED_VALUE"""),321.37)</f>
        <v>321.37</v>
      </c>
      <c r="D1150" s="2" t="n">
        <f aca="false">IFERROR(__xludf.dummyfunction("""COMPUTED_VALUE"""),306.1)</f>
        <v>306.1</v>
      </c>
      <c r="E1150" s="2" t="n">
        <f aca="false">IFERROR(__xludf.dummyfunction("""COMPUTED_VALUE"""),308.27)</f>
        <v>308.27</v>
      </c>
      <c r="F1150" s="2" t="n">
        <f aca="false">IFERROR(__xludf.dummyfunction("""COMPUTED_VALUE"""),85270919)</f>
        <v>85270919</v>
      </c>
    </row>
    <row r="1151" customFormat="false" ht="15.75" hidden="false" customHeight="false" outlineLevel="0" collapsed="false">
      <c r="A1151" s="3" t="n">
        <f aca="false">IFERROR(__xludf.dummyfunction("""COMPUTED_VALUE"""),45870.6666666667)</f>
        <v>45870.6666666667</v>
      </c>
      <c r="B1151" s="2" t="n">
        <f aca="false">IFERROR(__xludf.dummyfunction("""COMPUTED_VALUE"""),306.21)</f>
        <v>306.21</v>
      </c>
      <c r="C1151" s="2" t="n">
        <f aca="false">IFERROR(__xludf.dummyfunction("""COMPUTED_VALUE"""),309.31)</f>
        <v>309.31</v>
      </c>
      <c r="D1151" s="2" t="n">
        <f aca="false">IFERROR(__xludf.dummyfunction("""COMPUTED_VALUE"""),297.82)</f>
        <v>297.82</v>
      </c>
      <c r="E1151" s="2" t="n">
        <f aca="false">IFERROR(__xludf.dummyfunction("""COMPUTED_VALUE"""),302.63)</f>
        <v>302.63</v>
      </c>
      <c r="F1151" s="2" t="n">
        <f aca="false">IFERROR(__xludf.dummyfunction("""COMPUTED_VALUE"""),89121446)</f>
        <v>89121446</v>
      </c>
    </row>
    <row r="1152" customFormat="false" ht="15.75" hidden="false" customHeight="false" outlineLevel="0" collapsed="false">
      <c r="A1152" s="3" t="n">
        <f aca="false">IFERROR(__xludf.dummyfunction("""COMPUTED_VALUE"""),45873.6666666667)</f>
        <v>45873.6666666667</v>
      </c>
      <c r="B1152" s="2" t="n">
        <f aca="false">IFERROR(__xludf.dummyfunction("""COMPUTED_VALUE"""),309.08)</f>
        <v>309.08</v>
      </c>
      <c r="C1152" s="2" t="n">
        <f aca="false">IFERROR(__xludf.dummyfunction("""COMPUTED_VALUE"""),312.12)</f>
        <v>312.12</v>
      </c>
      <c r="D1152" s="2" t="n">
        <f aca="false">IFERROR(__xludf.dummyfunction("""COMPUTED_VALUE"""),303)</f>
        <v>303</v>
      </c>
      <c r="E1152" s="2" t="n">
        <f aca="false">IFERROR(__xludf.dummyfunction("""COMPUTED_VALUE"""),309.26)</f>
        <v>309.26</v>
      </c>
      <c r="F1152" s="2" t="n">
        <f aca="false">IFERROR(__xludf.dummyfunction("""COMPUTED_VALUE"""),78683905)</f>
        <v>78683905</v>
      </c>
    </row>
    <row r="1153" customFormat="false" ht="15.75" hidden="false" customHeight="false" outlineLevel="0" collapsed="false">
      <c r="A1153" s="3" t="n">
        <f aca="false">IFERROR(__xludf.dummyfunction("""COMPUTED_VALUE"""),45874.6666666667)</f>
        <v>45874.6666666667</v>
      </c>
      <c r="B1153" s="2" t="n">
        <f aca="false">IFERROR(__xludf.dummyfunction("""COMPUTED_VALUE"""),308.95)</f>
        <v>308.95</v>
      </c>
      <c r="C1153" s="2" t="n">
        <f aca="false">IFERROR(__xludf.dummyfunction("""COMPUTED_VALUE"""),312.45)</f>
        <v>312.45</v>
      </c>
      <c r="D1153" s="2" t="n">
        <f aca="false">IFERROR(__xludf.dummyfunction("""COMPUTED_VALUE"""),305.5)</f>
        <v>305.5</v>
      </c>
      <c r="E1153" s="2" t="n">
        <f aca="false">IFERROR(__xludf.dummyfunction("""COMPUTED_VALUE"""),308.72)</f>
        <v>308.72</v>
      </c>
      <c r="F1153" s="2" t="n">
        <f aca="false">IFERROR(__xludf.dummyfunction("""COMPUTED_VALUE"""),57961278)</f>
        <v>57961278</v>
      </c>
    </row>
    <row r="1154" customFormat="false" ht="15.75" hidden="false" customHeight="false" outlineLevel="0" collapsed="false">
      <c r="A1154" s="3" t="n">
        <f aca="false">IFERROR(__xludf.dummyfunction("""COMPUTED_VALUE"""),45875.6666666667)</f>
        <v>45875.6666666667</v>
      </c>
      <c r="B1154" s="2" t="n">
        <f aca="false">IFERROR(__xludf.dummyfunction("""COMPUTED_VALUE"""),307.89)</f>
        <v>307.89</v>
      </c>
      <c r="C1154" s="2" t="n">
        <f aca="false">IFERROR(__xludf.dummyfunction("""COMPUTED_VALUE"""),320.47)</f>
        <v>320.47</v>
      </c>
      <c r="D1154" s="2" t="n">
        <f aca="false">IFERROR(__xludf.dummyfunction("""COMPUTED_VALUE"""),306.93)</f>
        <v>306.93</v>
      </c>
      <c r="E1154" s="2" t="n">
        <f aca="false">IFERROR(__xludf.dummyfunction("""COMPUTED_VALUE"""),319.91)</f>
        <v>319.91</v>
      </c>
      <c r="F1154" s="2" t="n">
        <f aca="false">IFERROR(__xludf.dummyfunction("""COMPUTED_VALUE"""),78523579)</f>
        <v>78523579</v>
      </c>
    </row>
    <row r="1155" customFormat="false" ht="15.75" hidden="false" customHeight="false" outlineLevel="0" collapsed="false">
      <c r="A1155" s="3" t="n">
        <f aca="false">IFERROR(__xludf.dummyfunction("""COMPUTED_VALUE"""),45876.6666666667)</f>
        <v>45876.6666666667</v>
      </c>
      <c r="B1155" s="2" t="n">
        <f aca="false">IFERROR(__xludf.dummyfunction("""COMPUTED_VALUE"""),319.79)</f>
        <v>319.79</v>
      </c>
      <c r="C1155" s="2" t="n">
        <f aca="false">IFERROR(__xludf.dummyfunction("""COMPUTED_VALUE"""),322.4)</f>
        <v>322.4</v>
      </c>
      <c r="D1155" s="2" t="n">
        <f aca="false">IFERROR(__xludf.dummyfunction("""COMPUTED_VALUE"""),316.16)</f>
        <v>316.16</v>
      </c>
      <c r="E1155" s="2" t="n">
        <f aca="false">IFERROR(__xludf.dummyfunction("""COMPUTED_VALUE"""),322.27)</f>
        <v>322.27</v>
      </c>
      <c r="F1155" s="2" t="n">
        <f aca="false">IFERROR(__xludf.dummyfunction("""COMPUTED_VALUE"""),66658672)</f>
        <v>66658672</v>
      </c>
    </row>
    <row r="1156" customFormat="false" ht="15.75" hidden="false" customHeight="false" outlineLevel="0" collapsed="false">
      <c r="A1156" s="3" t="n">
        <f aca="false">IFERROR(__xludf.dummyfunction("""COMPUTED_VALUE"""),45877.6666666667)</f>
        <v>45877.6666666667</v>
      </c>
      <c r="B1156" s="2" t="n">
        <f aca="false">IFERROR(__xludf.dummyfunction("""COMPUTED_VALUE"""),321.43)</f>
        <v>321.43</v>
      </c>
      <c r="C1156" s="2" t="n">
        <f aca="false">IFERROR(__xludf.dummyfunction("""COMPUTED_VALUE"""),335.15)</f>
        <v>335.15</v>
      </c>
      <c r="D1156" s="2" t="n">
        <f aca="false">IFERROR(__xludf.dummyfunction("""COMPUTED_VALUE"""),320.98)</f>
        <v>320.98</v>
      </c>
      <c r="E1156" s="2" t="n">
        <f aca="false">IFERROR(__xludf.dummyfunction("""COMPUTED_VALUE"""),329.65)</f>
        <v>329.65</v>
      </c>
      <c r="F1156" s="2" t="n">
        <f aca="false">IFERROR(__xludf.dummyfunction("""COMPUTED_VALUE"""),91200319)</f>
        <v>91200319</v>
      </c>
    </row>
    <row r="1157" customFormat="false" ht="15.75" hidden="false" customHeight="false" outlineLevel="0" collapsed="false">
      <c r="A1157" s="3" t="n">
        <f aca="false">IFERROR(__xludf.dummyfunction("""COMPUTED_VALUE"""),45880.6666666667)</f>
        <v>45880.6666666667</v>
      </c>
      <c r="B1157" s="2" t="n">
        <f aca="false">IFERROR(__xludf.dummyfunction("""COMPUTED_VALUE"""),335)</f>
        <v>335</v>
      </c>
      <c r="C1157" s="2" t="n">
        <f aca="false">IFERROR(__xludf.dummyfunction("""COMPUTED_VALUE"""),346.64)</f>
        <v>346.64</v>
      </c>
      <c r="D1157" s="2" t="n">
        <f aca="false">IFERROR(__xludf.dummyfunction("""COMPUTED_VALUE"""),334.15)</f>
        <v>334.15</v>
      </c>
      <c r="E1157" s="2" t="n">
        <f aca="false">IFERROR(__xludf.dummyfunction("""COMPUTED_VALUE"""),339.03)</f>
        <v>339.03</v>
      </c>
      <c r="F1157" s="2" t="n">
        <f aca="false">IFERROR(__xludf.dummyfunction("""COMPUTED_VALUE"""),105320174)</f>
        <v>105320174</v>
      </c>
    </row>
    <row r="1158" customFormat="false" ht="15.75" hidden="false" customHeight="false" outlineLevel="0" collapsed="false">
      <c r="A1158" s="3" t="n">
        <f aca="false">IFERROR(__xludf.dummyfunction("""COMPUTED_VALUE"""),45881.6666666667)</f>
        <v>45881.6666666667</v>
      </c>
      <c r="B1158" s="2" t="n">
        <f aca="false">IFERROR(__xludf.dummyfunction("""COMPUTED_VALUE"""),345)</f>
        <v>345</v>
      </c>
      <c r="C1158" s="2" t="n">
        <f aca="false">IFERROR(__xludf.dummyfunction("""COMPUTED_VALUE"""),345.26)</f>
        <v>345.26</v>
      </c>
      <c r="D1158" s="2" t="n">
        <f aca="false">IFERROR(__xludf.dummyfunction("""COMPUTED_VALUE"""),332.94)</f>
        <v>332.94</v>
      </c>
      <c r="E1158" s="2" t="n">
        <f aca="false">IFERROR(__xludf.dummyfunction("""COMPUTED_VALUE"""),340.84)</f>
        <v>340.84</v>
      </c>
      <c r="F1158" s="2" t="n">
        <f aca="false">IFERROR(__xludf.dummyfunction("""COMPUTED_VALUE"""),80690111)</f>
        <v>80690111</v>
      </c>
    </row>
    <row r="1159" customFormat="false" ht="15.75" hidden="false" customHeight="false" outlineLevel="0" collapsed="false">
      <c r="A1159" s="3" t="n">
        <f aca="false">IFERROR(__xludf.dummyfunction("""COMPUTED_VALUE"""),45882.6666666667)</f>
        <v>45882.6666666667</v>
      </c>
      <c r="B1159" s="2" t="n">
        <f aca="false">IFERROR(__xludf.dummyfunction("""COMPUTED_VALUE"""),341.5)</f>
        <v>341.5</v>
      </c>
      <c r="C1159" s="2" t="n">
        <f aca="false">IFERROR(__xludf.dummyfunction("""COMPUTED_VALUE"""),348.98)</f>
        <v>348.98</v>
      </c>
      <c r="D1159" s="2" t="n">
        <f aca="false">IFERROR(__xludf.dummyfunction("""COMPUTED_VALUE"""),338.2)</f>
        <v>338.2</v>
      </c>
      <c r="E1159" s="2" t="n">
        <f aca="false">IFERROR(__xludf.dummyfunction("""COMPUTED_VALUE"""),339.38)</f>
        <v>339.38</v>
      </c>
      <c r="F1159" s="2" t="n">
        <f aca="false">IFERROR(__xludf.dummyfunction("""COMPUTED_VALUE"""),67838892)</f>
        <v>67838892</v>
      </c>
    </row>
    <row r="1160" customFormat="false" ht="15.75" hidden="false" customHeight="false" outlineLevel="0" collapsed="false">
      <c r="A1160" s="3" t="n">
        <f aca="false">IFERROR(__xludf.dummyfunction("""COMPUTED_VALUE"""),45883.6666666667)</f>
        <v>45883.6666666667</v>
      </c>
      <c r="B1160" s="2" t="n">
        <f aca="false">IFERROR(__xludf.dummyfunction("""COMPUTED_VALUE"""),335.76)</f>
        <v>335.76</v>
      </c>
      <c r="C1160" s="2" t="n">
        <f aca="false">IFERROR(__xludf.dummyfunction("""COMPUTED_VALUE"""),340.47)</f>
        <v>340.47</v>
      </c>
      <c r="D1160" s="2" t="n">
        <f aca="false">IFERROR(__xludf.dummyfunction("""COMPUTED_VALUE"""),330.4)</f>
        <v>330.4</v>
      </c>
      <c r="E1160" s="2" t="n">
        <f aca="false">IFERROR(__xludf.dummyfunction("""COMPUTED_VALUE"""),335.58)</f>
        <v>335.58</v>
      </c>
      <c r="F1160" s="2" t="n">
        <f aca="false">IFERROR(__xludf.dummyfunction("""COMPUTED_VALUE"""),75000662)</f>
        <v>75000662</v>
      </c>
    </row>
    <row r="1161" customFormat="false" ht="15.75" hidden="false" customHeight="false" outlineLevel="0" collapsed="false">
      <c r="A1161" s="3" t="n">
        <f aca="false">IFERROR(__xludf.dummyfunction("""COMPUTED_VALUE"""),45884.6666666667)</f>
        <v>45884.6666666667</v>
      </c>
      <c r="B1161" s="2" t="n">
        <f aca="false">IFERROR(__xludf.dummyfunction("""COMPUTED_VALUE"""),337.66)</f>
        <v>337.66</v>
      </c>
      <c r="C1161" s="2" t="n">
        <f aca="false">IFERROR(__xludf.dummyfunction("""COMPUTED_VALUE"""),339.3)</f>
        <v>339.3</v>
      </c>
      <c r="D1161" s="2" t="n">
        <f aca="false">IFERROR(__xludf.dummyfunction("""COMPUTED_VALUE"""),327.02)</f>
        <v>327.02</v>
      </c>
      <c r="E1161" s="2" t="n">
        <f aca="false">IFERROR(__xludf.dummyfunction("""COMPUTED_VALUE"""),330.56)</f>
        <v>330.56</v>
      </c>
      <c r="F1161" s="2" t="n">
        <f aca="false">IFERROR(__xludf.dummyfunction("""COMPUTED_VALUE"""),74319792)</f>
        <v>74319792</v>
      </c>
    </row>
    <row r="1162" customFormat="false" ht="15.75" hidden="false" customHeight="false" outlineLevel="0" collapsed="false">
      <c r="A1162" s="3" t="n">
        <f aca="false">IFERROR(__xludf.dummyfunction("""COMPUTED_VALUE"""),45887.6666666667)</f>
        <v>45887.6666666667</v>
      </c>
      <c r="B1162" s="2" t="n">
        <f aca="false">IFERROR(__xludf.dummyfunction("""COMPUTED_VALUE"""),329.62)</f>
        <v>329.62</v>
      </c>
      <c r="C1162" s="2" t="n">
        <f aca="false">IFERROR(__xludf.dummyfunction("""COMPUTED_VALUE"""),336.27)</f>
        <v>336.27</v>
      </c>
      <c r="D1162" s="2" t="n">
        <f aca="false">IFERROR(__xludf.dummyfunction("""COMPUTED_VALUE"""),329.59)</f>
        <v>329.59</v>
      </c>
      <c r="E1162" s="2" t="n">
        <f aca="false">IFERROR(__xludf.dummyfunction("""COMPUTED_VALUE"""),335.16)</f>
        <v>335.16</v>
      </c>
      <c r="F1162" s="2" t="n">
        <f aca="false">IFERROR(__xludf.dummyfunction("""COMPUTED_VALUE"""),56956552)</f>
        <v>56956552</v>
      </c>
    </row>
    <row r="1163" customFormat="false" ht="15.75" hidden="false" customHeight="false" outlineLevel="0" collapsed="false">
      <c r="A1163" s="3" t="n">
        <f aca="false">IFERROR(__xludf.dummyfunction("""COMPUTED_VALUE"""),45888.6666666667)</f>
        <v>45888.6666666667</v>
      </c>
      <c r="B1163" s="2" t="n">
        <f aca="false">IFERROR(__xludf.dummyfunction("""COMPUTED_VALUE"""),335.79)</f>
        <v>335.79</v>
      </c>
      <c r="C1163" s="2" t="n">
        <f aca="false">IFERROR(__xludf.dummyfunction("""COMPUTED_VALUE"""),340.55)</f>
        <v>340.55</v>
      </c>
      <c r="D1163" s="2" t="n">
        <f aca="false">IFERROR(__xludf.dummyfunction("""COMPUTED_VALUE"""),327.85)</f>
        <v>327.85</v>
      </c>
      <c r="E1163" s="2" t="n">
        <f aca="false">IFERROR(__xludf.dummyfunction("""COMPUTED_VALUE"""),329.31)</f>
        <v>329.31</v>
      </c>
      <c r="F1163" s="2" t="n">
        <f aca="false">IFERROR(__xludf.dummyfunction("""COMPUTED_VALUE"""),75956002)</f>
        <v>75956002</v>
      </c>
    </row>
    <row r="1164" customFormat="false" ht="15.75" hidden="false" customHeight="false" outlineLevel="0" collapsed="false">
      <c r="A1164" s="3" t="n">
        <f aca="false">IFERROR(__xludf.dummyfunction("""COMPUTED_VALUE"""),45889.6666666667)</f>
        <v>45889.6666666667</v>
      </c>
      <c r="B1164" s="2" t="n">
        <f aca="false">IFERROR(__xludf.dummyfunction("""COMPUTED_VALUE"""),329.22)</f>
        <v>329.22</v>
      </c>
      <c r="C1164" s="2" t="n">
        <f aca="false">IFERROR(__xludf.dummyfunction("""COMPUTED_VALUE"""),331.37)</f>
        <v>331.37</v>
      </c>
      <c r="D1164" s="2" t="n">
        <f aca="false">IFERROR(__xludf.dummyfunction("""COMPUTED_VALUE"""),314.6)</f>
        <v>314.6</v>
      </c>
      <c r="E1164" s="2" t="n">
        <f aca="false">IFERROR(__xludf.dummyfunction("""COMPUTED_VALUE"""),323.9)</f>
        <v>323.9</v>
      </c>
      <c r="F1164" s="2" t="n">
        <f aca="false">IFERROR(__xludf.dummyfunction("""COMPUTED_VALUE"""),77481768)</f>
        <v>77481768</v>
      </c>
    </row>
    <row r="1165" customFormat="false" ht="15.75" hidden="false" customHeight="false" outlineLevel="0" collapsed="false">
      <c r="A1165" s="3" t="n">
        <f aca="false">IFERROR(__xludf.dummyfunction("""COMPUTED_VALUE"""),45890.6666666667)</f>
        <v>45890.6666666667</v>
      </c>
      <c r="B1165" s="2" t="n">
        <f aca="false">IFERROR(__xludf.dummyfunction("""COMPUTED_VALUE"""),322.08)</f>
        <v>322.08</v>
      </c>
      <c r="C1165" s="2" t="n">
        <f aca="false">IFERROR(__xludf.dummyfunction("""COMPUTED_VALUE"""),324.9)</f>
        <v>324.9</v>
      </c>
      <c r="D1165" s="2" t="n">
        <f aca="false">IFERROR(__xludf.dummyfunction("""COMPUTED_VALUE"""),318.68)</f>
        <v>318.68</v>
      </c>
      <c r="E1165" s="2" t="n">
        <f aca="false">IFERROR(__xludf.dummyfunction("""COMPUTED_VALUE"""),320.11)</f>
        <v>320.11</v>
      </c>
      <c r="F1165" s="2" t="n">
        <f aca="false">IFERROR(__xludf.dummyfunction("""COMPUTED_VALUE"""),55744445)</f>
        <v>55744445</v>
      </c>
    </row>
    <row r="1166" customFormat="false" ht="15.75" hidden="false" customHeight="false" outlineLevel="0" collapsed="false">
      <c r="A1166" s="3" t="n">
        <f aca="false">IFERROR(__xludf.dummyfunction("""COMPUTED_VALUE"""),45891.6666666667)</f>
        <v>45891.6666666667</v>
      </c>
      <c r="B1166" s="2" t="n">
        <f aca="false">IFERROR(__xludf.dummyfunction("""COMPUTED_VALUE"""),321.66)</f>
        <v>321.66</v>
      </c>
      <c r="C1166" s="2" t="n">
        <f aca="false">IFERROR(__xludf.dummyfunction("""COMPUTED_VALUE"""),340.25)</f>
        <v>340.25</v>
      </c>
      <c r="D1166" s="2" t="n">
        <f aca="false">IFERROR(__xludf.dummyfunction("""COMPUTED_VALUE"""),319.69)</f>
        <v>319.69</v>
      </c>
      <c r="E1166" s="2" t="n">
        <f aca="false">IFERROR(__xludf.dummyfunction("""COMPUTED_VALUE"""),340.01)</f>
        <v>340.01</v>
      </c>
      <c r="F1166" s="2" t="n">
        <f aca="false">IFERROR(__xludf.dummyfunction("""COMPUTED_VALUE"""),94016347)</f>
        <v>94016347</v>
      </c>
    </row>
    <row r="1167" customFormat="false" ht="15.75" hidden="false" customHeight="false" outlineLevel="0" collapsed="false">
      <c r="A1167" s="3" t="n">
        <f aca="false">IFERROR(__xludf.dummyfunction("""COMPUTED_VALUE"""),45894.6666666667)</f>
        <v>45894.6666666667</v>
      </c>
      <c r="B1167" s="2" t="n">
        <f aca="false">IFERROR(__xludf.dummyfunction("""COMPUTED_VALUE"""),338.9)</f>
        <v>338.9</v>
      </c>
      <c r="C1167" s="2" t="n">
        <f aca="false">IFERROR(__xludf.dummyfunction("""COMPUTED_VALUE"""),349.53)</f>
        <v>349.53</v>
      </c>
      <c r="D1167" s="2" t="n">
        <f aca="false">IFERROR(__xludf.dummyfunction("""COMPUTED_VALUE"""),335.03)</f>
        <v>335.03</v>
      </c>
      <c r="E1167" s="2" t="n">
        <f aca="false">IFERROR(__xludf.dummyfunction("""COMPUTED_VALUE"""),346.6)</f>
        <v>346.6</v>
      </c>
      <c r="F1167" s="2" t="n">
        <f aca="false">IFERROR(__xludf.dummyfunction("""COMPUTED_VALUE"""),86670037)</f>
        <v>86670037</v>
      </c>
    </row>
    <row r="1168" customFormat="false" ht="15.75" hidden="false" customHeight="false" outlineLevel="0" collapsed="false">
      <c r="A1168" s="3" t="n">
        <f aca="false">IFERROR(__xludf.dummyfunction("""COMPUTED_VALUE"""),45895.6666666667)</f>
        <v>45895.6666666667</v>
      </c>
      <c r="B1168" s="2" t="n">
        <f aca="false">IFERROR(__xludf.dummyfunction("""COMPUTED_VALUE"""),344.93)</f>
        <v>344.93</v>
      </c>
      <c r="C1168" s="2" t="n">
        <f aca="false">IFERROR(__xludf.dummyfunction("""COMPUTED_VALUE"""),351.9)</f>
        <v>351.9</v>
      </c>
      <c r="D1168" s="2" t="n">
        <f aca="false">IFERROR(__xludf.dummyfunction("""COMPUTED_VALUE"""),343.72)</f>
        <v>343.72</v>
      </c>
      <c r="E1168" s="2" t="n">
        <f aca="false">IFERROR(__xludf.dummyfunction("""COMPUTED_VALUE"""),351.67)</f>
        <v>351.67</v>
      </c>
      <c r="F1168" s="2" t="n">
        <f aca="false">IFERROR(__xludf.dummyfunction("""COMPUTED_VALUE"""),76651550)</f>
        <v>76651550</v>
      </c>
    </row>
    <row r="1169" customFormat="false" ht="15.75" hidden="false" customHeight="false" outlineLevel="0" collapsed="false">
      <c r="A1169" s="3" t="n">
        <f aca="false">IFERROR(__xludf.dummyfunction("""COMPUTED_VALUE"""),45896.6666666667)</f>
        <v>45896.6666666667</v>
      </c>
      <c r="B1169" s="2" t="n">
        <f aca="false">IFERROR(__xludf.dummyfunction("""COMPUTED_VALUE"""),351.94)</f>
        <v>351.94</v>
      </c>
      <c r="C1169" s="2" t="n">
        <f aca="false">IFERROR(__xludf.dummyfunction("""COMPUTED_VALUE"""),355.39)</f>
        <v>355.39</v>
      </c>
      <c r="D1169" s="2" t="n">
        <f aca="false">IFERROR(__xludf.dummyfunction("""COMPUTED_VALUE"""),349.16)</f>
        <v>349.16</v>
      </c>
      <c r="E1169" s="2" t="n">
        <f aca="false">IFERROR(__xludf.dummyfunction("""COMPUTED_VALUE"""),349.6)</f>
        <v>349.6</v>
      </c>
      <c r="F1169" s="2" t="n">
        <f aca="false">IFERROR(__xludf.dummyfunction("""COMPUTED_VALUE"""),65519012)</f>
        <v>65519012</v>
      </c>
    </row>
    <row r="1170" customFormat="false" ht="15.75" hidden="false" customHeight="false" outlineLevel="0" collapsed="false">
      <c r="A1170" s="3" t="n">
        <f aca="false">IFERROR(__xludf.dummyfunction("""COMPUTED_VALUE"""),45897.6666666667)</f>
        <v>45897.6666666667</v>
      </c>
      <c r="B1170" s="2" t="n">
        <f aca="false">IFERROR(__xludf.dummyfunction("""COMPUTED_VALUE"""),350.91)</f>
        <v>350.91</v>
      </c>
      <c r="C1170" s="2" t="n">
        <f aca="false">IFERROR(__xludf.dummyfunction("""COMPUTED_VALUE"""),353.55)</f>
        <v>353.55</v>
      </c>
      <c r="D1170" s="2" t="n">
        <f aca="false">IFERROR(__xludf.dummyfunction("""COMPUTED_VALUE"""),340.26)</f>
        <v>340.26</v>
      </c>
      <c r="E1170" s="2" t="n">
        <f aca="false">IFERROR(__xludf.dummyfunction("""COMPUTED_VALUE"""),345.98)</f>
        <v>345.98</v>
      </c>
      <c r="F1170" s="2" t="n">
        <f aca="false">IFERROR(__xludf.dummyfunction("""COMPUTED_VALUE"""),67903224)</f>
        <v>67903224</v>
      </c>
    </row>
    <row r="1171" customFormat="false" ht="15.75" hidden="false" customHeight="false" outlineLevel="0" collapsed="false">
      <c r="A1171" s="3" t="n">
        <f aca="false">IFERROR(__xludf.dummyfunction("""COMPUTED_VALUE"""),45898.6666666667)</f>
        <v>45898.6666666667</v>
      </c>
      <c r="B1171" s="2" t="n">
        <f aca="false">IFERROR(__xludf.dummyfunction("""COMPUTED_VALUE"""),347.23)</f>
        <v>347.23</v>
      </c>
      <c r="C1171" s="2" t="n">
        <f aca="false">IFERROR(__xludf.dummyfunction("""COMPUTED_VALUE"""),348.75)</f>
        <v>348.75</v>
      </c>
      <c r="D1171" s="2" t="n">
        <f aca="false">IFERROR(__xludf.dummyfunction("""COMPUTED_VALUE"""),331.7)</f>
        <v>331.7</v>
      </c>
      <c r="E1171" s="2" t="n">
        <f aca="false">IFERROR(__xludf.dummyfunction("""COMPUTED_VALUE"""),333.87)</f>
        <v>333.87</v>
      </c>
      <c r="F1171" s="2" t="n">
        <f aca="false">IFERROR(__xludf.dummyfunction("""COMPUTED_VALUE"""),81145660)</f>
        <v>81145660</v>
      </c>
    </row>
    <row r="1172" customFormat="false" ht="15.75" hidden="false" customHeight="false" outlineLevel="0" collapsed="false">
      <c r="A1172" s="3" t="n">
        <f aca="false">IFERROR(__xludf.dummyfunction("""COMPUTED_VALUE"""),45902.6666666667)</f>
        <v>45902.6666666667</v>
      </c>
      <c r="B1172" s="2" t="n">
        <f aca="false">IFERROR(__xludf.dummyfunction("""COMPUTED_VALUE"""),328.23)</f>
        <v>328.23</v>
      </c>
      <c r="C1172" s="2" t="n">
        <f aca="false">IFERROR(__xludf.dummyfunction("""COMPUTED_VALUE"""),333.33)</f>
        <v>333.33</v>
      </c>
      <c r="D1172" s="2" t="n">
        <f aca="false">IFERROR(__xludf.dummyfunction("""COMPUTED_VALUE"""),325.6)</f>
        <v>325.6</v>
      </c>
      <c r="E1172" s="2" t="n">
        <f aca="false">IFERROR(__xludf.dummyfunction("""COMPUTED_VALUE"""),329.36)</f>
        <v>329.36</v>
      </c>
      <c r="F1172" s="2" t="n">
        <f aca="false">IFERROR(__xludf.dummyfunction("""COMPUTED_VALUE"""),58391952)</f>
        <v>58391952</v>
      </c>
    </row>
    <row r="1173" customFormat="false" ht="15.75" hidden="false" customHeight="false" outlineLevel="0" collapsed="false">
      <c r="A1173" s="3" t="n">
        <f aca="false">IFERROR(__xludf.dummyfunction("""COMPUTED_VALUE"""),45903.6666666667)</f>
        <v>45903.6666666667</v>
      </c>
      <c r="B1173" s="2" t="n">
        <f aca="false">IFERROR(__xludf.dummyfunction("""COMPUTED_VALUE"""),335.2)</f>
        <v>335.2</v>
      </c>
      <c r="C1173" s="2" t="n">
        <f aca="false">IFERROR(__xludf.dummyfunction("""COMPUTED_VALUE"""),343.33)</f>
        <v>343.33</v>
      </c>
      <c r="D1173" s="2" t="n">
        <f aca="false">IFERROR(__xludf.dummyfunction("""COMPUTED_VALUE"""),328.51)</f>
        <v>328.51</v>
      </c>
      <c r="E1173" s="2" t="n">
        <f aca="false">IFERROR(__xludf.dummyfunction("""COMPUTED_VALUE"""),334.09)</f>
        <v>334.09</v>
      </c>
      <c r="F1173" s="2" t="n">
        <f aca="false">IFERROR(__xludf.dummyfunction("""COMPUTED_VALUE"""),88733288)</f>
        <v>88733288</v>
      </c>
    </row>
    <row r="1174" customFormat="false" ht="15.75" hidden="false" customHeight="false" outlineLevel="0" collapsed="false">
      <c r="A1174" s="3" t="n">
        <f aca="false">IFERROR(__xludf.dummyfunction("""COMPUTED_VALUE"""),45904.6666666667)</f>
        <v>45904.6666666667</v>
      </c>
      <c r="B1174" s="2" t="n">
        <f aca="false">IFERROR(__xludf.dummyfunction("""COMPUTED_VALUE"""),336.15)</f>
        <v>336.15</v>
      </c>
      <c r="C1174" s="2" t="n">
        <f aca="false">IFERROR(__xludf.dummyfunction("""COMPUTED_VALUE"""),338.89)</f>
        <v>338.89</v>
      </c>
      <c r="D1174" s="2" t="n">
        <f aca="false">IFERROR(__xludf.dummyfunction("""COMPUTED_VALUE"""),331.48)</f>
        <v>331.48</v>
      </c>
      <c r="E1174" s="2" t="n">
        <f aca="false">IFERROR(__xludf.dummyfunction("""COMPUTED_VALUE"""),338.53)</f>
        <v>338.53</v>
      </c>
      <c r="F1174" s="2" t="n">
        <f aca="false">IFERROR(__xludf.dummyfunction("""COMPUTED_VALUE"""),60711033)</f>
        <v>60711033</v>
      </c>
    </row>
    <row r="1175" customFormat="false" ht="15.75" hidden="false" customHeight="false" outlineLevel="0" collapsed="false">
      <c r="A1175" s="3" t="n">
        <f aca="false">IFERROR(__xludf.dummyfunction("""COMPUTED_VALUE"""),45905.6666666667)</f>
        <v>45905.6666666667</v>
      </c>
      <c r="B1175" s="2" t="n">
        <f aca="false">IFERROR(__xludf.dummyfunction("""COMPUTED_VALUE"""),348)</f>
        <v>348</v>
      </c>
      <c r="C1175" s="2" t="n">
        <f aca="false">IFERROR(__xludf.dummyfunction("""COMPUTED_VALUE"""),355.87)</f>
        <v>355.87</v>
      </c>
      <c r="D1175" s="2" t="n">
        <f aca="false">IFERROR(__xludf.dummyfunction("""COMPUTED_VALUE"""),344.68)</f>
        <v>344.68</v>
      </c>
      <c r="E1175" s="2" t="n">
        <f aca="false">IFERROR(__xludf.dummyfunction("""COMPUTED_VALUE"""),350.84)</f>
        <v>350.84</v>
      </c>
      <c r="F1175" s="2" t="n">
        <f aca="false">IFERROR(__xludf.dummyfunction("""COMPUTED_VALUE"""),108989785)</f>
        <v>108989785</v>
      </c>
    </row>
    <row r="1176" customFormat="false" ht="15.75" hidden="false" customHeight="false" outlineLevel="0" collapsed="false">
      <c r="A1176" s="3" t="n">
        <f aca="false">IFERROR(__xludf.dummyfunction("""COMPUTED_VALUE"""),45908.6666666667)</f>
        <v>45908.6666666667</v>
      </c>
      <c r="B1176" s="2" t="n">
        <f aca="false">IFERROR(__xludf.dummyfunction("""COMPUTED_VALUE"""),354.64)</f>
        <v>354.64</v>
      </c>
      <c r="C1176" s="2" t="n">
        <f aca="false">IFERROR(__xludf.dummyfunction("""COMPUTED_VALUE"""),358.44)</f>
        <v>358.44</v>
      </c>
      <c r="D1176" s="2" t="n">
        <f aca="false">IFERROR(__xludf.dummyfunction("""COMPUTED_VALUE"""),344.84)</f>
        <v>344.84</v>
      </c>
      <c r="E1176" s="2" t="n">
        <f aca="false">IFERROR(__xludf.dummyfunction("""COMPUTED_VALUE"""),346.4)</f>
        <v>346.4</v>
      </c>
      <c r="F1176" s="2" t="n">
        <f aca="false">IFERROR(__xludf.dummyfunction("""COMPUTED_VALUE"""),75208290)</f>
        <v>75208290</v>
      </c>
    </row>
    <row r="1177" customFormat="false" ht="15.75" hidden="false" customHeight="false" outlineLevel="0" collapsed="false">
      <c r="A1177" s="3" t="n">
        <f aca="false">IFERROR(__xludf.dummyfunction("""COMPUTED_VALUE"""),45909.6666666667)</f>
        <v>45909.6666666667</v>
      </c>
      <c r="B1177" s="2" t="n">
        <f aca="false">IFERROR(__xludf.dummyfunction("""COMPUTED_VALUE"""),348.44)</f>
        <v>348.44</v>
      </c>
      <c r="C1177" s="2" t="n">
        <f aca="false">IFERROR(__xludf.dummyfunction("""COMPUTED_VALUE"""),350.77)</f>
        <v>350.77</v>
      </c>
      <c r="D1177" s="2" t="n">
        <f aca="false">IFERROR(__xludf.dummyfunction("""COMPUTED_VALUE"""),343.82)</f>
        <v>343.82</v>
      </c>
      <c r="E1177" s="2" t="n">
        <f aca="false">IFERROR(__xludf.dummyfunction("""COMPUTED_VALUE"""),346.97)</f>
        <v>346.97</v>
      </c>
      <c r="F1177" s="2" t="n">
        <f aca="false">IFERROR(__xludf.dummyfunction("""COMPUTED_VALUE"""),53815991)</f>
        <v>53815991</v>
      </c>
    </row>
    <row r="1178" customFormat="false" ht="15.75" hidden="false" customHeight="false" outlineLevel="0" collapsed="false">
      <c r="A1178" s="3" t="n">
        <f aca="false">IFERROR(__xludf.dummyfunction("""COMPUTED_VALUE"""),45910.6666666667)</f>
        <v>45910.6666666667</v>
      </c>
      <c r="B1178" s="2" t="n">
        <f aca="false">IFERROR(__xludf.dummyfunction("""COMPUTED_VALUE"""),350.55)</f>
        <v>350.55</v>
      </c>
      <c r="C1178" s="2" t="n">
        <f aca="false">IFERROR(__xludf.dummyfunction("""COMPUTED_VALUE"""),356.33)</f>
        <v>356.33</v>
      </c>
      <c r="D1178" s="2" t="n">
        <f aca="false">IFERROR(__xludf.dummyfunction("""COMPUTED_VALUE"""),346.07)</f>
        <v>346.07</v>
      </c>
      <c r="E1178" s="2" t="n">
        <f aca="false">IFERROR(__xludf.dummyfunction("""COMPUTED_VALUE"""),347.79)</f>
        <v>347.79</v>
      </c>
      <c r="F1178" s="2" t="n">
        <f aca="false">IFERROR(__xludf.dummyfunction("""COMPUTED_VALUE"""),72121679)</f>
        <v>72121679</v>
      </c>
    </row>
    <row r="1179" customFormat="false" ht="15.75" hidden="false" customHeight="false" outlineLevel="0" collapsed="false">
      <c r="A1179" s="3" t="n">
        <f aca="false">IFERROR(__xludf.dummyfunction("""COMPUTED_VALUE"""),45911.6666666667)</f>
        <v>45911.6666666667</v>
      </c>
      <c r="B1179" s="2" t="n">
        <f aca="false">IFERROR(__xludf.dummyfunction("""COMPUTED_VALUE"""),350.17)</f>
        <v>350.17</v>
      </c>
      <c r="C1179" s="2" t="n">
        <f aca="false">IFERROR(__xludf.dummyfunction("""COMPUTED_VALUE"""),368.99)</f>
        <v>368.99</v>
      </c>
      <c r="D1179" s="2" t="n">
        <f aca="false">IFERROR(__xludf.dummyfunction("""COMPUTED_VALUE"""),347.6)</f>
        <v>347.6</v>
      </c>
      <c r="E1179" s="2" t="n">
        <f aca="false">IFERROR(__xludf.dummyfunction("""COMPUTED_VALUE"""),368.81)</f>
        <v>368.81</v>
      </c>
      <c r="F1179" s="2" t="n">
        <f aca="false">IFERROR(__xludf.dummyfunction("""COMPUTED_VALUE"""),103756010)</f>
        <v>103756010</v>
      </c>
    </row>
    <row r="1180" customFormat="false" ht="15.75" hidden="false" customHeight="false" outlineLevel="0" collapsed="false">
      <c r="A1180" s="3" t="n">
        <f aca="false">IFERROR(__xludf.dummyfunction("""COMPUTED_VALUE"""),45912.6666666667)</f>
        <v>45912.6666666667</v>
      </c>
      <c r="B1180" s="2" t="n">
        <f aca="false">IFERROR(__xludf.dummyfunction("""COMPUTED_VALUE"""),370.94)</f>
        <v>370.94</v>
      </c>
      <c r="C1180" s="2" t="n">
        <f aca="false">IFERROR(__xludf.dummyfunction("""COMPUTED_VALUE"""),396.69)</f>
        <v>396.69</v>
      </c>
      <c r="D1180" s="2" t="n">
        <f aca="false">IFERROR(__xludf.dummyfunction("""COMPUTED_VALUE"""),370.24)</f>
        <v>370.24</v>
      </c>
      <c r="E1180" s="2" t="n">
        <f aca="false">IFERROR(__xludf.dummyfunction("""COMPUTED_VALUE"""),395.94)</f>
        <v>395.94</v>
      </c>
      <c r="F1180" s="2" t="n">
        <f aca="false">IFERROR(__xludf.dummyfunction("""COMPUTED_VALUE"""),168156391)</f>
        <v>168156391</v>
      </c>
    </row>
    <row r="1181" customFormat="false" ht="15.75" hidden="false" customHeight="false" outlineLevel="0" collapsed="false">
      <c r="A1181" s="3" t="n">
        <f aca="false">IFERROR(__xludf.dummyfunction("""COMPUTED_VALUE"""),45915.6666666667)</f>
        <v>45915.6666666667</v>
      </c>
      <c r="B1181" s="2" t="n">
        <f aca="false">IFERROR(__xludf.dummyfunction("""COMPUTED_VALUE"""),423.13)</f>
        <v>423.13</v>
      </c>
      <c r="C1181" s="2" t="n">
        <f aca="false">IFERROR(__xludf.dummyfunction("""COMPUTED_VALUE"""),425.7)</f>
        <v>425.7</v>
      </c>
      <c r="D1181" s="2" t="n">
        <f aca="false">IFERROR(__xludf.dummyfunction("""COMPUTED_VALUE"""),402.43)</f>
        <v>402.43</v>
      </c>
      <c r="E1181" s="2" t="n">
        <f aca="false">IFERROR(__xludf.dummyfunction("""COMPUTED_VALUE"""),410.04)</f>
        <v>410.04</v>
      </c>
      <c r="F1181" s="2" t="n">
        <f aca="false">IFERROR(__xludf.dummyfunction("""COMPUTED_VALUE"""),163823667)</f>
        <v>163823667</v>
      </c>
    </row>
    <row r="1182" customFormat="false" ht="15.75" hidden="false" customHeight="false" outlineLevel="0" collapsed="false">
      <c r="A1182" s="3" t="n">
        <f aca="false">IFERROR(__xludf.dummyfunction("""COMPUTED_VALUE"""),45916.6666666667)</f>
        <v>45916.6666666667</v>
      </c>
      <c r="B1182" s="2" t="n">
        <f aca="false">IFERROR(__xludf.dummyfunction("""COMPUTED_VALUE"""),414.5)</f>
        <v>414.5</v>
      </c>
      <c r="C1182" s="2" t="n">
        <f aca="false">IFERROR(__xludf.dummyfunction("""COMPUTED_VALUE"""),423.25)</f>
        <v>423.25</v>
      </c>
      <c r="D1182" s="2" t="n">
        <f aca="false">IFERROR(__xludf.dummyfunction("""COMPUTED_VALUE"""),411.43)</f>
        <v>411.43</v>
      </c>
      <c r="E1182" s="2" t="n">
        <f aca="false">IFERROR(__xludf.dummyfunction("""COMPUTED_VALUE"""),421.62)</f>
        <v>421.62</v>
      </c>
      <c r="F1182" s="2" t="n">
        <f aca="false">IFERROR(__xludf.dummyfunction("""COMPUTED_VALUE"""),104285721)</f>
        <v>104285721</v>
      </c>
    </row>
    <row r="1183" customFormat="false" ht="15.75" hidden="false" customHeight="false" outlineLevel="0" collapsed="false">
      <c r="A1183" s="3" t="n">
        <f aca="false">IFERROR(__xludf.dummyfunction("""COMPUTED_VALUE"""),45917.6666666667)</f>
        <v>45917.6666666667</v>
      </c>
      <c r="B1183" s="2" t="n">
        <f aca="false">IFERROR(__xludf.dummyfunction("""COMPUTED_VALUE"""),415.75)</f>
        <v>415.75</v>
      </c>
      <c r="C1183" s="2" t="n">
        <f aca="false">IFERROR(__xludf.dummyfunction("""COMPUTED_VALUE"""),428.31)</f>
        <v>428.31</v>
      </c>
      <c r="D1183" s="2" t="n">
        <f aca="false">IFERROR(__xludf.dummyfunction("""COMPUTED_VALUE"""),409.67)</f>
        <v>409.67</v>
      </c>
      <c r="E1183" s="2" t="n">
        <f aca="false">IFERROR(__xludf.dummyfunction("""COMPUTED_VALUE"""),425.86)</f>
        <v>425.86</v>
      </c>
      <c r="F1183" s="2" t="n">
        <f aca="false">IFERROR(__xludf.dummyfunction("""COMPUTED_VALUE"""),106133532)</f>
        <v>106133532</v>
      </c>
    </row>
    <row r="1184" customFormat="false" ht="15.75" hidden="false" customHeight="false" outlineLevel="0" collapsed="false">
      <c r="A1184" s="3" t="n">
        <f aca="false">IFERROR(__xludf.dummyfunction("""COMPUTED_VALUE"""),45918.6666666667)</f>
        <v>45918.6666666667</v>
      </c>
      <c r="B1184" s="2" t="n">
        <f aca="false">IFERROR(__xludf.dummyfunction("""COMPUTED_VALUE"""),428.87)</f>
        <v>428.87</v>
      </c>
      <c r="C1184" s="2" t="n">
        <f aca="false">IFERROR(__xludf.dummyfunction("""COMPUTED_VALUE"""),432.22)</f>
        <v>432.22</v>
      </c>
      <c r="D1184" s="2" t="n">
        <f aca="false">IFERROR(__xludf.dummyfunction("""COMPUTED_VALUE"""),416.56)</f>
        <v>416.56</v>
      </c>
      <c r="E1184" s="2" t="n">
        <f aca="false">IFERROR(__xludf.dummyfunction("""COMPUTED_VALUE"""),416.85)</f>
        <v>416.85</v>
      </c>
      <c r="F1184" s="2" t="n">
        <f aca="false">IFERROR(__xludf.dummyfunction("""COMPUTED_VALUE"""),90454509)</f>
        <v>90454509</v>
      </c>
    </row>
    <row r="1185" customFormat="false" ht="15.75" hidden="false" customHeight="false" outlineLevel="0" collapsed="false">
      <c r="A1185" s="3" t="n">
        <f aca="false">IFERROR(__xludf.dummyfunction("""COMPUTED_VALUE"""),45919.6666666667)</f>
        <v>45919.6666666667</v>
      </c>
      <c r="B1185" s="2" t="n">
        <f aca="false">IFERROR(__xludf.dummyfunction("""COMPUTED_VALUE"""),421.82)</f>
        <v>421.82</v>
      </c>
      <c r="C1185" s="2" t="n">
        <f aca="false">IFERROR(__xludf.dummyfunction("""COMPUTED_VALUE"""),429.47)</f>
        <v>429.47</v>
      </c>
      <c r="D1185" s="2" t="n">
        <f aca="false">IFERROR(__xludf.dummyfunction("""COMPUTED_VALUE"""),421.72)</f>
        <v>421.72</v>
      </c>
      <c r="E1185" s="2" t="n">
        <f aca="false">IFERROR(__xludf.dummyfunction("""COMPUTED_VALUE"""),426.07)</f>
        <v>426.07</v>
      </c>
      <c r="F1185" s="2" t="n">
        <f aca="false">IFERROR(__xludf.dummyfunction("""COMPUTED_VALUE"""),93131034)</f>
        <v>93131034</v>
      </c>
    </row>
    <row r="1186" customFormat="false" ht="15.75" hidden="false" customHeight="false" outlineLevel="0" collapsed="false">
      <c r="A1186" s="3" t="n">
        <f aca="false">IFERROR(__xludf.dummyfunction("""COMPUTED_VALUE"""),45922.6666666667)</f>
        <v>45922.6666666667</v>
      </c>
      <c r="B1186" s="2" t="n">
        <f aca="false">IFERROR(__xludf.dummyfunction("""COMPUTED_VALUE"""),431.11)</f>
        <v>431.11</v>
      </c>
      <c r="C1186" s="2" t="n">
        <f aca="false">IFERROR(__xludf.dummyfunction("""COMPUTED_VALUE"""),444.98)</f>
        <v>444.98</v>
      </c>
      <c r="D1186" s="2" t="n">
        <f aca="false">IFERROR(__xludf.dummyfunction("""COMPUTED_VALUE"""),429.13)</f>
        <v>429.13</v>
      </c>
      <c r="E1186" s="2" t="n">
        <f aca="false">IFERROR(__xludf.dummyfunction("""COMPUTED_VALUE"""),434.21)</f>
        <v>434.21</v>
      </c>
      <c r="F1186" s="2" t="n">
        <f aca="false">IFERROR(__xludf.dummyfunction("""COMPUTED_VALUE"""),97108777)</f>
        <v>97108777</v>
      </c>
    </row>
    <row r="1187" customFormat="false" ht="15.75" hidden="false" customHeight="false" outlineLevel="0" collapsed="false">
      <c r="A1187" s="3" t="n">
        <f aca="false">IFERROR(__xludf.dummyfunction("""COMPUTED_VALUE"""),45923.6666666667)</f>
        <v>45923.6666666667</v>
      </c>
      <c r="B1187" s="2" t="n">
        <f aca="false">IFERROR(__xludf.dummyfunction("""COMPUTED_VALUE"""),439.88)</f>
        <v>439.88</v>
      </c>
      <c r="C1187" s="2" t="n">
        <f aca="false">IFERROR(__xludf.dummyfunction("""COMPUTED_VALUE"""),440.97)</f>
        <v>440.97</v>
      </c>
      <c r="D1187" s="2" t="n">
        <f aca="false">IFERROR(__xludf.dummyfunction("""COMPUTED_VALUE"""),423.72)</f>
        <v>423.72</v>
      </c>
      <c r="E1187" s="2" t="n">
        <f aca="false">IFERROR(__xludf.dummyfunction("""COMPUTED_VALUE"""),425.85)</f>
        <v>425.85</v>
      </c>
      <c r="F1187" s="2" t="n">
        <f aca="false">IFERROR(__xludf.dummyfunction("""COMPUTED_VALUE"""),83422691)</f>
        <v>83422691</v>
      </c>
    </row>
    <row r="1188" customFormat="false" ht="15.75" hidden="false" customHeight="false" outlineLevel="0" collapsed="false">
      <c r="A1188" s="3" t="n">
        <f aca="false">IFERROR(__xludf.dummyfunction("""COMPUTED_VALUE"""),45924.6666666667)</f>
        <v>45924.6666666667</v>
      </c>
      <c r="B1188" s="2" t="n">
        <f aca="false">IFERROR(__xludf.dummyfunction("""COMPUTED_VALUE"""),429.83)</f>
        <v>429.83</v>
      </c>
      <c r="C1188" s="2" t="n">
        <f aca="false">IFERROR(__xludf.dummyfunction("""COMPUTED_VALUE"""),444.21)</f>
        <v>444.21</v>
      </c>
      <c r="D1188" s="2" t="n">
        <f aca="false">IFERROR(__xludf.dummyfunction("""COMPUTED_VALUE"""),429.03)</f>
        <v>429.03</v>
      </c>
      <c r="E1188" s="2" t="n">
        <f aca="false">IFERROR(__xludf.dummyfunction("""COMPUTED_VALUE"""),442.79)</f>
        <v>442.79</v>
      </c>
      <c r="F1188" s="2" t="n">
        <f aca="false">IFERROR(__xludf.dummyfunction("""COMPUTED_VALUE"""),93133570)</f>
        <v>93133570</v>
      </c>
    </row>
    <row r="1189" customFormat="false" ht="15.75" hidden="false" customHeight="false" outlineLevel="0" collapsed="false">
      <c r="A1189" s="3" t="n">
        <f aca="false">IFERROR(__xludf.dummyfunction("""COMPUTED_VALUE"""),45925.6666666667)</f>
        <v>45925.6666666667</v>
      </c>
      <c r="B1189" s="2" t="n">
        <f aca="false">IFERROR(__xludf.dummyfunction("""COMPUTED_VALUE"""),435.24)</f>
        <v>435.24</v>
      </c>
      <c r="C1189" s="2" t="n">
        <f aca="false">IFERROR(__xludf.dummyfunction("""COMPUTED_VALUE"""),435.35)</f>
        <v>435.35</v>
      </c>
      <c r="D1189" s="2" t="n">
        <f aca="false">IFERROR(__xludf.dummyfunction("""COMPUTED_VALUE"""),419.08)</f>
        <v>419.08</v>
      </c>
      <c r="E1189" s="2" t="n">
        <f aca="false">IFERROR(__xludf.dummyfunction("""COMPUTED_VALUE"""),423.39)</f>
        <v>423.39</v>
      </c>
      <c r="F1189" s="2" t="n">
        <f aca="false">IFERROR(__xludf.dummyfunction("""COMPUTED_VALUE"""),96746426)</f>
        <v>96746426</v>
      </c>
    </row>
    <row r="1190" customFormat="false" ht="15.75" hidden="false" customHeight="false" outlineLevel="0" collapsed="false">
      <c r="A1190" s="3" t="n">
        <f aca="false">IFERROR(__xludf.dummyfunction("""COMPUTED_VALUE"""),45926.6666666667)</f>
        <v>45926.6666666667</v>
      </c>
      <c r="B1190" s="2" t="n">
        <f aca="false">IFERROR(__xludf.dummyfunction("""COMPUTED_VALUE"""),428.3)</f>
        <v>428.3</v>
      </c>
      <c r="C1190" s="2" t="n">
        <f aca="false">IFERROR(__xludf.dummyfunction("""COMPUTED_VALUE"""),440.47)</f>
        <v>440.47</v>
      </c>
      <c r="D1190" s="2" t="n">
        <f aca="false">IFERROR(__xludf.dummyfunction("""COMPUTED_VALUE"""),421.02)</f>
        <v>421.02</v>
      </c>
      <c r="E1190" s="2" t="n">
        <f aca="false">IFERROR(__xludf.dummyfunction("""COMPUTED_VALUE"""),440.4)</f>
        <v>440.4</v>
      </c>
      <c r="F1190" s="2" t="n">
        <f aca="false">IFERROR(__xludf.dummyfunction("""COMPUTED_VALUE"""),101628160)</f>
        <v>101628160</v>
      </c>
    </row>
    <row r="1191" customFormat="false" ht="15.75" hidden="false" customHeight="false" outlineLevel="0" collapsed="false">
      <c r="A1191" s="3" t="n">
        <f aca="false">IFERROR(__xludf.dummyfunction("""COMPUTED_VALUE"""),45929.6666666667)</f>
        <v>45929.6666666667</v>
      </c>
      <c r="B1191" s="2" t="n">
        <f aca="false">IFERROR(__xludf.dummyfunction("""COMPUTED_VALUE"""),444.35)</f>
        <v>444.35</v>
      </c>
      <c r="C1191" s="2" t="n">
        <f aca="false">IFERROR(__xludf.dummyfunction("""COMPUTED_VALUE"""),450.98)</f>
        <v>450.98</v>
      </c>
      <c r="D1191" s="2" t="n">
        <f aca="false">IFERROR(__xludf.dummyfunction("""COMPUTED_VALUE"""),439.5)</f>
        <v>439.5</v>
      </c>
      <c r="E1191" s="2" t="n">
        <f aca="false">IFERROR(__xludf.dummyfunction("""COMPUTED_VALUE"""),443.21)</f>
        <v>443.21</v>
      </c>
      <c r="F1191" s="2" t="n">
        <f aca="false">IFERROR(__xludf.dummyfunction("""COMPUTED_VALUE"""),79491510)</f>
        <v>79491510</v>
      </c>
    </row>
    <row r="1192" customFormat="false" ht="15.75" hidden="false" customHeight="false" outlineLevel="0" collapsed="false">
      <c r="A1192" s="3" t="n">
        <f aca="false">IFERROR(__xludf.dummyfunction("""COMPUTED_VALUE"""),45930.6666666667)</f>
        <v>45930.6666666667</v>
      </c>
      <c r="B1192" s="2" t="n">
        <f aca="false">IFERROR(__xludf.dummyfunction("""COMPUTED_VALUE"""),441.52)</f>
        <v>441.52</v>
      </c>
      <c r="C1192" s="2" t="n">
        <f aca="false">IFERROR(__xludf.dummyfunction("""COMPUTED_VALUE"""),445)</f>
        <v>445</v>
      </c>
      <c r="D1192" s="2" t="n">
        <f aca="false">IFERROR(__xludf.dummyfunction("""COMPUTED_VALUE"""),433.12)</f>
        <v>433.12</v>
      </c>
      <c r="E1192" s="2" t="n">
        <f aca="false">IFERROR(__xludf.dummyfunction("""COMPUTED_VALUE"""),444.72)</f>
        <v>444.72</v>
      </c>
      <c r="F1192" s="2" t="n">
        <f aca="false">IFERROR(__xludf.dummyfunction("""COMPUTED_VALUE"""),74357960)</f>
        <v>74357960</v>
      </c>
    </row>
    <row r="1193" customFormat="false" ht="15.75" hidden="false" customHeight="false" outlineLevel="0" collapsed="false">
      <c r="A1193" s="3" t="n">
        <f aca="false">IFERROR(__xludf.dummyfunction("""COMPUTED_VALUE"""),45931.6666666667)</f>
        <v>45931.6666666667</v>
      </c>
      <c r="B1193" s="2" t="n">
        <f aca="false">IFERROR(__xludf.dummyfunction("""COMPUTED_VALUE"""),443.8)</f>
        <v>443.8</v>
      </c>
      <c r="C1193" s="2" t="n">
        <f aca="false">IFERROR(__xludf.dummyfunction("""COMPUTED_VALUE"""),462.29)</f>
        <v>462.29</v>
      </c>
      <c r="D1193" s="2" t="n">
        <f aca="false">IFERROR(__xludf.dummyfunction("""COMPUTED_VALUE"""),440.75)</f>
        <v>440.75</v>
      </c>
      <c r="E1193" s="2" t="n">
        <f aca="false">IFERROR(__xludf.dummyfunction("""COMPUTED_VALUE"""),459.46)</f>
        <v>459.46</v>
      </c>
      <c r="F1193" s="2" t="n">
        <f aca="false">IFERROR(__xludf.dummyfunction("""COMPUTED_VALUE"""),98122285)</f>
        <v>98122285</v>
      </c>
    </row>
    <row r="1194" customFormat="false" ht="15.75" hidden="false" customHeight="false" outlineLevel="0" collapsed="false">
      <c r="A1194" s="3" t="n">
        <f aca="false">IFERROR(__xludf.dummyfunction("""COMPUTED_VALUE"""),45932.6666666667)</f>
        <v>45932.6666666667</v>
      </c>
      <c r="B1194" s="2" t="n">
        <f aca="false">IFERROR(__xludf.dummyfunction("""COMPUTED_VALUE"""),470.54)</f>
        <v>470.54</v>
      </c>
      <c r="C1194" s="2" t="n">
        <f aca="false">IFERROR(__xludf.dummyfunction("""COMPUTED_VALUE"""),470.75)</f>
        <v>470.75</v>
      </c>
      <c r="D1194" s="2" t="n">
        <f aca="false">IFERROR(__xludf.dummyfunction("""COMPUTED_VALUE"""),435.57)</f>
        <v>435.57</v>
      </c>
      <c r="E1194" s="2" t="n">
        <f aca="false">IFERROR(__xludf.dummyfunction("""COMPUTED_VALUE"""),436)</f>
        <v>436</v>
      </c>
      <c r="F1194" s="2" t="n">
        <f aca="false">IFERROR(__xludf.dummyfunction("""COMPUTED_VALUE"""),137008950)</f>
        <v>137008950</v>
      </c>
    </row>
    <row r="1195" customFormat="false" ht="15.75" hidden="false" customHeight="false" outlineLevel="0" collapsed="false">
      <c r="A1195" s="3" t="n">
        <f aca="false">IFERROR(__xludf.dummyfunction("""COMPUTED_VALUE"""),45933.6666666667)</f>
        <v>45933.6666666667</v>
      </c>
      <c r="B1195" s="2" t="n">
        <f aca="false">IFERROR(__xludf.dummyfunction("""COMPUTED_VALUE"""),443.29)</f>
        <v>443.29</v>
      </c>
      <c r="C1195" s="2" t="n">
        <f aca="false">IFERROR(__xludf.dummyfunction("""COMPUTED_VALUE"""),446.77)</f>
        <v>446.77</v>
      </c>
      <c r="D1195" s="2" t="n">
        <f aca="false">IFERROR(__xludf.dummyfunction("""COMPUTED_VALUE"""),416.58)</f>
        <v>416.58</v>
      </c>
      <c r="E1195" s="2" t="n">
        <f aca="false">IFERROR(__xludf.dummyfunction("""COMPUTED_VALUE"""),429.83)</f>
        <v>429.83</v>
      </c>
      <c r="F1195" s="2" t="n">
        <f aca="false">IFERROR(__xludf.dummyfunction("""COMPUTED_VALUE"""),133188180)</f>
        <v>133188180</v>
      </c>
    </row>
    <row r="1196" customFormat="false" ht="15.75" hidden="false" customHeight="false" outlineLevel="0" collapsed="false">
      <c r="A1196" s="3" t="n">
        <f aca="false">IFERROR(__xludf.dummyfunction("""COMPUTED_VALUE"""),45936.6666666667)</f>
        <v>45936.6666666667</v>
      </c>
      <c r="B1196" s="2" t="n">
        <f aca="false">IFERROR(__xludf.dummyfunction("""COMPUTED_VALUE"""),440.75)</f>
        <v>440.75</v>
      </c>
      <c r="C1196" s="2" t="n">
        <f aca="false">IFERROR(__xludf.dummyfunction("""COMPUTED_VALUE"""),453.55)</f>
        <v>453.55</v>
      </c>
      <c r="D1196" s="2" t="n">
        <f aca="false">IFERROR(__xludf.dummyfunction("""COMPUTED_VALUE"""),436.69)</f>
        <v>436.69</v>
      </c>
      <c r="E1196" s="2" t="n">
        <f aca="false">IFERROR(__xludf.dummyfunction("""COMPUTED_VALUE"""),453.25)</f>
        <v>453.25</v>
      </c>
      <c r="F1196" s="2" t="n">
        <f aca="false">IFERROR(__xludf.dummyfunction("""COMPUTED_VALUE"""),85324878)</f>
        <v>85324878</v>
      </c>
    </row>
    <row r="1197" customFormat="false" ht="15.75" hidden="false" customHeight="false" outlineLevel="0" collapsed="false">
      <c r="A1197" s="3" t="n">
        <f aca="false">IFERROR(__xludf.dummyfunction("""COMPUTED_VALUE"""),45937.6666666667)</f>
        <v>45937.6666666667</v>
      </c>
      <c r="B1197" s="2" t="n">
        <f aca="false">IFERROR(__xludf.dummyfunction("""COMPUTED_VALUE"""),447.82)</f>
        <v>447.82</v>
      </c>
      <c r="C1197" s="2" t="n">
        <f aca="false">IFERROR(__xludf.dummyfunction("""COMPUTED_VALUE"""),452.68)</f>
        <v>452.68</v>
      </c>
      <c r="D1197" s="2" t="n">
        <f aca="false">IFERROR(__xludf.dummyfunction("""COMPUTED_VALUE"""),432.45)</f>
        <v>432.45</v>
      </c>
      <c r="E1197" s="2" t="n">
        <f aca="false">IFERROR(__xludf.dummyfunction("""COMPUTED_VALUE"""),433.09)</f>
        <v>433.09</v>
      </c>
      <c r="F1197" s="2" t="n">
        <f aca="false">IFERROR(__xludf.dummyfunction("""COMPUTED_VALUE"""),102296082)</f>
        <v>102296082</v>
      </c>
    </row>
    <row r="1198" customFormat="false" ht="15.75" hidden="false" customHeight="false" outlineLevel="0" collapsed="false">
      <c r="A1198" s="3" t="n">
        <f aca="false">IFERROR(__xludf.dummyfunction("""COMPUTED_VALUE"""),45938.6666666667)</f>
        <v>45938.6666666667</v>
      </c>
      <c r="B1198" s="2" t="n">
        <f aca="false">IFERROR(__xludf.dummyfunction("""COMPUTED_VALUE"""),437.57)</f>
        <v>437.57</v>
      </c>
      <c r="C1198" s="2" t="n">
        <f aca="false">IFERROR(__xludf.dummyfunction("""COMPUTED_VALUE"""),441.33)</f>
        <v>441.33</v>
      </c>
      <c r="D1198" s="2" t="n">
        <f aca="false">IFERROR(__xludf.dummyfunction("""COMPUTED_VALUE"""),425.23)</f>
        <v>425.23</v>
      </c>
      <c r="E1198" s="2" t="n">
        <f aca="false">IFERROR(__xludf.dummyfunction("""COMPUTED_VALUE"""),438.69)</f>
        <v>438.69</v>
      </c>
      <c r="F1198" s="2" t="n">
        <f aca="false">IFERROR(__xludf.dummyfunction("""COMPUTED_VALUE"""),71192128)</f>
        <v>71192128</v>
      </c>
    </row>
    <row r="1199" customFormat="false" ht="15.75" hidden="false" customHeight="false" outlineLevel="0" collapsed="false">
      <c r="A1199" s="3" t="n">
        <f aca="false">IFERROR(__xludf.dummyfunction("""COMPUTED_VALUE"""),45939.6666666667)</f>
        <v>45939.6666666667</v>
      </c>
      <c r="B1199" s="2" t="n">
        <f aca="false">IFERROR(__xludf.dummyfunction("""COMPUTED_VALUE"""),431.81)</f>
        <v>431.81</v>
      </c>
      <c r="C1199" s="2" t="n">
        <f aca="false">IFERROR(__xludf.dummyfunction("""COMPUTED_VALUE"""),436.35)</f>
        <v>436.35</v>
      </c>
      <c r="D1199" s="2" t="n">
        <f aca="false">IFERROR(__xludf.dummyfunction("""COMPUTED_VALUE"""),426.18)</f>
        <v>426.18</v>
      </c>
      <c r="E1199" s="2" t="n">
        <f aca="false">IFERROR(__xludf.dummyfunction("""COMPUTED_VALUE"""),435.54)</f>
        <v>435.54</v>
      </c>
      <c r="F1199" s="2" t="n">
        <f aca="false">IFERROR(__xludf.dummyfunction("""COMPUTED_VALUE"""),69339928)</f>
        <v>69339928</v>
      </c>
    </row>
    <row r="1200" customFormat="false" ht="15.75" hidden="false" customHeight="false" outlineLevel="0" collapsed="false">
      <c r="A1200" s="3" t="n">
        <f aca="false">IFERROR(__xludf.dummyfunction("""COMPUTED_VALUE"""),45940.6666666667)</f>
        <v>45940.6666666667</v>
      </c>
      <c r="B1200" s="2" t="n">
        <f aca="false">IFERROR(__xludf.dummyfunction("""COMPUTED_VALUE"""),436.54)</f>
        <v>436.54</v>
      </c>
      <c r="C1200" s="2" t="n">
        <f aca="false">IFERROR(__xludf.dummyfunction("""COMPUTED_VALUE"""),443.13)</f>
        <v>443.13</v>
      </c>
      <c r="D1200" s="2" t="n">
        <f aca="false">IFERROR(__xludf.dummyfunction("""COMPUTED_VALUE"""),411.45)</f>
        <v>411.45</v>
      </c>
      <c r="E1200" s="2" t="n">
        <f aca="false">IFERROR(__xludf.dummyfunction("""COMPUTED_VALUE"""),413.49)</f>
        <v>413.49</v>
      </c>
      <c r="F1200" s="2" t="n">
        <f aca="false">IFERROR(__xludf.dummyfunction("""COMPUTED_VALUE"""),112107870)</f>
        <v>112107870</v>
      </c>
    </row>
    <row r="1201" customFormat="false" ht="15.75" hidden="false" customHeight="false" outlineLevel="0" collapsed="false">
      <c r="A1201" s="3" t="n">
        <f aca="false">IFERROR(__xludf.dummyfunction("""COMPUTED_VALUE"""),45943.6666666667)</f>
        <v>45943.6666666667</v>
      </c>
      <c r="B1201" s="2" t="n">
        <f aca="false">IFERROR(__xludf.dummyfunction("""COMPUTED_VALUE"""),423.53)</f>
        <v>423.53</v>
      </c>
      <c r="C1201" s="2" t="n">
        <f aca="false">IFERROR(__xludf.dummyfunction("""COMPUTED_VALUE"""),436.89)</f>
        <v>436.89</v>
      </c>
      <c r="D1201" s="2" t="n">
        <f aca="false">IFERROR(__xludf.dummyfunction("""COMPUTED_VALUE"""),419.7)</f>
        <v>419.7</v>
      </c>
      <c r="E1201" s="2" t="n">
        <f aca="false">IFERROR(__xludf.dummyfunction("""COMPUTED_VALUE"""),435.9)</f>
        <v>435.9</v>
      </c>
      <c r="F1201" s="2" t="n">
        <f aca="false">IFERROR(__xludf.dummyfunction("""COMPUTED_VALUE"""),79552785)</f>
        <v>79552785</v>
      </c>
    </row>
    <row r="1202" customFormat="false" ht="15.75" hidden="false" customHeight="false" outlineLevel="0" collapsed="false">
      <c r="A1202" s="3" t="n">
        <f aca="false">IFERROR(__xludf.dummyfunction("""COMPUTED_VALUE"""),45944.6666666667)</f>
        <v>45944.6666666667</v>
      </c>
      <c r="B1202" s="2" t="n">
        <f aca="false">IFERROR(__xludf.dummyfunction("""COMPUTED_VALUE"""),426.79)</f>
        <v>426.79</v>
      </c>
      <c r="C1202" s="2" t="n">
        <f aca="false">IFERROR(__xludf.dummyfunction("""COMPUTED_VALUE"""),434.2)</f>
        <v>434.2</v>
      </c>
      <c r="D1202" s="2" t="n">
        <f aca="false">IFERROR(__xludf.dummyfunction("""COMPUTED_VALUE"""),417.86)</f>
        <v>417.86</v>
      </c>
      <c r="E1202" s="2" t="n">
        <f aca="false">IFERROR(__xludf.dummyfunction("""COMPUTED_VALUE"""),429.24)</f>
        <v>429.24</v>
      </c>
      <c r="F1202" s="2" t="n">
        <f aca="false">IFERROR(__xludf.dummyfunction("""COMPUTED_VALUE"""),72669438)</f>
        <v>72669438</v>
      </c>
    </row>
    <row r="1203" customFormat="false" ht="15.75" hidden="false" customHeight="false" outlineLevel="0" collapsed="false">
      <c r="A1203" s="3" t="n">
        <f aca="false">IFERROR(__xludf.dummyfunction("""COMPUTED_VALUE"""),45945.6666666667)</f>
        <v>45945.6666666667</v>
      </c>
      <c r="B1203" s="2" t="n">
        <f aca="false">IFERROR(__xludf.dummyfunction("""COMPUTED_VALUE"""),434.9)</f>
        <v>434.9</v>
      </c>
      <c r="C1203" s="2" t="n">
        <f aca="false">IFERROR(__xludf.dummyfunction("""COMPUTED_VALUE"""),440.51)</f>
        <v>440.51</v>
      </c>
      <c r="D1203" s="2" t="n">
        <f aca="false">IFERROR(__xludf.dummyfunction("""COMPUTED_VALUE"""),426.33)</f>
        <v>426.33</v>
      </c>
      <c r="E1203" s="2" t="n">
        <f aca="false">IFERROR(__xludf.dummyfunction("""COMPUTED_VALUE"""),435.15)</f>
        <v>435.15</v>
      </c>
      <c r="F1203" s="2" t="n">
        <f aca="false">IFERROR(__xludf.dummyfunction("""COMPUTED_VALUE"""),71558185)</f>
        <v>71558185</v>
      </c>
    </row>
    <row r="1204" customFormat="false" ht="15.75" hidden="false" customHeight="false" outlineLevel="0" collapsed="false">
      <c r="A1204" s="3" t="n">
        <f aca="false">IFERROR(__xludf.dummyfunction("""COMPUTED_VALUE"""),45946.6666666667)</f>
        <v>45946.6666666667</v>
      </c>
      <c r="B1204" s="2" t="n">
        <f aca="false">IFERROR(__xludf.dummyfunction("""COMPUTED_VALUE"""),434.73)</f>
        <v>434.73</v>
      </c>
      <c r="C1204" s="2" t="n">
        <f aca="false">IFERROR(__xludf.dummyfunction("""COMPUTED_VALUE"""),439.35)</f>
        <v>439.35</v>
      </c>
      <c r="D1204" s="2" t="n">
        <f aca="false">IFERROR(__xludf.dummyfunction("""COMPUTED_VALUE"""),421.31)</f>
        <v>421.31</v>
      </c>
      <c r="E1204" s="2" t="n">
        <f aca="false">IFERROR(__xludf.dummyfunction("""COMPUTED_VALUE"""),428.75)</f>
        <v>428.75</v>
      </c>
      <c r="F1204" s="2" t="n">
        <f aca="false">IFERROR(__xludf.dummyfunction("""COMPUTED_VALUE"""),77189889)</f>
        <v>77189889</v>
      </c>
    </row>
    <row r="1205" customFormat="false" ht="15.75" hidden="false" customHeight="false" outlineLevel="0" collapsed="false">
      <c r="A1205" s="3" t="n">
        <f aca="false">IFERROR(__xludf.dummyfunction("""COMPUTED_VALUE"""),45947.6666666667)</f>
        <v>45947.6666666667</v>
      </c>
      <c r="B1205" s="2" t="n">
        <f aca="false">IFERROR(__xludf.dummyfunction("""COMPUTED_VALUE"""),425.5)</f>
        <v>425.5</v>
      </c>
      <c r="C1205" s="2" t="n">
        <f aca="false">IFERROR(__xludf.dummyfunction("""COMPUTED_VALUE"""),441.46)</f>
        <v>441.46</v>
      </c>
      <c r="D1205" s="2" t="n">
        <f aca="false">IFERROR(__xludf.dummyfunction("""COMPUTED_VALUE"""),423.6)</f>
        <v>423.6</v>
      </c>
      <c r="E1205" s="2" t="n">
        <f aca="false">IFERROR(__xludf.dummyfunction("""COMPUTED_VALUE"""),439.31)</f>
        <v>439.31</v>
      </c>
      <c r="F1205" s="2" t="n">
        <f aca="false">IFERROR(__xludf.dummyfunction("""COMPUTED_VALUE"""),89331578)</f>
        <v>89331578</v>
      </c>
    </row>
    <row r="1206" customFormat="false" ht="15.75" hidden="false" customHeight="false" outlineLevel="0" collapsed="false">
      <c r="A1206" s="3" t="n">
        <f aca="false">IFERROR(__xludf.dummyfunction("""COMPUTED_VALUE"""),45950.6666666667)</f>
        <v>45950.6666666667</v>
      </c>
      <c r="B1206" s="2" t="n">
        <f aca="false">IFERROR(__xludf.dummyfunction("""COMPUTED_VALUE"""),443.87)</f>
        <v>443.87</v>
      </c>
      <c r="C1206" s="2" t="n">
        <f aca="false">IFERROR(__xludf.dummyfunction("""COMPUTED_VALUE"""),449.8)</f>
        <v>449.8</v>
      </c>
      <c r="D1206" s="2" t="n">
        <f aca="false">IFERROR(__xludf.dummyfunction("""COMPUTED_VALUE"""),440.61)</f>
        <v>440.61</v>
      </c>
      <c r="E1206" s="2" t="n">
        <f aca="false">IFERROR(__xludf.dummyfunction("""COMPUTED_VALUE"""),447.43)</f>
        <v>447.43</v>
      </c>
      <c r="F1206" s="2" t="n">
        <f aca="false">IFERROR(__xludf.dummyfunction("""COMPUTED_VALUE"""),63718971)</f>
        <v>63718971</v>
      </c>
    </row>
    <row r="1207" customFormat="false" ht="15.75" hidden="false" customHeight="false" outlineLevel="0" collapsed="false">
      <c r="A1207" s="3" t="n">
        <f aca="false">IFERROR(__xludf.dummyfunction("""COMPUTED_VALUE"""),45951.6666666667)</f>
        <v>45951.6666666667</v>
      </c>
      <c r="B1207" s="2" t="n">
        <f aca="false">IFERROR(__xludf.dummyfunction("""COMPUTED_VALUE"""),445.76)</f>
        <v>445.76</v>
      </c>
      <c r="C1207" s="2" t="n">
        <f aca="false">IFERROR(__xludf.dummyfunction("""COMPUTED_VALUE"""),449.3)</f>
        <v>449.3</v>
      </c>
      <c r="D1207" s="2" t="n">
        <f aca="false">IFERROR(__xludf.dummyfunction("""COMPUTED_VALUE"""),442.05)</f>
        <v>442.05</v>
      </c>
      <c r="E1207" s="2" t="n">
        <f aca="false">IFERROR(__xludf.dummyfunction("""COMPUTED_VALUE"""),442.6)</f>
        <v>442.6</v>
      </c>
      <c r="F1207" s="2" t="n">
        <f aca="false">IFERROR(__xludf.dummyfunction("""COMPUTED_VALUE"""),54412169)</f>
        <v>54412169</v>
      </c>
    </row>
    <row r="1208" customFormat="false" ht="15.75" hidden="false" customHeight="false" outlineLevel="0" collapsed="false">
      <c r="A1208" s="3" t="n">
        <f aca="false">IFERROR(__xludf.dummyfunction("""COMPUTED_VALUE"""),45952.6666666667)</f>
        <v>45952.6666666667</v>
      </c>
      <c r="B1208" s="2" t="n">
        <f aca="false">IFERROR(__xludf.dummyfunction("""COMPUTED_VALUE"""),443.45)</f>
        <v>443.45</v>
      </c>
      <c r="C1208" s="2" t="n">
        <f aca="false">IFERROR(__xludf.dummyfunction("""COMPUTED_VALUE"""),445.54)</f>
        <v>445.54</v>
      </c>
      <c r="D1208" s="2" t="n">
        <f aca="false">IFERROR(__xludf.dummyfunction("""COMPUTED_VALUE"""),429)</f>
        <v>429</v>
      </c>
      <c r="E1208" s="2" t="n">
        <f aca="false">IFERROR(__xludf.dummyfunction("""COMPUTED_VALUE"""),438.97)</f>
        <v>438.97</v>
      </c>
      <c r="F1208" s="2" t="n">
        <f aca="false">IFERROR(__xludf.dummyfunction("""COMPUTED_VALUE"""),84023458)</f>
        <v>84023458</v>
      </c>
    </row>
    <row r="1209" customFormat="false" ht="15.75" hidden="false" customHeight="false" outlineLevel="0" collapsed="false">
      <c r="A1209" s="3" t="n">
        <f aca="false">IFERROR(__xludf.dummyfunction("""COMPUTED_VALUE"""),45953.6666666667)</f>
        <v>45953.6666666667</v>
      </c>
      <c r="B1209" s="2" t="n">
        <f aca="false">IFERROR(__xludf.dummyfunction("""COMPUTED_VALUE"""),420)</f>
        <v>420</v>
      </c>
      <c r="C1209" s="2" t="n">
        <f aca="false">IFERROR(__xludf.dummyfunction("""COMPUTED_VALUE"""),449.4)</f>
        <v>449.4</v>
      </c>
      <c r="D1209" s="2" t="n">
        <f aca="false">IFERROR(__xludf.dummyfunction("""COMPUTED_VALUE"""),413.9)</f>
        <v>413.9</v>
      </c>
      <c r="E1209" s="2" t="n">
        <f aca="false">IFERROR(__xludf.dummyfunction("""COMPUTED_VALUE"""),448.98)</f>
        <v>448.98</v>
      </c>
      <c r="F1209" s="2" t="n">
        <f aca="false">IFERROR(__xludf.dummyfunction("""COMPUTED_VALUE"""),126709833)</f>
        <v>126709833</v>
      </c>
    </row>
    <row r="1210" customFormat="false" ht="15.75" hidden="false" customHeight="false" outlineLevel="0" collapsed="false">
      <c r="A1210" s="3" t="n">
        <f aca="false">IFERROR(__xludf.dummyfunction("""COMPUTED_VALUE"""),45954.6666666667)</f>
        <v>45954.6666666667</v>
      </c>
      <c r="B1210" s="2" t="n">
        <f aca="false">IFERROR(__xludf.dummyfunction("""COMPUTED_VALUE"""),446.83)</f>
        <v>446.83</v>
      </c>
      <c r="C1210" s="2" t="n">
        <f aca="false">IFERROR(__xludf.dummyfunction("""COMPUTED_VALUE"""),451.68)</f>
        <v>451.68</v>
      </c>
      <c r="D1210" s="2" t="n">
        <f aca="false">IFERROR(__xludf.dummyfunction("""COMPUTED_VALUE"""),430.17)</f>
        <v>430.17</v>
      </c>
      <c r="E1210" s="2" t="n">
        <f aca="false">IFERROR(__xludf.dummyfunction("""COMPUTED_VALUE"""),433.72)</f>
        <v>433.72</v>
      </c>
      <c r="F1210" s="2" t="n">
        <f aca="false">IFERROR(__xludf.dummyfunction("""COMPUTED_VALUE"""),94727774)</f>
        <v>94727774</v>
      </c>
    </row>
    <row r="1211" customFormat="false" ht="15.75" hidden="false" customHeight="false" outlineLevel="0" collapsed="false">
      <c r="A1211" s="3" t="n">
        <f aca="false">IFERROR(__xludf.dummyfunction("""COMPUTED_VALUE"""),45957.6666666667)</f>
        <v>45957.6666666667</v>
      </c>
      <c r="B1211" s="2" t="n">
        <f aca="false">IFERROR(__xludf.dummyfunction("""COMPUTED_VALUE"""),439.98)</f>
        <v>439.98</v>
      </c>
      <c r="C1211" s="2" t="n">
        <f aca="false">IFERROR(__xludf.dummyfunction("""COMPUTED_VALUE"""),460.16)</f>
        <v>460.16</v>
      </c>
      <c r="D1211" s="2" t="n">
        <f aca="false">IFERROR(__xludf.dummyfunction("""COMPUTED_VALUE"""),438.69)</f>
        <v>438.69</v>
      </c>
      <c r="E1211" s="2" t="n">
        <f aca="false">IFERROR(__xludf.dummyfunction("""COMPUTED_VALUE"""),452.42)</f>
        <v>452.42</v>
      </c>
      <c r="F1211" s="2" t="n">
        <f aca="false">IFERROR(__xludf.dummyfunction("""COMPUTED_VALUE"""),105867547)</f>
        <v>105867547</v>
      </c>
    </row>
    <row r="1212" customFormat="false" ht="15.75" hidden="false" customHeight="false" outlineLevel="0" collapsed="false">
      <c r="A1212" s="3" t="n">
        <f aca="false">IFERROR(__xludf.dummyfunction("""COMPUTED_VALUE"""),45958.6666666667)</f>
        <v>45958.6666666667</v>
      </c>
      <c r="B1212" s="2" t="n">
        <f aca="false">IFERROR(__xludf.dummyfunction("""COMPUTED_VALUE"""),454.78)</f>
        <v>454.78</v>
      </c>
      <c r="C1212" s="2" t="n">
        <f aca="false">IFERROR(__xludf.dummyfunction("""COMPUTED_VALUE"""),467)</f>
        <v>467</v>
      </c>
      <c r="D1212" s="2" t="n">
        <f aca="false">IFERROR(__xludf.dummyfunction("""COMPUTED_VALUE"""),451.6)</f>
        <v>451.6</v>
      </c>
      <c r="E1212" s="2" t="n">
        <f aca="false">IFERROR(__xludf.dummyfunction("""COMPUTED_VALUE"""),460.55)</f>
        <v>460.55</v>
      </c>
      <c r="F1212" s="2" t="n">
        <f aca="false">IFERROR(__xludf.dummyfunction("""COMPUTED_VALUE"""),80185667)</f>
        <v>80185667</v>
      </c>
    </row>
    <row r="1213" customFormat="false" ht="15.75" hidden="false" customHeight="false" outlineLevel="0" collapsed="false">
      <c r="A1213" s="3" t="n">
        <f aca="false">IFERROR(__xludf.dummyfunction("""COMPUTED_VALUE"""),45959.6666666667)</f>
        <v>45959.6666666667</v>
      </c>
      <c r="B1213" s="2" t="n">
        <f aca="false">IFERROR(__xludf.dummyfunction("""COMPUTED_VALUE"""),462.5)</f>
        <v>462.5</v>
      </c>
      <c r="C1213" s="2" t="n">
        <f aca="false">IFERROR(__xludf.dummyfunction("""COMPUTED_VALUE"""),465.7)</f>
        <v>465.7</v>
      </c>
      <c r="D1213" s="2" t="n">
        <f aca="false">IFERROR(__xludf.dummyfunction("""COMPUTED_VALUE"""),452.65)</f>
        <v>452.65</v>
      </c>
      <c r="E1213" s="2" t="n">
        <f aca="false">IFERROR(__xludf.dummyfunction("""COMPUTED_VALUE"""),461.51)</f>
        <v>461.51</v>
      </c>
      <c r="F1213" s="2" t="n">
        <f aca="false">IFERROR(__xludf.dummyfunction("""COMPUTED_VALUE"""),67983544)</f>
        <v>67983544</v>
      </c>
    </row>
    <row r="1214" customFormat="false" ht="15.75" hidden="false" customHeight="false" outlineLevel="0" collapsed="false">
      <c r="A1214" s="3" t="n">
        <f aca="false">IFERROR(__xludf.dummyfunction("""COMPUTED_VALUE"""),45960.6666666667)</f>
        <v>45960.6666666667</v>
      </c>
      <c r="B1214" s="2" t="n">
        <f aca="false">IFERROR(__xludf.dummyfunction("""COMPUTED_VALUE"""),451.05)</f>
        <v>451.05</v>
      </c>
      <c r="C1214" s="2" t="n">
        <f aca="false">IFERROR(__xludf.dummyfunction("""COMPUTED_VALUE"""),455.06)</f>
        <v>455.06</v>
      </c>
      <c r="D1214" s="2" t="n">
        <f aca="false">IFERROR(__xludf.dummyfunction("""COMPUTED_VALUE"""),439.61)</f>
        <v>439.61</v>
      </c>
      <c r="E1214" s="2" t="n">
        <f aca="false">IFERROR(__xludf.dummyfunction("""COMPUTED_VALUE"""),440.1)</f>
        <v>440.1</v>
      </c>
      <c r="F1214" s="2" t="n">
        <f aca="false">IFERROR(__xludf.dummyfunction("""COMPUTED_VALUE"""),72447938)</f>
        <v>72447938</v>
      </c>
    </row>
    <row r="1215" customFormat="false" ht="15.75" hidden="false" customHeight="false" outlineLevel="0" collapsed="false">
      <c r="A1215" s="3" t="n">
        <f aca="false">IFERROR(__xludf.dummyfunction("""COMPUTED_VALUE"""),45961.6666666667)</f>
        <v>45961.6666666667</v>
      </c>
      <c r="B1215" s="2" t="n">
        <f aca="false">IFERROR(__xludf.dummyfunction("""COMPUTED_VALUE"""),446.75)</f>
        <v>446.75</v>
      </c>
      <c r="C1215" s="2" t="n">
        <f aca="false">IFERROR(__xludf.dummyfunction("""COMPUTED_VALUE"""),458)</f>
        <v>458</v>
      </c>
      <c r="D1215" s="2" t="n">
        <f aca="false">IFERROR(__xludf.dummyfunction("""COMPUTED_VALUE"""),443.69)</f>
        <v>443.69</v>
      </c>
      <c r="E1215" s="2" t="n">
        <f aca="false">IFERROR(__xludf.dummyfunction("""COMPUTED_VALUE"""),456.56)</f>
        <v>456.56</v>
      </c>
      <c r="F1215" s="2" t="n">
        <f aca="false">IFERROR(__xludf.dummyfunction("""COMPUTED_VALUE"""),83135787)</f>
        <v>83135787</v>
      </c>
    </row>
    <row r="1216" customFormat="false" ht="15.75" hidden="false" customHeight="false" outlineLevel="0" collapsed="false">
      <c r="A1216" s="3" t="n">
        <f aca="false">IFERROR(__xludf.dummyfunction("""COMPUTED_VALUE"""),45964.6666666667)</f>
        <v>45964.6666666667</v>
      </c>
      <c r="B1216" s="2" t="n">
        <f aca="false">IFERROR(__xludf.dummyfunction("""COMPUTED_VALUE"""),455.99)</f>
        <v>455.99</v>
      </c>
      <c r="C1216" s="2" t="n">
        <f aca="false">IFERROR(__xludf.dummyfunction("""COMPUTED_VALUE"""),474.07)</f>
        <v>474.07</v>
      </c>
      <c r="D1216" s="2" t="n">
        <f aca="false">IFERROR(__xludf.dummyfunction("""COMPUTED_VALUE"""),453.8)</f>
        <v>453.8</v>
      </c>
      <c r="E1216" s="2" t="n">
        <f aca="false">IFERROR(__xludf.dummyfunction("""COMPUTED_VALUE"""),468.37)</f>
        <v>468.37</v>
      </c>
      <c r="F1216" s="2" t="n">
        <f aca="false">IFERROR(__xludf.dummyfunction("""COMPUTED_VALUE"""),84595244)</f>
        <v>84595244</v>
      </c>
    </row>
    <row r="1217" customFormat="false" ht="15.75" hidden="false" customHeight="false" outlineLevel="0" collapsed="false">
      <c r="A1217" s="3" t="n">
        <f aca="false">IFERROR(__xludf.dummyfunction("""COMPUTED_VALUE"""),45965.6666666667)</f>
        <v>45965.6666666667</v>
      </c>
      <c r="B1217" s="2" t="n">
        <f aca="false">IFERROR(__xludf.dummyfunction("""COMPUTED_VALUE"""),454.46)</f>
        <v>454.46</v>
      </c>
      <c r="C1217" s="2" t="n">
        <f aca="false">IFERROR(__xludf.dummyfunction("""COMPUTED_VALUE"""),460.22)</f>
        <v>460.22</v>
      </c>
      <c r="D1217" s="2" t="n">
        <f aca="false">IFERROR(__xludf.dummyfunction("""COMPUTED_VALUE"""),443.6)</f>
        <v>443.6</v>
      </c>
      <c r="E1217" s="2" t="n">
        <f aca="false">IFERROR(__xludf.dummyfunction("""COMPUTED_VALUE"""),444.26)</f>
        <v>444.26</v>
      </c>
      <c r="F1217" s="2" t="n">
        <f aca="false">IFERROR(__xludf.dummyfunction("""COMPUTED_VALUE"""),87756644)</f>
        <v>87756644</v>
      </c>
    </row>
    <row r="1218" customFormat="false" ht="15.75" hidden="false" customHeight="false" outlineLevel="0" collapsed="false">
      <c r="A1218" s="3" t="n">
        <f aca="false">IFERROR(__xludf.dummyfunction("""COMPUTED_VALUE"""),45966.6666666667)</f>
        <v>45966.6666666667</v>
      </c>
      <c r="B1218" s="2" t="n">
        <f aca="false">IFERROR(__xludf.dummyfunction("""COMPUTED_VALUE"""),452.05)</f>
        <v>452.05</v>
      </c>
      <c r="C1218" s="2" t="n">
        <f aca="false">IFERROR(__xludf.dummyfunction("""COMPUTED_VALUE"""),466.33)</f>
        <v>466.33</v>
      </c>
      <c r="D1218" s="2" t="n">
        <f aca="false">IFERROR(__xludf.dummyfunction("""COMPUTED_VALUE"""),440.71)</f>
        <v>440.71</v>
      </c>
      <c r="E1218" s="2" t="n">
        <f aca="false">IFERROR(__xludf.dummyfunction("""COMPUTED_VALUE"""),462.07)</f>
        <v>462.07</v>
      </c>
      <c r="F1218" s="2" t="n">
        <f aca="false">IFERROR(__xludf.dummyfunction("""COMPUTED_VALUE"""),85573015)</f>
        <v>85573015</v>
      </c>
    </row>
    <row r="1219" customFormat="false" ht="15.75" hidden="false" customHeight="false" outlineLevel="0" collapsed="false">
      <c r="A1219" s="3" t="n">
        <f aca="false">IFERROR(__xludf.dummyfunction("""COMPUTED_VALUE"""),45967.6666666667)</f>
        <v>45967.6666666667</v>
      </c>
      <c r="B1219" s="2" t="n">
        <f aca="false">IFERROR(__xludf.dummyfunction("""COMPUTED_VALUE"""),461.96)</f>
        <v>461.96</v>
      </c>
      <c r="C1219" s="2" t="n">
        <f aca="false">IFERROR(__xludf.dummyfunction("""COMPUTED_VALUE"""),467.45)</f>
        <v>467.45</v>
      </c>
      <c r="D1219" s="2" t="n">
        <f aca="false">IFERROR(__xludf.dummyfunction("""COMPUTED_VALUE"""),435.09)</f>
        <v>435.09</v>
      </c>
      <c r="E1219" s="2" t="n">
        <f aca="false">IFERROR(__xludf.dummyfunction("""COMPUTED_VALUE"""),445.91)</f>
        <v>445.91</v>
      </c>
      <c r="F1219" s="2" t="n">
        <f aca="false">IFERROR(__xludf.dummyfunction("""COMPUTED_VALUE"""),109622907)</f>
        <v>109622907</v>
      </c>
    </row>
    <row r="1220" customFormat="false" ht="15.75" hidden="false" customHeight="false" outlineLevel="0" collapsed="false">
      <c r="A1220" s="3" t="n">
        <f aca="false">IFERROR(__xludf.dummyfunction("""COMPUTED_VALUE"""),45968.6666666667)</f>
        <v>45968.6666666667</v>
      </c>
      <c r="B1220" s="2" t="n">
        <f aca="false">IFERROR(__xludf.dummyfunction("""COMPUTED_VALUE"""),437.92)</f>
        <v>437.92</v>
      </c>
      <c r="C1220" s="2" t="n">
        <f aca="false">IFERROR(__xludf.dummyfunction("""COMPUTED_VALUE"""),439.36)</f>
        <v>439.36</v>
      </c>
      <c r="D1220" s="2" t="n">
        <f aca="false">IFERROR(__xludf.dummyfunction("""COMPUTED_VALUE"""),421.88)</f>
        <v>421.88</v>
      </c>
      <c r="E1220" s="2" t="n">
        <f aca="false">IFERROR(__xludf.dummyfunction("""COMPUTED_VALUE"""),429.52)</f>
        <v>429.52</v>
      </c>
      <c r="F1220" s="2" t="n">
        <f aca="false">IFERROR(__xludf.dummyfunction("""COMPUTED_VALUE"""),103471495)</f>
        <v>103471495</v>
      </c>
    </row>
    <row r="1221" customFormat="false" ht="15.75" hidden="false" customHeight="false" outlineLevel="0" collapsed="false">
      <c r="A1221" s="3" t="n">
        <f aca="false">IFERROR(__xludf.dummyfunction("""COMPUTED_VALUE"""),45971.6666666667)</f>
        <v>45971.6666666667</v>
      </c>
      <c r="B1221" s="2" t="n">
        <f aca="false">IFERROR(__xludf.dummyfunction("""COMPUTED_VALUE"""),439.6)</f>
        <v>439.6</v>
      </c>
      <c r="C1221" s="2" t="n">
        <f aca="false">IFERROR(__xludf.dummyfunction("""COMPUTED_VALUE"""),449.67)</f>
        <v>449.67</v>
      </c>
      <c r="D1221" s="2" t="n">
        <f aca="false">IFERROR(__xludf.dummyfunction("""COMPUTED_VALUE"""),433.36)</f>
        <v>433.36</v>
      </c>
      <c r="E1221" s="2" t="n">
        <f aca="false">IFERROR(__xludf.dummyfunction("""COMPUTED_VALUE"""),445.23)</f>
        <v>445.23</v>
      </c>
      <c r="F1221" s="2" t="n">
        <f aca="false">IFERROR(__xludf.dummyfunction("""COMPUTED_VALUE"""),76515907)</f>
        <v>76515907</v>
      </c>
    </row>
    <row r="1222" customFormat="false" ht="15.75" hidden="false" customHeight="false" outlineLevel="0" collapsed="false">
      <c r="A1222" s="3" t="n">
        <f aca="false">IFERROR(__xludf.dummyfunction("""COMPUTED_VALUE"""),45972.6666666667)</f>
        <v>45972.6666666667</v>
      </c>
      <c r="B1222" s="2" t="n">
        <f aca="false">IFERROR(__xludf.dummyfunction("""COMPUTED_VALUE"""),439.4)</f>
        <v>439.4</v>
      </c>
      <c r="C1222" s="2" t="n">
        <f aca="false">IFERROR(__xludf.dummyfunction("""COMPUTED_VALUE"""),442.49)</f>
        <v>442.49</v>
      </c>
      <c r="D1222" s="2" t="n">
        <f aca="false">IFERROR(__xludf.dummyfunction("""COMPUTED_VALUE"""),432.36)</f>
        <v>432.36</v>
      </c>
      <c r="E1222" s="2" t="n">
        <f aca="false">IFERROR(__xludf.dummyfunction("""COMPUTED_VALUE"""),439.62)</f>
        <v>439.62</v>
      </c>
      <c r="F1222" s="2" t="n">
        <f aca="false">IFERROR(__xludf.dummyfunction("""COMPUTED_VALUE"""),60533237)</f>
        <v>60533237</v>
      </c>
    </row>
    <row r="1223" customFormat="false" ht="15.75" hidden="false" customHeight="false" outlineLevel="0" collapsed="false">
      <c r="A1223" s="3" t="n">
        <f aca="false">IFERROR(__xludf.dummyfunction("""COMPUTED_VALUE"""),45973.6666666667)</f>
        <v>45973.6666666667</v>
      </c>
      <c r="B1223" s="2" t="n">
        <f aca="false">IFERROR(__xludf.dummyfunction("""COMPUTED_VALUE"""),442.15)</f>
        <v>442.15</v>
      </c>
      <c r="C1223" s="2" t="n">
        <f aca="false">IFERROR(__xludf.dummyfunction("""COMPUTED_VALUE"""),442.33)</f>
        <v>442.33</v>
      </c>
      <c r="D1223" s="2" t="n">
        <f aca="false">IFERROR(__xludf.dummyfunction("""COMPUTED_VALUE"""),426.56)</f>
        <v>426.56</v>
      </c>
      <c r="E1223" s="2" t="n">
        <f aca="false">IFERROR(__xludf.dummyfunction("""COMPUTED_VALUE"""),430.6)</f>
        <v>430.6</v>
      </c>
      <c r="F1223" s="2" t="n">
        <f aca="false">IFERROR(__xludf.dummyfunction("""COMPUTED_VALUE"""),58513520)</f>
        <v>58513520</v>
      </c>
    </row>
    <row r="1224" customFormat="false" ht="15.75" hidden="false" customHeight="false" outlineLevel="0" collapsed="false">
      <c r="A1224" s="3" t="n">
        <f aca="false">IFERROR(__xludf.dummyfunction("""COMPUTED_VALUE"""),45974.6666666667)</f>
        <v>45974.6666666667</v>
      </c>
      <c r="B1224" s="2" t="n">
        <f aca="false">IFERROR(__xludf.dummyfunction("""COMPUTED_VALUE"""),423.13)</f>
        <v>423.13</v>
      </c>
      <c r="C1224" s="2" t="n">
        <f aca="false">IFERROR(__xludf.dummyfunction("""COMPUTED_VALUE"""),424.5)</f>
        <v>424.5</v>
      </c>
      <c r="D1224" s="2" t="n">
        <f aca="false">IFERROR(__xludf.dummyfunction("""COMPUTED_VALUE"""),396.34)</f>
        <v>396.34</v>
      </c>
      <c r="E1224" s="2" t="n">
        <f aca="false">IFERROR(__xludf.dummyfunction("""COMPUTED_VALUE"""),401.99)</f>
        <v>401.99</v>
      </c>
      <c r="F1224" s="2" t="n">
        <f aca="false">IFERROR(__xludf.dummyfunction("""COMPUTED_VALUE"""),118948032)</f>
        <v>118948032</v>
      </c>
    </row>
    <row r="1225" customFormat="false" ht="15.75" hidden="false" customHeight="false" outlineLevel="0" collapsed="false">
      <c r="A1225" s="3" t="n">
        <f aca="false">IFERROR(__xludf.dummyfunction("""COMPUTED_VALUE"""),45975.6666666667)</f>
        <v>45975.6666666667</v>
      </c>
      <c r="B1225" s="2" t="n">
        <f aca="false">IFERROR(__xludf.dummyfunction("""COMPUTED_VALUE"""),386.3)</f>
        <v>386.3</v>
      </c>
      <c r="C1225" s="2" t="n">
        <f aca="false">IFERROR(__xludf.dummyfunction("""COMPUTED_VALUE"""),412.19)</f>
        <v>412.19</v>
      </c>
      <c r="D1225" s="2" t="n">
        <f aca="false">IFERROR(__xludf.dummyfunction("""COMPUTED_VALUE"""),382.78)</f>
        <v>382.78</v>
      </c>
      <c r="E1225" s="2" t="n">
        <f aca="false">IFERROR(__xludf.dummyfunction("""COMPUTED_VALUE"""),404.35)</f>
        <v>404.35</v>
      </c>
      <c r="F1225" s="2" t="n">
        <f aca="false">IFERROR(__xludf.dummyfunction("""COMPUTED_VALUE"""),105506682)</f>
        <v>105506682</v>
      </c>
    </row>
    <row r="1226" customFormat="false" ht="15.75" hidden="false" customHeight="false" outlineLevel="0" collapsed="false">
      <c r="A1226" s="3" t="n">
        <f aca="false">IFERROR(__xludf.dummyfunction("""COMPUTED_VALUE"""),45978.6666666667)</f>
        <v>45978.6666666667</v>
      </c>
      <c r="B1226" s="2" t="n">
        <f aca="false">IFERROR(__xludf.dummyfunction("""COMPUTED_VALUE"""),398.74)</f>
        <v>398.74</v>
      </c>
      <c r="C1226" s="2" t="n">
        <f aca="false">IFERROR(__xludf.dummyfunction("""COMPUTED_VALUE"""),423.96)</f>
        <v>423.96</v>
      </c>
      <c r="D1226" s="2" t="n">
        <f aca="false">IFERROR(__xludf.dummyfunction("""COMPUTED_VALUE"""),398.74)</f>
        <v>398.74</v>
      </c>
      <c r="E1226" s="2" t="n">
        <f aca="false">IFERROR(__xludf.dummyfunction("""COMPUTED_VALUE"""),408.92)</f>
        <v>408.92</v>
      </c>
      <c r="F1226" s="2" t="n">
        <f aca="false">IFERROR(__xludf.dummyfunction("""COMPUTED_VALUE"""),102214259)</f>
        <v>102214259</v>
      </c>
    </row>
    <row r="1227" customFormat="false" ht="15.75" hidden="false" customHeight="false" outlineLevel="0" collapsed="false">
      <c r="A1227" s="3" t="n">
        <f aca="false">IFERROR(__xludf.dummyfunction("""COMPUTED_VALUE"""),45979.6666666667)</f>
        <v>45979.6666666667</v>
      </c>
      <c r="B1227" s="2" t="n">
        <f aca="false">IFERROR(__xludf.dummyfunction("""COMPUTED_VALUE"""),405.38)</f>
        <v>405.38</v>
      </c>
      <c r="C1227" s="2" t="n">
        <f aca="false">IFERROR(__xludf.dummyfunction("""COMPUTED_VALUE"""),408.9)</f>
        <v>408.9</v>
      </c>
      <c r="D1227" s="2" t="n">
        <f aca="false">IFERROR(__xludf.dummyfunction("""COMPUTED_VALUE"""),393.71)</f>
        <v>393.71</v>
      </c>
      <c r="E1227" s="2" t="n">
        <f aca="false">IFERROR(__xludf.dummyfunction("""COMPUTED_VALUE"""),401.25)</f>
        <v>401.25</v>
      </c>
      <c r="F1227" s="2" t="n">
        <f aca="false">IFERROR(__xludf.dummyfunction("""COMPUTED_VALUE"""),80688637)</f>
        <v>80688637</v>
      </c>
    </row>
    <row r="1228" customFormat="false" ht="15.75" hidden="false" customHeight="false" outlineLevel="0" collapsed="false">
      <c r="A1228" s="3" t="n">
        <f aca="false">IFERROR(__xludf.dummyfunction("""COMPUTED_VALUE"""),45980.6666666667)</f>
        <v>45980.6666666667</v>
      </c>
      <c r="B1228" s="2" t="n">
        <f aca="false">IFERROR(__xludf.dummyfunction("""COMPUTED_VALUE"""),406.18)</f>
        <v>406.18</v>
      </c>
      <c r="C1228" s="2" t="n">
        <f aca="false">IFERROR(__xludf.dummyfunction("""COMPUTED_VALUE"""),411.78)</f>
        <v>411.78</v>
      </c>
      <c r="D1228" s="2" t="n">
        <f aca="false">IFERROR(__xludf.dummyfunction("""COMPUTED_VALUE"""),398.5)</f>
        <v>398.5</v>
      </c>
      <c r="E1228" s="2" t="n">
        <f aca="false">IFERROR(__xludf.dummyfunction("""COMPUTED_VALUE"""),403.99)</f>
        <v>403.99</v>
      </c>
      <c r="F1228" s="2" t="n">
        <f aca="false">IFERROR(__xludf.dummyfunction("""COMPUTED_VALUE"""),72047704)</f>
        <v>72047704</v>
      </c>
    </row>
    <row r="1229" customFormat="false" ht="15.75" hidden="false" customHeight="false" outlineLevel="0" collapsed="false">
      <c r="A1229" s="3" t="n">
        <f aca="false">IFERROR(__xludf.dummyfunction("""COMPUTED_VALUE"""),45981.6666666667)</f>
        <v>45981.6666666667</v>
      </c>
      <c r="B1229" s="2" t="n">
        <f aca="false">IFERROR(__xludf.dummyfunction("""COMPUTED_VALUE"""),414.63)</f>
        <v>414.63</v>
      </c>
      <c r="C1229" s="2" t="n">
        <f aca="false">IFERROR(__xludf.dummyfunction("""COMPUTED_VALUE"""),428.94)</f>
        <v>428.94</v>
      </c>
      <c r="D1229" s="2" t="n">
        <f aca="false">IFERROR(__xludf.dummyfunction("""COMPUTED_VALUE"""),394.74)</f>
        <v>394.74</v>
      </c>
      <c r="E1229" s="2" t="n">
        <f aca="false">IFERROR(__xludf.dummyfunction("""COMPUTED_VALUE"""),395.23)</f>
        <v>395.23</v>
      </c>
      <c r="F1229" s="2" t="n">
        <f aca="false">IFERROR(__xludf.dummyfunction("""COMPUTED_VALUE"""),113548827)</f>
        <v>113548827</v>
      </c>
    </row>
    <row r="1230" customFormat="false" ht="15.75" hidden="false" customHeight="false" outlineLevel="0" collapsed="false">
      <c r="A1230" s="3" t="n">
        <f aca="false">IFERROR(__xludf.dummyfunction("""COMPUTED_VALUE"""),45982.6666666667)</f>
        <v>45982.6666666667</v>
      </c>
      <c r="B1230" s="2" t="n">
        <f aca="false">IFERROR(__xludf.dummyfunction("""COMPUTED_VALUE"""),402.32)</f>
        <v>402.32</v>
      </c>
      <c r="C1230" s="2" t="n">
        <f aca="false">IFERROR(__xludf.dummyfunction("""COMPUTED_VALUE"""),402.8)</f>
        <v>402.8</v>
      </c>
      <c r="D1230" s="2" t="n">
        <f aca="false">IFERROR(__xludf.dummyfunction("""COMPUTED_VALUE"""),383.76)</f>
        <v>383.76</v>
      </c>
      <c r="E1230" s="2" t="n">
        <f aca="false">IFERROR(__xludf.dummyfunction("""COMPUTED_VALUE"""),391.09)</f>
        <v>391.09</v>
      </c>
      <c r="F1230" s="2" t="n">
        <f aca="false">IFERROR(__xludf.dummyfunction("""COMPUTED_VALUE"""),100460633)</f>
        <v>100460633</v>
      </c>
    </row>
    <row r="1231" customFormat="false" ht="15.75" hidden="false" customHeight="false" outlineLevel="0" collapsed="false">
      <c r="A1231" s="3" t="n">
        <f aca="false">IFERROR(__xludf.dummyfunction("""COMPUTED_VALUE"""),45985.6666666667)</f>
        <v>45985.6666666667</v>
      </c>
      <c r="B1231" s="2" t="n">
        <f aca="false">IFERROR(__xludf.dummyfunction("""COMPUTED_VALUE"""),402.17)</f>
        <v>402.17</v>
      </c>
      <c r="C1231" s="2" t="n">
        <f aca="false">IFERROR(__xludf.dummyfunction("""COMPUTED_VALUE"""),421.72)</f>
        <v>421.72</v>
      </c>
      <c r="D1231" s="2" t="n">
        <f aca="false">IFERROR(__xludf.dummyfunction("""COMPUTED_VALUE"""),401.09)</f>
        <v>401.09</v>
      </c>
      <c r="E1231" s="2" t="n">
        <f aca="false">IFERROR(__xludf.dummyfunction("""COMPUTED_VALUE"""),417.78)</f>
        <v>417.78</v>
      </c>
      <c r="F1231" s="2" t="n">
        <f aca="false">IFERROR(__xludf.dummyfunction("""COMPUTED_VALUE"""),96806374)</f>
        <v>96806374</v>
      </c>
    </row>
    <row r="1232" customFormat="false" ht="15.75" hidden="false" customHeight="false" outlineLevel="0" collapsed="false">
      <c r="A1232" s="3" t="n">
        <f aca="false">IFERROR(__xludf.dummyfunction("""COMPUTED_VALUE"""),45986.6666666667)</f>
        <v>45986.6666666667</v>
      </c>
      <c r="B1232" s="2" t="n">
        <f aca="false">IFERROR(__xludf.dummyfunction("""COMPUTED_VALUE"""),414.42)</f>
        <v>414.42</v>
      </c>
      <c r="C1232" s="2" t="n">
        <f aca="false">IFERROR(__xludf.dummyfunction("""COMPUTED_VALUE"""),420.48)</f>
        <v>420.48</v>
      </c>
      <c r="D1232" s="2" t="n">
        <f aca="false">IFERROR(__xludf.dummyfunction("""COMPUTED_VALUE"""),405.95)</f>
        <v>405.95</v>
      </c>
      <c r="E1232" s="2" t="n">
        <f aca="false">IFERROR(__xludf.dummyfunction("""COMPUTED_VALUE"""),419.4)</f>
        <v>419.4</v>
      </c>
      <c r="F1232" s="2" t="n">
        <f aca="false">IFERROR(__xludf.dummyfunction("""COMPUTED_VALUE"""),71915624)</f>
        <v>71915624</v>
      </c>
    </row>
    <row r="1233" customFormat="false" ht="15.75" hidden="false" customHeight="false" outlineLevel="0" collapsed="false">
      <c r="A1233" s="3" t="n">
        <f aca="false">IFERROR(__xludf.dummyfunction("""COMPUTED_VALUE"""),45987.6666666667)</f>
        <v>45987.6666666667</v>
      </c>
      <c r="B1233" s="2" t="n">
        <f aca="false">IFERROR(__xludf.dummyfunction("""COMPUTED_VALUE"""),423.95)</f>
        <v>423.95</v>
      </c>
      <c r="C1233" s="2" t="n">
        <f aca="false">IFERROR(__xludf.dummyfunction("""COMPUTED_VALUE"""),426.94)</f>
        <v>426.94</v>
      </c>
      <c r="D1233" s="2" t="n">
        <f aca="false">IFERROR(__xludf.dummyfunction("""COMPUTED_VALUE"""),416.89)</f>
        <v>416.89</v>
      </c>
      <c r="E1233" s="2" t="n">
        <f aca="false">IFERROR(__xludf.dummyfunction("""COMPUTED_VALUE"""),426.58)</f>
        <v>426.58</v>
      </c>
      <c r="F1233" s="2" t="n">
        <f aca="false">IFERROR(__xludf.dummyfunction("""COMPUTED_VALUE"""),63462996)</f>
        <v>63462996</v>
      </c>
    </row>
    <row r="1234" customFormat="false" ht="15.75" hidden="false" customHeight="false" outlineLevel="0" collapsed="false">
      <c r="A1234" s="3" t="n">
        <f aca="false">IFERROR(__xludf.dummyfunction("""COMPUTED_VALUE"""),45989.5451388889)</f>
        <v>45989.5451388889</v>
      </c>
      <c r="B1234" s="2" t="n">
        <f aca="false">IFERROR(__xludf.dummyfunction("""COMPUTED_VALUE"""),426.59)</f>
        <v>426.59</v>
      </c>
      <c r="C1234" s="2" t="n">
        <f aca="false">IFERROR(__xludf.dummyfunction("""COMPUTED_VALUE"""),432.93)</f>
        <v>432.93</v>
      </c>
      <c r="D1234" s="2" t="n">
        <f aca="false">IFERROR(__xludf.dummyfunction("""COMPUTED_VALUE"""),426.2)</f>
        <v>426.2</v>
      </c>
      <c r="E1234" s="2" t="n">
        <f aca="false">IFERROR(__xludf.dummyfunction("""COMPUTED_VALUE"""),430.17)</f>
        <v>430.17</v>
      </c>
      <c r="F1234" s="2" t="n">
        <f aca="false">IFERROR(__xludf.dummyfunction("""COMPUTED_VALUE"""),36252861)</f>
        <v>36252861</v>
      </c>
    </row>
    <row r="1235" customFormat="false" ht="15.75" hidden="false" customHeight="false" outlineLevel="0" collapsed="false">
      <c r="A1235" s="3" t="n">
        <f aca="false">IFERROR(__xludf.dummyfunction("""COMPUTED_VALUE"""),45992.6666666667)</f>
        <v>45992.6666666667</v>
      </c>
      <c r="B1235" s="2" t="n">
        <f aca="false">IFERROR(__xludf.dummyfunction("""COMPUTED_VALUE"""),425.32)</f>
        <v>425.32</v>
      </c>
      <c r="C1235" s="2" t="n">
        <f aca="false">IFERROR(__xludf.dummyfunction("""COMPUTED_VALUE"""),433.66)</f>
        <v>433.66</v>
      </c>
      <c r="D1235" s="2" t="n">
        <f aca="false">IFERROR(__xludf.dummyfunction("""COMPUTED_VALUE"""),425.29)</f>
        <v>425.29</v>
      </c>
      <c r="E1235" s="2" t="n">
        <f aca="false">IFERROR(__xludf.dummyfunction("""COMPUTED_VALUE"""),430.14)</f>
        <v>430.14</v>
      </c>
      <c r="F1235" s="2" t="n">
        <f aca="false">IFERROR(__xludf.dummyfunction("""COMPUTED_VALUE"""),57463552)</f>
        <v>57463552</v>
      </c>
    </row>
    <row r="1236" customFormat="false" ht="15.75" hidden="false" customHeight="false" outlineLevel="0" collapsed="false">
      <c r="A1236" s="3" t="n">
        <f aca="false">IFERROR(__xludf.dummyfunction("""COMPUTED_VALUE"""),45993.6666666667)</f>
        <v>45993.6666666667</v>
      </c>
      <c r="B1236" s="2" t="n">
        <f aca="false">IFERROR(__xludf.dummyfunction("""COMPUTED_VALUE"""),430.81)</f>
        <v>430.81</v>
      </c>
      <c r="C1236" s="2" t="n">
        <f aca="false">IFERROR(__xludf.dummyfunction("""COMPUTED_VALUE"""),436.8)</f>
        <v>436.8</v>
      </c>
      <c r="D1236" s="2" t="n">
        <f aca="false">IFERROR(__xludf.dummyfunction("""COMPUTED_VALUE"""),422.12)</f>
        <v>422.12</v>
      </c>
      <c r="E1236" s="2" t="n">
        <f aca="false">IFERROR(__xludf.dummyfunction("""COMPUTED_VALUE"""),429.24)</f>
        <v>429.24</v>
      </c>
      <c r="F1236" s="2" t="n">
        <f aca="false">IFERROR(__xludf.dummyfunction("""COMPUTED_VALUE"""),69336626)</f>
        <v>69336626</v>
      </c>
    </row>
    <row r="1237" customFormat="false" ht="15.75" hidden="false" customHeight="false" outlineLevel="0" collapsed="false">
      <c r="A1237" s="3" t="n">
        <f aca="false">IFERROR(__xludf.dummyfunction("""COMPUTED_VALUE"""),45994.6666666667)</f>
        <v>45994.6666666667</v>
      </c>
      <c r="B1237" s="2" t="n">
        <f aca="false">IFERROR(__xludf.dummyfunction("""COMPUTED_VALUE"""),432.1)</f>
        <v>432.1</v>
      </c>
      <c r="C1237" s="2" t="n">
        <f aca="false">IFERROR(__xludf.dummyfunction("""COMPUTED_VALUE"""),447.92)</f>
        <v>447.92</v>
      </c>
      <c r="D1237" s="2" t="n">
        <f aca="false">IFERROR(__xludf.dummyfunction("""COMPUTED_VALUE"""),431.11)</f>
        <v>431.11</v>
      </c>
      <c r="E1237" s="2" t="n">
        <f aca="false">IFERROR(__xludf.dummyfunction("""COMPUTED_VALUE"""),446.74)</f>
        <v>446.74</v>
      </c>
      <c r="F1237" s="2" t="n">
        <f aca="false">IFERROR(__xludf.dummyfunction("""COMPUTED_VALUE"""),87482964)</f>
        <v>87482964</v>
      </c>
    </row>
    <row r="1238" customFormat="false" ht="15.75" hidden="false" customHeight="false" outlineLevel="0" collapsed="false">
      <c r="A1238" s="3" t="n">
        <f aca="false">IFERROR(__xludf.dummyfunction("""COMPUTED_VALUE"""),45995.6666666667)</f>
        <v>45995.6666666667</v>
      </c>
      <c r="B1238" s="2" t="n">
        <f aca="false">IFERROR(__xludf.dummyfunction("""COMPUTED_VALUE"""),449.94)</f>
        <v>449.94</v>
      </c>
      <c r="C1238" s="2" t="n">
        <f aca="false">IFERROR(__xludf.dummyfunction("""COMPUTED_VALUE"""),454.63)</f>
        <v>454.63</v>
      </c>
      <c r="D1238" s="2" t="n">
        <f aca="false">IFERROR(__xludf.dummyfunction("""COMPUTED_VALUE"""),445.39)</f>
        <v>445.39</v>
      </c>
      <c r="E1238" s="2" t="n">
        <f aca="false">IFERROR(__xludf.dummyfunction("""COMPUTED_VALUE"""),454.53)</f>
        <v>454.53</v>
      </c>
      <c r="F1238" s="2" t="n">
        <f aca="false">IFERROR(__xludf.dummyfunction("""COMPUTED_VALUE"""),71906488)</f>
        <v>71906488</v>
      </c>
    </row>
    <row r="1239" customFormat="false" ht="15.75" hidden="false" customHeight="false" outlineLevel="0" collapsed="false">
      <c r="A1239" s="3" t="n">
        <f aca="false">IFERROR(__xludf.dummyfunction("""COMPUTED_VALUE"""),45996.6666666667)</f>
        <v>45996.6666666667</v>
      </c>
      <c r="B1239" s="2" t="n">
        <f aca="false">IFERROR(__xludf.dummyfunction("""COMPUTED_VALUE"""),453.03)</f>
        <v>453.03</v>
      </c>
      <c r="C1239" s="2" t="n">
        <f aca="false">IFERROR(__xludf.dummyfunction("""COMPUTED_VALUE"""),458.87)</f>
        <v>458.87</v>
      </c>
      <c r="D1239" s="2" t="n">
        <f aca="false">IFERROR(__xludf.dummyfunction("""COMPUTED_VALUE"""),451.66)</f>
        <v>451.66</v>
      </c>
      <c r="E1239" s="2" t="n">
        <f aca="false">IFERROR(__xludf.dummyfunction("""COMPUTED_VALUE"""),455)</f>
        <v>455</v>
      </c>
      <c r="F1239" s="2" t="n">
        <f aca="false">IFERROR(__xludf.dummyfunction("""COMPUTED_VALUE"""),56427522)</f>
        <v>56427522</v>
      </c>
    </row>
    <row r="1240" customFormat="false" ht="15.75" hidden="false" customHeight="false" outlineLevel="0" collapsed="false">
      <c r="A1240" s="3" t="n">
        <f aca="false">IFERROR(__xludf.dummyfunction("""COMPUTED_VALUE"""),45999.6666666667)</f>
        <v>45999.6666666667</v>
      </c>
      <c r="B1240" s="2" t="n">
        <f aca="false">IFERROR(__xludf.dummyfunction("""COMPUTED_VALUE"""),447.45)</f>
        <v>447.45</v>
      </c>
      <c r="C1240" s="2" t="n">
        <f aca="false">IFERROR(__xludf.dummyfunction("""COMPUTED_VALUE"""),449.75)</f>
        <v>449.75</v>
      </c>
      <c r="D1240" s="2" t="n">
        <f aca="false">IFERROR(__xludf.dummyfunction("""COMPUTED_VALUE"""),435.25)</f>
        <v>435.25</v>
      </c>
      <c r="E1240" s="2" t="n">
        <f aca="false">IFERROR(__xludf.dummyfunction("""COMPUTED_VALUE"""),439.58)</f>
        <v>439.58</v>
      </c>
      <c r="F1240" s="2" t="n">
        <f aca="false">IFERROR(__xludf.dummyfunction("""COMPUTED_VALUE"""),69165753)</f>
        <v>69165753</v>
      </c>
    </row>
    <row r="1241" customFormat="false" ht="15.75" hidden="false" customHeight="false" outlineLevel="0" collapsed="false">
      <c r="A1241" s="3" t="n">
        <f aca="false">IFERROR(__xludf.dummyfunction("""COMPUTED_VALUE"""),46000.6666666667)</f>
        <v>46000.6666666667</v>
      </c>
      <c r="B1241" s="2" t="n">
        <f aca="false">IFERROR(__xludf.dummyfunction("""COMPUTED_VALUE"""),437.54)</f>
        <v>437.54</v>
      </c>
      <c r="C1241" s="2" t="n">
        <f aca="false">IFERROR(__xludf.dummyfunction("""COMPUTED_VALUE"""),452.39)</f>
        <v>452.39</v>
      </c>
      <c r="D1241" s="2" t="n">
        <f aca="false">IFERROR(__xludf.dummyfunction("""COMPUTED_VALUE"""),435.7)</f>
        <v>435.7</v>
      </c>
      <c r="E1241" s="2" t="n">
        <f aca="false">IFERROR(__xludf.dummyfunction("""COMPUTED_VALUE"""),445.17)</f>
        <v>445.17</v>
      </c>
      <c r="F1241" s="2" t="n">
        <f aca="false">IFERROR(__xludf.dummyfunction("""COMPUTED_VALUE"""),62367442)</f>
        <v>62367442</v>
      </c>
    </row>
    <row r="1242" customFormat="false" ht="15.75" hidden="false" customHeight="false" outlineLevel="0" collapsed="false">
      <c r="A1242" s="3" t="n">
        <f aca="false">IFERROR(__xludf.dummyfunction("""COMPUTED_VALUE"""),46001.6666666667)</f>
        <v>46001.6666666667</v>
      </c>
      <c r="B1242" s="2" t="n">
        <f aca="false">IFERROR(__xludf.dummyfunction("""COMPUTED_VALUE"""),446.07)</f>
        <v>446.07</v>
      </c>
      <c r="C1242" s="2" t="n">
        <f aca="false">IFERROR(__xludf.dummyfunction("""COMPUTED_VALUE"""),456.88)</f>
        <v>456.88</v>
      </c>
      <c r="D1242" s="2" t="n">
        <f aca="false">IFERROR(__xludf.dummyfunction("""COMPUTED_VALUE"""),443.61)</f>
        <v>443.61</v>
      </c>
      <c r="E1242" s="2" t="n">
        <f aca="false">IFERROR(__xludf.dummyfunction("""COMPUTED_VALUE"""),451.45)</f>
        <v>451.45</v>
      </c>
      <c r="F1242" s="2" t="n">
        <f aca="false">IFERROR(__xludf.dummyfunction("""COMPUTED_VALUE"""),63257475)</f>
        <v>63257475</v>
      </c>
    </row>
    <row r="1243" customFormat="false" ht="15.75" hidden="false" customHeight="false" outlineLevel="0" collapsed="false">
      <c r="A1243" s="3" t="n">
        <f aca="false">IFERROR(__xludf.dummyfunction("""COMPUTED_VALUE"""),46002.6666666667)</f>
        <v>46002.6666666667</v>
      </c>
      <c r="B1243" s="2" t="n">
        <f aca="false">IFERROR(__xludf.dummyfunction("""COMPUTED_VALUE"""),448.95)</f>
        <v>448.95</v>
      </c>
      <c r="C1243" s="2" t="n">
        <f aca="false">IFERROR(__xludf.dummyfunction("""COMPUTED_VALUE"""),449.27)</f>
        <v>449.27</v>
      </c>
      <c r="D1243" s="2" t="n">
        <f aca="false">IFERROR(__xludf.dummyfunction("""COMPUTED_VALUE"""),440.33)</f>
        <v>440.33</v>
      </c>
      <c r="E1243" s="2" t="n">
        <f aca="false">IFERROR(__xludf.dummyfunction("""COMPUTED_VALUE"""),446.89)</f>
        <v>446.89</v>
      </c>
      <c r="F1243" s="2" t="n">
        <f aca="false">IFERROR(__xludf.dummyfunction("""COMPUTED_VALUE"""),55979492)</f>
        <v>55979492</v>
      </c>
    </row>
    <row r="1244" customFormat="false" ht="15.75" hidden="false" customHeight="false" outlineLevel="0" collapsed="false">
      <c r="A1244" s="3" t="n">
        <f aca="false">IFERROR(__xludf.dummyfunction("""COMPUTED_VALUE"""),46003.6666666667)</f>
        <v>46003.6666666667</v>
      </c>
      <c r="B1244" s="2" t="n">
        <f aca="false">IFERROR(__xludf.dummyfunction("""COMPUTED_VALUE"""),448.09)</f>
        <v>448.09</v>
      </c>
      <c r="C1244" s="2" t="n">
        <f aca="false">IFERROR(__xludf.dummyfunction("""COMPUTED_VALUE"""),463.01)</f>
        <v>463.01</v>
      </c>
      <c r="D1244" s="2" t="n">
        <f aca="false">IFERROR(__xludf.dummyfunction("""COMPUTED_VALUE"""),441.67)</f>
        <v>441.67</v>
      </c>
      <c r="E1244" s="2" t="n">
        <f aca="false">IFERROR(__xludf.dummyfunction("""COMPUTED_VALUE"""),458.96)</f>
        <v>458.96</v>
      </c>
      <c r="F1244" s="2" t="n">
        <f aca="false">IFERROR(__xludf.dummyfunction("""COMPUTED_VALUE"""),95656749)</f>
        <v>95656749</v>
      </c>
    </row>
    <row r="1245" customFormat="false" ht="15.75" hidden="false" customHeight="false" outlineLevel="0" collapsed="false">
      <c r="A1245" s="3" t="n">
        <f aca="false">IFERROR(__xludf.dummyfunction("""COMPUTED_VALUE"""),46006.6666666667)</f>
        <v>46006.6666666667</v>
      </c>
      <c r="B1245" s="2" t="n">
        <f aca="false">IFERROR(__xludf.dummyfunction("""COMPUTED_VALUE"""),469.44)</f>
        <v>469.44</v>
      </c>
      <c r="C1245" s="2" t="n">
        <f aca="false">IFERROR(__xludf.dummyfunction("""COMPUTED_VALUE"""),481.77)</f>
        <v>481.77</v>
      </c>
      <c r="D1245" s="2" t="n">
        <f aca="false">IFERROR(__xludf.dummyfunction("""COMPUTED_VALUE"""),467.66)</f>
        <v>467.66</v>
      </c>
      <c r="E1245" s="2" t="n">
        <f aca="false">IFERROR(__xludf.dummyfunction("""COMPUTED_VALUE"""),475.31)</f>
        <v>475.31</v>
      </c>
      <c r="F1245" s="2" t="n">
        <f aca="false">IFERROR(__xludf.dummyfunction("""COMPUTED_VALUE"""),114542204)</f>
        <v>114542204</v>
      </c>
    </row>
    <row r="1246" customFormat="false" ht="15.75" hidden="false" customHeight="false" outlineLevel="0" collapsed="false">
      <c r="A1246" s="3" t="n">
        <f aca="false">IFERROR(__xludf.dummyfunction("""COMPUTED_VALUE"""),46007.6666666667)</f>
        <v>46007.6666666667</v>
      </c>
      <c r="B1246" s="2" t="n">
        <f aca="false">IFERROR(__xludf.dummyfunction("""COMPUTED_VALUE"""),472.21)</f>
        <v>472.21</v>
      </c>
      <c r="C1246" s="2" t="n">
        <f aca="false">IFERROR(__xludf.dummyfunction("""COMPUTED_VALUE"""),491.5)</f>
        <v>491.5</v>
      </c>
      <c r="D1246" s="2" t="n">
        <f aca="false">IFERROR(__xludf.dummyfunction("""COMPUTED_VALUE"""),465.83)</f>
        <v>465.83</v>
      </c>
      <c r="E1246" s="2" t="n">
        <f aca="false">IFERROR(__xludf.dummyfunction("""COMPUTED_VALUE"""),489.88)</f>
        <v>489.88</v>
      </c>
      <c r="F1246" s="2" t="n">
        <f aca="false">IFERROR(__xludf.dummyfunction("""COMPUTED_VALUE"""),107608075)</f>
        <v>107608075</v>
      </c>
    </row>
    <row r="1247" customFormat="false" ht="15.75" hidden="false" customHeight="false" outlineLevel="0" collapsed="false">
      <c r="A1247" s="3" t="n">
        <f aca="false">IFERROR(__xludf.dummyfunction("""COMPUTED_VALUE"""),46008.6666666667)</f>
        <v>46008.6666666667</v>
      </c>
      <c r="B1247" s="2" t="n">
        <f aca="false">IFERROR(__xludf.dummyfunction("""COMPUTED_VALUE"""),488.22)</f>
        <v>488.22</v>
      </c>
      <c r="C1247" s="2" t="n">
        <f aca="false">IFERROR(__xludf.dummyfunction("""COMPUTED_VALUE"""),495.28)</f>
        <v>495.28</v>
      </c>
      <c r="D1247" s="2" t="n">
        <f aca="false">IFERROR(__xludf.dummyfunction("""COMPUTED_VALUE"""),466.2)</f>
        <v>466.2</v>
      </c>
      <c r="E1247" s="2" t="n">
        <f aca="false">IFERROR(__xludf.dummyfunction("""COMPUTED_VALUE"""),467.26)</f>
        <v>467.26</v>
      </c>
      <c r="F1247" s="2" t="n">
        <f aca="false">IFERROR(__xludf.dummyfunction("""COMPUTED_VALUE"""),106490405)</f>
        <v>106490405</v>
      </c>
    </row>
    <row r="1248" customFormat="false" ht="15.75" hidden="false" customHeight="false" outlineLevel="0" collapsed="false">
      <c r="A1248" s="3" t="n">
        <f aca="false">IFERROR(__xludf.dummyfunction("""COMPUTED_VALUE"""),46009.6666666667)</f>
        <v>46009.6666666667</v>
      </c>
      <c r="B1248" s="2" t="n">
        <f aca="false">IFERROR(__xludf.dummyfunction("""COMPUTED_VALUE"""),478.16)</f>
        <v>478.16</v>
      </c>
      <c r="C1248" s="2" t="n">
        <f aca="false">IFERROR(__xludf.dummyfunction("""COMPUTED_VALUE"""),490.86)</f>
        <v>490.86</v>
      </c>
      <c r="D1248" s="2" t="n">
        <f aca="false">IFERROR(__xludf.dummyfunction("""COMPUTED_VALUE"""),473.12)</f>
        <v>473.12</v>
      </c>
      <c r="E1248" s="2" t="n">
        <f aca="false">IFERROR(__xludf.dummyfunction("""COMPUTED_VALUE"""),483.37)</f>
        <v>483.37</v>
      </c>
      <c r="F1248" s="2" t="n">
        <f aca="false">IFERROR(__xludf.dummyfunction("""COMPUTED_VALUE"""),95168446)</f>
        <v>95168446</v>
      </c>
    </row>
    <row r="1249" customFormat="false" ht="15.75" hidden="false" customHeight="false" outlineLevel="0" collapsed="false">
      <c r="A1249" s="3" t="n">
        <f aca="false">IFERROR(__xludf.dummyfunction("""COMPUTED_VALUE"""),46010.6666666667)</f>
        <v>46010.6666666667</v>
      </c>
      <c r="B1249" s="2" t="n">
        <f aca="false">IFERROR(__xludf.dummyfunction("""COMPUTED_VALUE"""),488.12)</f>
        <v>488.12</v>
      </c>
      <c r="C1249" s="2" t="n">
        <f aca="false">IFERROR(__xludf.dummyfunction("""COMPUTED_VALUE"""),490.49)</f>
        <v>490.49</v>
      </c>
      <c r="D1249" s="2" t="n">
        <f aca="false">IFERROR(__xludf.dummyfunction("""COMPUTED_VALUE"""),474.72)</f>
        <v>474.72</v>
      </c>
      <c r="E1249" s="2" t="n">
        <f aca="false">IFERROR(__xludf.dummyfunction("""COMPUTED_VALUE"""),481.2)</f>
        <v>481.2</v>
      </c>
      <c r="F1249" s="2" t="n">
        <f aca="false">IFERROR(__xludf.dummyfunction("""COMPUTED_VALUE"""),103305424)</f>
        <v>103305424</v>
      </c>
    </row>
    <row r="1250" customFormat="false" ht="15.75" hidden="false" customHeight="false" outlineLevel="0" collapsed="false">
      <c r="A1250" s="3" t="n">
        <f aca="false">IFERROR(__xludf.dummyfunction("""COMPUTED_VALUE"""),46013.6666666667)</f>
        <v>46013.6666666667</v>
      </c>
      <c r="B1250" s="2" t="n">
        <f aca="false">IFERROR(__xludf.dummyfunction("""COMPUTED_VALUE"""),489.88)</f>
        <v>489.88</v>
      </c>
      <c r="C1250" s="2" t="n">
        <f aca="false">IFERROR(__xludf.dummyfunction("""COMPUTED_VALUE"""),498.83)</f>
        <v>498.83</v>
      </c>
      <c r="D1250" s="2" t="n">
        <f aca="false">IFERROR(__xludf.dummyfunction("""COMPUTED_VALUE"""),485.33)</f>
        <v>485.33</v>
      </c>
      <c r="E1250" s="2" t="n">
        <f aca="false">IFERROR(__xludf.dummyfunction("""COMPUTED_VALUE"""),488.73)</f>
        <v>488.73</v>
      </c>
      <c r="F1250" s="2" t="n">
        <f aca="false">IFERROR(__xludf.dummyfunction("""COMPUTED_VALUE"""),86916066)</f>
        <v>86916066</v>
      </c>
    </row>
    <row r="1251" customFormat="false" ht="15.75" hidden="false" customHeight="false" outlineLevel="0" collapsed="false">
      <c r="A1251" s="3" t="n">
        <f aca="false">IFERROR(__xludf.dummyfunction("""COMPUTED_VALUE"""),46014.6666666667)</f>
        <v>46014.6666666667</v>
      </c>
      <c r="B1251" s="2" t="n">
        <f aca="false">IFERROR(__xludf.dummyfunction("""COMPUTED_VALUE"""),489.4)</f>
        <v>489.4</v>
      </c>
      <c r="C1251" s="2" t="n">
        <f aca="false">IFERROR(__xludf.dummyfunction("""COMPUTED_VALUE"""),491.97)</f>
        <v>491.97</v>
      </c>
      <c r="D1251" s="2" t="n">
        <f aca="false">IFERROR(__xludf.dummyfunction("""COMPUTED_VALUE"""),482.84)</f>
        <v>482.84</v>
      </c>
      <c r="E1251" s="2" t="n">
        <f aca="false">IFERROR(__xludf.dummyfunction("""COMPUTED_VALUE"""),485.56)</f>
        <v>485.56</v>
      </c>
      <c r="F1251" s="2" t="n">
        <f aca="false">IFERROR(__xludf.dummyfunction("""COMPUTED_VALUE"""),58223633)</f>
        <v>58223633</v>
      </c>
    </row>
    <row r="1252" customFormat="false" ht="15.75" hidden="false" customHeight="false" outlineLevel="0" collapsed="false">
      <c r="A1252" s="3" t="n">
        <f aca="false">IFERROR(__xludf.dummyfunction("""COMPUTED_VALUE"""),46015.5451388889)</f>
        <v>46015.5451388889</v>
      </c>
      <c r="B1252" s="2" t="n">
        <f aca="false">IFERROR(__xludf.dummyfunction("""COMPUTED_VALUE"""),488.48)</f>
        <v>488.48</v>
      </c>
      <c r="C1252" s="2" t="n">
        <f aca="false">IFERROR(__xludf.dummyfunction("""COMPUTED_VALUE"""),490.9)</f>
        <v>490.9</v>
      </c>
      <c r="D1252" s="2" t="n">
        <f aca="false">IFERROR(__xludf.dummyfunction("""COMPUTED_VALUE"""),476.8)</f>
        <v>476.8</v>
      </c>
      <c r="E1252" s="2" t="n">
        <f aca="false">IFERROR(__xludf.dummyfunction("""COMPUTED_VALUE"""),485.4)</f>
        <v>485.4</v>
      </c>
      <c r="F1252" s="2" t="n">
        <f aca="false">IFERROR(__xludf.dummyfunction("""COMPUTED_VALUE"""),41285429)</f>
        <v>41285429</v>
      </c>
    </row>
    <row r="1253" customFormat="false" ht="15.75" hidden="false" customHeight="false" outlineLevel="0" collapsed="false">
      <c r="A1253" s="3" t="n">
        <f aca="false">IFERROR(__xludf.dummyfunction("""COMPUTED_VALUE"""),46017.6666666667)</f>
        <v>46017.6666666667</v>
      </c>
      <c r="B1253" s="2" t="n">
        <f aca="false">IFERROR(__xludf.dummyfunction("""COMPUTED_VALUE"""),485.23)</f>
        <v>485.23</v>
      </c>
      <c r="C1253" s="2" t="n">
        <f aca="false">IFERROR(__xludf.dummyfunction("""COMPUTED_VALUE"""),489.09)</f>
        <v>489.09</v>
      </c>
      <c r="D1253" s="2" t="n">
        <f aca="false">IFERROR(__xludf.dummyfunction("""COMPUTED_VALUE"""),473.82)</f>
        <v>473.82</v>
      </c>
      <c r="E1253" s="2" t="n">
        <f aca="false">IFERROR(__xludf.dummyfunction("""COMPUTED_VALUE"""),475.19)</f>
        <v>475.19</v>
      </c>
      <c r="F1253" s="2" t="n">
        <f aca="false">IFERROR(__xludf.dummyfunction("""COMPUTED_VALUE"""),58780659)</f>
        <v>58780659</v>
      </c>
    </row>
    <row r="1254" customFormat="false" ht="15.75" hidden="false" customHeight="false" outlineLevel="0" collapsed="false">
      <c r="A1254" s="3" t="n">
        <f aca="false">IFERROR(__xludf.dummyfunction("""COMPUTED_VALUE"""),46020.6666666667)</f>
        <v>46020.6666666667</v>
      </c>
      <c r="B1254" s="2" t="n">
        <f aca="false">IFERROR(__xludf.dummyfunction("""COMPUTED_VALUE"""),469)</f>
        <v>469</v>
      </c>
      <c r="C1254" s="2" t="n">
        <f aca="false">IFERROR(__xludf.dummyfunction("""COMPUTED_VALUE"""),469.4)</f>
        <v>469.4</v>
      </c>
      <c r="D1254" s="2" t="n">
        <f aca="false">IFERROR(__xludf.dummyfunction("""COMPUTED_VALUE"""),459)</f>
        <v>459</v>
      </c>
      <c r="E1254" s="2" t="n">
        <f aca="false">IFERROR(__xludf.dummyfunction("""COMPUTED_VALUE"""),459.64)</f>
        <v>459.64</v>
      </c>
      <c r="F1254" s="2" t="n">
        <f aca="false">IFERROR(__xludf.dummyfunction("""COMPUTED_VALUE"""),66263033)</f>
        <v>66263033</v>
      </c>
    </row>
    <row r="1255" customFormat="false" ht="15.75" hidden="false" customHeight="false" outlineLevel="0" collapsed="false">
      <c r="A1255" s="3" t="n">
        <f aca="false">IFERROR(__xludf.dummyfunction("""COMPUTED_VALUE"""),46021.6666666667)</f>
        <v>46021.6666666667</v>
      </c>
      <c r="B1255" s="2" t="n">
        <f aca="false">IFERROR(__xludf.dummyfunction("""COMPUTED_VALUE"""),461.09)</f>
        <v>461.09</v>
      </c>
      <c r="C1255" s="2" t="n">
        <f aca="false">IFERROR(__xludf.dummyfunction("""COMPUTED_VALUE"""),463.12)</f>
        <v>463.12</v>
      </c>
      <c r="D1255" s="2" t="n">
        <f aca="false">IFERROR(__xludf.dummyfunction("""COMPUTED_VALUE"""),453.83)</f>
        <v>453.83</v>
      </c>
      <c r="E1255" s="2" t="n">
        <f aca="false">IFERROR(__xludf.dummyfunction("""COMPUTED_VALUE"""),454.43)</f>
        <v>454.43</v>
      </c>
      <c r="F1255" s="2" t="n">
        <f aca="false">IFERROR(__xludf.dummyfunction("""COMPUTED_VALUE"""),59238464)</f>
        <v>59238464</v>
      </c>
    </row>
    <row r="1256" customFormat="false" ht="15.75" hidden="false" customHeight="false" outlineLevel="0" collapsed="false">
      <c r="A1256" s="3" t="n">
        <f aca="false">IFERROR(__xludf.dummyfunction("""COMPUTED_VALUE"""),46022.6666666667)</f>
        <v>46022.6666666667</v>
      </c>
      <c r="B1256" s="2" t="n">
        <f aca="false">IFERROR(__xludf.dummyfunction("""COMPUTED_VALUE"""),456.1)</f>
        <v>456.1</v>
      </c>
      <c r="C1256" s="2" t="n">
        <f aca="false">IFERROR(__xludf.dummyfunction("""COMPUTED_VALUE"""),456.55)</f>
        <v>456.55</v>
      </c>
      <c r="D1256" s="2" t="n">
        <f aca="false">IFERROR(__xludf.dummyfunction("""COMPUTED_VALUE"""),449.3)</f>
        <v>449.3</v>
      </c>
      <c r="E1256" s="2" t="n">
        <f aca="false">IFERROR(__xludf.dummyfunction("""COMPUTED_VALUE"""),449.72)</f>
        <v>449.72</v>
      </c>
      <c r="F1256" s="2" t="n">
        <f aca="false">IFERROR(__xludf.dummyfunction("""COMPUTED_VALUE"""),49077961)</f>
        <v>49077961</v>
      </c>
    </row>
    <row r="1257" customFormat="false" ht="15.75" hidden="false" customHeight="false" outlineLevel="0" collapsed="false">
      <c r="A1257" s="3" t="n">
        <f aca="false">IFERROR(__xludf.dummyfunction("""COMPUTED_VALUE"""),46024.6666666667)</f>
        <v>46024.6666666667</v>
      </c>
      <c r="B1257" s="2" t="n">
        <f aca="false">IFERROR(__xludf.dummyfunction("""COMPUTED_VALUE"""),457.8)</f>
        <v>457.8</v>
      </c>
      <c r="C1257" s="2" t="n">
        <f aca="false">IFERROR(__xludf.dummyfunction("""COMPUTED_VALUE"""),458.34)</f>
        <v>458.34</v>
      </c>
      <c r="D1257" s="2" t="n">
        <f aca="false">IFERROR(__xludf.dummyfunction("""COMPUTED_VALUE"""),435.3)</f>
        <v>435.3</v>
      </c>
      <c r="E1257" s="2" t="n">
        <f aca="false">IFERROR(__xludf.dummyfunction("""COMPUTED_VALUE"""),438.07)</f>
        <v>438.07</v>
      </c>
      <c r="F1257" s="2" t="n">
        <f aca="false">IFERROR(__xludf.dummyfunction("""COMPUTED_VALUE"""),85535406)</f>
        <v>85535406</v>
      </c>
    </row>
    <row r="1258" customFormat="false" ht="15.75" hidden="false" customHeight="false" outlineLevel="0" collapsed="false">
      <c r="A1258" s="3" t="n">
        <f aca="false">IFERROR(__xludf.dummyfunction("""COMPUTED_VALUE"""),46027.6666666667)</f>
        <v>46027.6666666667</v>
      </c>
      <c r="B1258" s="2" t="n">
        <f aca="false">IFERROR(__xludf.dummyfunction("""COMPUTED_VALUE"""),447.99)</f>
        <v>447.99</v>
      </c>
      <c r="C1258" s="2" t="n">
        <f aca="false">IFERROR(__xludf.dummyfunction("""COMPUTED_VALUE"""),457.55)</f>
        <v>457.55</v>
      </c>
      <c r="D1258" s="2" t="n">
        <f aca="false">IFERROR(__xludf.dummyfunction("""COMPUTED_VALUE"""),444.57)</f>
        <v>444.57</v>
      </c>
      <c r="E1258" s="2" t="n">
        <f aca="false">IFERROR(__xludf.dummyfunction("""COMPUTED_VALUE"""),451.67)</f>
        <v>451.67</v>
      </c>
      <c r="F1258" s="2" t="n">
        <f aca="false">IFERROR(__xludf.dummyfunction("""COMPUTED_VALUE"""),67940839)</f>
        <v>67940839</v>
      </c>
    </row>
    <row r="1259" customFormat="false" ht="15.75" hidden="false" customHeight="false" outlineLevel="0" collapsed="false">
      <c r="A1259" s="3" t="n">
        <f aca="false">IFERROR(__xludf.dummyfunction("""COMPUTED_VALUE"""),46028.6666666667)</f>
        <v>46028.6666666667</v>
      </c>
      <c r="B1259" s="2" t="n">
        <f aca="false">IFERROR(__xludf.dummyfunction("""COMPUTED_VALUE"""),446.38)</f>
        <v>446.38</v>
      </c>
      <c r="C1259" s="2" t="n">
        <f aca="false">IFERROR(__xludf.dummyfunction("""COMPUTED_VALUE"""),448.25)</f>
        <v>448.25</v>
      </c>
      <c r="D1259" s="2" t="n">
        <f aca="false">IFERROR(__xludf.dummyfunction("""COMPUTED_VALUE"""),428.78)</f>
        <v>428.78</v>
      </c>
      <c r="E1259" s="2" t="n">
        <f aca="false">IFERROR(__xludf.dummyfunction("""COMPUTED_VALUE"""),432.96)</f>
        <v>432.96</v>
      </c>
      <c r="F1259" s="2" t="n">
        <f aca="false">IFERROR(__xludf.dummyfunction("""COMPUTED_VALUE"""),89093758)</f>
        <v>89093758</v>
      </c>
    </row>
    <row r="1260" customFormat="false" ht="15.75" hidden="false" customHeight="false" outlineLevel="0" collapsed="false">
      <c r="A1260" s="3" t="n">
        <f aca="false">IFERROR(__xludf.dummyfunction("""COMPUTED_VALUE"""),46029.6666666667)</f>
        <v>46029.6666666667</v>
      </c>
      <c r="B1260" s="2" t="n">
        <f aca="false">IFERROR(__xludf.dummyfunction("""COMPUTED_VALUE"""),435.9)</f>
        <v>435.9</v>
      </c>
      <c r="C1260" s="2" t="n">
        <f aca="false">IFERROR(__xludf.dummyfunction("""COMPUTED_VALUE"""),438.37)</f>
        <v>438.37</v>
      </c>
      <c r="D1260" s="2" t="n">
        <f aca="false">IFERROR(__xludf.dummyfunction("""COMPUTED_VALUE"""),431.29)</f>
        <v>431.29</v>
      </c>
      <c r="E1260" s="2" t="n">
        <f aca="false">IFERROR(__xludf.dummyfunction("""COMPUTED_VALUE"""),431.41)</f>
        <v>431.41</v>
      </c>
      <c r="F1260" s="2" t="n">
        <f aca="false">IFERROR(__xludf.dummyfunction("""COMPUTED_VALUE"""),59828790)</f>
        <v>59828790</v>
      </c>
    </row>
    <row r="1261" customFormat="false" ht="15.75" hidden="false" customHeight="false" outlineLevel="0" collapsed="false">
      <c r="A1261" s="3" t="n">
        <f aca="false">IFERROR(__xludf.dummyfunction("""COMPUTED_VALUE"""),46030.6666666667)</f>
        <v>46030.6666666667</v>
      </c>
      <c r="B1261" s="2" t="n">
        <f aca="false">IFERROR(__xludf.dummyfunction("""COMPUTED_VALUE"""),427.89)</f>
        <v>427.89</v>
      </c>
      <c r="C1261" s="2" t="n">
        <f aca="false">IFERROR(__xludf.dummyfunction("""COMPUTED_VALUE"""),436.89)</f>
        <v>436.89</v>
      </c>
      <c r="D1261" s="2" t="n">
        <f aca="false">IFERROR(__xludf.dummyfunction("""COMPUTED_VALUE"""),424.37)</f>
        <v>424.37</v>
      </c>
      <c r="E1261" s="2" t="n">
        <f aca="false">IFERROR(__xludf.dummyfunction("""COMPUTED_VALUE"""),435.8)</f>
        <v>435.8</v>
      </c>
      <c r="F1261" s="2" t="n">
        <f aca="false">IFERROR(__xludf.dummyfunction("""COMPUTED_VALUE"""),57041094)</f>
        <v>57041094</v>
      </c>
    </row>
    <row r="1262" customFormat="false" ht="15.75" hidden="false" customHeight="false" outlineLevel="0" collapsed="false">
      <c r="A1262" s="3" t="n">
        <f aca="false">IFERROR(__xludf.dummyfunction("""COMPUTED_VALUE"""),46031.6666666667)</f>
        <v>46031.6666666667</v>
      </c>
      <c r="B1262" s="2" t="n">
        <f aca="false">IFERROR(__xludf.dummyfunction("""COMPUTED_VALUE"""),435.95)</f>
        <v>435.95</v>
      </c>
      <c r="C1262" s="2" t="n">
        <f aca="false">IFERROR(__xludf.dummyfunction("""COMPUTED_VALUE"""),449.05)</f>
        <v>449.05</v>
      </c>
      <c r="D1262" s="2" t="n">
        <f aca="false">IFERROR(__xludf.dummyfunction("""COMPUTED_VALUE"""),430.39)</f>
        <v>430.39</v>
      </c>
      <c r="E1262" s="2" t="n">
        <f aca="false">IFERROR(__xludf.dummyfunction("""COMPUTED_VALUE"""),445.01)</f>
        <v>445.01</v>
      </c>
      <c r="F1262" s="2" t="n">
        <f aca="false">IFERROR(__xludf.dummyfunction("""COMPUTED_VALUE"""),67331456)</f>
        <v>67331456</v>
      </c>
    </row>
    <row r="1263" customFormat="false" ht="15.75" hidden="false" customHeight="false" outlineLevel="0" collapsed="false">
      <c r="A1263" s="3" t="n">
        <f aca="false">IFERROR(__xludf.dummyfunction("""COMPUTED_VALUE"""),46034.6666666667)</f>
        <v>46034.6666666667</v>
      </c>
      <c r="B1263" s="2" t="n">
        <f aca="false">IFERROR(__xludf.dummyfunction("""COMPUTED_VALUE"""),441.23)</f>
        <v>441.23</v>
      </c>
      <c r="C1263" s="2" t="n">
        <f aca="false">IFERROR(__xludf.dummyfunction("""COMPUTED_VALUE"""),454.3)</f>
        <v>454.3</v>
      </c>
      <c r="D1263" s="2" t="n">
        <f aca="false">IFERROR(__xludf.dummyfunction("""COMPUTED_VALUE"""),438)</f>
        <v>438</v>
      </c>
      <c r="E1263" s="2" t="n">
        <f aca="false">IFERROR(__xludf.dummyfunction("""COMPUTED_VALUE"""),448.96)</f>
        <v>448.96</v>
      </c>
      <c r="F1263" s="2" t="n">
        <f aca="false">IFERROR(__xludf.dummyfunction("""COMPUTED_VALUE"""),61649627)</f>
        <v>61649627</v>
      </c>
    </row>
    <row r="1264" customFormat="false" ht="15.75" hidden="false" customHeight="false" outlineLevel="0" collapsed="false">
      <c r="A1264" s="3" t="n">
        <f aca="false">IFERROR(__xludf.dummyfunction("""COMPUTED_VALUE"""),46035.6666666667)</f>
        <v>46035.6666666667</v>
      </c>
      <c r="B1264" s="2" t="n">
        <f aca="false">IFERROR(__xludf.dummyfunction("""COMPUTED_VALUE"""),450.2)</f>
        <v>450.2</v>
      </c>
      <c r="C1264" s="2" t="n">
        <f aca="false">IFERROR(__xludf.dummyfunction("""COMPUTED_VALUE"""),451.81)</f>
        <v>451.81</v>
      </c>
      <c r="D1264" s="2" t="n">
        <f aca="false">IFERROR(__xludf.dummyfunction("""COMPUTED_VALUE"""),443.95)</f>
        <v>443.95</v>
      </c>
      <c r="E1264" s="2" t="n">
        <f aca="false">IFERROR(__xludf.dummyfunction("""COMPUTED_VALUE"""),447.2)</f>
        <v>447.2</v>
      </c>
      <c r="F1264" s="2" t="n">
        <f aca="false">IFERROR(__xludf.dummyfunction("""COMPUTED_VALUE"""),53719214)</f>
        <v>53719214</v>
      </c>
    </row>
    <row r="1265" customFormat="false" ht="15.75" hidden="false" customHeight="false" outlineLevel="0" collapsed="false">
      <c r="A1265" s="3" t="n">
        <f aca="false">IFERROR(__xludf.dummyfunction("""COMPUTED_VALUE"""),46036.6666666667)</f>
        <v>46036.6666666667</v>
      </c>
      <c r="B1265" s="2" t="n">
        <f aca="false">IFERROR(__xludf.dummyfunction("""COMPUTED_VALUE"""),442.81)</f>
        <v>442.81</v>
      </c>
      <c r="C1265" s="2" t="n">
        <f aca="false">IFERROR(__xludf.dummyfunction("""COMPUTED_VALUE"""),443.91)</f>
        <v>443.91</v>
      </c>
      <c r="D1265" s="2" t="n">
        <f aca="false">IFERROR(__xludf.dummyfunction("""COMPUTED_VALUE"""),434.22)</f>
        <v>434.22</v>
      </c>
      <c r="E1265" s="2" t="n">
        <f aca="false">IFERROR(__xludf.dummyfunction("""COMPUTED_VALUE"""),439.2)</f>
        <v>439.2</v>
      </c>
      <c r="F1265" s="2" t="n">
        <f aca="false">IFERROR(__xludf.dummyfunction("""COMPUTED_VALUE"""),57259500)</f>
        <v>57259500</v>
      </c>
    </row>
    <row r="1266" customFormat="false" ht="15.75" hidden="false" customHeight="false" outlineLevel="0" collapsed="false">
      <c r="A1266" s="3" t="n">
        <f aca="false">IFERROR(__xludf.dummyfunction("""COMPUTED_VALUE"""),46037.6666666667)</f>
        <v>46037.6666666667</v>
      </c>
      <c r="B1266" s="2" t="n">
        <f aca="false">IFERROR(__xludf.dummyfunction("""COMPUTED_VALUE"""),441.13)</f>
        <v>441.13</v>
      </c>
      <c r="C1266" s="2" t="n">
        <f aca="false">IFERROR(__xludf.dummyfunction("""COMPUTED_VALUE"""),445.36)</f>
        <v>445.36</v>
      </c>
      <c r="D1266" s="2" t="n">
        <f aca="false">IFERROR(__xludf.dummyfunction("""COMPUTED_VALUE"""),437.65)</f>
        <v>437.65</v>
      </c>
      <c r="E1266" s="2" t="n">
        <f aca="false">IFERROR(__xludf.dummyfunction("""COMPUTED_VALUE"""),438.57)</f>
        <v>438.57</v>
      </c>
      <c r="F1266" s="2" t="n">
        <f aca="false">IFERROR(__xludf.dummyfunction("""COMPUTED_VALUE"""),49465813)</f>
        <v>49465813</v>
      </c>
    </row>
    <row r="1267" customFormat="false" ht="15.75" hidden="false" customHeight="false" outlineLevel="0" collapsed="false">
      <c r="A1267" s="3" t="n">
        <f aca="false">IFERROR(__xludf.dummyfunction("""COMPUTED_VALUE"""),46038.6666666667)</f>
        <v>46038.6666666667</v>
      </c>
      <c r="B1267" s="2" t="n">
        <f aca="false">IFERROR(__xludf.dummyfunction("""COMPUTED_VALUE"""),439.5)</f>
        <v>439.5</v>
      </c>
      <c r="C1267" s="2" t="n">
        <f aca="false">IFERROR(__xludf.dummyfunction("""COMPUTED_VALUE"""),447.25)</f>
        <v>447.25</v>
      </c>
      <c r="D1267" s="2" t="n">
        <f aca="false">IFERROR(__xludf.dummyfunction("""COMPUTED_VALUE"""),435.26)</f>
        <v>435.26</v>
      </c>
      <c r="E1267" s="2" t="n">
        <f aca="false">IFERROR(__xludf.dummyfunction("""COMPUTED_VALUE"""),437.5)</f>
        <v>437.5</v>
      </c>
      <c r="F1267" s="2" t="n">
        <f aca="false">IFERROR(__xludf.dummyfunction("""COMPUTED_VALUE"""),60220551)</f>
        <v>60220551</v>
      </c>
    </row>
    <row r="1268" customFormat="false" ht="15.75" hidden="false" customHeight="false" outlineLevel="0" collapsed="false">
      <c r="A1268" s="3" t="n">
        <f aca="false">IFERROR(__xludf.dummyfunction("""COMPUTED_VALUE"""),46042.6666666667)</f>
        <v>46042.6666666667</v>
      </c>
      <c r="B1268" s="2" t="n">
        <f aca="false">IFERROR(__xludf.dummyfunction("""COMPUTED_VALUE"""),429.36)</f>
        <v>429.36</v>
      </c>
      <c r="C1268" s="2" t="n">
        <f aca="false">IFERROR(__xludf.dummyfunction("""COMPUTED_VALUE"""),430.73)</f>
        <v>430.73</v>
      </c>
      <c r="D1268" s="2" t="n">
        <f aca="false">IFERROR(__xludf.dummyfunction("""COMPUTED_VALUE"""),417.44)</f>
        <v>417.44</v>
      </c>
      <c r="E1268" s="2" t="n">
        <f aca="false">IFERROR(__xludf.dummyfunction("""COMPUTED_VALUE"""),419.25)</f>
        <v>419.25</v>
      </c>
      <c r="F1268" s="2" t="n">
        <f aca="false">IFERROR(__xludf.dummyfunction("""COMPUTED_VALUE"""),63187336)</f>
        <v>63187336</v>
      </c>
    </row>
    <row r="1269" customFormat="false" ht="15.75" hidden="false" customHeight="false" outlineLevel="0" collapsed="false">
      <c r="A1269" s="3" t="n">
        <f aca="false">IFERROR(__xludf.dummyfunction("""COMPUTED_VALUE"""),46043.6666666667)</f>
        <v>46043.6666666667</v>
      </c>
      <c r="B1269" s="2" t="n">
        <f aca="false">IFERROR(__xludf.dummyfunction("""COMPUTED_VALUE"""),421.66)</f>
        <v>421.66</v>
      </c>
      <c r="C1269" s="2" t="n">
        <f aca="false">IFERROR(__xludf.dummyfunction("""COMPUTED_VALUE"""),438.2)</f>
        <v>438.2</v>
      </c>
      <c r="D1269" s="2" t="n">
        <f aca="false">IFERROR(__xludf.dummyfunction("""COMPUTED_VALUE"""),419.62)</f>
        <v>419.62</v>
      </c>
      <c r="E1269" s="2" t="n">
        <f aca="false">IFERROR(__xludf.dummyfunction("""COMPUTED_VALUE"""),431.44)</f>
        <v>431.44</v>
      </c>
      <c r="F1269" s="2" t="n">
        <f aca="false">IFERROR(__xludf.dummyfunction("""COMPUTED_VALUE"""),68123987)</f>
        <v>68123987</v>
      </c>
    </row>
    <row r="1270" customFormat="false" ht="15.75" hidden="false" customHeight="false" outlineLevel="0" collapsed="false">
      <c r="A1270" s="3" t="n">
        <f aca="false">IFERROR(__xludf.dummyfunction("""COMPUTED_VALUE"""),46044.6666666667)</f>
        <v>46044.6666666667</v>
      </c>
      <c r="B1270" s="2" t="n">
        <f aca="false">IFERROR(__xludf.dummyfunction("""COMPUTED_VALUE"""),435.16)</f>
        <v>435.16</v>
      </c>
      <c r="C1270" s="2" t="n">
        <f aca="false">IFERROR(__xludf.dummyfunction("""COMPUTED_VALUE"""),449.5)</f>
        <v>449.5</v>
      </c>
      <c r="D1270" s="2" t="n">
        <f aca="false">IFERROR(__xludf.dummyfunction("""COMPUTED_VALUE"""),432.63)</f>
        <v>432.63</v>
      </c>
      <c r="E1270" s="2" t="n">
        <f aca="false">IFERROR(__xludf.dummyfunction("""COMPUTED_VALUE"""),449.36)</f>
        <v>449.36</v>
      </c>
      <c r="F1270" s="2" t="n">
        <f aca="false">IFERROR(__xludf.dummyfunction("""COMPUTED_VALUE"""),71546729)</f>
        <v>71546729</v>
      </c>
    </row>
    <row r="1271" customFormat="false" ht="15.75" hidden="false" customHeight="false" outlineLevel="0" collapsed="false">
      <c r="A1271" s="3" t="n">
        <f aca="false">IFERROR(__xludf.dummyfunction("""COMPUTED_VALUE"""),46045.6666666667)</f>
        <v>46045.6666666667</v>
      </c>
      <c r="B1271" s="2" t="n">
        <f aca="false">IFERROR(__xludf.dummyfunction("""COMPUTED_VALUE"""),447.43)</f>
        <v>447.43</v>
      </c>
      <c r="C1271" s="2" t="n">
        <f aca="false">IFERROR(__xludf.dummyfunction("""COMPUTED_VALUE"""),452.43)</f>
        <v>452.43</v>
      </c>
      <c r="D1271" s="2" t="n">
        <f aca="false">IFERROR(__xludf.dummyfunction("""COMPUTED_VALUE"""),444.04)</f>
        <v>444.04</v>
      </c>
      <c r="E1271" s="2" t="n">
        <f aca="false">IFERROR(__xludf.dummyfunction("""COMPUTED_VALUE"""),449.06)</f>
        <v>449.06</v>
      </c>
      <c r="F1271" s="2" t="n">
        <f aca="false">IFERROR(__xludf.dummyfunction("""COMPUTED_VALUE"""),56771364)</f>
        <v>56771364</v>
      </c>
    </row>
    <row r="1272" customFormat="false" ht="15.75" hidden="false" customHeight="false" outlineLevel="0" collapsed="false">
      <c r="A1272" s="3" t="n">
        <f aca="false">IFERROR(__xludf.dummyfunction("""COMPUTED_VALUE"""),46048.6666666667)</f>
        <v>46048.6666666667</v>
      </c>
      <c r="B1272" s="2" t="n">
        <f aca="false">IFERROR(__xludf.dummyfunction("""COMPUTED_VALUE"""),445)</f>
        <v>445</v>
      </c>
      <c r="C1272" s="2" t="n">
        <f aca="false">IFERROR(__xludf.dummyfunction("""COMPUTED_VALUE"""),445.04)</f>
        <v>445.04</v>
      </c>
      <c r="D1272" s="2" t="n">
        <f aca="false">IFERROR(__xludf.dummyfunction("""COMPUTED_VALUE"""),434.28)</f>
        <v>434.28</v>
      </c>
      <c r="E1272" s="2" t="n">
        <f aca="false">IFERROR(__xludf.dummyfunction("""COMPUTED_VALUE"""),435.2)</f>
        <v>435.2</v>
      </c>
      <c r="F1272" s="2" t="n">
        <f aca="false">IFERROR(__xludf.dummyfunction("""COMPUTED_VALUE"""),49397415)</f>
        <v>49397415</v>
      </c>
    </row>
    <row r="1273" customFormat="false" ht="15.75" hidden="false" customHeight="false" outlineLevel="0" collapsed="false">
      <c r="A1273" s="3" t="n">
        <f aca="false">IFERROR(__xludf.dummyfunction("""COMPUTED_VALUE"""),46049.6666666667)</f>
        <v>46049.6666666667</v>
      </c>
      <c r="B1273" s="2" t="n">
        <f aca="false">IFERROR(__xludf.dummyfunction("""COMPUTED_VALUE"""),437.41)</f>
        <v>437.41</v>
      </c>
      <c r="C1273" s="2" t="n">
        <f aca="false">IFERROR(__xludf.dummyfunction("""COMPUTED_VALUE"""),437.52)</f>
        <v>437.52</v>
      </c>
      <c r="D1273" s="2" t="n">
        <f aca="false">IFERROR(__xludf.dummyfunction("""COMPUTED_VALUE"""),430.69)</f>
        <v>430.69</v>
      </c>
      <c r="E1273" s="2" t="n">
        <f aca="false">IFERROR(__xludf.dummyfunction("""COMPUTED_VALUE"""),430.9)</f>
        <v>430.9</v>
      </c>
      <c r="F1273" s="2" t="n">
        <f aca="false">IFERROR(__xludf.dummyfunction("""COMPUTED_VALUE"""),37733077)</f>
        <v>37733077</v>
      </c>
    </row>
    <row r="1274" customFormat="false" ht="15.75" hidden="false" customHeight="false" outlineLevel="0" collapsed="false">
      <c r="A1274" s="3" t="n">
        <f aca="false">IFERROR(__xludf.dummyfunction("""COMPUTED_VALUE"""),46050.6666666667)</f>
        <v>46050.6666666667</v>
      </c>
      <c r="B1274" s="2" t="n">
        <f aca="false">IFERROR(__xludf.dummyfunction("""COMPUTED_VALUE"""),431.91)</f>
        <v>431.91</v>
      </c>
      <c r="C1274" s="2" t="n">
        <f aca="false">IFERROR(__xludf.dummyfunction("""COMPUTED_VALUE"""),438.26)</f>
        <v>438.26</v>
      </c>
      <c r="D1274" s="2" t="n">
        <f aca="false">IFERROR(__xludf.dummyfunction("""COMPUTED_VALUE"""),430.1)</f>
        <v>430.1</v>
      </c>
      <c r="E1274" s="2" t="n">
        <f aca="false">IFERROR(__xludf.dummyfunction("""COMPUTED_VALUE"""),431.46)</f>
        <v>431.46</v>
      </c>
      <c r="F1274" s="2" t="n">
        <f aca="false">IFERROR(__xludf.dummyfunction("""COMPUTED_VALUE"""),54857403)</f>
        <v>54857403</v>
      </c>
    </row>
    <row r="1275" customFormat="false" ht="15.75" hidden="false" customHeight="false" outlineLevel="0" collapsed="false">
      <c r="A1275" s="3" t="n">
        <f aca="false">IFERROR(__xludf.dummyfunction("""COMPUTED_VALUE"""),46051.6666666667)</f>
        <v>46051.6666666667</v>
      </c>
      <c r="B1275" s="2" t="n">
        <f aca="false">IFERROR(__xludf.dummyfunction("""COMPUTED_VALUE"""),437.8)</f>
        <v>437.8</v>
      </c>
      <c r="C1275" s="2" t="n">
        <f aca="false">IFERROR(__xludf.dummyfunction("""COMPUTED_VALUE"""),440.23)</f>
        <v>440.23</v>
      </c>
      <c r="D1275" s="2" t="n">
        <f aca="false">IFERROR(__xludf.dummyfunction("""COMPUTED_VALUE"""),414.62)</f>
        <v>414.62</v>
      </c>
      <c r="E1275" s="2" t="n">
        <f aca="false">IFERROR(__xludf.dummyfunction("""COMPUTED_VALUE"""),416.56)</f>
        <v>416.56</v>
      </c>
      <c r="F1275" s="2" t="n">
        <f aca="false">IFERROR(__xludf.dummyfunction("""COMPUTED_VALUE"""),81686127)</f>
        <v>81686127</v>
      </c>
    </row>
    <row r="1276" customFormat="false" ht="15.75" hidden="false" customHeight="false" outlineLevel="0" collapsed="false">
      <c r="A1276" s="3" t="n">
        <f aca="false">IFERROR(__xludf.dummyfunction("""COMPUTED_VALUE"""),46052.6666666667)</f>
        <v>46052.6666666667</v>
      </c>
      <c r="B1276" s="2" t="n">
        <f aca="false">IFERROR(__xludf.dummyfunction("""COMPUTED_VALUE"""),425.35)</f>
        <v>425.35</v>
      </c>
      <c r="C1276" s="2" t="n">
        <f aca="false">IFERROR(__xludf.dummyfunction("""COMPUTED_VALUE"""),439.88)</f>
        <v>439.88</v>
      </c>
      <c r="D1276" s="2" t="n">
        <f aca="false">IFERROR(__xludf.dummyfunction("""COMPUTED_VALUE"""),422.7)</f>
        <v>422.7</v>
      </c>
      <c r="E1276" s="2" t="n">
        <f aca="false">IFERROR(__xludf.dummyfunction("""COMPUTED_VALUE"""),430.41)</f>
        <v>430.41</v>
      </c>
      <c r="F1276" s="2" t="n">
        <f aca="false">IFERROR(__xludf.dummyfunction("""COMPUTED_VALUE"""),82626066)</f>
        <v>82626066</v>
      </c>
    </row>
    <row r="1277" customFormat="false" ht="15.75" hidden="false" customHeight="false" outlineLevel="0" collapsed="false">
      <c r="A1277" s="3" t="n">
        <f aca="false">IFERROR(__xludf.dummyfunction("""COMPUTED_VALUE"""),46055.6666666667)</f>
        <v>46055.6666666667</v>
      </c>
      <c r="B1277" s="2" t="n">
        <f aca="false">IFERROR(__xludf.dummyfunction("""COMPUTED_VALUE"""),421.29)</f>
        <v>421.29</v>
      </c>
      <c r="C1277" s="2" t="n">
        <f aca="false">IFERROR(__xludf.dummyfunction("""COMPUTED_VALUE"""),427.15)</f>
        <v>427.15</v>
      </c>
      <c r="D1277" s="2" t="n">
        <f aca="false">IFERROR(__xludf.dummyfunction("""COMPUTED_VALUE"""),414.5)</f>
        <v>414.5</v>
      </c>
      <c r="E1277" s="2" t="n">
        <f aca="false">IFERROR(__xludf.dummyfunction("""COMPUTED_VALUE"""),421.81)</f>
        <v>421.81</v>
      </c>
      <c r="F1277" s="2" t="n">
        <f aca="false">IFERROR(__xludf.dummyfunction("""COMPUTED_VALUE"""),58739455)</f>
        <v>58739455</v>
      </c>
    </row>
    <row r="1278" customFormat="false" ht="15.75" hidden="false" customHeight="false" outlineLevel="0" collapsed="false">
      <c r="A1278" s="3" t="n">
        <f aca="false">IFERROR(__xludf.dummyfunction("""COMPUTED_VALUE"""),46056.6666666667)</f>
        <v>46056.6666666667</v>
      </c>
      <c r="B1278" s="2" t="n">
        <f aca="false">IFERROR(__xludf.dummyfunction("""COMPUTED_VALUE"""),424.27)</f>
        <v>424.27</v>
      </c>
      <c r="C1278" s="2" t="n">
        <f aca="false">IFERROR(__xludf.dummyfunction("""COMPUTED_VALUE"""),428.56)</f>
        <v>428.56</v>
      </c>
      <c r="D1278" s="2" t="n">
        <f aca="false">IFERROR(__xludf.dummyfunction("""COMPUTED_VALUE"""),413.69)</f>
        <v>413.69</v>
      </c>
      <c r="E1278" s="2" t="n">
        <f aca="false">IFERROR(__xludf.dummyfunction("""COMPUTED_VALUE"""),421.96)</f>
        <v>421.96</v>
      </c>
      <c r="F1278" s="2" t="n">
        <f aca="false">IFERROR(__xludf.dummyfunction("""COMPUTED_VALUE"""),56886549)</f>
        <v>56886549</v>
      </c>
    </row>
    <row r="1279" customFormat="false" ht="15.75" hidden="false" customHeight="false" outlineLevel="0" collapsed="false">
      <c r="A1279" s="3" t="n">
        <f aca="false">IFERROR(__xludf.dummyfunction("""COMPUTED_VALUE"""),46057.6666666667)</f>
        <v>46057.6666666667</v>
      </c>
      <c r="B1279" s="2" t="n">
        <f aca="false">IFERROR(__xludf.dummyfunction("""COMPUTED_VALUE"""),420.46)</f>
        <v>420.46</v>
      </c>
      <c r="C1279" s="2" t="n">
        <f aca="false">IFERROR(__xludf.dummyfunction("""COMPUTED_VALUE"""),423.9)</f>
        <v>423.9</v>
      </c>
      <c r="D1279" s="2" t="n">
        <f aca="false">IFERROR(__xludf.dummyfunction("""COMPUTED_VALUE"""),399.18)</f>
        <v>399.18</v>
      </c>
      <c r="E1279" s="2" t="n">
        <f aca="false">IFERROR(__xludf.dummyfunction("""COMPUTED_VALUE"""),406.01)</f>
        <v>406.01</v>
      </c>
      <c r="F1279" s="2" t="n">
        <f aca="false">IFERROR(__xludf.dummyfunction("""COMPUTED_VALUE"""),74606873)</f>
        <v>74606873</v>
      </c>
    </row>
    <row r="1280" customFormat="false" ht="15.75" hidden="false" customHeight="false" outlineLevel="0" collapsed="false">
      <c r="A1280" s="3" t="n">
        <f aca="false">IFERROR(__xludf.dummyfunction("""COMPUTED_VALUE"""),46058.6666666667)</f>
        <v>46058.6666666667</v>
      </c>
      <c r="B1280" s="2" t="n">
        <f aca="false">IFERROR(__xludf.dummyfunction("""COMPUTED_VALUE"""),397.02)</f>
        <v>397.02</v>
      </c>
      <c r="C1280" s="2" t="n">
        <f aca="false">IFERROR(__xludf.dummyfunction("""COMPUTED_VALUE"""),402.1)</f>
        <v>402.1</v>
      </c>
      <c r="D1280" s="2" t="n">
        <f aca="false">IFERROR(__xludf.dummyfunction("""COMPUTED_VALUE"""),387.53)</f>
        <v>387.53</v>
      </c>
      <c r="E1280" s="2" t="n">
        <f aca="false">IFERROR(__xludf.dummyfunction("""COMPUTED_VALUE"""),397.21)</f>
        <v>397.21</v>
      </c>
      <c r="F1280" s="2" t="n">
        <f aca="false">IFERROR(__xludf.dummyfunction("""COMPUTED_VALUE"""),72819838)</f>
        <v>72819838</v>
      </c>
    </row>
    <row r="1281" customFormat="false" ht="15.75" hidden="false" customHeight="false" outlineLevel="0" collapsed="false">
      <c r="A1281" s="3" t="n">
        <f aca="false">IFERROR(__xludf.dummyfunction("""COMPUTED_VALUE"""),46059.6666666667)</f>
        <v>46059.6666666667</v>
      </c>
      <c r="B1281" s="2" t="n">
        <f aca="false">IFERROR(__xludf.dummyfunction("""COMPUTED_VALUE"""),400.87)</f>
        <v>400.87</v>
      </c>
      <c r="C1281" s="2" t="n">
        <f aca="false">IFERROR(__xludf.dummyfunction("""COMPUTED_VALUE"""),414.55)</f>
        <v>414.55</v>
      </c>
      <c r="D1281" s="2" t="n">
        <f aca="false">IFERROR(__xludf.dummyfunction("""COMPUTED_VALUE"""),397.75)</f>
        <v>397.75</v>
      </c>
      <c r="E1281" s="2" t="n">
        <f aca="false">IFERROR(__xludf.dummyfunction("""COMPUTED_VALUE"""),411.11)</f>
        <v>411.11</v>
      </c>
      <c r="F1281" s="2" t="n">
        <f aca="false">IFERROR(__xludf.dummyfunction("""COMPUTED_VALUE"""),62677144)</f>
        <v>62677144</v>
      </c>
    </row>
    <row r="1282" customFormat="false" ht="15.75" hidden="false" customHeight="false" outlineLevel="0" collapsed="false">
      <c r="A1282" s="3" t="n">
        <f aca="false">IFERROR(__xludf.dummyfunction("""COMPUTED_VALUE"""),46062.6666666667)</f>
        <v>46062.6666666667</v>
      </c>
      <c r="B1282" s="2" t="n">
        <f aca="false">IFERROR(__xludf.dummyfunction("""COMPUTED_VALUE"""),409.91)</f>
        <v>409.91</v>
      </c>
      <c r="C1282" s="2" t="n">
        <f aca="false">IFERROR(__xludf.dummyfunction("""COMPUTED_VALUE"""),421.25)</f>
        <v>421.25</v>
      </c>
      <c r="D1282" s="2" t="n">
        <f aca="false">IFERROR(__xludf.dummyfunction("""COMPUTED_VALUE"""),407.29)</f>
        <v>407.29</v>
      </c>
      <c r="E1282" s="2" t="n">
        <f aca="false">IFERROR(__xludf.dummyfunction("""COMPUTED_VALUE"""),417.32)</f>
        <v>417.32</v>
      </c>
      <c r="F1282" s="2" t="n">
        <f aca="false">IFERROR(__xludf.dummyfunction("""COMPUTED_VALUE"""),54484258)</f>
        <v>54484258</v>
      </c>
    </row>
    <row r="1283" customFormat="false" ht="15.75" hidden="false" customHeight="false" outlineLevel="0" collapsed="false">
      <c r="A1283" s="3" t="n">
        <f aca="false">IFERROR(__xludf.dummyfunction("""COMPUTED_VALUE"""),46063.6666666667)</f>
        <v>46063.6666666667</v>
      </c>
      <c r="B1283" s="2" t="n">
        <f aca="false">IFERROR(__xludf.dummyfunction("""COMPUTED_VALUE"""),418.08)</f>
        <v>418.08</v>
      </c>
      <c r="C1283" s="2" t="n">
        <f aca="false">IFERROR(__xludf.dummyfunction("""COMPUTED_VALUE"""),427.25)</f>
        <v>427.25</v>
      </c>
      <c r="D1283" s="2" t="n">
        <f aca="false">IFERROR(__xludf.dummyfunction("""COMPUTED_VALUE"""),417)</f>
        <v>417</v>
      </c>
      <c r="E1283" s="2" t="n">
        <f aca="false">IFERROR(__xludf.dummyfunction("""COMPUTED_VALUE"""),425.21)</f>
        <v>425.21</v>
      </c>
      <c r="F1283" s="2" t="n">
        <f aca="false">IFERROR(__xludf.dummyfunction("""COMPUTED_VALUE"""),64450233)</f>
        <v>64450233</v>
      </c>
    </row>
    <row r="1284" customFormat="false" ht="15.75" hidden="false" customHeight="false" outlineLevel="0" collapsed="false">
      <c r="A1284" s="3" t="n">
        <f aca="false">IFERROR(__xludf.dummyfunction("""COMPUTED_VALUE"""),46064.6666666667)</f>
        <v>46064.6666666667</v>
      </c>
      <c r="B1284" s="2" t="n">
        <f aca="false">IFERROR(__xludf.dummyfunction("""COMPUTED_VALUE"""),427.96)</f>
        <v>427.96</v>
      </c>
      <c r="C1284" s="2" t="n">
        <f aca="false">IFERROR(__xludf.dummyfunction("""COMPUTED_VALUE"""),436.35)</f>
        <v>436.35</v>
      </c>
      <c r="D1284" s="2" t="n">
        <f aca="false">IFERROR(__xludf.dummyfunction("""COMPUTED_VALUE"""),420.03)</f>
        <v>420.03</v>
      </c>
      <c r="E1284" s="2" t="n">
        <f aca="false">IFERROR(__xludf.dummyfunction("""COMPUTED_VALUE"""),428.27)</f>
        <v>428.27</v>
      </c>
      <c r="F1284" s="2" t="n">
        <f aca="false">IFERROR(__xludf.dummyfunction("""COMPUTED_VALUE"""),57361989)</f>
        <v>57361989</v>
      </c>
    </row>
    <row r="1285" customFormat="false" ht="15.75" hidden="false" customHeight="false" outlineLevel="0" collapsed="false">
      <c r="A1285" s="3" t="n">
        <f aca="false">IFERROR(__xludf.dummyfunction("""COMPUTED_VALUE"""),46065.6666666667)</f>
        <v>46065.6666666667</v>
      </c>
      <c r="B1285" s="2" t="n">
        <f aca="false">IFERROR(__xludf.dummyfunction("""COMPUTED_VALUE"""),430.3)</f>
        <v>430.3</v>
      </c>
      <c r="C1285" s="2" t="n">
        <f aca="false">IFERROR(__xludf.dummyfunction("""COMPUTED_VALUE"""),436.23)</f>
        <v>436.23</v>
      </c>
      <c r="D1285" s="2" t="n">
        <f aca="false">IFERROR(__xludf.dummyfunction("""COMPUTED_VALUE"""),414)</f>
        <v>414</v>
      </c>
      <c r="E1285" s="2" t="n">
        <f aca="false">IFERROR(__xludf.dummyfunction("""COMPUTED_VALUE"""),417.07)</f>
        <v>417.07</v>
      </c>
      <c r="F1285" s="2" t="n">
        <f aca="false">IFERROR(__xludf.dummyfunction("""COMPUTED_VALUE"""),61933359)</f>
        <v>61933359</v>
      </c>
    </row>
    <row r="1286" customFormat="false" ht="15.75" hidden="false" customHeight="false" outlineLevel="0" collapsed="false">
      <c r="A1286" s="3" t="n">
        <f aca="false">IFERROR(__xludf.dummyfunction("""COMPUTED_VALUE"""),46066.6666666667)</f>
        <v>46066.6666666667</v>
      </c>
      <c r="B1286" s="2" t="n">
        <f aca="false">IFERROR(__xludf.dummyfunction("""COMPUTED_VALUE"""),414.31)</f>
        <v>414.31</v>
      </c>
      <c r="C1286" s="2" t="n">
        <f aca="false">IFERROR(__xludf.dummyfunction("""COMPUTED_VALUE"""),424.06)</f>
        <v>424.06</v>
      </c>
      <c r="D1286" s="2" t="n">
        <f aca="false">IFERROR(__xludf.dummyfunction("""COMPUTED_VALUE"""),410.88)</f>
        <v>410.88</v>
      </c>
      <c r="E1286" s="2" t="n">
        <f aca="false">IFERROR(__xludf.dummyfunction("""COMPUTED_VALUE"""),417.44)</f>
        <v>417.44</v>
      </c>
      <c r="F1286" s="2" t="n">
        <f aca="false">IFERROR(__xludf.dummyfunction("""COMPUTED_VALUE"""),51434147)</f>
        <v>51434147</v>
      </c>
    </row>
    <row r="1287" customFormat="false" ht="15.75" hidden="false" customHeight="false" outlineLevel="0" collapsed="false">
      <c r="A1287" s="3" t="n">
        <f aca="false">IFERROR(__xludf.dummyfunction("""COMPUTED_VALUE"""),46070.6666666667)</f>
        <v>46070.6666666667</v>
      </c>
      <c r="B1287" s="2" t="n">
        <f aca="false">IFERROR(__xludf.dummyfunction("""COMPUTED_VALUE"""),412.36)</f>
        <v>412.36</v>
      </c>
      <c r="C1287" s="2" t="n">
        <f aca="false">IFERROR(__xludf.dummyfunction("""COMPUTED_VALUE"""),413.72)</f>
        <v>413.72</v>
      </c>
      <c r="D1287" s="2" t="n">
        <f aca="false">IFERROR(__xludf.dummyfunction("""COMPUTED_VALUE"""),400.51)</f>
        <v>400.51</v>
      </c>
      <c r="E1287" s="2" t="n">
        <f aca="false">IFERROR(__xludf.dummyfunction("""COMPUTED_VALUE"""),410.63)</f>
        <v>410.63</v>
      </c>
      <c r="F1287" s="2" t="n">
        <f aca="false">IFERROR(__xludf.dummyfunction("""COMPUTED_VALUE"""),59678789)</f>
        <v>59678789</v>
      </c>
    </row>
    <row r="1288" customFormat="false" ht="15.75" hidden="false" customHeight="false" outlineLevel="0" collapsed="false">
      <c r="A1288" s="3" t="n">
        <f aca="false">IFERROR(__xludf.dummyfunction("""COMPUTED_VALUE"""),46071.6666666667)</f>
        <v>46071.6666666667</v>
      </c>
      <c r="B1288" s="2" t="n">
        <f aca="false">IFERROR(__xludf.dummyfunction("""COMPUTED_VALUE"""),411.11)</f>
        <v>411.11</v>
      </c>
      <c r="C1288" s="2" t="n">
        <f aca="false">IFERROR(__xludf.dummyfunction("""COMPUTED_VALUE"""),416.9)</f>
        <v>416.9</v>
      </c>
      <c r="D1288" s="2" t="n">
        <f aca="false">IFERROR(__xludf.dummyfunction("""COMPUTED_VALUE"""),409.58)</f>
        <v>409.58</v>
      </c>
      <c r="E1288" s="2" t="n">
        <f aca="false">IFERROR(__xludf.dummyfunction("""COMPUTED_VALUE"""),411.32)</f>
        <v>411.32</v>
      </c>
      <c r="F1288" s="2" t="n">
        <f aca="false">IFERROR(__xludf.dummyfunction("""COMPUTED_VALUE"""),45921402)</f>
        <v>45921402</v>
      </c>
    </row>
    <row r="1289" customFormat="false" ht="15.75" hidden="false" customHeight="false" outlineLevel="0" collapsed="false">
      <c r="A1289" s="3" t="n">
        <f aca="false">IFERROR(__xludf.dummyfunction("""COMPUTED_VALUE"""),46072.6666666667)</f>
        <v>46072.6666666667</v>
      </c>
      <c r="B1289" s="2" t="n">
        <f aca="false">IFERROR(__xludf.dummyfunction("""COMPUTED_VALUE"""),407.25)</f>
        <v>407.25</v>
      </c>
      <c r="C1289" s="2" t="n">
        <f aca="false">IFERROR(__xludf.dummyfunction("""COMPUTED_VALUE"""),415.25)</f>
        <v>415.25</v>
      </c>
      <c r="D1289" s="2" t="n">
        <f aca="false">IFERROR(__xludf.dummyfunction("""COMPUTED_VALUE"""),404.11)</f>
        <v>404.11</v>
      </c>
      <c r="E1289" s="2" t="n">
        <f aca="false">IFERROR(__xludf.dummyfunction("""COMPUTED_VALUE"""),411.71)</f>
        <v>411.71</v>
      </c>
      <c r="F1289" s="2" t="n">
        <f aca="false">IFERROR(__xludf.dummyfunction("""COMPUTED_VALUE"""),51019638)</f>
        <v>51019638</v>
      </c>
    </row>
    <row r="1290" customFormat="false" ht="15.75" hidden="false" customHeight="false" outlineLevel="0" collapsed="false">
      <c r="A1290" s="3" t="n">
        <f aca="false">IFERROR(__xludf.dummyfunction("""COMPUTED_VALUE"""),46073.6666666667)</f>
        <v>46073.6666666667</v>
      </c>
      <c r="B1290" s="2" t="n">
        <f aca="false">IFERROR(__xludf.dummyfunction("""COMPUTED_VALUE"""),408.3)</f>
        <v>408.3</v>
      </c>
      <c r="C1290" s="2" t="n">
        <f aca="false">IFERROR(__xludf.dummyfunction("""COMPUTED_VALUE"""),414.7)</f>
        <v>414.7</v>
      </c>
      <c r="D1290" s="2" t="n">
        <f aca="false">IFERROR(__xludf.dummyfunction("""COMPUTED_VALUE"""),405.5)</f>
        <v>405.5</v>
      </c>
      <c r="E1290" s="2" t="n">
        <f aca="false">IFERROR(__xludf.dummyfunction("""COMPUTED_VALUE"""),411.82)</f>
        <v>411.82</v>
      </c>
      <c r="F1290" s="2" t="n">
        <f aca="false">IFERROR(__xludf.dummyfunction("""COMPUTED_VALUE"""),57912225)</f>
        <v>57912225</v>
      </c>
    </row>
    <row r="1291" customFormat="false" ht="15.75" hidden="false" customHeight="false" outlineLevel="0" collapsed="false">
      <c r="A1291" s="3" t="n">
        <f aca="false">IFERROR(__xludf.dummyfunction("""COMPUTED_VALUE"""),46076.6666666667)</f>
        <v>46076.6666666667</v>
      </c>
      <c r="B1291" s="2" t="n">
        <f aca="false">IFERROR(__xludf.dummyfunction("""COMPUTED_VALUE"""),407.29)</f>
        <v>407.29</v>
      </c>
      <c r="C1291" s="2" t="n">
        <f aca="false">IFERROR(__xludf.dummyfunction("""COMPUTED_VALUE"""),407.7)</f>
        <v>407.7</v>
      </c>
      <c r="D1291" s="2" t="n">
        <f aca="false">IFERROR(__xludf.dummyfunction("""COMPUTED_VALUE"""),394.04)</f>
        <v>394.04</v>
      </c>
      <c r="E1291" s="2" t="n">
        <f aca="false">IFERROR(__xludf.dummyfunction("""COMPUTED_VALUE"""),399.83)</f>
        <v>399.83</v>
      </c>
      <c r="F1291" s="2" t="n">
        <f aca="false">IFERROR(__xludf.dummyfunction("""COMPUTED_VALUE"""),69118036)</f>
        <v>69118036</v>
      </c>
    </row>
    <row r="1292" customFormat="false" ht="15.75" hidden="false" customHeight="false" outlineLevel="0" collapsed="false">
      <c r="A1292" s="3" t="n">
        <f aca="false">IFERROR(__xludf.dummyfunction("""COMPUTED_VALUE"""),46077.6666666667)</f>
        <v>46077.6666666667</v>
      </c>
      <c r="B1292" s="2" t="n">
        <f aca="false">IFERROR(__xludf.dummyfunction("""COMPUTED_VALUE"""),399.5)</f>
        <v>399.5</v>
      </c>
      <c r="C1292" s="2" t="n">
        <f aca="false">IFERROR(__xludf.dummyfunction("""COMPUTED_VALUE"""),410.82)</f>
        <v>410.82</v>
      </c>
      <c r="D1292" s="2" t="n">
        <f aca="false">IFERROR(__xludf.dummyfunction("""COMPUTED_VALUE"""),397.64)</f>
        <v>397.64</v>
      </c>
      <c r="E1292" s="2" t="n">
        <f aca="false">IFERROR(__xludf.dummyfunction("""COMPUTED_VALUE"""),409.38)</f>
        <v>409.38</v>
      </c>
      <c r="F1292" s="2" t="n">
        <f aca="false">IFERROR(__xludf.dummyfunction("""COMPUTED_VALUE"""),57626011)</f>
        <v>57626011</v>
      </c>
    </row>
    <row r="1293" customFormat="false" ht="15.75" hidden="false" customHeight="false" outlineLevel="0" collapsed="false">
      <c r="A1293" s="3" t="n">
        <f aca="false">IFERROR(__xludf.dummyfunction("""COMPUTED_VALUE"""),46078.6666666667)</f>
        <v>46078.6666666667</v>
      </c>
      <c r="B1293" s="2" t="n">
        <f aca="false">IFERROR(__xludf.dummyfunction("""COMPUTED_VALUE"""),412.15)</f>
        <v>412.15</v>
      </c>
      <c r="C1293" s="2" t="n">
        <f aca="false">IFERROR(__xludf.dummyfunction("""COMPUTED_VALUE"""),420.34)</f>
        <v>420.34</v>
      </c>
      <c r="D1293" s="2" t="n">
        <f aca="false">IFERROR(__xludf.dummyfunction("""COMPUTED_VALUE"""),412.15)</f>
        <v>412.15</v>
      </c>
      <c r="E1293" s="2" t="n">
        <f aca="false">IFERROR(__xludf.dummyfunction("""COMPUTED_VALUE"""),417.4)</f>
        <v>417.4</v>
      </c>
      <c r="F1293" s="2" t="n">
        <f aca="false">IFERROR(__xludf.dummyfunction("""COMPUTED_VALUE"""),53766486)</f>
        <v>53766486</v>
      </c>
    </row>
    <row r="1294" customFormat="false" ht="15.75" hidden="false" customHeight="false" outlineLevel="0" collapsed="false">
      <c r="A1294" s="3" t="n">
        <f aca="false">IFERROR(__xludf.dummyfunction("""COMPUTED_VALUE"""),46079.6666666667)</f>
        <v>46079.6666666667</v>
      </c>
      <c r="B1294" s="2" t="n">
        <f aca="false">IFERROR(__xludf.dummyfunction("""COMPUTED_VALUE"""),414.42)</f>
        <v>414.42</v>
      </c>
      <c r="C1294" s="2" t="n">
        <f aca="false">IFERROR(__xludf.dummyfunction("""COMPUTED_VALUE"""),416.81)</f>
        <v>416.81</v>
      </c>
      <c r="D1294" s="2" t="n">
        <f aca="false">IFERROR(__xludf.dummyfunction("""COMPUTED_VALUE"""),403.66)</f>
        <v>403.66</v>
      </c>
      <c r="E1294" s="2" t="n">
        <f aca="false">IFERROR(__xludf.dummyfunction("""COMPUTED_VALUE"""),408.58)</f>
        <v>408.58</v>
      </c>
      <c r="F1294" s="2" t="n">
        <f aca="false">IFERROR(__xludf.dummyfunction("""COMPUTED_VALUE"""),53208786)</f>
        <v>53208786</v>
      </c>
    </row>
    <row r="1295" customFormat="false" ht="15.75" hidden="false" customHeight="false" outlineLevel="0" collapsed="false">
      <c r="A1295" s="3" t="n">
        <f aca="false">IFERROR(__xludf.dummyfunction("""COMPUTED_VALUE"""),46080.6666666667)</f>
        <v>46080.6666666667</v>
      </c>
      <c r="B1295" s="2" t="n">
        <f aca="false">IFERROR(__xludf.dummyfunction("""COMPUTED_VALUE"""),402.94)</f>
        <v>402.94</v>
      </c>
      <c r="C1295" s="2" t="n">
        <f aca="false">IFERROR(__xludf.dummyfunction("""COMPUTED_VALUE"""),407.12)</f>
        <v>407.12</v>
      </c>
      <c r="D1295" s="2" t="n">
        <f aca="false">IFERROR(__xludf.dummyfunction("""COMPUTED_VALUE"""),398.11)</f>
        <v>398.11</v>
      </c>
      <c r="E1295" s="2" t="n">
        <f aca="false">IFERROR(__xludf.dummyfunction("""COMPUTED_VALUE"""),402.51)</f>
        <v>402.51</v>
      </c>
      <c r="F1295" s="2" t="n">
        <f aca="false">IFERROR(__xludf.dummyfunction("""COMPUTED_VALUE"""),56512409)</f>
        <v>56512409</v>
      </c>
    </row>
    <row r="1296" customFormat="false" ht="15.75" hidden="false" customHeight="false" outlineLevel="0" collapsed="false">
      <c r="A1296" s="3" t="n">
        <f aca="false">IFERROR(__xludf.dummyfunction("""COMPUTED_VALUE"""),46083.6666666667)</f>
        <v>46083.6666666667</v>
      </c>
      <c r="B1296" s="2" t="n">
        <f aca="false">IFERROR(__xludf.dummyfunction("""COMPUTED_VALUE"""),390.6)</f>
        <v>390.6</v>
      </c>
      <c r="C1296" s="2" t="n">
        <f aca="false">IFERROR(__xludf.dummyfunction("""COMPUTED_VALUE"""),404.54)</f>
        <v>404.54</v>
      </c>
      <c r="D1296" s="2" t="n">
        <f aca="false">IFERROR(__xludf.dummyfunction("""COMPUTED_VALUE"""),388.25)</f>
        <v>388.25</v>
      </c>
      <c r="E1296" s="2" t="n">
        <f aca="false">IFERROR(__xludf.dummyfunction("""COMPUTED_VALUE"""),403.32)</f>
        <v>403.32</v>
      </c>
      <c r="F1296" s="2" t="n">
        <f aca="false">IFERROR(__xludf.dummyfunction("""COMPUTED_VALUE"""),3606579)</f>
        <v>3606579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sheetData>
    <row r="1" customFormat="false" ht="15.75" hidden="false" customHeight="false" outlineLevel="0" collapsed="false">
      <c r="A1" s="10"/>
    </row>
    <row r="2" customFormat="false" ht="15.75" hidden="false" customHeight="false" outlineLevel="0" collapsed="false">
      <c r="A2" s="11"/>
    </row>
    <row r="3" customFormat="false" ht="15.75" hidden="false" customHeight="false" outlineLevel="0" collapsed="false">
      <c r="A3" s="11"/>
    </row>
    <row r="4" customFormat="false" ht="15.75" hidden="false" customHeight="false" outlineLevel="0" collapsed="false">
      <c r="A4" s="11"/>
    </row>
    <row r="5" customFormat="false" ht="15.75" hidden="false" customHeight="false" outlineLevel="0" collapsed="false">
      <c r="A5" s="11"/>
    </row>
    <row r="6" customFormat="false" ht="15.75" hidden="false" customHeight="false" outlineLevel="0" collapsed="false">
      <c r="A6" s="11"/>
    </row>
    <row r="7" customFormat="false" ht="15.75" hidden="false" customHeight="false" outlineLevel="0" collapsed="false">
      <c r="A7" s="11"/>
    </row>
    <row r="8" customFormat="false" ht="15.75" hidden="false" customHeight="false" outlineLevel="0" collapsed="false">
      <c r="A8" s="11"/>
    </row>
    <row r="9" customFormat="false" ht="15.75" hidden="false" customHeight="false" outlineLevel="0" collapsed="false">
      <c r="A9" s="11"/>
    </row>
    <row r="10" customFormat="false" ht="15.75" hidden="false" customHeight="false" outlineLevel="0" collapsed="false">
      <c r="A10" s="11"/>
    </row>
    <row r="11" customFormat="false" ht="15.75" hidden="false" customHeight="false" outlineLevel="0" collapsed="false">
      <c r="A11" s="11"/>
    </row>
    <row r="12" customFormat="false" ht="15.75" hidden="false" customHeight="false" outlineLevel="0" collapsed="false">
      <c r="A12" s="11"/>
    </row>
    <row r="13" customFormat="false" ht="15.75" hidden="false" customHeight="false" outlineLevel="0" collapsed="false">
      <c r="A13" s="11"/>
    </row>
    <row r="14" customFormat="false" ht="15.75" hidden="false" customHeight="false" outlineLevel="0" collapsed="false">
      <c r="A14" s="11"/>
    </row>
    <row r="15" customFormat="false" ht="15.75" hidden="false" customHeight="false" outlineLevel="0" collapsed="false">
      <c r="A15" s="11"/>
    </row>
    <row r="16" customFormat="false" ht="15.75" hidden="false" customHeight="false" outlineLevel="0" collapsed="false">
      <c r="A16" s="11"/>
    </row>
    <row r="17" customFormat="false" ht="15.75" hidden="false" customHeight="false" outlineLevel="0" collapsed="false">
      <c r="A17" s="11"/>
    </row>
    <row r="18" customFormat="false" ht="15.75" hidden="false" customHeight="false" outlineLevel="0" collapsed="false">
      <c r="A18" s="11"/>
    </row>
    <row r="19" customFormat="false" ht="15.75" hidden="false" customHeight="false" outlineLevel="0" collapsed="false">
      <c r="A19" s="11"/>
    </row>
    <row r="20" customFormat="false" ht="15.75" hidden="false" customHeight="false" outlineLevel="0" collapsed="false">
      <c r="A20" s="11"/>
    </row>
    <row r="21" customFormat="false" ht="15.75" hidden="false" customHeight="false" outlineLevel="0" collapsed="false">
      <c r="A21" s="11"/>
    </row>
    <row r="22" customFormat="false" ht="15.75" hidden="false" customHeight="false" outlineLevel="0" collapsed="false">
      <c r="A22" s="11"/>
    </row>
    <row r="23" customFormat="false" ht="15.75" hidden="false" customHeight="false" outlineLevel="0" collapsed="false">
      <c r="A23" s="11"/>
    </row>
    <row r="24" customFormat="false" ht="15.75" hidden="false" customHeight="false" outlineLevel="0" collapsed="false">
      <c r="A24" s="11"/>
    </row>
    <row r="25" customFormat="false" ht="15.75" hidden="false" customHeight="false" outlineLevel="0" collapsed="false">
      <c r="A25" s="11"/>
    </row>
    <row r="26" customFormat="false" ht="15.75" hidden="false" customHeight="false" outlineLevel="0" collapsed="false">
      <c r="A26" s="11"/>
    </row>
    <row r="27" customFormat="false" ht="15.75" hidden="false" customHeight="false" outlineLevel="0" collapsed="false">
      <c r="A27" s="11"/>
    </row>
    <row r="28" customFormat="false" ht="15.75" hidden="false" customHeight="false" outlineLevel="0" collapsed="false">
      <c r="A28" s="11"/>
    </row>
    <row r="29" customFormat="false" ht="15.75" hidden="false" customHeight="false" outlineLevel="0" collapsed="false">
      <c r="A29" s="11"/>
    </row>
    <row r="30" customFormat="false" ht="15.75" hidden="false" customHeight="false" outlineLevel="0" collapsed="false">
      <c r="A30" s="11"/>
    </row>
    <row r="31" customFormat="false" ht="15.75" hidden="false" customHeight="false" outlineLevel="0" collapsed="false">
      <c r="A31" s="11"/>
    </row>
    <row r="32" customFormat="false" ht="15.75" hidden="false" customHeight="false" outlineLevel="0" collapsed="false">
      <c r="A32" s="11"/>
    </row>
    <row r="33" customFormat="false" ht="15.75" hidden="false" customHeight="false" outlineLevel="0" collapsed="false">
      <c r="A33" s="11"/>
    </row>
    <row r="34" customFormat="false" ht="15.75" hidden="false" customHeight="false" outlineLevel="0" collapsed="false">
      <c r="A34" s="11"/>
    </row>
    <row r="35" customFormat="false" ht="15.75" hidden="false" customHeight="false" outlineLevel="0" collapsed="false">
      <c r="A35" s="11"/>
    </row>
    <row r="36" customFormat="false" ht="15.75" hidden="false" customHeight="false" outlineLevel="0" collapsed="false">
      <c r="A36" s="11"/>
    </row>
    <row r="37" customFormat="false" ht="15.75" hidden="false" customHeight="false" outlineLevel="0" collapsed="false">
      <c r="A37" s="11"/>
    </row>
    <row r="38" customFormat="false" ht="15.75" hidden="false" customHeight="false" outlineLevel="0" collapsed="false">
      <c r="A38" s="11"/>
    </row>
    <row r="39" customFormat="false" ht="15.75" hidden="false" customHeight="false" outlineLevel="0" collapsed="false">
      <c r="A39" s="11"/>
    </row>
    <row r="40" customFormat="false" ht="15.75" hidden="false" customHeight="false" outlineLevel="0" collapsed="false">
      <c r="A40" s="11"/>
    </row>
    <row r="41" customFormat="false" ht="15.75" hidden="false" customHeight="false" outlineLevel="0" collapsed="false">
      <c r="A41" s="11"/>
    </row>
    <row r="42" customFormat="false" ht="15.75" hidden="false" customHeight="false" outlineLevel="0" collapsed="false">
      <c r="A42" s="11"/>
    </row>
    <row r="43" customFormat="false" ht="15.75" hidden="false" customHeight="false" outlineLevel="0" collapsed="false">
      <c r="A43" s="11"/>
    </row>
    <row r="44" customFormat="false" ht="15.75" hidden="false" customHeight="false" outlineLevel="0" collapsed="false">
      <c r="A44" s="11"/>
    </row>
    <row r="45" customFormat="false" ht="15.75" hidden="false" customHeight="false" outlineLevel="0" collapsed="false">
      <c r="A45" s="11"/>
    </row>
    <row r="46" customFormat="false" ht="15.75" hidden="false" customHeight="false" outlineLevel="0" collapsed="false">
      <c r="A46" s="11"/>
    </row>
    <row r="47" customFormat="false" ht="15.75" hidden="false" customHeight="false" outlineLevel="0" collapsed="false">
      <c r="A47" s="11"/>
    </row>
    <row r="48" customFormat="false" ht="15.75" hidden="false" customHeight="false" outlineLevel="0" collapsed="false">
      <c r="A48" s="11"/>
    </row>
    <row r="49" customFormat="false" ht="15.75" hidden="false" customHeight="false" outlineLevel="0" collapsed="false">
      <c r="A49" s="11"/>
    </row>
    <row r="50" customFormat="false" ht="15.75" hidden="false" customHeight="false" outlineLevel="0" collapsed="false">
      <c r="A50" s="11"/>
    </row>
    <row r="51" customFormat="false" ht="15.75" hidden="false" customHeight="false" outlineLevel="0" collapsed="false">
      <c r="A51" s="11"/>
    </row>
    <row r="52" customFormat="false" ht="15.75" hidden="false" customHeight="false" outlineLevel="0" collapsed="false">
      <c r="A52" s="11"/>
    </row>
    <row r="53" customFormat="false" ht="15.75" hidden="false" customHeight="false" outlineLevel="0" collapsed="false">
      <c r="A53" s="11"/>
    </row>
    <row r="54" customFormat="false" ht="15.75" hidden="false" customHeight="false" outlineLevel="0" collapsed="false">
      <c r="A54" s="11"/>
    </row>
    <row r="55" customFormat="false" ht="15.75" hidden="false" customHeight="false" outlineLevel="0" collapsed="false">
      <c r="A55" s="11"/>
    </row>
    <row r="56" customFormat="false" ht="15.75" hidden="false" customHeight="false" outlineLevel="0" collapsed="false">
      <c r="A56" s="11"/>
    </row>
    <row r="57" customFormat="false" ht="15.75" hidden="false" customHeight="false" outlineLevel="0" collapsed="false">
      <c r="A57" s="11"/>
    </row>
    <row r="58" customFormat="false" ht="15.75" hidden="false" customHeight="false" outlineLevel="0" collapsed="false">
      <c r="A58" s="11"/>
    </row>
    <row r="59" customFormat="false" ht="15.75" hidden="false" customHeight="false" outlineLevel="0" collapsed="false">
      <c r="A59" s="11"/>
    </row>
    <row r="60" customFormat="false" ht="15.75" hidden="false" customHeight="false" outlineLevel="0" collapsed="false">
      <c r="A60" s="11"/>
    </row>
    <row r="61" customFormat="false" ht="15.75" hidden="false" customHeight="false" outlineLevel="0" collapsed="false">
      <c r="A61" s="11"/>
    </row>
    <row r="62" customFormat="false" ht="15.75" hidden="false" customHeight="false" outlineLevel="0" collapsed="false">
      <c r="A62" s="11"/>
    </row>
    <row r="63" customFormat="false" ht="15.75" hidden="false" customHeight="false" outlineLevel="0" collapsed="false">
      <c r="A63" s="11"/>
    </row>
    <row r="64" customFormat="false" ht="15.75" hidden="false" customHeight="false" outlineLevel="0" collapsed="false">
      <c r="A64" s="11"/>
    </row>
    <row r="65" customFormat="false" ht="15.75" hidden="false" customHeight="false" outlineLevel="0" collapsed="false">
      <c r="A65" s="11"/>
    </row>
    <row r="66" customFormat="false" ht="15.75" hidden="false" customHeight="false" outlineLevel="0" collapsed="false">
      <c r="A66" s="11"/>
    </row>
    <row r="67" customFormat="false" ht="15.75" hidden="false" customHeight="false" outlineLevel="0" collapsed="false">
      <c r="A67" s="11"/>
    </row>
    <row r="68" customFormat="false" ht="15.75" hidden="false" customHeight="false" outlineLevel="0" collapsed="false">
      <c r="A68" s="11"/>
    </row>
    <row r="69" customFormat="false" ht="15.75" hidden="false" customHeight="false" outlineLevel="0" collapsed="false">
      <c r="A69" s="11"/>
    </row>
    <row r="70" customFormat="false" ht="15.75" hidden="false" customHeight="false" outlineLevel="0" collapsed="false">
      <c r="A70" s="11"/>
    </row>
    <row r="71" customFormat="false" ht="15.75" hidden="false" customHeight="false" outlineLevel="0" collapsed="false">
      <c r="A71" s="11"/>
    </row>
    <row r="72" customFormat="false" ht="15.75" hidden="false" customHeight="false" outlineLevel="0" collapsed="false">
      <c r="A72" s="11"/>
    </row>
    <row r="73" customFormat="false" ht="15.75" hidden="false" customHeight="false" outlineLevel="0" collapsed="false">
      <c r="A73" s="11"/>
    </row>
    <row r="74" customFormat="false" ht="15.75" hidden="false" customHeight="false" outlineLevel="0" collapsed="false">
      <c r="A74" s="11"/>
    </row>
    <row r="75" customFormat="false" ht="15.75" hidden="false" customHeight="false" outlineLevel="0" collapsed="false">
      <c r="A75" s="11"/>
    </row>
    <row r="76" customFormat="false" ht="15.75" hidden="false" customHeight="false" outlineLevel="0" collapsed="false">
      <c r="A76" s="11"/>
    </row>
    <row r="77" customFormat="false" ht="15.75" hidden="false" customHeight="false" outlineLevel="0" collapsed="false">
      <c r="A77" s="11"/>
    </row>
    <row r="78" customFormat="false" ht="15.75" hidden="false" customHeight="false" outlineLevel="0" collapsed="false">
      <c r="A78" s="11"/>
    </row>
    <row r="79" customFormat="false" ht="15.75" hidden="false" customHeight="false" outlineLevel="0" collapsed="false">
      <c r="A79" s="11"/>
    </row>
    <row r="80" customFormat="false" ht="15.75" hidden="false" customHeight="false" outlineLevel="0" collapsed="false">
      <c r="A80" s="11"/>
    </row>
    <row r="81" customFormat="false" ht="15.75" hidden="false" customHeight="false" outlineLevel="0" collapsed="false">
      <c r="A81" s="11"/>
    </row>
    <row r="82" customFormat="false" ht="15.75" hidden="false" customHeight="false" outlineLevel="0" collapsed="false">
      <c r="A82" s="11"/>
    </row>
    <row r="83" customFormat="false" ht="15.75" hidden="false" customHeight="false" outlineLevel="0" collapsed="false">
      <c r="A83" s="11"/>
    </row>
    <row r="84" customFormat="false" ht="15.75" hidden="false" customHeight="false" outlineLevel="0" collapsed="false">
      <c r="A84" s="11"/>
    </row>
    <row r="85" customFormat="false" ht="15.75" hidden="false" customHeight="false" outlineLevel="0" collapsed="false">
      <c r="A85" s="11"/>
    </row>
    <row r="86" customFormat="false" ht="15.75" hidden="false" customHeight="false" outlineLevel="0" collapsed="false">
      <c r="A86" s="11"/>
    </row>
    <row r="87" customFormat="false" ht="15.75" hidden="false" customHeight="false" outlineLevel="0" collapsed="false">
      <c r="A87" s="11"/>
    </row>
    <row r="88" customFormat="false" ht="15.75" hidden="false" customHeight="false" outlineLevel="0" collapsed="false">
      <c r="A88" s="11"/>
    </row>
    <row r="89" customFormat="false" ht="15.75" hidden="false" customHeight="false" outlineLevel="0" collapsed="false">
      <c r="A89" s="11"/>
    </row>
    <row r="90" customFormat="false" ht="15.75" hidden="false" customHeight="false" outlineLevel="0" collapsed="false">
      <c r="A90" s="11"/>
    </row>
    <row r="91" customFormat="false" ht="15.75" hidden="false" customHeight="false" outlineLevel="0" collapsed="false">
      <c r="A91" s="11"/>
    </row>
    <row r="92" customFormat="false" ht="15.75" hidden="false" customHeight="false" outlineLevel="0" collapsed="false">
      <c r="A92" s="11"/>
    </row>
    <row r="93" customFormat="false" ht="15.75" hidden="false" customHeight="false" outlineLevel="0" collapsed="false">
      <c r="A93" s="11"/>
    </row>
    <row r="94" customFormat="false" ht="15.75" hidden="false" customHeight="false" outlineLevel="0" collapsed="false">
      <c r="A94" s="11"/>
    </row>
    <row r="95" customFormat="false" ht="15.75" hidden="false" customHeight="false" outlineLevel="0" collapsed="false">
      <c r="A95" s="11"/>
    </row>
    <row r="96" customFormat="false" ht="15.75" hidden="false" customHeight="false" outlineLevel="0" collapsed="false">
      <c r="A96" s="11"/>
    </row>
    <row r="97" customFormat="false" ht="15.75" hidden="false" customHeight="false" outlineLevel="0" collapsed="false">
      <c r="A97" s="11"/>
    </row>
    <row r="98" customFormat="false" ht="15.75" hidden="false" customHeight="false" outlineLevel="0" collapsed="false">
      <c r="A98" s="11"/>
    </row>
    <row r="99" customFormat="false" ht="15.75" hidden="false" customHeight="false" outlineLevel="0" collapsed="false">
      <c r="A99" s="11"/>
    </row>
    <row r="100" customFormat="false" ht="15.75" hidden="false" customHeight="false" outlineLevel="0" collapsed="false">
      <c r="A100" s="11"/>
    </row>
    <row r="101" customFormat="false" ht="15.75" hidden="false" customHeight="false" outlineLevel="0" collapsed="false">
      <c r="A101" s="11"/>
    </row>
    <row r="102" customFormat="false" ht="15.75" hidden="false" customHeight="false" outlineLevel="0" collapsed="false">
      <c r="A102" s="11"/>
    </row>
    <row r="103" customFormat="false" ht="15.75" hidden="false" customHeight="false" outlineLevel="0" collapsed="false">
      <c r="A103" s="11"/>
    </row>
    <row r="104" customFormat="false" ht="15.75" hidden="false" customHeight="false" outlineLevel="0" collapsed="false">
      <c r="A104" s="11"/>
    </row>
    <row r="105" customFormat="false" ht="15.75" hidden="false" customHeight="false" outlineLevel="0" collapsed="false">
      <c r="A105" s="11"/>
    </row>
    <row r="106" customFormat="false" ht="15.75" hidden="false" customHeight="false" outlineLevel="0" collapsed="false">
      <c r="A106" s="11"/>
    </row>
    <row r="107" customFormat="false" ht="15.75" hidden="false" customHeight="false" outlineLevel="0" collapsed="false">
      <c r="A107" s="11"/>
    </row>
    <row r="108" customFormat="false" ht="15.75" hidden="false" customHeight="false" outlineLevel="0" collapsed="false">
      <c r="A108" s="11"/>
    </row>
    <row r="109" customFormat="false" ht="15.75" hidden="false" customHeight="false" outlineLevel="0" collapsed="false">
      <c r="A109" s="11"/>
    </row>
    <row r="110" customFormat="false" ht="15.75" hidden="false" customHeight="false" outlineLevel="0" collapsed="false">
      <c r="A110" s="11"/>
    </row>
    <row r="111" customFormat="false" ht="15.75" hidden="false" customHeight="false" outlineLevel="0" collapsed="false">
      <c r="A111" s="11"/>
    </row>
    <row r="112" customFormat="false" ht="15.75" hidden="false" customHeight="false" outlineLevel="0" collapsed="false">
      <c r="A112" s="11"/>
    </row>
    <row r="113" customFormat="false" ht="15.75" hidden="false" customHeight="false" outlineLevel="0" collapsed="false">
      <c r="A113" s="11"/>
    </row>
    <row r="114" customFormat="false" ht="15.75" hidden="false" customHeight="false" outlineLevel="0" collapsed="false">
      <c r="A114" s="11"/>
    </row>
    <row r="115" customFormat="false" ht="15.75" hidden="false" customHeight="false" outlineLevel="0" collapsed="false">
      <c r="A115" s="11"/>
    </row>
    <row r="116" customFormat="false" ht="15.75" hidden="false" customHeight="false" outlineLevel="0" collapsed="false">
      <c r="A116" s="11"/>
    </row>
    <row r="117" customFormat="false" ht="15.75" hidden="false" customHeight="false" outlineLevel="0" collapsed="false">
      <c r="A117" s="11"/>
    </row>
    <row r="118" customFormat="false" ht="15.75" hidden="false" customHeight="false" outlineLevel="0" collapsed="false">
      <c r="A118" s="11"/>
    </row>
    <row r="119" customFormat="false" ht="15.75" hidden="false" customHeight="false" outlineLevel="0" collapsed="false">
      <c r="A119" s="11"/>
    </row>
    <row r="120" customFormat="false" ht="15.75" hidden="false" customHeight="false" outlineLevel="0" collapsed="false">
      <c r="A120" s="11"/>
    </row>
    <row r="121" customFormat="false" ht="15.75" hidden="false" customHeight="false" outlineLevel="0" collapsed="false">
      <c r="A121" s="11"/>
    </row>
    <row r="122" customFormat="false" ht="15.75" hidden="false" customHeight="false" outlineLevel="0" collapsed="false">
      <c r="A122" s="11"/>
    </row>
    <row r="123" customFormat="false" ht="15.75" hidden="false" customHeight="false" outlineLevel="0" collapsed="false">
      <c r="A123" s="11"/>
    </row>
    <row r="124" customFormat="false" ht="15.75" hidden="false" customHeight="false" outlineLevel="0" collapsed="false">
      <c r="A124" s="11"/>
    </row>
    <row r="125" customFormat="false" ht="15.75" hidden="false" customHeight="false" outlineLevel="0" collapsed="false">
      <c r="A125" s="11"/>
    </row>
    <row r="126" customFormat="false" ht="15.75" hidden="false" customHeight="false" outlineLevel="0" collapsed="false">
      <c r="A126" s="11"/>
    </row>
    <row r="127" customFormat="false" ht="15.75" hidden="false" customHeight="false" outlineLevel="0" collapsed="false">
      <c r="A127" s="11"/>
    </row>
    <row r="128" customFormat="false" ht="15.75" hidden="false" customHeight="false" outlineLevel="0" collapsed="false">
      <c r="A128" s="11"/>
    </row>
    <row r="129" customFormat="false" ht="15.75" hidden="false" customHeight="false" outlineLevel="0" collapsed="false">
      <c r="A129" s="11"/>
    </row>
    <row r="130" customFormat="false" ht="15.75" hidden="false" customHeight="false" outlineLevel="0" collapsed="false">
      <c r="A130" s="11"/>
    </row>
    <row r="131" customFormat="false" ht="15.75" hidden="false" customHeight="false" outlineLevel="0" collapsed="false">
      <c r="A131" s="11"/>
    </row>
    <row r="132" customFormat="false" ht="15.75" hidden="false" customHeight="false" outlineLevel="0" collapsed="false">
      <c r="A132" s="11"/>
    </row>
    <row r="133" customFormat="false" ht="15.75" hidden="false" customHeight="false" outlineLevel="0" collapsed="false">
      <c r="A133" s="11"/>
    </row>
    <row r="134" customFormat="false" ht="15.75" hidden="false" customHeight="false" outlineLevel="0" collapsed="false">
      <c r="A134" s="11"/>
    </row>
    <row r="135" customFormat="false" ht="15.75" hidden="false" customHeight="false" outlineLevel="0" collapsed="false">
      <c r="A135" s="11"/>
    </row>
    <row r="136" customFormat="false" ht="15.75" hidden="false" customHeight="false" outlineLevel="0" collapsed="false">
      <c r="A136" s="11"/>
    </row>
    <row r="137" customFormat="false" ht="15.75" hidden="false" customHeight="false" outlineLevel="0" collapsed="false">
      <c r="A137" s="11"/>
    </row>
    <row r="138" customFormat="false" ht="15.75" hidden="false" customHeight="false" outlineLevel="0" collapsed="false">
      <c r="A138" s="11"/>
    </row>
    <row r="139" customFormat="false" ht="15.75" hidden="false" customHeight="false" outlineLevel="0" collapsed="false">
      <c r="A139" s="11"/>
    </row>
    <row r="140" customFormat="false" ht="15.75" hidden="false" customHeight="false" outlineLevel="0" collapsed="false">
      <c r="A140" s="11"/>
    </row>
    <row r="141" customFormat="false" ht="15.75" hidden="false" customHeight="false" outlineLevel="0" collapsed="false">
      <c r="A141" s="11"/>
    </row>
    <row r="142" customFormat="false" ht="15.75" hidden="false" customHeight="false" outlineLevel="0" collapsed="false">
      <c r="A142" s="11"/>
    </row>
    <row r="143" customFormat="false" ht="15.75" hidden="false" customHeight="false" outlineLevel="0" collapsed="false">
      <c r="A143" s="11"/>
    </row>
    <row r="144" customFormat="false" ht="15.75" hidden="false" customHeight="false" outlineLevel="0" collapsed="false">
      <c r="A144" s="11"/>
    </row>
    <row r="145" customFormat="false" ht="15.75" hidden="false" customHeight="false" outlineLevel="0" collapsed="false">
      <c r="A145" s="11"/>
    </row>
    <row r="146" customFormat="false" ht="15.75" hidden="false" customHeight="false" outlineLevel="0" collapsed="false">
      <c r="A146" s="11"/>
    </row>
    <row r="147" customFormat="false" ht="15.75" hidden="false" customHeight="false" outlineLevel="0" collapsed="false">
      <c r="A147" s="11"/>
    </row>
    <row r="148" customFormat="false" ht="15.75" hidden="false" customHeight="false" outlineLevel="0" collapsed="false">
      <c r="A148" s="11"/>
    </row>
    <row r="149" customFormat="false" ht="15.75" hidden="false" customHeight="false" outlineLevel="0" collapsed="false">
      <c r="A149" s="11"/>
    </row>
    <row r="150" customFormat="false" ht="15.75" hidden="false" customHeight="false" outlineLevel="0" collapsed="false">
      <c r="A150" s="11"/>
    </row>
    <row r="151" customFormat="false" ht="15.75" hidden="false" customHeight="false" outlineLevel="0" collapsed="false">
      <c r="A151" s="11"/>
    </row>
    <row r="152" customFormat="false" ht="15.75" hidden="false" customHeight="false" outlineLevel="0" collapsed="false">
      <c r="A152" s="11"/>
    </row>
    <row r="153" customFormat="false" ht="15.75" hidden="false" customHeight="false" outlineLevel="0" collapsed="false">
      <c r="A153" s="11"/>
    </row>
    <row r="154" customFormat="false" ht="15.75" hidden="false" customHeight="false" outlineLevel="0" collapsed="false">
      <c r="A154" s="11"/>
    </row>
    <row r="155" customFormat="false" ht="15.75" hidden="false" customHeight="false" outlineLevel="0" collapsed="false">
      <c r="A155" s="11"/>
    </row>
    <row r="156" customFormat="false" ht="15.75" hidden="false" customHeight="false" outlineLevel="0" collapsed="false">
      <c r="A156" s="11"/>
    </row>
    <row r="157" customFormat="false" ht="15.75" hidden="false" customHeight="false" outlineLevel="0" collapsed="false">
      <c r="A157" s="11"/>
    </row>
    <row r="158" customFormat="false" ht="15.75" hidden="false" customHeight="false" outlineLevel="0" collapsed="false">
      <c r="A158" s="11"/>
    </row>
    <row r="159" customFormat="false" ht="15.75" hidden="false" customHeight="false" outlineLevel="0" collapsed="false">
      <c r="A159" s="11"/>
    </row>
    <row r="160" customFormat="false" ht="15.75" hidden="false" customHeight="false" outlineLevel="0" collapsed="false">
      <c r="A160" s="11"/>
    </row>
    <row r="161" customFormat="false" ht="15.75" hidden="false" customHeight="false" outlineLevel="0" collapsed="false">
      <c r="A161" s="11"/>
    </row>
    <row r="162" customFormat="false" ht="15.75" hidden="false" customHeight="false" outlineLevel="0" collapsed="false">
      <c r="A162" s="11"/>
    </row>
    <row r="163" customFormat="false" ht="15.75" hidden="false" customHeight="false" outlineLevel="0" collapsed="false">
      <c r="A163" s="11"/>
    </row>
    <row r="164" customFormat="false" ht="15.75" hidden="false" customHeight="false" outlineLevel="0" collapsed="false">
      <c r="A164" s="11"/>
    </row>
    <row r="165" customFormat="false" ht="15.75" hidden="false" customHeight="false" outlineLevel="0" collapsed="false">
      <c r="A165" s="11"/>
    </row>
    <row r="166" customFormat="false" ht="15.75" hidden="false" customHeight="false" outlineLevel="0" collapsed="false">
      <c r="A166" s="11"/>
    </row>
    <row r="167" customFormat="false" ht="15.75" hidden="false" customHeight="false" outlineLevel="0" collapsed="false">
      <c r="A167" s="11"/>
    </row>
    <row r="168" customFormat="false" ht="15.75" hidden="false" customHeight="false" outlineLevel="0" collapsed="false">
      <c r="A168" s="11"/>
    </row>
    <row r="169" customFormat="false" ht="15.75" hidden="false" customHeight="false" outlineLevel="0" collapsed="false">
      <c r="A169" s="11"/>
    </row>
    <row r="170" customFormat="false" ht="15.75" hidden="false" customHeight="false" outlineLevel="0" collapsed="false">
      <c r="A170" s="11"/>
    </row>
    <row r="171" customFormat="false" ht="15.75" hidden="false" customHeight="false" outlineLevel="0" collapsed="false">
      <c r="A171" s="11"/>
    </row>
    <row r="172" customFormat="false" ht="15.75" hidden="false" customHeight="false" outlineLevel="0" collapsed="false">
      <c r="A172" s="11"/>
    </row>
    <row r="173" customFormat="false" ht="15.75" hidden="false" customHeight="false" outlineLevel="0" collapsed="false">
      <c r="A173" s="11"/>
    </row>
    <row r="174" customFormat="false" ht="15.75" hidden="false" customHeight="false" outlineLevel="0" collapsed="false">
      <c r="A174" s="11"/>
    </row>
    <row r="175" customFormat="false" ht="15.75" hidden="false" customHeight="false" outlineLevel="0" collapsed="false">
      <c r="A175" s="11"/>
    </row>
    <row r="176" customFormat="false" ht="15.75" hidden="false" customHeight="false" outlineLevel="0" collapsed="false">
      <c r="A176" s="11"/>
    </row>
    <row r="177" customFormat="false" ht="15.75" hidden="false" customHeight="false" outlineLevel="0" collapsed="false">
      <c r="A177" s="11"/>
    </row>
    <row r="178" customFormat="false" ht="15.75" hidden="false" customHeight="false" outlineLevel="0" collapsed="false">
      <c r="A178" s="11"/>
    </row>
    <row r="179" customFormat="false" ht="15.75" hidden="false" customHeight="false" outlineLevel="0" collapsed="false">
      <c r="A179" s="11"/>
    </row>
    <row r="180" customFormat="false" ht="15.75" hidden="false" customHeight="false" outlineLevel="0" collapsed="false">
      <c r="A180" s="11"/>
    </row>
    <row r="181" customFormat="false" ht="15.75" hidden="false" customHeight="false" outlineLevel="0" collapsed="false">
      <c r="A181" s="11"/>
    </row>
    <row r="182" customFormat="false" ht="15.75" hidden="false" customHeight="false" outlineLevel="0" collapsed="false">
      <c r="A182" s="11"/>
    </row>
    <row r="183" customFormat="false" ht="15.75" hidden="false" customHeight="false" outlineLevel="0" collapsed="false">
      <c r="A183" s="11"/>
    </row>
    <row r="184" customFormat="false" ht="15.75" hidden="false" customHeight="false" outlineLevel="0" collapsed="false">
      <c r="A184" s="11"/>
    </row>
    <row r="185" customFormat="false" ht="15.75" hidden="false" customHeight="false" outlineLevel="0" collapsed="false">
      <c r="A185" s="11"/>
    </row>
    <row r="186" customFormat="false" ht="15.75" hidden="false" customHeight="false" outlineLevel="0" collapsed="false">
      <c r="A186" s="11"/>
    </row>
    <row r="187" customFormat="false" ht="15.75" hidden="false" customHeight="false" outlineLevel="0" collapsed="false">
      <c r="A187" s="11"/>
    </row>
    <row r="188" customFormat="false" ht="15.75" hidden="false" customHeight="false" outlineLevel="0" collapsed="false">
      <c r="A188" s="11"/>
    </row>
    <row r="189" customFormat="false" ht="15.75" hidden="false" customHeight="false" outlineLevel="0" collapsed="false">
      <c r="A189" s="11"/>
    </row>
    <row r="190" customFormat="false" ht="15.75" hidden="false" customHeight="false" outlineLevel="0" collapsed="false">
      <c r="A190" s="11"/>
    </row>
    <row r="191" customFormat="false" ht="15.75" hidden="false" customHeight="false" outlineLevel="0" collapsed="false">
      <c r="A191" s="11"/>
    </row>
    <row r="192" customFormat="false" ht="15.75" hidden="false" customHeight="false" outlineLevel="0" collapsed="false">
      <c r="A192" s="11"/>
    </row>
    <row r="193" customFormat="false" ht="15.75" hidden="false" customHeight="false" outlineLevel="0" collapsed="false">
      <c r="A193" s="11"/>
    </row>
    <row r="194" customFormat="false" ht="15.75" hidden="false" customHeight="false" outlineLevel="0" collapsed="false">
      <c r="A194" s="11"/>
    </row>
    <row r="195" customFormat="false" ht="15.75" hidden="false" customHeight="false" outlineLevel="0" collapsed="false">
      <c r="A195" s="11"/>
    </row>
    <row r="196" customFormat="false" ht="15.75" hidden="false" customHeight="false" outlineLevel="0" collapsed="false">
      <c r="A196" s="11"/>
    </row>
    <row r="197" customFormat="false" ht="15.75" hidden="false" customHeight="false" outlineLevel="0" collapsed="false">
      <c r="A197" s="11"/>
    </row>
    <row r="198" customFormat="false" ht="15.75" hidden="false" customHeight="false" outlineLevel="0" collapsed="false">
      <c r="A198" s="11"/>
    </row>
    <row r="199" customFormat="false" ht="15.75" hidden="false" customHeight="false" outlineLevel="0" collapsed="false">
      <c r="A199" s="11"/>
    </row>
    <row r="200" customFormat="false" ht="15.75" hidden="false" customHeight="false" outlineLevel="0" collapsed="false">
      <c r="A200" s="11"/>
    </row>
    <row r="201" customFormat="false" ht="15.75" hidden="false" customHeight="false" outlineLevel="0" collapsed="false">
      <c r="A201" s="11"/>
    </row>
    <row r="202" customFormat="false" ht="15.75" hidden="false" customHeight="false" outlineLevel="0" collapsed="false">
      <c r="A202" s="11"/>
    </row>
    <row r="203" customFormat="false" ht="15.75" hidden="false" customHeight="false" outlineLevel="0" collapsed="false">
      <c r="A203" s="11"/>
    </row>
    <row r="204" customFormat="false" ht="15.75" hidden="false" customHeight="false" outlineLevel="0" collapsed="false">
      <c r="A204" s="11"/>
    </row>
    <row r="205" customFormat="false" ht="15.75" hidden="false" customHeight="false" outlineLevel="0" collapsed="false">
      <c r="A205" s="11"/>
    </row>
    <row r="206" customFormat="false" ht="15.75" hidden="false" customHeight="false" outlineLevel="0" collapsed="false">
      <c r="A206" s="11"/>
    </row>
    <row r="207" customFormat="false" ht="15.75" hidden="false" customHeight="false" outlineLevel="0" collapsed="false">
      <c r="A207" s="11"/>
    </row>
    <row r="208" customFormat="false" ht="15.75" hidden="false" customHeight="false" outlineLevel="0" collapsed="false">
      <c r="A208" s="11"/>
    </row>
    <row r="209" customFormat="false" ht="15.75" hidden="false" customHeight="false" outlineLevel="0" collapsed="false">
      <c r="A209" s="11"/>
    </row>
    <row r="210" customFormat="false" ht="15.75" hidden="false" customHeight="false" outlineLevel="0" collapsed="false">
      <c r="A210" s="11"/>
    </row>
    <row r="211" customFormat="false" ht="15.75" hidden="false" customHeight="false" outlineLevel="0" collapsed="false">
      <c r="A211" s="11"/>
    </row>
    <row r="212" customFormat="false" ht="15.75" hidden="false" customHeight="false" outlineLevel="0" collapsed="false">
      <c r="A212" s="11"/>
    </row>
    <row r="213" customFormat="false" ht="15.75" hidden="false" customHeight="false" outlineLevel="0" collapsed="false">
      <c r="A213" s="11"/>
    </row>
    <row r="214" customFormat="false" ht="15.75" hidden="false" customHeight="false" outlineLevel="0" collapsed="false">
      <c r="A214" s="11"/>
    </row>
    <row r="215" customFormat="false" ht="15.75" hidden="false" customHeight="false" outlineLevel="0" collapsed="false">
      <c r="A215" s="11"/>
    </row>
    <row r="216" customFormat="false" ht="15.75" hidden="false" customHeight="false" outlineLevel="0" collapsed="false">
      <c r="A216" s="11"/>
    </row>
    <row r="217" customFormat="false" ht="15.75" hidden="false" customHeight="false" outlineLevel="0" collapsed="false">
      <c r="A217" s="11"/>
    </row>
    <row r="218" customFormat="false" ht="15.75" hidden="false" customHeight="false" outlineLevel="0" collapsed="false">
      <c r="A218" s="11"/>
    </row>
    <row r="219" customFormat="false" ht="15.75" hidden="false" customHeight="false" outlineLevel="0" collapsed="false">
      <c r="A219" s="11"/>
    </row>
    <row r="220" customFormat="false" ht="15.75" hidden="false" customHeight="false" outlineLevel="0" collapsed="false">
      <c r="A220" s="11"/>
    </row>
    <row r="221" customFormat="false" ht="15.75" hidden="false" customHeight="false" outlineLevel="0" collapsed="false">
      <c r="A221" s="11"/>
    </row>
    <row r="222" customFormat="false" ht="15.75" hidden="false" customHeight="false" outlineLevel="0" collapsed="false">
      <c r="A222" s="11"/>
    </row>
    <row r="223" customFormat="false" ht="15.75" hidden="false" customHeight="false" outlineLevel="0" collapsed="false">
      <c r="A223" s="11"/>
    </row>
    <row r="224" customFormat="false" ht="15.75" hidden="false" customHeight="false" outlineLevel="0" collapsed="false">
      <c r="A224" s="11"/>
    </row>
    <row r="225" customFormat="false" ht="15.75" hidden="false" customHeight="false" outlineLevel="0" collapsed="false">
      <c r="A225" s="11"/>
    </row>
    <row r="226" customFormat="false" ht="15.75" hidden="false" customHeight="false" outlineLevel="0" collapsed="false">
      <c r="A226" s="11"/>
    </row>
    <row r="227" customFormat="false" ht="15.75" hidden="false" customHeight="false" outlineLevel="0" collapsed="false">
      <c r="A227" s="11"/>
    </row>
    <row r="228" customFormat="false" ht="15.75" hidden="false" customHeight="false" outlineLevel="0" collapsed="false">
      <c r="A228" s="11"/>
    </row>
    <row r="229" customFormat="false" ht="15.75" hidden="false" customHeight="false" outlineLevel="0" collapsed="false">
      <c r="A229" s="11"/>
    </row>
    <row r="230" customFormat="false" ht="15.75" hidden="false" customHeight="false" outlineLevel="0" collapsed="false">
      <c r="A230" s="11"/>
    </row>
    <row r="231" customFormat="false" ht="15.75" hidden="false" customHeight="false" outlineLevel="0" collapsed="false">
      <c r="A231" s="11"/>
    </row>
    <row r="232" customFormat="false" ht="15.75" hidden="false" customHeight="false" outlineLevel="0" collapsed="false">
      <c r="A232" s="11"/>
    </row>
    <row r="233" customFormat="false" ht="15.75" hidden="false" customHeight="false" outlineLevel="0" collapsed="false">
      <c r="A233" s="11"/>
    </row>
    <row r="234" customFormat="false" ht="15.75" hidden="false" customHeight="false" outlineLevel="0" collapsed="false">
      <c r="A234" s="11"/>
    </row>
    <row r="235" customFormat="false" ht="15.75" hidden="false" customHeight="false" outlineLevel="0" collapsed="false">
      <c r="A235" s="11"/>
    </row>
    <row r="236" customFormat="false" ht="15.75" hidden="false" customHeight="false" outlineLevel="0" collapsed="false">
      <c r="A236" s="11"/>
    </row>
    <row r="237" customFormat="false" ht="15.75" hidden="false" customHeight="false" outlineLevel="0" collapsed="false">
      <c r="A237" s="11"/>
    </row>
    <row r="238" customFormat="false" ht="15.75" hidden="false" customHeight="false" outlineLevel="0" collapsed="false">
      <c r="A238" s="11"/>
    </row>
    <row r="239" customFormat="false" ht="15.75" hidden="false" customHeight="false" outlineLevel="0" collapsed="false">
      <c r="A239" s="11"/>
    </row>
    <row r="240" customFormat="false" ht="15.75" hidden="false" customHeight="false" outlineLevel="0" collapsed="false">
      <c r="A240" s="11"/>
    </row>
    <row r="241" customFormat="false" ht="15.75" hidden="false" customHeight="false" outlineLevel="0" collapsed="false">
      <c r="A241" s="11"/>
    </row>
    <row r="242" customFormat="false" ht="15.75" hidden="false" customHeight="false" outlineLevel="0" collapsed="false">
      <c r="A242" s="11"/>
    </row>
    <row r="243" customFormat="false" ht="15.75" hidden="false" customHeight="false" outlineLevel="0" collapsed="false">
      <c r="A243" s="11"/>
    </row>
    <row r="244" customFormat="false" ht="15.75" hidden="false" customHeight="false" outlineLevel="0" collapsed="false">
      <c r="A244" s="11"/>
    </row>
    <row r="245" customFormat="false" ht="15.75" hidden="false" customHeight="false" outlineLevel="0" collapsed="false">
      <c r="A245" s="11"/>
    </row>
    <row r="246" customFormat="false" ht="15.75" hidden="false" customHeight="false" outlineLevel="0" collapsed="false">
      <c r="A246" s="11"/>
    </row>
    <row r="247" customFormat="false" ht="15.75" hidden="false" customHeight="false" outlineLevel="0" collapsed="false">
      <c r="A247" s="11"/>
    </row>
    <row r="248" customFormat="false" ht="15.75" hidden="false" customHeight="false" outlineLevel="0" collapsed="false">
      <c r="A248" s="11"/>
    </row>
    <row r="249" customFormat="false" ht="15.75" hidden="false" customHeight="false" outlineLevel="0" collapsed="false">
      <c r="A249" s="11"/>
    </row>
    <row r="250" customFormat="false" ht="15.75" hidden="false" customHeight="false" outlineLevel="0" collapsed="false">
      <c r="A250" s="11"/>
    </row>
    <row r="251" customFormat="false" ht="15.75" hidden="false" customHeight="false" outlineLevel="0" collapsed="false">
      <c r="A251" s="11"/>
    </row>
    <row r="252" customFormat="false" ht="15.75" hidden="false" customHeight="false" outlineLevel="0" collapsed="false">
      <c r="A252" s="11"/>
    </row>
    <row r="253" customFormat="false" ht="15.75" hidden="false" customHeight="false" outlineLevel="0" collapsed="false">
      <c r="A253" s="11"/>
    </row>
    <row r="254" customFormat="false" ht="15.75" hidden="false" customHeight="false" outlineLevel="0" collapsed="false">
      <c r="A254" s="11"/>
    </row>
    <row r="255" customFormat="false" ht="15.75" hidden="false" customHeight="false" outlineLevel="0" collapsed="false">
      <c r="A255" s="11"/>
    </row>
    <row r="256" customFormat="false" ht="15.75" hidden="false" customHeight="false" outlineLevel="0" collapsed="false">
      <c r="A256" s="11"/>
    </row>
    <row r="257" customFormat="false" ht="15.75" hidden="false" customHeight="false" outlineLevel="0" collapsed="false">
      <c r="A257" s="11"/>
    </row>
    <row r="258" customFormat="false" ht="15.75" hidden="false" customHeight="false" outlineLevel="0" collapsed="false">
      <c r="A258" s="11"/>
    </row>
    <row r="259" customFormat="false" ht="15.75" hidden="false" customHeight="false" outlineLevel="0" collapsed="false">
      <c r="A259" s="11"/>
    </row>
    <row r="260" customFormat="false" ht="15.75" hidden="false" customHeight="false" outlineLevel="0" collapsed="false">
      <c r="A260" s="11"/>
    </row>
    <row r="261" customFormat="false" ht="15.75" hidden="false" customHeight="false" outlineLevel="0" collapsed="false">
      <c r="A261" s="11"/>
    </row>
    <row r="262" customFormat="false" ht="15.75" hidden="false" customHeight="false" outlineLevel="0" collapsed="false">
      <c r="A262" s="11"/>
    </row>
    <row r="263" customFormat="false" ht="15.75" hidden="false" customHeight="false" outlineLevel="0" collapsed="false">
      <c r="A263" s="11"/>
    </row>
    <row r="264" customFormat="false" ht="15.75" hidden="false" customHeight="false" outlineLevel="0" collapsed="false">
      <c r="A264" s="11"/>
    </row>
    <row r="265" customFormat="false" ht="15.75" hidden="false" customHeight="false" outlineLevel="0" collapsed="false">
      <c r="A265" s="11"/>
    </row>
    <row r="266" customFormat="false" ht="15.75" hidden="false" customHeight="false" outlineLevel="0" collapsed="false">
      <c r="A266" s="11"/>
    </row>
    <row r="267" customFormat="false" ht="15.75" hidden="false" customHeight="false" outlineLevel="0" collapsed="false">
      <c r="A267" s="11"/>
    </row>
    <row r="268" customFormat="false" ht="15.75" hidden="false" customHeight="false" outlineLevel="0" collapsed="false">
      <c r="A268" s="11"/>
    </row>
    <row r="269" customFormat="false" ht="15.75" hidden="false" customHeight="false" outlineLevel="0" collapsed="false">
      <c r="A269" s="11"/>
    </row>
    <row r="270" customFormat="false" ht="15.75" hidden="false" customHeight="false" outlineLevel="0" collapsed="false">
      <c r="A270" s="11"/>
    </row>
    <row r="271" customFormat="false" ht="15.75" hidden="false" customHeight="false" outlineLevel="0" collapsed="false">
      <c r="A271" s="11"/>
    </row>
    <row r="272" customFormat="false" ht="15.75" hidden="false" customHeight="false" outlineLevel="0" collapsed="false">
      <c r="A272" s="11"/>
    </row>
    <row r="273" customFormat="false" ht="15.75" hidden="false" customHeight="false" outlineLevel="0" collapsed="false">
      <c r="A273" s="11"/>
    </row>
    <row r="274" customFormat="false" ht="15.75" hidden="false" customHeight="false" outlineLevel="0" collapsed="false">
      <c r="A274" s="11"/>
    </row>
    <row r="275" customFormat="false" ht="15.75" hidden="false" customHeight="false" outlineLevel="0" collapsed="false">
      <c r="A275" s="11"/>
    </row>
    <row r="276" customFormat="false" ht="15.75" hidden="false" customHeight="false" outlineLevel="0" collapsed="false">
      <c r="A276" s="11"/>
    </row>
    <row r="277" customFormat="false" ht="15.75" hidden="false" customHeight="false" outlineLevel="0" collapsed="false">
      <c r="A277" s="11"/>
    </row>
    <row r="278" customFormat="false" ht="15.75" hidden="false" customHeight="false" outlineLevel="0" collapsed="false">
      <c r="A278" s="11"/>
    </row>
    <row r="279" customFormat="false" ht="15.75" hidden="false" customHeight="false" outlineLevel="0" collapsed="false">
      <c r="A279" s="11"/>
    </row>
    <row r="280" customFormat="false" ht="15.75" hidden="false" customHeight="false" outlineLevel="0" collapsed="false">
      <c r="A280" s="11"/>
    </row>
    <row r="281" customFormat="false" ht="15.75" hidden="false" customHeight="false" outlineLevel="0" collapsed="false">
      <c r="A281" s="11"/>
    </row>
    <row r="282" customFormat="false" ht="15.75" hidden="false" customHeight="false" outlineLevel="0" collapsed="false">
      <c r="A282" s="11"/>
    </row>
    <row r="283" customFormat="false" ht="15.75" hidden="false" customHeight="false" outlineLevel="0" collapsed="false">
      <c r="A283" s="11"/>
    </row>
    <row r="284" customFormat="false" ht="15.75" hidden="false" customHeight="false" outlineLevel="0" collapsed="false">
      <c r="A284" s="11"/>
    </row>
    <row r="285" customFormat="false" ht="15.75" hidden="false" customHeight="false" outlineLevel="0" collapsed="false">
      <c r="A285" s="11"/>
    </row>
    <row r="286" customFormat="false" ht="15.75" hidden="false" customHeight="false" outlineLevel="0" collapsed="false">
      <c r="A286" s="11"/>
    </row>
    <row r="287" customFormat="false" ht="15.75" hidden="false" customHeight="false" outlineLevel="0" collapsed="false">
      <c r="A287" s="11"/>
    </row>
    <row r="288" customFormat="false" ht="15.75" hidden="false" customHeight="false" outlineLevel="0" collapsed="false">
      <c r="A288" s="11"/>
    </row>
    <row r="289" customFormat="false" ht="15.75" hidden="false" customHeight="false" outlineLevel="0" collapsed="false">
      <c r="A289" s="11"/>
    </row>
    <row r="290" customFormat="false" ht="15.75" hidden="false" customHeight="false" outlineLevel="0" collapsed="false">
      <c r="A290" s="11"/>
    </row>
    <row r="291" customFormat="false" ht="15.75" hidden="false" customHeight="false" outlineLevel="0" collapsed="false">
      <c r="A291" s="11"/>
    </row>
    <row r="292" customFormat="false" ht="15.75" hidden="false" customHeight="false" outlineLevel="0" collapsed="false">
      <c r="A292" s="11"/>
    </row>
    <row r="293" customFormat="false" ht="15.75" hidden="false" customHeight="false" outlineLevel="0" collapsed="false">
      <c r="A293" s="11"/>
    </row>
    <row r="294" customFormat="false" ht="15.75" hidden="false" customHeight="false" outlineLevel="0" collapsed="false">
      <c r="A294" s="11"/>
    </row>
    <row r="295" customFormat="false" ht="15.75" hidden="false" customHeight="false" outlineLevel="0" collapsed="false">
      <c r="A295" s="11"/>
    </row>
    <row r="296" customFormat="false" ht="15.75" hidden="false" customHeight="false" outlineLevel="0" collapsed="false">
      <c r="A296" s="11"/>
    </row>
    <row r="297" customFormat="false" ht="15.75" hidden="false" customHeight="false" outlineLevel="0" collapsed="false">
      <c r="A297" s="11"/>
    </row>
    <row r="298" customFormat="false" ht="15.75" hidden="false" customHeight="false" outlineLevel="0" collapsed="false">
      <c r="A298" s="11"/>
    </row>
    <row r="299" customFormat="false" ht="15.75" hidden="false" customHeight="false" outlineLevel="0" collapsed="false">
      <c r="A299" s="11"/>
    </row>
    <row r="300" customFormat="false" ht="15.75" hidden="false" customHeight="false" outlineLevel="0" collapsed="false">
      <c r="A300" s="11"/>
    </row>
    <row r="301" customFormat="false" ht="15.75" hidden="false" customHeight="false" outlineLevel="0" collapsed="false">
      <c r="A301" s="11"/>
    </row>
    <row r="302" customFormat="false" ht="15.75" hidden="false" customHeight="false" outlineLevel="0" collapsed="false">
      <c r="A302" s="11"/>
    </row>
    <row r="303" customFormat="false" ht="15.75" hidden="false" customHeight="false" outlineLevel="0" collapsed="false">
      <c r="A303" s="11"/>
    </row>
    <row r="304" customFormat="false" ht="15.75" hidden="false" customHeight="false" outlineLevel="0" collapsed="false">
      <c r="A304" s="11"/>
    </row>
    <row r="305" customFormat="false" ht="15.75" hidden="false" customHeight="false" outlineLevel="0" collapsed="false">
      <c r="A305" s="11"/>
    </row>
    <row r="306" customFormat="false" ht="15.75" hidden="false" customHeight="false" outlineLevel="0" collapsed="false">
      <c r="A306" s="11"/>
    </row>
    <row r="307" customFormat="false" ht="15.75" hidden="false" customHeight="false" outlineLevel="0" collapsed="false">
      <c r="A307" s="11"/>
    </row>
    <row r="308" customFormat="false" ht="15.75" hidden="false" customHeight="false" outlineLevel="0" collapsed="false">
      <c r="A308" s="11"/>
    </row>
    <row r="309" customFormat="false" ht="15.75" hidden="false" customHeight="false" outlineLevel="0" collapsed="false">
      <c r="A309" s="11"/>
    </row>
    <row r="310" customFormat="false" ht="15.75" hidden="false" customHeight="false" outlineLevel="0" collapsed="false">
      <c r="A310" s="11"/>
    </row>
    <row r="311" customFormat="false" ht="15.75" hidden="false" customHeight="false" outlineLevel="0" collapsed="false">
      <c r="A311" s="11"/>
    </row>
    <row r="312" customFormat="false" ht="15.75" hidden="false" customHeight="false" outlineLevel="0" collapsed="false">
      <c r="A312" s="11"/>
    </row>
    <row r="313" customFormat="false" ht="15.75" hidden="false" customHeight="false" outlineLevel="0" collapsed="false">
      <c r="A313" s="11"/>
    </row>
    <row r="314" customFormat="false" ht="15.75" hidden="false" customHeight="false" outlineLevel="0" collapsed="false">
      <c r="A314" s="11"/>
    </row>
    <row r="315" customFormat="false" ht="15.75" hidden="false" customHeight="false" outlineLevel="0" collapsed="false">
      <c r="A315" s="11"/>
    </row>
    <row r="316" customFormat="false" ht="15.75" hidden="false" customHeight="false" outlineLevel="0" collapsed="false">
      <c r="A316" s="11"/>
    </row>
    <row r="317" customFormat="false" ht="15.75" hidden="false" customHeight="false" outlineLevel="0" collapsed="false">
      <c r="A317" s="11"/>
    </row>
    <row r="318" customFormat="false" ht="15.75" hidden="false" customHeight="false" outlineLevel="0" collapsed="false">
      <c r="A318" s="11"/>
    </row>
    <row r="319" customFormat="false" ht="15.75" hidden="false" customHeight="false" outlineLevel="0" collapsed="false">
      <c r="A319" s="11"/>
    </row>
    <row r="320" customFormat="false" ht="15.75" hidden="false" customHeight="false" outlineLevel="0" collapsed="false">
      <c r="A320" s="11"/>
    </row>
    <row r="321" customFormat="false" ht="15.75" hidden="false" customHeight="false" outlineLevel="0" collapsed="false">
      <c r="A321" s="11"/>
    </row>
    <row r="322" customFormat="false" ht="15.75" hidden="false" customHeight="false" outlineLevel="0" collapsed="false">
      <c r="A322" s="11"/>
    </row>
    <row r="323" customFormat="false" ht="15.75" hidden="false" customHeight="false" outlineLevel="0" collapsed="false">
      <c r="A323" s="11"/>
    </row>
    <row r="324" customFormat="false" ht="15.75" hidden="false" customHeight="false" outlineLevel="0" collapsed="false">
      <c r="A324" s="11"/>
    </row>
    <row r="325" customFormat="false" ht="15.75" hidden="false" customHeight="false" outlineLevel="0" collapsed="false">
      <c r="A325" s="11"/>
    </row>
    <row r="326" customFormat="false" ht="15.75" hidden="false" customHeight="false" outlineLevel="0" collapsed="false">
      <c r="A326" s="11"/>
    </row>
    <row r="327" customFormat="false" ht="15.75" hidden="false" customHeight="false" outlineLevel="0" collapsed="false">
      <c r="A327" s="11"/>
    </row>
    <row r="328" customFormat="false" ht="15.75" hidden="false" customHeight="false" outlineLevel="0" collapsed="false">
      <c r="A328" s="11"/>
    </row>
    <row r="329" customFormat="false" ht="15.75" hidden="false" customHeight="false" outlineLevel="0" collapsed="false">
      <c r="A329" s="11"/>
    </row>
    <row r="330" customFormat="false" ht="15.75" hidden="false" customHeight="false" outlineLevel="0" collapsed="false">
      <c r="A330" s="11"/>
    </row>
    <row r="331" customFormat="false" ht="15.75" hidden="false" customHeight="false" outlineLevel="0" collapsed="false">
      <c r="A331" s="11"/>
    </row>
    <row r="332" customFormat="false" ht="15.75" hidden="false" customHeight="false" outlineLevel="0" collapsed="false">
      <c r="A332" s="11"/>
    </row>
    <row r="333" customFormat="false" ht="15.75" hidden="false" customHeight="false" outlineLevel="0" collapsed="false">
      <c r="A333" s="11"/>
    </row>
    <row r="334" customFormat="false" ht="15.75" hidden="false" customHeight="false" outlineLevel="0" collapsed="false">
      <c r="A334" s="11"/>
    </row>
    <row r="335" customFormat="false" ht="15.75" hidden="false" customHeight="false" outlineLevel="0" collapsed="false">
      <c r="A335" s="11"/>
    </row>
    <row r="336" customFormat="false" ht="15.75" hidden="false" customHeight="false" outlineLevel="0" collapsed="false">
      <c r="A336" s="11"/>
    </row>
    <row r="337" customFormat="false" ht="15.75" hidden="false" customHeight="false" outlineLevel="0" collapsed="false">
      <c r="A337" s="11"/>
    </row>
    <row r="338" customFormat="false" ht="15.75" hidden="false" customHeight="false" outlineLevel="0" collapsed="false">
      <c r="A338" s="11"/>
    </row>
    <row r="339" customFormat="false" ht="15.75" hidden="false" customHeight="false" outlineLevel="0" collapsed="false">
      <c r="A339" s="11"/>
    </row>
    <row r="340" customFormat="false" ht="15.75" hidden="false" customHeight="false" outlineLevel="0" collapsed="false">
      <c r="A340" s="11"/>
    </row>
    <row r="341" customFormat="false" ht="15.75" hidden="false" customHeight="false" outlineLevel="0" collapsed="false">
      <c r="A341" s="11"/>
    </row>
    <row r="342" customFormat="false" ht="15.75" hidden="false" customHeight="false" outlineLevel="0" collapsed="false">
      <c r="A342" s="11"/>
    </row>
    <row r="343" customFormat="false" ht="15.75" hidden="false" customHeight="false" outlineLevel="0" collapsed="false">
      <c r="A343" s="11"/>
    </row>
    <row r="344" customFormat="false" ht="15.75" hidden="false" customHeight="false" outlineLevel="0" collapsed="false">
      <c r="A344" s="11"/>
    </row>
    <row r="345" customFormat="false" ht="15.75" hidden="false" customHeight="false" outlineLevel="0" collapsed="false">
      <c r="A345" s="11"/>
    </row>
    <row r="346" customFormat="false" ht="15.75" hidden="false" customHeight="false" outlineLevel="0" collapsed="false">
      <c r="A346" s="11"/>
    </row>
    <row r="347" customFormat="false" ht="15.75" hidden="false" customHeight="false" outlineLevel="0" collapsed="false">
      <c r="A347" s="11"/>
    </row>
    <row r="348" customFormat="false" ht="15.75" hidden="false" customHeight="false" outlineLevel="0" collapsed="false">
      <c r="A348" s="11"/>
    </row>
    <row r="349" customFormat="false" ht="15.75" hidden="false" customHeight="false" outlineLevel="0" collapsed="false">
      <c r="A349" s="11"/>
    </row>
    <row r="350" customFormat="false" ht="15.75" hidden="false" customHeight="false" outlineLevel="0" collapsed="false">
      <c r="A350" s="11"/>
    </row>
    <row r="351" customFormat="false" ht="15.75" hidden="false" customHeight="false" outlineLevel="0" collapsed="false">
      <c r="A351" s="11"/>
    </row>
    <row r="352" customFormat="false" ht="15.75" hidden="false" customHeight="false" outlineLevel="0" collapsed="false">
      <c r="A352" s="11"/>
    </row>
    <row r="353" customFormat="false" ht="15.75" hidden="false" customHeight="false" outlineLevel="0" collapsed="false">
      <c r="A353" s="11"/>
    </row>
    <row r="354" customFormat="false" ht="15.75" hidden="false" customHeight="false" outlineLevel="0" collapsed="false">
      <c r="A354" s="11"/>
    </row>
    <row r="355" customFormat="false" ht="15.75" hidden="false" customHeight="false" outlineLevel="0" collapsed="false">
      <c r="A355" s="11"/>
    </row>
    <row r="356" customFormat="false" ht="15.75" hidden="false" customHeight="false" outlineLevel="0" collapsed="false">
      <c r="A356" s="11"/>
    </row>
    <row r="357" customFormat="false" ht="15.75" hidden="false" customHeight="false" outlineLevel="0" collapsed="false">
      <c r="A357" s="11"/>
    </row>
    <row r="358" customFormat="false" ht="15.75" hidden="false" customHeight="false" outlineLevel="0" collapsed="false">
      <c r="A358" s="11"/>
    </row>
    <row r="359" customFormat="false" ht="15.75" hidden="false" customHeight="false" outlineLevel="0" collapsed="false">
      <c r="A359" s="11"/>
    </row>
    <row r="360" customFormat="false" ht="15.75" hidden="false" customHeight="false" outlineLevel="0" collapsed="false">
      <c r="A360" s="11"/>
    </row>
    <row r="361" customFormat="false" ht="15.75" hidden="false" customHeight="false" outlineLevel="0" collapsed="false">
      <c r="A361" s="11"/>
    </row>
    <row r="362" customFormat="false" ht="15.75" hidden="false" customHeight="false" outlineLevel="0" collapsed="false">
      <c r="A362" s="11"/>
    </row>
    <row r="363" customFormat="false" ht="15.75" hidden="false" customHeight="false" outlineLevel="0" collapsed="false">
      <c r="A363" s="11"/>
    </row>
    <row r="364" customFormat="false" ht="15.75" hidden="false" customHeight="false" outlineLevel="0" collapsed="false">
      <c r="A364" s="11"/>
    </row>
    <row r="365" customFormat="false" ht="15.75" hidden="false" customHeight="false" outlineLevel="0" collapsed="false">
      <c r="A365" s="11"/>
    </row>
    <row r="366" customFormat="false" ht="15.75" hidden="false" customHeight="false" outlineLevel="0" collapsed="false">
      <c r="A366" s="11"/>
    </row>
    <row r="367" customFormat="false" ht="15.75" hidden="false" customHeight="false" outlineLevel="0" collapsed="false">
      <c r="A367" s="11"/>
    </row>
    <row r="368" customFormat="false" ht="15.75" hidden="false" customHeight="false" outlineLevel="0" collapsed="false">
      <c r="A368" s="11"/>
    </row>
    <row r="369" customFormat="false" ht="15.75" hidden="false" customHeight="false" outlineLevel="0" collapsed="false">
      <c r="A369" s="11"/>
    </row>
    <row r="370" customFormat="false" ht="15.75" hidden="false" customHeight="false" outlineLevel="0" collapsed="false">
      <c r="A370" s="11"/>
    </row>
    <row r="371" customFormat="false" ht="15.75" hidden="false" customHeight="false" outlineLevel="0" collapsed="false">
      <c r="A371" s="11"/>
    </row>
    <row r="372" customFormat="false" ht="15.75" hidden="false" customHeight="false" outlineLevel="0" collapsed="false">
      <c r="A372" s="11"/>
    </row>
    <row r="373" customFormat="false" ht="15.75" hidden="false" customHeight="false" outlineLevel="0" collapsed="false">
      <c r="A373" s="11"/>
    </row>
    <row r="374" customFormat="false" ht="15.75" hidden="false" customHeight="false" outlineLevel="0" collapsed="false">
      <c r="A374" s="11"/>
    </row>
    <row r="375" customFormat="false" ht="15.75" hidden="false" customHeight="false" outlineLevel="0" collapsed="false">
      <c r="A375" s="11"/>
    </row>
    <row r="376" customFormat="false" ht="15.75" hidden="false" customHeight="false" outlineLevel="0" collapsed="false">
      <c r="A376" s="11"/>
    </row>
    <row r="377" customFormat="false" ht="15.75" hidden="false" customHeight="false" outlineLevel="0" collapsed="false">
      <c r="A377" s="11"/>
    </row>
    <row r="378" customFormat="false" ht="15.75" hidden="false" customHeight="false" outlineLevel="0" collapsed="false">
      <c r="A378" s="11"/>
    </row>
    <row r="379" customFormat="false" ht="15.75" hidden="false" customHeight="false" outlineLevel="0" collapsed="false">
      <c r="A379" s="11"/>
    </row>
    <row r="380" customFormat="false" ht="15.75" hidden="false" customHeight="false" outlineLevel="0" collapsed="false">
      <c r="A380" s="11"/>
    </row>
    <row r="381" customFormat="false" ht="15.75" hidden="false" customHeight="false" outlineLevel="0" collapsed="false">
      <c r="A381" s="11"/>
    </row>
    <row r="382" customFormat="false" ht="15.75" hidden="false" customHeight="false" outlineLevel="0" collapsed="false">
      <c r="A382" s="11"/>
    </row>
    <row r="383" customFormat="false" ht="15.75" hidden="false" customHeight="false" outlineLevel="0" collapsed="false">
      <c r="A383" s="11"/>
    </row>
    <row r="384" customFormat="false" ht="15.75" hidden="false" customHeight="false" outlineLevel="0" collapsed="false">
      <c r="A384" s="11"/>
    </row>
    <row r="385" customFormat="false" ht="15.75" hidden="false" customHeight="false" outlineLevel="0" collapsed="false">
      <c r="A385" s="11"/>
    </row>
    <row r="386" customFormat="false" ht="15.75" hidden="false" customHeight="false" outlineLevel="0" collapsed="false">
      <c r="A386" s="11"/>
    </row>
    <row r="387" customFormat="false" ht="15.75" hidden="false" customHeight="false" outlineLevel="0" collapsed="false">
      <c r="A387" s="11"/>
    </row>
    <row r="388" customFormat="false" ht="15.75" hidden="false" customHeight="false" outlineLevel="0" collapsed="false">
      <c r="A388" s="11"/>
    </row>
    <row r="389" customFormat="false" ht="15.75" hidden="false" customHeight="false" outlineLevel="0" collapsed="false">
      <c r="A389" s="11"/>
    </row>
    <row r="390" customFormat="false" ht="15.75" hidden="false" customHeight="false" outlineLevel="0" collapsed="false">
      <c r="A390" s="11"/>
    </row>
    <row r="391" customFormat="false" ht="15.75" hidden="false" customHeight="false" outlineLevel="0" collapsed="false">
      <c r="A391" s="11"/>
    </row>
    <row r="392" customFormat="false" ht="15.75" hidden="false" customHeight="false" outlineLevel="0" collapsed="false">
      <c r="A392" s="11"/>
    </row>
    <row r="393" customFormat="false" ht="15.75" hidden="false" customHeight="false" outlineLevel="0" collapsed="false">
      <c r="A393" s="11"/>
    </row>
    <row r="394" customFormat="false" ht="15.75" hidden="false" customHeight="false" outlineLevel="0" collapsed="false">
      <c r="A394" s="11"/>
    </row>
    <row r="395" customFormat="false" ht="15.75" hidden="false" customHeight="false" outlineLevel="0" collapsed="false">
      <c r="A395" s="11"/>
    </row>
    <row r="396" customFormat="false" ht="15.75" hidden="false" customHeight="false" outlineLevel="0" collapsed="false">
      <c r="A396" s="11"/>
    </row>
    <row r="397" customFormat="false" ht="15.75" hidden="false" customHeight="false" outlineLevel="0" collapsed="false">
      <c r="A397" s="11"/>
    </row>
    <row r="398" customFormat="false" ht="15.75" hidden="false" customHeight="false" outlineLevel="0" collapsed="false">
      <c r="A398" s="11"/>
    </row>
    <row r="399" customFormat="false" ht="15.75" hidden="false" customHeight="false" outlineLevel="0" collapsed="false">
      <c r="A399" s="11"/>
    </row>
    <row r="400" customFormat="false" ht="15.75" hidden="false" customHeight="false" outlineLevel="0" collapsed="false">
      <c r="A400" s="11"/>
    </row>
    <row r="401" customFormat="false" ht="15.75" hidden="false" customHeight="false" outlineLevel="0" collapsed="false">
      <c r="A401" s="11"/>
    </row>
    <row r="402" customFormat="false" ht="15.75" hidden="false" customHeight="false" outlineLevel="0" collapsed="false">
      <c r="A402" s="11"/>
    </row>
    <row r="403" customFormat="false" ht="15.75" hidden="false" customHeight="false" outlineLevel="0" collapsed="false">
      <c r="A403" s="11"/>
    </row>
    <row r="404" customFormat="false" ht="15.75" hidden="false" customHeight="false" outlineLevel="0" collapsed="false">
      <c r="A404" s="11"/>
    </row>
    <row r="405" customFormat="false" ht="15.75" hidden="false" customHeight="false" outlineLevel="0" collapsed="false">
      <c r="A405" s="11"/>
    </row>
    <row r="406" customFormat="false" ht="15.75" hidden="false" customHeight="false" outlineLevel="0" collapsed="false">
      <c r="A406" s="11"/>
    </row>
    <row r="407" customFormat="false" ht="15.75" hidden="false" customHeight="false" outlineLevel="0" collapsed="false">
      <c r="A407" s="11"/>
    </row>
    <row r="408" customFormat="false" ht="15.75" hidden="false" customHeight="false" outlineLevel="0" collapsed="false">
      <c r="A408" s="11"/>
    </row>
    <row r="409" customFormat="false" ht="15.75" hidden="false" customHeight="false" outlineLevel="0" collapsed="false">
      <c r="A409" s="11"/>
    </row>
    <row r="410" customFormat="false" ht="15.75" hidden="false" customHeight="false" outlineLevel="0" collapsed="false">
      <c r="A410" s="11"/>
    </row>
    <row r="411" customFormat="false" ht="15.75" hidden="false" customHeight="false" outlineLevel="0" collapsed="false">
      <c r="A411" s="11"/>
    </row>
    <row r="412" customFormat="false" ht="15.75" hidden="false" customHeight="false" outlineLevel="0" collapsed="false">
      <c r="A412" s="11"/>
    </row>
    <row r="413" customFormat="false" ht="15.75" hidden="false" customHeight="false" outlineLevel="0" collapsed="false">
      <c r="A413" s="11"/>
    </row>
    <row r="414" customFormat="false" ht="15.75" hidden="false" customHeight="false" outlineLevel="0" collapsed="false">
      <c r="A414" s="11"/>
    </row>
    <row r="415" customFormat="false" ht="15.75" hidden="false" customHeight="false" outlineLevel="0" collapsed="false">
      <c r="A415" s="11"/>
    </row>
    <row r="416" customFormat="false" ht="15.75" hidden="false" customHeight="false" outlineLevel="0" collapsed="false">
      <c r="A416" s="11"/>
    </row>
    <row r="417" customFormat="false" ht="15.75" hidden="false" customHeight="false" outlineLevel="0" collapsed="false">
      <c r="A417" s="11"/>
    </row>
    <row r="418" customFormat="false" ht="15.75" hidden="false" customHeight="false" outlineLevel="0" collapsed="false">
      <c r="A418" s="11"/>
    </row>
    <row r="419" customFormat="false" ht="15.75" hidden="false" customHeight="false" outlineLevel="0" collapsed="false">
      <c r="A419" s="11"/>
    </row>
    <row r="420" customFormat="false" ht="15.75" hidden="false" customHeight="false" outlineLevel="0" collapsed="false">
      <c r="A420" s="11"/>
    </row>
    <row r="421" customFormat="false" ht="15.75" hidden="false" customHeight="false" outlineLevel="0" collapsed="false">
      <c r="A421" s="11"/>
    </row>
    <row r="422" customFormat="false" ht="15.75" hidden="false" customHeight="false" outlineLevel="0" collapsed="false">
      <c r="A422" s="11"/>
    </row>
    <row r="423" customFormat="false" ht="15.75" hidden="false" customHeight="false" outlineLevel="0" collapsed="false">
      <c r="A423" s="11"/>
    </row>
    <row r="424" customFormat="false" ht="15.75" hidden="false" customHeight="false" outlineLevel="0" collapsed="false">
      <c r="A424" s="11"/>
    </row>
    <row r="425" customFormat="false" ht="15.75" hidden="false" customHeight="false" outlineLevel="0" collapsed="false">
      <c r="A425" s="11"/>
    </row>
    <row r="426" customFormat="false" ht="15.75" hidden="false" customHeight="false" outlineLevel="0" collapsed="false">
      <c r="A426" s="11"/>
    </row>
    <row r="427" customFormat="false" ht="15.75" hidden="false" customHeight="false" outlineLevel="0" collapsed="false">
      <c r="A427" s="11"/>
    </row>
    <row r="428" customFormat="false" ht="15.75" hidden="false" customHeight="false" outlineLevel="0" collapsed="false">
      <c r="A428" s="11"/>
    </row>
    <row r="429" customFormat="false" ht="15.75" hidden="false" customHeight="false" outlineLevel="0" collapsed="false">
      <c r="A429" s="11"/>
    </row>
    <row r="430" customFormat="false" ht="15.75" hidden="false" customHeight="false" outlineLevel="0" collapsed="false">
      <c r="A430" s="11"/>
    </row>
    <row r="431" customFormat="false" ht="15.75" hidden="false" customHeight="false" outlineLevel="0" collapsed="false">
      <c r="A431" s="11"/>
    </row>
    <row r="432" customFormat="false" ht="15.75" hidden="false" customHeight="false" outlineLevel="0" collapsed="false">
      <c r="A432" s="11"/>
    </row>
    <row r="433" customFormat="false" ht="15.75" hidden="false" customHeight="false" outlineLevel="0" collapsed="false">
      <c r="A433" s="11"/>
    </row>
    <row r="434" customFormat="false" ht="15.75" hidden="false" customHeight="false" outlineLevel="0" collapsed="false">
      <c r="A434" s="11"/>
    </row>
    <row r="435" customFormat="false" ht="15.75" hidden="false" customHeight="false" outlineLevel="0" collapsed="false">
      <c r="A435" s="11"/>
    </row>
    <row r="436" customFormat="false" ht="15.75" hidden="false" customHeight="false" outlineLevel="0" collapsed="false">
      <c r="A436" s="11"/>
    </row>
    <row r="437" customFormat="false" ht="15.75" hidden="false" customHeight="false" outlineLevel="0" collapsed="false">
      <c r="A437" s="11"/>
    </row>
    <row r="438" customFormat="false" ht="15.75" hidden="false" customHeight="false" outlineLevel="0" collapsed="false">
      <c r="A438" s="11"/>
    </row>
    <row r="439" customFormat="false" ht="15.75" hidden="false" customHeight="false" outlineLevel="0" collapsed="false">
      <c r="A439" s="11"/>
    </row>
    <row r="440" customFormat="false" ht="15.75" hidden="false" customHeight="false" outlineLevel="0" collapsed="false">
      <c r="A440" s="11"/>
    </row>
    <row r="441" customFormat="false" ht="15.75" hidden="false" customHeight="false" outlineLevel="0" collapsed="false">
      <c r="A441" s="11"/>
    </row>
    <row r="442" customFormat="false" ht="15.75" hidden="false" customHeight="false" outlineLevel="0" collapsed="false">
      <c r="A442" s="11"/>
    </row>
    <row r="443" customFormat="false" ht="15.75" hidden="false" customHeight="false" outlineLevel="0" collapsed="false">
      <c r="A443" s="11"/>
    </row>
    <row r="444" customFormat="false" ht="15.75" hidden="false" customHeight="false" outlineLevel="0" collapsed="false">
      <c r="A444" s="11"/>
    </row>
    <row r="445" customFormat="false" ht="15.75" hidden="false" customHeight="false" outlineLevel="0" collapsed="false">
      <c r="A445" s="11"/>
    </row>
    <row r="446" customFormat="false" ht="15.75" hidden="false" customHeight="false" outlineLevel="0" collapsed="false">
      <c r="A446" s="11"/>
    </row>
    <row r="447" customFormat="false" ht="15.75" hidden="false" customHeight="false" outlineLevel="0" collapsed="false">
      <c r="A447" s="11"/>
    </row>
    <row r="448" customFormat="false" ht="15.75" hidden="false" customHeight="false" outlineLevel="0" collapsed="false">
      <c r="A448" s="11"/>
    </row>
    <row r="449" customFormat="false" ht="15.75" hidden="false" customHeight="false" outlineLevel="0" collapsed="false">
      <c r="A449" s="11"/>
    </row>
    <row r="450" customFormat="false" ht="15.75" hidden="false" customHeight="false" outlineLevel="0" collapsed="false">
      <c r="A450" s="11"/>
    </row>
    <row r="451" customFormat="false" ht="15.75" hidden="false" customHeight="false" outlineLevel="0" collapsed="false">
      <c r="A451" s="11"/>
    </row>
    <row r="452" customFormat="false" ht="15.75" hidden="false" customHeight="false" outlineLevel="0" collapsed="false">
      <c r="A452" s="11"/>
    </row>
    <row r="453" customFormat="false" ht="15.75" hidden="false" customHeight="false" outlineLevel="0" collapsed="false">
      <c r="A453" s="11"/>
    </row>
    <row r="454" customFormat="false" ht="15.75" hidden="false" customHeight="false" outlineLevel="0" collapsed="false">
      <c r="A454" s="11"/>
    </row>
    <row r="455" customFormat="false" ht="15.75" hidden="false" customHeight="false" outlineLevel="0" collapsed="false">
      <c r="A455" s="11"/>
    </row>
    <row r="456" customFormat="false" ht="15.75" hidden="false" customHeight="false" outlineLevel="0" collapsed="false">
      <c r="A456" s="11"/>
    </row>
    <row r="457" customFormat="false" ht="15.75" hidden="false" customHeight="false" outlineLevel="0" collapsed="false">
      <c r="A457" s="11"/>
    </row>
    <row r="458" customFormat="false" ht="15.75" hidden="false" customHeight="false" outlineLevel="0" collapsed="false">
      <c r="A458" s="11"/>
    </row>
    <row r="459" customFormat="false" ht="15.75" hidden="false" customHeight="false" outlineLevel="0" collapsed="false">
      <c r="A459" s="11"/>
    </row>
    <row r="460" customFormat="false" ht="15.75" hidden="false" customHeight="false" outlineLevel="0" collapsed="false">
      <c r="A460" s="11"/>
    </row>
    <row r="461" customFormat="false" ht="15.75" hidden="false" customHeight="false" outlineLevel="0" collapsed="false">
      <c r="A461" s="11"/>
    </row>
    <row r="462" customFormat="false" ht="15.75" hidden="false" customHeight="false" outlineLevel="0" collapsed="false">
      <c r="A462" s="11"/>
    </row>
    <row r="463" customFormat="false" ht="15.75" hidden="false" customHeight="false" outlineLevel="0" collapsed="false">
      <c r="A463" s="11"/>
    </row>
    <row r="464" customFormat="false" ht="15.75" hidden="false" customHeight="false" outlineLevel="0" collapsed="false">
      <c r="A464" s="11"/>
    </row>
    <row r="465" customFormat="false" ht="15.75" hidden="false" customHeight="false" outlineLevel="0" collapsed="false">
      <c r="A465" s="11"/>
    </row>
    <row r="466" customFormat="false" ht="15.75" hidden="false" customHeight="false" outlineLevel="0" collapsed="false">
      <c r="A466" s="11"/>
    </row>
    <row r="467" customFormat="false" ht="15.75" hidden="false" customHeight="false" outlineLevel="0" collapsed="false">
      <c r="A467" s="11"/>
    </row>
    <row r="468" customFormat="false" ht="15.75" hidden="false" customHeight="false" outlineLevel="0" collapsed="false">
      <c r="A468" s="11"/>
    </row>
    <row r="469" customFormat="false" ht="15.75" hidden="false" customHeight="false" outlineLevel="0" collapsed="false">
      <c r="A469" s="11"/>
    </row>
    <row r="470" customFormat="false" ht="15.75" hidden="false" customHeight="false" outlineLevel="0" collapsed="false">
      <c r="A470" s="11"/>
    </row>
    <row r="471" customFormat="false" ht="15.75" hidden="false" customHeight="false" outlineLevel="0" collapsed="false">
      <c r="A471" s="11"/>
    </row>
    <row r="472" customFormat="false" ht="15.75" hidden="false" customHeight="false" outlineLevel="0" collapsed="false">
      <c r="A472" s="11"/>
    </row>
    <row r="473" customFormat="false" ht="15.75" hidden="false" customHeight="false" outlineLevel="0" collapsed="false">
      <c r="A473" s="11"/>
    </row>
    <row r="474" customFormat="false" ht="15.75" hidden="false" customHeight="false" outlineLevel="0" collapsed="false">
      <c r="A474" s="11"/>
    </row>
    <row r="475" customFormat="false" ht="15.75" hidden="false" customHeight="false" outlineLevel="0" collapsed="false">
      <c r="A475" s="11"/>
    </row>
    <row r="476" customFormat="false" ht="15.75" hidden="false" customHeight="false" outlineLevel="0" collapsed="false">
      <c r="A476" s="11"/>
    </row>
    <row r="477" customFormat="false" ht="15.75" hidden="false" customHeight="false" outlineLevel="0" collapsed="false">
      <c r="A477" s="11"/>
    </row>
    <row r="478" customFormat="false" ht="15.75" hidden="false" customHeight="false" outlineLevel="0" collapsed="false">
      <c r="A478" s="11"/>
    </row>
    <row r="479" customFormat="false" ht="15.75" hidden="false" customHeight="false" outlineLevel="0" collapsed="false">
      <c r="A479" s="11"/>
    </row>
    <row r="480" customFormat="false" ht="15.75" hidden="false" customHeight="false" outlineLevel="0" collapsed="false">
      <c r="A480" s="11"/>
    </row>
    <row r="481" customFormat="false" ht="15.75" hidden="false" customHeight="false" outlineLevel="0" collapsed="false">
      <c r="A481" s="11"/>
    </row>
    <row r="482" customFormat="false" ht="15.75" hidden="false" customHeight="false" outlineLevel="0" collapsed="false">
      <c r="A482" s="11"/>
    </row>
    <row r="483" customFormat="false" ht="15.75" hidden="false" customHeight="false" outlineLevel="0" collapsed="false">
      <c r="A483" s="11"/>
    </row>
    <row r="484" customFormat="false" ht="15.75" hidden="false" customHeight="false" outlineLevel="0" collapsed="false">
      <c r="A484" s="11"/>
    </row>
    <row r="485" customFormat="false" ht="15.75" hidden="false" customHeight="false" outlineLevel="0" collapsed="false">
      <c r="A485" s="11"/>
    </row>
    <row r="486" customFormat="false" ht="15.75" hidden="false" customHeight="false" outlineLevel="0" collapsed="false">
      <c r="A486" s="11"/>
    </row>
    <row r="487" customFormat="false" ht="15.75" hidden="false" customHeight="false" outlineLevel="0" collapsed="false">
      <c r="A487" s="11"/>
    </row>
    <row r="488" customFormat="false" ht="15.75" hidden="false" customHeight="false" outlineLevel="0" collapsed="false">
      <c r="A488" s="11"/>
    </row>
    <row r="489" customFormat="false" ht="15.75" hidden="false" customHeight="false" outlineLevel="0" collapsed="false">
      <c r="A489" s="11"/>
    </row>
    <row r="490" customFormat="false" ht="15.75" hidden="false" customHeight="false" outlineLevel="0" collapsed="false">
      <c r="A490" s="11"/>
    </row>
    <row r="491" customFormat="false" ht="15.75" hidden="false" customHeight="false" outlineLevel="0" collapsed="false">
      <c r="A491" s="11"/>
    </row>
    <row r="492" customFormat="false" ht="15.75" hidden="false" customHeight="false" outlineLevel="0" collapsed="false">
      <c r="A492" s="11"/>
    </row>
    <row r="493" customFormat="false" ht="15.75" hidden="false" customHeight="false" outlineLevel="0" collapsed="false">
      <c r="A493" s="11"/>
    </row>
    <row r="494" customFormat="false" ht="15.75" hidden="false" customHeight="false" outlineLevel="0" collapsed="false">
      <c r="A494" s="11"/>
    </row>
    <row r="495" customFormat="false" ht="15.75" hidden="false" customHeight="false" outlineLevel="0" collapsed="false">
      <c r="A495" s="11"/>
    </row>
    <row r="496" customFormat="false" ht="15.75" hidden="false" customHeight="false" outlineLevel="0" collapsed="false">
      <c r="A496" s="11"/>
    </row>
    <row r="497" customFormat="false" ht="15.75" hidden="false" customHeight="false" outlineLevel="0" collapsed="false">
      <c r="A497" s="11"/>
    </row>
    <row r="498" customFormat="false" ht="15.75" hidden="false" customHeight="false" outlineLevel="0" collapsed="false">
      <c r="A498" s="11"/>
    </row>
    <row r="499" customFormat="false" ht="15.75" hidden="false" customHeight="false" outlineLevel="0" collapsed="false">
      <c r="A499" s="11"/>
    </row>
    <row r="500" customFormat="false" ht="15.75" hidden="false" customHeight="false" outlineLevel="0" collapsed="false">
      <c r="A500" s="11"/>
    </row>
    <row r="501" customFormat="false" ht="15.75" hidden="false" customHeight="false" outlineLevel="0" collapsed="false">
      <c r="A501" s="11"/>
    </row>
    <row r="502" customFormat="false" ht="15.75" hidden="false" customHeight="false" outlineLevel="0" collapsed="false">
      <c r="A502" s="11"/>
    </row>
    <row r="503" customFormat="false" ht="15.75" hidden="false" customHeight="false" outlineLevel="0" collapsed="false">
      <c r="A503" s="11"/>
    </row>
    <row r="504" customFormat="false" ht="15.75" hidden="false" customHeight="false" outlineLevel="0" collapsed="false">
      <c r="A504" s="11"/>
    </row>
    <row r="505" customFormat="false" ht="15.75" hidden="false" customHeight="false" outlineLevel="0" collapsed="false">
      <c r="A505" s="11"/>
    </row>
    <row r="506" customFormat="false" ht="15.75" hidden="false" customHeight="false" outlineLevel="0" collapsed="false">
      <c r="A506" s="11"/>
    </row>
    <row r="507" customFormat="false" ht="15.75" hidden="false" customHeight="false" outlineLevel="0" collapsed="false">
      <c r="A507" s="11"/>
    </row>
    <row r="508" customFormat="false" ht="15.75" hidden="false" customHeight="false" outlineLevel="0" collapsed="false">
      <c r="A508" s="11"/>
    </row>
    <row r="509" customFormat="false" ht="15.75" hidden="false" customHeight="false" outlineLevel="0" collapsed="false">
      <c r="A509" s="11"/>
    </row>
    <row r="510" customFormat="false" ht="15.75" hidden="false" customHeight="false" outlineLevel="0" collapsed="false">
      <c r="A510" s="11"/>
    </row>
    <row r="511" customFormat="false" ht="15.75" hidden="false" customHeight="false" outlineLevel="0" collapsed="false">
      <c r="A511" s="11"/>
    </row>
    <row r="512" customFormat="false" ht="15.75" hidden="false" customHeight="false" outlineLevel="0" collapsed="false">
      <c r="A512" s="11"/>
    </row>
    <row r="513" customFormat="false" ht="15.75" hidden="false" customHeight="false" outlineLevel="0" collapsed="false">
      <c r="A513" s="11"/>
    </row>
    <row r="514" customFormat="false" ht="15.75" hidden="false" customHeight="false" outlineLevel="0" collapsed="false">
      <c r="A514" s="11"/>
    </row>
    <row r="515" customFormat="false" ht="15.75" hidden="false" customHeight="false" outlineLevel="0" collapsed="false">
      <c r="A515" s="11"/>
    </row>
    <row r="516" customFormat="false" ht="15.75" hidden="false" customHeight="false" outlineLevel="0" collapsed="false">
      <c r="A516" s="11"/>
    </row>
    <row r="517" customFormat="false" ht="15.75" hidden="false" customHeight="false" outlineLevel="0" collapsed="false">
      <c r="A517" s="11"/>
    </row>
    <row r="518" customFormat="false" ht="15.75" hidden="false" customHeight="false" outlineLevel="0" collapsed="false">
      <c r="A518" s="11"/>
    </row>
    <row r="519" customFormat="false" ht="15.75" hidden="false" customHeight="false" outlineLevel="0" collapsed="false">
      <c r="A519" s="11"/>
    </row>
    <row r="520" customFormat="false" ht="15.75" hidden="false" customHeight="false" outlineLevel="0" collapsed="false">
      <c r="A520" s="11"/>
    </row>
    <row r="521" customFormat="false" ht="15.75" hidden="false" customHeight="false" outlineLevel="0" collapsed="false">
      <c r="A521" s="11"/>
    </row>
    <row r="522" customFormat="false" ht="15.75" hidden="false" customHeight="false" outlineLevel="0" collapsed="false">
      <c r="A522" s="11"/>
    </row>
    <row r="523" customFormat="false" ht="15.75" hidden="false" customHeight="false" outlineLevel="0" collapsed="false">
      <c r="A523" s="11"/>
    </row>
    <row r="524" customFormat="false" ht="15.75" hidden="false" customHeight="false" outlineLevel="0" collapsed="false">
      <c r="A524" s="11"/>
    </row>
    <row r="525" customFormat="false" ht="15.75" hidden="false" customHeight="false" outlineLevel="0" collapsed="false">
      <c r="A525" s="11"/>
    </row>
    <row r="526" customFormat="false" ht="15.75" hidden="false" customHeight="false" outlineLevel="0" collapsed="false">
      <c r="A526" s="11"/>
    </row>
    <row r="527" customFormat="false" ht="15.75" hidden="false" customHeight="false" outlineLevel="0" collapsed="false">
      <c r="A527" s="11"/>
    </row>
    <row r="528" customFormat="false" ht="15.75" hidden="false" customHeight="false" outlineLevel="0" collapsed="false">
      <c r="A528" s="11"/>
    </row>
    <row r="529" customFormat="false" ht="15.75" hidden="false" customHeight="false" outlineLevel="0" collapsed="false">
      <c r="A529" s="11"/>
    </row>
    <row r="530" customFormat="false" ht="15.75" hidden="false" customHeight="false" outlineLevel="0" collapsed="false">
      <c r="A530" s="11"/>
    </row>
    <row r="531" customFormat="false" ht="15.75" hidden="false" customHeight="false" outlineLevel="0" collapsed="false">
      <c r="A531" s="11"/>
    </row>
    <row r="532" customFormat="false" ht="15.75" hidden="false" customHeight="false" outlineLevel="0" collapsed="false">
      <c r="A532" s="11"/>
    </row>
    <row r="533" customFormat="false" ht="15.75" hidden="false" customHeight="false" outlineLevel="0" collapsed="false">
      <c r="A533" s="11"/>
    </row>
    <row r="534" customFormat="false" ht="15.75" hidden="false" customHeight="false" outlineLevel="0" collapsed="false">
      <c r="A534" s="11"/>
    </row>
    <row r="535" customFormat="false" ht="15.75" hidden="false" customHeight="false" outlineLevel="0" collapsed="false">
      <c r="A535" s="11"/>
    </row>
    <row r="536" customFormat="false" ht="15.75" hidden="false" customHeight="false" outlineLevel="0" collapsed="false">
      <c r="A536" s="11"/>
    </row>
    <row r="537" customFormat="false" ht="15.75" hidden="false" customHeight="false" outlineLevel="0" collapsed="false">
      <c r="A537" s="11"/>
    </row>
    <row r="538" customFormat="false" ht="15.75" hidden="false" customHeight="false" outlineLevel="0" collapsed="false">
      <c r="A538" s="11"/>
    </row>
    <row r="539" customFormat="false" ht="15.75" hidden="false" customHeight="false" outlineLevel="0" collapsed="false">
      <c r="A539" s="11"/>
    </row>
    <row r="540" customFormat="false" ht="15.75" hidden="false" customHeight="false" outlineLevel="0" collapsed="false">
      <c r="A540" s="11"/>
    </row>
    <row r="541" customFormat="false" ht="15.75" hidden="false" customHeight="false" outlineLevel="0" collapsed="false">
      <c r="A541" s="11"/>
    </row>
    <row r="542" customFormat="false" ht="15.75" hidden="false" customHeight="false" outlineLevel="0" collapsed="false">
      <c r="A542" s="11"/>
    </row>
    <row r="543" customFormat="false" ht="15.75" hidden="false" customHeight="false" outlineLevel="0" collapsed="false">
      <c r="A543" s="11"/>
    </row>
    <row r="544" customFormat="false" ht="15.75" hidden="false" customHeight="false" outlineLevel="0" collapsed="false">
      <c r="A544" s="11"/>
    </row>
    <row r="545" customFormat="false" ht="15.75" hidden="false" customHeight="false" outlineLevel="0" collapsed="false">
      <c r="A545" s="11"/>
    </row>
    <row r="546" customFormat="false" ht="15.75" hidden="false" customHeight="false" outlineLevel="0" collapsed="false">
      <c r="A546" s="11"/>
    </row>
    <row r="547" customFormat="false" ht="15.75" hidden="false" customHeight="false" outlineLevel="0" collapsed="false">
      <c r="A547" s="11"/>
    </row>
    <row r="548" customFormat="false" ht="15.75" hidden="false" customHeight="false" outlineLevel="0" collapsed="false">
      <c r="A548" s="11"/>
    </row>
    <row r="549" customFormat="false" ht="15.75" hidden="false" customHeight="false" outlineLevel="0" collapsed="false">
      <c r="A549" s="11"/>
    </row>
    <row r="550" customFormat="false" ht="15.75" hidden="false" customHeight="false" outlineLevel="0" collapsed="false">
      <c r="A550" s="11"/>
    </row>
    <row r="551" customFormat="false" ht="15.75" hidden="false" customHeight="false" outlineLevel="0" collapsed="false">
      <c r="A551" s="11"/>
    </row>
    <row r="552" customFormat="false" ht="15.75" hidden="false" customHeight="false" outlineLevel="0" collapsed="false">
      <c r="A552" s="11"/>
    </row>
    <row r="553" customFormat="false" ht="15.75" hidden="false" customHeight="false" outlineLevel="0" collapsed="false">
      <c r="A553" s="11"/>
    </row>
    <row r="554" customFormat="false" ht="15.75" hidden="false" customHeight="false" outlineLevel="0" collapsed="false">
      <c r="A554" s="11"/>
    </row>
    <row r="555" customFormat="false" ht="15.75" hidden="false" customHeight="false" outlineLevel="0" collapsed="false">
      <c r="A555" s="11"/>
    </row>
    <row r="556" customFormat="false" ht="15.75" hidden="false" customHeight="false" outlineLevel="0" collapsed="false">
      <c r="A556" s="11"/>
    </row>
    <row r="557" customFormat="false" ht="15.75" hidden="false" customHeight="false" outlineLevel="0" collapsed="false">
      <c r="A557" s="11"/>
    </row>
    <row r="558" customFormat="false" ht="15.75" hidden="false" customHeight="false" outlineLevel="0" collapsed="false">
      <c r="A558" s="11"/>
    </row>
    <row r="559" customFormat="false" ht="15.75" hidden="false" customHeight="false" outlineLevel="0" collapsed="false">
      <c r="A559" s="11"/>
    </row>
    <row r="560" customFormat="false" ht="15.75" hidden="false" customHeight="false" outlineLevel="0" collapsed="false">
      <c r="A560" s="11"/>
    </row>
    <row r="561" customFormat="false" ht="15.75" hidden="false" customHeight="false" outlineLevel="0" collapsed="false">
      <c r="A561" s="11"/>
    </row>
    <row r="562" customFormat="false" ht="15.75" hidden="false" customHeight="false" outlineLevel="0" collapsed="false">
      <c r="A562" s="11"/>
    </row>
    <row r="563" customFormat="false" ht="15.75" hidden="false" customHeight="false" outlineLevel="0" collapsed="false">
      <c r="A563" s="11"/>
    </row>
    <row r="564" customFormat="false" ht="15.75" hidden="false" customHeight="false" outlineLevel="0" collapsed="false">
      <c r="A564" s="11"/>
    </row>
    <row r="565" customFormat="false" ht="15.75" hidden="false" customHeight="false" outlineLevel="0" collapsed="false">
      <c r="A565" s="11"/>
    </row>
    <row r="566" customFormat="false" ht="15.75" hidden="false" customHeight="false" outlineLevel="0" collapsed="false">
      <c r="A566" s="11"/>
    </row>
    <row r="567" customFormat="false" ht="15.75" hidden="false" customHeight="false" outlineLevel="0" collapsed="false">
      <c r="A567" s="11"/>
    </row>
    <row r="568" customFormat="false" ht="15.75" hidden="false" customHeight="false" outlineLevel="0" collapsed="false">
      <c r="A568" s="11"/>
    </row>
    <row r="569" customFormat="false" ht="15.75" hidden="false" customHeight="false" outlineLevel="0" collapsed="false">
      <c r="A569" s="11"/>
    </row>
    <row r="570" customFormat="false" ht="15.75" hidden="false" customHeight="false" outlineLevel="0" collapsed="false">
      <c r="A570" s="11"/>
    </row>
    <row r="571" customFormat="false" ht="15.75" hidden="false" customHeight="false" outlineLevel="0" collapsed="false">
      <c r="A571" s="11"/>
    </row>
    <row r="572" customFormat="false" ht="15.75" hidden="false" customHeight="false" outlineLevel="0" collapsed="false">
      <c r="A572" s="11"/>
    </row>
    <row r="573" customFormat="false" ht="15.75" hidden="false" customHeight="false" outlineLevel="0" collapsed="false">
      <c r="A573" s="11"/>
    </row>
    <row r="574" customFormat="false" ht="15.75" hidden="false" customHeight="false" outlineLevel="0" collapsed="false">
      <c r="A574" s="11"/>
    </row>
    <row r="575" customFormat="false" ht="15.75" hidden="false" customHeight="false" outlineLevel="0" collapsed="false">
      <c r="A575" s="11"/>
    </row>
    <row r="576" customFormat="false" ht="15.75" hidden="false" customHeight="false" outlineLevel="0" collapsed="false">
      <c r="A576" s="11"/>
    </row>
    <row r="577" customFormat="false" ht="15.75" hidden="false" customHeight="false" outlineLevel="0" collapsed="false">
      <c r="A577" s="11"/>
    </row>
    <row r="578" customFormat="false" ht="15.75" hidden="false" customHeight="false" outlineLevel="0" collapsed="false">
      <c r="A578" s="11"/>
    </row>
    <row r="579" customFormat="false" ht="15.75" hidden="false" customHeight="false" outlineLevel="0" collapsed="false">
      <c r="A579" s="11"/>
    </row>
    <row r="580" customFormat="false" ht="15.75" hidden="false" customHeight="false" outlineLevel="0" collapsed="false">
      <c r="A580" s="11"/>
    </row>
    <row r="581" customFormat="false" ht="15.75" hidden="false" customHeight="false" outlineLevel="0" collapsed="false">
      <c r="A581" s="11"/>
    </row>
    <row r="582" customFormat="false" ht="15.75" hidden="false" customHeight="false" outlineLevel="0" collapsed="false">
      <c r="A582" s="11"/>
    </row>
    <row r="583" customFormat="false" ht="15.75" hidden="false" customHeight="false" outlineLevel="0" collapsed="false">
      <c r="A583" s="11"/>
    </row>
    <row r="584" customFormat="false" ht="15.75" hidden="false" customHeight="false" outlineLevel="0" collapsed="false">
      <c r="A584" s="11"/>
    </row>
    <row r="585" customFormat="false" ht="15.75" hidden="false" customHeight="false" outlineLevel="0" collapsed="false">
      <c r="A585" s="11"/>
    </row>
    <row r="586" customFormat="false" ht="15.75" hidden="false" customHeight="false" outlineLevel="0" collapsed="false">
      <c r="A586" s="11"/>
    </row>
    <row r="587" customFormat="false" ht="15.75" hidden="false" customHeight="false" outlineLevel="0" collapsed="false">
      <c r="A587" s="11"/>
    </row>
    <row r="588" customFormat="false" ht="15.75" hidden="false" customHeight="false" outlineLevel="0" collapsed="false">
      <c r="A588" s="11"/>
    </row>
    <row r="589" customFormat="false" ht="15.75" hidden="false" customHeight="false" outlineLevel="0" collapsed="false">
      <c r="A589" s="11"/>
    </row>
    <row r="590" customFormat="false" ht="15.75" hidden="false" customHeight="false" outlineLevel="0" collapsed="false">
      <c r="A590" s="11"/>
    </row>
    <row r="591" customFormat="false" ht="15.75" hidden="false" customHeight="false" outlineLevel="0" collapsed="false">
      <c r="A591" s="11"/>
    </row>
    <row r="592" customFormat="false" ht="15.75" hidden="false" customHeight="false" outlineLevel="0" collapsed="false">
      <c r="A592" s="11"/>
    </row>
    <row r="593" customFormat="false" ht="15.75" hidden="false" customHeight="false" outlineLevel="0" collapsed="false">
      <c r="A593" s="11"/>
    </row>
    <row r="594" customFormat="false" ht="15.75" hidden="false" customHeight="false" outlineLevel="0" collapsed="false">
      <c r="A594" s="11"/>
    </row>
    <row r="595" customFormat="false" ht="15.75" hidden="false" customHeight="false" outlineLevel="0" collapsed="false">
      <c r="A595" s="11"/>
    </row>
    <row r="596" customFormat="false" ht="15.75" hidden="false" customHeight="false" outlineLevel="0" collapsed="false">
      <c r="A596" s="11"/>
    </row>
    <row r="597" customFormat="false" ht="15.75" hidden="false" customHeight="false" outlineLevel="0" collapsed="false">
      <c r="A597" s="11"/>
    </row>
    <row r="598" customFormat="false" ht="15.75" hidden="false" customHeight="false" outlineLevel="0" collapsed="false">
      <c r="A598" s="11"/>
    </row>
    <row r="599" customFormat="false" ht="15.75" hidden="false" customHeight="false" outlineLevel="0" collapsed="false">
      <c r="A599" s="11"/>
    </row>
    <row r="600" customFormat="false" ht="15.75" hidden="false" customHeight="false" outlineLevel="0" collapsed="false">
      <c r="A600" s="11"/>
    </row>
    <row r="601" customFormat="false" ht="15.75" hidden="false" customHeight="false" outlineLevel="0" collapsed="false">
      <c r="A601" s="11"/>
    </row>
    <row r="602" customFormat="false" ht="15.75" hidden="false" customHeight="false" outlineLevel="0" collapsed="false">
      <c r="A602" s="11"/>
    </row>
    <row r="603" customFormat="false" ht="15.75" hidden="false" customHeight="false" outlineLevel="0" collapsed="false">
      <c r="A603" s="11"/>
    </row>
    <row r="604" customFormat="false" ht="15.75" hidden="false" customHeight="false" outlineLevel="0" collapsed="false">
      <c r="A604" s="11"/>
    </row>
    <row r="605" customFormat="false" ht="15.75" hidden="false" customHeight="false" outlineLevel="0" collapsed="false">
      <c r="A605" s="11"/>
    </row>
    <row r="606" customFormat="false" ht="15.75" hidden="false" customHeight="false" outlineLevel="0" collapsed="false">
      <c r="A606" s="11"/>
    </row>
    <row r="607" customFormat="false" ht="15.75" hidden="false" customHeight="false" outlineLevel="0" collapsed="false">
      <c r="A607" s="11"/>
    </row>
    <row r="608" customFormat="false" ht="15.75" hidden="false" customHeight="false" outlineLevel="0" collapsed="false">
      <c r="A608" s="11"/>
    </row>
    <row r="609" customFormat="false" ht="15.75" hidden="false" customHeight="false" outlineLevel="0" collapsed="false">
      <c r="A609" s="11"/>
    </row>
    <row r="610" customFormat="false" ht="15.75" hidden="false" customHeight="false" outlineLevel="0" collapsed="false">
      <c r="A610" s="11"/>
    </row>
    <row r="611" customFormat="false" ht="15.75" hidden="false" customHeight="false" outlineLevel="0" collapsed="false">
      <c r="A611" s="11"/>
    </row>
    <row r="612" customFormat="false" ht="15.75" hidden="false" customHeight="false" outlineLevel="0" collapsed="false">
      <c r="A612" s="11"/>
    </row>
    <row r="613" customFormat="false" ht="15.75" hidden="false" customHeight="false" outlineLevel="0" collapsed="false">
      <c r="A613" s="11"/>
    </row>
    <row r="614" customFormat="false" ht="15.75" hidden="false" customHeight="false" outlineLevel="0" collapsed="false">
      <c r="A614" s="11"/>
    </row>
    <row r="615" customFormat="false" ht="15.75" hidden="false" customHeight="false" outlineLevel="0" collapsed="false">
      <c r="A615" s="11"/>
    </row>
    <row r="616" customFormat="false" ht="15.75" hidden="false" customHeight="false" outlineLevel="0" collapsed="false">
      <c r="A616" s="11"/>
    </row>
    <row r="617" customFormat="false" ht="15.75" hidden="false" customHeight="false" outlineLevel="0" collapsed="false">
      <c r="A617" s="11"/>
    </row>
    <row r="618" customFormat="false" ht="15.75" hidden="false" customHeight="false" outlineLevel="0" collapsed="false">
      <c r="A618" s="11"/>
    </row>
    <row r="619" customFormat="false" ht="15.75" hidden="false" customHeight="false" outlineLevel="0" collapsed="false">
      <c r="A619" s="11"/>
    </row>
    <row r="620" customFormat="false" ht="15.75" hidden="false" customHeight="false" outlineLevel="0" collapsed="false">
      <c r="A620" s="11"/>
    </row>
    <row r="621" customFormat="false" ht="15.75" hidden="false" customHeight="false" outlineLevel="0" collapsed="false">
      <c r="A621" s="11"/>
    </row>
    <row r="622" customFormat="false" ht="15.75" hidden="false" customHeight="false" outlineLevel="0" collapsed="false">
      <c r="A622" s="11"/>
    </row>
    <row r="623" customFormat="false" ht="15.75" hidden="false" customHeight="false" outlineLevel="0" collapsed="false">
      <c r="A623" s="11"/>
    </row>
    <row r="624" customFormat="false" ht="15.75" hidden="false" customHeight="false" outlineLevel="0" collapsed="false">
      <c r="A624" s="11"/>
    </row>
    <row r="625" customFormat="false" ht="15.75" hidden="false" customHeight="false" outlineLevel="0" collapsed="false">
      <c r="A625" s="11"/>
    </row>
    <row r="626" customFormat="false" ht="15.75" hidden="false" customHeight="false" outlineLevel="0" collapsed="false">
      <c r="A626" s="11"/>
    </row>
    <row r="627" customFormat="false" ht="15.75" hidden="false" customHeight="false" outlineLevel="0" collapsed="false">
      <c r="A627" s="11"/>
    </row>
    <row r="628" customFormat="false" ht="15.75" hidden="false" customHeight="false" outlineLevel="0" collapsed="false">
      <c r="A628" s="11"/>
    </row>
    <row r="629" customFormat="false" ht="15.75" hidden="false" customHeight="false" outlineLevel="0" collapsed="false">
      <c r="A629" s="11"/>
    </row>
    <row r="630" customFormat="false" ht="15.75" hidden="false" customHeight="false" outlineLevel="0" collapsed="false">
      <c r="A630" s="11"/>
    </row>
    <row r="631" customFormat="false" ht="15.75" hidden="false" customHeight="false" outlineLevel="0" collapsed="false">
      <c r="A631" s="11"/>
    </row>
    <row r="632" customFormat="false" ht="15.75" hidden="false" customHeight="false" outlineLevel="0" collapsed="false">
      <c r="A632" s="11"/>
    </row>
    <row r="633" customFormat="false" ht="15.75" hidden="false" customHeight="false" outlineLevel="0" collapsed="false">
      <c r="A633" s="11"/>
    </row>
    <row r="634" customFormat="false" ht="15.75" hidden="false" customHeight="false" outlineLevel="0" collapsed="false">
      <c r="A634" s="11"/>
    </row>
    <row r="635" customFormat="false" ht="15.75" hidden="false" customHeight="false" outlineLevel="0" collapsed="false">
      <c r="A635" s="11"/>
    </row>
    <row r="636" customFormat="false" ht="15.75" hidden="false" customHeight="false" outlineLevel="0" collapsed="false">
      <c r="A636" s="11"/>
    </row>
    <row r="637" customFormat="false" ht="15.75" hidden="false" customHeight="false" outlineLevel="0" collapsed="false">
      <c r="A637" s="11"/>
    </row>
    <row r="638" customFormat="false" ht="15.75" hidden="false" customHeight="false" outlineLevel="0" collapsed="false">
      <c r="A638" s="11"/>
    </row>
    <row r="639" customFormat="false" ht="15.75" hidden="false" customHeight="false" outlineLevel="0" collapsed="false">
      <c r="A639" s="11"/>
    </row>
    <row r="640" customFormat="false" ht="15.75" hidden="false" customHeight="false" outlineLevel="0" collapsed="false">
      <c r="A640" s="11"/>
    </row>
    <row r="641" customFormat="false" ht="15.75" hidden="false" customHeight="false" outlineLevel="0" collapsed="false">
      <c r="A641" s="11"/>
    </row>
    <row r="642" customFormat="false" ht="15.75" hidden="false" customHeight="false" outlineLevel="0" collapsed="false">
      <c r="A642" s="11"/>
    </row>
    <row r="643" customFormat="false" ht="15.75" hidden="false" customHeight="false" outlineLevel="0" collapsed="false">
      <c r="A643" s="11"/>
    </row>
    <row r="644" customFormat="false" ht="15.75" hidden="false" customHeight="false" outlineLevel="0" collapsed="false">
      <c r="A644" s="11"/>
    </row>
    <row r="645" customFormat="false" ht="15.75" hidden="false" customHeight="false" outlineLevel="0" collapsed="false">
      <c r="A645" s="11"/>
    </row>
    <row r="646" customFormat="false" ht="15.75" hidden="false" customHeight="false" outlineLevel="0" collapsed="false">
      <c r="A646" s="11"/>
    </row>
    <row r="647" customFormat="false" ht="15.75" hidden="false" customHeight="false" outlineLevel="0" collapsed="false">
      <c r="A647" s="11"/>
    </row>
    <row r="648" customFormat="false" ht="15.75" hidden="false" customHeight="false" outlineLevel="0" collapsed="false">
      <c r="A648" s="11"/>
    </row>
    <row r="649" customFormat="false" ht="15.75" hidden="false" customHeight="false" outlineLevel="0" collapsed="false">
      <c r="A649" s="11"/>
    </row>
    <row r="650" customFormat="false" ht="15.75" hidden="false" customHeight="false" outlineLevel="0" collapsed="false">
      <c r="A650" s="11"/>
    </row>
    <row r="651" customFormat="false" ht="15.75" hidden="false" customHeight="false" outlineLevel="0" collapsed="false">
      <c r="A651" s="11"/>
    </row>
    <row r="652" customFormat="false" ht="15.75" hidden="false" customHeight="false" outlineLevel="0" collapsed="false">
      <c r="A652" s="11"/>
    </row>
    <row r="653" customFormat="false" ht="15.75" hidden="false" customHeight="false" outlineLevel="0" collapsed="false">
      <c r="A653" s="11"/>
    </row>
    <row r="654" customFormat="false" ht="15.75" hidden="false" customHeight="false" outlineLevel="0" collapsed="false">
      <c r="A654" s="11"/>
    </row>
    <row r="655" customFormat="false" ht="15.75" hidden="false" customHeight="false" outlineLevel="0" collapsed="false">
      <c r="A655" s="11"/>
    </row>
    <row r="656" customFormat="false" ht="15.75" hidden="false" customHeight="false" outlineLevel="0" collapsed="false">
      <c r="A656" s="11"/>
    </row>
    <row r="657" customFormat="false" ht="15.75" hidden="false" customHeight="false" outlineLevel="0" collapsed="false">
      <c r="A657" s="11"/>
    </row>
    <row r="658" customFormat="false" ht="15.75" hidden="false" customHeight="false" outlineLevel="0" collapsed="false">
      <c r="A658" s="11"/>
    </row>
    <row r="659" customFormat="false" ht="15.75" hidden="false" customHeight="false" outlineLevel="0" collapsed="false">
      <c r="A659" s="11"/>
    </row>
    <row r="660" customFormat="false" ht="15.75" hidden="false" customHeight="false" outlineLevel="0" collapsed="false">
      <c r="A660" s="11"/>
    </row>
    <row r="661" customFormat="false" ht="15.75" hidden="false" customHeight="false" outlineLevel="0" collapsed="false">
      <c r="A661" s="11"/>
    </row>
    <row r="662" customFormat="false" ht="15.75" hidden="false" customHeight="false" outlineLevel="0" collapsed="false">
      <c r="A662" s="11"/>
    </row>
    <row r="663" customFormat="false" ht="15.75" hidden="false" customHeight="false" outlineLevel="0" collapsed="false">
      <c r="A663" s="11"/>
    </row>
    <row r="664" customFormat="false" ht="15.75" hidden="false" customHeight="false" outlineLevel="0" collapsed="false">
      <c r="A664" s="11"/>
    </row>
    <row r="665" customFormat="false" ht="15.75" hidden="false" customHeight="false" outlineLevel="0" collapsed="false">
      <c r="A665" s="11"/>
    </row>
    <row r="666" customFormat="false" ht="15.75" hidden="false" customHeight="false" outlineLevel="0" collapsed="false">
      <c r="A666" s="11"/>
    </row>
    <row r="667" customFormat="false" ht="15.75" hidden="false" customHeight="false" outlineLevel="0" collapsed="false">
      <c r="A667" s="11"/>
    </row>
    <row r="668" customFormat="false" ht="15.75" hidden="false" customHeight="false" outlineLevel="0" collapsed="false">
      <c r="A668" s="11"/>
    </row>
    <row r="669" customFormat="false" ht="15.75" hidden="false" customHeight="false" outlineLevel="0" collapsed="false">
      <c r="A669" s="11"/>
    </row>
    <row r="670" customFormat="false" ht="15.75" hidden="false" customHeight="false" outlineLevel="0" collapsed="false">
      <c r="A670" s="11"/>
    </row>
    <row r="671" customFormat="false" ht="15.75" hidden="false" customHeight="false" outlineLevel="0" collapsed="false">
      <c r="A671" s="11"/>
    </row>
    <row r="672" customFormat="false" ht="15.75" hidden="false" customHeight="false" outlineLevel="0" collapsed="false">
      <c r="A672" s="11"/>
    </row>
    <row r="673" customFormat="false" ht="15.75" hidden="false" customHeight="false" outlineLevel="0" collapsed="false">
      <c r="A673" s="11"/>
    </row>
    <row r="674" customFormat="false" ht="15.75" hidden="false" customHeight="false" outlineLevel="0" collapsed="false">
      <c r="A674" s="11"/>
    </row>
    <row r="675" customFormat="false" ht="15.75" hidden="false" customHeight="false" outlineLevel="0" collapsed="false">
      <c r="A675" s="11"/>
    </row>
    <row r="676" customFormat="false" ht="15.75" hidden="false" customHeight="false" outlineLevel="0" collapsed="false">
      <c r="A676" s="11"/>
    </row>
    <row r="677" customFormat="false" ht="15.75" hidden="false" customHeight="false" outlineLevel="0" collapsed="false">
      <c r="A677" s="11"/>
    </row>
    <row r="678" customFormat="false" ht="15.75" hidden="false" customHeight="false" outlineLevel="0" collapsed="false">
      <c r="A678" s="11"/>
    </row>
    <row r="679" customFormat="false" ht="15.75" hidden="false" customHeight="false" outlineLevel="0" collapsed="false">
      <c r="A679" s="11"/>
    </row>
    <row r="680" customFormat="false" ht="15.75" hidden="false" customHeight="false" outlineLevel="0" collapsed="false">
      <c r="A680" s="11"/>
    </row>
    <row r="681" customFormat="false" ht="15.75" hidden="false" customHeight="false" outlineLevel="0" collapsed="false">
      <c r="A681" s="11"/>
    </row>
    <row r="682" customFormat="false" ht="15.75" hidden="false" customHeight="false" outlineLevel="0" collapsed="false">
      <c r="A682" s="11"/>
    </row>
    <row r="683" customFormat="false" ht="15.75" hidden="false" customHeight="false" outlineLevel="0" collapsed="false">
      <c r="A683" s="11"/>
    </row>
    <row r="684" customFormat="false" ht="15.75" hidden="false" customHeight="false" outlineLevel="0" collapsed="false">
      <c r="A684" s="11"/>
    </row>
    <row r="685" customFormat="false" ht="15.75" hidden="false" customHeight="false" outlineLevel="0" collapsed="false">
      <c r="A685" s="11"/>
    </row>
    <row r="686" customFormat="false" ht="15.75" hidden="false" customHeight="false" outlineLevel="0" collapsed="false">
      <c r="A686" s="11"/>
    </row>
    <row r="687" customFormat="false" ht="15.75" hidden="false" customHeight="false" outlineLevel="0" collapsed="false">
      <c r="A687" s="11"/>
    </row>
    <row r="688" customFormat="false" ht="15.75" hidden="false" customHeight="false" outlineLevel="0" collapsed="false">
      <c r="A688" s="11"/>
    </row>
    <row r="689" customFormat="false" ht="15.75" hidden="false" customHeight="false" outlineLevel="0" collapsed="false">
      <c r="A689" s="11"/>
    </row>
    <row r="690" customFormat="false" ht="15.75" hidden="false" customHeight="false" outlineLevel="0" collapsed="false">
      <c r="A690" s="11"/>
    </row>
    <row r="691" customFormat="false" ht="15.75" hidden="false" customHeight="false" outlineLevel="0" collapsed="false">
      <c r="A691" s="11"/>
    </row>
    <row r="692" customFormat="false" ht="15.75" hidden="false" customHeight="false" outlineLevel="0" collapsed="false">
      <c r="A692" s="11"/>
    </row>
    <row r="693" customFormat="false" ht="15.75" hidden="false" customHeight="false" outlineLevel="0" collapsed="false">
      <c r="A693" s="11"/>
    </row>
    <row r="694" customFormat="false" ht="15.75" hidden="false" customHeight="false" outlineLevel="0" collapsed="false">
      <c r="A694" s="11"/>
    </row>
    <row r="695" customFormat="false" ht="15.75" hidden="false" customHeight="false" outlineLevel="0" collapsed="false">
      <c r="A695" s="11"/>
    </row>
    <row r="696" customFormat="false" ht="15.75" hidden="false" customHeight="false" outlineLevel="0" collapsed="false">
      <c r="A696" s="11"/>
    </row>
    <row r="697" customFormat="false" ht="15.75" hidden="false" customHeight="false" outlineLevel="0" collapsed="false">
      <c r="A697" s="11"/>
    </row>
    <row r="698" customFormat="false" ht="15.75" hidden="false" customHeight="false" outlineLevel="0" collapsed="false">
      <c r="A698" s="11"/>
    </row>
    <row r="699" customFormat="false" ht="15.75" hidden="false" customHeight="false" outlineLevel="0" collapsed="false">
      <c r="A699" s="11"/>
    </row>
    <row r="700" customFormat="false" ht="15.75" hidden="false" customHeight="false" outlineLevel="0" collapsed="false">
      <c r="A700" s="11"/>
    </row>
    <row r="701" customFormat="false" ht="15.75" hidden="false" customHeight="false" outlineLevel="0" collapsed="false">
      <c r="A701" s="11"/>
    </row>
    <row r="702" customFormat="false" ht="15.75" hidden="false" customHeight="false" outlineLevel="0" collapsed="false">
      <c r="A702" s="11"/>
    </row>
    <row r="703" customFormat="false" ht="15.75" hidden="false" customHeight="false" outlineLevel="0" collapsed="false">
      <c r="A703" s="11"/>
    </row>
    <row r="704" customFormat="false" ht="15.75" hidden="false" customHeight="false" outlineLevel="0" collapsed="false">
      <c r="A704" s="11"/>
    </row>
    <row r="705" customFormat="false" ht="15.75" hidden="false" customHeight="false" outlineLevel="0" collapsed="false">
      <c r="A705" s="11"/>
    </row>
    <row r="706" customFormat="false" ht="15.75" hidden="false" customHeight="false" outlineLevel="0" collapsed="false">
      <c r="A706" s="11"/>
    </row>
    <row r="707" customFormat="false" ht="15.75" hidden="false" customHeight="false" outlineLevel="0" collapsed="false">
      <c r="A707" s="11"/>
    </row>
    <row r="708" customFormat="false" ht="15.75" hidden="false" customHeight="false" outlineLevel="0" collapsed="false">
      <c r="A708" s="11"/>
    </row>
    <row r="709" customFormat="false" ht="15.75" hidden="false" customHeight="false" outlineLevel="0" collapsed="false">
      <c r="A709" s="11"/>
    </row>
    <row r="710" customFormat="false" ht="15.75" hidden="false" customHeight="false" outlineLevel="0" collapsed="false">
      <c r="A710" s="11"/>
    </row>
    <row r="711" customFormat="false" ht="15.75" hidden="false" customHeight="false" outlineLevel="0" collapsed="false">
      <c r="A711" s="11"/>
    </row>
    <row r="712" customFormat="false" ht="15.75" hidden="false" customHeight="false" outlineLevel="0" collapsed="false">
      <c r="A712" s="11"/>
    </row>
    <row r="713" customFormat="false" ht="15.75" hidden="false" customHeight="false" outlineLevel="0" collapsed="false">
      <c r="A713" s="11"/>
    </row>
    <row r="714" customFormat="false" ht="15.75" hidden="false" customHeight="false" outlineLevel="0" collapsed="false">
      <c r="A714" s="11"/>
    </row>
    <row r="715" customFormat="false" ht="15.75" hidden="false" customHeight="false" outlineLevel="0" collapsed="false">
      <c r="A715" s="11"/>
    </row>
    <row r="716" customFormat="false" ht="15.75" hidden="false" customHeight="false" outlineLevel="0" collapsed="false">
      <c r="A716" s="11"/>
    </row>
    <row r="717" customFormat="false" ht="15.75" hidden="false" customHeight="false" outlineLevel="0" collapsed="false">
      <c r="A717" s="11"/>
    </row>
    <row r="718" customFormat="false" ht="15.75" hidden="false" customHeight="false" outlineLevel="0" collapsed="false">
      <c r="A718" s="11"/>
    </row>
    <row r="719" customFormat="false" ht="15.75" hidden="false" customHeight="false" outlineLevel="0" collapsed="false">
      <c r="A719" s="11"/>
    </row>
    <row r="720" customFormat="false" ht="15.75" hidden="false" customHeight="false" outlineLevel="0" collapsed="false">
      <c r="A720" s="11"/>
    </row>
    <row r="721" customFormat="false" ht="15.75" hidden="false" customHeight="false" outlineLevel="0" collapsed="false">
      <c r="A721" s="11"/>
    </row>
    <row r="722" customFormat="false" ht="15.75" hidden="false" customHeight="false" outlineLevel="0" collapsed="false">
      <c r="A722" s="11"/>
    </row>
    <row r="723" customFormat="false" ht="15.75" hidden="false" customHeight="false" outlineLevel="0" collapsed="false">
      <c r="A723" s="11"/>
    </row>
    <row r="724" customFormat="false" ht="15.75" hidden="false" customHeight="false" outlineLevel="0" collapsed="false">
      <c r="A724" s="11"/>
    </row>
    <row r="725" customFormat="false" ht="15.75" hidden="false" customHeight="false" outlineLevel="0" collapsed="false">
      <c r="A725" s="11"/>
    </row>
    <row r="726" customFormat="false" ht="15.75" hidden="false" customHeight="false" outlineLevel="0" collapsed="false">
      <c r="A726" s="11"/>
    </row>
    <row r="727" customFormat="false" ht="15.75" hidden="false" customHeight="false" outlineLevel="0" collapsed="false">
      <c r="A727" s="11"/>
    </row>
    <row r="728" customFormat="false" ht="15.75" hidden="false" customHeight="false" outlineLevel="0" collapsed="false">
      <c r="A728" s="11"/>
    </row>
    <row r="729" customFormat="false" ht="15.75" hidden="false" customHeight="false" outlineLevel="0" collapsed="false">
      <c r="A729" s="11"/>
    </row>
    <row r="730" customFormat="false" ht="15.75" hidden="false" customHeight="false" outlineLevel="0" collapsed="false">
      <c r="A730" s="11"/>
    </row>
    <row r="731" customFormat="false" ht="15.75" hidden="false" customHeight="false" outlineLevel="0" collapsed="false">
      <c r="A731" s="11"/>
    </row>
    <row r="732" customFormat="false" ht="15.75" hidden="false" customHeight="false" outlineLevel="0" collapsed="false">
      <c r="A732" s="11"/>
    </row>
    <row r="733" customFormat="false" ht="15.75" hidden="false" customHeight="false" outlineLevel="0" collapsed="false">
      <c r="A733" s="11"/>
    </row>
    <row r="734" customFormat="false" ht="15.75" hidden="false" customHeight="false" outlineLevel="0" collapsed="false">
      <c r="A734" s="11"/>
    </row>
    <row r="735" customFormat="false" ht="15.75" hidden="false" customHeight="false" outlineLevel="0" collapsed="false">
      <c r="A735" s="11"/>
    </row>
    <row r="736" customFormat="false" ht="15.75" hidden="false" customHeight="false" outlineLevel="0" collapsed="false">
      <c r="A736" s="11"/>
    </row>
    <row r="737" customFormat="false" ht="15.75" hidden="false" customHeight="false" outlineLevel="0" collapsed="false">
      <c r="A737" s="11"/>
    </row>
    <row r="738" customFormat="false" ht="15.75" hidden="false" customHeight="false" outlineLevel="0" collapsed="false">
      <c r="A738" s="11"/>
    </row>
    <row r="739" customFormat="false" ht="15.75" hidden="false" customHeight="false" outlineLevel="0" collapsed="false">
      <c r="A739" s="11"/>
    </row>
    <row r="740" customFormat="false" ht="15.75" hidden="false" customHeight="false" outlineLevel="0" collapsed="false">
      <c r="A740" s="11"/>
    </row>
    <row r="741" customFormat="false" ht="15.75" hidden="false" customHeight="false" outlineLevel="0" collapsed="false">
      <c r="A741" s="11"/>
    </row>
    <row r="742" customFormat="false" ht="15.75" hidden="false" customHeight="false" outlineLevel="0" collapsed="false">
      <c r="A742" s="11"/>
    </row>
    <row r="743" customFormat="false" ht="15.75" hidden="false" customHeight="false" outlineLevel="0" collapsed="false">
      <c r="A743" s="11"/>
    </row>
    <row r="744" customFormat="false" ht="15.75" hidden="false" customHeight="false" outlineLevel="0" collapsed="false">
      <c r="A744" s="11"/>
    </row>
    <row r="745" customFormat="false" ht="15.75" hidden="false" customHeight="false" outlineLevel="0" collapsed="false">
      <c r="A745" s="11"/>
    </row>
    <row r="746" customFormat="false" ht="15.75" hidden="false" customHeight="false" outlineLevel="0" collapsed="false">
      <c r="A746" s="11"/>
    </row>
    <row r="747" customFormat="false" ht="15.75" hidden="false" customHeight="false" outlineLevel="0" collapsed="false">
      <c r="A747" s="11"/>
    </row>
    <row r="748" customFormat="false" ht="15.75" hidden="false" customHeight="false" outlineLevel="0" collapsed="false">
      <c r="A748" s="11"/>
    </row>
    <row r="749" customFormat="false" ht="15.75" hidden="false" customHeight="false" outlineLevel="0" collapsed="false">
      <c r="A749" s="11"/>
    </row>
    <row r="750" customFormat="false" ht="15.75" hidden="false" customHeight="false" outlineLevel="0" collapsed="false">
      <c r="A750" s="11"/>
    </row>
    <row r="751" customFormat="false" ht="15.75" hidden="false" customHeight="false" outlineLevel="0" collapsed="false">
      <c r="A751" s="11"/>
    </row>
    <row r="752" customFormat="false" ht="15.75" hidden="false" customHeight="false" outlineLevel="0" collapsed="false">
      <c r="A752" s="11"/>
    </row>
    <row r="753" customFormat="false" ht="15.75" hidden="false" customHeight="false" outlineLevel="0" collapsed="false">
      <c r="A753" s="11"/>
    </row>
    <row r="754" customFormat="false" ht="15.75" hidden="false" customHeight="false" outlineLevel="0" collapsed="false">
      <c r="A754" s="11"/>
    </row>
    <row r="755" customFormat="false" ht="15.75" hidden="false" customHeight="false" outlineLevel="0" collapsed="false">
      <c r="A755" s="11"/>
    </row>
    <row r="756" customFormat="false" ht="15.75" hidden="false" customHeight="false" outlineLevel="0" collapsed="false">
      <c r="A756" s="11"/>
    </row>
    <row r="757" customFormat="false" ht="15.75" hidden="false" customHeight="false" outlineLevel="0" collapsed="false">
      <c r="A757" s="11"/>
    </row>
    <row r="758" customFormat="false" ht="15.75" hidden="false" customHeight="false" outlineLevel="0" collapsed="false">
      <c r="A758" s="11"/>
    </row>
    <row r="759" customFormat="false" ht="15.75" hidden="false" customHeight="false" outlineLevel="0" collapsed="false">
      <c r="A759" s="11"/>
    </row>
    <row r="760" customFormat="false" ht="15.75" hidden="false" customHeight="false" outlineLevel="0" collapsed="false">
      <c r="A760" s="11"/>
    </row>
    <row r="761" customFormat="false" ht="15.75" hidden="false" customHeight="false" outlineLevel="0" collapsed="false">
      <c r="A761" s="11"/>
    </row>
    <row r="762" customFormat="false" ht="15.75" hidden="false" customHeight="false" outlineLevel="0" collapsed="false">
      <c r="A762" s="11"/>
    </row>
    <row r="763" customFormat="false" ht="15.75" hidden="false" customHeight="false" outlineLevel="0" collapsed="false">
      <c r="A763" s="11"/>
    </row>
    <row r="764" customFormat="false" ht="15.75" hidden="false" customHeight="false" outlineLevel="0" collapsed="false">
      <c r="A764" s="11"/>
    </row>
    <row r="765" customFormat="false" ht="15.75" hidden="false" customHeight="false" outlineLevel="0" collapsed="false">
      <c r="A765" s="11"/>
    </row>
    <row r="766" customFormat="false" ht="15.75" hidden="false" customHeight="false" outlineLevel="0" collapsed="false">
      <c r="A766" s="11"/>
    </row>
    <row r="767" customFormat="false" ht="15.75" hidden="false" customHeight="false" outlineLevel="0" collapsed="false">
      <c r="A767" s="11"/>
    </row>
    <row r="768" customFormat="false" ht="15.75" hidden="false" customHeight="false" outlineLevel="0" collapsed="false">
      <c r="A768" s="11"/>
    </row>
    <row r="769" customFormat="false" ht="15.75" hidden="false" customHeight="false" outlineLevel="0" collapsed="false">
      <c r="A769" s="11"/>
    </row>
    <row r="770" customFormat="false" ht="15.75" hidden="false" customHeight="false" outlineLevel="0" collapsed="false">
      <c r="A770" s="11"/>
    </row>
    <row r="771" customFormat="false" ht="15.75" hidden="false" customHeight="false" outlineLevel="0" collapsed="false">
      <c r="A771" s="11"/>
    </row>
    <row r="772" customFormat="false" ht="15.75" hidden="false" customHeight="false" outlineLevel="0" collapsed="false">
      <c r="A772" s="11"/>
    </row>
    <row r="773" customFormat="false" ht="15.75" hidden="false" customHeight="false" outlineLevel="0" collapsed="false">
      <c r="A773" s="11"/>
    </row>
    <row r="774" customFormat="false" ht="15.75" hidden="false" customHeight="false" outlineLevel="0" collapsed="false">
      <c r="A774" s="11"/>
    </row>
    <row r="775" customFormat="false" ht="15.75" hidden="false" customHeight="false" outlineLevel="0" collapsed="false">
      <c r="A775" s="11"/>
    </row>
    <row r="776" customFormat="false" ht="15.75" hidden="false" customHeight="false" outlineLevel="0" collapsed="false">
      <c r="A776" s="11"/>
    </row>
    <row r="777" customFormat="false" ht="15.75" hidden="false" customHeight="false" outlineLevel="0" collapsed="false">
      <c r="A777" s="11"/>
    </row>
    <row r="778" customFormat="false" ht="15.75" hidden="false" customHeight="false" outlineLevel="0" collapsed="false">
      <c r="A778" s="11"/>
    </row>
    <row r="779" customFormat="false" ht="15.75" hidden="false" customHeight="false" outlineLevel="0" collapsed="false">
      <c r="A779" s="11"/>
    </row>
    <row r="780" customFormat="false" ht="15.75" hidden="false" customHeight="false" outlineLevel="0" collapsed="false">
      <c r="A780" s="11"/>
    </row>
    <row r="781" customFormat="false" ht="15.75" hidden="false" customHeight="false" outlineLevel="0" collapsed="false">
      <c r="A781" s="11"/>
    </row>
    <row r="782" customFormat="false" ht="15.75" hidden="false" customHeight="false" outlineLevel="0" collapsed="false">
      <c r="A782" s="11"/>
    </row>
    <row r="783" customFormat="false" ht="15.75" hidden="false" customHeight="false" outlineLevel="0" collapsed="false">
      <c r="A783" s="11"/>
    </row>
    <row r="784" customFormat="false" ht="15.75" hidden="false" customHeight="false" outlineLevel="0" collapsed="false">
      <c r="A784" s="11"/>
    </row>
    <row r="785" customFormat="false" ht="15.75" hidden="false" customHeight="false" outlineLevel="0" collapsed="false">
      <c r="A785" s="11"/>
    </row>
    <row r="786" customFormat="false" ht="15.75" hidden="false" customHeight="false" outlineLevel="0" collapsed="false">
      <c r="A786" s="11"/>
    </row>
    <row r="787" customFormat="false" ht="15.75" hidden="false" customHeight="false" outlineLevel="0" collapsed="false">
      <c r="A787" s="11"/>
    </row>
    <row r="788" customFormat="false" ht="15.75" hidden="false" customHeight="false" outlineLevel="0" collapsed="false">
      <c r="A788" s="11"/>
    </row>
    <row r="789" customFormat="false" ht="15.75" hidden="false" customHeight="false" outlineLevel="0" collapsed="false">
      <c r="A789" s="11"/>
    </row>
    <row r="790" customFormat="false" ht="15.75" hidden="false" customHeight="false" outlineLevel="0" collapsed="false">
      <c r="A790" s="11"/>
    </row>
    <row r="791" customFormat="false" ht="15.75" hidden="false" customHeight="false" outlineLevel="0" collapsed="false">
      <c r="A791" s="11"/>
    </row>
    <row r="792" customFormat="false" ht="15.75" hidden="false" customHeight="false" outlineLevel="0" collapsed="false">
      <c r="A792" s="11"/>
    </row>
    <row r="793" customFormat="false" ht="15.75" hidden="false" customHeight="false" outlineLevel="0" collapsed="false">
      <c r="A793" s="11"/>
    </row>
    <row r="794" customFormat="false" ht="15.75" hidden="false" customHeight="false" outlineLevel="0" collapsed="false">
      <c r="A794" s="11"/>
    </row>
    <row r="795" customFormat="false" ht="15.75" hidden="false" customHeight="false" outlineLevel="0" collapsed="false">
      <c r="A795" s="11"/>
    </row>
    <row r="796" customFormat="false" ht="15.75" hidden="false" customHeight="false" outlineLevel="0" collapsed="false">
      <c r="A796" s="11"/>
    </row>
    <row r="797" customFormat="false" ht="15.75" hidden="false" customHeight="false" outlineLevel="0" collapsed="false">
      <c r="A797" s="11"/>
    </row>
    <row r="798" customFormat="false" ht="15.75" hidden="false" customHeight="false" outlineLevel="0" collapsed="false">
      <c r="A798" s="11"/>
    </row>
    <row r="799" customFormat="false" ht="15.75" hidden="false" customHeight="false" outlineLevel="0" collapsed="false">
      <c r="A799" s="11"/>
    </row>
    <row r="800" customFormat="false" ht="15.75" hidden="false" customHeight="false" outlineLevel="0" collapsed="false">
      <c r="A800" s="11"/>
    </row>
    <row r="801" customFormat="false" ht="15.75" hidden="false" customHeight="false" outlineLevel="0" collapsed="false">
      <c r="A801" s="11"/>
    </row>
    <row r="802" customFormat="false" ht="15.75" hidden="false" customHeight="false" outlineLevel="0" collapsed="false">
      <c r="A802" s="11"/>
    </row>
    <row r="803" customFormat="false" ht="15.75" hidden="false" customHeight="false" outlineLevel="0" collapsed="false">
      <c r="A803" s="11"/>
    </row>
    <row r="804" customFormat="false" ht="15.75" hidden="false" customHeight="false" outlineLevel="0" collapsed="false">
      <c r="A804" s="11"/>
    </row>
    <row r="805" customFormat="false" ht="15.75" hidden="false" customHeight="false" outlineLevel="0" collapsed="false">
      <c r="A805" s="11"/>
    </row>
    <row r="806" customFormat="false" ht="15.75" hidden="false" customHeight="false" outlineLevel="0" collapsed="false">
      <c r="A806" s="11"/>
    </row>
    <row r="807" customFormat="false" ht="15.75" hidden="false" customHeight="false" outlineLevel="0" collapsed="false">
      <c r="A807" s="11"/>
    </row>
    <row r="808" customFormat="false" ht="15.75" hidden="false" customHeight="false" outlineLevel="0" collapsed="false">
      <c r="A808" s="11"/>
    </row>
    <row r="809" customFormat="false" ht="15.75" hidden="false" customHeight="false" outlineLevel="0" collapsed="false">
      <c r="A809" s="11"/>
    </row>
    <row r="810" customFormat="false" ht="15.75" hidden="false" customHeight="false" outlineLevel="0" collapsed="false">
      <c r="A810" s="11"/>
    </row>
    <row r="811" customFormat="false" ht="15.75" hidden="false" customHeight="false" outlineLevel="0" collapsed="false">
      <c r="A811" s="11"/>
    </row>
    <row r="812" customFormat="false" ht="15.75" hidden="false" customHeight="false" outlineLevel="0" collapsed="false">
      <c r="A812" s="11"/>
    </row>
    <row r="813" customFormat="false" ht="15.75" hidden="false" customHeight="false" outlineLevel="0" collapsed="false">
      <c r="A813" s="11"/>
    </row>
    <row r="814" customFormat="false" ht="15.75" hidden="false" customHeight="false" outlineLevel="0" collapsed="false">
      <c r="A814" s="11"/>
    </row>
    <row r="815" customFormat="false" ht="15.75" hidden="false" customHeight="false" outlineLevel="0" collapsed="false">
      <c r="A815" s="11"/>
    </row>
    <row r="816" customFormat="false" ht="15.75" hidden="false" customHeight="false" outlineLevel="0" collapsed="false">
      <c r="A816" s="11"/>
    </row>
    <row r="817" customFormat="false" ht="15.75" hidden="false" customHeight="false" outlineLevel="0" collapsed="false">
      <c r="A817" s="11"/>
    </row>
    <row r="818" customFormat="false" ht="15.75" hidden="false" customHeight="false" outlineLevel="0" collapsed="false">
      <c r="A818" s="11"/>
    </row>
    <row r="819" customFormat="false" ht="15.75" hidden="false" customHeight="false" outlineLevel="0" collapsed="false">
      <c r="A819" s="11"/>
    </row>
    <row r="820" customFormat="false" ht="15.75" hidden="false" customHeight="false" outlineLevel="0" collapsed="false">
      <c r="A820" s="11"/>
    </row>
    <row r="821" customFormat="false" ht="15.75" hidden="false" customHeight="false" outlineLevel="0" collapsed="false">
      <c r="A821" s="11"/>
    </row>
    <row r="822" customFormat="false" ht="15.75" hidden="false" customHeight="false" outlineLevel="0" collapsed="false">
      <c r="A822" s="11"/>
    </row>
    <row r="823" customFormat="false" ht="15.75" hidden="false" customHeight="false" outlineLevel="0" collapsed="false">
      <c r="A823" s="11"/>
    </row>
    <row r="824" customFormat="false" ht="15.75" hidden="false" customHeight="false" outlineLevel="0" collapsed="false">
      <c r="A824" s="11"/>
    </row>
    <row r="825" customFormat="false" ht="15.75" hidden="false" customHeight="false" outlineLevel="0" collapsed="false">
      <c r="A825" s="11"/>
    </row>
    <row r="826" customFormat="false" ht="15.75" hidden="false" customHeight="false" outlineLevel="0" collapsed="false">
      <c r="A826" s="11"/>
    </row>
    <row r="827" customFormat="false" ht="15.75" hidden="false" customHeight="false" outlineLevel="0" collapsed="false">
      <c r="A827" s="11"/>
    </row>
    <row r="828" customFormat="false" ht="15.75" hidden="false" customHeight="false" outlineLevel="0" collapsed="false">
      <c r="A828" s="11"/>
    </row>
    <row r="829" customFormat="false" ht="15.75" hidden="false" customHeight="false" outlineLevel="0" collapsed="false">
      <c r="A829" s="11"/>
    </row>
    <row r="830" customFormat="false" ht="15.75" hidden="false" customHeight="false" outlineLevel="0" collapsed="false">
      <c r="A830" s="11"/>
    </row>
    <row r="831" customFormat="false" ht="15.75" hidden="false" customHeight="false" outlineLevel="0" collapsed="false">
      <c r="A831" s="11"/>
    </row>
    <row r="832" customFormat="false" ht="15.75" hidden="false" customHeight="false" outlineLevel="0" collapsed="false">
      <c r="A832" s="11"/>
    </row>
    <row r="833" customFormat="false" ht="15.75" hidden="false" customHeight="false" outlineLevel="0" collapsed="false">
      <c r="A833" s="11"/>
    </row>
    <row r="834" customFormat="false" ht="15.75" hidden="false" customHeight="false" outlineLevel="0" collapsed="false">
      <c r="A834" s="11"/>
    </row>
    <row r="835" customFormat="false" ht="15.75" hidden="false" customHeight="false" outlineLevel="0" collapsed="false">
      <c r="A835" s="11"/>
    </row>
    <row r="836" customFormat="false" ht="15.75" hidden="false" customHeight="false" outlineLevel="0" collapsed="false">
      <c r="A836" s="11"/>
    </row>
    <row r="837" customFormat="false" ht="15.75" hidden="false" customHeight="false" outlineLevel="0" collapsed="false">
      <c r="A837" s="11"/>
    </row>
    <row r="838" customFormat="false" ht="15.75" hidden="false" customHeight="false" outlineLevel="0" collapsed="false">
      <c r="A838" s="11"/>
    </row>
    <row r="839" customFormat="false" ht="15.75" hidden="false" customHeight="false" outlineLevel="0" collapsed="false">
      <c r="A839" s="11"/>
    </row>
    <row r="840" customFormat="false" ht="15.75" hidden="false" customHeight="false" outlineLevel="0" collapsed="false">
      <c r="A840" s="11"/>
    </row>
    <row r="841" customFormat="false" ht="15.75" hidden="false" customHeight="false" outlineLevel="0" collapsed="false">
      <c r="A841" s="11"/>
    </row>
    <row r="842" customFormat="false" ht="15.75" hidden="false" customHeight="false" outlineLevel="0" collapsed="false">
      <c r="A842" s="11"/>
    </row>
    <row r="843" customFormat="false" ht="15.75" hidden="false" customHeight="false" outlineLevel="0" collapsed="false">
      <c r="A843" s="11"/>
    </row>
    <row r="844" customFormat="false" ht="15.75" hidden="false" customHeight="false" outlineLevel="0" collapsed="false">
      <c r="A844" s="11"/>
    </row>
    <row r="845" customFormat="false" ht="15.75" hidden="false" customHeight="false" outlineLevel="0" collapsed="false">
      <c r="A845" s="11"/>
    </row>
    <row r="846" customFormat="false" ht="15.75" hidden="false" customHeight="false" outlineLevel="0" collapsed="false">
      <c r="A846" s="11"/>
    </row>
    <row r="847" customFormat="false" ht="15.75" hidden="false" customHeight="false" outlineLevel="0" collapsed="false">
      <c r="A847" s="11"/>
    </row>
    <row r="848" customFormat="false" ht="15.75" hidden="false" customHeight="false" outlineLevel="0" collapsed="false">
      <c r="A848" s="11"/>
    </row>
    <row r="849" customFormat="false" ht="15.75" hidden="false" customHeight="false" outlineLevel="0" collapsed="false">
      <c r="A849" s="11"/>
    </row>
    <row r="850" customFormat="false" ht="15.75" hidden="false" customHeight="false" outlineLevel="0" collapsed="false">
      <c r="A850" s="11"/>
    </row>
    <row r="851" customFormat="false" ht="15.75" hidden="false" customHeight="false" outlineLevel="0" collapsed="false">
      <c r="A851" s="11"/>
    </row>
    <row r="852" customFormat="false" ht="15.75" hidden="false" customHeight="false" outlineLevel="0" collapsed="false">
      <c r="A852" s="11"/>
    </row>
    <row r="853" customFormat="false" ht="15.75" hidden="false" customHeight="false" outlineLevel="0" collapsed="false">
      <c r="A853" s="11"/>
    </row>
    <row r="854" customFormat="false" ht="15.75" hidden="false" customHeight="false" outlineLevel="0" collapsed="false">
      <c r="A854" s="11"/>
    </row>
    <row r="855" customFormat="false" ht="15.75" hidden="false" customHeight="false" outlineLevel="0" collapsed="false">
      <c r="A855" s="11"/>
    </row>
    <row r="856" customFormat="false" ht="15.75" hidden="false" customHeight="false" outlineLevel="0" collapsed="false">
      <c r="A856" s="11"/>
    </row>
    <row r="857" customFormat="false" ht="15.75" hidden="false" customHeight="false" outlineLevel="0" collapsed="false">
      <c r="A857" s="11"/>
    </row>
    <row r="858" customFormat="false" ht="15.75" hidden="false" customHeight="false" outlineLevel="0" collapsed="false">
      <c r="A858" s="11"/>
    </row>
    <row r="859" customFormat="false" ht="15.75" hidden="false" customHeight="false" outlineLevel="0" collapsed="false">
      <c r="A859" s="11"/>
    </row>
    <row r="860" customFormat="false" ht="15.75" hidden="false" customHeight="false" outlineLevel="0" collapsed="false">
      <c r="A860" s="11"/>
    </row>
    <row r="861" customFormat="false" ht="15.75" hidden="false" customHeight="false" outlineLevel="0" collapsed="false">
      <c r="A861" s="11"/>
    </row>
    <row r="862" customFormat="false" ht="15.75" hidden="false" customHeight="false" outlineLevel="0" collapsed="false">
      <c r="A862" s="11"/>
    </row>
    <row r="863" customFormat="false" ht="15.75" hidden="false" customHeight="false" outlineLevel="0" collapsed="false">
      <c r="A863" s="11"/>
    </row>
    <row r="864" customFormat="false" ht="15.75" hidden="false" customHeight="false" outlineLevel="0" collapsed="false">
      <c r="A864" s="11"/>
    </row>
    <row r="865" customFormat="false" ht="15.75" hidden="false" customHeight="false" outlineLevel="0" collapsed="false">
      <c r="A865" s="11"/>
    </row>
    <row r="866" customFormat="false" ht="15.75" hidden="false" customHeight="false" outlineLevel="0" collapsed="false">
      <c r="A866" s="11"/>
    </row>
    <row r="867" customFormat="false" ht="15.75" hidden="false" customHeight="false" outlineLevel="0" collapsed="false">
      <c r="A867" s="11"/>
    </row>
    <row r="868" customFormat="false" ht="15.75" hidden="false" customHeight="false" outlineLevel="0" collapsed="false">
      <c r="A868" s="11"/>
    </row>
    <row r="869" customFormat="false" ht="15.75" hidden="false" customHeight="false" outlineLevel="0" collapsed="false">
      <c r="A869" s="11"/>
    </row>
    <row r="870" customFormat="false" ht="15.75" hidden="false" customHeight="false" outlineLevel="0" collapsed="false">
      <c r="A870" s="11"/>
    </row>
    <row r="871" customFormat="false" ht="15.75" hidden="false" customHeight="false" outlineLevel="0" collapsed="false">
      <c r="A871" s="11"/>
    </row>
    <row r="872" customFormat="false" ht="15.75" hidden="false" customHeight="false" outlineLevel="0" collapsed="false">
      <c r="A872" s="11"/>
    </row>
    <row r="873" customFormat="false" ht="15.75" hidden="false" customHeight="false" outlineLevel="0" collapsed="false">
      <c r="A873" s="11"/>
    </row>
    <row r="874" customFormat="false" ht="15.75" hidden="false" customHeight="false" outlineLevel="0" collapsed="false">
      <c r="A874" s="11"/>
    </row>
    <row r="875" customFormat="false" ht="15.75" hidden="false" customHeight="false" outlineLevel="0" collapsed="false">
      <c r="A875" s="11"/>
    </row>
    <row r="876" customFormat="false" ht="15.75" hidden="false" customHeight="false" outlineLevel="0" collapsed="false">
      <c r="A876" s="11"/>
    </row>
    <row r="877" customFormat="false" ht="15.75" hidden="false" customHeight="false" outlineLevel="0" collapsed="false">
      <c r="A877" s="11"/>
    </row>
    <row r="878" customFormat="false" ht="15.75" hidden="false" customHeight="false" outlineLevel="0" collapsed="false">
      <c r="A878" s="11"/>
    </row>
    <row r="879" customFormat="false" ht="15.75" hidden="false" customHeight="false" outlineLevel="0" collapsed="false">
      <c r="A879" s="11"/>
    </row>
    <row r="880" customFormat="false" ht="15.75" hidden="false" customHeight="false" outlineLevel="0" collapsed="false">
      <c r="A880" s="11"/>
    </row>
    <row r="881" customFormat="false" ht="15.75" hidden="false" customHeight="false" outlineLevel="0" collapsed="false">
      <c r="A881" s="11"/>
    </row>
    <row r="882" customFormat="false" ht="15.75" hidden="false" customHeight="false" outlineLevel="0" collapsed="false">
      <c r="A882" s="11"/>
    </row>
    <row r="883" customFormat="false" ht="15.75" hidden="false" customHeight="false" outlineLevel="0" collapsed="false">
      <c r="A883" s="11"/>
    </row>
    <row r="884" customFormat="false" ht="15.75" hidden="false" customHeight="false" outlineLevel="0" collapsed="false">
      <c r="A884" s="11"/>
    </row>
    <row r="885" customFormat="false" ht="15.75" hidden="false" customHeight="false" outlineLevel="0" collapsed="false">
      <c r="A885" s="11"/>
    </row>
    <row r="886" customFormat="false" ht="15.75" hidden="false" customHeight="false" outlineLevel="0" collapsed="false">
      <c r="A886" s="11"/>
    </row>
    <row r="887" customFormat="false" ht="15.75" hidden="false" customHeight="false" outlineLevel="0" collapsed="false">
      <c r="A887" s="11"/>
    </row>
    <row r="888" customFormat="false" ht="15.75" hidden="false" customHeight="false" outlineLevel="0" collapsed="false">
      <c r="A888" s="11"/>
    </row>
    <row r="889" customFormat="false" ht="15.75" hidden="false" customHeight="false" outlineLevel="0" collapsed="false">
      <c r="A889" s="11"/>
    </row>
    <row r="890" customFormat="false" ht="15.75" hidden="false" customHeight="false" outlineLevel="0" collapsed="false">
      <c r="A890" s="11"/>
    </row>
    <row r="891" customFormat="false" ht="15.75" hidden="false" customHeight="false" outlineLevel="0" collapsed="false">
      <c r="A891" s="11"/>
    </row>
    <row r="892" customFormat="false" ht="15.75" hidden="false" customHeight="false" outlineLevel="0" collapsed="false">
      <c r="A892" s="11"/>
    </row>
    <row r="893" customFormat="false" ht="15.75" hidden="false" customHeight="false" outlineLevel="0" collapsed="false">
      <c r="A893" s="11"/>
    </row>
    <row r="894" customFormat="false" ht="15.75" hidden="false" customHeight="false" outlineLevel="0" collapsed="false">
      <c r="A894" s="11"/>
    </row>
    <row r="895" customFormat="false" ht="15.75" hidden="false" customHeight="false" outlineLevel="0" collapsed="false">
      <c r="A895" s="11"/>
    </row>
    <row r="896" customFormat="false" ht="15.75" hidden="false" customHeight="false" outlineLevel="0" collapsed="false">
      <c r="A896" s="11"/>
    </row>
    <row r="897" customFormat="false" ht="15.75" hidden="false" customHeight="false" outlineLevel="0" collapsed="false">
      <c r="A897" s="11"/>
    </row>
    <row r="898" customFormat="false" ht="15.75" hidden="false" customHeight="false" outlineLevel="0" collapsed="false">
      <c r="A898" s="11"/>
    </row>
    <row r="899" customFormat="false" ht="15.75" hidden="false" customHeight="false" outlineLevel="0" collapsed="false">
      <c r="A899" s="11"/>
    </row>
    <row r="900" customFormat="false" ht="15.75" hidden="false" customHeight="false" outlineLevel="0" collapsed="false">
      <c r="A900" s="11"/>
    </row>
    <row r="901" customFormat="false" ht="15.75" hidden="false" customHeight="false" outlineLevel="0" collapsed="false">
      <c r="A901" s="11"/>
    </row>
    <row r="902" customFormat="false" ht="15.75" hidden="false" customHeight="false" outlineLevel="0" collapsed="false">
      <c r="A902" s="11"/>
    </row>
    <row r="903" customFormat="false" ht="15.75" hidden="false" customHeight="false" outlineLevel="0" collapsed="false">
      <c r="A903" s="11"/>
    </row>
    <row r="904" customFormat="false" ht="15.75" hidden="false" customHeight="false" outlineLevel="0" collapsed="false">
      <c r="A904" s="11"/>
    </row>
    <row r="905" customFormat="false" ht="15.75" hidden="false" customHeight="false" outlineLevel="0" collapsed="false">
      <c r="A905" s="11"/>
    </row>
    <row r="906" customFormat="false" ht="15.75" hidden="false" customHeight="false" outlineLevel="0" collapsed="false">
      <c r="A906" s="11"/>
    </row>
    <row r="907" customFormat="false" ht="15.75" hidden="false" customHeight="false" outlineLevel="0" collapsed="false">
      <c r="A907" s="11"/>
    </row>
    <row r="908" customFormat="false" ht="15.75" hidden="false" customHeight="false" outlineLevel="0" collapsed="false">
      <c r="A908" s="11"/>
    </row>
    <row r="909" customFormat="false" ht="15.75" hidden="false" customHeight="false" outlineLevel="0" collapsed="false">
      <c r="A909" s="11"/>
    </row>
    <row r="910" customFormat="false" ht="15.75" hidden="false" customHeight="false" outlineLevel="0" collapsed="false">
      <c r="A910" s="11"/>
    </row>
    <row r="911" customFormat="false" ht="15.75" hidden="false" customHeight="false" outlineLevel="0" collapsed="false">
      <c r="A911" s="11"/>
    </row>
    <row r="912" customFormat="false" ht="15.75" hidden="false" customHeight="false" outlineLevel="0" collapsed="false">
      <c r="A912" s="11"/>
    </row>
    <row r="913" customFormat="false" ht="15.75" hidden="false" customHeight="false" outlineLevel="0" collapsed="false">
      <c r="A913" s="11"/>
    </row>
    <row r="914" customFormat="false" ht="15.75" hidden="false" customHeight="false" outlineLevel="0" collapsed="false">
      <c r="A914" s="11"/>
    </row>
    <row r="915" customFormat="false" ht="15.75" hidden="false" customHeight="false" outlineLevel="0" collapsed="false">
      <c r="A915" s="11"/>
    </row>
    <row r="916" customFormat="false" ht="15.75" hidden="false" customHeight="false" outlineLevel="0" collapsed="false">
      <c r="A916" s="11"/>
    </row>
    <row r="917" customFormat="false" ht="15.75" hidden="false" customHeight="false" outlineLevel="0" collapsed="false">
      <c r="A917" s="11"/>
    </row>
    <row r="918" customFormat="false" ht="15.75" hidden="false" customHeight="false" outlineLevel="0" collapsed="false">
      <c r="A918" s="11"/>
    </row>
    <row r="919" customFormat="false" ht="15.75" hidden="false" customHeight="false" outlineLevel="0" collapsed="false">
      <c r="A919" s="11"/>
    </row>
    <row r="920" customFormat="false" ht="15.75" hidden="false" customHeight="false" outlineLevel="0" collapsed="false">
      <c r="A920" s="11"/>
    </row>
    <row r="921" customFormat="false" ht="15.75" hidden="false" customHeight="false" outlineLevel="0" collapsed="false">
      <c r="A921" s="11"/>
    </row>
    <row r="922" customFormat="false" ht="15.75" hidden="false" customHeight="false" outlineLevel="0" collapsed="false">
      <c r="A922" s="11"/>
    </row>
    <row r="923" customFormat="false" ht="15.75" hidden="false" customHeight="false" outlineLevel="0" collapsed="false">
      <c r="A923" s="11"/>
    </row>
    <row r="924" customFormat="false" ht="15.75" hidden="false" customHeight="false" outlineLevel="0" collapsed="false">
      <c r="A924" s="11"/>
    </row>
    <row r="925" customFormat="false" ht="15.75" hidden="false" customHeight="false" outlineLevel="0" collapsed="false">
      <c r="A925" s="11"/>
    </row>
    <row r="926" customFormat="false" ht="15.75" hidden="false" customHeight="false" outlineLevel="0" collapsed="false">
      <c r="A926" s="11"/>
    </row>
    <row r="927" customFormat="false" ht="15.75" hidden="false" customHeight="false" outlineLevel="0" collapsed="false">
      <c r="A927" s="11"/>
    </row>
    <row r="928" customFormat="false" ht="15.75" hidden="false" customHeight="false" outlineLevel="0" collapsed="false">
      <c r="A928" s="11"/>
    </row>
    <row r="929" customFormat="false" ht="15.75" hidden="false" customHeight="false" outlineLevel="0" collapsed="false">
      <c r="A929" s="11"/>
    </row>
    <row r="930" customFormat="false" ht="15.75" hidden="false" customHeight="false" outlineLevel="0" collapsed="false">
      <c r="A930" s="11"/>
    </row>
    <row r="931" customFormat="false" ht="15.75" hidden="false" customHeight="false" outlineLevel="0" collapsed="false">
      <c r="A931" s="11"/>
    </row>
    <row r="932" customFormat="false" ht="15.75" hidden="false" customHeight="false" outlineLevel="0" collapsed="false">
      <c r="A932" s="11"/>
    </row>
    <row r="933" customFormat="false" ht="15.75" hidden="false" customHeight="false" outlineLevel="0" collapsed="false">
      <c r="A933" s="11"/>
    </row>
    <row r="934" customFormat="false" ht="15.75" hidden="false" customHeight="false" outlineLevel="0" collapsed="false">
      <c r="A934" s="11"/>
    </row>
    <row r="935" customFormat="false" ht="15.75" hidden="false" customHeight="false" outlineLevel="0" collapsed="false">
      <c r="A935" s="11"/>
    </row>
    <row r="936" customFormat="false" ht="15.75" hidden="false" customHeight="false" outlineLevel="0" collapsed="false">
      <c r="A936" s="11"/>
    </row>
    <row r="937" customFormat="false" ht="15.75" hidden="false" customHeight="false" outlineLevel="0" collapsed="false">
      <c r="A937" s="11"/>
    </row>
    <row r="938" customFormat="false" ht="15.75" hidden="false" customHeight="false" outlineLevel="0" collapsed="false">
      <c r="A938" s="11"/>
    </row>
    <row r="939" customFormat="false" ht="15.75" hidden="false" customHeight="false" outlineLevel="0" collapsed="false">
      <c r="A939" s="11"/>
    </row>
    <row r="940" customFormat="false" ht="15.75" hidden="false" customHeight="false" outlineLevel="0" collapsed="false">
      <c r="A940" s="11"/>
    </row>
    <row r="941" customFormat="false" ht="15.75" hidden="false" customHeight="false" outlineLevel="0" collapsed="false">
      <c r="A941" s="11"/>
    </row>
    <row r="942" customFormat="false" ht="15.75" hidden="false" customHeight="false" outlineLevel="0" collapsed="false">
      <c r="A942" s="11"/>
    </row>
    <row r="943" customFormat="false" ht="15.75" hidden="false" customHeight="false" outlineLevel="0" collapsed="false">
      <c r="A943" s="11"/>
    </row>
    <row r="944" customFormat="false" ht="15.75" hidden="false" customHeight="false" outlineLevel="0" collapsed="false">
      <c r="A944" s="11"/>
    </row>
    <row r="945" customFormat="false" ht="15.75" hidden="false" customHeight="false" outlineLevel="0" collapsed="false">
      <c r="A945" s="11"/>
    </row>
    <row r="946" customFormat="false" ht="15.75" hidden="false" customHeight="false" outlineLevel="0" collapsed="false">
      <c r="A946" s="11"/>
    </row>
    <row r="947" customFormat="false" ht="15.75" hidden="false" customHeight="false" outlineLevel="0" collapsed="false">
      <c r="A947" s="11"/>
    </row>
    <row r="948" customFormat="false" ht="15.75" hidden="false" customHeight="false" outlineLevel="0" collapsed="false">
      <c r="A948" s="11"/>
    </row>
    <row r="949" customFormat="false" ht="15.75" hidden="false" customHeight="false" outlineLevel="0" collapsed="false">
      <c r="A949" s="11"/>
    </row>
    <row r="950" customFormat="false" ht="15.75" hidden="false" customHeight="false" outlineLevel="0" collapsed="false">
      <c r="A950" s="11"/>
    </row>
    <row r="951" customFormat="false" ht="15.75" hidden="false" customHeight="false" outlineLevel="0" collapsed="false">
      <c r="A951" s="11"/>
    </row>
    <row r="952" customFormat="false" ht="15.75" hidden="false" customHeight="false" outlineLevel="0" collapsed="false">
      <c r="A952" s="11"/>
    </row>
    <row r="953" customFormat="false" ht="15.75" hidden="false" customHeight="false" outlineLevel="0" collapsed="false">
      <c r="A953" s="11"/>
    </row>
    <row r="954" customFormat="false" ht="15.75" hidden="false" customHeight="false" outlineLevel="0" collapsed="false">
      <c r="A954" s="11"/>
    </row>
    <row r="955" customFormat="false" ht="15.75" hidden="false" customHeight="false" outlineLevel="0" collapsed="false">
      <c r="A955" s="11"/>
    </row>
    <row r="956" customFormat="false" ht="15.75" hidden="false" customHeight="false" outlineLevel="0" collapsed="false">
      <c r="A956" s="11"/>
    </row>
    <row r="957" customFormat="false" ht="15.75" hidden="false" customHeight="false" outlineLevel="0" collapsed="false">
      <c r="A957" s="11"/>
    </row>
    <row r="958" customFormat="false" ht="15.75" hidden="false" customHeight="false" outlineLevel="0" collapsed="false">
      <c r="A958" s="11"/>
    </row>
    <row r="959" customFormat="false" ht="15.75" hidden="false" customHeight="false" outlineLevel="0" collapsed="false">
      <c r="A959" s="11"/>
    </row>
    <row r="960" customFormat="false" ht="15.75" hidden="false" customHeight="false" outlineLevel="0" collapsed="false">
      <c r="A960" s="11"/>
    </row>
    <row r="961" customFormat="false" ht="15.75" hidden="false" customHeight="false" outlineLevel="0" collapsed="false">
      <c r="A961" s="11"/>
    </row>
    <row r="962" customFormat="false" ht="15.75" hidden="false" customHeight="false" outlineLevel="0" collapsed="false">
      <c r="A962" s="11"/>
    </row>
    <row r="963" customFormat="false" ht="15.75" hidden="false" customHeight="false" outlineLevel="0" collapsed="false">
      <c r="A963" s="11"/>
    </row>
    <row r="964" customFormat="false" ht="15.75" hidden="false" customHeight="false" outlineLevel="0" collapsed="false">
      <c r="A964" s="11"/>
    </row>
    <row r="965" customFormat="false" ht="15.75" hidden="false" customHeight="false" outlineLevel="0" collapsed="false">
      <c r="A965" s="11"/>
    </row>
    <row r="966" customFormat="false" ht="15.75" hidden="false" customHeight="false" outlineLevel="0" collapsed="false">
      <c r="A966" s="11"/>
    </row>
    <row r="967" customFormat="false" ht="15.75" hidden="false" customHeight="false" outlineLevel="0" collapsed="false">
      <c r="A967" s="11"/>
    </row>
    <row r="968" customFormat="false" ht="15.75" hidden="false" customHeight="false" outlineLevel="0" collapsed="false">
      <c r="A968" s="11"/>
    </row>
    <row r="969" customFormat="false" ht="15.75" hidden="false" customHeight="false" outlineLevel="0" collapsed="false">
      <c r="A969" s="11"/>
    </row>
    <row r="970" customFormat="false" ht="15.75" hidden="false" customHeight="false" outlineLevel="0" collapsed="false">
      <c r="A970" s="11"/>
    </row>
    <row r="971" customFormat="false" ht="15.75" hidden="false" customHeight="false" outlineLevel="0" collapsed="false">
      <c r="A971" s="11"/>
    </row>
    <row r="972" customFormat="false" ht="15.75" hidden="false" customHeight="false" outlineLevel="0" collapsed="false">
      <c r="A972" s="11"/>
    </row>
    <row r="973" customFormat="false" ht="15.75" hidden="false" customHeight="false" outlineLevel="0" collapsed="false">
      <c r="A973" s="11"/>
    </row>
    <row r="974" customFormat="false" ht="15.75" hidden="false" customHeight="false" outlineLevel="0" collapsed="false">
      <c r="A974" s="11"/>
    </row>
    <row r="975" customFormat="false" ht="15.75" hidden="false" customHeight="false" outlineLevel="0" collapsed="false">
      <c r="A975" s="11"/>
    </row>
    <row r="976" customFormat="false" ht="15.75" hidden="false" customHeight="false" outlineLevel="0" collapsed="false">
      <c r="A976" s="11"/>
    </row>
    <row r="977" customFormat="false" ht="15.75" hidden="false" customHeight="false" outlineLevel="0" collapsed="false">
      <c r="A977" s="11"/>
    </row>
    <row r="978" customFormat="false" ht="15.75" hidden="false" customHeight="false" outlineLevel="0" collapsed="false">
      <c r="A978" s="11"/>
    </row>
    <row r="979" customFormat="false" ht="15.75" hidden="false" customHeight="false" outlineLevel="0" collapsed="false">
      <c r="A979" s="11"/>
    </row>
    <row r="980" customFormat="false" ht="15.75" hidden="false" customHeight="false" outlineLevel="0" collapsed="false">
      <c r="A980" s="11"/>
    </row>
    <row r="981" customFormat="false" ht="15.75" hidden="false" customHeight="false" outlineLevel="0" collapsed="false">
      <c r="A981" s="11"/>
    </row>
    <row r="982" customFormat="false" ht="15.75" hidden="false" customHeight="false" outlineLevel="0" collapsed="false">
      <c r="A982" s="11"/>
    </row>
    <row r="983" customFormat="false" ht="15.75" hidden="false" customHeight="false" outlineLevel="0" collapsed="false">
      <c r="A983" s="11"/>
    </row>
    <row r="984" customFormat="false" ht="15.75" hidden="false" customHeight="false" outlineLevel="0" collapsed="false">
      <c r="A984" s="11"/>
    </row>
    <row r="985" customFormat="false" ht="15.75" hidden="false" customHeight="false" outlineLevel="0" collapsed="false">
      <c r="A985" s="11"/>
    </row>
    <row r="986" customFormat="false" ht="15.75" hidden="false" customHeight="false" outlineLevel="0" collapsed="false">
      <c r="A986" s="11"/>
    </row>
    <row r="987" customFormat="false" ht="15.75" hidden="false" customHeight="false" outlineLevel="0" collapsed="false">
      <c r="A987" s="11"/>
    </row>
    <row r="988" customFormat="false" ht="15.75" hidden="false" customHeight="false" outlineLevel="0" collapsed="false">
      <c r="A988" s="11"/>
    </row>
    <row r="989" customFormat="false" ht="15.75" hidden="false" customHeight="false" outlineLevel="0" collapsed="false">
      <c r="A989" s="11"/>
    </row>
    <row r="990" customFormat="false" ht="15.75" hidden="false" customHeight="false" outlineLevel="0" collapsed="false">
      <c r="A990" s="11"/>
    </row>
    <row r="991" customFormat="false" ht="15.75" hidden="false" customHeight="false" outlineLevel="0" collapsed="false">
      <c r="A991" s="11"/>
    </row>
    <row r="992" customFormat="false" ht="15.75" hidden="false" customHeight="false" outlineLevel="0" collapsed="false">
      <c r="A992" s="11"/>
    </row>
    <row r="993" customFormat="false" ht="15.75" hidden="false" customHeight="false" outlineLevel="0" collapsed="false">
      <c r="A993" s="11"/>
    </row>
    <row r="994" customFormat="false" ht="15.75" hidden="false" customHeight="false" outlineLevel="0" collapsed="false">
      <c r="A994" s="11"/>
    </row>
    <row r="995" customFormat="false" ht="15.75" hidden="false" customHeight="false" outlineLevel="0" collapsed="false">
      <c r="A995" s="11"/>
    </row>
    <row r="996" customFormat="false" ht="15.75" hidden="false" customHeight="false" outlineLevel="0" collapsed="false">
      <c r="A996" s="11"/>
    </row>
    <row r="997" customFormat="false" ht="15.75" hidden="false" customHeight="false" outlineLevel="0" collapsed="false">
      <c r="A997" s="11"/>
    </row>
    <row r="998" customFormat="false" ht="15.75" hidden="false" customHeight="false" outlineLevel="0" collapsed="false">
      <c r="A998" s="11"/>
    </row>
    <row r="999" customFormat="false" ht="15.75" hidden="false" customHeight="false" outlineLevel="0" collapsed="false">
      <c r="A999" s="11"/>
    </row>
    <row r="1000" customFormat="false" ht="15.75" hidden="false" customHeight="false" outlineLevel="0" collapsed="false">
      <c r="A1000" s="11"/>
    </row>
    <row r="1001" customFormat="false" ht="15.75" hidden="false" customHeight="false" outlineLevel="0" collapsed="false">
      <c r="A1001" s="1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2026-03-04T20:17:31Z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